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ba327d76f43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0b4cd73259a4f87"/>
    <x:sheet xmlns:r="http://schemas.openxmlformats.org/officeDocument/2006/relationships" name="AUDITORIA" sheetId="2" r:id="R8da4d53f67364f77"/>
    <x:sheet xmlns:r="http://schemas.openxmlformats.org/officeDocument/2006/relationships" name="FONTES" sheetId="3" r:id="Ra0eb9e15a73c41ef"/>
    <x:sheet xmlns:r="http://schemas.openxmlformats.org/officeDocument/2006/relationships" name="CATALOGO" sheetId="4" r:id="Rc0d939267aca4657"/>
    <x:sheet xmlns:r="http://schemas.openxmlformats.org/officeDocument/2006/relationships" name="EXPORT_WEB" sheetId="5" r:id="Rdf5beff132c1406f"/>
    <x:sheet xmlns:r="http://schemas.openxmlformats.org/officeDocument/2006/relationships" name="LISTAS" sheetId="6" r:id="R2372aee5623f42ba"/>
    <x:sheet xmlns:r="http://schemas.openxmlformats.org/officeDocument/2006/relationships" name="ORCAMENTO" sheetId="7" r:id="Rabbeee60019d4708"/>
    <x:sheet xmlns:r="http://schemas.openxmlformats.org/officeDocument/2006/relationships" name="STATUS_PRODUTOS" sheetId="8" r:id="R4c68b009350c4280"/>
    <x:sheet xmlns:r="http://schemas.openxmlformats.org/officeDocument/2006/relationships" name="SERVICOS_ROD" sheetId="9" r:id="R692fcb97442f4eda"/>
    <x:sheet xmlns:r="http://schemas.openxmlformats.org/officeDocument/2006/relationships" name="ESSILOR_HIST" sheetId="10" r:id="R6ab915e212d24c7a"/>
    <x:sheet xmlns:r="http://schemas.openxmlformats.org/officeDocument/2006/relationships" name="PENDENCIAS" sheetId="11" r:id="Rdd86938fb0e6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R$ #,##0.00"/>
    <x:numFmt numFmtId="202" formatCode="0.0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0F5FB3"/>
      <x:name val="Carlito"/>
    </x:font>
    <x:font>
      <x:b/>
      <x:sz val="17"/>
      <x:color rgb="FFFFFFFF"/>
      <x:name val="Carlito"/>
    </x:font>
    <x:font>
      <x:i/>
      <x:sz val="11"/>
      <x:color rgb="FF243B5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0F5FB3"/>
      </x:patternFill>
    </x:fill>
    <x:fill>
      <x:patternFill patternType="solid">
        <x:fgColor rgb="FFF4F7FA"/>
      </x:patternFill>
    </x:fill>
    <x:fill>
      <x:patternFill patternType="solid">
        <x:fgColor rgb="FFC0392B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2" borderId="0" xfId="0" applyNumberFormat="1" applyFont="1" applyFill="1" applyBorder="1"/>
    <x:xf numFmtId="201" fontId="2" fillId="2" borderId="0" xfId="0" applyNumberFormat="1" applyFont="1" applyFill="1" applyBorder="1"/>
    <x:xf numFmtId="201" fontId="0" fillId="2" borderId="1" xfId="0" applyNumberFormat="1" applyFont="1" applyFill="1" applyBorder="1"/>
    <x:xf numFmtId="201" fontId="2" fillId="2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/>
    </x:xf>
    <x:xf numFmtId="0" fontId="2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left"/>
    </x:xf>
    <x:xf numFmtId="0" fontId="2" fillId="5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11">
    <x:dxf>
      <x:font>
        <x:b/>
        <x:color rgb="FF276749"/>
      </x:font>
      <x:fill>
        <x:patternFill patternType="solid">
          <x:bgColor rgb="FFD9EAD3"/>
        </x:patternFill>
      </x:fill>
    </x:dxf>
    <x:dxf>
      <x:font>
        <x:b/>
        <x:color rgb="FFC0392B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C0392B"/>
      </x:font>
      <x:fill>
        <x:patternFill patternType="solid">
          <x:bgColor rgb="FFFCE8E6"/>
        </x:patternFill>
      </x:fill>
    </x:dxf>
    <x:dxf>
      <x:font>
        <x:color rgb="FF1F8A5B"/>
      </x:font>
      <x:fill>
        <x:patternFill patternType="solid">
          <x:bgColor rgb="FFE6F4EA"/>
        </x:patternFill>
      </x:fill>
    </x:dxf>
    <x:dxf>
      <x:font>
        <x:b/>
        <x:color rgb="FFC0392B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C0392B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C0392B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a3b5e552347e2" /><Relationship Type="http://schemas.openxmlformats.org/officeDocument/2006/relationships/theme" Target="/xl/theme/theme1.xml" Id="R269157c75e4e476f" /><Relationship Type="http://schemas.openxmlformats.org/officeDocument/2006/relationships/sharedStrings" Target="/xl/sharedStrings.xml" Id="R72493a7a55114881" /><Relationship Type="http://schemas.openxmlformats.org/officeDocument/2006/relationships/worksheet" Target="/xl/worksheets/sheet1.xml" Id="R10b4cd73259a4f87" /><Relationship Type="http://schemas.openxmlformats.org/officeDocument/2006/relationships/worksheet" Target="/xl/worksheets/sheet2.xml" Id="R8da4d53f67364f77" /><Relationship Type="http://schemas.openxmlformats.org/officeDocument/2006/relationships/worksheet" Target="/xl/worksheets/sheet3.xml" Id="Ra0eb9e15a73c41ef" /><Relationship Type="http://schemas.openxmlformats.org/officeDocument/2006/relationships/worksheet" Target="/xl/worksheets/sheet4.xml" Id="Rc0d939267aca4657" /><Relationship Type="http://schemas.openxmlformats.org/officeDocument/2006/relationships/worksheet" Target="/xl/worksheets/sheet5.xml" Id="Rdf5beff132c1406f" /><Relationship Type="http://schemas.openxmlformats.org/officeDocument/2006/relationships/worksheet" Target="/xl/worksheets/sheet6.xml" Id="R2372aee5623f42ba" /><Relationship Type="http://schemas.openxmlformats.org/officeDocument/2006/relationships/worksheet" Target="/xl/worksheets/sheet7.xml" Id="Rabbeee60019d4708" /><Relationship Type="http://schemas.openxmlformats.org/officeDocument/2006/relationships/worksheet" Target="/xl/worksheets/sheet8.xml" Id="R4c68b009350c4280" /><Relationship Type="http://schemas.openxmlformats.org/officeDocument/2006/relationships/worksheet" Target="/xl/worksheets/sheet9.xml" Id="R692fcb97442f4eda" /><Relationship Type="http://schemas.openxmlformats.org/officeDocument/2006/relationships/worksheet" Target="/xl/worksheets/sheet10.xml" Id="R6ab915e212d24c7a" /><Relationship Type="http://schemas.openxmlformats.org/officeDocument/2006/relationships/worksheet" Target="/xl/worksheets/sheet11.xml" Id="Rdd86938fb0e64017" /></Relationships>
</file>

<file path=xl/tables/table1.xml><?xml version="1.0" encoding="utf-8"?>
<x:table xmlns:x="http://schemas.openxmlformats.org/spreadsheetml/2006/main" id="1" name="AuditoriaTable" displayName="AuditoriaTable" ref="A1:D14" headerRowCount="1" totalsRowCount="0" totalsRowShown="0">
  <x:tableColumns count="4">
    <x:tableColumn id="1" name="AUDITORIA DA BASE"/>
    <x:tableColumn id="2" name="Resultado"/>
    <x:tableColumn id="3" name="Quantidade"/>
    <x:tableColumn id="4" name="Ação / evidê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ntesTable" displayName="FontesTable" ref="A1:H5" headerRowCount="1" totalsRowCount="0" totalsRowShown="0">
  <x:tableColumns count="8">
    <x:tableColumn id="1" name="Marca"/>
    <x:tableColumn id="2" name="Arquivo"/>
    <x:tableColumn id="3" name="Vigência início"/>
    <x:tableColumn id="4" name="Vigência fim"/>
    <x:tableColumn id="5" name="Status em 06/10/2026"/>
    <x:tableColumn id="6" name="Páginas"/>
    <x:tableColumn id="7" name="Uso no orçamento/web"/>
    <x:tableColumn id="8" name="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alogoAuditadoTable" displayName="CatalogoAuditadoTable" ref="A1:AA3254" headerRowCount="1" totalsRowCount="0" totalsRowShown="0">
  <x:tableColumns count="27">
    <x:tableColumn id="1" name="SKU_ID"/>
    <x:tableColumn id="2" name="Publicar_Web"/>
    <x:tableColumn id="3" name="Status_Disponibilidade"/>
    <x:tableColumn id="4" name="Marca"/>
    <x:tableColumn id="5" name="Categoria"/>
    <x:tableColumn id="6" name="Tipo_Lente"/>
    <x:tableColumn id="7" name="Produto"/>
    <x:tableColumn id="8" name="Opcao"/>
    <x:tableColumn id="9" name="Material"/>
    <x:tableColumn id="10" name="Indice"/>
    <x:tableColumn id="11" name="Tratamento"/>
    <x:tableColumn id="12" name="Preco_Par_R$"/>
    <x:tableColumn id="13" name="Esferico"/>
    <x:tableColumn id="14" name="Cilindro"/>
    <x:tableColumn id="15" name="Adicao"/>
    <x:tableColumn id="16" name="Diametro"/>
    <x:tableColumn id="17" name="Altura_Min"/>
    <x:tableColumn id="18" name="Curva"/>
    <x:tableColumn id="19" name="Valido_Desde"/>
    <x:tableColumn id="20" name="Valido_Ate"/>
    <x:tableColumn id="21" name="Status_Fonte"/>
    <x:tableColumn id="22" name="Restricao_Comercial"/>
    <x:tableColumn id="23" name="Pagina_Fonte"/>
    <x:tableColumn id="24" name="Arquivo_Fonte"/>
    <x:tableColumn id="25" name="Confianca"/>
    <x:tableColumn id="26" name="Observacao_Fonte"/>
    <x:tableColumn id="27" name="Chave_Configuraca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portWebAuditadoTable" displayName="ExportWebAuditadoTable" ref="A1:U3219" headerRowCount="1" totalsRowCount="0" totalsRowShown="0">
  <x:tableColumns count="21">
    <x:tableColumn id="1" name="SKU_ID"/>
    <x:tableColumn id="2" name="Marca"/>
    <x:tableColumn id="3" name="Categoria"/>
    <x:tableColumn id="4" name="Tipo_Lente"/>
    <x:tableColumn id="5" name="Produto"/>
    <x:tableColumn id="6" name="Opcao"/>
    <x:tableColumn id="7" name="Material"/>
    <x:tableColumn id="8" name="Indice"/>
    <x:tableColumn id="9" name="Tratamento"/>
    <x:tableColumn id="10" name="Preco_Par_R$"/>
    <x:tableColumn id="11" name="Esferico"/>
    <x:tableColumn id="12" name="Cilindro"/>
    <x:tableColumn id="13" name="Adicao"/>
    <x:tableColumn id="14" name="Diametro"/>
    <x:tableColumn id="15" name="Altura_Min"/>
    <x:tableColumn id="16" name="Curva"/>
    <x:tableColumn id="17" name="Status_Disponibilidade"/>
    <x:tableColumn id="18" name="Restricao_Comercial"/>
    <x:tableColumn id="19" name="Pagina_Fonte"/>
    <x:tableColumn id="20" name="Arquivo_Fonte"/>
    <x:tableColumn id="21" name="Chave_Configuraca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tusProdutosTable" displayName="StatusProdutosTable" ref="A1:N49" headerRowCount="1" totalsRowCount="0" totalsRowShown="0">
  <x:tableColumns count="14">
    <x:tableColumn id="1" name="SKU_ID"/>
    <x:tableColumn id="2" name="Publicar_Web"/>
    <x:tableColumn id="3" name="Status_Disponibilidade"/>
    <x:tableColumn id="4" name="Marca"/>
    <x:tableColumn id="5" name="Categoria"/>
    <x:tableColumn id="6" name="Tipo_Lente"/>
    <x:tableColumn id="7" name="Produto"/>
    <x:tableColumn id="8" name="Opcao"/>
    <x:tableColumn id="9" name="Material"/>
    <x:tableColumn id="10" name="Indice"/>
    <x:tableColumn id="11" name="Tratamento"/>
    <x:tableColumn id="12" name="Preco_Par_R$"/>
    <x:tableColumn id="13" name="Pagina_Fonte"/>
    <x:tableColumn id="14" name="Observacao_Fon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ervicosRodenstockTable" displayName="ServicosRodenstockTable" ref="A1:G27" headerRowCount="1" totalsRowCount="0" totalsRowShown="0">
  <x:tableColumns count="7">
    <x:tableColumn id="1" name="Grupo"/>
    <x:tableColumn id="2" name="Servico"/>
    <x:tableColumn id="3" name="Tipo_Preco"/>
    <x:tableColumn id="4" name="Preco_R$"/>
    <x:tableColumn id="5" name="Uso_no_Orcamento"/>
    <x:tableColumn id="6" name="Pagina_Fonte"/>
    <x:tableColumn id="7" name="Observaca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ssilorHistoricoTable" displayName="EssilorHistoricoTable" ref="A3:J1183" headerRowCount="1" totalsRowCount="0" totalsRowShown="0">
  <x:tableColumns count="10">
    <x:tableColumn id="1" name="ESSILOR — HISTÓRICO / NÃO USAR EM ORÇAMENTO DE PRODUÇÃO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endenciasTable" displayName="PendenciasTable" ref="A1:E4" headerRowCount="1" totalsRowCount="0" totalsRowShown="0">
  <x:tableColumns count="5">
    <x:tableColumn id="1" name="Prioridade"/>
    <x:tableColumn id="2" name="Tema"/>
    <x:tableColumn id="3" name="Situação"/>
    <x:tableColumn id="4" name="Impacto no site"/>
    <x:tableColumn id="5" name="Próxima 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0a6ae949a34c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3a494c64a140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b64e00eda243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1c98fde15541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20485c4c04ce42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23a58d6403c4493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a0bd890ddaf54f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9c964b07cb34c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5" t="str">
        <x:v>BASE MESTRA DE PRECIFICAÇÃO DE LENTES — AUDITADA</x:v>
      </x:c>
      <x:c r="B1" s="5"/>
      <x:c r="C1" s="5"/>
      <x:c r="D1" s="5"/>
      <x:c r="E1" s="5"/>
      <x:c r="F1" s="5"/>
      <x:c r="G1" s="5"/>
      <x:c r="H1" s="5"/>
    </x:row>
    <x:row r="3">
      <x:c r="A3" s="24" t="str">
        <x:v>Auditada em</x:v>
      </x:c>
      <x:c r="B3" s="26" t="n">
        <x:v>46301</x:v>
      </x:c>
      <x:c r="C3" s="24" t="str">
        <x:v>Versão</x:v>
      </x:c>
      <x:c r="D3" s="24" t="str">
        <x:v>2.0</x:v>
      </x:c>
      <x:c r="E3" s="24"/>
      <x:c r="F3" s="24"/>
      <x:c r="G3" s="24"/>
      <x:c r="H3" s="24"/>
    </x:row>
    <x:row r="4">
      <x:c r="A4" s="24" t="str">
        <x:v>Objetivo</x:v>
      </x:c>
      <x:c r="B4" s="24" t="str">
        <x:v>Base única para orçamento e importação no site; SKU_ID é a chave primária.</x:v>
      </x:c>
      <x:c r="C4" s="24"/>
      <x:c r="D4" s="24"/>
      <x:c r="E4" s="24"/>
      <x:c r="F4" s="24"/>
      <x:c r="G4" s="24"/>
      <x:c r="H4" s="24"/>
    </x:row>
    <x:row r="5">
      <x:c r="A5" s="24" t="str">
        <x:v>Unidade de preço</x:v>
      </x:c>
      <x:c r="B5" s="24" t="str">
        <x:v>R$ por par de lentes, conforme preço sugerido ao consumidor dos PDFs-fonte.</x:v>
      </x:c>
      <x:c r="C5" s="24"/>
      <x:c r="D5" s="24"/>
      <x:c r="E5" s="24"/>
      <x:c r="F5" s="24"/>
      <x:c r="G5" s="24"/>
      <x:c r="H5" s="24"/>
    </x:row>
    <x:row r="6">
      <x:c r="A6" s="24" t="str">
        <x:v>Catálogo normalizado</x:v>
      </x:c>
      <x:c r="B6" s="24" t="n">
        <x:v>3253</x:v>
      </x:c>
      <x:c r="C6" s="24" t="str">
        <x:v>Liberadas para web</x:v>
      </x:c>
      <x:c r="D6" s="24" t="n">
        <x:v>3218</x:v>
      </x:c>
      <x:c r="E6" s="24" t="str">
        <x:v>EM BREVE</x:v>
      </x:c>
      <x:c r="F6" s="24" t="n">
        <x:v>35</x:v>
      </x:c>
      <x:c r="G6" s="24" t="str">
        <x:v>Estoque limitado</x:v>
      </x:c>
      <x:c r="H6" s="24" t="n">
        <x:v>13</x:v>
      </x:c>
    </x:row>
    <x:row r="7">
      <x:c r="A7" s="24" t="str">
        <x:v>HOYA</x:v>
      </x:c>
      <x:c r="B7" s="24" t="n">
        <x:v>425</x:v>
      </x:c>
      <x:c r="C7" s="24" t="str">
        <x:v>Rodenstock</x:v>
      </x:c>
      <x:c r="D7" s="24" t="n">
        <x:v>956</x:v>
      </x:c>
      <x:c r="E7" s="24" t="str">
        <x:v>ZEISS</x:v>
      </x:c>
      <x:c r="F7" s="24" t="n">
        <x:v>1872</x:v>
      </x:c>
      <x:c r="G7" s="24" t="str">
        <x:v>Essilor histórica</x:v>
      </x:c>
      <x:c r="H7" s="24" t="n">
        <x:v>1178</x:v>
      </x:c>
    </x:row>
    <x:row r="9">
      <x:c r="A9" s="14" t="str">
        <x:v>O QUE FOI CORRIGIDO NESTA AUDITORIA</x:v>
      </x:c>
      <x:c r="B9" s="14"/>
      <x:c r="C9" s="14"/>
      <x:c r="D9" s="14"/>
      <x:c r="E9" s="14"/>
      <x:c r="F9" s="14"/>
      <x:c r="G9" s="14"/>
      <x:c r="H9" s="14"/>
    </x:row>
    <x:row r="10">
      <x:c r="A10" s="21" t="str">
        <x:v>1</x:v>
      </x:c>
      <x:c r="B10" s="24" t="str">
        <x:v>A coluna de publicação agora usa somente SIM/NÃO. Os 35 itens HOYA marcados “EM BREVE” no PDF ficaram com Publicar_Web = NÃO.</x:v>
      </x:c>
    </x:row>
    <x:row r="11">
      <x:c r="A11" s="21" t="str">
        <x:v>2</x:v>
      </x:c>
      <x:c r="B11" s="24" t="str">
        <x:v>Os 13 itens Sensity Original foram marcados como ESTOQUE LIMITADO, porque a própria HOYA informa “enquanto durarem os estoques”.</x:v>
      </x:c>
    </x:row>
    <x:row r="12">
      <x:c r="A12" s="21" t="str">
        <x:v>3</x:v>
      </x:c>
      <x:c r="B12" s="24" t="str">
        <x:v>Rodenstock: linhas “+PRO410”, “+ColorMatic” e “+Polarizada” foram ligadas ao índice-base correto; isso eliminou ambiguidades e chaves duplicadas.</x:v>
      </x:c>
    </x:row>
    <x:row r="13">
      <x:c r="A13" s="21" t="str">
        <x:v>4</x:v>
      </x:c>
      <x:c r="B13" s="24" t="str">
        <x:v>ZEISS: “1.741” foi corrigido para 1.74 (o “1” é nota de rodapé). Blocos duplicados/sem rótulo nas páginas 14, 40, 44, 46, 49, 52 e 53 foram reconstruídos.</x:v>
      </x:c>
    </x:row>
    <x:row r="14">
      <x:c r="A14" s="21" t="str">
        <x:v>5</x:v>
      </x:c>
      <x:c r="B14" s="24" t="str">
        <x:v>O campo Restricao_Comercial registra produtos ZEISS condicionados ao Programa de Parcerias/Experts conforme o catálogo.</x:v>
      </x:c>
    </x:row>
    <x:row r="15">
      <x:c r="A15" s="21" t="str">
        <x:v>6</x:v>
      </x:c>
      <x:c r="B15" s="24" t="str">
        <x:v>Essilor/Varilux/Crizal/Transitions permanece fora do export web porque o PDF recebido expirou em 31/07/2026. Nenhum preço vencido foi ativado.</x:v>
      </x:c>
    </x:row>
    <x:row r="16">
      <x:c r="A16" s="21" t="str">
        <x:v>7</x:v>
      </x:c>
      <x:c r="B16" s="24" t="str">
        <x:v>EXPORT_WEB é a aba recomendada para o site. CATALOGO preserva também itens indisponíveis/alertas e rastreabilidade completa.</x:v>
      </x:c>
    </x:row>
    <x:row r="18">
      <x:c r="A18" s="14" t="str">
        <x:v>LEITURA RÁPIDA DAS ABAS</x:v>
      </x:c>
      <x:c r="B18" s="14"/>
      <x:c r="C18" s="14"/>
      <x:c r="D18" s="14"/>
      <x:c r="E18" s="14"/>
      <x:c r="F18" s="14"/>
      <x:c r="G18" s="14"/>
      <x:c r="H18" s="14"/>
    </x:row>
    <x:row r="19">
      <x:c r="A19" t="str">
        <x:v>AUDITORIA</x:v>
      </x:c>
      <x:c r="B19" t="str">
        <x:v>checks objetivos e correções executadas</x:v>
      </x:c>
    </x:row>
    <x:row r="20">
      <x:c r="A20" t="str">
        <x:v>FONTES</x:v>
      </x:c>
      <x:c r="B20" t="str">
        <x:v>vigência/status dos PDFs</x:v>
      </x:c>
    </x:row>
    <x:row r="21">
      <x:c r="A21" t="str">
        <x:v>CATALOGO</x:v>
      </x:c>
      <x:c r="B21" t="str">
        <x:v>base completa e auditada</x:v>
      </x:c>
    </x:row>
    <x:row r="22">
      <x:c r="A22" t="str">
        <x:v>EXPORT_WEB</x:v>
      </x:c>
      <x:c r="B22" t="str">
        <x:v>somente linhas publicáveis</x:v>
      </x:c>
    </x:row>
    <x:row r="23">
      <x:c r="A23" t="str">
        <x:v>LISTAS</x:v>
      </x:c>
      <x:c r="B23" t="str">
        <x:v>listas auxiliares/dropdowns</x:v>
      </x:c>
    </x:row>
    <x:row r="24">
      <x:c r="A24" t="str">
        <x:v>ORCAMENTO</x:v>
      </x:c>
      <x:c r="B24" t="str">
        <x:v>simulador interno por SKU</x:v>
      </x:c>
    </x:row>
    <x:row r="25">
      <x:c r="A25" t="str">
        <x:v>STATUS_PRODUTOS</x:v>
      </x:c>
      <x:c r="B25" t="str">
        <x:v>EM BREVE e estoque limitado</x:v>
      </x:c>
    </x:row>
    <x:row r="26">
      <x:c r="A26" t="str">
        <x:v>SERVICOS_ROD</x:v>
      </x:c>
      <x:c r="B26" t="str">
        <x:v>serviços/adicionais da Rodenstock, separados por tipo de preço</x:v>
      </x:c>
    </x:row>
    <x:row r="27">
      <x:c r="A27" t="str">
        <x:v>ESSILOR_HIST</x:v>
      </x:c>
      <x:c r="B27" t="str">
        <x:v>fonte Essilor vencida, só histórico</x:v>
      </x:c>
    </x:row>
    <x:row r="28">
      <x:c r="A28" t="str">
        <x:v>PENDENCIAS</x:v>
      </x:c>
      <x:c r="B28" t="str">
        <x:v>o que depende de nova fonte/configuração</x:v>
      </x:c>
    </x:row>
  </x:sheetData>
  <x:mergeCells>
    <x:mergeCell ref="A1:H1"/>
    <x:mergeCell ref="A9:H9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14" hidden="0" customWidth="1"/>
    <x:col min="4" max="4" width="72" hidden="0" customWidth="1"/>
  </x:cols>
  <x:sheetData>
    <x:row r="1" ht="30" customHeight="1">
      <x:c r="A1" s="31" t="str">
        <x:v>AUDITORIA DA BASE</x:v>
      </x:c>
      <x:c r="B1" s="31" t="str">
        <x:v>Resultado</x:v>
      </x:c>
      <x:c r="C1" s="31" t="str">
        <x:v>Quantidade</x:v>
      </x:c>
      <x:c r="D1" s="31" t="str">
        <x:v>Ação / evidência</x:v>
      </x:c>
    </x:row>
    <x:row r="2">
      <x:c r="A2" s="24" t="str">
        <x:v>Preços ausentes</x:v>
      </x:c>
      <x:c r="B2" s="24" t="str">
        <x:v>OK</x:v>
      </x:c>
      <x:c r="C2" s="24" t="n">
        <x:v>0</x:v>
      </x:c>
      <x:c r="D2" s="24" t="str">
        <x:v>Nenhum preço vazio no catálogo normalizado.</x:v>
      </x:c>
    </x:row>
    <x:row r="3">
      <x:c r="A3" s="24" t="str">
        <x:v>Preços não positivos</x:v>
      </x:c>
      <x:c r="B3" s="24" t="str">
        <x:v>OK</x:v>
      </x:c>
      <x:c r="C3" s="24" t="n">
        <x:v>0</x:v>
      </x:c>
      <x:c r="D3" s="24" t="str">
        <x:v>Nenhum preço zero/negativo.</x:v>
      </x:c>
    </x:row>
    <x:row r="4">
      <x:c r="A4" s="24" t="str">
        <x:v>SKU_ID duplicado</x:v>
      </x:c>
      <x:c r="B4" s="24" t="str">
        <x:v>OK</x:v>
      </x:c>
      <x:c r="C4" s="24" t="n">
        <x:v>0</x:v>
      </x:c>
      <x:c r="D4" s="24" t="str">
        <x:v>SKU_ID é a chave primária do dataset.</x:v>
      </x:c>
    </x:row>
    <x:row r="5">
      <x:c r="A5" s="24" t="str">
        <x:v>Chave_Configuracao duplicada</x:v>
      </x:c>
      <x:c r="B5" s="24" t="str">
        <x:v>OK</x:v>
      </x:c>
      <x:c r="C5" s="24" t="n">
        <x:v>0</x:v>
      </x:c>
      <x:c r="D5" s="24" t="str">
        <x:v>Zero duplicatas após normalização de opções/materiais.</x:v>
      </x:c>
    </x:row>
    <x:row r="6">
      <x:c r="A6" s="24" t="str">
        <x:v>HOYA — itens “EM BREVE”</x:v>
      </x:c>
      <x:c r="B6" s="24" t="str">
        <x:v>RESOLVIDO</x:v>
      </x:c>
      <x:c r="C6" s="24" t="n">
        <x:v>35</x:v>
      </x:c>
      <x:c r="D6" s="24" t="str">
        <x:v>Confirmados no PDF; agora Publicar_Web = NÃO, sem estado “REVISAR”.</x:v>
      </x:c>
    </x:row>
    <x:row r="7">
      <x:c r="A7" s="24" t="str">
        <x:v>HOYA — Sensity Original</x:v>
      </x:c>
      <x:c r="B7" s="24" t="str">
        <x:v>AVISO</x:v>
      </x:c>
      <x:c r="C7" s="24" t="n">
        <x:v>13</x:v>
      </x:c>
      <x:c r="D7" s="24" t="str">
        <x:v>Marcados como estoque limitado; continuam no export web.</x:v>
      </x:c>
    </x:row>
    <x:row r="8">
      <x:c r="A8" s="24" t="str">
        <x:v>ZEISS — índice 1.74¹</x:v>
      </x:c>
      <x:c r="B8" s="24" t="str">
        <x:v>CORRIGIDO</x:v>
      </x:c>
      <x:c r="C8" s="24" t="n">
        <x:v>87</x:v>
      </x:c>
      <x:c r="D8" s="24" t="str">
        <x:v>O “1” era nota de rodapé, não parte do índice. Normalizado para 1.74.</x:v>
      </x:c>
    </x:row>
    <x:row r="9">
      <x:c r="A9" s="24" t="str">
        <x:v>ZEISS — blocos/variações</x:v>
      </x:c>
      <x:c r="B9" s="24" t="str">
        <x:v>CORRIGIDO</x:v>
      </x:c>
      <x:c r="C9" s="24" t="n">
        <x:v>233</x:v>
      </x:c>
      <x:c r="D9" s="24" t="str">
        <x:v>Rótulos reconstruídos nas páginas 14, 40, 44, 46, 49, 52 e 53.</x:v>
      </x:c>
    </x:row>
    <x:row r="10">
      <x:c r="A10" s="24" t="str">
        <x:v>Rodenstock — modificadores</x:v>
      </x:c>
      <x:c r="B10" s="24" t="str">
        <x:v>CORRIGIDO</x:v>
      </x:c>
      <x:c r="C10" s="24" t="n">
        <x:v>303</x:v>
      </x:c>
      <x:c r="D10" s="24" t="str">
        <x:v>PRO410 / ColorMatic / Polarizada herdam o índice-base da linha anterior.</x:v>
      </x:c>
    </x:row>
    <x:row r="11">
      <x:c r="A11" s="24" t="str">
        <x:v>Restrições comerciais ZEISS</x:v>
      </x:c>
      <x:c r="B11" s="24" t="str">
        <x:v>MAPEADO</x:v>
      </x:c>
      <x:c r="C11" s="24" t="n">
        <x:v>1236</x:v>
      </x:c>
      <x:c r="D11" s="24" t="str">
        <x:v>Campo Restricao_Comercial incluído no catálogo e export web.</x:v>
      </x:c>
    </x:row>
    <x:row r="12">
      <x:c r="A12" s="24" t="str">
        <x:v>Essilor 2026.1</x:v>
      </x:c>
      <x:c r="B12" s="24" t="str">
        <x:v>PENDENTE</x:v>
      </x:c>
      <x:c r="C12" s="24" t="n">
        <x:v>1178</x:v>
      </x:c>
      <x:c r="D12" s="24" t="str">
        <x:v>Fonte recebida expirou em 31/07/2026; mantida somente como histórico.</x:v>
      </x:c>
    </x:row>
    <x:row r="13">
      <x:c r="A13" s="24" t="str">
        <x:v>Linhas do catálogo</x:v>
      </x:c>
      <x:c r="B13" s="24" t="str">
        <x:v>OK</x:v>
      </x:c>
      <x:c r="C13" s="24" t="n">
        <x:v>3253</x:v>
      </x:c>
      <x:c r="D13" s="24" t="str">
        <x:v>HOYA + Rodenstock + ZEISS.</x:v>
      </x:c>
    </x:row>
    <x:row r="14">
      <x:c r="A14" s="24" t="str">
        <x:v>Linhas liberadas para web</x:v>
      </x:c>
      <x:c r="B14" s="24" t="str">
        <x:v>OK</x:v>
      </x:c>
      <x:c r="C14" s="24" t="n">
        <x:v>3218</x:v>
      </x:c>
      <x:c r="D14" s="24" t="str">
        <x:v>Exclui somente itens explicitamente EM BREVE.</x:v>
      </x:c>
    </x:row>
  </x:sheetData>
  <x:conditionalFormatting sqref="B2:B14">
    <x:cfRule type="expression" dxfId="0" priority="1">
      <x:formula>OR(B2="OK",B2="RESOLVIDO",B2="CORRIGIDO",B2="MAPEADO")</x:formula>
    </x:cfRule>
    <x:cfRule type="expression" dxfId="1" priority="2">
      <x:formula>B2="PENDENTE"</x:formula>
    </x:cfRule>
    <x:cfRule type="expression" dxfId="2" priority="3">
      <x:formula>B2="AVISO"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0a6ae949a34c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8" hidden="0" customWidth="1"/>
    <x:col min="3" max="3" width="16" hidden="0" customWidth="1"/>
    <x:col min="4" max="4" width="16" hidden="0" customWidth="1"/>
    <x:col min="5" max="5" width="26" hidden="0" customWidth="1"/>
    <x:col min="6" max="6" width="10" hidden="0" customWidth="1"/>
    <x:col min="7" max="7" width="20" hidden="0" customWidth="1"/>
    <x:col min="8" max="8" width="58" hidden="0" customWidth="1"/>
  </x:cols>
  <x:sheetData>
    <x:row r="1" ht="30" customHeight="1">
      <x:c r="A1" s="31" t="str">
        <x:v>Marca</x:v>
      </x:c>
      <x:c r="B1" s="31" t="str">
        <x:v>Arquivo</x:v>
      </x:c>
      <x:c r="C1" s="31" t="str">
        <x:v>Vigência início</x:v>
      </x:c>
      <x:c r="D1" s="31" t="str">
        <x:v>Vigência fim</x:v>
      </x:c>
      <x:c r="E1" s="31" t="str">
        <x:v>Status em 06/10/2026</x:v>
      </x:c>
      <x:c r="F1" s="31" t="str">
        <x:v>Páginas</x:v>
      </x:c>
      <x:c r="G1" s="31" t="str">
        <x:v>Uso no orçamento/web</x:v>
      </x:c>
      <x:c r="H1" s="31" t="str">
        <x:v>Observações</x:v>
      </x:c>
    </x:row>
    <x:row r="2">
      <x:c r="A2" s="24" t="str">
        <x:v>HOYA</x:v>
      </x:c>
      <x:c r="B2" s="24" t="str">
        <x:v>tabela_hoya(1).pdf</x:v>
      </x:c>
      <x:c r="C2" s="26" t="n">
        <x:v>45992</x:v>
      </x:c>
      <x:c r="D2" s="26"/>
      <x:c r="E2" s="24" t="str">
        <x:v>VIGÊNCIA ABERTA NO PDF</x:v>
      </x:c>
      <x:c r="F2" s="24" t="n">
        <x:v>46</x:v>
      </x:c>
      <x:c r="G2" s="24" t="str">
        <x:v>SIM</x:v>
      </x:c>
      <x:c r="H2" s="24" t="str">
        <x:v>“Preços válidos a partir de Dezembro de 2025”.</x:v>
      </x:c>
    </x:row>
    <x:row r="3">
      <x:c r="A3" s="24" t="str">
        <x:v>Rodenstock</x:v>
      </x:c>
      <x:c r="B3" s="24" t="str">
        <x:v>tabela_rodenstock.pdf</x:v>
      </x:c>
      <x:c r="C3" s="26" t="n">
        <x:v>46024</x:v>
      </x:c>
      <x:c r="D3" s="26"/>
      <x:c r="E3" s="24" t="str">
        <x:v>VIGÊNCIA ABERTA NO PDF</x:v>
      </x:c>
      <x:c r="F3" s="24" t="n">
        <x:v>41</x:v>
      </x:c>
      <x:c r="G3" s="24" t="str">
        <x:v>SIM</x:v>
      </x:c>
      <x:c r="H3" s="24" t="str">
        <x:v>Lista de preços sugeridos vigente a partir de 02/01/2026.</x:v>
      </x:c>
    </x:row>
    <x:row r="4">
      <x:c r="A4" s="24" t="str">
        <x:v>ZEISS</x:v>
      </x:c>
      <x:c r="B4" s="24" t="str">
        <x:v>tabela_zeiss.pdf</x:v>
      </x:c>
      <x:c r="C4" s="26" t="n">
        <x:v>46113</x:v>
      </x:c>
      <x:c r="D4" s="26"/>
      <x:c r="E4" s="24" t="str">
        <x:v>VIGÊNCIA ABERTA NO PDF</x:v>
      </x:c>
      <x:c r="F4" s="24" t="n">
        <x:v>64</x:v>
      </x:c>
      <x:c r="G4" s="24" t="str">
        <x:v>SIM</x:v>
      </x:c>
      <x:c r="H4" s="24" t="str">
        <x:v>Catálogo Consumidor, edição V1_042026.</x:v>
      </x:c>
    </x:row>
    <x:row r="5">
      <x:c r="A5" s="24" t="str">
        <x:v>Essilor / Varilux / Crizal / Transitions</x:v>
      </x:c>
      <x:c r="B5" s="24" t="str">
        <x:v>tabela_essilor.pdf</x:v>
      </x:c>
      <x:c r="C5" s="26" t="n">
        <x:v>46118</x:v>
      </x:c>
      <x:c r="D5" s="26" t="n">
        <x:v>46234</x:v>
      </x:c>
      <x:c r="E5" s="24" t="str">
        <x:v>EXPIRADA</x:v>
      </x:c>
      <x:c r="F5" s="24" t="n">
        <x:v>16</x:v>
      </x:c>
      <x:c r="G5" s="24" t="str">
        <x:v>NÃO</x:v>
      </x:c>
      <x:c r="H5" s="24" t="str">
        <x:v>Tabela promocional 2026.1; preservada apenas como histórico.</x:v>
      </x:c>
    </x:row>
  </x:sheetData>
  <x:pageMargins left="0.7" right="0.7" top="0.75" bottom="0.75" header="0.3" footer="0.3"/>
  <x:tableParts count="1">
    <x:tablePart xmlns:r="http://schemas.openxmlformats.org/officeDocument/2006/relationships" r:id="R573a494c64a1402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21" hidden="0" customWidth="1"/>
    <x:col min="4" max="4" width="15" hidden="0" customWidth="1"/>
    <x:col min="5" max="5" width="24" hidden="0" customWidth="1"/>
    <x:col min="6" max="6" width="16" hidden="0" customWidth="1"/>
    <x:col min="7" max="7" width="36" hidden="0" customWidth="1"/>
    <x:col min="8" max="8" width="28" hidden="0" customWidth="1"/>
    <x:col min="9" max="9" width="24" hidden="0" customWidth="1"/>
    <x:col min="10" max="10" width="10" hidden="0" customWidth="1"/>
    <x:col min="11" max="11" width="34" hidden="0" customWidth="1"/>
    <x:col min="12" max="12" width="15" hidden="0" customWidth="1"/>
    <x:col min="13" max="13" width="22" hidden="0" customWidth="1"/>
    <x:col min="14" max="14" width="16" hidden="0" customWidth="1"/>
    <x:col min="15" max="15" width="17" hidden="0" customWidth="1"/>
    <x:col min="16" max="16" width="16" hidden="0" customWidth="1"/>
    <x:col min="17" max="17" width="14" hidden="0" customWidth="1"/>
    <x:col min="18" max="18" width="12" hidden="0" customWidth="1"/>
    <x:col min="19" max="19" width="15" hidden="0" customWidth="1"/>
    <x:col min="20" max="20" width="15" hidden="0" customWidth="1"/>
    <x:col min="21" max="21" width="24" hidden="0" customWidth="1"/>
    <x:col min="22" max="22" width="38" hidden="0" customWidth="1"/>
    <x:col min="23" max="23" width="12" hidden="0" customWidth="1"/>
    <x:col min="24" max="24" width="26" hidden="0" customWidth="1"/>
    <x:col min="25" max="25" width="12" hidden="0" customWidth="1"/>
    <x:col min="26" max="26" width="48" hidden="0" customWidth="1"/>
    <x:col min="27" max="27" width="75" hidden="0" customWidth="1"/>
  </x:cols>
  <x:sheetData>
    <x:row r="1" ht="30" customHeight="1">
      <x:c r="A1" s="31" t="str">
        <x:v>SKU_ID</x:v>
      </x:c>
      <x:c r="B1" s="31" t="str">
        <x:v>Publicar_Web</x:v>
      </x:c>
      <x:c r="C1" s="31" t="str">
        <x:v>Status_Disponibilidade</x:v>
      </x:c>
      <x:c r="D1" s="31" t="str">
        <x:v>Marca</x:v>
      </x:c>
      <x:c r="E1" s="31" t="str">
        <x:v>Categoria</x:v>
      </x:c>
      <x:c r="F1" s="31" t="str">
        <x:v>Tipo_Lente</x:v>
      </x:c>
      <x:c r="G1" s="31" t="str">
        <x:v>Produto</x:v>
      </x:c>
      <x:c r="H1" s="31" t="str">
        <x:v>Opcao</x:v>
      </x:c>
      <x:c r="I1" s="31" t="str">
        <x:v>Material</x:v>
      </x:c>
      <x:c r="J1" s="31" t="str">
        <x:v>Indice</x:v>
      </x:c>
      <x:c r="K1" s="31" t="str">
        <x:v>Tratamento</x:v>
      </x:c>
      <x:c r="L1" s="31" t="str">
        <x:v>Preco_Par_R$</x:v>
      </x:c>
      <x:c r="M1" s="31" t="str">
        <x:v>Esferico</x:v>
      </x:c>
      <x:c r="N1" s="31" t="str">
        <x:v>Cilindro</x:v>
      </x:c>
      <x:c r="O1" s="31" t="str">
        <x:v>Adicao</x:v>
      </x:c>
      <x:c r="P1" s="31" t="str">
        <x:v>Diametro</x:v>
      </x:c>
      <x:c r="Q1" s="31" t="str">
        <x:v>Altura_Min</x:v>
      </x:c>
      <x:c r="R1" s="31" t="str">
        <x:v>Curva</x:v>
      </x:c>
      <x:c r="S1" s="31" t="str">
        <x:v>Valido_Desde</x:v>
      </x:c>
      <x:c r="T1" s="31" t="str">
        <x:v>Valido_Ate</x:v>
      </x:c>
      <x:c r="U1" s="31" t="str">
        <x:v>Status_Fonte</x:v>
      </x:c>
      <x:c r="V1" s="31" t="str">
        <x:v>Restricao_Comercial</x:v>
      </x:c>
      <x:c r="W1" s="31" t="str">
        <x:v>Pagina_Fonte</x:v>
      </x:c>
      <x:c r="X1" s="31" t="str">
        <x:v>Arquivo_Fonte</x:v>
      </x:c>
      <x:c r="Y1" s="31" t="str">
        <x:v>Confianca</x:v>
      </x:c>
      <x:c r="Z1" s="31" t="str">
        <x:v>Observacao_Fonte</x:v>
      </x:c>
      <x:c r="AA1" s="31" t="str">
        <x:v>Chave_Configuracao</x:v>
      </x:c>
    </x:row>
    <x:row r="2">
      <x:c r="A2" s="24" t="str">
        <x:v>HY-3AE6539B67D4</x:v>
      </x:c>
      <x:c r="B2" s="24" t="str">
        <x:v>SIM</x:v>
      </x:c>
      <x:c r="C2" s="24" t="str">
        <x:v>DISPONÍVEL</x:v>
      </x:c>
      <x:c r="D2" s="24" t="str">
        <x:v>HOYA</x:v>
      </x:c>
      <x:c r="E2" s="24" t="str">
        <x:v>Visão Simples</x:v>
      </x:c>
      <x:c r="F2" s="24" t="str">
        <x:v>Surfaçada</x:v>
      </x:c>
      <x:c r="G2" s="24" t="str">
        <x:v>Nulux iDentity V+</x:v>
      </x:c>
      <x:c r="H2" s="24" t="str">
        <x:v>INCOLOR</x:v>
      </x:c>
      <x:c r="I2" s="24" t="str">
        <x:v>EYVIA</x:v>
      </x:c>
      <x:c r="J2" s="24" t="str">
        <x:v>1.74</x:v>
      </x:c>
      <x:c r="K2" s="24" t="str">
        <x:v>Hi-Vision Meiryo</x:v>
      </x:c>
      <x:c r="L2" s="40" t="n">
        <x:v>4549</x:v>
      </x:c>
      <x:c r="M2" s="24" t="str">
        <x:v>-20.00 até +12.00</x:v>
      </x:c>
      <x:c r="N2" s="24"/>
      <x:c r="O2" s="24"/>
      <x:c r="P2" s="24"/>
      <x:c r="Q2" s="24"/>
      <x:c r="R2" s="24"/>
      <x:c r="S2" s="26" t="n">
        <x:v>45992</x:v>
      </x:c>
      <x:c r="T2" s="26"/>
      <x:c r="U2" s="24" t="str">
        <x:v>ATIVA/SEM FIM INFORMADO</x:v>
      </x:c>
      <x:c r="V2" s="24"/>
      <x:c r="W2" s="24" t="n">
        <x:v>12</x:v>
      </x:c>
      <x:c r="X2" s="24" t="str">
        <x:v>tabela_hoya(1).pdf</x:v>
      </x:c>
      <x:c r="Y2" s="24" t="str">
        <x:v>alta</x:v>
      </x:c>
      <x:c r="Z2" s="24"/>
      <x:c r="AA2" s="24" t="str">
        <x:v>HOYA|Visão Simples|Surfaçada|Nulux iDentity V+|INCOLOR|EYVIA|1.74|Hi-Vision Meiryo|-20.00 até +12.00||||||12</x:v>
      </x:c>
    </x:row>
    <x:row r="3">
      <x:c r="A3" s="24" t="str">
        <x:v>HY-5E6600382789</x:v>
      </x:c>
      <x:c r="B3" s="24" t="str">
        <x:v>SIM</x:v>
      </x:c>
      <x:c r="C3" s="24" t="str">
        <x:v>DISPONÍVEL</x:v>
      </x:c>
      <x:c r="D3" s="24" t="str">
        <x:v>HOYA</x:v>
      </x:c>
      <x:c r="E3" s="24" t="str">
        <x:v>Visão Simples</x:v>
      </x:c>
      <x:c r="F3" s="24" t="str">
        <x:v>Surfaçada</x:v>
      </x:c>
      <x:c r="G3" s="24" t="str">
        <x:v>Nulux iDentity V+</x:v>
      </x:c>
      <x:c r="H3" s="24" t="str">
        <x:v>INCOLOR</x:v>
      </x:c>
      <x:c r="I3" s="24" t="str">
        <x:v>EYNOA</x:v>
      </x:c>
      <x:c r="J3" s="24" t="str">
        <x:v>1.67</x:v>
      </x:c>
      <x:c r="K3" s="24" t="str">
        <x:v>Hi-Vision Meiryo</x:v>
      </x:c>
      <x:c r="L3" s="40" t="n">
        <x:v>4049</x:v>
      </x:c>
      <x:c r="M3" s="24" t="str">
        <x:v>-15.00 até +10.00</x:v>
      </x:c>
      <x:c r="N3" s="24"/>
      <x:c r="O3" s="24"/>
      <x:c r="P3" s="24"/>
      <x:c r="Q3" s="24"/>
      <x:c r="R3" s="24"/>
      <x:c r="S3" s="26" t="n">
        <x:v>45992</x:v>
      </x:c>
      <x:c r="T3" s="26"/>
      <x:c r="U3" s="24" t="str">
        <x:v>ATIVA/SEM FIM INFORMADO</x:v>
      </x:c>
      <x:c r="V3" s="24"/>
      <x:c r="W3" s="24" t="n">
        <x:v>12</x:v>
      </x:c>
      <x:c r="X3" s="24" t="str">
        <x:v>tabela_hoya(1).pdf</x:v>
      </x:c>
      <x:c r="Y3" s="24" t="str">
        <x:v>alta</x:v>
      </x:c>
      <x:c r="Z3" s="24"/>
      <x:c r="AA3" s="24" t="str">
        <x:v>HOYA|Visão Simples|Surfaçada|Nulux iDentity V+|INCOLOR|EYNOA|1.67|Hi-Vision Meiryo|-15.00 até +10.00||||||12</x:v>
      </x:c>
    </x:row>
    <x:row r="4">
      <x:c r="A4" s="24" t="str">
        <x:v>HY-02D9A50491FD</x:v>
      </x:c>
      <x:c r="B4" s="24" t="str">
        <x:v>SIM</x:v>
      </x:c>
      <x:c r="C4" s="24" t="str">
        <x:v>DISPONÍVEL</x:v>
      </x:c>
      <x:c r="D4" s="24" t="str">
        <x:v>HOYA</x:v>
      </x:c>
      <x:c r="E4" s="24" t="str">
        <x:v>Visão Simples</x:v>
      </x:c>
      <x:c r="F4" s="24" t="str">
        <x:v>Surfaçada</x:v>
      </x:c>
      <x:c r="G4" s="24" t="str">
        <x:v>Nulux iDentity V+</x:v>
      </x:c>
      <x:c r="H4" s="24" t="str">
        <x:v>INCOLOR</x:v>
      </x:c>
      <x:c r="I4" s="24" t="str">
        <x:v>EYAS 2.0</x:v>
      </x:c>
      <x:c r="J4" s="24" t="str">
        <x:v>1.60</x:v>
      </x:c>
      <x:c r="K4" s="24" t="str">
        <x:v>Hi-Vision Meiryo</x:v>
      </x:c>
      <x:c r="L4" s="40" t="n">
        <x:v>3159</x:v>
      </x:c>
      <x:c r="M4" s="24" t="str">
        <x:v>-13.00 até +8.00</x:v>
      </x:c>
      <x:c r="N4" s="24"/>
      <x:c r="O4" s="24"/>
      <x:c r="P4" s="24"/>
      <x:c r="Q4" s="24"/>
      <x:c r="R4" s="24"/>
      <x:c r="S4" s="26" t="n">
        <x:v>45992</x:v>
      </x:c>
      <x:c r="T4" s="26"/>
      <x:c r="U4" s="24" t="str">
        <x:v>ATIVA/SEM FIM INFORMADO</x:v>
      </x:c>
      <x:c r="V4" s="24"/>
      <x:c r="W4" s="24" t="n">
        <x:v>12</x:v>
      </x:c>
      <x:c r="X4" s="24" t="str">
        <x:v>tabela_hoya(1).pdf</x:v>
      </x:c>
      <x:c r="Y4" s="24" t="str">
        <x:v>alta</x:v>
      </x:c>
      <x:c r="Z4" s="24"/>
      <x:c r="AA4" s="24" t="str">
        <x:v>HOYA|Visão Simples|Surfaçada|Nulux iDentity V+|INCOLOR|EYAS 2.0|1.60|Hi-Vision Meiryo|-13.00 até +8.00||||||12</x:v>
      </x:c>
    </x:row>
    <x:row r="5">
      <x:c r="A5" s="24" t="str">
        <x:v>HY-7CC3AF0CECB8</x:v>
      </x:c>
      <x:c r="B5" s="24" t="str">
        <x:v>SIM</x:v>
      </x:c>
      <x:c r="C5" s="24" t="str">
        <x:v>DISPONÍVEL</x:v>
      </x:c>
      <x:c r="D5" s="24" t="str">
        <x:v>HOYA</x:v>
      </x:c>
      <x:c r="E5" s="24" t="str">
        <x:v>Visão Simples</x:v>
      </x:c>
      <x:c r="F5" s="24" t="str">
        <x:v>Surfaçada</x:v>
      </x:c>
      <x:c r="G5" s="24" t="str">
        <x:v>Nulux iDentity V+</x:v>
      </x:c>
      <x:c r="H5" s="24" t="str">
        <x:v>INCOLOR</x:v>
      </x:c>
      <x:c r="I5" s="24" t="str">
        <x:v>PNX</x:v>
      </x:c>
      <x:c r="J5" s="24" t="str">
        <x:v>1.53</x:v>
      </x:c>
      <x:c r="K5" s="24" t="str">
        <x:v>Hi-Vision Meiryo</x:v>
      </x:c>
      <x:c r="L5" s="40" t="n">
        <x:v>2699</x:v>
      </x:c>
      <x:c r="M5" s="24" t="str">
        <x:v>-13.00 até +9.00</x:v>
      </x:c>
      <x:c r="N5" s="24"/>
      <x:c r="O5" s="24"/>
      <x:c r="P5" s="24"/>
      <x:c r="Q5" s="24"/>
      <x:c r="R5" s="24"/>
      <x:c r="S5" s="26" t="n">
        <x:v>45992</x:v>
      </x:c>
      <x:c r="T5" s="26"/>
      <x:c r="U5" s="24" t="str">
        <x:v>ATIVA/SEM FIM INFORMADO</x:v>
      </x:c>
      <x:c r="V5" s="24"/>
      <x:c r="W5" s="24" t="n">
        <x:v>12</x:v>
      </x:c>
      <x:c r="X5" s="24" t="str">
        <x:v>tabela_hoya(1).pdf</x:v>
      </x:c>
      <x:c r="Y5" s="24" t="str">
        <x:v>alta</x:v>
      </x:c>
      <x:c r="Z5" s="24"/>
      <x:c r="AA5" s="24" t="str">
        <x:v>HOYA|Visão Simples|Surfaçada|Nulux iDentity V+|INCOLOR|PNX|1.53|Hi-Vision Meiryo|-13.00 até +9.00||||||12</x:v>
      </x:c>
    </x:row>
    <x:row r="6">
      <x:c r="A6" s="24" t="str">
        <x:v>HY-6CB7A47790F2</x:v>
      </x:c>
      <x:c r="B6" s="24" t="str">
        <x:v>SIM</x:v>
      </x:c>
      <x:c r="C6" s="24" t="str">
        <x:v>DISPONÍVEL</x:v>
      </x:c>
      <x:c r="D6" s="24" t="str">
        <x:v>HOYA</x:v>
      </x:c>
      <x:c r="E6" s="24" t="str">
        <x:v>Visão Simples</x:v>
      </x:c>
      <x:c r="F6" s="24" t="str">
        <x:v>Surfaçada</x:v>
      </x:c>
      <x:c r="G6" s="24" t="str">
        <x:v>Nulux iDentity V+</x:v>
      </x:c>
      <x:c r="H6" s="24" t="str">
        <x:v>INCOLOR</x:v>
      </x:c>
      <x:c r="I6" s="24" t="str">
        <x:v>EYVIA</x:v>
      </x:c>
      <x:c r="J6" s="24" t="str">
        <x:v>1.74</x:v>
      </x:c>
      <x:c r="K6" s="24" t="str">
        <x:v>Hi-Vision LongLife BlueControl</x:v>
      </x:c>
      <x:c r="L6" s="40" t="n">
        <x:v>4349</x:v>
      </x:c>
      <x:c r="M6" s="24" t="str">
        <x:v>-20.00 até +12.00</x:v>
      </x:c>
      <x:c r="N6" s="24"/>
      <x:c r="O6" s="24"/>
      <x:c r="P6" s="24"/>
      <x:c r="Q6" s="24"/>
      <x:c r="R6" s="24"/>
      <x:c r="S6" s="26" t="n">
        <x:v>45992</x:v>
      </x:c>
      <x:c r="T6" s="26"/>
      <x:c r="U6" s="24" t="str">
        <x:v>ATIVA/SEM FIM INFORMADO</x:v>
      </x:c>
      <x:c r="V6" s="24"/>
      <x:c r="W6" s="24" t="n">
        <x:v>12</x:v>
      </x:c>
      <x:c r="X6" s="24" t="str">
        <x:v>tabela_hoya(1).pdf</x:v>
      </x:c>
      <x:c r="Y6" s="24" t="str">
        <x:v>alta</x:v>
      </x:c>
      <x:c r="Z6" s="24"/>
      <x:c r="AA6" s="24" t="str">
        <x:v>HOYA|Visão Simples|Surfaçada|Nulux iDentity V+|INCOLOR|EYVIA|1.74|Hi-Vision LongLife BlueControl|-20.00 até +12.00||||||12</x:v>
      </x:c>
    </x:row>
    <x:row r="7">
      <x:c r="A7" s="24" t="str">
        <x:v>HY-211160319A4D</x:v>
      </x:c>
      <x:c r="B7" s="24" t="str">
        <x:v>SIM</x:v>
      </x:c>
      <x:c r="C7" s="24" t="str">
        <x:v>DISPONÍVEL</x:v>
      </x:c>
      <x:c r="D7" s="24" t="str">
        <x:v>HOYA</x:v>
      </x:c>
      <x:c r="E7" s="24" t="str">
        <x:v>Visão Simples</x:v>
      </x:c>
      <x:c r="F7" s="24" t="str">
        <x:v>Surfaçada</x:v>
      </x:c>
      <x:c r="G7" s="24" t="str">
        <x:v>Nulux iDentity V+</x:v>
      </x:c>
      <x:c r="H7" s="24" t="str">
        <x:v>INCOLOR</x:v>
      </x:c>
      <x:c r="I7" s="24" t="str">
        <x:v>EYNOA</x:v>
      </x:c>
      <x:c r="J7" s="24" t="str">
        <x:v>1.67</x:v>
      </x:c>
      <x:c r="K7" s="24" t="str">
        <x:v>Hi-Vision LongLife BlueControl</x:v>
      </x:c>
      <x:c r="L7" s="40" t="n">
        <x:v>3849</x:v>
      </x:c>
      <x:c r="M7" s="24" t="str">
        <x:v>-15.00 até +10.00</x:v>
      </x:c>
      <x:c r="N7" s="24"/>
      <x:c r="O7" s="24"/>
      <x:c r="P7" s="24"/>
      <x:c r="Q7" s="24"/>
      <x:c r="R7" s="24"/>
      <x:c r="S7" s="26" t="n">
        <x:v>45992</x:v>
      </x:c>
      <x:c r="T7" s="26"/>
      <x:c r="U7" s="24" t="str">
        <x:v>ATIVA/SEM FIM INFORMADO</x:v>
      </x:c>
      <x:c r="V7" s="24"/>
      <x:c r="W7" s="24" t="n">
        <x:v>12</x:v>
      </x:c>
      <x:c r="X7" s="24" t="str">
        <x:v>tabela_hoya(1).pdf</x:v>
      </x:c>
      <x:c r="Y7" s="24" t="str">
        <x:v>alta</x:v>
      </x:c>
      <x:c r="Z7" s="24"/>
      <x:c r="AA7" s="24" t="str">
        <x:v>HOYA|Visão Simples|Surfaçada|Nulux iDentity V+|INCOLOR|EYNOA|1.67|Hi-Vision LongLife BlueControl|-15.00 até +10.00||||||12</x:v>
      </x:c>
    </x:row>
    <x:row r="8">
      <x:c r="A8" s="24" t="str">
        <x:v>HY-14A26D62E732</x:v>
      </x:c>
      <x:c r="B8" s="24" t="str">
        <x:v>SIM</x:v>
      </x:c>
      <x:c r="C8" s="24" t="str">
        <x:v>DISPONÍVEL</x:v>
      </x:c>
      <x:c r="D8" s="24" t="str">
        <x:v>HOYA</x:v>
      </x:c>
      <x:c r="E8" s="24" t="str">
        <x:v>Visão Simples</x:v>
      </x:c>
      <x:c r="F8" s="24" t="str">
        <x:v>Surfaçada</x:v>
      </x:c>
      <x:c r="G8" s="24" t="str">
        <x:v>Nulux iDentity V+</x:v>
      </x:c>
      <x:c r="H8" s="24" t="str">
        <x:v>INCOLOR</x:v>
      </x:c>
      <x:c r="I8" s="24" t="str">
        <x:v>EYAS 2.0</x:v>
      </x:c>
      <x:c r="J8" s="24" t="str">
        <x:v>1.60</x:v>
      </x:c>
      <x:c r="K8" s="24" t="str">
        <x:v>Hi-Vision LongLife BlueControl</x:v>
      </x:c>
      <x:c r="L8" s="40" t="n">
        <x:v>2959</x:v>
      </x:c>
      <x:c r="M8" s="24" t="str">
        <x:v>-13.00 até +8.00</x:v>
      </x:c>
      <x:c r="N8" s="24"/>
      <x:c r="O8" s="24"/>
      <x:c r="P8" s="24"/>
      <x:c r="Q8" s="24"/>
      <x:c r="R8" s="24"/>
      <x:c r="S8" s="26" t="n">
        <x:v>45992</x:v>
      </x:c>
      <x:c r="T8" s="26"/>
      <x:c r="U8" s="24" t="str">
        <x:v>ATIVA/SEM FIM INFORMADO</x:v>
      </x:c>
      <x:c r="V8" s="24"/>
      <x:c r="W8" s="24" t="n">
        <x:v>12</x:v>
      </x:c>
      <x:c r="X8" s="24" t="str">
        <x:v>tabela_hoya(1).pdf</x:v>
      </x:c>
      <x:c r="Y8" s="24" t="str">
        <x:v>alta</x:v>
      </x:c>
      <x:c r="Z8" s="24"/>
      <x:c r="AA8" s="24" t="str">
        <x:v>HOYA|Visão Simples|Surfaçada|Nulux iDentity V+|INCOLOR|EYAS 2.0|1.60|Hi-Vision LongLife BlueControl|-13.00 até +8.00||||||12</x:v>
      </x:c>
    </x:row>
    <x:row r="9">
      <x:c r="A9" s="24" t="str">
        <x:v>HY-02BA43DD7BD1</x:v>
      </x:c>
      <x:c r="B9" s="24" t="str">
        <x:v>SIM</x:v>
      </x:c>
      <x:c r="C9" s="24" t="str">
        <x:v>DISPONÍVEL</x:v>
      </x:c>
      <x:c r="D9" s="24" t="str">
        <x:v>HOYA</x:v>
      </x:c>
      <x:c r="E9" s="24" t="str">
        <x:v>Visão Simples</x:v>
      </x:c>
      <x:c r="F9" s="24" t="str">
        <x:v>Surfaçada</x:v>
      </x:c>
      <x:c r="G9" s="24" t="str">
        <x:v>Nulux iDentity V+</x:v>
      </x:c>
      <x:c r="H9" s="24" t="str">
        <x:v>INCOLOR</x:v>
      </x:c>
      <x:c r="I9" s="24" t="str">
        <x:v>PNX</x:v>
      </x:c>
      <x:c r="J9" s="24" t="str">
        <x:v>1.53</x:v>
      </x:c>
      <x:c r="K9" s="24" t="str">
        <x:v>Hi-Vision LongLife BlueControl</x:v>
      </x:c>
      <x:c r="L9" s="40" t="n">
        <x:v>2499</x:v>
      </x:c>
      <x:c r="M9" s="24" t="str">
        <x:v>-13.00 até +9.00</x:v>
      </x:c>
      <x:c r="N9" s="24"/>
      <x:c r="O9" s="24"/>
      <x:c r="P9" s="24"/>
      <x:c r="Q9" s="24"/>
      <x:c r="R9" s="24"/>
      <x:c r="S9" s="26" t="n">
        <x:v>45992</x:v>
      </x:c>
      <x:c r="T9" s="26"/>
      <x:c r="U9" s="24" t="str">
        <x:v>ATIVA/SEM FIM INFORMADO</x:v>
      </x:c>
      <x:c r="V9" s="24"/>
      <x:c r="W9" s="24" t="n">
        <x:v>12</x:v>
      </x:c>
      <x:c r="X9" s="24" t="str">
        <x:v>tabela_hoya(1).pdf</x:v>
      </x:c>
      <x:c r="Y9" s="24" t="str">
        <x:v>alta</x:v>
      </x:c>
      <x:c r="Z9" s="24"/>
      <x:c r="AA9" s="24" t="str">
        <x:v>HOYA|Visão Simples|Surfaçada|Nulux iDentity V+|INCOLOR|PNX|1.53|Hi-Vision LongLife BlueControl|-13.00 até +9.00||||||12</x:v>
      </x:c>
    </x:row>
    <x:row r="10">
      <x:c r="A10" s="24" t="str">
        <x:v>HY-94AA9390BFDA</x:v>
      </x:c>
      <x:c r="B10" s="24" t="str">
        <x:v>SIM</x:v>
      </x:c>
      <x:c r="C10" s="24" t="str">
        <x:v>DISPONÍVEL</x:v>
      </x:c>
      <x:c r="D10" s="24" t="str">
        <x:v>HOYA</x:v>
      </x:c>
      <x:c r="E10" s="24" t="str">
        <x:v>Visão Simples</x:v>
      </x:c>
      <x:c r="F10" s="24" t="str">
        <x:v>Surfaçada</x:v>
      </x:c>
      <x:c r="G10" s="24" t="str">
        <x:v>Nulux iDentity V+</x:v>
      </x:c>
      <x:c r="H10" s="24" t="str">
        <x:v>INCOLOR</x:v>
      </x:c>
      <x:c r="I10" s="24" t="str">
        <x:v>ORGANIC</x:v>
      </x:c>
      <x:c r="J10" s="24" t="str">
        <x:v>1.50</x:v>
      </x:c>
      <x:c r="K10" s="24" t="str">
        <x:v>Hi-Vision LongLife BlueControl</x:v>
      </x:c>
      <x:c r="L10" s="40" t="n">
        <x:v>2149</x:v>
      </x:c>
      <x:c r="M10" s="24" t="str">
        <x:v>-10.00 até +10.00</x:v>
      </x:c>
      <x:c r="N10" s="24"/>
      <x:c r="O10" s="24"/>
      <x:c r="P10" s="24"/>
      <x:c r="Q10" s="24"/>
      <x:c r="R10" s="24"/>
      <x:c r="S10" s="26" t="n">
        <x:v>45992</x:v>
      </x:c>
      <x:c r="T10" s="26"/>
      <x:c r="U10" s="24" t="str">
        <x:v>ATIVA/SEM FIM INFORMADO</x:v>
      </x:c>
      <x:c r="V10" s="24"/>
      <x:c r="W10" s="24" t="n">
        <x:v>12</x:v>
      </x:c>
      <x:c r="X10" s="24" t="str">
        <x:v>tabela_hoya(1).pdf</x:v>
      </x:c>
      <x:c r="Y10" s="24" t="str">
        <x:v>alta</x:v>
      </x:c>
      <x:c r="Z10" s="24"/>
      <x:c r="AA10" s="24" t="str">
        <x:v>HOYA|Visão Simples|Surfaçada|Nulux iDentity V+|INCOLOR|ORGANIC|1.50|Hi-Vision LongLife BlueControl|-10.00 até +10.00||||||12</x:v>
      </x:c>
    </x:row>
    <x:row r="11">
      <x:c r="A11" s="24" t="str">
        <x:v>HY-75F279478FAA</x:v>
      </x:c>
      <x:c r="B11" s="24" t="str">
        <x:v>SIM</x:v>
      </x:c>
      <x:c r="C11" s="24" t="str">
        <x:v>DISPONÍVEL</x:v>
      </x:c>
      <x:c r="D11" s="24" t="str">
        <x:v>HOYA</x:v>
      </x:c>
      <x:c r="E11" s="24" t="str">
        <x:v>Visão Simples</x:v>
      </x:c>
      <x:c r="F11" s="24" t="str">
        <x:v>Surfaçada</x:v>
      </x:c>
      <x:c r="G11" s="24" t="str">
        <x:v>Nulux iDentity V+</x:v>
      </x:c>
      <x:c r="H11" s="24" t="str">
        <x:v>INCOLOR</x:v>
      </x:c>
      <x:c r="I11" s="24" t="str">
        <x:v>EYNOA</x:v>
      </x:c>
      <x:c r="J11" s="24" t="str">
        <x:v>1.67</x:v>
      </x:c>
      <x:c r="K11" s="24" t="str">
        <x:v>No-Risk BlueControl</x:v>
      </x:c>
      <x:c r="L11" s="40" t="n">
        <x:v>3599</x:v>
      </x:c>
      <x:c r="M11" s="24" t="str">
        <x:v>-15.00 até +10.00</x:v>
      </x:c>
      <x:c r="N11" s="24"/>
      <x:c r="O11" s="24"/>
      <x:c r="P11" s="24"/>
      <x:c r="Q11" s="24"/>
      <x:c r="R11" s="24"/>
      <x:c r="S11" s="26" t="n">
        <x:v>45992</x:v>
      </x:c>
      <x:c r="T11" s="26"/>
      <x:c r="U11" s="24" t="str">
        <x:v>ATIVA/SEM FIM INFORMADO</x:v>
      </x:c>
      <x:c r="V11" s="24"/>
      <x:c r="W11" s="24" t="n">
        <x:v>12</x:v>
      </x:c>
      <x:c r="X11" s="24" t="str">
        <x:v>tabela_hoya(1).pdf</x:v>
      </x:c>
      <x:c r="Y11" s="24" t="str">
        <x:v>alta</x:v>
      </x:c>
      <x:c r="Z11" s="24"/>
      <x:c r="AA11" s="24" t="str">
        <x:v>HOYA|Visão Simples|Surfaçada|Nulux iDentity V+|INCOLOR|EYNOA|1.67|No-Risk BlueControl|-15.00 até +10.00||||||12</x:v>
      </x:c>
    </x:row>
    <x:row r="12">
      <x:c r="A12" s="24" t="str">
        <x:v>HY-F90296F8E0B0</x:v>
      </x:c>
      <x:c r="B12" s="24" t="str">
        <x:v>SIM</x:v>
      </x:c>
      <x:c r="C12" s="24" t="str">
        <x:v>DISPONÍVEL</x:v>
      </x:c>
      <x:c r="D12" s="24" t="str">
        <x:v>HOYA</x:v>
      </x:c>
      <x:c r="E12" s="24" t="str">
        <x:v>Visão Simples</x:v>
      </x:c>
      <x:c r="F12" s="24" t="str">
        <x:v>Surfaçada</x:v>
      </x:c>
      <x:c r="G12" s="24" t="str">
        <x:v>Nulux iDentity V+</x:v>
      </x:c>
      <x:c r="H12" s="24" t="str">
        <x:v>INCOLOR</x:v>
      </x:c>
      <x:c r="I12" s="24" t="str">
        <x:v>EYAS 2.0</x:v>
      </x:c>
      <x:c r="J12" s="24" t="str">
        <x:v>1.60</x:v>
      </x:c>
      <x:c r="K12" s="24" t="str">
        <x:v>No-Risk BlueControl</x:v>
      </x:c>
      <x:c r="L12" s="40" t="n">
        <x:v>2709</x:v>
      </x:c>
      <x:c r="M12" s="24" t="str">
        <x:v>-13.00 até +8.00</x:v>
      </x:c>
      <x:c r="N12" s="24"/>
      <x:c r="O12" s="24"/>
      <x:c r="P12" s="24"/>
      <x:c r="Q12" s="24"/>
      <x:c r="R12" s="24"/>
      <x:c r="S12" s="26" t="n">
        <x:v>45992</x:v>
      </x:c>
      <x:c r="T12" s="26"/>
      <x:c r="U12" s="24" t="str">
        <x:v>ATIVA/SEM FIM INFORMADO</x:v>
      </x:c>
      <x:c r="V12" s="24"/>
      <x:c r="W12" s="24" t="n">
        <x:v>12</x:v>
      </x:c>
      <x:c r="X12" s="24" t="str">
        <x:v>tabela_hoya(1).pdf</x:v>
      </x:c>
      <x:c r="Y12" s="24" t="str">
        <x:v>alta</x:v>
      </x:c>
      <x:c r="Z12" s="24"/>
      <x:c r="AA12" s="24" t="str">
        <x:v>HOYA|Visão Simples|Surfaçada|Nulux iDentity V+|INCOLOR|EYAS 2.0|1.60|No-Risk BlueControl|-13.00 até +8.00||||||12</x:v>
      </x:c>
    </x:row>
    <x:row r="13">
      <x:c r="A13" s="24" t="str">
        <x:v>HY-C074A9F561F4</x:v>
      </x:c>
      <x:c r="B13" s="24" t="str">
        <x:v>SIM</x:v>
      </x:c>
      <x:c r="C13" s="24" t="str">
        <x:v>DISPONÍVEL</x:v>
      </x:c>
      <x:c r="D13" s="24" t="str">
        <x:v>HOYA</x:v>
      </x:c>
      <x:c r="E13" s="24" t="str">
        <x:v>Visão Simples</x:v>
      </x:c>
      <x:c r="F13" s="24" t="str">
        <x:v>Surfaçada</x:v>
      </x:c>
      <x:c r="G13" s="24" t="str">
        <x:v>Nulux iDentity V+</x:v>
      </x:c>
      <x:c r="H13" s="24" t="str">
        <x:v>INCOLOR</x:v>
      </x:c>
      <x:c r="I13" s="24" t="str">
        <x:v>PNX</x:v>
      </x:c>
      <x:c r="J13" s="24" t="str">
        <x:v>1.53</x:v>
      </x:c>
      <x:c r="K13" s="24" t="str">
        <x:v>No-Risk BlueControl</x:v>
      </x:c>
      <x:c r="L13" s="40" t="n">
        <x:v>2249</x:v>
      </x:c>
      <x:c r="M13" s="24" t="str">
        <x:v>-13.00 até +9.00</x:v>
      </x:c>
      <x:c r="N13" s="24"/>
      <x:c r="O13" s="24"/>
      <x:c r="P13" s="24"/>
      <x:c r="Q13" s="24"/>
      <x:c r="R13" s="24"/>
      <x:c r="S13" s="26" t="n">
        <x:v>45992</x:v>
      </x:c>
      <x:c r="T13" s="26"/>
      <x:c r="U13" s="24" t="str">
        <x:v>ATIVA/SEM FIM INFORMADO</x:v>
      </x:c>
      <x:c r="V13" s="24"/>
      <x:c r="W13" s="24" t="n">
        <x:v>12</x:v>
      </x:c>
      <x:c r="X13" s="24" t="str">
        <x:v>tabela_hoya(1).pdf</x:v>
      </x:c>
      <x:c r="Y13" s="24" t="str">
        <x:v>alta</x:v>
      </x:c>
      <x:c r="Z13" s="24"/>
      <x:c r="AA13" s="24" t="str">
        <x:v>HOYA|Visão Simples|Surfaçada|Nulux iDentity V+|INCOLOR|PNX|1.53|No-Risk BlueControl|-13.00 até +9.00||||||12</x:v>
      </x:c>
    </x:row>
    <x:row r="14">
      <x:c r="A14" s="24" t="str">
        <x:v>HY-6D6DE8790A37</x:v>
      </x:c>
      <x:c r="B14" s="24" t="str">
        <x:v>SIM</x:v>
      </x:c>
      <x:c r="C14" s="24" t="str">
        <x:v>DISPONÍVEL</x:v>
      </x:c>
      <x:c r="D14" s="24" t="str">
        <x:v>HOYA</x:v>
      </x:c>
      <x:c r="E14" s="24" t="str">
        <x:v>Visão Simples</x:v>
      </x:c>
      <x:c r="F14" s="24" t="str">
        <x:v>Surfaçada</x:v>
      </x:c>
      <x:c r="G14" s="24" t="str">
        <x:v>Nulux iDentity V+</x:v>
      </x:c>
      <x:c r="H14" s="24" t="str">
        <x:v>INCOLOR</x:v>
      </x:c>
      <x:c r="I14" s="24" t="str">
        <x:v>ORGANIC</x:v>
      </x:c>
      <x:c r="J14" s="24" t="str">
        <x:v>1.50</x:v>
      </x:c>
      <x:c r="K14" s="24" t="str">
        <x:v>No-Risk BlueControl</x:v>
      </x:c>
      <x:c r="L14" s="40" t="n">
        <x:v>1899</x:v>
      </x:c>
      <x:c r="M14" s="24" t="str">
        <x:v>-10.00 até +10.00</x:v>
      </x:c>
      <x:c r="N14" s="24"/>
      <x:c r="O14" s="24"/>
      <x:c r="P14" s="24"/>
      <x:c r="Q14" s="24"/>
      <x:c r="R14" s="24"/>
      <x:c r="S14" s="26" t="n">
        <x:v>45992</x:v>
      </x:c>
      <x:c r="T14" s="26"/>
      <x:c r="U14" s="24" t="str">
        <x:v>ATIVA/SEM FIM INFORMADO</x:v>
      </x:c>
      <x:c r="V14" s="24"/>
      <x:c r="W14" s="24" t="n">
        <x:v>12</x:v>
      </x:c>
      <x:c r="X14" s="24" t="str">
        <x:v>tabela_hoya(1).pdf</x:v>
      </x:c>
      <x:c r="Y14" s="24" t="str">
        <x:v>alta</x:v>
      </x:c>
      <x:c r="Z14" s="24"/>
      <x:c r="AA14" s="24" t="str">
        <x:v>HOYA|Visão Simples|Surfaçada|Nulux iDentity V+|INCOLOR|ORGANIC|1.50|No-Risk BlueControl|-10.00 até +10.00||||||12</x:v>
      </x:c>
    </x:row>
    <x:row r="15">
      <x:c r="A15" s="24" t="str">
        <x:v>HY-84ACFF657656</x:v>
      </x:c>
      <x:c r="B15" s="24" t="str">
        <x:v>NÃO</x:v>
      </x:c>
      <x:c r="C15" s="24" t="str">
        <x:v>EM BREVE</x:v>
      </x:c>
      <x:c r="D15" s="24" t="str">
        <x:v>HOYA</x:v>
      </x:c>
      <x:c r="E15" s="24" t="str">
        <x:v>Visão Simples</x:v>
      </x:c>
      <x:c r="F15" s="24" t="str">
        <x:v>Surfaçada</x:v>
      </x:c>
      <x:c r="G15" s="24" t="str">
        <x:v>Nulux iDentity V+</x:v>
      </x:c>
      <x:c r="H15" s="24" t="str">
        <x:v>SENSITY 2</x:v>
      </x:c>
      <x:c r="I15" s="24" t="str">
        <x:v>EYNOA</x:v>
      </x:c>
      <x:c r="J15" s="24" t="str">
        <x:v>1.67</x:v>
      </x:c>
      <x:c r="K15" s="24" t="str">
        <x:v>Hi-Vision Meiryo</x:v>
      </x:c>
      <x:c r="L15" s="40" t="n">
        <x:v>5249</x:v>
      </x:c>
      <x:c r="M15" s="24" t="str">
        <x:v>-15.00 até +10.00</x:v>
      </x:c>
      <x:c r="N15" s="24"/>
      <x:c r="O15" s="24"/>
      <x:c r="P15" s="24"/>
      <x:c r="Q15" s="24"/>
      <x:c r="R15" s="24"/>
      <x:c r="S15" s="26" t="n">
        <x:v>45992</x:v>
      </x:c>
      <x:c r="T15" s="26"/>
      <x:c r="U15" s="24" t="str">
        <x:v>ATIVA/SEM FIM INFORMADO</x:v>
      </x:c>
      <x:c r="V15" s="24"/>
      <x:c r="W15" s="24" t="n">
        <x:v>12</x:v>
      </x:c>
      <x:c r="X15" s="24" t="str">
        <x:v>tabela_hoya(1).pdf</x:v>
      </x:c>
      <x:c r="Y15" s="24" t="str">
        <x:v>alta</x:v>
      </x:c>
      <x:c r="Z15" s="24" t="str">
        <x:v>Tratamento/produto marcado como “EM BREVE” na própria tabela HOYA; preço preservado, mas bloqueado no export web.</x:v>
      </x:c>
      <x:c r="AA15" s="24" t="str">
        <x:v>HOYA|Visão Simples|Surfaçada|Nulux iDentity V+|SENSITY 2|EYNOA|1.67|Hi-Vision Meiryo|-15.00 até +10.00||||||12</x:v>
      </x:c>
    </x:row>
    <x:row r="16">
      <x:c r="A16" s="24" t="str">
        <x:v>HY-5AA8F167808F</x:v>
      </x:c>
      <x:c r="B16" s="24" t="str">
        <x:v>NÃO</x:v>
      </x:c>
      <x:c r="C16" s="24" t="str">
        <x:v>EM BREVE</x:v>
      </x:c>
      <x:c r="D16" s="24" t="str">
        <x:v>HOYA</x:v>
      </x:c>
      <x:c r="E16" s="24" t="str">
        <x:v>Visão Simples</x:v>
      </x:c>
      <x:c r="F16" s="24" t="str">
        <x:v>Surfaçada</x:v>
      </x:c>
      <x:c r="G16" s="24" t="str">
        <x:v>Nulux iDentity V+</x:v>
      </x:c>
      <x:c r="H16" s="24" t="str">
        <x:v>SENSITY 2</x:v>
      </x:c>
      <x:c r="I16" s="24" t="str">
        <x:v>PNX</x:v>
      </x:c>
      <x:c r="J16" s="24" t="str">
        <x:v>1.53</x:v>
      </x:c>
      <x:c r="K16" s="24" t="str">
        <x:v>Hi-Vision Meiryo</x:v>
      </x:c>
      <x:c r="L16" s="40" t="n">
        <x:v>3899</x:v>
      </x:c>
      <x:c r="M16" s="24" t="str">
        <x:v>-13.00 até +9.00</x:v>
      </x:c>
      <x:c r="N16" s="24"/>
      <x:c r="O16" s="24"/>
      <x:c r="P16" s="24"/>
      <x:c r="Q16" s="24"/>
      <x:c r="R16" s="24"/>
      <x:c r="S16" s="26" t="n">
        <x:v>45992</x:v>
      </x:c>
      <x:c r="T16" s="26"/>
      <x:c r="U16" s="24" t="str">
        <x:v>ATIVA/SEM FIM INFORMADO</x:v>
      </x:c>
      <x:c r="V16" s="24"/>
      <x:c r="W16" s="24" t="n">
        <x:v>12</x:v>
      </x:c>
      <x:c r="X16" s="24" t="str">
        <x:v>tabela_hoya(1).pdf</x:v>
      </x:c>
      <x:c r="Y16" s="24" t="str">
        <x:v>alta</x:v>
      </x:c>
      <x:c r="Z16" s="24" t="str">
        <x:v>Tratamento/produto marcado como “EM BREVE” na própria tabela HOYA; preço preservado, mas bloqueado no export web.</x:v>
      </x:c>
      <x:c r="AA16" s="24" t="str">
        <x:v>HOYA|Visão Simples|Surfaçada|Nulux iDentity V+|SENSITY 2|PNX|1.53|Hi-Vision Meiryo|-13.00 até +9.00||||||12</x:v>
      </x:c>
    </x:row>
    <x:row r="17">
      <x:c r="A17" s="24" t="str">
        <x:v>HY-E9BFEEEC3820</x:v>
      </x:c>
      <x:c r="B17" s="24" t="str">
        <x:v>SIM</x:v>
      </x:c>
      <x:c r="C17" s="24" t="str">
        <x:v>DISPONÍVEL</x:v>
      </x:c>
      <x:c r="D17" s="24" t="str">
        <x:v>HOYA</x:v>
      </x:c>
      <x:c r="E17" s="24" t="str">
        <x:v>Visão Simples</x:v>
      </x:c>
      <x:c r="F17" s="24" t="str">
        <x:v>Surfaçada</x:v>
      </x:c>
      <x:c r="G17" s="24" t="str">
        <x:v>Nulux iDentity V+</x:v>
      </x:c>
      <x:c r="H17" s="24" t="str">
        <x:v>SENSITY 2</x:v>
      </x:c>
      <x:c r="I17" s="24" t="str">
        <x:v>EYNOA</x:v>
      </x:c>
      <x:c r="J17" s="24" t="str">
        <x:v>1.67</x:v>
      </x:c>
      <x:c r="K17" s="24" t="str">
        <x:v>Hi-Vision LongLife BlueControl</x:v>
      </x:c>
      <x:c r="L17" s="40" t="n">
        <x:v>5049</x:v>
      </x:c>
      <x:c r="M17" s="24" t="str">
        <x:v>-15.00 até +10.00</x:v>
      </x:c>
      <x:c r="N17" s="24"/>
      <x:c r="O17" s="24"/>
      <x:c r="P17" s="24"/>
      <x:c r="Q17" s="24"/>
      <x:c r="R17" s="24"/>
      <x:c r="S17" s="26" t="n">
        <x:v>45992</x:v>
      </x:c>
      <x:c r="T17" s="26"/>
      <x:c r="U17" s="24" t="str">
        <x:v>ATIVA/SEM FIM INFORMADO</x:v>
      </x:c>
      <x:c r="V17" s="24"/>
      <x:c r="W17" s="24" t="n">
        <x:v>12</x:v>
      </x:c>
      <x:c r="X17" s="24" t="str">
        <x:v>tabela_hoya(1).pdf</x:v>
      </x:c>
      <x:c r="Y17" s="24" t="str">
        <x:v>alta</x:v>
      </x:c>
      <x:c r="Z17" s="24"/>
      <x:c r="AA17" s="24" t="str">
        <x:v>HOYA|Visão Simples|Surfaçada|Nulux iDentity V+|SENSITY 2|EYNOA|1.67|Hi-Vision LongLife BlueControl|-15.00 até +10.00||||||12</x:v>
      </x:c>
    </x:row>
    <x:row r="18">
      <x:c r="A18" s="24" t="str">
        <x:v>HY-26A23FE49031</x:v>
      </x:c>
      <x:c r="B18" s="24" t="str">
        <x:v>SIM</x:v>
      </x:c>
      <x:c r="C18" s="24" t="str">
        <x:v>DISPONÍVEL</x:v>
      </x:c>
      <x:c r="D18" s="24" t="str">
        <x:v>HOYA</x:v>
      </x:c>
      <x:c r="E18" s="24" t="str">
        <x:v>Visão Simples</x:v>
      </x:c>
      <x:c r="F18" s="24" t="str">
        <x:v>Surfaçada</x:v>
      </x:c>
      <x:c r="G18" s="24" t="str">
        <x:v>Nulux iDentity V+</x:v>
      </x:c>
      <x:c r="H18" s="24" t="str">
        <x:v>SENSITY 2</x:v>
      </x:c>
      <x:c r="I18" s="24" t="str">
        <x:v>PNX</x:v>
      </x:c>
      <x:c r="J18" s="24" t="str">
        <x:v>1.53</x:v>
      </x:c>
      <x:c r="K18" s="24" t="str">
        <x:v>Hi-Vision LongLife BlueControl</x:v>
      </x:c>
      <x:c r="L18" s="40" t="n">
        <x:v>3699</x:v>
      </x:c>
      <x:c r="M18" s="24" t="str">
        <x:v>-13.00 até +9.00</x:v>
      </x:c>
      <x:c r="N18" s="24"/>
      <x:c r="O18" s="24"/>
      <x:c r="P18" s="24"/>
      <x:c r="Q18" s="24"/>
      <x:c r="R18" s="24"/>
      <x:c r="S18" s="26" t="n">
        <x:v>45992</x:v>
      </x:c>
      <x:c r="T18" s="26"/>
      <x:c r="U18" s="24" t="str">
        <x:v>ATIVA/SEM FIM INFORMADO</x:v>
      </x:c>
      <x:c r="V18" s="24"/>
      <x:c r="W18" s="24" t="n">
        <x:v>12</x:v>
      </x:c>
      <x:c r="X18" s="24" t="str">
        <x:v>tabela_hoya(1).pdf</x:v>
      </x:c>
      <x:c r="Y18" s="24" t="str">
        <x:v>alta</x:v>
      </x:c>
      <x:c r="Z18" s="24"/>
      <x:c r="AA18" s="24" t="str">
        <x:v>HOYA|Visão Simples|Surfaçada|Nulux iDentity V+|SENSITY 2|PNX|1.53|Hi-Vision LongLife BlueControl|-13.00 até +9.00||||||12</x:v>
      </x:c>
    </x:row>
    <x:row r="19">
      <x:c r="A19" s="24" t="str">
        <x:v>HY-9751785BED83</x:v>
      </x:c>
      <x:c r="B19" s="24" t="str">
        <x:v>SIM</x:v>
      </x:c>
      <x:c r="C19" s="24" t="str">
        <x:v>DISPONÍVEL</x:v>
      </x:c>
      <x:c r="D19" s="24" t="str">
        <x:v>HOYA</x:v>
      </x:c>
      <x:c r="E19" s="24" t="str">
        <x:v>Visão Simples</x:v>
      </x:c>
      <x:c r="F19" s="24" t="str">
        <x:v>Surfaçada</x:v>
      </x:c>
      <x:c r="G19" s="24" t="str">
        <x:v>Nulux iDentity V+</x:v>
      </x:c>
      <x:c r="H19" s="24" t="str">
        <x:v>SENSITY 2</x:v>
      </x:c>
      <x:c r="I19" s="24" t="str">
        <x:v>ORGANIC</x:v>
      </x:c>
      <x:c r="J19" s="24" t="str">
        <x:v>1.50</x:v>
      </x:c>
      <x:c r="K19" s="24" t="str">
        <x:v>Hi-Vision LongLife BlueControl</x:v>
      </x:c>
      <x:c r="L19" s="40" t="n">
        <x:v>3349</x:v>
      </x:c>
      <x:c r="M19" s="24" t="str">
        <x:v>-10.00 até +10.00</x:v>
      </x:c>
      <x:c r="N19" s="24"/>
      <x:c r="O19" s="24"/>
      <x:c r="P19" s="24"/>
      <x:c r="Q19" s="24"/>
      <x:c r="R19" s="24"/>
      <x:c r="S19" s="26" t="n">
        <x:v>45992</x:v>
      </x:c>
      <x:c r="T19" s="26"/>
      <x:c r="U19" s="24" t="str">
        <x:v>ATIVA/SEM FIM INFORMADO</x:v>
      </x:c>
      <x:c r="V19" s="24"/>
      <x:c r="W19" s="24" t="n">
        <x:v>12</x:v>
      </x:c>
      <x:c r="X19" s="24" t="str">
        <x:v>tabela_hoya(1).pdf</x:v>
      </x:c>
      <x:c r="Y19" s="24" t="str">
        <x:v>alta</x:v>
      </x:c>
      <x:c r="Z19" s="24"/>
      <x:c r="AA19" s="24" t="str">
        <x:v>HOYA|Visão Simples|Surfaçada|Nulux iDentity V+|SENSITY 2|ORGANIC|1.50|Hi-Vision LongLife BlueControl|-10.00 até +10.00||||||12</x:v>
      </x:c>
    </x:row>
    <x:row r="20">
      <x:c r="A20" s="24" t="str">
        <x:v>HY-C0C613FF5EF0</x:v>
      </x:c>
      <x:c r="B20" s="24" t="str">
        <x:v>SIM</x:v>
      </x:c>
      <x:c r="C20" s="24" t="str">
        <x:v>DISPONÍVEL</x:v>
      </x:c>
      <x:c r="D20" s="24" t="str">
        <x:v>HOYA</x:v>
      </x:c>
      <x:c r="E20" s="24" t="str">
        <x:v>Visão Simples</x:v>
      </x:c>
      <x:c r="F20" s="24" t="str">
        <x:v>Surfaçada</x:v>
      </x:c>
      <x:c r="G20" s="24" t="str">
        <x:v>Nulux iDentity V+</x:v>
      </x:c>
      <x:c r="H20" s="24" t="str">
        <x:v>SENSITY 2</x:v>
      </x:c>
      <x:c r="I20" s="24" t="str">
        <x:v>EYNOA</x:v>
      </x:c>
      <x:c r="J20" s="24" t="str">
        <x:v>1.67</x:v>
      </x:c>
      <x:c r="K20" s="24" t="str">
        <x:v>No-Risk BlueControl</x:v>
      </x:c>
      <x:c r="L20" s="40" t="n">
        <x:v>4799</x:v>
      </x:c>
      <x:c r="M20" s="24" t="str">
        <x:v>-15.00 até +10.00</x:v>
      </x:c>
      <x:c r="N20" s="24"/>
      <x:c r="O20" s="24"/>
      <x:c r="P20" s="24"/>
      <x:c r="Q20" s="24"/>
      <x:c r="R20" s="24"/>
      <x:c r="S20" s="26" t="n">
        <x:v>45992</x:v>
      </x:c>
      <x:c r="T20" s="26"/>
      <x:c r="U20" s="24" t="str">
        <x:v>ATIVA/SEM FIM INFORMADO</x:v>
      </x:c>
      <x:c r="V20" s="24"/>
      <x:c r="W20" s="24" t="n">
        <x:v>12</x:v>
      </x:c>
      <x:c r="X20" s="24" t="str">
        <x:v>tabela_hoya(1).pdf</x:v>
      </x:c>
      <x:c r="Y20" s="24" t="str">
        <x:v>alta</x:v>
      </x:c>
      <x:c r="Z20" s="24"/>
      <x:c r="AA20" s="24" t="str">
        <x:v>HOYA|Visão Simples|Surfaçada|Nulux iDentity V+|SENSITY 2|EYNOA|1.67|No-Risk BlueControl|-15.00 até +10.00||||||12</x:v>
      </x:c>
    </x:row>
    <x:row r="21">
      <x:c r="A21" s="24" t="str">
        <x:v>HY-B830E7ED744F</x:v>
      </x:c>
      <x:c r="B21" s="24" t="str">
        <x:v>SIM</x:v>
      </x:c>
      <x:c r="C21" s="24" t="str">
        <x:v>DISPONÍVEL</x:v>
      </x:c>
      <x:c r="D21" s="24" t="str">
        <x:v>HOYA</x:v>
      </x:c>
      <x:c r="E21" s="24" t="str">
        <x:v>Visão Simples</x:v>
      </x:c>
      <x:c r="F21" s="24" t="str">
        <x:v>Surfaçada</x:v>
      </x:c>
      <x:c r="G21" s="24" t="str">
        <x:v>Nulux iDentity V+</x:v>
      </x:c>
      <x:c r="H21" s="24" t="str">
        <x:v>SENSITY 2</x:v>
      </x:c>
      <x:c r="I21" s="24" t="str">
        <x:v>PNX</x:v>
      </x:c>
      <x:c r="J21" s="24" t="str">
        <x:v>1.53</x:v>
      </x:c>
      <x:c r="K21" s="24" t="str">
        <x:v>No-Risk BlueControl</x:v>
      </x:c>
      <x:c r="L21" s="40" t="n">
        <x:v>3449</x:v>
      </x:c>
      <x:c r="M21" s="24" t="str">
        <x:v>-13.00 até +9.00</x:v>
      </x:c>
      <x:c r="N21" s="24"/>
      <x:c r="O21" s="24"/>
      <x:c r="P21" s="24"/>
      <x:c r="Q21" s="24"/>
      <x:c r="R21" s="24"/>
      <x:c r="S21" s="26" t="n">
        <x:v>45992</x:v>
      </x:c>
      <x:c r="T21" s="26"/>
      <x:c r="U21" s="24" t="str">
        <x:v>ATIVA/SEM FIM INFORMADO</x:v>
      </x:c>
      <x:c r="V21" s="24"/>
      <x:c r="W21" s="24" t="n">
        <x:v>12</x:v>
      </x:c>
      <x:c r="X21" s="24" t="str">
        <x:v>tabela_hoya(1).pdf</x:v>
      </x:c>
      <x:c r="Y21" s="24" t="str">
        <x:v>alta</x:v>
      </x:c>
      <x:c r="Z21" s="24"/>
      <x:c r="AA21" s="24" t="str">
        <x:v>HOYA|Visão Simples|Surfaçada|Nulux iDentity V+|SENSITY 2|PNX|1.53|No-Risk BlueControl|-13.00 até +9.00||||||12</x:v>
      </x:c>
    </x:row>
    <x:row r="22">
      <x:c r="A22" s="24" t="str">
        <x:v>HY-EAD0D4B7BC2A</x:v>
      </x:c>
      <x:c r="B22" s="24" t="str">
        <x:v>SIM</x:v>
      </x:c>
      <x:c r="C22" s="24" t="str">
        <x:v>DISPONÍVEL</x:v>
      </x:c>
      <x:c r="D22" s="24" t="str">
        <x:v>HOYA</x:v>
      </x:c>
      <x:c r="E22" s="24" t="str">
        <x:v>Visão Simples</x:v>
      </x:c>
      <x:c r="F22" s="24" t="str">
        <x:v>Surfaçada</x:v>
      </x:c>
      <x:c r="G22" s="24" t="str">
        <x:v>Nulux iDentity V+</x:v>
      </x:c>
      <x:c r="H22" s="24" t="str">
        <x:v>SENSITY 2</x:v>
      </x:c>
      <x:c r="I22" s="24" t="str">
        <x:v>ORGANIC</x:v>
      </x:c>
      <x:c r="J22" s="24" t="str">
        <x:v>1.50</x:v>
      </x:c>
      <x:c r="K22" s="24" t="str">
        <x:v>No-Risk BlueControl</x:v>
      </x:c>
      <x:c r="L22" s="40" t="n">
        <x:v>3099</x:v>
      </x:c>
      <x:c r="M22" s="24" t="str">
        <x:v>-10.00 até +10.00</x:v>
      </x:c>
      <x:c r="N22" s="24"/>
      <x:c r="O22" s="24"/>
      <x:c r="P22" s="24"/>
      <x:c r="Q22" s="24"/>
      <x:c r="R22" s="24"/>
      <x:c r="S22" s="26" t="n">
        <x:v>45992</x:v>
      </x:c>
      <x:c r="T22" s="26"/>
      <x:c r="U22" s="24" t="str">
        <x:v>ATIVA/SEM FIM INFORMADO</x:v>
      </x:c>
      <x:c r="V22" s="24"/>
      <x:c r="W22" s="24" t="n">
        <x:v>12</x:v>
      </x:c>
      <x:c r="X22" s="24" t="str">
        <x:v>tabela_hoya(1).pdf</x:v>
      </x:c>
      <x:c r="Y22" s="24" t="str">
        <x:v>alta</x:v>
      </x:c>
      <x:c r="Z22" s="24"/>
      <x:c r="AA22" s="24" t="str">
        <x:v>HOYA|Visão Simples|Surfaçada|Nulux iDentity V+|SENSITY 2|ORGANIC|1.50|No-Risk BlueControl|-10.00 até +10.00||||||12</x:v>
      </x:c>
    </x:row>
    <x:row r="23">
      <x:c r="A23" s="24" t="str">
        <x:v>HY-A52EAE418881</x:v>
      </x:c>
      <x:c r="B23" s="24" t="str">
        <x:v>SIM</x:v>
      </x:c>
      <x:c r="C23" s="24" t="str">
        <x:v>DISPONÍVEL</x:v>
      </x:c>
      <x:c r="D23" s="24" t="str">
        <x:v>HOYA</x:v>
      </x:c>
      <x:c r="E23" s="24" t="str">
        <x:v>Visão Simples</x:v>
      </x:c>
      <x:c r="F23" s="24" t="str">
        <x:v>Surfaçada</x:v>
      </x:c>
      <x:c r="G23" s="24" t="str">
        <x:v>Nulux iDentity V+</x:v>
      </x:c>
      <x:c r="H23" s="24" t="str">
        <x:v>COLORIDAS</x:v>
      </x:c>
      <x:c r="I23" s="24" t="str">
        <x:v>EYVIA</x:v>
      </x:c>
      <x:c r="J23" s="24" t="str">
        <x:v>1.74</x:v>
      </x:c>
      <x:c r="K23" s="24" t="str">
        <x:v>Hi-Vision Sun Pro</x:v>
      </x:c>
      <x:c r="L23" s="40" t="n">
        <x:v>4639</x:v>
      </x:c>
      <x:c r="M23" s="24" t="str">
        <x:v>-20.00 até +12.00</x:v>
      </x:c>
      <x:c r="N23" s="24"/>
      <x:c r="O23" s="24"/>
      <x:c r="P23" s="24"/>
      <x:c r="Q23" s="24"/>
      <x:c r="R23" s="24"/>
      <x:c r="S23" s="26" t="n">
        <x:v>45992</x:v>
      </x:c>
      <x:c r="T23" s="26"/>
      <x:c r="U23" s="24" t="str">
        <x:v>ATIVA/SEM FIM INFORMADO</x:v>
      </x:c>
      <x:c r="V23" s="24"/>
      <x:c r="W23" s="24" t="n">
        <x:v>12</x:v>
      </x:c>
      <x:c r="X23" s="24" t="str">
        <x:v>tabela_hoya(1).pdf</x:v>
      </x:c>
      <x:c r="Y23" s="24" t="str">
        <x:v>alta</x:v>
      </x:c>
      <x:c r="Z23" s="24"/>
      <x:c r="AA23" s="24" t="str">
        <x:v>HOYA|Visão Simples|Surfaçada|Nulux iDentity V+|COLORIDAS|EYVIA|1.74|Hi-Vision Sun Pro|-20.00 até +12.00||||||12</x:v>
      </x:c>
    </x:row>
    <x:row r="24">
      <x:c r="A24" s="24" t="str">
        <x:v>HY-8361FD09E4B6</x:v>
      </x:c>
      <x:c r="B24" s="24" t="str">
        <x:v>SIM</x:v>
      </x:c>
      <x:c r="C24" s="24" t="str">
        <x:v>DISPONÍVEL</x:v>
      </x:c>
      <x:c r="D24" s="24" t="str">
        <x:v>HOYA</x:v>
      </x:c>
      <x:c r="E24" s="24" t="str">
        <x:v>Visão Simples</x:v>
      </x:c>
      <x:c r="F24" s="24" t="str">
        <x:v>Surfaçada</x:v>
      </x:c>
      <x:c r="G24" s="24" t="str">
        <x:v>Nulux iDentity V+</x:v>
      </x:c>
      <x:c r="H24" s="24" t="str">
        <x:v>COLORIDAS</x:v>
      </x:c>
      <x:c r="I24" s="24" t="str">
        <x:v>EYNOA</x:v>
      </x:c>
      <x:c r="J24" s="24" t="str">
        <x:v>1.67</x:v>
      </x:c>
      <x:c r="K24" s="24" t="str">
        <x:v>Hi-Vision Sun Pro</x:v>
      </x:c>
      <x:c r="L24" s="40" t="n">
        <x:v>3889</x:v>
      </x:c>
      <x:c r="M24" s="24" t="str">
        <x:v>-15.00 até +10.00</x:v>
      </x:c>
      <x:c r="N24" s="24"/>
      <x:c r="O24" s="24"/>
      <x:c r="P24" s="24"/>
      <x:c r="Q24" s="24"/>
      <x:c r="R24" s="24"/>
      <x:c r="S24" s="26" t="n">
        <x:v>45992</x:v>
      </x:c>
      <x:c r="T24" s="26"/>
      <x:c r="U24" s="24" t="str">
        <x:v>ATIVA/SEM FIM INFORMADO</x:v>
      </x:c>
      <x:c r="V24" s="24"/>
      <x:c r="W24" s="24" t="n">
        <x:v>12</x:v>
      </x:c>
      <x:c r="X24" s="24" t="str">
        <x:v>tabela_hoya(1).pdf</x:v>
      </x:c>
      <x:c r="Y24" s="24" t="str">
        <x:v>alta</x:v>
      </x:c>
      <x:c r="Z24" s="24"/>
      <x:c r="AA24" s="24" t="str">
        <x:v>HOYA|Visão Simples|Surfaçada|Nulux iDentity V+|COLORIDAS|EYNOA|1.67|Hi-Vision Sun Pro|-15.00 até +10.00||||||12</x:v>
      </x:c>
    </x:row>
    <x:row r="25">
      <x:c r="A25" s="24" t="str">
        <x:v>HY-1352CD65917E</x:v>
      </x:c>
      <x:c r="B25" s="24" t="str">
        <x:v>SIM</x:v>
      </x:c>
      <x:c r="C25" s="24" t="str">
        <x:v>DISPONÍVEL</x:v>
      </x:c>
      <x:c r="D25" s="24" t="str">
        <x:v>HOYA</x:v>
      </x:c>
      <x:c r="E25" s="24" t="str">
        <x:v>Visão Simples</x:v>
      </x:c>
      <x:c r="F25" s="24" t="str">
        <x:v>Surfaçada</x:v>
      </x:c>
      <x:c r="G25" s="24" t="str">
        <x:v>Nulux iDentity V+</x:v>
      </x:c>
      <x:c r="H25" s="24" t="str">
        <x:v>COLORIDAS</x:v>
      </x:c>
      <x:c r="I25" s="24" t="str">
        <x:v>EYAS 2.0</x:v>
      </x:c>
      <x:c r="J25" s="24" t="str">
        <x:v>1.60</x:v>
      </x:c>
      <x:c r="K25" s="24" t="str">
        <x:v>Hi-Vision Sun Pro</x:v>
      </x:c>
      <x:c r="L25" s="40" t="n">
        <x:v>2999</x:v>
      </x:c>
      <x:c r="M25" s="24" t="str">
        <x:v>-13.00 até +8.00</x:v>
      </x:c>
      <x:c r="N25" s="24"/>
      <x:c r="O25" s="24"/>
      <x:c r="P25" s="24"/>
      <x:c r="Q25" s="24"/>
      <x:c r="R25" s="24"/>
      <x:c r="S25" s="26" t="n">
        <x:v>45992</x:v>
      </x:c>
      <x:c r="T25" s="26"/>
      <x:c r="U25" s="24" t="str">
        <x:v>ATIVA/SEM FIM INFORMADO</x:v>
      </x:c>
      <x:c r="V25" s="24"/>
      <x:c r="W25" s="24" t="n">
        <x:v>12</x:v>
      </x:c>
      <x:c r="X25" s="24" t="str">
        <x:v>tabela_hoya(1).pdf</x:v>
      </x:c>
      <x:c r="Y25" s="24" t="str">
        <x:v>alta</x:v>
      </x:c>
      <x:c r="Z25" s="24"/>
      <x:c r="AA25" s="24" t="str">
        <x:v>HOYA|Visão Simples|Surfaçada|Nulux iDentity V+|COLORIDAS|EYAS 2.0|1.60|Hi-Vision Sun Pro|-13.00 até +8.00||||||12</x:v>
      </x:c>
    </x:row>
    <x:row r="26">
      <x:c r="A26" s="24" t="str">
        <x:v>HY-72877F8748FF</x:v>
      </x:c>
      <x:c r="B26" s="24" t="str">
        <x:v>SIM</x:v>
      </x:c>
      <x:c r="C26" s="24" t="str">
        <x:v>DISPONÍVEL</x:v>
      </x:c>
      <x:c r="D26" s="24" t="str">
        <x:v>HOYA</x:v>
      </x:c>
      <x:c r="E26" s="24" t="str">
        <x:v>Visão Simples</x:v>
      </x:c>
      <x:c r="F26" s="24" t="str">
        <x:v>Surfaçada</x:v>
      </x:c>
      <x:c r="G26" s="24" t="str">
        <x:v>Nulux iDentity V+</x:v>
      </x:c>
      <x:c r="H26" s="24" t="str">
        <x:v>COLORIDAS</x:v>
      </x:c>
      <x:c r="I26" s="24" t="str">
        <x:v>PNX</x:v>
      </x:c>
      <x:c r="J26" s="24" t="str">
        <x:v>1.53</x:v>
      </x:c>
      <x:c r="K26" s="24" t="str">
        <x:v>Hi-Vision Sun Pro</x:v>
      </x:c>
      <x:c r="L26" s="40" t="n">
        <x:v>2539</x:v>
      </x:c>
      <x:c r="M26" s="24" t="str">
        <x:v>-13.00 até +9.00</x:v>
      </x:c>
      <x:c r="N26" s="24"/>
      <x:c r="O26" s="24"/>
      <x:c r="P26" s="24"/>
      <x:c r="Q26" s="24"/>
      <x:c r="R26" s="24"/>
      <x:c r="S26" s="26" t="n">
        <x:v>45992</x:v>
      </x:c>
      <x:c r="T26" s="26"/>
      <x:c r="U26" s="24" t="str">
        <x:v>ATIVA/SEM FIM INFORMADO</x:v>
      </x:c>
      <x:c r="V26" s="24"/>
      <x:c r="W26" s="24" t="n">
        <x:v>12</x:v>
      </x:c>
      <x:c r="X26" s="24" t="str">
        <x:v>tabela_hoya(1).pdf</x:v>
      </x:c>
      <x:c r="Y26" s="24" t="str">
        <x:v>alta</x:v>
      </x:c>
      <x:c r="Z26" s="24"/>
      <x:c r="AA26" s="24" t="str">
        <x:v>HOYA|Visão Simples|Surfaçada|Nulux iDentity V+|COLORIDAS|PNX|1.53|Hi-Vision Sun Pro|-13.00 até +9.00||||||12</x:v>
      </x:c>
    </x:row>
    <x:row r="27">
      <x:c r="A27" s="24" t="str">
        <x:v>HY-BB883D9FD7EA</x:v>
      </x:c>
      <x:c r="B27" s="24" t="str">
        <x:v>SIM</x:v>
      </x:c>
      <x:c r="C27" s="24" t="str">
        <x:v>DISPONÍVEL</x:v>
      </x:c>
      <x:c r="D27" s="24" t="str">
        <x:v>HOYA</x:v>
      </x:c>
      <x:c r="E27" s="24" t="str">
        <x:v>Visão Simples</x:v>
      </x:c>
      <x:c r="F27" s="24" t="str">
        <x:v>Surfaçada</x:v>
      </x:c>
      <x:c r="G27" s="24" t="str">
        <x:v>Nulux iDentity V+</x:v>
      </x:c>
      <x:c r="H27" s="24" t="str">
        <x:v>COLORIDAS</x:v>
      </x:c>
      <x:c r="I27" s="24" t="str">
        <x:v>ORGANIC</x:v>
      </x:c>
      <x:c r="J27" s="24" t="str">
        <x:v>1.50</x:v>
      </x:c>
      <x:c r="K27" s="24" t="str">
        <x:v>Hi-Vision Sun Pro</x:v>
      </x:c>
      <x:c r="L27" s="40" t="n">
        <x:v>2189</x:v>
      </x:c>
      <x:c r="M27" s="24" t="str">
        <x:v>-10.00 até +10.00</x:v>
      </x:c>
      <x:c r="N27" s="24"/>
      <x:c r="O27" s="24"/>
      <x:c r="P27" s="24"/>
      <x:c r="Q27" s="24"/>
      <x:c r="R27" s="24"/>
      <x:c r="S27" s="26" t="n">
        <x:v>45992</x:v>
      </x:c>
      <x:c r="T27" s="26"/>
      <x:c r="U27" s="24" t="str">
        <x:v>ATIVA/SEM FIM INFORMADO</x:v>
      </x:c>
      <x:c r="V27" s="24"/>
      <x:c r="W27" s="24" t="n">
        <x:v>12</x:v>
      </x:c>
      <x:c r="X27" s="24" t="str">
        <x:v>tabela_hoya(1).pdf</x:v>
      </x:c>
      <x:c r="Y27" s="24" t="str">
        <x:v>alta</x:v>
      </x:c>
      <x:c r="Z27" s="24"/>
      <x:c r="AA27" s="24" t="str">
        <x:v>HOYA|Visão Simples|Surfaçada|Nulux iDentity V+|COLORIDAS|ORGANIC|1.50|Hi-Vision Sun Pro|-10.00 até +10.00||||||12</x:v>
      </x:c>
    </x:row>
    <x:row r="28">
      <x:c r="A28" s="24" t="str">
        <x:v>HY-8167C2D63F1B</x:v>
      </x:c>
      <x:c r="B28" s="24" t="str">
        <x:v>SIM</x:v>
      </x:c>
      <x:c r="C28" s="24" t="str">
        <x:v>DISPONÍVEL</x:v>
      </x:c>
      <x:c r="D28" s="24" t="str">
        <x:v>HOYA</x:v>
      </x:c>
      <x:c r="E28" s="24" t="str">
        <x:v>Visão Simples</x:v>
      </x:c>
      <x:c r="F28" s="24" t="str">
        <x:v>Surfaçada</x:v>
      </x:c>
      <x:c r="G28" s="24" t="str">
        <x:v>Nulux iDentity V+</x:v>
      </x:c>
      <x:c r="H28" s="24" t="str">
        <x:v>SENSITY SHINE</x:v>
      </x:c>
      <x:c r="I28" s="24" t="str">
        <x:v>EYNOA</x:v>
      </x:c>
      <x:c r="J28" s="24" t="str">
        <x:v>1.67</x:v>
      </x:c>
      <x:c r="K28" s="24" t="str">
        <x:v>Light Mirror</x:v>
      </x:c>
      <x:c r="L28" s="40" t="n">
        <x:v>5449</x:v>
      </x:c>
      <x:c r="M28" s="24" t="str">
        <x:v>-15.00 até +10.00</x:v>
      </x:c>
      <x:c r="N28" s="24"/>
      <x:c r="O28" s="24"/>
      <x:c r="P28" s="24"/>
      <x:c r="Q28" s="24"/>
      <x:c r="R28" s="24"/>
      <x:c r="S28" s="26" t="n">
        <x:v>45992</x:v>
      </x:c>
      <x:c r="T28" s="26"/>
      <x:c r="U28" s="24" t="str">
        <x:v>ATIVA/SEM FIM INFORMADO</x:v>
      </x:c>
      <x:c r="V28" s="24"/>
      <x:c r="W28" s="24" t="n">
        <x:v>12</x:v>
      </x:c>
      <x:c r="X28" s="24" t="str">
        <x:v>tabela_hoya(1).pdf</x:v>
      </x:c>
      <x:c r="Y28" s="24" t="str">
        <x:v>alta</x:v>
      </x:c>
      <x:c r="Z28" s="24"/>
      <x:c r="AA28" s="24" t="str">
        <x:v>HOYA|Visão Simples|Surfaçada|Nulux iDentity V+|SENSITY SHINE|EYNOA|1.67|Light Mirror|-15.00 até +10.00||||||12</x:v>
      </x:c>
    </x:row>
    <x:row r="29">
      <x:c r="A29" s="24" t="str">
        <x:v>HY-D3ACAA74FE62</x:v>
      </x:c>
      <x:c r="B29" s="24" t="str">
        <x:v>SIM</x:v>
      </x:c>
      <x:c r="C29" s="24" t="str">
        <x:v>DISPONÍVEL</x:v>
      </x:c>
      <x:c r="D29" s="24" t="str">
        <x:v>HOYA</x:v>
      </x:c>
      <x:c r="E29" s="24" t="str">
        <x:v>Visão Simples</x:v>
      </x:c>
      <x:c r="F29" s="24" t="str">
        <x:v>Surfaçada</x:v>
      </x:c>
      <x:c r="G29" s="24" t="str">
        <x:v>Nulux iDentity V+</x:v>
      </x:c>
      <x:c r="H29" s="24" t="str">
        <x:v>SENSITY SHINE</x:v>
      </x:c>
      <x:c r="I29" s="24" t="str">
        <x:v>PNX</x:v>
      </x:c>
      <x:c r="J29" s="24" t="str">
        <x:v>1.53</x:v>
      </x:c>
      <x:c r="K29" s="24" t="str">
        <x:v>Light Mirror</x:v>
      </x:c>
      <x:c r="L29" s="40" t="n">
        <x:v>4099</x:v>
      </x:c>
      <x:c r="M29" s="24" t="str">
        <x:v>-13.00 até +9.00</x:v>
      </x:c>
      <x:c r="N29" s="24"/>
      <x:c r="O29" s="24"/>
      <x:c r="P29" s="24"/>
      <x:c r="Q29" s="24"/>
      <x:c r="R29" s="24"/>
      <x:c r="S29" s="26" t="n">
        <x:v>45992</x:v>
      </x:c>
      <x:c r="T29" s="26"/>
      <x:c r="U29" s="24" t="str">
        <x:v>ATIVA/SEM FIM INFORMADO</x:v>
      </x:c>
      <x:c r="V29" s="24"/>
      <x:c r="W29" s="24" t="n">
        <x:v>12</x:v>
      </x:c>
      <x:c r="X29" s="24" t="str">
        <x:v>tabela_hoya(1).pdf</x:v>
      </x:c>
      <x:c r="Y29" s="24" t="str">
        <x:v>alta</x:v>
      </x:c>
      <x:c r="Z29" s="24"/>
      <x:c r="AA29" s="24" t="str">
        <x:v>HOYA|Visão Simples|Surfaçada|Nulux iDentity V+|SENSITY SHINE|PNX|1.53|Light Mirror|-13.00 até +9.00||||||12</x:v>
      </x:c>
    </x:row>
    <x:row r="30">
      <x:c r="A30" s="24" t="str">
        <x:v>HY-A551C2327900</x:v>
      </x:c>
      <x:c r="B30" s="24" t="str">
        <x:v>SIM</x:v>
      </x:c>
      <x:c r="C30" s="24" t="str">
        <x:v>DISPONÍVEL</x:v>
      </x:c>
      <x:c r="D30" s="24" t="str">
        <x:v>HOYA</x:v>
      </x:c>
      <x:c r="E30" s="24" t="str">
        <x:v>Visão Simples</x:v>
      </x:c>
      <x:c r="F30" s="24" t="str">
        <x:v>Surfaçada</x:v>
      </x:c>
      <x:c r="G30" s="24" t="str">
        <x:v>Nulux iDentity V+</x:v>
      </x:c>
      <x:c r="H30" s="24" t="str">
        <x:v>SENSITY SHINE</x:v>
      </x:c>
      <x:c r="I30" s="24" t="str">
        <x:v>ORGANIC</x:v>
      </x:c>
      <x:c r="J30" s="24" t="str">
        <x:v>1.50</x:v>
      </x:c>
      <x:c r="K30" s="24" t="str">
        <x:v>Light Mirror</x:v>
      </x:c>
      <x:c r="L30" s="40" t="n">
        <x:v>3749</x:v>
      </x:c>
      <x:c r="M30" s="24" t="str">
        <x:v>-10.00 até +10.00</x:v>
      </x:c>
      <x:c r="N30" s="24"/>
      <x:c r="O30" s="24"/>
      <x:c r="P30" s="24"/>
      <x:c r="Q30" s="24"/>
      <x:c r="R30" s="24"/>
      <x:c r="S30" s="26" t="n">
        <x:v>45992</x:v>
      </x:c>
      <x:c r="T30" s="26"/>
      <x:c r="U30" s="24" t="str">
        <x:v>ATIVA/SEM FIM INFORMADO</x:v>
      </x:c>
      <x:c r="V30" s="24"/>
      <x:c r="W30" s="24" t="n">
        <x:v>12</x:v>
      </x:c>
      <x:c r="X30" s="24" t="str">
        <x:v>tabela_hoya(1).pdf</x:v>
      </x:c>
      <x:c r="Y30" s="24" t="str">
        <x:v>alta</x:v>
      </x:c>
      <x:c r="Z30" s="24"/>
      <x:c r="AA30" s="24" t="str">
        <x:v>HOYA|Visão Simples|Surfaçada|Nulux iDentity V+|SENSITY SHINE|ORGANIC|1.50|Light Mirror|-10.00 até +10.00||||||12</x:v>
      </x:c>
    </x:row>
    <x:row r="31">
      <x:c r="A31" s="24" t="str">
        <x:v>HY-B3CB3B279523</x:v>
      </x:c>
      <x:c r="B31" s="24" t="str">
        <x:v>NÃO</x:v>
      </x:c>
      <x:c r="C31" s="24" t="str">
        <x:v>EM BREVE</x:v>
      </x:c>
      <x:c r="D31" s="24" t="str">
        <x:v>HOYA</x:v>
      </x:c>
      <x:c r="E31" s="24" t="str">
        <x:v>Visão Simples</x:v>
      </x:c>
      <x:c r="F31" s="24" t="str">
        <x:v>Surfaçada</x:v>
      </x:c>
      <x:c r="G31" s="24" t="str">
        <x:v>Nulux TrueForm</x:v>
      </x:c>
      <x:c r="H31" s="24" t="str">
        <x:v>INCOLOR</x:v>
      </x:c>
      <x:c r="I31" s="24" t="str">
        <x:v>EYNOA</x:v>
      </x:c>
      <x:c r="J31" s="24" t="str">
        <x:v>1.67</x:v>
      </x:c>
      <x:c r="K31" s="24" t="str">
        <x:v>Hi-Vision Meiryo</x:v>
      </x:c>
      <x:c r="L31" s="40" t="n">
        <x:v>3509</x:v>
      </x:c>
      <x:c r="M31" s="24" t="str">
        <x:v>-10.00 até +8.00</x:v>
      </x:c>
      <x:c r="N31" s="24"/>
      <x:c r="O31" s="24"/>
      <x:c r="P31" s="24"/>
      <x:c r="Q31" s="24"/>
      <x:c r="R31" s="24"/>
      <x:c r="S31" s="26" t="n">
        <x:v>45992</x:v>
      </x:c>
      <x:c r="T31" s="26"/>
      <x:c r="U31" s="24" t="str">
        <x:v>ATIVA/SEM FIM INFORMADO</x:v>
      </x:c>
      <x:c r="V31" s="24"/>
      <x:c r="W31" s="24" t="n">
        <x:v>13</x:v>
      </x:c>
      <x:c r="X31" s="24" t="str">
        <x:v>tabela_hoya(1).pdf</x:v>
      </x:c>
      <x:c r="Y31" s="24" t="str">
        <x:v>alta</x:v>
      </x:c>
      <x:c r="Z31" s="24" t="str">
        <x:v>Tratamento/produto marcado como “EM BREVE” na própria tabela HOYA; preço preservado, mas bloqueado no export web.</x:v>
      </x:c>
      <x:c r="AA31" s="24" t="str">
        <x:v>HOYA|Visão Simples|Surfaçada|Nulux TrueForm|INCOLOR|EYNOA|1.67|Hi-Vision Meiryo|-10.00 até +8.00||||||13</x:v>
      </x:c>
    </x:row>
    <x:row r="32">
      <x:c r="A32" s="24" t="str">
        <x:v>HY-C0CACAAEBC3F</x:v>
      </x:c>
      <x:c r="B32" s="24" t="str">
        <x:v>NÃO</x:v>
      </x:c>
      <x:c r="C32" s="24" t="str">
        <x:v>EM BREVE</x:v>
      </x:c>
      <x:c r="D32" s="24" t="str">
        <x:v>HOYA</x:v>
      </x:c>
      <x:c r="E32" s="24" t="str">
        <x:v>Visão Simples</x:v>
      </x:c>
      <x:c r="F32" s="24" t="str">
        <x:v>Surfaçada</x:v>
      </x:c>
      <x:c r="G32" s="24" t="str">
        <x:v>Nulux TrueForm</x:v>
      </x:c>
      <x:c r="H32" s="24" t="str">
        <x:v>INCOLOR</x:v>
      </x:c>
      <x:c r="I32" s="24" t="str">
        <x:v>EYAS 2.0</x:v>
      </x:c>
      <x:c r="J32" s="24" t="str">
        <x:v>1.60</x:v>
      </x:c>
      <x:c r="K32" s="24" t="str">
        <x:v>Hi-Vision Meiryo</x:v>
      </x:c>
      <x:c r="L32" s="40" t="n">
        <x:v>2709</x:v>
      </x:c>
      <x:c r="M32" s="24" t="str">
        <x:v>-10.00 até +8.00</x:v>
      </x:c>
      <x:c r="N32" s="24"/>
      <x:c r="O32" s="24"/>
      <x:c r="P32" s="24"/>
      <x:c r="Q32" s="24"/>
      <x:c r="R32" s="24"/>
      <x:c r="S32" s="26" t="n">
        <x:v>45992</x:v>
      </x:c>
      <x:c r="T32" s="26"/>
      <x:c r="U32" s="24" t="str">
        <x:v>ATIVA/SEM FIM INFORMADO</x:v>
      </x:c>
      <x:c r="V32" s="24"/>
      <x:c r="W32" s="24" t="n">
        <x:v>13</x:v>
      </x:c>
      <x:c r="X32" s="24" t="str">
        <x:v>tabela_hoya(1).pdf</x:v>
      </x:c>
      <x:c r="Y32" s="24" t="str">
        <x:v>alta</x:v>
      </x:c>
      <x:c r="Z32" s="24" t="str">
        <x:v>Tratamento/produto marcado como “EM BREVE” na própria tabela HOYA; preço preservado, mas bloqueado no export web.</x:v>
      </x:c>
      <x:c r="AA32" s="24" t="str">
        <x:v>HOYA|Visão Simples|Surfaçada|Nulux TrueForm|INCOLOR|EYAS 2.0|1.60|Hi-Vision Meiryo|-10.00 até +8.00||||||13</x:v>
      </x:c>
    </x:row>
    <x:row r="33">
      <x:c r="A33" s="24" t="str">
        <x:v>HY-3280FEE1C7E8</x:v>
      </x:c>
      <x:c r="B33" s="24" t="str">
        <x:v>NÃO</x:v>
      </x:c>
      <x:c r="C33" s="24" t="str">
        <x:v>EM BREVE</x:v>
      </x:c>
      <x:c r="D33" s="24" t="str">
        <x:v>HOYA</x:v>
      </x:c>
      <x:c r="E33" s="24" t="str">
        <x:v>Visão Simples</x:v>
      </x:c>
      <x:c r="F33" s="24" t="str">
        <x:v>Surfaçada</x:v>
      </x:c>
      <x:c r="G33" s="24" t="str">
        <x:v>Nulux TrueForm</x:v>
      </x:c>
      <x:c r="H33" s="24" t="str">
        <x:v>INCOLOR</x:v>
      </x:c>
      <x:c r="I33" s="24" t="str">
        <x:v>PNX</x:v>
      </x:c>
      <x:c r="J33" s="24" t="str">
        <x:v>1.53</x:v>
      </x:c>
      <x:c r="K33" s="24" t="str">
        <x:v>Hi-Vision Meiryo</x:v>
      </x:c>
      <x:c r="L33" s="40" t="n">
        <x:v>2249</x:v>
      </x:c>
      <x:c r="M33" s="24" t="str">
        <x:v>-10.00 até +8.00</x:v>
      </x:c>
      <x:c r="N33" s="24"/>
      <x:c r="O33" s="24"/>
      <x:c r="P33" s="24"/>
      <x:c r="Q33" s="24"/>
      <x:c r="R33" s="24"/>
      <x:c r="S33" s="26" t="n">
        <x:v>45992</x:v>
      </x:c>
      <x:c r="T33" s="26"/>
      <x:c r="U33" s="24" t="str">
        <x:v>ATIVA/SEM FIM INFORMADO</x:v>
      </x:c>
      <x:c r="V33" s="24"/>
      <x:c r="W33" s="24" t="n">
        <x:v>13</x:v>
      </x:c>
      <x:c r="X33" s="24" t="str">
        <x:v>tabela_hoya(1).pdf</x:v>
      </x:c>
      <x:c r="Y33" s="24" t="str">
        <x:v>alta</x:v>
      </x:c>
      <x:c r="Z33" s="24" t="str">
        <x:v>Tratamento/produto marcado como “EM BREVE” na própria tabela HOYA; preço preservado, mas bloqueado no export web.</x:v>
      </x:c>
      <x:c r="AA33" s="24" t="str">
        <x:v>HOYA|Visão Simples|Surfaçada|Nulux TrueForm|INCOLOR|PNX|1.53|Hi-Vision Meiryo|-10.00 até +8.00||||||13</x:v>
      </x:c>
    </x:row>
    <x:row r="34">
      <x:c r="A34" s="24" t="str">
        <x:v>HY-54BF4D476ADB</x:v>
      </x:c>
      <x:c r="B34" s="24" t="str">
        <x:v>NÃO</x:v>
      </x:c>
      <x:c r="C34" s="24" t="str">
        <x:v>EM BREVE</x:v>
      </x:c>
      <x:c r="D34" s="24" t="str">
        <x:v>HOYA</x:v>
      </x:c>
      <x:c r="E34" s="24" t="str">
        <x:v>Visão Simples</x:v>
      </x:c>
      <x:c r="F34" s="24" t="str">
        <x:v>Surfaçada</x:v>
      </x:c>
      <x:c r="G34" s="24" t="str">
        <x:v>Nulux TrueForm</x:v>
      </x:c>
      <x:c r="H34" s="24" t="str">
        <x:v>INCOLOR</x:v>
      </x:c>
      <x:c r="I34" s="24" t="str">
        <x:v>ORGANIC</x:v>
      </x:c>
      <x:c r="J34" s="24" t="str">
        <x:v>1.50</x:v>
      </x:c>
      <x:c r="K34" s="24" t="str">
        <x:v>Hi-Vision Meiryo</x:v>
      </x:c>
      <x:c r="L34" s="40" t="n">
        <x:v>1899</x:v>
      </x:c>
      <x:c r="M34" s="24" t="str">
        <x:v>-10.00 até +8.00</x:v>
      </x:c>
      <x:c r="N34" s="24"/>
      <x:c r="O34" s="24"/>
      <x:c r="P34" s="24"/>
      <x:c r="Q34" s="24"/>
      <x:c r="R34" s="24"/>
      <x:c r="S34" s="26" t="n">
        <x:v>45992</x:v>
      </x:c>
      <x:c r="T34" s="26"/>
      <x:c r="U34" s="24" t="str">
        <x:v>ATIVA/SEM FIM INFORMADO</x:v>
      </x:c>
      <x:c r="V34" s="24"/>
      <x:c r="W34" s="24" t="n">
        <x:v>13</x:v>
      </x:c>
      <x:c r="X34" s="24" t="str">
        <x:v>tabela_hoya(1).pdf</x:v>
      </x:c>
      <x:c r="Y34" s="24" t="str">
        <x:v>alta</x:v>
      </x:c>
      <x:c r="Z34" s="24" t="str">
        <x:v>Tratamento/produto marcado como “EM BREVE” na própria tabela HOYA; preço preservado, mas bloqueado no export web.</x:v>
      </x:c>
      <x:c r="AA34" s="24" t="str">
        <x:v>HOYA|Visão Simples|Surfaçada|Nulux TrueForm|INCOLOR|ORGANIC|1.50|Hi-Vision Meiryo|-10.00 até +8.00||||||13</x:v>
      </x:c>
    </x:row>
    <x:row r="35">
      <x:c r="A35" s="24" t="str">
        <x:v>HY-D9FC250B6153</x:v>
      </x:c>
      <x:c r="B35" s="24" t="str">
        <x:v>SIM</x:v>
      </x:c>
      <x:c r="C35" s="24" t="str">
        <x:v>DISPONÍVEL</x:v>
      </x:c>
      <x:c r="D35" s="24" t="str">
        <x:v>HOYA</x:v>
      </x:c>
      <x:c r="E35" s="24" t="str">
        <x:v>Visão Simples</x:v>
      </x:c>
      <x:c r="F35" s="24" t="str">
        <x:v>Surfaçada</x:v>
      </x:c>
      <x:c r="G35" s="24" t="str">
        <x:v>Nulux TrueForm</x:v>
      </x:c>
      <x:c r="H35" s="24" t="str">
        <x:v>INCOLOR</x:v>
      </x:c>
      <x:c r="I35" s="24" t="str">
        <x:v>EYNOA</x:v>
      </x:c>
      <x:c r="J35" s="24" t="str">
        <x:v>1.67</x:v>
      </x:c>
      <x:c r="K35" s="24" t="str">
        <x:v>Hi-Vision LongLife BlueControl</x:v>
      </x:c>
      <x:c r="L35" s="40" t="n">
        <x:v>3309</x:v>
      </x:c>
      <x:c r="M35" s="24" t="str">
        <x:v>-10.00 até +8.00</x:v>
      </x:c>
      <x:c r="N35" s="24"/>
      <x:c r="O35" s="24"/>
      <x:c r="P35" s="24"/>
      <x:c r="Q35" s="24"/>
      <x:c r="R35" s="24"/>
      <x:c r="S35" s="26" t="n">
        <x:v>45992</x:v>
      </x:c>
      <x:c r="T35" s="26"/>
      <x:c r="U35" s="24" t="str">
        <x:v>ATIVA/SEM FIM INFORMADO</x:v>
      </x:c>
      <x:c r="V35" s="24"/>
      <x:c r="W35" s="24" t="n">
        <x:v>13</x:v>
      </x:c>
      <x:c r="X35" s="24" t="str">
        <x:v>tabela_hoya(1).pdf</x:v>
      </x:c>
      <x:c r="Y35" s="24" t="str">
        <x:v>alta</x:v>
      </x:c>
      <x:c r="Z35" s="24"/>
      <x:c r="AA35" s="24" t="str">
        <x:v>HOYA|Visão Simples|Surfaçada|Nulux TrueForm|INCOLOR|EYNOA|1.67|Hi-Vision LongLife BlueControl|-10.00 até +8.00||||||13</x:v>
      </x:c>
    </x:row>
    <x:row r="36">
      <x:c r="A36" s="24" t="str">
        <x:v>HY-A30A2367B56C</x:v>
      </x:c>
      <x:c r="B36" s="24" t="str">
        <x:v>SIM</x:v>
      </x:c>
      <x:c r="C36" s="24" t="str">
        <x:v>DISPONÍVEL</x:v>
      </x:c>
      <x:c r="D36" s="24" t="str">
        <x:v>HOYA</x:v>
      </x:c>
      <x:c r="E36" s="24" t="str">
        <x:v>Visão Simples</x:v>
      </x:c>
      <x:c r="F36" s="24" t="str">
        <x:v>Surfaçada</x:v>
      </x:c>
      <x:c r="G36" s="24" t="str">
        <x:v>Nulux TrueForm</x:v>
      </x:c>
      <x:c r="H36" s="24" t="str">
        <x:v>INCOLOR</x:v>
      </x:c>
      <x:c r="I36" s="24" t="str">
        <x:v>EYAS 2.0</x:v>
      </x:c>
      <x:c r="J36" s="24" t="str">
        <x:v>1.60</x:v>
      </x:c>
      <x:c r="K36" s="24" t="str">
        <x:v>Hi-Vision LongLife BlueControl</x:v>
      </x:c>
      <x:c r="L36" s="40" t="n">
        <x:v>2509</x:v>
      </x:c>
      <x:c r="M36" s="24" t="str">
        <x:v>-10.00 até +8.00</x:v>
      </x:c>
      <x:c r="N36" s="24"/>
      <x:c r="O36" s="24"/>
      <x:c r="P36" s="24"/>
      <x:c r="Q36" s="24"/>
      <x:c r="R36" s="24"/>
      <x:c r="S36" s="26" t="n">
        <x:v>45992</x:v>
      </x:c>
      <x:c r="T36" s="26"/>
      <x:c r="U36" s="24" t="str">
        <x:v>ATIVA/SEM FIM INFORMADO</x:v>
      </x:c>
      <x:c r="V36" s="24"/>
      <x:c r="W36" s="24" t="n">
        <x:v>13</x:v>
      </x:c>
      <x:c r="X36" s="24" t="str">
        <x:v>tabela_hoya(1).pdf</x:v>
      </x:c>
      <x:c r="Y36" s="24" t="str">
        <x:v>alta</x:v>
      </x:c>
      <x:c r="Z36" s="24"/>
      <x:c r="AA36" s="24" t="str">
        <x:v>HOYA|Visão Simples|Surfaçada|Nulux TrueForm|INCOLOR|EYAS 2.0|1.60|Hi-Vision LongLife BlueControl|-10.00 até +8.00||||||13</x:v>
      </x:c>
    </x:row>
    <x:row r="37">
      <x:c r="A37" s="24" t="str">
        <x:v>HY-9B9E249A582B</x:v>
      </x:c>
      <x:c r="B37" s="24" t="str">
        <x:v>SIM</x:v>
      </x:c>
      <x:c r="C37" s="24" t="str">
        <x:v>DISPONÍVEL</x:v>
      </x:c>
      <x:c r="D37" s="24" t="str">
        <x:v>HOYA</x:v>
      </x:c>
      <x:c r="E37" s="24" t="str">
        <x:v>Visão Simples</x:v>
      </x:c>
      <x:c r="F37" s="24" t="str">
        <x:v>Surfaçada</x:v>
      </x:c>
      <x:c r="G37" s="24" t="str">
        <x:v>Nulux TrueForm</x:v>
      </x:c>
      <x:c r="H37" s="24" t="str">
        <x:v>INCOLOR</x:v>
      </x:c>
      <x:c r="I37" s="24" t="str">
        <x:v>PNX</x:v>
      </x:c>
      <x:c r="J37" s="24" t="str">
        <x:v>1.53</x:v>
      </x:c>
      <x:c r="K37" s="24" t="str">
        <x:v>Hi-Vision LongLife BlueControl</x:v>
      </x:c>
      <x:c r="L37" s="40" t="n">
        <x:v>2049</x:v>
      </x:c>
      <x:c r="M37" s="24" t="str">
        <x:v>-10.00 até +8.00</x:v>
      </x:c>
      <x:c r="N37" s="24"/>
      <x:c r="O37" s="24"/>
      <x:c r="P37" s="24"/>
      <x:c r="Q37" s="24"/>
      <x:c r="R37" s="24"/>
      <x:c r="S37" s="26" t="n">
        <x:v>45992</x:v>
      </x:c>
      <x:c r="T37" s="26"/>
      <x:c r="U37" s="24" t="str">
        <x:v>ATIVA/SEM FIM INFORMADO</x:v>
      </x:c>
      <x:c r="V37" s="24"/>
      <x:c r="W37" s="24" t="n">
        <x:v>13</x:v>
      </x:c>
      <x:c r="X37" s="24" t="str">
        <x:v>tabela_hoya(1).pdf</x:v>
      </x:c>
      <x:c r="Y37" s="24" t="str">
        <x:v>alta</x:v>
      </x:c>
      <x:c r="Z37" s="24"/>
      <x:c r="AA37" s="24" t="str">
        <x:v>HOYA|Visão Simples|Surfaçada|Nulux TrueForm|INCOLOR|PNX|1.53|Hi-Vision LongLife BlueControl|-10.00 até +8.00||||||13</x:v>
      </x:c>
    </x:row>
    <x:row r="38">
      <x:c r="A38" s="24" t="str">
        <x:v>HY-951429034C3A</x:v>
      </x:c>
      <x:c r="B38" s="24" t="str">
        <x:v>SIM</x:v>
      </x:c>
      <x:c r="C38" s="24" t="str">
        <x:v>DISPONÍVEL</x:v>
      </x:c>
      <x:c r="D38" s="24" t="str">
        <x:v>HOYA</x:v>
      </x:c>
      <x:c r="E38" s="24" t="str">
        <x:v>Visão Simples</x:v>
      </x:c>
      <x:c r="F38" s="24" t="str">
        <x:v>Surfaçada</x:v>
      </x:c>
      <x:c r="G38" s="24" t="str">
        <x:v>Nulux TrueForm</x:v>
      </x:c>
      <x:c r="H38" s="24" t="str">
        <x:v>INCOLOR</x:v>
      </x:c>
      <x:c r="I38" s="24" t="str">
        <x:v>ORGANIC</x:v>
      </x:c>
      <x:c r="J38" s="24" t="str">
        <x:v>1.50</x:v>
      </x:c>
      <x:c r="K38" s="24" t="str">
        <x:v>Hi-Vision LongLife BlueControl</x:v>
      </x:c>
      <x:c r="L38" s="40" t="n">
        <x:v>1699</x:v>
      </x:c>
      <x:c r="M38" s="24" t="str">
        <x:v>-10.00 até +8.00</x:v>
      </x:c>
      <x:c r="N38" s="24"/>
      <x:c r="O38" s="24"/>
      <x:c r="P38" s="24"/>
      <x:c r="Q38" s="24"/>
      <x:c r="R38" s="24"/>
      <x:c r="S38" s="26" t="n">
        <x:v>45992</x:v>
      </x:c>
      <x:c r="T38" s="26"/>
      <x:c r="U38" s="24" t="str">
        <x:v>ATIVA/SEM FIM INFORMADO</x:v>
      </x:c>
      <x:c r="V38" s="24"/>
      <x:c r="W38" s="24" t="n">
        <x:v>13</x:v>
      </x:c>
      <x:c r="X38" s="24" t="str">
        <x:v>tabela_hoya(1).pdf</x:v>
      </x:c>
      <x:c r="Y38" s="24" t="str">
        <x:v>alta</x:v>
      </x:c>
      <x:c r="Z38" s="24"/>
      <x:c r="AA38" s="24" t="str">
        <x:v>HOYA|Visão Simples|Surfaçada|Nulux TrueForm|INCOLOR|ORGANIC|1.50|Hi-Vision LongLife BlueControl|-10.00 até +8.00||||||13</x:v>
      </x:c>
    </x:row>
    <x:row r="39">
      <x:c r="A39" s="24" t="str">
        <x:v>HY-22BE9469D16B</x:v>
      </x:c>
      <x:c r="B39" s="24" t="str">
        <x:v>SIM</x:v>
      </x:c>
      <x:c r="C39" s="24" t="str">
        <x:v>DISPONÍVEL</x:v>
      </x:c>
      <x:c r="D39" s="24" t="str">
        <x:v>HOYA</x:v>
      </x:c>
      <x:c r="E39" s="24" t="str">
        <x:v>Visão Simples</x:v>
      </x:c>
      <x:c r="F39" s="24" t="str">
        <x:v>Surfaçada</x:v>
      </x:c>
      <x:c r="G39" s="24" t="str">
        <x:v>Nulux TrueForm</x:v>
      </x:c>
      <x:c r="H39" s="24" t="str">
        <x:v>INCOLOR</x:v>
      </x:c>
      <x:c r="I39" s="24" t="str">
        <x:v>EYNOA</x:v>
      </x:c>
      <x:c r="J39" s="24" t="str">
        <x:v>1.67</x:v>
      </x:c>
      <x:c r="K39" s="24" t="str">
        <x:v>No-Risk BlueControl</x:v>
      </x:c>
      <x:c r="L39" s="40" t="n">
        <x:v>3059</x:v>
      </x:c>
      <x:c r="M39" s="24" t="str">
        <x:v>-10.00 até +8.00</x:v>
      </x:c>
      <x:c r="N39" s="24"/>
      <x:c r="O39" s="24"/>
      <x:c r="P39" s="24"/>
      <x:c r="Q39" s="24"/>
      <x:c r="R39" s="24"/>
      <x:c r="S39" s="26" t="n">
        <x:v>45992</x:v>
      </x:c>
      <x:c r="T39" s="26"/>
      <x:c r="U39" s="24" t="str">
        <x:v>ATIVA/SEM FIM INFORMADO</x:v>
      </x:c>
      <x:c r="V39" s="24"/>
      <x:c r="W39" s="24" t="n">
        <x:v>13</x:v>
      </x:c>
      <x:c r="X39" s="24" t="str">
        <x:v>tabela_hoya(1).pdf</x:v>
      </x:c>
      <x:c r="Y39" s="24" t="str">
        <x:v>alta</x:v>
      </x:c>
      <x:c r="Z39" s="24"/>
      <x:c r="AA39" s="24" t="str">
        <x:v>HOYA|Visão Simples|Surfaçada|Nulux TrueForm|INCOLOR|EYNOA|1.67|No-Risk BlueControl|-10.00 até +8.00||||||13</x:v>
      </x:c>
    </x:row>
    <x:row r="40">
      <x:c r="A40" s="24" t="str">
        <x:v>HY-68DC5C1332C2</x:v>
      </x:c>
      <x:c r="B40" s="24" t="str">
        <x:v>SIM</x:v>
      </x:c>
      <x:c r="C40" s="24" t="str">
        <x:v>DISPONÍVEL</x:v>
      </x:c>
      <x:c r="D40" s="24" t="str">
        <x:v>HOYA</x:v>
      </x:c>
      <x:c r="E40" s="24" t="str">
        <x:v>Visão Simples</x:v>
      </x:c>
      <x:c r="F40" s="24" t="str">
        <x:v>Surfaçada</x:v>
      </x:c>
      <x:c r="G40" s="24" t="str">
        <x:v>Nulux TrueForm</x:v>
      </x:c>
      <x:c r="H40" s="24" t="str">
        <x:v>INCOLOR</x:v>
      </x:c>
      <x:c r="I40" s="24" t="str">
        <x:v>EYAS 2.0</x:v>
      </x:c>
      <x:c r="J40" s="24" t="str">
        <x:v>1.60</x:v>
      </x:c>
      <x:c r="K40" s="24" t="str">
        <x:v>No-Risk BlueControl</x:v>
      </x:c>
      <x:c r="L40" s="40" t="n">
        <x:v>2259</x:v>
      </x:c>
      <x:c r="M40" s="24" t="str">
        <x:v>-10.00 até +8.00</x:v>
      </x:c>
      <x:c r="N40" s="24"/>
      <x:c r="O40" s="24"/>
      <x:c r="P40" s="24"/>
      <x:c r="Q40" s="24"/>
      <x:c r="R40" s="24"/>
      <x:c r="S40" s="26" t="n">
        <x:v>45992</x:v>
      </x:c>
      <x:c r="T40" s="26"/>
      <x:c r="U40" s="24" t="str">
        <x:v>ATIVA/SEM FIM INFORMADO</x:v>
      </x:c>
      <x:c r="V40" s="24"/>
      <x:c r="W40" s="24" t="n">
        <x:v>13</x:v>
      </x:c>
      <x:c r="X40" s="24" t="str">
        <x:v>tabela_hoya(1).pdf</x:v>
      </x:c>
      <x:c r="Y40" s="24" t="str">
        <x:v>alta</x:v>
      </x:c>
      <x:c r="Z40" s="24"/>
      <x:c r="AA40" s="24" t="str">
        <x:v>HOYA|Visão Simples|Surfaçada|Nulux TrueForm|INCOLOR|EYAS 2.0|1.60|No-Risk BlueControl|-10.00 até +8.00||||||13</x:v>
      </x:c>
    </x:row>
    <x:row r="41">
      <x:c r="A41" s="24" t="str">
        <x:v>HY-9D9DF9DB45CA</x:v>
      </x:c>
      <x:c r="B41" s="24" t="str">
        <x:v>SIM</x:v>
      </x:c>
      <x:c r="C41" s="24" t="str">
        <x:v>DISPONÍVEL</x:v>
      </x:c>
      <x:c r="D41" s="24" t="str">
        <x:v>HOYA</x:v>
      </x:c>
      <x:c r="E41" s="24" t="str">
        <x:v>Visão Simples</x:v>
      </x:c>
      <x:c r="F41" s="24" t="str">
        <x:v>Surfaçada</x:v>
      </x:c>
      <x:c r="G41" s="24" t="str">
        <x:v>Nulux TrueForm</x:v>
      </x:c>
      <x:c r="H41" s="24" t="str">
        <x:v>INCOLOR</x:v>
      </x:c>
      <x:c r="I41" s="24" t="str">
        <x:v>POLI</x:v>
      </x:c>
      <x:c r="J41" s="24" t="str">
        <x:v>1.59</x:v>
      </x:c>
      <x:c r="K41" s="24" t="str">
        <x:v>No-Risk BlueControl</x:v>
      </x:c>
      <x:c r="L41" s="40" t="n">
        <x:v>1799</x:v>
      </x:c>
      <x:c r="M41" s="24" t="str">
        <x:v>-10.00 até +6.00</x:v>
      </x:c>
      <x:c r="N41" s="24"/>
      <x:c r="O41" s="24"/>
      <x:c r="P41" s="24"/>
      <x:c r="Q41" s="24"/>
      <x:c r="R41" s="24"/>
      <x:c r="S41" s="26" t="n">
        <x:v>45992</x:v>
      </x:c>
      <x:c r="T41" s="26"/>
      <x:c r="U41" s="24" t="str">
        <x:v>ATIVA/SEM FIM INFORMADO</x:v>
      </x:c>
      <x:c r="V41" s="24"/>
      <x:c r="W41" s="24" t="n">
        <x:v>13</x:v>
      </x:c>
      <x:c r="X41" s="24" t="str">
        <x:v>tabela_hoya(1).pdf</x:v>
      </x:c>
      <x:c r="Y41" s="24" t="str">
        <x:v>alta</x:v>
      </x:c>
      <x:c r="Z41" s="24"/>
      <x:c r="AA41" s="24" t="str">
        <x:v>HOYA|Visão Simples|Surfaçada|Nulux TrueForm|INCOLOR|POLI|1.59|No-Risk BlueControl|-10.00 até +6.00||||||13</x:v>
      </x:c>
    </x:row>
    <x:row r="42">
      <x:c r="A42" s="24" t="str">
        <x:v>HY-52D936C9EC30</x:v>
      </x:c>
      <x:c r="B42" s="24" t="str">
        <x:v>SIM</x:v>
      </x:c>
      <x:c r="C42" s="24" t="str">
        <x:v>DISPONÍVEL</x:v>
      </x:c>
      <x:c r="D42" s="24" t="str">
        <x:v>HOYA</x:v>
      </x:c>
      <x:c r="E42" s="24" t="str">
        <x:v>Visão Simples</x:v>
      </x:c>
      <x:c r="F42" s="24" t="str">
        <x:v>Surfaçada</x:v>
      </x:c>
      <x:c r="G42" s="24" t="str">
        <x:v>Nulux TrueForm</x:v>
      </x:c>
      <x:c r="H42" s="24" t="str">
        <x:v>INCOLOR</x:v>
      </x:c>
      <x:c r="I42" s="24" t="str">
        <x:v>PNX</x:v>
      </x:c>
      <x:c r="J42" s="24" t="str">
        <x:v>1.53</x:v>
      </x:c>
      <x:c r="K42" s="24" t="str">
        <x:v>No-Risk BlueControl</x:v>
      </x:c>
      <x:c r="L42" s="40" t="n">
        <x:v>1799</x:v>
      </x:c>
      <x:c r="M42" s="24" t="str">
        <x:v>-10.00 até +8.00</x:v>
      </x:c>
      <x:c r="N42" s="24"/>
      <x:c r="O42" s="24"/>
      <x:c r="P42" s="24"/>
      <x:c r="Q42" s="24"/>
      <x:c r="R42" s="24"/>
      <x:c r="S42" s="26" t="n">
        <x:v>45992</x:v>
      </x:c>
      <x:c r="T42" s="26"/>
      <x:c r="U42" s="24" t="str">
        <x:v>ATIVA/SEM FIM INFORMADO</x:v>
      </x:c>
      <x:c r="V42" s="24"/>
      <x:c r="W42" s="24" t="n">
        <x:v>13</x:v>
      </x:c>
      <x:c r="X42" s="24" t="str">
        <x:v>tabela_hoya(1).pdf</x:v>
      </x:c>
      <x:c r="Y42" s="24" t="str">
        <x:v>alta</x:v>
      </x:c>
      <x:c r="Z42" s="24"/>
      <x:c r="AA42" s="24" t="str">
        <x:v>HOYA|Visão Simples|Surfaçada|Nulux TrueForm|INCOLOR|PNX|1.53|No-Risk BlueControl|-10.00 até +8.00||||||13</x:v>
      </x:c>
    </x:row>
    <x:row r="43">
      <x:c r="A43" s="24" t="str">
        <x:v>HY-E7C8028C1865</x:v>
      </x:c>
      <x:c r="B43" s="24" t="str">
        <x:v>SIM</x:v>
      </x:c>
      <x:c r="C43" s="24" t="str">
        <x:v>DISPONÍVEL</x:v>
      </x:c>
      <x:c r="D43" s="24" t="str">
        <x:v>HOYA</x:v>
      </x:c>
      <x:c r="E43" s="24" t="str">
        <x:v>Visão Simples</x:v>
      </x:c>
      <x:c r="F43" s="24" t="str">
        <x:v>Surfaçada</x:v>
      </x:c>
      <x:c r="G43" s="24" t="str">
        <x:v>Nulux TrueForm</x:v>
      </x:c>
      <x:c r="H43" s="24" t="str">
        <x:v>INCOLOR</x:v>
      </x:c>
      <x:c r="I43" s="24" t="str">
        <x:v>ORGANIC</x:v>
      </x:c>
      <x:c r="J43" s="24" t="str">
        <x:v>1.50</x:v>
      </x:c>
      <x:c r="K43" s="24" t="str">
        <x:v>No-Risk BlueControl</x:v>
      </x:c>
      <x:c r="L43" s="40" t="n">
        <x:v>1449</x:v>
      </x:c>
      <x:c r="M43" s="24" t="str">
        <x:v>-10.00 até +8.00</x:v>
      </x:c>
      <x:c r="N43" s="24"/>
      <x:c r="O43" s="24"/>
      <x:c r="P43" s="24"/>
      <x:c r="Q43" s="24"/>
      <x:c r="R43" s="24"/>
      <x:c r="S43" s="26" t="n">
        <x:v>45992</x:v>
      </x:c>
      <x:c r="T43" s="26"/>
      <x:c r="U43" s="24" t="str">
        <x:v>ATIVA/SEM FIM INFORMADO</x:v>
      </x:c>
      <x:c r="V43" s="24"/>
      <x:c r="W43" s="24" t="n">
        <x:v>13</x:v>
      </x:c>
      <x:c r="X43" s="24" t="str">
        <x:v>tabela_hoya(1).pdf</x:v>
      </x:c>
      <x:c r="Y43" s="24" t="str">
        <x:v>alta</x:v>
      </x:c>
      <x:c r="Z43" s="24"/>
      <x:c r="AA43" s="24" t="str">
        <x:v>HOYA|Visão Simples|Surfaçada|Nulux TrueForm|INCOLOR|ORGANIC|1.50|No-Risk BlueControl|-10.00 até +8.00||||||13</x:v>
      </x:c>
    </x:row>
    <x:row r="44">
      <x:c r="A44" s="24" t="str">
        <x:v>HY-0B23B5BB6FF0</x:v>
      </x:c>
      <x:c r="B44" s="24" t="str">
        <x:v>SIM</x:v>
      </x:c>
      <x:c r="C44" s="24" t="str">
        <x:v>DISPONÍVEL</x:v>
      </x:c>
      <x:c r="D44" s="24" t="str">
        <x:v>HOYA</x:v>
      </x:c>
      <x:c r="E44" s="24" t="str">
        <x:v>Visão Simples</x:v>
      </x:c>
      <x:c r="F44" s="24" t="str">
        <x:v>Surfaçada</x:v>
      </x:c>
      <x:c r="G44" s="24" t="str">
        <x:v>Nulux TrueForm</x:v>
      </x:c>
      <x:c r="H44" s="24" t="str">
        <x:v>INCOLOR</x:v>
      </x:c>
      <x:c r="I44" s="24" t="str">
        <x:v>EYNOA</x:v>
      </x:c>
      <x:c r="J44" s="24" t="str">
        <x:v>1.67</x:v>
      </x:c>
      <x:c r="K44" s="24" t="str">
        <x:v>Hi-Vision Hard</x:v>
      </x:c>
      <x:c r="L44" s="40" t="n">
        <x:v>2439</x:v>
      </x:c>
      <x:c r="M44" s="24" t="str">
        <x:v>-10.00 até +8.00</x:v>
      </x:c>
      <x:c r="N44" s="24"/>
      <x:c r="O44" s="24"/>
      <x:c r="P44" s="24"/>
      <x:c r="Q44" s="24"/>
      <x:c r="R44" s="24"/>
      <x:c r="S44" s="26" t="n">
        <x:v>45992</x:v>
      </x:c>
      <x:c r="T44" s="26"/>
      <x:c r="U44" s="24" t="str">
        <x:v>ATIVA/SEM FIM INFORMADO</x:v>
      </x:c>
      <x:c r="V44" s="24"/>
      <x:c r="W44" s="24" t="n">
        <x:v>13</x:v>
      </x:c>
      <x:c r="X44" s="24" t="str">
        <x:v>tabela_hoya(1).pdf</x:v>
      </x:c>
      <x:c r="Y44" s="24" t="str">
        <x:v>alta</x:v>
      </x:c>
      <x:c r="Z44" s="24"/>
      <x:c r="AA44" s="24" t="str">
        <x:v>HOYA|Visão Simples|Surfaçada|Nulux TrueForm|INCOLOR|EYNOA|1.67|Hi-Vision Hard|-10.00 até +8.00||||||13</x:v>
      </x:c>
    </x:row>
    <x:row r="45">
      <x:c r="A45" s="24" t="str">
        <x:v>HY-F0D3433CE6FF</x:v>
      </x:c>
      <x:c r="B45" s="24" t="str">
        <x:v>SIM</x:v>
      </x:c>
      <x:c r="C45" s="24" t="str">
        <x:v>DISPONÍVEL</x:v>
      </x:c>
      <x:c r="D45" s="24" t="str">
        <x:v>HOYA</x:v>
      </x:c>
      <x:c r="E45" s="24" t="str">
        <x:v>Visão Simples</x:v>
      </x:c>
      <x:c r="F45" s="24" t="str">
        <x:v>Surfaçada</x:v>
      </x:c>
      <x:c r="G45" s="24" t="str">
        <x:v>Nulux TrueForm</x:v>
      </x:c>
      <x:c r="H45" s="24" t="str">
        <x:v>INCOLOR</x:v>
      </x:c>
      <x:c r="I45" s="24" t="str">
        <x:v>EYAS 2.0</x:v>
      </x:c>
      <x:c r="J45" s="24" t="str">
        <x:v>1.60</x:v>
      </x:c>
      <x:c r="K45" s="24" t="str">
        <x:v>Hi-Vision Hard</x:v>
      </x:c>
      <x:c r="L45" s="40" t="n">
        <x:v>1639</x:v>
      </x:c>
      <x:c r="M45" s="24" t="str">
        <x:v>-10.00 até +8.00</x:v>
      </x:c>
      <x:c r="N45" s="24"/>
      <x:c r="O45" s="24"/>
      <x:c r="P45" s="24"/>
      <x:c r="Q45" s="24"/>
      <x:c r="R45" s="24"/>
      <x:c r="S45" s="26" t="n">
        <x:v>45992</x:v>
      </x:c>
      <x:c r="T45" s="26"/>
      <x:c r="U45" s="24" t="str">
        <x:v>ATIVA/SEM FIM INFORMADO</x:v>
      </x:c>
      <x:c r="V45" s="24"/>
      <x:c r="W45" s="24" t="n">
        <x:v>13</x:v>
      </x:c>
      <x:c r="X45" s="24" t="str">
        <x:v>tabela_hoya(1).pdf</x:v>
      </x:c>
      <x:c r="Y45" s="24" t="str">
        <x:v>alta</x:v>
      </x:c>
      <x:c r="Z45" s="24"/>
      <x:c r="AA45" s="24" t="str">
        <x:v>HOYA|Visão Simples|Surfaçada|Nulux TrueForm|INCOLOR|EYAS 2.0|1.60|Hi-Vision Hard|-10.00 até +8.00||||||13</x:v>
      </x:c>
    </x:row>
    <x:row r="46">
      <x:c r="A46" s="24" t="str">
        <x:v>HY-DA4BDFAD3A6A</x:v>
      </x:c>
      <x:c r="B46" s="24" t="str">
        <x:v>SIM</x:v>
      </x:c>
      <x:c r="C46" s="24" t="str">
        <x:v>DISPONÍVEL</x:v>
      </x:c>
      <x:c r="D46" s="24" t="str">
        <x:v>HOYA</x:v>
      </x:c>
      <x:c r="E46" s="24" t="str">
        <x:v>Visão Simples</x:v>
      </x:c>
      <x:c r="F46" s="24" t="str">
        <x:v>Surfaçada</x:v>
      </x:c>
      <x:c r="G46" s="24" t="str">
        <x:v>Nulux TrueForm</x:v>
      </x:c>
      <x:c r="H46" s="24" t="str">
        <x:v>INCOLOR</x:v>
      </x:c>
      <x:c r="I46" s="24" t="str">
        <x:v>POLI</x:v>
      </x:c>
      <x:c r="J46" s="24" t="str">
        <x:v>1.59</x:v>
      </x:c>
      <x:c r="K46" s="24" t="str">
        <x:v>Hi-Vision Hard</x:v>
      </x:c>
      <x:c r="L46" s="40" t="n">
        <x:v>1179</x:v>
      </x:c>
      <x:c r="M46" s="24" t="str">
        <x:v>-10.00 até +6.00</x:v>
      </x:c>
      <x:c r="N46" s="24"/>
      <x:c r="O46" s="24"/>
      <x:c r="P46" s="24"/>
      <x:c r="Q46" s="24"/>
      <x:c r="R46" s="24"/>
      <x:c r="S46" s="26" t="n">
        <x:v>45992</x:v>
      </x:c>
      <x:c r="T46" s="26"/>
      <x:c r="U46" s="24" t="str">
        <x:v>ATIVA/SEM FIM INFORMADO</x:v>
      </x:c>
      <x:c r="V46" s="24"/>
      <x:c r="W46" s="24" t="n">
        <x:v>13</x:v>
      </x:c>
      <x:c r="X46" s="24" t="str">
        <x:v>tabela_hoya(1).pdf</x:v>
      </x:c>
      <x:c r="Y46" s="24" t="str">
        <x:v>alta</x:v>
      </x:c>
      <x:c r="Z46" s="24"/>
      <x:c r="AA46" s="24" t="str">
        <x:v>HOYA|Visão Simples|Surfaçada|Nulux TrueForm|INCOLOR|POLI|1.59|Hi-Vision Hard|-10.00 até +6.00||||||13</x:v>
      </x:c>
    </x:row>
    <x:row r="47">
      <x:c r="A47" s="24" t="str">
        <x:v>HY-C01D0826B42B</x:v>
      </x:c>
      <x:c r="B47" s="24" t="str">
        <x:v>SIM</x:v>
      </x:c>
      <x:c r="C47" s="24" t="str">
        <x:v>DISPONÍVEL</x:v>
      </x:c>
      <x:c r="D47" s="24" t="str">
        <x:v>HOYA</x:v>
      </x:c>
      <x:c r="E47" s="24" t="str">
        <x:v>Visão Simples</x:v>
      </x:c>
      <x:c r="F47" s="24" t="str">
        <x:v>Surfaçada</x:v>
      </x:c>
      <x:c r="G47" s="24" t="str">
        <x:v>Nulux TrueForm</x:v>
      </x:c>
      <x:c r="H47" s="24" t="str">
        <x:v>INCOLOR</x:v>
      </x:c>
      <x:c r="I47" s="24" t="str">
        <x:v>PNX</x:v>
      </x:c>
      <x:c r="J47" s="24" t="str">
        <x:v>1.53</x:v>
      </x:c>
      <x:c r="K47" s="24" t="str">
        <x:v>Hi-Vision Hard</x:v>
      </x:c>
      <x:c r="L47" s="40" t="n">
        <x:v>1179</x:v>
      </x:c>
      <x:c r="M47" s="24" t="str">
        <x:v>-10.00 até +8.00</x:v>
      </x:c>
      <x:c r="N47" s="24"/>
      <x:c r="O47" s="24"/>
      <x:c r="P47" s="24"/>
      <x:c r="Q47" s="24"/>
      <x:c r="R47" s="24"/>
      <x:c r="S47" s="26" t="n">
        <x:v>45992</x:v>
      </x:c>
      <x:c r="T47" s="26"/>
      <x:c r="U47" s="24" t="str">
        <x:v>ATIVA/SEM FIM INFORMADO</x:v>
      </x:c>
      <x:c r="V47" s="24"/>
      <x:c r="W47" s="24" t="n">
        <x:v>13</x:v>
      </x:c>
      <x:c r="X47" s="24" t="str">
        <x:v>tabela_hoya(1).pdf</x:v>
      </x:c>
      <x:c r="Y47" s="24" t="str">
        <x:v>alta</x:v>
      </x:c>
      <x:c r="Z47" s="24"/>
      <x:c r="AA47" s="24" t="str">
        <x:v>HOYA|Visão Simples|Surfaçada|Nulux TrueForm|INCOLOR|PNX|1.53|Hi-Vision Hard|-10.00 até +8.00||||||13</x:v>
      </x:c>
    </x:row>
    <x:row r="48">
      <x:c r="A48" s="24" t="str">
        <x:v>HY-60F03D7487C0</x:v>
      </x:c>
      <x:c r="B48" s="24" t="str">
        <x:v>SIM</x:v>
      </x:c>
      <x:c r="C48" s="24" t="str">
        <x:v>DISPONÍVEL</x:v>
      </x:c>
      <x:c r="D48" s="24" t="str">
        <x:v>HOYA</x:v>
      </x:c>
      <x:c r="E48" s="24" t="str">
        <x:v>Visão Simples</x:v>
      </x:c>
      <x:c r="F48" s="24" t="str">
        <x:v>Surfaçada</x:v>
      </x:c>
      <x:c r="G48" s="24" t="str">
        <x:v>Nulux TrueForm</x:v>
      </x:c>
      <x:c r="H48" s="24" t="str">
        <x:v>INCOLOR</x:v>
      </x:c>
      <x:c r="I48" s="24" t="str">
        <x:v>ORGANIC</x:v>
      </x:c>
      <x:c r="J48" s="24" t="str">
        <x:v>1.50</x:v>
      </x:c>
      <x:c r="K48" s="24" t="str">
        <x:v>Hi-Vision Hard</x:v>
      </x:c>
      <x:c r="L48" s="40" t="n">
        <x:v>829</x:v>
      </x:c>
      <x:c r="M48" s="24" t="str">
        <x:v>-10.00 até +8.00</x:v>
      </x:c>
      <x:c r="N48" s="24"/>
      <x:c r="O48" s="24"/>
      <x:c r="P48" s="24"/>
      <x:c r="Q48" s="24"/>
      <x:c r="R48" s="24"/>
      <x:c r="S48" s="26" t="n">
        <x:v>45992</x:v>
      </x:c>
      <x:c r="T48" s="26"/>
      <x:c r="U48" s="24" t="str">
        <x:v>ATIVA/SEM FIM INFORMADO</x:v>
      </x:c>
      <x:c r="V48" s="24"/>
      <x:c r="W48" s="24" t="n">
        <x:v>13</x:v>
      </x:c>
      <x:c r="X48" s="24" t="str">
        <x:v>tabela_hoya(1).pdf</x:v>
      </x:c>
      <x:c r="Y48" s="24" t="str">
        <x:v>alta</x:v>
      </x:c>
      <x:c r="Z48" s="24"/>
      <x:c r="AA48" s="24" t="str">
        <x:v>HOYA|Visão Simples|Surfaçada|Nulux TrueForm|INCOLOR|ORGANIC|1.50|Hi-Vision Hard|-10.00 até +8.00||||||13</x:v>
      </x:c>
    </x:row>
    <x:row r="49">
      <x:c r="A49" s="24" t="str">
        <x:v>HY-B523D51CE203</x:v>
      </x:c>
      <x:c r="B49" s="24" t="str">
        <x:v>NÃO</x:v>
      </x:c>
      <x:c r="C49" s="24" t="str">
        <x:v>EM BREVE</x:v>
      </x:c>
      <x:c r="D49" s="24" t="str">
        <x:v>HOYA</x:v>
      </x:c>
      <x:c r="E49" s="24" t="str">
        <x:v>Visão Simples</x:v>
      </x:c>
      <x:c r="F49" s="24" t="str">
        <x:v>Surfaçada</x:v>
      </x:c>
      <x:c r="G49" s="24" t="str">
        <x:v>Nulux TrueForm</x:v>
      </x:c>
      <x:c r="H49" s="24" t="str">
        <x:v>SENSITY 2</x:v>
      </x:c>
      <x:c r="I49" s="24" t="str">
        <x:v>EYNOA</x:v>
      </x:c>
      <x:c r="J49" s="24" t="str">
        <x:v>1.67</x:v>
      </x:c>
      <x:c r="K49" s="24" t="str">
        <x:v>Hi-Vision Meiryo</x:v>
      </x:c>
      <x:c r="L49" s="40" t="n">
        <x:v>4709</x:v>
      </x:c>
      <x:c r="M49" s="24" t="str">
        <x:v>-10.00 até +8.00</x:v>
      </x:c>
      <x:c r="N49" s="24"/>
      <x:c r="O49" s="24"/>
      <x:c r="P49" s="24"/>
      <x:c r="Q49" s="24"/>
      <x:c r="R49" s="24"/>
      <x:c r="S49" s="26" t="n">
        <x:v>45992</x:v>
      </x:c>
      <x:c r="T49" s="26"/>
      <x:c r="U49" s="24" t="str">
        <x:v>ATIVA/SEM FIM INFORMADO</x:v>
      </x:c>
      <x:c r="V49" s="24"/>
      <x:c r="W49" s="24" t="n">
        <x:v>13</x:v>
      </x:c>
      <x:c r="X49" s="24" t="str">
        <x:v>tabela_hoya(1).pdf</x:v>
      </x:c>
      <x:c r="Y49" s="24" t="str">
        <x:v>alta</x:v>
      </x:c>
      <x:c r="Z49" s="24" t="str">
        <x:v>Tratamento/produto marcado como “EM BREVE” na própria tabela HOYA; preço preservado, mas bloqueado no export web.</x:v>
      </x:c>
      <x:c r="AA49" s="24" t="str">
        <x:v>HOYA|Visão Simples|Surfaçada|Nulux TrueForm|SENSITY 2|EYNOA|1.67|Hi-Vision Meiryo|-10.00 até +8.00||||||13</x:v>
      </x:c>
    </x:row>
    <x:row r="50">
      <x:c r="A50" s="24" t="str">
        <x:v>HY-6AB2DEEFC002</x:v>
      </x:c>
      <x:c r="B50" s="24" t="str">
        <x:v>NÃO</x:v>
      </x:c>
      <x:c r="C50" s="24" t="str">
        <x:v>EM BREVE</x:v>
      </x:c>
      <x:c r="D50" s="24" t="str">
        <x:v>HOYA</x:v>
      </x:c>
      <x:c r="E50" s="24" t="str">
        <x:v>Visão Simples</x:v>
      </x:c>
      <x:c r="F50" s="24" t="str">
        <x:v>Surfaçada</x:v>
      </x:c>
      <x:c r="G50" s="24" t="str">
        <x:v>Nulux TrueForm</x:v>
      </x:c>
      <x:c r="H50" s="24" t="str">
        <x:v>SENSITY 2</x:v>
      </x:c>
      <x:c r="I50" s="24" t="str">
        <x:v>PNX</x:v>
      </x:c>
      <x:c r="J50" s="24" t="str">
        <x:v>1.53</x:v>
      </x:c>
      <x:c r="K50" s="24" t="str">
        <x:v>Hi-Vision Meiryo</x:v>
      </x:c>
      <x:c r="L50" s="40" t="n">
        <x:v>3449</x:v>
      </x:c>
      <x:c r="M50" s="24" t="str">
        <x:v>-10.00 até +8.00</x:v>
      </x:c>
      <x:c r="N50" s="24"/>
      <x:c r="O50" s="24"/>
      <x:c r="P50" s="24"/>
      <x:c r="Q50" s="24"/>
      <x:c r="R50" s="24"/>
      <x:c r="S50" s="26" t="n">
        <x:v>45992</x:v>
      </x:c>
      <x:c r="T50" s="26"/>
      <x:c r="U50" s="24" t="str">
        <x:v>ATIVA/SEM FIM INFORMADO</x:v>
      </x:c>
      <x:c r="V50" s="24"/>
      <x:c r="W50" s="24" t="n">
        <x:v>13</x:v>
      </x:c>
      <x:c r="X50" s="24" t="str">
        <x:v>tabela_hoya(1).pdf</x:v>
      </x:c>
      <x:c r="Y50" s="24" t="str">
        <x:v>alta</x:v>
      </x:c>
      <x:c r="Z50" s="24" t="str">
        <x:v>Tratamento/produto marcado como “EM BREVE” na própria tabela HOYA; preço preservado, mas bloqueado no export web.</x:v>
      </x:c>
      <x:c r="AA50" s="24" t="str">
        <x:v>HOYA|Visão Simples|Surfaçada|Nulux TrueForm|SENSITY 2|PNX|1.53|Hi-Vision Meiryo|-10.00 até +8.00||||||13</x:v>
      </x:c>
    </x:row>
    <x:row r="51">
      <x:c r="A51" s="24" t="str">
        <x:v>HY-189CCD48AE89</x:v>
      </x:c>
      <x:c r="B51" s="24" t="str">
        <x:v>NÃO</x:v>
      </x:c>
      <x:c r="C51" s="24" t="str">
        <x:v>EM BREVE</x:v>
      </x:c>
      <x:c r="D51" s="24" t="str">
        <x:v>HOYA</x:v>
      </x:c>
      <x:c r="E51" s="24" t="str">
        <x:v>Visão Simples</x:v>
      </x:c>
      <x:c r="F51" s="24" t="str">
        <x:v>Surfaçada</x:v>
      </x:c>
      <x:c r="G51" s="24" t="str">
        <x:v>Nulux TrueForm</x:v>
      </x:c>
      <x:c r="H51" s="24" t="str">
        <x:v>SENSITY 2</x:v>
      </x:c>
      <x:c r="I51" s="24" t="str">
        <x:v>ORGANIC</x:v>
      </x:c>
      <x:c r="J51" s="24" t="str">
        <x:v>1.50</x:v>
      </x:c>
      <x:c r="K51" s="24" t="str">
        <x:v>Hi-Vision Meiryo</x:v>
      </x:c>
      <x:c r="L51" s="40" t="n">
        <x:v>3099</x:v>
      </x:c>
      <x:c r="M51" s="24" t="str">
        <x:v>-10.00 até +8.00</x:v>
      </x:c>
      <x:c r="N51" s="24"/>
      <x:c r="O51" s="24"/>
      <x:c r="P51" s="24"/>
      <x:c r="Q51" s="24"/>
      <x:c r="R51" s="24"/>
      <x:c r="S51" s="26" t="n">
        <x:v>45992</x:v>
      </x:c>
      <x:c r="T51" s="26"/>
      <x:c r="U51" s="24" t="str">
        <x:v>ATIVA/SEM FIM INFORMADO</x:v>
      </x:c>
      <x:c r="V51" s="24"/>
      <x:c r="W51" s="24" t="n">
        <x:v>13</x:v>
      </x:c>
      <x:c r="X51" s="24" t="str">
        <x:v>tabela_hoya(1).pdf</x:v>
      </x:c>
      <x:c r="Y51" s="24" t="str">
        <x:v>alta</x:v>
      </x:c>
      <x:c r="Z51" s="24" t="str">
        <x:v>Tratamento/produto marcado como “EM BREVE” na própria tabela HOYA; preço preservado, mas bloqueado no export web.</x:v>
      </x:c>
      <x:c r="AA51" s="24" t="str">
        <x:v>HOYA|Visão Simples|Surfaçada|Nulux TrueForm|SENSITY 2|ORGANIC|1.50|Hi-Vision Meiryo|-10.00 até +8.00||||||13</x:v>
      </x:c>
    </x:row>
    <x:row r="52">
      <x:c r="A52" s="24" t="str">
        <x:v>HY-2EE50E26A147</x:v>
      </x:c>
      <x:c r="B52" s="24" t="str">
        <x:v>SIM</x:v>
      </x:c>
      <x:c r="C52" s="24" t="str">
        <x:v>DISPONÍVEL</x:v>
      </x:c>
      <x:c r="D52" s="24" t="str">
        <x:v>HOYA</x:v>
      </x:c>
      <x:c r="E52" s="24" t="str">
        <x:v>Visão Simples</x:v>
      </x:c>
      <x:c r="F52" s="24" t="str">
        <x:v>Surfaçada</x:v>
      </x:c>
      <x:c r="G52" s="24" t="str">
        <x:v>Nulux TrueForm</x:v>
      </x:c>
      <x:c r="H52" s="24" t="str">
        <x:v>SENSITY 2</x:v>
      </x:c>
      <x:c r="I52" s="24" t="str">
        <x:v>EYNOA</x:v>
      </x:c>
      <x:c r="J52" s="24" t="str">
        <x:v>1.67</x:v>
      </x:c>
      <x:c r="K52" s="24" t="str">
        <x:v>Hi-Vision LongLife BlueControl</x:v>
      </x:c>
      <x:c r="L52" s="40" t="n">
        <x:v>4509</x:v>
      </x:c>
      <x:c r="M52" s="24" t="str">
        <x:v>-10.00 até +8.00</x:v>
      </x:c>
      <x:c r="N52" s="24"/>
      <x:c r="O52" s="24"/>
      <x:c r="P52" s="24"/>
      <x:c r="Q52" s="24"/>
      <x:c r="R52" s="24"/>
      <x:c r="S52" s="26" t="n">
        <x:v>45992</x:v>
      </x:c>
      <x:c r="T52" s="26"/>
      <x:c r="U52" s="24" t="str">
        <x:v>ATIVA/SEM FIM INFORMADO</x:v>
      </x:c>
      <x:c r="V52" s="24"/>
      <x:c r="W52" s="24" t="n">
        <x:v>13</x:v>
      </x:c>
      <x:c r="X52" s="24" t="str">
        <x:v>tabela_hoya(1).pdf</x:v>
      </x:c>
      <x:c r="Y52" s="24" t="str">
        <x:v>alta</x:v>
      </x:c>
      <x:c r="Z52" s="24"/>
      <x:c r="AA52" s="24" t="str">
        <x:v>HOYA|Visão Simples|Surfaçada|Nulux TrueForm|SENSITY 2|EYNOA|1.67|Hi-Vision LongLife BlueControl|-10.00 até +8.00||||||13</x:v>
      </x:c>
    </x:row>
    <x:row r="53">
      <x:c r="A53" s="24" t="str">
        <x:v>HY-8597CED7AE34</x:v>
      </x:c>
      <x:c r="B53" s="24" t="str">
        <x:v>SIM</x:v>
      </x:c>
      <x:c r="C53" s="24" t="str">
        <x:v>DISPONÍVEL</x:v>
      </x:c>
      <x:c r="D53" s="24" t="str">
        <x:v>HOYA</x:v>
      </x:c>
      <x:c r="E53" s="24" t="str">
        <x:v>Visão Simples</x:v>
      </x:c>
      <x:c r="F53" s="24" t="str">
        <x:v>Surfaçada</x:v>
      </x:c>
      <x:c r="G53" s="24" t="str">
        <x:v>Nulux TrueForm</x:v>
      </x:c>
      <x:c r="H53" s="24" t="str">
        <x:v>SENSITY 2</x:v>
      </x:c>
      <x:c r="I53" s="24" t="str">
        <x:v>PNX</x:v>
      </x:c>
      <x:c r="J53" s="24" t="str">
        <x:v>1.53</x:v>
      </x:c>
      <x:c r="K53" s="24" t="str">
        <x:v>Hi-Vision LongLife BlueControl</x:v>
      </x:c>
      <x:c r="L53" s="40" t="n">
        <x:v>3249</x:v>
      </x:c>
      <x:c r="M53" s="24" t="str">
        <x:v>-10.00 até +8.00</x:v>
      </x:c>
      <x:c r="N53" s="24"/>
      <x:c r="O53" s="24"/>
      <x:c r="P53" s="24"/>
      <x:c r="Q53" s="24"/>
      <x:c r="R53" s="24"/>
      <x:c r="S53" s="26" t="n">
        <x:v>45992</x:v>
      </x:c>
      <x:c r="T53" s="26"/>
      <x:c r="U53" s="24" t="str">
        <x:v>ATIVA/SEM FIM INFORMADO</x:v>
      </x:c>
      <x:c r="V53" s="24"/>
      <x:c r="W53" s="24" t="n">
        <x:v>13</x:v>
      </x:c>
      <x:c r="X53" s="24" t="str">
        <x:v>tabela_hoya(1).pdf</x:v>
      </x:c>
      <x:c r="Y53" s="24" t="str">
        <x:v>alta</x:v>
      </x:c>
      <x:c r="Z53" s="24"/>
      <x:c r="AA53" s="24" t="str">
        <x:v>HOYA|Visão Simples|Surfaçada|Nulux TrueForm|SENSITY 2|PNX|1.53|Hi-Vision LongLife BlueControl|-10.00 até +8.00||||||13</x:v>
      </x:c>
    </x:row>
    <x:row r="54">
      <x:c r="A54" s="24" t="str">
        <x:v>HY-09A29B2D7032</x:v>
      </x:c>
      <x:c r="B54" s="24" t="str">
        <x:v>SIM</x:v>
      </x:c>
      <x:c r="C54" s="24" t="str">
        <x:v>DISPONÍVEL</x:v>
      </x:c>
      <x:c r="D54" s="24" t="str">
        <x:v>HOYA</x:v>
      </x:c>
      <x:c r="E54" s="24" t="str">
        <x:v>Visão Simples</x:v>
      </x:c>
      <x:c r="F54" s="24" t="str">
        <x:v>Surfaçada</x:v>
      </x:c>
      <x:c r="G54" s="24" t="str">
        <x:v>Nulux TrueForm</x:v>
      </x:c>
      <x:c r="H54" s="24" t="str">
        <x:v>SENSITY 2</x:v>
      </x:c>
      <x:c r="I54" s="24" t="str">
        <x:v>ORGANIC</x:v>
      </x:c>
      <x:c r="J54" s="24" t="str">
        <x:v>1.50</x:v>
      </x:c>
      <x:c r="K54" s="24" t="str">
        <x:v>Hi-Vision LongLife BlueControl</x:v>
      </x:c>
      <x:c r="L54" s="40" t="n">
        <x:v>2899</x:v>
      </x:c>
      <x:c r="M54" s="24" t="str">
        <x:v>-10.00 até +8.00</x:v>
      </x:c>
      <x:c r="N54" s="24"/>
      <x:c r="O54" s="24"/>
      <x:c r="P54" s="24"/>
      <x:c r="Q54" s="24"/>
      <x:c r="R54" s="24"/>
      <x:c r="S54" s="26" t="n">
        <x:v>45992</x:v>
      </x:c>
      <x:c r="T54" s="26"/>
      <x:c r="U54" s="24" t="str">
        <x:v>ATIVA/SEM FIM INFORMADO</x:v>
      </x:c>
      <x:c r="V54" s="24"/>
      <x:c r="W54" s="24" t="n">
        <x:v>13</x:v>
      </x:c>
      <x:c r="X54" s="24" t="str">
        <x:v>tabela_hoya(1).pdf</x:v>
      </x:c>
      <x:c r="Y54" s="24" t="str">
        <x:v>alta</x:v>
      </x:c>
      <x:c r="Z54" s="24"/>
      <x:c r="AA54" s="24" t="str">
        <x:v>HOYA|Visão Simples|Surfaçada|Nulux TrueForm|SENSITY 2|ORGANIC|1.50|Hi-Vision LongLife BlueControl|-10.00 até +8.00||||||13</x:v>
      </x:c>
    </x:row>
    <x:row r="55">
      <x:c r="A55" s="24" t="str">
        <x:v>HY-C6EC803D6E46</x:v>
      </x:c>
      <x:c r="B55" s="24" t="str">
        <x:v>SIM</x:v>
      </x:c>
      <x:c r="C55" s="24" t="str">
        <x:v>DISPONÍVEL</x:v>
      </x:c>
      <x:c r="D55" s="24" t="str">
        <x:v>HOYA</x:v>
      </x:c>
      <x:c r="E55" s="24" t="str">
        <x:v>Visão Simples</x:v>
      </x:c>
      <x:c r="F55" s="24" t="str">
        <x:v>Surfaçada</x:v>
      </x:c>
      <x:c r="G55" s="24" t="str">
        <x:v>Nulux TrueForm</x:v>
      </x:c>
      <x:c r="H55" s="24" t="str">
        <x:v>SENSITY 2</x:v>
      </x:c>
      <x:c r="I55" s="24" t="str">
        <x:v>EYNOA</x:v>
      </x:c>
      <x:c r="J55" s="24" t="str">
        <x:v>1.67</x:v>
      </x:c>
      <x:c r="K55" s="24" t="str">
        <x:v>No-Risk BlueControl</x:v>
      </x:c>
      <x:c r="L55" s="40" t="n">
        <x:v>4259</x:v>
      </x:c>
      <x:c r="M55" s="24" t="str">
        <x:v>-10.00 até +8.00</x:v>
      </x:c>
      <x:c r="N55" s="24"/>
      <x:c r="O55" s="24"/>
      <x:c r="P55" s="24"/>
      <x:c r="Q55" s="24"/>
      <x:c r="R55" s="24"/>
      <x:c r="S55" s="26" t="n">
        <x:v>45992</x:v>
      </x:c>
      <x:c r="T55" s="26"/>
      <x:c r="U55" s="24" t="str">
        <x:v>ATIVA/SEM FIM INFORMADO</x:v>
      </x:c>
      <x:c r="V55" s="24"/>
      <x:c r="W55" s="24" t="n">
        <x:v>13</x:v>
      </x:c>
      <x:c r="X55" s="24" t="str">
        <x:v>tabela_hoya(1).pdf</x:v>
      </x:c>
      <x:c r="Y55" s="24" t="str">
        <x:v>alta</x:v>
      </x:c>
      <x:c r="Z55" s="24"/>
      <x:c r="AA55" s="24" t="str">
        <x:v>HOYA|Visão Simples|Surfaçada|Nulux TrueForm|SENSITY 2|EYNOA|1.67|No-Risk BlueControl|-10.00 até +8.00||||||13</x:v>
      </x:c>
    </x:row>
    <x:row r="56">
      <x:c r="A56" s="24" t="str">
        <x:v>HY-6314A168864B</x:v>
      </x:c>
      <x:c r="B56" s="24" t="str">
        <x:v>SIM</x:v>
      </x:c>
      <x:c r="C56" s="24" t="str">
        <x:v>DISPONÍVEL</x:v>
      </x:c>
      <x:c r="D56" s="24" t="str">
        <x:v>HOYA</x:v>
      </x:c>
      <x:c r="E56" s="24" t="str">
        <x:v>Visão Simples</x:v>
      </x:c>
      <x:c r="F56" s="24" t="str">
        <x:v>Surfaçada</x:v>
      </x:c>
      <x:c r="G56" s="24" t="str">
        <x:v>Nulux TrueForm</x:v>
      </x:c>
      <x:c r="H56" s="24" t="str">
        <x:v>SENSITY 2</x:v>
      </x:c>
      <x:c r="I56" s="24" t="str">
        <x:v>PNX</x:v>
      </x:c>
      <x:c r="J56" s="24" t="str">
        <x:v>1.53</x:v>
      </x:c>
      <x:c r="K56" s="24" t="str">
        <x:v>No-Risk BlueControl</x:v>
      </x:c>
      <x:c r="L56" s="40" t="n">
        <x:v>2999</x:v>
      </x:c>
      <x:c r="M56" s="24" t="str">
        <x:v>-10.00 até +8.00</x:v>
      </x:c>
      <x:c r="N56" s="24"/>
      <x:c r="O56" s="24"/>
      <x:c r="P56" s="24"/>
      <x:c r="Q56" s="24"/>
      <x:c r="R56" s="24"/>
      <x:c r="S56" s="26" t="n">
        <x:v>45992</x:v>
      </x:c>
      <x:c r="T56" s="26"/>
      <x:c r="U56" s="24" t="str">
        <x:v>ATIVA/SEM FIM INFORMADO</x:v>
      </x:c>
      <x:c r="V56" s="24"/>
      <x:c r="W56" s="24" t="n">
        <x:v>13</x:v>
      </x:c>
      <x:c r="X56" s="24" t="str">
        <x:v>tabela_hoya(1).pdf</x:v>
      </x:c>
      <x:c r="Y56" s="24" t="str">
        <x:v>alta</x:v>
      </x:c>
      <x:c r="Z56" s="24"/>
      <x:c r="AA56" s="24" t="str">
        <x:v>HOYA|Visão Simples|Surfaçada|Nulux TrueForm|SENSITY 2|PNX|1.53|No-Risk BlueControl|-10.00 até +8.00||||||13</x:v>
      </x:c>
    </x:row>
    <x:row r="57">
      <x:c r="A57" s="24" t="str">
        <x:v>HY-37D807599C4F</x:v>
      </x:c>
      <x:c r="B57" s="24" t="str">
        <x:v>SIM</x:v>
      </x:c>
      <x:c r="C57" s="24" t="str">
        <x:v>DISPONÍVEL</x:v>
      </x:c>
      <x:c r="D57" s="24" t="str">
        <x:v>HOYA</x:v>
      </x:c>
      <x:c r="E57" s="24" t="str">
        <x:v>Visão Simples</x:v>
      </x:c>
      <x:c r="F57" s="24" t="str">
        <x:v>Surfaçada</x:v>
      </x:c>
      <x:c r="G57" s="24" t="str">
        <x:v>Nulux TrueForm</x:v>
      </x:c>
      <x:c r="H57" s="24" t="str">
        <x:v>SENSITY 2</x:v>
      </x:c>
      <x:c r="I57" s="24" t="str">
        <x:v>ORGANIC</x:v>
      </x:c>
      <x:c r="J57" s="24" t="str">
        <x:v>1.50</x:v>
      </x:c>
      <x:c r="K57" s="24" t="str">
        <x:v>No-Risk BlueControl</x:v>
      </x:c>
      <x:c r="L57" s="40" t="n">
        <x:v>2649</x:v>
      </x:c>
      <x:c r="M57" s="24" t="str">
        <x:v>-10.00 até +8.00</x:v>
      </x:c>
      <x:c r="N57" s="24"/>
      <x:c r="O57" s="24"/>
      <x:c r="P57" s="24"/>
      <x:c r="Q57" s="24"/>
      <x:c r="R57" s="24"/>
      <x:c r="S57" s="26" t="n">
        <x:v>45992</x:v>
      </x:c>
      <x:c r="T57" s="26"/>
      <x:c r="U57" s="24" t="str">
        <x:v>ATIVA/SEM FIM INFORMADO</x:v>
      </x:c>
      <x:c r="V57" s="24"/>
      <x:c r="W57" s="24" t="n">
        <x:v>13</x:v>
      </x:c>
      <x:c r="X57" s="24" t="str">
        <x:v>tabela_hoya(1).pdf</x:v>
      </x:c>
      <x:c r="Y57" s="24" t="str">
        <x:v>alta</x:v>
      </x:c>
      <x:c r="Z57" s="24"/>
      <x:c r="AA57" s="24" t="str">
        <x:v>HOYA|Visão Simples|Surfaçada|Nulux TrueForm|SENSITY 2|ORGANIC|1.50|No-Risk BlueControl|-10.00 até +8.00||||||13</x:v>
      </x:c>
    </x:row>
    <x:row r="58">
      <x:c r="A58" s="24" t="str">
        <x:v>HY-4740A10D9B30</x:v>
      </x:c>
      <x:c r="B58" s="24" t="str">
        <x:v>SIM</x:v>
      </x:c>
      <x:c r="C58" s="24" t="str">
        <x:v>DISPONÍVEL</x:v>
      </x:c>
      <x:c r="D58" s="24" t="str">
        <x:v>HOYA</x:v>
      </x:c>
      <x:c r="E58" s="24" t="str">
        <x:v>Visão Simples</x:v>
      </x:c>
      <x:c r="F58" s="24" t="str">
        <x:v>Surfaçada</x:v>
      </x:c>
      <x:c r="G58" s="24" t="str">
        <x:v>Nulux TrueForm</x:v>
      </x:c>
      <x:c r="H58" s="24" t="str">
        <x:v>SENSITY 2</x:v>
      </x:c>
      <x:c r="I58" s="24" t="str">
        <x:v>EYNOA</x:v>
      </x:c>
      <x:c r="J58" s="24" t="str">
        <x:v>1.67</x:v>
      </x:c>
      <x:c r="K58" s="24" t="str">
        <x:v>Hi-Vision Hard</x:v>
      </x:c>
      <x:c r="L58" s="40" t="n">
        <x:v>3639</x:v>
      </x:c>
      <x:c r="M58" s="24" t="str">
        <x:v>-10.00 até +8.00</x:v>
      </x:c>
      <x:c r="N58" s="24"/>
      <x:c r="O58" s="24"/>
      <x:c r="P58" s="24"/>
      <x:c r="Q58" s="24"/>
      <x:c r="R58" s="24"/>
      <x:c r="S58" s="26" t="n">
        <x:v>45992</x:v>
      </x:c>
      <x:c r="T58" s="26"/>
      <x:c r="U58" s="24" t="str">
        <x:v>ATIVA/SEM FIM INFORMADO</x:v>
      </x:c>
      <x:c r="V58" s="24"/>
      <x:c r="W58" s="24" t="n">
        <x:v>13</x:v>
      </x:c>
      <x:c r="X58" s="24" t="str">
        <x:v>tabela_hoya(1).pdf</x:v>
      </x:c>
      <x:c r="Y58" s="24" t="str">
        <x:v>alta</x:v>
      </x:c>
      <x:c r="Z58" s="24"/>
      <x:c r="AA58" s="24" t="str">
        <x:v>HOYA|Visão Simples|Surfaçada|Nulux TrueForm|SENSITY 2|EYNOA|1.67|Hi-Vision Hard|-10.00 até +8.00||||||13</x:v>
      </x:c>
    </x:row>
    <x:row r="59">
      <x:c r="A59" s="24" t="str">
        <x:v>HY-29FA67945225</x:v>
      </x:c>
      <x:c r="B59" s="24" t="str">
        <x:v>SIM</x:v>
      </x:c>
      <x:c r="C59" s="24" t="str">
        <x:v>DISPONÍVEL</x:v>
      </x:c>
      <x:c r="D59" s="24" t="str">
        <x:v>HOYA</x:v>
      </x:c>
      <x:c r="E59" s="24" t="str">
        <x:v>Visão Simples</x:v>
      </x:c>
      <x:c r="F59" s="24" t="str">
        <x:v>Surfaçada</x:v>
      </x:c>
      <x:c r="G59" s="24" t="str">
        <x:v>Nulux TrueForm</x:v>
      </x:c>
      <x:c r="H59" s="24" t="str">
        <x:v>SENSITY 2</x:v>
      </x:c>
      <x:c r="I59" s="24" t="str">
        <x:v>PNX</x:v>
      </x:c>
      <x:c r="J59" s="24" t="str">
        <x:v>1.53</x:v>
      </x:c>
      <x:c r="K59" s="24" t="str">
        <x:v>Hi-Vision Hard</x:v>
      </x:c>
      <x:c r="L59" s="40" t="n">
        <x:v>2379</x:v>
      </x:c>
      <x:c r="M59" s="24" t="str">
        <x:v>-10.00 até +8.00</x:v>
      </x:c>
      <x:c r="N59" s="24"/>
      <x:c r="O59" s="24"/>
      <x:c r="P59" s="24"/>
      <x:c r="Q59" s="24"/>
      <x:c r="R59" s="24"/>
      <x:c r="S59" s="26" t="n">
        <x:v>45992</x:v>
      </x:c>
      <x:c r="T59" s="26"/>
      <x:c r="U59" s="24" t="str">
        <x:v>ATIVA/SEM FIM INFORMADO</x:v>
      </x:c>
      <x:c r="V59" s="24"/>
      <x:c r="W59" s="24" t="n">
        <x:v>13</x:v>
      </x:c>
      <x:c r="X59" s="24" t="str">
        <x:v>tabela_hoya(1).pdf</x:v>
      </x:c>
      <x:c r="Y59" s="24" t="str">
        <x:v>alta</x:v>
      </x:c>
      <x:c r="Z59" s="24"/>
      <x:c r="AA59" s="24" t="str">
        <x:v>HOYA|Visão Simples|Surfaçada|Nulux TrueForm|SENSITY 2|PNX|1.53|Hi-Vision Hard|-10.00 até +8.00||||||13</x:v>
      </x:c>
    </x:row>
    <x:row r="60">
      <x:c r="A60" s="24" t="str">
        <x:v>HY-71DCA2020CCE</x:v>
      </x:c>
      <x:c r="B60" s="24" t="str">
        <x:v>SIM</x:v>
      </x:c>
      <x:c r="C60" s="24" t="str">
        <x:v>DISPONÍVEL</x:v>
      </x:c>
      <x:c r="D60" s="24" t="str">
        <x:v>HOYA</x:v>
      </x:c>
      <x:c r="E60" s="24" t="str">
        <x:v>Visão Simples</x:v>
      </x:c>
      <x:c r="F60" s="24" t="str">
        <x:v>Surfaçada</x:v>
      </x:c>
      <x:c r="G60" s="24" t="str">
        <x:v>Nulux TrueForm</x:v>
      </x:c>
      <x:c r="H60" s="24" t="str">
        <x:v>SENSITY 2</x:v>
      </x:c>
      <x:c r="I60" s="24" t="str">
        <x:v>ORGANIC</x:v>
      </x:c>
      <x:c r="J60" s="24" t="str">
        <x:v>1.50</x:v>
      </x:c>
      <x:c r="K60" s="24" t="str">
        <x:v>Hi-Vision Hard</x:v>
      </x:c>
      <x:c r="L60" s="40" t="n">
        <x:v>2029</x:v>
      </x:c>
      <x:c r="M60" s="24" t="str">
        <x:v>-10.00 até +8.00</x:v>
      </x:c>
      <x:c r="N60" s="24"/>
      <x:c r="O60" s="24"/>
      <x:c r="P60" s="24"/>
      <x:c r="Q60" s="24"/>
      <x:c r="R60" s="24"/>
      <x:c r="S60" s="26" t="n">
        <x:v>45992</x:v>
      </x:c>
      <x:c r="T60" s="26"/>
      <x:c r="U60" s="24" t="str">
        <x:v>ATIVA/SEM FIM INFORMADO</x:v>
      </x:c>
      <x:c r="V60" s="24"/>
      <x:c r="W60" s="24" t="n">
        <x:v>13</x:v>
      </x:c>
      <x:c r="X60" s="24" t="str">
        <x:v>tabela_hoya(1).pdf</x:v>
      </x:c>
      <x:c r="Y60" s="24" t="str">
        <x:v>alta</x:v>
      </x:c>
      <x:c r="Z60" s="24"/>
      <x:c r="AA60" s="24" t="str">
        <x:v>HOYA|Visão Simples|Surfaçada|Nulux TrueForm|SENSITY 2|ORGANIC|1.50|Hi-Vision Hard|-10.00 até +8.00||||||13</x:v>
      </x:c>
    </x:row>
    <x:row r="61">
      <x:c r="A61" s="24" t="str">
        <x:v>HY-372DA71A6A62</x:v>
      </x:c>
      <x:c r="B61" s="24" t="str">
        <x:v>SIM</x:v>
      </x:c>
      <x:c r="C61" s="24" t="str">
        <x:v>DISPONÍVEL</x:v>
      </x:c>
      <x:c r="D61" s="24" t="str">
        <x:v>HOYA</x:v>
      </x:c>
      <x:c r="E61" s="24" t="str">
        <x:v>Visão Simples</x:v>
      </x:c>
      <x:c r="F61" s="24" t="str">
        <x:v>Surfaçada</x:v>
      </x:c>
      <x:c r="G61" s="24" t="str">
        <x:v>Nulux TrueForm</x:v>
      </x:c>
      <x:c r="H61" s="24" t="str">
        <x:v>COLORIDAS</x:v>
      </x:c>
      <x:c r="I61" s="24" t="str">
        <x:v>EYNOA</x:v>
      </x:c>
      <x:c r="J61" s="24" t="str">
        <x:v>1.67</x:v>
      </x:c>
      <x:c r="K61" s="24" t="str">
        <x:v>Hi-Vision Sun Pro</x:v>
      </x:c>
      <x:c r="L61" s="40" t="n">
        <x:v>3349</x:v>
      </x:c>
      <x:c r="M61" s="24" t="str">
        <x:v>-10.00 até +8.00</x:v>
      </x:c>
      <x:c r="N61" s="24"/>
      <x:c r="O61" s="24"/>
      <x:c r="P61" s="24"/>
      <x:c r="Q61" s="24"/>
      <x:c r="R61" s="24"/>
      <x:c r="S61" s="26" t="n">
        <x:v>45992</x:v>
      </x:c>
      <x:c r="T61" s="26"/>
      <x:c r="U61" s="24" t="str">
        <x:v>ATIVA/SEM FIM INFORMADO</x:v>
      </x:c>
      <x:c r="V61" s="24"/>
      <x:c r="W61" s="24" t="n">
        <x:v>13</x:v>
      </x:c>
      <x:c r="X61" s="24" t="str">
        <x:v>tabela_hoya(1).pdf</x:v>
      </x:c>
      <x:c r="Y61" s="24" t="str">
        <x:v>alta</x:v>
      </x:c>
      <x:c r="Z61" s="24"/>
      <x:c r="AA61" s="24" t="str">
        <x:v>HOYA|Visão Simples|Surfaçada|Nulux TrueForm|COLORIDAS|EYNOA|1.67|Hi-Vision Sun Pro|-10.00 até +8.00||||||13</x:v>
      </x:c>
    </x:row>
    <x:row r="62">
      <x:c r="A62" s="24" t="str">
        <x:v>HY-BEBB6CE66041</x:v>
      </x:c>
      <x:c r="B62" s="24" t="str">
        <x:v>SIM</x:v>
      </x:c>
      <x:c r="C62" s="24" t="str">
        <x:v>DISPONÍVEL</x:v>
      </x:c>
      <x:c r="D62" s="24" t="str">
        <x:v>HOYA</x:v>
      </x:c>
      <x:c r="E62" s="24" t="str">
        <x:v>Visão Simples</x:v>
      </x:c>
      <x:c r="F62" s="24" t="str">
        <x:v>Surfaçada</x:v>
      </x:c>
      <x:c r="G62" s="24" t="str">
        <x:v>Nulux TrueForm</x:v>
      </x:c>
      <x:c r="H62" s="24" t="str">
        <x:v>COLORIDAS</x:v>
      </x:c>
      <x:c r="I62" s="24" t="str">
        <x:v>EYAS 2.0</x:v>
      </x:c>
      <x:c r="J62" s="24" t="str">
        <x:v>1.60</x:v>
      </x:c>
      <x:c r="K62" s="24" t="str">
        <x:v>Hi-Vision Sun Pro</x:v>
      </x:c>
      <x:c r="L62" s="40" t="n">
        <x:v>2549</x:v>
      </x:c>
      <x:c r="M62" s="24" t="str">
        <x:v>-10.00 até +8.00</x:v>
      </x:c>
      <x:c r="N62" s="24"/>
      <x:c r="O62" s="24"/>
      <x:c r="P62" s="24"/>
      <x:c r="Q62" s="24"/>
      <x:c r="R62" s="24"/>
      <x:c r="S62" s="26" t="n">
        <x:v>45992</x:v>
      </x:c>
      <x:c r="T62" s="26"/>
      <x:c r="U62" s="24" t="str">
        <x:v>ATIVA/SEM FIM INFORMADO</x:v>
      </x:c>
      <x:c r="V62" s="24"/>
      <x:c r="W62" s="24" t="n">
        <x:v>13</x:v>
      </x:c>
      <x:c r="X62" s="24" t="str">
        <x:v>tabela_hoya(1).pdf</x:v>
      </x:c>
      <x:c r="Y62" s="24" t="str">
        <x:v>alta</x:v>
      </x:c>
      <x:c r="Z62" s="24"/>
      <x:c r="AA62" s="24" t="str">
        <x:v>HOYA|Visão Simples|Surfaçada|Nulux TrueForm|COLORIDAS|EYAS 2.0|1.60|Hi-Vision Sun Pro|-10.00 até +8.00||||||13</x:v>
      </x:c>
    </x:row>
    <x:row r="63">
      <x:c r="A63" s="24" t="str">
        <x:v>HY-2D2B0E6EE983</x:v>
      </x:c>
      <x:c r="B63" s="24" t="str">
        <x:v>SIM</x:v>
      </x:c>
      <x:c r="C63" s="24" t="str">
        <x:v>DISPONÍVEL</x:v>
      </x:c>
      <x:c r="D63" s="24" t="str">
        <x:v>HOYA</x:v>
      </x:c>
      <x:c r="E63" s="24" t="str">
        <x:v>Visão Simples</x:v>
      </x:c>
      <x:c r="F63" s="24" t="str">
        <x:v>Surfaçada</x:v>
      </x:c>
      <x:c r="G63" s="24" t="str">
        <x:v>Nulux TrueForm</x:v>
      </x:c>
      <x:c r="H63" s="24" t="str">
        <x:v>COLORIDAS</x:v>
      </x:c>
      <x:c r="I63" s="24" t="str">
        <x:v>PNX</x:v>
      </x:c>
      <x:c r="J63" s="24" t="str">
        <x:v>1.53</x:v>
      </x:c>
      <x:c r="K63" s="24" t="str">
        <x:v>Hi-Vision Sun Pro</x:v>
      </x:c>
      <x:c r="L63" s="40" t="n">
        <x:v>2089</x:v>
      </x:c>
      <x:c r="M63" s="24" t="str">
        <x:v>-10.00 até +8.00</x:v>
      </x:c>
      <x:c r="N63" s="24"/>
      <x:c r="O63" s="24"/>
      <x:c r="P63" s="24"/>
      <x:c r="Q63" s="24"/>
      <x:c r="R63" s="24"/>
      <x:c r="S63" s="26" t="n">
        <x:v>45992</x:v>
      </x:c>
      <x:c r="T63" s="26"/>
      <x:c r="U63" s="24" t="str">
        <x:v>ATIVA/SEM FIM INFORMADO</x:v>
      </x:c>
      <x:c r="V63" s="24"/>
      <x:c r="W63" s="24" t="n">
        <x:v>13</x:v>
      </x:c>
      <x:c r="X63" s="24" t="str">
        <x:v>tabela_hoya(1).pdf</x:v>
      </x:c>
      <x:c r="Y63" s="24" t="str">
        <x:v>alta</x:v>
      </x:c>
      <x:c r="Z63" s="24"/>
      <x:c r="AA63" s="24" t="str">
        <x:v>HOYA|Visão Simples|Surfaçada|Nulux TrueForm|COLORIDAS|PNX|1.53|Hi-Vision Sun Pro|-10.00 até +8.00||||||13</x:v>
      </x:c>
    </x:row>
    <x:row r="64">
      <x:c r="A64" s="24" t="str">
        <x:v>HY-5511C93B23CB</x:v>
      </x:c>
      <x:c r="B64" s="24" t="str">
        <x:v>SIM</x:v>
      </x:c>
      <x:c r="C64" s="24" t="str">
        <x:v>DISPONÍVEL</x:v>
      </x:c>
      <x:c r="D64" s="24" t="str">
        <x:v>HOYA</x:v>
      </x:c>
      <x:c r="E64" s="24" t="str">
        <x:v>Visão Simples</x:v>
      </x:c>
      <x:c r="F64" s="24" t="str">
        <x:v>Surfaçada</x:v>
      </x:c>
      <x:c r="G64" s="24" t="str">
        <x:v>Nulux TrueForm</x:v>
      </x:c>
      <x:c r="H64" s="24" t="str">
        <x:v>COLORIDAS</x:v>
      </x:c>
      <x:c r="I64" s="24" t="str">
        <x:v>ORGANIC</x:v>
      </x:c>
      <x:c r="J64" s="24" t="str">
        <x:v>1.50</x:v>
      </x:c>
      <x:c r="K64" s="24" t="str">
        <x:v>Hi-Vision Sun Pro</x:v>
      </x:c>
      <x:c r="L64" s="40" t="n">
        <x:v>1739</x:v>
      </x:c>
      <x:c r="M64" s="24" t="str">
        <x:v>-10.00 até +8.00</x:v>
      </x:c>
      <x:c r="N64" s="24"/>
      <x:c r="O64" s="24"/>
      <x:c r="P64" s="24"/>
      <x:c r="Q64" s="24"/>
      <x:c r="R64" s="24"/>
      <x:c r="S64" s="26" t="n">
        <x:v>45992</x:v>
      </x:c>
      <x:c r="T64" s="26"/>
      <x:c r="U64" s="24" t="str">
        <x:v>ATIVA/SEM FIM INFORMADO</x:v>
      </x:c>
      <x:c r="V64" s="24"/>
      <x:c r="W64" s="24" t="n">
        <x:v>13</x:v>
      </x:c>
      <x:c r="X64" s="24" t="str">
        <x:v>tabela_hoya(1).pdf</x:v>
      </x:c>
      <x:c r="Y64" s="24" t="str">
        <x:v>alta</x:v>
      </x:c>
      <x:c r="Z64" s="24"/>
      <x:c r="AA64" s="24" t="str">
        <x:v>HOYA|Visão Simples|Surfaçada|Nulux TrueForm|COLORIDAS|ORGANIC|1.50|Hi-Vision Sun Pro|-10.00 até +8.00||||||13</x:v>
      </x:c>
    </x:row>
    <x:row r="65">
      <x:c r="A65" s="24" t="str">
        <x:v>HY-B71D5D43EDFB</x:v>
      </x:c>
      <x:c r="B65" s="24" t="str">
        <x:v>NÃO</x:v>
      </x:c>
      <x:c r="C65" s="24" t="str">
        <x:v>EM BREVE</x:v>
      </x:c>
      <x:c r="D65" s="24" t="str">
        <x:v>HOYA</x:v>
      </x:c>
      <x:c r="E65" s="24" t="str">
        <x:v>Visão Simples</x:v>
      </x:c>
      <x:c r="F65" s="24" t="str">
        <x:v>Surfaçada</x:v>
      </x:c>
      <x:c r="G65" s="24" t="str">
        <x:v>Hilux</x:v>
      </x:c>
      <x:c r="H65" s="24" t="str">
        <x:v>INCOLOR</x:v>
      </x:c>
      <x:c r="I65" s="24" t="str">
        <x:v>POLI</x:v>
      </x:c>
      <x:c r="J65" s="24" t="str">
        <x:v>1.59</x:v>
      </x:c>
      <x:c r="K65" s="24" t="str">
        <x:v>Hi-Vision Meiryo</x:v>
      </x:c>
      <x:c r="L65" s="40" t="n">
        <x:v>1949</x:v>
      </x:c>
      <x:c r="M65" s="24" t="str">
        <x:v>-10.00 até +6.00</x:v>
      </x:c>
      <x:c r="N65" s="24"/>
      <x:c r="O65" s="24"/>
      <x:c r="P65" s="24"/>
      <x:c r="Q65" s="24"/>
      <x:c r="R65" s="24"/>
      <x:c r="S65" s="26" t="n">
        <x:v>45992</x:v>
      </x:c>
      <x:c r="T65" s="26"/>
      <x:c r="U65" s="24" t="str">
        <x:v>ATIVA/SEM FIM INFORMADO</x:v>
      </x:c>
      <x:c r="V65" s="24"/>
      <x:c r="W65" s="24" t="n">
        <x:v>14</x:v>
      </x:c>
      <x:c r="X65" s="24" t="str">
        <x:v>tabela_hoya(1).pdf</x:v>
      </x:c>
      <x:c r="Y65" s="24" t="str">
        <x:v>alta</x:v>
      </x:c>
      <x:c r="Z65" s="24" t="str">
        <x:v>Tratamento/produto marcado como “EM BREVE” na própria tabela HOYA; preço preservado, mas bloqueado no export web.</x:v>
      </x:c>
      <x:c r="AA65" s="24" t="str">
        <x:v>HOYA|Visão Simples|Surfaçada|Hilux|INCOLOR|POLI|1.59|Hi-Vision Meiryo|-10.00 até +6.00||||||14</x:v>
      </x:c>
    </x:row>
    <x:row r="66">
      <x:c r="A66" s="24" t="str">
        <x:v>HY-739A5E3814C9</x:v>
      </x:c>
      <x:c r="B66" s="24" t="str">
        <x:v>NÃO</x:v>
      </x:c>
      <x:c r="C66" s="24" t="str">
        <x:v>EM BREVE</x:v>
      </x:c>
      <x:c r="D66" s="24" t="str">
        <x:v>HOYA</x:v>
      </x:c>
      <x:c r="E66" s="24" t="str">
        <x:v>Visão Simples</x:v>
      </x:c>
      <x:c r="F66" s="24" t="str">
        <x:v>Surfaçada</x:v>
      </x:c>
      <x:c r="G66" s="24" t="str">
        <x:v>Hilux</x:v>
      </x:c>
      <x:c r="H66" s="24" t="str">
        <x:v>INCOLOR</x:v>
      </x:c>
      <x:c r="I66" s="24" t="str">
        <x:v>PNX</x:v>
      </x:c>
      <x:c r="J66" s="24" t="str">
        <x:v>1.53</x:v>
      </x:c>
      <x:c r="K66" s="24" t="str">
        <x:v>Hi-Vision Meiryo</x:v>
      </x:c>
      <x:c r="L66" s="40" t="n">
        <x:v>1949</x:v>
      </x:c>
      <x:c r="M66" s="24" t="str">
        <x:v>-10.00 até +8.00</x:v>
      </x:c>
      <x:c r="N66" s="24"/>
      <x:c r="O66" s="24"/>
      <x:c r="P66" s="24"/>
      <x:c r="Q66" s="24"/>
      <x:c r="R66" s="24"/>
      <x:c r="S66" s="26" t="n">
        <x:v>45992</x:v>
      </x:c>
      <x:c r="T66" s="26"/>
      <x:c r="U66" s="24" t="str">
        <x:v>ATIVA/SEM FIM INFORMADO</x:v>
      </x:c>
      <x:c r="V66" s="24"/>
      <x:c r="W66" s="24" t="n">
        <x:v>14</x:v>
      </x:c>
      <x:c r="X66" s="24" t="str">
        <x:v>tabela_hoya(1).pdf</x:v>
      </x:c>
      <x:c r="Y66" s="24" t="str">
        <x:v>alta</x:v>
      </x:c>
      <x:c r="Z66" s="24" t="str">
        <x:v>Tratamento/produto marcado como “EM BREVE” na própria tabela HOYA; preço preservado, mas bloqueado no export web.</x:v>
      </x:c>
      <x:c r="AA66" s="24" t="str">
        <x:v>HOYA|Visão Simples|Surfaçada|Hilux|INCOLOR|PNX|1.53|Hi-Vision Meiryo|-10.00 até +8.00||||||14</x:v>
      </x:c>
    </x:row>
    <x:row r="67">
      <x:c r="A67" s="24" t="str">
        <x:v>HY-A1A454BD0A22</x:v>
      </x:c>
      <x:c r="B67" s="24" t="str">
        <x:v>NÃO</x:v>
      </x:c>
      <x:c r="C67" s="24" t="str">
        <x:v>EM BREVE</x:v>
      </x:c>
      <x:c r="D67" s="24" t="str">
        <x:v>HOYA</x:v>
      </x:c>
      <x:c r="E67" s="24" t="str">
        <x:v>Visão Simples</x:v>
      </x:c>
      <x:c r="F67" s="24" t="str">
        <x:v>Surfaçada</x:v>
      </x:c>
      <x:c r="G67" s="24" t="str">
        <x:v>Hilux</x:v>
      </x:c>
      <x:c r="H67" s="24" t="str">
        <x:v>INCOLOR</x:v>
      </x:c>
      <x:c r="I67" s="24" t="str">
        <x:v>ORGANIC</x:v>
      </x:c>
      <x:c r="J67" s="24" t="str">
        <x:v>1.50</x:v>
      </x:c>
      <x:c r="K67" s="24" t="str">
        <x:v>Hi-Vision Meiryo</x:v>
      </x:c>
      <x:c r="L67" s="40" t="n">
        <x:v>1599</x:v>
      </x:c>
      <x:c r="M67" s="24" t="str">
        <x:v>-10.00 até +8.00</x:v>
      </x:c>
      <x:c r="N67" s="24"/>
      <x:c r="O67" s="24"/>
      <x:c r="P67" s="24"/>
      <x:c r="Q67" s="24"/>
      <x:c r="R67" s="24"/>
      <x:c r="S67" s="26" t="n">
        <x:v>45992</x:v>
      </x:c>
      <x:c r="T67" s="26"/>
      <x:c r="U67" s="24" t="str">
        <x:v>ATIVA/SEM FIM INFORMADO</x:v>
      </x:c>
      <x:c r="V67" s="24"/>
      <x:c r="W67" s="24" t="n">
        <x:v>14</x:v>
      </x:c>
      <x:c r="X67" s="24" t="str">
        <x:v>tabela_hoya(1).pdf</x:v>
      </x:c>
      <x:c r="Y67" s="24" t="str">
        <x:v>alta</x:v>
      </x:c>
      <x:c r="Z67" s="24" t="str">
        <x:v>Tratamento/produto marcado como “EM BREVE” na própria tabela HOYA; preço preservado, mas bloqueado no export web.</x:v>
      </x:c>
      <x:c r="AA67" s="24" t="str">
        <x:v>HOYA|Visão Simples|Surfaçada|Hilux|INCOLOR|ORGANIC|1.50|Hi-Vision Meiryo|-10.00 até +8.00||||||14</x:v>
      </x:c>
    </x:row>
    <x:row r="68">
      <x:c r="A68" s="24" t="str">
        <x:v>HY-8E7C2A7ED7BE</x:v>
      </x:c>
      <x:c r="B68" s="24" t="str">
        <x:v>SIM</x:v>
      </x:c>
      <x:c r="C68" s="24" t="str">
        <x:v>DISPONÍVEL</x:v>
      </x:c>
      <x:c r="D68" s="24" t="str">
        <x:v>HOYA</x:v>
      </x:c>
      <x:c r="E68" s="24" t="str">
        <x:v>Visão Simples</x:v>
      </x:c>
      <x:c r="F68" s="24" t="str">
        <x:v>Surfaçada</x:v>
      </x:c>
      <x:c r="G68" s="24" t="str">
        <x:v>Hilux</x:v>
      </x:c>
      <x:c r="H68" s="24" t="str">
        <x:v>INCOLOR</x:v>
      </x:c>
      <x:c r="I68" s="24" t="str">
        <x:v>PNX</x:v>
      </x:c>
      <x:c r="J68" s="24" t="str">
        <x:v>1.53</x:v>
      </x:c>
      <x:c r="K68" s="24" t="str">
        <x:v>Hi-Vision LongLife BlueControl</x:v>
      </x:c>
      <x:c r="L68" s="40" t="n">
        <x:v>1749</x:v>
      </x:c>
      <x:c r="M68" s="24" t="str">
        <x:v>-10.00 até +8.00</x:v>
      </x:c>
      <x:c r="N68" s="24"/>
      <x:c r="O68" s="24"/>
      <x:c r="P68" s="24"/>
      <x:c r="Q68" s="24"/>
      <x:c r="R68" s="24"/>
      <x:c r="S68" s="26" t="n">
        <x:v>45992</x:v>
      </x:c>
      <x:c r="T68" s="26"/>
      <x:c r="U68" s="24" t="str">
        <x:v>ATIVA/SEM FIM INFORMADO</x:v>
      </x:c>
      <x:c r="V68" s="24"/>
      <x:c r="W68" s="24" t="n">
        <x:v>14</x:v>
      </x:c>
      <x:c r="X68" s="24" t="str">
        <x:v>tabela_hoya(1).pdf</x:v>
      </x:c>
      <x:c r="Y68" s="24" t="str">
        <x:v>alta</x:v>
      </x:c>
      <x:c r="Z68" s="24"/>
      <x:c r="AA68" s="24" t="str">
        <x:v>HOYA|Visão Simples|Surfaçada|Hilux|INCOLOR|PNX|1.53|Hi-Vision LongLife BlueControl|-10.00 até +8.00||||||14</x:v>
      </x:c>
    </x:row>
    <x:row r="69">
      <x:c r="A69" s="24" t="str">
        <x:v>HY-2D93EDCB58AD</x:v>
      </x:c>
      <x:c r="B69" s="24" t="str">
        <x:v>SIM</x:v>
      </x:c>
      <x:c r="C69" s="24" t="str">
        <x:v>DISPONÍVEL</x:v>
      </x:c>
      <x:c r="D69" s="24" t="str">
        <x:v>HOYA</x:v>
      </x:c>
      <x:c r="E69" s="24" t="str">
        <x:v>Visão Simples</x:v>
      </x:c>
      <x:c r="F69" s="24" t="str">
        <x:v>Surfaçada</x:v>
      </x:c>
      <x:c r="G69" s="24" t="str">
        <x:v>Hilux</x:v>
      </x:c>
      <x:c r="H69" s="24" t="str">
        <x:v>INCOLOR</x:v>
      </x:c>
      <x:c r="I69" s="24" t="str">
        <x:v>ORGANIC</x:v>
      </x:c>
      <x:c r="J69" s="24" t="str">
        <x:v>1.50</x:v>
      </x:c>
      <x:c r="K69" s="24" t="str">
        <x:v>Hi-Vision LongLife BlueControl</x:v>
      </x:c>
      <x:c r="L69" s="40" t="n">
        <x:v>1399</x:v>
      </x:c>
      <x:c r="M69" s="24" t="str">
        <x:v>-10.00 até +8.00</x:v>
      </x:c>
      <x:c r="N69" s="24"/>
      <x:c r="O69" s="24"/>
      <x:c r="P69" s="24"/>
      <x:c r="Q69" s="24"/>
      <x:c r="R69" s="24"/>
      <x:c r="S69" s="26" t="n">
        <x:v>45992</x:v>
      </x:c>
      <x:c r="T69" s="26"/>
      <x:c r="U69" s="24" t="str">
        <x:v>ATIVA/SEM FIM INFORMADO</x:v>
      </x:c>
      <x:c r="V69" s="24"/>
      <x:c r="W69" s="24" t="n">
        <x:v>14</x:v>
      </x:c>
      <x:c r="X69" s="24" t="str">
        <x:v>tabela_hoya(1).pdf</x:v>
      </x:c>
      <x:c r="Y69" s="24" t="str">
        <x:v>alta</x:v>
      </x:c>
      <x:c r="Z69" s="24"/>
      <x:c r="AA69" s="24" t="str">
        <x:v>HOYA|Visão Simples|Surfaçada|Hilux|INCOLOR|ORGANIC|1.50|Hi-Vision LongLife BlueControl|-10.00 até +8.00||||||14</x:v>
      </x:c>
    </x:row>
    <x:row r="70">
      <x:c r="A70" s="24" t="str">
        <x:v>HY-994FF6116814</x:v>
      </x:c>
      <x:c r="B70" s="24" t="str">
        <x:v>SIM</x:v>
      </x:c>
      <x:c r="C70" s="24" t="str">
        <x:v>DISPONÍVEL</x:v>
      </x:c>
      <x:c r="D70" s="24" t="str">
        <x:v>HOYA</x:v>
      </x:c>
      <x:c r="E70" s="24" t="str">
        <x:v>Visão Simples</x:v>
      </x:c>
      <x:c r="F70" s="24" t="str">
        <x:v>Surfaçada</x:v>
      </x:c>
      <x:c r="G70" s="24" t="str">
        <x:v>Hilux</x:v>
      </x:c>
      <x:c r="H70" s="24" t="str">
        <x:v>INCOLOR</x:v>
      </x:c>
      <x:c r="I70" s="24" t="str">
        <x:v>POLI</x:v>
      </x:c>
      <x:c r="J70" s="24" t="str">
        <x:v>1.59</x:v>
      </x:c>
      <x:c r="K70" s="24" t="str">
        <x:v>No-Risk BlueControl</x:v>
      </x:c>
      <x:c r="L70" s="40" t="n">
        <x:v>1499</x:v>
      </x:c>
      <x:c r="M70" s="24" t="str">
        <x:v>-10.00 até +6.00</x:v>
      </x:c>
      <x:c r="N70" s="24"/>
      <x:c r="O70" s="24"/>
      <x:c r="P70" s="24"/>
      <x:c r="Q70" s="24"/>
      <x:c r="R70" s="24"/>
      <x:c r="S70" s="26" t="n">
        <x:v>45992</x:v>
      </x:c>
      <x:c r="T70" s="26"/>
      <x:c r="U70" s="24" t="str">
        <x:v>ATIVA/SEM FIM INFORMADO</x:v>
      </x:c>
      <x:c r="V70" s="24"/>
      <x:c r="W70" s="24" t="n">
        <x:v>14</x:v>
      </x:c>
      <x:c r="X70" s="24" t="str">
        <x:v>tabela_hoya(1).pdf</x:v>
      </x:c>
      <x:c r="Y70" s="24" t="str">
        <x:v>alta</x:v>
      </x:c>
      <x:c r="Z70" s="24"/>
      <x:c r="AA70" s="24" t="str">
        <x:v>HOYA|Visão Simples|Surfaçada|Hilux|INCOLOR|POLI|1.59|No-Risk BlueControl|-10.00 até +6.00||||||14</x:v>
      </x:c>
    </x:row>
    <x:row r="71">
      <x:c r="A71" s="24" t="str">
        <x:v>HY-D84BF6C21DD2</x:v>
      </x:c>
      <x:c r="B71" s="24" t="str">
        <x:v>SIM</x:v>
      </x:c>
      <x:c r="C71" s="24" t="str">
        <x:v>DISPONÍVEL</x:v>
      </x:c>
      <x:c r="D71" s="24" t="str">
        <x:v>HOYA</x:v>
      </x:c>
      <x:c r="E71" s="24" t="str">
        <x:v>Visão Simples</x:v>
      </x:c>
      <x:c r="F71" s="24" t="str">
        <x:v>Surfaçada</x:v>
      </x:c>
      <x:c r="G71" s="24" t="str">
        <x:v>Hilux</x:v>
      </x:c>
      <x:c r="H71" s="24" t="str">
        <x:v>INCOLOR</x:v>
      </x:c>
      <x:c r="I71" s="24" t="str">
        <x:v>PNX</x:v>
      </x:c>
      <x:c r="J71" s="24" t="str">
        <x:v>1.53</x:v>
      </x:c>
      <x:c r="K71" s="24" t="str">
        <x:v>No-Risk BlueControl</x:v>
      </x:c>
      <x:c r="L71" s="40" t="n">
        <x:v>1499</x:v>
      </x:c>
      <x:c r="M71" s="24" t="str">
        <x:v>-10.00 até +8.00</x:v>
      </x:c>
      <x:c r="N71" s="24"/>
      <x:c r="O71" s="24"/>
      <x:c r="P71" s="24"/>
      <x:c r="Q71" s="24"/>
      <x:c r="R71" s="24"/>
      <x:c r="S71" s="26" t="n">
        <x:v>45992</x:v>
      </x:c>
      <x:c r="T71" s="26"/>
      <x:c r="U71" s="24" t="str">
        <x:v>ATIVA/SEM FIM INFORMADO</x:v>
      </x:c>
      <x:c r="V71" s="24"/>
      <x:c r="W71" s="24" t="n">
        <x:v>14</x:v>
      </x:c>
      <x:c r="X71" s="24" t="str">
        <x:v>tabela_hoya(1).pdf</x:v>
      </x:c>
      <x:c r="Y71" s="24" t="str">
        <x:v>alta</x:v>
      </x:c>
      <x:c r="Z71" s="24"/>
      <x:c r="AA71" s="24" t="str">
        <x:v>HOYA|Visão Simples|Surfaçada|Hilux|INCOLOR|PNX|1.53|No-Risk BlueControl|-10.00 até +8.00||||||14</x:v>
      </x:c>
    </x:row>
    <x:row r="72">
      <x:c r="A72" s="24" t="str">
        <x:v>HY-342166FB604E</x:v>
      </x:c>
      <x:c r="B72" s="24" t="str">
        <x:v>SIM</x:v>
      </x:c>
      <x:c r="C72" s="24" t="str">
        <x:v>DISPONÍVEL</x:v>
      </x:c>
      <x:c r="D72" s="24" t="str">
        <x:v>HOYA</x:v>
      </x:c>
      <x:c r="E72" s="24" t="str">
        <x:v>Visão Simples</x:v>
      </x:c>
      <x:c r="F72" s="24" t="str">
        <x:v>Surfaçada</x:v>
      </x:c>
      <x:c r="G72" s="24" t="str">
        <x:v>Hilux</x:v>
      </x:c>
      <x:c r="H72" s="24" t="str">
        <x:v>INCOLOR</x:v>
      </x:c>
      <x:c r="I72" s="24" t="str">
        <x:v>ORGANIC</x:v>
      </x:c>
      <x:c r="J72" s="24" t="str">
        <x:v>1.50</x:v>
      </x:c>
      <x:c r="K72" s="24" t="str">
        <x:v>No-Risk BlueControl</x:v>
      </x:c>
      <x:c r="L72" s="40" t="n">
        <x:v>1149</x:v>
      </x:c>
      <x:c r="M72" s="24" t="str">
        <x:v>-10.00 até +8.00</x:v>
      </x:c>
      <x:c r="N72" s="24"/>
      <x:c r="O72" s="24"/>
      <x:c r="P72" s="24"/>
      <x:c r="Q72" s="24"/>
      <x:c r="R72" s="24"/>
      <x:c r="S72" s="26" t="n">
        <x:v>45992</x:v>
      </x:c>
      <x:c r="T72" s="26"/>
      <x:c r="U72" s="24" t="str">
        <x:v>ATIVA/SEM FIM INFORMADO</x:v>
      </x:c>
      <x:c r="V72" s="24"/>
      <x:c r="W72" s="24" t="n">
        <x:v>14</x:v>
      </x:c>
      <x:c r="X72" s="24" t="str">
        <x:v>tabela_hoya(1).pdf</x:v>
      </x:c>
      <x:c r="Y72" s="24" t="str">
        <x:v>alta</x:v>
      </x:c>
      <x:c r="Z72" s="24"/>
      <x:c r="AA72" s="24" t="str">
        <x:v>HOYA|Visão Simples|Surfaçada|Hilux|INCOLOR|ORGANIC|1.50|No-Risk BlueControl|-10.00 até +8.00||||||14</x:v>
      </x:c>
    </x:row>
    <x:row r="73">
      <x:c r="A73" s="24" t="str">
        <x:v>HY-013F740A8725</x:v>
      </x:c>
      <x:c r="B73" s="24" t="str">
        <x:v>SIM</x:v>
      </x:c>
      <x:c r="C73" s="24" t="str">
        <x:v>DISPONÍVEL</x:v>
      </x:c>
      <x:c r="D73" s="24" t="str">
        <x:v>HOYA</x:v>
      </x:c>
      <x:c r="E73" s="24" t="str">
        <x:v>Visão Simples</x:v>
      </x:c>
      <x:c r="F73" s="24" t="str">
        <x:v>Surfaçada</x:v>
      </x:c>
      <x:c r="G73" s="24" t="str">
        <x:v>Hilux</x:v>
      </x:c>
      <x:c r="H73" s="24" t="str">
        <x:v>INCOLOR</x:v>
      </x:c>
      <x:c r="I73" s="24" t="str">
        <x:v>POLI</x:v>
      </x:c>
      <x:c r="J73" s="24" t="str">
        <x:v>1.59</x:v>
      </x:c>
      <x:c r="K73" s="24" t="str">
        <x:v>Hi-Vision Hard</x:v>
      </x:c>
      <x:c r="L73" s="40" t="n">
        <x:v>849</x:v>
      </x:c>
      <x:c r="M73" s="24" t="str">
        <x:v>-10.00 até +6.00</x:v>
      </x:c>
      <x:c r="N73" s="24"/>
      <x:c r="O73" s="24"/>
      <x:c r="P73" s="24"/>
      <x:c r="Q73" s="24"/>
      <x:c r="R73" s="24"/>
      <x:c r="S73" s="26" t="n">
        <x:v>45992</x:v>
      </x:c>
      <x:c r="T73" s="26"/>
      <x:c r="U73" s="24" t="str">
        <x:v>ATIVA/SEM FIM INFORMADO</x:v>
      </x:c>
      <x:c r="V73" s="24"/>
      <x:c r="W73" s="24" t="n">
        <x:v>14</x:v>
      </x:c>
      <x:c r="X73" s="24" t="str">
        <x:v>tabela_hoya(1).pdf</x:v>
      </x:c>
      <x:c r="Y73" s="24" t="str">
        <x:v>alta</x:v>
      </x:c>
      <x:c r="Z73" s="24"/>
      <x:c r="AA73" s="24" t="str">
        <x:v>HOYA|Visão Simples|Surfaçada|Hilux|INCOLOR|POLI|1.59|Hi-Vision Hard|-10.00 até +6.00||||||14</x:v>
      </x:c>
    </x:row>
    <x:row r="74">
      <x:c r="A74" s="24" t="str">
        <x:v>HY-C543FD31A418</x:v>
      </x:c>
      <x:c r="B74" s="24" t="str">
        <x:v>SIM</x:v>
      </x:c>
      <x:c r="C74" s="24" t="str">
        <x:v>DISPONÍVEL</x:v>
      </x:c>
      <x:c r="D74" s="24" t="str">
        <x:v>HOYA</x:v>
      </x:c>
      <x:c r="E74" s="24" t="str">
        <x:v>Visão Simples</x:v>
      </x:c>
      <x:c r="F74" s="24" t="str">
        <x:v>Surfaçada</x:v>
      </x:c>
      <x:c r="G74" s="24" t="str">
        <x:v>Hilux</x:v>
      </x:c>
      <x:c r="H74" s="24" t="str">
        <x:v>INCOLOR</x:v>
      </x:c>
      <x:c r="I74" s="24" t="str">
        <x:v>PNX</x:v>
      </x:c>
      <x:c r="J74" s="24" t="str">
        <x:v>1.53</x:v>
      </x:c>
      <x:c r="K74" s="24" t="str">
        <x:v>Hi-Vision Hard</x:v>
      </x:c>
      <x:c r="L74" s="40" t="n">
        <x:v>849</x:v>
      </x:c>
      <x:c r="M74" s="24" t="str">
        <x:v>-10.00 até +8.00</x:v>
      </x:c>
      <x:c r="N74" s="24"/>
      <x:c r="O74" s="24"/>
      <x:c r="P74" s="24"/>
      <x:c r="Q74" s="24"/>
      <x:c r="R74" s="24"/>
      <x:c r="S74" s="26" t="n">
        <x:v>45992</x:v>
      </x:c>
      <x:c r="T74" s="26"/>
      <x:c r="U74" s="24" t="str">
        <x:v>ATIVA/SEM FIM INFORMADO</x:v>
      </x:c>
      <x:c r="V74" s="24"/>
      <x:c r="W74" s="24" t="n">
        <x:v>14</x:v>
      </x:c>
      <x:c r="X74" s="24" t="str">
        <x:v>tabela_hoya(1).pdf</x:v>
      </x:c>
      <x:c r="Y74" s="24" t="str">
        <x:v>alta</x:v>
      </x:c>
      <x:c r="Z74" s="24"/>
      <x:c r="AA74" s="24" t="str">
        <x:v>HOYA|Visão Simples|Surfaçada|Hilux|INCOLOR|PNX|1.53|Hi-Vision Hard|-10.00 até +8.00||||||14</x:v>
      </x:c>
    </x:row>
    <x:row r="75">
      <x:c r="A75" s="24" t="str">
        <x:v>HY-B73E628C0F84</x:v>
      </x:c>
      <x:c r="B75" s="24" t="str">
        <x:v>SIM</x:v>
      </x:c>
      <x:c r="C75" s="24" t="str">
        <x:v>DISPONÍVEL</x:v>
      </x:c>
      <x:c r="D75" s="24" t="str">
        <x:v>HOYA</x:v>
      </x:c>
      <x:c r="E75" s="24" t="str">
        <x:v>Visão Simples</x:v>
      </x:c>
      <x:c r="F75" s="24" t="str">
        <x:v>Surfaçada</x:v>
      </x:c>
      <x:c r="G75" s="24" t="str">
        <x:v>Hilux</x:v>
      </x:c>
      <x:c r="H75" s="24" t="str">
        <x:v>INCOLOR</x:v>
      </x:c>
      <x:c r="I75" s="24" t="str">
        <x:v>ORGANIC</x:v>
      </x:c>
      <x:c r="J75" s="24" t="str">
        <x:v>1.50</x:v>
      </x:c>
      <x:c r="K75" s="24" t="str">
        <x:v>Hi-Vision Hard</x:v>
      </x:c>
      <x:c r="L75" s="40" t="n">
        <x:v>499</x:v>
      </x:c>
      <x:c r="M75" s="24" t="str">
        <x:v>-10.00 até +8.00</x:v>
      </x:c>
      <x:c r="N75" s="24"/>
      <x:c r="O75" s="24"/>
      <x:c r="P75" s="24"/>
      <x:c r="Q75" s="24"/>
      <x:c r="R75" s="24"/>
      <x:c r="S75" s="26" t="n">
        <x:v>45992</x:v>
      </x:c>
      <x:c r="T75" s="26"/>
      <x:c r="U75" s="24" t="str">
        <x:v>ATIVA/SEM FIM INFORMADO</x:v>
      </x:c>
      <x:c r="V75" s="24"/>
      <x:c r="W75" s="24" t="n">
        <x:v>14</x:v>
      </x:c>
      <x:c r="X75" s="24" t="str">
        <x:v>tabela_hoya(1).pdf</x:v>
      </x:c>
      <x:c r="Y75" s="24" t="str">
        <x:v>alta</x:v>
      </x:c>
      <x:c r="Z75" s="24"/>
      <x:c r="AA75" s="24" t="str">
        <x:v>HOYA|Visão Simples|Surfaçada|Hilux|INCOLOR|ORGANIC|1.50|Hi-Vision Hard|-10.00 até +8.00||||||14</x:v>
      </x:c>
    </x:row>
    <x:row r="76">
      <x:c r="A76" s="24" t="str">
        <x:v>HY-B725C5232136</x:v>
      </x:c>
      <x:c r="B76" s="24" t="str">
        <x:v>NÃO</x:v>
      </x:c>
      <x:c r="C76" s="24" t="str">
        <x:v>EM BREVE</x:v>
      </x:c>
      <x:c r="D76" s="24" t="str">
        <x:v>HOYA</x:v>
      </x:c>
      <x:c r="E76" s="24" t="str">
        <x:v>Visão Simples</x:v>
      </x:c>
      <x:c r="F76" s="24" t="str">
        <x:v>Surfaçada</x:v>
      </x:c>
      <x:c r="G76" s="24" t="str">
        <x:v>Hilux</x:v>
      </x:c>
      <x:c r="H76" s="24" t="str">
        <x:v>SENSITY 2</x:v>
      </x:c>
      <x:c r="I76" s="24" t="str">
        <x:v>PNX</x:v>
      </x:c>
      <x:c r="J76" s="24" t="str">
        <x:v>1.53</x:v>
      </x:c>
      <x:c r="K76" s="24" t="str">
        <x:v>Hi-Vision Meiryo</x:v>
      </x:c>
      <x:c r="L76" s="40" t="n">
        <x:v>2949</x:v>
      </x:c>
      <x:c r="M76" s="24" t="str">
        <x:v>-10.00 até +8.00</x:v>
      </x:c>
      <x:c r="N76" s="24"/>
      <x:c r="O76" s="24"/>
      <x:c r="P76" s="24"/>
      <x:c r="Q76" s="24"/>
      <x:c r="R76" s="24"/>
      <x:c r="S76" s="26" t="n">
        <x:v>45992</x:v>
      </x:c>
      <x:c r="T76" s="26"/>
      <x:c r="U76" s="24" t="str">
        <x:v>ATIVA/SEM FIM INFORMADO</x:v>
      </x:c>
      <x:c r="V76" s="24"/>
      <x:c r="W76" s="24" t="n">
        <x:v>14</x:v>
      </x:c>
      <x:c r="X76" s="24" t="str">
        <x:v>tabela_hoya(1).pdf</x:v>
      </x:c>
      <x:c r="Y76" s="24" t="str">
        <x:v>alta</x:v>
      </x:c>
      <x:c r="Z76" s="24" t="str">
        <x:v>Tratamento/produto marcado como “EM BREVE” na própria tabela HOYA; preço preservado, mas bloqueado no export web.</x:v>
      </x:c>
      <x:c r="AA76" s="24" t="str">
        <x:v>HOYA|Visão Simples|Surfaçada|Hilux|SENSITY 2|PNX|1.53|Hi-Vision Meiryo|-10.00 até +8.00||||||14</x:v>
      </x:c>
    </x:row>
    <x:row r="77">
      <x:c r="A77" s="24" t="str">
        <x:v>HY-34BD32CB4300</x:v>
      </x:c>
      <x:c r="B77" s="24" t="str">
        <x:v>NÃO</x:v>
      </x:c>
      <x:c r="C77" s="24" t="str">
        <x:v>EM BREVE</x:v>
      </x:c>
      <x:c r="D77" s="24" t="str">
        <x:v>HOYA</x:v>
      </x:c>
      <x:c r="E77" s="24" t="str">
        <x:v>Visão Simples</x:v>
      </x:c>
      <x:c r="F77" s="24" t="str">
        <x:v>Surfaçada</x:v>
      </x:c>
      <x:c r="G77" s="24" t="str">
        <x:v>Hilux</x:v>
      </x:c>
      <x:c r="H77" s="24" t="str">
        <x:v>SENSITY 2</x:v>
      </x:c>
      <x:c r="I77" s="24" t="str">
        <x:v>ORGANIC</x:v>
      </x:c>
      <x:c r="J77" s="24" t="str">
        <x:v>1.50</x:v>
      </x:c>
      <x:c r="K77" s="24" t="str">
        <x:v>Hi-Vision Meiryo</x:v>
      </x:c>
      <x:c r="L77" s="40" t="n">
        <x:v>2599</x:v>
      </x:c>
      <x:c r="M77" s="24" t="str">
        <x:v>-10.00 até +8.00</x:v>
      </x:c>
      <x:c r="N77" s="24"/>
      <x:c r="O77" s="24"/>
      <x:c r="P77" s="24"/>
      <x:c r="Q77" s="24"/>
      <x:c r="R77" s="24"/>
      <x:c r="S77" s="26" t="n">
        <x:v>45992</x:v>
      </x:c>
      <x:c r="T77" s="26"/>
      <x:c r="U77" s="24" t="str">
        <x:v>ATIVA/SEM FIM INFORMADO</x:v>
      </x:c>
      <x:c r="V77" s="24"/>
      <x:c r="W77" s="24" t="n">
        <x:v>14</x:v>
      </x:c>
      <x:c r="X77" s="24" t="str">
        <x:v>tabela_hoya(1).pdf</x:v>
      </x:c>
      <x:c r="Y77" s="24" t="str">
        <x:v>alta</x:v>
      </x:c>
      <x:c r="Z77" s="24" t="str">
        <x:v>Tratamento/produto marcado como “EM BREVE” na própria tabela HOYA; preço preservado, mas bloqueado no export web.</x:v>
      </x:c>
      <x:c r="AA77" s="24" t="str">
        <x:v>HOYA|Visão Simples|Surfaçada|Hilux|SENSITY 2|ORGANIC|1.50|Hi-Vision Meiryo|-10.00 até +8.00||||||14</x:v>
      </x:c>
    </x:row>
    <x:row r="78">
      <x:c r="A78" s="24" t="str">
        <x:v>HY-5EF1EC205B4F</x:v>
      </x:c>
      <x:c r="B78" s="24" t="str">
        <x:v>SIM</x:v>
      </x:c>
      <x:c r="C78" s="24" t="str">
        <x:v>DISPONÍVEL</x:v>
      </x:c>
      <x:c r="D78" s="24" t="str">
        <x:v>HOYA</x:v>
      </x:c>
      <x:c r="E78" s="24" t="str">
        <x:v>Visão Simples</x:v>
      </x:c>
      <x:c r="F78" s="24" t="str">
        <x:v>Surfaçada</x:v>
      </x:c>
      <x:c r="G78" s="24" t="str">
        <x:v>Hilux</x:v>
      </x:c>
      <x:c r="H78" s="24" t="str">
        <x:v>SENSITY 2</x:v>
      </x:c>
      <x:c r="I78" s="24" t="str">
        <x:v>PNX</x:v>
      </x:c>
      <x:c r="J78" s="24" t="str">
        <x:v>1.53</x:v>
      </x:c>
      <x:c r="K78" s="24" t="str">
        <x:v>Hi-Vision LongLife BlueControl</x:v>
      </x:c>
      <x:c r="L78" s="40" t="n">
        <x:v>2749</x:v>
      </x:c>
      <x:c r="M78" s="24" t="str">
        <x:v>-10.00 até +8.00</x:v>
      </x:c>
      <x:c r="N78" s="24"/>
      <x:c r="O78" s="24"/>
      <x:c r="P78" s="24"/>
      <x:c r="Q78" s="24"/>
      <x:c r="R78" s="24"/>
      <x:c r="S78" s="26" t="n">
        <x:v>45992</x:v>
      </x:c>
      <x:c r="T78" s="26"/>
      <x:c r="U78" s="24" t="str">
        <x:v>ATIVA/SEM FIM INFORMADO</x:v>
      </x:c>
      <x:c r="V78" s="24"/>
      <x:c r="W78" s="24" t="n">
        <x:v>14</x:v>
      </x:c>
      <x:c r="X78" s="24" t="str">
        <x:v>tabela_hoya(1).pdf</x:v>
      </x:c>
      <x:c r="Y78" s="24" t="str">
        <x:v>alta</x:v>
      </x:c>
      <x:c r="Z78" s="24"/>
      <x:c r="AA78" s="24" t="str">
        <x:v>HOYA|Visão Simples|Surfaçada|Hilux|SENSITY 2|PNX|1.53|Hi-Vision LongLife BlueControl|-10.00 até +8.00||||||14</x:v>
      </x:c>
    </x:row>
    <x:row r="79">
      <x:c r="A79" s="24" t="str">
        <x:v>HY-F171ABBEAAB1</x:v>
      </x:c>
      <x:c r="B79" s="24" t="str">
        <x:v>SIM</x:v>
      </x:c>
      <x:c r="C79" s="24" t="str">
        <x:v>DISPONÍVEL</x:v>
      </x:c>
      <x:c r="D79" s="24" t="str">
        <x:v>HOYA</x:v>
      </x:c>
      <x:c r="E79" s="24" t="str">
        <x:v>Visão Simples</x:v>
      </x:c>
      <x:c r="F79" s="24" t="str">
        <x:v>Surfaçada</x:v>
      </x:c>
      <x:c r="G79" s="24" t="str">
        <x:v>Hilux</x:v>
      </x:c>
      <x:c r="H79" s="24" t="str">
        <x:v>SENSITY 2</x:v>
      </x:c>
      <x:c r="I79" s="24" t="str">
        <x:v>ORGANIC</x:v>
      </x:c>
      <x:c r="J79" s="24" t="str">
        <x:v>1.50</x:v>
      </x:c>
      <x:c r="K79" s="24" t="str">
        <x:v>Hi-Vision LongLife BlueControl</x:v>
      </x:c>
      <x:c r="L79" s="40" t="n">
        <x:v>2399</x:v>
      </x:c>
      <x:c r="M79" s="24" t="str">
        <x:v>-10.00 até +8.00</x:v>
      </x:c>
      <x:c r="N79" s="24"/>
      <x:c r="O79" s="24"/>
      <x:c r="P79" s="24"/>
      <x:c r="Q79" s="24"/>
      <x:c r="R79" s="24"/>
      <x:c r="S79" s="26" t="n">
        <x:v>45992</x:v>
      </x:c>
      <x:c r="T79" s="26"/>
      <x:c r="U79" s="24" t="str">
        <x:v>ATIVA/SEM FIM INFORMADO</x:v>
      </x:c>
      <x:c r="V79" s="24"/>
      <x:c r="W79" s="24" t="n">
        <x:v>14</x:v>
      </x:c>
      <x:c r="X79" s="24" t="str">
        <x:v>tabela_hoya(1).pdf</x:v>
      </x:c>
      <x:c r="Y79" s="24" t="str">
        <x:v>alta</x:v>
      </x:c>
      <x:c r="Z79" s="24"/>
      <x:c r="AA79" s="24" t="str">
        <x:v>HOYA|Visão Simples|Surfaçada|Hilux|SENSITY 2|ORGANIC|1.50|Hi-Vision LongLife BlueControl|-10.00 até +8.00||||||14</x:v>
      </x:c>
    </x:row>
    <x:row r="80">
      <x:c r="A80" s="24" t="str">
        <x:v>HY-96C5C5B4AB5D</x:v>
      </x:c>
      <x:c r="B80" s="24" t="str">
        <x:v>SIM</x:v>
      </x:c>
      <x:c r="C80" s="24" t="str">
        <x:v>DISPONÍVEL</x:v>
      </x:c>
      <x:c r="D80" s="24" t="str">
        <x:v>HOYA</x:v>
      </x:c>
      <x:c r="E80" s="24" t="str">
        <x:v>Visão Simples</x:v>
      </x:c>
      <x:c r="F80" s="24" t="str">
        <x:v>Surfaçada</x:v>
      </x:c>
      <x:c r="G80" s="24" t="str">
        <x:v>Hilux</x:v>
      </x:c>
      <x:c r="H80" s="24" t="str">
        <x:v>SENSITY 2</x:v>
      </x:c>
      <x:c r="I80" s="24" t="str">
        <x:v>PNX</x:v>
      </x:c>
      <x:c r="J80" s="24" t="str">
        <x:v>1.53</x:v>
      </x:c>
      <x:c r="K80" s="24" t="str">
        <x:v>No-Risk BlueControl</x:v>
      </x:c>
      <x:c r="L80" s="40" t="n">
        <x:v>2499</x:v>
      </x:c>
      <x:c r="M80" s="24" t="str">
        <x:v>-10.00 até +8.00</x:v>
      </x:c>
      <x:c r="N80" s="24"/>
      <x:c r="O80" s="24"/>
      <x:c r="P80" s="24"/>
      <x:c r="Q80" s="24"/>
      <x:c r="R80" s="24"/>
      <x:c r="S80" s="26" t="n">
        <x:v>45992</x:v>
      </x:c>
      <x:c r="T80" s="26"/>
      <x:c r="U80" s="24" t="str">
        <x:v>ATIVA/SEM FIM INFORMADO</x:v>
      </x:c>
      <x:c r="V80" s="24"/>
      <x:c r="W80" s="24" t="n">
        <x:v>14</x:v>
      </x:c>
      <x:c r="X80" s="24" t="str">
        <x:v>tabela_hoya(1).pdf</x:v>
      </x:c>
      <x:c r="Y80" s="24" t="str">
        <x:v>alta</x:v>
      </x:c>
      <x:c r="Z80" s="24"/>
      <x:c r="AA80" s="24" t="str">
        <x:v>HOYA|Visão Simples|Surfaçada|Hilux|SENSITY 2|PNX|1.53|No-Risk BlueControl|-10.00 até +8.00||||||14</x:v>
      </x:c>
    </x:row>
    <x:row r="81">
      <x:c r="A81" s="24" t="str">
        <x:v>HY-2782FFAFEEEE</x:v>
      </x:c>
      <x:c r="B81" s="24" t="str">
        <x:v>SIM</x:v>
      </x:c>
      <x:c r="C81" s="24" t="str">
        <x:v>DISPONÍVEL</x:v>
      </x:c>
      <x:c r="D81" s="24" t="str">
        <x:v>HOYA</x:v>
      </x:c>
      <x:c r="E81" s="24" t="str">
        <x:v>Visão Simples</x:v>
      </x:c>
      <x:c r="F81" s="24" t="str">
        <x:v>Surfaçada</x:v>
      </x:c>
      <x:c r="G81" s="24" t="str">
        <x:v>Hilux</x:v>
      </x:c>
      <x:c r="H81" s="24" t="str">
        <x:v>SENSITY 2</x:v>
      </x:c>
      <x:c r="I81" s="24" t="str">
        <x:v>ORGANIC</x:v>
      </x:c>
      <x:c r="J81" s="24" t="str">
        <x:v>1.50</x:v>
      </x:c>
      <x:c r="K81" s="24" t="str">
        <x:v>No-Risk BlueControl</x:v>
      </x:c>
      <x:c r="L81" s="40" t="n">
        <x:v>2149</x:v>
      </x:c>
      <x:c r="M81" s="24" t="str">
        <x:v>-10.00 até +8.00</x:v>
      </x:c>
      <x:c r="N81" s="24"/>
      <x:c r="O81" s="24"/>
      <x:c r="P81" s="24"/>
      <x:c r="Q81" s="24"/>
      <x:c r="R81" s="24"/>
      <x:c r="S81" s="26" t="n">
        <x:v>45992</x:v>
      </x:c>
      <x:c r="T81" s="26"/>
      <x:c r="U81" s="24" t="str">
        <x:v>ATIVA/SEM FIM INFORMADO</x:v>
      </x:c>
      <x:c r="V81" s="24"/>
      <x:c r="W81" s="24" t="n">
        <x:v>14</x:v>
      </x:c>
      <x:c r="X81" s="24" t="str">
        <x:v>tabela_hoya(1).pdf</x:v>
      </x:c>
      <x:c r="Y81" s="24" t="str">
        <x:v>alta</x:v>
      </x:c>
      <x:c r="Z81" s="24"/>
      <x:c r="AA81" s="24" t="str">
        <x:v>HOYA|Visão Simples|Surfaçada|Hilux|SENSITY 2|ORGANIC|1.50|No-Risk BlueControl|-10.00 até +8.00||||||14</x:v>
      </x:c>
    </x:row>
    <x:row r="82">
      <x:c r="A82" s="24" t="str">
        <x:v>HY-24293285E9BC</x:v>
      </x:c>
      <x:c r="B82" s="24" t="str">
        <x:v>SIM</x:v>
      </x:c>
      <x:c r="C82" s="24" t="str">
        <x:v>DISPONÍVEL</x:v>
      </x:c>
      <x:c r="D82" s="24" t="str">
        <x:v>HOYA</x:v>
      </x:c>
      <x:c r="E82" s="24" t="str">
        <x:v>Visão Simples</x:v>
      </x:c>
      <x:c r="F82" s="24" t="str">
        <x:v>Surfaçada</x:v>
      </x:c>
      <x:c r="G82" s="24" t="str">
        <x:v>Hilux</x:v>
      </x:c>
      <x:c r="H82" s="24" t="str">
        <x:v>SENSITY 2</x:v>
      </x:c>
      <x:c r="I82" s="24" t="str">
        <x:v>PNX</x:v>
      </x:c>
      <x:c r="J82" s="24" t="str">
        <x:v>1.53</x:v>
      </x:c>
      <x:c r="K82" s="24" t="str">
        <x:v>Hi-Vision Hard</x:v>
      </x:c>
      <x:c r="L82" s="40" t="n">
        <x:v>1849</x:v>
      </x:c>
      <x:c r="M82" s="24" t="str">
        <x:v>-10.00 até +8.00</x:v>
      </x:c>
      <x:c r="N82" s="24"/>
      <x:c r="O82" s="24"/>
      <x:c r="P82" s="24"/>
      <x:c r="Q82" s="24"/>
      <x:c r="R82" s="24"/>
      <x:c r="S82" s="26" t="n">
        <x:v>45992</x:v>
      </x:c>
      <x:c r="T82" s="26"/>
      <x:c r="U82" s="24" t="str">
        <x:v>ATIVA/SEM FIM INFORMADO</x:v>
      </x:c>
      <x:c r="V82" s="24"/>
      <x:c r="W82" s="24" t="n">
        <x:v>14</x:v>
      </x:c>
      <x:c r="X82" s="24" t="str">
        <x:v>tabela_hoya(1).pdf</x:v>
      </x:c>
      <x:c r="Y82" s="24" t="str">
        <x:v>alta</x:v>
      </x:c>
      <x:c r="Z82" s="24"/>
      <x:c r="AA82" s="24" t="str">
        <x:v>HOYA|Visão Simples|Surfaçada|Hilux|SENSITY 2|PNX|1.53|Hi-Vision Hard|-10.00 até +8.00||||||14</x:v>
      </x:c>
    </x:row>
    <x:row r="83">
      <x:c r="A83" s="24" t="str">
        <x:v>HY-A63B61A40E43</x:v>
      </x:c>
      <x:c r="B83" s="24" t="str">
        <x:v>SIM</x:v>
      </x:c>
      <x:c r="C83" s="24" t="str">
        <x:v>DISPONÍVEL</x:v>
      </x:c>
      <x:c r="D83" s="24" t="str">
        <x:v>HOYA</x:v>
      </x:c>
      <x:c r="E83" s="24" t="str">
        <x:v>Visão Simples</x:v>
      </x:c>
      <x:c r="F83" s="24" t="str">
        <x:v>Surfaçada</x:v>
      </x:c>
      <x:c r="G83" s="24" t="str">
        <x:v>Hilux</x:v>
      </x:c>
      <x:c r="H83" s="24" t="str">
        <x:v>SENSITY 2</x:v>
      </x:c>
      <x:c r="I83" s="24" t="str">
        <x:v>ORGANIC</x:v>
      </x:c>
      <x:c r="J83" s="24" t="str">
        <x:v>1.50</x:v>
      </x:c>
      <x:c r="K83" s="24" t="str">
        <x:v>Hi-Vision Hard</x:v>
      </x:c>
      <x:c r="L83" s="40" t="n">
        <x:v>1499</x:v>
      </x:c>
      <x:c r="M83" s="24" t="str">
        <x:v>-10.00 até +8.00</x:v>
      </x:c>
      <x:c r="N83" s="24"/>
      <x:c r="O83" s="24"/>
      <x:c r="P83" s="24"/>
      <x:c r="Q83" s="24"/>
      <x:c r="R83" s="24"/>
      <x:c r="S83" s="26" t="n">
        <x:v>45992</x:v>
      </x:c>
      <x:c r="T83" s="26"/>
      <x:c r="U83" s="24" t="str">
        <x:v>ATIVA/SEM FIM INFORMADO</x:v>
      </x:c>
      <x:c r="V83" s="24"/>
      <x:c r="W83" s="24" t="n">
        <x:v>14</x:v>
      </x:c>
      <x:c r="X83" s="24" t="str">
        <x:v>tabela_hoya(1).pdf</x:v>
      </x:c>
      <x:c r="Y83" s="24" t="str">
        <x:v>alta</x:v>
      </x:c>
      <x:c r="Z83" s="24"/>
      <x:c r="AA83" s="24" t="str">
        <x:v>HOYA|Visão Simples|Surfaçada|Hilux|SENSITY 2|ORGANIC|1.50|Hi-Vision Hard|-10.00 até +8.00||||||14</x:v>
      </x:c>
    </x:row>
    <x:row r="84">
      <x:c r="A84" s="24" t="str">
        <x:v>HY-610EC71297E2</x:v>
      </x:c>
      <x:c r="B84" s="24" t="str">
        <x:v>SIM</x:v>
      </x:c>
      <x:c r="C84" s="24" t="str">
        <x:v>ESTOQUE LIMITADO</x:v>
      </x:c>
      <x:c r="D84" s="24" t="str">
        <x:v>HOYA</x:v>
      </x:c>
      <x:c r="E84" s="24" t="str">
        <x:v>Visão Simples</x:v>
      </x:c>
      <x:c r="F84" s="24" t="str">
        <x:v>Surfaçada</x:v>
      </x:c>
      <x:c r="G84" s="24" t="str">
        <x:v>Hilux</x:v>
      </x:c>
      <x:c r="H84" s="24" t="str">
        <x:v>SENSITY ORIGINAL</x:v>
      </x:c>
      <x:c r="I84" s="24" t="str">
        <x:v>PNX</x:v>
      </x:c>
      <x:c r="J84" s="24" t="str">
        <x:v>1.53</x:v>
      </x:c>
      <x:c r="K84" s="24" t="str">
        <x:v>Hi-Vision LongLife BlueControl</x:v>
      </x:c>
      <x:c r="L84" s="40" t="n">
        <x:v>2549</x:v>
      </x:c>
      <x:c r="M84" s="24" t="str">
        <x:v>-10.00 até +8.00</x:v>
      </x:c>
      <x:c r="N84" s="24"/>
      <x:c r="O84" s="24"/>
      <x:c r="P84" s="24"/>
      <x:c r="Q84" s="24"/>
      <x:c r="R84" s="24"/>
      <x:c r="S84" s="26" t="n">
        <x:v>45992</x:v>
      </x:c>
      <x:c r="T84" s="26"/>
      <x:c r="U84" s="24" t="str">
        <x:v>ATIVA/SEM FIM INFORMADO</x:v>
      </x:c>
      <x:c r="V84" s="24"/>
      <x:c r="W84" s="24" t="n">
        <x:v>14</x:v>
      </x:c>
      <x:c r="X84" s="24" t="str">
        <x:v>tabela_hoya(1).pdf</x:v>
      </x:c>
      <x:c r="Y84" s="24" t="str">
        <x:v>alta</x:v>
      </x:c>
      <x:c r="Z84" s="24" t="str">
        <x:v>Sensity Original: “enquanto durarem os estoques”, conforme a tabela HOYA.</x:v>
      </x:c>
      <x:c r="AA84" s="24" t="str">
        <x:v>HOYA|Visão Simples|Surfaçada|Hilux|SENSITY ORIGINAL|PNX|1.53|Hi-Vision LongLife BlueControl|-10.00 até +8.00||||||14</x:v>
      </x:c>
    </x:row>
    <x:row r="85">
      <x:c r="A85" s="24" t="str">
        <x:v>HY-99C0D2EE9D8A</x:v>
      </x:c>
      <x:c r="B85" s="24" t="str">
        <x:v>SIM</x:v>
      </x:c>
      <x:c r="C85" s="24" t="str">
        <x:v>ESTOQUE LIMITADO</x:v>
      </x:c>
      <x:c r="D85" s="24" t="str">
        <x:v>HOYA</x:v>
      </x:c>
      <x:c r="E85" s="24" t="str">
        <x:v>Visão Simples</x:v>
      </x:c>
      <x:c r="F85" s="24" t="str">
        <x:v>Surfaçada</x:v>
      </x:c>
      <x:c r="G85" s="24" t="str">
        <x:v>Hilux</x:v>
      </x:c>
      <x:c r="H85" s="24" t="str">
        <x:v>SENSITY ORIGINAL</x:v>
      </x:c>
      <x:c r="I85" s="24" t="str">
        <x:v>ORGANIC</x:v>
      </x:c>
      <x:c r="J85" s="24" t="str">
        <x:v>1.50</x:v>
      </x:c>
      <x:c r="K85" s="24" t="str">
        <x:v>Hi-Vision LongLife BlueControl</x:v>
      </x:c>
      <x:c r="L85" s="40" t="n">
        <x:v>2199</x:v>
      </x:c>
      <x:c r="M85" s="24" t="str">
        <x:v>-10.00 até +8.00</x:v>
      </x:c>
      <x:c r="N85" s="24"/>
      <x:c r="O85" s="24"/>
      <x:c r="P85" s="24"/>
      <x:c r="Q85" s="24"/>
      <x:c r="R85" s="24"/>
      <x:c r="S85" s="26" t="n">
        <x:v>45992</x:v>
      </x:c>
      <x:c r="T85" s="26"/>
      <x:c r="U85" s="24" t="str">
        <x:v>ATIVA/SEM FIM INFORMADO</x:v>
      </x:c>
      <x:c r="V85" s="24"/>
      <x:c r="W85" s="24" t="n">
        <x:v>14</x:v>
      </x:c>
      <x:c r="X85" s="24" t="str">
        <x:v>tabela_hoya(1).pdf</x:v>
      </x:c>
      <x:c r="Y85" s="24" t="str">
        <x:v>alta</x:v>
      </x:c>
      <x:c r="Z85" s="24" t="str">
        <x:v>Sensity Original: “enquanto durarem os estoques”, conforme a tabela HOYA.</x:v>
      </x:c>
      <x:c r="AA85" s="24" t="str">
        <x:v>HOYA|Visão Simples|Surfaçada|Hilux|SENSITY ORIGINAL|ORGANIC|1.50|Hi-Vision LongLife BlueControl|-10.00 até +8.00||||||14</x:v>
      </x:c>
    </x:row>
    <x:row r="86">
      <x:c r="A86" s="24" t="str">
        <x:v>HY-BCDBF8DB9D16</x:v>
      </x:c>
      <x:c r="B86" s="24" t="str">
        <x:v>SIM</x:v>
      </x:c>
      <x:c r="C86" s="24" t="str">
        <x:v>ESTOQUE LIMITADO</x:v>
      </x:c>
      <x:c r="D86" s="24" t="str">
        <x:v>HOYA</x:v>
      </x:c>
      <x:c r="E86" s="24" t="str">
        <x:v>Visão Simples</x:v>
      </x:c>
      <x:c r="F86" s="24" t="str">
        <x:v>Surfaçada</x:v>
      </x:c>
      <x:c r="G86" s="24" t="str">
        <x:v>Hilux</x:v>
      </x:c>
      <x:c r="H86" s="24" t="str">
        <x:v>SENSITY ORIGINAL</x:v>
      </x:c>
      <x:c r="I86" s="24" t="str">
        <x:v>PNX</x:v>
      </x:c>
      <x:c r="J86" s="24" t="str">
        <x:v>1.53</x:v>
      </x:c>
      <x:c r="K86" s="24" t="str">
        <x:v>No-Risk BlueControl</x:v>
      </x:c>
      <x:c r="L86" s="40" t="n">
        <x:v>2299</x:v>
      </x:c>
      <x:c r="M86" s="24" t="str">
        <x:v>-10.00 até +8.00</x:v>
      </x:c>
      <x:c r="N86" s="24"/>
      <x:c r="O86" s="24"/>
      <x:c r="P86" s="24"/>
      <x:c r="Q86" s="24"/>
      <x:c r="R86" s="24"/>
      <x:c r="S86" s="26" t="n">
        <x:v>45992</x:v>
      </x:c>
      <x:c r="T86" s="26"/>
      <x:c r="U86" s="24" t="str">
        <x:v>ATIVA/SEM FIM INFORMADO</x:v>
      </x:c>
      <x:c r="V86" s="24"/>
      <x:c r="W86" s="24" t="n">
        <x:v>14</x:v>
      </x:c>
      <x:c r="X86" s="24" t="str">
        <x:v>tabela_hoya(1).pdf</x:v>
      </x:c>
      <x:c r="Y86" s="24" t="str">
        <x:v>alta</x:v>
      </x:c>
      <x:c r="Z86" s="24" t="str">
        <x:v>Sensity Original: “enquanto durarem os estoques”, conforme a tabela HOYA.</x:v>
      </x:c>
      <x:c r="AA86" s="24" t="str">
        <x:v>HOYA|Visão Simples|Surfaçada|Hilux|SENSITY ORIGINAL|PNX|1.53|No-Risk BlueControl|-10.00 até +8.00||||||14</x:v>
      </x:c>
    </x:row>
    <x:row r="87">
      <x:c r="A87" s="24" t="str">
        <x:v>HY-C3C70D60BB85</x:v>
      </x:c>
      <x:c r="B87" s="24" t="str">
        <x:v>SIM</x:v>
      </x:c>
      <x:c r="C87" s="24" t="str">
        <x:v>ESTOQUE LIMITADO</x:v>
      </x:c>
      <x:c r="D87" s="24" t="str">
        <x:v>HOYA</x:v>
      </x:c>
      <x:c r="E87" s="24" t="str">
        <x:v>Visão Simples</x:v>
      </x:c>
      <x:c r="F87" s="24" t="str">
        <x:v>Surfaçada</x:v>
      </x:c>
      <x:c r="G87" s="24" t="str">
        <x:v>Hilux</x:v>
      </x:c>
      <x:c r="H87" s="24" t="str">
        <x:v>SENSITY ORIGINAL</x:v>
      </x:c>
      <x:c r="I87" s="24" t="str">
        <x:v>ORGANIC</x:v>
      </x:c>
      <x:c r="J87" s="24" t="str">
        <x:v>1.50</x:v>
      </x:c>
      <x:c r="K87" s="24" t="str">
        <x:v>No-Risk BlueControl</x:v>
      </x:c>
      <x:c r="L87" s="40" t="n">
        <x:v>1949</x:v>
      </x:c>
      <x:c r="M87" s="24" t="str">
        <x:v>-10.00 até +8.00</x:v>
      </x:c>
      <x:c r="N87" s="24"/>
      <x:c r="O87" s="24"/>
      <x:c r="P87" s="24"/>
      <x:c r="Q87" s="24"/>
      <x:c r="R87" s="24"/>
      <x:c r="S87" s="26" t="n">
        <x:v>45992</x:v>
      </x:c>
      <x:c r="T87" s="26"/>
      <x:c r="U87" s="24" t="str">
        <x:v>ATIVA/SEM FIM INFORMADO</x:v>
      </x:c>
      <x:c r="V87" s="24"/>
      <x:c r="W87" s="24" t="n">
        <x:v>14</x:v>
      </x:c>
      <x:c r="X87" s="24" t="str">
        <x:v>tabela_hoya(1).pdf</x:v>
      </x:c>
      <x:c r="Y87" s="24" t="str">
        <x:v>alta</x:v>
      </x:c>
      <x:c r="Z87" s="24" t="str">
        <x:v>Sensity Original: “enquanto durarem os estoques”, conforme a tabela HOYA.</x:v>
      </x:c>
      <x:c r="AA87" s="24" t="str">
        <x:v>HOYA|Visão Simples|Surfaçada|Hilux|SENSITY ORIGINAL|ORGANIC|1.50|No-Risk BlueControl|-10.00 até +8.00||||||14</x:v>
      </x:c>
    </x:row>
    <x:row r="88">
      <x:c r="A88" s="24" t="str">
        <x:v>HY-D761BEB8BEB2</x:v>
      </x:c>
      <x:c r="B88" s="24" t="str">
        <x:v>SIM</x:v>
      </x:c>
      <x:c r="C88" s="24" t="str">
        <x:v>ESTOQUE LIMITADO</x:v>
      </x:c>
      <x:c r="D88" s="24" t="str">
        <x:v>HOYA</x:v>
      </x:c>
      <x:c r="E88" s="24" t="str">
        <x:v>Visão Simples</x:v>
      </x:c>
      <x:c r="F88" s="24" t="str">
        <x:v>Surfaçada</x:v>
      </x:c>
      <x:c r="G88" s="24" t="str">
        <x:v>Hilux</x:v>
      </x:c>
      <x:c r="H88" s="24" t="str">
        <x:v>SENSITY ORIGINAL</x:v>
      </x:c>
      <x:c r="I88" s="24" t="str">
        <x:v>PNX</x:v>
      </x:c>
      <x:c r="J88" s="24" t="str">
        <x:v>1.53</x:v>
      </x:c>
      <x:c r="K88" s="24" t="str">
        <x:v>Hi-Vision Hard</x:v>
      </x:c>
      <x:c r="L88" s="40" t="n">
        <x:v>1649</x:v>
      </x:c>
      <x:c r="M88" s="24" t="str">
        <x:v>-10.00 até +8.00</x:v>
      </x:c>
      <x:c r="N88" s="24"/>
      <x:c r="O88" s="24"/>
      <x:c r="P88" s="24"/>
      <x:c r="Q88" s="24"/>
      <x:c r="R88" s="24"/>
      <x:c r="S88" s="26" t="n">
        <x:v>45992</x:v>
      </x:c>
      <x:c r="T88" s="26"/>
      <x:c r="U88" s="24" t="str">
        <x:v>ATIVA/SEM FIM INFORMADO</x:v>
      </x:c>
      <x:c r="V88" s="24"/>
      <x:c r="W88" s="24" t="n">
        <x:v>14</x:v>
      </x:c>
      <x:c r="X88" s="24" t="str">
        <x:v>tabela_hoya(1).pdf</x:v>
      </x:c>
      <x:c r="Y88" s="24" t="str">
        <x:v>alta</x:v>
      </x:c>
      <x:c r="Z88" s="24" t="str">
        <x:v>Sensity Original: “enquanto durarem os estoques”, conforme a tabela HOYA.</x:v>
      </x:c>
      <x:c r="AA88" s="24" t="str">
        <x:v>HOYA|Visão Simples|Surfaçada|Hilux|SENSITY ORIGINAL|PNX|1.53|Hi-Vision Hard|-10.00 até +8.00||||||14</x:v>
      </x:c>
    </x:row>
    <x:row r="89">
      <x:c r="A89" s="24" t="str">
        <x:v>HY-E3112E425769</x:v>
      </x:c>
      <x:c r="B89" s="24" t="str">
        <x:v>SIM</x:v>
      </x:c>
      <x:c r="C89" s="24" t="str">
        <x:v>ESTOQUE LIMITADO</x:v>
      </x:c>
      <x:c r="D89" s="24" t="str">
        <x:v>HOYA</x:v>
      </x:c>
      <x:c r="E89" s="24" t="str">
        <x:v>Visão Simples</x:v>
      </x:c>
      <x:c r="F89" s="24" t="str">
        <x:v>Surfaçada</x:v>
      </x:c>
      <x:c r="G89" s="24" t="str">
        <x:v>Hilux</x:v>
      </x:c>
      <x:c r="H89" s="24" t="str">
        <x:v>SENSITY ORIGINAL</x:v>
      </x:c>
      <x:c r="I89" s="24" t="str">
        <x:v>ORGANIC</x:v>
      </x:c>
      <x:c r="J89" s="24" t="str">
        <x:v>1.50</x:v>
      </x:c>
      <x:c r="K89" s="24" t="str">
        <x:v>Hi-Vision Hard</x:v>
      </x:c>
      <x:c r="L89" s="40" t="n">
        <x:v>1299</x:v>
      </x:c>
      <x:c r="M89" s="24" t="str">
        <x:v>-10.00 até +8.00</x:v>
      </x:c>
      <x:c r="N89" s="24"/>
      <x:c r="O89" s="24"/>
      <x:c r="P89" s="24"/>
      <x:c r="Q89" s="24"/>
      <x:c r="R89" s="24"/>
      <x:c r="S89" s="26" t="n">
        <x:v>45992</x:v>
      </x:c>
      <x:c r="T89" s="26"/>
      <x:c r="U89" s="24" t="str">
        <x:v>ATIVA/SEM FIM INFORMADO</x:v>
      </x:c>
      <x:c r="V89" s="24"/>
      <x:c r="W89" s="24" t="n">
        <x:v>14</x:v>
      </x:c>
      <x:c r="X89" s="24" t="str">
        <x:v>tabela_hoya(1).pdf</x:v>
      </x:c>
      <x:c r="Y89" s="24" t="str">
        <x:v>alta</x:v>
      </x:c>
      <x:c r="Z89" s="24" t="str">
        <x:v>Sensity Original: “enquanto durarem os estoques”, conforme a tabela HOYA.</x:v>
      </x:c>
      <x:c r="AA89" s="24" t="str">
        <x:v>HOYA|Visão Simples|Surfaçada|Hilux|SENSITY ORIGINAL|ORGANIC|1.50|Hi-Vision Hard|-10.00 até +8.00||||||14</x:v>
      </x:c>
    </x:row>
    <x:row r="90">
      <x:c r="A90" s="24" t="str">
        <x:v>HY-EFC5306EB71D</x:v>
      </x:c>
      <x:c r="B90" s="24" t="str">
        <x:v>SIM</x:v>
      </x:c>
      <x:c r="C90" s="24" t="str">
        <x:v>DISPONÍVEL</x:v>
      </x:c>
      <x:c r="D90" s="24" t="str">
        <x:v>HOYA</x:v>
      </x:c>
      <x:c r="E90" s="24" t="str">
        <x:v>Visão Simples</x:v>
      </x:c>
      <x:c r="F90" s="24" t="str">
        <x:v>Surfaçada</x:v>
      </x:c>
      <x:c r="G90" s="24" t="str">
        <x:v>Hilux</x:v>
      </x:c>
      <x:c r="H90" s="24" t="str">
        <x:v>COLORIDAS</x:v>
      </x:c>
      <x:c r="I90" s="24" t="str">
        <x:v>PNX</x:v>
      </x:c>
      <x:c r="J90" s="24" t="str">
        <x:v>1.53</x:v>
      </x:c>
      <x:c r="K90" s="24" t="str">
        <x:v>Hi-Vision Sun Pro</x:v>
      </x:c>
      <x:c r="L90" s="40" t="n">
        <x:v>1789</x:v>
      </x:c>
      <x:c r="M90" s="24" t="str">
        <x:v>-10.00 até +8.00</x:v>
      </x:c>
      <x:c r="N90" s="24"/>
      <x:c r="O90" s="24"/>
      <x:c r="P90" s="24"/>
      <x:c r="Q90" s="24"/>
      <x:c r="R90" s="24"/>
      <x:c r="S90" s="26" t="n">
        <x:v>45992</x:v>
      </x:c>
      <x:c r="T90" s="26"/>
      <x:c r="U90" s="24" t="str">
        <x:v>ATIVA/SEM FIM INFORMADO</x:v>
      </x:c>
      <x:c r="V90" s="24"/>
      <x:c r="W90" s="24" t="n">
        <x:v>14</x:v>
      </x:c>
      <x:c r="X90" s="24" t="str">
        <x:v>tabela_hoya(1).pdf</x:v>
      </x:c>
      <x:c r="Y90" s="24" t="str">
        <x:v>alta</x:v>
      </x:c>
      <x:c r="Z90" s="24"/>
      <x:c r="AA90" s="24" t="str">
        <x:v>HOYA|Visão Simples|Surfaçada|Hilux|COLORIDAS|PNX|1.53|Hi-Vision Sun Pro|-10.00 até +8.00||||||14</x:v>
      </x:c>
    </x:row>
    <x:row r="91">
      <x:c r="A91" s="24" t="str">
        <x:v>HY-6D62E1E5847C</x:v>
      </x:c>
      <x:c r="B91" s="24" t="str">
        <x:v>SIM</x:v>
      </x:c>
      <x:c r="C91" s="24" t="str">
        <x:v>DISPONÍVEL</x:v>
      </x:c>
      <x:c r="D91" s="24" t="str">
        <x:v>HOYA</x:v>
      </x:c>
      <x:c r="E91" s="24" t="str">
        <x:v>Visão Simples</x:v>
      </x:c>
      <x:c r="F91" s="24" t="str">
        <x:v>Surfaçada</x:v>
      </x:c>
      <x:c r="G91" s="24" t="str">
        <x:v>Hilux</x:v>
      </x:c>
      <x:c r="H91" s="24" t="str">
        <x:v>COLORIDAS</x:v>
      </x:c>
      <x:c r="I91" s="24" t="str">
        <x:v>ORGANIC</x:v>
      </x:c>
      <x:c r="J91" s="24" t="str">
        <x:v>1.50</x:v>
      </x:c>
      <x:c r="K91" s="24" t="str">
        <x:v>Hi-Vision Sun Pro</x:v>
      </x:c>
      <x:c r="L91" s="40" t="n">
        <x:v>1439</x:v>
      </x:c>
      <x:c r="M91" s="24" t="str">
        <x:v>-10.00 até +8.00</x:v>
      </x:c>
      <x:c r="N91" s="24"/>
      <x:c r="O91" s="24"/>
      <x:c r="P91" s="24"/>
      <x:c r="Q91" s="24"/>
      <x:c r="R91" s="24"/>
      <x:c r="S91" s="26" t="n">
        <x:v>45992</x:v>
      </x:c>
      <x:c r="T91" s="26"/>
      <x:c r="U91" s="24" t="str">
        <x:v>ATIVA/SEM FIM INFORMADO</x:v>
      </x:c>
      <x:c r="V91" s="24"/>
      <x:c r="W91" s="24" t="n">
        <x:v>14</x:v>
      </x:c>
      <x:c r="X91" s="24" t="str">
        <x:v>tabela_hoya(1).pdf</x:v>
      </x:c>
      <x:c r="Y91" s="24" t="str">
        <x:v>alta</x:v>
      </x:c>
      <x:c r="Z91" s="24"/>
      <x:c r="AA91" s="24" t="str">
        <x:v>HOYA|Visão Simples|Surfaçada|Hilux|COLORIDAS|ORGANIC|1.50|Hi-Vision Sun Pro|-10.00 até +8.00||||||14</x:v>
      </x:c>
    </x:row>
    <x:row r="92">
      <x:c r="A92" s="24" t="str">
        <x:v>HY-D9960925CDB4</x:v>
      </x:c>
      <x:c r="B92" s="24" t="str">
        <x:v>SIM</x:v>
      </x:c>
      <x:c r="C92" s="24" t="str">
        <x:v>DISPONÍVEL</x:v>
      </x:c>
      <x:c r="D92" s="24" t="str">
        <x:v>HOYA</x:v>
      </x:c>
      <x:c r="E92" s="24" t="str">
        <x:v>Visão Simples</x:v>
      </x:c>
      <x:c r="F92" s="24" t="str">
        <x:v>Pronta</x:v>
      </x:c>
      <x:c r="G92" s="24" t="str">
        <x:v>Nulux</x:v>
      </x:c>
      <x:c r="H92" s="24" t="str">
        <x:v>INCOLOR</x:v>
      </x:c>
      <x:c r="I92" s="24" t="str">
        <x:v>EYVIA</x:v>
      </x:c>
      <x:c r="J92" s="24" t="str">
        <x:v>1.74</x:v>
      </x:c>
      <x:c r="K92" s="24" t="str">
        <x:v>Hi-Vision Meiryo</x:v>
      </x:c>
      <x:c r="L92" s="40" t="n">
        <x:v>2199</x:v>
      </x:c>
      <x:c r="M92" s="24" t="str">
        <x:v>-12.00 até -2.00</x:v>
      </x:c>
      <x:c r="N92" s="24"/>
      <x:c r="O92" s="24"/>
      <x:c r="P92" s="24"/>
      <x:c r="Q92" s="24"/>
      <x:c r="R92" s="24"/>
      <x:c r="S92" s="26" t="n">
        <x:v>45992</x:v>
      </x:c>
      <x:c r="T92" s="26"/>
      <x:c r="U92" s="24" t="str">
        <x:v>ATIVA/SEM FIM INFORMADO</x:v>
      </x:c>
      <x:c r="V92" s="24"/>
      <x:c r="W92" s="24" t="n">
        <x:v>16</x:v>
      </x:c>
      <x:c r="X92" s="24" t="str">
        <x:v>tabela_hoya(1).pdf</x:v>
      </x:c>
      <x:c r="Y92" s="24" t="str">
        <x:v>alta</x:v>
      </x:c>
      <x:c r="Z92" s="24"/>
      <x:c r="AA92" s="24" t="str">
        <x:v>HOYA|Visão Simples|Pronta|Nulux|INCOLOR|EYVIA|1.74|Hi-Vision Meiryo|-12.00 até -2.00||||||16</x:v>
      </x:c>
    </x:row>
    <x:row r="93">
      <x:c r="A93" s="24" t="str">
        <x:v>HY-02CFB38F93C1</x:v>
      </x:c>
      <x:c r="B93" s="24" t="str">
        <x:v>SIM</x:v>
      </x:c>
      <x:c r="C93" s="24" t="str">
        <x:v>DISPONÍVEL</x:v>
      </x:c>
      <x:c r="D93" s="24" t="str">
        <x:v>HOYA</x:v>
      </x:c>
      <x:c r="E93" s="24" t="str">
        <x:v>Visão Simples</x:v>
      </x:c>
      <x:c r="F93" s="24" t="str">
        <x:v>Pronta</x:v>
      </x:c>
      <x:c r="G93" s="24" t="str">
        <x:v>Nulux</x:v>
      </x:c>
      <x:c r="H93" s="24" t="str">
        <x:v>INCOLOR</x:v>
      </x:c>
      <x:c r="I93" s="24" t="str">
        <x:v>EYNOA</x:v>
      </x:c>
      <x:c r="J93" s="24" t="str">
        <x:v>1.67</x:v>
      </x:c>
      <x:c r="K93" s="24" t="str">
        <x:v>Hi-Vision Meiryo</x:v>
      </x:c>
      <x:c r="L93" s="40" t="n">
        <x:v>1599</x:v>
      </x:c>
      <x:c r="M93" s="24" t="str">
        <x:v>-8.00 até +6.00</x:v>
      </x:c>
      <x:c r="N93" s="24"/>
      <x:c r="O93" s="24"/>
      <x:c r="P93" s="24"/>
      <x:c r="Q93" s="24"/>
      <x:c r="R93" s="24"/>
      <x:c r="S93" s="26" t="n">
        <x:v>45992</x:v>
      </x:c>
      <x:c r="T93" s="26"/>
      <x:c r="U93" s="24" t="str">
        <x:v>ATIVA/SEM FIM INFORMADO</x:v>
      </x:c>
      <x:c r="V93" s="24"/>
      <x:c r="W93" s="24" t="n">
        <x:v>16</x:v>
      </x:c>
      <x:c r="X93" s="24" t="str">
        <x:v>tabela_hoya(1).pdf</x:v>
      </x:c>
      <x:c r="Y93" s="24" t="str">
        <x:v>alta</x:v>
      </x:c>
      <x:c r="Z93" s="24"/>
      <x:c r="AA93" s="24" t="str">
        <x:v>HOYA|Visão Simples|Pronta|Nulux|INCOLOR|EYNOA|1.67|Hi-Vision Meiryo|-8.00 até +6.00||||||16</x:v>
      </x:c>
    </x:row>
    <x:row r="94">
      <x:c r="A94" s="24" t="str">
        <x:v>HY-E53B240580B6</x:v>
      </x:c>
      <x:c r="B94" s="24" t="str">
        <x:v>SIM</x:v>
      </x:c>
      <x:c r="C94" s="24" t="str">
        <x:v>DISPONÍVEL</x:v>
      </x:c>
      <x:c r="D94" s="24" t="str">
        <x:v>HOYA</x:v>
      </x:c>
      <x:c r="E94" s="24" t="str">
        <x:v>Visão Simples</x:v>
      </x:c>
      <x:c r="F94" s="24" t="str">
        <x:v>Pronta</x:v>
      </x:c>
      <x:c r="G94" s="24" t="str">
        <x:v>Nulux</x:v>
      </x:c>
      <x:c r="H94" s="24" t="str">
        <x:v>INCOLOR</x:v>
      </x:c>
      <x:c r="I94" s="24" t="str">
        <x:v>EYAS 2.0</x:v>
      </x:c>
      <x:c r="J94" s="24" t="str">
        <x:v>1.60</x:v>
      </x:c>
      <x:c r="K94" s="24" t="str">
        <x:v>Hi-Vision Meiryo</x:v>
      </x:c>
      <x:c r="L94" s="40" t="n">
        <x:v>1379</x:v>
      </x:c>
      <x:c r="M94" s="24" t="str">
        <x:v>-6.00 até +6.00</x:v>
      </x:c>
      <x:c r="N94" s="24"/>
      <x:c r="O94" s="24"/>
      <x:c r="P94" s="24"/>
      <x:c r="Q94" s="24"/>
      <x:c r="R94" s="24"/>
      <x:c r="S94" s="26" t="n">
        <x:v>45992</x:v>
      </x:c>
      <x:c r="T94" s="26"/>
      <x:c r="U94" s="24" t="str">
        <x:v>ATIVA/SEM FIM INFORMADO</x:v>
      </x:c>
      <x:c r="V94" s="24"/>
      <x:c r="W94" s="24" t="n">
        <x:v>16</x:v>
      </x:c>
      <x:c r="X94" s="24" t="str">
        <x:v>tabela_hoya(1).pdf</x:v>
      </x:c>
      <x:c r="Y94" s="24" t="str">
        <x:v>alta</x:v>
      </x:c>
      <x:c r="Z94" s="24"/>
      <x:c r="AA94" s="24" t="str">
        <x:v>HOYA|Visão Simples|Pronta|Nulux|INCOLOR|EYAS 2.0|1.60|Hi-Vision Meiryo|-6.00 até +6.00||||||16</x:v>
      </x:c>
    </x:row>
    <x:row r="95">
      <x:c r="A95" s="24" t="str">
        <x:v>HY-B5006109A8F7</x:v>
      </x:c>
      <x:c r="B95" s="24" t="str">
        <x:v>SIM</x:v>
      </x:c>
      <x:c r="C95" s="24" t="str">
        <x:v>DISPONÍVEL</x:v>
      </x:c>
      <x:c r="D95" s="24" t="str">
        <x:v>HOYA</x:v>
      </x:c>
      <x:c r="E95" s="24" t="str">
        <x:v>Visão Simples</x:v>
      </x:c>
      <x:c r="F95" s="24" t="str">
        <x:v>Pronta</x:v>
      </x:c>
      <x:c r="G95" s="24" t="str">
        <x:v>Nulux</x:v>
      </x:c>
      <x:c r="H95" s="24" t="str">
        <x:v>INCOLOR</x:v>
      </x:c>
      <x:c r="I95" s="24" t="str">
        <x:v>EYNOA</x:v>
      </x:c>
      <x:c r="J95" s="24" t="str">
        <x:v>1.67</x:v>
      </x:c>
      <x:c r="K95" s="24" t="str">
        <x:v>Hi-Vision LongLife BlueControl</x:v>
      </x:c>
      <x:c r="L95" s="40" t="n">
        <x:v>1499</x:v>
      </x:c>
      <x:c r="M95" s="24" t="str">
        <x:v>-8.00 até +6.00</x:v>
      </x:c>
      <x:c r="N95" s="24"/>
      <x:c r="O95" s="24"/>
      <x:c r="P95" s="24"/>
      <x:c r="Q95" s="24"/>
      <x:c r="R95" s="24"/>
      <x:c r="S95" s="26" t="n">
        <x:v>45992</x:v>
      </x:c>
      <x:c r="T95" s="26"/>
      <x:c r="U95" s="24" t="str">
        <x:v>ATIVA/SEM FIM INFORMADO</x:v>
      </x:c>
      <x:c r="V95" s="24"/>
      <x:c r="W95" s="24" t="n">
        <x:v>16</x:v>
      </x:c>
      <x:c r="X95" s="24" t="str">
        <x:v>tabela_hoya(1).pdf</x:v>
      </x:c>
      <x:c r="Y95" s="24" t="str">
        <x:v>alta</x:v>
      </x:c>
      <x:c r="Z95" s="24"/>
      <x:c r="AA95" s="24" t="str">
        <x:v>HOYA|Visão Simples|Pronta|Nulux|INCOLOR|EYNOA|1.67|Hi-Vision LongLife BlueControl|-8.00 até +6.00||||||16</x:v>
      </x:c>
    </x:row>
    <x:row r="96">
      <x:c r="A96" s="24" t="str">
        <x:v>HY-34C350A7F42A</x:v>
      </x:c>
      <x:c r="B96" s="24" t="str">
        <x:v>SIM</x:v>
      </x:c>
      <x:c r="C96" s="24" t="str">
        <x:v>DISPONÍVEL</x:v>
      </x:c>
      <x:c r="D96" s="24" t="str">
        <x:v>HOYA</x:v>
      </x:c>
      <x:c r="E96" s="24" t="str">
        <x:v>Visão Simples</x:v>
      </x:c>
      <x:c r="F96" s="24" t="str">
        <x:v>Pronta</x:v>
      </x:c>
      <x:c r="G96" s="24" t="str">
        <x:v>Nulux</x:v>
      </x:c>
      <x:c r="H96" s="24" t="str">
        <x:v>INCOLOR</x:v>
      </x:c>
      <x:c r="I96" s="24" t="str">
        <x:v>EYNOA</x:v>
      </x:c>
      <x:c r="J96" s="24" t="str">
        <x:v>1.67</x:v>
      </x:c>
      <x:c r="K96" s="24" t="str">
        <x:v>Hi-Vision LongLife UVControl</x:v>
      </x:c>
      <x:c r="L96" s="40" t="n">
        <x:v>1499</x:v>
      </x:c>
      <x:c r="M96" s="24" t="str">
        <x:v>-8.00 até +6.00</x:v>
      </x:c>
      <x:c r="N96" s="24"/>
      <x:c r="O96" s="24"/>
      <x:c r="P96" s="24"/>
      <x:c r="Q96" s="24"/>
      <x:c r="R96" s="24"/>
      <x:c r="S96" s="26" t="n">
        <x:v>45992</x:v>
      </x:c>
      <x:c r="T96" s="26"/>
      <x:c r="U96" s="24" t="str">
        <x:v>ATIVA/SEM FIM INFORMADO</x:v>
      </x:c>
      <x:c r="V96" s="24"/>
      <x:c r="W96" s="24" t="n">
        <x:v>16</x:v>
      </x:c>
      <x:c r="X96" s="24" t="str">
        <x:v>tabela_hoya(1).pdf</x:v>
      </x:c>
      <x:c r="Y96" s="24" t="str">
        <x:v>alta</x:v>
      </x:c>
      <x:c r="Z96" s="24"/>
      <x:c r="AA96" s="24" t="str">
        <x:v>HOYA|Visão Simples|Pronta|Nulux|INCOLOR|EYNOA|1.67|Hi-Vision LongLife UVControl|-8.00 até +6.00||||||16</x:v>
      </x:c>
    </x:row>
    <x:row r="97">
      <x:c r="A97" s="24" t="str">
        <x:v>HY-C47AB8999993</x:v>
      </x:c>
      <x:c r="B97" s="24" t="str">
        <x:v>SIM</x:v>
      </x:c>
      <x:c r="C97" s="24" t="str">
        <x:v>DISPONÍVEL</x:v>
      </x:c>
      <x:c r="D97" s="24" t="str">
        <x:v>HOYA</x:v>
      </x:c>
      <x:c r="E97" s="24" t="str">
        <x:v>Visão Simples</x:v>
      </x:c>
      <x:c r="F97" s="24" t="str">
        <x:v>Pronta</x:v>
      </x:c>
      <x:c r="G97" s="24" t="str">
        <x:v>Nulux</x:v>
      </x:c>
      <x:c r="H97" s="24" t="str">
        <x:v>INCOLOR</x:v>
      </x:c>
      <x:c r="I97" s="24" t="str">
        <x:v>EYAS 2.0</x:v>
      </x:c>
      <x:c r="J97" s="24" t="str">
        <x:v>1.60</x:v>
      </x:c>
      <x:c r="K97" s="24" t="str">
        <x:v>Hi-Vision LongLife UVControl</x:v>
      </x:c>
      <x:c r="L97" s="40" t="n">
        <x:v>1199</x:v>
      </x:c>
      <x:c r="M97" s="24" t="str">
        <x:v>-6.00 até +6.00</x:v>
      </x:c>
      <x:c r="N97" s="24"/>
      <x:c r="O97" s="24"/>
      <x:c r="P97" s="24"/>
      <x:c r="Q97" s="24"/>
      <x:c r="R97" s="24"/>
      <x:c r="S97" s="26" t="n">
        <x:v>45992</x:v>
      </x:c>
      <x:c r="T97" s="26"/>
      <x:c r="U97" s="24" t="str">
        <x:v>ATIVA/SEM FIM INFORMADO</x:v>
      </x:c>
      <x:c r="V97" s="24"/>
      <x:c r="W97" s="24" t="n">
        <x:v>16</x:v>
      </x:c>
      <x:c r="X97" s="24" t="str">
        <x:v>tabela_hoya(1).pdf</x:v>
      </x:c>
      <x:c r="Y97" s="24" t="str">
        <x:v>alta</x:v>
      </x:c>
      <x:c r="Z97" s="24"/>
      <x:c r="AA97" s="24" t="str">
        <x:v>HOYA|Visão Simples|Pronta|Nulux|INCOLOR|EYAS 2.0|1.60|Hi-Vision LongLife UVControl|-6.00 até +6.00||||||16</x:v>
      </x:c>
    </x:row>
    <x:row r="98">
      <x:c r="A98" s="24" t="str">
        <x:v>HY-6FA2C8D693FB</x:v>
      </x:c>
      <x:c r="B98" s="24" t="str">
        <x:v>SIM</x:v>
      </x:c>
      <x:c r="C98" s="24" t="str">
        <x:v>DISPONÍVEL</x:v>
      </x:c>
      <x:c r="D98" s="24" t="str">
        <x:v>HOYA</x:v>
      </x:c>
      <x:c r="E98" s="24" t="str">
        <x:v>Visão Simples</x:v>
      </x:c>
      <x:c r="F98" s="24" t="str">
        <x:v>Pronta</x:v>
      </x:c>
      <x:c r="G98" s="24" t="str">
        <x:v>Nulux</x:v>
      </x:c>
      <x:c r="H98" s="24" t="str">
        <x:v>INCOLOR</x:v>
      </x:c>
      <x:c r="I98" s="24" t="str">
        <x:v>EYVIA</x:v>
      </x:c>
      <x:c r="J98" s="24" t="str">
        <x:v>1.74</x:v>
      </x:c>
      <x:c r="K98" s="24" t="str">
        <x:v>Hi-Vision LongLife</x:v>
      </x:c>
      <x:c r="L98" s="40" t="n">
        <x:v>1979</x:v>
      </x:c>
      <x:c r="M98" s="24" t="str">
        <x:v>-12.00 até -2.00</x:v>
      </x:c>
      <x:c r="N98" s="24"/>
      <x:c r="O98" s="24"/>
      <x:c r="P98" s="24"/>
      <x:c r="Q98" s="24"/>
      <x:c r="R98" s="24"/>
      <x:c r="S98" s="26" t="n">
        <x:v>45992</x:v>
      </x:c>
      <x:c r="T98" s="26"/>
      <x:c r="U98" s="24" t="str">
        <x:v>ATIVA/SEM FIM INFORMADO</x:v>
      </x:c>
      <x:c r="V98" s="24"/>
      <x:c r="W98" s="24" t="n">
        <x:v>16</x:v>
      </x:c>
      <x:c r="X98" s="24" t="str">
        <x:v>tabela_hoya(1).pdf</x:v>
      </x:c>
      <x:c r="Y98" s="24" t="str">
        <x:v>alta</x:v>
      </x:c>
      <x:c r="Z98" s="24"/>
      <x:c r="AA98" s="24" t="str">
        <x:v>HOYA|Visão Simples|Pronta|Nulux|INCOLOR|EYVIA|1.74|Hi-Vision LongLife|-12.00 até -2.00||||||16</x:v>
      </x:c>
    </x:row>
    <x:row r="99">
      <x:c r="A99" s="24" t="str">
        <x:v>HY-C92D908ECF4A</x:v>
      </x:c>
      <x:c r="B99" s="24" t="str">
        <x:v>SIM</x:v>
      </x:c>
      <x:c r="C99" s="24" t="str">
        <x:v>DISPONÍVEL</x:v>
      </x:c>
      <x:c r="D99" s="24" t="str">
        <x:v>HOYA</x:v>
      </x:c>
      <x:c r="E99" s="24" t="str">
        <x:v>Visão Simples</x:v>
      </x:c>
      <x:c r="F99" s="24" t="str">
        <x:v>Pronta</x:v>
      </x:c>
      <x:c r="G99" s="24" t="str">
        <x:v>Nulux</x:v>
      </x:c>
      <x:c r="H99" s="24" t="str">
        <x:v>INCOLOR</x:v>
      </x:c>
      <x:c r="I99" s="24" t="str">
        <x:v>PNX</x:v>
      </x:c>
      <x:c r="J99" s="24" t="str">
        <x:v>1.53</x:v>
      </x:c>
      <x:c r="K99" s="24" t="str">
        <x:v>CleanExtra</x:v>
      </x:c>
      <x:c r="L99" s="40" t="n">
        <x:v>679</x:v>
      </x:c>
      <x:c r="M99" s="24" t="str">
        <x:v>-6.00 até +6.00</x:v>
      </x:c>
      <x:c r="N99" s="24"/>
      <x:c r="O99" s="24"/>
      <x:c r="P99" s="24"/>
      <x:c r="Q99" s="24"/>
      <x:c r="R99" s="24"/>
      <x:c r="S99" s="26" t="n">
        <x:v>45992</x:v>
      </x:c>
      <x:c r="T99" s="26"/>
      <x:c r="U99" s="24" t="str">
        <x:v>ATIVA/SEM FIM INFORMADO</x:v>
      </x:c>
      <x:c r="V99" s="24"/>
      <x:c r="W99" s="24" t="n">
        <x:v>16</x:v>
      </x:c>
      <x:c r="X99" s="24" t="str">
        <x:v>tabela_hoya(1).pdf</x:v>
      </x:c>
      <x:c r="Y99" s="24" t="str">
        <x:v>alta</x:v>
      </x:c>
      <x:c r="Z99" s="24"/>
      <x:c r="AA99" s="24" t="str">
        <x:v>HOYA|Visão Simples|Pronta|Nulux|INCOLOR|PNX|1.53|CleanExtra|-6.00 até +6.00||||||16</x:v>
      </x:c>
    </x:row>
    <x:row r="100">
      <x:c r="A100" s="24" t="str">
        <x:v>HY-294C1D32E2B2</x:v>
      </x:c>
      <x:c r="B100" s="24" t="str">
        <x:v>SIM</x:v>
      </x:c>
      <x:c r="C100" s="24" t="str">
        <x:v>DISPONÍVEL</x:v>
      </x:c>
      <x:c r="D100" s="24" t="str">
        <x:v>HOYA</x:v>
      </x:c>
      <x:c r="E100" s="24" t="str">
        <x:v>Visão Simples</x:v>
      </x:c>
      <x:c r="F100" s="24" t="str">
        <x:v>Pronta</x:v>
      </x:c>
      <x:c r="G100" s="24" t="str">
        <x:v>Nulux</x:v>
      </x:c>
      <x:c r="H100" s="24" t="str">
        <x:v>SENSITY 2</x:v>
      </x:c>
      <x:c r="I100" s="24" t="str">
        <x:v>EYNOA</x:v>
      </x:c>
      <x:c r="J100" s="24" t="str">
        <x:v>1.67</x:v>
      </x:c>
      <x:c r="K100" s="24" t="str">
        <x:v>Hi-Vision LongLife UVControl</x:v>
      </x:c>
      <x:c r="L100" s="40" t="n">
        <x:v>2079</x:v>
      </x:c>
      <x:c r="M100" s="24" t="str">
        <x:v>-8.00 até +6.00</x:v>
      </x:c>
      <x:c r="N100" s="24"/>
      <x:c r="O100" s="24"/>
      <x:c r="P100" s="24"/>
      <x:c r="Q100" s="24"/>
      <x:c r="R100" s="24"/>
      <x:c r="S100" s="26" t="n">
        <x:v>45992</x:v>
      </x:c>
      <x:c r="T100" s="26"/>
      <x:c r="U100" s="24" t="str">
        <x:v>ATIVA/SEM FIM INFORMADO</x:v>
      </x:c>
      <x:c r="V100" s="24"/>
      <x:c r="W100" s="24" t="n">
        <x:v>16</x:v>
      </x:c>
      <x:c r="X100" s="24" t="str">
        <x:v>tabela_hoya(1).pdf</x:v>
      </x:c>
      <x:c r="Y100" s="24" t="str">
        <x:v>alta</x:v>
      </x:c>
      <x:c r="Z100" s="24"/>
      <x:c r="AA100" s="24" t="str">
        <x:v>HOYA|Visão Simples|Pronta|Nulux|SENSITY 2|EYNOA|1.67|Hi-Vision LongLife UVControl|-8.00 até +6.00||||||16</x:v>
      </x:c>
    </x:row>
    <x:row r="101">
      <x:c r="A101" s="24" t="str">
        <x:v>HY-EC1BFA9C0556</x:v>
      </x:c>
      <x:c r="B101" s="24" t="str">
        <x:v>SIM</x:v>
      </x:c>
      <x:c r="C101" s="24" t="str">
        <x:v>DISPONÍVEL</x:v>
      </x:c>
      <x:c r="D101" s="24" t="str">
        <x:v>HOYA</x:v>
      </x:c>
      <x:c r="E101" s="24" t="str">
        <x:v>Visão Simples</x:v>
      </x:c>
      <x:c r="F101" s="24" t="str">
        <x:v>Pronta</x:v>
      </x:c>
      <x:c r="G101" s="24" t="str">
        <x:v>Hilux</x:v>
      </x:c>
      <x:c r="H101" s="24" t="str">
        <x:v>INCOLOR</x:v>
      </x:c>
      <x:c r="I101" s="24" t="str">
        <x:v>PNX</x:v>
      </x:c>
      <x:c r="J101" s="24" t="str">
        <x:v>1.53</x:v>
      </x:c>
      <x:c r="K101" s="24" t="str">
        <x:v>Hi-Vision Meiryo</x:v>
      </x:c>
      <x:c r="L101" s="40" t="n">
        <x:v>1099</x:v>
      </x:c>
      <x:c r="M101" s="24" t="str">
        <x:v>-3.00 até +2.00</x:v>
      </x:c>
      <x:c r="N101" s="24"/>
      <x:c r="O101" s="24"/>
      <x:c r="P101" s="24"/>
      <x:c r="Q101" s="24"/>
      <x:c r="R101" s="24"/>
      <x:c r="S101" s="26" t="n">
        <x:v>45992</x:v>
      </x:c>
      <x:c r="T101" s="26"/>
      <x:c r="U101" s="24" t="str">
        <x:v>ATIVA/SEM FIM INFORMADO</x:v>
      </x:c>
      <x:c r="V101" s="24"/>
      <x:c r="W101" s="24" t="n">
        <x:v>17</x:v>
      </x:c>
      <x:c r="X101" s="24" t="str">
        <x:v>tabela_hoya(1).pdf</x:v>
      </x:c>
      <x:c r="Y101" s="24" t="str">
        <x:v>alta</x:v>
      </x:c>
      <x:c r="Z101" s="24"/>
      <x:c r="AA101" s="24" t="str">
        <x:v>HOYA|Visão Simples|Pronta|Hilux|INCOLOR|PNX|1.53|Hi-Vision Meiryo|-3.00 até +2.00||||||17</x:v>
      </x:c>
    </x:row>
    <x:row r="102">
      <x:c r="A102" s="24" t="str">
        <x:v>HY-B1F812E676A5</x:v>
      </x:c>
      <x:c r="B102" s="24" t="str">
        <x:v>SIM</x:v>
      </x:c>
      <x:c r="C102" s="24" t="str">
        <x:v>DISPONÍVEL</x:v>
      </x:c>
      <x:c r="D102" s="24" t="str">
        <x:v>HOYA</x:v>
      </x:c>
      <x:c r="E102" s="24" t="str">
        <x:v>Visão Simples</x:v>
      </x:c>
      <x:c r="F102" s="24" t="str">
        <x:v>Pronta</x:v>
      </x:c>
      <x:c r="G102" s="24" t="str">
        <x:v>Hilux</x:v>
      </x:c>
      <x:c r="H102" s="24" t="str">
        <x:v>INCOLOR</x:v>
      </x:c>
      <x:c r="I102" s="24" t="str">
        <x:v>ORGANIC</x:v>
      </x:c>
      <x:c r="J102" s="24" t="str">
        <x:v>1.50</x:v>
      </x:c>
      <x:c r="K102" s="24" t="str">
        <x:v>Hi-Vision Meiryo</x:v>
      </x:c>
      <x:c r="L102" s="40" t="n">
        <x:v>899</x:v>
      </x:c>
      <x:c r="M102" s="24" t="str">
        <x:v>-4.00 até +4.00</x:v>
      </x:c>
      <x:c r="N102" s="24"/>
      <x:c r="O102" s="24"/>
      <x:c r="P102" s="24"/>
      <x:c r="Q102" s="24"/>
      <x:c r="R102" s="24"/>
      <x:c r="S102" s="26" t="n">
        <x:v>45992</x:v>
      </x:c>
      <x:c r="T102" s="26"/>
      <x:c r="U102" s="24" t="str">
        <x:v>ATIVA/SEM FIM INFORMADO</x:v>
      </x:c>
      <x:c r="V102" s="24"/>
      <x:c r="W102" s="24" t="n">
        <x:v>17</x:v>
      </x:c>
      <x:c r="X102" s="24" t="str">
        <x:v>tabela_hoya(1).pdf</x:v>
      </x:c>
      <x:c r="Y102" s="24" t="str">
        <x:v>alta</x:v>
      </x:c>
      <x:c r="Z102" s="24"/>
      <x:c r="AA102" s="24" t="str">
        <x:v>HOYA|Visão Simples|Pronta|Hilux|INCOLOR|ORGANIC|1.50|Hi-Vision Meiryo|-4.00 até +4.00||||||17</x:v>
      </x:c>
    </x:row>
    <x:row r="103">
      <x:c r="A103" s="24" t="str">
        <x:v>HY-4C4FC71F27E0</x:v>
      </x:c>
      <x:c r="B103" s="24" t="str">
        <x:v>SIM</x:v>
      </x:c>
      <x:c r="C103" s="24" t="str">
        <x:v>DISPONÍVEL</x:v>
      </x:c>
      <x:c r="D103" s="24" t="str">
        <x:v>HOYA</x:v>
      </x:c>
      <x:c r="E103" s="24" t="str">
        <x:v>Visão Simples</x:v>
      </x:c>
      <x:c r="F103" s="24" t="str">
        <x:v>Pronta</x:v>
      </x:c>
      <x:c r="G103" s="24" t="str">
        <x:v>Hilux</x:v>
      </x:c>
      <x:c r="H103" s="24" t="str">
        <x:v>INCOLOR</x:v>
      </x:c>
      <x:c r="I103" s="24" t="str">
        <x:v>PNX</x:v>
      </x:c>
      <x:c r="J103" s="24" t="str">
        <x:v>1.53</x:v>
      </x:c>
      <x:c r="K103" s="24" t="str">
        <x:v>Hi-Vision LongLife BlueControl</x:v>
      </x:c>
      <x:c r="L103" s="40" t="n">
        <x:v>999</x:v>
      </x:c>
      <x:c r="M103" s="24" t="str">
        <x:v>-3.00 até +2.00</x:v>
      </x:c>
      <x:c r="N103" s="24"/>
      <x:c r="O103" s="24"/>
      <x:c r="P103" s="24"/>
      <x:c r="Q103" s="24"/>
      <x:c r="R103" s="24"/>
      <x:c r="S103" s="26" t="n">
        <x:v>45992</x:v>
      </x:c>
      <x:c r="T103" s="26"/>
      <x:c r="U103" s="24" t="str">
        <x:v>ATIVA/SEM FIM INFORMADO</x:v>
      </x:c>
      <x:c r="V103" s="24"/>
      <x:c r="W103" s="24" t="n">
        <x:v>17</x:v>
      </x:c>
      <x:c r="X103" s="24" t="str">
        <x:v>tabela_hoya(1).pdf</x:v>
      </x:c>
      <x:c r="Y103" s="24" t="str">
        <x:v>alta</x:v>
      </x:c>
      <x:c r="Z103" s="24"/>
      <x:c r="AA103" s="24" t="str">
        <x:v>HOYA|Visão Simples|Pronta|Hilux|INCOLOR|PNX|1.53|Hi-Vision LongLife BlueControl|-3.00 até +2.00||||||17</x:v>
      </x:c>
    </x:row>
    <x:row r="104">
      <x:c r="A104" s="24" t="str">
        <x:v>HY-B5CE6F871E9C</x:v>
      </x:c>
      <x:c r="B104" s="24" t="str">
        <x:v>SIM</x:v>
      </x:c>
      <x:c r="C104" s="24" t="str">
        <x:v>DISPONÍVEL</x:v>
      </x:c>
      <x:c r="D104" s="24" t="str">
        <x:v>HOYA</x:v>
      </x:c>
      <x:c r="E104" s="24" t="str">
        <x:v>Visão Simples</x:v>
      </x:c>
      <x:c r="F104" s="24" t="str">
        <x:v>Pronta</x:v>
      </x:c>
      <x:c r="G104" s="24" t="str">
        <x:v>Hilux</x:v>
      </x:c>
      <x:c r="H104" s="24" t="str">
        <x:v>INCOLOR</x:v>
      </x:c>
      <x:c r="I104" s="24" t="str">
        <x:v>ORGANIC</x:v>
      </x:c>
      <x:c r="J104" s="24" t="str">
        <x:v>1.50</x:v>
      </x:c>
      <x:c r="K104" s="24" t="str">
        <x:v>Hi-Vision LongLife BlueControl</x:v>
      </x:c>
      <x:c r="L104" s="40" t="n">
        <x:v>799</x:v>
      </x:c>
      <x:c r="M104" s="24" t="str">
        <x:v>-4.00 até +4.00</x:v>
      </x:c>
      <x:c r="N104" s="24"/>
      <x:c r="O104" s="24"/>
      <x:c r="P104" s="24"/>
      <x:c r="Q104" s="24"/>
      <x:c r="R104" s="24"/>
      <x:c r="S104" s="26" t="n">
        <x:v>45992</x:v>
      </x:c>
      <x:c r="T104" s="26"/>
      <x:c r="U104" s="24" t="str">
        <x:v>ATIVA/SEM FIM INFORMADO</x:v>
      </x:c>
      <x:c r="V104" s="24"/>
      <x:c r="W104" s="24" t="n">
        <x:v>17</x:v>
      </x:c>
      <x:c r="X104" s="24" t="str">
        <x:v>tabela_hoya(1).pdf</x:v>
      </x:c>
      <x:c r="Y104" s="24" t="str">
        <x:v>alta</x:v>
      </x:c>
      <x:c r="Z104" s="24"/>
      <x:c r="AA104" s="24" t="str">
        <x:v>HOYA|Visão Simples|Pronta|Hilux|INCOLOR|ORGANIC|1.50|Hi-Vision LongLife BlueControl|-4.00 até +4.00||||||17</x:v>
      </x:c>
    </x:row>
    <x:row r="105">
      <x:c r="A105" s="24" t="str">
        <x:v>HY-61306230377B</x:v>
      </x:c>
      <x:c r="B105" s="24" t="str">
        <x:v>SIM</x:v>
      </x:c>
      <x:c r="C105" s="24" t="str">
        <x:v>DISPONÍVEL</x:v>
      </x:c>
      <x:c r="D105" s="24" t="str">
        <x:v>HOYA</x:v>
      </x:c>
      <x:c r="E105" s="24" t="str">
        <x:v>Visão Simples</x:v>
      </x:c>
      <x:c r="F105" s="24" t="str">
        <x:v>Pronta</x:v>
      </x:c>
      <x:c r="G105" s="24" t="str">
        <x:v>Hilux</x:v>
      </x:c>
      <x:c r="H105" s="24" t="str">
        <x:v>INCOLOR</x:v>
      </x:c>
      <x:c r="I105" s="24" t="str">
        <x:v>PNX</x:v>
      </x:c>
      <x:c r="J105" s="24" t="str">
        <x:v>1.53</x:v>
      </x:c>
      <x:c r="K105" s="24" t="str">
        <x:v>Hi-Vision LongLife UVControl</x:v>
      </x:c>
      <x:c r="L105" s="40" t="n">
        <x:v>999</x:v>
      </x:c>
      <x:c r="M105" s="24" t="str">
        <x:v>-3.00 até +2.00</x:v>
      </x:c>
      <x:c r="N105" s="24"/>
      <x:c r="O105" s="24"/>
      <x:c r="P105" s="24"/>
      <x:c r="Q105" s="24"/>
      <x:c r="R105" s="24"/>
      <x:c r="S105" s="26" t="n">
        <x:v>45992</x:v>
      </x:c>
      <x:c r="T105" s="26"/>
      <x:c r="U105" s="24" t="str">
        <x:v>ATIVA/SEM FIM INFORMADO</x:v>
      </x:c>
      <x:c r="V105" s="24"/>
      <x:c r="W105" s="24" t="n">
        <x:v>17</x:v>
      </x:c>
      <x:c r="X105" s="24" t="str">
        <x:v>tabela_hoya(1).pdf</x:v>
      </x:c>
      <x:c r="Y105" s="24" t="str">
        <x:v>alta</x:v>
      </x:c>
      <x:c r="Z105" s="24"/>
      <x:c r="AA105" s="24" t="str">
        <x:v>HOYA|Visão Simples|Pronta|Hilux|INCOLOR|PNX|1.53|Hi-Vision LongLife UVControl|-3.00 até +2.00||||||17</x:v>
      </x:c>
    </x:row>
    <x:row r="106">
      <x:c r="A106" s="24" t="str">
        <x:v>HY-42FB0AD1A55F</x:v>
      </x:c>
      <x:c r="B106" s="24" t="str">
        <x:v>SIM</x:v>
      </x:c>
      <x:c r="C106" s="24" t="str">
        <x:v>DISPONÍVEL</x:v>
      </x:c>
      <x:c r="D106" s="24" t="str">
        <x:v>HOYA</x:v>
      </x:c>
      <x:c r="E106" s="24" t="str">
        <x:v>Visão Simples</x:v>
      </x:c>
      <x:c r="F106" s="24" t="str">
        <x:v>Pronta</x:v>
      </x:c>
      <x:c r="G106" s="24" t="str">
        <x:v>Hilux</x:v>
      </x:c>
      <x:c r="H106" s="24" t="str">
        <x:v>INCOLOR</x:v>
      </x:c>
      <x:c r="I106" s="24" t="str">
        <x:v>ORGANIC</x:v>
      </x:c>
      <x:c r="J106" s="24" t="str">
        <x:v>1.50</x:v>
      </x:c>
      <x:c r="K106" s="24" t="str">
        <x:v>Hi-Vision LongLife UVControl</x:v>
      </x:c>
      <x:c r="L106" s="40" t="n">
        <x:v>799</x:v>
      </x:c>
      <x:c r="M106" s="24" t="str">
        <x:v>-4.00 até +4.00</x:v>
      </x:c>
      <x:c r="N106" s="24"/>
      <x:c r="O106" s="24"/>
      <x:c r="P106" s="24"/>
      <x:c r="Q106" s="24"/>
      <x:c r="R106" s="24"/>
      <x:c r="S106" s="26" t="n">
        <x:v>45992</x:v>
      </x:c>
      <x:c r="T106" s="26"/>
      <x:c r="U106" s="24" t="str">
        <x:v>ATIVA/SEM FIM INFORMADO</x:v>
      </x:c>
      <x:c r="V106" s="24"/>
      <x:c r="W106" s="24" t="n">
        <x:v>17</x:v>
      </x:c>
      <x:c r="X106" s="24" t="str">
        <x:v>tabela_hoya(1).pdf</x:v>
      </x:c>
      <x:c r="Y106" s="24" t="str">
        <x:v>alta</x:v>
      </x:c>
      <x:c r="Z106" s="24"/>
      <x:c r="AA106" s="24" t="str">
        <x:v>HOYA|Visão Simples|Pronta|Hilux|INCOLOR|ORGANIC|1.50|Hi-Vision LongLife UVControl|-4.00 até +4.00||||||17</x:v>
      </x:c>
    </x:row>
    <x:row r="107">
      <x:c r="A107" s="24" t="str">
        <x:v>HY-8DF7FF6AF816</x:v>
      </x:c>
      <x:c r="B107" s="24" t="str">
        <x:v>SIM</x:v>
      </x:c>
      <x:c r="C107" s="24" t="str">
        <x:v>DISPONÍVEL</x:v>
      </x:c>
      <x:c r="D107" s="24" t="str">
        <x:v>HOYA</x:v>
      </x:c>
      <x:c r="E107" s="24" t="str">
        <x:v>Visão Simples</x:v>
      </x:c>
      <x:c r="F107" s="24" t="str">
        <x:v>Pronta</x:v>
      </x:c>
      <x:c r="G107" s="24" t="str">
        <x:v>Hilux</x:v>
      </x:c>
      <x:c r="H107" s="24" t="str">
        <x:v>INCOLOR</x:v>
      </x:c>
      <x:c r="I107" s="24" t="str">
        <x:v>ORGANIC</x:v>
      </x:c>
      <x:c r="J107" s="24" t="str">
        <x:v>1.50</x:v>
      </x:c>
      <x:c r="K107" s="24" t="str">
        <x:v>Hi-Vision LongLife</x:v>
      </x:c>
      <x:c r="L107" s="40" t="n">
        <x:v>799</x:v>
      </x:c>
      <x:c r="M107" s="24" t="str">
        <x:v>-4.00 até +4.00</x:v>
      </x:c>
      <x:c r="N107" s="24"/>
      <x:c r="O107" s="24"/>
      <x:c r="P107" s="24"/>
      <x:c r="Q107" s="24"/>
      <x:c r="R107" s="24"/>
      <x:c r="S107" s="26" t="n">
        <x:v>45992</x:v>
      </x:c>
      <x:c r="T107" s="26"/>
      <x:c r="U107" s="24" t="str">
        <x:v>ATIVA/SEM FIM INFORMADO</x:v>
      </x:c>
      <x:c r="V107" s="24"/>
      <x:c r="W107" s="24" t="n">
        <x:v>17</x:v>
      </x:c>
      <x:c r="X107" s="24" t="str">
        <x:v>tabela_hoya(1).pdf</x:v>
      </x:c>
      <x:c r="Y107" s="24" t="str">
        <x:v>alta</x:v>
      </x:c>
      <x:c r="Z107" s="24"/>
      <x:c r="AA107" s="24" t="str">
        <x:v>HOYA|Visão Simples|Pronta|Hilux|INCOLOR|ORGANIC|1.50|Hi-Vision LongLife|-4.00 até +4.00||||||17</x:v>
      </x:c>
    </x:row>
    <x:row r="108">
      <x:c r="A108" s="24" t="str">
        <x:v>HY-15E399460B86</x:v>
      </x:c>
      <x:c r="B108" s="24" t="str">
        <x:v>SIM</x:v>
      </x:c>
      <x:c r="C108" s="24" t="str">
        <x:v>DISPONÍVEL</x:v>
      </x:c>
      <x:c r="D108" s="24" t="str">
        <x:v>HOYA</x:v>
      </x:c>
      <x:c r="E108" s="24" t="str">
        <x:v>Visão Simples</x:v>
      </x:c>
      <x:c r="F108" s="24" t="str">
        <x:v>Pronta</x:v>
      </x:c>
      <x:c r="G108" s="24" t="str">
        <x:v>Hilux</x:v>
      </x:c>
      <x:c r="H108" s="24" t="str">
        <x:v>INCOLOR</x:v>
      </x:c>
      <x:c r="I108" s="24" t="str">
        <x:v>ORGANIC</x:v>
      </x:c>
      <x:c r="J108" s="24" t="str">
        <x:v>1.50</x:v>
      </x:c>
      <x:c r="K108" s="24" t="str">
        <x:v>CleanExtra</x:v>
      </x:c>
      <x:c r="L108" s="40" t="n">
        <x:v>439</x:v>
      </x:c>
      <x:c r="M108" s="24" t="str">
        <x:v>-4.00 até +4.00</x:v>
      </x:c>
      <x:c r="N108" s="24"/>
      <x:c r="O108" s="24"/>
      <x:c r="P108" s="24"/>
      <x:c r="Q108" s="24"/>
      <x:c r="R108" s="24"/>
      <x:c r="S108" s="26" t="n">
        <x:v>45992</x:v>
      </x:c>
      <x:c r="T108" s="26"/>
      <x:c r="U108" s="24" t="str">
        <x:v>ATIVA/SEM FIM INFORMADO</x:v>
      </x:c>
      <x:c r="V108" s="24"/>
      <x:c r="W108" s="24" t="n">
        <x:v>17</x:v>
      </x:c>
      <x:c r="X108" s="24" t="str">
        <x:v>tabela_hoya(1).pdf</x:v>
      </x:c>
      <x:c r="Y108" s="24" t="str">
        <x:v>alta</x:v>
      </x:c>
      <x:c r="Z108" s="24"/>
      <x:c r="AA108" s="24" t="str">
        <x:v>HOYA|Visão Simples|Pronta|Hilux|INCOLOR|ORGANIC|1.50|CleanExtra|-4.00 até +4.00||||||17</x:v>
      </x:c>
    </x:row>
    <x:row r="109">
      <x:c r="A109" s="24" t="str">
        <x:v>HY-03579A830B77</x:v>
      </x:c>
      <x:c r="B109" s="24" t="str">
        <x:v>SIM</x:v>
      </x:c>
      <x:c r="C109" s="24" t="str">
        <x:v>DISPONÍVEL</x:v>
      </x:c>
      <x:c r="D109" s="24" t="str">
        <x:v>HOYA</x:v>
      </x:c>
      <x:c r="E109" s="24" t="str">
        <x:v>Visão Simples</x:v>
      </x:c>
      <x:c r="F109" s="24" t="str">
        <x:v>Pronta</x:v>
      </x:c>
      <x:c r="G109" s="24" t="str">
        <x:v>Hilux</x:v>
      </x:c>
      <x:c r="H109" s="24" t="str">
        <x:v>INCOLOR</x:v>
      </x:c>
      <x:c r="I109" s="24" t="str">
        <x:v>POLI</x:v>
      </x:c>
      <x:c r="J109" s="24" t="str">
        <x:v>1.59</x:v>
      </x:c>
      <x:c r="K109" s="24" t="str">
        <x:v>Hi-Vision Aqua</x:v>
      </x:c>
      <x:c r="L109" s="40" t="n">
        <x:v>349</x:v>
      </x:c>
      <x:c r="M109" s="24" t="str">
        <x:v>-4.00 até +4.00</x:v>
      </x:c>
      <x:c r="N109" s="24"/>
      <x:c r="O109" s="24"/>
      <x:c r="P109" s="24"/>
      <x:c r="Q109" s="24"/>
      <x:c r="R109" s="24"/>
      <x:c r="S109" s="26" t="n">
        <x:v>45992</x:v>
      </x:c>
      <x:c r="T109" s="26"/>
      <x:c r="U109" s="24" t="str">
        <x:v>ATIVA/SEM FIM INFORMADO</x:v>
      </x:c>
      <x:c r="V109" s="24"/>
      <x:c r="W109" s="24" t="n">
        <x:v>17</x:v>
      </x:c>
      <x:c r="X109" s="24" t="str">
        <x:v>tabela_hoya(1).pdf</x:v>
      </x:c>
      <x:c r="Y109" s="24" t="str">
        <x:v>alta</x:v>
      </x:c>
      <x:c r="Z109" s="24"/>
      <x:c r="AA109" s="24" t="str">
        <x:v>HOYA|Visão Simples|Pronta|Hilux|INCOLOR|POLI|1.59|Hi-Vision Aqua|-4.00 até +4.00||||||17</x:v>
      </x:c>
    </x:row>
    <x:row r="110">
      <x:c r="A110" s="24" t="str">
        <x:v>HY-5089DD0A742B</x:v>
      </x:c>
      <x:c r="B110" s="24" t="str">
        <x:v>SIM</x:v>
      </x:c>
      <x:c r="C110" s="24" t="str">
        <x:v>DISPONÍVEL</x:v>
      </x:c>
      <x:c r="D110" s="24" t="str">
        <x:v>HOYA</x:v>
      </x:c>
      <x:c r="E110" s="24" t="str">
        <x:v>Visão Simples</x:v>
      </x:c>
      <x:c r="F110" s="24" t="str">
        <x:v>Pronta</x:v>
      </x:c>
      <x:c r="G110" s="24" t="str">
        <x:v>Hilux</x:v>
      </x:c>
      <x:c r="H110" s="24" t="str">
        <x:v>INCOLOR</x:v>
      </x:c>
      <x:c r="I110" s="24" t="str">
        <x:v>PNX</x:v>
      </x:c>
      <x:c r="J110" s="24" t="str">
        <x:v>1.53</x:v>
      </x:c>
      <x:c r="K110" s="24" t="str">
        <x:v>Hi-Vision Aqua</x:v>
      </x:c>
      <x:c r="L110" s="40" t="n">
        <x:v>349</x:v>
      </x:c>
      <x:c r="M110" s="24" t="str">
        <x:v>-3.00 até +2.00</x:v>
      </x:c>
      <x:c r="N110" s="24"/>
      <x:c r="O110" s="24"/>
      <x:c r="P110" s="24"/>
      <x:c r="Q110" s="24"/>
      <x:c r="R110" s="24"/>
      <x:c r="S110" s="26" t="n">
        <x:v>45992</x:v>
      </x:c>
      <x:c r="T110" s="26"/>
      <x:c r="U110" s="24" t="str">
        <x:v>ATIVA/SEM FIM INFORMADO</x:v>
      </x:c>
      <x:c r="V110" s="24"/>
      <x:c r="W110" s="24" t="n">
        <x:v>17</x:v>
      </x:c>
      <x:c r="X110" s="24" t="str">
        <x:v>tabela_hoya(1).pdf</x:v>
      </x:c>
      <x:c r="Y110" s="24" t="str">
        <x:v>alta</x:v>
      </x:c>
      <x:c r="Z110" s="24"/>
      <x:c r="AA110" s="24" t="str">
        <x:v>HOYA|Visão Simples|Pronta|Hilux|INCOLOR|PNX|1.53|Hi-Vision Aqua|-3.00 até +2.00||||||17</x:v>
      </x:c>
    </x:row>
    <x:row r="111">
      <x:c r="A111" s="24" t="str">
        <x:v>HY-E50EA9D6B3C9</x:v>
      </x:c>
      <x:c r="B111" s="24" t="str">
        <x:v>SIM</x:v>
      </x:c>
      <x:c r="C111" s="24" t="str">
        <x:v>DISPONÍVEL</x:v>
      </x:c>
      <x:c r="D111" s="24" t="str">
        <x:v>HOYA</x:v>
      </x:c>
      <x:c r="E111" s="24" t="str">
        <x:v>Visão Simples</x:v>
      </x:c>
      <x:c r="F111" s="24" t="str">
        <x:v>Pronta</x:v>
      </x:c>
      <x:c r="G111" s="24" t="str">
        <x:v>Hilux</x:v>
      </x:c>
      <x:c r="H111" s="24" t="str">
        <x:v>INCOLOR</x:v>
      </x:c>
      <x:c r="I111" s="24" t="str">
        <x:v>ORGANIC</x:v>
      </x:c>
      <x:c r="J111" s="24" t="str">
        <x:v>1.50</x:v>
      </x:c>
      <x:c r="K111" s="24" t="str">
        <x:v>Hi-Vision Aqua</x:v>
      </x:c>
      <x:c r="L111" s="40" t="n">
        <x:v>219</x:v>
      </x:c>
      <x:c r="M111" s="24" t="str">
        <x:v>-4.00 até +4.00</x:v>
      </x:c>
      <x:c r="N111" s="24"/>
      <x:c r="O111" s="24"/>
      <x:c r="P111" s="24"/>
      <x:c r="Q111" s="24"/>
      <x:c r="R111" s="24"/>
      <x:c r="S111" s="26" t="n">
        <x:v>45992</x:v>
      </x:c>
      <x:c r="T111" s="26"/>
      <x:c r="U111" s="24" t="str">
        <x:v>ATIVA/SEM FIM INFORMADO</x:v>
      </x:c>
      <x:c r="V111" s="24"/>
      <x:c r="W111" s="24" t="n">
        <x:v>17</x:v>
      </x:c>
      <x:c r="X111" s="24" t="str">
        <x:v>tabela_hoya(1).pdf</x:v>
      </x:c>
      <x:c r="Y111" s="24" t="str">
        <x:v>alta</x:v>
      </x:c>
      <x:c r="Z111" s="24"/>
      <x:c r="AA111" s="24" t="str">
        <x:v>HOYA|Visão Simples|Pronta|Hilux|INCOLOR|ORGANIC|1.50|Hi-Vision Aqua|-4.00 até +4.00||||||17</x:v>
      </x:c>
    </x:row>
    <x:row r="112">
      <x:c r="A112" s="24" t="str">
        <x:v>HY-EC8B3F2C6C4B</x:v>
      </x:c>
      <x:c r="B112" s="24" t="str">
        <x:v>SIM</x:v>
      </x:c>
      <x:c r="C112" s="24" t="str">
        <x:v>DISPONÍVEL</x:v>
      </x:c>
      <x:c r="D112" s="24" t="str">
        <x:v>HOYA</x:v>
      </x:c>
      <x:c r="E112" s="24" t="str">
        <x:v>Visão Simples</x:v>
      </x:c>
      <x:c r="F112" s="24" t="str">
        <x:v>Pronta</x:v>
      </x:c>
      <x:c r="G112" s="24" t="str">
        <x:v>Hilux</x:v>
      </x:c>
      <x:c r="H112" s="24" t="str">
        <x:v>SENSITY 2</x:v>
      </x:c>
      <x:c r="I112" s="24" t="str">
        <x:v>PNX</x:v>
      </x:c>
      <x:c r="J112" s="24" t="str">
        <x:v>1.53</x:v>
      </x:c>
      <x:c r="K112" s="24" t="str">
        <x:v>Hi-Vision LongLife UVControl</x:v>
      </x:c>
      <x:c r="L112" s="40" t="n">
        <x:v>1699</x:v>
      </x:c>
      <x:c r="M112" s="24" t="str">
        <x:v>-3.00 até +2.00</x:v>
      </x:c>
      <x:c r="N112" s="24"/>
      <x:c r="O112" s="24"/>
      <x:c r="P112" s="24"/>
      <x:c r="Q112" s="24"/>
      <x:c r="R112" s="24"/>
      <x:c r="S112" s="26" t="n">
        <x:v>45992</x:v>
      </x:c>
      <x:c r="T112" s="26"/>
      <x:c r="U112" s="24" t="str">
        <x:v>ATIVA/SEM FIM INFORMADO</x:v>
      </x:c>
      <x:c r="V112" s="24"/>
      <x:c r="W112" s="24" t="n">
        <x:v>17</x:v>
      </x:c>
      <x:c r="X112" s="24" t="str">
        <x:v>tabela_hoya(1).pdf</x:v>
      </x:c>
      <x:c r="Y112" s="24" t="str">
        <x:v>alta</x:v>
      </x:c>
      <x:c r="Z112" s="24"/>
      <x:c r="AA112" s="24" t="str">
        <x:v>HOYA|Visão Simples|Pronta|Hilux|SENSITY 2|PNX|1.53|Hi-Vision LongLife UVControl|-3.00 até +2.00||||||17</x:v>
      </x:c>
    </x:row>
    <x:row r="113">
      <x:c r="A113" s="24" t="str">
        <x:v>HY-FE69512AA580</x:v>
      </x:c>
      <x:c r="B113" s="24" t="str">
        <x:v>SIM</x:v>
      </x:c>
      <x:c r="C113" s="24" t="str">
        <x:v>DISPONÍVEL</x:v>
      </x:c>
      <x:c r="D113" s="24" t="str">
        <x:v>HOYA</x:v>
      </x:c>
      <x:c r="E113" s="24" t="str">
        <x:v>Visão Simples</x:v>
      </x:c>
      <x:c r="F113" s="24" t="str">
        <x:v>Pronta</x:v>
      </x:c>
      <x:c r="G113" s="24" t="str">
        <x:v>Hilux</x:v>
      </x:c>
      <x:c r="H113" s="24" t="str">
        <x:v>SENSITY 2</x:v>
      </x:c>
      <x:c r="I113" s="24" t="str">
        <x:v>ORGANIC</x:v>
      </x:c>
      <x:c r="J113" s="24" t="str">
        <x:v>1.50</x:v>
      </x:c>
      <x:c r="K113" s="24" t="str">
        <x:v>Hi-Vision LongLife UVControl</x:v>
      </x:c>
      <x:c r="L113" s="40" t="n">
        <x:v>1099</x:v>
      </x:c>
      <x:c r="M113" s="24" t="str">
        <x:v>-4.00 até +4.00</x:v>
      </x:c>
      <x:c r="N113" s="24"/>
      <x:c r="O113" s="24"/>
      <x:c r="P113" s="24"/>
      <x:c r="Q113" s="24"/>
      <x:c r="R113" s="24"/>
      <x:c r="S113" s="26" t="n">
        <x:v>45992</x:v>
      </x:c>
      <x:c r="T113" s="26"/>
      <x:c r="U113" s="24" t="str">
        <x:v>ATIVA/SEM FIM INFORMADO</x:v>
      </x:c>
      <x:c r="V113" s="24"/>
      <x:c r="W113" s="24" t="n">
        <x:v>17</x:v>
      </x:c>
      <x:c r="X113" s="24" t="str">
        <x:v>tabela_hoya(1).pdf</x:v>
      </x:c>
      <x:c r="Y113" s="24" t="str">
        <x:v>alta</x:v>
      </x:c>
      <x:c r="Z113" s="24"/>
      <x:c r="AA113" s="24" t="str">
        <x:v>HOYA|Visão Simples|Pronta|Hilux|SENSITY 2|ORGANIC|1.50|Hi-Vision LongLife UVControl|-4.00 até +4.00||||||17</x:v>
      </x:c>
    </x:row>
    <x:row r="114">
      <x:c r="A114" s="24" t="str">
        <x:v>HY-A1F6557127D4</x:v>
      </x:c>
      <x:c r="B114" s="24" t="str">
        <x:v>SIM</x:v>
      </x:c>
      <x:c r="C114" s="24" t="str">
        <x:v>ESTOQUE LIMITADO</x:v>
      </x:c>
      <x:c r="D114" s="24" t="str">
        <x:v>HOYA</x:v>
      </x:c>
      <x:c r="E114" s="24" t="str">
        <x:v>Visão Simples</x:v>
      </x:c>
      <x:c r="F114" s="24" t="str">
        <x:v>Pronta</x:v>
      </x:c>
      <x:c r="G114" s="24" t="str">
        <x:v>Hilux</x:v>
      </x:c>
      <x:c r="H114" s="24" t="str">
        <x:v>SENSITY ORIGINAL</x:v>
      </x:c>
      <x:c r="I114" s="24" t="str">
        <x:v>ORGANIC</x:v>
      </x:c>
      <x:c r="J114" s="24" t="str">
        <x:v>1.50</x:v>
      </x:c>
      <x:c r="K114" s="24" t="str">
        <x:v>CleanExtra</x:v>
      </x:c>
      <x:c r="L114" s="40" t="n">
        <x:v>599</x:v>
      </x:c>
      <x:c r="M114" s="24" t="str">
        <x:v>-4.00 até +4.00</x:v>
      </x:c>
      <x:c r="N114" s="24"/>
      <x:c r="O114" s="24"/>
      <x:c r="P114" s="24"/>
      <x:c r="Q114" s="24"/>
      <x:c r="R114" s="24"/>
      <x:c r="S114" s="26" t="n">
        <x:v>45992</x:v>
      </x:c>
      <x:c r="T114" s="26"/>
      <x:c r="U114" s="24" t="str">
        <x:v>ATIVA/SEM FIM INFORMADO</x:v>
      </x:c>
      <x:c r="V114" s="24"/>
      <x:c r="W114" s="24" t="n">
        <x:v>17</x:v>
      </x:c>
      <x:c r="X114" s="24" t="str">
        <x:v>tabela_hoya(1).pdf</x:v>
      </x:c>
      <x:c r="Y114" s="24" t="str">
        <x:v>alta</x:v>
      </x:c>
      <x:c r="Z114" s="24" t="str">
        <x:v>Sensity Original: “enquanto durarem os estoques”, conforme a tabela HOYA.</x:v>
      </x:c>
      <x:c r="AA114" s="24" t="str">
        <x:v>HOYA|Visão Simples|Pronta|Hilux|SENSITY ORIGINAL|ORGANIC|1.50|CleanExtra|-4.00 até +4.00||||||17</x:v>
      </x:c>
    </x:row>
    <x:row r="115">
      <x:c r="A115" s="24" t="str">
        <x:v>HY-A5CCAAB26183</x:v>
      </x:c>
      <x:c r="B115" s="24" t="str">
        <x:v>SIM</x:v>
      </x:c>
      <x:c r="C115" s="24" t="str">
        <x:v>DISPONÍVEL</x:v>
      </x:c>
      <x:c r="D115" s="24" t="str">
        <x:v>HOYA</x:v>
      </x:c>
      <x:c r="E115" s="24" t="str">
        <x:v>Progressiva</x:v>
      </x:c>
      <x:c r="F115" s="24" t="str">
        <x:v>Surfaçada</x:v>
      </x:c>
      <x:c r="G115" s="24" t="str">
        <x:v>Hoyalux iD MySelf</x:v>
      </x:c>
      <x:c r="H115" s="24" t="str">
        <x:v>INCOLOR</x:v>
      </x:c>
      <x:c r="I115" s="24" t="str">
        <x:v>EYVIA</x:v>
      </x:c>
      <x:c r="J115" s="24" t="str">
        <x:v>1.74</x:v>
      </x:c>
      <x:c r="K115" s="24" t="str">
        <x:v>Hi-Vision Meiryo</x:v>
      </x:c>
      <x:c r="L115" s="40" t="n">
        <x:v>14509</x:v>
      </x:c>
      <x:c r="M115" s="24" t="str">
        <x:v>-15.00 até +10.00</x:v>
      </x:c>
      <x:c r="N115" s="24"/>
      <x:c r="O115" s="24"/>
      <x:c r="P115" s="24"/>
      <x:c r="Q115" s="24"/>
      <x:c r="R115" s="24"/>
      <x:c r="S115" s="26" t="n">
        <x:v>45992</x:v>
      </x:c>
      <x:c r="T115" s="26"/>
      <x:c r="U115" s="24" t="str">
        <x:v>ATIVA/SEM FIM INFORMADO</x:v>
      </x:c>
      <x:c r="V115" s="24"/>
      <x:c r="W115" s="24" t="n">
        <x:v>22</x:v>
      </x:c>
      <x:c r="X115" s="24" t="str">
        <x:v>tabela_hoya(1).pdf</x:v>
      </x:c>
      <x:c r="Y115" s="24" t="str">
        <x:v>alta</x:v>
      </x:c>
      <x:c r="Z115" s="24"/>
      <x:c r="AA115" s="24" t="str">
        <x:v>HOYA|Progressiva|Surfaçada|Hoyalux iD MySelf|INCOLOR|EYVIA|1.74|Hi-Vision Meiryo|-15.00 até +10.00||||||22</x:v>
      </x:c>
    </x:row>
    <x:row r="116">
      <x:c r="A116" s="24" t="str">
        <x:v>HY-4115229838D1</x:v>
      </x:c>
      <x:c r="B116" s="24" t="str">
        <x:v>SIM</x:v>
      </x:c>
      <x:c r="C116" s="24" t="str">
        <x:v>DISPONÍVEL</x:v>
      </x:c>
      <x:c r="D116" s="24" t="str">
        <x:v>HOYA</x:v>
      </x:c>
      <x:c r="E116" s="24" t="str">
        <x:v>Progressiva</x:v>
      </x:c>
      <x:c r="F116" s="24" t="str">
        <x:v>Surfaçada</x:v>
      </x:c>
      <x:c r="G116" s="24" t="str">
        <x:v>Hoyalux iD MySelf</x:v>
      </x:c>
      <x:c r="H116" s="24" t="str">
        <x:v>INCOLOR</x:v>
      </x:c>
      <x:c r="I116" s="24" t="str">
        <x:v>EYNOA</x:v>
      </x:c>
      <x:c r="J116" s="24" t="str">
        <x:v>1.67</x:v>
      </x:c>
      <x:c r="K116" s="24" t="str">
        <x:v>Hi-Vision Meiryo</x:v>
      </x:c>
      <x:c r="L116" s="40" t="n">
        <x:v>13009</x:v>
      </x:c>
      <x:c r="M116" s="24" t="str">
        <x:v>-13.00 até +8.00</x:v>
      </x:c>
      <x:c r="N116" s="24"/>
      <x:c r="O116" s="24"/>
      <x:c r="P116" s="24"/>
      <x:c r="Q116" s="24"/>
      <x:c r="R116" s="24"/>
      <x:c r="S116" s="26" t="n">
        <x:v>45992</x:v>
      </x:c>
      <x:c r="T116" s="26"/>
      <x:c r="U116" s="24" t="str">
        <x:v>ATIVA/SEM FIM INFORMADO</x:v>
      </x:c>
      <x:c r="V116" s="24"/>
      <x:c r="W116" s="24" t="n">
        <x:v>22</x:v>
      </x:c>
      <x:c r="X116" s="24" t="str">
        <x:v>tabela_hoya(1).pdf</x:v>
      </x:c>
      <x:c r="Y116" s="24" t="str">
        <x:v>alta</x:v>
      </x:c>
      <x:c r="Z116" s="24"/>
      <x:c r="AA116" s="24" t="str">
        <x:v>HOYA|Progressiva|Surfaçada|Hoyalux iD MySelf|INCOLOR|EYNOA|1.67|Hi-Vision Meiryo|-13.00 até +8.00||||||22</x:v>
      </x:c>
    </x:row>
    <x:row r="117">
      <x:c r="A117" s="24" t="str">
        <x:v>HY-6E9940BFB20A</x:v>
      </x:c>
      <x:c r="B117" s="24" t="str">
        <x:v>SIM</x:v>
      </x:c>
      <x:c r="C117" s="24" t="str">
        <x:v>DISPONÍVEL</x:v>
      </x:c>
      <x:c r="D117" s="24" t="str">
        <x:v>HOYA</x:v>
      </x:c>
      <x:c r="E117" s="24" t="str">
        <x:v>Progressiva</x:v>
      </x:c>
      <x:c r="F117" s="24" t="str">
        <x:v>Surfaçada</x:v>
      </x:c>
      <x:c r="G117" s="24" t="str">
        <x:v>Hoyalux iD MySelf</x:v>
      </x:c>
      <x:c r="H117" s="24" t="str">
        <x:v>INCOLOR</x:v>
      </x:c>
      <x:c r="I117" s="24" t="str">
        <x:v>EYAS 2.0</x:v>
      </x:c>
      <x:c r="J117" s="24" t="str">
        <x:v>1.60</x:v>
      </x:c>
      <x:c r="K117" s="24" t="str">
        <x:v>Hi-Vision Meiryo</x:v>
      </x:c>
      <x:c r="L117" s="40" t="n">
        <x:v>11209</x:v>
      </x:c>
      <x:c r="M117" s="24" t="str">
        <x:v>-11.00 até +8.00</x:v>
      </x:c>
      <x:c r="N117" s="24"/>
      <x:c r="O117" s="24"/>
      <x:c r="P117" s="24"/>
      <x:c r="Q117" s="24"/>
      <x:c r="R117" s="24"/>
      <x:c r="S117" s="26" t="n">
        <x:v>45992</x:v>
      </x:c>
      <x:c r="T117" s="26"/>
      <x:c r="U117" s="24" t="str">
        <x:v>ATIVA/SEM FIM INFORMADO</x:v>
      </x:c>
      <x:c r="V117" s="24"/>
      <x:c r="W117" s="24" t="n">
        <x:v>22</x:v>
      </x:c>
      <x:c r="X117" s="24" t="str">
        <x:v>tabela_hoya(1).pdf</x:v>
      </x:c>
      <x:c r="Y117" s="24" t="str">
        <x:v>alta</x:v>
      </x:c>
      <x:c r="Z117" s="24"/>
      <x:c r="AA117" s="24" t="str">
        <x:v>HOYA|Progressiva|Surfaçada|Hoyalux iD MySelf|INCOLOR|EYAS 2.0|1.60|Hi-Vision Meiryo|-11.00 até +8.00||||||22</x:v>
      </x:c>
    </x:row>
    <x:row r="118">
      <x:c r="A118" s="24" t="str">
        <x:v>HY-BC359C45DB08</x:v>
      </x:c>
      <x:c r="B118" s="24" t="str">
        <x:v>SIM</x:v>
      </x:c>
      <x:c r="C118" s="24" t="str">
        <x:v>DISPONÍVEL</x:v>
      </x:c>
      <x:c r="D118" s="24" t="str">
        <x:v>HOYA</x:v>
      </x:c>
      <x:c r="E118" s="24" t="str">
        <x:v>Progressiva</x:v>
      </x:c>
      <x:c r="F118" s="24" t="str">
        <x:v>Surfaçada</x:v>
      </x:c>
      <x:c r="G118" s="24" t="str">
        <x:v>Hoyalux iD MySelf</x:v>
      </x:c>
      <x:c r="H118" s="24" t="str">
        <x:v>INCOLOR</x:v>
      </x:c>
      <x:c r="I118" s="24" t="str">
        <x:v>PNX</x:v>
      </x:c>
      <x:c r="J118" s="24" t="str">
        <x:v>1.53</x:v>
      </x:c>
      <x:c r="K118" s="24" t="str">
        <x:v>Hi-Vision Meiryo</x:v>
      </x:c>
      <x:c r="L118" s="40" t="n">
        <x:v>10749</x:v>
      </x:c>
      <x:c r="M118" s="24" t="str">
        <x:v>-8.00 até +6.00</x:v>
      </x:c>
      <x:c r="N118" s="24"/>
      <x:c r="O118" s="24"/>
      <x:c r="P118" s="24"/>
      <x:c r="Q118" s="24"/>
      <x:c r="R118" s="24"/>
      <x:c r="S118" s="26" t="n">
        <x:v>45992</x:v>
      </x:c>
      <x:c r="T118" s="26"/>
      <x:c r="U118" s="24" t="str">
        <x:v>ATIVA/SEM FIM INFORMADO</x:v>
      </x:c>
      <x:c r="V118" s="24"/>
      <x:c r="W118" s="24" t="n">
        <x:v>22</x:v>
      </x:c>
      <x:c r="X118" s="24" t="str">
        <x:v>tabela_hoya(1).pdf</x:v>
      </x:c>
      <x:c r="Y118" s="24" t="str">
        <x:v>alta</x:v>
      </x:c>
      <x:c r="Z118" s="24"/>
      <x:c r="AA118" s="24" t="str">
        <x:v>HOYA|Progressiva|Surfaçada|Hoyalux iD MySelf|INCOLOR|PNX|1.53|Hi-Vision Meiryo|-8.00 até +6.00||||||22</x:v>
      </x:c>
    </x:row>
    <x:row r="119">
      <x:c r="A119" s="24" t="str">
        <x:v>HY-636D60561B42</x:v>
      </x:c>
      <x:c r="B119" s="24" t="str">
        <x:v>SIM</x:v>
      </x:c>
      <x:c r="C119" s="24" t="str">
        <x:v>DISPONÍVEL</x:v>
      </x:c>
      <x:c r="D119" s="24" t="str">
        <x:v>HOYA</x:v>
      </x:c>
      <x:c r="E119" s="24" t="str">
        <x:v>Progressiva</x:v>
      </x:c>
      <x:c r="F119" s="24" t="str">
        <x:v>Surfaçada</x:v>
      </x:c>
      <x:c r="G119" s="24" t="str">
        <x:v>Hoyalux iD MySelf</x:v>
      </x:c>
      <x:c r="H119" s="24" t="str">
        <x:v>INCOLOR</x:v>
      </x:c>
      <x:c r="I119" s="24" t="str">
        <x:v>ORGANIC</x:v>
      </x:c>
      <x:c r="J119" s="24" t="str">
        <x:v>1.50</x:v>
      </x:c>
      <x:c r="K119" s="24" t="str">
        <x:v>Hi-Vision Meiryo</x:v>
      </x:c>
      <x:c r="L119" s="40" t="n">
        <x:v>10399</x:v>
      </x:c>
      <x:c r="M119" s="24" t="str">
        <x:v>-8.00 até +6.00</x:v>
      </x:c>
      <x:c r="N119" s="24"/>
      <x:c r="O119" s="24"/>
      <x:c r="P119" s="24"/>
      <x:c r="Q119" s="24"/>
      <x:c r="R119" s="24"/>
      <x:c r="S119" s="26" t="n">
        <x:v>45992</x:v>
      </x:c>
      <x:c r="T119" s="26"/>
      <x:c r="U119" s="24" t="str">
        <x:v>ATIVA/SEM FIM INFORMADO</x:v>
      </x:c>
      <x:c r="V119" s="24"/>
      <x:c r="W119" s="24" t="n">
        <x:v>22</x:v>
      </x:c>
      <x:c r="X119" s="24" t="str">
        <x:v>tabela_hoya(1).pdf</x:v>
      </x:c>
      <x:c r="Y119" s="24" t="str">
        <x:v>alta</x:v>
      </x:c>
      <x:c r="Z119" s="24"/>
      <x:c r="AA119" s="24" t="str">
        <x:v>HOYA|Progressiva|Surfaçada|Hoyalux iD MySelf|INCOLOR|ORGANIC|1.50|Hi-Vision Meiryo|-8.00 até +6.00||||||22</x:v>
      </x:c>
    </x:row>
    <x:row r="120">
      <x:c r="A120" s="24" t="str">
        <x:v>HY-EB21E6999D4C</x:v>
      </x:c>
      <x:c r="B120" s="24" t="str">
        <x:v>SIM</x:v>
      </x:c>
      <x:c r="C120" s="24" t="str">
        <x:v>DISPONÍVEL</x:v>
      </x:c>
      <x:c r="D120" s="24" t="str">
        <x:v>HOYA</x:v>
      </x:c>
      <x:c r="E120" s="24" t="str">
        <x:v>Progressiva</x:v>
      </x:c>
      <x:c r="F120" s="24" t="str">
        <x:v>Surfaçada</x:v>
      </x:c>
      <x:c r="G120" s="24" t="str">
        <x:v>Hoyalux iD MySelf</x:v>
      </x:c>
      <x:c r="H120" s="24" t="str">
        <x:v>INCOLOR</x:v>
      </x:c>
      <x:c r="I120" s="24" t="str">
        <x:v>EYVIA</x:v>
      </x:c>
      <x:c r="J120" s="24" t="str">
        <x:v>1.74</x:v>
      </x:c>
      <x:c r="K120" s="24" t="str">
        <x:v>Hi-Vision LongLife BlueControl</x:v>
      </x:c>
      <x:c r="L120" s="40" t="n">
        <x:v>14309</x:v>
      </x:c>
      <x:c r="M120" s="24" t="str">
        <x:v>-15.00 até +10.00</x:v>
      </x:c>
      <x:c r="N120" s="24"/>
      <x:c r="O120" s="24"/>
      <x:c r="P120" s="24"/>
      <x:c r="Q120" s="24"/>
      <x:c r="R120" s="24"/>
      <x:c r="S120" s="26" t="n">
        <x:v>45992</x:v>
      </x:c>
      <x:c r="T120" s="26"/>
      <x:c r="U120" s="24" t="str">
        <x:v>ATIVA/SEM FIM INFORMADO</x:v>
      </x:c>
      <x:c r="V120" s="24"/>
      <x:c r="W120" s="24" t="n">
        <x:v>22</x:v>
      </x:c>
      <x:c r="X120" s="24" t="str">
        <x:v>tabela_hoya(1).pdf</x:v>
      </x:c>
      <x:c r="Y120" s="24" t="str">
        <x:v>alta</x:v>
      </x:c>
      <x:c r="Z120" s="24"/>
      <x:c r="AA120" s="24" t="str">
        <x:v>HOYA|Progressiva|Surfaçada|Hoyalux iD MySelf|INCOLOR|EYVIA|1.74|Hi-Vision LongLife BlueControl|-15.00 até +10.00||||||22</x:v>
      </x:c>
    </x:row>
    <x:row r="121">
      <x:c r="A121" s="24" t="str">
        <x:v>HY-270ECE18D7CA</x:v>
      </x:c>
      <x:c r="B121" s="24" t="str">
        <x:v>SIM</x:v>
      </x:c>
      <x:c r="C121" s="24" t="str">
        <x:v>DISPONÍVEL</x:v>
      </x:c>
      <x:c r="D121" s="24" t="str">
        <x:v>HOYA</x:v>
      </x:c>
      <x:c r="E121" s="24" t="str">
        <x:v>Progressiva</x:v>
      </x:c>
      <x:c r="F121" s="24" t="str">
        <x:v>Surfaçada</x:v>
      </x:c>
      <x:c r="G121" s="24" t="str">
        <x:v>Hoyalux iD MySelf</x:v>
      </x:c>
      <x:c r="H121" s="24" t="str">
        <x:v>INCOLOR</x:v>
      </x:c>
      <x:c r="I121" s="24" t="str">
        <x:v>EYNOA</x:v>
      </x:c>
      <x:c r="J121" s="24" t="str">
        <x:v>1.67</x:v>
      </x:c>
      <x:c r="K121" s="24" t="str">
        <x:v>Hi-Vision LongLife BlueControl</x:v>
      </x:c>
      <x:c r="L121" s="40" t="n">
        <x:v>12809</x:v>
      </x:c>
      <x:c r="M121" s="24" t="str">
        <x:v>-13.00 até +8.00</x:v>
      </x:c>
      <x:c r="N121" s="24"/>
      <x:c r="O121" s="24"/>
      <x:c r="P121" s="24"/>
      <x:c r="Q121" s="24"/>
      <x:c r="R121" s="24"/>
      <x:c r="S121" s="26" t="n">
        <x:v>45992</x:v>
      </x:c>
      <x:c r="T121" s="26"/>
      <x:c r="U121" s="24" t="str">
        <x:v>ATIVA/SEM FIM INFORMADO</x:v>
      </x:c>
      <x:c r="V121" s="24"/>
      <x:c r="W121" s="24" t="n">
        <x:v>22</x:v>
      </x:c>
      <x:c r="X121" s="24" t="str">
        <x:v>tabela_hoya(1).pdf</x:v>
      </x:c>
      <x:c r="Y121" s="24" t="str">
        <x:v>alta</x:v>
      </x:c>
      <x:c r="Z121" s="24"/>
      <x:c r="AA121" s="24" t="str">
        <x:v>HOYA|Progressiva|Surfaçada|Hoyalux iD MySelf|INCOLOR|EYNOA|1.67|Hi-Vision LongLife BlueControl|-13.00 até +8.00||||||22</x:v>
      </x:c>
    </x:row>
    <x:row r="122">
      <x:c r="A122" s="24" t="str">
        <x:v>HY-1EA0850CDC5C</x:v>
      </x:c>
      <x:c r="B122" s="24" t="str">
        <x:v>SIM</x:v>
      </x:c>
      <x:c r="C122" s="24" t="str">
        <x:v>DISPONÍVEL</x:v>
      </x:c>
      <x:c r="D122" s="24" t="str">
        <x:v>HOYA</x:v>
      </x:c>
      <x:c r="E122" s="24" t="str">
        <x:v>Progressiva</x:v>
      </x:c>
      <x:c r="F122" s="24" t="str">
        <x:v>Surfaçada</x:v>
      </x:c>
      <x:c r="G122" s="24" t="str">
        <x:v>Hoyalux iD MySelf</x:v>
      </x:c>
      <x:c r="H122" s="24" t="str">
        <x:v>INCOLOR</x:v>
      </x:c>
      <x:c r="I122" s="24" t="str">
        <x:v>EYAS 2.0</x:v>
      </x:c>
      <x:c r="J122" s="24" t="str">
        <x:v>1.60</x:v>
      </x:c>
      <x:c r="K122" s="24" t="str">
        <x:v>Hi-Vision LongLife BlueControl</x:v>
      </x:c>
      <x:c r="L122" s="40" t="n">
        <x:v>11009</x:v>
      </x:c>
      <x:c r="M122" s="24" t="str">
        <x:v>-11.00 até +8.00</x:v>
      </x:c>
      <x:c r="N122" s="24"/>
      <x:c r="O122" s="24"/>
      <x:c r="P122" s="24"/>
      <x:c r="Q122" s="24"/>
      <x:c r="R122" s="24"/>
      <x:c r="S122" s="26" t="n">
        <x:v>45992</x:v>
      </x:c>
      <x:c r="T122" s="26"/>
      <x:c r="U122" s="24" t="str">
        <x:v>ATIVA/SEM FIM INFORMADO</x:v>
      </x:c>
      <x:c r="V122" s="24"/>
      <x:c r="W122" s="24" t="n">
        <x:v>22</x:v>
      </x:c>
      <x:c r="X122" s="24" t="str">
        <x:v>tabela_hoya(1).pdf</x:v>
      </x:c>
      <x:c r="Y122" s="24" t="str">
        <x:v>alta</x:v>
      </x:c>
      <x:c r="Z122" s="24"/>
      <x:c r="AA122" s="24" t="str">
        <x:v>HOYA|Progressiva|Surfaçada|Hoyalux iD MySelf|INCOLOR|EYAS 2.0|1.60|Hi-Vision LongLife BlueControl|-11.00 até +8.00||||||22</x:v>
      </x:c>
    </x:row>
    <x:row r="123">
      <x:c r="A123" s="24" t="str">
        <x:v>HY-64E8085CB3C9</x:v>
      </x:c>
      <x:c r="B123" s="24" t="str">
        <x:v>SIM</x:v>
      </x:c>
      <x:c r="C123" s="24" t="str">
        <x:v>DISPONÍVEL</x:v>
      </x:c>
      <x:c r="D123" s="24" t="str">
        <x:v>HOYA</x:v>
      </x:c>
      <x:c r="E123" s="24" t="str">
        <x:v>Progressiva</x:v>
      </x:c>
      <x:c r="F123" s="24" t="str">
        <x:v>Surfaçada</x:v>
      </x:c>
      <x:c r="G123" s="24" t="str">
        <x:v>Hoyalux iD MySelf</x:v>
      </x:c>
      <x:c r="H123" s="24" t="str">
        <x:v>INCOLOR</x:v>
      </x:c>
      <x:c r="I123" s="24" t="str">
        <x:v>PNX</x:v>
      </x:c>
      <x:c r="J123" s="24" t="str">
        <x:v>1.53</x:v>
      </x:c>
      <x:c r="K123" s="24" t="str">
        <x:v>Hi-Vision LongLife BlueControl</x:v>
      </x:c>
      <x:c r="L123" s="40" t="n">
        <x:v>10549</x:v>
      </x:c>
      <x:c r="M123" s="24" t="str">
        <x:v>-8.00 até +6.00</x:v>
      </x:c>
      <x:c r="N123" s="24"/>
      <x:c r="O123" s="24"/>
      <x:c r="P123" s="24"/>
      <x:c r="Q123" s="24"/>
      <x:c r="R123" s="24"/>
      <x:c r="S123" s="26" t="n">
        <x:v>45992</x:v>
      </x:c>
      <x:c r="T123" s="26"/>
      <x:c r="U123" s="24" t="str">
        <x:v>ATIVA/SEM FIM INFORMADO</x:v>
      </x:c>
      <x:c r="V123" s="24"/>
      <x:c r="W123" s="24" t="n">
        <x:v>22</x:v>
      </x:c>
      <x:c r="X123" s="24" t="str">
        <x:v>tabela_hoya(1).pdf</x:v>
      </x:c>
      <x:c r="Y123" s="24" t="str">
        <x:v>alta</x:v>
      </x:c>
      <x:c r="Z123" s="24"/>
      <x:c r="AA123" s="24" t="str">
        <x:v>HOYA|Progressiva|Surfaçada|Hoyalux iD MySelf|INCOLOR|PNX|1.53|Hi-Vision LongLife BlueControl|-8.00 até +6.00||||||22</x:v>
      </x:c>
    </x:row>
    <x:row r="124">
      <x:c r="A124" s="24" t="str">
        <x:v>HY-82F8729AC302</x:v>
      </x:c>
      <x:c r="B124" s="24" t="str">
        <x:v>SIM</x:v>
      </x:c>
      <x:c r="C124" s="24" t="str">
        <x:v>DISPONÍVEL</x:v>
      </x:c>
      <x:c r="D124" s="24" t="str">
        <x:v>HOYA</x:v>
      </x:c>
      <x:c r="E124" s="24" t="str">
        <x:v>Progressiva</x:v>
      </x:c>
      <x:c r="F124" s="24" t="str">
        <x:v>Surfaçada</x:v>
      </x:c>
      <x:c r="G124" s="24" t="str">
        <x:v>Hoyalux iD MySelf</x:v>
      </x:c>
      <x:c r="H124" s="24" t="str">
        <x:v>INCOLOR</x:v>
      </x:c>
      <x:c r="I124" s="24" t="str">
        <x:v>ORGANIC</x:v>
      </x:c>
      <x:c r="J124" s="24" t="str">
        <x:v>1.50</x:v>
      </x:c>
      <x:c r="K124" s="24" t="str">
        <x:v>Hi-Vision LongLife BlueControl</x:v>
      </x:c>
      <x:c r="L124" s="40" t="n">
        <x:v>10199</x:v>
      </x:c>
      <x:c r="M124" s="24" t="str">
        <x:v>-8.00 até +6.00</x:v>
      </x:c>
      <x:c r="N124" s="24"/>
      <x:c r="O124" s="24"/>
      <x:c r="P124" s="24"/>
      <x:c r="Q124" s="24"/>
      <x:c r="R124" s="24"/>
      <x:c r="S124" s="26" t="n">
        <x:v>45992</x:v>
      </x:c>
      <x:c r="T124" s="26"/>
      <x:c r="U124" s="24" t="str">
        <x:v>ATIVA/SEM FIM INFORMADO</x:v>
      </x:c>
      <x:c r="V124" s="24"/>
      <x:c r="W124" s="24" t="n">
        <x:v>22</x:v>
      </x:c>
      <x:c r="X124" s="24" t="str">
        <x:v>tabela_hoya(1).pdf</x:v>
      </x:c>
      <x:c r="Y124" s="24" t="str">
        <x:v>alta</x:v>
      </x:c>
      <x:c r="Z124" s="24"/>
      <x:c r="AA124" s="24" t="str">
        <x:v>HOYA|Progressiva|Surfaçada|Hoyalux iD MySelf|INCOLOR|ORGANIC|1.50|Hi-Vision LongLife BlueControl|-8.00 até +6.00||||||22</x:v>
      </x:c>
    </x:row>
    <x:row r="125">
      <x:c r="A125" s="24" t="str">
        <x:v>HY-F66135D1D7B3</x:v>
      </x:c>
      <x:c r="B125" s="24" t="str">
        <x:v>SIM</x:v>
      </x:c>
      <x:c r="C125" s="24" t="str">
        <x:v>DISPONÍVEL</x:v>
      </x:c>
      <x:c r="D125" s="24" t="str">
        <x:v>HOYA</x:v>
      </x:c>
      <x:c r="E125" s="24" t="str">
        <x:v>Progressiva</x:v>
      </x:c>
      <x:c r="F125" s="24" t="str">
        <x:v>Surfaçada</x:v>
      </x:c>
      <x:c r="G125" s="24" t="str">
        <x:v>Hoyalux iD MySelf</x:v>
      </x:c>
      <x:c r="H125" s="24" t="str">
        <x:v>SENSITY 2</x:v>
      </x:c>
      <x:c r="I125" s="24" t="str">
        <x:v>EYNOA</x:v>
      </x:c>
      <x:c r="J125" s="24" t="str">
        <x:v>1.67</x:v>
      </x:c>
      <x:c r="K125" s="24" t="str">
        <x:v>Hi-Vision Meiryo</x:v>
      </x:c>
      <x:c r="L125" s="40" t="n">
        <x:v>14409</x:v>
      </x:c>
      <x:c r="M125" s="24" t="str">
        <x:v>-13.00 até +8.00</x:v>
      </x:c>
      <x:c r="N125" s="24"/>
      <x:c r="O125" s="24"/>
      <x:c r="P125" s="24"/>
      <x:c r="Q125" s="24"/>
      <x:c r="R125" s="24"/>
      <x:c r="S125" s="26" t="n">
        <x:v>45992</x:v>
      </x:c>
      <x:c r="T125" s="26"/>
      <x:c r="U125" s="24" t="str">
        <x:v>ATIVA/SEM FIM INFORMADO</x:v>
      </x:c>
      <x:c r="V125" s="24"/>
      <x:c r="W125" s="24" t="n">
        <x:v>22</x:v>
      </x:c>
      <x:c r="X125" s="24" t="str">
        <x:v>tabela_hoya(1).pdf</x:v>
      </x:c>
      <x:c r="Y125" s="24" t="str">
        <x:v>alta</x:v>
      </x:c>
      <x:c r="Z125" s="24"/>
      <x:c r="AA125" s="24" t="str">
        <x:v>HOYA|Progressiva|Surfaçada|Hoyalux iD MySelf|SENSITY 2|EYNOA|1.67|Hi-Vision Meiryo|-13.00 até +8.00||||||22</x:v>
      </x:c>
    </x:row>
    <x:row r="126">
      <x:c r="A126" s="24" t="str">
        <x:v>HY-FDCA0F2289EC</x:v>
      </x:c>
      <x:c r="B126" s="24" t="str">
        <x:v>SIM</x:v>
      </x:c>
      <x:c r="C126" s="24" t="str">
        <x:v>DISPONÍVEL</x:v>
      </x:c>
      <x:c r="D126" s="24" t="str">
        <x:v>HOYA</x:v>
      </x:c>
      <x:c r="E126" s="24" t="str">
        <x:v>Progressiva</x:v>
      </x:c>
      <x:c r="F126" s="24" t="str">
        <x:v>Surfaçada</x:v>
      </x:c>
      <x:c r="G126" s="24" t="str">
        <x:v>Hoyalux iD MySelf</x:v>
      </x:c>
      <x:c r="H126" s="24" t="str">
        <x:v>SENSITY 2</x:v>
      </x:c>
      <x:c r="I126" s="24" t="str">
        <x:v>EYAS 2.0</x:v>
      </x:c>
      <x:c r="J126" s="24" t="str">
        <x:v>1.60</x:v>
      </x:c>
      <x:c r="K126" s="24" t="str">
        <x:v>Hi-Vision Meiryo</x:v>
      </x:c>
      <x:c r="L126" s="40" t="n">
        <x:v>12609</x:v>
      </x:c>
      <x:c r="M126" s="24" t="str">
        <x:v>-11.00 até +8.00</x:v>
      </x:c>
      <x:c r="N126" s="24"/>
      <x:c r="O126" s="24"/>
      <x:c r="P126" s="24"/>
      <x:c r="Q126" s="24"/>
      <x:c r="R126" s="24"/>
      <x:c r="S126" s="26" t="n">
        <x:v>45992</x:v>
      </x:c>
      <x:c r="T126" s="26"/>
      <x:c r="U126" s="24" t="str">
        <x:v>ATIVA/SEM FIM INFORMADO</x:v>
      </x:c>
      <x:c r="V126" s="24"/>
      <x:c r="W126" s="24" t="n">
        <x:v>22</x:v>
      </x:c>
      <x:c r="X126" s="24" t="str">
        <x:v>tabela_hoya(1).pdf</x:v>
      </x:c>
      <x:c r="Y126" s="24" t="str">
        <x:v>alta</x:v>
      </x:c>
      <x:c r="Z126" s="24"/>
      <x:c r="AA126" s="24" t="str">
        <x:v>HOYA|Progressiva|Surfaçada|Hoyalux iD MySelf|SENSITY 2|EYAS 2.0|1.60|Hi-Vision Meiryo|-11.00 até +8.00||||||22</x:v>
      </x:c>
    </x:row>
    <x:row r="127">
      <x:c r="A127" s="24" t="str">
        <x:v>HY-8622B660DCAB</x:v>
      </x:c>
      <x:c r="B127" s="24" t="str">
        <x:v>SIM</x:v>
      </x:c>
      <x:c r="C127" s="24" t="str">
        <x:v>DISPONÍVEL</x:v>
      </x:c>
      <x:c r="D127" s="24" t="str">
        <x:v>HOYA</x:v>
      </x:c>
      <x:c r="E127" s="24" t="str">
        <x:v>Progressiva</x:v>
      </x:c>
      <x:c r="F127" s="24" t="str">
        <x:v>Surfaçada</x:v>
      </x:c>
      <x:c r="G127" s="24" t="str">
        <x:v>Hoyalux iD MySelf</x:v>
      </x:c>
      <x:c r="H127" s="24" t="str">
        <x:v>SENSITY 2</x:v>
      </x:c>
      <x:c r="I127" s="24" t="str">
        <x:v>PNX</x:v>
      </x:c>
      <x:c r="J127" s="24" t="str">
        <x:v>1.53</x:v>
      </x:c>
      <x:c r="K127" s="24" t="str">
        <x:v>Hi-Vision Meiryo</x:v>
      </x:c>
      <x:c r="L127" s="40" t="n">
        <x:v>12149</x:v>
      </x:c>
      <x:c r="M127" s="24" t="str">
        <x:v>-8.00 até +6.00</x:v>
      </x:c>
      <x:c r="N127" s="24"/>
      <x:c r="O127" s="24"/>
      <x:c r="P127" s="24"/>
      <x:c r="Q127" s="24"/>
      <x:c r="R127" s="24"/>
      <x:c r="S127" s="26" t="n">
        <x:v>45992</x:v>
      </x:c>
      <x:c r="T127" s="26"/>
      <x:c r="U127" s="24" t="str">
        <x:v>ATIVA/SEM FIM INFORMADO</x:v>
      </x:c>
      <x:c r="V127" s="24"/>
      <x:c r="W127" s="24" t="n">
        <x:v>22</x:v>
      </x:c>
      <x:c r="X127" s="24" t="str">
        <x:v>tabela_hoya(1).pdf</x:v>
      </x:c>
      <x:c r="Y127" s="24" t="str">
        <x:v>alta</x:v>
      </x:c>
      <x:c r="Z127" s="24"/>
      <x:c r="AA127" s="24" t="str">
        <x:v>HOYA|Progressiva|Surfaçada|Hoyalux iD MySelf|SENSITY 2|PNX|1.53|Hi-Vision Meiryo|-8.00 até +6.00||||||22</x:v>
      </x:c>
    </x:row>
    <x:row r="128">
      <x:c r="A128" s="24" t="str">
        <x:v>HY-E6FAB0F5CF7A</x:v>
      </x:c>
      <x:c r="B128" s="24" t="str">
        <x:v>SIM</x:v>
      </x:c>
      <x:c r="C128" s="24" t="str">
        <x:v>DISPONÍVEL</x:v>
      </x:c>
      <x:c r="D128" s="24" t="str">
        <x:v>HOYA</x:v>
      </x:c>
      <x:c r="E128" s="24" t="str">
        <x:v>Progressiva</x:v>
      </x:c>
      <x:c r="F128" s="24" t="str">
        <x:v>Surfaçada</x:v>
      </x:c>
      <x:c r="G128" s="24" t="str">
        <x:v>Hoyalux iD MySelf</x:v>
      </x:c>
      <x:c r="H128" s="24" t="str">
        <x:v>SENSITY 2</x:v>
      </x:c>
      <x:c r="I128" s="24" t="str">
        <x:v>ORGANIC</x:v>
      </x:c>
      <x:c r="J128" s="24" t="str">
        <x:v>1.50</x:v>
      </x:c>
      <x:c r="K128" s="24" t="str">
        <x:v>Hi-Vision Meiryo</x:v>
      </x:c>
      <x:c r="L128" s="40" t="n">
        <x:v>11799</x:v>
      </x:c>
      <x:c r="M128" s="24" t="str">
        <x:v>-8.00 até +6.00</x:v>
      </x:c>
      <x:c r="N128" s="24"/>
      <x:c r="O128" s="24"/>
      <x:c r="P128" s="24"/>
      <x:c r="Q128" s="24"/>
      <x:c r="R128" s="24"/>
      <x:c r="S128" s="26" t="n">
        <x:v>45992</x:v>
      </x:c>
      <x:c r="T128" s="26"/>
      <x:c r="U128" s="24" t="str">
        <x:v>ATIVA/SEM FIM INFORMADO</x:v>
      </x:c>
      <x:c r="V128" s="24"/>
      <x:c r="W128" s="24" t="n">
        <x:v>22</x:v>
      </x:c>
      <x:c r="X128" s="24" t="str">
        <x:v>tabela_hoya(1).pdf</x:v>
      </x:c>
      <x:c r="Y128" s="24" t="str">
        <x:v>alta</x:v>
      </x:c>
      <x:c r="Z128" s="24"/>
      <x:c r="AA128" s="24" t="str">
        <x:v>HOYA|Progressiva|Surfaçada|Hoyalux iD MySelf|SENSITY 2|ORGANIC|1.50|Hi-Vision Meiryo|-8.00 até +6.00||||||22</x:v>
      </x:c>
    </x:row>
    <x:row r="129">
      <x:c r="A129" s="24" t="str">
        <x:v>HY-9EB6D4C2E384</x:v>
      </x:c>
      <x:c r="B129" s="24" t="str">
        <x:v>SIM</x:v>
      </x:c>
      <x:c r="C129" s="24" t="str">
        <x:v>DISPONÍVEL</x:v>
      </x:c>
      <x:c r="D129" s="24" t="str">
        <x:v>HOYA</x:v>
      </x:c>
      <x:c r="E129" s="24" t="str">
        <x:v>Progressiva</x:v>
      </x:c>
      <x:c r="F129" s="24" t="str">
        <x:v>Surfaçada</x:v>
      </x:c>
      <x:c r="G129" s="24" t="str">
        <x:v>Hoyalux iD MySelf</x:v>
      </x:c>
      <x:c r="H129" s="24" t="str">
        <x:v>SENSITY 2</x:v>
      </x:c>
      <x:c r="I129" s="24" t="str">
        <x:v>EYNOA</x:v>
      </x:c>
      <x:c r="J129" s="24" t="str">
        <x:v>1.67</x:v>
      </x:c>
      <x:c r="K129" s="24" t="str">
        <x:v>Hi-Vision LongLife BlueControl</x:v>
      </x:c>
      <x:c r="L129" s="40" t="n">
        <x:v>14209</x:v>
      </x:c>
      <x:c r="M129" s="24" t="str">
        <x:v>-13.00 até +8.00</x:v>
      </x:c>
      <x:c r="N129" s="24"/>
      <x:c r="O129" s="24"/>
      <x:c r="P129" s="24"/>
      <x:c r="Q129" s="24"/>
      <x:c r="R129" s="24"/>
      <x:c r="S129" s="26" t="n">
        <x:v>45992</x:v>
      </x:c>
      <x:c r="T129" s="26"/>
      <x:c r="U129" s="24" t="str">
        <x:v>ATIVA/SEM FIM INFORMADO</x:v>
      </x:c>
      <x:c r="V129" s="24"/>
      <x:c r="W129" s="24" t="n">
        <x:v>22</x:v>
      </x:c>
      <x:c r="X129" s="24" t="str">
        <x:v>tabela_hoya(1).pdf</x:v>
      </x:c>
      <x:c r="Y129" s="24" t="str">
        <x:v>alta</x:v>
      </x:c>
      <x:c r="Z129" s="24"/>
      <x:c r="AA129" s="24" t="str">
        <x:v>HOYA|Progressiva|Surfaçada|Hoyalux iD MySelf|SENSITY 2|EYNOA|1.67|Hi-Vision LongLife BlueControl|-13.00 até +8.00||||||22</x:v>
      </x:c>
    </x:row>
    <x:row r="130">
      <x:c r="A130" s="24" t="str">
        <x:v>HY-533C0598A2D2</x:v>
      </x:c>
      <x:c r="B130" s="24" t="str">
        <x:v>SIM</x:v>
      </x:c>
      <x:c r="C130" s="24" t="str">
        <x:v>DISPONÍVEL</x:v>
      </x:c>
      <x:c r="D130" s="24" t="str">
        <x:v>HOYA</x:v>
      </x:c>
      <x:c r="E130" s="24" t="str">
        <x:v>Progressiva</x:v>
      </x:c>
      <x:c r="F130" s="24" t="str">
        <x:v>Surfaçada</x:v>
      </x:c>
      <x:c r="G130" s="24" t="str">
        <x:v>Hoyalux iD MySelf</x:v>
      </x:c>
      <x:c r="H130" s="24" t="str">
        <x:v>SENSITY 2</x:v>
      </x:c>
      <x:c r="I130" s="24" t="str">
        <x:v>EYAS 2.0</x:v>
      </x:c>
      <x:c r="J130" s="24" t="str">
        <x:v>1.60</x:v>
      </x:c>
      <x:c r="K130" s="24" t="str">
        <x:v>Hi-Vision LongLife BlueControl</x:v>
      </x:c>
      <x:c r="L130" s="40" t="n">
        <x:v>12409</x:v>
      </x:c>
      <x:c r="M130" s="24" t="str">
        <x:v>-11.00 até +8.00</x:v>
      </x:c>
      <x:c r="N130" s="24"/>
      <x:c r="O130" s="24"/>
      <x:c r="P130" s="24"/>
      <x:c r="Q130" s="24"/>
      <x:c r="R130" s="24"/>
      <x:c r="S130" s="26" t="n">
        <x:v>45992</x:v>
      </x:c>
      <x:c r="T130" s="26"/>
      <x:c r="U130" s="24" t="str">
        <x:v>ATIVA/SEM FIM INFORMADO</x:v>
      </x:c>
      <x:c r="V130" s="24"/>
      <x:c r="W130" s="24" t="n">
        <x:v>22</x:v>
      </x:c>
      <x:c r="X130" s="24" t="str">
        <x:v>tabela_hoya(1).pdf</x:v>
      </x:c>
      <x:c r="Y130" s="24" t="str">
        <x:v>alta</x:v>
      </x:c>
      <x:c r="Z130" s="24"/>
      <x:c r="AA130" s="24" t="str">
        <x:v>HOYA|Progressiva|Surfaçada|Hoyalux iD MySelf|SENSITY 2|EYAS 2.0|1.60|Hi-Vision LongLife BlueControl|-11.00 até +8.00||||||22</x:v>
      </x:c>
    </x:row>
    <x:row r="131">
      <x:c r="A131" s="24" t="str">
        <x:v>HY-9322DC80C2FC</x:v>
      </x:c>
      <x:c r="B131" s="24" t="str">
        <x:v>SIM</x:v>
      </x:c>
      <x:c r="C131" s="24" t="str">
        <x:v>DISPONÍVEL</x:v>
      </x:c>
      <x:c r="D131" s="24" t="str">
        <x:v>HOYA</x:v>
      </x:c>
      <x:c r="E131" s="24" t="str">
        <x:v>Progressiva</x:v>
      </x:c>
      <x:c r="F131" s="24" t="str">
        <x:v>Surfaçada</x:v>
      </x:c>
      <x:c r="G131" s="24" t="str">
        <x:v>Hoyalux iD MySelf</x:v>
      </x:c>
      <x:c r="H131" s="24" t="str">
        <x:v>SENSITY 2</x:v>
      </x:c>
      <x:c r="I131" s="24" t="str">
        <x:v>PNX</x:v>
      </x:c>
      <x:c r="J131" s="24" t="str">
        <x:v>1.53</x:v>
      </x:c>
      <x:c r="K131" s="24" t="str">
        <x:v>Hi-Vision LongLife BlueControl</x:v>
      </x:c>
      <x:c r="L131" s="40" t="n">
        <x:v>11949</x:v>
      </x:c>
      <x:c r="M131" s="24" t="str">
        <x:v>-8.00 até +6.00</x:v>
      </x:c>
      <x:c r="N131" s="24"/>
      <x:c r="O131" s="24"/>
      <x:c r="P131" s="24"/>
      <x:c r="Q131" s="24"/>
      <x:c r="R131" s="24"/>
      <x:c r="S131" s="26" t="n">
        <x:v>45992</x:v>
      </x:c>
      <x:c r="T131" s="26"/>
      <x:c r="U131" s="24" t="str">
        <x:v>ATIVA/SEM FIM INFORMADO</x:v>
      </x:c>
      <x:c r="V131" s="24"/>
      <x:c r="W131" s="24" t="n">
        <x:v>22</x:v>
      </x:c>
      <x:c r="X131" s="24" t="str">
        <x:v>tabela_hoya(1).pdf</x:v>
      </x:c>
      <x:c r="Y131" s="24" t="str">
        <x:v>alta</x:v>
      </x:c>
      <x:c r="Z131" s="24"/>
      <x:c r="AA131" s="24" t="str">
        <x:v>HOYA|Progressiva|Surfaçada|Hoyalux iD MySelf|SENSITY 2|PNX|1.53|Hi-Vision LongLife BlueControl|-8.00 até +6.00||||||22</x:v>
      </x:c>
    </x:row>
    <x:row r="132">
      <x:c r="A132" s="24" t="str">
        <x:v>HY-FBFD7ACD16CB</x:v>
      </x:c>
      <x:c r="B132" s="24" t="str">
        <x:v>SIM</x:v>
      </x:c>
      <x:c r="C132" s="24" t="str">
        <x:v>DISPONÍVEL</x:v>
      </x:c>
      <x:c r="D132" s="24" t="str">
        <x:v>HOYA</x:v>
      </x:c>
      <x:c r="E132" s="24" t="str">
        <x:v>Progressiva</x:v>
      </x:c>
      <x:c r="F132" s="24" t="str">
        <x:v>Surfaçada</x:v>
      </x:c>
      <x:c r="G132" s="24" t="str">
        <x:v>Hoyalux iD MySelf</x:v>
      </x:c>
      <x:c r="H132" s="24" t="str">
        <x:v>SENSITY 2</x:v>
      </x:c>
      <x:c r="I132" s="24" t="str">
        <x:v>ORGANIC</x:v>
      </x:c>
      <x:c r="J132" s="24" t="str">
        <x:v>1.50</x:v>
      </x:c>
      <x:c r="K132" s="24" t="str">
        <x:v>Hi-Vision LongLife BlueControl</x:v>
      </x:c>
      <x:c r="L132" s="40" t="n">
        <x:v>11599</x:v>
      </x:c>
      <x:c r="M132" s="24" t="str">
        <x:v>-8.00 até +6.00</x:v>
      </x:c>
      <x:c r="N132" s="24"/>
      <x:c r="O132" s="24"/>
      <x:c r="P132" s="24"/>
      <x:c r="Q132" s="24"/>
      <x:c r="R132" s="24"/>
      <x:c r="S132" s="26" t="n">
        <x:v>45992</x:v>
      </x:c>
      <x:c r="T132" s="26"/>
      <x:c r="U132" s="24" t="str">
        <x:v>ATIVA/SEM FIM INFORMADO</x:v>
      </x:c>
      <x:c r="V132" s="24"/>
      <x:c r="W132" s="24" t="n">
        <x:v>22</x:v>
      </x:c>
      <x:c r="X132" s="24" t="str">
        <x:v>tabela_hoya(1).pdf</x:v>
      </x:c>
      <x:c r="Y132" s="24" t="str">
        <x:v>alta</x:v>
      </x:c>
      <x:c r="Z132" s="24"/>
      <x:c r="AA132" s="24" t="str">
        <x:v>HOYA|Progressiva|Surfaçada|Hoyalux iD MySelf|SENSITY 2|ORGANIC|1.50|Hi-Vision LongLife BlueControl|-8.00 até +6.00||||||22</x:v>
      </x:c>
    </x:row>
    <x:row r="133">
      <x:c r="A133" s="24" t="str">
        <x:v>HY-06C1F15E0FD9</x:v>
      </x:c>
      <x:c r="B133" s="24" t="str">
        <x:v>SIM</x:v>
      </x:c>
      <x:c r="C133" s="24" t="str">
        <x:v>DISPONÍVEL</x:v>
      </x:c>
      <x:c r="D133" s="24" t="str">
        <x:v>HOYA</x:v>
      </x:c>
      <x:c r="E133" s="24" t="str">
        <x:v>Progressiva</x:v>
      </x:c>
      <x:c r="F133" s="24" t="str">
        <x:v>Surfaçada</x:v>
      </x:c>
      <x:c r="G133" s="24" t="str">
        <x:v>Hoyalux iD MySelf</x:v>
      </x:c>
      <x:c r="H133" s="24" t="str">
        <x:v>COLORIDAS</x:v>
      </x:c>
      <x:c r="I133" s="24" t="str">
        <x:v>EYVIA</x:v>
      </x:c>
      <x:c r="J133" s="24" t="str">
        <x:v>1.74</x:v>
      </x:c>
      <x:c r="K133" s="24" t="str">
        <x:v>Hi-Vision Sun Pro</x:v>
      </x:c>
      <x:c r="L133" s="40" t="n">
        <x:v>14599</x:v>
      </x:c>
      <x:c r="M133" s="24" t="str">
        <x:v>-15.00 até +10.00</x:v>
      </x:c>
      <x:c r="N133" s="24"/>
      <x:c r="O133" s="24"/>
      <x:c r="P133" s="24"/>
      <x:c r="Q133" s="24"/>
      <x:c r="R133" s="24"/>
      <x:c r="S133" s="26" t="n">
        <x:v>45992</x:v>
      </x:c>
      <x:c r="T133" s="26"/>
      <x:c r="U133" s="24" t="str">
        <x:v>ATIVA/SEM FIM INFORMADO</x:v>
      </x:c>
      <x:c r="V133" s="24"/>
      <x:c r="W133" s="24" t="n">
        <x:v>22</x:v>
      </x:c>
      <x:c r="X133" s="24" t="str">
        <x:v>tabela_hoya(1).pdf</x:v>
      </x:c>
      <x:c r="Y133" s="24" t="str">
        <x:v>alta</x:v>
      </x:c>
      <x:c r="Z133" s="24"/>
      <x:c r="AA133" s="24" t="str">
        <x:v>HOYA|Progressiva|Surfaçada|Hoyalux iD MySelf|COLORIDAS|EYVIA|1.74|Hi-Vision Sun Pro|-15.00 até +10.00||||||22</x:v>
      </x:c>
    </x:row>
    <x:row r="134">
      <x:c r="A134" s="24" t="str">
        <x:v>HY-375B1848B6D3</x:v>
      </x:c>
      <x:c r="B134" s="24" t="str">
        <x:v>SIM</x:v>
      </x:c>
      <x:c r="C134" s="24" t="str">
        <x:v>DISPONÍVEL</x:v>
      </x:c>
      <x:c r="D134" s="24" t="str">
        <x:v>HOYA</x:v>
      </x:c>
      <x:c r="E134" s="24" t="str">
        <x:v>Progressiva</x:v>
      </x:c>
      <x:c r="F134" s="24" t="str">
        <x:v>Surfaçada</x:v>
      </x:c>
      <x:c r="G134" s="24" t="str">
        <x:v>Hoyalux iD MySelf</x:v>
      </x:c>
      <x:c r="H134" s="24" t="str">
        <x:v>COLORIDAS</x:v>
      </x:c>
      <x:c r="I134" s="24" t="str">
        <x:v>EYNOA</x:v>
      </x:c>
      <x:c r="J134" s="24" t="str">
        <x:v>1.67</x:v>
      </x:c>
      <x:c r="K134" s="24" t="str">
        <x:v>Hi-Vision Sun Pro</x:v>
      </x:c>
      <x:c r="L134" s="40" t="n">
        <x:v>13099</x:v>
      </x:c>
      <x:c r="M134" s="24" t="str">
        <x:v>-13.00 até +8.00</x:v>
      </x:c>
      <x:c r="N134" s="24"/>
      <x:c r="O134" s="24"/>
      <x:c r="P134" s="24"/>
      <x:c r="Q134" s="24"/>
      <x:c r="R134" s="24"/>
      <x:c r="S134" s="26" t="n">
        <x:v>45992</x:v>
      </x:c>
      <x:c r="T134" s="26"/>
      <x:c r="U134" s="24" t="str">
        <x:v>ATIVA/SEM FIM INFORMADO</x:v>
      </x:c>
      <x:c r="V134" s="24"/>
      <x:c r="W134" s="24" t="n">
        <x:v>22</x:v>
      </x:c>
      <x:c r="X134" s="24" t="str">
        <x:v>tabela_hoya(1).pdf</x:v>
      </x:c>
      <x:c r="Y134" s="24" t="str">
        <x:v>alta</x:v>
      </x:c>
      <x:c r="Z134" s="24"/>
      <x:c r="AA134" s="24" t="str">
        <x:v>HOYA|Progressiva|Surfaçada|Hoyalux iD MySelf|COLORIDAS|EYNOA|1.67|Hi-Vision Sun Pro|-13.00 até +8.00||||||22</x:v>
      </x:c>
    </x:row>
    <x:row r="135">
      <x:c r="A135" s="24" t="str">
        <x:v>HY-561504A136BB</x:v>
      </x:c>
      <x:c r="B135" s="24" t="str">
        <x:v>SIM</x:v>
      </x:c>
      <x:c r="C135" s="24" t="str">
        <x:v>DISPONÍVEL</x:v>
      </x:c>
      <x:c r="D135" s="24" t="str">
        <x:v>HOYA</x:v>
      </x:c>
      <x:c r="E135" s="24" t="str">
        <x:v>Progressiva</x:v>
      </x:c>
      <x:c r="F135" s="24" t="str">
        <x:v>Surfaçada</x:v>
      </x:c>
      <x:c r="G135" s="24" t="str">
        <x:v>Hoyalux iD MySelf</x:v>
      </x:c>
      <x:c r="H135" s="24" t="str">
        <x:v>COLORIDAS</x:v>
      </x:c>
      <x:c r="I135" s="24" t="str">
        <x:v>EYAS 2.0</x:v>
      </x:c>
      <x:c r="J135" s="24" t="str">
        <x:v>1.60</x:v>
      </x:c>
      <x:c r="K135" s="24" t="str">
        <x:v>Hi-Vision Sun Pro</x:v>
      </x:c>
      <x:c r="L135" s="40" t="n">
        <x:v>11299</x:v>
      </x:c>
      <x:c r="M135" s="24" t="str">
        <x:v>-11.00 até +8.00</x:v>
      </x:c>
      <x:c r="N135" s="24"/>
      <x:c r="O135" s="24"/>
      <x:c r="P135" s="24"/>
      <x:c r="Q135" s="24"/>
      <x:c r="R135" s="24"/>
      <x:c r="S135" s="26" t="n">
        <x:v>45992</x:v>
      </x:c>
      <x:c r="T135" s="26"/>
      <x:c r="U135" s="24" t="str">
        <x:v>ATIVA/SEM FIM INFORMADO</x:v>
      </x:c>
      <x:c r="V135" s="24"/>
      <x:c r="W135" s="24" t="n">
        <x:v>22</x:v>
      </x:c>
      <x:c r="X135" s="24" t="str">
        <x:v>tabela_hoya(1).pdf</x:v>
      </x:c>
      <x:c r="Y135" s="24" t="str">
        <x:v>alta</x:v>
      </x:c>
      <x:c r="Z135" s="24"/>
      <x:c r="AA135" s="24" t="str">
        <x:v>HOYA|Progressiva|Surfaçada|Hoyalux iD MySelf|COLORIDAS|EYAS 2.0|1.60|Hi-Vision Sun Pro|-11.00 até +8.00||||||22</x:v>
      </x:c>
    </x:row>
    <x:row r="136">
      <x:c r="A136" s="24" t="str">
        <x:v>HY-3ADC487789CA</x:v>
      </x:c>
      <x:c r="B136" s="24" t="str">
        <x:v>SIM</x:v>
      </x:c>
      <x:c r="C136" s="24" t="str">
        <x:v>DISPONÍVEL</x:v>
      </x:c>
      <x:c r="D136" s="24" t="str">
        <x:v>HOYA</x:v>
      </x:c>
      <x:c r="E136" s="24" t="str">
        <x:v>Progressiva</x:v>
      </x:c>
      <x:c r="F136" s="24" t="str">
        <x:v>Surfaçada</x:v>
      </x:c>
      <x:c r="G136" s="24" t="str">
        <x:v>Hoyalux iD MySelf</x:v>
      </x:c>
      <x:c r="H136" s="24" t="str">
        <x:v>COLORIDAS</x:v>
      </x:c>
      <x:c r="I136" s="24" t="str">
        <x:v>PNX</x:v>
      </x:c>
      <x:c r="J136" s="24" t="str">
        <x:v>1.53</x:v>
      </x:c>
      <x:c r="K136" s="24" t="str">
        <x:v>Hi-Vision Sun Pro</x:v>
      </x:c>
      <x:c r="L136" s="40" t="n">
        <x:v>10839</x:v>
      </x:c>
      <x:c r="M136" s="24" t="str">
        <x:v>-8.00 até +6.00</x:v>
      </x:c>
      <x:c r="N136" s="24"/>
      <x:c r="O136" s="24"/>
      <x:c r="P136" s="24"/>
      <x:c r="Q136" s="24"/>
      <x:c r="R136" s="24"/>
      <x:c r="S136" s="26" t="n">
        <x:v>45992</x:v>
      </x:c>
      <x:c r="T136" s="26"/>
      <x:c r="U136" s="24" t="str">
        <x:v>ATIVA/SEM FIM INFORMADO</x:v>
      </x:c>
      <x:c r="V136" s="24"/>
      <x:c r="W136" s="24" t="n">
        <x:v>22</x:v>
      </x:c>
      <x:c r="X136" s="24" t="str">
        <x:v>tabela_hoya(1).pdf</x:v>
      </x:c>
      <x:c r="Y136" s="24" t="str">
        <x:v>alta</x:v>
      </x:c>
      <x:c r="Z136" s="24"/>
      <x:c r="AA136" s="24" t="str">
        <x:v>HOYA|Progressiva|Surfaçada|Hoyalux iD MySelf|COLORIDAS|PNX|1.53|Hi-Vision Sun Pro|-8.00 até +6.00||||||22</x:v>
      </x:c>
    </x:row>
    <x:row r="137">
      <x:c r="A137" s="24" t="str">
        <x:v>HY-A9DA77E14E0C</x:v>
      </x:c>
      <x:c r="B137" s="24" t="str">
        <x:v>SIM</x:v>
      </x:c>
      <x:c r="C137" s="24" t="str">
        <x:v>DISPONÍVEL</x:v>
      </x:c>
      <x:c r="D137" s="24" t="str">
        <x:v>HOYA</x:v>
      </x:c>
      <x:c r="E137" s="24" t="str">
        <x:v>Progressiva</x:v>
      </x:c>
      <x:c r="F137" s="24" t="str">
        <x:v>Surfaçada</x:v>
      </x:c>
      <x:c r="G137" s="24" t="str">
        <x:v>Hoyalux iD MySelf</x:v>
      </x:c>
      <x:c r="H137" s="24" t="str">
        <x:v>COLORIDAS</x:v>
      </x:c>
      <x:c r="I137" s="24" t="str">
        <x:v>ORGANIC</x:v>
      </x:c>
      <x:c r="J137" s="24" t="str">
        <x:v>1.50</x:v>
      </x:c>
      <x:c r="K137" s="24" t="str">
        <x:v>Hi-Vision Sun Pro</x:v>
      </x:c>
      <x:c r="L137" s="40" t="n">
        <x:v>10489</x:v>
      </x:c>
      <x:c r="M137" s="24" t="str">
        <x:v>-8.00 até +6.00</x:v>
      </x:c>
      <x:c r="N137" s="24"/>
      <x:c r="O137" s="24"/>
      <x:c r="P137" s="24"/>
      <x:c r="Q137" s="24"/>
      <x:c r="R137" s="24"/>
      <x:c r="S137" s="26" t="n">
        <x:v>45992</x:v>
      </x:c>
      <x:c r="T137" s="26"/>
      <x:c r="U137" s="24" t="str">
        <x:v>ATIVA/SEM FIM INFORMADO</x:v>
      </x:c>
      <x:c r="V137" s="24"/>
      <x:c r="W137" s="24" t="n">
        <x:v>22</x:v>
      </x:c>
      <x:c r="X137" s="24" t="str">
        <x:v>tabela_hoya(1).pdf</x:v>
      </x:c>
      <x:c r="Y137" s="24" t="str">
        <x:v>alta</x:v>
      </x:c>
      <x:c r="Z137" s="24"/>
      <x:c r="AA137" s="24" t="str">
        <x:v>HOYA|Progressiva|Surfaçada|Hoyalux iD MySelf|COLORIDAS|ORGANIC|1.50|Hi-Vision Sun Pro|-8.00 até +6.00||||||22</x:v>
      </x:c>
    </x:row>
    <x:row r="138">
      <x:c r="A138" s="24" t="str">
        <x:v>HY-A1146E354454</x:v>
      </x:c>
      <x:c r="B138" s="24" t="str">
        <x:v>SIM</x:v>
      </x:c>
      <x:c r="C138" s="24" t="str">
        <x:v>DISPONÍVEL</x:v>
      </x:c>
      <x:c r="D138" s="24" t="str">
        <x:v>HOYA</x:v>
      </x:c>
      <x:c r="E138" s="24" t="str">
        <x:v>Progressiva</x:v>
      </x:c>
      <x:c r="F138" s="24" t="str">
        <x:v>Surfaçada</x:v>
      </x:c>
      <x:c r="G138" s="24" t="str">
        <x:v>Hoyalux iD MyStyle V+</x:v>
      </x:c>
      <x:c r="H138" s="24" t="str">
        <x:v>INCOLOR</x:v>
      </x:c>
      <x:c r="I138" s="24" t="str">
        <x:v>EYVIA</x:v>
      </x:c>
      <x:c r="J138" s="24" t="str">
        <x:v>1.74</x:v>
      </x:c>
      <x:c r="K138" s="24" t="str">
        <x:v>Hi-Vision Meiryo</x:v>
      </x:c>
      <x:c r="L138" s="40" t="n">
        <x:v>14099</x:v>
      </x:c>
      <x:c r="M138" s="24" t="str">
        <x:v>-15.00 até +10.00</x:v>
      </x:c>
      <x:c r="N138" s="24"/>
      <x:c r="O138" s="24"/>
      <x:c r="P138" s="24"/>
      <x:c r="Q138" s="24"/>
      <x:c r="R138" s="24"/>
      <x:c r="S138" s="26" t="n">
        <x:v>45992</x:v>
      </x:c>
      <x:c r="T138" s="26"/>
      <x:c r="U138" s="24" t="str">
        <x:v>ATIVA/SEM FIM INFORMADO</x:v>
      </x:c>
      <x:c r="V138" s="24"/>
      <x:c r="W138" s="24" t="n">
        <x:v>23</x:v>
      </x:c>
      <x:c r="X138" s="24" t="str">
        <x:v>tabela_hoya(1).pdf</x:v>
      </x:c>
      <x:c r="Y138" s="24" t="str">
        <x:v>alta</x:v>
      </x:c>
      <x:c r="Z138" s="24"/>
      <x:c r="AA138" s="24" t="str">
        <x:v>HOYA|Progressiva|Surfaçada|Hoyalux iD MyStyle V+|INCOLOR|EYVIA|1.74|Hi-Vision Meiryo|-15.00 até +10.00||||||23</x:v>
      </x:c>
    </x:row>
    <x:row r="139">
      <x:c r="A139" s="24" t="str">
        <x:v>HY-8BD8CCAC7D67</x:v>
      </x:c>
      <x:c r="B139" s="24" t="str">
        <x:v>SIM</x:v>
      </x:c>
      <x:c r="C139" s="24" t="str">
        <x:v>DISPONÍVEL</x:v>
      </x:c>
      <x:c r="D139" s="24" t="str">
        <x:v>HOYA</x:v>
      </x:c>
      <x:c r="E139" s="24" t="str">
        <x:v>Progressiva</x:v>
      </x:c>
      <x:c r="F139" s="24" t="str">
        <x:v>Surfaçada</x:v>
      </x:c>
      <x:c r="G139" s="24" t="str">
        <x:v>Hoyalux iD MyStyle V+</x:v>
      </x:c>
      <x:c r="H139" s="24" t="str">
        <x:v>INCOLOR</x:v>
      </x:c>
      <x:c r="I139" s="24" t="str">
        <x:v>EYNOA</x:v>
      </x:c>
      <x:c r="J139" s="24" t="str">
        <x:v>1.67</x:v>
      </x:c>
      <x:c r="K139" s="24" t="str">
        <x:v>Hi-Vision Meiryo</x:v>
      </x:c>
      <x:c r="L139" s="40" t="n">
        <x:v>12599</x:v>
      </x:c>
      <x:c r="M139" s="24" t="str">
        <x:v>-13.00 até +8.00</x:v>
      </x:c>
      <x:c r="N139" s="24"/>
      <x:c r="O139" s="24"/>
      <x:c r="P139" s="24"/>
      <x:c r="Q139" s="24"/>
      <x:c r="R139" s="24"/>
      <x:c r="S139" s="26" t="n">
        <x:v>45992</x:v>
      </x:c>
      <x:c r="T139" s="26"/>
      <x:c r="U139" s="24" t="str">
        <x:v>ATIVA/SEM FIM INFORMADO</x:v>
      </x:c>
      <x:c r="V139" s="24"/>
      <x:c r="W139" s="24" t="n">
        <x:v>23</x:v>
      </x:c>
      <x:c r="X139" s="24" t="str">
        <x:v>tabela_hoya(1).pdf</x:v>
      </x:c>
      <x:c r="Y139" s="24" t="str">
        <x:v>alta</x:v>
      </x:c>
      <x:c r="Z139" s="24"/>
      <x:c r="AA139" s="24" t="str">
        <x:v>HOYA|Progressiva|Surfaçada|Hoyalux iD MyStyle V+|INCOLOR|EYNOA|1.67|Hi-Vision Meiryo|-13.00 até +8.00||||||23</x:v>
      </x:c>
    </x:row>
    <x:row r="140">
      <x:c r="A140" s="24" t="str">
        <x:v>HY-90266500DFC9</x:v>
      </x:c>
      <x:c r="B140" s="24" t="str">
        <x:v>SIM</x:v>
      </x:c>
      <x:c r="C140" s="24" t="str">
        <x:v>DISPONÍVEL</x:v>
      </x:c>
      <x:c r="D140" s="24" t="str">
        <x:v>HOYA</x:v>
      </x:c>
      <x:c r="E140" s="24" t="str">
        <x:v>Progressiva</x:v>
      </x:c>
      <x:c r="F140" s="24" t="str">
        <x:v>Surfaçada</x:v>
      </x:c>
      <x:c r="G140" s="24" t="str">
        <x:v>Hoyalux iD MyStyle V+</x:v>
      </x:c>
      <x:c r="H140" s="24" t="str">
        <x:v>INCOLOR</x:v>
      </x:c>
      <x:c r="I140" s="24" t="str">
        <x:v>EYAS 2.0</x:v>
      </x:c>
      <x:c r="J140" s="24" t="str">
        <x:v>1.60</x:v>
      </x:c>
      <x:c r="K140" s="24" t="str">
        <x:v>Hi-Vision Meiryo</x:v>
      </x:c>
      <x:c r="L140" s="40" t="n">
        <x:v>10799</x:v>
      </x:c>
      <x:c r="M140" s="24" t="str">
        <x:v>-11.00 até +8.00</x:v>
      </x:c>
      <x:c r="N140" s="24"/>
      <x:c r="O140" s="24"/>
      <x:c r="P140" s="24"/>
      <x:c r="Q140" s="24"/>
      <x:c r="R140" s="24"/>
      <x:c r="S140" s="26" t="n">
        <x:v>45992</x:v>
      </x:c>
      <x:c r="T140" s="26"/>
      <x:c r="U140" s="24" t="str">
        <x:v>ATIVA/SEM FIM INFORMADO</x:v>
      </x:c>
      <x:c r="V140" s="24"/>
      <x:c r="W140" s="24" t="n">
        <x:v>23</x:v>
      </x:c>
      <x:c r="X140" s="24" t="str">
        <x:v>tabela_hoya(1).pdf</x:v>
      </x:c>
      <x:c r="Y140" s="24" t="str">
        <x:v>alta</x:v>
      </x:c>
      <x:c r="Z140" s="24"/>
      <x:c r="AA140" s="24" t="str">
        <x:v>HOYA|Progressiva|Surfaçada|Hoyalux iD MyStyle V+|INCOLOR|EYAS 2.0|1.60|Hi-Vision Meiryo|-11.00 até +8.00||||||23</x:v>
      </x:c>
    </x:row>
    <x:row r="141">
      <x:c r="A141" s="24" t="str">
        <x:v>HY-179137F448AE</x:v>
      </x:c>
      <x:c r="B141" s="24" t="str">
        <x:v>SIM</x:v>
      </x:c>
      <x:c r="C141" s="24" t="str">
        <x:v>DISPONÍVEL</x:v>
      </x:c>
      <x:c r="D141" s="24" t="str">
        <x:v>HOYA</x:v>
      </x:c>
      <x:c r="E141" s="24" t="str">
        <x:v>Progressiva</x:v>
      </x:c>
      <x:c r="F141" s="24" t="str">
        <x:v>Surfaçada</x:v>
      </x:c>
      <x:c r="G141" s="24" t="str">
        <x:v>Hoyalux iD MyStyle V+</x:v>
      </x:c>
      <x:c r="H141" s="24" t="str">
        <x:v>INCOLOR</x:v>
      </x:c>
      <x:c r="I141" s="24" t="str">
        <x:v>PNX</x:v>
      </x:c>
      <x:c r="J141" s="24" t="str">
        <x:v>1.53</x:v>
      </x:c>
      <x:c r="K141" s="24" t="str">
        <x:v>Hi-Vision Meiryo</x:v>
      </x:c>
      <x:c r="L141" s="40" t="n">
        <x:v>10339</x:v>
      </x:c>
      <x:c r="M141" s="24" t="str">
        <x:v>-8.00 até +6.00</x:v>
      </x:c>
      <x:c r="N141" s="24"/>
      <x:c r="O141" s="24"/>
      <x:c r="P141" s="24"/>
      <x:c r="Q141" s="24"/>
      <x:c r="R141" s="24"/>
      <x:c r="S141" s="26" t="n">
        <x:v>45992</x:v>
      </x:c>
      <x:c r="T141" s="26"/>
      <x:c r="U141" s="24" t="str">
        <x:v>ATIVA/SEM FIM INFORMADO</x:v>
      </x:c>
      <x:c r="V141" s="24"/>
      <x:c r="W141" s="24" t="n">
        <x:v>23</x:v>
      </x:c>
      <x:c r="X141" s="24" t="str">
        <x:v>tabela_hoya(1).pdf</x:v>
      </x:c>
      <x:c r="Y141" s="24" t="str">
        <x:v>alta</x:v>
      </x:c>
      <x:c r="Z141" s="24"/>
      <x:c r="AA141" s="24" t="str">
        <x:v>HOYA|Progressiva|Surfaçada|Hoyalux iD MyStyle V+|INCOLOR|PNX|1.53|Hi-Vision Meiryo|-8.00 até +6.00||||||23</x:v>
      </x:c>
    </x:row>
    <x:row r="142">
      <x:c r="A142" s="24" t="str">
        <x:v>HY-B837A86EBB85</x:v>
      </x:c>
      <x:c r="B142" s="24" t="str">
        <x:v>SIM</x:v>
      </x:c>
      <x:c r="C142" s="24" t="str">
        <x:v>DISPONÍVEL</x:v>
      </x:c>
      <x:c r="D142" s="24" t="str">
        <x:v>HOYA</x:v>
      </x:c>
      <x:c r="E142" s="24" t="str">
        <x:v>Progressiva</x:v>
      </x:c>
      <x:c r="F142" s="24" t="str">
        <x:v>Surfaçada</x:v>
      </x:c>
      <x:c r="G142" s="24" t="str">
        <x:v>Hoyalux iD MyStyle V+</x:v>
      </x:c>
      <x:c r="H142" s="24" t="str">
        <x:v>INCOLOR</x:v>
      </x:c>
      <x:c r="I142" s="24" t="str">
        <x:v>ORGANIC</x:v>
      </x:c>
      <x:c r="J142" s="24" t="str">
        <x:v>1.50</x:v>
      </x:c>
      <x:c r="K142" s="24" t="str">
        <x:v>Hi-Vision Meiryo</x:v>
      </x:c>
      <x:c r="L142" s="40" t="n">
        <x:v>9989</x:v>
      </x:c>
      <x:c r="M142" s="24" t="str">
        <x:v>-8.00 até +6.00</x:v>
      </x:c>
      <x:c r="N142" s="24"/>
      <x:c r="O142" s="24"/>
      <x:c r="P142" s="24"/>
      <x:c r="Q142" s="24"/>
      <x:c r="R142" s="24"/>
      <x:c r="S142" s="26" t="n">
        <x:v>45992</x:v>
      </x:c>
      <x:c r="T142" s="26"/>
      <x:c r="U142" s="24" t="str">
        <x:v>ATIVA/SEM FIM INFORMADO</x:v>
      </x:c>
      <x:c r="V142" s="24"/>
      <x:c r="W142" s="24" t="n">
        <x:v>23</x:v>
      </x:c>
      <x:c r="X142" s="24" t="str">
        <x:v>tabela_hoya(1).pdf</x:v>
      </x:c>
      <x:c r="Y142" s="24" t="str">
        <x:v>alta</x:v>
      </x:c>
      <x:c r="Z142" s="24"/>
      <x:c r="AA142" s="24" t="str">
        <x:v>HOYA|Progressiva|Surfaçada|Hoyalux iD MyStyle V+|INCOLOR|ORGANIC|1.50|Hi-Vision Meiryo|-8.00 até +6.00||||||23</x:v>
      </x:c>
    </x:row>
    <x:row r="143">
      <x:c r="A143" s="24" t="str">
        <x:v>HY-1B9E10655B76</x:v>
      </x:c>
      <x:c r="B143" s="24" t="str">
        <x:v>SIM</x:v>
      </x:c>
      <x:c r="C143" s="24" t="str">
        <x:v>DISPONÍVEL</x:v>
      </x:c>
      <x:c r="D143" s="24" t="str">
        <x:v>HOYA</x:v>
      </x:c>
      <x:c r="E143" s="24" t="str">
        <x:v>Progressiva</x:v>
      </x:c>
      <x:c r="F143" s="24" t="str">
        <x:v>Surfaçada</x:v>
      </x:c>
      <x:c r="G143" s="24" t="str">
        <x:v>Hoyalux iD MyStyle V+</x:v>
      </x:c>
      <x:c r="H143" s="24" t="str">
        <x:v>INCOLOR</x:v>
      </x:c>
      <x:c r="I143" s="24" t="str">
        <x:v>EYVIA</x:v>
      </x:c>
      <x:c r="J143" s="24" t="str">
        <x:v>1.74</x:v>
      </x:c>
      <x:c r="K143" s="24" t="str">
        <x:v>Hi-Vision LongLife BlueControl</x:v>
      </x:c>
      <x:c r="L143" s="40" t="n">
        <x:v>13899</x:v>
      </x:c>
      <x:c r="M143" s="24" t="str">
        <x:v>-15.00 até +10.00</x:v>
      </x:c>
      <x:c r="N143" s="24"/>
      <x:c r="O143" s="24"/>
      <x:c r="P143" s="24"/>
      <x:c r="Q143" s="24"/>
      <x:c r="R143" s="24"/>
      <x:c r="S143" s="26" t="n">
        <x:v>45992</x:v>
      </x:c>
      <x:c r="T143" s="26"/>
      <x:c r="U143" s="24" t="str">
        <x:v>ATIVA/SEM FIM INFORMADO</x:v>
      </x:c>
      <x:c r="V143" s="24"/>
      <x:c r="W143" s="24" t="n">
        <x:v>23</x:v>
      </x:c>
      <x:c r="X143" s="24" t="str">
        <x:v>tabela_hoya(1).pdf</x:v>
      </x:c>
      <x:c r="Y143" s="24" t="str">
        <x:v>alta</x:v>
      </x:c>
      <x:c r="Z143" s="24"/>
      <x:c r="AA143" s="24" t="str">
        <x:v>HOYA|Progressiva|Surfaçada|Hoyalux iD MyStyle V+|INCOLOR|EYVIA|1.74|Hi-Vision LongLife BlueControl|-15.00 até +10.00||||||23</x:v>
      </x:c>
    </x:row>
    <x:row r="144">
      <x:c r="A144" s="24" t="str">
        <x:v>HY-374F58B27136</x:v>
      </x:c>
      <x:c r="B144" s="24" t="str">
        <x:v>SIM</x:v>
      </x:c>
      <x:c r="C144" s="24" t="str">
        <x:v>DISPONÍVEL</x:v>
      </x:c>
      <x:c r="D144" s="24" t="str">
        <x:v>HOYA</x:v>
      </x:c>
      <x:c r="E144" s="24" t="str">
        <x:v>Progressiva</x:v>
      </x:c>
      <x:c r="F144" s="24" t="str">
        <x:v>Surfaçada</x:v>
      </x:c>
      <x:c r="G144" s="24" t="str">
        <x:v>Hoyalux iD MyStyle V+</x:v>
      </x:c>
      <x:c r="H144" s="24" t="str">
        <x:v>INCOLOR</x:v>
      </x:c>
      <x:c r="I144" s="24" t="str">
        <x:v>EYNOA</x:v>
      </x:c>
      <x:c r="J144" s="24" t="str">
        <x:v>1.67</x:v>
      </x:c>
      <x:c r="K144" s="24" t="str">
        <x:v>Hi-Vision LongLife BlueControl</x:v>
      </x:c>
      <x:c r="L144" s="40" t="n">
        <x:v>12399</x:v>
      </x:c>
      <x:c r="M144" s="24" t="str">
        <x:v>-13.00 até +8.00</x:v>
      </x:c>
      <x:c r="N144" s="24"/>
      <x:c r="O144" s="24"/>
      <x:c r="P144" s="24"/>
      <x:c r="Q144" s="24"/>
      <x:c r="R144" s="24"/>
      <x:c r="S144" s="26" t="n">
        <x:v>45992</x:v>
      </x:c>
      <x:c r="T144" s="26"/>
      <x:c r="U144" s="24" t="str">
        <x:v>ATIVA/SEM FIM INFORMADO</x:v>
      </x:c>
      <x:c r="V144" s="24"/>
      <x:c r="W144" s="24" t="n">
        <x:v>23</x:v>
      </x:c>
      <x:c r="X144" s="24" t="str">
        <x:v>tabela_hoya(1).pdf</x:v>
      </x:c>
      <x:c r="Y144" s="24" t="str">
        <x:v>alta</x:v>
      </x:c>
      <x:c r="Z144" s="24"/>
      <x:c r="AA144" s="24" t="str">
        <x:v>HOYA|Progressiva|Surfaçada|Hoyalux iD MyStyle V+|INCOLOR|EYNOA|1.67|Hi-Vision LongLife BlueControl|-13.00 até +8.00||||||23</x:v>
      </x:c>
    </x:row>
    <x:row r="145">
      <x:c r="A145" s="24" t="str">
        <x:v>HY-87DB1A1B10FC</x:v>
      </x:c>
      <x:c r="B145" s="24" t="str">
        <x:v>SIM</x:v>
      </x:c>
      <x:c r="C145" s="24" t="str">
        <x:v>DISPONÍVEL</x:v>
      </x:c>
      <x:c r="D145" s="24" t="str">
        <x:v>HOYA</x:v>
      </x:c>
      <x:c r="E145" s="24" t="str">
        <x:v>Progressiva</x:v>
      </x:c>
      <x:c r="F145" s="24" t="str">
        <x:v>Surfaçada</x:v>
      </x:c>
      <x:c r="G145" s="24" t="str">
        <x:v>Hoyalux iD MyStyle V+</x:v>
      </x:c>
      <x:c r="H145" s="24" t="str">
        <x:v>INCOLOR</x:v>
      </x:c>
      <x:c r="I145" s="24" t="str">
        <x:v>EYAS 2.0</x:v>
      </x:c>
      <x:c r="J145" s="24" t="str">
        <x:v>1.60</x:v>
      </x:c>
      <x:c r="K145" s="24" t="str">
        <x:v>Hi-Vision LongLife BlueControl</x:v>
      </x:c>
      <x:c r="L145" s="40" t="n">
        <x:v>10599</x:v>
      </x:c>
      <x:c r="M145" s="24" t="str">
        <x:v>-11.00 até +8.00</x:v>
      </x:c>
      <x:c r="N145" s="24"/>
      <x:c r="O145" s="24"/>
      <x:c r="P145" s="24"/>
      <x:c r="Q145" s="24"/>
      <x:c r="R145" s="24"/>
      <x:c r="S145" s="26" t="n">
        <x:v>45992</x:v>
      </x:c>
      <x:c r="T145" s="26"/>
      <x:c r="U145" s="24" t="str">
        <x:v>ATIVA/SEM FIM INFORMADO</x:v>
      </x:c>
      <x:c r="V145" s="24"/>
      <x:c r="W145" s="24" t="n">
        <x:v>23</x:v>
      </x:c>
      <x:c r="X145" s="24" t="str">
        <x:v>tabela_hoya(1).pdf</x:v>
      </x:c>
      <x:c r="Y145" s="24" t="str">
        <x:v>alta</x:v>
      </x:c>
      <x:c r="Z145" s="24"/>
      <x:c r="AA145" s="24" t="str">
        <x:v>HOYA|Progressiva|Surfaçada|Hoyalux iD MyStyle V+|INCOLOR|EYAS 2.0|1.60|Hi-Vision LongLife BlueControl|-11.00 até +8.00||||||23</x:v>
      </x:c>
    </x:row>
    <x:row r="146">
      <x:c r="A146" s="24" t="str">
        <x:v>HY-5B391C4468BF</x:v>
      </x:c>
      <x:c r="B146" s="24" t="str">
        <x:v>SIM</x:v>
      </x:c>
      <x:c r="C146" s="24" t="str">
        <x:v>DISPONÍVEL</x:v>
      </x:c>
      <x:c r="D146" s="24" t="str">
        <x:v>HOYA</x:v>
      </x:c>
      <x:c r="E146" s="24" t="str">
        <x:v>Progressiva</x:v>
      </x:c>
      <x:c r="F146" s="24" t="str">
        <x:v>Surfaçada</x:v>
      </x:c>
      <x:c r="G146" s="24" t="str">
        <x:v>Hoyalux iD MyStyle V+</x:v>
      </x:c>
      <x:c r="H146" s="24" t="str">
        <x:v>INCOLOR</x:v>
      </x:c>
      <x:c r="I146" s="24" t="str">
        <x:v>PNX</x:v>
      </x:c>
      <x:c r="J146" s="24" t="str">
        <x:v>1.53</x:v>
      </x:c>
      <x:c r="K146" s="24" t="str">
        <x:v>Hi-Vision LongLife BlueControl</x:v>
      </x:c>
      <x:c r="L146" s="40" t="n">
        <x:v>10139</x:v>
      </x:c>
      <x:c r="M146" s="24" t="str">
        <x:v>-8.00 até +6.00</x:v>
      </x:c>
      <x:c r="N146" s="24"/>
      <x:c r="O146" s="24"/>
      <x:c r="P146" s="24"/>
      <x:c r="Q146" s="24"/>
      <x:c r="R146" s="24"/>
      <x:c r="S146" s="26" t="n">
        <x:v>45992</x:v>
      </x:c>
      <x:c r="T146" s="26"/>
      <x:c r="U146" s="24" t="str">
        <x:v>ATIVA/SEM FIM INFORMADO</x:v>
      </x:c>
      <x:c r="V146" s="24"/>
      <x:c r="W146" s="24" t="n">
        <x:v>23</x:v>
      </x:c>
      <x:c r="X146" s="24" t="str">
        <x:v>tabela_hoya(1).pdf</x:v>
      </x:c>
      <x:c r="Y146" s="24" t="str">
        <x:v>alta</x:v>
      </x:c>
      <x:c r="Z146" s="24"/>
      <x:c r="AA146" s="24" t="str">
        <x:v>HOYA|Progressiva|Surfaçada|Hoyalux iD MyStyle V+|INCOLOR|PNX|1.53|Hi-Vision LongLife BlueControl|-8.00 até +6.00||||||23</x:v>
      </x:c>
    </x:row>
    <x:row r="147">
      <x:c r="A147" s="24" t="str">
        <x:v>HY-B637009C3D6B</x:v>
      </x:c>
      <x:c r="B147" s="24" t="str">
        <x:v>SIM</x:v>
      </x:c>
      <x:c r="C147" s="24" t="str">
        <x:v>DISPONÍVEL</x:v>
      </x:c>
      <x:c r="D147" s="24" t="str">
        <x:v>HOYA</x:v>
      </x:c>
      <x:c r="E147" s="24" t="str">
        <x:v>Progressiva</x:v>
      </x:c>
      <x:c r="F147" s="24" t="str">
        <x:v>Surfaçada</x:v>
      </x:c>
      <x:c r="G147" s="24" t="str">
        <x:v>Hoyalux iD MyStyle V+</x:v>
      </x:c>
      <x:c r="H147" s="24" t="str">
        <x:v>INCOLOR</x:v>
      </x:c>
      <x:c r="I147" s="24" t="str">
        <x:v>ORGANIC</x:v>
      </x:c>
      <x:c r="J147" s="24" t="str">
        <x:v>1.50</x:v>
      </x:c>
      <x:c r="K147" s="24" t="str">
        <x:v>Hi-Vision LongLife BlueControl</x:v>
      </x:c>
      <x:c r="L147" s="40" t="n">
        <x:v>9789</x:v>
      </x:c>
      <x:c r="M147" s="24" t="str">
        <x:v>-8.00 até +6.00</x:v>
      </x:c>
      <x:c r="N147" s="24"/>
      <x:c r="O147" s="24"/>
      <x:c r="P147" s="24"/>
      <x:c r="Q147" s="24"/>
      <x:c r="R147" s="24"/>
      <x:c r="S147" s="26" t="n">
        <x:v>45992</x:v>
      </x:c>
      <x:c r="T147" s="26"/>
      <x:c r="U147" s="24" t="str">
        <x:v>ATIVA/SEM FIM INFORMADO</x:v>
      </x:c>
      <x:c r="V147" s="24"/>
      <x:c r="W147" s="24" t="n">
        <x:v>23</x:v>
      </x:c>
      <x:c r="X147" s="24" t="str">
        <x:v>tabela_hoya(1).pdf</x:v>
      </x:c>
      <x:c r="Y147" s="24" t="str">
        <x:v>alta</x:v>
      </x:c>
      <x:c r="Z147" s="24"/>
      <x:c r="AA147" s="24" t="str">
        <x:v>HOYA|Progressiva|Surfaçada|Hoyalux iD MyStyle V+|INCOLOR|ORGANIC|1.50|Hi-Vision LongLife BlueControl|-8.00 até +6.00||||||23</x:v>
      </x:c>
    </x:row>
    <x:row r="148">
      <x:c r="A148" s="24" t="str">
        <x:v>HY-F40160D49D36</x:v>
      </x:c>
      <x:c r="B148" s="24" t="str">
        <x:v>SIM</x:v>
      </x:c>
      <x:c r="C148" s="24" t="str">
        <x:v>DISPONÍVEL</x:v>
      </x:c>
      <x:c r="D148" s="24" t="str">
        <x:v>HOYA</x:v>
      </x:c>
      <x:c r="E148" s="24" t="str">
        <x:v>Progressiva</x:v>
      </x:c>
      <x:c r="F148" s="24" t="str">
        <x:v>Surfaçada</x:v>
      </x:c>
      <x:c r="G148" s="24" t="str">
        <x:v>Hoyalux iD MyStyle V+</x:v>
      </x:c>
      <x:c r="H148" s="24" t="str">
        <x:v>COLORIDAS</x:v>
      </x:c>
      <x:c r="I148" s="24" t="str">
        <x:v>EYVIA</x:v>
      </x:c>
      <x:c r="J148" s="24" t="str">
        <x:v>1.74</x:v>
      </x:c>
      <x:c r="K148" s="24" t="str">
        <x:v>Hi-Vision Sun Pro</x:v>
      </x:c>
      <x:c r="L148" s="40" t="n">
        <x:v>14189</x:v>
      </x:c>
      <x:c r="M148" s="24" t="str">
        <x:v>-15.00 até +10.00</x:v>
      </x:c>
      <x:c r="N148" s="24"/>
      <x:c r="O148" s="24"/>
      <x:c r="P148" s="24"/>
      <x:c r="Q148" s="24"/>
      <x:c r="R148" s="24"/>
      <x:c r="S148" s="26" t="n">
        <x:v>45992</x:v>
      </x:c>
      <x:c r="T148" s="26"/>
      <x:c r="U148" s="24" t="str">
        <x:v>ATIVA/SEM FIM INFORMADO</x:v>
      </x:c>
      <x:c r="V148" s="24"/>
      <x:c r="W148" s="24" t="n">
        <x:v>23</x:v>
      </x:c>
      <x:c r="X148" s="24" t="str">
        <x:v>tabela_hoya(1).pdf</x:v>
      </x:c>
      <x:c r="Y148" s="24" t="str">
        <x:v>alta</x:v>
      </x:c>
      <x:c r="Z148" s="24"/>
      <x:c r="AA148" s="24" t="str">
        <x:v>HOYA|Progressiva|Surfaçada|Hoyalux iD MyStyle V+|COLORIDAS|EYVIA|1.74|Hi-Vision Sun Pro|-15.00 até +10.00||||||23</x:v>
      </x:c>
    </x:row>
    <x:row r="149">
      <x:c r="A149" s="24" t="str">
        <x:v>HY-7B16675E17F0</x:v>
      </x:c>
      <x:c r="B149" s="24" t="str">
        <x:v>SIM</x:v>
      </x:c>
      <x:c r="C149" s="24" t="str">
        <x:v>DISPONÍVEL</x:v>
      </x:c>
      <x:c r="D149" s="24" t="str">
        <x:v>HOYA</x:v>
      </x:c>
      <x:c r="E149" s="24" t="str">
        <x:v>Progressiva</x:v>
      </x:c>
      <x:c r="F149" s="24" t="str">
        <x:v>Surfaçada</x:v>
      </x:c>
      <x:c r="G149" s="24" t="str">
        <x:v>Hoyalux iD MyStyle V+</x:v>
      </x:c>
      <x:c r="H149" s="24" t="str">
        <x:v>COLORIDAS</x:v>
      </x:c>
      <x:c r="I149" s="24" t="str">
        <x:v>EYNOA</x:v>
      </x:c>
      <x:c r="J149" s="24" t="str">
        <x:v>1.67</x:v>
      </x:c>
      <x:c r="K149" s="24" t="str">
        <x:v>Hi-Vision Sun Pro</x:v>
      </x:c>
      <x:c r="L149" s="40" t="n">
        <x:v>12689</x:v>
      </x:c>
      <x:c r="M149" s="24" t="str">
        <x:v>-13.00 até +8.00</x:v>
      </x:c>
      <x:c r="N149" s="24"/>
      <x:c r="O149" s="24"/>
      <x:c r="P149" s="24"/>
      <x:c r="Q149" s="24"/>
      <x:c r="R149" s="24"/>
      <x:c r="S149" s="26" t="n">
        <x:v>45992</x:v>
      </x:c>
      <x:c r="T149" s="26"/>
      <x:c r="U149" s="24" t="str">
        <x:v>ATIVA/SEM FIM INFORMADO</x:v>
      </x:c>
      <x:c r="V149" s="24"/>
      <x:c r="W149" s="24" t="n">
        <x:v>23</x:v>
      </x:c>
      <x:c r="X149" s="24" t="str">
        <x:v>tabela_hoya(1).pdf</x:v>
      </x:c>
      <x:c r="Y149" s="24" t="str">
        <x:v>alta</x:v>
      </x:c>
      <x:c r="Z149" s="24"/>
      <x:c r="AA149" s="24" t="str">
        <x:v>HOYA|Progressiva|Surfaçada|Hoyalux iD MyStyle V+|COLORIDAS|EYNOA|1.67|Hi-Vision Sun Pro|-13.00 até +8.00||||||23</x:v>
      </x:c>
    </x:row>
    <x:row r="150">
      <x:c r="A150" s="24" t="str">
        <x:v>HY-80CAAD7F3AFB</x:v>
      </x:c>
      <x:c r="B150" s="24" t="str">
        <x:v>SIM</x:v>
      </x:c>
      <x:c r="C150" s="24" t="str">
        <x:v>DISPONÍVEL</x:v>
      </x:c>
      <x:c r="D150" s="24" t="str">
        <x:v>HOYA</x:v>
      </x:c>
      <x:c r="E150" s="24" t="str">
        <x:v>Progressiva</x:v>
      </x:c>
      <x:c r="F150" s="24" t="str">
        <x:v>Surfaçada</x:v>
      </x:c>
      <x:c r="G150" s="24" t="str">
        <x:v>Hoyalux iD MyStyle V+</x:v>
      </x:c>
      <x:c r="H150" s="24" t="str">
        <x:v>COLORIDAS</x:v>
      </x:c>
      <x:c r="I150" s="24" t="str">
        <x:v>EYAS 2.0</x:v>
      </x:c>
      <x:c r="J150" s="24" t="str">
        <x:v>1.60</x:v>
      </x:c>
      <x:c r="K150" s="24" t="str">
        <x:v>Hi-Vision Sun Pro</x:v>
      </x:c>
      <x:c r="L150" s="40" t="n">
        <x:v>10889</x:v>
      </x:c>
      <x:c r="M150" s="24" t="str">
        <x:v>-11.00 até +8.00</x:v>
      </x:c>
      <x:c r="N150" s="24"/>
      <x:c r="O150" s="24"/>
      <x:c r="P150" s="24"/>
      <x:c r="Q150" s="24"/>
      <x:c r="R150" s="24"/>
      <x:c r="S150" s="26" t="n">
        <x:v>45992</x:v>
      </x:c>
      <x:c r="T150" s="26"/>
      <x:c r="U150" s="24" t="str">
        <x:v>ATIVA/SEM FIM INFORMADO</x:v>
      </x:c>
      <x:c r="V150" s="24"/>
      <x:c r="W150" s="24" t="n">
        <x:v>23</x:v>
      </x:c>
      <x:c r="X150" s="24" t="str">
        <x:v>tabela_hoya(1).pdf</x:v>
      </x:c>
      <x:c r="Y150" s="24" t="str">
        <x:v>alta</x:v>
      </x:c>
      <x:c r="Z150" s="24"/>
      <x:c r="AA150" s="24" t="str">
        <x:v>HOYA|Progressiva|Surfaçada|Hoyalux iD MyStyle V+|COLORIDAS|EYAS 2.0|1.60|Hi-Vision Sun Pro|-11.00 até +8.00||||||23</x:v>
      </x:c>
    </x:row>
    <x:row r="151">
      <x:c r="A151" s="24" t="str">
        <x:v>HY-72493AF6B973</x:v>
      </x:c>
      <x:c r="B151" s="24" t="str">
        <x:v>SIM</x:v>
      </x:c>
      <x:c r="C151" s="24" t="str">
        <x:v>DISPONÍVEL</x:v>
      </x:c>
      <x:c r="D151" s="24" t="str">
        <x:v>HOYA</x:v>
      </x:c>
      <x:c r="E151" s="24" t="str">
        <x:v>Progressiva</x:v>
      </x:c>
      <x:c r="F151" s="24" t="str">
        <x:v>Surfaçada</x:v>
      </x:c>
      <x:c r="G151" s="24" t="str">
        <x:v>Hoyalux iD MyStyle V+</x:v>
      </x:c>
      <x:c r="H151" s="24" t="str">
        <x:v>COLORIDAS</x:v>
      </x:c>
      <x:c r="I151" s="24" t="str">
        <x:v>PNX</x:v>
      </x:c>
      <x:c r="J151" s="24" t="str">
        <x:v>1.53</x:v>
      </x:c>
      <x:c r="K151" s="24" t="str">
        <x:v>Hi-Vision Sun Pro</x:v>
      </x:c>
      <x:c r="L151" s="40" t="n">
        <x:v>10429</x:v>
      </x:c>
      <x:c r="M151" s="24" t="str">
        <x:v>-8.00 até +6.00</x:v>
      </x:c>
      <x:c r="N151" s="24"/>
      <x:c r="O151" s="24"/>
      <x:c r="P151" s="24"/>
      <x:c r="Q151" s="24"/>
      <x:c r="R151" s="24"/>
      <x:c r="S151" s="26" t="n">
        <x:v>45992</x:v>
      </x:c>
      <x:c r="T151" s="26"/>
      <x:c r="U151" s="24" t="str">
        <x:v>ATIVA/SEM FIM INFORMADO</x:v>
      </x:c>
      <x:c r="V151" s="24"/>
      <x:c r="W151" s="24" t="n">
        <x:v>23</x:v>
      </x:c>
      <x:c r="X151" s="24" t="str">
        <x:v>tabela_hoya(1).pdf</x:v>
      </x:c>
      <x:c r="Y151" s="24" t="str">
        <x:v>alta</x:v>
      </x:c>
      <x:c r="Z151" s="24"/>
      <x:c r="AA151" s="24" t="str">
        <x:v>HOYA|Progressiva|Surfaçada|Hoyalux iD MyStyle V+|COLORIDAS|PNX|1.53|Hi-Vision Sun Pro|-8.00 até +6.00||||||23</x:v>
      </x:c>
    </x:row>
    <x:row r="152">
      <x:c r="A152" s="24" t="str">
        <x:v>HY-CB090762B745</x:v>
      </x:c>
      <x:c r="B152" s="24" t="str">
        <x:v>SIM</x:v>
      </x:c>
      <x:c r="C152" s="24" t="str">
        <x:v>DISPONÍVEL</x:v>
      </x:c>
      <x:c r="D152" s="24" t="str">
        <x:v>HOYA</x:v>
      </x:c>
      <x:c r="E152" s="24" t="str">
        <x:v>Progressiva</x:v>
      </x:c>
      <x:c r="F152" s="24" t="str">
        <x:v>Surfaçada</x:v>
      </x:c>
      <x:c r="G152" s="24" t="str">
        <x:v>Hoyalux iD MyStyle V+</x:v>
      </x:c>
      <x:c r="H152" s="24" t="str">
        <x:v>COLORIDAS</x:v>
      </x:c>
      <x:c r="I152" s="24" t="str">
        <x:v>ORGANIC</x:v>
      </x:c>
      <x:c r="J152" s="24" t="str">
        <x:v>1.50</x:v>
      </x:c>
      <x:c r="K152" s="24" t="str">
        <x:v>Hi-Vision Sun Pro</x:v>
      </x:c>
      <x:c r="L152" s="40" t="n">
        <x:v>10079</x:v>
      </x:c>
      <x:c r="M152" s="24" t="str">
        <x:v>-8.00 até +6.00</x:v>
      </x:c>
      <x:c r="N152" s="24"/>
      <x:c r="O152" s="24"/>
      <x:c r="P152" s="24"/>
      <x:c r="Q152" s="24"/>
      <x:c r="R152" s="24"/>
      <x:c r="S152" s="26" t="n">
        <x:v>45992</x:v>
      </x:c>
      <x:c r="T152" s="26"/>
      <x:c r="U152" s="24" t="str">
        <x:v>ATIVA/SEM FIM INFORMADO</x:v>
      </x:c>
      <x:c r="V152" s="24"/>
      <x:c r="W152" s="24" t="n">
        <x:v>23</x:v>
      </x:c>
      <x:c r="X152" s="24" t="str">
        <x:v>tabela_hoya(1).pdf</x:v>
      </x:c>
      <x:c r="Y152" s="24" t="str">
        <x:v>alta</x:v>
      </x:c>
      <x:c r="Z152" s="24"/>
      <x:c r="AA152" s="24" t="str">
        <x:v>HOYA|Progressiva|Surfaçada|Hoyalux iD MyStyle V+|COLORIDAS|ORGANIC|1.50|Hi-Vision Sun Pro|-8.00 até +6.00||||||23</x:v>
      </x:c>
    </x:row>
    <x:row r="153">
      <x:c r="A153" s="24" t="str">
        <x:v>HY-B068943CD10B</x:v>
      </x:c>
      <x:c r="B153" s="24" t="str">
        <x:v>SIM</x:v>
      </x:c>
      <x:c r="C153" s="24" t="str">
        <x:v>DISPONÍVEL</x:v>
      </x:c>
      <x:c r="D153" s="24" t="str">
        <x:v>HOYA</x:v>
      </x:c>
      <x:c r="E153" s="24" t="str">
        <x:v>Progressiva</x:v>
      </x:c>
      <x:c r="F153" s="24" t="str">
        <x:v>Surfaçada</x:v>
      </x:c>
      <x:c r="G153" s="24" t="str">
        <x:v>Hoyalux iD MyStyle V+</x:v>
      </x:c>
      <x:c r="H153" s="24" t="str">
        <x:v>SENSITY 2</x:v>
      </x:c>
      <x:c r="I153" s="24" t="str">
        <x:v>EYNOA</x:v>
      </x:c>
      <x:c r="J153" s="24" t="str">
        <x:v>1.67</x:v>
      </x:c>
      <x:c r="K153" s="24" t="str">
        <x:v>Hi-Vision Meiryo</x:v>
      </x:c>
      <x:c r="L153" s="40" t="n">
        <x:v>13999</x:v>
      </x:c>
      <x:c r="M153" s="24" t="str">
        <x:v>-13.00 até +8.00</x:v>
      </x:c>
      <x:c r="N153" s="24"/>
      <x:c r="O153" s="24"/>
      <x:c r="P153" s="24"/>
      <x:c r="Q153" s="24"/>
      <x:c r="R153" s="24"/>
      <x:c r="S153" s="26" t="n">
        <x:v>45992</x:v>
      </x:c>
      <x:c r="T153" s="26"/>
      <x:c r="U153" s="24" t="str">
        <x:v>ATIVA/SEM FIM INFORMADO</x:v>
      </x:c>
      <x:c r="V153" s="24"/>
      <x:c r="W153" s="24" t="n">
        <x:v>23</x:v>
      </x:c>
      <x:c r="X153" s="24" t="str">
        <x:v>tabela_hoya(1).pdf</x:v>
      </x:c>
      <x:c r="Y153" s="24" t="str">
        <x:v>alta</x:v>
      </x:c>
      <x:c r="Z153" s="24"/>
      <x:c r="AA153" s="24" t="str">
        <x:v>HOYA|Progressiva|Surfaçada|Hoyalux iD MyStyle V+|SENSITY 2|EYNOA|1.67|Hi-Vision Meiryo|-13.00 até +8.00||||||23</x:v>
      </x:c>
    </x:row>
    <x:row r="154">
      <x:c r="A154" s="24" t="str">
        <x:v>HY-DF32F511F558</x:v>
      </x:c>
      <x:c r="B154" s="24" t="str">
        <x:v>SIM</x:v>
      </x:c>
      <x:c r="C154" s="24" t="str">
        <x:v>DISPONÍVEL</x:v>
      </x:c>
      <x:c r="D154" s="24" t="str">
        <x:v>HOYA</x:v>
      </x:c>
      <x:c r="E154" s="24" t="str">
        <x:v>Progressiva</x:v>
      </x:c>
      <x:c r="F154" s="24" t="str">
        <x:v>Surfaçada</x:v>
      </x:c>
      <x:c r="G154" s="24" t="str">
        <x:v>Hoyalux iD MyStyle V+</x:v>
      </x:c>
      <x:c r="H154" s="24" t="str">
        <x:v>SENSITY 2</x:v>
      </x:c>
      <x:c r="I154" s="24" t="str">
        <x:v>EYAS 2.0</x:v>
      </x:c>
      <x:c r="J154" s="24" t="str">
        <x:v>1.60</x:v>
      </x:c>
      <x:c r="K154" s="24" t="str">
        <x:v>Hi-Vision Meiryo</x:v>
      </x:c>
      <x:c r="L154" s="40" t="n">
        <x:v>12199</x:v>
      </x:c>
      <x:c r="M154" s="24" t="str">
        <x:v>-11.00 até +8.00</x:v>
      </x:c>
      <x:c r="N154" s="24"/>
      <x:c r="O154" s="24"/>
      <x:c r="P154" s="24"/>
      <x:c r="Q154" s="24"/>
      <x:c r="R154" s="24"/>
      <x:c r="S154" s="26" t="n">
        <x:v>45992</x:v>
      </x:c>
      <x:c r="T154" s="26"/>
      <x:c r="U154" s="24" t="str">
        <x:v>ATIVA/SEM FIM INFORMADO</x:v>
      </x:c>
      <x:c r="V154" s="24"/>
      <x:c r="W154" s="24" t="n">
        <x:v>23</x:v>
      </x:c>
      <x:c r="X154" s="24" t="str">
        <x:v>tabela_hoya(1).pdf</x:v>
      </x:c>
      <x:c r="Y154" s="24" t="str">
        <x:v>alta</x:v>
      </x:c>
      <x:c r="Z154" s="24"/>
      <x:c r="AA154" s="24" t="str">
        <x:v>HOYA|Progressiva|Surfaçada|Hoyalux iD MyStyle V+|SENSITY 2|EYAS 2.0|1.60|Hi-Vision Meiryo|-11.00 até +8.00||||||23</x:v>
      </x:c>
    </x:row>
    <x:row r="155">
      <x:c r="A155" s="24" t="str">
        <x:v>HY-5FC1BF2D6B31</x:v>
      </x:c>
      <x:c r="B155" s="24" t="str">
        <x:v>SIM</x:v>
      </x:c>
      <x:c r="C155" s="24" t="str">
        <x:v>DISPONÍVEL</x:v>
      </x:c>
      <x:c r="D155" s="24" t="str">
        <x:v>HOYA</x:v>
      </x:c>
      <x:c r="E155" s="24" t="str">
        <x:v>Progressiva</x:v>
      </x:c>
      <x:c r="F155" s="24" t="str">
        <x:v>Surfaçada</x:v>
      </x:c>
      <x:c r="G155" s="24" t="str">
        <x:v>Hoyalux iD MyStyle V+</x:v>
      </x:c>
      <x:c r="H155" s="24" t="str">
        <x:v>SENSITY 2</x:v>
      </x:c>
      <x:c r="I155" s="24" t="str">
        <x:v>PNX</x:v>
      </x:c>
      <x:c r="J155" s="24" t="str">
        <x:v>1.53</x:v>
      </x:c>
      <x:c r="K155" s="24" t="str">
        <x:v>Hi-Vision Meiryo</x:v>
      </x:c>
      <x:c r="L155" s="40" t="n">
        <x:v>11739</x:v>
      </x:c>
      <x:c r="M155" s="24" t="str">
        <x:v>-8.00 até +6.00</x:v>
      </x:c>
      <x:c r="N155" s="24"/>
      <x:c r="O155" s="24"/>
      <x:c r="P155" s="24"/>
      <x:c r="Q155" s="24"/>
      <x:c r="R155" s="24"/>
      <x:c r="S155" s="26" t="n">
        <x:v>45992</x:v>
      </x:c>
      <x:c r="T155" s="26"/>
      <x:c r="U155" s="24" t="str">
        <x:v>ATIVA/SEM FIM INFORMADO</x:v>
      </x:c>
      <x:c r="V155" s="24"/>
      <x:c r="W155" s="24" t="n">
        <x:v>23</x:v>
      </x:c>
      <x:c r="X155" s="24" t="str">
        <x:v>tabela_hoya(1).pdf</x:v>
      </x:c>
      <x:c r="Y155" s="24" t="str">
        <x:v>alta</x:v>
      </x:c>
      <x:c r="Z155" s="24"/>
      <x:c r="AA155" s="24" t="str">
        <x:v>HOYA|Progressiva|Surfaçada|Hoyalux iD MyStyle V+|SENSITY 2|PNX|1.53|Hi-Vision Meiryo|-8.00 até +6.00||||||23</x:v>
      </x:c>
    </x:row>
    <x:row r="156">
      <x:c r="A156" s="24" t="str">
        <x:v>HY-A2C2664F6056</x:v>
      </x:c>
      <x:c r="B156" s="24" t="str">
        <x:v>SIM</x:v>
      </x:c>
      <x:c r="C156" s="24" t="str">
        <x:v>DISPONÍVEL</x:v>
      </x:c>
      <x:c r="D156" s="24" t="str">
        <x:v>HOYA</x:v>
      </x:c>
      <x:c r="E156" s="24" t="str">
        <x:v>Progressiva</x:v>
      </x:c>
      <x:c r="F156" s="24" t="str">
        <x:v>Surfaçada</x:v>
      </x:c>
      <x:c r="G156" s="24" t="str">
        <x:v>Hoyalux iD MyStyle V+</x:v>
      </x:c>
      <x:c r="H156" s="24" t="str">
        <x:v>SENSITY 2</x:v>
      </x:c>
      <x:c r="I156" s="24" t="str">
        <x:v>ORGANIC</x:v>
      </x:c>
      <x:c r="J156" s="24" t="str">
        <x:v>1.50</x:v>
      </x:c>
      <x:c r="K156" s="24" t="str">
        <x:v>Hi-Vision Meiryo</x:v>
      </x:c>
      <x:c r="L156" s="40" t="n">
        <x:v>11389</x:v>
      </x:c>
      <x:c r="M156" s="24" t="str">
        <x:v>-8.00 até +6.00</x:v>
      </x:c>
      <x:c r="N156" s="24"/>
      <x:c r="O156" s="24"/>
      <x:c r="P156" s="24"/>
      <x:c r="Q156" s="24"/>
      <x:c r="R156" s="24"/>
      <x:c r="S156" s="26" t="n">
        <x:v>45992</x:v>
      </x:c>
      <x:c r="T156" s="26"/>
      <x:c r="U156" s="24" t="str">
        <x:v>ATIVA/SEM FIM INFORMADO</x:v>
      </x:c>
      <x:c r="V156" s="24"/>
      <x:c r="W156" s="24" t="n">
        <x:v>23</x:v>
      </x:c>
      <x:c r="X156" s="24" t="str">
        <x:v>tabela_hoya(1).pdf</x:v>
      </x:c>
      <x:c r="Y156" s="24" t="str">
        <x:v>alta</x:v>
      </x:c>
      <x:c r="Z156" s="24"/>
      <x:c r="AA156" s="24" t="str">
        <x:v>HOYA|Progressiva|Surfaçada|Hoyalux iD MyStyle V+|SENSITY 2|ORGANIC|1.50|Hi-Vision Meiryo|-8.00 até +6.00||||||23</x:v>
      </x:c>
    </x:row>
    <x:row r="157">
      <x:c r="A157" s="24" t="str">
        <x:v>HY-B16C2807AF2B</x:v>
      </x:c>
      <x:c r="B157" s="24" t="str">
        <x:v>SIM</x:v>
      </x:c>
      <x:c r="C157" s="24" t="str">
        <x:v>DISPONÍVEL</x:v>
      </x:c>
      <x:c r="D157" s="24" t="str">
        <x:v>HOYA</x:v>
      </x:c>
      <x:c r="E157" s="24" t="str">
        <x:v>Progressiva</x:v>
      </x:c>
      <x:c r="F157" s="24" t="str">
        <x:v>Surfaçada</x:v>
      </x:c>
      <x:c r="G157" s="24" t="str">
        <x:v>Hoyalux iD MyStyle V+</x:v>
      </x:c>
      <x:c r="H157" s="24" t="str">
        <x:v>SENSITY 2</x:v>
      </x:c>
      <x:c r="I157" s="24" t="str">
        <x:v>EYNOA</x:v>
      </x:c>
      <x:c r="J157" s="24" t="str">
        <x:v>1.67</x:v>
      </x:c>
      <x:c r="K157" s="24" t="str">
        <x:v>Hi-Vision LongLife BlueControl</x:v>
      </x:c>
      <x:c r="L157" s="40" t="n">
        <x:v>13799</x:v>
      </x:c>
      <x:c r="M157" s="24" t="str">
        <x:v>-13.00 até +8.00</x:v>
      </x:c>
      <x:c r="N157" s="24"/>
      <x:c r="O157" s="24"/>
      <x:c r="P157" s="24"/>
      <x:c r="Q157" s="24"/>
      <x:c r="R157" s="24"/>
      <x:c r="S157" s="26" t="n">
        <x:v>45992</x:v>
      </x:c>
      <x:c r="T157" s="26"/>
      <x:c r="U157" s="24" t="str">
        <x:v>ATIVA/SEM FIM INFORMADO</x:v>
      </x:c>
      <x:c r="V157" s="24"/>
      <x:c r="W157" s="24" t="n">
        <x:v>23</x:v>
      </x:c>
      <x:c r="X157" s="24" t="str">
        <x:v>tabela_hoya(1).pdf</x:v>
      </x:c>
      <x:c r="Y157" s="24" t="str">
        <x:v>alta</x:v>
      </x:c>
      <x:c r="Z157" s="24"/>
      <x:c r="AA157" s="24" t="str">
        <x:v>HOYA|Progressiva|Surfaçada|Hoyalux iD MyStyle V+|SENSITY 2|EYNOA|1.67|Hi-Vision LongLife BlueControl|-13.00 até +8.00||||||23</x:v>
      </x:c>
    </x:row>
    <x:row r="158">
      <x:c r="A158" s="24" t="str">
        <x:v>HY-0FE811AD093C</x:v>
      </x:c>
      <x:c r="B158" s="24" t="str">
        <x:v>SIM</x:v>
      </x:c>
      <x:c r="C158" s="24" t="str">
        <x:v>DISPONÍVEL</x:v>
      </x:c>
      <x:c r="D158" s="24" t="str">
        <x:v>HOYA</x:v>
      </x:c>
      <x:c r="E158" s="24" t="str">
        <x:v>Progressiva</x:v>
      </x:c>
      <x:c r="F158" s="24" t="str">
        <x:v>Surfaçada</x:v>
      </x:c>
      <x:c r="G158" s="24" t="str">
        <x:v>Hoyalux iD MyStyle V+</x:v>
      </x:c>
      <x:c r="H158" s="24" t="str">
        <x:v>SENSITY 2</x:v>
      </x:c>
      <x:c r="I158" s="24" t="str">
        <x:v>EYAS 2.0</x:v>
      </x:c>
      <x:c r="J158" s="24" t="str">
        <x:v>1.60</x:v>
      </x:c>
      <x:c r="K158" s="24" t="str">
        <x:v>Hi-Vision LongLife BlueControl</x:v>
      </x:c>
      <x:c r="L158" s="40" t="n">
        <x:v>11999</x:v>
      </x:c>
      <x:c r="M158" s="24" t="str">
        <x:v>-11.00 até +8.00</x:v>
      </x:c>
      <x:c r="N158" s="24"/>
      <x:c r="O158" s="24"/>
      <x:c r="P158" s="24"/>
      <x:c r="Q158" s="24"/>
      <x:c r="R158" s="24"/>
      <x:c r="S158" s="26" t="n">
        <x:v>45992</x:v>
      </x:c>
      <x:c r="T158" s="26"/>
      <x:c r="U158" s="24" t="str">
        <x:v>ATIVA/SEM FIM INFORMADO</x:v>
      </x:c>
      <x:c r="V158" s="24"/>
      <x:c r="W158" s="24" t="n">
        <x:v>23</x:v>
      </x:c>
      <x:c r="X158" s="24" t="str">
        <x:v>tabela_hoya(1).pdf</x:v>
      </x:c>
      <x:c r="Y158" s="24" t="str">
        <x:v>alta</x:v>
      </x:c>
      <x:c r="Z158" s="24"/>
      <x:c r="AA158" s="24" t="str">
        <x:v>HOYA|Progressiva|Surfaçada|Hoyalux iD MyStyle V+|SENSITY 2|EYAS 2.0|1.60|Hi-Vision LongLife BlueControl|-11.00 até +8.00||||||23</x:v>
      </x:c>
    </x:row>
    <x:row r="159">
      <x:c r="A159" s="24" t="str">
        <x:v>HY-FDEBCFF03017</x:v>
      </x:c>
      <x:c r="B159" s="24" t="str">
        <x:v>SIM</x:v>
      </x:c>
      <x:c r="C159" s="24" t="str">
        <x:v>DISPONÍVEL</x:v>
      </x:c>
      <x:c r="D159" s="24" t="str">
        <x:v>HOYA</x:v>
      </x:c>
      <x:c r="E159" s="24" t="str">
        <x:v>Progressiva</x:v>
      </x:c>
      <x:c r="F159" s="24" t="str">
        <x:v>Surfaçada</x:v>
      </x:c>
      <x:c r="G159" s="24" t="str">
        <x:v>Hoyalux iD MyStyle V+</x:v>
      </x:c>
      <x:c r="H159" s="24" t="str">
        <x:v>SENSITY 2</x:v>
      </x:c>
      <x:c r="I159" s="24" t="str">
        <x:v>PNX</x:v>
      </x:c>
      <x:c r="J159" s="24" t="str">
        <x:v>1.53</x:v>
      </x:c>
      <x:c r="K159" s="24" t="str">
        <x:v>Hi-Vision LongLife BlueControl</x:v>
      </x:c>
      <x:c r="L159" s="40" t="n">
        <x:v>11539</x:v>
      </x:c>
      <x:c r="M159" s="24" t="str">
        <x:v>-8.00 até +6.00</x:v>
      </x:c>
      <x:c r="N159" s="24"/>
      <x:c r="O159" s="24"/>
      <x:c r="P159" s="24"/>
      <x:c r="Q159" s="24"/>
      <x:c r="R159" s="24"/>
      <x:c r="S159" s="26" t="n">
        <x:v>45992</x:v>
      </x:c>
      <x:c r="T159" s="26"/>
      <x:c r="U159" s="24" t="str">
        <x:v>ATIVA/SEM FIM INFORMADO</x:v>
      </x:c>
      <x:c r="V159" s="24"/>
      <x:c r="W159" s="24" t="n">
        <x:v>23</x:v>
      </x:c>
      <x:c r="X159" s="24" t="str">
        <x:v>tabela_hoya(1).pdf</x:v>
      </x:c>
      <x:c r="Y159" s="24" t="str">
        <x:v>alta</x:v>
      </x:c>
      <x:c r="Z159" s="24"/>
      <x:c r="AA159" s="24" t="str">
        <x:v>HOYA|Progressiva|Surfaçada|Hoyalux iD MyStyle V+|SENSITY 2|PNX|1.53|Hi-Vision LongLife BlueControl|-8.00 até +6.00||||||23</x:v>
      </x:c>
    </x:row>
    <x:row r="160">
      <x:c r="A160" s="24" t="str">
        <x:v>HY-89709D40AD09</x:v>
      </x:c>
      <x:c r="B160" s="24" t="str">
        <x:v>SIM</x:v>
      </x:c>
      <x:c r="C160" s="24" t="str">
        <x:v>DISPONÍVEL</x:v>
      </x:c>
      <x:c r="D160" s="24" t="str">
        <x:v>HOYA</x:v>
      </x:c>
      <x:c r="E160" s="24" t="str">
        <x:v>Progressiva</x:v>
      </x:c>
      <x:c r="F160" s="24" t="str">
        <x:v>Surfaçada</x:v>
      </x:c>
      <x:c r="G160" s="24" t="str">
        <x:v>Hoyalux iD MyStyle V+</x:v>
      </x:c>
      <x:c r="H160" s="24" t="str">
        <x:v>SENSITY 2</x:v>
      </x:c>
      <x:c r="I160" s="24" t="str">
        <x:v>ORGANIC</x:v>
      </x:c>
      <x:c r="J160" s="24" t="str">
        <x:v>1.50</x:v>
      </x:c>
      <x:c r="K160" s="24" t="str">
        <x:v>Hi-Vision LongLife BlueControl</x:v>
      </x:c>
      <x:c r="L160" s="40" t="n">
        <x:v>11189</x:v>
      </x:c>
      <x:c r="M160" s="24" t="str">
        <x:v>-8.00 até +6.00</x:v>
      </x:c>
      <x:c r="N160" s="24"/>
      <x:c r="O160" s="24"/>
      <x:c r="P160" s="24"/>
      <x:c r="Q160" s="24"/>
      <x:c r="R160" s="24"/>
      <x:c r="S160" s="26" t="n">
        <x:v>45992</x:v>
      </x:c>
      <x:c r="T160" s="26"/>
      <x:c r="U160" s="24" t="str">
        <x:v>ATIVA/SEM FIM INFORMADO</x:v>
      </x:c>
      <x:c r="V160" s="24"/>
      <x:c r="W160" s="24" t="n">
        <x:v>23</x:v>
      </x:c>
      <x:c r="X160" s="24" t="str">
        <x:v>tabela_hoya(1).pdf</x:v>
      </x:c>
      <x:c r="Y160" s="24" t="str">
        <x:v>alta</x:v>
      </x:c>
      <x:c r="Z160" s="24"/>
      <x:c r="AA160" s="24" t="str">
        <x:v>HOYA|Progressiva|Surfaçada|Hoyalux iD MyStyle V+|SENSITY 2|ORGANIC|1.50|Hi-Vision LongLife BlueControl|-8.00 até +6.00||||||23</x:v>
      </x:c>
    </x:row>
    <x:row r="161">
      <x:c r="A161" s="24" t="str">
        <x:v>HY-3F59BDE62E7C</x:v>
      </x:c>
      <x:c r="B161" s="24" t="str">
        <x:v>SIM</x:v>
      </x:c>
      <x:c r="C161" s="24" t="str">
        <x:v>DISPONÍVEL</x:v>
      </x:c>
      <x:c r="D161" s="24" t="str">
        <x:v>HOYA</x:v>
      </x:c>
      <x:c r="E161" s="24" t="str">
        <x:v>Progressiva</x:v>
      </x:c>
      <x:c r="F161" s="24" t="str">
        <x:v>Surfaçada</x:v>
      </x:c>
      <x:c r="G161" s="24" t="str">
        <x:v>Hoyalux iD LifeStyle 4i</x:v>
      </x:c>
      <x:c r="H161" s="24" t="str">
        <x:v>INCOLOR</x:v>
      </x:c>
      <x:c r="I161" s="24" t="str">
        <x:v>EYVIA</x:v>
      </x:c>
      <x:c r="J161" s="24" t="str">
        <x:v>1.74</x:v>
      </x:c>
      <x:c r="K161" s="24" t="str">
        <x:v>Hi-Vision Meiryo</x:v>
      </x:c>
      <x:c r="L161" s="40" t="n">
        <x:v>9659</x:v>
      </x:c>
      <x:c r="M161" s="24" t="str">
        <x:v>-13.00 até +8.00</x:v>
      </x:c>
      <x:c r="N161" s="24"/>
      <x:c r="O161" s="24"/>
      <x:c r="P161" s="24"/>
      <x:c r="Q161" s="24"/>
      <x:c r="R161" s="24"/>
      <x:c r="S161" s="26" t="n">
        <x:v>45992</x:v>
      </x:c>
      <x:c r="T161" s="26"/>
      <x:c r="U161" s="24" t="str">
        <x:v>ATIVA/SEM FIM INFORMADO</x:v>
      </x:c>
      <x:c r="V161" s="24"/>
      <x:c r="W161" s="24" t="n">
        <x:v>24</x:v>
      </x:c>
      <x:c r="X161" s="24" t="str">
        <x:v>tabela_hoya(1).pdf</x:v>
      </x:c>
      <x:c r="Y161" s="24" t="str">
        <x:v>alta</x:v>
      </x:c>
      <x:c r="Z161" s="24"/>
      <x:c r="AA161" s="24" t="str">
        <x:v>HOYA|Progressiva|Surfaçada|Hoyalux iD LifeStyle 4i|INCOLOR|EYVIA|1.74|Hi-Vision Meiryo|-13.00 até +8.00||||||24</x:v>
      </x:c>
    </x:row>
    <x:row r="162">
      <x:c r="A162" s="24" t="str">
        <x:v>HY-F8C1E6B86B27</x:v>
      </x:c>
      <x:c r="B162" s="24" t="str">
        <x:v>SIM</x:v>
      </x:c>
      <x:c r="C162" s="24" t="str">
        <x:v>DISPONÍVEL</x:v>
      </x:c>
      <x:c r="D162" s="24" t="str">
        <x:v>HOYA</x:v>
      </x:c>
      <x:c r="E162" s="24" t="str">
        <x:v>Progressiva</x:v>
      </x:c>
      <x:c r="F162" s="24" t="str">
        <x:v>Surfaçada</x:v>
      </x:c>
      <x:c r="G162" s="24" t="str">
        <x:v>Hoyalux iD LifeStyle 4i</x:v>
      </x:c>
      <x:c r="H162" s="24" t="str">
        <x:v>INCOLOR</x:v>
      </x:c>
      <x:c r="I162" s="24" t="str">
        <x:v>EYNOA</x:v>
      </x:c>
      <x:c r="J162" s="24" t="str">
        <x:v>1.67</x:v>
      </x:c>
      <x:c r="K162" s="24" t="str">
        <x:v>Hi-Vision Meiryo</x:v>
      </x:c>
      <x:c r="L162" s="40" t="n">
        <x:v>8159</x:v>
      </x:c>
      <x:c r="M162" s="24" t="str">
        <x:v>-12.00 até +8.00</x:v>
      </x:c>
      <x:c r="N162" s="24"/>
      <x:c r="O162" s="24"/>
      <x:c r="P162" s="24"/>
      <x:c r="Q162" s="24"/>
      <x:c r="R162" s="24"/>
      <x:c r="S162" s="26" t="n">
        <x:v>45992</x:v>
      </x:c>
      <x:c r="T162" s="26"/>
      <x:c r="U162" s="24" t="str">
        <x:v>ATIVA/SEM FIM INFORMADO</x:v>
      </x:c>
      <x:c r="V162" s="24"/>
      <x:c r="W162" s="24" t="n">
        <x:v>24</x:v>
      </x:c>
      <x:c r="X162" s="24" t="str">
        <x:v>tabela_hoya(1).pdf</x:v>
      </x:c>
      <x:c r="Y162" s="24" t="str">
        <x:v>alta</x:v>
      </x:c>
      <x:c r="Z162" s="24"/>
      <x:c r="AA162" s="24" t="str">
        <x:v>HOYA|Progressiva|Surfaçada|Hoyalux iD LifeStyle 4i|INCOLOR|EYNOA|1.67|Hi-Vision Meiryo|-12.00 até +8.00||||||24</x:v>
      </x:c>
    </x:row>
    <x:row r="163">
      <x:c r="A163" s="24" t="str">
        <x:v>HY-FAEA52003EEA</x:v>
      </x:c>
      <x:c r="B163" s="24" t="str">
        <x:v>SIM</x:v>
      </x:c>
      <x:c r="C163" s="24" t="str">
        <x:v>DISPONÍVEL</x:v>
      </x:c>
      <x:c r="D163" s="24" t="str">
        <x:v>HOYA</x:v>
      </x:c>
      <x:c r="E163" s="24" t="str">
        <x:v>Progressiva</x:v>
      </x:c>
      <x:c r="F163" s="24" t="str">
        <x:v>Surfaçada</x:v>
      </x:c>
      <x:c r="G163" s="24" t="str">
        <x:v>Hoyalux iD LifeStyle 4i</x:v>
      </x:c>
      <x:c r="H163" s="24" t="str">
        <x:v>INCOLOR</x:v>
      </x:c>
      <x:c r="I163" s="24" t="str">
        <x:v>EYAS 2.0</x:v>
      </x:c>
      <x:c r="J163" s="24" t="str">
        <x:v>1.60</x:v>
      </x:c>
      <x:c r="K163" s="24" t="str">
        <x:v>Hi-Vision Meiryo</x:v>
      </x:c>
      <x:c r="L163" s="40" t="n">
        <x:v>6359</x:v>
      </x:c>
      <x:c r="M163" s="24" t="str">
        <x:v>-10.00 até +8.00</x:v>
      </x:c>
      <x:c r="N163" s="24"/>
      <x:c r="O163" s="24"/>
      <x:c r="P163" s="24"/>
      <x:c r="Q163" s="24"/>
      <x:c r="R163" s="24"/>
      <x:c r="S163" s="26" t="n">
        <x:v>45992</x:v>
      </x:c>
      <x:c r="T163" s="26"/>
      <x:c r="U163" s="24" t="str">
        <x:v>ATIVA/SEM FIM INFORMADO</x:v>
      </x:c>
      <x:c r="V163" s="24"/>
      <x:c r="W163" s="24" t="n">
        <x:v>24</x:v>
      </x:c>
      <x:c r="X163" s="24" t="str">
        <x:v>tabela_hoya(1).pdf</x:v>
      </x:c>
      <x:c r="Y163" s="24" t="str">
        <x:v>alta</x:v>
      </x:c>
      <x:c r="Z163" s="24"/>
      <x:c r="AA163" s="24" t="str">
        <x:v>HOYA|Progressiva|Surfaçada|Hoyalux iD LifeStyle 4i|INCOLOR|EYAS 2.0|1.60|Hi-Vision Meiryo|-10.00 até +8.00||||||24</x:v>
      </x:c>
    </x:row>
    <x:row r="164">
      <x:c r="A164" s="24" t="str">
        <x:v>HY-74C0547529B2</x:v>
      </x:c>
      <x:c r="B164" s="24" t="str">
        <x:v>SIM</x:v>
      </x:c>
      <x:c r="C164" s="24" t="str">
        <x:v>DISPONÍVEL</x:v>
      </x:c>
      <x:c r="D164" s="24" t="str">
        <x:v>HOYA</x:v>
      </x:c>
      <x:c r="E164" s="24" t="str">
        <x:v>Progressiva</x:v>
      </x:c>
      <x:c r="F164" s="24" t="str">
        <x:v>Surfaçada</x:v>
      </x:c>
      <x:c r="G164" s="24" t="str">
        <x:v>Hoyalux iD LifeStyle 4i</x:v>
      </x:c>
      <x:c r="H164" s="24" t="str">
        <x:v>INCOLOR</x:v>
      </x:c>
      <x:c r="I164" s="24" t="str">
        <x:v>PNX</x:v>
      </x:c>
      <x:c r="J164" s="24" t="str">
        <x:v>1.53</x:v>
      </x:c>
      <x:c r="K164" s="24" t="str">
        <x:v>Hi-Vision Meiryo</x:v>
      </x:c>
      <x:c r="L164" s="40" t="n">
        <x:v>5899</x:v>
      </x:c>
      <x:c r="M164" s="24" t="str">
        <x:v>-8.00 até +6.00</x:v>
      </x:c>
      <x:c r="N164" s="24"/>
      <x:c r="O164" s="24"/>
      <x:c r="P164" s="24"/>
      <x:c r="Q164" s="24"/>
      <x:c r="R164" s="24"/>
      <x:c r="S164" s="26" t="n">
        <x:v>45992</x:v>
      </x:c>
      <x:c r="T164" s="26"/>
      <x:c r="U164" s="24" t="str">
        <x:v>ATIVA/SEM FIM INFORMADO</x:v>
      </x:c>
      <x:c r="V164" s="24"/>
      <x:c r="W164" s="24" t="n">
        <x:v>24</x:v>
      </x:c>
      <x:c r="X164" s="24" t="str">
        <x:v>tabela_hoya(1).pdf</x:v>
      </x:c>
      <x:c r="Y164" s="24" t="str">
        <x:v>alta</x:v>
      </x:c>
      <x:c r="Z164" s="24"/>
      <x:c r="AA164" s="24" t="str">
        <x:v>HOYA|Progressiva|Surfaçada|Hoyalux iD LifeStyle 4i|INCOLOR|PNX|1.53|Hi-Vision Meiryo|-8.00 até +6.00||||||24</x:v>
      </x:c>
    </x:row>
    <x:row r="165">
      <x:c r="A165" s="24" t="str">
        <x:v>HY-6567462B5EAB</x:v>
      </x:c>
      <x:c r="B165" s="24" t="str">
        <x:v>SIM</x:v>
      </x:c>
      <x:c r="C165" s="24" t="str">
        <x:v>DISPONÍVEL</x:v>
      </x:c>
      <x:c r="D165" s="24" t="str">
        <x:v>HOYA</x:v>
      </x:c>
      <x:c r="E165" s="24" t="str">
        <x:v>Progressiva</x:v>
      </x:c>
      <x:c r="F165" s="24" t="str">
        <x:v>Surfaçada</x:v>
      </x:c>
      <x:c r="G165" s="24" t="str">
        <x:v>Hoyalux iD LifeStyle 4i</x:v>
      </x:c>
      <x:c r="H165" s="24" t="str">
        <x:v>INCOLOR</x:v>
      </x:c>
      <x:c r="I165" s="24" t="str">
        <x:v>ORGANIC</x:v>
      </x:c>
      <x:c r="J165" s="24" t="str">
        <x:v>1.50</x:v>
      </x:c>
      <x:c r="K165" s="24" t="str">
        <x:v>Hi-Vision Meiryo</x:v>
      </x:c>
      <x:c r="L165" s="40" t="n">
        <x:v>5549</x:v>
      </x:c>
      <x:c r="M165" s="24" t="str">
        <x:v>-8.00 até +6.00</x:v>
      </x:c>
      <x:c r="N165" s="24"/>
      <x:c r="O165" s="24"/>
      <x:c r="P165" s="24"/>
      <x:c r="Q165" s="24"/>
      <x:c r="R165" s="24"/>
      <x:c r="S165" s="26" t="n">
        <x:v>45992</x:v>
      </x:c>
      <x:c r="T165" s="26"/>
      <x:c r="U165" s="24" t="str">
        <x:v>ATIVA/SEM FIM INFORMADO</x:v>
      </x:c>
      <x:c r="V165" s="24"/>
      <x:c r="W165" s="24" t="n">
        <x:v>24</x:v>
      </x:c>
      <x:c r="X165" s="24" t="str">
        <x:v>tabela_hoya(1).pdf</x:v>
      </x:c>
      <x:c r="Y165" s="24" t="str">
        <x:v>alta</x:v>
      </x:c>
      <x:c r="Z165" s="24"/>
      <x:c r="AA165" s="24" t="str">
        <x:v>HOYA|Progressiva|Surfaçada|Hoyalux iD LifeStyle 4i|INCOLOR|ORGANIC|1.50|Hi-Vision Meiryo|-8.00 até +6.00||||||24</x:v>
      </x:c>
    </x:row>
    <x:row r="166">
      <x:c r="A166" s="24" t="str">
        <x:v>HY-C679FC27E5E9</x:v>
      </x:c>
      <x:c r="B166" s="24" t="str">
        <x:v>SIM</x:v>
      </x:c>
      <x:c r="C166" s="24" t="str">
        <x:v>DISPONÍVEL</x:v>
      </x:c>
      <x:c r="D166" s="24" t="str">
        <x:v>HOYA</x:v>
      </x:c>
      <x:c r="E166" s="24" t="str">
        <x:v>Progressiva</x:v>
      </x:c>
      <x:c r="F166" s="24" t="str">
        <x:v>Surfaçada</x:v>
      </x:c>
      <x:c r="G166" s="24" t="str">
        <x:v>Hoyalux iD LifeStyle 4i</x:v>
      </x:c>
      <x:c r="H166" s="24" t="str">
        <x:v>INCOLOR</x:v>
      </x:c>
      <x:c r="I166" s="24" t="str">
        <x:v>EYVIA</x:v>
      </x:c>
      <x:c r="J166" s="24" t="str">
        <x:v>1.74</x:v>
      </x:c>
      <x:c r="K166" s="24" t="str">
        <x:v>Hi-Vision LongLife BlueControl</x:v>
      </x:c>
      <x:c r="L166" s="40" t="n">
        <x:v>9459</x:v>
      </x:c>
      <x:c r="M166" s="24" t="str">
        <x:v>-13.00 até +8.00</x:v>
      </x:c>
      <x:c r="N166" s="24"/>
      <x:c r="O166" s="24"/>
      <x:c r="P166" s="24"/>
      <x:c r="Q166" s="24"/>
      <x:c r="R166" s="24"/>
      <x:c r="S166" s="26" t="n">
        <x:v>45992</x:v>
      </x:c>
      <x:c r="T166" s="26"/>
      <x:c r="U166" s="24" t="str">
        <x:v>ATIVA/SEM FIM INFORMADO</x:v>
      </x:c>
      <x:c r="V166" s="24"/>
      <x:c r="W166" s="24" t="n">
        <x:v>24</x:v>
      </x:c>
      <x:c r="X166" s="24" t="str">
        <x:v>tabela_hoya(1).pdf</x:v>
      </x:c>
      <x:c r="Y166" s="24" t="str">
        <x:v>alta</x:v>
      </x:c>
      <x:c r="Z166" s="24"/>
      <x:c r="AA166" s="24" t="str">
        <x:v>HOYA|Progressiva|Surfaçada|Hoyalux iD LifeStyle 4i|INCOLOR|EYVIA|1.74|Hi-Vision LongLife BlueControl|-13.00 até +8.00||||||24</x:v>
      </x:c>
    </x:row>
    <x:row r="167">
      <x:c r="A167" s="24" t="str">
        <x:v>HY-A6D7DD12F44C</x:v>
      </x:c>
      <x:c r="B167" s="24" t="str">
        <x:v>SIM</x:v>
      </x:c>
      <x:c r="C167" s="24" t="str">
        <x:v>DISPONÍVEL</x:v>
      </x:c>
      <x:c r="D167" s="24" t="str">
        <x:v>HOYA</x:v>
      </x:c>
      <x:c r="E167" s="24" t="str">
        <x:v>Progressiva</x:v>
      </x:c>
      <x:c r="F167" s="24" t="str">
        <x:v>Surfaçada</x:v>
      </x:c>
      <x:c r="G167" s="24" t="str">
        <x:v>Hoyalux iD LifeStyle 4i</x:v>
      </x:c>
      <x:c r="H167" s="24" t="str">
        <x:v>INCOLOR</x:v>
      </x:c>
      <x:c r="I167" s="24" t="str">
        <x:v>EYNOA</x:v>
      </x:c>
      <x:c r="J167" s="24" t="str">
        <x:v>1.67</x:v>
      </x:c>
      <x:c r="K167" s="24" t="str">
        <x:v>Hi-Vision LongLife BlueControl</x:v>
      </x:c>
      <x:c r="L167" s="40" t="n">
        <x:v>7959</x:v>
      </x:c>
      <x:c r="M167" s="24" t="str">
        <x:v>-12.00 até +8.00</x:v>
      </x:c>
      <x:c r="N167" s="24"/>
      <x:c r="O167" s="24"/>
      <x:c r="P167" s="24"/>
      <x:c r="Q167" s="24"/>
      <x:c r="R167" s="24"/>
      <x:c r="S167" s="26" t="n">
        <x:v>45992</x:v>
      </x:c>
      <x:c r="T167" s="26"/>
      <x:c r="U167" s="24" t="str">
        <x:v>ATIVA/SEM FIM INFORMADO</x:v>
      </x:c>
      <x:c r="V167" s="24"/>
      <x:c r="W167" s="24" t="n">
        <x:v>24</x:v>
      </x:c>
      <x:c r="X167" s="24" t="str">
        <x:v>tabela_hoya(1).pdf</x:v>
      </x:c>
      <x:c r="Y167" s="24" t="str">
        <x:v>alta</x:v>
      </x:c>
      <x:c r="Z167" s="24"/>
      <x:c r="AA167" s="24" t="str">
        <x:v>HOYA|Progressiva|Surfaçada|Hoyalux iD LifeStyle 4i|INCOLOR|EYNOA|1.67|Hi-Vision LongLife BlueControl|-12.00 até +8.00||||||24</x:v>
      </x:c>
    </x:row>
    <x:row r="168">
      <x:c r="A168" s="24" t="str">
        <x:v>HY-2A8F60D44724</x:v>
      </x:c>
      <x:c r="B168" s="24" t="str">
        <x:v>SIM</x:v>
      </x:c>
      <x:c r="C168" s="24" t="str">
        <x:v>DISPONÍVEL</x:v>
      </x:c>
      <x:c r="D168" s="24" t="str">
        <x:v>HOYA</x:v>
      </x:c>
      <x:c r="E168" s="24" t="str">
        <x:v>Progressiva</x:v>
      </x:c>
      <x:c r="F168" s="24" t="str">
        <x:v>Surfaçada</x:v>
      </x:c>
      <x:c r="G168" s="24" t="str">
        <x:v>Hoyalux iD LifeStyle 4i</x:v>
      </x:c>
      <x:c r="H168" s="24" t="str">
        <x:v>INCOLOR</x:v>
      </x:c>
      <x:c r="I168" s="24" t="str">
        <x:v>EYAS 2.0</x:v>
      </x:c>
      <x:c r="J168" s="24" t="str">
        <x:v>1.60</x:v>
      </x:c>
      <x:c r="K168" s="24" t="str">
        <x:v>Hi-Vision LongLife BlueControl</x:v>
      </x:c>
      <x:c r="L168" s="40" t="n">
        <x:v>6159</x:v>
      </x:c>
      <x:c r="M168" s="24" t="str">
        <x:v>-10.00 até +8.00</x:v>
      </x:c>
      <x:c r="N168" s="24"/>
      <x:c r="O168" s="24"/>
      <x:c r="P168" s="24"/>
      <x:c r="Q168" s="24"/>
      <x:c r="R168" s="24"/>
      <x:c r="S168" s="26" t="n">
        <x:v>45992</x:v>
      </x:c>
      <x:c r="T168" s="26"/>
      <x:c r="U168" s="24" t="str">
        <x:v>ATIVA/SEM FIM INFORMADO</x:v>
      </x:c>
      <x:c r="V168" s="24"/>
      <x:c r="W168" s="24" t="n">
        <x:v>24</x:v>
      </x:c>
      <x:c r="X168" s="24" t="str">
        <x:v>tabela_hoya(1).pdf</x:v>
      </x:c>
      <x:c r="Y168" s="24" t="str">
        <x:v>alta</x:v>
      </x:c>
      <x:c r="Z168" s="24"/>
      <x:c r="AA168" s="24" t="str">
        <x:v>HOYA|Progressiva|Surfaçada|Hoyalux iD LifeStyle 4i|INCOLOR|EYAS 2.0|1.60|Hi-Vision LongLife BlueControl|-10.00 até +8.00||||||24</x:v>
      </x:c>
    </x:row>
    <x:row r="169">
      <x:c r="A169" s="24" t="str">
        <x:v>HY-93C9B11F9DE0</x:v>
      </x:c>
      <x:c r="B169" s="24" t="str">
        <x:v>SIM</x:v>
      </x:c>
      <x:c r="C169" s="24" t="str">
        <x:v>DISPONÍVEL</x:v>
      </x:c>
      <x:c r="D169" s="24" t="str">
        <x:v>HOYA</x:v>
      </x:c>
      <x:c r="E169" s="24" t="str">
        <x:v>Progressiva</x:v>
      </x:c>
      <x:c r="F169" s="24" t="str">
        <x:v>Surfaçada</x:v>
      </x:c>
      <x:c r="G169" s="24" t="str">
        <x:v>Hoyalux iD LifeStyle 4i</x:v>
      </x:c>
      <x:c r="H169" s="24" t="str">
        <x:v>INCOLOR</x:v>
      </x:c>
      <x:c r="I169" s="24" t="str">
        <x:v>PNX</x:v>
      </x:c>
      <x:c r="J169" s="24" t="str">
        <x:v>1.53</x:v>
      </x:c>
      <x:c r="K169" s="24" t="str">
        <x:v>Hi-Vision LongLife BlueControl</x:v>
      </x:c>
      <x:c r="L169" s="40" t="n">
        <x:v>5699</x:v>
      </x:c>
      <x:c r="M169" s="24" t="str">
        <x:v>-8.00 até +6.00</x:v>
      </x:c>
      <x:c r="N169" s="24"/>
      <x:c r="O169" s="24"/>
      <x:c r="P169" s="24"/>
      <x:c r="Q169" s="24"/>
      <x:c r="R169" s="24"/>
      <x:c r="S169" s="26" t="n">
        <x:v>45992</x:v>
      </x:c>
      <x:c r="T169" s="26"/>
      <x:c r="U169" s="24" t="str">
        <x:v>ATIVA/SEM FIM INFORMADO</x:v>
      </x:c>
      <x:c r="V169" s="24"/>
      <x:c r="W169" s="24" t="n">
        <x:v>24</x:v>
      </x:c>
      <x:c r="X169" s="24" t="str">
        <x:v>tabela_hoya(1).pdf</x:v>
      </x:c>
      <x:c r="Y169" s="24" t="str">
        <x:v>alta</x:v>
      </x:c>
      <x:c r="Z169" s="24"/>
      <x:c r="AA169" s="24" t="str">
        <x:v>HOYA|Progressiva|Surfaçada|Hoyalux iD LifeStyle 4i|INCOLOR|PNX|1.53|Hi-Vision LongLife BlueControl|-8.00 até +6.00||||||24</x:v>
      </x:c>
    </x:row>
    <x:row r="170">
      <x:c r="A170" s="24" t="str">
        <x:v>HY-FCA3D7165830</x:v>
      </x:c>
      <x:c r="B170" s="24" t="str">
        <x:v>SIM</x:v>
      </x:c>
      <x:c r="C170" s="24" t="str">
        <x:v>DISPONÍVEL</x:v>
      </x:c>
      <x:c r="D170" s="24" t="str">
        <x:v>HOYA</x:v>
      </x:c>
      <x:c r="E170" s="24" t="str">
        <x:v>Progressiva</x:v>
      </x:c>
      <x:c r="F170" s="24" t="str">
        <x:v>Surfaçada</x:v>
      </x:c>
      <x:c r="G170" s="24" t="str">
        <x:v>Hoyalux iD LifeStyle 4i</x:v>
      </x:c>
      <x:c r="H170" s="24" t="str">
        <x:v>INCOLOR</x:v>
      </x:c>
      <x:c r="I170" s="24" t="str">
        <x:v>ORGANIC</x:v>
      </x:c>
      <x:c r="J170" s="24" t="str">
        <x:v>1.50</x:v>
      </x:c>
      <x:c r="K170" s="24" t="str">
        <x:v>Hi-Vision LongLife BlueControl</x:v>
      </x:c>
      <x:c r="L170" s="40" t="n">
        <x:v>5349</x:v>
      </x:c>
      <x:c r="M170" s="24" t="str">
        <x:v>-8.00 até +6.00</x:v>
      </x:c>
      <x:c r="N170" s="24"/>
      <x:c r="O170" s="24"/>
      <x:c r="P170" s="24"/>
      <x:c r="Q170" s="24"/>
      <x:c r="R170" s="24"/>
      <x:c r="S170" s="26" t="n">
        <x:v>45992</x:v>
      </x:c>
      <x:c r="T170" s="26"/>
      <x:c r="U170" s="24" t="str">
        <x:v>ATIVA/SEM FIM INFORMADO</x:v>
      </x:c>
      <x:c r="V170" s="24"/>
      <x:c r="W170" s="24" t="n">
        <x:v>24</x:v>
      </x:c>
      <x:c r="X170" s="24" t="str">
        <x:v>tabela_hoya(1).pdf</x:v>
      </x:c>
      <x:c r="Y170" s="24" t="str">
        <x:v>alta</x:v>
      </x:c>
      <x:c r="Z170" s="24"/>
      <x:c r="AA170" s="24" t="str">
        <x:v>HOYA|Progressiva|Surfaçada|Hoyalux iD LifeStyle 4i|INCOLOR|ORGANIC|1.50|Hi-Vision LongLife BlueControl|-8.00 até +6.00||||||24</x:v>
      </x:c>
    </x:row>
    <x:row r="171">
      <x:c r="A171" s="24" t="str">
        <x:v>HY-32EA7E661AA6</x:v>
      </x:c>
      <x:c r="B171" s="24" t="str">
        <x:v>SIM</x:v>
      </x:c>
      <x:c r="C171" s="24" t="str">
        <x:v>DISPONÍVEL</x:v>
      </x:c>
      <x:c r="D171" s="24" t="str">
        <x:v>HOYA</x:v>
      </x:c>
      <x:c r="E171" s="24" t="str">
        <x:v>Progressiva</x:v>
      </x:c>
      <x:c r="F171" s="24" t="str">
        <x:v>Surfaçada</x:v>
      </x:c>
      <x:c r="G171" s="24" t="str">
        <x:v>Hoyalux iD LifeStyle 4i</x:v>
      </x:c>
      <x:c r="H171" s="24" t="str">
        <x:v>INCOLOR</x:v>
      </x:c>
      <x:c r="I171" s="24" t="str">
        <x:v>EYNOA</x:v>
      </x:c>
      <x:c r="J171" s="24" t="str">
        <x:v>1.67</x:v>
      </x:c>
      <x:c r="K171" s="24" t="str">
        <x:v>No-Risk BlueControl</x:v>
      </x:c>
      <x:c r="L171" s="40" t="n">
        <x:v>7709</x:v>
      </x:c>
      <x:c r="M171" s="24" t="str">
        <x:v>-12.00 até +8.00</x:v>
      </x:c>
      <x:c r="N171" s="24"/>
      <x:c r="O171" s="24"/>
      <x:c r="P171" s="24"/>
      <x:c r="Q171" s="24"/>
      <x:c r="R171" s="24"/>
      <x:c r="S171" s="26" t="n">
        <x:v>45992</x:v>
      </x:c>
      <x:c r="T171" s="26"/>
      <x:c r="U171" s="24" t="str">
        <x:v>ATIVA/SEM FIM INFORMADO</x:v>
      </x:c>
      <x:c r="V171" s="24"/>
      <x:c r="W171" s="24" t="n">
        <x:v>24</x:v>
      </x:c>
      <x:c r="X171" s="24" t="str">
        <x:v>tabela_hoya(1).pdf</x:v>
      </x:c>
      <x:c r="Y171" s="24" t="str">
        <x:v>alta</x:v>
      </x:c>
      <x:c r="Z171" s="24"/>
      <x:c r="AA171" s="24" t="str">
        <x:v>HOYA|Progressiva|Surfaçada|Hoyalux iD LifeStyle 4i|INCOLOR|EYNOA|1.67|No-Risk BlueControl|-12.00 até +8.00||||||24</x:v>
      </x:c>
    </x:row>
    <x:row r="172">
      <x:c r="A172" s="24" t="str">
        <x:v>HY-61CE9666296B</x:v>
      </x:c>
      <x:c r="B172" s="24" t="str">
        <x:v>SIM</x:v>
      </x:c>
      <x:c r="C172" s="24" t="str">
        <x:v>DISPONÍVEL</x:v>
      </x:c>
      <x:c r="D172" s="24" t="str">
        <x:v>HOYA</x:v>
      </x:c>
      <x:c r="E172" s="24" t="str">
        <x:v>Progressiva</x:v>
      </x:c>
      <x:c r="F172" s="24" t="str">
        <x:v>Surfaçada</x:v>
      </x:c>
      <x:c r="G172" s="24" t="str">
        <x:v>Hoyalux iD LifeStyle 4i</x:v>
      </x:c>
      <x:c r="H172" s="24" t="str">
        <x:v>INCOLOR</x:v>
      </x:c>
      <x:c r="I172" s="24" t="str">
        <x:v>EYAS 2.0</x:v>
      </x:c>
      <x:c r="J172" s="24" t="str">
        <x:v>1.60</x:v>
      </x:c>
      <x:c r="K172" s="24" t="str">
        <x:v>No-Risk BlueControl</x:v>
      </x:c>
      <x:c r="L172" s="40" t="n">
        <x:v>5909</x:v>
      </x:c>
      <x:c r="M172" s="24" t="str">
        <x:v>-10.00 até +8.00</x:v>
      </x:c>
      <x:c r="N172" s="24"/>
      <x:c r="O172" s="24"/>
      <x:c r="P172" s="24"/>
      <x:c r="Q172" s="24"/>
      <x:c r="R172" s="24"/>
      <x:c r="S172" s="26" t="n">
        <x:v>45992</x:v>
      </x:c>
      <x:c r="T172" s="26"/>
      <x:c r="U172" s="24" t="str">
        <x:v>ATIVA/SEM FIM INFORMADO</x:v>
      </x:c>
      <x:c r="V172" s="24"/>
      <x:c r="W172" s="24" t="n">
        <x:v>24</x:v>
      </x:c>
      <x:c r="X172" s="24" t="str">
        <x:v>tabela_hoya(1).pdf</x:v>
      </x:c>
      <x:c r="Y172" s="24" t="str">
        <x:v>alta</x:v>
      </x:c>
      <x:c r="Z172" s="24"/>
      <x:c r="AA172" s="24" t="str">
        <x:v>HOYA|Progressiva|Surfaçada|Hoyalux iD LifeStyle 4i|INCOLOR|EYAS 2.0|1.60|No-Risk BlueControl|-10.00 até +8.00||||||24</x:v>
      </x:c>
    </x:row>
    <x:row r="173">
      <x:c r="A173" s="24" t="str">
        <x:v>HY-CB4C8A84CFE1</x:v>
      </x:c>
      <x:c r="B173" s="24" t="str">
        <x:v>SIM</x:v>
      </x:c>
      <x:c r="C173" s="24" t="str">
        <x:v>DISPONÍVEL</x:v>
      </x:c>
      <x:c r="D173" s="24" t="str">
        <x:v>HOYA</x:v>
      </x:c>
      <x:c r="E173" s="24" t="str">
        <x:v>Progressiva</x:v>
      </x:c>
      <x:c r="F173" s="24" t="str">
        <x:v>Surfaçada</x:v>
      </x:c>
      <x:c r="G173" s="24" t="str">
        <x:v>Hoyalux iD LifeStyle 4i</x:v>
      </x:c>
      <x:c r="H173" s="24" t="str">
        <x:v>INCOLOR</x:v>
      </x:c>
      <x:c r="I173" s="24" t="str">
        <x:v>PNX</x:v>
      </x:c>
      <x:c r="J173" s="24" t="str">
        <x:v>1.53</x:v>
      </x:c>
      <x:c r="K173" s="24" t="str">
        <x:v>No-Risk BlueControl</x:v>
      </x:c>
      <x:c r="L173" s="40" t="n">
        <x:v>5449</x:v>
      </x:c>
      <x:c r="M173" s="24" t="str">
        <x:v>-8.00 até +6.00</x:v>
      </x:c>
      <x:c r="N173" s="24"/>
      <x:c r="O173" s="24"/>
      <x:c r="P173" s="24"/>
      <x:c r="Q173" s="24"/>
      <x:c r="R173" s="24"/>
      <x:c r="S173" s="26" t="n">
        <x:v>45992</x:v>
      </x:c>
      <x:c r="T173" s="26"/>
      <x:c r="U173" s="24" t="str">
        <x:v>ATIVA/SEM FIM INFORMADO</x:v>
      </x:c>
      <x:c r="V173" s="24"/>
      <x:c r="W173" s="24" t="n">
        <x:v>24</x:v>
      </x:c>
      <x:c r="X173" s="24" t="str">
        <x:v>tabela_hoya(1).pdf</x:v>
      </x:c>
      <x:c r="Y173" s="24" t="str">
        <x:v>alta</x:v>
      </x:c>
      <x:c r="Z173" s="24"/>
      <x:c r="AA173" s="24" t="str">
        <x:v>HOYA|Progressiva|Surfaçada|Hoyalux iD LifeStyle 4i|INCOLOR|PNX|1.53|No-Risk BlueControl|-8.00 até +6.00||||||24</x:v>
      </x:c>
    </x:row>
    <x:row r="174">
      <x:c r="A174" s="24" t="str">
        <x:v>HY-B7F85DD15CC0</x:v>
      </x:c>
      <x:c r="B174" s="24" t="str">
        <x:v>SIM</x:v>
      </x:c>
      <x:c r="C174" s="24" t="str">
        <x:v>DISPONÍVEL</x:v>
      </x:c>
      <x:c r="D174" s="24" t="str">
        <x:v>HOYA</x:v>
      </x:c>
      <x:c r="E174" s="24" t="str">
        <x:v>Progressiva</x:v>
      </x:c>
      <x:c r="F174" s="24" t="str">
        <x:v>Surfaçada</x:v>
      </x:c>
      <x:c r="G174" s="24" t="str">
        <x:v>Hoyalux iD LifeStyle 4i</x:v>
      </x:c>
      <x:c r="H174" s="24" t="str">
        <x:v>INCOLOR</x:v>
      </x:c>
      <x:c r="I174" s="24" t="str">
        <x:v>ORGANIC</x:v>
      </x:c>
      <x:c r="J174" s="24" t="str">
        <x:v>1.50</x:v>
      </x:c>
      <x:c r="K174" s="24" t="str">
        <x:v>No-Risk BlueControl</x:v>
      </x:c>
      <x:c r="L174" s="40" t="n">
        <x:v>5099</x:v>
      </x:c>
      <x:c r="M174" s="24" t="str">
        <x:v>-8.00 até +6.00</x:v>
      </x:c>
      <x:c r="N174" s="24"/>
      <x:c r="O174" s="24"/>
      <x:c r="P174" s="24"/>
      <x:c r="Q174" s="24"/>
      <x:c r="R174" s="24"/>
      <x:c r="S174" s="26" t="n">
        <x:v>45992</x:v>
      </x:c>
      <x:c r="T174" s="26"/>
      <x:c r="U174" s="24" t="str">
        <x:v>ATIVA/SEM FIM INFORMADO</x:v>
      </x:c>
      <x:c r="V174" s="24"/>
      <x:c r="W174" s="24" t="n">
        <x:v>24</x:v>
      </x:c>
      <x:c r="X174" s="24" t="str">
        <x:v>tabela_hoya(1).pdf</x:v>
      </x:c>
      <x:c r="Y174" s="24" t="str">
        <x:v>alta</x:v>
      </x:c>
      <x:c r="Z174" s="24"/>
      <x:c r="AA174" s="24" t="str">
        <x:v>HOYA|Progressiva|Surfaçada|Hoyalux iD LifeStyle 4i|INCOLOR|ORGANIC|1.50|No-Risk BlueControl|-8.00 até +6.00||||||24</x:v>
      </x:c>
    </x:row>
    <x:row r="175">
      <x:c r="A175" s="24" t="str">
        <x:v>HY-3F5D6A6431CA</x:v>
      </x:c>
      <x:c r="B175" s="24" t="str">
        <x:v>SIM</x:v>
      </x:c>
      <x:c r="C175" s="24" t="str">
        <x:v>DISPONÍVEL</x:v>
      </x:c>
      <x:c r="D175" s="24" t="str">
        <x:v>HOYA</x:v>
      </x:c>
      <x:c r="E175" s="24" t="str">
        <x:v>Progressiva</x:v>
      </x:c>
      <x:c r="F175" s="24" t="str">
        <x:v>Surfaçada</x:v>
      </x:c>
      <x:c r="G175" s="24" t="str">
        <x:v>Hoyalux iD LifeStyle 4i</x:v>
      </x:c>
      <x:c r="H175" s="24" t="str">
        <x:v>COLORIDAS</x:v>
      </x:c>
      <x:c r="I175" s="24" t="str">
        <x:v>EYVIA</x:v>
      </x:c>
      <x:c r="J175" s="24" t="str">
        <x:v>1.74</x:v>
      </x:c>
      <x:c r="K175" s="24" t="str">
        <x:v>Hi-Vision Sun Pro</x:v>
      </x:c>
      <x:c r="L175" s="40" t="n">
        <x:v>9749</x:v>
      </x:c>
      <x:c r="M175" s="24" t="str">
        <x:v>-13.00 até +8.00</x:v>
      </x:c>
      <x:c r="N175" s="24"/>
      <x:c r="O175" s="24"/>
      <x:c r="P175" s="24"/>
      <x:c r="Q175" s="24"/>
      <x:c r="R175" s="24"/>
      <x:c r="S175" s="26" t="n">
        <x:v>45992</x:v>
      </x:c>
      <x:c r="T175" s="26"/>
      <x:c r="U175" s="24" t="str">
        <x:v>ATIVA/SEM FIM INFORMADO</x:v>
      </x:c>
      <x:c r="V175" s="24"/>
      <x:c r="W175" s="24" t="n">
        <x:v>24</x:v>
      </x:c>
      <x:c r="X175" s="24" t="str">
        <x:v>tabela_hoya(1).pdf</x:v>
      </x:c>
      <x:c r="Y175" s="24" t="str">
        <x:v>alta</x:v>
      </x:c>
      <x:c r="Z175" s="24"/>
      <x:c r="AA175" s="24" t="str">
        <x:v>HOYA|Progressiva|Surfaçada|Hoyalux iD LifeStyle 4i|COLORIDAS|EYVIA|1.74|Hi-Vision Sun Pro|-13.00 até +8.00||||||24</x:v>
      </x:c>
    </x:row>
    <x:row r="176">
      <x:c r="A176" s="24" t="str">
        <x:v>HY-DBD40170F9FA</x:v>
      </x:c>
      <x:c r="B176" s="24" t="str">
        <x:v>SIM</x:v>
      </x:c>
      <x:c r="C176" s="24" t="str">
        <x:v>DISPONÍVEL</x:v>
      </x:c>
      <x:c r="D176" s="24" t="str">
        <x:v>HOYA</x:v>
      </x:c>
      <x:c r="E176" s="24" t="str">
        <x:v>Progressiva</x:v>
      </x:c>
      <x:c r="F176" s="24" t="str">
        <x:v>Surfaçada</x:v>
      </x:c>
      <x:c r="G176" s="24" t="str">
        <x:v>Hoyalux iD LifeStyle 4i</x:v>
      </x:c>
      <x:c r="H176" s="24" t="str">
        <x:v>COLORIDAS</x:v>
      </x:c>
      <x:c r="I176" s="24" t="str">
        <x:v>EYNOA</x:v>
      </x:c>
      <x:c r="J176" s="24" t="str">
        <x:v>1.67</x:v>
      </x:c>
      <x:c r="K176" s="24" t="str">
        <x:v>Hi-Vision Sun Pro</x:v>
      </x:c>
      <x:c r="L176" s="40" t="n">
        <x:v>7999</x:v>
      </x:c>
      <x:c r="M176" s="24" t="str">
        <x:v>-12.00 até +8.00</x:v>
      </x:c>
      <x:c r="N176" s="24"/>
      <x:c r="O176" s="24"/>
      <x:c r="P176" s="24"/>
      <x:c r="Q176" s="24"/>
      <x:c r="R176" s="24"/>
      <x:c r="S176" s="26" t="n">
        <x:v>45992</x:v>
      </x:c>
      <x:c r="T176" s="26"/>
      <x:c r="U176" s="24" t="str">
        <x:v>ATIVA/SEM FIM INFORMADO</x:v>
      </x:c>
      <x:c r="V176" s="24"/>
      <x:c r="W176" s="24" t="n">
        <x:v>24</x:v>
      </x:c>
      <x:c r="X176" s="24" t="str">
        <x:v>tabela_hoya(1).pdf</x:v>
      </x:c>
      <x:c r="Y176" s="24" t="str">
        <x:v>alta</x:v>
      </x:c>
      <x:c r="Z176" s="24"/>
      <x:c r="AA176" s="24" t="str">
        <x:v>HOYA|Progressiva|Surfaçada|Hoyalux iD LifeStyle 4i|COLORIDAS|EYNOA|1.67|Hi-Vision Sun Pro|-12.00 até +8.00||||||24</x:v>
      </x:c>
    </x:row>
    <x:row r="177">
      <x:c r="A177" s="24" t="str">
        <x:v>HY-75C8B46630F9</x:v>
      </x:c>
      <x:c r="B177" s="24" t="str">
        <x:v>SIM</x:v>
      </x:c>
      <x:c r="C177" s="24" t="str">
        <x:v>DISPONÍVEL</x:v>
      </x:c>
      <x:c r="D177" s="24" t="str">
        <x:v>HOYA</x:v>
      </x:c>
      <x:c r="E177" s="24" t="str">
        <x:v>Progressiva</x:v>
      </x:c>
      <x:c r="F177" s="24" t="str">
        <x:v>Surfaçada</x:v>
      </x:c>
      <x:c r="G177" s="24" t="str">
        <x:v>Hoyalux iD LifeStyle 4i</x:v>
      </x:c>
      <x:c r="H177" s="24" t="str">
        <x:v>COLORIDAS</x:v>
      </x:c>
      <x:c r="I177" s="24" t="str">
        <x:v>EYAS 2.0</x:v>
      </x:c>
      <x:c r="J177" s="24" t="str">
        <x:v>1.60</x:v>
      </x:c>
      <x:c r="K177" s="24" t="str">
        <x:v>Hi-Vision Sun Pro</x:v>
      </x:c>
      <x:c r="L177" s="40" t="n">
        <x:v>6199</x:v>
      </x:c>
      <x:c r="M177" s="24" t="str">
        <x:v>-10.00 até +8.00</x:v>
      </x:c>
      <x:c r="N177" s="24"/>
      <x:c r="O177" s="24"/>
      <x:c r="P177" s="24"/>
      <x:c r="Q177" s="24"/>
      <x:c r="R177" s="24"/>
      <x:c r="S177" s="26" t="n">
        <x:v>45992</x:v>
      </x:c>
      <x:c r="T177" s="26"/>
      <x:c r="U177" s="24" t="str">
        <x:v>ATIVA/SEM FIM INFORMADO</x:v>
      </x:c>
      <x:c r="V177" s="24"/>
      <x:c r="W177" s="24" t="n">
        <x:v>24</x:v>
      </x:c>
      <x:c r="X177" s="24" t="str">
        <x:v>tabela_hoya(1).pdf</x:v>
      </x:c>
      <x:c r="Y177" s="24" t="str">
        <x:v>alta</x:v>
      </x:c>
      <x:c r="Z177" s="24"/>
      <x:c r="AA177" s="24" t="str">
        <x:v>HOYA|Progressiva|Surfaçada|Hoyalux iD LifeStyle 4i|COLORIDAS|EYAS 2.0|1.60|Hi-Vision Sun Pro|-10.00 até +8.00||||||24</x:v>
      </x:c>
    </x:row>
    <x:row r="178">
      <x:c r="A178" s="24" t="str">
        <x:v>HY-E629DEE648B0</x:v>
      </x:c>
      <x:c r="B178" s="24" t="str">
        <x:v>SIM</x:v>
      </x:c>
      <x:c r="C178" s="24" t="str">
        <x:v>DISPONÍVEL</x:v>
      </x:c>
      <x:c r="D178" s="24" t="str">
        <x:v>HOYA</x:v>
      </x:c>
      <x:c r="E178" s="24" t="str">
        <x:v>Progressiva</x:v>
      </x:c>
      <x:c r="F178" s="24" t="str">
        <x:v>Surfaçada</x:v>
      </x:c>
      <x:c r="G178" s="24" t="str">
        <x:v>Hoyalux iD LifeStyle 4i</x:v>
      </x:c>
      <x:c r="H178" s="24" t="str">
        <x:v>COLORIDAS</x:v>
      </x:c>
      <x:c r="I178" s="24" t="str">
        <x:v>PNX</x:v>
      </x:c>
      <x:c r="J178" s="24" t="str">
        <x:v>1.53</x:v>
      </x:c>
      <x:c r="K178" s="24" t="str">
        <x:v>Hi-Vision Sun Pro</x:v>
      </x:c>
      <x:c r="L178" s="40" t="n">
        <x:v>5739</x:v>
      </x:c>
      <x:c r="M178" s="24" t="str">
        <x:v>-8.00 até +6.00</x:v>
      </x:c>
      <x:c r="N178" s="24"/>
      <x:c r="O178" s="24"/>
      <x:c r="P178" s="24"/>
      <x:c r="Q178" s="24"/>
      <x:c r="R178" s="24"/>
      <x:c r="S178" s="26" t="n">
        <x:v>45992</x:v>
      </x:c>
      <x:c r="T178" s="26"/>
      <x:c r="U178" s="24" t="str">
        <x:v>ATIVA/SEM FIM INFORMADO</x:v>
      </x:c>
      <x:c r="V178" s="24"/>
      <x:c r="W178" s="24" t="n">
        <x:v>24</x:v>
      </x:c>
      <x:c r="X178" s="24" t="str">
        <x:v>tabela_hoya(1).pdf</x:v>
      </x:c>
      <x:c r="Y178" s="24" t="str">
        <x:v>alta</x:v>
      </x:c>
      <x:c r="Z178" s="24"/>
      <x:c r="AA178" s="24" t="str">
        <x:v>HOYA|Progressiva|Surfaçada|Hoyalux iD LifeStyle 4i|COLORIDAS|PNX|1.53|Hi-Vision Sun Pro|-8.00 até +6.00||||||24</x:v>
      </x:c>
    </x:row>
    <x:row r="179">
      <x:c r="A179" s="24" t="str">
        <x:v>HY-210BC718039C</x:v>
      </x:c>
      <x:c r="B179" s="24" t="str">
        <x:v>SIM</x:v>
      </x:c>
      <x:c r="C179" s="24" t="str">
        <x:v>DISPONÍVEL</x:v>
      </x:c>
      <x:c r="D179" s="24" t="str">
        <x:v>HOYA</x:v>
      </x:c>
      <x:c r="E179" s="24" t="str">
        <x:v>Progressiva</x:v>
      </x:c>
      <x:c r="F179" s="24" t="str">
        <x:v>Surfaçada</x:v>
      </x:c>
      <x:c r="G179" s="24" t="str">
        <x:v>Hoyalux iD LifeStyle 4i</x:v>
      </x:c>
      <x:c r="H179" s="24" t="str">
        <x:v>COLORIDAS</x:v>
      </x:c>
      <x:c r="I179" s="24" t="str">
        <x:v>ORGANIC</x:v>
      </x:c>
      <x:c r="J179" s="24" t="str">
        <x:v>1.50</x:v>
      </x:c>
      <x:c r="K179" s="24" t="str">
        <x:v>Hi-Vision Sun Pro</x:v>
      </x:c>
      <x:c r="L179" s="40" t="n">
        <x:v>5389</x:v>
      </x:c>
      <x:c r="M179" s="24" t="str">
        <x:v>-8.00 até +6.00</x:v>
      </x:c>
      <x:c r="N179" s="24"/>
      <x:c r="O179" s="24"/>
      <x:c r="P179" s="24"/>
      <x:c r="Q179" s="24"/>
      <x:c r="R179" s="24"/>
      <x:c r="S179" s="26" t="n">
        <x:v>45992</x:v>
      </x:c>
      <x:c r="T179" s="26"/>
      <x:c r="U179" s="24" t="str">
        <x:v>ATIVA/SEM FIM INFORMADO</x:v>
      </x:c>
      <x:c r="V179" s="24"/>
      <x:c r="W179" s="24" t="n">
        <x:v>24</x:v>
      </x:c>
      <x:c r="X179" s="24" t="str">
        <x:v>tabela_hoya(1).pdf</x:v>
      </x:c>
      <x:c r="Y179" s="24" t="str">
        <x:v>alta</x:v>
      </x:c>
      <x:c r="Z179" s="24"/>
      <x:c r="AA179" s="24" t="str">
        <x:v>HOYA|Progressiva|Surfaçada|Hoyalux iD LifeStyle 4i|COLORIDAS|ORGANIC|1.50|Hi-Vision Sun Pro|-8.00 até +6.00||||||24</x:v>
      </x:c>
    </x:row>
    <x:row r="180">
      <x:c r="A180" s="24" t="str">
        <x:v>HY-BA46E420C433</x:v>
      </x:c>
      <x:c r="B180" s="24" t="str">
        <x:v>SIM</x:v>
      </x:c>
      <x:c r="C180" s="24" t="str">
        <x:v>DISPONÍVEL</x:v>
      </x:c>
      <x:c r="D180" s="24" t="str">
        <x:v>HOYA</x:v>
      </x:c>
      <x:c r="E180" s="24" t="str">
        <x:v>Progressiva</x:v>
      </x:c>
      <x:c r="F180" s="24" t="str">
        <x:v>Surfaçada</x:v>
      </x:c>
      <x:c r="G180" s="24" t="str">
        <x:v>Hoyalux iD LifeStyle 4i</x:v>
      </x:c>
      <x:c r="H180" s="24" t="str">
        <x:v>SENSITY 2</x:v>
      </x:c>
      <x:c r="I180" s="24" t="str">
        <x:v>EYNOA</x:v>
      </x:c>
      <x:c r="J180" s="24" t="str">
        <x:v>1.67</x:v>
      </x:c>
      <x:c r="K180" s="24" t="str">
        <x:v>Hi-Vision Meiryo</x:v>
      </x:c>
      <x:c r="L180" s="40" t="n">
        <x:v>9559</x:v>
      </x:c>
      <x:c r="M180" s="24" t="str">
        <x:v>-12.00 até +8.00</x:v>
      </x:c>
      <x:c r="N180" s="24"/>
      <x:c r="O180" s="24"/>
      <x:c r="P180" s="24"/>
      <x:c r="Q180" s="24"/>
      <x:c r="R180" s="24"/>
      <x:c r="S180" s="26" t="n">
        <x:v>45992</x:v>
      </x:c>
      <x:c r="T180" s="26"/>
      <x:c r="U180" s="24" t="str">
        <x:v>ATIVA/SEM FIM INFORMADO</x:v>
      </x:c>
      <x:c r="V180" s="24"/>
      <x:c r="W180" s="24" t="n">
        <x:v>24</x:v>
      </x:c>
      <x:c r="X180" s="24" t="str">
        <x:v>tabela_hoya(1).pdf</x:v>
      </x:c>
      <x:c r="Y180" s="24" t="str">
        <x:v>alta</x:v>
      </x:c>
      <x:c r="Z180" s="24"/>
      <x:c r="AA180" s="24" t="str">
        <x:v>HOYA|Progressiva|Surfaçada|Hoyalux iD LifeStyle 4i|SENSITY 2|EYNOA|1.67|Hi-Vision Meiryo|-12.00 até +8.00||||||24</x:v>
      </x:c>
    </x:row>
    <x:row r="181">
      <x:c r="A181" s="24" t="str">
        <x:v>HY-71D5BF3E5CEA</x:v>
      </x:c>
      <x:c r="B181" s="24" t="str">
        <x:v>SIM</x:v>
      </x:c>
      <x:c r="C181" s="24" t="str">
        <x:v>DISPONÍVEL</x:v>
      </x:c>
      <x:c r="D181" s="24" t="str">
        <x:v>HOYA</x:v>
      </x:c>
      <x:c r="E181" s="24" t="str">
        <x:v>Progressiva</x:v>
      </x:c>
      <x:c r="F181" s="24" t="str">
        <x:v>Surfaçada</x:v>
      </x:c>
      <x:c r="G181" s="24" t="str">
        <x:v>Hoyalux iD LifeStyle 4i</x:v>
      </x:c>
      <x:c r="H181" s="24" t="str">
        <x:v>SENSITY 2</x:v>
      </x:c>
      <x:c r="I181" s="24" t="str">
        <x:v>EYAS 2.0</x:v>
      </x:c>
      <x:c r="J181" s="24" t="str">
        <x:v>1.60</x:v>
      </x:c>
      <x:c r="K181" s="24" t="str">
        <x:v>Hi-Vision Meiryo</x:v>
      </x:c>
      <x:c r="L181" s="40" t="n">
        <x:v>7759</x:v>
      </x:c>
      <x:c r="M181" s="24" t="str">
        <x:v>-10.00 até +8.00</x:v>
      </x:c>
      <x:c r="N181" s="24"/>
      <x:c r="O181" s="24"/>
      <x:c r="P181" s="24"/>
      <x:c r="Q181" s="24"/>
      <x:c r="R181" s="24"/>
      <x:c r="S181" s="26" t="n">
        <x:v>45992</x:v>
      </x:c>
      <x:c r="T181" s="26"/>
      <x:c r="U181" s="24" t="str">
        <x:v>ATIVA/SEM FIM INFORMADO</x:v>
      </x:c>
      <x:c r="V181" s="24"/>
      <x:c r="W181" s="24" t="n">
        <x:v>24</x:v>
      </x:c>
      <x:c r="X181" s="24" t="str">
        <x:v>tabela_hoya(1).pdf</x:v>
      </x:c>
      <x:c r="Y181" s="24" t="str">
        <x:v>alta</x:v>
      </x:c>
      <x:c r="Z181" s="24"/>
      <x:c r="AA181" s="24" t="str">
        <x:v>HOYA|Progressiva|Surfaçada|Hoyalux iD LifeStyle 4i|SENSITY 2|EYAS 2.0|1.60|Hi-Vision Meiryo|-10.00 até +8.00||||||24</x:v>
      </x:c>
    </x:row>
    <x:row r="182">
      <x:c r="A182" s="24" t="str">
        <x:v>HY-7BF2F36EED85</x:v>
      </x:c>
      <x:c r="B182" s="24" t="str">
        <x:v>SIM</x:v>
      </x:c>
      <x:c r="C182" s="24" t="str">
        <x:v>DISPONÍVEL</x:v>
      </x:c>
      <x:c r="D182" s="24" t="str">
        <x:v>HOYA</x:v>
      </x:c>
      <x:c r="E182" s="24" t="str">
        <x:v>Progressiva</x:v>
      </x:c>
      <x:c r="F182" s="24" t="str">
        <x:v>Surfaçada</x:v>
      </x:c>
      <x:c r="G182" s="24" t="str">
        <x:v>Hoyalux iD LifeStyle 4i</x:v>
      </x:c>
      <x:c r="H182" s="24" t="str">
        <x:v>SENSITY 2</x:v>
      </x:c>
      <x:c r="I182" s="24" t="str">
        <x:v>PNX</x:v>
      </x:c>
      <x:c r="J182" s="24" t="str">
        <x:v>1.53</x:v>
      </x:c>
      <x:c r="K182" s="24" t="str">
        <x:v>Hi-Vision Meiryo</x:v>
      </x:c>
      <x:c r="L182" s="40" t="n">
        <x:v>7299</x:v>
      </x:c>
      <x:c r="M182" s="24" t="str">
        <x:v>-8.00 até +6.00</x:v>
      </x:c>
      <x:c r="N182" s="24"/>
      <x:c r="O182" s="24"/>
      <x:c r="P182" s="24"/>
      <x:c r="Q182" s="24"/>
      <x:c r="R182" s="24"/>
      <x:c r="S182" s="26" t="n">
        <x:v>45992</x:v>
      </x:c>
      <x:c r="T182" s="26"/>
      <x:c r="U182" s="24" t="str">
        <x:v>ATIVA/SEM FIM INFORMADO</x:v>
      </x:c>
      <x:c r="V182" s="24"/>
      <x:c r="W182" s="24" t="n">
        <x:v>24</x:v>
      </x:c>
      <x:c r="X182" s="24" t="str">
        <x:v>tabela_hoya(1).pdf</x:v>
      </x:c>
      <x:c r="Y182" s="24" t="str">
        <x:v>alta</x:v>
      </x:c>
      <x:c r="Z182" s="24"/>
      <x:c r="AA182" s="24" t="str">
        <x:v>HOYA|Progressiva|Surfaçada|Hoyalux iD LifeStyle 4i|SENSITY 2|PNX|1.53|Hi-Vision Meiryo|-8.00 até +6.00||||||24</x:v>
      </x:c>
    </x:row>
    <x:row r="183">
      <x:c r="A183" s="24" t="str">
        <x:v>HY-6A3D1C1ADD40</x:v>
      </x:c>
      <x:c r="B183" s="24" t="str">
        <x:v>SIM</x:v>
      </x:c>
      <x:c r="C183" s="24" t="str">
        <x:v>DISPONÍVEL</x:v>
      </x:c>
      <x:c r="D183" s="24" t="str">
        <x:v>HOYA</x:v>
      </x:c>
      <x:c r="E183" s="24" t="str">
        <x:v>Progressiva</x:v>
      </x:c>
      <x:c r="F183" s="24" t="str">
        <x:v>Surfaçada</x:v>
      </x:c>
      <x:c r="G183" s="24" t="str">
        <x:v>Hoyalux iD LifeStyle 4i</x:v>
      </x:c>
      <x:c r="H183" s="24" t="str">
        <x:v>SENSITY 2</x:v>
      </x:c>
      <x:c r="I183" s="24" t="str">
        <x:v>ORGANIC</x:v>
      </x:c>
      <x:c r="J183" s="24" t="str">
        <x:v>1.50</x:v>
      </x:c>
      <x:c r="K183" s="24" t="str">
        <x:v>Hi-Vision Meiryo</x:v>
      </x:c>
      <x:c r="L183" s="40" t="n">
        <x:v>6949</x:v>
      </x:c>
      <x:c r="M183" s="24" t="str">
        <x:v>-8.00 até +6.00</x:v>
      </x:c>
      <x:c r="N183" s="24"/>
      <x:c r="O183" s="24"/>
      <x:c r="P183" s="24"/>
      <x:c r="Q183" s="24"/>
      <x:c r="R183" s="24"/>
      <x:c r="S183" s="26" t="n">
        <x:v>45992</x:v>
      </x:c>
      <x:c r="T183" s="26"/>
      <x:c r="U183" s="24" t="str">
        <x:v>ATIVA/SEM FIM INFORMADO</x:v>
      </x:c>
      <x:c r="V183" s="24"/>
      <x:c r="W183" s="24" t="n">
        <x:v>24</x:v>
      </x:c>
      <x:c r="X183" s="24" t="str">
        <x:v>tabela_hoya(1).pdf</x:v>
      </x:c>
      <x:c r="Y183" s="24" t="str">
        <x:v>alta</x:v>
      </x:c>
      <x:c r="Z183" s="24"/>
      <x:c r="AA183" s="24" t="str">
        <x:v>HOYA|Progressiva|Surfaçada|Hoyalux iD LifeStyle 4i|SENSITY 2|ORGANIC|1.50|Hi-Vision Meiryo|-8.00 até +6.00||||||24</x:v>
      </x:c>
    </x:row>
    <x:row r="184">
      <x:c r="A184" s="24" t="str">
        <x:v>HY-35A602E6E5E5</x:v>
      </x:c>
      <x:c r="B184" s="24" t="str">
        <x:v>SIM</x:v>
      </x:c>
      <x:c r="C184" s="24" t="str">
        <x:v>DISPONÍVEL</x:v>
      </x:c>
      <x:c r="D184" s="24" t="str">
        <x:v>HOYA</x:v>
      </x:c>
      <x:c r="E184" s="24" t="str">
        <x:v>Progressiva</x:v>
      </x:c>
      <x:c r="F184" s="24" t="str">
        <x:v>Surfaçada</x:v>
      </x:c>
      <x:c r="G184" s="24" t="str">
        <x:v>Hoyalux iD LifeStyle 4i</x:v>
      </x:c>
      <x:c r="H184" s="24" t="str">
        <x:v>SENSITY 2</x:v>
      </x:c>
      <x:c r="I184" s="24" t="str">
        <x:v>EYNOA</x:v>
      </x:c>
      <x:c r="J184" s="24" t="str">
        <x:v>1.67</x:v>
      </x:c>
      <x:c r="K184" s="24" t="str">
        <x:v>Hi-Vision LongLife BlueControl</x:v>
      </x:c>
      <x:c r="L184" s="40" t="n">
        <x:v>9359</x:v>
      </x:c>
      <x:c r="M184" s="24" t="str">
        <x:v>-12.00 até +8.00</x:v>
      </x:c>
      <x:c r="N184" s="24"/>
      <x:c r="O184" s="24"/>
      <x:c r="P184" s="24"/>
      <x:c r="Q184" s="24"/>
      <x:c r="R184" s="24"/>
      <x:c r="S184" s="26" t="n">
        <x:v>45992</x:v>
      </x:c>
      <x:c r="T184" s="26"/>
      <x:c r="U184" s="24" t="str">
        <x:v>ATIVA/SEM FIM INFORMADO</x:v>
      </x:c>
      <x:c r="V184" s="24"/>
      <x:c r="W184" s="24" t="n">
        <x:v>24</x:v>
      </x:c>
      <x:c r="X184" s="24" t="str">
        <x:v>tabela_hoya(1).pdf</x:v>
      </x:c>
      <x:c r="Y184" s="24" t="str">
        <x:v>alta</x:v>
      </x:c>
      <x:c r="Z184" s="24"/>
      <x:c r="AA184" s="24" t="str">
        <x:v>HOYA|Progressiva|Surfaçada|Hoyalux iD LifeStyle 4i|SENSITY 2|EYNOA|1.67|Hi-Vision LongLife BlueControl|-12.00 até +8.00||||||24</x:v>
      </x:c>
    </x:row>
    <x:row r="185">
      <x:c r="A185" s="24" t="str">
        <x:v>HY-4D877D6AB47B</x:v>
      </x:c>
      <x:c r="B185" s="24" t="str">
        <x:v>SIM</x:v>
      </x:c>
      <x:c r="C185" s="24" t="str">
        <x:v>DISPONÍVEL</x:v>
      </x:c>
      <x:c r="D185" s="24" t="str">
        <x:v>HOYA</x:v>
      </x:c>
      <x:c r="E185" s="24" t="str">
        <x:v>Progressiva</x:v>
      </x:c>
      <x:c r="F185" s="24" t="str">
        <x:v>Surfaçada</x:v>
      </x:c>
      <x:c r="G185" s="24" t="str">
        <x:v>Hoyalux iD LifeStyle 4i</x:v>
      </x:c>
      <x:c r="H185" s="24" t="str">
        <x:v>SENSITY 2</x:v>
      </x:c>
      <x:c r="I185" s="24" t="str">
        <x:v>EYAS 2.0</x:v>
      </x:c>
      <x:c r="J185" s="24" t="str">
        <x:v>1.60</x:v>
      </x:c>
      <x:c r="K185" s="24" t="str">
        <x:v>Hi-Vision LongLife BlueControl</x:v>
      </x:c>
      <x:c r="L185" s="40" t="n">
        <x:v>7559</x:v>
      </x:c>
      <x:c r="M185" s="24" t="str">
        <x:v>-10.00 até +8.00</x:v>
      </x:c>
      <x:c r="N185" s="24"/>
      <x:c r="O185" s="24"/>
      <x:c r="P185" s="24"/>
      <x:c r="Q185" s="24"/>
      <x:c r="R185" s="24"/>
      <x:c r="S185" s="26" t="n">
        <x:v>45992</x:v>
      </x:c>
      <x:c r="T185" s="26"/>
      <x:c r="U185" s="24" t="str">
        <x:v>ATIVA/SEM FIM INFORMADO</x:v>
      </x:c>
      <x:c r="V185" s="24"/>
      <x:c r="W185" s="24" t="n">
        <x:v>24</x:v>
      </x:c>
      <x:c r="X185" s="24" t="str">
        <x:v>tabela_hoya(1).pdf</x:v>
      </x:c>
      <x:c r="Y185" s="24" t="str">
        <x:v>alta</x:v>
      </x:c>
      <x:c r="Z185" s="24"/>
      <x:c r="AA185" s="24" t="str">
        <x:v>HOYA|Progressiva|Surfaçada|Hoyalux iD LifeStyle 4i|SENSITY 2|EYAS 2.0|1.60|Hi-Vision LongLife BlueControl|-10.00 até +8.00||||||24</x:v>
      </x:c>
    </x:row>
    <x:row r="186">
      <x:c r="A186" s="24" t="str">
        <x:v>HY-821E7D096EDE</x:v>
      </x:c>
      <x:c r="B186" s="24" t="str">
        <x:v>SIM</x:v>
      </x:c>
      <x:c r="C186" s="24" t="str">
        <x:v>DISPONÍVEL</x:v>
      </x:c>
      <x:c r="D186" s="24" t="str">
        <x:v>HOYA</x:v>
      </x:c>
      <x:c r="E186" s="24" t="str">
        <x:v>Progressiva</x:v>
      </x:c>
      <x:c r="F186" s="24" t="str">
        <x:v>Surfaçada</x:v>
      </x:c>
      <x:c r="G186" s="24" t="str">
        <x:v>Hoyalux iD LifeStyle 4i</x:v>
      </x:c>
      <x:c r="H186" s="24" t="str">
        <x:v>SENSITY 2</x:v>
      </x:c>
      <x:c r="I186" s="24" t="str">
        <x:v>PNX</x:v>
      </x:c>
      <x:c r="J186" s="24" t="str">
        <x:v>1.53</x:v>
      </x:c>
      <x:c r="K186" s="24" t="str">
        <x:v>Hi-Vision LongLife BlueControl</x:v>
      </x:c>
      <x:c r="L186" s="40" t="n">
        <x:v>7099</x:v>
      </x:c>
      <x:c r="M186" s="24" t="str">
        <x:v>-8.00 até +6.00</x:v>
      </x:c>
      <x:c r="N186" s="24"/>
      <x:c r="O186" s="24"/>
      <x:c r="P186" s="24"/>
      <x:c r="Q186" s="24"/>
      <x:c r="R186" s="24"/>
      <x:c r="S186" s="26" t="n">
        <x:v>45992</x:v>
      </x:c>
      <x:c r="T186" s="26"/>
      <x:c r="U186" s="24" t="str">
        <x:v>ATIVA/SEM FIM INFORMADO</x:v>
      </x:c>
      <x:c r="V186" s="24"/>
      <x:c r="W186" s="24" t="n">
        <x:v>24</x:v>
      </x:c>
      <x:c r="X186" s="24" t="str">
        <x:v>tabela_hoya(1).pdf</x:v>
      </x:c>
      <x:c r="Y186" s="24" t="str">
        <x:v>alta</x:v>
      </x:c>
      <x:c r="Z186" s="24"/>
      <x:c r="AA186" s="24" t="str">
        <x:v>HOYA|Progressiva|Surfaçada|Hoyalux iD LifeStyle 4i|SENSITY 2|PNX|1.53|Hi-Vision LongLife BlueControl|-8.00 até +6.00||||||24</x:v>
      </x:c>
    </x:row>
    <x:row r="187">
      <x:c r="A187" s="24" t="str">
        <x:v>HY-56435222B01A</x:v>
      </x:c>
      <x:c r="B187" s="24" t="str">
        <x:v>SIM</x:v>
      </x:c>
      <x:c r="C187" s="24" t="str">
        <x:v>DISPONÍVEL</x:v>
      </x:c>
      <x:c r="D187" s="24" t="str">
        <x:v>HOYA</x:v>
      </x:c>
      <x:c r="E187" s="24" t="str">
        <x:v>Progressiva</x:v>
      </x:c>
      <x:c r="F187" s="24" t="str">
        <x:v>Surfaçada</x:v>
      </x:c>
      <x:c r="G187" s="24" t="str">
        <x:v>Hoyalux iD LifeStyle 4i</x:v>
      </x:c>
      <x:c r="H187" s="24" t="str">
        <x:v>SENSITY 2</x:v>
      </x:c>
      <x:c r="I187" s="24" t="str">
        <x:v>ORGANIC</x:v>
      </x:c>
      <x:c r="J187" s="24" t="str">
        <x:v>1.50</x:v>
      </x:c>
      <x:c r="K187" s="24" t="str">
        <x:v>Hi-Vision LongLife BlueControl</x:v>
      </x:c>
      <x:c r="L187" s="40" t="n">
        <x:v>6749</x:v>
      </x:c>
      <x:c r="M187" s="24" t="str">
        <x:v>-8.00 até +6.00</x:v>
      </x:c>
      <x:c r="N187" s="24"/>
      <x:c r="O187" s="24"/>
      <x:c r="P187" s="24"/>
      <x:c r="Q187" s="24"/>
      <x:c r="R187" s="24"/>
      <x:c r="S187" s="26" t="n">
        <x:v>45992</x:v>
      </x:c>
      <x:c r="T187" s="26"/>
      <x:c r="U187" s="24" t="str">
        <x:v>ATIVA/SEM FIM INFORMADO</x:v>
      </x:c>
      <x:c r="V187" s="24"/>
      <x:c r="W187" s="24" t="n">
        <x:v>24</x:v>
      </x:c>
      <x:c r="X187" s="24" t="str">
        <x:v>tabela_hoya(1).pdf</x:v>
      </x:c>
      <x:c r="Y187" s="24" t="str">
        <x:v>alta</x:v>
      </x:c>
      <x:c r="Z187" s="24"/>
      <x:c r="AA187" s="24" t="str">
        <x:v>HOYA|Progressiva|Surfaçada|Hoyalux iD LifeStyle 4i|SENSITY 2|ORGANIC|1.50|Hi-Vision LongLife BlueControl|-8.00 até +6.00||||||24</x:v>
      </x:c>
    </x:row>
    <x:row r="188">
      <x:c r="A188" s="24" t="str">
        <x:v>HY-9E5B3DD2840A</x:v>
      </x:c>
      <x:c r="B188" s="24" t="str">
        <x:v>SIM</x:v>
      </x:c>
      <x:c r="C188" s="24" t="str">
        <x:v>DISPONÍVEL</x:v>
      </x:c>
      <x:c r="D188" s="24" t="str">
        <x:v>HOYA</x:v>
      </x:c>
      <x:c r="E188" s="24" t="str">
        <x:v>Progressiva</x:v>
      </x:c>
      <x:c r="F188" s="24" t="str">
        <x:v>Surfaçada</x:v>
      </x:c>
      <x:c r="G188" s="24" t="str">
        <x:v>Hoyalux iD LifeStyle 4i</x:v>
      </x:c>
      <x:c r="H188" s="24" t="str">
        <x:v>SENSITY 2</x:v>
      </x:c>
      <x:c r="I188" s="24" t="str">
        <x:v>EYNOA</x:v>
      </x:c>
      <x:c r="J188" s="24" t="str">
        <x:v>1.67</x:v>
      </x:c>
      <x:c r="K188" s="24" t="str">
        <x:v>No-Risk BlueControl</x:v>
      </x:c>
      <x:c r="L188" s="40" t="n">
        <x:v>9109</x:v>
      </x:c>
      <x:c r="M188" s="24" t="str">
        <x:v>-12.00 até +8.00</x:v>
      </x:c>
      <x:c r="N188" s="24"/>
      <x:c r="O188" s="24"/>
      <x:c r="P188" s="24"/>
      <x:c r="Q188" s="24"/>
      <x:c r="R188" s="24"/>
      <x:c r="S188" s="26" t="n">
        <x:v>45992</x:v>
      </x:c>
      <x:c r="T188" s="26"/>
      <x:c r="U188" s="24" t="str">
        <x:v>ATIVA/SEM FIM INFORMADO</x:v>
      </x:c>
      <x:c r="V188" s="24"/>
      <x:c r="W188" s="24" t="n">
        <x:v>24</x:v>
      </x:c>
      <x:c r="X188" s="24" t="str">
        <x:v>tabela_hoya(1).pdf</x:v>
      </x:c>
      <x:c r="Y188" s="24" t="str">
        <x:v>alta</x:v>
      </x:c>
      <x:c r="Z188" s="24"/>
      <x:c r="AA188" s="24" t="str">
        <x:v>HOYA|Progressiva|Surfaçada|Hoyalux iD LifeStyle 4i|SENSITY 2|EYNOA|1.67|No-Risk BlueControl|-12.00 até +8.00||||||24</x:v>
      </x:c>
    </x:row>
    <x:row r="189">
      <x:c r="A189" s="24" t="str">
        <x:v>HY-D6D4EDDBA13E</x:v>
      </x:c>
      <x:c r="B189" s="24" t="str">
        <x:v>SIM</x:v>
      </x:c>
      <x:c r="C189" s="24" t="str">
        <x:v>DISPONÍVEL</x:v>
      </x:c>
      <x:c r="D189" s="24" t="str">
        <x:v>HOYA</x:v>
      </x:c>
      <x:c r="E189" s="24" t="str">
        <x:v>Progressiva</x:v>
      </x:c>
      <x:c r="F189" s="24" t="str">
        <x:v>Surfaçada</x:v>
      </x:c>
      <x:c r="G189" s="24" t="str">
        <x:v>Hoyalux iD LifeStyle 4i</x:v>
      </x:c>
      <x:c r="H189" s="24" t="str">
        <x:v>SENSITY 2</x:v>
      </x:c>
      <x:c r="I189" s="24" t="str">
        <x:v>EYAS 2.0</x:v>
      </x:c>
      <x:c r="J189" s="24" t="str">
        <x:v>1.60</x:v>
      </x:c>
      <x:c r="K189" s="24" t="str">
        <x:v>No-Risk BlueControl</x:v>
      </x:c>
      <x:c r="L189" s="40" t="n">
        <x:v>7309</x:v>
      </x:c>
      <x:c r="M189" s="24" t="str">
        <x:v>-10.00 até +8.00</x:v>
      </x:c>
      <x:c r="N189" s="24"/>
      <x:c r="O189" s="24"/>
      <x:c r="P189" s="24"/>
      <x:c r="Q189" s="24"/>
      <x:c r="R189" s="24"/>
      <x:c r="S189" s="26" t="n">
        <x:v>45992</x:v>
      </x:c>
      <x:c r="T189" s="26"/>
      <x:c r="U189" s="24" t="str">
        <x:v>ATIVA/SEM FIM INFORMADO</x:v>
      </x:c>
      <x:c r="V189" s="24"/>
      <x:c r="W189" s="24" t="n">
        <x:v>24</x:v>
      </x:c>
      <x:c r="X189" s="24" t="str">
        <x:v>tabela_hoya(1).pdf</x:v>
      </x:c>
      <x:c r="Y189" s="24" t="str">
        <x:v>alta</x:v>
      </x:c>
      <x:c r="Z189" s="24"/>
      <x:c r="AA189" s="24" t="str">
        <x:v>HOYA|Progressiva|Surfaçada|Hoyalux iD LifeStyle 4i|SENSITY 2|EYAS 2.0|1.60|No-Risk BlueControl|-10.00 até +8.00||||||24</x:v>
      </x:c>
    </x:row>
    <x:row r="190">
      <x:c r="A190" s="24" t="str">
        <x:v>HY-1D8B94EE2638</x:v>
      </x:c>
      <x:c r="B190" s="24" t="str">
        <x:v>SIM</x:v>
      </x:c>
      <x:c r="C190" s="24" t="str">
        <x:v>DISPONÍVEL</x:v>
      </x:c>
      <x:c r="D190" s="24" t="str">
        <x:v>HOYA</x:v>
      </x:c>
      <x:c r="E190" s="24" t="str">
        <x:v>Progressiva</x:v>
      </x:c>
      <x:c r="F190" s="24" t="str">
        <x:v>Surfaçada</x:v>
      </x:c>
      <x:c r="G190" s="24" t="str">
        <x:v>Hoyalux iD LifeStyle 4i</x:v>
      </x:c>
      <x:c r="H190" s="24" t="str">
        <x:v>SENSITY 2</x:v>
      </x:c>
      <x:c r="I190" s="24" t="str">
        <x:v>PNX</x:v>
      </x:c>
      <x:c r="J190" s="24" t="str">
        <x:v>1.53</x:v>
      </x:c>
      <x:c r="K190" s="24" t="str">
        <x:v>No-Risk BlueControl</x:v>
      </x:c>
      <x:c r="L190" s="40" t="n">
        <x:v>6849</x:v>
      </x:c>
      <x:c r="M190" s="24" t="str">
        <x:v>-8.00 até +6.00</x:v>
      </x:c>
      <x:c r="N190" s="24"/>
      <x:c r="O190" s="24"/>
      <x:c r="P190" s="24"/>
      <x:c r="Q190" s="24"/>
      <x:c r="R190" s="24"/>
      <x:c r="S190" s="26" t="n">
        <x:v>45992</x:v>
      </x:c>
      <x:c r="T190" s="26"/>
      <x:c r="U190" s="24" t="str">
        <x:v>ATIVA/SEM FIM INFORMADO</x:v>
      </x:c>
      <x:c r="V190" s="24"/>
      <x:c r="W190" s="24" t="n">
        <x:v>24</x:v>
      </x:c>
      <x:c r="X190" s="24" t="str">
        <x:v>tabela_hoya(1).pdf</x:v>
      </x:c>
      <x:c r="Y190" s="24" t="str">
        <x:v>alta</x:v>
      </x:c>
      <x:c r="Z190" s="24"/>
      <x:c r="AA190" s="24" t="str">
        <x:v>HOYA|Progressiva|Surfaçada|Hoyalux iD LifeStyle 4i|SENSITY 2|PNX|1.53|No-Risk BlueControl|-8.00 até +6.00||||||24</x:v>
      </x:c>
    </x:row>
    <x:row r="191">
      <x:c r="A191" s="24" t="str">
        <x:v>HY-F6B49AADB1BD</x:v>
      </x:c>
      <x:c r="B191" s="24" t="str">
        <x:v>SIM</x:v>
      </x:c>
      <x:c r="C191" s="24" t="str">
        <x:v>DISPONÍVEL</x:v>
      </x:c>
      <x:c r="D191" s="24" t="str">
        <x:v>HOYA</x:v>
      </x:c>
      <x:c r="E191" s="24" t="str">
        <x:v>Progressiva</x:v>
      </x:c>
      <x:c r="F191" s="24" t="str">
        <x:v>Surfaçada</x:v>
      </x:c>
      <x:c r="G191" s="24" t="str">
        <x:v>Hoyalux iD LifeStyle 4i</x:v>
      </x:c>
      <x:c r="H191" s="24" t="str">
        <x:v>SENSITY 2</x:v>
      </x:c>
      <x:c r="I191" s="24" t="str">
        <x:v>ORGANIC</x:v>
      </x:c>
      <x:c r="J191" s="24" t="str">
        <x:v>1.50</x:v>
      </x:c>
      <x:c r="K191" s="24" t="str">
        <x:v>No-Risk BlueControl</x:v>
      </x:c>
      <x:c r="L191" s="40" t="n">
        <x:v>6499</x:v>
      </x:c>
      <x:c r="M191" s="24" t="str">
        <x:v>-8.00 até +6.00</x:v>
      </x:c>
      <x:c r="N191" s="24"/>
      <x:c r="O191" s="24"/>
      <x:c r="P191" s="24"/>
      <x:c r="Q191" s="24"/>
      <x:c r="R191" s="24"/>
      <x:c r="S191" s="26" t="n">
        <x:v>45992</x:v>
      </x:c>
      <x:c r="T191" s="26"/>
      <x:c r="U191" s="24" t="str">
        <x:v>ATIVA/SEM FIM INFORMADO</x:v>
      </x:c>
      <x:c r="V191" s="24"/>
      <x:c r="W191" s="24" t="n">
        <x:v>24</x:v>
      </x:c>
      <x:c r="X191" s="24" t="str">
        <x:v>tabela_hoya(1).pdf</x:v>
      </x:c>
      <x:c r="Y191" s="24" t="str">
        <x:v>alta</x:v>
      </x:c>
      <x:c r="Z191" s="24"/>
      <x:c r="AA191" s="24" t="str">
        <x:v>HOYA|Progressiva|Surfaçada|Hoyalux iD LifeStyle 4i|SENSITY 2|ORGANIC|1.50|No-Risk BlueControl|-8.00 até +6.00||||||24</x:v>
      </x:c>
    </x:row>
    <x:row r="192">
      <x:c r="A192" s="24" t="str">
        <x:v>HY-7B540893BDC1</x:v>
      </x:c>
      <x:c r="B192" s="24" t="str">
        <x:v>SIM</x:v>
      </x:c>
      <x:c r="C192" s="24" t="str">
        <x:v>DISPONÍVEL</x:v>
      </x:c>
      <x:c r="D192" s="24" t="str">
        <x:v>HOYA</x:v>
      </x:c>
      <x:c r="E192" s="24" t="str">
        <x:v>Progressiva</x:v>
      </x:c>
      <x:c r="F192" s="24" t="str">
        <x:v>Surfaçada</x:v>
      </x:c>
      <x:c r="G192" s="24" t="str">
        <x:v>Hoyalux iD LifeStyle 4i</x:v>
      </x:c>
      <x:c r="H192" s="24" t="str">
        <x:v>POLARIZADO</x:v>
      </x:c>
      <x:c r="I192" s="24" t="str">
        <x:v>EYNOA</x:v>
      </x:c>
      <x:c r="J192" s="24" t="str">
        <x:v>1.67</x:v>
      </x:c>
      <x:c r="K192" s="24" t="str">
        <x:v>Hi-Vision Sun Pro</x:v>
      </x:c>
      <x:c r="L192" s="40" t="n">
        <x:v>8859</x:v>
      </x:c>
      <x:c r="M192" s="24" t="str">
        <x:v>-12.00 até +8.00</x:v>
      </x:c>
      <x:c r="N192" s="24"/>
      <x:c r="O192" s="24"/>
      <x:c r="P192" s="24"/>
      <x:c r="Q192" s="24"/>
      <x:c r="R192" s="24"/>
      <x:c r="S192" s="26" t="n">
        <x:v>45992</x:v>
      </x:c>
      <x:c r="T192" s="26"/>
      <x:c r="U192" s="24" t="str">
        <x:v>ATIVA/SEM FIM INFORMADO</x:v>
      </x:c>
      <x:c r="V192" s="24"/>
      <x:c r="W192" s="24" t="n">
        <x:v>24</x:v>
      </x:c>
      <x:c r="X192" s="24" t="str">
        <x:v>tabela_hoya(1).pdf</x:v>
      </x:c>
      <x:c r="Y192" s="24" t="str">
        <x:v>alta</x:v>
      </x:c>
      <x:c r="Z192" s="24"/>
      <x:c r="AA192" s="24" t="str">
        <x:v>HOYA|Progressiva|Surfaçada|Hoyalux iD LifeStyle 4i|POLARIZADO|EYNOA|1.67|Hi-Vision Sun Pro|-12.00 até +8.00||||||24</x:v>
      </x:c>
    </x:row>
    <x:row r="193">
      <x:c r="A193" s="24" t="str">
        <x:v>HY-F3FB57125ED4</x:v>
      </x:c>
      <x:c r="B193" s="24" t="str">
        <x:v>SIM</x:v>
      </x:c>
      <x:c r="C193" s="24" t="str">
        <x:v>DISPONÍVEL</x:v>
      </x:c>
      <x:c r="D193" s="24" t="str">
        <x:v>HOYA</x:v>
      </x:c>
      <x:c r="E193" s="24" t="str">
        <x:v>Progressiva</x:v>
      </x:c>
      <x:c r="F193" s="24" t="str">
        <x:v>Surfaçada</x:v>
      </x:c>
      <x:c r="G193" s="24" t="str">
        <x:v>Hoyalux iD LifeStyle 4i</x:v>
      </x:c>
      <x:c r="H193" s="24" t="str">
        <x:v>POLARIZADO</x:v>
      </x:c>
      <x:c r="I193" s="24" t="str">
        <x:v>EYAS 2.0</x:v>
      </x:c>
      <x:c r="J193" s="24" t="str">
        <x:v>1.60</x:v>
      </x:c>
      <x:c r="K193" s="24" t="str">
        <x:v>Hi-Vision Sun Pro</x:v>
      </x:c>
      <x:c r="L193" s="40" t="n">
        <x:v>7059</x:v>
      </x:c>
      <x:c r="M193" s="24" t="str">
        <x:v>-10.00 até +8.00</x:v>
      </x:c>
      <x:c r="N193" s="24"/>
      <x:c r="O193" s="24"/>
      <x:c r="P193" s="24"/>
      <x:c r="Q193" s="24"/>
      <x:c r="R193" s="24"/>
      <x:c r="S193" s="26" t="n">
        <x:v>45992</x:v>
      </x:c>
      <x:c r="T193" s="26"/>
      <x:c r="U193" s="24" t="str">
        <x:v>ATIVA/SEM FIM INFORMADO</x:v>
      </x:c>
      <x:c r="V193" s="24"/>
      <x:c r="W193" s="24" t="n">
        <x:v>24</x:v>
      </x:c>
      <x:c r="X193" s="24" t="str">
        <x:v>tabela_hoya(1).pdf</x:v>
      </x:c>
      <x:c r="Y193" s="24" t="str">
        <x:v>alta</x:v>
      </x:c>
      <x:c r="Z193" s="24"/>
      <x:c r="AA193" s="24" t="str">
        <x:v>HOYA|Progressiva|Surfaçada|Hoyalux iD LifeStyle 4i|POLARIZADO|EYAS 2.0|1.60|Hi-Vision Sun Pro|-10.00 até +8.00||||||24</x:v>
      </x:c>
    </x:row>
    <x:row r="194">
      <x:c r="A194" s="24" t="str">
        <x:v>HY-1FDAABFEF3F7</x:v>
      </x:c>
      <x:c r="B194" s="24" t="str">
        <x:v>SIM</x:v>
      </x:c>
      <x:c r="C194" s="24" t="str">
        <x:v>DISPONÍVEL</x:v>
      </x:c>
      <x:c r="D194" s="24" t="str">
        <x:v>HOYA</x:v>
      </x:c>
      <x:c r="E194" s="24" t="str">
        <x:v>Progressiva</x:v>
      </x:c>
      <x:c r="F194" s="24" t="str">
        <x:v>Surfaçada</x:v>
      </x:c>
      <x:c r="G194" s="24" t="str">
        <x:v>Hoyalux iD LifeStyle 4i</x:v>
      </x:c>
      <x:c r="H194" s="24" t="str">
        <x:v>POLARIZADO</x:v>
      </x:c>
      <x:c r="I194" s="24" t="str">
        <x:v>PNX</x:v>
      </x:c>
      <x:c r="J194" s="24" t="str">
        <x:v>1.53</x:v>
      </x:c>
      <x:c r="K194" s="24" t="str">
        <x:v>Hi-Vision Sun Pro</x:v>
      </x:c>
      <x:c r="L194" s="40" t="n">
        <x:v>6599</x:v>
      </x:c>
      <x:c r="M194" s="24" t="str">
        <x:v>-8.00 até +6.00</x:v>
      </x:c>
      <x:c r="N194" s="24"/>
      <x:c r="O194" s="24"/>
      <x:c r="P194" s="24"/>
      <x:c r="Q194" s="24"/>
      <x:c r="R194" s="24"/>
      <x:c r="S194" s="26" t="n">
        <x:v>45992</x:v>
      </x:c>
      <x:c r="T194" s="26"/>
      <x:c r="U194" s="24" t="str">
        <x:v>ATIVA/SEM FIM INFORMADO</x:v>
      </x:c>
      <x:c r="V194" s="24"/>
      <x:c r="W194" s="24" t="n">
        <x:v>24</x:v>
      </x:c>
      <x:c r="X194" s="24" t="str">
        <x:v>tabela_hoya(1).pdf</x:v>
      </x:c>
      <x:c r="Y194" s="24" t="str">
        <x:v>alta</x:v>
      </x:c>
      <x:c r="Z194" s="24"/>
      <x:c r="AA194" s="24" t="str">
        <x:v>HOYA|Progressiva|Surfaçada|Hoyalux iD LifeStyle 4i|POLARIZADO|PNX|1.53|Hi-Vision Sun Pro|-8.00 até +6.00||||||24</x:v>
      </x:c>
    </x:row>
    <x:row r="195">
      <x:c r="A195" s="24" t="str">
        <x:v>HY-782A65D23D19</x:v>
      </x:c>
      <x:c r="B195" s="24" t="str">
        <x:v>SIM</x:v>
      </x:c>
      <x:c r="C195" s="24" t="str">
        <x:v>DISPONÍVEL</x:v>
      </x:c>
      <x:c r="D195" s="24" t="str">
        <x:v>HOYA</x:v>
      </x:c>
      <x:c r="E195" s="24" t="str">
        <x:v>Progressiva</x:v>
      </x:c>
      <x:c r="F195" s="24" t="str">
        <x:v>Surfaçada</x:v>
      </x:c>
      <x:c r="G195" s="24" t="str">
        <x:v>Hoyalux iD LifeStyle 4i</x:v>
      </x:c>
      <x:c r="H195" s="24" t="str">
        <x:v>POLARIZADO</x:v>
      </x:c>
      <x:c r="I195" s="24" t="str">
        <x:v>ORGANIC</x:v>
      </x:c>
      <x:c r="J195" s="24" t="str">
        <x:v>1.50</x:v>
      </x:c>
      <x:c r="K195" s="24" t="str">
        <x:v>Hi-Vision Sun Pro</x:v>
      </x:c>
      <x:c r="L195" s="40" t="n">
        <x:v>6249</x:v>
      </x:c>
      <x:c r="M195" s="24" t="str">
        <x:v>-8.00 até +6.00</x:v>
      </x:c>
      <x:c r="N195" s="24"/>
      <x:c r="O195" s="24"/>
      <x:c r="P195" s="24"/>
      <x:c r="Q195" s="24"/>
      <x:c r="R195" s="24"/>
      <x:c r="S195" s="26" t="n">
        <x:v>45992</x:v>
      </x:c>
      <x:c r="T195" s="26"/>
      <x:c r="U195" s="24" t="str">
        <x:v>ATIVA/SEM FIM INFORMADO</x:v>
      </x:c>
      <x:c r="V195" s="24"/>
      <x:c r="W195" s="24" t="n">
        <x:v>24</x:v>
      </x:c>
      <x:c r="X195" s="24" t="str">
        <x:v>tabela_hoya(1).pdf</x:v>
      </x:c>
      <x:c r="Y195" s="24" t="str">
        <x:v>alta</x:v>
      </x:c>
      <x:c r="Z195" s="24"/>
      <x:c r="AA195" s="24" t="str">
        <x:v>HOYA|Progressiva|Surfaçada|Hoyalux iD LifeStyle 4i|POLARIZADO|ORGANIC|1.50|Hi-Vision Sun Pro|-8.00 até +6.00||||||24</x:v>
      </x:c>
    </x:row>
    <x:row r="196">
      <x:c r="A196" s="24" t="str">
        <x:v>HY-A301553D5147</x:v>
      </x:c>
      <x:c r="B196" s="24" t="str">
        <x:v>SIM</x:v>
      </x:c>
      <x:c r="C196" s="24" t="str">
        <x:v>DISPONÍVEL</x:v>
      </x:c>
      <x:c r="D196" s="24" t="str">
        <x:v>HOYA</x:v>
      </x:c>
      <x:c r="E196" s="24" t="str">
        <x:v>Progressiva</x:v>
      </x:c>
      <x:c r="F196" s="24" t="str">
        <x:v>Surfaçada</x:v>
      </x:c>
      <x:c r="G196" s="24" t="str">
        <x:v>Hoyalux iD LifeStyle 4</x:v>
      </x:c>
      <x:c r="H196" s="24" t="str">
        <x:v>INCOLOR</x:v>
      </x:c>
      <x:c r="I196" s="24" t="str">
        <x:v>EYVIA</x:v>
      </x:c>
      <x:c r="J196" s="24" t="str">
        <x:v>1.74</x:v>
      </x:c>
      <x:c r="K196" s="24" t="str">
        <x:v>Hi-Vision Meiryo</x:v>
      </x:c>
      <x:c r="L196" s="40" t="n">
        <x:v>9509</x:v>
      </x:c>
      <x:c r="M196" s="24" t="str">
        <x:v>-13.00 até +8.00</x:v>
      </x:c>
      <x:c r="N196" s="24"/>
      <x:c r="O196" s="24"/>
      <x:c r="P196" s="24"/>
      <x:c r="Q196" s="24"/>
      <x:c r="R196" s="24"/>
      <x:c r="S196" s="26" t="n">
        <x:v>45992</x:v>
      </x:c>
      <x:c r="T196" s="26"/>
      <x:c r="U196" s="24" t="str">
        <x:v>ATIVA/SEM FIM INFORMADO</x:v>
      </x:c>
      <x:c r="V196" s="24"/>
      <x:c r="W196" s="24" t="n">
        <x:v>25</x:v>
      </x:c>
      <x:c r="X196" s="24" t="str">
        <x:v>tabela_hoya(1).pdf</x:v>
      </x:c>
      <x:c r="Y196" s="24" t="str">
        <x:v>alta</x:v>
      </x:c>
      <x:c r="Z196" s="24"/>
      <x:c r="AA196" s="24" t="str">
        <x:v>HOYA|Progressiva|Surfaçada|Hoyalux iD LifeStyle 4|INCOLOR|EYVIA|1.74|Hi-Vision Meiryo|-13.00 até +8.00||||||25</x:v>
      </x:c>
    </x:row>
    <x:row r="197">
      <x:c r="A197" s="24" t="str">
        <x:v>HY-C11A187787BE</x:v>
      </x:c>
      <x:c r="B197" s="24" t="str">
        <x:v>SIM</x:v>
      </x:c>
      <x:c r="C197" s="24" t="str">
        <x:v>DISPONÍVEL</x:v>
      </x:c>
      <x:c r="D197" s="24" t="str">
        <x:v>HOYA</x:v>
      </x:c>
      <x:c r="E197" s="24" t="str">
        <x:v>Progressiva</x:v>
      </x:c>
      <x:c r="F197" s="24" t="str">
        <x:v>Surfaçada</x:v>
      </x:c>
      <x:c r="G197" s="24" t="str">
        <x:v>Hoyalux iD LifeStyle 4</x:v>
      </x:c>
      <x:c r="H197" s="24" t="str">
        <x:v>INCOLOR</x:v>
      </x:c>
      <x:c r="I197" s="24" t="str">
        <x:v>EYNOA</x:v>
      </x:c>
      <x:c r="J197" s="24" t="str">
        <x:v>1.67</x:v>
      </x:c>
      <x:c r="K197" s="24" t="str">
        <x:v>Hi-Vision Meiryo</x:v>
      </x:c>
      <x:c r="L197" s="40" t="n">
        <x:v>8009</x:v>
      </x:c>
      <x:c r="M197" s="24" t="str">
        <x:v>-12.00 até +8.00</x:v>
      </x:c>
      <x:c r="N197" s="24"/>
      <x:c r="O197" s="24"/>
      <x:c r="P197" s="24"/>
      <x:c r="Q197" s="24"/>
      <x:c r="R197" s="24"/>
      <x:c r="S197" s="26" t="n">
        <x:v>45992</x:v>
      </x:c>
      <x:c r="T197" s="26"/>
      <x:c r="U197" s="24" t="str">
        <x:v>ATIVA/SEM FIM INFORMADO</x:v>
      </x:c>
      <x:c r="V197" s="24"/>
      <x:c r="W197" s="24" t="n">
        <x:v>25</x:v>
      </x:c>
      <x:c r="X197" s="24" t="str">
        <x:v>tabela_hoya(1).pdf</x:v>
      </x:c>
      <x:c r="Y197" s="24" t="str">
        <x:v>alta</x:v>
      </x:c>
      <x:c r="Z197" s="24"/>
      <x:c r="AA197" s="24" t="str">
        <x:v>HOYA|Progressiva|Surfaçada|Hoyalux iD LifeStyle 4|INCOLOR|EYNOA|1.67|Hi-Vision Meiryo|-12.00 até +8.00||||||25</x:v>
      </x:c>
    </x:row>
    <x:row r="198">
      <x:c r="A198" s="24" t="str">
        <x:v>HY-A822B2706385</x:v>
      </x:c>
      <x:c r="B198" s="24" t="str">
        <x:v>SIM</x:v>
      </x:c>
      <x:c r="C198" s="24" t="str">
        <x:v>DISPONÍVEL</x:v>
      </x:c>
      <x:c r="D198" s="24" t="str">
        <x:v>HOYA</x:v>
      </x:c>
      <x:c r="E198" s="24" t="str">
        <x:v>Progressiva</x:v>
      </x:c>
      <x:c r="F198" s="24" t="str">
        <x:v>Surfaçada</x:v>
      </x:c>
      <x:c r="G198" s="24" t="str">
        <x:v>Hoyalux iD LifeStyle 4</x:v>
      </x:c>
      <x:c r="H198" s="24" t="str">
        <x:v>INCOLOR</x:v>
      </x:c>
      <x:c r="I198" s="24" t="str">
        <x:v>EYAS 2.0</x:v>
      </x:c>
      <x:c r="J198" s="24" t="str">
        <x:v>1.60</x:v>
      </x:c>
      <x:c r="K198" s="24" t="str">
        <x:v>Hi-Vision Meiryo</x:v>
      </x:c>
      <x:c r="L198" s="40" t="n">
        <x:v>6209</x:v>
      </x:c>
      <x:c r="M198" s="24" t="str">
        <x:v>-10.00 até +8.00</x:v>
      </x:c>
      <x:c r="N198" s="24"/>
      <x:c r="O198" s="24"/>
      <x:c r="P198" s="24"/>
      <x:c r="Q198" s="24"/>
      <x:c r="R198" s="24"/>
      <x:c r="S198" s="26" t="n">
        <x:v>45992</x:v>
      </x:c>
      <x:c r="T198" s="26"/>
      <x:c r="U198" s="24" t="str">
        <x:v>ATIVA/SEM FIM INFORMADO</x:v>
      </x:c>
      <x:c r="V198" s="24"/>
      <x:c r="W198" s="24" t="n">
        <x:v>25</x:v>
      </x:c>
      <x:c r="X198" s="24" t="str">
        <x:v>tabela_hoya(1).pdf</x:v>
      </x:c>
      <x:c r="Y198" s="24" t="str">
        <x:v>alta</x:v>
      </x:c>
      <x:c r="Z198" s="24"/>
      <x:c r="AA198" s="24" t="str">
        <x:v>HOYA|Progressiva|Surfaçada|Hoyalux iD LifeStyle 4|INCOLOR|EYAS 2.0|1.60|Hi-Vision Meiryo|-10.00 até +8.00||||||25</x:v>
      </x:c>
    </x:row>
    <x:row r="199">
      <x:c r="A199" s="24" t="str">
        <x:v>HY-7D7C54CB0C2E</x:v>
      </x:c>
      <x:c r="B199" s="24" t="str">
        <x:v>SIM</x:v>
      </x:c>
      <x:c r="C199" s="24" t="str">
        <x:v>DISPONÍVEL</x:v>
      </x:c>
      <x:c r="D199" s="24" t="str">
        <x:v>HOYA</x:v>
      </x:c>
      <x:c r="E199" s="24" t="str">
        <x:v>Progressiva</x:v>
      </x:c>
      <x:c r="F199" s="24" t="str">
        <x:v>Surfaçada</x:v>
      </x:c>
      <x:c r="G199" s="24" t="str">
        <x:v>Hoyalux iD LifeStyle 4</x:v>
      </x:c>
      <x:c r="H199" s="24" t="str">
        <x:v>INCOLOR</x:v>
      </x:c>
      <x:c r="I199" s="24" t="str">
        <x:v>PNX</x:v>
      </x:c>
      <x:c r="J199" s="24" t="str">
        <x:v>1.53</x:v>
      </x:c>
      <x:c r="K199" s="24" t="str">
        <x:v>Hi-Vision Meiryo</x:v>
      </x:c>
      <x:c r="L199" s="40" t="n">
        <x:v>5749</x:v>
      </x:c>
      <x:c r="M199" s="24" t="str">
        <x:v>-8.00 até +6.00</x:v>
      </x:c>
      <x:c r="N199" s="24"/>
      <x:c r="O199" s="24"/>
      <x:c r="P199" s="24"/>
      <x:c r="Q199" s="24"/>
      <x:c r="R199" s="24"/>
      <x:c r="S199" s="26" t="n">
        <x:v>45992</x:v>
      </x:c>
      <x:c r="T199" s="26"/>
      <x:c r="U199" s="24" t="str">
        <x:v>ATIVA/SEM FIM INFORMADO</x:v>
      </x:c>
      <x:c r="V199" s="24"/>
      <x:c r="W199" s="24" t="n">
        <x:v>25</x:v>
      </x:c>
      <x:c r="X199" s="24" t="str">
        <x:v>tabela_hoya(1).pdf</x:v>
      </x:c>
      <x:c r="Y199" s="24" t="str">
        <x:v>alta</x:v>
      </x:c>
      <x:c r="Z199" s="24"/>
      <x:c r="AA199" s="24" t="str">
        <x:v>HOYA|Progressiva|Surfaçada|Hoyalux iD LifeStyle 4|INCOLOR|PNX|1.53|Hi-Vision Meiryo|-8.00 até +6.00||||||25</x:v>
      </x:c>
    </x:row>
    <x:row r="200">
      <x:c r="A200" s="24" t="str">
        <x:v>HY-883A383E28FA</x:v>
      </x:c>
      <x:c r="B200" s="24" t="str">
        <x:v>SIM</x:v>
      </x:c>
      <x:c r="C200" s="24" t="str">
        <x:v>DISPONÍVEL</x:v>
      </x:c>
      <x:c r="D200" s="24" t="str">
        <x:v>HOYA</x:v>
      </x:c>
      <x:c r="E200" s="24" t="str">
        <x:v>Progressiva</x:v>
      </x:c>
      <x:c r="F200" s="24" t="str">
        <x:v>Surfaçada</x:v>
      </x:c>
      <x:c r="G200" s="24" t="str">
        <x:v>Hoyalux iD LifeStyle 4</x:v>
      </x:c>
      <x:c r="H200" s="24" t="str">
        <x:v>INCOLOR</x:v>
      </x:c>
      <x:c r="I200" s="24" t="str">
        <x:v>ORGANIC</x:v>
      </x:c>
      <x:c r="J200" s="24" t="str">
        <x:v>1.50</x:v>
      </x:c>
      <x:c r="K200" s="24" t="str">
        <x:v>Hi-Vision Meiryo</x:v>
      </x:c>
      <x:c r="L200" s="40" t="n">
        <x:v>5399</x:v>
      </x:c>
      <x:c r="M200" s="24" t="str">
        <x:v>-8.00 até +6.00</x:v>
      </x:c>
      <x:c r="N200" s="24"/>
      <x:c r="O200" s="24"/>
      <x:c r="P200" s="24"/>
      <x:c r="Q200" s="24"/>
      <x:c r="R200" s="24"/>
      <x:c r="S200" s="26" t="n">
        <x:v>45992</x:v>
      </x:c>
      <x:c r="T200" s="26"/>
      <x:c r="U200" s="24" t="str">
        <x:v>ATIVA/SEM FIM INFORMADO</x:v>
      </x:c>
      <x:c r="V200" s="24"/>
      <x:c r="W200" s="24" t="n">
        <x:v>25</x:v>
      </x:c>
      <x:c r="X200" s="24" t="str">
        <x:v>tabela_hoya(1).pdf</x:v>
      </x:c>
      <x:c r="Y200" s="24" t="str">
        <x:v>alta</x:v>
      </x:c>
      <x:c r="Z200" s="24"/>
      <x:c r="AA200" s="24" t="str">
        <x:v>HOYA|Progressiva|Surfaçada|Hoyalux iD LifeStyle 4|INCOLOR|ORGANIC|1.50|Hi-Vision Meiryo|-8.00 até +6.00||||||25</x:v>
      </x:c>
    </x:row>
    <x:row r="201">
      <x:c r="A201" s="24" t="str">
        <x:v>HY-30425E3BD48D</x:v>
      </x:c>
      <x:c r="B201" s="24" t="str">
        <x:v>SIM</x:v>
      </x:c>
      <x:c r="C201" s="24" t="str">
        <x:v>DISPONÍVEL</x:v>
      </x:c>
      <x:c r="D201" s="24" t="str">
        <x:v>HOYA</x:v>
      </x:c>
      <x:c r="E201" s="24" t="str">
        <x:v>Progressiva</x:v>
      </x:c>
      <x:c r="F201" s="24" t="str">
        <x:v>Surfaçada</x:v>
      </x:c>
      <x:c r="G201" s="24" t="str">
        <x:v>Hoyalux iD LifeStyle 4</x:v>
      </x:c>
      <x:c r="H201" s="24" t="str">
        <x:v>INCOLOR</x:v>
      </x:c>
      <x:c r="I201" s="24" t="str">
        <x:v>EYVIA</x:v>
      </x:c>
      <x:c r="J201" s="24" t="str">
        <x:v>1.74</x:v>
      </x:c>
      <x:c r="K201" s="24" t="str">
        <x:v>Hi-Vision LongLife BlueControl</x:v>
      </x:c>
      <x:c r="L201" s="40" t="n">
        <x:v>9309</x:v>
      </x:c>
      <x:c r="M201" s="24" t="str">
        <x:v>-13.00 até +8.00</x:v>
      </x:c>
      <x:c r="N201" s="24"/>
      <x:c r="O201" s="24"/>
      <x:c r="P201" s="24"/>
      <x:c r="Q201" s="24"/>
      <x:c r="R201" s="24"/>
      <x:c r="S201" s="26" t="n">
        <x:v>45992</x:v>
      </x:c>
      <x:c r="T201" s="26"/>
      <x:c r="U201" s="24" t="str">
        <x:v>ATIVA/SEM FIM INFORMADO</x:v>
      </x:c>
      <x:c r="V201" s="24"/>
      <x:c r="W201" s="24" t="n">
        <x:v>25</x:v>
      </x:c>
      <x:c r="X201" s="24" t="str">
        <x:v>tabela_hoya(1).pdf</x:v>
      </x:c>
      <x:c r="Y201" s="24" t="str">
        <x:v>alta</x:v>
      </x:c>
      <x:c r="Z201" s="24"/>
      <x:c r="AA201" s="24" t="str">
        <x:v>HOYA|Progressiva|Surfaçada|Hoyalux iD LifeStyle 4|INCOLOR|EYVIA|1.74|Hi-Vision LongLife BlueControl|-13.00 até +8.00||||||25</x:v>
      </x:c>
    </x:row>
    <x:row r="202">
      <x:c r="A202" s="24" t="str">
        <x:v>HY-A49676D00852</x:v>
      </x:c>
      <x:c r="B202" s="24" t="str">
        <x:v>SIM</x:v>
      </x:c>
      <x:c r="C202" s="24" t="str">
        <x:v>DISPONÍVEL</x:v>
      </x:c>
      <x:c r="D202" s="24" t="str">
        <x:v>HOYA</x:v>
      </x:c>
      <x:c r="E202" s="24" t="str">
        <x:v>Progressiva</x:v>
      </x:c>
      <x:c r="F202" s="24" t="str">
        <x:v>Surfaçada</x:v>
      </x:c>
      <x:c r="G202" s="24" t="str">
        <x:v>Hoyalux iD LifeStyle 4</x:v>
      </x:c>
      <x:c r="H202" s="24" t="str">
        <x:v>INCOLOR</x:v>
      </x:c>
      <x:c r="I202" s="24" t="str">
        <x:v>EYNOA</x:v>
      </x:c>
      <x:c r="J202" s="24" t="str">
        <x:v>1.67</x:v>
      </x:c>
      <x:c r="K202" s="24" t="str">
        <x:v>Hi-Vision LongLife BlueControl</x:v>
      </x:c>
      <x:c r="L202" s="40" t="n">
        <x:v>7809</x:v>
      </x:c>
      <x:c r="M202" s="24" t="str">
        <x:v>-12.00 até +8.00</x:v>
      </x:c>
      <x:c r="N202" s="24"/>
      <x:c r="O202" s="24"/>
      <x:c r="P202" s="24"/>
      <x:c r="Q202" s="24"/>
      <x:c r="R202" s="24"/>
      <x:c r="S202" s="26" t="n">
        <x:v>45992</x:v>
      </x:c>
      <x:c r="T202" s="26"/>
      <x:c r="U202" s="24" t="str">
        <x:v>ATIVA/SEM FIM INFORMADO</x:v>
      </x:c>
      <x:c r="V202" s="24"/>
      <x:c r="W202" s="24" t="n">
        <x:v>25</x:v>
      </x:c>
      <x:c r="X202" s="24" t="str">
        <x:v>tabela_hoya(1).pdf</x:v>
      </x:c>
      <x:c r="Y202" s="24" t="str">
        <x:v>alta</x:v>
      </x:c>
      <x:c r="Z202" s="24"/>
      <x:c r="AA202" s="24" t="str">
        <x:v>HOYA|Progressiva|Surfaçada|Hoyalux iD LifeStyle 4|INCOLOR|EYNOA|1.67|Hi-Vision LongLife BlueControl|-12.00 até +8.00||||||25</x:v>
      </x:c>
    </x:row>
    <x:row r="203">
      <x:c r="A203" s="24" t="str">
        <x:v>HY-4EFC98E4D979</x:v>
      </x:c>
      <x:c r="B203" s="24" t="str">
        <x:v>SIM</x:v>
      </x:c>
      <x:c r="C203" s="24" t="str">
        <x:v>DISPONÍVEL</x:v>
      </x:c>
      <x:c r="D203" s="24" t="str">
        <x:v>HOYA</x:v>
      </x:c>
      <x:c r="E203" s="24" t="str">
        <x:v>Progressiva</x:v>
      </x:c>
      <x:c r="F203" s="24" t="str">
        <x:v>Surfaçada</x:v>
      </x:c>
      <x:c r="G203" s="24" t="str">
        <x:v>Hoyalux iD LifeStyle 4</x:v>
      </x:c>
      <x:c r="H203" s="24" t="str">
        <x:v>INCOLOR</x:v>
      </x:c>
      <x:c r="I203" s="24" t="str">
        <x:v>EYAS 2.0</x:v>
      </x:c>
      <x:c r="J203" s="24" t="str">
        <x:v>1.60</x:v>
      </x:c>
      <x:c r="K203" s="24" t="str">
        <x:v>Hi-Vision LongLife BlueControl</x:v>
      </x:c>
      <x:c r="L203" s="40" t="n">
        <x:v>6009</x:v>
      </x:c>
      <x:c r="M203" s="24" t="str">
        <x:v>-10.00 até +8.00</x:v>
      </x:c>
      <x:c r="N203" s="24"/>
      <x:c r="O203" s="24"/>
      <x:c r="P203" s="24"/>
      <x:c r="Q203" s="24"/>
      <x:c r="R203" s="24"/>
      <x:c r="S203" s="26" t="n">
        <x:v>45992</x:v>
      </x:c>
      <x:c r="T203" s="26"/>
      <x:c r="U203" s="24" t="str">
        <x:v>ATIVA/SEM FIM INFORMADO</x:v>
      </x:c>
      <x:c r="V203" s="24"/>
      <x:c r="W203" s="24" t="n">
        <x:v>25</x:v>
      </x:c>
      <x:c r="X203" s="24" t="str">
        <x:v>tabela_hoya(1).pdf</x:v>
      </x:c>
      <x:c r="Y203" s="24" t="str">
        <x:v>alta</x:v>
      </x:c>
      <x:c r="Z203" s="24"/>
      <x:c r="AA203" s="24" t="str">
        <x:v>HOYA|Progressiva|Surfaçada|Hoyalux iD LifeStyle 4|INCOLOR|EYAS 2.0|1.60|Hi-Vision LongLife BlueControl|-10.00 até +8.00||||||25</x:v>
      </x:c>
    </x:row>
    <x:row r="204">
      <x:c r="A204" s="24" t="str">
        <x:v>HY-A9EC5DC040AB</x:v>
      </x:c>
      <x:c r="B204" s="24" t="str">
        <x:v>SIM</x:v>
      </x:c>
      <x:c r="C204" s="24" t="str">
        <x:v>DISPONÍVEL</x:v>
      </x:c>
      <x:c r="D204" s="24" t="str">
        <x:v>HOYA</x:v>
      </x:c>
      <x:c r="E204" s="24" t="str">
        <x:v>Progressiva</x:v>
      </x:c>
      <x:c r="F204" s="24" t="str">
        <x:v>Surfaçada</x:v>
      </x:c>
      <x:c r="G204" s="24" t="str">
        <x:v>Hoyalux iD LifeStyle 4</x:v>
      </x:c>
      <x:c r="H204" s="24" t="str">
        <x:v>INCOLOR</x:v>
      </x:c>
      <x:c r="I204" s="24" t="str">
        <x:v>PNX</x:v>
      </x:c>
      <x:c r="J204" s="24" t="str">
        <x:v>1.53</x:v>
      </x:c>
      <x:c r="K204" s="24" t="str">
        <x:v>Hi-Vision LongLife BlueControl</x:v>
      </x:c>
      <x:c r="L204" s="40" t="n">
        <x:v>5549</x:v>
      </x:c>
      <x:c r="M204" s="24" t="str">
        <x:v>-8.00 até +6.00</x:v>
      </x:c>
      <x:c r="N204" s="24"/>
      <x:c r="O204" s="24"/>
      <x:c r="P204" s="24"/>
      <x:c r="Q204" s="24"/>
      <x:c r="R204" s="24"/>
      <x:c r="S204" s="26" t="n">
        <x:v>45992</x:v>
      </x:c>
      <x:c r="T204" s="26"/>
      <x:c r="U204" s="24" t="str">
        <x:v>ATIVA/SEM FIM INFORMADO</x:v>
      </x:c>
      <x:c r="V204" s="24"/>
      <x:c r="W204" s="24" t="n">
        <x:v>25</x:v>
      </x:c>
      <x:c r="X204" s="24" t="str">
        <x:v>tabela_hoya(1).pdf</x:v>
      </x:c>
      <x:c r="Y204" s="24" t="str">
        <x:v>alta</x:v>
      </x:c>
      <x:c r="Z204" s="24"/>
      <x:c r="AA204" s="24" t="str">
        <x:v>HOYA|Progressiva|Surfaçada|Hoyalux iD LifeStyle 4|INCOLOR|PNX|1.53|Hi-Vision LongLife BlueControl|-8.00 até +6.00||||||25</x:v>
      </x:c>
    </x:row>
    <x:row r="205">
      <x:c r="A205" s="24" t="str">
        <x:v>HY-7510FF781AF0</x:v>
      </x:c>
      <x:c r="B205" s="24" t="str">
        <x:v>SIM</x:v>
      </x:c>
      <x:c r="C205" s="24" t="str">
        <x:v>DISPONÍVEL</x:v>
      </x:c>
      <x:c r="D205" s="24" t="str">
        <x:v>HOYA</x:v>
      </x:c>
      <x:c r="E205" s="24" t="str">
        <x:v>Progressiva</x:v>
      </x:c>
      <x:c r="F205" s="24" t="str">
        <x:v>Surfaçada</x:v>
      </x:c>
      <x:c r="G205" s="24" t="str">
        <x:v>Hoyalux iD LifeStyle 4</x:v>
      </x:c>
      <x:c r="H205" s="24" t="str">
        <x:v>INCOLOR</x:v>
      </x:c>
      <x:c r="I205" s="24" t="str">
        <x:v>ORGANIC</x:v>
      </x:c>
      <x:c r="J205" s="24" t="str">
        <x:v>1.50</x:v>
      </x:c>
      <x:c r="K205" s="24" t="str">
        <x:v>Hi-Vision LongLife BlueControl</x:v>
      </x:c>
      <x:c r="L205" s="40" t="n">
        <x:v>5199</x:v>
      </x:c>
      <x:c r="M205" s="24" t="str">
        <x:v>-8.00 até +6.00</x:v>
      </x:c>
      <x:c r="N205" s="24"/>
      <x:c r="O205" s="24"/>
      <x:c r="P205" s="24"/>
      <x:c r="Q205" s="24"/>
      <x:c r="R205" s="24"/>
      <x:c r="S205" s="26" t="n">
        <x:v>45992</x:v>
      </x:c>
      <x:c r="T205" s="26"/>
      <x:c r="U205" s="24" t="str">
        <x:v>ATIVA/SEM FIM INFORMADO</x:v>
      </x:c>
      <x:c r="V205" s="24"/>
      <x:c r="W205" s="24" t="n">
        <x:v>25</x:v>
      </x:c>
      <x:c r="X205" s="24" t="str">
        <x:v>tabela_hoya(1).pdf</x:v>
      </x:c>
      <x:c r="Y205" s="24" t="str">
        <x:v>alta</x:v>
      </x:c>
      <x:c r="Z205" s="24"/>
      <x:c r="AA205" s="24" t="str">
        <x:v>HOYA|Progressiva|Surfaçada|Hoyalux iD LifeStyle 4|INCOLOR|ORGANIC|1.50|Hi-Vision LongLife BlueControl|-8.00 até +6.00||||||25</x:v>
      </x:c>
    </x:row>
    <x:row r="206">
      <x:c r="A206" s="24" t="str">
        <x:v>HY-02699BE0B624</x:v>
      </x:c>
      <x:c r="B206" s="24" t="str">
        <x:v>SIM</x:v>
      </x:c>
      <x:c r="C206" s="24" t="str">
        <x:v>DISPONÍVEL</x:v>
      </x:c>
      <x:c r="D206" s="24" t="str">
        <x:v>HOYA</x:v>
      </x:c>
      <x:c r="E206" s="24" t="str">
        <x:v>Progressiva</x:v>
      </x:c>
      <x:c r="F206" s="24" t="str">
        <x:v>Surfaçada</x:v>
      </x:c>
      <x:c r="G206" s="24" t="str">
        <x:v>Hoyalux iD LifeStyle 4</x:v>
      </x:c>
      <x:c r="H206" s="24" t="str">
        <x:v>INCOLOR</x:v>
      </x:c>
      <x:c r="I206" s="24" t="str">
        <x:v>EYNOA</x:v>
      </x:c>
      <x:c r="J206" s="24" t="str">
        <x:v>1.67</x:v>
      </x:c>
      <x:c r="K206" s="24" t="str">
        <x:v>No-Risk BlueControl</x:v>
      </x:c>
      <x:c r="L206" s="40" t="n">
        <x:v>7559</x:v>
      </x:c>
      <x:c r="M206" s="24" t="str">
        <x:v>-12.00 até +8.00</x:v>
      </x:c>
      <x:c r="N206" s="24"/>
      <x:c r="O206" s="24"/>
      <x:c r="P206" s="24"/>
      <x:c r="Q206" s="24"/>
      <x:c r="R206" s="24"/>
      <x:c r="S206" s="26" t="n">
        <x:v>45992</x:v>
      </x:c>
      <x:c r="T206" s="26"/>
      <x:c r="U206" s="24" t="str">
        <x:v>ATIVA/SEM FIM INFORMADO</x:v>
      </x:c>
      <x:c r="V206" s="24"/>
      <x:c r="W206" s="24" t="n">
        <x:v>25</x:v>
      </x:c>
      <x:c r="X206" s="24" t="str">
        <x:v>tabela_hoya(1).pdf</x:v>
      </x:c>
      <x:c r="Y206" s="24" t="str">
        <x:v>alta</x:v>
      </x:c>
      <x:c r="Z206" s="24"/>
      <x:c r="AA206" s="24" t="str">
        <x:v>HOYA|Progressiva|Surfaçada|Hoyalux iD LifeStyle 4|INCOLOR|EYNOA|1.67|No-Risk BlueControl|-12.00 até +8.00||||||25</x:v>
      </x:c>
    </x:row>
    <x:row r="207">
      <x:c r="A207" s="24" t="str">
        <x:v>HY-FDDAEB3D66EF</x:v>
      </x:c>
      <x:c r="B207" s="24" t="str">
        <x:v>SIM</x:v>
      </x:c>
      <x:c r="C207" s="24" t="str">
        <x:v>DISPONÍVEL</x:v>
      </x:c>
      <x:c r="D207" s="24" t="str">
        <x:v>HOYA</x:v>
      </x:c>
      <x:c r="E207" s="24" t="str">
        <x:v>Progressiva</x:v>
      </x:c>
      <x:c r="F207" s="24" t="str">
        <x:v>Surfaçada</x:v>
      </x:c>
      <x:c r="G207" s="24" t="str">
        <x:v>Hoyalux iD LifeStyle 4</x:v>
      </x:c>
      <x:c r="H207" s="24" t="str">
        <x:v>INCOLOR</x:v>
      </x:c>
      <x:c r="I207" s="24" t="str">
        <x:v>EYAS 2.0</x:v>
      </x:c>
      <x:c r="J207" s="24" t="str">
        <x:v>1.60</x:v>
      </x:c>
      <x:c r="K207" s="24" t="str">
        <x:v>No-Risk BlueControl</x:v>
      </x:c>
      <x:c r="L207" s="40" t="n">
        <x:v>5759</x:v>
      </x:c>
      <x:c r="M207" s="24" t="str">
        <x:v>-10.00 até +8.00</x:v>
      </x:c>
      <x:c r="N207" s="24"/>
      <x:c r="O207" s="24"/>
      <x:c r="P207" s="24"/>
      <x:c r="Q207" s="24"/>
      <x:c r="R207" s="24"/>
      <x:c r="S207" s="26" t="n">
        <x:v>45992</x:v>
      </x:c>
      <x:c r="T207" s="26"/>
      <x:c r="U207" s="24" t="str">
        <x:v>ATIVA/SEM FIM INFORMADO</x:v>
      </x:c>
      <x:c r="V207" s="24"/>
      <x:c r="W207" s="24" t="n">
        <x:v>25</x:v>
      </x:c>
      <x:c r="X207" s="24" t="str">
        <x:v>tabela_hoya(1).pdf</x:v>
      </x:c>
      <x:c r="Y207" s="24" t="str">
        <x:v>alta</x:v>
      </x:c>
      <x:c r="Z207" s="24"/>
      <x:c r="AA207" s="24" t="str">
        <x:v>HOYA|Progressiva|Surfaçada|Hoyalux iD LifeStyle 4|INCOLOR|EYAS 2.0|1.60|No-Risk BlueControl|-10.00 até +8.00||||||25</x:v>
      </x:c>
    </x:row>
    <x:row r="208">
      <x:c r="A208" s="24" t="str">
        <x:v>HY-2FDE96AB68EE</x:v>
      </x:c>
      <x:c r="B208" s="24" t="str">
        <x:v>SIM</x:v>
      </x:c>
      <x:c r="C208" s="24" t="str">
        <x:v>DISPONÍVEL</x:v>
      </x:c>
      <x:c r="D208" s="24" t="str">
        <x:v>HOYA</x:v>
      </x:c>
      <x:c r="E208" s="24" t="str">
        <x:v>Progressiva</x:v>
      </x:c>
      <x:c r="F208" s="24" t="str">
        <x:v>Surfaçada</x:v>
      </x:c>
      <x:c r="G208" s="24" t="str">
        <x:v>Hoyalux iD LifeStyle 4</x:v>
      </x:c>
      <x:c r="H208" s="24" t="str">
        <x:v>INCOLOR</x:v>
      </x:c>
      <x:c r="I208" s="24" t="str">
        <x:v>PNX</x:v>
      </x:c>
      <x:c r="J208" s="24" t="str">
        <x:v>1.53</x:v>
      </x:c>
      <x:c r="K208" s="24" t="str">
        <x:v>No-Risk BlueControl</x:v>
      </x:c>
      <x:c r="L208" s="40" t="n">
        <x:v>5299</x:v>
      </x:c>
      <x:c r="M208" s="24" t="str">
        <x:v>-8.00 até +6.00</x:v>
      </x:c>
      <x:c r="N208" s="24"/>
      <x:c r="O208" s="24"/>
      <x:c r="P208" s="24"/>
      <x:c r="Q208" s="24"/>
      <x:c r="R208" s="24"/>
      <x:c r="S208" s="26" t="n">
        <x:v>45992</x:v>
      </x:c>
      <x:c r="T208" s="26"/>
      <x:c r="U208" s="24" t="str">
        <x:v>ATIVA/SEM FIM INFORMADO</x:v>
      </x:c>
      <x:c r="V208" s="24"/>
      <x:c r="W208" s="24" t="n">
        <x:v>25</x:v>
      </x:c>
      <x:c r="X208" s="24" t="str">
        <x:v>tabela_hoya(1).pdf</x:v>
      </x:c>
      <x:c r="Y208" s="24" t="str">
        <x:v>alta</x:v>
      </x:c>
      <x:c r="Z208" s="24"/>
      <x:c r="AA208" s="24" t="str">
        <x:v>HOYA|Progressiva|Surfaçada|Hoyalux iD LifeStyle 4|INCOLOR|PNX|1.53|No-Risk BlueControl|-8.00 até +6.00||||||25</x:v>
      </x:c>
    </x:row>
    <x:row r="209">
      <x:c r="A209" s="24" t="str">
        <x:v>HY-7301BC2CDC20</x:v>
      </x:c>
      <x:c r="B209" s="24" t="str">
        <x:v>SIM</x:v>
      </x:c>
      <x:c r="C209" s="24" t="str">
        <x:v>DISPONÍVEL</x:v>
      </x:c>
      <x:c r="D209" s="24" t="str">
        <x:v>HOYA</x:v>
      </x:c>
      <x:c r="E209" s="24" t="str">
        <x:v>Progressiva</x:v>
      </x:c>
      <x:c r="F209" s="24" t="str">
        <x:v>Surfaçada</x:v>
      </x:c>
      <x:c r="G209" s="24" t="str">
        <x:v>Hoyalux iD LifeStyle 4</x:v>
      </x:c>
      <x:c r="H209" s="24" t="str">
        <x:v>INCOLOR</x:v>
      </x:c>
      <x:c r="I209" s="24" t="str">
        <x:v>ORGANIC</x:v>
      </x:c>
      <x:c r="J209" s="24" t="str">
        <x:v>1.50</x:v>
      </x:c>
      <x:c r="K209" s="24" t="str">
        <x:v>No-Risk BlueControl</x:v>
      </x:c>
      <x:c r="L209" s="40" t="n">
        <x:v>4949</x:v>
      </x:c>
      <x:c r="M209" s="24" t="str">
        <x:v>-8.00 até +6.00</x:v>
      </x:c>
      <x:c r="N209" s="24"/>
      <x:c r="O209" s="24"/>
      <x:c r="P209" s="24"/>
      <x:c r="Q209" s="24"/>
      <x:c r="R209" s="24"/>
      <x:c r="S209" s="26" t="n">
        <x:v>45992</x:v>
      </x:c>
      <x:c r="T209" s="26"/>
      <x:c r="U209" s="24" t="str">
        <x:v>ATIVA/SEM FIM INFORMADO</x:v>
      </x:c>
      <x:c r="V209" s="24"/>
      <x:c r="W209" s="24" t="n">
        <x:v>25</x:v>
      </x:c>
      <x:c r="X209" s="24" t="str">
        <x:v>tabela_hoya(1).pdf</x:v>
      </x:c>
      <x:c r="Y209" s="24" t="str">
        <x:v>alta</x:v>
      </x:c>
      <x:c r="Z209" s="24"/>
      <x:c r="AA209" s="24" t="str">
        <x:v>HOYA|Progressiva|Surfaçada|Hoyalux iD LifeStyle 4|INCOLOR|ORGANIC|1.50|No-Risk BlueControl|-8.00 até +6.00||||||25</x:v>
      </x:c>
    </x:row>
    <x:row r="210">
      <x:c r="A210" s="24" t="str">
        <x:v>HY-C9546653DF14</x:v>
      </x:c>
      <x:c r="B210" s="24" t="str">
        <x:v>SIM</x:v>
      </x:c>
      <x:c r="C210" s="24" t="str">
        <x:v>DISPONÍVEL</x:v>
      </x:c>
      <x:c r="D210" s="24" t="str">
        <x:v>HOYA</x:v>
      </x:c>
      <x:c r="E210" s="24" t="str">
        <x:v>Progressiva</x:v>
      </x:c>
      <x:c r="F210" s="24" t="str">
        <x:v>Surfaçada</x:v>
      </x:c>
      <x:c r="G210" s="24" t="str">
        <x:v>Hoyalux iD LifeStyle 4</x:v>
      </x:c>
      <x:c r="H210" s="24" t="str">
        <x:v>COLORIDAS</x:v>
      </x:c>
      <x:c r="I210" s="24" t="str">
        <x:v>EYVIA</x:v>
      </x:c>
      <x:c r="J210" s="24" t="str">
        <x:v>1.74</x:v>
      </x:c>
      <x:c r="K210" s="24" t="str">
        <x:v>Hi-Vision Sun Pro</x:v>
      </x:c>
      <x:c r="L210" s="40" t="n">
        <x:v>9599</x:v>
      </x:c>
      <x:c r="M210" s="24" t="str">
        <x:v>-13.00 até +8.00</x:v>
      </x:c>
      <x:c r="N210" s="24"/>
      <x:c r="O210" s="24"/>
      <x:c r="P210" s="24"/>
      <x:c r="Q210" s="24"/>
      <x:c r="R210" s="24"/>
      <x:c r="S210" s="26" t="n">
        <x:v>45992</x:v>
      </x:c>
      <x:c r="T210" s="26"/>
      <x:c r="U210" s="24" t="str">
        <x:v>ATIVA/SEM FIM INFORMADO</x:v>
      </x:c>
      <x:c r="V210" s="24"/>
      <x:c r="W210" s="24" t="n">
        <x:v>25</x:v>
      </x:c>
      <x:c r="X210" s="24" t="str">
        <x:v>tabela_hoya(1).pdf</x:v>
      </x:c>
      <x:c r="Y210" s="24" t="str">
        <x:v>alta</x:v>
      </x:c>
      <x:c r="Z210" s="24"/>
      <x:c r="AA210" s="24" t="str">
        <x:v>HOYA|Progressiva|Surfaçada|Hoyalux iD LifeStyle 4|COLORIDAS|EYVIA|1.74|Hi-Vision Sun Pro|-13.00 até +8.00||||||25</x:v>
      </x:c>
    </x:row>
    <x:row r="211">
      <x:c r="A211" s="24" t="str">
        <x:v>HY-AEB890C93E60</x:v>
      </x:c>
      <x:c r="B211" s="24" t="str">
        <x:v>SIM</x:v>
      </x:c>
      <x:c r="C211" s="24" t="str">
        <x:v>DISPONÍVEL</x:v>
      </x:c>
      <x:c r="D211" s="24" t="str">
        <x:v>HOYA</x:v>
      </x:c>
      <x:c r="E211" s="24" t="str">
        <x:v>Progressiva</x:v>
      </x:c>
      <x:c r="F211" s="24" t="str">
        <x:v>Surfaçada</x:v>
      </x:c>
      <x:c r="G211" s="24" t="str">
        <x:v>Hoyalux iD LifeStyle 4</x:v>
      </x:c>
      <x:c r="H211" s="24" t="str">
        <x:v>COLORIDAS</x:v>
      </x:c>
      <x:c r="I211" s="24" t="str">
        <x:v>EYNOA</x:v>
      </x:c>
      <x:c r="J211" s="24" t="str">
        <x:v>1.67</x:v>
      </x:c>
      <x:c r="K211" s="24" t="str">
        <x:v>Hi-Vision Sun Pro</x:v>
      </x:c>
      <x:c r="L211" s="40" t="n">
        <x:v>7849</x:v>
      </x:c>
      <x:c r="M211" s="24" t="str">
        <x:v>-12.00 até +8.00</x:v>
      </x:c>
      <x:c r="N211" s="24"/>
      <x:c r="O211" s="24"/>
      <x:c r="P211" s="24"/>
      <x:c r="Q211" s="24"/>
      <x:c r="R211" s="24"/>
      <x:c r="S211" s="26" t="n">
        <x:v>45992</x:v>
      </x:c>
      <x:c r="T211" s="26"/>
      <x:c r="U211" s="24" t="str">
        <x:v>ATIVA/SEM FIM INFORMADO</x:v>
      </x:c>
      <x:c r="V211" s="24"/>
      <x:c r="W211" s="24" t="n">
        <x:v>25</x:v>
      </x:c>
      <x:c r="X211" s="24" t="str">
        <x:v>tabela_hoya(1).pdf</x:v>
      </x:c>
      <x:c r="Y211" s="24" t="str">
        <x:v>alta</x:v>
      </x:c>
      <x:c r="Z211" s="24"/>
      <x:c r="AA211" s="24" t="str">
        <x:v>HOYA|Progressiva|Surfaçada|Hoyalux iD LifeStyle 4|COLORIDAS|EYNOA|1.67|Hi-Vision Sun Pro|-12.00 até +8.00||||||25</x:v>
      </x:c>
    </x:row>
    <x:row r="212">
      <x:c r="A212" s="24" t="str">
        <x:v>HY-472FE3EFFE2B</x:v>
      </x:c>
      <x:c r="B212" s="24" t="str">
        <x:v>SIM</x:v>
      </x:c>
      <x:c r="C212" s="24" t="str">
        <x:v>DISPONÍVEL</x:v>
      </x:c>
      <x:c r="D212" s="24" t="str">
        <x:v>HOYA</x:v>
      </x:c>
      <x:c r="E212" s="24" t="str">
        <x:v>Progressiva</x:v>
      </x:c>
      <x:c r="F212" s="24" t="str">
        <x:v>Surfaçada</x:v>
      </x:c>
      <x:c r="G212" s="24" t="str">
        <x:v>Hoyalux iD LifeStyle 4</x:v>
      </x:c>
      <x:c r="H212" s="24" t="str">
        <x:v>COLORIDAS</x:v>
      </x:c>
      <x:c r="I212" s="24" t="str">
        <x:v>EYAS 2.0</x:v>
      </x:c>
      <x:c r="J212" s="24" t="str">
        <x:v>1.60</x:v>
      </x:c>
      <x:c r="K212" s="24" t="str">
        <x:v>Hi-Vision Sun Pro</x:v>
      </x:c>
      <x:c r="L212" s="40" t="n">
        <x:v>6049</x:v>
      </x:c>
      <x:c r="M212" s="24" t="str">
        <x:v>-10.00 até +8.00</x:v>
      </x:c>
      <x:c r="N212" s="24"/>
      <x:c r="O212" s="24"/>
      <x:c r="P212" s="24"/>
      <x:c r="Q212" s="24"/>
      <x:c r="R212" s="24"/>
      <x:c r="S212" s="26" t="n">
        <x:v>45992</x:v>
      </x:c>
      <x:c r="T212" s="26"/>
      <x:c r="U212" s="24" t="str">
        <x:v>ATIVA/SEM FIM INFORMADO</x:v>
      </x:c>
      <x:c r="V212" s="24"/>
      <x:c r="W212" s="24" t="n">
        <x:v>25</x:v>
      </x:c>
      <x:c r="X212" s="24" t="str">
        <x:v>tabela_hoya(1).pdf</x:v>
      </x:c>
      <x:c r="Y212" s="24" t="str">
        <x:v>alta</x:v>
      </x:c>
      <x:c r="Z212" s="24"/>
      <x:c r="AA212" s="24" t="str">
        <x:v>HOYA|Progressiva|Surfaçada|Hoyalux iD LifeStyle 4|COLORIDAS|EYAS 2.0|1.60|Hi-Vision Sun Pro|-10.00 até +8.00||||||25</x:v>
      </x:c>
    </x:row>
    <x:row r="213">
      <x:c r="A213" s="24" t="str">
        <x:v>HY-951C6B4F5037</x:v>
      </x:c>
      <x:c r="B213" s="24" t="str">
        <x:v>SIM</x:v>
      </x:c>
      <x:c r="C213" s="24" t="str">
        <x:v>DISPONÍVEL</x:v>
      </x:c>
      <x:c r="D213" s="24" t="str">
        <x:v>HOYA</x:v>
      </x:c>
      <x:c r="E213" s="24" t="str">
        <x:v>Progressiva</x:v>
      </x:c>
      <x:c r="F213" s="24" t="str">
        <x:v>Surfaçada</x:v>
      </x:c>
      <x:c r="G213" s="24" t="str">
        <x:v>Hoyalux iD LifeStyle 4</x:v>
      </x:c>
      <x:c r="H213" s="24" t="str">
        <x:v>COLORIDAS</x:v>
      </x:c>
      <x:c r="I213" s="24" t="str">
        <x:v>PNX</x:v>
      </x:c>
      <x:c r="J213" s="24" t="str">
        <x:v>1.53</x:v>
      </x:c>
      <x:c r="K213" s="24" t="str">
        <x:v>Hi-Vision Sun Pro</x:v>
      </x:c>
      <x:c r="L213" s="40" t="n">
        <x:v>5589</x:v>
      </x:c>
      <x:c r="M213" s="24" t="str">
        <x:v>-8.00 até +6.00</x:v>
      </x:c>
      <x:c r="N213" s="24"/>
      <x:c r="O213" s="24"/>
      <x:c r="P213" s="24"/>
      <x:c r="Q213" s="24"/>
      <x:c r="R213" s="24"/>
      <x:c r="S213" s="26" t="n">
        <x:v>45992</x:v>
      </x:c>
      <x:c r="T213" s="26"/>
      <x:c r="U213" s="24" t="str">
        <x:v>ATIVA/SEM FIM INFORMADO</x:v>
      </x:c>
      <x:c r="V213" s="24"/>
      <x:c r="W213" s="24" t="n">
        <x:v>25</x:v>
      </x:c>
      <x:c r="X213" s="24" t="str">
        <x:v>tabela_hoya(1).pdf</x:v>
      </x:c>
      <x:c r="Y213" s="24" t="str">
        <x:v>alta</x:v>
      </x:c>
      <x:c r="Z213" s="24"/>
      <x:c r="AA213" s="24" t="str">
        <x:v>HOYA|Progressiva|Surfaçada|Hoyalux iD LifeStyle 4|COLORIDAS|PNX|1.53|Hi-Vision Sun Pro|-8.00 até +6.00||||||25</x:v>
      </x:c>
    </x:row>
    <x:row r="214">
      <x:c r="A214" s="24" t="str">
        <x:v>HY-EA648382A861</x:v>
      </x:c>
      <x:c r="B214" s="24" t="str">
        <x:v>SIM</x:v>
      </x:c>
      <x:c r="C214" s="24" t="str">
        <x:v>DISPONÍVEL</x:v>
      </x:c>
      <x:c r="D214" s="24" t="str">
        <x:v>HOYA</x:v>
      </x:c>
      <x:c r="E214" s="24" t="str">
        <x:v>Progressiva</x:v>
      </x:c>
      <x:c r="F214" s="24" t="str">
        <x:v>Surfaçada</x:v>
      </x:c>
      <x:c r="G214" s="24" t="str">
        <x:v>Hoyalux iD LifeStyle 4</x:v>
      </x:c>
      <x:c r="H214" s="24" t="str">
        <x:v>COLORIDAS</x:v>
      </x:c>
      <x:c r="I214" s="24" t="str">
        <x:v>ORGANIC</x:v>
      </x:c>
      <x:c r="J214" s="24" t="str">
        <x:v>1.50</x:v>
      </x:c>
      <x:c r="K214" s="24" t="str">
        <x:v>Hi-Vision Sun Pro</x:v>
      </x:c>
      <x:c r="L214" s="40" t="n">
        <x:v>5239</x:v>
      </x:c>
      <x:c r="M214" s="24" t="str">
        <x:v>-8.00 até +6.00</x:v>
      </x:c>
      <x:c r="N214" s="24"/>
      <x:c r="O214" s="24"/>
      <x:c r="P214" s="24"/>
      <x:c r="Q214" s="24"/>
      <x:c r="R214" s="24"/>
      <x:c r="S214" s="26" t="n">
        <x:v>45992</x:v>
      </x:c>
      <x:c r="T214" s="26"/>
      <x:c r="U214" s="24" t="str">
        <x:v>ATIVA/SEM FIM INFORMADO</x:v>
      </x:c>
      <x:c r="V214" s="24"/>
      <x:c r="W214" s="24" t="n">
        <x:v>25</x:v>
      </x:c>
      <x:c r="X214" s="24" t="str">
        <x:v>tabela_hoya(1).pdf</x:v>
      </x:c>
      <x:c r="Y214" s="24" t="str">
        <x:v>alta</x:v>
      </x:c>
      <x:c r="Z214" s="24"/>
      <x:c r="AA214" s="24" t="str">
        <x:v>HOYA|Progressiva|Surfaçada|Hoyalux iD LifeStyle 4|COLORIDAS|ORGANIC|1.50|Hi-Vision Sun Pro|-8.00 até +6.00||||||25</x:v>
      </x:c>
    </x:row>
    <x:row r="215">
      <x:c r="A215" s="24" t="str">
        <x:v>HY-1D31EE28C2EB</x:v>
      </x:c>
      <x:c r="B215" s="24" t="str">
        <x:v>SIM</x:v>
      </x:c>
      <x:c r="C215" s="24" t="str">
        <x:v>DISPONÍVEL</x:v>
      </x:c>
      <x:c r="D215" s="24" t="str">
        <x:v>HOYA</x:v>
      </x:c>
      <x:c r="E215" s="24" t="str">
        <x:v>Progressiva</x:v>
      </x:c>
      <x:c r="F215" s="24" t="str">
        <x:v>Surfaçada</x:v>
      </x:c>
      <x:c r="G215" s="24" t="str">
        <x:v>Hoyalux iD LifeStyle 4</x:v>
      </x:c>
      <x:c r="H215" s="24" t="str">
        <x:v>SENSITY 2</x:v>
      </x:c>
      <x:c r="I215" s="24" t="str">
        <x:v>EYNOA</x:v>
      </x:c>
      <x:c r="J215" s="24" t="str">
        <x:v>1.67</x:v>
      </x:c>
      <x:c r="K215" s="24" t="str">
        <x:v>Hi-Vision Meiryo</x:v>
      </x:c>
      <x:c r="L215" s="40" t="n">
        <x:v>9409</x:v>
      </x:c>
      <x:c r="M215" s="24" t="str">
        <x:v>-12.00 até +8.00</x:v>
      </x:c>
      <x:c r="N215" s="24"/>
      <x:c r="O215" s="24"/>
      <x:c r="P215" s="24"/>
      <x:c r="Q215" s="24"/>
      <x:c r="R215" s="24"/>
      <x:c r="S215" s="26" t="n">
        <x:v>45992</x:v>
      </x:c>
      <x:c r="T215" s="26"/>
      <x:c r="U215" s="24" t="str">
        <x:v>ATIVA/SEM FIM INFORMADO</x:v>
      </x:c>
      <x:c r="V215" s="24"/>
      <x:c r="W215" s="24" t="n">
        <x:v>25</x:v>
      </x:c>
      <x:c r="X215" s="24" t="str">
        <x:v>tabela_hoya(1).pdf</x:v>
      </x:c>
      <x:c r="Y215" s="24" t="str">
        <x:v>alta</x:v>
      </x:c>
      <x:c r="Z215" s="24"/>
      <x:c r="AA215" s="24" t="str">
        <x:v>HOYA|Progressiva|Surfaçada|Hoyalux iD LifeStyle 4|SENSITY 2|EYNOA|1.67|Hi-Vision Meiryo|-12.00 até +8.00||||||25</x:v>
      </x:c>
    </x:row>
    <x:row r="216">
      <x:c r="A216" s="24" t="str">
        <x:v>HY-85C51CF3E8CA</x:v>
      </x:c>
      <x:c r="B216" s="24" t="str">
        <x:v>SIM</x:v>
      </x:c>
      <x:c r="C216" s="24" t="str">
        <x:v>DISPONÍVEL</x:v>
      </x:c>
      <x:c r="D216" s="24" t="str">
        <x:v>HOYA</x:v>
      </x:c>
      <x:c r="E216" s="24" t="str">
        <x:v>Progressiva</x:v>
      </x:c>
      <x:c r="F216" s="24" t="str">
        <x:v>Surfaçada</x:v>
      </x:c>
      <x:c r="G216" s="24" t="str">
        <x:v>Hoyalux iD LifeStyle 4</x:v>
      </x:c>
      <x:c r="H216" s="24" t="str">
        <x:v>SENSITY 2</x:v>
      </x:c>
      <x:c r="I216" s="24" t="str">
        <x:v>EYAS 2.0</x:v>
      </x:c>
      <x:c r="J216" s="24" t="str">
        <x:v>1.60</x:v>
      </x:c>
      <x:c r="K216" s="24" t="str">
        <x:v>Hi-Vision Meiryo</x:v>
      </x:c>
      <x:c r="L216" s="40" t="n">
        <x:v>7609</x:v>
      </x:c>
      <x:c r="M216" s="24" t="str">
        <x:v>-10.00 até +8.00</x:v>
      </x:c>
      <x:c r="N216" s="24"/>
      <x:c r="O216" s="24"/>
      <x:c r="P216" s="24"/>
      <x:c r="Q216" s="24"/>
      <x:c r="R216" s="24"/>
      <x:c r="S216" s="26" t="n">
        <x:v>45992</x:v>
      </x:c>
      <x:c r="T216" s="26"/>
      <x:c r="U216" s="24" t="str">
        <x:v>ATIVA/SEM FIM INFORMADO</x:v>
      </x:c>
      <x:c r="V216" s="24"/>
      <x:c r="W216" s="24" t="n">
        <x:v>25</x:v>
      </x:c>
      <x:c r="X216" s="24" t="str">
        <x:v>tabela_hoya(1).pdf</x:v>
      </x:c>
      <x:c r="Y216" s="24" t="str">
        <x:v>alta</x:v>
      </x:c>
      <x:c r="Z216" s="24"/>
      <x:c r="AA216" s="24" t="str">
        <x:v>HOYA|Progressiva|Surfaçada|Hoyalux iD LifeStyle 4|SENSITY 2|EYAS 2.0|1.60|Hi-Vision Meiryo|-10.00 até +8.00||||||25</x:v>
      </x:c>
    </x:row>
    <x:row r="217">
      <x:c r="A217" s="24" t="str">
        <x:v>HY-3FBA392B611D</x:v>
      </x:c>
      <x:c r="B217" s="24" t="str">
        <x:v>SIM</x:v>
      </x:c>
      <x:c r="C217" s="24" t="str">
        <x:v>DISPONÍVEL</x:v>
      </x:c>
      <x:c r="D217" s="24" t="str">
        <x:v>HOYA</x:v>
      </x:c>
      <x:c r="E217" s="24" t="str">
        <x:v>Progressiva</x:v>
      </x:c>
      <x:c r="F217" s="24" t="str">
        <x:v>Surfaçada</x:v>
      </x:c>
      <x:c r="G217" s="24" t="str">
        <x:v>Hoyalux iD LifeStyle 4</x:v>
      </x:c>
      <x:c r="H217" s="24" t="str">
        <x:v>SENSITY 2</x:v>
      </x:c>
      <x:c r="I217" s="24" t="str">
        <x:v>PNX</x:v>
      </x:c>
      <x:c r="J217" s="24" t="str">
        <x:v>1.53</x:v>
      </x:c>
      <x:c r="K217" s="24" t="str">
        <x:v>Hi-Vision Meiryo</x:v>
      </x:c>
      <x:c r="L217" s="40" t="n">
        <x:v>7149</x:v>
      </x:c>
      <x:c r="M217" s="24" t="str">
        <x:v>-8.00 até +6.00</x:v>
      </x:c>
      <x:c r="N217" s="24"/>
      <x:c r="O217" s="24"/>
      <x:c r="P217" s="24"/>
      <x:c r="Q217" s="24"/>
      <x:c r="R217" s="24"/>
      <x:c r="S217" s="26" t="n">
        <x:v>45992</x:v>
      </x:c>
      <x:c r="T217" s="26"/>
      <x:c r="U217" s="24" t="str">
        <x:v>ATIVA/SEM FIM INFORMADO</x:v>
      </x:c>
      <x:c r="V217" s="24"/>
      <x:c r="W217" s="24" t="n">
        <x:v>25</x:v>
      </x:c>
      <x:c r="X217" s="24" t="str">
        <x:v>tabela_hoya(1).pdf</x:v>
      </x:c>
      <x:c r="Y217" s="24" t="str">
        <x:v>alta</x:v>
      </x:c>
      <x:c r="Z217" s="24"/>
      <x:c r="AA217" s="24" t="str">
        <x:v>HOYA|Progressiva|Surfaçada|Hoyalux iD LifeStyle 4|SENSITY 2|PNX|1.53|Hi-Vision Meiryo|-8.00 até +6.00||||||25</x:v>
      </x:c>
    </x:row>
    <x:row r="218">
      <x:c r="A218" s="24" t="str">
        <x:v>HY-87374C2607F7</x:v>
      </x:c>
      <x:c r="B218" s="24" t="str">
        <x:v>SIM</x:v>
      </x:c>
      <x:c r="C218" s="24" t="str">
        <x:v>DISPONÍVEL</x:v>
      </x:c>
      <x:c r="D218" s="24" t="str">
        <x:v>HOYA</x:v>
      </x:c>
      <x:c r="E218" s="24" t="str">
        <x:v>Progressiva</x:v>
      </x:c>
      <x:c r="F218" s="24" t="str">
        <x:v>Surfaçada</x:v>
      </x:c>
      <x:c r="G218" s="24" t="str">
        <x:v>Hoyalux iD LifeStyle 4</x:v>
      </x:c>
      <x:c r="H218" s="24" t="str">
        <x:v>SENSITY 2</x:v>
      </x:c>
      <x:c r="I218" s="24" t="str">
        <x:v>ORGANIC</x:v>
      </x:c>
      <x:c r="J218" s="24" t="str">
        <x:v>1.50</x:v>
      </x:c>
      <x:c r="K218" s="24" t="str">
        <x:v>Hi-Vision Meiryo</x:v>
      </x:c>
      <x:c r="L218" s="40" t="n">
        <x:v>6799</x:v>
      </x:c>
      <x:c r="M218" s="24" t="str">
        <x:v>-8.00 até +6.00</x:v>
      </x:c>
      <x:c r="N218" s="24"/>
      <x:c r="O218" s="24"/>
      <x:c r="P218" s="24"/>
      <x:c r="Q218" s="24"/>
      <x:c r="R218" s="24"/>
      <x:c r="S218" s="26" t="n">
        <x:v>45992</x:v>
      </x:c>
      <x:c r="T218" s="26"/>
      <x:c r="U218" s="24" t="str">
        <x:v>ATIVA/SEM FIM INFORMADO</x:v>
      </x:c>
      <x:c r="V218" s="24"/>
      <x:c r="W218" s="24" t="n">
        <x:v>25</x:v>
      </x:c>
      <x:c r="X218" s="24" t="str">
        <x:v>tabela_hoya(1).pdf</x:v>
      </x:c>
      <x:c r="Y218" s="24" t="str">
        <x:v>alta</x:v>
      </x:c>
      <x:c r="Z218" s="24"/>
      <x:c r="AA218" s="24" t="str">
        <x:v>HOYA|Progressiva|Surfaçada|Hoyalux iD LifeStyle 4|SENSITY 2|ORGANIC|1.50|Hi-Vision Meiryo|-8.00 até +6.00||||||25</x:v>
      </x:c>
    </x:row>
    <x:row r="219">
      <x:c r="A219" s="24" t="str">
        <x:v>HY-4DF7C1E83F14</x:v>
      </x:c>
      <x:c r="B219" s="24" t="str">
        <x:v>SIM</x:v>
      </x:c>
      <x:c r="C219" s="24" t="str">
        <x:v>DISPONÍVEL</x:v>
      </x:c>
      <x:c r="D219" s="24" t="str">
        <x:v>HOYA</x:v>
      </x:c>
      <x:c r="E219" s="24" t="str">
        <x:v>Progressiva</x:v>
      </x:c>
      <x:c r="F219" s="24" t="str">
        <x:v>Surfaçada</x:v>
      </x:c>
      <x:c r="G219" s="24" t="str">
        <x:v>Hoyalux iD LifeStyle 4</x:v>
      </x:c>
      <x:c r="H219" s="24" t="str">
        <x:v>SENSITY 2</x:v>
      </x:c>
      <x:c r="I219" s="24" t="str">
        <x:v>EYNOA</x:v>
      </x:c>
      <x:c r="J219" s="24" t="str">
        <x:v>1.67</x:v>
      </x:c>
      <x:c r="K219" s="24" t="str">
        <x:v>Hi-Vision LongLife BlueControl</x:v>
      </x:c>
      <x:c r="L219" s="40" t="n">
        <x:v>9209</x:v>
      </x:c>
      <x:c r="M219" s="24" t="str">
        <x:v>-12.00 até +8.00</x:v>
      </x:c>
      <x:c r="N219" s="24"/>
      <x:c r="O219" s="24"/>
      <x:c r="P219" s="24"/>
      <x:c r="Q219" s="24"/>
      <x:c r="R219" s="24"/>
      <x:c r="S219" s="26" t="n">
        <x:v>45992</x:v>
      </x:c>
      <x:c r="T219" s="26"/>
      <x:c r="U219" s="24" t="str">
        <x:v>ATIVA/SEM FIM INFORMADO</x:v>
      </x:c>
      <x:c r="V219" s="24"/>
      <x:c r="W219" s="24" t="n">
        <x:v>25</x:v>
      </x:c>
      <x:c r="X219" s="24" t="str">
        <x:v>tabela_hoya(1).pdf</x:v>
      </x:c>
      <x:c r="Y219" s="24" t="str">
        <x:v>alta</x:v>
      </x:c>
      <x:c r="Z219" s="24"/>
      <x:c r="AA219" s="24" t="str">
        <x:v>HOYA|Progressiva|Surfaçada|Hoyalux iD LifeStyle 4|SENSITY 2|EYNOA|1.67|Hi-Vision LongLife BlueControl|-12.00 até +8.00||||||25</x:v>
      </x:c>
    </x:row>
    <x:row r="220">
      <x:c r="A220" s="24" t="str">
        <x:v>HY-159CFFEDA717</x:v>
      </x:c>
      <x:c r="B220" s="24" t="str">
        <x:v>SIM</x:v>
      </x:c>
      <x:c r="C220" s="24" t="str">
        <x:v>DISPONÍVEL</x:v>
      </x:c>
      <x:c r="D220" s="24" t="str">
        <x:v>HOYA</x:v>
      </x:c>
      <x:c r="E220" s="24" t="str">
        <x:v>Progressiva</x:v>
      </x:c>
      <x:c r="F220" s="24" t="str">
        <x:v>Surfaçada</x:v>
      </x:c>
      <x:c r="G220" s="24" t="str">
        <x:v>Hoyalux iD LifeStyle 4</x:v>
      </x:c>
      <x:c r="H220" s="24" t="str">
        <x:v>SENSITY 2</x:v>
      </x:c>
      <x:c r="I220" s="24" t="str">
        <x:v>EYAS 2.0</x:v>
      </x:c>
      <x:c r="J220" s="24" t="str">
        <x:v>1.60</x:v>
      </x:c>
      <x:c r="K220" s="24" t="str">
        <x:v>Hi-Vision LongLife BlueControl</x:v>
      </x:c>
      <x:c r="L220" s="40" t="n">
        <x:v>7409</x:v>
      </x:c>
      <x:c r="M220" s="24" t="str">
        <x:v>-10.00 até +8.00</x:v>
      </x:c>
      <x:c r="N220" s="24"/>
      <x:c r="O220" s="24"/>
      <x:c r="P220" s="24"/>
      <x:c r="Q220" s="24"/>
      <x:c r="R220" s="24"/>
      <x:c r="S220" s="26" t="n">
        <x:v>45992</x:v>
      </x:c>
      <x:c r="T220" s="26"/>
      <x:c r="U220" s="24" t="str">
        <x:v>ATIVA/SEM FIM INFORMADO</x:v>
      </x:c>
      <x:c r="V220" s="24"/>
      <x:c r="W220" s="24" t="n">
        <x:v>25</x:v>
      </x:c>
      <x:c r="X220" s="24" t="str">
        <x:v>tabela_hoya(1).pdf</x:v>
      </x:c>
      <x:c r="Y220" s="24" t="str">
        <x:v>alta</x:v>
      </x:c>
      <x:c r="Z220" s="24"/>
      <x:c r="AA220" s="24" t="str">
        <x:v>HOYA|Progressiva|Surfaçada|Hoyalux iD LifeStyle 4|SENSITY 2|EYAS 2.0|1.60|Hi-Vision LongLife BlueControl|-10.00 até +8.00||||||25</x:v>
      </x:c>
    </x:row>
    <x:row r="221">
      <x:c r="A221" s="24" t="str">
        <x:v>HY-46B63248A348</x:v>
      </x:c>
      <x:c r="B221" s="24" t="str">
        <x:v>SIM</x:v>
      </x:c>
      <x:c r="C221" s="24" t="str">
        <x:v>DISPONÍVEL</x:v>
      </x:c>
      <x:c r="D221" s="24" t="str">
        <x:v>HOYA</x:v>
      </x:c>
      <x:c r="E221" s="24" t="str">
        <x:v>Progressiva</x:v>
      </x:c>
      <x:c r="F221" s="24" t="str">
        <x:v>Surfaçada</x:v>
      </x:c>
      <x:c r="G221" s="24" t="str">
        <x:v>Hoyalux iD LifeStyle 4</x:v>
      </x:c>
      <x:c r="H221" s="24" t="str">
        <x:v>SENSITY 2</x:v>
      </x:c>
      <x:c r="I221" s="24" t="str">
        <x:v>PNX</x:v>
      </x:c>
      <x:c r="J221" s="24" t="str">
        <x:v>1.53</x:v>
      </x:c>
      <x:c r="K221" s="24" t="str">
        <x:v>Hi-Vision LongLife BlueControl</x:v>
      </x:c>
      <x:c r="L221" s="40" t="n">
        <x:v>6949</x:v>
      </x:c>
      <x:c r="M221" s="24" t="str">
        <x:v>-8.00 até +6.00</x:v>
      </x:c>
      <x:c r="N221" s="24"/>
      <x:c r="O221" s="24"/>
      <x:c r="P221" s="24"/>
      <x:c r="Q221" s="24"/>
      <x:c r="R221" s="24"/>
      <x:c r="S221" s="26" t="n">
        <x:v>45992</x:v>
      </x:c>
      <x:c r="T221" s="26"/>
      <x:c r="U221" s="24" t="str">
        <x:v>ATIVA/SEM FIM INFORMADO</x:v>
      </x:c>
      <x:c r="V221" s="24"/>
      <x:c r="W221" s="24" t="n">
        <x:v>25</x:v>
      </x:c>
      <x:c r="X221" s="24" t="str">
        <x:v>tabela_hoya(1).pdf</x:v>
      </x:c>
      <x:c r="Y221" s="24" t="str">
        <x:v>alta</x:v>
      </x:c>
      <x:c r="Z221" s="24"/>
      <x:c r="AA221" s="24" t="str">
        <x:v>HOYA|Progressiva|Surfaçada|Hoyalux iD LifeStyle 4|SENSITY 2|PNX|1.53|Hi-Vision LongLife BlueControl|-8.00 até +6.00||||||25</x:v>
      </x:c>
    </x:row>
    <x:row r="222">
      <x:c r="A222" s="24" t="str">
        <x:v>HY-CD7D59E98C7A</x:v>
      </x:c>
      <x:c r="B222" s="24" t="str">
        <x:v>SIM</x:v>
      </x:c>
      <x:c r="C222" s="24" t="str">
        <x:v>DISPONÍVEL</x:v>
      </x:c>
      <x:c r="D222" s="24" t="str">
        <x:v>HOYA</x:v>
      </x:c>
      <x:c r="E222" s="24" t="str">
        <x:v>Progressiva</x:v>
      </x:c>
      <x:c r="F222" s="24" t="str">
        <x:v>Surfaçada</x:v>
      </x:c>
      <x:c r="G222" s="24" t="str">
        <x:v>Hoyalux iD LifeStyle 4</x:v>
      </x:c>
      <x:c r="H222" s="24" t="str">
        <x:v>SENSITY 2</x:v>
      </x:c>
      <x:c r="I222" s="24" t="str">
        <x:v>ORGANIC</x:v>
      </x:c>
      <x:c r="J222" s="24" t="str">
        <x:v>1.50</x:v>
      </x:c>
      <x:c r="K222" s="24" t="str">
        <x:v>Hi-Vision LongLife BlueControl</x:v>
      </x:c>
      <x:c r="L222" s="40" t="n">
        <x:v>6599</x:v>
      </x:c>
      <x:c r="M222" s="24" t="str">
        <x:v>-8.00 até +6.00</x:v>
      </x:c>
      <x:c r="N222" s="24"/>
      <x:c r="O222" s="24"/>
      <x:c r="P222" s="24"/>
      <x:c r="Q222" s="24"/>
      <x:c r="R222" s="24"/>
      <x:c r="S222" s="26" t="n">
        <x:v>45992</x:v>
      </x:c>
      <x:c r="T222" s="26"/>
      <x:c r="U222" s="24" t="str">
        <x:v>ATIVA/SEM FIM INFORMADO</x:v>
      </x:c>
      <x:c r="V222" s="24"/>
      <x:c r="W222" s="24" t="n">
        <x:v>25</x:v>
      </x:c>
      <x:c r="X222" s="24" t="str">
        <x:v>tabela_hoya(1).pdf</x:v>
      </x:c>
      <x:c r="Y222" s="24" t="str">
        <x:v>alta</x:v>
      </x:c>
      <x:c r="Z222" s="24"/>
      <x:c r="AA222" s="24" t="str">
        <x:v>HOYA|Progressiva|Surfaçada|Hoyalux iD LifeStyle 4|SENSITY 2|ORGANIC|1.50|Hi-Vision LongLife BlueControl|-8.00 até +6.00||||||25</x:v>
      </x:c>
    </x:row>
    <x:row r="223">
      <x:c r="A223" s="24" t="str">
        <x:v>HY-715BEB365538</x:v>
      </x:c>
      <x:c r="B223" s="24" t="str">
        <x:v>SIM</x:v>
      </x:c>
      <x:c r="C223" s="24" t="str">
        <x:v>DISPONÍVEL</x:v>
      </x:c>
      <x:c r="D223" s="24" t="str">
        <x:v>HOYA</x:v>
      </x:c>
      <x:c r="E223" s="24" t="str">
        <x:v>Progressiva</x:v>
      </x:c>
      <x:c r="F223" s="24" t="str">
        <x:v>Surfaçada</x:v>
      </x:c>
      <x:c r="G223" s="24" t="str">
        <x:v>Hoyalux iD LifeStyle 4</x:v>
      </x:c>
      <x:c r="H223" s="24" t="str">
        <x:v>SENSITY 2</x:v>
      </x:c>
      <x:c r="I223" s="24" t="str">
        <x:v>EYNOA</x:v>
      </x:c>
      <x:c r="J223" s="24" t="str">
        <x:v>1.67</x:v>
      </x:c>
      <x:c r="K223" s="24" t="str">
        <x:v>No-Risk BlueControl</x:v>
      </x:c>
      <x:c r="L223" s="40" t="n">
        <x:v>8959</x:v>
      </x:c>
      <x:c r="M223" s="24" t="str">
        <x:v>-12.00 até +8.00</x:v>
      </x:c>
      <x:c r="N223" s="24"/>
      <x:c r="O223" s="24"/>
      <x:c r="P223" s="24"/>
      <x:c r="Q223" s="24"/>
      <x:c r="R223" s="24"/>
      <x:c r="S223" s="26" t="n">
        <x:v>45992</x:v>
      </x:c>
      <x:c r="T223" s="26"/>
      <x:c r="U223" s="24" t="str">
        <x:v>ATIVA/SEM FIM INFORMADO</x:v>
      </x:c>
      <x:c r="V223" s="24"/>
      <x:c r="W223" s="24" t="n">
        <x:v>25</x:v>
      </x:c>
      <x:c r="X223" s="24" t="str">
        <x:v>tabela_hoya(1).pdf</x:v>
      </x:c>
      <x:c r="Y223" s="24" t="str">
        <x:v>alta</x:v>
      </x:c>
      <x:c r="Z223" s="24"/>
      <x:c r="AA223" s="24" t="str">
        <x:v>HOYA|Progressiva|Surfaçada|Hoyalux iD LifeStyle 4|SENSITY 2|EYNOA|1.67|No-Risk BlueControl|-12.00 até +8.00||||||25</x:v>
      </x:c>
    </x:row>
    <x:row r="224">
      <x:c r="A224" s="24" t="str">
        <x:v>HY-AC9229292C7E</x:v>
      </x:c>
      <x:c r="B224" s="24" t="str">
        <x:v>SIM</x:v>
      </x:c>
      <x:c r="C224" s="24" t="str">
        <x:v>DISPONÍVEL</x:v>
      </x:c>
      <x:c r="D224" s="24" t="str">
        <x:v>HOYA</x:v>
      </x:c>
      <x:c r="E224" s="24" t="str">
        <x:v>Progressiva</x:v>
      </x:c>
      <x:c r="F224" s="24" t="str">
        <x:v>Surfaçada</x:v>
      </x:c>
      <x:c r="G224" s="24" t="str">
        <x:v>Hoyalux iD LifeStyle 4</x:v>
      </x:c>
      <x:c r="H224" s="24" t="str">
        <x:v>SENSITY 2</x:v>
      </x:c>
      <x:c r="I224" s="24" t="str">
        <x:v>EYAS 2.0</x:v>
      </x:c>
      <x:c r="J224" s="24" t="str">
        <x:v>1.60</x:v>
      </x:c>
      <x:c r="K224" s="24" t="str">
        <x:v>No-Risk BlueControl</x:v>
      </x:c>
      <x:c r="L224" s="40" t="n">
        <x:v>7159</x:v>
      </x:c>
      <x:c r="M224" s="24" t="str">
        <x:v>-10.00 até +8.00</x:v>
      </x:c>
      <x:c r="N224" s="24"/>
      <x:c r="O224" s="24"/>
      <x:c r="P224" s="24"/>
      <x:c r="Q224" s="24"/>
      <x:c r="R224" s="24"/>
      <x:c r="S224" s="26" t="n">
        <x:v>45992</x:v>
      </x:c>
      <x:c r="T224" s="26"/>
      <x:c r="U224" s="24" t="str">
        <x:v>ATIVA/SEM FIM INFORMADO</x:v>
      </x:c>
      <x:c r="V224" s="24"/>
      <x:c r="W224" s="24" t="n">
        <x:v>25</x:v>
      </x:c>
      <x:c r="X224" s="24" t="str">
        <x:v>tabela_hoya(1).pdf</x:v>
      </x:c>
      <x:c r="Y224" s="24" t="str">
        <x:v>alta</x:v>
      </x:c>
      <x:c r="Z224" s="24"/>
      <x:c r="AA224" s="24" t="str">
        <x:v>HOYA|Progressiva|Surfaçada|Hoyalux iD LifeStyle 4|SENSITY 2|EYAS 2.0|1.60|No-Risk BlueControl|-10.00 até +8.00||||||25</x:v>
      </x:c>
    </x:row>
    <x:row r="225">
      <x:c r="A225" s="24" t="str">
        <x:v>HY-282C96173A8A</x:v>
      </x:c>
      <x:c r="B225" s="24" t="str">
        <x:v>SIM</x:v>
      </x:c>
      <x:c r="C225" s="24" t="str">
        <x:v>DISPONÍVEL</x:v>
      </x:c>
      <x:c r="D225" s="24" t="str">
        <x:v>HOYA</x:v>
      </x:c>
      <x:c r="E225" s="24" t="str">
        <x:v>Progressiva</x:v>
      </x:c>
      <x:c r="F225" s="24" t="str">
        <x:v>Surfaçada</x:v>
      </x:c>
      <x:c r="G225" s="24" t="str">
        <x:v>Hoyalux iD LifeStyle 4</x:v>
      </x:c>
      <x:c r="H225" s="24" t="str">
        <x:v>SENSITY 2</x:v>
      </x:c>
      <x:c r="I225" s="24" t="str">
        <x:v>PNX</x:v>
      </x:c>
      <x:c r="J225" s="24" t="str">
        <x:v>1.53</x:v>
      </x:c>
      <x:c r="K225" s="24" t="str">
        <x:v>No-Risk BlueControl</x:v>
      </x:c>
      <x:c r="L225" s="40" t="n">
        <x:v>6699</x:v>
      </x:c>
      <x:c r="M225" s="24" t="str">
        <x:v>-8.00 até +6.00</x:v>
      </x:c>
      <x:c r="N225" s="24"/>
      <x:c r="O225" s="24"/>
      <x:c r="P225" s="24"/>
      <x:c r="Q225" s="24"/>
      <x:c r="R225" s="24"/>
      <x:c r="S225" s="26" t="n">
        <x:v>45992</x:v>
      </x:c>
      <x:c r="T225" s="26"/>
      <x:c r="U225" s="24" t="str">
        <x:v>ATIVA/SEM FIM INFORMADO</x:v>
      </x:c>
      <x:c r="V225" s="24"/>
      <x:c r="W225" s="24" t="n">
        <x:v>25</x:v>
      </x:c>
      <x:c r="X225" s="24" t="str">
        <x:v>tabela_hoya(1).pdf</x:v>
      </x:c>
      <x:c r="Y225" s="24" t="str">
        <x:v>alta</x:v>
      </x:c>
      <x:c r="Z225" s="24"/>
      <x:c r="AA225" s="24" t="str">
        <x:v>HOYA|Progressiva|Surfaçada|Hoyalux iD LifeStyle 4|SENSITY 2|PNX|1.53|No-Risk BlueControl|-8.00 até +6.00||||||25</x:v>
      </x:c>
    </x:row>
    <x:row r="226">
      <x:c r="A226" s="24" t="str">
        <x:v>HY-135E6805C6DF</x:v>
      </x:c>
      <x:c r="B226" s="24" t="str">
        <x:v>SIM</x:v>
      </x:c>
      <x:c r="C226" s="24" t="str">
        <x:v>DISPONÍVEL</x:v>
      </x:c>
      <x:c r="D226" s="24" t="str">
        <x:v>HOYA</x:v>
      </x:c>
      <x:c r="E226" s="24" t="str">
        <x:v>Progressiva</x:v>
      </x:c>
      <x:c r="F226" s="24" t="str">
        <x:v>Surfaçada</x:v>
      </x:c>
      <x:c r="G226" s="24" t="str">
        <x:v>Hoyalux iD LifeStyle 4</x:v>
      </x:c>
      <x:c r="H226" s="24" t="str">
        <x:v>SENSITY 2</x:v>
      </x:c>
      <x:c r="I226" s="24" t="str">
        <x:v>ORGANIC</x:v>
      </x:c>
      <x:c r="J226" s="24" t="str">
        <x:v>1.50</x:v>
      </x:c>
      <x:c r="K226" s="24" t="str">
        <x:v>No-Risk BlueControl</x:v>
      </x:c>
      <x:c r="L226" s="40" t="n">
        <x:v>6349</x:v>
      </x:c>
      <x:c r="M226" s="24" t="str">
        <x:v>-8.00 até +6.00</x:v>
      </x:c>
      <x:c r="N226" s="24"/>
      <x:c r="O226" s="24"/>
      <x:c r="P226" s="24"/>
      <x:c r="Q226" s="24"/>
      <x:c r="R226" s="24"/>
      <x:c r="S226" s="26" t="n">
        <x:v>45992</x:v>
      </x:c>
      <x:c r="T226" s="26"/>
      <x:c r="U226" s="24" t="str">
        <x:v>ATIVA/SEM FIM INFORMADO</x:v>
      </x:c>
      <x:c r="V226" s="24"/>
      <x:c r="W226" s="24" t="n">
        <x:v>25</x:v>
      </x:c>
      <x:c r="X226" s="24" t="str">
        <x:v>tabela_hoya(1).pdf</x:v>
      </x:c>
      <x:c r="Y226" s="24" t="str">
        <x:v>alta</x:v>
      </x:c>
      <x:c r="Z226" s="24"/>
      <x:c r="AA226" s="24" t="str">
        <x:v>HOYA|Progressiva|Surfaçada|Hoyalux iD LifeStyle 4|SENSITY 2|ORGANIC|1.50|No-Risk BlueControl|-8.00 até +6.00||||||25</x:v>
      </x:c>
    </x:row>
    <x:row r="227">
      <x:c r="A227" s="24" t="str">
        <x:v>HY-3BEEB8A785B4</x:v>
      </x:c>
      <x:c r="B227" s="24" t="str">
        <x:v>SIM</x:v>
      </x:c>
      <x:c r="C227" s="24" t="str">
        <x:v>DISPONÍVEL</x:v>
      </x:c>
      <x:c r="D227" s="24" t="str">
        <x:v>HOYA</x:v>
      </x:c>
      <x:c r="E227" s="24" t="str">
        <x:v>Progressiva</x:v>
      </x:c>
      <x:c r="F227" s="24" t="str">
        <x:v>Surfaçada</x:v>
      </x:c>
      <x:c r="G227" s="24" t="str">
        <x:v>Hoyalux iD LifeStyle 4</x:v>
      </x:c>
      <x:c r="H227" s="24" t="str">
        <x:v>POLARIZADO</x:v>
      </x:c>
      <x:c r="I227" s="24" t="str">
        <x:v>EYNOA</x:v>
      </x:c>
      <x:c r="J227" s="24" t="str">
        <x:v>1.67</x:v>
      </x:c>
      <x:c r="K227" s="24" t="str">
        <x:v>Hi-Vision Sun Pro</x:v>
      </x:c>
      <x:c r="L227" s="40" t="n">
        <x:v>8709</x:v>
      </x:c>
      <x:c r="M227" s="24" t="str">
        <x:v>-12.00 até +8.00</x:v>
      </x:c>
      <x:c r="N227" s="24"/>
      <x:c r="O227" s="24"/>
      <x:c r="P227" s="24"/>
      <x:c r="Q227" s="24"/>
      <x:c r="R227" s="24"/>
      <x:c r="S227" s="26" t="n">
        <x:v>45992</x:v>
      </x:c>
      <x:c r="T227" s="26"/>
      <x:c r="U227" s="24" t="str">
        <x:v>ATIVA/SEM FIM INFORMADO</x:v>
      </x:c>
      <x:c r="V227" s="24"/>
      <x:c r="W227" s="24" t="n">
        <x:v>25</x:v>
      </x:c>
      <x:c r="X227" s="24" t="str">
        <x:v>tabela_hoya(1).pdf</x:v>
      </x:c>
      <x:c r="Y227" s="24" t="str">
        <x:v>alta</x:v>
      </x:c>
      <x:c r="Z227" s="24"/>
      <x:c r="AA227" s="24" t="str">
        <x:v>HOYA|Progressiva|Surfaçada|Hoyalux iD LifeStyle 4|POLARIZADO|EYNOA|1.67|Hi-Vision Sun Pro|-12.00 até +8.00||||||25</x:v>
      </x:c>
    </x:row>
    <x:row r="228">
      <x:c r="A228" s="24" t="str">
        <x:v>HY-E6283F3C6031</x:v>
      </x:c>
      <x:c r="B228" s="24" t="str">
        <x:v>SIM</x:v>
      </x:c>
      <x:c r="C228" s="24" t="str">
        <x:v>DISPONÍVEL</x:v>
      </x:c>
      <x:c r="D228" s="24" t="str">
        <x:v>HOYA</x:v>
      </x:c>
      <x:c r="E228" s="24" t="str">
        <x:v>Progressiva</x:v>
      </x:c>
      <x:c r="F228" s="24" t="str">
        <x:v>Surfaçada</x:v>
      </x:c>
      <x:c r="G228" s="24" t="str">
        <x:v>Hoyalux iD LifeStyle 4</x:v>
      </x:c>
      <x:c r="H228" s="24" t="str">
        <x:v>POLARIZADO</x:v>
      </x:c>
      <x:c r="I228" s="24" t="str">
        <x:v>EYAS 2.0</x:v>
      </x:c>
      <x:c r="J228" s="24" t="str">
        <x:v>1.60</x:v>
      </x:c>
      <x:c r="K228" s="24" t="str">
        <x:v>Hi-Vision Sun Pro</x:v>
      </x:c>
      <x:c r="L228" s="40" t="n">
        <x:v>6909</x:v>
      </x:c>
      <x:c r="M228" s="24" t="str">
        <x:v>-10.00 até +8.00</x:v>
      </x:c>
      <x:c r="N228" s="24"/>
      <x:c r="O228" s="24"/>
      <x:c r="P228" s="24"/>
      <x:c r="Q228" s="24"/>
      <x:c r="R228" s="24"/>
      <x:c r="S228" s="26" t="n">
        <x:v>45992</x:v>
      </x:c>
      <x:c r="T228" s="26"/>
      <x:c r="U228" s="24" t="str">
        <x:v>ATIVA/SEM FIM INFORMADO</x:v>
      </x:c>
      <x:c r="V228" s="24"/>
      <x:c r="W228" s="24" t="n">
        <x:v>25</x:v>
      </x:c>
      <x:c r="X228" s="24" t="str">
        <x:v>tabela_hoya(1).pdf</x:v>
      </x:c>
      <x:c r="Y228" s="24" t="str">
        <x:v>alta</x:v>
      </x:c>
      <x:c r="Z228" s="24"/>
      <x:c r="AA228" s="24" t="str">
        <x:v>HOYA|Progressiva|Surfaçada|Hoyalux iD LifeStyle 4|POLARIZADO|EYAS 2.0|1.60|Hi-Vision Sun Pro|-10.00 até +8.00||||||25</x:v>
      </x:c>
    </x:row>
    <x:row r="229">
      <x:c r="A229" s="24" t="str">
        <x:v>HY-303C4280409E</x:v>
      </x:c>
      <x:c r="B229" s="24" t="str">
        <x:v>SIM</x:v>
      </x:c>
      <x:c r="C229" s="24" t="str">
        <x:v>DISPONÍVEL</x:v>
      </x:c>
      <x:c r="D229" s="24" t="str">
        <x:v>HOYA</x:v>
      </x:c>
      <x:c r="E229" s="24" t="str">
        <x:v>Progressiva</x:v>
      </x:c>
      <x:c r="F229" s="24" t="str">
        <x:v>Surfaçada</x:v>
      </x:c>
      <x:c r="G229" s="24" t="str">
        <x:v>Hoyalux iD LifeStyle 4</x:v>
      </x:c>
      <x:c r="H229" s="24" t="str">
        <x:v>POLARIZADO</x:v>
      </x:c>
      <x:c r="I229" s="24" t="str">
        <x:v>PNX</x:v>
      </x:c>
      <x:c r="J229" s="24" t="str">
        <x:v>1.53</x:v>
      </x:c>
      <x:c r="K229" s="24" t="str">
        <x:v>Hi-Vision Sun Pro</x:v>
      </x:c>
      <x:c r="L229" s="40" t="n">
        <x:v>6449</x:v>
      </x:c>
      <x:c r="M229" s="24" t="str">
        <x:v>-8.00 até +6.00</x:v>
      </x:c>
      <x:c r="N229" s="24"/>
      <x:c r="O229" s="24"/>
      <x:c r="P229" s="24"/>
      <x:c r="Q229" s="24"/>
      <x:c r="R229" s="24"/>
      <x:c r="S229" s="26" t="n">
        <x:v>45992</x:v>
      </x:c>
      <x:c r="T229" s="26"/>
      <x:c r="U229" s="24" t="str">
        <x:v>ATIVA/SEM FIM INFORMADO</x:v>
      </x:c>
      <x:c r="V229" s="24"/>
      <x:c r="W229" s="24" t="n">
        <x:v>25</x:v>
      </x:c>
      <x:c r="X229" s="24" t="str">
        <x:v>tabela_hoya(1).pdf</x:v>
      </x:c>
      <x:c r="Y229" s="24" t="str">
        <x:v>alta</x:v>
      </x:c>
      <x:c r="Z229" s="24"/>
      <x:c r="AA229" s="24" t="str">
        <x:v>HOYA|Progressiva|Surfaçada|Hoyalux iD LifeStyle 4|POLARIZADO|PNX|1.53|Hi-Vision Sun Pro|-8.00 até +6.00||||||25</x:v>
      </x:c>
    </x:row>
    <x:row r="230">
      <x:c r="A230" s="24" t="str">
        <x:v>HY-5730A64F4433</x:v>
      </x:c>
      <x:c r="B230" s="24" t="str">
        <x:v>SIM</x:v>
      </x:c>
      <x:c r="C230" s="24" t="str">
        <x:v>DISPONÍVEL</x:v>
      </x:c>
      <x:c r="D230" s="24" t="str">
        <x:v>HOYA</x:v>
      </x:c>
      <x:c r="E230" s="24" t="str">
        <x:v>Progressiva</x:v>
      </x:c>
      <x:c r="F230" s="24" t="str">
        <x:v>Surfaçada</x:v>
      </x:c>
      <x:c r="G230" s="24" t="str">
        <x:v>Hoyalux iD LifeStyle 4</x:v>
      </x:c>
      <x:c r="H230" s="24" t="str">
        <x:v>POLARIZADO</x:v>
      </x:c>
      <x:c r="I230" s="24" t="str">
        <x:v>ORGANIC</x:v>
      </x:c>
      <x:c r="J230" s="24" t="str">
        <x:v>1.50</x:v>
      </x:c>
      <x:c r="K230" s="24" t="str">
        <x:v>Hi-Vision Sun Pro</x:v>
      </x:c>
      <x:c r="L230" s="40" t="n">
        <x:v>6099</x:v>
      </x:c>
      <x:c r="M230" s="24" t="str">
        <x:v>-8.00 até +6.00</x:v>
      </x:c>
      <x:c r="N230" s="24"/>
      <x:c r="O230" s="24"/>
      <x:c r="P230" s="24"/>
      <x:c r="Q230" s="24"/>
      <x:c r="R230" s="24"/>
      <x:c r="S230" s="26" t="n">
        <x:v>45992</x:v>
      </x:c>
      <x:c r="T230" s="26"/>
      <x:c r="U230" s="24" t="str">
        <x:v>ATIVA/SEM FIM INFORMADO</x:v>
      </x:c>
      <x:c r="V230" s="24"/>
      <x:c r="W230" s="24" t="n">
        <x:v>25</x:v>
      </x:c>
      <x:c r="X230" s="24" t="str">
        <x:v>tabela_hoya(1).pdf</x:v>
      </x:c>
      <x:c r="Y230" s="24" t="str">
        <x:v>alta</x:v>
      </x:c>
      <x:c r="Z230" s="24"/>
      <x:c r="AA230" s="24" t="str">
        <x:v>HOYA|Progressiva|Surfaçada|Hoyalux iD LifeStyle 4|POLARIZADO|ORGANIC|1.50|Hi-Vision Sun Pro|-8.00 até +6.00||||||25</x:v>
      </x:c>
    </x:row>
    <x:row r="231">
      <x:c r="A231" s="24" t="str">
        <x:v>HY-DE96B2473173</x:v>
      </x:c>
      <x:c r="B231" s="24" t="str">
        <x:v>NÃO</x:v>
      </x:c>
      <x:c r="C231" s="24" t="str">
        <x:v>EM BREVE</x:v>
      </x:c>
      <x:c r="D231" s="24" t="str">
        <x:v>HOYA</x:v>
      </x:c>
      <x:c r="E231" s="24" t="str">
        <x:v>Progressiva</x:v>
      </x:c>
      <x:c r="F231" s="24" t="str">
        <x:v>Surfaçada</x:v>
      </x:c>
      <x:c r="G231" s="24" t="str">
        <x:v>Hoyalux Balansis</x:v>
      </x:c>
      <x:c r="H231" s="24" t="str">
        <x:v>INCOLOR</x:v>
      </x:c>
      <x:c r="I231" s="24" t="str">
        <x:v>EYNOA</x:v>
      </x:c>
      <x:c r="J231" s="24" t="str">
        <x:v>1.67</x:v>
      </x:c>
      <x:c r="K231" s="24" t="str">
        <x:v>Hi-Vision Meiryo</x:v>
      </x:c>
      <x:c r="L231" s="40" t="n">
        <x:v>7159</x:v>
      </x:c>
      <x:c r="M231" s="24" t="str">
        <x:v>-12.00 até +8.00</x:v>
      </x:c>
      <x:c r="N231" s="24"/>
      <x:c r="O231" s="24"/>
      <x:c r="P231" s="24"/>
      <x:c r="Q231" s="24"/>
      <x:c r="R231" s="24"/>
      <x:c r="S231" s="26" t="n">
        <x:v>45992</x:v>
      </x:c>
      <x:c r="T231" s="26"/>
      <x:c r="U231" s="24" t="str">
        <x:v>ATIVA/SEM FIM INFORMADO</x:v>
      </x:c>
      <x:c r="V231" s="24"/>
      <x:c r="W231" s="24" t="n">
        <x:v>26</x:v>
      </x:c>
      <x:c r="X231" s="24" t="str">
        <x:v>tabela_hoya(1).pdf</x:v>
      </x:c>
      <x:c r="Y231" s="24" t="str">
        <x:v>alta</x:v>
      </x:c>
      <x:c r="Z231" s="24" t="str">
        <x:v>Tratamento/produto marcado como “EM BREVE” na própria tabela HOYA; preço preservado, mas bloqueado no export web.</x:v>
      </x:c>
      <x:c r="AA231" s="24" t="str">
        <x:v>HOYA|Progressiva|Surfaçada|Hoyalux Balansis|INCOLOR|EYNOA|1.67|Hi-Vision Meiryo|-12.00 até +8.00||||||26</x:v>
      </x:c>
    </x:row>
    <x:row r="232">
      <x:c r="A232" s="24" t="str">
        <x:v>HY-2D87E4B3708D</x:v>
      </x:c>
      <x:c r="B232" s="24" t="str">
        <x:v>NÃO</x:v>
      </x:c>
      <x:c r="C232" s="24" t="str">
        <x:v>EM BREVE</x:v>
      </x:c>
      <x:c r="D232" s="24" t="str">
        <x:v>HOYA</x:v>
      </x:c>
      <x:c r="E232" s="24" t="str">
        <x:v>Progressiva</x:v>
      </x:c>
      <x:c r="F232" s="24" t="str">
        <x:v>Surfaçada</x:v>
      </x:c>
      <x:c r="G232" s="24" t="str">
        <x:v>Hoyalux Balansis</x:v>
      </x:c>
      <x:c r="H232" s="24" t="str">
        <x:v>INCOLOR</x:v>
      </x:c>
      <x:c r="I232" s="24" t="str">
        <x:v>EYAS 2.0</x:v>
      </x:c>
      <x:c r="J232" s="24" t="str">
        <x:v>1.60</x:v>
      </x:c>
      <x:c r="K232" s="24" t="str">
        <x:v>Hi-Vision Meiryo</x:v>
      </x:c>
      <x:c r="L232" s="40" t="n">
        <x:v>5359</x:v>
      </x:c>
      <x:c r="M232" s="24"/>
      <x:c r="N232" s="24"/>
      <x:c r="O232" s="24"/>
      <x:c r="P232" s="24"/>
      <x:c r="Q232" s="24"/>
      <x:c r="R232" s="24"/>
      <x:c r="S232" s="26" t="n">
        <x:v>45992</x:v>
      </x:c>
      <x:c r="T232" s="26"/>
      <x:c r="U232" s="24" t="str">
        <x:v>ATIVA/SEM FIM INFORMADO</x:v>
      </x:c>
      <x:c r="V232" s="24"/>
      <x:c r="W232" s="24" t="n">
        <x:v>26</x:v>
      </x:c>
      <x:c r="X232" s="24" t="str">
        <x:v>tabela_hoya(1).pdf</x:v>
      </x:c>
      <x:c r="Y232" s="24" t="str">
        <x:v>alta</x:v>
      </x:c>
      <x:c r="Z232" s="24" t="str">
        <x:v>Tratamento/produto marcado como “EM BREVE” na própria tabela HOYA; preço preservado, mas bloqueado no export web.</x:v>
      </x:c>
      <x:c r="AA232" s="24" t="str">
        <x:v>HOYA|Progressiva|Surfaçada|Hoyalux Balansis|INCOLOR|EYAS 2.0|1.60|Hi-Vision Meiryo|||||||26</x:v>
      </x:c>
    </x:row>
    <x:row r="233">
      <x:c r="A233" s="24" t="str">
        <x:v>HY-2F7BECCF209D</x:v>
      </x:c>
      <x:c r="B233" s="24" t="str">
        <x:v>NÃO</x:v>
      </x:c>
      <x:c r="C233" s="24" t="str">
        <x:v>EM BREVE</x:v>
      </x:c>
      <x:c r="D233" s="24" t="str">
        <x:v>HOYA</x:v>
      </x:c>
      <x:c r="E233" s="24" t="str">
        <x:v>Progressiva</x:v>
      </x:c>
      <x:c r="F233" s="24" t="str">
        <x:v>Surfaçada</x:v>
      </x:c>
      <x:c r="G233" s="24" t="str">
        <x:v>Hoyalux Balansis</x:v>
      </x:c>
      <x:c r="H233" s="24" t="str">
        <x:v>INCOLOR</x:v>
      </x:c>
      <x:c r="I233" s="24" t="str">
        <x:v>PNX</x:v>
      </x:c>
      <x:c r="J233" s="24" t="str">
        <x:v>1.53</x:v>
      </x:c>
      <x:c r="K233" s="24" t="str">
        <x:v>Hi-Vision Meiryo</x:v>
      </x:c>
      <x:c r="L233" s="40" t="n">
        <x:v>4899</x:v>
      </x:c>
      <x:c r="M233" s="24" t="str">
        <x:v>-8.00 até +6.00</x:v>
      </x:c>
      <x:c r="N233" s="24"/>
      <x:c r="O233" s="24"/>
      <x:c r="P233" s="24"/>
      <x:c r="Q233" s="24"/>
      <x:c r="R233" s="24"/>
      <x:c r="S233" s="26" t="n">
        <x:v>45992</x:v>
      </x:c>
      <x:c r="T233" s="26"/>
      <x:c r="U233" s="24" t="str">
        <x:v>ATIVA/SEM FIM INFORMADO</x:v>
      </x:c>
      <x:c r="V233" s="24"/>
      <x:c r="W233" s="24" t="n">
        <x:v>26</x:v>
      </x:c>
      <x:c r="X233" s="24" t="str">
        <x:v>tabela_hoya(1).pdf</x:v>
      </x:c>
      <x:c r="Y233" s="24" t="str">
        <x:v>alta</x:v>
      </x:c>
      <x:c r="Z233" s="24" t="str">
        <x:v>Tratamento/produto marcado como “EM BREVE” na própria tabela HOYA; preço preservado, mas bloqueado no export web.</x:v>
      </x:c>
      <x:c r="AA233" s="24" t="str">
        <x:v>HOYA|Progressiva|Surfaçada|Hoyalux Balansis|INCOLOR|PNX|1.53|Hi-Vision Meiryo|-8.00 até +6.00||||||26</x:v>
      </x:c>
    </x:row>
    <x:row r="234">
      <x:c r="A234" s="24" t="str">
        <x:v>HY-6FBAE8DAEBAB</x:v>
      </x:c>
      <x:c r="B234" s="24" t="str">
        <x:v>NÃO</x:v>
      </x:c>
      <x:c r="C234" s="24" t="str">
        <x:v>EM BREVE</x:v>
      </x:c>
      <x:c r="D234" s="24" t="str">
        <x:v>HOYA</x:v>
      </x:c>
      <x:c r="E234" s="24" t="str">
        <x:v>Progressiva</x:v>
      </x:c>
      <x:c r="F234" s="24" t="str">
        <x:v>Surfaçada</x:v>
      </x:c>
      <x:c r="G234" s="24" t="str">
        <x:v>Hoyalux Balansis</x:v>
      </x:c>
      <x:c r="H234" s="24" t="str">
        <x:v>INCOLOR</x:v>
      </x:c>
      <x:c r="I234" s="24" t="str">
        <x:v>ORGANIC</x:v>
      </x:c>
      <x:c r="J234" s="24" t="str">
        <x:v>1.50</x:v>
      </x:c>
      <x:c r="K234" s="24" t="str">
        <x:v>Hi-Vision Meiryo</x:v>
      </x:c>
      <x:c r="L234" s="40" t="n">
        <x:v>4549</x:v>
      </x:c>
      <x:c r="M234" s="24" t="str">
        <x:v>-8.00 até +6.00</x:v>
      </x:c>
      <x:c r="N234" s="24"/>
      <x:c r="O234" s="24"/>
      <x:c r="P234" s="24"/>
      <x:c r="Q234" s="24"/>
      <x:c r="R234" s="24"/>
      <x:c r="S234" s="26" t="n">
        <x:v>45992</x:v>
      </x:c>
      <x:c r="T234" s="26"/>
      <x:c r="U234" s="24" t="str">
        <x:v>ATIVA/SEM FIM INFORMADO</x:v>
      </x:c>
      <x:c r="V234" s="24"/>
      <x:c r="W234" s="24" t="n">
        <x:v>26</x:v>
      </x:c>
      <x:c r="X234" s="24" t="str">
        <x:v>tabela_hoya(1).pdf</x:v>
      </x:c>
      <x:c r="Y234" s="24" t="str">
        <x:v>alta</x:v>
      </x:c>
      <x:c r="Z234" s="24" t="str">
        <x:v>Tratamento/produto marcado como “EM BREVE” na própria tabela HOYA; preço preservado, mas bloqueado no export web.</x:v>
      </x:c>
      <x:c r="AA234" s="24" t="str">
        <x:v>HOYA|Progressiva|Surfaçada|Hoyalux Balansis|INCOLOR|ORGANIC|1.50|Hi-Vision Meiryo|-8.00 até +6.00||||||26</x:v>
      </x:c>
    </x:row>
    <x:row r="235">
      <x:c r="A235" s="24" t="str">
        <x:v>HY-0526B573DE35</x:v>
      </x:c>
      <x:c r="B235" s="24" t="str">
        <x:v>SIM</x:v>
      </x:c>
      <x:c r="C235" s="24" t="str">
        <x:v>DISPONÍVEL</x:v>
      </x:c>
      <x:c r="D235" s="24" t="str">
        <x:v>HOYA</x:v>
      </x:c>
      <x:c r="E235" s="24" t="str">
        <x:v>Progressiva</x:v>
      </x:c>
      <x:c r="F235" s="24" t="str">
        <x:v>Surfaçada</x:v>
      </x:c>
      <x:c r="G235" s="24" t="str">
        <x:v>Hoyalux Balansis</x:v>
      </x:c>
      <x:c r="H235" s="24" t="str">
        <x:v>INCOLOR</x:v>
      </x:c>
      <x:c r="I235" s="24" t="str">
        <x:v>EYNOA</x:v>
      </x:c>
      <x:c r="J235" s="24" t="str">
        <x:v>1.67</x:v>
      </x:c>
      <x:c r="K235" s="24" t="str">
        <x:v>Hi-Vision LongLife BlueControl</x:v>
      </x:c>
      <x:c r="L235" s="40" t="n">
        <x:v>6959</x:v>
      </x:c>
      <x:c r="M235" s="24" t="str">
        <x:v>-12.00 até +8.00</x:v>
      </x:c>
      <x:c r="N235" s="24"/>
      <x:c r="O235" s="24"/>
      <x:c r="P235" s="24"/>
      <x:c r="Q235" s="24"/>
      <x:c r="R235" s="24"/>
      <x:c r="S235" s="26" t="n">
        <x:v>45992</x:v>
      </x:c>
      <x:c r="T235" s="26"/>
      <x:c r="U235" s="24" t="str">
        <x:v>ATIVA/SEM FIM INFORMADO</x:v>
      </x:c>
      <x:c r="V235" s="24"/>
      <x:c r="W235" s="24" t="n">
        <x:v>26</x:v>
      </x:c>
      <x:c r="X235" s="24" t="str">
        <x:v>tabela_hoya(1).pdf</x:v>
      </x:c>
      <x:c r="Y235" s="24" t="str">
        <x:v>alta</x:v>
      </x:c>
      <x:c r="Z235" s="24"/>
      <x:c r="AA235" s="24" t="str">
        <x:v>HOYA|Progressiva|Surfaçada|Hoyalux Balansis|INCOLOR|EYNOA|1.67|Hi-Vision LongLife BlueControl|-12.00 até +8.00||||||26</x:v>
      </x:c>
    </x:row>
    <x:row r="236">
      <x:c r="A236" s="24" t="str">
        <x:v>HY-BBC930FBA5E1</x:v>
      </x:c>
      <x:c r="B236" s="24" t="str">
        <x:v>SIM</x:v>
      </x:c>
      <x:c r="C236" s="24" t="str">
        <x:v>DISPONÍVEL</x:v>
      </x:c>
      <x:c r="D236" s="24" t="str">
        <x:v>HOYA</x:v>
      </x:c>
      <x:c r="E236" s="24" t="str">
        <x:v>Progressiva</x:v>
      </x:c>
      <x:c r="F236" s="24" t="str">
        <x:v>Surfaçada</x:v>
      </x:c>
      <x:c r="G236" s="24" t="str">
        <x:v>Hoyalux Balansis</x:v>
      </x:c>
      <x:c r="H236" s="24" t="str">
        <x:v>INCOLOR</x:v>
      </x:c>
      <x:c r="I236" s="24" t="str">
        <x:v>EYAS 2.0</x:v>
      </x:c>
      <x:c r="J236" s="24" t="str">
        <x:v>1.60</x:v>
      </x:c>
      <x:c r="K236" s="24" t="str">
        <x:v>Hi-Vision LongLife BlueControl</x:v>
      </x:c>
      <x:c r="L236" s="40" t="n">
        <x:v>5159</x:v>
      </x:c>
      <x:c r="M236" s="24"/>
      <x:c r="N236" s="24"/>
      <x:c r="O236" s="24"/>
      <x:c r="P236" s="24"/>
      <x:c r="Q236" s="24"/>
      <x:c r="R236" s="24"/>
      <x:c r="S236" s="26" t="n">
        <x:v>45992</x:v>
      </x:c>
      <x:c r="T236" s="26"/>
      <x:c r="U236" s="24" t="str">
        <x:v>ATIVA/SEM FIM INFORMADO</x:v>
      </x:c>
      <x:c r="V236" s="24"/>
      <x:c r="W236" s="24" t="n">
        <x:v>26</x:v>
      </x:c>
      <x:c r="X236" s="24" t="str">
        <x:v>tabela_hoya(1).pdf</x:v>
      </x:c>
      <x:c r="Y236" s="24" t="str">
        <x:v>alta</x:v>
      </x:c>
      <x:c r="Z236" s="24"/>
      <x:c r="AA236" s="24" t="str">
        <x:v>HOYA|Progressiva|Surfaçada|Hoyalux Balansis|INCOLOR|EYAS 2.0|1.60|Hi-Vision LongLife BlueControl|||||||26</x:v>
      </x:c>
    </x:row>
    <x:row r="237">
      <x:c r="A237" s="24" t="str">
        <x:v>HY-5E39D08E9439</x:v>
      </x:c>
      <x:c r="B237" s="24" t="str">
        <x:v>SIM</x:v>
      </x:c>
      <x:c r="C237" s="24" t="str">
        <x:v>DISPONÍVEL</x:v>
      </x:c>
      <x:c r="D237" s="24" t="str">
        <x:v>HOYA</x:v>
      </x:c>
      <x:c r="E237" s="24" t="str">
        <x:v>Progressiva</x:v>
      </x:c>
      <x:c r="F237" s="24" t="str">
        <x:v>Surfaçada</x:v>
      </x:c>
      <x:c r="G237" s="24" t="str">
        <x:v>Hoyalux Balansis</x:v>
      </x:c>
      <x:c r="H237" s="24" t="str">
        <x:v>INCOLOR</x:v>
      </x:c>
      <x:c r="I237" s="24" t="str">
        <x:v>PNX</x:v>
      </x:c>
      <x:c r="J237" s="24" t="str">
        <x:v>1.53</x:v>
      </x:c>
      <x:c r="K237" s="24" t="str">
        <x:v>Hi-Vision LongLife BlueControl</x:v>
      </x:c>
      <x:c r="L237" s="40" t="n">
        <x:v>4699</x:v>
      </x:c>
      <x:c r="M237" s="24" t="str">
        <x:v>-8.00 até +6.00</x:v>
      </x:c>
      <x:c r="N237" s="24"/>
      <x:c r="O237" s="24"/>
      <x:c r="P237" s="24"/>
      <x:c r="Q237" s="24"/>
      <x:c r="R237" s="24"/>
      <x:c r="S237" s="26" t="n">
        <x:v>45992</x:v>
      </x:c>
      <x:c r="T237" s="26"/>
      <x:c r="U237" s="24" t="str">
        <x:v>ATIVA/SEM FIM INFORMADO</x:v>
      </x:c>
      <x:c r="V237" s="24"/>
      <x:c r="W237" s="24" t="n">
        <x:v>26</x:v>
      </x:c>
      <x:c r="X237" s="24" t="str">
        <x:v>tabela_hoya(1).pdf</x:v>
      </x:c>
      <x:c r="Y237" s="24" t="str">
        <x:v>alta</x:v>
      </x:c>
      <x:c r="Z237" s="24"/>
      <x:c r="AA237" s="24" t="str">
        <x:v>HOYA|Progressiva|Surfaçada|Hoyalux Balansis|INCOLOR|PNX|1.53|Hi-Vision LongLife BlueControl|-8.00 até +6.00||||||26</x:v>
      </x:c>
    </x:row>
    <x:row r="238">
      <x:c r="A238" s="24" t="str">
        <x:v>HY-39557AC4D7B7</x:v>
      </x:c>
      <x:c r="B238" s="24" t="str">
        <x:v>SIM</x:v>
      </x:c>
      <x:c r="C238" s="24" t="str">
        <x:v>DISPONÍVEL</x:v>
      </x:c>
      <x:c r="D238" s="24" t="str">
        <x:v>HOYA</x:v>
      </x:c>
      <x:c r="E238" s="24" t="str">
        <x:v>Progressiva</x:v>
      </x:c>
      <x:c r="F238" s="24" t="str">
        <x:v>Surfaçada</x:v>
      </x:c>
      <x:c r="G238" s="24" t="str">
        <x:v>Hoyalux Balansis</x:v>
      </x:c>
      <x:c r="H238" s="24" t="str">
        <x:v>INCOLOR</x:v>
      </x:c>
      <x:c r="I238" s="24" t="str">
        <x:v>ORGANIC</x:v>
      </x:c>
      <x:c r="J238" s="24" t="str">
        <x:v>1.50</x:v>
      </x:c>
      <x:c r="K238" s="24" t="str">
        <x:v>Hi-Vision LongLife BlueControl</x:v>
      </x:c>
      <x:c r="L238" s="40" t="n">
        <x:v>4349</x:v>
      </x:c>
      <x:c r="M238" s="24" t="str">
        <x:v>-8.00 até +6.00</x:v>
      </x:c>
      <x:c r="N238" s="24"/>
      <x:c r="O238" s="24"/>
      <x:c r="P238" s="24"/>
      <x:c r="Q238" s="24"/>
      <x:c r="R238" s="24"/>
      <x:c r="S238" s="26" t="n">
        <x:v>45992</x:v>
      </x:c>
      <x:c r="T238" s="26"/>
      <x:c r="U238" s="24" t="str">
        <x:v>ATIVA/SEM FIM INFORMADO</x:v>
      </x:c>
      <x:c r="V238" s="24"/>
      <x:c r="W238" s="24" t="n">
        <x:v>26</x:v>
      </x:c>
      <x:c r="X238" s="24" t="str">
        <x:v>tabela_hoya(1).pdf</x:v>
      </x:c>
      <x:c r="Y238" s="24" t="str">
        <x:v>alta</x:v>
      </x:c>
      <x:c r="Z238" s="24"/>
      <x:c r="AA238" s="24" t="str">
        <x:v>HOYA|Progressiva|Surfaçada|Hoyalux Balansis|INCOLOR|ORGANIC|1.50|Hi-Vision LongLife BlueControl|-8.00 até +6.00||||||26</x:v>
      </x:c>
    </x:row>
    <x:row r="239">
      <x:c r="A239" s="24" t="str">
        <x:v>HY-DA25F6DC7234</x:v>
      </x:c>
      <x:c r="B239" s="24" t="str">
        <x:v>SIM</x:v>
      </x:c>
      <x:c r="C239" s="24" t="str">
        <x:v>DISPONÍVEL</x:v>
      </x:c>
      <x:c r="D239" s="24" t="str">
        <x:v>HOYA</x:v>
      </x:c>
      <x:c r="E239" s="24" t="str">
        <x:v>Progressiva</x:v>
      </x:c>
      <x:c r="F239" s="24" t="str">
        <x:v>Surfaçada</x:v>
      </x:c>
      <x:c r="G239" s="24" t="str">
        <x:v>Hoyalux Balansis</x:v>
      </x:c>
      <x:c r="H239" s="24" t="str">
        <x:v>INCOLOR</x:v>
      </x:c>
      <x:c r="I239" s="24" t="str">
        <x:v>EYNOA</x:v>
      </x:c>
      <x:c r="J239" s="24" t="str">
        <x:v>1.67</x:v>
      </x:c>
      <x:c r="K239" s="24" t="str">
        <x:v>No-Risk BlueControl</x:v>
      </x:c>
      <x:c r="L239" s="40" t="n">
        <x:v>6709</x:v>
      </x:c>
      <x:c r="M239" s="24" t="str">
        <x:v>-12.00 até +8.00</x:v>
      </x:c>
      <x:c r="N239" s="24"/>
      <x:c r="O239" s="24"/>
      <x:c r="P239" s="24"/>
      <x:c r="Q239" s="24"/>
      <x:c r="R239" s="24"/>
      <x:c r="S239" s="26" t="n">
        <x:v>45992</x:v>
      </x:c>
      <x:c r="T239" s="26"/>
      <x:c r="U239" s="24" t="str">
        <x:v>ATIVA/SEM FIM INFORMADO</x:v>
      </x:c>
      <x:c r="V239" s="24"/>
      <x:c r="W239" s="24" t="n">
        <x:v>26</x:v>
      </x:c>
      <x:c r="X239" s="24" t="str">
        <x:v>tabela_hoya(1).pdf</x:v>
      </x:c>
      <x:c r="Y239" s="24" t="str">
        <x:v>alta</x:v>
      </x:c>
      <x:c r="Z239" s="24"/>
      <x:c r="AA239" s="24" t="str">
        <x:v>HOYA|Progressiva|Surfaçada|Hoyalux Balansis|INCOLOR|EYNOA|1.67|No-Risk BlueControl|-12.00 até +8.00||||||26</x:v>
      </x:c>
    </x:row>
    <x:row r="240">
      <x:c r="A240" s="24" t="str">
        <x:v>HY-65F2509C6BF1</x:v>
      </x:c>
      <x:c r="B240" s="24" t="str">
        <x:v>SIM</x:v>
      </x:c>
      <x:c r="C240" s="24" t="str">
        <x:v>DISPONÍVEL</x:v>
      </x:c>
      <x:c r="D240" s="24" t="str">
        <x:v>HOYA</x:v>
      </x:c>
      <x:c r="E240" s="24" t="str">
        <x:v>Progressiva</x:v>
      </x:c>
      <x:c r="F240" s="24" t="str">
        <x:v>Surfaçada</x:v>
      </x:c>
      <x:c r="G240" s="24" t="str">
        <x:v>Hoyalux Balansis</x:v>
      </x:c>
      <x:c r="H240" s="24" t="str">
        <x:v>INCOLOR</x:v>
      </x:c>
      <x:c r="I240" s="24" t="str">
        <x:v>EYAS 2.0</x:v>
      </x:c>
      <x:c r="J240" s="24" t="str">
        <x:v>1.60</x:v>
      </x:c>
      <x:c r="K240" s="24" t="str">
        <x:v>No-Risk BlueControl</x:v>
      </x:c>
      <x:c r="L240" s="40" t="n">
        <x:v>4909</x:v>
      </x:c>
      <x:c r="M240" s="24"/>
      <x:c r="N240" s="24"/>
      <x:c r="O240" s="24"/>
      <x:c r="P240" s="24"/>
      <x:c r="Q240" s="24"/>
      <x:c r="R240" s="24"/>
      <x:c r="S240" s="26" t="n">
        <x:v>45992</x:v>
      </x:c>
      <x:c r="T240" s="26"/>
      <x:c r="U240" s="24" t="str">
        <x:v>ATIVA/SEM FIM INFORMADO</x:v>
      </x:c>
      <x:c r="V240" s="24"/>
      <x:c r="W240" s="24" t="n">
        <x:v>26</x:v>
      </x:c>
      <x:c r="X240" s="24" t="str">
        <x:v>tabela_hoya(1).pdf</x:v>
      </x:c>
      <x:c r="Y240" s="24" t="str">
        <x:v>alta</x:v>
      </x:c>
      <x:c r="Z240" s="24"/>
      <x:c r="AA240" s="24" t="str">
        <x:v>HOYA|Progressiva|Surfaçada|Hoyalux Balansis|INCOLOR|EYAS 2.0|1.60|No-Risk BlueControl|||||||26</x:v>
      </x:c>
    </x:row>
    <x:row r="241">
      <x:c r="A241" s="24" t="str">
        <x:v>HY-9BA487390DA1</x:v>
      </x:c>
      <x:c r="B241" s="24" t="str">
        <x:v>SIM</x:v>
      </x:c>
      <x:c r="C241" s="24" t="str">
        <x:v>DISPONÍVEL</x:v>
      </x:c>
      <x:c r="D241" s="24" t="str">
        <x:v>HOYA</x:v>
      </x:c>
      <x:c r="E241" s="24" t="str">
        <x:v>Progressiva</x:v>
      </x:c>
      <x:c r="F241" s="24" t="str">
        <x:v>Surfaçada</x:v>
      </x:c>
      <x:c r="G241" s="24" t="str">
        <x:v>Hoyalux Balansis</x:v>
      </x:c>
      <x:c r="H241" s="24" t="str">
        <x:v>INCOLOR</x:v>
      </x:c>
      <x:c r="I241" s="24" t="str">
        <x:v>PNX</x:v>
      </x:c>
      <x:c r="J241" s="24" t="str">
        <x:v>1.53</x:v>
      </x:c>
      <x:c r="K241" s="24" t="str">
        <x:v>No-Risk BlueControl</x:v>
      </x:c>
      <x:c r="L241" s="40" t="n">
        <x:v>4449</x:v>
      </x:c>
      <x:c r="M241" s="24" t="str">
        <x:v>-8.00 até +6.00</x:v>
      </x:c>
      <x:c r="N241" s="24"/>
      <x:c r="O241" s="24"/>
      <x:c r="P241" s="24"/>
      <x:c r="Q241" s="24"/>
      <x:c r="R241" s="24"/>
      <x:c r="S241" s="26" t="n">
        <x:v>45992</x:v>
      </x:c>
      <x:c r="T241" s="26"/>
      <x:c r="U241" s="24" t="str">
        <x:v>ATIVA/SEM FIM INFORMADO</x:v>
      </x:c>
      <x:c r="V241" s="24"/>
      <x:c r="W241" s="24" t="n">
        <x:v>26</x:v>
      </x:c>
      <x:c r="X241" s="24" t="str">
        <x:v>tabela_hoya(1).pdf</x:v>
      </x:c>
      <x:c r="Y241" s="24" t="str">
        <x:v>alta</x:v>
      </x:c>
      <x:c r="Z241" s="24"/>
      <x:c r="AA241" s="24" t="str">
        <x:v>HOYA|Progressiva|Surfaçada|Hoyalux Balansis|INCOLOR|PNX|1.53|No-Risk BlueControl|-8.00 até +6.00||||||26</x:v>
      </x:c>
    </x:row>
    <x:row r="242">
      <x:c r="A242" s="24" t="str">
        <x:v>HY-F15D3A0C1E39</x:v>
      </x:c>
      <x:c r="B242" s="24" t="str">
        <x:v>SIM</x:v>
      </x:c>
      <x:c r="C242" s="24" t="str">
        <x:v>DISPONÍVEL</x:v>
      </x:c>
      <x:c r="D242" s="24" t="str">
        <x:v>HOYA</x:v>
      </x:c>
      <x:c r="E242" s="24" t="str">
        <x:v>Progressiva</x:v>
      </x:c>
      <x:c r="F242" s="24" t="str">
        <x:v>Surfaçada</x:v>
      </x:c>
      <x:c r="G242" s="24" t="str">
        <x:v>Hoyalux Balansis</x:v>
      </x:c>
      <x:c r="H242" s="24" t="str">
        <x:v>INCOLOR</x:v>
      </x:c>
      <x:c r="I242" s="24" t="str">
        <x:v>ORGANIC</x:v>
      </x:c>
      <x:c r="J242" s="24" t="str">
        <x:v>1.50</x:v>
      </x:c>
      <x:c r="K242" s="24" t="str">
        <x:v>No-Risk BlueControl</x:v>
      </x:c>
      <x:c r="L242" s="40" t="n">
        <x:v>4099</x:v>
      </x:c>
      <x:c r="M242" s="24" t="str">
        <x:v>-8.00 até +6.00</x:v>
      </x:c>
      <x:c r="N242" s="24"/>
      <x:c r="O242" s="24"/>
      <x:c r="P242" s="24"/>
      <x:c r="Q242" s="24"/>
      <x:c r="R242" s="24"/>
      <x:c r="S242" s="26" t="n">
        <x:v>45992</x:v>
      </x:c>
      <x:c r="T242" s="26"/>
      <x:c r="U242" s="24" t="str">
        <x:v>ATIVA/SEM FIM INFORMADO</x:v>
      </x:c>
      <x:c r="V242" s="24"/>
      <x:c r="W242" s="24" t="n">
        <x:v>26</x:v>
      </x:c>
      <x:c r="X242" s="24" t="str">
        <x:v>tabela_hoya(1).pdf</x:v>
      </x:c>
      <x:c r="Y242" s="24" t="str">
        <x:v>alta</x:v>
      </x:c>
      <x:c r="Z242" s="24"/>
      <x:c r="AA242" s="24" t="str">
        <x:v>HOYA|Progressiva|Surfaçada|Hoyalux Balansis|INCOLOR|ORGANIC|1.50|No-Risk BlueControl|-8.00 até +6.00||||||26</x:v>
      </x:c>
    </x:row>
    <x:row r="243">
      <x:c r="A243" s="24" t="str">
        <x:v>HY-D9D029A4832C</x:v>
      </x:c>
      <x:c r="B243" s="24" t="str">
        <x:v>NÃO</x:v>
      </x:c>
      <x:c r="C243" s="24" t="str">
        <x:v>EM BREVE</x:v>
      </x:c>
      <x:c r="D243" s="24" t="str">
        <x:v>HOYA</x:v>
      </x:c>
      <x:c r="E243" s="24" t="str">
        <x:v>Progressiva</x:v>
      </x:c>
      <x:c r="F243" s="24" t="str">
        <x:v>Surfaçada</x:v>
      </x:c>
      <x:c r="G243" s="24" t="str">
        <x:v>Hoyalux Balansis</x:v>
      </x:c>
      <x:c r="H243" s="24" t="str">
        <x:v>SENSITY 2</x:v>
      </x:c>
      <x:c r="I243" s="24" t="str">
        <x:v>EYNOA</x:v>
      </x:c>
      <x:c r="J243" s="24" t="str">
        <x:v>1.67</x:v>
      </x:c>
      <x:c r="K243" s="24" t="str">
        <x:v>Hi-Vision Meiryo</x:v>
      </x:c>
      <x:c r="L243" s="40" t="n">
        <x:v>8559</x:v>
      </x:c>
      <x:c r="M243" s="24" t="str">
        <x:v>-12.00 até +8.00</x:v>
      </x:c>
      <x:c r="N243" s="24"/>
      <x:c r="O243" s="24"/>
      <x:c r="P243" s="24"/>
      <x:c r="Q243" s="24"/>
      <x:c r="R243" s="24"/>
      <x:c r="S243" s="26" t="n">
        <x:v>45992</x:v>
      </x:c>
      <x:c r="T243" s="26"/>
      <x:c r="U243" s="24" t="str">
        <x:v>ATIVA/SEM FIM INFORMADO</x:v>
      </x:c>
      <x:c r="V243" s="24"/>
      <x:c r="W243" s="24" t="n">
        <x:v>26</x:v>
      </x:c>
      <x:c r="X243" s="24" t="str">
        <x:v>tabela_hoya(1).pdf</x:v>
      </x:c>
      <x:c r="Y243" s="24" t="str">
        <x:v>alta</x:v>
      </x:c>
      <x:c r="Z243" s="24" t="str">
        <x:v>Tratamento/produto marcado como “EM BREVE” na própria tabela HOYA; preço preservado, mas bloqueado no export web.</x:v>
      </x:c>
      <x:c r="AA243" s="24" t="str">
        <x:v>HOYA|Progressiva|Surfaçada|Hoyalux Balansis|SENSITY 2|EYNOA|1.67|Hi-Vision Meiryo|-12.00 até +8.00||||||26</x:v>
      </x:c>
    </x:row>
    <x:row r="244">
      <x:c r="A244" s="24" t="str">
        <x:v>HY-E60FA0B83990</x:v>
      </x:c>
      <x:c r="B244" s="24" t="str">
        <x:v>NÃO</x:v>
      </x:c>
      <x:c r="C244" s="24" t="str">
        <x:v>EM BREVE</x:v>
      </x:c>
      <x:c r="D244" s="24" t="str">
        <x:v>HOYA</x:v>
      </x:c>
      <x:c r="E244" s="24" t="str">
        <x:v>Progressiva</x:v>
      </x:c>
      <x:c r="F244" s="24" t="str">
        <x:v>Surfaçada</x:v>
      </x:c>
      <x:c r="G244" s="24" t="str">
        <x:v>Hoyalux Balansis</x:v>
      </x:c>
      <x:c r="H244" s="24" t="str">
        <x:v>SENSITY 2</x:v>
      </x:c>
      <x:c r="I244" s="24" t="str">
        <x:v>PNX</x:v>
      </x:c>
      <x:c r="J244" s="24" t="str">
        <x:v>1.53</x:v>
      </x:c>
      <x:c r="K244" s="24" t="str">
        <x:v>Hi-Vision Meiryo</x:v>
      </x:c>
      <x:c r="L244" s="40" t="n">
        <x:v>6299</x:v>
      </x:c>
      <x:c r="M244" s="24" t="str">
        <x:v>-8.00 até +6.00</x:v>
      </x:c>
      <x:c r="N244" s="24"/>
      <x:c r="O244" s="24"/>
      <x:c r="P244" s="24"/>
      <x:c r="Q244" s="24"/>
      <x:c r="R244" s="24"/>
      <x:c r="S244" s="26" t="n">
        <x:v>45992</x:v>
      </x:c>
      <x:c r="T244" s="26"/>
      <x:c r="U244" s="24" t="str">
        <x:v>ATIVA/SEM FIM INFORMADO</x:v>
      </x:c>
      <x:c r="V244" s="24"/>
      <x:c r="W244" s="24" t="n">
        <x:v>26</x:v>
      </x:c>
      <x:c r="X244" s="24" t="str">
        <x:v>tabela_hoya(1).pdf</x:v>
      </x:c>
      <x:c r="Y244" s="24" t="str">
        <x:v>alta</x:v>
      </x:c>
      <x:c r="Z244" s="24" t="str">
        <x:v>Tratamento/produto marcado como “EM BREVE” na própria tabela HOYA; preço preservado, mas bloqueado no export web.</x:v>
      </x:c>
      <x:c r="AA244" s="24" t="str">
        <x:v>HOYA|Progressiva|Surfaçada|Hoyalux Balansis|SENSITY 2|PNX|1.53|Hi-Vision Meiryo|-8.00 até +6.00||||||26</x:v>
      </x:c>
    </x:row>
    <x:row r="245">
      <x:c r="A245" s="24" t="str">
        <x:v>HY-A5806CB66236</x:v>
      </x:c>
      <x:c r="B245" s="24" t="str">
        <x:v>NÃO</x:v>
      </x:c>
      <x:c r="C245" s="24" t="str">
        <x:v>EM BREVE</x:v>
      </x:c>
      <x:c r="D245" s="24" t="str">
        <x:v>HOYA</x:v>
      </x:c>
      <x:c r="E245" s="24" t="str">
        <x:v>Progressiva</x:v>
      </x:c>
      <x:c r="F245" s="24" t="str">
        <x:v>Surfaçada</x:v>
      </x:c>
      <x:c r="G245" s="24" t="str">
        <x:v>Hoyalux Balansis</x:v>
      </x:c>
      <x:c r="H245" s="24" t="str">
        <x:v>SENSITY 2</x:v>
      </x:c>
      <x:c r="I245" s="24" t="str">
        <x:v>ORGANIC</x:v>
      </x:c>
      <x:c r="J245" s="24" t="str">
        <x:v>1.50</x:v>
      </x:c>
      <x:c r="K245" s="24" t="str">
        <x:v>Hi-Vision Meiryo</x:v>
      </x:c>
      <x:c r="L245" s="40" t="n">
        <x:v>5949</x:v>
      </x:c>
      <x:c r="M245" s="24" t="str">
        <x:v>-8.00 até +6.00</x:v>
      </x:c>
      <x:c r="N245" s="24"/>
      <x:c r="O245" s="24"/>
      <x:c r="P245" s="24"/>
      <x:c r="Q245" s="24"/>
      <x:c r="R245" s="24"/>
      <x:c r="S245" s="26" t="n">
        <x:v>45992</x:v>
      </x:c>
      <x:c r="T245" s="26"/>
      <x:c r="U245" s="24" t="str">
        <x:v>ATIVA/SEM FIM INFORMADO</x:v>
      </x:c>
      <x:c r="V245" s="24"/>
      <x:c r="W245" s="24" t="n">
        <x:v>26</x:v>
      </x:c>
      <x:c r="X245" s="24" t="str">
        <x:v>tabela_hoya(1).pdf</x:v>
      </x:c>
      <x:c r="Y245" s="24" t="str">
        <x:v>alta</x:v>
      </x:c>
      <x:c r="Z245" s="24" t="str">
        <x:v>Tratamento/produto marcado como “EM BREVE” na própria tabela HOYA; preço preservado, mas bloqueado no export web.</x:v>
      </x:c>
      <x:c r="AA245" s="24" t="str">
        <x:v>HOYA|Progressiva|Surfaçada|Hoyalux Balansis|SENSITY 2|ORGANIC|1.50|Hi-Vision Meiryo|-8.00 até +6.00||||||26</x:v>
      </x:c>
    </x:row>
    <x:row r="246">
      <x:c r="A246" s="24" t="str">
        <x:v>HY-F43D2902DF88</x:v>
      </x:c>
      <x:c r="B246" s="24" t="str">
        <x:v>SIM</x:v>
      </x:c>
      <x:c r="C246" s="24" t="str">
        <x:v>DISPONÍVEL</x:v>
      </x:c>
      <x:c r="D246" s="24" t="str">
        <x:v>HOYA</x:v>
      </x:c>
      <x:c r="E246" s="24" t="str">
        <x:v>Progressiva</x:v>
      </x:c>
      <x:c r="F246" s="24" t="str">
        <x:v>Surfaçada</x:v>
      </x:c>
      <x:c r="G246" s="24" t="str">
        <x:v>Hoyalux Balansis</x:v>
      </x:c>
      <x:c r="H246" s="24" t="str">
        <x:v>SENSITY 2</x:v>
      </x:c>
      <x:c r="I246" s="24" t="str">
        <x:v>EYNOA</x:v>
      </x:c>
      <x:c r="J246" s="24" t="str">
        <x:v>1.67</x:v>
      </x:c>
      <x:c r="K246" s="24" t="str">
        <x:v>Hi-Vision LongLife BlueControl</x:v>
      </x:c>
      <x:c r="L246" s="40" t="n">
        <x:v>8359</x:v>
      </x:c>
      <x:c r="M246" s="24" t="str">
        <x:v>-12.00 até +8.00</x:v>
      </x:c>
      <x:c r="N246" s="24"/>
      <x:c r="O246" s="24"/>
      <x:c r="P246" s="24"/>
      <x:c r="Q246" s="24"/>
      <x:c r="R246" s="24"/>
      <x:c r="S246" s="26" t="n">
        <x:v>45992</x:v>
      </x:c>
      <x:c r="T246" s="26"/>
      <x:c r="U246" s="24" t="str">
        <x:v>ATIVA/SEM FIM INFORMADO</x:v>
      </x:c>
      <x:c r="V246" s="24"/>
      <x:c r="W246" s="24" t="n">
        <x:v>26</x:v>
      </x:c>
      <x:c r="X246" s="24" t="str">
        <x:v>tabela_hoya(1).pdf</x:v>
      </x:c>
      <x:c r="Y246" s="24" t="str">
        <x:v>alta</x:v>
      </x:c>
      <x:c r="Z246" s="24"/>
      <x:c r="AA246" s="24" t="str">
        <x:v>HOYA|Progressiva|Surfaçada|Hoyalux Balansis|SENSITY 2|EYNOA|1.67|Hi-Vision LongLife BlueControl|-12.00 até +8.00||||||26</x:v>
      </x:c>
    </x:row>
    <x:row r="247">
      <x:c r="A247" s="24" t="str">
        <x:v>HY-39261DA82349</x:v>
      </x:c>
      <x:c r="B247" s="24" t="str">
        <x:v>SIM</x:v>
      </x:c>
      <x:c r="C247" s="24" t="str">
        <x:v>DISPONÍVEL</x:v>
      </x:c>
      <x:c r="D247" s="24" t="str">
        <x:v>HOYA</x:v>
      </x:c>
      <x:c r="E247" s="24" t="str">
        <x:v>Progressiva</x:v>
      </x:c>
      <x:c r="F247" s="24" t="str">
        <x:v>Surfaçada</x:v>
      </x:c>
      <x:c r="G247" s="24" t="str">
        <x:v>Hoyalux Balansis</x:v>
      </x:c>
      <x:c r="H247" s="24" t="str">
        <x:v>SENSITY 2</x:v>
      </x:c>
      <x:c r="I247" s="24" t="str">
        <x:v>PNX</x:v>
      </x:c>
      <x:c r="J247" s="24" t="str">
        <x:v>1.53</x:v>
      </x:c>
      <x:c r="K247" s="24" t="str">
        <x:v>Hi-Vision LongLife BlueControl</x:v>
      </x:c>
      <x:c r="L247" s="40" t="n">
        <x:v>6099</x:v>
      </x:c>
      <x:c r="M247" s="24" t="str">
        <x:v>-8.00 até +6.00</x:v>
      </x:c>
      <x:c r="N247" s="24"/>
      <x:c r="O247" s="24"/>
      <x:c r="P247" s="24"/>
      <x:c r="Q247" s="24"/>
      <x:c r="R247" s="24"/>
      <x:c r="S247" s="26" t="n">
        <x:v>45992</x:v>
      </x:c>
      <x:c r="T247" s="26"/>
      <x:c r="U247" s="24" t="str">
        <x:v>ATIVA/SEM FIM INFORMADO</x:v>
      </x:c>
      <x:c r="V247" s="24"/>
      <x:c r="W247" s="24" t="n">
        <x:v>26</x:v>
      </x:c>
      <x:c r="X247" s="24" t="str">
        <x:v>tabela_hoya(1).pdf</x:v>
      </x:c>
      <x:c r="Y247" s="24" t="str">
        <x:v>alta</x:v>
      </x:c>
      <x:c r="Z247" s="24"/>
      <x:c r="AA247" s="24" t="str">
        <x:v>HOYA|Progressiva|Surfaçada|Hoyalux Balansis|SENSITY 2|PNX|1.53|Hi-Vision LongLife BlueControl|-8.00 até +6.00||||||26</x:v>
      </x:c>
    </x:row>
    <x:row r="248">
      <x:c r="A248" s="24" t="str">
        <x:v>HY-7168F29DCAB3</x:v>
      </x:c>
      <x:c r="B248" s="24" t="str">
        <x:v>SIM</x:v>
      </x:c>
      <x:c r="C248" s="24" t="str">
        <x:v>DISPONÍVEL</x:v>
      </x:c>
      <x:c r="D248" s="24" t="str">
        <x:v>HOYA</x:v>
      </x:c>
      <x:c r="E248" s="24" t="str">
        <x:v>Progressiva</x:v>
      </x:c>
      <x:c r="F248" s="24" t="str">
        <x:v>Surfaçada</x:v>
      </x:c>
      <x:c r="G248" s="24" t="str">
        <x:v>Hoyalux Balansis</x:v>
      </x:c>
      <x:c r="H248" s="24" t="str">
        <x:v>SENSITY 2</x:v>
      </x:c>
      <x:c r="I248" s="24" t="str">
        <x:v>ORGANIC</x:v>
      </x:c>
      <x:c r="J248" s="24" t="str">
        <x:v>1.50</x:v>
      </x:c>
      <x:c r="K248" s="24" t="str">
        <x:v>Hi-Vision LongLife BlueControl</x:v>
      </x:c>
      <x:c r="L248" s="40" t="n">
        <x:v>5749</x:v>
      </x:c>
      <x:c r="M248" s="24" t="str">
        <x:v>-8.00 até +6.00</x:v>
      </x:c>
      <x:c r="N248" s="24"/>
      <x:c r="O248" s="24"/>
      <x:c r="P248" s="24"/>
      <x:c r="Q248" s="24"/>
      <x:c r="R248" s="24"/>
      <x:c r="S248" s="26" t="n">
        <x:v>45992</x:v>
      </x:c>
      <x:c r="T248" s="26"/>
      <x:c r="U248" s="24" t="str">
        <x:v>ATIVA/SEM FIM INFORMADO</x:v>
      </x:c>
      <x:c r="V248" s="24"/>
      <x:c r="W248" s="24" t="n">
        <x:v>26</x:v>
      </x:c>
      <x:c r="X248" s="24" t="str">
        <x:v>tabela_hoya(1).pdf</x:v>
      </x:c>
      <x:c r="Y248" s="24" t="str">
        <x:v>alta</x:v>
      </x:c>
      <x:c r="Z248" s="24"/>
      <x:c r="AA248" s="24" t="str">
        <x:v>HOYA|Progressiva|Surfaçada|Hoyalux Balansis|SENSITY 2|ORGANIC|1.50|Hi-Vision LongLife BlueControl|-8.00 até +6.00||||||26</x:v>
      </x:c>
    </x:row>
    <x:row r="249">
      <x:c r="A249" s="24" t="str">
        <x:v>HY-C3B5765DF92B</x:v>
      </x:c>
      <x:c r="B249" s="24" t="str">
        <x:v>SIM</x:v>
      </x:c>
      <x:c r="C249" s="24" t="str">
        <x:v>DISPONÍVEL</x:v>
      </x:c>
      <x:c r="D249" s="24" t="str">
        <x:v>HOYA</x:v>
      </x:c>
      <x:c r="E249" s="24" t="str">
        <x:v>Progressiva</x:v>
      </x:c>
      <x:c r="F249" s="24" t="str">
        <x:v>Surfaçada</x:v>
      </x:c>
      <x:c r="G249" s="24" t="str">
        <x:v>Hoyalux Balansis</x:v>
      </x:c>
      <x:c r="H249" s="24" t="str">
        <x:v>SENSITY 2</x:v>
      </x:c>
      <x:c r="I249" s="24" t="str">
        <x:v>EYNOA</x:v>
      </x:c>
      <x:c r="J249" s="24" t="str">
        <x:v>1.67</x:v>
      </x:c>
      <x:c r="K249" s="24" t="str">
        <x:v>No-Risk BlueControl</x:v>
      </x:c>
      <x:c r="L249" s="40" t="n">
        <x:v>8109</x:v>
      </x:c>
      <x:c r="M249" s="24" t="str">
        <x:v>-12.00 até +8.00</x:v>
      </x:c>
      <x:c r="N249" s="24"/>
      <x:c r="O249" s="24"/>
      <x:c r="P249" s="24"/>
      <x:c r="Q249" s="24"/>
      <x:c r="R249" s="24"/>
      <x:c r="S249" s="26" t="n">
        <x:v>45992</x:v>
      </x:c>
      <x:c r="T249" s="26"/>
      <x:c r="U249" s="24" t="str">
        <x:v>ATIVA/SEM FIM INFORMADO</x:v>
      </x:c>
      <x:c r="V249" s="24"/>
      <x:c r="W249" s="24" t="n">
        <x:v>26</x:v>
      </x:c>
      <x:c r="X249" s="24" t="str">
        <x:v>tabela_hoya(1).pdf</x:v>
      </x:c>
      <x:c r="Y249" s="24" t="str">
        <x:v>alta</x:v>
      </x:c>
      <x:c r="Z249" s="24"/>
      <x:c r="AA249" s="24" t="str">
        <x:v>HOYA|Progressiva|Surfaçada|Hoyalux Balansis|SENSITY 2|EYNOA|1.67|No-Risk BlueControl|-12.00 até +8.00||||||26</x:v>
      </x:c>
    </x:row>
    <x:row r="250">
      <x:c r="A250" s="24" t="str">
        <x:v>HY-56E45ABE51CD</x:v>
      </x:c>
      <x:c r="B250" s="24" t="str">
        <x:v>SIM</x:v>
      </x:c>
      <x:c r="C250" s="24" t="str">
        <x:v>DISPONÍVEL</x:v>
      </x:c>
      <x:c r="D250" s="24" t="str">
        <x:v>HOYA</x:v>
      </x:c>
      <x:c r="E250" s="24" t="str">
        <x:v>Progressiva</x:v>
      </x:c>
      <x:c r="F250" s="24" t="str">
        <x:v>Surfaçada</x:v>
      </x:c>
      <x:c r="G250" s="24" t="str">
        <x:v>Hoyalux Balansis</x:v>
      </x:c>
      <x:c r="H250" s="24" t="str">
        <x:v>SENSITY 2</x:v>
      </x:c>
      <x:c r="I250" s="24" t="str">
        <x:v>PNX</x:v>
      </x:c>
      <x:c r="J250" s="24" t="str">
        <x:v>1.53</x:v>
      </x:c>
      <x:c r="K250" s="24" t="str">
        <x:v>No-Risk BlueControl</x:v>
      </x:c>
      <x:c r="L250" s="40" t="n">
        <x:v>5849</x:v>
      </x:c>
      <x:c r="M250" s="24" t="str">
        <x:v>-8.00 até +6.00</x:v>
      </x:c>
      <x:c r="N250" s="24"/>
      <x:c r="O250" s="24"/>
      <x:c r="P250" s="24"/>
      <x:c r="Q250" s="24"/>
      <x:c r="R250" s="24"/>
      <x:c r="S250" s="26" t="n">
        <x:v>45992</x:v>
      </x:c>
      <x:c r="T250" s="26"/>
      <x:c r="U250" s="24" t="str">
        <x:v>ATIVA/SEM FIM INFORMADO</x:v>
      </x:c>
      <x:c r="V250" s="24"/>
      <x:c r="W250" s="24" t="n">
        <x:v>26</x:v>
      </x:c>
      <x:c r="X250" s="24" t="str">
        <x:v>tabela_hoya(1).pdf</x:v>
      </x:c>
      <x:c r="Y250" s="24" t="str">
        <x:v>alta</x:v>
      </x:c>
      <x:c r="Z250" s="24"/>
      <x:c r="AA250" s="24" t="str">
        <x:v>HOYA|Progressiva|Surfaçada|Hoyalux Balansis|SENSITY 2|PNX|1.53|No-Risk BlueControl|-8.00 até +6.00||||||26</x:v>
      </x:c>
    </x:row>
    <x:row r="251">
      <x:c r="A251" s="24" t="str">
        <x:v>HY-4A628CF7C450</x:v>
      </x:c>
      <x:c r="B251" s="24" t="str">
        <x:v>SIM</x:v>
      </x:c>
      <x:c r="C251" s="24" t="str">
        <x:v>DISPONÍVEL</x:v>
      </x:c>
      <x:c r="D251" s="24" t="str">
        <x:v>HOYA</x:v>
      </x:c>
      <x:c r="E251" s="24" t="str">
        <x:v>Progressiva</x:v>
      </x:c>
      <x:c r="F251" s="24" t="str">
        <x:v>Surfaçada</x:v>
      </x:c>
      <x:c r="G251" s="24" t="str">
        <x:v>Hoyalux Balansis</x:v>
      </x:c>
      <x:c r="H251" s="24" t="str">
        <x:v>SENSITY 2</x:v>
      </x:c>
      <x:c r="I251" s="24" t="str">
        <x:v>ORGANIC</x:v>
      </x:c>
      <x:c r="J251" s="24" t="str">
        <x:v>1.50</x:v>
      </x:c>
      <x:c r="K251" s="24" t="str">
        <x:v>No-Risk BlueControl</x:v>
      </x:c>
      <x:c r="L251" s="40" t="n">
        <x:v>5499</x:v>
      </x:c>
      <x:c r="M251" s="24" t="str">
        <x:v>-8.00 até +6.00</x:v>
      </x:c>
      <x:c r="N251" s="24"/>
      <x:c r="O251" s="24"/>
      <x:c r="P251" s="24"/>
      <x:c r="Q251" s="24"/>
      <x:c r="R251" s="24"/>
      <x:c r="S251" s="26" t="n">
        <x:v>45992</x:v>
      </x:c>
      <x:c r="T251" s="26"/>
      <x:c r="U251" s="24" t="str">
        <x:v>ATIVA/SEM FIM INFORMADO</x:v>
      </x:c>
      <x:c r="V251" s="24"/>
      <x:c r="W251" s="24" t="n">
        <x:v>26</x:v>
      </x:c>
      <x:c r="X251" s="24" t="str">
        <x:v>tabela_hoya(1).pdf</x:v>
      </x:c>
      <x:c r="Y251" s="24" t="str">
        <x:v>alta</x:v>
      </x:c>
      <x:c r="Z251" s="24"/>
      <x:c r="AA251" s="24" t="str">
        <x:v>HOYA|Progressiva|Surfaçada|Hoyalux Balansis|SENSITY 2|ORGANIC|1.50|No-Risk BlueControl|-8.00 até +6.00||||||26</x:v>
      </x:c>
    </x:row>
    <x:row r="252">
      <x:c r="A252" s="24" t="str">
        <x:v>HY-B132D8AC1273</x:v>
      </x:c>
      <x:c r="B252" s="24" t="str">
        <x:v>SIM</x:v>
      </x:c>
      <x:c r="C252" s="24" t="str">
        <x:v>DISPONÍVEL</x:v>
      </x:c>
      <x:c r="D252" s="24" t="str">
        <x:v>HOYA</x:v>
      </x:c>
      <x:c r="E252" s="24" t="str">
        <x:v>Progressiva</x:v>
      </x:c>
      <x:c r="F252" s="24" t="str">
        <x:v>Surfaçada</x:v>
      </x:c>
      <x:c r="G252" s="24" t="str">
        <x:v>Hoyalux Balansis</x:v>
      </x:c>
      <x:c r="H252" s="24" t="str">
        <x:v>COLORIDAS</x:v>
      </x:c>
      <x:c r="I252" s="24" t="str">
        <x:v>EYNOA</x:v>
      </x:c>
      <x:c r="J252" s="24" t="str">
        <x:v>1.67</x:v>
      </x:c>
      <x:c r="K252" s="24" t="str">
        <x:v>Hi-Vision Sun Pro</x:v>
      </x:c>
      <x:c r="L252" s="40" t="n">
        <x:v>6999</x:v>
      </x:c>
      <x:c r="M252" s="24" t="str">
        <x:v>-12.00 até +8.00</x:v>
      </x:c>
      <x:c r="N252" s="24"/>
      <x:c r="O252" s="24"/>
      <x:c r="P252" s="24"/>
      <x:c r="Q252" s="24"/>
      <x:c r="R252" s="24"/>
      <x:c r="S252" s="26" t="n">
        <x:v>45992</x:v>
      </x:c>
      <x:c r="T252" s="26"/>
      <x:c r="U252" s="24" t="str">
        <x:v>ATIVA/SEM FIM INFORMADO</x:v>
      </x:c>
      <x:c r="V252" s="24"/>
      <x:c r="W252" s="24" t="n">
        <x:v>26</x:v>
      </x:c>
      <x:c r="X252" s="24" t="str">
        <x:v>tabela_hoya(1).pdf</x:v>
      </x:c>
      <x:c r="Y252" s="24" t="str">
        <x:v>alta</x:v>
      </x:c>
      <x:c r="Z252" s="24"/>
      <x:c r="AA252" s="24" t="str">
        <x:v>HOYA|Progressiva|Surfaçada|Hoyalux Balansis|COLORIDAS|EYNOA|1.67|Hi-Vision Sun Pro|-12.00 até +8.00||||||26</x:v>
      </x:c>
    </x:row>
    <x:row r="253">
      <x:c r="A253" s="24" t="str">
        <x:v>HY-A9B328DF79F9</x:v>
      </x:c>
      <x:c r="B253" s="24" t="str">
        <x:v>SIM</x:v>
      </x:c>
      <x:c r="C253" s="24" t="str">
        <x:v>DISPONÍVEL</x:v>
      </x:c>
      <x:c r="D253" s="24" t="str">
        <x:v>HOYA</x:v>
      </x:c>
      <x:c r="E253" s="24" t="str">
        <x:v>Progressiva</x:v>
      </x:c>
      <x:c r="F253" s="24" t="str">
        <x:v>Surfaçada</x:v>
      </x:c>
      <x:c r="G253" s="24" t="str">
        <x:v>Hoyalux Balansis</x:v>
      </x:c>
      <x:c r="H253" s="24" t="str">
        <x:v>COLORIDAS</x:v>
      </x:c>
      <x:c r="I253" s="24" t="str">
        <x:v>EYAS 2.0</x:v>
      </x:c>
      <x:c r="J253" s="24" t="str">
        <x:v>1.60</x:v>
      </x:c>
      <x:c r="K253" s="24" t="str">
        <x:v>Hi-Vision Sun Pro</x:v>
      </x:c>
      <x:c r="L253" s="40" t="n">
        <x:v>5199</x:v>
      </x:c>
      <x:c r="M253" s="24"/>
      <x:c r="N253" s="24"/>
      <x:c r="O253" s="24"/>
      <x:c r="P253" s="24"/>
      <x:c r="Q253" s="24"/>
      <x:c r="R253" s="24"/>
      <x:c r="S253" s="26" t="n">
        <x:v>45992</x:v>
      </x:c>
      <x:c r="T253" s="26"/>
      <x:c r="U253" s="24" t="str">
        <x:v>ATIVA/SEM FIM INFORMADO</x:v>
      </x:c>
      <x:c r="V253" s="24"/>
      <x:c r="W253" s="24" t="n">
        <x:v>26</x:v>
      </x:c>
      <x:c r="X253" s="24" t="str">
        <x:v>tabela_hoya(1).pdf</x:v>
      </x:c>
      <x:c r="Y253" s="24" t="str">
        <x:v>alta</x:v>
      </x:c>
      <x:c r="Z253" s="24"/>
      <x:c r="AA253" s="24" t="str">
        <x:v>HOYA|Progressiva|Surfaçada|Hoyalux Balansis|COLORIDAS|EYAS 2.0|1.60|Hi-Vision Sun Pro|||||||26</x:v>
      </x:c>
    </x:row>
    <x:row r="254">
      <x:c r="A254" s="24" t="str">
        <x:v>HY-C3DC66B7B424</x:v>
      </x:c>
      <x:c r="B254" s="24" t="str">
        <x:v>SIM</x:v>
      </x:c>
      <x:c r="C254" s="24" t="str">
        <x:v>DISPONÍVEL</x:v>
      </x:c>
      <x:c r="D254" s="24" t="str">
        <x:v>HOYA</x:v>
      </x:c>
      <x:c r="E254" s="24" t="str">
        <x:v>Progressiva</x:v>
      </x:c>
      <x:c r="F254" s="24" t="str">
        <x:v>Surfaçada</x:v>
      </x:c>
      <x:c r="G254" s="24" t="str">
        <x:v>Hoyalux Balansis</x:v>
      </x:c>
      <x:c r="H254" s="24" t="str">
        <x:v>COLORIDAS</x:v>
      </x:c>
      <x:c r="I254" s="24" t="str">
        <x:v>PNX</x:v>
      </x:c>
      <x:c r="J254" s="24" t="str">
        <x:v>1.53</x:v>
      </x:c>
      <x:c r="K254" s="24" t="str">
        <x:v>Hi-Vision Sun Pro</x:v>
      </x:c>
      <x:c r="L254" s="40" t="n">
        <x:v>4739</x:v>
      </x:c>
      <x:c r="M254" s="24" t="str">
        <x:v>-8.00 até +6.00</x:v>
      </x:c>
      <x:c r="N254" s="24"/>
      <x:c r="O254" s="24"/>
      <x:c r="P254" s="24"/>
      <x:c r="Q254" s="24"/>
      <x:c r="R254" s="24"/>
      <x:c r="S254" s="26" t="n">
        <x:v>45992</x:v>
      </x:c>
      <x:c r="T254" s="26"/>
      <x:c r="U254" s="24" t="str">
        <x:v>ATIVA/SEM FIM INFORMADO</x:v>
      </x:c>
      <x:c r="V254" s="24"/>
      <x:c r="W254" s="24" t="n">
        <x:v>26</x:v>
      </x:c>
      <x:c r="X254" s="24" t="str">
        <x:v>tabela_hoya(1).pdf</x:v>
      </x:c>
      <x:c r="Y254" s="24" t="str">
        <x:v>alta</x:v>
      </x:c>
      <x:c r="Z254" s="24"/>
      <x:c r="AA254" s="24" t="str">
        <x:v>HOYA|Progressiva|Surfaçada|Hoyalux Balansis|COLORIDAS|PNX|1.53|Hi-Vision Sun Pro|-8.00 até +6.00||||||26</x:v>
      </x:c>
    </x:row>
    <x:row r="255">
      <x:c r="A255" s="24" t="str">
        <x:v>HY-A42A061ECF9A</x:v>
      </x:c>
      <x:c r="B255" s="24" t="str">
        <x:v>SIM</x:v>
      </x:c>
      <x:c r="C255" s="24" t="str">
        <x:v>DISPONÍVEL</x:v>
      </x:c>
      <x:c r="D255" s="24" t="str">
        <x:v>HOYA</x:v>
      </x:c>
      <x:c r="E255" s="24" t="str">
        <x:v>Progressiva</x:v>
      </x:c>
      <x:c r="F255" s="24" t="str">
        <x:v>Surfaçada</x:v>
      </x:c>
      <x:c r="G255" s="24" t="str">
        <x:v>Hoyalux Balansis</x:v>
      </x:c>
      <x:c r="H255" s="24" t="str">
        <x:v>COLORIDAS</x:v>
      </x:c>
      <x:c r="I255" s="24" t="str">
        <x:v>ORGANIC</x:v>
      </x:c>
      <x:c r="J255" s="24" t="str">
        <x:v>1.50</x:v>
      </x:c>
      <x:c r="K255" s="24" t="str">
        <x:v>Hi-Vision Sun Pro</x:v>
      </x:c>
      <x:c r="L255" s="40" t="n">
        <x:v>4389</x:v>
      </x:c>
      <x:c r="M255" s="24" t="str">
        <x:v>-8.00 até +6.00</x:v>
      </x:c>
      <x:c r="N255" s="24"/>
      <x:c r="O255" s="24"/>
      <x:c r="P255" s="24"/>
      <x:c r="Q255" s="24"/>
      <x:c r="R255" s="24"/>
      <x:c r="S255" s="26" t="n">
        <x:v>45992</x:v>
      </x:c>
      <x:c r="T255" s="26"/>
      <x:c r="U255" s="24" t="str">
        <x:v>ATIVA/SEM FIM INFORMADO</x:v>
      </x:c>
      <x:c r="V255" s="24"/>
      <x:c r="W255" s="24" t="n">
        <x:v>26</x:v>
      </x:c>
      <x:c r="X255" s="24" t="str">
        <x:v>tabela_hoya(1).pdf</x:v>
      </x:c>
      <x:c r="Y255" s="24" t="str">
        <x:v>alta</x:v>
      </x:c>
      <x:c r="Z255" s="24"/>
      <x:c r="AA255" s="24" t="str">
        <x:v>HOYA|Progressiva|Surfaçada|Hoyalux Balansis|COLORIDAS|ORGANIC|1.50|Hi-Vision Sun Pro|-8.00 até +6.00||||||26</x:v>
      </x:c>
    </x:row>
    <x:row r="256">
      <x:c r="A256" s="24" t="str">
        <x:v>HY-578F711AFC46</x:v>
      </x:c>
      <x:c r="B256" s="24" t="str">
        <x:v>SIM</x:v>
      </x:c>
      <x:c r="C256" s="24" t="str">
        <x:v>DISPONÍVEL</x:v>
      </x:c>
      <x:c r="D256" s="24" t="str">
        <x:v>HOYA</x:v>
      </x:c>
      <x:c r="E256" s="24" t="str">
        <x:v>Progressiva</x:v>
      </x:c>
      <x:c r="F256" s="24" t="str">
        <x:v>Surfaçada</x:v>
      </x:c>
      <x:c r="G256" s="24" t="str">
        <x:v>Hoyalux Balansis</x:v>
      </x:c>
      <x:c r="H256" s="24" t="str">
        <x:v>POLARIZADO</x:v>
      </x:c>
      <x:c r="I256" s="24" t="str">
        <x:v>EYNOA</x:v>
      </x:c>
      <x:c r="J256" s="24" t="str">
        <x:v>1.67</x:v>
      </x:c>
      <x:c r="K256" s="24" t="str">
        <x:v>Hi-Vision Sun Pro</x:v>
      </x:c>
      <x:c r="L256" s="40" t="n">
        <x:v>7859</x:v>
      </x:c>
      <x:c r="M256" s="24" t="str">
        <x:v>-12.00 até +8.00</x:v>
      </x:c>
      <x:c r="N256" s="24"/>
      <x:c r="O256" s="24"/>
      <x:c r="P256" s="24"/>
      <x:c r="Q256" s="24"/>
      <x:c r="R256" s="24"/>
      <x:c r="S256" s="26" t="n">
        <x:v>45992</x:v>
      </x:c>
      <x:c r="T256" s="26"/>
      <x:c r="U256" s="24" t="str">
        <x:v>ATIVA/SEM FIM INFORMADO</x:v>
      </x:c>
      <x:c r="V256" s="24"/>
      <x:c r="W256" s="24" t="n">
        <x:v>26</x:v>
      </x:c>
      <x:c r="X256" s="24" t="str">
        <x:v>tabela_hoya(1).pdf</x:v>
      </x:c>
      <x:c r="Y256" s="24" t="str">
        <x:v>alta</x:v>
      </x:c>
      <x:c r="Z256" s="24"/>
      <x:c r="AA256" s="24" t="str">
        <x:v>HOYA|Progressiva|Surfaçada|Hoyalux Balansis|POLARIZADO|EYNOA|1.67|Hi-Vision Sun Pro|-12.00 até +8.00||||||26</x:v>
      </x:c>
    </x:row>
    <x:row r="257">
      <x:c r="A257" s="24" t="str">
        <x:v>HY-A4A787379C4C</x:v>
      </x:c>
      <x:c r="B257" s="24" t="str">
        <x:v>SIM</x:v>
      </x:c>
      <x:c r="C257" s="24" t="str">
        <x:v>DISPONÍVEL</x:v>
      </x:c>
      <x:c r="D257" s="24" t="str">
        <x:v>HOYA</x:v>
      </x:c>
      <x:c r="E257" s="24" t="str">
        <x:v>Progressiva</x:v>
      </x:c>
      <x:c r="F257" s="24" t="str">
        <x:v>Surfaçada</x:v>
      </x:c>
      <x:c r="G257" s="24" t="str">
        <x:v>Hoyalux Balansis</x:v>
      </x:c>
      <x:c r="H257" s="24" t="str">
        <x:v>POLARIZADO</x:v>
      </x:c>
      <x:c r="I257" s="24" t="str">
        <x:v>EYAS 2.0</x:v>
      </x:c>
      <x:c r="J257" s="24" t="str">
        <x:v>1.60</x:v>
      </x:c>
      <x:c r="K257" s="24" t="str">
        <x:v>Hi-Vision Sun Pro</x:v>
      </x:c>
      <x:c r="L257" s="40" t="n">
        <x:v>6059</x:v>
      </x:c>
      <x:c r="M257" s="24"/>
      <x:c r="N257" s="24"/>
      <x:c r="O257" s="24"/>
      <x:c r="P257" s="24"/>
      <x:c r="Q257" s="24"/>
      <x:c r="R257" s="24"/>
      <x:c r="S257" s="26" t="n">
        <x:v>45992</x:v>
      </x:c>
      <x:c r="T257" s="26"/>
      <x:c r="U257" s="24" t="str">
        <x:v>ATIVA/SEM FIM INFORMADO</x:v>
      </x:c>
      <x:c r="V257" s="24"/>
      <x:c r="W257" s="24" t="n">
        <x:v>26</x:v>
      </x:c>
      <x:c r="X257" s="24" t="str">
        <x:v>tabela_hoya(1).pdf</x:v>
      </x:c>
      <x:c r="Y257" s="24" t="str">
        <x:v>alta</x:v>
      </x:c>
      <x:c r="Z257" s="24"/>
      <x:c r="AA257" s="24" t="str">
        <x:v>HOYA|Progressiva|Surfaçada|Hoyalux Balansis|POLARIZADO|EYAS 2.0|1.60|Hi-Vision Sun Pro|||||||26</x:v>
      </x:c>
    </x:row>
    <x:row r="258">
      <x:c r="A258" s="24" t="str">
        <x:v>HY-3A9502150588</x:v>
      </x:c>
      <x:c r="B258" s="24" t="str">
        <x:v>SIM</x:v>
      </x:c>
      <x:c r="C258" s="24" t="str">
        <x:v>DISPONÍVEL</x:v>
      </x:c>
      <x:c r="D258" s="24" t="str">
        <x:v>HOYA</x:v>
      </x:c>
      <x:c r="E258" s="24" t="str">
        <x:v>Progressiva</x:v>
      </x:c>
      <x:c r="F258" s="24" t="str">
        <x:v>Surfaçada</x:v>
      </x:c>
      <x:c r="G258" s="24" t="str">
        <x:v>Hoyalux Balansis</x:v>
      </x:c>
      <x:c r="H258" s="24" t="str">
        <x:v>POLARIZADO</x:v>
      </x:c>
      <x:c r="I258" s="24" t="str">
        <x:v>ORGANIC</x:v>
      </x:c>
      <x:c r="J258" s="24" t="str">
        <x:v>1.50</x:v>
      </x:c>
      <x:c r="K258" s="24" t="str">
        <x:v>Hi-Vision Sun Pro</x:v>
      </x:c>
      <x:c r="L258" s="40" t="n">
        <x:v>5249</x:v>
      </x:c>
      <x:c r="M258" s="24" t="str">
        <x:v>-8.00 até +6.00</x:v>
      </x:c>
      <x:c r="N258" s="24"/>
      <x:c r="O258" s="24"/>
      <x:c r="P258" s="24"/>
      <x:c r="Q258" s="24"/>
      <x:c r="R258" s="24"/>
      <x:c r="S258" s="26" t="n">
        <x:v>45992</x:v>
      </x:c>
      <x:c r="T258" s="26"/>
      <x:c r="U258" s="24" t="str">
        <x:v>ATIVA/SEM FIM INFORMADO</x:v>
      </x:c>
      <x:c r="V258" s="24"/>
      <x:c r="W258" s="24" t="n">
        <x:v>26</x:v>
      </x:c>
      <x:c r="X258" s="24" t="str">
        <x:v>tabela_hoya(1).pdf</x:v>
      </x:c>
      <x:c r="Y258" s="24" t="str">
        <x:v>alta</x:v>
      </x:c>
      <x:c r="Z258" s="24"/>
      <x:c r="AA258" s="24" t="str">
        <x:v>HOYA|Progressiva|Surfaçada|Hoyalux Balansis|POLARIZADO|ORGANIC|1.50|Hi-Vision Sun Pro|-8.00 até +6.00||||||26</x:v>
      </x:c>
    </x:row>
    <x:row r="259">
      <x:c r="A259" s="24" t="str">
        <x:v>HY-2FDAA7D91CEA</x:v>
      </x:c>
      <x:c r="B259" s="24" t="str">
        <x:v>NÃO</x:v>
      </x:c>
      <x:c r="C259" s="24" t="str">
        <x:v>EM BREVE</x:v>
      </x:c>
      <x:c r="D259" s="24" t="str">
        <x:v>HOYA</x:v>
      </x:c>
      <x:c r="E259" s="24" t="str">
        <x:v>Progressiva</x:v>
      </x:c>
      <x:c r="F259" s="24" t="str">
        <x:v>Surfaçada</x:v>
      </x:c>
      <x:c r="G259" s="24" t="str">
        <x:v>Hoyalux Daynamic</x:v>
      </x:c>
      <x:c r="H259" s="24" t="str">
        <x:v>INCOLOR</x:v>
      </x:c>
      <x:c r="I259" s="24" t="str">
        <x:v>EYNOA</x:v>
      </x:c>
      <x:c r="J259" s="24" t="str">
        <x:v>1.67</x:v>
      </x:c>
      <x:c r="K259" s="24" t="str">
        <x:v>Hi-Vision Meiryo</x:v>
      </x:c>
      <x:c r="L259" s="40" t="n">
        <x:v>5999</x:v>
      </x:c>
      <x:c r="M259" s="24" t="str">
        <x:v>-13.00 até +7.50</x:v>
      </x:c>
      <x:c r="N259" s="24"/>
      <x:c r="O259" s="24"/>
      <x:c r="P259" s="24"/>
      <x:c r="Q259" s="24"/>
      <x:c r="R259" s="24"/>
      <x:c r="S259" s="26" t="n">
        <x:v>45992</x:v>
      </x:c>
      <x:c r="T259" s="26"/>
      <x:c r="U259" s="24" t="str">
        <x:v>ATIVA/SEM FIM INFORMADO</x:v>
      </x:c>
      <x:c r="V259" s="24"/>
      <x:c r="W259" s="24" t="n">
        <x:v>27</x:v>
      </x:c>
      <x:c r="X259" s="24" t="str">
        <x:v>tabela_hoya(1).pdf</x:v>
      </x:c>
      <x:c r="Y259" s="24" t="str">
        <x:v>alta</x:v>
      </x:c>
      <x:c r="Z259" s="24" t="str">
        <x:v>Tratamento/produto marcado como “EM BREVE” na própria tabela HOYA; preço preservado, mas bloqueado no export web.</x:v>
      </x:c>
      <x:c r="AA259" s="24" t="str">
        <x:v>HOYA|Progressiva|Surfaçada|Hoyalux Daynamic|INCOLOR|EYNOA|1.67|Hi-Vision Meiryo|-13.00 até +7.50||||||27</x:v>
      </x:c>
    </x:row>
    <x:row r="260">
      <x:c r="A260" s="24" t="str">
        <x:v>HY-4A0036B496E0</x:v>
      </x:c>
      <x:c r="B260" s="24" t="str">
        <x:v>NÃO</x:v>
      </x:c>
      <x:c r="C260" s="24" t="str">
        <x:v>EM BREVE</x:v>
      </x:c>
      <x:c r="D260" s="24" t="str">
        <x:v>HOYA</x:v>
      </x:c>
      <x:c r="E260" s="24" t="str">
        <x:v>Progressiva</x:v>
      </x:c>
      <x:c r="F260" s="24" t="str">
        <x:v>Surfaçada</x:v>
      </x:c>
      <x:c r="G260" s="24" t="str">
        <x:v>Hoyalux Daynamic</x:v>
      </x:c>
      <x:c r="H260" s="24" t="str">
        <x:v>INCOLOR</x:v>
      </x:c>
      <x:c r="I260" s="24" t="str">
        <x:v>EYAS 2.0</x:v>
      </x:c>
      <x:c r="J260" s="24" t="str">
        <x:v>1.60</x:v>
      </x:c>
      <x:c r="K260" s="24" t="str">
        <x:v>Hi-Vision Meiryo</x:v>
      </x:c>
      <x:c r="L260" s="40" t="n">
        <x:v>4199</x:v>
      </x:c>
      <x:c r="M260" s="24"/>
      <x:c r="N260" s="24"/>
      <x:c r="O260" s="24"/>
      <x:c r="P260" s="24"/>
      <x:c r="Q260" s="24"/>
      <x:c r="R260" s="24"/>
      <x:c r="S260" s="26" t="n">
        <x:v>45992</x:v>
      </x:c>
      <x:c r="T260" s="26"/>
      <x:c r="U260" s="24" t="str">
        <x:v>ATIVA/SEM FIM INFORMADO</x:v>
      </x:c>
      <x:c r="V260" s="24"/>
      <x:c r="W260" s="24" t="n">
        <x:v>27</x:v>
      </x:c>
      <x:c r="X260" s="24" t="str">
        <x:v>tabela_hoya(1).pdf</x:v>
      </x:c>
      <x:c r="Y260" s="24" t="str">
        <x:v>alta</x:v>
      </x:c>
      <x:c r="Z260" s="24" t="str">
        <x:v>Tratamento/produto marcado como “EM BREVE” na própria tabela HOYA; preço preservado, mas bloqueado no export web.</x:v>
      </x:c>
      <x:c r="AA260" s="24" t="str">
        <x:v>HOYA|Progressiva|Surfaçada|Hoyalux Daynamic|INCOLOR|EYAS 2.0|1.60|Hi-Vision Meiryo|||||||27</x:v>
      </x:c>
    </x:row>
    <x:row r="261">
      <x:c r="A261" s="24" t="str">
        <x:v>HY-FDB3039579E5</x:v>
      </x:c>
      <x:c r="B261" s="24" t="str">
        <x:v>NÃO</x:v>
      </x:c>
      <x:c r="C261" s="24" t="str">
        <x:v>EM BREVE</x:v>
      </x:c>
      <x:c r="D261" s="24" t="str">
        <x:v>HOYA</x:v>
      </x:c>
      <x:c r="E261" s="24" t="str">
        <x:v>Progressiva</x:v>
      </x:c>
      <x:c r="F261" s="24" t="str">
        <x:v>Surfaçada</x:v>
      </x:c>
      <x:c r="G261" s="24" t="str">
        <x:v>Hoyalux Daynamic</x:v>
      </x:c>
      <x:c r="H261" s="24" t="str">
        <x:v>INCOLOR</x:v>
      </x:c>
      <x:c r="I261" s="24" t="str">
        <x:v>PNX</x:v>
      </x:c>
      <x:c r="J261" s="24" t="str">
        <x:v>1.53</x:v>
      </x:c>
      <x:c r="K261" s="24" t="str">
        <x:v>Hi-Vision Meiryo</x:v>
      </x:c>
      <x:c r="L261" s="40" t="n">
        <x:v>3739</x:v>
      </x:c>
      <x:c r="M261" s="24" t="str">
        <x:v>-8.00 até +6.00</x:v>
      </x:c>
      <x:c r="N261" s="24"/>
      <x:c r="O261" s="24"/>
      <x:c r="P261" s="24"/>
      <x:c r="Q261" s="24"/>
      <x:c r="R261" s="24"/>
      <x:c r="S261" s="26" t="n">
        <x:v>45992</x:v>
      </x:c>
      <x:c r="T261" s="26"/>
      <x:c r="U261" s="24" t="str">
        <x:v>ATIVA/SEM FIM INFORMADO</x:v>
      </x:c>
      <x:c r="V261" s="24"/>
      <x:c r="W261" s="24" t="n">
        <x:v>27</x:v>
      </x:c>
      <x:c r="X261" s="24" t="str">
        <x:v>tabela_hoya(1).pdf</x:v>
      </x:c>
      <x:c r="Y261" s="24" t="str">
        <x:v>alta</x:v>
      </x:c>
      <x:c r="Z261" s="24" t="str">
        <x:v>Tratamento/produto marcado como “EM BREVE” na própria tabela HOYA; preço preservado, mas bloqueado no export web.</x:v>
      </x:c>
      <x:c r="AA261" s="24" t="str">
        <x:v>HOYA|Progressiva|Surfaçada|Hoyalux Daynamic|INCOLOR|PNX|1.53|Hi-Vision Meiryo|-8.00 até +6.00||||||27</x:v>
      </x:c>
    </x:row>
    <x:row r="262">
      <x:c r="A262" s="24" t="str">
        <x:v>HY-51BEEB1458C9</x:v>
      </x:c>
      <x:c r="B262" s="24" t="str">
        <x:v>NÃO</x:v>
      </x:c>
      <x:c r="C262" s="24" t="str">
        <x:v>EM BREVE</x:v>
      </x:c>
      <x:c r="D262" s="24" t="str">
        <x:v>HOYA</x:v>
      </x:c>
      <x:c r="E262" s="24" t="str">
        <x:v>Progressiva</x:v>
      </x:c>
      <x:c r="F262" s="24" t="str">
        <x:v>Surfaçada</x:v>
      </x:c>
      <x:c r="G262" s="24" t="str">
        <x:v>Hoyalux Daynamic</x:v>
      </x:c>
      <x:c r="H262" s="24" t="str">
        <x:v>INCOLOR</x:v>
      </x:c>
      <x:c r="I262" s="24" t="str">
        <x:v>ORGANIC</x:v>
      </x:c>
      <x:c r="J262" s="24" t="str">
        <x:v>1.50</x:v>
      </x:c>
      <x:c r="K262" s="24" t="str">
        <x:v>Hi-Vision Meiryo</x:v>
      </x:c>
      <x:c r="L262" s="40" t="n">
        <x:v>3389</x:v>
      </x:c>
      <x:c r="M262" s="24" t="str">
        <x:v>-8.00 até +6.00</x:v>
      </x:c>
      <x:c r="N262" s="24"/>
      <x:c r="O262" s="24"/>
      <x:c r="P262" s="24"/>
      <x:c r="Q262" s="24"/>
      <x:c r="R262" s="24"/>
      <x:c r="S262" s="26" t="n">
        <x:v>45992</x:v>
      </x:c>
      <x:c r="T262" s="26"/>
      <x:c r="U262" s="24" t="str">
        <x:v>ATIVA/SEM FIM INFORMADO</x:v>
      </x:c>
      <x:c r="V262" s="24"/>
      <x:c r="W262" s="24" t="n">
        <x:v>27</x:v>
      </x:c>
      <x:c r="X262" s="24" t="str">
        <x:v>tabela_hoya(1).pdf</x:v>
      </x:c>
      <x:c r="Y262" s="24" t="str">
        <x:v>alta</x:v>
      </x:c>
      <x:c r="Z262" s="24" t="str">
        <x:v>Tratamento/produto marcado como “EM BREVE” na própria tabela HOYA; preço preservado, mas bloqueado no export web.</x:v>
      </x:c>
      <x:c r="AA262" s="24" t="str">
        <x:v>HOYA|Progressiva|Surfaçada|Hoyalux Daynamic|INCOLOR|ORGANIC|1.50|Hi-Vision Meiryo|-8.00 até +6.00||||||27</x:v>
      </x:c>
    </x:row>
    <x:row r="263">
      <x:c r="A263" s="24" t="str">
        <x:v>HY-6269497ADED7</x:v>
      </x:c>
      <x:c r="B263" s="24" t="str">
        <x:v>SIM</x:v>
      </x:c>
      <x:c r="C263" s="24" t="str">
        <x:v>DISPONÍVEL</x:v>
      </x:c>
      <x:c r="D263" s="24" t="str">
        <x:v>HOYA</x:v>
      </x:c>
      <x:c r="E263" s="24" t="str">
        <x:v>Progressiva</x:v>
      </x:c>
      <x:c r="F263" s="24" t="str">
        <x:v>Surfaçada</x:v>
      </x:c>
      <x:c r="G263" s="24" t="str">
        <x:v>Hoyalux Daynamic</x:v>
      </x:c>
      <x:c r="H263" s="24" t="str">
        <x:v>INCOLOR</x:v>
      </x:c>
      <x:c r="I263" s="24" t="str">
        <x:v>EYNOA</x:v>
      </x:c>
      <x:c r="J263" s="24" t="str">
        <x:v>1.67</x:v>
      </x:c>
      <x:c r="K263" s="24" t="str">
        <x:v>Hi-Vision LongLife BlueControl</x:v>
      </x:c>
      <x:c r="L263" s="40" t="n">
        <x:v>5799</x:v>
      </x:c>
      <x:c r="M263" s="24" t="str">
        <x:v>-13.00 até +7.50</x:v>
      </x:c>
      <x:c r="N263" s="24"/>
      <x:c r="O263" s="24"/>
      <x:c r="P263" s="24"/>
      <x:c r="Q263" s="24"/>
      <x:c r="R263" s="24"/>
      <x:c r="S263" s="26" t="n">
        <x:v>45992</x:v>
      </x:c>
      <x:c r="T263" s="26"/>
      <x:c r="U263" s="24" t="str">
        <x:v>ATIVA/SEM FIM INFORMADO</x:v>
      </x:c>
      <x:c r="V263" s="24"/>
      <x:c r="W263" s="24" t="n">
        <x:v>27</x:v>
      </x:c>
      <x:c r="X263" s="24" t="str">
        <x:v>tabela_hoya(1).pdf</x:v>
      </x:c>
      <x:c r="Y263" s="24" t="str">
        <x:v>alta</x:v>
      </x:c>
      <x:c r="Z263" s="24"/>
      <x:c r="AA263" s="24" t="str">
        <x:v>HOYA|Progressiva|Surfaçada|Hoyalux Daynamic|INCOLOR|EYNOA|1.67|Hi-Vision LongLife BlueControl|-13.00 até +7.50||||||27</x:v>
      </x:c>
    </x:row>
    <x:row r="264">
      <x:c r="A264" s="24" t="str">
        <x:v>HY-A6CC20971EF3</x:v>
      </x:c>
      <x:c r="B264" s="24" t="str">
        <x:v>SIM</x:v>
      </x:c>
      <x:c r="C264" s="24" t="str">
        <x:v>DISPONÍVEL</x:v>
      </x:c>
      <x:c r="D264" s="24" t="str">
        <x:v>HOYA</x:v>
      </x:c>
      <x:c r="E264" s="24" t="str">
        <x:v>Progressiva</x:v>
      </x:c>
      <x:c r="F264" s="24" t="str">
        <x:v>Surfaçada</x:v>
      </x:c>
      <x:c r="G264" s="24" t="str">
        <x:v>Hoyalux Daynamic</x:v>
      </x:c>
      <x:c r="H264" s="24" t="str">
        <x:v>INCOLOR</x:v>
      </x:c>
      <x:c r="I264" s="24" t="str">
        <x:v>EYAS 2.0</x:v>
      </x:c>
      <x:c r="J264" s="24" t="str">
        <x:v>1.60</x:v>
      </x:c>
      <x:c r="K264" s="24" t="str">
        <x:v>Hi-Vision LongLife BlueControl</x:v>
      </x:c>
      <x:c r="L264" s="40" t="n">
        <x:v>3999</x:v>
      </x:c>
      <x:c r="M264" s="24"/>
      <x:c r="N264" s="24"/>
      <x:c r="O264" s="24"/>
      <x:c r="P264" s="24"/>
      <x:c r="Q264" s="24"/>
      <x:c r="R264" s="24"/>
      <x:c r="S264" s="26" t="n">
        <x:v>45992</x:v>
      </x:c>
      <x:c r="T264" s="26"/>
      <x:c r="U264" s="24" t="str">
        <x:v>ATIVA/SEM FIM INFORMADO</x:v>
      </x:c>
      <x:c r="V264" s="24"/>
      <x:c r="W264" s="24" t="n">
        <x:v>27</x:v>
      </x:c>
      <x:c r="X264" s="24" t="str">
        <x:v>tabela_hoya(1).pdf</x:v>
      </x:c>
      <x:c r="Y264" s="24" t="str">
        <x:v>alta</x:v>
      </x:c>
      <x:c r="Z264" s="24"/>
      <x:c r="AA264" s="24" t="str">
        <x:v>HOYA|Progressiva|Surfaçada|Hoyalux Daynamic|INCOLOR|EYAS 2.0|1.60|Hi-Vision LongLife BlueControl|||||||27</x:v>
      </x:c>
    </x:row>
    <x:row r="265">
      <x:c r="A265" s="24" t="str">
        <x:v>HY-80DC7B126F79</x:v>
      </x:c>
      <x:c r="B265" s="24" t="str">
        <x:v>SIM</x:v>
      </x:c>
      <x:c r="C265" s="24" t="str">
        <x:v>DISPONÍVEL</x:v>
      </x:c>
      <x:c r="D265" s="24" t="str">
        <x:v>HOYA</x:v>
      </x:c>
      <x:c r="E265" s="24" t="str">
        <x:v>Progressiva</x:v>
      </x:c>
      <x:c r="F265" s="24" t="str">
        <x:v>Surfaçada</x:v>
      </x:c>
      <x:c r="G265" s="24" t="str">
        <x:v>Hoyalux Daynamic</x:v>
      </x:c>
      <x:c r="H265" s="24" t="str">
        <x:v>INCOLOR</x:v>
      </x:c>
      <x:c r="I265" s="24" t="str">
        <x:v>PNX</x:v>
      </x:c>
      <x:c r="J265" s="24" t="str">
        <x:v>1.53</x:v>
      </x:c>
      <x:c r="K265" s="24" t="str">
        <x:v>Hi-Vision LongLife BlueControl</x:v>
      </x:c>
      <x:c r="L265" s="40" t="n">
        <x:v>3539</x:v>
      </x:c>
      <x:c r="M265" s="24" t="str">
        <x:v>-8.00 até +6.00</x:v>
      </x:c>
      <x:c r="N265" s="24"/>
      <x:c r="O265" s="24"/>
      <x:c r="P265" s="24"/>
      <x:c r="Q265" s="24"/>
      <x:c r="R265" s="24"/>
      <x:c r="S265" s="26" t="n">
        <x:v>45992</x:v>
      </x:c>
      <x:c r="T265" s="26"/>
      <x:c r="U265" s="24" t="str">
        <x:v>ATIVA/SEM FIM INFORMADO</x:v>
      </x:c>
      <x:c r="V265" s="24"/>
      <x:c r="W265" s="24" t="n">
        <x:v>27</x:v>
      </x:c>
      <x:c r="X265" s="24" t="str">
        <x:v>tabela_hoya(1).pdf</x:v>
      </x:c>
      <x:c r="Y265" s="24" t="str">
        <x:v>alta</x:v>
      </x:c>
      <x:c r="Z265" s="24"/>
      <x:c r="AA265" s="24" t="str">
        <x:v>HOYA|Progressiva|Surfaçada|Hoyalux Daynamic|INCOLOR|PNX|1.53|Hi-Vision LongLife BlueControl|-8.00 até +6.00||||||27</x:v>
      </x:c>
    </x:row>
    <x:row r="266">
      <x:c r="A266" s="24" t="str">
        <x:v>HY-AC0829A274EC</x:v>
      </x:c>
      <x:c r="B266" s="24" t="str">
        <x:v>SIM</x:v>
      </x:c>
      <x:c r="C266" s="24" t="str">
        <x:v>DISPONÍVEL</x:v>
      </x:c>
      <x:c r="D266" s="24" t="str">
        <x:v>HOYA</x:v>
      </x:c>
      <x:c r="E266" s="24" t="str">
        <x:v>Progressiva</x:v>
      </x:c>
      <x:c r="F266" s="24" t="str">
        <x:v>Surfaçada</x:v>
      </x:c>
      <x:c r="G266" s="24" t="str">
        <x:v>Hoyalux Daynamic</x:v>
      </x:c>
      <x:c r="H266" s="24" t="str">
        <x:v>INCOLOR</x:v>
      </x:c>
      <x:c r="I266" s="24" t="str">
        <x:v>ORGANIC</x:v>
      </x:c>
      <x:c r="J266" s="24" t="str">
        <x:v>1.50</x:v>
      </x:c>
      <x:c r="K266" s="24" t="str">
        <x:v>Hi-Vision LongLife BlueControl</x:v>
      </x:c>
      <x:c r="L266" s="40" t="n">
        <x:v>3189</x:v>
      </x:c>
      <x:c r="M266" s="24" t="str">
        <x:v>-8.00 até +6.00</x:v>
      </x:c>
      <x:c r="N266" s="24"/>
      <x:c r="O266" s="24"/>
      <x:c r="P266" s="24"/>
      <x:c r="Q266" s="24"/>
      <x:c r="R266" s="24"/>
      <x:c r="S266" s="26" t="n">
        <x:v>45992</x:v>
      </x:c>
      <x:c r="T266" s="26"/>
      <x:c r="U266" s="24" t="str">
        <x:v>ATIVA/SEM FIM INFORMADO</x:v>
      </x:c>
      <x:c r="V266" s="24"/>
      <x:c r="W266" s="24" t="n">
        <x:v>27</x:v>
      </x:c>
      <x:c r="X266" s="24" t="str">
        <x:v>tabela_hoya(1).pdf</x:v>
      </x:c>
      <x:c r="Y266" s="24" t="str">
        <x:v>alta</x:v>
      </x:c>
      <x:c r="Z266" s="24"/>
      <x:c r="AA266" s="24" t="str">
        <x:v>HOYA|Progressiva|Surfaçada|Hoyalux Daynamic|INCOLOR|ORGANIC|1.50|Hi-Vision LongLife BlueControl|-8.00 até +6.00||||||27</x:v>
      </x:c>
    </x:row>
    <x:row r="267">
      <x:c r="A267" s="24" t="str">
        <x:v>HY-B02A5B81AB69</x:v>
      </x:c>
      <x:c r="B267" s="24" t="str">
        <x:v>SIM</x:v>
      </x:c>
      <x:c r="C267" s="24" t="str">
        <x:v>DISPONÍVEL</x:v>
      </x:c>
      <x:c r="D267" s="24" t="str">
        <x:v>HOYA</x:v>
      </x:c>
      <x:c r="E267" s="24" t="str">
        <x:v>Progressiva</x:v>
      </x:c>
      <x:c r="F267" s="24" t="str">
        <x:v>Surfaçada</x:v>
      </x:c>
      <x:c r="G267" s="24" t="str">
        <x:v>Hoyalux Daynamic</x:v>
      </x:c>
      <x:c r="H267" s="24" t="str">
        <x:v>INCOLOR</x:v>
      </x:c>
      <x:c r="I267" s="24" t="str">
        <x:v>EYNOA</x:v>
      </x:c>
      <x:c r="J267" s="24" t="str">
        <x:v>1.67</x:v>
      </x:c>
      <x:c r="K267" s="24" t="str">
        <x:v>No-Risk BlueControl</x:v>
      </x:c>
      <x:c r="L267" s="40" t="n">
        <x:v>5549</x:v>
      </x:c>
      <x:c r="M267" s="24" t="str">
        <x:v>-13.00 até +7.50</x:v>
      </x:c>
      <x:c r="N267" s="24"/>
      <x:c r="O267" s="24"/>
      <x:c r="P267" s="24"/>
      <x:c r="Q267" s="24"/>
      <x:c r="R267" s="24"/>
      <x:c r="S267" s="26" t="n">
        <x:v>45992</x:v>
      </x:c>
      <x:c r="T267" s="26"/>
      <x:c r="U267" s="24" t="str">
        <x:v>ATIVA/SEM FIM INFORMADO</x:v>
      </x:c>
      <x:c r="V267" s="24"/>
      <x:c r="W267" s="24" t="n">
        <x:v>27</x:v>
      </x:c>
      <x:c r="X267" s="24" t="str">
        <x:v>tabela_hoya(1).pdf</x:v>
      </x:c>
      <x:c r="Y267" s="24" t="str">
        <x:v>alta</x:v>
      </x:c>
      <x:c r="Z267" s="24"/>
      <x:c r="AA267" s="24" t="str">
        <x:v>HOYA|Progressiva|Surfaçada|Hoyalux Daynamic|INCOLOR|EYNOA|1.67|No-Risk BlueControl|-13.00 até +7.50||||||27</x:v>
      </x:c>
    </x:row>
    <x:row r="268">
      <x:c r="A268" s="24" t="str">
        <x:v>HY-4572B93E17B4</x:v>
      </x:c>
      <x:c r="B268" s="24" t="str">
        <x:v>SIM</x:v>
      </x:c>
      <x:c r="C268" s="24" t="str">
        <x:v>DISPONÍVEL</x:v>
      </x:c>
      <x:c r="D268" s="24" t="str">
        <x:v>HOYA</x:v>
      </x:c>
      <x:c r="E268" s="24" t="str">
        <x:v>Progressiva</x:v>
      </x:c>
      <x:c r="F268" s="24" t="str">
        <x:v>Surfaçada</x:v>
      </x:c>
      <x:c r="G268" s="24" t="str">
        <x:v>Hoyalux Daynamic</x:v>
      </x:c>
      <x:c r="H268" s="24" t="str">
        <x:v>INCOLOR</x:v>
      </x:c>
      <x:c r="I268" s="24" t="str">
        <x:v>EYAS 2.0</x:v>
      </x:c>
      <x:c r="J268" s="24" t="str">
        <x:v>1.60</x:v>
      </x:c>
      <x:c r="K268" s="24" t="str">
        <x:v>No-Risk BlueControl</x:v>
      </x:c>
      <x:c r="L268" s="40" t="n">
        <x:v>3749</x:v>
      </x:c>
      <x:c r="M268" s="24"/>
      <x:c r="N268" s="24"/>
      <x:c r="O268" s="24"/>
      <x:c r="P268" s="24"/>
      <x:c r="Q268" s="24"/>
      <x:c r="R268" s="24"/>
      <x:c r="S268" s="26" t="n">
        <x:v>45992</x:v>
      </x:c>
      <x:c r="T268" s="26"/>
      <x:c r="U268" s="24" t="str">
        <x:v>ATIVA/SEM FIM INFORMADO</x:v>
      </x:c>
      <x:c r="V268" s="24"/>
      <x:c r="W268" s="24" t="n">
        <x:v>27</x:v>
      </x:c>
      <x:c r="X268" s="24" t="str">
        <x:v>tabela_hoya(1).pdf</x:v>
      </x:c>
      <x:c r="Y268" s="24" t="str">
        <x:v>alta</x:v>
      </x:c>
      <x:c r="Z268" s="24"/>
      <x:c r="AA268" s="24" t="str">
        <x:v>HOYA|Progressiva|Surfaçada|Hoyalux Daynamic|INCOLOR|EYAS 2.0|1.60|No-Risk BlueControl|||||||27</x:v>
      </x:c>
    </x:row>
    <x:row r="269">
      <x:c r="A269" s="24" t="str">
        <x:v>HY-1FC132DF6FB4</x:v>
      </x:c>
      <x:c r="B269" s="24" t="str">
        <x:v>SIM</x:v>
      </x:c>
      <x:c r="C269" s="24" t="str">
        <x:v>DISPONÍVEL</x:v>
      </x:c>
      <x:c r="D269" s="24" t="str">
        <x:v>HOYA</x:v>
      </x:c>
      <x:c r="E269" s="24" t="str">
        <x:v>Progressiva</x:v>
      </x:c>
      <x:c r="F269" s="24" t="str">
        <x:v>Surfaçada</x:v>
      </x:c>
      <x:c r="G269" s="24" t="str">
        <x:v>Hoyalux Daynamic</x:v>
      </x:c>
      <x:c r="H269" s="24" t="str">
        <x:v>INCOLOR</x:v>
      </x:c>
      <x:c r="I269" s="24" t="str">
        <x:v>POLI</x:v>
      </x:c>
      <x:c r="J269" s="24" t="str">
        <x:v>1.59</x:v>
      </x:c>
      <x:c r="K269" s="24" t="str">
        <x:v>No-Risk BlueControl</x:v>
      </x:c>
      <x:c r="L269" s="40" t="n">
        <x:v>3289</x:v>
      </x:c>
      <x:c r="M269" s="24" t="str">
        <x:v>-10.00 até +6.00</x:v>
      </x:c>
      <x:c r="N269" s="24"/>
      <x:c r="O269" s="24"/>
      <x:c r="P269" s="24"/>
      <x:c r="Q269" s="24"/>
      <x:c r="R269" s="24"/>
      <x:c r="S269" s="26" t="n">
        <x:v>45992</x:v>
      </x:c>
      <x:c r="T269" s="26"/>
      <x:c r="U269" s="24" t="str">
        <x:v>ATIVA/SEM FIM INFORMADO</x:v>
      </x:c>
      <x:c r="V269" s="24"/>
      <x:c r="W269" s="24" t="n">
        <x:v>27</x:v>
      </x:c>
      <x:c r="X269" s="24" t="str">
        <x:v>tabela_hoya(1).pdf</x:v>
      </x:c>
      <x:c r="Y269" s="24" t="str">
        <x:v>alta</x:v>
      </x:c>
      <x:c r="Z269" s="24"/>
      <x:c r="AA269" s="24" t="str">
        <x:v>HOYA|Progressiva|Surfaçada|Hoyalux Daynamic|INCOLOR|POLI|1.59|No-Risk BlueControl|-10.00 até +6.00||||||27</x:v>
      </x:c>
    </x:row>
    <x:row r="270">
      <x:c r="A270" s="24" t="str">
        <x:v>HY-4CC71092C6F3</x:v>
      </x:c>
      <x:c r="B270" s="24" t="str">
        <x:v>SIM</x:v>
      </x:c>
      <x:c r="C270" s="24" t="str">
        <x:v>DISPONÍVEL</x:v>
      </x:c>
      <x:c r="D270" s="24" t="str">
        <x:v>HOYA</x:v>
      </x:c>
      <x:c r="E270" s="24" t="str">
        <x:v>Progressiva</x:v>
      </x:c>
      <x:c r="F270" s="24" t="str">
        <x:v>Surfaçada</x:v>
      </x:c>
      <x:c r="G270" s="24" t="str">
        <x:v>Hoyalux Daynamic</x:v>
      </x:c>
      <x:c r="H270" s="24" t="str">
        <x:v>INCOLOR</x:v>
      </x:c>
      <x:c r="I270" s="24" t="str">
        <x:v>PNX</x:v>
      </x:c>
      <x:c r="J270" s="24" t="str">
        <x:v>1.53</x:v>
      </x:c>
      <x:c r="K270" s="24" t="str">
        <x:v>No-Risk BlueControl</x:v>
      </x:c>
      <x:c r="L270" s="40" t="n">
        <x:v>3289</x:v>
      </x:c>
      <x:c r="M270" s="24" t="str">
        <x:v>-8.00 até +6.00</x:v>
      </x:c>
      <x:c r="N270" s="24"/>
      <x:c r="O270" s="24"/>
      <x:c r="P270" s="24"/>
      <x:c r="Q270" s="24"/>
      <x:c r="R270" s="24"/>
      <x:c r="S270" s="26" t="n">
        <x:v>45992</x:v>
      </x:c>
      <x:c r="T270" s="26"/>
      <x:c r="U270" s="24" t="str">
        <x:v>ATIVA/SEM FIM INFORMADO</x:v>
      </x:c>
      <x:c r="V270" s="24"/>
      <x:c r="W270" s="24" t="n">
        <x:v>27</x:v>
      </x:c>
      <x:c r="X270" s="24" t="str">
        <x:v>tabela_hoya(1).pdf</x:v>
      </x:c>
      <x:c r="Y270" s="24" t="str">
        <x:v>alta</x:v>
      </x:c>
      <x:c r="Z270" s="24"/>
      <x:c r="AA270" s="24" t="str">
        <x:v>HOYA|Progressiva|Surfaçada|Hoyalux Daynamic|INCOLOR|PNX|1.53|No-Risk BlueControl|-8.00 até +6.00||||||27</x:v>
      </x:c>
    </x:row>
    <x:row r="271">
      <x:c r="A271" s="24" t="str">
        <x:v>HY-232BE506A220</x:v>
      </x:c>
      <x:c r="B271" s="24" t="str">
        <x:v>SIM</x:v>
      </x:c>
      <x:c r="C271" s="24" t="str">
        <x:v>DISPONÍVEL</x:v>
      </x:c>
      <x:c r="D271" s="24" t="str">
        <x:v>HOYA</x:v>
      </x:c>
      <x:c r="E271" s="24" t="str">
        <x:v>Progressiva</x:v>
      </x:c>
      <x:c r="F271" s="24" t="str">
        <x:v>Surfaçada</x:v>
      </x:c>
      <x:c r="G271" s="24" t="str">
        <x:v>Hoyalux Daynamic</x:v>
      </x:c>
      <x:c r="H271" s="24" t="str">
        <x:v>INCOLOR</x:v>
      </x:c>
      <x:c r="I271" s="24" t="str">
        <x:v>ORGANIC</x:v>
      </x:c>
      <x:c r="J271" s="24" t="str">
        <x:v>1.50</x:v>
      </x:c>
      <x:c r="K271" s="24" t="str">
        <x:v>No-Risk BlueControl</x:v>
      </x:c>
      <x:c r="L271" s="40" t="n">
        <x:v>2939</x:v>
      </x:c>
      <x:c r="M271" s="24" t="str">
        <x:v>-8.00 até +6.00</x:v>
      </x:c>
      <x:c r="N271" s="24"/>
      <x:c r="O271" s="24"/>
      <x:c r="P271" s="24"/>
      <x:c r="Q271" s="24"/>
      <x:c r="R271" s="24"/>
      <x:c r="S271" s="26" t="n">
        <x:v>45992</x:v>
      </x:c>
      <x:c r="T271" s="26"/>
      <x:c r="U271" s="24" t="str">
        <x:v>ATIVA/SEM FIM INFORMADO</x:v>
      </x:c>
      <x:c r="V271" s="24"/>
      <x:c r="W271" s="24" t="n">
        <x:v>27</x:v>
      </x:c>
      <x:c r="X271" s="24" t="str">
        <x:v>tabela_hoya(1).pdf</x:v>
      </x:c>
      <x:c r="Y271" s="24" t="str">
        <x:v>alta</x:v>
      </x:c>
      <x:c r="Z271" s="24"/>
      <x:c r="AA271" s="24" t="str">
        <x:v>HOYA|Progressiva|Surfaçada|Hoyalux Daynamic|INCOLOR|ORGANIC|1.50|No-Risk BlueControl|-8.00 até +6.00||||||27</x:v>
      </x:c>
    </x:row>
    <x:row r="272">
      <x:c r="A272" s="24" t="str">
        <x:v>HY-0E4110078004</x:v>
      </x:c>
      <x:c r="B272" s="24" t="str">
        <x:v>SIM</x:v>
      </x:c>
      <x:c r="C272" s="24" t="str">
        <x:v>DISPONÍVEL</x:v>
      </x:c>
      <x:c r="D272" s="24" t="str">
        <x:v>HOYA</x:v>
      </x:c>
      <x:c r="E272" s="24" t="str">
        <x:v>Progressiva</x:v>
      </x:c>
      <x:c r="F272" s="24" t="str">
        <x:v>Surfaçada</x:v>
      </x:c>
      <x:c r="G272" s="24" t="str">
        <x:v>Hoyalux Daynamic</x:v>
      </x:c>
      <x:c r="H272" s="24" t="str">
        <x:v>INCOLOR</x:v>
      </x:c>
      <x:c r="I272" s="24" t="str">
        <x:v>EYNOA</x:v>
      </x:c>
      <x:c r="J272" s="24" t="str">
        <x:v>1.67</x:v>
      </x:c>
      <x:c r="K272" s="24" t="str">
        <x:v>Hi-Vision Hard</x:v>
      </x:c>
      <x:c r="L272" s="40" t="n">
        <x:v>4799</x:v>
      </x:c>
      <x:c r="M272" s="24" t="str">
        <x:v>-13.00 até +7.50</x:v>
      </x:c>
      <x:c r="N272" s="24"/>
      <x:c r="O272" s="24"/>
      <x:c r="P272" s="24"/>
      <x:c r="Q272" s="24"/>
      <x:c r="R272" s="24"/>
      <x:c r="S272" s="26" t="n">
        <x:v>45992</x:v>
      </x:c>
      <x:c r="T272" s="26"/>
      <x:c r="U272" s="24" t="str">
        <x:v>ATIVA/SEM FIM INFORMADO</x:v>
      </x:c>
      <x:c r="V272" s="24"/>
      <x:c r="W272" s="24" t="n">
        <x:v>27</x:v>
      </x:c>
      <x:c r="X272" s="24" t="str">
        <x:v>tabela_hoya(1).pdf</x:v>
      </x:c>
      <x:c r="Y272" s="24" t="str">
        <x:v>alta</x:v>
      </x:c>
      <x:c r="Z272" s="24"/>
      <x:c r="AA272" s="24" t="str">
        <x:v>HOYA|Progressiva|Surfaçada|Hoyalux Daynamic|INCOLOR|EYNOA|1.67|Hi-Vision Hard|-13.00 até +7.50||||||27</x:v>
      </x:c>
    </x:row>
    <x:row r="273">
      <x:c r="A273" s="24" t="str">
        <x:v>HY-7389F94BFB11</x:v>
      </x:c>
      <x:c r="B273" s="24" t="str">
        <x:v>SIM</x:v>
      </x:c>
      <x:c r="C273" s="24" t="str">
        <x:v>DISPONÍVEL</x:v>
      </x:c>
      <x:c r="D273" s="24" t="str">
        <x:v>HOYA</x:v>
      </x:c>
      <x:c r="E273" s="24" t="str">
        <x:v>Progressiva</x:v>
      </x:c>
      <x:c r="F273" s="24" t="str">
        <x:v>Surfaçada</x:v>
      </x:c>
      <x:c r="G273" s="24" t="str">
        <x:v>Hoyalux Daynamic</x:v>
      </x:c>
      <x:c r="H273" s="24" t="str">
        <x:v>INCOLOR</x:v>
      </x:c>
      <x:c r="I273" s="24" t="str">
        <x:v>EYAS 2.0</x:v>
      </x:c>
      <x:c r="J273" s="24" t="str">
        <x:v>1.60</x:v>
      </x:c>
      <x:c r="K273" s="24" t="str">
        <x:v>Hi-Vision Hard</x:v>
      </x:c>
      <x:c r="L273" s="40" t="n">
        <x:v>2999</x:v>
      </x:c>
      <x:c r="M273" s="24"/>
      <x:c r="N273" s="24"/>
      <x:c r="O273" s="24"/>
      <x:c r="P273" s="24"/>
      <x:c r="Q273" s="24"/>
      <x:c r="R273" s="24"/>
      <x:c r="S273" s="26" t="n">
        <x:v>45992</x:v>
      </x:c>
      <x:c r="T273" s="26"/>
      <x:c r="U273" s="24" t="str">
        <x:v>ATIVA/SEM FIM INFORMADO</x:v>
      </x:c>
      <x:c r="V273" s="24"/>
      <x:c r="W273" s="24" t="n">
        <x:v>27</x:v>
      </x:c>
      <x:c r="X273" s="24" t="str">
        <x:v>tabela_hoya(1).pdf</x:v>
      </x:c>
      <x:c r="Y273" s="24" t="str">
        <x:v>alta</x:v>
      </x:c>
      <x:c r="Z273" s="24"/>
      <x:c r="AA273" s="24" t="str">
        <x:v>HOYA|Progressiva|Surfaçada|Hoyalux Daynamic|INCOLOR|EYAS 2.0|1.60|Hi-Vision Hard|||||||27</x:v>
      </x:c>
    </x:row>
    <x:row r="274">
      <x:c r="A274" s="24" t="str">
        <x:v>HY-32AECBEBA38A</x:v>
      </x:c>
      <x:c r="B274" s="24" t="str">
        <x:v>SIM</x:v>
      </x:c>
      <x:c r="C274" s="24" t="str">
        <x:v>DISPONÍVEL</x:v>
      </x:c>
      <x:c r="D274" s="24" t="str">
        <x:v>HOYA</x:v>
      </x:c>
      <x:c r="E274" s="24" t="str">
        <x:v>Progressiva</x:v>
      </x:c>
      <x:c r="F274" s="24" t="str">
        <x:v>Surfaçada</x:v>
      </x:c>
      <x:c r="G274" s="24" t="str">
        <x:v>Hoyalux Daynamic</x:v>
      </x:c>
      <x:c r="H274" s="24" t="str">
        <x:v>INCOLOR</x:v>
      </x:c>
      <x:c r="I274" s="24" t="str">
        <x:v>POLI</x:v>
      </x:c>
      <x:c r="J274" s="24" t="str">
        <x:v>1.59</x:v>
      </x:c>
      <x:c r="K274" s="24" t="str">
        <x:v>Hi-Vision Hard</x:v>
      </x:c>
      <x:c r="L274" s="40" t="n">
        <x:v>2539</x:v>
      </x:c>
      <x:c r="M274" s="24" t="str">
        <x:v>-10.00 até +6.00</x:v>
      </x:c>
      <x:c r="N274" s="24"/>
      <x:c r="O274" s="24"/>
      <x:c r="P274" s="24"/>
      <x:c r="Q274" s="24"/>
      <x:c r="R274" s="24"/>
      <x:c r="S274" s="26" t="n">
        <x:v>45992</x:v>
      </x:c>
      <x:c r="T274" s="26"/>
      <x:c r="U274" s="24" t="str">
        <x:v>ATIVA/SEM FIM INFORMADO</x:v>
      </x:c>
      <x:c r="V274" s="24"/>
      <x:c r="W274" s="24" t="n">
        <x:v>27</x:v>
      </x:c>
      <x:c r="X274" s="24" t="str">
        <x:v>tabela_hoya(1).pdf</x:v>
      </x:c>
      <x:c r="Y274" s="24" t="str">
        <x:v>alta</x:v>
      </x:c>
      <x:c r="Z274" s="24"/>
      <x:c r="AA274" s="24" t="str">
        <x:v>HOYA|Progressiva|Surfaçada|Hoyalux Daynamic|INCOLOR|POLI|1.59|Hi-Vision Hard|-10.00 até +6.00||||||27</x:v>
      </x:c>
    </x:row>
    <x:row r="275">
      <x:c r="A275" s="24" t="str">
        <x:v>HY-F39682AEFE9D</x:v>
      </x:c>
      <x:c r="B275" s="24" t="str">
        <x:v>SIM</x:v>
      </x:c>
      <x:c r="C275" s="24" t="str">
        <x:v>DISPONÍVEL</x:v>
      </x:c>
      <x:c r="D275" s="24" t="str">
        <x:v>HOYA</x:v>
      </x:c>
      <x:c r="E275" s="24" t="str">
        <x:v>Progressiva</x:v>
      </x:c>
      <x:c r="F275" s="24" t="str">
        <x:v>Surfaçada</x:v>
      </x:c>
      <x:c r="G275" s="24" t="str">
        <x:v>Hoyalux Daynamic</x:v>
      </x:c>
      <x:c r="H275" s="24" t="str">
        <x:v>INCOLOR</x:v>
      </x:c>
      <x:c r="I275" s="24" t="str">
        <x:v>PNX</x:v>
      </x:c>
      <x:c r="J275" s="24" t="str">
        <x:v>1.53</x:v>
      </x:c>
      <x:c r="K275" s="24" t="str">
        <x:v>Hi-Vision Hard</x:v>
      </x:c>
      <x:c r="L275" s="40" t="n">
        <x:v>2539</x:v>
      </x:c>
      <x:c r="M275" s="24" t="str">
        <x:v>-8.00 até +6.00</x:v>
      </x:c>
      <x:c r="N275" s="24"/>
      <x:c r="O275" s="24"/>
      <x:c r="P275" s="24"/>
      <x:c r="Q275" s="24"/>
      <x:c r="R275" s="24"/>
      <x:c r="S275" s="26" t="n">
        <x:v>45992</x:v>
      </x:c>
      <x:c r="T275" s="26"/>
      <x:c r="U275" s="24" t="str">
        <x:v>ATIVA/SEM FIM INFORMADO</x:v>
      </x:c>
      <x:c r="V275" s="24"/>
      <x:c r="W275" s="24" t="n">
        <x:v>27</x:v>
      </x:c>
      <x:c r="X275" s="24" t="str">
        <x:v>tabela_hoya(1).pdf</x:v>
      </x:c>
      <x:c r="Y275" s="24" t="str">
        <x:v>alta</x:v>
      </x:c>
      <x:c r="Z275" s="24"/>
      <x:c r="AA275" s="24" t="str">
        <x:v>HOYA|Progressiva|Surfaçada|Hoyalux Daynamic|INCOLOR|PNX|1.53|Hi-Vision Hard|-8.00 até +6.00||||||27</x:v>
      </x:c>
    </x:row>
    <x:row r="276">
      <x:c r="A276" s="24" t="str">
        <x:v>HY-EC1358A0802B</x:v>
      </x:c>
      <x:c r="B276" s="24" t="str">
        <x:v>SIM</x:v>
      </x:c>
      <x:c r="C276" s="24" t="str">
        <x:v>DISPONÍVEL</x:v>
      </x:c>
      <x:c r="D276" s="24" t="str">
        <x:v>HOYA</x:v>
      </x:c>
      <x:c r="E276" s="24" t="str">
        <x:v>Progressiva</x:v>
      </x:c>
      <x:c r="F276" s="24" t="str">
        <x:v>Surfaçada</x:v>
      </x:c>
      <x:c r="G276" s="24" t="str">
        <x:v>Hoyalux Daynamic</x:v>
      </x:c>
      <x:c r="H276" s="24" t="str">
        <x:v>INCOLOR</x:v>
      </x:c>
      <x:c r="I276" s="24" t="str">
        <x:v>ORGANIC</x:v>
      </x:c>
      <x:c r="J276" s="24" t="str">
        <x:v>1.50</x:v>
      </x:c>
      <x:c r="K276" s="24" t="str">
        <x:v>Hi-Vision Hard</x:v>
      </x:c>
      <x:c r="L276" s="40" t="n">
        <x:v>2189</x:v>
      </x:c>
      <x:c r="M276" s="24" t="str">
        <x:v>-8.00 até +6.00</x:v>
      </x:c>
      <x:c r="N276" s="24"/>
      <x:c r="O276" s="24"/>
      <x:c r="P276" s="24"/>
      <x:c r="Q276" s="24"/>
      <x:c r="R276" s="24"/>
      <x:c r="S276" s="26" t="n">
        <x:v>45992</x:v>
      </x:c>
      <x:c r="T276" s="26"/>
      <x:c r="U276" s="24" t="str">
        <x:v>ATIVA/SEM FIM INFORMADO</x:v>
      </x:c>
      <x:c r="V276" s="24"/>
      <x:c r="W276" s="24" t="n">
        <x:v>27</x:v>
      </x:c>
      <x:c r="X276" s="24" t="str">
        <x:v>tabela_hoya(1).pdf</x:v>
      </x:c>
      <x:c r="Y276" s="24" t="str">
        <x:v>alta</x:v>
      </x:c>
      <x:c r="Z276" s="24"/>
      <x:c r="AA276" s="24" t="str">
        <x:v>HOYA|Progressiva|Surfaçada|Hoyalux Daynamic|INCOLOR|ORGANIC|1.50|Hi-Vision Hard|-8.00 até +6.00||||||27</x:v>
      </x:c>
    </x:row>
    <x:row r="277">
      <x:c r="A277" s="24" t="str">
        <x:v>HY-82B3825FC7EE</x:v>
      </x:c>
      <x:c r="B277" s="24" t="str">
        <x:v>NÃO</x:v>
      </x:c>
      <x:c r="C277" s="24" t="str">
        <x:v>EM BREVE</x:v>
      </x:c>
      <x:c r="D277" s="24" t="str">
        <x:v>HOYA</x:v>
      </x:c>
      <x:c r="E277" s="24" t="str">
        <x:v>Progressiva</x:v>
      </x:c>
      <x:c r="F277" s="24" t="str">
        <x:v>Surfaçada</x:v>
      </x:c>
      <x:c r="G277" s="24" t="str">
        <x:v>Hoyalux Daynamic</x:v>
      </x:c>
      <x:c r="H277" s="24" t="str">
        <x:v>SENSITY 2</x:v>
      </x:c>
      <x:c r="I277" s="24" t="str">
        <x:v>EYNOA</x:v>
      </x:c>
      <x:c r="J277" s="24" t="str">
        <x:v>1.67</x:v>
      </x:c>
      <x:c r="K277" s="24" t="str">
        <x:v>Hi-Vision Meiryo</x:v>
      </x:c>
      <x:c r="L277" s="40" t="n">
        <x:v>7399</x:v>
      </x:c>
      <x:c r="M277" s="24" t="str">
        <x:v>-13.00 até +7.50</x:v>
      </x:c>
      <x:c r="N277" s="24"/>
      <x:c r="O277" s="24"/>
      <x:c r="P277" s="24"/>
      <x:c r="Q277" s="24"/>
      <x:c r="R277" s="24"/>
      <x:c r="S277" s="26" t="n">
        <x:v>45992</x:v>
      </x:c>
      <x:c r="T277" s="26"/>
      <x:c r="U277" s="24" t="str">
        <x:v>ATIVA/SEM FIM INFORMADO</x:v>
      </x:c>
      <x:c r="V277" s="24"/>
      <x:c r="W277" s="24" t="n">
        <x:v>27</x:v>
      </x:c>
      <x:c r="X277" s="24" t="str">
        <x:v>tabela_hoya(1).pdf</x:v>
      </x:c>
      <x:c r="Y277" s="24" t="str">
        <x:v>alta</x:v>
      </x:c>
      <x:c r="Z277" s="24" t="str">
        <x:v>Tratamento/produto marcado como “EM BREVE” na própria tabela HOYA; preço preservado, mas bloqueado no export web.</x:v>
      </x:c>
      <x:c r="AA277" s="24" t="str">
        <x:v>HOYA|Progressiva|Surfaçada|Hoyalux Daynamic|SENSITY 2|EYNOA|1.67|Hi-Vision Meiryo|-13.00 até +7.50||||||27</x:v>
      </x:c>
    </x:row>
    <x:row r="278">
      <x:c r="A278" s="24" t="str">
        <x:v>HY-BA127C3EF78D</x:v>
      </x:c>
      <x:c r="B278" s="24" t="str">
        <x:v>NÃO</x:v>
      </x:c>
      <x:c r="C278" s="24" t="str">
        <x:v>EM BREVE</x:v>
      </x:c>
      <x:c r="D278" s="24" t="str">
        <x:v>HOYA</x:v>
      </x:c>
      <x:c r="E278" s="24" t="str">
        <x:v>Progressiva</x:v>
      </x:c>
      <x:c r="F278" s="24" t="str">
        <x:v>Surfaçada</x:v>
      </x:c>
      <x:c r="G278" s="24" t="str">
        <x:v>Hoyalux Daynamic</x:v>
      </x:c>
      <x:c r="H278" s="24" t="str">
        <x:v>SENSITY 2</x:v>
      </x:c>
      <x:c r="I278" s="24" t="str">
        <x:v>PNX</x:v>
      </x:c>
      <x:c r="J278" s="24" t="str">
        <x:v>1.53</x:v>
      </x:c>
      <x:c r="K278" s="24" t="str">
        <x:v>Hi-Vision Meiryo</x:v>
      </x:c>
      <x:c r="L278" s="40" t="n">
        <x:v>5139</x:v>
      </x:c>
      <x:c r="M278" s="24" t="str">
        <x:v>-8.00 até +6.00</x:v>
      </x:c>
      <x:c r="N278" s="24"/>
      <x:c r="O278" s="24"/>
      <x:c r="P278" s="24"/>
      <x:c r="Q278" s="24"/>
      <x:c r="R278" s="24"/>
      <x:c r="S278" s="26" t="n">
        <x:v>45992</x:v>
      </x:c>
      <x:c r="T278" s="26"/>
      <x:c r="U278" s="24" t="str">
        <x:v>ATIVA/SEM FIM INFORMADO</x:v>
      </x:c>
      <x:c r="V278" s="24"/>
      <x:c r="W278" s="24" t="n">
        <x:v>27</x:v>
      </x:c>
      <x:c r="X278" s="24" t="str">
        <x:v>tabela_hoya(1).pdf</x:v>
      </x:c>
      <x:c r="Y278" s="24" t="str">
        <x:v>alta</x:v>
      </x:c>
      <x:c r="Z278" s="24" t="str">
        <x:v>Tratamento/produto marcado como “EM BREVE” na própria tabela HOYA; preço preservado, mas bloqueado no export web.</x:v>
      </x:c>
      <x:c r="AA278" s="24" t="str">
        <x:v>HOYA|Progressiva|Surfaçada|Hoyalux Daynamic|SENSITY 2|PNX|1.53|Hi-Vision Meiryo|-8.00 até +6.00||||||27</x:v>
      </x:c>
    </x:row>
    <x:row r="279">
      <x:c r="A279" s="24" t="str">
        <x:v>HY-679F0991A8AA</x:v>
      </x:c>
      <x:c r="B279" s="24" t="str">
        <x:v>NÃO</x:v>
      </x:c>
      <x:c r="C279" s="24" t="str">
        <x:v>EM BREVE</x:v>
      </x:c>
      <x:c r="D279" s="24" t="str">
        <x:v>HOYA</x:v>
      </x:c>
      <x:c r="E279" s="24" t="str">
        <x:v>Progressiva</x:v>
      </x:c>
      <x:c r="F279" s="24" t="str">
        <x:v>Surfaçada</x:v>
      </x:c>
      <x:c r="G279" s="24" t="str">
        <x:v>Hoyalux Daynamic</x:v>
      </x:c>
      <x:c r="H279" s="24" t="str">
        <x:v>SENSITY 2</x:v>
      </x:c>
      <x:c r="I279" s="24" t="str">
        <x:v>ORGANIC</x:v>
      </x:c>
      <x:c r="J279" s="24" t="str">
        <x:v>1.50</x:v>
      </x:c>
      <x:c r="K279" s="24" t="str">
        <x:v>Hi-Vision Meiryo</x:v>
      </x:c>
      <x:c r="L279" s="40" t="n">
        <x:v>4789</x:v>
      </x:c>
      <x:c r="M279" s="24" t="str">
        <x:v>-8.00 até +6.00</x:v>
      </x:c>
      <x:c r="N279" s="24"/>
      <x:c r="O279" s="24"/>
      <x:c r="P279" s="24"/>
      <x:c r="Q279" s="24"/>
      <x:c r="R279" s="24"/>
      <x:c r="S279" s="26" t="n">
        <x:v>45992</x:v>
      </x:c>
      <x:c r="T279" s="26"/>
      <x:c r="U279" s="24" t="str">
        <x:v>ATIVA/SEM FIM INFORMADO</x:v>
      </x:c>
      <x:c r="V279" s="24"/>
      <x:c r="W279" s="24" t="n">
        <x:v>27</x:v>
      </x:c>
      <x:c r="X279" s="24" t="str">
        <x:v>tabela_hoya(1).pdf</x:v>
      </x:c>
      <x:c r="Y279" s="24" t="str">
        <x:v>alta</x:v>
      </x:c>
      <x:c r="Z279" s="24" t="str">
        <x:v>Tratamento/produto marcado como “EM BREVE” na própria tabela HOYA; preço preservado, mas bloqueado no export web.</x:v>
      </x:c>
      <x:c r="AA279" s="24" t="str">
        <x:v>HOYA|Progressiva|Surfaçada|Hoyalux Daynamic|SENSITY 2|ORGANIC|1.50|Hi-Vision Meiryo|-8.00 até +6.00||||||27</x:v>
      </x:c>
    </x:row>
    <x:row r="280">
      <x:c r="A280" s="24" t="str">
        <x:v>HY-CE908E54509F</x:v>
      </x:c>
      <x:c r="B280" s="24" t="str">
        <x:v>SIM</x:v>
      </x:c>
      <x:c r="C280" s="24" t="str">
        <x:v>DISPONÍVEL</x:v>
      </x:c>
      <x:c r="D280" s="24" t="str">
        <x:v>HOYA</x:v>
      </x:c>
      <x:c r="E280" s="24" t="str">
        <x:v>Progressiva</x:v>
      </x:c>
      <x:c r="F280" s="24" t="str">
        <x:v>Surfaçada</x:v>
      </x:c>
      <x:c r="G280" s="24" t="str">
        <x:v>Hoyalux Daynamic</x:v>
      </x:c>
      <x:c r="H280" s="24" t="str">
        <x:v>SENSITY 2</x:v>
      </x:c>
      <x:c r="I280" s="24" t="str">
        <x:v>EYNOA</x:v>
      </x:c>
      <x:c r="J280" s="24" t="str">
        <x:v>1.67</x:v>
      </x:c>
      <x:c r="K280" s="24" t="str">
        <x:v>Hi-Vision LongLife BlueControl</x:v>
      </x:c>
      <x:c r="L280" s="40" t="n">
        <x:v>7199</x:v>
      </x:c>
      <x:c r="M280" s="24" t="str">
        <x:v>-13.00 até +7.50</x:v>
      </x:c>
      <x:c r="N280" s="24"/>
      <x:c r="O280" s="24"/>
      <x:c r="P280" s="24"/>
      <x:c r="Q280" s="24"/>
      <x:c r="R280" s="24"/>
      <x:c r="S280" s="26" t="n">
        <x:v>45992</x:v>
      </x:c>
      <x:c r="T280" s="26"/>
      <x:c r="U280" s="24" t="str">
        <x:v>ATIVA/SEM FIM INFORMADO</x:v>
      </x:c>
      <x:c r="V280" s="24"/>
      <x:c r="W280" s="24" t="n">
        <x:v>27</x:v>
      </x:c>
      <x:c r="X280" s="24" t="str">
        <x:v>tabela_hoya(1).pdf</x:v>
      </x:c>
      <x:c r="Y280" s="24" t="str">
        <x:v>alta</x:v>
      </x:c>
      <x:c r="Z280" s="24"/>
      <x:c r="AA280" s="24" t="str">
        <x:v>HOYA|Progressiva|Surfaçada|Hoyalux Daynamic|SENSITY 2|EYNOA|1.67|Hi-Vision LongLife BlueControl|-13.00 até +7.50||||||27</x:v>
      </x:c>
    </x:row>
    <x:row r="281">
      <x:c r="A281" s="24" t="str">
        <x:v>HY-4ED44D8646A0</x:v>
      </x:c>
      <x:c r="B281" s="24" t="str">
        <x:v>SIM</x:v>
      </x:c>
      <x:c r="C281" s="24" t="str">
        <x:v>DISPONÍVEL</x:v>
      </x:c>
      <x:c r="D281" s="24" t="str">
        <x:v>HOYA</x:v>
      </x:c>
      <x:c r="E281" s="24" t="str">
        <x:v>Progressiva</x:v>
      </x:c>
      <x:c r="F281" s="24" t="str">
        <x:v>Surfaçada</x:v>
      </x:c>
      <x:c r="G281" s="24" t="str">
        <x:v>Hoyalux Daynamic</x:v>
      </x:c>
      <x:c r="H281" s="24" t="str">
        <x:v>SENSITY 2</x:v>
      </x:c>
      <x:c r="I281" s="24" t="str">
        <x:v>PNX</x:v>
      </x:c>
      <x:c r="J281" s="24" t="str">
        <x:v>1.53</x:v>
      </x:c>
      <x:c r="K281" s="24" t="str">
        <x:v>Hi-Vision LongLife BlueControl</x:v>
      </x:c>
      <x:c r="L281" s="40" t="n">
        <x:v>4939</x:v>
      </x:c>
      <x:c r="M281" s="24" t="str">
        <x:v>-8.00 até +6.00</x:v>
      </x:c>
      <x:c r="N281" s="24"/>
      <x:c r="O281" s="24"/>
      <x:c r="P281" s="24"/>
      <x:c r="Q281" s="24"/>
      <x:c r="R281" s="24"/>
      <x:c r="S281" s="26" t="n">
        <x:v>45992</x:v>
      </x:c>
      <x:c r="T281" s="26"/>
      <x:c r="U281" s="24" t="str">
        <x:v>ATIVA/SEM FIM INFORMADO</x:v>
      </x:c>
      <x:c r="V281" s="24"/>
      <x:c r="W281" s="24" t="n">
        <x:v>27</x:v>
      </x:c>
      <x:c r="X281" s="24" t="str">
        <x:v>tabela_hoya(1).pdf</x:v>
      </x:c>
      <x:c r="Y281" s="24" t="str">
        <x:v>alta</x:v>
      </x:c>
      <x:c r="Z281" s="24"/>
      <x:c r="AA281" s="24" t="str">
        <x:v>HOYA|Progressiva|Surfaçada|Hoyalux Daynamic|SENSITY 2|PNX|1.53|Hi-Vision LongLife BlueControl|-8.00 até +6.00||||||27</x:v>
      </x:c>
    </x:row>
    <x:row r="282">
      <x:c r="A282" s="24" t="str">
        <x:v>HY-8D46074DB51B</x:v>
      </x:c>
      <x:c r="B282" s="24" t="str">
        <x:v>SIM</x:v>
      </x:c>
      <x:c r="C282" s="24" t="str">
        <x:v>DISPONÍVEL</x:v>
      </x:c>
      <x:c r="D282" s="24" t="str">
        <x:v>HOYA</x:v>
      </x:c>
      <x:c r="E282" s="24" t="str">
        <x:v>Progressiva</x:v>
      </x:c>
      <x:c r="F282" s="24" t="str">
        <x:v>Surfaçada</x:v>
      </x:c>
      <x:c r="G282" s="24" t="str">
        <x:v>Hoyalux Daynamic</x:v>
      </x:c>
      <x:c r="H282" s="24" t="str">
        <x:v>SENSITY 2</x:v>
      </x:c>
      <x:c r="I282" s="24" t="str">
        <x:v>ORGANIC</x:v>
      </x:c>
      <x:c r="J282" s="24" t="str">
        <x:v>1.50</x:v>
      </x:c>
      <x:c r="K282" s="24" t="str">
        <x:v>Hi-Vision LongLife BlueControl</x:v>
      </x:c>
      <x:c r="L282" s="40" t="n">
        <x:v>4589</x:v>
      </x:c>
      <x:c r="M282" s="24" t="str">
        <x:v>-8.00 até +6.00</x:v>
      </x:c>
      <x:c r="N282" s="24"/>
      <x:c r="O282" s="24"/>
      <x:c r="P282" s="24"/>
      <x:c r="Q282" s="24"/>
      <x:c r="R282" s="24"/>
      <x:c r="S282" s="26" t="n">
        <x:v>45992</x:v>
      </x:c>
      <x:c r="T282" s="26"/>
      <x:c r="U282" s="24" t="str">
        <x:v>ATIVA/SEM FIM INFORMADO</x:v>
      </x:c>
      <x:c r="V282" s="24"/>
      <x:c r="W282" s="24" t="n">
        <x:v>27</x:v>
      </x:c>
      <x:c r="X282" s="24" t="str">
        <x:v>tabela_hoya(1).pdf</x:v>
      </x:c>
      <x:c r="Y282" s="24" t="str">
        <x:v>alta</x:v>
      </x:c>
      <x:c r="Z282" s="24"/>
      <x:c r="AA282" s="24" t="str">
        <x:v>HOYA|Progressiva|Surfaçada|Hoyalux Daynamic|SENSITY 2|ORGANIC|1.50|Hi-Vision LongLife BlueControl|-8.00 até +6.00||||||27</x:v>
      </x:c>
    </x:row>
    <x:row r="283">
      <x:c r="A283" s="24" t="str">
        <x:v>HY-7409F3D59B80</x:v>
      </x:c>
      <x:c r="B283" s="24" t="str">
        <x:v>SIM</x:v>
      </x:c>
      <x:c r="C283" s="24" t="str">
        <x:v>DISPONÍVEL</x:v>
      </x:c>
      <x:c r="D283" s="24" t="str">
        <x:v>HOYA</x:v>
      </x:c>
      <x:c r="E283" s="24" t="str">
        <x:v>Progressiva</x:v>
      </x:c>
      <x:c r="F283" s="24" t="str">
        <x:v>Surfaçada</x:v>
      </x:c>
      <x:c r="G283" s="24" t="str">
        <x:v>Hoyalux Daynamic</x:v>
      </x:c>
      <x:c r="H283" s="24" t="str">
        <x:v>SENSITY 2</x:v>
      </x:c>
      <x:c r="I283" s="24" t="str">
        <x:v>EYNOA</x:v>
      </x:c>
      <x:c r="J283" s="24" t="str">
        <x:v>1.67</x:v>
      </x:c>
      <x:c r="K283" s="24" t="str">
        <x:v>No-Risk BlueControl</x:v>
      </x:c>
      <x:c r="L283" s="40" t="n">
        <x:v>6949</x:v>
      </x:c>
      <x:c r="M283" s="24" t="str">
        <x:v>-13.00 até +7.50</x:v>
      </x:c>
      <x:c r="N283" s="24"/>
      <x:c r="O283" s="24"/>
      <x:c r="P283" s="24"/>
      <x:c r="Q283" s="24"/>
      <x:c r="R283" s="24"/>
      <x:c r="S283" s="26" t="n">
        <x:v>45992</x:v>
      </x:c>
      <x:c r="T283" s="26"/>
      <x:c r="U283" s="24" t="str">
        <x:v>ATIVA/SEM FIM INFORMADO</x:v>
      </x:c>
      <x:c r="V283" s="24"/>
      <x:c r="W283" s="24" t="n">
        <x:v>27</x:v>
      </x:c>
      <x:c r="X283" s="24" t="str">
        <x:v>tabela_hoya(1).pdf</x:v>
      </x:c>
      <x:c r="Y283" s="24" t="str">
        <x:v>alta</x:v>
      </x:c>
      <x:c r="Z283" s="24"/>
      <x:c r="AA283" s="24" t="str">
        <x:v>HOYA|Progressiva|Surfaçada|Hoyalux Daynamic|SENSITY 2|EYNOA|1.67|No-Risk BlueControl|-13.00 até +7.50||||||27</x:v>
      </x:c>
    </x:row>
    <x:row r="284">
      <x:c r="A284" s="24" t="str">
        <x:v>HY-35382997416A</x:v>
      </x:c>
      <x:c r="B284" s="24" t="str">
        <x:v>SIM</x:v>
      </x:c>
      <x:c r="C284" s="24" t="str">
        <x:v>DISPONÍVEL</x:v>
      </x:c>
      <x:c r="D284" s="24" t="str">
        <x:v>HOYA</x:v>
      </x:c>
      <x:c r="E284" s="24" t="str">
        <x:v>Progressiva</x:v>
      </x:c>
      <x:c r="F284" s="24" t="str">
        <x:v>Surfaçada</x:v>
      </x:c>
      <x:c r="G284" s="24" t="str">
        <x:v>Hoyalux Daynamic</x:v>
      </x:c>
      <x:c r="H284" s="24" t="str">
        <x:v>SENSITY 2</x:v>
      </x:c>
      <x:c r="I284" s="24" t="str">
        <x:v>PNX</x:v>
      </x:c>
      <x:c r="J284" s="24" t="str">
        <x:v>1.53</x:v>
      </x:c>
      <x:c r="K284" s="24" t="str">
        <x:v>No-Risk BlueControl</x:v>
      </x:c>
      <x:c r="L284" s="40" t="n">
        <x:v>4689</x:v>
      </x:c>
      <x:c r="M284" s="24" t="str">
        <x:v>-8.00 até +6.00</x:v>
      </x:c>
      <x:c r="N284" s="24"/>
      <x:c r="O284" s="24"/>
      <x:c r="P284" s="24"/>
      <x:c r="Q284" s="24"/>
      <x:c r="R284" s="24"/>
      <x:c r="S284" s="26" t="n">
        <x:v>45992</x:v>
      </x:c>
      <x:c r="T284" s="26"/>
      <x:c r="U284" s="24" t="str">
        <x:v>ATIVA/SEM FIM INFORMADO</x:v>
      </x:c>
      <x:c r="V284" s="24"/>
      <x:c r="W284" s="24" t="n">
        <x:v>27</x:v>
      </x:c>
      <x:c r="X284" s="24" t="str">
        <x:v>tabela_hoya(1).pdf</x:v>
      </x:c>
      <x:c r="Y284" s="24" t="str">
        <x:v>alta</x:v>
      </x:c>
      <x:c r="Z284" s="24"/>
      <x:c r="AA284" s="24" t="str">
        <x:v>HOYA|Progressiva|Surfaçada|Hoyalux Daynamic|SENSITY 2|PNX|1.53|No-Risk BlueControl|-8.00 até +6.00||||||27</x:v>
      </x:c>
    </x:row>
    <x:row r="285">
      <x:c r="A285" s="24" t="str">
        <x:v>HY-3683BD4EA0FF</x:v>
      </x:c>
      <x:c r="B285" s="24" t="str">
        <x:v>SIM</x:v>
      </x:c>
      <x:c r="C285" s="24" t="str">
        <x:v>DISPONÍVEL</x:v>
      </x:c>
      <x:c r="D285" s="24" t="str">
        <x:v>HOYA</x:v>
      </x:c>
      <x:c r="E285" s="24" t="str">
        <x:v>Progressiva</x:v>
      </x:c>
      <x:c r="F285" s="24" t="str">
        <x:v>Surfaçada</x:v>
      </x:c>
      <x:c r="G285" s="24" t="str">
        <x:v>Hoyalux Daynamic</x:v>
      </x:c>
      <x:c r="H285" s="24" t="str">
        <x:v>SENSITY 2</x:v>
      </x:c>
      <x:c r="I285" s="24" t="str">
        <x:v>ORGANIC</x:v>
      </x:c>
      <x:c r="J285" s="24" t="str">
        <x:v>1.50</x:v>
      </x:c>
      <x:c r="K285" s="24" t="str">
        <x:v>No-Risk BlueControl</x:v>
      </x:c>
      <x:c r="L285" s="40" t="n">
        <x:v>4339</x:v>
      </x:c>
      <x:c r="M285" s="24" t="str">
        <x:v>-8.00 até +6.00</x:v>
      </x:c>
      <x:c r="N285" s="24"/>
      <x:c r="O285" s="24"/>
      <x:c r="P285" s="24"/>
      <x:c r="Q285" s="24"/>
      <x:c r="R285" s="24"/>
      <x:c r="S285" s="26" t="n">
        <x:v>45992</x:v>
      </x:c>
      <x:c r="T285" s="26"/>
      <x:c r="U285" s="24" t="str">
        <x:v>ATIVA/SEM FIM INFORMADO</x:v>
      </x:c>
      <x:c r="V285" s="24"/>
      <x:c r="W285" s="24" t="n">
        <x:v>27</x:v>
      </x:c>
      <x:c r="X285" s="24" t="str">
        <x:v>tabela_hoya(1).pdf</x:v>
      </x:c>
      <x:c r="Y285" s="24" t="str">
        <x:v>alta</x:v>
      </x:c>
      <x:c r="Z285" s="24"/>
      <x:c r="AA285" s="24" t="str">
        <x:v>HOYA|Progressiva|Surfaçada|Hoyalux Daynamic|SENSITY 2|ORGANIC|1.50|No-Risk BlueControl|-8.00 até +6.00||||||27</x:v>
      </x:c>
    </x:row>
    <x:row r="286">
      <x:c r="A286" s="24" t="str">
        <x:v>HY-B0194508D4F7</x:v>
      </x:c>
      <x:c r="B286" s="24" t="str">
        <x:v>SIM</x:v>
      </x:c>
      <x:c r="C286" s="24" t="str">
        <x:v>DISPONÍVEL</x:v>
      </x:c>
      <x:c r="D286" s="24" t="str">
        <x:v>HOYA</x:v>
      </x:c>
      <x:c r="E286" s="24" t="str">
        <x:v>Progressiva</x:v>
      </x:c>
      <x:c r="F286" s="24" t="str">
        <x:v>Surfaçada</x:v>
      </x:c>
      <x:c r="G286" s="24" t="str">
        <x:v>Hoyalux Daynamic</x:v>
      </x:c>
      <x:c r="H286" s="24" t="str">
        <x:v>SENSITY 2</x:v>
      </x:c>
      <x:c r="I286" s="24" t="str">
        <x:v>EYNOA</x:v>
      </x:c>
      <x:c r="J286" s="24" t="str">
        <x:v>1.67</x:v>
      </x:c>
      <x:c r="K286" s="24" t="str">
        <x:v>Hi-Vision Hard</x:v>
      </x:c>
      <x:c r="L286" s="40" t="n">
        <x:v>6199</x:v>
      </x:c>
      <x:c r="M286" s="24" t="str">
        <x:v>-13.00 até +7.50</x:v>
      </x:c>
      <x:c r="N286" s="24"/>
      <x:c r="O286" s="24"/>
      <x:c r="P286" s="24"/>
      <x:c r="Q286" s="24"/>
      <x:c r="R286" s="24"/>
      <x:c r="S286" s="26" t="n">
        <x:v>45992</x:v>
      </x:c>
      <x:c r="T286" s="26"/>
      <x:c r="U286" s="24" t="str">
        <x:v>ATIVA/SEM FIM INFORMADO</x:v>
      </x:c>
      <x:c r="V286" s="24"/>
      <x:c r="W286" s="24" t="n">
        <x:v>27</x:v>
      </x:c>
      <x:c r="X286" s="24" t="str">
        <x:v>tabela_hoya(1).pdf</x:v>
      </x:c>
      <x:c r="Y286" s="24" t="str">
        <x:v>alta</x:v>
      </x:c>
      <x:c r="Z286" s="24"/>
      <x:c r="AA286" s="24" t="str">
        <x:v>HOYA|Progressiva|Surfaçada|Hoyalux Daynamic|SENSITY 2|EYNOA|1.67|Hi-Vision Hard|-13.00 até +7.50||||||27</x:v>
      </x:c>
    </x:row>
    <x:row r="287">
      <x:c r="A287" s="24" t="str">
        <x:v>HY-6058DB829ED1</x:v>
      </x:c>
      <x:c r="B287" s="24" t="str">
        <x:v>SIM</x:v>
      </x:c>
      <x:c r="C287" s="24" t="str">
        <x:v>DISPONÍVEL</x:v>
      </x:c>
      <x:c r="D287" s="24" t="str">
        <x:v>HOYA</x:v>
      </x:c>
      <x:c r="E287" s="24" t="str">
        <x:v>Progressiva</x:v>
      </x:c>
      <x:c r="F287" s="24" t="str">
        <x:v>Surfaçada</x:v>
      </x:c>
      <x:c r="G287" s="24" t="str">
        <x:v>Hoyalux Daynamic</x:v>
      </x:c>
      <x:c r="H287" s="24" t="str">
        <x:v>SENSITY 2</x:v>
      </x:c>
      <x:c r="I287" s="24" t="str">
        <x:v>PNX</x:v>
      </x:c>
      <x:c r="J287" s="24" t="str">
        <x:v>1.53</x:v>
      </x:c>
      <x:c r="K287" s="24" t="str">
        <x:v>Hi-Vision Hard</x:v>
      </x:c>
      <x:c r="L287" s="40" t="n">
        <x:v>3939</x:v>
      </x:c>
      <x:c r="M287" s="24" t="str">
        <x:v>-8.00 até +6.00</x:v>
      </x:c>
      <x:c r="N287" s="24"/>
      <x:c r="O287" s="24"/>
      <x:c r="P287" s="24"/>
      <x:c r="Q287" s="24"/>
      <x:c r="R287" s="24"/>
      <x:c r="S287" s="26" t="n">
        <x:v>45992</x:v>
      </x:c>
      <x:c r="T287" s="26"/>
      <x:c r="U287" s="24" t="str">
        <x:v>ATIVA/SEM FIM INFORMADO</x:v>
      </x:c>
      <x:c r="V287" s="24"/>
      <x:c r="W287" s="24" t="n">
        <x:v>27</x:v>
      </x:c>
      <x:c r="X287" s="24" t="str">
        <x:v>tabela_hoya(1).pdf</x:v>
      </x:c>
      <x:c r="Y287" s="24" t="str">
        <x:v>alta</x:v>
      </x:c>
      <x:c r="Z287" s="24"/>
      <x:c r="AA287" s="24" t="str">
        <x:v>HOYA|Progressiva|Surfaçada|Hoyalux Daynamic|SENSITY 2|PNX|1.53|Hi-Vision Hard|-8.00 até +6.00||||||27</x:v>
      </x:c>
    </x:row>
    <x:row r="288">
      <x:c r="A288" s="24" t="str">
        <x:v>HY-84103170CB95</x:v>
      </x:c>
      <x:c r="B288" s="24" t="str">
        <x:v>SIM</x:v>
      </x:c>
      <x:c r="C288" s="24" t="str">
        <x:v>DISPONÍVEL</x:v>
      </x:c>
      <x:c r="D288" s="24" t="str">
        <x:v>HOYA</x:v>
      </x:c>
      <x:c r="E288" s="24" t="str">
        <x:v>Progressiva</x:v>
      </x:c>
      <x:c r="F288" s="24" t="str">
        <x:v>Surfaçada</x:v>
      </x:c>
      <x:c r="G288" s="24" t="str">
        <x:v>Hoyalux Daynamic</x:v>
      </x:c>
      <x:c r="H288" s="24" t="str">
        <x:v>SENSITY 2</x:v>
      </x:c>
      <x:c r="I288" s="24" t="str">
        <x:v>ORGANIC</x:v>
      </x:c>
      <x:c r="J288" s="24" t="str">
        <x:v>1.50</x:v>
      </x:c>
      <x:c r="K288" s="24" t="str">
        <x:v>Hi-Vision Hard</x:v>
      </x:c>
      <x:c r="L288" s="40" t="n">
        <x:v>3589</x:v>
      </x:c>
      <x:c r="M288" s="24" t="str">
        <x:v>-8.00 até +6.00</x:v>
      </x:c>
      <x:c r="N288" s="24"/>
      <x:c r="O288" s="24"/>
      <x:c r="P288" s="24"/>
      <x:c r="Q288" s="24"/>
      <x:c r="R288" s="24"/>
      <x:c r="S288" s="26" t="n">
        <x:v>45992</x:v>
      </x:c>
      <x:c r="T288" s="26"/>
      <x:c r="U288" s="24" t="str">
        <x:v>ATIVA/SEM FIM INFORMADO</x:v>
      </x:c>
      <x:c r="V288" s="24"/>
      <x:c r="W288" s="24" t="n">
        <x:v>27</x:v>
      </x:c>
      <x:c r="X288" s="24" t="str">
        <x:v>tabela_hoya(1).pdf</x:v>
      </x:c>
      <x:c r="Y288" s="24" t="str">
        <x:v>alta</x:v>
      </x:c>
      <x:c r="Z288" s="24"/>
      <x:c r="AA288" s="24" t="str">
        <x:v>HOYA|Progressiva|Surfaçada|Hoyalux Daynamic|SENSITY 2|ORGANIC|1.50|Hi-Vision Hard|-8.00 até +6.00||||||27</x:v>
      </x:c>
    </x:row>
    <x:row r="289">
      <x:c r="A289" s="24" t="str">
        <x:v>HY-E5DB9B20EA14</x:v>
      </x:c>
      <x:c r="B289" s="24" t="str">
        <x:v>SIM</x:v>
      </x:c>
      <x:c r="C289" s="24" t="str">
        <x:v>DISPONÍVEL</x:v>
      </x:c>
      <x:c r="D289" s="24" t="str">
        <x:v>HOYA</x:v>
      </x:c>
      <x:c r="E289" s="24" t="str">
        <x:v>Progressiva</x:v>
      </x:c>
      <x:c r="F289" s="24" t="str">
        <x:v>Surfaçada</x:v>
      </x:c>
      <x:c r="G289" s="24" t="str">
        <x:v>Hoyalux Daynamic</x:v>
      </x:c>
      <x:c r="H289" s="24" t="str">
        <x:v>POLARIZADO</x:v>
      </x:c>
      <x:c r="I289" s="24" t="str">
        <x:v>EYAS 2.0</x:v>
      </x:c>
      <x:c r="J289" s="24" t="str">
        <x:v>1.60</x:v>
      </x:c>
      <x:c r="K289" s="24" t="str">
        <x:v>Hi-Vision Sun Pro</x:v>
      </x:c>
      <x:c r="L289" s="40" t="n">
        <x:v>4899</x:v>
      </x:c>
      <x:c r="M289" s="24"/>
      <x:c r="N289" s="24"/>
      <x:c r="O289" s="24"/>
      <x:c r="P289" s="24"/>
      <x:c r="Q289" s="24"/>
      <x:c r="R289" s="24"/>
      <x:c r="S289" s="26" t="n">
        <x:v>45992</x:v>
      </x:c>
      <x:c r="T289" s="26"/>
      <x:c r="U289" s="24" t="str">
        <x:v>ATIVA/SEM FIM INFORMADO</x:v>
      </x:c>
      <x:c r="V289" s="24"/>
      <x:c r="W289" s="24" t="n">
        <x:v>27</x:v>
      </x:c>
      <x:c r="X289" s="24" t="str">
        <x:v>tabela_hoya(1).pdf</x:v>
      </x:c>
      <x:c r="Y289" s="24" t="str">
        <x:v>alta</x:v>
      </x:c>
      <x:c r="Z289" s="24"/>
      <x:c r="AA289" s="24" t="str">
        <x:v>HOYA|Progressiva|Surfaçada|Hoyalux Daynamic|POLARIZADO|EYAS 2.0|1.60|Hi-Vision Sun Pro|||||||27</x:v>
      </x:c>
    </x:row>
    <x:row r="290">
      <x:c r="A290" s="24" t="str">
        <x:v>HY-E4C9DA7A8C4A</x:v>
      </x:c>
      <x:c r="B290" s="24" t="str">
        <x:v>SIM</x:v>
      </x:c>
      <x:c r="C290" s="24" t="str">
        <x:v>DISPONÍVEL</x:v>
      </x:c>
      <x:c r="D290" s="24" t="str">
        <x:v>HOYA</x:v>
      </x:c>
      <x:c r="E290" s="24" t="str">
        <x:v>Progressiva</x:v>
      </x:c>
      <x:c r="F290" s="24" t="str">
        <x:v>Surfaçada</x:v>
      </x:c>
      <x:c r="G290" s="24" t="str">
        <x:v>Hoyalux Daynamic</x:v>
      </x:c>
      <x:c r="H290" s="24" t="str">
        <x:v>POLARIZADO</x:v>
      </x:c>
      <x:c r="I290" s="24" t="str">
        <x:v>ORGANIC</x:v>
      </x:c>
      <x:c r="J290" s="24" t="str">
        <x:v>1.50</x:v>
      </x:c>
      <x:c r="K290" s="24" t="str">
        <x:v>Hi-Vision Sun Pro</x:v>
      </x:c>
      <x:c r="L290" s="40" t="n">
        <x:v>4089</x:v>
      </x:c>
      <x:c r="M290" s="24" t="str">
        <x:v>-8.00 até +6.00</x:v>
      </x:c>
      <x:c r="N290" s="24"/>
      <x:c r="O290" s="24"/>
      <x:c r="P290" s="24"/>
      <x:c r="Q290" s="24"/>
      <x:c r="R290" s="24"/>
      <x:c r="S290" s="26" t="n">
        <x:v>45992</x:v>
      </x:c>
      <x:c r="T290" s="26"/>
      <x:c r="U290" s="24" t="str">
        <x:v>ATIVA/SEM FIM INFORMADO</x:v>
      </x:c>
      <x:c r="V290" s="24"/>
      <x:c r="W290" s="24" t="n">
        <x:v>27</x:v>
      </x:c>
      <x:c r="X290" s="24" t="str">
        <x:v>tabela_hoya(1).pdf</x:v>
      </x:c>
      <x:c r="Y290" s="24" t="str">
        <x:v>alta</x:v>
      </x:c>
      <x:c r="Z290" s="24"/>
      <x:c r="AA290" s="24" t="str">
        <x:v>HOYA|Progressiva|Surfaçada|Hoyalux Daynamic|POLARIZADO|ORGANIC|1.50|Hi-Vision Sun Pro|-8.00 até +6.00||||||27</x:v>
      </x:c>
    </x:row>
    <x:row r="291">
      <x:c r="A291" s="24" t="str">
        <x:v>HY-067AA93E95CF</x:v>
      </x:c>
      <x:c r="B291" s="24" t="str">
        <x:v>SIM</x:v>
      </x:c>
      <x:c r="C291" s="24" t="str">
        <x:v>DISPONÍVEL</x:v>
      </x:c>
      <x:c r="D291" s="24" t="str">
        <x:v>HOYA</x:v>
      </x:c>
      <x:c r="E291" s="24" t="str">
        <x:v>Progressiva</x:v>
      </x:c>
      <x:c r="F291" s="24" t="str">
        <x:v>Surfaçada</x:v>
      </x:c>
      <x:c r="G291" s="24" t="str">
        <x:v>Hoyalux Daynamic</x:v>
      </x:c>
      <x:c r="H291" s="24" t="str">
        <x:v>COLORIDAS</x:v>
      </x:c>
      <x:c r="I291" s="24" t="str">
        <x:v>EYNOA</x:v>
      </x:c>
      <x:c r="J291" s="24" t="str">
        <x:v>1.67</x:v>
      </x:c>
      <x:c r="K291" s="24" t="str">
        <x:v>Hi-Vision Sun Pro</x:v>
      </x:c>
      <x:c r="L291" s="40" t="n">
        <x:v>5839</x:v>
      </x:c>
      <x:c r="M291" s="24" t="str">
        <x:v>-13.00 até +7.50</x:v>
      </x:c>
      <x:c r="N291" s="24"/>
      <x:c r="O291" s="24"/>
      <x:c r="P291" s="24"/>
      <x:c r="Q291" s="24"/>
      <x:c r="R291" s="24"/>
      <x:c r="S291" s="26" t="n">
        <x:v>45992</x:v>
      </x:c>
      <x:c r="T291" s="26"/>
      <x:c r="U291" s="24" t="str">
        <x:v>ATIVA/SEM FIM INFORMADO</x:v>
      </x:c>
      <x:c r="V291" s="24"/>
      <x:c r="W291" s="24" t="n">
        <x:v>27</x:v>
      </x:c>
      <x:c r="X291" s="24" t="str">
        <x:v>tabela_hoya(1).pdf</x:v>
      </x:c>
      <x:c r="Y291" s="24" t="str">
        <x:v>alta</x:v>
      </x:c>
      <x:c r="Z291" s="24"/>
      <x:c r="AA291" s="24" t="str">
        <x:v>HOYA|Progressiva|Surfaçada|Hoyalux Daynamic|COLORIDAS|EYNOA|1.67|Hi-Vision Sun Pro|-13.00 até +7.50||||||27</x:v>
      </x:c>
    </x:row>
    <x:row r="292">
      <x:c r="A292" s="24" t="str">
        <x:v>HY-A9DE6678FD2F</x:v>
      </x:c>
      <x:c r="B292" s="24" t="str">
        <x:v>SIM</x:v>
      </x:c>
      <x:c r="C292" s="24" t="str">
        <x:v>DISPONÍVEL</x:v>
      </x:c>
      <x:c r="D292" s="24" t="str">
        <x:v>HOYA</x:v>
      </x:c>
      <x:c r="E292" s="24" t="str">
        <x:v>Progressiva</x:v>
      </x:c>
      <x:c r="F292" s="24" t="str">
        <x:v>Surfaçada</x:v>
      </x:c>
      <x:c r="G292" s="24" t="str">
        <x:v>Hoyalux Daynamic</x:v>
      </x:c>
      <x:c r="H292" s="24" t="str">
        <x:v>COLORIDAS</x:v>
      </x:c>
      <x:c r="I292" s="24" t="str">
        <x:v>EYAS 2.0</x:v>
      </x:c>
      <x:c r="J292" s="24" t="str">
        <x:v>1.60</x:v>
      </x:c>
      <x:c r="K292" s="24" t="str">
        <x:v>Hi-Vision Sun Pro</x:v>
      </x:c>
      <x:c r="L292" s="40" t="n">
        <x:v>4039</x:v>
      </x:c>
      <x:c r="M292" s="24"/>
      <x:c r="N292" s="24"/>
      <x:c r="O292" s="24"/>
      <x:c r="P292" s="24"/>
      <x:c r="Q292" s="24"/>
      <x:c r="R292" s="24"/>
      <x:c r="S292" s="26" t="n">
        <x:v>45992</x:v>
      </x:c>
      <x:c r="T292" s="26"/>
      <x:c r="U292" s="24" t="str">
        <x:v>ATIVA/SEM FIM INFORMADO</x:v>
      </x:c>
      <x:c r="V292" s="24"/>
      <x:c r="W292" s="24" t="n">
        <x:v>27</x:v>
      </x:c>
      <x:c r="X292" s="24" t="str">
        <x:v>tabela_hoya(1).pdf</x:v>
      </x:c>
      <x:c r="Y292" s="24" t="str">
        <x:v>alta</x:v>
      </x:c>
      <x:c r="Z292" s="24"/>
      <x:c r="AA292" s="24" t="str">
        <x:v>HOYA|Progressiva|Surfaçada|Hoyalux Daynamic|COLORIDAS|EYAS 2.0|1.60|Hi-Vision Sun Pro|||||||27</x:v>
      </x:c>
    </x:row>
    <x:row r="293">
      <x:c r="A293" s="24" t="str">
        <x:v>HY-DB2919EED022</x:v>
      </x:c>
      <x:c r="B293" s="24" t="str">
        <x:v>SIM</x:v>
      </x:c>
      <x:c r="C293" s="24" t="str">
        <x:v>DISPONÍVEL</x:v>
      </x:c>
      <x:c r="D293" s="24" t="str">
        <x:v>HOYA</x:v>
      </x:c>
      <x:c r="E293" s="24" t="str">
        <x:v>Progressiva</x:v>
      </x:c>
      <x:c r="F293" s="24" t="str">
        <x:v>Surfaçada</x:v>
      </x:c>
      <x:c r="G293" s="24" t="str">
        <x:v>Hoyalux Daynamic</x:v>
      </x:c>
      <x:c r="H293" s="24" t="str">
        <x:v>COLORIDAS</x:v>
      </x:c>
      <x:c r="I293" s="24" t="str">
        <x:v>PNX</x:v>
      </x:c>
      <x:c r="J293" s="24" t="str">
        <x:v>1.53</x:v>
      </x:c>
      <x:c r="K293" s="24" t="str">
        <x:v>Hi-Vision Sun Pro</x:v>
      </x:c>
      <x:c r="L293" s="40" t="n">
        <x:v>3579</x:v>
      </x:c>
      <x:c r="M293" s="24" t="str">
        <x:v>-8.00 até +6.00</x:v>
      </x:c>
      <x:c r="N293" s="24"/>
      <x:c r="O293" s="24"/>
      <x:c r="P293" s="24"/>
      <x:c r="Q293" s="24"/>
      <x:c r="R293" s="24"/>
      <x:c r="S293" s="26" t="n">
        <x:v>45992</x:v>
      </x:c>
      <x:c r="T293" s="26"/>
      <x:c r="U293" s="24" t="str">
        <x:v>ATIVA/SEM FIM INFORMADO</x:v>
      </x:c>
      <x:c r="V293" s="24"/>
      <x:c r="W293" s="24" t="n">
        <x:v>27</x:v>
      </x:c>
      <x:c r="X293" s="24" t="str">
        <x:v>tabela_hoya(1).pdf</x:v>
      </x:c>
      <x:c r="Y293" s="24" t="str">
        <x:v>alta</x:v>
      </x:c>
      <x:c r="Z293" s="24"/>
      <x:c r="AA293" s="24" t="str">
        <x:v>HOYA|Progressiva|Surfaçada|Hoyalux Daynamic|COLORIDAS|PNX|1.53|Hi-Vision Sun Pro|-8.00 até +6.00||||||27</x:v>
      </x:c>
    </x:row>
    <x:row r="294">
      <x:c r="A294" s="24" t="str">
        <x:v>HY-92169F0C53BF</x:v>
      </x:c>
      <x:c r="B294" s="24" t="str">
        <x:v>SIM</x:v>
      </x:c>
      <x:c r="C294" s="24" t="str">
        <x:v>DISPONÍVEL</x:v>
      </x:c>
      <x:c r="D294" s="24" t="str">
        <x:v>HOYA</x:v>
      </x:c>
      <x:c r="E294" s="24" t="str">
        <x:v>Progressiva</x:v>
      </x:c>
      <x:c r="F294" s="24" t="str">
        <x:v>Surfaçada</x:v>
      </x:c>
      <x:c r="G294" s="24" t="str">
        <x:v>Hoyalux Daynamic</x:v>
      </x:c>
      <x:c r="H294" s="24" t="str">
        <x:v>COLORIDAS</x:v>
      </x:c>
      <x:c r="I294" s="24" t="str">
        <x:v>ORGANIC</x:v>
      </x:c>
      <x:c r="J294" s="24" t="str">
        <x:v>1.50</x:v>
      </x:c>
      <x:c r="K294" s="24" t="str">
        <x:v>Hi-Vision Sun Pro</x:v>
      </x:c>
      <x:c r="L294" s="40" t="n">
        <x:v>3229</x:v>
      </x:c>
      <x:c r="M294" s="24" t="str">
        <x:v>-8.00 até +6.00</x:v>
      </x:c>
      <x:c r="N294" s="24"/>
      <x:c r="O294" s="24"/>
      <x:c r="P294" s="24"/>
      <x:c r="Q294" s="24"/>
      <x:c r="R294" s="24"/>
      <x:c r="S294" s="26" t="n">
        <x:v>45992</x:v>
      </x:c>
      <x:c r="T294" s="26"/>
      <x:c r="U294" s="24" t="str">
        <x:v>ATIVA/SEM FIM INFORMADO</x:v>
      </x:c>
      <x:c r="V294" s="24"/>
      <x:c r="W294" s="24" t="n">
        <x:v>27</x:v>
      </x:c>
      <x:c r="X294" s="24" t="str">
        <x:v>tabela_hoya(1).pdf</x:v>
      </x:c>
      <x:c r="Y294" s="24" t="str">
        <x:v>alta</x:v>
      </x:c>
      <x:c r="Z294" s="24"/>
      <x:c r="AA294" s="24" t="str">
        <x:v>HOYA|Progressiva|Surfaçada|Hoyalux Daynamic|COLORIDAS|ORGANIC|1.50|Hi-Vision Sun Pro|-8.00 até +6.00||||||27</x:v>
      </x:c>
    </x:row>
    <x:row r="295">
      <x:c r="A295" s="24" t="str">
        <x:v>HY-2EB770297AF2</x:v>
      </x:c>
      <x:c r="B295" s="24" t="str">
        <x:v>NÃO</x:v>
      </x:c>
      <x:c r="C295" s="24" t="str">
        <x:v>EM BREVE</x:v>
      </x:c>
      <x:c r="D295" s="24" t="str">
        <x:v>HOYA</x:v>
      </x:c>
      <x:c r="E295" s="24" t="str">
        <x:v>Progressiva</x:v>
      </x:c>
      <x:c r="F295" s="24" t="str">
        <x:v>Surfaçada</x:v>
      </x:c>
      <x:c r="G295" s="24" t="str">
        <x:v>HOYA Argos</x:v>
      </x:c>
      <x:c r="H295" s="24" t="str">
        <x:v>INCOLOR</x:v>
      </x:c>
      <x:c r="I295" s="24" t="str">
        <x:v>EYNOA</x:v>
      </x:c>
      <x:c r="J295" s="24" t="str">
        <x:v>1.67</x:v>
      </x:c>
      <x:c r="K295" s="24" t="str">
        <x:v>Hi-Vision Meiryo</x:v>
      </x:c>
      <x:c r="L295" s="40" t="n">
        <x:v>4959</x:v>
      </x:c>
      <x:c r="M295" s="24" t="str">
        <x:v>-13.00 até +7.50</x:v>
      </x:c>
      <x:c r="N295" s="24"/>
      <x:c r="O295" s="24"/>
      <x:c r="P295" s="24"/>
      <x:c r="Q295" s="24"/>
      <x:c r="R295" s="24"/>
      <x:c r="S295" s="26" t="n">
        <x:v>45992</x:v>
      </x:c>
      <x:c r="T295" s="26"/>
      <x:c r="U295" s="24" t="str">
        <x:v>ATIVA/SEM FIM INFORMADO</x:v>
      </x:c>
      <x:c r="V295" s="24"/>
      <x:c r="W295" s="24" t="n">
        <x:v>28</x:v>
      </x:c>
      <x:c r="X295" s="24" t="str">
        <x:v>tabela_hoya(1).pdf</x:v>
      </x:c>
      <x:c r="Y295" s="24" t="str">
        <x:v>alta</x:v>
      </x:c>
      <x:c r="Z295" s="24" t="str">
        <x:v>Tratamento/produto marcado como “EM BREVE” na própria tabela HOYA; preço preservado, mas bloqueado no export web.</x:v>
      </x:c>
      <x:c r="AA295" s="24" t="str">
        <x:v>HOYA|Progressiva|Surfaçada|HOYA Argos|INCOLOR|EYNOA|1.67|Hi-Vision Meiryo|-13.00 até +7.50||||||28</x:v>
      </x:c>
    </x:row>
    <x:row r="296">
      <x:c r="A296" s="24" t="str">
        <x:v>HY-4CFC695A4007</x:v>
      </x:c>
      <x:c r="B296" s="24" t="str">
        <x:v>NÃO</x:v>
      </x:c>
      <x:c r="C296" s="24" t="str">
        <x:v>EM BREVE</x:v>
      </x:c>
      <x:c r="D296" s="24" t="str">
        <x:v>HOYA</x:v>
      </x:c>
      <x:c r="E296" s="24" t="str">
        <x:v>Progressiva</x:v>
      </x:c>
      <x:c r="F296" s="24" t="str">
        <x:v>Surfaçada</x:v>
      </x:c>
      <x:c r="G296" s="24" t="str">
        <x:v>HOYA Argos</x:v>
      </x:c>
      <x:c r="H296" s="24" t="str">
        <x:v>INCOLOR</x:v>
      </x:c>
      <x:c r="I296" s="24" t="str">
        <x:v>EYAS 2.0</x:v>
      </x:c>
      <x:c r="J296" s="24" t="str">
        <x:v>1.60</x:v>
      </x:c>
      <x:c r="K296" s="24" t="str">
        <x:v>Hi-Vision Meiryo</x:v>
      </x:c>
      <x:c r="L296" s="40" t="n">
        <x:v>3159</x:v>
      </x:c>
      <x:c r="M296" s="24" t="str">
        <x:v>-10.00 até +6.00</x:v>
      </x:c>
      <x:c r="N296" s="24"/>
      <x:c r="O296" s="24"/>
      <x:c r="P296" s="24"/>
      <x:c r="Q296" s="24"/>
      <x:c r="R296" s="24"/>
      <x:c r="S296" s="26" t="n">
        <x:v>45992</x:v>
      </x:c>
      <x:c r="T296" s="26"/>
      <x:c r="U296" s="24" t="str">
        <x:v>ATIVA/SEM FIM INFORMADO</x:v>
      </x:c>
      <x:c r="V296" s="24"/>
      <x:c r="W296" s="24" t="n">
        <x:v>28</x:v>
      </x:c>
      <x:c r="X296" s="24" t="str">
        <x:v>tabela_hoya(1).pdf</x:v>
      </x:c>
      <x:c r="Y296" s="24" t="str">
        <x:v>alta</x:v>
      </x:c>
      <x:c r="Z296" s="24" t="str">
        <x:v>Tratamento/produto marcado como “EM BREVE” na própria tabela HOYA; preço preservado, mas bloqueado no export web.</x:v>
      </x:c>
      <x:c r="AA296" s="24" t="str">
        <x:v>HOYA|Progressiva|Surfaçada|HOYA Argos|INCOLOR|EYAS 2.0|1.60|Hi-Vision Meiryo|-10.00 até +6.00||||||28</x:v>
      </x:c>
    </x:row>
    <x:row r="297">
      <x:c r="A297" s="24" t="str">
        <x:v>HY-CA7E5363B5CA</x:v>
      </x:c>
      <x:c r="B297" s="24" t="str">
        <x:v>NÃO</x:v>
      </x:c>
      <x:c r="C297" s="24" t="str">
        <x:v>EM BREVE</x:v>
      </x:c>
      <x:c r="D297" s="24" t="str">
        <x:v>HOYA</x:v>
      </x:c>
      <x:c r="E297" s="24" t="str">
        <x:v>Progressiva</x:v>
      </x:c>
      <x:c r="F297" s="24" t="str">
        <x:v>Surfaçada</x:v>
      </x:c>
      <x:c r="G297" s="24" t="str">
        <x:v>HOYA Argos</x:v>
      </x:c>
      <x:c r="H297" s="24" t="str">
        <x:v>INCOLOR</x:v>
      </x:c>
      <x:c r="I297" s="24" t="str">
        <x:v>POLI</x:v>
      </x:c>
      <x:c r="J297" s="24" t="str">
        <x:v>1.59</x:v>
      </x:c>
      <x:c r="K297" s="24" t="str">
        <x:v>Hi-Vision Meiryo</x:v>
      </x:c>
      <x:c r="L297" s="40" t="n">
        <x:v>2699</x:v>
      </x:c>
      <x:c r="M297" s="24" t="str">
        <x:v>-10.00 até +6.00</x:v>
      </x:c>
      <x:c r="N297" s="24"/>
      <x:c r="O297" s="24"/>
      <x:c r="P297" s="24"/>
      <x:c r="Q297" s="24"/>
      <x:c r="R297" s="24"/>
      <x:c r="S297" s="26" t="n">
        <x:v>45992</x:v>
      </x:c>
      <x:c r="T297" s="26"/>
      <x:c r="U297" s="24" t="str">
        <x:v>ATIVA/SEM FIM INFORMADO</x:v>
      </x:c>
      <x:c r="V297" s="24"/>
      <x:c r="W297" s="24" t="n">
        <x:v>28</x:v>
      </x:c>
      <x:c r="X297" s="24" t="str">
        <x:v>tabela_hoya(1).pdf</x:v>
      </x:c>
      <x:c r="Y297" s="24" t="str">
        <x:v>alta</x:v>
      </x:c>
      <x:c r="Z297" s="24" t="str">
        <x:v>Tratamento/produto marcado como “EM BREVE” na própria tabela HOYA; preço preservado, mas bloqueado no export web.</x:v>
      </x:c>
      <x:c r="AA297" s="24" t="str">
        <x:v>HOYA|Progressiva|Surfaçada|HOYA Argos|INCOLOR|POLI|1.59|Hi-Vision Meiryo|-10.00 até +6.00||||||28</x:v>
      </x:c>
    </x:row>
    <x:row r="298">
      <x:c r="A298" s="24" t="str">
        <x:v>HY-84662724350A</x:v>
      </x:c>
      <x:c r="B298" s="24" t="str">
        <x:v>NÃO</x:v>
      </x:c>
      <x:c r="C298" s="24" t="str">
        <x:v>EM BREVE</x:v>
      </x:c>
      <x:c r="D298" s="24" t="str">
        <x:v>HOYA</x:v>
      </x:c>
      <x:c r="E298" s="24" t="str">
        <x:v>Progressiva</x:v>
      </x:c>
      <x:c r="F298" s="24" t="str">
        <x:v>Surfaçada</x:v>
      </x:c>
      <x:c r="G298" s="24" t="str">
        <x:v>HOYA Argos</x:v>
      </x:c>
      <x:c r="H298" s="24" t="str">
        <x:v>INCOLOR</x:v>
      </x:c>
      <x:c r="I298" s="24" t="str">
        <x:v>PNX</x:v>
      </x:c>
      <x:c r="J298" s="24" t="str">
        <x:v>1.53</x:v>
      </x:c>
      <x:c r="K298" s="24" t="str">
        <x:v>Hi-Vision Meiryo</x:v>
      </x:c>
      <x:c r="L298" s="40" t="n">
        <x:v>2699</x:v>
      </x:c>
      <x:c r="M298" s="24" t="str">
        <x:v>-8.00 até +6.00</x:v>
      </x:c>
      <x:c r="N298" s="24"/>
      <x:c r="O298" s="24"/>
      <x:c r="P298" s="24"/>
      <x:c r="Q298" s="24"/>
      <x:c r="R298" s="24"/>
      <x:c r="S298" s="26" t="n">
        <x:v>45992</x:v>
      </x:c>
      <x:c r="T298" s="26"/>
      <x:c r="U298" s="24" t="str">
        <x:v>ATIVA/SEM FIM INFORMADO</x:v>
      </x:c>
      <x:c r="V298" s="24"/>
      <x:c r="W298" s="24" t="n">
        <x:v>28</x:v>
      </x:c>
      <x:c r="X298" s="24" t="str">
        <x:v>tabela_hoya(1).pdf</x:v>
      </x:c>
      <x:c r="Y298" s="24" t="str">
        <x:v>alta</x:v>
      </x:c>
      <x:c r="Z298" s="24" t="str">
        <x:v>Tratamento/produto marcado como “EM BREVE” na própria tabela HOYA; preço preservado, mas bloqueado no export web.</x:v>
      </x:c>
      <x:c r="AA298" s="24" t="str">
        <x:v>HOYA|Progressiva|Surfaçada|HOYA Argos|INCOLOR|PNX|1.53|Hi-Vision Meiryo|-8.00 até +6.00||||||28</x:v>
      </x:c>
    </x:row>
    <x:row r="299">
      <x:c r="A299" s="24" t="str">
        <x:v>HY-B8185997D90F</x:v>
      </x:c>
      <x:c r="B299" s="24" t="str">
        <x:v>NÃO</x:v>
      </x:c>
      <x:c r="C299" s="24" t="str">
        <x:v>EM BREVE</x:v>
      </x:c>
      <x:c r="D299" s="24" t="str">
        <x:v>HOYA</x:v>
      </x:c>
      <x:c r="E299" s="24" t="str">
        <x:v>Progressiva</x:v>
      </x:c>
      <x:c r="F299" s="24" t="str">
        <x:v>Surfaçada</x:v>
      </x:c>
      <x:c r="G299" s="24" t="str">
        <x:v>HOYA Argos</x:v>
      </x:c>
      <x:c r="H299" s="24" t="str">
        <x:v>INCOLOR</x:v>
      </x:c>
      <x:c r="I299" s="24" t="str">
        <x:v>ORGANIC</x:v>
      </x:c>
      <x:c r="J299" s="24" t="str">
        <x:v>1.50</x:v>
      </x:c>
      <x:c r="K299" s="24" t="str">
        <x:v>Hi-Vision Meiryo</x:v>
      </x:c>
      <x:c r="L299" s="40" t="n">
        <x:v>2349</x:v>
      </x:c>
      <x:c r="M299" s="24" t="str">
        <x:v>-8.00 até +6.00</x:v>
      </x:c>
      <x:c r="N299" s="24"/>
      <x:c r="O299" s="24"/>
      <x:c r="P299" s="24"/>
      <x:c r="Q299" s="24"/>
      <x:c r="R299" s="24"/>
      <x:c r="S299" s="26" t="n">
        <x:v>45992</x:v>
      </x:c>
      <x:c r="T299" s="26"/>
      <x:c r="U299" s="24" t="str">
        <x:v>ATIVA/SEM FIM INFORMADO</x:v>
      </x:c>
      <x:c r="V299" s="24"/>
      <x:c r="W299" s="24" t="n">
        <x:v>28</x:v>
      </x:c>
      <x:c r="X299" s="24" t="str">
        <x:v>tabela_hoya(1).pdf</x:v>
      </x:c>
      <x:c r="Y299" s="24" t="str">
        <x:v>alta</x:v>
      </x:c>
      <x:c r="Z299" s="24" t="str">
        <x:v>Tratamento/produto marcado como “EM BREVE” na própria tabela HOYA; preço preservado, mas bloqueado no export web.</x:v>
      </x:c>
      <x:c r="AA299" s="24" t="str">
        <x:v>HOYA|Progressiva|Surfaçada|HOYA Argos|INCOLOR|ORGANIC|1.50|Hi-Vision Meiryo|-8.00 até +6.00||||||28</x:v>
      </x:c>
    </x:row>
    <x:row r="300">
      <x:c r="A300" s="24" t="str">
        <x:v>HY-6D57F9D833AB</x:v>
      </x:c>
      <x:c r="B300" s="24" t="str">
        <x:v>SIM</x:v>
      </x:c>
      <x:c r="C300" s="24" t="str">
        <x:v>DISPONÍVEL</x:v>
      </x:c>
      <x:c r="D300" s="24" t="str">
        <x:v>HOYA</x:v>
      </x:c>
      <x:c r="E300" s="24" t="str">
        <x:v>Progressiva</x:v>
      </x:c>
      <x:c r="F300" s="24" t="str">
        <x:v>Surfaçada</x:v>
      </x:c>
      <x:c r="G300" s="24" t="str">
        <x:v>HOYA Argos</x:v>
      </x:c>
      <x:c r="H300" s="24" t="str">
        <x:v>INCOLOR</x:v>
      </x:c>
      <x:c r="I300" s="24" t="str">
        <x:v>EYNOA</x:v>
      </x:c>
      <x:c r="J300" s="24" t="str">
        <x:v>1.67</x:v>
      </x:c>
      <x:c r="K300" s="24" t="str">
        <x:v>Hi-Vision LongLife BlueControl</x:v>
      </x:c>
      <x:c r="L300" s="40" t="n">
        <x:v>4759</x:v>
      </x:c>
      <x:c r="M300" s="24" t="str">
        <x:v>-13.00 até +7.50</x:v>
      </x:c>
      <x:c r="N300" s="24"/>
      <x:c r="O300" s="24"/>
      <x:c r="P300" s="24"/>
      <x:c r="Q300" s="24"/>
      <x:c r="R300" s="24"/>
      <x:c r="S300" s="26" t="n">
        <x:v>45992</x:v>
      </x:c>
      <x:c r="T300" s="26"/>
      <x:c r="U300" s="24" t="str">
        <x:v>ATIVA/SEM FIM INFORMADO</x:v>
      </x:c>
      <x:c r="V300" s="24"/>
      <x:c r="W300" s="24" t="n">
        <x:v>28</x:v>
      </x:c>
      <x:c r="X300" s="24" t="str">
        <x:v>tabela_hoya(1).pdf</x:v>
      </x:c>
      <x:c r="Y300" s="24" t="str">
        <x:v>alta</x:v>
      </x:c>
      <x:c r="Z300" s="24"/>
      <x:c r="AA300" s="24" t="str">
        <x:v>HOYA|Progressiva|Surfaçada|HOYA Argos|INCOLOR|EYNOA|1.67|Hi-Vision LongLife BlueControl|-13.00 até +7.50||||||28</x:v>
      </x:c>
    </x:row>
    <x:row r="301">
      <x:c r="A301" s="24" t="str">
        <x:v>HY-42E92EE9EB0F</x:v>
      </x:c>
      <x:c r="B301" s="24" t="str">
        <x:v>SIM</x:v>
      </x:c>
      <x:c r="C301" s="24" t="str">
        <x:v>DISPONÍVEL</x:v>
      </x:c>
      <x:c r="D301" s="24" t="str">
        <x:v>HOYA</x:v>
      </x:c>
      <x:c r="E301" s="24" t="str">
        <x:v>Progressiva</x:v>
      </x:c>
      <x:c r="F301" s="24" t="str">
        <x:v>Surfaçada</x:v>
      </x:c>
      <x:c r="G301" s="24" t="str">
        <x:v>HOYA Argos</x:v>
      </x:c>
      <x:c r="H301" s="24" t="str">
        <x:v>INCOLOR</x:v>
      </x:c>
      <x:c r="I301" s="24" t="str">
        <x:v>EYAS 2.0</x:v>
      </x:c>
      <x:c r="J301" s="24" t="str">
        <x:v>1.60</x:v>
      </x:c>
      <x:c r="K301" s="24" t="str">
        <x:v>Hi-Vision LongLife BlueControl</x:v>
      </x:c>
      <x:c r="L301" s="40" t="n">
        <x:v>2959</x:v>
      </x:c>
      <x:c r="M301" s="24" t="str">
        <x:v>-10.00 até +6.00</x:v>
      </x:c>
      <x:c r="N301" s="24"/>
      <x:c r="O301" s="24"/>
      <x:c r="P301" s="24"/>
      <x:c r="Q301" s="24"/>
      <x:c r="R301" s="24"/>
      <x:c r="S301" s="26" t="n">
        <x:v>45992</x:v>
      </x:c>
      <x:c r="T301" s="26"/>
      <x:c r="U301" s="24" t="str">
        <x:v>ATIVA/SEM FIM INFORMADO</x:v>
      </x:c>
      <x:c r="V301" s="24"/>
      <x:c r="W301" s="24" t="n">
        <x:v>28</x:v>
      </x:c>
      <x:c r="X301" s="24" t="str">
        <x:v>tabela_hoya(1).pdf</x:v>
      </x:c>
      <x:c r="Y301" s="24" t="str">
        <x:v>alta</x:v>
      </x:c>
      <x:c r="Z301" s="24"/>
      <x:c r="AA301" s="24" t="str">
        <x:v>HOYA|Progressiva|Surfaçada|HOYA Argos|INCOLOR|EYAS 2.0|1.60|Hi-Vision LongLife BlueControl|-10.00 até +6.00||||||28</x:v>
      </x:c>
    </x:row>
    <x:row r="302">
      <x:c r="A302" s="24" t="str">
        <x:v>HY-E1B42CE5ADA5</x:v>
      </x:c>
      <x:c r="B302" s="24" t="str">
        <x:v>SIM</x:v>
      </x:c>
      <x:c r="C302" s="24" t="str">
        <x:v>DISPONÍVEL</x:v>
      </x:c>
      <x:c r="D302" s="24" t="str">
        <x:v>HOYA</x:v>
      </x:c>
      <x:c r="E302" s="24" t="str">
        <x:v>Progressiva</x:v>
      </x:c>
      <x:c r="F302" s="24" t="str">
        <x:v>Surfaçada</x:v>
      </x:c>
      <x:c r="G302" s="24" t="str">
        <x:v>HOYA Argos</x:v>
      </x:c>
      <x:c r="H302" s="24" t="str">
        <x:v>INCOLOR</x:v>
      </x:c>
      <x:c r="I302" s="24" t="str">
        <x:v>PNX</x:v>
      </x:c>
      <x:c r="J302" s="24" t="str">
        <x:v>1.53</x:v>
      </x:c>
      <x:c r="K302" s="24" t="str">
        <x:v>Hi-Vision LongLife BlueControl</x:v>
      </x:c>
      <x:c r="L302" s="40" t="n">
        <x:v>2499</x:v>
      </x:c>
      <x:c r="M302" s="24" t="str">
        <x:v>-8.00 até +6.00</x:v>
      </x:c>
      <x:c r="N302" s="24"/>
      <x:c r="O302" s="24"/>
      <x:c r="P302" s="24"/>
      <x:c r="Q302" s="24"/>
      <x:c r="R302" s="24"/>
      <x:c r="S302" s="26" t="n">
        <x:v>45992</x:v>
      </x:c>
      <x:c r="T302" s="26"/>
      <x:c r="U302" s="24" t="str">
        <x:v>ATIVA/SEM FIM INFORMADO</x:v>
      </x:c>
      <x:c r="V302" s="24"/>
      <x:c r="W302" s="24" t="n">
        <x:v>28</x:v>
      </x:c>
      <x:c r="X302" s="24" t="str">
        <x:v>tabela_hoya(1).pdf</x:v>
      </x:c>
      <x:c r="Y302" s="24" t="str">
        <x:v>alta</x:v>
      </x:c>
      <x:c r="Z302" s="24"/>
      <x:c r="AA302" s="24" t="str">
        <x:v>HOYA|Progressiva|Surfaçada|HOYA Argos|INCOLOR|PNX|1.53|Hi-Vision LongLife BlueControl|-8.00 até +6.00||||||28</x:v>
      </x:c>
    </x:row>
    <x:row r="303">
      <x:c r="A303" s="24" t="str">
        <x:v>HY-BFC7D43B5105</x:v>
      </x:c>
      <x:c r="B303" s="24" t="str">
        <x:v>SIM</x:v>
      </x:c>
      <x:c r="C303" s="24" t="str">
        <x:v>DISPONÍVEL</x:v>
      </x:c>
      <x:c r="D303" s="24" t="str">
        <x:v>HOYA</x:v>
      </x:c>
      <x:c r="E303" s="24" t="str">
        <x:v>Progressiva</x:v>
      </x:c>
      <x:c r="F303" s="24" t="str">
        <x:v>Surfaçada</x:v>
      </x:c>
      <x:c r="G303" s="24" t="str">
        <x:v>HOYA Argos</x:v>
      </x:c>
      <x:c r="H303" s="24" t="str">
        <x:v>INCOLOR</x:v>
      </x:c>
      <x:c r="I303" s="24" t="str">
        <x:v>ORGANIC</x:v>
      </x:c>
      <x:c r="J303" s="24" t="str">
        <x:v>1.50</x:v>
      </x:c>
      <x:c r="K303" s="24" t="str">
        <x:v>Hi-Vision LongLife BlueControl</x:v>
      </x:c>
      <x:c r="L303" s="40" t="n">
        <x:v>2149</x:v>
      </x:c>
      <x:c r="M303" s="24" t="str">
        <x:v>-8.00 até +6.00</x:v>
      </x:c>
      <x:c r="N303" s="24"/>
      <x:c r="O303" s="24"/>
      <x:c r="P303" s="24"/>
      <x:c r="Q303" s="24"/>
      <x:c r="R303" s="24"/>
      <x:c r="S303" s="26" t="n">
        <x:v>45992</x:v>
      </x:c>
      <x:c r="T303" s="26"/>
      <x:c r="U303" s="24" t="str">
        <x:v>ATIVA/SEM FIM INFORMADO</x:v>
      </x:c>
      <x:c r="V303" s="24"/>
      <x:c r="W303" s="24" t="n">
        <x:v>28</x:v>
      </x:c>
      <x:c r="X303" s="24" t="str">
        <x:v>tabela_hoya(1).pdf</x:v>
      </x:c>
      <x:c r="Y303" s="24" t="str">
        <x:v>alta</x:v>
      </x:c>
      <x:c r="Z303" s="24"/>
      <x:c r="AA303" s="24" t="str">
        <x:v>HOYA|Progressiva|Surfaçada|HOYA Argos|INCOLOR|ORGANIC|1.50|Hi-Vision LongLife BlueControl|-8.00 até +6.00||||||28</x:v>
      </x:c>
    </x:row>
    <x:row r="304">
      <x:c r="A304" s="24" t="str">
        <x:v>HY-3FD389E22B7F</x:v>
      </x:c>
      <x:c r="B304" s="24" t="str">
        <x:v>SIM</x:v>
      </x:c>
      <x:c r="C304" s="24" t="str">
        <x:v>DISPONÍVEL</x:v>
      </x:c>
      <x:c r="D304" s="24" t="str">
        <x:v>HOYA</x:v>
      </x:c>
      <x:c r="E304" s="24" t="str">
        <x:v>Progressiva</x:v>
      </x:c>
      <x:c r="F304" s="24" t="str">
        <x:v>Surfaçada</x:v>
      </x:c>
      <x:c r="G304" s="24" t="str">
        <x:v>HOYA Argos</x:v>
      </x:c>
      <x:c r="H304" s="24" t="str">
        <x:v>INCOLOR</x:v>
      </x:c>
      <x:c r="I304" s="24" t="str">
        <x:v>EYNOA</x:v>
      </x:c>
      <x:c r="J304" s="24" t="str">
        <x:v>1.67</x:v>
      </x:c>
      <x:c r="K304" s="24" t="str">
        <x:v>No-Risk BlueControl</x:v>
      </x:c>
      <x:c r="L304" s="40" t="n">
        <x:v>4509</x:v>
      </x:c>
      <x:c r="M304" s="24" t="str">
        <x:v>-13.00 até +7.50</x:v>
      </x:c>
      <x:c r="N304" s="24"/>
      <x:c r="O304" s="24"/>
      <x:c r="P304" s="24"/>
      <x:c r="Q304" s="24"/>
      <x:c r="R304" s="24"/>
      <x:c r="S304" s="26" t="n">
        <x:v>45992</x:v>
      </x:c>
      <x:c r="T304" s="26"/>
      <x:c r="U304" s="24" t="str">
        <x:v>ATIVA/SEM FIM INFORMADO</x:v>
      </x:c>
      <x:c r="V304" s="24"/>
      <x:c r="W304" s="24" t="n">
        <x:v>28</x:v>
      </x:c>
      <x:c r="X304" s="24" t="str">
        <x:v>tabela_hoya(1).pdf</x:v>
      </x:c>
      <x:c r="Y304" s="24" t="str">
        <x:v>alta</x:v>
      </x:c>
      <x:c r="Z304" s="24"/>
      <x:c r="AA304" s="24" t="str">
        <x:v>HOYA|Progressiva|Surfaçada|HOYA Argos|INCOLOR|EYNOA|1.67|No-Risk BlueControl|-13.00 até +7.50||||||28</x:v>
      </x:c>
    </x:row>
    <x:row r="305">
      <x:c r="A305" s="24" t="str">
        <x:v>HY-49D9561ED646</x:v>
      </x:c>
      <x:c r="B305" s="24" t="str">
        <x:v>SIM</x:v>
      </x:c>
      <x:c r="C305" s="24" t="str">
        <x:v>DISPONÍVEL</x:v>
      </x:c>
      <x:c r="D305" s="24" t="str">
        <x:v>HOYA</x:v>
      </x:c>
      <x:c r="E305" s="24" t="str">
        <x:v>Progressiva</x:v>
      </x:c>
      <x:c r="F305" s="24" t="str">
        <x:v>Surfaçada</x:v>
      </x:c>
      <x:c r="G305" s="24" t="str">
        <x:v>HOYA Argos</x:v>
      </x:c>
      <x:c r="H305" s="24" t="str">
        <x:v>INCOLOR</x:v>
      </x:c>
      <x:c r="I305" s="24" t="str">
        <x:v>EYAS 2.0</x:v>
      </x:c>
      <x:c r="J305" s="24" t="str">
        <x:v>1.60</x:v>
      </x:c>
      <x:c r="K305" s="24" t="str">
        <x:v>No-Risk BlueControl</x:v>
      </x:c>
      <x:c r="L305" s="40" t="n">
        <x:v>2709</x:v>
      </x:c>
      <x:c r="M305" s="24" t="str">
        <x:v>-10.00 até +6.00</x:v>
      </x:c>
      <x:c r="N305" s="24"/>
      <x:c r="O305" s="24"/>
      <x:c r="P305" s="24"/>
      <x:c r="Q305" s="24"/>
      <x:c r="R305" s="24"/>
      <x:c r="S305" s="26" t="n">
        <x:v>45992</x:v>
      </x:c>
      <x:c r="T305" s="26"/>
      <x:c r="U305" s="24" t="str">
        <x:v>ATIVA/SEM FIM INFORMADO</x:v>
      </x:c>
      <x:c r="V305" s="24"/>
      <x:c r="W305" s="24" t="n">
        <x:v>28</x:v>
      </x:c>
      <x:c r="X305" s="24" t="str">
        <x:v>tabela_hoya(1).pdf</x:v>
      </x:c>
      <x:c r="Y305" s="24" t="str">
        <x:v>alta</x:v>
      </x:c>
      <x:c r="Z305" s="24"/>
      <x:c r="AA305" s="24" t="str">
        <x:v>HOYA|Progressiva|Surfaçada|HOYA Argos|INCOLOR|EYAS 2.0|1.60|No-Risk BlueControl|-10.00 até +6.00||||||28</x:v>
      </x:c>
    </x:row>
    <x:row r="306">
      <x:c r="A306" s="24" t="str">
        <x:v>HY-D2CE9EF5CB74</x:v>
      </x:c>
      <x:c r="B306" s="24" t="str">
        <x:v>SIM</x:v>
      </x:c>
      <x:c r="C306" s="24" t="str">
        <x:v>DISPONÍVEL</x:v>
      </x:c>
      <x:c r="D306" s="24" t="str">
        <x:v>HOYA</x:v>
      </x:c>
      <x:c r="E306" s="24" t="str">
        <x:v>Progressiva</x:v>
      </x:c>
      <x:c r="F306" s="24" t="str">
        <x:v>Surfaçada</x:v>
      </x:c>
      <x:c r="G306" s="24" t="str">
        <x:v>HOYA Argos</x:v>
      </x:c>
      <x:c r="H306" s="24" t="str">
        <x:v>INCOLOR</x:v>
      </x:c>
      <x:c r="I306" s="24" t="str">
        <x:v>POLI</x:v>
      </x:c>
      <x:c r="J306" s="24" t="str">
        <x:v>1.59</x:v>
      </x:c>
      <x:c r="K306" s="24" t="str">
        <x:v>No-Risk BlueControl</x:v>
      </x:c>
      <x:c r="L306" s="40" t="n">
        <x:v>2249</x:v>
      </x:c>
      <x:c r="M306" s="24" t="str">
        <x:v>-10.00 até +6.00</x:v>
      </x:c>
      <x:c r="N306" s="24"/>
      <x:c r="O306" s="24"/>
      <x:c r="P306" s="24"/>
      <x:c r="Q306" s="24"/>
      <x:c r="R306" s="24"/>
      <x:c r="S306" s="26" t="n">
        <x:v>45992</x:v>
      </x:c>
      <x:c r="T306" s="26"/>
      <x:c r="U306" s="24" t="str">
        <x:v>ATIVA/SEM FIM INFORMADO</x:v>
      </x:c>
      <x:c r="V306" s="24"/>
      <x:c r="W306" s="24" t="n">
        <x:v>28</x:v>
      </x:c>
      <x:c r="X306" s="24" t="str">
        <x:v>tabela_hoya(1).pdf</x:v>
      </x:c>
      <x:c r="Y306" s="24" t="str">
        <x:v>alta</x:v>
      </x:c>
      <x:c r="Z306" s="24"/>
      <x:c r="AA306" s="24" t="str">
        <x:v>HOYA|Progressiva|Surfaçada|HOYA Argos|INCOLOR|POLI|1.59|No-Risk BlueControl|-10.00 até +6.00||||||28</x:v>
      </x:c>
    </x:row>
    <x:row r="307">
      <x:c r="A307" s="24" t="str">
        <x:v>HY-8863BD59CF8F</x:v>
      </x:c>
      <x:c r="B307" s="24" t="str">
        <x:v>SIM</x:v>
      </x:c>
      <x:c r="C307" s="24" t="str">
        <x:v>DISPONÍVEL</x:v>
      </x:c>
      <x:c r="D307" s="24" t="str">
        <x:v>HOYA</x:v>
      </x:c>
      <x:c r="E307" s="24" t="str">
        <x:v>Progressiva</x:v>
      </x:c>
      <x:c r="F307" s="24" t="str">
        <x:v>Surfaçada</x:v>
      </x:c>
      <x:c r="G307" s="24" t="str">
        <x:v>HOYA Argos</x:v>
      </x:c>
      <x:c r="H307" s="24" t="str">
        <x:v>INCOLOR</x:v>
      </x:c>
      <x:c r="I307" s="24" t="str">
        <x:v>PNX</x:v>
      </x:c>
      <x:c r="J307" s="24" t="str">
        <x:v>1.53</x:v>
      </x:c>
      <x:c r="K307" s="24" t="str">
        <x:v>No-Risk BlueControl</x:v>
      </x:c>
      <x:c r="L307" s="40" t="n">
        <x:v>2249</x:v>
      </x:c>
      <x:c r="M307" s="24" t="str">
        <x:v>-8.00 até +6.00</x:v>
      </x:c>
      <x:c r="N307" s="24"/>
      <x:c r="O307" s="24"/>
      <x:c r="P307" s="24"/>
      <x:c r="Q307" s="24"/>
      <x:c r="R307" s="24"/>
      <x:c r="S307" s="26" t="n">
        <x:v>45992</x:v>
      </x:c>
      <x:c r="T307" s="26"/>
      <x:c r="U307" s="24" t="str">
        <x:v>ATIVA/SEM FIM INFORMADO</x:v>
      </x:c>
      <x:c r="V307" s="24"/>
      <x:c r="W307" s="24" t="n">
        <x:v>28</x:v>
      </x:c>
      <x:c r="X307" s="24" t="str">
        <x:v>tabela_hoya(1).pdf</x:v>
      </x:c>
      <x:c r="Y307" s="24" t="str">
        <x:v>alta</x:v>
      </x:c>
      <x:c r="Z307" s="24"/>
      <x:c r="AA307" s="24" t="str">
        <x:v>HOYA|Progressiva|Surfaçada|HOYA Argos|INCOLOR|PNX|1.53|No-Risk BlueControl|-8.00 até +6.00||||||28</x:v>
      </x:c>
    </x:row>
    <x:row r="308">
      <x:c r="A308" s="24" t="str">
        <x:v>HY-38A16CB030F3</x:v>
      </x:c>
      <x:c r="B308" s="24" t="str">
        <x:v>SIM</x:v>
      </x:c>
      <x:c r="C308" s="24" t="str">
        <x:v>DISPONÍVEL</x:v>
      </x:c>
      <x:c r="D308" s="24" t="str">
        <x:v>HOYA</x:v>
      </x:c>
      <x:c r="E308" s="24" t="str">
        <x:v>Progressiva</x:v>
      </x:c>
      <x:c r="F308" s="24" t="str">
        <x:v>Surfaçada</x:v>
      </x:c>
      <x:c r="G308" s="24" t="str">
        <x:v>HOYA Argos</x:v>
      </x:c>
      <x:c r="H308" s="24" t="str">
        <x:v>INCOLOR</x:v>
      </x:c>
      <x:c r="I308" s="24" t="str">
        <x:v>ORGANIC</x:v>
      </x:c>
      <x:c r="J308" s="24" t="str">
        <x:v>1.50</x:v>
      </x:c>
      <x:c r="K308" s="24" t="str">
        <x:v>No-Risk BlueControl</x:v>
      </x:c>
      <x:c r="L308" s="40" t="n">
        <x:v>1899</x:v>
      </x:c>
      <x:c r="M308" s="24" t="str">
        <x:v>-8.00 até +6.00</x:v>
      </x:c>
      <x:c r="N308" s="24"/>
      <x:c r="O308" s="24"/>
      <x:c r="P308" s="24"/>
      <x:c r="Q308" s="24"/>
      <x:c r="R308" s="24"/>
      <x:c r="S308" s="26" t="n">
        <x:v>45992</x:v>
      </x:c>
      <x:c r="T308" s="26"/>
      <x:c r="U308" s="24" t="str">
        <x:v>ATIVA/SEM FIM INFORMADO</x:v>
      </x:c>
      <x:c r="V308" s="24"/>
      <x:c r="W308" s="24" t="n">
        <x:v>28</x:v>
      </x:c>
      <x:c r="X308" s="24" t="str">
        <x:v>tabela_hoya(1).pdf</x:v>
      </x:c>
      <x:c r="Y308" s="24" t="str">
        <x:v>alta</x:v>
      </x:c>
      <x:c r="Z308" s="24"/>
      <x:c r="AA308" s="24" t="str">
        <x:v>HOYA|Progressiva|Surfaçada|HOYA Argos|INCOLOR|ORGANIC|1.50|No-Risk BlueControl|-8.00 até +6.00||||||28</x:v>
      </x:c>
    </x:row>
    <x:row r="309">
      <x:c r="A309" s="24" t="str">
        <x:v>HY-6A97427B41E4</x:v>
      </x:c>
      <x:c r="B309" s="24" t="str">
        <x:v>SIM</x:v>
      </x:c>
      <x:c r="C309" s="24" t="str">
        <x:v>DISPONÍVEL</x:v>
      </x:c>
      <x:c r="D309" s="24" t="str">
        <x:v>HOYA</x:v>
      </x:c>
      <x:c r="E309" s="24" t="str">
        <x:v>Progressiva</x:v>
      </x:c>
      <x:c r="F309" s="24" t="str">
        <x:v>Surfaçada</x:v>
      </x:c>
      <x:c r="G309" s="24" t="str">
        <x:v>HOYA Argos</x:v>
      </x:c>
      <x:c r="H309" s="24" t="str">
        <x:v>INCOLOR</x:v>
      </x:c>
      <x:c r="I309" s="24" t="str">
        <x:v>EYNOA</x:v>
      </x:c>
      <x:c r="J309" s="24" t="str">
        <x:v>1.67</x:v>
      </x:c>
      <x:c r="K309" s="24" t="str">
        <x:v>Hi-Vision Hard</x:v>
      </x:c>
      <x:c r="L309" s="40" t="n">
        <x:v>3909</x:v>
      </x:c>
      <x:c r="M309" s="24" t="str">
        <x:v>-13.00 até +7.50</x:v>
      </x:c>
      <x:c r="N309" s="24"/>
      <x:c r="O309" s="24"/>
      <x:c r="P309" s="24"/>
      <x:c r="Q309" s="24"/>
      <x:c r="R309" s="24"/>
      <x:c r="S309" s="26" t="n">
        <x:v>45992</x:v>
      </x:c>
      <x:c r="T309" s="26"/>
      <x:c r="U309" s="24" t="str">
        <x:v>ATIVA/SEM FIM INFORMADO</x:v>
      </x:c>
      <x:c r="V309" s="24"/>
      <x:c r="W309" s="24" t="n">
        <x:v>28</x:v>
      </x:c>
      <x:c r="X309" s="24" t="str">
        <x:v>tabela_hoya(1).pdf</x:v>
      </x:c>
      <x:c r="Y309" s="24" t="str">
        <x:v>alta</x:v>
      </x:c>
      <x:c r="Z309" s="24"/>
      <x:c r="AA309" s="24" t="str">
        <x:v>HOYA|Progressiva|Surfaçada|HOYA Argos|INCOLOR|EYNOA|1.67|Hi-Vision Hard|-13.00 até +7.50||||||28</x:v>
      </x:c>
    </x:row>
    <x:row r="310">
      <x:c r="A310" s="24" t="str">
        <x:v>HY-EE13266FD8F0</x:v>
      </x:c>
      <x:c r="B310" s="24" t="str">
        <x:v>SIM</x:v>
      </x:c>
      <x:c r="C310" s="24" t="str">
        <x:v>DISPONÍVEL</x:v>
      </x:c>
      <x:c r="D310" s="24" t="str">
        <x:v>HOYA</x:v>
      </x:c>
      <x:c r="E310" s="24" t="str">
        <x:v>Progressiva</x:v>
      </x:c>
      <x:c r="F310" s="24" t="str">
        <x:v>Surfaçada</x:v>
      </x:c>
      <x:c r="G310" s="24" t="str">
        <x:v>HOYA Argos</x:v>
      </x:c>
      <x:c r="H310" s="24" t="str">
        <x:v>INCOLOR</x:v>
      </x:c>
      <x:c r="I310" s="24" t="str">
        <x:v>EYAS 2.0</x:v>
      </x:c>
      <x:c r="J310" s="24" t="str">
        <x:v>1.60</x:v>
      </x:c>
      <x:c r="K310" s="24" t="str">
        <x:v>Hi-Vision Hard</x:v>
      </x:c>
      <x:c r="L310" s="40" t="n">
        <x:v>2109</x:v>
      </x:c>
      <x:c r="M310" s="24" t="str">
        <x:v>-10.00 até +6.00</x:v>
      </x:c>
      <x:c r="N310" s="24"/>
      <x:c r="O310" s="24"/>
      <x:c r="P310" s="24"/>
      <x:c r="Q310" s="24"/>
      <x:c r="R310" s="24"/>
      <x:c r="S310" s="26" t="n">
        <x:v>45992</x:v>
      </x:c>
      <x:c r="T310" s="26"/>
      <x:c r="U310" s="24" t="str">
        <x:v>ATIVA/SEM FIM INFORMADO</x:v>
      </x:c>
      <x:c r="V310" s="24"/>
      <x:c r="W310" s="24" t="n">
        <x:v>28</x:v>
      </x:c>
      <x:c r="X310" s="24" t="str">
        <x:v>tabela_hoya(1).pdf</x:v>
      </x:c>
      <x:c r="Y310" s="24" t="str">
        <x:v>alta</x:v>
      </x:c>
      <x:c r="Z310" s="24"/>
      <x:c r="AA310" s="24" t="str">
        <x:v>HOYA|Progressiva|Surfaçada|HOYA Argos|INCOLOR|EYAS 2.0|1.60|Hi-Vision Hard|-10.00 até +6.00||||||28</x:v>
      </x:c>
    </x:row>
    <x:row r="311">
      <x:c r="A311" s="24" t="str">
        <x:v>HY-05FB5B60A729</x:v>
      </x:c>
      <x:c r="B311" s="24" t="str">
        <x:v>SIM</x:v>
      </x:c>
      <x:c r="C311" s="24" t="str">
        <x:v>DISPONÍVEL</x:v>
      </x:c>
      <x:c r="D311" s="24" t="str">
        <x:v>HOYA</x:v>
      </x:c>
      <x:c r="E311" s="24" t="str">
        <x:v>Progressiva</x:v>
      </x:c>
      <x:c r="F311" s="24" t="str">
        <x:v>Surfaçada</x:v>
      </x:c>
      <x:c r="G311" s="24" t="str">
        <x:v>HOYA Argos</x:v>
      </x:c>
      <x:c r="H311" s="24" t="str">
        <x:v>INCOLOR</x:v>
      </x:c>
      <x:c r="I311" s="24" t="str">
        <x:v>POLI</x:v>
      </x:c>
      <x:c r="J311" s="24" t="str">
        <x:v>1.59</x:v>
      </x:c>
      <x:c r="K311" s="24" t="str">
        <x:v>Hi-Vision Hard</x:v>
      </x:c>
      <x:c r="L311" s="40" t="n">
        <x:v>1649</x:v>
      </x:c>
      <x:c r="M311" s="24" t="str">
        <x:v>-10.00 até +6.00</x:v>
      </x:c>
      <x:c r="N311" s="24"/>
      <x:c r="O311" s="24"/>
      <x:c r="P311" s="24"/>
      <x:c r="Q311" s="24"/>
      <x:c r="R311" s="24"/>
      <x:c r="S311" s="26" t="n">
        <x:v>45992</x:v>
      </x:c>
      <x:c r="T311" s="26"/>
      <x:c r="U311" s="24" t="str">
        <x:v>ATIVA/SEM FIM INFORMADO</x:v>
      </x:c>
      <x:c r="V311" s="24"/>
      <x:c r="W311" s="24" t="n">
        <x:v>28</x:v>
      </x:c>
      <x:c r="X311" s="24" t="str">
        <x:v>tabela_hoya(1).pdf</x:v>
      </x:c>
      <x:c r="Y311" s="24" t="str">
        <x:v>alta</x:v>
      </x:c>
      <x:c r="Z311" s="24"/>
      <x:c r="AA311" s="24" t="str">
        <x:v>HOYA|Progressiva|Surfaçada|HOYA Argos|INCOLOR|POLI|1.59|Hi-Vision Hard|-10.00 até +6.00||||||28</x:v>
      </x:c>
    </x:row>
    <x:row r="312">
      <x:c r="A312" s="24" t="str">
        <x:v>HY-477C3674DB48</x:v>
      </x:c>
      <x:c r="B312" s="24" t="str">
        <x:v>SIM</x:v>
      </x:c>
      <x:c r="C312" s="24" t="str">
        <x:v>DISPONÍVEL</x:v>
      </x:c>
      <x:c r="D312" s="24" t="str">
        <x:v>HOYA</x:v>
      </x:c>
      <x:c r="E312" s="24" t="str">
        <x:v>Progressiva</x:v>
      </x:c>
      <x:c r="F312" s="24" t="str">
        <x:v>Surfaçada</x:v>
      </x:c>
      <x:c r="G312" s="24" t="str">
        <x:v>HOYA Argos</x:v>
      </x:c>
      <x:c r="H312" s="24" t="str">
        <x:v>INCOLOR</x:v>
      </x:c>
      <x:c r="I312" s="24" t="str">
        <x:v>PNX</x:v>
      </x:c>
      <x:c r="J312" s="24" t="str">
        <x:v>1.53</x:v>
      </x:c>
      <x:c r="K312" s="24" t="str">
        <x:v>Hi-Vision Hard</x:v>
      </x:c>
      <x:c r="L312" s="40" t="n">
        <x:v>1649</x:v>
      </x:c>
      <x:c r="M312" s="24" t="str">
        <x:v>-8.00 até +6.00</x:v>
      </x:c>
      <x:c r="N312" s="24"/>
      <x:c r="O312" s="24"/>
      <x:c r="P312" s="24"/>
      <x:c r="Q312" s="24"/>
      <x:c r="R312" s="24"/>
      <x:c r="S312" s="26" t="n">
        <x:v>45992</x:v>
      </x:c>
      <x:c r="T312" s="26"/>
      <x:c r="U312" s="24" t="str">
        <x:v>ATIVA/SEM FIM INFORMADO</x:v>
      </x:c>
      <x:c r="V312" s="24"/>
      <x:c r="W312" s="24" t="n">
        <x:v>28</x:v>
      </x:c>
      <x:c r="X312" s="24" t="str">
        <x:v>tabela_hoya(1).pdf</x:v>
      </x:c>
      <x:c r="Y312" s="24" t="str">
        <x:v>alta</x:v>
      </x:c>
      <x:c r="Z312" s="24"/>
      <x:c r="AA312" s="24" t="str">
        <x:v>HOYA|Progressiva|Surfaçada|HOYA Argos|INCOLOR|PNX|1.53|Hi-Vision Hard|-8.00 até +6.00||||||28</x:v>
      </x:c>
    </x:row>
    <x:row r="313">
      <x:c r="A313" s="24" t="str">
        <x:v>HY-4252D93C3732</x:v>
      </x:c>
      <x:c r="B313" s="24" t="str">
        <x:v>SIM</x:v>
      </x:c>
      <x:c r="C313" s="24" t="str">
        <x:v>DISPONÍVEL</x:v>
      </x:c>
      <x:c r="D313" s="24" t="str">
        <x:v>HOYA</x:v>
      </x:c>
      <x:c r="E313" s="24" t="str">
        <x:v>Progressiva</x:v>
      </x:c>
      <x:c r="F313" s="24" t="str">
        <x:v>Surfaçada</x:v>
      </x:c>
      <x:c r="G313" s="24" t="str">
        <x:v>HOYA Argos</x:v>
      </x:c>
      <x:c r="H313" s="24" t="str">
        <x:v>INCOLOR</x:v>
      </x:c>
      <x:c r="I313" s="24" t="str">
        <x:v>ORGANIC</x:v>
      </x:c>
      <x:c r="J313" s="24" t="str">
        <x:v>1.50</x:v>
      </x:c>
      <x:c r="K313" s="24" t="str">
        <x:v>Hi-Vision Hard</x:v>
      </x:c>
      <x:c r="L313" s="40" t="n">
        <x:v>1299</x:v>
      </x:c>
      <x:c r="M313" s="24" t="str">
        <x:v>-8.00 até +6.00</x:v>
      </x:c>
      <x:c r="N313" s="24"/>
      <x:c r="O313" s="24"/>
      <x:c r="P313" s="24"/>
      <x:c r="Q313" s="24"/>
      <x:c r="R313" s="24"/>
      <x:c r="S313" s="26" t="n">
        <x:v>45992</x:v>
      </x:c>
      <x:c r="T313" s="26"/>
      <x:c r="U313" s="24" t="str">
        <x:v>ATIVA/SEM FIM INFORMADO</x:v>
      </x:c>
      <x:c r="V313" s="24"/>
      <x:c r="W313" s="24" t="n">
        <x:v>28</x:v>
      </x:c>
      <x:c r="X313" s="24" t="str">
        <x:v>tabela_hoya(1).pdf</x:v>
      </x:c>
      <x:c r="Y313" s="24" t="str">
        <x:v>alta</x:v>
      </x:c>
      <x:c r="Z313" s="24"/>
      <x:c r="AA313" s="24" t="str">
        <x:v>HOYA|Progressiva|Surfaçada|HOYA Argos|INCOLOR|ORGANIC|1.50|Hi-Vision Hard|-8.00 até +6.00||||||28</x:v>
      </x:c>
    </x:row>
    <x:row r="314">
      <x:c r="A314" s="24" t="str">
        <x:v>HY-22D73EA13A17</x:v>
      </x:c>
      <x:c r="B314" s="24" t="str">
        <x:v>SIM</x:v>
      </x:c>
      <x:c r="C314" s="24" t="str">
        <x:v>DISPONÍVEL</x:v>
      </x:c>
      <x:c r="D314" s="24" t="str">
        <x:v>HOYA</x:v>
      </x:c>
      <x:c r="E314" s="24" t="str">
        <x:v>Progressiva</x:v>
      </x:c>
      <x:c r="F314" s="24" t="str">
        <x:v>Surfaçada</x:v>
      </x:c>
      <x:c r="G314" s="24" t="str">
        <x:v>HOYA Argos</x:v>
      </x:c>
      <x:c r="H314" s="24" t="str">
        <x:v>COLORIDAS</x:v>
      </x:c>
      <x:c r="I314" s="24" t="str">
        <x:v>EYNOA</x:v>
      </x:c>
      <x:c r="J314" s="24" t="str">
        <x:v>1.67</x:v>
      </x:c>
      <x:c r="K314" s="24" t="str">
        <x:v>Hi-Vision Sun Pro</x:v>
      </x:c>
      <x:c r="L314" s="40" t="n">
        <x:v>4799</x:v>
      </x:c>
      <x:c r="M314" s="24" t="str">
        <x:v>-13.00 até +7.50</x:v>
      </x:c>
      <x:c r="N314" s="24"/>
      <x:c r="O314" s="24"/>
      <x:c r="P314" s="24"/>
      <x:c r="Q314" s="24"/>
      <x:c r="R314" s="24"/>
      <x:c r="S314" s="26" t="n">
        <x:v>45992</x:v>
      </x:c>
      <x:c r="T314" s="26"/>
      <x:c r="U314" s="24" t="str">
        <x:v>ATIVA/SEM FIM INFORMADO</x:v>
      </x:c>
      <x:c r="V314" s="24"/>
      <x:c r="W314" s="24" t="n">
        <x:v>28</x:v>
      </x:c>
      <x:c r="X314" s="24" t="str">
        <x:v>tabela_hoya(1).pdf</x:v>
      </x:c>
      <x:c r="Y314" s="24" t="str">
        <x:v>alta</x:v>
      </x:c>
      <x:c r="Z314" s="24"/>
      <x:c r="AA314" s="24" t="str">
        <x:v>HOYA|Progressiva|Surfaçada|HOYA Argos|COLORIDAS|EYNOA|1.67|Hi-Vision Sun Pro|-13.00 até +7.50||||||28</x:v>
      </x:c>
    </x:row>
    <x:row r="315">
      <x:c r="A315" s="24" t="str">
        <x:v>HY-DE5482B7EDA4</x:v>
      </x:c>
      <x:c r="B315" s="24" t="str">
        <x:v>SIM</x:v>
      </x:c>
      <x:c r="C315" s="24" t="str">
        <x:v>DISPONÍVEL</x:v>
      </x:c>
      <x:c r="D315" s="24" t="str">
        <x:v>HOYA</x:v>
      </x:c>
      <x:c r="E315" s="24" t="str">
        <x:v>Progressiva</x:v>
      </x:c>
      <x:c r="F315" s="24" t="str">
        <x:v>Surfaçada</x:v>
      </x:c>
      <x:c r="G315" s="24" t="str">
        <x:v>HOYA Argos</x:v>
      </x:c>
      <x:c r="H315" s="24" t="str">
        <x:v>COLORIDAS</x:v>
      </x:c>
      <x:c r="I315" s="24" t="str">
        <x:v>EYAS 2.0</x:v>
      </x:c>
      <x:c r="J315" s="24" t="str">
        <x:v>1.60</x:v>
      </x:c>
      <x:c r="K315" s="24" t="str">
        <x:v>Hi-Vision Sun Pro</x:v>
      </x:c>
      <x:c r="L315" s="40" t="n">
        <x:v>2999</x:v>
      </x:c>
      <x:c r="M315" s="24" t="str">
        <x:v>-10.00 até +6.00</x:v>
      </x:c>
      <x:c r="N315" s="24"/>
      <x:c r="O315" s="24"/>
      <x:c r="P315" s="24"/>
      <x:c r="Q315" s="24"/>
      <x:c r="R315" s="24"/>
      <x:c r="S315" s="26" t="n">
        <x:v>45992</x:v>
      </x:c>
      <x:c r="T315" s="26"/>
      <x:c r="U315" s="24" t="str">
        <x:v>ATIVA/SEM FIM INFORMADO</x:v>
      </x:c>
      <x:c r="V315" s="24"/>
      <x:c r="W315" s="24" t="n">
        <x:v>28</x:v>
      </x:c>
      <x:c r="X315" s="24" t="str">
        <x:v>tabela_hoya(1).pdf</x:v>
      </x:c>
      <x:c r="Y315" s="24" t="str">
        <x:v>alta</x:v>
      </x:c>
      <x:c r="Z315" s="24"/>
      <x:c r="AA315" s="24" t="str">
        <x:v>HOYA|Progressiva|Surfaçada|HOYA Argos|COLORIDAS|EYAS 2.0|1.60|Hi-Vision Sun Pro|-10.00 até +6.00||||||28</x:v>
      </x:c>
    </x:row>
    <x:row r="316">
      <x:c r="A316" s="24" t="str">
        <x:v>HY-CF0304E97BEE</x:v>
      </x:c>
      <x:c r="B316" s="24" t="str">
        <x:v>SIM</x:v>
      </x:c>
      <x:c r="C316" s="24" t="str">
        <x:v>DISPONÍVEL</x:v>
      </x:c>
      <x:c r="D316" s="24" t="str">
        <x:v>HOYA</x:v>
      </x:c>
      <x:c r="E316" s="24" t="str">
        <x:v>Progressiva</x:v>
      </x:c>
      <x:c r="F316" s="24" t="str">
        <x:v>Surfaçada</x:v>
      </x:c>
      <x:c r="G316" s="24" t="str">
        <x:v>HOYA Argos</x:v>
      </x:c>
      <x:c r="H316" s="24" t="str">
        <x:v>COLORIDAS</x:v>
      </x:c>
      <x:c r="I316" s="24" t="str">
        <x:v>PNX</x:v>
      </x:c>
      <x:c r="J316" s="24" t="str">
        <x:v>1.53</x:v>
      </x:c>
      <x:c r="K316" s="24" t="str">
        <x:v>Hi-Vision Sun Pro</x:v>
      </x:c>
      <x:c r="L316" s="40" t="n">
        <x:v>2539</x:v>
      </x:c>
      <x:c r="M316" s="24" t="str">
        <x:v>-8.00 até +6.00</x:v>
      </x:c>
      <x:c r="N316" s="24"/>
      <x:c r="O316" s="24"/>
      <x:c r="P316" s="24"/>
      <x:c r="Q316" s="24"/>
      <x:c r="R316" s="24"/>
      <x:c r="S316" s="26" t="n">
        <x:v>45992</x:v>
      </x:c>
      <x:c r="T316" s="26"/>
      <x:c r="U316" s="24" t="str">
        <x:v>ATIVA/SEM FIM INFORMADO</x:v>
      </x:c>
      <x:c r="V316" s="24"/>
      <x:c r="W316" s="24" t="n">
        <x:v>28</x:v>
      </x:c>
      <x:c r="X316" s="24" t="str">
        <x:v>tabela_hoya(1).pdf</x:v>
      </x:c>
      <x:c r="Y316" s="24" t="str">
        <x:v>alta</x:v>
      </x:c>
      <x:c r="Z316" s="24"/>
      <x:c r="AA316" s="24" t="str">
        <x:v>HOYA|Progressiva|Surfaçada|HOYA Argos|COLORIDAS|PNX|1.53|Hi-Vision Sun Pro|-8.00 até +6.00||||||28</x:v>
      </x:c>
    </x:row>
    <x:row r="317">
      <x:c r="A317" s="24" t="str">
        <x:v>HY-ABF1287786B5</x:v>
      </x:c>
      <x:c r="B317" s="24" t="str">
        <x:v>SIM</x:v>
      </x:c>
      <x:c r="C317" s="24" t="str">
        <x:v>DISPONÍVEL</x:v>
      </x:c>
      <x:c r="D317" s="24" t="str">
        <x:v>HOYA</x:v>
      </x:c>
      <x:c r="E317" s="24" t="str">
        <x:v>Progressiva</x:v>
      </x:c>
      <x:c r="F317" s="24" t="str">
        <x:v>Surfaçada</x:v>
      </x:c>
      <x:c r="G317" s="24" t="str">
        <x:v>HOYA Argos</x:v>
      </x:c>
      <x:c r="H317" s="24" t="str">
        <x:v>COLORIDAS</x:v>
      </x:c>
      <x:c r="I317" s="24" t="str">
        <x:v>ORGANIC</x:v>
      </x:c>
      <x:c r="J317" s="24" t="str">
        <x:v>1.50</x:v>
      </x:c>
      <x:c r="K317" s="24" t="str">
        <x:v>Hi-Vision Sun Pro</x:v>
      </x:c>
      <x:c r="L317" s="40" t="n">
        <x:v>2189</x:v>
      </x:c>
      <x:c r="M317" s="24" t="str">
        <x:v>-8.00 até +6.00</x:v>
      </x:c>
      <x:c r="N317" s="24"/>
      <x:c r="O317" s="24"/>
      <x:c r="P317" s="24"/>
      <x:c r="Q317" s="24"/>
      <x:c r="R317" s="24"/>
      <x:c r="S317" s="26" t="n">
        <x:v>45992</x:v>
      </x:c>
      <x:c r="T317" s="26"/>
      <x:c r="U317" s="24" t="str">
        <x:v>ATIVA/SEM FIM INFORMADO</x:v>
      </x:c>
      <x:c r="V317" s="24"/>
      <x:c r="W317" s="24" t="n">
        <x:v>28</x:v>
      </x:c>
      <x:c r="X317" s="24" t="str">
        <x:v>tabela_hoya(1).pdf</x:v>
      </x:c>
      <x:c r="Y317" s="24" t="str">
        <x:v>alta</x:v>
      </x:c>
      <x:c r="Z317" s="24"/>
      <x:c r="AA317" s="24" t="str">
        <x:v>HOYA|Progressiva|Surfaçada|HOYA Argos|COLORIDAS|ORGANIC|1.50|Hi-Vision Sun Pro|-8.00 até +6.00||||||28</x:v>
      </x:c>
    </x:row>
    <x:row r="318">
      <x:c r="A318" s="24" t="str">
        <x:v>HY-266F5C41F0B2</x:v>
      </x:c>
      <x:c r="B318" s="24" t="str">
        <x:v>NÃO</x:v>
      </x:c>
      <x:c r="C318" s="24" t="str">
        <x:v>EM BREVE</x:v>
      </x:c>
      <x:c r="D318" s="24" t="str">
        <x:v>HOYA</x:v>
      </x:c>
      <x:c r="E318" s="24" t="str">
        <x:v>Progressiva</x:v>
      </x:c>
      <x:c r="F318" s="24" t="str">
        <x:v>Surfaçada</x:v>
      </x:c>
      <x:c r="G318" s="24" t="str">
        <x:v>HOYA Argos</x:v>
      </x:c>
      <x:c r="H318" s="24" t="str">
        <x:v>SENSITY 2</x:v>
      </x:c>
      <x:c r="I318" s="24" t="str">
        <x:v>PNX</x:v>
      </x:c>
      <x:c r="J318" s="24" t="str">
        <x:v>1.53</x:v>
      </x:c>
      <x:c r="K318" s="24" t="str">
        <x:v>Hi-Vision Meiryo</x:v>
      </x:c>
      <x:c r="L318" s="40" t="n">
        <x:v>4099</x:v>
      </x:c>
      <x:c r="M318" s="24" t="str">
        <x:v>-8.00 até +6.00</x:v>
      </x:c>
      <x:c r="N318" s="24"/>
      <x:c r="O318" s="24"/>
      <x:c r="P318" s="24"/>
      <x:c r="Q318" s="24"/>
      <x:c r="R318" s="24"/>
      <x:c r="S318" s="26" t="n">
        <x:v>45992</x:v>
      </x:c>
      <x:c r="T318" s="26"/>
      <x:c r="U318" s="24" t="str">
        <x:v>ATIVA/SEM FIM INFORMADO</x:v>
      </x:c>
      <x:c r="V318" s="24"/>
      <x:c r="W318" s="24" t="n">
        <x:v>28</x:v>
      </x:c>
      <x:c r="X318" s="24" t="str">
        <x:v>tabela_hoya(1).pdf</x:v>
      </x:c>
      <x:c r="Y318" s="24" t="str">
        <x:v>alta</x:v>
      </x:c>
      <x:c r="Z318" s="24" t="str">
        <x:v>Tratamento/produto marcado como “EM BREVE” na própria tabela HOYA; preço preservado, mas bloqueado no export web.</x:v>
      </x:c>
      <x:c r="AA318" s="24" t="str">
        <x:v>HOYA|Progressiva|Surfaçada|HOYA Argos|SENSITY 2|PNX|1.53|Hi-Vision Meiryo|-8.00 até +6.00||||||28</x:v>
      </x:c>
    </x:row>
    <x:row r="319">
      <x:c r="A319" s="24" t="str">
        <x:v>HY-2B8D657567F3</x:v>
      </x:c>
      <x:c r="B319" s="24" t="str">
        <x:v>NÃO</x:v>
      </x:c>
      <x:c r="C319" s="24" t="str">
        <x:v>EM BREVE</x:v>
      </x:c>
      <x:c r="D319" s="24" t="str">
        <x:v>HOYA</x:v>
      </x:c>
      <x:c r="E319" s="24" t="str">
        <x:v>Progressiva</x:v>
      </x:c>
      <x:c r="F319" s="24" t="str">
        <x:v>Surfaçada</x:v>
      </x:c>
      <x:c r="G319" s="24" t="str">
        <x:v>HOYA Argos</x:v>
      </x:c>
      <x:c r="H319" s="24" t="str">
        <x:v>SENSITY 2</x:v>
      </x:c>
      <x:c r="I319" s="24" t="str">
        <x:v>ORGANIC</x:v>
      </x:c>
      <x:c r="J319" s="24" t="str">
        <x:v>1.50</x:v>
      </x:c>
      <x:c r="K319" s="24" t="str">
        <x:v>Hi-Vision Meiryo</x:v>
      </x:c>
      <x:c r="L319" s="40" t="n">
        <x:v>3749</x:v>
      </x:c>
      <x:c r="M319" s="24" t="str">
        <x:v>-8.00 até +6.00</x:v>
      </x:c>
      <x:c r="N319" s="24"/>
      <x:c r="O319" s="24"/>
      <x:c r="P319" s="24"/>
      <x:c r="Q319" s="24"/>
      <x:c r="R319" s="24"/>
      <x:c r="S319" s="26" t="n">
        <x:v>45992</x:v>
      </x:c>
      <x:c r="T319" s="26"/>
      <x:c r="U319" s="24" t="str">
        <x:v>ATIVA/SEM FIM INFORMADO</x:v>
      </x:c>
      <x:c r="V319" s="24"/>
      <x:c r="W319" s="24" t="n">
        <x:v>28</x:v>
      </x:c>
      <x:c r="X319" s="24" t="str">
        <x:v>tabela_hoya(1).pdf</x:v>
      </x:c>
      <x:c r="Y319" s="24" t="str">
        <x:v>alta</x:v>
      </x:c>
      <x:c r="Z319" s="24" t="str">
        <x:v>Tratamento/produto marcado como “EM BREVE” na própria tabela HOYA; preço preservado, mas bloqueado no export web.</x:v>
      </x:c>
      <x:c r="AA319" s="24" t="str">
        <x:v>HOYA|Progressiva|Surfaçada|HOYA Argos|SENSITY 2|ORGANIC|1.50|Hi-Vision Meiryo|-8.00 até +6.00||||||28</x:v>
      </x:c>
    </x:row>
    <x:row r="320">
      <x:c r="A320" s="24" t="str">
        <x:v>HY-DFADF083D04F</x:v>
      </x:c>
      <x:c r="B320" s="24" t="str">
        <x:v>SIM</x:v>
      </x:c>
      <x:c r="C320" s="24" t="str">
        <x:v>DISPONÍVEL</x:v>
      </x:c>
      <x:c r="D320" s="24" t="str">
        <x:v>HOYA</x:v>
      </x:c>
      <x:c r="E320" s="24" t="str">
        <x:v>Progressiva</x:v>
      </x:c>
      <x:c r="F320" s="24" t="str">
        <x:v>Surfaçada</x:v>
      </x:c>
      <x:c r="G320" s="24" t="str">
        <x:v>HOYA Argos</x:v>
      </x:c>
      <x:c r="H320" s="24" t="str">
        <x:v>SENSITY 2</x:v>
      </x:c>
      <x:c r="I320" s="24" t="str">
        <x:v>PNX</x:v>
      </x:c>
      <x:c r="J320" s="24" t="str">
        <x:v>1.53</x:v>
      </x:c>
      <x:c r="K320" s="24" t="str">
        <x:v>Hi-Vision LongLife BlueControl</x:v>
      </x:c>
      <x:c r="L320" s="40" t="n">
        <x:v>3899</x:v>
      </x:c>
      <x:c r="M320" s="24" t="str">
        <x:v>-8.00 até +6.00</x:v>
      </x:c>
      <x:c r="N320" s="24"/>
      <x:c r="O320" s="24"/>
      <x:c r="P320" s="24"/>
      <x:c r="Q320" s="24"/>
      <x:c r="R320" s="24"/>
      <x:c r="S320" s="26" t="n">
        <x:v>45992</x:v>
      </x:c>
      <x:c r="T320" s="26"/>
      <x:c r="U320" s="24" t="str">
        <x:v>ATIVA/SEM FIM INFORMADO</x:v>
      </x:c>
      <x:c r="V320" s="24"/>
      <x:c r="W320" s="24" t="n">
        <x:v>28</x:v>
      </x:c>
      <x:c r="X320" s="24" t="str">
        <x:v>tabela_hoya(1).pdf</x:v>
      </x:c>
      <x:c r="Y320" s="24" t="str">
        <x:v>alta</x:v>
      </x:c>
      <x:c r="Z320" s="24"/>
      <x:c r="AA320" s="24" t="str">
        <x:v>HOYA|Progressiva|Surfaçada|HOYA Argos|SENSITY 2|PNX|1.53|Hi-Vision LongLife BlueControl|-8.00 até +6.00||||||28</x:v>
      </x:c>
    </x:row>
    <x:row r="321">
      <x:c r="A321" s="24" t="str">
        <x:v>HY-BC051648E9EE</x:v>
      </x:c>
      <x:c r="B321" s="24" t="str">
        <x:v>SIM</x:v>
      </x:c>
      <x:c r="C321" s="24" t="str">
        <x:v>DISPONÍVEL</x:v>
      </x:c>
      <x:c r="D321" s="24" t="str">
        <x:v>HOYA</x:v>
      </x:c>
      <x:c r="E321" s="24" t="str">
        <x:v>Progressiva</x:v>
      </x:c>
      <x:c r="F321" s="24" t="str">
        <x:v>Surfaçada</x:v>
      </x:c>
      <x:c r="G321" s="24" t="str">
        <x:v>HOYA Argos</x:v>
      </x:c>
      <x:c r="H321" s="24" t="str">
        <x:v>SENSITY 2</x:v>
      </x:c>
      <x:c r="I321" s="24" t="str">
        <x:v>ORGANIC</x:v>
      </x:c>
      <x:c r="J321" s="24" t="str">
        <x:v>1.50</x:v>
      </x:c>
      <x:c r="K321" s="24" t="str">
        <x:v>Hi-Vision LongLife BlueControl</x:v>
      </x:c>
      <x:c r="L321" s="40" t="n">
        <x:v>3549</x:v>
      </x:c>
      <x:c r="M321" s="24" t="str">
        <x:v>-8.00 até +6.00</x:v>
      </x:c>
      <x:c r="N321" s="24"/>
      <x:c r="O321" s="24"/>
      <x:c r="P321" s="24"/>
      <x:c r="Q321" s="24"/>
      <x:c r="R321" s="24"/>
      <x:c r="S321" s="26" t="n">
        <x:v>45992</x:v>
      </x:c>
      <x:c r="T321" s="26"/>
      <x:c r="U321" s="24" t="str">
        <x:v>ATIVA/SEM FIM INFORMADO</x:v>
      </x:c>
      <x:c r="V321" s="24"/>
      <x:c r="W321" s="24" t="n">
        <x:v>28</x:v>
      </x:c>
      <x:c r="X321" s="24" t="str">
        <x:v>tabela_hoya(1).pdf</x:v>
      </x:c>
      <x:c r="Y321" s="24" t="str">
        <x:v>alta</x:v>
      </x:c>
      <x:c r="Z321" s="24"/>
      <x:c r="AA321" s="24" t="str">
        <x:v>HOYA|Progressiva|Surfaçada|HOYA Argos|SENSITY 2|ORGANIC|1.50|Hi-Vision LongLife BlueControl|-8.00 até +6.00||||||28</x:v>
      </x:c>
    </x:row>
    <x:row r="322">
      <x:c r="A322" s="24" t="str">
        <x:v>HY-E7A8B525A1D6</x:v>
      </x:c>
      <x:c r="B322" s="24" t="str">
        <x:v>SIM</x:v>
      </x:c>
      <x:c r="C322" s="24" t="str">
        <x:v>DISPONÍVEL</x:v>
      </x:c>
      <x:c r="D322" s="24" t="str">
        <x:v>HOYA</x:v>
      </x:c>
      <x:c r="E322" s="24" t="str">
        <x:v>Progressiva</x:v>
      </x:c>
      <x:c r="F322" s="24" t="str">
        <x:v>Surfaçada</x:v>
      </x:c>
      <x:c r="G322" s="24" t="str">
        <x:v>HOYA Argos</x:v>
      </x:c>
      <x:c r="H322" s="24" t="str">
        <x:v>SENSITY 2</x:v>
      </x:c>
      <x:c r="I322" s="24" t="str">
        <x:v>PNX</x:v>
      </x:c>
      <x:c r="J322" s="24" t="str">
        <x:v>1.53</x:v>
      </x:c>
      <x:c r="K322" s="24" t="str">
        <x:v>No-Risk BlueControl</x:v>
      </x:c>
      <x:c r="L322" s="40" t="n">
        <x:v>3649</x:v>
      </x:c>
      <x:c r="M322" s="24" t="str">
        <x:v>-8.00 até +6.00</x:v>
      </x:c>
      <x:c r="N322" s="24"/>
      <x:c r="O322" s="24"/>
      <x:c r="P322" s="24"/>
      <x:c r="Q322" s="24"/>
      <x:c r="R322" s="24"/>
      <x:c r="S322" s="26" t="n">
        <x:v>45992</x:v>
      </x:c>
      <x:c r="T322" s="26"/>
      <x:c r="U322" s="24" t="str">
        <x:v>ATIVA/SEM FIM INFORMADO</x:v>
      </x:c>
      <x:c r="V322" s="24"/>
      <x:c r="W322" s="24" t="n">
        <x:v>28</x:v>
      </x:c>
      <x:c r="X322" s="24" t="str">
        <x:v>tabela_hoya(1).pdf</x:v>
      </x:c>
      <x:c r="Y322" s="24" t="str">
        <x:v>alta</x:v>
      </x:c>
      <x:c r="Z322" s="24"/>
      <x:c r="AA322" s="24" t="str">
        <x:v>HOYA|Progressiva|Surfaçada|HOYA Argos|SENSITY 2|PNX|1.53|No-Risk BlueControl|-8.00 até +6.00||||||28</x:v>
      </x:c>
    </x:row>
    <x:row r="323">
      <x:c r="A323" s="24" t="str">
        <x:v>HY-ED9A875B8F76</x:v>
      </x:c>
      <x:c r="B323" s="24" t="str">
        <x:v>SIM</x:v>
      </x:c>
      <x:c r="C323" s="24" t="str">
        <x:v>DISPONÍVEL</x:v>
      </x:c>
      <x:c r="D323" s="24" t="str">
        <x:v>HOYA</x:v>
      </x:c>
      <x:c r="E323" s="24" t="str">
        <x:v>Progressiva</x:v>
      </x:c>
      <x:c r="F323" s="24" t="str">
        <x:v>Surfaçada</x:v>
      </x:c>
      <x:c r="G323" s="24" t="str">
        <x:v>HOYA Argos</x:v>
      </x:c>
      <x:c r="H323" s="24" t="str">
        <x:v>SENSITY 2</x:v>
      </x:c>
      <x:c r="I323" s="24" t="str">
        <x:v>ORGANIC</x:v>
      </x:c>
      <x:c r="J323" s="24" t="str">
        <x:v>1.50</x:v>
      </x:c>
      <x:c r="K323" s="24" t="str">
        <x:v>No-Risk BlueControl</x:v>
      </x:c>
      <x:c r="L323" s="40" t="n">
        <x:v>3299</x:v>
      </x:c>
      <x:c r="M323" s="24" t="str">
        <x:v>-8.00 até +6.00</x:v>
      </x:c>
      <x:c r="N323" s="24"/>
      <x:c r="O323" s="24"/>
      <x:c r="P323" s="24"/>
      <x:c r="Q323" s="24"/>
      <x:c r="R323" s="24"/>
      <x:c r="S323" s="26" t="n">
        <x:v>45992</x:v>
      </x:c>
      <x:c r="T323" s="26"/>
      <x:c r="U323" s="24" t="str">
        <x:v>ATIVA/SEM FIM INFORMADO</x:v>
      </x:c>
      <x:c r="V323" s="24"/>
      <x:c r="W323" s="24" t="n">
        <x:v>28</x:v>
      </x:c>
      <x:c r="X323" s="24" t="str">
        <x:v>tabela_hoya(1).pdf</x:v>
      </x:c>
      <x:c r="Y323" s="24" t="str">
        <x:v>alta</x:v>
      </x:c>
      <x:c r="Z323" s="24"/>
      <x:c r="AA323" s="24" t="str">
        <x:v>HOYA|Progressiva|Surfaçada|HOYA Argos|SENSITY 2|ORGANIC|1.50|No-Risk BlueControl|-8.00 até +6.00||||||28</x:v>
      </x:c>
    </x:row>
    <x:row r="324">
      <x:c r="A324" s="24" t="str">
        <x:v>HY-F0EDDA9657D4</x:v>
      </x:c>
      <x:c r="B324" s="24" t="str">
        <x:v>SIM</x:v>
      </x:c>
      <x:c r="C324" s="24" t="str">
        <x:v>DISPONÍVEL</x:v>
      </x:c>
      <x:c r="D324" s="24" t="str">
        <x:v>HOYA</x:v>
      </x:c>
      <x:c r="E324" s="24" t="str">
        <x:v>Progressiva</x:v>
      </x:c>
      <x:c r="F324" s="24" t="str">
        <x:v>Surfaçada</x:v>
      </x:c>
      <x:c r="G324" s="24" t="str">
        <x:v>HOYA Argos</x:v>
      </x:c>
      <x:c r="H324" s="24" t="str">
        <x:v>SENSITY 2</x:v>
      </x:c>
      <x:c r="I324" s="24" t="str">
        <x:v>PNX</x:v>
      </x:c>
      <x:c r="J324" s="24" t="str">
        <x:v>1.53</x:v>
      </x:c>
      <x:c r="K324" s="24" t="str">
        <x:v>Hi-Vision Hard</x:v>
      </x:c>
      <x:c r="L324" s="40" t="n">
        <x:v>3049</x:v>
      </x:c>
      <x:c r="M324" s="24" t="str">
        <x:v>-8.00 até +6.00</x:v>
      </x:c>
      <x:c r="N324" s="24"/>
      <x:c r="O324" s="24"/>
      <x:c r="P324" s="24"/>
      <x:c r="Q324" s="24"/>
      <x:c r="R324" s="24"/>
      <x:c r="S324" s="26" t="n">
        <x:v>45992</x:v>
      </x:c>
      <x:c r="T324" s="26"/>
      <x:c r="U324" s="24" t="str">
        <x:v>ATIVA/SEM FIM INFORMADO</x:v>
      </x:c>
      <x:c r="V324" s="24"/>
      <x:c r="W324" s="24" t="n">
        <x:v>28</x:v>
      </x:c>
      <x:c r="X324" s="24" t="str">
        <x:v>tabela_hoya(1).pdf</x:v>
      </x:c>
      <x:c r="Y324" s="24" t="str">
        <x:v>alta</x:v>
      </x:c>
      <x:c r="Z324" s="24"/>
      <x:c r="AA324" s="24" t="str">
        <x:v>HOYA|Progressiva|Surfaçada|HOYA Argos|SENSITY 2|PNX|1.53|Hi-Vision Hard|-8.00 até +6.00||||||28</x:v>
      </x:c>
    </x:row>
    <x:row r="325">
      <x:c r="A325" s="24" t="str">
        <x:v>HY-E12A9189DA46</x:v>
      </x:c>
      <x:c r="B325" s="24" t="str">
        <x:v>SIM</x:v>
      </x:c>
      <x:c r="C325" s="24" t="str">
        <x:v>DISPONÍVEL</x:v>
      </x:c>
      <x:c r="D325" s="24" t="str">
        <x:v>HOYA</x:v>
      </x:c>
      <x:c r="E325" s="24" t="str">
        <x:v>Progressiva</x:v>
      </x:c>
      <x:c r="F325" s="24" t="str">
        <x:v>Surfaçada</x:v>
      </x:c>
      <x:c r="G325" s="24" t="str">
        <x:v>HOYA Argos</x:v>
      </x:c>
      <x:c r="H325" s="24" t="str">
        <x:v>SENSITY 2</x:v>
      </x:c>
      <x:c r="I325" s="24" t="str">
        <x:v>ORGANIC</x:v>
      </x:c>
      <x:c r="J325" s="24" t="str">
        <x:v>1.50</x:v>
      </x:c>
      <x:c r="K325" s="24" t="str">
        <x:v>Hi-Vision Hard</x:v>
      </x:c>
      <x:c r="L325" s="40" t="n">
        <x:v>2699</x:v>
      </x:c>
      <x:c r="M325" s="24" t="str">
        <x:v>-8.00 até +6.00</x:v>
      </x:c>
      <x:c r="N325" s="24"/>
      <x:c r="O325" s="24"/>
      <x:c r="P325" s="24"/>
      <x:c r="Q325" s="24"/>
      <x:c r="R325" s="24"/>
      <x:c r="S325" s="26" t="n">
        <x:v>45992</x:v>
      </x:c>
      <x:c r="T325" s="26"/>
      <x:c r="U325" s="24" t="str">
        <x:v>ATIVA/SEM FIM INFORMADO</x:v>
      </x:c>
      <x:c r="V325" s="24"/>
      <x:c r="W325" s="24" t="n">
        <x:v>28</x:v>
      </x:c>
      <x:c r="X325" s="24" t="str">
        <x:v>tabela_hoya(1).pdf</x:v>
      </x:c>
      <x:c r="Y325" s="24" t="str">
        <x:v>alta</x:v>
      </x:c>
      <x:c r="Z325" s="24"/>
      <x:c r="AA325" s="24" t="str">
        <x:v>HOYA|Progressiva|Surfaçada|HOYA Argos|SENSITY 2|ORGANIC|1.50|Hi-Vision Hard|-8.00 até +6.00||||||28</x:v>
      </x:c>
    </x:row>
    <x:row r="326">
      <x:c r="A326" s="24" t="str">
        <x:v>HY-85E18E06F715</x:v>
      </x:c>
      <x:c r="B326" s="24" t="str">
        <x:v>SIM</x:v>
      </x:c>
      <x:c r="C326" s="24" t="str">
        <x:v>ESTOQUE LIMITADO</x:v>
      </x:c>
      <x:c r="D326" s="24" t="str">
        <x:v>HOYA</x:v>
      </x:c>
      <x:c r="E326" s="24" t="str">
        <x:v>Progressiva</x:v>
      </x:c>
      <x:c r="F326" s="24" t="str">
        <x:v>Surfaçada</x:v>
      </x:c>
      <x:c r="G326" s="24" t="str">
        <x:v>HOYA Argos</x:v>
      </x:c>
      <x:c r="H326" s="24" t="str">
        <x:v>SENSITY ORIGINAL</x:v>
      </x:c>
      <x:c r="I326" s="24" t="str">
        <x:v>PNX</x:v>
      </x:c>
      <x:c r="J326" s="24" t="str">
        <x:v>1.53</x:v>
      </x:c>
      <x:c r="K326" s="24" t="str">
        <x:v>Hi-Vision LongLife BlueControl</x:v>
      </x:c>
      <x:c r="L326" s="40" t="n">
        <x:v>3499</x:v>
      </x:c>
      <x:c r="M326" s="24" t="str">
        <x:v>-8.00 até +6.00</x:v>
      </x:c>
      <x:c r="N326" s="24"/>
      <x:c r="O326" s="24"/>
      <x:c r="P326" s="24"/>
      <x:c r="Q326" s="24"/>
      <x:c r="R326" s="24"/>
      <x:c r="S326" s="26" t="n">
        <x:v>45992</x:v>
      </x:c>
      <x:c r="T326" s="26"/>
      <x:c r="U326" s="24" t="str">
        <x:v>ATIVA/SEM FIM INFORMADO</x:v>
      </x:c>
      <x:c r="V326" s="24"/>
      <x:c r="W326" s="24" t="n">
        <x:v>28</x:v>
      </x:c>
      <x:c r="X326" s="24" t="str">
        <x:v>tabela_hoya(1).pdf</x:v>
      </x:c>
      <x:c r="Y326" s="24" t="str">
        <x:v>alta</x:v>
      </x:c>
      <x:c r="Z326" s="24" t="str">
        <x:v>Sensity Original: “enquanto durarem os estoques”, conforme a tabela HOYA.</x:v>
      </x:c>
      <x:c r="AA326" s="24" t="str">
        <x:v>HOYA|Progressiva|Surfaçada|HOYA Argos|SENSITY ORIGINAL|PNX|1.53|Hi-Vision LongLife BlueControl|-8.00 até +6.00||||||28</x:v>
      </x:c>
    </x:row>
    <x:row r="327">
      <x:c r="A327" s="24" t="str">
        <x:v>HY-40FB1910727C</x:v>
      </x:c>
      <x:c r="B327" s="24" t="str">
        <x:v>SIM</x:v>
      </x:c>
      <x:c r="C327" s="24" t="str">
        <x:v>ESTOQUE LIMITADO</x:v>
      </x:c>
      <x:c r="D327" s="24" t="str">
        <x:v>HOYA</x:v>
      </x:c>
      <x:c r="E327" s="24" t="str">
        <x:v>Progressiva</x:v>
      </x:c>
      <x:c r="F327" s="24" t="str">
        <x:v>Surfaçada</x:v>
      </x:c>
      <x:c r="G327" s="24" t="str">
        <x:v>HOYA Argos</x:v>
      </x:c>
      <x:c r="H327" s="24" t="str">
        <x:v>SENSITY ORIGINAL</x:v>
      </x:c>
      <x:c r="I327" s="24" t="str">
        <x:v>ORGANIC</x:v>
      </x:c>
      <x:c r="J327" s="24" t="str">
        <x:v>1.50</x:v>
      </x:c>
      <x:c r="K327" s="24" t="str">
        <x:v>Hi-Vision LongLife BlueControl</x:v>
      </x:c>
      <x:c r="L327" s="40" t="n">
        <x:v>3149</x:v>
      </x:c>
      <x:c r="M327" s="24" t="str">
        <x:v>-8.00 até +6.00</x:v>
      </x:c>
      <x:c r="N327" s="24"/>
      <x:c r="O327" s="24"/>
      <x:c r="P327" s="24"/>
      <x:c r="Q327" s="24"/>
      <x:c r="R327" s="24"/>
      <x:c r="S327" s="26" t="n">
        <x:v>45992</x:v>
      </x:c>
      <x:c r="T327" s="26"/>
      <x:c r="U327" s="24" t="str">
        <x:v>ATIVA/SEM FIM INFORMADO</x:v>
      </x:c>
      <x:c r="V327" s="24"/>
      <x:c r="W327" s="24" t="n">
        <x:v>28</x:v>
      </x:c>
      <x:c r="X327" s="24" t="str">
        <x:v>tabela_hoya(1).pdf</x:v>
      </x:c>
      <x:c r="Y327" s="24" t="str">
        <x:v>alta</x:v>
      </x:c>
      <x:c r="Z327" s="24" t="str">
        <x:v>Sensity Original: “enquanto durarem os estoques”, conforme a tabela HOYA.</x:v>
      </x:c>
      <x:c r="AA327" s="24" t="str">
        <x:v>HOYA|Progressiva|Surfaçada|HOYA Argos|SENSITY ORIGINAL|ORGANIC|1.50|Hi-Vision LongLife BlueControl|-8.00 até +6.00||||||28</x:v>
      </x:c>
    </x:row>
    <x:row r="328">
      <x:c r="A328" s="24" t="str">
        <x:v>HY-A9441C1F85BA</x:v>
      </x:c>
      <x:c r="B328" s="24" t="str">
        <x:v>SIM</x:v>
      </x:c>
      <x:c r="C328" s="24" t="str">
        <x:v>ESTOQUE LIMITADO</x:v>
      </x:c>
      <x:c r="D328" s="24" t="str">
        <x:v>HOYA</x:v>
      </x:c>
      <x:c r="E328" s="24" t="str">
        <x:v>Progressiva</x:v>
      </x:c>
      <x:c r="F328" s="24" t="str">
        <x:v>Surfaçada</x:v>
      </x:c>
      <x:c r="G328" s="24" t="str">
        <x:v>HOYA Argos</x:v>
      </x:c>
      <x:c r="H328" s="24" t="str">
        <x:v>SENSITY ORIGINAL</x:v>
      </x:c>
      <x:c r="I328" s="24" t="str">
        <x:v>PNX</x:v>
      </x:c>
      <x:c r="J328" s="24" t="str">
        <x:v>1.53</x:v>
      </x:c>
      <x:c r="K328" s="24" t="str">
        <x:v>No-Risk BlueControl</x:v>
      </x:c>
      <x:c r="L328" s="40" t="n">
        <x:v>3249</x:v>
      </x:c>
      <x:c r="M328" s="24" t="str">
        <x:v>-8.00 até +6.00</x:v>
      </x:c>
      <x:c r="N328" s="24"/>
      <x:c r="O328" s="24"/>
      <x:c r="P328" s="24"/>
      <x:c r="Q328" s="24"/>
      <x:c r="R328" s="24"/>
      <x:c r="S328" s="26" t="n">
        <x:v>45992</x:v>
      </x:c>
      <x:c r="T328" s="26"/>
      <x:c r="U328" s="24" t="str">
        <x:v>ATIVA/SEM FIM INFORMADO</x:v>
      </x:c>
      <x:c r="V328" s="24"/>
      <x:c r="W328" s="24" t="n">
        <x:v>28</x:v>
      </x:c>
      <x:c r="X328" s="24" t="str">
        <x:v>tabela_hoya(1).pdf</x:v>
      </x:c>
      <x:c r="Y328" s="24" t="str">
        <x:v>alta</x:v>
      </x:c>
      <x:c r="Z328" s="24" t="str">
        <x:v>Sensity Original: “enquanto durarem os estoques”, conforme a tabela HOYA.</x:v>
      </x:c>
      <x:c r="AA328" s="24" t="str">
        <x:v>HOYA|Progressiva|Surfaçada|HOYA Argos|SENSITY ORIGINAL|PNX|1.53|No-Risk BlueControl|-8.00 até +6.00||||||28</x:v>
      </x:c>
    </x:row>
    <x:row r="329">
      <x:c r="A329" s="24" t="str">
        <x:v>HY-1B12494288B9</x:v>
      </x:c>
      <x:c r="B329" s="24" t="str">
        <x:v>SIM</x:v>
      </x:c>
      <x:c r="C329" s="24" t="str">
        <x:v>ESTOQUE LIMITADO</x:v>
      </x:c>
      <x:c r="D329" s="24" t="str">
        <x:v>HOYA</x:v>
      </x:c>
      <x:c r="E329" s="24" t="str">
        <x:v>Progressiva</x:v>
      </x:c>
      <x:c r="F329" s="24" t="str">
        <x:v>Surfaçada</x:v>
      </x:c>
      <x:c r="G329" s="24" t="str">
        <x:v>HOYA Argos</x:v>
      </x:c>
      <x:c r="H329" s="24" t="str">
        <x:v>SENSITY ORIGINAL</x:v>
      </x:c>
      <x:c r="I329" s="24" t="str">
        <x:v>ORGANIC</x:v>
      </x:c>
      <x:c r="J329" s="24" t="str">
        <x:v>1.50</x:v>
      </x:c>
      <x:c r="K329" s="24" t="str">
        <x:v>No-Risk BlueControl</x:v>
      </x:c>
      <x:c r="L329" s="40" t="n">
        <x:v>2899</x:v>
      </x:c>
      <x:c r="M329" s="24" t="str">
        <x:v>-8.00 até +6.00</x:v>
      </x:c>
      <x:c r="N329" s="24"/>
      <x:c r="O329" s="24"/>
      <x:c r="P329" s="24"/>
      <x:c r="Q329" s="24"/>
      <x:c r="R329" s="24"/>
      <x:c r="S329" s="26" t="n">
        <x:v>45992</x:v>
      </x:c>
      <x:c r="T329" s="26"/>
      <x:c r="U329" s="24" t="str">
        <x:v>ATIVA/SEM FIM INFORMADO</x:v>
      </x:c>
      <x:c r="V329" s="24"/>
      <x:c r="W329" s="24" t="n">
        <x:v>28</x:v>
      </x:c>
      <x:c r="X329" s="24" t="str">
        <x:v>tabela_hoya(1).pdf</x:v>
      </x:c>
      <x:c r="Y329" s="24" t="str">
        <x:v>alta</x:v>
      </x:c>
      <x:c r="Z329" s="24" t="str">
        <x:v>Sensity Original: “enquanto durarem os estoques”, conforme a tabela HOYA.</x:v>
      </x:c>
      <x:c r="AA329" s="24" t="str">
        <x:v>HOYA|Progressiva|Surfaçada|HOYA Argos|SENSITY ORIGINAL|ORGANIC|1.50|No-Risk BlueControl|-8.00 até +6.00||||||28</x:v>
      </x:c>
    </x:row>
    <x:row r="330">
      <x:c r="A330" s="24" t="str">
        <x:v>HY-4AF607DB70D8</x:v>
      </x:c>
      <x:c r="B330" s="24" t="str">
        <x:v>SIM</x:v>
      </x:c>
      <x:c r="C330" s="24" t="str">
        <x:v>ESTOQUE LIMITADO</x:v>
      </x:c>
      <x:c r="D330" s="24" t="str">
        <x:v>HOYA</x:v>
      </x:c>
      <x:c r="E330" s="24" t="str">
        <x:v>Progressiva</x:v>
      </x:c>
      <x:c r="F330" s="24" t="str">
        <x:v>Surfaçada</x:v>
      </x:c>
      <x:c r="G330" s="24" t="str">
        <x:v>HOYA Argos</x:v>
      </x:c>
      <x:c r="H330" s="24" t="str">
        <x:v>SENSITY ORIGINAL</x:v>
      </x:c>
      <x:c r="I330" s="24" t="str">
        <x:v>PNX</x:v>
      </x:c>
      <x:c r="J330" s="24" t="str">
        <x:v>1.53</x:v>
      </x:c>
      <x:c r="K330" s="24" t="str">
        <x:v>Hi-Vision Hard</x:v>
      </x:c>
      <x:c r="L330" s="40" t="n">
        <x:v>2649</x:v>
      </x:c>
      <x:c r="M330" s="24" t="str">
        <x:v>-8.00 até +6.00</x:v>
      </x:c>
      <x:c r="N330" s="24"/>
      <x:c r="O330" s="24"/>
      <x:c r="P330" s="24"/>
      <x:c r="Q330" s="24"/>
      <x:c r="R330" s="24"/>
      <x:c r="S330" s="26" t="n">
        <x:v>45992</x:v>
      </x:c>
      <x:c r="T330" s="26"/>
      <x:c r="U330" s="24" t="str">
        <x:v>ATIVA/SEM FIM INFORMADO</x:v>
      </x:c>
      <x:c r="V330" s="24"/>
      <x:c r="W330" s="24" t="n">
        <x:v>28</x:v>
      </x:c>
      <x:c r="X330" s="24" t="str">
        <x:v>tabela_hoya(1).pdf</x:v>
      </x:c>
      <x:c r="Y330" s="24" t="str">
        <x:v>alta</x:v>
      </x:c>
      <x:c r="Z330" s="24" t="str">
        <x:v>Sensity Original: “enquanto durarem os estoques”, conforme a tabela HOYA.</x:v>
      </x:c>
      <x:c r="AA330" s="24" t="str">
        <x:v>HOYA|Progressiva|Surfaçada|HOYA Argos|SENSITY ORIGINAL|PNX|1.53|Hi-Vision Hard|-8.00 até +6.00||||||28</x:v>
      </x:c>
    </x:row>
    <x:row r="331">
      <x:c r="A331" s="24" t="str">
        <x:v>HY-D58C89BD27A2</x:v>
      </x:c>
      <x:c r="B331" s="24" t="str">
        <x:v>SIM</x:v>
      </x:c>
      <x:c r="C331" s="24" t="str">
        <x:v>ESTOQUE LIMITADO</x:v>
      </x:c>
      <x:c r="D331" s="24" t="str">
        <x:v>HOYA</x:v>
      </x:c>
      <x:c r="E331" s="24" t="str">
        <x:v>Progressiva</x:v>
      </x:c>
      <x:c r="F331" s="24" t="str">
        <x:v>Surfaçada</x:v>
      </x:c>
      <x:c r="G331" s="24" t="str">
        <x:v>HOYA Argos</x:v>
      </x:c>
      <x:c r="H331" s="24" t="str">
        <x:v>SENSITY ORIGINAL</x:v>
      </x:c>
      <x:c r="I331" s="24" t="str">
        <x:v>ORGANIC</x:v>
      </x:c>
      <x:c r="J331" s="24" t="str">
        <x:v>1.50</x:v>
      </x:c>
      <x:c r="K331" s="24" t="str">
        <x:v>Hi-Vision Hard</x:v>
      </x:c>
      <x:c r="L331" s="40" t="n">
        <x:v>2299</x:v>
      </x:c>
      <x:c r="M331" s="24" t="str">
        <x:v>-8.00 até +6.00</x:v>
      </x:c>
      <x:c r="N331" s="24"/>
      <x:c r="O331" s="24"/>
      <x:c r="P331" s="24"/>
      <x:c r="Q331" s="24"/>
      <x:c r="R331" s="24"/>
      <x:c r="S331" s="26" t="n">
        <x:v>45992</x:v>
      </x:c>
      <x:c r="T331" s="26"/>
      <x:c r="U331" s="24" t="str">
        <x:v>ATIVA/SEM FIM INFORMADO</x:v>
      </x:c>
      <x:c r="V331" s="24"/>
      <x:c r="W331" s="24" t="n">
        <x:v>28</x:v>
      </x:c>
      <x:c r="X331" s="24" t="str">
        <x:v>tabela_hoya(1).pdf</x:v>
      </x:c>
      <x:c r="Y331" s="24" t="str">
        <x:v>alta</x:v>
      </x:c>
      <x:c r="Z331" s="24" t="str">
        <x:v>Sensity Original: “enquanto durarem os estoques”, conforme a tabela HOYA.</x:v>
      </x:c>
      <x:c r="AA331" s="24" t="str">
        <x:v>HOYA|Progressiva|Surfaçada|HOYA Argos|SENSITY ORIGINAL|ORGANIC|1.50|Hi-Vision Hard|-8.00 até +6.00||||||28</x:v>
      </x:c>
    </x:row>
    <x:row r="332">
      <x:c r="A332" s="24" t="str">
        <x:v>HY-2E3EB7394E77</x:v>
      </x:c>
      <x:c r="B332" s="24" t="str">
        <x:v>SIM</x:v>
      </x:c>
      <x:c r="C332" s="24" t="str">
        <x:v>DISPONÍVEL</x:v>
      </x:c>
      <x:c r="D332" s="24" t="str">
        <x:v>HOYA</x:v>
      </x:c>
      <x:c r="E332" s="24" t="str">
        <x:v>Progressiva</x:v>
      </x:c>
      <x:c r="F332" s="24" t="str">
        <x:v>Surfaçada</x:v>
      </x:c>
      <x:c r="G332" s="24" t="str">
        <x:v>HOYA Amplitude</x:v>
      </x:c>
      <x:c r="H332" s="24" t="str">
        <x:v>INCOLOR</x:v>
      </x:c>
      <x:c r="I332" s="24" t="str">
        <x:v>POLI</x:v>
      </x:c>
      <x:c r="J332" s="24" t="str">
        <x:v>1.59</x:v>
      </x:c>
      <x:c r="K332" s="24" t="str">
        <x:v>No-Risk BlueControl</x:v>
      </x:c>
      <x:c r="L332" s="40" t="n">
        <x:v>799</x:v>
      </x:c>
      <x:c r="M332" s="24" t="str">
        <x:v>-8.00 até +6.00</x:v>
      </x:c>
      <x:c r="N332" s="24"/>
      <x:c r="O332" s="24"/>
      <x:c r="P332" s="24"/>
      <x:c r="Q332" s="24"/>
      <x:c r="R332" s="24"/>
      <x:c r="S332" s="26" t="n">
        <x:v>45992</x:v>
      </x:c>
      <x:c r="T332" s="26"/>
      <x:c r="U332" s="24" t="str">
        <x:v>ATIVA/SEM FIM INFORMADO</x:v>
      </x:c>
      <x:c r="V332" s="24"/>
      <x:c r="W332" s="24" t="n">
        <x:v>29</x:v>
      </x:c>
      <x:c r="X332" s="24" t="str">
        <x:v>tabela_hoya(1).pdf</x:v>
      </x:c>
      <x:c r="Y332" s="24" t="str">
        <x:v>alta</x:v>
      </x:c>
      <x:c r="Z332" s="24"/>
      <x:c r="AA332" s="24" t="str">
        <x:v>HOYA|Progressiva|Surfaçada|HOYA Amplitude|INCOLOR|POLI|1.59|No-Risk BlueControl|-8.00 até +6.00||||||29</x:v>
      </x:c>
    </x:row>
    <x:row r="333">
      <x:c r="A333" s="24" t="str">
        <x:v>HY-66BF34D3710D</x:v>
      </x:c>
      <x:c r="B333" s="24" t="str">
        <x:v>SIM</x:v>
      </x:c>
      <x:c r="C333" s="24" t="str">
        <x:v>DISPONÍVEL</x:v>
      </x:c>
      <x:c r="D333" s="24" t="str">
        <x:v>HOYA</x:v>
      </x:c>
      <x:c r="E333" s="24" t="str">
        <x:v>Progressiva</x:v>
      </x:c>
      <x:c r="F333" s="24" t="str">
        <x:v>Surfaçada</x:v>
      </x:c>
      <x:c r="G333" s="24" t="str">
        <x:v>HOYA Amplitude</x:v>
      </x:c>
      <x:c r="H333" s="24" t="str">
        <x:v>INCOLOR</x:v>
      </x:c>
      <x:c r="I333" s="24" t="str">
        <x:v>POLI</x:v>
      </x:c>
      <x:c r="J333" s="24" t="str">
        <x:v>1.59</x:v>
      </x:c>
      <x:c r="K333" s="24" t="str">
        <x:v>Hi-Vision Hard</x:v>
      </x:c>
      <x:c r="L333" s="40" t="n">
        <x:v>599</x:v>
      </x:c>
      <x:c r="M333" s="24" t="str">
        <x:v>-8.00 até +6.00</x:v>
      </x:c>
      <x:c r="N333" s="24"/>
      <x:c r="O333" s="24"/>
      <x:c r="P333" s="24"/>
      <x:c r="Q333" s="24"/>
      <x:c r="R333" s="24"/>
      <x:c r="S333" s="26" t="n">
        <x:v>45992</x:v>
      </x:c>
      <x:c r="T333" s="26"/>
      <x:c r="U333" s="24" t="str">
        <x:v>ATIVA/SEM FIM INFORMADO</x:v>
      </x:c>
      <x:c r="V333" s="24"/>
      <x:c r="W333" s="24" t="n">
        <x:v>29</x:v>
      </x:c>
      <x:c r="X333" s="24" t="str">
        <x:v>tabela_hoya(1).pdf</x:v>
      </x:c>
      <x:c r="Y333" s="24" t="str">
        <x:v>alta</x:v>
      </x:c>
      <x:c r="Z333" s="24"/>
      <x:c r="AA333" s="24" t="str">
        <x:v>HOYA|Progressiva|Surfaçada|HOYA Amplitude|INCOLOR|POLI|1.59|Hi-Vision Hard|-8.00 até +6.00||||||29</x:v>
      </x:c>
    </x:row>
    <x:row r="334">
      <x:c r="A334" s="24" t="str">
        <x:v>HY-32973A22A74A</x:v>
      </x:c>
      <x:c r="B334" s="24" t="str">
        <x:v>SIM</x:v>
      </x:c>
      <x:c r="C334" s="24" t="str">
        <x:v>DISPONÍVEL</x:v>
      </x:c>
      <x:c r="D334" s="24" t="str">
        <x:v>HOYA</x:v>
      </x:c>
      <x:c r="E334" s="24" t="str">
        <x:v>Progressiva</x:v>
      </x:c>
      <x:c r="F334" s="24" t="str">
        <x:v>Surfaçada</x:v>
      </x:c>
      <x:c r="G334" s="24" t="str">
        <x:v>HOYA Amplitude</x:v>
      </x:c>
      <x:c r="H334" s="24" t="str">
        <x:v>COLORIDAS</x:v>
      </x:c>
      <x:c r="I334" s="24" t="str">
        <x:v>POLI</x:v>
      </x:c>
      <x:c r="J334" s="24" t="str">
        <x:v>1.59</x:v>
      </x:c>
      <x:c r="K334" s="24" t="str">
        <x:v>Hi-Vision Sun Pro</x:v>
      </x:c>
      <x:c r="L334" s="40" t="n">
        <x:v>1089</x:v>
      </x:c>
      <x:c r="M334" s="24" t="str">
        <x:v>-8.00 até +6.00</x:v>
      </x:c>
      <x:c r="N334" s="24"/>
      <x:c r="O334" s="24"/>
      <x:c r="P334" s="24"/>
      <x:c r="Q334" s="24"/>
      <x:c r="R334" s="24"/>
      <x:c r="S334" s="26" t="n">
        <x:v>45992</x:v>
      </x:c>
      <x:c r="T334" s="26"/>
      <x:c r="U334" s="24" t="str">
        <x:v>ATIVA/SEM FIM INFORMADO</x:v>
      </x:c>
      <x:c r="V334" s="24"/>
      <x:c r="W334" s="24" t="n">
        <x:v>29</x:v>
      </x:c>
      <x:c r="X334" s="24" t="str">
        <x:v>tabela_hoya(1).pdf</x:v>
      </x:c>
      <x:c r="Y334" s="24" t="str">
        <x:v>alta</x:v>
      </x:c>
      <x:c r="Z334" s="24"/>
      <x:c r="AA334" s="24" t="str">
        <x:v>HOYA|Progressiva|Surfaçada|HOYA Amplitude|COLORIDAS|POLI|1.59|Hi-Vision Sun Pro|-8.00 até +6.00||||||29</x:v>
      </x:c>
    </x:row>
    <x:row r="335">
      <x:c r="A335" s="24" t="str">
        <x:v>HY-E9D3DC5D70DA</x:v>
      </x:c>
      <x:c r="B335" s="24" t="str">
        <x:v>SIM</x:v>
      </x:c>
      <x:c r="C335" s="24" t="str">
        <x:v>DISPONÍVEL</x:v>
      </x:c>
      <x:c r="D335" s="24" t="str">
        <x:v>HOYA</x:v>
      </x:c>
      <x:c r="E335" s="24" t="str">
        <x:v>Progressiva</x:v>
      </x:c>
      <x:c r="F335" s="24" t="str">
        <x:v>Surfaçada</x:v>
      </x:c>
      <x:c r="G335" s="24" t="str">
        <x:v>HOYA Amplitude</x:v>
      </x:c>
      <x:c r="H335" s="24" t="str">
        <x:v>SENSITY 2</x:v>
      </x:c>
      <x:c r="I335" s="24" t="str">
        <x:v>POLI</x:v>
      </x:c>
      <x:c r="J335" s="24" t="str">
        <x:v>1.59</x:v>
      </x:c>
      <x:c r="K335" s="24" t="str">
        <x:v>No-Risk BlueControl</x:v>
      </x:c>
      <x:c r="L335" s="40" t="n">
        <x:v>1399</x:v>
      </x:c>
      <x:c r="M335" s="24" t="str">
        <x:v>-8.00 até +6.00</x:v>
      </x:c>
      <x:c r="N335" s="24"/>
      <x:c r="O335" s="24"/>
      <x:c r="P335" s="24"/>
      <x:c r="Q335" s="24"/>
      <x:c r="R335" s="24"/>
      <x:c r="S335" s="26" t="n">
        <x:v>45992</x:v>
      </x:c>
      <x:c r="T335" s="26"/>
      <x:c r="U335" s="24" t="str">
        <x:v>ATIVA/SEM FIM INFORMADO</x:v>
      </x:c>
      <x:c r="V335" s="24"/>
      <x:c r="W335" s="24" t="n">
        <x:v>29</x:v>
      </x:c>
      <x:c r="X335" s="24" t="str">
        <x:v>tabela_hoya(1).pdf</x:v>
      </x:c>
      <x:c r="Y335" s="24" t="str">
        <x:v>alta</x:v>
      </x:c>
      <x:c r="Z335" s="24"/>
      <x:c r="AA335" s="24" t="str">
        <x:v>HOYA|Progressiva|Surfaçada|HOYA Amplitude|SENSITY 2|POLI|1.59|No-Risk BlueControl|-8.00 até +6.00||||||29</x:v>
      </x:c>
    </x:row>
    <x:row r="336">
      <x:c r="A336" s="24" t="str">
        <x:v>HY-B58C598D0E4B</x:v>
      </x:c>
      <x:c r="B336" s="24" t="str">
        <x:v>SIM</x:v>
      </x:c>
      <x:c r="C336" s="24" t="str">
        <x:v>DISPONÍVEL</x:v>
      </x:c>
      <x:c r="D336" s="24" t="str">
        <x:v>HOYA</x:v>
      </x:c>
      <x:c r="E336" s="24" t="str">
        <x:v>Ocupacional</x:v>
      </x:c>
      <x:c r="F336" s="24" t="str">
        <x:v>Surfaçada</x:v>
      </x:c>
      <x:c r="G336" s="24" t="str">
        <x:v>Hoyalux iD WorkStyle 3</x:v>
      </x:c>
      <x:c r="H336" s="24" t="str">
        <x:v>INCOLOR</x:v>
      </x:c>
      <x:c r="I336" s="24" t="str">
        <x:v>EYVIA</x:v>
      </x:c>
      <x:c r="J336" s="24" t="str">
        <x:v>1.74</x:v>
      </x:c>
      <x:c r="K336" s="24" t="str">
        <x:v>Hi-Vision LongLife BlueControl</x:v>
      </x:c>
      <x:c r="L336" s="40" t="n">
        <x:v>7499</x:v>
      </x:c>
      <x:c r="M336" s="24" t="str">
        <x:v>-15.00 até +9.00</x:v>
      </x:c>
      <x:c r="N336" s="24"/>
      <x:c r="O336" s="24"/>
      <x:c r="P336" s="24"/>
      <x:c r="Q336" s="24"/>
      <x:c r="R336" s="24"/>
      <x:c r="S336" s="26" t="n">
        <x:v>45992</x:v>
      </x:c>
      <x:c r="T336" s="26"/>
      <x:c r="U336" s="24" t="str">
        <x:v>ATIVA/SEM FIM INFORMADO</x:v>
      </x:c>
      <x:c r="V336" s="24"/>
      <x:c r="W336" s="24" t="n">
        <x:v>32</x:v>
      </x:c>
      <x:c r="X336" s="24" t="str">
        <x:v>tabela_hoya(1).pdf</x:v>
      </x:c>
      <x:c r="Y336" s="24" t="str">
        <x:v>alta</x:v>
      </x:c>
      <x:c r="Z336" s="24"/>
      <x:c r="AA336" s="24" t="str">
        <x:v>HOYA|Ocupacional|Surfaçada|Hoyalux iD WorkStyle 3|INCOLOR|EYVIA|1.74|Hi-Vision LongLife BlueControl|-15.00 até +9.00||||||32</x:v>
      </x:c>
    </x:row>
    <x:row r="337">
      <x:c r="A337" s="24" t="str">
        <x:v>HY-4D30C3C3D3D1</x:v>
      </x:c>
      <x:c r="B337" s="24" t="str">
        <x:v>SIM</x:v>
      </x:c>
      <x:c r="C337" s="24" t="str">
        <x:v>DISPONÍVEL</x:v>
      </x:c>
      <x:c r="D337" s="24" t="str">
        <x:v>HOYA</x:v>
      </x:c>
      <x:c r="E337" s="24" t="str">
        <x:v>Ocupacional</x:v>
      </x:c>
      <x:c r="F337" s="24" t="str">
        <x:v>Surfaçada</x:v>
      </x:c>
      <x:c r="G337" s="24" t="str">
        <x:v>Hoyalux iD WorkStyle 3</x:v>
      </x:c>
      <x:c r="H337" s="24" t="str">
        <x:v>INCOLOR</x:v>
      </x:c>
      <x:c r="I337" s="24" t="str">
        <x:v>EYNOA</x:v>
      </x:c>
      <x:c r="J337" s="24" t="str">
        <x:v>1.67</x:v>
      </x:c>
      <x:c r="K337" s="24" t="str">
        <x:v>Hi-Vision LongLife BlueControl</x:v>
      </x:c>
      <x:c r="L337" s="40" t="n">
        <x:v>5999</x:v>
      </x:c>
      <x:c r="M337" s="24" t="str">
        <x:v>-13.00 até +7.00</x:v>
      </x:c>
      <x:c r="N337" s="24"/>
      <x:c r="O337" s="24"/>
      <x:c r="P337" s="24"/>
      <x:c r="Q337" s="24"/>
      <x:c r="R337" s="24"/>
      <x:c r="S337" s="26" t="n">
        <x:v>45992</x:v>
      </x:c>
      <x:c r="T337" s="26"/>
      <x:c r="U337" s="24" t="str">
        <x:v>ATIVA/SEM FIM INFORMADO</x:v>
      </x:c>
      <x:c r="V337" s="24"/>
      <x:c r="W337" s="24" t="n">
        <x:v>32</x:v>
      </x:c>
      <x:c r="X337" s="24" t="str">
        <x:v>tabela_hoya(1).pdf</x:v>
      </x:c>
      <x:c r="Y337" s="24" t="str">
        <x:v>alta</x:v>
      </x:c>
      <x:c r="Z337" s="24"/>
      <x:c r="AA337" s="24" t="str">
        <x:v>HOYA|Ocupacional|Surfaçada|Hoyalux iD WorkStyle 3|INCOLOR|EYNOA|1.67|Hi-Vision LongLife BlueControl|-13.00 até +7.00||||||32</x:v>
      </x:c>
    </x:row>
    <x:row r="338">
      <x:c r="A338" s="24" t="str">
        <x:v>HY-374EF8061270</x:v>
      </x:c>
      <x:c r="B338" s="24" t="str">
        <x:v>SIM</x:v>
      </x:c>
      <x:c r="C338" s="24" t="str">
        <x:v>DISPONÍVEL</x:v>
      </x:c>
      <x:c r="D338" s="24" t="str">
        <x:v>HOYA</x:v>
      </x:c>
      <x:c r="E338" s="24" t="str">
        <x:v>Ocupacional</x:v>
      </x:c>
      <x:c r="F338" s="24" t="str">
        <x:v>Surfaçada</x:v>
      </x:c>
      <x:c r="G338" s="24" t="str">
        <x:v>Hoyalux iD WorkStyle 3</x:v>
      </x:c>
      <x:c r="H338" s="24" t="str">
        <x:v>INCOLOR</x:v>
      </x:c>
      <x:c r="I338" s="24" t="str">
        <x:v>EYAS 2.0</x:v>
      </x:c>
      <x:c r="J338" s="24" t="str">
        <x:v>1.60</x:v>
      </x:c>
      <x:c r="K338" s="24" t="str">
        <x:v>Hi-Vision LongLife BlueControl</x:v>
      </x:c>
      <x:c r="L338" s="40" t="n">
        <x:v>4199</x:v>
      </x:c>
      <x:c r="M338" s="24" t="str">
        <x:v>-11.00 até +7.00</x:v>
      </x:c>
      <x:c r="N338" s="24"/>
      <x:c r="O338" s="24"/>
      <x:c r="P338" s="24"/>
      <x:c r="Q338" s="24"/>
      <x:c r="R338" s="24"/>
      <x:c r="S338" s="26" t="n">
        <x:v>45992</x:v>
      </x:c>
      <x:c r="T338" s="26"/>
      <x:c r="U338" s="24" t="str">
        <x:v>ATIVA/SEM FIM INFORMADO</x:v>
      </x:c>
      <x:c r="V338" s="24"/>
      <x:c r="W338" s="24" t="n">
        <x:v>32</x:v>
      </x:c>
      <x:c r="X338" s="24" t="str">
        <x:v>tabela_hoya(1).pdf</x:v>
      </x:c>
      <x:c r="Y338" s="24" t="str">
        <x:v>alta</x:v>
      </x:c>
      <x:c r="Z338" s="24"/>
      <x:c r="AA338" s="24" t="str">
        <x:v>HOYA|Ocupacional|Surfaçada|Hoyalux iD WorkStyle 3|INCOLOR|EYAS 2.0|1.60|Hi-Vision LongLife BlueControl|-11.00 até +7.00||||||32</x:v>
      </x:c>
    </x:row>
    <x:row r="339">
      <x:c r="A339" s="24" t="str">
        <x:v>HY-AE3F7D756D9E</x:v>
      </x:c>
      <x:c r="B339" s="24" t="str">
        <x:v>SIM</x:v>
      </x:c>
      <x:c r="C339" s="24" t="str">
        <x:v>DISPONÍVEL</x:v>
      </x:c>
      <x:c r="D339" s="24" t="str">
        <x:v>HOYA</x:v>
      </x:c>
      <x:c r="E339" s="24" t="str">
        <x:v>Ocupacional</x:v>
      </x:c>
      <x:c r="F339" s="24" t="str">
        <x:v>Surfaçada</x:v>
      </x:c>
      <x:c r="G339" s="24" t="str">
        <x:v>Hoyalux iD WorkStyle 3</x:v>
      </x:c>
      <x:c r="H339" s="24" t="str">
        <x:v>INCOLOR</x:v>
      </x:c>
      <x:c r="I339" s="24" t="str">
        <x:v>PNX</x:v>
      </x:c>
      <x:c r="J339" s="24" t="str">
        <x:v>1.53</x:v>
      </x:c>
      <x:c r="K339" s="24" t="str">
        <x:v>Hi-Vision LongLife BlueControl</x:v>
      </x:c>
      <x:c r="L339" s="40" t="n">
        <x:v>3739</x:v>
      </x:c>
      <x:c r="M339" s="24" t="str">
        <x:v>-8.00 até +5.00</x:v>
      </x:c>
      <x:c r="N339" s="24"/>
      <x:c r="O339" s="24"/>
      <x:c r="P339" s="24"/>
      <x:c r="Q339" s="24"/>
      <x:c r="R339" s="24"/>
      <x:c r="S339" s="26" t="n">
        <x:v>45992</x:v>
      </x:c>
      <x:c r="T339" s="26"/>
      <x:c r="U339" s="24" t="str">
        <x:v>ATIVA/SEM FIM INFORMADO</x:v>
      </x:c>
      <x:c r="V339" s="24"/>
      <x:c r="W339" s="24" t="n">
        <x:v>32</x:v>
      </x:c>
      <x:c r="X339" s="24" t="str">
        <x:v>tabela_hoya(1).pdf</x:v>
      </x:c>
      <x:c r="Y339" s="24" t="str">
        <x:v>alta</x:v>
      </x:c>
      <x:c r="Z339" s="24"/>
      <x:c r="AA339" s="24" t="str">
        <x:v>HOYA|Ocupacional|Surfaçada|Hoyalux iD WorkStyle 3|INCOLOR|PNX|1.53|Hi-Vision LongLife BlueControl|-8.00 até +5.00||||||32</x:v>
      </x:c>
    </x:row>
    <x:row r="340">
      <x:c r="A340" s="24" t="str">
        <x:v>HY-A1E3B2ED8ED3</x:v>
      </x:c>
      <x:c r="B340" s="24" t="str">
        <x:v>SIM</x:v>
      </x:c>
      <x:c r="C340" s="24" t="str">
        <x:v>DISPONÍVEL</x:v>
      </x:c>
      <x:c r="D340" s="24" t="str">
        <x:v>HOYA</x:v>
      </x:c>
      <x:c r="E340" s="24" t="str">
        <x:v>Ocupacional</x:v>
      </x:c>
      <x:c r="F340" s="24" t="str">
        <x:v>Surfaçada</x:v>
      </x:c>
      <x:c r="G340" s="24" t="str">
        <x:v>Hoyalux iD WorkStyle 3</x:v>
      </x:c>
      <x:c r="H340" s="24" t="str">
        <x:v>INCOLOR</x:v>
      </x:c>
      <x:c r="I340" s="24" t="str">
        <x:v>ORGANIC</x:v>
      </x:c>
      <x:c r="J340" s="24" t="str">
        <x:v>1.50</x:v>
      </x:c>
      <x:c r="K340" s="24" t="str">
        <x:v>Hi-Vision LongLife BlueControl</x:v>
      </x:c>
      <x:c r="L340" s="40" t="n">
        <x:v>3389</x:v>
      </x:c>
      <x:c r="M340" s="24" t="str">
        <x:v>-8.00 até +5.00</x:v>
      </x:c>
      <x:c r="N340" s="24"/>
      <x:c r="O340" s="24"/>
      <x:c r="P340" s="24"/>
      <x:c r="Q340" s="24"/>
      <x:c r="R340" s="24"/>
      <x:c r="S340" s="26" t="n">
        <x:v>45992</x:v>
      </x:c>
      <x:c r="T340" s="26"/>
      <x:c r="U340" s="24" t="str">
        <x:v>ATIVA/SEM FIM INFORMADO</x:v>
      </x:c>
      <x:c r="V340" s="24"/>
      <x:c r="W340" s="24" t="n">
        <x:v>32</x:v>
      </x:c>
      <x:c r="X340" s="24" t="str">
        <x:v>tabela_hoya(1).pdf</x:v>
      </x:c>
      <x:c r="Y340" s="24" t="str">
        <x:v>alta</x:v>
      </x:c>
      <x:c r="Z340" s="24"/>
      <x:c r="AA340" s="24" t="str">
        <x:v>HOYA|Ocupacional|Surfaçada|Hoyalux iD WorkStyle 3|INCOLOR|ORGANIC|1.50|Hi-Vision LongLife BlueControl|-8.00 até +5.00||||||32</x:v>
      </x:c>
    </x:row>
    <x:row r="341">
      <x:c r="A341" s="24" t="str">
        <x:v>HY-1953BFC13297</x:v>
      </x:c>
      <x:c r="B341" s="24" t="str">
        <x:v>SIM</x:v>
      </x:c>
      <x:c r="C341" s="24" t="str">
        <x:v>DISPONÍVEL</x:v>
      </x:c>
      <x:c r="D341" s="24" t="str">
        <x:v>HOYA</x:v>
      </x:c>
      <x:c r="E341" s="24" t="str">
        <x:v>Ocupacional</x:v>
      </x:c>
      <x:c r="F341" s="24" t="str">
        <x:v>Surfaçada</x:v>
      </x:c>
      <x:c r="G341" s="24" t="str">
        <x:v>Hoyalux iD WorkStyle 3</x:v>
      </x:c>
      <x:c r="H341" s="24" t="str">
        <x:v>INCOLOR</x:v>
      </x:c>
      <x:c r="I341" s="24" t="str">
        <x:v>EYNOA</x:v>
      </x:c>
      <x:c r="J341" s="24" t="str">
        <x:v>1.67</x:v>
      </x:c>
      <x:c r="K341" s="24" t="str">
        <x:v>No-Risk BlueControl</x:v>
      </x:c>
      <x:c r="L341" s="40" t="n">
        <x:v>5749</x:v>
      </x:c>
      <x:c r="M341" s="24" t="str">
        <x:v>-13.00 até +7.00</x:v>
      </x:c>
      <x:c r="N341" s="24"/>
      <x:c r="O341" s="24"/>
      <x:c r="P341" s="24"/>
      <x:c r="Q341" s="24"/>
      <x:c r="R341" s="24"/>
      <x:c r="S341" s="26" t="n">
        <x:v>45992</x:v>
      </x:c>
      <x:c r="T341" s="26"/>
      <x:c r="U341" s="24" t="str">
        <x:v>ATIVA/SEM FIM INFORMADO</x:v>
      </x:c>
      <x:c r="V341" s="24"/>
      <x:c r="W341" s="24" t="n">
        <x:v>32</x:v>
      </x:c>
      <x:c r="X341" s="24" t="str">
        <x:v>tabela_hoya(1).pdf</x:v>
      </x:c>
      <x:c r="Y341" s="24" t="str">
        <x:v>alta</x:v>
      </x:c>
      <x:c r="Z341" s="24"/>
      <x:c r="AA341" s="24" t="str">
        <x:v>HOYA|Ocupacional|Surfaçada|Hoyalux iD WorkStyle 3|INCOLOR|EYNOA|1.67|No-Risk BlueControl|-13.00 até +7.00||||||32</x:v>
      </x:c>
    </x:row>
    <x:row r="342">
      <x:c r="A342" s="24" t="str">
        <x:v>HY-074FB4D42438</x:v>
      </x:c>
      <x:c r="B342" s="24" t="str">
        <x:v>SIM</x:v>
      </x:c>
      <x:c r="C342" s="24" t="str">
        <x:v>DISPONÍVEL</x:v>
      </x:c>
      <x:c r="D342" s="24" t="str">
        <x:v>HOYA</x:v>
      </x:c>
      <x:c r="E342" s="24" t="str">
        <x:v>Ocupacional</x:v>
      </x:c>
      <x:c r="F342" s="24" t="str">
        <x:v>Surfaçada</x:v>
      </x:c>
      <x:c r="G342" s="24" t="str">
        <x:v>Hoyalux iD WorkStyle 3</x:v>
      </x:c>
      <x:c r="H342" s="24" t="str">
        <x:v>INCOLOR</x:v>
      </x:c>
      <x:c r="I342" s="24" t="str">
        <x:v>EYAS 2.0</x:v>
      </x:c>
      <x:c r="J342" s="24" t="str">
        <x:v>1.60</x:v>
      </x:c>
      <x:c r="K342" s="24" t="str">
        <x:v>No-Risk BlueControl</x:v>
      </x:c>
      <x:c r="L342" s="40" t="n">
        <x:v>3949</x:v>
      </x:c>
      <x:c r="M342" s="24" t="str">
        <x:v>-11.00 até +7.00</x:v>
      </x:c>
      <x:c r="N342" s="24"/>
      <x:c r="O342" s="24"/>
      <x:c r="P342" s="24"/>
      <x:c r="Q342" s="24"/>
      <x:c r="R342" s="24"/>
      <x:c r="S342" s="26" t="n">
        <x:v>45992</x:v>
      </x:c>
      <x:c r="T342" s="26"/>
      <x:c r="U342" s="24" t="str">
        <x:v>ATIVA/SEM FIM INFORMADO</x:v>
      </x:c>
      <x:c r="V342" s="24"/>
      <x:c r="W342" s="24" t="n">
        <x:v>32</x:v>
      </x:c>
      <x:c r="X342" s="24" t="str">
        <x:v>tabela_hoya(1).pdf</x:v>
      </x:c>
      <x:c r="Y342" s="24" t="str">
        <x:v>alta</x:v>
      </x:c>
      <x:c r="Z342" s="24"/>
      <x:c r="AA342" s="24" t="str">
        <x:v>HOYA|Ocupacional|Surfaçada|Hoyalux iD WorkStyle 3|INCOLOR|EYAS 2.0|1.60|No-Risk BlueControl|-11.00 até +7.00||||||32</x:v>
      </x:c>
    </x:row>
    <x:row r="343">
      <x:c r="A343" s="24" t="str">
        <x:v>HY-5793811D1B13</x:v>
      </x:c>
      <x:c r="B343" s="24" t="str">
        <x:v>SIM</x:v>
      </x:c>
      <x:c r="C343" s="24" t="str">
        <x:v>DISPONÍVEL</x:v>
      </x:c>
      <x:c r="D343" s="24" t="str">
        <x:v>HOYA</x:v>
      </x:c>
      <x:c r="E343" s="24" t="str">
        <x:v>Ocupacional</x:v>
      </x:c>
      <x:c r="F343" s="24" t="str">
        <x:v>Surfaçada</x:v>
      </x:c>
      <x:c r="G343" s="24" t="str">
        <x:v>Hoyalux iD WorkStyle 3</x:v>
      </x:c>
      <x:c r="H343" s="24" t="str">
        <x:v>INCOLOR</x:v>
      </x:c>
      <x:c r="I343" s="24" t="str">
        <x:v>PNX</x:v>
      </x:c>
      <x:c r="J343" s="24" t="str">
        <x:v>1.53</x:v>
      </x:c>
      <x:c r="K343" s="24" t="str">
        <x:v>No-Risk BlueControl</x:v>
      </x:c>
      <x:c r="L343" s="40" t="n">
        <x:v>3489</x:v>
      </x:c>
      <x:c r="M343" s="24" t="str">
        <x:v>-8.00 até +5.00</x:v>
      </x:c>
      <x:c r="N343" s="24"/>
      <x:c r="O343" s="24"/>
      <x:c r="P343" s="24"/>
      <x:c r="Q343" s="24"/>
      <x:c r="R343" s="24"/>
      <x:c r="S343" s="26" t="n">
        <x:v>45992</x:v>
      </x:c>
      <x:c r="T343" s="26"/>
      <x:c r="U343" s="24" t="str">
        <x:v>ATIVA/SEM FIM INFORMADO</x:v>
      </x:c>
      <x:c r="V343" s="24"/>
      <x:c r="W343" s="24" t="n">
        <x:v>32</x:v>
      </x:c>
      <x:c r="X343" s="24" t="str">
        <x:v>tabela_hoya(1).pdf</x:v>
      </x:c>
      <x:c r="Y343" s="24" t="str">
        <x:v>alta</x:v>
      </x:c>
      <x:c r="Z343" s="24"/>
      <x:c r="AA343" s="24" t="str">
        <x:v>HOYA|Ocupacional|Surfaçada|Hoyalux iD WorkStyle 3|INCOLOR|PNX|1.53|No-Risk BlueControl|-8.00 até +5.00||||||32</x:v>
      </x:c>
    </x:row>
    <x:row r="344">
      <x:c r="A344" s="24" t="str">
        <x:v>HY-DC507A68EEFA</x:v>
      </x:c>
      <x:c r="B344" s="24" t="str">
        <x:v>SIM</x:v>
      </x:c>
      <x:c r="C344" s="24" t="str">
        <x:v>DISPONÍVEL</x:v>
      </x:c>
      <x:c r="D344" s="24" t="str">
        <x:v>HOYA</x:v>
      </x:c>
      <x:c r="E344" s="24" t="str">
        <x:v>Ocupacional</x:v>
      </x:c>
      <x:c r="F344" s="24" t="str">
        <x:v>Surfaçada</x:v>
      </x:c>
      <x:c r="G344" s="24" t="str">
        <x:v>Hoyalux iD WorkStyle 3</x:v>
      </x:c>
      <x:c r="H344" s="24" t="str">
        <x:v>INCOLOR</x:v>
      </x:c>
      <x:c r="I344" s="24" t="str">
        <x:v>ORGANIC</x:v>
      </x:c>
      <x:c r="J344" s="24" t="str">
        <x:v>1.50</x:v>
      </x:c>
      <x:c r="K344" s="24" t="str">
        <x:v>No-Risk BlueControl</x:v>
      </x:c>
      <x:c r="L344" s="40" t="n">
        <x:v>3139</x:v>
      </x:c>
      <x:c r="M344" s="24" t="str">
        <x:v>-8.00 até +5.00</x:v>
      </x:c>
      <x:c r="N344" s="24"/>
      <x:c r="O344" s="24"/>
      <x:c r="P344" s="24"/>
      <x:c r="Q344" s="24"/>
      <x:c r="R344" s="24"/>
      <x:c r="S344" s="26" t="n">
        <x:v>45992</x:v>
      </x:c>
      <x:c r="T344" s="26"/>
      <x:c r="U344" s="24" t="str">
        <x:v>ATIVA/SEM FIM INFORMADO</x:v>
      </x:c>
      <x:c r="V344" s="24"/>
      <x:c r="W344" s="24" t="n">
        <x:v>32</x:v>
      </x:c>
      <x:c r="X344" s="24" t="str">
        <x:v>tabela_hoya(1).pdf</x:v>
      </x:c>
      <x:c r="Y344" s="24" t="str">
        <x:v>alta</x:v>
      </x:c>
      <x:c r="Z344" s="24"/>
      <x:c r="AA344" s="24" t="str">
        <x:v>HOYA|Ocupacional|Surfaçada|Hoyalux iD WorkStyle 3|INCOLOR|ORGANIC|1.50|No-Risk BlueControl|-8.00 até +5.00||||||32</x:v>
      </x:c>
    </x:row>
    <x:row r="345">
      <x:c r="A345" s="24" t="str">
        <x:v>HY-E49D0EE3619C</x:v>
      </x:c>
      <x:c r="B345" s="24" t="str">
        <x:v>SIM</x:v>
      </x:c>
      <x:c r="C345" s="24" t="str">
        <x:v>DISPONÍVEL</x:v>
      </x:c>
      <x:c r="D345" s="24" t="str">
        <x:v>HOYA</x:v>
      </x:c>
      <x:c r="E345" s="24" t="str">
        <x:v>Ocupacional</x:v>
      </x:c>
      <x:c r="F345" s="24" t="str">
        <x:v>Surfaçada</x:v>
      </x:c>
      <x:c r="G345" s="24" t="str">
        <x:v>Hoyalux iD WorkStyle 3</x:v>
      </x:c>
      <x:c r="H345" s="24" t="str">
        <x:v>COLORIDAS</x:v>
      </x:c>
      <x:c r="I345" s="24" t="str">
        <x:v>EYVIA</x:v>
      </x:c>
      <x:c r="J345" s="24" t="str">
        <x:v>1.74</x:v>
      </x:c>
      <x:c r="K345" s="24" t="str">
        <x:v>Hi-Vision Sun Pro</x:v>
      </x:c>
      <x:c r="L345" s="40" t="n">
        <x:v>7789</x:v>
      </x:c>
      <x:c r="M345" s="24" t="str">
        <x:v>-15.00 até +9.00</x:v>
      </x:c>
      <x:c r="N345" s="24"/>
      <x:c r="O345" s="24"/>
      <x:c r="P345" s="24"/>
      <x:c r="Q345" s="24"/>
      <x:c r="R345" s="24"/>
      <x:c r="S345" s="26" t="n">
        <x:v>45992</x:v>
      </x:c>
      <x:c r="T345" s="26"/>
      <x:c r="U345" s="24" t="str">
        <x:v>ATIVA/SEM FIM INFORMADO</x:v>
      </x:c>
      <x:c r="V345" s="24"/>
      <x:c r="W345" s="24" t="n">
        <x:v>32</x:v>
      </x:c>
      <x:c r="X345" s="24" t="str">
        <x:v>tabela_hoya(1).pdf</x:v>
      </x:c>
      <x:c r="Y345" s="24" t="str">
        <x:v>alta</x:v>
      </x:c>
      <x:c r="Z345" s="24"/>
      <x:c r="AA345" s="24" t="str">
        <x:v>HOYA|Ocupacional|Surfaçada|Hoyalux iD WorkStyle 3|COLORIDAS|EYVIA|1.74|Hi-Vision Sun Pro|-15.00 até +9.00||||||32</x:v>
      </x:c>
    </x:row>
    <x:row r="346">
      <x:c r="A346" s="24" t="str">
        <x:v>HY-11E2761F0A6C</x:v>
      </x:c>
      <x:c r="B346" s="24" t="str">
        <x:v>SIM</x:v>
      </x:c>
      <x:c r="C346" s="24" t="str">
        <x:v>DISPONÍVEL</x:v>
      </x:c>
      <x:c r="D346" s="24" t="str">
        <x:v>HOYA</x:v>
      </x:c>
      <x:c r="E346" s="24" t="str">
        <x:v>Ocupacional</x:v>
      </x:c>
      <x:c r="F346" s="24" t="str">
        <x:v>Surfaçada</x:v>
      </x:c>
      <x:c r="G346" s="24" t="str">
        <x:v>Hoyalux iD WorkStyle 3</x:v>
      </x:c>
      <x:c r="H346" s="24" t="str">
        <x:v>COLORIDAS</x:v>
      </x:c>
      <x:c r="I346" s="24" t="str">
        <x:v>EYNOA</x:v>
      </x:c>
      <x:c r="J346" s="24" t="str">
        <x:v>1.67</x:v>
      </x:c>
      <x:c r="K346" s="24" t="str">
        <x:v>Hi-Vision Sun Pro</x:v>
      </x:c>
      <x:c r="L346" s="40" t="n">
        <x:v>6039</x:v>
      </x:c>
      <x:c r="M346" s="24" t="str">
        <x:v>-13.00 até +7.00</x:v>
      </x:c>
      <x:c r="N346" s="24"/>
      <x:c r="O346" s="24"/>
      <x:c r="P346" s="24"/>
      <x:c r="Q346" s="24"/>
      <x:c r="R346" s="24"/>
      <x:c r="S346" s="26" t="n">
        <x:v>45992</x:v>
      </x:c>
      <x:c r="T346" s="26"/>
      <x:c r="U346" s="24" t="str">
        <x:v>ATIVA/SEM FIM INFORMADO</x:v>
      </x:c>
      <x:c r="V346" s="24"/>
      <x:c r="W346" s="24" t="n">
        <x:v>32</x:v>
      </x:c>
      <x:c r="X346" s="24" t="str">
        <x:v>tabela_hoya(1).pdf</x:v>
      </x:c>
      <x:c r="Y346" s="24" t="str">
        <x:v>alta</x:v>
      </x:c>
      <x:c r="Z346" s="24"/>
      <x:c r="AA346" s="24" t="str">
        <x:v>HOYA|Ocupacional|Surfaçada|Hoyalux iD WorkStyle 3|COLORIDAS|EYNOA|1.67|Hi-Vision Sun Pro|-13.00 até +7.00||||||32</x:v>
      </x:c>
    </x:row>
    <x:row r="347">
      <x:c r="A347" s="24" t="str">
        <x:v>HY-A0D181BD9A5B</x:v>
      </x:c>
      <x:c r="B347" s="24" t="str">
        <x:v>SIM</x:v>
      </x:c>
      <x:c r="C347" s="24" t="str">
        <x:v>DISPONÍVEL</x:v>
      </x:c>
      <x:c r="D347" s="24" t="str">
        <x:v>HOYA</x:v>
      </x:c>
      <x:c r="E347" s="24" t="str">
        <x:v>Ocupacional</x:v>
      </x:c>
      <x:c r="F347" s="24" t="str">
        <x:v>Surfaçada</x:v>
      </x:c>
      <x:c r="G347" s="24" t="str">
        <x:v>Hoyalux iD WorkStyle 3</x:v>
      </x:c>
      <x:c r="H347" s="24" t="str">
        <x:v>COLORIDAS</x:v>
      </x:c>
      <x:c r="I347" s="24" t="str">
        <x:v>EYAS 2.0</x:v>
      </x:c>
      <x:c r="J347" s="24" t="str">
        <x:v>1.60</x:v>
      </x:c>
      <x:c r="K347" s="24" t="str">
        <x:v>Hi-Vision Sun Pro</x:v>
      </x:c>
      <x:c r="L347" s="40" t="n">
        <x:v>4239</x:v>
      </x:c>
      <x:c r="M347" s="24" t="str">
        <x:v>-11.00 até +7.00</x:v>
      </x:c>
      <x:c r="N347" s="24"/>
      <x:c r="O347" s="24"/>
      <x:c r="P347" s="24"/>
      <x:c r="Q347" s="24"/>
      <x:c r="R347" s="24"/>
      <x:c r="S347" s="26" t="n">
        <x:v>45992</x:v>
      </x:c>
      <x:c r="T347" s="26"/>
      <x:c r="U347" s="24" t="str">
        <x:v>ATIVA/SEM FIM INFORMADO</x:v>
      </x:c>
      <x:c r="V347" s="24"/>
      <x:c r="W347" s="24" t="n">
        <x:v>32</x:v>
      </x:c>
      <x:c r="X347" s="24" t="str">
        <x:v>tabela_hoya(1).pdf</x:v>
      </x:c>
      <x:c r="Y347" s="24" t="str">
        <x:v>alta</x:v>
      </x:c>
      <x:c r="Z347" s="24"/>
      <x:c r="AA347" s="24" t="str">
        <x:v>HOYA|Ocupacional|Surfaçada|Hoyalux iD WorkStyle 3|COLORIDAS|EYAS 2.0|1.60|Hi-Vision Sun Pro|-11.00 até +7.00||||||32</x:v>
      </x:c>
    </x:row>
    <x:row r="348">
      <x:c r="A348" s="24" t="str">
        <x:v>HY-328D59B42B4A</x:v>
      </x:c>
      <x:c r="B348" s="24" t="str">
        <x:v>SIM</x:v>
      </x:c>
      <x:c r="C348" s="24" t="str">
        <x:v>DISPONÍVEL</x:v>
      </x:c>
      <x:c r="D348" s="24" t="str">
        <x:v>HOYA</x:v>
      </x:c>
      <x:c r="E348" s="24" t="str">
        <x:v>Ocupacional</x:v>
      </x:c>
      <x:c r="F348" s="24" t="str">
        <x:v>Surfaçada</x:v>
      </x:c>
      <x:c r="G348" s="24" t="str">
        <x:v>Hoyalux iD WorkStyle 3</x:v>
      </x:c>
      <x:c r="H348" s="24" t="str">
        <x:v>COLORIDAS</x:v>
      </x:c>
      <x:c r="I348" s="24" t="str">
        <x:v>PNX</x:v>
      </x:c>
      <x:c r="J348" s="24" t="str">
        <x:v>1.53</x:v>
      </x:c>
      <x:c r="K348" s="24" t="str">
        <x:v>Hi-Vision Sun Pro</x:v>
      </x:c>
      <x:c r="L348" s="40" t="n">
        <x:v>3779</x:v>
      </x:c>
      <x:c r="M348" s="24" t="str">
        <x:v>-8.00 até +5.00</x:v>
      </x:c>
      <x:c r="N348" s="24"/>
      <x:c r="O348" s="24"/>
      <x:c r="P348" s="24"/>
      <x:c r="Q348" s="24"/>
      <x:c r="R348" s="24"/>
      <x:c r="S348" s="26" t="n">
        <x:v>45992</x:v>
      </x:c>
      <x:c r="T348" s="26"/>
      <x:c r="U348" s="24" t="str">
        <x:v>ATIVA/SEM FIM INFORMADO</x:v>
      </x:c>
      <x:c r="V348" s="24"/>
      <x:c r="W348" s="24" t="n">
        <x:v>32</x:v>
      </x:c>
      <x:c r="X348" s="24" t="str">
        <x:v>tabela_hoya(1).pdf</x:v>
      </x:c>
      <x:c r="Y348" s="24" t="str">
        <x:v>alta</x:v>
      </x:c>
      <x:c r="Z348" s="24"/>
      <x:c r="AA348" s="24" t="str">
        <x:v>HOYA|Ocupacional|Surfaçada|Hoyalux iD WorkStyle 3|COLORIDAS|PNX|1.53|Hi-Vision Sun Pro|-8.00 até +5.00||||||32</x:v>
      </x:c>
    </x:row>
    <x:row r="349">
      <x:c r="A349" s="24" t="str">
        <x:v>HY-3EC503D41013</x:v>
      </x:c>
      <x:c r="B349" s="24" t="str">
        <x:v>SIM</x:v>
      </x:c>
      <x:c r="C349" s="24" t="str">
        <x:v>DISPONÍVEL</x:v>
      </x:c>
      <x:c r="D349" s="24" t="str">
        <x:v>HOYA</x:v>
      </x:c>
      <x:c r="E349" s="24" t="str">
        <x:v>Ocupacional</x:v>
      </x:c>
      <x:c r="F349" s="24" t="str">
        <x:v>Surfaçada</x:v>
      </x:c>
      <x:c r="G349" s="24" t="str">
        <x:v>Hoyalux iD WorkStyle 3</x:v>
      </x:c>
      <x:c r="H349" s="24" t="str">
        <x:v>COLORIDAS</x:v>
      </x:c>
      <x:c r="I349" s="24" t="str">
        <x:v>ORGANIC</x:v>
      </x:c>
      <x:c r="J349" s="24" t="str">
        <x:v>1.50</x:v>
      </x:c>
      <x:c r="K349" s="24" t="str">
        <x:v>Hi-Vision Sun Pro</x:v>
      </x:c>
      <x:c r="L349" s="40" t="n">
        <x:v>3429</x:v>
      </x:c>
      <x:c r="M349" s="24" t="str">
        <x:v>-8.00 até +5.00</x:v>
      </x:c>
      <x:c r="N349" s="24"/>
      <x:c r="O349" s="24"/>
      <x:c r="P349" s="24"/>
      <x:c r="Q349" s="24"/>
      <x:c r="R349" s="24"/>
      <x:c r="S349" s="26" t="n">
        <x:v>45992</x:v>
      </x:c>
      <x:c r="T349" s="26"/>
      <x:c r="U349" s="24" t="str">
        <x:v>ATIVA/SEM FIM INFORMADO</x:v>
      </x:c>
      <x:c r="V349" s="24"/>
      <x:c r="W349" s="24" t="n">
        <x:v>32</x:v>
      </x:c>
      <x:c r="X349" s="24" t="str">
        <x:v>tabela_hoya(1).pdf</x:v>
      </x:c>
      <x:c r="Y349" s="24" t="str">
        <x:v>alta</x:v>
      </x:c>
      <x:c r="Z349" s="24"/>
      <x:c r="AA349" s="24" t="str">
        <x:v>HOYA|Ocupacional|Surfaçada|Hoyalux iD WorkStyle 3|COLORIDAS|ORGANIC|1.50|Hi-Vision Sun Pro|-8.00 até +5.00||||||32</x:v>
      </x:c>
    </x:row>
    <x:row r="350">
      <x:c r="A350" s="24" t="str">
        <x:v>HY-8E55F9201565</x:v>
      </x:c>
      <x:c r="B350" s="24" t="str">
        <x:v>SIM</x:v>
      </x:c>
      <x:c r="C350" s="24" t="str">
        <x:v>DISPONÍVEL</x:v>
      </x:c>
      <x:c r="D350" s="24" t="str">
        <x:v>HOYA</x:v>
      </x:c>
      <x:c r="E350" s="24" t="str">
        <x:v>Ocupacional</x:v>
      </x:c>
      <x:c r="F350" s="24" t="str">
        <x:v>Surfaçada</x:v>
      </x:c>
      <x:c r="G350" s="24" t="str">
        <x:v>Hoyalux WorkSmart Room</x:v>
      </x:c>
      <x:c r="H350" s="24" t="str">
        <x:v>INCOLOR</x:v>
      </x:c>
      <x:c r="I350" s="24" t="str">
        <x:v>EYAS 2.0</x:v>
      </x:c>
      <x:c r="J350" s="24" t="str">
        <x:v>1.60</x:v>
      </x:c>
      <x:c r="K350" s="24" t="str">
        <x:v>Hi-Vision LongLife BlueControl</x:v>
      </x:c>
      <x:c r="L350" s="40" t="n">
        <x:v>2319</x:v>
      </x:c>
      <x:c r="M350" s="24" t="str">
        <x:v>-8.00 até +6.00</x:v>
      </x:c>
      <x:c r="N350" s="24"/>
      <x:c r="O350" s="24"/>
      <x:c r="P350" s="24"/>
      <x:c r="Q350" s="24"/>
      <x:c r="R350" s="24"/>
      <x:c r="S350" s="26" t="n">
        <x:v>45992</x:v>
      </x:c>
      <x:c r="T350" s="26"/>
      <x:c r="U350" s="24" t="str">
        <x:v>ATIVA/SEM FIM INFORMADO</x:v>
      </x:c>
      <x:c r="V350" s="24"/>
      <x:c r="W350" s="24" t="n">
        <x:v>33</x:v>
      </x:c>
      <x:c r="X350" s="24" t="str">
        <x:v>tabela_hoya(1).pdf</x:v>
      </x:c>
      <x:c r="Y350" s="24" t="str">
        <x:v>alta</x:v>
      </x:c>
      <x:c r="Z350" s="24"/>
      <x:c r="AA350" s="24" t="str">
        <x:v>HOYA|Ocupacional|Surfaçada|Hoyalux WorkSmart Room|INCOLOR|EYAS 2.0|1.60|Hi-Vision LongLife BlueControl|-8.00 até +6.00||||||33</x:v>
      </x:c>
    </x:row>
    <x:row r="351">
      <x:c r="A351" s="24" t="str">
        <x:v>HY-E5E5351A48F0</x:v>
      </x:c>
      <x:c r="B351" s="24" t="str">
        <x:v>SIM</x:v>
      </x:c>
      <x:c r="C351" s="24" t="str">
        <x:v>DISPONÍVEL</x:v>
      </x:c>
      <x:c r="D351" s="24" t="str">
        <x:v>HOYA</x:v>
      </x:c>
      <x:c r="E351" s="24" t="str">
        <x:v>Ocupacional</x:v>
      </x:c>
      <x:c r="F351" s="24" t="str">
        <x:v>Surfaçada</x:v>
      </x:c>
      <x:c r="G351" s="24" t="str">
        <x:v>Hoyalux WorkSmart Room</x:v>
      </x:c>
      <x:c r="H351" s="24" t="str">
        <x:v>INCOLOR</x:v>
      </x:c>
      <x:c r="I351" s="24" t="str">
        <x:v>PNX</x:v>
      </x:c>
      <x:c r="J351" s="24" t="str">
        <x:v>1.53</x:v>
      </x:c>
      <x:c r="K351" s="24" t="str">
        <x:v>Hi-Vision LongLife BlueControl</x:v>
      </x:c>
      <x:c r="L351" s="40" t="n">
        <x:v>1969</x:v>
      </x:c>
      <x:c r="M351" s="24" t="str">
        <x:v>-8.00 até +6.00</x:v>
      </x:c>
      <x:c r="N351" s="24"/>
      <x:c r="O351" s="24"/>
      <x:c r="P351" s="24"/>
      <x:c r="Q351" s="24"/>
      <x:c r="R351" s="24"/>
      <x:c r="S351" s="26" t="n">
        <x:v>45992</x:v>
      </x:c>
      <x:c r="T351" s="26"/>
      <x:c r="U351" s="24" t="str">
        <x:v>ATIVA/SEM FIM INFORMADO</x:v>
      </x:c>
      <x:c r="V351" s="24"/>
      <x:c r="W351" s="24" t="n">
        <x:v>33</x:v>
      </x:c>
      <x:c r="X351" s="24" t="str">
        <x:v>tabela_hoya(1).pdf</x:v>
      </x:c>
      <x:c r="Y351" s="24" t="str">
        <x:v>alta</x:v>
      </x:c>
      <x:c r="Z351" s="24"/>
      <x:c r="AA351" s="24" t="str">
        <x:v>HOYA|Ocupacional|Surfaçada|Hoyalux WorkSmart Room|INCOLOR|PNX|1.53|Hi-Vision LongLife BlueControl|-8.00 até +6.00||||||33</x:v>
      </x:c>
    </x:row>
    <x:row r="352">
      <x:c r="A352" s="24" t="str">
        <x:v>HY-C148EAD9F65B</x:v>
      </x:c>
      <x:c r="B352" s="24" t="str">
        <x:v>SIM</x:v>
      </x:c>
      <x:c r="C352" s="24" t="str">
        <x:v>DISPONÍVEL</x:v>
      </x:c>
      <x:c r="D352" s="24" t="str">
        <x:v>HOYA</x:v>
      </x:c>
      <x:c r="E352" s="24" t="str">
        <x:v>Ocupacional</x:v>
      </x:c>
      <x:c r="F352" s="24" t="str">
        <x:v>Surfaçada</x:v>
      </x:c>
      <x:c r="G352" s="24" t="str">
        <x:v>Hoyalux WorkSmart Room</x:v>
      </x:c>
      <x:c r="H352" s="24" t="str">
        <x:v>INCOLOR</x:v>
      </x:c>
      <x:c r="I352" s="24" t="str">
        <x:v>EYAS 2.0</x:v>
      </x:c>
      <x:c r="J352" s="24" t="str">
        <x:v>1.60</x:v>
      </x:c>
      <x:c r="K352" s="24" t="str">
        <x:v>No-Risk BlueControl</x:v>
      </x:c>
      <x:c r="L352" s="40" t="n">
        <x:v>2069</x:v>
      </x:c>
      <x:c r="M352" s="24" t="str">
        <x:v>-8.00 até +6.00</x:v>
      </x:c>
      <x:c r="N352" s="24"/>
      <x:c r="O352" s="24"/>
      <x:c r="P352" s="24"/>
      <x:c r="Q352" s="24"/>
      <x:c r="R352" s="24"/>
      <x:c r="S352" s="26" t="n">
        <x:v>45992</x:v>
      </x:c>
      <x:c r="T352" s="26"/>
      <x:c r="U352" s="24" t="str">
        <x:v>ATIVA/SEM FIM INFORMADO</x:v>
      </x:c>
      <x:c r="V352" s="24"/>
      <x:c r="W352" s="24" t="n">
        <x:v>33</x:v>
      </x:c>
      <x:c r="X352" s="24" t="str">
        <x:v>tabela_hoya(1).pdf</x:v>
      </x:c>
      <x:c r="Y352" s="24" t="str">
        <x:v>alta</x:v>
      </x:c>
      <x:c r="Z352" s="24"/>
      <x:c r="AA352" s="24" t="str">
        <x:v>HOYA|Ocupacional|Surfaçada|Hoyalux WorkSmart Room|INCOLOR|EYAS 2.0|1.60|No-Risk BlueControl|-8.00 até +6.00||||||33</x:v>
      </x:c>
    </x:row>
    <x:row r="353">
      <x:c r="A353" s="24" t="str">
        <x:v>HY-B3DDC63ED23E</x:v>
      </x:c>
      <x:c r="B353" s="24" t="str">
        <x:v>SIM</x:v>
      </x:c>
      <x:c r="C353" s="24" t="str">
        <x:v>DISPONÍVEL</x:v>
      </x:c>
      <x:c r="D353" s="24" t="str">
        <x:v>HOYA</x:v>
      </x:c>
      <x:c r="E353" s="24" t="str">
        <x:v>Ocupacional</x:v>
      </x:c>
      <x:c r="F353" s="24" t="str">
        <x:v>Surfaçada</x:v>
      </x:c>
      <x:c r="G353" s="24" t="str">
        <x:v>Hoyalux WorkSmart Room</x:v>
      </x:c>
      <x:c r="H353" s="24" t="str">
        <x:v>INCOLOR</x:v>
      </x:c>
      <x:c r="I353" s="24" t="str">
        <x:v>PNX</x:v>
      </x:c>
      <x:c r="J353" s="24" t="str">
        <x:v>1.53</x:v>
      </x:c>
      <x:c r="K353" s="24" t="str">
        <x:v>No-Risk BlueControl</x:v>
      </x:c>
      <x:c r="L353" s="40" t="n">
        <x:v>1719</x:v>
      </x:c>
      <x:c r="M353" s="24" t="str">
        <x:v>-8.00 até +6.00</x:v>
      </x:c>
      <x:c r="N353" s="24"/>
      <x:c r="O353" s="24"/>
      <x:c r="P353" s="24"/>
      <x:c r="Q353" s="24"/>
      <x:c r="R353" s="24"/>
      <x:c r="S353" s="26" t="n">
        <x:v>45992</x:v>
      </x:c>
      <x:c r="T353" s="26"/>
      <x:c r="U353" s="24" t="str">
        <x:v>ATIVA/SEM FIM INFORMADO</x:v>
      </x:c>
      <x:c r="V353" s="24"/>
      <x:c r="W353" s="24" t="n">
        <x:v>33</x:v>
      </x:c>
      <x:c r="X353" s="24" t="str">
        <x:v>tabela_hoya(1).pdf</x:v>
      </x:c>
      <x:c r="Y353" s="24" t="str">
        <x:v>alta</x:v>
      </x:c>
      <x:c r="Z353" s="24"/>
      <x:c r="AA353" s="24" t="str">
        <x:v>HOYA|Ocupacional|Surfaçada|Hoyalux WorkSmart Room|INCOLOR|PNX|1.53|No-Risk BlueControl|-8.00 até +6.00||||||33</x:v>
      </x:c>
    </x:row>
    <x:row r="354">
      <x:c r="A354" s="24" t="str">
        <x:v>HY-1E0CA9EB2160</x:v>
      </x:c>
      <x:c r="B354" s="24" t="str">
        <x:v>SIM</x:v>
      </x:c>
      <x:c r="C354" s="24" t="str">
        <x:v>DISPONÍVEL</x:v>
      </x:c>
      <x:c r="D354" s="24" t="str">
        <x:v>HOYA</x:v>
      </x:c>
      <x:c r="E354" s="24" t="str">
        <x:v>Ocupacional</x:v>
      </x:c>
      <x:c r="F354" s="24" t="str">
        <x:v>Surfaçada</x:v>
      </x:c>
      <x:c r="G354" s="24" t="str">
        <x:v>Hoyalux WorkSmart Room</x:v>
      </x:c>
      <x:c r="H354" s="24" t="str">
        <x:v>COLORIDAS</x:v>
      </x:c>
      <x:c r="I354" s="24" t="str">
        <x:v>EYAS 2.0</x:v>
      </x:c>
      <x:c r="J354" s="24" t="str">
        <x:v>1.60</x:v>
      </x:c>
      <x:c r="K354" s="24" t="str">
        <x:v>Hi-Vision Sun Pro</x:v>
      </x:c>
      <x:c r="L354" s="40" t="n">
        <x:v>2359</x:v>
      </x:c>
      <x:c r="M354" s="24" t="str">
        <x:v>-8.00 até +6.00</x:v>
      </x:c>
      <x:c r="N354" s="24"/>
      <x:c r="O354" s="24"/>
      <x:c r="P354" s="24"/>
      <x:c r="Q354" s="24"/>
      <x:c r="R354" s="24"/>
      <x:c r="S354" s="26" t="n">
        <x:v>45992</x:v>
      </x:c>
      <x:c r="T354" s="26"/>
      <x:c r="U354" s="24" t="str">
        <x:v>ATIVA/SEM FIM INFORMADO</x:v>
      </x:c>
      <x:c r="V354" s="24"/>
      <x:c r="W354" s="24" t="n">
        <x:v>33</x:v>
      </x:c>
      <x:c r="X354" s="24" t="str">
        <x:v>tabela_hoya(1).pdf</x:v>
      </x:c>
      <x:c r="Y354" s="24" t="str">
        <x:v>alta</x:v>
      </x:c>
      <x:c r="Z354" s="24"/>
      <x:c r="AA354" s="24" t="str">
        <x:v>HOYA|Ocupacional|Surfaçada|Hoyalux WorkSmart Room|COLORIDAS|EYAS 2.0|1.60|Hi-Vision Sun Pro|-8.00 até +6.00||||||33</x:v>
      </x:c>
    </x:row>
    <x:row r="355">
      <x:c r="A355" s="24" t="str">
        <x:v>HY-E44DF8C07E4B</x:v>
      </x:c>
      <x:c r="B355" s="24" t="str">
        <x:v>SIM</x:v>
      </x:c>
      <x:c r="C355" s="24" t="str">
        <x:v>DISPONÍVEL</x:v>
      </x:c>
      <x:c r="D355" s="24" t="str">
        <x:v>HOYA</x:v>
      </x:c>
      <x:c r="E355" s="24" t="str">
        <x:v>Ocupacional</x:v>
      </x:c>
      <x:c r="F355" s="24" t="str">
        <x:v>Surfaçada</x:v>
      </x:c>
      <x:c r="G355" s="24" t="str">
        <x:v>Hoyalux WorkSmart Room</x:v>
      </x:c>
      <x:c r="H355" s="24" t="str">
        <x:v>COLORIDAS</x:v>
      </x:c>
      <x:c r="I355" s="24" t="str">
        <x:v>PNX</x:v>
      </x:c>
      <x:c r="J355" s="24" t="str">
        <x:v>1.53</x:v>
      </x:c>
      <x:c r="K355" s="24" t="str">
        <x:v>Hi-Vision Sun Pro</x:v>
      </x:c>
      <x:c r="L355" s="40" t="n">
        <x:v>2009</x:v>
      </x:c>
      <x:c r="M355" s="24" t="str">
        <x:v>-8.00 até +6.00</x:v>
      </x:c>
      <x:c r="N355" s="24"/>
      <x:c r="O355" s="24"/>
      <x:c r="P355" s="24"/>
      <x:c r="Q355" s="24"/>
      <x:c r="R355" s="24"/>
      <x:c r="S355" s="26" t="n">
        <x:v>45992</x:v>
      </x:c>
      <x:c r="T355" s="26"/>
      <x:c r="U355" s="24" t="str">
        <x:v>ATIVA/SEM FIM INFORMADO</x:v>
      </x:c>
      <x:c r="V355" s="24"/>
      <x:c r="W355" s="24" t="n">
        <x:v>33</x:v>
      </x:c>
      <x:c r="X355" s="24" t="str">
        <x:v>tabela_hoya(1).pdf</x:v>
      </x:c>
      <x:c r="Y355" s="24" t="str">
        <x:v>alta</x:v>
      </x:c>
      <x:c r="Z355" s="24"/>
      <x:c r="AA355" s="24" t="str">
        <x:v>HOYA|Ocupacional|Surfaçada|Hoyalux WorkSmart Room|COLORIDAS|PNX|1.53|Hi-Vision Sun Pro|-8.00 até +6.00||||||33</x:v>
      </x:c>
    </x:row>
    <x:row r="356">
      <x:c r="A356" s="24" t="str">
        <x:v>HY-E0D53B7AD1D3</x:v>
      </x:c>
      <x:c r="B356" s="24" t="str">
        <x:v>SIM</x:v>
      </x:c>
      <x:c r="C356" s="24" t="str">
        <x:v>DISPONÍVEL</x:v>
      </x:c>
      <x:c r="D356" s="24" t="str">
        <x:v>HOYA</x:v>
      </x:c>
      <x:c r="E356" s="24" t="str">
        <x:v>Especial Digital</x:v>
      </x:c>
      <x:c r="F356" s="24" t="str">
        <x:v>Surfaçada</x:v>
      </x:c>
      <x:c r="G356" s="24" t="str">
        <x:v>HOYA SYNC III</x:v>
      </x:c>
      <x:c r="H356" s="24" t="str">
        <x:v>INCOLOR</x:v>
      </x:c>
      <x:c r="I356" s="24" t="str">
        <x:v>EYVIA</x:v>
      </x:c>
      <x:c r="J356" s="24" t="str">
        <x:v>1.74</x:v>
      </x:c>
      <x:c r="K356" s="24" t="str">
        <x:v>Hi-Vision LongLife BlueControl</x:v>
      </x:c>
      <x:c r="L356" s="40" t="n">
        <x:v>3709</x:v>
      </x:c>
      <x:c r="M356" s="24" t="str">
        <x:v>-13.00 até +9.00</x:v>
      </x:c>
      <x:c r="N356" s="24"/>
      <x:c r="O356" s="24"/>
      <x:c r="P356" s="24"/>
      <x:c r="Q356" s="24"/>
      <x:c r="R356" s="24"/>
      <x:c r="S356" s="26" t="n">
        <x:v>45992</x:v>
      </x:c>
      <x:c r="T356" s="26"/>
      <x:c r="U356" s="24" t="str">
        <x:v>ATIVA/SEM FIM INFORMADO</x:v>
      </x:c>
      <x:c r="V356" s="24"/>
      <x:c r="W356" s="24" t="n">
        <x:v>35</x:v>
      </x:c>
      <x:c r="X356" s="24" t="str">
        <x:v>tabela_hoya(1).pdf</x:v>
      </x:c>
      <x:c r="Y356" s="24" t="str">
        <x:v>alta</x:v>
      </x:c>
      <x:c r="Z356" s="24"/>
      <x:c r="AA356" s="24" t="str">
        <x:v>HOYA|Especial Digital|Surfaçada|HOYA SYNC III|INCOLOR|EYVIA|1.74|Hi-Vision LongLife BlueControl|-13.00 até +9.00||||||35</x:v>
      </x:c>
    </x:row>
    <x:row r="357">
      <x:c r="A357" s="24" t="str">
        <x:v>HY-493BE742E3ED</x:v>
      </x:c>
      <x:c r="B357" s="24" t="str">
        <x:v>SIM</x:v>
      </x:c>
      <x:c r="C357" s="24" t="str">
        <x:v>DISPONÍVEL</x:v>
      </x:c>
      <x:c r="D357" s="24" t="str">
        <x:v>HOYA</x:v>
      </x:c>
      <x:c r="E357" s="24" t="str">
        <x:v>Especial Digital</x:v>
      </x:c>
      <x:c r="F357" s="24" t="str">
        <x:v>Surfaçada</x:v>
      </x:c>
      <x:c r="G357" s="24" t="str">
        <x:v>HOYA SYNC III</x:v>
      </x:c>
      <x:c r="H357" s="24" t="str">
        <x:v>INCOLOR</x:v>
      </x:c>
      <x:c r="I357" s="24" t="str">
        <x:v>EYNOA</x:v>
      </x:c>
      <x:c r="J357" s="24" t="str">
        <x:v>1.67</x:v>
      </x:c>
      <x:c r="K357" s="24" t="str">
        <x:v>Hi-Vision LongLife BlueControl</x:v>
      </x:c>
      <x:c r="L357" s="40" t="n">
        <x:v>3359</x:v>
      </x:c>
      <x:c r="M357" s="24" t="str">
        <x:v>-13.00 até +7.50</x:v>
      </x:c>
      <x:c r="N357" s="24"/>
      <x:c r="O357" s="24"/>
      <x:c r="P357" s="24"/>
      <x:c r="Q357" s="24"/>
      <x:c r="R357" s="24"/>
      <x:c r="S357" s="26" t="n">
        <x:v>45992</x:v>
      </x:c>
      <x:c r="T357" s="26"/>
      <x:c r="U357" s="24" t="str">
        <x:v>ATIVA/SEM FIM INFORMADO</x:v>
      </x:c>
      <x:c r="V357" s="24"/>
      <x:c r="W357" s="24" t="n">
        <x:v>35</x:v>
      </x:c>
      <x:c r="X357" s="24" t="str">
        <x:v>tabela_hoya(1).pdf</x:v>
      </x:c>
      <x:c r="Y357" s="24" t="str">
        <x:v>alta</x:v>
      </x:c>
      <x:c r="Z357" s="24"/>
      <x:c r="AA357" s="24" t="str">
        <x:v>HOYA|Especial Digital|Surfaçada|HOYA SYNC III|INCOLOR|EYNOA|1.67|Hi-Vision LongLife BlueControl|-13.00 até +7.50||||||35</x:v>
      </x:c>
    </x:row>
    <x:row r="358">
      <x:c r="A358" s="24" t="str">
        <x:v>HY-BF69DD8F7201</x:v>
      </x:c>
      <x:c r="B358" s="24" t="str">
        <x:v>SIM</x:v>
      </x:c>
      <x:c r="C358" s="24" t="str">
        <x:v>DISPONÍVEL</x:v>
      </x:c>
      <x:c r="D358" s="24" t="str">
        <x:v>HOYA</x:v>
      </x:c>
      <x:c r="E358" s="24" t="str">
        <x:v>Especial Digital</x:v>
      </x:c>
      <x:c r="F358" s="24" t="str">
        <x:v>Surfaçada</x:v>
      </x:c>
      <x:c r="G358" s="24" t="str">
        <x:v>HOYA SYNC III</x:v>
      </x:c>
      <x:c r="H358" s="24" t="str">
        <x:v>INCOLOR</x:v>
      </x:c>
      <x:c r="I358" s="24" t="str">
        <x:v>EYAS 2.0</x:v>
      </x:c>
      <x:c r="J358" s="24" t="str">
        <x:v>1.60</x:v>
      </x:c>
      <x:c r="K358" s="24" t="str">
        <x:v>Hi-Vision LongLife BlueControl</x:v>
      </x:c>
      <x:c r="L358" s="40" t="n">
        <x:v>2559</x:v>
      </x:c>
      <x:c r="M358" s="24" t="str">
        <x:v>-13.00 até +7.50</x:v>
      </x:c>
      <x:c r="N358" s="24"/>
      <x:c r="O358" s="24"/>
      <x:c r="P358" s="24"/>
      <x:c r="Q358" s="24"/>
      <x:c r="R358" s="24"/>
      <x:c r="S358" s="26" t="n">
        <x:v>45992</x:v>
      </x:c>
      <x:c r="T358" s="26"/>
      <x:c r="U358" s="24" t="str">
        <x:v>ATIVA/SEM FIM INFORMADO</x:v>
      </x:c>
      <x:c r="V358" s="24"/>
      <x:c r="W358" s="24" t="n">
        <x:v>35</x:v>
      </x:c>
      <x:c r="X358" s="24" t="str">
        <x:v>tabela_hoya(1).pdf</x:v>
      </x:c>
      <x:c r="Y358" s="24" t="str">
        <x:v>alta</x:v>
      </x:c>
      <x:c r="Z358" s="24"/>
      <x:c r="AA358" s="24" t="str">
        <x:v>HOYA|Especial Digital|Surfaçada|HOYA SYNC III|INCOLOR|EYAS 2.0|1.60|Hi-Vision LongLife BlueControl|-13.00 até +7.50||||||35</x:v>
      </x:c>
    </x:row>
    <x:row r="359">
      <x:c r="A359" s="24" t="str">
        <x:v>HY-5444A0E88F66</x:v>
      </x:c>
      <x:c r="B359" s="24" t="str">
        <x:v>SIM</x:v>
      </x:c>
      <x:c r="C359" s="24" t="str">
        <x:v>DISPONÍVEL</x:v>
      </x:c>
      <x:c r="D359" s="24" t="str">
        <x:v>HOYA</x:v>
      </x:c>
      <x:c r="E359" s="24" t="str">
        <x:v>Especial Digital</x:v>
      </x:c>
      <x:c r="F359" s="24" t="str">
        <x:v>Surfaçada</x:v>
      </x:c>
      <x:c r="G359" s="24" t="str">
        <x:v>HOYA SYNC III</x:v>
      </x:c>
      <x:c r="H359" s="24" t="str">
        <x:v>INCOLOR</x:v>
      </x:c>
      <x:c r="I359" s="24" t="str">
        <x:v>PNX</x:v>
      </x:c>
      <x:c r="J359" s="24" t="str">
        <x:v>1.53</x:v>
      </x:c>
      <x:c r="K359" s="24" t="str">
        <x:v>Hi-Vision LongLife BlueControl</x:v>
      </x:c>
      <x:c r="L359" s="40" t="n">
        <x:v>2099</x:v>
      </x:c>
      <x:c r="M359" s="24" t="str">
        <x:v>-8.00 até +6.00</x:v>
      </x:c>
      <x:c r="N359" s="24"/>
      <x:c r="O359" s="24"/>
      <x:c r="P359" s="24"/>
      <x:c r="Q359" s="24"/>
      <x:c r="R359" s="24"/>
      <x:c r="S359" s="26" t="n">
        <x:v>45992</x:v>
      </x:c>
      <x:c r="T359" s="26"/>
      <x:c r="U359" s="24" t="str">
        <x:v>ATIVA/SEM FIM INFORMADO</x:v>
      </x:c>
      <x:c r="V359" s="24"/>
      <x:c r="W359" s="24" t="n">
        <x:v>35</x:v>
      </x:c>
      <x:c r="X359" s="24" t="str">
        <x:v>tabela_hoya(1).pdf</x:v>
      </x:c>
      <x:c r="Y359" s="24" t="str">
        <x:v>alta</x:v>
      </x:c>
      <x:c r="Z359" s="24"/>
      <x:c r="AA359" s="24" t="str">
        <x:v>HOYA|Especial Digital|Surfaçada|HOYA SYNC III|INCOLOR|PNX|1.53|Hi-Vision LongLife BlueControl|-8.00 até +6.00||||||35</x:v>
      </x:c>
    </x:row>
    <x:row r="360">
      <x:c r="A360" s="24" t="str">
        <x:v>HY-B0A6E378B04B</x:v>
      </x:c>
      <x:c r="B360" s="24" t="str">
        <x:v>SIM</x:v>
      </x:c>
      <x:c r="C360" s="24" t="str">
        <x:v>DISPONÍVEL</x:v>
      </x:c>
      <x:c r="D360" s="24" t="str">
        <x:v>HOYA</x:v>
      </x:c>
      <x:c r="E360" s="24" t="str">
        <x:v>Especial Digital</x:v>
      </x:c>
      <x:c r="F360" s="24" t="str">
        <x:v>Surfaçada</x:v>
      </x:c>
      <x:c r="G360" s="24" t="str">
        <x:v>HOYA SYNC III</x:v>
      </x:c>
      <x:c r="H360" s="24" t="str">
        <x:v>INCOLOR</x:v>
      </x:c>
      <x:c r="I360" s="24" t="str">
        <x:v>ORGANIC</x:v>
      </x:c>
      <x:c r="J360" s="24" t="str">
        <x:v>1.50</x:v>
      </x:c>
      <x:c r="K360" s="24" t="str">
        <x:v>Hi-Vision LongLife BlueControl</x:v>
      </x:c>
      <x:c r="L360" s="40" t="n">
        <x:v>1749</x:v>
      </x:c>
      <x:c r="M360" s="24" t="str">
        <x:v>-8.00 até +3.00</x:v>
      </x:c>
      <x:c r="N360" s="24"/>
      <x:c r="O360" s="24"/>
      <x:c r="P360" s="24"/>
      <x:c r="Q360" s="24"/>
      <x:c r="R360" s="24"/>
      <x:c r="S360" s="26" t="n">
        <x:v>45992</x:v>
      </x:c>
      <x:c r="T360" s="26"/>
      <x:c r="U360" s="24" t="str">
        <x:v>ATIVA/SEM FIM INFORMADO</x:v>
      </x:c>
      <x:c r="V360" s="24"/>
      <x:c r="W360" s="24" t="n">
        <x:v>35</x:v>
      </x:c>
      <x:c r="X360" s="24" t="str">
        <x:v>tabela_hoya(1).pdf</x:v>
      </x:c>
      <x:c r="Y360" s="24" t="str">
        <x:v>alta</x:v>
      </x:c>
      <x:c r="Z360" s="24"/>
      <x:c r="AA360" s="24" t="str">
        <x:v>HOYA|Especial Digital|Surfaçada|HOYA SYNC III|INCOLOR|ORGANIC|1.50|Hi-Vision LongLife BlueControl|-8.00 até +3.00||||||35</x:v>
      </x:c>
    </x:row>
    <x:row r="361">
      <x:c r="A361" s="24" t="str">
        <x:v>HY-E122E024CDC1</x:v>
      </x:c>
      <x:c r="B361" s="24" t="str">
        <x:v>SIM</x:v>
      </x:c>
      <x:c r="C361" s="24" t="str">
        <x:v>DISPONÍVEL</x:v>
      </x:c>
      <x:c r="D361" s="24" t="str">
        <x:v>HOYA</x:v>
      </x:c>
      <x:c r="E361" s="24" t="str">
        <x:v>Especial Digital</x:v>
      </x:c>
      <x:c r="F361" s="24" t="str">
        <x:v>Surfaçada</x:v>
      </x:c>
      <x:c r="G361" s="24" t="str">
        <x:v>HOYA SYNC III</x:v>
      </x:c>
      <x:c r="H361" s="24" t="str">
        <x:v>INCOLOR</x:v>
      </x:c>
      <x:c r="I361" s="24" t="str">
        <x:v>EYNOA</x:v>
      </x:c>
      <x:c r="J361" s="24" t="str">
        <x:v>1.67</x:v>
      </x:c>
      <x:c r="K361" s="24" t="str">
        <x:v>No-Risk BlueControl</x:v>
      </x:c>
      <x:c r="L361" s="40" t="n">
        <x:v>3109</x:v>
      </x:c>
      <x:c r="M361" s="24" t="str">
        <x:v>-13.00 até +7.50</x:v>
      </x:c>
      <x:c r="N361" s="24"/>
      <x:c r="O361" s="24"/>
      <x:c r="P361" s="24"/>
      <x:c r="Q361" s="24"/>
      <x:c r="R361" s="24"/>
      <x:c r="S361" s="26" t="n">
        <x:v>45992</x:v>
      </x:c>
      <x:c r="T361" s="26"/>
      <x:c r="U361" s="24" t="str">
        <x:v>ATIVA/SEM FIM INFORMADO</x:v>
      </x:c>
      <x:c r="V361" s="24"/>
      <x:c r="W361" s="24" t="n">
        <x:v>35</x:v>
      </x:c>
      <x:c r="X361" s="24" t="str">
        <x:v>tabela_hoya(1).pdf</x:v>
      </x:c>
      <x:c r="Y361" s="24" t="str">
        <x:v>alta</x:v>
      </x:c>
      <x:c r="Z361" s="24"/>
      <x:c r="AA361" s="24" t="str">
        <x:v>HOYA|Especial Digital|Surfaçada|HOYA SYNC III|INCOLOR|EYNOA|1.67|No-Risk BlueControl|-13.00 até +7.50||||||35</x:v>
      </x:c>
    </x:row>
    <x:row r="362">
      <x:c r="A362" s="24" t="str">
        <x:v>HY-7D9DE5E7CC50</x:v>
      </x:c>
      <x:c r="B362" s="24" t="str">
        <x:v>SIM</x:v>
      </x:c>
      <x:c r="C362" s="24" t="str">
        <x:v>DISPONÍVEL</x:v>
      </x:c>
      <x:c r="D362" s="24" t="str">
        <x:v>HOYA</x:v>
      </x:c>
      <x:c r="E362" s="24" t="str">
        <x:v>Especial Digital</x:v>
      </x:c>
      <x:c r="F362" s="24" t="str">
        <x:v>Surfaçada</x:v>
      </x:c>
      <x:c r="G362" s="24" t="str">
        <x:v>HOYA SYNC III</x:v>
      </x:c>
      <x:c r="H362" s="24" t="str">
        <x:v>INCOLOR</x:v>
      </x:c>
      <x:c r="I362" s="24" t="str">
        <x:v>EYAS 2.0</x:v>
      </x:c>
      <x:c r="J362" s="24" t="str">
        <x:v>1.60</x:v>
      </x:c>
      <x:c r="K362" s="24" t="str">
        <x:v>No-Risk BlueControl</x:v>
      </x:c>
      <x:c r="L362" s="40" t="n">
        <x:v>2309</x:v>
      </x:c>
      <x:c r="M362" s="24" t="str">
        <x:v>-13.00 até +7.50</x:v>
      </x:c>
      <x:c r="N362" s="24"/>
      <x:c r="O362" s="24"/>
      <x:c r="P362" s="24"/>
      <x:c r="Q362" s="24"/>
      <x:c r="R362" s="24"/>
      <x:c r="S362" s="26" t="n">
        <x:v>45992</x:v>
      </x:c>
      <x:c r="T362" s="26"/>
      <x:c r="U362" s="24" t="str">
        <x:v>ATIVA/SEM FIM INFORMADO</x:v>
      </x:c>
      <x:c r="V362" s="24"/>
      <x:c r="W362" s="24" t="n">
        <x:v>35</x:v>
      </x:c>
      <x:c r="X362" s="24" t="str">
        <x:v>tabela_hoya(1).pdf</x:v>
      </x:c>
      <x:c r="Y362" s="24" t="str">
        <x:v>alta</x:v>
      </x:c>
      <x:c r="Z362" s="24"/>
      <x:c r="AA362" s="24" t="str">
        <x:v>HOYA|Especial Digital|Surfaçada|HOYA SYNC III|INCOLOR|EYAS 2.0|1.60|No-Risk BlueControl|-13.00 até +7.50||||||35</x:v>
      </x:c>
    </x:row>
    <x:row r="363">
      <x:c r="A363" s="24" t="str">
        <x:v>HY-3009A2B3D8A8</x:v>
      </x:c>
      <x:c r="B363" s="24" t="str">
        <x:v>SIM</x:v>
      </x:c>
      <x:c r="C363" s="24" t="str">
        <x:v>DISPONÍVEL</x:v>
      </x:c>
      <x:c r="D363" s="24" t="str">
        <x:v>HOYA</x:v>
      </x:c>
      <x:c r="E363" s="24" t="str">
        <x:v>Especial Digital</x:v>
      </x:c>
      <x:c r="F363" s="24" t="str">
        <x:v>Surfaçada</x:v>
      </x:c>
      <x:c r="G363" s="24" t="str">
        <x:v>HOYA SYNC III</x:v>
      </x:c>
      <x:c r="H363" s="24" t="str">
        <x:v>INCOLOR</x:v>
      </x:c>
      <x:c r="I363" s="24" t="str">
        <x:v>POLI</x:v>
      </x:c>
      <x:c r="J363" s="24" t="str">
        <x:v>1.59</x:v>
      </x:c>
      <x:c r="K363" s="24" t="str">
        <x:v>No-Risk BlueControl</x:v>
      </x:c>
      <x:c r="L363" s="40" t="n">
        <x:v>1849</x:v>
      </x:c>
      <x:c r="M363" s="24" t="str">
        <x:v>-10.00 até +6.00</x:v>
      </x:c>
      <x:c r="N363" s="24"/>
      <x:c r="O363" s="24"/>
      <x:c r="P363" s="24"/>
      <x:c r="Q363" s="24"/>
      <x:c r="R363" s="24"/>
      <x:c r="S363" s="26" t="n">
        <x:v>45992</x:v>
      </x:c>
      <x:c r="T363" s="26"/>
      <x:c r="U363" s="24" t="str">
        <x:v>ATIVA/SEM FIM INFORMADO</x:v>
      </x:c>
      <x:c r="V363" s="24"/>
      <x:c r="W363" s="24" t="n">
        <x:v>35</x:v>
      </x:c>
      <x:c r="X363" s="24" t="str">
        <x:v>tabela_hoya(1).pdf</x:v>
      </x:c>
      <x:c r="Y363" s="24" t="str">
        <x:v>alta</x:v>
      </x:c>
      <x:c r="Z363" s="24"/>
      <x:c r="AA363" s="24" t="str">
        <x:v>HOYA|Especial Digital|Surfaçada|HOYA SYNC III|INCOLOR|POLI|1.59|No-Risk BlueControl|-10.00 até +6.00||||||35</x:v>
      </x:c>
    </x:row>
    <x:row r="364">
      <x:c r="A364" s="24" t="str">
        <x:v>HY-51CF7A8E036B</x:v>
      </x:c>
      <x:c r="B364" s="24" t="str">
        <x:v>SIM</x:v>
      </x:c>
      <x:c r="C364" s="24" t="str">
        <x:v>DISPONÍVEL</x:v>
      </x:c>
      <x:c r="D364" s="24" t="str">
        <x:v>HOYA</x:v>
      </x:c>
      <x:c r="E364" s="24" t="str">
        <x:v>Especial Digital</x:v>
      </x:c>
      <x:c r="F364" s="24" t="str">
        <x:v>Surfaçada</x:v>
      </x:c>
      <x:c r="G364" s="24" t="str">
        <x:v>HOYA SYNC III</x:v>
      </x:c>
      <x:c r="H364" s="24" t="str">
        <x:v>INCOLOR</x:v>
      </x:c>
      <x:c r="I364" s="24" t="str">
        <x:v>PNX</x:v>
      </x:c>
      <x:c r="J364" s="24" t="str">
        <x:v>1.53</x:v>
      </x:c>
      <x:c r="K364" s="24" t="str">
        <x:v>No-Risk BlueControl</x:v>
      </x:c>
      <x:c r="L364" s="40" t="n">
        <x:v>1849</x:v>
      </x:c>
      <x:c r="M364" s="24" t="str">
        <x:v>-8.00 até +6.00</x:v>
      </x:c>
      <x:c r="N364" s="24"/>
      <x:c r="O364" s="24"/>
      <x:c r="P364" s="24"/>
      <x:c r="Q364" s="24"/>
      <x:c r="R364" s="24"/>
      <x:c r="S364" s="26" t="n">
        <x:v>45992</x:v>
      </x:c>
      <x:c r="T364" s="26"/>
      <x:c r="U364" s="24" t="str">
        <x:v>ATIVA/SEM FIM INFORMADO</x:v>
      </x:c>
      <x:c r="V364" s="24"/>
      <x:c r="W364" s="24" t="n">
        <x:v>35</x:v>
      </x:c>
      <x:c r="X364" s="24" t="str">
        <x:v>tabela_hoya(1).pdf</x:v>
      </x:c>
      <x:c r="Y364" s="24" t="str">
        <x:v>alta</x:v>
      </x:c>
      <x:c r="Z364" s="24"/>
      <x:c r="AA364" s="24" t="str">
        <x:v>HOYA|Especial Digital|Surfaçada|HOYA SYNC III|INCOLOR|PNX|1.53|No-Risk BlueControl|-8.00 até +6.00||||||35</x:v>
      </x:c>
    </x:row>
    <x:row r="365">
      <x:c r="A365" s="24" t="str">
        <x:v>HY-0A04B726B543</x:v>
      </x:c>
      <x:c r="B365" s="24" t="str">
        <x:v>SIM</x:v>
      </x:c>
      <x:c r="C365" s="24" t="str">
        <x:v>DISPONÍVEL</x:v>
      </x:c>
      <x:c r="D365" s="24" t="str">
        <x:v>HOYA</x:v>
      </x:c>
      <x:c r="E365" s="24" t="str">
        <x:v>Especial Digital</x:v>
      </x:c>
      <x:c r="F365" s="24" t="str">
        <x:v>Surfaçada</x:v>
      </x:c>
      <x:c r="G365" s="24" t="str">
        <x:v>HOYA SYNC III</x:v>
      </x:c>
      <x:c r="H365" s="24" t="str">
        <x:v>INCOLOR</x:v>
      </x:c>
      <x:c r="I365" s="24" t="str">
        <x:v>ORGANIC</x:v>
      </x:c>
      <x:c r="J365" s="24" t="str">
        <x:v>1.50</x:v>
      </x:c>
      <x:c r="K365" s="24" t="str">
        <x:v>No-Risk BlueControl</x:v>
      </x:c>
      <x:c r="L365" s="40" t="n">
        <x:v>1499</x:v>
      </x:c>
      <x:c r="M365" s="24" t="str">
        <x:v>-8.00 até +3.00</x:v>
      </x:c>
      <x:c r="N365" s="24"/>
      <x:c r="O365" s="24"/>
      <x:c r="P365" s="24"/>
      <x:c r="Q365" s="24"/>
      <x:c r="R365" s="24"/>
      <x:c r="S365" s="26" t="n">
        <x:v>45992</x:v>
      </x:c>
      <x:c r="T365" s="26"/>
      <x:c r="U365" s="24" t="str">
        <x:v>ATIVA/SEM FIM INFORMADO</x:v>
      </x:c>
      <x:c r="V365" s="24"/>
      <x:c r="W365" s="24" t="n">
        <x:v>35</x:v>
      </x:c>
      <x:c r="X365" s="24" t="str">
        <x:v>tabela_hoya(1).pdf</x:v>
      </x:c>
      <x:c r="Y365" s="24" t="str">
        <x:v>alta</x:v>
      </x:c>
      <x:c r="Z365" s="24"/>
      <x:c r="AA365" s="24" t="str">
        <x:v>HOYA|Especial Digital|Surfaçada|HOYA SYNC III|INCOLOR|ORGANIC|1.50|No-Risk BlueControl|-8.00 até +3.00||||||35</x:v>
      </x:c>
    </x:row>
    <x:row r="366">
      <x:c r="A366" s="24" t="str">
        <x:v>HY-7D7102C682E3</x:v>
      </x:c>
      <x:c r="B366" s="24" t="str">
        <x:v>SIM</x:v>
      </x:c>
      <x:c r="C366" s="24" t="str">
        <x:v>DISPONÍVEL</x:v>
      </x:c>
      <x:c r="D366" s="24" t="str">
        <x:v>HOYA</x:v>
      </x:c>
      <x:c r="E366" s="24" t="str">
        <x:v>Especial Digital</x:v>
      </x:c>
      <x:c r="F366" s="24" t="str">
        <x:v>Surfaçada</x:v>
      </x:c>
      <x:c r="G366" s="24" t="str">
        <x:v>HOYA SYNC III</x:v>
      </x:c>
      <x:c r="H366" s="24" t="str">
        <x:v>COLORIDAS</x:v>
      </x:c>
      <x:c r="I366" s="24" t="str">
        <x:v>EYVIA</x:v>
      </x:c>
      <x:c r="J366" s="24" t="str">
        <x:v>1.74</x:v>
      </x:c>
      <x:c r="K366" s="24" t="str">
        <x:v>Hi-Vision Sun Pro</x:v>
      </x:c>
      <x:c r="L366" s="40" t="n">
        <x:v>3999</x:v>
      </x:c>
      <x:c r="M366" s="24" t="str">
        <x:v>-13.00 até +9.00</x:v>
      </x:c>
      <x:c r="N366" s="24"/>
      <x:c r="O366" s="24"/>
      <x:c r="P366" s="24"/>
      <x:c r="Q366" s="24"/>
      <x:c r="R366" s="24"/>
      <x:c r="S366" s="26" t="n">
        <x:v>45992</x:v>
      </x:c>
      <x:c r="T366" s="26"/>
      <x:c r="U366" s="24" t="str">
        <x:v>ATIVA/SEM FIM INFORMADO</x:v>
      </x:c>
      <x:c r="V366" s="24"/>
      <x:c r="W366" s="24" t="n">
        <x:v>35</x:v>
      </x:c>
      <x:c r="X366" s="24" t="str">
        <x:v>tabela_hoya(1).pdf</x:v>
      </x:c>
      <x:c r="Y366" s="24" t="str">
        <x:v>alta</x:v>
      </x:c>
      <x:c r="Z366" s="24"/>
      <x:c r="AA366" s="24" t="str">
        <x:v>HOYA|Especial Digital|Surfaçada|HOYA SYNC III|COLORIDAS|EYVIA|1.74|Hi-Vision Sun Pro|-13.00 até +9.00||||||35</x:v>
      </x:c>
    </x:row>
    <x:row r="367">
      <x:c r="A367" s="24" t="str">
        <x:v>HY-C6C254161360</x:v>
      </x:c>
      <x:c r="B367" s="24" t="str">
        <x:v>SIM</x:v>
      </x:c>
      <x:c r="C367" s="24" t="str">
        <x:v>DISPONÍVEL</x:v>
      </x:c>
      <x:c r="D367" s="24" t="str">
        <x:v>HOYA</x:v>
      </x:c>
      <x:c r="E367" s="24" t="str">
        <x:v>Especial Digital</x:v>
      </x:c>
      <x:c r="F367" s="24" t="str">
        <x:v>Surfaçada</x:v>
      </x:c>
      <x:c r="G367" s="24" t="str">
        <x:v>HOYA SYNC III</x:v>
      </x:c>
      <x:c r="H367" s="24" t="str">
        <x:v>COLORIDAS</x:v>
      </x:c>
      <x:c r="I367" s="24" t="str">
        <x:v>EYNOA</x:v>
      </x:c>
      <x:c r="J367" s="24" t="str">
        <x:v>1.67</x:v>
      </x:c>
      <x:c r="K367" s="24" t="str">
        <x:v>Hi-Vision Sun Pro</x:v>
      </x:c>
      <x:c r="L367" s="40" t="n">
        <x:v>3399</x:v>
      </x:c>
      <x:c r="M367" s="24" t="str">
        <x:v>-13.00 até +7.50</x:v>
      </x:c>
      <x:c r="N367" s="24"/>
      <x:c r="O367" s="24"/>
      <x:c r="P367" s="24"/>
      <x:c r="Q367" s="24"/>
      <x:c r="R367" s="24"/>
      <x:c r="S367" s="26" t="n">
        <x:v>45992</x:v>
      </x:c>
      <x:c r="T367" s="26"/>
      <x:c r="U367" s="24" t="str">
        <x:v>ATIVA/SEM FIM INFORMADO</x:v>
      </x:c>
      <x:c r="V367" s="24"/>
      <x:c r="W367" s="24" t="n">
        <x:v>35</x:v>
      </x:c>
      <x:c r="X367" s="24" t="str">
        <x:v>tabela_hoya(1).pdf</x:v>
      </x:c>
      <x:c r="Y367" s="24" t="str">
        <x:v>alta</x:v>
      </x:c>
      <x:c r="Z367" s="24"/>
      <x:c r="AA367" s="24" t="str">
        <x:v>HOYA|Especial Digital|Surfaçada|HOYA SYNC III|COLORIDAS|EYNOA|1.67|Hi-Vision Sun Pro|-13.00 até +7.50||||||35</x:v>
      </x:c>
    </x:row>
    <x:row r="368">
      <x:c r="A368" s="24" t="str">
        <x:v>HY-994CDC05656E</x:v>
      </x:c>
      <x:c r="B368" s="24" t="str">
        <x:v>SIM</x:v>
      </x:c>
      <x:c r="C368" s="24" t="str">
        <x:v>DISPONÍVEL</x:v>
      </x:c>
      <x:c r="D368" s="24" t="str">
        <x:v>HOYA</x:v>
      </x:c>
      <x:c r="E368" s="24" t="str">
        <x:v>Especial Digital</x:v>
      </x:c>
      <x:c r="F368" s="24" t="str">
        <x:v>Surfaçada</x:v>
      </x:c>
      <x:c r="G368" s="24" t="str">
        <x:v>HOYA SYNC III</x:v>
      </x:c>
      <x:c r="H368" s="24" t="str">
        <x:v>COLORIDAS</x:v>
      </x:c>
      <x:c r="I368" s="24" t="str">
        <x:v>EYAS 2.0</x:v>
      </x:c>
      <x:c r="J368" s="24" t="str">
        <x:v>1.60</x:v>
      </x:c>
      <x:c r="K368" s="24" t="str">
        <x:v>Hi-Vision Sun Pro</x:v>
      </x:c>
      <x:c r="L368" s="40" t="n">
        <x:v>2599</x:v>
      </x:c>
      <x:c r="M368" s="24" t="str">
        <x:v>-13.00 até +7.50</x:v>
      </x:c>
      <x:c r="N368" s="24"/>
      <x:c r="O368" s="24"/>
      <x:c r="P368" s="24"/>
      <x:c r="Q368" s="24"/>
      <x:c r="R368" s="24"/>
      <x:c r="S368" s="26" t="n">
        <x:v>45992</x:v>
      </x:c>
      <x:c r="T368" s="26"/>
      <x:c r="U368" s="24" t="str">
        <x:v>ATIVA/SEM FIM INFORMADO</x:v>
      </x:c>
      <x:c r="V368" s="24"/>
      <x:c r="W368" s="24" t="n">
        <x:v>35</x:v>
      </x:c>
      <x:c r="X368" s="24" t="str">
        <x:v>tabela_hoya(1).pdf</x:v>
      </x:c>
      <x:c r="Y368" s="24" t="str">
        <x:v>alta</x:v>
      </x:c>
      <x:c r="Z368" s="24"/>
      <x:c r="AA368" s="24" t="str">
        <x:v>HOYA|Especial Digital|Surfaçada|HOYA SYNC III|COLORIDAS|EYAS 2.0|1.60|Hi-Vision Sun Pro|-13.00 até +7.50||||||35</x:v>
      </x:c>
    </x:row>
    <x:row r="369">
      <x:c r="A369" s="24" t="str">
        <x:v>HY-783A392377CC</x:v>
      </x:c>
      <x:c r="B369" s="24" t="str">
        <x:v>SIM</x:v>
      </x:c>
      <x:c r="C369" s="24" t="str">
        <x:v>DISPONÍVEL</x:v>
      </x:c>
      <x:c r="D369" s="24" t="str">
        <x:v>HOYA</x:v>
      </x:c>
      <x:c r="E369" s="24" t="str">
        <x:v>Especial Digital</x:v>
      </x:c>
      <x:c r="F369" s="24" t="str">
        <x:v>Surfaçada</x:v>
      </x:c>
      <x:c r="G369" s="24" t="str">
        <x:v>HOYA SYNC III</x:v>
      </x:c>
      <x:c r="H369" s="24" t="str">
        <x:v>COLORIDAS</x:v>
      </x:c>
      <x:c r="I369" s="24" t="str">
        <x:v>PNX</x:v>
      </x:c>
      <x:c r="J369" s="24" t="str">
        <x:v>1.53</x:v>
      </x:c>
      <x:c r="K369" s="24" t="str">
        <x:v>Hi-Vision Sun Pro</x:v>
      </x:c>
      <x:c r="L369" s="40" t="n">
        <x:v>2139</x:v>
      </x:c>
      <x:c r="M369" s="24" t="str">
        <x:v>-8.00 até +6.00</x:v>
      </x:c>
      <x:c r="N369" s="24"/>
      <x:c r="O369" s="24"/>
      <x:c r="P369" s="24"/>
      <x:c r="Q369" s="24"/>
      <x:c r="R369" s="24"/>
      <x:c r="S369" s="26" t="n">
        <x:v>45992</x:v>
      </x:c>
      <x:c r="T369" s="26"/>
      <x:c r="U369" s="24" t="str">
        <x:v>ATIVA/SEM FIM INFORMADO</x:v>
      </x:c>
      <x:c r="V369" s="24"/>
      <x:c r="W369" s="24" t="n">
        <x:v>35</x:v>
      </x:c>
      <x:c r="X369" s="24" t="str">
        <x:v>tabela_hoya(1).pdf</x:v>
      </x:c>
      <x:c r="Y369" s="24" t="str">
        <x:v>alta</x:v>
      </x:c>
      <x:c r="Z369" s="24"/>
      <x:c r="AA369" s="24" t="str">
        <x:v>HOYA|Especial Digital|Surfaçada|HOYA SYNC III|COLORIDAS|PNX|1.53|Hi-Vision Sun Pro|-8.00 até +6.00||||||35</x:v>
      </x:c>
    </x:row>
    <x:row r="370">
      <x:c r="A370" s="24" t="str">
        <x:v>HY-22BB5D4A707F</x:v>
      </x:c>
      <x:c r="B370" s="24" t="str">
        <x:v>SIM</x:v>
      </x:c>
      <x:c r="C370" s="24" t="str">
        <x:v>DISPONÍVEL</x:v>
      </x:c>
      <x:c r="D370" s="24" t="str">
        <x:v>HOYA</x:v>
      </x:c>
      <x:c r="E370" s="24" t="str">
        <x:v>Especial Digital</x:v>
      </x:c>
      <x:c r="F370" s="24" t="str">
        <x:v>Surfaçada</x:v>
      </x:c>
      <x:c r="G370" s="24" t="str">
        <x:v>HOYA SYNC III</x:v>
      </x:c>
      <x:c r="H370" s="24" t="str">
        <x:v>COLORIDAS</x:v>
      </x:c>
      <x:c r="I370" s="24" t="str">
        <x:v>ORGANIC</x:v>
      </x:c>
      <x:c r="J370" s="24" t="str">
        <x:v>1.50</x:v>
      </x:c>
      <x:c r="K370" s="24" t="str">
        <x:v>Hi-Vision Sun Pro</x:v>
      </x:c>
      <x:c r="L370" s="40" t="n">
        <x:v>1789</x:v>
      </x:c>
      <x:c r="M370" s="24" t="str">
        <x:v>-8.00 até +3.00</x:v>
      </x:c>
      <x:c r="N370" s="24"/>
      <x:c r="O370" s="24"/>
      <x:c r="P370" s="24"/>
      <x:c r="Q370" s="24"/>
      <x:c r="R370" s="24"/>
      <x:c r="S370" s="26" t="n">
        <x:v>45992</x:v>
      </x:c>
      <x:c r="T370" s="26"/>
      <x:c r="U370" s="24" t="str">
        <x:v>ATIVA/SEM FIM INFORMADO</x:v>
      </x:c>
      <x:c r="V370" s="24"/>
      <x:c r="W370" s="24" t="n">
        <x:v>35</x:v>
      </x:c>
      <x:c r="X370" s="24" t="str">
        <x:v>tabela_hoya(1).pdf</x:v>
      </x:c>
      <x:c r="Y370" s="24" t="str">
        <x:v>alta</x:v>
      </x:c>
      <x:c r="Z370" s="24"/>
      <x:c r="AA370" s="24" t="str">
        <x:v>HOYA|Especial Digital|Surfaçada|HOYA SYNC III|COLORIDAS|ORGANIC|1.50|Hi-Vision Sun Pro|-8.00 até +3.00||||||35</x:v>
      </x:c>
    </x:row>
    <x:row r="371">
      <x:c r="A371" s="24" t="str">
        <x:v>HY-D0B4815810BB</x:v>
      </x:c>
      <x:c r="B371" s="24" t="str">
        <x:v>SIM</x:v>
      </x:c>
      <x:c r="C371" s="24" t="str">
        <x:v>DISPONÍVEL</x:v>
      </x:c>
      <x:c r="D371" s="24" t="str">
        <x:v>HOYA</x:v>
      </x:c>
      <x:c r="E371" s="24" t="str">
        <x:v>Especial Digital</x:v>
      </x:c>
      <x:c r="F371" s="24" t="str">
        <x:v>Surfaçada</x:v>
      </x:c>
      <x:c r="G371" s="24" t="str">
        <x:v>HOYA SYNC III</x:v>
      </x:c>
      <x:c r="H371" s="24" t="str">
        <x:v>SENSITY 2</x:v>
      </x:c>
      <x:c r="I371" s="24" t="str">
        <x:v>EYNOA</x:v>
      </x:c>
      <x:c r="J371" s="24" t="str">
        <x:v>1.67</x:v>
      </x:c>
      <x:c r="K371" s="24" t="str">
        <x:v>Hi-Vision LongLife BlueControl</x:v>
      </x:c>
      <x:c r="L371" s="40" t="n">
        <x:v>4359</x:v>
      </x:c>
      <x:c r="M371" s="24" t="str">
        <x:v>-13.00 até +7.50</x:v>
      </x:c>
      <x:c r="N371" s="24"/>
      <x:c r="O371" s="24"/>
      <x:c r="P371" s="24"/>
      <x:c r="Q371" s="24"/>
      <x:c r="R371" s="24"/>
      <x:c r="S371" s="26" t="n">
        <x:v>45992</x:v>
      </x:c>
      <x:c r="T371" s="26"/>
      <x:c r="U371" s="24" t="str">
        <x:v>ATIVA/SEM FIM INFORMADO</x:v>
      </x:c>
      <x:c r="V371" s="24"/>
      <x:c r="W371" s="24" t="n">
        <x:v>35</x:v>
      </x:c>
      <x:c r="X371" s="24" t="str">
        <x:v>tabela_hoya(1).pdf</x:v>
      </x:c>
      <x:c r="Y371" s="24" t="str">
        <x:v>alta</x:v>
      </x:c>
      <x:c r="Z371" s="24"/>
      <x:c r="AA371" s="24" t="str">
        <x:v>HOYA|Especial Digital|Surfaçada|HOYA SYNC III|SENSITY 2|EYNOA|1.67|Hi-Vision LongLife BlueControl|-13.00 até +7.50||||||35</x:v>
      </x:c>
    </x:row>
    <x:row r="372">
      <x:c r="A372" s="24" t="str">
        <x:v>HY-C1C81110A53B</x:v>
      </x:c>
      <x:c r="B372" s="24" t="str">
        <x:v>SIM</x:v>
      </x:c>
      <x:c r="C372" s="24" t="str">
        <x:v>DISPONÍVEL</x:v>
      </x:c>
      <x:c r="D372" s="24" t="str">
        <x:v>HOYA</x:v>
      </x:c>
      <x:c r="E372" s="24" t="str">
        <x:v>Especial Digital</x:v>
      </x:c>
      <x:c r="F372" s="24" t="str">
        <x:v>Surfaçada</x:v>
      </x:c>
      <x:c r="G372" s="24" t="str">
        <x:v>HOYA SYNC III</x:v>
      </x:c>
      <x:c r="H372" s="24" t="str">
        <x:v>SENSITY 2</x:v>
      </x:c>
      <x:c r="I372" s="24" t="str">
        <x:v>PNX</x:v>
      </x:c>
      <x:c r="J372" s="24" t="str">
        <x:v>1.53</x:v>
      </x:c>
      <x:c r="K372" s="24" t="str">
        <x:v>Hi-Vision LongLife BlueControl</x:v>
      </x:c>
      <x:c r="L372" s="40" t="n">
        <x:v>3099</x:v>
      </x:c>
      <x:c r="M372" s="24" t="str">
        <x:v>-8.00 até +6.00</x:v>
      </x:c>
      <x:c r="N372" s="24"/>
      <x:c r="O372" s="24"/>
      <x:c r="P372" s="24"/>
      <x:c r="Q372" s="24"/>
      <x:c r="R372" s="24"/>
      <x:c r="S372" s="26" t="n">
        <x:v>45992</x:v>
      </x:c>
      <x:c r="T372" s="26"/>
      <x:c r="U372" s="24" t="str">
        <x:v>ATIVA/SEM FIM INFORMADO</x:v>
      </x:c>
      <x:c r="V372" s="24"/>
      <x:c r="W372" s="24" t="n">
        <x:v>35</x:v>
      </x:c>
      <x:c r="X372" s="24" t="str">
        <x:v>tabela_hoya(1).pdf</x:v>
      </x:c>
      <x:c r="Y372" s="24" t="str">
        <x:v>alta</x:v>
      </x:c>
      <x:c r="Z372" s="24"/>
      <x:c r="AA372" s="24" t="str">
        <x:v>HOYA|Especial Digital|Surfaçada|HOYA SYNC III|SENSITY 2|PNX|1.53|Hi-Vision LongLife BlueControl|-8.00 até +6.00||||||35</x:v>
      </x:c>
    </x:row>
    <x:row r="373">
      <x:c r="A373" s="24" t="str">
        <x:v>HY-FE50059E952C</x:v>
      </x:c>
      <x:c r="B373" s="24" t="str">
        <x:v>SIM</x:v>
      </x:c>
      <x:c r="C373" s="24" t="str">
        <x:v>DISPONÍVEL</x:v>
      </x:c>
      <x:c r="D373" s="24" t="str">
        <x:v>HOYA</x:v>
      </x:c>
      <x:c r="E373" s="24" t="str">
        <x:v>Especial Digital</x:v>
      </x:c>
      <x:c r="F373" s="24" t="str">
        <x:v>Surfaçada</x:v>
      </x:c>
      <x:c r="G373" s="24" t="str">
        <x:v>HOYA SYNC III</x:v>
      </x:c>
      <x:c r="H373" s="24" t="str">
        <x:v>SENSITY 2</x:v>
      </x:c>
      <x:c r="I373" s="24" t="str">
        <x:v>ORGANIC</x:v>
      </x:c>
      <x:c r="J373" s="24" t="str">
        <x:v>1.50</x:v>
      </x:c>
      <x:c r="K373" s="24" t="str">
        <x:v>Hi-Vision LongLife BlueControl</x:v>
      </x:c>
      <x:c r="L373" s="40" t="n">
        <x:v>2749</x:v>
      </x:c>
      <x:c r="M373" s="24" t="str">
        <x:v>-8.00 até +3.00</x:v>
      </x:c>
      <x:c r="N373" s="24"/>
      <x:c r="O373" s="24"/>
      <x:c r="P373" s="24"/>
      <x:c r="Q373" s="24"/>
      <x:c r="R373" s="24"/>
      <x:c r="S373" s="26" t="n">
        <x:v>45992</x:v>
      </x:c>
      <x:c r="T373" s="26"/>
      <x:c r="U373" s="24" t="str">
        <x:v>ATIVA/SEM FIM INFORMADO</x:v>
      </x:c>
      <x:c r="V373" s="24"/>
      <x:c r="W373" s="24" t="n">
        <x:v>35</x:v>
      </x:c>
      <x:c r="X373" s="24" t="str">
        <x:v>tabela_hoya(1).pdf</x:v>
      </x:c>
      <x:c r="Y373" s="24" t="str">
        <x:v>alta</x:v>
      </x:c>
      <x:c r="Z373" s="24"/>
      <x:c r="AA373" s="24" t="str">
        <x:v>HOYA|Especial Digital|Surfaçada|HOYA SYNC III|SENSITY 2|ORGANIC|1.50|Hi-Vision LongLife BlueControl|-8.00 até +3.00||||||35</x:v>
      </x:c>
    </x:row>
    <x:row r="374">
      <x:c r="A374" s="24" t="str">
        <x:v>HY-D9F7E1864E09</x:v>
      </x:c>
      <x:c r="B374" s="24" t="str">
        <x:v>SIM</x:v>
      </x:c>
      <x:c r="C374" s="24" t="str">
        <x:v>DISPONÍVEL</x:v>
      </x:c>
      <x:c r="D374" s="24" t="str">
        <x:v>HOYA</x:v>
      </x:c>
      <x:c r="E374" s="24" t="str">
        <x:v>Especial Digital</x:v>
      </x:c>
      <x:c r="F374" s="24" t="str">
        <x:v>Surfaçada</x:v>
      </x:c>
      <x:c r="G374" s="24" t="str">
        <x:v>HOYA SYNC III</x:v>
      </x:c>
      <x:c r="H374" s="24" t="str">
        <x:v>SENSITY 2</x:v>
      </x:c>
      <x:c r="I374" s="24" t="str">
        <x:v>EYNOA</x:v>
      </x:c>
      <x:c r="J374" s="24" t="str">
        <x:v>1.67</x:v>
      </x:c>
      <x:c r="K374" s="24" t="str">
        <x:v>No-Risk BlueControl</x:v>
      </x:c>
      <x:c r="L374" s="40" t="n">
        <x:v>4109</x:v>
      </x:c>
      <x:c r="M374" s="24" t="str">
        <x:v>-13.00 até +7.50</x:v>
      </x:c>
      <x:c r="N374" s="24"/>
      <x:c r="O374" s="24"/>
      <x:c r="P374" s="24"/>
      <x:c r="Q374" s="24"/>
      <x:c r="R374" s="24"/>
      <x:c r="S374" s="26" t="n">
        <x:v>45992</x:v>
      </x:c>
      <x:c r="T374" s="26"/>
      <x:c r="U374" s="24" t="str">
        <x:v>ATIVA/SEM FIM INFORMADO</x:v>
      </x:c>
      <x:c r="V374" s="24"/>
      <x:c r="W374" s="24" t="n">
        <x:v>35</x:v>
      </x:c>
      <x:c r="X374" s="24" t="str">
        <x:v>tabela_hoya(1).pdf</x:v>
      </x:c>
      <x:c r="Y374" s="24" t="str">
        <x:v>alta</x:v>
      </x:c>
      <x:c r="Z374" s="24"/>
      <x:c r="AA374" s="24" t="str">
        <x:v>HOYA|Especial Digital|Surfaçada|HOYA SYNC III|SENSITY 2|EYNOA|1.67|No-Risk BlueControl|-13.00 até +7.50||||||35</x:v>
      </x:c>
    </x:row>
    <x:row r="375">
      <x:c r="A375" s="24" t="str">
        <x:v>HY-7F268C40D2D0</x:v>
      </x:c>
      <x:c r="B375" s="24" t="str">
        <x:v>SIM</x:v>
      </x:c>
      <x:c r="C375" s="24" t="str">
        <x:v>DISPONÍVEL</x:v>
      </x:c>
      <x:c r="D375" s="24" t="str">
        <x:v>HOYA</x:v>
      </x:c>
      <x:c r="E375" s="24" t="str">
        <x:v>Especial Digital</x:v>
      </x:c>
      <x:c r="F375" s="24" t="str">
        <x:v>Surfaçada</x:v>
      </x:c>
      <x:c r="G375" s="24" t="str">
        <x:v>HOYA SYNC III</x:v>
      </x:c>
      <x:c r="H375" s="24" t="str">
        <x:v>SENSITY 2</x:v>
      </x:c>
      <x:c r="I375" s="24" t="str">
        <x:v>PNX</x:v>
      </x:c>
      <x:c r="J375" s="24" t="str">
        <x:v>1.53</x:v>
      </x:c>
      <x:c r="K375" s="24" t="str">
        <x:v>No-Risk BlueControl</x:v>
      </x:c>
      <x:c r="L375" s="40" t="n">
        <x:v>2849</x:v>
      </x:c>
      <x:c r="M375" s="24" t="str">
        <x:v>-8.00 até +6.00</x:v>
      </x:c>
      <x:c r="N375" s="24"/>
      <x:c r="O375" s="24"/>
      <x:c r="P375" s="24"/>
      <x:c r="Q375" s="24"/>
      <x:c r="R375" s="24"/>
      <x:c r="S375" s="26" t="n">
        <x:v>45992</x:v>
      </x:c>
      <x:c r="T375" s="26"/>
      <x:c r="U375" s="24" t="str">
        <x:v>ATIVA/SEM FIM INFORMADO</x:v>
      </x:c>
      <x:c r="V375" s="24"/>
      <x:c r="W375" s="24" t="n">
        <x:v>35</x:v>
      </x:c>
      <x:c r="X375" s="24" t="str">
        <x:v>tabela_hoya(1).pdf</x:v>
      </x:c>
      <x:c r="Y375" s="24" t="str">
        <x:v>alta</x:v>
      </x:c>
      <x:c r="Z375" s="24"/>
      <x:c r="AA375" s="24" t="str">
        <x:v>HOYA|Especial Digital|Surfaçada|HOYA SYNC III|SENSITY 2|PNX|1.53|No-Risk BlueControl|-8.00 até +6.00||||||35</x:v>
      </x:c>
    </x:row>
    <x:row r="376">
      <x:c r="A376" s="24" t="str">
        <x:v>HY-08046D93E56D</x:v>
      </x:c>
      <x:c r="B376" s="24" t="str">
        <x:v>SIM</x:v>
      </x:c>
      <x:c r="C376" s="24" t="str">
        <x:v>DISPONÍVEL</x:v>
      </x:c>
      <x:c r="D376" s="24" t="str">
        <x:v>HOYA</x:v>
      </x:c>
      <x:c r="E376" s="24" t="str">
        <x:v>Especial Digital</x:v>
      </x:c>
      <x:c r="F376" s="24" t="str">
        <x:v>Surfaçada</x:v>
      </x:c>
      <x:c r="G376" s="24" t="str">
        <x:v>HOYA SYNC III</x:v>
      </x:c>
      <x:c r="H376" s="24" t="str">
        <x:v>SENSITY 2</x:v>
      </x:c>
      <x:c r="I376" s="24" t="str">
        <x:v>ORGANIC</x:v>
      </x:c>
      <x:c r="J376" s="24" t="str">
        <x:v>1.50</x:v>
      </x:c>
      <x:c r="K376" s="24" t="str">
        <x:v>No-Risk BlueControl</x:v>
      </x:c>
      <x:c r="L376" s="40" t="n">
        <x:v>2499</x:v>
      </x:c>
      <x:c r="M376" s="24" t="str">
        <x:v>-8.00 até +3.00</x:v>
      </x:c>
      <x:c r="N376" s="24"/>
      <x:c r="O376" s="24"/>
      <x:c r="P376" s="24"/>
      <x:c r="Q376" s="24"/>
      <x:c r="R376" s="24"/>
      <x:c r="S376" s="26" t="n">
        <x:v>45992</x:v>
      </x:c>
      <x:c r="T376" s="26"/>
      <x:c r="U376" s="24" t="str">
        <x:v>ATIVA/SEM FIM INFORMADO</x:v>
      </x:c>
      <x:c r="V376" s="24"/>
      <x:c r="W376" s="24" t="n">
        <x:v>35</x:v>
      </x:c>
      <x:c r="X376" s="24" t="str">
        <x:v>tabela_hoya(1).pdf</x:v>
      </x:c>
      <x:c r="Y376" s="24" t="str">
        <x:v>alta</x:v>
      </x:c>
      <x:c r="Z376" s="24"/>
      <x:c r="AA376" s="24" t="str">
        <x:v>HOYA|Especial Digital|Surfaçada|HOYA SYNC III|SENSITY 2|ORGANIC|1.50|No-Risk BlueControl|-8.00 até +3.00||||||35</x:v>
      </x:c>
    </x:row>
    <x:row r="377">
      <x:c r="A377" s="24" t="str">
        <x:v>HY-F1362D0DCB89</x:v>
      </x:c>
      <x:c r="B377" s="24" t="str">
        <x:v>SIM</x:v>
      </x:c>
      <x:c r="C377" s="24" t="str">
        <x:v>DISPONÍVEL</x:v>
      </x:c>
      <x:c r="D377" s="24" t="str">
        <x:v>HOYA</x:v>
      </x:c>
      <x:c r="E377" s="24" t="str">
        <x:v>Especial Digital</x:v>
      </x:c>
      <x:c r="F377" s="24" t="str">
        <x:v>Surfaçada</x:v>
      </x:c>
      <x:c r="G377" s="24" t="str">
        <x:v>HOYA SYNC III</x:v>
      </x:c>
      <x:c r="H377" s="24" t="str">
        <x:v>POLARIZADO</x:v>
      </x:c>
      <x:c r="I377" s="24" t="str">
        <x:v>ORGANIC</x:v>
      </x:c>
      <x:c r="J377" s="24" t="str">
        <x:v>1.50</x:v>
      </x:c>
      <x:c r="K377" s="24" t="str">
        <x:v>Hi-Vision Sun Pro</x:v>
      </x:c>
      <x:c r="L377" s="40" t="n">
        <x:v>2649</x:v>
      </x:c>
      <x:c r="M377" s="24" t="str">
        <x:v>-8.00 até +3.00</x:v>
      </x:c>
      <x:c r="N377" s="24"/>
      <x:c r="O377" s="24"/>
      <x:c r="P377" s="24"/>
      <x:c r="Q377" s="24"/>
      <x:c r="R377" s="24"/>
      <x:c r="S377" s="26" t="n">
        <x:v>45992</x:v>
      </x:c>
      <x:c r="T377" s="26"/>
      <x:c r="U377" s="24" t="str">
        <x:v>ATIVA/SEM FIM INFORMADO</x:v>
      </x:c>
      <x:c r="V377" s="24"/>
      <x:c r="W377" s="24" t="n">
        <x:v>35</x:v>
      </x:c>
      <x:c r="X377" s="24" t="str">
        <x:v>tabela_hoya(1).pdf</x:v>
      </x:c>
      <x:c r="Y377" s="24" t="str">
        <x:v>alta</x:v>
      </x:c>
      <x:c r="Z377" s="24"/>
      <x:c r="AA377" s="24" t="str">
        <x:v>HOYA|Especial Digital|Surfaçada|HOYA SYNC III|POLARIZADO|ORGANIC|1.50|Hi-Vision Sun Pro|-8.00 até +3.00||||||35</x:v>
      </x:c>
    </x:row>
    <x:row r="378">
      <x:c r="A378" s="24" t="str">
        <x:v>HY-EC23FB223FE1</x:v>
      </x:c>
      <x:c r="B378" s="24" t="str">
        <x:v>SIM</x:v>
      </x:c>
      <x:c r="C378" s="24" t="str">
        <x:v>DISPONÍVEL</x:v>
      </x:c>
      <x:c r="D378" s="24" t="str">
        <x:v>HOYA</x:v>
      </x:c>
      <x:c r="E378" s="24" t="str">
        <x:v>Progressiva Especial</x:v>
      </x:c>
      <x:c r="F378" s="24" t="str">
        <x:v>Surfaçada</x:v>
      </x:c>
      <x:c r="G378" s="24" t="str">
        <x:v>Hoyalux EnRoute</x:v>
      </x:c>
      <x:c r="H378" s="24" t="str">
        <x:v>INCOLOR</x:v>
      </x:c>
      <x:c r="I378" s="24" t="str">
        <x:v>EYNOA</x:v>
      </x:c>
      <x:c r="J378" s="24" t="str">
        <x:v>1.67</x:v>
      </x:c>
      <x:c r="K378" s="24" t="str">
        <x:v>Antirreflexo EnRoute</x:v>
      </x:c>
      <x:c r="L378" s="40" t="n">
        <x:v>4899</x:v>
      </x:c>
      <x:c r="M378" s="24"/>
      <x:c r="N378" s="24"/>
      <x:c r="O378" s="24"/>
      <x:c r="P378" s="24"/>
      <x:c r="Q378" s="24"/>
      <x:c r="R378" s="24"/>
      <x:c r="S378" s="26" t="n">
        <x:v>45992</x:v>
      </x:c>
      <x:c r="T378" s="26"/>
      <x:c r="U378" s="24" t="str">
        <x:v>ATIVA/SEM FIM INFORMADO</x:v>
      </x:c>
      <x:c r="V378" s="24"/>
      <x:c r="W378" s="24" t="n">
        <x:v>36</x:v>
      </x:c>
      <x:c r="X378" s="24" t="str">
        <x:v>tabela_hoya(1).pdf</x:v>
      </x:c>
      <x:c r="Y378" s="24" t="str">
        <x:v>alta</x:v>
      </x:c>
      <x:c r="Z378" s="24"/>
      <x:c r="AA378" s="24" t="str">
        <x:v>HOYA|Progressiva Especial|Surfaçada|Hoyalux EnRoute|INCOLOR|EYNOA|1.67|Antirreflexo EnRoute|||||||36</x:v>
      </x:c>
    </x:row>
    <x:row r="379">
      <x:c r="A379" s="24" t="str">
        <x:v>HY-6D4BFE192A58</x:v>
      </x:c>
      <x:c r="B379" s="24" t="str">
        <x:v>SIM</x:v>
      </x:c>
      <x:c r="C379" s="24" t="str">
        <x:v>DISPONÍVEL</x:v>
      </x:c>
      <x:c r="D379" s="24" t="str">
        <x:v>HOYA</x:v>
      </x:c>
      <x:c r="E379" s="24" t="str">
        <x:v>Progressiva Especial</x:v>
      </x:c>
      <x:c r="F379" s="24" t="str">
        <x:v>Surfaçada</x:v>
      </x:c>
      <x:c r="G379" s="24" t="str">
        <x:v>Hoyalux Sportive</x:v>
      </x:c>
      <x:c r="H379" s="24" t="str">
        <x:v>INCOLOR</x:v>
      </x:c>
      <x:c r="I379" s="24" t="str">
        <x:v>EYNOA</x:v>
      </x:c>
      <x:c r="J379" s="24" t="str">
        <x:v>1.67</x:v>
      </x:c>
      <x:c r="K379" s="24" t="str">
        <x:v>Hi-Vision LongLife BlueControl</x:v>
      </x:c>
      <x:c r="L379" s="40" t="n">
        <x:v>5069</x:v>
      </x:c>
      <x:c r="M379" s="24" t="str">
        <x:v>-5.00 até +4.00</x:v>
      </x:c>
      <x:c r="N379" s="24"/>
      <x:c r="O379" s="24"/>
      <x:c r="P379" s="24"/>
      <x:c r="Q379" s="24"/>
      <x:c r="R379" s="24"/>
      <x:c r="S379" s="26" t="n">
        <x:v>45992</x:v>
      </x:c>
      <x:c r="T379" s="26"/>
      <x:c r="U379" s="24" t="str">
        <x:v>ATIVA/SEM FIM INFORMADO</x:v>
      </x:c>
      <x:c r="V379" s="24"/>
      <x:c r="W379" s="24" t="n">
        <x:v>38</x:v>
      </x:c>
      <x:c r="X379" s="24" t="str">
        <x:v>tabela_hoya(1).pdf</x:v>
      </x:c>
      <x:c r="Y379" s="24" t="str">
        <x:v>alta</x:v>
      </x:c>
      <x:c r="Z379" s="24"/>
      <x:c r="AA379" s="24" t="str">
        <x:v>HOYA|Progressiva Especial|Surfaçada|Hoyalux Sportive|INCOLOR|EYNOA|1.67|Hi-Vision LongLife BlueControl|-5.00 até +4.00||||||38</x:v>
      </x:c>
    </x:row>
    <x:row r="380">
      <x:c r="A380" s="24" t="str">
        <x:v>HY-385EC8844F6F</x:v>
      </x:c>
      <x:c r="B380" s="24" t="str">
        <x:v>SIM</x:v>
      </x:c>
      <x:c r="C380" s="24" t="str">
        <x:v>DISPONÍVEL</x:v>
      </x:c>
      <x:c r="D380" s="24" t="str">
        <x:v>HOYA</x:v>
      </x:c>
      <x:c r="E380" s="24" t="str">
        <x:v>Progressiva Especial</x:v>
      </x:c>
      <x:c r="F380" s="24" t="str">
        <x:v>Surfaçada</x:v>
      </x:c>
      <x:c r="G380" s="24" t="str">
        <x:v>Hoyalux Sportive</x:v>
      </x:c>
      <x:c r="H380" s="24" t="str">
        <x:v>INCOLOR</x:v>
      </x:c>
      <x:c r="I380" s="24" t="str">
        <x:v>EYAS 2.0</x:v>
      </x:c>
      <x:c r="J380" s="24" t="str">
        <x:v>1.60</x:v>
      </x:c>
      <x:c r="K380" s="24" t="str">
        <x:v>Hi-Vision LongLife BlueControl</x:v>
      </x:c>
      <x:c r="L380" s="40" t="n">
        <x:v>4609</x:v>
      </x:c>
      <x:c r="M380" s="24" t="str">
        <x:v>-5.00 até +4.00</x:v>
      </x:c>
      <x:c r="N380" s="24"/>
      <x:c r="O380" s="24"/>
      <x:c r="P380" s="24"/>
      <x:c r="Q380" s="24"/>
      <x:c r="R380" s="24"/>
      <x:c r="S380" s="26" t="n">
        <x:v>45992</x:v>
      </x:c>
      <x:c r="T380" s="26"/>
      <x:c r="U380" s="24" t="str">
        <x:v>ATIVA/SEM FIM INFORMADO</x:v>
      </x:c>
      <x:c r="V380" s="24"/>
      <x:c r="W380" s="24" t="n">
        <x:v>38</x:v>
      </x:c>
      <x:c r="X380" s="24" t="str">
        <x:v>tabela_hoya(1).pdf</x:v>
      </x:c>
      <x:c r="Y380" s="24" t="str">
        <x:v>alta</x:v>
      </x:c>
      <x:c r="Z380" s="24"/>
      <x:c r="AA380" s="24" t="str">
        <x:v>HOYA|Progressiva Especial|Surfaçada|Hoyalux Sportive|INCOLOR|EYAS 2.0|1.60|Hi-Vision LongLife BlueControl|-5.00 até +4.00||||||38</x:v>
      </x:c>
    </x:row>
    <x:row r="381">
      <x:c r="A381" s="24" t="str">
        <x:v>HY-AF8806ADC81D</x:v>
      </x:c>
      <x:c r="B381" s="24" t="str">
        <x:v>SIM</x:v>
      </x:c>
      <x:c r="C381" s="24" t="str">
        <x:v>DISPONÍVEL</x:v>
      </x:c>
      <x:c r="D381" s="24" t="str">
        <x:v>HOYA</x:v>
      </x:c>
      <x:c r="E381" s="24" t="str">
        <x:v>Progressiva Especial</x:v>
      </x:c>
      <x:c r="F381" s="24" t="str">
        <x:v>Surfaçada</x:v>
      </x:c>
      <x:c r="G381" s="24" t="str">
        <x:v>Hoyalux Sportive</x:v>
      </x:c>
      <x:c r="H381" s="24" t="str">
        <x:v>INCOLOR</x:v>
      </x:c>
      <x:c r="I381" s="24" t="str">
        <x:v>PNX</x:v>
      </x:c>
      <x:c r="J381" s="24" t="str">
        <x:v>1.53</x:v>
      </x:c>
      <x:c r="K381" s="24" t="str">
        <x:v>Hi-Vision LongLife BlueControl</x:v>
      </x:c>
      <x:c r="L381" s="40" t="n">
        <x:v>4259</x:v>
      </x:c>
      <x:c r="M381" s="24" t="str">
        <x:v>-5.00 até +4.00</x:v>
      </x:c>
      <x:c r="N381" s="24"/>
      <x:c r="O381" s="24"/>
      <x:c r="P381" s="24"/>
      <x:c r="Q381" s="24"/>
      <x:c r="R381" s="24"/>
      <x:c r="S381" s="26" t="n">
        <x:v>45992</x:v>
      </x:c>
      <x:c r="T381" s="26"/>
      <x:c r="U381" s="24" t="str">
        <x:v>ATIVA/SEM FIM INFORMADO</x:v>
      </x:c>
      <x:c r="V381" s="24"/>
      <x:c r="W381" s="24" t="n">
        <x:v>38</x:v>
      </x:c>
      <x:c r="X381" s="24" t="str">
        <x:v>tabela_hoya(1).pdf</x:v>
      </x:c>
      <x:c r="Y381" s="24" t="str">
        <x:v>alta</x:v>
      </x:c>
      <x:c r="Z381" s="24"/>
      <x:c r="AA381" s="24" t="str">
        <x:v>HOYA|Progressiva Especial|Surfaçada|Hoyalux Sportive|INCOLOR|PNX|1.53|Hi-Vision LongLife BlueControl|-5.00 até +4.00||||||38</x:v>
      </x:c>
    </x:row>
    <x:row r="382">
      <x:c r="A382" s="24" t="str">
        <x:v>HY-1405B4572EFE</x:v>
      </x:c>
      <x:c r="B382" s="24" t="str">
        <x:v>SIM</x:v>
      </x:c>
      <x:c r="C382" s="24" t="str">
        <x:v>DISPONÍVEL</x:v>
      </x:c>
      <x:c r="D382" s="24" t="str">
        <x:v>HOYA</x:v>
      </x:c>
      <x:c r="E382" s="24" t="str">
        <x:v>Progressiva Especial</x:v>
      </x:c>
      <x:c r="F382" s="24" t="str">
        <x:v>Surfaçada</x:v>
      </x:c>
      <x:c r="G382" s="24" t="str">
        <x:v>Hoyalux Sportive</x:v>
      </x:c>
      <x:c r="H382" s="24" t="str">
        <x:v>INCOLOR</x:v>
      </x:c>
      <x:c r="I382" s="24" t="str">
        <x:v>EYNOA</x:v>
      </x:c>
      <x:c r="J382" s="24" t="str">
        <x:v>1.67</x:v>
      </x:c>
      <x:c r="K382" s="24" t="str">
        <x:v>No-Risk BlueControl</x:v>
      </x:c>
      <x:c r="L382" s="40" t="n">
        <x:v>4819</x:v>
      </x:c>
      <x:c r="M382" s="24" t="str">
        <x:v>-5.00 até +4.00</x:v>
      </x:c>
      <x:c r="N382" s="24"/>
      <x:c r="O382" s="24"/>
      <x:c r="P382" s="24"/>
      <x:c r="Q382" s="24"/>
      <x:c r="R382" s="24"/>
      <x:c r="S382" s="26" t="n">
        <x:v>45992</x:v>
      </x:c>
      <x:c r="T382" s="26"/>
      <x:c r="U382" s="24" t="str">
        <x:v>ATIVA/SEM FIM INFORMADO</x:v>
      </x:c>
      <x:c r="V382" s="24"/>
      <x:c r="W382" s="24" t="n">
        <x:v>38</x:v>
      </x:c>
      <x:c r="X382" s="24" t="str">
        <x:v>tabela_hoya(1).pdf</x:v>
      </x:c>
      <x:c r="Y382" s="24" t="str">
        <x:v>alta</x:v>
      </x:c>
      <x:c r="Z382" s="24"/>
      <x:c r="AA382" s="24" t="str">
        <x:v>HOYA|Progressiva Especial|Surfaçada|Hoyalux Sportive|INCOLOR|EYNOA|1.67|No-Risk BlueControl|-5.00 até +4.00||||||38</x:v>
      </x:c>
    </x:row>
    <x:row r="383">
      <x:c r="A383" s="24" t="str">
        <x:v>HY-9D9F43C28B5E</x:v>
      </x:c>
      <x:c r="B383" s="24" t="str">
        <x:v>SIM</x:v>
      </x:c>
      <x:c r="C383" s="24" t="str">
        <x:v>DISPONÍVEL</x:v>
      </x:c>
      <x:c r="D383" s="24" t="str">
        <x:v>HOYA</x:v>
      </x:c>
      <x:c r="E383" s="24" t="str">
        <x:v>Progressiva Especial</x:v>
      </x:c>
      <x:c r="F383" s="24" t="str">
        <x:v>Surfaçada</x:v>
      </x:c>
      <x:c r="G383" s="24" t="str">
        <x:v>Hoyalux Sportive</x:v>
      </x:c>
      <x:c r="H383" s="24" t="str">
        <x:v>INCOLOR</x:v>
      </x:c>
      <x:c r="I383" s="24" t="str">
        <x:v>EYAS 2.0</x:v>
      </x:c>
      <x:c r="J383" s="24" t="str">
        <x:v>1.60</x:v>
      </x:c>
      <x:c r="K383" s="24" t="str">
        <x:v>No-Risk BlueControl</x:v>
      </x:c>
      <x:c r="L383" s="40" t="n">
        <x:v>4359</x:v>
      </x:c>
      <x:c r="M383" s="24" t="str">
        <x:v>-5.00 até +4.00</x:v>
      </x:c>
      <x:c r="N383" s="24"/>
      <x:c r="O383" s="24"/>
      <x:c r="P383" s="24"/>
      <x:c r="Q383" s="24"/>
      <x:c r="R383" s="24"/>
      <x:c r="S383" s="26" t="n">
        <x:v>45992</x:v>
      </x:c>
      <x:c r="T383" s="26"/>
      <x:c r="U383" s="24" t="str">
        <x:v>ATIVA/SEM FIM INFORMADO</x:v>
      </x:c>
      <x:c r="V383" s="24"/>
      <x:c r="W383" s="24" t="n">
        <x:v>38</x:v>
      </x:c>
      <x:c r="X383" s="24" t="str">
        <x:v>tabela_hoya(1).pdf</x:v>
      </x:c>
      <x:c r="Y383" s="24" t="str">
        <x:v>alta</x:v>
      </x:c>
      <x:c r="Z383" s="24"/>
      <x:c r="AA383" s="24" t="str">
        <x:v>HOYA|Progressiva Especial|Surfaçada|Hoyalux Sportive|INCOLOR|EYAS 2.0|1.60|No-Risk BlueControl|-5.00 até +4.00||||||38</x:v>
      </x:c>
    </x:row>
    <x:row r="384">
      <x:c r="A384" s="24" t="str">
        <x:v>HY-A53531A7808A</x:v>
      </x:c>
      <x:c r="B384" s="24" t="str">
        <x:v>SIM</x:v>
      </x:c>
      <x:c r="C384" s="24" t="str">
        <x:v>DISPONÍVEL</x:v>
      </x:c>
      <x:c r="D384" s="24" t="str">
        <x:v>HOYA</x:v>
      </x:c>
      <x:c r="E384" s="24" t="str">
        <x:v>Progressiva Especial</x:v>
      </x:c>
      <x:c r="F384" s="24" t="str">
        <x:v>Surfaçada</x:v>
      </x:c>
      <x:c r="G384" s="24" t="str">
        <x:v>Hoyalux Sportive</x:v>
      </x:c>
      <x:c r="H384" s="24" t="str">
        <x:v>INCOLOR</x:v>
      </x:c>
      <x:c r="I384" s="24" t="str">
        <x:v>PNX</x:v>
      </x:c>
      <x:c r="J384" s="24" t="str">
        <x:v>1.53</x:v>
      </x:c>
      <x:c r="K384" s="24" t="str">
        <x:v>No-Risk BlueControl</x:v>
      </x:c>
      <x:c r="L384" s="40" t="n">
        <x:v>4009</x:v>
      </x:c>
      <x:c r="M384" s="24" t="str">
        <x:v>-5.00 até +4.00</x:v>
      </x:c>
      <x:c r="N384" s="24"/>
      <x:c r="O384" s="24"/>
      <x:c r="P384" s="24"/>
      <x:c r="Q384" s="24"/>
      <x:c r="R384" s="24"/>
      <x:c r="S384" s="26" t="n">
        <x:v>45992</x:v>
      </x:c>
      <x:c r="T384" s="26"/>
      <x:c r="U384" s="24" t="str">
        <x:v>ATIVA/SEM FIM INFORMADO</x:v>
      </x:c>
      <x:c r="V384" s="24"/>
      <x:c r="W384" s="24" t="n">
        <x:v>38</x:v>
      </x:c>
      <x:c r="X384" s="24" t="str">
        <x:v>tabela_hoya(1).pdf</x:v>
      </x:c>
      <x:c r="Y384" s="24" t="str">
        <x:v>alta</x:v>
      </x:c>
      <x:c r="Z384" s="24"/>
      <x:c r="AA384" s="24" t="str">
        <x:v>HOYA|Progressiva Especial|Surfaçada|Hoyalux Sportive|INCOLOR|PNX|1.53|No-Risk BlueControl|-5.00 até +4.00||||||38</x:v>
      </x:c>
    </x:row>
    <x:row r="385">
      <x:c r="A385" s="24" t="str">
        <x:v>HY-A9DD63F2470E</x:v>
      </x:c>
      <x:c r="B385" s="24" t="str">
        <x:v>SIM</x:v>
      </x:c>
      <x:c r="C385" s="24" t="str">
        <x:v>DISPONÍVEL</x:v>
      </x:c>
      <x:c r="D385" s="24" t="str">
        <x:v>HOYA</x:v>
      </x:c>
      <x:c r="E385" s="24" t="str">
        <x:v>Progressiva Especial</x:v>
      </x:c>
      <x:c r="F385" s="24" t="str">
        <x:v>Surfaçada</x:v>
      </x:c>
      <x:c r="G385" s="24" t="str">
        <x:v>Hoyalux Sportive</x:v>
      </x:c>
      <x:c r="H385" s="24" t="str">
        <x:v>INCOLOR</x:v>
      </x:c>
      <x:c r="I385" s="24" t="str">
        <x:v>EYNOA</x:v>
      </x:c>
      <x:c r="J385" s="24" t="str">
        <x:v>1.67</x:v>
      </x:c>
      <x:c r="K385" s="24" t="str">
        <x:v>Hi-Vision Hard</x:v>
      </x:c>
      <x:c r="L385" s="40" t="n">
        <x:v>4409</x:v>
      </x:c>
      <x:c r="M385" s="24" t="str">
        <x:v>-5.00 até +4.00</x:v>
      </x:c>
      <x:c r="N385" s="24"/>
      <x:c r="O385" s="24"/>
      <x:c r="P385" s="24"/>
      <x:c r="Q385" s="24"/>
      <x:c r="R385" s="24"/>
      <x:c r="S385" s="26" t="n">
        <x:v>45992</x:v>
      </x:c>
      <x:c r="T385" s="26"/>
      <x:c r="U385" s="24" t="str">
        <x:v>ATIVA/SEM FIM INFORMADO</x:v>
      </x:c>
      <x:c r="V385" s="24"/>
      <x:c r="W385" s="24" t="n">
        <x:v>38</x:v>
      </x:c>
      <x:c r="X385" s="24" t="str">
        <x:v>tabela_hoya(1).pdf</x:v>
      </x:c>
      <x:c r="Y385" s="24" t="str">
        <x:v>alta</x:v>
      </x:c>
      <x:c r="Z385" s="24"/>
      <x:c r="AA385" s="24" t="str">
        <x:v>HOYA|Progressiva Especial|Surfaçada|Hoyalux Sportive|INCOLOR|EYNOA|1.67|Hi-Vision Hard|-5.00 até +4.00||||||38</x:v>
      </x:c>
    </x:row>
    <x:row r="386">
      <x:c r="A386" s="24" t="str">
        <x:v>HY-F89FB57D4DCA</x:v>
      </x:c>
      <x:c r="B386" s="24" t="str">
        <x:v>SIM</x:v>
      </x:c>
      <x:c r="C386" s="24" t="str">
        <x:v>DISPONÍVEL</x:v>
      </x:c>
      <x:c r="D386" s="24" t="str">
        <x:v>HOYA</x:v>
      </x:c>
      <x:c r="E386" s="24" t="str">
        <x:v>Progressiva Especial</x:v>
      </x:c>
      <x:c r="F386" s="24" t="str">
        <x:v>Surfaçada</x:v>
      </x:c>
      <x:c r="G386" s="24" t="str">
        <x:v>Hoyalux Sportive</x:v>
      </x:c>
      <x:c r="H386" s="24" t="str">
        <x:v>INCOLOR</x:v>
      </x:c>
      <x:c r="I386" s="24" t="str">
        <x:v>EYAS 2.0</x:v>
      </x:c>
      <x:c r="J386" s="24" t="str">
        <x:v>1.60</x:v>
      </x:c>
      <x:c r="K386" s="24" t="str">
        <x:v>Hi-Vision Hard</x:v>
      </x:c>
      <x:c r="L386" s="40" t="n">
        <x:v>3949</x:v>
      </x:c>
      <x:c r="M386" s="24" t="str">
        <x:v>-5.00 até +4.00</x:v>
      </x:c>
      <x:c r="N386" s="24"/>
      <x:c r="O386" s="24"/>
      <x:c r="P386" s="24"/>
      <x:c r="Q386" s="24"/>
      <x:c r="R386" s="24"/>
      <x:c r="S386" s="26" t="n">
        <x:v>45992</x:v>
      </x:c>
      <x:c r="T386" s="26"/>
      <x:c r="U386" s="24" t="str">
        <x:v>ATIVA/SEM FIM INFORMADO</x:v>
      </x:c>
      <x:c r="V386" s="24"/>
      <x:c r="W386" s="24" t="n">
        <x:v>38</x:v>
      </x:c>
      <x:c r="X386" s="24" t="str">
        <x:v>tabela_hoya(1).pdf</x:v>
      </x:c>
      <x:c r="Y386" s="24" t="str">
        <x:v>alta</x:v>
      </x:c>
      <x:c r="Z386" s="24"/>
      <x:c r="AA386" s="24" t="str">
        <x:v>HOYA|Progressiva Especial|Surfaçada|Hoyalux Sportive|INCOLOR|EYAS 2.0|1.60|Hi-Vision Hard|-5.00 até +4.00||||||38</x:v>
      </x:c>
    </x:row>
    <x:row r="387">
      <x:c r="A387" s="24" t="str">
        <x:v>HY-047BA92757AF</x:v>
      </x:c>
      <x:c r="B387" s="24" t="str">
        <x:v>SIM</x:v>
      </x:c>
      <x:c r="C387" s="24" t="str">
        <x:v>DISPONÍVEL</x:v>
      </x:c>
      <x:c r="D387" s="24" t="str">
        <x:v>HOYA</x:v>
      </x:c>
      <x:c r="E387" s="24" t="str">
        <x:v>Progressiva Especial</x:v>
      </x:c>
      <x:c r="F387" s="24" t="str">
        <x:v>Surfaçada</x:v>
      </x:c>
      <x:c r="G387" s="24" t="str">
        <x:v>Hoyalux Sportive</x:v>
      </x:c>
      <x:c r="H387" s="24" t="str">
        <x:v>INCOLOR</x:v>
      </x:c>
      <x:c r="I387" s="24" t="str">
        <x:v>PNX</x:v>
      </x:c>
      <x:c r="J387" s="24" t="str">
        <x:v>1.53</x:v>
      </x:c>
      <x:c r="K387" s="24" t="str">
        <x:v>Hi-Vision Hard</x:v>
      </x:c>
      <x:c r="L387" s="40" t="n">
        <x:v>3599</x:v>
      </x:c>
      <x:c r="M387" s="24" t="str">
        <x:v>-5.00 até +4.00</x:v>
      </x:c>
      <x:c r="N387" s="24"/>
      <x:c r="O387" s="24"/>
      <x:c r="P387" s="24"/>
      <x:c r="Q387" s="24"/>
      <x:c r="R387" s="24"/>
      <x:c r="S387" s="26" t="n">
        <x:v>45992</x:v>
      </x:c>
      <x:c r="T387" s="26"/>
      <x:c r="U387" s="24" t="str">
        <x:v>ATIVA/SEM FIM INFORMADO</x:v>
      </x:c>
      <x:c r="V387" s="24"/>
      <x:c r="W387" s="24" t="n">
        <x:v>38</x:v>
      </x:c>
      <x:c r="X387" s="24" t="str">
        <x:v>tabela_hoya(1).pdf</x:v>
      </x:c>
      <x:c r="Y387" s="24" t="str">
        <x:v>alta</x:v>
      </x:c>
      <x:c r="Z387" s="24"/>
      <x:c r="AA387" s="24" t="str">
        <x:v>HOYA|Progressiva Especial|Surfaçada|Hoyalux Sportive|INCOLOR|PNX|1.53|Hi-Vision Hard|-5.00 até +4.00||||||38</x:v>
      </x:c>
    </x:row>
    <x:row r="388">
      <x:c r="A388" s="24" t="str">
        <x:v>HY-49021C833D23</x:v>
      </x:c>
      <x:c r="B388" s="24" t="str">
        <x:v>SIM</x:v>
      </x:c>
      <x:c r="C388" s="24" t="str">
        <x:v>DISPONÍVEL</x:v>
      </x:c>
      <x:c r="D388" s="24" t="str">
        <x:v>HOYA</x:v>
      </x:c>
      <x:c r="E388" s="24" t="str">
        <x:v>Progressiva Especial</x:v>
      </x:c>
      <x:c r="F388" s="24" t="str">
        <x:v>Surfaçada</x:v>
      </x:c>
      <x:c r="G388" s="24" t="str">
        <x:v>Hoyalux Sportive</x:v>
      </x:c>
      <x:c r="H388" s="24" t="str">
        <x:v>COLORIDAS</x:v>
      </x:c>
      <x:c r="I388" s="24" t="str">
        <x:v>EYNOA</x:v>
      </x:c>
      <x:c r="J388" s="24" t="str">
        <x:v>1.67</x:v>
      </x:c>
      <x:c r="K388" s="24" t="str">
        <x:v>Hi-Vision Sun Pro</x:v>
      </x:c>
      <x:c r="L388" s="40" t="n">
        <x:v>5109</x:v>
      </x:c>
      <x:c r="M388" s="24" t="str">
        <x:v>-5.00 até +4.00</x:v>
      </x:c>
      <x:c r="N388" s="24"/>
      <x:c r="O388" s="24"/>
      <x:c r="P388" s="24"/>
      <x:c r="Q388" s="24"/>
      <x:c r="R388" s="24"/>
      <x:c r="S388" s="26" t="n">
        <x:v>45992</x:v>
      </x:c>
      <x:c r="T388" s="26"/>
      <x:c r="U388" s="24" t="str">
        <x:v>ATIVA/SEM FIM INFORMADO</x:v>
      </x:c>
      <x:c r="V388" s="24"/>
      <x:c r="W388" s="24" t="n">
        <x:v>38</x:v>
      </x:c>
      <x:c r="X388" s="24" t="str">
        <x:v>tabela_hoya(1).pdf</x:v>
      </x:c>
      <x:c r="Y388" s="24" t="str">
        <x:v>alta</x:v>
      </x:c>
      <x:c r="Z388" s="24"/>
      <x:c r="AA388" s="24" t="str">
        <x:v>HOYA|Progressiva Especial|Surfaçada|Hoyalux Sportive|COLORIDAS|EYNOA|1.67|Hi-Vision Sun Pro|-5.00 até +4.00||||||38</x:v>
      </x:c>
    </x:row>
    <x:row r="389">
      <x:c r="A389" s="24" t="str">
        <x:v>HY-85C83666736B</x:v>
      </x:c>
      <x:c r="B389" s="24" t="str">
        <x:v>SIM</x:v>
      </x:c>
      <x:c r="C389" s="24" t="str">
        <x:v>DISPONÍVEL</x:v>
      </x:c>
      <x:c r="D389" s="24" t="str">
        <x:v>HOYA</x:v>
      </x:c>
      <x:c r="E389" s="24" t="str">
        <x:v>Progressiva Especial</x:v>
      </x:c>
      <x:c r="F389" s="24" t="str">
        <x:v>Surfaçada</x:v>
      </x:c>
      <x:c r="G389" s="24" t="str">
        <x:v>Hoyalux Sportive</x:v>
      </x:c>
      <x:c r="H389" s="24" t="str">
        <x:v>COLORIDAS</x:v>
      </x:c>
      <x:c r="I389" s="24" t="str">
        <x:v>EYAS 2.0</x:v>
      </x:c>
      <x:c r="J389" s="24" t="str">
        <x:v>1.60</x:v>
      </x:c>
      <x:c r="K389" s="24" t="str">
        <x:v>Hi-Vision Sun Pro</x:v>
      </x:c>
      <x:c r="L389" s="40" t="n">
        <x:v>4649</x:v>
      </x:c>
      <x:c r="M389" s="24" t="str">
        <x:v>-5.00 até +4.00</x:v>
      </x:c>
      <x:c r="N389" s="24"/>
      <x:c r="O389" s="24"/>
      <x:c r="P389" s="24"/>
      <x:c r="Q389" s="24"/>
      <x:c r="R389" s="24"/>
      <x:c r="S389" s="26" t="n">
        <x:v>45992</x:v>
      </x:c>
      <x:c r="T389" s="26"/>
      <x:c r="U389" s="24" t="str">
        <x:v>ATIVA/SEM FIM INFORMADO</x:v>
      </x:c>
      <x:c r="V389" s="24"/>
      <x:c r="W389" s="24" t="n">
        <x:v>38</x:v>
      </x:c>
      <x:c r="X389" s="24" t="str">
        <x:v>tabela_hoya(1).pdf</x:v>
      </x:c>
      <x:c r="Y389" s="24" t="str">
        <x:v>alta</x:v>
      </x:c>
      <x:c r="Z389" s="24"/>
      <x:c r="AA389" s="24" t="str">
        <x:v>HOYA|Progressiva Especial|Surfaçada|Hoyalux Sportive|COLORIDAS|EYAS 2.0|1.60|Hi-Vision Sun Pro|-5.00 até +4.00||||||38</x:v>
      </x:c>
    </x:row>
    <x:row r="390">
      <x:c r="A390" s="24" t="str">
        <x:v>HY-5A9678A0DE25</x:v>
      </x:c>
      <x:c r="B390" s="24" t="str">
        <x:v>SIM</x:v>
      </x:c>
      <x:c r="C390" s="24" t="str">
        <x:v>DISPONÍVEL</x:v>
      </x:c>
      <x:c r="D390" s="24" t="str">
        <x:v>HOYA</x:v>
      </x:c>
      <x:c r="E390" s="24" t="str">
        <x:v>Progressiva Especial</x:v>
      </x:c>
      <x:c r="F390" s="24" t="str">
        <x:v>Surfaçada</x:v>
      </x:c>
      <x:c r="G390" s="24" t="str">
        <x:v>Hoyalux Sportive</x:v>
      </x:c>
      <x:c r="H390" s="24" t="str">
        <x:v>COLORIDAS</x:v>
      </x:c>
      <x:c r="I390" s="24" t="str">
        <x:v>PNX</x:v>
      </x:c>
      <x:c r="J390" s="24" t="str">
        <x:v>1.53</x:v>
      </x:c>
      <x:c r="K390" s="24" t="str">
        <x:v>Hi-Vision Sun Pro</x:v>
      </x:c>
      <x:c r="L390" s="40" t="n">
        <x:v>4299</x:v>
      </x:c>
      <x:c r="M390" s="24" t="str">
        <x:v>-5.00 até +4.00</x:v>
      </x:c>
      <x:c r="N390" s="24"/>
      <x:c r="O390" s="24"/>
      <x:c r="P390" s="24"/>
      <x:c r="Q390" s="24"/>
      <x:c r="R390" s="24"/>
      <x:c r="S390" s="26" t="n">
        <x:v>45992</x:v>
      </x:c>
      <x:c r="T390" s="26"/>
      <x:c r="U390" s="24" t="str">
        <x:v>ATIVA/SEM FIM INFORMADO</x:v>
      </x:c>
      <x:c r="V390" s="24"/>
      <x:c r="W390" s="24" t="n">
        <x:v>38</x:v>
      </x:c>
      <x:c r="X390" s="24" t="str">
        <x:v>tabela_hoya(1).pdf</x:v>
      </x:c>
      <x:c r="Y390" s="24" t="str">
        <x:v>alta</x:v>
      </x:c>
      <x:c r="Z390" s="24"/>
      <x:c r="AA390" s="24" t="str">
        <x:v>HOYA|Progressiva Especial|Surfaçada|Hoyalux Sportive|COLORIDAS|PNX|1.53|Hi-Vision Sun Pro|-5.00 até +4.00||||||38</x:v>
      </x:c>
    </x:row>
    <x:row r="391">
      <x:c r="A391" s="24" t="str">
        <x:v>HY-AF4326F54D80</x:v>
      </x:c>
      <x:c r="B391" s="24" t="str">
        <x:v>SIM</x:v>
      </x:c>
      <x:c r="C391" s="24" t="str">
        <x:v>DISPONÍVEL</x:v>
      </x:c>
      <x:c r="D391" s="24" t="str">
        <x:v>HOYA</x:v>
      </x:c>
      <x:c r="E391" s="24" t="str">
        <x:v>Progressiva Especial</x:v>
      </x:c>
      <x:c r="F391" s="24" t="str">
        <x:v>Surfaçada</x:v>
      </x:c>
      <x:c r="G391" s="24" t="str">
        <x:v>Hoyalux Sportive</x:v>
      </x:c>
      <x:c r="H391" s="24" t="str">
        <x:v>POLARIZADO</x:v>
      </x:c>
      <x:c r="I391" s="24" t="str">
        <x:v>EYNOA</x:v>
      </x:c>
      <x:c r="J391" s="24" t="str">
        <x:v>1.67</x:v>
      </x:c>
      <x:c r="K391" s="24" t="str">
        <x:v>Hi-Vision Sun Pro</x:v>
      </x:c>
      <x:c r="L391" s="40" t="n">
        <x:v>5969</x:v>
      </x:c>
      <x:c r="M391" s="24" t="str">
        <x:v>-5.00 até +4.00</x:v>
      </x:c>
      <x:c r="N391" s="24"/>
      <x:c r="O391" s="24"/>
      <x:c r="P391" s="24"/>
      <x:c r="Q391" s="24"/>
      <x:c r="R391" s="24"/>
      <x:c r="S391" s="26" t="n">
        <x:v>45992</x:v>
      </x:c>
      <x:c r="T391" s="26"/>
      <x:c r="U391" s="24" t="str">
        <x:v>ATIVA/SEM FIM INFORMADO</x:v>
      </x:c>
      <x:c r="V391" s="24"/>
      <x:c r="W391" s="24" t="n">
        <x:v>38</x:v>
      </x:c>
      <x:c r="X391" s="24" t="str">
        <x:v>tabela_hoya(1).pdf</x:v>
      </x:c>
      <x:c r="Y391" s="24" t="str">
        <x:v>alta</x:v>
      </x:c>
      <x:c r="Z391" s="24"/>
      <x:c r="AA391" s="24" t="str">
        <x:v>HOYA|Progressiva Especial|Surfaçada|Hoyalux Sportive|POLARIZADO|EYNOA|1.67|Hi-Vision Sun Pro|-5.00 até +4.00||||||38</x:v>
      </x:c>
    </x:row>
    <x:row r="392">
      <x:c r="A392" s="24" t="str">
        <x:v>HY-AB4CD30B289A</x:v>
      </x:c>
      <x:c r="B392" s="24" t="str">
        <x:v>SIM</x:v>
      </x:c>
      <x:c r="C392" s="24" t="str">
        <x:v>DISPONÍVEL</x:v>
      </x:c>
      <x:c r="D392" s="24" t="str">
        <x:v>HOYA</x:v>
      </x:c>
      <x:c r="E392" s="24" t="str">
        <x:v>Progressiva Especial</x:v>
      </x:c>
      <x:c r="F392" s="24" t="str">
        <x:v>Surfaçada</x:v>
      </x:c>
      <x:c r="G392" s="24" t="str">
        <x:v>Hoyalux Sportive</x:v>
      </x:c>
      <x:c r="H392" s="24" t="str">
        <x:v>POLARIZADO</x:v>
      </x:c>
      <x:c r="I392" s="24" t="str">
        <x:v>PNX</x:v>
      </x:c>
      <x:c r="J392" s="24" t="str">
        <x:v>1.53</x:v>
      </x:c>
      <x:c r="K392" s="24" t="str">
        <x:v>Hi-Vision Sun Pro</x:v>
      </x:c>
      <x:c r="L392" s="40" t="n">
        <x:v>5159</x:v>
      </x:c>
      <x:c r="M392" s="24" t="str">
        <x:v>-5.00 até +4.00</x:v>
      </x:c>
      <x:c r="N392" s="24"/>
      <x:c r="O392" s="24"/>
      <x:c r="P392" s="24"/>
      <x:c r="Q392" s="24"/>
      <x:c r="R392" s="24"/>
      <x:c r="S392" s="26" t="n">
        <x:v>45992</x:v>
      </x:c>
      <x:c r="T392" s="26"/>
      <x:c r="U392" s="24" t="str">
        <x:v>ATIVA/SEM FIM INFORMADO</x:v>
      </x:c>
      <x:c r="V392" s="24"/>
      <x:c r="W392" s="24" t="n">
        <x:v>38</x:v>
      </x:c>
      <x:c r="X392" s="24" t="str">
        <x:v>tabela_hoya(1).pdf</x:v>
      </x:c>
      <x:c r="Y392" s="24" t="str">
        <x:v>alta</x:v>
      </x:c>
      <x:c r="Z392" s="24"/>
      <x:c r="AA392" s="24" t="str">
        <x:v>HOYA|Progressiva Especial|Surfaçada|Hoyalux Sportive|POLARIZADO|PNX|1.53|Hi-Vision Sun Pro|-5.00 até +4.00||||||38</x:v>
      </x:c>
    </x:row>
    <x:row r="393">
      <x:c r="A393" s="24" t="str">
        <x:v>HY-12EAF122CF85</x:v>
      </x:c>
      <x:c r="B393" s="24" t="str">
        <x:v>SIM</x:v>
      </x:c>
      <x:c r="C393" s="24" t="str">
        <x:v>DISPONÍVEL</x:v>
      </x:c>
      <x:c r="D393" s="24" t="str">
        <x:v>HOYA</x:v>
      </x:c>
      <x:c r="E393" s="24" t="str">
        <x:v>Progressiva Especial</x:v>
      </x:c>
      <x:c r="F393" s="24" t="str">
        <x:v>Surfaçada</x:v>
      </x:c>
      <x:c r="G393" s="24" t="str">
        <x:v>Hoyalux Sportive</x:v>
      </x:c>
      <x:c r="H393" s="24" t="str">
        <x:v>SENSITY 2</x:v>
      </x:c>
      <x:c r="I393" s="24" t="str">
        <x:v>EYAS 2.0</x:v>
      </x:c>
      <x:c r="J393" s="24" t="str">
        <x:v>1.60</x:v>
      </x:c>
      <x:c r="K393" s="24" t="str">
        <x:v>Hi-Vision LongLife BlueControl</x:v>
      </x:c>
      <x:c r="L393" s="40" t="n">
        <x:v>6009</x:v>
      </x:c>
      <x:c r="M393" s="24" t="str">
        <x:v>-5.00 até +4.00</x:v>
      </x:c>
      <x:c r="N393" s="24"/>
      <x:c r="O393" s="24"/>
      <x:c r="P393" s="24"/>
      <x:c r="Q393" s="24"/>
      <x:c r="R393" s="24"/>
      <x:c r="S393" s="26" t="n">
        <x:v>45992</x:v>
      </x:c>
      <x:c r="T393" s="26"/>
      <x:c r="U393" s="24" t="str">
        <x:v>ATIVA/SEM FIM INFORMADO</x:v>
      </x:c>
      <x:c r="V393" s="24"/>
      <x:c r="W393" s="24" t="n">
        <x:v>38</x:v>
      </x:c>
      <x:c r="X393" s="24" t="str">
        <x:v>tabela_hoya(1).pdf</x:v>
      </x:c>
      <x:c r="Y393" s="24" t="str">
        <x:v>alta</x:v>
      </x:c>
      <x:c r="Z393" s="24"/>
      <x:c r="AA393" s="24" t="str">
        <x:v>HOYA|Progressiva Especial|Surfaçada|Hoyalux Sportive|SENSITY 2|EYAS 2.0|1.60|Hi-Vision LongLife BlueControl|-5.00 até +4.00||||||38</x:v>
      </x:c>
    </x:row>
    <x:row r="394">
      <x:c r="A394" s="24" t="str">
        <x:v>HY-199E0265507F</x:v>
      </x:c>
      <x:c r="B394" s="24" t="str">
        <x:v>SIM</x:v>
      </x:c>
      <x:c r="C394" s="24" t="str">
        <x:v>DISPONÍVEL</x:v>
      </x:c>
      <x:c r="D394" s="24" t="str">
        <x:v>HOYA</x:v>
      </x:c>
      <x:c r="E394" s="24" t="str">
        <x:v>Progressiva Especial</x:v>
      </x:c>
      <x:c r="F394" s="24" t="str">
        <x:v>Surfaçada</x:v>
      </x:c>
      <x:c r="G394" s="24" t="str">
        <x:v>Hoyalux Sportive</x:v>
      </x:c>
      <x:c r="H394" s="24" t="str">
        <x:v>SENSITY 2</x:v>
      </x:c>
      <x:c r="I394" s="24" t="str">
        <x:v>PNX</x:v>
      </x:c>
      <x:c r="J394" s="24" t="str">
        <x:v>1.53</x:v>
      </x:c>
      <x:c r="K394" s="24" t="str">
        <x:v>Hi-Vision LongLife BlueControl</x:v>
      </x:c>
      <x:c r="L394" s="40" t="n">
        <x:v>5659</x:v>
      </x:c>
      <x:c r="M394" s="24" t="str">
        <x:v>-5.00 até +4.00</x:v>
      </x:c>
      <x:c r="N394" s="24"/>
      <x:c r="O394" s="24"/>
      <x:c r="P394" s="24"/>
      <x:c r="Q394" s="24"/>
      <x:c r="R394" s="24"/>
      <x:c r="S394" s="26" t="n">
        <x:v>45992</x:v>
      </x:c>
      <x:c r="T394" s="26"/>
      <x:c r="U394" s="24" t="str">
        <x:v>ATIVA/SEM FIM INFORMADO</x:v>
      </x:c>
      <x:c r="V394" s="24"/>
      <x:c r="W394" s="24" t="n">
        <x:v>38</x:v>
      </x:c>
      <x:c r="X394" s="24" t="str">
        <x:v>tabela_hoya(1).pdf</x:v>
      </x:c>
      <x:c r="Y394" s="24" t="str">
        <x:v>alta</x:v>
      </x:c>
      <x:c r="Z394" s="24"/>
      <x:c r="AA394" s="24" t="str">
        <x:v>HOYA|Progressiva Especial|Surfaçada|Hoyalux Sportive|SENSITY 2|PNX|1.53|Hi-Vision LongLife BlueControl|-5.00 até +4.00||||||38</x:v>
      </x:c>
    </x:row>
    <x:row r="395">
      <x:c r="A395" s="24" t="str">
        <x:v>HY-5BDCC72C96CE</x:v>
      </x:c>
      <x:c r="B395" s="24" t="str">
        <x:v>SIM</x:v>
      </x:c>
      <x:c r="C395" s="24" t="str">
        <x:v>DISPONÍVEL</x:v>
      </x:c>
      <x:c r="D395" s="24" t="str">
        <x:v>HOYA</x:v>
      </x:c>
      <x:c r="E395" s="24" t="str">
        <x:v>Progressiva Especial</x:v>
      </x:c>
      <x:c r="F395" s="24" t="str">
        <x:v>Surfaçada</x:v>
      </x:c>
      <x:c r="G395" s="24" t="str">
        <x:v>Hoyalux Sportive</x:v>
      </x:c>
      <x:c r="H395" s="24" t="str">
        <x:v>SENSITY 2</x:v>
      </x:c>
      <x:c r="I395" s="24" t="str">
        <x:v>EYAS 2.0</x:v>
      </x:c>
      <x:c r="J395" s="24" t="str">
        <x:v>1.60</x:v>
      </x:c>
      <x:c r="K395" s="24" t="str">
        <x:v>No-Risk BlueControl</x:v>
      </x:c>
      <x:c r="L395" s="40" t="n">
        <x:v>5759</x:v>
      </x:c>
      <x:c r="M395" s="24" t="str">
        <x:v>-5.00 até +4.00</x:v>
      </x:c>
      <x:c r="N395" s="24"/>
      <x:c r="O395" s="24"/>
      <x:c r="P395" s="24"/>
      <x:c r="Q395" s="24"/>
      <x:c r="R395" s="24"/>
      <x:c r="S395" s="26" t="n">
        <x:v>45992</x:v>
      </x:c>
      <x:c r="T395" s="26"/>
      <x:c r="U395" s="24" t="str">
        <x:v>ATIVA/SEM FIM INFORMADO</x:v>
      </x:c>
      <x:c r="V395" s="24"/>
      <x:c r="W395" s="24" t="n">
        <x:v>38</x:v>
      </x:c>
      <x:c r="X395" s="24" t="str">
        <x:v>tabela_hoya(1).pdf</x:v>
      </x:c>
      <x:c r="Y395" s="24" t="str">
        <x:v>alta</x:v>
      </x:c>
      <x:c r="Z395" s="24"/>
      <x:c r="AA395" s="24" t="str">
        <x:v>HOYA|Progressiva Especial|Surfaçada|Hoyalux Sportive|SENSITY 2|EYAS 2.0|1.60|No-Risk BlueControl|-5.00 até +4.00||||||38</x:v>
      </x:c>
    </x:row>
    <x:row r="396">
      <x:c r="A396" s="24" t="str">
        <x:v>HY-DB93176BAFE7</x:v>
      </x:c>
      <x:c r="B396" s="24" t="str">
        <x:v>SIM</x:v>
      </x:c>
      <x:c r="C396" s="24" t="str">
        <x:v>DISPONÍVEL</x:v>
      </x:c>
      <x:c r="D396" s="24" t="str">
        <x:v>HOYA</x:v>
      </x:c>
      <x:c r="E396" s="24" t="str">
        <x:v>Progressiva Especial</x:v>
      </x:c>
      <x:c r="F396" s="24" t="str">
        <x:v>Surfaçada</x:v>
      </x:c>
      <x:c r="G396" s="24" t="str">
        <x:v>Hoyalux Sportive</x:v>
      </x:c>
      <x:c r="H396" s="24" t="str">
        <x:v>SENSITY 2</x:v>
      </x:c>
      <x:c r="I396" s="24" t="str">
        <x:v>PNX</x:v>
      </x:c>
      <x:c r="J396" s="24" t="str">
        <x:v>1.53</x:v>
      </x:c>
      <x:c r="K396" s="24" t="str">
        <x:v>No-Risk BlueControl</x:v>
      </x:c>
      <x:c r="L396" s="40" t="n">
        <x:v>5409</x:v>
      </x:c>
      <x:c r="M396" s="24" t="str">
        <x:v>-5.00 até +4.00</x:v>
      </x:c>
      <x:c r="N396" s="24"/>
      <x:c r="O396" s="24"/>
      <x:c r="P396" s="24"/>
      <x:c r="Q396" s="24"/>
      <x:c r="R396" s="24"/>
      <x:c r="S396" s="26" t="n">
        <x:v>45992</x:v>
      </x:c>
      <x:c r="T396" s="26"/>
      <x:c r="U396" s="24" t="str">
        <x:v>ATIVA/SEM FIM INFORMADO</x:v>
      </x:c>
      <x:c r="V396" s="24"/>
      <x:c r="W396" s="24" t="n">
        <x:v>38</x:v>
      </x:c>
      <x:c r="X396" s="24" t="str">
        <x:v>tabela_hoya(1).pdf</x:v>
      </x:c>
      <x:c r="Y396" s="24" t="str">
        <x:v>alta</x:v>
      </x:c>
      <x:c r="Z396" s="24"/>
      <x:c r="AA396" s="24" t="str">
        <x:v>HOYA|Progressiva Especial|Surfaçada|Hoyalux Sportive|SENSITY 2|PNX|1.53|No-Risk BlueControl|-5.00 até +4.00||||||38</x:v>
      </x:c>
    </x:row>
    <x:row r="397">
      <x:c r="A397" s="24" t="str">
        <x:v>HY-1DD80C482175</x:v>
      </x:c>
      <x:c r="B397" s="24" t="str">
        <x:v>SIM</x:v>
      </x:c>
      <x:c r="C397" s="24" t="str">
        <x:v>DISPONÍVEL</x:v>
      </x:c>
      <x:c r="D397" s="24" t="str">
        <x:v>HOYA</x:v>
      </x:c>
      <x:c r="E397" s="24" t="str">
        <x:v>Progressiva Especial</x:v>
      </x:c>
      <x:c r="F397" s="24" t="str">
        <x:v>Surfaçada</x:v>
      </x:c>
      <x:c r="G397" s="24" t="str">
        <x:v>Hoyalux Sportive</x:v>
      </x:c>
      <x:c r="H397" s="24" t="str">
        <x:v>SENSITY 2</x:v>
      </x:c>
      <x:c r="I397" s="24" t="str">
        <x:v>EYAS 2.0</x:v>
      </x:c>
      <x:c r="J397" s="24" t="str">
        <x:v>1.60</x:v>
      </x:c>
      <x:c r="K397" s="24" t="str">
        <x:v>Hi-Vision Hard</x:v>
      </x:c>
      <x:c r="L397" s="40" t="n">
        <x:v>5349</x:v>
      </x:c>
      <x:c r="M397" s="24" t="str">
        <x:v>-5.00 até +4.00</x:v>
      </x:c>
      <x:c r="N397" s="24"/>
      <x:c r="O397" s="24"/>
      <x:c r="P397" s="24"/>
      <x:c r="Q397" s="24"/>
      <x:c r="R397" s="24"/>
      <x:c r="S397" s="26" t="n">
        <x:v>45992</x:v>
      </x:c>
      <x:c r="T397" s="26"/>
      <x:c r="U397" s="24" t="str">
        <x:v>ATIVA/SEM FIM INFORMADO</x:v>
      </x:c>
      <x:c r="V397" s="24"/>
      <x:c r="W397" s="24" t="n">
        <x:v>38</x:v>
      </x:c>
      <x:c r="X397" s="24" t="str">
        <x:v>tabela_hoya(1).pdf</x:v>
      </x:c>
      <x:c r="Y397" s="24" t="str">
        <x:v>alta</x:v>
      </x:c>
      <x:c r="Z397" s="24"/>
      <x:c r="AA397" s="24" t="str">
        <x:v>HOYA|Progressiva Especial|Surfaçada|Hoyalux Sportive|SENSITY 2|EYAS 2.0|1.60|Hi-Vision Hard|-5.00 até +4.00||||||38</x:v>
      </x:c>
    </x:row>
    <x:row r="398">
      <x:c r="A398" s="24" t="str">
        <x:v>HY-B8BD30EE8A1A</x:v>
      </x:c>
      <x:c r="B398" s="24" t="str">
        <x:v>SIM</x:v>
      </x:c>
      <x:c r="C398" s="24" t="str">
        <x:v>DISPONÍVEL</x:v>
      </x:c>
      <x:c r="D398" s="24" t="str">
        <x:v>HOYA</x:v>
      </x:c>
      <x:c r="E398" s="24" t="str">
        <x:v>Progressiva Especial</x:v>
      </x:c>
      <x:c r="F398" s="24" t="str">
        <x:v>Surfaçada</x:v>
      </x:c>
      <x:c r="G398" s="24" t="str">
        <x:v>Hoyalux Sportive</x:v>
      </x:c>
      <x:c r="H398" s="24" t="str">
        <x:v>SENSITY 2</x:v>
      </x:c>
      <x:c r="I398" s="24" t="str">
        <x:v>PNX</x:v>
      </x:c>
      <x:c r="J398" s="24" t="str">
        <x:v>1.53</x:v>
      </x:c>
      <x:c r="K398" s="24" t="str">
        <x:v>Hi-Vision Hard</x:v>
      </x:c>
      <x:c r="L398" s="40" t="n">
        <x:v>4999</x:v>
      </x:c>
      <x:c r="M398" s="24" t="str">
        <x:v>-5.00 até +4.00</x:v>
      </x:c>
      <x:c r="N398" s="24"/>
      <x:c r="O398" s="24"/>
      <x:c r="P398" s="24"/>
      <x:c r="Q398" s="24"/>
      <x:c r="R398" s="24"/>
      <x:c r="S398" s="26" t="n">
        <x:v>45992</x:v>
      </x:c>
      <x:c r="T398" s="26"/>
      <x:c r="U398" s="24" t="str">
        <x:v>ATIVA/SEM FIM INFORMADO</x:v>
      </x:c>
      <x:c r="V398" s="24"/>
      <x:c r="W398" s="24" t="n">
        <x:v>38</x:v>
      </x:c>
      <x:c r="X398" s="24" t="str">
        <x:v>tabela_hoya(1).pdf</x:v>
      </x:c>
      <x:c r="Y398" s="24" t="str">
        <x:v>alta</x:v>
      </x:c>
      <x:c r="Z398" s="24"/>
      <x:c r="AA398" s="24" t="str">
        <x:v>HOYA|Progressiva Especial|Surfaçada|Hoyalux Sportive|SENSITY 2|PNX|1.53|Hi-Vision Hard|-5.00 até +4.00||||||38</x:v>
      </x:c>
    </x:row>
    <x:row r="399">
      <x:c r="A399" s="24" t="str">
        <x:v>HY-65EA75506D6C</x:v>
      </x:c>
      <x:c r="B399" s="24" t="str">
        <x:v>SIM</x:v>
      </x:c>
      <x:c r="C399" s="24" t="str">
        <x:v>DISPONÍVEL</x:v>
      </x:c>
      <x:c r="D399" s="24" t="str">
        <x:v>HOYA</x:v>
      </x:c>
      <x:c r="E399" s="24" t="str">
        <x:v>Visão Simples Especial</x:v>
      </x:c>
      <x:c r="F399" s="24" t="str">
        <x:v>Surfaçada</x:v>
      </x:c>
      <x:c r="G399" s="24" t="str">
        <x:v>Nulux Sportive</x:v>
      </x:c>
      <x:c r="H399" s="24" t="str">
        <x:v>INCOLOR</x:v>
      </x:c>
      <x:c r="I399" s="24" t="str">
        <x:v>EYNOA</x:v>
      </x:c>
      <x:c r="J399" s="24" t="str">
        <x:v>1.67</x:v>
      </x:c>
      <x:c r="K399" s="24" t="str">
        <x:v>Hi-Vision LongLife BlueControl</x:v>
      </x:c>
      <x:c r="L399" s="40" t="n">
        <x:v>2899</x:v>
      </x:c>
      <x:c r="M399" s="24" t="str">
        <x:v>-5.00 até +4.00</x:v>
      </x:c>
      <x:c r="N399" s="24"/>
      <x:c r="O399" s="24"/>
      <x:c r="P399" s="24"/>
      <x:c r="Q399" s="24"/>
      <x:c r="R399" s="24"/>
      <x:c r="S399" s="26" t="n">
        <x:v>45992</x:v>
      </x:c>
      <x:c r="T399" s="26"/>
      <x:c r="U399" s="24" t="str">
        <x:v>ATIVA/SEM FIM INFORMADO</x:v>
      </x:c>
      <x:c r="V399" s="24"/>
      <x:c r="W399" s="24" t="n">
        <x:v>39</x:v>
      </x:c>
      <x:c r="X399" s="24" t="str">
        <x:v>tabela_hoya(1).pdf</x:v>
      </x:c>
      <x:c r="Y399" s="24" t="str">
        <x:v>alta</x:v>
      </x:c>
      <x:c r="Z399" s="24"/>
      <x:c r="AA399" s="24" t="str">
        <x:v>HOYA|Visão Simples Especial|Surfaçada|Nulux Sportive|INCOLOR|EYNOA|1.67|Hi-Vision LongLife BlueControl|-5.00 até +4.00||||||39</x:v>
      </x:c>
    </x:row>
    <x:row r="400">
      <x:c r="A400" s="24" t="str">
        <x:v>HY-3301B2811545</x:v>
      </x:c>
      <x:c r="B400" s="24" t="str">
        <x:v>SIM</x:v>
      </x:c>
      <x:c r="C400" s="24" t="str">
        <x:v>DISPONÍVEL</x:v>
      </x:c>
      <x:c r="D400" s="24" t="str">
        <x:v>HOYA</x:v>
      </x:c>
      <x:c r="E400" s="24" t="str">
        <x:v>Visão Simples Especial</x:v>
      </x:c>
      <x:c r="F400" s="24" t="str">
        <x:v>Surfaçada</x:v>
      </x:c>
      <x:c r="G400" s="24" t="str">
        <x:v>Nulux Sportive</x:v>
      </x:c>
      <x:c r="H400" s="24" t="str">
        <x:v>INCOLOR</x:v>
      </x:c>
      <x:c r="I400" s="24" t="str">
        <x:v>EYAS 2.0</x:v>
      </x:c>
      <x:c r="J400" s="24" t="str">
        <x:v>1.60</x:v>
      </x:c>
      <x:c r="K400" s="24" t="str">
        <x:v>Hi-Vision LongLife BlueControl</x:v>
      </x:c>
      <x:c r="L400" s="40" t="n">
        <x:v>2439</x:v>
      </x:c>
      <x:c r="M400" s="24" t="str">
        <x:v>-6.00 até +4.00</x:v>
      </x:c>
      <x:c r="N400" s="24"/>
      <x:c r="O400" s="24"/>
      <x:c r="P400" s="24"/>
      <x:c r="Q400" s="24"/>
      <x:c r="R400" s="24"/>
      <x:c r="S400" s="26" t="n">
        <x:v>45992</x:v>
      </x:c>
      <x:c r="T400" s="26"/>
      <x:c r="U400" s="24" t="str">
        <x:v>ATIVA/SEM FIM INFORMADO</x:v>
      </x:c>
      <x:c r="V400" s="24"/>
      <x:c r="W400" s="24" t="n">
        <x:v>39</x:v>
      </x:c>
      <x:c r="X400" s="24" t="str">
        <x:v>tabela_hoya(1).pdf</x:v>
      </x:c>
      <x:c r="Y400" s="24" t="str">
        <x:v>alta</x:v>
      </x:c>
      <x:c r="Z400" s="24"/>
      <x:c r="AA400" s="24" t="str">
        <x:v>HOYA|Visão Simples Especial|Surfaçada|Nulux Sportive|INCOLOR|EYAS 2.0|1.60|Hi-Vision LongLife BlueControl|-6.00 até +4.00||||||39</x:v>
      </x:c>
    </x:row>
    <x:row r="401">
      <x:c r="A401" s="24" t="str">
        <x:v>HY-9225ED08B85B</x:v>
      </x:c>
      <x:c r="B401" s="24" t="str">
        <x:v>SIM</x:v>
      </x:c>
      <x:c r="C401" s="24" t="str">
        <x:v>DISPONÍVEL</x:v>
      </x:c>
      <x:c r="D401" s="24" t="str">
        <x:v>HOYA</x:v>
      </x:c>
      <x:c r="E401" s="24" t="str">
        <x:v>Visão Simples Especial</x:v>
      </x:c>
      <x:c r="F401" s="24" t="str">
        <x:v>Surfaçada</x:v>
      </x:c>
      <x:c r="G401" s="24" t="str">
        <x:v>Nulux Sportive</x:v>
      </x:c>
      <x:c r="H401" s="24" t="str">
        <x:v>INCOLOR</x:v>
      </x:c>
      <x:c r="I401" s="24" t="str">
        <x:v>PNX</x:v>
      </x:c>
      <x:c r="J401" s="24" t="str">
        <x:v>1.53</x:v>
      </x:c>
      <x:c r="K401" s="24" t="str">
        <x:v>Hi-Vision LongLife BlueControl</x:v>
      </x:c>
      <x:c r="L401" s="40" t="n">
        <x:v>2089</x:v>
      </x:c>
      <x:c r="M401" s="24" t="str">
        <x:v>-6.00 até +4.00</x:v>
      </x:c>
      <x:c r="N401" s="24"/>
      <x:c r="O401" s="24"/>
      <x:c r="P401" s="24"/>
      <x:c r="Q401" s="24"/>
      <x:c r="R401" s="24"/>
      <x:c r="S401" s="26" t="n">
        <x:v>45992</x:v>
      </x:c>
      <x:c r="T401" s="26"/>
      <x:c r="U401" s="24" t="str">
        <x:v>ATIVA/SEM FIM INFORMADO</x:v>
      </x:c>
      <x:c r="V401" s="24"/>
      <x:c r="W401" s="24" t="n">
        <x:v>39</x:v>
      </x:c>
      <x:c r="X401" s="24" t="str">
        <x:v>tabela_hoya(1).pdf</x:v>
      </x:c>
      <x:c r="Y401" s="24" t="str">
        <x:v>alta</x:v>
      </x:c>
      <x:c r="Z401" s="24"/>
      <x:c r="AA401" s="24" t="str">
        <x:v>HOYA|Visão Simples Especial|Surfaçada|Nulux Sportive|INCOLOR|PNX|1.53|Hi-Vision LongLife BlueControl|-6.00 até +4.00||||||39</x:v>
      </x:c>
    </x:row>
    <x:row r="402">
      <x:c r="A402" s="24" t="str">
        <x:v>HY-F564DC20F46C</x:v>
      </x:c>
      <x:c r="B402" s="24" t="str">
        <x:v>SIM</x:v>
      </x:c>
      <x:c r="C402" s="24" t="str">
        <x:v>DISPONÍVEL</x:v>
      </x:c>
      <x:c r="D402" s="24" t="str">
        <x:v>HOYA</x:v>
      </x:c>
      <x:c r="E402" s="24" t="str">
        <x:v>Visão Simples Especial</x:v>
      </x:c>
      <x:c r="F402" s="24" t="str">
        <x:v>Surfaçada</x:v>
      </x:c>
      <x:c r="G402" s="24" t="str">
        <x:v>Nulux Sportive</x:v>
      </x:c>
      <x:c r="H402" s="24" t="str">
        <x:v>INCOLOR</x:v>
      </x:c>
      <x:c r="I402" s="24" t="str">
        <x:v>EYNOA</x:v>
      </x:c>
      <x:c r="J402" s="24" t="str">
        <x:v>1.67</x:v>
      </x:c>
      <x:c r="K402" s="24" t="str">
        <x:v>No-Risk BlueControl</x:v>
      </x:c>
      <x:c r="L402" s="40" t="n">
        <x:v>2649</x:v>
      </x:c>
      <x:c r="M402" s="24" t="str">
        <x:v>-5.00 até +4.00</x:v>
      </x:c>
      <x:c r="N402" s="24"/>
      <x:c r="O402" s="24"/>
      <x:c r="P402" s="24"/>
      <x:c r="Q402" s="24"/>
      <x:c r="R402" s="24"/>
      <x:c r="S402" s="26" t="n">
        <x:v>45992</x:v>
      </x:c>
      <x:c r="T402" s="26"/>
      <x:c r="U402" s="24" t="str">
        <x:v>ATIVA/SEM FIM INFORMADO</x:v>
      </x:c>
      <x:c r="V402" s="24"/>
      <x:c r="W402" s="24" t="n">
        <x:v>39</x:v>
      </x:c>
      <x:c r="X402" s="24" t="str">
        <x:v>tabela_hoya(1).pdf</x:v>
      </x:c>
      <x:c r="Y402" s="24" t="str">
        <x:v>alta</x:v>
      </x:c>
      <x:c r="Z402" s="24"/>
      <x:c r="AA402" s="24" t="str">
        <x:v>HOYA|Visão Simples Especial|Surfaçada|Nulux Sportive|INCOLOR|EYNOA|1.67|No-Risk BlueControl|-5.00 até +4.00||||||39</x:v>
      </x:c>
    </x:row>
    <x:row r="403">
      <x:c r="A403" s="24" t="str">
        <x:v>HY-C7E2FD62ACC3</x:v>
      </x:c>
      <x:c r="B403" s="24" t="str">
        <x:v>SIM</x:v>
      </x:c>
      <x:c r="C403" s="24" t="str">
        <x:v>DISPONÍVEL</x:v>
      </x:c>
      <x:c r="D403" s="24" t="str">
        <x:v>HOYA</x:v>
      </x:c>
      <x:c r="E403" s="24" t="str">
        <x:v>Visão Simples Especial</x:v>
      </x:c>
      <x:c r="F403" s="24" t="str">
        <x:v>Surfaçada</x:v>
      </x:c>
      <x:c r="G403" s="24" t="str">
        <x:v>Nulux Sportive</x:v>
      </x:c>
      <x:c r="H403" s="24" t="str">
        <x:v>INCOLOR</x:v>
      </x:c>
      <x:c r="I403" s="24" t="str">
        <x:v>EYAS 2.0</x:v>
      </x:c>
      <x:c r="J403" s="24" t="str">
        <x:v>1.60</x:v>
      </x:c>
      <x:c r="K403" s="24" t="str">
        <x:v>No-Risk BlueControl</x:v>
      </x:c>
      <x:c r="L403" s="40" t="n">
        <x:v>2189</x:v>
      </x:c>
      <x:c r="M403" s="24" t="str">
        <x:v>-6.00 até +4.00</x:v>
      </x:c>
      <x:c r="N403" s="24"/>
      <x:c r="O403" s="24"/>
      <x:c r="P403" s="24"/>
      <x:c r="Q403" s="24"/>
      <x:c r="R403" s="24"/>
      <x:c r="S403" s="26" t="n">
        <x:v>45992</x:v>
      </x:c>
      <x:c r="T403" s="26"/>
      <x:c r="U403" s="24" t="str">
        <x:v>ATIVA/SEM FIM INFORMADO</x:v>
      </x:c>
      <x:c r="V403" s="24"/>
      <x:c r="W403" s="24" t="n">
        <x:v>39</x:v>
      </x:c>
      <x:c r="X403" s="24" t="str">
        <x:v>tabela_hoya(1).pdf</x:v>
      </x:c>
      <x:c r="Y403" s="24" t="str">
        <x:v>alta</x:v>
      </x:c>
      <x:c r="Z403" s="24"/>
      <x:c r="AA403" s="24" t="str">
        <x:v>HOYA|Visão Simples Especial|Surfaçada|Nulux Sportive|INCOLOR|EYAS 2.0|1.60|No-Risk BlueControl|-6.00 até +4.00||||||39</x:v>
      </x:c>
    </x:row>
    <x:row r="404">
      <x:c r="A404" s="24" t="str">
        <x:v>HY-E09B03E7EB14</x:v>
      </x:c>
      <x:c r="B404" s="24" t="str">
        <x:v>SIM</x:v>
      </x:c>
      <x:c r="C404" s="24" t="str">
        <x:v>DISPONÍVEL</x:v>
      </x:c>
      <x:c r="D404" s="24" t="str">
        <x:v>HOYA</x:v>
      </x:c>
      <x:c r="E404" s="24" t="str">
        <x:v>Visão Simples Especial</x:v>
      </x:c>
      <x:c r="F404" s="24" t="str">
        <x:v>Surfaçada</x:v>
      </x:c>
      <x:c r="G404" s="24" t="str">
        <x:v>Nulux Sportive</x:v>
      </x:c>
      <x:c r="H404" s="24" t="str">
        <x:v>INCOLOR</x:v>
      </x:c>
      <x:c r="I404" s="24" t="str">
        <x:v>PNX</x:v>
      </x:c>
      <x:c r="J404" s="24" t="str">
        <x:v>1.53</x:v>
      </x:c>
      <x:c r="K404" s="24" t="str">
        <x:v>No-Risk BlueControl</x:v>
      </x:c>
      <x:c r="L404" s="40" t="n">
        <x:v>1839</x:v>
      </x:c>
      <x:c r="M404" s="24" t="str">
        <x:v>-6.00 até +4.00</x:v>
      </x:c>
      <x:c r="N404" s="24"/>
      <x:c r="O404" s="24"/>
      <x:c r="P404" s="24"/>
      <x:c r="Q404" s="24"/>
      <x:c r="R404" s="24"/>
      <x:c r="S404" s="26" t="n">
        <x:v>45992</x:v>
      </x:c>
      <x:c r="T404" s="26"/>
      <x:c r="U404" s="24" t="str">
        <x:v>ATIVA/SEM FIM INFORMADO</x:v>
      </x:c>
      <x:c r="V404" s="24"/>
      <x:c r="W404" s="24" t="n">
        <x:v>39</x:v>
      </x:c>
      <x:c r="X404" s="24" t="str">
        <x:v>tabela_hoya(1).pdf</x:v>
      </x:c>
      <x:c r="Y404" s="24" t="str">
        <x:v>alta</x:v>
      </x:c>
      <x:c r="Z404" s="24"/>
      <x:c r="AA404" s="24" t="str">
        <x:v>HOYA|Visão Simples Especial|Surfaçada|Nulux Sportive|INCOLOR|PNX|1.53|No-Risk BlueControl|-6.00 até +4.00||||||39</x:v>
      </x:c>
    </x:row>
    <x:row r="405">
      <x:c r="A405" s="24" t="str">
        <x:v>HY-C1B191F83292</x:v>
      </x:c>
      <x:c r="B405" s="24" t="str">
        <x:v>SIM</x:v>
      </x:c>
      <x:c r="C405" s="24" t="str">
        <x:v>DISPONÍVEL</x:v>
      </x:c>
      <x:c r="D405" s="24" t="str">
        <x:v>HOYA</x:v>
      </x:c>
      <x:c r="E405" s="24" t="str">
        <x:v>Visão Simples Especial</x:v>
      </x:c>
      <x:c r="F405" s="24" t="str">
        <x:v>Surfaçada</x:v>
      </x:c>
      <x:c r="G405" s="24" t="str">
        <x:v>Nulux Sportive</x:v>
      </x:c>
      <x:c r="H405" s="24" t="str">
        <x:v>INCOLOR</x:v>
      </x:c>
      <x:c r="I405" s="24" t="str">
        <x:v>EYNOA</x:v>
      </x:c>
      <x:c r="J405" s="24" t="str">
        <x:v>1.67</x:v>
      </x:c>
      <x:c r="K405" s="24" t="str">
        <x:v>Hi-Vision Hard</x:v>
      </x:c>
      <x:c r="L405" s="40" t="n">
        <x:v>2109</x:v>
      </x:c>
      <x:c r="M405" s="24" t="str">
        <x:v>-5.00 até +4.00</x:v>
      </x:c>
      <x:c r="N405" s="24"/>
      <x:c r="O405" s="24"/>
      <x:c r="P405" s="24"/>
      <x:c r="Q405" s="24"/>
      <x:c r="R405" s="24"/>
      <x:c r="S405" s="26" t="n">
        <x:v>45992</x:v>
      </x:c>
      <x:c r="T405" s="26"/>
      <x:c r="U405" s="24" t="str">
        <x:v>ATIVA/SEM FIM INFORMADO</x:v>
      </x:c>
      <x:c r="V405" s="24"/>
      <x:c r="W405" s="24" t="n">
        <x:v>39</x:v>
      </x:c>
      <x:c r="X405" s="24" t="str">
        <x:v>tabela_hoya(1).pdf</x:v>
      </x:c>
      <x:c r="Y405" s="24" t="str">
        <x:v>alta</x:v>
      </x:c>
      <x:c r="Z405" s="24"/>
      <x:c r="AA405" s="24" t="str">
        <x:v>HOYA|Visão Simples Especial|Surfaçada|Nulux Sportive|INCOLOR|EYNOA|1.67|Hi-Vision Hard|-5.00 até +4.00||||||39</x:v>
      </x:c>
    </x:row>
    <x:row r="406">
      <x:c r="A406" s="24" t="str">
        <x:v>HY-D518FA92B77C</x:v>
      </x:c>
      <x:c r="B406" s="24" t="str">
        <x:v>SIM</x:v>
      </x:c>
      <x:c r="C406" s="24" t="str">
        <x:v>DISPONÍVEL</x:v>
      </x:c>
      <x:c r="D406" s="24" t="str">
        <x:v>HOYA</x:v>
      </x:c>
      <x:c r="E406" s="24" t="str">
        <x:v>Visão Simples Especial</x:v>
      </x:c>
      <x:c r="F406" s="24" t="str">
        <x:v>Surfaçada</x:v>
      </x:c>
      <x:c r="G406" s="24" t="str">
        <x:v>Nulux Sportive</x:v>
      </x:c>
      <x:c r="H406" s="24" t="str">
        <x:v>INCOLOR</x:v>
      </x:c>
      <x:c r="I406" s="24" t="str">
        <x:v>EYAS 2.0</x:v>
      </x:c>
      <x:c r="J406" s="24" t="str">
        <x:v>1.60</x:v>
      </x:c>
      <x:c r="K406" s="24" t="str">
        <x:v>Hi-Vision Hard</x:v>
      </x:c>
      <x:c r="L406" s="40" t="n">
        <x:v>1649</x:v>
      </x:c>
      <x:c r="M406" s="24" t="str">
        <x:v>-6.00 até +4.00</x:v>
      </x:c>
      <x:c r="N406" s="24"/>
      <x:c r="O406" s="24"/>
      <x:c r="P406" s="24"/>
      <x:c r="Q406" s="24"/>
      <x:c r="R406" s="24"/>
      <x:c r="S406" s="26" t="n">
        <x:v>45992</x:v>
      </x:c>
      <x:c r="T406" s="26"/>
      <x:c r="U406" s="24" t="str">
        <x:v>ATIVA/SEM FIM INFORMADO</x:v>
      </x:c>
      <x:c r="V406" s="24"/>
      <x:c r="W406" s="24" t="n">
        <x:v>39</x:v>
      </x:c>
      <x:c r="X406" s="24" t="str">
        <x:v>tabela_hoya(1).pdf</x:v>
      </x:c>
      <x:c r="Y406" s="24" t="str">
        <x:v>alta</x:v>
      </x:c>
      <x:c r="Z406" s="24"/>
      <x:c r="AA406" s="24" t="str">
        <x:v>HOYA|Visão Simples Especial|Surfaçada|Nulux Sportive|INCOLOR|EYAS 2.0|1.60|Hi-Vision Hard|-6.00 até +4.00||||||39</x:v>
      </x:c>
    </x:row>
    <x:row r="407">
      <x:c r="A407" s="24" t="str">
        <x:v>HY-36C508669C4E</x:v>
      </x:c>
      <x:c r="B407" s="24" t="str">
        <x:v>SIM</x:v>
      </x:c>
      <x:c r="C407" s="24" t="str">
        <x:v>DISPONÍVEL</x:v>
      </x:c>
      <x:c r="D407" s="24" t="str">
        <x:v>HOYA</x:v>
      </x:c>
      <x:c r="E407" s="24" t="str">
        <x:v>Visão Simples Especial</x:v>
      </x:c>
      <x:c r="F407" s="24" t="str">
        <x:v>Surfaçada</x:v>
      </x:c>
      <x:c r="G407" s="24" t="str">
        <x:v>Nulux Sportive</x:v>
      </x:c>
      <x:c r="H407" s="24" t="str">
        <x:v>INCOLOR</x:v>
      </x:c>
      <x:c r="I407" s="24" t="str">
        <x:v>PNX</x:v>
      </x:c>
      <x:c r="J407" s="24" t="str">
        <x:v>1.53</x:v>
      </x:c>
      <x:c r="K407" s="24" t="str">
        <x:v>Hi-Vision Hard</x:v>
      </x:c>
      <x:c r="L407" s="40" t="n">
        <x:v>1299</x:v>
      </x:c>
      <x:c r="M407" s="24" t="str">
        <x:v>-6.00 até +4.00</x:v>
      </x:c>
      <x:c r="N407" s="24"/>
      <x:c r="O407" s="24"/>
      <x:c r="P407" s="24"/>
      <x:c r="Q407" s="24"/>
      <x:c r="R407" s="24"/>
      <x:c r="S407" s="26" t="n">
        <x:v>45992</x:v>
      </x:c>
      <x:c r="T407" s="26"/>
      <x:c r="U407" s="24" t="str">
        <x:v>ATIVA/SEM FIM INFORMADO</x:v>
      </x:c>
      <x:c r="V407" s="24"/>
      <x:c r="W407" s="24" t="n">
        <x:v>39</x:v>
      </x:c>
      <x:c r="X407" s="24" t="str">
        <x:v>tabela_hoya(1).pdf</x:v>
      </x:c>
      <x:c r="Y407" s="24" t="str">
        <x:v>alta</x:v>
      </x:c>
      <x:c r="Z407" s="24"/>
      <x:c r="AA407" s="24" t="str">
        <x:v>HOYA|Visão Simples Especial|Surfaçada|Nulux Sportive|INCOLOR|PNX|1.53|Hi-Vision Hard|-6.00 até +4.00||||||39</x:v>
      </x:c>
    </x:row>
    <x:row r="408">
      <x:c r="A408" s="24" t="str">
        <x:v>HY-4746E6563E8A</x:v>
      </x:c>
      <x:c r="B408" s="24" t="str">
        <x:v>SIM</x:v>
      </x:c>
      <x:c r="C408" s="24" t="str">
        <x:v>DISPONÍVEL</x:v>
      </x:c>
      <x:c r="D408" s="24" t="str">
        <x:v>HOYA</x:v>
      </x:c>
      <x:c r="E408" s="24" t="str">
        <x:v>Visão Simples Especial</x:v>
      </x:c>
      <x:c r="F408" s="24" t="str">
        <x:v>Surfaçada</x:v>
      </x:c>
      <x:c r="G408" s="24" t="str">
        <x:v>Nulux Sportive</x:v>
      </x:c>
      <x:c r="H408" s="24" t="str">
        <x:v>COLORIDAS</x:v>
      </x:c>
      <x:c r="I408" s="24" t="str">
        <x:v>EYNOA</x:v>
      </x:c>
      <x:c r="J408" s="24" t="str">
        <x:v>1.67</x:v>
      </x:c>
      <x:c r="K408" s="24" t="str">
        <x:v>Hi-Vision Sun Pro</x:v>
      </x:c>
      <x:c r="L408" s="40" t="n">
        <x:v>2939</x:v>
      </x:c>
      <x:c r="M408" s="24" t="str">
        <x:v>-5.00 até +4.00</x:v>
      </x:c>
      <x:c r="N408" s="24"/>
      <x:c r="O408" s="24"/>
      <x:c r="P408" s="24"/>
      <x:c r="Q408" s="24"/>
      <x:c r="R408" s="24"/>
      <x:c r="S408" s="26" t="n">
        <x:v>45992</x:v>
      </x:c>
      <x:c r="T408" s="26"/>
      <x:c r="U408" s="24" t="str">
        <x:v>ATIVA/SEM FIM INFORMADO</x:v>
      </x:c>
      <x:c r="V408" s="24"/>
      <x:c r="W408" s="24" t="n">
        <x:v>39</x:v>
      </x:c>
      <x:c r="X408" s="24" t="str">
        <x:v>tabela_hoya(1).pdf</x:v>
      </x:c>
      <x:c r="Y408" s="24" t="str">
        <x:v>alta</x:v>
      </x:c>
      <x:c r="Z408" s="24"/>
      <x:c r="AA408" s="24" t="str">
        <x:v>HOYA|Visão Simples Especial|Surfaçada|Nulux Sportive|COLORIDAS|EYNOA|1.67|Hi-Vision Sun Pro|-5.00 até +4.00||||||39</x:v>
      </x:c>
    </x:row>
    <x:row r="409">
      <x:c r="A409" s="24" t="str">
        <x:v>HY-C646888939B4</x:v>
      </x:c>
      <x:c r="B409" s="24" t="str">
        <x:v>SIM</x:v>
      </x:c>
      <x:c r="C409" s="24" t="str">
        <x:v>DISPONÍVEL</x:v>
      </x:c>
      <x:c r="D409" s="24" t="str">
        <x:v>HOYA</x:v>
      </x:c>
      <x:c r="E409" s="24" t="str">
        <x:v>Visão Simples Especial</x:v>
      </x:c>
      <x:c r="F409" s="24" t="str">
        <x:v>Surfaçada</x:v>
      </x:c>
      <x:c r="G409" s="24" t="str">
        <x:v>Nulux Sportive</x:v>
      </x:c>
      <x:c r="H409" s="24" t="str">
        <x:v>COLORIDAS</x:v>
      </x:c>
      <x:c r="I409" s="24" t="str">
        <x:v>EYAS 2.0</x:v>
      </x:c>
      <x:c r="J409" s="24" t="str">
        <x:v>1.60</x:v>
      </x:c>
      <x:c r="K409" s="24" t="str">
        <x:v>Hi-Vision Sun Pro</x:v>
      </x:c>
      <x:c r="L409" s="40" t="n">
        <x:v>2479</x:v>
      </x:c>
      <x:c r="M409" s="24" t="str">
        <x:v>-6.00 até +4.00</x:v>
      </x:c>
      <x:c r="N409" s="24"/>
      <x:c r="O409" s="24"/>
      <x:c r="P409" s="24"/>
      <x:c r="Q409" s="24"/>
      <x:c r="R409" s="24"/>
      <x:c r="S409" s="26" t="n">
        <x:v>45992</x:v>
      </x:c>
      <x:c r="T409" s="26"/>
      <x:c r="U409" s="24" t="str">
        <x:v>ATIVA/SEM FIM INFORMADO</x:v>
      </x:c>
      <x:c r="V409" s="24"/>
      <x:c r="W409" s="24" t="n">
        <x:v>39</x:v>
      </x:c>
      <x:c r="X409" s="24" t="str">
        <x:v>tabela_hoya(1).pdf</x:v>
      </x:c>
      <x:c r="Y409" s="24" t="str">
        <x:v>alta</x:v>
      </x:c>
      <x:c r="Z409" s="24"/>
      <x:c r="AA409" s="24" t="str">
        <x:v>HOYA|Visão Simples Especial|Surfaçada|Nulux Sportive|COLORIDAS|EYAS 2.0|1.60|Hi-Vision Sun Pro|-6.00 até +4.00||||||39</x:v>
      </x:c>
    </x:row>
    <x:row r="410">
      <x:c r="A410" s="24" t="str">
        <x:v>HY-2889F6D963F9</x:v>
      </x:c>
      <x:c r="B410" s="24" t="str">
        <x:v>SIM</x:v>
      </x:c>
      <x:c r="C410" s="24" t="str">
        <x:v>DISPONÍVEL</x:v>
      </x:c>
      <x:c r="D410" s="24" t="str">
        <x:v>HOYA</x:v>
      </x:c>
      <x:c r="E410" s="24" t="str">
        <x:v>Visão Simples Especial</x:v>
      </x:c>
      <x:c r="F410" s="24" t="str">
        <x:v>Surfaçada</x:v>
      </x:c>
      <x:c r="G410" s="24" t="str">
        <x:v>Nulux Sportive</x:v>
      </x:c>
      <x:c r="H410" s="24" t="str">
        <x:v>COLORIDAS</x:v>
      </x:c>
      <x:c r="I410" s="24" t="str">
        <x:v>PNX</x:v>
      </x:c>
      <x:c r="J410" s="24" t="str">
        <x:v>1.53</x:v>
      </x:c>
      <x:c r="K410" s="24" t="str">
        <x:v>Hi-Vision Sun Pro</x:v>
      </x:c>
      <x:c r="L410" s="40" t="n">
        <x:v>2129</x:v>
      </x:c>
      <x:c r="M410" s="24" t="str">
        <x:v>-6.00 até +4.00</x:v>
      </x:c>
      <x:c r="N410" s="24"/>
      <x:c r="O410" s="24"/>
      <x:c r="P410" s="24"/>
      <x:c r="Q410" s="24"/>
      <x:c r="R410" s="24"/>
      <x:c r="S410" s="26" t="n">
        <x:v>45992</x:v>
      </x:c>
      <x:c r="T410" s="26"/>
      <x:c r="U410" s="24" t="str">
        <x:v>ATIVA/SEM FIM INFORMADO</x:v>
      </x:c>
      <x:c r="V410" s="24"/>
      <x:c r="W410" s="24" t="n">
        <x:v>39</x:v>
      </x:c>
      <x:c r="X410" s="24" t="str">
        <x:v>tabela_hoya(1).pdf</x:v>
      </x:c>
      <x:c r="Y410" s="24" t="str">
        <x:v>alta</x:v>
      </x:c>
      <x:c r="Z410" s="24"/>
      <x:c r="AA410" s="24" t="str">
        <x:v>HOYA|Visão Simples Especial|Surfaçada|Nulux Sportive|COLORIDAS|PNX|1.53|Hi-Vision Sun Pro|-6.00 até +4.00||||||39</x:v>
      </x:c>
    </x:row>
    <x:row r="411">
      <x:c r="A411" s="24" t="str">
        <x:v>HY-539797541747</x:v>
      </x:c>
      <x:c r="B411" s="24" t="str">
        <x:v>SIM</x:v>
      </x:c>
      <x:c r="C411" s="24" t="str">
        <x:v>DISPONÍVEL</x:v>
      </x:c>
      <x:c r="D411" s="24" t="str">
        <x:v>HOYA</x:v>
      </x:c>
      <x:c r="E411" s="24" t="str">
        <x:v>Visão Simples Especial</x:v>
      </x:c>
      <x:c r="F411" s="24" t="str">
        <x:v>Surfaçada</x:v>
      </x:c>
      <x:c r="G411" s="24" t="str">
        <x:v>Nulux Sportive</x:v>
      </x:c>
      <x:c r="H411" s="24" t="str">
        <x:v>POLARIZADO</x:v>
      </x:c>
      <x:c r="I411" s="24" t="str">
        <x:v>EYNOA</x:v>
      </x:c>
      <x:c r="J411" s="24" t="str">
        <x:v>1.67</x:v>
      </x:c>
      <x:c r="K411" s="24" t="str">
        <x:v>Hi-Vision Sun Pro</x:v>
      </x:c>
      <x:c r="L411" s="40" t="n">
        <x:v>3799</x:v>
      </x:c>
      <x:c r="M411" s="24" t="str">
        <x:v>-5.00 até +4.00</x:v>
      </x:c>
      <x:c r="N411" s="24"/>
      <x:c r="O411" s="24"/>
      <x:c r="P411" s="24"/>
      <x:c r="Q411" s="24"/>
      <x:c r="R411" s="24"/>
      <x:c r="S411" s="26" t="n">
        <x:v>45992</x:v>
      </x:c>
      <x:c r="T411" s="26"/>
      <x:c r="U411" s="24" t="str">
        <x:v>ATIVA/SEM FIM INFORMADO</x:v>
      </x:c>
      <x:c r="V411" s="24"/>
      <x:c r="W411" s="24" t="n">
        <x:v>39</x:v>
      </x:c>
      <x:c r="X411" s="24" t="str">
        <x:v>tabela_hoya(1).pdf</x:v>
      </x:c>
      <x:c r="Y411" s="24" t="str">
        <x:v>alta</x:v>
      </x:c>
      <x:c r="Z411" s="24"/>
      <x:c r="AA411" s="24" t="str">
        <x:v>HOYA|Visão Simples Especial|Surfaçada|Nulux Sportive|POLARIZADO|EYNOA|1.67|Hi-Vision Sun Pro|-5.00 até +4.00||||||39</x:v>
      </x:c>
    </x:row>
    <x:row r="412">
      <x:c r="A412" s="24" t="str">
        <x:v>HY-8A6609175F71</x:v>
      </x:c>
      <x:c r="B412" s="24" t="str">
        <x:v>SIM</x:v>
      </x:c>
      <x:c r="C412" s="24" t="str">
        <x:v>DISPONÍVEL</x:v>
      </x:c>
      <x:c r="D412" s="24" t="str">
        <x:v>HOYA</x:v>
      </x:c>
      <x:c r="E412" s="24" t="str">
        <x:v>Visão Simples Especial</x:v>
      </x:c>
      <x:c r="F412" s="24" t="str">
        <x:v>Surfaçada</x:v>
      </x:c>
      <x:c r="G412" s="24" t="str">
        <x:v>Nulux Sportive</x:v>
      </x:c>
      <x:c r="H412" s="24" t="str">
        <x:v>POLARIZADO</x:v>
      </x:c>
      <x:c r="I412" s="24" t="str">
        <x:v>PNX</x:v>
      </x:c>
      <x:c r="J412" s="24" t="str">
        <x:v>1.53</x:v>
      </x:c>
      <x:c r="K412" s="24" t="str">
        <x:v>Hi-Vision Sun Pro</x:v>
      </x:c>
      <x:c r="L412" s="40" t="n">
        <x:v>2989</x:v>
      </x:c>
      <x:c r="M412" s="24" t="str">
        <x:v>-6.00 até +4.00</x:v>
      </x:c>
      <x:c r="N412" s="24"/>
      <x:c r="O412" s="24"/>
      <x:c r="P412" s="24"/>
      <x:c r="Q412" s="24"/>
      <x:c r="R412" s="24"/>
      <x:c r="S412" s="26" t="n">
        <x:v>45992</x:v>
      </x:c>
      <x:c r="T412" s="26"/>
      <x:c r="U412" s="24" t="str">
        <x:v>ATIVA/SEM FIM INFORMADO</x:v>
      </x:c>
      <x:c r="V412" s="24"/>
      <x:c r="W412" s="24" t="n">
        <x:v>39</x:v>
      </x:c>
      <x:c r="X412" s="24" t="str">
        <x:v>tabela_hoya(1).pdf</x:v>
      </x:c>
      <x:c r="Y412" s="24" t="str">
        <x:v>alta</x:v>
      </x:c>
      <x:c r="Z412" s="24"/>
      <x:c r="AA412" s="24" t="str">
        <x:v>HOYA|Visão Simples Especial|Surfaçada|Nulux Sportive|POLARIZADO|PNX|1.53|Hi-Vision Sun Pro|-6.00 até +4.00||||||39</x:v>
      </x:c>
    </x:row>
    <x:row r="413">
      <x:c r="A413" s="24" t="str">
        <x:v>HY-6B2AEED26238</x:v>
      </x:c>
      <x:c r="B413" s="24" t="str">
        <x:v>SIM</x:v>
      </x:c>
      <x:c r="C413" s="24" t="str">
        <x:v>DISPONÍVEL</x:v>
      </x:c>
      <x:c r="D413" s="24" t="str">
        <x:v>HOYA</x:v>
      </x:c>
      <x:c r="E413" s="24" t="str">
        <x:v>Visão Simples Especial</x:v>
      </x:c>
      <x:c r="F413" s="24" t="str">
        <x:v>Surfaçada</x:v>
      </x:c>
      <x:c r="G413" s="24" t="str">
        <x:v>Nulux Sportive</x:v>
      </x:c>
      <x:c r="H413" s="24" t="str">
        <x:v>SENSITY 2</x:v>
      </x:c>
      <x:c r="I413" s="24" t="str">
        <x:v>EYAS 2.0</x:v>
      </x:c>
      <x:c r="J413" s="24" t="str">
        <x:v>1.60</x:v>
      </x:c>
      <x:c r="K413" s="24" t="str">
        <x:v>Hi-Vision LongLife BlueControl</x:v>
      </x:c>
      <x:c r="L413" s="40" t="n">
        <x:v>3439</x:v>
      </x:c>
      <x:c r="M413" s="24" t="str">
        <x:v>-6.00 até +4.00</x:v>
      </x:c>
      <x:c r="N413" s="24"/>
      <x:c r="O413" s="24"/>
      <x:c r="P413" s="24"/>
      <x:c r="Q413" s="24"/>
      <x:c r="R413" s="24"/>
      <x:c r="S413" s="26" t="n">
        <x:v>45992</x:v>
      </x:c>
      <x:c r="T413" s="26"/>
      <x:c r="U413" s="24" t="str">
        <x:v>ATIVA/SEM FIM INFORMADO</x:v>
      </x:c>
      <x:c r="V413" s="24"/>
      <x:c r="W413" s="24" t="n">
        <x:v>39</x:v>
      </x:c>
      <x:c r="X413" s="24" t="str">
        <x:v>tabela_hoya(1).pdf</x:v>
      </x:c>
      <x:c r="Y413" s="24" t="str">
        <x:v>alta</x:v>
      </x:c>
      <x:c r="Z413" s="24"/>
      <x:c r="AA413" s="24" t="str">
        <x:v>HOYA|Visão Simples Especial|Surfaçada|Nulux Sportive|SENSITY 2|EYAS 2.0|1.60|Hi-Vision LongLife BlueControl|-6.00 até +4.00||||||39</x:v>
      </x:c>
    </x:row>
    <x:row r="414">
      <x:c r="A414" s="24" t="str">
        <x:v>HY-C84BDE39E087</x:v>
      </x:c>
      <x:c r="B414" s="24" t="str">
        <x:v>SIM</x:v>
      </x:c>
      <x:c r="C414" s="24" t="str">
        <x:v>DISPONÍVEL</x:v>
      </x:c>
      <x:c r="D414" s="24" t="str">
        <x:v>HOYA</x:v>
      </x:c>
      <x:c r="E414" s="24" t="str">
        <x:v>Visão Simples Especial</x:v>
      </x:c>
      <x:c r="F414" s="24" t="str">
        <x:v>Surfaçada</x:v>
      </x:c>
      <x:c r="G414" s="24" t="str">
        <x:v>Nulux Sportive</x:v>
      </x:c>
      <x:c r="H414" s="24" t="str">
        <x:v>SENSITY 2</x:v>
      </x:c>
      <x:c r="I414" s="24" t="str">
        <x:v>PNX</x:v>
      </x:c>
      <x:c r="J414" s="24" t="str">
        <x:v>1.53</x:v>
      </x:c>
      <x:c r="K414" s="24" t="str">
        <x:v>Hi-Vision LongLife BlueControl</x:v>
      </x:c>
      <x:c r="L414" s="40" t="n">
        <x:v>3089</x:v>
      </x:c>
      <x:c r="M414" s="24" t="str">
        <x:v>-6.00 até +4.00</x:v>
      </x:c>
      <x:c r="N414" s="24"/>
      <x:c r="O414" s="24"/>
      <x:c r="P414" s="24"/>
      <x:c r="Q414" s="24"/>
      <x:c r="R414" s="24"/>
      <x:c r="S414" s="26" t="n">
        <x:v>45992</x:v>
      </x:c>
      <x:c r="T414" s="26"/>
      <x:c r="U414" s="24" t="str">
        <x:v>ATIVA/SEM FIM INFORMADO</x:v>
      </x:c>
      <x:c r="V414" s="24"/>
      <x:c r="W414" s="24" t="n">
        <x:v>39</x:v>
      </x:c>
      <x:c r="X414" s="24" t="str">
        <x:v>tabela_hoya(1).pdf</x:v>
      </x:c>
      <x:c r="Y414" s="24" t="str">
        <x:v>alta</x:v>
      </x:c>
      <x:c r="Z414" s="24"/>
      <x:c r="AA414" s="24" t="str">
        <x:v>HOYA|Visão Simples Especial|Surfaçada|Nulux Sportive|SENSITY 2|PNX|1.53|Hi-Vision LongLife BlueControl|-6.00 até +4.00||||||39</x:v>
      </x:c>
    </x:row>
    <x:row r="415">
      <x:c r="A415" s="24" t="str">
        <x:v>HY-A5FFAC8FB77E</x:v>
      </x:c>
      <x:c r="B415" s="24" t="str">
        <x:v>SIM</x:v>
      </x:c>
      <x:c r="C415" s="24" t="str">
        <x:v>DISPONÍVEL</x:v>
      </x:c>
      <x:c r="D415" s="24" t="str">
        <x:v>HOYA</x:v>
      </x:c>
      <x:c r="E415" s="24" t="str">
        <x:v>Visão Simples Especial</x:v>
      </x:c>
      <x:c r="F415" s="24" t="str">
        <x:v>Surfaçada</x:v>
      </x:c>
      <x:c r="G415" s="24" t="str">
        <x:v>Nulux Sportive</x:v>
      </x:c>
      <x:c r="H415" s="24" t="str">
        <x:v>SENSITY 2</x:v>
      </x:c>
      <x:c r="I415" s="24" t="str">
        <x:v>EYAS 2.0</x:v>
      </x:c>
      <x:c r="J415" s="24" t="str">
        <x:v>1.60</x:v>
      </x:c>
      <x:c r="K415" s="24" t="str">
        <x:v>No-Risk BlueControl</x:v>
      </x:c>
      <x:c r="L415" s="40" t="n">
        <x:v>3189</x:v>
      </x:c>
      <x:c r="M415" s="24" t="str">
        <x:v>-6.00 até +4.00</x:v>
      </x:c>
      <x:c r="N415" s="24"/>
      <x:c r="O415" s="24"/>
      <x:c r="P415" s="24"/>
      <x:c r="Q415" s="24"/>
      <x:c r="R415" s="24"/>
      <x:c r="S415" s="26" t="n">
        <x:v>45992</x:v>
      </x:c>
      <x:c r="T415" s="26"/>
      <x:c r="U415" s="24" t="str">
        <x:v>ATIVA/SEM FIM INFORMADO</x:v>
      </x:c>
      <x:c r="V415" s="24"/>
      <x:c r="W415" s="24" t="n">
        <x:v>39</x:v>
      </x:c>
      <x:c r="X415" s="24" t="str">
        <x:v>tabela_hoya(1).pdf</x:v>
      </x:c>
      <x:c r="Y415" s="24" t="str">
        <x:v>alta</x:v>
      </x:c>
      <x:c r="Z415" s="24"/>
      <x:c r="AA415" s="24" t="str">
        <x:v>HOYA|Visão Simples Especial|Surfaçada|Nulux Sportive|SENSITY 2|EYAS 2.0|1.60|No-Risk BlueControl|-6.00 até +4.00||||||39</x:v>
      </x:c>
    </x:row>
    <x:row r="416">
      <x:c r="A416" s="24" t="str">
        <x:v>HY-4D142681B9E4</x:v>
      </x:c>
      <x:c r="B416" s="24" t="str">
        <x:v>SIM</x:v>
      </x:c>
      <x:c r="C416" s="24" t="str">
        <x:v>DISPONÍVEL</x:v>
      </x:c>
      <x:c r="D416" s="24" t="str">
        <x:v>HOYA</x:v>
      </x:c>
      <x:c r="E416" s="24" t="str">
        <x:v>Visão Simples Especial</x:v>
      </x:c>
      <x:c r="F416" s="24" t="str">
        <x:v>Surfaçada</x:v>
      </x:c>
      <x:c r="G416" s="24" t="str">
        <x:v>Nulux Sportive</x:v>
      </x:c>
      <x:c r="H416" s="24" t="str">
        <x:v>SENSITY 2</x:v>
      </x:c>
      <x:c r="I416" s="24" t="str">
        <x:v>PNX</x:v>
      </x:c>
      <x:c r="J416" s="24" t="str">
        <x:v>1.53</x:v>
      </x:c>
      <x:c r="K416" s="24" t="str">
        <x:v>No-Risk BlueControl</x:v>
      </x:c>
      <x:c r="L416" s="40" t="n">
        <x:v>2839</x:v>
      </x:c>
      <x:c r="M416" s="24" t="str">
        <x:v>-6.00 até +4.00</x:v>
      </x:c>
      <x:c r="N416" s="24"/>
      <x:c r="O416" s="24"/>
      <x:c r="P416" s="24"/>
      <x:c r="Q416" s="24"/>
      <x:c r="R416" s="24"/>
      <x:c r="S416" s="26" t="n">
        <x:v>45992</x:v>
      </x:c>
      <x:c r="T416" s="26"/>
      <x:c r="U416" s="24" t="str">
        <x:v>ATIVA/SEM FIM INFORMADO</x:v>
      </x:c>
      <x:c r="V416" s="24"/>
      <x:c r="W416" s="24" t="n">
        <x:v>39</x:v>
      </x:c>
      <x:c r="X416" s="24" t="str">
        <x:v>tabela_hoya(1).pdf</x:v>
      </x:c>
      <x:c r="Y416" s="24" t="str">
        <x:v>alta</x:v>
      </x:c>
      <x:c r="Z416" s="24"/>
      <x:c r="AA416" s="24" t="str">
        <x:v>HOYA|Visão Simples Especial|Surfaçada|Nulux Sportive|SENSITY 2|PNX|1.53|No-Risk BlueControl|-6.00 até +4.00||||||39</x:v>
      </x:c>
    </x:row>
    <x:row r="417">
      <x:c r="A417" s="24" t="str">
        <x:v>HY-44E36AFE8ECB</x:v>
      </x:c>
      <x:c r="B417" s="24" t="str">
        <x:v>SIM</x:v>
      </x:c>
      <x:c r="C417" s="24" t="str">
        <x:v>DISPONÍVEL</x:v>
      </x:c>
      <x:c r="D417" s="24" t="str">
        <x:v>HOYA</x:v>
      </x:c>
      <x:c r="E417" s="24" t="str">
        <x:v>Visão Simples Especial</x:v>
      </x:c>
      <x:c r="F417" s="24" t="str">
        <x:v>Surfaçada</x:v>
      </x:c>
      <x:c r="G417" s="24" t="str">
        <x:v>Nulux Sportive</x:v>
      </x:c>
      <x:c r="H417" s="24" t="str">
        <x:v>SENSITY 2</x:v>
      </x:c>
      <x:c r="I417" s="24" t="str">
        <x:v>EYAS 2.0</x:v>
      </x:c>
      <x:c r="J417" s="24" t="str">
        <x:v>1.60</x:v>
      </x:c>
      <x:c r="K417" s="24" t="str">
        <x:v>Hi-Vision Hard</x:v>
      </x:c>
      <x:c r="L417" s="40" t="n">
        <x:v>2649</x:v>
      </x:c>
      <x:c r="M417" s="24" t="str">
        <x:v>-6.00 até +4.00</x:v>
      </x:c>
      <x:c r="N417" s="24"/>
      <x:c r="O417" s="24"/>
      <x:c r="P417" s="24"/>
      <x:c r="Q417" s="24"/>
      <x:c r="R417" s="24"/>
      <x:c r="S417" s="26" t="n">
        <x:v>45992</x:v>
      </x:c>
      <x:c r="T417" s="26"/>
      <x:c r="U417" s="24" t="str">
        <x:v>ATIVA/SEM FIM INFORMADO</x:v>
      </x:c>
      <x:c r="V417" s="24"/>
      <x:c r="W417" s="24" t="n">
        <x:v>39</x:v>
      </x:c>
      <x:c r="X417" s="24" t="str">
        <x:v>tabela_hoya(1).pdf</x:v>
      </x:c>
      <x:c r="Y417" s="24" t="str">
        <x:v>alta</x:v>
      </x:c>
      <x:c r="Z417" s="24"/>
      <x:c r="AA417" s="24" t="str">
        <x:v>HOYA|Visão Simples Especial|Surfaçada|Nulux Sportive|SENSITY 2|EYAS 2.0|1.60|Hi-Vision Hard|-6.00 até +4.00||||||39</x:v>
      </x:c>
    </x:row>
    <x:row r="418">
      <x:c r="A418" s="24" t="str">
        <x:v>HY-08EC6FEAB9E0</x:v>
      </x:c>
      <x:c r="B418" s="24" t="str">
        <x:v>SIM</x:v>
      </x:c>
      <x:c r="C418" s="24" t="str">
        <x:v>DISPONÍVEL</x:v>
      </x:c>
      <x:c r="D418" s="24" t="str">
        <x:v>HOYA</x:v>
      </x:c>
      <x:c r="E418" s="24" t="str">
        <x:v>Visão Simples Especial</x:v>
      </x:c>
      <x:c r="F418" s="24" t="str">
        <x:v>Surfaçada</x:v>
      </x:c>
      <x:c r="G418" s="24" t="str">
        <x:v>Nulux Sportive</x:v>
      </x:c>
      <x:c r="H418" s="24" t="str">
        <x:v>SENSITY 2</x:v>
      </x:c>
      <x:c r="I418" s="24" t="str">
        <x:v>PNX</x:v>
      </x:c>
      <x:c r="J418" s="24" t="str">
        <x:v>1.53</x:v>
      </x:c>
      <x:c r="K418" s="24" t="str">
        <x:v>Hi-Vision Hard</x:v>
      </x:c>
      <x:c r="L418" s="40" t="n">
        <x:v>2299</x:v>
      </x:c>
      <x:c r="M418" s="24" t="str">
        <x:v>-6.00 até +4.00</x:v>
      </x:c>
      <x:c r="N418" s="24"/>
      <x:c r="O418" s="24"/>
      <x:c r="P418" s="24"/>
      <x:c r="Q418" s="24"/>
      <x:c r="R418" s="24"/>
      <x:c r="S418" s="26" t="n">
        <x:v>45992</x:v>
      </x:c>
      <x:c r="T418" s="26"/>
      <x:c r="U418" s="24" t="str">
        <x:v>ATIVA/SEM FIM INFORMADO</x:v>
      </x:c>
      <x:c r="V418" s="24"/>
      <x:c r="W418" s="24" t="n">
        <x:v>39</x:v>
      </x:c>
      <x:c r="X418" s="24" t="str">
        <x:v>tabela_hoya(1).pdf</x:v>
      </x:c>
      <x:c r="Y418" s="24" t="str">
        <x:v>alta</x:v>
      </x:c>
      <x:c r="Z418" s="24"/>
      <x:c r="AA418" s="24" t="str">
        <x:v>HOYA|Visão Simples Especial|Surfaçada|Nulux Sportive|SENSITY 2|PNX|1.53|Hi-Vision Hard|-6.00 até +4.00||||||39</x:v>
      </x:c>
    </x:row>
    <x:row r="419">
      <x:c r="A419" s="24" t="str">
        <x:v>HY-7D2AC080E5C8</x:v>
      </x:c>
      <x:c r="B419" s="24" t="str">
        <x:v>SIM</x:v>
      </x:c>
      <x:c r="C419" s="24" t="str">
        <x:v>DISPONÍVEL</x:v>
      </x:c>
      <x:c r="D419" s="24" t="str">
        <x:v>HOYA</x:v>
      </x:c>
      <x:c r="E419" s="24" t="str">
        <x:v>Controle de Miopia</x:v>
      </x:c>
      <x:c r="F419" s="24" t="str">
        <x:v>Pronta</x:v>
      </x:c>
      <x:c r="G419" s="24" t="str">
        <x:v>MiYOSMART</x:v>
      </x:c>
      <x:c r="H419" s="24" t="str">
        <x:v>INCOLOR</x:v>
      </x:c>
      <x:c r="I419" s="24"/>
      <x:c r="J419" s="24"/>
      <x:c r="K419" s="24" t="str">
        <x:v>Antirreflexo MiYOSMART</x:v>
      </x:c>
      <x:c r="L419" s="40" t="n">
        <x:v>2099</x:v>
      </x:c>
      <x:c r="M419" s="24" t="str">
        <x:v>-6.00 até 0.00</x:v>
      </x:c>
      <x:c r="N419" s="24" t="str">
        <x:v>até -2.00</x:v>
      </x:c>
      <x:c r="O419" s="24"/>
      <x:c r="P419" s="24" t="str">
        <x:v>até 73mm</x:v>
      </x:c>
      <x:c r="Q419" s="24"/>
      <x:c r="R419" s="24"/>
      <x:c r="S419" s="26" t="n">
        <x:v>45992</x:v>
      </x:c>
      <x:c r="T419" s="26"/>
      <x:c r="U419" s="24" t="str">
        <x:v>ATIVA/SEM FIM INFORMADO</x:v>
      </x:c>
      <x:c r="V419" s="24"/>
      <x:c r="W419" s="24" t="n">
        <x:v>9</x:v>
      </x:c>
      <x:c r="X419" s="24" t="str">
        <x:v>tabela_hoya(1).pdf</x:v>
      </x:c>
      <x:c r="Y419" s="24" t="str">
        <x:v>alta</x:v>
      </x:c>
      <x:c r="Z419" s="24"/>
      <x:c r="AA419" s="24" t="str">
        <x:v>HOYA|Controle de Miopia|Pronta|MiYOSMART|INCOLOR|||Antirreflexo MiYOSMART|-6.00 até 0.00|até -2.00||até 73mm|||9</x:v>
      </x:c>
    </x:row>
    <x:row r="420">
      <x:c r="A420" s="24" t="str">
        <x:v>HY-60E8F8890580</x:v>
      </x:c>
      <x:c r="B420" s="24" t="str">
        <x:v>SIM</x:v>
      </x:c>
      <x:c r="C420" s="24" t="str">
        <x:v>DISPONÍVEL</x:v>
      </x:c>
      <x:c r="D420" s="24" t="str">
        <x:v>HOYA</x:v>
      </x:c>
      <x:c r="E420" s="24" t="str">
        <x:v>Controle de Miopia</x:v>
      </x:c>
      <x:c r="F420" s="24" t="str">
        <x:v>Surfaçada</x:v>
      </x:c>
      <x:c r="G420" s="24" t="str">
        <x:v>MiYOSMART</x:v>
      </x:c>
      <x:c r="H420" s="24" t="str">
        <x:v>Clear</x:v>
      </x:c>
      <x:c r="I420" s="24"/>
      <x:c r="J420" s="24"/>
      <x:c r="K420" s="24" t="str">
        <x:v>Antirreflexo MiYOSMART</x:v>
      </x:c>
      <x:c r="L420" s="40" t="n">
        <x:v>2099</x:v>
      </x:c>
      <x:c r="M420" s="24" t="str">
        <x:v>-13.00 até 0.00</x:v>
      </x:c>
      <x:c r="N420" s="24" t="str">
        <x:v>até -4.00</x:v>
      </x:c>
      <x:c r="O420" s="24"/>
      <x:c r="P420" s="24" t="str">
        <x:v>60 até 75mm</x:v>
      </x:c>
      <x:c r="Q420" s="24"/>
      <x:c r="R420" s="24"/>
      <x:c r="S420" s="26" t="n">
        <x:v>45992</x:v>
      </x:c>
      <x:c r="T420" s="26"/>
      <x:c r="U420" s="24" t="str">
        <x:v>ATIVA/SEM FIM INFORMADO</x:v>
      </x:c>
      <x:c r="V420" s="24"/>
      <x:c r="W420" s="24" t="n">
        <x:v>9</x:v>
      </x:c>
      <x:c r="X420" s="24" t="str">
        <x:v>tabela_hoya(1).pdf</x:v>
      </x:c>
      <x:c r="Y420" s="24" t="str">
        <x:v>alta</x:v>
      </x:c>
      <x:c r="Z420" s="24"/>
      <x:c r="AA420" s="24" t="str">
        <x:v>HOYA|Controle de Miopia|Surfaçada|MiYOSMART|Clear|||Antirreflexo MiYOSMART|-13.00 até 0.00|até -4.00||60 até 75mm|||9</x:v>
      </x:c>
    </x:row>
    <x:row r="421">
      <x:c r="A421" s="24" t="str">
        <x:v>HY-5CB8D0441CA8</x:v>
      </x:c>
      <x:c r="B421" s="24" t="str">
        <x:v>SIM</x:v>
      </x:c>
      <x:c r="C421" s="24" t="str">
        <x:v>DISPONÍVEL</x:v>
      </x:c>
      <x:c r="D421" s="24" t="str">
        <x:v>HOYA</x:v>
      </x:c>
      <x:c r="E421" s="24" t="str">
        <x:v>Controle de Miopia</x:v>
      </x:c>
      <x:c r="F421" s="24" t="str">
        <x:v>Surfaçada</x:v>
      </x:c>
      <x:c r="G421" s="24" t="str">
        <x:v>MiYOSMART</x:v>
      </x:c>
      <x:c r="H421" s="24" t="str">
        <x:v>Chameleon</x:v>
      </x:c>
      <x:c r="I421" s="24"/>
      <x:c r="J421" s="24"/>
      <x:c r="K421" s="24" t="str">
        <x:v>Antirreflexo MiYOSMART</x:v>
      </x:c>
      <x:c r="L421" s="40" t="n">
        <x:v>2099</x:v>
      </x:c>
      <x:c r="M421" s="24" t="str">
        <x:v>-10.00 até 0.00</x:v>
      </x:c>
      <x:c r="N421" s="24" t="str">
        <x:v>até -4.00</x:v>
      </x:c>
      <x:c r="O421" s="24"/>
      <x:c r="P421" s="24" t="str">
        <x:v>60 até 75mm</x:v>
      </x:c>
      <x:c r="Q421" s="24"/>
      <x:c r="R421" s="24"/>
      <x:c r="S421" s="26" t="n">
        <x:v>45992</x:v>
      </x:c>
      <x:c r="T421" s="26"/>
      <x:c r="U421" s="24" t="str">
        <x:v>ATIVA/SEM FIM INFORMADO</x:v>
      </x:c>
      <x:c r="V421" s="24"/>
      <x:c r="W421" s="24" t="n">
        <x:v>9</x:v>
      </x:c>
      <x:c r="X421" s="24" t="str">
        <x:v>tabela_hoya(1).pdf</x:v>
      </x:c>
      <x:c r="Y421" s="24" t="str">
        <x:v>alta</x:v>
      </x:c>
      <x:c r="Z421" s="24"/>
      <x:c r="AA421" s="24" t="str">
        <x:v>HOYA|Controle de Miopia|Surfaçada|MiYOSMART|Chameleon|||Antirreflexo MiYOSMART|-10.00 até 0.00|até -4.00||60 até 75mm|||9</x:v>
      </x:c>
    </x:row>
    <x:row r="422">
      <x:c r="A422" s="24" t="str">
        <x:v>HY-AD7AD47F7C16</x:v>
      </x:c>
      <x:c r="B422" s="24" t="str">
        <x:v>SIM</x:v>
      </x:c>
      <x:c r="C422" s="24" t="str">
        <x:v>DISPONÍVEL</x:v>
      </x:c>
      <x:c r="D422" s="24" t="str">
        <x:v>HOYA</x:v>
      </x:c>
      <x:c r="E422" s="24" t="str">
        <x:v>Controle de Miopia</x:v>
      </x:c>
      <x:c r="F422" s="24" t="str">
        <x:v>Surfaçada</x:v>
      </x:c>
      <x:c r="G422" s="24" t="str">
        <x:v>MiYOSMART</x:v>
      </x:c>
      <x:c r="H422" s="24" t="str">
        <x:v>Sunbird</x:v>
      </x:c>
      <x:c r="I422" s="24"/>
      <x:c r="J422" s="24"/>
      <x:c r="K422" s="24" t="str">
        <x:v>Antirreflexo MiYOSMART</x:v>
      </x:c>
      <x:c r="L422" s="40" t="n">
        <x:v>2099</x:v>
      </x:c>
      <x:c r="M422" s="24" t="str">
        <x:v>-10.00 até 0.00</x:v>
      </x:c>
      <x:c r="N422" s="24" t="str">
        <x:v>até -4.00</x:v>
      </x:c>
      <x:c r="O422" s="24"/>
      <x:c r="P422" s="24" t="str">
        <x:v>60 até 75mm</x:v>
      </x:c>
      <x:c r="Q422" s="24"/>
      <x:c r="R422" s="24"/>
      <x:c r="S422" s="26" t="n">
        <x:v>45992</x:v>
      </x:c>
      <x:c r="T422" s="26"/>
      <x:c r="U422" s="24" t="str">
        <x:v>ATIVA/SEM FIM INFORMADO</x:v>
      </x:c>
      <x:c r="V422" s="24"/>
      <x:c r="W422" s="24" t="n">
        <x:v>9</x:v>
      </x:c>
      <x:c r="X422" s="24" t="str">
        <x:v>tabela_hoya(1).pdf</x:v>
      </x:c>
      <x:c r="Y422" s="24" t="str">
        <x:v>alta</x:v>
      </x:c>
      <x:c r="Z422" s="24"/>
      <x:c r="AA422" s="24" t="str">
        <x:v>HOYA|Controle de Miopia|Surfaçada|MiYOSMART|Sunbird|||Antirreflexo MiYOSMART|-10.00 até 0.00|até -4.00||60 até 75mm|||9</x:v>
      </x:c>
    </x:row>
    <x:row r="423">
      <x:c r="A423" s="24" t="str">
        <x:v>HY-211FCB3C0D48</x:v>
      </x:c>
      <x:c r="B423" s="24" t="str">
        <x:v>SIM</x:v>
      </x:c>
      <x:c r="C423" s="24" t="str">
        <x:v>DISPONÍVEL</x:v>
      </x:c>
      <x:c r="D423" s="24" t="str">
        <x:v>HOYA</x:v>
      </x:c>
      <x:c r="E423" s="24" t="str">
        <x:v>Visão Simples</x:v>
      </x:c>
      <x:c r="F423" s="24" t="str">
        <x:v>Pronta</x:v>
      </x:c>
      <x:c r="G423" s="24" t="str">
        <x:v>Pentax Blue</x:v>
      </x:c>
      <x:c r="H423" s="24" t="str">
        <x:v>INCOLOR</x:v>
      </x:c>
      <x:c r="I423" s="24"/>
      <x:c r="J423" s="24" t="str">
        <x:v>1.67</x:v>
      </x:c>
      <x:c r="K423" s="24" t="str">
        <x:v>Pentax Blue</x:v>
      </x:c>
      <x:c r="L423" s="40" t="n">
        <x:v>899</x:v>
      </x:c>
      <x:c r="M423" s="24" t="str">
        <x:v>-6.00 até +6.00</x:v>
      </x:c>
      <x:c r="N423" s="24" t="str">
        <x:v>até -2.00</x:v>
      </x:c>
      <x:c r="O423" s="24"/>
      <x:c r="P423" s="24" t="str">
        <x:v>65/70/75mm</x:v>
      </x:c>
      <x:c r="Q423" s="24"/>
      <x:c r="R423" s="24"/>
      <x:c r="S423" s="26" t="n">
        <x:v>45992</x:v>
      </x:c>
      <x:c r="T423" s="26"/>
      <x:c r="U423" s="24" t="str">
        <x:v>ATIVA/SEM FIM INFORMADO</x:v>
      </x:c>
      <x:c r="V423" s="24"/>
      <x:c r="W423" s="24" t="n">
        <x:v>19</x:v>
      </x:c>
      <x:c r="X423" s="24" t="str">
        <x:v>tabela_hoya(1).pdf</x:v>
      </x:c>
      <x:c r="Y423" s="24" t="str">
        <x:v>alta</x:v>
      </x:c>
      <x:c r="Z423" s="24"/>
      <x:c r="AA423" s="24" t="str">
        <x:v>HOYA|Visão Simples|Pronta|Pentax Blue|INCOLOR||1.67|Pentax Blue|-6.00 até +6.00|até -2.00||65/70/75mm|||19</x:v>
      </x:c>
    </x:row>
    <x:row r="424">
      <x:c r="A424" s="24" t="str">
        <x:v>HY-558BA6C7435A</x:v>
      </x:c>
      <x:c r="B424" s="24" t="str">
        <x:v>SIM</x:v>
      </x:c>
      <x:c r="C424" s="24" t="str">
        <x:v>DISPONÍVEL</x:v>
      </x:c>
      <x:c r="D424" s="24" t="str">
        <x:v>HOYA</x:v>
      </x:c>
      <x:c r="E424" s="24" t="str">
        <x:v>Visão Simples</x:v>
      </x:c>
      <x:c r="F424" s="24" t="str">
        <x:v>Pronta</x:v>
      </x:c>
      <x:c r="G424" s="24" t="str">
        <x:v>Pentax Blue</x:v>
      </x:c>
      <x:c r="H424" s="24" t="str">
        <x:v>INCOLOR</x:v>
      </x:c>
      <x:c r="I424" s="24"/>
      <x:c r="J424" s="24" t="str">
        <x:v>1.59</x:v>
      </x:c>
      <x:c r="K424" s="24" t="str">
        <x:v>Pentax Blue</x:v>
      </x:c>
      <x:c r="L424" s="40" t="n">
        <x:v>559</x:v>
      </x:c>
      <x:c r="M424" s="24" t="str">
        <x:v>-4.00 até +4.00</x:v>
      </x:c>
      <x:c r="N424" s="24" t="str">
        <x:v>até -2.00</x:v>
      </x:c>
      <x:c r="O424" s="24"/>
      <x:c r="P424" s="24" t="str">
        <x:v>65/70mm</x:v>
      </x:c>
      <x:c r="Q424" s="24"/>
      <x:c r="R424" s="24"/>
      <x:c r="S424" s="26" t="n">
        <x:v>45992</x:v>
      </x:c>
      <x:c r="T424" s="26"/>
      <x:c r="U424" s="24" t="str">
        <x:v>ATIVA/SEM FIM INFORMADO</x:v>
      </x:c>
      <x:c r="V424" s="24"/>
      <x:c r="W424" s="24" t="n">
        <x:v>19</x:v>
      </x:c>
      <x:c r="X424" s="24" t="str">
        <x:v>tabela_hoya(1).pdf</x:v>
      </x:c>
      <x:c r="Y424" s="24" t="str">
        <x:v>alta</x:v>
      </x:c>
      <x:c r="Z424" s="24"/>
      <x:c r="AA424" s="24" t="str">
        <x:v>HOYA|Visão Simples|Pronta|Pentax Blue|INCOLOR||1.59|Pentax Blue|-4.00 até +4.00|até -2.00||65/70mm|||19</x:v>
      </x:c>
    </x:row>
    <x:row r="425">
      <x:c r="A425" s="24" t="str">
        <x:v>HY-F3224A0C6B3C</x:v>
      </x:c>
      <x:c r="B425" s="24" t="str">
        <x:v>SIM</x:v>
      </x:c>
      <x:c r="C425" s="24" t="str">
        <x:v>DISPONÍVEL</x:v>
      </x:c>
      <x:c r="D425" s="24" t="str">
        <x:v>HOYA</x:v>
      </x:c>
      <x:c r="E425" s="24" t="str">
        <x:v>Visão Simples</x:v>
      </x:c>
      <x:c r="F425" s="24" t="str">
        <x:v>Pronta</x:v>
      </x:c>
      <x:c r="G425" s="24" t="str">
        <x:v>Pentax Blue</x:v>
      </x:c>
      <x:c r="H425" s="24" t="str">
        <x:v>INCOLOR</x:v>
      </x:c>
      <x:c r="I425" s="24"/>
      <x:c r="J425" s="24" t="str">
        <x:v>1.56</x:v>
      </x:c>
      <x:c r="K425" s="24" t="str">
        <x:v>Pentax Blue</x:v>
      </x:c>
      <x:c r="L425" s="40" t="n">
        <x:v>399</x:v>
      </x:c>
      <x:c r="M425" s="24" t="str">
        <x:v>-4.00 até +4.00</x:v>
      </x:c>
      <x:c r="N425" s="24" t="str">
        <x:v>até -2.00</x:v>
      </x:c>
      <x:c r="O425" s="24"/>
      <x:c r="P425" s="24" t="str">
        <x:v>65/70mm</x:v>
      </x:c>
      <x:c r="Q425" s="24"/>
      <x:c r="R425" s="24"/>
      <x:c r="S425" s="26" t="n">
        <x:v>45992</x:v>
      </x:c>
      <x:c r="T425" s="26"/>
      <x:c r="U425" s="24" t="str">
        <x:v>ATIVA/SEM FIM INFORMADO</x:v>
      </x:c>
      <x:c r="V425" s="24"/>
      <x:c r="W425" s="24" t="n">
        <x:v>19</x:v>
      </x:c>
      <x:c r="X425" s="24" t="str">
        <x:v>tabela_hoya(1).pdf</x:v>
      </x:c>
      <x:c r="Y425" s="24" t="str">
        <x:v>alta</x:v>
      </x:c>
      <x:c r="Z425" s="24"/>
      <x:c r="AA425" s="24" t="str">
        <x:v>HOYA|Visão Simples|Pronta|Pentax Blue|INCOLOR||1.56|Pentax Blue|-4.00 até +4.00|até -2.00||65/70mm|||19</x:v>
      </x:c>
    </x:row>
    <x:row r="426">
      <x:c r="A426" s="24" t="str">
        <x:v>HY-81BFCE3E656E</x:v>
      </x:c>
      <x:c r="B426" s="24" t="str">
        <x:v>SIM</x:v>
      </x:c>
      <x:c r="C426" s="24" t="str">
        <x:v>DISPONÍVEL</x:v>
      </x:c>
      <x:c r="D426" s="24" t="str">
        <x:v>HOYA</x:v>
      </x:c>
      <x:c r="E426" s="24" t="str">
        <x:v>Visão Simples</x:v>
      </x:c>
      <x:c r="F426" s="24" t="str">
        <x:v>Pronta</x:v>
      </x:c>
      <x:c r="G426" s="24" t="str">
        <x:v>Pentax Photo Grey</x:v>
      </x:c>
      <x:c r="H426" s="24" t="str">
        <x:v>Fotossensível</x:v>
      </x:c>
      <x:c r="I426" s="24"/>
      <x:c r="J426" s="24" t="str">
        <x:v>1.67</x:v>
      </x:c>
      <x:c r="K426" s="24" t="str">
        <x:v>Pentax Photo Grey</x:v>
      </x:c>
      <x:c r="L426" s="40" t="n">
        <x:v>1019</x:v>
      </x:c>
      <x:c r="M426" s="24" t="str">
        <x:v>-6.00 até +6.00</x:v>
      </x:c>
      <x:c r="N426" s="24" t="str">
        <x:v>até -2.00</x:v>
      </x:c>
      <x:c r="O426" s="24"/>
      <x:c r="P426" s="24" t="str">
        <x:v>65/70/75mm</x:v>
      </x:c>
      <x:c r="Q426" s="24"/>
      <x:c r="R426" s="24"/>
      <x:c r="S426" s="26" t="n">
        <x:v>45992</x:v>
      </x:c>
      <x:c r="T426" s="26"/>
      <x:c r="U426" s="24" t="str">
        <x:v>ATIVA/SEM FIM INFORMADO</x:v>
      </x:c>
      <x:c r="V426" s="24"/>
      <x:c r="W426" s="24" t="n">
        <x:v>19</x:v>
      </x:c>
      <x:c r="X426" s="24" t="str">
        <x:v>tabela_hoya(1).pdf</x:v>
      </x:c>
      <x:c r="Y426" s="24" t="str">
        <x:v>alta</x:v>
      </x:c>
      <x:c r="Z426" s="24"/>
      <x:c r="AA426" s="24" t="str">
        <x:v>HOYA|Visão Simples|Pronta|Pentax Photo Grey|Fotossensível||1.67|Pentax Photo Grey|-6.00 até +6.00|até -2.00||65/70/75mm|||19</x:v>
      </x:c>
    </x:row>
    <x:row r="427">
      <x:c r="A427" s="24" t="str">
        <x:v>RD-4829DCD07E9E</x:v>
      </x:c>
      <x:c r="B427" s="24" t="str">
        <x:v>SIM</x:v>
      </x:c>
      <x:c r="C427" s="24" t="str">
        <x:v>DISPONÍVEL</x:v>
      </x:c>
      <x:c r="D427" s="24" t="str">
        <x:v>Rodenstock</x:v>
      </x:c>
      <x:c r="E427" s="24" t="str">
        <x:v>Ocupacional B.I.G. NORM</x:v>
      </x:c>
      <x:c r="F427" s="24" t="str">
        <x:v>Surfaçada</x:v>
      </x:c>
      <x:c r="G427" s="24" t="str">
        <x:v>Impression Ergo B.I.G. NORM</x:v>
      </x:c>
      <x:c r="H427" s="24"/>
      <x:c r="I427" s="24" t="str">
        <x:v>1.5 Ergo PC/Book/Room</x:v>
      </x:c>
      <x:c r="J427" s="24" t="str">
        <x:v>1.50</x:v>
      </x:c>
      <x:c r="K427" s="24" t="str">
        <x:v>LayR X-tra Clean</x:v>
      </x:c>
      <x:c r="L427" s="40" t="n">
        <x:v>3515</x:v>
      </x:c>
      <x:c r="M427" s="24" t="str">
        <x:v>-8 a +8</x:v>
      </x:c>
      <x:c r="N427" s="24" t="str">
        <x:v>até -6</x:v>
      </x:c>
      <x:c r="O427" s="24"/>
      <x:c r="P427" s="24" t="str">
        <x:v>75/80</x:v>
      </x:c>
      <x:c r="Q427" s="24"/>
      <x:c r="R427" s="24"/>
      <x:c r="S427" s="26" t="n">
        <x:v>46024</x:v>
      </x:c>
      <x:c r="T427" s="26"/>
      <x:c r="U427" s="24" t="str">
        <x:v>ATIVA/SEM FIM INFORMADO</x:v>
      </x:c>
      <x:c r="V427" s="24"/>
      <x:c r="W427" s="24" t="n">
        <x:v>13</x:v>
      </x:c>
      <x:c r="X427" s="24" t="str">
        <x:v>tabela_rodenstock.pdf</x:v>
      </x:c>
      <x:c r="Y427" s="24" t="str">
        <x:v>alta</x:v>
      </x:c>
      <x:c r="Z427" s="24"/>
      <x:c r="AA427" s="24" t="str">
        <x:v>Rodenstock|Ocupacional B.I.G. NORM|Surfaçada|Impression Ergo B.I.G. NORM||1.5 Ergo PC/Book/Room|1.50|LayR X-tra Clean|-8 a +8|até -6||75/80|||13</x:v>
      </x:c>
    </x:row>
    <x:row r="428">
      <x:c r="A428" s="24" t="str">
        <x:v>RD-DD8886049CD0</x:v>
      </x:c>
      <x:c r="B428" s="24" t="str">
        <x:v>SIM</x:v>
      </x:c>
      <x:c r="C428" s="24" t="str">
        <x:v>DISPONÍVEL</x:v>
      </x:c>
      <x:c r="D428" s="24" t="str">
        <x:v>Rodenstock</x:v>
      </x:c>
      <x:c r="E428" s="24" t="str">
        <x:v>Ocupacional B.I.G. NORM</x:v>
      </x:c>
      <x:c r="F428" s="24" t="str">
        <x:v>Surfaçada</x:v>
      </x:c>
      <x:c r="G428" s="24" t="str">
        <x:v>Impression Ergo B.I.G. NORM</x:v>
      </x:c>
      <x:c r="H428" s="24"/>
      <x:c r="I428" s="24" t="str">
        <x:v>1.5 Ergo PC/Book/Room</x:v>
      </x:c>
      <x:c r="J428" s="24" t="str">
        <x:v>1.50</x:v>
      </x:c>
      <x:c r="K428" s="24" t="str">
        <x:v>LayR Balance</x:v>
      </x:c>
      <x:c r="L428" s="40" t="n">
        <x:v>3515</x:v>
      </x:c>
      <x:c r="M428" s="24" t="str">
        <x:v>-8 a +8</x:v>
      </x:c>
      <x:c r="N428" s="24" t="str">
        <x:v>até -6</x:v>
      </x:c>
      <x:c r="O428" s="24"/>
      <x:c r="P428" s="24" t="str">
        <x:v>75/80</x:v>
      </x:c>
      <x:c r="Q428" s="24"/>
      <x:c r="R428" s="24"/>
      <x:c r="S428" s="26" t="n">
        <x:v>46024</x:v>
      </x:c>
      <x:c r="T428" s="26"/>
      <x:c r="U428" s="24" t="str">
        <x:v>ATIVA/SEM FIM INFORMADO</x:v>
      </x:c>
      <x:c r="V428" s="24"/>
      <x:c r="W428" s="24" t="n">
        <x:v>13</x:v>
      </x:c>
      <x:c r="X428" s="24" t="str">
        <x:v>tabela_rodenstock.pdf</x:v>
      </x:c>
      <x:c r="Y428" s="24" t="str">
        <x:v>alta</x:v>
      </x:c>
      <x:c r="Z428" s="24"/>
      <x:c r="AA428" s="24" t="str">
        <x:v>Rodenstock|Ocupacional B.I.G. NORM|Surfaçada|Impression Ergo B.I.G. NORM||1.5 Ergo PC/Book/Room|1.50|LayR Balance|-8 a +8|até -6||75/80|||13</x:v>
      </x:c>
    </x:row>
    <x:row r="429">
      <x:c r="A429" s="24" t="str">
        <x:v>RD-7D3259AC2A98</x:v>
      </x:c>
      <x:c r="B429" s="24" t="str">
        <x:v>SIM</x:v>
      </x:c>
      <x:c r="C429" s="24" t="str">
        <x:v>DISPONÍVEL</x:v>
      </x:c>
      <x:c r="D429" s="24" t="str">
        <x:v>Rodenstock</x:v>
      </x:c>
      <x:c r="E429" s="24" t="str">
        <x:v>Ocupacional B.I.G. NORM</x:v>
      </x:c>
      <x:c r="F429" s="24" t="str">
        <x:v>Surfaçada</x:v>
      </x:c>
      <x:c r="G429" s="24" t="str">
        <x:v>Impression Ergo B.I.G. NORM</x:v>
      </x:c>
      <x:c r="H429" s="24"/>
      <x:c r="I429" s="24" t="str">
        <x:v>1.5 Ergo PC/Book/Room</x:v>
      </x:c>
      <x:c r="J429" s="24" t="str">
        <x:v>1.50</x:v>
      </x:c>
      <x:c r="K429" s="24" t="str">
        <x:v>Solitaire X-tra Clean</x:v>
      </x:c>
      <x:c r="L429" s="40" t="n">
        <x:v>3445</x:v>
      </x:c>
      <x:c r="M429" s="24" t="str">
        <x:v>-8 a +8</x:v>
      </x:c>
      <x:c r="N429" s="24" t="str">
        <x:v>até -6</x:v>
      </x:c>
      <x:c r="O429" s="24"/>
      <x:c r="P429" s="24" t="str">
        <x:v>75/80</x:v>
      </x:c>
      <x:c r="Q429" s="24"/>
      <x:c r="R429" s="24"/>
      <x:c r="S429" s="26" t="n">
        <x:v>46024</x:v>
      </x:c>
      <x:c r="T429" s="26"/>
      <x:c r="U429" s="24" t="str">
        <x:v>ATIVA/SEM FIM INFORMADO</x:v>
      </x:c>
      <x:c r="V429" s="24"/>
      <x:c r="W429" s="24" t="n">
        <x:v>13</x:v>
      </x:c>
      <x:c r="X429" s="24" t="str">
        <x:v>tabela_rodenstock.pdf</x:v>
      </x:c>
      <x:c r="Y429" s="24" t="str">
        <x:v>alta</x:v>
      </x:c>
      <x:c r="Z429" s="24"/>
      <x:c r="AA429" s="24" t="str">
        <x:v>Rodenstock|Ocupacional B.I.G. NORM|Surfaçada|Impression Ergo B.I.G. NORM||1.5 Ergo PC/Book/Room|1.50|Solitaire X-tra Clean|-8 a +8|até -6||75/80|||13</x:v>
      </x:c>
    </x:row>
    <x:row r="430">
      <x:c r="A430" s="24" t="str">
        <x:v>RD-258B59D53BCB</x:v>
      </x:c>
      <x:c r="B430" s="24" t="str">
        <x:v>SIM</x:v>
      </x:c>
      <x:c r="C430" s="24" t="str">
        <x:v>DISPONÍVEL</x:v>
      </x:c>
      <x:c r="D430" s="24" t="str">
        <x:v>Rodenstock</x:v>
      </x:c>
      <x:c r="E430" s="24" t="str">
        <x:v>Ocupacional B.I.G. NORM</x:v>
      </x:c>
      <x:c r="F430" s="24" t="str">
        <x:v>Surfaçada</x:v>
      </x:c>
      <x:c r="G430" s="24" t="str">
        <x:v>Impression Ergo B.I.G. NORM</x:v>
      </x:c>
      <x:c r="H430" s="24"/>
      <x:c r="I430" s="24" t="str">
        <x:v>1.5 Ergo PC/Book/Room</x:v>
      </x:c>
      <x:c r="J430" s="24" t="str">
        <x:v>1.50</x:v>
      </x:c>
      <x:c r="K430" s="24" t="str">
        <x:v>Solitaire Protect Plus</x:v>
      </x:c>
      <x:c r="L430" s="40" t="n">
        <x:v>3395</x:v>
      </x:c>
      <x:c r="M430" s="24" t="str">
        <x:v>-8 a +8</x:v>
      </x:c>
      <x:c r="N430" s="24" t="str">
        <x:v>até -6</x:v>
      </x:c>
      <x:c r="O430" s="24"/>
      <x:c r="P430" s="24" t="str">
        <x:v>75/80</x:v>
      </x:c>
      <x:c r="Q430" s="24"/>
      <x:c r="R430" s="24"/>
      <x:c r="S430" s="26" t="n">
        <x:v>46024</x:v>
      </x:c>
      <x:c r="T430" s="26"/>
      <x:c r="U430" s="24" t="str">
        <x:v>ATIVA/SEM FIM INFORMADO</x:v>
      </x:c>
      <x:c r="V430" s="24"/>
      <x:c r="W430" s="24" t="n">
        <x:v>13</x:v>
      </x:c>
      <x:c r="X430" s="24" t="str">
        <x:v>tabela_rodenstock.pdf</x:v>
      </x:c>
      <x:c r="Y430" s="24" t="str">
        <x:v>alta</x:v>
      </x:c>
      <x:c r="Z430" s="24"/>
      <x:c r="AA430" s="24" t="str">
        <x:v>Rodenstock|Ocupacional B.I.G. NORM|Surfaçada|Impression Ergo B.I.G. NORM||1.5 Ergo PC/Book/Room|1.50|Solitaire Protect Plus|-8 a +8|até -6||75/80|||13</x:v>
      </x:c>
    </x:row>
    <x:row r="431">
      <x:c r="A431" s="24" t="str">
        <x:v>RD-DDE7E9257F9C</x:v>
      </x:c>
      <x:c r="B431" s="24" t="str">
        <x:v>SIM</x:v>
      </x:c>
      <x:c r="C431" s="24" t="str">
        <x:v>DISPONÍVEL</x:v>
      </x:c>
      <x:c r="D431" s="24" t="str">
        <x:v>Rodenstock</x:v>
      </x:c>
      <x:c r="E431" s="24" t="str">
        <x:v>Ocupacional B.I.G. NORM</x:v>
      </x:c>
      <x:c r="F431" s="24" t="str">
        <x:v>Surfaçada</x:v>
      </x:c>
      <x:c r="G431" s="24" t="str">
        <x:v>Impression Ergo B.I.G. NORM</x:v>
      </x:c>
      <x:c r="H431" s="24"/>
      <x:c r="I431" s="24" t="str">
        <x:v>1.5 Ergo PC/Book/Room</x:v>
      </x:c>
      <x:c r="J431" s="24" t="str">
        <x:v>1.50</x:v>
      </x:c>
      <x:c r="K431" s="24" t="str">
        <x:v>ROAD</x:v>
      </x:c>
      <x:c r="L431" s="40" t="n">
        <x:v>3395</x:v>
      </x:c>
      <x:c r="M431" s="24" t="str">
        <x:v>-8 a +8</x:v>
      </x:c>
      <x:c r="N431" s="24" t="str">
        <x:v>até -6</x:v>
      </x:c>
      <x:c r="O431" s="24"/>
      <x:c r="P431" s="24" t="str">
        <x:v>75/80</x:v>
      </x:c>
      <x:c r="Q431" s="24"/>
      <x:c r="R431" s="24"/>
      <x:c r="S431" s="26" t="n">
        <x:v>46024</x:v>
      </x:c>
      <x:c r="T431" s="26"/>
      <x:c r="U431" s="24" t="str">
        <x:v>ATIVA/SEM FIM INFORMADO</x:v>
      </x:c>
      <x:c r="V431" s="24"/>
      <x:c r="W431" s="24" t="n">
        <x:v>13</x:v>
      </x:c>
      <x:c r="X431" s="24" t="str">
        <x:v>tabela_rodenstock.pdf</x:v>
      </x:c>
      <x:c r="Y431" s="24" t="str">
        <x:v>alta</x:v>
      </x:c>
      <x:c r="Z431" s="24"/>
      <x:c r="AA431" s="24" t="str">
        <x:v>Rodenstock|Ocupacional B.I.G. NORM|Surfaçada|Impression Ergo B.I.G. NORM||1.5 Ergo PC/Book/Room|1.50|ROAD|-8 a +8|até -6||75/80|||13</x:v>
      </x:c>
    </x:row>
    <x:row r="432">
      <x:c r="A432" s="24" t="str">
        <x:v>RD-6B6E0EFFBB62</x:v>
      </x:c>
      <x:c r="B432" s="24" t="str">
        <x:v>SIM</x:v>
      </x:c>
      <x:c r="C432" s="24" t="str">
        <x:v>DISPONÍVEL</x:v>
      </x:c>
      <x:c r="D432" s="24" t="str">
        <x:v>Rodenstock</x:v>
      </x:c>
      <x:c r="E432" s="24" t="str">
        <x:v>Ocupacional B.I.G. NORM</x:v>
      </x:c>
      <x:c r="F432" s="24" t="str">
        <x:v>Surfaçada</x:v>
      </x:c>
      <x:c r="G432" s="24" t="str">
        <x:v>Impression Ergo B.I.G. NORM</x:v>
      </x:c>
      <x:c r="H432" s="24"/>
      <x:c r="I432" s="24" t="str">
        <x:v>1.5 Ergo PC/Book/Room</x:v>
      </x:c>
      <x:c r="J432" s="24" t="str">
        <x:v>1.50</x:v>
      </x:c>
      <x:c r="K432" s="24" t="str">
        <x:v>Solitaire Protect</x:v>
      </x:c>
      <x:c r="L432" s="40" t="n">
        <x:v>3135</x:v>
      </x:c>
      <x:c r="M432" s="24" t="str">
        <x:v>-8 a +8</x:v>
      </x:c>
      <x:c r="N432" s="24" t="str">
        <x:v>até -6</x:v>
      </x:c>
      <x:c r="O432" s="24"/>
      <x:c r="P432" s="24" t="str">
        <x:v>75/80</x:v>
      </x:c>
      <x:c r="Q432" s="24"/>
      <x:c r="R432" s="24"/>
      <x:c r="S432" s="26" t="n">
        <x:v>46024</x:v>
      </x:c>
      <x:c r="T432" s="26"/>
      <x:c r="U432" s="24" t="str">
        <x:v>ATIVA/SEM FIM INFORMADO</x:v>
      </x:c>
      <x:c r="V432" s="24"/>
      <x:c r="W432" s="24" t="n">
        <x:v>13</x:v>
      </x:c>
      <x:c r="X432" s="24" t="str">
        <x:v>tabela_rodenstock.pdf</x:v>
      </x:c>
      <x:c r="Y432" s="24" t="str">
        <x:v>alta</x:v>
      </x:c>
      <x:c r="Z432" s="24"/>
      <x:c r="AA432" s="24" t="str">
        <x:v>Rodenstock|Ocupacional B.I.G. NORM|Surfaçada|Impression Ergo B.I.G. NORM||1.5 Ergo PC/Book/Room|1.50|Solitaire Protect|-8 a +8|até -6||75/80|||13</x:v>
      </x:c>
    </x:row>
    <x:row r="433">
      <x:c r="A433" s="24" t="str">
        <x:v>RD-810224679CE2</x:v>
      </x:c>
      <x:c r="B433" s="24" t="str">
        <x:v>SIM</x:v>
      </x:c>
      <x:c r="C433" s="24" t="str">
        <x:v>DISPONÍVEL</x:v>
      </x:c>
      <x:c r="D433" s="24" t="str">
        <x:v>Rodenstock</x:v>
      </x:c>
      <x:c r="E433" s="24" t="str">
        <x:v>Ocupacional B.I.G. NORM</x:v>
      </x:c>
      <x:c r="F433" s="24" t="str">
        <x:v>Surfaçada</x:v>
      </x:c>
      <x:c r="G433" s="24" t="str">
        <x:v>Impression Ergo B.I.G. NORM</x:v>
      </x:c>
      <x:c r="H433" s="24"/>
      <x:c r="I433" s="24" t="str">
        <x:v>1.6 Ergo PC/Book/Room</x:v>
      </x:c>
      <x:c r="J433" s="24" t="str">
        <x:v>1.60</x:v>
      </x:c>
      <x:c r="K433" s="24" t="str">
        <x:v>LayR X-tra Clean</x:v>
      </x:c>
      <x:c r="L433" s="40" t="n">
        <x:v>4595</x:v>
      </x:c>
      <x:c r="M433" s="24" t="str">
        <x:v>-10 a +8</x:v>
      </x:c>
      <x:c r="N433" s="24" t="str">
        <x:v>até -6</x:v>
      </x:c>
      <x:c r="O433" s="24"/>
      <x:c r="P433" s="24" t="str">
        <x:v>75/80</x:v>
      </x:c>
      <x:c r="Q433" s="24"/>
      <x:c r="R433" s="24"/>
      <x:c r="S433" s="26" t="n">
        <x:v>46024</x:v>
      </x:c>
      <x:c r="T433" s="26"/>
      <x:c r="U433" s="24" t="str">
        <x:v>ATIVA/SEM FIM INFORMADO</x:v>
      </x:c>
      <x:c r="V433" s="24"/>
      <x:c r="W433" s="24" t="n">
        <x:v>13</x:v>
      </x:c>
      <x:c r="X433" s="24" t="str">
        <x:v>tabela_rodenstock.pdf</x:v>
      </x:c>
      <x:c r="Y433" s="24" t="str">
        <x:v>alta</x:v>
      </x:c>
      <x:c r="Z433" s="24"/>
      <x:c r="AA433" s="24" t="str">
        <x:v>Rodenstock|Ocupacional B.I.G. NORM|Surfaçada|Impression Ergo B.I.G. NORM||1.6 Ergo PC/Book/Room|1.60|LayR X-tra Clean|-10 a +8|até -6||75/80|||13</x:v>
      </x:c>
    </x:row>
    <x:row r="434">
      <x:c r="A434" s="24" t="str">
        <x:v>RD-6EEA410B77F0</x:v>
      </x:c>
      <x:c r="B434" s="24" t="str">
        <x:v>SIM</x:v>
      </x:c>
      <x:c r="C434" s="24" t="str">
        <x:v>DISPONÍVEL</x:v>
      </x:c>
      <x:c r="D434" s="24" t="str">
        <x:v>Rodenstock</x:v>
      </x:c>
      <x:c r="E434" s="24" t="str">
        <x:v>Ocupacional B.I.G. NORM</x:v>
      </x:c>
      <x:c r="F434" s="24" t="str">
        <x:v>Surfaçada</x:v>
      </x:c>
      <x:c r="G434" s="24" t="str">
        <x:v>Impression Ergo B.I.G. NORM</x:v>
      </x:c>
      <x:c r="H434" s="24"/>
      <x:c r="I434" s="24" t="str">
        <x:v>1.6 Ergo PC/Book/Room</x:v>
      </x:c>
      <x:c r="J434" s="24" t="str">
        <x:v>1.60</x:v>
      </x:c>
      <x:c r="K434" s="24" t="str">
        <x:v>LayR Balance</x:v>
      </x:c>
      <x:c r="L434" s="40" t="n">
        <x:v>4595</x:v>
      </x:c>
      <x:c r="M434" s="24" t="str">
        <x:v>-10 a +8</x:v>
      </x:c>
      <x:c r="N434" s="24" t="str">
        <x:v>até -6</x:v>
      </x:c>
      <x:c r="O434" s="24"/>
      <x:c r="P434" s="24" t="str">
        <x:v>75/80</x:v>
      </x:c>
      <x:c r="Q434" s="24"/>
      <x:c r="R434" s="24"/>
      <x:c r="S434" s="26" t="n">
        <x:v>46024</x:v>
      </x:c>
      <x:c r="T434" s="26"/>
      <x:c r="U434" s="24" t="str">
        <x:v>ATIVA/SEM FIM INFORMADO</x:v>
      </x:c>
      <x:c r="V434" s="24"/>
      <x:c r="W434" s="24" t="n">
        <x:v>13</x:v>
      </x:c>
      <x:c r="X434" s="24" t="str">
        <x:v>tabela_rodenstock.pdf</x:v>
      </x:c>
      <x:c r="Y434" s="24" t="str">
        <x:v>alta</x:v>
      </x:c>
      <x:c r="Z434" s="24"/>
      <x:c r="AA434" s="24" t="str">
        <x:v>Rodenstock|Ocupacional B.I.G. NORM|Surfaçada|Impression Ergo B.I.G. NORM||1.6 Ergo PC/Book/Room|1.60|LayR Balance|-10 a +8|até -6||75/80|||13</x:v>
      </x:c>
    </x:row>
    <x:row r="435">
      <x:c r="A435" s="24" t="str">
        <x:v>RD-A06503F9CE50</x:v>
      </x:c>
      <x:c r="B435" s="24" t="str">
        <x:v>SIM</x:v>
      </x:c>
      <x:c r="C435" s="24" t="str">
        <x:v>DISPONÍVEL</x:v>
      </x:c>
      <x:c r="D435" s="24" t="str">
        <x:v>Rodenstock</x:v>
      </x:c>
      <x:c r="E435" s="24" t="str">
        <x:v>Ocupacional B.I.G. NORM</x:v>
      </x:c>
      <x:c r="F435" s="24" t="str">
        <x:v>Surfaçada</x:v>
      </x:c>
      <x:c r="G435" s="24" t="str">
        <x:v>Impression Ergo B.I.G. NORM</x:v>
      </x:c>
      <x:c r="H435" s="24"/>
      <x:c r="I435" s="24" t="str">
        <x:v>1.6 Ergo PC/Book/Room</x:v>
      </x:c>
      <x:c r="J435" s="24" t="str">
        <x:v>1.60</x:v>
      </x:c>
      <x:c r="K435" s="24" t="str">
        <x:v>Solitaire X-tra Clean</x:v>
      </x:c>
      <x:c r="L435" s="40" t="n">
        <x:v>4525</x:v>
      </x:c>
      <x:c r="M435" s="24" t="str">
        <x:v>-10 a +8</x:v>
      </x:c>
      <x:c r="N435" s="24" t="str">
        <x:v>até -6</x:v>
      </x:c>
      <x:c r="O435" s="24"/>
      <x:c r="P435" s="24" t="str">
        <x:v>75/80</x:v>
      </x:c>
      <x:c r="Q435" s="24"/>
      <x:c r="R435" s="24"/>
      <x:c r="S435" s="26" t="n">
        <x:v>46024</x:v>
      </x:c>
      <x:c r="T435" s="26"/>
      <x:c r="U435" s="24" t="str">
        <x:v>ATIVA/SEM FIM INFORMADO</x:v>
      </x:c>
      <x:c r="V435" s="24"/>
      <x:c r="W435" s="24" t="n">
        <x:v>13</x:v>
      </x:c>
      <x:c r="X435" s="24" t="str">
        <x:v>tabela_rodenstock.pdf</x:v>
      </x:c>
      <x:c r="Y435" s="24" t="str">
        <x:v>alta</x:v>
      </x:c>
      <x:c r="Z435" s="24"/>
      <x:c r="AA435" s="24" t="str">
        <x:v>Rodenstock|Ocupacional B.I.G. NORM|Surfaçada|Impression Ergo B.I.G. NORM||1.6 Ergo PC/Book/Room|1.60|Solitaire X-tra Clean|-10 a +8|até -6||75/80|||13</x:v>
      </x:c>
    </x:row>
    <x:row r="436">
      <x:c r="A436" s="24" t="str">
        <x:v>RD-78DE53BBB987</x:v>
      </x:c>
      <x:c r="B436" s="24" t="str">
        <x:v>SIM</x:v>
      </x:c>
      <x:c r="C436" s="24" t="str">
        <x:v>DISPONÍVEL</x:v>
      </x:c>
      <x:c r="D436" s="24" t="str">
        <x:v>Rodenstock</x:v>
      </x:c>
      <x:c r="E436" s="24" t="str">
        <x:v>Ocupacional B.I.G. NORM</x:v>
      </x:c>
      <x:c r="F436" s="24" t="str">
        <x:v>Surfaçada</x:v>
      </x:c>
      <x:c r="G436" s="24" t="str">
        <x:v>Impression Ergo B.I.G. NORM</x:v>
      </x:c>
      <x:c r="H436" s="24"/>
      <x:c r="I436" s="24" t="str">
        <x:v>1.6 Ergo PC/Book/Room</x:v>
      </x:c>
      <x:c r="J436" s="24" t="str">
        <x:v>1.60</x:v>
      </x:c>
      <x:c r="K436" s="24" t="str">
        <x:v>Solitaire Protect Plus</x:v>
      </x:c>
      <x:c r="L436" s="40" t="n">
        <x:v>4475</x:v>
      </x:c>
      <x:c r="M436" s="24" t="str">
        <x:v>-10 a +8</x:v>
      </x:c>
      <x:c r="N436" s="24" t="str">
        <x:v>até -6</x:v>
      </x:c>
      <x:c r="O436" s="24"/>
      <x:c r="P436" s="24" t="str">
        <x:v>75/80</x:v>
      </x:c>
      <x:c r="Q436" s="24"/>
      <x:c r="R436" s="24"/>
      <x:c r="S436" s="26" t="n">
        <x:v>46024</x:v>
      </x:c>
      <x:c r="T436" s="26"/>
      <x:c r="U436" s="24" t="str">
        <x:v>ATIVA/SEM FIM INFORMADO</x:v>
      </x:c>
      <x:c r="V436" s="24"/>
      <x:c r="W436" s="24" t="n">
        <x:v>13</x:v>
      </x:c>
      <x:c r="X436" s="24" t="str">
        <x:v>tabela_rodenstock.pdf</x:v>
      </x:c>
      <x:c r="Y436" s="24" t="str">
        <x:v>alta</x:v>
      </x:c>
      <x:c r="Z436" s="24"/>
      <x:c r="AA436" s="24" t="str">
        <x:v>Rodenstock|Ocupacional B.I.G. NORM|Surfaçada|Impression Ergo B.I.G. NORM||1.6 Ergo PC/Book/Room|1.60|Solitaire Protect Plus|-10 a +8|até -6||75/80|||13</x:v>
      </x:c>
    </x:row>
    <x:row r="437">
      <x:c r="A437" s="24" t="str">
        <x:v>RD-C0111F95783C</x:v>
      </x:c>
      <x:c r="B437" s="24" t="str">
        <x:v>SIM</x:v>
      </x:c>
      <x:c r="C437" s="24" t="str">
        <x:v>DISPONÍVEL</x:v>
      </x:c>
      <x:c r="D437" s="24" t="str">
        <x:v>Rodenstock</x:v>
      </x:c>
      <x:c r="E437" s="24" t="str">
        <x:v>Ocupacional B.I.G. NORM</x:v>
      </x:c>
      <x:c r="F437" s="24" t="str">
        <x:v>Surfaçada</x:v>
      </x:c>
      <x:c r="G437" s="24" t="str">
        <x:v>Impression Ergo B.I.G. NORM</x:v>
      </x:c>
      <x:c r="H437" s="24"/>
      <x:c r="I437" s="24" t="str">
        <x:v>1.6 Ergo PC/Book/Room</x:v>
      </x:c>
      <x:c r="J437" s="24" t="str">
        <x:v>1.60</x:v>
      </x:c>
      <x:c r="K437" s="24" t="str">
        <x:v>ROAD</x:v>
      </x:c>
      <x:c r="L437" s="40" t="n">
        <x:v>4475</x:v>
      </x:c>
      <x:c r="M437" s="24" t="str">
        <x:v>-10 a +8</x:v>
      </x:c>
      <x:c r="N437" s="24" t="str">
        <x:v>até -6</x:v>
      </x:c>
      <x:c r="O437" s="24"/>
      <x:c r="P437" s="24" t="str">
        <x:v>75/80</x:v>
      </x:c>
      <x:c r="Q437" s="24"/>
      <x:c r="R437" s="24"/>
      <x:c r="S437" s="26" t="n">
        <x:v>46024</x:v>
      </x:c>
      <x:c r="T437" s="26"/>
      <x:c r="U437" s="24" t="str">
        <x:v>ATIVA/SEM FIM INFORMADO</x:v>
      </x:c>
      <x:c r="V437" s="24"/>
      <x:c r="W437" s="24" t="n">
        <x:v>13</x:v>
      </x:c>
      <x:c r="X437" s="24" t="str">
        <x:v>tabela_rodenstock.pdf</x:v>
      </x:c>
      <x:c r="Y437" s="24" t="str">
        <x:v>alta</x:v>
      </x:c>
      <x:c r="Z437" s="24"/>
      <x:c r="AA437" s="24" t="str">
        <x:v>Rodenstock|Ocupacional B.I.G. NORM|Surfaçada|Impression Ergo B.I.G. NORM||1.6 Ergo PC/Book/Room|1.60|ROAD|-10 a +8|até -6||75/80|||13</x:v>
      </x:c>
    </x:row>
    <x:row r="438">
      <x:c r="A438" s="24" t="str">
        <x:v>RD-4D78CB538DEB</x:v>
      </x:c>
      <x:c r="B438" s="24" t="str">
        <x:v>SIM</x:v>
      </x:c>
      <x:c r="C438" s="24" t="str">
        <x:v>DISPONÍVEL</x:v>
      </x:c>
      <x:c r="D438" s="24" t="str">
        <x:v>Rodenstock</x:v>
      </x:c>
      <x:c r="E438" s="24" t="str">
        <x:v>Ocupacional B.I.G. NORM</x:v>
      </x:c>
      <x:c r="F438" s="24" t="str">
        <x:v>Surfaçada</x:v>
      </x:c>
      <x:c r="G438" s="24" t="str">
        <x:v>Impression Ergo B.I.G. NORM</x:v>
      </x:c>
      <x:c r="H438" s="24"/>
      <x:c r="I438" s="24" t="str">
        <x:v>1.6 Ergo PC/Book/Room</x:v>
      </x:c>
      <x:c r="J438" s="24" t="str">
        <x:v>1.60</x:v>
      </x:c>
      <x:c r="K438" s="24" t="str">
        <x:v>Solitaire Protect</x:v>
      </x:c>
      <x:c r="L438" s="40" t="n">
        <x:v>4215</x:v>
      </x:c>
      <x:c r="M438" s="24" t="str">
        <x:v>-10 a +8</x:v>
      </x:c>
      <x:c r="N438" s="24" t="str">
        <x:v>até -6</x:v>
      </x:c>
      <x:c r="O438" s="24"/>
      <x:c r="P438" s="24" t="str">
        <x:v>75/80</x:v>
      </x:c>
      <x:c r="Q438" s="24"/>
      <x:c r="R438" s="24"/>
      <x:c r="S438" s="26" t="n">
        <x:v>46024</x:v>
      </x:c>
      <x:c r="T438" s="26"/>
      <x:c r="U438" s="24" t="str">
        <x:v>ATIVA/SEM FIM INFORMADO</x:v>
      </x:c>
      <x:c r="V438" s="24"/>
      <x:c r="W438" s="24" t="n">
        <x:v>13</x:v>
      </x:c>
      <x:c r="X438" s="24" t="str">
        <x:v>tabela_rodenstock.pdf</x:v>
      </x:c>
      <x:c r="Y438" s="24" t="str">
        <x:v>alta</x:v>
      </x:c>
      <x:c r="Z438" s="24"/>
      <x:c r="AA438" s="24" t="str">
        <x:v>Rodenstock|Ocupacional B.I.G. NORM|Surfaçada|Impression Ergo B.I.G. NORM||1.6 Ergo PC/Book/Room|1.60|Solitaire Protect|-10 a +8|até -6||75/80|||13</x:v>
      </x:c>
    </x:row>
    <x:row r="439">
      <x:c r="A439" s="24" t="str">
        <x:v>RD-71D2A246BCAC</x:v>
      </x:c>
      <x:c r="B439" s="24" t="str">
        <x:v>SIM</x:v>
      </x:c>
      <x:c r="C439" s="24" t="str">
        <x:v>DISPONÍVEL</x:v>
      </x:c>
      <x:c r="D439" s="24" t="str">
        <x:v>Rodenstock</x:v>
      </x:c>
      <x:c r="E439" s="24" t="str">
        <x:v>Ocupacional B.I.G. NORM</x:v>
      </x:c>
      <x:c r="F439" s="24" t="str">
        <x:v>Surfaçada</x:v>
      </x:c>
      <x:c r="G439" s="24" t="str">
        <x:v>Impression Ergo B.I.G. NORM</x:v>
      </x:c>
      <x:c r="H439" s="24" t="str">
        <x:v>PRO410</x:v>
      </x:c>
      <x:c r="I439" s="24" t="str">
        <x:v>1.6</x:v>
      </x:c>
      <x:c r="J439" s="24" t="str">
        <x:v>1.60</x:v>
      </x:c>
      <x:c r="K439" s="24" t="str">
        <x:v>LayR X-tra Clean</x:v>
      </x:c>
      <x:c r="L439" s="40" t="n">
        <x:v>4763</x:v>
      </x:c>
      <x:c r="M439" s="24" t="str">
        <x:v>-10 a +8</x:v>
      </x:c>
      <x:c r="N439" s="24" t="str">
        <x:v>até -6</x:v>
      </x:c>
      <x:c r="O439" s="24"/>
      <x:c r="P439" s="24" t="str">
        <x:v>75/80</x:v>
      </x:c>
      <x:c r="Q439" s="24"/>
      <x:c r="R439" s="24"/>
      <x:c r="S439" s="26" t="n">
        <x:v>46024</x:v>
      </x:c>
      <x:c r="T439" s="26"/>
      <x:c r="U439" s="24" t="str">
        <x:v>ATIVA/SEM FIM INFORMADO</x:v>
      </x:c>
      <x:c r="V439" s="24"/>
      <x:c r="W439" s="24" t="n">
        <x:v>13</x:v>
      </x:c>
      <x:c r="X439" s="24" t="str">
        <x:v>tabela_rodenstock.pdf</x:v>
      </x:c>
      <x:c r="Y439" s="24" t="str">
        <x:v>alta</x:v>
      </x:c>
      <x:c r="Z439" s="24"/>
      <x:c r="AA439" s="24" t="str">
        <x:v>Rodenstock|Ocupacional B.I.G. NORM|Surfaçada|Impression Ergo B.I.G. NORM|PRO410|1.6|1.60|LayR X-tra Clean|-10 a +8|até -6||75/80|||13</x:v>
      </x:c>
    </x:row>
    <x:row r="440">
      <x:c r="A440" s="24" t="str">
        <x:v>RD-58D3BB86F345</x:v>
      </x:c>
      <x:c r="B440" s="24" t="str">
        <x:v>SIM</x:v>
      </x:c>
      <x:c r="C440" s="24" t="str">
        <x:v>DISPONÍVEL</x:v>
      </x:c>
      <x:c r="D440" s="24" t="str">
        <x:v>Rodenstock</x:v>
      </x:c>
      <x:c r="E440" s="24" t="str">
        <x:v>Ocupacional B.I.G. NORM</x:v>
      </x:c>
      <x:c r="F440" s="24" t="str">
        <x:v>Surfaçada</x:v>
      </x:c>
      <x:c r="G440" s="24" t="str">
        <x:v>Impression Ergo B.I.G. NORM</x:v>
      </x:c>
      <x:c r="H440" s="24" t="str">
        <x:v>PRO410</x:v>
      </x:c>
      <x:c r="I440" s="24" t="str">
        <x:v>1.6</x:v>
      </x:c>
      <x:c r="J440" s="24" t="str">
        <x:v>1.60</x:v>
      </x:c>
      <x:c r="K440" s="24" t="str">
        <x:v>LayR Balance</x:v>
      </x:c>
      <x:c r="L440" s="40" t="n">
        <x:v>4763</x:v>
      </x:c>
      <x:c r="M440" s="24" t="str">
        <x:v>-10 a +8</x:v>
      </x:c>
      <x:c r="N440" s="24" t="str">
        <x:v>até -6</x:v>
      </x:c>
      <x:c r="O440" s="24"/>
      <x:c r="P440" s="24" t="str">
        <x:v>75/80</x:v>
      </x:c>
      <x:c r="Q440" s="24"/>
      <x:c r="R440" s="24"/>
      <x:c r="S440" s="26" t="n">
        <x:v>46024</x:v>
      </x:c>
      <x:c r="T440" s="26"/>
      <x:c r="U440" s="24" t="str">
        <x:v>ATIVA/SEM FIM INFORMADO</x:v>
      </x:c>
      <x:c r="V440" s="24"/>
      <x:c r="W440" s="24" t="n">
        <x:v>13</x:v>
      </x:c>
      <x:c r="X440" s="24" t="str">
        <x:v>tabela_rodenstock.pdf</x:v>
      </x:c>
      <x:c r="Y440" s="24" t="str">
        <x:v>alta</x:v>
      </x:c>
      <x:c r="Z440" s="24"/>
      <x:c r="AA440" s="24" t="str">
        <x:v>Rodenstock|Ocupacional B.I.G. NORM|Surfaçada|Impression Ergo B.I.G. NORM|PRO410|1.6|1.60|LayR Balance|-10 a +8|até -6||75/80|||13</x:v>
      </x:c>
    </x:row>
    <x:row r="441">
      <x:c r="A441" s="24" t="str">
        <x:v>RD-D06C0A09DAD1</x:v>
      </x:c>
      <x:c r="B441" s="24" t="str">
        <x:v>SIM</x:v>
      </x:c>
      <x:c r="C441" s="24" t="str">
        <x:v>DISPONÍVEL</x:v>
      </x:c>
      <x:c r="D441" s="24" t="str">
        <x:v>Rodenstock</x:v>
      </x:c>
      <x:c r="E441" s="24" t="str">
        <x:v>Ocupacional B.I.G. NORM</x:v>
      </x:c>
      <x:c r="F441" s="24" t="str">
        <x:v>Surfaçada</x:v>
      </x:c>
      <x:c r="G441" s="24" t="str">
        <x:v>Impression Ergo B.I.G. NORM</x:v>
      </x:c>
      <x:c r="H441" s="24" t="str">
        <x:v>PRO410</x:v>
      </x:c>
      <x:c r="I441" s="24" t="str">
        <x:v>1.6</x:v>
      </x:c>
      <x:c r="J441" s="24" t="str">
        <x:v>1.60</x:v>
      </x:c>
      <x:c r="K441" s="24" t="str">
        <x:v>Solitaire X-tra Clean</x:v>
      </x:c>
      <x:c r="L441" s="40" t="n">
        <x:v>4693</x:v>
      </x:c>
      <x:c r="M441" s="24" t="str">
        <x:v>-10 a +8</x:v>
      </x:c>
      <x:c r="N441" s="24" t="str">
        <x:v>até -6</x:v>
      </x:c>
      <x:c r="O441" s="24"/>
      <x:c r="P441" s="24" t="str">
        <x:v>75/80</x:v>
      </x:c>
      <x:c r="Q441" s="24"/>
      <x:c r="R441" s="24"/>
      <x:c r="S441" s="26" t="n">
        <x:v>46024</x:v>
      </x:c>
      <x:c r="T441" s="26"/>
      <x:c r="U441" s="24" t="str">
        <x:v>ATIVA/SEM FIM INFORMADO</x:v>
      </x:c>
      <x:c r="V441" s="24"/>
      <x:c r="W441" s="24" t="n">
        <x:v>13</x:v>
      </x:c>
      <x:c r="X441" s="24" t="str">
        <x:v>tabela_rodenstock.pdf</x:v>
      </x:c>
      <x:c r="Y441" s="24" t="str">
        <x:v>alta</x:v>
      </x:c>
      <x:c r="Z441" s="24"/>
      <x:c r="AA441" s="24" t="str">
        <x:v>Rodenstock|Ocupacional B.I.G. NORM|Surfaçada|Impression Ergo B.I.G. NORM|PRO410|1.6|1.60|Solitaire X-tra Clean|-10 a +8|até -6||75/80|||13</x:v>
      </x:c>
    </x:row>
    <x:row r="442">
      <x:c r="A442" s="24" t="str">
        <x:v>RD-1DE81416C441</x:v>
      </x:c>
      <x:c r="B442" s="24" t="str">
        <x:v>SIM</x:v>
      </x:c>
      <x:c r="C442" s="24" t="str">
        <x:v>DISPONÍVEL</x:v>
      </x:c>
      <x:c r="D442" s="24" t="str">
        <x:v>Rodenstock</x:v>
      </x:c>
      <x:c r="E442" s="24" t="str">
        <x:v>Ocupacional B.I.G. NORM</x:v>
      </x:c>
      <x:c r="F442" s="24" t="str">
        <x:v>Surfaçada</x:v>
      </x:c>
      <x:c r="G442" s="24" t="str">
        <x:v>Impression Ergo B.I.G. NORM</x:v>
      </x:c>
      <x:c r="H442" s="24" t="str">
        <x:v>PRO410</x:v>
      </x:c>
      <x:c r="I442" s="24" t="str">
        <x:v>1.6</x:v>
      </x:c>
      <x:c r="J442" s="24" t="str">
        <x:v>1.60</x:v>
      </x:c>
      <x:c r="K442" s="24" t="str">
        <x:v>Solitaire Protect Plus</x:v>
      </x:c>
      <x:c r="L442" s="40" t="n">
        <x:v>4643</x:v>
      </x:c>
      <x:c r="M442" s="24" t="str">
        <x:v>-10 a +8</x:v>
      </x:c>
      <x:c r="N442" s="24" t="str">
        <x:v>até -6</x:v>
      </x:c>
      <x:c r="O442" s="24"/>
      <x:c r="P442" s="24" t="str">
        <x:v>75/80</x:v>
      </x:c>
      <x:c r="Q442" s="24"/>
      <x:c r="R442" s="24"/>
      <x:c r="S442" s="26" t="n">
        <x:v>46024</x:v>
      </x:c>
      <x:c r="T442" s="26"/>
      <x:c r="U442" s="24" t="str">
        <x:v>ATIVA/SEM FIM INFORMADO</x:v>
      </x:c>
      <x:c r="V442" s="24"/>
      <x:c r="W442" s="24" t="n">
        <x:v>13</x:v>
      </x:c>
      <x:c r="X442" s="24" t="str">
        <x:v>tabela_rodenstock.pdf</x:v>
      </x:c>
      <x:c r="Y442" s="24" t="str">
        <x:v>alta</x:v>
      </x:c>
      <x:c r="Z442" s="24"/>
      <x:c r="AA442" s="24" t="str">
        <x:v>Rodenstock|Ocupacional B.I.G. NORM|Surfaçada|Impression Ergo B.I.G. NORM|PRO410|1.6|1.60|Solitaire Protect Plus|-10 a +8|até -6||75/80|||13</x:v>
      </x:c>
    </x:row>
    <x:row r="443">
      <x:c r="A443" s="24" t="str">
        <x:v>RD-FFAE9255F32E</x:v>
      </x:c>
      <x:c r="B443" s="24" t="str">
        <x:v>SIM</x:v>
      </x:c>
      <x:c r="C443" s="24" t="str">
        <x:v>DISPONÍVEL</x:v>
      </x:c>
      <x:c r="D443" s="24" t="str">
        <x:v>Rodenstock</x:v>
      </x:c>
      <x:c r="E443" s="24" t="str">
        <x:v>Ocupacional B.I.G. NORM</x:v>
      </x:c>
      <x:c r="F443" s="24" t="str">
        <x:v>Surfaçada</x:v>
      </x:c>
      <x:c r="G443" s="24" t="str">
        <x:v>Impression Ergo B.I.G. NORM</x:v>
      </x:c>
      <x:c r="H443" s="24" t="str">
        <x:v>PRO410</x:v>
      </x:c>
      <x:c r="I443" s="24" t="str">
        <x:v>1.6</x:v>
      </x:c>
      <x:c r="J443" s="24" t="str">
        <x:v>1.60</x:v>
      </x:c>
      <x:c r="K443" s="24" t="str">
        <x:v>ROAD</x:v>
      </x:c>
      <x:c r="L443" s="40" t="n">
        <x:v>4643</x:v>
      </x:c>
      <x:c r="M443" s="24" t="str">
        <x:v>-10 a +8</x:v>
      </x:c>
      <x:c r="N443" s="24" t="str">
        <x:v>até -6</x:v>
      </x:c>
      <x:c r="O443" s="24"/>
      <x:c r="P443" s="24" t="str">
        <x:v>75/80</x:v>
      </x:c>
      <x:c r="Q443" s="24"/>
      <x:c r="R443" s="24"/>
      <x:c r="S443" s="26" t="n">
        <x:v>46024</x:v>
      </x:c>
      <x:c r="T443" s="26"/>
      <x:c r="U443" s="24" t="str">
        <x:v>ATIVA/SEM FIM INFORMADO</x:v>
      </x:c>
      <x:c r="V443" s="24"/>
      <x:c r="W443" s="24" t="n">
        <x:v>13</x:v>
      </x:c>
      <x:c r="X443" s="24" t="str">
        <x:v>tabela_rodenstock.pdf</x:v>
      </x:c>
      <x:c r="Y443" s="24" t="str">
        <x:v>alta</x:v>
      </x:c>
      <x:c r="Z443" s="24"/>
      <x:c r="AA443" s="24" t="str">
        <x:v>Rodenstock|Ocupacional B.I.G. NORM|Surfaçada|Impression Ergo B.I.G. NORM|PRO410|1.6|1.60|ROAD|-10 a +8|até -6||75/80|||13</x:v>
      </x:c>
    </x:row>
    <x:row r="444">
      <x:c r="A444" s="24" t="str">
        <x:v>RD-F4AAFC1AC103</x:v>
      </x:c>
      <x:c r="B444" s="24" t="str">
        <x:v>SIM</x:v>
      </x:c>
      <x:c r="C444" s="24" t="str">
        <x:v>DISPONÍVEL</x:v>
      </x:c>
      <x:c r="D444" s="24" t="str">
        <x:v>Rodenstock</x:v>
      </x:c>
      <x:c r="E444" s="24" t="str">
        <x:v>Ocupacional B.I.G. NORM</x:v>
      </x:c>
      <x:c r="F444" s="24" t="str">
        <x:v>Surfaçada</x:v>
      </x:c>
      <x:c r="G444" s="24" t="str">
        <x:v>Impression Ergo B.I.G. NORM</x:v>
      </x:c>
      <x:c r="H444" s="24" t="str">
        <x:v>PRO410</x:v>
      </x:c>
      <x:c r="I444" s="24" t="str">
        <x:v>1.6</x:v>
      </x:c>
      <x:c r="J444" s="24" t="str">
        <x:v>1.60</x:v>
      </x:c>
      <x:c r="K444" s="24" t="str">
        <x:v>Solitaire Protect</x:v>
      </x:c>
      <x:c r="L444" s="40" t="n">
        <x:v>4383</x:v>
      </x:c>
      <x:c r="M444" s="24" t="str">
        <x:v>-10 a +8</x:v>
      </x:c>
      <x:c r="N444" s="24" t="str">
        <x:v>até -6</x:v>
      </x:c>
      <x:c r="O444" s="24"/>
      <x:c r="P444" s="24" t="str">
        <x:v>75/80</x:v>
      </x:c>
      <x:c r="Q444" s="24"/>
      <x:c r="R444" s="24"/>
      <x:c r="S444" s="26" t="n">
        <x:v>46024</x:v>
      </x:c>
      <x:c r="T444" s="26"/>
      <x:c r="U444" s="24" t="str">
        <x:v>ATIVA/SEM FIM INFORMADO</x:v>
      </x:c>
      <x:c r="V444" s="24"/>
      <x:c r="W444" s="24" t="n">
        <x:v>13</x:v>
      </x:c>
      <x:c r="X444" s="24" t="str">
        <x:v>tabela_rodenstock.pdf</x:v>
      </x:c>
      <x:c r="Y444" s="24" t="str">
        <x:v>alta</x:v>
      </x:c>
      <x:c r="Z444" s="24"/>
      <x:c r="AA444" s="24" t="str">
        <x:v>Rodenstock|Ocupacional B.I.G. NORM|Surfaçada|Impression Ergo B.I.G. NORM|PRO410|1.6|1.60|Solitaire Protect|-10 a +8|até -6||75/80|||13</x:v>
      </x:c>
    </x:row>
    <x:row r="445">
      <x:c r="A445" s="24" t="str">
        <x:v>RD-8F30870B2E63</x:v>
      </x:c>
      <x:c r="B445" s="24" t="str">
        <x:v>SIM</x:v>
      </x:c>
      <x:c r="C445" s="24" t="str">
        <x:v>DISPONÍVEL</x:v>
      </x:c>
      <x:c r="D445" s="24" t="str">
        <x:v>Rodenstock</x:v>
      </x:c>
      <x:c r="E445" s="24" t="str">
        <x:v>Ocupacional B.I.G. NORM</x:v>
      </x:c>
      <x:c r="F445" s="24" t="str">
        <x:v>Surfaçada</x:v>
      </x:c>
      <x:c r="G445" s="24" t="str">
        <x:v>Impression Ergo B.I.G. NORM</x:v>
      </x:c>
      <x:c r="H445" s="24"/>
      <x:c r="I445" s="24" t="str">
        <x:v>1.67 Ergo PC/Book/Room</x:v>
      </x:c>
      <x:c r="J445" s="24" t="str">
        <x:v>1.67</x:v>
      </x:c>
      <x:c r="K445" s="24" t="str">
        <x:v>LayR X-tra Clean</x:v>
      </x:c>
      <x:c r="L445" s="40" t="n">
        <x:v>6373</x:v>
      </x:c>
      <x:c r="M445" s="24" t="str">
        <x:v>-10 a +8</x:v>
      </x:c>
      <x:c r="N445" s="24" t="str">
        <x:v>até -6</x:v>
      </x:c>
      <x:c r="O445" s="24"/>
      <x:c r="P445" s="24" t="str">
        <x:v>75/80</x:v>
      </x:c>
      <x:c r="Q445" s="24"/>
      <x:c r="R445" s="24"/>
      <x:c r="S445" s="26" t="n">
        <x:v>46024</x:v>
      </x:c>
      <x:c r="T445" s="26"/>
      <x:c r="U445" s="24" t="str">
        <x:v>ATIVA/SEM FIM INFORMADO</x:v>
      </x:c>
      <x:c r="V445" s="24"/>
      <x:c r="W445" s="24" t="n">
        <x:v>13</x:v>
      </x:c>
      <x:c r="X445" s="24" t="str">
        <x:v>tabela_rodenstock.pdf</x:v>
      </x:c>
      <x:c r="Y445" s="24" t="str">
        <x:v>alta</x:v>
      </x:c>
      <x:c r="Z445" s="24"/>
      <x:c r="AA445" s="24" t="str">
        <x:v>Rodenstock|Ocupacional B.I.G. NORM|Surfaçada|Impression Ergo B.I.G. NORM||1.67 Ergo PC/Book/Room|1.67|LayR X-tra Clean|-10 a +8|até -6||75/80|||13</x:v>
      </x:c>
    </x:row>
    <x:row r="446">
      <x:c r="A446" s="24" t="str">
        <x:v>RD-F4E9DF468DED</x:v>
      </x:c>
      <x:c r="B446" s="24" t="str">
        <x:v>SIM</x:v>
      </x:c>
      <x:c r="C446" s="24" t="str">
        <x:v>DISPONÍVEL</x:v>
      </x:c>
      <x:c r="D446" s="24" t="str">
        <x:v>Rodenstock</x:v>
      </x:c>
      <x:c r="E446" s="24" t="str">
        <x:v>Ocupacional B.I.G. NORM</x:v>
      </x:c>
      <x:c r="F446" s="24" t="str">
        <x:v>Surfaçada</x:v>
      </x:c>
      <x:c r="G446" s="24" t="str">
        <x:v>Impression Ergo B.I.G. NORM</x:v>
      </x:c>
      <x:c r="H446" s="24"/>
      <x:c r="I446" s="24" t="str">
        <x:v>1.67 Ergo PC/Book/Room</x:v>
      </x:c>
      <x:c r="J446" s="24" t="str">
        <x:v>1.67</x:v>
      </x:c>
      <x:c r="K446" s="24" t="str">
        <x:v>LayR Balance</x:v>
      </x:c>
      <x:c r="L446" s="40" t="n">
        <x:v>6373</x:v>
      </x:c>
      <x:c r="M446" s="24" t="str">
        <x:v>-10 a +8</x:v>
      </x:c>
      <x:c r="N446" s="24" t="str">
        <x:v>até -6</x:v>
      </x:c>
      <x:c r="O446" s="24"/>
      <x:c r="P446" s="24" t="str">
        <x:v>75/80</x:v>
      </x:c>
      <x:c r="Q446" s="24"/>
      <x:c r="R446" s="24"/>
      <x:c r="S446" s="26" t="n">
        <x:v>46024</x:v>
      </x:c>
      <x:c r="T446" s="26"/>
      <x:c r="U446" s="24" t="str">
        <x:v>ATIVA/SEM FIM INFORMADO</x:v>
      </x:c>
      <x:c r="V446" s="24"/>
      <x:c r="W446" s="24" t="n">
        <x:v>13</x:v>
      </x:c>
      <x:c r="X446" s="24" t="str">
        <x:v>tabela_rodenstock.pdf</x:v>
      </x:c>
      <x:c r="Y446" s="24" t="str">
        <x:v>alta</x:v>
      </x:c>
      <x:c r="Z446" s="24"/>
      <x:c r="AA446" s="24" t="str">
        <x:v>Rodenstock|Ocupacional B.I.G. NORM|Surfaçada|Impression Ergo B.I.G. NORM||1.67 Ergo PC/Book/Room|1.67|LayR Balance|-10 a +8|até -6||75/80|||13</x:v>
      </x:c>
    </x:row>
    <x:row r="447">
      <x:c r="A447" s="24" t="str">
        <x:v>RD-098BDC729989</x:v>
      </x:c>
      <x:c r="B447" s="24" t="str">
        <x:v>SIM</x:v>
      </x:c>
      <x:c r="C447" s="24" t="str">
        <x:v>DISPONÍVEL</x:v>
      </x:c>
      <x:c r="D447" s="24" t="str">
        <x:v>Rodenstock</x:v>
      </x:c>
      <x:c r="E447" s="24" t="str">
        <x:v>Ocupacional B.I.G. NORM</x:v>
      </x:c>
      <x:c r="F447" s="24" t="str">
        <x:v>Surfaçada</x:v>
      </x:c>
      <x:c r="G447" s="24" t="str">
        <x:v>Impression Ergo B.I.G. NORM</x:v>
      </x:c>
      <x:c r="H447" s="24"/>
      <x:c r="I447" s="24" t="str">
        <x:v>1.67 Ergo PC/Book/Room</x:v>
      </x:c>
      <x:c r="J447" s="24" t="str">
        <x:v>1.67</x:v>
      </x:c>
      <x:c r="K447" s="24" t="str">
        <x:v>Solitaire X-tra Clean</x:v>
      </x:c>
      <x:c r="L447" s="40" t="n">
        <x:v>6303</x:v>
      </x:c>
      <x:c r="M447" s="24" t="str">
        <x:v>-10 a +8</x:v>
      </x:c>
      <x:c r="N447" s="24" t="str">
        <x:v>até -6</x:v>
      </x:c>
      <x:c r="O447" s="24"/>
      <x:c r="P447" s="24" t="str">
        <x:v>75/80</x:v>
      </x:c>
      <x:c r="Q447" s="24"/>
      <x:c r="R447" s="24"/>
      <x:c r="S447" s="26" t="n">
        <x:v>46024</x:v>
      </x:c>
      <x:c r="T447" s="26"/>
      <x:c r="U447" s="24" t="str">
        <x:v>ATIVA/SEM FIM INFORMADO</x:v>
      </x:c>
      <x:c r="V447" s="24"/>
      <x:c r="W447" s="24" t="n">
        <x:v>13</x:v>
      </x:c>
      <x:c r="X447" s="24" t="str">
        <x:v>tabela_rodenstock.pdf</x:v>
      </x:c>
      <x:c r="Y447" s="24" t="str">
        <x:v>alta</x:v>
      </x:c>
      <x:c r="Z447" s="24"/>
      <x:c r="AA447" s="24" t="str">
        <x:v>Rodenstock|Ocupacional B.I.G. NORM|Surfaçada|Impression Ergo B.I.G. NORM||1.67 Ergo PC/Book/Room|1.67|Solitaire X-tra Clean|-10 a +8|até -6||75/80|||13</x:v>
      </x:c>
    </x:row>
    <x:row r="448">
      <x:c r="A448" s="24" t="str">
        <x:v>RD-51E52711A388</x:v>
      </x:c>
      <x:c r="B448" s="24" t="str">
        <x:v>SIM</x:v>
      </x:c>
      <x:c r="C448" s="24" t="str">
        <x:v>DISPONÍVEL</x:v>
      </x:c>
      <x:c r="D448" s="24" t="str">
        <x:v>Rodenstock</x:v>
      </x:c>
      <x:c r="E448" s="24" t="str">
        <x:v>Ocupacional B.I.G. NORM</x:v>
      </x:c>
      <x:c r="F448" s="24" t="str">
        <x:v>Surfaçada</x:v>
      </x:c>
      <x:c r="G448" s="24" t="str">
        <x:v>Impression Ergo B.I.G. NORM</x:v>
      </x:c>
      <x:c r="H448" s="24"/>
      <x:c r="I448" s="24" t="str">
        <x:v>1.67 Ergo PC/Book/Room</x:v>
      </x:c>
      <x:c r="J448" s="24" t="str">
        <x:v>1.67</x:v>
      </x:c>
      <x:c r="K448" s="24" t="str">
        <x:v>Solitaire Protect Plus</x:v>
      </x:c>
      <x:c r="L448" s="40" t="n">
        <x:v>6253</x:v>
      </x:c>
      <x:c r="M448" s="24" t="str">
        <x:v>-10 a +8</x:v>
      </x:c>
      <x:c r="N448" s="24" t="str">
        <x:v>até -6</x:v>
      </x:c>
      <x:c r="O448" s="24"/>
      <x:c r="P448" s="24" t="str">
        <x:v>75/80</x:v>
      </x:c>
      <x:c r="Q448" s="24"/>
      <x:c r="R448" s="24"/>
      <x:c r="S448" s="26" t="n">
        <x:v>46024</x:v>
      </x:c>
      <x:c r="T448" s="26"/>
      <x:c r="U448" s="24" t="str">
        <x:v>ATIVA/SEM FIM INFORMADO</x:v>
      </x:c>
      <x:c r="V448" s="24"/>
      <x:c r="W448" s="24" t="n">
        <x:v>13</x:v>
      </x:c>
      <x:c r="X448" s="24" t="str">
        <x:v>tabela_rodenstock.pdf</x:v>
      </x:c>
      <x:c r="Y448" s="24" t="str">
        <x:v>alta</x:v>
      </x:c>
      <x:c r="Z448" s="24"/>
      <x:c r="AA448" s="24" t="str">
        <x:v>Rodenstock|Ocupacional B.I.G. NORM|Surfaçada|Impression Ergo B.I.G. NORM||1.67 Ergo PC/Book/Room|1.67|Solitaire Protect Plus|-10 a +8|até -6||75/80|||13</x:v>
      </x:c>
    </x:row>
    <x:row r="449">
      <x:c r="A449" s="24" t="str">
        <x:v>RD-C7E6ABA5EF16</x:v>
      </x:c>
      <x:c r="B449" s="24" t="str">
        <x:v>SIM</x:v>
      </x:c>
      <x:c r="C449" s="24" t="str">
        <x:v>DISPONÍVEL</x:v>
      </x:c>
      <x:c r="D449" s="24" t="str">
        <x:v>Rodenstock</x:v>
      </x:c>
      <x:c r="E449" s="24" t="str">
        <x:v>Ocupacional B.I.G. NORM</x:v>
      </x:c>
      <x:c r="F449" s="24" t="str">
        <x:v>Surfaçada</x:v>
      </x:c>
      <x:c r="G449" s="24" t="str">
        <x:v>Impression Ergo B.I.G. NORM</x:v>
      </x:c>
      <x:c r="H449" s="24"/>
      <x:c r="I449" s="24" t="str">
        <x:v>1.67 Ergo PC/Book/Room</x:v>
      </x:c>
      <x:c r="J449" s="24" t="str">
        <x:v>1.67</x:v>
      </x:c>
      <x:c r="K449" s="24" t="str">
        <x:v>ROAD</x:v>
      </x:c>
      <x:c r="L449" s="40" t="n">
        <x:v>6253</x:v>
      </x:c>
      <x:c r="M449" s="24" t="str">
        <x:v>-10 a +8</x:v>
      </x:c>
      <x:c r="N449" s="24" t="str">
        <x:v>até -6</x:v>
      </x:c>
      <x:c r="O449" s="24"/>
      <x:c r="P449" s="24" t="str">
        <x:v>75/80</x:v>
      </x:c>
      <x:c r="Q449" s="24"/>
      <x:c r="R449" s="24"/>
      <x:c r="S449" s="26" t="n">
        <x:v>46024</x:v>
      </x:c>
      <x:c r="T449" s="26"/>
      <x:c r="U449" s="24" t="str">
        <x:v>ATIVA/SEM FIM INFORMADO</x:v>
      </x:c>
      <x:c r="V449" s="24"/>
      <x:c r="W449" s="24" t="n">
        <x:v>13</x:v>
      </x:c>
      <x:c r="X449" s="24" t="str">
        <x:v>tabela_rodenstock.pdf</x:v>
      </x:c>
      <x:c r="Y449" s="24" t="str">
        <x:v>alta</x:v>
      </x:c>
      <x:c r="Z449" s="24"/>
      <x:c r="AA449" s="24" t="str">
        <x:v>Rodenstock|Ocupacional B.I.G. NORM|Surfaçada|Impression Ergo B.I.G. NORM||1.67 Ergo PC/Book/Room|1.67|ROAD|-10 a +8|até -6||75/80|||13</x:v>
      </x:c>
    </x:row>
    <x:row r="450">
      <x:c r="A450" s="24" t="str">
        <x:v>RD-1127CAC72185</x:v>
      </x:c>
      <x:c r="B450" s="24" t="str">
        <x:v>SIM</x:v>
      </x:c>
      <x:c r="C450" s="24" t="str">
        <x:v>DISPONÍVEL</x:v>
      </x:c>
      <x:c r="D450" s="24" t="str">
        <x:v>Rodenstock</x:v>
      </x:c>
      <x:c r="E450" s="24" t="str">
        <x:v>Ocupacional B.I.G. NORM</x:v>
      </x:c>
      <x:c r="F450" s="24" t="str">
        <x:v>Surfaçada</x:v>
      </x:c>
      <x:c r="G450" s="24" t="str">
        <x:v>Impression Ergo B.I.G. NORM</x:v>
      </x:c>
      <x:c r="H450" s="24"/>
      <x:c r="I450" s="24" t="str">
        <x:v>1.67 Ergo PC/Book/Room</x:v>
      </x:c>
      <x:c r="J450" s="24" t="str">
        <x:v>1.67</x:v>
      </x:c>
      <x:c r="K450" s="24" t="str">
        <x:v>Solitaire Protect</x:v>
      </x:c>
      <x:c r="L450" s="40" t="n">
        <x:v>5993</x:v>
      </x:c>
      <x:c r="M450" s="24" t="str">
        <x:v>-10 a +8</x:v>
      </x:c>
      <x:c r="N450" s="24" t="str">
        <x:v>até -6</x:v>
      </x:c>
      <x:c r="O450" s="24"/>
      <x:c r="P450" s="24" t="str">
        <x:v>75/80</x:v>
      </x:c>
      <x:c r="Q450" s="24"/>
      <x:c r="R450" s="24"/>
      <x:c r="S450" s="26" t="n">
        <x:v>46024</x:v>
      </x:c>
      <x:c r="T450" s="26"/>
      <x:c r="U450" s="24" t="str">
        <x:v>ATIVA/SEM FIM INFORMADO</x:v>
      </x:c>
      <x:c r="V450" s="24"/>
      <x:c r="W450" s="24" t="n">
        <x:v>13</x:v>
      </x:c>
      <x:c r="X450" s="24" t="str">
        <x:v>tabela_rodenstock.pdf</x:v>
      </x:c>
      <x:c r="Y450" s="24" t="str">
        <x:v>alta</x:v>
      </x:c>
      <x:c r="Z450" s="24"/>
      <x:c r="AA450" s="24" t="str">
        <x:v>Rodenstock|Ocupacional B.I.G. NORM|Surfaçada|Impression Ergo B.I.G. NORM||1.67 Ergo PC/Book/Room|1.67|Solitaire Protect|-10 a +8|até -6||75/80|||13</x:v>
      </x:c>
    </x:row>
    <x:row r="451">
      <x:c r="A451" s="24" t="str">
        <x:v>RD-26ECDB9B19C2</x:v>
      </x:c>
      <x:c r="B451" s="24" t="str">
        <x:v>SIM</x:v>
      </x:c>
      <x:c r="C451" s="24" t="str">
        <x:v>DISPONÍVEL</x:v>
      </x:c>
      <x:c r="D451" s="24" t="str">
        <x:v>Rodenstock</x:v>
      </x:c>
      <x:c r="E451" s="24" t="str">
        <x:v>Ocupacional B.I.G. NORM</x:v>
      </x:c>
      <x:c r="F451" s="24" t="str">
        <x:v>Surfaçada</x:v>
      </x:c>
      <x:c r="G451" s="24" t="str">
        <x:v>Impression Ergo B.I.G. NORM</x:v>
      </x:c>
      <x:c r="H451" s="24"/>
      <x:c r="I451" s="24" t="str">
        <x:v>1.74 Ergo PC/Book/Room</x:v>
      </x:c>
      <x:c r="J451" s="24" t="str">
        <x:v>1.74</x:v>
      </x:c>
      <x:c r="K451" s="24" t="str">
        <x:v>LayR X-tra Clean</x:v>
      </x:c>
      <x:c r="L451" s="40" t="n">
        <x:v>7766</x:v>
      </x:c>
      <x:c r="M451" s="24" t="str">
        <x:v>-10 a +8</x:v>
      </x:c>
      <x:c r="N451" s="24" t="str">
        <x:v>até -6</x:v>
      </x:c>
      <x:c r="O451" s="24"/>
      <x:c r="P451" s="24" t="str">
        <x:v>75/80</x:v>
      </x:c>
      <x:c r="Q451" s="24"/>
      <x:c r="R451" s="24"/>
      <x:c r="S451" s="26" t="n">
        <x:v>46024</x:v>
      </x:c>
      <x:c r="T451" s="26"/>
      <x:c r="U451" s="24" t="str">
        <x:v>ATIVA/SEM FIM INFORMADO</x:v>
      </x:c>
      <x:c r="V451" s="24"/>
      <x:c r="W451" s="24" t="n">
        <x:v>13</x:v>
      </x:c>
      <x:c r="X451" s="24" t="str">
        <x:v>tabela_rodenstock.pdf</x:v>
      </x:c>
      <x:c r="Y451" s="24" t="str">
        <x:v>alta</x:v>
      </x:c>
      <x:c r="Z451" s="24"/>
      <x:c r="AA451" s="24" t="str">
        <x:v>Rodenstock|Ocupacional B.I.G. NORM|Surfaçada|Impression Ergo B.I.G. NORM||1.74 Ergo PC/Book/Room|1.74|LayR X-tra Clean|-10 a +8|até -6||75/80|||13</x:v>
      </x:c>
    </x:row>
    <x:row r="452">
      <x:c r="A452" s="24" t="str">
        <x:v>RD-BCD7B534D69A</x:v>
      </x:c>
      <x:c r="B452" s="24" t="str">
        <x:v>SIM</x:v>
      </x:c>
      <x:c r="C452" s="24" t="str">
        <x:v>DISPONÍVEL</x:v>
      </x:c>
      <x:c r="D452" s="24" t="str">
        <x:v>Rodenstock</x:v>
      </x:c>
      <x:c r="E452" s="24" t="str">
        <x:v>Ocupacional B.I.G. NORM</x:v>
      </x:c>
      <x:c r="F452" s="24" t="str">
        <x:v>Surfaçada</x:v>
      </x:c>
      <x:c r="G452" s="24" t="str">
        <x:v>Impression Ergo B.I.G. NORM</x:v>
      </x:c>
      <x:c r="H452" s="24"/>
      <x:c r="I452" s="24" t="str">
        <x:v>1.74 Ergo PC/Book/Room</x:v>
      </x:c>
      <x:c r="J452" s="24" t="str">
        <x:v>1.74</x:v>
      </x:c>
      <x:c r="K452" s="24" t="str">
        <x:v>LayR Balance</x:v>
      </x:c>
      <x:c r="L452" s="40" t="n">
        <x:v>7766</x:v>
      </x:c>
      <x:c r="M452" s="24" t="str">
        <x:v>-10 a +8</x:v>
      </x:c>
      <x:c r="N452" s="24" t="str">
        <x:v>até -6</x:v>
      </x:c>
      <x:c r="O452" s="24"/>
      <x:c r="P452" s="24" t="str">
        <x:v>75/80</x:v>
      </x:c>
      <x:c r="Q452" s="24"/>
      <x:c r="R452" s="24"/>
      <x:c r="S452" s="26" t="n">
        <x:v>46024</x:v>
      </x:c>
      <x:c r="T452" s="26"/>
      <x:c r="U452" s="24" t="str">
        <x:v>ATIVA/SEM FIM INFORMADO</x:v>
      </x:c>
      <x:c r="V452" s="24"/>
      <x:c r="W452" s="24" t="n">
        <x:v>13</x:v>
      </x:c>
      <x:c r="X452" s="24" t="str">
        <x:v>tabela_rodenstock.pdf</x:v>
      </x:c>
      <x:c r="Y452" s="24" t="str">
        <x:v>alta</x:v>
      </x:c>
      <x:c r="Z452" s="24"/>
      <x:c r="AA452" s="24" t="str">
        <x:v>Rodenstock|Ocupacional B.I.G. NORM|Surfaçada|Impression Ergo B.I.G. NORM||1.74 Ergo PC/Book/Room|1.74|LayR Balance|-10 a +8|até -6||75/80|||13</x:v>
      </x:c>
    </x:row>
    <x:row r="453">
      <x:c r="A453" s="24" t="str">
        <x:v>RD-B5F58DF2D771</x:v>
      </x:c>
      <x:c r="B453" s="24" t="str">
        <x:v>SIM</x:v>
      </x:c>
      <x:c r="C453" s="24" t="str">
        <x:v>DISPONÍVEL</x:v>
      </x:c>
      <x:c r="D453" s="24" t="str">
        <x:v>Rodenstock</x:v>
      </x:c>
      <x:c r="E453" s="24" t="str">
        <x:v>Ocupacional B.I.G. NORM</x:v>
      </x:c>
      <x:c r="F453" s="24" t="str">
        <x:v>Surfaçada</x:v>
      </x:c>
      <x:c r="G453" s="24" t="str">
        <x:v>Impression Ergo B.I.G. NORM</x:v>
      </x:c>
      <x:c r="H453" s="24"/>
      <x:c r="I453" s="24" t="str">
        <x:v>1.74 Ergo PC/Book/Room</x:v>
      </x:c>
      <x:c r="J453" s="24" t="str">
        <x:v>1.74</x:v>
      </x:c>
      <x:c r="K453" s="24" t="str">
        <x:v>Solitaire X-tra Clean</x:v>
      </x:c>
      <x:c r="L453" s="40" t="n">
        <x:v>7696</x:v>
      </x:c>
      <x:c r="M453" s="24" t="str">
        <x:v>-10 a +8</x:v>
      </x:c>
      <x:c r="N453" s="24" t="str">
        <x:v>até -6</x:v>
      </x:c>
      <x:c r="O453" s="24"/>
      <x:c r="P453" s="24" t="str">
        <x:v>75/80</x:v>
      </x:c>
      <x:c r="Q453" s="24"/>
      <x:c r="R453" s="24"/>
      <x:c r="S453" s="26" t="n">
        <x:v>46024</x:v>
      </x:c>
      <x:c r="T453" s="26"/>
      <x:c r="U453" s="24" t="str">
        <x:v>ATIVA/SEM FIM INFORMADO</x:v>
      </x:c>
      <x:c r="V453" s="24"/>
      <x:c r="W453" s="24" t="n">
        <x:v>13</x:v>
      </x:c>
      <x:c r="X453" s="24" t="str">
        <x:v>tabela_rodenstock.pdf</x:v>
      </x:c>
      <x:c r="Y453" s="24" t="str">
        <x:v>alta</x:v>
      </x:c>
      <x:c r="Z453" s="24"/>
      <x:c r="AA453" s="24" t="str">
        <x:v>Rodenstock|Ocupacional B.I.G. NORM|Surfaçada|Impression Ergo B.I.G. NORM||1.74 Ergo PC/Book/Room|1.74|Solitaire X-tra Clean|-10 a +8|até -6||75/80|||13</x:v>
      </x:c>
    </x:row>
    <x:row r="454">
      <x:c r="A454" s="24" t="str">
        <x:v>RD-1EF0BC206CA3</x:v>
      </x:c>
      <x:c r="B454" s="24" t="str">
        <x:v>SIM</x:v>
      </x:c>
      <x:c r="C454" s="24" t="str">
        <x:v>DISPONÍVEL</x:v>
      </x:c>
      <x:c r="D454" s="24" t="str">
        <x:v>Rodenstock</x:v>
      </x:c>
      <x:c r="E454" s="24" t="str">
        <x:v>Ocupacional B.I.G. NORM</x:v>
      </x:c>
      <x:c r="F454" s="24" t="str">
        <x:v>Surfaçada</x:v>
      </x:c>
      <x:c r="G454" s="24" t="str">
        <x:v>Impression Ergo B.I.G. NORM</x:v>
      </x:c>
      <x:c r="H454" s="24"/>
      <x:c r="I454" s="24" t="str">
        <x:v>1.74 Ergo PC/Book/Room</x:v>
      </x:c>
      <x:c r="J454" s="24" t="str">
        <x:v>1.74</x:v>
      </x:c>
      <x:c r="K454" s="24" t="str">
        <x:v>Solitaire Protect Plus</x:v>
      </x:c>
      <x:c r="L454" s="40" t="n">
        <x:v>7646</x:v>
      </x:c>
      <x:c r="M454" s="24" t="str">
        <x:v>-10 a +8</x:v>
      </x:c>
      <x:c r="N454" s="24" t="str">
        <x:v>até -6</x:v>
      </x:c>
      <x:c r="O454" s="24"/>
      <x:c r="P454" s="24" t="str">
        <x:v>75/80</x:v>
      </x:c>
      <x:c r="Q454" s="24"/>
      <x:c r="R454" s="24"/>
      <x:c r="S454" s="26" t="n">
        <x:v>46024</x:v>
      </x:c>
      <x:c r="T454" s="26"/>
      <x:c r="U454" s="24" t="str">
        <x:v>ATIVA/SEM FIM INFORMADO</x:v>
      </x:c>
      <x:c r="V454" s="24"/>
      <x:c r="W454" s="24" t="n">
        <x:v>13</x:v>
      </x:c>
      <x:c r="X454" s="24" t="str">
        <x:v>tabela_rodenstock.pdf</x:v>
      </x:c>
      <x:c r="Y454" s="24" t="str">
        <x:v>alta</x:v>
      </x:c>
      <x:c r="Z454" s="24"/>
      <x:c r="AA454" s="24" t="str">
        <x:v>Rodenstock|Ocupacional B.I.G. NORM|Surfaçada|Impression Ergo B.I.G. NORM||1.74 Ergo PC/Book/Room|1.74|Solitaire Protect Plus|-10 a +8|até -6||75/80|||13</x:v>
      </x:c>
    </x:row>
    <x:row r="455">
      <x:c r="A455" s="24" t="str">
        <x:v>RD-5DDC83B616F9</x:v>
      </x:c>
      <x:c r="B455" s="24" t="str">
        <x:v>SIM</x:v>
      </x:c>
      <x:c r="C455" s="24" t="str">
        <x:v>DISPONÍVEL</x:v>
      </x:c>
      <x:c r="D455" s="24" t="str">
        <x:v>Rodenstock</x:v>
      </x:c>
      <x:c r="E455" s="24" t="str">
        <x:v>Ocupacional B.I.G. NORM</x:v>
      </x:c>
      <x:c r="F455" s="24" t="str">
        <x:v>Surfaçada</x:v>
      </x:c>
      <x:c r="G455" s="24" t="str">
        <x:v>Impression Ergo B.I.G. NORM</x:v>
      </x:c>
      <x:c r="H455" s="24"/>
      <x:c r="I455" s="24" t="str">
        <x:v>1.74 Ergo PC/Book/Room</x:v>
      </x:c>
      <x:c r="J455" s="24" t="str">
        <x:v>1.74</x:v>
      </x:c>
      <x:c r="K455" s="24" t="str">
        <x:v>Solitaire Protect</x:v>
      </x:c>
      <x:c r="L455" s="40" t="n">
        <x:v>7386</x:v>
      </x:c>
      <x:c r="M455" s="24" t="str">
        <x:v>-10 a +8</x:v>
      </x:c>
      <x:c r="N455" s="24" t="str">
        <x:v>até -6</x:v>
      </x:c>
      <x:c r="O455" s="24"/>
      <x:c r="P455" s="24" t="str">
        <x:v>75/80</x:v>
      </x:c>
      <x:c r="Q455" s="24"/>
      <x:c r="R455" s="24"/>
      <x:c r="S455" s="26" t="n">
        <x:v>46024</x:v>
      </x:c>
      <x:c r="T455" s="26"/>
      <x:c r="U455" s="24" t="str">
        <x:v>ATIVA/SEM FIM INFORMADO</x:v>
      </x:c>
      <x:c r="V455" s="24"/>
      <x:c r="W455" s="24" t="n">
        <x:v>13</x:v>
      </x:c>
      <x:c r="X455" s="24" t="str">
        <x:v>tabela_rodenstock.pdf</x:v>
      </x:c>
      <x:c r="Y455" s="24" t="str">
        <x:v>alta</x:v>
      </x:c>
      <x:c r="Z455" s="24"/>
      <x:c r="AA455" s="24" t="str">
        <x:v>Rodenstock|Ocupacional B.I.G. NORM|Surfaçada|Impression Ergo B.I.G. NORM||1.74 Ergo PC/Book/Room|1.74|Solitaire Protect|-10 a +8|até -6||75/80|||13</x:v>
      </x:c>
    </x:row>
    <x:row r="456">
      <x:c r="A456" s="24" t="str">
        <x:v>RD-24345073B183</x:v>
      </x:c>
      <x:c r="B456" s="24" t="str">
        <x:v>SIM</x:v>
      </x:c>
      <x:c r="C456" s="24" t="str">
        <x:v>DISPONÍVEL</x:v>
      </x:c>
      <x:c r="D456" s="24" t="str">
        <x:v>Rodenstock</x:v>
      </x:c>
      <x:c r="E456" s="24" t="str">
        <x:v>Ocupacional B.I.G. NORM</x:v>
      </x:c>
      <x:c r="F456" s="24" t="str">
        <x:v>Surfaçada</x:v>
      </x:c>
      <x:c r="G456" s="24" t="str">
        <x:v>Multigressiv Ergo B.I.G. NORM</x:v>
      </x:c>
      <x:c r="H456" s="24"/>
      <x:c r="I456" s="24" t="str">
        <x:v>1.5 Ergo PC/Book/Room</x:v>
      </x:c>
      <x:c r="J456" s="24" t="str">
        <x:v>1.50</x:v>
      </x:c>
      <x:c r="K456" s="24" t="str">
        <x:v>LayR X-tra Clean</x:v>
      </x:c>
      <x:c r="L456" s="40" t="n">
        <x:v>2739</x:v>
      </x:c>
      <x:c r="M456" s="24" t="str">
        <x:v>-8 a +8</x:v>
      </x:c>
      <x:c r="N456" s="24" t="str">
        <x:v>até -6</x:v>
      </x:c>
      <x:c r="O456" s="24"/>
      <x:c r="P456" s="24" t="str">
        <x:v>75/80</x:v>
      </x:c>
      <x:c r="Q456" s="24"/>
      <x:c r="R456" s="24"/>
      <x:c r="S456" s="26" t="n">
        <x:v>46024</x:v>
      </x:c>
      <x:c r="T456" s="26"/>
      <x:c r="U456" s="24" t="str">
        <x:v>ATIVA/SEM FIM INFORMADO</x:v>
      </x:c>
      <x:c r="V456" s="24"/>
      <x:c r="W456" s="24" t="n">
        <x:v>13</x:v>
      </x:c>
      <x:c r="X456" s="24" t="str">
        <x:v>tabela_rodenstock.pdf</x:v>
      </x:c>
      <x:c r="Y456" s="24" t="str">
        <x:v>alta</x:v>
      </x:c>
      <x:c r="Z456" s="24"/>
      <x:c r="AA456" s="24" t="str">
        <x:v>Rodenstock|Ocupacional B.I.G. NORM|Surfaçada|Multigressiv Ergo B.I.G. NORM||1.5 Ergo PC/Book/Room|1.50|LayR X-tra Clean|-8 a +8|até -6||75/80|||13</x:v>
      </x:c>
    </x:row>
    <x:row r="457">
      <x:c r="A457" s="24" t="str">
        <x:v>RD-133827629E2F</x:v>
      </x:c>
      <x:c r="B457" s="24" t="str">
        <x:v>SIM</x:v>
      </x:c>
      <x:c r="C457" s="24" t="str">
        <x:v>DISPONÍVEL</x:v>
      </x:c>
      <x:c r="D457" s="24" t="str">
        <x:v>Rodenstock</x:v>
      </x:c>
      <x:c r="E457" s="24" t="str">
        <x:v>Ocupacional B.I.G. NORM</x:v>
      </x:c>
      <x:c r="F457" s="24" t="str">
        <x:v>Surfaçada</x:v>
      </x:c>
      <x:c r="G457" s="24" t="str">
        <x:v>Multigressiv Ergo B.I.G. NORM</x:v>
      </x:c>
      <x:c r="H457" s="24"/>
      <x:c r="I457" s="24" t="str">
        <x:v>1.5 Ergo PC/Book/Room</x:v>
      </x:c>
      <x:c r="J457" s="24" t="str">
        <x:v>1.50</x:v>
      </x:c>
      <x:c r="K457" s="24" t="str">
        <x:v>LayR Balance</x:v>
      </x:c>
      <x:c r="L457" s="40" t="n">
        <x:v>2739</x:v>
      </x:c>
      <x:c r="M457" s="24" t="str">
        <x:v>-8 a +8</x:v>
      </x:c>
      <x:c r="N457" s="24" t="str">
        <x:v>até -6</x:v>
      </x:c>
      <x:c r="O457" s="24"/>
      <x:c r="P457" s="24" t="str">
        <x:v>75/80</x:v>
      </x:c>
      <x:c r="Q457" s="24"/>
      <x:c r="R457" s="24"/>
      <x:c r="S457" s="26" t="n">
        <x:v>46024</x:v>
      </x:c>
      <x:c r="T457" s="26"/>
      <x:c r="U457" s="24" t="str">
        <x:v>ATIVA/SEM FIM INFORMADO</x:v>
      </x:c>
      <x:c r="V457" s="24"/>
      <x:c r="W457" s="24" t="n">
        <x:v>13</x:v>
      </x:c>
      <x:c r="X457" s="24" t="str">
        <x:v>tabela_rodenstock.pdf</x:v>
      </x:c>
      <x:c r="Y457" s="24" t="str">
        <x:v>alta</x:v>
      </x:c>
      <x:c r="Z457" s="24"/>
      <x:c r="AA457" s="24" t="str">
        <x:v>Rodenstock|Ocupacional B.I.G. NORM|Surfaçada|Multigressiv Ergo B.I.G. NORM||1.5 Ergo PC/Book/Room|1.50|LayR Balance|-8 a +8|até -6||75/80|||13</x:v>
      </x:c>
    </x:row>
    <x:row r="458">
      <x:c r="A458" s="24" t="str">
        <x:v>RD-9192DE818FE2</x:v>
      </x:c>
      <x:c r="B458" s="24" t="str">
        <x:v>SIM</x:v>
      </x:c>
      <x:c r="C458" s="24" t="str">
        <x:v>DISPONÍVEL</x:v>
      </x:c>
      <x:c r="D458" s="24" t="str">
        <x:v>Rodenstock</x:v>
      </x:c>
      <x:c r="E458" s="24" t="str">
        <x:v>Ocupacional B.I.G. NORM</x:v>
      </x:c>
      <x:c r="F458" s="24" t="str">
        <x:v>Surfaçada</x:v>
      </x:c>
      <x:c r="G458" s="24" t="str">
        <x:v>Multigressiv Ergo B.I.G. NORM</x:v>
      </x:c>
      <x:c r="H458" s="24"/>
      <x:c r="I458" s="24" t="str">
        <x:v>1.5 Ergo PC/Book/Room</x:v>
      </x:c>
      <x:c r="J458" s="24" t="str">
        <x:v>1.50</x:v>
      </x:c>
      <x:c r="K458" s="24" t="str">
        <x:v>Solitaire X-tra Clean</x:v>
      </x:c>
      <x:c r="L458" s="40" t="n">
        <x:v>2669</x:v>
      </x:c>
      <x:c r="M458" s="24" t="str">
        <x:v>-8 a +8</x:v>
      </x:c>
      <x:c r="N458" s="24" t="str">
        <x:v>até -6</x:v>
      </x:c>
      <x:c r="O458" s="24"/>
      <x:c r="P458" s="24" t="str">
        <x:v>75/80</x:v>
      </x:c>
      <x:c r="Q458" s="24"/>
      <x:c r="R458" s="24"/>
      <x:c r="S458" s="26" t="n">
        <x:v>46024</x:v>
      </x:c>
      <x:c r="T458" s="26"/>
      <x:c r="U458" s="24" t="str">
        <x:v>ATIVA/SEM FIM INFORMADO</x:v>
      </x:c>
      <x:c r="V458" s="24"/>
      <x:c r="W458" s="24" t="n">
        <x:v>13</x:v>
      </x:c>
      <x:c r="X458" s="24" t="str">
        <x:v>tabela_rodenstock.pdf</x:v>
      </x:c>
      <x:c r="Y458" s="24" t="str">
        <x:v>alta</x:v>
      </x:c>
      <x:c r="Z458" s="24"/>
      <x:c r="AA458" s="24" t="str">
        <x:v>Rodenstock|Ocupacional B.I.G. NORM|Surfaçada|Multigressiv Ergo B.I.G. NORM||1.5 Ergo PC/Book/Room|1.50|Solitaire X-tra Clean|-8 a +8|até -6||75/80|||13</x:v>
      </x:c>
    </x:row>
    <x:row r="459">
      <x:c r="A459" s="24" t="str">
        <x:v>RD-CDF636D64CDF</x:v>
      </x:c>
      <x:c r="B459" s="24" t="str">
        <x:v>SIM</x:v>
      </x:c>
      <x:c r="C459" s="24" t="str">
        <x:v>DISPONÍVEL</x:v>
      </x:c>
      <x:c r="D459" s="24" t="str">
        <x:v>Rodenstock</x:v>
      </x:c>
      <x:c r="E459" s="24" t="str">
        <x:v>Ocupacional B.I.G. NORM</x:v>
      </x:c>
      <x:c r="F459" s="24" t="str">
        <x:v>Surfaçada</x:v>
      </x:c>
      <x:c r="G459" s="24" t="str">
        <x:v>Multigressiv Ergo B.I.G. NORM</x:v>
      </x:c>
      <x:c r="H459" s="24"/>
      <x:c r="I459" s="24" t="str">
        <x:v>1.5 Ergo PC/Book/Room</x:v>
      </x:c>
      <x:c r="J459" s="24" t="str">
        <x:v>1.50</x:v>
      </x:c>
      <x:c r="K459" s="24" t="str">
        <x:v>Solitaire Protect Plus</x:v>
      </x:c>
      <x:c r="L459" s="40" t="n">
        <x:v>2619</x:v>
      </x:c>
      <x:c r="M459" s="24" t="str">
        <x:v>-8 a +8</x:v>
      </x:c>
      <x:c r="N459" s="24" t="str">
        <x:v>até -6</x:v>
      </x:c>
      <x:c r="O459" s="24"/>
      <x:c r="P459" s="24" t="str">
        <x:v>75/80</x:v>
      </x:c>
      <x:c r="Q459" s="24"/>
      <x:c r="R459" s="24"/>
      <x:c r="S459" s="26" t="n">
        <x:v>46024</x:v>
      </x:c>
      <x:c r="T459" s="26"/>
      <x:c r="U459" s="24" t="str">
        <x:v>ATIVA/SEM FIM INFORMADO</x:v>
      </x:c>
      <x:c r="V459" s="24"/>
      <x:c r="W459" s="24" t="n">
        <x:v>13</x:v>
      </x:c>
      <x:c r="X459" s="24" t="str">
        <x:v>tabela_rodenstock.pdf</x:v>
      </x:c>
      <x:c r="Y459" s="24" t="str">
        <x:v>alta</x:v>
      </x:c>
      <x:c r="Z459" s="24"/>
      <x:c r="AA459" s="24" t="str">
        <x:v>Rodenstock|Ocupacional B.I.G. NORM|Surfaçada|Multigressiv Ergo B.I.G. NORM||1.5 Ergo PC/Book/Room|1.50|Solitaire Protect Plus|-8 a +8|até -6||75/80|||13</x:v>
      </x:c>
    </x:row>
    <x:row r="460">
      <x:c r="A460" s="24" t="str">
        <x:v>RD-795F8D574D7A</x:v>
      </x:c>
      <x:c r="B460" s="24" t="str">
        <x:v>SIM</x:v>
      </x:c>
      <x:c r="C460" s="24" t="str">
        <x:v>DISPONÍVEL</x:v>
      </x:c>
      <x:c r="D460" s="24" t="str">
        <x:v>Rodenstock</x:v>
      </x:c>
      <x:c r="E460" s="24" t="str">
        <x:v>Ocupacional B.I.G. NORM</x:v>
      </x:c>
      <x:c r="F460" s="24" t="str">
        <x:v>Surfaçada</x:v>
      </x:c>
      <x:c r="G460" s="24" t="str">
        <x:v>Multigressiv Ergo B.I.G. NORM</x:v>
      </x:c>
      <x:c r="H460" s="24"/>
      <x:c r="I460" s="24" t="str">
        <x:v>1.5 Ergo PC/Book/Room</x:v>
      </x:c>
      <x:c r="J460" s="24" t="str">
        <x:v>1.50</x:v>
      </x:c>
      <x:c r="K460" s="24" t="str">
        <x:v>ROAD</x:v>
      </x:c>
      <x:c r="L460" s="40" t="n">
        <x:v>2619</x:v>
      </x:c>
      <x:c r="M460" s="24" t="str">
        <x:v>-8 a +8</x:v>
      </x:c>
      <x:c r="N460" s="24" t="str">
        <x:v>até -6</x:v>
      </x:c>
      <x:c r="O460" s="24"/>
      <x:c r="P460" s="24" t="str">
        <x:v>75/80</x:v>
      </x:c>
      <x:c r="Q460" s="24"/>
      <x:c r="R460" s="24"/>
      <x:c r="S460" s="26" t="n">
        <x:v>46024</x:v>
      </x:c>
      <x:c r="T460" s="26"/>
      <x:c r="U460" s="24" t="str">
        <x:v>ATIVA/SEM FIM INFORMADO</x:v>
      </x:c>
      <x:c r="V460" s="24"/>
      <x:c r="W460" s="24" t="n">
        <x:v>13</x:v>
      </x:c>
      <x:c r="X460" s="24" t="str">
        <x:v>tabela_rodenstock.pdf</x:v>
      </x:c>
      <x:c r="Y460" s="24" t="str">
        <x:v>alta</x:v>
      </x:c>
      <x:c r="Z460" s="24"/>
      <x:c r="AA460" s="24" t="str">
        <x:v>Rodenstock|Ocupacional B.I.G. NORM|Surfaçada|Multigressiv Ergo B.I.G. NORM||1.5 Ergo PC/Book/Room|1.50|ROAD|-8 a +8|até -6||75/80|||13</x:v>
      </x:c>
    </x:row>
    <x:row r="461">
      <x:c r="A461" s="24" t="str">
        <x:v>RD-D4DC6B6AD738</x:v>
      </x:c>
      <x:c r="B461" s="24" t="str">
        <x:v>SIM</x:v>
      </x:c>
      <x:c r="C461" s="24" t="str">
        <x:v>DISPONÍVEL</x:v>
      </x:c>
      <x:c r="D461" s="24" t="str">
        <x:v>Rodenstock</x:v>
      </x:c>
      <x:c r="E461" s="24" t="str">
        <x:v>Ocupacional B.I.G. NORM</x:v>
      </x:c>
      <x:c r="F461" s="24" t="str">
        <x:v>Surfaçada</x:v>
      </x:c>
      <x:c r="G461" s="24" t="str">
        <x:v>Multigressiv Ergo B.I.G. NORM</x:v>
      </x:c>
      <x:c r="H461" s="24"/>
      <x:c r="I461" s="24" t="str">
        <x:v>1.5 Ergo PC/Book/Room</x:v>
      </x:c>
      <x:c r="J461" s="24" t="str">
        <x:v>1.50</x:v>
      </x:c>
      <x:c r="K461" s="24" t="str">
        <x:v>Solitaire Protect</x:v>
      </x:c>
      <x:c r="L461" s="40" t="n">
        <x:v>2359</x:v>
      </x:c>
      <x:c r="M461" s="24" t="str">
        <x:v>-8 a +8</x:v>
      </x:c>
      <x:c r="N461" s="24" t="str">
        <x:v>até -6</x:v>
      </x:c>
      <x:c r="O461" s="24"/>
      <x:c r="P461" s="24" t="str">
        <x:v>75/80</x:v>
      </x:c>
      <x:c r="Q461" s="24"/>
      <x:c r="R461" s="24"/>
      <x:c r="S461" s="26" t="n">
        <x:v>46024</x:v>
      </x:c>
      <x:c r="T461" s="26"/>
      <x:c r="U461" s="24" t="str">
        <x:v>ATIVA/SEM FIM INFORMADO</x:v>
      </x:c>
      <x:c r="V461" s="24"/>
      <x:c r="W461" s="24" t="n">
        <x:v>13</x:v>
      </x:c>
      <x:c r="X461" s="24" t="str">
        <x:v>tabela_rodenstock.pdf</x:v>
      </x:c>
      <x:c r="Y461" s="24" t="str">
        <x:v>alta</x:v>
      </x:c>
      <x:c r="Z461" s="24"/>
      <x:c r="AA461" s="24" t="str">
        <x:v>Rodenstock|Ocupacional B.I.G. NORM|Surfaçada|Multigressiv Ergo B.I.G. NORM||1.5 Ergo PC/Book/Room|1.50|Solitaire Protect|-8 a +8|até -6||75/80|||13</x:v>
      </x:c>
    </x:row>
    <x:row r="462">
      <x:c r="A462" s="24" t="str">
        <x:v>RD-9A13BC6D1046</x:v>
      </x:c>
      <x:c r="B462" s="24" t="str">
        <x:v>SIM</x:v>
      </x:c>
      <x:c r="C462" s="24" t="str">
        <x:v>DISPONÍVEL</x:v>
      </x:c>
      <x:c r="D462" s="24" t="str">
        <x:v>Rodenstock</x:v>
      </x:c>
      <x:c r="E462" s="24" t="str">
        <x:v>Ocupacional B.I.G. NORM</x:v>
      </x:c>
      <x:c r="F462" s="24" t="str">
        <x:v>Surfaçada</x:v>
      </x:c>
      <x:c r="G462" s="24" t="str">
        <x:v>Multigressiv Ergo B.I.G. NORM</x:v>
      </x:c>
      <x:c r="H462" s="24"/>
      <x:c r="I462" s="24" t="str">
        <x:v>1.6 Ergo PC/Book/Room</x:v>
      </x:c>
      <x:c r="J462" s="24" t="str">
        <x:v>1.60</x:v>
      </x:c>
      <x:c r="K462" s="24" t="str">
        <x:v>LayR X-tra Clean</x:v>
      </x:c>
      <x:c r="L462" s="40" t="n">
        <x:v>3874</x:v>
      </x:c>
      <x:c r="M462" s="24" t="str">
        <x:v>-10 a +8</x:v>
      </x:c>
      <x:c r="N462" s="24" t="str">
        <x:v>até -6</x:v>
      </x:c>
      <x:c r="O462" s="24"/>
      <x:c r="P462" s="24" t="str">
        <x:v>75/80</x:v>
      </x:c>
      <x:c r="Q462" s="24"/>
      <x:c r="R462" s="24"/>
      <x:c r="S462" s="26" t="n">
        <x:v>46024</x:v>
      </x:c>
      <x:c r="T462" s="26"/>
      <x:c r="U462" s="24" t="str">
        <x:v>ATIVA/SEM FIM INFORMADO</x:v>
      </x:c>
      <x:c r="V462" s="24"/>
      <x:c r="W462" s="24" t="n">
        <x:v>13</x:v>
      </x:c>
      <x:c r="X462" s="24" t="str">
        <x:v>tabela_rodenstock.pdf</x:v>
      </x:c>
      <x:c r="Y462" s="24" t="str">
        <x:v>alta</x:v>
      </x:c>
      <x:c r="Z462" s="24"/>
      <x:c r="AA462" s="24" t="str">
        <x:v>Rodenstock|Ocupacional B.I.G. NORM|Surfaçada|Multigressiv Ergo B.I.G. NORM||1.6 Ergo PC/Book/Room|1.60|LayR X-tra Clean|-10 a +8|até -6||75/80|||13</x:v>
      </x:c>
    </x:row>
    <x:row r="463">
      <x:c r="A463" s="24" t="str">
        <x:v>RD-A4C8F1EEE873</x:v>
      </x:c>
      <x:c r="B463" s="24" t="str">
        <x:v>SIM</x:v>
      </x:c>
      <x:c r="C463" s="24" t="str">
        <x:v>DISPONÍVEL</x:v>
      </x:c>
      <x:c r="D463" s="24" t="str">
        <x:v>Rodenstock</x:v>
      </x:c>
      <x:c r="E463" s="24" t="str">
        <x:v>Ocupacional B.I.G. NORM</x:v>
      </x:c>
      <x:c r="F463" s="24" t="str">
        <x:v>Surfaçada</x:v>
      </x:c>
      <x:c r="G463" s="24" t="str">
        <x:v>Multigressiv Ergo B.I.G. NORM</x:v>
      </x:c>
      <x:c r="H463" s="24"/>
      <x:c r="I463" s="24" t="str">
        <x:v>1.6 Ergo PC/Book/Room</x:v>
      </x:c>
      <x:c r="J463" s="24" t="str">
        <x:v>1.60</x:v>
      </x:c>
      <x:c r="K463" s="24" t="str">
        <x:v>LayR Balance</x:v>
      </x:c>
      <x:c r="L463" s="40" t="n">
        <x:v>3874</x:v>
      </x:c>
      <x:c r="M463" s="24" t="str">
        <x:v>-10 a +8</x:v>
      </x:c>
      <x:c r="N463" s="24" t="str">
        <x:v>até -6</x:v>
      </x:c>
      <x:c r="O463" s="24"/>
      <x:c r="P463" s="24" t="str">
        <x:v>75/80</x:v>
      </x:c>
      <x:c r="Q463" s="24"/>
      <x:c r="R463" s="24"/>
      <x:c r="S463" s="26" t="n">
        <x:v>46024</x:v>
      </x:c>
      <x:c r="T463" s="26"/>
      <x:c r="U463" s="24" t="str">
        <x:v>ATIVA/SEM FIM INFORMADO</x:v>
      </x:c>
      <x:c r="V463" s="24"/>
      <x:c r="W463" s="24" t="n">
        <x:v>13</x:v>
      </x:c>
      <x:c r="X463" s="24" t="str">
        <x:v>tabela_rodenstock.pdf</x:v>
      </x:c>
      <x:c r="Y463" s="24" t="str">
        <x:v>alta</x:v>
      </x:c>
      <x:c r="Z463" s="24"/>
      <x:c r="AA463" s="24" t="str">
        <x:v>Rodenstock|Ocupacional B.I.G. NORM|Surfaçada|Multigressiv Ergo B.I.G. NORM||1.6 Ergo PC/Book/Room|1.60|LayR Balance|-10 a +8|até -6||75/80|||13</x:v>
      </x:c>
    </x:row>
    <x:row r="464">
      <x:c r="A464" s="24" t="str">
        <x:v>RD-0F0E8FDDAE29</x:v>
      </x:c>
      <x:c r="B464" s="24" t="str">
        <x:v>SIM</x:v>
      </x:c>
      <x:c r="C464" s="24" t="str">
        <x:v>DISPONÍVEL</x:v>
      </x:c>
      <x:c r="D464" s="24" t="str">
        <x:v>Rodenstock</x:v>
      </x:c>
      <x:c r="E464" s="24" t="str">
        <x:v>Ocupacional B.I.G. NORM</x:v>
      </x:c>
      <x:c r="F464" s="24" t="str">
        <x:v>Surfaçada</x:v>
      </x:c>
      <x:c r="G464" s="24" t="str">
        <x:v>Multigressiv Ergo B.I.G. NORM</x:v>
      </x:c>
      <x:c r="H464" s="24"/>
      <x:c r="I464" s="24" t="str">
        <x:v>1.6 Ergo PC/Book/Room</x:v>
      </x:c>
      <x:c r="J464" s="24" t="str">
        <x:v>1.60</x:v>
      </x:c>
      <x:c r="K464" s="24" t="str">
        <x:v>Solitaire X-tra Clean</x:v>
      </x:c>
      <x:c r="L464" s="40" t="n">
        <x:v>3804</x:v>
      </x:c>
      <x:c r="M464" s="24" t="str">
        <x:v>-10 a +8</x:v>
      </x:c>
      <x:c r="N464" s="24" t="str">
        <x:v>até -6</x:v>
      </x:c>
      <x:c r="O464" s="24"/>
      <x:c r="P464" s="24" t="str">
        <x:v>75/80</x:v>
      </x:c>
      <x:c r="Q464" s="24"/>
      <x:c r="R464" s="24"/>
      <x:c r="S464" s="26" t="n">
        <x:v>46024</x:v>
      </x:c>
      <x:c r="T464" s="26"/>
      <x:c r="U464" s="24" t="str">
        <x:v>ATIVA/SEM FIM INFORMADO</x:v>
      </x:c>
      <x:c r="V464" s="24"/>
      <x:c r="W464" s="24" t="n">
        <x:v>13</x:v>
      </x:c>
      <x:c r="X464" s="24" t="str">
        <x:v>tabela_rodenstock.pdf</x:v>
      </x:c>
      <x:c r="Y464" s="24" t="str">
        <x:v>alta</x:v>
      </x:c>
      <x:c r="Z464" s="24"/>
      <x:c r="AA464" s="24" t="str">
        <x:v>Rodenstock|Ocupacional B.I.G. NORM|Surfaçada|Multigressiv Ergo B.I.G. NORM||1.6 Ergo PC/Book/Room|1.60|Solitaire X-tra Clean|-10 a +8|até -6||75/80|||13</x:v>
      </x:c>
    </x:row>
    <x:row r="465">
      <x:c r="A465" s="24" t="str">
        <x:v>RD-308A0B32668F</x:v>
      </x:c>
      <x:c r="B465" s="24" t="str">
        <x:v>SIM</x:v>
      </x:c>
      <x:c r="C465" s="24" t="str">
        <x:v>DISPONÍVEL</x:v>
      </x:c>
      <x:c r="D465" s="24" t="str">
        <x:v>Rodenstock</x:v>
      </x:c>
      <x:c r="E465" s="24" t="str">
        <x:v>Ocupacional B.I.G. NORM</x:v>
      </x:c>
      <x:c r="F465" s="24" t="str">
        <x:v>Surfaçada</x:v>
      </x:c>
      <x:c r="G465" s="24" t="str">
        <x:v>Multigressiv Ergo B.I.G. NORM</x:v>
      </x:c>
      <x:c r="H465" s="24"/>
      <x:c r="I465" s="24" t="str">
        <x:v>1.6 Ergo PC/Book/Room</x:v>
      </x:c>
      <x:c r="J465" s="24" t="str">
        <x:v>1.60</x:v>
      </x:c>
      <x:c r="K465" s="24" t="str">
        <x:v>Solitaire Protect Plus</x:v>
      </x:c>
      <x:c r="L465" s="40" t="n">
        <x:v>3754</x:v>
      </x:c>
      <x:c r="M465" s="24" t="str">
        <x:v>-10 a +8</x:v>
      </x:c>
      <x:c r="N465" s="24" t="str">
        <x:v>até -6</x:v>
      </x:c>
      <x:c r="O465" s="24"/>
      <x:c r="P465" s="24" t="str">
        <x:v>75/80</x:v>
      </x:c>
      <x:c r="Q465" s="24"/>
      <x:c r="R465" s="24"/>
      <x:c r="S465" s="26" t="n">
        <x:v>46024</x:v>
      </x:c>
      <x:c r="T465" s="26"/>
      <x:c r="U465" s="24" t="str">
        <x:v>ATIVA/SEM FIM INFORMADO</x:v>
      </x:c>
      <x:c r="V465" s="24"/>
      <x:c r="W465" s="24" t="n">
        <x:v>13</x:v>
      </x:c>
      <x:c r="X465" s="24" t="str">
        <x:v>tabela_rodenstock.pdf</x:v>
      </x:c>
      <x:c r="Y465" s="24" t="str">
        <x:v>alta</x:v>
      </x:c>
      <x:c r="Z465" s="24"/>
      <x:c r="AA465" s="24" t="str">
        <x:v>Rodenstock|Ocupacional B.I.G. NORM|Surfaçada|Multigressiv Ergo B.I.G. NORM||1.6 Ergo PC/Book/Room|1.60|Solitaire Protect Plus|-10 a +8|até -6||75/80|||13</x:v>
      </x:c>
    </x:row>
    <x:row r="466">
      <x:c r="A466" s="24" t="str">
        <x:v>RD-293EB6AA413B</x:v>
      </x:c>
      <x:c r="B466" s="24" t="str">
        <x:v>SIM</x:v>
      </x:c>
      <x:c r="C466" s="24" t="str">
        <x:v>DISPONÍVEL</x:v>
      </x:c>
      <x:c r="D466" s="24" t="str">
        <x:v>Rodenstock</x:v>
      </x:c>
      <x:c r="E466" s="24" t="str">
        <x:v>Ocupacional B.I.G. NORM</x:v>
      </x:c>
      <x:c r="F466" s="24" t="str">
        <x:v>Surfaçada</x:v>
      </x:c>
      <x:c r="G466" s="24" t="str">
        <x:v>Multigressiv Ergo B.I.G. NORM</x:v>
      </x:c>
      <x:c r="H466" s="24"/>
      <x:c r="I466" s="24" t="str">
        <x:v>1.6 Ergo PC/Book/Room</x:v>
      </x:c>
      <x:c r="J466" s="24" t="str">
        <x:v>1.60</x:v>
      </x:c>
      <x:c r="K466" s="24" t="str">
        <x:v>ROAD</x:v>
      </x:c>
      <x:c r="L466" s="40" t="n">
        <x:v>3754</x:v>
      </x:c>
      <x:c r="M466" s="24" t="str">
        <x:v>-10 a +8</x:v>
      </x:c>
      <x:c r="N466" s="24" t="str">
        <x:v>até -6</x:v>
      </x:c>
      <x:c r="O466" s="24"/>
      <x:c r="P466" s="24" t="str">
        <x:v>75/80</x:v>
      </x:c>
      <x:c r="Q466" s="24"/>
      <x:c r="R466" s="24"/>
      <x:c r="S466" s="26" t="n">
        <x:v>46024</x:v>
      </x:c>
      <x:c r="T466" s="26"/>
      <x:c r="U466" s="24" t="str">
        <x:v>ATIVA/SEM FIM INFORMADO</x:v>
      </x:c>
      <x:c r="V466" s="24"/>
      <x:c r="W466" s="24" t="n">
        <x:v>13</x:v>
      </x:c>
      <x:c r="X466" s="24" t="str">
        <x:v>tabela_rodenstock.pdf</x:v>
      </x:c>
      <x:c r="Y466" s="24" t="str">
        <x:v>alta</x:v>
      </x:c>
      <x:c r="Z466" s="24"/>
      <x:c r="AA466" s="24" t="str">
        <x:v>Rodenstock|Ocupacional B.I.G. NORM|Surfaçada|Multigressiv Ergo B.I.G. NORM||1.6 Ergo PC/Book/Room|1.60|ROAD|-10 a +8|até -6||75/80|||13</x:v>
      </x:c>
    </x:row>
    <x:row r="467">
      <x:c r="A467" s="24" t="str">
        <x:v>RD-F0E3B4A713E3</x:v>
      </x:c>
      <x:c r="B467" s="24" t="str">
        <x:v>SIM</x:v>
      </x:c>
      <x:c r="C467" s="24" t="str">
        <x:v>DISPONÍVEL</x:v>
      </x:c>
      <x:c r="D467" s="24" t="str">
        <x:v>Rodenstock</x:v>
      </x:c>
      <x:c r="E467" s="24" t="str">
        <x:v>Ocupacional B.I.G. NORM</x:v>
      </x:c>
      <x:c r="F467" s="24" t="str">
        <x:v>Surfaçada</x:v>
      </x:c>
      <x:c r="G467" s="24" t="str">
        <x:v>Multigressiv Ergo B.I.G. NORM</x:v>
      </x:c>
      <x:c r="H467" s="24"/>
      <x:c r="I467" s="24" t="str">
        <x:v>1.6 Ergo PC/Book/Room</x:v>
      </x:c>
      <x:c r="J467" s="24" t="str">
        <x:v>1.60</x:v>
      </x:c>
      <x:c r="K467" s="24" t="str">
        <x:v>Solitaire Protect</x:v>
      </x:c>
      <x:c r="L467" s="40" t="n">
        <x:v>3494</x:v>
      </x:c>
      <x:c r="M467" s="24" t="str">
        <x:v>-10 a +8</x:v>
      </x:c>
      <x:c r="N467" s="24" t="str">
        <x:v>até -6</x:v>
      </x:c>
      <x:c r="O467" s="24"/>
      <x:c r="P467" s="24" t="str">
        <x:v>75/80</x:v>
      </x:c>
      <x:c r="Q467" s="24"/>
      <x:c r="R467" s="24"/>
      <x:c r="S467" s="26" t="n">
        <x:v>46024</x:v>
      </x:c>
      <x:c r="T467" s="26"/>
      <x:c r="U467" s="24" t="str">
        <x:v>ATIVA/SEM FIM INFORMADO</x:v>
      </x:c>
      <x:c r="V467" s="24"/>
      <x:c r="W467" s="24" t="n">
        <x:v>13</x:v>
      </x:c>
      <x:c r="X467" s="24" t="str">
        <x:v>tabela_rodenstock.pdf</x:v>
      </x:c>
      <x:c r="Y467" s="24" t="str">
        <x:v>alta</x:v>
      </x:c>
      <x:c r="Z467" s="24"/>
      <x:c r="AA467" s="24" t="str">
        <x:v>Rodenstock|Ocupacional B.I.G. NORM|Surfaçada|Multigressiv Ergo B.I.G. NORM||1.6 Ergo PC/Book/Room|1.60|Solitaire Protect|-10 a +8|até -6||75/80|||13</x:v>
      </x:c>
    </x:row>
    <x:row r="468">
      <x:c r="A468" s="24" t="str">
        <x:v>RD-94A20F04CE6E</x:v>
      </x:c>
      <x:c r="B468" s="24" t="str">
        <x:v>SIM</x:v>
      </x:c>
      <x:c r="C468" s="24" t="str">
        <x:v>DISPONÍVEL</x:v>
      </x:c>
      <x:c r="D468" s="24" t="str">
        <x:v>Rodenstock</x:v>
      </x:c>
      <x:c r="E468" s="24" t="str">
        <x:v>Ocupacional B.I.G. NORM</x:v>
      </x:c>
      <x:c r="F468" s="24" t="str">
        <x:v>Surfaçada</x:v>
      </x:c>
      <x:c r="G468" s="24" t="str">
        <x:v>Multigressiv Ergo B.I.G. NORM</x:v>
      </x:c>
      <x:c r="H468" s="24" t="str">
        <x:v>PRO410</x:v>
      </x:c>
      <x:c r="I468" s="24" t="str">
        <x:v>1.6</x:v>
      </x:c>
      <x:c r="J468" s="24" t="str">
        <x:v>1.60</x:v>
      </x:c>
      <x:c r="K468" s="24" t="str">
        <x:v>LayR X-tra Clean</x:v>
      </x:c>
      <x:c r="L468" s="40" t="n">
        <x:v>4005</x:v>
      </x:c>
      <x:c r="M468" s="24" t="str">
        <x:v>-10 a +8</x:v>
      </x:c>
      <x:c r="N468" s="24" t="str">
        <x:v>até -6</x:v>
      </x:c>
      <x:c r="O468" s="24"/>
      <x:c r="P468" s="24" t="str">
        <x:v>75/80</x:v>
      </x:c>
      <x:c r="Q468" s="24"/>
      <x:c r="R468" s="24"/>
      <x:c r="S468" s="26" t="n">
        <x:v>46024</x:v>
      </x:c>
      <x:c r="T468" s="26"/>
      <x:c r="U468" s="24" t="str">
        <x:v>ATIVA/SEM FIM INFORMADO</x:v>
      </x:c>
      <x:c r="V468" s="24"/>
      <x:c r="W468" s="24" t="n">
        <x:v>13</x:v>
      </x:c>
      <x:c r="X468" s="24" t="str">
        <x:v>tabela_rodenstock.pdf</x:v>
      </x:c>
      <x:c r="Y468" s="24" t="str">
        <x:v>alta</x:v>
      </x:c>
      <x:c r="Z468" s="24"/>
      <x:c r="AA468" s="24" t="str">
        <x:v>Rodenstock|Ocupacional B.I.G. NORM|Surfaçada|Multigressiv Ergo B.I.G. NORM|PRO410|1.6|1.60|LayR X-tra Clean|-10 a +8|até -6||75/80|||13</x:v>
      </x:c>
    </x:row>
    <x:row r="469">
      <x:c r="A469" s="24" t="str">
        <x:v>RD-A321A5489C51</x:v>
      </x:c>
      <x:c r="B469" s="24" t="str">
        <x:v>SIM</x:v>
      </x:c>
      <x:c r="C469" s="24" t="str">
        <x:v>DISPONÍVEL</x:v>
      </x:c>
      <x:c r="D469" s="24" t="str">
        <x:v>Rodenstock</x:v>
      </x:c>
      <x:c r="E469" s="24" t="str">
        <x:v>Ocupacional B.I.G. NORM</x:v>
      </x:c>
      <x:c r="F469" s="24" t="str">
        <x:v>Surfaçada</x:v>
      </x:c>
      <x:c r="G469" s="24" t="str">
        <x:v>Multigressiv Ergo B.I.G. NORM</x:v>
      </x:c>
      <x:c r="H469" s="24" t="str">
        <x:v>PRO410</x:v>
      </x:c>
      <x:c r="I469" s="24" t="str">
        <x:v>1.6</x:v>
      </x:c>
      <x:c r="J469" s="24" t="str">
        <x:v>1.60</x:v>
      </x:c>
      <x:c r="K469" s="24" t="str">
        <x:v>LayR Balance</x:v>
      </x:c>
      <x:c r="L469" s="40" t="n">
        <x:v>4005</x:v>
      </x:c>
      <x:c r="M469" s="24" t="str">
        <x:v>-10 a +8</x:v>
      </x:c>
      <x:c r="N469" s="24" t="str">
        <x:v>até -6</x:v>
      </x:c>
      <x:c r="O469" s="24"/>
      <x:c r="P469" s="24" t="str">
        <x:v>75/80</x:v>
      </x:c>
      <x:c r="Q469" s="24"/>
      <x:c r="R469" s="24"/>
      <x:c r="S469" s="26" t="n">
        <x:v>46024</x:v>
      </x:c>
      <x:c r="T469" s="26"/>
      <x:c r="U469" s="24" t="str">
        <x:v>ATIVA/SEM FIM INFORMADO</x:v>
      </x:c>
      <x:c r="V469" s="24"/>
      <x:c r="W469" s="24" t="n">
        <x:v>13</x:v>
      </x:c>
      <x:c r="X469" s="24" t="str">
        <x:v>tabela_rodenstock.pdf</x:v>
      </x:c>
      <x:c r="Y469" s="24" t="str">
        <x:v>alta</x:v>
      </x:c>
      <x:c r="Z469" s="24"/>
      <x:c r="AA469" s="24" t="str">
        <x:v>Rodenstock|Ocupacional B.I.G. NORM|Surfaçada|Multigressiv Ergo B.I.G. NORM|PRO410|1.6|1.60|LayR Balance|-10 a +8|até -6||75/80|||13</x:v>
      </x:c>
    </x:row>
    <x:row r="470">
      <x:c r="A470" s="24" t="str">
        <x:v>RD-1A8E658688C2</x:v>
      </x:c>
      <x:c r="B470" s="24" t="str">
        <x:v>SIM</x:v>
      </x:c>
      <x:c r="C470" s="24" t="str">
        <x:v>DISPONÍVEL</x:v>
      </x:c>
      <x:c r="D470" s="24" t="str">
        <x:v>Rodenstock</x:v>
      </x:c>
      <x:c r="E470" s="24" t="str">
        <x:v>Ocupacional B.I.G. NORM</x:v>
      </x:c>
      <x:c r="F470" s="24" t="str">
        <x:v>Surfaçada</x:v>
      </x:c>
      <x:c r="G470" s="24" t="str">
        <x:v>Multigressiv Ergo B.I.G. NORM</x:v>
      </x:c>
      <x:c r="H470" s="24" t="str">
        <x:v>PRO410</x:v>
      </x:c>
      <x:c r="I470" s="24" t="str">
        <x:v>1.6</x:v>
      </x:c>
      <x:c r="J470" s="24" t="str">
        <x:v>1.60</x:v>
      </x:c>
      <x:c r="K470" s="24" t="str">
        <x:v>Solitaire X-tra Clean</x:v>
      </x:c>
      <x:c r="L470" s="40" t="n">
        <x:v>3935</x:v>
      </x:c>
      <x:c r="M470" s="24" t="str">
        <x:v>-10 a +8</x:v>
      </x:c>
      <x:c r="N470" s="24" t="str">
        <x:v>até -6</x:v>
      </x:c>
      <x:c r="O470" s="24"/>
      <x:c r="P470" s="24" t="str">
        <x:v>75/80</x:v>
      </x:c>
      <x:c r="Q470" s="24"/>
      <x:c r="R470" s="24"/>
      <x:c r="S470" s="26" t="n">
        <x:v>46024</x:v>
      </x:c>
      <x:c r="T470" s="26"/>
      <x:c r="U470" s="24" t="str">
        <x:v>ATIVA/SEM FIM INFORMADO</x:v>
      </x:c>
      <x:c r="V470" s="24"/>
      <x:c r="W470" s="24" t="n">
        <x:v>13</x:v>
      </x:c>
      <x:c r="X470" s="24" t="str">
        <x:v>tabela_rodenstock.pdf</x:v>
      </x:c>
      <x:c r="Y470" s="24" t="str">
        <x:v>alta</x:v>
      </x:c>
      <x:c r="Z470" s="24"/>
      <x:c r="AA470" s="24" t="str">
        <x:v>Rodenstock|Ocupacional B.I.G. NORM|Surfaçada|Multigressiv Ergo B.I.G. NORM|PRO410|1.6|1.60|Solitaire X-tra Clean|-10 a +8|até -6||75/80|||13</x:v>
      </x:c>
    </x:row>
    <x:row r="471">
      <x:c r="A471" s="24" t="str">
        <x:v>RD-C519F9BCCF4A</x:v>
      </x:c>
      <x:c r="B471" s="24" t="str">
        <x:v>SIM</x:v>
      </x:c>
      <x:c r="C471" s="24" t="str">
        <x:v>DISPONÍVEL</x:v>
      </x:c>
      <x:c r="D471" s="24" t="str">
        <x:v>Rodenstock</x:v>
      </x:c>
      <x:c r="E471" s="24" t="str">
        <x:v>Ocupacional B.I.G. NORM</x:v>
      </x:c>
      <x:c r="F471" s="24" t="str">
        <x:v>Surfaçada</x:v>
      </x:c>
      <x:c r="G471" s="24" t="str">
        <x:v>Multigressiv Ergo B.I.G. NORM</x:v>
      </x:c>
      <x:c r="H471" s="24" t="str">
        <x:v>PRO410</x:v>
      </x:c>
      <x:c r="I471" s="24" t="str">
        <x:v>1.6</x:v>
      </x:c>
      <x:c r="J471" s="24" t="str">
        <x:v>1.60</x:v>
      </x:c>
      <x:c r="K471" s="24" t="str">
        <x:v>Solitaire Protect Plus</x:v>
      </x:c>
      <x:c r="L471" s="40" t="n">
        <x:v>3885</x:v>
      </x:c>
      <x:c r="M471" s="24" t="str">
        <x:v>-10 a +8</x:v>
      </x:c>
      <x:c r="N471" s="24" t="str">
        <x:v>até -6</x:v>
      </x:c>
      <x:c r="O471" s="24"/>
      <x:c r="P471" s="24" t="str">
        <x:v>75/80</x:v>
      </x:c>
      <x:c r="Q471" s="24"/>
      <x:c r="R471" s="24"/>
      <x:c r="S471" s="26" t="n">
        <x:v>46024</x:v>
      </x:c>
      <x:c r="T471" s="26"/>
      <x:c r="U471" s="24" t="str">
        <x:v>ATIVA/SEM FIM INFORMADO</x:v>
      </x:c>
      <x:c r="V471" s="24"/>
      <x:c r="W471" s="24" t="n">
        <x:v>13</x:v>
      </x:c>
      <x:c r="X471" s="24" t="str">
        <x:v>tabela_rodenstock.pdf</x:v>
      </x:c>
      <x:c r="Y471" s="24" t="str">
        <x:v>alta</x:v>
      </x:c>
      <x:c r="Z471" s="24"/>
      <x:c r="AA471" s="24" t="str">
        <x:v>Rodenstock|Ocupacional B.I.G. NORM|Surfaçada|Multigressiv Ergo B.I.G. NORM|PRO410|1.6|1.60|Solitaire Protect Plus|-10 a +8|até -6||75/80|||13</x:v>
      </x:c>
    </x:row>
    <x:row r="472">
      <x:c r="A472" s="24" t="str">
        <x:v>RD-A597FEB3FA13</x:v>
      </x:c>
      <x:c r="B472" s="24" t="str">
        <x:v>SIM</x:v>
      </x:c>
      <x:c r="C472" s="24" t="str">
        <x:v>DISPONÍVEL</x:v>
      </x:c>
      <x:c r="D472" s="24" t="str">
        <x:v>Rodenstock</x:v>
      </x:c>
      <x:c r="E472" s="24" t="str">
        <x:v>Ocupacional B.I.G. NORM</x:v>
      </x:c>
      <x:c r="F472" s="24" t="str">
        <x:v>Surfaçada</x:v>
      </x:c>
      <x:c r="G472" s="24" t="str">
        <x:v>Multigressiv Ergo B.I.G. NORM</x:v>
      </x:c>
      <x:c r="H472" s="24" t="str">
        <x:v>PRO410</x:v>
      </x:c>
      <x:c r="I472" s="24" t="str">
        <x:v>1.6</x:v>
      </x:c>
      <x:c r="J472" s="24" t="str">
        <x:v>1.60</x:v>
      </x:c>
      <x:c r="K472" s="24" t="str">
        <x:v>ROAD</x:v>
      </x:c>
      <x:c r="L472" s="40" t="n">
        <x:v>3885</x:v>
      </x:c>
      <x:c r="M472" s="24" t="str">
        <x:v>-10 a +8</x:v>
      </x:c>
      <x:c r="N472" s="24" t="str">
        <x:v>até -6</x:v>
      </x:c>
      <x:c r="O472" s="24"/>
      <x:c r="P472" s="24" t="str">
        <x:v>75/80</x:v>
      </x:c>
      <x:c r="Q472" s="24"/>
      <x:c r="R472" s="24"/>
      <x:c r="S472" s="26" t="n">
        <x:v>46024</x:v>
      </x:c>
      <x:c r="T472" s="26"/>
      <x:c r="U472" s="24" t="str">
        <x:v>ATIVA/SEM FIM INFORMADO</x:v>
      </x:c>
      <x:c r="V472" s="24"/>
      <x:c r="W472" s="24" t="n">
        <x:v>13</x:v>
      </x:c>
      <x:c r="X472" s="24" t="str">
        <x:v>tabela_rodenstock.pdf</x:v>
      </x:c>
      <x:c r="Y472" s="24" t="str">
        <x:v>alta</x:v>
      </x:c>
      <x:c r="Z472" s="24"/>
      <x:c r="AA472" s="24" t="str">
        <x:v>Rodenstock|Ocupacional B.I.G. NORM|Surfaçada|Multigressiv Ergo B.I.G. NORM|PRO410|1.6|1.60|ROAD|-10 a +8|até -6||75/80|||13</x:v>
      </x:c>
    </x:row>
    <x:row r="473">
      <x:c r="A473" s="24" t="str">
        <x:v>RD-06D0DAB89154</x:v>
      </x:c>
      <x:c r="B473" s="24" t="str">
        <x:v>SIM</x:v>
      </x:c>
      <x:c r="C473" s="24" t="str">
        <x:v>DISPONÍVEL</x:v>
      </x:c>
      <x:c r="D473" s="24" t="str">
        <x:v>Rodenstock</x:v>
      </x:c>
      <x:c r="E473" s="24" t="str">
        <x:v>Ocupacional B.I.G. NORM</x:v>
      </x:c>
      <x:c r="F473" s="24" t="str">
        <x:v>Surfaçada</x:v>
      </x:c>
      <x:c r="G473" s="24" t="str">
        <x:v>Multigressiv Ergo B.I.G. NORM</x:v>
      </x:c>
      <x:c r="H473" s="24" t="str">
        <x:v>PRO410</x:v>
      </x:c>
      <x:c r="I473" s="24" t="str">
        <x:v>1.6</x:v>
      </x:c>
      <x:c r="J473" s="24" t="str">
        <x:v>1.60</x:v>
      </x:c>
      <x:c r="K473" s="24" t="str">
        <x:v>Solitaire Protect</x:v>
      </x:c>
      <x:c r="L473" s="40" t="n">
        <x:v>3625</x:v>
      </x:c>
      <x:c r="M473" s="24" t="str">
        <x:v>-10 a +8</x:v>
      </x:c>
      <x:c r="N473" s="24" t="str">
        <x:v>até -6</x:v>
      </x:c>
      <x:c r="O473" s="24"/>
      <x:c r="P473" s="24" t="str">
        <x:v>75/80</x:v>
      </x:c>
      <x:c r="Q473" s="24"/>
      <x:c r="R473" s="24"/>
      <x:c r="S473" s="26" t="n">
        <x:v>46024</x:v>
      </x:c>
      <x:c r="T473" s="26"/>
      <x:c r="U473" s="24" t="str">
        <x:v>ATIVA/SEM FIM INFORMADO</x:v>
      </x:c>
      <x:c r="V473" s="24"/>
      <x:c r="W473" s="24" t="n">
        <x:v>13</x:v>
      </x:c>
      <x:c r="X473" s="24" t="str">
        <x:v>tabela_rodenstock.pdf</x:v>
      </x:c>
      <x:c r="Y473" s="24" t="str">
        <x:v>alta</x:v>
      </x:c>
      <x:c r="Z473" s="24"/>
      <x:c r="AA473" s="24" t="str">
        <x:v>Rodenstock|Ocupacional B.I.G. NORM|Surfaçada|Multigressiv Ergo B.I.G. NORM|PRO410|1.6|1.60|Solitaire Protect|-10 a +8|até -6||75/80|||13</x:v>
      </x:c>
    </x:row>
    <x:row r="474">
      <x:c r="A474" s="24" t="str">
        <x:v>RD-92ED02E8460E</x:v>
      </x:c>
      <x:c r="B474" s="24" t="str">
        <x:v>SIM</x:v>
      </x:c>
      <x:c r="C474" s="24" t="str">
        <x:v>DISPONÍVEL</x:v>
      </x:c>
      <x:c r="D474" s="24" t="str">
        <x:v>Rodenstock</x:v>
      </x:c>
      <x:c r="E474" s="24" t="str">
        <x:v>Ocupacional B.I.G. NORM</x:v>
      </x:c>
      <x:c r="F474" s="24" t="str">
        <x:v>Surfaçada</x:v>
      </x:c>
      <x:c r="G474" s="24" t="str">
        <x:v>Multigressiv Ergo B.I.G. NORM</x:v>
      </x:c>
      <x:c r="H474" s="24"/>
      <x:c r="I474" s="24" t="str">
        <x:v>1.67 Ergo PC/Book/Room</x:v>
      </x:c>
      <x:c r="J474" s="24" t="str">
        <x:v>1.67</x:v>
      </x:c>
      <x:c r="K474" s="24" t="str">
        <x:v>LayR X-tra Clean</x:v>
      </x:c>
      <x:c r="L474" s="40" t="n">
        <x:v>5505</x:v>
      </x:c>
      <x:c r="M474" s="24" t="str">
        <x:v>-10 a +8</x:v>
      </x:c>
      <x:c r="N474" s="24" t="str">
        <x:v>até -6</x:v>
      </x:c>
      <x:c r="O474" s="24"/>
      <x:c r="P474" s="24" t="str">
        <x:v>75/80</x:v>
      </x:c>
      <x:c r="Q474" s="24"/>
      <x:c r="R474" s="24"/>
      <x:c r="S474" s="26" t="n">
        <x:v>46024</x:v>
      </x:c>
      <x:c r="T474" s="26"/>
      <x:c r="U474" s="24" t="str">
        <x:v>ATIVA/SEM FIM INFORMADO</x:v>
      </x:c>
      <x:c r="V474" s="24"/>
      <x:c r="W474" s="24" t="n">
        <x:v>13</x:v>
      </x:c>
      <x:c r="X474" s="24" t="str">
        <x:v>tabela_rodenstock.pdf</x:v>
      </x:c>
      <x:c r="Y474" s="24" t="str">
        <x:v>alta</x:v>
      </x:c>
      <x:c r="Z474" s="24"/>
      <x:c r="AA474" s="24" t="str">
        <x:v>Rodenstock|Ocupacional B.I.G. NORM|Surfaçada|Multigressiv Ergo B.I.G. NORM||1.67 Ergo PC/Book/Room|1.67|LayR X-tra Clean|-10 a +8|até -6||75/80|||13</x:v>
      </x:c>
    </x:row>
    <x:row r="475">
      <x:c r="A475" s="24" t="str">
        <x:v>RD-9CC0684B0D7B</x:v>
      </x:c>
      <x:c r="B475" s="24" t="str">
        <x:v>SIM</x:v>
      </x:c>
      <x:c r="C475" s="24" t="str">
        <x:v>DISPONÍVEL</x:v>
      </x:c>
      <x:c r="D475" s="24" t="str">
        <x:v>Rodenstock</x:v>
      </x:c>
      <x:c r="E475" s="24" t="str">
        <x:v>Ocupacional B.I.G. NORM</x:v>
      </x:c>
      <x:c r="F475" s="24" t="str">
        <x:v>Surfaçada</x:v>
      </x:c>
      <x:c r="G475" s="24" t="str">
        <x:v>Multigressiv Ergo B.I.G. NORM</x:v>
      </x:c>
      <x:c r="H475" s="24"/>
      <x:c r="I475" s="24" t="str">
        <x:v>1.67 Ergo PC/Book/Room</x:v>
      </x:c>
      <x:c r="J475" s="24" t="str">
        <x:v>1.67</x:v>
      </x:c>
      <x:c r="K475" s="24" t="str">
        <x:v>LayR Balance</x:v>
      </x:c>
      <x:c r="L475" s="40" t="n">
        <x:v>5505</x:v>
      </x:c>
      <x:c r="M475" s="24" t="str">
        <x:v>-10 a +8</x:v>
      </x:c>
      <x:c r="N475" s="24" t="str">
        <x:v>até -6</x:v>
      </x:c>
      <x:c r="O475" s="24"/>
      <x:c r="P475" s="24" t="str">
        <x:v>75/80</x:v>
      </x:c>
      <x:c r="Q475" s="24"/>
      <x:c r="R475" s="24"/>
      <x:c r="S475" s="26" t="n">
        <x:v>46024</x:v>
      </x:c>
      <x:c r="T475" s="26"/>
      <x:c r="U475" s="24" t="str">
        <x:v>ATIVA/SEM FIM INFORMADO</x:v>
      </x:c>
      <x:c r="V475" s="24"/>
      <x:c r="W475" s="24" t="n">
        <x:v>13</x:v>
      </x:c>
      <x:c r="X475" s="24" t="str">
        <x:v>tabela_rodenstock.pdf</x:v>
      </x:c>
      <x:c r="Y475" s="24" t="str">
        <x:v>alta</x:v>
      </x:c>
      <x:c r="Z475" s="24"/>
      <x:c r="AA475" s="24" t="str">
        <x:v>Rodenstock|Ocupacional B.I.G. NORM|Surfaçada|Multigressiv Ergo B.I.G. NORM||1.67 Ergo PC/Book/Room|1.67|LayR Balance|-10 a +8|até -6||75/80|||13</x:v>
      </x:c>
    </x:row>
    <x:row r="476">
      <x:c r="A476" s="24" t="str">
        <x:v>RD-E7F0EB546668</x:v>
      </x:c>
      <x:c r="B476" s="24" t="str">
        <x:v>SIM</x:v>
      </x:c>
      <x:c r="C476" s="24" t="str">
        <x:v>DISPONÍVEL</x:v>
      </x:c>
      <x:c r="D476" s="24" t="str">
        <x:v>Rodenstock</x:v>
      </x:c>
      <x:c r="E476" s="24" t="str">
        <x:v>Ocupacional B.I.G. NORM</x:v>
      </x:c>
      <x:c r="F476" s="24" t="str">
        <x:v>Surfaçada</x:v>
      </x:c>
      <x:c r="G476" s="24" t="str">
        <x:v>Multigressiv Ergo B.I.G. NORM</x:v>
      </x:c>
      <x:c r="H476" s="24"/>
      <x:c r="I476" s="24" t="str">
        <x:v>1.67 Ergo PC/Book/Room</x:v>
      </x:c>
      <x:c r="J476" s="24" t="str">
        <x:v>1.67</x:v>
      </x:c>
      <x:c r="K476" s="24" t="str">
        <x:v>Solitaire X-tra Clean</x:v>
      </x:c>
      <x:c r="L476" s="40" t="n">
        <x:v>5435</x:v>
      </x:c>
      <x:c r="M476" s="24" t="str">
        <x:v>-10 a +8</x:v>
      </x:c>
      <x:c r="N476" s="24" t="str">
        <x:v>até -6</x:v>
      </x:c>
      <x:c r="O476" s="24"/>
      <x:c r="P476" s="24" t="str">
        <x:v>75/80</x:v>
      </x:c>
      <x:c r="Q476" s="24"/>
      <x:c r="R476" s="24"/>
      <x:c r="S476" s="26" t="n">
        <x:v>46024</x:v>
      </x:c>
      <x:c r="T476" s="26"/>
      <x:c r="U476" s="24" t="str">
        <x:v>ATIVA/SEM FIM INFORMADO</x:v>
      </x:c>
      <x:c r="V476" s="24"/>
      <x:c r="W476" s="24" t="n">
        <x:v>13</x:v>
      </x:c>
      <x:c r="X476" s="24" t="str">
        <x:v>tabela_rodenstock.pdf</x:v>
      </x:c>
      <x:c r="Y476" s="24" t="str">
        <x:v>alta</x:v>
      </x:c>
      <x:c r="Z476" s="24"/>
      <x:c r="AA476" s="24" t="str">
        <x:v>Rodenstock|Ocupacional B.I.G. NORM|Surfaçada|Multigressiv Ergo B.I.G. NORM||1.67 Ergo PC/Book/Room|1.67|Solitaire X-tra Clean|-10 a +8|até -6||75/80|||13</x:v>
      </x:c>
    </x:row>
    <x:row r="477">
      <x:c r="A477" s="24" t="str">
        <x:v>RD-CBE50B447552</x:v>
      </x:c>
      <x:c r="B477" s="24" t="str">
        <x:v>SIM</x:v>
      </x:c>
      <x:c r="C477" s="24" t="str">
        <x:v>DISPONÍVEL</x:v>
      </x:c>
      <x:c r="D477" s="24" t="str">
        <x:v>Rodenstock</x:v>
      </x:c>
      <x:c r="E477" s="24" t="str">
        <x:v>Ocupacional B.I.G. NORM</x:v>
      </x:c>
      <x:c r="F477" s="24" t="str">
        <x:v>Surfaçada</x:v>
      </x:c>
      <x:c r="G477" s="24" t="str">
        <x:v>Multigressiv Ergo B.I.G. NORM</x:v>
      </x:c>
      <x:c r="H477" s="24"/>
      <x:c r="I477" s="24" t="str">
        <x:v>1.67 Ergo PC/Book/Room</x:v>
      </x:c>
      <x:c r="J477" s="24" t="str">
        <x:v>1.67</x:v>
      </x:c>
      <x:c r="K477" s="24" t="str">
        <x:v>Solitaire Protect Plus</x:v>
      </x:c>
      <x:c r="L477" s="40" t="n">
        <x:v>5385</x:v>
      </x:c>
      <x:c r="M477" s="24" t="str">
        <x:v>-10 a +8</x:v>
      </x:c>
      <x:c r="N477" s="24" t="str">
        <x:v>até -6</x:v>
      </x:c>
      <x:c r="O477" s="24"/>
      <x:c r="P477" s="24" t="str">
        <x:v>75/80</x:v>
      </x:c>
      <x:c r="Q477" s="24"/>
      <x:c r="R477" s="24"/>
      <x:c r="S477" s="26" t="n">
        <x:v>46024</x:v>
      </x:c>
      <x:c r="T477" s="26"/>
      <x:c r="U477" s="24" t="str">
        <x:v>ATIVA/SEM FIM INFORMADO</x:v>
      </x:c>
      <x:c r="V477" s="24"/>
      <x:c r="W477" s="24" t="n">
        <x:v>13</x:v>
      </x:c>
      <x:c r="X477" s="24" t="str">
        <x:v>tabela_rodenstock.pdf</x:v>
      </x:c>
      <x:c r="Y477" s="24" t="str">
        <x:v>alta</x:v>
      </x:c>
      <x:c r="Z477" s="24"/>
      <x:c r="AA477" s="24" t="str">
        <x:v>Rodenstock|Ocupacional B.I.G. NORM|Surfaçada|Multigressiv Ergo B.I.G. NORM||1.67 Ergo PC/Book/Room|1.67|Solitaire Protect Plus|-10 a +8|até -6||75/80|||13</x:v>
      </x:c>
    </x:row>
    <x:row r="478">
      <x:c r="A478" s="24" t="str">
        <x:v>RD-1DFBCC587055</x:v>
      </x:c>
      <x:c r="B478" s="24" t="str">
        <x:v>SIM</x:v>
      </x:c>
      <x:c r="C478" s="24" t="str">
        <x:v>DISPONÍVEL</x:v>
      </x:c>
      <x:c r="D478" s="24" t="str">
        <x:v>Rodenstock</x:v>
      </x:c>
      <x:c r="E478" s="24" t="str">
        <x:v>Ocupacional B.I.G. NORM</x:v>
      </x:c>
      <x:c r="F478" s="24" t="str">
        <x:v>Surfaçada</x:v>
      </x:c>
      <x:c r="G478" s="24" t="str">
        <x:v>Multigressiv Ergo B.I.G. NORM</x:v>
      </x:c>
      <x:c r="H478" s="24"/>
      <x:c r="I478" s="24" t="str">
        <x:v>1.67 Ergo PC/Book/Room</x:v>
      </x:c>
      <x:c r="J478" s="24" t="str">
        <x:v>1.67</x:v>
      </x:c>
      <x:c r="K478" s="24" t="str">
        <x:v>ROAD</x:v>
      </x:c>
      <x:c r="L478" s="40" t="n">
        <x:v>5385</x:v>
      </x:c>
      <x:c r="M478" s="24" t="str">
        <x:v>-10 a +8</x:v>
      </x:c>
      <x:c r="N478" s="24" t="str">
        <x:v>até -6</x:v>
      </x:c>
      <x:c r="O478" s="24"/>
      <x:c r="P478" s="24" t="str">
        <x:v>75/80</x:v>
      </x:c>
      <x:c r="Q478" s="24"/>
      <x:c r="R478" s="24"/>
      <x:c r="S478" s="26" t="n">
        <x:v>46024</x:v>
      </x:c>
      <x:c r="T478" s="26"/>
      <x:c r="U478" s="24" t="str">
        <x:v>ATIVA/SEM FIM INFORMADO</x:v>
      </x:c>
      <x:c r="V478" s="24"/>
      <x:c r="W478" s="24" t="n">
        <x:v>13</x:v>
      </x:c>
      <x:c r="X478" s="24" t="str">
        <x:v>tabela_rodenstock.pdf</x:v>
      </x:c>
      <x:c r="Y478" s="24" t="str">
        <x:v>alta</x:v>
      </x:c>
      <x:c r="Z478" s="24"/>
      <x:c r="AA478" s="24" t="str">
        <x:v>Rodenstock|Ocupacional B.I.G. NORM|Surfaçada|Multigressiv Ergo B.I.G. NORM||1.67 Ergo PC/Book/Room|1.67|ROAD|-10 a +8|até -6||75/80|||13</x:v>
      </x:c>
    </x:row>
    <x:row r="479">
      <x:c r="A479" s="24" t="str">
        <x:v>RD-0BAC14573E06</x:v>
      </x:c>
      <x:c r="B479" s="24" t="str">
        <x:v>SIM</x:v>
      </x:c>
      <x:c r="C479" s="24" t="str">
        <x:v>DISPONÍVEL</x:v>
      </x:c>
      <x:c r="D479" s="24" t="str">
        <x:v>Rodenstock</x:v>
      </x:c>
      <x:c r="E479" s="24" t="str">
        <x:v>Ocupacional B.I.G. NORM</x:v>
      </x:c>
      <x:c r="F479" s="24" t="str">
        <x:v>Surfaçada</x:v>
      </x:c>
      <x:c r="G479" s="24" t="str">
        <x:v>Multigressiv Ergo B.I.G. NORM</x:v>
      </x:c>
      <x:c r="H479" s="24"/>
      <x:c r="I479" s="24" t="str">
        <x:v>1.67 Ergo PC/Book/Room</x:v>
      </x:c>
      <x:c r="J479" s="24" t="str">
        <x:v>1.67</x:v>
      </x:c>
      <x:c r="K479" s="24" t="str">
        <x:v>Solitaire Protect</x:v>
      </x:c>
      <x:c r="L479" s="40" t="n">
        <x:v>5125</x:v>
      </x:c>
      <x:c r="M479" s="24" t="str">
        <x:v>-10 a +8</x:v>
      </x:c>
      <x:c r="N479" s="24" t="str">
        <x:v>até -6</x:v>
      </x:c>
      <x:c r="O479" s="24"/>
      <x:c r="P479" s="24" t="str">
        <x:v>75/80</x:v>
      </x:c>
      <x:c r="Q479" s="24"/>
      <x:c r="R479" s="24"/>
      <x:c r="S479" s="26" t="n">
        <x:v>46024</x:v>
      </x:c>
      <x:c r="T479" s="26"/>
      <x:c r="U479" s="24" t="str">
        <x:v>ATIVA/SEM FIM INFORMADO</x:v>
      </x:c>
      <x:c r="V479" s="24"/>
      <x:c r="W479" s="24" t="n">
        <x:v>13</x:v>
      </x:c>
      <x:c r="X479" s="24" t="str">
        <x:v>tabela_rodenstock.pdf</x:v>
      </x:c>
      <x:c r="Y479" s="24" t="str">
        <x:v>alta</x:v>
      </x:c>
      <x:c r="Z479" s="24"/>
      <x:c r="AA479" s="24" t="str">
        <x:v>Rodenstock|Ocupacional B.I.G. NORM|Surfaçada|Multigressiv Ergo B.I.G. NORM||1.67 Ergo PC/Book/Room|1.67|Solitaire Protect|-10 a +8|até -6||75/80|||13</x:v>
      </x:c>
    </x:row>
    <x:row r="480">
      <x:c r="A480" s="24" t="str">
        <x:v>RD-9FA6A4E35336</x:v>
      </x:c>
      <x:c r="B480" s="24" t="str">
        <x:v>SIM</x:v>
      </x:c>
      <x:c r="C480" s="24" t="str">
        <x:v>DISPONÍVEL</x:v>
      </x:c>
      <x:c r="D480" s="24" t="str">
        <x:v>Rodenstock</x:v>
      </x:c>
      <x:c r="E480" s="24" t="str">
        <x:v>Ocupacional B.I.G. NORM</x:v>
      </x:c>
      <x:c r="F480" s="24" t="str">
        <x:v>Surfaçada</x:v>
      </x:c>
      <x:c r="G480" s="24" t="str">
        <x:v>Multigressiv Ergo B.I.G. NORM</x:v>
      </x:c>
      <x:c r="H480" s="24"/>
      <x:c r="I480" s="24" t="str">
        <x:v>1.74 Ergo PC/Book/Room</x:v>
      </x:c>
      <x:c r="J480" s="24" t="str">
        <x:v>1.74</x:v>
      </x:c>
      <x:c r="K480" s="24" t="str">
        <x:v>LayR X-tra Clean</x:v>
      </x:c>
      <x:c r="L480" s="40" t="n">
        <x:v>6762</x:v>
      </x:c>
      <x:c r="M480" s="24" t="str">
        <x:v>-10 a +8</x:v>
      </x:c>
      <x:c r="N480" s="24" t="str">
        <x:v>até -6</x:v>
      </x:c>
      <x:c r="O480" s="24"/>
      <x:c r="P480" s="24" t="str">
        <x:v>75/80</x:v>
      </x:c>
      <x:c r="Q480" s="24"/>
      <x:c r="R480" s="24"/>
      <x:c r="S480" s="26" t="n">
        <x:v>46024</x:v>
      </x:c>
      <x:c r="T480" s="26"/>
      <x:c r="U480" s="24" t="str">
        <x:v>ATIVA/SEM FIM INFORMADO</x:v>
      </x:c>
      <x:c r="V480" s="24"/>
      <x:c r="W480" s="24" t="n">
        <x:v>13</x:v>
      </x:c>
      <x:c r="X480" s="24" t="str">
        <x:v>tabela_rodenstock.pdf</x:v>
      </x:c>
      <x:c r="Y480" s="24" t="str">
        <x:v>alta</x:v>
      </x:c>
      <x:c r="Z480" s="24"/>
      <x:c r="AA480" s="24" t="str">
        <x:v>Rodenstock|Ocupacional B.I.G. NORM|Surfaçada|Multigressiv Ergo B.I.G. NORM||1.74 Ergo PC/Book/Room|1.74|LayR X-tra Clean|-10 a +8|até -6||75/80|||13</x:v>
      </x:c>
    </x:row>
    <x:row r="481">
      <x:c r="A481" s="24" t="str">
        <x:v>RD-80B26121802F</x:v>
      </x:c>
      <x:c r="B481" s="24" t="str">
        <x:v>SIM</x:v>
      </x:c>
      <x:c r="C481" s="24" t="str">
        <x:v>DISPONÍVEL</x:v>
      </x:c>
      <x:c r="D481" s="24" t="str">
        <x:v>Rodenstock</x:v>
      </x:c>
      <x:c r="E481" s="24" t="str">
        <x:v>Ocupacional B.I.G. NORM</x:v>
      </x:c>
      <x:c r="F481" s="24" t="str">
        <x:v>Surfaçada</x:v>
      </x:c>
      <x:c r="G481" s="24" t="str">
        <x:v>Multigressiv Ergo B.I.G. NORM</x:v>
      </x:c>
      <x:c r="H481" s="24"/>
      <x:c r="I481" s="24" t="str">
        <x:v>1.74 Ergo PC/Book/Room</x:v>
      </x:c>
      <x:c r="J481" s="24" t="str">
        <x:v>1.74</x:v>
      </x:c>
      <x:c r="K481" s="24" t="str">
        <x:v>LayR Balance</x:v>
      </x:c>
      <x:c r="L481" s="40" t="n">
        <x:v>6762</x:v>
      </x:c>
      <x:c r="M481" s="24" t="str">
        <x:v>-10 a +8</x:v>
      </x:c>
      <x:c r="N481" s="24" t="str">
        <x:v>até -6</x:v>
      </x:c>
      <x:c r="O481" s="24"/>
      <x:c r="P481" s="24" t="str">
        <x:v>75/80</x:v>
      </x:c>
      <x:c r="Q481" s="24"/>
      <x:c r="R481" s="24"/>
      <x:c r="S481" s="26" t="n">
        <x:v>46024</x:v>
      </x:c>
      <x:c r="T481" s="26"/>
      <x:c r="U481" s="24" t="str">
        <x:v>ATIVA/SEM FIM INFORMADO</x:v>
      </x:c>
      <x:c r="V481" s="24"/>
      <x:c r="W481" s="24" t="n">
        <x:v>13</x:v>
      </x:c>
      <x:c r="X481" s="24" t="str">
        <x:v>tabela_rodenstock.pdf</x:v>
      </x:c>
      <x:c r="Y481" s="24" t="str">
        <x:v>alta</x:v>
      </x:c>
      <x:c r="Z481" s="24"/>
      <x:c r="AA481" s="24" t="str">
        <x:v>Rodenstock|Ocupacional B.I.G. NORM|Surfaçada|Multigressiv Ergo B.I.G. NORM||1.74 Ergo PC/Book/Room|1.74|LayR Balance|-10 a +8|até -6||75/80|||13</x:v>
      </x:c>
    </x:row>
    <x:row r="482">
      <x:c r="A482" s="24" t="str">
        <x:v>RD-5243209E7A6D</x:v>
      </x:c>
      <x:c r="B482" s="24" t="str">
        <x:v>SIM</x:v>
      </x:c>
      <x:c r="C482" s="24" t="str">
        <x:v>DISPONÍVEL</x:v>
      </x:c>
      <x:c r="D482" s="24" t="str">
        <x:v>Rodenstock</x:v>
      </x:c>
      <x:c r="E482" s="24" t="str">
        <x:v>Ocupacional B.I.G. NORM</x:v>
      </x:c>
      <x:c r="F482" s="24" t="str">
        <x:v>Surfaçada</x:v>
      </x:c>
      <x:c r="G482" s="24" t="str">
        <x:v>Multigressiv Ergo B.I.G. NORM</x:v>
      </x:c>
      <x:c r="H482" s="24"/>
      <x:c r="I482" s="24" t="str">
        <x:v>1.74 Ergo PC/Book/Room</x:v>
      </x:c>
      <x:c r="J482" s="24" t="str">
        <x:v>1.74</x:v>
      </x:c>
      <x:c r="K482" s="24" t="str">
        <x:v>Solitaire X-tra Clean</x:v>
      </x:c>
      <x:c r="L482" s="40" t="n">
        <x:v>6692</x:v>
      </x:c>
      <x:c r="M482" s="24" t="str">
        <x:v>-10 a +8</x:v>
      </x:c>
      <x:c r="N482" s="24" t="str">
        <x:v>até -6</x:v>
      </x:c>
      <x:c r="O482" s="24"/>
      <x:c r="P482" s="24" t="str">
        <x:v>75/80</x:v>
      </x:c>
      <x:c r="Q482" s="24"/>
      <x:c r="R482" s="24"/>
      <x:c r="S482" s="26" t="n">
        <x:v>46024</x:v>
      </x:c>
      <x:c r="T482" s="26"/>
      <x:c r="U482" s="24" t="str">
        <x:v>ATIVA/SEM FIM INFORMADO</x:v>
      </x:c>
      <x:c r="V482" s="24"/>
      <x:c r="W482" s="24" t="n">
        <x:v>13</x:v>
      </x:c>
      <x:c r="X482" s="24" t="str">
        <x:v>tabela_rodenstock.pdf</x:v>
      </x:c>
      <x:c r="Y482" s="24" t="str">
        <x:v>alta</x:v>
      </x:c>
      <x:c r="Z482" s="24"/>
      <x:c r="AA482" s="24" t="str">
        <x:v>Rodenstock|Ocupacional B.I.G. NORM|Surfaçada|Multigressiv Ergo B.I.G. NORM||1.74 Ergo PC/Book/Room|1.74|Solitaire X-tra Clean|-10 a +8|até -6||75/80|||13</x:v>
      </x:c>
    </x:row>
    <x:row r="483">
      <x:c r="A483" s="24" t="str">
        <x:v>RD-FA85D695005B</x:v>
      </x:c>
      <x:c r="B483" s="24" t="str">
        <x:v>SIM</x:v>
      </x:c>
      <x:c r="C483" s="24" t="str">
        <x:v>DISPONÍVEL</x:v>
      </x:c>
      <x:c r="D483" s="24" t="str">
        <x:v>Rodenstock</x:v>
      </x:c>
      <x:c r="E483" s="24" t="str">
        <x:v>Ocupacional B.I.G. NORM</x:v>
      </x:c>
      <x:c r="F483" s="24" t="str">
        <x:v>Surfaçada</x:v>
      </x:c>
      <x:c r="G483" s="24" t="str">
        <x:v>Multigressiv Ergo B.I.G. NORM</x:v>
      </x:c>
      <x:c r="H483" s="24"/>
      <x:c r="I483" s="24" t="str">
        <x:v>1.74 Ergo PC/Book/Room</x:v>
      </x:c>
      <x:c r="J483" s="24" t="str">
        <x:v>1.74</x:v>
      </x:c>
      <x:c r="K483" s="24" t="str">
        <x:v>Solitaire Protect Plus</x:v>
      </x:c>
      <x:c r="L483" s="40" t="n">
        <x:v>6642</x:v>
      </x:c>
      <x:c r="M483" s="24" t="str">
        <x:v>-10 a +8</x:v>
      </x:c>
      <x:c r="N483" s="24" t="str">
        <x:v>até -6</x:v>
      </x:c>
      <x:c r="O483" s="24"/>
      <x:c r="P483" s="24" t="str">
        <x:v>75/80</x:v>
      </x:c>
      <x:c r="Q483" s="24"/>
      <x:c r="R483" s="24"/>
      <x:c r="S483" s="26" t="n">
        <x:v>46024</x:v>
      </x:c>
      <x:c r="T483" s="26"/>
      <x:c r="U483" s="24" t="str">
        <x:v>ATIVA/SEM FIM INFORMADO</x:v>
      </x:c>
      <x:c r="V483" s="24"/>
      <x:c r="W483" s="24" t="n">
        <x:v>13</x:v>
      </x:c>
      <x:c r="X483" s="24" t="str">
        <x:v>tabela_rodenstock.pdf</x:v>
      </x:c>
      <x:c r="Y483" s="24" t="str">
        <x:v>alta</x:v>
      </x:c>
      <x:c r="Z483" s="24"/>
      <x:c r="AA483" s="24" t="str">
        <x:v>Rodenstock|Ocupacional B.I.G. NORM|Surfaçada|Multigressiv Ergo B.I.G. NORM||1.74 Ergo PC/Book/Room|1.74|Solitaire Protect Plus|-10 a +8|até -6||75/80|||13</x:v>
      </x:c>
    </x:row>
    <x:row r="484">
      <x:c r="A484" s="24" t="str">
        <x:v>RD-824A54251189</x:v>
      </x:c>
      <x:c r="B484" s="24" t="str">
        <x:v>SIM</x:v>
      </x:c>
      <x:c r="C484" s="24" t="str">
        <x:v>DISPONÍVEL</x:v>
      </x:c>
      <x:c r="D484" s="24" t="str">
        <x:v>Rodenstock</x:v>
      </x:c>
      <x:c r="E484" s="24" t="str">
        <x:v>Ocupacional B.I.G. NORM</x:v>
      </x:c>
      <x:c r="F484" s="24" t="str">
        <x:v>Surfaçada</x:v>
      </x:c>
      <x:c r="G484" s="24" t="str">
        <x:v>Multigressiv Ergo B.I.G. NORM</x:v>
      </x:c>
      <x:c r="H484" s="24"/>
      <x:c r="I484" s="24" t="str">
        <x:v>1.74 Ergo PC/Book/Room</x:v>
      </x:c>
      <x:c r="J484" s="24" t="str">
        <x:v>1.74</x:v>
      </x:c>
      <x:c r="K484" s="24" t="str">
        <x:v>Solitaire Protect</x:v>
      </x:c>
      <x:c r="L484" s="40" t="n">
        <x:v>6382</x:v>
      </x:c>
      <x:c r="M484" s="24" t="str">
        <x:v>-10 a +8</x:v>
      </x:c>
      <x:c r="N484" s="24" t="str">
        <x:v>até -6</x:v>
      </x:c>
      <x:c r="O484" s="24"/>
      <x:c r="P484" s="24" t="str">
        <x:v>75/80</x:v>
      </x:c>
      <x:c r="Q484" s="24"/>
      <x:c r="R484" s="24"/>
      <x:c r="S484" s="26" t="n">
        <x:v>46024</x:v>
      </x:c>
      <x:c r="T484" s="26"/>
      <x:c r="U484" s="24" t="str">
        <x:v>ATIVA/SEM FIM INFORMADO</x:v>
      </x:c>
      <x:c r="V484" s="24"/>
      <x:c r="W484" s="24" t="n">
        <x:v>13</x:v>
      </x:c>
      <x:c r="X484" s="24" t="str">
        <x:v>tabela_rodenstock.pdf</x:v>
      </x:c>
      <x:c r="Y484" s="24" t="str">
        <x:v>alta</x:v>
      </x:c>
      <x:c r="Z484" s="24"/>
      <x:c r="AA484" s="24" t="str">
        <x:v>Rodenstock|Ocupacional B.I.G. NORM|Surfaçada|Multigressiv Ergo B.I.G. NORM||1.74 Ergo PC/Book/Room|1.74|Solitaire Protect|-10 a +8|até -6||75/80|||13</x:v>
      </x:c>
    </x:row>
    <x:row r="485">
      <x:c r="A485" s="24" t="str">
        <x:v>RD-0F90C5A95ED0</x:v>
      </x:c>
      <x:c r="B485" s="24" t="str">
        <x:v>SIM</x:v>
      </x:c>
      <x:c r="C485" s="24" t="str">
        <x:v>DISPONÍVEL</x:v>
      </x:c>
      <x:c r="D485" s="24" t="str">
        <x:v>Rodenstock</x:v>
      </x:c>
      <x:c r="E485" s="24" t="str">
        <x:v>Ocupacional B.I.G. NORM</x:v>
      </x:c>
      <x:c r="F485" s="24" t="str">
        <x:v>Surfaçada</x:v>
      </x:c>
      <x:c r="G485" s="24" t="str">
        <x:v>Progressiv Ergo B.I.G. NORM</x:v>
      </x:c>
      <x:c r="H485" s="24"/>
      <x:c r="I485" s="24" t="str">
        <x:v>1.5 Ergo PC/Book/Room</x:v>
      </x:c>
      <x:c r="J485" s="24" t="str">
        <x:v>1.50</x:v>
      </x:c>
      <x:c r="K485" s="24" t="str">
        <x:v>LayR X-tra Clean</x:v>
      </x:c>
      <x:c r="L485" s="40" t="n">
        <x:v>2213</x:v>
      </x:c>
      <x:c r="M485" s="24" t="str">
        <x:v>-8 a +8</x:v>
      </x:c>
      <x:c r="N485" s="24" t="str">
        <x:v>até -6</x:v>
      </x:c>
      <x:c r="O485" s="24"/>
      <x:c r="P485" s="24" t="str">
        <x:v>75/80</x:v>
      </x:c>
      <x:c r="Q485" s="24"/>
      <x:c r="R485" s="24"/>
      <x:c r="S485" s="26" t="n">
        <x:v>46024</x:v>
      </x:c>
      <x:c r="T485" s="26"/>
      <x:c r="U485" s="24" t="str">
        <x:v>ATIVA/SEM FIM INFORMADO</x:v>
      </x:c>
      <x:c r="V485" s="24"/>
      <x:c r="W485" s="24" t="n">
        <x:v>13</x:v>
      </x:c>
      <x:c r="X485" s="24" t="str">
        <x:v>tabela_rodenstock.pdf</x:v>
      </x:c>
      <x:c r="Y485" s="24" t="str">
        <x:v>alta</x:v>
      </x:c>
      <x:c r="Z485" s="24"/>
      <x:c r="AA485" s="24" t="str">
        <x:v>Rodenstock|Ocupacional B.I.G. NORM|Surfaçada|Progressiv Ergo B.I.G. NORM||1.5 Ergo PC/Book/Room|1.50|LayR X-tra Clean|-8 a +8|até -6||75/80|||13</x:v>
      </x:c>
    </x:row>
    <x:row r="486">
      <x:c r="A486" s="24" t="str">
        <x:v>RD-D2B310E82C5F</x:v>
      </x:c>
      <x:c r="B486" s="24" t="str">
        <x:v>SIM</x:v>
      </x:c>
      <x:c r="C486" s="24" t="str">
        <x:v>DISPONÍVEL</x:v>
      </x:c>
      <x:c r="D486" s="24" t="str">
        <x:v>Rodenstock</x:v>
      </x:c>
      <x:c r="E486" s="24" t="str">
        <x:v>Ocupacional B.I.G. NORM</x:v>
      </x:c>
      <x:c r="F486" s="24" t="str">
        <x:v>Surfaçada</x:v>
      </x:c>
      <x:c r="G486" s="24" t="str">
        <x:v>Progressiv Ergo B.I.G. NORM</x:v>
      </x:c>
      <x:c r="H486" s="24"/>
      <x:c r="I486" s="24" t="str">
        <x:v>1.5 Ergo PC/Book/Room</x:v>
      </x:c>
      <x:c r="J486" s="24" t="str">
        <x:v>1.50</x:v>
      </x:c>
      <x:c r="K486" s="24" t="str">
        <x:v>LayR Balance</x:v>
      </x:c>
      <x:c r="L486" s="40" t="n">
        <x:v>2213</x:v>
      </x:c>
      <x:c r="M486" s="24" t="str">
        <x:v>-8 a +8</x:v>
      </x:c>
      <x:c r="N486" s="24" t="str">
        <x:v>até -6</x:v>
      </x:c>
      <x:c r="O486" s="24"/>
      <x:c r="P486" s="24" t="str">
        <x:v>75/80</x:v>
      </x:c>
      <x:c r="Q486" s="24"/>
      <x:c r="R486" s="24"/>
      <x:c r="S486" s="26" t="n">
        <x:v>46024</x:v>
      </x:c>
      <x:c r="T486" s="26"/>
      <x:c r="U486" s="24" t="str">
        <x:v>ATIVA/SEM FIM INFORMADO</x:v>
      </x:c>
      <x:c r="V486" s="24"/>
      <x:c r="W486" s="24" t="n">
        <x:v>13</x:v>
      </x:c>
      <x:c r="X486" s="24" t="str">
        <x:v>tabela_rodenstock.pdf</x:v>
      </x:c>
      <x:c r="Y486" s="24" t="str">
        <x:v>alta</x:v>
      </x:c>
      <x:c r="Z486" s="24"/>
      <x:c r="AA486" s="24" t="str">
        <x:v>Rodenstock|Ocupacional B.I.G. NORM|Surfaçada|Progressiv Ergo B.I.G. NORM||1.5 Ergo PC/Book/Room|1.50|LayR Balance|-8 a +8|até -6||75/80|||13</x:v>
      </x:c>
    </x:row>
    <x:row r="487">
      <x:c r="A487" s="24" t="str">
        <x:v>RD-13FC0AAA760F</x:v>
      </x:c>
      <x:c r="B487" s="24" t="str">
        <x:v>SIM</x:v>
      </x:c>
      <x:c r="C487" s="24" t="str">
        <x:v>DISPONÍVEL</x:v>
      </x:c>
      <x:c r="D487" s="24" t="str">
        <x:v>Rodenstock</x:v>
      </x:c>
      <x:c r="E487" s="24" t="str">
        <x:v>Ocupacional B.I.G. NORM</x:v>
      </x:c>
      <x:c r="F487" s="24" t="str">
        <x:v>Surfaçada</x:v>
      </x:c>
      <x:c r="G487" s="24" t="str">
        <x:v>Progressiv Ergo B.I.G. NORM</x:v>
      </x:c>
      <x:c r="H487" s="24"/>
      <x:c r="I487" s="24" t="str">
        <x:v>1.5 Ergo PC/Book/Room</x:v>
      </x:c>
      <x:c r="J487" s="24" t="str">
        <x:v>1.50</x:v>
      </x:c>
      <x:c r="K487" s="24" t="str">
        <x:v>Solitaire X-tra Clean</x:v>
      </x:c>
      <x:c r="L487" s="40" t="n">
        <x:v>2143</x:v>
      </x:c>
      <x:c r="M487" s="24" t="str">
        <x:v>-8 a +8</x:v>
      </x:c>
      <x:c r="N487" s="24" t="str">
        <x:v>até -6</x:v>
      </x:c>
      <x:c r="O487" s="24"/>
      <x:c r="P487" s="24" t="str">
        <x:v>75/80</x:v>
      </x:c>
      <x:c r="Q487" s="24"/>
      <x:c r="R487" s="24"/>
      <x:c r="S487" s="26" t="n">
        <x:v>46024</x:v>
      </x:c>
      <x:c r="T487" s="26"/>
      <x:c r="U487" s="24" t="str">
        <x:v>ATIVA/SEM FIM INFORMADO</x:v>
      </x:c>
      <x:c r="V487" s="24"/>
      <x:c r="W487" s="24" t="n">
        <x:v>13</x:v>
      </x:c>
      <x:c r="X487" s="24" t="str">
        <x:v>tabela_rodenstock.pdf</x:v>
      </x:c>
      <x:c r="Y487" s="24" t="str">
        <x:v>alta</x:v>
      </x:c>
      <x:c r="Z487" s="24"/>
      <x:c r="AA487" s="24" t="str">
        <x:v>Rodenstock|Ocupacional B.I.G. NORM|Surfaçada|Progressiv Ergo B.I.G. NORM||1.5 Ergo PC/Book/Room|1.50|Solitaire X-tra Clean|-8 a +8|até -6||75/80|||13</x:v>
      </x:c>
    </x:row>
    <x:row r="488">
      <x:c r="A488" s="24" t="str">
        <x:v>RD-55593B1B1112</x:v>
      </x:c>
      <x:c r="B488" s="24" t="str">
        <x:v>SIM</x:v>
      </x:c>
      <x:c r="C488" s="24" t="str">
        <x:v>DISPONÍVEL</x:v>
      </x:c>
      <x:c r="D488" s="24" t="str">
        <x:v>Rodenstock</x:v>
      </x:c>
      <x:c r="E488" s="24" t="str">
        <x:v>Ocupacional B.I.G. NORM</x:v>
      </x:c>
      <x:c r="F488" s="24" t="str">
        <x:v>Surfaçada</x:v>
      </x:c>
      <x:c r="G488" s="24" t="str">
        <x:v>Progressiv Ergo B.I.G. NORM</x:v>
      </x:c>
      <x:c r="H488" s="24"/>
      <x:c r="I488" s="24" t="str">
        <x:v>1.5 Ergo PC/Book/Room</x:v>
      </x:c>
      <x:c r="J488" s="24" t="str">
        <x:v>1.50</x:v>
      </x:c>
      <x:c r="K488" s="24" t="str">
        <x:v>Solitaire Protect Plus</x:v>
      </x:c>
      <x:c r="L488" s="40" t="n">
        <x:v>2093</x:v>
      </x:c>
      <x:c r="M488" s="24" t="str">
        <x:v>-8 a +8</x:v>
      </x:c>
      <x:c r="N488" s="24" t="str">
        <x:v>até -6</x:v>
      </x:c>
      <x:c r="O488" s="24"/>
      <x:c r="P488" s="24" t="str">
        <x:v>75/80</x:v>
      </x:c>
      <x:c r="Q488" s="24"/>
      <x:c r="R488" s="24"/>
      <x:c r="S488" s="26" t="n">
        <x:v>46024</x:v>
      </x:c>
      <x:c r="T488" s="26"/>
      <x:c r="U488" s="24" t="str">
        <x:v>ATIVA/SEM FIM INFORMADO</x:v>
      </x:c>
      <x:c r="V488" s="24"/>
      <x:c r="W488" s="24" t="n">
        <x:v>13</x:v>
      </x:c>
      <x:c r="X488" s="24" t="str">
        <x:v>tabela_rodenstock.pdf</x:v>
      </x:c>
      <x:c r="Y488" s="24" t="str">
        <x:v>alta</x:v>
      </x:c>
      <x:c r="Z488" s="24"/>
      <x:c r="AA488" s="24" t="str">
        <x:v>Rodenstock|Ocupacional B.I.G. NORM|Surfaçada|Progressiv Ergo B.I.G. NORM||1.5 Ergo PC/Book/Room|1.50|Solitaire Protect Plus|-8 a +8|até -6||75/80|||13</x:v>
      </x:c>
    </x:row>
    <x:row r="489">
      <x:c r="A489" s="24" t="str">
        <x:v>RD-DAFF5FBD7437</x:v>
      </x:c>
      <x:c r="B489" s="24" t="str">
        <x:v>SIM</x:v>
      </x:c>
      <x:c r="C489" s="24" t="str">
        <x:v>DISPONÍVEL</x:v>
      </x:c>
      <x:c r="D489" s="24" t="str">
        <x:v>Rodenstock</x:v>
      </x:c>
      <x:c r="E489" s="24" t="str">
        <x:v>Ocupacional B.I.G. NORM</x:v>
      </x:c>
      <x:c r="F489" s="24" t="str">
        <x:v>Surfaçada</x:v>
      </x:c>
      <x:c r="G489" s="24" t="str">
        <x:v>Progressiv Ergo B.I.G. NORM</x:v>
      </x:c>
      <x:c r="H489" s="24"/>
      <x:c r="I489" s="24" t="str">
        <x:v>1.5 Ergo PC/Book/Room</x:v>
      </x:c>
      <x:c r="J489" s="24" t="str">
        <x:v>1.50</x:v>
      </x:c>
      <x:c r="K489" s="24" t="str">
        <x:v>ROAD</x:v>
      </x:c>
      <x:c r="L489" s="40" t="n">
        <x:v>2093</x:v>
      </x:c>
      <x:c r="M489" s="24" t="str">
        <x:v>-8 a +8</x:v>
      </x:c>
      <x:c r="N489" s="24" t="str">
        <x:v>até -6</x:v>
      </x:c>
      <x:c r="O489" s="24"/>
      <x:c r="P489" s="24" t="str">
        <x:v>75/80</x:v>
      </x:c>
      <x:c r="Q489" s="24"/>
      <x:c r="R489" s="24"/>
      <x:c r="S489" s="26" t="n">
        <x:v>46024</x:v>
      </x:c>
      <x:c r="T489" s="26"/>
      <x:c r="U489" s="24" t="str">
        <x:v>ATIVA/SEM FIM INFORMADO</x:v>
      </x:c>
      <x:c r="V489" s="24"/>
      <x:c r="W489" s="24" t="n">
        <x:v>13</x:v>
      </x:c>
      <x:c r="X489" s="24" t="str">
        <x:v>tabela_rodenstock.pdf</x:v>
      </x:c>
      <x:c r="Y489" s="24" t="str">
        <x:v>alta</x:v>
      </x:c>
      <x:c r="Z489" s="24"/>
      <x:c r="AA489" s="24" t="str">
        <x:v>Rodenstock|Ocupacional B.I.G. NORM|Surfaçada|Progressiv Ergo B.I.G. NORM||1.5 Ergo PC/Book/Room|1.50|ROAD|-8 a +8|até -6||75/80|||13</x:v>
      </x:c>
    </x:row>
    <x:row r="490">
      <x:c r="A490" s="24" t="str">
        <x:v>RD-80C346021384</x:v>
      </x:c>
      <x:c r="B490" s="24" t="str">
        <x:v>SIM</x:v>
      </x:c>
      <x:c r="C490" s="24" t="str">
        <x:v>DISPONÍVEL</x:v>
      </x:c>
      <x:c r="D490" s="24" t="str">
        <x:v>Rodenstock</x:v>
      </x:c>
      <x:c r="E490" s="24" t="str">
        <x:v>Ocupacional B.I.G. NORM</x:v>
      </x:c>
      <x:c r="F490" s="24" t="str">
        <x:v>Surfaçada</x:v>
      </x:c>
      <x:c r="G490" s="24" t="str">
        <x:v>Progressiv Ergo B.I.G. NORM</x:v>
      </x:c>
      <x:c r="H490" s="24"/>
      <x:c r="I490" s="24" t="str">
        <x:v>1.5 Ergo PC/Book/Room</x:v>
      </x:c>
      <x:c r="J490" s="24" t="str">
        <x:v>1.50</x:v>
      </x:c>
      <x:c r="K490" s="24" t="str">
        <x:v>Solitaire Protect</x:v>
      </x:c>
      <x:c r="L490" s="40" t="n">
        <x:v>1833</x:v>
      </x:c>
      <x:c r="M490" s="24" t="str">
        <x:v>-8 a +8</x:v>
      </x:c>
      <x:c r="N490" s="24" t="str">
        <x:v>até -6</x:v>
      </x:c>
      <x:c r="O490" s="24"/>
      <x:c r="P490" s="24" t="str">
        <x:v>75/80</x:v>
      </x:c>
      <x:c r="Q490" s="24"/>
      <x:c r="R490" s="24"/>
      <x:c r="S490" s="26" t="n">
        <x:v>46024</x:v>
      </x:c>
      <x:c r="T490" s="26"/>
      <x:c r="U490" s="24" t="str">
        <x:v>ATIVA/SEM FIM INFORMADO</x:v>
      </x:c>
      <x:c r="V490" s="24"/>
      <x:c r="W490" s="24" t="n">
        <x:v>13</x:v>
      </x:c>
      <x:c r="X490" s="24" t="str">
        <x:v>tabela_rodenstock.pdf</x:v>
      </x:c>
      <x:c r="Y490" s="24" t="str">
        <x:v>alta</x:v>
      </x:c>
      <x:c r="Z490" s="24"/>
      <x:c r="AA490" s="24" t="str">
        <x:v>Rodenstock|Ocupacional B.I.G. NORM|Surfaçada|Progressiv Ergo B.I.G. NORM||1.5 Ergo PC/Book/Room|1.50|Solitaire Protect|-8 a +8|até -6||75/80|||13</x:v>
      </x:c>
    </x:row>
    <x:row r="491">
      <x:c r="A491" s="24" t="str">
        <x:v>RD-4B255618417E</x:v>
      </x:c>
      <x:c r="B491" s="24" t="str">
        <x:v>SIM</x:v>
      </x:c>
      <x:c r="C491" s="24" t="str">
        <x:v>DISPONÍVEL</x:v>
      </x:c>
      <x:c r="D491" s="24" t="str">
        <x:v>Rodenstock</x:v>
      </x:c>
      <x:c r="E491" s="24" t="str">
        <x:v>Ocupacional B.I.G. NORM</x:v>
      </x:c>
      <x:c r="F491" s="24" t="str">
        <x:v>Surfaçada</x:v>
      </x:c>
      <x:c r="G491" s="24" t="str">
        <x:v>Progressiv Ergo B.I.G. NORM</x:v>
      </x:c>
      <x:c r="H491" s="24"/>
      <x:c r="I491" s="24" t="str">
        <x:v>1.6 Ergo PC/Book/Room</x:v>
      </x:c>
      <x:c r="J491" s="24" t="str">
        <x:v>1.60</x:v>
      </x:c>
      <x:c r="K491" s="24" t="str">
        <x:v>LayR X-tra Clean</x:v>
      </x:c>
      <x:c r="L491" s="40" t="n">
        <x:v>3396</x:v>
      </x:c>
      <x:c r="M491" s="24" t="str">
        <x:v>-10 a +8</x:v>
      </x:c>
      <x:c r="N491" s="24" t="str">
        <x:v>até -6</x:v>
      </x:c>
      <x:c r="O491" s="24"/>
      <x:c r="P491" s="24" t="str">
        <x:v>75/80</x:v>
      </x:c>
      <x:c r="Q491" s="24"/>
      <x:c r="R491" s="24"/>
      <x:c r="S491" s="26" t="n">
        <x:v>46024</x:v>
      </x:c>
      <x:c r="T491" s="26"/>
      <x:c r="U491" s="24" t="str">
        <x:v>ATIVA/SEM FIM INFORMADO</x:v>
      </x:c>
      <x:c r="V491" s="24"/>
      <x:c r="W491" s="24" t="n">
        <x:v>13</x:v>
      </x:c>
      <x:c r="X491" s="24" t="str">
        <x:v>tabela_rodenstock.pdf</x:v>
      </x:c>
      <x:c r="Y491" s="24" t="str">
        <x:v>alta</x:v>
      </x:c>
      <x:c r="Z491" s="24"/>
      <x:c r="AA491" s="24" t="str">
        <x:v>Rodenstock|Ocupacional B.I.G. NORM|Surfaçada|Progressiv Ergo B.I.G. NORM||1.6 Ergo PC/Book/Room|1.60|LayR X-tra Clean|-10 a +8|até -6||75/80|||13</x:v>
      </x:c>
    </x:row>
    <x:row r="492">
      <x:c r="A492" s="24" t="str">
        <x:v>RD-B72DEB694E9E</x:v>
      </x:c>
      <x:c r="B492" s="24" t="str">
        <x:v>SIM</x:v>
      </x:c>
      <x:c r="C492" s="24" t="str">
        <x:v>DISPONÍVEL</x:v>
      </x:c>
      <x:c r="D492" s="24" t="str">
        <x:v>Rodenstock</x:v>
      </x:c>
      <x:c r="E492" s="24" t="str">
        <x:v>Ocupacional B.I.G. NORM</x:v>
      </x:c>
      <x:c r="F492" s="24" t="str">
        <x:v>Surfaçada</x:v>
      </x:c>
      <x:c r="G492" s="24" t="str">
        <x:v>Progressiv Ergo B.I.G. NORM</x:v>
      </x:c>
      <x:c r="H492" s="24"/>
      <x:c r="I492" s="24" t="str">
        <x:v>1.6 Ergo PC/Book/Room</x:v>
      </x:c>
      <x:c r="J492" s="24" t="str">
        <x:v>1.60</x:v>
      </x:c>
      <x:c r="K492" s="24" t="str">
        <x:v>LayR Balance</x:v>
      </x:c>
      <x:c r="L492" s="40" t="n">
        <x:v>3396</x:v>
      </x:c>
      <x:c r="M492" s="24" t="str">
        <x:v>-10 a +8</x:v>
      </x:c>
      <x:c r="N492" s="24" t="str">
        <x:v>até -6</x:v>
      </x:c>
      <x:c r="O492" s="24"/>
      <x:c r="P492" s="24" t="str">
        <x:v>75/80</x:v>
      </x:c>
      <x:c r="Q492" s="24"/>
      <x:c r="R492" s="24"/>
      <x:c r="S492" s="26" t="n">
        <x:v>46024</x:v>
      </x:c>
      <x:c r="T492" s="26"/>
      <x:c r="U492" s="24" t="str">
        <x:v>ATIVA/SEM FIM INFORMADO</x:v>
      </x:c>
      <x:c r="V492" s="24"/>
      <x:c r="W492" s="24" t="n">
        <x:v>13</x:v>
      </x:c>
      <x:c r="X492" s="24" t="str">
        <x:v>tabela_rodenstock.pdf</x:v>
      </x:c>
      <x:c r="Y492" s="24" t="str">
        <x:v>alta</x:v>
      </x:c>
      <x:c r="Z492" s="24"/>
      <x:c r="AA492" s="24" t="str">
        <x:v>Rodenstock|Ocupacional B.I.G. NORM|Surfaçada|Progressiv Ergo B.I.G. NORM||1.6 Ergo PC/Book/Room|1.60|LayR Balance|-10 a +8|até -6||75/80|||13</x:v>
      </x:c>
    </x:row>
    <x:row r="493">
      <x:c r="A493" s="24" t="str">
        <x:v>RD-BB937606FF38</x:v>
      </x:c>
      <x:c r="B493" s="24" t="str">
        <x:v>SIM</x:v>
      </x:c>
      <x:c r="C493" s="24" t="str">
        <x:v>DISPONÍVEL</x:v>
      </x:c>
      <x:c r="D493" s="24" t="str">
        <x:v>Rodenstock</x:v>
      </x:c>
      <x:c r="E493" s="24" t="str">
        <x:v>Ocupacional B.I.G. NORM</x:v>
      </x:c>
      <x:c r="F493" s="24" t="str">
        <x:v>Surfaçada</x:v>
      </x:c>
      <x:c r="G493" s="24" t="str">
        <x:v>Progressiv Ergo B.I.G. NORM</x:v>
      </x:c>
      <x:c r="H493" s="24"/>
      <x:c r="I493" s="24" t="str">
        <x:v>1.6 Ergo PC/Book/Room</x:v>
      </x:c>
      <x:c r="J493" s="24" t="str">
        <x:v>1.60</x:v>
      </x:c>
      <x:c r="K493" s="24" t="str">
        <x:v>Solitaire X-tra Clean</x:v>
      </x:c>
      <x:c r="L493" s="40" t="n">
        <x:v>3326</x:v>
      </x:c>
      <x:c r="M493" s="24" t="str">
        <x:v>-10 a +8</x:v>
      </x:c>
      <x:c r="N493" s="24" t="str">
        <x:v>até -6</x:v>
      </x:c>
      <x:c r="O493" s="24"/>
      <x:c r="P493" s="24" t="str">
        <x:v>75/80</x:v>
      </x:c>
      <x:c r="Q493" s="24"/>
      <x:c r="R493" s="24"/>
      <x:c r="S493" s="26" t="n">
        <x:v>46024</x:v>
      </x:c>
      <x:c r="T493" s="26"/>
      <x:c r="U493" s="24" t="str">
        <x:v>ATIVA/SEM FIM INFORMADO</x:v>
      </x:c>
      <x:c r="V493" s="24"/>
      <x:c r="W493" s="24" t="n">
        <x:v>13</x:v>
      </x:c>
      <x:c r="X493" s="24" t="str">
        <x:v>tabela_rodenstock.pdf</x:v>
      </x:c>
      <x:c r="Y493" s="24" t="str">
        <x:v>alta</x:v>
      </x:c>
      <x:c r="Z493" s="24"/>
      <x:c r="AA493" s="24" t="str">
        <x:v>Rodenstock|Ocupacional B.I.G. NORM|Surfaçada|Progressiv Ergo B.I.G. NORM||1.6 Ergo PC/Book/Room|1.60|Solitaire X-tra Clean|-10 a +8|até -6||75/80|||13</x:v>
      </x:c>
    </x:row>
    <x:row r="494">
      <x:c r="A494" s="24" t="str">
        <x:v>RD-5663B848BC69</x:v>
      </x:c>
      <x:c r="B494" s="24" t="str">
        <x:v>SIM</x:v>
      </x:c>
      <x:c r="C494" s="24" t="str">
        <x:v>DISPONÍVEL</x:v>
      </x:c>
      <x:c r="D494" s="24" t="str">
        <x:v>Rodenstock</x:v>
      </x:c>
      <x:c r="E494" s="24" t="str">
        <x:v>Ocupacional B.I.G. NORM</x:v>
      </x:c>
      <x:c r="F494" s="24" t="str">
        <x:v>Surfaçada</x:v>
      </x:c>
      <x:c r="G494" s="24" t="str">
        <x:v>Progressiv Ergo B.I.G. NORM</x:v>
      </x:c>
      <x:c r="H494" s="24"/>
      <x:c r="I494" s="24" t="str">
        <x:v>1.6 Ergo PC/Book/Room</x:v>
      </x:c>
      <x:c r="J494" s="24" t="str">
        <x:v>1.60</x:v>
      </x:c>
      <x:c r="K494" s="24" t="str">
        <x:v>Solitaire Protect Plus</x:v>
      </x:c>
      <x:c r="L494" s="40" t="n">
        <x:v>3276</x:v>
      </x:c>
      <x:c r="M494" s="24" t="str">
        <x:v>-10 a +8</x:v>
      </x:c>
      <x:c r="N494" s="24" t="str">
        <x:v>até -6</x:v>
      </x:c>
      <x:c r="O494" s="24"/>
      <x:c r="P494" s="24" t="str">
        <x:v>75/80</x:v>
      </x:c>
      <x:c r="Q494" s="24"/>
      <x:c r="R494" s="24"/>
      <x:c r="S494" s="26" t="n">
        <x:v>46024</x:v>
      </x:c>
      <x:c r="T494" s="26"/>
      <x:c r="U494" s="24" t="str">
        <x:v>ATIVA/SEM FIM INFORMADO</x:v>
      </x:c>
      <x:c r="V494" s="24"/>
      <x:c r="W494" s="24" t="n">
        <x:v>13</x:v>
      </x:c>
      <x:c r="X494" s="24" t="str">
        <x:v>tabela_rodenstock.pdf</x:v>
      </x:c>
      <x:c r="Y494" s="24" t="str">
        <x:v>alta</x:v>
      </x:c>
      <x:c r="Z494" s="24"/>
      <x:c r="AA494" s="24" t="str">
        <x:v>Rodenstock|Ocupacional B.I.G. NORM|Surfaçada|Progressiv Ergo B.I.G. NORM||1.6 Ergo PC/Book/Room|1.60|Solitaire Protect Plus|-10 a +8|até -6||75/80|||13</x:v>
      </x:c>
    </x:row>
    <x:row r="495">
      <x:c r="A495" s="24" t="str">
        <x:v>RD-EB4206DCBD69</x:v>
      </x:c>
      <x:c r="B495" s="24" t="str">
        <x:v>SIM</x:v>
      </x:c>
      <x:c r="C495" s="24" t="str">
        <x:v>DISPONÍVEL</x:v>
      </x:c>
      <x:c r="D495" s="24" t="str">
        <x:v>Rodenstock</x:v>
      </x:c>
      <x:c r="E495" s="24" t="str">
        <x:v>Ocupacional B.I.G. NORM</x:v>
      </x:c>
      <x:c r="F495" s="24" t="str">
        <x:v>Surfaçada</x:v>
      </x:c>
      <x:c r="G495" s="24" t="str">
        <x:v>Progressiv Ergo B.I.G. NORM</x:v>
      </x:c>
      <x:c r="H495" s="24"/>
      <x:c r="I495" s="24" t="str">
        <x:v>1.6 Ergo PC/Book/Room</x:v>
      </x:c>
      <x:c r="J495" s="24" t="str">
        <x:v>1.60</x:v>
      </x:c>
      <x:c r="K495" s="24" t="str">
        <x:v>ROAD</x:v>
      </x:c>
      <x:c r="L495" s="40" t="n">
        <x:v>3276</x:v>
      </x:c>
      <x:c r="M495" s="24" t="str">
        <x:v>-10 a +8</x:v>
      </x:c>
      <x:c r="N495" s="24" t="str">
        <x:v>até -6</x:v>
      </x:c>
      <x:c r="O495" s="24"/>
      <x:c r="P495" s="24" t="str">
        <x:v>75/80</x:v>
      </x:c>
      <x:c r="Q495" s="24"/>
      <x:c r="R495" s="24"/>
      <x:c r="S495" s="26" t="n">
        <x:v>46024</x:v>
      </x:c>
      <x:c r="T495" s="26"/>
      <x:c r="U495" s="24" t="str">
        <x:v>ATIVA/SEM FIM INFORMADO</x:v>
      </x:c>
      <x:c r="V495" s="24"/>
      <x:c r="W495" s="24" t="n">
        <x:v>13</x:v>
      </x:c>
      <x:c r="X495" s="24" t="str">
        <x:v>tabela_rodenstock.pdf</x:v>
      </x:c>
      <x:c r="Y495" s="24" t="str">
        <x:v>alta</x:v>
      </x:c>
      <x:c r="Z495" s="24"/>
      <x:c r="AA495" s="24" t="str">
        <x:v>Rodenstock|Ocupacional B.I.G. NORM|Surfaçada|Progressiv Ergo B.I.G. NORM||1.6 Ergo PC/Book/Room|1.60|ROAD|-10 a +8|até -6||75/80|||13</x:v>
      </x:c>
    </x:row>
    <x:row r="496">
      <x:c r="A496" s="24" t="str">
        <x:v>RD-5AC6030A041A</x:v>
      </x:c>
      <x:c r="B496" s="24" t="str">
        <x:v>SIM</x:v>
      </x:c>
      <x:c r="C496" s="24" t="str">
        <x:v>DISPONÍVEL</x:v>
      </x:c>
      <x:c r="D496" s="24" t="str">
        <x:v>Rodenstock</x:v>
      </x:c>
      <x:c r="E496" s="24" t="str">
        <x:v>Ocupacional B.I.G. NORM</x:v>
      </x:c>
      <x:c r="F496" s="24" t="str">
        <x:v>Surfaçada</x:v>
      </x:c>
      <x:c r="G496" s="24" t="str">
        <x:v>Progressiv Ergo B.I.G. NORM</x:v>
      </x:c>
      <x:c r="H496" s="24"/>
      <x:c r="I496" s="24" t="str">
        <x:v>1.6 Ergo PC/Book/Room</x:v>
      </x:c>
      <x:c r="J496" s="24" t="str">
        <x:v>1.60</x:v>
      </x:c>
      <x:c r="K496" s="24" t="str">
        <x:v>Solitaire Protect</x:v>
      </x:c>
      <x:c r="L496" s="40" t="n">
        <x:v>3016</x:v>
      </x:c>
      <x:c r="M496" s="24" t="str">
        <x:v>-10 a +8</x:v>
      </x:c>
      <x:c r="N496" s="24" t="str">
        <x:v>até -6</x:v>
      </x:c>
      <x:c r="O496" s="24"/>
      <x:c r="P496" s="24" t="str">
        <x:v>75/80</x:v>
      </x:c>
      <x:c r="Q496" s="24"/>
      <x:c r="R496" s="24"/>
      <x:c r="S496" s="26" t="n">
        <x:v>46024</x:v>
      </x:c>
      <x:c r="T496" s="26"/>
      <x:c r="U496" s="24" t="str">
        <x:v>ATIVA/SEM FIM INFORMADO</x:v>
      </x:c>
      <x:c r="V496" s="24"/>
      <x:c r="W496" s="24" t="n">
        <x:v>13</x:v>
      </x:c>
      <x:c r="X496" s="24" t="str">
        <x:v>tabela_rodenstock.pdf</x:v>
      </x:c>
      <x:c r="Y496" s="24" t="str">
        <x:v>alta</x:v>
      </x:c>
      <x:c r="Z496" s="24"/>
      <x:c r="AA496" s="24" t="str">
        <x:v>Rodenstock|Ocupacional B.I.G. NORM|Surfaçada|Progressiv Ergo B.I.G. NORM||1.6 Ergo PC/Book/Room|1.60|Solitaire Protect|-10 a +8|até -6||75/80|||13</x:v>
      </x:c>
    </x:row>
    <x:row r="497">
      <x:c r="A497" s="24" t="str">
        <x:v>RD-F9777E41BA87</x:v>
      </x:c>
      <x:c r="B497" s="24" t="str">
        <x:v>SIM</x:v>
      </x:c>
      <x:c r="C497" s="24" t="str">
        <x:v>DISPONÍVEL</x:v>
      </x:c>
      <x:c r="D497" s="24" t="str">
        <x:v>Rodenstock</x:v>
      </x:c>
      <x:c r="E497" s="24" t="str">
        <x:v>Ocupacional B.I.G. NORM</x:v>
      </x:c>
      <x:c r="F497" s="24" t="str">
        <x:v>Surfaçada</x:v>
      </x:c>
      <x:c r="G497" s="24" t="str">
        <x:v>Progressiv Ergo B.I.G. NORM</x:v>
      </x:c>
      <x:c r="H497" s="24" t="str">
        <x:v>PRO410</x:v>
      </x:c>
      <x:c r="I497" s="24" t="str">
        <x:v>1.6</x:v>
      </x:c>
      <x:c r="J497" s="24" t="str">
        <x:v>1.60</x:v>
      </x:c>
      <x:c r="K497" s="24" t="str">
        <x:v>LayR X-tra Clean</x:v>
      </x:c>
      <x:c r="L497" s="40" t="n">
        <x:v>3504</x:v>
      </x:c>
      <x:c r="M497" s="24" t="str">
        <x:v>-10 a +8</x:v>
      </x:c>
      <x:c r="N497" s="24" t="str">
        <x:v>até -6</x:v>
      </x:c>
      <x:c r="O497" s="24"/>
      <x:c r="P497" s="24" t="str">
        <x:v>75/80</x:v>
      </x:c>
      <x:c r="Q497" s="24"/>
      <x:c r="R497" s="24"/>
      <x:c r="S497" s="26" t="n">
        <x:v>46024</x:v>
      </x:c>
      <x:c r="T497" s="26"/>
      <x:c r="U497" s="24" t="str">
        <x:v>ATIVA/SEM FIM INFORMADO</x:v>
      </x:c>
      <x:c r="V497" s="24"/>
      <x:c r="W497" s="24" t="n">
        <x:v>13</x:v>
      </x:c>
      <x:c r="X497" s="24" t="str">
        <x:v>tabela_rodenstock.pdf</x:v>
      </x:c>
      <x:c r="Y497" s="24" t="str">
        <x:v>alta</x:v>
      </x:c>
      <x:c r="Z497" s="24"/>
      <x:c r="AA497" s="24" t="str">
        <x:v>Rodenstock|Ocupacional B.I.G. NORM|Surfaçada|Progressiv Ergo B.I.G. NORM|PRO410|1.6|1.60|LayR X-tra Clean|-10 a +8|até -6||75/80|||13</x:v>
      </x:c>
    </x:row>
    <x:row r="498">
      <x:c r="A498" s="24" t="str">
        <x:v>RD-A83CA1D72365</x:v>
      </x:c>
      <x:c r="B498" s="24" t="str">
        <x:v>SIM</x:v>
      </x:c>
      <x:c r="C498" s="24" t="str">
        <x:v>DISPONÍVEL</x:v>
      </x:c>
      <x:c r="D498" s="24" t="str">
        <x:v>Rodenstock</x:v>
      </x:c>
      <x:c r="E498" s="24" t="str">
        <x:v>Ocupacional B.I.G. NORM</x:v>
      </x:c>
      <x:c r="F498" s="24" t="str">
        <x:v>Surfaçada</x:v>
      </x:c>
      <x:c r="G498" s="24" t="str">
        <x:v>Progressiv Ergo B.I.G. NORM</x:v>
      </x:c>
      <x:c r="H498" s="24" t="str">
        <x:v>PRO410</x:v>
      </x:c>
      <x:c r="I498" s="24" t="str">
        <x:v>1.6</x:v>
      </x:c>
      <x:c r="J498" s="24" t="str">
        <x:v>1.60</x:v>
      </x:c>
      <x:c r="K498" s="24" t="str">
        <x:v>LayR Balance</x:v>
      </x:c>
      <x:c r="L498" s="40" t="n">
        <x:v>3504</x:v>
      </x:c>
      <x:c r="M498" s="24" t="str">
        <x:v>-10 a +8</x:v>
      </x:c>
      <x:c r="N498" s="24" t="str">
        <x:v>até -6</x:v>
      </x:c>
      <x:c r="O498" s="24"/>
      <x:c r="P498" s="24" t="str">
        <x:v>75/80</x:v>
      </x:c>
      <x:c r="Q498" s="24"/>
      <x:c r="R498" s="24"/>
      <x:c r="S498" s="26" t="n">
        <x:v>46024</x:v>
      </x:c>
      <x:c r="T498" s="26"/>
      <x:c r="U498" s="24" t="str">
        <x:v>ATIVA/SEM FIM INFORMADO</x:v>
      </x:c>
      <x:c r="V498" s="24"/>
      <x:c r="W498" s="24" t="n">
        <x:v>13</x:v>
      </x:c>
      <x:c r="X498" s="24" t="str">
        <x:v>tabela_rodenstock.pdf</x:v>
      </x:c>
      <x:c r="Y498" s="24" t="str">
        <x:v>alta</x:v>
      </x:c>
      <x:c r="Z498" s="24"/>
      <x:c r="AA498" s="24" t="str">
        <x:v>Rodenstock|Ocupacional B.I.G. NORM|Surfaçada|Progressiv Ergo B.I.G. NORM|PRO410|1.6|1.60|LayR Balance|-10 a +8|até -6||75/80|||13</x:v>
      </x:c>
    </x:row>
    <x:row r="499">
      <x:c r="A499" s="24" t="str">
        <x:v>RD-5ACAD0E7DF20</x:v>
      </x:c>
      <x:c r="B499" s="24" t="str">
        <x:v>SIM</x:v>
      </x:c>
      <x:c r="C499" s="24" t="str">
        <x:v>DISPONÍVEL</x:v>
      </x:c>
      <x:c r="D499" s="24" t="str">
        <x:v>Rodenstock</x:v>
      </x:c>
      <x:c r="E499" s="24" t="str">
        <x:v>Ocupacional B.I.G. NORM</x:v>
      </x:c>
      <x:c r="F499" s="24" t="str">
        <x:v>Surfaçada</x:v>
      </x:c>
      <x:c r="G499" s="24" t="str">
        <x:v>Progressiv Ergo B.I.G. NORM</x:v>
      </x:c>
      <x:c r="H499" s="24" t="str">
        <x:v>PRO410</x:v>
      </x:c>
      <x:c r="I499" s="24" t="str">
        <x:v>1.6</x:v>
      </x:c>
      <x:c r="J499" s="24" t="str">
        <x:v>1.60</x:v>
      </x:c>
      <x:c r="K499" s="24" t="str">
        <x:v>Solitaire X-tra Clean</x:v>
      </x:c>
      <x:c r="L499" s="40" t="n">
        <x:v>3434</x:v>
      </x:c>
      <x:c r="M499" s="24" t="str">
        <x:v>-10 a +8</x:v>
      </x:c>
      <x:c r="N499" s="24" t="str">
        <x:v>até -6</x:v>
      </x:c>
      <x:c r="O499" s="24"/>
      <x:c r="P499" s="24" t="str">
        <x:v>75/80</x:v>
      </x:c>
      <x:c r="Q499" s="24"/>
      <x:c r="R499" s="24"/>
      <x:c r="S499" s="26" t="n">
        <x:v>46024</x:v>
      </x:c>
      <x:c r="T499" s="26"/>
      <x:c r="U499" s="24" t="str">
        <x:v>ATIVA/SEM FIM INFORMADO</x:v>
      </x:c>
      <x:c r="V499" s="24"/>
      <x:c r="W499" s="24" t="n">
        <x:v>13</x:v>
      </x:c>
      <x:c r="X499" s="24" t="str">
        <x:v>tabela_rodenstock.pdf</x:v>
      </x:c>
      <x:c r="Y499" s="24" t="str">
        <x:v>alta</x:v>
      </x:c>
      <x:c r="Z499" s="24"/>
      <x:c r="AA499" s="24" t="str">
        <x:v>Rodenstock|Ocupacional B.I.G. NORM|Surfaçada|Progressiv Ergo B.I.G. NORM|PRO410|1.6|1.60|Solitaire X-tra Clean|-10 a +8|até -6||75/80|||13</x:v>
      </x:c>
    </x:row>
    <x:row r="500">
      <x:c r="A500" s="24" t="str">
        <x:v>RD-8278A39899F9</x:v>
      </x:c>
      <x:c r="B500" s="24" t="str">
        <x:v>SIM</x:v>
      </x:c>
      <x:c r="C500" s="24" t="str">
        <x:v>DISPONÍVEL</x:v>
      </x:c>
      <x:c r="D500" s="24" t="str">
        <x:v>Rodenstock</x:v>
      </x:c>
      <x:c r="E500" s="24" t="str">
        <x:v>Ocupacional B.I.G. NORM</x:v>
      </x:c>
      <x:c r="F500" s="24" t="str">
        <x:v>Surfaçada</x:v>
      </x:c>
      <x:c r="G500" s="24" t="str">
        <x:v>Progressiv Ergo B.I.G. NORM</x:v>
      </x:c>
      <x:c r="H500" s="24" t="str">
        <x:v>PRO410</x:v>
      </x:c>
      <x:c r="I500" s="24" t="str">
        <x:v>1.6</x:v>
      </x:c>
      <x:c r="J500" s="24" t="str">
        <x:v>1.60</x:v>
      </x:c>
      <x:c r="K500" s="24" t="str">
        <x:v>Solitaire Protect Plus</x:v>
      </x:c>
      <x:c r="L500" s="40" t="n">
        <x:v>3384</x:v>
      </x:c>
      <x:c r="M500" s="24" t="str">
        <x:v>-10 a +8</x:v>
      </x:c>
      <x:c r="N500" s="24" t="str">
        <x:v>até -6</x:v>
      </x:c>
      <x:c r="O500" s="24"/>
      <x:c r="P500" s="24" t="str">
        <x:v>75/80</x:v>
      </x:c>
      <x:c r="Q500" s="24"/>
      <x:c r="R500" s="24"/>
      <x:c r="S500" s="26" t="n">
        <x:v>46024</x:v>
      </x:c>
      <x:c r="T500" s="26"/>
      <x:c r="U500" s="24" t="str">
        <x:v>ATIVA/SEM FIM INFORMADO</x:v>
      </x:c>
      <x:c r="V500" s="24"/>
      <x:c r="W500" s="24" t="n">
        <x:v>13</x:v>
      </x:c>
      <x:c r="X500" s="24" t="str">
        <x:v>tabela_rodenstock.pdf</x:v>
      </x:c>
      <x:c r="Y500" s="24" t="str">
        <x:v>alta</x:v>
      </x:c>
      <x:c r="Z500" s="24"/>
      <x:c r="AA500" s="24" t="str">
        <x:v>Rodenstock|Ocupacional B.I.G. NORM|Surfaçada|Progressiv Ergo B.I.G. NORM|PRO410|1.6|1.60|Solitaire Protect Plus|-10 a +8|até -6||75/80|||13</x:v>
      </x:c>
    </x:row>
    <x:row r="501">
      <x:c r="A501" s="24" t="str">
        <x:v>RD-FDF2709F9F7C</x:v>
      </x:c>
      <x:c r="B501" s="24" t="str">
        <x:v>SIM</x:v>
      </x:c>
      <x:c r="C501" s="24" t="str">
        <x:v>DISPONÍVEL</x:v>
      </x:c>
      <x:c r="D501" s="24" t="str">
        <x:v>Rodenstock</x:v>
      </x:c>
      <x:c r="E501" s="24" t="str">
        <x:v>Ocupacional B.I.G. NORM</x:v>
      </x:c>
      <x:c r="F501" s="24" t="str">
        <x:v>Surfaçada</x:v>
      </x:c>
      <x:c r="G501" s="24" t="str">
        <x:v>Progressiv Ergo B.I.G. NORM</x:v>
      </x:c>
      <x:c r="H501" s="24" t="str">
        <x:v>PRO410</x:v>
      </x:c>
      <x:c r="I501" s="24" t="str">
        <x:v>1.6</x:v>
      </x:c>
      <x:c r="J501" s="24" t="str">
        <x:v>1.60</x:v>
      </x:c>
      <x:c r="K501" s="24" t="str">
        <x:v>ROAD</x:v>
      </x:c>
      <x:c r="L501" s="40" t="n">
        <x:v>3384</x:v>
      </x:c>
      <x:c r="M501" s="24" t="str">
        <x:v>-10 a +8</x:v>
      </x:c>
      <x:c r="N501" s="24" t="str">
        <x:v>até -6</x:v>
      </x:c>
      <x:c r="O501" s="24"/>
      <x:c r="P501" s="24" t="str">
        <x:v>75/80</x:v>
      </x:c>
      <x:c r="Q501" s="24"/>
      <x:c r="R501" s="24"/>
      <x:c r="S501" s="26" t="n">
        <x:v>46024</x:v>
      </x:c>
      <x:c r="T501" s="26"/>
      <x:c r="U501" s="24" t="str">
        <x:v>ATIVA/SEM FIM INFORMADO</x:v>
      </x:c>
      <x:c r="V501" s="24"/>
      <x:c r="W501" s="24" t="n">
        <x:v>13</x:v>
      </x:c>
      <x:c r="X501" s="24" t="str">
        <x:v>tabela_rodenstock.pdf</x:v>
      </x:c>
      <x:c r="Y501" s="24" t="str">
        <x:v>alta</x:v>
      </x:c>
      <x:c r="Z501" s="24"/>
      <x:c r="AA501" s="24" t="str">
        <x:v>Rodenstock|Ocupacional B.I.G. NORM|Surfaçada|Progressiv Ergo B.I.G. NORM|PRO410|1.6|1.60|ROAD|-10 a +8|até -6||75/80|||13</x:v>
      </x:c>
    </x:row>
    <x:row r="502">
      <x:c r="A502" s="24" t="str">
        <x:v>RD-93F9F7316A39</x:v>
      </x:c>
      <x:c r="B502" s="24" t="str">
        <x:v>SIM</x:v>
      </x:c>
      <x:c r="C502" s="24" t="str">
        <x:v>DISPONÍVEL</x:v>
      </x:c>
      <x:c r="D502" s="24" t="str">
        <x:v>Rodenstock</x:v>
      </x:c>
      <x:c r="E502" s="24" t="str">
        <x:v>Ocupacional B.I.G. NORM</x:v>
      </x:c>
      <x:c r="F502" s="24" t="str">
        <x:v>Surfaçada</x:v>
      </x:c>
      <x:c r="G502" s="24" t="str">
        <x:v>Progressiv Ergo B.I.G. NORM</x:v>
      </x:c>
      <x:c r="H502" s="24" t="str">
        <x:v>PRO410</x:v>
      </x:c>
      <x:c r="I502" s="24" t="str">
        <x:v>1.6</x:v>
      </x:c>
      <x:c r="J502" s="24" t="str">
        <x:v>1.60</x:v>
      </x:c>
      <x:c r="K502" s="24" t="str">
        <x:v>Solitaire Protect</x:v>
      </x:c>
      <x:c r="L502" s="40" t="n">
        <x:v>3124</x:v>
      </x:c>
      <x:c r="M502" s="24" t="str">
        <x:v>-10 a +8</x:v>
      </x:c>
      <x:c r="N502" s="24" t="str">
        <x:v>até -6</x:v>
      </x:c>
      <x:c r="O502" s="24"/>
      <x:c r="P502" s="24" t="str">
        <x:v>75/80</x:v>
      </x:c>
      <x:c r="Q502" s="24"/>
      <x:c r="R502" s="24"/>
      <x:c r="S502" s="26" t="n">
        <x:v>46024</x:v>
      </x:c>
      <x:c r="T502" s="26"/>
      <x:c r="U502" s="24" t="str">
        <x:v>ATIVA/SEM FIM INFORMADO</x:v>
      </x:c>
      <x:c r="V502" s="24"/>
      <x:c r="W502" s="24" t="n">
        <x:v>13</x:v>
      </x:c>
      <x:c r="X502" s="24" t="str">
        <x:v>tabela_rodenstock.pdf</x:v>
      </x:c>
      <x:c r="Y502" s="24" t="str">
        <x:v>alta</x:v>
      </x:c>
      <x:c r="Z502" s="24"/>
      <x:c r="AA502" s="24" t="str">
        <x:v>Rodenstock|Ocupacional B.I.G. NORM|Surfaçada|Progressiv Ergo B.I.G. NORM|PRO410|1.6|1.60|Solitaire Protect|-10 a +8|até -6||75/80|||13</x:v>
      </x:c>
    </x:row>
    <x:row r="503">
      <x:c r="A503" s="24" t="str">
        <x:v>RD-905CC1E68679</x:v>
      </x:c>
      <x:c r="B503" s="24" t="str">
        <x:v>SIM</x:v>
      </x:c>
      <x:c r="C503" s="24" t="str">
        <x:v>DISPONÍVEL</x:v>
      </x:c>
      <x:c r="D503" s="24" t="str">
        <x:v>Rodenstock</x:v>
      </x:c>
      <x:c r="E503" s="24" t="str">
        <x:v>Ocupacional B.I.G. NORM</x:v>
      </x:c>
      <x:c r="F503" s="24" t="str">
        <x:v>Surfaçada</x:v>
      </x:c>
      <x:c r="G503" s="24" t="str">
        <x:v>Progressiv Ergo B.I.G. NORM</x:v>
      </x:c>
      <x:c r="H503" s="24"/>
      <x:c r="I503" s="24" t="str">
        <x:v>1.67 Ergo PC/Book/Room</x:v>
      </x:c>
      <x:c r="J503" s="24" t="str">
        <x:v>1.67</x:v>
      </x:c>
      <x:c r="K503" s="24" t="str">
        <x:v>LayR X-tra Clean</x:v>
      </x:c>
      <x:c r="L503" s="40" t="n">
        <x:v>5092</x:v>
      </x:c>
      <x:c r="M503" s="24" t="str">
        <x:v>-10 a +8</x:v>
      </x:c>
      <x:c r="N503" s="24" t="str">
        <x:v>até -6</x:v>
      </x:c>
      <x:c r="O503" s="24"/>
      <x:c r="P503" s="24" t="str">
        <x:v>75/80</x:v>
      </x:c>
      <x:c r="Q503" s="24"/>
      <x:c r="R503" s="24"/>
      <x:c r="S503" s="26" t="n">
        <x:v>46024</x:v>
      </x:c>
      <x:c r="T503" s="26"/>
      <x:c r="U503" s="24" t="str">
        <x:v>ATIVA/SEM FIM INFORMADO</x:v>
      </x:c>
      <x:c r="V503" s="24"/>
      <x:c r="W503" s="24" t="n">
        <x:v>13</x:v>
      </x:c>
      <x:c r="X503" s="24" t="str">
        <x:v>tabela_rodenstock.pdf</x:v>
      </x:c>
      <x:c r="Y503" s="24" t="str">
        <x:v>alta</x:v>
      </x:c>
      <x:c r="Z503" s="24"/>
      <x:c r="AA503" s="24" t="str">
        <x:v>Rodenstock|Ocupacional B.I.G. NORM|Surfaçada|Progressiv Ergo B.I.G. NORM||1.67 Ergo PC/Book/Room|1.67|LayR X-tra Clean|-10 a +8|até -6||75/80|||13</x:v>
      </x:c>
    </x:row>
    <x:row r="504">
      <x:c r="A504" s="24" t="str">
        <x:v>RD-9AC763A0D38C</x:v>
      </x:c>
      <x:c r="B504" s="24" t="str">
        <x:v>SIM</x:v>
      </x:c>
      <x:c r="C504" s="24" t="str">
        <x:v>DISPONÍVEL</x:v>
      </x:c>
      <x:c r="D504" s="24" t="str">
        <x:v>Rodenstock</x:v>
      </x:c>
      <x:c r="E504" s="24" t="str">
        <x:v>Ocupacional B.I.G. NORM</x:v>
      </x:c>
      <x:c r="F504" s="24" t="str">
        <x:v>Surfaçada</x:v>
      </x:c>
      <x:c r="G504" s="24" t="str">
        <x:v>Progressiv Ergo B.I.G. NORM</x:v>
      </x:c>
      <x:c r="H504" s="24"/>
      <x:c r="I504" s="24" t="str">
        <x:v>1.67 Ergo PC/Book/Room</x:v>
      </x:c>
      <x:c r="J504" s="24" t="str">
        <x:v>1.67</x:v>
      </x:c>
      <x:c r="K504" s="24" t="str">
        <x:v>LayR Balance</x:v>
      </x:c>
      <x:c r="L504" s="40" t="n">
        <x:v>5092</x:v>
      </x:c>
      <x:c r="M504" s="24" t="str">
        <x:v>-10 a +8</x:v>
      </x:c>
      <x:c r="N504" s="24" t="str">
        <x:v>até -6</x:v>
      </x:c>
      <x:c r="O504" s="24"/>
      <x:c r="P504" s="24" t="str">
        <x:v>75/80</x:v>
      </x:c>
      <x:c r="Q504" s="24"/>
      <x:c r="R504" s="24"/>
      <x:c r="S504" s="26" t="n">
        <x:v>46024</x:v>
      </x:c>
      <x:c r="T504" s="26"/>
      <x:c r="U504" s="24" t="str">
        <x:v>ATIVA/SEM FIM INFORMADO</x:v>
      </x:c>
      <x:c r="V504" s="24"/>
      <x:c r="W504" s="24" t="n">
        <x:v>13</x:v>
      </x:c>
      <x:c r="X504" s="24" t="str">
        <x:v>tabela_rodenstock.pdf</x:v>
      </x:c>
      <x:c r="Y504" s="24" t="str">
        <x:v>alta</x:v>
      </x:c>
      <x:c r="Z504" s="24"/>
      <x:c r="AA504" s="24" t="str">
        <x:v>Rodenstock|Ocupacional B.I.G. NORM|Surfaçada|Progressiv Ergo B.I.G. NORM||1.67 Ergo PC/Book/Room|1.67|LayR Balance|-10 a +8|até -6||75/80|||13</x:v>
      </x:c>
    </x:row>
    <x:row r="505">
      <x:c r="A505" s="24" t="str">
        <x:v>RD-4FDB6108A8A6</x:v>
      </x:c>
      <x:c r="B505" s="24" t="str">
        <x:v>SIM</x:v>
      </x:c>
      <x:c r="C505" s="24" t="str">
        <x:v>DISPONÍVEL</x:v>
      </x:c>
      <x:c r="D505" s="24" t="str">
        <x:v>Rodenstock</x:v>
      </x:c>
      <x:c r="E505" s="24" t="str">
        <x:v>Ocupacional B.I.G. NORM</x:v>
      </x:c>
      <x:c r="F505" s="24" t="str">
        <x:v>Surfaçada</x:v>
      </x:c>
      <x:c r="G505" s="24" t="str">
        <x:v>Progressiv Ergo B.I.G. NORM</x:v>
      </x:c>
      <x:c r="H505" s="24"/>
      <x:c r="I505" s="24" t="str">
        <x:v>1.67 Ergo PC/Book/Room</x:v>
      </x:c>
      <x:c r="J505" s="24" t="str">
        <x:v>1.67</x:v>
      </x:c>
      <x:c r="K505" s="24" t="str">
        <x:v>Solitaire X-tra Clean</x:v>
      </x:c>
      <x:c r="L505" s="40" t="n">
        <x:v>5022</x:v>
      </x:c>
      <x:c r="M505" s="24" t="str">
        <x:v>-10 a +8</x:v>
      </x:c>
      <x:c r="N505" s="24" t="str">
        <x:v>até -6</x:v>
      </x:c>
      <x:c r="O505" s="24"/>
      <x:c r="P505" s="24" t="str">
        <x:v>75/80</x:v>
      </x:c>
      <x:c r="Q505" s="24"/>
      <x:c r="R505" s="24"/>
      <x:c r="S505" s="26" t="n">
        <x:v>46024</x:v>
      </x:c>
      <x:c r="T505" s="26"/>
      <x:c r="U505" s="24" t="str">
        <x:v>ATIVA/SEM FIM INFORMADO</x:v>
      </x:c>
      <x:c r="V505" s="24"/>
      <x:c r="W505" s="24" t="n">
        <x:v>13</x:v>
      </x:c>
      <x:c r="X505" s="24" t="str">
        <x:v>tabela_rodenstock.pdf</x:v>
      </x:c>
      <x:c r="Y505" s="24" t="str">
        <x:v>alta</x:v>
      </x:c>
      <x:c r="Z505" s="24"/>
      <x:c r="AA505" s="24" t="str">
        <x:v>Rodenstock|Ocupacional B.I.G. NORM|Surfaçada|Progressiv Ergo B.I.G. NORM||1.67 Ergo PC/Book/Room|1.67|Solitaire X-tra Clean|-10 a +8|até -6||75/80|||13</x:v>
      </x:c>
    </x:row>
    <x:row r="506">
      <x:c r="A506" s="24" t="str">
        <x:v>RD-7365FEE64DE9</x:v>
      </x:c>
      <x:c r="B506" s="24" t="str">
        <x:v>SIM</x:v>
      </x:c>
      <x:c r="C506" s="24" t="str">
        <x:v>DISPONÍVEL</x:v>
      </x:c>
      <x:c r="D506" s="24" t="str">
        <x:v>Rodenstock</x:v>
      </x:c>
      <x:c r="E506" s="24" t="str">
        <x:v>Ocupacional B.I.G. NORM</x:v>
      </x:c>
      <x:c r="F506" s="24" t="str">
        <x:v>Surfaçada</x:v>
      </x:c>
      <x:c r="G506" s="24" t="str">
        <x:v>Progressiv Ergo B.I.G. NORM</x:v>
      </x:c>
      <x:c r="H506" s="24"/>
      <x:c r="I506" s="24" t="str">
        <x:v>1.67 Ergo PC/Book/Room</x:v>
      </x:c>
      <x:c r="J506" s="24" t="str">
        <x:v>1.67</x:v>
      </x:c>
      <x:c r="K506" s="24" t="str">
        <x:v>Solitaire Protect Plus</x:v>
      </x:c>
      <x:c r="L506" s="40" t="n">
        <x:v>4972</x:v>
      </x:c>
      <x:c r="M506" s="24" t="str">
        <x:v>-10 a +8</x:v>
      </x:c>
      <x:c r="N506" s="24" t="str">
        <x:v>até -6</x:v>
      </x:c>
      <x:c r="O506" s="24"/>
      <x:c r="P506" s="24" t="str">
        <x:v>75/80</x:v>
      </x:c>
      <x:c r="Q506" s="24"/>
      <x:c r="R506" s="24"/>
      <x:c r="S506" s="26" t="n">
        <x:v>46024</x:v>
      </x:c>
      <x:c r="T506" s="26"/>
      <x:c r="U506" s="24" t="str">
        <x:v>ATIVA/SEM FIM INFORMADO</x:v>
      </x:c>
      <x:c r="V506" s="24"/>
      <x:c r="W506" s="24" t="n">
        <x:v>13</x:v>
      </x:c>
      <x:c r="X506" s="24" t="str">
        <x:v>tabela_rodenstock.pdf</x:v>
      </x:c>
      <x:c r="Y506" s="24" t="str">
        <x:v>alta</x:v>
      </x:c>
      <x:c r="Z506" s="24"/>
      <x:c r="AA506" s="24" t="str">
        <x:v>Rodenstock|Ocupacional B.I.G. NORM|Surfaçada|Progressiv Ergo B.I.G. NORM||1.67 Ergo PC/Book/Room|1.67|Solitaire Protect Plus|-10 a +8|até -6||75/80|||13</x:v>
      </x:c>
    </x:row>
    <x:row r="507">
      <x:c r="A507" s="24" t="str">
        <x:v>RD-78DFFDE1E077</x:v>
      </x:c>
      <x:c r="B507" s="24" t="str">
        <x:v>SIM</x:v>
      </x:c>
      <x:c r="C507" s="24" t="str">
        <x:v>DISPONÍVEL</x:v>
      </x:c>
      <x:c r="D507" s="24" t="str">
        <x:v>Rodenstock</x:v>
      </x:c>
      <x:c r="E507" s="24" t="str">
        <x:v>Ocupacional B.I.G. NORM</x:v>
      </x:c>
      <x:c r="F507" s="24" t="str">
        <x:v>Surfaçada</x:v>
      </x:c>
      <x:c r="G507" s="24" t="str">
        <x:v>Progressiv Ergo B.I.G. NORM</x:v>
      </x:c>
      <x:c r="H507" s="24"/>
      <x:c r="I507" s="24" t="str">
        <x:v>1.67 Ergo PC/Book/Room</x:v>
      </x:c>
      <x:c r="J507" s="24" t="str">
        <x:v>1.67</x:v>
      </x:c>
      <x:c r="K507" s="24" t="str">
        <x:v>ROAD</x:v>
      </x:c>
      <x:c r="L507" s="40" t="n">
        <x:v>4972</x:v>
      </x:c>
      <x:c r="M507" s="24" t="str">
        <x:v>-10 a +8</x:v>
      </x:c>
      <x:c r="N507" s="24" t="str">
        <x:v>até -6</x:v>
      </x:c>
      <x:c r="O507" s="24"/>
      <x:c r="P507" s="24" t="str">
        <x:v>75/80</x:v>
      </x:c>
      <x:c r="Q507" s="24"/>
      <x:c r="R507" s="24"/>
      <x:c r="S507" s="26" t="n">
        <x:v>46024</x:v>
      </x:c>
      <x:c r="T507" s="26"/>
      <x:c r="U507" s="24" t="str">
        <x:v>ATIVA/SEM FIM INFORMADO</x:v>
      </x:c>
      <x:c r="V507" s="24"/>
      <x:c r="W507" s="24" t="n">
        <x:v>13</x:v>
      </x:c>
      <x:c r="X507" s="24" t="str">
        <x:v>tabela_rodenstock.pdf</x:v>
      </x:c>
      <x:c r="Y507" s="24" t="str">
        <x:v>alta</x:v>
      </x:c>
      <x:c r="Z507" s="24"/>
      <x:c r="AA507" s="24" t="str">
        <x:v>Rodenstock|Ocupacional B.I.G. NORM|Surfaçada|Progressiv Ergo B.I.G. NORM||1.67 Ergo PC/Book/Room|1.67|ROAD|-10 a +8|até -6||75/80|||13</x:v>
      </x:c>
    </x:row>
    <x:row r="508">
      <x:c r="A508" s="24" t="str">
        <x:v>RD-026094D00E69</x:v>
      </x:c>
      <x:c r="B508" s="24" t="str">
        <x:v>SIM</x:v>
      </x:c>
      <x:c r="C508" s="24" t="str">
        <x:v>DISPONÍVEL</x:v>
      </x:c>
      <x:c r="D508" s="24" t="str">
        <x:v>Rodenstock</x:v>
      </x:c>
      <x:c r="E508" s="24" t="str">
        <x:v>Ocupacional B.I.G. NORM</x:v>
      </x:c>
      <x:c r="F508" s="24" t="str">
        <x:v>Surfaçada</x:v>
      </x:c>
      <x:c r="G508" s="24" t="str">
        <x:v>Progressiv Ergo B.I.G. NORM</x:v>
      </x:c>
      <x:c r="H508" s="24"/>
      <x:c r="I508" s="24" t="str">
        <x:v>1.67 Ergo PC/Book/Room</x:v>
      </x:c>
      <x:c r="J508" s="24" t="str">
        <x:v>1.67</x:v>
      </x:c>
      <x:c r="K508" s="24" t="str">
        <x:v>Solitaire Protect</x:v>
      </x:c>
      <x:c r="L508" s="40" t="n">
        <x:v>4712</x:v>
      </x:c>
      <x:c r="M508" s="24" t="str">
        <x:v>-10 a +8</x:v>
      </x:c>
      <x:c r="N508" s="24" t="str">
        <x:v>até -6</x:v>
      </x:c>
      <x:c r="O508" s="24"/>
      <x:c r="P508" s="24" t="str">
        <x:v>75/80</x:v>
      </x:c>
      <x:c r="Q508" s="24"/>
      <x:c r="R508" s="24"/>
      <x:c r="S508" s="26" t="n">
        <x:v>46024</x:v>
      </x:c>
      <x:c r="T508" s="26"/>
      <x:c r="U508" s="24" t="str">
        <x:v>ATIVA/SEM FIM INFORMADO</x:v>
      </x:c>
      <x:c r="V508" s="24"/>
      <x:c r="W508" s="24" t="n">
        <x:v>13</x:v>
      </x:c>
      <x:c r="X508" s="24" t="str">
        <x:v>tabela_rodenstock.pdf</x:v>
      </x:c>
      <x:c r="Y508" s="24" t="str">
        <x:v>alta</x:v>
      </x:c>
      <x:c r="Z508" s="24"/>
      <x:c r="AA508" s="24" t="str">
        <x:v>Rodenstock|Ocupacional B.I.G. NORM|Surfaçada|Progressiv Ergo B.I.G. NORM||1.67 Ergo PC/Book/Room|1.67|Solitaire Protect|-10 a +8|até -6||75/80|||13</x:v>
      </x:c>
    </x:row>
    <x:row r="509">
      <x:c r="A509" s="24" t="str">
        <x:v>RD-32BFB0F313E0</x:v>
      </x:c>
      <x:c r="B509" s="24" t="str">
        <x:v>SIM</x:v>
      </x:c>
      <x:c r="C509" s="24" t="str">
        <x:v>DISPONÍVEL</x:v>
      </x:c>
      <x:c r="D509" s="24" t="str">
        <x:v>Rodenstock</x:v>
      </x:c>
      <x:c r="E509" s="24" t="str">
        <x:v>Ocupacional B.I.G. NORM</x:v>
      </x:c>
      <x:c r="F509" s="24" t="str">
        <x:v>Surfaçada</x:v>
      </x:c>
      <x:c r="G509" s="24" t="str">
        <x:v>Progressiv Ergo B.I.G. NORM</x:v>
      </x:c>
      <x:c r="H509" s="24"/>
      <x:c r="I509" s="24" t="str">
        <x:v>1.74 Ergo PC/Book/Room</x:v>
      </x:c>
      <x:c r="J509" s="24" t="str">
        <x:v>1.74</x:v>
      </x:c>
      <x:c r="K509" s="24" t="str">
        <x:v>LayR X-tra Clean</x:v>
      </x:c>
      <x:c r="L509" s="40" t="n">
        <x:v>6035</x:v>
      </x:c>
      <x:c r="M509" s="24" t="str">
        <x:v>-10 a +8</x:v>
      </x:c>
      <x:c r="N509" s="24" t="str">
        <x:v>até -6</x:v>
      </x:c>
      <x:c r="O509" s="24"/>
      <x:c r="P509" s="24" t="str">
        <x:v>75/80</x:v>
      </x:c>
      <x:c r="Q509" s="24"/>
      <x:c r="R509" s="24"/>
      <x:c r="S509" s="26" t="n">
        <x:v>46024</x:v>
      </x:c>
      <x:c r="T509" s="26"/>
      <x:c r="U509" s="24" t="str">
        <x:v>ATIVA/SEM FIM INFORMADO</x:v>
      </x:c>
      <x:c r="V509" s="24"/>
      <x:c r="W509" s="24" t="n">
        <x:v>13</x:v>
      </x:c>
      <x:c r="X509" s="24" t="str">
        <x:v>tabela_rodenstock.pdf</x:v>
      </x:c>
      <x:c r="Y509" s="24" t="str">
        <x:v>alta</x:v>
      </x:c>
      <x:c r="Z509" s="24"/>
      <x:c r="AA509" s="24" t="str">
        <x:v>Rodenstock|Ocupacional B.I.G. NORM|Surfaçada|Progressiv Ergo B.I.G. NORM||1.74 Ergo PC/Book/Room|1.74|LayR X-tra Clean|-10 a +8|até -6||75/80|||13</x:v>
      </x:c>
    </x:row>
    <x:row r="510">
      <x:c r="A510" s="24" t="str">
        <x:v>RD-2B795BA9A938</x:v>
      </x:c>
      <x:c r="B510" s="24" t="str">
        <x:v>SIM</x:v>
      </x:c>
      <x:c r="C510" s="24" t="str">
        <x:v>DISPONÍVEL</x:v>
      </x:c>
      <x:c r="D510" s="24" t="str">
        <x:v>Rodenstock</x:v>
      </x:c>
      <x:c r="E510" s="24" t="str">
        <x:v>Ocupacional B.I.G. NORM</x:v>
      </x:c>
      <x:c r="F510" s="24" t="str">
        <x:v>Surfaçada</x:v>
      </x:c>
      <x:c r="G510" s="24" t="str">
        <x:v>Progressiv Ergo B.I.G. NORM</x:v>
      </x:c>
      <x:c r="H510" s="24"/>
      <x:c r="I510" s="24" t="str">
        <x:v>1.74 Ergo PC/Book/Room</x:v>
      </x:c>
      <x:c r="J510" s="24" t="str">
        <x:v>1.74</x:v>
      </x:c>
      <x:c r="K510" s="24" t="str">
        <x:v>LayR Balance</x:v>
      </x:c>
      <x:c r="L510" s="40" t="n">
        <x:v>6035</x:v>
      </x:c>
      <x:c r="M510" s="24" t="str">
        <x:v>-10 a +8</x:v>
      </x:c>
      <x:c r="N510" s="24" t="str">
        <x:v>até -6</x:v>
      </x:c>
      <x:c r="O510" s="24"/>
      <x:c r="P510" s="24" t="str">
        <x:v>75/80</x:v>
      </x:c>
      <x:c r="Q510" s="24"/>
      <x:c r="R510" s="24"/>
      <x:c r="S510" s="26" t="n">
        <x:v>46024</x:v>
      </x:c>
      <x:c r="T510" s="26"/>
      <x:c r="U510" s="24" t="str">
        <x:v>ATIVA/SEM FIM INFORMADO</x:v>
      </x:c>
      <x:c r="V510" s="24"/>
      <x:c r="W510" s="24" t="n">
        <x:v>13</x:v>
      </x:c>
      <x:c r="X510" s="24" t="str">
        <x:v>tabela_rodenstock.pdf</x:v>
      </x:c>
      <x:c r="Y510" s="24" t="str">
        <x:v>alta</x:v>
      </x:c>
      <x:c r="Z510" s="24"/>
      <x:c r="AA510" s="24" t="str">
        <x:v>Rodenstock|Ocupacional B.I.G. NORM|Surfaçada|Progressiv Ergo B.I.G. NORM||1.74 Ergo PC/Book/Room|1.74|LayR Balance|-10 a +8|até -6||75/80|||13</x:v>
      </x:c>
    </x:row>
    <x:row r="511">
      <x:c r="A511" s="24" t="str">
        <x:v>RD-900ADF791C1E</x:v>
      </x:c>
      <x:c r="B511" s="24" t="str">
        <x:v>SIM</x:v>
      </x:c>
      <x:c r="C511" s="24" t="str">
        <x:v>DISPONÍVEL</x:v>
      </x:c>
      <x:c r="D511" s="24" t="str">
        <x:v>Rodenstock</x:v>
      </x:c>
      <x:c r="E511" s="24" t="str">
        <x:v>Ocupacional B.I.G. NORM</x:v>
      </x:c>
      <x:c r="F511" s="24" t="str">
        <x:v>Surfaçada</x:v>
      </x:c>
      <x:c r="G511" s="24" t="str">
        <x:v>Progressiv Ergo B.I.G. NORM</x:v>
      </x:c>
      <x:c r="H511" s="24"/>
      <x:c r="I511" s="24" t="str">
        <x:v>1.74 Ergo PC/Book/Room</x:v>
      </x:c>
      <x:c r="J511" s="24" t="str">
        <x:v>1.74</x:v>
      </x:c>
      <x:c r="K511" s="24" t="str">
        <x:v>Solitaire X-tra Clean</x:v>
      </x:c>
      <x:c r="L511" s="40" t="n">
        <x:v>5965</x:v>
      </x:c>
      <x:c r="M511" s="24" t="str">
        <x:v>-10 a +8</x:v>
      </x:c>
      <x:c r="N511" s="24" t="str">
        <x:v>até -6</x:v>
      </x:c>
      <x:c r="O511" s="24"/>
      <x:c r="P511" s="24" t="str">
        <x:v>75/80</x:v>
      </x:c>
      <x:c r="Q511" s="24"/>
      <x:c r="R511" s="24"/>
      <x:c r="S511" s="26" t="n">
        <x:v>46024</x:v>
      </x:c>
      <x:c r="T511" s="26"/>
      <x:c r="U511" s="24" t="str">
        <x:v>ATIVA/SEM FIM INFORMADO</x:v>
      </x:c>
      <x:c r="V511" s="24"/>
      <x:c r="W511" s="24" t="n">
        <x:v>13</x:v>
      </x:c>
      <x:c r="X511" s="24" t="str">
        <x:v>tabela_rodenstock.pdf</x:v>
      </x:c>
      <x:c r="Y511" s="24" t="str">
        <x:v>alta</x:v>
      </x:c>
      <x:c r="Z511" s="24"/>
      <x:c r="AA511" s="24" t="str">
        <x:v>Rodenstock|Ocupacional B.I.G. NORM|Surfaçada|Progressiv Ergo B.I.G. NORM||1.74 Ergo PC/Book/Room|1.74|Solitaire X-tra Clean|-10 a +8|até -6||75/80|||13</x:v>
      </x:c>
    </x:row>
    <x:row r="512">
      <x:c r="A512" s="24" t="str">
        <x:v>RD-93A48D9A1354</x:v>
      </x:c>
      <x:c r="B512" s="24" t="str">
        <x:v>SIM</x:v>
      </x:c>
      <x:c r="C512" s="24" t="str">
        <x:v>DISPONÍVEL</x:v>
      </x:c>
      <x:c r="D512" s="24" t="str">
        <x:v>Rodenstock</x:v>
      </x:c>
      <x:c r="E512" s="24" t="str">
        <x:v>Ocupacional B.I.G. NORM</x:v>
      </x:c>
      <x:c r="F512" s="24" t="str">
        <x:v>Surfaçada</x:v>
      </x:c>
      <x:c r="G512" s="24" t="str">
        <x:v>Progressiv Ergo B.I.G. NORM</x:v>
      </x:c>
      <x:c r="H512" s="24"/>
      <x:c r="I512" s="24" t="str">
        <x:v>1.74 Ergo PC/Book/Room</x:v>
      </x:c>
      <x:c r="J512" s="24" t="str">
        <x:v>1.74</x:v>
      </x:c>
      <x:c r="K512" s="24" t="str">
        <x:v>Solitaire Protect Plus</x:v>
      </x:c>
      <x:c r="L512" s="40" t="n">
        <x:v>5915</x:v>
      </x:c>
      <x:c r="M512" s="24" t="str">
        <x:v>-10 a +8</x:v>
      </x:c>
      <x:c r="N512" s="24" t="str">
        <x:v>até -6</x:v>
      </x:c>
      <x:c r="O512" s="24"/>
      <x:c r="P512" s="24" t="str">
        <x:v>75/80</x:v>
      </x:c>
      <x:c r="Q512" s="24"/>
      <x:c r="R512" s="24"/>
      <x:c r="S512" s="26" t="n">
        <x:v>46024</x:v>
      </x:c>
      <x:c r="T512" s="26"/>
      <x:c r="U512" s="24" t="str">
        <x:v>ATIVA/SEM FIM INFORMADO</x:v>
      </x:c>
      <x:c r="V512" s="24"/>
      <x:c r="W512" s="24" t="n">
        <x:v>13</x:v>
      </x:c>
      <x:c r="X512" s="24" t="str">
        <x:v>tabela_rodenstock.pdf</x:v>
      </x:c>
      <x:c r="Y512" s="24" t="str">
        <x:v>alta</x:v>
      </x:c>
      <x:c r="Z512" s="24"/>
      <x:c r="AA512" s="24" t="str">
        <x:v>Rodenstock|Ocupacional B.I.G. NORM|Surfaçada|Progressiv Ergo B.I.G. NORM||1.74 Ergo PC/Book/Room|1.74|Solitaire Protect Plus|-10 a +8|até -6||75/80|||13</x:v>
      </x:c>
    </x:row>
    <x:row r="513">
      <x:c r="A513" s="24" t="str">
        <x:v>RD-22A97ADFD9F1</x:v>
      </x:c>
      <x:c r="B513" s="24" t="str">
        <x:v>SIM</x:v>
      </x:c>
      <x:c r="C513" s="24" t="str">
        <x:v>DISPONÍVEL</x:v>
      </x:c>
      <x:c r="D513" s="24" t="str">
        <x:v>Rodenstock</x:v>
      </x:c>
      <x:c r="E513" s="24" t="str">
        <x:v>Ocupacional B.I.G. NORM</x:v>
      </x:c>
      <x:c r="F513" s="24" t="str">
        <x:v>Surfaçada</x:v>
      </x:c>
      <x:c r="G513" s="24" t="str">
        <x:v>Progressiv Ergo B.I.G. NORM</x:v>
      </x:c>
      <x:c r="H513" s="24"/>
      <x:c r="I513" s="24" t="str">
        <x:v>1.74 Ergo PC/Book/Room</x:v>
      </x:c>
      <x:c r="J513" s="24" t="str">
        <x:v>1.74</x:v>
      </x:c>
      <x:c r="K513" s="24" t="str">
        <x:v>Solitaire Protect</x:v>
      </x:c>
      <x:c r="L513" s="40" t="n">
        <x:v>5655</x:v>
      </x:c>
      <x:c r="M513" s="24" t="str">
        <x:v>-10 a +8</x:v>
      </x:c>
      <x:c r="N513" s="24" t="str">
        <x:v>até -6</x:v>
      </x:c>
      <x:c r="O513" s="24"/>
      <x:c r="P513" s="24" t="str">
        <x:v>75/80</x:v>
      </x:c>
      <x:c r="Q513" s="24"/>
      <x:c r="R513" s="24"/>
      <x:c r="S513" s="26" t="n">
        <x:v>46024</x:v>
      </x:c>
      <x:c r="T513" s="26"/>
      <x:c r="U513" s="24" t="str">
        <x:v>ATIVA/SEM FIM INFORMADO</x:v>
      </x:c>
      <x:c r="V513" s="24"/>
      <x:c r="W513" s="24" t="n">
        <x:v>13</x:v>
      </x:c>
      <x:c r="X513" s="24" t="str">
        <x:v>tabela_rodenstock.pdf</x:v>
      </x:c>
      <x:c r="Y513" s="24" t="str">
        <x:v>alta</x:v>
      </x:c>
      <x:c r="Z513" s="24"/>
      <x:c r="AA513" s="24" t="str">
        <x:v>Rodenstock|Ocupacional B.I.G. NORM|Surfaçada|Progressiv Ergo B.I.G. NORM||1.74 Ergo PC/Book/Room|1.74|Solitaire Protect|-10 a +8|até -6||75/80|||13</x:v>
      </x:c>
    </x:row>
    <x:row r="514">
      <x:c r="A514" s="24" t="str">
        <x:v>RD-E6E57956DC1D</x:v>
      </x:c>
      <x:c r="B514" s="24" t="str">
        <x:v>SIM</x:v>
      </x:c>
      <x:c r="C514" s="24" t="str">
        <x:v>DISPONÍVEL</x:v>
      </x:c>
      <x:c r="D514" s="24" t="str">
        <x:v>Rodenstock</x:v>
      </x:c>
      <x:c r="E514" s="24" t="str">
        <x:v>Mono Plus B.I.G. NORM</x:v>
      </x:c>
      <x:c r="F514" s="24" t="str">
        <x:v>Surfaçada</x:v>
      </x:c>
      <x:c r="G514" s="24" t="str">
        <x:v>Impression Mono Plus B.I.G. NORM</x:v>
      </x:c>
      <x:c r="H514" s="24"/>
      <x:c r="I514" s="24" t="str">
        <x:v>1.5</x:v>
      </x:c>
      <x:c r="J514" s="24" t="str">
        <x:v>1.50</x:v>
      </x:c>
      <x:c r="K514" s="24" t="str">
        <x:v>LayR X-tra Clean</x:v>
      </x:c>
      <x:c r="L514" s="40" t="n">
        <x:v>2729</x:v>
      </x:c>
      <x:c r="M514" s="24" t="str">
        <x:v>-8 a +8</x:v>
      </x:c>
      <x:c r="N514" s="24" t="str">
        <x:v>até -6</x:v>
      </x:c>
      <x:c r="O514" s="24"/>
      <x:c r="P514" s="24" t="str">
        <x:v>75</x:v>
      </x:c>
      <x:c r="Q514" s="24"/>
      <x:c r="R514" s="24"/>
      <x:c r="S514" s="26" t="n">
        <x:v>46024</x:v>
      </x:c>
      <x:c r="T514" s="26"/>
      <x:c r="U514" s="24" t="str">
        <x:v>ATIVA/SEM FIM INFORMADO</x:v>
      </x:c>
      <x:c r="V514" s="24"/>
      <x:c r="W514" s="24" t="n">
        <x:v>15</x:v>
      </x:c>
      <x:c r="X514" s="24" t="str">
        <x:v>tabela_rodenstock.pdf</x:v>
      </x:c>
      <x:c r="Y514" s="24" t="str">
        <x:v>alta</x:v>
      </x:c>
      <x:c r="Z514" s="24"/>
      <x:c r="AA514" s="24" t="str">
        <x:v>Rodenstock|Mono Plus B.I.G. NORM|Surfaçada|Impression Mono Plus B.I.G. NORM||1.5|1.50|LayR X-tra Clean|-8 a +8|até -6||75|||15</x:v>
      </x:c>
    </x:row>
    <x:row r="515">
      <x:c r="A515" s="24" t="str">
        <x:v>RD-8B4AE12FD5DC</x:v>
      </x:c>
      <x:c r="B515" s="24" t="str">
        <x:v>SIM</x:v>
      </x:c>
      <x:c r="C515" s="24" t="str">
        <x:v>DISPONÍVEL</x:v>
      </x:c>
      <x:c r="D515" s="24" t="str">
        <x:v>Rodenstock</x:v>
      </x:c>
      <x:c r="E515" s="24" t="str">
        <x:v>Mono Plus B.I.G. NORM</x:v>
      </x:c>
      <x:c r="F515" s="24" t="str">
        <x:v>Surfaçada</x:v>
      </x:c>
      <x:c r="G515" s="24" t="str">
        <x:v>Impression Mono Plus B.I.G. NORM</x:v>
      </x:c>
      <x:c r="H515" s="24"/>
      <x:c r="I515" s="24" t="str">
        <x:v>1.5</x:v>
      </x:c>
      <x:c r="J515" s="24" t="str">
        <x:v>1.50</x:v>
      </x:c>
      <x:c r="K515" s="24" t="str">
        <x:v>LayR Balance</x:v>
      </x:c>
      <x:c r="L515" s="40" t="n">
        <x:v>2729</x:v>
      </x:c>
      <x:c r="M515" s="24" t="str">
        <x:v>-8 a +8</x:v>
      </x:c>
      <x:c r="N515" s="24" t="str">
        <x:v>até -6</x:v>
      </x:c>
      <x:c r="O515" s="24"/>
      <x:c r="P515" s="24" t="str">
        <x:v>75</x:v>
      </x:c>
      <x:c r="Q515" s="24"/>
      <x:c r="R515" s="24"/>
      <x:c r="S515" s="26" t="n">
        <x:v>46024</x:v>
      </x:c>
      <x:c r="T515" s="26"/>
      <x:c r="U515" s="24" t="str">
        <x:v>ATIVA/SEM FIM INFORMADO</x:v>
      </x:c>
      <x:c r="V515" s="24"/>
      <x:c r="W515" s="24" t="n">
        <x:v>15</x:v>
      </x:c>
      <x:c r="X515" s="24" t="str">
        <x:v>tabela_rodenstock.pdf</x:v>
      </x:c>
      <x:c r="Y515" s="24" t="str">
        <x:v>alta</x:v>
      </x:c>
      <x:c r="Z515" s="24"/>
      <x:c r="AA515" s="24" t="str">
        <x:v>Rodenstock|Mono Plus B.I.G. NORM|Surfaçada|Impression Mono Plus B.I.G. NORM||1.5|1.50|LayR Balance|-8 a +8|até -6||75|||15</x:v>
      </x:c>
    </x:row>
    <x:row r="516">
      <x:c r="A516" s="24" t="str">
        <x:v>RD-47AE3B3B5CB9</x:v>
      </x:c>
      <x:c r="B516" s="24" t="str">
        <x:v>SIM</x:v>
      </x:c>
      <x:c r="C516" s="24" t="str">
        <x:v>DISPONÍVEL</x:v>
      </x:c>
      <x:c r="D516" s="24" t="str">
        <x:v>Rodenstock</x:v>
      </x:c>
      <x:c r="E516" s="24" t="str">
        <x:v>Mono Plus B.I.G. NORM</x:v>
      </x:c>
      <x:c r="F516" s="24" t="str">
        <x:v>Surfaçada</x:v>
      </x:c>
      <x:c r="G516" s="24" t="str">
        <x:v>Impression Mono Plus B.I.G. NORM</x:v>
      </x:c>
      <x:c r="H516" s="24"/>
      <x:c r="I516" s="24" t="str">
        <x:v>1.5</x:v>
      </x:c>
      <x:c r="J516" s="24" t="str">
        <x:v>1.50</x:v>
      </x:c>
      <x:c r="K516" s="24" t="str">
        <x:v>Solitaire X-tra Clean</x:v>
      </x:c>
      <x:c r="L516" s="40" t="n">
        <x:v>2659</x:v>
      </x:c>
      <x:c r="M516" s="24" t="str">
        <x:v>-8 a +8</x:v>
      </x:c>
      <x:c r="N516" s="24" t="str">
        <x:v>até -6</x:v>
      </x:c>
      <x:c r="O516" s="24"/>
      <x:c r="P516" s="24" t="str">
        <x:v>75</x:v>
      </x:c>
      <x:c r="Q516" s="24"/>
      <x:c r="R516" s="24"/>
      <x:c r="S516" s="26" t="n">
        <x:v>46024</x:v>
      </x:c>
      <x:c r="T516" s="26"/>
      <x:c r="U516" s="24" t="str">
        <x:v>ATIVA/SEM FIM INFORMADO</x:v>
      </x:c>
      <x:c r="V516" s="24"/>
      <x:c r="W516" s="24" t="n">
        <x:v>15</x:v>
      </x:c>
      <x:c r="X516" s="24" t="str">
        <x:v>tabela_rodenstock.pdf</x:v>
      </x:c>
      <x:c r="Y516" s="24" t="str">
        <x:v>alta</x:v>
      </x:c>
      <x:c r="Z516" s="24"/>
      <x:c r="AA516" s="24" t="str">
        <x:v>Rodenstock|Mono Plus B.I.G. NORM|Surfaçada|Impression Mono Plus B.I.G. NORM||1.5|1.50|Solitaire X-tra Clean|-8 a +8|até -6||75|||15</x:v>
      </x:c>
    </x:row>
    <x:row r="517">
      <x:c r="A517" s="24" t="str">
        <x:v>RD-29AA0446E7B0</x:v>
      </x:c>
      <x:c r="B517" s="24" t="str">
        <x:v>SIM</x:v>
      </x:c>
      <x:c r="C517" s="24" t="str">
        <x:v>DISPONÍVEL</x:v>
      </x:c>
      <x:c r="D517" s="24" t="str">
        <x:v>Rodenstock</x:v>
      </x:c>
      <x:c r="E517" s="24" t="str">
        <x:v>Mono Plus B.I.G. NORM</x:v>
      </x:c>
      <x:c r="F517" s="24" t="str">
        <x:v>Surfaçada</x:v>
      </x:c>
      <x:c r="G517" s="24" t="str">
        <x:v>Impression Mono Plus B.I.G. NORM</x:v>
      </x:c>
      <x:c r="H517" s="24"/>
      <x:c r="I517" s="24" t="str">
        <x:v>1.5</x:v>
      </x:c>
      <x:c r="J517" s="24" t="str">
        <x:v>1.50</x:v>
      </x:c>
      <x:c r="K517" s="24" t="str">
        <x:v>Solitaire Protect Plus</x:v>
      </x:c>
      <x:c r="L517" s="40" t="n">
        <x:v>2609</x:v>
      </x:c>
      <x:c r="M517" s="24" t="str">
        <x:v>-8 a +8</x:v>
      </x:c>
      <x:c r="N517" s="24" t="str">
        <x:v>até -6</x:v>
      </x:c>
      <x:c r="O517" s="24"/>
      <x:c r="P517" s="24" t="str">
        <x:v>75</x:v>
      </x:c>
      <x:c r="Q517" s="24"/>
      <x:c r="R517" s="24"/>
      <x:c r="S517" s="26" t="n">
        <x:v>46024</x:v>
      </x:c>
      <x:c r="T517" s="26"/>
      <x:c r="U517" s="24" t="str">
        <x:v>ATIVA/SEM FIM INFORMADO</x:v>
      </x:c>
      <x:c r="V517" s="24"/>
      <x:c r="W517" s="24" t="n">
        <x:v>15</x:v>
      </x:c>
      <x:c r="X517" s="24" t="str">
        <x:v>tabela_rodenstock.pdf</x:v>
      </x:c>
      <x:c r="Y517" s="24" t="str">
        <x:v>alta</x:v>
      </x:c>
      <x:c r="Z517" s="24"/>
      <x:c r="AA517" s="24" t="str">
        <x:v>Rodenstock|Mono Plus B.I.G. NORM|Surfaçada|Impression Mono Plus B.I.G. NORM||1.5|1.50|Solitaire Protect Plus|-8 a +8|até -6||75|||15</x:v>
      </x:c>
    </x:row>
    <x:row r="518">
      <x:c r="A518" s="24" t="str">
        <x:v>RD-E7D1ED4040C3</x:v>
      </x:c>
      <x:c r="B518" s="24" t="str">
        <x:v>SIM</x:v>
      </x:c>
      <x:c r="C518" s="24" t="str">
        <x:v>DISPONÍVEL</x:v>
      </x:c>
      <x:c r="D518" s="24" t="str">
        <x:v>Rodenstock</x:v>
      </x:c>
      <x:c r="E518" s="24" t="str">
        <x:v>Mono Plus B.I.G. NORM</x:v>
      </x:c>
      <x:c r="F518" s="24" t="str">
        <x:v>Surfaçada</x:v>
      </x:c>
      <x:c r="G518" s="24" t="str">
        <x:v>Impression Mono Plus B.I.G. NORM</x:v>
      </x:c>
      <x:c r="H518" s="24"/>
      <x:c r="I518" s="24" t="str">
        <x:v>1.5</x:v>
      </x:c>
      <x:c r="J518" s="24" t="str">
        <x:v>1.50</x:v>
      </x:c>
      <x:c r="K518" s="24" t="str">
        <x:v>ROAD</x:v>
      </x:c>
      <x:c r="L518" s="40" t="n">
        <x:v>2609</x:v>
      </x:c>
      <x:c r="M518" s="24" t="str">
        <x:v>-8 a +8</x:v>
      </x:c>
      <x:c r="N518" s="24" t="str">
        <x:v>até -6</x:v>
      </x:c>
      <x:c r="O518" s="24"/>
      <x:c r="P518" s="24" t="str">
        <x:v>75</x:v>
      </x:c>
      <x:c r="Q518" s="24"/>
      <x:c r="R518" s="24"/>
      <x:c r="S518" s="26" t="n">
        <x:v>46024</x:v>
      </x:c>
      <x:c r="T518" s="26"/>
      <x:c r="U518" s="24" t="str">
        <x:v>ATIVA/SEM FIM INFORMADO</x:v>
      </x:c>
      <x:c r="V518" s="24"/>
      <x:c r="W518" s="24" t="n">
        <x:v>15</x:v>
      </x:c>
      <x:c r="X518" s="24" t="str">
        <x:v>tabela_rodenstock.pdf</x:v>
      </x:c>
      <x:c r="Y518" s="24" t="str">
        <x:v>alta</x:v>
      </x:c>
      <x:c r="Z518" s="24"/>
      <x:c r="AA518" s="24" t="str">
        <x:v>Rodenstock|Mono Plus B.I.G. NORM|Surfaçada|Impression Mono Plus B.I.G. NORM||1.5|1.50|ROAD|-8 a +8|até -6||75|||15</x:v>
      </x:c>
    </x:row>
    <x:row r="519">
      <x:c r="A519" s="24" t="str">
        <x:v>RD-B7323BA1418E</x:v>
      </x:c>
      <x:c r="B519" s="24" t="str">
        <x:v>SIM</x:v>
      </x:c>
      <x:c r="C519" s="24" t="str">
        <x:v>DISPONÍVEL</x:v>
      </x:c>
      <x:c r="D519" s="24" t="str">
        <x:v>Rodenstock</x:v>
      </x:c>
      <x:c r="E519" s="24" t="str">
        <x:v>Mono Plus B.I.G. NORM</x:v>
      </x:c>
      <x:c r="F519" s="24" t="str">
        <x:v>Surfaçada</x:v>
      </x:c>
      <x:c r="G519" s="24" t="str">
        <x:v>Impression Mono Plus B.I.G. NORM</x:v>
      </x:c>
      <x:c r="H519" s="24"/>
      <x:c r="I519" s="24" t="str">
        <x:v>1.5</x:v>
      </x:c>
      <x:c r="J519" s="24" t="str">
        <x:v>1.50</x:v>
      </x:c>
      <x:c r="K519" s="24" t="str">
        <x:v>Solitaire Protect</x:v>
      </x:c>
      <x:c r="L519" s="40" t="n">
        <x:v>2349</x:v>
      </x:c>
      <x:c r="M519" s="24" t="str">
        <x:v>-8 a +8</x:v>
      </x:c>
      <x:c r="N519" s="24" t="str">
        <x:v>até -6</x:v>
      </x:c>
      <x:c r="O519" s="24"/>
      <x:c r="P519" s="24" t="str">
        <x:v>75</x:v>
      </x:c>
      <x:c r="Q519" s="24"/>
      <x:c r="R519" s="24"/>
      <x:c r="S519" s="26" t="n">
        <x:v>46024</x:v>
      </x:c>
      <x:c r="T519" s="26"/>
      <x:c r="U519" s="24" t="str">
        <x:v>ATIVA/SEM FIM INFORMADO</x:v>
      </x:c>
      <x:c r="V519" s="24"/>
      <x:c r="W519" s="24" t="n">
        <x:v>15</x:v>
      </x:c>
      <x:c r="X519" s="24" t="str">
        <x:v>tabela_rodenstock.pdf</x:v>
      </x:c>
      <x:c r="Y519" s="24" t="str">
        <x:v>alta</x:v>
      </x:c>
      <x:c r="Z519" s="24"/>
      <x:c r="AA519" s="24" t="str">
        <x:v>Rodenstock|Mono Plus B.I.G. NORM|Surfaçada|Impression Mono Plus B.I.G. NORM||1.5|1.50|Solitaire Protect|-8 a +8|até -6||75|||15</x:v>
      </x:c>
    </x:row>
    <x:row r="520">
      <x:c r="A520" s="24" t="str">
        <x:v>RD-CFE44FA08B6A</x:v>
      </x:c>
      <x:c r="B520" s="24" t="str">
        <x:v>SIM</x:v>
      </x:c>
      <x:c r="C520" s="24" t="str">
        <x:v>DISPONÍVEL</x:v>
      </x:c>
      <x:c r="D520" s="24" t="str">
        <x:v>Rodenstock</x:v>
      </x:c>
      <x:c r="E520" s="24" t="str">
        <x:v>Mono Plus B.I.G. NORM</x:v>
      </x:c>
      <x:c r="F520" s="24" t="str">
        <x:v>Surfaçada</x:v>
      </x:c>
      <x:c r="G520" s="24" t="str">
        <x:v>Impression Mono Plus B.I.G. NORM</x:v>
      </x:c>
      <x:c r="H520" s="24" t="str">
        <x:v>ColorMatic® 3</x:v>
      </x:c>
      <x:c r="I520" s="24" t="str">
        <x:v>1.54</x:v>
      </x:c>
      <x:c r="J520" s="24" t="str">
        <x:v>1.54</x:v>
      </x:c>
      <x:c r="K520" s="24" t="str">
        <x:v>LayR X-tra Clean</x:v>
      </x:c>
      <x:c r="L520" s="40" t="n">
        <x:v>4143</x:v>
      </x:c>
      <x:c r="M520" s="24" t="str">
        <x:v>-8 a +8</x:v>
      </x:c>
      <x:c r="N520" s="24" t="str">
        <x:v>até -6</x:v>
      </x:c>
      <x:c r="O520" s="24"/>
      <x:c r="P520" s="24" t="str">
        <x:v>75</x:v>
      </x:c>
      <x:c r="Q520" s="24"/>
      <x:c r="R520" s="24"/>
      <x:c r="S520" s="26" t="n">
        <x:v>46024</x:v>
      </x:c>
      <x:c r="T520" s="26"/>
      <x:c r="U520" s="24" t="str">
        <x:v>ATIVA/SEM FIM INFORMADO</x:v>
      </x:c>
      <x:c r="V520" s="24"/>
      <x:c r="W520" s="24" t="n">
        <x:v>15</x:v>
      </x:c>
      <x:c r="X520" s="24" t="str">
        <x:v>tabela_rodenstock.pdf</x:v>
      </x:c>
      <x:c r="Y520" s="24" t="str">
        <x:v>alta</x:v>
      </x:c>
      <x:c r="Z520" s="24"/>
      <x:c r="AA520" s="24" t="str">
        <x:v>Rodenstock|Mono Plus B.I.G. NORM|Surfaçada|Impression Mono Plus B.I.G. NORM|ColorMatic® 3|1.54|1.54|LayR X-tra Clean|-8 a +8|até -6||75|||15</x:v>
      </x:c>
    </x:row>
    <x:row r="521">
      <x:c r="A521" s="24" t="str">
        <x:v>RD-80677F55E5AD</x:v>
      </x:c>
      <x:c r="B521" s="24" t="str">
        <x:v>SIM</x:v>
      </x:c>
      <x:c r="C521" s="24" t="str">
        <x:v>DISPONÍVEL</x:v>
      </x:c>
      <x:c r="D521" s="24" t="str">
        <x:v>Rodenstock</x:v>
      </x:c>
      <x:c r="E521" s="24" t="str">
        <x:v>Mono Plus B.I.G. NORM</x:v>
      </x:c>
      <x:c r="F521" s="24" t="str">
        <x:v>Surfaçada</x:v>
      </x:c>
      <x:c r="G521" s="24" t="str">
        <x:v>Impression Mono Plus B.I.G. NORM</x:v>
      </x:c>
      <x:c r="H521" s="24" t="str">
        <x:v>ColorMatic® 3</x:v>
      </x:c>
      <x:c r="I521" s="24" t="str">
        <x:v>1.54</x:v>
      </x:c>
      <x:c r="J521" s="24" t="str">
        <x:v>1.54</x:v>
      </x:c>
      <x:c r="K521" s="24" t="str">
        <x:v>LayR Balance</x:v>
      </x:c>
      <x:c r="L521" s="40" t="n">
        <x:v>4143</x:v>
      </x:c>
      <x:c r="M521" s="24" t="str">
        <x:v>-8 a +8</x:v>
      </x:c>
      <x:c r="N521" s="24" t="str">
        <x:v>até -6</x:v>
      </x:c>
      <x:c r="O521" s="24"/>
      <x:c r="P521" s="24" t="str">
        <x:v>75</x:v>
      </x:c>
      <x:c r="Q521" s="24"/>
      <x:c r="R521" s="24"/>
      <x:c r="S521" s="26" t="n">
        <x:v>46024</x:v>
      </x:c>
      <x:c r="T521" s="26"/>
      <x:c r="U521" s="24" t="str">
        <x:v>ATIVA/SEM FIM INFORMADO</x:v>
      </x:c>
      <x:c r="V521" s="24"/>
      <x:c r="W521" s="24" t="n">
        <x:v>15</x:v>
      </x:c>
      <x:c r="X521" s="24" t="str">
        <x:v>tabela_rodenstock.pdf</x:v>
      </x:c>
      <x:c r="Y521" s="24" t="str">
        <x:v>alta</x:v>
      </x:c>
      <x:c r="Z521" s="24"/>
      <x:c r="AA521" s="24" t="str">
        <x:v>Rodenstock|Mono Plus B.I.G. NORM|Surfaçada|Impression Mono Plus B.I.G. NORM|ColorMatic® 3|1.54|1.54|LayR Balance|-8 a +8|até -6||75|||15</x:v>
      </x:c>
    </x:row>
    <x:row r="522">
      <x:c r="A522" s="24" t="str">
        <x:v>RD-F895CBAC4B35</x:v>
      </x:c>
      <x:c r="B522" s="24" t="str">
        <x:v>SIM</x:v>
      </x:c>
      <x:c r="C522" s="24" t="str">
        <x:v>DISPONÍVEL</x:v>
      </x:c>
      <x:c r="D522" s="24" t="str">
        <x:v>Rodenstock</x:v>
      </x:c>
      <x:c r="E522" s="24" t="str">
        <x:v>Mono Plus B.I.G. NORM</x:v>
      </x:c>
      <x:c r="F522" s="24" t="str">
        <x:v>Surfaçada</x:v>
      </x:c>
      <x:c r="G522" s="24" t="str">
        <x:v>Impression Mono Plus B.I.G. NORM</x:v>
      </x:c>
      <x:c r="H522" s="24" t="str">
        <x:v>ColorMatic® 3</x:v>
      </x:c>
      <x:c r="I522" s="24" t="str">
        <x:v>1.54</x:v>
      </x:c>
      <x:c r="J522" s="24" t="str">
        <x:v>1.54</x:v>
      </x:c>
      <x:c r="K522" s="24" t="str">
        <x:v>Solitaire X-tra Clean</x:v>
      </x:c>
      <x:c r="L522" s="40" t="n">
        <x:v>4073</x:v>
      </x:c>
      <x:c r="M522" s="24" t="str">
        <x:v>-8 a +8</x:v>
      </x:c>
      <x:c r="N522" s="24" t="str">
        <x:v>até -6</x:v>
      </x:c>
      <x:c r="O522" s="24"/>
      <x:c r="P522" s="24" t="str">
        <x:v>75</x:v>
      </x:c>
      <x:c r="Q522" s="24"/>
      <x:c r="R522" s="24"/>
      <x:c r="S522" s="26" t="n">
        <x:v>46024</x:v>
      </x:c>
      <x:c r="T522" s="26"/>
      <x:c r="U522" s="24" t="str">
        <x:v>ATIVA/SEM FIM INFORMADO</x:v>
      </x:c>
      <x:c r="V522" s="24"/>
      <x:c r="W522" s="24" t="n">
        <x:v>15</x:v>
      </x:c>
      <x:c r="X522" s="24" t="str">
        <x:v>tabela_rodenstock.pdf</x:v>
      </x:c>
      <x:c r="Y522" s="24" t="str">
        <x:v>alta</x:v>
      </x:c>
      <x:c r="Z522" s="24"/>
      <x:c r="AA522" s="24" t="str">
        <x:v>Rodenstock|Mono Plus B.I.G. NORM|Surfaçada|Impression Mono Plus B.I.G. NORM|ColorMatic® 3|1.54|1.54|Solitaire X-tra Clean|-8 a +8|até -6||75|||15</x:v>
      </x:c>
    </x:row>
    <x:row r="523">
      <x:c r="A523" s="24" t="str">
        <x:v>RD-5B03F72EB771</x:v>
      </x:c>
      <x:c r="B523" s="24" t="str">
        <x:v>SIM</x:v>
      </x:c>
      <x:c r="C523" s="24" t="str">
        <x:v>DISPONÍVEL</x:v>
      </x:c>
      <x:c r="D523" s="24" t="str">
        <x:v>Rodenstock</x:v>
      </x:c>
      <x:c r="E523" s="24" t="str">
        <x:v>Mono Plus B.I.G. NORM</x:v>
      </x:c>
      <x:c r="F523" s="24" t="str">
        <x:v>Surfaçada</x:v>
      </x:c>
      <x:c r="G523" s="24" t="str">
        <x:v>Impression Mono Plus B.I.G. NORM</x:v>
      </x:c>
      <x:c r="H523" s="24" t="str">
        <x:v>ColorMatic® 3</x:v>
      </x:c>
      <x:c r="I523" s="24" t="str">
        <x:v>1.54</x:v>
      </x:c>
      <x:c r="J523" s="24" t="str">
        <x:v>1.54</x:v>
      </x:c>
      <x:c r="K523" s="24" t="str">
        <x:v>Solitaire Protect Plus</x:v>
      </x:c>
      <x:c r="L523" s="40" t="n">
        <x:v>4023</x:v>
      </x:c>
      <x:c r="M523" s="24" t="str">
        <x:v>-8 a +8</x:v>
      </x:c>
      <x:c r="N523" s="24" t="str">
        <x:v>até -6</x:v>
      </x:c>
      <x:c r="O523" s="24"/>
      <x:c r="P523" s="24" t="str">
        <x:v>75</x:v>
      </x:c>
      <x:c r="Q523" s="24"/>
      <x:c r="R523" s="24"/>
      <x:c r="S523" s="26" t="n">
        <x:v>46024</x:v>
      </x:c>
      <x:c r="T523" s="26"/>
      <x:c r="U523" s="24" t="str">
        <x:v>ATIVA/SEM FIM INFORMADO</x:v>
      </x:c>
      <x:c r="V523" s="24"/>
      <x:c r="W523" s="24" t="n">
        <x:v>15</x:v>
      </x:c>
      <x:c r="X523" s="24" t="str">
        <x:v>tabela_rodenstock.pdf</x:v>
      </x:c>
      <x:c r="Y523" s="24" t="str">
        <x:v>alta</x:v>
      </x:c>
      <x:c r="Z523" s="24"/>
      <x:c r="AA523" s="24" t="str">
        <x:v>Rodenstock|Mono Plus B.I.G. NORM|Surfaçada|Impression Mono Plus B.I.G. NORM|ColorMatic® 3|1.54|1.54|Solitaire Protect Plus|-8 a +8|até -6||75|||15</x:v>
      </x:c>
    </x:row>
    <x:row r="524">
      <x:c r="A524" s="24" t="str">
        <x:v>RD-B9FBA8D27E8F</x:v>
      </x:c>
      <x:c r="B524" s="24" t="str">
        <x:v>SIM</x:v>
      </x:c>
      <x:c r="C524" s="24" t="str">
        <x:v>DISPONÍVEL</x:v>
      </x:c>
      <x:c r="D524" s="24" t="str">
        <x:v>Rodenstock</x:v>
      </x:c>
      <x:c r="E524" s="24" t="str">
        <x:v>Mono Plus B.I.G. NORM</x:v>
      </x:c>
      <x:c r="F524" s="24" t="str">
        <x:v>Surfaçada</x:v>
      </x:c>
      <x:c r="G524" s="24" t="str">
        <x:v>Impression Mono Plus B.I.G. NORM</x:v>
      </x:c>
      <x:c r="H524" s="24" t="str">
        <x:v>ColorMatic® 3</x:v>
      </x:c>
      <x:c r="I524" s="24" t="str">
        <x:v>1.54</x:v>
      </x:c>
      <x:c r="J524" s="24" t="str">
        <x:v>1.54</x:v>
      </x:c>
      <x:c r="K524" s="24" t="str">
        <x:v>ROAD</x:v>
      </x:c>
      <x:c r="L524" s="40" t="n">
        <x:v>4023</x:v>
      </x:c>
      <x:c r="M524" s="24" t="str">
        <x:v>-8 a +8</x:v>
      </x:c>
      <x:c r="N524" s="24" t="str">
        <x:v>até -6</x:v>
      </x:c>
      <x:c r="O524" s="24"/>
      <x:c r="P524" s="24" t="str">
        <x:v>75</x:v>
      </x:c>
      <x:c r="Q524" s="24"/>
      <x:c r="R524" s="24"/>
      <x:c r="S524" s="26" t="n">
        <x:v>46024</x:v>
      </x:c>
      <x:c r="T524" s="26"/>
      <x:c r="U524" s="24" t="str">
        <x:v>ATIVA/SEM FIM INFORMADO</x:v>
      </x:c>
      <x:c r="V524" s="24"/>
      <x:c r="W524" s="24" t="n">
        <x:v>15</x:v>
      </x:c>
      <x:c r="X524" s="24" t="str">
        <x:v>tabela_rodenstock.pdf</x:v>
      </x:c>
      <x:c r="Y524" s="24" t="str">
        <x:v>alta</x:v>
      </x:c>
      <x:c r="Z524" s="24"/>
      <x:c r="AA524" s="24" t="str">
        <x:v>Rodenstock|Mono Plus B.I.G. NORM|Surfaçada|Impression Mono Plus B.I.G. NORM|ColorMatic® 3|1.54|1.54|ROAD|-8 a +8|até -6||75|||15</x:v>
      </x:c>
    </x:row>
    <x:row r="525">
      <x:c r="A525" s="24" t="str">
        <x:v>RD-EDF2DACA80BC</x:v>
      </x:c>
      <x:c r="B525" s="24" t="str">
        <x:v>SIM</x:v>
      </x:c>
      <x:c r="C525" s="24" t="str">
        <x:v>DISPONÍVEL</x:v>
      </x:c>
      <x:c r="D525" s="24" t="str">
        <x:v>Rodenstock</x:v>
      </x:c>
      <x:c r="E525" s="24" t="str">
        <x:v>Mono Plus B.I.G. NORM</x:v>
      </x:c>
      <x:c r="F525" s="24" t="str">
        <x:v>Surfaçada</x:v>
      </x:c>
      <x:c r="G525" s="24" t="str">
        <x:v>Impression Mono Plus B.I.G. NORM</x:v>
      </x:c>
      <x:c r="H525" s="24" t="str">
        <x:v>ColorMatic® 3</x:v>
      </x:c>
      <x:c r="I525" s="24" t="str">
        <x:v>1.54</x:v>
      </x:c>
      <x:c r="J525" s="24" t="str">
        <x:v>1.54</x:v>
      </x:c>
      <x:c r="K525" s="24" t="str">
        <x:v>Solitaire Protect</x:v>
      </x:c>
      <x:c r="L525" s="40" t="n">
        <x:v>3763</x:v>
      </x:c>
      <x:c r="M525" s="24" t="str">
        <x:v>-8 a +8</x:v>
      </x:c>
      <x:c r="N525" s="24" t="str">
        <x:v>até -6</x:v>
      </x:c>
      <x:c r="O525" s="24"/>
      <x:c r="P525" s="24" t="str">
        <x:v>75</x:v>
      </x:c>
      <x:c r="Q525" s="24"/>
      <x:c r="R525" s="24"/>
      <x:c r="S525" s="26" t="n">
        <x:v>46024</x:v>
      </x:c>
      <x:c r="T525" s="26"/>
      <x:c r="U525" s="24" t="str">
        <x:v>ATIVA/SEM FIM INFORMADO</x:v>
      </x:c>
      <x:c r="V525" s="24"/>
      <x:c r="W525" s="24" t="n">
        <x:v>15</x:v>
      </x:c>
      <x:c r="X525" s="24" t="str">
        <x:v>tabela_rodenstock.pdf</x:v>
      </x:c>
      <x:c r="Y525" s="24" t="str">
        <x:v>alta</x:v>
      </x:c>
      <x:c r="Z525" s="24"/>
      <x:c r="AA525" s="24" t="str">
        <x:v>Rodenstock|Mono Plus B.I.G. NORM|Surfaçada|Impression Mono Plus B.I.G. NORM|ColorMatic® 3|1.54|1.54|Solitaire Protect|-8 a +8|até -6||75|||15</x:v>
      </x:c>
    </x:row>
    <x:row r="526">
      <x:c r="A526" s="24" t="str">
        <x:v>RD-4442E27196CD</x:v>
      </x:c>
      <x:c r="B526" s="24" t="str">
        <x:v>SIM</x:v>
      </x:c>
      <x:c r="C526" s="24" t="str">
        <x:v>DISPONÍVEL</x:v>
      </x:c>
      <x:c r="D526" s="24" t="str">
        <x:v>Rodenstock</x:v>
      </x:c>
      <x:c r="E526" s="24" t="str">
        <x:v>Mono Plus B.I.G. NORM</x:v>
      </x:c>
      <x:c r="F526" s="24" t="str">
        <x:v>Surfaçada</x:v>
      </x:c>
      <x:c r="G526" s="24" t="str">
        <x:v>Impression Mono Plus B.I.G. NORM</x:v>
      </x:c>
      <x:c r="H526" s="24"/>
      <x:c r="I526" s="24" t="str">
        <x:v>1.6</x:v>
      </x:c>
      <x:c r="J526" s="24" t="str">
        <x:v>1.60</x:v>
      </x:c>
      <x:c r="K526" s="24" t="str">
        <x:v>LayR X-tra Clean</x:v>
      </x:c>
      <x:c r="L526" s="40" t="n">
        <x:v>3176</x:v>
      </x:c>
      <x:c r="M526" s="24" t="str">
        <x:v>-10 a +10</x:v>
      </x:c>
      <x:c r="N526" s="24" t="str">
        <x:v>até -6</x:v>
      </x:c>
      <x:c r="O526" s="24"/>
      <x:c r="P526" s="24" t="str">
        <x:v>75</x:v>
      </x:c>
      <x:c r="Q526" s="24"/>
      <x:c r="R526" s="24"/>
      <x:c r="S526" s="26" t="n">
        <x:v>46024</x:v>
      </x:c>
      <x:c r="T526" s="26"/>
      <x:c r="U526" s="24" t="str">
        <x:v>ATIVA/SEM FIM INFORMADO</x:v>
      </x:c>
      <x:c r="V526" s="24"/>
      <x:c r="W526" s="24" t="n">
        <x:v>15</x:v>
      </x:c>
      <x:c r="X526" s="24" t="str">
        <x:v>tabela_rodenstock.pdf</x:v>
      </x:c>
      <x:c r="Y526" s="24" t="str">
        <x:v>alta</x:v>
      </x:c>
      <x:c r="Z526" s="24"/>
      <x:c r="AA526" s="24" t="str">
        <x:v>Rodenstock|Mono Plus B.I.G. NORM|Surfaçada|Impression Mono Plus B.I.G. NORM||1.6|1.60|LayR X-tra Clean|-10 a +10|até -6||75|||15</x:v>
      </x:c>
    </x:row>
    <x:row r="527">
      <x:c r="A527" s="24" t="str">
        <x:v>RD-71C49480F70D</x:v>
      </x:c>
      <x:c r="B527" s="24" t="str">
        <x:v>SIM</x:v>
      </x:c>
      <x:c r="C527" s="24" t="str">
        <x:v>DISPONÍVEL</x:v>
      </x:c>
      <x:c r="D527" s="24" t="str">
        <x:v>Rodenstock</x:v>
      </x:c>
      <x:c r="E527" s="24" t="str">
        <x:v>Mono Plus B.I.G. NORM</x:v>
      </x:c>
      <x:c r="F527" s="24" t="str">
        <x:v>Surfaçada</x:v>
      </x:c>
      <x:c r="G527" s="24" t="str">
        <x:v>Impression Mono Plus B.I.G. NORM</x:v>
      </x:c>
      <x:c r="H527" s="24"/>
      <x:c r="I527" s="24" t="str">
        <x:v>1.6</x:v>
      </x:c>
      <x:c r="J527" s="24" t="str">
        <x:v>1.60</x:v>
      </x:c>
      <x:c r="K527" s="24" t="str">
        <x:v>LayR Balance</x:v>
      </x:c>
      <x:c r="L527" s="40" t="n">
        <x:v>3176</x:v>
      </x:c>
      <x:c r="M527" s="24" t="str">
        <x:v>-10 a +10</x:v>
      </x:c>
      <x:c r="N527" s="24" t="str">
        <x:v>até -6</x:v>
      </x:c>
      <x:c r="O527" s="24"/>
      <x:c r="P527" s="24" t="str">
        <x:v>75</x:v>
      </x:c>
      <x:c r="Q527" s="24"/>
      <x:c r="R527" s="24"/>
      <x:c r="S527" s="26" t="n">
        <x:v>46024</x:v>
      </x:c>
      <x:c r="T527" s="26"/>
      <x:c r="U527" s="24" t="str">
        <x:v>ATIVA/SEM FIM INFORMADO</x:v>
      </x:c>
      <x:c r="V527" s="24"/>
      <x:c r="W527" s="24" t="n">
        <x:v>15</x:v>
      </x:c>
      <x:c r="X527" s="24" t="str">
        <x:v>tabela_rodenstock.pdf</x:v>
      </x:c>
      <x:c r="Y527" s="24" t="str">
        <x:v>alta</x:v>
      </x:c>
      <x:c r="Z527" s="24"/>
      <x:c r="AA527" s="24" t="str">
        <x:v>Rodenstock|Mono Plus B.I.G. NORM|Surfaçada|Impression Mono Plus B.I.G. NORM||1.6|1.60|LayR Balance|-10 a +10|até -6||75|||15</x:v>
      </x:c>
    </x:row>
    <x:row r="528">
      <x:c r="A528" s="24" t="str">
        <x:v>RD-974A5D77D849</x:v>
      </x:c>
      <x:c r="B528" s="24" t="str">
        <x:v>SIM</x:v>
      </x:c>
      <x:c r="C528" s="24" t="str">
        <x:v>DISPONÍVEL</x:v>
      </x:c>
      <x:c r="D528" s="24" t="str">
        <x:v>Rodenstock</x:v>
      </x:c>
      <x:c r="E528" s="24" t="str">
        <x:v>Mono Plus B.I.G. NORM</x:v>
      </x:c>
      <x:c r="F528" s="24" t="str">
        <x:v>Surfaçada</x:v>
      </x:c>
      <x:c r="G528" s="24" t="str">
        <x:v>Impression Mono Plus B.I.G. NORM</x:v>
      </x:c>
      <x:c r="H528" s="24"/>
      <x:c r="I528" s="24" t="str">
        <x:v>1.6</x:v>
      </x:c>
      <x:c r="J528" s="24" t="str">
        <x:v>1.60</x:v>
      </x:c>
      <x:c r="K528" s="24" t="str">
        <x:v>Solitaire X-tra Clean</x:v>
      </x:c>
      <x:c r="L528" s="40" t="n">
        <x:v>3106</x:v>
      </x:c>
      <x:c r="M528" s="24" t="str">
        <x:v>-10 a +10</x:v>
      </x:c>
      <x:c r="N528" s="24" t="str">
        <x:v>até -6</x:v>
      </x:c>
      <x:c r="O528" s="24"/>
      <x:c r="P528" s="24" t="str">
        <x:v>75</x:v>
      </x:c>
      <x:c r="Q528" s="24"/>
      <x:c r="R528" s="24"/>
      <x:c r="S528" s="26" t="n">
        <x:v>46024</x:v>
      </x:c>
      <x:c r="T528" s="26"/>
      <x:c r="U528" s="24" t="str">
        <x:v>ATIVA/SEM FIM INFORMADO</x:v>
      </x:c>
      <x:c r="V528" s="24"/>
      <x:c r="W528" s="24" t="n">
        <x:v>15</x:v>
      </x:c>
      <x:c r="X528" s="24" t="str">
        <x:v>tabela_rodenstock.pdf</x:v>
      </x:c>
      <x:c r="Y528" s="24" t="str">
        <x:v>alta</x:v>
      </x:c>
      <x:c r="Z528" s="24"/>
      <x:c r="AA528" s="24" t="str">
        <x:v>Rodenstock|Mono Plus B.I.G. NORM|Surfaçada|Impression Mono Plus B.I.G. NORM||1.6|1.60|Solitaire X-tra Clean|-10 a +10|até -6||75|||15</x:v>
      </x:c>
    </x:row>
    <x:row r="529">
      <x:c r="A529" s="24" t="str">
        <x:v>RD-75836B2BEE8B</x:v>
      </x:c>
      <x:c r="B529" s="24" t="str">
        <x:v>SIM</x:v>
      </x:c>
      <x:c r="C529" s="24" t="str">
        <x:v>DISPONÍVEL</x:v>
      </x:c>
      <x:c r="D529" s="24" t="str">
        <x:v>Rodenstock</x:v>
      </x:c>
      <x:c r="E529" s="24" t="str">
        <x:v>Mono Plus B.I.G. NORM</x:v>
      </x:c>
      <x:c r="F529" s="24" t="str">
        <x:v>Surfaçada</x:v>
      </x:c>
      <x:c r="G529" s="24" t="str">
        <x:v>Impression Mono Plus B.I.G. NORM</x:v>
      </x:c>
      <x:c r="H529" s="24"/>
      <x:c r="I529" s="24" t="str">
        <x:v>1.6</x:v>
      </x:c>
      <x:c r="J529" s="24" t="str">
        <x:v>1.60</x:v>
      </x:c>
      <x:c r="K529" s="24" t="str">
        <x:v>Solitaire Protect Plus</x:v>
      </x:c>
      <x:c r="L529" s="40" t="n">
        <x:v>3056</x:v>
      </x:c>
      <x:c r="M529" s="24" t="str">
        <x:v>-10 a +10</x:v>
      </x:c>
      <x:c r="N529" s="24" t="str">
        <x:v>até -6</x:v>
      </x:c>
      <x:c r="O529" s="24"/>
      <x:c r="P529" s="24" t="str">
        <x:v>75</x:v>
      </x:c>
      <x:c r="Q529" s="24"/>
      <x:c r="R529" s="24"/>
      <x:c r="S529" s="26" t="n">
        <x:v>46024</x:v>
      </x:c>
      <x:c r="T529" s="26"/>
      <x:c r="U529" s="24" t="str">
        <x:v>ATIVA/SEM FIM INFORMADO</x:v>
      </x:c>
      <x:c r="V529" s="24"/>
      <x:c r="W529" s="24" t="n">
        <x:v>15</x:v>
      </x:c>
      <x:c r="X529" s="24" t="str">
        <x:v>tabela_rodenstock.pdf</x:v>
      </x:c>
      <x:c r="Y529" s="24" t="str">
        <x:v>alta</x:v>
      </x:c>
      <x:c r="Z529" s="24"/>
      <x:c r="AA529" s="24" t="str">
        <x:v>Rodenstock|Mono Plus B.I.G. NORM|Surfaçada|Impression Mono Plus B.I.G. NORM||1.6|1.60|Solitaire Protect Plus|-10 a +10|até -6||75|||15</x:v>
      </x:c>
    </x:row>
    <x:row r="530">
      <x:c r="A530" s="24" t="str">
        <x:v>RD-DA568F6AF8B6</x:v>
      </x:c>
      <x:c r="B530" s="24" t="str">
        <x:v>SIM</x:v>
      </x:c>
      <x:c r="C530" s="24" t="str">
        <x:v>DISPONÍVEL</x:v>
      </x:c>
      <x:c r="D530" s="24" t="str">
        <x:v>Rodenstock</x:v>
      </x:c>
      <x:c r="E530" s="24" t="str">
        <x:v>Mono Plus B.I.G. NORM</x:v>
      </x:c>
      <x:c r="F530" s="24" t="str">
        <x:v>Surfaçada</x:v>
      </x:c>
      <x:c r="G530" s="24" t="str">
        <x:v>Impression Mono Plus B.I.G. NORM</x:v>
      </x:c>
      <x:c r="H530" s="24"/>
      <x:c r="I530" s="24" t="str">
        <x:v>1.6</x:v>
      </x:c>
      <x:c r="J530" s="24" t="str">
        <x:v>1.60</x:v>
      </x:c>
      <x:c r="K530" s="24" t="str">
        <x:v>ROAD</x:v>
      </x:c>
      <x:c r="L530" s="40" t="n">
        <x:v>3056</x:v>
      </x:c>
      <x:c r="M530" s="24" t="str">
        <x:v>-10 a +10</x:v>
      </x:c>
      <x:c r="N530" s="24" t="str">
        <x:v>até -6</x:v>
      </x:c>
      <x:c r="O530" s="24"/>
      <x:c r="P530" s="24" t="str">
        <x:v>75</x:v>
      </x:c>
      <x:c r="Q530" s="24"/>
      <x:c r="R530" s="24"/>
      <x:c r="S530" s="26" t="n">
        <x:v>46024</x:v>
      </x:c>
      <x:c r="T530" s="26"/>
      <x:c r="U530" s="24" t="str">
        <x:v>ATIVA/SEM FIM INFORMADO</x:v>
      </x:c>
      <x:c r="V530" s="24"/>
      <x:c r="W530" s="24" t="n">
        <x:v>15</x:v>
      </x:c>
      <x:c r="X530" s="24" t="str">
        <x:v>tabela_rodenstock.pdf</x:v>
      </x:c>
      <x:c r="Y530" s="24" t="str">
        <x:v>alta</x:v>
      </x:c>
      <x:c r="Z530" s="24"/>
      <x:c r="AA530" s="24" t="str">
        <x:v>Rodenstock|Mono Plus B.I.G. NORM|Surfaçada|Impression Mono Plus B.I.G. NORM||1.6|1.60|ROAD|-10 a +10|até -6||75|||15</x:v>
      </x:c>
    </x:row>
    <x:row r="531">
      <x:c r="A531" s="24" t="str">
        <x:v>RD-248DD2EBA4D8</x:v>
      </x:c>
      <x:c r="B531" s="24" t="str">
        <x:v>SIM</x:v>
      </x:c>
      <x:c r="C531" s="24" t="str">
        <x:v>DISPONÍVEL</x:v>
      </x:c>
      <x:c r="D531" s="24" t="str">
        <x:v>Rodenstock</x:v>
      </x:c>
      <x:c r="E531" s="24" t="str">
        <x:v>Mono Plus B.I.G. NORM</x:v>
      </x:c>
      <x:c r="F531" s="24" t="str">
        <x:v>Surfaçada</x:v>
      </x:c>
      <x:c r="G531" s="24" t="str">
        <x:v>Impression Mono Plus B.I.G. NORM</x:v>
      </x:c>
      <x:c r="H531" s="24"/>
      <x:c r="I531" s="24" t="str">
        <x:v>1.6</x:v>
      </x:c>
      <x:c r="J531" s="24" t="str">
        <x:v>1.60</x:v>
      </x:c>
      <x:c r="K531" s="24" t="str">
        <x:v>Solitaire Protect</x:v>
      </x:c>
      <x:c r="L531" s="40" t="n">
        <x:v>2796</x:v>
      </x:c>
      <x:c r="M531" s="24" t="str">
        <x:v>-10 a +10</x:v>
      </x:c>
      <x:c r="N531" s="24" t="str">
        <x:v>até -6</x:v>
      </x:c>
      <x:c r="O531" s="24"/>
      <x:c r="P531" s="24" t="str">
        <x:v>75</x:v>
      </x:c>
      <x:c r="Q531" s="24"/>
      <x:c r="R531" s="24"/>
      <x:c r="S531" s="26" t="n">
        <x:v>46024</x:v>
      </x:c>
      <x:c r="T531" s="26"/>
      <x:c r="U531" s="24" t="str">
        <x:v>ATIVA/SEM FIM INFORMADO</x:v>
      </x:c>
      <x:c r="V531" s="24"/>
      <x:c r="W531" s="24" t="n">
        <x:v>15</x:v>
      </x:c>
      <x:c r="X531" s="24" t="str">
        <x:v>tabela_rodenstock.pdf</x:v>
      </x:c>
      <x:c r="Y531" s="24" t="str">
        <x:v>alta</x:v>
      </x:c>
      <x:c r="Z531" s="24"/>
      <x:c r="AA531" s="24" t="str">
        <x:v>Rodenstock|Mono Plus B.I.G. NORM|Surfaçada|Impression Mono Plus B.I.G. NORM||1.6|1.60|Solitaire Protect|-10 a +10|até -6||75|||15</x:v>
      </x:c>
    </x:row>
    <x:row r="532">
      <x:c r="A532" s="24" t="str">
        <x:v>RD-201A923F9891</x:v>
      </x:c>
      <x:c r="B532" s="24" t="str">
        <x:v>SIM</x:v>
      </x:c>
      <x:c r="C532" s="24" t="str">
        <x:v>DISPONÍVEL</x:v>
      </x:c>
      <x:c r="D532" s="24" t="str">
        <x:v>Rodenstock</x:v>
      </x:c>
      <x:c r="E532" s="24" t="str">
        <x:v>Mono Plus B.I.G. NORM</x:v>
      </x:c>
      <x:c r="F532" s="24" t="str">
        <x:v>Surfaçada</x:v>
      </x:c>
      <x:c r="G532" s="24" t="str">
        <x:v>Impression Mono Plus B.I.G. NORM</x:v>
      </x:c>
      <x:c r="H532" s="24" t="str">
        <x:v>PRO410</x:v>
      </x:c>
      <x:c r="I532" s="24" t="str">
        <x:v>1.6</x:v>
      </x:c>
      <x:c r="J532" s="24" t="str">
        <x:v>1.60</x:v>
      </x:c>
      <x:c r="K532" s="24" t="str">
        <x:v>LayR X-tra Clean</x:v>
      </x:c>
      <x:c r="L532" s="40" t="n">
        <x:v>3273</x:v>
      </x:c>
      <x:c r="M532" s="24" t="str">
        <x:v>-10 a +10</x:v>
      </x:c>
      <x:c r="N532" s="24" t="str">
        <x:v>até -6</x:v>
      </x:c>
      <x:c r="O532" s="24"/>
      <x:c r="P532" s="24" t="str">
        <x:v>75</x:v>
      </x:c>
      <x:c r="Q532" s="24"/>
      <x:c r="R532" s="24"/>
      <x:c r="S532" s="26" t="n">
        <x:v>46024</x:v>
      </x:c>
      <x:c r="T532" s="26"/>
      <x:c r="U532" s="24" t="str">
        <x:v>ATIVA/SEM FIM INFORMADO</x:v>
      </x:c>
      <x:c r="V532" s="24"/>
      <x:c r="W532" s="24" t="n">
        <x:v>15</x:v>
      </x:c>
      <x:c r="X532" s="24" t="str">
        <x:v>tabela_rodenstock.pdf</x:v>
      </x:c>
      <x:c r="Y532" s="24" t="str">
        <x:v>alta</x:v>
      </x:c>
      <x:c r="Z532" s="24"/>
      <x:c r="AA532" s="24" t="str">
        <x:v>Rodenstock|Mono Plus B.I.G. NORM|Surfaçada|Impression Mono Plus B.I.G. NORM|PRO410|1.6|1.60|LayR X-tra Clean|-10 a +10|até -6||75|||15</x:v>
      </x:c>
    </x:row>
    <x:row r="533">
      <x:c r="A533" s="24" t="str">
        <x:v>RD-3968877DCBAA</x:v>
      </x:c>
      <x:c r="B533" s="24" t="str">
        <x:v>SIM</x:v>
      </x:c>
      <x:c r="C533" s="24" t="str">
        <x:v>DISPONÍVEL</x:v>
      </x:c>
      <x:c r="D533" s="24" t="str">
        <x:v>Rodenstock</x:v>
      </x:c>
      <x:c r="E533" s="24" t="str">
        <x:v>Mono Plus B.I.G. NORM</x:v>
      </x:c>
      <x:c r="F533" s="24" t="str">
        <x:v>Surfaçada</x:v>
      </x:c>
      <x:c r="G533" s="24" t="str">
        <x:v>Impression Mono Plus B.I.G. NORM</x:v>
      </x:c>
      <x:c r="H533" s="24" t="str">
        <x:v>PRO410</x:v>
      </x:c>
      <x:c r="I533" s="24" t="str">
        <x:v>1.6</x:v>
      </x:c>
      <x:c r="J533" s="24" t="str">
        <x:v>1.60</x:v>
      </x:c>
      <x:c r="K533" s="24" t="str">
        <x:v>LayR Balance</x:v>
      </x:c>
      <x:c r="L533" s="40" t="n">
        <x:v>3273</x:v>
      </x:c>
      <x:c r="M533" s="24" t="str">
        <x:v>-10 a +10</x:v>
      </x:c>
      <x:c r="N533" s="24" t="str">
        <x:v>até -6</x:v>
      </x:c>
      <x:c r="O533" s="24"/>
      <x:c r="P533" s="24" t="str">
        <x:v>75</x:v>
      </x:c>
      <x:c r="Q533" s="24"/>
      <x:c r="R533" s="24"/>
      <x:c r="S533" s="26" t="n">
        <x:v>46024</x:v>
      </x:c>
      <x:c r="T533" s="26"/>
      <x:c r="U533" s="24" t="str">
        <x:v>ATIVA/SEM FIM INFORMADO</x:v>
      </x:c>
      <x:c r="V533" s="24"/>
      <x:c r="W533" s="24" t="n">
        <x:v>15</x:v>
      </x:c>
      <x:c r="X533" s="24" t="str">
        <x:v>tabela_rodenstock.pdf</x:v>
      </x:c>
      <x:c r="Y533" s="24" t="str">
        <x:v>alta</x:v>
      </x:c>
      <x:c r="Z533" s="24"/>
      <x:c r="AA533" s="24" t="str">
        <x:v>Rodenstock|Mono Plus B.I.G. NORM|Surfaçada|Impression Mono Plus B.I.G. NORM|PRO410|1.6|1.60|LayR Balance|-10 a +10|até -6||75|||15</x:v>
      </x:c>
    </x:row>
    <x:row r="534">
      <x:c r="A534" s="24" t="str">
        <x:v>RD-B56E6DEAF17F</x:v>
      </x:c>
      <x:c r="B534" s="24" t="str">
        <x:v>SIM</x:v>
      </x:c>
      <x:c r="C534" s="24" t="str">
        <x:v>DISPONÍVEL</x:v>
      </x:c>
      <x:c r="D534" s="24" t="str">
        <x:v>Rodenstock</x:v>
      </x:c>
      <x:c r="E534" s="24" t="str">
        <x:v>Mono Plus B.I.G. NORM</x:v>
      </x:c>
      <x:c r="F534" s="24" t="str">
        <x:v>Surfaçada</x:v>
      </x:c>
      <x:c r="G534" s="24" t="str">
        <x:v>Impression Mono Plus B.I.G. NORM</x:v>
      </x:c>
      <x:c r="H534" s="24" t="str">
        <x:v>PRO410</x:v>
      </x:c>
      <x:c r="I534" s="24" t="str">
        <x:v>1.6</x:v>
      </x:c>
      <x:c r="J534" s="24" t="str">
        <x:v>1.60</x:v>
      </x:c>
      <x:c r="K534" s="24" t="str">
        <x:v>Solitaire X-tra Clean</x:v>
      </x:c>
      <x:c r="L534" s="40" t="n">
        <x:v>3203</x:v>
      </x:c>
      <x:c r="M534" s="24" t="str">
        <x:v>-10 a +10</x:v>
      </x:c>
      <x:c r="N534" s="24" t="str">
        <x:v>até -6</x:v>
      </x:c>
      <x:c r="O534" s="24"/>
      <x:c r="P534" s="24" t="str">
        <x:v>75</x:v>
      </x:c>
      <x:c r="Q534" s="24"/>
      <x:c r="R534" s="24"/>
      <x:c r="S534" s="26" t="n">
        <x:v>46024</x:v>
      </x:c>
      <x:c r="T534" s="26"/>
      <x:c r="U534" s="24" t="str">
        <x:v>ATIVA/SEM FIM INFORMADO</x:v>
      </x:c>
      <x:c r="V534" s="24"/>
      <x:c r="W534" s="24" t="n">
        <x:v>15</x:v>
      </x:c>
      <x:c r="X534" s="24" t="str">
        <x:v>tabela_rodenstock.pdf</x:v>
      </x:c>
      <x:c r="Y534" s="24" t="str">
        <x:v>alta</x:v>
      </x:c>
      <x:c r="Z534" s="24"/>
      <x:c r="AA534" s="24" t="str">
        <x:v>Rodenstock|Mono Plus B.I.G. NORM|Surfaçada|Impression Mono Plus B.I.G. NORM|PRO410|1.6|1.60|Solitaire X-tra Clean|-10 a +10|até -6||75|||15</x:v>
      </x:c>
    </x:row>
    <x:row r="535">
      <x:c r="A535" s="24" t="str">
        <x:v>RD-41BD556A5D14</x:v>
      </x:c>
      <x:c r="B535" s="24" t="str">
        <x:v>SIM</x:v>
      </x:c>
      <x:c r="C535" s="24" t="str">
        <x:v>DISPONÍVEL</x:v>
      </x:c>
      <x:c r="D535" s="24" t="str">
        <x:v>Rodenstock</x:v>
      </x:c>
      <x:c r="E535" s="24" t="str">
        <x:v>Mono Plus B.I.G. NORM</x:v>
      </x:c>
      <x:c r="F535" s="24" t="str">
        <x:v>Surfaçada</x:v>
      </x:c>
      <x:c r="G535" s="24" t="str">
        <x:v>Impression Mono Plus B.I.G. NORM</x:v>
      </x:c>
      <x:c r="H535" s="24" t="str">
        <x:v>PRO410</x:v>
      </x:c>
      <x:c r="I535" s="24" t="str">
        <x:v>1.6</x:v>
      </x:c>
      <x:c r="J535" s="24" t="str">
        <x:v>1.60</x:v>
      </x:c>
      <x:c r="K535" s="24" t="str">
        <x:v>Solitaire Protect Plus</x:v>
      </x:c>
      <x:c r="L535" s="40" t="n">
        <x:v>3153</x:v>
      </x:c>
      <x:c r="M535" s="24" t="str">
        <x:v>-10 a +10</x:v>
      </x:c>
      <x:c r="N535" s="24" t="str">
        <x:v>até -6</x:v>
      </x:c>
      <x:c r="O535" s="24"/>
      <x:c r="P535" s="24" t="str">
        <x:v>75</x:v>
      </x:c>
      <x:c r="Q535" s="24"/>
      <x:c r="R535" s="24"/>
      <x:c r="S535" s="26" t="n">
        <x:v>46024</x:v>
      </x:c>
      <x:c r="T535" s="26"/>
      <x:c r="U535" s="24" t="str">
        <x:v>ATIVA/SEM FIM INFORMADO</x:v>
      </x:c>
      <x:c r="V535" s="24"/>
      <x:c r="W535" s="24" t="n">
        <x:v>15</x:v>
      </x:c>
      <x:c r="X535" s="24" t="str">
        <x:v>tabela_rodenstock.pdf</x:v>
      </x:c>
      <x:c r="Y535" s="24" t="str">
        <x:v>alta</x:v>
      </x:c>
      <x:c r="Z535" s="24"/>
      <x:c r="AA535" s="24" t="str">
        <x:v>Rodenstock|Mono Plus B.I.G. NORM|Surfaçada|Impression Mono Plus B.I.G. NORM|PRO410|1.6|1.60|Solitaire Protect Plus|-10 a +10|até -6||75|||15</x:v>
      </x:c>
    </x:row>
    <x:row r="536">
      <x:c r="A536" s="24" t="str">
        <x:v>RD-4D60C8AD40B8</x:v>
      </x:c>
      <x:c r="B536" s="24" t="str">
        <x:v>SIM</x:v>
      </x:c>
      <x:c r="C536" s="24" t="str">
        <x:v>DISPONÍVEL</x:v>
      </x:c>
      <x:c r="D536" s="24" t="str">
        <x:v>Rodenstock</x:v>
      </x:c>
      <x:c r="E536" s="24" t="str">
        <x:v>Mono Plus B.I.G. NORM</x:v>
      </x:c>
      <x:c r="F536" s="24" t="str">
        <x:v>Surfaçada</x:v>
      </x:c>
      <x:c r="G536" s="24" t="str">
        <x:v>Impression Mono Plus B.I.G. NORM</x:v>
      </x:c>
      <x:c r="H536" s="24" t="str">
        <x:v>PRO410</x:v>
      </x:c>
      <x:c r="I536" s="24" t="str">
        <x:v>1.6</x:v>
      </x:c>
      <x:c r="J536" s="24" t="str">
        <x:v>1.60</x:v>
      </x:c>
      <x:c r="K536" s="24" t="str">
        <x:v>ROAD</x:v>
      </x:c>
      <x:c r="L536" s="40" t="n">
        <x:v>3153</x:v>
      </x:c>
      <x:c r="M536" s="24" t="str">
        <x:v>-10 a +10</x:v>
      </x:c>
      <x:c r="N536" s="24" t="str">
        <x:v>até -6</x:v>
      </x:c>
      <x:c r="O536" s="24"/>
      <x:c r="P536" s="24" t="str">
        <x:v>75</x:v>
      </x:c>
      <x:c r="Q536" s="24"/>
      <x:c r="R536" s="24"/>
      <x:c r="S536" s="26" t="n">
        <x:v>46024</x:v>
      </x:c>
      <x:c r="T536" s="26"/>
      <x:c r="U536" s="24" t="str">
        <x:v>ATIVA/SEM FIM INFORMADO</x:v>
      </x:c>
      <x:c r="V536" s="24"/>
      <x:c r="W536" s="24" t="n">
        <x:v>15</x:v>
      </x:c>
      <x:c r="X536" s="24" t="str">
        <x:v>tabela_rodenstock.pdf</x:v>
      </x:c>
      <x:c r="Y536" s="24" t="str">
        <x:v>alta</x:v>
      </x:c>
      <x:c r="Z536" s="24"/>
      <x:c r="AA536" s="24" t="str">
        <x:v>Rodenstock|Mono Plus B.I.G. NORM|Surfaçada|Impression Mono Plus B.I.G. NORM|PRO410|1.6|1.60|ROAD|-10 a +10|até -6||75|||15</x:v>
      </x:c>
    </x:row>
    <x:row r="537">
      <x:c r="A537" s="24" t="str">
        <x:v>RD-C3F311E93447</x:v>
      </x:c>
      <x:c r="B537" s="24" t="str">
        <x:v>SIM</x:v>
      </x:c>
      <x:c r="C537" s="24" t="str">
        <x:v>DISPONÍVEL</x:v>
      </x:c>
      <x:c r="D537" s="24" t="str">
        <x:v>Rodenstock</x:v>
      </x:c>
      <x:c r="E537" s="24" t="str">
        <x:v>Mono Plus B.I.G. NORM</x:v>
      </x:c>
      <x:c r="F537" s="24" t="str">
        <x:v>Surfaçada</x:v>
      </x:c>
      <x:c r="G537" s="24" t="str">
        <x:v>Impression Mono Plus B.I.G. NORM</x:v>
      </x:c>
      <x:c r="H537" s="24" t="str">
        <x:v>PRO410</x:v>
      </x:c>
      <x:c r="I537" s="24" t="str">
        <x:v>1.6</x:v>
      </x:c>
      <x:c r="J537" s="24" t="str">
        <x:v>1.60</x:v>
      </x:c>
      <x:c r="K537" s="24" t="str">
        <x:v>Solitaire Protect</x:v>
      </x:c>
      <x:c r="L537" s="40" t="n">
        <x:v>2893</x:v>
      </x:c>
      <x:c r="M537" s="24" t="str">
        <x:v>-10 a +10</x:v>
      </x:c>
      <x:c r="N537" s="24" t="str">
        <x:v>até -6</x:v>
      </x:c>
      <x:c r="O537" s="24"/>
      <x:c r="P537" s="24" t="str">
        <x:v>75</x:v>
      </x:c>
      <x:c r="Q537" s="24"/>
      <x:c r="R537" s="24"/>
      <x:c r="S537" s="26" t="n">
        <x:v>46024</x:v>
      </x:c>
      <x:c r="T537" s="26"/>
      <x:c r="U537" s="24" t="str">
        <x:v>ATIVA/SEM FIM INFORMADO</x:v>
      </x:c>
      <x:c r="V537" s="24"/>
      <x:c r="W537" s="24" t="n">
        <x:v>15</x:v>
      </x:c>
      <x:c r="X537" s="24" t="str">
        <x:v>tabela_rodenstock.pdf</x:v>
      </x:c>
      <x:c r="Y537" s="24" t="str">
        <x:v>alta</x:v>
      </x:c>
      <x:c r="Z537" s="24"/>
      <x:c r="AA537" s="24" t="str">
        <x:v>Rodenstock|Mono Plus B.I.G. NORM|Surfaçada|Impression Mono Plus B.I.G. NORM|PRO410|1.6|1.60|Solitaire Protect|-10 a +10|até -6||75|||15</x:v>
      </x:c>
    </x:row>
    <x:row r="538">
      <x:c r="A538" s="24" t="str">
        <x:v>RD-FA46814F2D01</x:v>
      </x:c>
      <x:c r="B538" s="24" t="str">
        <x:v>SIM</x:v>
      </x:c>
      <x:c r="C538" s="24" t="str">
        <x:v>DISPONÍVEL</x:v>
      </x:c>
      <x:c r="D538" s="24" t="str">
        <x:v>Rodenstock</x:v>
      </x:c>
      <x:c r="E538" s="24" t="str">
        <x:v>Mono Plus B.I.G. NORM</x:v>
      </x:c>
      <x:c r="F538" s="24" t="str">
        <x:v>Surfaçada</x:v>
      </x:c>
      <x:c r="G538" s="24" t="str">
        <x:v>Impression Mono Plus B.I.G. NORM</x:v>
      </x:c>
      <x:c r="H538" s="24" t="str">
        <x:v>ColorMatic® 3 | X</x:v>
      </x:c>
      <x:c r="I538" s="24" t="str">
        <x:v>1.6</x:v>
      </x:c>
      <x:c r="J538" s="24" t="str">
        <x:v>1.60</x:v>
      </x:c>
      <x:c r="K538" s="24" t="str">
        <x:v>LayR X-tra Clean</x:v>
      </x:c>
      <x:c r="L538" s="40" t="n">
        <x:v>4410</x:v>
      </x:c>
      <x:c r="M538" s="24" t="str">
        <x:v>-10 a +10</x:v>
      </x:c>
      <x:c r="N538" s="24" t="str">
        <x:v>até -6</x:v>
      </x:c>
      <x:c r="O538" s="24"/>
      <x:c r="P538" s="24" t="str">
        <x:v>75</x:v>
      </x:c>
      <x:c r="Q538" s="24"/>
      <x:c r="R538" s="24"/>
      <x:c r="S538" s="26" t="n">
        <x:v>46024</x:v>
      </x:c>
      <x:c r="T538" s="26"/>
      <x:c r="U538" s="24" t="str">
        <x:v>ATIVA/SEM FIM INFORMADO</x:v>
      </x:c>
      <x:c r="V538" s="24"/>
      <x:c r="W538" s="24" t="n">
        <x:v>15</x:v>
      </x:c>
      <x:c r="X538" s="24" t="str">
        <x:v>tabela_rodenstock.pdf</x:v>
      </x:c>
      <x:c r="Y538" s="24" t="str">
        <x:v>alta</x:v>
      </x:c>
      <x:c r="Z538" s="24"/>
      <x:c r="AA538" s="24" t="str">
        <x:v>Rodenstock|Mono Plus B.I.G. NORM|Surfaçada|Impression Mono Plus B.I.G. NORM|ColorMatic® 3 | X|1.6|1.60|LayR X-tra Clean|-10 a +10|até -6||75|||15</x:v>
      </x:c>
    </x:row>
    <x:row r="539">
      <x:c r="A539" s="24" t="str">
        <x:v>RD-07FECBCCD262</x:v>
      </x:c>
      <x:c r="B539" s="24" t="str">
        <x:v>SIM</x:v>
      </x:c>
      <x:c r="C539" s="24" t="str">
        <x:v>DISPONÍVEL</x:v>
      </x:c>
      <x:c r="D539" s="24" t="str">
        <x:v>Rodenstock</x:v>
      </x:c>
      <x:c r="E539" s="24" t="str">
        <x:v>Mono Plus B.I.G. NORM</x:v>
      </x:c>
      <x:c r="F539" s="24" t="str">
        <x:v>Surfaçada</x:v>
      </x:c>
      <x:c r="G539" s="24" t="str">
        <x:v>Impression Mono Plus B.I.G. NORM</x:v>
      </x:c>
      <x:c r="H539" s="24" t="str">
        <x:v>ColorMatic® 3 | X</x:v>
      </x:c>
      <x:c r="I539" s="24" t="str">
        <x:v>1.6</x:v>
      </x:c>
      <x:c r="J539" s="24" t="str">
        <x:v>1.60</x:v>
      </x:c>
      <x:c r="K539" s="24" t="str">
        <x:v>LayR Balance</x:v>
      </x:c>
      <x:c r="L539" s="40" t="n">
        <x:v>4410</x:v>
      </x:c>
      <x:c r="M539" s="24" t="str">
        <x:v>-10 a +10</x:v>
      </x:c>
      <x:c r="N539" s="24" t="str">
        <x:v>até -6</x:v>
      </x:c>
      <x:c r="O539" s="24"/>
      <x:c r="P539" s="24" t="str">
        <x:v>75</x:v>
      </x:c>
      <x:c r="Q539" s="24"/>
      <x:c r="R539" s="24"/>
      <x:c r="S539" s="26" t="n">
        <x:v>46024</x:v>
      </x:c>
      <x:c r="T539" s="26"/>
      <x:c r="U539" s="24" t="str">
        <x:v>ATIVA/SEM FIM INFORMADO</x:v>
      </x:c>
      <x:c r="V539" s="24"/>
      <x:c r="W539" s="24" t="n">
        <x:v>15</x:v>
      </x:c>
      <x:c r="X539" s="24" t="str">
        <x:v>tabela_rodenstock.pdf</x:v>
      </x:c>
      <x:c r="Y539" s="24" t="str">
        <x:v>alta</x:v>
      </x:c>
      <x:c r="Z539" s="24"/>
      <x:c r="AA539" s="24" t="str">
        <x:v>Rodenstock|Mono Plus B.I.G. NORM|Surfaçada|Impression Mono Plus B.I.G. NORM|ColorMatic® 3 | X|1.6|1.60|LayR Balance|-10 a +10|até -6||75|||15</x:v>
      </x:c>
    </x:row>
    <x:row r="540">
      <x:c r="A540" s="24" t="str">
        <x:v>RD-6BD394411155</x:v>
      </x:c>
      <x:c r="B540" s="24" t="str">
        <x:v>SIM</x:v>
      </x:c>
      <x:c r="C540" s="24" t="str">
        <x:v>DISPONÍVEL</x:v>
      </x:c>
      <x:c r="D540" s="24" t="str">
        <x:v>Rodenstock</x:v>
      </x:c>
      <x:c r="E540" s="24" t="str">
        <x:v>Mono Plus B.I.G. NORM</x:v>
      </x:c>
      <x:c r="F540" s="24" t="str">
        <x:v>Surfaçada</x:v>
      </x:c>
      <x:c r="G540" s="24" t="str">
        <x:v>Impression Mono Plus B.I.G. NORM</x:v>
      </x:c>
      <x:c r="H540" s="24" t="str">
        <x:v>ColorMatic® 3 | X</x:v>
      </x:c>
      <x:c r="I540" s="24" t="str">
        <x:v>1.6</x:v>
      </x:c>
      <x:c r="J540" s="24" t="str">
        <x:v>1.60</x:v>
      </x:c>
      <x:c r="K540" s="24" t="str">
        <x:v>Solitaire X-tra Clean</x:v>
      </x:c>
      <x:c r="L540" s="40" t="n">
        <x:v>4340</x:v>
      </x:c>
      <x:c r="M540" s="24" t="str">
        <x:v>-10 a +10</x:v>
      </x:c>
      <x:c r="N540" s="24" t="str">
        <x:v>até -6</x:v>
      </x:c>
      <x:c r="O540" s="24"/>
      <x:c r="P540" s="24" t="str">
        <x:v>75</x:v>
      </x:c>
      <x:c r="Q540" s="24"/>
      <x:c r="R540" s="24"/>
      <x:c r="S540" s="26" t="n">
        <x:v>46024</x:v>
      </x:c>
      <x:c r="T540" s="26"/>
      <x:c r="U540" s="24" t="str">
        <x:v>ATIVA/SEM FIM INFORMADO</x:v>
      </x:c>
      <x:c r="V540" s="24"/>
      <x:c r="W540" s="24" t="n">
        <x:v>15</x:v>
      </x:c>
      <x:c r="X540" s="24" t="str">
        <x:v>tabela_rodenstock.pdf</x:v>
      </x:c>
      <x:c r="Y540" s="24" t="str">
        <x:v>alta</x:v>
      </x:c>
      <x:c r="Z540" s="24"/>
      <x:c r="AA540" s="24" t="str">
        <x:v>Rodenstock|Mono Plus B.I.G. NORM|Surfaçada|Impression Mono Plus B.I.G. NORM|ColorMatic® 3 | X|1.6|1.60|Solitaire X-tra Clean|-10 a +10|até -6||75|||15</x:v>
      </x:c>
    </x:row>
    <x:row r="541">
      <x:c r="A541" s="24" t="str">
        <x:v>RD-E22A09631867</x:v>
      </x:c>
      <x:c r="B541" s="24" t="str">
        <x:v>SIM</x:v>
      </x:c>
      <x:c r="C541" s="24" t="str">
        <x:v>DISPONÍVEL</x:v>
      </x:c>
      <x:c r="D541" s="24" t="str">
        <x:v>Rodenstock</x:v>
      </x:c>
      <x:c r="E541" s="24" t="str">
        <x:v>Mono Plus B.I.G. NORM</x:v>
      </x:c>
      <x:c r="F541" s="24" t="str">
        <x:v>Surfaçada</x:v>
      </x:c>
      <x:c r="G541" s="24" t="str">
        <x:v>Impression Mono Plus B.I.G. NORM</x:v>
      </x:c>
      <x:c r="H541" s="24" t="str">
        <x:v>ColorMatic® 3 | X</x:v>
      </x:c>
      <x:c r="I541" s="24" t="str">
        <x:v>1.6</x:v>
      </x:c>
      <x:c r="J541" s="24" t="str">
        <x:v>1.60</x:v>
      </x:c>
      <x:c r="K541" s="24" t="str">
        <x:v>Solitaire Protect Plus</x:v>
      </x:c>
      <x:c r="L541" s="40" t="n">
        <x:v>4290</x:v>
      </x:c>
      <x:c r="M541" s="24" t="str">
        <x:v>-10 a +10</x:v>
      </x:c>
      <x:c r="N541" s="24" t="str">
        <x:v>até -6</x:v>
      </x:c>
      <x:c r="O541" s="24"/>
      <x:c r="P541" s="24" t="str">
        <x:v>75</x:v>
      </x:c>
      <x:c r="Q541" s="24"/>
      <x:c r="R541" s="24"/>
      <x:c r="S541" s="26" t="n">
        <x:v>46024</x:v>
      </x:c>
      <x:c r="T541" s="26"/>
      <x:c r="U541" s="24" t="str">
        <x:v>ATIVA/SEM FIM INFORMADO</x:v>
      </x:c>
      <x:c r="V541" s="24"/>
      <x:c r="W541" s="24" t="n">
        <x:v>15</x:v>
      </x:c>
      <x:c r="X541" s="24" t="str">
        <x:v>tabela_rodenstock.pdf</x:v>
      </x:c>
      <x:c r="Y541" s="24" t="str">
        <x:v>alta</x:v>
      </x:c>
      <x:c r="Z541" s="24"/>
      <x:c r="AA541" s="24" t="str">
        <x:v>Rodenstock|Mono Plus B.I.G. NORM|Surfaçada|Impression Mono Plus B.I.G. NORM|ColorMatic® 3 | X|1.6|1.60|Solitaire Protect Plus|-10 a +10|até -6||75|||15</x:v>
      </x:c>
    </x:row>
    <x:row r="542">
      <x:c r="A542" s="24" t="str">
        <x:v>RD-B60BCCBF4C3A</x:v>
      </x:c>
      <x:c r="B542" s="24" t="str">
        <x:v>SIM</x:v>
      </x:c>
      <x:c r="C542" s="24" t="str">
        <x:v>DISPONÍVEL</x:v>
      </x:c>
      <x:c r="D542" s="24" t="str">
        <x:v>Rodenstock</x:v>
      </x:c>
      <x:c r="E542" s="24" t="str">
        <x:v>Mono Plus B.I.G. NORM</x:v>
      </x:c>
      <x:c r="F542" s="24" t="str">
        <x:v>Surfaçada</x:v>
      </x:c>
      <x:c r="G542" s="24" t="str">
        <x:v>Impression Mono Plus B.I.G. NORM</x:v>
      </x:c>
      <x:c r="H542" s="24" t="str">
        <x:v>ColorMatic® 3 | X</x:v>
      </x:c>
      <x:c r="I542" s="24" t="str">
        <x:v>1.6</x:v>
      </x:c>
      <x:c r="J542" s="24" t="str">
        <x:v>1.60</x:v>
      </x:c>
      <x:c r="K542" s="24" t="str">
        <x:v>ROAD</x:v>
      </x:c>
      <x:c r="L542" s="40" t="n">
        <x:v>4290</x:v>
      </x:c>
      <x:c r="M542" s="24" t="str">
        <x:v>-10 a +10</x:v>
      </x:c>
      <x:c r="N542" s="24" t="str">
        <x:v>até -6</x:v>
      </x:c>
      <x:c r="O542" s="24"/>
      <x:c r="P542" s="24" t="str">
        <x:v>75</x:v>
      </x:c>
      <x:c r="Q542" s="24"/>
      <x:c r="R542" s="24"/>
      <x:c r="S542" s="26" t="n">
        <x:v>46024</x:v>
      </x:c>
      <x:c r="T542" s="26"/>
      <x:c r="U542" s="24" t="str">
        <x:v>ATIVA/SEM FIM INFORMADO</x:v>
      </x:c>
      <x:c r="V542" s="24"/>
      <x:c r="W542" s="24" t="n">
        <x:v>15</x:v>
      </x:c>
      <x:c r="X542" s="24" t="str">
        <x:v>tabela_rodenstock.pdf</x:v>
      </x:c>
      <x:c r="Y542" s="24" t="str">
        <x:v>alta</x:v>
      </x:c>
      <x:c r="Z542" s="24"/>
      <x:c r="AA542" s="24" t="str">
        <x:v>Rodenstock|Mono Plus B.I.G. NORM|Surfaçada|Impression Mono Plus B.I.G. NORM|ColorMatic® 3 | X|1.6|1.60|ROAD|-10 a +10|até -6||75|||15</x:v>
      </x:c>
    </x:row>
    <x:row r="543">
      <x:c r="A543" s="24" t="str">
        <x:v>RD-D54F81C1840A</x:v>
      </x:c>
      <x:c r="B543" s="24" t="str">
        <x:v>SIM</x:v>
      </x:c>
      <x:c r="C543" s="24" t="str">
        <x:v>DISPONÍVEL</x:v>
      </x:c>
      <x:c r="D543" s="24" t="str">
        <x:v>Rodenstock</x:v>
      </x:c>
      <x:c r="E543" s="24" t="str">
        <x:v>Mono Plus B.I.G. NORM</x:v>
      </x:c>
      <x:c r="F543" s="24" t="str">
        <x:v>Surfaçada</x:v>
      </x:c>
      <x:c r="G543" s="24" t="str">
        <x:v>Impression Mono Plus B.I.G. NORM</x:v>
      </x:c>
      <x:c r="H543" s="24" t="str">
        <x:v>ColorMatic® 3 | X</x:v>
      </x:c>
      <x:c r="I543" s="24" t="str">
        <x:v>1.6</x:v>
      </x:c>
      <x:c r="J543" s="24" t="str">
        <x:v>1.60</x:v>
      </x:c>
      <x:c r="K543" s="24" t="str">
        <x:v>Solitaire Protect</x:v>
      </x:c>
      <x:c r="L543" s="40" t="n">
        <x:v>4030</x:v>
      </x:c>
      <x:c r="M543" s="24" t="str">
        <x:v>-10 a +10</x:v>
      </x:c>
      <x:c r="N543" s="24" t="str">
        <x:v>até -6</x:v>
      </x:c>
      <x:c r="O543" s="24"/>
      <x:c r="P543" s="24" t="str">
        <x:v>75</x:v>
      </x:c>
      <x:c r="Q543" s="24"/>
      <x:c r="R543" s="24"/>
      <x:c r="S543" s="26" t="n">
        <x:v>46024</x:v>
      </x:c>
      <x:c r="T543" s="26"/>
      <x:c r="U543" s="24" t="str">
        <x:v>ATIVA/SEM FIM INFORMADO</x:v>
      </x:c>
      <x:c r="V543" s="24"/>
      <x:c r="W543" s="24" t="n">
        <x:v>15</x:v>
      </x:c>
      <x:c r="X543" s="24" t="str">
        <x:v>tabela_rodenstock.pdf</x:v>
      </x:c>
      <x:c r="Y543" s="24" t="str">
        <x:v>alta</x:v>
      </x:c>
      <x:c r="Z543" s="24"/>
      <x:c r="AA543" s="24" t="str">
        <x:v>Rodenstock|Mono Plus B.I.G. NORM|Surfaçada|Impression Mono Plus B.I.G. NORM|ColorMatic® 3 | X|1.6|1.60|Solitaire Protect|-10 a +10|até -6||75|||15</x:v>
      </x:c>
    </x:row>
    <x:row r="544">
      <x:c r="A544" s="24" t="str">
        <x:v>RD-373E0B5BBAF5</x:v>
      </x:c>
      <x:c r="B544" s="24" t="str">
        <x:v>SIM</x:v>
      </x:c>
      <x:c r="C544" s="24" t="str">
        <x:v>DISPONÍVEL</x:v>
      </x:c>
      <x:c r="D544" s="24" t="str">
        <x:v>Rodenstock</x:v>
      </x:c>
      <x:c r="E544" s="24" t="str">
        <x:v>Mono Plus B.I.G. NORM</x:v>
      </x:c>
      <x:c r="F544" s="24" t="str">
        <x:v>Surfaçada</x:v>
      </x:c>
      <x:c r="G544" s="24" t="str">
        <x:v>Impression Mono Plus B.I.G. NORM</x:v>
      </x:c>
      <x:c r="H544" s="24"/>
      <x:c r="I544" s="24" t="str">
        <x:v>1.67</x:v>
      </x:c>
      <x:c r="J544" s="24" t="str">
        <x:v>1.67</x:v>
      </x:c>
      <x:c r="K544" s="24" t="str">
        <x:v>LayR X-tra Clean</x:v>
      </x:c>
      <x:c r="L544" s="40" t="n">
        <x:v>4662</x:v>
      </x:c>
      <x:c r="M544" s="24" t="str">
        <x:v>-12 a +10</x:v>
      </x:c>
      <x:c r="N544" s="24" t="str">
        <x:v>até -6</x:v>
      </x:c>
      <x:c r="O544" s="24"/>
      <x:c r="P544" s="24" t="str">
        <x:v>75</x:v>
      </x:c>
      <x:c r="Q544" s="24"/>
      <x:c r="R544" s="24"/>
      <x:c r="S544" s="26" t="n">
        <x:v>46024</x:v>
      </x:c>
      <x:c r="T544" s="26"/>
      <x:c r="U544" s="24" t="str">
        <x:v>ATIVA/SEM FIM INFORMADO</x:v>
      </x:c>
      <x:c r="V544" s="24"/>
      <x:c r="W544" s="24" t="n">
        <x:v>15</x:v>
      </x:c>
      <x:c r="X544" s="24" t="str">
        <x:v>tabela_rodenstock.pdf</x:v>
      </x:c>
      <x:c r="Y544" s="24" t="str">
        <x:v>alta</x:v>
      </x:c>
      <x:c r="Z544" s="24"/>
      <x:c r="AA544" s="24" t="str">
        <x:v>Rodenstock|Mono Plus B.I.G. NORM|Surfaçada|Impression Mono Plus B.I.G. NORM||1.67|1.67|LayR X-tra Clean|-12 a +10|até -6||75|||15</x:v>
      </x:c>
    </x:row>
    <x:row r="545">
      <x:c r="A545" s="24" t="str">
        <x:v>RD-1E53C370D7CE</x:v>
      </x:c>
      <x:c r="B545" s="24" t="str">
        <x:v>SIM</x:v>
      </x:c>
      <x:c r="C545" s="24" t="str">
        <x:v>DISPONÍVEL</x:v>
      </x:c>
      <x:c r="D545" s="24" t="str">
        <x:v>Rodenstock</x:v>
      </x:c>
      <x:c r="E545" s="24" t="str">
        <x:v>Mono Plus B.I.G. NORM</x:v>
      </x:c>
      <x:c r="F545" s="24" t="str">
        <x:v>Surfaçada</x:v>
      </x:c>
      <x:c r="G545" s="24" t="str">
        <x:v>Impression Mono Plus B.I.G. NORM</x:v>
      </x:c>
      <x:c r="H545" s="24"/>
      <x:c r="I545" s="24" t="str">
        <x:v>1.67</x:v>
      </x:c>
      <x:c r="J545" s="24" t="str">
        <x:v>1.67</x:v>
      </x:c>
      <x:c r="K545" s="24" t="str">
        <x:v>LayR Balance</x:v>
      </x:c>
      <x:c r="L545" s="40" t="n">
        <x:v>4662</x:v>
      </x:c>
      <x:c r="M545" s="24" t="str">
        <x:v>-12 a +10</x:v>
      </x:c>
      <x:c r="N545" s="24" t="str">
        <x:v>até -6</x:v>
      </x:c>
      <x:c r="O545" s="24"/>
      <x:c r="P545" s="24" t="str">
        <x:v>75</x:v>
      </x:c>
      <x:c r="Q545" s="24"/>
      <x:c r="R545" s="24"/>
      <x:c r="S545" s="26" t="n">
        <x:v>46024</x:v>
      </x:c>
      <x:c r="T545" s="26"/>
      <x:c r="U545" s="24" t="str">
        <x:v>ATIVA/SEM FIM INFORMADO</x:v>
      </x:c>
      <x:c r="V545" s="24"/>
      <x:c r="W545" s="24" t="n">
        <x:v>15</x:v>
      </x:c>
      <x:c r="X545" s="24" t="str">
        <x:v>tabela_rodenstock.pdf</x:v>
      </x:c>
      <x:c r="Y545" s="24" t="str">
        <x:v>alta</x:v>
      </x:c>
      <x:c r="Z545" s="24"/>
      <x:c r="AA545" s="24" t="str">
        <x:v>Rodenstock|Mono Plus B.I.G. NORM|Surfaçada|Impression Mono Plus B.I.G. NORM||1.67|1.67|LayR Balance|-12 a +10|até -6||75|||15</x:v>
      </x:c>
    </x:row>
    <x:row r="546">
      <x:c r="A546" s="24" t="str">
        <x:v>RD-E9184EBE423B</x:v>
      </x:c>
      <x:c r="B546" s="24" t="str">
        <x:v>SIM</x:v>
      </x:c>
      <x:c r="C546" s="24" t="str">
        <x:v>DISPONÍVEL</x:v>
      </x:c>
      <x:c r="D546" s="24" t="str">
        <x:v>Rodenstock</x:v>
      </x:c>
      <x:c r="E546" s="24" t="str">
        <x:v>Mono Plus B.I.G. NORM</x:v>
      </x:c>
      <x:c r="F546" s="24" t="str">
        <x:v>Surfaçada</x:v>
      </x:c>
      <x:c r="G546" s="24" t="str">
        <x:v>Impression Mono Plus B.I.G. NORM</x:v>
      </x:c>
      <x:c r="H546" s="24"/>
      <x:c r="I546" s="24" t="str">
        <x:v>1.67</x:v>
      </x:c>
      <x:c r="J546" s="24" t="str">
        <x:v>1.67</x:v>
      </x:c>
      <x:c r="K546" s="24" t="str">
        <x:v>Solitaire X-tra Clean</x:v>
      </x:c>
      <x:c r="L546" s="40" t="n">
        <x:v>4592</x:v>
      </x:c>
      <x:c r="M546" s="24" t="str">
        <x:v>-12 a +10</x:v>
      </x:c>
      <x:c r="N546" s="24" t="str">
        <x:v>até -6</x:v>
      </x:c>
      <x:c r="O546" s="24"/>
      <x:c r="P546" s="24" t="str">
        <x:v>75</x:v>
      </x:c>
      <x:c r="Q546" s="24"/>
      <x:c r="R546" s="24"/>
      <x:c r="S546" s="26" t="n">
        <x:v>46024</x:v>
      </x:c>
      <x:c r="T546" s="26"/>
      <x:c r="U546" s="24" t="str">
        <x:v>ATIVA/SEM FIM INFORMADO</x:v>
      </x:c>
      <x:c r="V546" s="24"/>
      <x:c r="W546" s="24" t="n">
        <x:v>15</x:v>
      </x:c>
      <x:c r="X546" s="24" t="str">
        <x:v>tabela_rodenstock.pdf</x:v>
      </x:c>
      <x:c r="Y546" s="24" t="str">
        <x:v>alta</x:v>
      </x:c>
      <x:c r="Z546" s="24"/>
      <x:c r="AA546" s="24" t="str">
        <x:v>Rodenstock|Mono Plus B.I.G. NORM|Surfaçada|Impression Mono Plus B.I.G. NORM||1.67|1.67|Solitaire X-tra Clean|-12 a +10|até -6||75|||15</x:v>
      </x:c>
    </x:row>
    <x:row r="547">
      <x:c r="A547" s="24" t="str">
        <x:v>RD-CEF2CDC63A3A</x:v>
      </x:c>
      <x:c r="B547" s="24" t="str">
        <x:v>SIM</x:v>
      </x:c>
      <x:c r="C547" s="24" t="str">
        <x:v>DISPONÍVEL</x:v>
      </x:c>
      <x:c r="D547" s="24" t="str">
        <x:v>Rodenstock</x:v>
      </x:c>
      <x:c r="E547" s="24" t="str">
        <x:v>Mono Plus B.I.G. NORM</x:v>
      </x:c>
      <x:c r="F547" s="24" t="str">
        <x:v>Surfaçada</x:v>
      </x:c>
      <x:c r="G547" s="24" t="str">
        <x:v>Impression Mono Plus B.I.G. NORM</x:v>
      </x:c>
      <x:c r="H547" s="24"/>
      <x:c r="I547" s="24" t="str">
        <x:v>1.67</x:v>
      </x:c>
      <x:c r="J547" s="24" t="str">
        <x:v>1.67</x:v>
      </x:c>
      <x:c r="K547" s="24" t="str">
        <x:v>Solitaire Protect Plus</x:v>
      </x:c>
      <x:c r="L547" s="40" t="n">
        <x:v>4542</x:v>
      </x:c>
      <x:c r="M547" s="24" t="str">
        <x:v>-12 a +10</x:v>
      </x:c>
      <x:c r="N547" s="24" t="str">
        <x:v>até -6</x:v>
      </x:c>
      <x:c r="O547" s="24"/>
      <x:c r="P547" s="24" t="str">
        <x:v>75</x:v>
      </x:c>
      <x:c r="Q547" s="24"/>
      <x:c r="R547" s="24"/>
      <x:c r="S547" s="26" t="n">
        <x:v>46024</x:v>
      </x:c>
      <x:c r="T547" s="26"/>
      <x:c r="U547" s="24" t="str">
        <x:v>ATIVA/SEM FIM INFORMADO</x:v>
      </x:c>
      <x:c r="V547" s="24"/>
      <x:c r="W547" s="24" t="n">
        <x:v>15</x:v>
      </x:c>
      <x:c r="X547" s="24" t="str">
        <x:v>tabela_rodenstock.pdf</x:v>
      </x:c>
      <x:c r="Y547" s="24" t="str">
        <x:v>alta</x:v>
      </x:c>
      <x:c r="Z547" s="24"/>
      <x:c r="AA547" s="24" t="str">
        <x:v>Rodenstock|Mono Plus B.I.G. NORM|Surfaçada|Impression Mono Plus B.I.G. NORM||1.67|1.67|Solitaire Protect Plus|-12 a +10|até -6||75|||15</x:v>
      </x:c>
    </x:row>
    <x:row r="548">
      <x:c r="A548" s="24" t="str">
        <x:v>RD-8B36D3F13695</x:v>
      </x:c>
      <x:c r="B548" s="24" t="str">
        <x:v>SIM</x:v>
      </x:c>
      <x:c r="C548" s="24" t="str">
        <x:v>DISPONÍVEL</x:v>
      </x:c>
      <x:c r="D548" s="24" t="str">
        <x:v>Rodenstock</x:v>
      </x:c>
      <x:c r="E548" s="24" t="str">
        <x:v>Mono Plus B.I.G. NORM</x:v>
      </x:c>
      <x:c r="F548" s="24" t="str">
        <x:v>Surfaçada</x:v>
      </x:c>
      <x:c r="G548" s="24" t="str">
        <x:v>Impression Mono Plus B.I.G. NORM</x:v>
      </x:c>
      <x:c r="H548" s="24"/>
      <x:c r="I548" s="24" t="str">
        <x:v>1.67</x:v>
      </x:c>
      <x:c r="J548" s="24" t="str">
        <x:v>1.67</x:v>
      </x:c>
      <x:c r="K548" s="24" t="str">
        <x:v>ROAD</x:v>
      </x:c>
      <x:c r="L548" s="40" t="n">
        <x:v>4542</x:v>
      </x:c>
      <x:c r="M548" s="24" t="str">
        <x:v>-12 a +10</x:v>
      </x:c>
      <x:c r="N548" s="24" t="str">
        <x:v>até -6</x:v>
      </x:c>
      <x:c r="O548" s="24"/>
      <x:c r="P548" s="24" t="str">
        <x:v>75</x:v>
      </x:c>
      <x:c r="Q548" s="24"/>
      <x:c r="R548" s="24"/>
      <x:c r="S548" s="26" t="n">
        <x:v>46024</x:v>
      </x:c>
      <x:c r="T548" s="26"/>
      <x:c r="U548" s="24" t="str">
        <x:v>ATIVA/SEM FIM INFORMADO</x:v>
      </x:c>
      <x:c r="V548" s="24"/>
      <x:c r="W548" s="24" t="n">
        <x:v>15</x:v>
      </x:c>
      <x:c r="X548" s="24" t="str">
        <x:v>tabela_rodenstock.pdf</x:v>
      </x:c>
      <x:c r="Y548" s="24" t="str">
        <x:v>alta</x:v>
      </x:c>
      <x:c r="Z548" s="24"/>
      <x:c r="AA548" s="24" t="str">
        <x:v>Rodenstock|Mono Plus B.I.G. NORM|Surfaçada|Impression Mono Plus B.I.G. NORM||1.67|1.67|ROAD|-12 a +10|até -6||75|||15</x:v>
      </x:c>
    </x:row>
    <x:row r="549">
      <x:c r="A549" s="24" t="str">
        <x:v>RD-5E74571799DA</x:v>
      </x:c>
      <x:c r="B549" s="24" t="str">
        <x:v>SIM</x:v>
      </x:c>
      <x:c r="C549" s="24" t="str">
        <x:v>DISPONÍVEL</x:v>
      </x:c>
      <x:c r="D549" s="24" t="str">
        <x:v>Rodenstock</x:v>
      </x:c>
      <x:c r="E549" s="24" t="str">
        <x:v>Mono Plus B.I.G. NORM</x:v>
      </x:c>
      <x:c r="F549" s="24" t="str">
        <x:v>Surfaçada</x:v>
      </x:c>
      <x:c r="G549" s="24" t="str">
        <x:v>Impression Mono Plus B.I.G. NORM</x:v>
      </x:c>
      <x:c r="H549" s="24"/>
      <x:c r="I549" s="24" t="str">
        <x:v>1.67</x:v>
      </x:c>
      <x:c r="J549" s="24" t="str">
        <x:v>1.67</x:v>
      </x:c>
      <x:c r="K549" s="24" t="str">
        <x:v>Solitaire Protect</x:v>
      </x:c>
      <x:c r="L549" s="40" t="n">
        <x:v>4282</x:v>
      </x:c>
      <x:c r="M549" s="24" t="str">
        <x:v>-12 a +10</x:v>
      </x:c>
      <x:c r="N549" s="24" t="str">
        <x:v>até -6</x:v>
      </x:c>
      <x:c r="O549" s="24"/>
      <x:c r="P549" s="24" t="str">
        <x:v>75</x:v>
      </x:c>
      <x:c r="Q549" s="24"/>
      <x:c r="R549" s="24"/>
      <x:c r="S549" s="26" t="n">
        <x:v>46024</x:v>
      </x:c>
      <x:c r="T549" s="26"/>
      <x:c r="U549" s="24" t="str">
        <x:v>ATIVA/SEM FIM INFORMADO</x:v>
      </x:c>
      <x:c r="V549" s="24"/>
      <x:c r="W549" s="24" t="n">
        <x:v>15</x:v>
      </x:c>
      <x:c r="X549" s="24" t="str">
        <x:v>tabela_rodenstock.pdf</x:v>
      </x:c>
      <x:c r="Y549" s="24" t="str">
        <x:v>alta</x:v>
      </x:c>
      <x:c r="Z549" s="24"/>
      <x:c r="AA549" s="24" t="str">
        <x:v>Rodenstock|Mono Plus B.I.G. NORM|Surfaçada|Impression Mono Plus B.I.G. NORM||1.67|1.67|Solitaire Protect|-12 a +10|até -6||75|||15</x:v>
      </x:c>
    </x:row>
    <x:row r="550">
      <x:c r="A550" s="24" t="str">
        <x:v>RD-B541936F71E6</x:v>
      </x:c>
      <x:c r="B550" s="24" t="str">
        <x:v>SIM</x:v>
      </x:c>
      <x:c r="C550" s="24" t="str">
        <x:v>DISPONÍVEL</x:v>
      </x:c>
      <x:c r="D550" s="24" t="str">
        <x:v>Rodenstock</x:v>
      </x:c>
      <x:c r="E550" s="24" t="str">
        <x:v>Mono Plus B.I.G. NORM</x:v>
      </x:c>
      <x:c r="F550" s="24" t="str">
        <x:v>Surfaçada</x:v>
      </x:c>
      <x:c r="G550" s="24" t="str">
        <x:v>Impression Mono Plus B.I.G. NORM</x:v>
      </x:c>
      <x:c r="H550" s="24" t="str">
        <x:v>ColorMatic® 3</x:v>
      </x:c>
      <x:c r="I550" s="24" t="str">
        <x:v>1.67</x:v>
      </x:c>
      <x:c r="J550" s="24" t="str">
        <x:v>1.67</x:v>
      </x:c>
      <x:c r="K550" s="24" t="str">
        <x:v>LayR X-tra Clean</x:v>
      </x:c>
      <x:c r="L550" s="40" t="n">
        <x:v>5700</x:v>
      </x:c>
      <x:c r="M550" s="24" t="str">
        <x:v>-12 a +10</x:v>
      </x:c>
      <x:c r="N550" s="24" t="str">
        <x:v>até -6</x:v>
      </x:c>
      <x:c r="O550" s="24"/>
      <x:c r="P550" s="24" t="str">
        <x:v>75</x:v>
      </x:c>
      <x:c r="Q550" s="24"/>
      <x:c r="R550" s="24"/>
      <x:c r="S550" s="26" t="n">
        <x:v>46024</x:v>
      </x:c>
      <x:c r="T550" s="26"/>
      <x:c r="U550" s="24" t="str">
        <x:v>ATIVA/SEM FIM INFORMADO</x:v>
      </x:c>
      <x:c r="V550" s="24"/>
      <x:c r="W550" s="24" t="n">
        <x:v>15</x:v>
      </x:c>
      <x:c r="X550" s="24" t="str">
        <x:v>tabela_rodenstock.pdf</x:v>
      </x:c>
      <x:c r="Y550" s="24" t="str">
        <x:v>alta</x:v>
      </x:c>
      <x:c r="Z550" s="24"/>
      <x:c r="AA550" s="24" t="str">
        <x:v>Rodenstock|Mono Plus B.I.G. NORM|Surfaçada|Impression Mono Plus B.I.G. NORM|ColorMatic® 3|1.67|1.67|LayR X-tra Clean|-12 a +10|até -6||75|||15</x:v>
      </x:c>
    </x:row>
    <x:row r="551">
      <x:c r="A551" s="24" t="str">
        <x:v>RD-1FF5DDB1D301</x:v>
      </x:c>
      <x:c r="B551" s="24" t="str">
        <x:v>SIM</x:v>
      </x:c>
      <x:c r="C551" s="24" t="str">
        <x:v>DISPONÍVEL</x:v>
      </x:c>
      <x:c r="D551" s="24" t="str">
        <x:v>Rodenstock</x:v>
      </x:c>
      <x:c r="E551" s="24" t="str">
        <x:v>Mono Plus B.I.G. NORM</x:v>
      </x:c>
      <x:c r="F551" s="24" t="str">
        <x:v>Surfaçada</x:v>
      </x:c>
      <x:c r="G551" s="24" t="str">
        <x:v>Impression Mono Plus B.I.G. NORM</x:v>
      </x:c>
      <x:c r="H551" s="24" t="str">
        <x:v>ColorMatic® 3</x:v>
      </x:c>
      <x:c r="I551" s="24" t="str">
        <x:v>1.67</x:v>
      </x:c>
      <x:c r="J551" s="24" t="str">
        <x:v>1.67</x:v>
      </x:c>
      <x:c r="K551" s="24" t="str">
        <x:v>LayR Balance</x:v>
      </x:c>
      <x:c r="L551" s="40" t="n">
        <x:v>5700</x:v>
      </x:c>
      <x:c r="M551" s="24" t="str">
        <x:v>-12 a +10</x:v>
      </x:c>
      <x:c r="N551" s="24" t="str">
        <x:v>até -6</x:v>
      </x:c>
      <x:c r="O551" s="24"/>
      <x:c r="P551" s="24" t="str">
        <x:v>75</x:v>
      </x:c>
      <x:c r="Q551" s="24"/>
      <x:c r="R551" s="24"/>
      <x:c r="S551" s="26" t="n">
        <x:v>46024</x:v>
      </x:c>
      <x:c r="T551" s="26"/>
      <x:c r="U551" s="24" t="str">
        <x:v>ATIVA/SEM FIM INFORMADO</x:v>
      </x:c>
      <x:c r="V551" s="24"/>
      <x:c r="W551" s="24" t="n">
        <x:v>15</x:v>
      </x:c>
      <x:c r="X551" s="24" t="str">
        <x:v>tabela_rodenstock.pdf</x:v>
      </x:c>
      <x:c r="Y551" s="24" t="str">
        <x:v>alta</x:v>
      </x:c>
      <x:c r="Z551" s="24"/>
      <x:c r="AA551" s="24" t="str">
        <x:v>Rodenstock|Mono Plus B.I.G. NORM|Surfaçada|Impression Mono Plus B.I.G. NORM|ColorMatic® 3|1.67|1.67|LayR Balance|-12 a +10|até -6||75|||15</x:v>
      </x:c>
    </x:row>
    <x:row r="552">
      <x:c r="A552" s="24" t="str">
        <x:v>RD-355E76037F51</x:v>
      </x:c>
      <x:c r="B552" s="24" t="str">
        <x:v>SIM</x:v>
      </x:c>
      <x:c r="C552" s="24" t="str">
        <x:v>DISPONÍVEL</x:v>
      </x:c>
      <x:c r="D552" s="24" t="str">
        <x:v>Rodenstock</x:v>
      </x:c>
      <x:c r="E552" s="24" t="str">
        <x:v>Mono Plus B.I.G. NORM</x:v>
      </x:c>
      <x:c r="F552" s="24" t="str">
        <x:v>Surfaçada</x:v>
      </x:c>
      <x:c r="G552" s="24" t="str">
        <x:v>Impression Mono Plus B.I.G. NORM</x:v>
      </x:c>
      <x:c r="H552" s="24" t="str">
        <x:v>ColorMatic® 3</x:v>
      </x:c>
      <x:c r="I552" s="24" t="str">
        <x:v>1.67</x:v>
      </x:c>
      <x:c r="J552" s="24" t="str">
        <x:v>1.67</x:v>
      </x:c>
      <x:c r="K552" s="24" t="str">
        <x:v>Solitaire X-tra Clean</x:v>
      </x:c>
      <x:c r="L552" s="40" t="n">
        <x:v>5630</x:v>
      </x:c>
      <x:c r="M552" s="24" t="str">
        <x:v>-12 a +10</x:v>
      </x:c>
      <x:c r="N552" s="24" t="str">
        <x:v>até -6</x:v>
      </x:c>
      <x:c r="O552" s="24"/>
      <x:c r="P552" s="24" t="str">
        <x:v>75</x:v>
      </x:c>
      <x:c r="Q552" s="24"/>
      <x:c r="R552" s="24"/>
      <x:c r="S552" s="26" t="n">
        <x:v>46024</x:v>
      </x:c>
      <x:c r="T552" s="26"/>
      <x:c r="U552" s="24" t="str">
        <x:v>ATIVA/SEM FIM INFORMADO</x:v>
      </x:c>
      <x:c r="V552" s="24"/>
      <x:c r="W552" s="24" t="n">
        <x:v>15</x:v>
      </x:c>
      <x:c r="X552" s="24" t="str">
        <x:v>tabela_rodenstock.pdf</x:v>
      </x:c>
      <x:c r="Y552" s="24" t="str">
        <x:v>alta</x:v>
      </x:c>
      <x:c r="Z552" s="24"/>
      <x:c r="AA552" s="24" t="str">
        <x:v>Rodenstock|Mono Plus B.I.G. NORM|Surfaçada|Impression Mono Plus B.I.G. NORM|ColorMatic® 3|1.67|1.67|Solitaire X-tra Clean|-12 a +10|até -6||75|||15</x:v>
      </x:c>
    </x:row>
    <x:row r="553">
      <x:c r="A553" s="24" t="str">
        <x:v>RD-E33DEC8E3360</x:v>
      </x:c>
      <x:c r="B553" s="24" t="str">
        <x:v>SIM</x:v>
      </x:c>
      <x:c r="C553" s="24" t="str">
        <x:v>DISPONÍVEL</x:v>
      </x:c>
      <x:c r="D553" s="24" t="str">
        <x:v>Rodenstock</x:v>
      </x:c>
      <x:c r="E553" s="24" t="str">
        <x:v>Mono Plus B.I.G. NORM</x:v>
      </x:c>
      <x:c r="F553" s="24" t="str">
        <x:v>Surfaçada</x:v>
      </x:c>
      <x:c r="G553" s="24" t="str">
        <x:v>Impression Mono Plus B.I.G. NORM</x:v>
      </x:c>
      <x:c r="H553" s="24" t="str">
        <x:v>ColorMatic® 3</x:v>
      </x:c>
      <x:c r="I553" s="24" t="str">
        <x:v>1.67</x:v>
      </x:c>
      <x:c r="J553" s="24" t="str">
        <x:v>1.67</x:v>
      </x:c>
      <x:c r="K553" s="24" t="str">
        <x:v>Solitaire Protect Plus</x:v>
      </x:c>
      <x:c r="L553" s="40" t="n">
        <x:v>5580</x:v>
      </x:c>
      <x:c r="M553" s="24" t="str">
        <x:v>-12 a +10</x:v>
      </x:c>
      <x:c r="N553" s="24" t="str">
        <x:v>até -6</x:v>
      </x:c>
      <x:c r="O553" s="24"/>
      <x:c r="P553" s="24" t="str">
        <x:v>75</x:v>
      </x:c>
      <x:c r="Q553" s="24"/>
      <x:c r="R553" s="24"/>
      <x:c r="S553" s="26" t="n">
        <x:v>46024</x:v>
      </x:c>
      <x:c r="T553" s="26"/>
      <x:c r="U553" s="24" t="str">
        <x:v>ATIVA/SEM FIM INFORMADO</x:v>
      </x:c>
      <x:c r="V553" s="24"/>
      <x:c r="W553" s="24" t="n">
        <x:v>15</x:v>
      </x:c>
      <x:c r="X553" s="24" t="str">
        <x:v>tabela_rodenstock.pdf</x:v>
      </x:c>
      <x:c r="Y553" s="24" t="str">
        <x:v>alta</x:v>
      </x:c>
      <x:c r="Z553" s="24"/>
      <x:c r="AA553" s="24" t="str">
        <x:v>Rodenstock|Mono Plus B.I.G. NORM|Surfaçada|Impression Mono Plus B.I.G. NORM|ColorMatic® 3|1.67|1.67|Solitaire Protect Plus|-12 a +10|até -6||75|||15</x:v>
      </x:c>
    </x:row>
    <x:row r="554">
      <x:c r="A554" s="24" t="str">
        <x:v>RD-B5F24ADC278C</x:v>
      </x:c>
      <x:c r="B554" s="24" t="str">
        <x:v>SIM</x:v>
      </x:c>
      <x:c r="C554" s="24" t="str">
        <x:v>DISPONÍVEL</x:v>
      </x:c>
      <x:c r="D554" s="24" t="str">
        <x:v>Rodenstock</x:v>
      </x:c>
      <x:c r="E554" s="24" t="str">
        <x:v>Mono Plus B.I.G. NORM</x:v>
      </x:c>
      <x:c r="F554" s="24" t="str">
        <x:v>Surfaçada</x:v>
      </x:c>
      <x:c r="G554" s="24" t="str">
        <x:v>Impression Mono Plus B.I.G. NORM</x:v>
      </x:c>
      <x:c r="H554" s="24" t="str">
        <x:v>ColorMatic® 3</x:v>
      </x:c>
      <x:c r="I554" s="24" t="str">
        <x:v>1.67</x:v>
      </x:c>
      <x:c r="J554" s="24" t="str">
        <x:v>1.67</x:v>
      </x:c>
      <x:c r="K554" s="24" t="str">
        <x:v>ROAD</x:v>
      </x:c>
      <x:c r="L554" s="40" t="n">
        <x:v>5580</x:v>
      </x:c>
      <x:c r="M554" s="24" t="str">
        <x:v>-12 a +10</x:v>
      </x:c>
      <x:c r="N554" s="24" t="str">
        <x:v>até -6</x:v>
      </x:c>
      <x:c r="O554" s="24"/>
      <x:c r="P554" s="24" t="str">
        <x:v>75</x:v>
      </x:c>
      <x:c r="Q554" s="24"/>
      <x:c r="R554" s="24"/>
      <x:c r="S554" s="26" t="n">
        <x:v>46024</x:v>
      </x:c>
      <x:c r="T554" s="26"/>
      <x:c r="U554" s="24" t="str">
        <x:v>ATIVA/SEM FIM INFORMADO</x:v>
      </x:c>
      <x:c r="V554" s="24"/>
      <x:c r="W554" s="24" t="n">
        <x:v>15</x:v>
      </x:c>
      <x:c r="X554" s="24" t="str">
        <x:v>tabela_rodenstock.pdf</x:v>
      </x:c>
      <x:c r="Y554" s="24" t="str">
        <x:v>alta</x:v>
      </x:c>
      <x:c r="Z554" s="24"/>
      <x:c r="AA554" s="24" t="str">
        <x:v>Rodenstock|Mono Plus B.I.G. NORM|Surfaçada|Impression Mono Plus B.I.G. NORM|ColorMatic® 3|1.67|1.67|ROAD|-12 a +10|até -6||75|||15</x:v>
      </x:c>
    </x:row>
    <x:row r="555">
      <x:c r="A555" s="24" t="str">
        <x:v>RD-14B01CBF9289</x:v>
      </x:c>
      <x:c r="B555" s="24" t="str">
        <x:v>SIM</x:v>
      </x:c>
      <x:c r="C555" s="24" t="str">
        <x:v>DISPONÍVEL</x:v>
      </x:c>
      <x:c r="D555" s="24" t="str">
        <x:v>Rodenstock</x:v>
      </x:c>
      <x:c r="E555" s="24" t="str">
        <x:v>Mono Plus B.I.G. NORM</x:v>
      </x:c>
      <x:c r="F555" s="24" t="str">
        <x:v>Surfaçada</x:v>
      </x:c>
      <x:c r="G555" s="24" t="str">
        <x:v>Impression Mono Plus B.I.G. NORM</x:v>
      </x:c>
      <x:c r="H555" s="24" t="str">
        <x:v>ColorMatic® 3</x:v>
      </x:c>
      <x:c r="I555" s="24" t="str">
        <x:v>1.67</x:v>
      </x:c>
      <x:c r="J555" s="24" t="str">
        <x:v>1.67</x:v>
      </x:c>
      <x:c r="K555" s="24" t="str">
        <x:v>Solitaire Protect</x:v>
      </x:c>
      <x:c r="L555" s="40" t="n">
        <x:v>5320</x:v>
      </x:c>
      <x:c r="M555" s="24" t="str">
        <x:v>-12 a +10</x:v>
      </x:c>
      <x:c r="N555" s="24" t="str">
        <x:v>até -6</x:v>
      </x:c>
      <x:c r="O555" s="24"/>
      <x:c r="P555" s="24" t="str">
        <x:v>75</x:v>
      </x:c>
      <x:c r="Q555" s="24"/>
      <x:c r="R555" s="24"/>
      <x:c r="S555" s="26" t="n">
        <x:v>46024</x:v>
      </x:c>
      <x:c r="T555" s="26"/>
      <x:c r="U555" s="24" t="str">
        <x:v>ATIVA/SEM FIM INFORMADO</x:v>
      </x:c>
      <x:c r="V555" s="24"/>
      <x:c r="W555" s="24" t="n">
        <x:v>15</x:v>
      </x:c>
      <x:c r="X555" s="24" t="str">
        <x:v>tabela_rodenstock.pdf</x:v>
      </x:c>
      <x:c r="Y555" s="24" t="str">
        <x:v>alta</x:v>
      </x:c>
      <x:c r="Z555" s="24"/>
      <x:c r="AA555" s="24" t="str">
        <x:v>Rodenstock|Mono Plus B.I.G. NORM|Surfaçada|Impression Mono Plus B.I.G. NORM|ColorMatic® 3|1.67|1.67|Solitaire Protect|-12 a +10|até -6||75|||15</x:v>
      </x:c>
    </x:row>
    <x:row r="556">
      <x:c r="A556" s="24" t="str">
        <x:v>RD-787BEA0387C9</x:v>
      </x:c>
      <x:c r="B556" s="24" t="str">
        <x:v>SIM</x:v>
      </x:c>
      <x:c r="C556" s="24" t="str">
        <x:v>DISPONÍVEL</x:v>
      </x:c>
      <x:c r="D556" s="24" t="str">
        <x:v>Rodenstock</x:v>
      </x:c>
      <x:c r="E556" s="24" t="str">
        <x:v>Mono Plus B.I.G. NORM</x:v>
      </x:c>
      <x:c r="F556" s="24" t="str">
        <x:v>Surfaçada</x:v>
      </x:c>
      <x:c r="G556" s="24" t="str">
        <x:v>Impression Mono Plus B.I.G. NORM</x:v>
      </x:c>
      <x:c r="H556" s="24"/>
      <x:c r="I556" s="24" t="str">
        <x:v>1.74</x:v>
      </x:c>
      <x:c r="J556" s="24" t="str">
        <x:v>1.74</x:v>
      </x:c>
      <x:c r="K556" s="24" t="str">
        <x:v>LayR X-tra Clean</x:v>
      </x:c>
      <x:c r="L556" s="40" t="n">
        <x:v>6858</x:v>
      </x:c>
      <x:c r="M556" s="24" t="str">
        <x:v>-18 a +13</x:v>
      </x:c>
      <x:c r="N556" s="24" t="str">
        <x:v>até -6</x:v>
      </x:c>
      <x:c r="O556" s="24"/>
      <x:c r="P556" s="24" t="str">
        <x:v>75</x:v>
      </x:c>
      <x:c r="Q556" s="24"/>
      <x:c r="R556" s="24"/>
      <x:c r="S556" s="26" t="n">
        <x:v>46024</x:v>
      </x:c>
      <x:c r="T556" s="26"/>
      <x:c r="U556" s="24" t="str">
        <x:v>ATIVA/SEM FIM INFORMADO</x:v>
      </x:c>
      <x:c r="V556" s="24"/>
      <x:c r="W556" s="24" t="n">
        <x:v>15</x:v>
      </x:c>
      <x:c r="X556" s="24" t="str">
        <x:v>tabela_rodenstock.pdf</x:v>
      </x:c>
      <x:c r="Y556" s="24" t="str">
        <x:v>alta</x:v>
      </x:c>
      <x:c r="Z556" s="24"/>
      <x:c r="AA556" s="24" t="str">
        <x:v>Rodenstock|Mono Plus B.I.G. NORM|Surfaçada|Impression Mono Plus B.I.G. NORM||1.74|1.74|LayR X-tra Clean|-18 a +13|até -6||75|||15</x:v>
      </x:c>
    </x:row>
    <x:row r="557">
      <x:c r="A557" s="24" t="str">
        <x:v>RD-C7EE29344843</x:v>
      </x:c>
      <x:c r="B557" s="24" t="str">
        <x:v>SIM</x:v>
      </x:c>
      <x:c r="C557" s="24" t="str">
        <x:v>DISPONÍVEL</x:v>
      </x:c>
      <x:c r="D557" s="24" t="str">
        <x:v>Rodenstock</x:v>
      </x:c>
      <x:c r="E557" s="24" t="str">
        <x:v>Mono Plus B.I.G. NORM</x:v>
      </x:c>
      <x:c r="F557" s="24" t="str">
        <x:v>Surfaçada</x:v>
      </x:c>
      <x:c r="G557" s="24" t="str">
        <x:v>Impression Mono Plus B.I.G. NORM</x:v>
      </x:c>
      <x:c r="H557" s="24"/>
      <x:c r="I557" s="24" t="str">
        <x:v>1.74</x:v>
      </x:c>
      <x:c r="J557" s="24" t="str">
        <x:v>1.74</x:v>
      </x:c>
      <x:c r="K557" s="24" t="str">
        <x:v>LayR Balance</x:v>
      </x:c>
      <x:c r="L557" s="40" t="n">
        <x:v>6858</x:v>
      </x:c>
      <x:c r="M557" s="24" t="str">
        <x:v>-18 a +13</x:v>
      </x:c>
      <x:c r="N557" s="24" t="str">
        <x:v>até -6</x:v>
      </x:c>
      <x:c r="O557" s="24"/>
      <x:c r="P557" s="24" t="str">
        <x:v>75</x:v>
      </x:c>
      <x:c r="Q557" s="24"/>
      <x:c r="R557" s="24"/>
      <x:c r="S557" s="26" t="n">
        <x:v>46024</x:v>
      </x:c>
      <x:c r="T557" s="26"/>
      <x:c r="U557" s="24" t="str">
        <x:v>ATIVA/SEM FIM INFORMADO</x:v>
      </x:c>
      <x:c r="V557" s="24"/>
      <x:c r="W557" s="24" t="n">
        <x:v>15</x:v>
      </x:c>
      <x:c r="X557" s="24" t="str">
        <x:v>tabela_rodenstock.pdf</x:v>
      </x:c>
      <x:c r="Y557" s="24" t="str">
        <x:v>alta</x:v>
      </x:c>
      <x:c r="Z557" s="24"/>
      <x:c r="AA557" s="24" t="str">
        <x:v>Rodenstock|Mono Plus B.I.G. NORM|Surfaçada|Impression Mono Plus B.I.G. NORM||1.74|1.74|LayR Balance|-18 a +13|até -6||75|||15</x:v>
      </x:c>
    </x:row>
    <x:row r="558">
      <x:c r="A558" s="24" t="str">
        <x:v>RD-067B21CF6673</x:v>
      </x:c>
      <x:c r="B558" s="24" t="str">
        <x:v>SIM</x:v>
      </x:c>
      <x:c r="C558" s="24" t="str">
        <x:v>DISPONÍVEL</x:v>
      </x:c>
      <x:c r="D558" s="24" t="str">
        <x:v>Rodenstock</x:v>
      </x:c>
      <x:c r="E558" s="24" t="str">
        <x:v>Mono Plus B.I.G. NORM</x:v>
      </x:c>
      <x:c r="F558" s="24" t="str">
        <x:v>Surfaçada</x:v>
      </x:c>
      <x:c r="G558" s="24" t="str">
        <x:v>Impression Mono Plus B.I.G. NORM</x:v>
      </x:c>
      <x:c r="H558" s="24"/>
      <x:c r="I558" s="24" t="str">
        <x:v>1.74</x:v>
      </x:c>
      <x:c r="J558" s="24" t="str">
        <x:v>1.74</x:v>
      </x:c>
      <x:c r="K558" s="24" t="str">
        <x:v>Solitaire X-tra Clean</x:v>
      </x:c>
      <x:c r="L558" s="40" t="n">
        <x:v>6788</x:v>
      </x:c>
      <x:c r="M558" s="24" t="str">
        <x:v>-18 a +13</x:v>
      </x:c>
      <x:c r="N558" s="24" t="str">
        <x:v>até -6</x:v>
      </x:c>
      <x:c r="O558" s="24"/>
      <x:c r="P558" s="24" t="str">
        <x:v>75</x:v>
      </x:c>
      <x:c r="Q558" s="24"/>
      <x:c r="R558" s="24"/>
      <x:c r="S558" s="26" t="n">
        <x:v>46024</x:v>
      </x:c>
      <x:c r="T558" s="26"/>
      <x:c r="U558" s="24" t="str">
        <x:v>ATIVA/SEM FIM INFORMADO</x:v>
      </x:c>
      <x:c r="V558" s="24"/>
      <x:c r="W558" s="24" t="n">
        <x:v>15</x:v>
      </x:c>
      <x:c r="X558" s="24" t="str">
        <x:v>tabela_rodenstock.pdf</x:v>
      </x:c>
      <x:c r="Y558" s="24" t="str">
        <x:v>alta</x:v>
      </x:c>
      <x:c r="Z558" s="24"/>
      <x:c r="AA558" s="24" t="str">
        <x:v>Rodenstock|Mono Plus B.I.G. NORM|Surfaçada|Impression Mono Plus B.I.G. NORM||1.74|1.74|Solitaire X-tra Clean|-18 a +13|até -6||75|||15</x:v>
      </x:c>
    </x:row>
    <x:row r="559">
      <x:c r="A559" s="24" t="str">
        <x:v>RD-B8C4EE767A69</x:v>
      </x:c>
      <x:c r="B559" s="24" t="str">
        <x:v>SIM</x:v>
      </x:c>
      <x:c r="C559" s="24" t="str">
        <x:v>DISPONÍVEL</x:v>
      </x:c>
      <x:c r="D559" s="24" t="str">
        <x:v>Rodenstock</x:v>
      </x:c>
      <x:c r="E559" s="24" t="str">
        <x:v>Mono Plus B.I.G. NORM</x:v>
      </x:c>
      <x:c r="F559" s="24" t="str">
        <x:v>Surfaçada</x:v>
      </x:c>
      <x:c r="G559" s="24" t="str">
        <x:v>Impression Mono Plus B.I.G. NORM</x:v>
      </x:c>
      <x:c r="H559" s="24"/>
      <x:c r="I559" s="24" t="str">
        <x:v>1.74</x:v>
      </x:c>
      <x:c r="J559" s="24" t="str">
        <x:v>1.74</x:v>
      </x:c>
      <x:c r="K559" s="24" t="str">
        <x:v>Solitaire Protect Plus</x:v>
      </x:c>
      <x:c r="L559" s="40" t="n">
        <x:v>6738</x:v>
      </x:c>
      <x:c r="M559" s="24" t="str">
        <x:v>-18 a +13</x:v>
      </x:c>
      <x:c r="N559" s="24" t="str">
        <x:v>até -6</x:v>
      </x:c>
      <x:c r="O559" s="24"/>
      <x:c r="P559" s="24" t="str">
        <x:v>75</x:v>
      </x:c>
      <x:c r="Q559" s="24"/>
      <x:c r="R559" s="24"/>
      <x:c r="S559" s="26" t="n">
        <x:v>46024</x:v>
      </x:c>
      <x:c r="T559" s="26"/>
      <x:c r="U559" s="24" t="str">
        <x:v>ATIVA/SEM FIM INFORMADO</x:v>
      </x:c>
      <x:c r="V559" s="24"/>
      <x:c r="W559" s="24" t="n">
        <x:v>15</x:v>
      </x:c>
      <x:c r="X559" s="24" t="str">
        <x:v>tabela_rodenstock.pdf</x:v>
      </x:c>
      <x:c r="Y559" s="24" t="str">
        <x:v>alta</x:v>
      </x:c>
      <x:c r="Z559" s="24"/>
      <x:c r="AA559" s="24" t="str">
        <x:v>Rodenstock|Mono Plus B.I.G. NORM|Surfaçada|Impression Mono Plus B.I.G. NORM||1.74|1.74|Solitaire Protect Plus|-18 a +13|até -6||75|||15</x:v>
      </x:c>
    </x:row>
    <x:row r="560">
      <x:c r="A560" s="24" t="str">
        <x:v>RD-9DE28059200D</x:v>
      </x:c>
      <x:c r="B560" s="24" t="str">
        <x:v>SIM</x:v>
      </x:c>
      <x:c r="C560" s="24" t="str">
        <x:v>DISPONÍVEL</x:v>
      </x:c>
      <x:c r="D560" s="24" t="str">
        <x:v>Rodenstock</x:v>
      </x:c>
      <x:c r="E560" s="24" t="str">
        <x:v>Mono Plus B.I.G. NORM</x:v>
      </x:c>
      <x:c r="F560" s="24" t="str">
        <x:v>Surfaçada</x:v>
      </x:c>
      <x:c r="G560" s="24" t="str">
        <x:v>Impression Mono Plus B.I.G. NORM</x:v>
      </x:c>
      <x:c r="H560" s="24"/>
      <x:c r="I560" s="24" t="str">
        <x:v>1.74</x:v>
      </x:c>
      <x:c r="J560" s="24" t="str">
        <x:v>1.74</x:v>
      </x:c>
      <x:c r="K560" s="24" t="str">
        <x:v>Solitaire Protect</x:v>
      </x:c>
      <x:c r="L560" s="40" t="n">
        <x:v>6478</x:v>
      </x:c>
      <x:c r="M560" s="24" t="str">
        <x:v>-18 a +13</x:v>
      </x:c>
      <x:c r="N560" s="24" t="str">
        <x:v>até -6</x:v>
      </x:c>
      <x:c r="O560" s="24"/>
      <x:c r="P560" s="24" t="str">
        <x:v>75</x:v>
      </x:c>
      <x:c r="Q560" s="24"/>
      <x:c r="R560" s="24"/>
      <x:c r="S560" s="26" t="n">
        <x:v>46024</x:v>
      </x:c>
      <x:c r="T560" s="26"/>
      <x:c r="U560" s="24" t="str">
        <x:v>ATIVA/SEM FIM INFORMADO</x:v>
      </x:c>
      <x:c r="V560" s="24"/>
      <x:c r="W560" s="24" t="n">
        <x:v>15</x:v>
      </x:c>
      <x:c r="X560" s="24" t="str">
        <x:v>tabela_rodenstock.pdf</x:v>
      </x:c>
      <x:c r="Y560" s="24" t="str">
        <x:v>alta</x:v>
      </x:c>
      <x:c r="Z560" s="24"/>
      <x:c r="AA560" s="24" t="str">
        <x:v>Rodenstock|Mono Plus B.I.G. NORM|Surfaçada|Impression Mono Plus B.I.G. NORM||1.74|1.74|Solitaire Protect|-18 a +13|até -6||75|||15</x:v>
      </x:c>
    </x:row>
    <x:row r="561">
      <x:c r="A561" s="24" t="str">
        <x:v>RD-C77336B816F2</x:v>
      </x:c>
      <x:c r="B561" s="24" t="str">
        <x:v>SIM</x:v>
      </x:c>
      <x:c r="C561" s="24" t="str">
        <x:v>DISPONÍVEL</x:v>
      </x:c>
      <x:c r="D561" s="24" t="str">
        <x:v>Rodenstock</x:v>
      </x:c>
      <x:c r="E561" s="24" t="str">
        <x:v>Mono Plus B.I.G. NORM</x:v>
      </x:c>
      <x:c r="F561" s="24" t="str">
        <x:v>Surfaçada</x:v>
      </x:c>
      <x:c r="G561" s="24" t="str">
        <x:v>Multigressiv Mono Plus B.I.G. NORM</x:v>
      </x:c>
      <x:c r="H561" s="24"/>
      <x:c r="I561" s="24" t="str">
        <x:v>1.5</x:v>
      </x:c>
      <x:c r="J561" s="24" t="str">
        <x:v>1.50</x:v>
      </x:c>
      <x:c r="K561" s="24" t="str">
        <x:v>LayR X-tra Clean</x:v>
      </x:c>
      <x:c r="L561" s="40" t="n">
        <x:v>2291</x:v>
      </x:c>
      <x:c r="M561" s="24" t="str">
        <x:v>-8 a +8</x:v>
      </x:c>
      <x:c r="N561" s="24" t="str">
        <x:v>até -6</x:v>
      </x:c>
      <x:c r="O561" s="24"/>
      <x:c r="P561" s="24" t="str">
        <x:v>75</x:v>
      </x:c>
      <x:c r="Q561" s="24"/>
      <x:c r="R561" s="24"/>
      <x:c r="S561" s="26" t="n">
        <x:v>46024</x:v>
      </x:c>
      <x:c r="T561" s="26"/>
      <x:c r="U561" s="24" t="str">
        <x:v>ATIVA/SEM FIM INFORMADO</x:v>
      </x:c>
      <x:c r="V561" s="24"/>
      <x:c r="W561" s="24" t="n">
        <x:v>15</x:v>
      </x:c>
      <x:c r="X561" s="24" t="str">
        <x:v>tabela_rodenstock.pdf</x:v>
      </x:c>
      <x:c r="Y561" s="24" t="str">
        <x:v>alta</x:v>
      </x:c>
      <x:c r="Z561" s="24"/>
      <x:c r="AA561" s="24" t="str">
        <x:v>Rodenstock|Mono Plus B.I.G. NORM|Surfaçada|Multigressiv Mono Plus B.I.G. NORM||1.5|1.50|LayR X-tra Clean|-8 a +8|até -6||75|||15</x:v>
      </x:c>
    </x:row>
    <x:row r="562">
      <x:c r="A562" s="24" t="str">
        <x:v>RD-E1FB105AEDC5</x:v>
      </x:c>
      <x:c r="B562" s="24" t="str">
        <x:v>SIM</x:v>
      </x:c>
      <x:c r="C562" s="24" t="str">
        <x:v>DISPONÍVEL</x:v>
      </x:c>
      <x:c r="D562" s="24" t="str">
        <x:v>Rodenstock</x:v>
      </x:c>
      <x:c r="E562" s="24" t="str">
        <x:v>Mono Plus B.I.G. NORM</x:v>
      </x:c>
      <x:c r="F562" s="24" t="str">
        <x:v>Surfaçada</x:v>
      </x:c>
      <x:c r="G562" s="24" t="str">
        <x:v>Multigressiv Mono Plus B.I.G. NORM</x:v>
      </x:c>
      <x:c r="H562" s="24"/>
      <x:c r="I562" s="24" t="str">
        <x:v>1.5</x:v>
      </x:c>
      <x:c r="J562" s="24" t="str">
        <x:v>1.50</x:v>
      </x:c>
      <x:c r="K562" s="24" t="str">
        <x:v>LayR Balance</x:v>
      </x:c>
      <x:c r="L562" s="40" t="n">
        <x:v>2291</x:v>
      </x:c>
      <x:c r="M562" s="24" t="str">
        <x:v>-8 a +8</x:v>
      </x:c>
      <x:c r="N562" s="24" t="str">
        <x:v>até -6</x:v>
      </x:c>
      <x:c r="O562" s="24"/>
      <x:c r="P562" s="24" t="str">
        <x:v>75</x:v>
      </x:c>
      <x:c r="Q562" s="24"/>
      <x:c r="R562" s="24"/>
      <x:c r="S562" s="26" t="n">
        <x:v>46024</x:v>
      </x:c>
      <x:c r="T562" s="26"/>
      <x:c r="U562" s="24" t="str">
        <x:v>ATIVA/SEM FIM INFORMADO</x:v>
      </x:c>
      <x:c r="V562" s="24"/>
      <x:c r="W562" s="24" t="n">
        <x:v>15</x:v>
      </x:c>
      <x:c r="X562" s="24" t="str">
        <x:v>tabela_rodenstock.pdf</x:v>
      </x:c>
      <x:c r="Y562" s="24" t="str">
        <x:v>alta</x:v>
      </x:c>
      <x:c r="Z562" s="24"/>
      <x:c r="AA562" s="24" t="str">
        <x:v>Rodenstock|Mono Plus B.I.G. NORM|Surfaçada|Multigressiv Mono Plus B.I.G. NORM||1.5|1.50|LayR Balance|-8 a +8|até -6||75|||15</x:v>
      </x:c>
    </x:row>
    <x:row r="563">
      <x:c r="A563" s="24" t="str">
        <x:v>RD-7729E7620375</x:v>
      </x:c>
      <x:c r="B563" s="24" t="str">
        <x:v>SIM</x:v>
      </x:c>
      <x:c r="C563" s="24" t="str">
        <x:v>DISPONÍVEL</x:v>
      </x:c>
      <x:c r="D563" s="24" t="str">
        <x:v>Rodenstock</x:v>
      </x:c>
      <x:c r="E563" s="24" t="str">
        <x:v>Mono Plus B.I.G. NORM</x:v>
      </x:c>
      <x:c r="F563" s="24" t="str">
        <x:v>Surfaçada</x:v>
      </x:c>
      <x:c r="G563" s="24" t="str">
        <x:v>Multigressiv Mono Plus B.I.G. NORM</x:v>
      </x:c>
      <x:c r="H563" s="24"/>
      <x:c r="I563" s="24" t="str">
        <x:v>1.5</x:v>
      </x:c>
      <x:c r="J563" s="24" t="str">
        <x:v>1.50</x:v>
      </x:c>
      <x:c r="K563" s="24" t="str">
        <x:v>Solitaire X-tra Clean</x:v>
      </x:c>
      <x:c r="L563" s="40" t="n">
        <x:v>2221</x:v>
      </x:c>
      <x:c r="M563" s="24" t="str">
        <x:v>-8 a +8</x:v>
      </x:c>
      <x:c r="N563" s="24" t="str">
        <x:v>até -6</x:v>
      </x:c>
      <x:c r="O563" s="24"/>
      <x:c r="P563" s="24" t="str">
        <x:v>75</x:v>
      </x:c>
      <x:c r="Q563" s="24"/>
      <x:c r="R563" s="24"/>
      <x:c r="S563" s="26" t="n">
        <x:v>46024</x:v>
      </x:c>
      <x:c r="T563" s="26"/>
      <x:c r="U563" s="24" t="str">
        <x:v>ATIVA/SEM FIM INFORMADO</x:v>
      </x:c>
      <x:c r="V563" s="24"/>
      <x:c r="W563" s="24" t="n">
        <x:v>15</x:v>
      </x:c>
      <x:c r="X563" s="24" t="str">
        <x:v>tabela_rodenstock.pdf</x:v>
      </x:c>
      <x:c r="Y563" s="24" t="str">
        <x:v>alta</x:v>
      </x:c>
      <x:c r="Z563" s="24"/>
      <x:c r="AA563" s="24" t="str">
        <x:v>Rodenstock|Mono Plus B.I.G. NORM|Surfaçada|Multigressiv Mono Plus B.I.G. NORM||1.5|1.50|Solitaire X-tra Clean|-8 a +8|até -6||75|||15</x:v>
      </x:c>
    </x:row>
    <x:row r="564">
      <x:c r="A564" s="24" t="str">
        <x:v>RD-B64B8A901D8D</x:v>
      </x:c>
      <x:c r="B564" s="24" t="str">
        <x:v>SIM</x:v>
      </x:c>
      <x:c r="C564" s="24" t="str">
        <x:v>DISPONÍVEL</x:v>
      </x:c>
      <x:c r="D564" s="24" t="str">
        <x:v>Rodenstock</x:v>
      </x:c>
      <x:c r="E564" s="24" t="str">
        <x:v>Mono Plus B.I.G. NORM</x:v>
      </x:c>
      <x:c r="F564" s="24" t="str">
        <x:v>Surfaçada</x:v>
      </x:c>
      <x:c r="G564" s="24" t="str">
        <x:v>Multigressiv Mono Plus B.I.G. NORM</x:v>
      </x:c>
      <x:c r="H564" s="24"/>
      <x:c r="I564" s="24" t="str">
        <x:v>1.5</x:v>
      </x:c>
      <x:c r="J564" s="24" t="str">
        <x:v>1.50</x:v>
      </x:c>
      <x:c r="K564" s="24" t="str">
        <x:v>Solitaire Protect Plus</x:v>
      </x:c>
      <x:c r="L564" s="40" t="n">
        <x:v>2171</x:v>
      </x:c>
      <x:c r="M564" s="24" t="str">
        <x:v>-8 a +8</x:v>
      </x:c>
      <x:c r="N564" s="24" t="str">
        <x:v>até -6</x:v>
      </x:c>
      <x:c r="O564" s="24"/>
      <x:c r="P564" s="24" t="str">
        <x:v>75</x:v>
      </x:c>
      <x:c r="Q564" s="24"/>
      <x:c r="R564" s="24"/>
      <x:c r="S564" s="26" t="n">
        <x:v>46024</x:v>
      </x:c>
      <x:c r="T564" s="26"/>
      <x:c r="U564" s="24" t="str">
        <x:v>ATIVA/SEM FIM INFORMADO</x:v>
      </x:c>
      <x:c r="V564" s="24"/>
      <x:c r="W564" s="24" t="n">
        <x:v>15</x:v>
      </x:c>
      <x:c r="X564" s="24" t="str">
        <x:v>tabela_rodenstock.pdf</x:v>
      </x:c>
      <x:c r="Y564" s="24" t="str">
        <x:v>alta</x:v>
      </x:c>
      <x:c r="Z564" s="24"/>
      <x:c r="AA564" s="24" t="str">
        <x:v>Rodenstock|Mono Plus B.I.G. NORM|Surfaçada|Multigressiv Mono Plus B.I.G. NORM||1.5|1.50|Solitaire Protect Plus|-8 a +8|até -6||75|||15</x:v>
      </x:c>
    </x:row>
    <x:row r="565">
      <x:c r="A565" s="24" t="str">
        <x:v>RD-FA333AB4A4C4</x:v>
      </x:c>
      <x:c r="B565" s="24" t="str">
        <x:v>SIM</x:v>
      </x:c>
      <x:c r="C565" s="24" t="str">
        <x:v>DISPONÍVEL</x:v>
      </x:c>
      <x:c r="D565" s="24" t="str">
        <x:v>Rodenstock</x:v>
      </x:c>
      <x:c r="E565" s="24" t="str">
        <x:v>Mono Plus B.I.G. NORM</x:v>
      </x:c>
      <x:c r="F565" s="24" t="str">
        <x:v>Surfaçada</x:v>
      </x:c>
      <x:c r="G565" s="24" t="str">
        <x:v>Multigressiv Mono Plus B.I.G. NORM</x:v>
      </x:c>
      <x:c r="H565" s="24"/>
      <x:c r="I565" s="24" t="str">
        <x:v>1.5</x:v>
      </x:c>
      <x:c r="J565" s="24" t="str">
        <x:v>1.50</x:v>
      </x:c>
      <x:c r="K565" s="24" t="str">
        <x:v>ROAD</x:v>
      </x:c>
      <x:c r="L565" s="40" t="n">
        <x:v>2171</x:v>
      </x:c>
      <x:c r="M565" s="24" t="str">
        <x:v>-8 a +8</x:v>
      </x:c>
      <x:c r="N565" s="24" t="str">
        <x:v>até -6</x:v>
      </x:c>
      <x:c r="O565" s="24"/>
      <x:c r="P565" s="24" t="str">
        <x:v>75</x:v>
      </x:c>
      <x:c r="Q565" s="24"/>
      <x:c r="R565" s="24"/>
      <x:c r="S565" s="26" t="n">
        <x:v>46024</x:v>
      </x:c>
      <x:c r="T565" s="26"/>
      <x:c r="U565" s="24" t="str">
        <x:v>ATIVA/SEM FIM INFORMADO</x:v>
      </x:c>
      <x:c r="V565" s="24"/>
      <x:c r="W565" s="24" t="n">
        <x:v>15</x:v>
      </x:c>
      <x:c r="X565" s="24" t="str">
        <x:v>tabela_rodenstock.pdf</x:v>
      </x:c>
      <x:c r="Y565" s="24" t="str">
        <x:v>alta</x:v>
      </x:c>
      <x:c r="Z565" s="24"/>
      <x:c r="AA565" s="24" t="str">
        <x:v>Rodenstock|Mono Plus B.I.G. NORM|Surfaçada|Multigressiv Mono Plus B.I.G. NORM||1.5|1.50|ROAD|-8 a +8|até -6||75|||15</x:v>
      </x:c>
    </x:row>
    <x:row r="566">
      <x:c r="A566" s="24" t="str">
        <x:v>RD-001EDC81B024</x:v>
      </x:c>
      <x:c r="B566" s="24" t="str">
        <x:v>SIM</x:v>
      </x:c>
      <x:c r="C566" s="24" t="str">
        <x:v>DISPONÍVEL</x:v>
      </x:c>
      <x:c r="D566" s="24" t="str">
        <x:v>Rodenstock</x:v>
      </x:c>
      <x:c r="E566" s="24" t="str">
        <x:v>Mono Plus B.I.G. NORM</x:v>
      </x:c>
      <x:c r="F566" s="24" t="str">
        <x:v>Surfaçada</x:v>
      </x:c>
      <x:c r="G566" s="24" t="str">
        <x:v>Multigressiv Mono Plus B.I.G. NORM</x:v>
      </x:c>
      <x:c r="H566" s="24"/>
      <x:c r="I566" s="24" t="str">
        <x:v>1.5</x:v>
      </x:c>
      <x:c r="J566" s="24" t="str">
        <x:v>1.50</x:v>
      </x:c>
      <x:c r="K566" s="24" t="str">
        <x:v>Solitaire Protect</x:v>
      </x:c>
      <x:c r="L566" s="40" t="n">
        <x:v>1911</x:v>
      </x:c>
      <x:c r="M566" s="24" t="str">
        <x:v>-8 a +8</x:v>
      </x:c>
      <x:c r="N566" s="24" t="str">
        <x:v>até -6</x:v>
      </x:c>
      <x:c r="O566" s="24"/>
      <x:c r="P566" s="24" t="str">
        <x:v>75</x:v>
      </x:c>
      <x:c r="Q566" s="24"/>
      <x:c r="R566" s="24"/>
      <x:c r="S566" s="26" t="n">
        <x:v>46024</x:v>
      </x:c>
      <x:c r="T566" s="26"/>
      <x:c r="U566" s="24" t="str">
        <x:v>ATIVA/SEM FIM INFORMADO</x:v>
      </x:c>
      <x:c r="V566" s="24"/>
      <x:c r="W566" s="24" t="n">
        <x:v>15</x:v>
      </x:c>
      <x:c r="X566" s="24" t="str">
        <x:v>tabela_rodenstock.pdf</x:v>
      </x:c>
      <x:c r="Y566" s="24" t="str">
        <x:v>alta</x:v>
      </x:c>
      <x:c r="Z566" s="24"/>
      <x:c r="AA566" s="24" t="str">
        <x:v>Rodenstock|Mono Plus B.I.G. NORM|Surfaçada|Multigressiv Mono Plus B.I.G. NORM||1.5|1.50|Solitaire Protect|-8 a +8|até -6||75|||15</x:v>
      </x:c>
    </x:row>
    <x:row r="567">
      <x:c r="A567" s="24" t="str">
        <x:v>RD-83C7B9260F72</x:v>
      </x:c>
      <x:c r="B567" s="24" t="str">
        <x:v>SIM</x:v>
      </x:c>
      <x:c r="C567" s="24" t="str">
        <x:v>DISPONÍVEL</x:v>
      </x:c>
      <x:c r="D567" s="24" t="str">
        <x:v>Rodenstock</x:v>
      </x:c>
      <x:c r="E567" s="24" t="str">
        <x:v>Mono Plus B.I.G. NORM</x:v>
      </x:c>
      <x:c r="F567" s="24" t="str">
        <x:v>Surfaçada</x:v>
      </x:c>
      <x:c r="G567" s="24" t="str">
        <x:v>Multigressiv Mono Plus B.I.G. NORM</x:v>
      </x:c>
      <x:c r="H567" s="24" t="str">
        <x:v>ColorMatic® 3</x:v>
      </x:c>
      <x:c r="I567" s="24" t="str">
        <x:v>1.54</x:v>
      </x:c>
      <x:c r="J567" s="24" t="str">
        <x:v>1.54</x:v>
      </x:c>
      <x:c r="K567" s="24" t="str">
        <x:v>LayR X-tra Clean</x:v>
      </x:c>
      <x:c r="L567" s="40" t="n">
        <x:v>3841</x:v>
      </x:c>
      <x:c r="M567" s="24" t="str">
        <x:v>-8 a +8</x:v>
      </x:c>
      <x:c r="N567" s="24" t="str">
        <x:v>até -6</x:v>
      </x:c>
      <x:c r="O567" s="24"/>
      <x:c r="P567" s="24" t="str">
        <x:v>75</x:v>
      </x:c>
      <x:c r="Q567" s="24"/>
      <x:c r="R567" s="24"/>
      <x:c r="S567" s="26" t="n">
        <x:v>46024</x:v>
      </x:c>
      <x:c r="T567" s="26"/>
      <x:c r="U567" s="24" t="str">
        <x:v>ATIVA/SEM FIM INFORMADO</x:v>
      </x:c>
      <x:c r="V567" s="24"/>
      <x:c r="W567" s="24" t="n">
        <x:v>15</x:v>
      </x:c>
      <x:c r="X567" s="24" t="str">
        <x:v>tabela_rodenstock.pdf</x:v>
      </x:c>
      <x:c r="Y567" s="24" t="str">
        <x:v>alta</x:v>
      </x:c>
      <x:c r="Z567" s="24"/>
      <x:c r="AA567" s="24" t="str">
        <x:v>Rodenstock|Mono Plus B.I.G. NORM|Surfaçada|Multigressiv Mono Plus B.I.G. NORM|ColorMatic® 3|1.54|1.54|LayR X-tra Clean|-8 a +8|até -6||75|||15</x:v>
      </x:c>
    </x:row>
    <x:row r="568">
      <x:c r="A568" s="24" t="str">
        <x:v>RD-D4E907F1516A</x:v>
      </x:c>
      <x:c r="B568" s="24" t="str">
        <x:v>SIM</x:v>
      </x:c>
      <x:c r="C568" s="24" t="str">
        <x:v>DISPONÍVEL</x:v>
      </x:c>
      <x:c r="D568" s="24" t="str">
        <x:v>Rodenstock</x:v>
      </x:c>
      <x:c r="E568" s="24" t="str">
        <x:v>Mono Plus B.I.G. NORM</x:v>
      </x:c>
      <x:c r="F568" s="24" t="str">
        <x:v>Surfaçada</x:v>
      </x:c>
      <x:c r="G568" s="24" t="str">
        <x:v>Multigressiv Mono Plus B.I.G. NORM</x:v>
      </x:c>
      <x:c r="H568" s="24" t="str">
        <x:v>ColorMatic® 3</x:v>
      </x:c>
      <x:c r="I568" s="24" t="str">
        <x:v>1.54</x:v>
      </x:c>
      <x:c r="J568" s="24" t="str">
        <x:v>1.54</x:v>
      </x:c>
      <x:c r="K568" s="24" t="str">
        <x:v>LayR Balance</x:v>
      </x:c>
      <x:c r="L568" s="40" t="n">
        <x:v>3841</x:v>
      </x:c>
      <x:c r="M568" s="24" t="str">
        <x:v>-8 a +8</x:v>
      </x:c>
      <x:c r="N568" s="24" t="str">
        <x:v>até -6</x:v>
      </x:c>
      <x:c r="O568" s="24"/>
      <x:c r="P568" s="24" t="str">
        <x:v>75</x:v>
      </x:c>
      <x:c r="Q568" s="24"/>
      <x:c r="R568" s="24"/>
      <x:c r="S568" s="26" t="n">
        <x:v>46024</x:v>
      </x:c>
      <x:c r="T568" s="26"/>
      <x:c r="U568" s="24" t="str">
        <x:v>ATIVA/SEM FIM INFORMADO</x:v>
      </x:c>
      <x:c r="V568" s="24"/>
      <x:c r="W568" s="24" t="n">
        <x:v>15</x:v>
      </x:c>
      <x:c r="X568" s="24" t="str">
        <x:v>tabela_rodenstock.pdf</x:v>
      </x:c>
      <x:c r="Y568" s="24" t="str">
        <x:v>alta</x:v>
      </x:c>
      <x:c r="Z568" s="24"/>
      <x:c r="AA568" s="24" t="str">
        <x:v>Rodenstock|Mono Plus B.I.G. NORM|Surfaçada|Multigressiv Mono Plus B.I.G. NORM|ColorMatic® 3|1.54|1.54|LayR Balance|-8 a +8|até -6||75|||15</x:v>
      </x:c>
    </x:row>
    <x:row r="569">
      <x:c r="A569" s="24" t="str">
        <x:v>RD-98EAD03E52D6</x:v>
      </x:c>
      <x:c r="B569" s="24" t="str">
        <x:v>SIM</x:v>
      </x:c>
      <x:c r="C569" s="24" t="str">
        <x:v>DISPONÍVEL</x:v>
      </x:c>
      <x:c r="D569" s="24" t="str">
        <x:v>Rodenstock</x:v>
      </x:c>
      <x:c r="E569" s="24" t="str">
        <x:v>Mono Plus B.I.G. NORM</x:v>
      </x:c>
      <x:c r="F569" s="24" t="str">
        <x:v>Surfaçada</x:v>
      </x:c>
      <x:c r="G569" s="24" t="str">
        <x:v>Multigressiv Mono Plus B.I.G. NORM</x:v>
      </x:c>
      <x:c r="H569" s="24" t="str">
        <x:v>ColorMatic® 3</x:v>
      </x:c>
      <x:c r="I569" s="24" t="str">
        <x:v>1.54</x:v>
      </x:c>
      <x:c r="J569" s="24" t="str">
        <x:v>1.54</x:v>
      </x:c>
      <x:c r="K569" s="24" t="str">
        <x:v>Solitaire X-tra Clean</x:v>
      </x:c>
      <x:c r="L569" s="40" t="n">
        <x:v>3771</x:v>
      </x:c>
      <x:c r="M569" s="24" t="str">
        <x:v>-8 a +8</x:v>
      </x:c>
      <x:c r="N569" s="24" t="str">
        <x:v>até -6</x:v>
      </x:c>
      <x:c r="O569" s="24"/>
      <x:c r="P569" s="24" t="str">
        <x:v>75</x:v>
      </x:c>
      <x:c r="Q569" s="24"/>
      <x:c r="R569" s="24"/>
      <x:c r="S569" s="26" t="n">
        <x:v>46024</x:v>
      </x:c>
      <x:c r="T569" s="26"/>
      <x:c r="U569" s="24" t="str">
        <x:v>ATIVA/SEM FIM INFORMADO</x:v>
      </x:c>
      <x:c r="V569" s="24"/>
      <x:c r="W569" s="24" t="n">
        <x:v>15</x:v>
      </x:c>
      <x:c r="X569" s="24" t="str">
        <x:v>tabela_rodenstock.pdf</x:v>
      </x:c>
      <x:c r="Y569" s="24" t="str">
        <x:v>alta</x:v>
      </x:c>
      <x:c r="Z569" s="24"/>
      <x:c r="AA569" s="24" t="str">
        <x:v>Rodenstock|Mono Plus B.I.G. NORM|Surfaçada|Multigressiv Mono Plus B.I.G. NORM|ColorMatic® 3|1.54|1.54|Solitaire X-tra Clean|-8 a +8|até -6||75|||15</x:v>
      </x:c>
    </x:row>
    <x:row r="570">
      <x:c r="A570" s="24" t="str">
        <x:v>RD-89328CA2445A</x:v>
      </x:c>
      <x:c r="B570" s="24" t="str">
        <x:v>SIM</x:v>
      </x:c>
      <x:c r="C570" s="24" t="str">
        <x:v>DISPONÍVEL</x:v>
      </x:c>
      <x:c r="D570" s="24" t="str">
        <x:v>Rodenstock</x:v>
      </x:c>
      <x:c r="E570" s="24" t="str">
        <x:v>Mono Plus B.I.G. NORM</x:v>
      </x:c>
      <x:c r="F570" s="24" t="str">
        <x:v>Surfaçada</x:v>
      </x:c>
      <x:c r="G570" s="24" t="str">
        <x:v>Multigressiv Mono Plus B.I.G. NORM</x:v>
      </x:c>
      <x:c r="H570" s="24" t="str">
        <x:v>ColorMatic® 3</x:v>
      </x:c>
      <x:c r="I570" s="24" t="str">
        <x:v>1.54</x:v>
      </x:c>
      <x:c r="J570" s="24" t="str">
        <x:v>1.54</x:v>
      </x:c>
      <x:c r="K570" s="24" t="str">
        <x:v>Solitaire Protect Plus</x:v>
      </x:c>
      <x:c r="L570" s="40" t="n">
        <x:v>3721</x:v>
      </x:c>
      <x:c r="M570" s="24" t="str">
        <x:v>-8 a +8</x:v>
      </x:c>
      <x:c r="N570" s="24" t="str">
        <x:v>até -6</x:v>
      </x:c>
      <x:c r="O570" s="24"/>
      <x:c r="P570" s="24" t="str">
        <x:v>75</x:v>
      </x:c>
      <x:c r="Q570" s="24"/>
      <x:c r="R570" s="24"/>
      <x:c r="S570" s="26" t="n">
        <x:v>46024</x:v>
      </x:c>
      <x:c r="T570" s="26"/>
      <x:c r="U570" s="24" t="str">
        <x:v>ATIVA/SEM FIM INFORMADO</x:v>
      </x:c>
      <x:c r="V570" s="24"/>
      <x:c r="W570" s="24" t="n">
        <x:v>15</x:v>
      </x:c>
      <x:c r="X570" s="24" t="str">
        <x:v>tabela_rodenstock.pdf</x:v>
      </x:c>
      <x:c r="Y570" s="24" t="str">
        <x:v>alta</x:v>
      </x:c>
      <x:c r="Z570" s="24"/>
      <x:c r="AA570" s="24" t="str">
        <x:v>Rodenstock|Mono Plus B.I.G. NORM|Surfaçada|Multigressiv Mono Plus B.I.G. NORM|ColorMatic® 3|1.54|1.54|Solitaire Protect Plus|-8 a +8|até -6||75|||15</x:v>
      </x:c>
    </x:row>
    <x:row r="571">
      <x:c r="A571" s="24" t="str">
        <x:v>RD-23C0873D9E3E</x:v>
      </x:c>
      <x:c r="B571" s="24" t="str">
        <x:v>SIM</x:v>
      </x:c>
      <x:c r="C571" s="24" t="str">
        <x:v>DISPONÍVEL</x:v>
      </x:c>
      <x:c r="D571" s="24" t="str">
        <x:v>Rodenstock</x:v>
      </x:c>
      <x:c r="E571" s="24" t="str">
        <x:v>Mono Plus B.I.G. NORM</x:v>
      </x:c>
      <x:c r="F571" s="24" t="str">
        <x:v>Surfaçada</x:v>
      </x:c>
      <x:c r="G571" s="24" t="str">
        <x:v>Multigressiv Mono Plus B.I.G. NORM</x:v>
      </x:c>
      <x:c r="H571" s="24" t="str">
        <x:v>ColorMatic® 3</x:v>
      </x:c>
      <x:c r="I571" s="24" t="str">
        <x:v>1.54</x:v>
      </x:c>
      <x:c r="J571" s="24" t="str">
        <x:v>1.54</x:v>
      </x:c>
      <x:c r="K571" s="24" t="str">
        <x:v>ROAD</x:v>
      </x:c>
      <x:c r="L571" s="40" t="n">
        <x:v>3721</x:v>
      </x:c>
      <x:c r="M571" s="24" t="str">
        <x:v>-8 a +8</x:v>
      </x:c>
      <x:c r="N571" s="24" t="str">
        <x:v>até -6</x:v>
      </x:c>
      <x:c r="O571" s="24"/>
      <x:c r="P571" s="24" t="str">
        <x:v>75</x:v>
      </x:c>
      <x:c r="Q571" s="24"/>
      <x:c r="R571" s="24"/>
      <x:c r="S571" s="26" t="n">
        <x:v>46024</x:v>
      </x:c>
      <x:c r="T571" s="26"/>
      <x:c r="U571" s="24" t="str">
        <x:v>ATIVA/SEM FIM INFORMADO</x:v>
      </x:c>
      <x:c r="V571" s="24"/>
      <x:c r="W571" s="24" t="n">
        <x:v>15</x:v>
      </x:c>
      <x:c r="X571" s="24" t="str">
        <x:v>tabela_rodenstock.pdf</x:v>
      </x:c>
      <x:c r="Y571" s="24" t="str">
        <x:v>alta</x:v>
      </x:c>
      <x:c r="Z571" s="24"/>
      <x:c r="AA571" s="24" t="str">
        <x:v>Rodenstock|Mono Plus B.I.G. NORM|Surfaçada|Multigressiv Mono Plus B.I.G. NORM|ColorMatic® 3|1.54|1.54|ROAD|-8 a +8|até -6||75|||15</x:v>
      </x:c>
    </x:row>
    <x:row r="572">
      <x:c r="A572" s="24" t="str">
        <x:v>RD-956029977163</x:v>
      </x:c>
      <x:c r="B572" s="24" t="str">
        <x:v>SIM</x:v>
      </x:c>
      <x:c r="C572" s="24" t="str">
        <x:v>DISPONÍVEL</x:v>
      </x:c>
      <x:c r="D572" s="24" t="str">
        <x:v>Rodenstock</x:v>
      </x:c>
      <x:c r="E572" s="24" t="str">
        <x:v>Mono Plus B.I.G. NORM</x:v>
      </x:c>
      <x:c r="F572" s="24" t="str">
        <x:v>Surfaçada</x:v>
      </x:c>
      <x:c r="G572" s="24" t="str">
        <x:v>Multigressiv Mono Plus B.I.G. NORM</x:v>
      </x:c>
      <x:c r="H572" s="24" t="str">
        <x:v>ColorMatic® 3</x:v>
      </x:c>
      <x:c r="I572" s="24" t="str">
        <x:v>1.54</x:v>
      </x:c>
      <x:c r="J572" s="24" t="str">
        <x:v>1.54</x:v>
      </x:c>
      <x:c r="K572" s="24" t="str">
        <x:v>Solitaire Protect</x:v>
      </x:c>
      <x:c r="L572" s="40" t="n">
        <x:v>3461</x:v>
      </x:c>
      <x:c r="M572" s="24" t="str">
        <x:v>-8 a +8</x:v>
      </x:c>
      <x:c r="N572" s="24" t="str">
        <x:v>até -6</x:v>
      </x:c>
      <x:c r="O572" s="24"/>
      <x:c r="P572" s="24" t="str">
        <x:v>75</x:v>
      </x:c>
      <x:c r="Q572" s="24"/>
      <x:c r="R572" s="24"/>
      <x:c r="S572" s="26" t="n">
        <x:v>46024</x:v>
      </x:c>
      <x:c r="T572" s="26"/>
      <x:c r="U572" s="24" t="str">
        <x:v>ATIVA/SEM FIM INFORMADO</x:v>
      </x:c>
      <x:c r="V572" s="24"/>
      <x:c r="W572" s="24" t="n">
        <x:v>15</x:v>
      </x:c>
      <x:c r="X572" s="24" t="str">
        <x:v>tabela_rodenstock.pdf</x:v>
      </x:c>
      <x:c r="Y572" s="24" t="str">
        <x:v>alta</x:v>
      </x:c>
      <x:c r="Z572" s="24"/>
      <x:c r="AA572" s="24" t="str">
        <x:v>Rodenstock|Mono Plus B.I.G. NORM|Surfaçada|Multigressiv Mono Plus B.I.G. NORM|ColorMatic® 3|1.54|1.54|Solitaire Protect|-8 a +8|até -6||75|||15</x:v>
      </x:c>
    </x:row>
    <x:row r="573">
      <x:c r="A573" s="24" t="str">
        <x:v>RD-5453774B45B3</x:v>
      </x:c>
      <x:c r="B573" s="24" t="str">
        <x:v>SIM</x:v>
      </x:c>
      <x:c r="C573" s="24" t="str">
        <x:v>DISPONÍVEL</x:v>
      </x:c>
      <x:c r="D573" s="24" t="str">
        <x:v>Rodenstock</x:v>
      </x:c>
      <x:c r="E573" s="24" t="str">
        <x:v>Mono Plus B.I.G. NORM</x:v>
      </x:c>
      <x:c r="F573" s="24" t="str">
        <x:v>Surfaçada</x:v>
      </x:c>
      <x:c r="G573" s="24" t="str">
        <x:v>Multigressiv Mono Plus B.I.G. NORM</x:v>
      </x:c>
      <x:c r="H573" s="24"/>
      <x:c r="I573" s="24" t="str">
        <x:v>1.6</x:v>
      </x:c>
      <x:c r="J573" s="24" t="str">
        <x:v>1.60</x:v>
      </x:c>
      <x:c r="K573" s="24" t="str">
        <x:v>LayR X-tra Clean</x:v>
      </x:c>
      <x:c r="L573" s="40" t="n">
        <x:v>2844</x:v>
      </x:c>
      <x:c r="M573" s="24" t="str">
        <x:v>-10 a +10</x:v>
      </x:c>
      <x:c r="N573" s="24" t="str">
        <x:v>até -6</x:v>
      </x:c>
      <x:c r="O573" s="24"/>
      <x:c r="P573" s="24" t="str">
        <x:v>75</x:v>
      </x:c>
      <x:c r="Q573" s="24"/>
      <x:c r="R573" s="24"/>
      <x:c r="S573" s="26" t="n">
        <x:v>46024</x:v>
      </x:c>
      <x:c r="T573" s="26"/>
      <x:c r="U573" s="24" t="str">
        <x:v>ATIVA/SEM FIM INFORMADO</x:v>
      </x:c>
      <x:c r="V573" s="24"/>
      <x:c r="W573" s="24" t="n">
        <x:v>15</x:v>
      </x:c>
      <x:c r="X573" s="24" t="str">
        <x:v>tabela_rodenstock.pdf</x:v>
      </x:c>
      <x:c r="Y573" s="24" t="str">
        <x:v>alta</x:v>
      </x:c>
      <x:c r="Z573" s="24"/>
      <x:c r="AA573" s="24" t="str">
        <x:v>Rodenstock|Mono Plus B.I.G. NORM|Surfaçada|Multigressiv Mono Plus B.I.G. NORM||1.6|1.60|LayR X-tra Clean|-10 a +10|até -6||75|||15</x:v>
      </x:c>
    </x:row>
    <x:row r="574">
      <x:c r="A574" s="24" t="str">
        <x:v>RD-8912C34B5533</x:v>
      </x:c>
      <x:c r="B574" s="24" t="str">
        <x:v>SIM</x:v>
      </x:c>
      <x:c r="C574" s="24" t="str">
        <x:v>DISPONÍVEL</x:v>
      </x:c>
      <x:c r="D574" s="24" t="str">
        <x:v>Rodenstock</x:v>
      </x:c>
      <x:c r="E574" s="24" t="str">
        <x:v>Mono Plus B.I.G. NORM</x:v>
      </x:c>
      <x:c r="F574" s="24" t="str">
        <x:v>Surfaçada</x:v>
      </x:c>
      <x:c r="G574" s="24" t="str">
        <x:v>Multigressiv Mono Plus B.I.G. NORM</x:v>
      </x:c>
      <x:c r="H574" s="24"/>
      <x:c r="I574" s="24" t="str">
        <x:v>1.6</x:v>
      </x:c>
      <x:c r="J574" s="24" t="str">
        <x:v>1.60</x:v>
      </x:c>
      <x:c r="K574" s="24" t="str">
        <x:v>LayR Balance</x:v>
      </x:c>
      <x:c r="L574" s="40" t="n">
        <x:v>2844</x:v>
      </x:c>
      <x:c r="M574" s="24" t="str">
        <x:v>-10 a +10</x:v>
      </x:c>
      <x:c r="N574" s="24" t="str">
        <x:v>até -6</x:v>
      </x:c>
      <x:c r="O574" s="24"/>
      <x:c r="P574" s="24" t="str">
        <x:v>75</x:v>
      </x:c>
      <x:c r="Q574" s="24"/>
      <x:c r="R574" s="24"/>
      <x:c r="S574" s="26" t="n">
        <x:v>46024</x:v>
      </x:c>
      <x:c r="T574" s="26"/>
      <x:c r="U574" s="24" t="str">
        <x:v>ATIVA/SEM FIM INFORMADO</x:v>
      </x:c>
      <x:c r="V574" s="24"/>
      <x:c r="W574" s="24" t="n">
        <x:v>15</x:v>
      </x:c>
      <x:c r="X574" s="24" t="str">
        <x:v>tabela_rodenstock.pdf</x:v>
      </x:c>
      <x:c r="Y574" s="24" t="str">
        <x:v>alta</x:v>
      </x:c>
      <x:c r="Z574" s="24"/>
      <x:c r="AA574" s="24" t="str">
        <x:v>Rodenstock|Mono Plus B.I.G. NORM|Surfaçada|Multigressiv Mono Plus B.I.G. NORM||1.6|1.60|LayR Balance|-10 a +10|até -6||75|||15</x:v>
      </x:c>
    </x:row>
    <x:row r="575">
      <x:c r="A575" s="24" t="str">
        <x:v>RD-B962EAA38492</x:v>
      </x:c>
      <x:c r="B575" s="24" t="str">
        <x:v>SIM</x:v>
      </x:c>
      <x:c r="C575" s="24" t="str">
        <x:v>DISPONÍVEL</x:v>
      </x:c>
      <x:c r="D575" s="24" t="str">
        <x:v>Rodenstock</x:v>
      </x:c>
      <x:c r="E575" s="24" t="str">
        <x:v>Mono Plus B.I.G. NORM</x:v>
      </x:c>
      <x:c r="F575" s="24" t="str">
        <x:v>Surfaçada</x:v>
      </x:c>
      <x:c r="G575" s="24" t="str">
        <x:v>Multigressiv Mono Plus B.I.G. NORM</x:v>
      </x:c>
      <x:c r="H575" s="24"/>
      <x:c r="I575" s="24" t="str">
        <x:v>1.6</x:v>
      </x:c>
      <x:c r="J575" s="24" t="str">
        <x:v>1.60</x:v>
      </x:c>
      <x:c r="K575" s="24" t="str">
        <x:v>Solitaire X-tra Clean</x:v>
      </x:c>
      <x:c r="L575" s="40" t="n">
        <x:v>2774</x:v>
      </x:c>
      <x:c r="M575" s="24" t="str">
        <x:v>-10 a +10</x:v>
      </x:c>
      <x:c r="N575" s="24" t="str">
        <x:v>até -6</x:v>
      </x:c>
      <x:c r="O575" s="24"/>
      <x:c r="P575" s="24" t="str">
        <x:v>75</x:v>
      </x:c>
      <x:c r="Q575" s="24"/>
      <x:c r="R575" s="24"/>
      <x:c r="S575" s="26" t="n">
        <x:v>46024</x:v>
      </x:c>
      <x:c r="T575" s="26"/>
      <x:c r="U575" s="24" t="str">
        <x:v>ATIVA/SEM FIM INFORMADO</x:v>
      </x:c>
      <x:c r="V575" s="24"/>
      <x:c r="W575" s="24" t="n">
        <x:v>15</x:v>
      </x:c>
      <x:c r="X575" s="24" t="str">
        <x:v>tabela_rodenstock.pdf</x:v>
      </x:c>
      <x:c r="Y575" s="24" t="str">
        <x:v>alta</x:v>
      </x:c>
      <x:c r="Z575" s="24"/>
      <x:c r="AA575" s="24" t="str">
        <x:v>Rodenstock|Mono Plus B.I.G. NORM|Surfaçada|Multigressiv Mono Plus B.I.G. NORM||1.6|1.60|Solitaire X-tra Clean|-10 a +10|até -6||75|||15</x:v>
      </x:c>
    </x:row>
    <x:row r="576">
      <x:c r="A576" s="24" t="str">
        <x:v>RD-D388E6F80F51</x:v>
      </x:c>
      <x:c r="B576" s="24" t="str">
        <x:v>SIM</x:v>
      </x:c>
      <x:c r="C576" s="24" t="str">
        <x:v>DISPONÍVEL</x:v>
      </x:c>
      <x:c r="D576" s="24" t="str">
        <x:v>Rodenstock</x:v>
      </x:c>
      <x:c r="E576" s="24" t="str">
        <x:v>Mono Plus B.I.G. NORM</x:v>
      </x:c>
      <x:c r="F576" s="24" t="str">
        <x:v>Surfaçada</x:v>
      </x:c>
      <x:c r="G576" s="24" t="str">
        <x:v>Multigressiv Mono Plus B.I.G. NORM</x:v>
      </x:c>
      <x:c r="H576" s="24"/>
      <x:c r="I576" s="24" t="str">
        <x:v>1.6</x:v>
      </x:c>
      <x:c r="J576" s="24" t="str">
        <x:v>1.60</x:v>
      </x:c>
      <x:c r="K576" s="24" t="str">
        <x:v>Solitaire Protect Plus</x:v>
      </x:c>
      <x:c r="L576" s="40" t="n">
        <x:v>2724</x:v>
      </x:c>
      <x:c r="M576" s="24" t="str">
        <x:v>-10 a +10</x:v>
      </x:c>
      <x:c r="N576" s="24" t="str">
        <x:v>até -6</x:v>
      </x:c>
      <x:c r="O576" s="24"/>
      <x:c r="P576" s="24" t="str">
        <x:v>75</x:v>
      </x:c>
      <x:c r="Q576" s="24"/>
      <x:c r="R576" s="24"/>
      <x:c r="S576" s="26" t="n">
        <x:v>46024</x:v>
      </x:c>
      <x:c r="T576" s="26"/>
      <x:c r="U576" s="24" t="str">
        <x:v>ATIVA/SEM FIM INFORMADO</x:v>
      </x:c>
      <x:c r="V576" s="24"/>
      <x:c r="W576" s="24" t="n">
        <x:v>15</x:v>
      </x:c>
      <x:c r="X576" s="24" t="str">
        <x:v>tabela_rodenstock.pdf</x:v>
      </x:c>
      <x:c r="Y576" s="24" t="str">
        <x:v>alta</x:v>
      </x:c>
      <x:c r="Z576" s="24"/>
      <x:c r="AA576" s="24" t="str">
        <x:v>Rodenstock|Mono Plus B.I.G. NORM|Surfaçada|Multigressiv Mono Plus B.I.G. NORM||1.6|1.60|Solitaire Protect Plus|-10 a +10|até -6||75|||15</x:v>
      </x:c>
    </x:row>
    <x:row r="577">
      <x:c r="A577" s="24" t="str">
        <x:v>RD-0572D6DB68E1</x:v>
      </x:c>
      <x:c r="B577" s="24" t="str">
        <x:v>SIM</x:v>
      </x:c>
      <x:c r="C577" s="24" t="str">
        <x:v>DISPONÍVEL</x:v>
      </x:c>
      <x:c r="D577" s="24" t="str">
        <x:v>Rodenstock</x:v>
      </x:c>
      <x:c r="E577" s="24" t="str">
        <x:v>Mono Plus B.I.G. NORM</x:v>
      </x:c>
      <x:c r="F577" s="24" t="str">
        <x:v>Surfaçada</x:v>
      </x:c>
      <x:c r="G577" s="24" t="str">
        <x:v>Multigressiv Mono Plus B.I.G. NORM</x:v>
      </x:c>
      <x:c r="H577" s="24"/>
      <x:c r="I577" s="24" t="str">
        <x:v>1.6</x:v>
      </x:c>
      <x:c r="J577" s="24" t="str">
        <x:v>1.60</x:v>
      </x:c>
      <x:c r="K577" s="24" t="str">
        <x:v>ROAD</x:v>
      </x:c>
      <x:c r="L577" s="40" t="n">
        <x:v>2724</x:v>
      </x:c>
      <x:c r="M577" s="24" t="str">
        <x:v>-10 a +10</x:v>
      </x:c>
      <x:c r="N577" s="24" t="str">
        <x:v>até -6</x:v>
      </x:c>
      <x:c r="O577" s="24"/>
      <x:c r="P577" s="24" t="str">
        <x:v>75</x:v>
      </x:c>
      <x:c r="Q577" s="24"/>
      <x:c r="R577" s="24"/>
      <x:c r="S577" s="26" t="n">
        <x:v>46024</x:v>
      </x:c>
      <x:c r="T577" s="26"/>
      <x:c r="U577" s="24" t="str">
        <x:v>ATIVA/SEM FIM INFORMADO</x:v>
      </x:c>
      <x:c r="V577" s="24"/>
      <x:c r="W577" s="24" t="n">
        <x:v>15</x:v>
      </x:c>
      <x:c r="X577" s="24" t="str">
        <x:v>tabela_rodenstock.pdf</x:v>
      </x:c>
      <x:c r="Y577" s="24" t="str">
        <x:v>alta</x:v>
      </x:c>
      <x:c r="Z577" s="24"/>
      <x:c r="AA577" s="24" t="str">
        <x:v>Rodenstock|Mono Plus B.I.G. NORM|Surfaçada|Multigressiv Mono Plus B.I.G. NORM||1.6|1.60|ROAD|-10 a +10|até -6||75|||15</x:v>
      </x:c>
    </x:row>
    <x:row r="578">
      <x:c r="A578" s="24" t="str">
        <x:v>RD-114ADF2733F8</x:v>
      </x:c>
      <x:c r="B578" s="24" t="str">
        <x:v>SIM</x:v>
      </x:c>
      <x:c r="C578" s="24" t="str">
        <x:v>DISPONÍVEL</x:v>
      </x:c>
      <x:c r="D578" s="24" t="str">
        <x:v>Rodenstock</x:v>
      </x:c>
      <x:c r="E578" s="24" t="str">
        <x:v>Mono Plus B.I.G. NORM</x:v>
      </x:c>
      <x:c r="F578" s="24" t="str">
        <x:v>Surfaçada</x:v>
      </x:c>
      <x:c r="G578" s="24" t="str">
        <x:v>Multigressiv Mono Plus B.I.G. NORM</x:v>
      </x:c>
      <x:c r="H578" s="24"/>
      <x:c r="I578" s="24" t="str">
        <x:v>1.6</x:v>
      </x:c>
      <x:c r="J578" s="24" t="str">
        <x:v>1.60</x:v>
      </x:c>
      <x:c r="K578" s="24" t="str">
        <x:v>Solitaire Protect</x:v>
      </x:c>
      <x:c r="L578" s="40" t="n">
        <x:v>2464</x:v>
      </x:c>
      <x:c r="M578" s="24" t="str">
        <x:v>-10 a +10</x:v>
      </x:c>
      <x:c r="N578" s="24" t="str">
        <x:v>até -6</x:v>
      </x:c>
      <x:c r="O578" s="24"/>
      <x:c r="P578" s="24" t="str">
        <x:v>75</x:v>
      </x:c>
      <x:c r="Q578" s="24"/>
      <x:c r="R578" s="24"/>
      <x:c r="S578" s="26" t="n">
        <x:v>46024</x:v>
      </x:c>
      <x:c r="T578" s="26"/>
      <x:c r="U578" s="24" t="str">
        <x:v>ATIVA/SEM FIM INFORMADO</x:v>
      </x:c>
      <x:c r="V578" s="24"/>
      <x:c r="W578" s="24" t="n">
        <x:v>15</x:v>
      </x:c>
      <x:c r="X578" s="24" t="str">
        <x:v>tabela_rodenstock.pdf</x:v>
      </x:c>
      <x:c r="Y578" s="24" t="str">
        <x:v>alta</x:v>
      </x:c>
      <x:c r="Z578" s="24"/>
      <x:c r="AA578" s="24" t="str">
        <x:v>Rodenstock|Mono Plus B.I.G. NORM|Surfaçada|Multigressiv Mono Plus B.I.G. NORM||1.6|1.60|Solitaire Protect|-10 a +10|até -6||75|||15</x:v>
      </x:c>
    </x:row>
    <x:row r="579">
      <x:c r="A579" s="24" t="str">
        <x:v>RD-13A4BB9C0808</x:v>
      </x:c>
      <x:c r="B579" s="24" t="str">
        <x:v>SIM</x:v>
      </x:c>
      <x:c r="C579" s="24" t="str">
        <x:v>DISPONÍVEL</x:v>
      </x:c>
      <x:c r="D579" s="24" t="str">
        <x:v>Rodenstock</x:v>
      </x:c>
      <x:c r="E579" s="24" t="str">
        <x:v>Mono Plus B.I.G. NORM</x:v>
      </x:c>
      <x:c r="F579" s="24" t="str">
        <x:v>Surfaçada</x:v>
      </x:c>
      <x:c r="G579" s="24" t="str">
        <x:v>Multigressiv Mono Plus B.I.G. NORM</x:v>
      </x:c>
      <x:c r="H579" s="24" t="str">
        <x:v>PRO410</x:v>
      </x:c>
      <x:c r="I579" s="24" t="str">
        <x:v>1.6</x:v>
      </x:c>
      <x:c r="J579" s="24" t="str">
        <x:v>1.60</x:v>
      </x:c>
      <x:c r="K579" s="24" t="str">
        <x:v>LayR X-tra Clean</x:v>
      </x:c>
      <x:c r="L579" s="40" t="n">
        <x:v>2923</x:v>
      </x:c>
      <x:c r="M579" s="24" t="str">
        <x:v>-10 a +10</x:v>
      </x:c>
      <x:c r="N579" s="24" t="str">
        <x:v>até -6</x:v>
      </x:c>
      <x:c r="O579" s="24"/>
      <x:c r="P579" s="24" t="str">
        <x:v>75</x:v>
      </x:c>
      <x:c r="Q579" s="24"/>
      <x:c r="R579" s="24"/>
      <x:c r="S579" s="26" t="n">
        <x:v>46024</x:v>
      </x:c>
      <x:c r="T579" s="26"/>
      <x:c r="U579" s="24" t="str">
        <x:v>ATIVA/SEM FIM INFORMADO</x:v>
      </x:c>
      <x:c r="V579" s="24"/>
      <x:c r="W579" s="24" t="n">
        <x:v>15</x:v>
      </x:c>
      <x:c r="X579" s="24" t="str">
        <x:v>tabela_rodenstock.pdf</x:v>
      </x:c>
      <x:c r="Y579" s="24" t="str">
        <x:v>alta</x:v>
      </x:c>
      <x:c r="Z579" s="24"/>
      <x:c r="AA579" s="24" t="str">
        <x:v>Rodenstock|Mono Plus B.I.G. NORM|Surfaçada|Multigressiv Mono Plus B.I.G. NORM|PRO410|1.6|1.60|LayR X-tra Clean|-10 a +10|até -6||75|||15</x:v>
      </x:c>
    </x:row>
    <x:row r="580">
      <x:c r="A580" s="24" t="str">
        <x:v>RD-E407A3C0A129</x:v>
      </x:c>
      <x:c r="B580" s="24" t="str">
        <x:v>SIM</x:v>
      </x:c>
      <x:c r="C580" s="24" t="str">
        <x:v>DISPONÍVEL</x:v>
      </x:c>
      <x:c r="D580" s="24" t="str">
        <x:v>Rodenstock</x:v>
      </x:c>
      <x:c r="E580" s="24" t="str">
        <x:v>Mono Plus B.I.G. NORM</x:v>
      </x:c>
      <x:c r="F580" s="24" t="str">
        <x:v>Surfaçada</x:v>
      </x:c>
      <x:c r="G580" s="24" t="str">
        <x:v>Multigressiv Mono Plus B.I.G. NORM</x:v>
      </x:c>
      <x:c r="H580" s="24" t="str">
        <x:v>PRO410</x:v>
      </x:c>
      <x:c r="I580" s="24" t="str">
        <x:v>1.6</x:v>
      </x:c>
      <x:c r="J580" s="24" t="str">
        <x:v>1.60</x:v>
      </x:c>
      <x:c r="K580" s="24" t="str">
        <x:v>LayR Balance</x:v>
      </x:c>
      <x:c r="L580" s="40" t="n">
        <x:v>2923</x:v>
      </x:c>
      <x:c r="M580" s="24" t="str">
        <x:v>-10 a +10</x:v>
      </x:c>
      <x:c r="N580" s="24" t="str">
        <x:v>até -6</x:v>
      </x:c>
      <x:c r="O580" s="24"/>
      <x:c r="P580" s="24" t="str">
        <x:v>75</x:v>
      </x:c>
      <x:c r="Q580" s="24"/>
      <x:c r="R580" s="24"/>
      <x:c r="S580" s="26" t="n">
        <x:v>46024</x:v>
      </x:c>
      <x:c r="T580" s="26"/>
      <x:c r="U580" s="24" t="str">
        <x:v>ATIVA/SEM FIM INFORMADO</x:v>
      </x:c>
      <x:c r="V580" s="24"/>
      <x:c r="W580" s="24" t="n">
        <x:v>15</x:v>
      </x:c>
      <x:c r="X580" s="24" t="str">
        <x:v>tabela_rodenstock.pdf</x:v>
      </x:c>
      <x:c r="Y580" s="24" t="str">
        <x:v>alta</x:v>
      </x:c>
      <x:c r="Z580" s="24"/>
      <x:c r="AA580" s="24" t="str">
        <x:v>Rodenstock|Mono Plus B.I.G. NORM|Surfaçada|Multigressiv Mono Plus B.I.G. NORM|PRO410|1.6|1.60|LayR Balance|-10 a +10|até -6||75|||15</x:v>
      </x:c>
    </x:row>
    <x:row r="581">
      <x:c r="A581" s="24" t="str">
        <x:v>RD-17A3E7F49C46</x:v>
      </x:c>
      <x:c r="B581" s="24" t="str">
        <x:v>SIM</x:v>
      </x:c>
      <x:c r="C581" s="24" t="str">
        <x:v>DISPONÍVEL</x:v>
      </x:c>
      <x:c r="D581" s="24" t="str">
        <x:v>Rodenstock</x:v>
      </x:c>
      <x:c r="E581" s="24" t="str">
        <x:v>Mono Plus B.I.G. NORM</x:v>
      </x:c>
      <x:c r="F581" s="24" t="str">
        <x:v>Surfaçada</x:v>
      </x:c>
      <x:c r="G581" s="24" t="str">
        <x:v>Multigressiv Mono Plus B.I.G. NORM</x:v>
      </x:c>
      <x:c r="H581" s="24" t="str">
        <x:v>PRO410</x:v>
      </x:c>
      <x:c r="I581" s="24" t="str">
        <x:v>1.6</x:v>
      </x:c>
      <x:c r="J581" s="24" t="str">
        <x:v>1.60</x:v>
      </x:c>
      <x:c r="K581" s="24" t="str">
        <x:v>Solitaire X-tra Clean</x:v>
      </x:c>
      <x:c r="L581" s="40" t="n">
        <x:v>2853</x:v>
      </x:c>
      <x:c r="M581" s="24" t="str">
        <x:v>-10 a +10</x:v>
      </x:c>
      <x:c r="N581" s="24" t="str">
        <x:v>até -6</x:v>
      </x:c>
      <x:c r="O581" s="24"/>
      <x:c r="P581" s="24" t="str">
        <x:v>75</x:v>
      </x:c>
      <x:c r="Q581" s="24"/>
      <x:c r="R581" s="24"/>
      <x:c r="S581" s="26" t="n">
        <x:v>46024</x:v>
      </x:c>
      <x:c r="T581" s="26"/>
      <x:c r="U581" s="24" t="str">
        <x:v>ATIVA/SEM FIM INFORMADO</x:v>
      </x:c>
      <x:c r="V581" s="24"/>
      <x:c r="W581" s="24" t="n">
        <x:v>15</x:v>
      </x:c>
      <x:c r="X581" s="24" t="str">
        <x:v>tabela_rodenstock.pdf</x:v>
      </x:c>
      <x:c r="Y581" s="24" t="str">
        <x:v>alta</x:v>
      </x:c>
      <x:c r="Z581" s="24"/>
      <x:c r="AA581" s="24" t="str">
        <x:v>Rodenstock|Mono Plus B.I.G. NORM|Surfaçada|Multigressiv Mono Plus B.I.G. NORM|PRO410|1.6|1.60|Solitaire X-tra Clean|-10 a +10|até -6||75|||15</x:v>
      </x:c>
    </x:row>
    <x:row r="582">
      <x:c r="A582" s="24" t="str">
        <x:v>RD-3FC16040A053</x:v>
      </x:c>
      <x:c r="B582" s="24" t="str">
        <x:v>SIM</x:v>
      </x:c>
      <x:c r="C582" s="24" t="str">
        <x:v>DISPONÍVEL</x:v>
      </x:c>
      <x:c r="D582" s="24" t="str">
        <x:v>Rodenstock</x:v>
      </x:c>
      <x:c r="E582" s="24" t="str">
        <x:v>Mono Plus B.I.G. NORM</x:v>
      </x:c>
      <x:c r="F582" s="24" t="str">
        <x:v>Surfaçada</x:v>
      </x:c>
      <x:c r="G582" s="24" t="str">
        <x:v>Multigressiv Mono Plus B.I.G. NORM</x:v>
      </x:c>
      <x:c r="H582" s="24" t="str">
        <x:v>PRO410</x:v>
      </x:c>
      <x:c r="I582" s="24" t="str">
        <x:v>1.6</x:v>
      </x:c>
      <x:c r="J582" s="24" t="str">
        <x:v>1.60</x:v>
      </x:c>
      <x:c r="K582" s="24" t="str">
        <x:v>Solitaire Protect Plus</x:v>
      </x:c>
      <x:c r="L582" s="40" t="n">
        <x:v>2803</x:v>
      </x:c>
      <x:c r="M582" s="24" t="str">
        <x:v>-10 a +10</x:v>
      </x:c>
      <x:c r="N582" s="24" t="str">
        <x:v>até -6</x:v>
      </x:c>
      <x:c r="O582" s="24"/>
      <x:c r="P582" s="24" t="str">
        <x:v>75</x:v>
      </x:c>
      <x:c r="Q582" s="24"/>
      <x:c r="R582" s="24"/>
      <x:c r="S582" s="26" t="n">
        <x:v>46024</x:v>
      </x:c>
      <x:c r="T582" s="26"/>
      <x:c r="U582" s="24" t="str">
        <x:v>ATIVA/SEM FIM INFORMADO</x:v>
      </x:c>
      <x:c r="V582" s="24"/>
      <x:c r="W582" s="24" t="n">
        <x:v>15</x:v>
      </x:c>
      <x:c r="X582" s="24" t="str">
        <x:v>tabela_rodenstock.pdf</x:v>
      </x:c>
      <x:c r="Y582" s="24" t="str">
        <x:v>alta</x:v>
      </x:c>
      <x:c r="Z582" s="24"/>
      <x:c r="AA582" s="24" t="str">
        <x:v>Rodenstock|Mono Plus B.I.G. NORM|Surfaçada|Multigressiv Mono Plus B.I.G. NORM|PRO410|1.6|1.60|Solitaire Protect Plus|-10 a +10|até -6||75|||15</x:v>
      </x:c>
    </x:row>
    <x:row r="583">
      <x:c r="A583" s="24" t="str">
        <x:v>RD-93282972A8EC</x:v>
      </x:c>
      <x:c r="B583" s="24" t="str">
        <x:v>SIM</x:v>
      </x:c>
      <x:c r="C583" s="24" t="str">
        <x:v>DISPONÍVEL</x:v>
      </x:c>
      <x:c r="D583" s="24" t="str">
        <x:v>Rodenstock</x:v>
      </x:c>
      <x:c r="E583" s="24" t="str">
        <x:v>Mono Plus B.I.G. NORM</x:v>
      </x:c>
      <x:c r="F583" s="24" t="str">
        <x:v>Surfaçada</x:v>
      </x:c>
      <x:c r="G583" s="24" t="str">
        <x:v>Multigressiv Mono Plus B.I.G. NORM</x:v>
      </x:c>
      <x:c r="H583" s="24" t="str">
        <x:v>PRO410</x:v>
      </x:c>
      <x:c r="I583" s="24" t="str">
        <x:v>1.6</x:v>
      </x:c>
      <x:c r="J583" s="24" t="str">
        <x:v>1.60</x:v>
      </x:c>
      <x:c r="K583" s="24" t="str">
        <x:v>ROAD</x:v>
      </x:c>
      <x:c r="L583" s="40" t="n">
        <x:v>2803</x:v>
      </x:c>
      <x:c r="M583" s="24" t="str">
        <x:v>-10 a +10</x:v>
      </x:c>
      <x:c r="N583" s="24" t="str">
        <x:v>até -6</x:v>
      </x:c>
      <x:c r="O583" s="24"/>
      <x:c r="P583" s="24" t="str">
        <x:v>75</x:v>
      </x:c>
      <x:c r="Q583" s="24"/>
      <x:c r="R583" s="24"/>
      <x:c r="S583" s="26" t="n">
        <x:v>46024</x:v>
      </x:c>
      <x:c r="T583" s="26"/>
      <x:c r="U583" s="24" t="str">
        <x:v>ATIVA/SEM FIM INFORMADO</x:v>
      </x:c>
      <x:c r="V583" s="24"/>
      <x:c r="W583" s="24" t="n">
        <x:v>15</x:v>
      </x:c>
      <x:c r="X583" s="24" t="str">
        <x:v>tabela_rodenstock.pdf</x:v>
      </x:c>
      <x:c r="Y583" s="24" t="str">
        <x:v>alta</x:v>
      </x:c>
      <x:c r="Z583" s="24"/>
      <x:c r="AA583" s="24" t="str">
        <x:v>Rodenstock|Mono Plus B.I.G. NORM|Surfaçada|Multigressiv Mono Plus B.I.G. NORM|PRO410|1.6|1.60|ROAD|-10 a +10|até -6||75|||15</x:v>
      </x:c>
    </x:row>
    <x:row r="584">
      <x:c r="A584" s="24" t="str">
        <x:v>RD-0E18122946AC</x:v>
      </x:c>
      <x:c r="B584" s="24" t="str">
        <x:v>SIM</x:v>
      </x:c>
      <x:c r="C584" s="24" t="str">
        <x:v>DISPONÍVEL</x:v>
      </x:c>
      <x:c r="D584" s="24" t="str">
        <x:v>Rodenstock</x:v>
      </x:c>
      <x:c r="E584" s="24" t="str">
        <x:v>Mono Plus B.I.G. NORM</x:v>
      </x:c>
      <x:c r="F584" s="24" t="str">
        <x:v>Surfaçada</x:v>
      </x:c>
      <x:c r="G584" s="24" t="str">
        <x:v>Multigressiv Mono Plus B.I.G. NORM</x:v>
      </x:c>
      <x:c r="H584" s="24" t="str">
        <x:v>PRO410</x:v>
      </x:c>
      <x:c r="I584" s="24" t="str">
        <x:v>1.6</x:v>
      </x:c>
      <x:c r="J584" s="24" t="str">
        <x:v>1.60</x:v>
      </x:c>
      <x:c r="K584" s="24" t="str">
        <x:v>Solitaire Protect</x:v>
      </x:c>
      <x:c r="L584" s="40" t="n">
        <x:v>2543</x:v>
      </x:c>
      <x:c r="M584" s="24" t="str">
        <x:v>-10 a +10</x:v>
      </x:c>
      <x:c r="N584" s="24" t="str">
        <x:v>até -6</x:v>
      </x:c>
      <x:c r="O584" s="24"/>
      <x:c r="P584" s="24" t="str">
        <x:v>75</x:v>
      </x:c>
      <x:c r="Q584" s="24"/>
      <x:c r="R584" s="24"/>
      <x:c r="S584" s="26" t="n">
        <x:v>46024</x:v>
      </x:c>
      <x:c r="T584" s="26"/>
      <x:c r="U584" s="24" t="str">
        <x:v>ATIVA/SEM FIM INFORMADO</x:v>
      </x:c>
      <x:c r="V584" s="24"/>
      <x:c r="W584" s="24" t="n">
        <x:v>15</x:v>
      </x:c>
      <x:c r="X584" s="24" t="str">
        <x:v>tabela_rodenstock.pdf</x:v>
      </x:c>
      <x:c r="Y584" s="24" t="str">
        <x:v>alta</x:v>
      </x:c>
      <x:c r="Z584" s="24"/>
      <x:c r="AA584" s="24" t="str">
        <x:v>Rodenstock|Mono Plus B.I.G. NORM|Surfaçada|Multigressiv Mono Plus B.I.G. NORM|PRO410|1.6|1.60|Solitaire Protect|-10 a +10|até -6||75|||15</x:v>
      </x:c>
    </x:row>
    <x:row r="585">
      <x:c r="A585" s="24" t="str">
        <x:v>RD-40B4B6D578BC</x:v>
      </x:c>
      <x:c r="B585" s="24" t="str">
        <x:v>SIM</x:v>
      </x:c>
      <x:c r="C585" s="24" t="str">
        <x:v>DISPONÍVEL</x:v>
      </x:c>
      <x:c r="D585" s="24" t="str">
        <x:v>Rodenstock</x:v>
      </x:c>
      <x:c r="E585" s="24" t="str">
        <x:v>Mono Plus B.I.G. NORM</x:v>
      </x:c>
      <x:c r="F585" s="24" t="str">
        <x:v>Surfaçada</x:v>
      </x:c>
      <x:c r="G585" s="24" t="str">
        <x:v>Multigressiv Mono Plus B.I.G. NORM</x:v>
      </x:c>
      <x:c r="H585" s="24" t="str">
        <x:v>ColorMatic® 3 | X</x:v>
      </x:c>
      <x:c r="I585" s="24" t="str">
        <x:v>1.6</x:v>
      </x:c>
      <x:c r="J585" s="24" t="str">
        <x:v>1.60</x:v>
      </x:c>
      <x:c r="K585" s="24" t="str">
        <x:v>LayR X-tra Clean</x:v>
      </x:c>
      <x:c r="L585" s="40" t="n">
        <x:v>4104</x:v>
      </x:c>
      <x:c r="M585" s="24" t="str">
        <x:v>-10 a +10</x:v>
      </x:c>
      <x:c r="N585" s="24" t="str">
        <x:v>até -6</x:v>
      </x:c>
      <x:c r="O585" s="24"/>
      <x:c r="P585" s="24" t="str">
        <x:v>75</x:v>
      </x:c>
      <x:c r="Q585" s="24"/>
      <x:c r="R585" s="24"/>
      <x:c r="S585" s="26" t="n">
        <x:v>46024</x:v>
      </x:c>
      <x:c r="T585" s="26"/>
      <x:c r="U585" s="24" t="str">
        <x:v>ATIVA/SEM FIM INFORMADO</x:v>
      </x:c>
      <x:c r="V585" s="24"/>
      <x:c r="W585" s="24" t="n">
        <x:v>15</x:v>
      </x:c>
      <x:c r="X585" s="24" t="str">
        <x:v>tabela_rodenstock.pdf</x:v>
      </x:c>
      <x:c r="Y585" s="24" t="str">
        <x:v>alta</x:v>
      </x:c>
      <x:c r="Z585" s="24"/>
      <x:c r="AA585" s="24" t="str">
        <x:v>Rodenstock|Mono Plus B.I.G. NORM|Surfaçada|Multigressiv Mono Plus B.I.G. NORM|ColorMatic® 3 | X|1.6|1.60|LayR X-tra Clean|-10 a +10|até -6||75|||15</x:v>
      </x:c>
    </x:row>
    <x:row r="586">
      <x:c r="A586" s="24" t="str">
        <x:v>RD-63B2BD6BEDA3</x:v>
      </x:c>
      <x:c r="B586" s="24" t="str">
        <x:v>SIM</x:v>
      </x:c>
      <x:c r="C586" s="24" t="str">
        <x:v>DISPONÍVEL</x:v>
      </x:c>
      <x:c r="D586" s="24" t="str">
        <x:v>Rodenstock</x:v>
      </x:c>
      <x:c r="E586" s="24" t="str">
        <x:v>Mono Plus B.I.G. NORM</x:v>
      </x:c>
      <x:c r="F586" s="24" t="str">
        <x:v>Surfaçada</x:v>
      </x:c>
      <x:c r="G586" s="24" t="str">
        <x:v>Multigressiv Mono Plus B.I.G. NORM</x:v>
      </x:c>
      <x:c r="H586" s="24" t="str">
        <x:v>ColorMatic® 3 | X</x:v>
      </x:c>
      <x:c r="I586" s="24" t="str">
        <x:v>1.6</x:v>
      </x:c>
      <x:c r="J586" s="24" t="str">
        <x:v>1.60</x:v>
      </x:c>
      <x:c r="K586" s="24" t="str">
        <x:v>LayR Balance</x:v>
      </x:c>
      <x:c r="L586" s="40" t="n">
        <x:v>4104</x:v>
      </x:c>
      <x:c r="M586" s="24" t="str">
        <x:v>-10 a +10</x:v>
      </x:c>
      <x:c r="N586" s="24" t="str">
        <x:v>até -6</x:v>
      </x:c>
      <x:c r="O586" s="24"/>
      <x:c r="P586" s="24" t="str">
        <x:v>75</x:v>
      </x:c>
      <x:c r="Q586" s="24"/>
      <x:c r="R586" s="24"/>
      <x:c r="S586" s="26" t="n">
        <x:v>46024</x:v>
      </x:c>
      <x:c r="T586" s="26"/>
      <x:c r="U586" s="24" t="str">
        <x:v>ATIVA/SEM FIM INFORMADO</x:v>
      </x:c>
      <x:c r="V586" s="24"/>
      <x:c r="W586" s="24" t="n">
        <x:v>15</x:v>
      </x:c>
      <x:c r="X586" s="24" t="str">
        <x:v>tabela_rodenstock.pdf</x:v>
      </x:c>
      <x:c r="Y586" s="24" t="str">
        <x:v>alta</x:v>
      </x:c>
      <x:c r="Z586" s="24"/>
      <x:c r="AA586" s="24" t="str">
        <x:v>Rodenstock|Mono Plus B.I.G. NORM|Surfaçada|Multigressiv Mono Plus B.I.G. NORM|ColorMatic® 3 | X|1.6|1.60|LayR Balance|-10 a +10|até -6||75|||15</x:v>
      </x:c>
    </x:row>
    <x:row r="587">
      <x:c r="A587" s="24" t="str">
        <x:v>RD-70A1DF77C3F0</x:v>
      </x:c>
      <x:c r="B587" s="24" t="str">
        <x:v>SIM</x:v>
      </x:c>
      <x:c r="C587" s="24" t="str">
        <x:v>DISPONÍVEL</x:v>
      </x:c>
      <x:c r="D587" s="24" t="str">
        <x:v>Rodenstock</x:v>
      </x:c>
      <x:c r="E587" s="24" t="str">
        <x:v>Mono Plus B.I.G. NORM</x:v>
      </x:c>
      <x:c r="F587" s="24" t="str">
        <x:v>Surfaçada</x:v>
      </x:c>
      <x:c r="G587" s="24" t="str">
        <x:v>Multigressiv Mono Plus B.I.G. NORM</x:v>
      </x:c>
      <x:c r="H587" s="24" t="str">
        <x:v>ColorMatic® 3 | X</x:v>
      </x:c>
      <x:c r="I587" s="24" t="str">
        <x:v>1.6</x:v>
      </x:c>
      <x:c r="J587" s="24" t="str">
        <x:v>1.60</x:v>
      </x:c>
      <x:c r="K587" s="24" t="str">
        <x:v>Solitaire X-tra Clean</x:v>
      </x:c>
      <x:c r="L587" s="40" t="n">
        <x:v>4034</x:v>
      </x:c>
      <x:c r="M587" s="24" t="str">
        <x:v>-10 a +10</x:v>
      </x:c>
      <x:c r="N587" s="24" t="str">
        <x:v>até -6</x:v>
      </x:c>
      <x:c r="O587" s="24"/>
      <x:c r="P587" s="24" t="str">
        <x:v>75</x:v>
      </x:c>
      <x:c r="Q587" s="24"/>
      <x:c r="R587" s="24"/>
      <x:c r="S587" s="26" t="n">
        <x:v>46024</x:v>
      </x:c>
      <x:c r="T587" s="26"/>
      <x:c r="U587" s="24" t="str">
        <x:v>ATIVA/SEM FIM INFORMADO</x:v>
      </x:c>
      <x:c r="V587" s="24"/>
      <x:c r="W587" s="24" t="n">
        <x:v>15</x:v>
      </x:c>
      <x:c r="X587" s="24" t="str">
        <x:v>tabela_rodenstock.pdf</x:v>
      </x:c>
      <x:c r="Y587" s="24" t="str">
        <x:v>alta</x:v>
      </x:c>
      <x:c r="Z587" s="24"/>
      <x:c r="AA587" s="24" t="str">
        <x:v>Rodenstock|Mono Plus B.I.G. NORM|Surfaçada|Multigressiv Mono Plus B.I.G. NORM|ColorMatic® 3 | X|1.6|1.60|Solitaire X-tra Clean|-10 a +10|até -6||75|||15</x:v>
      </x:c>
    </x:row>
    <x:row r="588">
      <x:c r="A588" s="24" t="str">
        <x:v>RD-477928C428BB</x:v>
      </x:c>
      <x:c r="B588" s="24" t="str">
        <x:v>SIM</x:v>
      </x:c>
      <x:c r="C588" s="24" t="str">
        <x:v>DISPONÍVEL</x:v>
      </x:c>
      <x:c r="D588" s="24" t="str">
        <x:v>Rodenstock</x:v>
      </x:c>
      <x:c r="E588" s="24" t="str">
        <x:v>Mono Plus B.I.G. NORM</x:v>
      </x:c>
      <x:c r="F588" s="24" t="str">
        <x:v>Surfaçada</x:v>
      </x:c>
      <x:c r="G588" s="24" t="str">
        <x:v>Multigressiv Mono Plus B.I.G. NORM</x:v>
      </x:c>
      <x:c r="H588" s="24" t="str">
        <x:v>ColorMatic® 3 | X</x:v>
      </x:c>
      <x:c r="I588" s="24" t="str">
        <x:v>1.6</x:v>
      </x:c>
      <x:c r="J588" s="24" t="str">
        <x:v>1.60</x:v>
      </x:c>
      <x:c r="K588" s="24" t="str">
        <x:v>Solitaire Protect Plus</x:v>
      </x:c>
      <x:c r="L588" s="40" t="n">
        <x:v>3984</x:v>
      </x:c>
      <x:c r="M588" s="24" t="str">
        <x:v>-10 a +10</x:v>
      </x:c>
      <x:c r="N588" s="24" t="str">
        <x:v>até -6</x:v>
      </x:c>
      <x:c r="O588" s="24"/>
      <x:c r="P588" s="24" t="str">
        <x:v>75</x:v>
      </x:c>
      <x:c r="Q588" s="24"/>
      <x:c r="R588" s="24"/>
      <x:c r="S588" s="26" t="n">
        <x:v>46024</x:v>
      </x:c>
      <x:c r="T588" s="26"/>
      <x:c r="U588" s="24" t="str">
        <x:v>ATIVA/SEM FIM INFORMADO</x:v>
      </x:c>
      <x:c r="V588" s="24"/>
      <x:c r="W588" s="24" t="n">
        <x:v>15</x:v>
      </x:c>
      <x:c r="X588" s="24" t="str">
        <x:v>tabela_rodenstock.pdf</x:v>
      </x:c>
      <x:c r="Y588" s="24" t="str">
        <x:v>alta</x:v>
      </x:c>
      <x:c r="Z588" s="24"/>
      <x:c r="AA588" s="24" t="str">
        <x:v>Rodenstock|Mono Plus B.I.G. NORM|Surfaçada|Multigressiv Mono Plus B.I.G. NORM|ColorMatic® 3 | X|1.6|1.60|Solitaire Protect Plus|-10 a +10|até -6||75|||15</x:v>
      </x:c>
    </x:row>
    <x:row r="589">
      <x:c r="A589" s="24" t="str">
        <x:v>RD-D37D7DD58B8D</x:v>
      </x:c>
      <x:c r="B589" s="24" t="str">
        <x:v>SIM</x:v>
      </x:c>
      <x:c r="C589" s="24" t="str">
        <x:v>DISPONÍVEL</x:v>
      </x:c>
      <x:c r="D589" s="24" t="str">
        <x:v>Rodenstock</x:v>
      </x:c>
      <x:c r="E589" s="24" t="str">
        <x:v>Mono Plus B.I.G. NORM</x:v>
      </x:c>
      <x:c r="F589" s="24" t="str">
        <x:v>Surfaçada</x:v>
      </x:c>
      <x:c r="G589" s="24" t="str">
        <x:v>Multigressiv Mono Plus B.I.G. NORM</x:v>
      </x:c>
      <x:c r="H589" s="24" t="str">
        <x:v>ColorMatic® 3 | X</x:v>
      </x:c>
      <x:c r="I589" s="24" t="str">
        <x:v>1.6</x:v>
      </x:c>
      <x:c r="J589" s="24" t="str">
        <x:v>1.60</x:v>
      </x:c>
      <x:c r="K589" s="24" t="str">
        <x:v>ROAD</x:v>
      </x:c>
      <x:c r="L589" s="40" t="n">
        <x:v>3984</x:v>
      </x:c>
      <x:c r="M589" s="24" t="str">
        <x:v>-10 a +10</x:v>
      </x:c>
      <x:c r="N589" s="24" t="str">
        <x:v>até -6</x:v>
      </x:c>
      <x:c r="O589" s="24"/>
      <x:c r="P589" s="24" t="str">
        <x:v>75</x:v>
      </x:c>
      <x:c r="Q589" s="24"/>
      <x:c r="R589" s="24"/>
      <x:c r="S589" s="26" t="n">
        <x:v>46024</x:v>
      </x:c>
      <x:c r="T589" s="26"/>
      <x:c r="U589" s="24" t="str">
        <x:v>ATIVA/SEM FIM INFORMADO</x:v>
      </x:c>
      <x:c r="V589" s="24"/>
      <x:c r="W589" s="24" t="n">
        <x:v>15</x:v>
      </x:c>
      <x:c r="X589" s="24" t="str">
        <x:v>tabela_rodenstock.pdf</x:v>
      </x:c>
      <x:c r="Y589" s="24" t="str">
        <x:v>alta</x:v>
      </x:c>
      <x:c r="Z589" s="24"/>
      <x:c r="AA589" s="24" t="str">
        <x:v>Rodenstock|Mono Plus B.I.G. NORM|Surfaçada|Multigressiv Mono Plus B.I.G. NORM|ColorMatic® 3 | X|1.6|1.60|ROAD|-10 a +10|até -6||75|||15</x:v>
      </x:c>
    </x:row>
    <x:row r="590">
      <x:c r="A590" s="24" t="str">
        <x:v>RD-9BE3A381C90E</x:v>
      </x:c>
      <x:c r="B590" s="24" t="str">
        <x:v>SIM</x:v>
      </x:c>
      <x:c r="C590" s="24" t="str">
        <x:v>DISPONÍVEL</x:v>
      </x:c>
      <x:c r="D590" s="24" t="str">
        <x:v>Rodenstock</x:v>
      </x:c>
      <x:c r="E590" s="24" t="str">
        <x:v>Mono Plus B.I.G. NORM</x:v>
      </x:c>
      <x:c r="F590" s="24" t="str">
        <x:v>Surfaçada</x:v>
      </x:c>
      <x:c r="G590" s="24" t="str">
        <x:v>Multigressiv Mono Plus B.I.G. NORM</x:v>
      </x:c>
      <x:c r="H590" s="24" t="str">
        <x:v>ColorMatic® 3 | X</x:v>
      </x:c>
      <x:c r="I590" s="24" t="str">
        <x:v>1.6</x:v>
      </x:c>
      <x:c r="J590" s="24" t="str">
        <x:v>1.60</x:v>
      </x:c>
      <x:c r="K590" s="24" t="str">
        <x:v>Solitaire Protect</x:v>
      </x:c>
      <x:c r="L590" s="40" t="n">
        <x:v>3724</x:v>
      </x:c>
      <x:c r="M590" s="24" t="str">
        <x:v>-10 a +10</x:v>
      </x:c>
      <x:c r="N590" s="24" t="str">
        <x:v>até -6</x:v>
      </x:c>
      <x:c r="O590" s="24"/>
      <x:c r="P590" s="24" t="str">
        <x:v>75</x:v>
      </x:c>
      <x:c r="Q590" s="24"/>
      <x:c r="R590" s="24"/>
      <x:c r="S590" s="26" t="n">
        <x:v>46024</x:v>
      </x:c>
      <x:c r="T590" s="26"/>
      <x:c r="U590" s="24" t="str">
        <x:v>ATIVA/SEM FIM INFORMADO</x:v>
      </x:c>
      <x:c r="V590" s="24"/>
      <x:c r="W590" s="24" t="n">
        <x:v>15</x:v>
      </x:c>
      <x:c r="X590" s="24" t="str">
        <x:v>tabela_rodenstock.pdf</x:v>
      </x:c>
      <x:c r="Y590" s="24" t="str">
        <x:v>alta</x:v>
      </x:c>
      <x:c r="Z590" s="24"/>
      <x:c r="AA590" s="24" t="str">
        <x:v>Rodenstock|Mono Plus B.I.G. NORM|Surfaçada|Multigressiv Mono Plus B.I.G. NORM|ColorMatic® 3 | X|1.6|1.60|Solitaire Protect|-10 a +10|até -6||75|||15</x:v>
      </x:c>
    </x:row>
    <x:row r="591">
      <x:c r="A591" s="24" t="str">
        <x:v>RD-3014D339B588</x:v>
      </x:c>
      <x:c r="B591" s="24" t="str">
        <x:v>SIM</x:v>
      </x:c>
      <x:c r="C591" s="24" t="str">
        <x:v>DISPONÍVEL</x:v>
      </x:c>
      <x:c r="D591" s="24" t="str">
        <x:v>Rodenstock</x:v>
      </x:c>
      <x:c r="E591" s="24" t="str">
        <x:v>Mono Plus B.I.G. NORM</x:v>
      </x:c>
      <x:c r="F591" s="24" t="str">
        <x:v>Surfaçada</x:v>
      </x:c>
      <x:c r="G591" s="24" t="str">
        <x:v>Multigressiv Mono Plus B.I.G. NORM</x:v>
      </x:c>
      <x:c r="H591" s="24"/>
      <x:c r="I591" s="24" t="str">
        <x:v>1.67</x:v>
      </x:c>
      <x:c r="J591" s="24" t="str">
        <x:v>1.67</x:v>
      </x:c>
      <x:c r="K591" s="24" t="str">
        <x:v>LayR X-tra Clean</x:v>
      </x:c>
      <x:c r="L591" s="40" t="n">
        <x:v>3906</x:v>
      </x:c>
      <x:c r="M591" s="24" t="str">
        <x:v>-12 a +10</x:v>
      </x:c>
      <x:c r="N591" s="24" t="str">
        <x:v>até -6</x:v>
      </x:c>
      <x:c r="O591" s="24"/>
      <x:c r="P591" s="24" t="str">
        <x:v>75</x:v>
      </x:c>
      <x:c r="Q591" s="24"/>
      <x:c r="R591" s="24"/>
      <x:c r="S591" s="26" t="n">
        <x:v>46024</x:v>
      </x:c>
      <x:c r="T591" s="26"/>
      <x:c r="U591" s="24" t="str">
        <x:v>ATIVA/SEM FIM INFORMADO</x:v>
      </x:c>
      <x:c r="V591" s="24"/>
      <x:c r="W591" s="24" t="n">
        <x:v>15</x:v>
      </x:c>
      <x:c r="X591" s="24" t="str">
        <x:v>tabela_rodenstock.pdf</x:v>
      </x:c>
      <x:c r="Y591" s="24" t="str">
        <x:v>alta</x:v>
      </x:c>
      <x:c r="Z591" s="24"/>
      <x:c r="AA591" s="24" t="str">
        <x:v>Rodenstock|Mono Plus B.I.G. NORM|Surfaçada|Multigressiv Mono Plus B.I.G. NORM||1.67|1.67|LayR X-tra Clean|-12 a +10|até -6||75|||15</x:v>
      </x:c>
    </x:row>
    <x:row r="592">
      <x:c r="A592" s="24" t="str">
        <x:v>RD-16D58E4D1087</x:v>
      </x:c>
      <x:c r="B592" s="24" t="str">
        <x:v>SIM</x:v>
      </x:c>
      <x:c r="C592" s="24" t="str">
        <x:v>DISPONÍVEL</x:v>
      </x:c>
      <x:c r="D592" s="24" t="str">
        <x:v>Rodenstock</x:v>
      </x:c>
      <x:c r="E592" s="24" t="str">
        <x:v>Mono Plus B.I.G. NORM</x:v>
      </x:c>
      <x:c r="F592" s="24" t="str">
        <x:v>Surfaçada</x:v>
      </x:c>
      <x:c r="G592" s="24" t="str">
        <x:v>Multigressiv Mono Plus B.I.G. NORM</x:v>
      </x:c>
      <x:c r="H592" s="24"/>
      <x:c r="I592" s="24" t="str">
        <x:v>1.67</x:v>
      </x:c>
      <x:c r="J592" s="24" t="str">
        <x:v>1.67</x:v>
      </x:c>
      <x:c r="K592" s="24" t="str">
        <x:v>LayR Balance</x:v>
      </x:c>
      <x:c r="L592" s="40" t="n">
        <x:v>3906</x:v>
      </x:c>
      <x:c r="M592" s="24" t="str">
        <x:v>-12 a +10</x:v>
      </x:c>
      <x:c r="N592" s="24" t="str">
        <x:v>até -6</x:v>
      </x:c>
      <x:c r="O592" s="24"/>
      <x:c r="P592" s="24" t="str">
        <x:v>75</x:v>
      </x:c>
      <x:c r="Q592" s="24"/>
      <x:c r="R592" s="24"/>
      <x:c r="S592" s="26" t="n">
        <x:v>46024</x:v>
      </x:c>
      <x:c r="T592" s="26"/>
      <x:c r="U592" s="24" t="str">
        <x:v>ATIVA/SEM FIM INFORMADO</x:v>
      </x:c>
      <x:c r="V592" s="24"/>
      <x:c r="W592" s="24" t="n">
        <x:v>15</x:v>
      </x:c>
      <x:c r="X592" s="24" t="str">
        <x:v>tabela_rodenstock.pdf</x:v>
      </x:c>
      <x:c r="Y592" s="24" t="str">
        <x:v>alta</x:v>
      </x:c>
      <x:c r="Z592" s="24"/>
      <x:c r="AA592" s="24" t="str">
        <x:v>Rodenstock|Mono Plus B.I.G. NORM|Surfaçada|Multigressiv Mono Plus B.I.G. NORM||1.67|1.67|LayR Balance|-12 a +10|até -6||75|||15</x:v>
      </x:c>
    </x:row>
    <x:row r="593">
      <x:c r="A593" s="24" t="str">
        <x:v>RD-993A35714F03</x:v>
      </x:c>
      <x:c r="B593" s="24" t="str">
        <x:v>SIM</x:v>
      </x:c>
      <x:c r="C593" s="24" t="str">
        <x:v>DISPONÍVEL</x:v>
      </x:c>
      <x:c r="D593" s="24" t="str">
        <x:v>Rodenstock</x:v>
      </x:c>
      <x:c r="E593" s="24" t="str">
        <x:v>Mono Plus B.I.G. NORM</x:v>
      </x:c>
      <x:c r="F593" s="24" t="str">
        <x:v>Surfaçada</x:v>
      </x:c>
      <x:c r="G593" s="24" t="str">
        <x:v>Multigressiv Mono Plus B.I.G. NORM</x:v>
      </x:c>
      <x:c r="H593" s="24"/>
      <x:c r="I593" s="24" t="str">
        <x:v>1.67</x:v>
      </x:c>
      <x:c r="J593" s="24" t="str">
        <x:v>1.67</x:v>
      </x:c>
      <x:c r="K593" s="24" t="str">
        <x:v>Solitaire X-tra Clean</x:v>
      </x:c>
      <x:c r="L593" s="40" t="n">
        <x:v>3836</x:v>
      </x:c>
      <x:c r="M593" s="24" t="str">
        <x:v>-12 a +10</x:v>
      </x:c>
      <x:c r="N593" s="24" t="str">
        <x:v>até -6</x:v>
      </x:c>
      <x:c r="O593" s="24"/>
      <x:c r="P593" s="24" t="str">
        <x:v>75</x:v>
      </x:c>
      <x:c r="Q593" s="24"/>
      <x:c r="R593" s="24"/>
      <x:c r="S593" s="26" t="n">
        <x:v>46024</x:v>
      </x:c>
      <x:c r="T593" s="26"/>
      <x:c r="U593" s="24" t="str">
        <x:v>ATIVA/SEM FIM INFORMADO</x:v>
      </x:c>
      <x:c r="V593" s="24"/>
      <x:c r="W593" s="24" t="n">
        <x:v>15</x:v>
      </x:c>
      <x:c r="X593" s="24" t="str">
        <x:v>tabela_rodenstock.pdf</x:v>
      </x:c>
      <x:c r="Y593" s="24" t="str">
        <x:v>alta</x:v>
      </x:c>
      <x:c r="Z593" s="24"/>
      <x:c r="AA593" s="24" t="str">
        <x:v>Rodenstock|Mono Plus B.I.G. NORM|Surfaçada|Multigressiv Mono Plus B.I.G. NORM||1.67|1.67|Solitaire X-tra Clean|-12 a +10|até -6||75|||15</x:v>
      </x:c>
    </x:row>
    <x:row r="594">
      <x:c r="A594" s="24" t="str">
        <x:v>RD-05143846F27C</x:v>
      </x:c>
      <x:c r="B594" s="24" t="str">
        <x:v>SIM</x:v>
      </x:c>
      <x:c r="C594" s="24" t="str">
        <x:v>DISPONÍVEL</x:v>
      </x:c>
      <x:c r="D594" s="24" t="str">
        <x:v>Rodenstock</x:v>
      </x:c>
      <x:c r="E594" s="24" t="str">
        <x:v>Mono Plus B.I.G. NORM</x:v>
      </x:c>
      <x:c r="F594" s="24" t="str">
        <x:v>Surfaçada</x:v>
      </x:c>
      <x:c r="G594" s="24" t="str">
        <x:v>Multigressiv Mono Plus B.I.G. NORM</x:v>
      </x:c>
      <x:c r="H594" s="24"/>
      <x:c r="I594" s="24" t="str">
        <x:v>1.67</x:v>
      </x:c>
      <x:c r="J594" s="24" t="str">
        <x:v>1.67</x:v>
      </x:c>
      <x:c r="K594" s="24" t="str">
        <x:v>Solitaire Protect Plus</x:v>
      </x:c>
      <x:c r="L594" s="40" t="n">
        <x:v>3786</x:v>
      </x:c>
      <x:c r="M594" s="24" t="str">
        <x:v>-12 a +10</x:v>
      </x:c>
      <x:c r="N594" s="24" t="str">
        <x:v>até -6</x:v>
      </x:c>
      <x:c r="O594" s="24"/>
      <x:c r="P594" s="24" t="str">
        <x:v>75</x:v>
      </x:c>
      <x:c r="Q594" s="24"/>
      <x:c r="R594" s="24"/>
      <x:c r="S594" s="26" t="n">
        <x:v>46024</x:v>
      </x:c>
      <x:c r="T594" s="26"/>
      <x:c r="U594" s="24" t="str">
        <x:v>ATIVA/SEM FIM INFORMADO</x:v>
      </x:c>
      <x:c r="V594" s="24"/>
      <x:c r="W594" s="24" t="n">
        <x:v>15</x:v>
      </x:c>
      <x:c r="X594" s="24" t="str">
        <x:v>tabela_rodenstock.pdf</x:v>
      </x:c>
      <x:c r="Y594" s="24" t="str">
        <x:v>alta</x:v>
      </x:c>
      <x:c r="Z594" s="24"/>
      <x:c r="AA594" s="24" t="str">
        <x:v>Rodenstock|Mono Plus B.I.G. NORM|Surfaçada|Multigressiv Mono Plus B.I.G. NORM||1.67|1.67|Solitaire Protect Plus|-12 a +10|até -6||75|||15</x:v>
      </x:c>
    </x:row>
    <x:row r="595">
      <x:c r="A595" s="24" t="str">
        <x:v>RD-EEC6435445FE</x:v>
      </x:c>
      <x:c r="B595" s="24" t="str">
        <x:v>SIM</x:v>
      </x:c>
      <x:c r="C595" s="24" t="str">
        <x:v>DISPONÍVEL</x:v>
      </x:c>
      <x:c r="D595" s="24" t="str">
        <x:v>Rodenstock</x:v>
      </x:c>
      <x:c r="E595" s="24" t="str">
        <x:v>Mono Plus B.I.G. NORM</x:v>
      </x:c>
      <x:c r="F595" s="24" t="str">
        <x:v>Surfaçada</x:v>
      </x:c>
      <x:c r="G595" s="24" t="str">
        <x:v>Multigressiv Mono Plus B.I.G. NORM</x:v>
      </x:c>
      <x:c r="H595" s="24"/>
      <x:c r="I595" s="24" t="str">
        <x:v>1.67</x:v>
      </x:c>
      <x:c r="J595" s="24" t="str">
        <x:v>1.67</x:v>
      </x:c>
      <x:c r="K595" s="24" t="str">
        <x:v>ROAD</x:v>
      </x:c>
      <x:c r="L595" s="40" t="n">
        <x:v>3786</x:v>
      </x:c>
      <x:c r="M595" s="24" t="str">
        <x:v>-12 a +10</x:v>
      </x:c>
      <x:c r="N595" s="24" t="str">
        <x:v>até -6</x:v>
      </x:c>
      <x:c r="O595" s="24"/>
      <x:c r="P595" s="24" t="str">
        <x:v>75</x:v>
      </x:c>
      <x:c r="Q595" s="24"/>
      <x:c r="R595" s="24"/>
      <x:c r="S595" s="26" t="n">
        <x:v>46024</x:v>
      </x:c>
      <x:c r="T595" s="26"/>
      <x:c r="U595" s="24" t="str">
        <x:v>ATIVA/SEM FIM INFORMADO</x:v>
      </x:c>
      <x:c r="V595" s="24"/>
      <x:c r="W595" s="24" t="n">
        <x:v>15</x:v>
      </x:c>
      <x:c r="X595" s="24" t="str">
        <x:v>tabela_rodenstock.pdf</x:v>
      </x:c>
      <x:c r="Y595" s="24" t="str">
        <x:v>alta</x:v>
      </x:c>
      <x:c r="Z595" s="24"/>
      <x:c r="AA595" s="24" t="str">
        <x:v>Rodenstock|Mono Plus B.I.G. NORM|Surfaçada|Multigressiv Mono Plus B.I.G. NORM||1.67|1.67|ROAD|-12 a +10|até -6||75|||15</x:v>
      </x:c>
    </x:row>
    <x:row r="596">
      <x:c r="A596" s="24" t="str">
        <x:v>RD-C1E64CD8010B</x:v>
      </x:c>
      <x:c r="B596" s="24" t="str">
        <x:v>SIM</x:v>
      </x:c>
      <x:c r="C596" s="24" t="str">
        <x:v>DISPONÍVEL</x:v>
      </x:c>
      <x:c r="D596" s="24" t="str">
        <x:v>Rodenstock</x:v>
      </x:c>
      <x:c r="E596" s="24" t="str">
        <x:v>Mono Plus B.I.G. NORM</x:v>
      </x:c>
      <x:c r="F596" s="24" t="str">
        <x:v>Surfaçada</x:v>
      </x:c>
      <x:c r="G596" s="24" t="str">
        <x:v>Multigressiv Mono Plus B.I.G. NORM</x:v>
      </x:c>
      <x:c r="H596" s="24"/>
      <x:c r="I596" s="24" t="str">
        <x:v>1.67</x:v>
      </x:c>
      <x:c r="J596" s="24" t="str">
        <x:v>1.67</x:v>
      </x:c>
      <x:c r="K596" s="24" t="str">
        <x:v>Solitaire Protect</x:v>
      </x:c>
      <x:c r="L596" s="40" t="n">
        <x:v>3526</x:v>
      </x:c>
      <x:c r="M596" s="24" t="str">
        <x:v>-12 a +10</x:v>
      </x:c>
      <x:c r="N596" s="24" t="str">
        <x:v>até -6</x:v>
      </x:c>
      <x:c r="O596" s="24"/>
      <x:c r="P596" s="24" t="str">
        <x:v>75</x:v>
      </x:c>
      <x:c r="Q596" s="24"/>
      <x:c r="R596" s="24"/>
      <x:c r="S596" s="26" t="n">
        <x:v>46024</x:v>
      </x:c>
      <x:c r="T596" s="26"/>
      <x:c r="U596" s="24" t="str">
        <x:v>ATIVA/SEM FIM INFORMADO</x:v>
      </x:c>
      <x:c r="V596" s="24"/>
      <x:c r="W596" s="24" t="n">
        <x:v>15</x:v>
      </x:c>
      <x:c r="X596" s="24" t="str">
        <x:v>tabela_rodenstock.pdf</x:v>
      </x:c>
      <x:c r="Y596" s="24" t="str">
        <x:v>alta</x:v>
      </x:c>
      <x:c r="Z596" s="24"/>
      <x:c r="AA596" s="24" t="str">
        <x:v>Rodenstock|Mono Plus B.I.G. NORM|Surfaçada|Multigressiv Mono Plus B.I.G. NORM||1.67|1.67|Solitaire Protect|-12 a +10|até -6||75|||15</x:v>
      </x:c>
    </x:row>
    <x:row r="597">
      <x:c r="A597" s="24" t="str">
        <x:v>RD-5FAA8E1D8B8F</x:v>
      </x:c>
      <x:c r="B597" s="24" t="str">
        <x:v>SIM</x:v>
      </x:c>
      <x:c r="C597" s="24" t="str">
        <x:v>DISPONÍVEL</x:v>
      </x:c>
      <x:c r="D597" s="24" t="str">
        <x:v>Rodenstock</x:v>
      </x:c>
      <x:c r="E597" s="24" t="str">
        <x:v>Mono Plus B.I.G. NORM</x:v>
      </x:c>
      <x:c r="F597" s="24" t="str">
        <x:v>Surfaçada</x:v>
      </x:c>
      <x:c r="G597" s="24" t="str">
        <x:v>Multigressiv Mono Plus B.I.G. NORM</x:v>
      </x:c>
      <x:c r="H597" s="24" t="str">
        <x:v>ColorMatic® 3</x:v>
      </x:c>
      <x:c r="I597" s="24" t="str">
        <x:v>1.67</x:v>
      </x:c>
      <x:c r="J597" s="24" t="str">
        <x:v>1.67</x:v>
      </x:c>
      <x:c r="K597" s="24" t="str">
        <x:v>LayR X-tra Clean</x:v>
      </x:c>
      <x:c r="L597" s="40" t="n">
        <x:v>5432</x:v>
      </x:c>
      <x:c r="M597" s="24" t="str">
        <x:v>-12 a +10</x:v>
      </x:c>
      <x:c r="N597" s="24" t="str">
        <x:v>até -6</x:v>
      </x:c>
      <x:c r="O597" s="24"/>
      <x:c r="P597" s="24" t="str">
        <x:v>75</x:v>
      </x:c>
      <x:c r="Q597" s="24"/>
      <x:c r="R597" s="24"/>
      <x:c r="S597" s="26" t="n">
        <x:v>46024</x:v>
      </x:c>
      <x:c r="T597" s="26"/>
      <x:c r="U597" s="24" t="str">
        <x:v>ATIVA/SEM FIM INFORMADO</x:v>
      </x:c>
      <x:c r="V597" s="24"/>
      <x:c r="W597" s="24" t="n">
        <x:v>15</x:v>
      </x:c>
      <x:c r="X597" s="24" t="str">
        <x:v>tabela_rodenstock.pdf</x:v>
      </x:c>
      <x:c r="Y597" s="24" t="str">
        <x:v>alta</x:v>
      </x:c>
      <x:c r="Z597" s="24"/>
      <x:c r="AA597" s="24" t="str">
        <x:v>Rodenstock|Mono Plus B.I.G. NORM|Surfaçada|Multigressiv Mono Plus B.I.G. NORM|ColorMatic® 3|1.67|1.67|LayR X-tra Clean|-12 a +10|até -6||75|||15</x:v>
      </x:c>
    </x:row>
    <x:row r="598">
      <x:c r="A598" s="24" t="str">
        <x:v>RD-7C1C777AA9DC</x:v>
      </x:c>
      <x:c r="B598" s="24" t="str">
        <x:v>SIM</x:v>
      </x:c>
      <x:c r="C598" s="24" t="str">
        <x:v>DISPONÍVEL</x:v>
      </x:c>
      <x:c r="D598" s="24" t="str">
        <x:v>Rodenstock</x:v>
      </x:c>
      <x:c r="E598" s="24" t="str">
        <x:v>Mono Plus B.I.G. NORM</x:v>
      </x:c>
      <x:c r="F598" s="24" t="str">
        <x:v>Surfaçada</x:v>
      </x:c>
      <x:c r="G598" s="24" t="str">
        <x:v>Multigressiv Mono Plus B.I.G. NORM</x:v>
      </x:c>
      <x:c r="H598" s="24" t="str">
        <x:v>ColorMatic® 3</x:v>
      </x:c>
      <x:c r="I598" s="24" t="str">
        <x:v>1.67</x:v>
      </x:c>
      <x:c r="J598" s="24" t="str">
        <x:v>1.67</x:v>
      </x:c>
      <x:c r="K598" s="24" t="str">
        <x:v>LayR Balance</x:v>
      </x:c>
      <x:c r="L598" s="40" t="n">
        <x:v>5432</x:v>
      </x:c>
      <x:c r="M598" s="24" t="str">
        <x:v>-12 a +10</x:v>
      </x:c>
      <x:c r="N598" s="24" t="str">
        <x:v>até -6</x:v>
      </x:c>
      <x:c r="O598" s="24"/>
      <x:c r="P598" s="24" t="str">
        <x:v>75</x:v>
      </x:c>
      <x:c r="Q598" s="24"/>
      <x:c r="R598" s="24"/>
      <x:c r="S598" s="26" t="n">
        <x:v>46024</x:v>
      </x:c>
      <x:c r="T598" s="26"/>
      <x:c r="U598" s="24" t="str">
        <x:v>ATIVA/SEM FIM INFORMADO</x:v>
      </x:c>
      <x:c r="V598" s="24"/>
      <x:c r="W598" s="24" t="n">
        <x:v>15</x:v>
      </x:c>
      <x:c r="X598" s="24" t="str">
        <x:v>tabela_rodenstock.pdf</x:v>
      </x:c>
      <x:c r="Y598" s="24" t="str">
        <x:v>alta</x:v>
      </x:c>
      <x:c r="Z598" s="24"/>
      <x:c r="AA598" s="24" t="str">
        <x:v>Rodenstock|Mono Plus B.I.G. NORM|Surfaçada|Multigressiv Mono Plus B.I.G. NORM|ColorMatic® 3|1.67|1.67|LayR Balance|-12 a +10|até -6||75|||15</x:v>
      </x:c>
    </x:row>
    <x:row r="599">
      <x:c r="A599" s="24" t="str">
        <x:v>RD-FE39ED3AEC93</x:v>
      </x:c>
      <x:c r="B599" s="24" t="str">
        <x:v>SIM</x:v>
      </x:c>
      <x:c r="C599" s="24" t="str">
        <x:v>DISPONÍVEL</x:v>
      </x:c>
      <x:c r="D599" s="24" t="str">
        <x:v>Rodenstock</x:v>
      </x:c>
      <x:c r="E599" s="24" t="str">
        <x:v>Mono Plus B.I.G. NORM</x:v>
      </x:c>
      <x:c r="F599" s="24" t="str">
        <x:v>Surfaçada</x:v>
      </x:c>
      <x:c r="G599" s="24" t="str">
        <x:v>Multigressiv Mono Plus B.I.G. NORM</x:v>
      </x:c>
      <x:c r="H599" s="24" t="str">
        <x:v>ColorMatic® 3</x:v>
      </x:c>
      <x:c r="I599" s="24" t="str">
        <x:v>1.67</x:v>
      </x:c>
      <x:c r="J599" s="24" t="str">
        <x:v>1.67</x:v>
      </x:c>
      <x:c r="K599" s="24" t="str">
        <x:v>Solitaire X-tra Clean</x:v>
      </x:c>
      <x:c r="L599" s="40" t="n">
        <x:v>5362</x:v>
      </x:c>
      <x:c r="M599" s="24" t="str">
        <x:v>-12 a +10</x:v>
      </x:c>
      <x:c r="N599" s="24" t="str">
        <x:v>até -6</x:v>
      </x:c>
      <x:c r="O599" s="24"/>
      <x:c r="P599" s="24" t="str">
        <x:v>75</x:v>
      </x:c>
      <x:c r="Q599" s="24"/>
      <x:c r="R599" s="24"/>
      <x:c r="S599" s="26" t="n">
        <x:v>46024</x:v>
      </x:c>
      <x:c r="T599" s="26"/>
      <x:c r="U599" s="24" t="str">
        <x:v>ATIVA/SEM FIM INFORMADO</x:v>
      </x:c>
      <x:c r="V599" s="24"/>
      <x:c r="W599" s="24" t="n">
        <x:v>15</x:v>
      </x:c>
      <x:c r="X599" s="24" t="str">
        <x:v>tabela_rodenstock.pdf</x:v>
      </x:c>
      <x:c r="Y599" s="24" t="str">
        <x:v>alta</x:v>
      </x:c>
      <x:c r="Z599" s="24"/>
      <x:c r="AA599" s="24" t="str">
        <x:v>Rodenstock|Mono Plus B.I.G. NORM|Surfaçada|Multigressiv Mono Plus B.I.G. NORM|ColorMatic® 3|1.67|1.67|Solitaire X-tra Clean|-12 a +10|até -6||75|||15</x:v>
      </x:c>
    </x:row>
    <x:row r="600">
      <x:c r="A600" s="24" t="str">
        <x:v>RD-C2124D442154</x:v>
      </x:c>
      <x:c r="B600" s="24" t="str">
        <x:v>SIM</x:v>
      </x:c>
      <x:c r="C600" s="24" t="str">
        <x:v>DISPONÍVEL</x:v>
      </x:c>
      <x:c r="D600" s="24" t="str">
        <x:v>Rodenstock</x:v>
      </x:c>
      <x:c r="E600" s="24" t="str">
        <x:v>Mono Plus B.I.G. NORM</x:v>
      </x:c>
      <x:c r="F600" s="24" t="str">
        <x:v>Surfaçada</x:v>
      </x:c>
      <x:c r="G600" s="24" t="str">
        <x:v>Multigressiv Mono Plus B.I.G. NORM</x:v>
      </x:c>
      <x:c r="H600" s="24" t="str">
        <x:v>ColorMatic® 3</x:v>
      </x:c>
      <x:c r="I600" s="24" t="str">
        <x:v>1.67</x:v>
      </x:c>
      <x:c r="J600" s="24" t="str">
        <x:v>1.67</x:v>
      </x:c>
      <x:c r="K600" s="24" t="str">
        <x:v>Solitaire Protect Plus</x:v>
      </x:c>
      <x:c r="L600" s="40" t="n">
        <x:v>5312</x:v>
      </x:c>
      <x:c r="M600" s="24" t="str">
        <x:v>-12 a +10</x:v>
      </x:c>
      <x:c r="N600" s="24" t="str">
        <x:v>até -6</x:v>
      </x:c>
      <x:c r="O600" s="24"/>
      <x:c r="P600" s="24" t="str">
        <x:v>75</x:v>
      </x:c>
      <x:c r="Q600" s="24"/>
      <x:c r="R600" s="24"/>
      <x:c r="S600" s="26" t="n">
        <x:v>46024</x:v>
      </x:c>
      <x:c r="T600" s="26"/>
      <x:c r="U600" s="24" t="str">
        <x:v>ATIVA/SEM FIM INFORMADO</x:v>
      </x:c>
      <x:c r="V600" s="24"/>
      <x:c r="W600" s="24" t="n">
        <x:v>15</x:v>
      </x:c>
      <x:c r="X600" s="24" t="str">
        <x:v>tabela_rodenstock.pdf</x:v>
      </x:c>
      <x:c r="Y600" s="24" t="str">
        <x:v>alta</x:v>
      </x:c>
      <x:c r="Z600" s="24"/>
      <x:c r="AA600" s="24" t="str">
        <x:v>Rodenstock|Mono Plus B.I.G. NORM|Surfaçada|Multigressiv Mono Plus B.I.G. NORM|ColorMatic® 3|1.67|1.67|Solitaire Protect Plus|-12 a +10|até -6||75|||15</x:v>
      </x:c>
    </x:row>
    <x:row r="601">
      <x:c r="A601" s="24" t="str">
        <x:v>RD-DFF1DDFC641C</x:v>
      </x:c>
      <x:c r="B601" s="24" t="str">
        <x:v>SIM</x:v>
      </x:c>
      <x:c r="C601" s="24" t="str">
        <x:v>DISPONÍVEL</x:v>
      </x:c>
      <x:c r="D601" s="24" t="str">
        <x:v>Rodenstock</x:v>
      </x:c>
      <x:c r="E601" s="24" t="str">
        <x:v>Mono Plus B.I.G. NORM</x:v>
      </x:c>
      <x:c r="F601" s="24" t="str">
        <x:v>Surfaçada</x:v>
      </x:c>
      <x:c r="G601" s="24" t="str">
        <x:v>Multigressiv Mono Plus B.I.G. NORM</x:v>
      </x:c>
      <x:c r="H601" s="24" t="str">
        <x:v>ColorMatic® 3</x:v>
      </x:c>
      <x:c r="I601" s="24" t="str">
        <x:v>1.67</x:v>
      </x:c>
      <x:c r="J601" s="24" t="str">
        <x:v>1.67</x:v>
      </x:c>
      <x:c r="K601" s="24" t="str">
        <x:v>ROAD</x:v>
      </x:c>
      <x:c r="L601" s="40" t="n">
        <x:v>5312</x:v>
      </x:c>
      <x:c r="M601" s="24" t="str">
        <x:v>-12 a +10</x:v>
      </x:c>
      <x:c r="N601" s="24" t="str">
        <x:v>até -6</x:v>
      </x:c>
      <x:c r="O601" s="24"/>
      <x:c r="P601" s="24" t="str">
        <x:v>75</x:v>
      </x:c>
      <x:c r="Q601" s="24"/>
      <x:c r="R601" s="24"/>
      <x:c r="S601" s="26" t="n">
        <x:v>46024</x:v>
      </x:c>
      <x:c r="T601" s="26"/>
      <x:c r="U601" s="24" t="str">
        <x:v>ATIVA/SEM FIM INFORMADO</x:v>
      </x:c>
      <x:c r="V601" s="24"/>
      <x:c r="W601" s="24" t="n">
        <x:v>15</x:v>
      </x:c>
      <x:c r="X601" s="24" t="str">
        <x:v>tabela_rodenstock.pdf</x:v>
      </x:c>
      <x:c r="Y601" s="24" t="str">
        <x:v>alta</x:v>
      </x:c>
      <x:c r="Z601" s="24"/>
      <x:c r="AA601" s="24" t="str">
        <x:v>Rodenstock|Mono Plus B.I.G. NORM|Surfaçada|Multigressiv Mono Plus B.I.G. NORM|ColorMatic® 3|1.67|1.67|ROAD|-12 a +10|até -6||75|||15</x:v>
      </x:c>
    </x:row>
    <x:row r="602">
      <x:c r="A602" s="24" t="str">
        <x:v>RD-62E5088F4E4F</x:v>
      </x:c>
      <x:c r="B602" s="24" t="str">
        <x:v>SIM</x:v>
      </x:c>
      <x:c r="C602" s="24" t="str">
        <x:v>DISPONÍVEL</x:v>
      </x:c>
      <x:c r="D602" s="24" t="str">
        <x:v>Rodenstock</x:v>
      </x:c>
      <x:c r="E602" s="24" t="str">
        <x:v>Mono Plus B.I.G. NORM</x:v>
      </x:c>
      <x:c r="F602" s="24" t="str">
        <x:v>Surfaçada</x:v>
      </x:c>
      <x:c r="G602" s="24" t="str">
        <x:v>Multigressiv Mono Plus B.I.G. NORM</x:v>
      </x:c>
      <x:c r="H602" s="24" t="str">
        <x:v>ColorMatic® 3</x:v>
      </x:c>
      <x:c r="I602" s="24" t="str">
        <x:v>1.67</x:v>
      </x:c>
      <x:c r="J602" s="24" t="str">
        <x:v>1.67</x:v>
      </x:c>
      <x:c r="K602" s="24" t="str">
        <x:v>Solitaire Protect</x:v>
      </x:c>
      <x:c r="L602" s="40" t="n">
        <x:v>5052</x:v>
      </x:c>
      <x:c r="M602" s="24" t="str">
        <x:v>-12 a +10</x:v>
      </x:c>
      <x:c r="N602" s="24" t="str">
        <x:v>até -6</x:v>
      </x:c>
      <x:c r="O602" s="24"/>
      <x:c r="P602" s="24" t="str">
        <x:v>75</x:v>
      </x:c>
      <x:c r="Q602" s="24"/>
      <x:c r="R602" s="24"/>
      <x:c r="S602" s="26" t="n">
        <x:v>46024</x:v>
      </x:c>
      <x:c r="T602" s="26"/>
      <x:c r="U602" s="24" t="str">
        <x:v>ATIVA/SEM FIM INFORMADO</x:v>
      </x:c>
      <x:c r="V602" s="24"/>
      <x:c r="W602" s="24" t="n">
        <x:v>15</x:v>
      </x:c>
      <x:c r="X602" s="24" t="str">
        <x:v>tabela_rodenstock.pdf</x:v>
      </x:c>
      <x:c r="Y602" s="24" t="str">
        <x:v>alta</x:v>
      </x:c>
      <x:c r="Z602" s="24"/>
      <x:c r="AA602" s="24" t="str">
        <x:v>Rodenstock|Mono Plus B.I.G. NORM|Surfaçada|Multigressiv Mono Plus B.I.G. NORM|ColorMatic® 3|1.67|1.67|Solitaire Protect|-12 a +10|até -6||75|||15</x:v>
      </x:c>
    </x:row>
    <x:row r="603">
      <x:c r="A603" s="24" t="str">
        <x:v>RD-47E577B38B87</x:v>
      </x:c>
      <x:c r="B603" s="24" t="str">
        <x:v>SIM</x:v>
      </x:c>
      <x:c r="C603" s="24" t="str">
        <x:v>DISPONÍVEL</x:v>
      </x:c>
      <x:c r="D603" s="24" t="str">
        <x:v>Rodenstock</x:v>
      </x:c>
      <x:c r="E603" s="24" t="str">
        <x:v>Mono Plus B.I.G. NORM</x:v>
      </x:c>
      <x:c r="F603" s="24" t="str">
        <x:v>Surfaçada</x:v>
      </x:c>
      <x:c r="G603" s="24" t="str">
        <x:v>Multigressiv Mono Plus B.I.G. NORM</x:v>
      </x:c>
      <x:c r="H603" s="24"/>
      <x:c r="I603" s="24" t="str">
        <x:v>1.74</x:v>
      </x:c>
      <x:c r="J603" s="24" t="str">
        <x:v>1.74</x:v>
      </x:c>
      <x:c r="K603" s="24" t="str">
        <x:v>LayR X-tra Clean</x:v>
      </x:c>
      <x:c r="L603" s="40" t="n">
        <x:v>6012</x:v>
      </x:c>
      <x:c r="M603" s="24" t="str">
        <x:v>-18 a +13</x:v>
      </x:c>
      <x:c r="N603" s="24" t="str">
        <x:v>até -6</x:v>
      </x:c>
      <x:c r="O603" s="24"/>
      <x:c r="P603" s="24" t="str">
        <x:v>75</x:v>
      </x:c>
      <x:c r="Q603" s="24"/>
      <x:c r="R603" s="24"/>
      <x:c r="S603" s="26" t="n">
        <x:v>46024</x:v>
      </x:c>
      <x:c r="T603" s="26"/>
      <x:c r="U603" s="24" t="str">
        <x:v>ATIVA/SEM FIM INFORMADO</x:v>
      </x:c>
      <x:c r="V603" s="24"/>
      <x:c r="W603" s="24" t="n">
        <x:v>15</x:v>
      </x:c>
      <x:c r="X603" s="24" t="str">
        <x:v>tabela_rodenstock.pdf</x:v>
      </x:c>
      <x:c r="Y603" s="24" t="str">
        <x:v>alta</x:v>
      </x:c>
      <x:c r="Z603" s="24"/>
      <x:c r="AA603" s="24" t="str">
        <x:v>Rodenstock|Mono Plus B.I.G. NORM|Surfaçada|Multigressiv Mono Plus B.I.G. NORM||1.74|1.74|LayR X-tra Clean|-18 a +13|até -6||75|||15</x:v>
      </x:c>
    </x:row>
    <x:row r="604">
      <x:c r="A604" s="24" t="str">
        <x:v>RD-E048E32DBF7F</x:v>
      </x:c>
      <x:c r="B604" s="24" t="str">
        <x:v>SIM</x:v>
      </x:c>
      <x:c r="C604" s="24" t="str">
        <x:v>DISPONÍVEL</x:v>
      </x:c>
      <x:c r="D604" s="24" t="str">
        <x:v>Rodenstock</x:v>
      </x:c>
      <x:c r="E604" s="24" t="str">
        <x:v>Mono Plus B.I.G. NORM</x:v>
      </x:c>
      <x:c r="F604" s="24" t="str">
        <x:v>Surfaçada</x:v>
      </x:c>
      <x:c r="G604" s="24" t="str">
        <x:v>Multigressiv Mono Plus B.I.G. NORM</x:v>
      </x:c>
      <x:c r="H604" s="24"/>
      <x:c r="I604" s="24" t="str">
        <x:v>1.74</x:v>
      </x:c>
      <x:c r="J604" s="24" t="str">
        <x:v>1.74</x:v>
      </x:c>
      <x:c r="K604" s="24" t="str">
        <x:v>LayR Balance</x:v>
      </x:c>
      <x:c r="L604" s="40" t="n">
        <x:v>6012</x:v>
      </x:c>
      <x:c r="M604" s="24" t="str">
        <x:v>-18 a +13</x:v>
      </x:c>
      <x:c r="N604" s="24" t="str">
        <x:v>até -6</x:v>
      </x:c>
      <x:c r="O604" s="24"/>
      <x:c r="P604" s="24" t="str">
        <x:v>75</x:v>
      </x:c>
      <x:c r="Q604" s="24"/>
      <x:c r="R604" s="24"/>
      <x:c r="S604" s="26" t="n">
        <x:v>46024</x:v>
      </x:c>
      <x:c r="T604" s="26"/>
      <x:c r="U604" s="24" t="str">
        <x:v>ATIVA/SEM FIM INFORMADO</x:v>
      </x:c>
      <x:c r="V604" s="24"/>
      <x:c r="W604" s="24" t="n">
        <x:v>15</x:v>
      </x:c>
      <x:c r="X604" s="24" t="str">
        <x:v>tabela_rodenstock.pdf</x:v>
      </x:c>
      <x:c r="Y604" s="24" t="str">
        <x:v>alta</x:v>
      </x:c>
      <x:c r="Z604" s="24"/>
      <x:c r="AA604" s="24" t="str">
        <x:v>Rodenstock|Mono Plus B.I.G. NORM|Surfaçada|Multigressiv Mono Plus B.I.G. NORM||1.74|1.74|LayR Balance|-18 a +13|até -6||75|||15</x:v>
      </x:c>
    </x:row>
    <x:row r="605">
      <x:c r="A605" s="24" t="str">
        <x:v>RD-A41C7F3ABE2E</x:v>
      </x:c>
      <x:c r="B605" s="24" t="str">
        <x:v>SIM</x:v>
      </x:c>
      <x:c r="C605" s="24" t="str">
        <x:v>DISPONÍVEL</x:v>
      </x:c>
      <x:c r="D605" s="24" t="str">
        <x:v>Rodenstock</x:v>
      </x:c>
      <x:c r="E605" s="24" t="str">
        <x:v>Mono Plus B.I.G. NORM</x:v>
      </x:c>
      <x:c r="F605" s="24" t="str">
        <x:v>Surfaçada</x:v>
      </x:c>
      <x:c r="G605" s="24" t="str">
        <x:v>Multigressiv Mono Plus B.I.G. NORM</x:v>
      </x:c>
      <x:c r="H605" s="24"/>
      <x:c r="I605" s="24" t="str">
        <x:v>1.74</x:v>
      </x:c>
      <x:c r="J605" s="24" t="str">
        <x:v>1.74</x:v>
      </x:c>
      <x:c r="K605" s="24" t="str">
        <x:v>Solitaire X-tra Clean</x:v>
      </x:c>
      <x:c r="L605" s="40" t="n">
        <x:v>5942</x:v>
      </x:c>
      <x:c r="M605" s="24" t="str">
        <x:v>-18 a +13</x:v>
      </x:c>
      <x:c r="N605" s="24" t="str">
        <x:v>até -6</x:v>
      </x:c>
      <x:c r="O605" s="24"/>
      <x:c r="P605" s="24" t="str">
        <x:v>75</x:v>
      </x:c>
      <x:c r="Q605" s="24"/>
      <x:c r="R605" s="24"/>
      <x:c r="S605" s="26" t="n">
        <x:v>46024</x:v>
      </x:c>
      <x:c r="T605" s="26"/>
      <x:c r="U605" s="24" t="str">
        <x:v>ATIVA/SEM FIM INFORMADO</x:v>
      </x:c>
      <x:c r="V605" s="24"/>
      <x:c r="W605" s="24" t="n">
        <x:v>15</x:v>
      </x:c>
      <x:c r="X605" s="24" t="str">
        <x:v>tabela_rodenstock.pdf</x:v>
      </x:c>
      <x:c r="Y605" s="24" t="str">
        <x:v>alta</x:v>
      </x:c>
      <x:c r="Z605" s="24"/>
      <x:c r="AA605" s="24" t="str">
        <x:v>Rodenstock|Mono Plus B.I.G. NORM|Surfaçada|Multigressiv Mono Plus B.I.G. NORM||1.74|1.74|Solitaire X-tra Clean|-18 a +13|até -6||75|||15</x:v>
      </x:c>
    </x:row>
    <x:row r="606">
      <x:c r="A606" s="24" t="str">
        <x:v>RD-57AA1B22FBD9</x:v>
      </x:c>
      <x:c r="B606" s="24" t="str">
        <x:v>SIM</x:v>
      </x:c>
      <x:c r="C606" s="24" t="str">
        <x:v>DISPONÍVEL</x:v>
      </x:c>
      <x:c r="D606" s="24" t="str">
        <x:v>Rodenstock</x:v>
      </x:c>
      <x:c r="E606" s="24" t="str">
        <x:v>Mono Plus B.I.G. NORM</x:v>
      </x:c>
      <x:c r="F606" s="24" t="str">
        <x:v>Surfaçada</x:v>
      </x:c>
      <x:c r="G606" s="24" t="str">
        <x:v>Multigressiv Mono Plus B.I.G. NORM</x:v>
      </x:c>
      <x:c r="H606" s="24"/>
      <x:c r="I606" s="24" t="str">
        <x:v>1.74</x:v>
      </x:c>
      <x:c r="J606" s="24" t="str">
        <x:v>1.74</x:v>
      </x:c>
      <x:c r="K606" s="24" t="str">
        <x:v>Solitaire Protect Plus</x:v>
      </x:c>
      <x:c r="L606" s="40" t="n">
        <x:v>5892</x:v>
      </x:c>
      <x:c r="M606" s="24" t="str">
        <x:v>-18 a +13</x:v>
      </x:c>
      <x:c r="N606" s="24" t="str">
        <x:v>até -6</x:v>
      </x:c>
      <x:c r="O606" s="24"/>
      <x:c r="P606" s="24" t="str">
        <x:v>75</x:v>
      </x:c>
      <x:c r="Q606" s="24"/>
      <x:c r="R606" s="24"/>
      <x:c r="S606" s="26" t="n">
        <x:v>46024</x:v>
      </x:c>
      <x:c r="T606" s="26"/>
      <x:c r="U606" s="24" t="str">
        <x:v>ATIVA/SEM FIM INFORMADO</x:v>
      </x:c>
      <x:c r="V606" s="24"/>
      <x:c r="W606" s="24" t="n">
        <x:v>15</x:v>
      </x:c>
      <x:c r="X606" s="24" t="str">
        <x:v>tabela_rodenstock.pdf</x:v>
      </x:c>
      <x:c r="Y606" s="24" t="str">
        <x:v>alta</x:v>
      </x:c>
      <x:c r="Z606" s="24"/>
      <x:c r="AA606" s="24" t="str">
        <x:v>Rodenstock|Mono Plus B.I.G. NORM|Surfaçada|Multigressiv Mono Plus B.I.G. NORM||1.74|1.74|Solitaire Protect Plus|-18 a +13|até -6||75|||15</x:v>
      </x:c>
    </x:row>
    <x:row r="607">
      <x:c r="A607" s="24" t="str">
        <x:v>RD-9319CD22AA77</x:v>
      </x:c>
      <x:c r="B607" s="24" t="str">
        <x:v>SIM</x:v>
      </x:c>
      <x:c r="C607" s="24" t="str">
        <x:v>DISPONÍVEL</x:v>
      </x:c>
      <x:c r="D607" s="24" t="str">
        <x:v>Rodenstock</x:v>
      </x:c>
      <x:c r="E607" s="24" t="str">
        <x:v>Mono Plus B.I.G. NORM</x:v>
      </x:c>
      <x:c r="F607" s="24" t="str">
        <x:v>Surfaçada</x:v>
      </x:c>
      <x:c r="G607" s="24" t="str">
        <x:v>Multigressiv Mono Plus B.I.G. NORM</x:v>
      </x:c>
      <x:c r="H607" s="24"/>
      <x:c r="I607" s="24" t="str">
        <x:v>1.74</x:v>
      </x:c>
      <x:c r="J607" s="24" t="str">
        <x:v>1.74</x:v>
      </x:c>
      <x:c r="K607" s="24" t="str">
        <x:v>Solitaire Protect</x:v>
      </x:c>
      <x:c r="L607" s="40" t="n">
        <x:v>5632</x:v>
      </x:c>
      <x:c r="M607" s="24" t="str">
        <x:v>-18 a +13</x:v>
      </x:c>
      <x:c r="N607" s="24" t="str">
        <x:v>até -6</x:v>
      </x:c>
      <x:c r="O607" s="24"/>
      <x:c r="P607" s="24" t="str">
        <x:v>75</x:v>
      </x:c>
      <x:c r="Q607" s="24"/>
      <x:c r="R607" s="24"/>
      <x:c r="S607" s="26" t="n">
        <x:v>46024</x:v>
      </x:c>
      <x:c r="T607" s="26"/>
      <x:c r="U607" s="24" t="str">
        <x:v>ATIVA/SEM FIM INFORMADO</x:v>
      </x:c>
      <x:c r="V607" s="24"/>
      <x:c r="W607" s="24" t="n">
        <x:v>15</x:v>
      </x:c>
      <x:c r="X607" s="24" t="str">
        <x:v>tabela_rodenstock.pdf</x:v>
      </x:c>
      <x:c r="Y607" s="24" t="str">
        <x:v>alta</x:v>
      </x:c>
      <x:c r="Z607" s="24"/>
      <x:c r="AA607" s="24" t="str">
        <x:v>Rodenstock|Mono Plus B.I.G. NORM|Surfaçada|Multigressiv Mono Plus B.I.G. NORM||1.74|1.74|Solitaire Protect|-18 a +13|até -6||75|||15</x:v>
      </x:c>
    </x:row>
    <x:row r="608">
      <x:c r="A608" s="24" t="str">
        <x:v>RD-7A3094772AA3</x:v>
      </x:c>
      <x:c r="B608" s="24" t="str">
        <x:v>SIM</x:v>
      </x:c>
      <x:c r="C608" s="24" t="str">
        <x:v>DISPONÍVEL</x:v>
      </x:c>
      <x:c r="D608" s="24" t="str">
        <x:v>Rodenstock</x:v>
      </x:c>
      <x:c r="E608" s="24" t="str">
        <x:v>Mono Plus B.I.G. NORM</x:v>
      </x:c>
      <x:c r="F608" s="24" t="str">
        <x:v>Surfaçada</x:v>
      </x:c>
      <x:c r="G608" s="24" t="str">
        <x:v>Cosmolit Mono Plus B.I.G. NORM</x:v>
      </x:c>
      <x:c r="H608" s="24"/>
      <x:c r="I608" s="24" t="str">
        <x:v>1.5</x:v>
      </x:c>
      <x:c r="J608" s="24" t="str">
        <x:v>1.50</x:v>
      </x:c>
      <x:c r="K608" s="24" t="str">
        <x:v>LayR X-tra Clean</x:v>
      </x:c>
      <x:c r="L608" s="40" t="n">
        <x:v>1685</x:v>
      </x:c>
      <x:c r="M608" s="24" t="str">
        <x:v>-8 a +8</x:v>
      </x:c>
      <x:c r="N608" s="24" t="str">
        <x:v>até -6</x:v>
      </x:c>
      <x:c r="O608" s="24"/>
      <x:c r="P608" s="24" t="str">
        <x:v>75</x:v>
      </x:c>
      <x:c r="Q608" s="24"/>
      <x:c r="R608" s="24"/>
      <x:c r="S608" s="26" t="n">
        <x:v>46024</x:v>
      </x:c>
      <x:c r="T608" s="26"/>
      <x:c r="U608" s="24" t="str">
        <x:v>ATIVA/SEM FIM INFORMADO</x:v>
      </x:c>
      <x:c r="V608" s="24"/>
      <x:c r="W608" s="24" t="n">
        <x:v>15</x:v>
      </x:c>
      <x:c r="X608" s="24" t="str">
        <x:v>tabela_rodenstock.pdf</x:v>
      </x:c>
      <x:c r="Y608" s="24" t="str">
        <x:v>alta</x:v>
      </x:c>
      <x:c r="Z608" s="24"/>
      <x:c r="AA608" s="24" t="str">
        <x:v>Rodenstock|Mono Plus B.I.G. NORM|Surfaçada|Cosmolit Mono Plus B.I.G. NORM||1.5|1.50|LayR X-tra Clean|-8 a +8|até -6||75|||15</x:v>
      </x:c>
    </x:row>
    <x:row r="609">
      <x:c r="A609" s="24" t="str">
        <x:v>RD-3C9A9B030ECB</x:v>
      </x:c>
      <x:c r="B609" s="24" t="str">
        <x:v>SIM</x:v>
      </x:c>
      <x:c r="C609" s="24" t="str">
        <x:v>DISPONÍVEL</x:v>
      </x:c>
      <x:c r="D609" s="24" t="str">
        <x:v>Rodenstock</x:v>
      </x:c>
      <x:c r="E609" s="24" t="str">
        <x:v>Mono Plus B.I.G. NORM</x:v>
      </x:c>
      <x:c r="F609" s="24" t="str">
        <x:v>Surfaçada</x:v>
      </x:c>
      <x:c r="G609" s="24" t="str">
        <x:v>Cosmolit Mono Plus B.I.G. NORM</x:v>
      </x:c>
      <x:c r="H609" s="24"/>
      <x:c r="I609" s="24" t="str">
        <x:v>1.5</x:v>
      </x:c>
      <x:c r="J609" s="24" t="str">
        <x:v>1.50</x:v>
      </x:c>
      <x:c r="K609" s="24" t="str">
        <x:v>LayR Balance</x:v>
      </x:c>
      <x:c r="L609" s="40" t="n">
        <x:v>1685</x:v>
      </x:c>
      <x:c r="M609" s="24" t="str">
        <x:v>-8 a +8</x:v>
      </x:c>
      <x:c r="N609" s="24" t="str">
        <x:v>até -6</x:v>
      </x:c>
      <x:c r="O609" s="24"/>
      <x:c r="P609" s="24" t="str">
        <x:v>75</x:v>
      </x:c>
      <x:c r="Q609" s="24"/>
      <x:c r="R609" s="24"/>
      <x:c r="S609" s="26" t="n">
        <x:v>46024</x:v>
      </x:c>
      <x:c r="T609" s="26"/>
      <x:c r="U609" s="24" t="str">
        <x:v>ATIVA/SEM FIM INFORMADO</x:v>
      </x:c>
      <x:c r="V609" s="24"/>
      <x:c r="W609" s="24" t="n">
        <x:v>15</x:v>
      </x:c>
      <x:c r="X609" s="24" t="str">
        <x:v>tabela_rodenstock.pdf</x:v>
      </x:c>
      <x:c r="Y609" s="24" t="str">
        <x:v>alta</x:v>
      </x:c>
      <x:c r="Z609" s="24"/>
      <x:c r="AA609" s="24" t="str">
        <x:v>Rodenstock|Mono Plus B.I.G. NORM|Surfaçada|Cosmolit Mono Plus B.I.G. NORM||1.5|1.50|LayR Balance|-8 a +8|até -6||75|||15</x:v>
      </x:c>
    </x:row>
    <x:row r="610">
      <x:c r="A610" s="24" t="str">
        <x:v>RD-481BA8B52BE6</x:v>
      </x:c>
      <x:c r="B610" s="24" t="str">
        <x:v>SIM</x:v>
      </x:c>
      <x:c r="C610" s="24" t="str">
        <x:v>DISPONÍVEL</x:v>
      </x:c>
      <x:c r="D610" s="24" t="str">
        <x:v>Rodenstock</x:v>
      </x:c>
      <x:c r="E610" s="24" t="str">
        <x:v>Mono Plus B.I.G. NORM</x:v>
      </x:c>
      <x:c r="F610" s="24" t="str">
        <x:v>Surfaçada</x:v>
      </x:c>
      <x:c r="G610" s="24" t="str">
        <x:v>Cosmolit Mono Plus B.I.G. NORM</x:v>
      </x:c>
      <x:c r="H610" s="24"/>
      <x:c r="I610" s="24" t="str">
        <x:v>1.5</x:v>
      </x:c>
      <x:c r="J610" s="24" t="str">
        <x:v>1.50</x:v>
      </x:c>
      <x:c r="K610" s="24" t="str">
        <x:v>Solitaire X-tra Clean</x:v>
      </x:c>
      <x:c r="L610" s="40" t="n">
        <x:v>1615</x:v>
      </x:c>
      <x:c r="M610" s="24" t="str">
        <x:v>-8 a +8</x:v>
      </x:c>
      <x:c r="N610" s="24" t="str">
        <x:v>até -6</x:v>
      </x:c>
      <x:c r="O610" s="24"/>
      <x:c r="P610" s="24" t="str">
        <x:v>75</x:v>
      </x:c>
      <x:c r="Q610" s="24"/>
      <x:c r="R610" s="24"/>
      <x:c r="S610" s="26" t="n">
        <x:v>46024</x:v>
      </x:c>
      <x:c r="T610" s="26"/>
      <x:c r="U610" s="24" t="str">
        <x:v>ATIVA/SEM FIM INFORMADO</x:v>
      </x:c>
      <x:c r="V610" s="24"/>
      <x:c r="W610" s="24" t="n">
        <x:v>15</x:v>
      </x:c>
      <x:c r="X610" s="24" t="str">
        <x:v>tabela_rodenstock.pdf</x:v>
      </x:c>
      <x:c r="Y610" s="24" t="str">
        <x:v>alta</x:v>
      </x:c>
      <x:c r="Z610" s="24"/>
      <x:c r="AA610" s="24" t="str">
        <x:v>Rodenstock|Mono Plus B.I.G. NORM|Surfaçada|Cosmolit Mono Plus B.I.G. NORM||1.5|1.50|Solitaire X-tra Clean|-8 a +8|até -6||75|||15</x:v>
      </x:c>
    </x:row>
    <x:row r="611">
      <x:c r="A611" s="24" t="str">
        <x:v>RD-6964430A6022</x:v>
      </x:c>
      <x:c r="B611" s="24" t="str">
        <x:v>SIM</x:v>
      </x:c>
      <x:c r="C611" s="24" t="str">
        <x:v>DISPONÍVEL</x:v>
      </x:c>
      <x:c r="D611" s="24" t="str">
        <x:v>Rodenstock</x:v>
      </x:c>
      <x:c r="E611" s="24" t="str">
        <x:v>Mono Plus B.I.G. NORM</x:v>
      </x:c>
      <x:c r="F611" s="24" t="str">
        <x:v>Surfaçada</x:v>
      </x:c>
      <x:c r="G611" s="24" t="str">
        <x:v>Cosmolit Mono Plus B.I.G. NORM</x:v>
      </x:c>
      <x:c r="H611" s="24"/>
      <x:c r="I611" s="24" t="str">
        <x:v>1.5</x:v>
      </x:c>
      <x:c r="J611" s="24" t="str">
        <x:v>1.50</x:v>
      </x:c>
      <x:c r="K611" s="24" t="str">
        <x:v>Solitaire Protect Plus</x:v>
      </x:c>
      <x:c r="L611" s="40" t="n">
        <x:v>1565</x:v>
      </x:c>
      <x:c r="M611" s="24" t="str">
        <x:v>-8 a +8</x:v>
      </x:c>
      <x:c r="N611" s="24" t="str">
        <x:v>até -6</x:v>
      </x:c>
      <x:c r="O611" s="24"/>
      <x:c r="P611" s="24" t="str">
        <x:v>75</x:v>
      </x:c>
      <x:c r="Q611" s="24"/>
      <x:c r="R611" s="24"/>
      <x:c r="S611" s="26" t="n">
        <x:v>46024</x:v>
      </x:c>
      <x:c r="T611" s="26"/>
      <x:c r="U611" s="24" t="str">
        <x:v>ATIVA/SEM FIM INFORMADO</x:v>
      </x:c>
      <x:c r="V611" s="24"/>
      <x:c r="W611" s="24" t="n">
        <x:v>15</x:v>
      </x:c>
      <x:c r="X611" s="24" t="str">
        <x:v>tabela_rodenstock.pdf</x:v>
      </x:c>
      <x:c r="Y611" s="24" t="str">
        <x:v>alta</x:v>
      </x:c>
      <x:c r="Z611" s="24"/>
      <x:c r="AA611" s="24" t="str">
        <x:v>Rodenstock|Mono Plus B.I.G. NORM|Surfaçada|Cosmolit Mono Plus B.I.G. NORM||1.5|1.50|Solitaire Protect Plus|-8 a +8|até -6||75|||15</x:v>
      </x:c>
    </x:row>
    <x:row r="612">
      <x:c r="A612" s="24" t="str">
        <x:v>RD-14C932909D49</x:v>
      </x:c>
      <x:c r="B612" s="24" t="str">
        <x:v>SIM</x:v>
      </x:c>
      <x:c r="C612" s="24" t="str">
        <x:v>DISPONÍVEL</x:v>
      </x:c>
      <x:c r="D612" s="24" t="str">
        <x:v>Rodenstock</x:v>
      </x:c>
      <x:c r="E612" s="24" t="str">
        <x:v>Mono Plus B.I.G. NORM</x:v>
      </x:c>
      <x:c r="F612" s="24" t="str">
        <x:v>Surfaçada</x:v>
      </x:c>
      <x:c r="G612" s="24" t="str">
        <x:v>Cosmolit Mono Plus B.I.G. NORM</x:v>
      </x:c>
      <x:c r="H612" s="24"/>
      <x:c r="I612" s="24" t="str">
        <x:v>1.5</x:v>
      </x:c>
      <x:c r="J612" s="24" t="str">
        <x:v>1.50</x:v>
      </x:c>
      <x:c r="K612" s="24" t="str">
        <x:v>ROAD</x:v>
      </x:c>
      <x:c r="L612" s="40" t="n">
        <x:v>1565</x:v>
      </x:c>
      <x:c r="M612" s="24" t="str">
        <x:v>-8 a +8</x:v>
      </x:c>
      <x:c r="N612" s="24" t="str">
        <x:v>até -6</x:v>
      </x:c>
      <x:c r="O612" s="24"/>
      <x:c r="P612" s="24" t="str">
        <x:v>75</x:v>
      </x:c>
      <x:c r="Q612" s="24"/>
      <x:c r="R612" s="24"/>
      <x:c r="S612" s="26" t="n">
        <x:v>46024</x:v>
      </x:c>
      <x:c r="T612" s="26"/>
      <x:c r="U612" s="24" t="str">
        <x:v>ATIVA/SEM FIM INFORMADO</x:v>
      </x:c>
      <x:c r="V612" s="24"/>
      <x:c r="W612" s="24" t="n">
        <x:v>15</x:v>
      </x:c>
      <x:c r="X612" s="24" t="str">
        <x:v>tabela_rodenstock.pdf</x:v>
      </x:c>
      <x:c r="Y612" s="24" t="str">
        <x:v>alta</x:v>
      </x:c>
      <x:c r="Z612" s="24"/>
      <x:c r="AA612" s="24" t="str">
        <x:v>Rodenstock|Mono Plus B.I.G. NORM|Surfaçada|Cosmolit Mono Plus B.I.G. NORM||1.5|1.50|ROAD|-8 a +8|até -6||75|||15</x:v>
      </x:c>
    </x:row>
    <x:row r="613">
      <x:c r="A613" s="24" t="str">
        <x:v>RD-BFE8EFA771B4</x:v>
      </x:c>
      <x:c r="B613" s="24" t="str">
        <x:v>SIM</x:v>
      </x:c>
      <x:c r="C613" s="24" t="str">
        <x:v>DISPONÍVEL</x:v>
      </x:c>
      <x:c r="D613" s="24" t="str">
        <x:v>Rodenstock</x:v>
      </x:c>
      <x:c r="E613" s="24" t="str">
        <x:v>Mono Plus B.I.G. NORM</x:v>
      </x:c>
      <x:c r="F613" s="24" t="str">
        <x:v>Surfaçada</x:v>
      </x:c>
      <x:c r="G613" s="24" t="str">
        <x:v>Cosmolit Mono Plus B.I.G. NORM</x:v>
      </x:c>
      <x:c r="H613" s="24" t="str">
        <x:v>ColorMatic® 3</x:v>
      </x:c>
      <x:c r="I613" s="24" t="str">
        <x:v>1.54</x:v>
      </x:c>
      <x:c r="J613" s="24" t="str">
        <x:v>1.54</x:v>
      </x:c>
      <x:c r="K613" s="24" t="str">
        <x:v>LayR X-tra Clean</x:v>
      </x:c>
      <x:c r="L613" s="40" t="n">
        <x:v>2924</x:v>
      </x:c>
      <x:c r="M613" s="24" t="str">
        <x:v>-8 a +8</x:v>
      </x:c>
      <x:c r="N613" s="24" t="str">
        <x:v>até -6</x:v>
      </x:c>
      <x:c r="O613" s="24"/>
      <x:c r="P613" s="24" t="str">
        <x:v>75</x:v>
      </x:c>
      <x:c r="Q613" s="24"/>
      <x:c r="R613" s="24"/>
      <x:c r="S613" s="26" t="n">
        <x:v>46024</x:v>
      </x:c>
      <x:c r="T613" s="26"/>
      <x:c r="U613" s="24" t="str">
        <x:v>ATIVA/SEM FIM INFORMADO</x:v>
      </x:c>
      <x:c r="V613" s="24"/>
      <x:c r="W613" s="24" t="n">
        <x:v>15</x:v>
      </x:c>
      <x:c r="X613" s="24" t="str">
        <x:v>tabela_rodenstock.pdf</x:v>
      </x:c>
      <x:c r="Y613" s="24" t="str">
        <x:v>alta</x:v>
      </x:c>
      <x:c r="Z613" s="24"/>
      <x:c r="AA613" s="24" t="str">
        <x:v>Rodenstock|Mono Plus B.I.G. NORM|Surfaçada|Cosmolit Mono Plus B.I.G. NORM|ColorMatic® 3|1.54|1.54|LayR X-tra Clean|-8 a +8|até -6||75|||15</x:v>
      </x:c>
    </x:row>
    <x:row r="614">
      <x:c r="A614" s="24" t="str">
        <x:v>RD-7F5AABF23E15</x:v>
      </x:c>
      <x:c r="B614" s="24" t="str">
        <x:v>SIM</x:v>
      </x:c>
      <x:c r="C614" s="24" t="str">
        <x:v>DISPONÍVEL</x:v>
      </x:c>
      <x:c r="D614" s="24" t="str">
        <x:v>Rodenstock</x:v>
      </x:c>
      <x:c r="E614" s="24" t="str">
        <x:v>Mono Plus B.I.G. NORM</x:v>
      </x:c>
      <x:c r="F614" s="24" t="str">
        <x:v>Surfaçada</x:v>
      </x:c>
      <x:c r="G614" s="24" t="str">
        <x:v>Cosmolit Mono Plus B.I.G. NORM</x:v>
      </x:c>
      <x:c r="H614" s="24" t="str">
        <x:v>ColorMatic® 3</x:v>
      </x:c>
      <x:c r="I614" s="24" t="str">
        <x:v>1.54</x:v>
      </x:c>
      <x:c r="J614" s="24" t="str">
        <x:v>1.54</x:v>
      </x:c>
      <x:c r="K614" s="24" t="str">
        <x:v>LayR Balance</x:v>
      </x:c>
      <x:c r="L614" s="40" t="n">
        <x:v>2924</x:v>
      </x:c>
      <x:c r="M614" s="24" t="str">
        <x:v>-8 a +8</x:v>
      </x:c>
      <x:c r="N614" s="24" t="str">
        <x:v>até -6</x:v>
      </x:c>
      <x:c r="O614" s="24"/>
      <x:c r="P614" s="24" t="str">
        <x:v>75</x:v>
      </x:c>
      <x:c r="Q614" s="24"/>
      <x:c r="R614" s="24"/>
      <x:c r="S614" s="26" t="n">
        <x:v>46024</x:v>
      </x:c>
      <x:c r="T614" s="26"/>
      <x:c r="U614" s="24" t="str">
        <x:v>ATIVA/SEM FIM INFORMADO</x:v>
      </x:c>
      <x:c r="V614" s="24"/>
      <x:c r="W614" s="24" t="n">
        <x:v>15</x:v>
      </x:c>
      <x:c r="X614" s="24" t="str">
        <x:v>tabela_rodenstock.pdf</x:v>
      </x:c>
      <x:c r="Y614" s="24" t="str">
        <x:v>alta</x:v>
      </x:c>
      <x:c r="Z614" s="24"/>
      <x:c r="AA614" s="24" t="str">
        <x:v>Rodenstock|Mono Plus B.I.G. NORM|Surfaçada|Cosmolit Mono Plus B.I.G. NORM|ColorMatic® 3|1.54|1.54|LayR Balance|-8 a +8|até -6||75|||15</x:v>
      </x:c>
    </x:row>
    <x:row r="615">
      <x:c r="A615" s="24" t="str">
        <x:v>RD-81D79E77B9BA</x:v>
      </x:c>
      <x:c r="B615" s="24" t="str">
        <x:v>SIM</x:v>
      </x:c>
      <x:c r="C615" s="24" t="str">
        <x:v>DISPONÍVEL</x:v>
      </x:c>
      <x:c r="D615" s="24" t="str">
        <x:v>Rodenstock</x:v>
      </x:c>
      <x:c r="E615" s="24" t="str">
        <x:v>Mono Plus B.I.G. NORM</x:v>
      </x:c>
      <x:c r="F615" s="24" t="str">
        <x:v>Surfaçada</x:v>
      </x:c>
      <x:c r="G615" s="24" t="str">
        <x:v>Cosmolit Mono Plus B.I.G. NORM</x:v>
      </x:c>
      <x:c r="H615" s="24" t="str">
        <x:v>ColorMatic® 3</x:v>
      </x:c>
      <x:c r="I615" s="24" t="str">
        <x:v>1.54</x:v>
      </x:c>
      <x:c r="J615" s="24" t="str">
        <x:v>1.54</x:v>
      </x:c>
      <x:c r="K615" s="24" t="str">
        <x:v>Solitaire X-tra Clean</x:v>
      </x:c>
      <x:c r="L615" s="40" t="n">
        <x:v>2854</x:v>
      </x:c>
      <x:c r="M615" s="24" t="str">
        <x:v>-8 a +8</x:v>
      </x:c>
      <x:c r="N615" s="24" t="str">
        <x:v>até -6</x:v>
      </x:c>
      <x:c r="O615" s="24"/>
      <x:c r="P615" s="24" t="str">
        <x:v>75</x:v>
      </x:c>
      <x:c r="Q615" s="24"/>
      <x:c r="R615" s="24"/>
      <x:c r="S615" s="26" t="n">
        <x:v>46024</x:v>
      </x:c>
      <x:c r="T615" s="26"/>
      <x:c r="U615" s="24" t="str">
        <x:v>ATIVA/SEM FIM INFORMADO</x:v>
      </x:c>
      <x:c r="V615" s="24"/>
      <x:c r="W615" s="24" t="n">
        <x:v>15</x:v>
      </x:c>
      <x:c r="X615" s="24" t="str">
        <x:v>tabela_rodenstock.pdf</x:v>
      </x:c>
      <x:c r="Y615" s="24" t="str">
        <x:v>alta</x:v>
      </x:c>
      <x:c r="Z615" s="24"/>
      <x:c r="AA615" s="24" t="str">
        <x:v>Rodenstock|Mono Plus B.I.G. NORM|Surfaçada|Cosmolit Mono Plus B.I.G. NORM|ColorMatic® 3|1.54|1.54|Solitaire X-tra Clean|-8 a +8|até -6||75|||15</x:v>
      </x:c>
    </x:row>
    <x:row r="616">
      <x:c r="A616" s="24" t="str">
        <x:v>RD-F336FE3DE848</x:v>
      </x:c>
      <x:c r="B616" s="24" t="str">
        <x:v>SIM</x:v>
      </x:c>
      <x:c r="C616" s="24" t="str">
        <x:v>DISPONÍVEL</x:v>
      </x:c>
      <x:c r="D616" s="24" t="str">
        <x:v>Rodenstock</x:v>
      </x:c>
      <x:c r="E616" s="24" t="str">
        <x:v>Mono Plus B.I.G. NORM</x:v>
      </x:c>
      <x:c r="F616" s="24" t="str">
        <x:v>Surfaçada</x:v>
      </x:c>
      <x:c r="G616" s="24" t="str">
        <x:v>Cosmolit Mono Plus B.I.G. NORM</x:v>
      </x:c>
      <x:c r="H616" s="24" t="str">
        <x:v>ColorMatic® 3</x:v>
      </x:c>
      <x:c r="I616" s="24" t="str">
        <x:v>1.54</x:v>
      </x:c>
      <x:c r="J616" s="24" t="str">
        <x:v>1.54</x:v>
      </x:c>
      <x:c r="K616" s="24" t="str">
        <x:v>Solitaire Protect Plus</x:v>
      </x:c>
      <x:c r="L616" s="40" t="n">
        <x:v>2804</x:v>
      </x:c>
      <x:c r="M616" s="24" t="str">
        <x:v>-8 a +8</x:v>
      </x:c>
      <x:c r="N616" s="24" t="str">
        <x:v>até -6</x:v>
      </x:c>
      <x:c r="O616" s="24"/>
      <x:c r="P616" s="24" t="str">
        <x:v>75</x:v>
      </x:c>
      <x:c r="Q616" s="24"/>
      <x:c r="R616" s="24"/>
      <x:c r="S616" s="26" t="n">
        <x:v>46024</x:v>
      </x:c>
      <x:c r="T616" s="26"/>
      <x:c r="U616" s="24" t="str">
        <x:v>ATIVA/SEM FIM INFORMADO</x:v>
      </x:c>
      <x:c r="V616" s="24"/>
      <x:c r="W616" s="24" t="n">
        <x:v>15</x:v>
      </x:c>
      <x:c r="X616" s="24" t="str">
        <x:v>tabela_rodenstock.pdf</x:v>
      </x:c>
      <x:c r="Y616" s="24" t="str">
        <x:v>alta</x:v>
      </x:c>
      <x:c r="Z616" s="24"/>
      <x:c r="AA616" s="24" t="str">
        <x:v>Rodenstock|Mono Plus B.I.G. NORM|Surfaçada|Cosmolit Mono Plus B.I.G. NORM|ColorMatic® 3|1.54|1.54|Solitaire Protect Plus|-8 a +8|até -6||75|||15</x:v>
      </x:c>
    </x:row>
    <x:row r="617">
      <x:c r="A617" s="24" t="str">
        <x:v>RD-423E6C209E45</x:v>
      </x:c>
      <x:c r="B617" s="24" t="str">
        <x:v>SIM</x:v>
      </x:c>
      <x:c r="C617" s="24" t="str">
        <x:v>DISPONÍVEL</x:v>
      </x:c>
      <x:c r="D617" s="24" t="str">
        <x:v>Rodenstock</x:v>
      </x:c>
      <x:c r="E617" s="24" t="str">
        <x:v>Mono Plus B.I.G. NORM</x:v>
      </x:c>
      <x:c r="F617" s="24" t="str">
        <x:v>Surfaçada</x:v>
      </x:c>
      <x:c r="G617" s="24" t="str">
        <x:v>Cosmolit Mono Plus B.I.G. NORM</x:v>
      </x:c>
      <x:c r="H617" s="24" t="str">
        <x:v>ColorMatic® 3</x:v>
      </x:c>
      <x:c r="I617" s="24" t="str">
        <x:v>1.54</x:v>
      </x:c>
      <x:c r="J617" s="24" t="str">
        <x:v>1.54</x:v>
      </x:c>
      <x:c r="K617" s="24" t="str">
        <x:v>ROAD</x:v>
      </x:c>
      <x:c r="L617" s="40" t="n">
        <x:v>2804</x:v>
      </x:c>
      <x:c r="M617" s="24" t="str">
        <x:v>-8 a +8</x:v>
      </x:c>
      <x:c r="N617" s="24" t="str">
        <x:v>até -6</x:v>
      </x:c>
      <x:c r="O617" s="24"/>
      <x:c r="P617" s="24" t="str">
        <x:v>75</x:v>
      </x:c>
      <x:c r="Q617" s="24"/>
      <x:c r="R617" s="24"/>
      <x:c r="S617" s="26" t="n">
        <x:v>46024</x:v>
      </x:c>
      <x:c r="T617" s="26"/>
      <x:c r="U617" s="24" t="str">
        <x:v>ATIVA/SEM FIM INFORMADO</x:v>
      </x:c>
      <x:c r="V617" s="24"/>
      <x:c r="W617" s="24" t="n">
        <x:v>15</x:v>
      </x:c>
      <x:c r="X617" s="24" t="str">
        <x:v>tabela_rodenstock.pdf</x:v>
      </x:c>
      <x:c r="Y617" s="24" t="str">
        <x:v>alta</x:v>
      </x:c>
      <x:c r="Z617" s="24"/>
      <x:c r="AA617" s="24" t="str">
        <x:v>Rodenstock|Mono Plus B.I.G. NORM|Surfaçada|Cosmolit Mono Plus B.I.G. NORM|ColorMatic® 3|1.54|1.54|ROAD|-8 a +8|até -6||75|||15</x:v>
      </x:c>
    </x:row>
    <x:row r="618">
      <x:c r="A618" s="24" t="str">
        <x:v>RD-CF7FF9F7D8A7</x:v>
      </x:c>
      <x:c r="B618" s="24" t="str">
        <x:v>SIM</x:v>
      </x:c>
      <x:c r="C618" s="24" t="str">
        <x:v>DISPONÍVEL</x:v>
      </x:c>
      <x:c r="D618" s="24" t="str">
        <x:v>Rodenstock</x:v>
      </x:c>
      <x:c r="E618" s="24" t="str">
        <x:v>Mono Plus B.I.G. NORM</x:v>
      </x:c>
      <x:c r="F618" s="24" t="str">
        <x:v>Surfaçada</x:v>
      </x:c>
      <x:c r="G618" s="24" t="str">
        <x:v>Cosmolit Mono Plus B.I.G. NORM</x:v>
      </x:c>
      <x:c r="H618" s="24"/>
      <x:c r="I618" s="24" t="str">
        <x:v>1.6</x:v>
      </x:c>
      <x:c r="J618" s="24" t="str">
        <x:v>1.60</x:v>
      </x:c>
      <x:c r="K618" s="24" t="str">
        <x:v>LayR X-tra Clean</x:v>
      </x:c>
      <x:c r="L618" s="40" t="n">
        <x:v>2088</x:v>
      </x:c>
      <x:c r="M618" s="24" t="str">
        <x:v>-10 a +10</x:v>
      </x:c>
      <x:c r="N618" s="24" t="str">
        <x:v>até -6</x:v>
      </x:c>
      <x:c r="O618" s="24"/>
      <x:c r="P618" s="24" t="str">
        <x:v>75</x:v>
      </x:c>
      <x:c r="Q618" s="24"/>
      <x:c r="R618" s="24"/>
      <x:c r="S618" s="26" t="n">
        <x:v>46024</x:v>
      </x:c>
      <x:c r="T618" s="26"/>
      <x:c r="U618" s="24" t="str">
        <x:v>ATIVA/SEM FIM INFORMADO</x:v>
      </x:c>
      <x:c r="V618" s="24"/>
      <x:c r="W618" s="24" t="n">
        <x:v>15</x:v>
      </x:c>
      <x:c r="X618" s="24" t="str">
        <x:v>tabela_rodenstock.pdf</x:v>
      </x:c>
      <x:c r="Y618" s="24" t="str">
        <x:v>alta</x:v>
      </x:c>
      <x:c r="Z618" s="24"/>
      <x:c r="AA618" s="24" t="str">
        <x:v>Rodenstock|Mono Plus B.I.G. NORM|Surfaçada|Cosmolit Mono Plus B.I.G. NORM||1.6|1.60|LayR X-tra Clean|-10 a +10|até -6||75|||15</x:v>
      </x:c>
    </x:row>
    <x:row r="619">
      <x:c r="A619" s="24" t="str">
        <x:v>RD-C10564764E11</x:v>
      </x:c>
      <x:c r="B619" s="24" t="str">
        <x:v>SIM</x:v>
      </x:c>
      <x:c r="C619" s="24" t="str">
        <x:v>DISPONÍVEL</x:v>
      </x:c>
      <x:c r="D619" s="24" t="str">
        <x:v>Rodenstock</x:v>
      </x:c>
      <x:c r="E619" s="24" t="str">
        <x:v>Mono Plus B.I.G. NORM</x:v>
      </x:c>
      <x:c r="F619" s="24" t="str">
        <x:v>Surfaçada</x:v>
      </x:c>
      <x:c r="G619" s="24" t="str">
        <x:v>Cosmolit Mono Plus B.I.G. NORM</x:v>
      </x:c>
      <x:c r="H619" s="24"/>
      <x:c r="I619" s="24" t="str">
        <x:v>1.6</x:v>
      </x:c>
      <x:c r="J619" s="24" t="str">
        <x:v>1.60</x:v>
      </x:c>
      <x:c r="K619" s="24" t="str">
        <x:v>LayR Balance</x:v>
      </x:c>
      <x:c r="L619" s="40" t="n">
        <x:v>2088</x:v>
      </x:c>
      <x:c r="M619" s="24" t="str">
        <x:v>-10 a +10</x:v>
      </x:c>
      <x:c r="N619" s="24" t="str">
        <x:v>até -6</x:v>
      </x:c>
      <x:c r="O619" s="24"/>
      <x:c r="P619" s="24" t="str">
        <x:v>75</x:v>
      </x:c>
      <x:c r="Q619" s="24"/>
      <x:c r="R619" s="24"/>
      <x:c r="S619" s="26" t="n">
        <x:v>46024</x:v>
      </x:c>
      <x:c r="T619" s="26"/>
      <x:c r="U619" s="24" t="str">
        <x:v>ATIVA/SEM FIM INFORMADO</x:v>
      </x:c>
      <x:c r="V619" s="24"/>
      <x:c r="W619" s="24" t="n">
        <x:v>15</x:v>
      </x:c>
      <x:c r="X619" s="24" t="str">
        <x:v>tabela_rodenstock.pdf</x:v>
      </x:c>
      <x:c r="Y619" s="24" t="str">
        <x:v>alta</x:v>
      </x:c>
      <x:c r="Z619" s="24"/>
      <x:c r="AA619" s="24" t="str">
        <x:v>Rodenstock|Mono Plus B.I.G. NORM|Surfaçada|Cosmolit Mono Plus B.I.G. NORM||1.6|1.60|LayR Balance|-10 a +10|até -6||75|||15</x:v>
      </x:c>
    </x:row>
    <x:row r="620">
      <x:c r="A620" s="24" t="str">
        <x:v>RD-63757B035733</x:v>
      </x:c>
      <x:c r="B620" s="24" t="str">
        <x:v>SIM</x:v>
      </x:c>
      <x:c r="C620" s="24" t="str">
        <x:v>DISPONÍVEL</x:v>
      </x:c>
      <x:c r="D620" s="24" t="str">
        <x:v>Rodenstock</x:v>
      </x:c>
      <x:c r="E620" s="24" t="str">
        <x:v>Mono Plus B.I.G. NORM</x:v>
      </x:c>
      <x:c r="F620" s="24" t="str">
        <x:v>Surfaçada</x:v>
      </x:c>
      <x:c r="G620" s="24" t="str">
        <x:v>Cosmolit Mono Plus B.I.G. NORM</x:v>
      </x:c>
      <x:c r="H620" s="24"/>
      <x:c r="I620" s="24" t="str">
        <x:v>1.6</x:v>
      </x:c>
      <x:c r="J620" s="24" t="str">
        <x:v>1.60</x:v>
      </x:c>
      <x:c r="K620" s="24" t="str">
        <x:v>Solitaire X-tra Clean</x:v>
      </x:c>
      <x:c r="L620" s="40" t="n">
        <x:v>2018</x:v>
      </x:c>
      <x:c r="M620" s="24" t="str">
        <x:v>-10 a +10</x:v>
      </x:c>
      <x:c r="N620" s="24" t="str">
        <x:v>até -6</x:v>
      </x:c>
      <x:c r="O620" s="24"/>
      <x:c r="P620" s="24" t="str">
        <x:v>75</x:v>
      </x:c>
      <x:c r="Q620" s="24"/>
      <x:c r="R620" s="24"/>
      <x:c r="S620" s="26" t="n">
        <x:v>46024</x:v>
      </x:c>
      <x:c r="T620" s="26"/>
      <x:c r="U620" s="24" t="str">
        <x:v>ATIVA/SEM FIM INFORMADO</x:v>
      </x:c>
      <x:c r="V620" s="24"/>
      <x:c r="W620" s="24" t="n">
        <x:v>15</x:v>
      </x:c>
      <x:c r="X620" s="24" t="str">
        <x:v>tabela_rodenstock.pdf</x:v>
      </x:c>
      <x:c r="Y620" s="24" t="str">
        <x:v>alta</x:v>
      </x:c>
      <x:c r="Z620" s="24"/>
      <x:c r="AA620" s="24" t="str">
        <x:v>Rodenstock|Mono Plus B.I.G. NORM|Surfaçada|Cosmolit Mono Plus B.I.G. NORM||1.6|1.60|Solitaire X-tra Clean|-10 a +10|até -6||75|||15</x:v>
      </x:c>
    </x:row>
    <x:row r="621">
      <x:c r="A621" s="24" t="str">
        <x:v>RD-96DE08EEC9C4</x:v>
      </x:c>
      <x:c r="B621" s="24" t="str">
        <x:v>SIM</x:v>
      </x:c>
      <x:c r="C621" s="24" t="str">
        <x:v>DISPONÍVEL</x:v>
      </x:c>
      <x:c r="D621" s="24" t="str">
        <x:v>Rodenstock</x:v>
      </x:c>
      <x:c r="E621" s="24" t="str">
        <x:v>Mono Plus B.I.G. NORM</x:v>
      </x:c>
      <x:c r="F621" s="24" t="str">
        <x:v>Surfaçada</x:v>
      </x:c>
      <x:c r="G621" s="24" t="str">
        <x:v>Cosmolit Mono Plus B.I.G. NORM</x:v>
      </x:c>
      <x:c r="H621" s="24"/>
      <x:c r="I621" s="24" t="str">
        <x:v>1.6</x:v>
      </x:c>
      <x:c r="J621" s="24" t="str">
        <x:v>1.60</x:v>
      </x:c>
      <x:c r="K621" s="24" t="str">
        <x:v>Solitaire Protect Plus</x:v>
      </x:c>
      <x:c r="L621" s="40" t="n">
        <x:v>1968</x:v>
      </x:c>
      <x:c r="M621" s="24" t="str">
        <x:v>-10 a +10</x:v>
      </x:c>
      <x:c r="N621" s="24" t="str">
        <x:v>até -6</x:v>
      </x:c>
      <x:c r="O621" s="24"/>
      <x:c r="P621" s="24" t="str">
        <x:v>75</x:v>
      </x:c>
      <x:c r="Q621" s="24"/>
      <x:c r="R621" s="24"/>
      <x:c r="S621" s="26" t="n">
        <x:v>46024</x:v>
      </x:c>
      <x:c r="T621" s="26"/>
      <x:c r="U621" s="24" t="str">
        <x:v>ATIVA/SEM FIM INFORMADO</x:v>
      </x:c>
      <x:c r="V621" s="24"/>
      <x:c r="W621" s="24" t="n">
        <x:v>15</x:v>
      </x:c>
      <x:c r="X621" s="24" t="str">
        <x:v>tabela_rodenstock.pdf</x:v>
      </x:c>
      <x:c r="Y621" s="24" t="str">
        <x:v>alta</x:v>
      </x:c>
      <x:c r="Z621" s="24"/>
      <x:c r="AA621" s="24" t="str">
        <x:v>Rodenstock|Mono Plus B.I.G. NORM|Surfaçada|Cosmolit Mono Plus B.I.G. NORM||1.6|1.60|Solitaire Protect Plus|-10 a +10|até -6||75|||15</x:v>
      </x:c>
    </x:row>
    <x:row r="622">
      <x:c r="A622" s="24" t="str">
        <x:v>RD-46025CAD96A6</x:v>
      </x:c>
      <x:c r="B622" s="24" t="str">
        <x:v>SIM</x:v>
      </x:c>
      <x:c r="C622" s="24" t="str">
        <x:v>DISPONÍVEL</x:v>
      </x:c>
      <x:c r="D622" s="24" t="str">
        <x:v>Rodenstock</x:v>
      </x:c>
      <x:c r="E622" s="24" t="str">
        <x:v>Mono Plus B.I.G. NORM</x:v>
      </x:c>
      <x:c r="F622" s="24" t="str">
        <x:v>Surfaçada</x:v>
      </x:c>
      <x:c r="G622" s="24" t="str">
        <x:v>Cosmolit Mono Plus B.I.G. NORM</x:v>
      </x:c>
      <x:c r="H622" s="24"/>
      <x:c r="I622" s="24" t="str">
        <x:v>1.6</x:v>
      </x:c>
      <x:c r="J622" s="24" t="str">
        <x:v>1.60</x:v>
      </x:c>
      <x:c r="K622" s="24" t="str">
        <x:v>ROAD</x:v>
      </x:c>
      <x:c r="L622" s="40" t="n">
        <x:v>1968</x:v>
      </x:c>
      <x:c r="M622" s="24" t="str">
        <x:v>-10 a +10</x:v>
      </x:c>
      <x:c r="N622" s="24" t="str">
        <x:v>até -6</x:v>
      </x:c>
      <x:c r="O622" s="24"/>
      <x:c r="P622" s="24" t="str">
        <x:v>75</x:v>
      </x:c>
      <x:c r="Q622" s="24"/>
      <x:c r="R622" s="24"/>
      <x:c r="S622" s="26" t="n">
        <x:v>46024</x:v>
      </x:c>
      <x:c r="T622" s="26"/>
      <x:c r="U622" s="24" t="str">
        <x:v>ATIVA/SEM FIM INFORMADO</x:v>
      </x:c>
      <x:c r="V622" s="24"/>
      <x:c r="W622" s="24" t="n">
        <x:v>15</x:v>
      </x:c>
      <x:c r="X622" s="24" t="str">
        <x:v>tabela_rodenstock.pdf</x:v>
      </x:c>
      <x:c r="Y622" s="24" t="str">
        <x:v>alta</x:v>
      </x:c>
      <x:c r="Z622" s="24"/>
      <x:c r="AA622" s="24" t="str">
        <x:v>Rodenstock|Mono Plus B.I.G. NORM|Surfaçada|Cosmolit Mono Plus B.I.G. NORM||1.6|1.60|ROAD|-10 a +10|até -6||75|||15</x:v>
      </x:c>
    </x:row>
    <x:row r="623">
      <x:c r="A623" s="24" t="str">
        <x:v>RD-AFABC13B0DC8</x:v>
      </x:c>
      <x:c r="B623" s="24" t="str">
        <x:v>SIM</x:v>
      </x:c>
      <x:c r="C623" s="24" t="str">
        <x:v>DISPONÍVEL</x:v>
      </x:c>
      <x:c r="D623" s="24" t="str">
        <x:v>Rodenstock</x:v>
      </x:c>
      <x:c r="E623" s="24" t="str">
        <x:v>Mono Plus B.I.G. NORM</x:v>
      </x:c>
      <x:c r="F623" s="24" t="str">
        <x:v>Surfaçada</x:v>
      </x:c>
      <x:c r="G623" s="24" t="str">
        <x:v>Cosmolit Mono Plus B.I.G. NORM</x:v>
      </x:c>
      <x:c r="H623" s="24" t="str">
        <x:v>PRO410</x:v>
      </x:c>
      <x:c r="I623" s="24" t="str">
        <x:v>1.6</x:v>
      </x:c>
      <x:c r="J623" s="24" t="str">
        <x:v>1.60</x:v>
      </x:c>
      <x:c r="K623" s="24" t="str">
        <x:v>LayR X-tra Clean</x:v>
      </x:c>
      <x:c r="L623" s="40" t="n">
        <x:v>2130</x:v>
      </x:c>
      <x:c r="M623" s="24" t="str">
        <x:v>-10 a +10</x:v>
      </x:c>
      <x:c r="N623" s="24" t="str">
        <x:v>até -6</x:v>
      </x:c>
      <x:c r="O623" s="24"/>
      <x:c r="P623" s="24" t="str">
        <x:v>75</x:v>
      </x:c>
      <x:c r="Q623" s="24"/>
      <x:c r="R623" s="24"/>
      <x:c r="S623" s="26" t="n">
        <x:v>46024</x:v>
      </x:c>
      <x:c r="T623" s="26"/>
      <x:c r="U623" s="24" t="str">
        <x:v>ATIVA/SEM FIM INFORMADO</x:v>
      </x:c>
      <x:c r="V623" s="24"/>
      <x:c r="W623" s="24" t="n">
        <x:v>15</x:v>
      </x:c>
      <x:c r="X623" s="24" t="str">
        <x:v>tabela_rodenstock.pdf</x:v>
      </x:c>
      <x:c r="Y623" s="24" t="str">
        <x:v>alta</x:v>
      </x:c>
      <x:c r="Z623" s="24"/>
      <x:c r="AA623" s="24" t="str">
        <x:v>Rodenstock|Mono Plus B.I.G. NORM|Surfaçada|Cosmolit Mono Plus B.I.G. NORM|PRO410|1.6|1.60|LayR X-tra Clean|-10 a +10|até -6||75|||15</x:v>
      </x:c>
    </x:row>
    <x:row r="624">
      <x:c r="A624" s="24" t="str">
        <x:v>RD-8C7DDC9B82C8</x:v>
      </x:c>
      <x:c r="B624" s="24" t="str">
        <x:v>SIM</x:v>
      </x:c>
      <x:c r="C624" s="24" t="str">
        <x:v>DISPONÍVEL</x:v>
      </x:c>
      <x:c r="D624" s="24" t="str">
        <x:v>Rodenstock</x:v>
      </x:c>
      <x:c r="E624" s="24" t="str">
        <x:v>Mono Plus B.I.G. NORM</x:v>
      </x:c>
      <x:c r="F624" s="24" t="str">
        <x:v>Surfaçada</x:v>
      </x:c>
      <x:c r="G624" s="24" t="str">
        <x:v>Cosmolit Mono Plus B.I.G. NORM</x:v>
      </x:c>
      <x:c r="H624" s="24" t="str">
        <x:v>PRO410</x:v>
      </x:c>
      <x:c r="I624" s="24" t="str">
        <x:v>1.6</x:v>
      </x:c>
      <x:c r="J624" s="24" t="str">
        <x:v>1.60</x:v>
      </x:c>
      <x:c r="K624" s="24" t="str">
        <x:v>LayR Balance</x:v>
      </x:c>
      <x:c r="L624" s="40" t="n">
        <x:v>2130</x:v>
      </x:c>
      <x:c r="M624" s="24" t="str">
        <x:v>-10 a +10</x:v>
      </x:c>
      <x:c r="N624" s="24" t="str">
        <x:v>até -6</x:v>
      </x:c>
      <x:c r="O624" s="24"/>
      <x:c r="P624" s="24" t="str">
        <x:v>75</x:v>
      </x:c>
      <x:c r="Q624" s="24"/>
      <x:c r="R624" s="24"/>
      <x:c r="S624" s="26" t="n">
        <x:v>46024</x:v>
      </x:c>
      <x:c r="T624" s="26"/>
      <x:c r="U624" s="24" t="str">
        <x:v>ATIVA/SEM FIM INFORMADO</x:v>
      </x:c>
      <x:c r="V624" s="24"/>
      <x:c r="W624" s="24" t="n">
        <x:v>15</x:v>
      </x:c>
      <x:c r="X624" s="24" t="str">
        <x:v>tabela_rodenstock.pdf</x:v>
      </x:c>
      <x:c r="Y624" s="24" t="str">
        <x:v>alta</x:v>
      </x:c>
      <x:c r="Z624" s="24"/>
      <x:c r="AA624" s="24" t="str">
        <x:v>Rodenstock|Mono Plus B.I.G. NORM|Surfaçada|Cosmolit Mono Plus B.I.G. NORM|PRO410|1.6|1.60|LayR Balance|-10 a +10|até -6||75|||15</x:v>
      </x:c>
    </x:row>
    <x:row r="625">
      <x:c r="A625" s="24" t="str">
        <x:v>RD-4BE488622B5C</x:v>
      </x:c>
      <x:c r="B625" s="24" t="str">
        <x:v>SIM</x:v>
      </x:c>
      <x:c r="C625" s="24" t="str">
        <x:v>DISPONÍVEL</x:v>
      </x:c>
      <x:c r="D625" s="24" t="str">
        <x:v>Rodenstock</x:v>
      </x:c>
      <x:c r="E625" s="24" t="str">
        <x:v>Mono Plus B.I.G. NORM</x:v>
      </x:c>
      <x:c r="F625" s="24" t="str">
        <x:v>Surfaçada</x:v>
      </x:c>
      <x:c r="G625" s="24" t="str">
        <x:v>Cosmolit Mono Plus B.I.G. NORM</x:v>
      </x:c>
      <x:c r="H625" s="24" t="str">
        <x:v>PRO410</x:v>
      </x:c>
      <x:c r="I625" s="24" t="str">
        <x:v>1.6</x:v>
      </x:c>
      <x:c r="J625" s="24" t="str">
        <x:v>1.60</x:v>
      </x:c>
      <x:c r="K625" s="24" t="str">
        <x:v>Solitaire X-tra Clean</x:v>
      </x:c>
      <x:c r="L625" s="40" t="n">
        <x:v>2060</x:v>
      </x:c>
      <x:c r="M625" s="24" t="str">
        <x:v>-10 a +10</x:v>
      </x:c>
      <x:c r="N625" s="24" t="str">
        <x:v>até -6</x:v>
      </x:c>
      <x:c r="O625" s="24"/>
      <x:c r="P625" s="24" t="str">
        <x:v>75</x:v>
      </x:c>
      <x:c r="Q625" s="24"/>
      <x:c r="R625" s="24"/>
      <x:c r="S625" s="26" t="n">
        <x:v>46024</x:v>
      </x:c>
      <x:c r="T625" s="26"/>
      <x:c r="U625" s="24" t="str">
        <x:v>ATIVA/SEM FIM INFORMADO</x:v>
      </x:c>
      <x:c r="V625" s="24"/>
      <x:c r="W625" s="24" t="n">
        <x:v>15</x:v>
      </x:c>
      <x:c r="X625" s="24" t="str">
        <x:v>tabela_rodenstock.pdf</x:v>
      </x:c>
      <x:c r="Y625" s="24" t="str">
        <x:v>alta</x:v>
      </x:c>
      <x:c r="Z625" s="24"/>
      <x:c r="AA625" s="24" t="str">
        <x:v>Rodenstock|Mono Plus B.I.G. NORM|Surfaçada|Cosmolit Mono Plus B.I.G. NORM|PRO410|1.6|1.60|Solitaire X-tra Clean|-10 a +10|até -6||75|||15</x:v>
      </x:c>
    </x:row>
    <x:row r="626">
      <x:c r="A626" s="24" t="str">
        <x:v>RD-70DDE9600EEE</x:v>
      </x:c>
      <x:c r="B626" s="24" t="str">
        <x:v>SIM</x:v>
      </x:c>
      <x:c r="C626" s="24" t="str">
        <x:v>DISPONÍVEL</x:v>
      </x:c>
      <x:c r="D626" s="24" t="str">
        <x:v>Rodenstock</x:v>
      </x:c>
      <x:c r="E626" s="24" t="str">
        <x:v>Mono Plus B.I.G. NORM</x:v>
      </x:c>
      <x:c r="F626" s="24" t="str">
        <x:v>Surfaçada</x:v>
      </x:c>
      <x:c r="G626" s="24" t="str">
        <x:v>Cosmolit Mono Plus B.I.G. NORM</x:v>
      </x:c>
      <x:c r="H626" s="24" t="str">
        <x:v>PRO410</x:v>
      </x:c>
      <x:c r="I626" s="24" t="str">
        <x:v>1.6</x:v>
      </x:c>
      <x:c r="J626" s="24" t="str">
        <x:v>1.60</x:v>
      </x:c>
      <x:c r="K626" s="24" t="str">
        <x:v>Solitaire Protect Plus</x:v>
      </x:c>
      <x:c r="L626" s="40" t="n">
        <x:v>2010</x:v>
      </x:c>
      <x:c r="M626" s="24" t="str">
        <x:v>-10 a +10</x:v>
      </x:c>
      <x:c r="N626" s="24" t="str">
        <x:v>até -6</x:v>
      </x:c>
      <x:c r="O626" s="24"/>
      <x:c r="P626" s="24" t="str">
        <x:v>75</x:v>
      </x:c>
      <x:c r="Q626" s="24"/>
      <x:c r="R626" s="24"/>
      <x:c r="S626" s="26" t="n">
        <x:v>46024</x:v>
      </x:c>
      <x:c r="T626" s="26"/>
      <x:c r="U626" s="24" t="str">
        <x:v>ATIVA/SEM FIM INFORMADO</x:v>
      </x:c>
      <x:c r="V626" s="24"/>
      <x:c r="W626" s="24" t="n">
        <x:v>15</x:v>
      </x:c>
      <x:c r="X626" s="24" t="str">
        <x:v>tabela_rodenstock.pdf</x:v>
      </x:c>
      <x:c r="Y626" s="24" t="str">
        <x:v>alta</x:v>
      </x:c>
      <x:c r="Z626" s="24"/>
      <x:c r="AA626" s="24" t="str">
        <x:v>Rodenstock|Mono Plus B.I.G. NORM|Surfaçada|Cosmolit Mono Plus B.I.G. NORM|PRO410|1.6|1.60|Solitaire Protect Plus|-10 a +10|até -6||75|||15</x:v>
      </x:c>
    </x:row>
    <x:row r="627">
      <x:c r="A627" s="24" t="str">
        <x:v>RD-25FA92C28D0C</x:v>
      </x:c>
      <x:c r="B627" s="24" t="str">
        <x:v>SIM</x:v>
      </x:c>
      <x:c r="C627" s="24" t="str">
        <x:v>DISPONÍVEL</x:v>
      </x:c>
      <x:c r="D627" s="24" t="str">
        <x:v>Rodenstock</x:v>
      </x:c>
      <x:c r="E627" s="24" t="str">
        <x:v>Mono Plus B.I.G. NORM</x:v>
      </x:c>
      <x:c r="F627" s="24" t="str">
        <x:v>Surfaçada</x:v>
      </x:c>
      <x:c r="G627" s="24" t="str">
        <x:v>Cosmolit Mono Plus B.I.G. NORM</x:v>
      </x:c>
      <x:c r="H627" s="24" t="str">
        <x:v>PRO410</x:v>
      </x:c>
      <x:c r="I627" s="24" t="str">
        <x:v>1.6</x:v>
      </x:c>
      <x:c r="J627" s="24" t="str">
        <x:v>1.60</x:v>
      </x:c>
      <x:c r="K627" s="24" t="str">
        <x:v>ROAD</x:v>
      </x:c>
      <x:c r="L627" s="40" t="n">
        <x:v>2010</x:v>
      </x:c>
      <x:c r="M627" s="24" t="str">
        <x:v>-10 a +10</x:v>
      </x:c>
      <x:c r="N627" s="24" t="str">
        <x:v>até -6</x:v>
      </x:c>
      <x:c r="O627" s="24"/>
      <x:c r="P627" s="24" t="str">
        <x:v>75</x:v>
      </x:c>
      <x:c r="Q627" s="24"/>
      <x:c r="R627" s="24"/>
      <x:c r="S627" s="26" t="n">
        <x:v>46024</x:v>
      </x:c>
      <x:c r="T627" s="26"/>
      <x:c r="U627" s="24" t="str">
        <x:v>ATIVA/SEM FIM INFORMADO</x:v>
      </x:c>
      <x:c r="V627" s="24"/>
      <x:c r="W627" s="24" t="n">
        <x:v>15</x:v>
      </x:c>
      <x:c r="X627" s="24" t="str">
        <x:v>tabela_rodenstock.pdf</x:v>
      </x:c>
      <x:c r="Y627" s="24" t="str">
        <x:v>alta</x:v>
      </x:c>
      <x:c r="Z627" s="24"/>
      <x:c r="AA627" s="24" t="str">
        <x:v>Rodenstock|Mono Plus B.I.G. NORM|Surfaçada|Cosmolit Mono Plus B.I.G. NORM|PRO410|1.6|1.60|ROAD|-10 a +10|até -6||75|||15</x:v>
      </x:c>
    </x:row>
    <x:row r="628">
      <x:c r="A628" s="24" t="str">
        <x:v>RD-D71964A63A45</x:v>
      </x:c>
      <x:c r="B628" s="24" t="str">
        <x:v>SIM</x:v>
      </x:c>
      <x:c r="C628" s="24" t="str">
        <x:v>DISPONÍVEL</x:v>
      </x:c>
      <x:c r="D628" s="24" t="str">
        <x:v>Rodenstock</x:v>
      </x:c>
      <x:c r="E628" s="24" t="str">
        <x:v>Mono Plus B.I.G. NORM</x:v>
      </x:c>
      <x:c r="F628" s="24" t="str">
        <x:v>Surfaçada</x:v>
      </x:c>
      <x:c r="G628" s="24" t="str">
        <x:v>Cosmolit Mono Plus B.I.G. NORM</x:v>
      </x:c>
      <x:c r="H628" s="24" t="str">
        <x:v>ColorMatic® 3 | X</x:v>
      </x:c>
      <x:c r="I628" s="24" t="str">
        <x:v>1.6</x:v>
      </x:c>
      <x:c r="J628" s="24" t="str">
        <x:v>1.60</x:v>
      </x:c>
      <x:c r="K628" s="24" t="str">
        <x:v>LayR X-tra Clean</x:v>
      </x:c>
      <x:c r="L628" s="40" t="n">
        <x:v>3316</x:v>
      </x:c>
      <x:c r="M628" s="24" t="str">
        <x:v>-10 a +10</x:v>
      </x:c>
      <x:c r="N628" s="24" t="str">
        <x:v>até -6</x:v>
      </x:c>
      <x:c r="O628" s="24"/>
      <x:c r="P628" s="24" t="str">
        <x:v>75</x:v>
      </x:c>
      <x:c r="Q628" s="24"/>
      <x:c r="R628" s="24"/>
      <x:c r="S628" s="26" t="n">
        <x:v>46024</x:v>
      </x:c>
      <x:c r="T628" s="26"/>
      <x:c r="U628" s="24" t="str">
        <x:v>ATIVA/SEM FIM INFORMADO</x:v>
      </x:c>
      <x:c r="V628" s="24"/>
      <x:c r="W628" s="24" t="n">
        <x:v>15</x:v>
      </x:c>
      <x:c r="X628" s="24" t="str">
        <x:v>tabela_rodenstock.pdf</x:v>
      </x:c>
      <x:c r="Y628" s="24" t="str">
        <x:v>alta</x:v>
      </x:c>
      <x:c r="Z628" s="24"/>
      <x:c r="AA628" s="24" t="str">
        <x:v>Rodenstock|Mono Plus B.I.G. NORM|Surfaçada|Cosmolit Mono Plus B.I.G. NORM|ColorMatic® 3 | X|1.6|1.60|LayR X-tra Clean|-10 a +10|até -6||75|||15</x:v>
      </x:c>
    </x:row>
    <x:row r="629">
      <x:c r="A629" s="24" t="str">
        <x:v>RD-94182D0C4448</x:v>
      </x:c>
      <x:c r="B629" s="24" t="str">
        <x:v>SIM</x:v>
      </x:c>
      <x:c r="C629" s="24" t="str">
        <x:v>DISPONÍVEL</x:v>
      </x:c>
      <x:c r="D629" s="24" t="str">
        <x:v>Rodenstock</x:v>
      </x:c>
      <x:c r="E629" s="24" t="str">
        <x:v>Mono Plus B.I.G. NORM</x:v>
      </x:c>
      <x:c r="F629" s="24" t="str">
        <x:v>Surfaçada</x:v>
      </x:c>
      <x:c r="G629" s="24" t="str">
        <x:v>Cosmolit Mono Plus B.I.G. NORM</x:v>
      </x:c>
      <x:c r="H629" s="24" t="str">
        <x:v>ColorMatic® 3 | X</x:v>
      </x:c>
      <x:c r="I629" s="24" t="str">
        <x:v>1.6</x:v>
      </x:c>
      <x:c r="J629" s="24" t="str">
        <x:v>1.60</x:v>
      </x:c>
      <x:c r="K629" s="24" t="str">
        <x:v>LayR Balance</x:v>
      </x:c>
      <x:c r="L629" s="40" t="n">
        <x:v>3316</x:v>
      </x:c>
      <x:c r="M629" s="24" t="str">
        <x:v>-10 a +10</x:v>
      </x:c>
      <x:c r="N629" s="24" t="str">
        <x:v>até -6</x:v>
      </x:c>
      <x:c r="O629" s="24"/>
      <x:c r="P629" s="24" t="str">
        <x:v>75</x:v>
      </x:c>
      <x:c r="Q629" s="24"/>
      <x:c r="R629" s="24"/>
      <x:c r="S629" s="26" t="n">
        <x:v>46024</x:v>
      </x:c>
      <x:c r="T629" s="26"/>
      <x:c r="U629" s="24" t="str">
        <x:v>ATIVA/SEM FIM INFORMADO</x:v>
      </x:c>
      <x:c r="V629" s="24"/>
      <x:c r="W629" s="24" t="n">
        <x:v>15</x:v>
      </x:c>
      <x:c r="X629" s="24" t="str">
        <x:v>tabela_rodenstock.pdf</x:v>
      </x:c>
      <x:c r="Y629" s="24" t="str">
        <x:v>alta</x:v>
      </x:c>
      <x:c r="Z629" s="24"/>
      <x:c r="AA629" s="24" t="str">
        <x:v>Rodenstock|Mono Plus B.I.G. NORM|Surfaçada|Cosmolit Mono Plus B.I.G. NORM|ColorMatic® 3 | X|1.6|1.60|LayR Balance|-10 a +10|até -6||75|||15</x:v>
      </x:c>
    </x:row>
    <x:row r="630">
      <x:c r="A630" s="24" t="str">
        <x:v>RD-848CF429890E</x:v>
      </x:c>
      <x:c r="B630" s="24" t="str">
        <x:v>SIM</x:v>
      </x:c>
      <x:c r="C630" s="24" t="str">
        <x:v>DISPONÍVEL</x:v>
      </x:c>
      <x:c r="D630" s="24" t="str">
        <x:v>Rodenstock</x:v>
      </x:c>
      <x:c r="E630" s="24" t="str">
        <x:v>Mono Plus B.I.G. NORM</x:v>
      </x:c>
      <x:c r="F630" s="24" t="str">
        <x:v>Surfaçada</x:v>
      </x:c>
      <x:c r="G630" s="24" t="str">
        <x:v>Cosmolit Mono Plus B.I.G. NORM</x:v>
      </x:c>
      <x:c r="H630" s="24" t="str">
        <x:v>ColorMatic® 3 | X</x:v>
      </x:c>
      <x:c r="I630" s="24" t="str">
        <x:v>1.6</x:v>
      </x:c>
      <x:c r="J630" s="24" t="str">
        <x:v>1.60</x:v>
      </x:c>
      <x:c r="K630" s="24" t="str">
        <x:v>Solitaire X-tra Clean</x:v>
      </x:c>
      <x:c r="L630" s="40" t="n">
        <x:v>3246</x:v>
      </x:c>
      <x:c r="M630" s="24" t="str">
        <x:v>-10 a +10</x:v>
      </x:c>
      <x:c r="N630" s="24" t="str">
        <x:v>até -6</x:v>
      </x:c>
      <x:c r="O630" s="24"/>
      <x:c r="P630" s="24" t="str">
        <x:v>75</x:v>
      </x:c>
      <x:c r="Q630" s="24"/>
      <x:c r="R630" s="24"/>
      <x:c r="S630" s="26" t="n">
        <x:v>46024</x:v>
      </x:c>
      <x:c r="T630" s="26"/>
      <x:c r="U630" s="24" t="str">
        <x:v>ATIVA/SEM FIM INFORMADO</x:v>
      </x:c>
      <x:c r="V630" s="24"/>
      <x:c r="W630" s="24" t="n">
        <x:v>15</x:v>
      </x:c>
      <x:c r="X630" s="24" t="str">
        <x:v>tabela_rodenstock.pdf</x:v>
      </x:c>
      <x:c r="Y630" s="24" t="str">
        <x:v>alta</x:v>
      </x:c>
      <x:c r="Z630" s="24"/>
      <x:c r="AA630" s="24" t="str">
        <x:v>Rodenstock|Mono Plus B.I.G. NORM|Surfaçada|Cosmolit Mono Plus B.I.G. NORM|ColorMatic® 3 | X|1.6|1.60|Solitaire X-tra Clean|-10 a +10|até -6||75|||15</x:v>
      </x:c>
    </x:row>
    <x:row r="631">
      <x:c r="A631" s="24" t="str">
        <x:v>RD-EBADB5C85461</x:v>
      </x:c>
      <x:c r="B631" s="24" t="str">
        <x:v>SIM</x:v>
      </x:c>
      <x:c r="C631" s="24" t="str">
        <x:v>DISPONÍVEL</x:v>
      </x:c>
      <x:c r="D631" s="24" t="str">
        <x:v>Rodenstock</x:v>
      </x:c>
      <x:c r="E631" s="24" t="str">
        <x:v>Mono Plus B.I.G. NORM</x:v>
      </x:c>
      <x:c r="F631" s="24" t="str">
        <x:v>Surfaçada</x:v>
      </x:c>
      <x:c r="G631" s="24" t="str">
        <x:v>Cosmolit Mono Plus B.I.G. NORM</x:v>
      </x:c>
      <x:c r="H631" s="24" t="str">
        <x:v>ColorMatic® 3 | X</x:v>
      </x:c>
      <x:c r="I631" s="24" t="str">
        <x:v>1.6</x:v>
      </x:c>
      <x:c r="J631" s="24" t="str">
        <x:v>1.60</x:v>
      </x:c>
      <x:c r="K631" s="24" t="str">
        <x:v>Solitaire Protect Plus</x:v>
      </x:c>
      <x:c r="L631" s="40" t="n">
        <x:v>3196</x:v>
      </x:c>
      <x:c r="M631" s="24" t="str">
        <x:v>-10 a +10</x:v>
      </x:c>
      <x:c r="N631" s="24" t="str">
        <x:v>até -6</x:v>
      </x:c>
      <x:c r="O631" s="24"/>
      <x:c r="P631" s="24" t="str">
        <x:v>75</x:v>
      </x:c>
      <x:c r="Q631" s="24"/>
      <x:c r="R631" s="24"/>
      <x:c r="S631" s="26" t="n">
        <x:v>46024</x:v>
      </x:c>
      <x:c r="T631" s="26"/>
      <x:c r="U631" s="24" t="str">
        <x:v>ATIVA/SEM FIM INFORMADO</x:v>
      </x:c>
      <x:c r="V631" s="24"/>
      <x:c r="W631" s="24" t="n">
        <x:v>15</x:v>
      </x:c>
      <x:c r="X631" s="24" t="str">
        <x:v>tabela_rodenstock.pdf</x:v>
      </x:c>
      <x:c r="Y631" s="24" t="str">
        <x:v>alta</x:v>
      </x:c>
      <x:c r="Z631" s="24"/>
      <x:c r="AA631" s="24" t="str">
        <x:v>Rodenstock|Mono Plus B.I.G. NORM|Surfaçada|Cosmolit Mono Plus B.I.G. NORM|ColorMatic® 3 | X|1.6|1.60|Solitaire Protect Plus|-10 a +10|até -6||75|||15</x:v>
      </x:c>
    </x:row>
    <x:row r="632">
      <x:c r="A632" s="24" t="str">
        <x:v>RD-3164DDDBE7E1</x:v>
      </x:c>
      <x:c r="B632" s="24" t="str">
        <x:v>SIM</x:v>
      </x:c>
      <x:c r="C632" s="24" t="str">
        <x:v>DISPONÍVEL</x:v>
      </x:c>
      <x:c r="D632" s="24" t="str">
        <x:v>Rodenstock</x:v>
      </x:c>
      <x:c r="E632" s="24" t="str">
        <x:v>Mono Plus B.I.G. NORM</x:v>
      </x:c>
      <x:c r="F632" s="24" t="str">
        <x:v>Surfaçada</x:v>
      </x:c>
      <x:c r="G632" s="24" t="str">
        <x:v>Cosmolit Mono Plus B.I.G. NORM</x:v>
      </x:c>
      <x:c r="H632" s="24" t="str">
        <x:v>ColorMatic® 3 | X</x:v>
      </x:c>
      <x:c r="I632" s="24" t="str">
        <x:v>1.6</x:v>
      </x:c>
      <x:c r="J632" s="24" t="str">
        <x:v>1.60</x:v>
      </x:c>
      <x:c r="K632" s="24" t="str">
        <x:v>ROAD</x:v>
      </x:c>
      <x:c r="L632" s="40" t="n">
        <x:v>3196</x:v>
      </x:c>
      <x:c r="M632" s="24" t="str">
        <x:v>-10 a +10</x:v>
      </x:c>
      <x:c r="N632" s="24" t="str">
        <x:v>até -6</x:v>
      </x:c>
      <x:c r="O632" s="24"/>
      <x:c r="P632" s="24" t="str">
        <x:v>75</x:v>
      </x:c>
      <x:c r="Q632" s="24"/>
      <x:c r="R632" s="24"/>
      <x:c r="S632" s="26" t="n">
        <x:v>46024</x:v>
      </x:c>
      <x:c r="T632" s="26"/>
      <x:c r="U632" s="24" t="str">
        <x:v>ATIVA/SEM FIM INFORMADO</x:v>
      </x:c>
      <x:c r="V632" s="24"/>
      <x:c r="W632" s="24" t="n">
        <x:v>15</x:v>
      </x:c>
      <x:c r="X632" s="24" t="str">
        <x:v>tabela_rodenstock.pdf</x:v>
      </x:c>
      <x:c r="Y632" s="24" t="str">
        <x:v>alta</x:v>
      </x:c>
      <x:c r="Z632" s="24"/>
      <x:c r="AA632" s="24" t="str">
        <x:v>Rodenstock|Mono Plus B.I.G. NORM|Surfaçada|Cosmolit Mono Plus B.I.G. NORM|ColorMatic® 3 | X|1.6|1.60|ROAD|-10 a +10|até -6||75|||15</x:v>
      </x:c>
    </x:row>
    <x:row r="633">
      <x:c r="A633" s="24" t="str">
        <x:v>RD-CD7A88B5D0FD</x:v>
      </x:c>
      <x:c r="B633" s="24" t="str">
        <x:v>SIM</x:v>
      </x:c>
      <x:c r="C633" s="24" t="str">
        <x:v>DISPONÍVEL</x:v>
      </x:c>
      <x:c r="D633" s="24" t="str">
        <x:v>Rodenstock</x:v>
      </x:c>
      <x:c r="E633" s="24" t="str">
        <x:v>Mono Plus B.I.G. NORM</x:v>
      </x:c>
      <x:c r="F633" s="24" t="str">
        <x:v>Surfaçada</x:v>
      </x:c>
      <x:c r="G633" s="24" t="str">
        <x:v>Cosmolit Mono Plus B.I.G. NORM</x:v>
      </x:c>
      <x:c r="H633" s="24"/>
      <x:c r="I633" s="24" t="str">
        <x:v>1.67</x:v>
      </x:c>
      <x:c r="J633" s="24" t="str">
        <x:v>1.67</x:v>
      </x:c>
      <x:c r="K633" s="24" t="str">
        <x:v>LayR X-tra Clean</x:v>
      </x:c>
      <x:c r="L633" s="40" t="n">
        <x:v>3246</x:v>
      </x:c>
      <x:c r="M633" s="24" t="str">
        <x:v>-12 a +10</x:v>
      </x:c>
      <x:c r="N633" s="24" t="str">
        <x:v>até -6</x:v>
      </x:c>
      <x:c r="O633" s="24"/>
      <x:c r="P633" s="24" t="str">
        <x:v>75</x:v>
      </x:c>
      <x:c r="Q633" s="24"/>
      <x:c r="R633" s="24"/>
      <x:c r="S633" s="26" t="n">
        <x:v>46024</x:v>
      </x:c>
      <x:c r="T633" s="26"/>
      <x:c r="U633" s="24" t="str">
        <x:v>ATIVA/SEM FIM INFORMADO</x:v>
      </x:c>
      <x:c r="V633" s="24"/>
      <x:c r="W633" s="24" t="n">
        <x:v>15</x:v>
      </x:c>
      <x:c r="X633" s="24" t="str">
        <x:v>tabela_rodenstock.pdf</x:v>
      </x:c>
      <x:c r="Y633" s="24" t="str">
        <x:v>alta</x:v>
      </x:c>
      <x:c r="Z633" s="24"/>
      <x:c r="AA633" s="24" t="str">
        <x:v>Rodenstock|Mono Plus B.I.G. NORM|Surfaçada|Cosmolit Mono Plus B.I.G. NORM||1.67|1.67|LayR X-tra Clean|-12 a +10|até -6||75|||15</x:v>
      </x:c>
    </x:row>
    <x:row r="634">
      <x:c r="A634" s="24" t="str">
        <x:v>RD-B061A8ACBBAF</x:v>
      </x:c>
      <x:c r="B634" s="24" t="str">
        <x:v>SIM</x:v>
      </x:c>
      <x:c r="C634" s="24" t="str">
        <x:v>DISPONÍVEL</x:v>
      </x:c>
      <x:c r="D634" s="24" t="str">
        <x:v>Rodenstock</x:v>
      </x:c>
      <x:c r="E634" s="24" t="str">
        <x:v>Mono Plus B.I.G. NORM</x:v>
      </x:c>
      <x:c r="F634" s="24" t="str">
        <x:v>Surfaçada</x:v>
      </x:c>
      <x:c r="G634" s="24" t="str">
        <x:v>Cosmolit Mono Plus B.I.G. NORM</x:v>
      </x:c>
      <x:c r="H634" s="24"/>
      <x:c r="I634" s="24" t="str">
        <x:v>1.67</x:v>
      </x:c>
      <x:c r="J634" s="24" t="str">
        <x:v>1.67</x:v>
      </x:c>
      <x:c r="K634" s="24" t="str">
        <x:v>LayR Balance</x:v>
      </x:c>
      <x:c r="L634" s="40" t="n">
        <x:v>3246</x:v>
      </x:c>
      <x:c r="M634" s="24" t="str">
        <x:v>-12 a +10</x:v>
      </x:c>
      <x:c r="N634" s="24" t="str">
        <x:v>até -6</x:v>
      </x:c>
      <x:c r="O634" s="24"/>
      <x:c r="P634" s="24" t="str">
        <x:v>75</x:v>
      </x:c>
      <x:c r="Q634" s="24"/>
      <x:c r="R634" s="24"/>
      <x:c r="S634" s="26" t="n">
        <x:v>46024</x:v>
      </x:c>
      <x:c r="T634" s="26"/>
      <x:c r="U634" s="24" t="str">
        <x:v>ATIVA/SEM FIM INFORMADO</x:v>
      </x:c>
      <x:c r="V634" s="24"/>
      <x:c r="W634" s="24" t="n">
        <x:v>15</x:v>
      </x:c>
      <x:c r="X634" s="24" t="str">
        <x:v>tabela_rodenstock.pdf</x:v>
      </x:c>
      <x:c r="Y634" s="24" t="str">
        <x:v>alta</x:v>
      </x:c>
      <x:c r="Z634" s="24"/>
      <x:c r="AA634" s="24" t="str">
        <x:v>Rodenstock|Mono Plus B.I.G. NORM|Surfaçada|Cosmolit Mono Plus B.I.G. NORM||1.67|1.67|LayR Balance|-12 a +10|até -6||75|||15</x:v>
      </x:c>
    </x:row>
    <x:row r="635">
      <x:c r="A635" s="24" t="str">
        <x:v>RD-DD45890864E9</x:v>
      </x:c>
      <x:c r="B635" s="24" t="str">
        <x:v>SIM</x:v>
      </x:c>
      <x:c r="C635" s="24" t="str">
        <x:v>DISPONÍVEL</x:v>
      </x:c>
      <x:c r="D635" s="24" t="str">
        <x:v>Rodenstock</x:v>
      </x:c>
      <x:c r="E635" s="24" t="str">
        <x:v>Mono Plus B.I.G. NORM</x:v>
      </x:c>
      <x:c r="F635" s="24" t="str">
        <x:v>Surfaçada</x:v>
      </x:c>
      <x:c r="G635" s="24" t="str">
        <x:v>Cosmolit Mono Plus B.I.G. NORM</x:v>
      </x:c>
      <x:c r="H635" s="24"/>
      <x:c r="I635" s="24" t="str">
        <x:v>1.67</x:v>
      </x:c>
      <x:c r="J635" s="24" t="str">
        <x:v>1.67</x:v>
      </x:c>
      <x:c r="K635" s="24" t="str">
        <x:v>Solitaire X-tra Clean</x:v>
      </x:c>
      <x:c r="L635" s="40" t="n">
        <x:v>3176</x:v>
      </x:c>
      <x:c r="M635" s="24" t="str">
        <x:v>-12 a +10</x:v>
      </x:c>
      <x:c r="N635" s="24" t="str">
        <x:v>até -6</x:v>
      </x:c>
      <x:c r="O635" s="24"/>
      <x:c r="P635" s="24" t="str">
        <x:v>75</x:v>
      </x:c>
      <x:c r="Q635" s="24"/>
      <x:c r="R635" s="24"/>
      <x:c r="S635" s="26" t="n">
        <x:v>46024</x:v>
      </x:c>
      <x:c r="T635" s="26"/>
      <x:c r="U635" s="24" t="str">
        <x:v>ATIVA/SEM FIM INFORMADO</x:v>
      </x:c>
      <x:c r="V635" s="24"/>
      <x:c r="W635" s="24" t="n">
        <x:v>15</x:v>
      </x:c>
      <x:c r="X635" s="24" t="str">
        <x:v>tabela_rodenstock.pdf</x:v>
      </x:c>
      <x:c r="Y635" s="24" t="str">
        <x:v>alta</x:v>
      </x:c>
      <x:c r="Z635" s="24"/>
      <x:c r="AA635" s="24" t="str">
        <x:v>Rodenstock|Mono Plus B.I.G. NORM|Surfaçada|Cosmolit Mono Plus B.I.G. NORM||1.67|1.67|Solitaire X-tra Clean|-12 a +10|até -6||75|||15</x:v>
      </x:c>
    </x:row>
    <x:row r="636">
      <x:c r="A636" s="24" t="str">
        <x:v>RD-7A26141A5E70</x:v>
      </x:c>
      <x:c r="B636" s="24" t="str">
        <x:v>SIM</x:v>
      </x:c>
      <x:c r="C636" s="24" t="str">
        <x:v>DISPONÍVEL</x:v>
      </x:c>
      <x:c r="D636" s="24" t="str">
        <x:v>Rodenstock</x:v>
      </x:c>
      <x:c r="E636" s="24" t="str">
        <x:v>Mono Plus B.I.G. NORM</x:v>
      </x:c>
      <x:c r="F636" s="24" t="str">
        <x:v>Surfaçada</x:v>
      </x:c>
      <x:c r="G636" s="24" t="str">
        <x:v>Cosmolit Mono Plus B.I.G. NORM</x:v>
      </x:c>
      <x:c r="H636" s="24"/>
      <x:c r="I636" s="24" t="str">
        <x:v>1.67</x:v>
      </x:c>
      <x:c r="J636" s="24" t="str">
        <x:v>1.67</x:v>
      </x:c>
      <x:c r="K636" s="24" t="str">
        <x:v>Solitaire Protect Plus</x:v>
      </x:c>
      <x:c r="L636" s="40" t="n">
        <x:v>3126</x:v>
      </x:c>
      <x:c r="M636" s="24" t="str">
        <x:v>-12 a +10</x:v>
      </x:c>
      <x:c r="N636" s="24" t="str">
        <x:v>até -6</x:v>
      </x:c>
      <x:c r="O636" s="24"/>
      <x:c r="P636" s="24" t="str">
        <x:v>75</x:v>
      </x:c>
      <x:c r="Q636" s="24"/>
      <x:c r="R636" s="24"/>
      <x:c r="S636" s="26" t="n">
        <x:v>46024</x:v>
      </x:c>
      <x:c r="T636" s="26"/>
      <x:c r="U636" s="24" t="str">
        <x:v>ATIVA/SEM FIM INFORMADO</x:v>
      </x:c>
      <x:c r="V636" s="24"/>
      <x:c r="W636" s="24" t="n">
        <x:v>15</x:v>
      </x:c>
      <x:c r="X636" s="24" t="str">
        <x:v>tabela_rodenstock.pdf</x:v>
      </x:c>
      <x:c r="Y636" s="24" t="str">
        <x:v>alta</x:v>
      </x:c>
      <x:c r="Z636" s="24"/>
      <x:c r="AA636" s="24" t="str">
        <x:v>Rodenstock|Mono Plus B.I.G. NORM|Surfaçada|Cosmolit Mono Plus B.I.G. NORM||1.67|1.67|Solitaire Protect Plus|-12 a +10|até -6||75|||15</x:v>
      </x:c>
    </x:row>
    <x:row r="637">
      <x:c r="A637" s="24" t="str">
        <x:v>RD-D6139706E5E1</x:v>
      </x:c>
      <x:c r="B637" s="24" t="str">
        <x:v>SIM</x:v>
      </x:c>
      <x:c r="C637" s="24" t="str">
        <x:v>DISPONÍVEL</x:v>
      </x:c>
      <x:c r="D637" s="24" t="str">
        <x:v>Rodenstock</x:v>
      </x:c>
      <x:c r="E637" s="24" t="str">
        <x:v>Mono Plus B.I.G. NORM</x:v>
      </x:c>
      <x:c r="F637" s="24" t="str">
        <x:v>Surfaçada</x:v>
      </x:c>
      <x:c r="G637" s="24" t="str">
        <x:v>Cosmolit Mono Plus B.I.G. NORM</x:v>
      </x:c>
      <x:c r="H637" s="24"/>
      <x:c r="I637" s="24" t="str">
        <x:v>1.67</x:v>
      </x:c>
      <x:c r="J637" s="24" t="str">
        <x:v>1.67</x:v>
      </x:c>
      <x:c r="K637" s="24" t="str">
        <x:v>ROAD</x:v>
      </x:c>
      <x:c r="L637" s="40" t="n">
        <x:v>3126</x:v>
      </x:c>
      <x:c r="M637" s="24" t="str">
        <x:v>-12 a +10</x:v>
      </x:c>
      <x:c r="N637" s="24" t="str">
        <x:v>até -6</x:v>
      </x:c>
      <x:c r="O637" s="24"/>
      <x:c r="P637" s="24" t="str">
        <x:v>75</x:v>
      </x:c>
      <x:c r="Q637" s="24"/>
      <x:c r="R637" s="24"/>
      <x:c r="S637" s="26" t="n">
        <x:v>46024</x:v>
      </x:c>
      <x:c r="T637" s="26"/>
      <x:c r="U637" s="24" t="str">
        <x:v>ATIVA/SEM FIM INFORMADO</x:v>
      </x:c>
      <x:c r="V637" s="24"/>
      <x:c r="W637" s="24" t="n">
        <x:v>15</x:v>
      </x:c>
      <x:c r="X637" s="24" t="str">
        <x:v>tabela_rodenstock.pdf</x:v>
      </x:c>
      <x:c r="Y637" s="24" t="str">
        <x:v>alta</x:v>
      </x:c>
      <x:c r="Z637" s="24"/>
      <x:c r="AA637" s="24" t="str">
        <x:v>Rodenstock|Mono Plus B.I.G. NORM|Surfaçada|Cosmolit Mono Plus B.I.G. NORM||1.67|1.67|ROAD|-12 a +10|até -6||75|||15</x:v>
      </x:c>
    </x:row>
    <x:row r="638">
      <x:c r="A638" s="24" t="str">
        <x:v>RD-0AF78B5E9B5A</x:v>
      </x:c>
      <x:c r="B638" s="24" t="str">
        <x:v>SIM</x:v>
      </x:c>
      <x:c r="C638" s="24" t="str">
        <x:v>DISPONÍVEL</x:v>
      </x:c>
      <x:c r="D638" s="24" t="str">
        <x:v>Rodenstock</x:v>
      </x:c>
      <x:c r="E638" s="24" t="str">
        <x:v>Mono Plus B.I.G. NORM</x:v>
      </x:c>
      <x:c r="F638" s="24" t="str">
        <x:v>Surfaçada</x:v>
      </x:c>
      <x:c r="G638" s="24" t="str">
        <x:v>Cosmolit Mono Plus B.I.G. NORM</x:v>
      </x:c>
      <x:c r="H638" s="24" t="str">
        <x:v>ColorMatic® 3</x:v>
      </x:c>
      <x:c r="I638" s="24" t="str">
        <x:v>1.67</x:v>
      </x:c>
      <x:c r="J638" s="24" t="str">
        <x:v>1.67</x:v>
      </x:c>
      <x:c r="K638" s="24" t="str">
        <x:v>LayR X-tra Clean</x:v>
      </x:c>
      <x:c r="L638" s="40" t="n">
        <x:v>4627</x:v>
      </x:c>
      <x:c r="M638" s="24" t="str">
        <x:v>-12 a +10</x:v>
      </x:c>
      <x:c r="N638" s="24" t="str">
        <x:v>até -6</x:v>
      </x:c>
      <x:c r="O638" s="24"/>
      <x:c r="P638" s="24" t="str">
        <x:v>75</x:v>
      </x:c>
      <x:c r="Q638" s="24"/>
      <x:c r="R638" s="24"/>
      <x:c r="S638" s="26" t="n">
        <x:v>46024</x:v>
      </x:c>
      <x:c r="T638" s="26"/>
      <x:c r="U638" s="24" t="str">
        <x:v>ATIVA/SEM FIM INFORMADO</x:v>
      </x:c>
      <x:c r="V638" s="24"/>
      <x:c r="W638" s="24" t="n">
        <x:v>15</x:v>
      </x:c>
      <x:c r="X638" s="24" t="str">
        <x:v>tabela_rodenstock.pdf</x:v>
      </x:c>
      <x:c r="Y638" s="24" t="str">
        <x:v>alta</x:v>
      </x:c>
      <x:c r="Z638" s="24"/>
      <x:c r="AA638" s="24" t="str">
        <x:v>Rodenstock|Mono Plus B.I.G. NORM|Surfaçada|Cosmolit Mono Plus B.I.G. NORM|ColorMatic® 3|1.67|1.67|LayR X-tra Clean|-12 a +10|até -6||75|||15</x:v>
      </x:c>
    </x:row>
    <x:row r="639">
      <x:c r="A639" s="24" t="str">
        <x:v>RD-248CB36DEF56</x:v>
      </x:c>
      <x:c r="B639" s="24" t="str">
        <x:v>SIM</x:v>
      </x:c>
      <x:c r="C639" s="24" t="str">
        <x:v>DISPONÍVEL</x:v>
      </x:c>
      <x:c r="D639" s="24" t="str">
        <x:v>Rodenstock</x:v>
      </x:c>
      <x:c r="E639" s="24" t="str">
        <x:v>Mono Plus B.I.G. NORM</x:v>
      </x:c>
      <x:c r="F639" s="24" t="str">
        <x:v>Surfaçada</x:v>
      </x:c>
      <x:c r="G639" s="24" t="str">
        <x:v>Cosmolit Mono Plus B.I.G. NORM</x:v>
      </x:c>
      <x:c r="H639" s="24" t="str">
        <x:v>ColorMatic® 3</x:v>
      </x:c>
      <x:c r="I639" s="24" t="str">
        <x:v>1.67</x:v>
      </x:c>
      <x:c r="J639" s="24" t="str">
        <x:v>1.67</x:v>
      </x:c>
      <x:c r="K639" s="24" t="str">
        <x:v>LayR Balance</x:v>
      </x:c>
      <x:c r="L639" s="40" t="n">
        <x:v>4627</x:v>
      </x:c>
      <x:c r="M639" s="24" t="str">
        <x:v>-12 a +10</x:v>
      </x:c>
      <x:c r="N639" s="24" t="str">
        <x:v>até -6</x:v>
      </x:c>
      <x:c r="O639" s="24"/>
      <x:c r="P639" s="24" t="str">
        <x:v>75</x:v>
      </x:c>
      <x:c r="Q639" s="24"/>
      <x:c r="R639" s="24"/>
      <x:c r="S639" s="26" t="n">
        <x:v>46024</x:v>
      </x:c>
      <x:c r="T639" s="26"/>
      <x:c r="U639" s="24" t="str">
        <x:v>ATIVA/SEM FIM INFORMADO</x:v>
      </x:c>
      <x:c r="V639" s="24"/>
      <x:c r="W639" s="24" t="n">
        <x:v>15</x:v>
      </x:c>
      <x:c r="X639" s="24" t="str">
        <x:v>tabela_rodenstock.pdf</x:v>
      </x:c>
      <x:c r="Y639" s="24" t="str">
        <x:v>alta</x:v>
      </x:c>
      <x:c r="Z639" s="24"/>
      <x:c r="AA639" s="24" t="str">
        <x:v>Rodenstock|Mono Plus B.I.G. NORM|Surfaçada|Cosmolit Mono Plus B.I.G. NORM|ColorMatic® 3|1.67|1.67|LayR Balance|-12 a +10|até -6||75|||15</x:v>
      </x:c>
    </x:row>
    <x:row r="640">
      <x:c r="A640" s="24" t="str">
        <x:v>RD-85B113966457</x:v>
      </x:c>
      <x:c r="B640" s="24" t="str">
        <x:v>SIM</x:v>
      </x:c>
      <x:c r="C640" s="24" t="str">
        <x:v>DISPONÍVEL</x:v>
      </x:c>
      <x:c r="D640" s="24" t="str">
        <x:v>Rodenstock</x:v>
      </x:c>
      <x:c r="E640" s="24" t="str">
        <x:v>Mono Plus B.I.G. NORM</x:v>
      </x:c>
      <x:c r="F640" s="24" t="str">
        <x:v>Surfaçada</x:v>
      </x:c>
      <x:c r="G640" s="24" t="str">
        <x:v>Cosmolit Mono Plus B.I.G. NORM</x:v>
      </x:c>
      <x:c r="H640" s="24" t="str">
        <x:v>ColorMatic® 3</x:v>
      </x:c>
      <x:c r="I640" s="24" t="str">
        <x:v>1.67</x:v>
      </x:c>
      <x:c r="J640" s="24" t="str">
        <x:v>1.67</x:v>
      </x:c>
      <x:c r="K640" s="24" t="str">
        <x:v>Solitaire X-tra Clean</x:v>
      </x:c>
      <x:c r="L640" s="40" t="n">
        <x:v>4557</x:v>
      </x:c>
      <x:c r="M640" s="24" t="str">
        <x:v>-12 a +10</x:v>
      </x:c>
      <x:c r="N640" s="24" t="str">
        <x:v>até -6</x:v>
      </x:c>
      <x:c r="O640" s="24"/>
      <x:c r="P640" s="24" t="str">
        <x:v>75</x:v>
      </x:c>
      <x:c r="Q640" s="24"/>
      <x:c r="R640" s="24"/>
      <x:c r="S640" s="26" t="n">
        <x:v>46024</x:v>
      </x:c>
      <x:c r="T640" s="26"/>
      <x:c r="U640" s="24" t="str">
        <x:v>ATIVA/SEM FIM INFORMADO</x:v>
      </x:c>
      <x:c r="V640" s="24"/>
      <x:c r="W640" s="24" t="n">
        <x:v>15</x:v>
      </x:c>
      <x:c r="X640" s="24" t="str">
        <x:v>tabela_rodenstock.pdf</x:v>
      </x:c>
      <x:c r="Y640" s="24" t="str">
        <x:v>alta</x:v>
      </x:c>
      <x:c r="Z640" s="24"/>
      <x:c r="AA640" s="24" t="str">
        <x:v>Rodenstock|Mono Plus B.I.G. NORM|Surfaçada|Cosmolit Mono Plus B.I.G. NORM|ColorMatic® 3|1.67|1.67|Solitaire X-tra Clean|-12 a +10|até -6||75|||15</x:v>
      </x:c>
    </x:row>
    <x:row r="641">
      <x:c r="A641" s="24" t="str">
        <x:v>RD-E855D7745CA3</x:v>
      </x:c>
      <x:c r="B641" s="24" t="str">
        <x:v>SIM</x:v>
      </x:c>
      <x:c r="C641" s="24" t="str">
        <x:v>DISPONÍVEL</x:v>
      </x:c>
      <x:c r="D641" s="24" t="str">
        <x:v>Rodenstock</x:v>
      </x:c>
      <x:c r="E641" s="24" t="str">
        <x:v>Mono Plus B.I.G. NORM</x:v>
      </x:c>
      <x:c r="F641" s="24" t="str">
        <x:v>Surfaçada</x:v>
      </x:c>
      <x:c r="G641" s="24" t="str">
        <x:v>Cosmolit Mono Plus B.I.G. NORM</x:v>
      </x:c>
      <x:c r="H641" s="24" t="str">
        <x:v>ColorMatic® 3</x:v>
      </x:c>
      <x:c r="I641" s="24" t="str">
        <x:v>1.67</x:v>
      </x:c>
      <x:c r="J641" s="24" t="str">
        <x:v>1.67</x:v>
      </x:c>
      <x:c r="K641" s="24" t="str">
        <x:v>Solitaire Protect Plus</x:v>
      </x:c>
      <x:c r="L641" s="40" t="n">
        <x:v>4507</x:v>
      </x:c>
      <x:c r="M641" s="24" t="str">
        <x:v>-12 a +10</x:v>
      </x:c>
      <x:c r="N641" s="24" t="str">
        <x:v>até -6</x:v>
      </x:c>
      <x:c r="O641" s="24"/>
      <x:c r="P641" s="24" t="str">
        <x:v>75</x:v>
      </x:c>
      <x:c r="Q641" s="24"/>
      <x:c r="R641" s="24"/>
      <x:c r="S641" s="26" t="n">
        <x:v>46024</x:v>
      </x:c>
      <x:c r="T641" s="26"/>
      <x:c r="U641" s="24" t="str">
        <x:v>ATIVA/SEM FIM INFORMADO</x:v>
      </x:c>
      <x:c r="V641" s="24"/>
      <x:c r="W641" s="24" t="n">
        <x:v>15</x:v>
      </x:c>
      <x:c r="X641" s="24" t="str">
        <x:v>tabela_rodenstock.pdf</x:v>
      </x:c>
      <x:c r="Y641" s="24" t="str">
        <x:v>alta</x:v>
      </x:c>
      <x:c r="Z641" s="24"/>
      <x:c r="AA641" s="24" t="str">
        <x:v>Rodenstock|Mono Plus B.I.G. NORM|Surfaçada|Cosmolit Mono Plus B.I.G. NORM|ColorMatic® 3|1.67|1.67|Solitaire Protect Plus|-12 a +10|até -6||75|||15</x:v>
      </x:c>
    </x:row>
    <x:row r="642">
      <x:c r="A642" s="24" t="str">
        <x:v>RD-432ACCA9B0C3</x:v>
      </x:c>
      <x:c r="B642" s="24" t="str">
        <x:v>SIM</x:v>
      </x:c>
      <x:c r="C642" s="24" t="str">
        <x:v>DISPONÍVEL</x:v>
      </x:c>
      <x:c r="D642" s="24" t="str">
        <x:v>Rodenstock</x:v>
      </x:c>
      <x:c r="E642" s="24" t="str">
        <x:v>Mono Plus B.I.G. NORM</x:v>
      </x:c>
      <x:c r="F642" s="24" t="str">
        <x:v>Surfaçada</x:v>
      </x:c>
      <x:c r="G642" s="24" t="str">
        <x:v>Cosmolit Mono Plus B.I.G. NORM</x:v>
      </x:c>
      <x:c r="H642" s="24" t="str">
        <x:v>ColorMatic® 3</x:v>
      </x:c>
      <x:c r="I642" s="24" t="str">
        <x:v>1.67</x:v>
      </x:c>
      <x:c r="J642" s="24" t="str">
        <x:v>1.67</x:v>
      </x:c>
      <x:c r="K642" s="24" t="str">
        <x:v>ROAD</x:v>
      </x:c>
      <x:c r="L642" s="40" t="n">
        <x:v>4507</x:v>
      </x:c>
      <x:c r="M642" s="24" t="str">
        <x:v>-12 a +10</x:v>
      </x:c>
      <x:c r="N642" s="24" t="str">
        <x:v>até -6</x:v>
      </x:c>
      <x:c r="O642" s="24"/>
      <x:c r="P642" s="24" t="str">
        <x:v>75</x:v>
      </x:c>
      <x:c r="Q642" s="24"/>
      <x:c r="R642" s="24"/>
      <x:c r="S642" s="26" t="n">
        <x:v>46024</x:v>
      </x:c>
      <x:c r="T642" s="26"/>
      <x:c r="U642" s="24" t="str">
        <x:v>ATIVA/SEM FIM INFORMADO</x:v>
      </x:c>
      <x:c r="V642" s="24"/>
      <x:c r="W642" s="24" t="n">
        <x:v>15</x:v>
      </x:c>
      <x:c r="X642" s="24" t="str">
        <x:v>tabela_rodenstock.pdf</x:v>
      </x:c>
      <x:c r="Y642" s="24" t="str">
        <x:v>alta</x:v>
      </x:c>
      <x:c r="Z642" s="24"/>
      <x:c r="AA642" s="24" t="str">
        <x:v>Rodenstock|Mono Plus B.I.G. NORM|Surfaçada|Cosmolit Mono Plus B.I.G. NORM|ColorMatic® 3|1.67|1.67|ROAD|-12 a +10|até -6||75|||15</x:v>
      </x:c>
    </x:row>
    <x:row r="643">
      <x:c r="A643" s="24" t="str">
        <x:v>RD-C98D7CD74C21</x:v>
      </x:c>
      <x:c r="B643" s="24" t="str">
        <x:v>SIM</x:v>
      </x:c>
      <x:c r="C643" s="24" t="str">
        <x:v>DISPONÍVEL</x:v>
      </x:c>
      <x:c r="D643" s="24" t="str">
        <x:v>Rodenstock</x:v>
      </x:c>
      <x:c r="E643" s="24" t="str">
        <x:v>Mono Plus B.I.G. NORM</x:v>
      </x:c>
      <x:c r="F643" s="24" t="str">
        <x:v>Surfaçada</x:v>
      </x:c>
      <x:c r="G643" s="24" t="str">
        <x:v>Cosmolit Mono Plus B.I.G. NORM</x:v>
      </x:c>
      <x:c r="H643" s="24"/>
      <x:c r="I643" s="24" t="str">
        <x:v>1.74</x:v>
      </x:c>
      <x:c r="J643" s="24" t="str">
        <x:v>1.74</x:v>
      </x:c>
      <x:c r="K643" s="24" t="str">
        <x:v>LayR X-tra Clean</x:v>
      </x:c>
      <x:c r="L643" s="40" t="n">
        <x:v>4393</x:v>
      </x:c>
      <x:c r="M643" s="24" t="str">
        <x:v>-18 a +13</x:v>
      </x:c>
      <x:c r="N643" s="24" t="str">
        <x:v>até -6</x:v>
      </x:c>
      <x:c r="O643" s="24"/>
      <x:c r="P643" s="24" t="str">
        <x:v>75</x:v>
      </x:c>
      <x:c r="Q643" s="24"/>
      <x:c r="R643" s="24"/>
      <x:c r="S643" s="26" t="n">
        <x:v>46024</x:v>
      </x:c>
      <x:c r="T643" s="26"/>
      <x:c r="U643" s="24" t="str">
        <x:v>ATIVA/SEM FIM INFORMADO</x:v>
      </x:c>
      <x:c r="V643" s="24"/>
      <x:c r="W643" s="24" t="n">
        <x:v>15</x:v>
      </x:c>
      <x:c r="X643" s="24" t="str">
        <x:v>tabela_rodenstock.pdf</x:v>
      </x:c>
      <x:c r="Y643" s="24" t="str">
        <x:v>alta</x:v>
      </x:c>
      <x:c r="Z643" s="24"/>
      <x:c r="AA643" s="24" t="str">
        <x:v>Rodenstock|Mono Plus B.I.G. NORM|Surfaçada|Cosmolit Mono Plus B.I.G. NORM||1.74|1.74|LayR X-tra Clean|-18 a +13|até -6||75|||15</x:v>
      </x:c>
    </x:row>
    <x:row r="644">
      <x:c r="A644" s="24" t="str">
        <x:v>RD-0BA5ABA9089A</x:v>
      </x:c>
      <x:c r="B644" s="24" t="str">
        <x:v>SIM</x:v>
      </x:c>
      <x:c r="C644" s="24" t="str">
        <x:v>DISPONÍVEL</x:v>
      </x:c>
      <x:c r="D644" s="24" t="str">
        <x:v>Rodenstock</x:v>
      </x:c>
      <x:c r="E644" s="24" t="str">
        <x:v>Mono Plus B.I.G. NORM</x:v>
      </x:c>
      <x:c r="F644" s="24" t="str">
        <x:v>Surfaçada</x:v>
      </x:c>
      <x:c r="G644" s="24" t="str">
        <x:v>Cosmolit Mono Plus B.I.G. NORM</x:v>
      </x:c>
      <x:c r="H644" s="24"/>
      <x:c r="I644" s="24" t="str">
        <x:v>1.74</x:v>
      </x:c>
      <x:c r="J644" s="24" t="str">
        <x:v>1.74</x:v>
      </x:c>
      <x:c r="K644" s="24" t="str">
        <x:v>LayR Balance</x:v>
      </x:c>
      <x:c r="L644" s="40" t="n">
        <x:v>4393</x:v>
      </x:c>
      <x:c r="M644" s="24" t="str">
        <x:v>-18 a +13</x:v>
      </x:c>
      <x:c r="N644" s="24" t="str">
        <x:v>até -6</x:v>
      </x:c>
      <x:c r="O644" s="24"/>
      <x:c r="P644" s="24" t="str">
        <x:v>75</x:v>
      </x:c>
      <x:c r="Q644" s="24"/>
      <x:c r="R644" s="24"/>
      <x:c r="S644" s="26" t="n">
        <x:v>46024</x:v>
      </x:c>
      <x:c r="T644" s="26"/>
      <x:c r="U644" s="24" t="str">
        <x:v>ATIVA/SEM FIM INFORMADO</x:v>
      </x:c>
      <x:c r="V644" s="24"/>
      <x:c r="W644" s="24" t="n">
        <x:v>15</x:v>
      </x:c>
      <x:c r="X644" s="24" t="str">
        <x:v>tabela_rodenstock.pdf</x:v>
      </x:c>
      <x:c r="Y644" s="24" t="str">
        <x:v>alta</x:v>
      </x:c>
      <x:c r="Z644" s="24"/>
      <x:c r="AA644" s="24" t="str">
        <x:v>Rodenstock|Mono Plus B.I.G. NORM|Surfaçada|Cosmolit Mono Plus B.I.G. NORM||1.74|1.74|LayR Balance|-18 a +13|até -6||75|||15</x:v>
      </x:c>
    </x:row>
    <x:row r="645">
      <x:c r="A645" s="24" t="str">
        <x:v>RD-0FE71EFAE5DC</x:v>
      </x:c>
      <x:c r="B645" s="24" t="str">
        <x:v>SIM</x:v>
      </x:c>
      <x:c r="C645" s="24" t="str">
        <x:v>DISPONÍVEL</x:v>
      </x:c>
      <x:c r="D645" s="24" t="str">
        <x:v>Rodenstock</x:v>
      </x:c>
      <x:c r="E645" s="24" t="str">
        <x:v>Mono Plus B.I.G. NORM</x:v>
      </x:c>
      <x:c r="F645" s="24" t="str">
        <x:v>Surfaçada</x:v>
      </x:c>
      <x:c r="G645" s="24" t="str">
        <x:v>Cosmolit Mono Plus B.I.G. NORM</x:v>
      </x:c>
      <x:c r="H645" s="24"/>
      <x:c r="I645" s="24" t="str">
        <x:v>1.74</x:v>
      </x:c>
      <x:c r="J645" s="24" t="str">
        <x:v>1.74</x:v>
      </x:c>
      <x:c r="K645" s="24" t="str">
        <x:v>Solitaire X-tra Clean</x:v>
      </x:c>
      <x:c r="L645" s="40" t="n">
        <x:v>4323</x:v>
      </x:c>
      <x:c r="M645" s="24" t="str">
        <x:v>-18 a +13</x:v>
      </x:c>
      <x:c r="N645" s="24" t="str">
        <x:v>até -6</x:v>
      </x:c>
      <x:c r="O645" s="24"/>
      <x:c r="P645" s="24" t="str">
        <x:v>75</x:v>
      </x:c>
      <x:c r="Q645" s="24"/>
      <x:c r="R645" s="24"/>
      <x:c r="S645" s="26" t="n">
        <x:v>46024</x:v>
      </x:c>
      <x:c r="T645" s="26"/>
      <x:c r="U645" s="24" t="str">
        <x:v>ATIVA/SEM FIM INFORMADO</x:v>
      </x:c>
      <x:c r="V645" s="24"/>
      <x:c r="W645" s="24" t="n">
        <x:v>15</x:v>
      </x:c>
      <x:c r="X645" s="24" t="str">
        <x:v>tabela_rodenstock.pdf</x:v>
      </x:c>
      <x:c r="Y645" s="24" t="str">
        <x:v>alta</x:v>
      </x:c>
      <x:c r="Z645" s="24"/>
      <x:c r="AA645" s="24" t="str">
        <x:v>Rodenstock|Mono Plus B.I.G. NORM|Surfaçada|Cosmolit Mono Plus B.I.G. NORM||1.74|1.74|Solitaire X-tra Clean|-18 a +13|até -6||75|||15</x:v>
      </x:c>
    </x:row>
    <x:row r="646">
      <x:c r="A646" s="24" t="str">
        <x:v>RD-7CF3905541EA</x:v>
      </x:c>
      <x:c r="B646" s="24" t="str">
        <x:v>SIM</x:v>
      </x:c>
      <x:c r="C646" s="24" t="str">
        <x:v>DISPONÍVEL</x:v>
      </x:c>
      <x:c r="D646" s="24" t="str">
        <x:v>Rodenstock</x:v>
      </x:c>
      <x:c r="E646" s="24" t="str">
        <x:v>Mono Plus B.I.G. NORM</x:v>
      </x:c>
      <x:c r="F646" s="24" t="str">
        <x:v>Surfaçada</x:v>
      </x:c>
      <x:c r="G646" s="24" t="str">
        <x:v>Cosmolit Mono Plus B.I.G. NORM</x:v>
      </x:c>
      <x:c r="H646" s="24"/>
      <x:c r="I646" s="24" t="str">
        <x:v>1.74</x:v>
      </x:c>
      <x:c r="J646" s="24" t="str">
        <x:v>1.74</x:v>
      </x:c>
      <x:c r="K646" s="24" t="str">
        <x:v>Solitaire Protect Plus</x:v>
      </x:c>
      <x:c r="L646" s="40" t="n">
        <x:v>4273</x:v>
      </x:c>
      <x:c r="M646" s="24" t="str">
        <x:v>-18 a +13</x:v>
      </x:c>
      <x:c r="N646" s="24" t="str">
        <x:v>até -6</x:v>
      </x:c>
      <x:c r="O646" s="24"/>
      <x:c r="P646" s="24" t="str">
        <x:v>75</x:v>
      </x:c>
      <x:c r="Q646" s="24"/>
      <x:c r="R646" s="24"/>
      <x:c r="S646" s="26" t="n">
        <x:v>46024</x:v>
      </x:c>
      <x:c r="T646" s="26"/>
      <x:c r="U646" s="24" t="str">
        <x:v>ATIVA/SEM FIM INFORMADO</x:v>
      </x:c>
      <x:c r="V646" s="24"/>
      <x:c r="W646" s="24" t="n">
        <x:v>15</x:v>
      </x:c>
      <x:c r="X646" s="24" t="str">
        <x:v>tabela_rodenstock.pdf</x:v>
      </x:c>
      <x:c r="Y646" s="24" t="str">
        <x:v>alta</x:v>
      </x:c>
      <x:c r="Z646" s="24"/>
      <x:c r="AA646" s="24" t="str">
        <x:v>Rodenstock|Mono Plus B.I.G. NORM|Surfaçada|Cosmolit Mono Plus B.I.G. NORM||1.74|1.74|Solitaire Protect Plus|-18 a +13|até -6||75|||15</x:v>
      </x:c>
    </x:row>
    <x:row r="647">
      <x:c r="A647" s="24" t="str">
        <x:v>RD-EEAFC7883A95</x:v>
      </x:c>
      <x:c r="B647" s="24" t="str">
        <x:v>SIM</x:v>
      </x:c>
      <x:c r="C647" s="24" t="str">
        <x:v>DISPONÍVEL</x:v>
      </x:c>
      <x:c r="D647" s="24" t="str">
        <x:v>Rodenstock</x:v>
      </x:c>
      <x:c r="E647" s="24" t="str">
        <x:v>Monofocal B.I.G. NORM</x:v>
      </x:c>
      <x:c r="F647" s="24" t="str">
        <x:v>Surfaçada</x:v>
      </x:c>
      <x:c r="G647" s="24" t="str">
        <x:v>Impression Monofocais B.I.G. NORM</x:v>
      </x:c>
      <x:c r="H647" s="24"/>
      <x:c r="I647" s="24" t="str">
        <x:v>1.5</x:v>
      </x:c>
      <x:c r="J647" s="24" t="str">
        <x:v>1.50</x:v>
      </x:c>
      <x:c r="K647" s="24" t="str">
        <x:v>LayR X-tra Clean</x:v>
      </x:c>
      <x:c r="L647" s="40" t="n">
        <x:v>2353</x:v>
      </x:c>
      <x:c r="M647" s="24" t="str">
        <x:v>-8 a +8</x:v>
      </x:c>
      <x:c r="N647" s="24" t="str">
        <x:v>até -6</x:v>
      </x:c>
      <x:c r="O647" s="24"/>
      <x:c r="P647" s="24" t="str">
        <x:v>75</x:v>
      </x:c>
      <x:c r="Q647" s="24"/>
      <x:c r="R647" s="24"/>
      <x:c r="S647" s="26" t="n">
        <x:v>46024</x:v>
      </x:c>
      <x:c r="T647" s="26"/>
      <x:c r="U647" s="24" t="str">
        <x:v>ATIVA/SEM FIM INFORMADO</x:v>
      </x:c>
      <x:c r="V647" s="24"/>
      <x:c r="W647" s="24" t="n">
        <x:v>17</x:v>
      </x:c>
      <x:c r="X647" s="24" t="str">
        <x:v>tabela_rodenstock.pdf</x:v>
      </x:c>
      <x:c r="Y647" s="24" t="str">
        <x:v>alta</x:v>
      </x:c>
      <x:c r="Z647" s="24"/>
      <x:c r="AA647" s="24" t="str">
        <x:v>Rodenstock|Monofocal B.I.G. NORM|Surfaçada|Impression Monofocais B.I.G. NORM||1.5|1.50|LayR X-tra Clean|-8 a +8|até -6||75|||17</x:v>
      </x:c>
    </x:row>
    <x:row r="648">
      <x:c r="A648" s="24" t="str">
        <x:v>RD-05BCCA3F2FA4</x:v>
      </x:c>
      <x:c r="B648" s="24" t="str">
        <x:v>SIM</x:v>
      </x:c>
      <x:c r="C648" s="24" t="str">
        <x:v>DISPONÍVEL</x:v>
      </x:c>
      <x:c r="D648" s="24" t="str">
        <x:v>Rodenstock</x:v>
      </x:c>
      <x:c r="E648" s="24" t="str">
        <x:v>Monofocal B.I.G. NORM</x:v>
      </x:c>
      <x:c r="F648" s="24" t="str">
        <x:v>Surfaçada</x:v>
      </x:c>
      <x:c r="G648" s="24" t="str">
        <x:v>Impression Monofocais B.I.G. NORM</x:v>
      </x:c>
      <x:c r="H648" s="24"/>
      <x:c r="I648" s="24" t="str">
        <x:v>1.5</x:v>
      </x:c>
      <x:c r="J648" s="24" t="str">
        <x:v>1.50</x:v>
      </x:c>
      <x:c r="K648" s="24" t="str">
        <x:v>LayR Balance</x:v>
      </x:c>
      <x:c r="L648" s="40" t="n">
        <x:v>2353</x:v>
      </x:c>
      <x:c r="M648" s="24" t="str">
        <x:v>-8 a +8</x:v>
      </x:c>
      <x:c r="N648" s="24" t="str">
        <x:v>até -6</x:v>
      </x:c>
      <x:c r="O648" s="24"/>
      <x:c r="P648" s="24" t="str">
        <x:v>75</x:v>
      </x:c>
      <x:c r="Q648" s="24"/>
      <x:c r="R648" s="24"/>
      <x:c r="S648" s="26" t="n">
        <x:v>46024</x:v>
      </x:c>
      <x:c r="T648" s="26"/>
      <x:c r="U648" s="24" t="str">
        <x:v>ATIVA/SEM FIM INFORMADO</x:v>
      </x:c>
      <x:c r="V648" s="24"/>
      <x:c r="W648" s="24" t="n">
        <x:v>17</x:v>
      </x:c>
      <x:c r="X648" s="24" t="str">
        <x:v>tabela_rodenstock.pdf</x:v>
      </x:c>
      <x:c r="Y648" s="24" t="str">
        <x:v>alta</x:v>
      </x:c>
      <x:c r="Z648" s="24"/>
      <x:c r="AA648" s="24" t="str">
        <x:v>Rodenstock|Monofocal B.I.G. NORM|Surfaçada|Impression Monofocais B.I.G. NORM||1.5|1.50|LayR Balance|-8 a +8|até -6||75|||17</x:v>
      </x:c>
    </x:row>
    <x:row r="649">
      <x:c r="A649" s="24" t="str">
        <x:v>RD-4873F0D21C4F</x:v>
      </x:c>
      <x:c r="B649" s="24" t="str">
        <x:v>SIM</x:v>
      </x:c>
      <x:c r="C649" s="24" t="str">
        <x:v>DISPONÍVEL</x:v>
      </x:c>
      <x:c r="D649" s="24" t="str">
        <x:v>Rodenstock</x:v>
      </x:c>
      <x:c r="E649" s="24" t="str">
        <x:v>Monofocal B.I.G. NORM</x:v>
      </x:c>
      <x:c r="F649" s="24" t="str">
        <x:v>Surfaçada</x:v>
      </x:c>
      <x:c r="G649" s="24" t="str">
        <x:v>Impression Monofocais B.I.G. NORM</x:v>
      </x:c>
      <x:c r="H649" s="24"/>
      <x:c r="I649" s="24" t="str">
        <x:v>1.5</x:v>
      </x:c>
      <x:c r="J649" s="24" t="str">
        <x:v>1.50</x:v>
      </x:c>
      <x:c r="K649" s="24" t="str">
        <x:v>Solitaire X-tra Clean</x:v>
      </x:c>
      <x:c r="L649" s="40" t="n">
        <x:v>2283</x:v>
      </x:c>
      <x:c r="M649" s="24" t="str">
        <x:v>-8 a +8</x:v>
      </x:c>
      <x:c r="N649" s="24" t="str">
        <x:v>até -6</x:v>
      </x:c>
      <x:c r="O649" s="24"/>
      <x:c r="P649" s="24" t="str">
        <x:v>75</x:v>
      </x:c>
      <x:c r="Q649" s="24"/>
      <x:c r="R649" s="24"/>
      <x:c r="S649" s="26" t="n">
        <x:v>46024</x:v>
      </x:c>
      <x:c r="T649" s="26"/>
      <x:c r="U649" s="24" t="str">
        <x:v>ATIVA/SEM FIM INFORMADO</x:v>
      </x:c>
      <x:c r="V649" s="24"/>
      <x:c r="W649" s="24" t="n">
        <x:v>17</x:v>
      </x:c>
      <x:c r="X649" s="24" t="str">
        <x:v>tabela_rodenstock.pdf</x:v>
      </x:c>
      <x:c r="Y649" s="24" t="str">
        <x:v>alta</x:v>
      </x:c>
      <x:c r="Z649" s="24"/>
      <x:c r="AA649" s="24" t="str">
        <x:v>Rodenstock|Monofocal B.I.G. NORM|Surfaçada|Impression Monofocais B.I.G. NORM||1.5|1.50|Solitaire X-tra Clean|-8 a +8|até -6||75|||17</x:v>
      </x:c>
    </x:row>
    <x:row r="650">
      <x:c r="A650" s="24" t="str">
        <x:v>RD-06A0B85A0405</x:v>
      </x:c>
      <x:c r="B650" s="24" t="str">
        <x:v>SIM</x:v>
      </x:c>
      <x:c r="C650" s="24" t="str">
        <x:v>DISPONÍVEL</x:v>
      </x:c>
      <x:c r="D650" s="24" t="str">
        <x:v>Rodenstock</x:v>
      </x:c>
      <x:c r="E650" s="24" t="str">
        <x:v>Monofocal B.I.G. NORM</x:v>
      </x:c>
      <x:c r="F650" s="24" t="str">
        <x:v>Surfaçada</x:v>
      </x:c>
      <x:c r="G650" s="24" t="str">
        <x:v>Impression Monofocais B.I.G. NORM</x:v>
      </x:c>
      <x:c r="H650" s="24"/>
      <x:c r="I650" s="24" t="str">
        <x:v>1.5</x:v>
      </x:c>
      <x:c r="J650" s="24" t="str">
        <x:v>1.50</x:v>
      </x:c>
      <x:c r="K650" s="24" t="str">
        <x:v>Solitaire Protect Plus</x:v>
      </x:c>
      <x:c r="L650" s="40" t="n">
        <x:v>2233</x:v>
      </x:c>
      <x:c r="M650" s="24" t="str">
        <x:v>-8 a +8</x:v>
      </x:c>
      <x:c r="N650" s="24" t="str">
        <x:v>até -6</x:v>
      </x:c>
      <x:c r="O650" s="24"/>
      <x:c r="P650" s="24" t="str">
        <x:v>75</x:v>
      </x:c>
      <x:c r="Q650" s="24"/>
      <x:c r="R650" s="24"/>
      <x:c r="S650" s="26" t="n">
        <x:v>46024</x:v>
      </x:c>
      <x:c r="T650" s="26"/>
      <x:c r="U650" s="24" t="str">
        <x:v>ATIVA/SEM FIM INFORMADO</x:v>
      </x:c>
      <x:c r="V650" s="24"/>
      <x:c r="W650" s="24" t="n">
        <x:v>17</x:v>
      </x:c>
      <x:c r="X650" s="24" t="str">
        <x:v>tabela_rodenstock.pdf</x:v>
      </x:c>
      <x:c r="Y650" s="24" t="str">
        <x:v>alta</x:v>
      </x:c>
      <x:c r="Z650" s="24"/>
      <x:c r="AA650" s="24" t="str">
        <x:v>Rodenstock|Monofocal B.I.G. NORM|Surfaçada|Impression Monofocais B.I.G. NORM||1.5|1.50|Solitaire Protect Plus|-8 a +8|até -6||75|||17</x:v>
      </x:c>
    </x:row>
    <x:row r="651">
      <x:c r="A651" s="24" t="str">
        <x:v>RD-1206DBBB9168</x:v>
      </x:c>
      <x:c r="B651" s="24" t="str">
        <x:v>SIM</x:v>
      </x:c>
      <x:c r="C651" s="24" t="str">
        <x:v>DISPONÍVEL</x:v>
      </x:c>
      <x:c r="D651" s="24" t="str">
        <x:v>Rodenstock</x:v>
      </x:c>
      <x:c r="E651" s="24" t="str">
        <x:v>Monofocal B.I.G. NORM</x:v>
      </x:c>
      <x:c r="F651" s="24" t="str">
        <x:v>Surfaçada</x:v>
      </x:c>
      <x:c r="G651" s="24" t="str">
        <x:v>Impression Monofocais B.I.G. NORM</x:v>
      </x:c>
      <x:c r="H651" s="24"/>
      <x:c r="I651" s="24" t="str">
        <x:v>1.5</x:v>
      </x:c>
      <x:c r="J651" s="24" t="str">
        <x:v>1.50</x:v>
      </x:c>
      <x:c r="K651" s="24" t="str">
        <x:v>ROAD</x:v>
      </x:c>
      <x:c r="L651" s="40" t="n">
        <x:v>2233</x:v>
      </x:c>
      <x:c r="M651" s="24" t="str">
        <x:v>-8 a +8</x:v>
      </x:c>
      <x:c r="N651" s="24" t="str">
        <x:v>até -6</x:v>
      </x:c>
      <x:c r="O651" s="24"/>
      <x:c r="P651" s="24" t="str">
        <x:v>75</x:v>
      </x:c>
      <x:c r="Q651" s="24"/>
      <x:c r="R651" s="24"/>
      <x:c r="S651" s="26" t="n">
        <x:v>46024</x:v>
      </x:c>
      <x:c r="T651" s="26"/>
      <x:c r="U651" s="24" t="str">
        <x:v>ATIVA/SEM FIM INFORMADO</x:v>
      </x:c>
      <x:c r="V651" s="24"/>
      <x:c r="W651" s="24" t="n">
        <x:v>17</x:v>
      </x:c>
      <x:c r="X651" s="24" t="str">
        <x:v>tabela_rodenstock.pdf</x:v>
      </x:c>
      <x:c r="Y651" s="24" t="str">
        <x:v>alta</x:v>
      </x:c>
      <x:c r="Z651" s="24"/>
      <x:c r="AA651" s="24" t="str">
        <x:v>Rodenstock|Monofocal B.I.G. NORM|Surfaçada|Impression Monofocais B.I.G. NORM||1.5|1.50|ROAD|-8 a +8|até -6||75|||17</x:v>
      </x:c>
    </x:row>
    <x:row r="652">
      <x:c r="A652" s="24" t="str">
        <x:v>RD-6E0C0FF3C0B6</x:v>
      </x:c>
      <x:c r="B652" s="24" t="str">
        <x:v>SIM</x:v>
      </x:c>
      <x:c r="C652" s="24" t="str">
        <x:v>DISPONÍVEL</x:v>
      </x:c>
      <x:c r="D652" s="24" t="str">
        <x:v>Rodenstock</x:v>
      </x:c>
      <x:c r="E652" s="24" t="str">
        <x:v>Monofocal B.I.G. NORM</x:v>
      </x:c>
      <x:c r="F652" s="24" t="str">
        <x:v>Surfaçada</x:v>
      </x:c>
      <x:c r="G652" s="24" t="str">
        <x:v>Impression Monofocais B.I.G. NORM</x:v>
      </x:c>
      <x:c r="H652" s="24"/>
      <x:c r="I652" s="24" t="str">
        <x:v>1.5</x:v>
      </x:c>
      <x:c r="J652" s="24" t="str">
        <x:v>1.50</x:v>
      </x:c>
      <x:c r="K652" s="24" t="str">
        <x:v>Solitaire Protect</x:v>
      </x:c>
      <x:c r="L652" s="40" t="n">
        <x:v>1973</x:v>
      </x:c>
      <x:c r="M652" s="24" t="str">
        <x:v>-8 a +8</x:v>
      </x:c>
      <x:c r="N652" s="24" t="str">
        <x:v>até -6</x:v>
      </x:c>
      <x:c r="O652" s="24"/>
      <x:c r="P652" s="24" t="str">
        <x:v>75</x:v>
      </x:c>
      <x:c r="Q652" s="24"/>
      <x:c r="R652" s="24"/>
      <x:c r="S652" s="26" t="n">
        <x:v>46024</x:v>
      </x:c>
      <x:c r="T652" s="26"/>
      <x:c r="U652" s="24" t="str">
        <x:v>ATIVA/SEM FIM INFORMADO</x:v>
      </x:c>
      <x:c r="V652" s="24"/>
      <x:c r="W652" s="24" t="n">
        <x:v>17</x:v>
      </x:c>
      <x:c r="X652" s="24" t="str">
        <x:v>tabela_rodenstock.pdf</x:v>
      </x:c>
      <x:c r="Y652" s="24" t="str">
        <x:v>alta</x:v>
      </x:c>
      <x:c r="Z652" s="24"/>
      <x:c r="AA652" s="24" t="str">
        <x:v>Rodenstock|Monofocal B.I.G. NORM|Surfaçada|Impression Monofocais B.I.G. NORM||1.5|1.50|Solitaire Protect|-8 a +8|até -6||75|||17</x:v>
      </x:c>
    </x:row>
    <x:row r="653">
      <x:c r="A653" s="24" t="str">
        <x:v>RD-84AA5261BD4B</x:v>
      </x:c>
      <x:c r="B653" s="24" t="str">
        <x:v>SIM</x:v>
      </x:c>
      <x:c r="C653" s="24" t="str">
        <x:v>DISPONÍVEL</x:v>
      </x:c>
      <x:c r="D653" s="24" t="str">
        <x:v>Rodenstock</x:v>
      </x:c>
      <x:c r="E653" s="24" t="str">
        <x:v>Monofocal B.I.G. NORM</x:v>
      </x:c>
      <x:c r="F653" s="24" t="str">
        <x:v>Surfaçada</x:v>
      </x:c>
      <x:c r="G653" s="24" t="str">
        <x:v>Impression Monofocais B.I.G. NORM</x:v>
      </x:c>
      <x:c r="H653" s="24" t="str">
        <x:v>ColorMatic® 3</x:v>
      </x:c>
      <x:c r="I653" s="24" t="str">
        <x:v>1.54</x:v>
      </x:c>
      <x:c r="J653" s="24" t="str">
        <x:v>1.54</x:v>
      </x:c>
      <x:c r="K653" s="24" t="str">
        <x:v>LayR X-tra Clean</x:v>
      </x:c>
      <x:c r="L653" s="40" t="n">
        <x:v>3720</x:v>
      </x:c>
      <x:c r="M653" s="24" t="str">
        <x:v>-8 a +8</x:v>
      </x:c>
      <x:c r="N653" s="24" t="str">
        <x:v>até -6</x:v>
      </x:c>
      <x:c r="O653" s="24"/>
      <x:c r="P653" s="24" t="str">
        <x:v>75</x:v>
      </x:c>
      <x:c r="Q653" s="24"/>
      <x:c r="R653" s="24"/>
      <x:c r="S653" s="26" t="n">
        <x:v>46024</x:v>
      </x:c>
      <x:c r="T653" s="26"/>
      <x:c r="U653" s="24" t="str">
        <x:v>ATIVA/SEM FIM INFORMADO</x:v>
      </x:c>
      <x:c r="V653" s="24"/>
      <x:c r="W653" s="24" t="n">
        <x:v>17</x:v>
      </x:c>
      <x:c r="X653" s="24" t="str">
        <x:v>tabela_rodenstock.pdf</x:v>
      </x:c>
      <x:c r="Y653" s="24" t="str">
        <x:v>alta</x:v>
      </x:c>
      <x:c r="Z653" s="24"/>
      <x:c r="AA653" s="24" t="str">
        <x:v>Rodenstock|Monofocal B.I.G. NORM|Surfaçada|Impression Monofocais B.I.G. NORM|ColorMatic® 3|1.54|1.54|LayR X-tra Clean|-8 a +8|até -6||75|||17</x:v>
      </x:c>
    </x:row>
    <x:row r="654">
      <x:c r="A654" s="24" t="str">
        <x:v>RD-CE905BECC72D</x:v>
      </x:c>
      <x:c r="B654" s="24" t="str">
        <x:v>SIM</x:v>
      </x:c>
      <x:c r="C654" s="24" t="str">
        <x:v>DISPONÍVEL</x:v>
      </x:c>
      <x:c r="D654" s="24" t="str">
        <x:v>Rodenstock</x:v>
      </x:c>
      <x:c r="E654" s="24" t="str">
        <x:v>Monofocal B.I.G. NORM</x:v>
      </x:c>
      <x:c r="F654" s="24" t="str">
        <x:v>Surfaçada</x:v>
      </x:c>
      <x:c r="G654" s="24" t="str">
        <x:v>Impression Monofocais B.I.G. NORM</x:v>
      </x:c>
      <x:c r="H654" s="24" t="str">
        <x:v>ColorMatic® 3</x:v>
      </x:c>
      <x:c r="I654" s="24" t="str">
        <x:v>1.54</x:v>
      </x:c>
      <x:c r="J654" s="24" t="str">
        <x:v>1.54</x:v>
      </x:c>
      <x:c r="K654" s="24" t="str">
        <x:v>LayR Balance</x:v>
      </x:c>
      <x:c r="L654" s="40" t="n">
        <x:v>3720</x:v>
      </x:c>
      <x:c r="M654" s="24" t="str">
        <x:v>-8 a +8</x:v>
      </x:c>
      <x:c r="N654" s="24" t="str">
        <x:v>até -6</x:v>
      </x:c>
      <x:c r="O654" s="24"/>
      <x:c r="P654" s="24" t="str">
        <x:v>75</x:v>
      </x:c>
      <x:c r="Q654" s="24"/>
      <x:c r="R654" s="24"/>
      <x:c r="S654" s="26" t="n">
        <x:v>46024</x:v>
      </x:c>
      <x:c r="T654" s="26"/>
      <x:c r="U654" s="24" t="str">
        <x:v>ATIVA/SEM FIM INFORMADO</x:v>
      </x:c>
      <x:c r="V654" s="24"/>
      <x:c r="W654" s="24" t="n">
        <x:v>17</x:v>
      </x:c>
      <x:c r="X654" s="24" t="str">
        <x:v>tabela_rodenstock.pdf</x:v>
      </x:c>
      <x:c r="Y654" s="24" t="str">
        <x:v>alta</x:v>
      </x:c>
      <x:c r="Z654" s="24"/>
      <x:c r="AA654" s="24" t="str">
        <x:v>Rodenstock|Monofocal B.I.G. NORM|Surfaçada|Impression Monofocais B.I.G. NORM|ColorMatic® 3|1.54|1.54|LayR Balance|-8 a +8|até -6||75|||17</x:v>
      </x:c>
    </x:row>
    <x:row r="655">
      <x:c r="A655" s="24" t="str">
        <x:v>RD-DF2EFDF6C438</x:v>
      </x:c>
      <x:c r="B655" s="24" t="str">
        <x:v>SIM</x:v>
      </x:c>
      <x:c r="C655" s="24" t="str">
        <x:v>DISPONÍVEL</x:v>
      </x:c>
      <x:c r="D655" s="24" t="str">
        <x:v>Rodenstock</x:v>
      </x:c>
      <x:c r="E655" s="24" t="str">
        <x:v>Monofocal B.I.G. NORM</x:v>
      </x:c>
      <x:c r="F655" s="24" t="str">
        <x:v>Surfaçada</x:v>
      </x:c>
      <x:c r="G655" s="24" t="str">
        <x:v>Impression Monofocais B.I.G. NORM</x:v>
      </x:c>
      <x:c r="H655" s="24" t="str">
        <x:v>ColorMatic® 3</x:v>
      </x:c>
      <x:c r="I655" s="24" t="str">
        <x:v>1.54</x:v>
      </x:c>
      <x:c r="J655" s="24" t="str">
        <x:v>1.54</x:v>
      </x:c>
      <x:c r="K655" s="24" t="str">
        <x:v>Solitaire X-tra Clean</x:v>
      </x:c>
      <x:c r="L655" s="40" t="n">
        <x:v>3650</x:v>
      </x:c>
      <x:c r="M655" s="24" t="str">
        <x:v>-8 a +8</x:v>
      </x:c>
      <x:c r="N655" s="24" t="str">
        <x:v>até -6</x:v>
      </x:c>
      <x:c r="O655" s="24"/>
      <x:c r="P655" s="24" t="str">
        <x:v>75</x:v>
      </x:c>
      <x:c r="Q655" s="24"/>
      <x:c r="R655" s="24"/>
      <x:c r="S655" s="26" t="n">
        <x:v>46024</x:v>
      </x:c>
      <x:c r="T655" s="26"/>
      <x:c r="U655" s="24" t="str">
        <x:v>ATIVA/SEM FIM INFORMADO</x:v>
      </x:c>
      <x:c r="V655" s="24"/>
      <x:c r="W655" s="24" t="n">
        <x:v>17</x:v>
      </x:c>
      <x:c r="X655" s="24" t="str">
        <x:v>tabela_rodenstock.pdf</x:v>
      </x:c>
      <x:c r="Y655" s="24" t="str">
        <x:v>alta</x:v>
      </x:c>
      <x:c r="Z655" s="24"/>
      <x:c r="AA655" s="24" t="str">
        <x:v>Rodenstock|Monofocal B.I.G. NORM|Surfaçada|Impression Monofocais B.I.G. NORM|ColorMatic® 3|1.54|1.54|Solitaire X-tra Clean|-8 a +8|até -6||75|||17</x:v>
      </x:c>
    </x:row>
    <x:row r="656">
      <x:c r="A656" s="24" t="str">
        <x:v>RD-9F555A42FD93</x:v>
      </x:c>
      <x:c r="B656" s="24" t="str">
        <x:v>SIM</x:v>
      </x:c>
      <x:c r="C656" s="24" t="str">
        <x:v>DISPONÍVEL</x:v>
      </x:c>
      <x:c r="D656" s="24" t="str">
        <x:v>Rodenstock</x:v>
      </x:c>
      <x:c r="E656" s="24" t="str">
        <x:v>Monofocal B.I.G. NORM</x:v>
      </x:c>
      <x:c r="F656" s="24" t="str">
        <x:v>Surfaçada</x:v>
      </x:c>
      <x:c r="G656" s="24" t="str">
        <x:v>Impression Monofocais B.I.G. NORM</x:v>
      </x:c>
      <x:c r="H656" s="24" t="str">
        <x:v>ColorMatic® 3</x:v>
      </x:c>
      <x:c r="I656" s="24" t="str">
        <x:v>1.54</x:v>
      </x:c>
      <x:c r="J656" s="24" t="str">
        <x:v>1.54</x:v>
      </x:c>
      <x:c r="K656" s="24" t="str">
        <x:v>Solitaire Protect Plus</x:v>
      </x:c>
      <x:c r="L656" s="40" t="n">
        <x:v>3600</x:v>
      </x:c>
      <x:c r="M656" s="24" t="str">
        <x:v>-8 a +8</x:v>
      </x:c>
      <x:c r="N656" s="24" t="str">
        <x:v>até -6</x:v>
      </x:c>
      <x:c r="O656" s="24"/>
      <x:c r="P656" s="24" t="str">
        <x:v>75</x:v>
      </x:c>
      <x:c r="Q656" s="24"/>
      <x:c r="R656" s="24"/>
      <x:c r="S656" s="26" t="n">
        <x:v>46024</x:v>
      </x:c>
      <x:c r="T656" s="26"/>
      <x:c r="U656" s="24" t="str">
        <x:v>ATIVA/SEM FIM INFORMADO</x:v>
      </x:c>
      <x:c r="V656" s="24"/>
      <x:c r="W656" s="24" t="n">
        <x:v>17</x:v>
      </x:c>
      <x:c r="X656" s="24" t="str">
        <x:v>tabela_rodenstock.pdf</x:v>
      </x:c>
      <x:c r="Y656" s="24" t="str">
        <x:v>alta</x:v>
      </x:c>
      <x:c r="Z656" s="24"/>
      <x:c r="AA656" s="24" t="str">
        <x:v>Rodenstock|Monofocal B.I.G. NORM|Surfaçada|Impression Monofocais B.I.G. NORM|ColorMatic® 3|1.54|1.54|Solitaire Protect Plus|-8 a +8|até -6||75|||17</x:v>
      </x:c>
    </x:row>
    <x:row r="657">
      <x:c r="A657" s="24" t="str">
        <x:v>RD-CEC920486F8E</x:v>
      </x:c>
      <x:c r="B657" s="24" t="str">
        <x:v>SIM</x:v>
      </x:c>
      <x:c r="C657" s="24" t="str">
        <x:v>DISPONÍVEL</x:v>
      </x:c>
      <x:c r="D657" s="24" t="str">
        <x:v>Rodenstock</x:v>
      </x:c>
      <x:c r="E657" s="24" t="str">
        <x:v>Monofocal B.I.G. NORM</x:v>
      </x:c>
      <x:c r="F657" s="24" t="str">
        <x:v>Surfaçada</x:v>
      </x:c>
      <x:c r="G657" s="24" t="str">
        <x:v>Impression Monofocais B.I.G. NORM</x:v>
      </x:c>
      <x:c r="H657" s="24" t="str">
        <x:v>ColorMatic® 3</x:v>
      </x:c>
      <x:c r="I657" s="24" t="str">
        <x:v>1.54</x:v>
      </x:c>
      <x:c r="J657" s="24" t="str">
        <x:v>1.54</x:v>
      </x:c>
      <x:c r="K657" s="24" t="str">
        <x:v>ROAD</x:v>
      </x:c>
      <x:c r="L657" s="40" t="n">
        <x:v>3600</x:v>
      </x:c>
      <x:c r="M657" s="24" t="str">
        <x:v>-8 a +8</x:v>
      </x:c>
      <x:c r="N657" s="24" t="str">
        <x:v>até -6</x:v>
      </x:c>
      <x:c r="O657" s="24"/>
      <x:c r="P657" s="24" t="str">
        <x:v>75</x:v>
      </x:c>
      <x:c r="Q657" s="24"/>
      <x:c r="R657" s="24"/>
      <x:c r="S657" s="26" t="n">
        <x:v>46024</x:v>
      </x:c>
      <x:c r="T657" s="26"/>
      <x:c r="U657" s="24" t="str">
        <x:v>ATIVA/SEM FIM INFORMADO</x:v>
      </x:c>
      <x:c r="V657" s="24"/>
      <x:c r="W657" s="24" t="n">
        <x:v>17</x:v>
      </x:c>
      <x:c r="X657" s="24" t="str">
        <x:v>tabela_rodenstock.pdf</x:v>
      </x:c>
      <x:c r="Y657" s="24" t="str">
        <x:v>alta</x:v>
      </x:c>
      <x:c r="Z657" s="24"/>
      <x:c r="AA657" s="24" t="str">
        <x:v>Rodenstock|Monofocal B.I.G. NORM|Surfaçada|Impression Monofocais B.I.G. NORM|ColorMatic® 3|1.54|1.54|ROAD|-8 a +8|até -6||75|||17</x:v>
      </x:c>
    </x:row>
    <x:row r="658">
      <x:c r="A658" s="24" t="str">
        <x:v>RD-09EEF5521DF1</x:v>
      </x:c>
      <x:c r="B658" s="24" t="str">
        <x:v>SIM</x:v>
      </x:c>
      <x:c r="C658" s="24" t="str">
        <x:v>DISPONÍVEL</x:v>
      </x:c>
      <x:c r="D658" s="24" t="str">
        <x:v>Rodenstock</x:v>
      </x:c>
      <x:c r="E658" s="24" t="str">
        <x:v>Monofocal B.I.G. NORM</x:v>
      </x:c>
      <x:c r="F658" s="24" t="str">
        <x:v>Surfaçada</x:v>
      </x:c>
      <x:c r="G658" s="24" t="str">
        <x:v>Impression Monofocais B.I.G. NORM</x:v>
      </x:c>
      <x:c r="H658" s="24" t="str">
        <x:v>ColorMatic® 3</x:v>
      </x:c>
      <x:c r="I658" s="24" t="str">
        <x:v>1.54</x:v>
      </x:c>
      <x:c r="J658" s="24" t="str">
        <x:v>1.54</x:v>
      </x:c>
      <x:c r="K658" s="24" t="str">
        <x:v>Solitaire Protect</x:v>
      </x:c>
      <x:c r="L658" s="40" t="n">
        <x:v>3340</x:v>
      </x:c>
      <x:c r="M658" s="24" t="str">
        <x:v>-8 a +8</x:v>
      </x:c>
      <x:c r="N658" s="24" t="str">
        <x:v>até -6</x:v>
      </x:c>
      <x:c r="O658" s="24"/>
      <x:c r="P658" s="24" t="str">
        <x:v>75</x:v>
      </x:c>
      <x:c r="Q658" s="24"/>
      <x:c r="R658" s="24"/>
      <x:c r="S658" s="26" t="n">
        <x:v>46024</x:v>
      </x:c>
      <x:c r="T658" s="26"/>
      <x:c r="U658" s="24" t="str">
        <x:v>ATIVA/SEM FIM INFORMADO</x:v>
      </x:c>
      <x:c r="V658" s="24"/>
      <x:c r="W658" s="24" t="n">
        <x:v>17</x:v>
      </x:c>
      <x:c r="X658" s="24" t="str">
        <x:v>tabela_rodenstock.pdf</x:v>
      </x:c>
      <x:c r="Y658" s="24" t="str">
        <x:v>alta</x:v>
      </x:c>
      <x:c r="Z658" s="24"/>
      <x:c r="AA658" s="24" t="str">
        <x:v>Rodenstock|Monofocal B.I.G. NORM|Surfaçada|Impression Monofocais B.I.G. NORM|ColorMatic® 3|1.54|1.54|Solitaire Protect|-8 a +8|até -6||75|||17</x:v>
      </x:c>
    </x:row>
    <x:row r="659">
      <x:c r="A659" s="24" t="str">
        <x:v>RD-200DFFA72683</x:v>
      </x:c>
      <x:c r="B659" s="24" t="str">
        <x:v>SIM</x:v>
      </x:c>
      <x:c r="C659" s="24" t="str">
        <x:v>DISPONÍVEL</x:v>
      </x:c>
      <x:c r="D659" s="24" t="str">
        <x:v>Rodenstock</x:v>
      </x:c>
      <x:c r="E659" s="24" t="str">
        <x:v>Monofocal B.I.G. NORM</x:v>
      </x:c>
      <x:c r="F659" s="24" t="str">
        <x:v>Surfaçada</x:v>
      </x:c>
      <x:c r="G659" s="24" t="str">
        <x:v>Impression Monofocais B.I.G. NORM</x:v>
      </x:c>
      <x:c r="H659" s="24"/>
      <x:c r="I659" s="24" t="str">
        <x:v>1.6</x:v>
      </x:c>
      <x:c r="J659" s="24" t="str">
        <x:v>1.60</x:v>
      </x:c>
      <x:c r="K659" s="24" t="str">
        <x:v>LayR X-tra Clean</x:v>
      </x:c>
      <x:c r="L659" s="40" t="n">
        <x:v>2872</x:v>
      </x:c>
      <x:c r="M659" s="24" t="str">
        <x:v>-10 a +10</x:v>
      </x:c>
      <x:c r="N659" s="24" t="str">
        <x:v>até -6</x:v>
      </x:c>
      <x:c r="O659" s="24"/>
      <x:c r="P659" s="24" t="str">
        <x:v>75</x:v>
      </x:c>
      <x:c r="Q659" s="24"/>
      <x:c r="R659" s="24"/>
      <x:c r="S659" s="26" t="n">
        <x:v>46024</x:v>
      </x:c>
      <x:c r="T659" s="26"/>
      <x:c r="U659" s="24" t="str">
        <x:v>ATIVA/SEM FIM INFORMADO</x:v>
      </x:c>
      <x:c r="V659" s="24"/>
      <x:c r="W659" s="24" t="n">
        <x:v>17</x:v>
      </x:c>
      <x:c r="X659" s="24" t="str">
        <x:v>tabela_rodenstock.pdf</x:v>
      </x:c>
      <x:c r="Y659" s="24" t="str">
        <x:v>alta</x:v>
      </x:c>
      <x:c r="Z659" s="24"/>
      <x:c r="AA659" s="24" t="str">
        <x:v>Rodenstock|Monofocal B.I.G. NORM|Surfaçada|Impression Monofocais B.I.G. NORM||1.6|1.60|LayR X-tra Clean|-10 a +10|até -6||75|||17</x:v>
      </x:c>
    </x:row>
    <x:row r="660">
      <x:c r="A660" s="24" t="str">
        <x:v>RD-8AEE1E6BCB2D</x:v>
      </x:c>
      <x:c r="B660" s="24" t="str">
        <x:v>SIM</x:v>
      </x:c>
      <x:c r="C660" s="24" t="str">
        <x:v>DISPONÍVEL</x:v>
      </x:c>
      <x:c r="D660" s="24" t="str">
        <x:v>Rodenstock</x:v>
      </x:c>
      <x:c r="E660" s="24" t="str">
        <x:v>Monofocal B.I.G. NORM</x:v>
      </x:c>
      <x:c r="F660" s="24" t="str">
        <x:v>Surfaçada</x:v>
      </x:c>
      <x:c r="G660" s="24" t="str">
        <x:v>Impression Monofocais B.I.G. NORM</x:v>
      </x:c>
      <x:c r="H660" s="24"/>
      <x:c r="I660" s="24" t="str">
        <x:v>1.6</x:v>
      </x:c>
      <x:c r="J660" s="24" t="str">
        <x:v>1.60</x:v>
      </x:c>
      <x:c r="K660" s="24" t="str">
        <x:v>LayR Balance</x:v>
      </x:c>
      <x:c r="L660" s="40" t="n">
        <x:v>2872</x:v>
      </x:c>
      <x:c r="M660" s="24" t="str">
        <x:v>-10 a +10</x:v>
      </x:c>
      <x:c r="N660" s="24" t="str">
        <x:v>até -6</x:v>
      </x:c>
      <x:c r="O660" s="24"/>
      <x:c r="P660" s="24" t="str">
        <x:v>75</x:v>
      </x:c>
      <x:c r="Q660" s="24"/>
      <x:c r="R660" s="24"/>
      <x:c r="S660" s="26" t="n">
        <x:v>46024</x:v>
      </x:c>
      <x:c r="T660" s="26"/>
      <x:c r="U660" s="24" t="str">
        <x:v>ATIVA/SEM FIM INFORMADO</x:v>
      </x:c>
      <x:c r="V660" s="24"/>
      <x:c r="W660" s="24" t="n">
        <x:v>17</x:v>
      </x:c>
      <x:c r="X660" s="24" t="str">
        <x:v>tabela_rodenstock.pdf</x:v>
      </x:c>
      <x:c r="Y660" s="24" t="str">
        <x:v>alta</x:v>
      </x:c>
      <x:c r="Z660" s="24"/>
      <x:c r="AA660" s="24" t="str">
        <x:v>Rodenstock|Monofocal B.I.G. NORM|Surfaçada|Impression Monofocais B.I.G. NORM||1.6|1.60|LayR Balance|-10 a +10|até -6||75|||17</x:v>
      </x:c>
    </x:row>
    <x:row r="661">
      <x:c r="A661" s="24" t="str">
        <x:v>RD-B5DFEE7FFA87</x:v>
      </x:c>
      <x:c r="B661" s="24" t="str">
        <x:v>SIM</x:v>
      </x:c>
      <x:c r="C661" s="24" t="str">
        <x:v>DISPONÍVEL</x:v>
      </x:c>
      <x:c r="D661" s="24" t="str">
        <x:v>Rodenstock</x:v>
      </x:c>
      <x:c r="E661" s="24" t="str">
        <x:v>Monofocal B.I.G. NORM</x:v>
      </x:c>
      <x:c r="F661" s="24" t="str">
        <x:v>Surfaçada</x:v>
      </x:c>
      <x:c r="G661" s="24" t="str">
        <x:v>Impression Monofocais B.I.G. NORM</x:v>
      </x:c>
      <x:c r="H661" s="24"/>
      <x:c r="I661" s="24" t="str">
        <x:v>1.6</x:v>
      </x:c>
      <x:c r="J661" s="24" t="str">
        <x:v>1.60</x:v>
      </x:c>
      <x:c r="K661" s="24" t="str">
        <x:v>Solitaire X-tra Clean</x:v>
      </x:c>
      <x:c r="L661" s="40" t="n">
        <x:v>2802</x:v>
      </x:c>
      <x:c r="M661" s="24" t="str">
        <x:v>-10 a +10</x:v>
      </x:c>
      <x:c r="N661" s="24" t="str">
        <x:v>até -6</x:v>
      </x:c>
      <x:c r="O661" s="24"/>
      <x:c r="P661" s="24" t="str">
        <x:v>75</x:v>
      </x:c>
      <x:c r="Q661" s="24"/>
      <x:c r="R661" s="24"/>
      <x:c r="S661" s="26" t="n">
        <x:v>46024</x:v>
      </x:c>
      <x:c r="T661" s="26"/>
      <x:c r="U661" s="24" t="str">
        <x:v>ATIVA/SEM FIM INFORMADO</x:v>
      </x:c>
      <x:c r="V661" s="24"/>
      <x:c r="W661" s="24" t="n">
        <x:v>17</x:v>
      </x:c>
      <x:c r="X661" s="24" t="str">
        <x:v>tabela_rodenstock.pdf</x:v>
      </x:c>
      <x:c r="Y661" s="24" t="str">
        <x:v>alta</x:v>
      </x:c>
      <x:c r="Z661" s="24"/>
      <x:c r="AA661" s="24" t="str">
        <x:v>Rodenstock|Monofocal B.I.G. NORM|Surfaçada|Impression Monofocais B.I.G. NORM||1.6|1.60|Solitaire X-tra Clean|-10 a +10|até -6||75|||17</x:v>
      </x:c>
    </x:row>
    <x:row r="662">
      <x:c r="A662" s="24" t="str">
        <x:v>RD-441FB5600910</x:v>
      </x:c>
      <x:c r="B662" s="24" t="str">
        <x:v>SIM</x:v>
      </x:c>
      <x:c r="C662" s="24" t="str">
        <x:v>DISPONÍVEL</x:v>
      </x:c>
      <x:c r="D662" s="24" t="str">
        <x:v>Rodenstock</x:v>
      </x:c>
      <x:c r="E662" s="24" t="str">
        <x:v>Monofocal B.I.G. NORM</x:v>
      </x:c>
      <x:c r="F662" s="24" t="str">
        <x:v>Surfaçada</x:v>
      </x:c>
      <x:c r="G662" s="24" t="str">
        <x:v>Impression Monofocais B.I.G. NORM</x:v>
      </x:c>
      <x:c r="H662" s="24"/>
      <x:c r="I662" s="24" t="str">
        <x:v>1.6</x:v>
      </x:c>
      <x:c r="J662" s="24" t="str">
        <x:v>1.60</x:v>
      </x:c>
      <x:c r="K662" s="24" t="str">
        <x:v>Solitaire Protect Plus</x:v>
      </x:c>
      <x:c r="L662" s="40" t="n">
        <x:v>2752</x:v>
      </x:c>
      <x:c r="M662" s="24" t="str">
        <x:v>-10 a +10</x:v>
      </x:c>
      <x:c r="N662" s="24" t="str">
        <x:v>até -6</x:v>
      </x:c>
      <x:c r="O662" s="24"/>
      <x:c r="P662" s="24" t="str">
        <x:v>75</x:v>
      </x:c>
      <x:c r="Q662" s="24"/>
      <x:c r="R662" s="24"/>
      <x:c r="S662" s="26" t="n">
        <x:v>46024</x:v>
      </x:c>
      <x:c r="T662" s="26"/>
      <x:c r="U662" s="24" t="str">
        <x:v>ATIVA/SEM FIM INFORMADO</x:v>
      </x:c>
      <x:c r="V662" s="24"/>
      <x:c r="W662" s="24" t="n">
        <x:v>17</x:v>
      </x:c>
      <x:c r="X662" s="24" t="str">
        <x:v>tabela_rodenstock.pdf</x:v>
      </x:c>
      <x:c r="Y662" s="24" t="str">
        <x:v>alta</x:v>
      </x:c>
      <x:c r="Z662" s="24"/>
      <x:c r="AA662" s="24" t="str">
        <x:v>Rodenstock|Monofocal B.I.G. NORM|Surfaçada|Impression Monofocais B.I.G. NORM||1.6|1.60|Solitaire Protect Plus|-10 a +10|até -6||75|||17</x:v>
      </x:c>
    </x:row>
    <x:row r="663">
      <x:c r="A663" s="24" t="str">
        <x:v>RD-6B620BCCED77</x:v>
      </x:c>
      <x:c r="B663" s="24" t="str">
        <x:v>SIM</x:v>
      </x:c>
      <x:c r="C663" s="24" t="str">
        <x:v>DISPONÍVEL</x:v>
      </x:c>
      <x:c r="D663" s="24" t="str">
        <x:v>Rodenstock</x:v>
      </x:c>
      <x:c r="E663" s="24" t="str">
        <x:v>Monofocal B.I.G. NORM</x:v>
      </x:c>
      <x:c r="F663" s="24" t="str">
        <x:v>Surfaçada</x:v>
      </x:c>
      <x:c r="G663" s="24" t="str">
        <x:v>Impression Monofocais B.I.G. NORM</x:v>
      </x:c>
      <x:c r="H663" s="24"/>
      <x:c r="I663" s="24" t="str">
        <x:v>1.6</x:v>
      </x:c>
      <x:c r="J663" s="24" t="str">
        <x:v>1.60</x:v>
      </x:c>
      <x:c r="K663" s="24" t="str">
        <x:v>ROAD</x:v>
      </x:c>
      <x:c r="L663" s="40" t="n">
        <x:v>2752</x:v>
      </x:c>
      <x:c r="M663" s="24" t="str">
        <x:v>-10 a +10</x:v>
      </x:c>
      <x:c r="N663" s="24" t="str">
        <x:v>até -6</x:v>
      </x:c>
      <x:c r="O663" s="24"/>
      <x:c r="P663" s="24" t="str">
        <x:v>75</x:v>
      </x:c>
      <x:c r="Q663" s="24"/>
      <x:c r="R663" s="24"/>
      <x:c r="S663" s="26" t="n">
        <x:v>46024</x:v>
      </x:c>
      <x:c r="T663" s="26"/>
      <x:c r="U663" s="24" t="str">
        <x:v>ATIVA/SEM FIM INFORMADO</x:v>
      </x:c>
      <x:c r="V663" s="24"/>
      <x:c r="W663" s="24" t="n">
        <x:v>17</x:v>
      </x:c>
      <x:c r="X663" s="24" t="str">
        <x:v>tabela_rodenstock.pdf</x:v>
      </x:c>
      <x:c r="Y663" s="24" t="str">
        <x:v>alta</x:v>
      </x:c>
      <x:c r="Z663" s="24"/>
      <x:c r="AA663" s="24" t="str">
        <x:v>Rodenstock|Monofocal B.I.G. NORM|Surfaçada|Impression Monofocais B.I.G. NORM||1.6|1.60|ROAD|-10 a +10|até -6||75|||17</x:v>
      </x:c>
    </x:row>
    <x:row r="664">
      <x:c r="A664" s="24" t="str">
        <x:v>RD-69F33972B6D0</x:v>
      </x:c>
      <x:c r="B664" s="24" t="str">
        <x:v>SIM</x:v>
      </x:c>
      <x:c r="C664" s="24" t="str">
        <x:v>DISPONÍVEL</x:v>
      </x:c>
      <x:c r="D664" s="24" t="str">
        <x:v>Rodenstock</x:v>
      </x:c>
      <x:c r="E664" s="24" t="str">
        <x:v>Monofocal B.I.G. NORM</x:v>
      </x:c>
      <x:c r="F664" s="24" t="str">
        <x:v>Surfaçada</x:v>
      </x:c>
      <x:c r="G664" s="24" t="str">
        <x:v>Impression Monofocais B.I.G. NORM</x:v>
      </x:c>
      <x:c r="H664" s="24"/>
      <x:c r="I664" s="24" t="str">
        <x:v>1.6</x:v>
      </x:c>
      <x:c r="J664" s="24" t="str">
        <x:v>1.60</x:v>
      </x:c>
      <x:c r="K664" s="24" t="str">
        <x:v>Solitaire Protect</x:v>
      </x:c>
      <x:c r="L664" s="40" t="n">
        <x:v>2492</x:v>
      </x:c>
      <x:c r="M664" s="24" t="str">
        <x:v>-10 a +10</x:v>
      </x:c>
      <x:c r="N664" s="24" t="str">
        <x:v>até -6</x:v>
      </x:c>
      <x:c r="O664" s="24"/>
      <x:c r="P664" s="24" t="str">
        <x:v>75</x:v>
      </x:c>
      <x:c r="Q664" s="24"/>
      <x:c r="R664" s="24"/>
      <x:c r="S664" s="26" t="n">
        <x:v>46024</x:v>
      </x:c>
      <x:c r="T664" s="26"/>
      <x:c r="U664" s="24" t="str">
        <x:v>ATIVA/SEM FIM INFORMADO</x:v>
      </x:c>
      <x:c r="V664" s="24"/>
      <x:c r="W664" s="24" t="n">
        <x:v>17</x:v>
      </x:c>
      <x:c r="X664" s="24" t="str">
        <x:v>tabela_rodenstock.pdf</x:v>
      </x:c>
      <x:c r="Y664" s="24" t="str">
        <x:v>alta</x:v>
      </x:c>
      <x:c r="Z664" s="24"/>
      <x:c r="AA664" s="24" t="str">
        <x:v>Rodenstock|Monofocal B.I.G. NORM|Surfaçada|Impression Monofocais B.I.G. NORM||1.6|1.60|Solitaire Protect|-10 a +10|até -6||75|||17</x:v>
      </x:c>
    </x:row>
    <x:row r="665">
      <x:c r="A665" s="24" t="str">
        <x:v>RD-E5D6EFD44723</x:v>
      </x:c>
      <x:c r="B665" s="24" t="str">
        <x:v>SIM</x:v>
      </x:c>
      <x:c r="C665" s="24" t="str">
        <x:v>DISPONÍVEL</x:v>
      </x:c>
      <x:c r="D665" s="24" t="str">
        <x:v>Rodenstock</x:v>
      </x:c>
      <x:c r="E665" s="24" t="str">
        <x:v>Monofocal B.I.G. NORM</x:v>
      </x:c>
      <x:c r="F665" s="24" t="str">
        <x:v>Surfaçada</x:v>
      </x:c>
      <x:c r="G665" s="24" t="str">
        <x:v>Impression Monofocais B.I.G. NORM</x:v>
      </x:c>
      <x:c r="H665" s="24" t="str">
        <x:v>PRO410</x:v>
      </x:c>
      <x:c r="I665" s="24" t="str">
        <x:v>1.6</x:v>
      </x:c>
      <x:c r="J665" s="24" t="str">
        <x:v>1.60</x:v>
      </x:c>
      <x:c r="K665" s="24" t="str">
        <x:v>LayR X-tra Clean</x:v>
      </x:c>
      <x:c r="L665" s="40" t="n">
        <x:v>3070</x:v>
      </x:c>
      <x:c r="M665" s="24" t="str">
        <x:v>-10 a +10</x:v>
      </x:c>
      <x:c r="N665" s="24" t="str">
        <x:v>até -6</x:v>
      </x:c>
      <x:c r="O665" s="24"/>
      <x:c r="P665" s="24" t="str">
        <x:v>75</x:v>
      </x:c>
      <x:c r="Q665" s="24"/>
      <x:c r="R665" s="24"/>
      <x:c r="S665" s="26" t="n">
        <x:v>46024</x:v>
      </x:c>
      <x:c r="T665" s="26"/>
      <x:c r="U665" s="24" t="str">
        <x:v>ATIVA/SEM FIM INFORMADO</x:v>
      </x:c>
      <x:c r="V665" s="24"/>
      <x:c r="W665" s="24" t="n">
        <x:v>17</x:v>
      </x:c>
      <x:c r="X665" s="24" t="str">
        <x:v>tabela_rodenstock.pdf</x:v>
      </x:c>
      <x:c r="Y665" s="24" t="str">
        <x:v>alta</x:v>
      </x:c>
      <x:c r="Z665" s="24"/>
      <x:c r="AA665" s="24" t="str">
        <x:v>Rodenstock|Monofocal B.I.G. NORM|Surfaçada|Impression Monofocais B.I.G. NORM|PRO410|1.6|1.60|LayR X-tra Clean|-10 a +10|até -6||75|||17</x:v>
      </x:c>
    </x:row>
    <x:row r="666">
      <x:c r="A666" s="24" t="str">
        <x:v>RD-169FE5AA6D13</x:v>
      </x:c>
      <x:c r="B666" s="24" t="str">
        <x:v>SIM</x:v>
      </x:c>
      <x:c r="C666" s="24" t="str">
        <x:v>DISPONÍVEL</x:v>
      </x:c>
      <x:c r="D666" s="24" t="str">
        <x:v>Rodenstock</x:v>
      </x:c>
      <x:c r="E666" s="24" t="str">
        <x:v>Monofocal B.I.G. NORM</x:v>
      </x:c>
      <x:c r="F666" s="24" t="str">
        <x:v>Surfaçada</x:v>
      </x:c>
      <x:c r="G666" s="24" t="str">
        <x:v>Impression Monofocais B.I.G. NORM</x:v>
      </x:c>
      <x:c r="H666" s="24" t="str">
        <x:v>PRO410</x:v>
      </x:c>
      <x:c r="I666" s="24" t="str">
        <x:v>1.6</x:v>
      </x:c>
      <x:c r="J666" s="24" t="str">
        <x:v>1.60</x:v>
      </x:c>
      <x:c r="K666" s="24" t="str">
        <x:v>LayR Balance</x:v>
      </x:c>
      <x:c r="L666" s="40" t="n">
        <x:v>3070</x:v>
      </x:c>
      <x:c r="M666" s="24" t="str">
        <x:v>-10 a +10</x:v>
      </x:c>
      <x:c r="N666" s="24" t="str">
        <x:v>até -6</x:v>
      </x:c>
      <x:c r="O666" s="24"/>
      <x:c r="P666" s="24" t="str">
        <x:v>75</x:v>
      </x:c>
      <x:c r="Q666" s="24"/>
      <x:c r="R666" s="24"/>
      <x:c r="S666" s="26" t="n">
        <x:v>46024</x:v>
      </x:c>
      <x:c r="T666" s="26"/>
      <x:c r="U666" s="24" t="str">
        <x:v>ATIVA/SEM FIM INFORMADO</x:v>
      </x:c>
      <x:c r="V666" s="24"/>
      <x:c r="W666" s="24" t="n">
        <x:v>17</x:v>
      </x:c>
      <x:c r="X666" s="24" t="str">
        <x:v>tabela_rodenstock.pdf</x:v>
      </x:c>
      <x:c r="Y666" s="24" t="str">
        <x:v>alta</x:v>
      </x:c>
      <x:c r="Z666" s="24"/>
      <x:c r="AA666" s="24" t="str">
        <x:v>Rodenstock|Monofocal B.I.G. NORM|Surfaçada|Impression Monofocais B.I.G. NORM|PRO410|1.6|1.60|LayR Balance|-10 a +10|até -6||75|||17</x:v>
      </x:c>
    </x:row>
    <x:row r="667">
      <x:c r="A667" s="24" t="str">
        <x:v>RD-5955B83C6752</x:v>
      </x:c>
      <x:c r="B667" s="24" t="str">
        <x:v>SIM</x:v>
      </x:c>
      <x:c r="C667" s="24" t="str">
        <x:v>DISPONÍVEL</x:v>
      </x:c>
      <x:c r="D667" s="24" t="str">
        <x:v>Rodenstock</x:v>
      </x:c>
      <x:c r="E667" s="24" t="str">
        <x:v>Monofocal B.I.G. NORM</x:v>
      </x:c>
      <x:c r="F667" s="24" t="str">
        <x:v>Surfaçada</x:v>
      </x:c>
      <x:c r="G667" s="24" t="str">
        <x:v>Impression Monofocais B.I.G. NORM</x:v>
      </x:c>
      <x:c r="H667" s="24" t="str">
        <x:v>PRO410</x:v>
      </x:c>
      <x:c r="I667" s="24" t="str">
        <x:v>1.6</x:v>
      </x:c>
      <x:c r="J667" s="24" t="str">
        <x:v>1.60</x:v>
      </x:c>
      <x:c r="K667" s="24" t="str">
        <x:v>Solitaire X-tra Clean</x:v>
      </x:c>
      <x:c r="L667" s="40" t="n">
        <x:v>3000</x:v>
      </x:c>
      <x:c r="M667" s="24" t="str">
        <x:v>-10 a +10</x:v>
      </x:c>
      <x:c r="N667" s="24" t="str">
        <x:v>até -6</x:v>
      </x:c>
      <x:c r="O667" s="24"/>
      <x:c r="P667" s="24" t="str">
        <x:v>75</x:v>
      </x:c>
      <x:c r="Q667" s="24"/>
      <x:c r="R667" s="24"/>
      <x:c r="S667" s="26" t="n">
        <x:v>46024</x:v>
      </x:c>
      <x:c r="T667" s="26"/>
      <x:c r="U667" s="24" t="str">
        <x:v>ATIVA/SEM FIM INFORMADO</x:v>
      </x:c>
      <x:c r="V667" s="24"/>
      <x:c r="W667" s="24" t="n">
        <x:v>17</x:v>
      </x:c>
      <x:c r="X667" s="24" t="str">
        <x:v>tabela_rodenstock.pdf</x:v>
      </x:c>
      <x:c r="Y667" s="24" t="str">
        <x:v>alta</x:v>
      </x:c>
      <x:c r="Z667" s="24"/>
      <x:c r="AA667" s="24" t="str">
        <x:v>Rodenstock|Monofocal B.I.G. NORM|Surfaçada|Impression Monofocais B.I.G. NORM|PRO410|1.6|1.60|Solitaire X-tra Clean|-10 a +10|até -6||75|||17</x:v>
      </x:c>
    </x:row>
    <x:row r="668">
      <x:c r="A668" s="24" t="str">
        <x:v>RD-A6A33BA302D5</x:v>
      </x:c>
      <x:c r="B668" s="24" t="str">
        <x:v>SIM</x:v>
      </x:c>
      <x:c r="C668" s="24" t="str">
        <x:v>DISPONÍVEL</x:v>
      </x:c>
      <x:c r="D668" s="24" t="str">
        <x:v>Rodenstock</x:v>
      </x:c>
      <x:c r="E668" s="24" t="str">
        <x:v>Monofocal B.I.G. NORM</x:v>
      </x:c>
      <x:c r="F668" s="24" t="str">
        <x:v>Surfaçada</x:v>
      </x:c>
      <x:c r="G668" s="24" t="str">
        <x:v>Impression Monofocais B.I.G. NORM</x:v>
      </x:c>
      <x:c r="H668" s="24" t="str">
        <x:v>PRO410</x:v>
      </x:c>
      <x:c r="I668" s="24" t="str">
        <x:v>1.6</x:v>
      </x:c>
      <x:c r="J668" s="24" t="str">
        <x:v>1.60</x:v>
      </x:c>
      <x:c r="K668" s="24" t="str">
        <x:v>Solitaire Protect Plus</x:v>
      </x:c>
      <x:c r="L668" s="40" t="n">
        <x:v>2950</x:v>
      </x:c>
      <x:c r="M668" s="24" t="str">
        <x:v>-10 a +10</x:v>
      </x:c>
      <x:c r="N668" s="24" t="str">
        <x:v>até -6</x:v>
      </x:c>
      <x:c r="O668" s="24"/>
      <x:c r="P668" s="24" t="str">
        <x:v>75</x:v>
      </x:c>
      <x:c r="Q668" s="24"/>
      <x:c r="R668" s="24"/>
      <x:c r="S668" s="26" t="n">
        <x:v>46024</x:v>
      </x:c>
      <x:c r="T668" s="26"/>
      <x:c r="U668" s="24" t="str">
        <x:v>ATIVA/SEM FIM INFORMADO</x:v>
      </x:c>
      <x:c r="V668" s="24"/>
      <x:c r="W668" s="24" t="n">
        <x:v>17</x:v>
      </x:c>
      <x:c r="X668" s="24" t="str">
        <x:v>tabela_rodenstock.pdf</x:v>
      </x:c>
      <x:c r="Y668" s="24" t="str">
        <x:v>alta</x:v>
      </x:c>
      <x:c r="Z668" s="24"/>
      <x:c r="AA668" s="24" t="str">
        <x:v>Rodenstock|Monofocal B.I.G. NORM|Surfaçada|Impression Monofocais B.I.G. NORM|PRO410|1.6|1.60|Solitaire Protect Plus|-10 a +10|até -6||75|||17</x:v>
      </x:c>
    </x:row>
    <x:row r="669">
      <x:c r="A669" s="24" t="str">
        <x:v>RD-A0D05D8BD631</x:v>
      </x:c>
      <x:c r="B669" s="24" t="str">
        <x:v>SIM</x:v>
      </x:c>
      <x:c r="C669" s="24" t="str">
        <x:v>DISPONÍVEL</x:v>
      </x:c>
      <x:c r="D669" s="24" t="str">
        <x:v>Rodenstock</x:v>
      </x:c>
      <x:c r="E669" s="24" t="str">
        <x:v>Monofocal B.I.G. NORM</x:v>
      </x:c>
      <x:c r="F669" s="24" t="str">
        <x:v>Surfaçada</x:v>
      </x:c>
      <x:c r="G669" s="24" t="str">
        <x:v>Impression Monofocais B.I.G. NORM</x:v>
      </x:c>
      <x:c r="H669" s="24" t="str">
        <x:v>PRO410</x:v>
      </x:c>
      <x:c r="I669" s="24" t="str">
        <x:v>1.6</x:v>
      </x:c>
      <x:c r="J669" s="24" t="str">
        <x:v>1.60</x:v>
      </x:c>
      <x:c r="K669" s="24" t="str">
        <x:v>ROAD</x:v>
      </x:c>
      <x:c r="L669" s="40" t="n">
        <x:v>2950</x:v>
      </x:c>
      <x:c r="M669" s="24" t="str">
        <x:v>-10 a +10</x:v>
      </x:c>
      <x:c r="N669" s="24" t="str">
        <x:v>até -6</x:v>
      </x:c>
      <x:c r="O669" s="24"/>
      <x:c r="P669" s="24" t="str">
        <x:v>75</x:v>
      </x:c>
      <x:c r="Q669" s="24"/>
      <x:c r="R669" s="24"/>
      <x:c r="S669" s="26" t="n">
        <x:v>46024</x:v>
      </x:c>
      <x:c r="T669" s="26"/>
      <x:c r="U669" s="24" t="str">
        <x:v>ATIVA/SEM FIM INFORMADO</x:v>
      </x:c>
      <x:c r="V669" s="24"/>
      <x:c r="W669" s="24" t="n">
        <x:v>17</x:v>
      </x:c>
      <x:c r="X669" s="24" t="str">
        <x:v>tabela_rodenstock.pdf</x:v>
      </x:c>
      <x:c r="Y669" s="24" t="str">
        <x:v>alta</x:v>
      </x:c>
      <x:c r="Z669" s="24"/>
      <x:c r="AA669" s="24" t="str">
        <x:v>Rodenstock|Monofocal B.I.G. NORM|Surfaçada|Impression Monofocais B.I.G. NORM|PRO410|1.6|1.60|ROAD|-10 a +10|até -6||75|||17</x:v>
      </x:c>
    </x:row>
    <x:row r="670">
      <x:c r="A670" s="24" t="str">
        <x:v>RD-288C275CAF8D</x:v>
      </x:c>
      <x:c r="B670" s="24" t="str">
        <x:v>SIM</x:v>
      </x:c>
      <x:c r="C670" s="24" t="str">
        <x:v>DISPONÍVEL</x:v>
      </x:c>
      <x:c r="D670" s="24" t="str">
        <x:v>Rodenstock</x:v>
      </x:c>
      <x:c r="E670" s="24" t="str">
        <x:v>Monofocal B.I.G. NORM</x:v>
      </x:c>
      <x:c r="F670" s="24" t="str">
        <x:v>Surfaçada</x:v>
      </x:c>
      <x:c r="G670" s="24" t="str">
        <x:v>Impression Monofocais B.I.G. NORM</x:v>
      </x:c>
      <x:c r="H670" s="24" t="str">
        <x:v>PRO410</x:v>
      </x:c>
      <x:c r="I670" s="24" t="str">
        <x:v>1.6</x:v>
      </x:c>
      <x:c r="J670" s="24" t="str">
        <x:v>1.60</x:v>
      </x:c>
      <x:c r="K670" s="24" t="str">
        <x:v>Solitaire Protect</x:v>
      </x:c>
      <x:c r="L670" s="40" t="n">
        <x:v>2690</x:v>
      </x:c>
      <x:c r="M670" s="24" t="str">
        <x:v>-10 a +10</x:v>
      </x:c>
      <x:c r="N670" s="24" t="str">
        <x:v>até -6</x:v>
      </x:c>
      <x:c r="O670" s="24"/>
      <x:c r="P670" s="24" t="str">
        <x:v>75</x:v>
      </x:c>
      <x:c r="Q670" s="24"/>
      <x:c r="R670" s="24"/>
      <x:c r="S670" s="26" t="n">
        <x:v>46024</x:v>
      </x:c>
      <x:c r="T670" s="26"/>
      <x:c r="U670" s="24" t="str">
        <x:v>ATIVA/SEM FIM INFORMADO</x:v>
      </x:c>
      <x:c r="V670" s="24"/>
      <x:c r="W670" s="24" t="n">
        <x:v>17</x:v>
      </x:c>
      <x:c r="X670" s="24" t="str">
        <x:v>tabela_rodenstock.pdf</x:v>
      </x:c>
      <x:c r="Y670" s="24" t="str">
        <x:v>alta</x:v>
      </x:c>
      <x:c r="Z670" s="24"/>
      <x:c r="AA670" s="24" t="str">
        <x:v>Rodenstock|Monofocal B.I.G. NORM|Surfaçada|Impression Monofocais B.I.G. NORM|PRO410|1.6|1.60|Solitaire Protect|-10 a +10|até -6||75|||17</x:v>
      </x:c>
    </x:row>
    <x:row r="671">
      <x:c r="A671" s="24" t="str">
        <x:v>RD-D19294F810BF</x:v>
      </x:c>
      <x:c r="B671" s="24" t="str">
        <x:v>SIM</x:v>
      </x:c>
      <x:c r="C671" s="24" t="str">
        <x:v>DISPONÍVEL</x:v>
      </x:c>
      <x:c r="D671" s="24" t="str">
        <x:v>Rodenstock</x:v>
      </x:c>
      <x:c r="E671" s="24" t="str">
        <x:v>Monofocal B.I.G. NORM</x:v>
      </x:c>
      <x:c r="F671" s="24" t="str">
        <x:v>Surfaçada</x:v>
      </x:c>
      <x:c r="G671" s="24" t="str">
        <x:v>Impression Monofocais B.I.G. NORM</x:v>
      </x:c>
      <x:c r="H671" s="24" t="str">
        <x:v>ColorMatic® 3 | X</x:v>
      </x:c>
      <x:c r="I671" s="24" t="str">
        <x:v>1.6</x:v>
      </x:c>
      <x:c r="J671" s="24" t="str">
        <x:v>1.60</x:v>
      </x:c>
      <x:c r="K671" s="24" t="str">
        <x:v>LayR X-tra Clean</x:v>
      </x:c>
      <x:c r="L671" s="40" t="n">
        <x:v>4029</x:v>
      </x:c>
      <x:c r="M671" s="24" t="str">
        <x:v>-10 a +10</x:v>
      </x:c>
      <x:c r="N671" s="24" t="str">
        <x:v>até -6</x:v>
      </x:c>
      <x:c r="O671" s="24"/>
      <x:c r="P671" s="24" t="str">
        <x:v>75</x:v>
      </x:c>
      <x:c r="Q671" s="24"/>
      <x:c r="R671" s="24"/>
      <x:c r="S671" s="26" t="n">
        <x:v>46024</x:v>
      </x:c>
      <x:c r="T671" s="26"/>
      <x:c r="U671" s="24" t="str">
        <x:v>ATIVA/SEM FIM INFORMADO</x:v>
      </x:c>
      <x:c r="V671" s="24"/>
      <x:c r="W671" s="24" t="n">
        <x:v>17</x:v>
      </x:c>
      <x:c r="X671" s="24" t="str">
        <x:v>tabela_rodenstock.pdf</x:v>
      </x:c>
      <x:c r="Y671" s="24" t="str">
        <x:v>alta</x:v>
      </x:c>
      <x:c r="Z671" s="24"/>
      <x:c r="AA671" s="24" t="str">
        <x:v>Rodenstock|Monofocal B.I.G. NORM|Surfaçada|Impression Monofocais B.I.G. NORM|ColorMatic® 3 | X|1.6|1.60|LayR X-tra Clean|-10 a +10|até -6||75|||17</x:v>
      </x:c>
    </x:row>
    <x:row r="672">
      <x:c r="A672" s="24" t="str">
        <x:v>RD-C34188F8E823</x:v>
      </x:c>
      <x:c r="B672" s="24" t="str">
        <x:v>SIM</x:v>
      </x:c>
      <x:c r="C672" s="24" t="str">
        <x:v>DISPONÍVEL</x:v>
      </x:c>
      <x:c r="D672" s="24" t="str">
        <x:v>Rodenstock</x:v>
      </x:c>
      <x:c r="E672" s="24" t="str">
        <x:v>Monofocal B.I.G. NORM</x:v>
      </x:c>
      <x:c r="F672" s="24" t="str">
        <x:v>Surfaçada</x:v>
      </x:c>
      <x:c r="G672" s="24" t="str">
        <x:v>Impression Monofocais B.I.G. NORM</x:v>
      </x:c>
      <x:c r="H672" s="24" t="str">
        <x:v>ColorMatic® 3 | X</x:v>
      </x:c>
      <x:c r="I672" s="24" t="str">
        <x:v>1.6</x:v>
      </x:c>
      <x:c r="J672" s="24" t="str">
        <x:v>1.60</x:v>
      </x:c>
      <x:c r="K672" s="24" t="str">
        <x:v>LayR Balance</x:v>
      </x:c>
      <x:c r="L672" s="40" t="n">
        <x:v>4029</x:v>
      </x:c>
      <x:c r="M672" s="24" t="str">
        <x:v>-10 a +10</x:v>
      </x:c>
      <x:c r="N672" s="24" t="str">
        <x:v>até -6</x:v>
      </x:c>
      <x:c r="O672" s="24"/>
      <x:c r="P672" s="24" t="str">
        <x:v>75</x:v>
      </x:c>
      <x:c r="Q672" s="24"/>
      <x:c r="R672" s="24"/>
      <x:c r="S672" s="26" t="n">
        <x:v>46024</x:v>
      </x:c>
      <x:c r="T672" s="26"/>
      <x:c r="U672" s="24" t="str">
        <x:v>ATIVA/SEM FIM INFORMADO</x:v>
      </x:c>
      <x:c r="V672" s="24"/>
      <x:c r="W672" s="24" t="n">
        <x:v>17</x:v>
      </x:c>
      <x:c r="X672" s="24" t="str">
        <x:v>tabela_rodenstock.pdf</x:v>
      </x:c>
      <x:c r="Y672" s="24" t="str">
        <x:v>alta</x:v>
      </x:c>
      <x:c r="Z672" s="24"/>
      <x:c r="AA672" s="24" t="str">
        <x:v>Rodenstock|Monofocal B.I.G. NORM|Surfaçada|Impression Monofocais B.I.G. NORM|ColorMatic® 3 | X|1.6|1.60|LayR Balance|-10 a +10|até -6||75|||17</x:v>
      </x:c>
    </x:row>
    <x:row r="673">
      <x:c r="A673" s="24" t="str">
        <x:v>RD-F892E7E6D8F9</x:v>
      </x:c>
      <x:c r="B673" s="24" t="str">
        <x:v>SIM</x:v>
      </x:c>
      <x:c r="C673" s="24" t="str">
        <x:v>DISPONÍVEL</x:v>
      </x:c>
      <x:c r="D673" s="24" t="str">
        <x:v>Rodenstock</x:v>
      </x:c>
      <x:c r="E673" s="24" t="str">
        <x:v>Monofocal B.I.G. NORM</x:v>
      </x:c>
      <x:c r="F673" s="24" t="str">
        <x:v>Surfaçada</x:v>
      </x:c>
      <x:c r="G673" s="24" t="str">
        <x:v>Impression Monofocais B.I.G. NORM</x:v>
      </x:c>
      <x:c r="H673" s="24" t="str">
        <x:v>ColorMatic® 3 | X</x:v>
      </x:c>
      <x:c r="I673" s="24" t="str">
        <x:v>1.6</x:v>
      </x:c>
      <x:c r="J673" s="24" t="str">
        <x:v>1.60</x:v>
      </x:c>
      <x:c r="K673" s="24" t="str">
        <x:v>Solitaire X-tra Clean</x:v>
      </x:c>
      <x:c r="L673" s="40" t="n">
        <x:v>3959</x:v>
      </x:c>
      <x:c r="M673" s="24" t="str">
        <x:v>-10 a +10</x:v>
      </x:c>
      <x:c r="N673" s="24" t="str">
        <x:v>até -6</x:v>
      </x:c>
      <x:c r="O673" s="24"/>
      <x:c r="P673" s="24" t="str">
        <x:v>75</x:v>
      </x:c>
      <x:c r="Q673" s="24"/>
      <x:c r="R673" s="24"/>
      <x:c r="S673" s="26" t="n">
        <x:v>46024</x:v>
      </x:c>
      <x:c r="T673" s="26"/>
      <x:c r="U673" s="24" t="str">
        <x:v>ATIVA/SEM FIM INFORMADO</x:v>
      </x:c>
      <x:c r="V673" s="24"/>
      <x:c r="W673" s="24" t="n">
        <x:v>17</x:v>
      </x:c>
      <x:c r="X673" s="24" t="str">
        <x:v>tabela_rodenstock.pdf</x:v>
      </x:c>
      <x:c r="Y673" s="24" t="str">
        <x:v>alta</x:v>
      </x:c>
      <x:c r="Z673" s="24"/>
      <x:c r="AA673" s="24" t="str">
        <x:v>Rodenstock|Monofocal B.I.G. NORM|Surfaçada|Impression Monofocais B.I.G. NORM|ColorMatic® 3 | X|1.6|1.60|Solitaire X-tra Clean|-10 a +10|até -6||75|||17</x:v>
      </x:c>
    </x:row>
    <x:row r="674">
      <x:c r="A674" s="24" t="str">
        <x:v>RD-671B3DE8CCCA</x:v>
      </x:c>
      <x:c r="B674" s="24" t="str">
        <x:v>SIM</x:v>
      </x:c>
      <x:c r="C674" s="24" t="str">
        <x:v>DISPONÍVEL</x:v>
      </x:c>
      <x:c r="D674" s="24" t="str">
        <x:v>Rodenstock</x:v>
      </x:c>
      <x:c r="E674" s="24" t="str">
        <x:v>Monofocal B.I.G. NORM</x:v>
      </x:c>
      <x:c r="F674" s="24" t="str">
        <x:v>Surfaçada</x:v>
      </x:c>
      <x:c r="G674" s="24" t="str">
        <x:v>Impression Monofocais B.I.G. NORM</x:v>
      </x:c>
      <x:c r="H674" s="24" t="str">
        <x:v>ColorMatic® 3 | X</x:v>
      </x:c>
      <x:c r="I674" s="24" t="str">
        <x:v>1.6</x:v>
      </x:c>
      <x:c r="J674" s="24" t="str">
        <x:v>1.60</x:v>
      </x:c>
      <x:c r="K674" s="24" t="str">
        <x:v>Solitaire Protect Plus</x:v>
      </x:c>
      <x:c r="L674" s="40" t="n">
        <x:v>3909</x:v>
      </x:c>
      <x:c r="M674" s="24" t="str">
        <x:v>-10 a +10</x:v>
      </x:c>
      <x:c r="N674" s="24" t="str">
        <x:v>até -6</x:v>
      </x:c>
      <x:c r="O674" s="24"/>
      <x:c r="P674" s="24" t="str">
        <x:v>75</x:v>
      </x:c>
      <x:c r="Q674" s="24"/>
      <x:c r="R674" s="24"/>
      <x:c r="S674" s="26" t="n">
        <x:v>46024</x:v>
      </x:c>
      <x:c r="T674" s="26"/>
      <x:c r="U674" s="24" t="str">
        <x:v>ATIVA/SEM FIM INFORMADO</x:v>
      </x:c>
      <x:c r="V674" s="24"/>
      <x:c r="W674" s="24" t="n">
        <x:v>17</x:v>
      </x:c>
      <x:c r="X674" s="24" t="str">
        <x:v>tabela_rodenstock.pdf</x:v>
      </x:c>
      <x:c r="Y674" s="24" t="str">
        <x:v>alta</x:v>
      </x:c>
      <x:c r="Z674" s="24"/>
      <x:c r="AA674" s="24" t="str">
        <x:v>Rodenstock|Monofocal B.I.G. NORM|Surfaçada|Impression Monofocais B.I.G. NORM|ColorMatic® 3 | X|1.6|1.60|Solitaire Protect Plus|-10 a +10|até -6||75|||17</x:v>
      </x:c>
    </x:row>
    <x:row r="675">
      <x:c r="A675" s="24" t="str">
        <x:v>RD-7CC02BDA7B92</x:v>
      </x:c>
      <x:c r="B675" s="24" t="str">
        <x:v>SIM</x:v>
      </x:c>
      <x:c r="C675" s="24" t="str">
        <x:v>DISPONÍVEL</x:v>
      </x:c>
      <x:c r="D675" s="24" t="str">
        <x:v>Rodenstock</x:v>
      </x:c>
      <x:c r="E675" s="24" t="str">
        <x:v>Monofocal B.I.G. NORM</x:v>
      </x:c>
      <x:c r="F675" s="24" t="str">
        <x:v>Surfaçada</x:v>
      </x:c>
      <x:c r="G675" s="24" t="str">
        <x:v>Impression Monofocais B.I.G. NORM</x:v>
      </x:c>
      <x:c r="H675" s="24" t="str">
        <x:v>ColorMatic® 3 | X</x:v>
      </x:c>
      <x:c r="I675" s="24" t="str">
        <x:v>1.6</x:v>
      </x:c>
      <x:c r="J675" s="24" t="str">
        <x:v>1.60</x:v>
      </x:c>
      <x:c r="K675" s="24" t="str">
        <x:v>ROAD</x:v>
      </x:c>
      <x:c r="L675" s="40" t="n">
        <x:v>3909</x:v>
      </x:c>
      <x:c r="M675" s="24" t="str">
        <x:v>-10 a +10</x:v>
      </x:c>
      <x:c r="N675" s="24" t="str">
        <x:v>até -6</x:v>
      </x:c>
      <x:c r="O675" s="24"/>
      <x:c r="P675" s="24" t="str">
        <x:v>75</x:v>
      </x:c>
      <x:c r="Q675" s="24"/>
      <x:c r="R675" s="24"/>
      <x:c r="S675" s="26" t="n">
        <x:v>46024</x:v>
      </x:c>
      <x:c r="T675" s="26"/>
      <x:c r="U675" s="24" t="str">
        <x:v>ATIVA/SEM FIM INFORMADO</x:v>
      </x:c>
      <x:c r="V675" s="24"/>
      <x:c r="W675" s="24" t="n">
        <x:v>17</x:v>
      </x:c>
      <x:c r="X675" s="24" t="str">
        <x:v>tabela_rodenstock.pdf</x:v>
      </x:c>
      <x:c r="Y675" s="24" t="str">
        <x:v>alta</x:v>
      </x:c>
      <x:c r="Z675" s="24"/>
      <x:c r="AA675" s="24" t="str">
        <x:v>Rodenstock|Monofocal B.I.G. NORM|Surfaçada|Impression Monofocais B.I.G. NORM|ColorMatic® 3 | X|1.6|1.60|ROAD|-10 a +10|até -6||75|||17</x:v>
      </x:c>
    </x:row>
    <x:row r="676">
      <x:c r="A676" s="24" t="str">
        <x:v>RD-BAD79667FC5C</x:v>
      </x:c>
      <x:c r="B676" s="24" t="str">
        <x:v>SIM</x:v>
      </x:c>
      <x:c r="C676" s="24" t="str">
        <x:v>DISPONÍVEL</x:v>
      </x:c>
      <x:c r="D676" s="24" t="str">
        <x:v>Rodenstock</x:v>
      </x:c>
      <x:c r="E676" s="24" t="str">
        <x:v>Monofocal B.I.G. NORM</x:v>
      </x:c>
      <x:c r="F676" s="24" t="str">
        <x:v>Surfaçada</x:v>
      </x:c>
      <x:c r="G676" s="24" t="str">
        <x:v>Impression Monofocais B.I.G. NORM</x:v>
      </x:c>
      <x:c r="H676" s="24" t="str">
        <x:v>ColorMatic® 3 | X</x:v>
      </x:c>
      <x:c r="I676" s="24" t="str">
        <x:v>1.6</x:v>
      </x:c>
      <x:c r="J676" s="24" t="str">
        <x:v>1.60</x:v>
      </x:c>
      <x:c r="K676" s="24" t="str">
        <x:v>Solitaire Protect</x:v>
      </x:c>
      <x:c r="L676" s="40" t="n">
        <x:v>3649</x:v>
      </x:c>
      <x:c r="M676" s="24" t="str">
        <x:v>-10 a +10</x:v>
      </x:c>
      <x:c r="N676" s="24" t="str">
        <x:v>até -6</x:v>
      </x:c>
      <x:c r="O676" s="24"/>
      <x:c r="P676" s="24" t="str">
        <x:v>75</x:v>
      </x:c>
      <x:c r="Q676" s="24"/>
      <x:c r="R676" s="24"/>
      <x:c r="S676" s="26" t="n">
        <x:v>46024</x:v>
      </x:c>
      <x:c r="T676" s="26"/>
      <x:c r="U676" s="24" t="str">
        <x:v>ATIVA/SEM FIM INFORMADO</x:v>
      </x:c>
      <x:c r="V676" s="24"/>
      <x:c r="W676" s="24" t="n">
        <x:v>17</x:v>
      </x:c>
      <x:c r="X676" s="24" t="str">
        <x:v>tabela_rodenstock.pdf</x:v>
      </x:c>
      <x:c r="Y676" s="24" t="str">
        <x:v>alta</x:v>
      </x:c>
      <x:c r="Z676" s="24"/>
      <x:c r="AA676" s="24" t="str">
        <x:v>Rodenstock|Monofocal B.I.G. NORM|Surfaçada|Impression Monofocais B.I.G. NORM|ColorMatic® 3 | X|1.6|1.60|Solitaire Protect|-10 a +10|até -6||75|||17</x:v>
      </x:c>
    </x:row>
    <x:row r="677">
      <x:c r="A677" s="24" t="str">
        <x:v>RD-7DD765F1913C</x:v>
      </x:c>
      <x:c r="B677" s="24" t="str">
        <x:v>SIM</x:v>
      </x:c>
      <x:c r="C677" s="24" t="str">
        <x:v>DISPONÍVEL</x:v>
      </x:c>
      <x:c r="D677" s="24" t="str">
        <x:v>Rodenstock</x:v>
      </x:c>
      <x:c r="E677" s="24" t="str">
        <x:v>Monofocal B.I.G. NORM</x:v>
      </x:c>
      <x:c r="F677" s="24" t="str">
        <x:v>Surfaçada</x:v>
      </x:c>
      <x:c r="G677" s="24" t="str">
        <x:v>Impression Monofocais B.I.G. NORM</x:v>
      </x:c>
      <x:c r="H677" s="24"/>
      <x:c r="I677" s="24" t="str">
        <x:v>1.67</x:v>
      </x:c>
      <x:c r="J677" s="24" t="str">
        <x:v>1.67</x:v>
      </x:c>
      <x:c r="K677" s="24" t="str">
        <x:v>LayR X-tra Clean</x:v>
      </x:c>
      <x:c r="L677" s="40" t="n">
        <x:v>4088</x:v>
      </x:c>
      <x:c r="M677" s="24" t="str">
        <x:v>-12 a +10</x:v>
      </x:c>
      <x:c r="N677" s="24" t="str">
        <x:v>até -6</x:v>
      </x:c>
      <x:c r="O677" s="24"/>
      <x:c r="P677" s="24" t="str">
        <x:v>75</x:v>
      </x:c>
      <x:c r="Q677" s="24"/>
      <x:c r="R677" s="24"/>
      <x:c r="S677" s="26" t="n">
        <x:v>46024</x:v>
      </x:c>
      <x:c r="T677" s="26"/>
      <x:c r="U677" s="24" t="str">
        <x:v>ATIVA/SEM FIM INFORMADO</x:v>
      </x:c>
      <x:c r="V677" s="24"/>
      <x:c r="W677" s="24" t="n">
        <x:v>17</x:v>
      </x:c>
      <x:c r="X677" s="24" t="str">
        <x:v>tabela_rodenstock.pdf</x:v>
      </x:c>
      <x:c r="Y677" s="24" t="str">
        <x:v>alta</x:v>
      </x:c>
      <x:c r="Z677" s="24"/>
      <x:c r="AA677" s="24" t="str">
        <x:v>Rodenstock|Monofocal B.I.G. NORM|Surfaçada|Impression Monofocais B.I.G. NORM||1.67|1.67|LayR X-tra Clean|-12 a +10|até -6||75|||17</x:v>
      </x:c>
    </x:row>
    <x:row r="678">
      <x:c r="A678" s="24" t="str">
        <x:v>RD-8550613E505B</x:v>
      </x:c>
      <x:c r="B678" s="24" t="str">
        <x:v>SIM</x:v>
      </x:c>
      <x:c r="C678" s="24" t="str">
        <x:v>DISPONÍVEL</x:v>
      </x:c>
      <x:c r="D678" s="24" t="str">
        <x:v>Rodenstock</x:v>
      </x:c>
      <x:c r="E678" s="24" t="str">
        <x:v>Monofocal B.I.G. NORM</x:v>
      </x:c>
      <x:c r="F678" s="24" t="str">
        <x:v>Surfaçada</x:v>
      </x:c>
      <x:c r="G678" s="24" t="str">
        <x:v>Impression Monofocais B.I.G. NORM</x:v>
      </x:c>
      <x:c r="H678" s="24"/>
      <x:c r="I678" s="24" t="str">
        <x:v>1.67</x:v>
      </x:c>
      <x:c r="J678" s="24" t="str">
        <x:v>1.67</x:v>
      </x:c>
      <x:c r="K678" s="24" t="str">
        <x:v>LayR Balance</x:v>
      </x:c>
      <x:c r="L678" s="40" t="n">
        <x:v>4088</x:v>
      </x:c>
      <x:c r="M678" s="24" t="str">
        <x:v>-12 a +10</x:v>
      </x:c>
      <x:c r="N678" s="24" t="str">
        <x:v>até -6</x:v>
      </x:c>
      <x:c r="O678" s="24"/>
      <x:c r="P678" s="24" t="str">
        <x:v>75</x:v>
      </x:c>
      <x:c r="Q678" s="24"/>
      <x:c r="R678" s="24"/>
      <x:c r="S678" s="26" t="n">
        <x:v>46024</x:v>
      </x:c>
      <x:c r="T678" s="26"/>
      <x:c r="U678" s="24" t="str">
        <x:v>ATIVA/SEM FIM INFORMADO</x:v>
      </x:c>
      <x:c r="V678" s="24"/>
      <x:c r="W678" s="24" t="n">
        <x:v>17</x:v>
      </x:c>
      <x:c r="X678" s="24" t="str">
        <x:v>tabela_rodenstock.pdf</x:v>
      </x:c>
      <x:c r="Y678" s="24" t="str">
        <x:v>alta</x:v>
      </x:c>
      <x:c r="Z678" s="24"/>
      <x:c r="AA678" s="24" t="str">
        <x:v>Rodenstock|Monofocal B.I.G. NORM|Surfaçada|Impression Monofocais B.I.G. NORM||1.67|1.67|LayR Balance|-12 a +10|até -6||75|||17</x:v>
      </x:c>
    </x:row>
    <x:row r="679">
      <x:c r="A679" s="24" t="str">
        <x:v>RD-B9533044612C</x:v>
      </x:c>
      <x:c r="B679" s="24" t="str">
        <x:v>SIM</x:v>
      </x:c>
      <x:c r="C679" s="24" t="str">
        <x:v>DISPONÍVEL</x:v>
      </x:c>
      <x:c r="D679" s="24" t="str">
        <x:v>Rodenstock</x:v>
      </x:c>
      <x:c r="E679" s="24" t="str">
        <x:v>Monofocal B.I.G. NORM</x:v>
      </x:c>
      <x:c r="F679" s="24" t="str">
        <x:v>Surfaçada</x:v>
      </x:c>
      <x:c r="G679" s="24" t="str">
        <x:v>Impression Monofocais B.I.G. NORM</x:v>
      </x:c>
      <x:c r="H679" s="24"/>
      <x:c r="I679" s="24" t="str">
        <x:v>1.67</x:v>
      </x:c>
      <x:c r="J679" s="24" t="str">
        <x:v>1.67</x:v>
      </x:c>
      <x:c r="K679" s="24" t="str">
        <x:v>Solitaire X-tra Clean</x:v>
      </x:c>
      <x:c r="L679" s="40" t="n">
        <x:v>4018</x:v>
      </x:c>
      <x:c r="M679" s="24" t="str">
        <x:v>-12 a +10</x:v>
      </x:c>
      <x:c r="N679" s="24" t="str">
        <x:v>até -6</x:v>
      </x:c>
      <x:c r="O679" s="24"/>
      <x:c r="P679" s="24" t="str">
        <x:v>75</x:v>
      </x:c>
      <x:c r="Q679" s="24"/>
      <x:c r="R679" s="24"/>
      <x:c r="S679" s="26" t="n">
        <x:v>46024</x:v>
      </x:c>
      <x:c r="T679" s="26"/>
      <x:c r="U679" s="24" t="str">
        <x:v>ATIVA/SEM FIM INFORMADO</x:v>
      </x:c>
      <x:c r="V679" s="24"/>
      <x:c r="W679" s="24" t="n">
        <x:v>17</x:v>
      </x:c>
      <x:c r="X679" s="24" t="str">
        <x:v>tabela_rodenstock.pdf</x:v>
      </x:c>
      <x:c r="Y679" s="24" t="str">
        <x:v>alta</x:v>
      </x:c>
      <x:c r="Z679" s="24"/>
      <x:c r="AA679" s="24" t="str">
        <x:v>Rodenstock|Monofocal B.I.G. NORM|Surfaçada|Impression Monofocais B.I.G. NORM||1.67|1.67|Solitaire X-tra Clean|-12 a +10|até -6||75|||17</x:v>
      </x:c>
    </x:row>
    <x:row r="680">
      <x:c r="A680" s="24" t="str">
        <x:v>RD-28AF136BAE43</x:v>
      </x:c>
      <x:c r="B680" s="24" t="str">
        <x:v>SIM</x:v>
      </x:c>
      <x:c r="C680" s="24" t="str">
        <x:v>DISPONÍVEL</x:v>
      </x:c>
      <x:c r="D680" s="24" t="str">
        <x:v>Rodenstock</x:v>
      </x:c>
      <x:c r="E680" s="24" t="str">
        <x:v>Monofocal B.I.G. NORM</x:v>
      </x:c>
      <x:c r="F680" s="24" t="str">
        <x:v>Surfaçada</x:v>
      </x:c>
      <x:c r="G680" s="24" t="str">
        <x:v>Impression Monofocais B.I.G. NORM</x:v>
      </x:c>
      <x:c r="H680" s="24"/>
      <x:c r="I680" s="24" t="str">
        <x:v>1.67</x:v>
      </x:c>
      <x:c r="J680" s="24" t="str">
        <x:v>1.67</x:v>
      </x:c>
      <x:c r="K680" s="24" t="str">
        <x:v>Solitaire Protect Plus</x:v>
      </x:c>
      <x:c r="L680" s="40" t="n">
        <x:v>3968</x:v>
      </x:c>
      <x:c r="M680" s="24" t="str">
        <x:v>-12 a +10</x:v>
      </x:c>
      <x:c r="N680" s="24" t="str">
        <x:v>até -6</x:v>
      </x:c>
      <x:c r="O680" s="24"/>
      <x:c r="P680" s="24" t="str">
        <x:v>75</x:v>
      </x:c>
      <x:c r="Q680" s="24"/>
      <x:c r="R680" s="24"/>
      <x:c r="S680" s="26" t="n">
        <x:v>46024</x:v>
      </x:c>
      <x:c r="T680" s="26"/>
      <x:c r="U680" s="24" t="str">
        <x:v>ATIVA/SEM FIM INFORMADO</x:v>
      </x:c>
      <x:c r="V680" s="24"/>
      <x:c r="W680" s="24" t="n">
        <x:v>17</x:v>
      </x:c>
      <x:c r="X680" s="24" t="str">
        <x:v>tabela_rodenstock.pdf</x:v>
      </x:c>
      <x:c r="Y680" s="24" t="str">
        <x:v>alta</x:v>
      </x:c>
      <x:c r="Z680" s="24"/>
      <x:c r="AA680" s="24" t="str">
        <x:v>Rodenstock|Monofocal B.I.G. NORM|Surfaçada|Impression Monofocais B.I.G. NORM||1.67|1.67|Solitaire Protect Plus|-12 a +10|até -6||75|||17</x:v>
      </x:c>
    </x:row>
    <x:row r="681">
      <x:c r="A681" s="24" t="str">
        <x:v>RD-D8E91CE6F3D9</x:v>
      </x:c>
      <x:c r="B681" s="24" t="str">
        <x:v>SIM</x:v>
      </x:c>
      <x:c r="C681" s="24" t="str">
        <x:v>DISPONÍVEL</x:v>
      </x:c>
      <x:c r="D681" s="24" t="str">
        <x:v>Rodenstock</x:v>
      </x:c>
      <x:c r="E681" s="24" t="str">
        <x:v>Monofocal B.I.G. NORM</x:v>
      </x:c>
      <x:c r="F681" s="24" t="str">
        <x:v>Surfaçada</x:v>
      </x:c>
      <x:c r="G681" s="24" t="str">
        <x:v>Impression Monofocais B.I.G. NORM</x:v>
      </x:c>
      <x:c r="H681" s="24"/>
      <x:c r="I681" s="24" t="str">
        <x:v>1.67</x:v>
      </x:c>
      <x:c r="J681" s="24" t="str">
        <x:v>1.67</x:v>
      </x:c>
      <x:c r="K681" s="24" t="str">
        <x:v>ROAD</x:v>
      </x:c>
      <x:c r="L681" s="40" t="n">
        <x:v>3968</x:v>
      </x:c>
      <x:c r="M681" s="24" t="str">
        <x:v>-12 a +10</x:v>
      </x:c>
      <x:c r="N681" s="24" t="str">
        <x:v>até -6</x:v>
      </x:c>
      <x:c r="O681" s="24"/>
      <x:c r="P681" s="24" t="str">
        <x:v>75</x:v>
      </x:c>
      <x:c r="Q681" s="24"/>
      <x:c r="R681" s="24"/>
      <x:c r="S681" s="26" t="n">
        <x:v>46024</x:v>
      </x:c>
      <x:c r="T681" s="26"/>
      <x:c r="U681" s="24" t="str">
        <x:v>ATIVA/SEM FIM INFORMADO</x:v>
      </x:c>
      <x:c r="V681" s="24"/>
      <x:c r="W681" s="24" t="n">
        <x:v>17</x:v>
      </x:c>
      <x:c r="X681" s="24" t="str">
        <x:v>tabela_rodenstock.pdf</x:v>
      </x:c>
      <x:c r="Y681" s="24" t="str">
        <x:v>alta</x:v>
      </x:c>
      <x:c r="Z681" s="24"/>
      <x:c r="AA681" s="24" t="str">
        <x:v>Rodenstock|Monofocal B.I.G. NORM|Surfaçada|Impression Monofocais B.I.G. NORM||1.67|1.67|ROAD|-12 a +10|até -6||75|||17</x:v>
      </x:c>
    </x:row>
    <x:row r="682">
      <x:c r="A682" s="24" t="str">
        <x:v>RD-EBDF6217868E</x:v>
      </x:c>
      <x:c r="B682" s="24" t="str">
        <x:v>SIM</x:v>
      </x:c>
      <x:c r="C682" s="24" t="str">
        <x:v>DISPONÍVEL</x:v>
      </x:c>
      <x:c r="D682" s="24" t="str">
        <x:v>Rodenstock</x:v>
      </x:c>
      <x:c r="E682" s="24" t="str">
        <x:v>Monofocal B.I.G. NORM</x:v>
      </x:c>
      <x:c r="F682" s="24" t="str">
        <x:v>Surfaçada</x:v>
      </x:c>
      <x:c r="G682" s="24" t="str">
        <x:v>Impression Monofocais B.I.G. NORM</x:v>
      </x:c>
      <x:c r="H682" s="24"/>
      <x:c r="I682" s="24" t="str">
        <x:v>1.67</x:v>
      </x:c>
      <x:c r="J682" s="24" t="str">
        <x:v>1.67</x:v>
      </x:c>
      <x:c r="K682" s="24" t="str">
        <x:v>Solitaire Protect</x:v>
      </x:c>
      <x:c r="L682" s="40" t="n">
        <x:v>3708</x:v>
      </x:c>
      <x:c r="M682" s="24" t="str">
        <x:v>-12 a +10</x:v>
      </x:c>
      <x:c r="N682" s="24" t="str">
        <x:v>até -6</x:v>
      </x:c>
      <x:c r="O682" s="24"/>
      <x:c r="P682" s="24" t="str">
        <x:v>75</x:v>
      </x:c>
      <x:c r="Q682" s="24"/>
      <x:c r="R682" s="24"/>
      <x:c r="S682" s="26" t="n">
        <x:v>46024</x:v>
      </x:c>
      <x:c r="T682" s="26"/>
      <x:c r="U682" s="24" t="str">
        <x:v>ATIVA/SEM FIM INFORMADO</x:v>
      </x:c>
      <x:c r="V682" s="24"/>
      <x:c r="W682" s="24" t="n">
        <x:v>17</x:v>
      </x:c>
      <x:c r="X682" s="24" t="str">
        <x:v>tabela_rodenstock.pdf</x:v>
      </x:c>
      <x:c r="Y682" s="24" t="str">
        <x:v>alta</x:v>
      </x:c>
      <x:c r="Z682" s="24"/>
      <x:c r="AA682" s="24" t="str">
        <x:v>Rodenstock|Monofocal B.I.G. NORM|Surfaçada|Impression Monofocais B.I.G. NORM||1.67|1.67|Solitaire Protect|-12 a +10|até -6||75|||17</x:v>
      </x:c>
    </x:row>
    <x:row r="683">
      <x:c r="A683" s="24" t="str">
        <x:v>RD-E168E0A325AF</x:v>
      </x:c>
      <x:c r="B683" s="24" t="str">
        <x:v>SIM</x:v>
      </x:c>
      <x:c r="C683" s="24" t="str">
        <x:v>DISPONÍVEL</x:v>
      </x:c>
      <x:c r="D683" s="24" t="str">
        <x:v>Rodenstock</x:v>
      </x:c>
      <x:c r="E683" s="24" t="str">
        <x:v>Monofocal B.I.G. NORM</x:v>
      </x:c>
      <x:c r="F683" s="24" t="str">
        <x:v>Surfaçada</x:v>
      </x:c>
      <x:c r="G683" s="24" t="str">
        <x:v>Impression Monofocais B.I.G. NORM</x:v>
      </x:c>
      <x:c r="H683" s="24" t="str">
        <x:v>ColorMatic® 3</x:v>
      </x:c>
      <x:c r="I683" s="24" t="str">
        <x:v>1.67</x:v>
      </x:c>
      <x:c r="J683" s="24" t="str">
        <x:v>1.67</x:v>
      </x:c>
      <x:c r="K683" s="24" t="str">
        <x:v>LayR X-tra Clean</x:v>
      </x:c>
      <x:c r="L683" s="40" t="n">
        <x:v>5187</x:v>
      </x:c>
      <x:c r="M683" s="24" t="str">
        <x:v>-12 a +10</x:v>
      </x:c>
      <x:c r="N683" s="24" t="str">
        <x:v>até -6</x:v>
      </x:c>
      <x:c r="O683" s="24"/>
      <x:c r="P683" s="24" t="str">
        <x:v>75</x:v>
      </x:c>
      <x:c r="Q683" s="24"/>
      <x:c r="R683" s="24"/>
      <x:c r="S683" s="26" t="n">
        <x:v>46024</x:v>
      </x:c>
      <x:c r="T683" s="26"/>
      <x:c r="U683" s="24" t="str">
        <x:v>ATIVA/SEM FIM INFORMADO</x:v>
      </x:c>
      <x:c r="V683" s="24"/>
      <x:c r="W683" s="24" t="n">
        <x:v>17</x:v>
      </x:c>
      <x:c r="X683" s="24" t="str">
        <x:v>tabela_rodenstock.pdf</x:v>
      </x:c>
      <x:c r="Y683" s="24" t="str">
        <x:v>alta</x:v>
      </x:c>
      <x:c r="Z683" s="24"/>
      <x:c r="AA683" s="24" t="str">
        <x:v>Rodenstock|Monofocal B.I.G. NORM|Surfaçada|Impression Monofocais B.I.G. NORM|ColorMatic® 3|1.67|1.67|LayR X-tra Clean|-12 a +10|até -6||75|||17</x:v>
      </x:c>
    </x:row>
    <x:row r="684">
      <x:c r="A684" s="24" t="str">
        <x:v>RD-2014AEF3B631</x:v>
      </x:c>
      <x:c r="B684" s="24" t="str">
        <x:v>SIM</x:v>
      </x:c>
      <x:c r="C684" s="24" t="str">
        <x:v>DISPONÍVEL</x:v>
      </x:c>
      <x:c r="D684" s="24" t="str">
        <x:v>Rodenstock</x:v>
      </x:c>
      <x:c r="E684" s="24" t="str">
        <x:v>Monofocal B.I.G. NORM</x:v>
      </x:c>
      <x:c r="F684" s="24" t="str">
        <x:v>Surfaçada</x:v>
      </x:c>
      <x:c r="G684" s="24" t="str">
        <x:v>Impression Monofocais B.I.G. NORM</x:v>
      </x:c>
      <x:c r="H684" s="24" t="str">
        <x:v>ColorMatic® 3</x:v>
      </x:c>
      <x:c r="I684" s="24" t="str">
        <x:v>1.67</x:v>
      </x:c>
      <x:c r="J684" s="24" t="str">
        <x:v>1.67</x:v>
      </x:c>
      <x:c r="K684" s="24" t="str">
        <x:v>LayR Balance</x:v>
      </x:c>
      <x:c r="L684" s="40" t="n">
        <x:v>5187</x:v>
      </x:c>
      <x:c r="M684" s="24" t="str">
        <x:v>-12 a +10</x:v>
      </x:c>
      <x:c r="N684" s="24" t="str">
        <x:v>até -6</x:v>
      </x:c>
      <x:c r="O684" s="24"/>
      <x:c r="P684" s="24" t="str">
        <x:v>75</x:v>
      </x:c>
      <x:c r="Q684" s="24"/>
      <x:c r="R684" s="24"/>
      <x:c r="S684" s="26" t="n">
        <x:v>46024</x:v>
      </x:c>
      <x:c r="T684" s="26"/>
      <x:c r="U684" s="24" t="str">
        <x:v>ATIVA/SEM FIM INFORMADO</x:v>
      </x:c>
      <x:c r="V684" s="24"/>
      <x:c r="W684" s="24" t="n">
        <x:v>17</x:v>
      </x:c>
      <x:c r="X684" s="24" t="str">
        <x:v>tabela_rodenstock.pdf</x:v>
      </x:c>
      <x:c r="Y684" s="24" t="str">
        <x:v>alta</x:v>
      </x:c>
      <x:c r="Z684" s="24"/>
      <x:c r="AA684" s="24" t="str">
        <x:v>Rodenstock|Monofocal B.I.G. NORM|Surfaçada|Impression Monofocais B.I.G. NORM|ColorMatic® 3|1.67|1.67|LayR Balance|-12 a +10|até -6||75|||17</x:v>
      </x:c>
    </x:row>
    <x:row r="685">
      <x:c r="A685" s="24" t="str">
        <x:v>RD-6A1F50CF29B7</x:v>
      </x:c>
      <x:c r="B685" s="24" t="str">
        <x:v>SIM</x:v>
      </x:c>
      <x:c r="C685" s="24" t="str">
        <x:v>DISPONÍVEL</x:v>
      </x:c>
      <x:c r="D685" s="24" t="str">
        <x:v>Rodenstock</x:v>
      </x:c>
      <x:c r="E685" s="24" t="str">
        <x:v>Monofocal B.I.G. NORM</x:v>
      </x:c>
      <x:c r="F685" s="24" t="str">
        <x:v>Surfaçada</x:v>
      </x:c>
      <x:c r="G685" s="24" t="str">
        <x:v>Impression Monofocais B.I.G. NORM</x:v>
      </x:c>
      <x:c r="H685" s="24" t="str">
        <x:v>ColorMatic® 3</x:v>
      </x:c>
      <x:c r="I685" s="24" t="str">
        <x:v>1.67</x:v>
      </x:c>
      <x:c r="J685" s="24" t="str">
        <x:v>1.67</x:v>
      </x:c>
      <x:c r="K685" s="24" t="str">
        <x:v>Solitaire X-tra Clean</x:v>
      </x:c>
      <x:c r="L685" s="40" t="n">
        <x:v>5117</x:v>
      </x:c>
      <x:c r="M685" s="24" t="str">
        <x:v>-12 a +10</x:v>
      </x:c>
      <x:c r="N685" s="24" t="str">
        <x:v>até -6</x:v>
      </x:c>
      <x:c r="O685" s="24"/>
      <x:c r="P685" s="24" t="str">
        <x:v>75</x:v>
      </x:c>
      <x:c r="Q685" s="24"/>
      <x:c r="R685" s="24"/>
      <x:c r="S685" s="26" t="n">
        <x:v>46024</x:v>
      </x:c>
      <x:c r="T685" s="26"/>
      <x:c r="U685" s="24" t="str">
        <x:v>ATIVA/SEM FIM INFORMADO</x:v>
      </x:c>
      <x:c r="V685" s="24"/>
      <x:c r="W685" s="24" t="n">
        <x:v>17</x:v>
      </x:c>
      <x:c r="X685" s="24" t="str">
        <x:v>tabela_rodenstock.pdf</x:v>
      </x:c>
      <x:c r="Y685" s="24" t="str">
        <x:v>alta</x:v>
      </x:c>
      <x:c r="Z685" s="24"/>
      <x:c r="AA685" s="24" t="str">
        <x:v>Rodenstock|Monofocal B.I.G. NORM|Surfaçada|Impression Monofocais B.I.G. NORM|ColorMatic® 3|1.67|1.67|Solitaire X-tra Clean|-12 a +10|até -6||75|||17</x:v>
      </x:c>
    </x:row>
    <x:row r="686">
      <x:c r="A686" s="24" t="str">
        <x:v>RD-62165FD19E8D</x:v>
      </x:c>
      <x:c r="B686" s="24" t="str">
        <x:v>SIM</x:v>
      </x:c>
      <x:c r="C686" s="24" t="str">
        <x:v>DISPONÍVEL</x:v>
      </x:c>
      <x:c r="D686" s="24" t="str">
        <x:v>Rodenstock</x:v>
      </x:c>
      <x:c r="E686" s="24" t="str">
        <x:v>Monofocal B.I.G. NORM</x:v>
      </x:c>
      <x:c r="F686" s="24" t="str">
        <x:v>Surfaçada</x:v>
      </x:c>
      <x:c r="G686" s="24" t="str">
        <x:v>Impression Monofocais B.I.G. NORM</x:v>
      </x:c>
      <x:c r="H686" s="24" t="str">
        <x:v>ColorMatic® 3</x:v>
      </x:c>
      <x:c r="I686" s="24" t="str">
        <x:v>1.67</x:v>
      </x:c>
      <x:c r="J686" s="24" t="str">
        <x:v>1.67</x:v>
      </x:c>
      <x:c r="K686" s="24" t="str">
        <x:v>Solitaire Protect Plus</x:v>
      </x:c>
      <x:c r="L686" s="40" t="n">
        <x:v>5067</x:v>
      </x:c>
      <x:c r="M686" s="24" t="str">
        <x:v>-12 a +10</x:v>
      </x:c>
      <x:c r="N686" s="24" t="str">
        <x:v>até -6</x:v>
      </x:c>
      <x:c r="O686" s="24"/>
      <x:c r="P686" s="24" t="str">
        <x:v>75</x:v>
      </x:c>
      <x:c r="Q686" s="24"/>
      <x:c r="R686" s="24"/>
      <x:c r="S686" s="26" t="n">
        <x:v>46024</x:v>
      </x:c>
      <x:c r="T686" s="26"/>
      <x:c r="U686" s="24" t="str">
        <x:v>ATIVA/SEM FIM INFORMADO</x:v>
      </x:c>
      <x:c r="V686" s="24"/>
      <x:c r="W686" s="24" t="n">
        <x:v>17</x:v>
      </x:c>
      <x:c r="X686" s="24" t="str">
        <x:v>tabela_rodenstock.pdf</x:v>
      </x:c>
      <x:c r="Y686" s="24" t="str">
        <x:v>alta</x:v>
      </x:c>
      <x:c r="Z686" s="24"/>
      <x:c r="AA686" s="24" t="str">
        <x:v>Rodenstock|Monofocal B.I.G. NORM|Surfaçada|Impression Monofocais B.I.G. NORM|ColorMatic® 3|1.67|1.67|Solitaire Protect Plus|-12 a +10|até -6||75|||17</x:v>
      </x:c>
    </x:row>
    <x:row r="687">
      <x:c r="A687" s="24" t="str">
        <x:v>RD-A0FE5382A630</x:v>
      </x:c>
      <x:c r="B687" s="24" t="str">
        <x:v>SIM</x:v>
      </x:c>
      <x:c r="C687" s="24" t="str">
        <x:v>DISPONÍVEL</x:v>
      </x:c>
      <x:c r="D687" s="24" t="str">
        <x:v>Rodenstock</x:v>
      </x:c>
      <x:c r="E687" s="24" t="str">
        <x:v>Monofocal B.I.G. NORM</x:v>
      </x:c>
      <x:c r="F687" s="24" t="str">
        <x:v>Surfaçada</x:v>
      </x:c>
      <x:c r="G687" s="24" t="str">
        <x:v>Impression Monofocais B.I.G. NORM</x:v>
      </x:c>
      <x:c r="H687" s="24" t="str">
        <x:v>ColorMatic® 3</x:v>
      </x:c>
      <x:c r="I687" s="24" t="str">
        <x:v>1.67</x:v>
      </x:c>
      <x:c r="J687" s="24" t="str">
        <x:v>1.67</x:v>
      </x:c>
      <x:c r="K687" s="24" t="str">
        <x:v>ROAD</x:v>
      </x:c>
      <x:c r="L687" s="40" t="n">
        <x:v>5067</x:v>
      </x:c>
      <x:c r="M687" s="24" t="str">
        <x:v>-12 a +10</x:v>
      </x:c>
      <x:c r="N687" s="24" t="str">
        <x:v>até -6</x:v>
      </x:c>
      <x:c r="O687" s="24"/>
      <x:c r="P687" s="24" t="str">
        <x:v>75</x:v>
      </x:c>
      <x:c r="Q687" s="24"/>
      <x:c r="R687" s="24"/>
      <x:c r="S687" s="26" t="n">
        <x:v>46024</x:v>
      </x:c>
      <x:c r="T687" s="26"/>
      <x:c r="U687" s="24" t="str">
        <x:v>ATIVA/SEM FIM INFORMADO</x:v>
      </x:c>
      <x:c r="V687" s="24"/>
      <x:c r="W687" s="24" t="n">
        <x:v>17</x:v>
      </x:c>
      <x:c r="X687" s="24" t="str">
        <x:v>tabela_rodenstock.pdf</x:v>
      </x:c>
      <x:c r="Y687" s="24" t="str">
        <x:v>alta</x:v>
      </x:c>
      <x:c r="Z687" s="24"/>
      <x:c r="AA687" s="24" t="str">
        <x:v>Rodenstock|Monofocal B.I.G. NORM|Surfaçada|Impression Monofocais B.I.G. NORM|ColorMatic® 3|1.67|1.67|ROAD|-12 a +10|até -6||75|||17</x:v>
      </x:c>
    </x:row>
    <x:row r="688">
      <x:c r="A688" s="24" t="str">
        <x:v>RD-9B749DAC55C8</x:v>
      </x:c>
      <x:c r="B688" s="24" t="str">
        <x:v>SIM</x:v>
      </x:c>
      <x:c r="C688" s="24" t="str">
        <x:v>DISPONÍVEL</x:v>
      </x:c>
      <x:c r="D688" s="24" t="str">
        <x:v>Rodenstock</x:v>
      </x:c>
      <x:c r="E688" s="24" t="str">
        <x:v>Monofocal B.I.G. NORM</x:v>
      </x:c>
      <x:c r="F688" s="24" t="str">
        <x:v>Surfaçada</x:v>
      </x:c>
      <x:c r="G688" s="24" t="str">
        <x:v>Impression Monofocais B.I.G. NORM</x:v>
      </x:c>
      <x:c r="H688" s="24" t="str">
        <x:v>ColorMatic® 3</x:v>
      </x:c>
      <x:c r="I688" s="24" t="str">
        <x:v>1.67</x:v>
      </x:c>
      <x:c r="J688" s="24" t="str">
        <x:v>1.67</x:v>
      </x:c>
      <x:c r="K688" s="24" t="str">
        <x:v>Solitaire Protect</x:v>
      </x:c>
      <x:c r="L688" s="40" t="n">
        <x:v>4807</x:v>
      </x:c>
      <x:c r="M688" s="24" t="str">
        <x:v>-12 a +10</x:v>
      </x:c>
      <x:c r="N688" s="24" t="str">
        <x:v>até -6</x:v>
      </x:c>
      <x:c r="O688" s="24"/>
      <x:c r="P688" s="24" t="str">
        <x:v>75</x:v>
      </x:c>
      <x:c r="Q688" s="24"/>
      <x:c r="R688" s="24"/>
      <x:c r="S688" s="26" t="n">
        <x:v>46024</x:v>
      </x:c>
      <x:c r="T688" s="26"/>
      <x:c r="U688" s="24" t="str">
        <x:v>ATIVA/SEM FIM INFORMADO</x:v>
      </x:c>
      <x:c r="V688" s="24"/>
      <x:c r="W688" s="24" t="n">
        <x:v>17</x:v>
      </x:c>
      <x:c r="X688" s="24" t="str">
        <x:v>tabela_rodenstock.pdf</x:v>
      </x:c>
      <x:c r="Y688" s="24" t="str">
        <x:v>alta</x:v>
      </x:c>
      <x:c r="Z688" s="24"/>
      <x:c r="AA688" s="24" t="str">
        <x:v>Rodenstock|Monofocal B.I.G. NORM|Surfaçada|Impression Monofocais B.I.G. NORM|ColorMatic® 3|1.67|1.67|Solitaire Protect|-12 a +10|até -6||75|||17</x:v>
      </x:c>
    </x:row>
    <x:row r="689">
      <x:c r="A689" s="24" t="str">
        <x:v>RD-79A33D8A1764</x:v>
      </x:c>
      <x:c r="B689" s="24" t="str">
        <x:v>SIM</x:v>
      </x:c>
      <x:c r="C689" s="24" t="str">
        <x:v>DISPONÍVEL</x:v>
      </x:c>
      <x:c r="D689" s="24" t="str">
        <x:v>Rodenstock</x:v>
      </x:c>
      <x:c r="E689" s="24" t="str">
        <x:v>Monofocal B.I.G. NORM</x:v>
      </x:c>
      <x:c r="F689" s="24" t="str">
        <x:v>Surfaçada</x:v>
      </x:c>
      <x:c r="G689" s="24" t="str">
        <x:v>Impression Monofocais B.I.G. NORM</x:v>
      </x:c>
      <x:c r="H689" s="24"/>
      <x:c r="I689" s="24" t="str">
        <x:v>1.74</x:v>
      </x:c>
      <x:c r="J689" s="24" t="str">
        <x:v>1.74</x:v>
      </x:c>
      <x:c r="K689" s="24" t="str">
        <x:v>LayR X-tra Clean</x:v>
      </x:c>
      <x:c r="L689" s="40" t="n">
        <x:v>5981</x:v>
      </x:c>
      <x:c r="M689" s="24" t="str">
        <x:v>-18 a +13</x:v>
      </x:c>
      <x:c r="N689" s="24" t="str">
        <x:v>até -6</x:v>
      </x:c>
      <x:c r="O689" s="24"/>
      <x:c r="P689" s="24" t="str">
        <x:v>75</x:v>
      </x:c>
      <x:c r="Q689" s="24"/>
      <x:c r="R689" s="24"/>
      <x:c r="S689" s="26" t="n">
        <x:v>46024</x:v>
      </x:c>
      <x:c r="T689" s="26"/>
      <x:c r="U689" s="24" t="str">
        <x:v>ATIVA/SEM FIM INFORMADO</x:v>
      </x:c>
      <x:c r="V689" s="24"/>
      <x:c r="W689" s="24" t="n">
        <x:v>17</x:v>
      </x:c>
      <x:c r="X689" s="24" t="str">
        <x:v>tabela_rodenstock.pdf</x:v>
      </x:c>
      <x:c r="Y689" s="24" t="str">
        <x:v>alta</x:v>
      </x:c>
      <x:c r="Z689" s="24"/>
      <x:c r="AA689" s="24" t="str">
        <x:v>Rodenstock|Monofocal B.I.G. NORM|Surfaçada|Impression Monofocais B.I.G. NORM||1.74|1.74|LayR X-tra Clean|-18 a +13|até -6||75|||17</x:v>
      </x:c>
    </x:row>
    <x:row r="690">
      <x:c r="A690" s="24" t="str">
        <x:v>RD-1C377E84CE82</x:v>
      </x:c>
      <x:c r="B690" s="24" t="str">
        <x:v>SIM</x:v>
      </x:c>
      <x:c r="C690" s="24" t="str">
        <x:v>DISPONÍVEL</x:v>
      </x:c>
      <x:c r="D690" s="24" t="str">
        <x:v>Rodenstock</x:v>
      </x:c>
      <x:c r="E690" s="24" t="str">
        <x:v>Monofocal B.I.G. NORM</x:v>
      </x:c>
      <x:c r="F690" s="24" t="str">
        <x:v>Surfaçada</x:v>
      </x:c>
      <x:c r="G690" s="24" t="str">
        <x:v>Impression Monofocais B.I.G. NORM</x:v>
      </x:c>
      <x:c r="H690" s="24"/>
      <x:c r="I690" s="24" t="str">
        <x:v>1.74</x:v>
      </x:c>
      <x:c r="J690" s="24" t="str">
        <x:v>1.74</x:v>
      </x:c>
      <x:c r="K690" s="24" t="str">
        <x:v>LayR Balance</x:v>
      </x:c>
      <x:c r="L690" s="40" t="n">
        <x:v>5981</x:v>
      </x:c>
      <x:c r="M690" s="24" t="str">
        <x:v>-18 a +13</x:v>
      </x:c>
      <x:c r="N690" s="24" t="str">
        <x:v>até -6</x:v>
      </x:c>
      <x:c r="O690" s="24"/>
      <x:c r="P690" s="24" t="str">
        <x:v>75</x:v>
      </x:c>
      <x:c r="Q690" s="24"/>
      <x:c r="R690" s="24"/>
      <x:c r="S690" s="26" t="n">
        <x:v>46024</x:v>
      </x:c>
      <x:c r="T690" s="26"/>
      <x:c r="U690" s="24" t="str">
        <x:v>ATIVA/SEM FIM INFORMADO</x:v>
      </x:c>
      <x:c r="V690" s="24"/>
      <x:c r="W690" s="24" t="n">
        <x:v>17</x:v>
      </x:c>
      <x:c r="X690" s="24" t="str">
        <x:v>tabela_rodenstock.pdf</x:v>
      </x:c>
      <x:c r="Y690" s="24" t="str">
        <x:v>alta</x:v>
      </x:c>
      <x:c r="Z690" s="24"/>
      <x:c r="AA690" s="24" t="str">
        <x:v>Rodenstock|Monofocal B.I.G. NORM|Surfaçada|Impression Monofocais B.I.G. NORM||1.74|1.74|LayR Balance|-18 a +13|até -6||75|||17</x:v>
      </x:c>
    </x:row>
    <x:row r="691">
      <x:c r="A691" s="24" t="str">
        <x:v>RD-FE8B575989F6</x:v>
      </x:c>
      <x:c r="B691" s="24" t="str">
        <x:v>SIM</x:v>
      </x:c>
      <x:c r="C691" s="24" t="str">
        <x:v>DISPONÍVEL</x:v>
      </x:c>
      <x:c r="D691" s="24" t="str">
        <x:v>Rodenstock</x:v>
      </x:c>
      <x:c r="E691" s="24" t="str">
        <x:v>Monofocal B.I.G. NORM</x:v>
      </x:c>
      <x:c r="F691" s="24" t="str">
        <x:v>Surfaçada</x:v>
      </x:c>
      <x:c r="G691" s="24" t="str">
        <x:v>Impression Monofocais B.I.G. NORM</x:v>
      </x:c>
      <x:c r="H691" s="24"/>
      <x:c r="I691" s="24" t="str">
        <x:v>1.74</x:v>
      </x:c>
      <x:c r="J691" s="24" t="str">
        <x:v>1.74</x:v>
      </x:c>
      <x:c r="K691" s="24" t="str">
        <x:v>Solitaire X-tra Clean</x:v>
      </x:c>
      <x:c r="L691" s="40" t="n">
        <x:v>5911</x:v>
      </x:c>
      <x:c r="M691" s="24" t="str">
        <x:v>-18 a +13</x:v>
      </x:c>
      <x:c r="N691" s="24" t="str">
        <x:v>até -6</x:v>
      </x:c>
      <x:c r="O691" s="24"/>
      <x:c r="P691" s="24" t="str">
        <x:v>75</x:v>
      </x:c>
      <x:c r="Q691" s="24"/>
      <x:c r="R691" s="24"/>
      <x:c r="S691" s="26" t="n">
        <x:v>46024</x:v>
      </x:c>
      <x:c r="T691" s="26"/>
      <x:c r="U691" s="24" t="str">
        <x:v>ATIVA/SEM FIM INFORMADO</x:v>
      </x:c>
      <x:c r="V691" s="24"/>
      <x:c r="W691" s="24" t="n">
        <x:v>17</x:v>
      </x:c>
      <x:c r="X691" s="24" t="str">
        <x:v>tabela_rodenstock.pdf</x:v>
      </x:c>
      <x:c r="Y691" s="24" t="str">
        <x:v>alta</x:v>
      </x:c>
      <x:c r="Z691" s="24"/>
      <x:c r="AA691" s="24" t="str">
        <x:v>Rodenstock|Monofocal B.I.G. NORM|Surfaçada|Impression Monofocais B.I.G. NORM||1.74|1.74|Solitaire X-tra Clean|-18 a +13|até -6||75|||17</x:v>
      </x:c>
    </x:row>
    <x:row r="692">
      <x:c r="A692" s="24" t="str">
        <x:v>RD-6D9642E0FB8C</x:v>
      </x:c>
      <x:c r="B692" s="24" t="str">
        <x:v>SIM</x:v>
      </x:c>
      <x:c r="C692" s="24" t="str">
        <x:v>DISPONÍVEL</x:v>
      </x:c>
      <x:c r="D692" s="24" t="str">
        <x:v>Rodenstock</x:v>
      </x:c>
      <x:c r="E692" s="24" t="str">
        <x:v>Monofocal B.I.G. NORM</x:v>
      </x:c>
      <x:c r="F692" s="24" t="str">
        <x:v>Surfaçada</x:v>
      </x:c>
      <x:c r="G692" s="24" t="str">
        <x:v>Impression Monofocais B.I.G. NORM</x:v>
      </x:c>
      <x:c r="H692" s="24"/>
      <x:c r="I692" s="24" t="str">
        <x:v>1.74</x:v>
      </x:c>
      <x:c r="J692" s="24" t="str">
        <x:v>1.74</x:v>
      </x:c>
      <x:c r="K692" s="24" t="str">
        <x:v>Solitaire Protect Plus</x:v>
      </x:c>
      <x:c r="L692" s="40" t="n">
        <x:v>5861</x:v>
      </x:c>
      <x:c r="M692" s="24" t="str">
        <x:v>-18 a +13</x:v>
      </x:c>
      <x:c r="N692" s="24" t="str">
        <x:v>até -6</x:v>
      </x:c>
      <x:c r="O692" s="24"/>
      <x:c r="P692" s="24" t="str">
        <x:v>75</x:v>
      </x:c>
      <x:c r="Q692" s="24"/>
      <x:c r="R692" s="24"/>
      <x:c r="S692" s="26" t="n">
        <x:v>46024</x:v>
      </x:c>
      <x:c r="T692" s="26"/>
      <x:c r="U692" s="24" t="str">
        <x:v>ATIVA/SEM FIM INFORMADO</x:v>
      </x:c>
      <x:c r="V692" s="24"/>
      <x:c r="W692" s="24" t="n">
        <x:v>17</x:v>
      </x:c>
      <x:c r="X692" s="24" t="str">
        <x:v>tabela_rodenstock.pdf</x:v>
      </x:c>
      <x:c r="Y692" s="24" t="str">
        <x:v>alta</x:v>
      </x:c>
      <x:c r="Z692" s="24"/>
      <x:c r="AA692" s="24" t="str">
        <x:v>Rodenstock|Monofocal B.I.G. NORM|Surfaçada|Impression Monofocais B.I.G. NORM||1.74|1.74|Solitaire Protect Plus|-18 a +13|até -6||75|||17</x:v>
      </x:c>
    </x:row>
    <x:row r="693">
      <x:c r="A693" s="24" t="str">
        <x:v>RD-BE4932E11633</x:v>
      </x:c>
      <x:c r="B693" s="24" t="str">
        <x:v>SIM</x:v>
      </x:c>
      <x:c r="C693" s="24" t="str">
        <x:v>DISPONÍVEL</x:v>
      </x:c>
      <x:c r="D693" s="24" t="str">
        <x:v>Rodenstock</x:v>
      </x:c>
      <x:c r="E693" s="24" t="str">
        <x:v>Monofocal B.I.G. NORM</x:v>
      </x:c>
      <x:c r="F693" s="24" t="str">
        <x:v>Surfaçada</x:v>
      </x:c>
      <x:c r="G693" s="24" t="str">
        <x:v>Impression Monofocais B.I.G. NORM</x:v>
      </x:c>
      <x:c r="H693" s="24"/>
      <x:c r="I693" s="24" t="str">
        <x:v>1.74</x:v>
      </x:c>
      <x:c r="J693" s="24" t="str">
        <x:v>1.74</x:v>
      </x:c>
      <x:c r="K693" s="24" t="str">
        <x:v>Solitaire Protect</x:v>
      </x:c>
      <x:c r="L693" s="40" t="n">
        <x:v>5601</x:v>
      </x:c>
      <x:c r="M693" s="24" t="str">
        <x:v>-18 a +13</x:v>
      </x:c>
      <x:c r="N693" s="24" t="str">
        <x:v>até -6</x:v>
      </x:c>
      <x:c r="O693" s="24"/>
      <x:c r="P693" s="24" t="str">
        <x:v>75</x:v>
      </x:c>
      <x:c r="Q693" s="24"/>
      <x:c r="R693" s="24"/>
      <x:c r="S693" s="26" t="n">
        <x:v>46024</x:v>
      </x:c>
      <x:c r="T693" s="26"/>
      <x:c r="U693" s="24" t="str">
        <x:v>ATIVA/SEM FIM INFORMADO</x:v>
      </x:c>
      <x:c r="V693" s="24"/>
      <x:c r="W693" s="24" t="n">
        <x:v>17</x:v>
      </x:c>
      <x:c r="X693" s="24" t="str">
        <x:v>tabela_rodenstock.pdf</x:v>
      </x:c>
      <x:c r="Y693" s="24" t="str">
        <x:v>alta</x:v>
      </x:c>
      <x:c r="Z693" s="24"/>
      <x:c r="AA693" s="24" t="str">
        <x:v>Rodenstock|Monofocal B.I.G. NORM|Surfaçada|Impression Monofocais B.I.G. NORM||1.74|1.74|Solitaire Protect|-18 a +13|até -6||75|||17</x:v>
      </x:c>
    </x:row>
    <x:row r="694">
      <x:c r="A694" s="24" t="str">
        <x:v>RD-6A781C18CE7A</x:v>
      </x:c>
      <x:c r="B694" s="24" t="str">
        <x:v>SIM</x:v>
      </x:c>
      <x:c r="C694" s="24" t="str">
        <x:v>DISPONÍVEL</x:v>
      </x:c>
      <x:c r="D694" s="24" t="str">
        <x:v>Rodenstock</x:v>
      </x:c>
      <x:c r="E694" s="24" t="str">
        <x:v>Monofocal B.I.G. NORM</x:v>
      </x:c>
      <x:c r="F694" s="24" t="str">
        <x:v>Surfaçada</x:v>
      </x:c>
      <x:c r="G694" s="24" t="str">
        <x:v>Multigressiv Monofocais B.I.G. NORM</x:v>
      </x:c>
      <x:c r="H694" s="24"/>
      <x:c r="I694" s="24" t="str">
        <x:v>1.5</x:v>
      </x:c>
      <x:c r="J694" s="24" t="str">
        <x:v>1.50</x:v>
      </x:c>
      <x:c r="K694" s="24" t="str">
        <x:v>LayR X-tra Clean</x:v>
      </x:c>
      <x:c r="L694" s="40" t="n">
        <x:v>2084</x:v>
      </x:c>
      <x:c r="M694" s="24" t="str">
        <x:v>-8 a +8</x:v>
      </x:c>
      <x:c r="N694" s="24" t="str">
        <x:v>até -6</x:v>
      </x:c>
      <x:c r="O694" s="24"/>
      <x:c r="P694" s="24" t="str">
        <x:v>75</x:v>
      </x:c>
      <x:c r="Q694" s="24"/>
      <x:c r="R694" s="24"/>
      <x:c r="S694" s="26" t="n">
        <x:v>46024</x:v>
      </x:c>
      <x:c r="T694" s="26"/>
      <x:c r="U694" s="24" t="str">
        <x:v>ATIVA/SEM FIM INFORMADO</x:v>
      </x:c>
      <x:c r="V694" s="24"/>
      <x:c r="W694" s="24" t="n">
        <x:v>17</x:v>
      </x:c>
      <x:c r="X694" s="24" t="str">
        <x:v>tabela_rodenstock.pdf</x:v>
      </x:c>
      <x:c r="Y694" s="24" t="str">
        <x:v>alta</x:v>
      </x:c>
      <x:c r="Z694" s="24"/>
      <x:c r="AA694" s="24" t="str">
        <x:v>Rodenstock|Monofocal B.I.G. NORM|Surfaçada|Multigressiv Monofocais B.I.G. NORM||1.5|1.50|LayR X-tra Clean|-8 a +8|até -6||75|||17</x:v>
      </x:c>
    </x:row>
    <x:row r="695">
      <x:c r="A695" s="24" t="str">
        <x:v>RD-16566951FF0B</x:v>
      </x:c>
      <x:c r="B695" s="24" t="str">
        <x:v>SIM</x:v>
      </x:c>
      <x:c r="C695" s="24" t="str">
        <x:v>DISPONÍVEL</x:v>
      </x:c>
      <x:c r="D695" s="24" t="str">
        <x:v>Rodenstock</x:v>
      </x:c>
      <x:c r="E695" s="24" t="str">
        <x:v>Monofocal B.I.G. NORM</x:v>
      </x:c>
      <x:c r="F695" s="24" t="str">
        <x:v>Surfaçada</x:v>
      </x:c>
      <x:c r="G695" s="24" t="str">
        <x:v>Multigressiv Monofocais B.I.G. NORM</x:v>
      </x:c>
      <x:c r="H695" s="24"/>
      <x:c r="I695" s="24" t="str">
        <x:v>1.5</x:v>
      </x:c>
      <x:c r="J695" s="24" t="str">
        <x:v>1.50</x:v>
      </x:c>
      <x:c r="K695" s="24" t="str">
        <x:v>LayR Balance</x:v>
      </x:c>
      <x:c r="L695" s="40" t="n">
        <x:v>2084</x:v>
      </x:c>
      <x:c r="M695" s="24" t="str">
        <x:v>-8 a +8</x:v>
      </x:c>
      <x:c r="N695" s="24" t="str">
        <x:v>até -6</x:v>
      </x:c>
      <x:c r="O695" s="24"/>
      <x:c r="P695" s="24" t="str">
        <x:v>75</x:v>
      </x:c>
      <x:c r="Q695" s="24"/>
      <x:c r="R695" s="24"/>
      <x:c r="S695" s="26" t="n">
        <x:v>46024</x:v>
      </x:c>
      <x:c r="T695" s="26"/>
      <x:c r="U695" s="24" t="str">
        <x:v>ATIVA/SEM FIM INFORMADO</x:v>
      </x:c>
      <x:c r="V695" s="24"/>
      <x:c r="W695" s="24" t="n">
        <x:v>17</x:v>
      </x:c>
      <x:c r="X695" s="24" t="str">
        <x:v>tabela_rodenstock.pdf</x:v>
      </x:c>
      <x:c r="Y695" s="24" t="str">
        <x:v>alta</x:v>
      </x:c>
      <x:c r="Z695" s="24"/>
      <x:c r="AA695" s="24" t="str">
        <x:v>Rodenstock|Monofocal B.I.G. NORM|Surfaçada|Multigressiv Monofocais B.I.G. NORM||1.5|1.50|LayR Balance|-8 a +8|até -6||75|||17</x:v>
      </x:c>
    </x:row>
    <x:row r="696">
      <x:c r="A696" s="24" t="str">
        <x:v>RD-70687ABBEA10</x:v>
      </x:c>
      <x:c r="B696" s="24" t="str">
        <x:v>SIM</x:v>
      </x:c>
      <x:c r="C696" s="24" t="str">
        <x:v>DISPONÍVEL</x:v>
      </x:c>
      <x:c r="D696" s="24" t="str">
        <x:v>Rodenstock</x:v>
      </x:c>
      <x:c r="E696" s="24" t="str">
        <x:v>Monofocal B.I.G. NORM</x:v>
      </x:c>
      <x:c r="F696" s="24" t="str">
        <x:v>Surfaçada</x:v>
      </x:c>
      <x:c r="G696" s="24" t="str">
        <x:v>Multigressiv Monofocais B.I.G. NORM</x:v>
      </x:c>
      <x:c r="H696" s="24"/>
      <x:c r="I696" s="24" t="str">
        <x:v>1.5</x:v>
      </x:c>
      <x:c r="J696" s="24" t="str">
        <x:v>1.50</x:v>
      </x:c>
      <x:c r="K696" s="24" t="str">
        <x:v>Solitaire X-tra Clean</x:v>
      </x:c>
      <x:c r="L696" s="40" t="n">
        <x:v>2014</x:v>
      </x:c>
      <x:c r="M696" s="24" t="str">
        <x:v>-8 a +8</x:v>
      </x:c>
      <x:c r="N696" s="24" t="str">
        <x:v>até -6</x:v>
      </x:c>
      <x:c r="O696" s="24"/>
      <x:c r="P696" s="24" t="str">
        <x:v>75</x:v>
      </x:c>
      <x:c r="Q696" s="24"/>
      <x:c r="R696" s="24"/>
      <x:c r="S696" s="26" t="n">
        <x:v>46024</x:v>
      </x:c>
      <x:c r="T696" s="26"/>
      <x:c r="U696" s="24" t="str">
        <x:v>ATIVA/SEM FIM INFORMADO</x:v>
      </x:c>
      <x:c r="V696" s="24"/>
      <x:c r="W696" s="24" t="n">
        <x:v>17</x:v>
      </x:c>
      <x:c r="X696" s="24" t="str">
        <x:v>tabela_rodenstock.pdf</x:v>
      </x:c>
      <x:c r="Y696" s="24" t="str">
        <x:v>alta</x:v>
      </x:c>
      <x:c r="Z696" s="24"/>
      <x:c r="AA696" s="24" t="str">
        <x:v>Rodenstock|Monofocal B.I.G. NORM|Surfaçada|Multigressiv Monofocais B.I.G. NORM||1.5|1.50|Solitaire X-tra Clean|-8 a +8|até -6||75|||17</x:v>
      </x:c>
    </x:row>
    <x:row r="697">
      <x:c r="A697" s="24" t="str">
        <x:v>RD-6BAE8EC62EBD</x:v>
      </x:c>
      <x:c r="B697" s="24" t="str">
        <x:v>SIM</x:v>
      </x:c>
      <x:c r="C697" s="24" t="str">
        <x:v>DISPONÍVEL</x:v>
      </x:c>
      <x:c r="D697" s="24" t="str">
        <x:v>Rodenstock</x:v>
      </x:c>
      <x:c r="E697" s="24" t="str">
        <x:v>Monofocal B.I.G. NORM</x:v>
      </x:c>
      <x:c r="F697" s="24" t="str">
        <x:v>Surfaçada</x:v>
      </x:c>
      <x:c r="G697" s="24" t="str">
        <x:v>Multigressiv Monofocais B.I.G. NORM</x:v>
      </x:c>
      <x:c r="H697" s="24"/>
      <x:c r="I697" s="24" t="str">
        <x:v>1.5</x:v>
      </x:c>
      <x:c r="J697" s="24" t="str">
        <x:v>1.50</x:v>
      </x:c>
      <x:c r="K697" s="24" t="str">
        <x:v>Solitaire Protect Plus</x:v>
      </x:c>
      <x:c r="L697" s="40" t="n">
        <x:v>1964</x:v>
      </x:c>
      <x:c r="M697" s="24" t="str">
        <x:v>-8 a +8</x:v>
      </x:c>
      <x:c r="N697" s="24" t="str">
        <x:v>até -6</x:v>
      </x:c>
      <x:c r="O697" s="24"/>
      <x:c r="P697" s="24" t="str">
        <x:v>75</x:v>
      </x:c>
      <x:c r="Q697" s="24"/>
      <x:c r="R697" s="24"/>
      <x:c r="S697" s="26" t="n">
        <x:v>46024</x:v>
      </x:c>
      <x:c r="T697" s="26"/>
      <x:c r="U697" s="24" t="str">
        <x:v>ATIVA/SEM FIM INFORMADO</x:v>
      </x:c>
      <x:c r="V697" s="24"/>
      <x:c r="W697" s="24" t="n">
        <x:v>17</x:v>
      </x:c>
      <x:c r="X697" s="24" t="str">
        <x:v>tabela_rodenstock.pdf</x:v>
      </x:c>
      <x:c r="Y697" s="24" t="str">
        <x:v>alta</x:v>
      </x:c>
      <x:c r="Z697" s="24"/>
      <x:c r="AA697" s="24" t="str">
        <x:v>Rodenstock|Monofocal B.I.G. NORM|Surfaçada|Multigressiv Monofocais B.I.G. NORM||1.5|1.50|Solitaire Protect Plus|-8 a +8|até -6||75|||17</x:v>
      </x:c>
    </x:row>
    <x:row r="698">
      <x:c r="A698" s="24" t="str">
        <x:v>RD-66F95C37393C</x:v>
      </x:c>
      <x:c r="B698" s="24" t="str">
        <x:v>SIM</x:v>
      </x:c>
      <x:c r="C698" s="24" t="str">
        <x:v>DISPONÍVEL</x:v>
      </x:c>
      <x:c r="D698" s="24" t="str">
        <x:v>Rodenstock</x:v>
      </x:c>
      <x:c r="E698" s="24" t="str">
        <x:v>Monofocal B.I.G. NORM</x:v>
      </x:c>
      <x:c r="F698" s="24" t="str">
        <x:v>Surfaçada</x:v>
      </x:c>
      <x:c r="G698" s="24" t="str">
        <x:v>Multigressiv Monofocais B.I.G. NORM</x:v>
      </x:c>
      <x:c r="H698" s="24"/>
      <x:c r="I698" s="24" t="str">
        <x:v>1.5</x:v>
      </x:c>
      <x:c r="J698" s="24" t="str">
        <x:v>1.50</x:v>
      </x:c>
      <x:c r="K698" s="24" t="str">
        <x:v>ROAD</x:v>
      </x:c>
      <x:c r="L698" s="40" t="n">
        <x:v>1964</x:v>
      </x:c>
      <x:c r="M698" s="24" t="str">
        <x:v>-8 a +8</x:v>
      </x:c>
      <x:c r="N698" s="24" t="str">
        <x:v>até -6</x:v>
      </x:c>
      <x:c r="O698" s="24"/>
      <x:c r="P698" s="24" t="str">
        <x:v>75</x:v>
      </x:c>
      <x:c r="Q698" s="24"/>
      <x:c r="R698" s="24"/>
      <x:c r="S698" s="26" t="n">
        <x:v>46024</x:v>
      </x:c>
      <x:c r="T698" s="26"/>
      <x:c r="U698" s="24" t="str">
        <x:v>ATIVA/SEM FIM INFORMADO</x:v>
      </x:c>
      <x:c r="V698" s="24"/>
      <x:c r="W698" s="24" t="n">
        <x:v>17</x:v>
      </x:c>
      <x:c r="X698" s="24" t="str">
        <x:v>tabela_rodenstock.pdf</x:v>
      </x:c>
      <x:c r="Y698" s="24" t="str">
        <x:v>alta</x:v>
      </x:c>
      <x:c r="Z698" s="24"/>
      <x:c r="AA698" s="24" t="str">
        <x:v>Rodenstock|Monofocal B.I.G. NORM|Surfaçada|Multigressiv Monofocais B.I.G. NORM||1.5|1.50|ROAD|-8 a +8|até -6||75|||17</x:v>
      </x:c>
    </x:row>
    <x:row r="699">
      <x:c r="A699" s="24" t="str">
        <x:v>RD-731555ABC259</x:v>
      </x:c>
      <x:c r="B699" s="24" t="str">
        <x:v>SIM</x:v>
      </x:c>
      <x:c r="C699" s="24" t="str">
        <x:v>DISPONÍVEL</x:v>
      </x:c>
      <x:c r="D699" s="24" t="str">
        <x:v>Rodenstock</x:v>
      </x:c>
      <x:c r="E699" s="24" t="str">
        <x:v>Monofocal B.I.G. NORM</x:v>
      </x:c>
      <x:c r="F699" s="24" t="str">
        <x:v>Surfaçada</x:v>
      </x:c>
      <x:c r="G699" s="24" t="str">
        <x:v>Multigressiv Monofocais B.I.G. NORM</x:v>
      </x:c>
      <x:c r="H699" s="24"/>
      <x:c r="I699" s="24" t="str">
        <x:v>1.5</x:v>
      </x:c>
      <x:c r="J699" s="24" t="str">
        <x:v>1.50</x:v>
      </x:c>
      <x:c r="K699" s="24" t="str">
        <x:v>Solitaire Protect</x:v>
      </x:c>
      <x:c r="L699" s="40" t="n">
        <x:v>1704</x:v>
      </x:c>
      <x:c r="M699" s="24" t="str">
        <x:v>-8 a +8</x:v>
      </x:c>
      <x:c r="N699" s="24" t="str">
        <x:v>até -6</x:v>
      </x:c>
      <x:c r="O699" s="24"/>
      <x:c r="P699" s="24" t="str">
        <x:v>75</x:v>
      </x:c>
      <x:c r="Q699" s="24"/>
      <x:c r="R699" s="24"/>
      <x:c r="S699" s="26" t="n">
        <x:v>46024</x:v>
      </x:c>
      <x:c r="T699" s="26"/>
      <x:c r="U699" s="24" t="str">
        <x:v>ATIVA/SEM FIM INFORMADO</x:v>
      </x:c>
      <x:c r="V699" s="24"/>
      <x:c r="W699" s="24" t="n">
        <x:v>17</x:v>
      </x:c>
      <x:c r="X699" s="24" t="str">
        <x:v>tabela_rodenstock.pdf</x:v>
      </x:c>
      <x:c r="Y699" s="24" t="str">
        <x:v>alta</x:v>
      </x:c>
      <x:c r="Z699" s="24"/>
      <x:c r="AA699" s="24" t="str">
        <x:v>Rodenstock|Monofocal B.I.G. NORM|Surfaçada|Multigressiv Monofocais B.I.G. NORM||1.5|1.50|Solitaire Protect|-8 a +8|até -6||75|||17</x:v>
      </x:c>
    </x:row>
    <x:row r="700">
      <x:c r="A700" s="24" t="str">
        <x:v>RD-0714AF014943</x:v>
      </x:c>
      <x:c r="B700" s="24" t="str">
        <x:v>SIM</x:v>
      </x:c>
      <x:c r="C700" s="24" t="str">
        <x:v>DISPONÍVEL</x:v>
      </x:c>
      <x:c r="D700" s="24" t="str">
        <x:v>Rodenstock</x:v>
      </x:c>
      <x:c r="E700" s="24" t="str">
        <x:v>Monofocal B.I.G. NORM</x:v>
      </x:c>
      <x:c r="F700" s="24" t="str">
        <x:v>Surfaçada</x:v>
      </x:c>
      <x:c r="G700" s="24" t="str">
        <x:v>Multigressiv Monofocais B.I.G. NORM</x:v>
      </x:c>
      <x:c r="H700" s="24" t="str">
        <x:v>ColorMatic® 3</x:v>
      </x:c>
      <x:c r="I700" s="24" t="str">
        <x:v>1.54</x:v>
      </x:c>
      <x:c r="J700" s="24" t="str">
        <x:v>1.54</x:v>
      </x:c>
      <x:c r="K700" s="24" t="str">
        <x:v>LayR X-tra Clean</x:v>
      </x:c>
      <x:c r="L700" s="40" t="n">
        <x:v>3450</x:v>
      </x:c>
      <x:c r="M700" s="24" t="str">
        <x:v>-8 a +8</x:v>
      </x:c>
      <x:c r="N700" s="24" t="str">
        <x:v>até -6</x:v>
      </x:c>
      <x:c r="O700" s="24"/>
      <x:c r="P700" s="24" t="str">
        <x:v>75</x:v>
      </x:c>
      <x:c r="Q700" s="24"/>
      <x:c r="R700" s="24"/>
      <x:c r="S700" s="26" t="n">
        <x:v>46024</x:v>
      </x:c>
      <x:c r="T700" s="26"/>
      <x:c r="U700" s="24" t="str">
        <x:v>ATIVA/SEM FIM INFORMADO</x:v>
      </x:c>
      <x:c r="V700" s="24"/>
      <x:c r="W700" s="24" t="n">
        <x:v>17</x:v>
      </x:c>
      <x:c r="X700" s="24" t="str">
        <x:v>tabela_rodenstock.pdf</x:v>
      </x:c>
      <x:c r="Y700" s="24" t="str">
        <x:v>alta</x:v>
      </x:c>
      <x:c r="Z700" s="24"/>
      <x:c r="AA700" s="24" t="str">
        <x:v>Rodenstock|Monofocal B.I.G. NORM|Surfaçada|Multigressiv Monofocais B.I.G. NORM|ColorMatic® 3|1.54|1.54|LayR X-tra Clean|-8 a +8|até -6||75|||17</x:v>
      </x:c>
    </x:row>
    <x:row r="701">
      <x:c r="A701" s="24" t="str">
        <x:v>RD-1B9D3CB5E1D2</x:v>
      </x:c>
      <x:c r="B701" s="24" t="str">
        <x:v>SIM</x:v>
      </x:c>
      <x:c r="C701" s="24" t="str">
        <x:v>DISPONÍVEL</x:v>
      </x:c>
      <x:c r="D701" s="24" t="str">
        <x:v>Rodenstock</x:v>
      </x:c>
      <x:c r="E701" s="24" t="str">
        <x:v>Monofocal B.I.G. NORM</x:v>
      </x:c>
      <x:c r="F701" s="24" t="str">
        <x:v>Surfaçada</x:v>
      </x:c>
      <x:c r="G701" s="24" t="str">
        <x:v>Multigressiv Monofocais B.I.G. NORM</x:v>
      </x:c>
      <x:c r="H701" s="24" t="str">
        <x:v>ColorMatic® 3</x:v>
      </x:c>
      <x:c r="I701" s="24" t="str">
        <x:v>1.54</x:v>
      </x:c>
      <x:c r="J701" s="24" t="str">
        <x:v>1.54</x:v>
      </x:c>
      <x:c r="K701" s="24" t="str">
        <x:v>LayR Balance</x:v>
      </x:c>
      <x:c r="L701" s="40" t="n">
        <x:v>3450</x:v>
      </x:c>
      <x:c r="M701" s="24" t="str">
        <x:v>-8 a +8</x:v>
      </x:c>
      <x:c r="N701" s="24" t="str">
        <x:v>até -6</x:v>
      </x:c>
      <x:c r="O701" s="24"/>
      <x:c r="P701" s="24" t="str">
        <x:v>75</x:v>
      </x:c>
      <x:c r="Q701" s="24"/>
      <x:c r="R701" s="24"/>
      <x:c r="S701" s="26" t="n">
        <x:v>46024</x:v>
      </x:c>
      <x:c r="T701" s="26"/>
      <x:c r="U701" s="24" t="str">
        <x:v>ATIVA/SEM FIM INFORMADO</x:v>
      </x:c>
      <x:c r="V701" s="24"/>
      <x:c r="W701" s="24" t="n">
        <x:v>17</x:v>
      </x:c>
      <x:c r="X701" s="24" t="str">
        <x:v>tabela_rodenstock.pdf</x:v>
      </x:c>
      <x:c r="Y701" s="24" t="str">
        <x:v>alta</x:v>
      </x:c>
      <x:c r="Z701" s="24"/>
      <x:c r="AA701" s="24" t="str">
        <x:v>Rodenstock|Monofocal B.I.G. NORM|Surfaçada|Multigressiv Monofocais B.I.G. NORM|ColorMatic® 3|1.54|1.54|LayR Balance|-8 a +8|até -6||75|||17</x:v>
      </x:c>
    </x:row>
    <x:row r="702">
      <x:c r="A702" s="24" t="str">
        <x:v>RD-B00F0BC2277F</x:v>
      </x:c>
      <x:c r="B702" s="24" t="str">
        <x:v>SIM</x:v>
      </x:c>
      <x:c r="C702" s="24" t="str">
        <x:v>DISPONÍVEL</x:v>
      </x:c>
      <x:c r="D702" s="24" t="str">
        <x:v>Rodenstock</x:v>
      </x:c>
      <x:c r="E702" s="24" t="str">
        <x:v>Monofocal B.I.G. NORM</x:v>
      </x:c>
      <x:c r="F702" s="24" t="str">
        <x:v>Surfaçada</x:v>
      </x:c>
      <x:c r="G702" s="24" t="str">
        <x:v>Multigressiv Monofocais B.I.G. NORM</x:v>
      </x:c>
      <x:c r="H702" s="24" t="str">
        <x:v>ColorMatic® 3</x:v>
      </x:c>
      <x:c r="I702" s="24" t="str">
        <x:v>1.54</x:v>
      </x:c>
      <x:c r="J702" s="24" t="str">
        <x:v>1.54</x:v>
      </x:c>
      <x:c r="K702" s="24" t="str">
        <x:v>Solitaire X-tra Clean</x:v>
      </x:c>
      <x:c r="L702" s="40" t="n">
        <x:v>3380</x:v>
      </x:c>
      <x:c r="M702" s="24" t="str">
        <x:v>-8 a +8</x:v>
      </x:c>
      <x:c r="N702" s="24" t="str">
        <x:v>até -6</x:v>
      </x:c>
      <x:c r="O702" s="24"/>
      <x:c r="P702" s="24" t="str">
        <x:v>75</x:v>
      </x:c>
      <x:c r="Q702" s="24"/>
      <x:c r="R702" s="24"/>
      <x:c r="S702" s="26" t="n">
        <x:v>46024</x:v>
      </x:c>
      <x:c r="T702" s="26"/>
      <x:c r="U702" s="24" t="str">
        <x:v>ATIVA/SEM FIM INFORMADO</x:v>
      </x:c>
      <x:c r="V702" s="24"/>
      <x:c r="W702" s="24" t="n">
        <x:v>17</x:v>
      </x:c>
      <x:c r="X702" s="24" t="str">
        <x:v>tabela_rodenstock.pdf</x:v>
      </x:c>
      <x:c r="Y702" s="24" t="str">
        <x:v>alta</x:v>
      </x:c>
      <x:c r="Z702" s="24"/>
      <x:c r="AA702" s="24" t="str">
        <x:v>Rodenstock|Monofocal B.I.G. NORM|Surfaçada|Multigressiv Monofocais B.I.G. NORM|ColorMatic® 3|1.54|1.54|Solitaire X-tra Clean|-8 a +8|até -6||75|||17</x:v>
      </x:c>
    </x:row>
    <x:row r="703">
      <x:c r="A703" s="24" t="str">
        <x:v>RD-4EEEC3FC3093</x:v>
      </x:c>
      <x:c r="B703" s="24" t="str">
        <x:v>SIM</x:v>
      </x:c>
      <x:c r="C703" s="24" t="str">
        <x:v>DISPONÍVEL</x:v>
      </x:c>
      <x:c r="D703" s="24" t="str">
        <x:v>Rodenstock</x:v>
      </x:c>
      <x:c r="E703" s="24" t="str">
        <x:v>Monofocal B.I.G. NORM</x:v>
      </x:c>
      <x:c r="F703" s="24" t="str">
        <x:v>Surfaçada</x:v>
      </x:c>
      <x:c r="G703" s="24" t="str">
        <x:v>Multigressiv Monofocais B.I.G. NORM</x:v>
      </x:c>
      <x:c r="H703" s="24" t="str">
        <x:v>ColorMatic® 3</x:v>
      </x:c>
      <x:c r="I703" s="24" t="str">
        <x:v>1.54</x:v>
      </x:c>
      <x:c r="J703" s="24" t="str">
        <x:v>1.54</x:v>
      </x:c>
      <x:c r="K703" s="24" t="str">
        <x:v>Solitaire Protect Plus</x:v>
      </x:c>
      <x:c r="L703" s="40" t="n">
        <x:v>3330</x:v>
      </x:c>
      <x:c r="M703" s="24" t="str">
        <x:v>-8 a +8</x:v>
      </x:c>
      <x:c r="N703" s="24" t="str">
        <x:v>até -6</x:v>
      </x:c>
      <x:c r="O703" s="24"/>
      <x:c r="P703" s="24" t="str">
        <x:v>75</x:v>
      </x:c>
      <x:c r="Q703" s="24"/>
      <x:c r="R703" s="24"/>
      <x:c r="S703" s="26" t="n">
        <x:v>46024</x:v>
      </x:c>
      <x:c r="T703" s="26"/>
      <x:c r="U703" s="24" t="str">
        <x:v>ATIVA/SEM FIM INFORMADO</x:v>
      </x:c>
      <x:c r="V703" s="24"/>
      <x:c r="W703" s="24" t="n">
        <x:v>17</x:v>
      </x:c>
      <x:c r="X703" s="24" t="str">
        <x:v>tabela_rodenstock.pdf</x:v>
      </x:c>
      <x:c r="Y703" s="24" t="str">
        <x:v>alta</x:v>
      </x:c>
      <x:c r="Z703" s="24"/>
      <x:c r="AA703" s="24" t="str">
        <x:v>Rodenstock|Monofocal B.I.G. NORM|Surfaçada|Multigressiv Monofocais B.I.G. NORM|ColorMatic® 3|1.54|1.54|Solitaire Protect Plus|-8 a +8|até -6||75|||17</x:v>
      </x:c>
    </x:row>
    <x:row r="704">
      <x:c r="A704" s="24" t="str">
        <x:v>RD-63C2829724BC</x:v>
      </x:c>
      <x:c r="B704" s="24" t="str">
        <x:v>SIM</x:v>
      </x:c>
      <x:c r="C704" s="24" t="str">
        <x:v>DISPONÍVEL</x:v>
      </x:c>
      <x:c r="D704" s="24" t="str">
        <x:v>Rodenstock</x:v>
      </x:c>
      <x:c r="E704" s="24" t="str">
        <x:v>Monofocal B.I.G. NORM</x:v>
      </x:c>
      <x:c r="F704" s="24" t="str">
        <x:v>Surfaçada</x:v>
      </x:c>
      <x:c r="G704" s="24" t="str">
        <x:v>Multigressiv Monofocais B.I.G. NORM</x:v>
      </x:c>
      <x:c r="H704" s="24" t="str">
        <x:v>ColorMatic® 3</x:v>
      </x:c>
      <x:c r="I704" s="24" t="str">
        <x:v>1.54</x:v>
      </x:c>
      <x:c r="J704" s="24" t="str">
        <x:v>1.54</x:v>
      </x:c>
      <x:c r="K704" s="24" t="str">
        <x:v>ROAD</x:v>
      </x:c>
      <x:c r="L704" s="40" t="n">
        <x:v>3330</x:v>
      </x:c>
      <x:c r="M704" s="24" t="str">
        <x:v>-8 a +8</x:v>
      </x:c>
      <x:c r="N704" s="24" t="str">
        <x:v>até -6</x:v>
      </x:c>
      <x:c r="O704" s="24"/>
      <x:c r="P704" s="24" t="str">
        <x:v>75</x:v>
      </x:c>
      <x:c r="Q704" s="24"/>
      <x:c r="R704" s="24"/>
      <x:c r="S704" s="26" t="n">
        <x:v>46024</x:v>
      </x:c>
      <x:c r="T704" s="26"/>
      <x:c r="U704" s="24" t="str">
        <x:v>ATIVA/SEM FIM INFORMADO</x:v>
      </x:c>
      <x:c r="V704" s="24"/>
      <x:c r="W704" s="24" t="n">
        <x:v>17</x:v>
      </x:c>
      <x:c r="X704" s="24" t="str">
        <x:v>tabela_rodenstock.pdf</x:v>
      </x:c>
      <x:c r="Y704" s="24" t="str">
        <x:v>alta</x:v>
      </x:c>
      <x:c r="Z704" s="24"/>
      <x:c r="AA704" s="24" t="str">
        <x:v>Rodenstock|Monofocal B.I.G. NORM|Surfaçada|Multigressiv Monofocais B.I.G. NORM|ColorMatic® 3|1.54|1.54|ROAD|-8 a +8|até -6||75|||17</x:v>
      </x:c>
    </x:row>
    <x:row r="705">
      <x:c r="A705" s="24" t="str">
        <x:v>RD-68AF839BE896</x:v>
      </x:c>
      <x:c r="B705" s="24" t="str">
        <x:v>SIM</x:v>
      </x:c>
      <x:c r="C705" s="24" t="str">
        <x:v>DISPONÍVEL</x:v>
      </x:c>
      <x:c r="D705" s="24" t="str">
        <x:v>Rodenstock</x:v>
      </x:c>
      <x:c r="E705" s="24" t="str">
        <x:v>Monofocal B.I.G. NORM</x:v>
      </x:c>
      <x:c r="F705" s="24" t="str">
        <x:v>Surfaçada</x:v>
      </x:c>
      <x:c r="G705" s="24" t="str">
        <x:v>Multigressiv Monofocais B.I.G. NORM</x:v>
      </x:c>
      <x:c r="H705" s="24" t="str">
        <x:v>ColorMatic® 3</x:v>
      </x:c>
      <x:c r="I705" s="24" t="str">
        <x:v>1.54</x:v>
      </x:c>
      <x:c r="J705" s="24" t="str">
        <x:v>1.54</x:v>
      </x:c>
      <x:c r="K705" s="24" t="str">
        <x:v>Solitaire Protect</x:v>
      </x:c>
      <x:c r="L705" s="40" t="n">
        <x:v>3070</x:v>
      </x:c>
      <x:c r="M705" s="24" t="str">
        <x:v>-8 a +8</x:v>
      </x:c>
      <x:c r="N705" s="24" t="str">
        <x:v>até -6</x:v>
      </x:c>
      <x:c r="O705" s="24"/>
      <x:c r="P705" s="24" t="str">
        <x:v>75</x:v>
      </x:c>
      <x:c r="Q705" s="24"/>
      <x:c r="R705" s="24"/>
      <x:c r="S705" s="26" t="n">
        <x:v>46024</x:v>
      </x:c>
      <x:c r="T705" s="26"/>
      <x:c r="U705" s="24" t="str">
        <x:v>ATIVA/SEM FIM INFORMADO</x:v>
      </x:c>
      <x:c r="V705" s="24"/>
      <x:c r="W705" s="24" t="n">
        <x:v>17</x:v>
      </x:c>
      <x:c r="X705" s="24" t="str">
        <x:v>tabela_rodenstock.pdf</x:v>
      </x:c>
      <x:c r="Y705" s="24" t="str">
        <x:v>alta</x:v>
      </x:c>
      <x:c r="Z705" s="24"/>
      <x:c r="AA705" s="24" t="str">
        <x:v>Rodenstock|Monofocal B.I.G. NORM|Surfaçada|Multigressiv Monofocais B.I.G. NORM|ColorMatic® 3|1.54|1.54|Solitaire Protect|-8 a +8|até -6||75|||17</x:v>
      </x:c>
    </x:row>
    <x:row r="706">
      <x:c r="A706" s="24" t="str">
        <x:v>RD-7D9850E7CDE6</x:v>
      </x:c>
      <x:c r="B706" s="24" t="str">
        <x:v>SIM</x:v>
      </x:c>
      <x:c r="C706" s="24" t="str">
        <x:v>DISPONÍVEL</x:v>
      </x:c>
      <x:c r="D706" s="24" t="str">
        <x:v>Rodenstock</x:v>
      </x:c>
      <x:c r="E706" s="24" t="str">
        <x:v>Monofocal B.I.G. NORM</x:v>
      </x:c>
      <x:c r="F706" s="24" t="str">
        <x:v>Surfaçada</x:v>
      </x:c>
      <x:c r="G706" s="24" t="str">
        <x:v>Multigressiv Monofocais B.I.G. NORM</x:v>
      </x:c>
      <x:c r="H706" s="24"/>
      <x:c r="I706" s="24" t="str">
        <x:v>1.6</x:v>
      </x:c>
      <x:c r="J706" s="24" t="str">
        <x:v>1.60</x:v>
      </x:c>
      <x:c r="K706" s="24" t="str">
        <x:v>LayR X-tra Clean</x:v>
      </x:c>
      <x:c r="L706" s="40" t="n">
        <x:v>2583</x:v>
      </x:c>
      <x:c r="M706" s="24" t="str">
        <x:v>-10 a +10</x:v>
      </x:c>
      <x:c r="N706" s="24" t="str">
        <x:v>até -6</x:v>
      </x:c>
      <x:c r="O706" s="24"/>
      <x:c r="P706" s="24" t="str">
        <x:v>75</x:v>
      </x:c>
      <x:c r="Q706" s="24"/>
      <x:c r="R706" s="24"/>
      <x:c r="S706" s="26" t="n">
        <x:v>46024</x:v>
      </x:c>
      <x:c r="T706" s="26"/>
      <x:c r="U706" s="24" t="str">
        <x:v>ATIVA/SEM FIM INFORMADO</x:v>
      </x:c>
      <x:c r="V706" s="24"/>
      <x:c r="W706" s="24" t="n">
        <x:v>17</x:v>
      </x:c>
      <x:c r="X706" s="24" t="str">
        <x:v>tabela_rodenstock.pdf</x:v>
      </x:c>
      <x:c r="Y706" s="24" t="str">
        <x:v>alta</x:v>
      </x:c>
      <x:c r="Z706" s="24"/>
      <x:c r="AA706" s="24" t="str">
        <x:v>Rodenstock|Monofocal B.I.G. NORM|Surfaçada|Multigressiv Monofocais B.I.G. NORM||1.6|1.60|LayR X-tra Clean|-10 a +10|até -6||75|||17</x:v>
      </x:c>
    </x:row>
    <x:row r="707">
      <x:c r="A707" s="24" t="str">
        <x:v>RD-D7C187EF4381</x:v>
      </x:c>
      <x:c r="B707" s="24" t="str">
        <x:v>SIM</x:v>
      </x:c>
      <x:c r="C707" s="24" t="str">
        <x:v>DISPONÍVEL</x:v>
      </x:c>
      <x:c r="D707" s="24" t="str">
        <x:v>Rodenstock</x:v>
      </x:c>
      <x:c r="E707" s="24" t="str">
        <x:v>Monofocal B.I.G. NORM</x:v>
      </x:c>
      <x:c r="F707" s="24" t="str">
        <x:v>Surfaçada</x:v>
      </x:c>
      <x:c r="G707" s="24" t="str">
        <x:v>Multigressiv Monofocais B.I.G. NORM</x:v>
      </x:c>
      <x:c r="H707" s="24"/>
      <x:c r="I707" s="24" t="str">
        <x:v>1.6</x:v>
      </x:c>
      <x:c r="J707" s="24" t="str">
        <x:v>1.60</x:v>
      </x:c>
      <x:c r="K707" s="24" t="str">
        <x:v>LayR Balance</x:v>
      </x:c>
      <x:c r="L707" s="40" t="n">
        <x:v>2583</x:v>
      </x:c>
      <x:c r="M707" s="24" t="str">
        <x:v>-10 a +10</x:v>
      </x:c>
      <x:c r="N707" s="24" t="str">
        <x:v>até -6</x:v>
      </x:c>
      <x:c r="O707" s="24"/>
      <x:c r="P707" s="24" t="str">
        <x:v>75</x:v>
      </x:c>
      <x:c r="Q707" s="24"/>
      <x:c r="R707" s="24"/>
      <x:c r="S707" s="26" t="n">
        <x:v>46024</x:v>
      </x:c>
      <x:c r="T707" s="26"/>
      <x:c r="U707" s="24" t="str">
        <x:v>ATIVA/SEM FIM INFORMADO</x:v>
      </x:c>
      <x:c r="V707" s="24"/>
      <x:c r="W707" s="24" t="n">
        <x:v>17</x:v>
      </x:c>
      <x:c r="X707" s="24" t="str">
        <x:v>tabela_rodenstock.pdf</x:v>
      </x:c>
      <x:c r="Y707" s="24" t="str">
        <x:v>alta</x:v>
      </x:c>
      <x:c r="Z707" s="24"/>
      <x:c r="AA707" s="24" t="str">
        <x:v>Rodenstock|Monofocal B.I.G. NORM|Surfaçada|Multigressiv Monofocais B.I.G. NORM||1.6|1.60|LayR Balance|-10 a +10|até -6||75|||17</x:v>
      </x:c>
    </x:row>
    <x:row r="708">
      <x:c r="A708" s="24" t="str">
        <x:v>RD-84393448E716</x:v>
      </x:c>
      <x:c r="B708" s="24" t="str">
        <x:v>SIM</x:v>
      </x:c>
      <x:c r="C708" s="24" t="str">
        <x:v>DISPONÍVEL</x:v>
      </x:c>
      <x:c r="D708" s="24" t="str">
        <x:v>Rodenstock</x:v>
      </x:c>
      <x:c r="E708" s="24" t="str">
        <x:v>Monofocal B.I.G. NORM</x:v>
      </x:c>
      <x:c r="F708" s="24" t="str">
        <x:v>Surfaçada</x:v>
      </x:c>
      <x:c r="G708" s="24" t="str">
        <x:v>Multigressiv Monofocais B.I.G. NORM</x:v>
      </x:c>
      <x:c r="H708" s="24"/>
      <x:c r="I708" s="24" t="str">
        <x:v>1.6</x:v>
      </x:c>
      <x:c r="J708" s="24" t="str">
        <x:v>1.60</x:v>
      </x:c>
      <x:c r="K708" s="24" t="str">
        <x:v>Solitaire X-tra Clean</x:v>
      </x:c>
      <x:c r="L708" s="40" t="n">
        <x:v>2513</x:v>
      </x:c>
      <x:c r="M708" s="24" t="str">
        <x:v>-10 a +10</x:v>
      </x:c>
      <x:c r="N708" s="24" t="str">
        <x:v>até -6</x:v>
      </x:c>
      <x:c r="O708" s="24"/>
      <x:c r="P708" s="24" t="str">
        <x:v>75</x:v>
      </x:c>
      <x:c r="Q708" s="24"/>
      <x:c r="R708" s="24"/>
      <x:c r="S708" s="26" t="n">
        <x:v>46024</x:v>
      </x:c>
      <x:c r="T708" s="26"/>
      <x:c r="U708" s="24" t="str">
        <x:v>ATIVA/SEM FIM INFORMADO</x:v>
      </x:c>
      <x:c r="V708" s="24"/>
      <x:c r="W708" s="24" t="n">
        <x:v>17</x:v>
      </x:c>
      <x:c r="X708" s="24" t="str">
        <x:v>tabela_rodenstock.pdf</x:v>
      </x:c>
      <x:c r="Y708" s="24" t="str">
        <x:v>alta</x:v>
      </x:c>
      <x:c r="Z708" s="24"/>
      <x:c r="AA708" s="24" t="str">
        <x:v>Rodenstock|Monofocal B.I.G. NORM|Surfaçada|Multigressiv Monofocais B.I.G. NORM||1.6|1.60|Solitaire X-tra Clean|-10 a +10|até -6||75|||17</x:v>
      </x:c>
    </x:row>
    <x:row r="709">
      <x:c r="A709" s="24" t="str">
        <x:v>RD-0A45F79C779D</x:v>
      </x:c>
      <x:c r="B709" s="24" t="str">
        <x:v>SIM</x:v>
      </x:c>
      <x:c r="C709" s="24" t="str">
        <x:v>DISPONÍVEL</x:v>
      </x:c>
      <x:c r="D709" s="24" t="str">
        <x:v>Rodenstock</x:v>
      </x:c>
      <x:c r="E709" s="24" t="str">
        <x:v>Monofocal B.I.G. NORM</x:v>
      </x:c>
      <x:c r="F709" s="24" t="str">
        <x:v>Surfaçada</x:v>
      </x:c>
      <x:c r="G709" s="24" t="str">
        <x:v>Multigressiv Monofocais B.I.G. NORM</x:v>
      </x:c>
      <x:c r="H709" s="24"/>
      <x:c r="I709" s="24" t="str">
        <x:v>1.6</x:v>
      </x:c>
      <x:c r="J709" s="24" t="str">
        <x:v>1.60</x:v>
      </x:c>
      <x:c r="K709" s="24" t="str">
        <x:v>Solitaire Protect Plus</x:v>
      </x:c>
      <x:c r="L709" s="40" t="n">
        <x:v>2463</x:v>
      </x:c>
      <x:c r="M709" s="24" t="str">
        <x:v>-10 a +10</x:v>
      </x:c>
      <x:c r="N709" s="24" t="str">
        <x:v>até -6</x:v>
      </x:c>
      <x:c r="O709" s="24"/>
      <x:c r="P709" s="24" t="str">
        <x:v>75</x:v>
      </x:c>
      <x:c r="Q709" s="24"/>
      <x:c r="R709" s="24"/>
      <x:c r="S709" s="26" t="n">
        <x:v>46024</x:v>
      </x:c>
      <x:c r="T709" s="26"/>
      <x:c r="U709" s="24" t="str">
        <x:v>ATIVA/SEM FIM INFORMADO</x:v>
      </x:c>
      <x:c r="V709" s="24"/>
      <x:c r="W709" s="24" t="n">
        <x:v>17</x:v>
      </x:c>
      <x:c r="X709" s="24" t="str">
        <x:v>tabela_rodenstock.pdf</x:v>
      </x:c>
      <x:c r="Y709" s="24" t="str">
        <x:v>alta</x:v>
      </x:c>
      <x:c r="Z709" s="24"/>
      <x:c r="AA709" s="24" t="str">
        <x:v>Rodenstock|Monofocal B.I.G. NORM|Surfaçada|Multigressiv Monofocais B.I.G. NORM||1.6|1.60|Solitaire Protect Plus|-10 a +10|até -6||75|||17</x:v>
      </x:c>
    </x:row>
    <x:row r="710">
      <x:c r="A710" s="24" t="str">
        <x:v>RD-CCCEF0AD8A4E</x:v>
      </x:c>
      <x:c r="B710" s="24" t="str">
        <x:v>SIM</x:v>
      </x:c>
      <x:c r="C710" s="24" t="str">
        <x:v>DISPONÍVEL</x:v>
      </x:c>
      <x:c r="D710" s="24" t="str">
        <x:v>Rodenstock</x:v>
      </x:c>
      <x:c r="E710" s="24" t="str">
        <x:v>Monofocal B.I.G. NORM</x:v>
      </x:c>
      <x:c r="F710" s="24" t="str">
        <x:v>Surfaçada</x:v>
      </x:c>
      <x:c r="G710" s="24" t="str">
        <x:v>Multigressiv Monofocais B.I.G. NORM</x:v>
      </x:c>
      <x:c r="H710" s="24"/>
      <x:c r="I710" s="24" t="str">
        <x:v>1.6</x:v>
      </x:c>
      <x:c r="J710" s="24" t="str">
        <x:v>1.60</x:v>
      </x:c>
      <x:c r="K710" s="24" t="str">
        <x:v>ROAD</x:v>
      </x:c>
      <x:c r="L710" s="40" t="n">
        <x:v>2463</x:v>
      </x:c>
      <x:c r="M710" s="24" t="str">
        <x:v>-10 a +10</x:v>
      </x:c>
      <x:c r="N710" s="24" t="str">
        <x:v>até -6</x:v>
      </x:c>
      <x:c r="O710" s="24"/>
      <x:c r="P710" s="24" t="str">
        <x:v>75</x:v>
      </x:c>
      <x:c r="Q710" s="24"/>
      <x:c r="R710" s="24"/>
      <x:c r="S710" s="26" t="n">
        <x:v>46024</x:v>
      </x:c>
      <x:c r="T710" s="26"/>
      <x:c r="U710" s="24" t="str">
        <x:v>ATIVA/SEM FIM INFORMADO</x:v>
      </x:c>
      <x:c r="V710" s="24"/>
      <x:c r="W710" s="24" t="n">
        <x:v>17</x:v>
      </x:c>
      <x:c r="X710" s="24" t="str">
        <x:v>tabela_rodenstock.pdf</x:v>
      </x:c>
      <x:c r="Y710" s="24" t="str">
        <x:v>alta</x:v>
      </x:c>
      <x:c r="Z710" s="24"/>
      <x:c r="AA710" s="24" t="str">
        <x:v>Rodenstock|Monofocal B.I.G. NORM|Surfaçada|Multigressiv Monofocais B.I.G. NORM||1.6|1.60|ROAD|-10 a +10|até -6||75|||17</x:v>
      </x:c>
    </x:row>
    <x:row r="711">
      <x:c r="A711" s="24" t="str">
        <x:v>RD-E4324B6D2B86</x:v>
      </x:c>
      <x:c r="B711" s="24" t="str">
        <x:v>SIM</x:v>
      </x:c>
      <x:c r="C711" s="24" t="str">
        <x:v>DISPONÍVEL</x:v>
      </x:c>
      <x:c r="D711" s="24" t="str">
        <x:v>Rodenstock</x:v>
      </x:c>
      <x:c r="E711" s="24" t="str">
        <x:v>Monofocal B.I.G. NORM</x:v>
      </x:c>
      <x:c r="F711" s="24" t="str">
        <x:v>Surfaçada</x:v>
      </x:c>
      <x:c r="G711" s="24" t="str">
        <x:v>Multigressiv Monofocais B.I.G. NORM</x:v>
      </x:c>
      <x:c r="H711" s="24"/>
      <x:c r="I711" s="24" t="str">
        <x:v>1.6</x:v>
      </x:c>
      <x:c r="J711" s="24" t="str">
        <x:v>1.60</x:v>
      </x:c>
      <x:c r="K711" s="24" t="str">
        <x:v>Solitaire Protect</x:v>
      </x:c>
      <x:c r="L711" s="40" t="n">
        <x:v>2203</x:v>
      </x:c>
      <x:c r="M711" s="24" t="str">
        <x:v>-10 a +10</x:v>
      </x:c>
      <x:c r="N711" s="24" t="str">
        <x:v>até -6</x:v>
      </x:c>
      <x:c r="O711" s="24"/>
      <x:c r="P711" s="24" t="str">
        <x:v>75</x:v>
      </x:c>
      <x:c r="Q711" s="24"/>
      <x:c r="R711" s="24"/>
      <x:c r="S711" s="26" t="n">
        <x:v>46024</x:v>
      </x:c>
      <x:c r="T711" s="26"/>
      <x:c r="U711" s="24" t="str">
        <x:v>ATIVA/SEM FIM INFORMADO</x:v>
      </x:c>
      <x:c r="V711" s="24"/>
      <x:c r="W711" s="24" t="n">
        <x:v>17</x:v>
      </x:c>
      <x:c r="X711" s="24" t="str">
        <x:v>tabela_rodenstock.pdf</x:v>
      </x:c>
      <x:c r="Y711" s="24" t="str">
        <x:v>alta</x:v>
      </x:c>
      <x:c r="Z711" s="24"/>
      <x:c r="AA711" s="24" t="str">
        <x:v>Rodenstock|Monofocal B.I.G. NORM|Surfaçada|Multigressiv Monofocais B.I.G. NORM||1.6|1.60|Solitaire Protect|-10 a +10|até -6||75|||17</x:v>
      </x:c>
    </x:row>
    <x:row r="712">
      <x:c r="A712" s="24" t="str">
        <x:v>RD-001B2412CCE9</x:v>
      </x:c>
      <x:c r="B712" s="24" t="str">
        <x:v>SIM</x:v>
      </x:c>
      <x:c r="C712" s="24" t="str">
        <x:v>DISPONÍVEL</x:v>
      </x:c>
      <x:c r="D712" s="24" t="str">
        <x:v>Rodenstock</x:v>
      </x:c>
      <x:c r="E712" s="24" t="str">
        <x:v>Monofocal B.I.G. NORM</x:v>
      </x:c>
      <x:c r="F712" s="24" t="str">
        <x:v>Surfaçada</x:v>
      </x:c>
      <x:c r="G712" s="24" t="str">
        <x:v>Multigressiv Monofocais B.I.G. NORM</x:v>
      </x:c>
      <x:c r="H712" s="24" t="str">
        <x:v>PRO410</x:v>
      </x:c>
      <x:c r="I712" s="24" t="str">
        <x:v>1.6</x:v>
      </x:c>
      <x:c r="J712" s="24" t="str">
        <x:v>1.60</x:v>
      </x:c>
      <x:c r="K712" s="24" t="str">
        <x:v>LayR X-tra Clean</x:v>
      </x:c>
      <x:c r="L712" s="40" t="n">
        <x:v>2640</x:v>
      </x:c>
      <x:c r="M712" s="24" t="str">
        <x:v>-10 a +10</x:v>
      </x:c>
      <x:c r="N712" s="24" t="str">
        <x:v>até -6</x:v>
      </x:c>
      <x:c r="O712" s="24"/>
      <x:c r="P712" s="24" t="str">
        <x:v>75</x:v>
      </x:c>
      <x:c r="Q712" s="24"/>
      <x:c r="R712" s="24"/>
      <x:c r="S712" s="26" t="n">
        <x:v>46024</x:v>
      </x:c>
      <x:c r="T712" s="26"/>
      <x:c r="U712" s="24" t="str">
        <x:v>ATIVA/SEM FIM INFORMADO</x:v>
      </x:c>
      <x:c r="V712" s="24"/>
      <x:c r="W712" s="24" t="n">
        <x:v>17</x:v>
      </x:c>
      <x:c r="X712" s="24" t="str">
        <x:v>tabela_rodenstock.pdf</x:v>
      </x:c>
      <x:c r="Y712" s="24" t="str">
        <x:v>alta</x:v>
      </x:c>
      <x:c r="Z712" s="24"/>
      <x:c r="AA712" s="24" t="str">
        <x:v>Rodenstock|Monofocal B.I.G. NORM|Surfaçada|Multigressiv Monofocais B.I.G. NORM|PRO410|1.6|1.60|LayR X-tra Clean|-10 a +10|até -6||75|||17</x:v>
      </x:c>
    </x:row>
    <x:row r="713">
      <x:c r="A713" s="24" t="str">
        <x:v>RD-E8A7F3F53FE0</x:v>
      </x:c>
      <x:c r="B713" s="24" t="str">
        <x:v>SIM</x:v>
      </x:c>
      <x:c r="C713" s="24" t="str">
        <x:v>DISPONÍVEL</x:v>
      </x:c>
      <x:c r="D713" s="24" t="str">
        <x:v>Rodenstock</x:v>
      </x:c>
      <x:c r="E713" s="24" t="str">
        <x:v>Monofocal B.I.G. NORM</x:v>
      </x:c>
      <x:c r="F713" s="24" t="str">
        <x:v>Surfaçada</x:v>
      </x:c>
      <x:c r="G713" s="24" t="str">
        <x:v>Multigressiv Monofocais B.I.G. NORM</x:v>
      </x:c>
      <x:c r="H713" s="24" t="str">
        <x:v>PRO410</x:v>
      </x:c>
      <x:c r="I713" s="24" t="str">
        <x:v>1.6</x:v>
      </x:c>
      <x:c r="J713" s="24" t="str">
        <x:v>1.60</x:v>
      </x:c>
      <x:c r="K713" s="24" t="str">
        <x:v>LayR Balance</x:v>
      </x:c>
      <x:c r="L713" s="40" t="n">
        <x:v>2640</x:v>
      </x:c>
      <x:c r="M713" s="24" t="str">
        <x:v>-10 a +10</x:v>
      </x:c>
      <x:c r="N713" s="24" t="str">
        <x:v>até -6</x:v>
      </x:c>
      <x:c r="O713" s="24"/>
      <x:c r="P713" s="24" t="str">
        <x:v>75</x:v>
      </x:c>
      <x:c r="Q713" s="24"/>
      <x:c r="R713" s="24"/>
      <x:c r="S713" s="26" t="n">
        <x:v>46024</x:v>
      </x:c>
      <x:c r="T713" s="26"/>
      <x:c r="U713" s="24" t="str">
        <x:v>ATIVA/SEM FIM INFORMADO</x:v>
      </x:c>
      <x:c r="V713" s="24"/>
      <x:c r="W713" s="24" t="n">
        <x:v>17</x:v>
      </x:c>
      <x:c r="X713" s="24" t="str">
        <x:v>tabela_rodenstock.pdf</x:v>
      </x:c>
      <x:c r="Y713" s="24" t="str">
        <x:v>alta</x:v>
      </x:c>
      <x:c r="Z713" s="24"/>
      <x:c r="AA713" s="24" t="str">
        <x:v>Rodenstock|Monofocal B.I.G. NORM|Surfaçada|Multigressiv Monofocais B.I.G. NORM|PRO410|1.6|1.60|LayR Balance|-10 a +10|até -6||75|||17</x:v>
      </x:c>
    </x:row>
    <x:row r="714">
      <x:c r="A714" s="24" t="str">
        <x:v>RD-194721BD6C7A</x:v>
      </x:c>
      <x:c r="B714" s="24" t="str">
        <x:v>SIM</x:v>
      </x:c>
      <x:c r="C714" s="24" t="str">
        <x:v>DISPONÍVEL</x:v>
      </x:c>
      <x:c r="D714" s="24" t="str">
        <x:v>Rodenstock</x:v>
      </x:c>
      <x:c r="E714" s="24" t="str">
        <x:v>Monofocal B.I.G. NORM</x:v>
      </x:c>
      <x:c r="F714" s="24" t="str">
        <x:v>Surfaçada</x:v>
      </x:c>
      <x:c r="G714" s="24" t="str">
        <x:v>Multigressiv Monofocais B.I.G. NORM</x:v>
      </x:c>
      <x:c r="H714" s="24" t="str">
        <x:v>PRO410</x:v>
      </x:c>
      <x:c r="I714" s="24" t="str">
        <x:v>1.6</x:v>
      </x:c>
      <x:c r="J714" s="24" t="str">
        <x:v>1.60</x:v>
      </x:c>
      <x:c r="K714" s="24" t="str">
        <x:v>Solitaire X-tra Clean</x:v>
      </x:c>
      <x:c r="L714" s="40" t="n">
        <x:v>2570</x:v>
      </x:c>
      <x:c r="M714" s="24" t="str">
        <x:v>-10 a +10</x:v>
      </x:c>
      <x:c r="N714" s="24" t="str">
        <x:v>até -6</x:v>
      </x:c>
      <x:c r="O714" s="24"/>
      <x:c r="P714" s="24" t="str">
        <x:v>75</x:v>
      </x:c>
      <x:c r="Q714" s="24"/>
      <x:c r="R714" s="24"/>
      <x:c r="S714" s="26" t="n">
        <x:v>46024</x:v>
      </x:c>
      <x:c r="T714" s="26"/>
      <x:c r="U714" s="24" t="str">
        <x:v>ATIVA/SEM FIM INFORMADO</x:v>
      </x:c>
      <x:c r="V714" s="24"/>
      <x:c r="W714" s="24" t="n">
        <x:v>17</x:v>
      </x:c>
      <x:c r="X714" s="24" t="str">
        <x:v>tabela_rodenstock.pdf</x:v>
      </x:c>
      <x:c r="Y714" s="24" t="str">
        <x:v>alta</x:v>
      </x:c>
      <x:c r="Z714" s="24"/>
      <x:c r="AA714" s="24" t="str">
        <x:v>Rodenstock|Monofocal B.I.G. NORM|Surfaçada|Multigressiv Monofocais B.I.G. NORM|PRO410|1.6|1.60|Solitaire X-tra Clean|-10 a +10|até -6||75|||17</x:v>
      </x:c>
    </x:row>
    <x:row r="715">
      <x:c r="A715" s="24" t="str">
        <x:v>RD-768445ADF733</x:v>
      </x:c>
      <x:c r="B715" s="24" t="str">
        <x:v>SIM</x:v>
      </x:c>
      <x:c r="C715" s="24" t="str">
        <x:v>DISPONÍVEL</x:v>
      </x:c>
      <x:c r="D715" s="24" t="str">
        <x:v>Rodenstock</x:v>
      </x:c>
      <x:c r="E715" s="24" t="str">
        <x:v>Monofocal B.I.G. NORM</x:v>
      </x:c>
      <x:c r="F715" s="24" t="str">
        <x:v>Surfaçada</x:v>
      </x:c>
      <x:c r="G715" s="24" t="str">
        <x:v>Multigressiv Monofocais B.I.G. NORM</x:v>
      </x:c>
      <x:c r="H715" s="24" t="str">
        <x:v>PRO410</x:v>
      </x:c>
      <x:c r="I715" s="24" t="str">
        <x:v>1.6</x:v>
      </x:c>
      <x:c r="J715" s="24" t="str">
        <x:v>1.60</x:v>
      </x:c>
      <x:c r="K715" s="24" t="str">
        <x:v>Solitaire Protect Plus</x:v>
      </x:c>
      <x:c r="L715" s="40" t="n">
        <x:v>2520</x:v>
      </x:c>
      <x:c r="M715" s="24" t="str">
        <x:v>-10 a +10</x:v>
      </x:c>
      <x:c r="N715" s="24" t="str">
        <x:v>até -6</x:v>
      </x:c>
      <x:c r="O715" s="24"/>
      <x:c r="P715" s="24" t="str">
        <x:v>75</x:v>
      </x:c>
      <x:c r="Q715" s="24"/>
      <x:c r="R715" s="24"/>
      <x:c r="S715" s="26" t="n">
        <x:v>46024</x:v>
      </x:c>
      <x:c r="T715" s="26"/>
      <x:c r="U715" s="24" t="str">
        <x:v>ATIVA/SEM FIM INFORMADO</x:v>
      </x:c>
      <x:c r="V715" s="24"/>
      <x:c r="W715" s="24" t="n">
        <x:v>17</x:v>
      </x:c>
      <x:c r="X715" s="24" t="str">
        <x:v>tabela_rodenstock.pdf</x:v>
      </x:c>
      <x:c r="Y715" s="24" t="str">
        <x:v>alta</x:v>
      </x:c>
      <x:c r="Z715" s="24"/>
      <x:c r="AA715" s="24" t="str">
        <x:v>Rodenstock|Monofocal B.I.G. NORM|Surfaçada|Multigressiv Monofocais B.I.G. NORM|PRO410|1.6|1.60|Solitaire Protect Plus|-10 a +10|até -6||75|||17</x:v>
      </x:c>
    </x:row>
    <x:row r="716">
      <x:c r="A716" s="24" t="str">
        <x:v>RD-F2E11526E36F</x:v>
      </x:c>
      <x:c r="B716" s="24" t="str">
        <x:v>SIM</x:v>
      </x:c>
      <x:c r="C716" s="24" t="str">
        <x:v>DISPONÍVEL</x:v>
      </x:c>
      <x:c r="D716" s="24" t="str">
        <x:v>Rodenstock</x:v>
      </x:c>
      <x:c r="E716" s="24" t="str">
        <x:v>Monofocal B.I.G. NORM</x:v>
      </x:c>
      <x:c r="F716" s="24" t="str">
        <x:v>Surfaçada</x:v>
      </x:c>
      <x:c r="G716" s="24" t="str">
        <x:v>Multigressiv Monofocais B.I.G. NORM</x:v>
      </x:c>
      <x:c r="H716" s="24" t="str">
        <x:v>PRO410</x:v>
      </x:c>
      <x:c r="I716" s="24" t="str">
        <x:v>1.6</x:v>
      </x:c>
      <x:c r="J716" s="24" t="str">
        <x:v>1.60</x:v>
      </x:c>
      <x:c r="K716" s="24" t="str">
        <x:v>ROAD</x:v>
      </x:c>
      <x:c r="L716" s="40" t="n">
        <x:v>2520</x:v>
      </x:c>
      <x:c r="M716" s="24" t="str">
        <x:v>-10 a +10</x:v>
      </x:c>
      <x:c r="N716" s="24" t="str">
        <x:v>até -6</x:v>
      </x:c>
      <x:c r="O716" s="24"/>
      <x:c r="P716" s="24" t="str">
        <x:v>75</x:v>
      </x:c>
      <x:c r="Q716" s="24"/>
      <x:c r="R716" s="24"/>
      <x:c r="S716" s="26" t="n">
        <x:v>46024</x:v>
      </x:c>
      <x:c r="T716" s="26"/>
      <x:c r="U716" s="24" t="str">
        <x:v>ATIVA/SEM FIM INFORMADO</x:v>
      </x:c>
      <x:c r="V716" s="24"/>
      <x:c r="W716" s="24" t="n">
        <x:v>17</x:v>
      </x:c>
      <x:c r="X716" s="24" t="str">
        <x:v>tabela_rodenstock.pdf</x:v>
      </x:c>
      <x:c r="Y716" s="24" t="str">
        <x:v>alta</x:v>
      </x:c>
      <x:c r="Z716" s="24"/>
      <x:c r="AA716" s="24" t="str">
        <x:v>Rodenstock|Monofocal B.I.G. NORM|Surfaçada|Multigressiv Monofocais B.I.G. NORM|PRO410|1.6|1.60|ROAD|-10 a +10|até -6||75|||17</x:v>
      </x:c>
    </x:row>
    <x:row r="717">
      <x:c r="A717" s="24" t="str">
        <x:v>RD-B9421DDACC7A</x:v>
      </x:c>
      <x:c r="B717" s="24" t="str">
        <x:v>SIM</x:v>
      </x:c>
      <x:c r="C717" s="24" t="str">
        <x:v>DISPONÍVEL</x:v>
      </x:c>
      <x:c r="D717" s="24" t="str">
        <x:v>Rodenstock</x:v>
      </x:c>
      <x:c r="E717" s="24" t="str">
        <x:v>Monofocal B.I.G. NORM</x:v>
      </x:c>
      <x:c r="F717" s="24" t="str">
        <x:v>Surfaçada</x:v>
      </x:c>
      <x:c r="G717" s="24" t="str">
        <x:v>Multigressiv Monofocais B.I.G. NORM</x:v>
      </x:c>
      <x:c r="H717" s="24" t="str">
        <x:v>PRO410</x:v>
      </x:c>
      <x:c r="I717" s="24" t="str">
        <x:v>1.6</x:v>
      </x:c>
      <x:c r="J717" s="24" t="str">
        <x:v>1.60</x:v>
      </x:c>
      <x:c r="K717" s="24" t="str">
        <x:v>Solitaire Protect</x:v>
      </x:c>
      <x:c r="L717" s="40" t="n">
        <x:v>2260</x:v>
      </x:c>
      <x:c r="M717" s="24" t="str">
        <x:v>-10 a +10</x:v>
      </x:c>
      <x:c r="N717" s="24" t="str">
        <x:v>até -6</x:v>
      </x:c>
      <x:c r="O717" s="24"/>
      <x:c r="P717" s="24" t="str">
        <x:v>75</x:v>
      </x:c>
      <x:c r="Q717" s="24"/>
      <x:c r="R717" s="24"/>
      <x:c r="S717" s="26" t="n">
        <x:v>46024</x:v>
      </x:c>
      <x:c r="T717" s="26"/>
      <x:c r="U717" s="24" t="str">
        <x:v>ATIVA/SEM FIM INFORMADO</x:v>
      </x:c>
      <x:c r="V717" s="24"/>
      <x:c r="W717" s="24" t="n">
        <x:v>17</x:v>
      </x:c>
      <x:c r="X717" s="24" t="str">
        <x:v>tabela_rodenstock.pdf</x:v>
      </x:c>
      <x:c r="Y717" s="24" t="str">
        <x:v>alta</x:v>
      </x:c>
      <x:c r="Z717" s="24"/>
      <x:c r="AA717" s="24" t="str">
        <x:v>Rodenstock|Monofocal B.I.G. NORM|Surfaçada|Multigressiv Monofocais B.I.G. NORM|PRO410|1.6|1.60|Solitaire Protect|-10 a +10|até -6||75|||17</x:v>
      </x:c>
    </x:row>
    <x:row r="718">
      <x:c r="A718" s="24" t="str">
        <x:v>RD-DF786755CFB8</x:v>
      </x:c>
      <x:c r="B718" s="24" t="str">
        <x:v>SIM</x:v>
      </x:c>
      <x:c r="C718" s="24" t="str">
        <x:v>DISPONÍVEL</x:v>
      </x:c>
      <x:c r="D718" s="24" t="str">
        <x:v>Rodenstock</x:v>
      </x:c>
      <x:c r="E718" s="24" t="str">
        <x:v>Monofocal B.I.G. NORM</x:v>
      </x:c>
      <x:c r="F718" s="24" t="str">
        <x:v>Surfaçada</x:v>
      </x:c>
      <x:c r="G718" s="24" t="str">
        <x:v>Multigressiv Monofocais B.I.G. NORM</x:v>
      </x:c>
      <x:c r="H718" s="24" t="str">
        <x:v>ColorMatic® 3 | X</x:v>
      </x:c>
      <x:c r="I718" s="24" t="str">
        <x:v>1.6</x:v>
      </x:c>
      <x:c r="J718" s="24" t="str">
        <x:v>1.60</x:v>
      </x:c>
      <x:c r="K718" s="24" t="str">
        <x:v>LayR X-tra Clean</x:v>
      </x:c>
      <x:c r="L718" s="40" t="n">
        <x:v>3682</x:v>
      </x:c>
      <x:c r="M718" s="24" t="str">
        <x:v>-10 a +10</x:v>
      </x:c>
      <x:c r="N718" s="24" t="str">
        <x:v>até -6</x:v>
      </x:c>
      <x:c r="O718" s="24"/>
      <x:c r="P718" s="24" t="str">
        <x:v>75</x:v>
      </x:c>
      <x:c r="Q718" s="24"/>
      <x:c r="R718" s="24"/>
      <x:c r="S718" s="26" t="n">
        <x:v>46024</x:v>
      </x:c>
      <x:c r="T718" s="26"/>
      <x:c r="U718" s="24" t="str">
        <x:v>ATIVA/SEM FIM INFORMADO</x:v>
      </x:c>
      <x:c r="V718" s="24"/>
      <x:c r="W718" s="24" t="n">
        <x:v>17</x:v>
      </x:c>
      <x:c r="X718" s="24" t="str">
        <x:v>tabela_rodenstock.pdf</x:v>
      </x:c>
      <x:c r="Y718" s="24" t="str">
        <x:v>alta</x:v>
      </x:c>
      <x:c r="Z718" s="24"/>
      <x:c r="AA718" s="24" t="str">
        <x:v>Rodenstock|Monofocal B.I.G. NORM|Surfaçada|Multigressiv Monofocais B.I.G. NORM|ColorMatic® 3 | X|1.6|1.60|LayR X-tra Clean|-10 a +10|até -6||75|||17</x:v>
      </x:c>
    </x:row>
    <x:row r="719">
      <x:c r="A719" s="24" t="str">
        <x:v>RD-4D6384B1A322</x:v>
      </x:c>
      <x:c r="B719" s="24" t="str">
        <x:v>SIM</x:v>
      </x:c>
      <x:c r="C719" s="24" t="str">
        <x:v>DISPONÍVEL</x:v>
      </x:c>
      <x:c r="D719" s="24" t="str">
        <x:v>Rodenstock</x:v>
      </x:c>
      <x:c r="E719" s="24" t="str">
        <x:v>Monofocal B.I.G. NORM</x:v>
      </x:c>
      <x:c r="F719" s="24" t="str">
        <x:v>Surfaçada</x:v>
      </x:c>
      <x:c r="G719" s="24" t="str">
        <x:v>Multigressiv Monofocais B.I.G. NORM</x:v>
      </x:c>
      <x:c r="H719" s="24" t="str">
        <x:v>ColorMatic® 3 | X</x:v>
      </x:c>
      <x:c r="I719" s="24" t="str">
        <x:v>1.6</x:v>
      </x:c>
      <x:c r="J719" s="24" t="str">
        <x:v>1.60</x:v>
      </x:c>
      <x:c r="K719" s="24" t="str">
        <x:v>LayR Balance</x:v>
      </x:c>
      <x:c r="L719" s="40" t="n">
        <x:v>3682</x:v>
      </x:c>
      <x:c r="M719" s="24" t="str">
        <x:v>-10 a +10</x:v>
      </x:c>
      <x:c r="N719" s="24" t="str">
        <x:v>até -6</x:v>
      </x:c>
      <x:c r="O719" s="24"/>
      <x:c r="P719" s="24" t="str">
        <x:v>75</x:v>
      </x:c>
      <x:c r="Q719" s="24"/>
      <x:c r="R719" s="24"/>
      <x:c r="S719" s="26" t="n">
        <x:v>46024</x:v>
      </x:c>
      <x:c r="T719" s="26"/>
      <x:c r="U719" s="24" t="str">
        <x:v>ATIVA/SEM FIM INFORMADO</x:v>
      </x:c>
      <x:c r="V719" s="24"/>
      <x:c r="W719" s="24" t="n">
        <x:v>17</x:v>
      </x:c>
      <x:c r="X719" s="24" t="str">
        <x:v>tabela_rodenstock.pdf</x:v>
      </x:c>
      <x:c r="Y719" s="24" t="str">
        <x:v>alta</x:v>
      </x:c>
      <x:c r="Z719" s="24"/>
      <x:c r="AA719" s="24" t="str">
        <x:v>Rodenstock|Monofocal B.I.G. NORM|Surfaçada|Multigressiv Monofocais B.I.G. NORM|ColorMatic® 3 | X|1.6|1.60|LayR Balance|-10 a +10|até -6||75|||17</x:v>
      </x:c>
    </x:row>
    <x:row r="720">
      <x:c r="A720" s="24" t="str">
        <x:v>RD-4E097C0D445F</x:v>
      </x:c>
      <x:c r="B720" s="24" t="str">
        <x:v>SIM</x:v>
      </x:c>
      <x:c r="C720" s="24" t="str">
        <x:v>DISPONÍVEL</x:v>
      </x:c>
      <x:c r="D720" s="24" t="str">
        <x:v>Rodenstock</x:v>
      </x:c>
      <x:c r="E720" s="24" t="str">
        <x:v>Monofocal B.I.G. NORM</x:v>
      </x:c>
      <x:c r="F720" s="24" t="str">
        <x:v>Surfaçada</x:v>
      </x:c>
      <x:c r="G720" s="24" t="str">
        <x:v>Multigressiv Monofocais B.I.G. NORM</x:v>
      </x:c>
      <x:c r="H720" s="24" t="str">
        <x:v>ColorMatic® 3 | X</x:v>
      </x:c>
      <x:c r="I720" s="24" t="str">
        <x:v>1.6</x:v>
      </x:c>
      <x:c r="J720" s="24" t="str">
        <x:v>1.60</x:v>
      </x:c>
      <x:c r="K720" s="24" t="str">
        <x:v>Solitaire X-tra Clean</x:v>
      </x:c>
      <x:c r="L720" s="40" t="n">
        <x:v>3612</x:v>
      </x:c>
      <x:c r="M720" s="24" t="str">
        <x:v>-10 a +10</x:v>
      </x:c>
      <x:c r="N720" s="24" t="str">
        <x:v>até -6</x:v>
      </x:c>
      <x:c r="O720" s="24"/>
      <x:c r="P720" s="24" t="str">
        <x:v>75</x:v>
      </x:c>
      <x:c r="Q720" s="24"/>
      <x:c r="R720" s="24"/>
      <x:c r="S720" s="26" t="n">
        <x:v>46024</x:v>
      </x:c>
      <x:c r="T720" s="26"/>
      <x:c r="U720" s="24" t="str">
        <x:v>ATIVA/SEM FIM INFORMADO</x:v>
      </x:c>
      <x:c r="V720" s="24"/>
      <x:c r="W720" s="24" t="n">
        <x:v>17</x:v>
      </x:c>
      <x:c r="X720" s="24" t="str">
        <x:v>tabela_rodenstock.pdf</x:v>
      </x:c>
      <x:c r="Y720" s="24" t="str">
        <x:v>alta</x:v>
      </x:c>
      <x:c r="Z720" s="24"/>
      <x:c r="AA720" s="24" t="str">
        <x:v>Rodenstock|Monofocal B.I.G. NORM|Surfaçada|Multigressiv Monofocais B.I.G. NORM|ColorMatic® 3 | X|1.6|1.60|Solitaire X-tra Clean|-10 a +10|até -6||75|||17</x:v>
      </x:c>
    </x:row>
    <x:row r="721">
      <x:c r="A721" s="24" t="str">
        <x:v>RD-24B382B40B60</x:v>
      </x:c>
      <x:c r="B721" s="24" t="str">
        <x:v>SIM</x:v>
      </x:c>
      <x:c r="C721" s="24" t="str">
        <x:v>DISPONÍVEL</x:v>
      </x:c>
      <x:c r="D721" s="24" t="str">
        <x:v>Rodenstock</x:v>
      </x:c>
      <x:c r="E721" s="24" t="str">
        <x:v>Monofocal B.I.G. NORM</x:v>
      </x:c>
      <x:c r="F721" s="24" t="str">
        <x:v>Surfaçada</x:v>
      </x:c>
      <x:c r="G721" s="24" t="str">
        <x:v>Multigressiv Monofocais B.I.G. NORM</x:v>
      </x:c>
      <x:c r="H721" s="24" t="str">
        <x:v>ColorMatic® 3 | X</x:v>
      </x:c>
      <x:c r="I721" s="24" t="str">
        <x:v>1.6</x:v>
      </x:c>
      <x:c r="J721" s="24" t="str">
        <x:v>1.60</x:v>
      </x:c>
      <x:c r="K721" s="24" t="str">
        <x:v>Solitaire Protect Plus</x:v>
      </x:c>
      <x:c r="L721" s="40" t="n">
        <x:v>3562</x:v>
      </x:c>
      <x:c r="M721" s="24" t="str">
        <x:v>-10 a +10</x:v>
      </x:c>
      <x:c r="N721" s="24" t="str">
        <x:v>até -6</x:v>
      </x:c>
      <x:c r="O721" s="24"/>
      <x:c r="P721" s="24" t="str">
        <x:v>75</x:v>
      </x:c>
      <x:c r="Q721" s="24"/>
      <x:c r="R721" s="24"/>
      <x:c r="S721" s="26" t="n">
        <x:v>46024</x:v>
      </x:c>
      <x:c r="T721" s="26"/>
      <x:c r="U721" s="24" t="str">
        <x:v>ATIVA/SEM FIM INFORMADO</x:v>
      </x:c>
      <x:c r="V721" s="24"/>
      <x:c r="W721" s="24" t="n">
        <x:v>17</x:v>
      </x:c>
      <x:c r="X721" s="24" t="str">
        <x:v>tabela_rodenstock.pdf</x:v>
      </x:c>
      <x:c r="Y721" s="24" t="str">
        <x:v>alta</x:v>
      </x:c>
      <x:c r="Z721" s="24"/>
      <x:c r="AA721" s="24" t="str">
        <x:v>Rodenstock|Monofocal B.I.G. NORM|Surfaçada|Multigressiv Monofocais B.I.G. NORM|ColorMatic® 3 | X|1.6|1.60|Solitaire Protect Plus|-10 a +10|até -6||75|||17</x:v>
      </x:c>
    </x:row>
    <x:row r="722">
      <x:c r="A722" s="24" t="str">
        <x:v>RD-511271000B0D</x:v>
      </x:c>
      <x:c r="B722" s="24" t="str">
        <x:v>SIM</x:v>
      </x:c>
      <x:c r="C722" s="24" t="str">
        <x:v>DISPONÍVEL</x:v>
      </x:c>
      <x:c r="D722" s="24" t="str">
        <x:v>Rodenstock</x:v>
      </x:c>
      <x:c r="E722" s="24" t="str">
        <x:v>Monofocal B.I.G. NORM</x:v>
      </x:c>
      <x:c r="F722" s="24" t="str">
        <x:v>Surfaçada</x:v>
      </x:c>
      <x:c r="G722" s="24" t="str">
        <x:v>Multigressiv Monofocais B.I.G. NORM</x:v>
      </x:c>
      <x:c r="H722" s="24" t="str">
        <x:v>ColorMatic® 3 | X</x:v>
      </x:c>
      <x:c r="I722" s="24" t="str">
        <x:v>1.6</x:v>
      </x:c>
      <x:c r="J722" s="24" t="str">
        <x:v>1.60</x:v>
      </x:c>
      <x:c r="K722" s="24" t="str">
        <x:v>ROAD</x:v>
      </x:c>
      <x:c r="L722" s="40" t="n">
        <x:v>3562</x:v>
      </x:c>
      <x:c r="M722" s="24" t="str">
        <x:v>-10 a +10</x:v>
      </x:c>
      <x:c r="N722" s="24" t="str">
        <x:v>até -6</x:v>
      </x:c>
      <x:c r="O722" s="24"/>
      <x:c r="P722" s="24" t="str">
        <x:v>75</x:v>
      </x:c>
      <x:c r="Q722" s="24"/>
      <x:c r="R722" s="24"/>
      <x:c r="S722" s="26" t="n">
        <x:v>46024</x:v>
      </x:c>
      <x:c r="T722" s="26"/>
      <x:c r="U722" s="24" t="str">
        <x:v>ATIVA/SEM FIM INFORMADO</x:v>
      </x:c>
      <x:c r="V722" s="24"/>
      <x:c r="W722" s="24" t="n">
        <x:v>17</x:v>
      </x:c>
      <x:c r="X722" s="24" t="str">
        <x:v>tabela_rodenstock.pdf</x:v>
      </x:c>
      <x:c r="Y722" s="24" t="str">
        <x:v>alta</x:v>
      </x:c>
      <x:c r="Z722" s="24"/>
      <x:c r="AA722" s="24" t="str">
        <x:v>Rodenstock|Monofocal B.I.G. NORM|Surfaçada|Multigressiv Monofocais B.I.G. NORM|ColorMatic® 3 | X|1.6|1.60|ROAD|-10 a +10|até -6||75|||17</x:v>
      </x:c>
    </x:row>
    <x:row r="723">
      <x:c r="A723" s="24" t="str">
        <x:v>RD-5129D7BE17DB</x:v>
      </x:c>
      <x:c r="B723" s="24" t="str">
        <x:v>SIM</x:v>
      </x:c>
      <x:c r="C723" s="24" t="str">
        <x:v>DISPONÍVEL</x:v>
      </x:c>
      <x:c r="D723" s="24" t="str">
        <x:v>Rodenstock</x:v>
      </x:c>
      <x:c r="E723" s="24" t="str">
        <x:v>Monofocal B.I.G. NORM</x:v>
      </x:c>
      <x:c r="F723" s="24" t="str">
        <x:v>Surfaçada</x:v>
      </x:c>
      <x:c r="G723" s="24" t="str">
        <x:v>Multigressiv Monofocais B.I.G. NORM</x:v>
      </x:c>
      <x:c r="H723" s="24" t="str">
        <x:v>ColorMatic® 3 | X</x:v>
      </x:c>
      <x:c r="I723" s="24" t="str">
        <x:v>1.6</x:v>
      </x:c>
      <x:c r="J723" s="24" t="str">
        <x:v>1.60</x:v>
      </x:c>
      <x:c r="K723" s="24" t="str">
        <x:v>Solitaire Protect</x:v>
      </x:c>
      <x:c r="L723" s="40" t="n">
        <x:v>3302</x:v>
      </x:c>
      <x:c r="M723" s="24" t="str">
        <x:v>-10 a +10</x:v>
      </x:c>
      <x:c r="N723" s="24" t="str">
        <x:v>até -6</x:v>
      </x:c>
      <x:c r="O723" s="24"/>
      <x:c r="P723" s="24" t="str">
        <x:v>75</x:v>
      </x:c>
      <x:c r="Q723" s="24"/>
      <x:c r="R723" s="24"/>
      <x:c r="S723" s="26" t="n">
        <x:v>46024</x:v>
      </x:c>
      <x:c r="T723" s="26"/>
      <x:c r="U723" s="24" t="str">
        <x:v>ATIVA/SEM FIM INFORMADO</x:v>
      </x:c>
      <x:c r="V723" s="24"/>
      <x:c r="W723" s="24" t="n">
        <x:v>17</x:v>
      </x:c>
      <x:c r="X723" s="24" t="str">
        <x:v>tabela_rodenstock.pdf</x:v>
      </x:c>
      <x:c r="Y723" s="24" t="str">
        <x:v>alta</x:v>
      </x:c>
      <x:c r="Z723" s="24"/>
      <x:c r="AA723" s="24" t="str">
        <x:v>Rodenstock|Monofocal B.I.G. NORM|Surfaçada|Multigressiv Monofocais B.I.G. NORM|ColorMatic® 3 | X|1.6|1.60|Solitaire Protect|-10 a +10|até -6||75|||17</x:v>
      </x:c>
    </x:row>
    <x:row r="724">
      <x:c r="A724" s="24" t="str">
        <x:v>RD-B17A4727FCF6</x:v>
      </x:c>
      <x:c r="B724" s="24" t="str">
        <x:v>SIM</x:v>
      </x:c>
      <x:c r="C724" s="24" t="str">
        <x:v>DISPONÍVEL</x:v>
      </x:c>
      <x:c r="D724" s="24" t="str">
        <x:v>Rodenstock</x:v>
      </x:c>
      <x:c r="E724" s="24" t="str">
        <x:v>Monofocal B.I.G. NORM</x:v>
      </x:c>
      <x:c r="F724" s="24" t="str">
        <x:v>Surfaçada</x:v>
      </x:c>
      <x:c r="G724" s="24" t="str">
        <x:v>Multigressiv Monofocais B.I.G. NORM</x:v>
      </x:c>
      <x:c r="H724" s="24"/>
      <x:c r="I724" s="24" t="str">
        <x:v>1.67</x:v>
      </x:c>
      <x:c r="J724" s="24" t="str">
        <x:v>1.67</x:v>
      </x:c>
      <x:c r="K724" s="24" t="str">
        <x:v>LayR X-tra Clean</x:v>
      </x:c>
      <x:c r="L724" s="40" t="n">
        <x:v>3605</x:v>
      </x:c>
      <x:c r="M724" s="24" t="str">
        <x:v>-12 a +10</x:v>
      </x:c>
      <x:c r="N724" s="24" t="str">
        <x:v>até -6</x:v>
      </x:c>
      <x:c r="O724" s="24"/>
      <x:c r="P724" s="24" t="str">
        <x:v>75</x:v>
      </x:c>
      <x:c r="Q724" s="24"/>
      <x:c r="R724" s="24"/>
      <x:c r="S724" s="26" t="n">
        <x:v>46024</x:v>
      </x:c>
      <x:c r="T724" s="26"/>
      <x:c r="U724" s="24" t="str">
        <x:v>ATIVA/SEM FIM INFORMADO</x:v>
      </x:c>
      <x:c r="V724" s="24"/>
      <x:c r="W724" s="24" t="n">
        <x:v>17</x:v>
      </x:c>
      <x:c r="X724" s="24" t="str">
        <x:v>tabela_rodenstock.pdf</x:v>
      </x:c>
      <x:c r="Y724" s="24" t="str">
        <x:v>alta</x:v>
      </x:c>
      <x:c r="Z724" s="24"/>
      <x:c r="AA724" s="24" t="str">
        <x:v>Rodenstock|Monofocal B.I.G. NORM|Surfaçada|Multigressiv Monofocais B.I.G. NORM||1.67|1.67|LayR X-tra Clean|-12 a +10|até -6||75|||17</x:v>
      </x:c>
    </x:row>
    <x:row r="725">
      <x:c r="A725" s="24" t="str">
        <x:v>RD-0BAB33515BAF</x:v>
      </x:c>
      <x:c r="B725" s="24" t="str">
        <x:v>SIM</x:v>
      </x:c>
      <x:c r="C725" s="24" t="str">
        <x:v>DISPONÍVEL</x:v>
      </x:c>
      <x:c r="D725" s="24" t="str">
        <x:v>Rodenstock</x:v>
      </x:c>
      <x:c r="E725" s="24" t="str">
        <x:v>Monofocal B.I.G. NORM</x:v>
      </x:c>
      <x:c r="F725" s="24" t="str">
        <x:v>Surfaçada</x:v>
      </x:c>
      <x:c r="G725" s="24" t="str">
        <x:v>Multigressiv Monofocais B.I.G. NORM</x:v>
      </x:c>
      <x:c r="H725" s="24"/>
      <x:c r="I725" s="24" t="str">
        <x:v>1.67</x:v>
      </x:c>
      <x:c r="J725" s="24" t="str">
        <x:v>1.67</x:v>
      </x:c>
      <x:c r="K725" s="24" t="str">
        <x:v>LayR Balance</x:v>
      </x:c>
      <x:c r="L725" s="40" t="n">
        <x:v>3605</x:v>
      </x:c>
      <x:c r="M725" s="24" t="str">
        <x:v>-12 a +10</x:v>
      </x:c>
      <x:c r="N725" s="24" t="str">
        <x:v>até -6</x:v>
      </x:c>
      <x:c r="O725" s="24"/>
      <x:c r="P725" s="24" t="str">
        <x:v>75</x:v>
      </x:c>
      <x:c r="Q725" s="24"/>
      <x:c r="R725" s="24"/>
      <x:c r="S725" s="26" t="n">
        <x:v>46024</x:v>
      </x:c>
      <x:c r="T725" s="26"/>
      <x:c r="U725" s="24" t="str">
        <x:v>ATIVA/SEM FIM INFORMADO</x:v>
      </x:c>
      <x:c r="V725" s="24"/>
      <x:c r="W725" s="24" t="n">
        <x:v>17</x:v>
      </x:c>
      <x:c r="X725" s="24" t="str">
        <x:v>tabela_rodenstock.pdf</x:v>
      </x:c>
      <x:c r="Y725" s="24" t="str">
        <x:v>alta</x:v>
      </x:c>
      <x:c r="Z725" s="24"/>
      <x:c r="AA725" s="24" t="str">
        <x:v>Rodenstock|Monofocal B.I.G. NORM|Surfaçada|Multigressiv Monofocais B.I.G. NORM||1.67|1.67|LayR Balance|-12 a +10|até -6||75|||17</x:v>
      </x:c>
    </x:row>
    <x:row r="726">
      <x:c r="A726" s="24" t="str">
        <x:v>RD-3FD1CF797BD1</x:v>
      </x:c>
      <x:c r="B726" s="24" t="str">
        <x:v>SIM</x:v>
      </x:c>
      <x:c r="C726" s="24" t="str">
        <x:v>DISPONÍVEL</x:v>
      </x:c>
      <x:c r="D726" s="24" t="str">
        <x:v>Rodenstock</x:v>
      </x:c>
      <x:c r="E726" s="24" t="str">
        <x:v>Monofocal B.I.G. NORM</x:v>
      </x:c>
      <x:c r="F726" s="24" t="str">
        <x:v>Surfaçada</x:v>
      </x:c>
      <x:c r="G726" s="24" t="str">
        <x:v>Multigressiv Monofocais B.I.G. NORM</x:v>
      </x:c>
      <x:c r="H726" s="24"/>
      <x:c r="I726" s="24" t="str">
        <x:v>1.67</x:v>
      </x:c>
      <x:c r="J726" s="24" t="str">
        <x:v>1.67</x:v>
      </x:c>
      <x:c r="K726" s="24" t="str">
        <x:v>Solitaire X-tra Clean</x:v>
      </x:c>
      <x:c r="L726" s="40" t="n">
        <x:v>3535</x:v>
      </x:c>
      <x:c r="M726" s="24" t="str">
        <x:v>-12 a +10</x:v>
      </x:c>
      <x:c r="N726" s="24" t="str">
        <x:v>até -6</x:v>
      </x:c>
      <x:c r="O726" s="24"/>
      <x:c r="P726" s="24" t="str">
        <x:v>75</x:v>
      </x:c>
      <x:c r="Q726" s="24"/>
      <x:c r="R726" s="24"/>
      <x:c r="S726" s="26" t="n">
        <x:v>46024</x:v>
      </x:c>
      <x:c r="T726" s="26"/>
      <x:c r="U726" s="24" t="str">
        <x:v>ATIVA/SEM FIM INFORMADO</x:v>
      </x:c>
      <x:c r="V726" s="24"/>
      <x:c r="W726" s="24" t="n">
        <x:v>17</x:v>
      </x:c>
      <x:c r="X726" s="24" t="str">
        <x:v>tabela_rodenstock.pdf</x:v>
      </x:c>
      <x:c r="Y726" s="24" t="str">
        <x:v>alta</x:v>
      </x:c>
      <x:c r="Z726" s="24"/>
      <x:c r="AA726" s="24" t="str">
        <x:v>Rodenstock|Monofocal B.I.G. NORM|Surfaçada|Multigressiv Monofocais B.I.G. NORM||1.67|1.67|Solitaire X-tra Clean|-12 a +10|até -6||75|||17</x:v>
      </x:c>
    </x:row>
    <x:row r="727">
      <x:c r="A727" s="24" t="str">
        <x:v>RD-58AAE2C8CB23</x:v>
      </x:c>
      <x:c r="B727" s="24" t="str">
        <x:v>SIM</x:v>
      </x:c>
      <x:c r="C727" s="24" t="str">
        <x:v>DISPONÍVEL</x:v>
      </x:c>
      <x:c r="D727" s="24" t="str">
        <x:v>Rodenstock</x:v>
      </x:c>
      <x:c r="E727" s="24" t="str">
        <x:v>Monofocal B.I.G. NORM</x:v>
      </x:c>
      <x:c r="F727" s="24" t="str">
        <x:v>Surfaçada</x:v>
      </x:c>
      <x:c r="G727" s="24" t="str">
        <x:v>Multigressiv Monofocais B.I.G. NORM</x:v>
      </x:c>
      <x:c r="H727" s="24"/>
      <x:c r="I727" s="24" t="str">
        <x:v>1.67</x:v>
      </x:c>
      <x:c r="J727" s="24" t="str">
        <x:v>1.67</x:v>
      </x:c>
      <x:c r="K727" s="24" t="str">
        <x:v>Solitaire Protect Plus</x:v>
      </x:c>
      <x:c r="L727" s="40" t="n">
        <x:v>3485</x:v>
      </x:c>
      <x:c r="M727" s="24" t="str">
        <x:v>-12 a +10</x:v>
      </x:c>
      <x:c r="N727" s="24" t="str">
        <x:v>até -6</x:v>
      </x:c>
      <x:c r="O727" s="24"/>
      <x:c r="P727" s="24" t="str">
        <x:v>75</x:v>
      </x:c>
      <x:c r="Q727" s="24"/>
      <x:c r="R727" s="24"/>
      <x:c r="S727" s="26" t="n">
        <x:v>46024</x:v>
      </x:c>
      <x:c r="T727" s="26"/>
      <x:c r="U727" s="24" t="str">
        <x:v>ATIVA/SEM FIM INFORMADO</x:v>
      </x:c>
      <x:c r="V727" s="24"/>
      <x:c r="W727" s="24" t="n">
        <x:v>17</x:v>
      </x:c>
      <x:c r="X727" s="24" t="str">
        <x:v>tabela_rodenstock.pdf</x:v>
      </x:c>
      <x:c r="Y727" s="24" t="str">
        <x:v>alta</x:v>
      </x:c>
      <x:c r="Z727" s="24"/>
      <x:c r="AA727" s="24" t="str">
        <x:v>Rodenstock|Monofocal B.I.G. NORM|Surfaçada|Multigressiv Monofocais B.I.G. NORM||1.67|1.67|Solitaire Protect Plus|-12 a +10|até -6||75|||17</x:v>
      </x:c>
    </x:row>
    <x:row r="728">
      <x:c r="A728" s="24" t="str">
        <x:v>RD-FCAA019E8773</x:v>
      </x:c>
      <x:c r="B728" s="24" t="str">
        <x:v>SIM</x:v>
      </x:c>
      <x:c r="C728" s="24" t="str">
        <x:v>DISPONÍVEL</x:v>
      </x:c>
      <x:c r="D728" s="24" t="str">
        <x:v>Rodenstock</x:v>
      </x:c>
      <x:c r="E728" s="24" t="str">
        <x:v>Monofocal B.I.G. NORM</x:v>
      </x:c>
      <x:c r="F728" s="24" t="str">
        <x:v>Surfaçada</x:v>
      </x:c>
      <x:c r="G728" s="24" t="str">
        <x:v>Multigressiv Monofocais B.I.G. NORM</x:v>
      </x:c>
      <x:c r="H728" s="24"/>
      <x:c r="I728" s="24" t="str">
        <x:v>1.67</x:v>
      </x:c>
      <x:c r="J728" s="24" t="str">
        <x:v>1.67</x:v>
      </x:c>
      <x:c r="K728" s="24" t="str">
        <x:v>ROAD</x:v>
      </x:c>
      <x:c r="L728" s="40" t="n">
        <x:v>3485</x:v>
      </x:c>
      <x:c r="M728" s="24" t="str">
        <x:v>-12 a +10</x:v>
      </x:c>
      <x:c r="N728" s="24" t="str">
        <x:v>até -6</x:v>
      </x:c>
      <x:c r="O728" s="24"/>
      <x:c r="P728" s="24" t="str">
        <x:v>75</x:v>
      </x:c>
      <x:c r="Q728" s="24"/>
      <x:c r="R728" s="24"/>
      <x:c r="S728" s="26" t="n">
        <x:v>46024</x:v>
      </x:c>
      <x:c r="T728" s="26"/>
      <x:c r="U728" s="24" t="str">
        <x:v>ATIVA/SEM FIM INFORMADO</x:v>
      </x:c>
      <x:c r="V728" s="24"/>
      <x:c r="W728" s="24" t="n">
        <x:v>17</x:v>
      </x:c>
      <x:c r="X728" s="24" t="str">
        <x:v>tabela_rodenstock.pdf</x:v>
      </x:c>
      <x:c r="Y728" s="24" t="str">
        <x:v>alta</x:v>
      </x:c>
      <x:c r="Z728" s="24"/>
      <x:c r="AA728" s="24" t="str">
        <x:v>Rodenstock|Monofocal B.I.G. NORM|Surfaçada|Multigressiv Monofocais B.I.G. NORM||1.67|1.67|ROAD|-12 a +10|até -6||75|||17</x:v>
      </x:c>
    </x:row>
    <x:row r="729">
      <x:c r="A729" s="24" t="str">
        <x:v>RD-65696217EE08</x:v>
      </x:c>
      <x:c r="B729" s="24" t="str">
        <x:v>SIM</x:v>
      </x:c>
      <x:c r="C729" s="24" t="str">
        <x:v>DISPONÍVEL</x:v>
      </x:c>
      <x:c r="D729" s="24" t="str">
        <x:v>Rodenstock</x:v>
      </x:c>
      <x:c r="E729" s="24" t="str">
        <x:v>Monofocal B.I.G. NORM</x:v>
      </x:c>
      <x:c r="F729" s="24" t="str">
        <x:v>Surfaçada</x:v>
      </x:c>
      <x:c r="G729" s="24" t="str">
        <x:v>Multigressiv Monofocais B.I.G. NORM</x:v>
      </x:c>
      <x:c r="H729" s="24"/>
      <x:c r="I729" s="24" t="str">
        <x:v>1.67</x:v>
      </x:c>
      <x:c r="J729" s="24" t="str">
        <x:v>1.67</x:v>
      </x:c>
      <x:c r="K729" s="24" t="str">
        <x:v>Solitaire Protect</x:v>
      </x:c>
      <x:c r="L729" s="40" t="n">
        <x:v>3225</x:v>
      </x:c>
      <x:c r="M729" s="24" t="str">
        <x:v>-12 a +10</x:v>
      </x:c>
      <x:c r="N729" s="24" t="str">
        <x:v>até -6</x:v>
      </x:c>
      <x:c r="O729" s="24"/>
      <x:c r="P729" s="24" t="str">
        <x:v>75</x:v>
      </x:c>
      <x:c r="Q729" s="24"/>
      <x:c r="R729" s="24"/>
      <x:c r="S729" s="26" t="n">
        <x:v>46024</x:v>
      </x:c>
      <x:c r="T729" s="26"/>
      <x:c r="U729" s="24" t="str">
        <x:v>ATIVA/SEM FIM INFORMADO</x:v>
      </x:c>
      <x:c r="V729" s="24"/>
      <x:c r="W729" s="24" t="n">
        <x:v>17</x:v>
      </x:c>
      <x:c r="X729" s="24" t="str">
        <x:v>tabela_rodenstock.pdf</x:v>
      </x:c>
      <x:c r="Y729" s="24" t="str">
        <x:v>alta</x:v>
      </x:c>
      <x:c r="Z729" s="24"/>
      <x:c r="AA729" s="24" t="str">
        <x:v>Rodenstock|Monofocal B.I.G. NORM|Surfaçada|Multigressiv Monofocais B.I.G. NORM||1.67|1.67|Solitaire Protect|-12 a +10|até -6||75|||17</x:v>
      </x:c>
    </x:row>
    <x:row r="730">
      <x:c r="A730" s="24" t="str">
        <x:v>RD-BE3E9501650D</x:v>
      </x:c>
      <x:c r="B730" s="24" t="str">
        <x:v>SIM</x:v>
      </x:c>
      <x:c r="C730" s="24" t="str">
        <x:v>DISPONÍVEL</x:v>
      </x:c>
      <x:c r="D730" s="24" t="str">
        <x:v>Rodenstock</x:v>
      </x:c>
      <x:c r="E730" s="24" t="str">
        <x:v>Monofocal B.I.G. NORM</x:v>
      </x:c>
      <x:c r="F730" s="24" t="str">
        <x:v>Surfaçada</x:v>
      </x:c>
      <x:c r="G730" s="24" t="str">
        <x:v>Multigressiv Monofocais B.I.G. NORM</x:v>
      </x:c>
      <x:c r="H730" s="24" t="str">
        <x:v>ColorMatic® 3</x:v>
      </x:c>
      <x:c r="I730" s="24" t="str">
        <x:v>1.67</x:v>
      </x:c>
      <x:c r="J730" s="24" t="str">
        <x:v>1.67</x:v>
      </x:c>
      <x:c r="K730" s="24" t="str">
        <x:v>LayR X-tra Clean</x:v>
      </x:c>
      <x:c r="L730" s="40" t="n">
        <x:v>4898</x:v>
      </x:c>
      <x:c r="M730" s="24" t="str">
        <x:v>-12 a +10</x:v>
      </x:c>
      <x:c r="N730" s="24" t="str">
        <x:v>até -6</x:v>
      </x:c>
      <x:c r="O730" s="24"/>
      <x:c r="P730" s="24" t="str">
        <x:v>75</x:v>
      </x:c>
      <x:c r="Q730" s="24"/>
      <x:c r="R730" s="24"/>
      <x:c r="S730" s="26" t="n">
        <x:v>46024</x:v>
      </x:c>
      <x:c r="T730" s="26"/>
      <x:c r="U730" s="24" t="str">
        <x:v>ATIVA/SEM FIM INFORMADO</x:v>
      </x:c>
      <x:c r="V730" s="24"/>
      <x:c r="W730" s="24" t="n">
        <x:v>17</x:v>
      </x:c>
      <x:c r="X730" s="24" t="str">
        <x:v>tabela_rodenstock.pdf</x:v>
      </x:c>
      <x:c r="Y730" s="24" t="str">
        <x:v>alta</x:v>
      </x:c>
      <x:c r="Z730" s="24"/>
      <x:c r="AA730" s="24" t="str">
        <x:v>Rodenstock|Monofocal B.I.G. NORM|Surfaçada|Multigressiv Monofocais B.I.G. NORM|ColorMatic® 3|1.67|1.67|LayR X-tra Clean|-12 a +10|até -6||75|||17</x:v>
      </x:c>
    </x:row>
    <x:row r="731">
      <x:c r="A731" s="24" t="str">
        <x:v>RD-7528E0F4F374</x:v>
      </x:c>
      <x:c r="B731" s="24" t="str">
        <x:v>SIM</x:v>
      </x:c>
      <x:c r="C731" s="24" t="str">
        <x:v>DISPONÍVEL</x:v>
      </x:c>
      <x:c r="D731" s="24" t="str">
        <x:v>Rodenstock</x:v>
      </x:c>
      <x:c r="E731" s="24" t="str">
        <x:v>Monofocal B.I.G. NORM</x:v>
      </x:c>
      <x:c r="F731" s="24" t="str">
        <x:v>Surfaçada</x:v>
      </x:c>
      <x:c r="G731" s="24" t="str">
        <x:v>Multigressiv Monofocais B.I.G. NORM</x:v>
      </x:c>
      <x:c r="H731" s="24" t="str">
        <x:v>ColorMatic® 3</x:v>
      </x:c>
      <x:c r="I731" s="24" t="str">
        <x:v>1.67</x:v>
      </x:c>
      <x:c r="J731" s="24" t="str">
        <x:v>1.67</x:v>
      </x:c>
      <x:c r="K731" s="24" t="str">
        <x:v>LayR Balance</x:v>
      </x:c>
      <x:c r="L731" s="40" t="n">
        <x:v>4898</x:v>
      </x:c>
      <x:c r="M731" s="24" t="str">
        <x:v>-12 a +10</x:v>
      </x:c>
      <x:c r="N731" s="24" t="str">
        <x:v>até -6</x:v>
      </x:c>
      <x:c r="O731" s="24"/>
      <x:c r="P731" s="24" t="str">
        <x:v>75</x:v>
      </x:c>
      <x:c r="Q731" s="24"/>
      <x:c r="R731" s="24"/>
      <x:c r="S731" s="26" t="n">
        <x:v>46024</x:v>
      </x:c>
      <x:c r="T731" s="26"/>
      <x:c r="U731" s="24" t="str">
        <x:v>ATIVA/SEM FIM INFORMADO</x:v>
      </x:c>
      <x:c r="V731" s="24"/>
      <x:c r="W731" s="24" t="n">
        <x:v>17</x:v>
      </x:c>
      <x:c r="X731" s="24" t="str">
        <x:v>tabela_rodenstock.pdf</x:v>
      </x:c>
      <x:c r="Y731" s="24" t="str">
        <x:v>alta</x:v>
      </x:c>
      <x:c r="Z731" s="24"/>
      <x:c r="AA731" s="24" t="str">
        <x:v>Rodenstock|Monofocal B.I.G. NORM|Surfaçada|Multigressiv Monofocais B.I.G. NORM|ColorMatic® 3|1.67|1.67|LayR Balance|-12 a +10|até -6||75|||17</x:v>
      </x:c>
    </x:row>
    <x:row r="732">
      <x:c r="A732" s="24" t="str">
        <x:v>RD-B11EDDD8D4C1</x:v>
      </x:c>
      <x:c r="B732" s="24" t="str">
        <x:v>SIM</x:v>
      </x:c>
      <x:c r="C732" s="24" t="str">
        <x:v>DISPONÍVEL</x:v>
      </x:c>
      <x:c r="D732" s="24" t="str">
        <x:v>Rodenstock</x:v>
      </x:c>
      <x:c r="E732" s="24" t="str">
        <x:v>Monofocal B.I.G. NORM</x:v>
      </x:c>
      <x:c r="F732" s="24" t="str">
        <x:v>Surfaçada</x:v>
      </x:c>
      <x:c r="G732" s="24" t="str">
        <x:v>Multigressiv Monofocais B.I.G. NORM</x:v>
      </x:c>
      <x:c r="H732" s="24" t="str">
        <x:v>ColorMatic® 3</x:v>
      </x:c>
      <x:c r="I732" s="24" t="str">
        <x:v>1.67</x:v>
      </x:c>
      <x:c r="J732" s="24" t="str">
        <x:v>1.67</x:v>
      </x:c>
      <x:c r="K732" s="24" t="str">
        <x:v>Solitaire X-tra Clean</x:v>
      </x:c>
      <x:c r="L732" s="40" t="n">
        <x:v>4828</x:v>
      </x:c>
      <x:c r="M732" s="24" t="str">
        <x:v>-12 a +10</x:v>
      </x:c>
      <x:c r="N732" s="24" t="str">
        <x:v>até -6</x:v>
      </x:c>
      <x:c r="O732" s="24"/>
      <x:c r="P732" s="24" t="str">
        <x:v>75</x:v>
      </x:c>
      <x:c r="Q732" s="24"/>
      <x:c r="R732" s="24"/>
      <x:c r="S732" s="26" t="n">
        <x:v>46024</x:v>
      </x:c>
      <x:c r="T732" s="26"/>
      <x:c r="U732" s="24" t="str">
        <x:v>ATIVA/SEM FIM INFORMADO</x:v>
      </x:c>
      <x:c r="V732" s="24"/>
      <x:c r="W732" s="24" t="n">
        <x:v>17</x:v>
      </x:c>
      <x:c r="X732" s="24" t="str">
        <x:v>tabela_rodenstock.pdf</x:v>
      </x:c>
      <x:c r="Y732" s="24" t="str">
        <x:v>alta</x:v>
      </x:c>
      <x:c r="Z732" s="24"/>
      <x:c r="AA732" s="24" t="str">
        <x:v>Rodenstock|Monofocal B.I.G. NORM|Surfaçada|Multigressiv Monofocais B.I.G. NORM|ColorMatic® 3|1.67|1.67|Solitaire X-tra Clean|-12 a +10|até -6||75|||17</x:v>
      </x:c>
    </x:row>
    <x:row r="733">
      <x:c r="A733" s="24" t="str">
        <x:v>RD-1155C6A9146B</x:v>
      </x:c>
      <x:c r="B733" s="24" t="str">
        <x:v>SIM</x:v>
      </x:c>
      <x:c r="C733" s="24" t="str">
        <x:v>DISPONÍVEL</x:v>
      </x:c>
      <x:c r="D733" s="24" t="str">
        <x:v>Rodenstock</x:v>
      </x:c>
      <x:c r="E733" s="24" t="str">
        <x:v>Monofocal B.I.G. NORM</x:v>
      </x:c>
      <x:c r="F733" s="24" t="str">
        <x:v>Surfaçada</x:v>
      </x:c>
      <x:c r="G733" s="24" t="str">
        <x:v>Multigressiv Monofocais B.I.G. NORM</x:v>
      </x:c>
      <x:c r="H733" s="24" t="str">
        <x:v>ColorMatic® 3</x:v>
      </x:c>
      <x:c r="I733" s="24" t="str">
        <x:v>1.67</x:v>
      </x:c>
      <x:c r="J733" s="24" t="str">
        <x:v>1.67</x:v>
      </x:c>
      <x:c r="K733" s="24" t="str">
        <x:v>Solitaire Protect Plus</x:v>
      </x:c>
      <x:c r="L733" s="40" t="n">
        <x:v>4778</x:v>
      </x:c>
      <x:c r="M733" s="24" t="str">
        <x:v>-12 a +10</x:v>
      </x:c>
      <x:c r="N733" s="24" t="str">
        <x:v>até -6</x:v>
      </x:c>
      <x:c r="O733" s="24"/>
      <x:c r="P733" s="24" t="str">
        <x:v>75</x:v>
      </x:c>
      <x:c r="Q733" s="24"/>
      <x:c r="R733" s="24"/>
      <x:c r="S733" s="26" t="n">
        <x:v>46024</x:v>
      </x:c>
      <x:c r="T733" s="26"/>
      <x:c r="U733" s="24" t="str">
        <x:v>ATIVA/SEM FIM INFORMADO</x:v>
      </x:c>
      <x:c r="V733" s="24"/>
      <x:c r="W733" s="24" t="n">
        <x:v>17</x:v>
      </x:c>
      <x:c r="X733" s="24" t="str">
        <x:v>tabela_rodenstock.pdf</x:v>
      </x:c>
      <x:c r="Y733" s="24" t="str">
        <x:v>alta</x:v>
      </x:c>
      <x:c r="Z733" s="24"/>
      <x:c r="AA733" s="24" t="str">
        <x:v>Rodenstock|Monofocal B.I.G. NORM|Surfaçada|Multigressiv Monofocais B.I.G. NORM|ColorMatic® 3|1.67|1.67|Solitaire Protect Plus|-12 a +10|até -6||75|||17</x:v>
      </x:c>
    </x:row>
    <x:row r="734">
      <x:c r="A734" s="24" t="str">
        <x:v>RD-3F05FEBED913</x:v>
      </x:c>
      <x:c r="B734" s="24" t="str">
        <x:v>SIM</x:v>
      </x:c>
      <x:c r="C734" s="24" t="str">
        <x:v>DISPONÍVEL</x:v>
      </x:c>
      <x:c r="D734" s="24" t="str">
        <x:v>Rodenstock</x:v>
      </x:c>
      <x:c r="E734" s="24" t="str">
        <x:v>Monofocal B.I.G. NORM</x:v>
      </x:c>
      <x:c r="F734" s="24" t="str">
        <x:v>Surfaçada</x:v>
      </x:c>
      <x:c r="G734" s="24" t="str">
        <x:v>Multigressiv Monofocais B.I.G. NORM</x:v>
      </x:c>
      <x:c r="H734" s="24" t="str">
        <x:v>ColorMatic® 3</x:v>
      </x:c>
      <x:c r="I734" s="24" t="str">
        <x:v>1.67</x:v>
      </x:c>
      <x:c r="J734" s="24" t="str">
        <x:v>1.67</x:v>
      </x:c>
      <x:c r="K734" s="24" t="str">
        <x:v>ROAD</x:v>
      </x:c>
      <x:c r="L734" s="40" t="n">
        <x:v>4778</x:v>
      </x:c>
      <x:c r="M734" s="24" t="str">
        <x:v>-12 a +10</x:v>
      </x:c>
      <x:c r="N734" s="24" t="str">
        <x:v>até -6</x:v>
      </x:c>
      <x:c r="O734" s="24"/>
      <x:c r="P734" s="24" t="str">
        <x:v>75</x:v>
      </x:c>
      <x:c r="Q734" s="24"/>
      <x:c r="R734" s="24"/>
      <x:c r="S734" s="26" t="n">
        <x:v>46024</x:v>
      </x:c>
      <x:c r="T734" s="26"/>
      <x:c r="U734" s="24" t="str">
        <x:v>ATIVA/SEM FIM INFORMADO</x:v>
      </x:c>
      <x:c r="V734" s="24"/>
      <x:c r="W734" s="24" t="n">
        <x:v>17</x:v>
      </x:c>
      <x:c r="X734" s="24" t="str">
        <x:v>tabela_rodenstock.pdf</x:v>
      </x:c>
      <x:c r="Y734" s="24" t="str">
        <x:v>alta</x:v>
      </x:c>
      <x:c r="Z734" s="24"/>
      <x:c r="AA734" s="24" t="str">
        <x:v>Rodenstock|Monofocal B.I.G. NORM|Surfaçada|Multigressiv Monofocais B.I.G. NORM|ColorMatic® 3|1.67|1.67|ROAD|-12 a +10|até -6||75|||17</x:v>
      </x:c>
    </x:row>
    <x:row r="735">
      <x:c r="A735" s="24" t="str">
        <x:v>RD-97EEF8F25437</x:v>
      </x:c>
      <x:c r="B735" s="24" t="str">
        <x:v>SIM</x:v>
      </x:c>
      <x:c r="C735" s="24" t="str">
        <x:v>DISPONÍVEL</x:v>
      </x:c>
      <x:c r="D735" s="24" t="str">
        <x:v>Rodenstock</x:v>
      </x:c>
      <x:c r="E735" s="24" t="str">
        <x:v>Monofocal B.I.G. NORM</x:v>
      </x:c>
      <x:c r="F735" s="24" t="str">
        <x:v>Surfaçada</x:v>
      </x:c>
      <x:c r="G735" s="24" t="str">
        <x:v>Multigressiv Monofocais B.I.G. NORM</x:v>
      </x:c>
      <x:c r="H735" s="24" t="str">
        <x:v>ColorMatic® 3</x:v>
      </x:c>
      <x:c r="I735" s="24" t="str">
        <x:v>1.67</x:v>
      </x:c>
      <x:c r="J735" s="24" t="str">
        <x:v>1.67</x:v>
      </x:c>
      <x:c r="K735" s="24" t="str">
        <x:v>Solitaire Protect</x:v>
      </x:c>
      <x:c r="L735" s="40" t="n">
        <x:v>4518</x:v>
      </x:c>
      <x:c r="M735" s="24" t="str">
        <x:v>-12 a +10</x:v>
      </x:c>
      <x:c r="N735" s="24" t="str">
        <x:v>até -6</x:v>
      </x:c>
      <x:c r="O735" s="24"/>
      <x:c r="P735" s="24" t="str">
        <x:v>75</x:v>
      </x:c>
      <x:c r="Q735" s="24"/>
      <x:c r="R735" s="24"/>
      <x:c r="S735" s="26" t="n">
        <x:v>46024</x:v>
      </x:c>
      <x:c r="T735" s="26"/>
      <x:c r="U735" s="24" t="str">
        <x:v>ATIVA/SEM FIM INFORMADO</x:v>
      </x:c>
      <x:c r="V735" s="24"/>
      <x:c r="W735" s="24" t="n">
        <x:v>17</x:v>
      </x:c>
      <x:c r="X735" s="24" t="str">
        <x:v>tabela_rodenstock.pdf</x:v>
      </x:c>
      <x:c r="Y735" s="24" t="str">
        <x:v>alta</x:v>
      </x:c>
      <x:c r="Z735" s="24"/>
      <x:c r="AA735" s="24" t="str">
        <x:v>Rodenstock|Monofocal B.I.G. NORM|Surfaçada|Multigressiv Monofocais B.I.G. NORM|ColorMatic® 3|1.67|1.67|Solitaire Protect|-12 a +10|até -6||75|||17</x:v>
      </x:c>
    </x:row>
    <x:row r="736">
      <x:c r="A736" s="24" t="str">
        <x:v>RD-5BF760DD1EDD</x:v>
      </x:c>
      <x:c r="B736" s="24" t="str">
        <x:v>SIM</x:v>
      </x:c>
      <x:c r="C736" s="24" t="str">
        <x:v>DISPONÍVEL</x:v>
      </x:c>
      <x:c r="D736" s="24" t="str">
        <x:v>Rodenstock</x:v>
      </x:c>
      <x:c r="E736" s="24" t="str">
        <x:v>Monofocal B.I.G. NORM</x:v>
      </x:c>
      <x:c r="F736" s="24" t="str">
        <x:v>Surfaçada</x:v>
      </x:c>
      <x:c r="G736" s="24" t="str">
        <x:v>Multigressiv Monofocais B.I.G. NORM</x:v>
      </x:c>
      <x:c r="H736" s="24"/>
      <x:c r="I736" s="24" t="str">
        <x:v>1.74</x:v>
      </x:c>
      <x:c r="J736" s="24" t="str">
        <x:v>1.74</x:v>
      </x:c>
      <x:c r="K736" s="24" t="str">
        <x:v>LayR X-tra Clean</x:v>
      </x:c>
      <x:c r="L736" s="40" t="n">
        <x:v>5071</x:v>
      </x:c>
      <x:c r="M736" s="24" t="str">
        <x:v>-18 a +13</x:v>
      </x:c>
      <x:c r="N736" s="24" t="str">
        <x:v>até -6</x:v>
      </x:c>
      <x:c r="O736" s="24"/>
      <x:c r="P736" s="24" t="str">
        <x:v>75</x:v>
      </x:c>
      <x:c r="Q736" s="24"/>
      <x:c r="R736" s="24"/>
      <x:c r="S736" s="26" t="n">
        <x:v>46024</x:v>
      </x:c>
      <x:c r="T736" s="26"/>
      <x:c r="U736" s="24" t="str">
        <x:v>ATIVA/SEM FIM INFORMADO</x:v>
      </x:c>
      <x:c r="V736" s="24"/>
      <x:c r="W736" s="24" t="n">
        <x:v>17</x:v>
      </x:c>
      <x:c r="X736" s="24" t="str">
        <x:v>tabela_rodenstock.pdf</x:v>
      </x:c>
      <x:c r="Y736" s="24" t="str">
        <x:v>alta</x:v>
      </x:c>
      <x:c r="Z736" s="24"/>
      <x:c r="AA736" s="24" t="str">
        <x:v>Rodenstock|Monofocal B.I.G. NORM|Surfaçada|Multigressiv Monofocais B.I.G. NORM||1.74|1.74|LayR X-tra Clean|-18 a +13|até -6||75|||17</x:v>
      </x:c>
    </x:row>
    <x:row r="737">
      <x:c r="A737" s="24" t="str">
        <x:v>RD-B6D94B4CA5E5</x:v>
      </x:c>
      <x:c r="B737" s="24" t="str">
        <x:v>SIM</x:v>
      </x:c>
      <x:c r="C737" s="24" t="str">
        <x:v>DISPONÍVEL</x:v>
      </x:c>
      <x:c r="D737" s="24" t="str">
        <x:v>Rodenstock</x:v>
      </x:c>
      <x:c r="E737" s="24" t="str">
        <x:v>Monofocal B.I.G. NORM</x:v>
      </x:c>
      <x:c r="F737" s="24" t="str">
        <x:v>Surfaçada</x:v>
      </x:c>
      <x:c r="G737" s="24" t="str">
        <x:v>Multigressiv Monofocais B.I.G. NORM</x:v>
      </x:c>
      <x:c r="H737" s="24"/>
      <x:c r="I737" s="24" t="str">
        <x:v>1.74</x:v>
      </x:c>
      <x:c r="J737" s="24" t="str">
        <x:v>1.74</x:v>
      </x:c>
      <x:c r="K737" s="24" t="str">
        <x:v>LayR Balance</x:v>
      </x:c>
      <x:c r="L737" s="40" t="n">
        <x:v>5071</x:v>
      </x:c>
      <x:c r="M737" s="24" t="str">
        <x:v>-18 a +13</x:v>
      </x:c>
      <x:c r="N737" s="24" t="str">
        <x:v>até -6</x:v>
      </x:c>
      <x:c r="O737" s="24"/>
      <x:c r="P737" s="24" t="str">
        <x:v>75</x:v>
      </x:c>
      <x:c r="Q737" s="24"/>
      <x:c r="R737" s="24"/>
      <x:c r="S737" s="26" t="n">
        <x:v>46024</x:v>
      </x:c>
      <x:c r="T737" s="26"/>
      <x:c r="U737" s="24" t="str">
        <x:v>ATIVA/SEM FIM INFORMADO</x:v>
      </x:c>
      <x:c r="V737" s="24"/>
      <x:c r="W737" s="24" t="n">
        <x:v>17</x:v>
      </x:c>
      <x:c r="X737" s="24" t="str">
        <x:v>tabela_rodenstock.pdf</x:v>
      </x:c>
      <x:c r="Y737" s="24" t="str">
        <x:v>alta</x:v>
      </x:c>
      <x:c r="Z737" s="24"/>
      <x:c r="AA737" s="24" t="str">
        <x:v>Rodenstock|Monofocal B.I.G. NORM|Surfaçada|Multigressiv Monofocais B.I.G. NORM||1.74|1.74|LayR Balance|-18 a +13|até -6||75|||17</x:v>
      </x:c>
    </x:row>
    <x:row r="738">
      <x:c r="A738" s="24" t="str">
        <x:v>RD-C8BDEDB53138</x:v>
      </x:c>
      <x:c r="B738" s="24" t="str">
        <x:v>SIM</x:v>
      </x:c>
      <x:c r="C738" s="24" t="str">
        <x:v>DISPONÍVEL</x:v>
      </x:c>
      <x:c r="D738" s="24" t="str">
        <x:v>Rodenstock</x:v>
      </x:c>
      <x:c r="E738" s="24" t="str">
        <x:v>Monofocal B.I.G. NORM</x:v>
      </x:c>
      <x:c r="F738" s="24" t="str">
        <x:v>Surfaçada</x:v>
      </x:c>
      <x:c r="G738" s="24" t="str">
        <x:v>Multigressiv Monofocais B.I.G. NORM</x:v>
      </x:c>
      <x:c r="H738" s="24"/>
      <x:c r="I738" s="24" t="str">
        <x:v>1.74</x:v>
      </x:c>
      <x:c r="J738" s="24" t="str">
        <x:v>1.74</x:v>
      </x:c>
      <x:c r="K738" s="24" t="str">
        <x:v>Solitaire X-tra Clean</x:v>
      </x:c>
      <x:c r="L738" s="40" t="n">
        <x:v>5001</x:v>
      </x:c>
      <x:c r="M738" s="24" t="str">
        <x:v>-18 a +13</x:v>
      </x:c>
      <x:c r="N738" s="24" t="str">
        <x:v>até -6</x:v>
      </x:c>
      <x:c r="O738" s="24"/>
      <x:c r="P738" s="24" t="str">
        <x:v>75</x:v>
      </x:c>
      <x:c r="Q738" s="24"/>
      <x:c r="R738" s="24"/>
      <x:c r="S738" s="26" t="n">
        <x:v>46024</x:v>
      </x:c>
      <x:c r="T738" s="26"/>
      <x:c r="U738" s="24" t="str">
        <x:v>ATIVA/SEM FIM INFORMADO</x:v>
      </x:c>
      <x:c r="V738" s="24"/>
      <x:c r="W738" s="24" t="n">
        <x:v>17</x:v>
      </x:c>
      <x:c r="X738" s="24" t="str">
        <x:v>tabela_rodenstock.pdf</x:v>
      </x:c>
      <x:c r="Y738" s="24" t="str">
        <x:v>alta</x:v>
      </x:c>
      <x:c r="Z738" s="24"/>
      <x:c r="AA738" s="24" t="str">
        <x:v>Rodenstock|Monofocal B.I.G. NORM|Surfaçada|Multigressiv Monofocais B.I.G. NORM||1.74|1.74|Solitaire X-tra Clean|-18 a +13|até -6||75|||17</x:v>
      </x:c>
    </x:row>
    <x:row r="739">
      <x:c r="A739" s="24" t="str">
        <x:v>RD-26D86B65A9FE</x:v>
      </x:c>
      <x:c r="B739" s="24" t="str">
        <x:v>SIM</x:v>
      </x:c>
      <x:c r="C739" s="24" t="str">
        <x:v>DISPONÍVEL</x:v>
      </x:c>
      <x:c r="D739" s="24" t="str">
        <x:v>Rodenstock</x:v>
      </x:c>
      <x:c r="E739" s="24" t="str">
        <x:v>Monofocal B.I.G. NORM</x:v>
      </x:c>
      <x:c r="F739" s="24" t="str">
        <x:v>Surfaçada</x:v>
      </x:c>
      <x:c r="G739" s="24" t="str">
        <x:v>Multigressiv Monofocais B.I.G. NORM</x:v>
      </x:c>
      <x:c r="H739" s="24"/>
      <x:c r="I739" s="24" t="str">
        <x:v>1.74</x:v>
      </x:c>
      <x:c r="J739" s="24" t="str">
        <x:v>1.74</x:v>
      </x:c>
      <x:c r="K739" s="24" t="str">
        <x:v>Solitaire Protect Plus</x:v>
      </x:c>
      <x:c r="L739" s="40" t="n">
        <x:v>4951</x:v>
      </x:c>
      <x:c r="M739" s="24" t="str">
        <x:v>-18 a +13</x:v>
      </x:c>
      <x:c r="N739" s="24" t="str">
        <x:v>até -6</x:v>
      </x:c>
      <x:c r="O739" s="24"/>
      <x:c r="P739" s="24" t="str">
        <x:v>75</x:v>
      </x:c>
      <x:c r="Q739" s="24"/>
      <x:c r="R739" s="24"/>
      <x:c r="S739" s="26" t="n">
        <x:v>46024</x:v>
      </x:c>
      <x:c r="T739" s="26"/>
      <x:c r="U739" s="24" t="str">
        <x:v>ATIVA/SEM FIM INFORMADO</x:v>
      </x:c>
      <x:c r="V739" s="24"/>
      <x:c r="W739" s="24" t="n">
        <x:v>17</x:v>
      </x:c>
      <x:c r="X739" s="24" t="str">
        <x:v>tabela_rodenstock.pdf</x:v>
      </x:c>
      <x:c r="Y739" s="24" t="str">
        <x:v>alta</x:v>
      </x:c>
      <x:c r="Z739" s="24"/>
      <x:c r="AA739" s="24" t="str">
        <x:v>Rodenstock|Monofocal B.I.G. NORM|Surfaçada|Multigressiv Monofocais B.I.G. NORM||1.74|1.74|Solitaire Protect Plus|-18 a +13|até -6||75|||17</x:v>
      </x:c>
    </x:row>
    <x:row r="740">
      <x:c r="A740" s="24" t="str">
        <x:v>RD-92C912DC4EEC</x:v>
      </x:c>
      <x:c r="B740" s="24" t="str">
        <x:v>SIM</x:v>
      </x:c>
      <x:c r="C740" s="24" t="str">
        <x:v>DISPONÍVEL</x:v>
      </x:c>
      <x:c r="D740" s="24" t="str">
        <x:v>Rodenstock</x:v>
      </x:c>
      <x:c r="E740" s="24" t="str">
        <x:v>Monofocal B.I.G. NORM</x:v>
      </x:c>
      <x:c r="F740" s="24" t="str">
        <x:v>Surfaçada</x:v>
      </x:c>
      <x:c r="G740" s="24" t="str">
        <x:v>Multigressiv Monofocais B.I.G. NORM</x:v>
      </x:c>
      <x:c r="H740" s="24"/>
      <x:c r="I740" s="24" t="str">
        <x:v>1.74</x:v>
      </x:c>
      <x:c r="J740" s="24" t="str">
        <x:v>1.74</x:v>
      </x:c>
      <x:c r="K740" s="24" t="str">
        <x:v>Solitaire Protect</x:v>
      </x:c>
      <x:c r="L740" s="40" t="n">
        <x:v>4691</x:v>
      </x:c>
      <x:c r="M740" s="24" t="str">
        <x:v>-18 a +13</x:v>
      </x:c>
      <x:c r="N740" s="24" t="str">
        <x:v>até -6</x:v>
      </x:c>
      <x:c r="O740" s="24"/>
      <x:c r="P740" s="24" t="str">
        <x:v>75</x:v>
      </x:c>
      <x:c r="Q740" s="24"/>
      <x:c r="R740" s="24"/>
      <x:c r="S740" s="26" t="n">
        <x:v>46024</x:v>
      </x:c>
      <x:c r="T740" s="26"/>
      <x:c r="U740" s="24" t="str">
        <x:v>ATIVA/SEM FIM INFORMADO</x:v>
      </x:c>
      <x:c r="V740" s="24"/>
      <x:c r="W740" s="24" t="n">
        <x:v>17</x:v>
      </x:c>
      <x:c r="X740" s="24" t="str">
        <x:v>tabela_rodenstock.pdf</x:v>
      </x:c>
      <x:c r="Y740" s="24" t="str">
        <x:v>alta</x:v>
      </x:c>
      <x:c r="Z740" s="24"/>
      <x:c r="AA740" s="24" t="str">
        <x:v>Rodenstock|Monofocal B.I.G. NORM|Surfaçada|Multigressiv Monofocais B.I.G. NORM||1.74|1.74|Solitaire Protect|-18 a +13|até -6||75|||17</x:v>
      </x:c>
    </x:row>
    <x:row r="741">
      <x:c r="A741" s="24" t="str">
        <x:v>RD-431E3ED438C3</x:v>
      </x:c>
      <x:c r="B741" s="24" t="str">
        <x:v>SIM</x:v>
      </x:c>
      <x:c r="C741" s="24" t="str">
        <x:v>DISPONÍVEL</x:v>
      </x:c>
      <x:c r="D741" s="24" t="str">
        <x:v>Rodenstock</x:v>
      </x:c>
      <x:c r="E741" s="24" t="str">
        <x:v>Monofocal B.I.G. NORM</x:v>
      </x:c>
      <x:c r="F741" s="24" t="str">
        <x:v>Surfaçada</x:v>
      </x:c>
      <x:c r="G741" s="24" t="str">
        <x:v>Cosmolit Surfaçadas B.I.G. NORM</x:v>
      </x:c>
      <x:c r="H741" s="24"/>
      <x:c r="I741" s="24" t="str">
        <x:v>1.5</x:v>
      </x:c>
      <x:c r="J741" s="24" t="str">
        <x:v>1.50</x:v>
      </x:c>
      <x:c r="K741" s="24" t="str">
        <x:v>LayR X-tra Clean</x:v>
      </x:c>
      <x:c r="L741" s="40" t="n">
        <x:v>1930</x:v>
      </x:c>
      <x:c r="M741" s="24" t="str">
        <x:v>-8 a +8</x:v>
      </x:c>
      <x:c r="N741" s="24" t="str">
        <x:v>até -6</x:v>
      </x:c>
      <x:c r="O741" s="24"/>
      <x:c r="P741" s="24" t="str">
        <x:v>75</x:v>
      </x:c>
      <x:c r="Q741" s="24"/>
      <x:c r="R741" s="24"/>
      <x:c r="S741" s="26" t="n">
        <x:v>46024</x:v>
      </x:c>
      <x:c r="T741" s="26"/>
      <x:c r="U741" s="24" t="str">
        <x:v>ATIVA/SEM FIM INFORMADO</x:v>
      </x:c>
      <x:c r="V741" s="24"/>
      <x:c r="W741" s="24" t="n">
        <x:v>17</x:v>
      </x:c>
      <x:c r="X741" s="24" t="str">
        <x:v>tabela_rodenstock.pdf</x:v>
      </x:c>
      <x:c r="Y741" s="24" t="str">
        <x:v>alta</x:v>
      </x:c>
      <x:c r="Z741" s="24"/>
      <x:c r="AA741" s="24" t="str">
        <x:v>Rodenstock|Monofocal B.I.G. NORM|Surfaçada|Cosmolit Surfaçadas B.I.G. NORM||1.5|1.50|LayR X-tra Clean|-8 a +8|até -6||75|||17</x:v>
      </x:c>
    </x:row>
    <x:row r="742">
      <x:c r="A742" s="24" t="str">
        <x:v>RD-76A11FF22CCD</x:v>
      </x:c>
      <x:c r="B742" s="24" t="str">
        <x:v>SIM</x:v>
      </x:c>
      <x:c r="C742" s="24" t="str">
        <x:v>DISPONÍVEL</x:v>
      </x:c>
      <x:c r="D742" s="24" t="str">
        <x:v>Rodenstock</x:v>
      </x:c>
      <x:c r="E742" s="24" t="str">
        <x:v>Monofocal B.I.G. NORM</x:v>
      </x:c>
      <x:c r="F742" s="24" t="str">
        <x:v>Surfaçada</x:v>
      </x:c>
      <x:c r="G742" s="24" t="str">
        <x:v>Cosmolit Surfaçadas B.I.G. NORM</x:v>
      </x:c>
      <x:c r="H742" s="24"/>
      <x:c r="I742" s="24" t="str">
        <x:v>1.5</x:v>
      </x:c>
      <x:c r="J742" s="24" t="str">
        <x:v>1.50</x:v>
      </x:c>
      <x:c r="K742" s="24" t="str">
        <x:v>LayR Balance</x:v>
      </x:c>
      <x:c r="L742" s="40" t="n">
        <x:v>1930</x:v>
      </x:c>
      <x:c r="M742" s="24" t="str">
        <x:v>-8 a +8</x:v>
      </x:c>
      <x:c r="N742" s="24" t="str">
        <x:v>até -6</x:v>
      </x:c>
      <x:c r="O742" s="24"/>
      <x:c r="P742" s="24" t="str">
        <x:v>75</x:v>
      </x:c>
      <x:c r="Q742" s="24"/>
      <x:c r="R742" s="24"/>
      <x:c r="S742" s="26" t="n">
        <x:v>46024</x:v>
      </x:c>
      <x:c r="T742" s="26"/>
      <x:c r="U742" s="24" t="str">
        <x:v>ATIVA/SEM FIM INFORMADO</x:v>
      </x:c>
      <x:c r="V742" s="24"/>
      <x:c r="W742" s="24" t="n">
        <x:v>17</x:v>
      </x:c>
      <x:c r="X742" s="24" t="str">
        <x:v>tabela_rodenstock.pdf</x:v>
      </x:c>
      <x:c r="Y742" s="24" t="str">
        <x:v>alta</x:v>
      </x:c>
      <x:c r="Z742" s="24"/>
      <x:c r="AA742" s="24" t="str">
        <x:v>Rodenstock|Monofocal B.I.G. NORM|Surfaçada|Cosmolit Surfaçadas B.I.G. NORM||1.5|1.50|LayR Balance|-8 a +8|até -6||75|||17</x:v>
      </x:c>
    </x:row>
    <x:row r="743">
      <x:c r="A743" s="24" t="str">
        <x:v>RD-E26C7741A0DF</x:v>
      </x:c>
      <x:c r="B743" s="24" t="str">
        <x:v>SIM</x:v>
      </x:c>
      <x:c r="C743" s="24" t="str">
        <x:v>DISPONÍVEL</x:v>
      </x:c>
      <x:c r="D743" s="24" t="str">
        <x:v>Rodenstock</x:v>
      </x:c>
      <x:c r="E743" s="24" t="str">
        <x:v>Monofocal B.I.G. NORM</x:v>
      </x:c>
      <x:c r="F743" s="24" t="str">
        <x:v>Surfaçada</x:v>
      </x:c>
      <x:c r="G743" s="24" t="str">
        <x:v>Cosmolit Surfaçadas B.I.G. NORM</x:v>
      </x:c>
      <x:c r="H743" s="24"/>
      <x:c r="I743" s="24" t="str">
        <x:v>1.5</x:v>
      </x:c>
      <x:c r="J743" s="24" t="str">
        <x:v>1.50</x:v>
      </x:c>
      <x:c r="K743" s="24" t="str">
        <x:v>Solitaire X-tra Clean</x:v>
      </x:c>
      <x:c r="L743" s="40" t="n">
        <x:v>1860</x:v>
      </x:c>
      <x:c r="M743" s="24" t="str">
        <x:v>-8 a +8</x:v>
      </x:c>
      <x:c r="N743" s="24" t="str">
        <x:v>até -6</x:v>
      </x:c>
      <x:c r="O743" s="24"/>
      <x:c r="P743" s="24" t="str">
        <x:v>75</x:v>
      </x:c>
      <x:c r="Q743" s="24"/>
      <x:c r="R743" s="24"/>
      <x:c r="S743" s="26" t="n">
        <x:v>46024</x:v>
      </x:c>
      <x:c r="T743" s="26"/>
      <x:c r="U743" s="24" t="str">
        <x:v>ATIVA/SEM FIM INFORMADO</x:v>
      </x:c>
      <x:c r="V743" s="24"/>
      <x:c r="W743" s="24" t="n">
        <x:v>17</x:v>
      </x:c>
      <x:c r="X743" s="24" t="str">
        <x:v>tabela_rodenstock.pdf</x:v>
      </x:c>
      <x:c r="Y743" s="24" t="str">
        <x:v>alta</x:v>
      </x:c>
      <x:c r="Z743" s="24"/>
      <x:c r="AA743" s="24" t="str">
        <x:v>Rodenstock|Monofocal B.I.G. NORM|Surfaçada|Cosmolit Surfaçadas B.I.G. NORM||1.5|1.50|Solitaire X-tra Clean|-8 a +8|até -6||75|||17</x:v>
      </x:c>
    </x:row>
    <x:row r="744">
      <x:c r="A744" s="24" t="str">
        <x:v>RD-020A14551A06</x:v>
      </x:c>
      <x:c r="B744" s="24" t="str">
        <x:v>SIM</x:v>
      </x:c>
      <x:c r="C744" s="24" t="str">
        <x:v>DISPONÍVEL</x:v>
      </x:c>
      <x:c r="D744" s="24" t="str">
        <x:v>Rodenstock</x:v>
      </x:c>
      <x:c r="E744" s="24" t="str">
        <x:v>Monofocal B.I.G. NORM</x:v>
      </x:c>
      <x:c r="F744" s="24" t="str">
        <x:v>Surfaçada</x:v>
      </x:c>
      <x:c r="G744" s="24" t="str">
        <x:v>Cosmolit Surfaçadas B.I.G. NORM</x:v>
      </x:c>
      <x:c r="H744" s="24"/>
      <x:c r="I744" s="24" t="str">
        <x:v>1.5</x:v>
      </x:c>
      <x:c r="J744" s="24" t="str">
        <x:v>1.50</x:v>
      </x:c>
      <x:c r="K744" s="24" t="str">
        <x:v>Solitaire Protect Plus</x:v>
      </x:c>
      <x:c r="L744" s="40" t="n">
        <x:v>1810</x:v>
      </x:c>
      <x:c r="M744" s="24" t="str">
        <x:v>-8 a +8</x:v>
      </x:c>
      <x:c r="N744" s="24" t="str">
        <x:v>até -6</x:v>
      </x:c>
      <x:c r="O744" s="24"/>
      <x:c r="P744" s="24" t="str">
        <x:v>75</x:v>
      </x:c>
      <x:c r="Q744" s="24"/>
      <x:c r="R744" s="24"/>
      <x:c r="S744" s="26" t="n">
        <x:v>46024</x:v>
      </x:c>
      <x:c r="T744" s="26"/>
      <x:c r="U744" s="24" t="str">
        <x:v>ATIVA/SEM FIM INFORMADO</x:v>
      </x:c>
      <x:c r="V744" s="24"/>
      <x:c r="W744" s="24" t="n">
        <x:v>17</x:v>
      </x:c>
      <x:c r="X744" s="24" t="str">
        <x:v>tabela_rodenstock.pdf</x:v>
      </x:c>
      <x:c r="Y744" s="24" t="str">
        <x:v>alta</x:v>
      </x:c>
      <x:c r="Z744" s="24"/>
      <x:c r="AA744" s="24" t="str">
        <x:v>Rodenstock|Monofocal B.I.G. NORM|Surfaçada|Cosmolit Surfaçadas B.I.G. NORM||1.5|1.50|Solitaire Protect Plus|-8 a +8|até -6||75|||17</x:v>
      </x:c>
    </x:row>
    <x:row r="745">
      <x:c r="A745" s="24" t="str">
        <x:v>RD-18BA5A8469E3</x:v>
      </x:c>
      <x:c r="B745" s="24" t="str">
        <x:v>SIM</x:v>
      </x:c>
      <x:c r="C745" s="24" t="str">
        <x:v>DISPONÍVEL</x:v>
      </x:c>
      <x:c r="D745" s="24" t="str">
        <x:v>Rodenstock</x:v>
      </x:c>
      <x:c r="E745" s="24" t="str">
        <x:v>Monofocal B.I.G. NORM</x:v>
      </x:c>
      <x:c r="F745" s="24" t="str">
        <x:v>Surfaçada</x:v>
      </x:c>
      <x:c r="G745" s="24" t="str">
        <x:v>Cosmolit Surfaçadas B.I.G. NORM</x:v>
      </x:c>
      <x:c r="H745" s="24"/>
      <x:c r="I745" s="24" t="str">
        <x:v>1.5</x:v>
      </x:c>
      <x:c r="J745" s="24" t="str">
        <x:v>1.50</x:v>
      </x:c>
      <x:c r="K745" s="24" t="str">
        <x:v>ROAD</x:v>
      </x:c>
      <x:c r="L745" s="40" t="n">
        <x:v>1810</x:v>
      </x:c>
      <x:c r="M745" s="24" t="str">
        <x:v>-8 a +8</x:v>
      </x:c>
      <x:c r="N745" s="24" t="str">
        <x:v>até -6</x:v>
      </x:c>
      <x:c r="O745" s="24"/>
      <x:c r="P745" s="24" t="str">
        <x:v>75</x:v>
      </x:c>
      <x:c r="Q745" s="24"/>
      <x:c r="R745" s="24"/>
      <x:c r="S745" s="26" t="n">
        <x:v>46024</x:v>
      </x:c>
      <x:c r="T745" s="26"/>
      <x:c r="U745" s="24" t="str">
        <x:v>ATIVA/SEM FIM INFORMADO</x:v>
      </x:c>
      <x:c r="V745" s="24"/>
      <x:c r="W745" s="24" t="n">
        <x:v>17</x:v>
      </x:c>
      <x:c r="X745" s="24" t="str">
        <x:v>tabela_rodenstock.pdf</x:v>
      </x:c>
      <x:c r="Y745" s="24" t="str">
        <x:v>alta</x:v>
      </x:c>
      <x:c r="Z745" s="24"/>
      <x:c r="AA745" s="24" t="str">
        <x:v>Rodenstock|Monofocal B.I.G. NORM|Surfaçada|Cosmolit Surfaçadas B.I.G. NORM||1.5|1.50|ROAD|-8 a +8|até -6||75|||17</x:v>
      </x:c>
    </x:row>
    <x:row r="746">
      <x:c r="A746" s="24" t="str">
        <x:v>RD-9B6B0DE17825</x:v>
      </x:c>
      <x:c r="B746" s="24" t="str">
        <x:v>SIM</x:v>
      </x:c>
      <x:c r="C746" s="24" t="str">
        <x:v>DISPONÍVEL</x:v>
      </x:c>
      <x:c r="D746" s="24" t="str">
        <x:v>Rodenstock</x:v>
      </x:c>
      <x:c r="E746" s="24" t="str">
        <x:v>Monofocal B.I.G. NORM</x:v>
      </x:c>
      <x:c r="F746" s="24" t="str">
        <x:v>Surfaçada</x:v>
      </x:c>
      <x:c r="G746" s="24" t="str">
        <x:v>Cosmolit Surfaçadas B.I.G. NORM</x:v>
      </x:c>
      <x:c r="H746" s="24"/>
      <x:c r="I746" s="24" t="str">
        <x:v>1.5</x:v>
      </x:c>
      <x:c r="J746" s="24" t="str">
        <x:v>1.50</x:v>
      </x:c>
      <x:c r="K746" s="24" t="str">
        <x:v>Solitaire Protect</x:v>
      </x:c>
      <x:c r="L746" s="40" t="n">
        <x:v>1550</x:v>
      </x:c>
      <x:c r="M746" s="24" t="str">
        <x:v>-8 a +8</x:v>
      </x:c>
      <x:c r="N746" s="24" t="str">
        <x:v>até -6</x:v>
      </x:c>
      <x:c r="O746" s="24"/>
      <x:c r="P746" s="24" t="str">
        <x:v>75</x:v>
      </x:c>
      <x:c r="Q746" s="24"/>
      <x:c r="R746" s="24"/>
      <x:c r="S746" s="26" t="n">
        <x:v>46024</x:v>
      </x:c>
      <x:c r="T746" s="26"/>
      <x:c r="U746" s="24" t="str">
        <x:v>ATIVA/SEM FIM INFORMADO</x:v>
      </x:c>
      <x:c r="V746" s="24"/>
      <x:c r="W746" s="24" t="n">
        <x:v>17</x:v>
      </x:c>
      <x:c r="X746" s="24" t="str">
        <x:v>tabela_rodenstock.pdf</x:v>
      </x:c>
      <x:c r="Y746" s="24" t="str">
        <x:v>alta</x:v>
      </x:c>
      <x:c r="Z746" s="24"/>
      <x:c r="AA746" s="24" t="str">
        <x:v>Rodenstock|Monofocal B.I.G. NORM|Surfaçada|Cosmolit Surfaçadas B.I.G. NORM||1.5|1.50|Solitaire Protect|-8 a +8|até -6||75|||17</x:v>
      </x:c>
    </x:row>
    <x:row r="747">
      <x:c r="A747" s="24" t="str">
        <x:v>RD-713145849D45</x:v>
      </x:c>
      <x:c r="B747" s="24" t="str">
        <x:v>SIM</x:v>
      </x:c>
      <x:c r="C747" s="24" t="str">
        <x:v>DISPONÍVEL</x:v>
      </x:c>
      <x:c r="D747" s="24" t="str">
        <x:v>Rodenstock</x:v>
      </x:c>
      <x:c r="E747" s="24" t="str">
        <x:v>Monofocal B.I.G. NORM</x:v>
      </x:c>
      <x:c r="F747" s="24" t="str">
        <x:v>Surfaçada</x:v>
      </x:c>
      <x:c r="G747" s="24" t="str">
        <x:v>Cosmolit Surfaçadas B.I.G. NORM</x:v>
      </x:c>
      <x:c r="H747" s="24"/>
      <x:c r="I747" s="24" t="str">
        <x:v>1.5</x:v>
      </x:c>
      <x:c r="J747" s="24" t="str">
        <x:v>1.50</x:v>
      </x:c>
      <x:c r="K747" s="24" t="str">
        <x:v>Solitaire ECO 2</x:v>
      </x:c>
      <x:c r="L747" s="40" t="n">
        <x:v>1070</x:v>
      </x:c>
      <x:c r="M747" s="24" t="str">
        <x:v>-8 a +8</x:v>
      </x:c>
      <x:c r="N747" s="24" t="str">
        <x:v>até -6</x:v>
      </x:c>
      <x:c r="O747" s="24"/>
      <x:c r="P747" s="24" t="str">
        <x:v>75</x:v>
      </x:c>
      <x:c r="Q747" s="24"/>
      <x:c r="R747" s="24"/>
      <x:c r="S747" s="26" t="n">
        <x:v>46024</x:v>
      </x:c>
      <x:c r="T747" s="26"/>
      <x:c r="U747" s="24" t="str">
        <x:v>ATIVA/SEM FIM INFORMADO</x:v>
      </x:c>
      <x:c r="V747" s="24"/>
      <x:c r="W747" s="24" t="n">
        <x:v>17</x:v>
      </x:c>
      <x:c r="X747" s="24" t="str">
        <x:v>tabela_rodenstock.pdf</x:v>
      </x:c>
      <x:c r="Y747" s="24" t="str">
        <x:v>alta</x:v>
      </x:c>
      <x:c r="Z747" s="24"/>
      <x:c r="AA747" s="24" t="str">
        <x:v>Rodenstock|Monofocal B.I.G. NORM|Surfaçada|Cosmolit Surfaçadas B.I.G. NORM||1.5|1.50|Solitaire ECO 2|-8 a +8|até -6||75|||17</x:v>
      </x:c>
    </x:row>
    <x:row r="748">
      <x:c r="A748" s="24" t="str">
        <x:v>RD-F0EF7879B695</x:v>
      </x:c>
      <x:c r="B748" s="24" t="str">
        <x:v>SIM</x:v>
      </x:c>
      <x:c r="C748" s="24" t="str">
        <x:v>DISPONÍVEL</x:v>
      </x:c>
      <x:c r="D748" s="24" t="str">
        <x:v>Rodenstock</x:v>
      </x:c>
      <x:c r="E748" s="24" t="str">
        <x:v>Monofocal B.I.G. NORM</x:v>
      </x:c>
      <x:c r="F748" s="24" t="str">
        <x:v>Surfaçada</x:v>
      </x:c>
      <x:c r="G748" s="24" t="str">
        <x:v>Cosmolit Surfaçadas B.I.G. NORM</x:v>
      </x:c>
      <x:c r="H748" s="24"/>
      <x:c r="I748" s="24" t="str">
        <x:v>1.5</x:v>
      </x:c>
      <x:c r="J748" s="24" t="str">
        <x:v>1.50</x:v>
      </x:c>
      <x:c r="K748" s="24" t="str">
        <x:v>Sem AR</x:v>
      </x:c>
      <x:c r="L748" s="40" t="n">
        <x:v>680</x:v>
      </x:c>
      <x:c r="M748" s="24" t="str">
        <x:v>-8 a +8</x:v>
      </x:c>
      <x:c r="N748" s="24" t="str">
        <x:v>até -6</x:v>
      </x:c>
      <x:c r="O748" s="24"/>
      <x:c r="P748" s="24" t="str">
        <x:v>75</x:v>
      </x:c>
      <x:c r="Q748" s="24"/>
      <x:c r="R748" s="24"/>
      <x:c r="S748" s="26" t="n">
        <x:v>46024</x:v>
      </x:c>
      <x:c r="T748" s="26"/>
      <x:c r="U748" s="24" t="str">
        <x:v>ATIVA/SEM FIM INFORMADO</x:v>
      </x:c>
      <x:c r="V748" s="24"/>
      <x:c r="W748" s="24" t="n">
        <x:v>17</x:v>
      </x:c>
      <x:c r="X748" s="24" t="str">
        <x:v>tabela_rodenstock.pdf</x:v>
      </x:c>
      <x:c r="Y748" s="24" t="str">
        <x:v>alta</x:v>
      </x:c>
      <x:c r="Z748" s="24"/>
      <x:c r="AA748" s="24" t="str">
        <x:v>Rodenstock|Monofocal B.I.G. NORM|Surfaçada|Cosmolit Surfaçadas B.I.G. NORM||1.5|1.50|Sem AR|-8 a +8|até -6||75|||17</x:v>
      </x:c>
    </x:row>
    <x:row r="749">
      <x:c r="A749" s="24" t="str">
        <x:v>RD-95321D80C030</x:v>
      </x:c>
      <x:c r="B749" s="24" t="str">
        <x:v>SIM</x:v>
      </x:c>
      <x:c r="C749" s="24" t="str">
        <x:v>DISPONÍVEL</x:v>
      </x:c>
      <x:c r="D749" s="24" t="str">
        <x:v>Rodenstock</x:v>
      </x:c>
      <x:c r="E749" s="24" t="str">
        <x:v>Monofocal B.I.G. NORM</x:v>
      </x:c>
      <x:c r="F749" s="24" t="str">
        <x:v>Surfaçada</x:v>
      </x:c>
      <x:c r="G749" s="24" t="str">
        <x:v>Cosmolit Surfaçadas B.I.G. NORM</x:v>
      </x:c>
      <x:c r="H749" s="24" t="str">
        <x:v>ColorMatic® 3</x:v>
      </x:c>
      <x:c r="I749" s="24" t="str">
        <x:v>1.54</x:v>
      </x:c>
      <x:c r="J749" s="24" t="str">
        <x:v>1.54</x:v>
      </x:c>
      <x:c r="K749" s="24" t="str">
        <x:v>LayR X-tra Clean</x:v>
      </x:c>
      <x:c r="L749" s="40" t="n">
        <x:v>3065</x:v>
      </x:c>
      <x:c r="M749" s="24" t="str">
        <x:v>-8 a +8</x:v>
      </x:c>
      <x:c r="N749" s="24" t="str">
        <x:v>até -6</x:v>
      </x:c>
      <x:c r="O749" s="24"/>
      <x:c r="P749" s="24" t="str">
        <x:v>75</x:v>
      </x:c>
      <x:c r="Q749" s="24"/>
      <x:c r="R749" s="24"/>
      <x:c r="S749" s="26" t="n">
        <x:v>46024</x:v>
      </x:c>
      <x:c r="T749" s="26"/>
      <x:c r="U749" s="24" t="str">
        <x:v>ATIVA/SEM FIM INFORMADO</x:v>
      </x:c>
      <x:c r="V749" s="24"/>
      <x:c r="W749" s="24" t="n">
        <x:v>17</x:v>
      </x:c>
      <x:c r="X749" s="24" t="str">
        <x:v>tabela_rodenstock.pdf</x:v>
      </x:c>
      <x:c r="Y749" s="24" t="str">
        <x:v>alta</x:v>
      </x:c>
      <x:c r="Z749" s="24"/>
      <x:c r="AA749" s="24" t="str">
        <x:v>Rodenstock|Monofocal B.I.G. NORM|Surfaçada|Cosmolit Surfaçadas B.I.G. NORM|ColorMatic® 3|1.54|1.54|LayR X-tra Clean|-8 a +8|até -6||75|||17</x:v>
      </x:c>
    </x:row>
    <x:row r="750">
      <x:c r="A750" s="24" t="str">
        <x:v>RD-ACD818197442</x:v>
      </x:c>
      <x:c r="B750" s="24" t="str">
        <x:v>SIM</x:v>
      </x:c>
      <x:c r="C750" s="24" t="str">
        <x:v>DISPONÍVEL</x:v>
      </x:c>
      <x:c r="D750" s="24" t="str">
        <x:v>Rodenstock</x:v>
      </x:c>
      <x:c r="E750" s="24" t="str">
        <x:v>Monofocal B.I.G. NORM</x:v>
      </x:c>
      <x:c r="F750" s="24" t="str">
        <x:v>Surfaçada</x:v>
      </x:c>
      <x:c r="G750" s="24" t="str">
        <x:v>Cosmolit Surfaçadas B.I.G. NORM</x:v>
      </x:c>
      <x:c r="H750" s="24" t="str">
        <x:v>ColorMatic® 3</x:v>
      </x:c>
      <x:c r="I750" s="24" t="str">
        <x:v>1.54</x:v>
      </x:c>
      <x:c r="J750" s="24" t="str">
        <x:v>1.54</x:v>
      </x:c>
      <x:c r="K750" s="24" t="str">
        <x:v>LayR Balance</x:v>
      </x:c>
      <x:c r="L750" s="40" t="n">
        <x:v>3065</x:v>
      </x:c>
      <x:c r="M750" s="24" t="str">
        <x:v>-8 a +8</x:v>
      </x:c>
      <x:c r="N750" s="24" t="str">
        <x:v>até -6</x:v>
      </x:c>
      <x:c r="O750" s="24"/>
      <x:c r="P750" s="24" t="str">
        <x:v>75</x:v>
      </x:c>
      <x:c r="Q750" s="24"/>
      <x:c r="R750" s="24"/>
      <x:c r="S750" s="26" t="n">
        <x:v>46024</x:v>
      </x:c>
      <x:c r="T750" s="26"/>
      <x:c r="U750" s="24" t="str">
        <x:v>ATIVA/SEM FIM INFORMADO</x:v>
      </x:c>
      <x:c r="V750" s="24"/>
      <x:c r="W750" s="24" t="n">
        <x:v>17</x:v>
      </x:c>
      <x:c r="X750" s="24" t="str">
        <x:v>tabela_rodenstock.pdf</x:v>
      </x:c>
      <x:c r="Y750" s="24" t="str">
        <x:v>alta</x:v>
      </x:c>
      <x:c r="Z750" s="24"/>
      <x:c r="AA750" s="24" t="str">
        <x:v>Rodenstock|Monofocal B.I.G. NORM|Surfaçada|Cosmolit Surfaçadas B.I.G. NORM|ColorMatic® 3|1.54|1.54|LayR Balance|-8 a +8|até -6||75|||17</x:v>
      </x:c>
    </x:row>
    <x:row r="751">
      <x:c r="A751" s="24" t="str">
        <x:v>RD-DE5ED9FB8505</x:v>
      </x:c>
      <x:c r="B751" s="24" t="str">
        <x:v>SIM</x:v>
      </x:c>
      <x:c r="C751" s="24" t="str">
        <x:v>DISPONÍVEL</x:v>
      </x:c>
      <x:c r="D751" s="24" t="str">
        <x:v>Rodenstock</x:v>
      </x:c>
      <x:c r="E751" s="24" t="str">
        <x:v>Monofocal B.I.G. NORM</x:v>
      </x:c>
      <x:c r="F751" s="24" t="str">
        <x:v>Surfaçada</x:v>
      </x:c>
      <x:c r="G751" s="24" t="str">
        <x:v>Cosmolit Surfaçadas B.I.G. NORM</x:v>
      </x:c>
      <x:c r="H751" s="24" t="str">
        <x:v>ColorMatic® 3</x:v>
      </x:c>
      <x:c r="I751" s="24" t="str">
        <x:v>1.54</x:v>
      </x:c>
      <x:c r="J751" s="24" t="str">
        <x:v>1.54</x:v>
      </x:c>
      <x:c r="K751" s="24" t="str">
        <x:v>Solitaire X-tra Clean</x:v>
      </x:c>
      <x:c r="L751" s="40" t="n">
        <x:v>2995</x:v>
      </x:c>
      <x:c r="M751" s="24" t="str">
        <x:v>-8 a +8</x:v>
      </x:c>
      <x:c r="N751" s="24" t="str">
        <x:v>até -6</x:v>
      </x:c>
      <x:c r="O751" s="24"/>
      <x:c r="P751" s="24" t="str">
        <x:v>75</x:v>
      </x:c>
      <x:c r="Q751" s="24"/>
      <x:c r="R751" s="24"/>
      <x:c r="S751" s="26" t="n">
        <x:v>46024</x:v>
      </x:c>
      <x:c r="T751" s="26"/>
      <x:c r="U751" s="24" t="str">
        <x:v>ATIVA/SEM FIM INFORMADO</x:v>
      </x:c>
      <x:c r="V751" s="24"/>
      <x:c r="W751" s="24" t="n">
        <x:v>17</x:v>
      </x:c>
      <x:c r="X751" s="24" t="str">
        <x:v>tabela_rodenstock.pdf</x:v>
      </x:c>
      <x:c r="Y751" s="24" t="str">
        <x:v>alta</x:v>
      </x:c>
      <x:c r="Z751" s="24"/>
      <x:c r="AA751" s="24" t="str">
        <x:v>Rodenstock|Monofocal B.I.G. NORM|Surfaçada|Cosmolit Surfaçadas B.I.G. NORM|ColorMatic® 3|1.54|1.54|Solitaire X-tra Clean|-8 a +8|até -6||75|||17</x:v>
      </x:c>
    </x:row>
    <x:row r="752">
      <x:c r="A752" s="24" t="str">
        <x:v>RD-CC1A2FCCD1C7</x:v>
      </x:c>
      <x:c r="B752" s="24" t="str">
        <x:v>SIM</x:v>
      </x:c>
      <x:c r="C752" s="24" t="str">
        <x:v>DISPONÍVEL</x:v>
      </x:c>
      <x:c r="D752" s="24" t="str">
        <x:v>Rodenstock</x:v>
      </x:c>
      <x:c r="E752" s="24" t="str">
        <x:v>Monofocal B.I.G. NORM</x:v>
      </x:c>
      <x:c r="F752" s="24" t="str">
        <x:v>Surfaçada</x:v>
      </x:c>
      <x:c r="G752" s="24" t="str">
        <x:v>Cosmolit Surfaçadas B.I.G. NORM</x:v>
      </x:c>
      <x:c r="H752" s="24" t="str">
        <x:v>ColorMatic® 3</x:v>
      </x:c>
      <x:c r="I752" s="24" t="str">
        <x:v>1.54</x:v>
      </x:c>
      <x:c r="J752" s="24" t="str">
        <x:v>1.54</x:v>
      </x:c>
      <x:c r="K752" s="24" t="str">
        <x:v>Solitaire Protect Plus</x:v>
      </x:c>
      <x:c r="L752" s="40" t="n">
        <x:v>2945</x:v>
      </x:c>
      <x:c r="M752" s="24" t="str">
        <x:v>-8 a +8</x:v>
      </x:c>
      <x:c r="N752" s="24" t="str">
        <x:v>até -6</x:v>
      </x:c>
      <x:c r="O752" s="24"/>
      <x:c r="P752" s="24" t="str">
        <x:v>75</x:v>
      </x:c>
      <x:c r="Q752" s="24"/>
      <x:c r="R752" s="24"/>
      <x:c r="S752" s="26" t="n">
        <x:v>46024</x:v>
      </x:c>
      <x:c r="T752" s="26"/>
      <x:c r="U752" s="24" t="str">
        <x:v>ATIVA/SEM FIM INFORMADO</x:v>
      </x:c>
      <x:c r="V752" s="24"/>
      <x:c r="W752" s="24" t="n">
        <x:v>17</x:v>
      </x:c>
      <x:c r="X752" s="24" t="str">
        <x:v>tabela_rodenstock.pdf</x:v>
      </x:c>
      <x:c r="Y752" s="24" t="str">
        <x:v>alta</x:v>
      </x:c>
      <x:c r="Z752" s="24"/>
      <x:c r="AA752" s="24" t="str">
        <x:v>Rodenstock|Monofocal B.I.G. NORM|Surfaçada|Cosmolit Surfaçadas B.I.G. NORM|ColorMatic® 3|1.54|1.54|Solitaire Protect Plus|-8 a +8|até -6||75|||17</x:v>
      </x:c>
    </x:row>
    <x:row r="753">
      <x:c r="A753" s="24" t="str">
        <x:v>RD-1A656802D4EF</x:v>
      </x:c>
      <x:c r="B753" s="24" t="str">
        <x:v>SIM</x:v>
      </x:c>
      <x:c r="C753" s="24" t="str">
        <x:v>DISPONÍVEL</x:v>
      </x:c>
      <x:c r="D753" s="24" t="str">
        <x:v>Rodenstock</x:v>
      </x:c>
      <x:c r="E753" s="24" t="str">
        <x:v>Monofocal B.I.G. NORM</x:v>
      </x:c>
      <x:c r="F753" s="24" t="str">
        <x:v>Surfaçada</x:v>
      </x:c>
      <x:c r="G753" s="24" t="str">
        <x:v>Cosmolit Surfaçadas B.I.G. NORM</x:v>
      </x:c>
      <x:c r="H753" s="24" t="str">
        <x:v>ColorMatic® 3</x:v>
      </x:c>
      <x:c r="I753" s="24" t="str">
        <x:v>1.54</x:v>
      </x:c>
      <x:c r="J753" s="24" t="str">
        <x:v>1.54</x:v>
      </x:c>
      <x:c r="K753" s="24" t="str">
        <x:v>ROAD</x:v>
      </x:c>
      <x:c r="L753" s="40" t="n">
        <x:v>2945</x:v>
      </x:c>
      <x:c r="M753" s="24" t="str">
        <x:v>-8 a +8</x:v>
      </x:c>
      <x:c r="N753" s="24" t="str">
        <x:v>até -6</x:v>
      </x:c>
      <x:c r="O753" s="24"/>
      <x:c r="P753" s="24" t="str">
        <x:v>75</x:v>
      </x:c>
      <x:c r="Q753" s="24"/>
      <x:c r="R753" s="24"/>
      <x:c r="S753" s="26" t="n">
        <x:v>46024</x:v>
      </x:c>
      <x:c r="T753" s="26"/>
      <x:c r="U753" s="24" t="str">
        <x:v>ATIVA/SEM FIM INFORMADO</x:v>
      </x:c>
      <x:c r="V753" s="24"/>
      <x:c r="W753" s="24" t="n">
        <x:v>17</x:v>
      </x:c>
      <x:c r="X753" s="24" t="str">
        <x:v>tabela_rodenstock.pdf</x:v>
      </x:c>
      <x:c r="Y753" s="24" t="str">
        <x:v>alta</x:v>
      </x:c>
      <x:c r="Z753" s="24"/>
      <x:c r="AA753" s="24" t="str">
        <x:v>Rodenstock|Monofocal B.I.G. NORM|Surfaçada|Cosmolit Surfaçadas B.I.G. NORM|ColorMatic® 3|1.54|1.54|ROAD|-8 a +8|até -6||75|||17</x:v>
      </x:c>
    </x:row>
    <x:row r="754">
      <x:c r="A754" s="24" t="str">
        <x:v>RD-0941A6AF7928</x:v>
      </x:c>
      <x:c r="B754" s="24" t="str">
        <x:v>SIM</x:v>
      </x:c>
      <x:c r="C754" s="24" t="str">
        <x:v>DISPONÍVEL</x:v>
      </x:c>
      <x:c r="D754" s="24" t="str">
        <x:v>Rodenstock</x:v>
      </x:c>
      <x:c r="E754" s="24" t="str">
        <x:v>Monofocal B.I.G. NORM</x:v>
      </x:c>
      <x:c r="F754" s="24" t="str">
        <x:v>Surfaçada</x:v>
      </x:c>
      <x:c r="G754" s="24" t="str">
        <x:v>Cosmolit Surfaçadas B.I.G. NORM</x:v>
      </x:c>
      <x:c r="H754" s="24" t="str">
        <x:v>ColorMatic® 3</x:v>
      </x:c>
      <x:c r="I754" s="24" t="str">
        <x:v>1.54</x:v>
      </x:c>
      <x:c r="J754" s="24" t="str">
        <x:v>1.54</x:v>
      </x:c>
      <x:c r="K754" s="24" t="str">
        <x:v>Solitaire Protect</x:v>
      </x:c>
      <x:c r="L754" s="40" t="n">
        <x:v>2685</x:v>
      </x:c>
      <x:c r="M754" s="24" t="str">
        <x:v>-8 a +8</x:v>
      </x:c>
      <x:c r="N754" s="24" t="str">
        <x:v>até -6</x:v>
      </x:c>
      <x:c r="O754" s="24"/>
      <x:c r="P754" s="24" t="str">
        <x:v>75</x:v>
      </x:c>
      <x:c r="Q754" s="24"/>
      <x:c r="R754" s="24"/>
      <x:c r="S754" s="26" t="n">
        <x:v>46024</x:v>
      </x:c>
      <x:c r="T754" s="26"/>
      <x:c r="U754" s="24" t="str">
        <x:v>ATIVA/SEM FIM INFORMADO</x:v>
      </x:c>
      <x:c r="V754" s="24"/>
      <x:c r="W754" s="24" t="n">
        <x:v>17</x:v>
      </x:c>
      <x:c r="X754" s="24" t="str">
        <x:v>tabela_rodenstock.pdf</x:v>
      </x:c>
      <x:c r="Y754" s="24" t="str">
        <x:v>alta</x:v>
      </x:c>
      <x:c r="Z754" s="24"/>
      <x:c r="AA754" s="24" t="str">
        <x:v>Rodenstock|Monofocal B.I.G. NORM|Surfaçada|Cosmolit Surfaçadas B.I.G. NORM|ColorMatic® 3|1.54|1.54|Solitaire Protect|-8 a +8|até -6||75|||17</x:v>
      </x:c>
    </x:row>
    <x:row r="755">
      <x:c r="A755" s="24" t="str">
        <x:v>RD-4A404265381E</x:v>
      </x:c>
      <x:c r="B755" s="24" t="str">
        <x:v>SIM</x:v>
      </x:c>
      <x:c r="C755" s="24" t="str">
        <x:v>DISPONÍVEL</x:v>
      </x:c>
      <x:c r="D755" s="24" t="str">
        <x:v>Rodenstock</x:v>
      </x:c>
      <x:c r="E755" s="24" t="str">
        <x:v>Monofocal B.I.G. NORM</x:v>
      </x:c>
      <x:c r="F755" s="24" t="str">
        <x:v>Surfaçada</x:v>
      </x:c>
      <x:c r="G755" s="24" t="str">
        <x:v>Cosmolit Surfaçadas B.I.G. NORM</x:v>
      </x:c>
      <x:c r="H755" s="24" t="str">
        <x:v>ColorMatic® 3</x:v>
      </x:c>
      <x:c r="I755" s="24" t="str">
        <x:v>1.54</x:v>
      </x:c>
      <x:c r="J755" s="24" t="str">
        <x:v>1.54</x:v>
      </x:c>
      <x:c r="K755" s="24" t="str">
        <x:v>Sem AR</x:v>
      </x:c>
      <x:c r="L755" s="40" t="n">
        <x:v>1815</x:v>
      </x:c>
      <x:c r="M755" s="24" t="str">
        <x:v>-8 a +8</x:v>
      </x:c>
      <x:c r="N755" s="24" t="str">
        <x:v>até -6</x:v>
      </x:c>
      <x:c r="O755" s="24"/>
      <x:c r="P755" s="24" t="str">
        <x:v>75</x:v>
      </x:c>
      <x:c r="Q755" s="24"/>
      <x:c r="R755" s="24"/>
      <x:c r="S755" s="26" t="n">
        <x:v>46024</x:v>
      </x:c>
      <x:c r="T755" s="26"/>
      <x:c r="U755" s="24" t="str">
        <x:v>ATIVA/SEM FIM INFORMADO</x:v>
      </x:c>
      <x:c r="V755" s="24"/>
      <x:c r="W755" s="24" t="n">
        <x:v>17</x:v>
      </x:c>
      <x:c r="X755" s="24" t="str">
        <x:v>tabela_rodenstock.pdf</x:v>
      </x:c>
      <x:c r="Y755" s="24" t="str">
        <x:v>alta</x:v>
      </x:c>
      <x:c r="Z755" s="24"/>
      <x:c r="AA755" s="24" t="str">
        <x:v>Rodenstock|Monofocal B.I.G. NORM|Surfaçada|Cosmolit Surfaçadas B.I.G. NORM|ColorMatic® 3|1.54|1.54|Sem AR|-8 a +8|até -6||75|||17</x:v>
      </x:c>
    </x:row>
    <x:row r="756">
      <x:c r="A756" s="24" t="str">
        <x:v>RD-B9717B11F378</x:v>
      </x:c>
      <x:c r="B756" s="24" t="str">
        <x:v>SIM</x:v>
      </x:c>
      <x:c r="C756" s="24" t="str">
        <x:v>DISPONÍVEL</x:v>
      </x:c>
      <x:c r="D756" s="24" t="str">
        <x:v>Rodenstock</x:v>
      </x:c>
      <x:c r="E756" s="24" t="str">
        <x:v>Monofocal B.I.G. NORM</x:v>
      </x:c>
      <x:c r="F756" s="24" t="str">
        <x:v>Surfaçada</x:v>
      </x:c>
      <x:c r="G756" s="24" t="str">
        <x:v>Cosmolit Surfaçadas B.I.G. NORM</x:v>
      </x:c>
      <x:c r="H756" s="24"/>
      <x:c r="I756" s="24" t="str">
        <x:v>1.6</x:v>
      </x:c>
      <x:c r="J756" s="24" t="str">
        <x:v>1.60</x:v>
      </x:c>
      <x:c r="K756" s="24" t="str">
        <x:v>LayR X-tra Clean</x:v>
      </x:c>
      <x:c r="L756" s="40" t="n">
        <x:v>2337</x:v>
      </x:c>
      <x:c r="M756" s="24" t="str">
        <x:v>-10 a +10</x:v>
      </x:c>
      <x:c r="N756" s="24" t="str">
        <x:v>até -6</x:v>
      </x:c>
      <x:c r="O756" s="24"/>
      <x:c r="P756" s="24" t="str">
        <x:v>75</x:v>
      </x:c>
      <x:c r="Q756" s="24"/>
      <x:c r="R756" s="24"/>
      <x:c r="S756" s="26" t="n">
        <x:v>46024</x:v>
      </x:c>
      <x:c r="T756" s="26"/>
      <x:c r="U756" s="24" t="str">
        <x:v>ATIVA/SEM FIM INFORMADO</x:v>
      </x:c>
      <x:c r="V756" s="24"/>
      <x:c r="W756" s="24" t="n">
        <x:v>17</x:v>
      </x:c>
      <x:c r="X756" s="24" t="str">
        <x:v>tabela_rodenstock.pdf</x:v>
      </x:c>
      <x:c r="Y756" s="24" t="str">
        <x:v>alta</x:v>
      </x:c>
      <x:c r="Z756" s="24"/>
      <x:c r="AA756" s="24" t="str">
        <x:v>Rodenstock|Monofocal B.I.G. NORM|Surfaçada|Cosmolit Surfaçadas B.I.G. NORM||1.6|1.60|LayR X-tra Clean|-10 a +10|até -6||75|||17</x:v>
      </x:c>
    </x:row>
    <x:row r="757">
      <x:c r="A757" s="24" t="str">
        <x:v>RD-B044150933E4</x:v>
      </x:c>
      <x:c r="B757" s="24" t="str">
        <x:v>SIM</x:v>
      </x:c>
      <x:c r="C757" s="24" t="str">
        <x:v>DISPONÍVEL</x:v>
      </x:c>
      <x:c r="D757" s="24" t="str">
        <x:v>Rodenstock</x:v>
      </x:c>
      <x:c r="E757" s="24" t="str">
        <x:v>Monofocal B.I.G. NORM</x:v>
      </x:c>
      <x:c r="F757" s="24" t="str">
        <x:v>Surfaçada</x:v>
      </x:c>
      <x:c r="G757" s="24" t="str">
        <x:v>Cosmolit Surfaçadas B.I.G. NORM</x:v>
      </x:c>
      <x:c r="H757" s="24"/>
      <x:c r="I757" s="24" t="str">
        <x:v>1.6</x:v>
      </x:c>
      <x:c r="J757" s="24" t="str">
        <x:v>1.60</x:v>
      </x:c>
      <x:c r="K757" s="24" t="str">
        <x:v>LayR Balance</x:v>
      </x:c>
      <x:c r="L757" s="40" t="n">
        <x:v>2337</x:v>
      </x:c>
      <x:c r="M757" s="24" t="str">
        <x:v>-10 a +10</x:v>
      </x:c>
      <x:c r="N757" s="24" t="str">
        <x:v>até -6</x:v>
      </x:c>
      <x:c r="O757" s="24"/>
      <x:c r="P757" s="24" t="str">
        <x:v>75</x:v>
      </x:c>
      <x:c r="Q757" s="24"/>
      <x:c r="R757" s="24"/>
      <x:c r="S757" s="26" t="n">
        <x:v>46024</x:v>
      </x:c>
      <x:c r="T757" s="26"/>
      <x:c r="U757" s="24" t="str">
        <x:v>ATIVA/SEM FIM INFORMADO</x:v>
      </x:c>
      <x:c r="V757" s="24"/>
      <x:c r="W757" s="24" t="n">
        <x:v>17</x:v>
      </x:c>
      <x:c r="X757" s="24" t="str">
        <x:v>tabela_rodenstock.pdf</x:v>
      </x:c>
      <x:c r="Y757" s="24" t="str">
        <x:v>alta</x:v>
      </x:c>
      <x:c r="Z757" s="24"/>
      <x:c r="AA757" s="24" t="str">
        <x:v>Rodenstock|Monofocal B.I.G. NORM|Surfaçada|Cosmolit Surfaçadas B.I.G. NORM||1.6|1.60|LayR Balance|-10 a +10|até -6||75|||17</x:v>
      </x:c>
    </x:row>
    <x:row r="758">
      <x:c r="A758" s="24" t="str">
        <x:v>RD-DFF7414F2206</x:v>
      </x:c>
      <x:c r="B758" s="24" t="str">
        <x:v>SIM</x:v>
      </x:c>
      <x:c r="C758" s="24" t="str">
        <x:v>DISPONÍVEL</x:v>
      </x:c>
      <x:c r="D758" s="24" t="str">
        <x:v>Rodenstock</x:v>
      </x:c>
      <x:c r="E758" s="24" t="str">
        <x:v>Monofocal B.I.G. NORM</x:v>
      </x:c>
      <x:c r="F758" s="24" t="str">
        <x:v>Surfaçada</x:v>
      </x:c>
      <x:c r="G758" s="24" t="str">
        <x:v>Cosmolit Surfaçadas B.I.G. NORM</x:v>
      </x:c>
      <x:c r="H758" s="24"/>
      <x:c r="I758" s="24" t="str">
        <x:v>1.6</x:v>
      </x:c>
      <x:c r="J758" s="24" t="str">
        <x:v>1.60</x:v>
      </x:c>
      <x:c r="K758" s="24" t="str">
        <x:v>Solitaire X-tra Clean</x:v>
      </x:c>
      <x:c r="L758" s="40" t="n">
        <x:v>2267</x:v>
      </x:c>
      <x:c r="M758" s="24" t="str">
        <x:v>-10 a +10</x:v>
      </x:c>
      <x:c r="N758" s="24" t="str">
        <x:v>até -6</x:v>
      </x:c>
      <x:c r="O758" s="24"/>
      <x:c r="P758" s="24" t="str">
        <x:v>75</x:v>
      </x:c>
      <x:c r="Q758" s="24"/>
      <x:c r="R758" s="24"/>
      <x:c r="S758" s="26" t="n">
        <x:v>46024</x:v>
      </x:c>
      <x:c r="T758" s="26"/>
      <x:c r="U758" s="24" t="str">
        <x:v>ATIVA/SEM FIM INFORMADO</x:v>
      </x:c>
      <x:c r="V758" s="24"/>
      <x:c r="W758" s="24" t="n">
        <x:v>17</x:v>
      </x:c>
      <x:c r="X758" s="24" t="str">
        <x:v>tabela_rodenstock.pdf</x:v>
      </x:c>
      <x:c r="Y758" s="24" t="str">
        <x:v>alta</x:v>
      </x:c>
      <x:c r="Z758" s="24"/>
      <x:c r="AA758" s="24" t="str">
        <x:v>Rodenstock|Monofocal B.I.G. NORM|Surfaçada|Cosmolit Surfaçadas B.I.G. NORM||1.6|1.60|Solitaire X-tra Clean|-10 a +10|até -6||75|||17</x:v>
      </x:c>
    </x:row>
    <x:row r="759">
      <x:c r="A759" s="24" t="str">
        <x:v>RD-78CAA816AE3D</x:v>
      </x:c>
      <x:c r="B759" s="24" t="str">
        <x:v>SIM</x:v>
      </x:c>
      <x:c r="C759" s="24" t="str">
        <x:v>DISPONÍVEL</x:v>
      </x:c>
      <x:c r="D759" s="24" t="str">
        <x:v>Rodenstock</x:v>
      </x:c>
      <x:c r="E759" s="24" t="str">
        <x:v>Monofocal B.I.G. NORM</x:v>
      </x:c>
      <x:c r="F759" s="24" t="str">
        <x:v>Surfaçada</x:v>
      </x:c>
      <x:c r="G759" s="24" t="str">
        <x:v>Cosmolit Surfaçadas B.I.G. NORM</x:v>
      </x:c>
      <x:c r="H759" s="24"/>
      <x:c r="I759" s="24" t="str">
        <x:v>1.6</x:v>
      </x:c>
      <x:c r="J759" s="24" t="str">
        <x:v>1.60</x:v>
      </x:c>
      <x:c r="K759" s="24" t="str">
        <x:v>Solitaire Protect Plus</x:v>
      </x:c>
      <x:c r="L759" s="40" t="n">
        <x:v>2217</x:v>
      </x:c>
      <x:c r="M759" s="24" t="str">
        <x:v>-10 a +10</x:v>
      </x:c>
      <x:c r="N759" s="24" t="str">
        <x:v>até -6</x:v>
      </x:c>
      <x:c r="O759" s="24"/>
      <x:c r="P759" s="24" t="str">
        <x:v>75</x:v>
      </x:c>
      <x:c r="Q759" s="24"/>
      <x:c r="R759" s="24"/>
      <x:c r="S759" s="26" t="n">
        <x:v>46024</x:v>
      </x:c>
      <x:c r="T759" s="26"/>
      <x:c r="U759" s="24" t="str">
        <x:v>ATIVA/SEM FIM INFORMADO</x:v>
      </x:c>
      <x:c r="V759" s="24"/>
      <x:c r="W759" s="24" t="n">
        <x:v>17</x:v>
      </x:c>
      <x:c r="X759" s="24" t="str">
        <x:v>tabela_rodenstock.pdf</x:v>
      </x:c>
      <x:c r="Y759" s="24" t="str">
        <x:v>alta</x:v>
      </x:c>
      <x:c r="Z759" s="24"/>
      <x:c r="AA759" s="24" t="str">
        <x:v>Rodenstock|Monofocal B.I.G. NORM|Surfaçada|Cosmolit Surfaçadas B.I.G. NORM||1.6|1.60|Solitaire Protect Plus|-10 a +10|até -6||75|||17</x:v>
      </x:c>
    </x:row>
    <x:row r="760">
      <x:c r="A760" s="24" t="str">
        <x:v>RD-5FA864AFFEEE</x:v>
      </x:c>
      <x:c r="B760" s="24" t="str">
        <x:v>SIM</x:v>
      </x:c>
      <x:c r="C760" s="24" t="str">
        <x:v>DISPONÍVEL</x:v>
      </x:c>
      <x:c r="D760" s="24" t="str">
        <x:v>Rodenstock</x:v>
      </x:c>
      <x:c r="E760" s="24" t="str">
        <x:v>Monofocal B.I.G. NORM</x:v>
      </x:c>
      <x:c r="F760" s="24" t="str">
        <x:v>Surfaçada</x:v>
      </x:c>
      <x:c r="G760" s="24" t="str">
        <x:v>Cosmolit Surfaçadas B.I.G. NORM</x:v>
      </x:c>
      <x:c r="H760" s="24"/>
      <x:c r="I760" s="24" t="str">
        <x:v>1.6</x:v>
      </x:c>
      <x:c r="J760" s="24" t="str">
        <x:v>1.60</x:v>
      </x:c>
      <x:c r="K760" s="24" t="str">
        <x:v>ROAD</x:v>
      </x:c>
      <x:c r="L760" s="40" t="n">
        <x:v>2217</x:v>
      </x:c>
      <x:c r="M760" s="24" t="str">
        <x:v>-10 a +10</x:v>
      </x:c>
      <x:c r="N760" s="24" t="str">
        <x:v>até -6</x:v>
      </x:c>
      <x:c r="O760" s="24"/>
      <x:c r="P760" s="24" t="str">
        <x:v>75</x:v>
      </x:c>
      <x:c r="Q760" s="24"/>
      <x:c r="R760" s="24"/>
      <x:c r="S760" s="26" t="n">
        <x:v>46024</x:v>
      </x:c>
      <x:c r="T760" s="26"/>
      <x:c r="U760" s="24" t="str">
        <x:v>ATIVA/SEM FIM INFORMADO</x:v>
      </x:c>
      <x:c r="V760" s="24"/>
      <x:c r="W760" s="24" t="n">
        <x:v>17</x:v>
      </x:c>
      <x:c r="X760" s="24" t="str">
        <x:v>tabela_rodenstock.pdf</x:v>
      </x:c>
      <x:c r="Y760" s="24" t="str">
        <x:v>alta</x:v>
      </x:c>
      <x:c r="Z760" s="24"/>
      <x:c r="AA760" s="24" t="str">
        <x:v>Rodenstock|Monofocal B.I.G. NORM|Surfaçada|Cosmolit Surfaçadas B.I.G. NORM||1.6|1.60|ROAD|-10 a +10|até -6||75|||17</x:v>
      </x:c>
    </x:row>
    <x:row r="761">
      <x:c r="A761" s="24" t="str">
        <x:v>RD-C547DED318D7</x:v>
      </x:c>
      <x:c r="B761" s="24" t="str">
        <x:v>SIM</x:v>
      </x:c>
      <x:c r="C761" s="24" t="str">
        <x:v>DISPONÍVEL</x:v>
      </x:c>
      <x:c r="D761" s="24" t="str">
        <x:v>Rodenstock</x:v>
      </x:c>
      <x:c r="E761" s="24" t="str">
        <x:v>Monofocal B.I.G. NORM</x:v>
      </x:c>
      <x:c r="F761" s="24" t="str">
        <x:v>Surfaçada</x:v>
      </x:c>
      <x:c r="G761" s="24" t="str">
        <x:v>Cosmolit Surfaçadas B.I.G. NORM</x:v>
      </x:c>
      <x:c r="H761" s="24"/>
      <x:c r="I761" s="24" t="str">
        <x:v>1.6</x:v>
      </x:c>
      <x:c r="J761" s="24" t="str">
        <x:v>1.60</x:v>
      </x:c>
      <x:c r="K761" s="24" t="str">
        <x:v>Solitaire Protect</x:v>
      </x:c>
      <x:c r="L761" s="40" t="n">
        <x:v>1957</x:v>
      </x:c>
      <x:c r="M761" s="24" t="str">
        <x:v>-10 a +10</x:v>
      </x:c>
      <x:c r="N761" s="24" t="str">
        <x:v>até -6</x:v>
      </x:c>
      <x:c r="O761" s="24"/>
      <x:c r="P761" s="24" t="str">
        <x:v>75</x:v>
      </x:c>
      <x:c r="Q761" s="24"/>
      <x:c r="R761" s="24"/>
      <x:c r="S761" s="26" t="n">
        <x:v>46024</x:v>
      </x:c>
      <x:c r="T761" s="26"/>
      <x:c r="U761" s="24" t="str">
        <x:v>ATIVA/SEM FIM INFORMADO</x:v>
      </x:c>
      <x:c r="V761" s="24"/>
      <x:c r="W761" s="24" t="n">
        <x:v>17</x:v>
      </x:c>
      <x:c r="X761" s="24" t="str">
        <x:v>tabela_rodenstock.pdf</x:v>
      </x:c>
      <x:c r="Y761" s="24" t="str">
        <x:v>alta</x:v>
      </x:c>
      <x:c r="Z761" s="24"/>
      <x:c r="AA761" s="24" t="str">
        <x:v>Rodenstock|Monofocal B.I.G. NORM|Surfaçada|Cosmolit Surfaçadas B.I.G. NORM||1.6|1.60|Solitaire Protect|-10 a +10|até -6||75|||17</x:v>
      </x:c>
    </x:row>
    <x:row r="762">
      <x:c r="A762" s="24" t="str">
        <x:v>RD-9330183707DE</x:v>
      </x:c>
      <x:c r="B762" s="24" t="str">
        <x:v>SIM</x:v>
      </x:c>
      <x:c r="C762" s="24" t="str">
        <x:v>DISPONÍVEL</x:v>
      </x:c>
      <x:c r="D762" s="24" t="str">
        <x:v>Rodenstock</x:v>
      </x:c>
      <x:c r="E762" s="24" t="str">
        <x:v>Monofocal B.I.G. NORM</x:v>
      </x:c>
      <x:c r="F762" s="24" t="str">
        <x:v>Surfaçada</x:v>
      </x:c>
      <x:c r="G762" s="24" t="str">
        <x:v>Cosmolit Surfaçadas B.I.G. NORM</x:v>
      </x:c>
      <x:c r="H762" s="24"/>
      <x:c r="I762" s="24" t="str">
        <x:v>1.6</x:v>
      </x:c>
      <x:c r="J762" s="24" t="str">
        <x:v>1.60</x:v>
      </x:c>
      <x:c r="K762" s="24" t="str">
        <x:v>Solitaire ECO 2</x:v>
      </x:c>
      <x:c r="L762" s="40" t="n">
        <x:v>1477</x:v>
      </x:c>
      <x:c r="M762" s="24" t="str">
        <x:v>-10 a +10</x:v>
      </x:c>
      <x:c r="N762" s="24" t="str">
        <x:v>até -6</x:v>
      </x:c>
      <x:c r="O762" s="24"/>
      <x:c r="P762" s="24" t="str">
        <x:v>75</x:v>
      </x:c>
      <x:c r="Q762" s="24"/>
      <x:c r="R762" s="24"/>
      <x:c r="S762" s="26" t="n">
        <x:v>46024</x:v>
      </x:c>
      <x:c r="T762" s="26"/>
      <x:c r="U762" s="24" t="str">
        <x:v>ATIVA/SEM FIM INFORMADO</x:v>
      </x:c>
      <x:c r="V762" s="24"/>
      <x:c r="W762" s="24" t="n">
        <x:v>17</x:v>
      </x:c>
      <x:c r="X762" s="24" t="str">
        <x:v>tabela_rodenstock.pdf</x:v>
      </x:c>
      <x:c r="Y762" s="24" t="str">
        <x:v>alta</x:v>
      </x:c>
      <x:c r="Z762" s="24"/>
      <x:c r="AA762" s="24" t="str">
        <x:v>Rodenstock|Monofocal B.I.G. NORM|Surfaçada|Cosmolit Surfaçadas B.I.G. NORM||1.6|1.60|Solitaire ECO 2|-10 a +10|até -6||75|||17</x:v>
      </x:c>
    </x:row>
    <x:row r="763">
      <x:c r="A763" s="24" t="str">
        <x:v>RD-0EE7BF149B1E</x:v>
      </x:c>
      <x:c r="B763" s="24" t="str">
        <x:v>SIM</x:v>
      </x:c>
      <x:c r="C763" s="24" t="str">
        <x:v>DISPONÍVEL</x:v>
      </x:c>
      <x:c r="D763" s="24" t="str">
        <x:v>Rodenstock</x:v>
      </x:c>
      <x:c r="E763" s="24" t="str">
        <x:v>Monofocal B.I.G. NORM</x:v>
      </x:c>
      <x:c r="F763" s="24" t="str">
        <x:v>Surfaçada</x:v>
      </x:c>
      <x:c r="G763" s="24" t="str">
        <x:v>Cosmolit Surfaçadas B.I.G. NORM</x:v>
      </x:c>
      <x:c r="H763" s="24" t="str">
        <x:v>PRO410</x:v>
      </x:c>
      <x:c r="I763" s="24" t="str">
        <x:v>1.6</x:v>
      </x:c>
      <x:c r="J763" s="24" t="str">
        <x:v>1.60</x:v>
      </x:c>
      <x:c r="K763" s="24" t="str">
        <x:v>LayR X-tra Clean</x:v>
      </x:c>
      <x:c r="L763" s="40" t="n">
        <x:v>2439</x:v>
      </x:c>
      <x:c r="M763" s="24" t="str">
        <x:v>-10 a +10</x:v>
      </x:c>
      <x:c r="N763" s="24" t="str">
        <x:v>até -6</x:v>
      </x:c>
      <x:c r="O763" s="24"/>
      <x:c r="P763" s="24" t="str">
        <x:v>75</x:v>
      </x:c>
      <x:c r="Q763" s="24"/>
      <x:c r="R763" s="24"/>
      <x:c r="S763" s="26" t="n">
        <x:v>46024</x:v>
      </x:c>
      <x:c r="T763" s="26"/>
      <x:c r="U763" s="24" t="str">
        <x:v>ATIVA/SEM FIM INFORMADO</x:v>
      </x:c>
      <x:c r="V763" s="24"/>
      <x:c r="W763" s="24" t="n">
        <x:v>17</x:v>
      </x:c>
      <x:c r="X763" s="24" t="str">
        <x:v>tabela_rodenstock.pdf</x:v>
      </x:c>
      <x:c r="Y763" s="24" t="str">
        <x:v>alta</x:v>
      </x:c>
      <x:c r="Z763" s="24"/>
      <x:c r="AA763" s="24" t="str">
        <x:v>Rodenstock|Monofocal B.I.G. NORM|Surfaçada|Cosmolit Surfaçadas B.I.G. NORM|PRO410|1.6|1.60|LayR X-tra Clean|-10 a +10|até -6||75|||17</x:v>
      </x:c>
    </x:row>
    <x:row r="764">
      <x:c r="A764" s="24" t="str">
        <x:v>RD-75C12799BA2B</x:v>
      </x:c>
      <x:c r="B764" s="24" t="str">
        <x:v>SIM</x:v>
      </x:c>
      <x:c r="C764" s="24" t="str">
        <x:v>DISPONÍVEL</x:v>
      </x:c>
      <x:c r="D764" s="24" t="str">
        <x:v>Rodenstock</x:v>
      </x:c>
      <x:c r="E764" s="24" t="str">
        <x:v>Monofocal B.I.G. NORM</x:v>
      </x:c>
      <x:c r="F764" s="24" t="str">
        <x:v>Surfaçada</x:v>
      </x:c>
      <x:c r="G764" s="24" t="str">
        <x:v>Cosmolit Surfaçadas B.I.G. NORM</x:v>
      </x:c>
      <x:c r="H764" s="24" t="str">
        <x:v>PRO410</x:v>
      </x:c>
      <x:c r="I764" s="24" t="str">
        <x:v>1.6</x:v>
      </x:c>
      <x:c r="J764" s="24" t="str">
        <x:v>1.60</x:v>
      </x:c>
      <x:c r="K764" s="24" t="str">
        <x:v>LayR Balance</x:v>
      </x:c>
      <x:c r="L764" s="40" t="n">
        <x:v>2439</x:v>
      </x:c>
      <x:c r="M764" s="24" t="str">
        <x:v>-10 a +10</x:v>
      </x:c>
      <x:c r="N764" s="24" t="str">
        <x:v>até -6</x:v>
      </x:c>
      <x:c r="O764" s="24"/>
      <x:c r="P764" s="24" t="str">
        <x:v>75</x:v>
      </x:c>
      <x:c r="Q764" s="24"/>
      <x:c r="R764" s="24"/>
      <x:c r="S764" s="26" t="n">
        <x:v>46024</x:v>
      </x:c>
      <x:c r="T764" s="26"/>
      <x:c r="U764" s="24" t="str">
        <x:v>ATIVA/SEM FIM INFORMADO</x:v>
      </x:c>
      <x:c r="V764" s="24"/>
      <x:c r="W764" s="24" t="n">
        <x:v>17</x:v>
      </x:c>
      <x:c r="X764" s="24" t="str">
        <x:v>tabela_rodenstock.pdf</x:v>
      </x:c>
      <x:c r="Y764" s="24" t="str">
        <x:v>alta</x:v>
      </x:c>
      <x:c r="Z764" s="24"/>
      <x:c r="AA764" s="24" t="str">
        <x:v>Rodenstock|Monofocal B.I.G. NORM|Surfaçada|Cosmolit Surfaçadas B.I.G. NORM|PRO410|1.6|1.60|LayR Balance|-10 a +10|até -6||75|||17</x:v>
      </x:c>
    </x:row>
    <x:row r="765">
      <x:c r="A765" s="24" t="str">
        <x:v>RD-BA116B4EB627</x:v>
      </x:c>
      <x:c r="B765" s="24" t="str">
        <x:v>SIM</x:v>
      </x:c>
      <x:c r="C765" s="24" t="str">
        <x:v>DISPONÍVEL</x:v>
      </x:c>
      <x:c r="D765" s="24" t="str">
        <x:v>Rodenstock</x:v>
      </x:c>
      <x:c r="E765" s="24" t="str">
        <x:v>Monofocal B.I.G. NORM</x:v>
      </x:c>
      <x:c r="F765" s="24" t="str">
        <x:v>Surfaçada</x:v>
      </x:c>
      <x:c r="G765" s="24" t="str">
        <x:v>Cosmolit Surfaçadas B.I.G. NORM</x:v>
      </x:c>
      <x:c r="H765" s="24" t="str">
        <x:v>PRO410</x:v>
      </x:c>
      <x:c r="I765" s="24" t="str">
        <x:v>1.6</x:v>
      </x:c>
      <x:c r="J765" s="24" t="str">
        <x:v>1.60</x:v>
      </x:c>
      <x:c r="K765" s="24" t="str">
        <x:v>Solitaire X-tra Clean</x:v>
      </x:c>
      <x:c r="L765" s="40" t="n">
        <x:v>2369</x:v>
      </x:c>
      <x:c r="M765" s="24" t="str">
        <x:v>-10 a +10</x:v>
      </x:c>
      <x:c r="N765" s="24" t="str">
        <x:v>até -6</x:v>
      </x:c>
      <x:c r="O765" s="24"/>
      <x:c r="P765" s="24" t="str">
        <x:v>75</x:v>
      </x:c>
      <x:c r="Q765" s="24"/>
      <x:c r="R765" s="24"/>
      <x:c r="S765" s="26" t="n">
        <x:v>46024</x:v>
      </x:c>
      <x:c r="T765" s="26"/>
      <x:c r="U765" s="24" t="str">
        <x:v>ATIVA/SEM FIM INFORMADO</x:v>
      </x:c>
      <x:c r="V765" s="24"/>
      <x:c r="W765" s="24" t="n">
        <x:v>17</x:v>
      </x:c>
      <x:c r="X765" s="24" t="str">
        <x:v>tabela_rodenstock.pdf</x:v>
      </x:c>
      <x:c r="Y765" s="24" t="str">
        <x:v>alta</x:v>
      </x:c>
      <x:c r="Z765" s="24"/>
      <x:c r="AA765" s="24" t="str">
        <x:v>Rodenstock|Monofocal B.I.G. NORM|Surfaçada|Cosmolit Surfaçadas B.I.G. NORM|PRO410|1.6|1.60|Solitaire X-tra Clean|-10 a +10|até -6||75|||17</x:v>
      </x:c>
    </x:row>
    <x:row r="766">
      <x:c r="A766" s="24" t="str">
        <x:v>RD-0460E209A8DC</x:v>
      </x:c>
      <x:c r="B766" s="24" t="str">
        <x:v>SIM</x:v>
      </x:c>
      <x:c r="C766" s="24" t="str">
        <x:v>DISPONÍVEL</x:v>
      </x:c>
      <x:c r="D766" s="24" t="str">
        <x:v>Rodenstock</x:v>
      </x:c>
      <x:c r="E766" s="24" t="str">
        <x:v>Monofocal B.I.G. NORM</x:v>
      </x:c>
      <x:c r="F766" s="24" t="str">
        <x:v>Surfaçada</x:v>
      </x:c>
      <x:c r="G766" s="24" t="str">
        <x:v>Cosmolit Surfaçadas B.I.G. NORM</x:v>
      </x:c>
      <x:c r="H766" s="24" t="str">
        <x:v>PRO410</x:v>
      </x:c>
      <x:c r="I766" s="24" t="str">
        <x:v>1.6</x:v>
      </x:c>
      <x:c r="J766" s="24" t="str">
        <x:v>1.60</x:v>
      </x:c>
      <x:c r="K766" s="24" t="str">
        <x:v>Solitaire Protect Plus</x:v>
      </x:c>
      <x:c r="L766" s="40" t="n">
        <x:v>2319</x:v>
      </x:c>
      <x:c r="M766" s="24" t="str">
        <x:v>-10 a +10</x:v>
      </x:c>
      <x:c r="N766" s="24" t="str">
        <x:v>até -6</x:v>
      </x:c>
      <x:c r="O766" s="24"/>
      <x:c r="P766" s="24" t="str">
        <x:v>75</x:v>
      </x:c>
      <x:c r="Q766" s="24"/>
      <x:c r="R766" s="24"/>
      <x:c r="S766" s="26" t="n">
        <x:v>46024</x:v>
      </x:c>
      <x:c r="T766" s="26"/>
      <x:c r="U766" s="24" t="str">
        <x:v>ATIVA/SEM FIM INFORMADO</x:v>
      </x:c>
      <x:c r="V766" s="24"/>
      <x:c r="W766" s="24" t="n">
        <x:v>17</x:v>
      </x:c>
      <x:c r="X766" s="24" t="str">
        <x:v>tabela_rodenstock.pdf</x:v>
      </x:c>
      <x:c r="Y766" s="24" t="str">
        <x:v>alta</x:v>
      </x:c>
      <x:c r="Z766" s="24"/>
      <x:c r="AA766" s="24" t="str">
        <x:v>Rodenstock|Monofocal B.I.G. NORM|Surfaçada|Cosmolit Surfaçadas B.I.G. NORM|PRO410|1.6|1.60|Solitaire Protect Plus|-10 a +10|até -6||75|||17</x:v>
      </x:c>
    </x:row>
    <x:row r="767">
      <x:c r="A767" s="24" t="str">
        <x:v>RD-6299ECFB656C</x:v>
      </x:c>
      <x:c r="B767" s="24" t="str">
        <x:v>SIM</x:v>
      </x:c>
      <x:c r="C767" s="24" t="str">
        <x:v>DISPONÍVEL</x:v>
      </x:c>
      <x:c r="D767" s="24" t="str">
        <x:v>Rodenstock</x:v>
      </x:c>
      <x:c r="E767" s="24" t="str">
        <x:v>Monofocal B.I.G. NORM</x:v>
      </x:c>
      <x:c r="F767" s="24" t="str">
        <x:v>Surfaçada</x:v>
      </x:c>
      <x:c r="G767" s="24" t="str">
        <x:v>Cosmolit Surfaçadas B.I.G. NORM</x:v>
      </x:c>
      <x:c r="H767" s="24" t="str">
        <x:v>PRO410</x:v>
      </x:c>
      <x:c r="I767" s="24" t="str">
        <x:v>1.6</x:v>
      </x:c>
      <x:c r="J767" s="24" t="str">
        <x:v>1.60</x:v>
      </x:c>
      <x:c r="K767" s="24" t="str">
        <x:v>ROAD</x:v>
      </x:c>
      <x:c r="L767" s="40" t="n">
        <x:v>2319</x:v>
      </x:c>
      <x:c r="M767" s="24" t="str">
        <x:v>-10 a +10</x:v>
      </x:c>
      <x:c r="N767" s="24" t="str">
        <x:v>até -6</x:v>
      </x:c>
      <x:c r="O767" s="24"/>
      <x:c r="P767" s="24" t="str">
        <x:v>75</x:v>
      </x:c>
      <x:c r="Q767" s="24"/>
      <x:c r="R767" s="24"/>
      <x:c r="S767" s="26" t="n">
        <x:v>46024</x:v>
      </x:c>
      <x:c r="T767" s="26"/>
      <x:c r="U767" s="24" t="str">
        <x:v>ATIVA/SEM FIM INFORMADO</x:v>
      </x:c>
      <x:c r="V767" s="24"/>
      <x:c r="W767" s="24" t="n">
        <x:v>17</x:v>
      </x:c>
      <x:c r="X767" s="24" t="str">
        <x:v>tabela_rodenstock.pdf</x:v>
      </x:c>
      <x:c r="Y767" s="24" t="str">
        <x:v>alta</x:v>
      </x:c>
      <x:c r="Z767" s="24"/>
      <x:c r="AA767" s="24" t="str">
        <x:v>Rodenstock|Monofocal B.I.G. NORM|Surfaçada|Cosmolit Surfaçadas B.I.G. NORM|PRO410|1.6|1.60|ROAD|-10 a +10|até -6||75|||17</x:v>
      </x:c>
    </x:row>
    <x:row r="768">
      <x:c r="A768" s="24" t="str">
        <x:v>RD-8590A6E42951</x:v>
      </x:c>
      <x:c r="B768" s="24" t="str">
        <x:v>SIM</x:v>
      </x:c>
      <x:c r="C768" s="24" t="str">
        <x:v>DISPONÍVEL</x:v>
      </x:c>
      <x:c r="D768" s="24" t="str">
        <x:v>Rodenstock</x:v>
      </x:c>
      <x:c r="E768" s="24" t="str">
        <x:v>Monofocal B.I.G. NORM</x:v>
      </x:c>
      <x:c r="F768" s="24" t="str">
        <x:v>Surfaçada</x:v>
      </x:c>
      <x:c r="G768" s="24" t="str">
        <x:v>Cosmolit Surfaçadas B.I.G. NORM</x:v>
      </x:c>
      <x:c r="H768" s="24" t="str">
        <x:v>PRO410</x:v>
      </x:c>
      <x:c r="I768" s="24" t="str">
        <x:v>1.6</x:v>
      </x:c>
      <x:c r="J768" s="24" t="str">
        <x:v>1.60</x:v>
      </x:c>
      <x:c r="K768" s="24" t="str">
        <x:v>Solitaire Protect</x:v>
      </x:c>
      <x:c r="L768" s="40" t="n">
        <x:v>2059</x:v>
      </x:c>
      <x:c r="M768" s="24" t="str">
        <x:v>-10 a +10</x:v>
      </x:c>
      <x:c r="N768" s="24" t="str">
        <x:v>até -6</x:v>
      </x:c>
      <x:c r="O768" s="24"/>
      <x:c r="P768" s="24" t="str">
        <x:v>75</x:v>
      </x:c>
      <x:c r="Q768" s="24"/>
      <x:c r="R768" s="24"/>
      <x:c r="S768" s="26" t="n">
        <x:v>46024</x:v>
      </x:c>
      <x:c r="T768" s="26"/>
      <x:c r="U768" s="24" t="str">
        <x:v>ATIVA/SEM FIM INFORMADO</x:v>
      </x:c>
      <x:c r="V768" s="24"/>
      <x:c r="W768" s="24" t="n">
        <x:v>17</x:v>
      </x:c>
      <x:c r="X768" s="24" t="str">
        <x:v>tabela_rodenstock.pdf</x:v>
      </x:c>
      <x:c r="Y768" s="24" t="str">
        <x:v>alta</x:v>
      </x:c>
      <x:c r="Z768" s="24"/>
      <x:c r="AA768" s="24" t="str">
        <x:v>Rodenstock|Monofocal B.I.G. NORM|Surfaçada|Cosmolit Surfaçadas B.I.G. NORM|PRO410|1.6|1.60|Solitaire Protect|-10 a +10|até -6||75|||17</x:v>
      </x:c>
    </x:row>
    <x:row r="769">
      <x:c r="A769" s="24" t="str">
        <x:v>RD-193F95C6EF8F</x:v>
      </x:c>
      <x:c r="B769" s="24" t="str">
        <x:v>SIM</x:v>
      </x:c>
      <x:c r="C769" s="24" t="str">
        <x:v>DISPONÍVEL</x:v>
      </x:c>
      <x:c r="D769" s="24" t="str">
        <x:v>Rodenstock</x:v>
      </x:c>
      <x:c r="E769" s="24" t="str">
        <x:v>Monofocal B.I.G. NORM</x:v>
      </x:c>
      <x:c r="F769" s="24" t="str">
        <x:v>Surfaçada</x:v>
      </x:c>
      <x:c r="G769" s="24" t="str">
        <x:v>Cosmolit Surfaçadas B.I.G. NORM</x:v>
      </x:c>
      <x:c r="H769" s="24" t="str">
        <x:v>PRO410</x:v>
      </x:c>
      <x:c r="I769" s="24" t="str">
        <x:v>1.6</x:v>
      </x:c>
      <x:c r="J769" s="24" t="str">
        <x:v>1.60</x:v>
      </x:c>
      <x:c r="K769" s="24" t="str">
        <x:v>Solitaire ECO 2</x:v>
      </x:c>
      <x:c r="L769" s="40" t="n">
        <x:v>1579</x:v>
      </x:c>
      <x:c r="M769" s="24" t="str">
        <x:v>-10 a +10</x:v>
      </x:c>
      <x:c r="N769" s="24" t="str">
        <x:v>até -6</x:v>
      </x:c>
      <x:c r="O769" s="24"/>
      <x:c r="P769" s="24" t="str">
        <x:v>75</x:v>
      </x:c>
      <x:c r="Q769" s="24"/>
      <x:c r="R769" s="24"/>
      <x:c r="S769" s="26" t="n">
        <x:v>46024</x:v>
      </x:c>
      <x:c r="T769" s="26"/>
      <x:c r="U769" s="24" t="str">
        <x:v>ATIVA/SEM FIM INFORMADO</x:v>
      </x:c>
      <x:c r="V769" s="24"/>
      <x:c r="W769" s="24" t="n">
        <x:v>17</x:v>
      </x:c>
      <x:c r="X769" s="24" t="str">
        <x:v>tabela_rodenstock.pdf</x:v>
      </x:c>
      <x:c r="Y769" s="24" t="str">
        <x:v>alta</x:v>
      </x:c>
      <x:c r="Z769" s="24"/>
      <x:c r="AA769" s="24" t="str">
        <x:v>Rodenstock|Monofocal B.I.G. NORM|Surfaçada|Cosmolit Surfaçadas B.I.G. NORM|PRO410|1.6|1.60|Solitaire ECO 2|-10 a +10|até -6||75|||17</x:v>
      </x:c>
    </x:row>
    <x:row r="770">
      <x:c r="A770" s="24" t="str">
        <x:v>RD-F525FF9ACE74</x:v>
      </x:c>
      <x:c r="B770" s="24" t="str">
        <x:v>SIM</x:v>
      </x:c>
      <x:c r="C770" s="24" t="str">
        <x:v>DISPONÍVEL</x:v>
      </x:c>
      <x:c r="D770" s="24" t="str">
        <x:v>Rodenstock</x:v>
      </x:c>
      <x:c r="E770" s="24" t="str">
        <x:v>Monofocal B.I.G. NORM</x:v>
      </x:c>
      <x:c r="F770" s="24" t="str">
        <x:v>Surfaçada</x:v>
      </x:c>
      <x:c r="G770" s="24" t="str">
        <x:v>Cosmolit Surfaçadas B.I.G. NORM</x:v>
      </x:c>
      <x:c r="H770" s="24" t="str">
        <x:v>ColorMatic® 3 | X</x:v>
      </x:c>
      <x:c r="I770" s="24" t="str">
        <x:v>1.6</x:v>
      </x:c>
      <x:c r="J770" s="24" t="str">
        <x:v>1.60</x:v>
      </x:c>
      <x:c r="K770" s="24" t="str">
        <x:v>LayR X-tra Clean</x:v>
      </x:c>
      <x:c r="L770" s="40" t="n">
        <x:v>3505</x:v>
      </x:c>
      <x:c r="M770" s="24" t="str">
        <x:v>-10 a +10</x:v>
      </x:c>
      <x:c r="N770" s="24" t="str">
        <x:v>até -6</x:v>
      </x:c>
      <x:c r="O770" s="24"/>
      <x:c r="P770" s="24" t="str">
        <x:v>75</x:v>
      </x:c>
      <x:c r="Q770" s="24"/>
      <x:c r="R770" s="24"/>
      <x:c r="S770" s="26" t="n">
        <x:v>46024</x:v>
      </x:c>
      <x:c r="T770" s="26"/>
      <x:c r="U770" s="24" t="str">
        <x:v>ATIVA/SEM FIM INFORMADO</x:v>
      </x:c>
      <x:c r="V770" s="24"/>
      <x:c r="W770" s="24" t="n">
        <x:v>17</x:v>
      </x:c>
      <x:c r="X770" s="24" t="str">
        <x:v>tabela_rodenstock.pdf</x:v>
      </x:c>
      <x:c r="Y770" s="24" t="str">
        <x:v>alta</x:v>
      </x:c>
      <x:c r="Z770" s="24"/>
      <x:c r="AA770" s="24" t="str">
        <x:v>Rodenstock|Monofocal B.I.G. NORM|Surfaçada|Cosmolit Surfaçadas B.I.G. NORM|ColorMatic® 3 | X|1.6|1.60|LayR X-tra Clean|-10 a +10|até -6||75|||17</x:v>
      </x:c>
    </x:row>
    <x:row r="771">
      <x:c r="A771" s="24" t="str">
        <x:v>RD-195B69E9AF63</x:v>
      </x:c>
      <x:c r="B771" s="24" t="str">
        <x:v>SIM</x:v>
      </x:c>
      <x:c r="C771" s="24" t="str">
        <x:v>DISPONÍVEL</x:v>
      </x:c>
      <x:c r="D771" s="24" t="str">
        <x:v>Rodenstock</x:v>
      </x:c>
      <x:c r="E771" s="24" t="str">
        <x:v>Monofocal B.I.G. NORM</x:v>
      </x:c>
      <x:c r="F771" s="24" t="str">
        <x:v>Surfaçada</x:v>
      </x:c>
      <x:c r="G771" s="24" t="str">
        <x:v>Cosmolit Surfaçadas B.I.G. NORM</x:v>
      </x:c>
      <x:c r="H771" s="24" t="str">
        <x:v>ColorMatic® 3 | X</x:v>
      </x:c>
      <x:c r="I771" s="24" t="str">
        <x:v>1.6</x:v>
      </x:c>
      <x:c r="J771" s="24" t="str">
        <x:v>1.60</x:v>
      </x:c>
      <x:c r="K771" s="24" t="str">
        <x:v>LayR Balance</x:v>
      </x:c>
      <x:c r="L771" s="40" t="n">
        <x:v>3505</x:v>
      </x:c>
      <x:c r="M771" s="24" t="str">
        <x:v>-10 a +10</x:v>
      </x:c>
      <x:c r="N771" s="24" t="str">
        <x:v>até -6</x:v>
      </x:c>
      <x:c r="O771" s="24"/>
      <x:c r="P771" s="24" t="str">
        <x:v>75</x:v>
      </x:c>
      <x:c r="Q771" s="24"/>
      <x:c r="R771" s="24"/>
      <x:c r="S771" s="26" t="n">
        <x:v>46024</x:v>
      </x:c>
      <x:c r="T771" s="26"/>
      <x:c r="U771" s="24" t="str">
        <x:v>ATIVA/SEM FIM INFORMADO</x:v>
      </x:c>
      <x:c r="V771" s="24"/>
      <x:c r="W771" s="24" t="n">
        <x:v>17</x:v>
      </x:c>
      <x:c r="X771" s="24" t="str">
        <x:v>tabela_rodenstock.pdf</x:v>
      </x:c>
      <x:c r="Y771" s="24" t="str">
        <x:v>alta</x:v>
      </x:c>
      <x:c r="Z771" s="24"/>
      <x:c r="AA771" s="24" t="str">
        <x:v>Rodenstock|Monofocal B.I.G. NORM|Surfaçada|Cosmolit Surfaçadas B.I.G. NORM|ColorMatic® 3 | X|1.6|1.60|LayR Balance|-10 a +10|até -6||75|||17</x:v>
      </x:c>
    </x:row>
    <x:row r="772">
      <x:c r="A772" s="24" t="str">
        <x:v>RD-F6726F89D688</x:v>
      </x:c>
      <x:c r="B772" s="24" t="str">
        <x:v>SIM</x:v>
      </x:c>
      <x:c r="C772" s="24" t="str">
        <x:v>DISPONÍVEL</x:v>
      </x:c>
      <x:c r="D772" s="24" t="str">
        <x:v>Rodenstock</x:v>
      </x:c>
      <x:c r="E772" s="24" t="str">
        <x:v>Monofocal B.I.G. NORM</x:v>
      </x:c>
      <x:c r="F772" s="24" t="str">
        <x:v>Surfaçada</x:v>
      </x:c>
      <x:c r="G772" s="24" t="str">
        <x:v>Cosmolit Surfaçadas B.I.G. NORM</x:v>
      </x:c>
      <x:c r="H772" s="24" t="str">
        <x:v>ColorMatic® 3 | X</x:v>
      </x:c>
      <x:c r="I772" s="24" t="str">
        <x:v>1.6</x:v>
      </x:c>
      <x:c r="J772" s="24" t="str">
        <x:v>1.60</x:v>
      </x:c>
      <x:c r="K772" s="24" t="str">
        <x:v>Solitaire X-tra Clean</x:v>
      </x:c>
      <x:c r="L772" s="40" t="n">
        <x:v>3435</x:v>
      </x:c>
      <x:c r="M772" s="24" t="str">
        <x:v>-10 a +10</x:v>
      </x:c>
      <x:c r="N772" s="24" t="str">
        <x:v>até -6</x:v>
      </x:c>
      <x:c r="O772" s="24"/>
      <x:c r="P772" s="24" t="str">
        <x:v>75</x:v>
      </x:c>
      <x:c r="Q772" s="24"/>
      <x:c r="R772" s="24"/>
      <x:c r="S772" s="26" t="n">
        <x:v>46024</x:v>
      </x:c>
      <x:c r="T772" s="26"/>
      <x:c r="U772" s="24" t="str">
        <x:v>ATIVA/SEM FIM INFORMADO</x:v>
      </x:c>
      <x:c r="V772" s="24"/>
      <x:c r="W772" s="24" t="n">
        <x:v>17</x:v>
      </x:c>
      <x:c r="X772" s="24" t="str">
        <x:v>tabela_rodenstock.pdf</x:v>
      </x:c>
      <x:c r="Y772" s="24" t="str">
        <x:v>alta</x:v>
      </x:c>
      <x:c r="Z772" s="24"/>
      <x:c r="AA772" s="24" t="str">
        <x:v>Rodenstock|Monofocal B.I.G. NORM|Surfaçada|Cosmolit Surfaçadas B.I.G. NORM|ColorMatic® 3 | X|1.6|1.60|Solitaire X-tra Clean|-10 a +10|até -6||75|||17</x:v>
      </x:c>
    </x:row>
    <x:row r="773">
      <x:c r="A773" s="24" t="str">
        <x:v>RD-31AB4EF613FA</x:v>
      </x:c>
      <x:c r="B773" s="24" t="str">
        <x:v>SIM</x:v>
      </x:c>
      <x:c r="C773" s="24" t="str">
        <x:v>DISPONÍVEL</x:v>
      </x:c>
      <x:c r="D773" s="24" t="str">
        <x:v>Rodenstock</x:v>
      </x:c>
      <x:c r="E773" s="24" t="str">
        <x:v>Monofocal B.I.G. NORM</x:v>
      </x:c>
      <x:c r="F773" s="24" t="str">
        <x:v>Surfaçada</x:v>
      </x:c>
      <x:c r="G773" s="24" t="str">
        <x:v>Cosmolit Surfaçadas B.I.G. NORM</x:v>
      </x:c>
      <x:c r="H773" s="24" t="str">
        <x:v>ColorMatic® 3 | X</x:v>
      </x:c>
      <x:c r="I773" s="24" t="str">
        <x:v>1.6</x:v>
      </x:c>
      <x:c r="J773" s="24" t="str">
        <x:v>1.60</x:v>
      </x:c>
      <x:c r="K773" s="24" t="str">
        <x:v>Solitaire Protect Plus</x:v>
      </x:c>
      <x:c r="L773" s="40" t="n">
        <x:v>3385</x:v>
      </x:c>
      <x:c r="M773" s="24" t="str">
        <x:v>-10 a +10</x:v>
      </x:c>
      <x:c r="N773" s="24" t="str">
        <x:v>até -6</x:v>
      </x:c>
      <x:c r="O773" s="24"/>
      <x:c r="P773" s="24" t="str">
        <x:v>75</x:v>
      </x:c>
      <x:c r="Q773" s="24"/>
      <x:c r="R773" s="24"/>
      <x:c r="S773" s="26" t="n">
        <x:v>46024</x:v>
      </x:c>
      <x:c r="T773" s="26"/>
      <x:c r="U773" s="24" t="str">
        <x:v>ATIVA/SEM FIM INFORMADO</x:v>
      </x:c>
      <x:c r="V773" s="24"/>
      <x:c r="W773" s="24" t="n">
        <x:v>17</x:v>
      </x:c>
      <x:c r="X773" s="24" t="str">
        <x:v>tabela_rodenstock.pdf</x:v>
      </x:c>
      <x:c r="Y773" s="24" t="str">
        <x:v>alta</x:v>
      </x:c>
      <x:c r="Z773" s="24"/>
      <x:c r="AA773" s="24" t="str">
        <x:v>Rodenstock|Monofocal B.I.G. NORM|Surfaçada|Cosmolit Surfaçadas B.I.G. NORM|ColorMatic® 3 | X|1.6|1.60|Solitaire Protect Plus|-10 a +10|até -6||75|||17</x:v>
      </x:c>
    </x:row>
    <x:row r="774">
      <x:c r="A774" s="24" t="str">
        <x:v>RD-0582DCDF3182</x:v>
      </x:c>
      <x:c r="B774" s="24" t="str">
        <x:v>SIM</x:v>
      </x:c>
      <x:c r="C774" s="24" t="str">
        <x:v>DISPONÍVEL</x:v>
      </x:c>
      <x:c r="D774" s="24" t="str">
        <x:v>Rodenstock</x:v>
      </x:c>
      <x:c r="E774" s="24" t="str">
        <x:v>Monofocal B.I.G. NORM</x:v>
      </x:c>
      <x:c r="F774" s="24" t="str">
        <x:v>Surfaçada</x:v>
      </x:c>
      <x:c r="G774" s="24" t="str">
        <x:v>Cosmolit Surfaçadas B.I.G. NORM</x:v>
      </x:c>
      <x:c r="H774" s="24" t="str">
        <x:v>ColorMatic® 3 | X</x:v>
      </x:c>
      <x:c r="I774" s="24" t="str">
        <x:v>1.6</x:v>
      </x:c>
      <x:c r="J774" s="24" t="str">
        <x:v>1.60</x:v>
      </x:c>
      <x:c r="K774" s="24" t="str">
        <x:v>ROAD</x:v>
      </x:c>
      <x:c r="L774" s="40" t="n">
        <x:v>3385</x:v>
      </x:c>
      <x:c r="M774" s="24" t="str">
        <x:v>-10 a +10</x:v>
      </x:c>
      <x:c r="N774" s="24" t="str">
        <x:v>até -6</x:v>
      </x:c>
      <x:c r="O774" s="24"/>
      <x:c r="P774" s="24" t="str">
        <x:v>75</x:v>
      </x:c>
      <x:c r="Q774" s="24"/>
      <x:c r="R774" s="24"/>
      <x:c r="S774" s="26" t="n">
        <x:v>46024</x:v>
      </x:c>
      <x:c r="T774" s="26"/>
      <x:c r="U774" s="24" t="str">
        <x:v>ATIVA/SEM FIM INFORMADO</x:v>
      </x:c>
      <x:c r="V774" s="24"/>
      <x:c r="W774" s="24" t="n">
        <x:v>17</x:v>
      </x:c>
      <x:c r="X774" s="24" t="str">
        <x:v>tabela_rodenstock.pdf</x:v>
      </x:c>
      <x:c r="Y774" s="24" t="str">
        <x:v>alta</x:v>
      </x:c>
      <x:c r="Z774" s="24"/>
      <x:c r="AA774" s="24" t="str">
        <x:v>Rodenstock|Monofocal B.I.G. NORM|Surfaçada|Cosmolit Surfaçadas B.I.G. NORM|ColorMatic® 3 | X|1.6|1.60|ROAD|-10 a +10|até -6||75|||17</x:v>
      </x:c>
    </x:row>
    <x:row r="775">
      <x:c r="A775" s="24" t="str">
        <x:v>RD-F3444C63A9E0</x:v>
      </x:c>
      <x:c r="B775" s="24" t="str">
        <x:v>SIM</x:v>
      </x:c>
      <x:c r="C775" s="24" t="str">
        <x:v>DISPONÍVEL</x:v>
      </x:c>
      <x:c r="D775" s="24" t="str">
        <x:v>Rodenstock</x:v>
      </x:c>
      <x:c r="E775" s="24" t="str">
        <x:v>Monofocal B.I.G. NORM</x:v>
      </x:c>
      <x:c r="F775" s="24" t="str">
        <x:v>Surfaçada</x:v>
      </x:c>
      <x:c r="G775" s="24" t="str">
        <x:v>Cosmolit Surfaçadas B.I.G. NORM</x:v>
      </x:c>
      <x:c r="H775" s="24" t="str">
        <x:v>ColorMatic® 3 | X</x:v>
      </x:c>
      <x:c r="I775" s="24" t="str">
        <x:v>1.6</x:v>
      </x:c>
      <x:c r="J775" s="24" t="str">
        <x:v>1.60</x:v>
      </x:c>
      <x:c r="K775" s="24" t="str">
        <x:v>Solitaire Protect</x:v>
      </x:c>
      <x:c r="L775" s="40" t="n">
        <x:v>3125</x:v>
      </x:c>
      <x:c r="M775" s="24" t="str">
        <x:v>-10 a +10</x:v>
      </x:c>
      <x:c r="N775" s="24" t="str">
        <x:v>até -6</x:v>
      </x:c>
      <x:c r="O775" s="24"/>
      <x:c r="P775" s="24" t="str">
        <x:v>75</x:v>
      </x:c>
      <x:c r="Q775" s="24"/>
      <x:c r="R775" s="24"/>
      <x:c r="S775" s="26" t="n">
        <x:v>46024</x:v>
      </x:c>
      <x:c r="T775" s="26"/>
      <x:c r="U775" s="24" t="str">
        <x:v>ATIVA/SEM FIM INFORMADO</x:v>
      </x:c>
      <x:c r="V775" s="24"/>
      <x:c r="W775" s="24" t="n">
        <x:v>17</x:v>
      </x:c>
      <x:c r="X775" s="24" t="str">
        <x:v>tabela_rodenstock.pdf</x:v>
      </x:c>
      <x:c r="Y775" s="24" t="str">
        <x:v>alta</x:v>
      </x:c>
      <x:c r="Z775" s="24"/>
      <x:c r="AA775" s="24" t="str">
        <x:v>Rodenstock|Monofocal B.I.G. NORM|Surfaçada|Cosmolit Surfaçadas B.I.G. NORM|ColorMatic® 3 | X|1.6|1.60|Solitaire Protect|-10 a +10|até -6||75|||17</x:v>
      </x:c>
    </x:row>
    <x:row r="776">
      <x:c r="A776" s="24" t="str">
        <x:v>RD-16DDBEE73B70</x:v>
      </x:c>
      <x:c r="B776" s="24" t="str">
        <x:v>SIM</x:v>
      </x:c>
      <x:c r="C776" s="24" t="str">
        <x:v>DISPONÍVEL</x:v>
      </x:c>
      <x:c r="D776" s="24" t="str">
        <x:v>Rodenstock</x:v>
      </x:c>
      <x:c r="E776" s="24" t="str">
        <x:v>Monofocal B.I.G. NORM</x:v>
      </x:c>
      <x:c r="F776" s="24" t="str">
        <x:v>Surfaçada</x:v>
      </x:c>
      <x:c r="G776" s="24" t="str">
        <x:v>Cosmolit Surfaçadas B.I.G. NORM</x:v>
      </x:c>
      <x:c r="H776" s="24" t="str">
        <x:v>ColorMatic® 3 | X</x:v>
      </x:c>
      <x:c r="I776" s="24" t="str">
        <x:v>1.6</x:v>
      </x:c>
      <x:c r="J776" s="24" t="str">
        <x:v>1.60</x:v>
      </x:c>
      <x:c r="K776" s="24" t="str">
        <x:v>Solitaire ECO 2</x:v>
      </x:c>
      <x:c r="L776" s="40" t="n">
        <x:v>2645</x:v>
      </x:c>
      <x:c r="M776" s="24" t="str">
        <x:v>-10 a +10</x:v>
      </x:c>
      <x:c r="N776" s="24" t="str">
        <x:v>até -6</x:v>
      </x:c>
      <x:c r="O776" s="24"/>
      <x:c r="P776" s="24" t="str">
        <x:v>75</x:v>
      </x:c>
      <x:c r="Q776" s="24"/>
      <x:c r="R776" s="24"/>
      <x:c r="S776" s="26" t="n">
        <x:v>46024</x:v>
      </x:c>
      <x:c r="T776" s="26"/>
      <x:c r="U776" s="24" t="str">
        <x:v>ATIVA/SEM FIM INFORMADO</x:v>
      </x:c>
      <x:c r="V776" s="24"/>
      <x:c r="W776" s="24" t="n">
        <x:v>17</x:v>
      </x:c>
      <x:c r="X776" s="24" t="str">
        <x:v>tabela_rodenstock.pdf</x:v>
      </x:c>
      <x:c r="Y776" s="24" t="str">
        <x:v>alta</x:v>
      </x:c>
      <x:c r="Z776" s="24"/>
      <x:c r="AA776" s="24" t="str">
        <x:v>Rodenstock|Monofocal B.I.G. NORM|Surfaçada|Cosmolit Surfaçadas B.I.G. NORM|ColorMatic® 3 | X|1.6|1.60|Solitaire ECO 2|-10 a +10|até -6||75|||17</x:v>
      </x:c>
    </x:row>
    <x:row r="777">
      <x:c r="A777" s="24" t="str">
        <x:v>RD-FD7DFD582D21</x:v>
      </x:c>
      <x:c r="B777" s="24" t="str">
        <x:v>SIM</x:v>
      </x:c>
      <x:c r="C777" s="24" t="str">
        <x:v>DISPONÍVEL</x:v>
      </x:c>
      <x:c r="D777" s="24" t="str">
        <x:v>Rodenstock</x:v>
      </x:c>
      <x:c r="E777" s="24" t="str">
        <x:v>Monofocal B.I.G. NORM</x:v>
      </x:c>
      <x:c r="F777" s="24" t="str">
        <x:v>Surfaçada</x:v>
      </x:c>
      <x:c r="G777" s="24" t="str">
        <x:v>Cosmolit Surfaçadas B.I.G. NORM</x:v>
      </x:c>
      <x:c r="H777" s="24"/>
      <x:c r="I777" s="24" t="str">
        <x:v>1.67</x:v>
      </x:c>
      <x:c r="J777" s="24" t="str">
        <x:v>1.67</x:v>
      </x:c>
      <x:c r="K777" s="24" t="str">
        <x:v>LayR X-tra Clean</x:v>
      </x:c>
      <x:c r="L777" s="40" t="n">
        <x:v>3458</x:v>
      </x:c>
      <x:c r="M777" s="24" t="str">
        <x:v>-12 a +10</x:v>
      </x:c>
      <x:c r="N777" s="24" t="str">
        <x:v>até -6</x:v>
      </x:c>
      <x:c r="O777" s="24"/>
      <x:c r="P777" s="24" t="str">
        <x:v>75</x:v>
      </x:c>
      <x:c r="Q777" s="24"/>
      <x:c r="R777" s="24"/>
      <x:c r="S777" s="26" t="n">
        <x:v>46024</x:v>
      </x:c>
      <x:c r="T777" s="26"/>
      <x:c r="U777" s="24" t="str">
        <x:v>ATIVA/SEM FIM INFORMADO</x:v>
      </x:c>
      <x:c r="V777" s="24"/>
      <x:c r="W777" s="24" t="n">
        <x:v>17</x:v>
      </x:c>
      <x:c r="X777" s="24" t="str">
        <x:v>tabela_rodenstock.pdf</x:v>
      </x:c>
      <x:c r="Y777" s="24" t="str">
        <x:v>alta</x:v>
      </x:c>
      <x:c r="Z777" s="24"/>
      <x:c r="AA777" s="24" t="str">
        <x:v>Rodenstock|Monofocal B.I.G. NORM|Surfaçada|Cosmolit Surfaçadas B.I.G. NORM||1.67|1.67|LayR X-tra Clean|-12 a +10|até -6||75|||17</x:v>
      </x:c>
    </x:row>
    <x:row r="778">
      <x:c r="A778" s="24" t="str">
        <x:v>RD-F50FABC71C25</x:v>
      </x:c>
      <x:c r="B778" s="24" t="str">
        <x:v>SIM</x:v>
      </x:c>
      <x:c r="C778" s="24" t="str">
        <x:v>DISPONÍVEL</x:v>
      </x:c>
      <x:c r="D778" s="24" t="str">
        <x:v>Rodenstock</x:v>
      </x:c>
      <x:c r="E778" s="24" t="str">
        <x:v>Monofocal B.I.G. NORM</x:v>
      </x:c>
      <x:c r="F778" s="24" t="str">
        <x:v>Surfaçada</x:v>
      </x:c>
      <x:c r="G778" s="24" t="str">
        <x:v>Cosmolit Surfaçadas B.I.G. NORM</x:v>
      </x:c>
      <x:c r="H778" s="24"/>
      <x:c r="I778" s="24" t="str">
        <x:v>1.67</x:v>
      </x:c>
      <x:c r="J778" s="24" t="str">
        <x:v>1.67</x:v>
      </x:c>
      <x:c r="K778" s="24" t="str">
        <x:v>LayR Balance</x:v>
      </x:c>
      <x:c r="L778" s="40" t="n">
        <x:v>3458</x:v>
      </x:c>
      <x:c r="M778" s="24" t="str">
        <x:v>-12 a +10</x:v>
      </x:c>
      <x:c r="N778" s="24" t="str">
        <x:v>até -6</x:v>
      </x:c>
      <x:c r="O778" s="24"/>
      <x:c r="P778" s="24" t="str">
        <x:v>75</x:v>
      </x:c>
      <x:c r="Q778" s="24"/>
      <x:c r="R778" s="24"/>
      <x:c r="S778" s="26" t="n">
        <x:v>46024</x:v>
      </x:c>
      <x:c r="T778" s="26"/>
      <x:c r="U778" s="24" t="str">
        <x:v>ATIVA/SEM FIM INFORMADO</x:v>
      </x:c>
      <x:c r="V778" s="24"/>
      <x:c r="W778" s="24" t="n">
        <x:v>17</x:v>
      </x:c>
      <x:c r="X778" s="24" t="str">
        <x:v>tabela_rodenstock.pdf</x:v>
      </x:c>
      <x:c r="Y778" s="24" t="str">
        <x:v>alta</x:v>
      </x:c>
      <x:c r="Z778" s="24"/>
      <x:c r="AA778" s="24" t="str">
        <x:v>Rodenstock|Monofocal B.I.G. NORM|Surfaçada|Cosmolit Surfaçadas B.I.G. NORM||1.67|1.67|LayR Balance|-12 a +10|até -6||75|||17</x:v>
      </x:c>
    </x:row>
    <x:row r="779">
      <x:c r="A779" s="24" t="str">
        <x:v>RD-EE292BC99FFD</x:v>
      </x:c>
      <x:c r="B779" s="24" t="str">
        <x:v>SIM</x:v>
      </x:c>
      <x:c r="C779" s="24" t="str">
        <x:v>DISPONÍVEL</x:v>
      </x:c>
      <x:c r="D779" s="24" t="str">
        <x:v>Rodenstock</x:v>
      </x:c>
      <x:c r="E779" s="24" t="str">
        <x:v>Monofocal B.I.G. NORM</x:v>
      </x:c>
      <x:c r="F779" s="24" t="str">
        <x:v>Surfaçada</x:v>
      </x:c>
      <x:c r="G779" s="24" t="str">
        <x:v>Cosmolit Surfaçadas B.I.G. NORM</x:v>
      </x:c>
      <x:c r="H779" s="24"/>
      <x:c r="I779" s="24" t="str">
        <x:v>1.67</x:v>
      </x:c>
      <x:c r="J779" s="24" t="str">
        <x:v>1.67</x:v>
      </x:c>
      <x:c r="K779" s="24" t="str">
        <x:v>Solitaire X-tra Clean</x:v>
      </x:c>
      <x:c r="L779" s="40" t="n">
        <x:v>3388</x:v>
      </x:c>
      <x:c r="M779" s="24" t="str">
        <x:v>-12 a +10</x:v>
      </x:c>
      <x:c r="N779" s="24" t="str">
        <x:v>até -6</x:v>
      </x:c>
      <x:c r="O779" s="24"/>
      <x:c r="P779" s="24" t="str">
        <x:v>75</x:v>
      </x:c>
      <x:c r="Q779" s="24"/>
      <x:c r="R779" s="24"/>
      <x:c r="S779" s="26" t="n">
        <x:v>46024</x:v>
      </x:c>
      <x:c r="T779" s="26"/>
      <x:c r="U779" s="24" t="str">
        <x:v>ATIVA/SEM FIM INFORMADO</x:v>
      </x:c>
      <x:c r="V779" s="24"/>
      <x:c r="W779" s="24" t="n">
        <x:v>17</x:v>
      </x:c>
      <x:c r="X779" s="24" t="str">
        <x:v>tabela_rodenstock.pdf</x:v>
      </x:c>
      <x:c r="Y779" s="24" t="str">
        <x:v>alta</x:v>
      </x:c>
      <x:c r="Z779" s="24"/>
      <x:c r="AA779" s="24" t="str">
        <x:v>Rodenstock|Monofocal B.I.G. NORM|Surfaçada|Cosmolit Surfaçadas B.I.G. NORM||1.67|1.67|Solitaire X-tra Clean|-12 a +10|até -6||75|||17</x:v>
      </x:c>
    </x:row>
    <x:row r="780">
      <x:c r="A780" s="24" t="str">
        <x:v>RD-8583768BBBC4</x:v>
      </x:c>
      <x:c r="B780" s="24" t="str">
        <x:v>SIM</x:v>
      </x:c>
      <x:c r="C780" s="24" t="str">
        <x:v>DISPONÍVEL</x:v>
      </x:c>
      <x:c r="D780" s="24" t="str">
        <x:v>Rodenstock</x:v>
      </x:c>
      <x:c r="E780" s="24" t="str">
        <x:v>Monofocal B.I.G. NORM</x:v>
      </x:c>
      <x:c r="F780" s="24" t="str">
        <x:v>Surfaçada</x:v>
      </x:c>
      <x:c r="G780" s="24" t="str">
        <x:v>Cosmolit Surfaçadas B.I.G. NORM</x:v>
      </x:c>
      <x:c r="H780" s="24"/>
      <x:c r="I780" s="24" t="str">
        <x:v>1.67</x:v>
      </x:c>
      <x:c r="J780" s="24" t="str">
        <x:v>1.67</x:v>
      </x:c>
      <x:c r="K780" s="24" t="str">
        <x:v>Solitaire Protect Plus</x:v>
      </x:c>
      <x:c r="L780" s="40" t="n">
        <x:v>3338</x:v>
      </x:c>
      <x:c r="M780" s="24" t="str">
        <x:v>-12 a +10</x:v>
      </x:c>
      <x:c r="N780" s="24" t="str">
        <x:v>até -6</x:v>
      </x:c>
      <x:c r="O780" s="24"/>
      <x:c r="P780" s="24" t="str">
        <x:v>75</x:v>
      </x:c>
      <x:c r="Q780" s="24"/>
      <x:c r="R780" s="24"/>
      <x:c r="S780" s="26" t="n">
        <x:v>46024</x:v>
      </x:c>
      <x:c r="T780" s="26"/>
      <x:c r="U780" s="24" t="str">
        <x:v>ATIVA/SEM FIM INFORMADO</x:v>
      </x:c>
      <x:c r="V780" s="24"/>
      <x:c r="W780" s="24" t="n">
        <x:v>17</x:v>
      </x:c>
      <x:c r="X780" s="24" t="str">
        <x:v>tabela_rodenstock.pdf</x:v>
      </x:c>
      <x:c r="Y780" s="24" t="str">
        <x:v>alta</x:v>
      </x:c>
      <x:c r="Z780" s="24"/>
      <x:c r="AA780" s="24" t="str">
        <x:v>Rodenstock|Monofocal B.I.G. NORM|Surfaçada|Cosmolit Surfaçadas B.I.G. NORM||1.67|1.67|Solitaire Protect Plus|-12 a +10|até -6||75|||17</x:v>
      </x:c>
    </x:row>
    <x:row r="781">
      <x:c r="A781" s="24" t="str">
        <x:v>RD-3C28261AA5AC</x:v>
      </x:c>
      <x:c r="B781" s="24" t="str">
        <x:v>SIM</x:v>
      </x:c>
      <x:c r="C781" s="24" t="str">
        <x:v>DISPONÍVEL</x:v>
      </x:c>
      <x:c r="D781" s="24" t="str">
        <x:v>Rodenstock</x:v>
      </x:c>
      <x:c r="E781" s="24" t="str">
        <x:v>Monofocal B.I.G. NORM</x:v>
      </x:c>
      <x:c r="F781" s="24" t="str">
        <x:v>Surfaçada</x:v>
      </x:c>
      <x:c r="G781" s="24" t="str">
        <x:v>Cosmolit Surfaçadas B.I.G. NORM</x:v>
      </x:c>
      <x:c r="H781" s="24"/>
      <x:c r="I781" s="24" t="str">
        <x:v>1.67</x:v>
      </x:c>
      <x:c r="J781" s="24" t="str">
        <x:v>1.67</x:v>
      </x:c>
      <x:c r="K781" s="24" t="str">
        <x:v>ROAD</x:v>
      </x:c>
      <x:c r="L781" s="40" t="n">
        <x:v>3338</x:v>
      </x:c>
      <x:c r="M781" s="24" t="str">
        <x:v>-12 a +10</x:v>
      </x:c>
      <x:c r="N781" s="24" t="str">
        <x:v>até -6</x:v>
      </x:c>
      <x:c r="O781" s="24"/>
      <x:c r="P781" s="24" t="str">
        <x:v>75</x:v>
      </x:c>
      <x:c r="Q781" s="24"/>
      <x:c r="R781" s="24"/>
      <x:c r="S781" s="26" t="n">
        <x:v>46024</x:v>
      </x:c>
      <x:c r="T781" s="26"/>
      <x:c r="U781" s="24" t="str">
        <x:v>ATIVA/SEM FIM INFORMADO</x:v>
      </x:c>
      <x:c r="V781" s="24"/>
      <x:c r="W781" s="24" t="n">
        <x:v>17</x:v>
      </x:c>
      <x:c r="X781" s="24" t="str">
        <x:v>tabela_rodenstock.pdf</x:v>
      </x:c>
      <x:c r="Y781" s="24" t="str">
        <x:v>alta</x:v>
      </x:c>
      <x:c r="Z781" s="24"/>
      <x:c r="AA781" s="24" t="str">
        <x:v>Rodenstock|Monofocal B.I.G. NORM|Surfaçada|Cosmolit Surfaçadas B.I.G. NORM||1.67|1.67|ROAD|-12 a +10|até -6||75|||17</x:v>
      </x:c>
    </x:row>
    <x:row r="782">
      <x:c r="A782" s="24" t="str">
        <x:v>RD-518483A8A834</x:v>
      </x:c>
      <x:c r="B782" s="24" t="str">
        <x:v>SIM</x:v>
      </x:c>
      <x:c r="C782" s="24" t="str">
        <x:v>DISPONÍVEL</x:v>
      </x:c>
      <x:c r="D782" s="24" t="str">
        <x:v>Rodenstock</x:v>
      </x:c>
      <x:c r="E782" s="24" t="str">
        <x:v>Monofocal B.I.G. NORM</x:v>
      </x:c>
      <x:c r="F782" s="24" t="str">
        <x:v>Surfaçada</x:v>
      </x:c>
      <x:c r="G782" s="24" t="str">
        <x:v>Cosmolit Surfaçadas B.I.G. NORM</x:v>
      </x:c>
      <x:c r="H782" s="24"/>
      <x:c r="I782" s="24" t="str">
        <x:v>1.67</x:v>
      </x:c>
      <x:c r="J782" s="24" t="str">
        <x:v>1.67</x:v>
      </x:c>
      <x:c r="K782" s="24" t="str">
        <x:v>Solitaire Protect</x:v>
      </x:c>
      <x:c r="L782" s="40" t="n">
        <x:v>3078</x:v>
      </x:c>
      <x:c r="M782" s="24" t="str">
        <x:v>-12 a +10</x:v>
      </x:c>
      <x:c r="N782" s="24" t="str">
        <x:v>até -6</x:v>
      </x:c>
      <x:c r="O782" s="24"/>
      <x:c r="P782" s="24" t="str">
        <x:v>75</x:v>
      </x:c>
      <x:c r="Q782" s="24"/>
      <x:c r="R782" s="24"/>
      <x:c r="S782" s="26" t="n">
        <x:v>46024</x:v>
      </x:c>
      <x:c r="T782" s="26"/>
      <x:c r="U782" s="24" t="str">
        <x:v>ATIVA/SEM FIM INFORMADO</x:v>
      </x:c>
      <x:c r="V782" s="24"/>
      <x:c r="W782" s="24" t="n">
        <x:v>17</x:v>
      </x:c>
      <x:c r="X782" s="24" t="str">
        <x:v>tabela_rodenstock.pdf</x:v>
      </x:c>
      <x:c r="Y782" s="24" t="str">
        <x:v>alta</x:v>
      </x:c>
      <x:c r="Z782" s="24"/>
      <x:c r="AA782" s="24" t="str">
        <x:v>Rodenstock|Monofocal B.I.G. NORM|Surfaçada|Cosmolit Surfaçadas B.I.G. NORM||1.67|1.67|Solitaire Protect|-12 a +10|até -6||75|||17</x:v>
      </x:c>
    </x:row>
    <x:row r="783">
      <x:c r="A783" s="24" t="str">
        <x:v>RD-9C7F28E59021</x:v>
      </x:c>
      <x:c r="B783" s="24" t="str">
        <x:v>SIM</x:v>
      </x:c>
      <x:c r="C783" s="24" t="str">
        <x:v>DISPONÍVEL</x:v>
      </x:c>
      <x:c r="D783" s="24" t="str">
        <x:v>Rodenstock</x:v>
      </x:c>
      <x:c r="E783" s="24" t="str">
        <x:v>Monofocal B.I.G. NORM</x:v>
      </x:c>
      <x:c r="F783" s="24" t="str">
        <x:v>Surfaçada</x:v>
      </x:c>
      <x:c r="G783" s="24" t="str">
        <x:v>Cosmolit Surfaçadas B.I.G. NORM</x:v>
      </x:c>
      <x:c r="H783" s="24"/>
      <x:c r="I783" s="24" t="str">
        <x:v>1.67</x:v>
      </x:c>
      <x:c r="J783" s="24" t="str">
        <x:v>1.67</x:v>
      </x:c>
      <x:c r="K783" s="24" t="str">
        <x:v>Solitaire ECO 2</x:v>
      </x:c>
      <x:c r="L783" s="40" t="n">
        <x:v>2598</x:v>
      </x:c>
      <x:c r="M783" s="24" t="str">
        <x:v>-12 a +10</x:v>
      </x:c>
      <x:c r="N783" s="24" t="str">
        <x:v>até -6</x:v>
      </x:c>
      <x:c r="O783" s="24"/>
      <x:c r="P783" s="24" t="str">
        <x:v>75</x:v>
      </x:c>
      <x:c r="Q783" s="24"/>
      <x:c r="R783" s="24"/>
      <x:c r="S783" s="26" t="n">
        <x:v>46024</x:v>
      </x:c>
      <x:c r="T783" s="26"/>
      <x:c r="U783" s="24" t="str">
        <x:v>ATIVA/SEM FIM INFORMADO</x:v>
      </x:c>
      <x:c r="V783" s="24"/>
      <x:c r="W783" s="24" t="n">
        <x:v>17</x:v>
      </x:c>
      <x:c r="X783" s="24" t="str">
        <x:v>tabela_rodenstock.pdf</x:v>
      </x:c>
      <x:c r="Y783" s="24" t="str">
        <x:v>alta</x:v>
      </x:c>
      <x:c r="Z783" s="24"/>
      <x:c r="AA783" s="24" t="str">
        <x:v>Rodenstock|Monofocal B.I.G. NORM|Surfaçada|Cosmolit Surfaçadas B.I.G. NORM||1.67|1.67|Solitaire ECO 2|-12 a +10|até -6||75|||17</x:v>
      </x:c>
    </x:row>
    <x:row r="784">
      <x:c r="A784" s="24" t="str">
        <x:v>RD-C9ACF5E340F4</x:v>
      </x:c>
      <x:c r="B784" s="24" t="str">
        <x:v>SIM</x:v>
      </x:c>
      <x:c r="C784" s="24" t="str">
        <x:v>DISPONÍVEL</x:v>
      </x:c>
      <x:c r="D784" s="24" t="str">
        <x:v>Rodenstock</x:v>
      </x:c>
      <x:c r="E784" s="24" t="str">
        <x:v>Monofocal B.I.G. NORM</x:v>
      </x:c>
      <x:c r="F784" s="24" t="str">
        <x:v>Surfaçada</x:v>
      </x:c>
      <x:c r="G784" s="24" t="str">
        <x:v>Cosmolit Surfaçadas B.I.G. NORM</x:v>
      </x:c>
      <x:c r="H784" s="24" t="str">
        <x:v>ColorMatic® 3</x:v>
      </x:c>
      <x:c r="I784" s="24" t="str">
        <x:v>1.67</x:v>
      </x:c>
      <x:c r="J784" s="24" t="str">
        <x:v>1.67</x:v>
      </x:c>
      <x:c r="K784" s="24" t="str">
        <x:v>LayR X-tra Clean</x:v>
      </x:c>
      <x:c r="L784" s="40" t="n">
        <x:v>4819</x:v>
      </x:c>
      <x:c r="M784" s="24" t="str">
        <x:v>-12 a +10</x:v>
      </x:c>
      <x:c r="N784" s="24" t="str">
        <x:v>até -6</x:v>
      </x:c>
      <x:c r="O784" s="24"/>
      <x:c r="P784" s="24" t="str">
        <x:v>75</x:v>
      </x:c>
      <x:c r="Q784" s="24"/>
      <x:c r="R784" s="24"/>
      <x:c r="S784" s="26" t="n">
        <x:v>46024</x:v>
      </x:c>
      <x:c r="T784" s="26"/>
      <x:c r="U784" s="24" t="str">
        <x:v>ATIVA/SEM FIM INFORMADO</x:v>
      </x:c>
      <x:c r="V784" s="24"/>
      <x:c r="W784" s="24" t="n">
        <x:v>17</x:v>
      </x:c>
      <x:c r="X784" s="24" t="str">
        <x:v>tabela_rodenstock.pdf</x:v>
      </x:c>
      <x:c r="Y784" s="24" t="str">
        <x:v>alta</x:v>
      </x:c>
      <x:c r="Z784" s="24"/>
      <x:c r="AA784" s="24" t="str">
        <x:v>Rodenstock|Monofocal B.I.G. NORM|Surfaçada|Cosmolit Surfaçadas B.I.G. NORM|ColorMatic® 3|1.67|1.67|LayR X-tra Clean|-12 a +10|até -6||75|||17</x:v>
      </x:c>
    </x:row>
    <x:row r="785">
      <x:c r="A785" s="24" t="str">
        <x:v>RD-A09197E3FE3A</x:v>
      </x:c>
      <x:c r="B785" s="24" t="str">
        <x:v>SIM</x:v>
      </x:c>
      <x:c r="C785" s="24" t="str">
        <x:v>DISPONÍVEL</x:v>
      </x:c>
      <x:c r="D785" s="24" t="str">
        <x:v>Rodenstock</x:v>
      </x:c>
      <x:c r="E785" s="24" t="str">
        <x:v>Monofocal B.I.G. NORM</x:v>
      </x:c>
      <x:c r="F785" s="24" t="str">
        <x:v>Surfaçada</x:v>
      </x:c>
      <x:c r="G785" s="24" t="str">
        <x:v>Cosmolit Surfaçadas B.I.G. NORM</x:v>
      </x:c>
      <x:c r="H785" s="24" t="str">
        <x:v>ColorMatic® 3</x:v>
      </x:c>
      <x:c r="I785" s="24" t="str">
        <x:v>1.67</x:v>
      </x:c>
      <x:c r="J785" s="24" t="str">
        <x:v>1.67</x:v>
      </x:c>
      <x:c r="K785" s="24" t="str">
        <x:v>LayR Balance</x:v>
      </x:c>
      <x:c r="L785" s="40" t="n">
        <x:v>4819</x:v>
      </x:c>
      <x:c r="M785" s="24" t="str">
        <x:v>-12 a +10</x:v>
      </x:c>
      <x:c r="N785" s="24" t="str">
        <x:v>até -6</x:v>
      </x:c>
      <x:c r="O785" s="24"/>
      <x:c r="P785" s="24" t="str">
        <x:v>75</x:v>
      </x:c>
      <x:c r="Q785" s="24"/>
      <x:c r="R785" s="24"/>
      <x:c r="S785" s="26" t="n">
        <x:v>46024</x:v>
      </x:c>
      <x:c r="T785" s="26"/>
      <x:c r="U785" s="24" t="str">
        <x:v>ATIVA/SEM FIM INFORMADO</x:v>
      </x:c>
      <x:c r="V785" s="24"/>
      <x:c r="W785" s="24" t="n">
        <x:v>17</x:v>
      </x:c>
      <x:c r="X785" s="24" t="str">
        <x:v>tabela_rodenstock.pdf</x:v>
      </x:c>
      <x:c r="Y785" s="24" t="str">
        <x:v>alta</x:v>
      </x:c>
      <x:c r="Z785" s="24"/>
      <x:c r="AA785" s="24" t="str">
        <x:v>Rodenstock|Monofocal B.I.G. NORM|Surfaçada|Cosmolit Surfaçadas B.I.G. NORM|ColorMatic® 3|1.67|1.67|LayR Balance|-12 a +10|até -6||75|||17</x:v>
      </x:c>
    </x:row>
    <x:row r="786">
      <x:c r="A786" s="24" t="str">
        <x:v>RD-FED6D436D389</x:v>
      </x:c>
      <x:c r="B786" s="24" t="str">
        <x:v>SIM</x:v>
      </x:c>
      <x:c r="C786" s="24" t="str">
        <x:v>DISPONÍVEL</x:v>
      </x:c>
      <x:c r="D786" s="24" t="str">
        <x:v>Rodenstock</x:v>
      </x:c>
      <x:c r="E786" s="24" t="str">
        <x:v>Monofocal B.I.G. NORM</x:v>
      </x:c>
      <x:c r="F786" s="24" t="str">
        <x:v>Surfaçada</x:v>
      </x:c>
      <x:c r="G786" s="24" t="str">
        <x:v>Cosmolit Surfaçadas B.I.G. NORM</x:v>
      </x:c>
      <x:c r="H786" s="24" t="str">
        <x:v>ColorMatic® 3</x:v>
      </x:c>
      <x:c r="I786" s="24" t="str">
        <x:v>1.67</x:v>
      </x:c>
      <x:c r="J786" s="24" t="str">
        <x:v>1.67</x:v>
      </x:c>
      <x:c r="K786" s="24" t="str">
        <x:v>Solitaire X-tra Clean</x:v>
      </x:c>
      <x:c r="L786" s="40" t="n">
        <x:v>4749</x:v>
      </x:c>
      <x:c r="M786" s="24" t="str">
        <x:v>-12 a +10</x:v>
      </x:c>
      <x:c r="N786" s="24" t="str">
        <x:v>até -6</x:v>
      </x:c>
      <x:c r="O786" s="24"/>
      <x:c r="P786" s="24" t="str">
        <x:v>75</x:v>
      </x:c>
      <x:c r="Q786" s="24"/>
      <x:c r="R786" s="24"/>
      <x:c r="S786" s="26" t="n">
        <x:v>46024</x:v>
      </x:c>
      <x:c r="T786" s="26"/>
      <x:c r="U786" s="24" t="str">
        <x:v>ATIVA/SEM FIM INFORMADO</x:v>
      </x:c>
      <x:c r="V786" s="24"/>
      <x:c r="W786" s="24" t="n">
        <x:v>17</x:v>
      </x:c>
      <x:c r="X786" s="24" t="str">
        <x:v>tabela_rodenstock.pdf</x:v>
      </x:c>
      <x:c r="Y786" s="24" t="str">
        <x:v>alta</x:v>
      </x:c>
      <x:c r="Z786" s="24"/>
      <x:c r="AA786" s="24" t="str">
        <x:v>Rodenstock|Monofocal B.I.G. NORM|Surfaçada|Cosmolit Surfaçadas B.I.G. NORM|ColorMatic® 3|1.67|1.67|Solitaire X-tra Clean|-12 a +10|até -6||75|||17</x:v>
      </x:c>
    </x:row>
    <x:row r="787">
      <x:c r="A787" s="24" t="str">
        <x:v>RD-1CF366BE379E</x:v>
      </x:c>
      <x:c r="B787" s="24" t="str">
        <x:v>SIM</x:v>
      </x:c>
      <x:c r="C787" s="24" t="str">
        <x:v>DISPONÍVEL</x:v>
      </x:c>
      <x:c r="D787" s="24" t="str">
        <x:v>Rodenstock</x:v>
      </x:c>
      <x:c r="E787" s="24" t="str">
        <x:v>Monofocal B.I.G. NORM</x:v>
      </x:c>
      <x:c r="F787" s="24" t="str">
        <x:v>Surfaçada</x:v>
      </x:c>
      <x:c r="G787" s="24" t="str">
        <x:v>Cosmolit Surfaçadas B.I.G. NORM</x:v>
      </x:c>
      <x:c r="H787" s="24" t="str">
        <x:v>ColorMatic® 3</x:v>
      </x:c>
      <x:c r="I787" s="24" t="str">
        <x:v>1.67</x:v>
      </x:c>
      <x:c r="J787" s="24" t="str">
        <x:v>1.67</x:v>
      </x:c>
      <x:c r="K787" s="24" t="str">
        <x:v>Solitaire Protect Plus</x:v>
      </x:c>
      <x:c r="L787" s="40" t="n">
        <x:v>4699</x:v>
      </x:c>
      <x:c r="M787" s="24" t="str">
        <x:v>-12 a +10</x:v>
      </x:c>
      <x:c r="N787" s="24" t="str">
        <x:v>até -6</x:v>
      </x:c>
      <x:c r="O787" s="24"/>
      <x:c r="P787" s="24" t="str">
        <x:v>75</x:v>
      </x:c>
      <x:c r="Q787" s="24"/>
      <x:c r="R787" s="24"/>
      <x:c r="S787" s="26" t="n">
        <x:v>46024</x:v>
      </x:c>
      <x:c r="T787" s="26"/>
      <x:c r="U787" s="24" t="str">
        <x:v>ATIVA/SEM FIM INFORMADO</x:v>
      </x:c>
      <x:c r="V787" s="24"/>
      <x:c r="W787" s="24" t="n">
        <x:v>17</x:v>
      </x:c>
      <x:c r="X787" s="24" t="str">
        <x:v>tabela_rodenstock.pdf</x:v>
      </x:c>
      <x:c r="Y787" s="24" t="str">
        <x:v>alta</x:v>
      </x:c>
      <x:c r="Z787" s="24"/>
      <x:c r="AA787" s="24" t="str">
        <x:v>Rodenstock|Monofocal B.I.G. NORM|Surfaçada|Cosmolit Surfaçadas B.I.G. NORM|ColorMatic® 3|1.67|1.67|Solitaire Protect Plus|-12 a +10|até -6||75|||17</x:v>
      </x:c>
    </x:row>
    <x:row r="788">
      <x:c r="A788" s="24" t="str">
        <x:v>RD-C8DD6E8C24F3</x:v>
      </x:c>
      <x:c r="B788" s="24" t="str">
        <x:v>SIM</x:v>
      </x:c>
      <x:c r="C788" s="24" t="str">
        <x:v>DISPONÍVEL</x:v>
      </x:c>
      <x:c r="D788" s="24" t="str">
        <x:v>Rodenstock</x:v>
      </x:c>
      <x:c r="E788" s="24" t="str">
        <x:v>Monofocal B.I.G. NORM</x:v>
      </x:c>
      <x:c r="F788" s="24" t="str">
        <x:v>Surfaçada</x:v>
      </x:c>
      <x:c r="G788" s="24" t="str">
        <x:v>Cosmolit Surfaçadas B.I.G. NORM</x:v>
      </x:c>
      <x:c r="H788" s="24" t="str">
        <x:v>ColorMatic® 3</x:v>
      </x:c>
      <x:c r="I788" s="24" t="str">
        <x:v>1.67</x:v>
      </x:c>
      <x:c r="J788" s="24" t="str">
        <x:v>1.67</x:v>
      </x:c>
      <x:c r="K788" s="24" t="str">
        <x:v>ROAD</x:v>
      </x:c>
      <x:c r="L788" s="40" t="n">
        <x:v>4699</x:v>
      </x:c>
      <x:c r="M788" s="24" t="str">
        <x:v>-12 a +10</x:v>
      </x:c>
      <x:c r="N788" s="24" t="str">
        <x:v>até -6</x:v>
      </x:c>
      <x:c r="O788" s="24"/>
      <x:c r="P788" s="24" t="str">
        <x:v>75</x:v>
      </x:c>
      <x:c r="Q788" s="24"/>
      <x:c r="R788" s="24"/>
      <x:c r="S788" s="26" t="n">
        <x:v>46024</x:v>
      </x:c>
      <x:c r="T788" s="26"/>
      <x:c r="U788" s="24" t="str">
        <x:v>ATIVA/SEM FIM INFORMADO</x:v>
      </x:c>
      <x:c r="V788" s="24"/>
      <x:c r="W788" s="24" t="n">
        <x:v>17</x:v>
      </x:c>
      <x:c r="X788" s="24" t="str">
        <x:v>tabela_rodenstock.pdf</x:v>
      </x:c>
      <x:c r="Y788" s="24" t="str">
        <x:v>alta</x:v>
      </x:c>
      <x:c r="Z788" s="24"/>
      <x:c r="AA788" s="24" t="str">
        <x:v>Rodenstock|Monofocal B.I.G. NORM|Surfaçada|Cosmolit Surfaçadas B.I.G. NORM|ColorMatic® 3|1.67|1.67|ROAD|-12 a +10|até -6||75|||17</x:v>
      </x:c>
    </x:row>
    <x:row r="789">
      <x:c r="A789" s="24" t="str">
        <x:v>RD-813AF320770A</x:v>
      </x:c>
      <x:c r="B789" s="24" t="str">
        <x:v>SIM</x:v>
      </x:c>
      <x:c r="C789" s="24" t="str">
        <x:v>DISPONÍVEL</x:v>
      </x:c>
      <x:c r="D789" s="24" t="str">
        <x:v>Rodenstock</x:v>
      </x:c>
      <x:c r="E789" s="24" t="str">
        <x:v>Monofocal B.I.G. NORM</x:v>
      </x:c>
      <x:c r="F789" s="24" t="str">
        <x:v>Surfaçada</x:v>
      </x:c>
      <x:c r="G789" s="24" t="str">
        <x:v>Cosmolit Surfaçadas B.I.G. NORM</x:v>
      </x:c>
      <x:c r="H789" s="24" t="str">
        <x:v>ColorMatic® 3</x:v>
      </x:c>
      <x:c r="I789" s="24" t="str">
        <x:v>1.67</x:v>
      </x:c>
      <x:c r="J789" s="24" t="str">
        <x:v>1.67</x:v>
      </x:c>
      <x:c r="K789" s="24" t="str">
        <x:v>Solitaire Protect</x:v>
      </x:c>
      <x:c r="L789" s="40" t="n">
        <x:v>4439</x:v>
      </x:c>
      <x:c r="M789" s="24" t="str">
        <x:v>-12 a +10</x:v>
      </x:c>
      <x:c r="N789" s="24" t="str">
        <x:v>até -6</x:v>
      </x:c>
      <x:c r="O789" s="24"/>
      <x:c r="P789" s="24" t="str">
        <x:v>75</x:v>
      </x:c>
      <x:c r="Q789" s="24"/>
      <x:c r="R789" s="24"/>
      <x:c r="S789" s="26" t="n">
        <x:v>46024</x:v>
      </x:c>
      <x:c r="T789" s="26"/>
      <x:c r="U789" s="24" t="str">
        <x:v>ATIVA/SEM FIM INFORMADO</x:v>
      </x:c>
      <x:c r="V789" s="24"/>
      <x:c r="W789" s="24" t="n">
        <x:v>17</x:v>
      </x:c>
      <x:c r="X789" s="24" t="str">
        <x:v>tabela_rodenstock.pdf</x:v>
      </x:c>
      <x:c r="Y789" s="24" t="str">
        <x:v>alta</x:v>
      </x:c>
      <x:c r="Z789" s="24"/>
      <x:c r="AA789" s="24" t="str">
        <x:v>Rodenstock|Monofocal B.I.G. NORM|Surfaçada|Cosmolit Surfaçadas B.I.G. NORM|ColorMatic® 3|1.67|1.67|Solitaire Protect|-12 a +10|até -6||75|||17</x:v>
      </x:c>
    </x:row>
    <x:row r="790">
      <x:c r="A790" s="24" t="str">
        <x:v>RD-02A49D5BDB67</x:v>
      </x:c>
      <x:c r="B790" s="24" t="str">
        <x:v>SIM</x:v>
      </x:c>
      <x:c r="C790" s="24" t="str">
        <x:v>DISPONÍVEL</x:v>
      </x:c>
      <x:c r="D790" s="24" t="str">
        <x:v>Rodenstock</x:v>
      </x:c>
      <x:c r="E790" s="24" t="str">
        <x:v>Monofocal B.I.G. NORM</x:v>
      </x:c>
      <x:c r="F790" s="24" t="str">
        <x:v>Surfaçada</x:v>
      </x:c>
      <x:c r="G790" s="24" t="str">
        <x:v>Cosmolit Surfaçadas B.I.G. NORM</x:v>
      </x:c>
      <x:c r="H790" s="24" t="str">
        <x:v>ColorMatic® 3</x:v>
      </x:c>
      <x:c r="I790" s="24" t="str">
        <x:v>1.67</x:v>
      </x:c>
      <x:c r="J790" s="24" t="str">
        <x:v>1.67</x:v>
      </x:c>
      <x:c r="K790" s="24" t="str">
        <x:v>Solitaire ECO 2</x:v>
      </x:c>
      <x:c r="L790" s="40" t="n">
        <x:v>3959</x:v>
      </x:c>
      <x:c r="M790" s="24" t="str">
        <x:v>-12 a +10</x:v>
      </x:c>
      <x:c r="N790" s="24" t="str">
        <x:v>até -6</x:v>
      </x:c>
      <x:c r="O790" s="24"/>
      <x:c r="P790" s="24" t="str">
        <x:v>75</x:v>
      </x:c>
      <x:c r="Q790" s="24"/>
      <x:c r="R790" s="24"/>
      <x:c r="S790" s="26" t="n">
        <x:v>46024</x:v>
      </x:c>
      <x:c r="T790" s="26"/>
      <x:c r="U790" s="24" t="str">
        <x:v>ATIVA/SEM FIM INFORMADO</x:v>
      </x:c>
      <x:c r="V790" s="24"/>
      <x:c r="W790" s="24" t="n">
        <x:v>17</x:v>
      </x:c>
      <x:c r="X790" s="24" t="str">
        <x:v>tabela_rodenstock.pdf</x:v>
      </x:c>
      <x:c r="Y790" s="24" t="str">
        <x:v>alta</x:v>
      </x:c>
      <x:c r="Z790" s="24"/>
      <x:c r="AA790" s="24" t="str">
        <x:v>Rodenstock|Monofocal B.I.G. NORM|Surfaçada|Cosmolit Surfaçadas B.I.G. NORM|ColorMatic® 3|1.67|1.67|Solitaire ECO 2|-12 a +10|até -6||75|||17</x:v>
      </x:c>
    </x:row>
    <x:row r="791">
      <x:c r="A791" s="24" t="str">
        <x:v>RD-01850CA85DEF</x:v>
      </x:c>
      <x:c r="B791" s="24" t="str">
        <x:v>SIM</x:v>
      </x:c>
      <x:c r="C791" s="24" t="str">
        <x:v>DISPONÍVEL</x:v>
      </x:c>
      <x:c r="D791" s="24" t="str">
        <x:v>Rodenstock</x:v>
      </x:c>
      <x:c r="E791" s="24" t="str">
        <x:v>Monofocal B.I.G. NORM</x:v>
      </x:c>
      <x:c r="F791" s="24" t="str">
        <x:v>Surfaçada</x:v>
      </x:c>
      <x:c r="G791" s="24" t="str">
        <x:v>Cosmolit Surfaçadas B.I.G. NORM</x:v>
      </x:c>
      <x:c r="H791" s="24"/>
      <x:c r="I791" s="24" t="str">
        <x:v>1.74</x:v>
      </x:c>
      <x:c r="J791" s="24" t="str">
        <x:v>1.74</x:v>
      </x:c>
      <x:c r="K791" s="24" t="str">
        <x:v>LayR X-tra Clean</x:v>
      </x:c>
      <x:c r="L791" s="40" t="n">
        <x:v>4451</x:v>
      </x:c>
      <x:c r="M791" s="24" t="str">
        <x:v>-18 a +13</x:v>
      </x:c>
      <x:c r="N791" s="24" t="str">
        <x:v>até -6</x:v>
      </x:c>
      <x:c r="O791" s="24"/>
      <x:c r="P791" s="24" t="str">
        <x:v>75</x:v>
      </x:c>
      <x:c r="Q791" s="24"/>
      <x:c r="R791" s="24"/>
      <x:c r="S791" s="26" t="n">
        <x:v>46024</x:v>
      </x:c>
      <x:c r="T791" s="26"/>
      <x:c r="U791" s="24" t="str">
        <x:v>ATIVA/SEM FIM INFORMADO</x:v>
      </x:c>
      <x:c r="V791" s="24"/>
      <x:c r="W791" s="24" t="n">
        <x:v>17</x:v>
      </x:c>
      <x:c r="X791" s="24" t="str">
        <x:v>tabela_rodenstock.pdf</x:v>
      </x:c>
      <x:c r="Y791" s="24" t="str">
        <x:v>alta</x:v>
      </x:c>
      <x:c r="Z791" s="24"/>
      <x:c r="AA791" s="24" t="str">
        <x:v>Rodenstock|Monofocal B.I.G. NORM|Surfaçada|Cosmolit Surfaçadas B.I.G. NORM||1.74|1.74|LayR X-tra Clean|-18 a +13|até -6||75|||17</x:v>
      </x:c>
    </x:row>
    <x:row r="792">
      <x:c r="A792" s="24" t="str">
        <x:v>RD-6E6318AD4C3A</x:v>
      </x:c>
      <x:c r="B792" s="24" t="str">
        <x:v>SIM</x:v>
      </x:c>
      <x:c r="C792" s="24" t="str">
        <x:v>DISPONÍVEL</x:v>
      </x:c>
      <x:c r="D792" s="24" t="str">
        <x:v>Rodenstock</x:v>
      </x:c>
      <x:c r="E792" s="24" t="str">
        <x:v>Monofocal B.I.G. NORM</x:v>
      </x:c>
      <x:c r="F792" s="24" t="str">
        <x:v>Surfaçada</x:v>
      </x:c>
      <x:c r="G792" s="24" t="str">
        <x:v>Cosmolit Surfaçadas B.I.G. NORM</x:v>
      </x:c>
      <x:c r="H792" s="24"/>
      <x:c r="I792" s="24" t="str">
        <x:v>1.74</x:v>
      </x:c>
      <x:c r="J792" s="24" t="str">
        <x:v>1.74</x:v>
      </x:c>
      <x:c r="K792" s="24" t="str">
        <x:v>LayR Balance</x:v>
      </x:c>
      <x:c r="L792" s="40" t="n">
        <x:v>4451</x:v>
      </x:c>
      <x:c r="M792" s="24" t="str">
        <x:v>-18 a +13</x:v>
      </x:c>
      <x:c r="N792" s="24" t="str">
        <x:v>até -6</x:v>
      </x:c>
      <x:c r="O792" s="24"/>
      <x:c r="P792" s="24" t="str">
        <x:v>75</x:v>
      </x:c>
      <x:c r="Q792" s="24"/>
      <x:c r="R792" s="24"/>
      <x:c r="S792" s="26" t="n">
        <x:v>46024</x:v>
      </x:c>
      <x:c r="T792" s="26"/>
      <x:c r="U792" s="24" t="str">
        <x:v>ATIVA/SEM FIM INFORMADO</x:v>
      </x:c>
      <x:c r="V792" s="24"/>
      <x:c r="W792" s="24" t="n">
        <x:v>17</x:v>
      </x:c>
      <x:c r="X792" s="24" t="str">
        <x:v>tabela_rodenstock.pdf</x:v>
      </x:c>
      <x:c r="Y792" s="24" t="str">
        <x:v>alta</x:v>
      </x:c>
      <x:c r="Z792" s="24"/>
      <x:c r="AA792" s="24" t="str">
        <x:v>Rodenstock|Monofocal B.I.G. NORM|Surfaçada|Cosmolit Surfaçadas B.I.G. NORM||1.74|1.74|LayR Balance|-18 a +13|até -6||75|||17</x:v>
      </x:c>
    </x:row>
    <x:row r="793">
      <x:c r="A793" s="24" t="str">
        <x:v>RD-97C75598245A</x:v>
      </x:c>
      <x:c r="B793" s="24" t="str">
        <x:v>SIM</x:v>
      </x:c>
      <x:c r="C793" s="24" t="str">
        <x:v>DISPONÍVEL</x:v>
      </x:c>
      <x:c r="D793" s="24" t="str">
        <x:v>Rodenstock</x:v>
      </x:c>
      <x:c r="E793" s="24" t="str">
        <x:v>Monofocal B.I.G. NORM</x:v>
      </x:c>
      <x:c r="F793" s="24" t="str">
        <x:v>Surfaçada</x:v>
      </x:c>
      <x:c r="G793" s="24" t="str">
        <x:v>Cosmolit Surfaçadas B.I.G. NORM</x:v>
      </x:c>
      <x:c r="H793" s="24"/>
      <x:c r="I793" s="24" t="str">
        <x:v>1.74</x:v>
      </x:c>
      <x:c r="J793" s="24" t="str">
        <x:v>1.74</x:v>
      </x:c>
      <x:c r="K793" s="24" t="str">
        <x:v>Solitaire X-tra Clean</x:v>
      </x:c>
      <x:c r="L793" s="40" t="n">
        <x:v>4381</x:v>
      </x:c>
      <x:c r="M793" s="24" t="str">
        <x:v>-18 a +13</x:v>
      </x:c>
      <x:c r="N793" s="24" t="str">
        <x:v>até -6</x:v>
      </x:c>
      <x:c r="O793" s="24"/>
      <x:c r="P793" s="24" t="str">
        <x:v>75</x:v>
      </x:c>
      <x:c r="Q793" s="24"/>
      <x:c r="R793" s="24"/>
      <x:c r="S793" s="26" t="n">
        <x:v>46024</x:v>
      </x:c>
      <x:c r="T793" s="26"/>
      <x:c r="U793" s="24" t="str">
        <x:v>ATIVA/SEM FIM INFORMADO</x:v>
      </x:c>
      <x:c r="V793" s="24"/>
      <x:c r="W793" s="24" t="n">
        <x:v>17</x:v>
      </x:c>
      <x:c r="X793" s="24" t="str">
        <x:v>tabela_rodenstock.pdf</x:v>
      </x:c>
      <x:c r="Y793" s="24" t="str">
        <x:v>alta</x:v>
      </x:c>
      <x:c r="Z793" s="24"/>
      <x:c r="AA793" s="24" t="str">
        <x:v>Rodenstock|Monofocal B.I.G. NORM|Surfaçada|Cosmolit Surfaçadas B.I.G. NORM||1.74|1.74|Solitaire X-tra Clean|-18 a +13|até -6||75|||17</x:v>
      </x:c>
    </x:row>
    <x:row r="794">
      <x:c r="A794" s="24" t="str">
        <x:v>RD-1ED48736A4FC</x:v>
      </x:c>
      <x:c r="B794" s="24" t="str">
        <x:v>SIM</x:v>
      </x:c>
      <x:c r="C794" s="24" t="str">
        <x:v>DISPONÍVEL</x:v>
      </x:c>
      <x:c r="D794" s="24" t="str">
        <x:v>Rodenstock</x:v>
      </x:c>
      <x:c r="E794" s="24" t="str">
        <x:v>Monofocal B.I.G. NORM</x:v>
      </x:c>
      <x:c r="F794" s="24" t="str">
        <x:v>Surfaçada</x:v>
      </x:c>
      <x:c r="G794" s="24" t="str">
        <x:v>Cosmolit Surfaçadas B.I.G. NORM</x:v>
      </x:c>
      <x:c r="H794" s="24"/>
      <x:c r="I794" s="24" t="str">
        <x:v>1.74</x:v>
      </x:c>
      <x:c r="J794" s="24" t="str">
        <x:v>1.74</x:v>
      </x:c>
      <x:c r="K794" s="24" t="str">
        <x:v>Solitaire Protect Plus</x:v>
      </x:c>
      <x:c r="L794" s="40" t="n">
        <x:v>4331</x:v>
      </x:c>
      <x:c r="M794" s="24" t="str">
        <x:v>-18 a +13</x:v>
      </x:c>
      <x:c r="N794" s="24" t="str">
        <x:v>até -6</x:v>
      </x:c>
      <x:c r="O794" s="24"/>
      <x:c r="P794" s="24" t="str">
        <x:v>75</x:v>
      </x:c>
      <x:c r="Q794" s="24"/>
      <x:c r="R794" s="24"/>
      <x:c r="S794" s="26" t="n">
        <x:v>46024</x:v>
      </x:c>
      <x:c r="T794" s="26"/>
      <x:c r="U794" s="24" t="str">
        <x:v>ATIVA/SEM FIM INFORMADO</x:v>
      </x:c>
      <x:c r="V794" s="24"/>
      <x:c r="W794" s="24" t="n">
        <x:v>17</x:v>
      </x:c>
      <x:c r="X794" s="24" t="str">
        <x:v>tabela_rodenstock.pdf</x:v>
      </x:c>
      <x:c r="Y794" s="24" t="str">
        <x:v>alta</x:v>
      </x:c>
      <x:c r="Z794" s="24"/>
      <x:c r="AA794" s="24" t="str">
        <x:v>Rodenstock|Monofocal B.I.G. NORM|Surfaçada|Cosmolit Surfaçadas B.I.G. NORM||1.74|1.74|Solitaire Protect Plus|-18 a +13|até -6||75|||17</x:v>
      </x:c>
    </x:row>
    <x:row r="795">
      <x:c r="A795" s="24" t="str">
        <x:v>RD-86D531024104</x:v>
      </x:c>
      <x:c r="B795" s="24" t="str">
        <x:v>SIM</x:v>
      </x:c>
      <x:c r="C795" s="24" t="str">
        <x:v>DISPONÍVEL</x:v>
      </x:c>
      <x:c r="D795" s="24" t="str">
        <x:v>Rodenstock</x:v>
      </x:c>
      <x:c r="E795" s="24" t="str">
        <x:v>Monofocal B.I.G. NORM</x:v>
      </x:c>
      <x:c r="F795" s="24" t="str">
        <x:v>Surfaçada</x:v>
      </x:c>
      <x:c r="G795" s="24" t="str">
        <x:v>Cosmolit Surfaçadas B.I.G. NORM</x:v>
      </x:c>
      <x:c r="H795" s="24"/>
      <x:c r="I795" s="24" t="str">
        <x:v>1.74</x:v>
      </x:c>
      <x:c r="J795" s="24" t="str">
        <x:v>1.74</x:v>
      </x:c>
      <x:c r="K795" s="24" t="str">
        <x:v>Solitaire Protect</x:v>
      </x:c>
      <x:c r="L795" s="40" t="n">
        <x:v>4071</x:v>
      </x:c>
      <x:c r="M795" s="24" t="str">
        <x:v>-18 a +13</x:v>
      </x:c>
      <x:c r="N795" s="24" t="str">
        <x:v>até -6</x:v>
      </x:c>
      <x:c r="O795" s="24"/>
      <x:c r="P795" s="24" t="str">
        <x:v>75</x:v>
      </x:c>
      <x:c r="Q795" s="24"/>
      <x:c r="R795" s="24"/>
      <x:c r="S795" s="26" t="n">
        <x:v>46024</x:v>
      </x:c>
      <x:c r="T795" s="26"/>
      <x:c r="U795" s="24" t="str">
        <x:v>ATIVA/SEM FIM INFORMADO</x:v>
      </x:c>
      <x:c r="V795" s="24"/>
      <x:c r="W795" s="24" t="n">
        <x:v>17</x:v>
      </x:c>
      <x:c r="X795" s="24" t="str">
        <x:v>tabela_rodenstock.pdf</x:v>
      </x:c>
      <x:c r="Y795" s="24" t="str">
        <x:v>alta</x:v>
      </x:c>
      <x:c r="Z795" s="24"/>
      <x:c r="AA795" s="24" t="str">
        <x:v>Rodenstock|Monofocal B.I.G. NORM|Surfaçada|Cosmolit Surfaçadas B.I.G. NORM||1.74|1.74|Solitaire Protect|-18 a +13|até -6||75|||17</x:v>
      </x:c>
    </x:row>
    <x:row r="796">
      <x:c r="A796" s="24" t="str">
        <x:v>RD-7259B9234523</x:v>
      </x:c>
      <x:c r="B796" s="24" t="str">
        <x:v>SIM</x:v>
      </x:c>
      <x:c r="C796" s="24" t="str">
        <x:v>DISPONÍVEL</x:v>
      </x:c>
      <x:c r="D796" s="24" t="str">
        <x:v>Rodenstock</x:v>
      </x:c>
      <x:c r="E796" s="24" t="str">
        <x:v>Monofocal B.I.G. NORM</x:v>
      </x:c>
      <x:c r="F796" s="24" t="str">
        <x:v>Surfaçada</x:v>
      </x:c>
      <x:c r="G796" s="24" t="str">
        <x:v>Cosmolit Surfaçadas B.I.G. NORM</x:v>
      </x:c>
      <x:c r="H796" s="24"/>
      <x:c r="I796" s="24" t="str">
        <x:v>1.74</x:v>
      </x:c>
      <x:c r="J796" s="24" t="str">
        <x:v>1.74</x:v>
      </x:c>
      <x:c r="K796" s="24" t="str">
        <x:v>Solitaire ECO 2</x:v>
      </x:c>
      <x:c r="L796" s="40" t="n">
        <x:v>3591</x:v>
      </x:c>
      <x:c r="M796" s="24" t="str">
        <x:v>-18 a +13</x:v>
      </x:c>
      <x:c r="N796" s="24" t="str">
        <x:v>até -6</x:v>
      </x:c>
      <x:c r="O796" s="24"/>
      <x:c r="P796" s="24" t="str">
        <x:v>75</x:v>
      </x:c>
      <x:c r="Q796" s="24"/>
      <x:c r="R796" s="24"/>
      <x:c r="S796" s="26" t="n">
        <x:v>46024</x:v>
      </x:c>
      <x:c r="T796" s="26"/>
      <x:c r="U796" s="24" t="str">
        <x:v>ATIVA/SEM FIM INFORMADO</x:v>
      </x:c>
      <x:c r="V796" s="24"/>
      <x:c r="W796" s="24" t="n">
        <x:v>17</x:v>
      </x:c>
      <x:c r="X796" s="24" t="str">
        <x:v>tabela_rodenstock.pdf</x:v>
      </x:c>
      <x:c r="Y796" s="24" t="str">
        <x:v>alta</x:v>
      </x:c>
      <x:c r="Z796" s="24"/>
      <x:c r="AA796" s="24" t="str">
        <x:v>Rodenstock|Monofocal B.I.G. NORM|Surfaçada|Cosmolit Surfaçadas B.I.G. NORM||1.74|1.74|Solitaire ECO 2|-18 a +13|até -6||75|||17</x:v>
      </x:c>
    </x:row>
    <x:row r="797">
      <x:c r="A797" s="24" t="str">
        <x:v>RD-D60714A9C61E</x:v>
      </x:c>
      <x:c r="B797" s="24" t="str">
        <x:v>SIM</x:v>
      </x:c>
      <x:c r="C797" s="24" t="str">
        <x:v>DISPONÍVEL</x:v>
      </x:c>
      <x:c r="D797" s="24" t="str">
        <x:v>Rodenstock</x:v>
      </x:c>
      <x:c r="E797" s="24" t="str">
        <x:v>Progressiva ILT</x:v>
      </x:c>
      <x:c r="F797" s="24" t="str">
        <x:v>Surfaçada</x:v>
      </x:c>
      <x:c r="G797" s="24" t="str">
        <x:v>Impression EyeLT 2</x:v>
      </x:c>
      <x:c r="H797" s="24"/>
      <x:c r="I797" s="24" t="str">
        <x:v>1.5</x:v>
      </x:c>
      <x:c r="J797" s="24" t="str">
        <x:v>1.50</x:v>
      </x:c>
      <x:c r="K797" s="24" t="str">
        <x:v>Solitaire X-tra Clean</x:v>
      </x:c>
      <x:c r="L797" s="40" t="n">
        <x:v>10486</x:v>
      </x:c>
      <x:c r="M797" s="24" t="str">
        <x:v>-8 a +8</x:v>
      </x:c>
      <x:c r="N797" s="24" t="str">
        <x:v>até -6</x:v>
      </x:c>
      <x:c r="O797" s="24"/>
      <x:c r="P797" s="24" t="str">
        <x:v>75/80</x:v>
      </x:c>
      <x:c r="Q797" s="24"/>
      <x:c r="R797" s="24"/>
      <x:c r="S797" s="26" t="n">
        <x:v>46024</x:v>
      </x:c>
      <x:c r="T797" s="26"/>
      <x:c r="U797" s="24" t="str">
        <x:v>ATIVA/SEM FIM INFORMADO</x:v>
      </x:c>
      <x:c r="V797" s="24"/>
      <x:c r="W797" s="24" t="n">
        <x:v>19</x:v>
      </x:c>
      <x:c r="X797" s="24" t="str">
        <x:v>tabela_rodenstock.pdf</x:v>
      </x:c>
      <x:c r="Y797" s="24" t="str">
        <x:v>alta</x:v>
      </x:c>
      <x:c r="Z797" s="24"/>
      <x:c r="AA797" s="24" t="str">
        <x:v>Rodenstock|Progressiva ILT|Surfaçada|Impression EyeLT 2||1.5|1.50|Solitaire X-tra Clean|-8 a +8|até -6||75/80|||19</x:v>
      </x:c>
    </x:row>
    <x:row r="798">
      <x:c r="A798" s="24" t="str">
        <x:v>RD-2DEB07BBCFD4</x:v>
      </x:c>
      <x:c r="B798" s="24" t="str">
        <x:v>SIM</x:v>
      </x:c>
      <x:c r="C798" s="24" t="str">
        <x:v>DISPONÍVEL</x:v>
      </x:c>
      <x:c r="D798" s="24" t="str">
        <x:v>Rodenstock</x:v>
      </x:c>
      <x:c r="E798" s="24" t="str">
        <x:v>Progressiva ILT</x:v>
      </x:c>
      <x:c r="F798" s="24" t="str">
        <x:v>Surfaçada</x:v>
      </x:c>
      <x:c r="G798" s="24" t="str">
        <x:v>Impression EyeLT 2</x:v>
      </x:c>
      <x:c r="H798" s="24"/>
      <x:c r="I798" s="24" t="str">
        <x:v>1.5</x:v>
      </x:c>
      <x:c r="J798" s="24" t="str">
        <x:v>1.50</x:v>
      </x:c>
      <x:c r="K798" s="24" t="str">
        <x:v>Solitaire 2 Protect Balance</x:v>
      </x:c>
      <x:c r="L798" s="40" t="n">
        <x:v>10436</x:v>
      </x:c>
      <x:c r="M798" s="24" t="str">
        <x:v>-8 a +8</x:v>
      </x:c>
      <x:c r="N798" s="24" t="str">
        <x:v>até -6</x:v>
      </x:c>
      <x:c r="O798" s="24"/>
      <x:c r="P798" s="24" t="str">
        <x:v>75/80</x:v>
      </x:c>
      <x:c r="Q798" s="24"/>
      <x:c r="R798" s="24"/>
      <x:c r="S798" s="26" t="n">
        <x:v>46024</x:v>
      </x:c>
      <x:c r="T798" s="26"/>
      <x:c r="U798" s="24" t="str">
        <x:v>ATIVA/SEM FIM INFORMADO</x:v>
      </x:c>
      <x:c r="V798" s="24"/>
      <x:c r="W798" s="24" t="n">
        <x:v>19</x:v>
      </x:c>
      <x:c r="X798" s="24" t="str">
        <x:v>tabela_rodenstock.pdf</x:v>
      </x:c>
      <x:c r="Y798" s="24" t="str">
        <x:v>alta</x:v>
      </x:c>
      <x:c r="Z798" s="24"/>
      <x:c r="AA798" s="24" t="str">
        <x:v>Rodenstock|Progressiva ILT|Surfaçada|Impression EyeLT 2||1.5|1.50|Solitaire 2 Protect Balance|-8 a +8|até -6||75/80|||19</x:v>
      </x:c>
    </x:row>
    <x:row r="799">
      <x:c r="A799" s="24" t="str">
        <x:v>RD-F88CC905D58E</x:v>
      </x:c>
      <x:c r="B799" s="24" t="str">
        <x:v>SIM</x:v>
      </x:c>
      <x:c r="C799" s="24" t="str">
        <x:v>DISPONÍVEL</x:v>
      </x:c>
      <x:c r="D799" s="24" t="str">
        <x:v>Rodenstock</x:v>
      </x:c>
      <x:c r="E799" s="24" t="str">
        <x:v>Progressiva ILT</x:v>
      </x:c>
      <x:c r="F799" s="24" t="str">
        <x:v>Surfaçada</x:v>
      </x:c>
      <x:c r="G799" s="24" t="str">
        <x:v>Impression EyeLT 2</x:v>
      </x:c>
      <x:c r="H799" s="24"/>
      <x:c r="I799" s="24" t="str">
        <x:v>1.5</x:v>
      </x:c>
      <x:c r="J799" s="24" t="str">
        <x:v>1.50</x:v>
      </x:c>
      <x:c r="K799" s="24" t="str">
        <x:v>Solitaire Protect Plus</x:v>
      </x:c>
      <x:c r="L799" s="40" t="n">
        <x:v>10436</x:v>
      </x:c>
      <x:c r="M799" s="24" t="str">
        <x:v>-8 a +8</x:v>
      </x:c>
      <x:c r="N799" s="24" t="str">
        <x:v>até -6</x:v>
      </x:c>
      <x:c r="O799" s="24"/>
      <x:c r="P799" s="24" t="str">
        <x:v>75/80</x:v>
      </x:c>
      <x:c r="Q799" s="24"/>
      <x:c r="R799" s="24"/>
      <x:c r="S799" s="26" t="n">
        <x:v>46024</x:v>
      </x:c>
      <x:c r="T799" s="26"/>
      <x:c r="U799" s="24" t="str">
        <x:v>ATIVA/SEM FIM INFORMADO</x:v>
      </x:c>
      <x:c r="V799" s="24"/>
      <x:c r="W799" s="24" t="n">
        <x:v>19</x:v>
      </x:c>
      <x:c r="X799" s="24" t="str">
        <x:v>tabela_rodenstock.pdf</x:v>
      </x:c>
      <x:c r="Y799" s="24" t="str">
        <x:v>alta</x:v>
      </x:c>
      <x:c r="Z799" s="24"/>
      <x:c r="AA799" s="24" t="str">
        <x:v>Rodenstock|Progressiva ILT|Surfaçada|Impression EyeLT 2||1.5|1.50|Solitaire Protect Plus|-8 a +8|até -6||75/80|||19</x:v>
      </x:c>
    </x:row>
    <x:row r="800">
      <x:c r="A800" s="24" t="str">
        <x:v>RD-8C5922CA4F9B</x:v>
      </x:c>
      <x:c r="B800" s="24" t="str">
        <x:v>SIM</x:v>
      </x:c>
      <x:c r="C800" s="24" t="str">
        <x:v>DISPONÍVEL</x:v>
      </x:c>
      <x:c r="D800" s="24" t="str">
        <x:v>Rodenstock</x:v>
      </x:c>
      <x:c r="E800" s="24" t="str">
        <x:v>Progressiva ILT</x:v>
      </x:c>
      <x:c r="F800" s="24" t="str">
        <x:v>Surfaçada</x:v>
      </x:c>
      <x:c r="G800" s="24" t="str">
        <x:v>Impression EyeLT 2</x:v>
      </x:c>
      <x:c r="H800" s="24"/>
      <x:c r="I800" s="24" t="str">
        <x:v>1.5</x:v>
      </x:c>
      <x:c r="J800" s="24" t="str">
        <x:v>1.50</x:v>
      </x:c>
      <x:c r="K800" s="24" t="str">
        <x:v>ROAD</x:v>
      </x:c>
      <x:c r="L800" s="40" t="n">
        <x:v>10436</x:v>
      </x:c>
      <x:c r="M800" s="24" t="str">
        <x:v>-8 a +8</x:v>
      </x:c>
      <x:c r="N800" s="24" t="str">
        <x:v>até -6</x:v>
      </x:c>
      <x:c r="O800" s="24"/>
      <x:c r="P800" s="24" t="str">
        <x:v>75/80</x:v>
      </x:c>
      <x:c r="Q800" s="24"/>
      <x:c r="R800" s="24"/>
      <x:c r="S800" s="26" t="n">
        <x:v>46024</x:v>
      </x:c>
      <x:c r="T800" s="26"/>
      <x:c r="U800" s="24" t="str">
        <x:v>ATIVA/SEM FIM INFORMADO</x:v>
      </x:c>
      <x:c r="V800" s="24"/>
      <x:c r="W800" s="24" t="n">
        <x:v>19</x:v>
      </x:c>
      <x:c r="X800" s="24" t="str">
        <x:v>tabela_rodenstock.pdf</x:v>
      </x:c>
      <x:c r="Y800" s="24" t="str">
        <x:v>alta</x:v>
      </x:c>
      <x:c r="Z800" s="24"/>
      <x:c r="AA800" s="24" t="str">
        <x:v>Rodenstock|Progressiva ILT|Surfaçada|Impression EyeLT 2||1.5|1.50|ROAD|-8 a +8|até -6||75/80|||19</x:v>
      </x:c>
    </x:row>
    <x:row r="801">
      <x:c r="A801" s="24" t="str">
        <x:v>RD-8F8DD76E8398</x:v>
      </x:c>
      <x:c r="B801" s="24" t="str">
        <x:v>SIM</x:v>
      </x:c>
      <x:c r="C801" s="24" t="str">
        <x:v>DISPONÍVEL</x:v>
      </x:c>
      <x:c r="D801" s="24" t="str">
        <x:v>Rodenstock</x:v>
      </x:c>
      <x:c r="E801" s="24" t="str">
        <x:v>Progressiva ILT</x:v>
      </x:c>
      <x:c r="F801" s="24" t="str">
        <x:v>Surfaçada</x:v>
      </x:c>
      <x:c r="G801" s="24" t="str">
        <x:v>Impression EyeLT 2</x:v>
      </x:c>
      <x:c r="H801" s="24"/>
      <x:c r="I801" s="24" t="str">
        <x:v>1.5</x:v>
      </x:c>
      <x:c r="J801" s="24" t="str">
        <x:v>1.50</x:v>
      </x:c>
      <x:c r="K801" s="24" t="str">
        <x:v>Solitaire Protect</x:v>
      </x:c>
      <x:c r="L801" s="40" t="n">
        <x:v>10176</x:v>
      </x:c>
      <x:c r="M801" s="24" t="str">
        <x:v>-8 a +8</x:v>
      </x:c>
      <x:c r="N801" s="24" t="str">
        <x:v>até -6</x:v>
      </x:c>
      <x:c r="O801" s="24"/>
      <x:c r="P801" s="24" t="str">
        <x:v>75/80</x:v>
      </x:c>
      <x:c r="Q801" s="24"/>
      <x:c r="R801" s="24"/>
      <x:c r="S801" s="26" t="n">
        <x:v>46024</x:v>
      </x:c>
      <x:c r="T801" s="26"/>
      <x:c r="U801" s="24" t="str">
        <x:v>ATIVA/SEM FIM INFORMADO</x:v>
      </x:c>
      <x:c r="V801" s="24"/>
      <x:c r="W801" s="24" t="n">
        <x:v>19</x:v>
      </x:c>
      <x:c r="X801" s="24" t="str">
        <x:v>tabela_rodenstock.pdf</x:v>
      </x:c>
      <x:c r="Y801" s="24" t="str">
        <x:v>alta</x:v>
      </x:c>
      <x:c r="Z801" s="24"/>
      <x:c r="AA801" s="24" t="str">
        <x:v>Rodenstock|Progressiva ILT|Surfaçada|Impression EyeLT 2||1.5|1.50|Solitaire Protect|-8 a +8|até -6||75/80|||19</x:v>
      </x:c>
    </x:row>
    <x:row r="802">
      <x:c r="A802" s="24" t="str">
        <x:v>RD-FE42DC4E7364</x:v>
      </x:c>
      <x:c r="B802" s="24" t="str">
        <x:v>SIM</x:v>
      </x:c>
      <x:c r="C802" s="24" t="str">
        <x:v>DISPONÍVEL</x:v>
      </x:c>
      <x:c r="D802" s="24" t="str">
        <x:v>Rodenstock</x:v>
      </x:c>
      <x:c r="E802" s="24" t="str">
        <x:v>Progressiva ILT</x:v>
      </x:c>
      <x:c r="F802" s="24" t="str">
        <x:v>Surfaçada</x:v>
      </x:c>
      <x:c r="G802" s="24" t="str">
        <x:v>Impression EyeLT 2</x:v>
      </x:c>
      <x:c r="H802" s="24" t="str">
        <x:v>ColorMatic® 3</x:v>
      </x:c>
      <x:c r="I802" s="24" t="str">
        <x:v>1.54</x:v>
      </x:c>
      <x:c r="J802" s="24" t="str">
        <x:v>1.54</x:v>
      </x:c>
      <x:c r="K802" s="24" t="str">
        <x:v>Solitaire X-tra Clean</x:v>
      </x:c>
      <x:c r="L802" s="40" t="n">
        <x:v>11847</x:v>
      </x:c>
      <x:c r="M802" s="24" t="str">
        <x:v>-8 a +8</x:v>
      </x:c>
      <x:c r="N802" s="24" t="str">
        <x:v>até -6</x:v>
      </x:c>
      <x:c r="O802" s="24"/>
      <x:c r="P802" s="24" t="str">
        <x:v>75/80</x:v>
      </x:c>
      <x:c r="Q802" s="24"/>
      <x:c r="R802" s="24"/>
      <x:c r="S802" s="26" t="n">
        <x:v>46024</x:v>
      </x:c>
      <x:c r="T802" s="26"/>
      <x:c r="U802" s="24" t="str">
        <x:v>ATIVA/SEM FIM INFORMADO</x:v>
      </x:c>
      <x:c r="V802" s="24"/>
      <x:c r="W802" s="24" t="n">
        <x:v>19</x:v>
      </x:c>
      <x:c r="X802" s="24" t="str">
        <x:v>tabela_rodenstock.pdf</x:v>
      </x:c>
      <x:c r="Y802" s="24" t="str">
        <x:v>alta</x:v>
      </x:c>
      <x:c r="Z802" s="24"/>
      <x:c r="AA802" s="24" t="str">
        <x:v>Rodenstock|Progressiva ILT|Surfaçada|Impression EyeLT 2|ColorMatic® 3|1.54|1.54|Solitaire X-tra Clean|-8 a +8|até -6||75/80|||19</x:v>
      </x:c>
    </x:row>
    <x:row r="803">
      <x:c r="A803" s="24" t="str">
        <x:v>RD-39016E6E12C1</x:v>
      </x:c>
      <x:c r="B803" s="24" t="str">
        <x:v>SIM</x:v>
      </x:c>
      <x:c r="C803" s="24" t="str">
        <x:v>DISPONÍVEL</x:v>
      </x:c>
      <x:c r="D803" s="24" t="str">
        <x:v>Rodenstock</x:v>
      </x:c>
      <x:c r="E803" s="24" t="str">
        <x:v>Progressiva ILT</x:v>
      </x:c>
      <x:c r="F803" s="24" t="str">
        <x:v>Surfaçada</x:v>
      </x:c>
      <x:c r="G803" s="24" t="str">
        <x:v>Impression EyeLT 2</x:v>
      </x:c>
      <x:c r="H803" s="24" t="str">
        <x:v>ColorMatic® 3</x:v>
      </x:c>
      <x:c r="I803" s="24" t="str">
        <x:v>1.54</x:v>
      </x:c>
      <x:c r="J803" s="24" t="str">
        <x:v>1.54</x:v>
      </x:c>
      <x:c r="K803" s="24" t="str">
        <x:v>Solitaire 2 Protect Balance</x:v>
      </x:c>
      <x:c r="L803" s="40" t="n">
        <x:v>11797</x:v>
      </x:c>
      <x:c r="M803" s="24" t="str">
        <x:v>-8 a +8</x:v>
      </x:c>
      <x:c r="N803" s="24" t="str">
        <x:v>até -6</x:v>
      </x:c>
      <x:c r="O803" s="24"/>
      <x:c r="P803" s="24" t="str">
        <x:v>75/80</x:v>
      </x:c>
      <x:c r="Q803" s="24"/>
      <x:c r="R803" s="24"/>
      <x:c r="S803" s="26" t="n">
        <x:v>46024</x:v>
      </x:c>
      <x:c r="T803" s="26"/>
      <x:c r="U803" s="24" t="str">
        <x:v>ATIVA/SEM FIM INFORMADO</x:v>
      </x:c>
      <x:c r="V803" s="24"/>
      <x:c r="W803" s="24" t="n">
        <x:v>19</x:v>
      </x:c>
      <x:c r="X803" s="24" t="str">
        <x:v>tabela_rodenstock.pdf</x:v>
      </x:c>
      <x:c r="Y803" s="24" t="str">
        <x:v>alta</x:v>
      </x:c>
      <x:c r="Z803" s="24"/>
      <x:c r="AA803" s="24" t="str">
        <x:v>Rodenstock|Progressiva ILT|Surfaçada|Impression EyeLT 2|ColorMatic® 3|1.54|1.54|Solitaire 2 Protect Balance|-8 a +8|até -6||75/80|||19</x:v>
      </x:c>
    </x:row>
    <x:row r="804">
      <x:c r="A804" s="24" t="str">
        <x:v>RD-FBBCCE7BE90E</x:v>
      </x:c>
      <x:c r="B804" s="24" t="str">
        <x:v>SIM</x:v>
      </x:c>
      <x:c r="C804" s="24" t="str">
        <x:v>DISPONÍVEL</x:v>
      </x:c>
      <x:c r="D804" s="24" t="str">
        <x:v>Rodenstock</x:v>
      </x:c>
      <x:c r="E804" s="24" t="str">
        <x:v>Progressiva ILT</x:v>
      </x:c>
      <x:c r="F804" s="24" t="str">
        <x:v>Surfaçada</x:v>
      </x:c>
      <x:c r="G804" s="24" t="str">
        <x:v>Impression EyeLT 2</x:v>
      </x:c>
      <x:c r="H804" s="24" t="str">
        <x:v>ColorMatic® 3</x:v>
      </x:c>
      <x:c r="I804" s="24" t="str">
        <x:v>1.54</x:v>
      </x:c>
      <x:c r="J804" s="24" t="str">
        <x:v>1.54</x:v>
      </x:c>
      <x:c r="K804" s="24" t="str">
        <x:v>Solitaire Protect Plus</x:v>
      </x:c>
      <x:c r="L804" s="40" t="n">
        <x:v>11797</x:v>
      </x:c>
      <x:c r="M804" s="24" t="str">
        <x:v>-8 a +8</x:v>
      </x:c>
      <x:c r="N804" s="24" t="str">
        <x:v>até -6</x:v>
      </x:c>
      <x:c r="O804" s="24"/>
      <x:c r="P804" s="24" t="str">
        <x:v>75/80</x:v>
      </x:c>
      <x:c r="Q804" s="24"/>
      <x:c r="R804" s="24"/>
      <x:c r="S804" s="26" t="n">
        <x:v>46024</x:v>
      </x:c>
      <x:c r="T804" s="26"/>
      <x:c r="U804" s="24" t="str">
        <x:v>ATIVA/SEM FIM INFORMADO</x:v>
      </x:c>
      <x:c r="V804" s="24"/>
      <x:c r="W804" s="24" t="n">
        <x:v>19</x:v>
      </x:c>
      <x:c r="X804" s="24" t="str">
        <x:v>tabela_rodenstock.pdf</x:v>
      </x:c>
      <x:c r="Y804" s="24" t="str">
        <x:v>alta</x:v>
      </x:c>
      <x:c r="Z804" s="24"/>
      <x:c r="AA804" s="24" t="str">
        <x:v>Rodenstock|Progressiva ILT|Surfaçada|Impression EyeLT 2|ColorMatic® 3|1.54|1.54|Solitaire Protect Plus|-8 a +8|até -6||75/80|||19</x:v>
      </x:c>
    </x:row>
    <x:row r="805">
      <x:c r="A805" s="24" t="str">
        <x:v>RD-9780034DC91E</x:v>
      </x:c>
      <x:c r="B805" s="24" t="str">
        <x:v>SIM</x:v>
      </x:c>
      <x:c r="C805" s="24" t="str">
        <x:v>DISPONÍVEL</x:v>
      </x:c>
      <x:c r="D805" s="24" t="str">
        <x:v>Rodenstock</x:v>
      </x:c>
      <x:c r="E805" s="24" t="str">
        <x:v>Progressiva ILT</x:v>
      </x:c>
      <x:c r="F805" s="24" t="str">
        <x:v>Surfaçada</x:v>
      </x:c>
      <x:c r="G805" s="24" t="str">
        <x:v>Impression EyeLT 2</x:v>
      </x:c>
      <x:c r="H805" s="24" t="str">
        <x:v>ColorMatic® 3</x:v>
      </x:c>
      <x:c r="I805" s="24" t="str">
        <x:v>1.54</x:v>
      </x:c>
      <x:c r="J805" s="24" t="str">
        <x:v>1.54</x:v>
      </x:c>
      <x:c r="K805" s="24" t="str">
        <x:v>ROAD</x:v>
      </x:c>
      <x:c r="L805" s="40" t="n">
        <x:v>11797</x:v>
      </x:c>
      <x:c r="M805" s="24" t="str">
        <x:v>-8 a +8</x:v>
      </x:c>
      <x:c r="N805" s="24" t="str">
        <x:v>até -6</x:v>
      </x:c>
      <x:c r="O805" s="24"/>
      <x:c r="P805" s="24" t="str">
        <x:v>75/80</x:v>
      </x:c>
      <x:c r="Q805" s="24"/>
      <x:c r="R805" s="24"/>
      <x:c r="S805" s="26" t="n">
        <x:v>46024</x:v>
      </x:c>
      <x:c r="T805" s="26"/>
      <x:c r="U805" s="24" t="str">
        <x:v>ATIVA/SEM FIM INFORMADO</x:v>
      </x:c>
      <x:c r="V805" s="24"/>
      <x:c r="W805" s="24" t="n">
        <x:v>19</x:v>
      </x:c>
      <x:c r="X805" s="24" t="str">
        <x:v>tabela_rodenstock.pdf</x:v>
      </x:c>
      <x:c r="Y805" s="24" t="str">
        <x:v>alta</x:v>
      </x:c>
      <x:c r="Z805" s="24"/>
      <x:c r="AA805" s="24" t="str">
        <x:v>Rodenstock|Progressiva ILT|Surfaçada|Impression EyeLT 2|ColorMatic® 3|1.54|1.54|ROAD|-8 a +8|até -6||75/80|||19</x:v>
      </x:c>
    </x:row>
    <x:row r="806">
      <x:c r="A806" s="24" t="str">
        <x:v>RD-312E0A39533F</x:v>
      </x:c>
      <x:c r="B806" s="24" t="str">
        <x:v>SIM</x:v>
      </x:c>
      <x:c r="C806" s="24" t="str">
        <x:v>DISPONÍVEL</x:v>
      </x:c>
      <x:c r="D806" s="24" t="str">
        <x:v>Rodenstock</x:v>
      </x:c>
      <x:c r="E806" s="24" t="str">
        <x:v>Progressiva ILT</x:v>
      </x:c>
      <x:c r="F806" s="24" t="str">
        <x:v>Surfaçada</x:v>
      </x:c>
      <x:c r="G806" s="24" t="str">
        <x:v>Impression EyeLT 2</x:v>
      </x:c>
      <x:c r="H806" s="24" t="str">
        <x:v>ColorMatic® 3</x:v>
      </x:c>
      <x:c r="I806" s="24" t="str">
        <x:v>1.54</x:v>
      </x:c>
      <x:c r="J806" s="24" t="str">
        <x:v>1.54</x:v>
      </x:c>
      <x:c r="K806" s="24" t="str">
        <x:v>Solitaire Protect</x:v>
      </x:c>
      <x:c r="L806" s="40" t="n">
        <x:v>11537</x:v>
      </x:c>
      <x:c r="M806" s="24" t="str">
        <x:v>-8 a +8</x:v>
      </x:c>
      <x:c r="N806" s="24" t="str">
        <x:v>até -6</x:v>
      </x:c>
      <x:c r="O806" s="24"/>
      <x:c r="P806" s="24" t="str">
        <x:v>75/80</x:v>
      </x:c>
      <x:c r="Q806" s="24"/>
      <x:c r="R806" s="24"/>
      <x:c r="S806" s="26" t="n">
        <x:v>46024</x:v>
      </x:c>
      <x:c r="T806" s="26"/>
      <x:c r="U806" s="24" t="str">
        <x:v>ATIVA/SEM FIM INFORMADO</x:v>
      </x:c>
      <x:c r="V806" s="24"/>
      <x:c r="W806" s="24" t="n">
        <x:v>19</x:v>
      </x:c>
      <x:c r="X806" s="24" t="str">
        <x:v>tabela_rodenstock.pdf</x:v>
      </x:c>
      <x:c r="Y806" s="24" t="str">
        <x:v>alta</x:v>
      </x:c>
      <x:c r="Z806" s="24"/>
      <x:c r="AA806" s="24" t="str">
        <x:v>Rodenstock|Progressiva ILT|Surfaçada|Impression EyeLT 2|ColorMatic® 3|1.54|1.54|Solitaire Protect|-8 a +8|até -6||75/80|||19</x:v>
      </x:c>
    </x:row>
    <x:row r="807">
      <x:c r="A807" s="24" t="str">
        <x:v>RD-448CA45D15EB</x:v>
      </x:c>
      <x:c r="B807" s="24" t="str">
        <x:v>SIM</x:v>
      </x:c>
      <x:c r="C807" s="24" t="str">
        <x:v>DISPONÍVEL</x:v>
      </x:c>
      <x:c r="D807" s="24" t="str">
        <x:v>Rodenstock</x:v>
      </x:c>
      <x:c r="E807" s="24" t="str">
        <x:v>Progressiva ILT</x:v>
      </x:c>
      <x:c r="F807" s="24" t="str">
        <x:v>Surfaçada</x:v>
      </x:c>
      <x:c r="G807" s="24" t="str">
        <x:v>Impression EyeLT 2</x:v>
      </x:c>
      <x:c r="H807" s="24"/>
      <x:c r="I807" s="24" t="str">
        <x:v>1.6</x:v>
      </x:c>
      <x:c r="J807" s="24" t="str">
        <x:v>1.60</x:v>
      </x:c>
      <x:c r="K807" s="24" t="str">
        <x:v>Solitaire X-tra Clean</x:v>
      </x:c>
      <x:c r="L807" s="40" t="n">
        <x:v>11683</x:v>
      </x:c>
      <x:c r="M807" s="24" t="str">
        <x:v>-10 a +8</x:v>
      </x:c>
      <x:c r="N807" s="24" t="str">
        <x:v>até -6</x:v>
      </x:c>
      <x:c r="O807" s="24"/>
      <x:c r="P807" s="24" t="str">
        <x:v>75/80</x:v>
      </x:c>
      <x:c r="Q807" s="24"/>
      <x:c r="R807" s="24"/>
      <x:c r="S807" s="26" t="n">
        <x:v>46024</x:v>
      </x:c>
      <x:c r="T807" s="26"/>
      <x:c r="U807" s="24" t="str">
        <x:v>ATIVA/SEM FIM INFORMADO</x:v>
      </x:c>
      <x:c r="V807" s="24"/>
      <x:c r="W807" s="24" t="n">
        <x:v>19</x:v>
      </x:c>
      <x:c r="X807" s="24" t="str">
        <x:v>tabela_rodenstock.pdf</x:v>
      </x:c>
      <x:c r="Y807" s="24" t="str">
        <x:v>alta</x:v>
      </x:c>
      <x:c r="Z807" s="24"/>
      <x:c r="AA807" s="24" t="str">
        <x:v>Rodenstock|Progressiva ILT|Surfaçada|Impression EyeLT 2||1.6|1.60|Solitaire X-tra Clean|-10 a +8|até -6||75/80|||19</x:v>
      </x:c>
    </x:row>
    <x:row r="808">
      <x:c r="A808" s="24" t="str">
        <x:v>RD-9101397560A6</x:v>
      </x:c>
      <x:c r="B808" s="24" t="str">
        <x:v>SIM</x:v>
      </x:c>
      <x:c r="C808" s="24" t="str">
        <x:v>DISPONÍVEL</x:v>
      </x:c>
      <x:c r="D808" s="24" t="str">
        <x:v>Rodenstock</x:v>
      </x:c>
      <x:c r="E808" s="24" t="str">
        <x:v>Progressiva ILT</x:v>
      </x:c>
      <x:c r="F808" s="24" t="str">
        <x:v>Surfaçada</x:v>
      </x:c>
      <x:c r="G808" s="24" t="str">
        <x:v>Impression EyeLT 2</x:v>
      </x:c>
      <x:c r="H808" s="24"/>
      <x:c r="I808" s="24" t="str">
        <x:v>1.6</x:v>
      </x:c>
      <x:c r="J808" s="24" t="str">
        <x:v>1.60</x:v>
      </x:c>
      <x:c r="K808" s="24" t="str">
        <x:v>Solitaire 2 Protect Balance</x:v>
      </x:c>
      <x:c r="L808" s="40" t="n">
        <x:v>11633</x:v>
      </x:c>
      <x:c r="M808" s="24" t="str">
        <x:v>-10 a +8</x:v>
      </x:c>
      <x:c r="N808" s="24" t="str">
        <x:v>até -6</x:v>
      </x:c>
      <x:c r="O808" s="24"/>
      <x:c r="P808" s="24" t="str">
        <x:v>75/80</x:v>
      </x:c>
      <x:c r="Q808" s="24"/>
      <x:c r="R808" s="24"/>
      <x:c r="S808" s="26" t="n">
        <x:v>46024</x:v>
      </x:c>
      <x:c r="T808" s="26"/>
      <x:c r="U808" s="24" t="str">
        <x:v>ATIVA/SEM FIM INFORMADO</x:v>
      </x:c>
      <x:c r="V808" s="24"/>
      <x:c r="W808" s="24" t="n">
        <x:v>19</x:v>
      </x:c>
      <x:c r="X808" s="24" t="str">
        <x:v>tabela_rodenstock.pdf</x:v>
      </x:c>
      <x:c r="Y808" s="24" t="str">
        <x:v>alta</x:v>
      </x:c>
      <x:c r="Z808" s="24"/>
      <x:c r="AA808" s="24" t="str">
        <x:v>Rodenstock|Progressiva ILT|Surfaçada|Impression EyeLT 2||1.6|1.60|Solitaire 2 Protect Balance|-10 a +8|até -6||75/80|||19</x:v>
      </x:c>
    </x:row>
    <x:row r="809">
      <x:c r="A809" s="24" t="str">
        <x:v>RD-0E6ED43BA1A5</x:v>
      </x:c>
      <x:c r="B809" s="24" t="str">
        <x:v>SIM</x:v>
      </x:c>
      <x:c r="C809" s="24" t="str">
        <x:v>DISPONÍVEL</x:v>
      </x:c>
      <x:c r="D809" s="24" t="str">
        <x:v>Rodenstock</x:v>
      </x:c>
      <x:c r="E809" s="24" t="str">
        <x:v>Progressiva ILT</x:v>
      </x:c>
      <x:c r="F809" s="24" t="str">
        <x:v>Surfaçada</x:v>
      </x:c>
      <x:c r="G809" s="24" t="str">
        <x:v>Impression EyeLT 2</x:v>
      </x:c>
      <x:c r="H809" s="24"/>
      <x:c r="I809" s="24" t="str">
        <x:v>1.6</x:v>
      </x:c>
      <x:c r="J809" s="24" t="str">
        <x:v>1.60</x:v>
      </x:c>
      <x:c r="K809" s="24" t="str">
        <x:v>Solitaire Protect Plus</x:v>
      </x:c>
      <x:c r="L809" s="40" t="n">
        <x:v>11633</x:v>
      </x:c>
      <x:c r="M809" s="24" t="str">
        <x:v>-10 a +8</x:v>
      </x:c>
      <x:c r="N809" s="24" t="str">
        <x:v>até -6</x:v>
      </x:c>
      <x:c r="O809" s="24"/>
      <x:c r="P809" s="24" t="str">
        <x:v>75/80</x:v>
      </x:c>
      <x:c r="Q809" s="24"/>
      <x:c r="R809" s="24"/>
      <x:c r="S809" s="26" t="n">
        <x:v>46024</x:v>
      </x:c>
      <x:c r="T809" s="26"/>
      <x:c r="U809" s="24" t="str">
        <x:v>ATIVA/SEM FIM INFORMADO</x:v>
      </x:c>
      <x:c r="V809" s="24"/>
      <x:c r="W809" s="24" t="n">
        <x:v>19</x:v>
      </x:c>
      <x:c r="X809" s="24" t="str">
        <x:v>tabela_rodenstock.pdf</x:v>
      </x:c>
      <x:c r="Y809" s="24" t="str">
        <x:v>alta</x:v>
      </x:c>
      <x:c r="Z809" s="24"/>
      <x:c r="AA809" s="24" t="str">
        <x:v>Rodenstock|Progressiva ILT|Surfaçada|Impression EyeLT 2||1.6|1.60|Solitaire Protect Plus|-10 a +8|até -6||75/80|||19</x:v>
      </x:c>
    </x:row>
    <x:row r="810">
      <x:c r="A810" s="24" t="str">
        <x:v>RD-CC6A13F62C7D</x:v>
      </x:c>
      <x:c r="B810" s="24" t="str">
        <x:v>SIM</x:v>
      </x:c>
      <x:c r="C810" s="24" t="str">
        <x:v>DISPONÍVEL</x:v>
      </x:c>
      <x:c r="D810" s="24" t="str">
        <x:v>Rodenstock</x:v>
      </x:c>
      <x:c r="E810" s="24" t="str">
        <x:v>Progressiva ILT</x:v>
      </x:c>
      <x:c r="F810" s="24" t="str">
        <x:v>Surfaçada</x:v>
      </x:c>
      <x:c r="G810" s="24" t="str">
        <x:v>Impression EyeLT 2</x:v>
      </x:c>
      <x:c r="H810" s="24"/>
      <x:c r="I810" s="24" t="str">
        <x:v>1.6</x:v>
      </x:c>
      <x:c r="J810" s="24" t="str">
        <x:v>1.60</x:v>
      </x:c>
      <x:c r="K810" s="24" t="str">
        <x:v>ROAD</x:v>
      </x:c>
      <x:c r="L810" s="40" t="n">
        <x:v>11633</x:v>
      </x:c>
      <x:c r="M810" s="24" t="str">
        <x:v>-10 a +8</x:v>
      </x:c>
      <x:c r="N810" s="24" t="str">
        <x:v>até -6</x:v>
      </x:c>
      <x:c r="O810" s="24"/>
      <x:c r="P810" s="24" t="str">
        <x:v>75/80</x:v>
      </x:c>
      <x:c r="Q810" s="24"/>
      <x:c r="R810" s="24"/>
      <x:c r="S810" s="26" t="n">
        <x:v>46024</x:v>
      </x:c>
      <x:c r="T810" s="26"/>
      <x:c r="U810" s="24" t="str">
        <x:v>ATIVA/SEM FIM INFORMADO</x:v>
      </x:c>
      <x:c r="V810" s="24"/>
      <x:c r="W810" s="24" t="n">
        <x:v>19</x:v>
      </x:c>
      <x:c r="X810" s="24" t="str">
        <x:v>tabela_rodenstock.pdf</x:v>
      </x:c>
      <x:c r="Y810" s="24" t="str">
        <x:v>alta</x:v>
      </x:c>
      <x:c r="Z810" s="24"/>
      <x:c r="AA810" s="24" t="str">
        <x:v>Rodenstock|Progressiva ILT|Surfaçada|Impression EyeLT 2||1.6|1.60|ROAD|-10 a +8|até -6||75/80|||19</x:v>
      </x:c>
    </x:row>
    <x:row r="811">
      <x:c r="A811" s="24" t="str">
        <x:v>RD-B36C5F417C30</x:v>
      </x:c>
      <x:c r="B811" s="24" t="str">
        <x:v>SIM</x:v>
      </x:c>
      <x:c r="C811" s="24" t="str">
        <x:v>DISPONÍVEL</x:v>
      </x:c>
      <x:c r="D811" s="24" t="str">
        <x:v>Rodenstock</x:v>
      </x:c>
      <x:c r="E811" s="24" t="str">
        <x:v>Progressiva ILT</x:v>
      </x:c>
      <x:c r="F811" s="24" t="str">
        <x:v>Surfaçada</x:v>
      </x:c>
      <x:c r="G811" s="24" t="str">
        <x:v>Impression EyeLT 2</x:v>
      </x:c>
      <x:c r="H811" s="24"/>
      <x:c r="I811" s="24" t="str">
        <x:v>1.6</x:v>
      </x:c>
      <x:c r="J811" s="24" t="str">
        <x:v>1.60</x:v>
      </x:c>
      <x:c r="K811" s="24" t="str">
        <x:v>Solitaire Protect</x:v>
      </x:c>
      <x:c r="L811" s="40" t="n">
        <x:v>11373</x:v>
      </x:c>
      <x:c r="M811" s="24" t="str">
        <x:v>-10 a +8</x:v>
      </x:c>
      <x:c r="N811" s="24" t="str">
        <x:v>até -6</x:v>
      </x:c>
      <x:c r="O811" s="24"/>
      <x:c r="P811" s="24" t="str">
        <x:v>75/80</x:v>
      </x:c>
      <x:c r="Q811" s="24"/>
      <x:c r="R811" s="24"/>
      <x:c r="S811" s="26" t="n">
        <x:v>46024</x:v>
      </x:c>
      <x:c r="T811" s="26"/>
      <x:c r="U811" s="24" t="str">
        <x:v>ATIVA/SEM FIM INFORMADO</x:v>
      </x:c>
      <x:c r="V811" s="24"/>
      <x:c r="W811" s="24" t="n">
        <x:v>19</x:v>
      </x:c>
      <x:c r="X811" s="24" t="str">
        <x:v>tabela_rodenstock.pdf</x:v>
      </x:c>
      <x:c r="Y811" s="24" t="str">
        <x:v>alta</x:v>
      </x:c>
      <x:c r="Z811" s="24"/>
      <x:c r="AA811" s="24" t="str">
        <x:v>Rodenstock|Progressiva ILT|Surfaçada|Impression EyeLT 2||1.6|1.60|Solitaire Protect|-10 a +8|até -6||75/80|||19</x:v>
      </x:c>
    </x:row>
    <x:row r="812">
      <x:c r="A812" s="24" t="str">
        <x:v>RD-30BB862499E7</x:v>
      </x:c>
      <x:c r="B812" s="24" t="str">
        <x:v>SIM</x:v>
      </x:c>
      <x:c r="C812" s="24" t="str">
        <x:v>DISPONÍVEL</x:v>
      </x:c>
      <x:c r="D812" s="24" t="str">
        <x:v>Rodenstock</x:v>
      </x:c>
      <x:c r="E812" s="24" t="str">
        <x:v>Progressiva ILT</x:v>
      </x:c>
      <x:c r="F812" s="24" t="str">
        <x:v>Surfaçada</x:v>
      </x:c>
      <x:c r="G812" s="24" t="str">
        <x:v>Impression EyeLT 2</x:v>
      </x:c>
      <x:c r="H812" s="24" t="str">
        <x:v>PRO410</x:v>
      </x:c>
      <x:c r="I812" s="24" t="str">
        <x:v>1.6</x:v>
      </x:c>
      <x:c r="J812" s="24" t="str">
        <x:v>1.60</x:v>
      </x:c>
      <x:c r="K812" s="24" t="str">
        <x:v>Solitaire X-tra Clean</x:v>
      </x:c>
      <x:c r="L812" s="40" t="n">
        <x:v>12209</x:v>
      </x:c>
      <x:c r="M812" s="24" t="str">
        <x:v>-10 a +8</x:v>
      </x:c>
      <x:c r="N812" s="24" t="str">
        <x:v>até -6</x:v>
      </x:c>
      <x:c r="O812" s="24"/>
      <x:c r="P812" s="24" t="str">
        <x:v>75/80</x:v>
      </x:c>
      <x:c r="Q812" s="24"/>
      <x:c r="R812" s="24"/>
      <x:c r="S812" s="26" t="n">
        <x:v>46024</x:v>
      </x:c>
      <x:c r="T812" s="26"/>
      <x:c r="U812" s="24" t="str">
        <x:v>ATIVA/SEM FIM INFORMADO</x:v>
      </x:c>
      <x:c r="V812" s="24"/>
      <x:c r="W812" s="24" t="n">
        <x:v>19</x:v>
      </x:c>
      <x:c r="X812" s="24" t="str">
        <x:v>tabela_rodenstock.pdf</x:v>
      </x:c>
      <x:c r="Y812" s="24" t="str">
        <x:v>alta</x:v>
      </x:c>
      <x:c r="Z812" s="24"/>
      <x:c r="AA812" s="24" t="str">
        <x:v>Rodenstock|Progressiva ILT|Surfaçada|Impression EyeLT 2|PRO410|1.6|1.60|Solitaire X-tra Clean|-10 a +8|até -6||75/80|||19</x:v>
      </x:c>
    </x:row>
    <x:row r="813">
      <x:c r="A813" s="24" t="str">
        <x:v>RD-32F8A1F8E7F1</x:v>
      </x:c>
      <x:c r="B813" s="24" t="str">
        <x:v>SIM</x:v>
      </x:c>
      <x:c r="C813" s="24" t="str">
        <x:v>DISPONÍVEL</x:v>
      </x:c>
      <x:c r="D813" s="24" t="str">
        <x:v>Rodenstock</x:v>
      </x:c>
      <x:c r="E813" s="24" t="str">
        <x:v>Progressiva ILT</x:v>
      </x:c>
      <x:c r="F813" s="24" t="str">
        <x:v>Surfaçada</x:v>
      </x:c>
      <x:c r="G813" s="24" t="str">
        <x:v>Impression EyeLT 2</x:v>
      </x:c>
      <x:c r="H813" s="24" t="str">
        <x:v>PRO410</x:v>
      </x:c>
      <x:c r="I813" s="24" t="str">
        <x:v>1.6</x:v>
      </x:c>
      <x:c r="J813" s="24" t="str">
        <x:v>1.60</x:v>
      </x:c>
      <x:c r="K813" s="24" t="str">
        <x:v>Solitaire 2 Protect Balance</x:v>
      </x:c>
      <x:c r="L813" s="40" t="n">
        <x:v>12159</x:v>
      </x:c>
      <x:c r="M813" s="24" t="str">
        <x:v>-10 a +8</x:v>
      </x:c>
      <x:c r="N813" s="24" t="str">
        <x:v>até -6</x:v>
      </x:c>
      <x:c r="O813" s="24"/>
      <x:c r="P813" s="24" t="str">
        <x:v>75/80</x:v>
      </x:c>
      <x:c r="Q813" s="24"/>
      <x:c r="R813" s="24"/>
      <x:c r="S813" s="26" t="n">
        <x:v>46024</x:v>
      </x:c>
      <x:c r="T813" s="26"/>
      <x:c r="U813" s="24" t="str">
        <x:v>ATIVA/SEM FIM INFORMADO</x:v>
      </x:c>
      <x:c r="V813" s="24"/>
      <x:c r="W813" s="24" t="n">
        <x:v>19</x:v>
      </x:c>
      <x:c r="X813" s="24" t="str">
        <x:v>tabela_rodenstock.pdf</x:v>
      </x:c>
      <x:c r="Y813" s="24" t="str">
        <x:v>alta</x:v>
      </x:c>
      <x:c r="Z813" s="24"/>
      <x:c r="AA813" s="24" t="str">
        <x:v>Rodenstock|Progressiva ILT|Surfaçada|Impression EyeLT 2|PRO410|1.6|1.60|Solitaire 2 Protect Balance|-10 a +8|até -6||75/80|||19</x:v>
      </x:c>
    </x:row>
    <x:row r="814">
      <x:c r="A814" s="24" t="str">
        <x:v>RD-7AA1AE39EABB</x:v>
      </x:c>
      <x:c r="B814" s="24" t="str">
        <x:v>SIM</x:v>
      </x:c>
      <x:c r="C814" s="24" t="str">
        <x:v>DISPONÍVEL</x:v>
      </x:c>
      <x:c r="D814" s="24" t="str">
        <x:v>Rodenstock</x:v>
      </x:c>
      <x:c r="E814" s="24" t="str">
        <x:v>Progressiva ILT</x:v>
      </x:c>
      <x:c r="F814" s="24" t="str">
        <x:v>Surfaçada</x:v>
      </x:c>
      <x:c r="G814" s="24" t="str">
        <x:v>Impression EyeLT 2</x:v>
      </x:c>
      <x:c r="H814" s="24" t="str">
        <x:v>PRO410</x:v>
      </x:c>
      <x:c r="I814" s="24" t="str">
        <x:v>1.6</x:v>
      </x:c>
      <x:c r="J814" s="24" t="str">
        <x:v>1.60</x:v>
      </x:c>
      <x:c r="K814" s="24" t="str">
        <x:v>Solitaire Protect Plus</x:v>
      </x:c>
      <x:c r="L814" s="40" t="n">
        <x:v>12159</x:v>
      </x:c>
      <x:c r="M814" s="24" t="str">
        <x:v>-10 a +8</x:v>
      </x:c>
      <x:c r="N814" s="24" t="str">
        <x:v>até -6</x:v>
      </x:c>
      <x:c r="O814" s="24"/>
      <x:c r="P814" s="24" t="str">
        <x:v>75/80</x:v>
      </x:c>
      <x:c r="Q814" s="24"/>
      <x:c r="R814" s="24"/>
      <x:c r="S814" s="26" t="n">
        <x:v>46024</x:v>
      </x:c>
      <x:c r="T814" s="26"/>
      <x:c r="U814" s="24" t="str">
        <x:v>ATIVA/SEM FIM INFORMADO</x:v>
      </x:c>
      <x:c r="V814" s="24"/>
      <x:c r="W814" s="24" t="n">
        <x:v>19</x:v>
      </x:c>
      <x:c r="X814" s="24" t="str">
        <x:v>tabela_rodenstock.pdf</x:v>
      </x:c>
      <x:c r="Y814" s="24" t="str">
        <x:v>alta</x:v>
      </x:c>
      <x:c r="Z814" s="24"/>
      <x:c r="AA814" s="24" t="str">
        <x:v>Rodenstock|Progressiva ILT|Surfaçada|Impression EyeLT 2|PRO410|1.6|1.60|Solitaire Protect Plus|-10 a +8|até -6||75/80|||19</x:v>
      </x:c>
    </x:row>
    <x:row r="815">
      <x:c r="A815" s="24" t="str">
        <x:v>RD-9F01B1454126</x:v>
      </x:c>
      <x:c r="B815" s="24" t="str">
        <x:v>SIM</x:v>
      </x:c>
      <x:c r="C815" s="24" t="str">
        <x:v>DISPONÍVEL</x:v>
      </x:c>
      <x:c r="D815" s="24" t="str">
        <x:v>Rodenstock</x:v>
      </x:c>
      <x:c r="E815" s="24" t="str">
        <x:v>Progressiva ILT</x:v>
      </x:c>
      <x:c r="F815" s="24" t="str">
        <x:v>Surfaçada</x:v>
      </x:c>
      <x:c r="G815" s="24" t="str">
        <x:v>Impression EyeLT 2</x:v>
      </x:c>
      <x:c r="H815" s="24" t="str">
        <x:v>PRO410</x:v>
      </x:c>
      <x:c r="I815" s="24" t="str">
        <x:v>1.6</x:v>
      </x:c>
      <x:c r="J815" s="24" t="str">
        <x:v>1.60</x:v>
      </x:c>
      <x:c r="K815" s="24" t="str">
        <x:v>ROAD</x:v>
      </x:c>
      <x:c r="L815" s="40" t="n">
        <x:v>12159</x:v>
      </x:c>
      <x:c r="M815" s="24" t="str">
        <x:v>-10 a +8</x:v>
      </x:c>
      <x:c r="N815" s="24" t="str">
        <x:v>até -6</x:v>
      </x:c>
      <x:c r="O815" s="24"/>
      <x:c r="P815" s="24" t="str">
        <x:v>75/80</x:v>
      </x:c>
      <x:c r="Q815" s="24"/>
      <x:c r="R815" s="24"/>
      <x:c r="S815" s="26" t="n">
        <x:v>46024</x:v>
      </x:c>
      <x:c r="T815" s="26"/>
      <x:c r="U815" s="24" t="str">
        <x:v>ATIVA/SEM FIM INFORMADO</x:v>
      </x:c>
      <x:c r="V815" s="24"/>
      <x:c r="W815" s="24" t="n">
        <x:v>19</x:v>
      </x:c>
      <x:c r="X815" s="24" t="str">
        <x:v>tabela_rodenstock.pdf</x:v>
      </x:c>
      <x:c r="Y815" s="24" t="str">
        <x:v>alta</x:v>
      </x:c>
      <x:c r="Z815" s="24"/>
      <x:c r="AA815" s="24" t="str">
        <x:v>Rodenstock|Progressiva ILT|Surfaçada|Impression EyeLT 2|PRO410|1.6|1.60|ROAD|-10 a +8|até -6||75/80|||19</x:v>
      </x:c>
    </x:row>
    <x:row r="816">
      <x:c r="A816" s="24" t="str">
        <x:v>RD-208CBBE2558B</x:v>
      </x:c>
      <x:c r="B816" s="24" t="str">
        <x:v>SIM</x:v>
      </x:c>
      <x:c r="C816" s="24" t="str">
        <x:v>DISPONÍVEL</x:v>
      </x:c>
      <x:c r="D816" s="24" t="str">
        <x:v>Rodenstock</x:v>
      </x:c>
      <x:c r="E816" s="24" t="str">
        <x:v>Progressiva ILT</x:v>
      </x:c>
      <x:c r="F816" s="24" t="str">
        <x:v>Surfaçada</x:v>
      </x:c>
      <x:c r="G816" s="24" t="str">
        <x:v>Impression EyeLT 2</x:v>
      </x:c>
      <x:c r="H816" s="24" t="str">
        <x:v>PRO410</x:v>
      </x:c>
      <x:c r="I816" s="24" t="str">
        <x:v>1.6</x:v>
      </x:c>
      <x:c r="J816" s="24" t="str">
        <x:v>1.60</x:v>
      </x:c>
      <x:c r="K816" s="24" t="str">
        <x:v>Solitaire Protect</x:v>
      </x:c>
      <x:c r="L816" s="40" t="n">
        <x:v>11899</x:v>
      </x:c>
      <x:c r="M816" s="24" t="str">
        <x:v>-10 a +8</x:v>
      </x:c>
      <x:c r="N816" s="24" t="str">
        <x:v>até -6</x:v>
      </x:c>
      <x:c r="O816" s="24"/>
      <x:c r="P816" s="24" t="str">
        <x:v>75/80</x:v>
      </x:c>
      <x:c r="Q816" s="24"/>
      <x:c r="R816" s="24"/>
      <x:c r="S816" s="26" t="n">
        <x:v>46024</x:v>
      </x:c>
      <x:c r="T816" s="26"/>
      <x:c r="U816" s="24" t="str">
        <x:v>ATIVA/SEM FIM INFORMADO</x:v>
      </x:c>
      <x:c r="V816" s="24"/>
      <x:c r="W816" s="24" t="n">
        <x:v>19</x:v>
      </x:c>
      <x:c r="X816" s="24" t="str">
        <x:v>tabela_rodenstock.pdf</x:v>
      </x:c>
      <x:c r="Y816" s="24" t="str">
        <x:v>alta</x:v>
      </x:c>
      <x:c r="Z816" s="24"/>
      <x:c r="AA816" s="24" t="str">
        <x:v>Rodenstock|Progressiva ILT|Surfaçada|Impression EyeLT 2|PRO410|1.6|1.60|Solitaire Protect|-10 a +8|até -6||75/80|||19</x:v>
      </x:c>
    </x:row>
    <x:row r="817">
      <x:c r="A817" s="24" t="str">
        <x:v>RD-4DD85FCBD39D</x:v>
      </x:c>
      <x:c r="B817" s="24" t="str">
        <x:v>SIM</x:v>
      </x:c>
      <x:c r="C817" s="24" t="str">
        <x:v>DISPONÍVEL</x:v>
      </x:c>
      <x:c r="D817" s="24" t="str">
        <x:v>Rodenstock</x:v>
      </x:c>
      <x:c r="E817" s="24" t="str">
        <x:v>Progressiva ILT</x:v>
      </x:c>
      <x:c r="F817" s="24" t="str">
        <x:v>Surfaçada</x:v>
      </x:c>
      <x:c r="G817" s="24" t="str">
        <x:v>Impression EyeLT 2</x:v>
      </x:c>
      <x:c r="H817" s="24" t="str">
        <x:v>ColorMatic® 3</x:v>
      </x:c>
      <x:c r="I817" s="24" t="str">
        <x:v>1.6</x:v>
      </x:c>
      <x:c r="J817" s="24" t="str">
        <x:v>1.60</x:v>
      </x:c>
      <x:c r="K817" s="24" t="str">
        <x:v>Solitaire X-tra Clean</x:v>
      </x:c>
      <x:c r="L817" s="40" t="n">
        <x:v>12848</x:v>
      </x:c>
      <x:c r="M817" s="24" t="str">
        <x:v>-10 a +8</x:v>
      </x:c>
      <x:c r="N817" s="24" t="str">
        <x:v>até -6</x:v>
      </x:c>
      <x:c r="O817" s="24"/>
      <x:c r="P817" s="24" t="str">
        <x:v>75/80</x:v>
      </x:c>
      <x:c r="Q817" s="24"/>
      <x:c r="R817" s="24"/>
      <x:c r="S817" s="26" t="n">
        <x:v>46024</x:v>
      </x:c>
      <x:c r="T817" s="26"/>
      <x:c r="U817" s="24" t="str">
        <x:v>ATIVA/SEM FIM INFORMADO</x:v>
      </x:c>
      <x:c r="V817" s="24"/>
      <x:c r="W817" s="24" t="n">
        <x:v>19</x:v>
      </x:c>
      <x:c r="X817" s="24" t="str">
        <x:v>tabela_rodenstock.pdf</x:v>
      </x:c>
      <x:c r="Y817" s="24" t="str">
        <x:v>alta</x:v>
      </x:c>
      <x:c r="Z817" s="24"/>
      <x:c r="AA817" s="24" t="str">
        <x:v>Rodenstock|Progressiva ILT|Surfaçada|Impression EyeLT 2|ColorMatic® 3|1.6|1.60|Solitaire X-tra Clean|-10 a +8|até -6||75/80|||19</x:v>
      </x:c>
    </x:row>
    <x:row r="818">
      <x:c r="A818" s="24" t="str">
        <x:v>RD-ED6C52987A41</x:v>
      </x:c>
      <x:c r="B818" s="24" t="str">
        <x:v>SIM</x:v>
      </x:c>
      <x:c r="C818" s="24" t="str">
        <x:v>DISPONÍVEL</x:v>
      </x:c>
      <x:c r="D818" s="24" t="str">
        <x:v>Rodenstock</x:v>
      </x:c>
      <x:c r="E818" s="24" t="str">
        <x:v>Progressiva ILT</x:v>
      </x:c>
      <x:c r="F818" s="24" t="str">
        <x:v>Surfaçada</x:v>
      </x:c>
      <x:c r="G818" s="24" t="str">
        <x:v>Impression EyeLT 2</x:v>
      </x:c>
      <x:c r="H818" s="24" t="str">
        <x:v>ColorMatic® 3</x:v>
      </x:c>
      <x:c r="I818" s="24" t="str">
        <x:v>1.6</x:v>
      </x:c>
      <x:c r="J818" s="24" t="str">
        <x:v>1.60</x:v>
      </x:c>
      <x:c r="K818" s="24" t="str">
        <x:v>Solitaire 2 Protect Balance</x:v>
      </x:c>
      <x:c r="L818" s="40" t="n">
        <x:v>12798</x:v>
      </x:c>
      <x:c r="M818" s="24" t="str">
        <x:v>-10 a +8</x:v>
      </x:c>
      <x:c r="N818" s="24" t="str">
        <x:v>até -6</x:v>
      </x:c>
      <x:c r="O818" s="24"/>
      <x:c r="P818" s="24" t="str">
        <x:v>75/80</x:v>
      </x:c>
      <x:c r="Q818" s="24"/>
      <x:c r="R818" s="24"/>
      <x:c r="S818" s="26" t="n">
        <x:v>46024</x:v>
      </x:c>
      <x:c r="T818" s="26"/>
      <x:c r="U818" s="24" t="str">
        <x:v>ATIVA/SEM FIM INFORMADO</x:v>
      </x:c>
      <x:c r="V818" s="24"/>
      <x:c r="W818" s="24" t="n">
        <x:v>19</x:v>
      </x:c>
      <x:c r="X818" s="24" t="str">
        <x:v>tabela_rodenstock.pdf</x:v>
      </x:c>
      <x:c r="Y818" s="24" t="str">
        <x:v>alta</x:v>
      </x:c>
      <x:c r="Z818" s="24"/>
      <x:c r="AA818" s="24" t="str">
        <x:v>Rodenstock|Progressiva ILT|Surfaçada|Impression EyeLT 2|ColorMatic® 3|1.6|1.60|Solitaire 2 Protect Balance|-10 a +8|até -6||75/80|||19</x:v>
      </x:c>
    </x:row>
    <x:row r="819">
      <x:c r="A819" s="24" t="str">
        <x:v>RD-E9A9436FEB92</x:v>
      </x:c>
      <x:c r="B819" s="24" t="str">
        <x:v>SIM</x:v>
      </x:c>
      <x:c r="C819" s="24" t="str">
        <x:v>DISPONÍVEL</x:v>
      </x:c>
      <x:c r="D819" s="24" t="str">
        <x:v>Rodenstock</x:v>
      </x:c>
      <x:c r="E819" s="24" t="str">
        <x:v>Progressiva ILT</x:v>
      </x:c>
      <x:c r="F819" s="24" t="str">
        <x:v>Surfaçada</x:v>
      </x:c>
      <x:c r="G819" s="24" t="str">
        <x:v>Impression EyeLT 2</x:v>
      </x:c>
      <x:c r="H819" s="24" t="str">
        <x:v>ColorMatic® 3</x:v>
      </x:c>
      <x:c r="I819" s="24" t="str">
        <x:v>1.6</x:v>
      </x:c>
      <x:c r="J819" s="24" t="str">
        <x:v>1.60</x:v>
      </x:c>
      <x:c r="K819" s="24" t="str">
        <x:v>Solitaire Protect Plus</x:v>
      </x:c>
      <x:c r="L819" s="40" t="n">
        <x:v>12798</x:v>
      </x:c>
      <x:c r="M819" s="24" t="str">
        <x:v>-10 a +8</x:v>
      </x:c>
      <x:c r="N819" s="24" t="str">
        <x:v>até -6</x:v>
      </x:c>
      <x:c r="O819" s="24"/>
      <x:c r="P819" s="24" t="str">
        <x:v>75/80</x:v>
      </x:c>
      <x:c r="Q819" s="24"/>
      <x:c r="R819" s="24"/>
      <x:c r="S819" s="26" t="n">
        <x:v>46024</x:v>
      </x:c>
      <x:c r="T819" s="26"/>
      <x:c r="U819" s="24" t="str">
        <x:v>ATIVA/SEM FIM INFORMADO</x:v>
      </x:c>
      <x:c r="V819" s="24"/>
      <x:c r="W819" s="24" t="n">
        <x:v>19</x:v>
      </x:c>
      <x:c r="X819" s="24" t="str">
        <x:v>tabela_rodenstock.pdf</x:v>
      </x:c>
      <x:c r="Y819" s="24" t="str">
        <x:v>alta</x:v>
      </x:c>
      <x:c r="Z819" s="24"/>
      <x:c r="AA819" s="24" t="str">
        <x:v>Rodenstock|Progressiva ILT|Surfaçada|Impression EyeLT 2|ColorMatic® 3|1.6|1.60|Solitaire Protect Plus|-10 a +8|até -6||75/80|||19</x:v>
      </x:c>
    </x:row>
    <x:row r="820">
      <x:c r="A820" s="24" t="str">
        <x:v>RD-338FE1B9FD1D</x:v>
      </x:c>
      <x:c r="B820" s="24" t="str">
        <x:v>SIM</x:v>
      </x:c>
      <x:c r="C820" s="24" t="str">
        <x:v>DISPONÍVEL</x:v>
      </x:c>
      <x:c r="D820" s="24" t="str">
        <x:v>Rodenstock</x:v>
      </x:c>
      <x:c r="E820" s="24" t="str">
        <x:v>Progressiva ILT</x:v>
      </x:c>
      <x:c r="F820" s="24" t="str">
        <x:v>Surfaçada</x:v>
      </x:c>
      <x:c r="G820" s="24" t="str">
        <x:v>Impression EyeLT 2</x:v>
      </x:c>
      <x:c r="H820" s="24" t="str">
        <x:v>ColorMatic® 3</x:v>
      </x:c>
      <x:c r="I820" s="24" t="str">
        <x:v>1.6</x:v>
      </x:c>
      <x:c r="J820" s="24" t="str">
        <x:v>1.60</x:v>
      </x:c>
      <x:c r="K820" s="24" t="str">
        <x:v>ROAD</x:v>
      </x:c>
      <x:c r="L820" s="40" t="n">
        <x:v>12798</x:v>
      </x:c>
      <x:c r="M820" s="24" t="str">
        <x:v>-10 a +8</x:v>
      </x:c>
      <x:c r="N820" s="24" t="str">
        <x:v>até -6</x:v>
      </x:c>
      <x:c r="O820" s="24"/>
      <x:c r="P820" s="24" t="str">
        <x:v>75/80</x:v>
      </x:c>
      <x:c r="Q820" s="24"/>
      <x:c r="R820" s="24"/>
      <x:c r="S820" s="26" t="n">
        <x:v>46024</x:v>
      </x:c>
      <x:c r="T820" s="26"/>
      <x:c r="U820" s="24" t="str">
        <x:v>ATIVA/SEM FIM INFORMADO</x:v>
      </x:c>
      <x:c r="V820" s="24"/>
      <x:c r="W820" s="24" t="n">
        <x:v>19</x:v>
      </x:c>
      <x:c r="X820" s="24" t="str">
        <x:v>tabela_rodenstock.pdf</x:v>
      </x:c>
      <x:c r="Y820" s="24" t="str">
        <x:v>alta</x:v>
      </x:c>
      <x:c r="Z820" s="24"/>
      <x:c r="AA820" s="24" t="str">
        <x:v>Rodenstock|Progressiva ILT|Surfaçada|Impression EyeLT 2|ColorMatic® 3|1.6|1.60|ROAD|-10 a +8|até -6||75/80|||19</x:v>
      </x:c>
    </x:row>
    <x:row r="821">
      <x:c r="A821" s="24" t="str">
        <x:v>RD-6C9B3D59EB28</x:v>
      </x:c>
      <x:c r="B821" s="24" t="str">
        <x:v>SIM</x:v>
      </x:c>
      <x:c r="C821" s="24" t="str">
        <x:v>DISPONÍVEL</x:v>
      </x:c>
      <x:c r="D821" s="24" t="str">
        <x:v>Rodenstock</x:v>
      </x:c>
      <x:c r="E821" s="24" t="str">
        <x:v>Progressiva ILT</x:v>
      </x:c>
      <x:c r="F821" s="24" t="str">
        <x:v>Surfaçada</x:v>
      </x:c>
      <x:c r="G821" s="24" t="str">
        <x:v>Impression EyeLT 2</x:v>
      </x:c>
      <x:c r="H821" s="24" t="str">
        <x:v>ColorMatic® 3</x:v>
      </x:c>
      <x:c r="I821" s="24" t="str">
        <x:v>1.6</x:v>
      </x:c>
      <x:c r="J821" s="24" t="str">
        <x:v>1.60</x:v>
      </x:c>
      <x:c r="K821" s="24" t="str">
        <x:v>Solitaire Protect</x:v>
      </x:c>
      <x:c r="L821" s="40" t="n">
        <x:v>12538</x:v>
      </x:c>
      <x:c r="M821" s="24" t="str">
        <x:v>-10 a +8</x:v>
      </x:c>
      <x:c r="N821" s="24" t="str">
        <x:v>até -6</x:v>
      </x:c>
      <x:c r="O821" s="24"/>
      <x:c r="P821" s="24" t="str">
        <x:v>75/80</x:v>
      </x:c>
      <x:c r="Q821" s="24"/>
      <x:c r="R821" s="24"/>
      <x:c r="S821" s="26" t="n">
        <x:v>46024</x:v>
      </x:c>
      <x:c r="T821" s="26"/>
      <x:c r="U821" s="24" t="str">
        <x:v>ATIVA/SEM FIM INFORMADO</x:v>
      </x:c>
      <x:c r="V821" s="24"/>
      <x:c r="W821" s="24" t="n">
        <x:v>19</x:v>
      </x:c>
      <x:c r="X821" s="24" t="str">
        <x:v>tabela_rodenstock.pdf</x:v>
      </x:c>
      <x:c r="Y821" s="24" t="str">
        <x:v>alta</x:v>
      </x:c>
      <x:c r="Z821" s="24"/>
      <x:c r="AA821" s="24" t="str">
        <x:v>Rodenstock|Progressiva ILT|Surfaçada|Impression EyeLT 2|ColorMatic® 3|1.6|1.60|Solitaire Protect|-10 a +8|até -6||75/80|||19</x:v>
      </x:c>
    </x:row>
    <x:row r="822">
      <x:c r="A822" s="24" t="str">
        <x:v>RD-B3207F373814</x:v>
      </x:c>
      <x:c r="B822" s="24" t="str">
        <x:v>SIM</x:v>
      </x:c>
      <x:c r="C822" s="24" t="str">
        <x:v>DISPONÍVEL</x:v>
      </x:c>
      <x:c r="D822" s="24" t="str">
        <x:v>Rodenstock</x:v>
      </x:c>
      <x:c r="E822" s="24" t="str">
        <x:v>Progressiva ILT</x:v>
      </x:c>
      <x:c r="F822" s="24" t="str">
        <x:v>Surfaçada</x:v>
      </x:c>
      <x:c r="G822" s="24" t="str">
        <x:v>Impression EyeLT 2</x:v>
      </x:c>
      <x:c r="H822" s="24"/>
      <x:c r="I822" s="24" t="str">
        <x:v>1.67</x:v>
      </x:c>
      <x:c r="J822" s="24" t="str">
        <x:v>1.67</x:v>
      </x:c>
      <x:c r="K822" s="24" t="str">
        <x:v>Solitaire X-tra Clean</x:v>
      </x:c>
      <x:c r="L822" s="40" t="n">
        <x:v>13613</x:v>
      </x:c>
      <x:c r="M822" s="24" t="str">
        <x:v>-10 a +8</x:v>
      </x:c>
      <x:c r="N822" s="24" t="str">
        <x:v>até -6</x:v>
      </x:c>
      <x:c r="O822" s="24"/>
      <x:c r="P822" s="24" t="str">
        <x:v>75/80</x:v>
      </x:c>
      <x:c r="Q822" s="24"/>
      <x:c r="R822" s="24"/>
      <x:c r="S822" s="26" t="n">
        <x:v>46024</x:v>
      </x:c>
      <x:c r="T822" s="26"/>
      <x:c r="U822" s="24" t="str">
        <x:v>ATIVA/SEM FIM INFORMADO</x:v>
      </x:c>
      <x:c r="V822" s="24"/>
      <x:c r="W822" s="24" t="n">
        <x:v>19</x:v>
      </x:c>
      <x:c r="X822" s="24" t="str">
        <x:v>tabela_rodenstock.pdf</x:v>
      </x:c>
      <x:c r="Y822" s="24" t="str">
        <x:v>alta</x:v>
      </x:c>
      <x:c r="Z822" s="24"/>
      <x:c r="AA822" s="24" t="str">
        <x:v>Rodenstock|Progressiva ILT|Surfaçada|Impression EyeLT 2||1.67|1.67|Solitaire X-tra Clean|-10 a +8|até -6||75/80|||19</x:v>
      </x:c>
    </x:row>
    <x:row r="823">
      <x:c r="A823" s="24" t="str">
        <x:v>RD-74DCDE019FBB</x:v>
      </x:c>
      <x:c r="B823" s="24" t="str">
        <x:v>SIM</x:v>
      </x:c>
      <x:c r="C823" s="24" t="str">
        <x:v>DISPONÍVEL</x:v>
      </x:c>
      <x:c r="D823" s="24" t="str">
        <x:v>Rodenstock</x:v>
      </x:c>
      <x:c r="E823" s="24" t="str">
        <x:v>Progressiva ILT</x:v>
      </x:c>
      <x:c r="F823" s="24" t="str">
        <x:v>Surfaçada</x:v>
      </x:c>
      <x:c r="G823" s="24" t="str">
        <x:v>Impression EyeLT 2</x:v>
      </x:c>
      <x:c r="H823" s="24"/>
      <x:c r="I823" s="24" t="str">
        <x:v>1.67</x:v>
      </x:c>
      <x:c r="J823" s="24" t="str">
        <x:v>1.67</x:v>
      </x:c>
      <x:c r="K823" s="24" t="str">
        <x:v>Solitaire 2 Protect Balance</x:v>
      </x:c>
      <x:c r="L823" s="40" t="n">
        <x:v>13563</x:v>
      </x:c>
      <x:c r="M823" s="24" t="str">
        <x:v>-10 a +8</x:v>
      </x:c>
      <x:c r="N823" s="24" t="str">
        <x:v>até -6</x:v>
      </x:c>
      <x:c r="O823" s="24"/>
      <x:c r="P823" s="24" t="str">
        <x:v>75/80</x:v>
      </x:c>
      <x:c r="Q823" s="24"/>
      <x:c r="R823" s="24"/>
      <x:c r="S823" s="26" t="n">
        <x:v>46024</x:v>
      </x:c>
      <x:c r="T823" s="26"/>
      <x:c r="U823" s="24" t="str">
        <x:v>ATIVA/SEM FIM INFORMADO</x:v>
      </x:c>
      <x:c r="V823" s="24"/>
      <x:c r="W823" s="24" t="n">
        <x:v>19</x:v>
      </x:c>
      <x:c r="X823" s="24" t="str">
        <x:v>tabela_rodenstock.pdf</x:v>
      </x:c>
      <x:c r="Y823" s="24" t="str">
        <x:v>alta</x:v>
      </x:c>
      <x:c r="Z823" s="24"/>
      <x:c r="AA823" s="24" t="str">
        <x:v>Rodenstock|Progressiva ILT|Surfaçada|Impression EyeLT 2||1.67|1.67|Solitaire 2 Protect Balance|-10 a +8|até -6||75/80|||19</x:v>
      </x:c>
    </x:row>
    <x:row r="824">
      <x:c r="A824" s="24" t="str">
        <x:v>RD-4654E8DADF09</x:v>
      </x:c>
      <x:c r="B824" s="24" t="str">
        <x:v>SIM</x:v>
      </x:c>
      <x:c r="C824" s="24" t="str">
        <x:v>DISPONÍVEL</x:v>
      </x:c>
      <x:c r="D824" s="24" t="str">
        <x:v>Rodenstock</x:v>
      </x:c>
      <x:c r="E824" s="24" t="str">
        <x:v>Progressiva ILT</x:v>
      </x:c>
      <x:c r="F824" s="24" t="str">
        <x:v>Surfaçada</x:v>
      </x:c>
      <x:c r="G824" s="24" t="str">
        <x:v>Impression EyeLT 2</x:v>
      </x:c>
      <x:c r="H824" s="24"/>
      <x:c r="I824" s="24" t="str">
        <x:v>1.67</x:v>
      </x:c>
      <x:c r="J824" s="24" t="str">
        <x:v>1.67</x:v>
      </x:c>
      <x:c r="K824" s="24" t="str">
        <x:v>Solitaire Protect Plus</x:v>
      </x:c>
      <x:c r="L824" s="40" t="n">
        <x:v>13563</x:v>
      </x:c>
      <x:c r="M824" s="24" t="str">
        <x:v>-10 a +8</x:v>
      </x:c>
      <x:c r="N824" s="24" t="str">
        <x:v>até -6</x:v>
      </x:c>
      <x:c r="O824" s="24"/>
      <x:c r="P824" s="24" t="str">
        <x:v>75/80</x:v>
      </x:c>
      <x:c r="Q824" s="24"/>
      <x:c r="R824" s="24"/>
      <x:c r="S824" s="26" t="n">
        <x:v>46024</x:v>
      </x:c>
      <x:c r="T824" s="26"/>
      <x:c r="U824" s="24" t="str">
        <x:v>ATIVA/SEM FIM INFORMADO</x:v>
      </x:c>
      <x:c r="V824" s="24"/>
      <x:c r="W824" s="24" t="n">
        <x:v>19</x:v>
      </x:c>
      <x:c r="X824" s="24" t="str">
        <x:v>tabela_rodenstock.pdf</x:v>
      </x:c>
      <x:c r="Y824" s="24" t="str">
        <x:v>alta</x:v>
      </x:c>
      <x:c r="Z824" s="24"/>
      <x:c r="AA824" s="24" t="str">
        <x:v>Rodenstock|Progressiva ILT|Surfaçada|Impression EyeLT 2||1.67|1.67|Solitaire Protect Plus|-10 a +8|até -6||75/80|||19</x:v>
      </x:c>
    </x:row>
    <x:row r="825">
      <x:c r="A825" s="24" t="str">
        <x:v>RD-1BDE08B24F0F</x:v>
      </x:c>
      <x:c r="B825" s="24" t="str">
        <x:v>SIM</x:v>
      </x:c>
      <x:c r="C825" s="24" t="str">
        <x:v>DISPONÍVEL</x:v>
      </x:c>
      <x:c r="D825" s="24" t="str">
        <x:v>Rodenstock</x:v>
      </x:c>
      <x:c r="E825" s="24" t="str">
        <x:v>Progressiva ILT</x:v>
      </x:c>
      <x:c r="F825" s="24" t="str">
        <x:v>Surfaçada</x:v>
      </x:c>
      <x:c r="G825" s="24" t="str">
        <x:v>Impression EyeLT 2</x:v>
      </x:c>
      <x:c r="H825" s="24"/>
      <x:c r="I825" s="24" t="str">
        <x:v>1.67</x:v>
      </x:c>
      <x:c r="J825" s="24" t="str">
        <x:v>1.67</x:v>
      </x:c>
      <x:c r="K825" s="24" t="str">
        <x:v>ROAD</x:v>
      </x:c>
      <x:c r="L825" s="40" t="n">
        <x:v>13563</x:v>
      </x:c>
      <x:c r="M825" s="24" t="str">
        <x:v>-10 a +8</x:v>
      </x:c>
      <x:c r="N825" s="24" t="str">
        <x:v>até -6</x:v>
      </x:c>
      <x:c r="O825" s="24"/>
      <x:c r="P825" s="24" t="str">
        <x:v>75/80</x:v>
      </x:c>
      <x:c r="Q825" s="24"/>
      <x:c r="R825" s="24"/>
      <x:c r="S825" s="26" t="n">
        <x:v>46024</x:v>
      </x:c>
      <x:c r="T825" s="26"/>
      <x:c r="U825" s="24" t="str">
        <x:v>ATIVA/SEM FIM INFORMADO</x:v>
      </x:c>
      <x:c r="V825" s="24"/>
      <x:c r="W825" s="24" t="n">
        <x:v>19</x:v>
      </x:c>
      <x:c r="X825" s="24" t="str">
        <x:v>tabela_rodenstock.pdf</x:v>
      </x:c>
      <x:c r="Y825" s="24" t="str">
        <x:v>alta</x:v>
      </x:c>
      <x:c r="Z825" s="24"/>
      <x:c r="AA825" s="24" t="str">
        <x:v>Rodenstock|Progressiva ILT|Surfaçada|Impression EyeLT 2||1.67|1.67|ROAD|-10 a +8|até -6||75/80|||19</x:v>
      </x:c>
    </x:row>
    <x:row r="826">
      <x:c r="A826" s="24" t="str">
        <x:v>RD-E05928ADDAA8</x:v>
      </x:c>
      <x:c r="B826" s="24" t="str">
        <x:v>SIM</x:v>
      </x:c>
      <x:c r="C826" s="24" t="str">
        <x:v>DISPONÍVEL</x:v>
      </x:c>
      <x:c r="D826" s="24" t="str">
        <x:v>Rodenstock</x:v>
      </x:c>
      <x:c r="E826" s="24" t="str">
        <x:v>Progressiva ILT</x:v>
      </x:c>
      <x:c r="F826" s="24" t="str">
        <x:v>Surfaçada</x:v>
      </x:c>
      <x:c r="G826" s="24" t="str">
        <x:v>Impression EyeLT 2</x:v>
      </x:c>
      <x:c r="H826" s="24"/>
      <x:c r="I826" s="24" t="str">
        <x:v>1.67</x:v>
      </x:c>
      <x:c r="J826" s="24" t="str">
        <x:v>1.67</x:v>
      </x:c>
      <x:c r="K826" s="24" t="str">
        <x:v>Solitaire Protect</x:v>
      </x:c>
      <x:c r="L826" s="40" t="n">
        <x:v>13303</x:v>
      </x:c>
      <x:c r="M826" s="24" t="str">
        <x:v>-10 a +8</x:v>
      </x:c>
      <x:c r="N826" s="24" t="str">
        <x:v>até -6</x:v>
      </x:c>
      <x:c r="O826" s="24"/>
      <x:c r="P826" s="24" t="str">
        <x:v>75/80</x:v>
      </x:c>
      <x:c r="Q826" s="24"/>
      <x:c r="R826" s="24"/>
      <x:c r="S826" s="26" t="n">
        <x:v>46024</x:v>
      </x:c>
      <x:c r="T826" s="26"/>
      <x:c r="U826" s="24" t="str">
        <x:v>ATIVA/SEM FIM INFORMADO</x:v>
      </x:c>
      <x:c r="V826" s="24"/>
      <x:c r="W826" s="24" t="n">
        <x:v>19</x:v>
      </x:c>
      <x:c r="X826" s="24" t="str">
        <x:v>tabela_rodenstock.pdf</x:v>
      </x:c>
      <x:c r="Y826" s="24" t="str">
        <x:v>alta</x:v>
      </x:c>
      <x:c r="Z826" s="24"/>
      <x:c r="AA826" s="24" t="str">
        <x:v>Rodenstock|Progressiva ILT|Surfaçada|Impression EyeLT 2||1.67|1.67|Solitaire Protect|-10 a +8|até -6||75/80|||19</x:v>
      </x:c>
    </x:row>
    <x:row r="827">
      <x:c r="A827" s="24" t="str">
        <x:v>RD-C5813150A06F</x:v>
      </x:c>
      <x:c r="B827" s="24" t="str">
        <x:v>SIM</x:v>
      </x:c>
      <x:c r="C827" s="24" t="str">
        <x:v>DISPONÍVEL</x:v>
      </x:c>
      <x:c r="D827" s="24" t="str">
        <x:v>Rodenstock</x:v>
      </x:c>
      <x:c r="E827" s="24" t="str">
        <x:v>Progressiva ILT</x:v>
      </x:c>
      <x:c r="F827" s="24" t="str">
        <x:v>Surfaçada</x:v>
      </x:c>
      <x:c r="G827" s="24" t="str">
        <x:v>Impression EyeLT 2</x:v>
      </x:c>
      <x:c r="H827" s="24" t="str">
        <x:v>ColorMatic® 3</x:v>
      </x:c>
      <x:c r="I827" s="24" t="str">
        <x:v>1.67</x:v>
      </x:c>
      <x:c r="J827" s="24" t="str">
        <x:v>1.67</x:v>
      </x:c>
      <x:c r="K827" s="24" t="str">
        <x:v>Solitaire X-tra Clean</x:v>
      </x:c>
      <x:c r="L827" s="40" t="n">
        <x:v>14796</x:v>
      </x:c>
      <x:c r="M827" s="24" t="str">
        <x:v>-10 a +8</x:v>
      </x:c>
      <x:c r="N827" s="24" t="str">
        <x:v>até -6</x:v>
      </x:c>
      <x:c r="O827" s="24"/>
      <x:c r="P827" s="24" t="str">
        <x:v>75/80</x:v>
      </x:c>
      <x:c r="Q827" s="24"/>
      <x:c r="R827" s="24"/>
      <x:c r="S827" s="26" t="n">
        <x:v>46024</x:v>
      </x:c>
      <x:c r="T827" s="26"/>
      <x:c r="U827" s="24" t="str">
        <x:v>ATIVA/SEM FIM INFORMADO</x:v>
      </x:c>
      <x:c r="V827" s="24"/>
      <x:c r="W827" s="24" t="n">
        <x:v>19</x:v>
      </x:c>
      <x:c r="X827" s="24" t="str">
        <x:v>tabela_rodenstock.pdf</x:v>
      </x:c>
      <x:c r="Y827" s="24" t="str">
        <x:v>alta</x:v>
      </x:c>
      <x:c r="Z827" s="24"/>
      <x:c r="AA827" s="24" t="str">
        <x:v>Rodenstock|Progressiva ILT|Surfaçada|Impression EyeLT 2|ColorMatic® 3|1.67|1.67|Solitaire X-tra Clean|-10 a +8|até -6||75/80|||19</x:v>
      </x:c>
    </x:row>
    <x:row r="828">
      <x:c r="A828" s="24" t="str">
        <x:v>RD-EFE9A593E0F8</x:v>
      </x:c>
      <x:c r="B828" s="24" t="str">
        <x:v>SIM</x:v>
      </x:c>
      <x:c r="C828" s="24" t="str">
        <x:v>DISPONÍVEL</x:v>
      </x:c>
      <x:c r="D828" s="24" t="str">
        <x:v>Rodenstock</x:v>
      </x:c>
      <x:c r="E828" s="24" t="str">
        <x:v>Progressiva ILT</x:v>
      </x:c>
      <x:c r="F828" s="24" t="str">
        <x:v>Surfaçada</x:v>
      </x:c>
      <x:c r="G828" s="24" t="str">
        <x:v>Impression EyeLT 2</x:v>
      </x:c>
      <x:c r="H828" s="24" t="str">
        <x:v>ColorMatic® 3</x:v>
      </x:c>
      <x:c r="I828" s="24" t="str">
        <x:v>1.67</x:v>
      </x:c>
      <x:c r="J828" s="24" t="str">
        <x:v>1.67</x:v>
      </x:c>
      <x:c r="K828" s="24" t="str">
        <x:v>Solitaire 2 Protect Balance</x:v>
      </x:c>
      <x:c r="L828" s="40" t="n">
        <x:v>14746</x:v>
      </x:c>
      <x:c r="M828" s="24" t="str">
        <x:v>-10 a +8</x:v>
      </x:c>
      <x:c r="N828" s="24" t="str">
        <x:v>até -6</x:v>
      </x:c>
      <x:c r="O828" s="24"/>
      <x:c r="P828" s="24" t="str">
        <x:v>75/80</x:v>
      </x:c>
      <x:c r="Q828" s="24"/>
      <x:c r="R828" s="24"/>
      <x:c r="S828" s="26" t="n">
        <x:v>46024</x:v>
      </x:c>
      <x:c r="T828" s="26"/>
      <x:c r="U828" s="24" t="str">
        <x:v>ATIVA/SEM FIM INFORMADO</x:v>
      </x:c>
      <x:c r="V828" s="24"/>
      <x:c r="W828" s="24" t="n">
        <x:v>19</x:v>
      </x:c>
      <x:c r="X828" s="24" t="str">
        <x:v>tabela_rodenstock.pdf</x:v>
      </x:c>
      <x:c r="Y828" s="24" t="str">
        <x:v>alta</x:v>
      </x:c>
      <x:c r="Z828" s="24"/>
      <x:c r="AA828" s="24" t="str">
        <x:v>Rodenstock|Progressiva ILT|Surfaçada|Impression EyeLT 2|ColorMatic® 3|1.67|1.67|Solitaire 2 Protect Balance|-10 a +8|até -6||75/80|||19</x:v>
      </x:c>
    </x:row>
    <x:row r="829">
      <x:c r="A829" s="24" t="str">
        <x:v>RD-A4A18A55ADAD</x:v>
      </x:c>
      <x:c r="B829" s="24" t="str">
        <x:v>SIM</x:v>
      </x:c>
      <x:c r="C829" s="24" t="str">
        <x:v>DISPONÍVEL</x:v>
      </x:c>
      <x:c r="D829" s="24" t="str">
        <x:v>Rodenstock</x:v>
      </x:c>
      <x:c r="E829" s="24" t="str">
        <x:v>Progressiva ILT</x:v>
      </x:c>
      <x:c r="F829" s="24" t="str">
        <x:v>Surfaçada</x:v>
      </x:c>
      <x:c r="G829" s="24" t="str">
        <x:v>Impression EyeLT 2</x:v>
      </x:c>
      <x:c r="H829" s="24" t="str">
        <x:v>ColorMatic® 3</x:v>
      </x:c>
      <x:c r="I829" s="24" t="str">
        <x:v>1.67</x:v>
      </x:c>
      <x:c r="J829" s="24" t="str">
        <x:v>1.67</x:v>
      </x:c>
      <x:c r="K829" s="24" t="str">
        <x:v>Solitaire Protect Plus</x:v>
      </x:c>
      <x:c r="L829" s="40" t="n">
        <x:v>14746</x:v>
      </x:c>
      <x:c r="M829" s="24" t="str">
        <x:v>-10 a +8</x:v>
      </x:c>
      <x:c r="N829" s="24" t="str">
        <x:v>até -6</x:v>
      </x:c>
      <x:c r="O829" s="24"/>
      <x:c r="P829" s="24" t="str">
        <x:v>75/80</x:v>
      </x:c>
      <x:c r="Q829" s="24"/>
      <x:c r="R829" s="24"/>
      <x:c r="S829" s="26" t="n">
        <x:v>46024</x:v>
      </x:c>
      <x:c r="T829" s="26"/>
      <x:c r="U829" s="24" t="str">
        <x:v>ATIVA/SEM FIM INFORMADO</x:v>
      </x:c>
      <x:c r="V829" s="24"/>
      <x:c r="W829" s="24" t="n">
        <x:v>19</x:v>
      </x:c>
      <x:c r="X829" s="24" t="str">
        <x:v>tabela_rodenstock.pdf</x:v>
      </x:c>
      <x:c r="Y829" s="24" t="str">
        <x:v>alta</x:v>
      </x:c>
      <x:c r="Z829" s="24"/>
      <x:c r="AA829" s="24" t="str">
        <x:v>Rodenstock|Progressiva ILT|Surfaçada|Impression EyeLT 2|ColorMatic® 3|1.67|1.67|Solitaire Protect Plus|-10 a +8|até -6||75/80|||19</x:v>
      </x:c>
    </x:row>
    <x:row r="830">
      <x:c r="A830" s="24" t="str">
        <x:v>RD-524547CF266C</x:v>
      </x:c>
      <x:c r="B830" s="24" t="str">
        <x:v>SIM</x:v>
      </x:c>
      <x:c r="C830" s="24" t="str">
        <x:v>DISPONÍVEL</x:v>
      </x:c>
      <x:c r="D830" s="24" t="str">
        <x:v>Rodenstock</x:v>
      </x:c>
      <x:c r="E830" s="24" t="str">
        <x:v>Progressiva ILT</x:v>
      </x:c>
      <x:c r="F830" s="24" t="str">
        <x:v>Surfaçada</x:v>
      </x:c>
      <x:c r="G830" s="24" t="str">
        <x:v>Impression EyeLT 2</x:v>
      </x:c>
      <x:c r="H830" s="24" t="str">
        <x:v>ColorMatic® 3</x:v>
      </x:c>
      <x:c r="I830" s="24" t="str">
        <x:v>1.67</x:v>
      </x:c>
      <x:c r="J830" s="24" t="str">
        <x:v>1.67</x:v>
      </x:c>
      <x:c r="K830" s="24" t="str">
        <x:v>ROAD</x:v>
      </x:c>
      <x:c r="L830" s="40" t="n">
        <x:v>14746</x:v>
      </x:c>
      <x:c r="M830" s="24" t="str">
        <x:v>-10 a +8</x:v>
      </x:c>
      <x:c r="N830" s="24" t="str">
        <x:v>até -6</x:v>
      </x:c>
      <x:c r="O830" s="24"/>
      <x:c r="P830" s="24" t="str">
        <x:v>75/80</x:v>
      </x:c>
      <x:c r="Q830" s="24"/>
      <x:c r="R830" s="24"/>
      <x:c r="S830" s="26" t="n">
        <x:v>46024</x:v>
      </x:c>
      <x:c r="T830" s="26"/>
      <x:c r="U830" s="24" t="str">
        <x:v>ATIVA/SEM FIM INFORMADO</x:v>
      </x:c>
      <x:c r="V830" s="24"/>
      <x:c r="W830" s="24" t="n">
        <x:v>19</x:v>
      </x:c>
      <x:c r="X830" s="24" t="str">
        <x:v>tabela_rodenstock.pdf</x:v>
      </x:c>
      <x:c r="Y830" s="24" t="str">
        <x:v>alta</x:v>
      </x:c>
      <x:c r="Z830" s="24"/>
      <x:c r="AA830" s="24" t="str">
        <x:v>Rodenstock|Progressiva ILT|Surfaçada|Impression EyeLT 2|ColorMatic® 3|1.67|1.67|ROAD|-10 a +8|até -6||75/80|||19</x:v>
      </x:c>
    </x:row>
    <x:row r="831">
      <x:c r="A831" s="24" t="str">
        <x:v>RD-DD8948223718</x:v>
      </x:c>
      <x:c r="B831" s="24" t="str">
        <x:v>SIM</x:v>
      </x:c>
      <x:c r="C831" s="24" t="str">
        <x:v>DISPONÍVEL</x:v>
      </x:c>
      <x:c r="D831" s="24" t="str">
        <x:v>Rodenstock</x:v>
      </x:c>
      <x:c r="E831" s="24" t="str">
        <x:v>Progressiva ILT</x:v>
      </x:c>
      <x:c r="F831" s="24" t="str">
        <x:v>Surfaçada</x:v>
      </x:c>
      <x:c r="G831" s="24" t="str">
        <x:v>Impression EyeLT 2</x:v>
      </x:c>
      <x:c r="H831" s="24" t="str">
        <x:v>ColorMatic® 3</x:v>
      </x:c>
      <x:c r="I831" s="24" t="str">
        <x:v>1.67</x:v>
      </x:c>
      <x:c r="J831" s="24" t="str">
        <x:v>1.67</x:v>
      </x:c>
      <x:c r="K831" s="24" t="str">
        <x:v>Solitaire Protect</x:v>
      </x:c>
      <x:c r="L831" s="40" t="n">
        <x:v>14486</x:v>
      </x:c>
      <x:c r="M831" s="24" t="str">
        <x:v>-10 a +8</x:v>
      </x:c>
      <x:c r="N831" s="24" t="str">
        <x:v>até -6</x:v>
      </x:c>
      <x:c r="O831" s="24"/>
      <x:c r="P831" s="24" t="str">
        <x:v>75/80</x:v>
      </x:c>
      <x:c r="Q831" s="24"/>
      <x:c r="R831" s="24"/>
      <x:c r="S831" s="26" t="n">
        <x:v>46024</x:v>
      </x:c>
      <x:c r="T831" s="26"/>
      <x:c r="U831" s="24" t="str">
        <x:v>ATIVA/SEM FIM INFORMADO</x:v>
      </x:c>
      <x:c r="V831" s="24"/>
      <x:c r="W831" s="24" t="n">
        <x:v>19</x:v>
      </x:c>
      <x:c r="X831" s="24" t="str">
        <x:v>tabela_rodenstock.pdf</x:v>
      </x:c>
      <x:c r="Y831" s="24" t="str">
        <x:v>alta</x:v>
      </x:c>
      <x:c r="Z831" s="24"/>
      <x:c r="AA831" s="24" t="str">
        <x:v>Rodenstock|Progressiva ILT|Surfaçada|Impression EyeLT 2|ColorMatic® 3|1.67|1.67|Solitaire Protect|-10 a +8|até -6||75/80|||19</x:v>
      </x:c>
    </x:row>
    <x:row r="832">
      <x:c r="A832" s="24" t="str">
        <x:v>RD-F2FBAAF2AF15</x:v>
      </x:c>
      <x:c r="B832" s="24" t="str">
        <x:v>SIM</x:v>
      </x:c>
      <x:c r="C832" s="24" t="str">
        <x:v>DISPONÍVEL</x:v>
      </x:c>
      <x:c r="D832" s="24" t="str">
        <x:v>Rodenstock</x:v>
      </x:c>
      <x:c r="E832" s="24" t="str">
        <x:v>Progressiva ILT</x:v>
      </x:c>
      <x:c r="F832" s="24" t="str">
        <x:v>Surfaçada</x:v>
      </x:c>
      <x:c r="G832" s="24" t="str">
        <x:v>Impression EyeLT 2</x:v>
      </x:c>
      <x:c r="H832" s="24"/>
      <x:c r="I832" s="24" t="str">
        <x:v>1.74</x:v>
      </x:c>
      <x:c r="J832" s="24" t="str">
        <x:v>1.74</x:v>
      </x:c>
      <x:c r="K832" s="24" t="str">
        <x:v>Solitaire X-tra Clean</x:v>
      </x:c>
      <x:c r="L832" s="40" t="n">
        <x:v>15162</x:v>
      </x:c>
      <x:c r="M832" s="24" t="str">
        <x:v>-18 a +13</x:v>
      </x:c>
      <x:c r="N832" s="24" t="str">
        <x:v>até -6</x:v>
      </x:c>
      <x:c r="O832" s="24"/>
      <x:c r="P832" s="24" t="str">
        <x:v>75/80</x:v>
      </x:c>
      <x:c r="Q832" s="24"/>
      <x:c r="R832" s="24"/>
      <x:c r="S832" s="26" t="n">
        <x:v>46024</x:v>
      </x:c>
      <x:c r="T832" s="26"/>
      <x:c r="U832" s="24" t="str">
        <x:v>ATIVA/SEM FIM INFORMADO</x:v>
      </x:c>
      <x:c r="V832" s="24"/>
      <x:c r="W832" s="24" t="n">
        <x:v>19</x:v>
      </x:c>
      <x:c r="X832" s="24" t="str">
        <x:v>tabela_rodenstock.pdf</x:v>
      </x:c>
      <x:c r="Y832" s="24" t="str">
        <x:v>alta</x:v>
      </x:c>
      <x:c r="Z832" s="24"/>
      <x:c r="AA832" s="24" t="str">
        <x:v>Rodenstock|Progressiva ILT|Surfaçada|Impression EyeLT 2||1.74|1.74|Solitaire X-tra Clean|-18 a +13|até -6||75/80|||19</x:v>
      </x:c>
    </x:row>
    <x:row r="833">
      <x:c r="A833" s="24" t="str">
        <x:v>RD-C38EBF209F22</x:v>
      </x:c>
      <x:c r="B833" s="24" t="str">
        <x:v>SIM</x:v>
      </x:c>
      <x:c r="C833" s="24" t="str">
        <x:v>DISPONÍVEL</x:v>
      </x:c>
      <x:c r="D833" s="24" t="str">
        <x:v>Rodenstock</x:v>
      </x:c>
      <x:c r="E833" s="24" t="str">
        <x:v>Progressiva ILT</x:v>
      </x:c>
      <x:c r="F833" s="24" t="str">
        <x:v>Surfaçada</x:v>
      </x:c>
      <x:c r="G833" s="24" t="str">
        <x:v>Impression EyeLT 2</x:v>
      </x:c>
      <x:c r="H833" s="24"/>
      <x:c r="I833" s="24" t="str">
        <x:v>1.74</x:v>
      </x:c>
      <x:c r="J833" s="24" t="str">
        <x:v>1.74</x:v>
      </x:c>
      <x:c r="K833" s="24" t="str">
        <x:v>Solitaire 2 Protect Balance</x:v>
      </x:c>
      <x:c r="L833" s="40" t="n">
        <x:v>15112</x:v>
      </x:c>
      <x:c r="M833" s="24" t="str">
        <x:v>-18 a +13</x:v>
      </x:c>
      <x:c r="N833" s="24" t="str">
        <x:v>até -6</x:v>
      </x:c>
      <x:c r="O833" s="24"/>
      <x:c r="P833" s="24" t="str">
        <x:v>75/80</x:v>
      </x:c>
      <x:c r="Q833" s="24"/>
      <x:c r="R833" s="24"/>
      <x:c r="S833" s="26" t="n">
        <x:v>46024</x:v>
      </x:c>
      <x:c r="T833" s="26"/>
      <x:c r="U833" s="24" t="str">
        <x:v>ATIVA/SEM FIM INFORMADO</x:v>
      </x:c>
      <x:c r="V833" s="24"/>
      <x:c r="W833" s="24" t="n">
        <x:v>19</x:v>
      </x:c>
      <x:c r="X833" s="24" t="str">
        <x:v>tabela_rodenstock.pdf</x:v>
      </x:c>
      <x:c r="Y833" s="24" t="str">
        <x:v>alta</x:v>
      </x:c>
      <x:c r="Z833" s="24"/>
      <x:c r="AA833" s="24" t="str">
        <x:v>Rodenstock|Progressiva ILT|Surfaçada|Impression EyeLT 2||1.74|1.74|Solitaire 2 Protect Balance|-18 a +13|até -6||75/80|||19</x:v>
      </x:c>
    </x:row>
    <x:row r="834">
      <x:c r="A834" s="24" t="str">
        <x:v>RD-4E647A9CB667</x:v>
      </x:c>
      <x:c r="B834" s="24" t="str">
        <x:v>SIM</x:v>
      </x:c>
      <x:c r="C834" s="24" t="str">
        <x:v>DISPONÍVEL</x:v>
      </x:c>
      <x:c r="D834" s="24" t="str">
        <x:v>Rodenstock</x:v>
      </x:c>
      <x:c r="E834" s="24" t="str">
        <x:v>Progressiva ILT</x:v>
      </x:c>
      <x:c r="F834" s="24" t="str">
        <x:v>Surfaçada</x:v>
      </x:c>
      <x:c r="G834" s="24" t="str">
        <x:v>Impression EyeLT 2</x:v>
      </x:c>
      <x:c r="H834" s="24"/>
      <x:c r="I834" s="24" t="str">
        <x:v>1.74</x:v>
      </x:c>
      <x:c r="J834" s="24" t="str">
        <x:v>1.74</x:v>
      </x:c>
      <x:c r="K834" s="24" t="str">
        <x:v>Solitaire Protect Plus</x:v>
      </x:c>
      <x:c r="L834" s="40" t="n">
        <x:v>15112</x:v>
      </x:c>
      <x:c r="M834" s="24" t="str">
        <x:v>-18 a +13</x:v>
      </x:c>
      <x:c r="N834" s="24" t="str">
        <x:v>até -6</x:v>
      </x:c>
      <x:c r="O834" s="24"/>
      <x:c r="P834" s="24" t="str">
        <x:v>75/80</x:v>
      </x:c>
      <x:c r="Q834" s="24"/>
      <x:c r="R834" s="24"/>
      <x:c r="S834" s="26" t="n">
        <x:v>46024</x:v>
      </x:c>
      <x:c r="T834" s="26"/>
      <x:c r="U834" s="24" t="str">
        <x:v>ATIVA/SEM FIM INFORMADO</x:v>
      </x:c>
      <x:c r="V834" s="24"/>
      <x:c r="W834" s="24" t="n">
        <x:v>19</x:v>
      </x:c>
      <x:c r="X834" s="24" t="str">
        <x:v>tabela_rodenstock.pdf</x:v>
      </x:c>
      <x:c r="Y834" s="24" t="str">
        <x:v>alta</x:v>
      </x:c>
      <x:c r="Z834" s="24"/>
      <x:c r="AA834" s="24" t="str">
        <x:v>Rodenstock|Progressiva ILT|Surfaçada|Impression EyeLT 2||1.74|1.74|Solitaire Protect Plus|-18 a +13|até -6||75/80|||19</x:v>
      </x:c>
    </x:row>
    <x:row r="835">
      <x:c r="A835" s="24" t="str">
        <x:v>RD-CF5C72B52D11</x:v>
      </x:c>
      <x:c r="B835" s="24" t="str">
        <x:v>SIM</x:v>
      </x:c>
      <x:c r="C835" s="24" t="str">
        <x:v>DISPONÍVEL</x:v>
      </x:c>
      <x:c r="D835" s="24" t="str">
        <x:v>Rodenstock</x:v>
      </x:c>
      <x:c r="E835" s="24" t="str">
        <x:v>Progressiva ILT</x:v>
      </x:c>
      <x:c r="F835" s="24" t="str">
        <x:v>Surfaçada</x:v>
      </x:c>
      <x:c r="G835" s="24" t="str">
        <x:v>Impression EyeLT 2</x:v>
      </x:c>
      <x:c r="H835" s="24"/>
      <x:c r="I835" s="24" t="str">
        <x:v>1.74</x:v>
      </x:c>
      <x:c r="J835" s="24" t="str">
        <x:v>1.74</x:v>
      </x:c>
      <x:c r="K835" s="24" t="str">
        <x:v>Solitaire Protect</x:v>
      </x:c>
      <x:c r="L835" s="40" t="n">
        <x:v>14852</x:v>
      </x:c>
      <x:c r="M835" s="24" t="str">
        <x:v>-18 a +13</x:v>
      </x:c>
      <x:c r="N835" s="24" t="str">
        <x:v>até -6</x:v>
      </x:c>
      <x:c r="O835" s="24"/>
      <x:c r="P835" s="24" t="str">
        <x:v>75/80</x:v>
      </x:c>
      <x:c r="Q835" s="24"/>
      <x:c r="R835" s="24"/>
      <x:c r="S835" s="26" t="n">
        <x:v>46024</x:v>
      </x:c>
      <x:c r="T835" s="26"/>
      <x:c r="U835" s="24" t="str">
        <x:v>ATIVA/SEM FIM INFORMADO</x:v>
      </x:c>
      <x:c r="V835" s="24"/>
      <x:c r="W835" s="24" t="n">
        <x:v>19</x:v>
      </x:c>
      <x:c r="X835" s="24" t="str">
        <x:v>tabela_rodenstock.pdf</x:v>
      </x:c>
      <x:c r="Y835" s="24" t="str">
        <x:v>alta</x:v>
      </x:c>
      <x:c r="Z835" s="24"/>
      <x:c r="AA835" s="24" t="str">
        <x:v>Rodenstock|Progressiva ILT|Surfaçada|Impression EyeLT 2||1.74|1.74|Solitaire Protect|-18 a +13|até -6||75/80|||19</x:v>
      </x:c>
    </x:row>
    <x:row r="836">
      <x:c r="A836" s="24" t="str">
        <x:v>RD-6935F9DD1585</x:v>
      </x:c>
      <x:c r="B836" s="24" t="str">
        <x:v>SIM</x:v>
      </x:c>
      <x:c r="C836" s="24" t="str">
        <x:v>DISPONÍVEL</x:v>
      </x:c>
      <x:c r="D836" s="24" t="str">
        <x:v>Rodenstock</x:v>
      </x:c>
      <x:c r="E836" s="24" t="str">
        <x:v>Progressiva ILT</x:v>
      </x:c>
      <x:c r="F836" s="24" t="str">
        <x:v>Surfaçada</x:v>
      </x:c>
      <x:c r="G836" s="24" t="str">
        <x:v>Multigressiv MyView 2</x:v>
      </x:c>
      <x:c r="H836" s="24"/>
      <x:c r="I836" s="24" t="str">
        <x:v>1.5</x:v>
      </x:c>
      <x:c r="J836" s="24" t="str">
        <x:v>1.50</x:v>
      </x:c>
      <x:c r="K836" s="24" t="str">
        <x:v>Solitaire X-tra Clean</x:v>
      </x:c>
      <x:c r="L836" s="40" t="n">
        <x:v>7002</x:v>
      </x:c>
      <x:c r="M836" s="24" t="str">
        <x:v>-8 a +8</x:v>
      </x:c>
      <x:c r="N836" s="24" t="str">
        <x:v>até -6</x:v>
      </x:c>
      <x:c r="O836" s="24"/>
      <x:c r="P836" s="24" t="str">
        <x:v>75/80</x:v>
      </x:c>
      <x:c r="Q836" s="24"/>
      <x:c r="R836" s="24"/>
      <x:c r="S836" s="26" t="n">
        <x:v>46024</x:v>
      </x:c>
      <x:c r="T836" s="26"/>
      <x:c r="U836" s="24" t="str">
        <x:v>ATIVA/SEM FIM INFORMADO</x:v>
      </x:c>
      <x:c r="V836" s="24"/>
      <x:c r="W836" s="24" t="n">
        <x:v>19</x:v>
      </x:c>
      <x:c r="X836" s="24" t="str">
        <x:v>tabela_rodenstock.pdf</x:v>
      </x:c>
      <x:c r="Y836" s="24" t="str">
        <x:v>alta</x:v>
      </x:c>
      <x:c r="Z836" s="24"/>
      <x:c r="AA836" s="24" t="str">
        <x:v>Rodenstock|Progressiva ILT|Surfaçada|Multigressiv MyView 2||1.5|1.50|Solitaire X-tra Clean|-8 a +8|até -6||75/80|||19</x:v>
      </x:c>
    </x:row>
    <x:row r="837">
      <x:c r="A837" s="24" t="str">
        <x:v>RD-90DABAA219D0</x:v>
      </x:c>
      <x:c r="B837" s="24" t="str">
        <x:v>SIM</x:v>
      </x:c>
      <x:c r="C837" s="24" t="str">
        <x:v>DISPONÍVEL</x:v>
      </x:c>
      <x:c r="D837" s="24" t="str">
        <x:v>Rodenstock</x:v>
      </x:c>
      <x:c r="E837" s="24" t="str">
        <x:v>Progressiva ILT</x:v>
      </x:c>
      <x:c r="F837" s="24" t="str">
        <x:v>Surfaçada</x:v>
      </x:c>
      <x:c r="G837" s="24" t="str">
        <x:v>Multigressiv MyView 2</x:v>
      </x:c>
      <x:c r="H837" s="24"/>
      <x:c r="I837" s="24" t="str">
        <x:v>1.5</x:v>
      </x:c>
      <x:c r="J837" s="24" t="str">
        <x:v>1.50</x:v>
      </x:c>
      <x:c r="K837" s="24" t="str">
        <x:v>Solitaire 2 Protect Balance</x:v>
      </x:c>
      <x:c r="L837" s="40" t="n">
        <x:v>6952</x:v>
      </x:c>
      <x:c r="M837" s="24" t="str">
        <x:v>-8 a +8</x:v>
      </x:c>
      <x:c r="N837" s="24" t="str">
        <x:v>até -6</x:v>
      </x:c>
      <x:c r="O837" s="24"/>
      <x:c r="P837" s="24" t="str">
        <x:v>75/80</x:v>
      </x:c>
      <x:c r="Q837" s="24"/>
      <x:c r="R837" s="24"/>
      <x:c r="S837" s="26" t="n">
        <x:v>46024</x:v>
      </x:c>
      <x:c r="T837" s="26"/>
      <x:c r="U837" s="24" t="str">
        <x:v>ATIVA/SEM FIM INFORMADO</x:v>
      </x:c>
      <x:c r="V837" s="24"/>
      <x:c r="W837" s="24" t="n">
        <x:v>19</x:v>
      </x:c>
      <x:c r="X837" s="24" t="str">
        <x:v>tabela_rodenstock.pdf</x:v>
      </x:c>
      <x:c r="Y837" s="24" t="str">
        <x:v>alta</x:v>
      </x:c>
      <x:c r="Z837" s="24"/>
      <x:c r="AA837" s="24" t="str">
        <x:v>Rodenstock|Progressiva ILT|Surfaçada|Multigressiv MyView 2||1.5|1.50|Solitaire 2 Protect Balance|-8 a +8|até -6||75/80|||19</x:v>
      </x:c>
    </x:row>
    <x:row r="838">
      <x:c r="A838" s="24" t="str">
        <x:v>RD-E3D546248E3F</x:v>
      </x:c>
      <x:c r="B838" s="24" t="str">
        <x:v>SIM</x:v>
      </x:c>
      <x:c r="C838" s="24" t="str">
        <x:v>DISPONÍVEL</x:v>
      </x:c>
      <x:c r="D838" s="24" t="str">
        <x:v>Rodenstock</x:v>
      </x:c>
      <x:c r="E838" s="24" t="str">
        <x:v>Progressiva ILT</x:v>
      </x:c>
      <x:c r="F838" s="24" t="str">
        <x:v>Surfaçada</x:v>
      </x:c>
      <x:c r="G838" s="24" t="str">
        <x:v>Multigressiv MyView 2</x:v>
      </x:c>
      <x:c r="H838" s="24"/>
      <x:c r="I838" s="24" t="str">
        <x:v>1.5</x:v>
      </x:c>
      <x:c r="J838" s="24" t="str">
        <x:v>1.50</x:v>
      </x:c>
      <x:c r="K838" s="24" t="str">
        <x:v>Solitaire Protect Plus</x:v>
      </x:c>
      <x:c r="L838" s="40" t="n">
        <x:v>6952</x:v>
      </x:c>
      <x:c r="M838" s="24" t="str">
        <x:v>-8 a +8</x:v>
      </x:c>
      <x:c r="N838" s="24" t="str">
        <x:v>até -6</x:v>
      </x:c>
      <x:c r="O838" s="24"/>
      <x:c r="P838" s="24" t="str">
        <x:v>75/80</x:v>
      </x:c>
      <x:c r="Q838" s="24"/>
      <x:c r="R838" s="24"/>
      <x:c r="S838" s="26" t="n">
        <x:v>46024</x:v>
      </x:c>
      <x:c r="T838" s="26"/>
      <x:c r="U838" s="24" t="str">
        <x:v>ATIVA/SEM FIM INFORMADO</x:v>
      </x:c>
      <x:c r="V838" s="24"/>
      <x:c r="W838" s="24" t="n">
        <x:v>19</x:v>
      </x:c>
      <x:c r="X838" s="24" t="str">
        <x:v>tabela_rodenstock.pdf</x:v>
      </x:c>
      <x:c r="Y838" s="24" t="str">
        <x:v>alta</x:v>
      </x:c>
      <x:c r="Z838" s="24"/>
      <x:c r="AA838" s="24" t="str">
        <x:v>Rodenstock|Progressiva ILT|Surfaçada|Multigressiv MyView 2||1.5|1.50|Solitaire Protect Plus|-8 a +8|até -6||75/80|||19</x:v>
      </x:c>
    </x:row>
    <x:row r="839">
      <x:c r="A839" s="24" t="str">
        <x:v>RD-FFEC36FAB661</x:v>
      </x:c>
      <x:c r="B839" s="24" t="str">
        <x:v>SIM</x:v>
      </x:c>
      <x:c r="C839" s="24" t="str">
        <x:v>DISPONÍVEL</x:v>
      </x:c>
      <x:c r="D839" s="24" t="str">
        <x:v>Rodenstock</x:v>
      </x:c>
      <x:c r="E839" s="24" t="str">
        <x:v>Progressiva ILT</x:v>
      </x:c>
      <x:c r="F839" s="24" t="str">
        <x:v>Surfaçada</x:v>
      </x:c>
      <x:c r="G839" s="24" t="str">
        <x:v>Multigressiv MyView 2</x:v>
      </x:c>
      <x:c r="H839" s="24"/>
      <x:c r="I839" s="24" t="str">
        <x:v>1.5</x:v>
      </x:c>
      <x:c r="J839" s="24" t="str">
        <x:v>1.50</x:v>
      </x:c>
      <x:c r="K839" s="24" t="str">
        <x:v>ROAD</x:v>
      </x:c>
      <x:c r="L839" s="40" t="n">
        <x:v>6952</x:v>
      </x:c>
      <x:c r="M839" s="24" t="str">
        <x:v>-8 a +8</x:v>
      </x:c>
      <x:c r="N839" s="24" t="str">
        <x:v>até -6</x:v>
      </x:c>
      <x:c r="O839" s="24"/>
      <x:c r="P839" s="24" t="str">
        <x:v>75/80</x:v>
      </x:c>
      <x:c r="Q839" s="24"/>
      <x:c r="R839" s="24"/>
      <x:c r="S839" s="26" t="n">
        <x:v>46024</x:v>
      </x:c>
      <x:c r="T839" s="26"/>
      <x:c r="U839" s="24" t="str">
        <x:v>ATIVA/SEM FIM INFORMADO</x:v>
      </x:c>
      <x:c r="V839" s="24"/>
      <x:c r="W839" s="24" t="n">
        <x:v>19</x:v>
      </x:c>
      <x:c r="X839" s="24" t="str">
        <x:v>tabela_rodenstock.pdf</x:v>
      </x:c>
      <x:c r="Y839" s="24" t="str">
        <x:v>alta</x:v>
      </x:c>
      <x:c r="Z839" s="24"/>
      <x:c r="AA839" s="24" t="str">
        <x:v>Rodenstock|Progressiva ILT|Surfaçada|Multigressiv MyView 2||1.5|1.50|ROAD|-8 a +8|até -6||75/80|||19</x:v>
      </x:c>
    </x:row>
    <x:row r="840">
      <x:c r="A840" s="24" t="str">
        <x:v>RD-7CBCF0CA3137</x:v>
      </x:c>
      <x:c r="B840" s="24" t="str">
        <x:v>SIM</x:v>
      </x:c>
      <x:c r="C840" s="24" t="str">
        <x:v>DISPONÍVEL</x:v>
      </x:c>
      <x:c r="D840" s="24" t="str">
        <x:v>Rodenstock</x:v>
      </x:c>
      <x:c r="E840" s="24" t="str">
        <x:v>Progressiva ILT</x:v>
      </x:c>
      <x:c r="F840" s="24" t="str">
        <x:v>Surfaçada</x:v>
      </x:c>
      <x:c r="G840" s="24" t="str">
        <x:v>Multigressiv MyView 2</x:v>
      </x:c>
      <x:c r="H840" s="24"/>
      <x:c r="I840" s="24" t="str">
        <x:v>1.5</x:v>
      </x:c>
      <x:c r="J840" s="24" t="str">
        <x:v>1.50</x:v>
      </x:c>
      <x:c r="K840" s="24" t="str">
        <x:v>Solitaire Protect</x:v>
      </x:c>
      <x:c r="L840" s="40" t="n">
        <x:v>6692</x:v>
      </x:c>
      <x:c r="M840" s="24" t="str">
        <x:v>-8 a +8</x:v>
      </x:c>
      <x:c r="N840" s="24" t="str">
        <x:v>até -6</x:v>
      </x:c>
      <x:c r="O840" s="24"/>
      <x:c r="P840" s="24" t="str">
        <x:v>75/80</x:v>
      </x:c>
      <x:c r="Q840" s="24"/>
      <x:c r="R840" s="24"/>
      <x:c r="S840" s="26" t="n">
        <x:v>46024</x:v>
      </x:c>
      <x:c r="T840" s="26"/>
      <x:c r="U840" s="24" t="str">
        <x:v>ATIVA/SEM FIM INFORMADO</x:v>
      </x:c>
      <x:c r="V840" s="24"/>
      <x:c r="W840" s="24" t="n">
        <x:v>19</x:v>
      </x:c>
      <x:c r="X840" s="24" t="str">
        <x:v>tabela_rodenstock.pdf</x:v>
      </x:c>
      <x:c r="Y840" s="24" t="str">
        <x:v>alta</x:v>
      </x:c>
      <x:c r="Z840" s="24"/>
      <x:c r="AA840" s="24" t="str">
        <x:v>Rodenstock|Progressiva ILT|Surfaçada|Multigressiv MyView 2||1.5|1.50|Solitaire Protect|-8 a +8|até -6||75/80|||19</x:v>
      </x:c>
    </x:row>
    <x:row r="841">
      <x:c r="A841" s="24" t="str">
        <x:v>RD-54EBEDC158DA</x:v>
      </x:c>
      <x:c r="B841" s="24" t="str">
        <x:v>SIM</x:v>
      </x:c>
      <x:c r="C841" s="24" t="str">
        <x:v>DISPONÍVEL</x:v>
      </x:c>
      <x:c r="D841" s="24" t="str">
        <x:v>Rodenstock</x:v>
      </x:c>
      <x:c r="E841" s="24" t="str">
        <x:v>Progressiva ILT</x:v>
      </x:c>
      <x:c r="F841" s="24" t="str">
        <x:v>Surfaçada</x:v>
      </x:c>
      <x:c r="G841" s="24" t="str">
        <x:v>Multigressiv MyView 2</x:v>
      </x:c>
      <x:c r="H841" s="24" t="str">
        <x:v>Polarizada</x:v>
      </x:c>
      <x:c r="I841" s="24" t="str">
        <x:v>1.5</x:v>
      </x:c>
      <x:c r="J841" s="24" t="str">
        <x:v>1.50</x:v>
      </x:c>
      <x:c r="K841" s="24" t="str">
        <x:v>Solitaire X-tra Clean</x:v>
      </x:c>
      <x:c r="L841" s="40" t="n">
        <x:v>8119</x:v>
      </x:c>
      <x:c r="M841" s="24" t="str">
        <x:v>-6 a +6</x:v>
      </x:c>
      <x:c r="N841" s="24" t="str">
        <x:v>até -6</x:v>
      </x:c>
      <x:c r="O841" s="24"/>
      <x:c r="P841" s="24" t="str">
        <x:v>75/80</x:v>
      </x:c>
      <x:c r="Q841" s="24"/>
      <x:c r="R841" s="24"/>
      <x:c r="S841" s="26" t="n">
        <x:v>46024</x:v>
      </x:c>
      <x:c r="T841" s="26"/>
      <x:c r="U841" s="24" t="str">
        <x:v>ATIVA/SEM FIM INFORMADO</x:v>
      </x:c>
      <x:c r="V841" s="24"/>
      <x:c r="W841" s="24" t="n">
        <x:v>19</x:v>
      </x:c>
      <x:c r="X841" s="24" t="str">
        <x:v>tabela_rodenstock.pdf</x:v>
      </x:c>
      <x:c r="Y841" s="24" t="str">
        <x:v>alta</x:v>
      </x:c>
      <x:c r="Z841" s="24"/>
      <x:c r="AA841" s="24" t="str">
        <x:v>Rodenstock|Progressiva ILT|Surfaçada|Multigressiv MyView 2|Polarizada|1.5|1.50|Solitaire X-tra Clean|-6 a +6|até -6||75/80|||19</x:v>
      </x:c>
    </x:row>
    <x:row r="842">
      <x:c r="A842" s="24" t="str">
        <x:v>RD-2C99FA5681EA</x:v>
      </x:c>
      <x:c r="B842" s="24" t="str">
        <x:v>SIM</x:v>
      </x:c>
      <x:c r="C842" s="24" t="str">
        <x:v>DISPONÍVEL</x:v>
      </x:c>
      <x:c r="D842" s="24" t="str">
        <x:v>Rodenstock</x:v>
      </x:c>
      <x:c r="E842" s="24" t="str">
        <x:v>Progressiva ILT</x:v>
      </x:c>
      <x:c r="F842" s="24" t="str">
        <x:v>Surfaçada</x:v>
      </x:c>
      <x:c r="G842" s="24" t="str">
        <x:v>Multigressiv MyView 2</x:v>
      </x:c>
      <x:c r="H842" s="24" t="str">
        <x:v>Polarizada</x:v>
      </x:c>
      <x:c r="I842" s="24" t="str">
        <x:v>1.5</x:v>
      </x:c>
      <x:c r="J842" s="24" t="str">
        <x:v>1.50</x:v>
      </x:c>
      <x:c r="K842" s="24" t="str">
        <x:v>Solitaire 2 Protect Balance</x:v>
      </x:c>
      <x:c r="L842" s="40" t="n">
        <x:v>8069</x:v>
      </x:c>
      <x:c r="M842" s="24" t="str">
        <x:v>-6 a +6</x:v>
      </x:c>
      <x:c r="N842" s="24" t="str">
        <x:v>até -6</x:v>
      </x:c>
      <x:c r="O842" s="24"/>
      <x:c r="P842" s="24" t="str">
        <x:v>75/80</x:v>
      </x:c>
      <x:c r="Q842" s="24"/>
      <x:c r="R842" s="24"/>
      <x:c r="S842" s="26" t="n">
        <x:v>46024</x:v>
      </x:c>
      <x:c r="T842" s="26"/>
      <x:c r="U842" s="24" t="str">
        <x:v>ATIVA/SEM FIM INFORMADO</x:v>
      </x:c>
      <x:c r="V842" s="24"/>
      <x:c r="W842" s="24" t="n">
        <x:v>19</x:v>
      </x:c>
      <x:c r="X842" s="24" t="str">
        <x:v>tabela_rodenstock.pdf</x:v>
      </x:c>
      <x:c r="Y842" s="24" t="str">
        <x:v>alta</x:v>
      </x:c>
      <x:c r="Z842" s="24"/>
      <x:c r="AA842" s="24" t="str">
        <x:v>Rodenstock|Progressiva ILT|Surfaçada|Multigressiv MyView 2|Polarizada|1.5|1.50|Solitaire 2 Protect Balance|-6 a +6|até -6||75/80|||19</x:v>
      </x:c>
    </x:row>
    <x:row r="843">
      <x:c r="A843" s="24" t="str">
        <x:v>RD-161DBF5B2054</x:v>
      </x:c>
      <x:c r="B843" s="24" t="str">
        <x:v>SIM</x:v>
      </x:c>
      <x:c r="C843" s="24" t="str">
        <x:v>DISPONÍVEL</x:v>
      </x:c>
      <x:c r="D843" s="24" t="str">
        <x:v>Rodenstock</x:v>
      </x:c>
      <x:c r="E843" s="24" t="str">
        <x:v>Progressiva ILT</x:v>
      </x:c>
      <x:c r="F843" s="24" t="str">
        <x:v>Surfaçada</x:v>
      </x:c>
      <x:c r="G843" s="24" t="str">
        <x:v>Multigressiv MyView 2</x:v>
      </x:c>
      <x:c r="H843" s="24" t="str">
        <x:v>Polarizada</x:v>
      </x:c>
      <x:c r="I843" s="24" t="str">
        <x:v>1.5</x:v>
      </x:c>
      <x:c r="J843" s="24" t="str">
        <x:v>1.50</x:v>
      </x:c>
      <x:c r="K843" s="24" t="str">
        <x:v>Solitaire Protect Plus</x:v>
      </x:c>
      <x:c r="L843" s="40" t="n">
        <x:v>8069</x:v>
      </x:c>
      <x:c r="M843" s="24" t="str">
        <x:v>-6 a +6</x:v>
      </x:c>
      <x:c r="N843" s="24" t="str">
        <x:v>até -6</x:v>
      </x:c>
      <x:c r="O843" s="24"/>
      <x:c r="P843" s="24" t="str">
        <x:v>75/80</x:v>
      </x:c>
      <x:c r="Q843" s="24"/>
      <x:c r="R843" s="24"/>
      <x:c r="S843" s="26" t="n">
        <x:v>46024</x:v>
      </x:c>
      <x:c r="T843" s="26"/>
      <x:c r="U843" s="24" t="str">
        <x:v>ATIVA/SEM FIM INFORMADO</x:v>
      </x:c>
      <x:c r="V843" s="24"/>
      <x:c r="W843" s="24" t="n">
        <x:v>19</x:v>
      </x:c>
      <x:c r="X843" s="24" t="str">
        <x:v>tabela_rodenstock.pdf</x:v>
      </x:c>
      <x:c r="Y843" s="24" t="str">
        <x:v>alta</x:v>
      </x:c>
      <x:c r="Z843" s="24"/>
      <x:c r="AA843" s="24" t="str">
        <x:v>Rodenstock|Progressiva ILT|Surfaçada|Multigressiv MyView 2|Polarizada|1.5|1.50|Solitaire Protect Plus|-6 a +6|até -6||75/80|||19</x:v>
      </x:c>
    </x:row>
    <x:row r="844">
      <x:c r="A844" s="24" t="str">
        <x:v>RD-07F5895CD69A</x:v>
      </x:c>
      <x:c r="B844" s="24" t="str">
        <x:v>SIM</x:v>
      </x:c>
      <x:c r="C844" s="24" t="str">
        <x:v>DISPONÍVEL</x:v>
      </x:c>
      <x:c r="D844" s="24" t="str">
        <x:v>Rodenstock</x:v>
      </x:c>
      <x:c r="E844" s="24" t="str">
        <x:v>Progressiva ILT</x:v>
      </x:c>
      <x:c r="F844" s="24" t="str">
        <x:v>Surfaçada</x:v>
      </x:c>
      <x:c r="G844" s="24" t="str">
        <x:v>Multigressiv MyView 2</x:v>
      </x:c>
      <x:c r="H844" s="24" t="str">
        <x:v>Polarizada</x:v>
      </x:c>
      <x:c r="I844" s="24" t="str">
        <x:v>1.5</x:v>
      </x:c>
      <x:c r="J844" s="24" t="str">
        <x:v>1.50</x:v>
      </x:c>
      <x:c r="K844" s="24" t="str">
        <x:v>ROAD</x:v>
      </x:c>
      <x:c r="L844" s="40" t="n">
        <x:v>8069</x:v>
      </x:c>
      <x:c r="M844" s="24" t="str">
        <x:v>-6 a +6</x:v>
      </x:c>
      <x:c r="N844" s="24" t="str">
        <x:v>até -6</x:v>
      </x:c>
      <x:c r="O844" s="24"/>
      <x:c r="P844" s="24" t="str">
        <x:v>75/80</x:v>
      </x:c>
      <x:c r="Q844" s="24"/>
      <x:c r="R844" s="24"/>
      <x:c r="S844" s="26" t="n">
        <x:v>46024</x:v>
      </x:c>
      <x:c r="T844" s="26"/>
      <x:c r="U844" s="24" t="str">
        <x:v>ATIVA/SEM FIM INFORMADO</x:v>
      </x:c>
      <x:c r="V844" s="24"/>
      <x:c r="W844" s="24" t="n">
        <x:v>19</x:v>
      </x:c>
      <x:c r="X844" s="24" t="str">
        <x:v>tabela_rodenstock.pdf</x:v>
      </x:c>
      <x:c r="Y844" s="24" t="str">
        <x:v>alta</x:v>
      </x:c>
      <x:c r="Z844" s="24"/>
      <x:c r="AA844" s="24" t="str">
        <x:v>Rodenstock|Progressiva ILT|Surfaçada|Multigressiv MyView 2|Polarizada|1.5|1.50|ROAD|-6 a +6|até -6||75/80|||19</x:v>
      </x:c>
    </x:row>
    <x:row r="845">
      <x:c r="A845" s="24" t="str">
        <x:v>RD-6E724E6740D8</x:v>
      </x:c>
      <x:c r="B845" s="24" t="str">
        <x:v>SIM</x:v>
      </x:c>
      <x:c r="C845" s="24" t="str">
        <x:v>DISPONÍVEL</x:v>
      </x:c>
      <x:c r="D845" s="24" t="str">
        <x:v>Rodenstock</x:v>
      </x:c>
      <x:c r="E845" s="24" t="str">
        <x:v>Progressiva ILT</x:v>
      </x:c>
      <x:c r="F845" s="24" t="str">
        <x:v>Surfaçada</x:v>
      </x:c>
      <x:c r="G845" s="24" t="str">
        <x:v>Multigressiv MyView 2</x:v>
      </x:c>
      <x:c r="H845" s="24" t="str">
        <x:v>Polarizada</x:v>
      </x:c>
      <x:c r="I845" s="24" t="str">
        <x:v>1.5</x:v>
      </x:c>
      <x:c r="J845" s="24" t="str">
        <x:v>1.50</x:v>
      </x:c>
      <x:c r="K845" s="24" t="str">
        <x:v>Solitaire Protect</x:v>
      </x:c>
      <x:c r="L845" s="40" t="n">
        <x:v>7809</x:v>
      </x:c>
      <x:c r="M845" s="24" t="str">
        <x:v>-6 a +6</x:v>
      </x:c>
      <x:c r="N845" s="24" t="str">
        <x:v>até -6</x:v>
      </x:c>
      <x:c r="O845" s="24"/>
      <x:c r="P845" s="24" t="str">
        <x:v>75/80</x:v>
      </x:c>
      <x:c r="Q845" s="24"/>
      <x:c r="R845" s="24"/>
      <x:c r="S845" s="26" t="n">
        <x:v>46024</x:v>
      </x:c>
      <x:c r="T845" s="26"/>
      <x:c r="U845" s="24" t="str">
        <x:v>ATIVA/SEM FIM INFORMADO</x:v>
      </x:c>
      <x:c r="V845" s="24"/>
      <x:c r="W845" s="24" t="n">
        <x:v>19</x:v>
      </x:c>
      <x:c r="X845" s="24" t="str">
        <x:v>tabela_rodenstock.pdf</x:v>
      </x:c>
      <x:c r="Y845" s="24" t="str">
        <x:v>alta</x:v>
      </x:c>
      <x:c r="Z845" s="24"/>
      <x:c r="AA845" s="24" t="str">
        <x:v>Rodenstock|Progressiva ILT|Surfaçada|Multigressiv MyView 2|Polarizada|1.5|1.50|Solitaire Protect|-6 a +6|até -6||75/80|||19</x:v>
      </x:c>
    </x:row>
    <x:row r="846">
      <x:c r="A846" s="24" t="str">
        <x:v>RD-3D34B740F482</x:v>
      </x:c>
      <x:c r="B846" s="24" t="str">
        <x:v>SIM</x:v>
      </x:c>
      <x:c r="C846" s="24" t="str">
        <x:v>DISPONÍVEL</x:v>
      </x:c>
      <x:c r="D846" s="24" t="str">
        <x:v>Rodenstock</x:v>
      </x:c>
      <x:c r="E846" s="24" t="str">
        <x:v>Progressiva ILT</x:v>
      </x:c>
      <x:c r="F846" s="24" t="str">
        <x:v>Surfaçada</x:v>
      </x:c>
      <x:c r="G846" s="24" t="str">
        <x:v>Multigressiv MyView 2</x:v>
      </x:c>
      <x:c r="H846" s="24" t="str">
        <x:v>ColorMatic® 3</x:v>
      </x:c>
      <x:c r="I846" s="24" t="str">
        <x:v>1.54</x:v>
      </x:c>
      <x:c r="J846" s="24" t="str">
        <x:v>1.54</x:v>
      </x:c>
      <x:c r="K846" s="24" t="str">
        <x:v>Solitaire X-tra Clean</x:v>
      </x:c>
      <x:c r="L846" s="40" t="n">
        <x:v>8502</x:v>
      </x:c>
      <x:c r="M846" s="24" t="str">
        <x:v>-8 a +8</x:v>
      </x:c>
      <x:c r="N846" s="24" t="str">
        <x:v>até -6</x:v>
      </x:c>
      <x:c r="O846" s="24"/>
      <x:c r="P846" s="24" t="str">
        <x:v>75/80</x:v>
      </x:c>
      <x:c r="Q846" s="24"/>
      <x:c r="R846" s="24"/>
      <x:c r="S846" s="26" t="n">
        <x:v>46024</x:v>
      </x:c>
      <x:c r="T846" s="26"/>
      <x:c r="U846" s="24" t="str">
        <x:v>ATIVA/SEM FIM INFORMADO</x:v>
      </x:c>
      <x:c r="V846" s="24"/>
      <x:c r="W846" s="24" t="n">
        <x:v>19</x:v>
      </x:c>
      <x:c r="X846" s="24" t="str">
        <x:v>tabela_rodenstock.pdf</x:v>
      </x:c>
      <x:c r="Y846" s="24" t="str">
        <x:v>alta</x:v>
      </x:c>
      <x:c r="Z846" s="24"/>
      <x:c r="AA846" s="24" t="str">
        <x:v>Rodenstock|Progressiva ILT|Surfaçada|Multigressiv MyView 2|ColorMatic® 3|1.54|1.54|Solitaire X-tra Clean|-8 a +8|até -6||75/80|||19</x:v>
      </x:c>
    </x:row>
    <x:row r="847">
      <x:c r="A847" s="24" t="str">
        <x:v>RD-E55A8583C8AA</x:v>
      </x:c>
      <x:c r="B847" s="24" t="str">
        <x:v>SIM</x:v>
      </x:c>
      <x:c r="C847" s="24" t="str">
        <x:v>DISPONÍVEL</x:v>
      </x:c>
      <x:c r="D847" s="24" t="str">
        <x:v>Rodenstock</x:v>
      </x:c>
      <x:c r="E847" s="24" t="str">
        <x:v>Progressiva ILT</x:v>
      </x:c>
      <x:c r="F847" s="24" t="str">
        <x:v>Surfaçada</x:v>
      </x:c>
      <x:c r="G847" s="24" t="str">
        <x:v>Multigressiv MyView 2</x:v>
      </x:c>
      <x:c r="H847" s="24" t="str">
        <x:v>ColorMatic® 3</x:v>
      </x:c>
      <x:c r="I847" s="24" t="str">
        <x:v>1.54</x:v>
      </x:c>
      <x:c r="J847" s="24" t="str">
        <x:v>1.54</x:v>
      </x:c>
      <x:c r="K847" s="24" t="str">
        <x:v>Solitaire 2 Protect Balance</x:v>
      </x:c>
      <x:c r="L847" s="40" t="n">
        <x:v>8452</x:v>
      </x:c>
      <x:c r="M847" s="24" t="str">
        <x:v>-8 a +8</x:v>
      </x:c>
      <x:c r="N847" s="24" t="str">
        <x:v>até -6</x:v>
      </x:c>
      <x:c r="O847" s="24"/>
      <x:c r="P847" s="24" t="str">
        <x:v>75/80</x:v>
      </x:c>
      <x:c r="Q847" s="24"/>
      <x:c r="R847" s="24"/>
      <x:c r="S847" s="26" t="n">
        <x:v>46024</x:v>
      </x:c>
      <x:c r="T847" s="26"/>
      <x:c r="U847" s="24" t="str">
        <x:v>ATIVA/SEM FIM INFORMADO</x:v>
      </x:c>
      <x:c r="V847" s="24"/>
      <x:c r="W847" s="24" t="n">
        <x:v>19</x:v>
      </x:c>
      <x:c r="X847" s="24" t="str">
        <x:v>tabela_rodenstock.pdf</x:v>
      </x:c>
      <x:c r="Y847" s="24" t="str">
        <x:v>alta</x:v>
      </x:c>
      <x:c r="Z847" s="24"/>
      <x:c r="AA847" s="24" t="str">
        <x:v>Rodenstock|Progressiva ILT|Surfaçada|Multigressiv MyView 2|ColorMatic® 3|1.54|1.54|Solitaire 2 Protect Balance|-8 a +8|até -6||75/80|||19</x:v>
      </x:c>
    </x:row>
    <x:row r="848">
      <x:c r="A848" s="24" t="str">
        <x:v>RD-57E9623BA0CC</x:v>
      </x:c>
      <x:c r="B848" s="24" t="str">
        <x:v>SIM</x:v>
      </x:c>
      <x:c r="C848" s="24" t="str">
        <x:v>DISPONÍVEL</x:v>
      </x:c>
      <x:c r="D848" s="24" t="str">
        <x:v>Rodenstock</x:v>
      </x:c>
      <x:c r="E848" s="24" t="str">
        <x:v>Progressiva ILT</x:v>
      </x:c>
      <x:c r="F848" s="24" t="str">
        <x:v>Surfaçada</x:v>
      </x:c>
      <x:c r="G848" s="24" t="str">
        <x:v>Multigressiv MyView 2</x:v>
      </x:c>
      <x:c r="H848" s="24" t="str">
        <x:v>ColorMatic® 3</x:v>
      </x:c>
      <x:c r="I848" s="24" t="str">
        <x:v>1.54</x:v>
      </x:c>
      <x:c r="J848" s="24" t="str">
        <x:v>1.54</x:v>
      </x:c>
      <x:c r="K848" s="24" t="str">
        <x:v>Solitaire Protect Plus</x:v>
      </x:c>
      <x:c r="L848" s="40" t="n">
        <x:v>8452</x:v>
      </x:c>
      <x:c r="M848" s="24" t="str">
        <x:v>-8 a +8</x:v>
      </x:c>
      <x:c r="N848" s="24" t="str">
        <x:v>até -6</x:v>
      </x:c>
      <x:c r="O848" s="24"/>
      <x:c r="P848" s="24" t="str">
        <x:v>75/80</x:v>
      </x:c>
      <x:c r="Q848" s="24"/>
      <x:c r="R848" s="24"/>
      <x:c r="S848" s="26" t="n">
        <x:v>46024</x:v>
      </x:c>
      <x:c r="T848" s="26"/>
      <x:c r="U848" s="24" t="str">
        <x:v>ATIVA/SEM FIM INFORMADO</x:v>
      </x:c>
      <x:c r="V848" s="24"/>
      <x:c r="W848" s="24" t="n">
        <x:v>19</x:v>
      </x:c>
      <x:c r="X848" s="24" t="str">
        <x:v>tabela_rodenstock.pdf</x:v>
      </x:c>
      <x:c r="Y848" s="24" t="str">
        <x:v>alta</x:v>
      </x:c>
      <x:c r="Z848" s="24"/>
      <x:c r="AA848" s="24" t="str">
        <x:v>Rodenstock|Progressiva ILT|Surfaçada|Multigressiv MyView 2|ColorMatic® 3|1.54|1.54|Solitaire Protect Plus|-8 a +8|até -6||75/80|||19</x:v>
      </x:c>
    </x:row>
    <x:row r="849">
      <x:c r="A849" s="24" t="str">
        <x:v>RD-9FC6CB5160A5</x:v>
      </x:c>
      <x:c r="B849" s="24" t="str">
        <x:v>SIM</x:v>
      </x:c>
      <x:c r="C849" s="24" t="str">
        <x:v>DISPONÍVEL</x:v>
      </x:c>
      <x:c r="D849" s="24" t="str">
        <x:v>Rodenstock</x:v>
      </x:c>
      <x:c r="E849" s="24" t="str">
        <x:v>Progressiva ILT</x:v>
      </x:c>
      <x:c r="F849" s="24" t="str">
        <x:v>Surfaçada</x:v>
      </x:c>
      <x:c r="G849" s="24" t="str">
        <x:v>Multigressiv MyView 2</x:v>
      </x:c>
      <x:c r="H849" s="24" t="str">
        <x:v>ColorMatic® 3</x:v>
      </x:c>
      <x:c r="I849" s="24" t="str">
        <x:v>1.54</x:v>
      </x:c>
      <x:c r="J849" s="24" t="str">
        <x:v>1.54</x:v>
      </x:c>
      <x:c r="K849" s="24" t="str">
        <x:v>ROAD</x:v>
      </x:c>
      <x:c r="L849" s="40" t="n">
        <x:v>8452</x:v>
      </x:c>
      <x:c r="M849" s="24" t="str">
        <x:v>-8 a +8</x:v>
      </x:c>
      <x:c r="N849" s="24" t="str">
        <x:v>até -6</x:v>
      </x:c>
      <x:c r="O849" s="24"/>
      <x:c r="P849" s="24" t="str">
        <x:v>75/80</x:v>
      </x:c>
      <x:c r="Q849" s="24"/>
      <x:c r="R849" s="24"/>
      <x:c r="S849" s="26" t="n">
        <x:v>46024</x:v>
      </x:c>
      <x:c r="T849" s="26"/>
      <x:c r="U849" s="24" t="str">
        <x:v>ATIVA/SEM FIM INFORMADO</x:v>
      </x:c>
      <x:c r="V849" s="24"/>
      <x:c r="W849" s="24" t="n">
        <x:v>19</x:v>
      </x:c>
      <x:c r="X849" s="24" t="str">
        <x:v>tabela_rodenstock.pdf</x:v>
      </x:c>
      <x:c r="Y849" s="24" t="str">
        <x:v>alta</x:v>
      </x:c>
      <x:c r="Z849" s="24"/>
      <x:c r="AA849" s="24" t="str">
        <x:v>Rodenstock|Progressiva ILT|Surfaçada|Multigressiv MyView 2|ColorMatic® 3|1.54|1.54|ROAD|-8 a +8|até -6||75/80|||19</x:v>
      </x:c>
    </x:row>
    <x:row r="850">
      <x:c r="A850" s="24" t="str">
        <x:v>RD-2C1FD1AEB2D9</x:v>
      </x:c>
      <x:c r="B850" s="24" t="str">
        <x:v>SIM</x:v>
      </x:c>
      <x:c r="C850" s="24" t="str">
        <x:v>DISPONÍVEL</x:v>
      </x:c>
      <x:c r="D850" s="24" t="str">
        <x:v>Rodenstock</x:v>
      </x:c>
      <x:c r="E850" s="24" t="str">
        <x:v>Progressiva ILT</x:v>
      </x:c>
      <x:c r="F850" s="24" t="str">
        <x:v>Surfaçada</x:v>
      </x:c>
      <x:c r="G850" s="24" t="str">
        <x:v>Multigressiv MyView 2</x:v>
      </x:c>
      <x:c r="H850" s="24" t="str">
        <x:v>ColorMatic® 3</x:v>
      </x:c>
      <x:c r="I850" s="24" t="str">
        <x:v>1.54</x:v>
      </x:c>
      <x:c r="J850" s="24" t="str">
        <x:v>1.54</x:v>
      </x:c>
      <x:c r="K850" s="24" t="str">
        <x:v>Solitaire Protect</x:v>
      </x:c>
      <x:c r="L850" s="40" t="n">
        <x:v>8192</x:v>
      </x:c>
      <x:c r="M850" s="24" t="str">
        <x:v>-8 a +8</x:v>
      </x:c>
      <x:c r="N850" s="24" t="str">
        <x:v>até -6</x:v>
      </x:c>
      <x:c r="O850" s="24"/>
      <x:c r="P850" s="24" t="str">
        <x:v>75/80</x:v>
      </x:c>
      <x:c r="Q850" s="24"/>
      <x:c r="R850" s="24"/>
      <x:c r="S850" s="26" t="n">
        <x:v>46024</x:v>
      </x:c>
      <x:c r="T850" s="26"/>
      <x:c r="U850" s="24" t="str">
        <x:v>ATIVA/SEM FIM INFORMADO</x:v>
      </x:c>
      <x:c r="V850" s="24"/>
      <x:c r="W850" s="24" t="n">
        <x:v>19</x:v>
      </x:c>
      <x:c r="X850" s="24" t="str">
        <x:v>tabela_rodenstock.pdf</x:v>
      </x:c>
      <x:c r="Y850" s="24" t="str">
        <x:v>alta</x:v>
      </x:c>
      <x:c r="Z850" s="24"/>
      <x:c r="AA850" s="24" t="str">
        <x:v>Rodenstock|Progressiva ILT|Surfaçada|Multigressiv MyView 2|ColorMatic® 3|1.54|1.54|Solitaire Protect|-8 a +8|até -6||75/80|||19</x:v>
      </x:c>
    </x:row>
    <x:row r="851">
      <x:c r="A851" s="24" t="str">
        <x:v>RD-9434A9166709</x:v>
      </x:c>
      <x:c r="B851" s="24" t="str">
        <x:v>SIM</x:v>
      </x:c>
      <x:c r="C851" s="24" t="str">
        <x:v>DISPONÍVEL</x:v>
      </x:c>
      <x:c r="D851" s="24" t="str">
        <x:v>Rodenstock</x:v>
      </x:c>
      <x:c r="E851" s="24" t="str">
        <x:v>Progressiva ILT</x:v>
      </x:c>
      <x:c r="F851" s="24" t="str">
        <x:v>Surfaçada</x:v>
      </x:c>
      <x:c r="G851" s="24" t="str">
        <x:v>Multigressiv MyView 2</x:v>
      </x:c>
      <x:c r="H851" s="24"/>
      <x:c r="I851" s="24" t="str">
        <x:v>1.6</x:v>
      </x:c>
      <x:c r="J851" s="24" t="str">
        <x:v>1.60</x:v>
      </x:c>
      <x:c r="K851" s="24" t="str">
        <x:v>Solitaire X-tra Clean</x:v>
      </x:c>
      <x:c r="L851" s="40" t="n">
        <x:v>8246</x:v>
      </x:c>
      <x:c r="M851" s="24" t="str">
        <x:v>-10 a +8</x:v>
      </x:c>
      <x:c r="N851" s="24" t="str">
        <x:v>até -6</x:v>
      </x:c>
      <x:c r="O851" s="24"/>
      <x:c r="P851" s="24" t="str">
        <x:v>75/80</x:v>
      </x:c>
      <x:c r="Q851" s="24"/>
      <x:c r="R851" s="24"/>
      <x:c r="S851" s="26" t="n">
        <x:v>46024</x:v>
      </x:c>
      <x:c r="T851" s="26"/>
      <x:c r="U851" s="24" t="str">
        <x:v>ATIVA/SEM FIM INFORMADO</x:v>
      </x:c>
      <x:c r="V851" s="24"/>
      <x:c r="W851" s="24" t="n">
        <x:v>19</x:v>
      </x:c>
      <x:c r="X851" s="24" t="str">
        <x:v>tabela_rodenstock.pdf</x:v>
      </x:c>
      <x:c r="Y851" s="24" t="str">
        <x:v>alta</x:v>
      </x:c>
      <x:c r="Z851" s="24"/>
      <x:c r="AA851" s="24" t="str">
        <x:v>Rodenstock|Progressiva ILT|Surfaçada|Multigressiv MyView 2||1.6|1.60|Solitaire X-tra Clean|-10 a +8|até -6||75/80|||19</x:v>
      </x:c>
    </x:row>
    <x:row r="852">
      <x:c r="A852" s="24" t="str">
        <x:v>RD-1B776991C1AB</x:v>
      </x:c>
      <x:c r="B852" s="24" t="str">
        <x:v>SIM</x:v>
      </x:c>
      <x:c r="C852" s="24" t="str">
        <x:v>DISPONÍVEL</x:v>
      </x:c>
      <x:c r="D852" s="24" t="str">
        <x:v>Rodenstock</x:v>
      </x:c>
      <x:c r="E852" s="24" t="str">
        <x:v>Progressiva ILT</x:v>
      </x:c>
      <x:c r="F852" s="24" t="str">
        <x:v>Surfaçada</x:v>
      </x:c>
      <x:c r="G852" s="24" t="str">
        <x:v>Multigressiv MyView 2</x:v>
      </x:c>
      <x:c r="H852" s="24"/>
      <x:c r="I852" s="24" t="str">
        <x:v>1.6</x:v>
      </x:c>
      <x:c r="J852" s="24" t="str">
        <x:v>1.60</x:v>
      </x:c>
      <x:c r="K852" s="24" t="str">
        <x:v>Solitaire 2 Protect Balance</x:v>
      </x:c>
      <x:c r="L852" s="40" t="n">
        <x:v>8196</x:v>
      </x:c>
      <x:c r="M852" s="24" t="str">
        <x:v>-10 a +8</x:v>
      </x:c>
      <x:c r="N852" s="24" t="str">
        <x:v>até -6</x:v>
      </x:c>
      <x:c r="O852" s="24"/>
      <x:c r="P852" s="24" t="str">
        <x:v>75/80</x:v>
      </x:c>
      <x:c r="Q852" s="24"/>
      <x:c r="R852" s="24"/>
      <x:c r="S852" s="26" t="n">
        <x:v>46024</x:v>
      </x:c>
      <x:c r="T852" s="26"/>
      <x:c r="U852" s="24" t="str">
        <x:v>ATIVA/SEM FIM INFORMADO</x:v>
      </x:c>
      <x:c r="V852" s="24"/>
      <x:c r="W852" s="24" t="n">
        <x:v>19</x:v>
      </x:c>
      <x:c r="X852" s="24" t="str">
        <x:v>tabela_rodenstock.pdf</x:v>
      </x:c>
      <x:c r="Y852" s="24" t="str">
        <x:v>alta</x:v>
      </x:c>
      <x:c r="Z852" s="24"/>
      <x:c r="AA852" s="24" t="str">
        <x:v>Rodenstock|Progressiva ILT|Surfaçada|Multigressiv MyView 2||1.6|1.60|Solitaire 2 Protect Balance|-10 a +8|até -6||75/80|||19</x:v>
      </x:c>
    </x:row>
    <x:row r="853">
      <x:c r="A853" s="24" t="str">
        <x:v>RD-8B57DC11BE34</x:v>
      </x:c>
      <x:c r="B853" s="24" t="str">
        <x:v>SIM</x:v>
      </x:c>
      <x:c r="C853" s="24" t="str">
        <x:v>DISPONÍVEL</x:v>
      </x:c>
      <x:c r="D853" s="24" t="str">
        <x:v>Rodenstock</x:v>
      </x:c>
      <x:c r="E853" s="24" t="str">
        <x:v>Progressiva ILT</x:v>
      </x:c>
      <x:c r="F853" s="24" t="str">
        <x:v>Surfaçada</x:v>
      </x:c>
      <x:c r="G853" s="24" t="str">
        <x:v>Multigressiv MyView 2</x:v>
      </x:c>
      <x:c r="H853" s="24"/>
      <x:c r="I853" s="24" t="str">
        <x:v>1.6</x:v>
      </x:c>
      <x:c r="J853" s="24" t="str">
        <x:v>1.60</x:v>
      </x:c>
      <x:c r="K853" s="24" t="str">
        <x:v>Solitaire Protect Plus</x:v>
      </x:c>
      <x:c r="L853" s="40" t="n">
        <x:v>8196</x:v>
      </x:c>
      <x:c r="M853" s="24" t="str">
        <x:v>-10 a +8</x:v>
      </x:c>
      <x:c r="N853" s="24" t="str">
        <x:v>até -6</x:v>
      </x:c>
      <x:c r="O853" s="24"/>
      <x:c r="P853" s="24" t="str">
        <x:v>75/80</x:v>
      </x:c>
      <x:c r="Q853" s="24"/>
      <x:c r="R853" s="24"/>
      <x:c r="S853" s="26" t="n">
        <x:v>46024</x:v>
      </x:c>
      <x:c r="T853" s="26"/>
      <x:c r="U853" s="24" t="str">
        <x:v>ATIVA/SEM FIM INFORMADO</x:v>
      </x:c>
      <x:c r="V853" s="24"/>
      <x:c r="W853" s="24" t="n">
        <x:v>19</x:v>
      </x:c>
      <x:c r="X853" s="24" t="str">
        <x:v>tabela_rodenstock.pdf</x:v>
      </x:c>
      <x:c r="Y853" s="24" t="str">
        <x:v>alta</x:v>
      </x:c>
      <x:c r="Z853" s="24"/>
      <x:c r="AA853" s="24" t="str">
        <x:v>Rodenstock|Progressiva ILT|Surfaçada|Multigressiv MyView 2||1.6|1.60|Solitaire Protect Plus|-10 a +8|até -6||75/80|||19</x:v>
      </x:c>
    </x:row>
    <x:row r="854">
      <x:c r="A854" s="24" t="str">
        <x:v>RD-518F9DCC6064</x:v>
      </x:c>
      <x:c r="B854" s="24" t="str">
        <x:v>SIM</x:v>
      </x:c>
      <x:c r="C854" s="24" t="str">
        <x:v>DISPONÍVEL</x:v>
      </x:c>
      <x:c r="D854" s="24" t="str">
        <x:v>Rodenstock</x:v>
      </x:c>
      <x:c r="E854" s="24" t="str">
        <x:v>Progressiva ILT</x:v>
      </x:c>
      <x:c r="F854" s="24" t="str">
        <x:v>Surfaçada</x:v>
      </x:c>
      <x:c r="G854" s="24" t="str">
        <x:v>Multigressiv MyView 2</x:v>
      </x:c>
      <x:c r="H854" s="24"/>
      <x:c r="I854" s="24" t="str">
        <x:v>1.6</x:v>
      </x:c>
      <x:c r="J854" s="24" t="str">
        <x:v>1.60</x:v>
      </x:c>
      <x:c r="K854" s="24" t="str">
        <x:v>ROAD</x:v>
      </x:c>
      <x:c r="L854" s="40" t="n">
        <x:v>8196</x:v>
      </x:c>
      <x:c r="M854" s="24" t="str">
        <x:v>-10 a +8</x:v>
      </x:c>
      <x:c r="N854" s="24" t="str">
        <x:v>até -6</x:v>
      </x:c>
      <x:c r="O854" s="24"/>
      <x:c r="P854" s="24" t="str">
        <x:v>75/80</x:v>
      </x:c>
      <x:c r="Q854" s="24"/>
      <x:c r="R854" s="24"/>
      <x:c r="S854" s="26" t="n">
        <x:v>46024</x:v>
      </x:c>
      <x:c r="T854" s="26"/>
      <x:c r="U854" s="24" t="str">
        <x:v>ATIVA/SEM FIM INFORMADO</x:v>
      </x:c>
      <x:c r="V854" s="24"/>
      <x:c r="W854" s="24" t="n">
        <x:v>19</x:v>
      </x:c>
      <x:c r="X854" s="24" t="str">
        <x:v>tabela_rodenstock.pdf</x:v>
      </x:c>
      <x:c r="Y854" s="24" t="str">
        <x:v>alta</x:v>
      </x:c>
      <x:c r="Z854" s="24"/>
      <x:c r="AA854" s="24" t="str">
        <x:v>Rodenstock|Progressiva ILT|Surfaçada|Multigressiv MyView 2||1.6|1.60|ROAD|-10 a +8|até -6||75/80|||19</x:v>
      </x:c>
    </x:row>
    <x:row r="855">
      <x:c r="A855" s="24" t="str">
        <x:v>RD-EE70A1EBFC8B</x:v>
      </x:c>
      <x:c r="B855" s="24" t="str">
        <x:v>SIM</x:v>
      </x:c>
      <x:c r="C855" s="24" t="str">
        <x:v>DISPONÍVEL</x:v>
      </x:c>
      <x:c r="D855" s="24" t="str">
        <x:v>Rodenstock</x:v>
      </x:c>
      <x:c r="E855" s="24" t="str">
        <x:v>Progressiva ILT</x:v>
      </x:c>
      <x:c r="F855" s="24" t="str">
        <x:v>Surfaçada</x:v>
      </x:c>
      <x:c r="G855" s="24" t="str">
        <x:v>Multigressiv MyView 2</x:v>
      </x:c>
      <x:c r="H855" s="24"/>
      <x:c r="I855" s="24" t="str">
        <x:v>1.6</x:v>
      </x:c>
      <x:c r="J855" s="24" t="str">
        <x:v>1.60</x:v>
      </x:c>
      <x:c r="K855" s="24" t="str">
        <x:v>Solitaire Protect</x:v>
      </x:c>
      <x:c r="L855" s="40" t="n">
        <x:v>7936</x:v>
      </x:c>
      <x:c r="M855" s="24" t="str">
        <x:v>-10 a +8</x:v>
      </x:c>
      <x:c r="N855" s="24" t="str">
        <x:v>até -6</x:v>
      </x:c>
      <x:c r="O855" s="24"/>
      <x:c r="P855" s="24" t="str">
        <x:v>75/80</x:v>
      </x:c>
      <x:c r="Q855" s="24"/>
      <x:c r="R855" s="24"/>
      <x:c r="S855" s="26" t="n">
        <x:v>46024</x:v>
      </x:c>
      <x:c r="T855" s="26"/>
      <x:c r="U855" s="24" t="str">
        <x:v>ATIVA/SEM FIM INFORMADO</x:v>
      </x:c>
      <x:c r="V855" s="24"/>
      <x:c r="W855" s="24" t="n">
        <x:v>19</x:v>
      </x:c>
      <x:c r="X855" s="24" t="str">
        <x:v>tabela_rodenstock.pdf</x:v>
      </x:c>
      <x:c r="Y855" s="24" t="str">
        <x:v>alta</x:v>
      </x:c>
      <x:c r="Z855" s="24"/>
      <x:c r="AA855" s="24" t="str">
        <x:v>Rodenstock|Progressiva ILT|Surfaçada|Multigressiv MyView 2||1.6|1.60|Solitaire Protect|-10 a +8|até -6||75/80|||19</x:v>
      </x:c>
    </x:row>
    <x:row r="856">
      <x:c r="A856" s="24" t="str">
        <x:v>RD-45317F73863C</x:v>
      </x:c>
      <x:c r="B856" s="24" t="str">
        <x:v>SIM</x:v>
      </x:c>
      <x:c r="C856" s="24" t="str">
        <x:v>DISPONÍVEL</x:v>
      </x:c>
      <x:c r="D856" s="24" t="str">
        <x:v>Rodenstock</x:v>
      </x:c>
      <x:c r="E856" s="24" t="str">
        <x:v>Progressiva ILT</x:v>
      </x:c>
      <x:c r="F856" s="24" t="str">
        <x:v>Surfaçada</x:v>
      </x:c>
      <x:c r="G856" s="24" t="str">
        <x:v>Multigressiv MyView 2</x:v>
      </x:c>
      <x:c r="H856" s="24" t="str">
        <x:v>PRO410</x:v>
      </x:c>
      <x:c r="I856" s="24" t="str">
        <x:v>1.6</x:v>
      </x:c>
      <x:c r="J856" s="24" t="str">
        <x:v>1.60</x:v>
      </x:c>
      <x:c r="K856" s="24" t="str">
        <x:v>Solitaire X-tra Clean</x:v>
      </x:c>
      <x:c r="L856" s="40" t="n">
        <x:v>8540</x:v>
      </x:c>
      <x:c r="M856" s="24" t="str">
        <x:v>-10 a +8</x:v>
      </x:c>
      <x:c r="N856" s="24" t="str">
        <x:v>até -6</x:v>
      </x:c>
      <x:c r="O856" s="24"/>
      <x:c r="P856" s="24" t="str">
        <x:v>75/80</x:v>
      </x:c>
      <x:c r="Q856" s="24"/>
      <x:c r="R856" s="24"/>
      <x:c r="S856" s="26" t="n">
        <x:v>46024</x:v>
      </x:c>
      <x:c r="T856" s="26"/>
      <x:c r="U856" s="24" t="str">
        <x:v>ATIVA/SEM FIM INFORMADO</x:v>
      </x:c>
      <x:c r="V856" s="24"/>
      <x:c r="W856" s="24" t="n">
        <x:v>19</x:v>
      </x:c>
      <x:c r="X856" s="24" t="str">
        <x:v>tabela_rodenstock.pdf</x:v>
      </x:c>
      <x:c r="Y856" s="24" t="str">
        <x:v>alta</x:v>
      </x:c>
      <x:c r="Z856" s="24"/>
      <x:c r="AA856" s="24" t="str">
        <x:v>Rodenstock|Progressiva ILT|Surfaçada|Multigressiv MyView 2|PRO410|1.6|1.60|Solitaire X-tra Clean|-10 a +8|até -6||75/80|||19</x:v>
      </x:c>
    </x:row>
    <x:row r="857">
      <x:c r="A857" s="24" t="str">
        <x:v>RD-686575EBEED8</x:v>
      </x:c>
      <x:c r="B857" s="24" t="str">
        <x:v>SIM</x:v>
      </x:c>
      <x:c r="C857" s="24" t="str">
        <x:v>DISPONÍVEL</x:v>
      </x:c>
      <x:c r="D857" s="24" t="str">
        <x:v>Rodenstock</x:v>
      </x:c>
      <x:c r="E857" s="24" t="str">
        <x:v>Progressiva ILT</x:v>
      </x:c>
      <x:c r="F857" s="24" t="str">
        <x:v>Surfaçada</x:v>
      </x:c>
      <x:c r="G857" s="24" t="str">
        <x:v>Multigressiv MyView 2</x:v>
      </x:c>
      <x:c r="H857" s="24" t="str">
        <x:v>PRO410</x:v>
      </x:c>
      <x:c r="I857" s="24" t="str">
        <x:v>1.6</x:v>
      </x:c>
      <x:c r="J857" s="24" t="str">
        <x:v>1.60</x:v>
      </x:c>
      <x:c r="K857" s="24" t="str">
        <x:v>Solitaire 2 Protect Balance</x:v>
      </x:c>
      <x:c r="L857" s="40" t="n">
        <x:v>8490</x:v>
      </x:c>
      <x:c r="M857" s="24" t="str">
        <x:v>-10 a +8</x:v>
      </x:c>
      <x:c r="N857" s="24" t="str">
        <x:v>até -6</x:v>
      </x:c>
      <x:c r="O857" s="24"/>
      <x:c r="P857" s="24" t="str">
        <x:v>75/80</x:v>
      </x:c>
      <x:c r="Q857" s="24"/>
      <x:c r="R857" s="24"/>
      <x:c r="S857" s="26" t="n">
        <x:v>46024</x:v>
      </x:c>
      <x:c r="T857" s="26"/>
      <x:c r="U857" s="24" t="str">
        <x:v>ATIVA/SEM FIM INFORMADO</x:v>
      </x:c>
      <x:c r="V857" s="24"/>
      <x:c r="W857" s="24" t="n">
        <x:v>19</x:v>
      </x:c>
      <x:c r="X857" s="24" t="str">
        <x:v>tabela_rodenstock.pdf</x:v>
      </x:c>
      <x:c r="Y857" s="24" t="str">
        <x:v>alta</x:v>
      </x:c>
      <x:c r="Z857" s="24"/>
      <x:c r="AA857" s="24" t="str">
        <x:v>Rodenstock|Progressiva ILT|Surfaçada|Multigressiv MyView 2|PRO410|1.6|1.60|Solitaire 2 Protect Balance|-10 a +8|até -6||75/80|||19</x:v>
      </x:c>
    </x:row>
    <x:row r="858">
      <x:c r="A858" s="24" t="str">
        <x:v>RD-545AFD683565</x:v>
      </x:c>
      <x:c r="B858" s="24" t="str">
        <x:v>SIM</x:v>
      </x:c>
      <x:c r="C858" s="24" t="str">
        <x:v>DISPONÍVEL</x:v>
      </x:c>
      <x:c r="D858" s="24" t="str">
        <x:v>Rodenstock</x:v>
      </x:c>
      <x:c r="E858" s="24" t="str">
        <x:v>Progressiva ILT</x:v>
      </x:c>
      <x:c r="F858" s="24" t="str">
        <x:v>Surfaçada</x:v>
      </x:c>
      <x:c r="G858" s="24" t="str">
        <x:v>Multigressiv MyView 2</x:v>
      </x:c>
      <x:c r="H858" s="24" t="str">
        <x:v>PRO410</x:v>
      </x:c>
      <x:c r="I858" s="24" t="str">
        <x:v>1.6</x:v>
      </x:c>
      <x:c r="J858" s="24" t="str">
        <x:v>1.60</x:v>
      </x:c>
      <x:c r="K858" s="24" t="str">
        <x:v>Solitaire Protect Plus</x:v>
      </x:c>
      <x:c r="L858" s="40" t="n">
        <x:v>8490</x:v>
      </x:c>
      <x:c r="M858" s="24" t="str">
        <x:v>-10 a +8</x:v>
      </x:c>
      <x:c r="N858" s="24" t="str">
        <x:v>até -6</x:v>
      </x:c>
      <x:c r="O858" s="24"/>
      <x:c r="P858" s="24" t="str">
        <x:v>75/80</x:v>
      </x:c>
      <x:c r="Q858" s="24"/>
      <x:c r="R858" s="24"/>
      <x:c r="S858" s="26" t="n">
        <x:v>46024</x:v>
      </x:c>
      <x:c r="T858" s="26"/>
      <x:c r="U858" s="24" t="str">
        <x:v>ATIVA/SEM FIM INFORMADO</x:v>
      </x:c>
      <x:c r="V858" s="24"/>
      <x:c r="W858" s="24" t="n">
        <x:v>19</x:v>
      </x:c>
      <x:c r="X858" s="24" t="str">
        <x:v>tabela_rodenstock.pdf</x:v>
      </x:c>
      <x:c r="Y858" s="24" t="str">
        <x:v>alta</x:v>
      </x:c>
      <x:c r="Z858" s="24"/>
      <x:c r="AA858" s="24" t="str">
        <x:v>Rodenstock|Progressiva ILT|Surfaçada|Multigressiv MyView 2|PRO410|1.6|1.60|Solitaire Protect Plus|-10 a +8|até -6||75/80|||19</x:v>
      </x:c>
    </x:row>
    <x:row r="859">
      <x:c r="A859" s="24" t="str">
        <x:v>RD-6252D8FB4CC1</x:v>
      </x:c>
      <x:c r="B859" s="24" t="str">
        <x:v>SIM</x:v>
      </x:c>
      <x:c r="C859" s="24" t="str">
        <x:v>DISPONÍVEL</x:v>
      </x:c>
      <x:c r="D859" s="24" t="str">
        <x:v>Rodenstock</x:v>
      </x:c>
      <x:c r="E859" s="24" t="str">
        <x:v>Progressiva ILT</x:v>
      </x:c>
      <x:c r="F859" s="24" t="str">
        <x:v>Surfaçada</x:v>
      </x:c>
      <x:c r="G859" s="24" t="str">
        <x:v>Multigressiv MyView 2</x:v>
      </x:c>
      <x:c r="H859" s="24" t="str">
        <x:v>PRO410</x:v>
      </x:c>
      <x:c r="I859" s="24" t="str">
        <x:v>1.6</x:v>
      </x:c>
      <x:c r="J859" s="24" t="str">
        <x:v>1.60</x:v>
      </x:c>
      <x:c r="K859" s="24" t="str">
        <x:v>ROAD</x:v>
      </x:c>
      <x:c r="L859" s="40" t="n">
        <x:v>8490</x:v>
      </x:c>
      <x:c r="M859" s="24" t="str">
        <x:v>-10 a +8</x:v>
      </x:c>
      <x:c r="N859" s="24" t="str">
        <x:v>até -6</x:v>
      </x:c>
      <x:c r="O859" s="24"/>
      <x:c r="P859" s="24" t="str">
        <x:v>75/80</x:v>
      </x:c>
      <x:c r="Q859" s="24"/>
      <x:c r="R859" s="24"/>
      <x:c r="S859" s="26" t="n">
        <x:v>46024</x:v>
      </x:c>
      <x:c r="T859" s="26"/>
      <x:c r="U859" s="24" t="str">
        <x:v>ATIVA/SEM FIM INFORMADO</x:v>
      </x:c>
      <x:c r="V859" s="24"/>
      <x:c r="W859" s="24" t="n">
        <x:v>19</x:v>
      </x:c>
      <x:c r="X859" s="24" t="str">
        <x:v>tabela_rodenstock.pdf</x:v>
      </x:c>
      <x:c r="Y859" s="24" t="str">
        <x:v>alta</x:v>
      </x:c>
      <x:c r="Z859" s="24"/>
      <x:c r="AA859" s="24" t="str">
        <x:v>Rodenstock|Progressiva ILT|Surfaçada|Multigressiv MyView 2|PRO410|1.6|1.60|ROAD|-10 a +8|até -6||75/80|||19</x:v>
      </x:c>
    </x:row>
    <x:row r="860">
      <x:c r="A860" s="24" t="str">
        <x:v>RD-D99C75471972</x:v>
      </x:c>
      <x:c r="B860" s="24" t="str">
        <x:v>SIM</x:v>
      </x:c>
      <x:c r="C860" s="24" t="str">
        <x:v>DISPONÍVEL</x:v>
      </x:c>
      <x:c r="D860" s="24" t="str">
        <x:v>Rodenstock</x:v>
      </x:c>
      <x:c r="E860" s="24" t="str">
        <x:v>Progressiva ILT</x:v>
      </x:c>
      <x:c r="F860" s="24" t="str">
        <x:v>Surfaçada</x:v>
      </x:c>
      <x:c r="G860" s="24" t="str">
        <x:v>Multigressiv MyView 2</x:v>
      </x:c>
      <x:c r="H860" s="24" t="str">
        <x:v>PRO410</x:v>
      </x:c>
      <x:c r="I860" s="24" t="str">
        <x:v>1.6</x:v>
      </x:c>
      <x:c r="J860" s="24" t="str">
        <x:v>1.60</x:v>
      </x:c>
      <x:c r="K860" s="24" t="str">
        <x:v>Solitaire Protect</x:v>
      </x:c>
      <x:c r="L860" s="40" t="n">
        <x:v>8230</x:v>
      </x:c>
      <x:c r="M860" s="24" t="str">
        <x:v>-10 a +8</x:v>
      </x:c>
      <x:c r="N860" s="24" t="str">
        <x:v>até -6</x:v>
      </x:c>
      <x:c r="O860" s="24"/>
      <x:c r="P860" s="24" t="str">
        <x:v>75/80</x:v>
      </x:c>
      <x:c r="Q860" s="24"/>
      <x:c r="R860" s="24"/>
      <x:c r="S860" s="26" t="n">
        <x:v>46024</x:v>
      </x:c>
      <x:c r="T860" s="26"/>
      <x:c r="U860" s="24" t="str">
        <x:v>ATIVA/SEM FIM INFORMADO</x:v>
      </x:c>
      <x:c r="V860" s="24"/>
      <x:c r="W860" s="24" t="n">
        <x:v>19</x:v>
      </x:c>
      <x:c r="X860" s="24" t="str">
        <x:v>tabela_rodenstock.pdf</x:v>
      </x:c>
      <x:c r="Y860" s="24" t="str">
        <x:v>alta</x:v>
      </x:c>
      <x:c r="Z860" s="24"/>
      <x:c r="AA860" s="24" t="str">
        <x:v>Rodenstock|Progressiva ILT|Surfaçada|Multigressiv MyView 2|PRO410|1.6|1.60|Solitaire Protect|-10 a +8|até -6||75/80|||19</x:v>
      </x:c>
    </x:row>
    <x:row r="861">
      <x:c r="A861" s="24" t="str">
        <x:v>RD-66C140CB4DBE</x:v>
      </x:c>
      <x:c r="B861" s="24" t="str">
        <x:v>SIM</x:v>
      </x:c>
      <x:c r="C861" s="24" t="str">
        <x:v>DISPONÍVEL</x:v>
      </x:c>
      <x:c r="D861" s="24" t="str">
        <x:v>Rodenstock</x:v>
      </x:c>
      <x:c r="E861" s="24" t="str">
        <x:v>Progressiva ILT</x:v>
      </x:c>
      <x:c r="F861" s="24" t="str">
        <x:v>Surfaçada</x:v>
      </x:c>
      <x:c r="G861" s="24" t="str">
        <x:v>Multigressiv MyView 2</x:v>
      </x:c>
      <x:c r="H861" s="24" t="str">
        <x:v>ColorMatic® 3</x:v>
      </x:c>
      <x:c r="I861" s="24" t="str">
        <x:v>1.6</x:v>
      </x:c>
      <x:c r="J861" s="24" t="str">
        <x:v>1.60</x:v>
      </x:c>
      <x:c r="K861" s="24" t="str">
        <x:v>Solitaire X-tra Clean</x:v>
      </x:c>
      <x:c r="L861" s="40" t="n">
        <x:v>10086</x:v>
      </x:c>
      <x:c r="M861" s="24" t="str">
        <x:v>-10 a +8</x:v>
      </x:c>
      <x:c r="N861" s="24" t="str">
        <x:v>até -6</x:v>
      </x:c>
      <x:c r="O861" s="24"/>
      <x:c r="P861" s="24" t="str">
        <x:v>75/80</x:v>
      </x:c>
      <x:c r="Q861" s="24"/>
      <x:c r="R861" s="24"/>
      <x:c r="S861" s="26" t="n">
        <x:v>46024</x:v>
      </x:c>
      <x:c r="T861" s="26"/>
      <x:c r="U861" s="24" t="str">
        <x:v>ATIVA/SEM FIM INFORMADO</x:v>
      </x:c>
      <x:c r="V861" s="24"/>
      <x:c r="W861" s="24" t="n">
        <x:v>19</x:v>
      </x:c>
      <x:c r="X861" s="24" t="str">
        <x:v>tabela_rodenstock.pdf</x:v>
      </x:c>
      <x:c r="Y861" s="24" t="str">
        <x:v>alta</x:v>
      </x:c>
      <x:c r="Z861" s="24"/>
      <x:c r="AA861" s="24" t="str">
        <x:v>Rodenstock|Progressiva ILT|Surfaçada|Multigressiv MyView 2|ColorMatic® 3|1.6|1.60|Solitaire X-tra Clean|-10 a +8|até -6||75/80|||19</x:v>
      </x:c>
    </x:row>
    <x:row r="862">
      <x:c r="A862" s="24" t="str">
        <x:v>RD-93AAA17CFEBE</x:v>
      </x:c>
      <x:c r="B862" s="24" t="str">
        <x:v>SIM</x:v>
      </x:c>
      <x:c r="C862" s="24" t="str">
        <x:v>DISPONÍVEL</x:v>
      </x:c>
      <x:c r="D862" s="24" t="str">
        <x:v>Rodenstock</x:v>
      </x:c>
      <x:c r="E862" s="24" t="str">
        <x:v>Progressiva ILT</x:v>
      </x:c>
      <x:c r="F862" s="24" t="str">
        <x:v>Surfaçada</x:v>
      </x:c>
      <x:c r="G862" s="24" t="str">
        <x:v>Multigressiv MyView 2</x:v>
      </x:c>
      <x:c r="H862" s="24" t="str">
        <x:v>ColorMatic® 3</x:v>
      </x:c>
      <x:c r="I862" s="24" t="str">
        <x:v>1.6</x:v>
      </x:c>
      <x:c r="J862" s="24" t="str">
        <x:v>1.60</x:v>
      </x:c>
      <x:c r="K862" s="24" t="str">
        <x:v>Solitaire 2 Protect Balance</x:v>
      </x:c>
      <x:c r="L862" s="40" t="n">
        <x:v>10036</x:v>
      </x:c>
      <x:c r="M862" s="24" t="str">
        <x:v>-10 a +8</x:v>
      </x:c>
      <x:c r="N862" s="24" t="str">
        <x:v>até -6</x:v>
      </x:c>
      <x:c r="O862" s="24"/>
      <x:c r="P862" s="24" t="str">
        <x:v>75/80</x:v>
      </x:c>
      <x:c r="Q862" s="24"/>
      <x:c r="R862" s="24"/>
      <x:c r="S862" s="26" t="n">
        <x:v>46024</x:v>
      </x:c>
      <x:c r="T862" s="26"/>
      <x:c r="U862" s="24" t="str">
        <x:v>ATIVA/SEM FIM INFORMADO</x:v>
      </x:c>
      <x:c r="V862" s="24"/>
      <x:c r="W862" s="24" t="n">
        <x:v>19</x:v>
      </x:c>
      <x:c r="X862" s="24" t="str">
        <x:v>tabela_rodenstock.pdf</x:v>
      </x:c>
      <x:c r="Y862" s="24" t="str">
        <x:v>alta</x:v>
      </x:c>
      <x:c r="Z862" s="24"/>
      <x:c r="AA862" s="24" t="str">
        <x:v>Rodenstock|Progressiva ILT|Surfaçada|Multigressiv MyView 2|ColorMatic® 3|1.6|1.60|Solitaire 2 Protect Balance|-10 a +8|até -6||75/80|||19</x:v>
      </x:c>
    </x:row>
    <x:row r="863">
      <x:c r="A863" s="24" t="str">
        <x:v>RD-01CA54D8AE42</x:v>
      </x:c>
      <x:c r="B863" s="24" t="str">
        <x:v>SIM</x:v>
      </x:c>
      <x:c r="C863" s="24" t="str">
        <x:v>DISPONÍVEL</x:v>
      </x:c>
      <x:c r="D863" s="24" t="str">
        <x:v>Rodenstock</x:v>
      </x:c>
      <x:c r="E863" s="24" t="str">
        <x:v>Progressiva ILT</x:v>
      </x:c>
      <x:c r="F863" s="24" t="str">
        <x:v>Surfaçada</x:v>
      </x:c>
      <x:c r="G863" s="24" t="str">
        <x:v>Multigressiv MyView 2</x:v>
      </x:c>
      <x:c r="H863" s="24" t="str">
        <x:v>ColorMatic® 3</x:v>
      </x:c>
      <x:c r="I863" s="24" t="str">
        <x:v>1.6</x:v>
      </x:c>
      <x:c r="J863" s="24" t="str">
        <x:v>1.60</x:v>
      </x:c>
      <x:c r="K863" s="24" t="str">
        <x:v>Solitaire Protect Plus</x:v>
      </x:c>
      <x:c r="L863" s="40" t="n">
        <x:v>10036</x:v>
      </x:c>
      <x:c r="M863" s="24" t="str">
        <x:v>-10 a +8</x:v>
      </x:c>
      <x:c r="N863" s="24" t="str">
        <x:v>até -6</x:v>
      </x:c>
      <x:c r="O863" s="24"/>
      <x:c r="P863" s="24" t="str">
        <x:v>75/80</x:v>
      </x:c>
      <x:c r="Q863" s="24"/>
      <x:c r="R863" s="24"/>
      <x:c r="S863" s="26" t="n">
        <x:v>46024</x:v>
      </x:c>
      <x:c r="T863" s="26"/>
      <x:c r="U863" s="24" t="str">
        <x:v>ATIVA/SEM FIM INFORMADO</x:v>
      </x:c>
      <x:c r="V863" s="24"/>
      <x:c r="W863" s="24" t="n">
        <x:v>19</x:v>
      </x:c>
      <x:c r="X863" s="24" t="str">
        <x:v>tabela_rodenstock.pdf</x:v>
      </x:c>
      <x:c r="Y863" s="24" t="str">
        <x:v>alta</x:v>
      </x:c>
      <x:c r="Z863" s="24"/>
      <x:c r="AA863" s="24" t="str">
        <x:v>Rodenstock|Progressiva ILT|Surfaçada|Multigressiv MyView 2|ColorMatic® 3|1.6|1.60|Solitaire Protect Plus|-10 a +8|até -6||75/80|||19</x:v>
      </x:c>
    </x:row>
    <x:row r="864">
      <x:c r="A864" s="24" t="str">
        <x:v>RD-ADFE53FA11C1</x:v>
      </x:c>
      <x:c r="B864" s="24" t="str">
        <x:v>SIM</x:v>
      </x:c>
      <x:c r="C864" s="24" t="str">
        <x:v>DISPONÍVEL</x:v>
      </x:c>
      <x:c r="D864" s="24" t="str">
        <x:v>Rodenstock</x:v>
      </x:c>
      <x:c r="E864" s="24" t="str">
        <x:v>Progressiva ILT</x:v>
      </x:c>
      <x:c r="F864" s="24" t="str">
        <x:v>Surfaçada</x:v>
      </x:c>
      <x:c r="G864" s="24" t="str">
        <x:v>Multigressiv MyView 2</x:v>
      </x:c>
      <x:c r="H864" s="24" t="str">
        <x:v>ColorMatic® 3</x:v>
      </x:c>
      <x:c r="I864" s="24" t="str">
        <x:v>1.6</x:v>
      </x:c>
      <x:c r="J864" s="24" t="str">
        <x:v>1.60</x:v>
      </x:c>
      <x:c r="K864" s="24" t="str">
        <x:v>ROAD</x:v>
      </x:c>
      <x:c r="L864" s="40" t="n">
        <x:v>10036</x:v>
      </x:c>
      <x:c r="M864" s="24" t="str">
        <x:v>-10 a +8</x:v>
      </x:c>
      <x:c r="N864" s="24" t="str">
        <x:v>até -6</x:v>
      </x:c>
      <x:c r="O864" s="24"/>
      <x:c r="P864" s="24" t="str">
        <x:v>75/80</x:v>
      </x:c>
      <x:c r="Q864" s="24"/>
      <x:c r="R864" s="24"/>
      <x:c r="S864" s="26" t="n">
        <x:v>46024</x:v>
      </x:c>
      <x:c r="T864" s="26"/>
      <x:c r="U864" s="24" t="str">
        <x:v>ATIVA/SEM FIM INFORMADO</x:v>
      </x:c>
      <x:c r="V864" s="24"/>
      <x:c r="W864" s="24" t="n">
        <x:v>19</x:v>
      </x:c>
      <x:c r="X864" s="24" t="str">
        <x:v>tabela_rodenstock.pdf</x:v>
      </x:c>
      <x:c r="Y864" s="24" t="str">
        <x:v>alta</x:v>
      </x:c>
      <x:c r="Z864" s="24"/>
      <x:c r="AA864" s="24" t="str">
        <x:v>Rodenstock|Progressiva ILT|Surfaçada|Multigressiv MyView 2|ColorMatic® 3|1.6|1.60|ROAD|-10 a +8|até -6||75/80|||19</x:v>
      </x:c>
    </x:row>
    <x:row r="865">
      <x:c r="A865" s="24" t="str">
        <x:v>RD-C2CBBE3F0D2F</x:v>
      </x:c>
      <x:c r="B865" s="24" t="str">
        <x:v>SIM</x:v>
      </x:c>
      <x:c r="C865" s="24" t="str">
        <x:v>DISPONÍVEL</x:v>
      </x:c>
      <x:c r="D865" s="24" t="str">
        <x:v>Rodenstock</x:v>
      </x:c>
      <x:c r="E865" s="24" t="str">
        <x:v>Progressiva ILT</x:v>
      </x:c>
      <x:c r="F865" s="24" t="str">
        <x:v>Surfaçada</x:v>
      </x:c>
      <x:c r="G865" s="24" t="str">
        <x:v>Multigressiv MyView 2</x:v>
      </x:c>
      <x:c r="H865" s="24" t="str">
        <x:v>ColorMatic® 3</x:v>
      </x:c>
      <x:c r="I865" s="24" t="str">
        <x:v>1.6</x:v>
      </x:c>
      <x:c r="J865" s="24" t="str">
        <x:v>1.60</x:v>
      </x:c>
      <x:c r="K865" s="24" t="str">
        <x:v>Solitaire Protect</x:v>
      </x:c>
      <x:c r="L865" s="40" t="n">
        <x:v>9776</x:v>
      </x:c>
      <x:c r="M865" s="24" t="str">
        <x:v>-10 a +8</x:v>
      </x:c>
      <x:c r="N865" s="24" t="str">
        <x:v>até -6</x:v>
      </x:c>
      <x:c r="O865" s="24"/>
      <x:c r="P865" s="24" t="str">
        <x:v>75/80</x:v>
      </x:c>
      <x:c r="Q865" s="24"/>
      <x:c r="R865" s="24"/>
      <x:c r="S865" s="26" t="n">
        <x:v>46024</x:v>
      </x:c>
      <x:c r="T865" s="26"/>
      <x:c r="U865" s="24" t="str">
        <x:v>ATIVA/SEM FIM INFORMADO</x:v>
      </x:c>
      <x:c r="V865" s="24"/>
      <x:c r="W865" s="24" t="n">
        <x:v>19</x:v>
      </x:c>
      <x:c r="X865" s="24" t="str">
        <x:v>tabela_rodenstock.pdf</x:v>
      </x:c>
      <x:c r="Y865" s="24" t="str">
        <x:v>alta</x:v>
      </x:c>
      <x:c r="Z865" s="24"/>
      <x:c r="AA865" s="24" t="str">
        <x:v>Rodenstock|Progressiva ILT|Surfaçada|Multigressiv MyView 2|ColorMatic® 3|1.6|1.60|Solitaire Protect|-10 a +8|até -6||75/80|||19</x:v>
      </x:c>
    </x:row>
    <x:row r="866">
      <x:c r="A866" s="24" t="str">
        <x:v>RD-5FC779FC66CE</x:v>
      </x:c>
      <x:c r="B866" s="24" t="str">
        <x:v>SIM</x:v>
      </x:c>
      <x:c r="C866" s="24" t="str">
        <x:v>DISPONÍVEL</x:v>
      </x:c>
      <x:c r="D866" s="24" t="str">
        <x:v>Rodenstock</x:v>
      </x:c>
      <x:c r="E866" s="24" t="str">
        <x:v>Progressiva ILT</x:v>
      </x:c>
      <x:c r="F866" s="24" t="str">
        <x:v>Surfaçada</x:v>
      </x:c>
      <x:c r="G866" s="24" t="str">
        <x:v>Multigressiv MyView 2</x:v>
      </x:c>
      <x:c r="H866" s="24"/>
      <x:c r="I866" s="24" t="str">
        <x:v>1.67</x:v>
      </x:c>
      <x:c r="J866" s="24" t="str">
        <x:v>1.67</x:v>
      </x:c>
      <x:c r="K866" s="24" t="str">
        <x:v>Solitaire X-tra Clean</x:v>
      </x:c>
      <x:c r="L866" s="40" t="n">
        <x:v>10062</x:v>
      </x:c>
      <x:c r="M866" s="24" t="str">
        <x:v>-10 a +8</x:v>
      </x:c>
      <x:c r="N866" s="24" t="str">
        <x:v>até -6</x:v>
      </x:c>
      <x:c r="O866" s="24"/>
      <x:c r="P866" s="24" t="str">
        <x:v>75/80</x:v>
      </x:c>
      <x:c r="Q866" s="24"/>
      <x:c r="R866" s="24"/>
      <x:c r="S866" s="26" t="n">
        <x:v>46024</x:v>
      </x:c>
      <x:c r="T866" s="26"/>
      <x:c r="U866" s="24" t="str">
        <x:v>ATIVA/SEM FIM INFORMADO</x:v>
      </x:c>
      <x:c r="V866" s="24"/>
      <x:c r="W866" s="24" t="n">
        <x:v>19</x:v>
      </x:c>
      <x:c r="X866" s="24" t="str">
        <x:v>tabela_rodenstock.pdf</x:v>
      </x:c>
      <x:c r="Y866" s="24" t="str">
        <x:v>alta</x:v>
      </x:c>
      <x:c r="Z866" s="24"/>
      <x:c r="AA866" s="24" t="str">
        <x:v>Rodenstock|Progressiva ILT|Surfaçada|Multigressiv MyView 2||1.67|1.67|Solitaire X-tra Clean|-10 a +8|até -6||75/80|||19</x:v>
      </x:c>
    </x:row>
    <x:row r="867">
      <x:c r="A867" s="24" t="str">
        <x:v>RD-A773DE8A9B9F</x:v>
      </x:c>
      <x:c r="B867" s="24" t="str">
        <x:v>SIM</x:v>
      </x:c>
      <x:c r="C867" s="24" t="str">
        <x:v>DISPONÍVEL</x:v>
      </x:c>
      <x:c r="D867" s="24" t="str">
        <x:v>Rodenstock</x:v>
      </x:c>
      <x:c r="E867" s="24" t="str">
        <x:v>Progressiva ILT</x:v>
      </x:c>
      <x:c r="F867" s="24" t="str">
        <x:v>Surfaçada</x:v>
      </x:c>
      <x:c r="G867" s="24" t="str">
        <x:v>Multigressiv MyView 2</x:v>
      </x:c>
      <x:c r="H867" s="24"/>
      <x:c r="I867" s="24" t="str">
        <x:v>1.67</x:v>
      </x:c>
      <x:c r="J867" s="24" t="str">
        <x:v>1.67</x:v>
      </x:c>
      <x:c r="K867" s="24" t="str">
        <x:v>Solitaire 2 Protect Balance</x:v>
      </x:c>
      <x:c r="L867" s="40" t="n">
        <x:v>10012</x:v>
      </x:c>
      <x:c r="M867" s="24" t="str">
        <x:v>-10 a +8</x:v>
      </x:c>
      <x:c r="N867" s="24" t="str">
        <x:v>até -6</x:v>
      </x:c>
      <x:c r="O867" s="24"/>
      <x:c r="P867" s="24" t="str">
        <x:v>75/80</x:v>
      </x:c>
      <x:c r="Q867" s="24"/>
      <x:c r="R867" s="24"/>
      <x:c r="S867" s="26" t="n">
        <x:v>46024</x:v>
      </x:c>
      <x:c r="T867" s="26"/>
      <x:c r="U867" s="24" t="str">
        <x:v>ATIVA/SEM FIM INFORMADO</x:v>
      </x:c>
      <x:c r="V867" s="24"/>
      <x:c r="W867" s="24" t="n">
        <x:v>19</x:v>
      </x:c>
      <x:c r="X867" s="24" t="str">
        <x:v>tabela_rodenstock.pdf</x:v>
      </x:c>
      <x:c r="Y867" s="24" t="str">
        <x:v>alta</x:v>
      </x:c>
      <x:c r="Z867" s="24"/>
      <x:c r="AA867" s="24" t="str">
        <x:v>Rodenstock|Progressiva ILT|Surfaçada|Multigressiv MyView 2||1.67|1.67|Solitaire 2 Protect Balance|-10 a +8|até -6||75/80|||19</x:v>
      </x:c>
    </x:row>
    <x:row r="868">
      <x:c r="A868" s="24" t="str">
        <x:v>RD-3D00CD2BD9B5</x:v>
      </x:c>
      <x:c r="B868" s="24" t="str">
        <x:v>SIM</x:v>
      </x:c>
      <x:c r="C868" s="24" t="str">
        <x:v>DISPONÍVEL</x:v>
      </x:c>
      <x:c r="D868" s="24" t="str">
        <x:v>Rodenstock</x:v>
      </x:c>
      <x:c r="E868" s="24" t="str">
        <x:v>Progressiva ILT</x:v>
      </x:c>
      <x:c r="F868" s="24" t="str">
        <x:v>Surfaçada</x:v>
      </x:c>
      <x:c r="G868" s="24" t="str">
        <x:v>Multigressiv MyView 2</x:v>
      </x:c>
      <x:c r="H868" s="24"/>
      <x:c r="I868" s="24" t="str">
        <x:v>1.67</x:v>
      </x:c>
      <x:c r="J868" s="24" t="str">
        <x:v>1.67</x:v>
      </x:c>
      <x:c r="K868" s="24" t="str">
        <x:v>Solitaire Protect Plus</x:v>
      </x:c>
      <x:c r="L868" s="40" t="n">
        <x:v>10012</x:v>
      </x:c>
      <x:c r="M868" s="24" t="str">
        <x:v>-10 a +8</x:v>
      </x:c>
      <x:c r="N868" s="24" t="str">
        <x:v>até -6</x:v>
      </x:c>
      <x:c r="O868" s="24"/>
      <x:c r="P868" s="24" t="str">
        <x:v>75/80</x:v>
      </x:c>
      <x:c r="Q868" s="24"/>
      <x:c r="R868" s="24"/>
      <x:c r="S868" s="26" t="n">
        <x:v>46024</x:v>
      </x:c>
      <x:c r="T868" s="26"/>
      <x:c r="U868" s="24" t="str">
        <x:v>ATIVA/SEM FIM INFORMADO</x:v>
      </x:c>
      <x:c r="V868" s="24"/>
      <x:c r="W868" s="24" t="n">
        <x:v>19</x:v>
      </x:c>
      <x:c r="X868" s="24" t="str">
        <x:v>tabela_rodenstock.pdf</x:v>
      </x:c>
      <x:c r="Y868" s="24" t="str">
        <x:v>alta</x:v>
      </x:c>
      <x:c r="Z868" s="24"/>
      <x:c r="AA868" s="24" t="str">
        <x:v>Rodenstock|Progressiva ILT|Surfaçada|Multigressiv MyView 2||1.67|1.67|Solitaire Protect Plus|-10 a +8|até -6||75/80|||19</x:v>
      </x:c>
    </x:row>
    <x:row r="869">
      <x:c r="A869" s="24" t="str">
        <x:v>RD-6CA1D95B9453</x:v>
      </x:c>
      <x:c r="B869" s="24" t="str">
        <x:v>SIM</x:v>
      </x:c>
      <x:c r="C869" s="24" t="str">
        <x:v>DISPONÍVEL</x:v>
      </x:c>
      <x:c r="D869" s="24" t="str">
        <x:v>Rodenstock</x:v>
      </x:c>
      <x:c r="E869" s="24" t="str">
        <x:v>Progressiva ILT</x:v>
      </x:c>
      <x:c r="F869" s="24" t="str">
        <x:v>Surfaçada</x:v>
      </x:c>
      <x:c r="G869" s="24" t="str">
        <x:v>Multigressiv MyView 2</x:v>
      </x:c>
      <x:c r="H869" s="24"/>
      <x:c r="I869" s="24" t="str">
        <x:v>1.67</x:v>
      </x:c>
      <x:c r="J869" s="24" t="str">
        <x:v>1.67</x:v>
      </x:c>
      <x:c r="K869" s="24" t="str">
        <x:v>ROAD</x:v>
      </x:c>
      <x:c r="L869" s="40" t="n">
        <x:v>10012</x:v>
      </x:c>
      <x:c r="M869" s="24" t="str">
        <x:v>-10 a +8</x:v>
      </x:c>
      <x:c r="N869" s="24" t="str">
        <x:v>até -6</x:v>
      </x:c>
      <x:c r="O869" s="24"/>
      <x:c r="P869" s="24" t="str">
        <x:v>75/80</x:v>
      </x:c>
      <x:c r="Q869" s="24"/>
      <x:c r="R869" s="24"/>
      <x:c r="S869" s="26" t="n">
        <x:v>46024</x:v>
      </x:c>
      <x:c r="T869" s="26"/>
      <x:c r="U869" s="24" t="str">
        <x:v>ATIVA/SEM FIM INFORMADO</x:v>
      </x:c>
      <x:c r="V869" s="24"/>
      <x:c r="W869" s="24" t="n">
        <x:v>19</x:v>
      </x:c>
      <x:c r="X869" s="24" t="str">
        <x:v>tabela_rodenstock.pdf</x:v>
      </x:c>
      <x:c r="Y869" s="24" t="str">
        <x:v>alta</x:v>
      </x:c>
      <x:c r="Z869" s="24"/>
      <x:c r="AA869" s="24" t="str">
        <x:v>Rodenstock|Progressiva ILT|Surfaçada|Multigressiv MyView 2||1.67|1.67|ROAD|-10 a +8|até -6||75/80|||19</x:v>
      </x:c>
    </x:row>
    <x:row r="870">
      <x:c r="A870" s="24" t="str">
        <x:v>RD-E285927C1F05</x:v>
      </x:c>
      <x:c r="B870" s="24" t="str">
        <x:v>SIM</x:v>
      </x:c>
      <x:c r="C870" s="24" t="str">
        <x:v>DISPONÍVEL</x:v>
      </x:c>
      <x:c r="D870" s="24" t="str">
        <x:v>Rodenstock</x:v>
      </x:c>
      <x:c r="E870" s="24" t="str">
        <x:v>Progressiva ILT</x:v>
      </x:c>
      <x:c r="F870" s="24" t="str">
        <x:v>Surfaçada</x:v>
      </x:c>
      <x:c r="G870" s="24" t="str">
        <x:v>Multigressiv MyView 2</x:v>
      </x:c>
      <x:c r="H870" s="24"/>
      <x:c r="I870" s="24" t="str">
        <x:v>1.67</x:v>
      </x:c>
      <x:c r="J870" s="24" t="str">
        <x:v>1.67</x:v>
      </x:c>
      <x:c r="K870" s="24" t="str">
        <x:v>Solitaire Protect</x:v>
      </x:c>
      <x:c r="L870" s="40" t="n">
        <x:v>9752</x:v>
      </x:c>
      <x:c r="M870" s="24" t="str">
        <x:v>-10 a +8</x:v>
      </x:c>
      <x:c r="N870" s="24" t="str">
        <x:v>até -6</x:v>
      </x:c>
      <x:c r="O870" s="24"/>
      <x:c r="P870" s="24" t="str">
        <x:v>75/80</x:v>
      </x:c>
      <x:c r="Q870" s="24"/>
      <x:c r="R870" s="24"/>
      <x:c r="S870" s="26" t="n">
        <x:v>46024</x:v>
      </x:c>
      <x:c r="T870" s="26"/>
      <x:c r="U870" s="24" t="str">
        <x:v>ATIVA/SEM FIM INFORMADO</x:v>
      </x:c>
      <x:c r="V870" s="24"/>
      <x:c r="W870" s="24" t="n">
        <x:v>19</x:v>
      </x:c>
      <x:c r="X870" s="24" t="str">
        <x:v>tabela_rodenstock.pdf</x:v>
      </x:c>
      <x:c r="Y870" s="24" t="str">
        <x:v>alta</x:v>
      </x:c>
      <x:c r="Z870" s="24"/>
      <x:c r="AA870" s="24" t="str">
        <x:v>Rodenstock|Progressiva ILT|Surfaçada|Multigressiv MyView 2||1.67|1.67|Solitaire Protect|-10 a +8|até -6||75/80|||19</x:v>
      </x:c>
    </x:row>
    <x:row r="871">
      <x:c r="A871" s="24" t="str">
        <x:v>RD-D0F1EC695885</x:v>
      </x:c>
      <x:c r="B871" s="24" t="str">
        <x:v>SIM</x:v>
      </x:c>
      <x:c r="C871" s="24" t="str">
        <x:v>DISPONÍVEL</x:v>
      </x:c>
      <x:c r="D871" s="24" t="str">
        <x:v>Rodenstock</x:v>
      </x:c>
      <x:c r="E871" s="24" t="str">
        <x:v>Progressiva ILT</x:v>
      </x:c>
      <x:c r="F871" s="24" t="str">
        <x:v>Surfaçada</x:v>
      </x:c>
      <x:c r="G871" s="24" t="str">
        <x:v>Multigressiv MyView 2</x:v>
      </x:c>
      <x:c r="H871" s="24" t="str">
        <x:v>ColorMatic® 3</x:v>
      </x:c>
      <x:c r="I871" s="24" t="str">
        <x:v>1.67</x:v>
      </x:c>
      <x:c r="J871" s="24" t="str">
        <x:v>1.67</x:v>
      </x:c>
      <x:c r="K871" s="24" t="str">
        <x:v>Solitaire X-tra Clean</x:v>
      </x:c>
      <x:c r="L871" s="40" t="n">
        <x:v>11531</x:v>
      </x:c>
      <x:c r="M871" s="24" t="str">
        <x:v>-10 a +8</x:v>
      </x:c>
      <x:c r="N871" s="24" t="str">
        <x:v>até -6</x:v>
      </x:c>
      <x:c r="O871" s="24"/>
      <x:c r="P871" s="24" t="str">
        <x:v>75/80</x:v>
      </x:c>
      <x:c r="Q871" s="24"/>
      <x:c r="R871" s="24"/>
      <x:c r="S871" s="26" t="n">
        <x:v>46024</x:v>
      </x:c>
      <x:c r="T871" s="26"/>
      <x:c r="U871" s="24" t="str">
        <x:v>ATIVA/SEM FIM INFORMADO</x:v>
      </x:c>
      <x:c r="V871" s="24"/>
      <x:c r="W871" s="24" t="n">
        <x:v>19</x:v>
      </x:c>
      <x:c r="X871" s="24" t="str">
        <x:v>tabela_rodenstock.pdf</x:v>
      </x:c>
      <x:c r="Y871" s="24" t="str">
        <x:v>alta</x:v>
      </x:c>
      <x:c r="Z871" s="24"/>
      <x:c r="AA871" s="24" t="str">
        <x:v>Rodenstock|Progressiva ILT|Surfaçada|Multigressiv MyView 2|ColorMatic® 3|1.67|1.67|Solitaire X-tra Clean|-10 a +8|até -6||75/80|||19</x:v>
      </x:c>
    </x:row>
    <x:row r="872">
      <x:c r="A872" s="24" t="str">
        <x:v>RD-92BB8D70D0F3</x:v>
      </x:c>
      <x:c r="B872" s="24" t="str">
        <x:v>SIM</x:v>
      </x:c>
      <x:c r="C872" s="24" t="str">
        <x:v>DISPONÍVEL</x:v>
      </x:c>
      <x:c r="D872" s="24" t="str">
        <x:v>Rodenstock</x:v>
      </x:c>
      <x:c r="E872" s="24" t="str">
        <x:v>Progressiva ILT</x:v>
      </x:c>
      <x:c r="F872" s="24" t="str">
        <x:v>Surfaçada</x:v>
      </x:c>
      <x:c r="G872" s="24" t="str">
        <x:v>Multigressiv MyView 2</x:v>
      </x:c>
      <x:c r="H872" s="24" t="str">
        <x:v>ColorMatic® 3</x:v>
      </x:c>
      <x:c r="I872" s="24" t="str">
        <x:v>1.67</x:v>
      </x:c>
      <x:c r="J872" s="24" t="str">
        <x:v>1.67</x:v>
      </x:c>
      <x:c r="K872" s="24" t="str">
        <x:v>Solitaire 2 Protect Balance</x:v>
      </x:c>
      <x:c r="L872" s="40" t="n">
        <x:v>11481</x:v>
      </x:c>
      <x:c r="M872" s="24" t="str">
        <x:v>-10 a +8</x:v>
      </x:c>
      <x:c r="N872" s="24" t="str">
        <x:v>até -6</x:v>
      </x:c>
      <x:c r="O872" s="24"/>
      <x:c r="P872" s="24" t="str">
        <x:v>75/80</x:v>
      </x:c>
      <x:c r="Q872" s="24"/>
      <x:c r="R872" s="24"/>
      <x:c r="S872" s="26" t="n">
        <x:v>46024</x:v>
      </x:c>
      <x:c r="T872" s="26"/>
      <x:c r="U872" s="24" t="str">
        <x:v>ATIVA/SEM FIM INFORMADO</x:v>
      </x:c>
      <x:c r="V872" s="24"/>
      <x:c r="W872" s="24" t="n">
        <x:v>19</x:v>
      </x:c>
      <x:c r="X872" s="24" t="str">
        <x:v>tabela_rodenstock.pdf</x:v>
      </x:c>
      <x:c r="Y872" s="24" t="str">
        <x:v>alta</x:v>
      </x:c>
      <x:c r="Z872" s="24"/>
      <x:c r="AA872" s="24" t="str">
        <x:v>Rodenstock|Progressiva ILT|Surfaçada|Multigressiv MyView 2|ColorMatic® 3|1.67|1.67|Solitaire 2 Protect Balance|-10 a +8|até -6||75/80|||19</x:v>
      </x:c>
    </x:row>
    <x:row r="873">
      <x:c r="A873" s="24" t="str">
        <x:v>RD-0DEF4DA0BE5C</x:v>
      </x:c>
      <x:c r="B873" s="24" t="str">
        <x:v>SIM</x:v>
      </x:c>
      <x:c r="C873" s="24" t="str">
        <x:v>DISPONÍVEL</x:v>
      </x:c>
      <x:c r="D873" s="24" t="str">
        <x:v>Rodenstock</x:v>
      </x:c>
      <x:c r="E873" s="24" t="str">
        <x:v>Progressiva ILT</x:v>
      </x:c>
      <x:c r="F873" s="24" t="str">
        <x:v>Surfaçada</x:v>
      </x:c>
      <x:c r="G873" s="24" t="str">
        <x:v>Multigressiv MyView 2</x:v>
      </x:c>
      <x:c r="H873" s="24" t="str">
        <x:v>ColorMatic® 3</x:v>
      </x:c>
      <x:c r="I873" s="24" t="str">
        <x:v>1.67</x:v>
      </x:c>
      <x:c r="J873" s="24" t="str">
        <x:v>1.67</x:v>
      </x:c>
      <x:c r="K873" s="24" t="str">
        <x:v>Solitaire Protect Plus</x:v>
      </x:c>
      <x:c r="L873" s="40" t="n">
        <x:v>11481</x:v>
      </x:c>
      <x:c r="M873" s="24" t="str">
        <x:v>-10 a +8</x:v>
      </x:c>
      <x:c r="N873" s="24" t="str">
        <x:v>até -6</x:v>
      </x:c>
      <x:c r="O873" s="24"/>
      <x:c r="P873" s="24" t="str">
        <x:v>75/80</x:v>
      </x:c>
      <x:c r="Q873" s="24"/>
      <x:c r="R873" s="24"/>
      <x:c r="S873" s="26" t="n">
        <x:v>46024</x:v>
      </x:c>
      <x:c r="T873" s="26"/>
      <x:c r="U873" s="24" t="str">
        <x:v>ATIVA/SEM FIM INFORMADO</x:v>
      </x:c>
      <x:c r="V873" s="24"/>
      <x:c r="W873" s="24" t="n">
        <x:v>19</x:v>
      </x:c>
      <x:c r="X873" s="24" t="str">
        <x:v>tabela_rodenstock.pdf</x:v>
      </x:c>
      <x:c r="Y873" s="24" t="str">
        <x:v>alta</x:v>
      </x:c>
      <x:c r="Z873" s="24"/>
      <x:c r="AA873" s="24" t="str">
        <x:v>Rodenstock|Progressiva ILT|Surfaçada|Multigressiv MyView 2|ColorMatic® 3|1.67|1.67|Solitaire Protect Plus|-10 a +8|até -6||75/80|||19</x:v>
      </x:c>
    </x:row>
    <x:row r="874">
      <x:c r="A874" s="24" t="str">
        <x:v>RD-A02978E48723</x:v>
      </x:c>
      <x:c r="B874" s="24" t="str">
        <x:v>SIM</x:v>
      </x:c>
      <x:c r="C874" s="24" t="str">
        <x:v>DISPONÍVEL</x:v>
      </x:c>
      <x:c r="D874" s="24" t="str">
        <x:v>Rodenstock</x:v>
      </x:c>
      <x:c r="E874" s="24" t="str">
        <x:v>Progressiva ILT</x:v>
      </x:c>
      <x:c r="F874" s="24" t="str">
        <x:v>Surfaçada</x:v>
      </x:c>
      <x:c r="G874" s="24" t="str">
        <x:v>Multigressiv MyView 2</x:v>
      </x:c>
      <x:c r="H874" s="24" t="str">
        <x:v>ColorMatic® 3</x:v>
      </x:c>
      <x:c r="I874" s="24" t="str">
        <x:v>1.67</x:v>
      </x:c>
      <x:c r="J874" s="24" t="str">
        <x:v>1.67</x:v>
      </x:c>
      <x:c r="K874" s="24" t="str">
        <x:v>ROAD</x:v>
      </x:c>
      <x:c r="L874" s="40" t="n">
        <x:v>11481</x:v>
      </x:c>
      <x:c r="M874" s="24" t="str">
        <x:v>-10 a +8</x:v>
      </x:c>
      <x:c r="N874" s="24" t="str">
        <x:v>até -6</x:v>
      </x:c>
      <x:c r="O874" s="24"/>
      <x:c r="P874" s="24" t="str">
        <x:v>75/80</x:v>
      </x:c>
      <x:c r="Q874" s="24"/>
      <x:c r="R874" s="24"/>
      <x:c r="S874" s="26" t="n">
        <x:v>46024</x:v>
      </x:c>
      <x:c r="T874" s="26"/>
      <x:c r="U874" s="24" t="str">
        <x:v>ATIVA/SEM FIM INFORMADO</x:v>
      </x:c>
      <x:c r="V874" s="24"/>
      <x:c r="W874" s="24" t="n">
        <x:v>19</x:v>
      </x:c>
      <x:c r="X874" s="24" t="str">
        <x:v>tabela_rodenstock.pdf</x:v>
      </x:c>
      <x:c r="Y874" s="24" t="str">
        <x:v>alta</x:v>
      </x:c>
      <x:c r="Z874" s="24"/>
      <x:c r="AA874" s="24" t="str">
        <x:v>Rodenstock|Progressiva ILT|Surfaçada|Multigressiv MyView 2|ColorMatic® 3|1.67|1.67|ROAD|-10 a +8|até -6||75/80|||19</x:v>
      </x:c>
    </x:row>
    <x:row r="875">
      <x:c r="A875" s="24" t="str">
        <x:v>RD-62DB0E7288E8</x:v>
      </x:c>
      <x:c r="B875" s="24" t="str">
        <x:v>SIM</x:v>
      </x:c>
      <x:c r="C875" s="24" t="str">
        <x:v>DISPONÍVEL</x:v>
      </x:c>
      <x:c r="D875" s="24" t="str">
        <x:v>Rodenstock</x:v>
      </x:c>
      <x:c r="E875" s="24" t="str">
        <x:v>Progressiva ILT</x:v>
      </x:c>
      <x:c r="F875" s="24" t="str">
        <x:v>Surfaçada</x:v>
      </x:c>
      <x:c r="G875" s="24" t="str">
        <x:v>Multigressiv MyView 2</x:v>
      </x:c>
      <x:c r="H875" s="24" t="str">
        <x:v>ColorMatic® 3</x:v>
      </x:c>
      <x:c r="I875" s="24" t="str">
        <x:v>1.67</x:v>
      </x:c>
      <x:c r="J875" s="24" t="str">
        <x:v>1.67</x:v>
      </x:c>
      <x:c r="K875" s="24" t="str">
        <x:v>Solitaire Protect</x:v>
      </x:c>
      <x:c r="L875" s="40" t="n">
        <x:v>11221</x:v>
      </x:c>
      <x:c r="M875" s="24" t="str">
        <x:v>-10 a +8</x:v>
      </x:c>
      <x:c r="N875" s="24" t="str">
        <x:v>até -6</x:v>
      </x:c>
      <x:c r="O875" s="24"/>
      <x:c r="P875" s="24" t="str">
        <x:v>75/80</x:v>
      </x:c>
      <x:c r="Q875" s="24"/>
      <x:c r="R875" s="24"/>
      <x:c r="S875" s="26" t="n">
        <x:v>46024</x:v>
      </x:c>
      <x:c r="T875" s="26"/>
      <x:c r="U875" s="24" t="str">
        <x:v>ATIVA/SEM FIM INFORMADO</x:v>
      </x:c>
      <x:c r="V875" s="24"/>
      <x:c r="W875" s="24" t="n">
        <x:v>19</x:v>
      </x:c>
      <x:c r="X875" s="24" t="str">
        <x:v>tabela_rodenstock.pdf</x:v>
      </x:c>
      <x:c r="Y875" s="24" t="str">
        <x:v>alta</x:v>
      </x:c>
      <x:c r="Z875" s="24"/>
      <x:c r="AA875" s="24" t="str">
        <x:v>Rodenstock|Progressiva ILT|Surfaçada|Multigressiv MyView 2|ColorMatic® 3|1.67|1.67|Solitaire Protect|-10 a +8|até -6||75/80|||19</x:v>
      </x:c>
    </x:row>
    <x:row r="876">
      <x:c r="A876" s="24" t="str">
        <x:v>RD-25304CBC7FC6</x:v>
      </x:c>
      <x:c r="B876" s="24" t="str">
        <x:v>SIM</x:v>
      </x:c>
      <x:c r="C876" s="24" t="str">
        <x:v>DISPONÍVEL</x:v>
      </x:c>
      <x:c r="D876" s="24" t="str">
        <x:v>Rodenstock</x:v>
      </x:c>
      <x:c r="E876" s="24" t="str">
        <x:v>Progressiva ILT</x:v>
      </x:c>
      <x:c r="F876" s="24" t="str">
        <x:v>Surfaçada</x:v>
      </x:c>
      <x:c r="G876" s="24" t="str">
        <x:v>Multigressiv MyView 2</x:v>
      </x:c>
      <x:c r="H876" s="24"/>
      <x:c r="I876" s="24" t="str">
        <x:v>1.74</x:v>
      </x:c>
      <x:c r="J876" s="24" t="str">
        <x:v>1.74</x:v>
      </x:c>
      <x:c r="K876" s="24" t="str">
        <x:v>Solitaire X-tra Clean</x:v>
      </x:c>
      <x:c r="L876" s="40" t="n">
        <x:v>11886</x:v>
      </x:c>
      <x:c r="M876" s="24" t="str">
        <x:v>-18 a +13</x:v>
      </x:c>
      <x:c r="N876" s="24" t="str">
        <x:v>até -6</x:v>
      </x:c>
      <x:c r="O876" s="24"/>
      <x:c r="P876" s="24" t="str">
        <x:v>75/80</x:v>
      </x:c>
      <x:c r="Q876" s="24"/>
      <x:c r="R876" s="24"/>
      <x:c r="S876" s="26" t="n">
        <x:v>46024</x:v>
      </x:c>
      <x:c r="T876" s="26"/>
      <x:c r="U876" s="24" t="str">
        <x:v>ATIVA/SEM FIM INFORMADO</x:v>
      </x:c>
      <x:c r="V876" s="24"/>
      <x:c r="W876" s="24" t="n">
        <x:v>19</x:v>
      </x:c>
      <x:c r="X876" s="24" t="str">
        <x:v>tabela_rodenstock.pdf</x:v>
      </x:c>
      <x:c r="Y876" s="24" t="str">
        <x:v>alta</x:v>
      </x:c>
      <x:c r="Z876" s="24"/>
      <x:c r="AA876" s="24" t="str">
        <x:v>Rodenstock|Progressiva ILT|Surfaçada|Multigressiv MyView 2||1.74|1.74|Solitaire X-tra Clean|-18 a +13|até -6||75/80|||19</x:v>
      </x:c>
    </x:row>
    <x:row r="877">
      <x:c r="A877" s="24" t="str">
        <x:v>RD-05599CB09CF6</x:v>
      </x:c>
      <x:c r="B877" s="24" t="str">
        <x:v>SIM</x:v>
      </x:c>
      <x:c r="C877" s="24" t="str">
        <x:v>DISPONÍVEL</x:v>
      </x:c>
      <x:c r="D877" s="24" t="str">
        <x:v>Rodenstock</x:v>
      </x:c>
      <x:c r="E877" s="24" t="str">
        <x:v>Progressiva ILT</x:v>
      </x:c>
      <x:c r="F877" s="24" t="str">
        <x:v>Surfaçada</x:v>
      </x:c>
      <x:c r="G877" s="24" t="str">
        <x:v>Multigressiv MyView 2</x:v>
      </x:c>
      <x:c r="H877" s="24"/>
      <x:c r="I877" s="24" t="str">
        <x:v>1.74</x:v>
      </x:c>
      <x:c r="J877" s="24" t="str">
        <x:v>1.74</x:v>
      </x:c>
      <x:c r="K877" s="24" t="str">
        <x:v>Solitaire 2 Protect Balance</x:v>
      </x:c>
      <x:c r="L877" s="40" t="n">
        <x:v>11836</x:v>
      </x:c>
      <x:c r="M877" s="24" t="str">
        <x:v>-18 a +13</x:v>
      </x:c>
      <x:c r="N877" s="24" t="str">
        <x:v>até -6</x:v>
      </x:c>
      <x:c r="O877" s="24"/>
      <x:c r="P877" s="24" t="str">
        <x:v>75/80</x:v>
      </x:c>
      <x:c r="Q877" s="24"/>
      <x:c r="R877" s="24"/>
      <x:c r="S877" s="26" t="n">
        <x:v>46024</x:v>
      </x:c>
      <x:c r="T877" s="26"/>
      <x:c r="U877" s="24" t="str">
        <x:v>ATIVA/SEM FIM INFORMADO</x:v>
      </x:c>
      <x:c r="V877" s="24"/>
      <x:c r="W877" s="24" t="n">
        <x:v>19</x:v>
      </x:c>
      <x:c r="X877" s="24" t="str">
        <x:v>tabela_rodenstock.pdf</x:v>
      </x:c>
      <x:c r="Y877" s="24" t="str">
        <x:v>alta</x:v>
      </x:c>
      <x:c r="Z877" s="24"/>
      <x:c r="AA877" s="24" t="str">
        <x:v>Rodenstock|Progressiva ILT|Surfaçada|Multigressiv MyView 2||1.74|1.74|Solitaire 2 Protect Balance|-18 a +13|até -6||75/80|||19</x:v>
      </x:c>
    </x:row>
    <x:row r="878">
      <x:c r="A878" s="24" t="str">
        <x:v>RD-7F43A2FC7014</x:v>
      </x:c>
      <x:c r="B878" s="24" t="str">
        <x:v>SIM</x:v>
      </x:c>
      <x:c r="C878" s="24" t="str">
        <x:v>DISPONÍVEL</x:v>
      </x:c>
      <x:c r="D878" s="24" t="str">
        <x:v>Rodenstock</x:v>
      </x:c>
      <x:c r="E878" s="24" t="str">
        <x:v>Progressiva ILT</x:v>
      </x:c>
      <x:c r="F878" s="24" t="str">
        <x:v>Surfaçada</x:v>
      </x:c>
      <x:c r="G878" s="24" t="str">
        <x:v>Multigressiv MyView 2</x:v>
      </x:c>
      <x:c r="H878" s="24"/>
      <x:c r="I878" s="24" t="str">
        <x:v>1.74</x:v>
      </x:c>
      <x:c r="J878" s="24" t="str">
        <x:v>1.74</x:v>
      </x:c>
      <x:c r="K878" s="24" t="str">
        <x:v>Solitaire Protect Plus</x:v>
      </x:c>
      <x:c r="L878" s="40" t="n">
        <x:v>11836</x:v>
      </x:c>
      <x:c r="M878" s="24" t="str">
        <x:v>-18 a +13</x:v>
      </x:c>
      <x:c r="N878" s="24" t="str">
        <x:v>até -6</x:v>
      </x:c>
      <x:c r="O878" s="24"/>
      <x:c r="P878" s="24" t="str">
        <x:v>75/80</x:v>
      </x:c>
      <x:c r="Q878" s="24"/>
      <x:c r="R878" s="24"/>
      <x:c r="S878" s="26" t="n">
        <x:v>46024</x:v>
      </x:c>
      <x:c r="T878" s="26"/>
      <x:c r="U878" s="24" t="str">
        <x:v>ATIVA/SEM FIM INFORMADO</x:v>
      </x:c>
      <x:c r="V878" s="24"/>
      <x:c r="W878" s="24" t="n">
        <x:v>19</x:v>
      </x:c>
      <x:c r="X878" s="24" t="str">
        <x:v>tabela_rodenstock.pdf</x:v>
      </x:c>
      <x:c r="Y878" s="24" t="str">
        <x:v>alta</x:v>
      </x:c>
      <x:c r="Z878" s="24"/>
      <x:c r="AA878" s="24" t="str">
        <x:v>Rodenstock|Progressiva ILT|Surfaçada|Multigressiv MyView 2||1.74|1.74|Solitaire Protect Plus|-18 a +13|até -6||75/80|||19</x:v>
      </x:c>
    </x:row>
    <x:row r="879">
      <x:c r="A879" s="24" t="str">
        <x:v>RD-07BE59710DFC</x:v>
      </x:c>
      <x:c r="B879" s="24" t="str">
        <x:v>SIM</x:v>
      </x:c>
      <x:c r="C879" s="24" t="str">
        <x:v>DISPONÍVEL</x:v>
      </x:c>
      <x:c r="D879" s="24" t="str">
        <x:v>Rodenstock</x:v>
      </x:c>
      <x:c r="E879" s="24" t="str">
        <x:v>Progressiva ILT</x:v>
      </x:c>
      <x:c r="F879" s="24" t="str">
        <x:v>Surfaçada</x:v>
      </x:c>
      <x:c r="G879" s="24" t="str">
        <x:v>Multigressiv MyView 2</x:v>
      </x:c>
      <x:c r="H879" s="24"/>
      <x:c r="I879" s="24" t="str">
        <x:v>1.74</x:v>
      </x:c>
      <x:c r="J879" s="24" t="str">
        <x:v>1.74</x:v>
      </x:c>
      <x:c r="K879" s="24" t="str">
        <x:v>Solitaire Protect</x:v>
      </x:c>
      <x:c r="L879" s="40" t="n">
        <x:v>11576</x:v>
      </x:c>
      <x:c r="M879" s="24" t="str">
        <x:v>-18 a +13</x:v>
      </x:c>
      <x:c r="N879" s="24" t="str">
        <x:v>até -6</x:v>
      </x:c>
      <x:c r="O879" s="24"/>
      <x:c r="P879" s="24" t="str">
        <x:v>75/80</x:v>
      </x:c>
      <x:c r="Q879" s="24"/>
      <x:c r="R879" s="24"/>
      <x:c r="S879" s="26" t="n">
        <x:v>46024</x:v>
      </x:c>
      <x:c r="T879" s="26"/>
      <x:c r="U879" s="24" t="str">
        <x:v>ATIVA/SEM FIM INFORMADO</x:v>
      </x:c>
      <x:c r="V879" s="24"/>
      <x:c r="W879" s="24" t="n">
        <x:v>19</x:v>
      </x:c>
      <x:c r="X879" s="24" t="str">
        <x:v>tabela_rodenstock.pdf</x:v>
      </x:c>
      <x:c r="Y879" s="24" t="str">
        <x:v>alta</x:v>
      </x:c>
      <x:c r="Z879" s="24"/>
      <x:c r="AA879" s="24" t="str">
        <x:v>Rodenstock|Progressiva ILT|Surfaçada|Multigressiv MyView 2||1.74|1.74|Solitaire Protect|-18 a +13|até -6||75/80|||19</x:v>
      </x:c>
    </x:row>
    <x:row r="880">
      <x:c r="A880" s="24" t="str">
        <x:v>RD-0C128FD0C21C</x:v>
      </x:c>
      <x:c r="B880" s="24" t="str">
        <x:v>SIM</x:v>
      </x:c>
      <x:c r="C880" s="24" t="str">
        <x:v>DISPONÍVEL</x:v>
      </x:c>
      <x:c r="D880" s="24" t="str">
        <x:v>Rodenstock</x:v>
      </x:c>
      <x:c r="E880" s="24" t="str">
        <x:v>Progressiva Freeform</x:v>
      </x:c>
      <x:c r="F880" s="24" t="str">
        <x:v>Surfaçada</x:v>
      </x:c>
      <x:c r="G880" s="24" t="str">
        <x:v>Progressiv Life</x:v>
      </x:c>
      <x:c r="H880" s="24"/>
      <x:c r="I880" s="24" t="str">
        <x:v>1.5</x:v>
      </x:c>
      <x:c r="J880" s="24" t="str">
        <x:v>1.50</x:v>
      </x:c>
      <x:c r="K880" s="24" t="str">
        <x:v>Solitaire X-tra Clean</x:v>
      </x:c>
      <x:c r="L880" s="40" t="n">
        <x:v>5826</x:v>
      </x:c>
      <x:c r="M880" s="24" t="str">
        <x:v>-8 a +8</x:v>
      </x:c>
      <x:c r="N880" s="24" t="str">
        <x:v>até -6</x:v>
      </x:c>
      <x:c r="O880" s="24"/>
      <x:c r="P880" s="24" t="str">
        <x:v>75/80</x:v>
      </x:c>
      <x:c r="Q880" s="24"/>
      <x:c r="R880" s="24"/>
      <x:c r="S880" s="26" t="n">
        <x:v>46024</x:v>
      </x:c>
      <x:c r="T880" s="26"/>
      <x:c r="U880" s="24" t="str">
        <x:v>ATIVA/SEM FIM INFORMADO</x:v>
      </x:c>
      <x:c r="V880" s="24"/>
      <x:c r="W880" s="24" t="n">
        <x:v>21</x:v>
      </x:c>
      <x:c r="X880" s="24" t="str">
        <x:v>tabela_rodenstock.pdf</x:v>
      </x:c>
      <x:c r="Y880" s="24" t="str">
        <x:v>alta</x:v>
      </x:c>
      <x:c r="Z880" s="24"/>
      <x:c r="AA880" s="24" t="str">
        <x:v>Rodenstock|Progressiva Freeform|Surfaçada|Progressiv Life||1.5|1.50|Solitaire X-tra Clean|-8 a +8|até -6||75/80|||21</x:v>
      </x:c>
    </x:row>
    <x:row r="881">
      <x:c r="A881" s="24" t="str">
        <x:v>RD-DBDAB691F3B7</x:v>
      </x:c>
      <x:c r="B881" s="24" t="str">
        <x:v>SIM</x:v>
      </x:c>
      <x:c r="C881" s="24" t="str">
        <x:v>DISPONÍVEL</x:v>
      </x:c>
      <x:c r="D881" s="24" t="str">
        <x:v>Rodenstock</x:v>
      </x:c>
      <x:c r="E881" s="24" t="str">
        <x:v>Progressiva Freeform</x:v>
      </x:c>
      <x:c r="F881" s="24" t="str">
        <x:v>Surfaçada</x:v>
      </x:c>
      <x:c r="G881" s="24" t="str">
        <x:v>Progressiv Life</x:v>
      </x:c>
      <x:c r="H881" s="24"/>
      <x:c r="I881" s="24" t="str">
        <x:v>1.5</x:v>
      </x:c>
      <x:c r="J881" s="24" t="str">
        <x:v>1.50</x:v>
      </x:c>
      <x:c r="K881" s="24" t="str">
        <x:v>Solitaire 2 Protect Balance</x:v>
      </x:c>
      <x:c r="L881" s="40" t="n">
        <x:v>5776</x:v>
      </x:c>
      <x:c r="M881" s="24" t="str">
        <x:v>-8 a +8</x:v>
      </x:c>
      <x:c r="N881" s="24" t="str">
        <x:v>até -6</x:v>
      </x:c>
      <x:c r="O881" s="24"/>
      <x:c r="P881" s="24" t="str">
        <x:v>75/80</x:v>
      </x:c>
      <x:c r="Q881" s="24"/>
      <x:c r="R881" s="24"/>
      <x:c r="S881" s="26" t="n">
        <x:v>46024</x:v>
      </x:c>
      <x:c r="T881" s="26"/>
      <x:c r="U881" s="24" t="str">
        <x:v>ATIVA/SEM FIM INFORMADO</x:v>
      </x:c>
      <x:c r="V881" s="24"/>
      <x:c r="W881" s="24" t="n">
        <x:v>21</x:v>
      </x:c>
      <x:c r="X881" s="24" t="str">
        <x:v>tabela_rodenstock.pdf</x:v>
      </x:c>
      <x:c r="Y881" s="24" t="str">
        <x:v>alta</x:v>
      </x:c>
      <x:c r="Z881" s="24"/>
      <x:c r="AA881" s="24" t="str">
        <x:v>Rodenstock|Progressiva Freeform|Surfaçada|Progressiv Life||1.5|1.50|Solitaire 2 Protect Balance|-8 a +8|até -6||75/80|||21</x:v>
      </x:c>
    </x:row>
    <x:row r="882">
      <x:c r="A882" s="24" t="str">
        <x:v>RD-F68C4EBF5E8F</x:v>
      </x:c>
      <x:c r="B882" s="24" t="str">
        <x:v>SIM</x:v>
      </x:c>
      <x:c r="C882" s="24" t="str">
        <x:v>DISPONÍVEL</x:v>
      </x:c>
      <x:c r="D882" s="24" t="str">
        <x:v>Rodenstock</x:v>
      </x:c>
      <x:c r="E882" s="24" t="str">
        <x:v>Progressiva Freeform</x:v>
      </x:c>
      <x:c r="F882" s="24" t="str">
        <x:v>Surfaçada</x:v>
      </x:c>
      <x:c r="G882" s="24" t="str">
        <x:v>Progressiv Life</x:v>
      </x:c>
      <x:c r="H882" s="24"/>
      <x:c r="I882" s="24" t="str">
        <x:v>1.5</x:v>
      </x:c>
      <x:c r="J882" s="24" t="str">
        <x:v>1.50</x:v>
      </x:c>
      <x:c r="K882" s="24" t="str">
        <x:v>Solitaire Protect Plus</x:v>
      </x:c>
      <x:c r="L882" s="40" t="n">
        <x:v>5776</x:v>
      </x:c>
      <x:c r="M882" s="24" t="str">
        <x:v>-8 a +8</x:v>
      </x:c>
      <x:c r="N882" s="24" t="str">
        <x:v>até -6</x:v>
      </x:c>
      <x:c r="O882" s="24"/>
      <x:c r="P882" s="24" t="str">
        <x:v>75/80</x:v>
      </x:c>
      <x:c r="Q882" s="24"/>
      <x:c r="R882" s="24"/>
      <x:c r="S882" s="26" t="n">
        <x:v>46024</x:v>
      </x:c>
      <x:c r="T882" s="26"/>
      <x:c r="U882" s="24" t="str">
        <x:v>ATIVA/SEM FIM INFORMADO</x:v>
      </x:c>
      <x:c r="V882" s="24"/>
      <x:c r="W882" s="24" t="n">
        <x:v>21</x:v>
      </x:c>
      <x:c r="X882" s="24" t="str">
        <x:v>tabela_rodenstock.pdf</x:v>
      </x:c>
      <x:c r="Y882" s="24" t="str">
        <x:v>alta</x:v>
      </x:c>
      <x:c r="Z882" s="24"/>
      <x:c r="AA882" s="24" t="str">
        <x:v>Rodenstock|Progressiva Freeform|Surfaçada|Progressiv Life||1.5|1.50|Solitaire Protect Plus|-8 a +8|até -6||75/80|||21</x:v>
      </x:c>
    </x:row>
    <x:row r="883">
      <x:c r="A883" s="24" t="str">
        <x:v>RD-F069256EB23A</x:v>
      </x:c>
      <x:c r="B883" s="24" t="str">
        <x:v>SIM</x:v>
      </x:c>
      <x:c r="C883" s="24" t="str">
        <x:v>DISPONÍVEL</x:v>
      </x:c>
      <x:c r="D883" s="24" t="str">
        <x:v>Rodenstock</x:v>
      </x:c>
      <x:c r="E883" s="24" t="str">
        <x:v>Progressiva Freeform</x:v>
      </x:c>
      <x:c r="F883" s="24" t="str">
        <x:v>Surfaçada</x:v>
      </x:c>
      <x:c r="G883" s="24" t="str">
        <x:v>Progressiv Life</x:v>
      </x:c>
      <x:c r="H883" s="24"/>
      <x:c r="I883" s="24" t="str">
        <x:v>1.5</x:v>
      </x:c>
      <x:c r="J883" s="24" t="str">
        <x:v>1.50</x:v>
      </x:c>
      <x:c r="K883" s="24" t="str">
        <x:v>ROAD</x:v>
      </x:c>
      <x:c r="L883" s="40" t="n">
        <x:v>5776</x:v>
      </x:c>
      <x:c r="M883" s="24" t="str">
        <x:v>-8 a +8</x:v>
      </x:c>
      <x:c r="N883" s="24" t="str">
        <x:v>até -6</x:v>
      </x:c>
      <x:c r="O883" s="24"/>
      <x:c r="P883" s="24" t="str">
        <x:v>75/80</x:v>
      </x:c>
      <x:c r="Q883" s="24"/>
      <x:c r="R883" s="24"/>
      <x:c r="S883" s="26" t="n">
        <x:v>46024</x:v>
      </x:c>
      <x:c r="T883" s="26"/>
      <x:c r="U883" s="24" t="str">
        <x:v>ATIVA/SEM FIM INFORMADO</x:v>
      </x:c>
      <x:c r="V883" s="24"/>
      <x:c r="W883" s="24" t="n">
        <x:v>21</x:v>
      </x:c>
      <x:c r="X883" s="24" t="str">
        <x:v>tabela_rodenstock.pdf</x:v>
      </x:c>
      <x:c r="Y883" s="24" t="str">
        <x:v>alta</x:v>
      </x:c>
      <x:c r="Z883" s="24"/>
      <x:c r="AA883" s="24" t="str">
        <x:v>Rodenstock|Progressiva Freeform|Surfaçada|Progressiv Life||1.5|1.50|ROAD|-8 a +8|até -6||75/80|||21</x:v>
      </x:c>
    </x:row>
    <x:row r="884">
      <x:c r="A884" s="24" t="str">
        <x:v>RD-8B79C759AAAF</x:v>
      </x:c>
      <x:c r="B884" s="24" t="str">
        <x:v>SIM</x:v>
      </x:c>
      <x:c r="C884" s="24" t="str">
        <x:v>DISPONÍVEL</x:v>
      </x:c>
      <x:c r="D884" s="24" t="str">
        <x:v>Rodenstock</x:v>
      </x:c>
      <x:c r="E884" s="24" t="str">
        <x:v>Progressiva Freeform</x:v>
      </x:c>
      <x:c r="F884" s="24" t="str">
        <x:v>Surfaçada</x:v>
      </x:c>
      <x:c r="G884" s="24" t="str">
        <x:v>Progressiv Life</x:v>
      </x:c>
      <x:c r="H884" s="24"/>
      <x:c r="I884" s="24" t="str">
        <x:v>1.5</x:v>
      </x:c>
      <x:c r="J884" s="24" t="str">
        <x:v>1.50</x:v>
      </x:c>
      <x:c r="K884" s="24" t="str">
        <x:v>Solitaire Protect</x:v>
      </x:c>
      <x:c r="L884" s="40" t="n">
        <x:v>5516</x:v>
      </x:c>
      <x:c r="M884" s="24" t="str">
        <x:v>-8 a +8</x:v>
      </x:c>
      <x:c r="N884" s="24" t="str">
        <x:v>até -6</x:v>
      </x:c>
      <x:c r="O884" s="24"/>
      <x:c r="P884" s="24" t="str">
        <x:v>75/80</x:v>
      </x:c>
      <x:c r="Q884" s="24"/>
      <x:c r="R884" s="24"/>
      <x:c r="S884" s="26" t="n">
        <x:v>46024</x:v>
      </x:c>
      <x:c r="T884" s="26"/>
      <x:c r="U884" s="24" t="str">
        <x:v>ATIVA/SEM FIM INFORMADO</x:v>
      </x:c>
      <x:c r="V884" s="24"/>
      <x:c r="W884" s="24" t="n">
        <x:v>21</x:v>
      </x:c>
      <x:c r="X884" s="24" t="str">
        <x:v>tabela_rodenstock.pdf</x:v>
      </x:c>
      <x:c r="Y884" s="24" t="str">
        <x:v>alta</x:v>
      </x:c>
      <x:c r="Z884" s="24"/>
      <x:c r="AA884" s="24" t="str">
        <x:v>Rodenstock|Progressiva Freeform|Surfaçada|Progressiv Life||1.5|1.50|Solitaire Protect|-8 a +8|até -6||75/80|||21</x:v>
      </x:c>
    </x:row>
    <x:row r="885">
      <x:c r="A885" s="24" t="str">
        <x:v>RD-F2F33D1E82E7</x:v>
      </x:c>
      <x:c r="B885" s="24" t="str">
        <x:v>SIM</x:v>
      </x:c>
      <x:c r="C885" s="24" t="str">
        <x:v>DISPONÍVEL</x:v>
      </x:c>
      <x:c r="D885" s="24" t="str">
        <x:v>Rodenstock</x:v>
      </x:c>
      <x:c r="E885" s="24" t="str">
        <x:v>Progressiva Freeform</x:v>
      </x:c>
      <x:c r="F885" s="24" t="str">
        <x:v>Surfaçada</x:v>
      </x:c>
      <x:c r="G885" s="24" t="str">
        <x:v>Progressiv Life</x:v>
      </x:c>
      <x:c r="H885" s="24" t="str">
        <x:v>Polarizada</x:v>
      </x:c>
      <x:c r="I885" s="24" t="str">
        <x:v>1.5</x:v>
      </x:c>
      <x:c r="J885" s="24" t="str">
        <x:v>1.50</x:v>
      </x:c>
      <x:c r="K885" s="24" t="str">
        <x:v>Solitaire X-tra Clean</x:v>
      </x:c>
      <x:c r="L885" s="40" t="n">
        <x:v>6953</x:v>
      </x:c>
      <x:c r="M885" s="24" t="str">
        <x:v>-6 a +6</x:v>
      </x:c>
      <x:c r="N885" s="24" t="str">
        <x:v>até -6</x:v>
      </x:c>
      <x:c r="O885" s="24"/>
      <x:c r="P885" s="24" t="str">
        <x:v>75/80</x:v>
      </x:c>
      <x:c r="Q885" s="24"/>
      <x:c r="R885" s="24"/>
      <x:c r="S885" s="26" t="n">
        <x:v>46024</x:v>
      </x:c>
      <x:c r="T885" s="26"/>
      <x:c r="U885" s="24" t="str">
        <x:v>ATIVA/SEM FIM INFORMADO</x:v>
      </x:c>
      <x:c r="V885" s="24"/>
      <x:c r="W885" s="24" t="n">
        <x:v>21</x:v>
      </x:c>
      <x:c r="X885" s="24" t="str">
        <x:v>tabela_rodenstock.pdf</x:v>
      </x:c>
      <x:c r="Y885" s="24" t="str">
        <x:v>alta</x:v>
      </x:c>
      <x:c r="Z885" s="24"/>
      <x:c r="AA885" s="24" t="str">
        <x:v>Rodenstock|Progressiva Freeform|Surfaçada|Progressiv Life|Polarizada|1.5|1.50|Solitaire X-tra Clean|-6 a +6|até -6||75/80|||21</x:v>
      </x:c>
    </x:row>
    <x:row r="886">
      <x:c r="A886" s="24" t="str">
        <x:v>RD-1B862E00827F</x:v>
      </x:c>
      <x:c r="B886" s="24" t="str">
        <x:v>SIM</x:v>
      </x:c>
      <x:c r="C886" s="24" t="str">
        <x:v>DISPONÍVEL</x:v>
      </x:c>
      <x:c r="D886" s="24" t="str">
        <x:v>Rodenstock</x:v>
      </x:c>
      <x:c r="E886" s="24" t="str">
        <x:v>Progressiva Freeform</x:v>
      </x:c>
      <x:c r="F886" s="24" t="str">
        <x:v>Surfaçada</x:v>
      </x:c>
      <x:c r="G886" s="24" t="str">
        <x:v>Progressiv Life</x:v>
      </x:c>
      <x:c r="H886" s="24" t="str">
        <x:v>Polarizada</x:v>
      </x:c>
      <x:c r="I886" s="24" t="str">
        <x:v>1.5</x:v>
      </x:c>
      <x:c r="J886" s="24" t="str">
        <x:v>1.50</x:v>
      </x:c>
      <x:c r="K886" s="24" t="str">
        <x:v>Solitaire 2 Protect Balance</x:v>
      </x:c>
      <x:c r="L886" s="40" t="n">
        <x:v>6903</x:v>
      </x:c>
      <x:c r="M886" s="24" t="str">
        <x:v>-6 a +6</x:v>
      </x:c>
      <x:c r="N886" s="24" t="str">
        <x:v>até -6</x:v>
      </x:c>
      <x:c r="O886" s="24"/>
      <x:c r="P886" s="24" t="str">
        <x:v>75/80</x:v>
      </x:c>
      <x:c r="Q886" s="24"/>
      <x:c r="R886" s="24"/>
      <x:c r="S886" s="26" t="n">
        <x:v>46024</x:v>
      </x:c>
      <x:c r="T886" s="26"/>
      <x:c r="U886" s="24" t="str">
        <x:v>ATIVA/SEM FIM INFORMADO</x:v>
      </x:c>
      <x:c r="V886" s="24"/>
      <x:c r="W886" s="24" t="n">
        <x:v>21</x:v>
      </x:c>
      <x:c r="X886" s="24" t="str">
        <x:v>tabela_rodenstock.pdf</x:v>
      </x:c>
      <x:c r="Y886" s="24" t="str">
        <x:v>alta</x:v>
      </x:c>
      <x:c r="Z886" s="24"/>
      <x:c r="AA886" s="24" t="str">
        <x:v>Rodenstock|Progressiva Freeform|Surfaçada|Progressiv Life|Polarizada|1.5|1.50|Solitaire 2 Protect Balance|-6 a +6|até -6||75/80|||21</x:v>
      </x:c>
    </x:row>
    <x:row r="887">
      <x:c r="A887" s="24" t="str">
        <x:v>RD-42787A72670B</x:v>
      </x:c>
      <x:c r="B887" s="24" t="str">
        <x:v>SIM</x:v>
      </x:c>
      <x:c r="C887" s="24" t="str">
        <x:v>DISPONÍVEL</x:v>
      </x:c>
      <x:c r="D887" s="24" t="str">
        <x:v>Rodenstock</x:v>
      </x:c>
      <x:c r="E887" s="24" t="str">
        <x:v>Progressiva Freeform</x:v>
      </x:c>
      <x:c r="F887" s="24" t="str">
        <x:v>Surfaçada</x:v>
      </x:c>
      <x:c r="G887" s="24" t="str">
        <x:v>Progressiv Life</x:v>
      </x:c>
      <x:c r="H887" s="24" t="str">
        <x:v>Polarizada</x:v>
      </x:c>
      <x:c r="I887" s="24" t="str">
        <x:v>1.5</x:v>
      </x:c>
      <x:c r="J887" s="24" t="str">
        <x:v>1.50</x:v>
      </x:c>
      <x:c r="K887" s="24" t="str">
        <x:v>Solitaire Protect Plus</x:v>
      </x:c>
      <x:c r="L887" s="40" t="n">
        <x:v>6903</x:v>
      </x:c>
      <x:c r="M887" s="24" t="str">
        <x:v>-6 a +6</x:v>
      </x:c>
      <x:c r="N887" s="24" t="str">
        <x:v>até -6</x:v>
      </x:c>
      <x:c r="O887" s="24"/>
      <x:c r="P887" s="24" t="str">
        <x:v>75/80</x:v>
      </x:c>
      <x:c r="Q887" s="24"/>
      <x:c r="R887" s="24"/>
      <x:c r="S887" s="26" t="n">
        <x:v>46024</x:v>
      </x:c>
      <x:c r="T887" s="26"/>
      <x:c r="U887" s="24" t="str">
        <x:v>ATIVA/SEM FIM INFORMADO</x:v>
      </x:c>
      <x:c r="V887" s="24"/>
      <x:c r="W887" s="24" t="n">
        <x:v>21</x:v>
      </x:c>
      <x:c r="X887" s="24" t="str">
        <x:v>tabela_rodenstock.pdf</x:v>
      </x:c>
      <x:c r="Y887" s="24" t="str">
        <x:v>alta</x:v>
      </x:c>
      <x:c r="Z887" s="24"/>
      <x:c r="AA887" s="24" t="str">
        <x:v>Rodenstock|Progressiva Freeform|Surfaçada|Progressiv Life|Polarizada|1.5|1.50|Solitaire Protect Plus|-6 a +6|até -6||75/80|||21</x:v>
      </x:c>
    </x:row>
    <x:row r="888">
      <x:c r="A888" s="24" t="str">
        <x:v>RD-29BA3D8526C9</x:v>
      </x:c>
      <x:c r="B888" s="24" t="str">
        <x:v>SIM</x:v>
      </x:c>
      <x:c r="C888" s="24" t="str">
        <x:v>DISPONÍVEL</x:v>
      </x:c>
      <x:c r="D888" s="24" t="str">
        <x:v>Rodenstock</x:v>
      </x:c>
      <x:c r="E888" s="24" t="str">
        <x:v>Progressiva Freeform</x:v>
      </x:c>
      <x:c r="F888" s="24" t="str">
        <x:v>Surfaçada</x:v>
      </x:c>
      <x:c r="G888" s="24" t="str">
        <x:v>Progressiv Life</x:v>
      </x:c>
      <x:c r="H888" s="24" t="str">
        <x:v>Polarizada</x:v>
      </x:c>
      <x:c r="I888" s="24" t="str">
        <x:v>1.5</x:v>
      </x:c>
      <x:c r="J888" s="24" t="str">
        <x:v>1.50</x:v>
      </x:c>
      <x:c r="K888" s="24" t="str">
        <x:v>ROAD</x:v>
      </x:c>
      <x:c r="L888" s="40" t="n">
        <x:v>6903</x:v>
      </x:c>
      <x:c r="M888" s="24" t="str">
        <x:v>-6 a +6</x:v>
      </x:c>
      <x:c r="N888" s="24" t="str">
        <x:v>até -6</x:v>
      </x:c>
      <x:c r="O888" s="24"/>
      <x:c r="P888" s="24" t="str">
        <x:v>75/80</x:v>
      </x:c>
      <x:c r="Q888" s="24"/>
      <x:c r="R888" s="24"/>
      <x:c r="S888" s="26" t="n">
        <x:v>46024</x:v>
      </x:c>
      <x:c r="T888" s="26"/>
      <x:c r="U888" s="24" t="str">
        <x:v>ATIVA/SEM FIM INFORMADO</x:v>
      </x:c>
      <x:c r="V888" s="24"/>
      <x:c r="W888" s="24" t="n">
        <x:v>21</x:v>
      </x:c>
      <x:c r="X888" s="24" t="str">
        <x:v>tabela_rodenstock.pdf</x:v>
      </x:c>
      <x:c r="Y888" s="24" t="str">
        <x:v>alta</x:v>
      </x:c>
      <x:c r="Z888" s="24"/>
      <x:c r="AA888" s="24" t="str">
        <x:v>Rodenstock|Progressiva Freeform|Surfaçada|Progressiv Life|Polarizada|1.5|1.50|ROAD|-6 a +6|até -6||75/80|||21</x:v>
      </x:c>
    </x:row>
    <x:row r="889">
      <x:c r="A889" s="24" t="str">
        <x:v>RD-F70704C97607</x:v>
      </x:c>
      <x:c r="B889" s="24" t="str">
        <x:v>SIM</x:v>
      </x:c>
      <x:c r="C889" s="24" t="str">
        <x:v>DISPONÍVEL</x:v>
      </x:c>
      <x:c r="D889" s="24" t="str">
        <x:v>Rodenstock</x:v>
      </x:c>
      <x:c r="E889" s="24" t="str">
        <x:v>Progressiva Freeform</x:v>
      </x:c>
      <x:c r="F889" s="24" t="str">
        <x:v>Surfaçada</x:v>
      </x:c>
      <x:c r="G889" s="24" t="str">
        <x:v>Progressiv Life</x:v>
      </x:c>
      <x:c r="H889" s="24" t="str">
        <x:v>Polarizada</x:v>
      </x:c>
      <x:c r="I889" s="24" t="str">
        <x:v>1.5</x:v>
      </x:c>
      <x:c r="J889" s="24" t="str">
        <x:v>1.50</x:v>
      </x:c>
      <x:c r="K889" s="24" t="str">
        <x:v>Solitaire Protect</x:v>
      </x:c>
      <x:c r="L889" s="40" t="n">
        <x:v>6643</x:v>
      </x:c>
      <x:c r="M889" s="24" t="str">
        <x:v>-6 a +6</x:v>
      </x:c>
      <x:c r="N889" s="24" t="str">
        <x:v>até -6</x:v>
      </x:c>
      <x:c r="O889" s="24"/>
      <x:c r="P889" s="24" t="str">
        <x:v>75/80</x:v>
      </x:c>
      <x:c r="Q889" s="24"/>
      <x:c r="R889" s="24"/>
      <x:c r="S889" s="26" t="n">
        <x:v>46024</x:v>
      </x:c>
      <x:c r="T889" s="26"/>
      <x:c r="U889" s="24" t="str">
        <x:v>ATIVA/SEM FIM INFORMADO</x:v>
      </x:c>
      <x:c r="V889" s="24"/>
      <x:c r="W889" s="24" t="n">
        <x:v>21</x:v>
      </x:c>
      <x:c r="X889" s="24" t="str">
        <x:v>tabela_rodenstock.pdf</x:v>
      </x:c>
      <x:c r="Y889" s="24" t="str">
        <x:v>alta</x:v>
      </x:c>
      <x:c r="Z889" s="24"/>
      <x:c r="AA889" s="24" t="str">
        <x:v>Rodenstock|Progressiva Freeform|Surfaçada|Progressiv Life|Polarizada|1.5|1.50|Solitaire Protect|-6 a +6|até -6||75/80|||21</x:v>
      </x:c>
    </x:row>
    <x:row r="890">
      <x:c r="A890" s="24" t="str">
        <x:v>RD-457819544FF3</x:v>
      </x:c>
      <x:c r="B890" s="24" t="str">
        <x:v>SIM</x:v>
      </x:c>
      <x:c r="C890" s="24" t="str">
        <x:v>DISPONÍVEL</x:v>
      </x:c>
      <x:c r="D890" s="24" t="str">
        <x:v>Rodenstock</x:v>
      </x:c>
      <x:c r="E890" s="24" t="str">
        <x:v>Progressiva Freeform</x:v>
      </x:c>
      <x:c r="F890" s="24" t="str">
        <x:v>Surfaçada</x:v>
      </x:c>
      <x:c r="G890" s="24" t="str">
        <x:v>Progressiv Life</x:v>
      </x:c>
      <x:c r="H890" s="24" t="str">
        <x:v>ColorMatic® 3</x:v>
      </x:c>
      <x:c r="I890" s="24" t="str">
        <x:v>1.54</x:v>
      </x:c>
      <x:c r="J890" s="24" t="str">
        <x:v>1.54</x:v>
      </x:c>
      <x:c r="K890" s="24" t="str">
        <x:v>Solitaire X-tra Clean</x:v>
      </x:c>
      <x:c r="L890" s="40" t="n">
        <x:v>7400</x:v>
      </x:c>
      <x:c r="M890" s="24" t="str">
        <x:v>-8 a +8</x:v>
      </x:c>
      <x:c r="N890" s="24" t="str">
        <x:v>até -6</x:v>
      </x:c>
      <x:c r="O890" s="24"/>
      <x:c r="P890" s="24" t="str">
        <x:v>75/80</x:v>
      </x:c>
      <x:c r="Q890" s="24"/>
      <x:c r="R890" s="24"/>
      <x:c r="S890" s="26" t="n">
        <x:v>46024</x:v>
      </x:c>
      <x:c r="T890" s="26"/>
      <x:c r="U890" s="24" t="str">
        <x:v>ATIVA/SEM FIM INFORMADO</x:v>
      </x:c>
      <x:c r="V890" s="24"/>
      <x:c r="W890" s="24" t="n">
        <x:v>21</x:v>
      </x:c>
      <x:c r="X890" s="24" t="str">
        <x:v>tabela_rodenstock.pdf</x:v>
      </x:c>
      <x:c r="Y890" s="24" t="str">
        <x:v>alta</x:v>
      </x:c>
      <x:c r="Z890" s="24"/>
      <x:c r="AA890" s="24" t="str">
        <x:v>Rodenstock|Progressiva Freeform|Surfaçada|Progressiv Life|ColorMatic® 3|1.54|1.54|Solitaire X-tra Clean|-8 a +8|até -6||75/80|||21</x:v>
      </x:c>
    </x:row>
    <x:row r="891">
      <x:c r="A891" s="24" t="str">
        <x:v>RD-E11602EE5E57</x:v>
      </x:c>
      <x:c r="B891" s="24" t="str">
        <x:v>SIM</x:v>
      </x:c>
      <x:c r="C891" s="24" t="str">
        <x:v>DISPONÍVEL</x:v>
      </x:c>
      <x:c r="D891" s="24" t="str">
        <x:v>Rodenstock</x:v>
      </x:c>
      <x:c r="E891" s="24" t="str">
        <x:v>Progressiva Freeform</x:v>
      </x:c>
      <x:c r="F891" s="24" t="str">
        <x:v>Surfaçada</x:v>
      </x:c>
      <x:c r="G891" s="24" t="str">
        <x:v>Progressiv Life</x:v>
      </x:c>
      <x:c r="H891" s="24" t="str">
        <x:v>ColorMatic® 3</x:v>
      </x:c>
      <x:c r="I891" s="24" t="str">
        <x:v>1.54</x:v>
      </x:c>
      <x:c r="J891" s="24" t="str">
        <x:v>1.54</x:v>
      </x:c>
      <x:c r="K891" s="24" t="str">
        <x:v>Solitaire 2 Protect Balance</x:v>
      </x:c>
      <x:c r="L891" s="40" t="n">
        <x:v>7350</x:v>
      </x:c>
      <x:c r="M891" s="24" t="str">
        <x:v>-8 a +8</x:v>
      </x:c>
      <x:c r="N891" s="24" t="str">
        <x:v>até -6</x:v>
      </x:c>
      <x:c r="O891" s="24"/>
      <x:c r="P891" s="24" t="str">
        <x:v>75/80</x:v>
      </x:c>
      <x:c r="Q891" s="24"/>
      <x:c r="R891" s="24"/>
      <x:c r="S891" s="26" t="n">
        <x:v>46024</x:v>
      </x:c>
      <x:c r="T891" s="26"/>
      <x:c r="U891" s="24" t="str">
        <x:v>ATIVA/SEM FIM INFORMADO</x:v>
      </x:c>
      <x:c r="V891" s="24"/>
      <x:c r="W891" s="24" t="n">
        <x:v>21</x:v>
      </x:c>
      <x:c r="X891" s="24" t="str">
        <x:v>tabela_rodenstock.pdf</x:v>
      </x:c>
      <x:c r="Y891" s="24" t="str">
        <x:v>alta</x:v>
      </x:c>
      <x:c r="Z891" s="24"/>
      <x:c r="AA891" s="24" t="str">
        <x:v>Rodenstock|Progressiva Freeform|Surfaçada|Progressiv Life|ColorMatic® 3|1.54|1.54|Solitaire 2 Protect Balance|-8 a +8|até -6||75/80|||21</x:v>
      </x:c>
    </x:row>
    <x:row r="892">
      <x:c r="A892" s="24" t="str">
        <x:v>RD-93A5DBC5E15A</x:v>
      </x:c>
      <x:c r="B892" s="24" t="str">
        <x:v>SIM</x:v>
      </x:c>
      <x:c r="C892" s="24" t="str">
        <x:v>DISPONÍVEL</x:v>
      </x:c>
      <x:c r="D892" s="24" t="str">
        <x:v>Rodenstock</x:v>
      </x:c>
      <x:c r="E892" s="24" t="str">
        <x:v>Progressiva Freeform</x:v>
      </x:c>
      <x:c r="F892" s="24" t="str">
        <x:v>Surfaçada</x:v>
      </x:c>
      <x:c r="G892" s="24" t="str">
        <x:v>Progressiv Life</x:v>
      </x:c>
      <x:c r="H892" s="24" t="str">
        <x:v>ColorMatic® 3</x:v>
      </x:c>
      <x:c r="I892" s="24" t="str">
        <x:v>1.54</x:v>
      </x:c>
      <x:c r="J892" s="24" t="str">
        <x:v>1.54</x:v>
      </x:c>
      <x:c r="K892" s="24" t="str">
        <x:v>Solitaire Protect Plus</x:v>
      </x:c>
      <x:c r="L892" s="40" t="n">
        <x:v>7350</x:v>
      </x:c>
      <x:c r="M892" s="24" t="str">
        <x:v>-8 a +8</x:v>
      </x:c>
      <x:c r="N892" s="24" t="str">
        <x:v>até -6</x:v>
      </x:c>
      <x:c r="O892" s="24"/>
      <x:c r="P892" s="24" t="str">
        <x:v>75/80</x:v>
      </x:c>
      <x:c r="Q892" s="24"/>
      <x:c r="R892" s="24"/>
      <x:c r="S892" s="26" t="n">
        <x:v>46024</x:v>
      </x:c>
      <x:c r="T892" s="26"/>
      <x:c r="U892" s="24" t="str">
        <x:v>ATIVA/SEM FIM INFORMADO</x:v>
      </x:c>
      <x:c r="V892" s="24"/>
      <x:c r="W892" s="24" t="n">
        <x:v>21</x:v>
      </x:c>
      <x:c r="X892" s="24" t="str">
        <x:v>tabela_rodenstock.pdf</x:v>
      </x:c>
      <x:c r="Y892" s="24" t="str">
        <x:v>alta</x:v>
      </x:c>
      <x:c r="Z892" s="24"/>
      <x:c r="AA892" s="24" t="str">
        <x:v>Rodenstock|Progressiva Freeform|Surfaçada|Progressiv Life|ColorMatic® 3|1.54|1.54|Solitaire Protect Plus|-8 a +8|até -6||75/80|||21</x:v>
      </x:c>
    </x:row>
    <x:row r="893">
      <x:c r="A893" s="24" t="str">
        <x:v>RD-259BF07C4F7D</x:v>
      </x:c>
      <x:c r="B893" s="24" t="str">
        <x:v>SIM</x:v>
      </x:c>
      <x:c r="C893" s="24" t="str">
        <x:v>DISPONÍVEL</x:v>
      </x:c>
      <x:c r="D893" s="24" t="str">
        <x:v>Rodenstock</x:v>
      </x:c>
      <x:c r="E893" s="24" t="str">
        <x:v>Progressiva Freeform</x:v>
      </x:c>
      <x:c r="F893" s="24" t="str">
        <x:v>Surfaçada</x:v>
      </x:c>
      <x:c r="G893" s="24" t="str">
        <x:v>Progressiv Life</x:v>
      </x:c>
      <x:c r="H893" s="24" t="str">
        <x:v>ColorMatic® 3</x:v>
      </x:c>
      <x:c r="I893" s="24" t="str">
        <x:v>1.54</x:v>
      </x:c>
      <x:c r="J893" s="24" t="str">
        <x:v>1.54</x:v>
      </x:c>
      <x:c r="K893" s="24" t="str">
        <x:v>ROAD</x:v>
      </x:c>
      <x:c r="L893" s="40" t="n">
        <x:v>7350</x:v>
      </x:c>
      <x:c r="M893" s="24" t="str">
        <x:v>-8 a +8</x:v>
      </x:c>
      <x:c r="N893" s="24" t="str">
        <x:v>até -6</x:v>
      </x:c>
      <x:c r="O893" s="24"/>
      <x:c r="P893" s="24" t="str">
        <x:v>75/80</x:v>
      </x:c>
      <x:c r="Q893" s="24"/>
      <x:c r="R893" s="24"/>
      <x:c r="S893" s="26" t="n">
        <x:v>46024</x:v>
      </x:c>
      <x:c r="T893" s="26"/>
      <x:c r="U893" s="24" t="str">
        <x:v>ATIVA/SEM FIM INFORMADO</x:v>
      </x:c>
      <x:c r="V893" s="24"/>
      <x:c r="W893" s="24" t="n">
        <x:v>21</x:v>
      </x:c>
      <x:c r="X893" s="24" t="str">
        <x:v>tabela_rodenstock.pdf</x:v>
      </x:c>
      <x:c r="Y893" s="24" t="str">
        <x:v>alta</x:v>
      </x:c>
      <x:c r="Z893" s="24"/>
      <x:c r="AA893" s="24" t="str">
        <x:v>Rodenstock|Progressiva Freeform|Surfaçada|Progressiv Life|ColorMatic® 3|1.54|1.54|ROAD|-8 a +8|até -6||75/80|||21</x:v>
      </x:c>
    </x:row>
    <x:row r="894">
      <x:c r="A894" s="24" t="str">
        <x:v>RD-89D7FE30FC9B</x:v>
      </x:c>
      <x:c r="B894" s="24" t="str">
        <x:v>SIM</x:v>
      </x:c>
      <x:c r="C894" s="24" t="str">
        <x:v>DISPONÍVEL</x:v>
      </x:c>
      <x:c r="D894" s="24" t="str">
        <x:v>Rodenstock</x:v>
      </x:c>
      <x:c r="E894" s="24" t="str">
        <x:v>Progressiva Freeform</x:v>
      </x:c>
      <x:c r="F894" s="24" t="str">
        <x:v>Surfaçada</x:v>
      </x:c>
      <x:c r="G894" s="24" t="str">
        <x:v>Progressiv Life</x:v>
      </x:c>
      <x:c r="H894" s="24" t="str">
        <x:v>ColorMatic® 3</x:v>
      </x:c>
      <x:c r="I894" s="24" t="str">
        <x:v>1.54</x:v>
      </x:c>
      <x:c r="J894" s="24" t="str">
        <x:v>1.54</x:v>
      </x:c>
      <x:c r="K894" s="24" t="str">
        <x:v>Solitaire Protect</x:v>
      </x:c>
      <x:c r="L894" s="40" t="n">
        <x:v>7090</x:v>
      </x:c>
      <x:c r="M894" s="24" t="str">
        <x:v>-8 a +8</x:v>
      </x:c>
      <x:c r="N894" s="24" t="str">
        <x:v>até -6</x:v>
      </x:c>
      <x:c r="O894" s="24"/>
      <x:c r="P894" s="24" t="str">
        <x:v>75/80</x:v>
      </x:c>
      <x:c r="Q894" s="24"/>
      <x:c r="R894" s="24"/>
      <x:c r="S894" s="26" t="n">
        <x:v>46024</x:v>
      </x:c>
      <x:c r="T894" s="26"/>
      <x:c r="U894" s="24" t="str">
        <x:v>ATIVA/SEM FIM INFORMADO</x:v>
      </x:c>
      <x:c r="V894" s="24"/>
      <x:c r="W894" s="24" t="n">
        <x:v>21</x:v>
      </x:c>
      <x:c r="X894" s="24" t="str">
        <x:v>tabela_rodenstock.pdf</x:v>
      </x:c>
      <x:c r="Y894" s="24" t="str">
        <x:v>alta</x:v>
      </x:c>
      <x:c r="Z894" s="24"/>
      <x:c r="AA894" s="24" t="str">
        <x:v>Rodenstock|Progressiva Freeform|Surfaçada|Progressiv Life|ColorMatic® 3|1.54|1.54|Solitaire Protect|-8 a +8|até -6||75/80|||21</x:v>
      </x:c>
    </x:row>
    <x:row r="895">
      <x:c r="A895" s="24" t="str">
        <x:v>RD-DE242CEC7303</x:v>
      </x:c>
      <x:c r="B895" s="24" t="str">
        <x:v>SIM</x:v>
      </x:c>
      <x:c r="C895" s="24" t="str">
        <x:v>DISPONÍVEL</x:v>
      </x:c>
      <x:c r="D895" s="24" t="str">
        <x:v>Rodenstock</x:v>
      </x:c>
      <x:c r="E895" s="24" t="str">
        <x:v>Progressiva Freeform</x:v>
      </x:c>
      <x:c r="F895" s="24" t="str">
        <x:v>Surfaçada</x:v>
      </x:c>
      <x:c r="G895" s="24" t="str">
        <x:v>Progressiv Life</x:v>
      </x:c>
      <x:c r="H895" s="24"/>
      <x:c r="I895" s="24" t="str">
        <x:v>1.6</x:v>
      </x:c>
      <x:c r="J895" s="24" t="str">
        <x:v>1.60</x:v>
      </x:c>
      <x:c r="K895" s="24" t="str">
        <x:v>Solitaire X-tra Clean</x:v>
      </x:c>
      <x:c r="L895" s="40" t="n">
        <x:v>6958</x:v>
      </x:c>
      <x:c r="M895" s="24" t="str">
        <x:v>-10 a +8</x:v>
      </x:c>
      <x:c r="N895" s="24" t="str">
        <x:v>até -6</x:v>
      </x:c>
      <x:c r="O895" s="24"/>
      <x:c r="P895" s="24" t="str">
        <x:v>75/80</x:v>
      </x:c>
      <x:c r="Q895" s="24"/>
      <x:c r="R895" s="24"/>
      <x:c r="S895" s="26" t="n">
        <x:v>46024</x:v>
      </x:c>
      <x:c r="T895" s="26"/>
      <x:c r="U895" s="24" t="str">
        <x:v>ATIVA/SEM FIM INFORMADO</x:v>
      </x:c>
      <x:c r="V895" s="24"/>
      <x:c r="W895" s="24" t="n">
        <x:v>21</x:v>
      </x:c>
      <x:c r="X895" s="24" t="str">
        <x:v>tabela_rodenstock.pdf</x:v>
      </x:c>
      <x:c r="Y895" s="24" t="str">
        <x:v>alta</x:v>
      </x:c>
      <x:c r="Z895" s="24"/>
      <x:c r="AA895" s="24" t="str">
        <x:v>Rodenstock|Progressiva Freeform|Surfaçada|Progressiv Life||1.6|1.60|Solitaire X-tra Clean|-10 a +8|até -6||75/80|||21</x:v>
      </x:c>
    </x:row>
    <x:row r="896">
      <x:c r="A896" s="24" t="str">
        <x:v>RD-0BF06A5CEF41</x:v>
      </x:c>
      <x:c r="B896" s="24" t="str">
        <x:v>SIM</x:v>
      </x:c>
      <x:c r="C896" s="24" t="str">
        <x:v>DISPONÍVEL</x:v>
      </x:c>
      <x:c r="D896" s="24" t="str">
        <x:v>Rodenstock</x:v>
      </x:c>
      <x:c r="E896" s="24" t="str">
        <x:v>Progressiva Freeform</x:v>
      </x:c>
      <x:c r="F896" s="24" t="str">
        <x:v>Surfaçada</x:v>
      </x:c>
      <x:c r="G896" s="24" t="str">
        <x:v>Progressiv Life</x:v>
      </x:c>
      <x:c r="H896" s="24"/>
      <x:c r="I896" s="24" t="str">
        <x:v>1.6</x:v>
      </x:c>
      <x:c r="J896" s="24" t="str">
        <x:v>1.60</x:v>
      </x:c>
      <x:c r="K896" s="24" t="str">
        <x:v>Solitaire 2 Protect Balance</x:v>
      </x:c>
      <x:c r="L896" s="40" t="n">
        <x:v>6908</x:v>
      </x:c>
      <x:c r="M896" s="24" t="str">
        <x:v>-10 a +8</x:v>
      </x:c>
      <x:c r="N896" s="24" t="str">
        <x:v>até -6</x:v>
      </x:c>
      <x:c r="O896" s="24"/>
      <x:c r="P896" s="24" t="str">
        <x:v>75/80</x:v>
      </x:c>
      <x:c r="Q896" s="24"/>
      <x:c r="R896" s="24"/>
      <x:c r="S896" s="26" t="n">
        <x:v>46024</x:v>
      </x:c>
      <x:c r="T896" s="26"/>
      <x:c r="U896" s="24" t="str">
        <x:v>ATIVA/SEM FIM INFORMADO</x:v>
      </x:c>
      <x:c r="V896" s="24"/>
      <x:c r="W896" s="24" t="n">
        <x:v>21</x:v>
      </x:c>
      <x:c r="X896" s="24" t="str">
        <x:v>tabela_rodenstock.pdf</x:v>
      </x:c>
      <x:c r="Y896" s="24" t="str">
        <x:v>alta</x:v>
      </x:c>
      <x:c r="Z896" s="24"/>
      <x:c r="AA896" s="24" t="str">
        <x:v>Rodenstock|Progressiva Freeform|Surfaçada|Progressiv Life||1.6|1.60|Solitaire 2 Protect Balance|-10 a +8|até -6||75/80|||21</x:v>
      </x:c>
    </x:row>
    <x:row r="897">
      <x:c r="A897" s="24" t="str">
        <x:v>RD-FBE5EE316AF6</x:v>
      </x:c>
      <x:c r="B897" s="24" t="str">
        <x:v>SIM</x:v>
      </x:c>
      <x:c r="C897" s="24" t="str">
        <x:v>DISPONÍVEL</x:v>
      </x:c>
      <x:c r="D897" s="24" t="str">
        <x:v>Rodenstock</x:v>
      </x:c>
      <x:c r="E897" s="24" t="str">
        <x:v>Progressiva Freeform</x:v>
      </x:c>
      <x:c r="F897" s="24" t="str">
        <x:v>Surfaçada</x:v>
      </x:c>
      <x:c r="G897" s="24" t="str">
        <x:v>Progressiv Life</x:v>
      </x:c>
      <x:c r="H897" s="24"/>
      <x:c r="I897" s="24" t="str">
        <x:v>1.6</x:v>
      </x:c>
      <x:c r="J897" s="24" t="str">
        <x:v>1.60</x:v>
      </x:c>
      <x:c r="K897" s="24" t="str">
        <x:v>Solitaire Protect Plus</x:v>
      </x:c>
      <x:c r="L897" s="40" t="n">
        <x:v>6908</x:v>
      </x:c>
      <x:c r="M897" s="24" t="str">
        <x:v>-10 a +8</x:v>
      </x:c>
      <x:c r="N897" s="24" t="str">
        <x:v>até -6</x:v>
      </x:c>
      <x:c r="O897" s="24"/>
      <x:c r="P897" s="24" t="str">
        <x:v>75/80</x:v>
      </x:c>
      <x:c r="Q897" s="24"/>
      <x:c r="R897" s="24"/>
      <x:c r="S897" s="26" t="n">
        <x:v>46024</x:v>
      </x:c>
      <x:c r="T897" s="26"/>
      <x:c r="U897" s="24" t="str">
        <x:v>ATIVA/SEM FIM INFORMADO</x:v>
      </x:c>
      <x:c r="V897" s="24"/>
      <x:c r="W897" s="24" t="n">
        <x:v>21</x:v>
      </x:c>
      <x:c r="X897" s="24" t="str">
        <x:v>tabela_rodenstock.pdf</x:v>
      </x:c>
      <x:c r="Y897" s="24" t="str">
        <x:v>alta</x:v>
      </x:c>
      <x:c r="Z897" s="24"/>
      <x:c r="AA897" s="24" t="str">
        <x:v>Rodenstock|Progressiva Freeform|Surfaçada|Progressiv Life||1.6|1.60|Solitaire Protect Plus|-10 a +8|até -6||75/80|||21</x:v>
      </x:c>
    </x:row>
    <x:row r="898">
      <x:c r="A898" s="24" t="str">
        <x:v>RD-F81213B81BAB</x:v>
      </x:c>
      <x:c r="B898" s="24" t="str">
        <x:v>SIM</x:v>
      </x:c>
      <x:c r="C898" s="24" t="str">
        <x:v>DISPONÍVEL</x:v>
      </x:c>
      <x:c r="D898" s="24" t="str">
        <x:v>Rodenstock</x:v>
      </x:c>
      <x:c r="E898" s="24" t="str">
        <x:v>Progressiva Freeform</x:v>
      </x:c>
      <x:c r="F898" s="24" t="str">
        <x:v>Surfaçada</x:v>
      </x:c>
      <x:c r="G898" s="24" t="str">
        <x:v>Progressiv Life</x:v>
      </x:c>
      <x:c r="H898" s="24"/>
      <x:c r="I898" s="24" t="str">
        <x:v>1.6</x:v>
      </x:c>
      <x:c r="J898" s="24" t="str">
        <x:v>1.60</x:v>
      </x:c>
      <x:c r="K898" s="24" t="str">
        <x:v>ROAD</x:v>
      </x:c>
      <x:c r="L898" s="40" t="n">
        <x:v>6908</x:v>
      </x:c>
      <x:c r="M898" s="24" t="str">
        <x:v>-10 a +8</x:v>
      </x:c>
      <x:c r="N898" s="24" t="str">
        <x:v>até -6</x:v>
      </x:c>
      <x:c r="O898" s="24"/>
      <x:c r="P898" s="24" t="str">
        <x:v>75/80</x:v>
      </x:c>
      <x:c r="Q898" s="24"/>
      <x:c r="R898" s="24"/>
      <x:c r="S898" s="26" t="n">
        <x:v>46024</x:v>
      </x:c>
      <x:c r="T898" s="26"/>
      <x:c r="U898" s="24" t="str">
        <x:v>ATIVA/SEM FIM INFORMADO</x:v>
      </x:c>
      <x:c r="V898" s="24"/>
      <x:c r="W898" s="24" t="n">
        <x:v>21</x:v>
      </x:c>
      <x:c r="X898" s="24" t="str">
        <x:v>tabela_rodenstock.pdf</x:v>
      </x:c>
      <x:c r="Y898" s="24" t="str">
        <x:v>alta</x:v>
      </x:c>
      <x:c r="Z898" s="24"/>
      <x:c r="AA898" s="24" t="str">
        <x:v>Rodenstock|Progressiva Freeform|Surfaçada|Progressiv Life||1.6|1.60|ROAD|-10 a +8|até -6||75/80|||21</x:v>
      </x:c>
    </x:row>
    <x:row r="899">
      <x:c r="A899" s="24" t="str">
        <x:v>RD-3C4556A00E70</x:v>
      </x:c>
      <x:c r="B899" s="24" t="str">
        <x:v>SIM</x:v>
      </x:c>
      <x:c r="C899" s="24" t="str">
        <x:v>DISPONÍVEL</x:v>
      </x:c>
      <x:c r="D899" s="24" t="str">
        <x:v>Rodenstock</x:v>
      </x:c>
      <x:c r="E899" s="24" t="str">
        <x:v>Progressiva Freeform</x:v>
      </x:c>
      <x:c r="F899" s="24" t="str">
        <x:v>Surfaçada</x:v>
      </x:c>
      <x:c r="G899" s="24" t="str">
        <x:v>Progressiv Life</x:v>
      </x:c>
      <x:c r="H899" s="24"/>
      <x:c r="I899" s="24" t="str">
        <x:v>1.6</x:v>
      </x:c>
      <x:c r="J899" s="24" t="str">
        <x:v>1.60</x:v>
      </x:c>
      <x:c r="K899" s="24" t="str">
        <x:v>Solitaire Protect</x:v>
      </x:c>
      <x:c r="L899" s="40" t="n">
        <x:v>6648</x:v>
      </x:c>
      <x:c r="M899" s="24" t="str">
        <x:v>-10 a +8</x:v>
      </x:c>
      <x:c r="N899" s="24" t="str">
        <x:v>até -6</x:v>
      </x:c>
      <x:c r="O899" s="24"/>
      <x:c r="P899" s="24" t="str">
        <x:v>75/80</x:v>
      </x:c>
      <x:c r="Q899" s="24"/>
      <x:c r="R899" s="24"/>
      <x:c r="S899" s="26" t="n">
        <x:v>46024</x:v>
      </x:c>
      <x:c r="T899" s="26"/>
      <x:c r="U899" s="24" t="str">
        <x:v>ATIVA/SEM FIM INFORMADO</x:v>
      </x:c>
      <x:c r="V899" s="24"/>
      <x:c r="W899" s="24" t="n">
        <x:v>21</x:v>
      </x:c>
      <x:c r="X899" s="24" t="str">
        <x:v>tabela_rodenstock.pdf</x:v>
      </x:c>
      <x:c r="Y899" s="24" t="str">
        <x:v>alta</x:v>
      </x:c>
      <x:c r="Z899" s="24"/>
      <x:c r="AA899" s="24" t="str">
        <x:v>Rodenstock|Progressiva Freeform|Surfaçada|Progressiv Life||1.6|1.60|Solitaire Protect|-10 a +8|até -6||75/80|||21</x:v>
      </x:c>
    </x:row>
    <x:row r="900">
      <x:c r="A900" s="24" t="str">
        <x:v>RD-7DF31E0D1C1C</x:v>
      </x:c>
      <x:c r="B900" s="24" t="str">
        <x:v>SIM</x:v>
      </x:c>
      <x:c r="C900" s="24" t="str">
        <x:v>DISPONÍVEL</x:v>
      </x:c>
      <x:c r="D900" s="24" t="str">
        <x:v>Rodenstock</x:v>
      </x:c>
      <x:c r="E900" s="24" t="str">
        <x:v>Progressiva Freeform</x:v>
      </x:c>
      <x:c r="F900" s="24" t="str">
        <x:v>Surfaçada</x:v>
      </x:c>
      <x:c r="G900" s="24" t="str">
        <x:v>Progressiv Life</x:v>
      </x:c>
      <x:c r="H900" s="24" t="str">
        <x:v>PRO410</x:v>
      </x:c>
      <x:c r="I900" s="24" t="str">
        <x:v>1.6</x:v>
      </x:c>
      <x:c r="J900" s="24" t="str">
        <x:v>1.60</x:v>
      </x:c>
      <x:c r="K900" s="24" t="str">
        <x:v>Solitaire X-tra Clean</x:v>
      </x:c>
      <x:c r="L900" s="40" t="n">
        <x:v>7248</x:v>
      </x:c>
      <x:c r="M900" s="24" t="str">
        <x:v>-10 a +8</x:v>
      </x:c>
      <x:c r="N900" s="24" t="str">
        <x:v>até -6</x:v>
      </x:c>
      <x:c r="O900" s="24"/>
      <x:c r="P900" s="24" t="str">
        <x:v>75/80</x:v>
      </x:c>
      <x:c r="Q900" s="24"/>
      <x:c r="R900" s="24"/>
      <x:c r="S900" s="26" t="n">
        <x:v>46024</x:v>
      </x:c>
      <x:c r="T900" s="26"/>
      <x:c r="U900" s="24" t="str">
        <x:v>ATIVA/SEM FIM INFORMADO</x:v>
      </x:c>
      <x:c r="V900" s="24"/>
      <x:c r="W900" s="24" t="n">
        <x:v>21</x:v>
      </x:c>
      <x:c r="X900" s="24" t="str">
        <x:v>tabela_rodenstock.pdf</x:v>
      </x:c>
      <x:c r="Y900" s="24" t="str">
        <x:v>alta</x:v>
      </x:c>
      <x:c r="Z900" s="24"/>
      <x:c r="AA900" s="24" t="str">
        <x:v>Rodenstock|Progressiva Freeform|Surfaçada|Progressiv Life|PRO410|1.6|1.60|Solitaire X-tra Clean|-10 a +8|até -6||75/80|||21</x:v>
      </x:c>
    </x:row>
    <x:row r="901">
      <x:c r="A901" s="24" t="str">
        <x:v>RD-32A1EB40F13A</x:v>
      </x:c>
      <x:c r="B901" s="24" t="str">
        <x:v>SIM</x:v>
      </x:c>
      <x:c r="C901" s="24" t="str">
        <x:v>DISPONÍVEL</x:v>
      </x:c>
      <x:c r="D901" s="24" t="str">
        <x:v>Rodenstock</x:v>
      </x:c>
      <x:c r="E901" s="24" t="str">
        <x:v>Progressiva Freeform</x:v>
      </x:c>
      <x:c r="F901" s="24" t="str">
        <x:v>Surfaçada</x:v>
      </x:c>
      <x:c r="G901" s="24" t="str">
        <x:v>Progressiv Life</x:v>
      </x:c>
      <x:c r="H901" s="24" t="str">
        <x:v>PRO410</x:v>
      </x:c>
      <x:c r="I901" s="24" t="str">
        <x:v>1.6</x:v>
      </x:c>
      <x:c r="J901" s="24" t="str">
        <x:v>1.60</x:v>
      </x:c>
      <x:c r="K901" s="24" t="str">
        <x:v>Solitaire 2 Protect Balance</x:v>
      </x:c>
      <x:c r="L901" s="40" t="n">
        <x:v>7198</x:v>
      </x:c>
      <x:c r="M901" s="24" t="str">
        <x:v>-10 a +8</x:v>
      </x:c>
      <x:c r="N901" s="24" t="str">
        <x:v>até -6</x:v>
      </x:c>
      <x:c r="O901" s="24"/>
      <x:c r="P901" s="24" t="str">
        <x:v>75/80</x:v>
      </x:c>
      <x:c r="Q901" s="24"/>
      <x:c r="R901" s="24"/>
      <x:c r="S901" s="26" t="n">
        <x:v>46024</x:v>
      </x:c>
      <x:c r="T901" s="26"/>
      <x:c r="U901" s="24" t="str">
        <x:v>ATIVA/SEM FIM INFORMADO</x:v>
      </x:c>
      <x:c r="V901" s="24"/>
      <x:c r="W901" s="24" t="n">
        <x:v>21</x:v>
      </x:c>
      <x:c r="X901" s="24" t="str">
        <x:v>tabela_rodenstock.pdf</x:v>
      </x:c>
      <x:c r="Y901" s="24" t="str">
        <x:v>alta</x:v>
      </x:c>
      <x:c r="Z901" s="24"/>
      <x:c r="AA901" s="24" t="str">
        <x:v>Rodenstock|Progressiva Freeform|Surfaçada|Progressiv Life|PRO410|1.6|1.60|Solitaire 2 Protect Balance|-10 a +8|até -6||75/80|||21</x:v>
      </x:c>
    </x:row>
    <x:row r="902">
      <x:c r="A902" s="24" t="str">
        <x:v>RD-BCBA6422072B</x:v>
      </x:c>
      <x:c r="B902" s="24" t="str">
        <x:v>SIM</x:v>
      </x:c>
      <x:c r="C902" s="24" t="str">
        <x:v>DISPONÍVEL</x:v>
      </x:c>
      <x:c r="D902" s="24" t="str">
        <x:v>Rodenstock</x:v>
      </x:c>
      <x:c r="E902" s="24" t="str">
        <x:v>Progressiva Freeform</x:v>
      </x:c>
      <x:c r="F902" s="24" t="str">
        <x:v>Surfaçada</x:v>
      </x:c>
      <x:c r="G902" s="24" t="str">
        <x:v>Progressiv Life</x:v>
      </x:c>
      <x:c r="H902" s="24" t="str">
        <x:v>PRO410</x:v>
      </x:c>
      <x:c r="I902" s="24" t="str">
        <x:v>1.6</x:v>
      </x:c>
      <x:c r="J902" s="24" t="str">
        <x:v>1.60</x:v>
      </x:c>
      <x:c r="K902" s="24" t="str">
        <x:v>Solitaire Protect Plus</x:v>
      </x:c>
      <x:c r="L902" s="40" t="n">
        <x:v>7198</x:v>
      </x:c>
      <x:c r="M902" s="24" t="str">
        <x:v>-10 a +8</x:v>
      </x:c>
      <x:c r="N902" s="24" t="str">
        <x:v>até -6</x:v>
      </x:c>
      <x:c r="O902" s="24"/>
      <x:c r="P902" s="24" t="str">
        <x:v>75/80</x:v>
      </x:c>
      <x:c r="Q902" s="24"/>
      <x:c r="R902" s="24"/>
      <x:c r="S902" s="26" t="n">
        <x:v>46024</x:v>
      </x:c>
      <x:c r="T902" s="26"/>
      <x:c r="U902" s="24" t="str">
        <x:v>ATIVA/SEM FIM INFORMADO</x:v>
      </x:c>
      <x:c r="V902" s="24"/>
      <x:c r="W902" s="24" t="n">
        <x:v>21</x:v>
      </x:c>
      <x:c r="X902" s="24" t="str">
        <x:v>tabela_rodenstock.pdf</x:v>
      </x:c>
      <x:c r="Y902" s="24" t="str">
        <x:v>alta</x:v>
      </x:c>
      <x:c r="Z902" s="24"/>
      <x:c r="AA902" s="24" t="str">
        <x:v>Rodenstock|Progressiva Freeform|Surfaçada|Progressiv Life|PRO410|1.6|1.60|Solitaire Protect Plus|-10 a +8|até -6||75/80|||21</x:v>
      </x:c>
    </x:row>
    <x:row r="903">
      <x:c r="A903" s="24" t="str">
        <x:v>RD-FDCD91A653CC</x:v>
      </x:c>
      <x:c r="B903" s="24" t="str">
        <x:v>SIM</x:v>
      </x:c>
      <x:c r="C903" s="24" t="str">
        <x:v>DISPONÍVEL</x:v>
      </x:c>
      <x:c r="D903" s="24" t="str">
        <x:v>Rodenstock</x:v>
      </x:c>
      <x:c r="E903" s="24" t="str">
        <x:v>Progressiva Freeform</x:v>
      </x:c>
      <x:c r="F903" s="24" t="str">
        <x:v>Surfaçada</x:v>
      </x:c>
      <x:c r="G903" s="24" t="str">
        <x:v>Progressiv Life</x:v>
      </x:c>
      <x:c r="H903" s="24" t="str">
        <x:v>PRO410</x:v>
      </x:c>
      <x:c r="I903" s="24" t="str">
        <x:v>1.6</x:v>
      </x:c>
      <x:c r="J903" s="24" t="str">
        <x:v>1.60</x:v>
      </x:c>
      <x:c r="K903" s="24" t="str">
        <x:v>ROAD</x:v>
      </x:c>
      <x:c r="L903" s="40" t="n">
        <x:v>7198</x:v>
      </x:c>
      <x:c r="M903" s="24" t="str">
        <x:v>-10 a +8</x:v>
      </x:c>
      <x:c r="N903" s="24" t="str">
        <x:v>até -6</x:v>
      </x:c>
      <x:c r="O903" s="24"/>
      <x:c r="P903" s="24" t="str">
        <x:v>75/80</x:v>
      </x:c>
      <x:c r="Q903" s="24"/>
      <x:c r="R903" s="24"/>
      <x:c r="S903" s="26" t="n">
        <x:v>46024</x:v>
      </x:c>
      <x:c r="T903" s="26"/>
      <x:c r="U903" s="24" t="str">
        <x:v>ATIVA/SEM FIM INFORMADO</x:v>
      </x:c>
      <x:c r="V903" s="24"/>
      <x:c r="W903" s="24" t="n">
        <x:v>21</x:v>
      </x:c>
      <x:c r="X903" s="24" t="str">
        <x:v>tabela_rodenstock.pdf</x:v>
      </x:c>
      <x:c r="Y903" s="24" t="str">
        <x:v>alta</x:v>
      </x:c>
      <x:c r="Z903" s="24"/>
      <x:c r="AA903" s="24" t="str">
        <x:v>Rodenstock|Progressiva Freeform|Surfaçada|Progressiv Life|PRO410|1.6|1.60|ROAD|-10 a +8|até -6||75/80|||21</x:v>
      </x:c>
    </x:row>
    <x:row r="904">
      <x:c r="A904" s="24" t="str">
        <x:v>RD-F3D859C2F069</x:v>
      </x:c>
      <x:c r="B904" s="24" t="str">
        <x:v>SIM</x:v>
      </x:c>
      <x:c r="C904" s="24" t="str">
        <x:v>DISPONÍVEL</x:v>
      </x:c>
      <x:c r="D904" s="24" t="str">
        <x:v>Rodenstock</x:v>
      </x:c>
      <x:c r="E904" s="24" t="str">
        <x:v>Progressiva Freeform</x:v>
      </x:c>
      <x:c r="F904" s="24" t="str">
        <x:v>Surfaçada</x:v>
      </x:c>
      <x:c r="G904" s="24" t="str">
        <x:v>Progressiv Life</x:v>
      </x:c>
      <x:c r="H904" s="24" t="str">
        <x:v>PRO410</x:v>
      </x:c>
      <x:c r="I904" s="24" t="str">
        <x:v>1.6</x:v>
      </x:c>
      <x:c r="J904" s="24" t="str">
        <x:v>1.60</x:v>
      </x:c>
      <x:c r="K904" s="24" t="str">
        <x:v>Solitaire Protect</x:v>
      </x:c>
      <x:c r="L904" s="40" t="n">
        <x:v>6938</x:v>
      </x:c>
      <x:c r="M904" s="24" t="str">
        <x:v>-10 a +8</x:v>
      </x:c>
      <x:c r="N904" s="24" t="str">
        <x:v>até -6</x:v>
      </x:c>
      <x:c r="O904" s="24"/>
      <x:c r="P904" s="24" t="str">
        <x:v>75/80</x:v>
      </x:c>
      <x:c r="Q904" s="24"/>
      <x:c r="R904" s="24"/>
      <x:c r="S904" s="26" t="n">
        <x:v>46024</x:v>
      </x:c>
      <x:c r="T904" s="26"/>
      <x:c r="U904" s="24" t="str">
        <x:v>ATIVA/SEM FIM INFORMADO</x:v>
      </x:c>
      <x:c r="V904" s="24"/>
      <x:c r="W904" s="24" t="n">
        <x:v>21</x:v>
      </x:c>
      <x:c r="X904" s="24" t="str">
        <x:v>tabela_rodenstock.pdf</x:v>
      </x:c>
      <x:c r="Y904" s="24" t="str">
        <x:v>alta</x:v>
      </x:c>
      <x:c r="Z904" s="24"/>
      <x:c r="AA904" s="24" t="str">
        <x:v>Rodenstock|Progressiva Freeform|Surfaçada|Progressiv Life|PRO410|1.6|1.60|Solitaire Protect|-10 a +8|até -6||75/80|||21</x:v>
      </x:c>
    </x:row>
    <x:row r="905">
      <x:c r="A905" s="24" t="str">
        <x:v>RD-CA8E906591BC</x:v>
      </x:c>
      <x:c r="B905" s="24" t="str">
        <x:v>SIM</x:v>
      </x:c>
      <x:c r="C905" s="24" t="str">
        <x:v>DISPONÍVEL</x:v>
      </x:c>
      <x:c r="D905" s="24" t="str">
        <x:v>Rodenstock</x:v>
      </x:c>
      <x:c r="E905" s="24" t="str">
        <x:v>Progressiva Freeform</x:v>
      </x:c>
      <x:c r="F905" s="24" t="str">
        <x:v>Surfaçada</x:v>
      </x:c>
      <x:c r="G905" s="24" t="str">
        <x:v>Progressiv Life</x:v>
      </x:c>
      <x:c r="H905" s="24" t="str">
        <x:v>ColorMatic® 3</x:v>
      </x:c>
      <x:c r="I905" s="24" t="str">
        <x:v>1.6</x:v>
      </x:c>
      <x:c r="J905" s="24" t="str">
        <x:v>1.60</x:v>
      </x:c>
      <x:c r="K905" s="24" t="str">
        <x:v>Solitaire X-tra Clean</x:v>
      </x:c>
      <x:c r="L905" s="40" t="n">
        <x:v>8497</x:v>
      </x:c>
      <x:c r="M905" s="24" t="str">
        <x:v>-10 a +8</x:v>
      </x:c>
      <x:c r="N905" s="24" t="str">
        <x:v>até -6</x:v>
      </x:c>
      <x:c r="O905" s="24"/>
      <x:c r="P905" s="24" t="str">
        <x:v>75/80</x:v>
      </x:c>
      <x:c r="Q905" s="24"/>
      <x:c r="R905" s="24"/>
      <x:c r="S905" s="26" t="n">
        <x:v>46024</x:v>
      </x:c>
      <x:c r="T905" s="26"/>
      <x:c r="U905" s="24" t="str">
        <x:v>ATIVA/SEM FIM INFORMADO</x:v>
      </x:c>
      <x:c r="V905" s="24"/>
      <x:c r="W905" s="24" t="n">
        <x:v>21</x:v>
      </x:c>
      <x:c r="X905" s="24" t="str">
        <x:v>tabela_rodenstock.pdf</x:v>
      </x:c>
      <x:c r="Y905" s="24" t="str">
        <x:v>alta</x:v>
      </x:c>
      <x:c r="Z905" s="24"/>
      <x:c r="AA905" s="24" t="str">
        <x:v>Rodenstock|Progressiva Freeform|Surfaçada|Progressiv Life|ColorMatic® 3|1.6|1.60|Solitaire X-tra Clean|-10 a +8|até -6||75/80|||21</x:v>
      </x:c>
    </x:row>
    <x:row r="906">
      <x:c r="A906" s="24" t="str">
        <x:v>RD-06C3A766029C</x:v>
      </x:c>
      <x:c r="B906" s="24" t="str">
        <x:v>SIM</x:v>
      </x:c>
      <x:c r="C906" s="24" t="str">
        <x:v>DISPONÍVEL</x:v>
      </x:c>
      <x:c r="D906" s="24" t="str">
        <x:v>Rodenstock</x:v>
      </x:c>
      <x:c r="E906" s="24" t="str">
        <x:v>Progressiva Freeform</x:v>
      </x:c>
      <x:c r="F906" s="24" t="str">
        <x:v>Surfaçada</x:v>
      </x:c>
      <x:c r="G906" s="24" t="str">
        <x:v>Progressiv Life</x:v>
      </x:c>
      <x:c r="H906" s="24" t="str">
        <x:v>ColorMatic® 3</x:v>
      </x:c>
      <x:c r="I906" s="24" t="str">
        <x:v>1.6</x:v>
      </x:c>
      <x:c r="J906" s="24" t="str">
        <x:v>1.60</x:v>
      </x:c>
      <x:c r="K906" s="24" t="str">
        <x:v>Solitaire 2 Protect Balance</x:v>
      </x:c>
      <x:c r="L906" s="40" t="n">
        <x:v>8447</x:v>
      </x:c>
      <x:c r="M906" s="24" t="str">
        <x:v>-10 a +8</x:v>
      </x:c>
      <x:c r="N906" s="24" t="str">
        <x:v>até -6</x:v>
      </x:c>
      <x:c r="O906" s="24"/>
      <x:c r="P906" s="24" t="str">
        <x:v>75/80</x:v>
      </x:c>
      <x:c r="Q906" s="24"/>
      <x:c r="R906" s="24"/>
      <x:c r="S906" s="26" t="n">
        <x:v>46024</x:v>
      </x:c>
      <x:c r="T906" s="26"/>
      <x:c r="U906" s="24" t="str">
        <x:v>ATIVA/SEM FIM INFORMADO</x:v>
      </x:c>
      <x:c r="V906" s="24"/>
      <x:c r="W906" s="24" t="n">
        <x:v>21</x:v>
      </x:c>
      <x:c r="X906" s="24" t="str">
        <x:v>tabela_rodenstock.pdf</x:v>
      </x:c>
      <x:c r="Y906" s="24" t="str">
        <x:v>alta</x:v>
      </x:c>
      <x:c r="Z906" s="24"/>
      <x:c r="AA906" s="24" t="str">
        <x:v>Rodenstock|Progressiva Freeform|Surfaçada|Progressiv Life|ColorMatic® 3|1.6|1.60|Solitaire 2 Protect Balance|-10 a +8|até -6||75/80|||21</x:v>
      </x:c>
    </x:row>
    <x:row r="907">
      <x:c r="A907" s="24" t="str">
        <x:v>RD-D020319EB8B7</x:v>
      </x:c>
      <x:c r="B907" s="24" t="str">
        <x:v>SIM</x:v>
      </x:c>
      <x:c r="C907" s="24" t="str">
        <x:v>DISPONÍVEL</x:v>
      </x:c>
      <x:c r="D907" s="24" t="str">
        <x:v>Rodenstock</x:v>
      </x:c>
      <x:c r="E907" s="24" t="str">
        <x:v>Progressiva Freeform</x:v>
      </x:c>
      <x:c r="F907" s="24" t="str">
        <x:v>Surfaçada</x:v>
      </x:c>
      <x:c r="G907" s="24" t="str">
        <x:v>Progressiv Life</x:v>
      </x:c>
      <x:c r="H907" s="24" t="str">
        <x:v>ColorMatic® 3</x:v>
      </x:c>
      <x:c r="I907" s="24" t="str">
        <x:v>1.6</x:v>
      </x:c>
      <x:c r="J907" s="24" t="str">
        <x:v>1.60</x:v>
      </x:c>
      <x:c r="K907" s="24" t="str">
        <x:v>Solitaire Protect Plus</x:v>
      </x:c>
      <x:c r="L907" s="40" t="n">
        <x:v>8447</x:v>
      </x:c>
      <x:c r="M907" s="24" t="str">
        <x:v>-10 a +8</x:v>
      </x:c>
      <x:c r="N907" s="24" t="str">
        <x:v>até -6</x:v>
      </x:c>
      <x:c r="O907" s="24"/>
      <x:c r="P907" s="24" t="str">
        <x:v>75/80</x:v>
      </x:c>
      <x:c r="Q907" s="24"/>
      <x:c r="R907" s="24"/>
      <x:c r="S907" s="26" t="n">
        <x:v>46024</x:v>
      </x:c>
      <x:c r="T907" s="26"/>
      <x:c r="U907" s="24" t="str">
        <x:v>ATIVA/SEM FIM INFORMADO</x:v>
      </x:c>
      <x:c r="V907" s="24"/>
      <x:c r="W907" s="24" t="n">
        <x:v>21</x:v>
      </x:c>
      <x:c r="X907" s="24" t="str">
        <x:v>tabela_rodenstock.pdf</x:v>
      </x:c>
      <x:c r="Y907" s="24" t="str">
        <x:v>alta</x:v>
      </x:c>
      <x:c r="Z907" s="24"/>
      <x:c r="AA907" s="24" t="str">
        <x:v>Rodenstock|Progressiva Freeform|Surfaçada|Progressiv Life|ColorMatic® 3|1.6|1.60|Solitaire Protect Plus|-10 a +8|até -6||75/80|||21</x:v>
      </x:c>
    </x:row>
    <x:row r="908">
      <x:c r="A908" s="24" t="str">
        <x:v>RD-55C52AC4ED90</x:v>
      </x:c>
      <x:c r="B908" s="24" t="str">
        <x:v>SIM</x:v>
      </x:c>
      <x:c r="C908" s="24" t="str">
        <x:v>DISPONÍVEL</x:v>
      </x:c>
      <x:c r="D908" s="24" t="str">
        <x:v>Rodenstock</x:v>
      </x:c>
      <x:c r="E908" s="24" t="str">
        <x:v>Progressiva Freeform</x:v>
      </x:c>
      <x:c r="F908" s="24" t="str">
        <x:v>Surfaçada</x:v>
      </x:c>
      <x:c r="G908" s="24" t="str">
        <x:v>Progressiv Life</x:v>
      </x:c>
      <x:c r="H908" s="24" t="str">
        <x:v>ColorMatic® 3</x:v>
      </x:c>
      <x:c r="I908" s="24" t="str">
        <x:v>1.6</x:v>
      </x:c>
      <x:c r="J908" s="24" t="str">
        <x:v>1.60</x:v>
      </x:c>
      <x:c r="K908" s="24" t="str">
        <x:v>ROAD</x:v>
      </x:c>
      <x:c r="L908" s="40" t="n">
        <x:v>8447</x:v>
      </x:c>
      <x:c r="M908" s="24" t="str">
        <x:v>-10 a +8</x:v>
      </x:c>
      <x:c r="N908" s="24" t="str">
        <x:v>até -6</x:v>
      </x:c>
      <x:c r="O908" s="24"/>
      <x:c r="P908" s="24" t="str">
        <x:v>75/80</x:v>
      </x:c>
      <x:c r="Q908" s="24"/>
      <x:c r="R908" s="24"/>
      <x:c r="S908" s="26" t="n">
        <x:v>46024</x:v>
      </x:c>
      <x:c r="T908" s="26"/>
      <x:c r="U908" s="24" t="str">
        <x:v>ATIVA/SEM FIM INFORMADO</x:v>
      </x:c>
      <x:c r="V908" s="24"/>
      <x:c r="W908" s="24" t="n">
        <x:v>21</x:v>
      </x:c>
      <x:c r="X908" s="24" t="str">
        <x:v>tabela_rodenstock.pdf</x:v>
      </x:c>
      <x:c r="Y908" s="24" t="str">
        <x:v>alta</x:v>
      </x:c>
      <x:c r="Z908" s="24"/>
      <x:c r="AA908" s="24" t="str">
        <x:v>Rodenstock|Progressiva Freeform|Surfaçada|Progressiv Life|ColorMatic® 3|1.6|1.60|ROAD|-10 a +8|até -6||75/80|||21</x:v>
      </x:c>
    </x:row>
    <x:row r="909">
      <x:c r="A909" s="24" t="str">
        <x:v>RD-53B86F6CD065</x:v>
      </x:c>
      <x:c r="B909" s="24" t="str">
        <x:v>SIM</x:v>
      </x:c>
      <x:c r="C909" s="24" t="str">
        <x:v>DISPONÍVEL</x:v>
      </x:c>
      <x:c r="D909" s="24" t="str">
        <x:v>Rodenstock</x:v>
      </x:c>
      <x:c r="E909" s="24" t="str">
        <x:v>Progressiva Freeform</x:v>
      </x:c>
      <x:c r="F909" s="24" t="str">
        <x:v>Surfaçada</x:v>
      </x:c>
      <x:c r="G909" s="24" t="str">
        <x:v>Progressiv Life</x:v>
      </x:c>
      <x:c r="H909" s="24" t="str">
        <x:v>ColorMatic® 3</x:v>
      </x:c>
      <x:c r="I909" s="24" t="str">
        <x:v>1.6</x:v>
      </x:c>
      <x:c r="J909" s="24" t="str">
        <x:v>1.60</x:v>
      </x:c>
      <x:c r="K909" s="24" t="str">
        <x:v>Solitaire Protect</x:v>
      </x:c>
      <x:c r="L909" s="40" t="n">
        <x:v>8187</x:v>
      </x:c>
      <x:c r="M909" s="24" t="str">
        <x:v>-10 a +8</x:v>
      </x:c>
      <x:c r="N909" s="24" t="str">
        <x:v>até -6</x:v>
      </x:c>
      <x:c r="O909" s="24"/>
      <x:c r="P909" s="24" t="str">
        <x:v>75/80</x:v>
      </x:c>
      <x:c r="Q909" s="24"/>
      <x:c r="R909" s="24"/>
      <x:c r="S909" s="26" t="n">
        <x:v>46024</x:v>
      </x:c>
      <x:c r="T909" s="26"/>
      <x:c r="U909" s="24" t="str">
        <x:v>ATIVA/SEM FIM INFORMADO</x:v>
      </x:c>
      <x:c r="V909" s="24"/>
      <x:c r="W909" s="24" t="n">
        <x:v>21</x:v>
      </x:c>
      <x:c r="X909" s="24" t="str">
        <x:v>tabela_rodenstock.pdf</x:v>
      </x:c>
      <x:c r="Y909" s="24" t="str">
        <x:v>alta</x:v>
      </x:c>
      <x:c r="Z909" s="24"/>
      <x:c r="AA909" s="24" t="str">
        <x:v>Rodenstock|Progressiva Freeform|Surfaçada|Progressiv Life|ColorMatic® 3|1.6|1.60|Solitaire Protect|-10 a +8|até -6||75/80|||21</x:v>
      </x:c>
    </x:row>
    <x:row r="910">
      <x:c r="A910" s="24" t="str">
        <x:v>RD-932250FFE9DF</x:v>
      </x:c>
      <x:c r="B910" s="24" t="str">
        <x:v>SIM</x:v>
      </x:c>
      <x:c r="C910" s="24" t="str">
        <x:v>DISPONÍVEL</x:v>
      </x:c>
      <x:c r="D910" s="24" t="str">
        <x:v>Rodenstock</x:v>
      </x:c>
      <x:c r="E910" s="24" t="str">
        <x:v>Progressiva Freeform</x:v>
      </x:c>
      <x:c r="F910" s="24" t="str">
        <x:v>Surfaçada</x:v>
      </x:c>
      <x:c r="G910" s="24" t="str">
        <x:v>Progressiv Life</x:v>
      </x:c>
      <x:c r="H910" s="24"/>
      <x:c r="I910" s="24" t="str">
        <x:v>1.67</x:v>
      </x:c>
      <x:c r="J910" s="24" t="str">
        <x:v>1.67</x:v>
      </x:c>
      <x:c r="K910" s="24" t="str">
        <x:v>Solitaire X-tra Clean</x:v>
      </x:c>
      <x:c r="L910" s="40" t="n">
        <x:v>8840</x:v>
      </x:c>
      <x:c r="M910" s="24" t="str">
        <x:v>-10 a +8</x:v>
      </x:c>
      <x:c r="N910" s="24" t="str">
        <x:v>até -6</x:v>
      </x:c>
      <x:c r="O910" s="24"/>
      <x:c r="P910" s="24" t="str">
        <x:v>75/80</x:v>
      </x:c>
      <x:c r="Q910" s="24"/>
      <x:c r="R910" s="24"/>
      <x:c r="S910" s="26" t="n">
        <x:v>46024</x:v>
      </x:c>
      <x:c r="T910" s="26"/>
      <x:c r="U910" s="24" t="str">
        <x:v>ATIVA/SEM FIM INFORMADO</x:v>
      </x:c>
      <x:c r="V910" s="24"/>
      <x:c r="W910" s="24" t="n">
        <x:v>21</x:v>
      </x:c>
      <x:c r="X910" s="24" t="str">
        <x:v>tabela_rodenstock.pdf</x:v>
      </x:c>
      <x:c r="Y910" s="24" t="str">
        <x:v>alta</x:v>
      </x:c>
      <x:c r="Z910" s="24"/>
      <x:c r="AA910" s="24" t="str">
        <x:v>Rodenstock|Progressiva Freeform|Surfaçada|Progressiv Life||1.67|1.67|Solitaire X-tra Clean|-10 a +8|até -6||75/80|||21</x:v>
      </x:c>
    </x:row>
    <x:row r="911">
      <x:c r="A911" s="24" t="str">
        <x:v>RD-2D71E15A106B</x:v>
      </x:c>
      <x:c r="B911" s="24" t="str">
        <x:v>SIM</x:v>
      </x:c>
      <x:c r="C911" s="24" t="str">
        <x:v>DISPONÍVEL</x:v>
      </x:c>
      <x:c r="D911" s="24" t="str">
        <x:v>Rodenstock</x:v>
      </x:c>
      <x:c r="E911" s="24" t="str">
        <x:v>Progressiva Freeform</x:v>
      </x:c>
      <x:c r="F911" s="24" t="str">
        <x:v>Surfaçada</x:v>
      </x:c>
      <x:c r="G911" s="24" t="str">
        <x:v>Progressiv Life</x:v>
      </x:c>
      <x:c r="H911" s="24"/>
      <x:c r="I911" s="24" t="str">
        <x:v>1.67</x:v>
      </x:c>
      <x:c r="J911" s="24" t="str">
        <x:v>1.67</x:v>
      </x:c>
      <x:c r="K911" s="24" t="str">
        <x:v>Solitaire 2 Protect Balance</x:v>
      </x:c>
      <x:c r="L911" s="40" t="n">
        <x:v>8790</x:v>
      </x:c>
      <x:c r="M911" s="24" t="str">
        <x:v>-10 a +8</x:v>
      </x:c>
      <x:c r="N911" s="24" t="str">
        <x:v>até -6</x:v>
      </x:c>
      <x:c r="O911" s="24"/>
      <x:c r="P911" s="24" t="str">
        <x:v>75/80</x:v>
      </x:c>
      <x:c r="Q911" s="24"/>
      <x:c r="R911" s="24"/>
      <x:c r="S911" s="26" t="n">
        <x:v>46024</x:v>
      </x:c>
      <x:c r="T911" s="26"/>
      <x:c r="U911" s="24" t="str">
        <x:v>ATIVA/SEM FIM INFORMADO</x:v>
      </x:c>
      <x:c r="V911" s="24"/>
      <x:c r="W911" s="24" t="n">
        <x:v>21</x:v>
      </x:c>
      <x:c r="X911" s="24" t="str">
        <x:v>tabela_rodenstock.pdf</x:v>
      </x:c>
      <x:c r="Y911" s="24" t="str">
        <x:v>alta</x:v>
      </x:c>
      <x:c r="Z911" s="24"/>
      <x:c r="AA911" s="24" t="str">
        <x:v>Rodenstock|Progressiva Freeform|Surfaçada|Progressiv Life||1.67|1.67|Solitaire 2 Protect Balance|-10 a +8|até -6||75/80|||21</x:v>
      </x:c>
    </x:row>
    <x:row r="912">
      <x:c r="A912" s="24" t="str">
        <x:v>RD-65B6F52FAC8A</x:v>
      </x:c>
      <x:c r="B912" s="24" t="str">
        <x:v>SIM</x:v>
      </x:c>
      <x:c r="C912" s="24" t="str">
        <x:v>DISPONÍVEL</x:v>
      </x:c>
      <x:c r="D912" s="24" t="str">
        <x:v>Rodenstock</x:v>
      </x:c>
      <x:c r="E912" s="24" t="str">
        <x:v>Progressiva Freeform</x:v>
      </x:c>
      <x:c r="F912" s="24" t="str">
        <x:v>Surfaçada</x:v>
      </x:c>
      <x:c r="G912" s="24" t="str">
        <x:v>Progressiv Life</x:v>
      </x:c>
      <x:c r="H912" s="24"/>
      <x:c r="I912" s="24" t="str">
        <x:v>1.67</x:v>
      </x:c>
      <x:c r="J912" s="24" t="str">
        <x:v>1.67</x:v>
      </x:c>
      <x:c r="K912" s="24" t="str">
        <x:v>Solitaire Protect Plus</x:v>
      </x:c>
      <x:c r="L912" s="40" t="n">
        <x:v>8790</x:v>
      </x:c>
      <x:c r="M912" s="24" t="str">
        <x:v>-10 a +8</x:v>
      </x:c>
      <x:c r="N912" s="24" t="str">
        <x:v>até -6</x:v>
      </x:c>
      <x:c r="O912" s="24"/>
      <x:c r="P912" s="24" t="str">
        <x:v>75/80</x:v>
      </x:c>
      <x:c r="Q912" s="24"/>
      <x:c r="R912" s="24"/>
      <x:c r="S912" s="26" t="n">
        <x:v>46024</x:v>
      </x:c>
      <x:c r="T912" s="26"/>
      <x:c r="U912" s="24" t="str">
        <x:v>ATIVA/SEM FIM INFORMADO</x:v>
      </x:c>
      <x:c r="V912" s="24"/>
      <x:c r="W912" s="24" t="n">
        <x:v>21</x:v>
      </x:c>
      <x:c r="X912" s="24" t="str">
        <x:v>tabela_rodenstock.pdf</x:v>
      </x:c>
      <x:c r="Y912" s="24" t="str">
        <x:v>alta</x:v>
      </x:c>
      <x:c r="Z912" s="24"/>
      <x:c r="AA912" s="24" t="str">
        <x:v>Rodenstock|Progressiva Freeform|Surfaçada|Progressiv Life||1.67|1.67|Solitaire Protect Plus|-10 a +8|até -6||75/80|||21</x:v>
      </x:c>
    </x:row>
    <x:row r="913">
      <x:c r="A913" s="24" t="str">
        <x:v>RD-4FEB6D8F2162</x:v>
      </x:c>
      <x:c r="B913" s="24" t="str">
        <x:v>SIM</x:v>
      </x:c>
      <x:c r="C913" s="24" t="str">
        <x:v>DISPONÍVEL</x:v>
      </x:c>
      <x:c r="D913" s="24" t="str">
        <x:v>Rodenstock</x:v>
      </x:c>
      <x:c r="E913" s="24" t="str">
        <x:v>Progressiva Freeform</x:v>
      </x:c>
      <x:c r="F913" s="24" t="str">
        <x:v>Surfaçada</x:v>
      </x:c>
      <x:c r="G913" s="24" t="str">
        <x:v>Progressiv Life</x:v>
      </x:c>
      <x:c r="H913" s="24"/>
      <x:c r="I913" s="24" t="str">
        <x:v>1.67</x:v>
      </x:c>
      <x:c r="J913" s="24" t="str">
        <x:v>1.67</x:v>
      </x:c>
      <x:c r="K913" s="24" t="str">
        <x:v>ROAD</x:v>
      </x:c>
      <x:c r="L913" s="40" t="n">
        <x:v>8790</x:v>
      </x:c>
      <x:c r="M913" s="24" t="str">
        <x:v>-10 a +8</x:v>
      </x:c>
      <x:c r="N913" s="24" t="str">
        <x:v>até -6</x:v>
      </x:c>
      <x:c r="O913" s="24"/>
      <x:c r="P913" s="24" t="str">
        <x:v>75/80</x:v>
      </x:c>
      <x:c r="Q913" s="24"/>
      <x:c r="R913" s="24"/>
      <x:c r="S913" s="26" t="n">
        <x:v>46024</x:v>
      </x:c>
      <x:c r="T913" s="26"/>
      <x:c r="U913" s="24" t="str">
        <x:v>ATIVA/SEM FIM INFORMADO</x:v>
      </x:c>
      <x:c r="V913" s="24"/>
      <x:c r="W913" s="24" t="n">
        <x:v>21</x:v>
      </x:c>
      <x:c r="X913" s="24" t="str">
        <x:v>tabela_rodenstock.pdf</x:v>
      </x:c>
      <x:c r="Y913" s="24" t="str">
        <x:v>alta</x:v>
      </x:c>
      <x:c r="Z913" s="24"/>
      <x:c r="AA913" s="24" t="str">
        <x:v>Rodenstock|Progressiva Freeform|Surfaçada|Progressiv Life||1.67|1.67|ROAD|-10 a +8|até -6||75/80|||21</x:v>
      </x:c>
    </x:row>
    <x:row r="914">
      <x:c r="A914" s="24" t="str">
        <x:v>RD-72428C3EDC9B</x:v>
      </x:c>
      <x:c r="B914" s="24" t="str">
        <x:v>SIM</x:v>
      </x:c>
      <x:c r="C914" s="24" t="str">
        <x:v>DISPONÍVEL</x:v>
      </x:c>
      <x:c r="D914" s="24" t="str">
        <x:v>Rodenstock</x:v>
      </x:c>
      <x:c r="E914" s="24" t="str">
        <x:v>Progressiva Freeform</x:v>
      </x:c>
      <x:c r="F914" s="24" t="str">
        <x:v>Surfaçada</x:v>
      </x:c>
      <x:c r="G914" s="24" t="str">
        <x:v>Progressiv Life</x:v>
      </x:c>
      <x:c r="H914" s="24"/>
      <x:c r="I914" s="24" t="str">
        <x:v>1.67</x:v>
      </x:c>
      <x:c r="J914" s="24" t="str">
        <x:v>1.67</x:v>
      </x:c>
      <x:c r="K914" s="24" t="str">
        <x:v>Solitaire Protect</x:v>
      </x:c>
      <x:c r="L914" s="40" t="n">
        <x:v>8530</x:v>
      </x:c>
      <x:c r="M914" s="24" t="str">
        <x:v>-10 a +8</x:v>
      </x:c>
      <x:c r="N914" s="24" t="str">
        <x:v>até -6</x:v>
      </x:c>
      <x:c r="O914" s="24"/>
      <x:c r="P914" s="24" t="str">
        <x:v>75/80</x:v>
      </x:c>
      <x:c r="Q914" s="24"/>
      <x:c r="R914" s="24"/>
      <x:c r="S914" s="26" t="n">
        <x:v>46024</x:v>
      </x:c>
      <x:c r="T914" s="26"/>
      <x:c r="U914" s="24" t="str">
        <x:v>ATIVA/SEM FIM INFORMADO</x:v>
      </x:c>
      <x:c r="V914" s="24"/>
      <x:c r="W914" s="24" t="n">
        <x:v>21</x:v>
      </x:c>
      <x:c r="X914" s="24" t="str">
        <x:v>tabela_rodenstock.pdf</x:v>
      </x:c>
      <x:c r="Y914" s="24" t="str">
        <x:v>alta</x:v>
      </x:c>
      <x:c r="Z914" s="24"/>
      <x:c r="AA914" s="24" t="str">
        <x:v>Rodenstock|Progressiva Freeform|Surfaçada|Progressiv Life||1.67|1.67|Solitaire Protect|-10 a +8|até -6||75/80|||21</x:v>
      </x:c>
    </x:row>
    <x:row r="915">
      <x:c r="A915" s="24" t="str">
        <x:v>RD-24E3AE8C88E1</x:v>
      </x:c>
      <x:c r="B915" s="24" t="str">
        <x:v>SIM</x:v>
      </x:c>
      <x:c r="C915" s="24" t="str">
        <x:v>DISPONÍVEL</x:v>
      </x:c>
      <x:c r="D915" s="24" t="str">
        <x:v>Rodenstock</x:v>
      </x:c>
      <x:c r="E915" s="24" t="str">
        <x:v>Progressiva Freeform</x:v>
      </x:c>
      <x:c r="F915" s="24" t="str">
        <x:v>Surfaçada</x:v>
      </x:c>
      <x:c r="G915" s="24" t="str">
        <x:v>Progressiv Life</x:v>
      </x:c>
      <x:c r="H915" s="24" t="str">
        <x:v>ColorMatic® 3</x:v>
      </x:c>
      <x:c r="I915" s="24" t="str">
        <x:v>1.67</x:v>
      </x:c>
      <x:c r="J915" s="24" t="str">
        <x:v>1.67</x:v>
      </x:c>
      <x:c r="K915" s="24" t="str">
        <x:v>Solitaire X-tra Clean</x:v>
      </x:c>
      <x:c r="L915" s="40" t="n">
        <x:v>10315</x:v>
      </x:c>
      <x:c r="M915" s="24" t="str">
        <x:v>-10 a +8</x:v>
      </x:c>
      <x:c r="N915" s="24" t="str">
        <x:v>até -6</x:v>
      </x:c>
      <x:c r="O915" s="24"/>
      <x:c r="P915" s="24" t="str">
        <x:v>75/80</x:v>
      </x:c>
      <x:c r="Q915" s="24"/>
      <x:c r="R915" s="24"/>
      <x:c r="S915" s="26" t="n">
        <x:v>46024</x:v>
      </x:c>
      <x:c r="T915" s="26"/>
      <x:c r="U915" s="24" t="str">
        <x:v>ATIVA/SEM FIM INFORMADO</x:v>
      </x:c>
      <x:c r="V915" s="24"/>
      <x:c r="W915" s="24" t="n">
        <x:v>21</x:v>
      </x:c>
      <x:c r="X915" s="24" t="str">
        <x:v>tabela_rodenstock.pdf</x:v>
      </x:c>
      <x:c r="Y915" s="24" t="str">
        <x:v>alta</x:v>
      </x:c>
      <x:c r="Z915" s="24"/>
      <x:c r="AA915" s="24" t="str">
        <x:v>Rodenstock|Progressiva Freeform|Surfaçada|Progressiv Life|ColorMatic® 3|1.67|1.67|Solitaire X-tra Clean|-10 a +8|até -6||75/80|||21</x:v>
      </x:c>
    </x:row>
    <x:row r="916">
      <x:c r="A916" s="24" t="str">
        <x:v>RD-761C0A973DBF</x:v>
      </x:c>
      <x:c r="B916" s="24" t="str">
        <x:v>SIM</x:v>
      </x:c>
      <x:c r="C916" s="24" t="str">
        <x:v>DISPONÍVEL</x:v>
      </x:c>
      <x:c r="D916" s="24" t="str">
        <x:v>Rodenstock</x:v>
      </x:c>
      <x:c r="E916" s="24" t="str">
        <x:v>Progressiva Freeform</x:v>
      </x:c>
      <x:c r="F916" s="24" t="str">
        <x:v>Surfaçada</x:v>
      </x:c>
      <x:c r="G916" s="24" t="str">
        <x:v>Progressiv Life</x:v>
      </x:c>
      <x:c r="H916" s="24" t="str">
        <x:v>ColorMatic® 3</x:v>
      </x:c>
      <x:c r="I916" s="24" t="str">
        <x:v>1.67</x:v>
      </x:c>
      <x:c r="J916" s="24" t="str">
        <x:v>1.67</x:v>
      </x:c>
      <x:c r="K916" s="24" t="str">
        <x:v>Solitaire 2 Protect Balance</x:v>
      </x:c>
      <x:c r="L916" s="40" t="n">
        <x:v>10265</x:v>
      </x:c>
      <x:c r="M916" s="24" t="str">
        <x:v>-10 a +8</x:v>
      </x:c>
      <x:c r="N916" s="24" t="str">
        <x:v>até -6</x:v>
      </x:c>
      <x:c r="O916" s="24"/>
      <x:c r="P916" s="24" t="str">
        <x:v>75/80</x:v>
      </x:c>
      <x:c r="Q916" s="24"/>
      <x:c r="R916" s="24"/>
      <x:c r="S916" s="26" t="n">
        <x:v>46024</x:v>
      </x:c>
      <x:c r="T916" s="26"/>
      <x:c r="U916" s="24" t="str">
        <x:v>ATIVA/SEM FIM INFORMADO</x:v>
      </x:c>
      <x:c r="V916" s="24"/>
      <x:c r="W916" s="24" t="n">
        <x:v>21</x:v>
      </x:c>
      <x:c r="X916" s="24" t="str">
        <x:v>tabela_rodenstock.pdf</x:v>
      </x:c>
      <x:c r="Y916" s="24" t="str">
        <x:v>alta</x:v>
      </x:c>
      <x:c r="Z916" s="24"/>
      <x:c r="AA916" s="24" t="str">
        <x:v>Rodenstock|Progressiva Freeform|Surfaçada|Progressiv Life|ColorMatic® 3|1.67|1.67|Solitaire 2 Protect Balance|-10 a +8|até -6||75/80|||21</x:v>
      </x:c>
    </x:row>
    <x:row r="917">
      <x:c r="A917" s="24" t="str">
        <x:v>RD-6B7FD4189FD0</x:v>
      </x:c>
      <x:c r="B917" s="24" t="str">
        <x:v>SIM</x:v>
      </x:c>
      <x:c r="C917" s="24" t="str">
        <x:v>DISPONÍVEL</x:v>
      </x:c>
      <x:c r="D917" s="24" t="str">
        <x:v>Rodenstock</x:v>
      </x:c>
      <x:c r="E917" s="24" t="str">
        <x:v>Progressiva Freeform</x:v>
      </x:c>
      <x:c r="F917" s="24" t="str">
        <x:v>Surfaçada</x:v>
      </x:c>
      <x:c r="G917" s="24" t="str">
        <x:v>Progressiv Life</x:v>
      </x:c>
      <x:c r="H917" s="24" t="str">
        <x:v>ColorMatic® 3</x:v>
      </x:c>
      <x:c r="I917" s="24" t="str">
        <x:v>1.67</x:v>
      </x:c>
      <x:c r="J917" s="24" t="str">
        <x:v>1.67</x:v>
      </x:c>
      <x:c r="K917" s="24" t="str">
        <x:v>Solitaire Protect Plus</x:v>
      </x:c>
      <x:c r="L917" s="40" t="n">
        <x:v>10265</x:v>
      </x:c>
      <x:c r="M917" s="24" t="str">
        <x:v>-10 a +8</x:v>
      </x:c>
      <x:c r="N917" s="24" t="str">
        <x:v>até -6</x:v>
      </x:c>
      <x:c r="O917" s="24"/>
      <x:c r="P917" s="24" t="str">
        <x:v>75/80</x:v>
      </x:c>
      <x:c r="Q917" s="24"/>
      <x:c r="R917" s="24"/>
      <x:c r="S917" s="26" t="n">
        <x:v>46024</x:v>
      </x:c>
      <x:c r="T917" s="26"/>
      <x:c r="U917" s="24" t="str">
        <x:v>ATIVA/SEM FIM INFORMADO</x:v>
      </x:c>
      <x:c r="V917" s="24"/>
      <x:c r="W917" s="24" t="n">
        <x:v>21</x:v>
      </x:c>
      <x:c r="X917" s="24" t="str">
        <x:v>tabela_rodenstock.pdf</x:v>
      </x:c>
      <x:c r="Y917" s="24" t="str">
        <x:v>alta</x:v>
      </x:c>
      <x:c r="Z917" s="24"/>
      <x:c r="AA917" s="24" t="str">
        <x:v>Rodenstock|Progressiva Freeform|Surfaçada|Progressiv Life|ColorMatic® 3|1.67|1.67|Solitaire Protect Plus|-10 a +8|até -6||75/80|||21</x:v>
      </x:c>
    </x:row>
    <x:row r="918">
      <x:c r="A918" s="24" t="str">
        <x:v>RD-2DF94F5C3D97</x:v>
      </x:c>
      <x:c r="B918" s="24" t="str">
        <x:v>SIM</x:v>
      </x:c>
      <x:c r="C918" s="24" t="str">
        <x:v>DISPONÍVEL</x:v>
      </x:c>
      <x:c r="D918" s="24" t="str">
        <x:v>Rodenstock</x:v>
      </x:c>
      <x:c r="E918" s="24" t="str">
        <x:v>Progressiva Freeform</x:v>
      </x:c>
      <x:c r="F918" s="24" t="str">
        <x:v>Surfaçada</x:v>
      </x:c>
      <x:c r="G918" s="24" t="str">
        <x:v>Progressiv Life</x:v>
      </x:c>
      <x:c r="H918" s="24" t="str">
        <x:v>ColorMatic® 3</x:v>
      </x:c>
      <x:c r="I918" s="24" t="str">
        <x:v>1.67</x:v>
      </x:c>
      <x:c r="J918" s="24" t="str">
        <x:v>1.67</x:v>
      </x:c>
      <x:c r="K918" s="24" t="str">
        <x:v>ROAD</x:v>
      </x:c>
      <x:c r="L918" s="40" t="n">
        <x:v>10265</x:v>
      </x:c>
      <x:c r="M918" s="24" t="str">
        <x:v>-10 a +8</x:v>
      </x:c>
      <x:c r="N918" s="24" t="str">
        <x:v>até -6</x:v>
      </x:c>
      <x:c r="O918" s="24"/>
      <x:c r="P918" s="24" t="str">
        <x:v>75/80</x:v>
      </x:c>
      <x:c r="Q918" s="24"/>
      <x:c r="R918" s="24"/>
      <x:c r="S918" s="26" t="n">
        <x:v>46024</x:v>
      </x:c>
      <x:c r="T918" s="26"/>
      <x:c r="U918" s="24" t="str">
        <x:v>ATIVA/SEM FIM INFORMADO</x:v>
      </x:c>
      <x:c r="V918" s="24"/>
      <x:c r="W918" s="24" t="n">
        <x:v>21</x:v>
      </x:c>
      <x:c r="X918" s="24" t="str">
        <x:v>tabela_rodenstock.pdf</x:v>
      </x:c>
      <x:c r="Y918" s="24" t="str">
        <x:v>alta</x:v>
      </x:c>
      <x:c r="Z918" s="24"/>
      <x:c r="AA918" s="24" t="str">
        <x:v>Rodenstock|Progressiva Freeform|Surfaçada|Progressiv Life|ColorMatic® 3|1.67|1.67|ROAD|-10 a +8|até -6||75/80|||21</x:v>
      </x:c>
    </x:row>
    <x:row r="919">
      <x:c r="A919" s="24" t="str">
        <x:v>RD-4870797C9960</x:v>
      </x:c>
      <x:c r="B919" s="24" t="str">
        <x:v>SIM</x:v>
      </x:c>
      <x:c r="C919" s="24" t="str">
        <x:v>DISPONÍVEL</x:v>
      </x:c>
      <x:c r="D919" s="24" t="str">
        <x:v>Rodenstock</x:v>
      </x:c>
      <x:c r="E919" s="24" t="str">
        <x:v>Progressiva Freeform</x:v>
      </x:c>
      <x:c r="F919" s="24" t="str">
        <x:v>Surfaçada</x:v>
      </x:c>
      <x:c r="G919" s="24" t="str">
        <x:v>Progressiv Life</x:v>
      </x:c>
      <x:c r="H919" s="24" t="str">
        <x:v>ColorMatic® 3</x:v>
      </x:c>
      <x:c r="I919" s="24" t="str">
        <x:v>1.67</x:v>
      </x:c>
      <x:c r="J919" s="24" t="str">
        <x:v>1.67</x:v>
      </x:c>
      <x:c r="K919" s="24" t="str">
        <x:v>Solitaire Protect</x:v>
      </x:c>
      <x:c r="L919" s="40" t="n">
        <x:v>10005</x:v>
      </x:c>
      <x:c r="M919" s="24" t="str">
        <x:v>-10 a +8</x:v>
      </x:c>
      <x:c r="N919" s="24" t="str">
        <x:v>até -6</x:v>
      </x:c>
      <x:c r="O919" s="24"/>
      <x:c r="P919" s="24" t="str">
        <x:v>75/80</x:v>
      </x:c>
      <x:c r="Q919" s="24"/>
      <x:c r="R919" s="24"/>
      <x:c r="S919" s="26" t="n">
        <x:v>46024</x:v>
      </x:c>
      <x:c r="T919" s="26"/>
      <x:c r="U919" s="24" t="str">
        <x:v>ATIVA/SEM FIM INFORMADO</x:v>
      </x:c>
      <x:c r="V919" s="24"/>
      <x:c r="W919" s="24" t="n">
        <x:v>21</x:v>
      </x:c>
      <x:c r="X919" s="24" t="str">
        <x:v>tabela_rodenstock.pdf</x:v>
      </x:c>
      <x:c r="Y919" s="24" t="str">
        <x:v>alta</x:v>
      </x:c>
      <x:c r="Z919" s="24"/>
      <x:c r="AA919" s="24" t="str">
        <x:v>Rodenstock|Progressiva Freeform|Surfaçada|Progressiv Life|ColorMatic® 3|1.67|1.67|Solitaire Protect|-10 a +8|até -6||75/80|||21</x:v>
      </x:c>
    </x:row>
    <x:row r="920">
      <x:c r="A920" s="24" t="str">
        <x:v>RD-63139032DADA</x:v>
      </x:c>
      <x:c r="B920" s="24" t="str">
        <x:v>SIM</x:v>
      </x:c>
      <x:c r="C920" s="24" t="str">
        <x:v>DISPONÍVEL</x:v>
      </x:c>
      <x:c r="D920" s="24" t="str">
        <x:v>Rodenstock</x:v>
      </x:c>
      <x:c r="E920" s="24" t="str">
        <x:v>Progressiva Freeform</x:v>
      </x:c>
      <x:c r="F920" s="24" t="str">
        <x:v>Surfaçada</x:v>
      </x:c>
      <x:c r="G920" s="24" t="str">
        <x:v>Progressiv Life</x:v>
      </x:c>
      <x:c r="H920" s="24"/>
      <x:c r="I920" s="24" t="str">
        <x:v>1.74</x:v>
      </x:c>
      <x:c r="J920" s="24" t="str">
        <x:v>1.74</x:v>
      </x:c>
      <x:c r="K920" s="24" t="str">
        <x:v>Solitaire X-tra Clean</x:v>
      </x:c>
      <x:c r="L920" s="40" t="n">
        <x:v>10656</x:v>
      </x:c>
      <x:c r="M920" s="24" t="str">
        <x:v>-10 a +8</x:v>
      </x:c>
      <x:c r="N920" s="24" t="str">
        <x:v>até -6</x:v>
      </x:c>
      <x:c r="O920" s="24"/>
      <x:c r="P920" s="24" t="str">
        <x:v>75/80</x:v>
      </x:c>
      <x:c r="Q920" s="24"/>
      <x:c r="R920" s="24"/>
      <x:c r="S920" s="26" t="n">
        <x:v>46024</x:v>
      </x:c>
      <x:c r="T920" s="26"/>
      <x:c r="U920" s="24" t="str">
        <x:v>ATIVA/SEM FIM INFORMADO</x:v>
      </x:c>
      <x:c r="V920" s="24"/>
      <x:c r="W920" s="24" t="n">
        <x:v>21</x:v>
      </x:c>
      <x:c r="X920" s="24" t="str">
        <x:v>tabela_rodenstock.pdf</x:v>
      </x:c>
      <x:c r="Y920" s="24" t="str">
        <x:v>alta</x:v>
      </x:c>
      <x:c r="Z920" s="24"/>
      <x:c r="AA920" s="24" t="str">
        <x:v>Rodenstock|Progressiva Freeform|Surfaçada|Progressiv Life||1.74|1.74|Solitaire X-tra Clean|-10 a +8|até -6||75/80|||21</x:v>
      </x:c>
    </x:row>
    <x:row r="921">
      <x:c r="A921" s="24" t="str">
        <x:v>RD-0ECE1C01A3C7</x:v>
      </x:c>
      <x:c r="B921" s="24" t="str">
        <x:v>SIM</x:v>
      </x:c>
      <x:c r="C921" s="24" t="str">
        <x:v>DISPONÍVEL</x:v>
      </x:c>
      <x:c r="D921" s="24" t="str">
        <x:v>Rodenstock</x:v>
      </x:c>
      <x:c r="E921" s="24" t="str">
        <x:v>Progressiva Freeform</x:v>
      </x:c>
      <x:c r="F921" s="24" t="str">
        <x:v>Surfaçada</x:v>
      </x:c>
      <x:c r="G921" s="24" t="str">
        <x:v>Progressiv Life</x:v>
      </x:c>
      <x:c r="H921" s="24"/>
      <x:c r="I921" s="24" t="str">
        <x:v>1.74</x:v>
      </x:c>
      <x:c r="J921" s="24" t="str">
        <x:v>1.74</x:v>
      </x:c>
      <x:c r="K921" s="24" t="str">
        <x:v>Solitaire 2 Protect Balance</x:v>
      </x:c>
      <x:c r="L921" s="40" t="n">
        <x:v>10606</x:v>
      </x:c>
      <x:c r="M921" s="24" t="str">
        <x:v>-10 a +8</x:v>
      </x:c>
      <x:c r="N921" s="24" t="str">
        <x:v>até -6</x:v>
      </x:c>
      <x:c r="O921" s="24"/>
      <x:c r="P921" s="24" t="str">
        <x:v>75/80</x:v>
      </x:c>
      <x:c r="Q921" s="24"/>
      <x:c r="R921" s="24"/>
      <x:c r="S921" s="26" t="n">
        <x:v>46024</x:v>
      </x:c>
      <x:c r="T921" s="26"/>
      <x:c r="U921" s="24" t="str">
        <x:v>ATIVA/SEM FIM INFORMADO</x:v>
      </x:c>
      <x:c r="V921" s="24"/>
      <x:c r="W921" s="24" t="n">
        <x:v>21</x:v>
      </x:c>
      <x:c r="X921" s="24" t="str">
        <x:v>tabela_rodenstock.pdf</x:v>
      </x:c>
      <x:c r="Y921" s="24" t="str">
        <x:v>alta</x:v>
      </x:c>
      <x:c r="Z921" s="24"/>
      <x:c r="AA921" s="24" t="str">
        <x:v>Rodenstock|Progressiva Freeform|Surfaçada|Progressiv Life||1.74|1.74|Solitaire 2 Protect Balance|-10 a +8|até -6||75/80|||21</x:v>
      </x:c>
    </x:row>
    <x:row r="922">
      <x:c r="A922" s="24" t="str">
        <x:v>RD-69E211F29F3F</x:v>
      </x:c>
      <x:c r="B922" s="24" t="str">
        <x:v>SIM</x:v>
      </x:c>
      <x:c r="C922" s="24" t="str">
        <x:v>DISPONÍVEL</x:v>
      </x:c>
      <x:c r="D922" s="24" t="str">
        <x:v>Rodenstock</x:v>
      </x:c>
      <x:c r="E922" s="24" t="str">
        <x:v>Progressiva Freeform</x:v>
      </x:c>
      <x:c r="F922" s="24" t="str">
        <x:v>Surfaçada</x:v>
      </x:c>
      <x:c r="G922" s="24" t="str">
        <x:v>Progressiv Life</x:v>
      </x:c>
      <x:c r="H922" s="24"/>
      <x:c r="I922" s="24" t="str">
        <x:v>1.74</x:v>
      </x:c>
      <x:c r="J922" s="24" t="str">
        <x:v>1.74</x:v>
      </x:c>
      <x:c r="K922" s="24" t="str">
        <x:v>Solitaire Protect Plus</x:v>
      </x:c>
      <x:c r="L922" s="40" t="n">
        <x:v>10606</x:v>
      </x:c>
      <x:c r="M922" s="24" t="str">
        <x:v>-10 a +8</x:v>
      </x:c>
      <x:c r="N922" s="24" t="str">
        <x:v>até -6</x:v>
      </x:c>
      <x:c r="O922" s="24"/>
      <x:c r="P922" s="24" t="str">
        <x:v>75/80</x:v>
      </x:c>
      <x:c r="Q922" s="24"/>
      <x:c r="R922" s="24"/>
      <x:c r="S922" s="26" t="n">
        <x:v>46024</x:v>
      </x:c>
      <x:c r="T922" s="26"/>
      <x:c r="U922" s="24" t="str">
        <x:v>ATIVA/SEM FIM INFORMADO</x:v>
      </x:c>
      <x:c r="V922" s="24"/>
      <x:c r="W922" s="24" t="n">
        <x:v>21</x:v>
      </x:c>
      <x:c r="X922" s="24" t="str">
        <x:v>tabela_rodenstock.pdf</x:v>
      </x:c>
      <x:c r="Y922" s="24" t="str">
        <x:v>alta</x:v>
      </x:c>
      <x:c r="Z922" s="24"/>
      <x:c r="AA922" s="24" t="str">
        <x:v>Rodenstock|Progressiva Freeform|Surfaçada|Progressiv Life||1.74|1.74|Solitaire Protect Plus|-10 a +8|até -6||75/80|||21</x:v>
      </x:c>
    </x:row>
    <x:row r="923">
      <x:c r="A923" s="24" t="str">
        <x:v>RD-20788892597A</x:v>
      </x:c>
      <x:c r="B923" s="24" t="str">
        <x:v>SIM</x:v>
      </x:c>
      <x:c r="C923" s="24" t="str">
        <x:v>DISPONÍVEL</x:v>
      </x:c>
      <x:c r="D923" s="24" t="str">
        <x:v>Rodenstock</x:v>
      </x:c>
      <x:c r="E923" s="24" t="str">
        <x:v>Progressiva Freeform</x:v>
      </x:c>
      <x:c r="F923" s="24" t="str">
        <x:v>Surfaçada</x:v>
      </x:c>
      <x:c r="G923" s="24" t="str">
        <x:v>Progressiv Life</x:v>
      </x:c>
      <x:c r="H923" s="24"/>
      <x:c r="I923" s="24" t="str">
        <x:v>1.74</x:v>
      </x:c>
      <x:c r="J923" s="24" t="str">
        <x:v>1.74</x:v>
      </x:c>
      <x:c r="K923" s="24" t="str">
        <x:v>Solitaire Protect</x:v>
      </x:c>
      <x:c r="L923" s="40" t="n">
        <x:v>10346</x:v>
      </x:c>
      <x:c r="M923" s="24" t="str">
        <x:v>-10 a +8</x:v>
      </x:c>
      <x:c r="N923" s="24" t="str">
        <x:v>até -6</x:v>
      </x:c>
      <x:c r="O923" s="24"/>
      <x:c r="P923" s="24" t="str">
        <x:v>75/80</x:v>
      </x:c>
      <x:c r="Q923" s="24"/>
      <x:c r="R923" s="24"/>
      <x:c r="S923" s="26" t="n">
        <x:v>46024</x:v>
      </x:c>
      <x:c r="T923" s="26"/>
      <x:c r="U923" s="24" t="str">
        <x:v>ATIVA/SEM FIM INFORMADO</x:v>
      </x:c>
      <x:c r="V923" s="24"/>
      <x:c r="W923" s="24" t="n">
        <x:v>21</x:v>
      </x:c>
      <x:c r="X923" s="24" t="str">
        <x:v>tabela_rodenstock.pdf</x:v>
      </x:c>
      <x:c r="Y923" s="24" t="str">
        <x:v>alta</x:v>
      </x:c>
      <x:c r="Z923" s="24"/>
      <x:c r="AA923" s="24" t="str">
        <x:v>Rodenstock|Progressiva Freeform|Surfaçada|Progressiv Life||1.74|1.74|Solitaire Protect|-10 a +8|até -6||75/80|||21</x:v>
      </x:c>
    </x:row>
    <x:row r="924">
      <x:c r="A924" s="24" t="str">
        <x:v>RD-37A109778675</x:v>
      </x:c>
      <x:c r="B924" s="24" t="str">
        <x:v>SIM</x:v>
      </x:c>
      <x:c r="C924" s="24" t="str">
        <x:v>DISPONÍVEL</x:v>
      </x:c>
      <x:c r="D924" s="24" t="str">
        <x:v>Rodenstock</x:v>
      </x:c>
      <x:c r="E924" s="24" t="str">
        <x:v>Progressiva Freeform</x:v>
      </x:c>
      <x:c r="F924" s="24" t="str">
        <x:v>Surfaçada</x:v>
      </x:c>
      <x:c r="G924" s="24" t="str">
        <x:v>Progressiv Life 3D</x:v>
      </x:c>
      <x:c r="H924" s="24"/>
      <x:c r="I924" s="24" t="str">
        <x:v>1.5</x:v>
      </x:c>
      <x:c r="J924" s="24" t="str">
        <x:v>1.50</x:v>
      </x:c>
      <x:c r="K924" s="24" t="str">
        <x:v>Solitaire X-tra Clean</x:v>
      </x:c>
      <x:c r="L924" s="40" t="n">
        <x:v>4874</x:v>
      </x:c>
      <x:c r="M924" s="24" t="str">
        <x:v>-8 a +8</x:v>
      </x:c>
      <x:c r="N924" s="24" t="str">
        <x:v>até -6</x:v>
      </x:c>
      <x:c r="O924" s="24"/>
      <x:c r="P924" s="24" t="str">
        <x:v>75/80</x:v>
      </x:c>
      <x:c r="Q924" s="24"/>
      <x:c r="R924" s="24"/>
      <x:c r="S924" s="26" t="n">
        <x:v>46024</x:v>
      </x:c>
      <x:c r="T924" s="26"/>
      <x:c r="U924" s="24" t="str">
        <x:v>ATIVA/SEM FIM INFORMADO</x:v>
      </x:c>
      <x:c r="V924" s="24"/>
      <x:c r="W924" s="24" t="n">
        <x:v>21</x:v>
      </x:c>
      <x:c r="X924" s="24" t="str">
        <x:v>tabela_rodenstock.pdf</x:v>
      </x:c>
      <x:c r="Y924" s="24" t="str">
        <x:v>alta</x:v>
      </x:c>
      <x:c r="Z924" s="24"/>
      <x:c r="AA924" s="24" t="str">
        <x:v>Rodenstock|Progressiva Freeform|Surfaçada|Progressiv Life 3D||1.5|1.50|Solitaire X-tra Clean|-8 a +8|até -6||75/80|||21</x:v>
      </x:c>
    </x:row>
    <x:row r="925">
      <x:c r="A925" s="24" t="str">
        <x:v>RD-88C14B2393B6</x:v>
      </x:c>
      <x:c r="B925" s="24" t="str">
        <x:v>SIM</x:v>
      </x:c>
      <x:c r="C925" s="24" t="str">
        <x:v>DISPONÍVEL</x:v>
      </x:c>
      <x:c r="D925" s="24" t="str">
        <x:v>Rodenstock</x:v>
      </x:c>
      <x:c r="E925" s="24" t="str">
        <x:v>Progressiva Freeform</x:v>
      </x:c>
      <x:c r="F925" s="24" t="str">
        <x:v>Surfaçada</x:v>
      </x:c>
      <x:c r="G925" s="24" t="str">
        <x:v>Progressiv Life 3D</x:v>
      </x:c>
      <x:c r="H925" s="24"/>
      <x:c r="I925" s="24" t="str">
        <x:v>1.5</x:v>
      </x:c>
      <x:c r="J925" s="24" t="str">
        <x:v>1.50</x:v>
      </x:c>
      <x:c r="K925" s="24" t="str">
        <x:v>Solitaire 2 Protect Balance</x:v>
      </x:c>
      <x:c r="L925" s="40" t="n">
        <x:v>4824</x:v>
      </x:c>
      <x:c r="M925" s="24" t="str">
        <x:v>-8 a +8</x:v>
      </x:c>
      <x:c r="N925" s="24" t="str">
        <x:v>até -6</x:v>
      </x:c>
      <x:c r="O925" s="24"/>
      <x:c r="P925" s="24" t="str">
        <x:v>75/80</x:v>
      </x:c>
      <x:c r="Q925" s="24"/>
      <x:c r="R925" s="24"/>
      <x:c r="S925" s="26" t="n">
        <x:v>46024</x:v>
      </x:c>
      <x:c r="T925" s="26"/>
      <x:c r="U925" s="24" t="str">
        <x:v>ATIVA/SEM FIM INFORMADO</x:v>
      </x:c>
      <x:c r="V925" s="24"/>
      <x:c r="W925" s="24" t="n">
        <x:v>21</x:v>
      </x:c>
      <x:c r="X925" s="24" t="str">
        <x:v>tabela_rodenstock.pdf</x:v>
      </x:c>
      <x:c r="Y925" s="24" t="str">
        <x:v>alta</x:v>
      </x:c>
      <x:c r="Z925" s="24"/>
      <x:c r="AA925" s="24" t="str">
        <x:v>Rodenstock|Progressiva Freeform|Surfaçada|Progressiv Life 3D||1.5|1.50|Solitaire 2 Protect Balance|-8 a +8|até -6||75/80|||21</x:v>
      </x:c>
    </x:row>
    <x:row r="926">
      <x:c r="A926" s="24" t="str">
        <x:v>RD-5063FF48C7CB</x:v>
      </x:c>
      <x:c r="B926" s="24" t="str">
        <x:v>SIM</x:v>
      </x:c>
      <x:c r="C926" s="24" t="str">
        <x:v>DISPONÍVEL</x:v>
      </x:c>
      <x:c r="D926" s="24" t="str">
        <x:v>Rodenstock</x:v>
      </x:c>
      <x:c r="E926" s="24" t="str">
        <x:v>Progressiva Freeform</x:v>
      </x:c>
      <x:c r="F926" s="24" t="str">
        <x:v>Surfaçada</x:v>
      </x:c>
      <x:c r="G926" s="24" t="str">
        <x:v>Progressiv Life 3D</x:v>
      </x:c>
      <x:c r="H926" s="24"/>
      <x:c r="I926" s="24" t="str">
        <x:v>1.5</x:v>
      </x:c>
      <x:c r="J926" s="24" t="str">
        <x:v>1.50</x:v>
      </x:c>
      <x:c r="K926" s="24" t="str">
        <x:v>Solitaire 2 Protect Plus</x:v>
      </x:c>
      <x:c r="L926" s="40" t="n">
        <x:v>4824</x:v>
      </x:c>
      <x:c r="M926" s="24" t="str">
        <x:v>-8 a +8</x:v>
      </x:c>
      <x:c r="N926" s="24" t="str">
        <x:v>até -6</x:v>
      </x:c>
      <x:c r="O926" s="24"/>
      <x:c r="P926" s="24" t="str">
        <x:v>75/80</x:v>
      </x:c>
      <x:c r="Q926" s="24"/>
      <x:c r="R926" s="24"/>
      <x:c r="S926" s="26" t="n">
        <x:v>46024</x:v>
      </x:c>
      <x:c r="T926" s="26"/>
      <x:c r="U926" s="24" t="str">
        <x:v>ATIVA/SEM FIM INFORMADO</x:v>
      </x:c>
      <x:c r="V926" s="24"/>
      <x:c r="W926" s="24" t="n">
        <x:v>21</x:v>
      </x:c>
      <x:c r="X926" s="24" t="str">
        <x:v>tabela_rodenstock.pdf</x:v>
      </x:c>
      <x:c r="Y926" s="24" t="str">
        <x:v>alta</x:v>
      </x:c>
      <x:c r="Z926" s="24"/>
      <x:c r="AA926" s="24" t="str">
        <x:v>Rodenstock|Progressiva Freeform|Surfaçada|Progressiv Life 3D||1.5|1.50|Solitaire 2 Protect Plus|-8 a +8|até -6||75/80|||21</x:v>
      </x:c>
    </x:row>
    <x:row r="927">
      <x:c r="A927" s="24" t="str">
        <x:v>RD-35264A6E800E</x:v>
      </x:c>
      <x:c r="B927" s="24" t="str">
        <x:v>SIM</x:v>
      </x:c>
      <x:c r="C927" s="24" t="str">
        <x:v>DISPONÍVEL</x:v>
      </x:c>
      <x:c r="D927" s="24" t="str">
        <x:v>Rodenstock</x:v>
      </x:c>
      <x:c r="E927" s="24" t="str">
        <x:v>Progressiva Freeform</x:v>
      </x:c>
      <x:c r="F927" s="24" t="str">
        <x:v>Surfaçada</x:v>
      </x:c>
      <x:c r="G927" s="24" t="str">
        <x:v>Progressiv Life 3D</x:v>
      </x:c>
      <x:c r="H927" s="24"/>
      <x:c r="I927" s="24" t="str">
        <x:v>1.5</x:v>
      </x:c>
      <x:c r="J927" s="24" t="str">
        <x:v>1.50</x:v>
      </x:c>
      <x:c r="K927" s="24" t="str">
        <x:v>ROAD</x:v>
      </x:c>
      <x:c r="L927" s="40" t="n">
        <x:v>4824</x:v>
      </x:c>
      <x:c r="M927" s="24" t="str">
        <x:v>-8 a +8</x:v>
      </x:c>
      <x:c r="N927" s="24" t="str">
        <x:v>até -6</x:v>
      </x:c>
      <x:c r="O927" s="24"/>
      <x:c r="P927" s="24" t="str">
        <x:v>75/80</x:v>
      </x:c>
      <x:c r="Q927" s="24"/>
      <x:c r="R927" s="24"/>
      <x:c r="S927" s="26" t="n">
        <x:v>46024</x:v>
      </x:c>
      <x:c r="T927" s="26"/>
      <x:c r="U927" s="24" t="str">
        <x:v>ATIVA/SEM FIM INFORMADO</x:v>
      </x:c>
      <x:c r="V927" s="24"/>
      <x:c r="W927" s="24" t="n">
        <x:v>21</x:v>
      </x:c>
      <x:c r="X927" s="24" t="str">
        <x:v>tabela_rodenstock.pdf</x:v>
      </x:c>
      <x:c r="Y927" s="24" t="str">
        <x:v>alta</x:v>
      </x:c>
      <x:c r="Z927" s="24"/>
      <x:c r="AA927" s="24" t="str">
        <x:v>Rodenstock|Progressiva Freeform|Surfaçada|Progressiv Life 3D||1.5|1.50|ROAD|-8 a +8|até -6||75/80|||21</x:v>
      </x:c>
    </x:row>
    <x:row r="928">
      <x:c r="A928" s="24" t="str">
        <x:v>RD-BC7994E6D77B</x:v>
      </x:c>
      <x:c r="B928" s="24" t="str">
        <x:v>SIM</x:v>
      </x:c>
      <x:c r="C928" s="24" t="str">
        <x:v>DISPONÍVEL</x:v>
      </x:c>
      <x:c r="D928" s="24" t="str">
        <x:v>Rodenstock</x:v>
      </x:c>
      <x:c r="E928" s="24" t="str">
        <x:v>Progressiva Freeform</x:v>
      </x:c>
      <x:c r="F928" s="24" t="str">
        <x:v>Surfaçada</x:v>
      </x:c>
      <x:c r="G928" s="24" t="str">
        <x:v>Progressiv Life 3D</x:v>
      </x:c>
      <x:c r="H928" s="24"/>
      <x:c r="I928" s="24" t="str">
        <x:v>1.5</x:v>
      </x:c>
      <x:c r="J928" s="24" t="str">
        <x:v>1.50</x:v>
      </x:c>
      <x:c r="K928" s="24" t="str">
        <x:v>Solitaire 2 Protect</x:v>
      </x:c>
      <x:c r="L928" s="40" t="n">
        <x:v>4564</x:v>
      </x:c>
      <x:c r="M928" s="24" t="str">
        <x:v>-8 a +8</x:v>
      </x:c>
      <x:c r="N928" s="24" t="str">
        <x:v>até -6</x:v>
      </x:c>
      <x:c r="O928" s="24"/>
      <x:c r="P928" s="24" t="str">
        <x:v>75/80</x:v>
      </x:c>
      <x:c r="Q928" s="24"/>
      <x:c r="R928" s="24"/>
      <x:c r="S928" s="26" t="n">
        <x:v>46024</x:v>
      </x:c>
      <x:c r="T928" s="26"/>
      <x:c r="U928" s="24" t="str">
        <x:v>ATIVA/SEM FIM INFORMADO</x:v>
      </x:c>
      <x:c r="V928" s="24"/>
      <x:c r="W928" s="24" t="n">
        <x:v>21</x:v>
      </x:c>
      <x:c r="X928" s="24" t="str">
        <x:v>tabela_rodenstock.pdf</x:v>
      </x:c>
      <x:c r="Y928" s="24" t="str">
        <x:v>alta</x:v>
      </x:c>
      <x:c r="Z928" s="24"/>
      <x:c r="AA928" s="24" t="str">
        <x:v>Rodenstock|Progressiva Freeform|Surfaçada|Progressiv Life 3D||1.5|1.50|Solitaire 2 Protect|-8 a +8|até -6||75/80|||21</x:v>
      </x:c>
    </x:row>
    <x:row r="929">
      <x:c r="A929" s="24" t="str">
        <x:v>RD-AA6D05C131CB</x:v>
      </x:c>
      <x:c r="B929" s="24" t="str">
        <x:v>SIM</x:v>
      </x:c>
      <x:c r="C929" s="24" t="str">
        <x:v>DISPONÍVEL</x:v>
      </x:c>
      <x:c r="D929" s="24" t="str">
        <x:v>Rodenstock</x:v>
      </x:c>
      <x:c r="E929" s="24" t="str">
        <x:v>Progressiva Freeform</x:v>
      </x:c>
      <x:c r="F929" s="24" t="str">
        <x:v>Surfaçada</x:v>
      </x:c>
      <x:c r="G929" s="24" t="str">
        <x:v>Progressiv Life 3D</x:v>
      </x:c>
      <x:c r="H929" s="24"/>
      <x:c r="I929" s="24" t="str">
        <x:v>1.5</x:v>
      </x:c>
      <x:c r="J929" s="24" t="str">
        <x:v>1.50</x:v>
      </x:c>
      <x:c r="K929" s="24" t="str">
        <x:v>Sem AR</x:v>
      </x:c>
      <x:c r="L929" s="40" t="n">
        <x:v>3694</x:v>
      </x:c>
      <x:c r="M929" s="24" t="str">
        <x:v>-8 a +8</x:v>
      </x:c>
      <x:c r="N929" s="24" t="str">
        <x:v>até -6</x:v>
      </x:c>
      <x:c r="O929" s="24"/>
      <x:c r="P929" s="24" t="str">
        <x:v>75/80</x:v>
      </x:c>
      <x:c r="Q929" s="24"/>
      <x:c r="R929" s="24"/>
      <x:c r="S929" s="26" t="n">
        <x:v>46024</x:v>
      </x:c>
      <x:c r="T929" s="26"/>
      <x:c r="U929" s="24" t="str">
        <x:v>ATIVA/SEM FIM INFORMADO</x:v>
      </x:c>
      <x:c r="V929" s="24"/>
      <x:c r="W929" s="24" t="n">
        <x:v>21</x:v>
      </x:c>
      <x:c r="X929" s="24" t="str">
        <x:v>tabela_rodenstock.pdf</x:v>
      </x:c>
      <x:c r="Y929" s="24" t="str">
        <x:v>alta</x:v>
      </x:c>
      <x:c r="Z929" s="24"/>
      <x:c r="AA929" s="24" t="str">
        <x:v>Rodenstock|Progressiva Freeform|Surfaçada|Progressiv Life 3D||1.5|1.50|Sem AR|-8 a +8|até -6||75/80|||21</x:v>
      </x:c>
    </x:row>
    <x:row r="930">
      <x:c r="A930" s="24" t="str">
        <x:v>RD-347F545C3AF1</x:v>
      </x:c>
      <x:c r="B930" s="24" t="str">
        <x:v>SIM</x:v>
      </x:c>
      <x:c r="C930" s="24" t="str">
        <x:v>DISPONÍVEL</x:v>
      </x:c>
      <x:c r="D930" s="24" t="str">
        <x:v>Rodenstock</x:v>
      </x:c>
      <x:c r="E930" s="24" t="str">
        <x:v>Progressiva Freeform</x:v>
      </x:c>
      <x:c r="F930" s="24" t="str">
        <x:v>Surfaçada</x:v>
      </x:c>
      <x:c r="G930" s="24" t="str">
        <x:v>Progressiv Life 3D</x:v>
      </x:c>
      <x:c r="H930" s="24" t="str">
        <x:v>ColorMatic® 3</x:v>
      </x:c>
      <x:c r="I930" s="24" t="str">
        <x:v>1.54</x:v>
      </x:c>
      <x:c r="J930" s="24" t="str">
        <x:v>1.54</x:v>
      </x:c>
      <x:c r="K930" s="24" t="str">
        <x:v>Solitaire X-tra Clean</x:v>
      </x:c>
      <x:c r="L930" s="40" t="n">
        <x:v>6468</x:v>
      </x:c>
      <x:c r="M930" s="24" t="str">
        <x:v>-8 a +8</x:v>
      </x:c>
      <x:c r="N930" s="24" t="str">
        <x:v>até -6</x:v>
      </x:c>
      <x:c r="O930" s="24"/>
      <x:c r="P930" s="24" t="str">
        <x:v>75/80</x:v>
      </x:c>
      <x:c r="Q930" s="24"/>
      <x:c r="R930" s="24"/>
      <x:c r="S930" s="26" t="n">
        <x:v>46024</x:v>
      </x:c>
      <x:c r="T930" s="26"/>
      <x:c r="U930" s="24" t="str">
        <x:v>ATIVA/SEM FIM INFORMADO</x:v>
      </x:c>
      <x:c r="V930" s="24"/>
      <x:c r="W930" s="24" t="n">
        <x:v>21</x:v>
      </x:c>
      <x:c r="X930" s="24" t="str">
        <x:v>tabela_rodenstock.pdf</x:v>
      </x:c>
      <x:c r="Y930" s="24" t="str">
        <x:v>alta</x:v>
      </x:c>
      <x:c r="Z930" s="24"/>
      <x:c r="AA930" s="24" t="str">
        <x:v>Rodenstock|Progressiva Freeform|Surfaçada|Progressiv Life 3D|ColorMatic® 3|1.54|1.54|Solitaire X-tra Clean|-8 a +8|até -6||75/80|||21</x:v>
      </x:c>
    </x:row>
    <x:row r="931">
      <x:c r="A931" s="24" t="str">
        <x:v>RD-01D99BDE4CF8</x:v>
      </x:c>
      <x:c r="B931" s="24" t="str">
        <x:v>SIM</x:v>
      </x:c>
      <x:c r="C931" s="24" t="str">
        <x:v>DISPONÍVEL</x:v>
      </x:c>
      <x:c r="D931" s="24" t="str">
        <x:v>Rodenstock</x:v>
      </x:c>
      <x:c r="E931" s="24" t="str">
        <x:v>Progressiva Freeform</x:v>
      </x:c>
      <x:c r="F931" s="24" t="str">
        <x:v>Surfaçada</x:v>
      </x:c>
      <x:c r="G931" s="24" t="str">
        <x:v>Progressiv Life 3D</x:v>
      </x:c>
      <x:c r="H931" s="24" t="str">
        <x:v>ColorMatic® 3</x:v>
      </x:c>
      <x:c r="I931" s="24" t="str">
        <x:v>1.54</x:v>
      </x:c>
      <x:c r="J931" s="24" t="str">
        <x:v>1.54</x:v>
      </x:c>
      <x:c r="K931" s="24" t="str">
        <x:v>Solitaire 2 Protect Balance</x:v>
      </x:c>
      <x:c r="L931" s="40" t="n">
        <x:v>6418</x:v>
      </x:c>
      <x:c r="M931" s="24" t="str">
        <x:v>-8 a +8</x:v>
      </x:c>
      <x:c r="N931" s="24" t="str">
        <x:v>até -6</x:v>
      </x:c>
      <x:c r="O931" s="24"/>
      <x:c r="P931" s="24" t="str">
        <x:v>75/80</x:v>
      </x:c>
      <x:c r="Q931" s="24"/>
      <x:c r="R931" s="24"/>
      <x:c r="S931" s="26" t="n">
        <x:v>46024</x:v>
      </x:c>
      <x:c r="T931" s="26"/>
      <x:c r="U931" s="24" t="str">
        <x:v>ATIVA/SEM FIM INFORMADO</x:v>
      </x:c>
      <x:c r="V931" s="24"/>
      <x:c r="W931" s="24" t="n">
        <x:v>21</x:v>
      </x:c>
      <x:c r="X931" s="24" t="str">
        <x:v>tabela_rodenstock.pdf</x:v>
      </x:c>
      <x:c r="Y931" s="24" t="str">
        <x:v>alta</x:v>
      </x:c>
      <x:c r="Z931" s="24"/>
      <x:c r="AA931" s="24" t="str">
        <x:v>Rodenstock|Progressiva Freeform|Surfaçada|Progressiv Life 3D|ColorMatic® 3|1.54|1.54|Solitaire 2 Protect Balance|-8 a +8|até -6||75/80|||21</x:v>
      </x:c>
    </x:row>
    <x:row r="932">
      <x:c r="A932" s="24" t="str">
        <x:v>RD-A6EF4D587C03</x:v>
      </x:c>
      <x:c r="B932" s="24" t="str">
        <x:v>SIM</x:v>
      </x:c>
      <x:c r="C932" s="24" t="str">
        <x:v>DISPONÍVEL</x:v>
      </x:c>
      <x:c r="D932" s="24" t="str">
        <x:v>Rodenstock</x:v>
      </x:c>
      <x:c r="E932" s="24" t="str">
        <x:v>Progressiva Freeform</x:v>
      </x:c>
      <x:c r="F932" s="24" t="str">
        <x:v>Surfaçada</x:v>
      </x:c>
      <x:c r="G932" s="24" t="str">
        <x:v>Progressiv Life 3D</x:v>
      </x:c>
      <x:c r="H932" s="24" t="str">
        <x:v>ColorMatic® 3</x:v>
      </x:c>
      <x:c r="I932" s="24" t="str">
        <x:v>1.54</x:v>
      </x:c>
      <x:c r="J932" s="24" t="str">
        <x:v>1.54</x:v>
      </x:c>
      <x:c r="K932" s="24" t="str">
        <x:v>Solitaire 2 Protect Plus</x:v>
      </x:c>
      <x:c r="L932" s="40" t="n">
        <x:v>6418</x:v>
      </x:c>
      <x:c r="M932" s="24" t="str">
        <x:v>-8 a +8</x:v>
      </x:c>
      <x:c r="N932" s="24" t="str">
        <x:v>até -6</x:v>
      </x:c>
      <x:c r="O932" s="24"/>
      <x:c r="P932" s="24" t="str">
        <x:v>75/80</x:v>
      </x:c>
      <x:c r="Q932" s="24"/>
      <x:c r="R932" s="24"/>
      <x:c r="S932" s="26" t="n">
        <x:v>46024</x:v>
      </x:c>
      <x:c r="T932" s="26"/>
      <x:c r="U932" s="24" t="str">
        <x:v>ATIVA/SEM FIM INFORMADO</x:v>
      </x:c>
      <x:c r="V932" s="24"/>
      <x:c r="W932" s="24" t="n">
        <x:v>21</x:v>
      </x:c>
      <x:c r="X932" s="24" t="str">
        <x:v>tabela_rodenstock.pdf</x:v>
      </x:c>
      <x:c r="Y932" s="24" t="str">
        <x:v>alta</x:v>
      </x:c>
      <x:c r="Z932" s="24"/>
      <x:c r="AA932" s="24" t="str">
        <x:v>Rodenstock|Progressiva Freeform|Surfaçada|Progressiv Life 3D|ColorMatic® 3|1.54|1.54|Solitaire 2 Protect Plus|-8 a +8|até -6||75/80|||21</x:v>
      </x:c>
    </x:row>
    <x:row r="933">
      <x:c r="A933" s="24" t="str">
        <x:v>RD-FC8597ECC575</x:v>
      </x:c>
      <x:c r="B933" s="24" t="str">
        <x:v>SIM</x:v>
      </x:c>
      <x:c r="C933" s="24" t="str">
        <x:v>DISPONÍVEL</x:v>
      </x:c>
      <x:c r="D933" s="24" t="str">
        <x:v>Rodenstock</x:v>
      </x:c>
      <x:c r="E933" s="24" t="str">
        <x:v>Progressiva Freeform</x:v>
      </x:c>
      <x:c r="F933" s="24" t="str">
        <x:v>Surfaçada</x:v>
      </x:c>
      <x:c r="G933" s="24" t="str">
        <x:v>Progressiv Life 3D</x:v>
      </x:c>
      <x:c r="H933" s="24" t="str">
        <x:v>ColorMatic® 3</x:v>
      </x:c>
      <x:c r="I933" s="24" t="str">
        <x:v>1.54</x:v>
      </x:c>
      <x:c r="J933" s="24" t="str">
        <x:v>1.54</x:v>
      </x:c>
      <x:c r="K933" s="24" t="str">
        <x:v>ROAD</x:v>
      </x:c>
      <x:c r="L933" s="40" t="n">
        <x:v>6418</x:v>
      </x:c>
      <x:c r="M933" s="24" t="str">
        <x:v>-8 a +8</x:v>
      </x:c>
      <x:c r="N933" s="24" t="str">
        <x:v>até -6</x:v>
      </x:c>
      <x:c r="O933" s="24"/>
      <x:c r="P933" s="24" t="str">
        <x:v>75/80</x:v>
      </x:c>
      <x:c r="Q933" s="24"/>
      <x:c r="R933" s="24"/>
      <x:c r="S933" s="26" t="n">
        <x:v>46024</x:v>
      </x:c>
      <x:c r="T933" s="26"/>
      <x:c r="U933" s="24" t="str">
        <x:v>ATIVA/SEM FIM INFORMADO</x:v>
      </x:c>
      <x:c r="V933" s="24"/>
      <x:c r="W933" s="24" t="n">
        <x:v>21</x:v>
      </x:c>
      <x:c r="X933" s="24" t="str">
        <x:v>tabela_rodenstock.pdf</x:v>
      </x:c>
      <x:c r="Y933" s="24" t="str">
        <x:v>alta</x:v>
      </x:c>
      <x:c r="Z933" s="24"/>
      <x:c r="AA933" s="24" t="str">
        <x:v>Rodenstock|Progressiva Freeform|Surfaçada|Progressiv Life 3D|ColorMatic® 3|1.54|1.54|ROAD|-8 a +8|até -6||75/80|||21</x:v>
      </x:c>
    </x:row>
    <x:row r="934">
      <x:c r="A934" s="24" t="str">
        <x:v>RD-ACD8F9F1BDD3</x:v>
      </x:c>
      <x:c r="B934" s="24" t="str">
        <x:v>SIM</x:v>
      </x:c>
      <x:c r="C934" s="24" t="str">
        <x:v>DISPONÍVEL</x:v>
      </x:c>
      <x:c r="D934" s="24" t="str">
        <x:v>Rodenstock</x:v>
      </x:c>
      <x:c r="E934" s="24" t="str">
        <x:v>Progressiva Freeform</x:v>
      </x:c>
      <x:c r="F934" s="24" t="str">
        <x:v>Surfaçada</x:v>
      </x:c>
      <x:c r="G934" s="24" t="str">
        <x:v>Progressiv Life 3D</x:v>
      </x:c>
      <x:c r="H934" s="24" t="str">
        <x:v>ColorMatic® 3</x:v>
      </x:c>
      <x:c r="I934" s="24" t="str">
        <x:v>1.54</x:v>
      </x:c>
      <x:c r="J934" s="24" t="str">
        <x:v>1.54</x:v>
      </x:c>
      <x:c r="K934" s="24" t="str">
        <x:v>Solitaire 2 Protect</x:v>
      </x:c>
      <x:c r="L934" s="40" t="n">
        <x:v>6158</x:v>
      </x:c>
      <x:c r="M934" s="24" t="str">
        <x:v>-8 a +8</x:v>
      </x:c>
      <x:c r="N934" s="24" t="str">
        <x:v>até -6</x:v>
      </x:c>
      <x:c r="O934" s="24"/>
      <x:c r="P934" s="24" t="str">
        <x:v>75/80</x:v>
      </x:c>
      <x:c r="Q934" s="24"/>
      <x:c r="R934" s="24"/>
      <x:c r="S934" s="26" t="n">
        <x:v>46024</x:v>
      </x:c>
      <x:c r="T934" s="26"/>
      <x:c r="U934" s="24" t="str">
        <x:v>ATIVA/SEM FIM INFORMADO</x:v>
      </x:c>
      <x:c r="V934" s="24"/>
      <x:c r="W934" s="24" t="n">
        <x:v>21</x:v>
      </x:c>
      <x:c r="X934" s="24" t="str">
        <x:v>tabela_rodenstock.pdf</x:v>
      </x:c>
      <x:c r="Y934" s="24" t="str">
        <x:v>alta</x:v>
      </x:c>
      <x:c r="Z934" s="24"/>
      <x:c r="AA934" s="24" t="str">
        <x:v>Rodenstock|Progressiva Freeform|Surfaçada|Progressiv Life 3D|ColorMatic® 3|1.54|1.54|Solitaire 2 Protect|-8 a +8|até -6||75/80|||21</x:v>
      </x:c>
    </x:row>
    <x:row r="935">
      <x:c r="A935" s="24" t="str">
        <x:v>RD-47378D4239D4</x:v>
      </x:c>
      <x:c r="B935" s="24" t="str">
        <x:v>SIM</x:v>
      </x:c>
      <x:c r="C935" s="24" t="str">
        <x:v>DISPONÍVEL</x:v>
      </x:c>
      <x:c r="D935" s="24" t="str">
        <x:v>Rodenstock</x:v>
      </x:c>
      <x:c r="E935" s="24" t="str">
        <x:v>Progressiva Freeform</x:v>
      </x:c>
      <x:c r="F935" s="24" t="str">
        <x:v>Surfaçada</x:v>
      </x:c>
      <x:c r="G935" s="24" t="str">
        <x:v>Progressiv Life 3D</x:v>
      </x:c>
      <x:c r="H935" s="24" t="str">
        <x:v>ColorMatic® 3</x:v>
      </x:c>
      <x:c r="I935" s="24" t="str">
        <x:v>1.54</x:v>
      </x:c>
      <x:c r="J935" s="24" t="str">
        <x:v>1.54</x:v>
      </x:c>
      <x:c r="K935" s="24" t="str">
        <x:v>Sem AR</x:v>
      </x:c>
      <x:c r="L935" s="40" t="n">
        <x:v>5288</x:v>
      </x:c>
      <x:c r="M935" s="24" t="str">
        <x:v>-8 a +8</x:v>
      </x:c>
      <x:c r="N935" s="24" t="str">
        <x:v>até -6</x:v>
      </x:c>
      <x:c r="O935" s="24"/>
      <x:c r="P935" s="24" t="str">
        <x:v>75/80</x:v>
      </x:c>
      <x:c r="Q935" s="24"/>
      <x:c r="R935" s="24"/>
      <x:c r="S935" s="26" t="n">
        <x:v>46024</x:v>
      </x:c>
      <x:c r="T935" s="26"/>
      <x:c r="U935" s="24" t="str">
        <x:v>ATIVA/SEM FIM INFORMADO</x:v>
      </x:c>
      <x:c r="V935" s="24"/>
      <x:c r="W935" s="24" t="n">
        <x:v>21</x:v>
      </x:c>
      <x:c r="X935" s="24" t="str">
        <x:v>tabela_rodenstock.pdf</x:v>
      </x:c>
      <x:c r="Y935" s="24" t="str">
        <x:v>alta</x:v>
      </x:c>
      <x:c r="Z935" s="24"/>
      <x:c r="AA935" s="24" t="str">
        <x:v>Rodenstock|Progressiva Freeform|Surfaçada|Progressiv Life 3D|ColorMatic® 3|1.54|1.54|Sem AR|-8 a +8|até -6||75/80|||21</x:v>
      </x:c>
    </x:row>
    <x:row r="936">
      <x:c r="A936" s="24" t="str">
        <x:v>RD-FAFC850318B7</x:v>
      </x:c>
      <x:c r="B936" s="24" t="str">
        <x:v>SIM</x:v>
      </x:c>
      <x:c r="C936" s="24" t="str">
        <x:v>DISPONÍVEL</x:v>
      </x:c>
      <x:c r="D936" s="24" t="str">
        <x:v>Rodenstock</x:v>
      </x:c>
      <x:c r="E936" s="24" t="str">
        <x:v>Progressiva Freeform</x:v>
      </x:c>
      <x:c r="F936" s="24" t="str">
        <x:v>Surfaçada</x:v>
      </x:c>
      <x:c r="G936" s="24" t="str">
        <x:v>Progressiv Life 3D</x:v>
      </x:c>
      <x:c r="H936" s="24"/>
      <x:c r="I936" s="24" t="str">
        <x:v>1.6</x:v>
      </x:c>
      <x:c r="J936" s="24" t="str">
        <x:v>1.60</x:v>
      </x:c>
      <x:c r="K936" s="24" t="str">
        <x:v>Solitaire X-tra Clean</x:v>
      </x:c>
      <x:c r="L936" s="40" t="n">
        <x:v>6063</x:v>
      </x:c>
      <x:c r="M936" s="24" t="str">
        <x:v>-10 a +8</x:v>
      </x:c>
      <x:c r="N936" s="24" t="str">
        <x:v>até -6</x:v>
      </x:c>
      <x:c r="O936" s="24"/>
      <x:c r="P936" s="24" t="str">
        <x:v>75/80</x:v>
      </x:c>
      <x:c r="Q936" s="24"/>
      <x:c r="R936" s="24"/>
      <x:c r="S936" s="26" t="n">
        <x:v>46024</x:v>
      </x:c>
      <x:c r="T936" s="26"/>
      <x:c r="U936" s="24" t="str">
        <x:v>ATIVA/SEM FIM INFORMADO</x:v>
      </x:c>
      <x:c r="V936" s="24"/>
      <x:c r="W936" s="24" t="n">
        <x:v>21</x:v>
      </x:c>
      <x:c r="X936" s="24" t="str">
        <x:v>tabela_rodenstock.pdf</x:v>
      </x:c>
      <x:c r="Y936" s="24" t="str">
        <x:v>alta</x:v>
      </x:c>
      <x:c r="Z936" s="24"/>
      <x:c r="AA936" s="24" t="str">
        <x:v>Rodenstock|Progressiva Freeform|Surfaçada|Progressiv Life 3D||1.6|1.60|Solitaire X-tra Clean|-10 a +8|até -6||75/80|||21</x:v>
      </x:c>
    </x:row>
    <x:row r="937">
      <x:c r="A937" s="24" t="str">
        <x:v>RD-F8AE23E01CC2</x:v>
      </x:c>
      <x:c r="B937" s="24" t="str">
        <x:v>SIM</x:v>
      </x:c>
      <x:c r="C937" s="24" t="str">
        <x:v>DISPONÍVEL</x:v>
      </x:c>
      <x:c r="D937" s="24" t="str">
        <x:v>Rodenstock</x:v>
      </x:c>
      <x:c r="E937" s="24" t="str">
        <x:v>Progressiva Freeform</x:v>
      </x:c>
      <x:c r="F937" s="24" t="str">
        <x:v>Surfaçada</x:v>
      </x:c>
      <x:c r="G937" s="24" t="str">
        <x:v>Progressiv Life 3D</x:v>
      </x:c>
      <x:c r="H937" s="24"/>
      <x:c r="I937" s="24" t="str">
        <x:v>1.6</x:v>
      </x:c>
      <x:c r="J937" s="24" t="str">
        <x:v>1.60</x:v>
      </x:c>
      <x:c r="K937" s="24" t="str">
        <x:v>Solitaire 2 Protect Balance</x:v>
      </x:c>
      <x:c r="L937" s="40" t="n">
        <x:v>6013</x:v>
      </x:c>
      <x:c r="M937" s="24" t="str">
        <x:v>-10 a +8</x:v>
      </x:c>
      <x:c r="N937" s="24" t="str">
        <x:v>até -6</x:v>
      </x:c>
      <x:c r="O937" s="24"/>
      <x:c r="P937" s="24" t="str">
        <x:v>75/80</x:v>
      </x:c>
      <x:c r="Q937" s="24"/>
      <x:c r="R937" s="24"/>
      <x:c r="S937" s="26" t="n">
        <x:v>46024</x:v>
      </x:c>
      <x:c r="T937" s="26"/>
      <x:c r="U937" s="24" t="str">
        <x:v>ATIVA/SEM FIM INFORMADO</x:v>
      </x:c>
      <x:c r="V937" s="24"/>
      <x:c r="W937" s="24" t="n">
        <x:v>21</x:v>
      </x:c>
      <x:c r="X937" s="24" t="str">
        <x:v>tabela_rodenstock.pdf</x:v>
      </x:c>
      <x:c r="Y937" s="24" t="str">
        <x:v>alta</x:v>
      </x:c>
      <x:c r="Z937" s="24"/>
      <x:c r="AA937" s="24" t="str">
        <x:v>Rodenstock|Progressiva Freeform|Surfaçada|Progressiv Life 3D||1.6|1.60|Solitaire 2 Protect Balance|-10 a +8|até -6||75/80|||21</x:v>
      </x:c>
    </x:row>
    <x:row r="938">
      <x:c r="A938" s="24" t="str">
        <x:v>RD-7E4A46DD9FA5</x:v>
      </x:c>
      <x:c r="B938" s="24" t="str">
        <x:v>SIM</x:v>
      </x:c>
      <x:c r="C938" s="24" t="str">
        <x:v>DISPONÍVEL</x:v>
      </x:c>
      <x:c r="D938" s="24" t="str">
        <x:v>Rodenstock</x:v>
      </x:c>
      <x:c r="E938" s="24" t="str">
        <x:v>Progressiva Freeform</x:v>
      </x:c>
      <x:c r="F938" s="24" t="str">
        <x:v>Surfaçada</x:v>
      </x:c>
      <x:c r="G938" s="24" t="str">
        <x:v>Progressiv Life 3D</x:v>
      </x:c>
      <x:c r="H938" s="24"/>
      <x:c r="I938" s="24" t="str">
        <x:v>1.6</x:v>
      </x:c>
      <x:c r="J938" s="24" t="str">
        <x:v>1.60</x:v>
      </x:c>
      <x:c r="K938" s="24" t="str">
        <x:v>Solitaire 2 Protect Plus</x:v>
      </x:c>
      <x:c r="L938" s="40" t="n">
        <x:v>6013</x:v>
      </x:c>
      <x:c r="M938" s="24" t="str">
        <x:v>-10 a +8</x:v>
      </x:c>
      <x:c r="N938" s="24" t="str">
        <x:v>até -6</x:v>
      </x:c>
      <x:c r="O938" s="24"/>
      <x:c r="P938" s="24" t="str">
        <x:v>75/80</x:v>
      </x:c>
      <x:c r="Q938" s="24"/>
      <x:c r="R938" s="24"/>
      <x:c r="S938" s="26" t="n">
        <x:v>46024</x:v>
      </x:c>
      <x:c r="T938" s="26"/>
      <x:c r="U938" s="24" t="str">
        <x:v>ATIVA/SEM FIM INFORMADO</x:v>
      </x:c>
      <x:c r="V938" s="24"/>
      <x:c r="W938" s="24" t="n">
        <x:v>21</x:v>
      </x:c>
      <x:c r="X938" s="24" t="str">
        <x:v>tabela_rodenstock.pdf</x:v>
      </x:c>
      <x:c r="Y938" s="24" t="str">
        <x:v>alta</x:v>
      </x:c>
      <x:c r="Z938" s="24"/>
      <x:c r="AA938" s="24" t="str">
        <x:v>Rodenstock|Progressiva Freeform|Surfaçada|Progressiv Life 3D||1.6|1.60|Solitaire 2 Protect Plus|-10 a +8|até -6||75/80|||21</x:v>
      </x:c>
    </x:row>
    <x:row r="939">
      <x:c r="A939" s="24" t="str">
        <x:v>RD-9F811582F7C0</x:v>
      </x:c>
      <x:c r="B939" s="24" t="str">
        <x:v>SIM</x:v>
      </x:c>
      <x:c r="C939" s="24" t="str">
        <x:v>DISPONÍVEL</x:v>
      </x:c>
      <x:c r="D939" s="24" t="str">
        <x:v>Rodenstock</x:v>
      </x:c>
      <x:c r="E939" s="24" t="str">
        <x:v>Progressiva Freeform</x:v>
      </x:c>
      <x:c r="F939" s="24" t="str">
        <x:v>Surfaçada</x:v>
      </x:c>
      <x:c r="G939" s="24" t="str">
        <x:v>Progressiv Life 3D</x:v>
      </x:c>
      <x:c r="H939" s="24"/>
      <x:c r="I939" s="24" t="str">
        <x:v>1.6</x:v>
      </x:c>
      <x:c r="J939" s="24" t="str">
        <x:v>1.60</x:v>
      </x:c>
      <x:c r="K939" s="24" t="str">
        <x:v>ROAD</x:v>
      </x:c>
      <x:c r="L939" s="40" t="n">
        <x:v>6013</x:v>
      </x:c>
      <x:c r="M939" s="24" t="str">
        <x:v>-10 a +8</x:v>
      </x:c>
      <x:c r="N939" s="24" t="str">
        <x:v>até -6</x:v>
      </x:c>
      <x:c r="O939" s="24"/>
      <x:c r="P939" s="24" t="str">
        <x:v>75/80</x:v>
      </x:c>
      <x:c r="Q939" s="24"/>
      <x:c r="R939" s="24"/>
      <x:c r="S939" s="26" t="n">
        <x:v>46024</x:v>
      </x:c>
      <x:c r="T939" s="26"/>
      <x:c r="U939" s="24" t="str">
        <x:v>ATIVA/SEM FIM INFORMADO</x:v>
      </x:c>
      <x:c r="V939" s="24"/>
      <x:c r="W939" s="24" t="n">
        <x:v>21</x:v>
      </x:c>
      <x:c r="X939" s="24" t="str">
        <x:v>tabela_rodenstock.pdf</x:v>
      </x:c>
      <x:c r="Y939" s="24" t="str">
        <x:v>alta</x:v>
      </x:c>
      <x:c r="Z939" s="24"/>
      <x:c r="AA939" s="24" t="str">
        <x:v>Rodenstock|Progressiva Freeform|Surfaçada|Progressiv Life 3D||1.6|1.60|ROAD|-10 a +8|até -6||75/80|||21</x:v>
      </x:c>
    </x:row>
    <x:row r="940">
      <x:c r="A940" s="24" t="str">
        <x:v>RD-D855F21D28A6</x:v>
      </x:c>
      <x:c r="B940" s="24" t="str">
        <x:v>SIM</x:v>
      </x:c>
      <x:c r="C940" s="24" t="str">
        <x:v>DISPONÍVEL</x:v>
      </x:c>
      <x:c r="D940" s="24" t="str">
        <x:v>Rodenstock</x:v>
      </x:c>
      <x:c r="E940" s="24" t="str">
        <x:v>Progressiva Freeform</x:v>
      </x:c>
      <x:c r="F940" s="24" t="str">
        <x:v>Surfaçada</x:v>
      </x:c>
      <x:c r="G940" s="24" t="str">
        <x:v>Progressiv Life 3D</x:v>
      </x:c>
      <x:c r="H940" s="24"/>
      <x:c r="I940" s="24" t="str">
        <x:v>1.6</x:v>
      </x:c>
      <x:c r="J940" s="24" t="str">
        <x:v>1.60</x:v>
      </x:c>
      <x:c r="K940" s="24" t="str">
        <x:v>Solitaire 2 Protect</x:v>
      </x:c>
      <x:c r="L940" s="40" t="n">
        <x:v>5753</x:v>
      </x:c>
      <x:c r="M940" s="24" t="str">
        <x:v>-10 a +8</x:v>
      </x:c>
      <x:c r="N940" s="24" t="str">
        <x:v>até -6</x:v>
      </x:c>
      <x:c r="O940" s="24"/>
      <x:c r="P940" s="24" t="str">
        <x:v>75/80</x:v>
      </x:c>
      <x:c r="Q940" s="24"/>
      <x:c r="R940" s="24"/>
      <x:c r="S940" s="26" t="n">
        <x:v>46024</x:v>
      </x:c>
      <x:c r="T940" s="26"/>
      <x:c r="U940" s="24" t="str">
        <x:v>ATIVA/SEM FIM INFORMADO</x:v>
      </x:c>
      <x:c r="V940" s="24"/>
      <x:c r="W940" s="24" t="n">
        <x:v>21</x:v>
      </x:c>
      <x:c r="X940" s="24" t="str">
        <x:v>tabela_rodenstock.pdf</x:v>
      </x:c>
      <x:c r="Y940" s="24" t="str">
        <x:v>alta</x:v>
      </x:c>
      <x:c r="Z940" s="24"/>
      <x:c r="AA940" s="24" t="str">
        <x:v>Rodenstock|Progressiva Freeform|Surfaçada|Progressiv Life 3D||1.6|1.60|Solitaire 2 Protect|-10 a +8|até -6||75/80|||21</x:v>
      </x:c>
    </x:row>
    <x:row r="941">
      <x:c r="A941" s="24" t="str">
        <x:v>RD-F522A7ABB47D</x:v>
      </x:c>
      <x:c r="B941" s="24" t="str">
        <x:v>SIM</x:v>
      </x:c>
      <x:c r="C941" s="24" t="str">
        <x:v>DISPONÍVEL</x:v>
      </x:c>
      <x:c r="D941" s="24" t="str">
        <x:v>Rodenstock</x:v>
      </x:c>
      <x:c r="E941" s="24" t="str">
        <x:v>Progressiva Freeform</x:v>
      </x:c>
      <x:c r="F941" s="24" t="str">
        <x:v>Surfaçada</x:v>
      </x:c>
      <x:c r="G941" s="24" t="str">
        <x:v>Progressiv Life 3D</x:v>
      </x:c>
      <x:c r="H941" s="24" t="str">
        <x:v>PRO410</x:v>
      </x:c>
      <x:c r="I941" s="24" t="str">
        <x:v>1.6</x:v>
      </x:c>
      <x:c r="J941" s="24" t="str">
        <x:v>1.60</x:v>
      </x:c>
      <x:c r="K941" s="24" t="str">
        <x:v>Solitaire X-tra Clean</x:v>
      </x:c>
      <x:c r="L941" s="40" t="n">
        <x:v>6305</x:v>
      </x:c>
      <x:c r="M941" s="24" t="str">
        <x:v>-10 a +8</x:v>
      </x:c>
      <x:c r="N941" s="24" t="str">
        <x:v>até -6</x:v>
      </x:c>
      <x:c r="O941" s="24"/>
      <x:c r="P941" s="24" t="str">
        <x:v>75/80</x:v>
      </x:c>
      <x:c r="Q941" s="24"/>
      <x:c r="R941" s="24"/>
      <x:c r="S941" s="26" t="n">
        <x:v>46024</x:v>
      </x:c>
      <x:c r="T941" s="26"/>
      <x:c r="U941" s="24" t="str">
        <x:v>ATIVA/SEM FIM INFORMADO</x:v>
      </x:c>
      <x:c r="V941" s="24"/>
      <x:c r="W941" s="24" t="n">
        <x:v>21</x:v>
      </x:c>
      <x:c r="X941" s="24" t="str">
        <x:v>tabela_rodenstock.pdf</x:v>
      </x:c>
      <x:c r="Y941" s="24" t="str">
        <x:v>alta</x:v>
      </x:c>
      <x:c r="Z941" s="24"/>
      <x:c r="AA941" s="24" t="str">
        <x:v>Rodenstock|Progressiva Freeform|Surfaçada|Progressiv Life 3D|PRO410|1.6|1.60|Solitaire X-tra Clean|-10 a +8|até -6||75/80|||21</x:v>
      </x:c>
    </x:row>
    <x:row r="942">
      <x:c r="A942" s="24" t="str">
        <x:v>RD-E42477721981</x:v>
      </x:c>
      <x:c r="B942" s="24" t="str">
        <x:v>SIM</x:v>
      </x:c>
      <x:c r="C942" s="24" t="str">
        <x:v>DISPONÍVEL</x:v>
      </x:c>
      <x:c r="D942" s="24" t="str">
        <x:v>Rodenstock</x:v>
      </x:c>
      <x:c r="E942" s="24" t="str">
        <x:v>Progressiva Freeform</x:v>
      </x:c>
      <x:c r="F942" s="24" t="str">
        <x:v>Surfaçada</x:v>
      </x:c>
      <x:c r="G942" s="24" t="str">
        <x:v>Progressiv Life 3D</x:v>
      </x:c>
      <x:c r="H942" s="24" t="str">
        <x:v>PRO410</x:v>
      </x:c>
      <x:c r="I942" s="24" t="str">
        <x:v>1.6</x:v>
      </x:c>
      <x:c r="J942" s="24" t="str">
        <x:v>1.60</x:v>
      </x:c>
      <x:c r="K942" s="24" t="str">
        <x:v>Solitaire 2 Protect Balance</x:v>
      </x:c>
      <x:c r="L942" s="40" t="n">
        <x:v>6255</x:v>
      </x:c>
      <x:c r="M942" s="24" t="str">
        <x:v>-10 a +8</x:v>
      </x:c>
      <x:c r="N942" s="24" t="str">
        <x:v>até -6</x:v>
      </x:c>
      <x:c r="O942" s="24"/>
      <x:c r="P942" s="24" t="str">
        <x:v>75/80</x:v>
      </x:c>
      <x:c r="Q942" s="24"/>
      <x:c r="R942" s="24"/>
      <x:c r="S942" s="26" t="n">
        <x:v>46024</x:v>
      </x:c>
      <x:c r="T942" s="26"/>
      <x:c r="U942" s="24" t="str">
        <x:v>ATIVA/SEM FIM INFORMADO</x:v>
      </x:c>
      <x:c r="V942" s="24"/>
      <x:c r="W942" s="24" t="n">
        <x:v>21</x:v>
      </x:c>
      <x:c r="X942" s="24" t="str">
        <x:v>tabela_rodenstock.pdf</x:v>
      </x:c>
      <x:c r="Y942" s="24" t="str">
        <x:v>alta</x:v>
      </x:c>
      <x:c r="Z942" s="24"/>
      <x:c r="AA942" s="24" t="str">
        <x:v>Rodenstock|Progressiva Freeform|Surfaçada|Progressiv Life 3D|PRO410|1.6|1.60|Solitaire 2 Protect Balance|-10 a +8|até -6||75/80|||21</x:v>
      </x:c>
    </x:row>
    <x:row r="943">
      <x:c r="A943" s="24" t="str">
        <x:v>RD-BA7BF4620482</x:v>
      </x:c>
      <x:c r="B943" s="24" t="str">
        <x:v>SIM</x:v>
      </x:c>
      <x:c r="C943" s="24" t="str">
        <x:v>DISPONÍVEL</x:v>
      </x:c>
      <x:c r="D943" s="24" t="str">
        <x:v>Rodenstock</x:v>
      </x:c>
      <x:c r="E943" s="24" t="str">
        <x:v>Progressiva Freeform</x:v>
      </x:c>
      <x:c r="F943" s="24" t="str">
        <x:v>Surfaçada</x:v>
      </x:c>
      <x:c r="G943" s="24" t="str">
        <x:v>Progressiv Life 3D</x:v>
      </x:c>
      <x:c r="H943" s="24" t="str">
        <x:v>PRO410</x:v>
      </x:c>
      <x:c r="I943" s="24" t="str">
        <x:v>1.6</x:v>
      </x:c>
      <x:c r="J943" s="24" t="str">
        <x:v>1.60</x:v>
      </x:c>
      <x:c r="K943" s="24" t="str">
        <x:v>Solitaire 2 Protect Plus</x:v>
      </x:c>
      <x:c r="L943" s="40" t="n">
        <x:v>6255</x:v>
      </x:c>
      <x:c r="M943" s="24" t="str">
        <x:v>-10 a +8</x:v>
      </x:c>
      <x:c r="N943" s="24" t="str">
        <x:v>até -6</x:v>
      </x:c>
      <x:c r="O943" s="24"/>
      <x:c r="P943" s="24" t="str">
        <x:v>75/80</x:v>
      </x:c>
      <x:c r="Q943" s="24"/>
      <x:c r="R943" s="24"/>
      <x:c r="S943" s="26" t="n">
        <x:v>46024</x:v>
      </x:c>
      <x:c r="T943" s="26"/>
      <x:c r="U943" s="24" t="str">
        <x:v>ATIVA/SEM FIM INFORMADO</x:v>
      </x:c>
      <x:c r="V943" s="24"/>
      <x:c r="W943" s="24" t="n">
        <x:v>21</x:v>
      </x:c>
      <x:c r="X943" s="24" t="str">
        <x:v>tabela_rodenstock.pdf</x:v>
      </x:c>
      <x:c r="Y943" s="24" t="str">
        <x:v>alta</x:v>
      </x:c>
      <x:c r="Z943" s="24"/>
      <x:c r="AA943" s="24" t="str">
        <x:v>Rodenstock|Progressiva Freeform|Surfaçada|Progressiv Life 3D|PRO410|1.6|1.60|Solitaire 2 Protect Plus|-10 a +8|até -6||75/80|||21</x:v>
      </x:c>
    </x:row>
    <x:row r="944">
      <x:c r="A944" s="24" t="str">
        <x:v>RD-849A6692BA61</x:v>
      </x:c>
      <x:c r="B944" s="24" t="str">
        <x:v>SIM</x:v>
      </x:c>
      <x:c r="C944" s="24" t="str">
        <x:v>DISPONÍVEL</x:v>
      </x:c>
      <x:c r="D944" s="24" t="str">
        <x:v>Rodenstock</x:v>
      </x:c>
      <x:c r="E944" s="24" t="str">
        <x:v>Progressiva Freeform</x:v>
      </x:c>
      <x:c r="F944" s="24" t="str">
        <x:v>Surfaçada</x:v>
      </x:c>
      <x:c r="G944" s="24" t="str">
        <x:v>Progressiv Life 3D</x:v>
      </x:c>
      <x:c r="H944" s="24" t="str">
        <x:v>PRO410</x:v>
      </x:c>
      <x:c r="I944" s="24" t="str">
        <x:v>1.6</x:v>
      </x:c>
      <x:c r="J944" s="24" t="str">
        <x:v>1.60</x:v>
      </x:c>
      <x:c r="K944" s="24" t="str">
        <x:v>ROAD</x:v>
      </x:c>
      <x:c r="L944" s="40" t="n">
        <x:v>6255</x:v>
      </x:c>
      <x:c r="M944" s="24" t="str">
        <x:v>-10 a +8</x:v>
      </x:c>
      <x:c r="N944" s="24" t="str">
        <x:v>até -6</x:v>
      </x:c>
      <x:c r="O944" s="24"/>
      <x:c r="P944" s="24" t="str">
        <x:v>75/80</x:v>
      </x:c>
      <x:c r="Q944" s="24"/>
      <x:c r="R944" s="24"/>
      <x:c r="S944" s="26" t="n">
        <x:v>46024</x:v>
      </x:c>
      <x:c r="T944" s="26"/>
      <x:c r="U944" s="24" t="str">
        <x:v>ATIVA/SEM FIM INFORMADO</x:v>
      </x:c>
      <x:c r="V944" s="24"/>
      <x:c r="W944" s="24" t="n">
        <x:v>21</x:v>
      </x:c>
      <x:c r="X944" s="24" t="str">
        <x:v>tabela_rodenstock.pdf</x:v>
      </x:c>
      <x:c r="Y944" s="24" t="str">
        <x:v>alta</x:v>
      </x:c>
      <x:c r="Z944" s="24"/>
      <x:c r="AA944" s="24" t="str">
        <x:v>Rodenstock|Progressiva Freeform|Surfaçada|Progressiv Life 3D|PRO410|1.6|1.60|ROAD|-10 a +8|até -6||75/80|||21</x:v>
      </x:c>
    </x:row>
    <x:row r="945">
      <x:c r="A945" s="24" t="str">
        <x:v>RD-154960B5D004</x:v>
      </x:c>
      <x:c r="B945" s="24" t="str">
        <x:v>SIM</x:v>
      </x:c>
      <x:c r="C945" s="24" t="str">
        <x:v>DISPONÍVEL</x:v>
      </x:c>
      <x:c r="D945" s="24" t="str">
        <x:v>Rodenstock</x:v>
      </x:c>
      <x:c r="E945" s="24" t="str">
        <x:v>Progressiva Freeform</x:v>
      </x:c>
      <x:c r="F945" s="24" t="str">
        <x:v>Surfaçada</x:v>
      </x:c>
      <x:c r="G945" s="24" t="str">
        <x:v>Progressiv Life 3D</x:v>
      </x:c>
      <x:c r="H945" s="24" t="str">
        <x:v>PRO410</x:v>
      </x:c>
      <x:c r="I945" s="24" t="str">
        <x:v>1.6</x:v>
      </x:c>
      <x:c r="J945" s="24" t="str">
        <x:v>1.60</x:v>
      </x:c>
      <x:c r="K945" s="24" t="str">
        <x:v>Solitaire 2 Protect</x:v>
      </x:c>
      <x:c r="L945" s="40" t="n">
        <x:v>5995</x:v>
      </x:c>
      <x:c r="M945" s="24" t="str">
        <x:v>-10 a +8</x:v>
      </x:c>
      <x:c r="N945" s="24" t="str">
        <x:v>até -6</x:v>
      </x:c>
      <x:c r="O945" s="24"/>
      <x:c r="P945" s="24" t="str">
        <x:v>75/80</x:v>
      </x:c>
      <x:c r="Q945" s="24"/>
      <x:c r="R945" s="24"/>
      <x:c r="S945" s="26" t="n">
        <x:v>46024</x:v>
      </x:c>
      <x:c r="T945" s="26"/>
      <x:c r="U945" s="24" t="str">
        <x:v>ATIVA/SEM FIM INFORMADO</x:v>
      </x:c>
      <x:c r="V945" s="24"/>
      <x:c r="W945" s="24" t="n">
        <x:v>21</x:v>
      </x:c>
      <x:c r="X945" s="24" t="str">
        <x:v>tabela_rodenstock.pdf</x:v>
      </x:c>
      <x:c r="Y945" s="24" t="str">
        <x:v>alta</x:v>
      </x:c>
      <x:c r="Z945" s="24"/>
      <x:c r="AA945" s="24" t="str">
        <x:v>Rodenstock|Progressiva Freeform|Surfaçada|Progressiv Life 3D|PRO410|1.6|1.60|Solitaire 2 Protect|-10 a +8|até -6||75/80|||21</x:v>
      </x:c>
    </x:row>
    <x:row r="946">
      <x:c r="A946" s="24" t="str">
        <x:v>RD-447D40409C6B</x:v>
      </x:c>
      <x:c r="B946" s="24" t="str">
        <x:v>SIM</x:v>
      </x:c>
      <x:c r="C946" s="24" t="str">
        <x:v>DISPONÍVEL</x:v>
      </x:c>
      <x:c r="D946" s="24" t="str">
        <x:v>Rodenstock</x:v>
      </x:c>
      <x:c r="E946" s="24" t="str">
        <x:v>Progressiva Freeform</x:v>
      </x:c>
      <x:c r="F946" s="24" t="str">
        <x:v>Surfaçada</x:v>
      </x:c>
      <x:c r="G946" s="24" t="str">
        <x:v>Progressiv Life 3D</x:v>
      </x:c>
      <x:c r="H946" s="24" t="str">
        <x:v>ColorMatic® 3</x:v>
      </x:c>
      <x:c r="I946" s="24" t="str">
        <x:v>1.6</x:v>
      </x:c>
      <x:c r="J946" s="24" t="str">
        <x:v>1.60</x:v>
      </x:c>
      <x:c r="K946" s="24" t="str">
        <x:v>Solitaire X-tra Clean</x:v>
      </x:c>
      <x:c r="L946" s="40" t="n">
        <x:v>7595</x:v>
      </x:c>
      <x:c r="M946" s="24" t="str">
        <x:v>-10 a +8</x:v>
      </x:c>
      <x:c r="N946" s="24" t="str">
        <x:v>até -6</x:v>
      </x:c>
      <x:c r="O946" s="24"/>
      <x:c r="P946" s="24" t="str">
        <x:v>75/80</x:v>
      </x:c>
      <x:c r="Q946" s="24"/>
      <x:c r="R946" s="24"/>
      <x:c r="S946" s="26" t="n">
        <x:v>46024</x:v>
      </x:c>
      <x:c r="T946" s="26"/>
      <x:c r="U946" s="24" t="str">
        <x:v>ATIVA/SEM FIM INFORMADO</x:v>
      </x:c>
      <x:c r="V946" s="24"/>
      <x:c r="W946" s="24" t="n">
        <x:v>21</x:v>
      </x:c>
      <x:c r="X946" s="24" t="str">
        <x:v>tabela_rodenstock.pdf</x:v>
      </x:c>
      <x:c r="Y946" s="24" t="str">
        <x:v>alta</x:v>
      </x:c>
      <x:c r="Z946" s="24"/>
      <x:c r="AA946" s="24" t="str">
        <x:v>Rodenstock|Progressiva Freeform|Surfaçada|Progressiv Life 3D|ColorMatic® 3|1.6|1.60|Solitaire X-tra Clean|-10 a +8|até -6||75/80|||21</x:v>
      </x:c>
    </x:row>
    <x:row r="947">
      <x:c r="A947" s="24" t="str">
        <x:v>RD-2306DE925BAB</x:v>
      </x:c>
      <x:c r="B947" s="24" t="str">
        <x:v>SIM</x:v>
      </x:c>
      <x:c r="C947" s="24" t="str">
        <x:v>DISPONÍVEL</x:v>
      </x:c>
      <x:c r="D947" s="24" t="str">
        <x:v>Rodenstock</x:v>
      </x:c>
      <x:c r="E947" s="24" t="str">
        <x:v>Progressiva Freeform</x:v>
      </x:c>
      <x:c r="F947" s="24" t="str">
        <x:v>Surfaçada</x:v>
      </x:c>
      <x:c r="G947" s="24" t="str">
        <x:v>Progressiv Life 3D</x:v>
      </x:c>
      <x:c r="H947" s="24" t="str">
        <x:v>ColorMatic® 3</x:v>
      </x:c>
      <x:c r="I947" s="24" t="str">
        <x:v>1.6</x:v>
      </x:c>
      <x:c r="J947" s="24" t="str">
        <x:v>1.60</x:v>
      </x:c>
      <x:c r="K947" s="24" t="str">
        <x:v>Solitaire 2 Protect Balance</x:v>
      </x:c>
      <x:c r="L947" s="40" t="n">
        <x:v>7545</x:v>
      </x:c>
      <x:c r="M947" s="24" t="str">
        <x:v>-10 a +8</x:v>
      </x:c>
      <x:c r="N947" s="24" t="str">
        <x:v>até -6</x:v>
      </x:c>
      <x:c r="O947" s="24"/>
      <x:c r="P947" s="24" t="str">
        <x:v>75/80</x:v>
      </x:c>
      <x:c r="Q947" s="24"/>
      <x:c r="R947" s="24"/>
      <x:c r="S947" s="26" t="n">
        <x:v>46024</x:v>
      </x:c>
      <x:c r="T947" s="26"/>
      <x:c r="U947" s="24" t="str">
        <x:v>ATIVA/SEM FIM INFORMADO</x:v>
      </x:c>
      <x:c r="V947" s="24"/>
      <x:c r="W947" s="24" t="n">
        <x:v>21</x:v>
      </x:c>
      <x:c r="X947" s="24" t="str">
        <x:v>tabela_rodenstock.pdf</x:v>
      </x:c>
      <x:c r="Y947" s="24" t="str">
        <x:v>alta</x:v>
      </x:c>
      <x:c r="Z947" s="24"/>
      <x:c r="AA947" s="24" t="str">
        <x:v>Rodenstock|Progressiva Freeform|Surfaçada|Progressiv Life 3D|ColorMatic® 3|1.6|1.60|Solitaire 2 Protect Balance|-10 a +8|até -6||75/80|||21</x:v>
      </x:c>
    </x:row>
    <x:row r="948">
      <x:c r="A948" s="24" t="str">
        <x:v>RD-4FE3CC6C6BCB</x:v>
      </x:c>
      <x:c r="B948" s="24" t="str">
        <x:v>SIM</x:v>
      </x:c>
      <x:c r="C948" s="24" t="str">
        <x:v>DISPONÍVEL</x:v>
      </x:c>
      <x:c r="D948" s="24" t="str">
        <x:v>Rodenstock</x:v>
      </x:c>
      <x:c r="E948" s="24" t="str">
        <x:v>Progressiva Freeform</x:v>
      </x:c>
      <x:c r="F948" s="24" t="str">
        <x:v>Surfaçada</x:v>
      </x:c>
      <x:c r="G948" s="24" t="str">
        <x:v>Progressiv Life 3D</x:v>
      </x:c>
      <x:c r="H948" s="24" t="str">
        <x:v>ColorMatic® 3</x:v>
      </x:c>
      <x:c r="I948" s="24" t="str">
        <x:v>1.6</x:v>
      </x:c>
      <x:c r="J948" s="24" t="str">
        <x:v>1.60</x:v>
      </x:c>
      <x:c r="K948" s="24" t="str">
        <x:v>Solitaire 2 Protect Plus</x:v>
      </x:c>
      <x:c r="L948" s="40" t="n">
        <x:v>7545</x:v>
      </x:c>
      <x:c r="M948" s="24" t="str">
        <x:v>-10 a +8</x:v>
      </x:c>
      <x:c r="N948" s="24" t="str">
        <x:v>até -6</x:v>
      </x:c>
      <x:c r="O948" s="24"/>
      <x:c r="P948" s="24" t="str">
        <x:v>75/80</x:v>
      </x:c>
      <x:c r="Q948" s="24"/>
      <x:c r="R948" s="24"/>
      <x:c r="S948" s="26" t="n">
        <x:v>46024</x:v>
      </x:c>
      <x:c r="T948" s="26"/>
      <x:c r="U948" s="24" t="str">
        <x:v>ATIVA/SEM FIM INFORMADO</x:v>
      </x:c>
      <x:c r="V948" s="24"/>
      <x:c r="W948" s="24" t="n">
        <x:v>21</x:v>
      </x:c>
      <x:c r="X948" s="24" t="str">
        <x:v>tabela_rodenstock.pdf</x:v>
      </x:c>
      <x:c r="Y948" s="24" t="str">
        <x:v>alta</x:v>
      </x:c>
      <x:c r="Z948" s="24"/>
      <x:c r="AA948" s="24" t="str">
        <x:v>Rodenstock|Progressiva Freeform|Surfaçada|Progressiv Life 3D|ColorMatic® 3|1.6|1.60|Solitaire 2 Protect Plus|-10 a +8|até -6||75/80|||21</x:v>
      </x:c>
    </x:row>
    <x:row r="949">
      <x:c r="A949" s="24" t="str">
        <x:v>RD-218C566D8EA6</x:v>
      </x:c>
      <x:c r="B949" s="24" t="str">
        <x:v>SIM</x:v>
      </x:c>
      <x:c r="C949" s="24" t="str">
        <x:v>DISPONÍVEL</x:v>
      </x:c>
      <x:c r="D949" s="24" t="str">
        <x:v>Rodenstock</x:v>
      </x:c>
      <x:c r="E949" s="24" t="str">
        <x:v>Progressiva Freeform</x:v>
      </x:c>
      <x:c r="F949" s="24" t="str">
        <x:v>Surfaçada</x:v>
      </x:c>
      <x:c r="G949" s="24" t="str">
        <x:v>Progressiv Life 3D</x:v>
      </x:c>
      <x:c r="H949" s="24" t="str">
        <x:v>ColorMatic® 3</x:v>
      </x:c>
      <x:c r="I949" s="24" t="str">
        <x:v>1.6</x:v>
      </x:c>
      <x:c r="J949" s="24" t="str">
        <x:v>1.60</x:v>
      </x:c>
      <x:c r="K949" s="24" t="str">
        <x:v>ROAD</x:v>
      </x:c>
      <x:c r="L949" s="40" t="n">
        <x:v>7545</x:v>
      </x:c>
      <x:c r="M949" s="24" t="str">
        <x:v>-10 a +8</x:v>
      </x:c>
      <x:c r="N949" s="24" t="str">
        <x:v>até -6</x:v>
      </x:c>
      <x:c r="O949" s="24"/>
      <x:c r="P949" s="24" t="str">
        <x:v>75/80</x:v>
      </x:c>
      <x:c r="Q949" s="24"/>
      <x:c r="R949" s="24"/>
      <x:c r="S949" s="26" t="n">
        <x:v>46024</x:v>
      </x:c>
      <x:c r="T949" s="26"/>
      <x:c r="U949" s="24" t="str">
        <x:v>ATIVA/SEM FIM INFORMADO</x:v>
      </x:c>
      <x:c r="V949" s="24"/>
      <x:c r="W949" s="24" t="n">
        <x:v>21</x:v>
      </x:c>
      <x:c r="X949" s="24" t="str">
        <x:v>tabela_rodenstock.pdf</x:v>
      </x:c>
      <x:c r="Y949" s="24" t="str">
        <x:v>alta</x:v>
      </x:c>
      <x:c r="Z949" s="24"/>
      <x:c r="AA949" s="24" t="str">
        <x:v>Rodenstock|Progressiva Freeform|Surfaçada|Progressiv Life 3D|ColorMatic® 3|1.6|1.60|ROAD|-10 a +8|até -6||75/80|||21</x:v>
      </x:c>
    </x:row>
    <x:row r="950">
      <x:c r="A950" s="24" t="str">
        <x:v>RD-229D4C84B429</x:v>
      </x:c>
      <x:c r="B950" s="24" t="str">
        <x:v>SIM</x:v>
      </x:c>
      <x:c r="C950" s="24" t="str">
        <x:v>DISPONÍVEL</x:v>
      </x:c>
      <x:c r="D950" s="24" t="str">
        <x:v>Rodenstock</x:v>
      </x:c>
      <x:c r="E950" s="24" t="str">
        <x:v>Progressiva Freeform</x:v>
      </x:c>
      <x:c r="F950" s="24" t="str">
        <x:v>Surfaçada</x:v>
      </x:c>
      <x:c r="G950" s="24" t="str">
        <x:v>Progressiv Life 3D</x:v>
      </x:c>
      <x:c r="H950" s="24" t="str">
        <x:v>ColorMatic® 3</x:v>
      </x:c>
      <x:c r="I950" s="24" t="str">
        <x:v>1.6</x:v>
      </x:c>
      <x:c r="J950" s="24" t="str">
        <x:v>1.60</x:v>
      </x:c>
      <x:c r="K950" s="24" t="str">
        <x:v>Solitaire 2 Protect</x:v>
      </x:c>
      <x:c r="L950" s="40" t="n">
        <x:v>7285</x:v>
      </x:c>
      <x:c r="M950" s="24" t="str">
        <x:v>-10 a +8</x:v>
      </x:c>
      <x:c r="N950" s="24" t="str">
        <x:v>até -6</x:v>
      </x:c>
      <x:c r="O950" s="24"/>
      <x:c r="P950" s="24" t="str">
        <x:v>75/80</x:v>
      </x:c>
      <x:c r="Q950" s="24"/>
      <x:c r="R950" s="24"/>
      <x:c r="S950" s="26" t="n">
        <x:v>46024</x:v>
      </x:c>
      <x:c r="T950" s="26"/>
      <x:c r="U950" s="24" t="str">
        <x:v>ATIVA/SEM FIM INFORMADO</x:v>
      </x:c>
      <x:c r="V950" s="24"/>
      <x:c r="W950" s="24" t="n">
        <x:v>21</x:v>
      </x:c>
      <x:c r="X950" s="24" t="str">
        <x:v>tabela_rodenstock.pdf</x:v>
      </x:c>
      <x:c r="Y950" s="24" t="str">
        <x:v>alta</x:v>
      </x:c>
      <x:c r="Z950" s="24"/>
      <x:c r="AA950" s="24" t="str">
        <x:v>Rodenstock|Progressiva Freeform|Surfaçada|Progressiv Life 3D|ColorMatic® 3|1.6|1.60|Solitaire 2 Protect|-10 a +8|até -6||75/80|||21</x:v>
      </x:c>
    </x:row>
    <x:row r="951">
      <x:c r="A951" s="24" t="str">
        <x:v>RD-10A849429925</x:v>
      </x:c>
      <x:c r="B951" s="24" t="str">
        <x:v>SIM</x:v>
      </x:c>
      <x:c r="C951" s="24" t="str">
        <x:v>DISPONÍVEL</x:v>
      </x:c>
      <x:c r="D951" s="24" t="str">
        <x:v>Rodenstock</x:v>
      </x:c>
      <x:c r="E951" s="24" t="str">
        <x:v>Progressiva Freeform</x:v>
      </x:c>
      <x:c r="F951" s="24" t="str">
        <x:v>Surfaçada</x:v>
      </x:c>
      <x:c r="G951" s="24" t="str">
        <x:v>Progressiv Life 3D</x:v>
      </x:c>
      <x:c r="H951" s="24"/>
      <x:c r="I951" s="24" t="str">
        <x:v>1.67</x:v>
      </x:c>
      <x:c r="J951" s="24" t="str">
        <x:v>1.67</x:v>
      </x:c>
      <x:c r="K951" s="24" t="str">
        <x:v>Solitaire X-tra Clean</x:v>
      </x:c>
      <x:c r="L951" s="40" t="n">
        <x:v>7951</x:v>
      </x:c>
      <x:c r="M951" s="24" t="str">
        <x:v>-10 a +8</x:v>
      </x:c>
      <x:c r="N951" s="24" t="str">
        <x:v>até -6</x:v>
      </x:c>
      <x:c r="O951" s="24"/>
      <x:c r="P951" s="24" t="str">
        <x:v>75/80</x:v>
      </x:c>
      <x:c r="Q951" s="24"/>
      <x:c r="R951" s="24"/>
      <x:c r="S951" s="26" t="n">
        <x:v>46024</x:v>
      </x:c>
      <x:c r="T951" s="26"/>
      <x:c r="U951" s="24" t="str">
        <x:v>ATIVA/SEM FIM INFORMADO</x:v>
      </x:c>
      <x:c r="V951" s="24"/>
      <x:c r="W951" s="24" t="n">
        <x:v>21</x:v>
      </x:c>
      <x:c r="X951" s="24" t="str">
        <x:v>tabela_rodenstock.pdf</x:v>
      </x:c>
      <x:c r="Y951" s="24" t="str">
        <x:v>alta</x:v>
      </x:c>
      <x:c r="Z951" s="24"/>
      <x:c r="AA951" s="24" t="str">
        <x:v>Rodenstock|Progressiva Freeform|Surfaçada|Progressiv Life 3D||1.67|1.67|Solitaire X-tra Clean|-10 a +8|até -6||75/80|||21</x:v>
      </x:c>
    </x:row>
    <x:row r="952">
      <x:c r="A952" s="24" t="str">
        <x:v>RD-CAE95FC01732</x:v>
      </x:c>
      <x:c r="B952" s="24" t="str">
        <x:v>SIM</x:v>
      </x:c>
      <x:c r="C952" s="24" t="str">
        <x:v>DISPONÍVEL</x:v>
      </x:c>
      <x:c r="D952" s="24" t="str">
        <x:v>Rodenstock</x:v>
      </x:c>
      <x:c r="E952" s="24" t="str">
        <x:v>Progressiva Freeform</x:v>
      </x:c>
      <x:c r="F952" s="24" t="str">
        <x:v>Surfaçada</x:v>
      </x:c>
      <x:c r="G952" s="24" t="str">
        <x:v>Progressiv Life 3D</x:v>
      </x:c>
      <x:c r="H952" s="24"/>
      <x:c r="I952" s="24" t="str">
        <x:v>1.67</x:v>
      </x:c>
      <x:c r="J952" s="24" t="str">
        <x:v>1.67</x:v>
      </x:c>
      <x:c r="K952" s="24" t="str">
        <x:v>Solitaire 2 Protect Balance</x:v>
      </x:c>
      <x:c r="L952" s="40" t="n">
        <x:v>7901</x:v>
      </x:c>
      <x:c r="M952" s="24" t="str">
        <x:v>-10 a +8</x:v>
      </x:c>
      <x:c r="N952" s="24" t="str">
        <x:v>até -6</x:v>
      </x:c>
      <x:c r="O952" s="24"/>
      <x:c r="P952" s="24" t="str">
        <x:v>75/80</x:v>
      </x:c>
      <x:c r="Q952" s="24"/>
      <x:c r="R952" s="24"/>
      <x:c r="S952" s="26" t="n">
        <x:v>46024</x:v>
      </x:c>
      <x:c r="T952" s="26"/>
      <x:c r="U952" s="24" t="str">
        <x:v>ATIVA/SEM FIM INFORMADO</x:v>
      </x:c>
      <x:c r="V952" s="24"/>
      <x:c r="W952" s="24" t="n">
        <x:v>21</x:v>
      </x:c>
      <x:c r="X952" s="24" t="str">
        <x:v>tabela_rodenstock.pdf</x:v>
      </x:c>
      <x:c r="Y952" s="24" t="str">
        <x:v>alta</x:v>
      </x:c>
      <x:c r="Z952" s="24"/>
      <x:c r="AA952" s="24" t="str">
        <x:v>Rodenstock|Progressiva Freeform|Surfaçada|Progressiv Life 3D||1.67|1.67|Solitaire 2 Protect Balance|-10 a +8|até -6||75/80|||21</x:v>
      </x:c>
    </x:row>
    <x:row r="953">
      <x:c r="A953" s="24" t="str">
        <x:v>RD-E73984C30A70</x:v>
      </x:c>
      <x:c r="B953" s="24" t="str">
        <x:v>SIM</x:v>
      </x:c>
      <x:c r="C953" s="24" t="str">
        <x:v>DISPONÍVEL</x:v>
      </x:c>
      <x:c r="D953" s="24" t="str">
        <x:v>Rodenstock</x:v>
      </x:c>
      <x:c r="E953" s="24" t="str">
        <x:v>Progressiva Freeform</x:v>
      </x:c>
      <x:c r="F953" s="24" t="str">
        <x:v>Surfaçada</x:v>
      </x:c>
      <x:c r="G953" s="24" t="str">
        <x:v>Progressiv Life 3D</x:v>
      </x:c>
      <x:c r="H953" s="24"/>
      <x:c r="I953" s="24" t="str">
        <x:v>1.67</x:v>
      </x:c>
      <x:c r="J953" s="24" t="str">
        <x:v>1.67</x:v>
      </x:c>
      <x:c r="K953" s="24" t="str">
        <x:v>Solitaire 2 Protect Plus</x:v>
      </x:c>
      <x:c r="L953" s="40" t="n">
        <x:v>7901</x:v>
      </x:c>
      <x:c r="M953" s="24" t="str">
        <x:v>-10 a +8</x:v>
      </x:c>
      <x:c r="N953" s="24" t="str">
        <x:v>até -6</x:v>
      </x:c>
      <x:c r="O953" s="24"/>
      <x:c r="P953" s="24" t="str">
        <x:v>75/80</x:v>
      </x:c>
      <x:c r="Q953" s="24"/>
      <x:c r="R953" s="24"/>
      <x:c r="S953" s="26" t="n">
        <x:v>46024</x:v>
      </x:c>
      <x:c r="T953" s="26"/>
      <x:c r="U953" s="24" t="str">
        <x:v>ATIVA/SEM FIM INFORMADO</x:v>
      </x:c>
      <x:c r="V953" s="24"/>
      <x:c r="W953" s="24" t="n">
        <x:v>21</x:v>
      </x:c>
      <x:c r="X953" s="24" t="str">
        <x:v>tabela_rodenstock.pdf</x:v>
      </x:c>
      <x:c r="Y953" s="24" t="str">
        <x:v>alta</x:v>
      </x:c>
      <x:c r="Z953" s="24"/>
      <x:c r="AA953" s="24" t="str">
        <x:v>Rodenstock|Progressiva Freeform|Surfaçada|Progressiv Life 3D||1.67|1.67|Solitaire 2 Protect Plus|-10 a +8|até -6||75/80|||21</x:v>
      </x:c>
    </x:row>
    <x:row r="954">
      <x:c r="A954" s="24" t="str">
        <x:v>RD-570243B50F04</x:v>
      </x:c>
      <x:c r="B954" s="24" t="str">
        <x:v>SIM</x:v>
      </x:c>
      <x:c r="C954" s="24" t="str">
        <x:v>DISPONÍVEL</x:v>
      </x:c>
      <x:c r="D954" s="24" t="str">
        <x:v>Rodenstock</x:v>
      </x:c>
      <x:c r="E954" s="24" t="str">
        <x:v>Progressiva Freeform</x:v>
      </x:c>
      <x:c r="F954" s="24" t="str">
        <x:v>Surfaçada</x:v>
      </x:c>
      <x:c r="G954" s="24" t="str">
        <x:v>Progressiv Life 3D</x:v>
      </x:c>
      <x:c r="H954" s="24"/>
      <x:c r="I954" s="24" t="str">
        <x:v>1.67</x:v>
      </x:c>
      <x:c r="J954" s="24" t="str">
        <x:v>1.67</x:v>
      </x:c>
      <x:c r="K954" s="24" t="str">
        <x:v>ROAD</x:v>
      </x:c>
      <x:c r="L954" s="40" t="n">
        <x:v>7901</x:v>
      </x:c>
      <x:c r="M954" s="24" t="str">
        <x:v>-10 a +8</x:v>
      </x:c>
      <x:c r="N954" s="24" t="str">
        <x:v>até -6</x:v>
      </x:c>
      <x:c r="O954" s="24"/>
      <x:c r="P954" s="24" t="str">
        <x:v>75/80</x:v>
      </x:c>
      <x:c r="Q954" s="24"/>
      <x:c r="R954" s="24"/>
      <x:c r="S954" s="26" t="n">
        <x:v>46024</x:v>
      </x:c>
      <x:c r="T954" s="26"/>
      <x:c r="U954" s="24" t="str">
        <x:v>ATIVA/SEM FIM INFORMADO</x:v>
      </x:c>
      <x:c r="V954" s="24"/>
      <x:c r="W954" s="24" t="n">
        <x:v>21</x:v>
      </x:c>
      <x:c r="X954" s="24" t="str">
        <x:v>tabela_rodenstock.pdf</x:v>
      </x:c>
      <x:c r="Y954" s="24" t="str">
        <x:v>alta</x:v>
      </x:c>
      <x:c r="Z954" s="24"/>
      <x:c r="AA954" s="24" t="str">
        <x:v>Rodenstock|Progressiva Freeform|Surfaçada|Progressiv Life 3D||1.67|1.67|ROAD|-10 a +8|até -6||75/80|||21</x:v>
      </x:c>
    </x:row>
    <x:row r="955">
      <x:c r="A955" s="24" t="str">
        <x:v>RD-D4C8241E41C1</x:v>
      </x:c>
      <x:c r="B955" s="24" t="str">
        <x:v>SIM</x:v>
      </x:c>
      <x:c r="C955" s="24" t="str">
        <x:v>DISPONÍVEL</x:v>
      </x:c>
      <x:c r="D955" s="24" t="str">
        <x:v>Rodenstock</x:v>
      </x:c>
      <x:c r="E955" s="24" t="str">
        <x:v>Progressiva Freeform</x:v>
      </x:c>
      <x:c r="F955" s="24" t="str">
        <x:v>Surfaçada</x:v>
      </x:c>
      <x:c r="G955" s="24" t="str">
        <x:v>Progressiv Life 3D</x:v>
      </x:c>
      <x:c r="H955" s="24"/>
      <x:c r="I955" s="24" t="str">
        <x:v>1.67</x:v>
      </x:c>
      <x:c r="J955" s="24" t="str">
        <x:v>1.67</x:v>
      </x:c>
      <x:c r="K955" s="24" t="str">
        <x:v>Solitaire 2 Protect</x:v>
      </x:c>
      <x:c r="L955" s="40" t="n">
        <x:v>7641</x:v>
      </x:c>
      <x:c r="M955" s="24" t="str">
        <x:v>-10 a +8</x:v>
      </x:c>
      <x:c r="N955" s="24" t="str">
        <x:v>até -6</x:v>
      </x:c>
      <x:c r="O955" s="24"/>
      <x:c r="P955" s="24" t="str">
        <x:v>75/80</x:v>
      </x:c>
      <x:c r="Q955" s="24"/>
      <x:c r="R955" s="24"/>
      <x:c r="S955" s="26" t="n">
        <x:v>46024</x:v>
      </x:c>
      <x:c r="T955" s="26"/>
      <x:c r="U955" s="24" t="str">
        <x:v>ATIVA/SEM FIM INFORMADO</x:v>
      </x:c>
      <x:c r="V955" s="24"/>
      <x:c r="W955" s="24" t="n">
        <x:v>21</x:v>
      </x:c>
      <x:c r="X955" s="24" t="str">
        <x:v>tabela_rodenstock.pdf</x:v>
      </x:c>
      <x:c r="Y955" s="24" t="str">
        <x:v>alta</x:v>
      </x:c>
      <x:c r="Z955" s="24"/>
      <x:c r="AA955" s="24" t="str">
        <x:v>Rodenstock|Progressiva Freeform|Surfaçada|Progressiv Life 3D||1.67|1.67|Solitaire 2 Protect|-10 a +8|até -6||75/80|||21</x:v>
      </x:c>
    </x:row>
    <x:row r="956">
      <x:c r="A956" s="24" t="str">
        <x:v>RD-65C859A79EF0</x:v>
      </x:c>
      <x:c r="B956" s="24" t="str">
        <x:v>SIM</x:v>
      </x:c>
      <x:c r="C956" s="24" t="str">
        <x:v>DISPONÍVEL</x:v>
      </x:c>
      <x:c r="D956" s="24" t="str">
        <x:v>Rodenstock</x:v>
      </x:c>
      <x:c r="E956" s="24" t="str">
        <x:v>Progressiva Freeform</x:v>
      </x:c>
      <x:c r="F956" s="24" t="str">
        <x:v>Surfaçada</x:v>
      </x:c>
      <x:c r="G956" s="24" t="str">
        <x:v>Progressiv Life 3D</x:v>
      </x:c>
      <x:c r="H956" s="24" t="str">
        <x:v>ColorMatic® 3</x:v>
      </x:c>
      <x:c r="I956" s="24" t="str">
        <x:v>1.67</x:v>
      </x:c>
      <x:c r="J956" s="24" t="str">
        <x:v>1.67</x:v>
      </x:c>
      <x:c r="K956" s="24" t="str">
        <x:v>Solitaire X-tra Clean</x:v>
      </x:c>
      <x:c r="L956" s="40" t="n">
        <x:v>9212</x:v>
      </x:c>
      <x:c r="M956" s="24" t="str">
        <x:v>-10 a +8</x:v>
      </x:c>
      <x:c r="N956" s="24" t="str">
        <x:v>até -6</x:v>
      </x:c>
      <x:c r="O956" s="24"/>
      <x:c r="P956" s="24" t="str">
        <x:v>75/80</x:v>
      </x:c>
      <x:c r="Q956" s="24"/>
      <x:c r="R956" s="24"/>
      <x:c r="S956" s="26" t="n">
        <x:v>46024</x:v>
      </x:c>
      <x:c r="T956" s="26"/>
      <x:c r="U956" s="24" t="str">
        <x:v>ATIVA/SEM FIM INFORMADO</x:v>
      </x:c>
      <x:c r="V956" s="24"/>
      <x:c r="W956" s="24" t="n">
        <x:v>21</x:v>
      </x:c>
      <x:c r="X956" s="24" t="str">
        <x:v>tabela_rodenstock.pdf</x:v>
      </x:c>
      <x:c r="Y956" s="24" t="str">
        <x:v>alta</x:v>
      </x:c>
      <x:c r="Z956" s="24"/>
      <x:c r="AA956" s="24" t="str">
        <x:v>Rodenstock|Progressiva Freeform|Surfaçada|Progressiv Life 3D|ColorMatic® 3|1.67|1.67|Solitaire X-tra Clean|-10 a +8|até -6||75/80|||21</x:v>
      </x:c>
    </x:row>
    <x:row r="957">
      <x:c r="A957" s="24" t="str">
        <x:v>RD-1336E38EDEAB</x:v>
      </x:c>
      <x:c r="B957" s="24" t="str">
        <x:v>SIM</x:v>
      </x:c>
      <x:c r="C957" s="24" t="str">
        <x:v>DISPONÍVEL</x:v>
      </x:c>
      <x:c r="D957" s="24" t="str">
        <x:v>Rodenstock</x:v>
      </x:c>
      <x:c r="E957" s="24" t="str">
        <x:v>Progressiva Freeform</x:v>
      </x:c>
      <x:c r="F957" s="24" t="str">
        <x:v>Surfaçada</x:v>
      </x:c>
      <x:c r="G957" s="24" t="str">
        <x:v>Progressiv Life 3D</x:v>
      </x:c>
      <x:c r="H957" s="24" t="str">
        <x:v>ColorMatic® 3</x:v>
      </x:c>
      <x:c r="I957" s="24" t="str">
        <x:v>1.67</x:v>
      </x:c>
      <x:c r="J957" s="24" t="str">
        <x:v>1.67</x:v>
      </x:c>
      <x:c r="K957" s="24" t="str">
        <x:v>Solitaire 2 Protect Balance</x:v>
      </x:c>
      <x:c r="L957" s="40" t="n">
        <x:v>9162</x:v>
      </x:c>
      <x:c r="M957" s="24" t="str">
        <x:v>-10 a +8</x:v>
      </x:c>
      <x:c r="N957" s="24" t="str">
        <x:v>até -6</x:v>
      </x:c>
      <x:c r="O957" s="24"/>
      <x:c r="P957" s="24" t="str">
        <x:v>75/80</x:v>
      </x:c>
      <x:c r="Q957" s="24"/>
      <x:c r="R957" s="24"/>
      <x:c r="S957" s="26" t="n">
        <x:v>46024</x:v>
      </x:c>
      <x:c r="T957" s="26"/>
      <x:c r="U957" s="24" t="str">
        <x:v>ATIVA/SEM FIM INFORMADO</x:v>
      </x:c>
      <x:c r="V957" s="24"/>
      <x:c r="W957" s="24" t="n">
        <x:v>21</x:v>
      </x:c>
      <x:c r="X957" s="24" t="str">
        <x:v>tabela_rodenstock.pdf</x:v>
      </x:c>
      <x:c r="Y957" s="24" t="str">
        <x:v>alta</x:v>
      </x:c>
      <x:c r="Z957" s="24"/>
      <x:c r="AA957" s="24" t="str">
        <x:v>Rodenstock|Progressiva Freeform|Surfaçada|Progressiv Life 3D|ColorMatic® 3|1.67|1.67|Solitaire 2 Protect Balance|-10 a +8|até -6||75/80|||21</x:v>
      </x:c>
    </x:row>
    <x:row r="958">
      <x:c r="A958" s="24" t="str">
        <x:v>RD-A5CC9BFB2472</x:v>
      </x:c>
      <x:c r="B958" s="24" t="str">
        <x:v>SIM</x:v>
      </x:c>
      <x:c r="C958" s="24" t="str">
        <x:v>DISPONÍVEL</x:v>
      </x:c>
      <x:c r="D958" s="24" t="str">
        <x:v>Rodenstock</x:v>
      </x:c>
      <x:c r="E958" s="24" t="str">
        <x:v>Progressiva Freeform</x:v>
      </x:c>
      <x:c r="F958" s="24" t="str">
        <x:v>Surfaçada</x:v>
      </x:c>
      <x:c r="G958" s="24" t="str">
        <x:v>Progressiv Life 3D</x:v>
      </x:c>
      <x:c r="H958" s="24" t="str">
        <x:v>ColorMatic® 3</x:v>
      </x:c>
      <x:c r="I958" s="24" t="str">
        <x:v>1.67</x:v>
      </x:c>
      <x:c r="J958" s="24" t="str">
        <x:v>1.67</x:v>
      </x:c>
      <x:c r="K958" s="24" t="str">
        <x:v>Solitaire 2 Protect Plus</x:v>
      </x:c>
      <x:c r="L958" s="40" t="n">
        <x:v>9162</x:v>
      </x:c>
      <x:c r="M958" s="24" t="str">
        <x:v>-10 a +8</x:v>
      </x:c>
      <x:c r="N958" s="24" t="str">
        <x:v>até -6</x:v>
      </x:c>
      <x:c r="O958" s="24"/>
      <x:c r="P958" s="24" t="str">
        <x:v>75/80</x:v>
      </x:c>
      <x:c r="Q958" s="24"/>
      <x:c r="R958" s="24"/>
      <x:c r="S958" s="26" t="n">
        <x:v>46024</x:v>
      </x:c>
      <x:c r="T958" s="26"/>
      <x:c r="U958" s="24" t="str">
        <x:v>ATIVA/SEM FIM INFORMADO</x:v>
      </x:c>
      <x:c r="V958" s="24"/>
      <x:c r="W958" s="24" t="n">
        <x:v>21</x:v>
      </x:c>
      <x:c r="X958" s="24" t="str">
        <x:v>tabela_rodenstock.pdf</x:v>
      </x:c>
      <x:c r="Y958" s="24" t="str">
        <x:v>alta</x:v>
      </x:c>
      <x:c r="Z958" s="24"/>
      <x:c r="AA958" s="24" t="str">
        <x:v>Rodenstock|Progressiva Freeform|Surfaçada|Progressiv Life 3D|ColorMatic® 3|1.67|1.67|Solitaire 2 Protect Plus|-10 a +8|até -6||75/80|||21</x:v>
      </x:c>
    </x:row>
    <x:row r="959">
      <x:c r="A959" s="24" t="str">
        <x:v>RD-66377507AC47</x:v>
      </x:c>
      <x:c r="B959" s="24" t="str">
        <x:v>SIM</x:v>
      </x:c>
      <x:c r="C959" s="24" t="str">
        <x:v>DISPONÍVEL</x:v>
      </x:c>
      <x:c r="D959" s="24" t="str">
        <x:v>Rodenstock</x:v>
      </x:c>
      <x:c r="E959" s="24" t="str">
        <x:v>Progressiva Freeform</x:v>
      </x:c>
      <x:c r="F959" s="24" t="str">
        <x:v>Surfaçada</x:v>
      </x:c>
      <x:c r="G959" s="24" t="str">
        <x:v>Progressiv Life 3D</x:v>
      </x:c>
      <x:c r="H959" s="24" t="str">
        <x:v>ColorMatic® 3</x:v>
      </x:c>
      <x:c r="I959" s="24" t="str">
        <x:v>1.67</x:v>
      </x:c>
      <x:c r="J959" s="24" t="str">
        <x:v>1.67</x:v>
      </x:c>
      <x:c r="K959" s="24" t="str">
        <x:v>ROAD</x:v>
      </x:c>
      <x:c r="L959" s="40" t="n">
        <x:v>9162</x:v>
      </x:c>
      <x:c r="M959" s="24" t="str">
        <x:v>-10 a +8</x:v>
      </x:c>
      <x:c r="N959" s="24" t="str">
        <x:v>até -6</x:v>
      </x:c>
      <x:c r="O959" s="24"/>
      <x:c r="P959" s="24" t="str">
        <x:v>75/80</x:v>
      </x:c>
      <x:c r="Q959" s="24"/>
      <x:c r="R959" s="24"/>
      <x:c r="S959" s="26" t="n">
        <x:v>46024</x:v>
      </x:c>
      <x:c r="T959" s="26"/>
      <x:c r="U959" s="24" t="str">
        <x:v>ATIVA/SEM FIM INFORMADO</x:v>
      </x:c>
      <x:c r="V959" s="24"/>
      <x:c r="W959" s="24" t="n">
        <x:v>21</x:v>
      </x:c>
      <x:c r="X959" s="24" t="str">
        <x:v>tabela_rodenstock.pdf</x:v>
      </x:c>
      <x:c r="Y959" s="24" t="str">
        <x:v>alta</x:v>
      </x:c>
      <x:c r="Z959" s="24"/>
      <x:c r="AA959" s="24" t="str">
        <x:v>Rodenstock|Progressiva Freeform|Surfaçada|Progressiv Life 3D|ColorMatic® 3|1.67|1.67|ROAD|-10 a +8|até -6||75/80|||21</x:v>
      </x:c>
    </x:row>
    <x:row r="960">
      <x:c r="A960" s="24" t="str">
        <x:v>RD-8395C74D04F7</x:v>
      </x:c>
      <x:c r="B960" s="24" t="str">
        <x:v>SIM</x:v>
      </x:c>
      <x:c r="C960" s="24" t="str">
        <x:v>DISPONÍVEL</x:v>
      </x:c>
      <x:c r="D960" s="24" t="str">
        <x:v>Rodenstock</x:v>
      </x:c>
      <x:c r="E960" s="24" t="str">
        <x:v>Progressiva Freeform</x:v>
      </x:c>
      <x:c r="F960" s="24" t="str">
        <x:v>Surfaçada</x:v>
      </x:c>
      <x:c r="G960" s="24" t="str">
        <x:v>Progressiv Life 3D</x:v>
      </x:c>
      <x:c r="H960" s="24" t="str">
        <x:v>ColorMatic® 3</x:v>
      </x:c>
      <x:c r="I960" s="24" t="str">
        <x:v>1.67</x:v>
      </x:c>
      <x:c r="J960" s="24" t="str">
        <x:v>1.67</x:v>
      </x:c>
      <x:c r="K960" s="24" t="str">
        <x:v>Solitaire 2 Protect</x:v>
      </x:c>
      <x:c r="L960" s="40" t="n">
        <x:v>8902</x:v>
      </x:c>
      <x:c r="M960" s="24" t="str">
        <x:v>-10 a +8</x:v>
      </x:c>
      <x:c r="N960" s="24" t="str">
        <x:v>até -6</x:v>
      </x:c>
      <x:c r="O960" s="24"/>
      <x:c r="P960" s="24" t="str">
        <x:v>75/80</x:v>
      </x:c>
      <x:c r="Q960" s="24"/>
      <x:c r="R960" s="24"/>
      <x:c r="S960" s="26" t="n">
        <x:v>46024</x:v>
      </x:c>
      <x:c r="T960" s="26"/>
      <x:c r="U960" s="24" t="str">
        <x:v>ATIVA/SEM FIM INFORMADO</x:v>
      </x:c>
      <x:c r="V960" s="24"/>
      <x:c r="W960" s="24" t="n">
        <x:v>21</x:v>
      </x:c>
      <x:c r="X960" s="24" t="str">
        <x:v>tabela_rodenstock.pdf</x:v>
      </x:c>
      <x:c r="Y960" s="24" t="str">
        <x:v>alta</x:v>
      </x:c>
      <x:c r="Z960" s="24"/>
      <x:c r="AA960" s="24" t="str">
        <x:v>Rodenstock|Progressiva Freeform|Surfaçada|Progressiv Life 3D|ColorMatic® 3|1.67|1.67|Solitaire 2 Protect|-10 a +8|até -6||75/80|||21</x:v>
      </x:c>
    </x:row>
    <x:row r="961">
      <x:c r="A961" s="24" t="str">
        <x:v>RD-1677D5F7CEB0</x:v>
      </x:c>
      <x:c r="B961" s="24" t="str">
        <x:v>SIM</x:v>
      </x:c>
      <x:c r="C961" s="24" t="str">
        <x:v>DISPONÍVEL</x:v>
      </x:c>
      <x:c r="D961" s="24" t="str">
        <x:v>Rodenstock</x:v>
      </x:c>
      <x:c r="E961" s="24" t="str">
        <x:v>Progressiva Freeform</x:v>
      </x:c>
      <x:c r="F961" s="24" t="str">
        <x:v>Surfaçada</x:v>
      </x:c>
      <x:c r="G961" s="24" t="str">
        <x:v>Progressiv Life 3D</x:v>
      </x:c>
      <x:c r="H961" s="24"/>
      <x:c r="I961" s="24" t="str">
        <x:v>1.74</x:v>
      </x:c>
      <x:c r="J961" s="24" t="str">
        <x:v>1.74</x:v>
      </x:c>
      <x:c r="K961" s="24" t="str">
        <x:v>Solitaire X-tra Clean</x:v>
      </x:c>
      <x:c r="L961" s="40" t="n">
        <x:v>9259</x:v>
      </x:c>
      <x:c r="M961" s="24" t="str">
        <x:v>-10 a +8</x:v>
      </x:c>
      <x:c r="N961" s="24" t="str">
        <x:v>até -6</x:v>
      </x:c>
      <x:c r="O961" s="24"/>
      <x:c r="P961" s="24" t="str">
        <x:v>75/80</x:v>
      </x:c>
      <x:c r="Q961" s="24"/>
      <x:c r="R961" s="24"/>
      <x:c r="S961" s="26" t="n">
        <x:v>46024</x:v>
      </x:c>
      <x:c r="T961" s="26"/>
      <x:c r="U961" s="24" t="str">
        <x:v>ATIVA/SEM FIM INFORMADO</x:v>
      </x:c>
      <x:c r="V961" s="24"/>
      <x:c r="W961" s="24" t="n">
        <x:v>21</x:v>
      </x:c>
      <x:c r="X961" s="24" t="str">
        <x:v>tabela_rodenstock.pdf</x:v>
      </x:c>
      <x:c r="Y961" s="24" t="str">
        <x:v>alta</x:v>
      </x:c>
      <x:c r="Z961" s="24"/>
      <x:c r="AA961" s="24" t="str">
        <x:v>Rodenstock|Progressiva Freeform|Surfaçada|Progressiv Life 3D||1.74|1.74|Solitaire X-tra Clean|-10 a +8|até -6||75/80|||21</x:v>
      </x:c>
    </x:row>
    <x:row r="962">
      <x:c r="A962" s="24" t="str">
        <x:v>RD-2645A7AE64CD</x:v>
      </x:c>
      <x:c r="B962" s="24" t="str">
        <x:v>SIM</x:v>
      </x:c>
      <x:c r="C962" s="24" t="str">
        <x:v>DISPONÍVEL</x:v>
      </x:c>
      <x:c r="D962" s="24" t="str">
        <x:v>Rodenstock</x:v>
      </x:c>
      <x:c r="E962" s="24" t="str">
        <x:v>Progressiva Freeform</x:v>
      </x:c>
      <x:c r="F962" s="24" t="str">
        <x:v>Surfaçada</x:v>
      </x:c>
      <x:c r="G962" s="24" t="str">
        <x:v>Progressiv Life 3D</x:v>
      </x:c>
      <x:c r="H962" s="24"/>
      <x:c r="I962" s="24" t="str">
        <x:v>1.74</x:v>
      </x:c>
      <x:c r="J962" s="24" t="str">
        <x:v>1.74</x:v>
      </x:c>
      <x:c r="K962" s="24" t="str">
        <x:v>Solitaire 2 Protect Balance</x:v>
      </x:c>
      <x:c r="L962" s="40" t="n">
        <x:v>9209</x:v>
      </x:c>
      <x:c r="M962" s="24" t="str">
        <x:v>-10 a +8</x:v>
      </x:c>
      <x:c r="N962" s="24" t="str">
        <x:v>até -6</x:v>
      </x:c>
      <x:c r="O962" s="24"/>
      <x:c r="P962" s="24" t="str">
        <x:v>75/80</x:v>
      </x:c>
      <x:c r="Q962" s="24"/>
      <x:c r="R962" s="24"/>
      <x:c r="S962" s="26" t="n">
        <x:v>46024</x:v>
      </x:c>
      <x:c r="T962" s="26"/>
      <x:c r="U962" s="24" t="str">
        <x:v>ATIVA/SEM FIM INFORMADO</x:v>
      </x:c>
      <x:c r="V962" s="24"/>
      <x:c r="W962" s="24" t="n">
        <x:v>21</x:v>
      </x:c>
      <x:c r="X962" s="24" t="str">
        <x:v>tabela_rodenstock.pdf</x:v>
      </x:c>
      <x:c r="Y962" s="24" t="str">
        <x:v>alta</x:v>
      </x:c>
      <x:c r="Z962" s="24"/>
      <x:c r="AA962" s="24" t="str">
        <x:v>Rodenstock|Progressiva Freeform|Surfaçada|Progressiv Life 3D||1.74|1.74|Solitaire 2 Protect Balance|-10 a +8|até -6||75/80|||21</x:v>
      </x:c>
    </x:row>
    <x:row r="963">
      <x:c r="A963" s="24" t="str">
        <x:v>RD-95BACADD1974</x:v>
      </x:c>
      <x:c r="B963" s="24" t="str">
        <x:v>SIM</x:v>
      </x:c>
      <x:c r="C963" s="24" t="str">
        <x:v>DISPONÍVEL</x:v>
      </x:c>
      <x:c r="D963" s="24" t="str">
        <x:v>Rodenstock</x:v>
      </x:c>
      <x:c r="E963" s="24" t="str">
        <x:v>Progressiva Freeform</x:v>
      </x:c>
      <x:c r="F963" s="24" t="str">
        <x:v>Surfaçada</x:v>
      </x:c>
      <x:c r="G963" s="24" t="str">
        <x:v>Progressiv Life 3D</x:v>
      </x:c>
      <x:c r="H963" s="24"/>
      <x:c r="I963" s="24" t="str">
        <x:v>1.74</x:v>
      </x:c>
      <x:c r="J963" s="24" t="str">
        <x:v>1.74</x:v>
      </x:c>
      <x:c r="K963" s="24" t="str">
        <x:v>Solitaire 2 Protect Plus</x:v>
      </x:c>
      <x:c r="L963" s="40" t="n">
        <x:v>9209</x:v>
      </x:c>
      <x:c r="M963" s="24" t="str">
        <x:v>-10 a +8</x:v>
      </x:c>
      <x:c r="N963" s="24" t="str">
        <x:v>até -6</x:v>
      </x:c>
      <x:c r="O963" s="24"/>
      <x:c r="P963" s="24" t="str">
        <x:v>75/80</x:v>
      </x:c>
      <x:c r="Q963" s="24"/>
      <x:c r="R963" s="24"/>
      <x:c r="S963" s="26" t="n">
        <x:v>46024</x:v>
      </x:c>
      <x:c r="T963" s="26"/>
      <x:c r="U963" s="24" t="str">
        <x:v>ATIVA/SEM FIM INFORMADO</x:v>
      </x:c>
      <x:c r="V963" s="24"/>
      <x:c r="W963" s="24" t="n">
        <x:v>21</x:v>
      </x:c>
      <x:c r="X963" s="24" t="str">
        <x:v>tabela_rodenstock.pdf</x:v>
      </x:c>
      <x:c r="Y963" s="24" t="str">
        <x:v>alta</x:v>
      </x:c>
      <x:c r="Z963" s="24"/>
      <x:c r="AA963" s="24" t="str">
        <x:v>Rodenstock|Progressiva Freeform|Surfaçada|Progressiv Life 3D||1.74|1.74|Solitaire 2 Protect Plus|-10 a +8|até -6||75/80|||21</x:v>
      </x:c>
    </x:row>
    <x:row r="964">
      <x:c r="A964" s="24" t="str">
        <x:v>RD-AF204F5779D3</x:v>
      </x:c>
      <x:c r="B964" s="24" t="str">
        <x:v>SIM</x:v>
      </x:c>
      <x:c r="C964" s="24" t="str">
        <x:v>DISPONÍVEL</x:v>
      </x:c>
      <x:c r="D964" s="24" t="str">
        <x:v>Rodenstock</x:v>
      </x:c>
      <x:c r="E964" s="24" t="str">
        <x:v>Progressiva Freeform</x:v>
      </x:c>
      <x:c r="F964" s="24" t="str">
        <x:v>Surfaçada</x:v>
      </x:c>
      <x:c r="G964" s="24" t="str">
        <x:v>Progressiv Life 3D</x:v>
      </x:c>
      <x:c r="H964" s="24"/>
      <x:c r="I964" s="24" t="str">
        <x:v>1.74</x:v>
      </x:c>
      <x:c r="J964" s="24" t="str">
        <x:v>1.74</x:v>
      </x:c>
      <x:c r="K964" s="24" t="str">
        <x:v>Solitaire 2 Protect</x:v>
      </x:c>
      <x:c r="L964" s="40" t="n">
        <x:v>8949</x:v>
      </x:c>
      <x:c r="M964" s="24" t="str">
        <x:v>-10 a +8</x:v>
      </x:c>
      <x:c r="N964" s="24" t="str">
        <x:v>até -6</x:v>
      </x:c>
      <x:c r="O964" s="24"/>
      <x:c r="P964" s="24" t="str">
        <x:v>75/80</x:v>
      </x:c>
      <x:c r="Q964" s="24"/>
      <x:c r="R964" s="24"/>
      <x:c r="S964" s="26" t="n">
        <x:v>46024</x:v>
      </x:c>
      <x:c r="T964" s="26"/>
      <x:c r="U964" s="24" t="str">
        <x:v>ATIVA/SEM FIM INFORMADO</x:v>
      </x:c>
      <x:c r="V964" s="24"/>
      <x:c r="W964" s="24" t="n">
        <x:v>21</x:v>
      </x:c>
      <x:c r="X964" s="24" t="str">
        <x:v>tabela_rodenstock.pdf</x:v>
      </x:c>
      <x:c r="Y964" s="24" t="str">
        <x:v>alta</x:v>
      </x:c>
      <x:c r="Z964" s="24"/>
      <x:c r="AA964" s="24" t="str">
        <x:v>Rodenstock|Progressiva Freeform|Surfaçada|Progressiv Life 3D||1.74|1.74|Solitaire 2 Protect|-10 a +8|até -6||75/80|||21</x:v>
      </x:c>
    </x:row>
    <x:row r="965">
      <x:c r="A965" s="24" t="str">
        <x:v>RD-11772266F839</x:v>
      </x:c>
      <x:c r="B965" s="24" t="str">
        <x:v>SIM</x:v>
      </x:c>
      <x:c r="C965" s="24" t="str">
        <x:v>DISPONÍVEL</x:v>
      </x:c>
      <x:c r="D965" s="24" t="str">
        <x:v>Rodenstock</x:v>
      </x:c>
      <x:c r="E965" s="24" t="str">
        <x:v>Progressiva Freeform</x:v>
      </x:c>
      <x:c r="F965" s="24" t="str">
        <x:v>Surfaçada</x:v>
      </x:c>
      <x:c r="G965" s="24" t="str">
        <x:v>Progressiv Si Digital</x:v>
      </x:c>
      <x:c r="H965" s="24"/>
      <x:c r="I965" s="24" t="str">
        <x:v>1.5</x:v>
      </x:c>
      <x:c r="J965" s="24" t="str">
        <x:v>1.50</x:v>
      </x:c>
      <x:c r="K965" s="24" t="str">
        <x:v>Solitaire X-tra Clean</x:v>
      </x:c>
      <x:c r="L965" s="40" t="n">
        <x:v>3693</x:v>
      </x:c>
      <x:c r="M965" s="24" t="str">
        <x:v>-8 a +8</x:v>
      </x:c>
      <x:c r="N965" s="24" t="str">
        <x:v>até -6</x:v>
      </x:c>
      <x:c r="O965" s="24"/>
      <x:c r="P965" s="24" t="str">
        <x:v>75/80</x:v>
      </x:c>
      <x:c r="Q965" s="24"/>
      <x:c r="R965" s="24"/>
      <x:c r="S965" s="26" t="n">
        <x:v>46024</x:v>
      </x:c>
      <x:c r="T965" s="26"/>
      <x:c r="U965" s="24" t="str">
        <x:v>ATIVA/SEM FIM INFORMADO</x:v>
      </x:c>
      <x:c r="V965" s="24"/>
      <x:c r="W965" s="24" t="n">
        <x:v>21</x:v>
      </x:c>
      <x:c r="X965" s="24" t="str">
        <x:v>tabela_rodenstock.pdf</x:v>
      </x:c>
      <x:c r="Y965" s="24" t="str">
        <x:v>alta</x:v>
      </x:c>
      <x:c r="Z965" s="24"/>
      <x:c r="AA965" s="24" t="str">
        <x:v>Rodenstock|Progressiva Freeform|Surfaçada|Progressiv Si Digital||1.5|1.50|Solitaire X-tra Clean|-8 a +8|até -6||75/80|||21</x:v>
      </x:c>
    </x:row>
    <x:row r="966">
      <x:c r="A966" s="24" t="str">
        <x:v>RD-F0E197B68F12</x:v>
      </x:c>
      <x:c r="B966" s="24" t="str">
        <x:v>SIM</x:v>
      </x:c>
      <x:c r="C966" s="24" t="str">
        <x:v>DISPONÍVEL</x:v>
      </x:c>
      <x:c r="D966" s="24" t="str">
        <x:v>Rodenstock</x:v>
      </x:c>
      <x:c r="E966" s="24" t="str">
        <x:v>Progressiva Freeform</x:v>
      </x:c>
      <x:c r="F966" s="24" t="str">
        <x:v>Surfaçada</x:v>
      </x:c>
      <x:c r="G966" s="24" t="str">
        <x:v>Progressiv Si Digital</x:v>
      </x:c>
      <x:c r="H966" s="24"/>
      <x:c r="I966" s="24" t="str">
        <x:v>1.5</x:v>
      </x:c>
      <x:c r="J966" s="24" t="str">
        <x:v>1.50</x:v>
      </x:c>
      <x:c r="K966" s="24" t="str">
        <x:v>Solitaire 2 Protect Balance</x:v>
      </x:c>
      <x:c r="L966" s="40" t="n">
        <x:v>3643</x:v>
      </x:c>
      <x:c r="M966" s="24" t="str">
        <x:v>-8 a +8</x:v>
      </x:c>
      <x:c r="N966" s="24" t="str">
        <x:v>até -6</x:v>
      </x:c>
      <x:c r="O966" s="24"/>
      <x:c r="P966" s="24" t="str">
        <x:v>75/80</x:v>
      </x:c>
      <x:c r="Q966" s="24"/>
      <x:c r="R966" s="24"/>
      <x:c r="S966" s="26" t="n">
        <x:v>46024</x:v>
      </x:c>
      <x:c r="T966" s="26"/>
      <x:c r="U966" s="24" t="str">
        <x:v>ATIVA/SEM FIM INFORMADO</x:v>
      </x:c>
      <x:c r="V966" s="24"/>
      <x:c r="W966" s="24" t="n">
        <x:v>21</x:v>
      </x:c>
      <x:c r="X966" s="24" t="str">
        <x:v>tabela_rodenstock.pdf</x:v>
      </x:c>
      <x:c r="Y966" s="24" t="str">
        <x:v>alta</x:v>
      </x:c>
      <x:c r="Z966" s="24"/>
      <x:c r="AA966" s="24" t="str">
        <x:v>Rodenstock|Progressiva Freeform|Surfaçada|Progressiv Si Digital||1.5|1.50|Solitaire 2 Protect Balance|-8 a +8|até -6||75/80|||21</x:v>
      </x:c>
    </x:row>
    <x:row r="967">
      <x:c r="A967" s="24" t="str">
        <x:v>RD-F558BC9C4E5D</x:v>
      </x:c>
      <x:c r="B967" s="24" t="str">
        <x:v>SIM</x:v>
      </x:c>
      <x:c r="C967" s="24" t="str">
        <x:v>DISPONÍVEL</x:v>
      </x:c>
      <x:c r="D967" s="24" t="str">
        <x:v>Rodenstock</x:v>
      </x:c>
      <x:c r="E967" s="24" t="str">
        <x:v>Progressiva Freeform</x:v>
      </x:c>
      <x:c r="F967" s="24" t="str">
        <x:v>Surfaçada</x:v>
      </x:c>
      <x:c r="G967" s="24" t="str">
        <x:v>Progressiv Si Digital</x:v>
      </x:c>
      <x:c r="H967" s="24"/>
      <x:c r="I967" s="24" t="str">
        <x:v>1.5</x:v>
      </x:c>
      <x:c r="J967" s="24" t="str">
        <x:v>1.50</x:v>
      </x:c>
      <x:c r="K967" s="24" t="str">
        <x:v>Solitaire 2 Protect Plus</x:v>
      </x:c>
      <x:c r="L967" s="40" t="n">
        <x:v>3643</x:v>
      </x:c>
      <x:c r="M967" s="24" t="str">
        <x:v>-8 a +8</x:v>
      </x:c>
      <x:c r="N967" s="24" t="str">
        <x:v>até -6</x:v>
      </x:c>
      <x:c r="O967" s="24"/>
      <x:c r="P967" s="24" t="str">
        <x:v>75/80</x:v>
      </x:c>
      <x:c r="Q967" s="24"/>
      <x:c r="R967" s="24"/>
      <x:c r="S967" s="26" t="n">
        <x:v>46024</x:v>
      </x:c>
      <x:c r="T967" s="26"/>
      <x:c r="U967" s="24" t="str">
        <x:v>ATIVA/SEM FIM INFORMADO</x:v>
      </x:c>
      <x:c r="V967" s="24"/>
      <x:c r="W967" s="24" t="n">
        <x:v>21</x:v>
      </x:c>
      <x:c r="X967" s="24" t="str">
        <x:v>tabela_rodenstock.pdf</x:v>
      </x:c>
      <x:c r="Y967" s="24" t="str">
        <x:v>alta</x:v>
      </x:c>
      <x:c r="Z967" s="24"/>
      <x:c r="AA967" s="24" t="str">
        <x:v>Rodenstock|Progressiva Freeform|Surfaçada|Progressiv Si Digital||1.5|1.50|Solitaire 2 Protect Plus|-8 a +8|até -6||75/80|||21</x:v>
      </x:c>
    </x:row>
    <x:row r="968">
      <x:c r="A968" s="24" t="str">
        <x:v>RD-581EE48F0856</x:v>
      </x:c>
      <x:c r="B968" s="24" t="str">
        <x:v>SIM</x:v>
      </x:c>
      <x:c r="C968" s="24" t="str">
        <x:v>DISPONÍVEL</x:v>
      </x:c>
      <x:c r="D968" s="24" t="str">
        <x:v>Rodenstock</x:v>
      </x:c>
      <x:c r="E968" s="24" t="str">
        <x:v>Progressiva Freeform</x:v>
      </x:c>
      <x:c r="F968" s="24" t="str">
        <x:v>Surfaçada</x:v>
      </x:c>
      <x:c r="G968" s="24" t="str">
        <x:v>Progressiv Si Digital</x:v>
      </x:c>
      <x:c r="H968" s="24"/>
      <x:c r="I968" s="24" t="str">
        <x:v>1.5</x:v>
      </x:c>
      <x:c r="J968" s="24" t="str">
        <x:v>1.50</x:v>
      </x:c>
      <x:c r="K968" s="24" t="str">
        <x:v>ROAD</x:v>
      </x:c>
      <x:c r="L968" s="40" t="n">
        <x:v>3643</x:v>
      </x:c>
      <x:c r="M968" s="24" t="str">
        <x:v>-8 a +8</x:v>
      </x:c>
      <x:c r="N968" s="24" t="str">
        <x:v>até -6</x:v>
      </x:c>
      <x:c r="O968" s="24"/>
      <x:c r="P968" s="24" t="str">
        <x:v>75/80</x:v>
      </x:c>
      <x:c r="Q968" s="24"/>
      <x:c r="R968" s="24"/>
      <x:c r="S968" s="26" t="n">
        <x:v>46024</x:v>
      </x:c>
      <x:c r="T968" s="26"/>
      <x:c r="U968" s="24" t="str">
        <x:v>ATIVA/SEM FIM INFORMADO</x:v>
      </x:c>
      <x:c r="V968" s="24"/>
      <x:c r="W968" s="24" t="n">
        <x:v>21</x:v>
      </x:c>
      <x:c r="X968" s="24" t="str">
        <x:v>tabela_rodenstock.pdf</x:v>
      </x:c>
      <x:c r="Y968" s="24" t="str">
        <x:v>alta</x:v>
      </x:c>
      <x:c r="Z968" s="24"/>
      <x:c r="AA968" s="24" t="str">
        <x:v>Rodenstock|Progressiva Freeform|Surfaçada|Progressiv Si Digital||1.5|1.50|ROAD|-8 a +8|até -6||75/80|||21</x:v>
      </x:c>
    </x:row>
    <x:row r="969">
      <x:c r="A969" s="24" t="str">
        <x:v>RD-56ABD3A17134</x:v>
      </x:c>
      <x:c r="B969" s="24" t="str">
        <x:v>SIM</x:v>
      </x:c>
      <x:c r="C969" s="24" t="str">
        <x:v>DISPONÍVEL</x:v>
      </x:c>
      <x:c r="D969" s="24" t="str">
        <x:v>Rodenstock</x:v>
      </x:c>
      <x:c r="E969" s="24" t="str">
        <x:v>Progressiva Freeform</x:v>
      </x:c>
      <x:c r="F969" s="24" t="str">
        <x:v>Surfaçada</x:v>
      </x:c>
      <x:c r="G969" s="24" t="str">
        <x:v>Progressiv Si Digital</x:v>
      </x:c>
      <x:c r="H969" s="24"/>
      <x:c r="I969" s="24" t="str">
        <x:v>1.5</x:v>
      </x:c>
      <x:c r="J969" s="24" t="str">
        <x:v>1.50</x:v>
      </x:c>
      <x:c r="K969" s="24" t="str">
        <x:v>Solitaire 2 Protect</x:v>
      </x:c>
      <x:c r="L969" s="40" t="n">
        <x:v>3383</x:v>
      </x:c>
      <x:c r="M969" s="24" t="str">
        <x:v>-8 a +8</x:v>
      </x:c>
      <x:c r="N969" s="24" t="str">
        <x:v>até -6</x:v>
      </x:c>
      <x:c r="O969" s="24"/>
      <x:c r="P969" s="24" t="str">
        <x:v>75/80</x:v>
      </x:c>
      <x:c r="Q969" s="24"/>
      <x:c r="R969" s="24"/>
      <x:c r="S969" s="26" t="n">
        <x:v>46024</x:v>
      </x:c>
      <x:c r="T969" s="26"/>
      <x:c r="U969" s="24" t="str">
        <x:v>ATIVA/SEM FIM INFORMADO</x:v>
      </x:c>
      <x:c r="V969" s="24"/>
      <x:c r="W969" s="24" t="n">
        <x:v>21</x:v>
      </x:c>
      <x:c r="X969" s="24" t="str">
        <x:v>tabela_rodenstock.pdf</x:v>
      </x:c>
      <x:c r="Y969" s="24" t="str">
        <x:v>alta</x:v>
      </x:c>
      <x:c r="Z969" s="24"/>
      <x:c r="AA969" s="24" t="str">
        <x:v>Rodenstock|Progressiva Freeform|Surfaçada|Progressiv Si Digital||1.5|1.50|Solitaire 2 Protect|-8 a +8|até -6||75/80|||21</x:v>
      </x:c>
    </x:row>
    <x:row r="970">
      <x:c r="A970" s="24" t="str">
        <x:v>RD-4FB40A0F0DB3</x:v>
      </x:c>
      <x:c r="B970" s="24" t="str">
        <x:v>SIM</x:v>
      </x:c>
      <x:c r="C970" s="24" t="str">
        <x:v>DISPONÍVEL</x:v>
      </x:c>
      <x:c r="D970" s="24" t="str">
        <x:v>Rodenstock</x:v>
      </x:c>
      <x:c r="E970" s="24" t="str">
        <x:v>Progressiva Freeform</x:v>
      </x:c>
      <x:c r="F970" s="24" t="str">
        <x:v>Surfaçada</x:v>
      </x:c>
      <x:c r="G970" s="24" t="str">
        <x:v>Progressiv Si Digital</x:v>
      </x:c>
      <x:c r="H970" s="24"/>
      <x:c r="I970" s="24" t="str">
        <x:v>1.5</x:v>
      </x:c>
      <x:c r="J970" s="24" t="str">
        <x:v>1.50</x:v>
      </x:c>
      <x:c r="K970" s="24" t="str">
        <x:v>Solitaire ECO 2</x:v>
      </x:c>
      <x:c r="L970" s="40" t="n">
        <x:v>2903</x:v>
      </x:c>
      <x:c r="M970" s="24" t="str">
        <x:v>-8 a +8</x:v>
      </x:c>
      <x:c r="N970" s="24" t="str">
        <x:v>até -6</x:v>
      </x:c>
      <x:c r="O970" s="24"/>
      <x:c r="P970" s="24" t="str">
        <x:v>75/80</x:v>
      </x:c>
      <x:c r="Q970" s="24"/>
      <x:c r="R970" s="24"/>
      <x:c r="S970" s="26" t="n">
        <x:v>46024</x:v>
      </x:c>
      <x:c r="T970" s="26"/>
      <x:c r="U970" s="24" t="str">
        <x:v>ATIVA/SEM FIM INFORMADO</x:v>
      </x:c>
      <x:c r="V970" s="24"/>
      <x:c r="W970" s="24" t="n">
        <x:v>21</x:v>
      </x:c>
      <x:c r="X970" s="24" t="str">
        <x:v>tabela_rodenstock.pdf</x:v>
      </x:c>
      <x:c r="Y970" s="24" t="str">
        <x:v>alta</x:v>
      </x:c>
      <x:c r="Z970" s="24"/>
      <x:c r="AA970" s="24" t="str">
        <x:v>Rodenstock|Progressiva Freeform|Surfaçada|Progressiv Si Digital||1.5|1.50|Solitaire ECO 2|-8 a +8|até -6||75/80|||21</x:v>
      </x:c>
    </x:row>
    <x:row r="971">
      <x:c r="A971" s="24" t="str">
        <x:v>RD-6AEDC9332249</x:v>
      </x:c>
      <x:c r="B971" s="24" t="str">
        <x:v>SIM</x:v>
      </x:c>
      <x:c r="C971" s="24" t="str">
        <x:v>DISPONÍVEL</x:v>
      </x:c>
      <x:c r="D971" s="24" t="str">
        <x:v>Rodenstock</x:v>
      </x:c>
      <x:c r="E971" s="24" t="str">
        <x:v>Progressiva Freeform</x:v>
      </x:c>
      <x:c r="F971" s="24" t="str">
        <x:v>Surfaçada</x:v>
      </x:c>
      <x:c r="G971" s="24" t="str">
        <x:v>Progressiv Si Digital</x:v>
      </x:c>
      <x:c r="H971" s="24"/>
      <x:c r="I971" s="24" t="str">
        <x:v>1.5</x:v>
      </x:c>
      <x:c r="J971" s="24" t="str">
        <x:v>1.50</x:v>
      </x:c>
      <x:c r="K971" s="24" t="str">
        <x:v>Sem AR</x:v>
      </x:c>
      <x:c r="L971" s="40" t="n">
        <x:v>2513</x:v>
      </x:c>
      <x:c r="M971" s="24" t="str">
        <x:v>-8 a +8</x:v>
      </x:c>
      <x:c r="N971" s="24" t="str">
        <x:v>até -6</x:v>
      </x:c>
      <x:c r="O971" s="24"/>
      <x:c r="P971" s="24" t="str">
        <x:v>75/80</x:v>
      </x:c>
      <x:c r="Q971" s="24"/>
      <x:c r="R971" s="24"/>
      <x:c r="S971" s="26" t="n">
        <x:v>46024</x:v>
      </x:c>
      <x:c r="T971" s="26"/>
      <x:c r="U971" s="24" t="str">
        <x:v>ATIVA/SEM FIM INFORMADO</x:v>
      </x:c>
      <x:c r="V971" s="24"/>
      <x:c r="W971" s="24" t="n">
        <x:v>21</x:v>
      </x:c>
      <x:c r="X971" s="24" t="str">
        <x:v>tabela_rodenstock.pdf</x:v>
      </x:c>
      <x:c r="Y971" s="24" t="str">
        <x:v>alta</x:v>
      </x:c>
      <x:c r="Z971" s="24"/>
      <x:c r="AA971" s="24" t="str">
        <x:v>Rodenstock|Progressiva Freeform|Surfaçada|Progressiv Si Digital||1.5|1.50|Sem AR|-8 a +8|até -6||75/80|||21</x:v>
      </x:c>
    </x:row>
    <x:row r="972">
      <x:c r="A972" s="24" t="str">
        <x:v>RD-3C50B2DFD694</x:v>
      </x:c>
      <x:c r="B972" s="24" t="str">
        <x:v>SIM</x:v>
      </x:c>
      <x:c r="C972" s="24" t="str">
        <x:v>DISPONÍVEL</x:v>
      </x:c>
      <x:c r="D972" s="24" t="str">
        <x:v>Rodenstock</x:v>
      </x:c>
      <x:c r="E972" s="24" t="str">
        <x:v>Progressiva Freeform</x:v>
      </x:c>
      <x:c r="F972" s="24" t="str">
        <x:v>Surfaçada</x:v>
      </x:c>
      <x:c r="G972" s="24" t="str">
        <x:v>Progressiv Si Digital</x:v>
      </x:c>
      <x:c r="H972" s="24" t="str">
        <x:v>Polarizada</x:v>
      </x:c>
      <x:c r="I972" s="24" t="str">
        <x:v>1.5</x:v>
      </x:c>
      <x:c r="J972" s="24" t="str">
        <x:v>1.50</x:v>
      </x:c>
      <x:c r="K972" s="24" t="str">
        <x:v>Solitaire X-tra Clean</x:v>
      </x:c>
      <x:c r="L972" s="40" t="n">
        <x:v>5070</x:v>
      </x:c>
      <x:c r="M972" s="24" t="str">
        <x:v>-6 a +6</x:v>
      </x:c>
      <x:c r="N972" s="24" t="str">
        <x:v>até -6</x:v>
      </x:c>
      <x:c r="O972" s="24"/>
      <x:c r="P972" s="24" t="str">
        <x:v>75/80</x:v>
      </x:c>
      <x:c r="Q972" s="24"/>
      <x:c r="R972" s="24"/>
      <x:c r="S972" s="26" t="n">
        <x:v>46024</x:v>
      </x:c>
      <x:c r="T972" s="26"/>
      <x:c r="U972" s="24" t="str">
        <x:v>ATIVA/SEM FIM INFORMADO</x:v>
      </x:c>
      <x:c r="V972" s="24"/>
      <x:c r="W972" s="24" t="n">
        <x:v>21</x:v>
      </x:c>
      <x:c r="X972" s="24" t="str">
        <x:v>tabela_rodenstock.pdf</x:v>
      </x:c>
      <x:c r="Y972" s="24" t="str">
        <x:v>alta</x:v>
      </x:c>
      <x:c r="Z972" s="24"/>
      <x:c r="AA972" s="24" t="str">
        <x:v>Rodenstock|Progressiva Freeform|Surfaçada|Progressiv Si Digital|Polarizada|1.5|1.50|Solitaire X-tra Clean|-6 a +6|até -6||75/80|||21</x:v>
      </x:c>
    </x:row>
    <x:row r="973">
      <x:c r="A973" s="24" t="str">
        <x:v>RD-85EE74EB85AF</x:v>
      </x:c>
      <x:c r="B973" s="24" t="str">
        <x:v>SIM</x:v>
      </x:c>
      <x:c r="C973" s="24" t="str">
        <x:v>DISPONÍVEL</x:v>
      </x:c>
      <x:c r="D973" s="24" t="str">
        <x:v>Rodenstock</x:v>
      </x:c>
      <x:c r="E973" s="24" t="str">
        <x:v>Progressiva Freeform</x:v>
      </x:c>
      <x:c r="F973" s="24" t="str">
        <x:v>Surfaçada</x:v>
      </x:c>
      <x:c r="G973" s="24" t="str">
        <x:v>Progressiv Si Digital</x:v>
      </x:c>
      <x:c r="H973" s="24" t="str">
        <x:v>Polarizada</x:v>
      </x:c>
      <x:c r="I973" s="24" t="str">
        <x:v>1.5</x:v>
      </x:c>
      <x:c r="J973" s="24" t="str">
        <x:v>1.50</x:v>
      </x:c>
      <x:c r="K973" s="24" t="str">
        <x:v>Solitaire 2 Protect Balance</x:v>
      </x:c>
      <x:c r="L973" s="40" t="n">
        <x:v>5020</x:v>
      </x:c>
      <x:c r="M973" s="24" t="str">
        <x:v>-6 a +6</x:v>
      </x:c>
      <x:c r="N973" s="24" t="str">
        <x:v>até -6</x:v>
      </x:c>
      <x:c r="O973" s="24"/>
      <x:c r="P973" s="24" t="str">
        <x:v>75/80</x:v>
      </x:c>
      <x:c r="Q973" s="24"/>
      <x:c r="R973" s="24"/>
      <x:c r="S973" s="26" t="n">
        <x:v>46024</x:v>
      </x:c>
      <x:c r="T973" s="26"/>
      <x:c r="U973" s="24" t="str">
        <x:v>ATIVA/SEM FIM INFORMADO</x:v>
      </x:c>
      <x:c r="V973" s="24"/>
      <x:c r="W973" s="24" t="n">
        <x:v>21</x:v>
      </x:c>
      <x:c r="X973" s="24" t="str">
        <x:v>tabela_rodenstock.pdf</x:v>
      </x:c>
      <x:c r="Y973" s="24" t="str">
        <x:v>alta</x:v>
      </x:c>
      <x:c r="Z973" s="24"/>
      <x:c r="AA973" s="24" t="str">
        <x:v>Rodenstock|Progressiva Freeform|Surfaçada|Progressiv Si Digital|Polarizada|1.5|1.50|Solitaire 2 Protect Balance|-6 a +6|até -6||75/80|||21</x:v>
      </x:c>
    </x:row>
    <x:row r="974">
      <x:c r="A974" s="24" t="str">
        <x:v>RD-D4F0F3449F64</x:v>
      </x:c>
      <x:c r="B974" s="24" t="str">
        <x:v>SIM</x:v>
      </x:c>
      <x:c r="C974" s="24" t="str">
        <x:v>DISPONÍVEL</x:v>
      </x:c>
      <x:c r="D974" s="24" t="str">
        <x:v>Rodenstock</x:v>
      </x:c>
      <x:c r="E974" s="24" t="str">
        <x:v>Progressiva Freeform</x:v>
      </x:c>
      <x:c r="F974" s="24" t="str">
        <x:v>Surfaçada</x:v>
      </x:c>
      <x:c r="G974" s="24" t="str">
        <x:v>Progressiv Si Digital</x:v>
      </x:c>
      <x:c r="H974" s="24" t="str">
        <x:v>Polarizada</x:v>
      </x:c>
      <x:c r="I974" s="24" t="str">
        <x:v>1.5</x:v>
      </x:c>
      <x:c r="J974" s="24" t="str">
        <x:v>1.50</x:v>
      </x:c>
      <x:c r="K974" s="24" t="str">
        <x:v>Solitaire 2 Protect Plus</x:v>
      </x:c>
      <x:c r="L974" s="40" t="n">
        <x:v>5020</x:v>
      </x:c>
      <x:c r="M974" s="24" t="str">
        <x:v>-6 a +6</x:v>
      </x:c>
      <x:c r="N974" s="24" t="str">
        <x:v>até -6</x:v>
      </x:c>
      <x:c r="O974" s="24"/>
      <x:c r="P974" s="24" t="str">
        <x:v>75/80</x:v>
      </x:c>
      <x:c r="Q974" s="24"/>
      <x:c r="R974" s="24"/>
      <x:c r="S974" s="26" t="n">
        <x:v>46024</x:v>
      </x:c>
      <x:c r="T974" s="26"/>
      <x:c r="U974" s="24" t="str">
        <x:v>ATIVA/SEM FIM INFORMADO</x:v>
      </x:c>
      <x:c r="V974" s="24"/>
      <x:c r="W974" s="24" t="n">
        <x:v>21</x:v>
      </x:c>
      <x:c r="X974" s="24" t="str">
        <x:v>tabela_rodenstock.pdf</x:v>
      </x:c>
      <x:c r="Y974" s="24" t="str">
        <x:v>alta</x:v>
      </x:c>
      <x:c r="Z974" s="24"/>
      <x:c r="AA974" s="24" t="str">
        <x:v>Rodenstock|Progressiva Freeform|Surfaçada|Progressiv Si Digital|Polarizada|1.5|1.50|Solitaire 2 Protect Plus|-6 a +6|até -6||75/80|||21</x:v>
      </x:c>
    </x:row>
    <x:row r="975">
      <x:c r="A975" s="24" t="str">
        <x:v>RD-3B23C30DBFBE</x:v>
      </x:c>
      <x:c r="B975" s="24" t="str">
        <x:v>SIM</x:v>
      </x:c>
      <x:c r="C975" s="24" t="str">
        <x:v>DISPONÍVEL</x:v>
      </x:c>
      <x:c r="D975" s="24" t="str">
        <x:v>Rodenstock</x:v>
      </x:c>
      <x:c r="E975" s="24" t="str">
        <x:v>Progressiva Freeform</x:v>
      </x:c>
      <x:c r="F975" s="24" t="str">
        <x:v>Surfaçada</x:v>
      </x:c>
      <x:c r="G975" s="24" t="str">
        <x:v>Progressiv Si Digital</x:v>
      </x:c>
      <x:c r="H975" s="24" t="str">
        <x:v>Polarizada</x:v>
      </x:c>
      <x:c r="I975" s="24" t="str">
        <x:v>1.5</x:v>
      </x:c>
      <x:c r="J975" s="24" t="str">
        <x:v>1.50</x:v>
      </x:c>
      <x:c r="K975" s="24" t="str">
        <x:v>ROAD</x:v>
      </x:c>
      <x:c r="L975" s="40" t="n">
        <x:v>5020</x:v>
      </x:c>
      <x:c r="M975" s="24" t="str">
        <x:v>-6 a +6</x:v>
      </x:c>
      <x:c r="N975" s="24" t="str">
        <x:v>até -6</x:v>
      </x:c>
      <x:c r="O975" s="24"/>
      <x:c r="P975" s="24" t="str">
        <x:v>75/80</x:v>
      </x:c>
      <x:c r="Q975" s="24"/>
      <x:c r="R975" s="24"/>
      <x:c r="S975" s="26" t="n">
        <x:v>46024</x:v>
      </x:c>
      <x:c r="T975" s="26"/>
      <x:c r="U975" s="24" t="str">
        <x:v>ATIVA/SEM FIM INFORMADO</x:v>
      </x:c>
      <x:c r="V975" s="24"/>
      <x:c r="W975" s="24" t="n">
        <x:v>21</x:v>
      </x:c>
      <x:c r="X975" s="24" t="str">
        <x:v>tabela_rodenstock.pdf</x:v>
      </x:c>
      <x:c r="Y975" s="24" t="str">
        <x:v>alta</x:v>
      </x:c>
      <x:c r="Z975" s="24"/>
      <x:c r="AA975" s="24" t="str">
        <x:v>Rodenstock|Progressiva Freeform|Surfaçada|Progressiv Si Digital|Polarizada|1.5|1.50|ROAD|-6 a +6|até -6||75/80|||21</x:v>
      </x:c>
    </x:row>
    <x:row r="976">
      <x:c r="A976" s="24" t="str">
        <x:v>RD-61301D985905</x:v>
      </x:c>
      <x:c r="B976" s="24" t="str">
        <x:v>SIM</x:v>
      </x:c>
      <x:c r="C976" s="24" t="str">
        <x:v>DISPONÍVEL</x:v>
      </x:c>
      <x:c r="D976" s="24" t="str">
        <x:v>Rodenstock</x:v>
      </x:c>
      <x:c r="E976" s="24" t="str">
        <x:v>Progressiva Freeform</x:v>
      </x:c>
      <x:c r="F976" s="24" t="str">
        <x:v>Surfaçada</x:v>
      </x:c>
      <x:c r="G976" s="24" t="str">
        <x:v>Progressiv Si Digital</x:v>
      </x:c>
      <x:c r="H976" s="24" t="str">
        <x:v>Polarizada</x:v>
      </x:c>
      <x:c r="I976" s="24" t="str">
        <x:v>1.5</x:v>
      </x:c>
      <x:c r="J976" s="24" t="str">
        <x:v>1.50</x:v>
      </x:c>
      <x:c r="K976" s="24" t="str">
        <x:v>Solitaire 2 Protect</x:v>
      </x:c>
      <x:c r="L976" s="40" t="n">
        <x:v>4760</x:v>
      </x:c>
      <x:c r="M976" s="24" t="str">
        <x:v>-6 a +6</x:v>
      </x:c>
      <x:c r="N976" s="24" t="str">
        <x:v>até -6</x:v>
      </x:c>
      <x:c r="O976" s="24"/>
      <x:c r="P976" s="24" t="str">
        <x:v>75/80</x:v>
      </x:c>
      <x:c r="Q976" s="24"/>
      <x:c r="R976" s="24"/>
      <x:c r="S976" s="26" t="n">
        <x:v>46024</x:v>
      </x:c>
      <x:c r="T976" s="26"/>
      <x:c r="U976" s="24" t="str">
        <x:v>ATIVA/SEM FIM INFORMADO</x:v>
      </x:c>
      <x:c r="V976" s="24"/>
      <x:c r="W976" s="24" t="n">
        <x:v>21</x:v>
      </x:c>
      <x:c r="X976" s="24" t="str">
        <x:v>tabela_rodenstock.pdf</x:v>
      </x:c>
      <x:c r="Y976" s="24" t="str">
        <x:v>alta</x:v>
      </x:c>
      <x:c r="Z976" s="24"/>
      <x:c r="AA976" s="24" t="str">
        <x:v>Rodenstock|Progressiva Freeform|Surfaçada|Progressiv Si Digital|Polarizada|1.5|1.50|Solitaire 2 Protect|-6 a +6|até -6||75/80|||21</x:v>
      </x:c>
    </x:row>
    <x:row r="977">
      <x:c r="A977" s="24" t="str">
        <x:v>RD-AA2FDF298992</x:v>
      </x:c>
      <x:c r="B977" s="24" t="str">
        <x:v>SIM</x:v>
      </x:c>
      <x:c r="C977" s="24" t="str">
        <x:v>DISPONÍVEL</x:v>
      </x:c>
      <x:c r="D977" s="24" t="str">
        <x:v>Rodenstock</x:v>
      </x:c>
      <x:c r="E977" s="24" t="str">
        <x:v>Progressiva Freeform</x:v>
      </x:c>
      <x:c r="F977" s="24" t="str">
        <x:v>Surfaçada</x:v>
      </x:c>
      <x:c r="G977" s="24" t="str">
        <x:v>Progressiv Si Digital</x:v>
      </x:c>
      <x:c r="H977" s="24" t="str">
        <x:v>Polarizada</x:v>
      </x:c>
      <x:c r="I977" s="24" t="str">
        <x:v>1.5</x:v>
      </x:c>
      <x:c r="J977" s="24" t="str">
        <x:v>1.50</x:v>
      </x:c>
      <x:c r="K977" s="24" t="str">
        <x:v>Solitaire ECO 2</x:v>
      </x:c>
      <x:c r="L977" s="40" t="n">
        <x:v>4280</x:v>
      </x:c>
      <x:c r="M977" s="24" t="str">
        <x:v>-6 a +6</x:v>
      </x:c>
      <x:c r="N977" s="24" t="str">
        <x:v>até -6</x:v>
      </x:c>
      <x:c r="O977" s="24"/>
      <x:c r="P977" s="24" t="str">
        <x:v>75/80</x:v>
      </x:c>
      <x:c r="Q977" s="24"/>
      <x:c r="R977" s="24"/>
      <x:c r="S977" s="26" t="n">
        <x:v>46024</x:v>
      </x:c>
      <x:c r="T977" s="26"/>
      <x:c r="U977" s="24" t="str">
        <x:v>ATIVA/SEM FIM INFORMADO</x:v>
      </x:c>
      <x:c r="V977" s="24"/>
      <x:c r="W977" s="24" t="n">
        <x:v>21</x:v>
      </x:c>
      <x:c r="X977" s="24" t="str">
        <x:v>tabela_rodenstock.pdf</x:v>
      </x:c>
      <x:c r="Y977" s="24" t="str">
        <x:v>alta</x:v>
      </x:c>
      <x:c r="Z977" s="24"/>
      <x:c r="AA977" s="24" t="str">
        <x:v>Rodenstock|Progressiva Freeform|Surfaçada|Progressiv Si Digital|Polarizada|1.5|1.50|Solitaire ECO 2|-6 a +6|até -6||75/80|||21</x:v>
      </x:c>
    </x:row>
    <x:row r="978">
      <x:c r="A978" s="24" t="str">
        <x:v>RD-CF07BD11CF48</x:v>
      </x:c>
      <x:c r="B978" s="24" t="str">
        <x:v>SIM</x:v>
      </x:c>
      <x:c r="C978" s="24" t="str">
        <x:v>DISPONÍVEL</x:v>
      </x:c>
      <x:c r="D978" s="24" t="str">
        <x:v>Rodenstock</x:v>
      </x:c>
      <x:c r="E978" s="24" t="str">
        <x:v>Progressiva Freeform</x:v>
      </x:c>
      <x:c r="F978" s="24" t="str">
        <x:v>Surfaçada</x:v>
      </x:c>
      <x:c r="G978" s="24" t="str">
        <x:v>Progressiv Si Digital</x:v>
      </x:c>
      <x:c r="H978" s="24" t="str">
        <x:v>Polarizada</x:v>
      </x:c>
      <x:c r="I978" s="24" t="str">
        <x:v>1.5</x:v>
      </x:c>
      <x:c r="J978" s="24" t="str">
        <x:v>1.50</x:v>
      </x:c>
      <x:c r="K978" s="24" t="str">
        <x:v>Sem AR</x:v>
      </x:c>
      <x:c r="L978" s="40" t="n">
        <x:v>3890</x:v>
      </x:c>
      <x:c r="M978" s="24" t="str">
        <x:v>-6 a +6</x:v>
      </x:c>
      <x:c r="N978" s="24" t="str">
        <x:v>até -6</x:v>
      </x:c>
      <x:c r="O978" s="24"/>
      <x:c r="P978" s="24" t="str">
        <x:v>75/80</x:v>
      </x:c>
      <x:c r="Q978" s="24"/>
      <x:c r="R978" s="24"/>
      <x:c r="S978" s="26" t="n">
        <x:v>46024</x:v>
      </x:c>
      <x:c r="T978" s="26"/>
      <x:c r="U978" s="24" t="str">
        <x:v>ATIVA/SEM FIM INFORMADO</x:v>
      </x:c>
      <x:c r="V978" s="24"/>
      <x:c r="W978" s="24" t="n">
        <x:v>21</x:v>
      </x:c>
      <x:c r="X978" s="24" t="str">
        <x:v>tabela_rodenstock.pdf</x:v>
      </x:c>
      <x:c r="Y978" s="24" t="str">
        <x:v>alta</x:v>
      </x:c>
      <x:c r="Z978" s="24"/>
      <x:c r="AA978" s="24" t="str">
        <x:v>Rodenstock|Progressiva Freeform|Surfaçada|Progressiv Si Digital|Polarizada|1.5|1.50|Sem AR|-6 a +6|até -6||75/80|||21</x:v>
      </x:c>
    </x:row>
    <x:row r="979">
      <x:c r="A979" s="24" t="str">
        <x:v>RD-93E998335E5B</x:v>
      </x:c>
      <x:c r="B979" s="24" t="str">
        <x:v>SIM</x:v>
      </x:c>
      <x:c r="C979" s="24" t="str">
        <x:v>DISPONÍVEL</x:v>
      </x:c>
      <x:c r="D979" s="24" t="str">
        <x:v>Rodenstock</x:v>
      </x:c>
      <x:c r="E979" s="24" t="str">
        <x:v>Progressiva Freeform</x:v>
      </x:c>
      <x:c r="F979" s="24" t="str">
        <x:v>Surfaçada</x:v>
      </x:c>
      <x:c r="G979" s="24" t="str">
        <x:v>Progressiv Si Digital</x:v>
      </x:c>
      <x:c r="H979" s="24" t="str">
        <x:v>ColorMatic® 3</x:v>
      </x:c>
      <x:c r="I979" s="24" t="str">
        <x:v>1.54</x:v>
      </x:c>
      <x:c r="J979" s="24" t="str">
        <x:v>1.54</x:v>
      </x:c>
      <x:c r="K979" s="24" t="str">
        <x:v>Solitaire X-tra Clean</x:v>
      </x:c>
      <x:c r="L979" s="40" t="n">
        <x:v>5215</x:v>
      </x:c>
      <x:c r="M979" s="24" t="str">
        <x:v>-8 a +8</x:v>
      </x:c>
      <x:c r="N979" s="24" t="str">
        <x:v>até -6</x:v>
      </x:c>
      <x:c r="O979" s="24"/>
      <x:c r="P979" s="24" t="str">
        <x:v>75/80</x:v>
      </x:c>
      <x:c r="Q979" s="24"/>
      <x:c r="R979" s="24"/>
      <x:c r="S979" s="26" t="n">
        <x:v>46024</x:v>
      </x:c>
      <x:c r="T979" s="26"/>
      <x:c r="U979" s="24" t="str">
        <x:v>ATIVA/SEM FIM INFORMADO</x:v>
      </x:c>
      <x:c r="V979" s="24"/>
      <x:c r="W979" s="24" t="n">
        <x:v>21</x:v>
      </x:c>
      <x:c r="X979" s="24" t="str">
        <x:v>tabela_rodenstock.pdf</x:v>
      </x:c>
      <x:c r="Y979" s="24" t="str">
        <x:v>alta</x:v>
      </x:c>
      <x:c r="Z979" s="24"/>
      <x:c r="AA979" s="24" t="str">
        <x:v>Rodenstock|Progressiva Freeform|Surfaçada|Progressiv Si Digital|ColorMatic® 3|1.54|1.54|Solitaire X-tra Clean|-8 a +8|até -6||75/80|||21</x:v>
      </x:c>
    </x:row>
    <x:row r="980">
      <x:c r="A980" s="24" t="str">
        <x:v>RD-C478C384A80C</x:v>
      </x:c>
      <x:c r="B980" s="24" t="str">
        <x:v>SIM</x:v>
      </x:c>
      <x:c r="C980" s="24" t="str">
        <x:v>DISPONÍVEL</x:v>
      </x:c>
      <x:c r="D980" s="24" t="str">
        <x:v>Rodenstock</x:v>
      </x:c>
      <x:c r="E980" s="24" t="str">
        <x:v>Progressiva Freeform</x:v>
      </x:c>
      <x:c r="F980" s="24" t="str">
        <x:v>Surfaçada</x:v>
      </x:c>
      <x:c r="G980" s="24" t="str">
        <x:v>Progressiv Si Digital</x:v>
      </x:c>
      <x:c r="H980" s="24" t="str">
        <x:v>ColorMatic® 3</x:v>
      </x:c>
      <x:c r="I980" s="24" t="str">
        <x:v>1.54</x:v>
      </x:c>
      <x:c r="J980" s="24" t="str">
        <x:v>1.54</x:v>
      </x:c>
      <x:c r="K980" s="24" t="str">
        <x:v>Solitaire 2 Protect Balance</x:v>
      </x:c>
      <x:c r="L980" s="40" t="n">
        <x:v>5165</x:v>
      </x:c>
      <x:c r="M980" s="24" t="str">
        <x:v>-8 a +8</x:v>
      </x:c>
      <x:c r="N980" s="24" t="str">
        <x:v>até -6</x:v>
      </x:c>
      <x:c r="O980" s="24"/>
      <x:c r="P980" s="24" t="str">
        <x:v>75/80</x:v>
      </x:c>
      <x:c r="Q980" s="24"/>
      <x:c r="R980" s="24"/>
      <x:c r="S980" s="26" t="n">
        <x:v>46024</x:v>
      </x:c>
      <x:c r="T980" s="26"/>
      <x:c r="U980" s="24" t="str">
        <x:v>ATIVA/SEM FIM INFORMADO</x:v>
      </x:c>
      <x:c r="V980" s="24"/>
      <x:c r="W980" s="24" t="n">
        <x:v>21</x:v>
      </x:c>
      <x:c r="X980" s="24" t="str">
        <x:v>tabela_rodenstock.pdf</x:v>
      </x:c>
      <x:c r="Y980" s="24" t="str">
        <x:v>alta</x:v>
      </x:c>
      <x:c r="Z980" s="24"/>
      <x:c r="AA980" s="24" t="str">
        <x:v>Rodenstock|Progressiva Freeform|Surfaçada|Progressiv Si Digital|ColorMatic® 3|1.54|1.54|Solitaire 2 Protect Balance|-8 a +8|até -6||75/80|||21</x:v>
      </x:c>
    </x:row>
    <x:row r="981">
      <x:c r="A981" s="24" t="str">
        <x:v>RD-F63E7F4E2BF3</x:v>
      </x:c>
      <x:c r="B981" s="24" t="str">
        <x:v>SIM</x:v>
      </x:c>
      <x:c r="C981" s="24" t="str">
        <x:v>DISPONÍVEL</x:v>
      </x:c>
      <x:c r="D981" s="24" t="str">
        <x:v>Rodenstock</x:v>
      </x:c>
      <x:c r="E981" s="24" t="str">
        <x:v>Progressiva Freeform</x:v>
      </x:c>
      <x:c r="F981" s="24" t="str">
        <x:v>Surfaçada</x:v>
      </x:c>
      <x:c r="G981" s="24" t="str">
        <x:v>Progressiv Si Digital</x:v>
      </x:c>
      <x:c r="H981" s="24" t="str">
        <x:v>ColorMatic® 3</x:v>
      </x:c>
      <x:c r="I981" s="24" t="str">
        <x:v>1.54</x:v>
      </x:c>
      <x:c r="J981" s="24" t="str">
        <x:v>1.54</x:v>
      </x:c>
      <x:c r="K981" s="24" t="str">
        <x:v>Solitaire 2 Protect Plus</x:v>
      </x:c>
      <x:c r="L981" s="40" t="n">
        <x:v>5165</x:v>
      </x:c>
      <x:c r="M981" s="24" t="str">
        <x:v>-8 a +8</x:v>
      </x:c>
      <x:c r="N981" s="24" t="str">
        <x:v>até -6</x:v>
      </x:c>
      <x:c r="O981" s="24"/>
      <x:c r="P981" s="24" t="str">
        <x:v>75/80</x:v>
      </x:c>
      <x:c r="Q981" s="24"/>
      <x:c r="R981" s="24"/>
      <x:c r="S981" s="26" t="n">
        <x:v>46024</x:v>
      </x:c>
      <x:c r="T981" s="26"/>
      <x:c r="U981" s="24" t="str">
        <x:v>ATIVA/SEM FIM INFORMADO</x:v>
      </x:c>
      <x:c r="V981" s="24"/>
      <x:c r="W981" s="24" t="n">
        <x:v>21</x:v>
      </x:c>
      <x:c r="X981" s="24" t="str">
        <x:v>tabela_rodenstock.pdf</x:v>
      </x:c>
      <x:c r="Y981" s="24" t="str">
        <x:v>alta</x:v>
      </x:c>
      <x:c r="Z981" s="24"/>
      <x:c r="AA981" s="24" t="str">
        <x:v>Rodenstock|Progressiva Freeform|Surfaçada|Progressiv Si Digital|ColorMatic® 3|1.54|1.54|Solitaire 2 Protect Plus|-8 a +8|até -6||75/80|||21</x:v>
      </x:c>
    </x:row>
    <x:row r="982">
      <x:c r="A982" s="24" t="str">
        <x:v>RD-8597D5933F6F</x:v>
      </x:c>
      <x:c r="B982" s="24" t="str">
        <x:v>SIM</x:v>
      </x:c>
      <x:c r="C982" s="24" t="str">
        <x:v>DISPONÍVEL</x:v>
      </x:c>
      <x:c r="D982" s="24" t="str">
        <x:v>Rodenstock</x:v>
      </x:c>
      <x:c r="E982" s="24" t="str">
        <x:v>Progressiva Freeform</x:v>
      </x:c>
      <x:c r="F982" s="24" t="str">
        <x:v>Surfaçada</x:v>
      </x:c>
      <x:c r="G982" s="24" t="str">
        <x:v>Progressiv Si Digital</x:v>
      </x:c>
      <x:c r="H982" s="24" t="str">
        <x:v>ColorMatic® 3</x:v>
      </x:c>
      <x:c r="I982" s="24" t="str">
        <x:v>1.54</x:v>
      </x:c>
      <x:c r="J982" s="24" t="str">
        <x:v>1.54</x:v>
      </x:c>
      <x:c r="K982" s="24" t="str">
        <x:v>ROAD</x:v>
      </x:c>
      <x:c r="L982" s="40" t="n">
        <x:v>5165</x:v>
      </x:c>
      <x:c r="M982" s="24" t="str">
        <x:v>-8 a +8</x:v>
      </x:c>
      <x:c r="N982" s="24" t="str">
        <x:v>até -6</x:v>
      </x:c>
      <x:c r="O982" s="24"/>
      <x:c r="P982" s="24" t="str">
        <x:v>75/80</x:v>
      </x:c>
      <x:c r="Q982" s="24"/>
      <x:c r="R982" s="24"/>
      <x:c r="S982" s="26" t="n">
        <x:v>46024</x:v>
      </x:c>
      <x:c r="T982" s="26"/>
      <x:c r="U982" s="24" t="str">
        <x:v>ATIVA/SEM FIM INFORMADO</x:v>
      </x:c>
      <x:c r="V982" s="24"/>
      <x:c r="W982" s="24" t="n">
        <x:v>21</x:v>
      </x:c>
      <x:c r="X982" s="24" t="str">
        <x:v>tabela_rodenstock.pdf</x:v>
      </x:c>
      <x:c r="Y982" s="24" t="str">
        <x:v>alta</x:v>
      </x:c>
      <x:c r="Z982" s="24"/>
      <x:c r="AA982" s="24" t="str">
        <x:v>Rodenstock|Progressiva Freeform|Surfaçada|Progressiv Si Digital|ColorMatic® 3|1.54|1.54|ROAD|-8 a +8|até -6||75/80|||21</x:v>
      </x:c>
    </x:row>
    <x:row r="983">
      <x:c r="A983" s="24" t="str">
        <x:v>RD-FE7FFFB147CD</x:v>
      </x:c>
      <x:c r="B983" s="24" t="str">
        <x:v>SIM</x:v>
      </x:c>
      <x:c r="C983" s="24" t="str">
        <x:v>DISPONÍVEL</x:v>
      </x:c>
      <x:c r="D983" s="24" t="str">
        <x:v>Rodenstock</x:v>
      </x:c>
      <x:c r="E983" s="24" t="str">
        <x:v>Progressiva Freeform</x:v>
      </x:c>
      <x:c r="F983" s="24" t="str">
        <x:v>Surfaçada</x:v>
      </x:c>
      <x:c r="G983" s="24" t="str">
        <x:v>Progressiv Si Digital</x:v>
      </x:c>
      <x:c r="H983" s="24" t="str">
        <x:v>ColorMatic® 3</x:v>
      </x:c>
      <x:c r="I983" s="24" t="str">
        <x:v>1.54</x:v>
      </x:c>
      <x:c r="J983" s="24" t="str">
        <x:v>1.54</x:v>
      </x:c>
      <x:c r="K983" s="24" t="str">
        <x:v>Solitaire 2 Protect</x:v>
      </x:c>
      <x:c r="L983" s="40" t="n">
        <x:v>4905</x:v>
      </x:c>
      <x:c r="M983" s="24" t="str">
        <x:v>-8 a +8</x:v>
      </x:c>
      <x:c r="N983" s="24" t="str">
        <x:v>até -6</x:v>
      </x:c>
      <x:c r="O983" s="24"/>
      <x:c r="P983" s="24" t="str">
        <x:v>75/80</x:v>
      </x:c>
      <x:c r="Q983" s="24"/>
      <x:c r="R983" s="24"/>
      <x:c r="S983" s="26" t="n">
        <x:v>46024</x:v>
      </x:c>
      <x:c r="T983" s="26"/>
      <x:c r="U983" s="24" t="str">
        <x:v>ATIVA/SEM FIM INFORMADO</x:v>
      </x:c>
      <x:c r="V983" s="24"/>
      <x:c r="W983" s="24" t="n">
        <x:v>21</x:v>
      </x:c>
      <x:c r="X983" s="24" t="str">
        <x:v>tabela_rodenstock.pdf</x:v>
      </x:c>
      <x:c r="Y983" s="24" t="str">
        <x:v>alta</x:v>
      </x:c>
      <x:c r="Z983" s="24"/>
      <x:c r="AA983" s="24" t="str">
        <x:v>Rodenstock|Progressiva Freeform|Surfaçada|Progressiv Si Digital|ColorMatic® 3|1.54|1.54|Solitaire 2 Protect|-8 a +8|até -6||75/80|||21</x:v>
      </x:c>
    </x:row>
    <x:row r="984">
      <x:c r="A984" s="24" t="str">
        <x:v>RD-ACF708699904</x:v>
      </x:c>
      <x:c r="B984" s="24" t="str">
        <x:v>SIM</x:v>
      </x:c>
      <x:c r="C984" s="24" t="str">
        <x:v>DISPONÍVEL</x:v>
      </x:c>
      <x:c r="D984" s="24" t="str">
        <x:v>Rodenstock</x:v>
      </x:c>
      <x:c r="E984" s="24" t="str">
        <x:v>Progressiva Freeform</x:v>
      </x:c>
      <x:c r="F984" s="24" t="str">
        <x:v>Surfaçada</x:v>
      </x:c>
      <x:c r="G984" s="24" t="str">
        <x:v>Progressiv Si Digital</x:v>
      </x:c>
      <x:c r="H984" s="24" t="str">
        <x:v>ColorMatic® 3</x:v>
      </x:c>
      <x:c r="I984" s="24" t="str">
        <x:v>1.54</x:v>
      </x:c>
      <x:c r="J984" s="24" t="str">
        <x:v>1.54</x:v>
      </x:c>
      <x:c r="K984" s="24" t="str">
        <x:v>Solitaire ECO 2</x:v>
      </x:c>
      <x:c r="L984" s="40" t="n">
        <x:v>4425</x:v>
      </x:c>
      <x:c r="M984" s="24" t="str">
        <x:v>-8 a +8</x:v>
      </x:c>
      <x:c r="N984" s="24" t="str">
        <x:v>até -6</x:v>
      </x:c>
      <x:c r="O984" s="24"/>
      <x:c r="P984" s="24" t="str">
        <x:v>75/80</x:v>
      </x:c>
      <x:c r="Q984" s="24"/>
      <x:c r="R984" s="24"/>
      <x:c r="S984" s="26" t="n">
        <x:v>46024</x:v>
      </x:c>
      <x:c r="T984" s="26"/>
      <x:c r="U984" s="24" t="str">
        <x:v>ATIVA/SEM FIM INFORMADO</x:v>
      </x:c>
      <x:c r="V984" s="24"/>
      <x:c r="W984" s="24" t="n">
        <x:v>21</x:v>
      </x:c>
      <x:c r="X984" s="24" t="str">
        <x:v>tabela_rodenstock.pdf</x:v>
      </x:c>
      <x:c r="Y984" s="24" t="str">
        <x:v>alta</x:v>
      </x:c>
      <x:c r="Z984" s="24"/>
      <x:c r="AA984" s="24" t="str">
        <x:v>Rodenstock|Progressiva Freeform|Surfaçada|Progressiv Si Digital|ColorMatic® 3|1.54|1.54|Solitaire ECO 2|-8 a +8|até -6||75/80|||21</x:v>
      </x:c>
    </x:row>
    <x:row r="985">
      <x:c r="A985" s="24" t="str">
        <x:v>RD-7622B9480A65</x:v>
      </x:c>
      <x:c r="B985" s="24" t="str">
        <x:v>SIM</x:v>
      </x:c>
      <x:c r="C985" s="24" t="str">
        <x:v>DISPONÍVEL</x:v>
      </x:c>
      <x:c r="D985" s="24" t="str">
        <x:v>Rodenstock</x:v>
      </x:c>
      <x:c r="E985" s="24" t="str">
        <x:v>Progressiva Freeform</x:v>
      </x:c>
      <x:c r="F985" s="24" t="str">
        <x:v>Surfaçada</x:v>
      </x:c>
      <x:c r="G985" s="24" t="str">
        <x:v>Progressiv Si Digital</x:v>
      </x:c>
      <x:c r="H985" s="24" t="str">
        <x:v>ColorMatic® 3</x:v>
      </x:c>
      <x:c r="I985" s="24" t="str">
        <x:v>1.54</x:v>
      </x:c>
      <x:c r="J985" s="24" t="str">
        <x:v>1.54</x:v>
      </x:c>
      <x:c r="K985" s="24" t="str">
        <x:v>Sem AR</x:v>
      </x:c>
      <x:c r="L985" s="40" t="n">
        <x:v>4035</x:v>
      </x:c>
      <x:c r="M985" s="24" t="str">
        <x:v>-8 a +8</x:v>
      </x:c>
      <x:c r="N985" s="24" t="str">
        <x:v>até -6</x:v>
      </x:c>
      <x:c r="O985" s="24"/>
      <x:c r="P985" s="24" t="str">
        <x:v>75/80</x:v>
      </x:c>
      <x:c r="Q985" s="24"/>
      <x:c r="R985" s="24"/>
      <x:c r="S985" s="26" t="n">
        <x:v>46024</x:v>
      </x:c>
      <x:c r="T985" s="26"/>
      <x:c r="U985" s="24" t="str">
        <x:v>ATIVA/SEM FIM INFORMADO</x:v>
      </x:c>
      <x:c r="V985" s="24"/>
      <x:c r="W985" s="24" t="n">
        <x:v>21</x:v>
      </x:c>
      <x:c r="X985" s="24" t="str">
        <x:v>tabela_rodenstock.pdf</x:v>
      </x:c>
      <x:c r="Y985" s="24" t="str">
        <x:v>alta</x:v>
      </x:c>
      <x:c r="Z985" s="24"/>
      <x:c r="AA985" s="24" t="str">
        <x:v>Rodenstock|Progressiva Freeform|Surfaçada|Progressiv Si Digital|ColorMatic® 3|1.54|1.54|Sem AR|-8 a +8|até -6||75/80|||21</x:v>
      </x:c>
    </x:row>
    <x:row r="986">
      <x:c r="A986" s="24" t="str">
        <x:v>RD-03E3BA6B63D9</x:v>
      </x:c>
      <x:c r="B986" s="24" t="str">
        <x:v>SIM</x:v>
      </x:c>
      <x:c r="C986" s="24" t="str">
        <x:v>DISPONÍVEL</x:v>
      </x:c>
      <x:c r="D986" s="24" t="str">
        <x:v>Rodenstock</x:v>
      </x:c>
      <x:c r="E986" s="24" t="str">
        <x:v>Progressiva Freeform</x:v>
      </x:c>
      <x:c r="F986" s="24" t="str">
        <x:v>Surfaçada</x:v>
      </x:c>
      <x:c r="G986" s="24" t="str">
        <x:v>Progressiv Si Digital</x:v>
      </x:c>
      <x:c r="H986" s="24"/>
      <x:c r="I986" s="24" t="str">
        <x:v>1.6</x:v>
      </x:c>
      <x:c r="J986" s="24" t="str">
        <x:v>1.60</x:v>
      </x:c>
      <x:c r="K986" s="24" t="str">
        <x:v>Solitaire X-tra Clean</x:v>
      </x:c>
      <x:c r="L986" s="40" t="n">
        <x:v>4599</x:v>
      </x:c>
      <x:c r="M986" s="24" t="str">
        <x:v>-10 a +8</x:v>
      </x:c>
      <x:c r="N986" s="24" t="str">
        <x:v>até -6</x:v>
      </x:c>
      <x:c r="O986" s="24"/>
      <x:c r="P986" s="24" t="str">
        <x:v>75/80</x:v>
      </x:c>
      <x:c r="Q986" s="24"/>
      <x:c r="R986" s="24"/>
      <x:c r="S986" s="26" t="n">
        <x:v>46024</x:v>
      </x:c>
      <x:c r="T986" s="26"/>
      <x:c r="U986" s="24" t="str">
        <x:v>ATIVA/SEM FIM INFORMADO</x:v>
      </x:c>
      <x:c r="V986" s="24"/>
      <x:c r="W986" s="24" t="n">
        <x:v>21</x:v>
      </x:c>
      <x:c r="X986" s="24" t="str">
        <x:v>tabela_rodenstock.pdf</x:v>
      </x:c>
      <x:c r="Y986" s="24" t="str">
        <x:v>alta</x:v>
      </x:c>
      <x:c r="Z986" s="24"/>
      <x:c r="AA986" s="24" t="str">
        <x:v>Rodenstock|Progressiva Freeform|Surfaçada|Progressiv Si Digital||1.6|1.60|Solitaire X-tra Clean|-10 a +8|até -6||75/80|||21</x:v>
      </x:c>
    </x:row>
    <x:row r="987">
      <x:c r="A987" s="24" t="str">
        <x:v>RD-3C0823570013</x:v>
      </x:c>
      <x:c r="B987" s="24" t="str">
        <x:v>SIM</x:v>
      </x:c>
      <x:c r="C987" s="24" t="str">
        <x:v>DISPONÍVEL</x:v>
      </x:c>
      <x:c r="D987" s="24" t="str">
        <x:v>Rodenstock</x:v>
      </x:c>
      <x:c r="E987" s="24" t="str">
        <x:v>Progressiva Freeform</x:v>
      </x:c>
      <x:c r="F987" s="24" t="str">
        <x:v>Surfaçada</x:v>
      </x:c>
      <x:c r="G987" s="24" t="str">
        <x:v>Progressiv Si Digital</x:v>
      </x:c>
      <x:c r="H987" s="24"/>
      <x:c r="I987" s="24" t="str">
        <x:v>1.6</x:v>
      </x:c>
      <x:c r="J987" s="24" t="str">
        <x:v>1.60</x:v>
      </x:c>
      <x:c r="K987" s="24" t="str">
        <x:v>Solitaire 2 Protect Balance</x:v>
      </x:c>
      <x:c r="L987" s="40" t="n">
        <x:v>4549</x:v>
      </x:c>
      <x:c r="M987" s="24" t="str">
        <x:v>-10 a +8</x:v>
      </x:c>
      <x:c r="N987" s="24" t="str">
        <x:v>até -6</x:v>
      </x:c>
      <x:c r="O987" s="24"/>
      <x:c r="P987" s="24" t="str">
        <x:v>75/80</x:v>
      </x:c>
      <x:c r="Q987" s="24"/>
      <x:c r="R987" s="24"/>
      <x:c r="S987" s="26" t="n">
        <x:v>46024</x:v>
      </x:c>
      <x:c r="T987" s="26"/>
      <x:c r="U987" s="24" t="str">
        <x:v>ATIVA/SEM FIM INFORMADO</x:v>
      </x:c>
      <x:c r="V987" s="24"/>
      <x:c r="W987" s="24" t="n">
        <x:v>21</x:v>
      </x:c>
      <x:c r="X987" s="24" t="str">
        <x:v>tabela_rodenstock.pdf</x:v>
      </x:c>
      <x:c r="Y987" s="24" t="str">
        <x:v>alta</x:v>
      </x:c>
      <x:c r="Z987" s="24"/>
      <x:c r="AA987" s="24" t="str">
        <x:v>Rodenstock|Progressiva Freeform|Surfaçada|Progressiv Si Digital||1.6|1.60|Solitaire 2 Protect Balance|-10 a +8|até -6||75/80|||21</x:v>
      </x:c>
    </x:row>
    <x:row r="988">
      <x:c r="A988" s="24" t="str">
        <x:v>RD-3A41D822D580</x:v>
      </x:c>
      <x:c r="B988" s="24" t="str">
        <x:v>SIM</x:v>
      </x:c>
      <x:c r="C988" s="24" t="str">
        <x:v>DISPONÍVEL</x:v>
      </x:c>
      <x:c r="D988" s="24" t="str">
        <x:v>Rodenstock</x:v>
      </x:c>
      <x:c r="E988" s="24" t="str">
        <x:v>Progressiva Freeform</x:v>
      </x:c>
      <x:c r="F988" s="24" t="str">
        <x:v>Surfaçada</x:v>
      </x:c>
      <x:c r="G988" s="24" t="str">
        <x:v>Progressiv Si Digital</x:v>
      </x:c>
      <x:c r="H988" s="24"/>
      <x:c r="I988" s="24" t="str">
        <x:v>1.6</x:v>
      </x:c>
      <x:c r="J988" s="24" t="str">
        <x:v>1.60</x:v>
      </x:c>
      <x:c r="K988" s="24" t="str">
        <x:v>Solitaire 2 Protect Plus</x:v>
      </x:c>
      <x:c r="L988" s="40" t="n">
        <x:v>4549</x:v>
      </x:c>
      <x:c r="M988" s="24" t="str">
        <x:v>-10 a +8</x:v>
      </x:c>
      <x:c r="N988" s="24" t="str">
        <x:v>até -6</x:v>
      </x:c>
      <x:c r="O988" s="24"/>
      <x:c r="P988" s="24" t="str">
        <x:v>75/80</x:v>
      </x:c>
      <x:c r="Q988" s="24"/>
      <x:c r="R988" s="24"/>
      <x:c r="S988" s="26" t="n">
        <x:v>46024</x:v>
      </x:c>
      <x:c r="T988" s="26"/>
      <x:c r="U988" s="24" t="str">
        <x:v>ATIVA/SEM FIM INFORMADO</x:v>
      </x:c>
      <x:c r="V988" s="24"/>
      <x:c r="W988" s="24" t="n">
        <x:v>21</x:v>
      </x:c>
      <x:c r="X988" s="24" t="str">
        <x:v>tabela_rodenstock.pdf</x:v>
      </x:c>
      <x:c r="Y988" s="24" t="str">
        <x:v>alta</x:v>
      </x:c>
      <x:c r="Z988" s="24"/>
      <x:c r="AA988" s="24" t="str">
        <x:v>Rodenstock|Progressiva Freeform|Surfaçada|Progressiv Si Digital||1.6|1.60|Solitaire 2 Protect Plus|-10 a +8|até -6||75/80|||21</x:v>
      </x:c>
    </x:row>
    <x:row r="989">
      <x:c r="A989" s="24" t="str">
        <x:v>RD-38364D619CFA</x:v>
      </x:c>
      <x:c r="B989" s="24" t="str">
        <x:v>SIM</x:v>
      </x:c>
      <x:c r="C989" s="24" t="str">
        <x:v>DISPONÍVEL</x:v>
      </x:c>
      <x:c r="D989" s="24" t="str">
        <x:v>Rodenstock</x:v>
      </x:c>
      <x:c r="E989" s="24" t="str">
        <x:v>Progressiva Freeform</x:v>
      </x:c>
      <x:c r="F989" s="24" t="str">
        <x:v>Surfaçada</x:v>
      </x:c>
      <x:c r="G989" s="24" t="str">
        <x:v>Progressiv Si Digital</x:v>
      </x:c>
      <x:c r="H989" s="24"/>
      <x:c r="I989" s="24" t="str">
        <x:v>1.6</x:v>
      </x:c>
      <x:c r="J989" s="24" t="str">
        <x:v>1.60</x:v>
      </x:c>
      <x:c r="K989" s="24" t="str">
        <x:v>ROAD</x:v>
      </x:c>
      <x:c r="L989" s="40" t="n">
        <x:v>4549</x:v>
      </x:c>
      <x:c r="M989" s="24" t="str">
        <x:v>-10 a +8</x:v>
      </x:c>
      <x:c r="N989" s="24" t="str">
        <x:v>até -6</x:v>
      </x:c>
      <x:c r="O989" s="24"/>
      <x:c r="P989" s="24" t="str">
        <x:v>75/80</x:v>
      </x:c>
      <x:c r="Q989" s="24"/>
      <x:c r="R989" s="24"/>
      <x:c r="S989" s="26" t="n">
        <x:v>46024</x:v>
      </x:c>
      <x:c r="T989" s="26"/>
      <x:c r="U989" s="24" t="str">
        <x:v>ATIVA/SEM FIM INFORMADO</x:v>
      </x:c>
      <x:c r="V989" s="24"/>
      <x:c r="W989" s="24" t="n">
        <x:v>21</x:v>
      </x:c>
      <x:c r="X989" s="24" t="str">
        <x:v>tabela_rodenstock.pdf</x:v>
      </x:c>
      <x:c r="Y989" s="24" t="str">
        <x:v>alta</x:v>
      </x:c>
      <x:c r="Z989" s="24"/>
      <x:c r="AA989" s="24" t="str">
        <x:v>Rodenstock|Progressiva Freeform|Surfaçada|Progressiv Si Digital||1.6|1.60|ROAD|-10 a +8|até -6||75/80|||21</x:v>
      </x:c>
    </x:row>
    <x:row r="990">
      <x:c r="A990" s="24" t="str">
        <x:v>RD-4FDAD1B3B6FB</x:v>
      </x:c>
      <x:c r="B990" s="24" t="str">
        <x:v>SIM</x:v>
      </x:c>
      <x:c r="C990" s="24" t="str">
        <x:v>DISPONÍVEL</x:v>
      </x:c>
      <x:c r="D990" s="24" t="str">
        <x:v>Rodenstock</x:v>
      </x:c>
      <x:c r="E990" s="24" t="str">
        <x:v>Progressiva Freeform</x:v>
      </x:c>
      <x:c r="F990" s="24" t="str">
        <x:v>Surfaçada</x:v>
      </x:c>
      <x:c r="G990" s="24" t="str">
        <x:v>Progressiv Si Digital</x:v>
      </x:c>
      <x:c r="H990" s="24"/>
      <x:c r="I990" s="24" t="str">
        <x:v>1.6</x:v>
      </x:c>
      <x:c r="J990" s="24" t="str">
        <x:v>1.60</x:v>
      </x:c>
      <x:c r="K990" s="24" t="str">
        <x:v>Solitaire 2 Protect</x:v>
      </x:c>
      <x:c r="L990" s="40" t="n">
        <x:v>4289</x:v>
      </x:c>
      <x:c r="M990" s="24" t="str">
        <x:v>-10 a +8</x:v>
      </x:c>
      <x:c r="N990" s="24" t="str">
        <x:v>até -6</x:v>
      </x:c>
      <x:c r="O990" s="24"/>
      <x:c r="P990" s="24" t="str">
        <x:v>75/80</x:v>
      </x:c>
      <x:c r="Q990" s="24"/>
      <x:c r="R990" s="24"/>
      <x:c r="S990" s="26" t="n">
        <x:v>46024</x:v>
      </x:c>
      <x:c r="T990" s="26"/>
      <x:c r="U990" s="24" t="str">
        <x:v>ATIVA/SEM FIM INFORMADO</x:v>
      </x:c>
      <x:c r="V990" s="24"/>
      <x:c r="W990" s="24" t="n">
        <x:v>21</x:v>
      </x:c>
      <x:c r="X990" s="24" t="str">
        <x:v>tabela_rodenstock.pdf</x:v>
      </x:c>
      <x:c r="Y990" s="24" t="str">
        <x:v>alta</x:v>
      </x:c>
      <x:c r="Z990" s="24"/>
      <x:c r="AA990" s="24" t="str">
        <x:v>Rodenstock|Progressiva Freeform|Surfaçada|Progressiv Si Digital||1.6|1.60|Solitaire 2 Protect|-10 a +8|até -6||75/80|||21</x:v>
      </x:c>
    </x:row>
    <x:row r="991">
      <x:c r="A991" s="24" t="str">
        <x:v>RD-011847E7352B</x:v>
      </x:c>
      <x:c r="B991" s="24" t="str">
        <x:v>SIM</x:v>
      </x:c>
      <x:c r="C991" s="24" t="str">
        <x:v>DISPONÍVEL</x:v>
      </x:c>
      <x:c r="D991" s="24" t="str">
        <x:v>Rodenstock</x:v>
      </x:c>
      <x:c r="E991" s="24" t="str">
        <x:v>Progressiva Freeform</x:v>
      </x:c>
      <x:c r="F991" s="24" t="str">
        <x:v>Surfaçada</x:v>
      </x:c>
      <x:c r="G991" s="24" t="str">
        <x:v>Progressiv Si Digital</x:v>
      </x:c>
      <x:c r="H991" s="24"/>
      <x:c r="I991" s="24" t="str">
        <x:v>1.6</x:v>
      </x:c>
      <x:c r="J991" s="24" t="str">
        <x:v>1.60</x:v>
      </x:c>
      <x:c r="K991" s="24" t="str">
        <x:v>Solitaire ECO 2</x:v>
      </x:c>
      <x:c r="L991" s="40" t="n">
        <x:v>3809</x:v>
      </x:c>
      <x:c r="M991" s="24" t="str">
        <x:v>-10 a +8</x:v>
      </x:c>
      <x:c r="N991" s="24" t="str">
        <x:v>até -6</x:v>
      </x:c>
      <x:c r="O991" s="24"/>
      <x:c r="P991" s="24" t="str">
        <x:v>75/80</x:v>
      </x:c>
      <x:c r="Q991" s="24"/>
      <x:c r="R991" s="24"/>
      <x:c r="S991" s="26" t="n">
        <x:v>46024</x:v>
      </x:c>
      <x:c r="T991" s="26"/>
      <x:c r="U991" s="24" t="str">
        <x:v>ATIVA/SEM FIM INFORMADO</x:v>
      </x:c>
      <x:c r="V991" s="24"/>
      <x:c r="W991" s="24" t="n">
        <x:v>21</x:v>
      </x:c>
      <x:c r="X991" s="24" t="str">
        <x:v>tabela_rodenstock.pdf</x:v>
      </x:c>
      <x:c r="Y991" s="24" t="str">
        <x:v>alta</x:v>
      </x:c>
      <x:c r="Z991" s="24"/>
      <x:c r="AA991" s="24" t="str">
        <x:v>Rodenstock|Progressiva Freeform|Surfaçada|Progressiv Si Digital||1.6|1.60|Solitaire ECO 2|-10 a +8|até -6||75/80|||21</x:v>
      </x:c>
    </x:row>
    <x:row r="992">
      <x:c r="A992" s="24" t="str">
        <x:v>RD-D09C1E50A52F</x:v>
      </x:c>
      <x:c r="B992" s="24" t="str">
        <x:v>SIM</x:v>
      </x:c>
      <x:c r="C992" s="24" t="str">
        <x:v>DISPONÍVEL</x:v>
      </x:c>
      <x:c r="D992" s="24" t="str">
        <x:v>Rodenstock</x:v>
      </x:c>
      <x:c r="E992" s="24" t="str">
        <x:v>Progressiva Freeform</x:v>
      </x:c>
      <x:c r="F992" s="24" t="str">
        <x:v>Surfaçada</x:v>
      </x:c>
      <x:c r="G992" s="24" t="str">
        <x:v>Progressiv Si Digital</x:v>
      </x:c>
      <x:c r="H992" s="24" t="str">
        <x:v>ColorMatic® 3</x:v>
      </x:c>
      <x:c r="I992" s="24" t="str">
        <x:v>1.6</x:v>
      </x:c>
      <x:c r="J992" s="24" t="str">
        <x:v>1.60</x:v>
      </x:c>
      <x:c r="K992" s="24" t="str">
        <x:v>Solitaire X-tra Clean</x:v>
      </x:c>
      <x:c r="L992" s="40" t="n">
        <x:v>6238</x:v>
      </x:c>
      <x:c r="M992" s="24" t="str">
        <x:v>-10 a +8</x:v>
      </x:c>
      <x:c r="N992" s="24" t="str">
        <x:v>até -6</x:v>
      </x:c>
      <x:c r="O992" s="24"/>
      <x:c r="P992" s="24" t="str">
        <x:v>75/80</x:v>
      </x:c>
      <x:c r="Q992" s="24"/>
      <x:c r="R992" s="24"/>
      <x:c r="S992" s="26" t="n">
        <x:v>46024</x:v>
      </x:c>
      <x:c r="T992" s="26"/>
      <x:c r="U992" s="24" t="str">
        <x:v>ATIVA/SEM FIM INFORMADO</x:v>
      </x:c>
      <x:c r="V992" s="24"/>
      <x:c r="W992" s="24" t="n">
        <x:v>21</x:v>
      </x:c>
      <x:c r="X992" s="24" t="str">
        <x:v>tabela_rodenstock.pdf</x:v>
      </x:c>
      <x:c r="Y992" s="24" t="str">
        <x:v>alta</x:v>
      </x:c>
      <x:c r="Z992" s="24"/>
      <x:c r="AA992" s="24" t="str">
        <x:v>Rodenstock|Progressiva Freeform|Surfaçada|Progressiv Si Digital|ColorMatic® 3|1.6|1.60|Solitaire X-tra Clean|-10 a +8|até -6||75/80|||21</x:v>
      </x:c>
    </x:row>
    <x:row r="993">
      <x:c r="A993" s="24" t="str">
        <x:v>RD-1390FAF63D84</x:v>
      </x:c>
      <x:c r="B993" s="24" t="str">
        <x:v>SIM</x:v>
      </x:c>
      <x:c r="C993" s="24" t="str">
        <x:v>DISPONÍVEL</x:v>
      </x:c>
      <x:c r="D993" s="24" t="str">
        <x:v>Rodenstock</x:v>
      </x:c>
      <x:c r="E993" s="24" t="str">
        <x:v>Progressiva Freeform</x:v>
      </x:c>
      <x:c r="F993" s="24" t="str">
        <x:v>Surfaçada</x:v>
      </x:c>
      <x:c r="G993" s="24" t="str">
        <x:v>Progressiv Si Digital</x:v>
      </x:c>
      <x:c r="H993" s="24" t="str">
        <x:v>ColorMatic® 3</x:v>
      </x:c>
      <x:c r="I993" s="24" t="str">
        <x:v>1.6</x:v>
      </x:c>
      <x:c r="J993" s="24" t="str">
        <x:v>1.60</x:v>
      </x:c>
      <x:c r="K993" s="24" t="str">
        <x:v>Solitaire 2 Protect Balance</x:v>
      </x:c>
      <x:c r="L993" s="40" t="n">
        <x:v>6188</x:v>
      </x:c>
      <x:c r="M993" s="24" t="str">
        <x:v>-10 a +8</x:v>
      </x:c>
      <x:c r="N993" s="24" t="str">
        <x:v>até -6</x:v>
      </x:c>
      <x:c r="O993" s="24"/>
      <x:c r="P993" s="24" t="str">
        <x:v>75/80</x:v>
      </x:c>
      <x:c r="Q993" s="24"/>
      <x:c r="R993" s="24"/>
      <x:c r="S993" s="26" t="n">
        <x:v>46024</x:v>
      </x:c>
      <x:c r="T993" s="26"/>
      <x:c r="U993" s="24" t="str">
        <x:v>ATIVA/SEM FIM INFORMADO</x:v>
      </x:c>
      <x:c r="V993" s="24"/>
      <x:c r="W993" s="24" t="n">
        <x:v>21</x:v>
      </x:c>
      <x:c r="X993" s="24" t="str">
        <x:v>tabela_rodenstock.pdf</x:v>
      </x:c>
      <x:c r="Y993" s="24" t="str">
        <x:v>alta</x:v>
      </x:c>
      <x:c r="Z993" s="24"/>
      <x:c r="AA993" s="24" t="str">
        <x:v>Rodenstock|Progressiva Freeform|Surfaçada|Progressiv Si Digital|ColorMatic® 3|1.6|1.60|Solitaire 2 Protect Balance|-10 a +8|até -6||75/80|||21</x:v>
      </x:c>
    </x:row>
    <x:row r="994">
      <x:c r="A994" s="24" t="str">
        <x:v>RD-7560B2068E26</x:v>
      </x:c>
      <x:c r="B994" s="24" t="str">
        <x:v>SIM</x:v>
      </x:c>
      <x:c r="C994" s="24" t="str">
        <x:v>DISPONÍVEL</x:v>
      </x:c>
      <x:c r="D994" s="24" t="str">
        <x:v>Rodenstock</x:v>
      </x:c>
      <x:c r="E994" s="24" t="str">
        <x:v>Progressiva Freeform</x:v>
      </x:c>
      <x:c r="F994" s="24" t="str">
        <x:v>Surfaçada</x:v>
      </x:c>
      <x:c r="G994" s="24" t="str">
        <x:v>Progressiv Si Digital</x:v>
      </x:c>
      <x:c r="H994" s="24" t="str">
        <x:v>ColorMatic® 3</x:v>
      </x:c>
      <x:c r="I994" s="24" t="str">
        <x:v>1.6</x:v>
      </x:c>
      <x:c r="J994" s="24" t="str">
        <x:v>1.60</x:v>
      </x:c>
      <x:c r="K994" s="24" t="str">
        <x:v>Solitaire 2 Protect Plus</x:v>
      </x:c>
      <x:c r="L994" s="40" t="n">
        <x:v>6188</x:v>
      </x:c>
      <x:c r="M994" s="24" t="str">
        <x:v>-10 a +8</x:v>
      </x:c>
      <x:c r="N994" s="24" t="str">
        <x:v>até -6</x:v>
      </x:c>
      <x:c r="O994" s="24"/>
      <x:c r="P994" s="24" t="str">
        <x:v>75/80</x:v>
      </x:c>
      <x:c r="Q994" s="24"/>
      <x:c r="R994" s="24"/>
      <x:c r="S994" s="26" t="n">
        <x:v>46024</x:v>
      </x:c>
      <x:c r="T994" s="26"/>
      <x:c r="U994" s="24" t="str">
        <x:v>ATIVA/SEM FIM INFORMADO</x:v>
      </x:c>
      <x:c r="V994" s="24"/>
      <x:c r="W994" s="24" t="n">
        <x:v>21</x:v>
      </x:c>
      <x:c r="X994" s="24" t="str">
        <x:v>tabela_rodenstock.pdf</x:v>
      </x:c>
      <x:c r="Y994" s="24" t="str">
        <x:v>alta</x:v>
      </x:c>
      <x:c r="Z994" s="24"/>
      <x:c r="AA994" s="24" t="str">
        <x:v>Rodenstock|Progressiva Freeform|Surfaçada|Progressiv Si Digital|ColorMatic® 3|1.6|1.60|Solitaire 2 Protect Plus|-10 a +8|até -6||75/80|||21</x:v>
      </x:c>
    </x:row>
    <x:row r="995">
      <x:c r="A995" s="24" t="str">
        <x:v>RD-268D68068FEA</x:v>
      </x:c>
      <x:c r="B995" s="24" t="str">
        <x:v>SIM</x:v>
      </x:c>
      <x:c r="C995" s="24" t="str">
        <x:v>DISPONÍVEL</x:v>
      </x:c>
      <x:c r="D995" s="24" t="str">
        <x:v>Rodenstock</x:v>
      </x:c>
      <x:c r="E995" s="24" t="str">
        <x:v>Progressiva Freeform</x:v>
      </x:c>
      <x:c r="F995" s="24" t="str">
        <x:v>Surfaçada</x:v>
      </x:c>
      <x:c r="G995" s="24" t="str">
        <x:v>Progressiv Si Digital</x:v>
      </x:c>
      <x:c r="H995" s="24" t="str">
        <x:v>ColorMatic® 3</x:v>
      </x:c>
      <x:c r="I995" s="24" t="str">
        <x:v>1.6</x:v>
      </x:c>
      <x:c r="J995" s="24" t="str">
        <x:v>1.60</x:v>
      </x:c>
      <x:c r="K995" s="24" t="str">
        <x:v>ROAD</x:v>
      </x:c>
      <x:c r="L995" s="40" t="n">
        <x:v>6188</x:v>
      </x:c>
      <x:c r="M995" s="24" t="str">
        <x:v>-10 a +8</x:v>
      </x:c>
      <x:c r="N995" s="24" t="str">
        <x:v>até -6</x:v>
      </x:c>
      <x:c r="O995" s="24"/>
      <x:c r="P995" s="24" t="str">
        <x:v>75/80</x:v>
      </x:c>
      <x:c r="Q995" s="24"/>
      <x:c r="R995" s="24"/>
      <x:c r="S995" s="26" t="n">
        <x:v>46024</x:v>
      </x:c>
      <x:c r="T995" s="26"/>
      <x:c r="U995" s="24" t="str">
        <x:v>ATIVA/SEM FIM INFORMADO</x:v>
      </x:c>
      <x:c r="V995" s="24"/>
      <x:c r="W995" s="24" t="n">
        <x:v>21</x:v>
      </x:c>
      <x:c r="X995" s="24" t="str">
        <x:v>tabela_rodenstock.pdf</x:v>
      </x:c>
      <x:c r="Y995" s="24" t="str">
        <x:v>alta</x:v>
      </x:c>
      <x:c r="Z995" s="24"/>
      <x:c r="AA995" s="24" t="str">
        <x:v>Rodenstock|Progressiva Freeform|Surfaçada|Progressiv Si Digital|ColorMatic® 3|1.6|1.60|ROAD|-10 a +8|até -6||75/80|||21</x:v>
      </x:c>
    </x:row>
    <x:row r="996">
      <x:c r="A996" s="24" t="str">
        <x:v>RD-4EFE5DC3CA0A</x:v>
      </x:c>
      <x:c r="B996" s="24" t="str">
        <x:v>SIM</x:v>
      </x:c>
      <x:c r="C996" s="24" t="str">
        <x:v>DISPONÍVEL</x:v>
      </x:c>
      <x:c r="D996" s="24" t="str">
        <x:v>Rodenstock</x:v>
      </x:c>
      <x:c r="E996" s="24" t="str">
        <x:v>Progressiva Freeform</x:v>
      </x:c>
      <x:c r="F996" s="24" t="str">
        <x:v>Surfaçada</x:v>
      </x:c>
      <x:c r="G996" s="24" t="str">
        <x:v>Progressiv Si Digital</x:v>
      </x:c>
      <x:c r="H996" s="24" t="str">
        <x:v>ColorMatic® 3</x:v>
      </x:c>
      <x:c r="I996" s="24" t="str">
        <x:v>1.6</x:v>
      </x:c>
      <x:c r="J996" s="24" t="str">
        <x:v>1.60</x:v>
      </x:c>
      <x:c r="K996" s="24" t="str">
        <x:v>Solitaire 2 Protect</x:v>
      </x:c>
      <x:c r="L996" s="40" t="n">
        <x:v>5928</x:v>
      </x:c>
      <x:c r="M996" s="24" t="str">
        <x:v>-10 a +8</x:v>
      </x:c>
      <x:c r="N996" s="24" t="str">
        <x:v>até -6</x:v>
      </x:c>
      <x:c r="O996" s="24"/>
      <x:c r="P996" s="24" t="str">
        <x:v>75/80</x:v>
      </x:c>
      <x:c r="Q996" s="24"/>
      <x:c r="R996" s="24"/>
      <x:c r="S996" s="26" t="n">
        <x:v>46024</x:v>
      </x:c>
      <x:c r="T996" s="26"/>
      <x:c r="U996" s="24" t="str">
        <x:v>ATIVA/SEM FIM INFORMADO</x:v>
      </x:c>
      <x:c r="V996" s="24"/>
      <x:c r="W996" s="24" t="n">
        <x:v>21</x:v>
      </x:c>
      <x:c r="X996" s="24" t="str">
        <x:v>tabela_rodenstock.pdf</x:v>
      </x:c>
      <x:c r="Y996" s="24" t="str">
        <x:v>alta</x:v>
      </x:c>
      <x:c r="Z996" s="24"/>
      <x:c r="AA996" s="24" t="str">
        <x:v>Rodenstock|Progressiva Freeform|Surfaçada|Progressiv Si Digital|ColorMatic® 3|1.6|1.60|Solitaire 2 Protect|-10 a +8|até -6||75/80|||21</x:v>
      </x:c>
    </x:row>
    <x:row r="997">
      <x:c r="A997" s="24" t="str">
        <x:v>RD-1B88CFD290B9</x:v>
      </x:c>
      <x:c r="B997" s="24" t="str">
        <x:v>SIM</x:v>
      </x:c>
      <x:c r="C997" s="24" t="str">
        <x:v>DISPONÍVEL</x:v>
      </x:c>
      <x:c r="D997" s="24" t="str">
        <x:v>Rodenstock</x:v>
      </x:c>
      <x:c r="E997" s="24" t="str">
        <x:v>Progressiva Freeform</x:v>
      </x:c>
      <x:c r="F997" s="24" t="str">
        <x:v>Surfaçada</x:v>
      </x:c>
      <x:c r="G997" s="24" t="str">
        <x:v>Progressiv Si Digital</x:v>
      </x:c>
      <x:c r="H997" s="24" t="str">
        <x:v>ColorMatic® 3</x:v>
      </x:c>
      <x:c r="I997" s="24" t="str">
        <x:v>1.6</x:v>
      </x:c>
      <x:c r="J997" s="24" t="str">
        <x:v>1.60</x:v>
      </x:c>
      <x:c r="K997" s="24" t="str">
        <x:v>Solitaire ECO 2</x:v>
      </x:c>
      <x:c r="L997" s="40" t="n">
        <x:v>5448</x:v>
      </x:c>
      <x:c r="M997" s="24" t="str">
        <x:v>-10 a +8</x:v>
      </x:c>
      <x:c r="N997" s="24" t="str">
        <x:v>até -6</x:v>
      </x:c>
      <x:c r="O997" s="24"/>
      <x:c r="P997" s="24" t="str">
        <x:v>75/80</x:v>
      </x:c>
      <x:c r="Q997" s="24"/>
      <x:c r="R997" s="24"/>
      <x:c r="S997" s="26" t="n">
        <x:v>46024</x:v>
      </x:c>
      <x:c r="T997" s="26"/>
      <x:c r="U997" s="24" t="str">
        <x:v>ATIVA/SEM FIM INFORMADO</x:v>
      </x:c>
      <x:c r="V997" s="24"/>
      <x:c r="W997" s="24" t="n">
        <x:v>21</x:v>
      </x:c>
      <x:c r="X997" s="24" t="str">
        <x:v>tabela_rodenstock.pdf</x:v>
      </x:c>
      <x:c r="Y997" s="24" t="str">
        <x:v>alta</x:v>
      </x:c>
      <x:c r="Z997" s="24"/>
      <x:c r="AA997" s="24" t="str">
        <x:v>Rodenstock|Progressiva Freeform|Surfaçada|Progressiv Si Digital|ColorMatic® 3|1.6|1.60|Solitaire ECO 2|-10 a +8|até -6||75/80|||21</x:v>
      </x:c>
    </x:row>
    <x:row r="998">
      <x:c r="A998" s="24" t="str">
        <x:v>RD-B1C6B64A1D27</x:v>
      </x:c>
      <x:c r="B998" s="24" t="str">
        <x:v>SIM</x:v>
      </x:c>
      <x:c r="C998" s="24" t="str">
        <x:v>DISPONÍVEL</x:v>
      </x:c>
      <x:c r="D998" s="24" t="str">
        <x:v>Rodenstock</x:v>
      </x:c>
      <x:c r="E998" s="24" t="str">
        <x:v>Progressiva Freeform</x:v>
      </x:c>
      <x:c r="F998" s="24" t="str">
        <x:v>Surfaçada</x:v>
      </x:c>
      <x:c r="G998" s="24" t="str">
        <x:v>Progressiv Si Digital</x:v>
      </x:c>
      <x:c r="H998" s="24"/>
      <x:c r="I998" s="24" t="str">
        <x:v>1.67</x:v>
      </x:c>
      <x:c r="J998" s="24" t="str">
        <x:v>1.67</x:v>
      </x:c>
      <x:c r="K998" s="24" t="str">
        <x:v>Solitaire X-tra Clean</x:v>
      </x:c>
      <x:c r="L998" s="40" t="n">
        <x:v>6680</x:v>
      </x:c>
      <x:c r="M998" s="24" t="str">
        <x:v>-10 a +8</x:v>
      </x:c>
      <x:c r="N998" s="24" t="str">
        <x:v>até -6</x:v>
      </x:c>
      <x:c r="O998" s="24"/>
      <x:c r="P998" s="24" t="str">
        <x:v>75/80</x:v>
      </x:c>
      <x:c r="Q998" s="24"/>
      <x:c r="R998" s="24"/>
      <x:c r="S998" s="26" t="n">
        <x:v>46024</x:v>
      </x:c>
      <x:c r="T998" s="26"/>
      <x:c r="U998" s="24" t="str">
        <x:v>ATIVA/SEM FIM INFORMADO</x:v>
      </x:c>
      <x:c r="V998" s="24"/>
      <x:c r="W998" s="24" t="n">
        <x:v>21</x:v>
      </x:c>
      <x:c r="X998" s="24" t="str">
        <x:v>tabela_rodenstock.pdf</x:v>
      </x:c>
      <x:c r="Y998" s="24" t="str">
        <x:v>alta</x:v>
      </x:c>
      <x:c r="Z998" s="24"/>
      <x:c r="AA998" s="24" t="str">
        <x:v>Rodenstock|Progressiva Freeform|Surfaçada|Progressiv Si Digital||1.67|1.67|Solitaire X-tra Clean|-10 a +8|até -6||75/80|||21</x:v>
      </x:c>
    </x:row>
    <x:row r="999">
      <x:c r="A999" s="24" t="str">
        <x:v>RD-24CAAFA02B0F</x:v>
      </x:c>
      <x:c r="B999" s="24" t="str">
        <x:v>SIM</x:v>
      </x:c>
      <x:c r="C999" s="24" t="str">
        <x:v>DISPONÍVEL</x:v>
      </x:c>
      <x:c r="D999" s="24" t="str">
        <x:v>Rodenstock</x:v>
      </x:c>
      <x:c r="E999" s="24" t="str">
        <x:v>Progressiva Freeform</x:v>
      </x:c>
      <x:c r="F999" s="24" t="str">
        <x:v>Surfaçada</x:v>
      </x:c>
      <x:c r="G999" s="24" t="str">
        <x:v>Progressiv Si Digital</x:v>
      </x:c>
      <x:c r="H999" s="24"/>
      <x:c r="I999" s="24" t="str">
        <x:v>1.67</x:v>
      </x:c>
      <x:c r="J999" s="24" t="str">
        <x:v>1.67</x:v>
      </x:c>
      <x:c r="K999" s="24" t="str">
        <x:v>Solitaire 2 Protect Balance</x:v>
      </x:c>
      <x:c r="L999" s="40" t="n">
        <x:v>6630</x:v>
      </x:c>
      <x:c r="M999" s="24" t="str">
        <x:v>-10 a +8</x:v>
      </x:c>
      <x:c r="N999" s="24" t="str">
        <x:v>até -6</x:v>
      </x:c>
      <x:c r="O999" s="24"/>
      <x:c r="P999" s="24" t="str">
        <x:v>75/80</x:v>
      </x:c>
      <x:c r="Q999" s="24"/>
      <x:c r="R999" s="24"/>
      <x:c r="S999" s="26" t="n">
        <x:v>46024</x:v>
      </x:c>
      <x:c r="T999" s="26"/>
      <x:c r="U999" s="24" t="str">
        <x:v>ATIVA/SEM FIM INFORMADO</x:v>
      </x:c>
      <x:c r="V999" s="24"/>
      <x:c r="W999" s="24" t="n">
        <x:v>21</x:v>
      </x:c>
      <x:c r="X999" s="24" t="str">
        <x:v>tabela_rodenstock.pdf</x:v>
      </x:c>
      <x:c r="Y999" s="24" t="str">
        <x:v>alta</x:v>
      </x:c>
      <x:c r="Z999" s="24"/>
      <x:c r="AA999" s="24" t="str">
        <x:v>Rodenstock|Progressiva Freeform|Surfaçada|Progressiv Si Digital||1.67|1.67|Solitaire 2 Protect Balance|-10 a +8|até -6||75/80|||21</x:v>
      </x:c>
    </x:row>
    <x:row r="1000">
      <x:c r="A1000" s="24" t="str">
        <x:v>RD-A84924B392C7</x:v>
      </x:c>
      <x:c r="B1000" s="24" t="str">
        <x:v>SIM</x:v>
      </x:c>
      <x:c r="C1000" s="24" t="str">
        <x:v>DISPONÍVEL</x:v>
      </x:c>
      <x:c r="D1000" s="24" t="str">
        <x:v>Rodenstock</x:v>
      </x:c>
      <x:c r="E1000" s="24" t="str">
        <x:v>Progressiva Freeform</x:v>
      </x:c>
      <x:c r="F1000" s="24" t="str">
        <x:v>Surfaçada</x:v>
      </x:c>
      <x:c r="G1000" s="24" t="str">
        <x:v>Progressiv Si Digital</x:v>
      </x:c>
      <x:c r="H1000" s="24"/>
      <x:c r="I1000" s="24" t="str">
        <x:v>1.67</x:v>
      </x:c>
      <x:c r="J1000" s="24" t="str">
        <x:v>1.67</x:v>
      </x:c>
      <x:c r="K1000" s="24" t="str">
        <x:v>Solitaire 2 Protect Plus</x:v>
      </x:c>
      <x:c r="L1000" s="40" t="n">
        <x:v>6630</x:v>
      </x:c>
      <x:c r="M1000" s="24" t="str">
        <x:v>-10 a +8</x:v>
      </x:c>
      <x:c r="N1000" s="24" t="str">
        <x:v>até -6</x:v>
      </x:c>
      <x:c r="O1000" s="24"/>
      <x:c r="P1000" s="24" t="str">
        <x:v>75/80</x:v>
      </x:c>
      <x:c r="Q1000" s="24"/>
      <x:c r="R1000" s="24"/>
      <x:c r="S1000" s="26" t="n">
        <x:v>46024</x:v>
      </x:c>
      <x:c r="T1000" s="26"/>
      <x:c r="U1000" s="24" t="str">
        <x:v>ATIVA/SEM FIM INFORMADO</x:v>
      </x:c>
      <x:c r="V1000" s="24"/>
      <x:c r="W1000" s="24" t="n">
        <x:v>21</x:v>
      </x:c>
      <x:c r="X1000" s="24" t="str">
        <x:v>tabela_rodenstock.pdf</x:v>
      </x:c>
      <x:c r="Y1000" s="24" t="str">
        <x:v>alta</x:v>
      </x:c>
      <x:c r="Z1000" s="24"/>
      <x:c r="AA1000" s="24" t="str">
        <x:v>Rodenstock|Progressiva Freeform|Surfaçada|Progressiv Si Digital||1.67|1.67|Solitaire 2 Protect Plus|-10 a +8|até -6||75/80|||21</x:v>
      </x:c>
    </x:row>
    <x:row r="1001">
      <x:c r="A1001" s="24" t="str">
        <x:v>RD-E7F8D4DA0512</x:v>
      </x:c>
      <x:c r="B1001" s="24" t="str">
        <x:v>SIM</x:v>
      </x:c>
      <x:c r="C1001" s="24" t="str">
        <x:v>DISPONÍVEL</x:v>
      </x:c>
      <x:c r="D1001" s="24" t="str">
        <x:v>Rodenstock</x:v>
      </x:c>
      <x:c r="E1001" s="24" t="str">
        <x:v>Progressiva Freeform</x:v>
      </x:c>
      <x:c r="F1001" s="24" t="str">
        <x:v>Surfaçada</x:v>
      </x:c>
      <x:c r="G1001" s="24" t="str">
        <x:v>Progressiv Si Digital</x:v>
      </x:c>
      <x:c r="H1001" s="24"/>
      <x:c r="I1001" s="24" t="str">
        <x:v>1.67</x:v>
      </x:c>
      <x:c r="J1001" s="24" t="str">
        <x:v>1.67</x:v>
      </x:c>
      <x:c r="K1001" s="24" t="str">
        <x:v>ROAD</x:v>
      </x:c>
      <x:c r="L1001" s="40" t="n">
        <x:v>6630</x:v>
      </x:c>
      <x:c r="M1001" s="24" t="str">
        <x:v>-10 a +8</x:v>
      </x:c>
      <x:c r="N1001" s="24" t="str">
        <x:v>até -6</x:v>
      </x:c>
      <x:c r="O1001" s="24"/>
      <x:c r="P1001" s="24" t="str">
        <x:v>75/80</x:v>
      </x:c>
      <x:c r="Q1001" s="24"/>
      <x:c r="R1001" s="24"/>
      <x:c r="S1001" s="26" t="n">
        <x:v>46024</x:v>
      </x:c>
      <x:c r="T1001" s="26"/>
      <x:c r="U1001" s="24" t="str">
        <x:v>ATIVA/SEM FIM INFORMADO</x:v>
      </x:c>
      <x:c r="V1001" s="24"/>
      <x:c r="W1001" s="24" t="n">
        <x:v>21</x:v>
      </x:c>
      <x:c r="X1001" s="24" t="str">
        <x:v>tabela_rodenstock.pdf</x:v>
      </x:c>
      <x:c r="Y1001" s="24" t="str">
        <x:v>alta</x:v>
      </x:c>
      <x:c r="Z1001" s="24"/>
      <x:c r="AA1001" s="24" t="str">
        <x:v>Rodenstock|Progressiva Freeform|Surfaçada|Progressiv Si Digital||1.67|1.67|ROAD|-10 a +8|até -6||75/80|||21</x:v>
      </x:c>
    </x:row>
    <x:row r="1002">
      <x:c r="A1002" s="24" t="str">
        <x:v>RD-09E85FBAD2EC</x:v>
      </x:c>
      <x:c r="B1002" s="24" t="str">
        <x:v>SIM</x:v>
      </x:c>
      <x:c r="C1002" s="24" t="str">
        <x:v>DISPONÍVEL</x:v>
      </x:c>
      <x:c r="D1002" s="24" t="str">
        <x:v>Rodenstock</x:v>
      </x:c>
      <x:c r="E1002" s="24" t="str">
        <x:v>Progressiva Freeform</x:v>
      </x:c>
      <x:c r="F1002" s="24" t="str">
        <x:v>Surfaçada</x:v>
      </x:c>
      <x:c r="G1002" s="24" t="str">
        <x:v>Progressiv Si Digital</x:v>
      </x:c>
      <x:c r="H1002" s="24"/>
      <x:c r="I1002" s="24" t="str">
        <x:v>1.67</x:v>
      </x:c>
      <x:c r="J1002" s="24" t="str">
        <x:v>1.67</x:v>
      </x:c>
      <x:c r="K1002" s="24" t="str">
        <x:v>Solitaire 2 Protect</x:v>
      </x:c>
      <x:c r="L1002" s="40" t="n">
        <x:v>6370</x:v>
      </x:c>
      <x:c r="M1002" s="24" t="str">
        <x:v>-10 a +8</x:v>
      </x:c>
      <x:c r="N1002" s="24" t="str">
        <x:v>até -6</x:v>
      </x:c>
      <x:c r="O1002" s="24"/>
      <x:c r="P1002" s="24" t="str">
        <x:v>75/80</x:v>
      </x:c>
      <x:c r="Q1002" s="24"/>
      <x:c r="R1002" s="24"/>
      <x:c r="S1002" s="26" t="n">
        <x:v>46024</x:v>
      </x:c>
      <x:c r="T1002" s="26"/>
      <x:c r="U1002" s="24" t="str">
        <x:v>ATIVA/SEM FIM INFORMADO</x:v>
      </x:c>
      <x:c r="V1002" s="24"/>
      <x:c r="W1002" s="24" t="n">
        <x:v>21</x:v>
      </x:c>
      <x:c r="X1002" s="24" t="str">
        <x:v>tabela_rodenstock.pdf</x:v>
      </x:c>
      <x:c r="Y1002" s="24" t="str">
        <x:v>alta</x:v>
      </x:c>
      <x:c r="Z1002" s="24"/>
      <x:c r="AA1002" s="24" t="str">
        <x:v>Rodenstock|Progressiva Freeform|Surfaçada|Progressiv Si Digital||1.67|1.67|Solitaire 2 Protect|-10 a +8|até -6||75/80|||21</x:v>
      </x:c>
    </x:row>
    <x:row r="1003">
      <x:c r="A1003" s="24" t="str">
        <x:v>RD-FE37398D0667</x:v>
      </x:c>
      <x:c r="B1003" s="24" t="str">
        <x:v>SIM</x:v>
      </x:c>
      <x:c r="C1003" s="24" t="str">
        <x:v>DISPONÍVEL</x:v>
      </x:c>
      <x:c r="D1003" s="24" t="str">
        <x:v>Rodenstock</x:v>
      </x:c>
      <x:c r="E1003" s="24" t="str">
        <x:v>Progressiva Freeform</x:v>
      </x:c>
      <x:c r="F1003" s="24" t="str">
        <x:v>Surfaçada</x:v>
      </x:c>
      <x:c r="G1003" s="24" t="str">
        <x:v>Progressiv Si Digital</x:v>
      </x:c>
      <x:c r="H1003" s="24"/>
      <x:c r="I1003" s="24" t="str">
        <x:v>1.67</x:v>
      </x:c>
      <x:c r="J1003" s="24" t="str">
        <x:v>1.67</x:v>
      </x:c>
      <x:c r="K1003" s="24" t="str">
        <x:v>Solitaire ECO 2</x:v>
      </x:c>
      <x:c r="L1003" s="40" t="n">
        <x:v>5890</x:v>
      </x:c>
      <x:c r="M1003" s="24" t="str">
        <x:v>-10 a +8</x:v>
      </x:c>
      <x:c r="N1003" s="24" t="str">
        <x:v>até -6</x:v>
      </x:c>
      <x:c r="O1003" s="24"/>
      <x:c r="P1003" s="24" t="str">
        <x:v>75/80</x:v>
      </x:c>
      <x:c r="Q1003" s="24"/>
      <x:c r="R1003" s="24"/>
      <x:c r="S1003" s="26" t="n">
        <x:v>46024</x:v>
      </x:c>
      <x:c r="T1003" s="26"/>
      <x:c r="U1003" s="24" t="str">
        <x:v>ATIVA/SEM FIM INFORMADO</x:v>
      </x:c>
      <x:c r="V1003" s="24"/>
      <x:c r="W1003" s="24" t="n">
        <x:v>21</x:v>
      </x:c>
      <x:c r="X1003" s="24" t="str">
        <x:v>tabela_rodenstock.pdf</x:v>
      </x:c>
      <x:c r="Y1003" s="24" t="str">
        <x:v>alta</x:v>
      </x:c>
      <x:c r="Z1003" s="24"/>
      <x:c r="AA1003" s="24" t="str">
        <x:v>Rodenstock|Progressiva Freeform|Surfaçada|Progressiv Si Digital||1.67|1.67|Solitaire ECO 2|-10 a +8|até -6||75/80|||21</x:v>
      </x:c>
    </x:row>
    <x:row r="1004">
      <x:c r="A1004" s="24" t="str">
        <x:v>RD-DF507A9D0898</x:v>
      </x:c>
      <x:c r="B1004" s="24" t="str">
        <x:v>SIM</x:v>
      </x:c>
      <x:c r="C1004" s="24" t="str">
        <x:v>DISPONÍVEL</x:v>
      </x:c>
      <x:c r="D1004" s="24" t="str">
        <x:v>Rodenstock</x:v>
      </x:c>
      <x:c r="E1004" s="24" t="str">
        <x:v>Progressiva Freeform</x:v>
      </x:c>
      <x:c r="F1004" s="24" t="str">
        <x:v>Surfaçada</x:v>
      </x:c>
      <x:c r="G1004" s="24" t="str">
        <x:v>Progressiv Si Digital</x:v>
      </x:c>
      <x:c r="H1004" s="24" t="str">
        <x:v>ColorMatic® 3</x:v>
      </x:c>
      <x:c r="I1004" s="24" t="str">
        <x:v>1.67</x:v>
      </x:c>
      <x:c r="J1004" s="24" t="str">
        <x:v>1.67</x:v>
      </x:c>
      <x:c r="K1004" s="24" t="str">
        <x:v>Solitaire X-tra Clean</x:v>
      </x:c>
      <x:c r="L1004" s="40" t="n">
        <x:v>8292</x:v>
      </x:c>
      <x:c r="M1004" s="24" t="str">
        <x:v>-10 a +8</x:v>
      </x:c>
      <x:c r="N1004" s="24" t="str">
        <x:v>até -6</x:v>
      </x:c>
      <x:c r="O1004" s="24"/>
      <x:c r="P1004" s="24" t="str">
        <x:v>75/80</x:v>
      </x:c>
      <x:c r="Q1004" s="24"/>
      <x:c r="R1004" s="24"/>
      <x:c r="S1004" s="26" t="n">
        <x:v>46024</x:v>
      </x:c>
      <x:c r="T1004" s="26"/>
      <x:c r="U1004" s="24" t="str">
        <x:v>ATIVA/SEM FIM INFORMADO</x:v>
      </x:c>
      <x:c r="V1004" s="24"/>
      <x:c r="W1004" s="24" t="n">
        <x:v>21</x:v>
      </x:c>
      <x:c r="X1004" s="24" t="str">
        <x:v>tabela_rodenstock.pdf</x:v>
      </x:c>
      <x:c r="Y1004" s="24" t="str">
        <x:v>alta</x:v>
      </x:c>
      <x:c r="Z1004" s="24"/>
      <x:c r="AA1004" s="24" t="str">
        <x:v>Rodenstock|Progressiva Freeform|Surfaçada|Progressiv Si Digital|ColorMatic® 3|1.67|1.67|Solitaire X-tra Clean|-10 a +8|até -6||75/80|||21</x:v>
      </x:c>
    </x:row>
    <x:row r="1005">
      <x:c r="A1005" s="24" t="str">
        <x:v>RD-AF6EF6B4DC33</x:v>
      </x:c>
      <x:c r="B1005" s="24" t="str">
        <x:v>SIM</x:v>
      </x:c>
      <x:c r="C1005" s="24" t="str">
        <x:v>DISPONÍVEL</x:v>
      </x:c>
      <x:c r="D1005" s="24" t="str">
        <x:v>Rodenstock</x:v>
      </x:c>
      <x:c r="E1005" s="24" t="str">
        <x:v>Progressiva Freeform</x:v>
      </x:c>
      <x:c r="F1005" s="24" t="str">
        <x:v>Surfaçada</x:v>
      </x:c>
      <x:c r="G1005" s="24" t="str">
        <x:v>Progressiv Si Digital</x:v>
      </x:c>
      <x:c r="H1005" s="24" t="str">
        <x:v>ColorMatic® 3</x:v>
      </x:c>
      <x:c r="I1005" s="24" t="str">
        <x:v>1.67</x:v>
      </x:c>
      <x:c r="J1005" s="24" t="str">
        <x:v>1.67</x:v>
      </x:c>
      <x:c r="K1005" s="24" t="str">
        <x:v>Solitaire 2 Protect Balance</x:v>
      </x:c>
      <x:c r="L1005" s="40" t="n">
        <x:v>8242</x:v>
      </x:c>
      <x:c r="M1005" s="24" t="str">
        <x:v>-10 a +8</x:v>
      </x:c>
      <x:c r="N1005" s="24" t="str">
        <x:v>até -6</x:v>
      </x:c>
      <x:c r="O1005" s="24"/>
      <x:c r="P1005" s="24" t="str">
        <x:v>75/80</x:v>
      </x:c>
      <x:c r="Q1005" s="24"/>
      <x:c r="R1005" s="24"/>
      <x:c r="S1005" s="26" t="n">
        <x:v>46024</x:v>
      </x:c>
      <x:c r="T1005" s="26"/>
      <x:c r="U1005" s="24" t="str">
        <x:v>ATIVA/SEM FIM INFORMADO</x:v>
      </x:c>
      <x:c r="V1005" s="24"/>
      <x:c r="W1005" s="24" t="n">
        <x:v>21</x:v>
      </x:c>
      <x:c r="X1005" s="24" t="str">
        <x:v>tabela_rodenstock.pdf</x:v>
      </x:c>
      <x:c r="Y1005" s="24" t="str">
        <x:v>alta</x:v>
      </x:c>
      <x:c r="Z1005" s="24"/>
      <x:c r="AA1005" s="24" t="str">
        <x:v>Rodenstock|Progressiva Freeform|Surfaçada|Progressiv Si Digital|ColorMatic® 3|1.67|1.67|Solitaire 2 Protect Balance|-10 a +8|até -6||75/80|||21</x:v>
      </x:c>
    </x:row>
    <x:row r="1006">
      <x:c r="A1006" s="24" t="str">
        <x:v>RD-5EE9B6D42458</x:v>
      </x:c>
      <x:c r="B1006" s="24" t="str">
        <x:v>SIM</x:v>
      </x:c>
      <x:c r="C1006" s="24" t="str">
        <x:v>DISPONÍVEL</x:v>
      </x:c>
      <x:c r="D1006" s="24" t="str">
        <x:v>Rodenstock</x:v>
      </x:c>
      <x:c r="E1006" s="24" t="str">
        <x:v>Progressiva Freeform</x:v>
      </x:c>
      <x:c r="F1006" s="24" t="str">
        <x:v>Surfaçada</x:v>
      </x:c>
      <x:c r="G1006" s="24" t="str">
        <x:v>Progressiv Si Digital</x:v>
      </x:c>
      <x:c r="H1006" s="24" t="str">
        <x:v>ColorMatic® 3</x:v>
      </x:c>
      <x:c r="I1006" s="24" t="str">
        <x:v>1.67</x:v>
      </x:c>
      <x:c r="J1006" s="24" t="str">
        <x:v>1.67</x:v>
      </x:c>
      <x:c r="K1006" s="24" t="str">
        <x:v>Solitaire 2 Protect Plus</x:v>
      </x:c>
      <x:c r="L1006" s="40" t="n">
        <x:v>8242</x:v>
      </x:c>
      <x:c r="M1006" s="24" t="str">
        <x:v>-10 a +8</x:v>
      </x:c>
      <x:c r="N1006" s="24" t="str">
        <x:v>até -6</x:v>
      </x:c>
      <x:c r="O1006" s="24"/>
      <x:c r="P1006" s="24" t="str">
        <x:v>75/80</x:v>
      </x:c>
      <x:c r="Q1006" s="24"/>
      <x:c r="R1006" s="24"/>
      <x:c r="S1006" s="26" t="n">
        <x:v>46024</x:v>
      </x:c>
      <x:c r="T1006" s="26"/>
      <x:c r="U1006" s="24" t="str">
        <x:v>ATIVA/SEM FIM INFORMADO</x:v>
      </x:c>
      <x:c r="V1006" s="24"/>
      <x:c r="W1006" s="24" t="n">
        <x:v>21</x:v>
      </x:c>
      <x:c r="X1006" s="24" t="str">
        <x:v>tabela_rodenstock.pdf</x:v>
      </x:c>
      <x:c r="Y1006" s="24" t="str">
        <x:v>alta</x:v>
      </x:c>
      <x:c r="Z1006" s="24"/>
      <x:c r="AA1006" s="24" t="str">
        <x:v>Rodenstock|Progressiva Freeform|Surfaçada|Progressiv Si Digital|ColorMatic® 3|1.67|1.67|Solitaire 2 Protect Plus|-10 a +8|até -6||75/80|||21</x:v>
      </x:c>
    </x:row>
    <x:row r="1007">
      <x:c r="A1007" s="24" t="str">
        <x:v>RD-CBED074F0777</x:v>
      </x:c>
      <x:c r="B1007" s="24" t="str">
        <x:v>SIM</x:v>
      </x:c>
      <x:c r="C1007" s="24" t="str">
        <x:v>DISPONÍVEL</x:v>
      </x:c>
      <x:c r="D1007" s="24" t="str">
        <x:v>Rodenstock</x:v>
      </x:c>
      <x:c r="E1007" s="24" t="str">
        <x:v>Progressiva Freeform</x:v>
      </x:c>
      <x:c r="F1007" s="24" t="str">
        <x:v>Surfaçada</x:v>
      </x:c>
      <x:c r="G1007" s="24" t="str">
        <x:v>Progressiv Si Digital</x:v>
      </x:c>
      <x:c r="H1007" s="24" t="str">
        <x:v>ColorMatic® 3</x:v>
      </x:c>
      <x:c r="I1007" s="24" t="str">
        <x:v>1.67</x:v>
      </x:c>
      <x:c r="J1007" s="24" t="str">
        <x:v>1.67</x:v>
      </x:c>
      <x:c r="K1007" s="24" t="str">
        <x:v>ROAD</x:v>
      </x:c>
      <x:c r="L1007" s="40" t="n">
        <x:v>8242</x:v>
      </x:c>
      <x:c r="M1007" s="24" t="str">
        <x:v>-10 a +8</x:v>
      </x:c>
      <x:c r="N1007" s="24" t="str">
        <x:v>até -6</x:v>
      </x:c>
      <x:c r="O1007" s="24"/>
      <x:c r="P1007" s="24" t="str">
        <x:v>75/80</x:v>
      </x:c>
      <x:c r="Q1007" s="24"/>
      <x:c r="R1007" s="24"/>
      <x:c r="S1007" s="26" t="n">
        <x:v>46024</x:v>
      </x:c>
      <x:c r="T1007" s="26"/>
      <x:c r="U1007" s="24" t="str">
        <x:v>ATIVA/SEM FIM INFORMADO</x:v>
      </x:c>
      <x:c r="V1007" s="24"/>
      <x:c r="W1007" s="24" t="n">
        <x:v>21</x:v>
      </x:c>
      <x:c r="X1007" s="24" t="str">
        <x:v>tabela_rodenstock.pdf</x:v>
      </x:c>
      <x:c r="Y1007" s="24" t="str">
        <x:v>alta</x:v>
      </x:c>
      <x:c r="Z1007" s="24"/>
      <x:c r="AA1007" s="24" t="str">
        <x:v>Rodenstock|Progressiva Freeform|Surfaçada|Progressiv Si Digital|ColorMatic® 3|1.67|1.67|ROAD|-10 a +8|até -6||75/80|||21</x:v>
      </x:c>
    </x:row>
    <x:row r="1008">
      <x:c r="A1008" s="24" t="str">
        <x:v>RD-42C12936CB37</x:v>
      </x:c>
      <x:c r="B1008" s="24" t="str">
        <x:v>SIM</x:v>
      </x:c>
      <x:c r="C1008" s="24" t="str">
        <x:v>DISPONÍVEL</x:v>
      </x:c>
      <x:c r="D1008" s="24" t="str">
        <x:v>Rodenstock</x:v>
      </x:c>
      <x:c r="E1008" s="24" t="str">
        <x:v>Progressiva Freeform</x:v>
      </x:c>
      <x:c r="F1008" s="24" t="str">
        <x:v>Surfaçada</x:v>
      </x:c>
      <x:c r="G1008" s="24" t="str">
        <x:v>Progressiv Si Digital</x:v>
      </x:c>
      <x:c r="H1008" s="24" t="str">
        <x:v>ColorMatic® 3</x:v>
      </x:c>
      <x:c r="I1008" s="24" t="str">
        <x:v>1.67</x:v>
      </x:c>
      <x:c r="J1008" s="24" t="str">
        <x:v>1.67</x:v>
      </x:c>
      <x:c r="K1008" s="24" t="str">
        <x:v>Solitaire 2 Protect</x:v>
      </x:c>
      <x:c r="L1008" s="40" t="n">
        <x:v>7982</x:v>
      </x:c>
      <x:c r="M1008" s="24" t="str">
        <x:v>-10 a +8</x:v>
      </x:c>
      <x:c r="N1008" s="24" t="str">
        <x:v>até -6</x:v>
      </x:c>
      <x:c r="O1008" s="24"/>
      <x:c r="P1008" s="24" t="str">
        <x:v>75/80</x:v>
      </x:c>
      <x:c r="Q1008" s="24"/>
      <x:c r="R1008" s="24"/>
      <x:c r="S1008" s="26" t="n">
        <x:v>46024</x:v>
      </x:c>
      <x:c r="T1008" s="26"/>
      <x:c r="U1008" s="24" t="str">
        <x:v>ATIVA/SEM FIM INFORMADO</x:v>
      </x:c>
      <x:c r="V1008" s="24"/>
      <x:c r="W1008" s="24" t="n">
        <x:v>21</x:v>
      </x:c>
      <x:c r="X1008" s="24" t="str">
        <x:v>tabela_rodenstock.pdf</x:v>
      </x:c>
      <x:c r="Y1008" s="24" t="str">
        <x:v>alta</x:v>
      </x:c>
      <x:c r="Z1008" s="24"/>
      <x:c r="AA1008" s="24" t="str">
        <x:v>Rodenstock|Progressiva Freeform|Surfaçada|Progressiv Si Digital|ColorMatic® 3|1.67|1.67|Solitaire 2 Protect|-10 a +8|até -6||75/80|||21</x:v>
      </x:c>
    </x:row>
    <x:row r="1009">
      <x:c r="A1009" s="24" t="str">
        <x:v>RD-0D73C1BD9A1C</x:v>
      </x:c>
      <x:c r="B1009" s="24" t="str">
        <x:v>SIM</x:v>
      </x:c>
      <x:c r="C1009" s="24" t="str">
        <x:v>DISPONÍVEL</x:v>
      </x:c>
      <x:c r="D1009" s="24" t="str">
        <x:v>Rodenstock</x:v>
      </x:c>
      <x:c r="E1009" s="24" t="str">
        <x:v>Progressiva Freeform</x:v>
      </x:c>
      <x:c r="F1009" s="24" t="str">
        <x:v>Surfaçada</x:v>
      </x:c>
      <x:c r="G1009" s="24" t="str">
        <x:v>Progressiv Si Digital</x:v>
      </x:c>
      <x:c r="H1009" s="24" t="str">
        <x:v>ColorMatic® 3</x:v>
      </x:c>
      <x:c r="I1009" s="24" t="str">
        <x:v>1.67</x:v>
      </x:c>
      <x:c r="J1009" s="24" t="str">
        <x:v>1.67</x:v>
      </x:c>
      <x:c r="K1009" s="24" t="str">
        <x:v>Solitaire ECO 2</x:v>
      </x:c>
      <x:c r="L1009" s="40" t="n">
        <x:v>7502</x:v>
      </x:c>
      <x:c r="M1009" s="24" t="str">
        <x:v>-10 a +8</x:v>
      </x:c>
      <x:c r="N1009" s="24" t="str">
        <x:v>até -6</x:v>
      </x:c>
      <x:c r="O1009" s="24"/>
      <x:c r="P1009" s="24" t="str">
        <x:v>75/80</x:v>
      </x:c>
      <x:c r="Q1009" s="24"/>
      <x:c r="R1009" s="24"/>
      <x:c r="S1009" s="26" t="n">
        <x:v>46024</x:v>
      </x:c>
      <x:c r="T1009" s="26"/>
      <x:c r="U1009" s="24" t="str">
        <x:v>ATIVA/SEM FIM INFORMADO</x:v>
      </x:c>
      <x:c r="V1009" s="24"/>
      <x:c r="W1009" s="24" t="n">
        <x:v>21</x:v>
      </x:c>
      <x:c r="X1009" s="24" t="str">
        <x:v>tabela_rodenstock.pdf</x:v>
      </x:c>
      <x:c r="Y1009" s="24" t="str">
        <x:v>alta</x:v>
      </x:c>
      <x:c r="Z1009" s="24"/>
      <x:c r="AA1009" s="24" t="str">
        <x:v>Rodenstock|Progressiva Freeform|Surfaçada|Progressiv Si Digital|ColorMatic® 3|1.67|1.67|Solitaire ECO 2|-10 a +8|até -6||75/80|||21</x:v>
      </x:c>
    </x:row>
    <x:row r="1010">
      <x:c r="A1010" s="24" t="str">
        <x:v>RD-FE22AEFD1C72</x:v>
      </x:c>
      <x:c r="B1010" s="24" t="str">
        <x:v>SIM</x:v>
      </x:c>
      <x:c r="C1010" s="24" t="str">
        <x:v>DISPONÍVEL</x:v>
      </x:c>
      <x:c r="D1010" s="24" t="str">
        <x:v>Rodenstock</x:v>
      </x:c>
      <x:c r="E1010" s="24" t="str">
        <x:v>Monofocal Rodenstock</x:v>
      </x:c>
      <x:c r="F1010" s="24" t="str">
        <x:v>Surfaçada</x:v>
      </x:c>
      <x:c r="G1010" s="24" t="str">
        <x:v>Cosmolit Surfaçada</x:v>
      </x:c>
      <x:c r="H1010" s="24"/>
      <x:c r="I1010" s="24" t="str">
        <x:v>1.5</x:v>
      </x:c>
      <x:c r="J1010" s="24" t="str">
        <x:v>1.50</x:v>
      </x:c>
      <x:c r="K1010" s="24" t="str">
        <x:v>Solitaire X-tra Clean</x:v>
      </x:c>
      <x:c r="L1010" s="40" t="n">
        <x:v>1586</x:v>
      </x:c>
      <x:c r="M1010" s="24" t="str">
        <x:v>-8 a +8</x:v>
      </x:c>
      <x:c r="N1010" s="24" t="str">
        <x:v>até -6</x:v>
      </x:c>
      <x:c r="O1010" s="24"/>
      <x:c r="P1010" s="24" t="str">
        <x:v>75</x:v>
      </x:c>
      <x:c r="Q1010" s="24"/>
      <x:c r="R1010" s="24"/>
      <x:c r="S1010" s="26" t="n">
        <x:v>46024</x:v>
      </x:c>
      <x:c r="T1010" s="26"/>
      <x:c r="U1010" s="24" t="str">
        <x:v>ATIVA/SEM FIM INFORMADO</x:v>
      </x:c>
      <x:c r="V1010" s="24"/>
      <x:c r="W1010" s="24" t="n">
        <x:v>23</x:v>
      </x:c>
      <x:c r="X1010" s="24" t="str">
        <x:v>tabela_rodenstock.pdf</x:v>
      </x:c>
      <x:c r="Y1010" s="24" t="str">
        <x:v>alta</x:v>
      </x:c>
      <x:c r="Z1010" s="24"/>
      <x:c r="AA1010" s="24" t="str">
        <x:v>Rodenstock|Monofocal Rodenstock|Surfaçada|Cosmolit Surfaçada||1.5|1.50|Solitaire X-tra Clean|-8 a +8|até -6||75|||23</x:v>
      </x:c>
    </x:row>
    <x:row r="1011">
      <x:c r="A1011" s="24" t="str">
        <x:v>RD-FE131C1B6CB1</x:v>
      </x:c>
      <x:c r="B1011" s="24" t="str">
        <x:v>SIM</x:v>
      </x:c>
      <x:c r="C1011" s="24" t="str">
        <x:v>DISPONÍVEL</x:v>
      </x:c>
      <x:c r="D1011" s="24" t="str">
        <x:v>Rodenstock</x:v>
      </x:c>
      <x:c r="E1011" s="24" t="str">
        <x:v>Monofocal Rodenstock</x:v>
      </x:c>
      <x:c r="F1011" s="24" t="str">
        <x:v>Surfaçada</x:v>
      </x:c>
      <x:c r="G1011" s="24" t="str">
        <x:v>Cosmolit Surfaçada</x:v>
      </x:c>
      <x:c r="H1011" s="24"/>
      <x:c r="I1011" s="24" t="str">
        <x:v>1.5</x:v>
      </x:c>
      <x:c r="J1011" s="24" t="str">
        <x:v>1.50</x:v>
      </x:c>
      <x:c r="K1011" s="24" t="str">
        <x:v>Solitaire 2 Protect Balance</x:v>
      </x:c>
      <x:c r="L1011" s="40" t="n">
        <x:v>1536</x:v>
      </x:c>
      <x:c r="M1011" s="24" t="str">
        <x:v>-8 a +8</x:v>
      </x:c>
      <x:c r="N1011" s="24" t="str">
        <x:v>até -6</x:v>
      </x:c>
      <x:c r="O1011" s="24"/>
      <x:c r="P1011" s="24" t="str">
        <x:v>75</x:v>
      </x:c>
      <x:c r="Q1011" s="24"/>
      <x:c r="R1011" s="24"/>
      <x:c r="S1011" s="26" t="n">
        <x:v>46024</x:v>
      </x:c>
      <x:c r="T1011" s="26"/>
      <x:c r="U1011" s="24" t="str">
        <x:v>ATIVA/SEM FIM INFORMADO</x:v>
      </x:c>
      <x:c r="V1011" s="24"/>
      <x:c r="W1011" s="24" t="n">
        <x:v>23</x:v>
      </x:c>
      <x:c r="X1011" s="24" t="str">
        <x:v>tabela_rodenstock.pdf</x:v>
      </x:c>
      <x:c r="Y1011" s="24" t="str">
        <x:v>alta</x:v>
      </x:c>
      <x:c r="Z1011" s="24"/>
      <x:c r="AA1011" s="24" t="str">
        <x:v>Rodenstock|Monofocal Rodenstock|Surfaçada|Cosmolit Surfaçada||1.5|1.50|Solitaire 2 Protect Balance|-8 a +8|até -6||75|||23</x:v>
      </x:c>
    </x:row>
    <x:row r="1012">
      <x:c r="A1012" s="24" t="str">
        <x:v>RD-9B110C02CCA7</x:v>
      </x:c>
      <x:c r="B1012" s="24" t="str">
        <x:v>SIM</x:v>
      </x:c>
      <x:c r="C1012" s="24" t="str">
        <x:v>DISPONÍVEL</x:v>
      </x:c>
      <x:c r="D1012" s="24" t="str">
        <x:v>Rodenstock</x:v>
      </x:c>
      <x:c r="E1012" s="24" t="str">
        <x:v>Monofocal Rodenstock</x:v>
      </x:c>
      <x:c r="F1012" s="24" t="str">
        <x:v>Surfaçada</x:v>
      </x:c>
      <x:c r="G1012" s="24" t="str">
        <x:v>Cosmolit Surfaçada</x:v>
      </x:c>
      <x:c r="H1012" s="24"/>
      <x:c r="I1012" s="24" t="str">
        <x:v>1.5</x:v>
      </x:c>
      <x:c r="J1012" s="24" t="str">
        <x:v>1.50</x:v>
      </x:c>
      <x:c r="K1012" s="24" t="str">
        <x:v>Solitaire Protect Plus</x:v>
      </x:c>
      <x:c r="L1012" s="40" t="n">
        <x:v>1536</x:v>
      </x:c>
      <x:c r="M1012" s="24" t="str">
        <x:v>-8 a +8</x:v>
      </x:c>
      <x:c r="N1012" s="24" t="str">
        <x:v>até -6</x:v>
      </x:c>
      <x:c r="O1012" s="24"/>
      <x:c r="P1012" s="24" t="str">
        <x:v>75</x:v>
      </x:c>
      <x:c r="Q1012" s="24"/>
      <x:c r="R1012" s="24"/>
      <x:c r="S1012" s="26" t="n">
        <x:v>46024</x:v>
      </x:c>
      <x:c r="T1012" s="26"/>
      <x:c r="U1012" s="24" t="str">
        <x:v>ATIVA/SEM FIM INFORMADO</x:v>
      </x:c>
      <x:c r="V1012" s="24"/>
      <x:c r="W1012" s="24" t="n">
        <x:v>23</x:v>
      </x:c>
      <x:c r="X1012" s="24" t="str">
        <x:v>tabela_rodenstock.pdf</x:v>
      </x:c>
      <x:c r="Y1012" s="24" t="str">
        <x:v>alta</x:v>
      </x:c>
      <x:c r="Z1012" s="24"/>
      <x:c r="AA1012" s="24" t="str">
        <x:v>Rodenstock|Monofocal Rodenstock|Surfaçada|Cosmolit Surfaçada||1.5|1.50|Solitaire Protect Plus|-8 a +8|até -6||75|||23</x:v>
      </x:c>
    </x:row>
    <x:row r="1013">
      <x:c r="A1013" s="24" t="str">
        <x:v>RD-21A700BE4560</x:v>
      </x:c>
      <x:c r="B1013" s="24" t="str">
        <x:v>SIM</x:v>
      </x:c>
      <x:c r="C1013" s="24" t="str">
        <x:v>DISPONÍVEL</x:v>
      </x:c>
      <x:c r="D1013" s="24" t="str">
        <x:v>Rodenstock</x:v>
      </x:c>
      <x:c r="E1013" s="24" t="str">
        <x:v>Monofocal Rodenstock</x:v>
      </x:c>
      <x:c r="F1013" s="24" t="str">
        <x:v>Surfaçada</x:v>
      </x:c>
      <x:c r="G1013" s="24" t="str">
        <x:v>Cosmolit Surfaçada</x:v>
      </x:c>
      <x:c r="H1013" s="24"/>
      <x:c r="I1013" s="24" t="str">
        <x:v>1.5</x:v>
      </x:c>
      <x:c r="J1013" s="24" t="str">
        <x:v>1.50</x:v>
      </x:c>
      <x:c r="K1013" s="24" t="str">
        <x:v>ROAD</x:v>
      </x:c>
      <x:c r="L1013" s="40" t="n">
        <x:v>1536</x:v>
      </x:c>
      <x:c r="M1013" s="24" t="str">
        <x:v>-8 a +8</x:v>
      </x:c>
      <x:c r="N1013" s="24" t="str">
        <x:v>até -6</x:v>
      </x:c>
      <x:c r="O1013" s="24"/>
      <x:c r="P1013" s="24" t="str">
        <x:v>75</x:v>
      </x:c>
      <x:c r="Q1013" s="24"/>
      <x:c r="R1013" s="24"/>
      <x:c r="S1013" s="26" t="n">
        <x:v>46024</x:v>
      </x:c>
      <x:c r="T1013" s="26"/>
      <x:c r="U1013" s="24" t="str">
        <x:v>ATIVA/SEM FIM INFORMADO</x:v>
      </x:c>
      <x:c r="V1013" s="24"/>
      <x:c r="W1013" s="24" t="n">
        <x:v>23</x:v>
      </x:c>
      <x:c r="X1013" s="24" t="str">
        <x:v>tabela_rodenstock.pdf</x:v>
      </x:c>
      <x:c r="Y1013" s="24" t="str">
        <x:v>alta</x:v>
      </x:c>
      <x:c r="Z1013" s="24"/>
      <x:c r="AA1013" s="24" t="str">
        <x:v>Rodenstock|Monofocal Rodenstock|Surfaçada|Cosmolit Surfaçada||1.5|1.50|ROAD|-8 a +8|até -6||75|||23</x:v>
      </x:c>
    </x:row>
    <x:row r="1014">
      <x:c r="A1014" s="24" t="str">
        <x:v>RD-BDB9C27069D1</x:v>
      </x:c>
      <x:c r="B1014" s="24" t="str">
        <x:v>SIM</x:v>
      </x:c>
      <x:c r="C1014" s="24" t="str">
        <x:v>DISPONÍVEL</x:v>
      </x:c>
      <x:c r="D1014" s="24" t="str">
        <x:v>Rodenstock</x:v>
      </x:c>
      <x:c r="E1014" s="24" t="str">
        <x:v>Monofocal Rodenstock</x:v>
      </x:c>
      <x:c r="F1014" s="24" t="str">
        <x:v>Surfaçada</x:v>
      </x:c>
      <x:c r="G1014" s="24" t="str">
        <x:v>Cosmolit Surfaçada</x:v>
      </x:c>
      <x:c r="H1014" s="24"/>
      <x:c r="I1014" s="24" t="str">
        <x:v>1.5</x:v>
      </x:c>
      <x:c r="J1014" s="24" t="str">
        <x:v>1.50</x:v>
      </x:c>
      <x:c r="K1014" s="24" t="str">
        <x:v>Solitaire Protect</x:v>
      </x:c>
      <x:c r="L1014" s="40" t="n">
        <x:v>1276</x:v>
      </x:c>
      <x:c r="M1014" s="24" t="str">
        <x:v>-8 a +8</x:v>
      </x:c>
      <x:c r="N1014" s="24" t="str">
        <x:v>até -6</x:v>
      </x:c>
      <x:c r="O1014" s="24"/>
      <x:c r="P1014" s="24" t="str">
        <x:v>75</x:v>
      </x:c>
      <x:c r="Q1014" s="24"/>
      <x:c r="R1014" s="24"/>
      <x:c r="S1014" s="26" t="n">
        <x:v>46024</x:v>
      </x:c>
      <x:c r="T1014" s="26"/>
      <x:c r="U1014" s="24" t="str">
        <x:v>ATIVA/SEM FIM INFORMADO</x:v>
      </x:c>
      <x:c r="V1014" s="24"/>
      <x:c r="W1014" s="24" t="n">
        <x:v>23</x:v>
      </x:c>
      <x:c r="X1014" s="24" t="str">
        <x:v>tabela_rodenstock.pdf</x:v>
      </x:c>
      <x:c r="Y1014" s="24" t="str">
        <x:v>alta</x:v>
      </x:c>
      <x:c r="Z1014" s="24"/>
      <x:c r="AA1014" s="24" t="str">
        <x:v>Rodenstock|Monofocal Rodenstock|Surfaçada|Cosmolit Surfaçada||1.5|1.50|Solitaire Protect|-8 a +8|até -6||75|||23</x:v>
      </x:c>
    </x:row>
    <x:row r="1015">
      <x:c r="A1015" s="24" t="str">
        <x:v>RD-99CF38FCF740</x:v>
      </x:c>
      <x:c r="B1015" s="24" t="str">
        <x:v>SIM</x:v>
      </x:c>
      <x:c r="C1015" s="24" t="str">
        <x:v>DISPONÍVEL</x:v>
      </x:c>
      <x:c r="D1015" s="24" t="str">
        <x:v>Rodenstock</x:v>
      </x:c>
      <x:c r="E1015" s="24" t="str">
        <x:v>Monofocal Rodenstock</x:v>
      </x:c>
      <x:c r="F1015" s="24" t="str">
        <x:v>Surfaçada</x:v>
      </x:c>
      <x:c r="G1015" s="24" t="str">
        <x:v>Cosmolit Surfaçada</x:v>
      </x:c>
      <x:c r="H1015" s="24"/>
      <x:c r="I1015" s="24" t="str">
        <x:v>1.5</x:v>
      </x:c>
      <x:c r="J1015" s="24" t="str">
        <x:v>1.50</x:v>
      </x:c>
      <x:c r="K1015" s="24" t="str">
        <x:v>Solitaire ECO 2</x:v>
      </x:c>
      <x:c r="L1015" s="40" t="n">
        <x:v>796</x:v>
      </x:c>
      <x:c r="M1015" s="24" t="str">
        <x:v>-8 a +8</x:v>
      </x:c>
      <x:c r="N1015" s="24" t="str">
        <x:v>até -6</x:v>
      </x:c>
      <x:c r="O1015" s="24"/>
      <x:c r="P1015" s="24" t="str">
        <x:v>75</x:v>
      </x:c>
      <x:c r="Q1015" s="24"/>
      <x:c r="R1015" s="24"/>
      <x:c r="S1015" s="26" t="n">
        <x:v>46024</x:v>
      </x:c>
      <x:c r="T1015" s="26"/>
      <x:c r="U1015" s="24" t="str">
        <x:v>ATIVA/SEM FIM INFORMADO</x:v>
      </x:c>
      <x:c r="V1015" s="24"/>
      <x:c r="W1015" s="24" t="n">
        <x:v>23</x:v>
      </x:c>
      <x:c r="X1015" s="24" t="str">
        <x:v>tabela_rodenstock.pdf</x:v>
      </x:c>
      <x:c r="Y1015" s="24" t="str">
        <x:v>alta</x:v>
      </x:c>
      <x:c r="Z1015" s="24"/>
      <x:c r="AA1015" s="24" t="str">
        <x:v>Rodenstock|Monofocal Rodenstock|Surfaçada|Cosmolit Surfaçada||1.5|1.50|Solitaire ECO 2|-8 a +8|até -6||75|||23</x:v>
      </x:c>
    </x:row>
    <x:row r="1016">
      <x:c r="A1016" s="24" t="str">
        <x:v>RD-44FF66366D61</x:v>
      </x:c>
      <x:c r="B1016" s="24" t="str">
        <x:v>SIM</x:v>
      </x:c>
      <x:c r="C1016" s="24" t="str">
        <x:v>DISPONÍVEL</x:v>
      </x:c>
      <x:c r="D1016" s="24" t="str">
        <x:v>Rodenstock</x:v>
      </x:c>
      <x:c r="E1016" s="24" t="str">
        <x:v>Monofocal Rodenstock</x:v>
      </x:c>
      <x:c r="F1016" s="24" t="str">
        <x:v>Surfaçada</x:v>
      </x:c>
      <x:c r="G1016" s="24" t="str">
        <x:v>Cosmolit Surfaçada</x:v>
      </x:c>
      <x:c r="H1016" s="24"/>
      <x:c r="I1016" s="24" t="str">
        <x:v>1.5</x:v>
      </x:c>
      <x:c r="J1016" s="24" t="str">
        <x:v>1.50</x:v>
      </x:c>
      <x:c r="K1016" s="24" t="str">
        <x:v>Sem AR</x:v>
      </x:c>
      <x:c r="L1016" s="40" t="n">
        <x:v>406</x:v>
      </x:c>
      <x:c r="M1016" s="24" t="str">
        <x:v>-8 a +8</x:v>
      </x:c>
      <x:c r="N1016" s="24" t="str">
        <x:v>até -6</x:v>
      </x:c>
      <x:c r="O1016" s="24"/>
      <x:c r="P1016" s="24" t="str">
        <x:v>75</x:v>
      </x:c>
      <x:c r="Q1016" s="24"/>
      <x:c r="R1016" s="24"/>
      <x:c r="S1016" s="26" t="n">
        <x:v>46024</x:v>
      </x:c>
      <x:c r="T1016" s="26"/>
      <x:c r="U1016" s="24" t="str">
        <x:v>ATIVA/SEM FIM INFORMADO</x:v>
      </x:c>
      <x:c r="V1016" s="24"/>
      <x:c r="W1016" s="24" t="n">
        <x:v>23</x:v>
      </x:c>
      <x:c r="X1016" s="24" t="str">
        <x:v>tabela_rodenstock.pdf</x:v>
      </x:c>
      <x:c r="Y1016" s="24" t="str">
        <x:v>alta</x:v>
      </x:c>
      <x:c r="Z1016" s="24"/>
      <x:c r="AA1016" s="24" t="str">
        <x:v>Rodenstock|Monofocal Rodenstock|Surfaçada|Cosmolit Surfaçada||1.5|1.50|Sem AR|-8 a +8|até -6||75|||23</x:v>
      </x:c>
    </x:row>
    <x:row r="1017">
      <x:c r="A1017" s="24" t="str">
        <x:v>RD-4B64FD24C23C</x:v>
      </x:c>
      <x:c r="B1017" s="24" t="str">
        <x:v>SIM</x:v>
      </x:c>
      <x:c r="C1017" s="24" t="str">
        <x:v>DISPONÍVEL</x:v>
      </x:c>
      <x:c r="D1017" s="24" t="str">
        <x:v>Rodenstock</x:v>
      </x:c>
      <x:c r="E1017" s="24" t="str">
        <x:v>Monofocal Rodenstock</x:v>
      </x:c>
      <x:c r="F1017" s="24" t="str">
        <x:v>Surfaçada</x:v>
      </x:c>
      <x:c r="G1017" s="24" t="str">
        <x:v>Cosmolit Surfaçada</x:v>
      </x:c>
      <x:c r="H1017" s="24" t="str">
        <x:v>Polarizada</x:v>
      </x:c>
      <x:c r="I1017" s="24" t="str">
        <x:v>1.5</x:v>
      </x:c>
      <x:c r="J1017" s="24" t="str">
        <x:v>1.50</x:v>
      </x:c>
      <x:c r="K1017" s="24" t="str">
        <x:v>Solitaire X-tra Clean</x:v>
      </x:c>
      <x:c r="L1017" s="40" t="n">
        <x:v>2613</x:v>
      </x:c>
      <x:c r="M1017" s="24" t="str">
        <x:v>-8 a +8</x:v>
      </x:c>
      <x:c r="N1017" s="24" t="str">
        <x:v>até -6</x:v>
      </x:c>
      <x:c r="O1017" s="24"/>
      <x:c r="P1017" s="24" t="str">
        <x:v>75</x:v>
      </x:c>
      <x:c r="Q1017" s="24"/>
      <x:c r="R1017" s="24"/>
      <x:c r="S1017" s="26" t="n">
        <x:v>46024</x:v>
      </x:c>
      <x:c r="T1017" s="26"/>
      <x:c r="U1017" s="24" t="str">
        <x:v>ATIVA/SEM FIM INFORMADO</x:v>
      </x:c>
      <x:c r="V1017" s="24"/>
      <x:c r="W1017" s="24" t="n">
        <x:v>23</x:v>
      </x:c>
      <x:c r="X1017" s="24" t="str">
        <x:v>tabela_rodenstock.pdf</x:v>
      </x:c>
      <x:c r="Y1017" s="24" t="str">
        <x:v>alta</x:v>
      </x:c>
      <x:c r="Z1017" s="24"/>
      <x:c r="AA1017" s="24" t="str">
        <x:v>Rodenstock|Monofocal Rodenstock|Surfaçada|Cosmolit Surfaçada|Polarizada|1.5|1.50|Solitaire X-tra Clean|-8 a +8|até -6||75|||23</x:v>
      </x:c>
    </x:row>
    <x:row r="1018">
      <x:c r="A1018" s="24" t="str">
        <x:v>RD-CFB214D9B946</x:v>
      </x:c>
      <x:c r="B1018" s="24" t="str">
        <x:v>SIM</x:v>
      </x:c>
      <x:c r="C1018" s="24" t="str">
        <x:v>DISPONÍVEL</x:v>
      </x:c>
      <x:c r="D1018" s="24" t="str">
        <x:v>Rodenstock</x:v>
      </x:c>
      <x:c r="E1018" s="24" t="str">
        <x:v>Monofocal Rodenstock</x:v>
      </x:c>
      <x:c r="F1018" s="24" t="str">
        <x:v>Surfaçada</x:v>
      </x:c>
      <x:c r="G1018" s="24" t="str">
        <x:v>Cosmolit Surfaçada</x:v>
      </x:c>
      <x:c r="H1018" s="24" t="str">
        <x:v>Polarizada</x:v>
      </x:c>
      <x:c r="I1018" s="24" t="str">
        <x:v>1.5</x:v>
      </x:c>
      <x:c r="J1018" s="24" t="str">
        <x:v>1.50</x:v>
      </x:c>
      <x:c r="K1018" s="24" t="str">
        <x:v>Solitaire 2 Protect Balance</x:v>
      </x:c>
      <x:c r="L1018" s="40" t="n">
        <x:v>2563</x:v>
      </x:c>
      <x:c r="M1018" s="24" t="str">
        <x:v>-8 a +8</x:v>
      </x:c>
      <x:c r="N1018" s="24" t="str">
        <x:v>até -6</x:v>
      </x:c>
      <x:c r="O1018" s="24"/>
      <x:c r="P1018" s="24" t="str">
        <x:v>75</x:v>
      </x:c>
      <x:c r="Q1018" s="24"/>
      <x:c r="R1018" s="24"/>
      <x:c r="S1018" s="26" t="n">
        <x:v>46024</x:v>
      </x:c>
      <x:c r="T1018" s="26"/>
      <x:c r="U1018" s="24" t="str">
        <x:v>ATIVA/SEM FIM INFORMADO</x:v>
      </x:c>
      <x:c r="V1018" s="24"/>
      <x:c r="W1018" s="24" t="n">
        <x:v>23</x:v>
      </x:c>
      <x:c r="X1018" s="24" t="str">
        <x:v>tabela_rodenstock.pdf</x:v>
      </x:c>
      <x:c r="Y1018" s="24" t="str">
        <x:v>alta</x:v>
      </x:c>
      <x:c r="Z1018" s="24"/>
      <x:c r="AA1018" s="24" t="str">
        <x:v>Rodenstock|Monofocal Rodenstock|Surfaçada|Cosmolit Surfaçada|Polarizada|1.5|1.50|Solitaire 2 Protect Balance|-8 a +8|até -6||75|||23</x:v>
      </x:c>
    </x:row>
    <x:row r="1019">
      <x:c r="A1019" s="24" t="str">
        <x:v>RD-1918819C366F</x:v>
      </x:c>
      <x:c r="B1019" s="24" t="str">
        <x:v>SIM</x:v>
      </x:c>
      <x:c r="C1019" s="24" t="str">
        <x:v>DISPONÍVEL</x:v>
      </x:c>
      <x:c r="D1019" s="24" t="str">
        <x:v>Rodenstock</x:v>
      </x:c>
      <x:c r="E1019" s="24" t="str">
        <x:v>Monofocal Rodenstock</x:v>
      </x:c>
      <x:c r="F1019" s="24" t="str">
        <x:v>Surfaçada</x:v>
      </x:c>
      <x:c r="G1019" s="24" t="str">
        <x:v>Cosmolit Surfaçada</x:v>
      </x:c>
      <x:c r="H1019" s="24" t="str">
        <x:v>Polarizada</x:v>
      </x:c>
      <x:c r="I1019" s="24" t="str">
        <x:v>1.5</x:v>
      </x:c>
      <x:c r="J1019" s="24" t="str">
        <x:v>1.50</x:v>
      </x:c>
      <x:c r="K1019" s="24" t="str">
        <x:v>Solitaire Protect Plus</x:v>
      </x:c>
      <x:c r="L1019" s="40" t="n">
        <x:v>2563</x:v>
      </x:c>
      <x:c r="M1019" s="24" t="str">
        <x:v>-8 a +8</x:v>
      </x:c>
      <x:c r="N1019" s="24" t="str">
        <x:v>até -6</x:v>
      </x:c>
      <x:c r="O1019" s="24"/>
      <x:c r="P1019" s="24" t="str">
        <x:v>75</x:v>
      </x:c>
      <x:c r="Q1019" s="24"/>
      <x:c r="R1019" s="24"/>
      <x:c r="S1019" s="26" t="n">
        <x:v>46024</x:v>
      </x:c>
      <x:c r="T1019" s="26"/>
      <x:c r="U1019" s="24" t="str">
        <x:v>ATIVA/SEM FIM INFORMADO</x:v>
      </x:c>
      <x:c r="V1019" s="24"/>
      <x:c r="W1019" s="24" t="n">
        <x:v>23</x:v>
      </x:c>
      <x:c r="X1019" s="24" t="str">
        <x:v>tabela_rodenstock.pdf</x:v>
      </x:c>
      <x:c r="Y1019" s="24" t="str">
        <x:v>alta</x:v>
      </x:c>
      <x:c r="Z1019" s="24"/>
      <x:c r="AA1019" s="24" t="str">
        <x:v>Rodenstock|Monofocal Rodenstock|Surfaçada|Cosmolit Surfaçada|Polarizada|1.5|1.50|Solitaire Protect Plus|-8 a +8|até -6||75|||23</x:v>
      </x:c>
    </x:row>
    <x:row r="1020">
      <x:c r="A1020" s="24" t="str">
        <x:v>RD-3D36BE0A3EC9</x:v>
      </x:c>
      <x:c r="B1020" s="24" t="str">
        <x:v>SIM</x:v>
      </x:c>
      <x:c r="C1020" s="24" t="str">
        <x:v>DISPONÍVEL</x:v>
      </x:c>
      <x:c r="D1020" s="24" t="str">
        <x:v>Rodenstock</x:v>
      </x:c>
      <x:c r="E1020" s="24" t="str">
        <x:v>Monofocal Rodenstock</x:v>
      </x:c>
      <x:c r="F1020" s="24" t="str">
        <x:v>Surfaçada</x:v>
      </x:c>
      <x:c r="G1020" s="24" t="str">
        <x:v>Cosmolit Surfaçada</x:v>
      </x:c>
      <x:c r="H1020" s="24" t="str">
        <x:v>Polarizada</x:v>
      </x:c>
      <x:c r="I1020" s="24" t="str">
        <x:v>1.5</x:v>
      </x:c>
      <x:c r="J1020" s="24" t="str">
        <x:v>1.50</x:v>
      </x:c>
      <x:c r="K1020" s="24" t="str">
        <x:v>ROAD</x:v>
      </x:c>
      <x:c r="L1020" s="40" t="n">
        <x:v>2563</x:v>
      </x:c>
      <x:c r="M1020" s="24" t="str">
        <x:v>-8 a +8</x:v>
      </x:c>
      <x:c r="N1020" s="24" t="str">
        <x:v>até -6</x:v>
      </x:c>
      <x:c r="O1020" s="24"/>
      <x:c r="P1020" s="24" t="str">
        <x:v>75</x:v>
      </x:c>
      <x:c r="Q1020" s="24"/>
      <x:c r="R1020" s="24"/>
      <x:c r="S1020" s="26" t="n">
        <x:v>46024</x:v>
      </x:c>
      <x:c r="T1020" s="26"/>
      <x:c r="U1020" s="24" t="str">
        <x:v>ATIVA/SEM FIM INFORMADO</x:v>
      </x:c>
      <x:c r="V1020" s="24"/>
      <x:c r="W1020" s="24" t="n">
        <x:v>23</x:v>
      </x:c>
      <x:c r="X1020" s="24" t="str">
        <x:v>tabela_rodenstock.pdf</x:v>
      </x:c>
      <x:c r="Y1020" s="24" t="str">
        <x:v>alta</x:v>
      </x:c>
      <x:c r="Z1020" s="24"/>
      <x:c r="AA1020" s="24" t="str">
        <x:v>Rodenstock|Monofocal Rodenstock|Surfaçada|Cosmolit Surfaçada|Polarizada|1.5|1.50|ROAD|-8 a +8|até -6||75|||23</x:v>
      </x:c>
    </x:row>
    <x:row r="1021">
      <x:c r="A1021" s="24" t="str">
        <x:v>RD-81218B3FC161</x:v>
      </x:c>
      <x:c r="B1021" s="24" t="str">
        <x:v>SIM</x:v>
      </x:c>
      <x:c r="C1021" s="24" t="str">
        <x:v>DISPONÍVEL</x:v>
      </x:c>
      <x:c r="D1021" s="24" t="str">
        <x:v>Rodenstock</x:v>
      </x:c>
      <x:c r="E1021" s="24" t="str">
        <x:v>Monofocal Rodenstock</x:v>
      </x:c>
      <x:c r="F1021" s="24" t="str">
        <x:v>Surfaçada</x:v>
      </x:c>
      <x:c r="G1021" s="24" t="str">
        <x:v>Cosmolit Surfaçada</x:v>
      </x:c>
      <x:c r="H1021" s="24" t="str">
        <x:v>Polarizada</x:v>
      </x:c>
      <x:c r="I1021" s="24" t="str">
        <x:v>1.5</x:v>
      </x:c>
      <x:c r="J1021" s="24" t="str">
        <x:v>1.50</x:v>
      </x:c>
      <x:c r="K1021" s="24" t="str">
        <x:v>Solitaire Protect</x:v>
      </x:c>
      <x:c r="L1021" s="40" t="n">
        <x:v>2303</x:v>
      </x:c>
      <x:c r="M1021" s="24" t="str">
        <x:v>-8 a +8</x:v>
      </x:c>
      <x:c r="N1021" s="24" t="str">
        <x:v>até -6</x:v>
      </x:c>
      <x:c r="O1021" s="24"/>
      <x:c r="P1021" s="24" t="str">
        <x:v>75</x:v>
      </x:c>
      <x:c r="Q1021" s="24"/>
      <x:c r="R1021" s="24"/>
      <x:c r="S1021" s="26" t="n">
        <x:v>46024</x:v>
      </x:c>
      <x:c r="T1021" s="26"/>
      <x:c r="U1021" s="24" t="str">
        <x:v>ATIVA/SEM FIM INFORMADO</x:v>
      </x:c>
      <x:c r="V1021" s="24"/>
      <x:c r="W1021" s="24" t="n">
        <x:v>23</x:v>
      </x:c>
      <x:c r="X1021" s="24" t="str">
        <x:v>tabela_rodenstock.pdf</x:v>
      </x:c>
      <x:c r="Y1021" s="24" t="str">
        <x:v>alta</x:v>
      </x:c>
      <x:c r="Z1021" s="24"/>
      <x:c r="AA1021" s="24" t="str">
        <x:v>Rodenstock|Monofocal Rodenstock|Surfaçada|Cosmolit Surfaçada|Polarizada|1.5|1.50|Solitaire Protect|-8 a +8|até -6||75|||23</x:v>
      </x:c>
    </x:row>
    <x:row r="1022">
      <x:c r="A1022" s="24" t="str">
        <x:v>RD-FA3426D58490</x:v>
      </x:c>
      <x:c r="B1022" s="24" t="str">
        <x:v>SIM</x:v>
      </x:c>
      <x:c r="C1022" s="24" t="str">
        <x:v>DISPONÍVEL</x:v>
      </x:c>
      <x:c r="D1022" s="24" t="str">
        <x:v>Rodenstock</x:v>
      </x:c>
      <x:c r="E1022" s="24" t="str">
        <x:v>Monofocal Rodenstock</x:v>
      </x:c>
      <x:c r="F1022" s="24" t="str">
        <x:v>Surfaçada</x:v>
      </x:c>
      <x:c r="G1022" s="24" t="str">
        <x:v>Cosmolit Surfaçada</x:v>
      </x:c>
      <x:c r="H1022" s="24" t="str">
        <x:v>Polarizada</x:v>
      </x:c>
      <x:c r="I1022" s="24" t="str">
        <x:v>1.5</x:v>
      </x:c>
      <x:c r="J1022" s="24" t="str">
        <x:v>1.50</x:v>
      </x:c>
      <x:c r="K1022" s="24" t="str">
        <x:v>Solitaire ECO 2</x:v>
      </x:c>
      <x:c r="L1022" s="40" t="n">
        <x:v>1823</x:v>
      </x:c>
      <x:c r="M1022" s="24" t="str">
        <x:v>-8 a +8</x:v>
      </x:c>
      <x:c r="N1022" s="24" t="str">
        <x:v>até -6</x:v>
      </x:c>
      <x:c r="O1022" s="24"/>
      <x:c r="P1022" s="24" t="str">
        <x:v>75</x:v>
      </x:c>
      <x:c r="Q1022" s="24"/>
      <x:c r="R1022" s="24"/>
      <x:c r="S1022" s="26" t="n">
        <x:v>46024</x:v>
      </x:c>
      <x:c r="T1022" s="26"/>
      <x:c r="U1022" s="24" t="str">
        <x:v>ATIVA/SEM FIM INFORMADO</x:v>
      </x:c>
      <x:c r="V1022" s="24"/>
      <x:c r="W1022" s="24" t="n">
        <x:v>23</x:v>
      </x:c>
      <x:c r="X1022" s="24" t="str">
        <x:v>tabela_rodenstock.pdf</x:v>
      </x:c>
      <x:c r="Y1022" s="24" t="str">
        <x:v>alta</x:v>
      </x:c>
      <x:c r="Z1022" s="24"/>
      <x:c r="AA1022" s="24" t="str">
        <x:v>Rodenstock|Monofocal Rodenstock|Surfaçada|Cosmolit Surfaçada|Polarizada|1.5|1.50|Solitaire ECO 2|-8 a +8|até -6||75|||23</x:v>
      </x:c>
    </x:row>
    <x:row r="1023">
      <x:c r="A1023" s="24" t="str">
        <x:v>RD-2A09E7C39C98</x:v>
      </x:c>
      <x:c r="B1023" s="24" t="str">
        <x:v>SIM</x:v>
      </x:c>
      <x:c r="C1023" s="24" t="str">
        <x:v>DISPONÍVEL</x:v>
      </x:c>
      <x:c r="D1023" s="24" t="str">
        <x:v>Rodenstock</x:v>
      </x:c>
      <x:c r="E1023" s="24" t="str">
        <x:v>Monofocal Rodenstock</x:v>
      </x:c>
      <x:c r="F1023" s="24" t="str">
        <x:v>Surfaçada</x:v>
      </x:c>
      <x:c r="G1023" s="24" t="str">
        <x:v>Cosmolit Surfaçada</x:v>
      </x:c>
      <x:c r="H1023" s="24" t="str">
        <x:v>Polarizada</x:v>
      </x:c>
      <x:c r="I1023" s="24" t="str">
        <x:v>1.5</x:v>
      </x:c>
      <x:c r="J1023" s="24" t="str">
        <x:v>1.50</x:v>
      </x:c>
      <x:c r="K1023" s="24" t="str">
        <x:v>Sem AR</x:v>
      </x:c>
      <x:c r="L1023" s="40" t="n">
        <x:v>1433</x:v>
      </x:c>
      <x:c r="M1023" s="24" t="str">
        <x:v>-8 a +8</x:v>
      </x:c>
      <x:c r="N1023" s="24" t="str">
        <x:v>até -6</x:v>
      </x:c>
      <x:c r="O1023" s="24"/>
      <x:c r="P1023" s="24" t="str">
        <x:v>75</x:v>
      </x:c>
      <x:c r="Q1023" s="24"/>
      <x:c r="R1023" s="24"/>
      <x:c r="S1023" s="26" t="n">
        <x:v>46024</x:v>
      </x:c>
      <x:c r="T1023" s="26"/>
      <x:c r="U1023" s="24" t="str">
        <x:v>ATIVA/SEM FIM INFORMADO</x:v>
      </x:c>
      <x:c r="V1023" s="24"/>
      <x:c r="W1023" s="24" t="n">
        <x:v>23</x:v>
      </x:c>
      <x:c r="X1023" s="24" t="str">
        <x:v>tabela_rodenstock.pdf</x:v>
      </x:c>
      <x:c r="Y1023" s="24" t="str">
        <x:v>alta</x:v>
      </x:c>
      <x:c r="Z1023" s="24"/>
      <x:c r="AA1023" s="24" t="str">
        <x:v>Rodenstock|Monofocal Rodenstock|Surfaçada|Cosmolit Surfaçada|Polarizada|1.5|1.50|Sem AR|-8 a +8|até -6||75|||23</x:v>
      </x:c>
    </x:row>
    <x:row r="1024">
      <x:c r="A1024" s="24" t="str">
        <x:v>RD-E88D46AD67DF</x:v>
      </x:c>
      <x:c r="B1024" s="24" t="str">
        <x:v>SIM</x:v>
      </x:c>
      <x:c r="C1024" s="24" t="str">
        <x:v>DISPONÍVEL</x:v>
      </x:c>
      <x:c r="D1024" s="24" t="str">
        <x:v>Rodenstock</x:v>
      </x:c>
      <x:c r="E1024" s="24" t="str">
        <x:v>Monofocal Rodenstock</x:v>
      </x:c>
      <x:c r="F1024" s="24" t="str">
        <x:v>Surfaçada</x:v>
      </x:c>
      <x:c r="G1024" s="24" t="str">
        <x:v>Cosmolit Surfaçada</x:v>
      </x:c>
      <x:c r="H1024" s="24" t="str">
        <x:v>ColorMatic® 3</x:v>
      </x:c>
      <x:c r="I1024" s="24" t="str">
        <x:v>1.54</x:v>
      </x:c>
      <x:c r="J1024" s="24" t="str">
        <x:v>1.54</x:v>
      </x:c>
      <x:c r="K1024" s="24" t="str">
        <x:v>Solitaire X-tra Clean</x:v>
      </x:c>
      <x:c r="L1024" s="40" t="n">
        <x:v>2753</x:v>
      </x:c>
      <x:c r="M1024" s="24" t="str">
        <x:v>-8 a +8</x:v>
      </x:c>
      <x:c r="N1024" s="24" t="str">
        <x:v>até -6</x:v>
      </x:c>
      <x:c r="O1024" s="24"/>
      <x:c r="P1024" s="24" t="str">
        <x:v>75</x:v>
      </x:c>
      <x:c r="Q1024" s="24"/>
      <x:c r="R1024" s="24"/>
      <x:c r="S1024" s="26" t="n">
        <x:v>46024</x:v>
      </x:c>
      <x:c r="T1024" s="26"/>
      <x:c r="U1024" s="24" t="str">
        <x:v>ATIVA/SEM FIM INFORMADO</x:v>
      </x:c>
      <x:c r="V1024" s="24"/>
      <x:c r="W1024" s="24" t="n">
        <x:v>23</x:v>
      </x:c>
      <x:c r="X1024" s="24" t="str">
        <x:v>tabela_rodenstock.pdf</x:v>
      </x:c>
      <x:c r="Y1024" s="24" t="str">
        <x:v>alta</x:v>
      </x:c>
      <x:c r="Z1024" s="24"/>
      <x:c r="AA1024" s="24" t="str">
        <x:v>Rodenstock|Monofocal Rodenstock|Surfaçada|Cosmolit Surfaçada|ColorMatic® 3|1.54|1.54|Solitaire X-tra Clean|-8 a +8|até -6||75|||23</x:v>
      </x:c>
    </x:row>
    <x:row r="1025">
      <x:c r="A1025" s="24" t="str">
        <x:v>RD-5289AF282FC3</x:v>
      </x:c>
      <x:c r="B1025" s="24" t="str">
        <x:v>SIM</x:v>
      </x:c>
      <x:c r="C1025" s="24" t="str">
        <x:v>DISPONÍVEL</x:v>
      </x:c>
      <x:c r="D1025" s="24" t="str">
        <x:v>Rodenstock</x:v>
      </x:c>
      <x:c r="E1025" s="24" t="str">
        <x:v>Monofocal Rodenstock</x:v>
      </x:c>
      <x:c r="F1025" s="24" t="str">
        <x:v>Surfaçada</x:v>
      </x:c>
      <x:c r="G1025" s="24" t="str">
        <x:v>Cosmolit Surfaçada</x:v>
      </x:c>
      <x:c r="H1025" s="24" t="str">
        <x:v>ColorMatic® 3</x:v>
      </x:c>
      <x:c r="I1025" s="24" t="str">
        <x:v>1.54</x:v>
      </x:c>
      <x:c r="J1025" s="24" t="str">
        <x:v>1.54</x:v>
      </x:c>
      <x:c r="K1025" s="24" t="str">
        <x:v>Solitaire 2 Protect Balance</x:v>
      </x:c>
      <x:c r="L1025" s="40" t="n">
        <x:v>2703</x:v>
      </x:c>
      <x:c r="M1025" s="24" t="str">
        <x:v>-8 a +8</x:v>
      </x:c>
      <x:c r="N1025" s="24" t="str">
        <x:v>até -6</x:v>
      </x:c>
      <x:c r="O1025" s="24"/>
      <x:c r="P1025" s="24" t="str">
        <x:v>75</x:v>
      </x:c>
      <x:c r="Q1025" s="24"/>
      <x:c r="R1025" s="24"/>
      <x:c r="S1025" s="26" t="n">
        <x:v>46024</x:v>
      </x:c>
      <x:c r="T1025" s="26"/>
      <x:c r="U1025" s="24" t="str">
        <x:v>ATIVA/SEM FIM INFORMADO</x:v>
      </x:c>
      <x:c r="V1025" s="24"/>
      <x:c r="W1025" s="24" t="n">
        <x:v>23</x:v>
      </x:c>
      <x:c r="X1025" s="24" t="str">
        <x:v>tabela_rodenstock.pdf</x:v>
      </x:c>
      <x:c r="Y1025" s="24" t="str">
        <x:v>alta</x:v>
      </x:c>
      <x:c r="Z1025" s="24"/>
      <x:c r="AA1025" s="24" t="str">
        <x:v>Rodenstock|Monofocal Rodenstock|Surfaçada|Cosmolit Surfaçada|ColorMatic® 3|1.54|1.54|Solitaire 2 Protect Balance|-8 a +8|até -6||75|||23</x:v>
      </x:c>
    </x:row>
    <x:row r="1026">
      <x:c r="A1026" s="24" t="str">
        <x:v>RD-8505EA511278</x:v>
      </x:c>
      <x:c r="B1026" s="24" t="str">
        <x:v>SIM</x:v>
      </x:c>
      <x:c r="C1026" s="24" t="str">
        <x:v>DISPONÍVEL</x:v>
      </x:c>
      <x:c r="D1026" s="24" t="str">
        <x:v>Rodenstock</x:v>
      </x:c>
      <x:c r="E1026" s="24" t="str">
        <x:v>Monofocal Rodenstock</x:v>
      </x:c>
      <x:c r="F1026" s="24" t="str">
        <x:v>Surfaçada</x:v>
      </x:c>
      <x:c r="G1026" s="24" t="str">
        <x:v>Cosmolit Surfaçada</x:v>
      </x:c>
      <x:c r="H1026" s="24" t="str">
        <x:v>ColorMatic® 3</x:v>
      </x:c>
      <x:c r="I1026" s="24" t="str">
        <x:v>1.54</x:v>
      </x:c>
      <x:c r="J1026" s="24" t="str">
        <x:v>1.54</x:v>
      </x:c>
      <x:c r="K1026" s="24" t="str">
        <x:v>Solitaire Protect Plus</x:v>
      </x:c>
      <x:c r="L1026" s="40" t="n">
        <x:v>2703</x:v>
      </x:c>
      <x:c r="M1026" s="24" t="str">
        <x:v>-8 a +8</x:v>
      </x:c>
      <x:c r="N1026" s="24" t="str">
        <x:v>até -6</x:v>
      </x:c>
      <x:c r="O1026" s="24"/>
      <x:c r="P1026" s="24" t="str">
        <x:v>75</x:v>
      </x:c>
      <x:c r="Q1026" s="24"/>
      <x:c r="R1026" s="24"/>
      <x:c r="S1026" s="26" t="n">
        <x:v>46024</x:v>
      </x:c>
      <x:c r="T1026" s="26"/>
      <x:c r="U1026" s="24" t="str">
        <x:v>ATIVA/SEM FIM INFORMADO</x:v>
      </x:c>
      <x:c r="V1026" s="24"/>
      <x:c r="W1026" s="24" t="n">
        <x:v>23</x:v>
      </x:c>
      <x:c r="X1026" s="24" t="str">
        <x:v>tabela_rodenstock.pdf</x:v>
      </x:c>
      <x:c r="Y1026" s="24" t="str">
        <x:v>alta</x:v>
      </x:c>
      <x:c r="Z1026" s="24"/>
      <x:c r="AA1026" s="24" t="str">
        <x:v>Rodenstock|Monofocal Rodenstock|Surfaçada|Cosmolit Surfaçada|ColorMatic® 3|1.54|1.54|Solitaire Protect Plus|-8 a +8|até -6||75|||23</x:v>
      </x:c>
    </x:row>
    <x:row r="1027">
      <x:c r="A1027" s="24" t="str">
        <x:v>RD-C0B5B4EAECA6</x:v>
      </x:c>
      <x:c r="B1027" s="24" t="str">
        <x:v>SIM</x:v>
      </x:c>
      <x:c r="C1027" s="24" t="str">
        <x:v>DISPONÍVEL</x:v>
      </x:c>
      <x:c r="D1027" s="24" t="str">
        <x:v>Rodenstock</x:v>
      </x:c>
      <x:c r="E1027" s="24" t="str">
        <x:v>Monofocal Rodenstock</x:v>
      </x:c>
      <x:c r="F1027" s="24" t="str">
        <x:v>Surfaçada</x:v>
      </x:c>
      <x:c r="G1027" s="24" t="str">
        <x:v>Cosmolit Surfaçada</x:v>
      </x:c>
      <x:c r="H1027" s="24" t="str">
        <x:v>ColorMatic® 3</x:v>
      </x:c>
      <x:c r="I1027" s="24" t="str">
        <x:v>1.54</x:v>
      </x:c>
      <x:c r="J1027" s="24" t="str">
        <x:v>1.54</x:v>
      </x:c>
      <x:c r="K1027" s="24" t="str">
        <x:v>ROAD</x:v>
      </x:c>
      <x:c r="L1027" s="40" t="n">
        <x:v>2703</x:v>
      </x:c>
      <x:c r="M1027" s="24" t="str">
        <x:v>-8 a +8</x:v>
      </x:c>
      <x:c r="N1027" s="24" t="str">
        <x:v>até -6</x:v>
      </x:c>
      <x:c r="O1027" s="24"/>
      <x:c r="P1027" s="24" t="str">
        <x:v>75</x:v>
      </x:c>
      <x:c r="Q1027" s="24"/>
      <x:c r="R1027" s="24"/>
      <x:c r="S1027" s="26" t="n">
        <x:v>46024</x:v>
      </x:c>
      <x:c r="T1027" s="26"/>
      <x:c r="U1027" s="24" t="str">
        <x:v>ATIVA/SEM FIM INFORMADO</x:v>
      </x:c>
      <x:c r="V1027" s="24"/>
      <x:c r="W1027" s="24" t="n">
        <x:v>23</x:v>
      </x:c>
      <x:c r="X1027" s="24" t="str">
        <x:v>tabela_rodenstock.pdf</x:v>
      </x:c>
      <x:c r="Y1027" s="24" t="str">
        <x:v>alta</x:v>
      </x:c>
      <x:c r="Z1027" s="24"/>
      <x:c r="AA1027" s="24" t="str">
        <x:v>Rodenstock|Monofocal Rodenstock|Surfaçada|Cosmolit Surfaçada|ColorMatic® 3|1.54|1.54|ROAD|-8 a +8|até -6||75|||23</x:v>
      </x:c>
    </x:row>
    <x:row r="1028">
      <x:c r="A1028" s="24" t="str">
        <x:v>RD-B3750F8418BD</x:v>
      </x:c>
      <x:c r="B1028" s="24" t="str">
        <x:v>SIM</x:v>
      </x:c>
      <x:c r="C1028" s="24" t="str">
        <x:v>DISPONÍVEL</x:v>
      </x:c>
      <x:c r="D1028" s="24" t="str">
        <x:v>Rodenstock</x:v>
      </x:c>
      <x:c r="E1028" s="24" t="str">
        <x:v>Monofocal Rodenstock</x:v>
      </x:c>
      <x:c r="F1028" s="24" t="str">
        <x:v>Surfaçada</x:v>
      </x:c>
      <x:c r="G1028" s="24" t="str">
        <x:v>Cosmolit Surfaçada</x:v>
      </x:c>
      <x:c r="H1028" s="24" t="str">
        <x:v>ColorMatic® 3</x:v>
      </x:c>
      <x:c r="I1028" s="24" t="str">
        <x:v>1.54</x:v>
      </x:c>
      <x:c r="J1028" s="24" t="str">
        <x:v>1.54</x:v>
      </x:c>
      <x:c r="K1028" s="24" t="str">
        <x:v>Solitaire Protect</x:v>
      </x:c>
      <x:c r="L1028" s="40" t="n">
        <x:v>2443</x:v>
      </x:c>
      <x:c r="M1028" s="24" t="str">
        <x:v>-8 a +8</x:v>
      </x:c>
      <x:c r="N1028" s="24" t="str">
        <x:v>até -6</x:v>
      </x:c>
      <x:c r="O1028" s="24"/>
      <x:c r="P1028" s="24" t="str">
        <x:v>75</x:v>
      </x:c>
      <x:c r="Q1028" s="24"/>
      <x:c r="R1028" s="24"/>
      <x:c r="S1028" s="26" t="n">
        <x:v>46024</x:v>
      </x:c>
      <x:c r="T1028" s="26"/>
      <x:c r="U1028" s="24" t="str">
        <x:v>ATIVA/SEM FIM INFORMADO</x:v>
      </x:c>
      <x:c r="V1028" s="24"/>
      <x:c r="W1028" s="24" t="n">
        <x:v>23</x:v>
      </x:c>
      <x:c r="X1028" s="24" t="str">
        <x:v>tabela_rodenstock.pdf</x:v>
      </x:c>
      <x:c r="Y1028" s="24" t="str">
        <x:v>alta</x:v>
      </x:c>
      <x:c r="Z1028" s="24"/>
      <x:c r="AA1028" s="24" t="str">
        <x:v>Rodenstock|Monofocal Rodenstock|Surfaçada|Cosmolit Surfaçada|ColorMatic® 3|1.54|1.54|Solitaire Protect|-8 a +8|até -6||75|||23</x:v>
      </x:c>
    </x:row>
    <x:row r="1029">
      <x:c r="A1029" s="24" t="str">
        <x:v>RD-C4EBB000F8F3</x:v>
      </x:c>
      <x:c r="B1029" s="24" t="str">
        <x:v>SIM</x:v>
      </x:c>
      <x:c r="C1029" s="24" t="str">
        <x:v>DISPONÍVEL</x:v>
      </x:c>
      <x:c r="D1029" s="24" t="str">
        <x:v>Rodenstock</x:v>
      </x:c>
      <x:c r="E1029" s="24" t="str">
        <x:v>Monofocal Rodenstock</x:v>
      </x:c>
      <x:c r="F1029" s="24" t="str">
        <x:v>Surfaçada</x:v>
      </x:c>
      <x:c r="G1029" s="24" t="str">
        <x:v>Cosmolit Surfaçada</x:v>
      </x:c>
      <x:c r="H1029" s="24" t="str">
        <x:v>ColorMatic® 3</x:v>
      </x:c>
      <x:c r="I1029" s="24" t="str">
        <x:v>1.54</x:v>
      </x:c>
      <x:c r="J1029" s="24" t="str">
        <x:v>1.54</x:v>
      </x:c>
      <x:c r="K1029" s="24" t="str">
        <x:v>Sem AR</x:v>
      </x:c>
      <x:c r="L1029" s="40" t="n">
        <x:v>1573</x:v>
      </x:c>
      <x:c r="M1029" s="24" t="str">
        <x:v>-8 a +8</x:v>
      </x:c>
      <x:c r="N1029" s="24" t="str">
        <x:v>até -6</x:v>
      </x:c>
      <x:c r="O1029" s="24"/>
      <x:c r="P1029" s="24" t="str">
        <x:v>75</x:v>
      </x:c>
      <x:c r="Q1029" s="24"/>
      <x:c r="R1029" s="24"/>
      <x:c r="S1029" s="26" t="n">
        <x:v>46024</x:v>
      </x:c>
      <x:c r="T1029" s="26"/>
      <x:c r="U1029" s="24" t="str">
        <x:v>ATIVA/SEM FIM INFORMADO</x:v>
      </x:c>
      <x:c r="V1029" s="24"/>
      <x:c r="W1029" s="24" t="n">
        <x:v>23</x:v>
      </x:c>
      <x:c r="X1029" s="24" t="str">
        <x:v>tabela_rodenstock.pdf</x:v>
      </x:c>
      <x:c r="Y1029" s="24" t="str">
        <x:v>alta</x:v>
      </x:c>
      <x:c r="Z1029" s="24"/>
      <x:c r="AA1029" s="24" t="str">
        <x:v>Rodenstock|Monofocal Rodenstock|Surfaçada|Cosmolit Surfaçada|ColorMatic® 3|1.54|1.54|Sem AR|-8 a +8|até -6||75|||23</x:v>
      </x:c>
    </x:row>
    <x:row r="1030">
      <x:c r="A1030" s="24" t="str">
        <x:v>RD-3989C0A2A549</x:v>
      </x:c>
      <x:c r="B1030" s="24" t="str">
        <x:v>SIM</x:v>
      </x:c>
      <x:c r="C1030" s="24" t="str">
        <x:v>DISPONÍVEL</x:v>
      </x:c>
      <x:c r="D1030" s="24" t="str">
        <x:v>Rodenstock</x:v>
      </x:c>
      <x:c r="E1030" s="24" t="str">
        <x:v>Monofocal Rodenstock</x:v>
      </x:c>
      <x:c r="F1030" s="24" t="str">
        <x:v>Surfaçada</x:v>
      </x:c>
      <x:c r="G1030" s="24" t="str">
        <x:v>Cosmolit Surfaçada</x:v>
      </x:c>
      <x:c r="H1030" s="24"/>
      <x:c r="I1030" s="24" t="str">
        <x:v>1.6</x:v>
      </x:c>
      <x:c r="J1030" s="24" t="str">
        <x:v>1.60</x:v>
      </x:c>
      <x:c r="K1030" s="24" t="str">
        <x:v>Solitaire X-tra Clean</x:v>
      </x:c>
      <x:c r="L1030" s="40" t="n">
        <x:v>2071</x:v>
      </x:c>
      <x:c r="M1030" s="24" t="str">
        <x:v>-10 a +10</x:v>
      </x:c>
      <x:c r="N1030" s="24" t="str">
        <x:v>até -6</x:v>
      </x:c>
      <x:c r="O1030" s="24"/>
      <x:c r="P1030" s="24" t="str">
        <x:v>75</x:v>
      </x:c>
      <x:c r="Q1030" s="24"/>
      <x:c r="R1030" s="24"/>
      <x:c r="S1030" s="26" t="n">
        <x:v>46024</x:v>
      </x:c>
      <x:c r="T1030" s="26"/>
      <x:c r="U1030" s="24" t="str">
        <x:v>ATIVA/SEM FIM INFORMADO</x:v>
      </x:c>
      <x:c r="V1030" s="24"/>
      <x:c r="W1030" s="24" t="n">
        <x:v>23</x:v>
      </x:c>
      <x:c r="X1030" s="24" t="str">
        <x:v>tabela_rodenstock.pdf</x:v>
      </x:c>
      <x:c r="Y1030" s="24" t="str">
        <x:v>alta</x:v>
      </x:c>
      <x:c r="Z1030" s="24"/>
      <x:c r="AA1030" s="24" t="str">
        <x:v>Rodenstock|Monofocal Rodenstock|Surfaçada|Cosmolit Surfaçada||1.6|1.60|Solitaire X-tra Clean|-10 a +10|até -6||75|||23</x:v>
      </x:c>
    </x:row>
    <x:row r="1031">
      <x:c r="A1031" s="24" t="str">
        <x:v>RD-DF5B570543F2</x:v>
      </x:c>
      <x:c r="B1031" s="24" t="str">
        <x:v>SIM</x:v>
      </x:c>
      <x:c r="C1031" s="24" t="str">
        <x:v>DISPONÍVEL</x:v>
      </x:c>
      <x:c r="D1031" s="24" t="str">
        <x:v>Rodenstock</x:v>
      </x:c>
      <x:c r="E1031" s="24" t="str">
        <x:v>Monofocal Rodenstock</x:v>
      </x:c>
      <x:c r="F1031" s="24" t="str">
        <x:v>Surfaçada</x:v>
      </x:c>
      <x:c r="G1031" s="24" t="str">
        <x:v>Cosmolit Surfaçada</x:v>
      </x:c>
      <x:c r="H1031" s="24"/>
      <x:c r="I1031" s="24" t="str">
        <x:v>1.6</x:v>
      </x:c>
      <x:c r="J1031" s="24" t="str">
        <x:v>1.60</x:v>
      </x:c>
      <x:c r="K1031" s="24" t="str">
        <x:v>Solitaire 2 Protect Balance</x:v>
      </x:c>
      <x:c r="L1031" s="40" t="n">
        <x:v>2021</x:v>
      </x:c>
      <x:c r="M1031" s="24" t="str">
        <x:v>-10 a +10</x:v>
      </x:c>
      <x:c r="N1031" s="24" t="str">
        <x:v>até -6</x:v>
      </x:c>
      <x:c r="O1031" s="24"/>
      <x:c r="P1031" s="24" t="str">
        <x:v>75</x:v>
      </x:c>
      <x:c r="Q1031" s="24"/>
      <x:c r="R1031" s="24"/>
      <x:c r="S1031" s="26" t="n">
        <x:v>46024</x:v>
      </x:c>
      <x:c r="T1031" s="26"/>
      <x:c r="U1031" s="24" t="str">
        <x:v>ATIVA/SEM FIM INFORMADO</x:v>
      </x:c>
      <x:c r="V1031" s="24"/>
      <x:c r="W1031" s="24" t="n">
        <x:v>23</x:v>
      </x:c>
      <x:c r="X1031" s="24" t="str">
        <x:v>tabela_rodenstock.pdf</x:v>
      </x:c>
      <x:c r="Y1031" s="24" t="str">
        <x:v>alta</x:v>
      </x:c>
      <x:c r="Z1031" s="24"/>
      <x:c r="AA1031" s="24" t="str">
        <x:v>Rodenstock|Monofocal Rodenstock|Surfaçada|Cosmolit Surfaçada||1.6|1.60|Solitaire 2 Protect Balance|-10 a +10|até -6||75|||23</x:v>
      </x:c>
    </x:row>
    <x:row r="1032">
      <x:c r="A1032" s="24" t="str">
        <x:v>RD-386701FFA12F</x:v>
      </x:c>
      <x:c r="B1032" s="24" t="str">
        <x:v>SIM</x:v>
      </x:c>
      <x:c r="C1032" s="24" t="str">
        <x:v>DISPONÍVEL</x:v>
      </x:c>
      <x:c r="D1032" s="24" t="str">
        <x:v>Rodenstock</x:v>
      </x:c>
      <x:c r="E1032" s="24" t="str">
        <x:v>Monofocal Rodenstock</x:v>
      </x:c>
      <x:c r="F1032" s="24" t="str">
        <x:v>Surfaçada</x:v>
      </x:c>
      <x:c r="G1032" s="24" t="str">
        <x:v>Cosmolit Surfaçada</x:v>
      </x:c>
      <x:c r="H1032" s="24"/>
      <x:c r="I1032" s="24" t="str">
        <x:v>1.6</x:v>
      </x:c>
      <x:c r="J1032" s="24" t="str">
        <x:v>1.60</x:v>
      </x:c>
      <x:c r="K1032" s="24" t="str">
        <x:v>Solitaire Protect Plus</x:v>
      </x:c>
      <x:c r="L1032" s="40" t="n">
        <x:v>2021</x:v>
      </x:c>
      <x:c r="M1032" s="24" t="str">
        <x:v>-10 a +10</x:v>
      </x:c>
      <x:c r="N1032" s="24" t="str">
        <x:v>até -6</x:v>
      </x:c>
      <x:c r="O1032" s="24"/>
      <x:c r="P1032" s="24" t="str">
        <x:v>75</x:v>
      </x:c>
      <x:c r="Q1032" s="24"/>
      <x:c r="R1032" s="24"/>
      <x:c r="S1032" s="26" t="n">
        <x:v>46024</x:v>
      </x:c>
      <x:c r="T1032" s="26"/>
      <x:c r="U1032" s="24" t="str">
        <x:v>ATIVA/SEM FIM INFORMADO</x:v>
      </x:c>
      <x:c r="V1032" s="24"/>
      <x:c r="W1032" s="24" t="n">
        <x:v>23</x:v>
      </x:c>
      <x:c r="X1032" s="24" t="str">
        <x:v>tabela_rodenstock.pdf</x:v>
      </x:c>
      <x:c r="Y1032" s="24" t="str">
        <x:v>alta</x:v>
      </x:c>
      <x:c r="Z1032" s="24"/>
      <x:c r="AA1032" s="24" t="str">
        <x:v>Rodenstock|Monofocal Rodenstock|Surfaçada|Cosmolit Surfaçada||1.6|1.60|Solitaire Protect Plus|-10 a +10|até -6||75|||23</x:v>
      </x:c>
    </x:row>
    <x:row r="1033">
      <x:c r="A1033" s="24" t="str">
        <x:v>RD-1BCF5DAF1B04</x:v>
      </x:c>
      <x:c r="B1033" s="24" t="str">
        <x:v>SIM</x:v>
      </x:c>
      <x:c r="C1033" s="24" t="str">
        <x:v>DISPONÍVEL</x:v>
      </x:c>
      <x:c r="D1033" s="24" t="str">
        <x:v>Rodenstock</x:v>
      </x:c>
      <x:c r="E1033" s="24" t="str">
        <x:v>Monofocal Rodenstock</x:v>
      </x:c>
      <x:c r="F1033" s="24" t="str">
        <x:v>Surfaçada</x:v>
      </x:c>
      <x:c r="G1033" s="24" t="str">
        <x:v>Cosmolit Surfaçada</x:v>
      </x:c>
      <x:c r="H1033" s="24"/>
      <x:c r="I1033" s="24" t="str">
        <x:v>1.6</x:v>
      </x:c>
      <x:c r="J1033" s="24" t="str">
        <x:v>1.60</x:v>
      </x:c>
      <x:c r="K1033" s="24" t="str">
        <x:v>ROAD</x:v>
      </x:c>
      <x:c r="L1033" s="40" t="n">
        <x:v>2021</x:v>
      </x:c>
      <x:c r="M1033" s="24" t="str">
        <x:v>-10 a +10</x:v>
      </x:c>
      <x:c r="N1033" s="24" t="str">
        <x:v>até -6</x:v>
      </x:c>
      <x:c r="O1033" s="24"/>
      <x:c r="P1033" s="24" t="str">
        <x:v>75</x:v>
      </x:c>
      <x:c r="Q1033" s="24"/>
      <x:c r="R1033" s="24"/>
      <x:c r="S1033" s="26" t="n">
        <x:v>46024</x:v>
      </x:c>
      <x:c r="T1033" s="26"/>
      <x:c r="U1033" s="24" t="str">
        <x:v>ATIVA/SEM FIM INFORMADO</x:v>
      </x:c>
      <x:c r="V1033" s="24"/>
      <x:c r="W1033" s="24" t="n">
        <x:v>23</x:v>
      </x:c>
      <x:c r="X1033" s="24" t="str">
        <x:v>tabela_rodenstock.pdf</x:v>
      </x:c>
      <x:c r="Y1033" s="24" t="str">
        <x:v>alta</x:v>
      </x:c>
      <x:c r="Z1033" s="24"/>
      <x:c r="AA1033" s="24" t="str">
        <x:v>Rodenstock|Monofocal Rodenstock|Surfaçada|Cosmolit Surfaçada||1.6|1.60|ROAD|-10 a +10|até -6||75|||23</x:v>
      </x:c>
    </x:row>
    <x:row r="1034">
      <x:c r="A1034" s="24" t="str">
        <x:v>RD-28274125CB7B</x:v>
      </x:c>
      <x:c r="B1034" s="24" t="str">
        <x:v>SIM</x:v>
      </x:c>
      <x:c r="C1034" s="24" t="str">
        <x:v>DISPONÍVEL</x:v>
      </x:c>
      <x:c r="D1034" s="24" t="str">
        <x:v>Rodenstock</x:v>
      </x:c>
      <x:c r="E1034" s="24" t="str">
        <x:v>Monofocal Rodenstock</x:v>
      </x:c>
      <x:c r="F1034" s="24" t="str">
        <x:v>Surfaçada</x:v>
      </x:c>
      <x:c r="G1034" s="24" t="str">
        <x:v>Cosmolit Surfaçada</x:v>
      </x:c>
      <x:c r="H1034" s="24"/>
      <x:c r="I1034" s="24" t="str">
        <x:v>1.6</x:v>
      </x:c>
      <x:c r="J1034" s="24" t="str">
        <x:v>1.60</x:v>
      </x:c>
      <x:c r="K1034" s="24" t="str">
        <x:v>Solitaire Protect</x:v>
      </x:c>
      <x:c r="L1034" s="40" t="n">
        <x:v>1761</x:v>
      </x:c>
      <x:c r="M1034" s="24" t="str">
        <x:v>-10 a +10</x:v>
      </x:c>
      <x:c r="N1034" s="24" t="str">
        <x:v>até -6</x:v>
      </x:c>
      <x:c r="O1034" s="24"/>
      <x:c r="P1034" s="24" t="str">
        <x:v>75</x:v>
      </x:c>
      <x:c r="Q1034" s="24"/>
      <x:c r="R1034" s="24"/>
      <x:c r="S1034" s="26" t="n">
        <x:v>46024</x:v>
      </x:c>
      <x:c r="T1034" s="26"/>
      <x:c r="U1034" s="24" t="str">
        <x:v>ATIVA/SEM FIM INFORMADO</x:v>
      </x:c>
      <x:c r="V1034" s="24"/>
      <x:c r="W1034" s="24" t="n">
        <x:v>23</x:v>
      </x:c>
      <x:c r="X1034" s="24" t="str">
        <x:v>tabela_rodenstock.pdf</x:v>
      </x:c>
      <x:c r="Y1034" s="24" t="str">
        <x:v>alta</x:v>
      </x:c>
      <x:c r="Z1034" s="24"/>
      <x:c r="AA1034" s="24" t="str">
        <x:v>Rodenstock|Monofocal Rodenstock|Surfaçada|Cosmolit Surfaçada||1.6|1.60|Solitaire Protect|-10 a +10|até -6||75|||23</x:v>
      </x:c>
    </x:row>
    <x:row r="1035">
      <x:c r="A1035" s="24" t="str">
        <x:v>RD-F90BED996346</x:v>
      </x:c>
      <x:c r="B1035" s="24" t="str">
        <x:v>SIM</x:v>
      </x:c>
      <x:c r="C1035" s="24" t="str">
        <x:v>DISPONÍVEL</x:v>
      </x:c>
      <x:c r="D1035" s="24" t="str">
        <x:v>Rodenstock</x:v>
      </x:c>
      <x:c r="E1035" s="24" t="str">
        <x:v>Monofocal Rodenstock</x:v>
      </x:c>
      <x:c r="F1035" s="24" t="str">
        <x:v>Surfaçada</x:v>
      </x:c>
      <x:c r="G1035" s="24" t="str">
        <x:v>Cosmolit Surfaçada</x:v>
      </x:c>
      <x:c r="H1035" s="24"/>
      <x:c r="I1035" s="24" t="str">
        <x:v>1.6</x:v>
      </x:c>
      <x:c r="J1035" s="24" t="str">
        <x:v>1.60</x:v>
      </x:c>
      <x:c r="K1035" s="24" t="str">
        <x:v>Solitaire ECO 2</x:v>
      </x:c>
      <x:c r="L1035" s="40" t="n">
        <x:v>1281</x:v>
      </x:c>
      <x:c r="M1035" s="24" t="str">
        <x:v>-10 a +10</x:v>
      </x:c>
      <x:c r="N1035" s="24" t="str">
        <x:v>até -6</x:v>
      </x:c>
      <x:c r="O1035" s="24"/>
      <x:c r="P1035" s="24" t="str">
        <x:v>75</x:v>
      </x:c>
      <x:c r="Q1035" s="24"/>
      <x:c r="R1035" s="24"/>
      <x:c r="S1035" s="26" t="n">
        <x:v>46024</x:v>
      </x:c>
      <x:c r="T1035" s="26"/>
      <x:c r="U1035" s="24" t="str">
        <x:v>ATIVA/SEM FIM INFORMADO</x:v>
      </x:c>
      <x:c r="V1035" s="24"/>
      <x:c r="W1035" s="24" t="n">
        <x:v>23</x:v>
      </x:c>
      <x:c r="X1035" s="24" t="str">
        <x:v>tabela_rodenstock.pdf</x:v>
      </x:c>
      <x:c r="Y1035" s="24" t="str">
        <x:v>alta</x:v>
      </x:c>
      <x:c r="Z1035" s="24"/>
      <x:c r="AA1035" s="24" t="str">
        <x:v>Rodenstock|Monofocal Rodenstock|Surfaçada|Cosmolit Surfaçada||1.6|1.60|Solitaire ECO 2|-10 a +10|até -6||75|||23</x:v>
      </x:c>
    </x:row>
    <x:row r="1036">
      <x:c r="A1036" s="24" t="str">
        <x:v>RD-55F6B5092103</x:v>
      </x:c>
      <x:c r="B1036" s="24" t="str">
        <x:v>SIM</x:v>
      </x:c>
      <x:c r="C1036" s="24" t="str">
        <x:v>DISPONÍVEL</x:v>
      </x:c>
      <x:c r="D1036" s="24" t="str">
        <x:v>Rodenstock</x:v>
      </x:c>
      <x:c r="E1036" s="24" t="str">
        <x:v>Monofocal Rodenstock</x:v>
      </x:c>
      <x:c r="F1036" s="24" t="str">
        <x:v>Surfaçada</x:v>
      </x:c>
      <x:c r="G1036" s="24" t="str">
        <x:v>Cosmolit Surfaçada</x:v>
      </x:c>
      <x:c r="H1036" s="24" t="str">
        <x:v>PRO410</x:v>
      </x:c>
      <x:c r="I1036" s="24" t="str">
        <x:v>1.6</x:v>
      </x:c>
      <x:c r="J1036" s="24" t="str">
        <x:v>1.60</x:v>
      </x:c>
      <x:c r="K1036" s="24" t="str">
        <x:v>Solitaire X-tra Clean</x:v>
      </x:c>
      <x:c r="L1036" s="40" t="n">
        <x:v>2152</x:v>
      </x:c>
      <x:c r="M1036" s="24" t="str">
        <x:v>-10 a +10</x:v>
      </x:c>
      <x:c r="N1036" s="24" t="str">
        <x:v>até -6</x:v>
      </x:c>
      <x:c r="O1036" s="24"/>
      <x:c r="P1036" s="24" t="str">
        <x:v>75</x:v>
      </x:c>
      <x:c r="Q1036" s="24"/>
      <x:c r="R1036" s="24"/>
      <x:c r="S1036" s="26" t="n">
        <x:v>46024</x:v>
      </x:c>
      <x:c r="T1036" s="26"/>
      <x:c r="U1036" s="24" t="str">
        <x:v>ATIVA/SEM FIM INFORMADO</x:v>
      </x:c>
      <x:c r="V1036" s="24"/>
      <x:c r="W1036" s="24" t="n">
        <x:v>23</x:v>
      </x:c>
      <x:c r="X1036" s="24" t="str">
        <x:v>tabela_rodenstock.pdf</x:v>
      </x:c>
      <x:c r="Y1036" s="24" t="str">
        <x:v>alta</x:v>
      </x:c>
      <x:c r="Z1036" s="24"/>
      <x:c r="AA1036" s="24" t="str">
        <x:v>Rodenstock|Monofocal Rodenstock|Surfaçada|Cosmolit Surfaçada|PRO410|1.6|1.60|Solitaire X-tra Clean|-10 a +10|até -6||75|||23</x:v>
      </x:c>
    </x:row>
    <x:row r="1037">
      <x:c r="A1037" s="24" t="str">
        <x:v>RD-AFD1CFC064D8</x:v>
      </x:c>
      <x:c r="B1037" s="24" t="str">
        <x:v>SIM</x:v>
      </x:c>
      <x:c r="C1037" s="24" t="str">
        <x:v>DISPONÍVEL</x:v>
      </x:c>
      <x:c r="D1037" s="24" t="str">
        <x:v>Rodenstock</x:v>
      </x:c>
      <x:c r="E1037" s="24" t="str">
        <x:v>Monofocal Rodenstock</x:v>
      </x:c>
      <x:c r="F1037" s="24" t="str">
        <x:v>Surfaçada</x:v>
      </x:c>
      <x:c r="G1037" s="24" t="str">
        <x:v>Cosmolit Surfaçada</x:v>
      </x:c>
      <x:c r="H1037" s="24" t="str">
        <x:v>PRO410</x:v>
      </x:c>
      <x:c r="I1037" s="24" t="str">
        <x:v>1.6</x:v>
      </x:c>
      <x:c r="J1037" s="24" t="str">
        <x:v>1.60</x:v>
      </x:c>
      <x:c r="K1037" s="24" t="str">
        <x:v>Solitaire 2 Protect Balance</x:v>
      </x:c>
      <x:c r="L1037" s="40" t="n">
        <x:v>2102</x:v>
      </x:c>
      <x:c r="M1037" s="24" t="str">
        <x:v>-10 a +10</x:v>
      </x:c>
      <x:c r="N1037" s="24" t="str">
        <x:v>até -6</x:v>
      </x:c>
      <x:c r="O1037" s="24"/>
      <x:c r="P1037" s="24" t="str">
        <x:v>75</x:v>
      </x:c>
      <x:c r="Q1037" s="24"/>
      <x:c r="R1037" s="24"/>
      <x:c r="S1037" s="26" t="n">
        <x:v>46024</x:v>
      </x:c>
      <x:c r="T1037" s="26"/>
      <x:c r="U1037" s="24" t="str">
        <x:v>ATIVA/SEM FIM INFORMADO</x:v>
      </x:c>
      <x:c r="V1037" s="24"/>
      <x:c r="W1037" s="24" t="n">
        <x:v>23</x:v>
      </x:c>
      <x:c r="X1037" s="24" t="str">
        <x:v>tabela_rodenstock.pdf</x:v>
      </x:c>
      <x:c r="Y1037" s="24" t="str">
        <x:v>alta</x:v>
      </x:c>
      <x:c r="Z1037" s="24"/>
      <x:c r="AA1037" s="24" t="str">
        <x:v>Rodenstock|Monofocal Rodenstock|Surfaçada|Cosmolit Surfaçada|PRO410|1.6|1.60|Solitaire 2 Protect Balance|-10 a +10|até -6||75|||23</x:v>
      </x:c>
    </x:row>
    <x:row r="1038">
      <x:c r="A1038" s="24" t="str">
        <x:v>RD-BBE594A7008F</x:v>
      </x:c>
      <x:c r="B1038" s="24" t="str">
        <x:v>SIM</x:v>
      </x:c>
      <x:c r="C1038" s="24" t="str">
        <x:v>DISPONÍVEL</x:v>
      </x:c>
      <x:c r="D1038" s="24" t="str">
        <x:v>Rodenstock</x:v>
      </x:c>
      <x:c r="E1038" s="24" t="str">
        <x:v>Monofocal Rodenstock</x:v>
      </x:c>
      <x:c r="F1038" s="24" t="str">
        <x:v>Surfaçada</x:v>
      </x:c>
      <x:c r="G1038" s="24" t="str">
        <x:v>Cosmolit Surfaçada</x:v>
      </x:c>
      <x:c r="H1038" s="24" t="str">
        <x:v>PRO410</x:v>
      </x:c>
      <x:c r="I1038" s="24" t="str">
        <x:v>1.6</x:v>
      </x:c>
      <x:c r="J1038" s="24" t="str">
        <x:v>1.60</x:v>
      </x:c>
      <x:c r="K1038" s="24" t="str">
        <x:v>Solitaire Protect Plus</x:v>
      </x:c>
      <x:c r="L1038" s="40" t="n">
        <x:v>2102</x:v>
      </x:c>
      <x:c r="M1038" s="24" t="str">
        <x:v>-10 a +10</x:v>
      </x:c>
      <x:c r="N1038" s="24" t="str">
        <x:v>até -6</x:v>
      </x:c>
      <x:c r="O1038" s="24"/>
      <x:c r="P1038" s="24" t="str">
        <x:v>75</x:v>
      </x:c>
      <x:c r="Q1038" s="24"/>
      <x:c r="R1038" s="24"/>
      <x:c r="S1038" s="26" t="n">
        <x:v>46024</x:v>
      </x:c>
      <x:c r="T1038" s="26"/>
      <x:c r="U1038" s="24" t="str">
        <x:v>ATIVA/SEM FIM INFORMADO</x:v>
      </x:c>
      <x:c r="V1038" s="24"/>
      <x:c r="W1038" s="24" t="n">
        <x:v>23</x:v>
      </x:c>
      <x:c r="X1038" s="24" t="str">
        <x:v>tabela_rodenstock.pdf</x:v>
      </x:c>
      <x:c r="Y1038" s="24" t="str">
        <x:v>alta</x:v>
      </x:c>
      <x:c r="Z1038" s="24"/>
      <x:c r="AA1038" s="24" t="str">
        <x:v>Rodenstock|Monofocal Rodenstock|Surfaçada|Cosmolit Surfaçada|PRO410|1.6|1.60|Solitaire Protect Plus|-10 a +10|até -6||75|||23</x:v>
      </x:c>
    </x:row>
    <x:row r="1039">
      <x:c r="A1039" s="24" t="str">
        <x:v>RD-9CC1CB520F1F</x:v>
      </x:c>
      <x:c r="B1039" s="24" t="str">
        <x:v>SIM</x:v>
      </x:c>
      <x:c r="C1039" s="24" t="str">
        <x:v>DISPONÍVEL</x:v>
      </x:c>
      <x:c r="D1039" s="24" t="str">
        <x:v>Rodenstock</x:v>
      </x:c>
      <x:c r="E1039" s="24" t="str">
        <x:v>Monofocal Rodenstock</x:v>
      </x:c>
      <x:c r="F1039" s="24" t="str">
        <x:v>Surfaçada</x:v>
      </x:c>
      <x:c r="G1039" s="24" t="str">
        <x:v>Cosmolit Surfaçada</x:v>
      </x:c>
      <x:c r="H1039" s="24" t="str">
        <x:v>PRO410</x:v>
      </x:c>
      <x:c r="I1039" s="24" t="str">
        <x:v>1.6</x:v>
      </x:c>
      <x:c r="J1039" s="24" t="str">
        <x:v>1.60</x:v>
      </x:c>
      <x:c r="K1039" s="24" t="str">
        <x:v>ROAD</x:v>
      </x:c>
      <x:c r="L1039" s="40" t="n">
        <x:v>2102</x:v>
      </x:c>
      <x:c r="M1039" s="24" t="str">
        <x:v>-10 a +10</x:v>
      </x:c>
      <x:c r="N1039" s="24" t="str">
        <x:v>até -6</x:v>
      </x:c>
      <x:c r="O1039" s="24"/>
      <x:c r="P1039" s="24" t="str">
        <x:v>75</x:v>
      </x:c>
      <x:c r="Q1039" s="24"/>
      <x:c r="R1039" s="24"/>
      <x:c r="S1039" s="26" t="n">
        <x:v>46024</x:v>
      </x:c>
      <x:c r="T1039" s="26"/>
      <x:c r="U1039" s="24" t="str">
        <x:v>ATIVA/SEM FIM INFORMADO</x:v>
      </x:c>
      <x:c r="V1039" s="24"/>
      <x:c r="W1039" s="24" t="n">
        <x:v>23</x:v>
      </x:c>
      <x:c r="X1039" s="24" t="str">
        <x:v>tabela_rodenstock.pdf</x:v>
      </x:c>
      <x:c r="Y1039" s="24" t="str">
        <x:v>alta</x:v>
      </x:c>
      <x:c r="Z1039" s="24"/>
      <x:c r="AA1039" s="24" t="str">
        <x:v>Rodenstock|Monofocal Rodenstock|Surfaçada|Cosmolit Surfaçada|PRO410|1.6|1.60|ROAD|-10 a +10|até -6||75|||23</x:v>
      </x:c>
    </x:row>
    <x:row r="1040">
      <x:c r="A1040" s="24" t="str">
        <x:v>RD-852873504FE3</x:v>
      </x:c>
      <x:c r="B1040" s="24" t="str">
        <x:v>SIM</x:v>
      </x:c>
      <x:c r="C1040" s="24" t="str">
        <x:v>DISPONÍVEL</x:v>
      </x:c>
      <x:c r="D1040" s="24" t="str">
        <x:v>Rodenstock</x:v>
      </x:c>
      <x:c r="E1040" s="24" t="str">
        <x:v>Monofocal Rodenstock</x:v>
      </x:c>
      <x:c r="F1040" s="24" t="str">
        <x:v>Surfaçada</x:v>
      </x:c>
      <x:c r="G1040" s="24" t="str">
        <x:v>Cosmolit Surfaçada</x:v>
      </x:c>
      <x:c r="H1040" s="24" t="str">
        <x:v>PRO410</x:v>
      </x:c>
      <x:c r="I1040" s="24" t="str">
        <x:v>1.6</x:v>
      </x:c>
      <x:c r="J1040" s="24" t="str">
        <x:v>1.60</x:v>
      </x:c>
      <x:c r="K1040" s="24" t="str">
        <x:v>Solitaire Protect</x:v>
      </x:c>
      <x:c r="L1040" s="40" t="n">
        <x:v>1842</x:v>
      </x:c>
      <x:c r="M1040" s="24" t="str">
        <x:v>-10 a +10</x:v>
      </x:c>
      <x:c r="N1040" s="24" t="str">
        <x:v>até -6</x:v>
      </x:c>
      <x:c r="O1040" s="24"/>
      <x:c r="P1040" s="24" t="str">
        <x:v>75</x:v>
      </x:c>
      <x:c r="Q1040" s="24"/>
      <x:c r="R1040" s="24"/>
      <x:c r="S1040" s="26" t="n">
        <x:v>46024</x:v>
      </x:c>
      <x:c r="T1040" s="26"/>
      <x:c r="U1040" s="24" t="str">
        <x:v>ATIVA/SEM FIM INFORMADO</x:v>
      </x:c>
      <x:c r="V1040" s="24"/>
      <x:c r="W1040" s="24" t="n">
        <x:v>23</x:v>
      </x:c>
      <x:c r="X1040" s="24" t="str">
        <x:v>tabela_rodenstock.pdf</x:v>
      </x:c>
      <x:c r="Y1040" s="24" t="str">
        <x:v>alta</x:v>
      </x:c>
      <x:c r="Z1040" s="24"/>
      <x:c r="AA1040" s="24" t="str">
        <x:v>Rodenstock|Monofocal Rodenstock|Surfaçada|Cosmolit Surfaçada|PRO410|1.6|1.60|Solitaire Protect|-10 a +10|até -6||75|||23</x:v>
      </x:c>
    </x:row>
    <x:row r="1041">
      <x:c r="A1041" s="24" t="str">
        <x:v>RD-53F64A7A1571</x:v>
      </x:c>
      <x:c r="B1041" s="24" t="str">
        <x:v>SIM</x:v>
      </x:c>
      <x:c r="C1041" s="24" t="str">
        <x:v>DISPONÍVEL</x:v>
      </x:c>
      <x:c r="D1041" s="24" t="str">
        <x:v>Rodenstock</x:v>
      </x:c>
      <x:c r="E1041" s="24" t="str">
        <x:v>Monofocal Rodenstock</x:v>
      </x:c>
      <x:c r="F1041" s="24" t="str">
        <x:v>Surfaçada</x:v>
      </x:c>
      <x:c r="G1041" s="24" t="str">
        <x:v>Cosmolit Surfaçada</x:v>
      </x:c>
      <x:c r="H1041" s="24" t="str">
        <x:v>PRO410</x:v>
      </x:c>
      <x:c r="I1041" s="24" t="str">
        <x:v>1.6</x:v>
      </x:c>
      <x:c r="J1041" s="24" t="str">
        <x:v>1.60</x:v>
      </x:c>
      <x:c r="K1041" s="24" t="str">
        <x:v>Solitaire ECO 2</x:v>
      </x:c>
      <x:c r="L1041" s="40" t="n">
        <x:v>1362</x:v>
      </x:c>
      <x:c r="M1041" s="24" t="str">
        <x:v>-10 a +10</x:v>
      </x:c>
      <x:c r="N1041" s="24" t="str">
        <x:v>até -6</x:v>
      </x:c>
      <x:c r="O1041" s="24"/>
      <x:c r="P1041" s="24" t="str">
        <x:v>75</x:v>
      </x:c>
      <x:c r="Q1041" s="24"/>
      <x:c r="R1041" s="24"/>
      <x:c r="S1041" s="26" t="n">
        <x:v>46024</x:v>
      </x:c>
      <x:c r="T1041" s="26"/>
      <x:c r="U1041" s="24" t="str">
        <x:v>ATIVA/SEM FIM INFORMADO</x:v>
      </x:c>
      <x:c r="V1041" s="24"/>
      <x:c r="W1041" s="24" t="n">
        <x:v>23</x:v>
      </x:c>
      <x:c r="X1041" s="24" t="str">
        <x:v>tabela_rodenstock.pdf</x:v>
      </x:c>
      <x:c r="Y1041" s="24" t="str">
        <x:v>alta</x:v>
      </x:c>
      <x:c r="Z1041" s="24"/>
      <x:c r="AA1041" s="24" t="str">
        <x:v>Rodenstock|Monofocal Rodenstock|Surfaçada|Cosmolit Surfaçada|PRO410|1.6|1.60|Solitaire ECO 2|-10 a +10|até -6||75|||23</x:v>
      </x:c>
    </x:row>
    <x:row r="1042">
      <x:c r="A1042" s="24" t="str">
        <x:v>RD-D3A8FB10CB27</x:v>
      </x:c>
      <x:c r="B1042" s="24" t="str">
        <x:v>SIM</x:v>
      </x:c>
      <x:c r="C1042" s="24" t="str">
        <x:v>DISPONÍVEL</x:v>
      </x:c>
      <x:c r="D1042" s="24" t="str">
        <x:v>Rodenstock</x:v>
      </x:c>
      <x:c r="E1042" s="24" t="str">
        <x:v>Monofocal Rodenstock</x:v>
      </x:c>
      <x:c r="F1042" s="24" t="str">
        <x:v>Surfaçada</x:v>
      </x:c>
      <x:c r="G1042" s="24" t="str">
        <x:v>Cosmolit Surfaçada</x:v>
      </x:c>
      <x:c r="H1042" s="24" t="str">
        <x:v>ColorMatic® 3</x:v>
      </x:c>
      <x:c r="I1042" s="24" t="str">
        <x:v>1.6</x:v>
      </x:c>
      <x:c r="J1042" s="24" t="str">
        <x:v>1.60</x:v>
      </x:c>
      <x:c r="K1042" s="24" t="str">
        <x:v>Solitaire X-tra Clean</x:v>
      </x:c>
      <x:c r="L1042" s="40" t="n">
        <x:v>3278</x:v>
      </x:c>
      <x:c r="M1042" s="24" t="str">
        <x:v>-10 a +10</x:v>
      </x:c>
      <x:c r="N1042" s="24" t="str">
        <x:v>até -6</x:v>
      </x:c>
      <x:c r="O1042" s="24"/>
      <x:c r="P1042" s="24" t="str">
        <x:v>75</x:v>
      </x:c>
      <x:c r="Q1042" s="24"/>
      <x:c r="R1042" s="24"/>
      <x:c r="S1042" s="26" t="n">
        <x:v>46024</x:v>
      </x:c>
      <x:c r="T1042" s="26"/>
      <x:c r="U1042" s="24" t="str">
        <x:v>ATIVA/SEM FIM INFORMADO</x:v>
      </x:c>
      <x:c r="V1042" s="24"/>
      <x:c r="W1042" s="24" t="n">
        <x:v>23</x:v>
      </x:c>
      <x:c r="X1042" s="24" t="str">
        <x:v>tabela_rodenstock.pdf</x:v>
      </x:c>
      <x:c r="Y1042" s="24" t="str">
        <x:v>alta</x:v>
      </x:c>
      <x:c r="Z1042" s="24"/>
      <x:c r="AA1042" s="24" t="str">
        <x:v>Rodenstock|Monofocal Rodenstock|Surfaçada|Cosmolit Surfaçada|ColorMatic® 3|1.6|1.60|Solitaire X-tra Clean|-10 a +10|até -6||75|||23</x:v>
      </x:c>
    </x:row>
    <x:row r="1043">
      <x:c r="A1043" s="24" t="str">
        <x:v>RD-0ED7F8F5F0A2</x:v>
      </x:c>
      <x:c r="B1043" s="24" t="str">
        <x:v>SIM</x:v>
      </x:c>
      <x:c r="C1043" s="24" t="str">
        <x:v>DISPONÍVEL</x:v>
      </x:c>
      <x:c r="D1043" s="24" t="str">
        <x:v>Rodenstock</x:v>
      </x:c>
      <x:c r="E1043" s="24" t="str">
        <x:v>Monofocal Rodenstock</x:v>
      </x:c>
      <x:c r="F1043" s="24" t="str">
        <x:v>Surfaçada</x:v>
      </x:c>
      <x:c r="G1043" s="24" t="str">
        <x:v>Cosmolit Surfaçada</x:v>
      </x:c>
      <x:c r="H1043" s="24" t="str">
        <x:v>ColorMatic® 3</x:v>
      </x:c>
      <x:c r="I1043" s="24" t="str">
        <x:v>1.6</x:v>
      </x:c>
      <x:c r="J1043" s="24" t="str">
        <x:v>1.60</x:v>
      </x:c>
      <x:c r="K1043" s="24" t="str">
        <x:v>Solitaire 2 Protect Balance</x:v>
      </x:c>
      <x:c r="L1043" s="40" t="n">
        <x:v>3228</x:v>
      </x:c>
      <x:c r="M1043" s="24" t="str">
        <x:v>-10 a +10</x:v>
      </x:c>
      <x:c r="N1043" s="24" t="str">
        <x:v>até -6</x:v>
      </x:c>
      <x:c r="O1043" s="24"/>
      <x:c r="P1043" s="24" t="str">
        <x:v>75</x:v>
      </x:c>
      <x:c r="Q1043" s="24"/>
      <x:c r="R1043" s="24"/>
      <x:c r="S1043" s="26" t="n">
        <x:v>46024</x:v>
      </x:c>
      <x:c r="T1043" s="26"/>
      <x:c r="U1043" s="24" t="str">
        <x:v>ATIVA/SEM FIM INFORMADO</x:v>
      </x:c>
      <x:c r="V1043" s="24"/>
      <x:c r="W1043" s="24" t="n">
        <x:v>23</x:v>
      </x:c>
      <x:c r="X1043" s="24" t="str">
        <x:v>tabela_rodenstock.pdf</x:v>
      </x:c>
      <x:c r="Y1043" s="24" t="str">
        <x:v>alta</x:v>
      </x:c>
      <x:c r="Z1043" s="24"/>
      <x:c r="AA1043" s="24" t="str">
        <x:v>Rodenstock|Monofocal Rodenstock|Surfaçada|Cosmolit Surfaçada|ColorMatic® 3|1.6|1.60|Solitaire 2 Protect Balance|-10 a +10|até -6||75|||23</x:v>
      </x:c>
    </x:row>
    <x:row r="1044">
      <x:c r="A1044" s="24" t="str">
        <x:v>RD-DAE6133FA0F7</x:v>
      </x:c>
      <x:c r="B1044" s="24" t="str">
        <x:v>SIM</x:v>
      </x:c>
      <x:c r="C1044" s="24" t="str">
        <x:v>DISPONÍVEL</x:v>
      </x:c>
      <x:c r="D1044" s="24" t="str">
        <x:v>Rodenstock</x:v>
      </x:c>
      <x:c r="E1044" s="24" t="str">
        <x:v>Monofocal Rodenstock</x:v>
      </x:c>
      <x:c r="F1044" s="24" t="str">
        <x:v>Surfaçada</x:v>
      </x:c>
      <x:c r="G1044" s="24" t="str">
        <x:v>Cosmolit Surfaçada</x:v>
      </x:c>
      <x:c r="H1044" s="24" t="str">
        <x:v>ColorMatic® 3</x:v>
      </x:c>
      <x:c r="I1044" s="24" t="str">
        <x:v>1.6</x:v>
      </x:c>
      <x:c r="J1044" s="24" t="str">
        <x:v>1.60</x:v>
      </x:c>
      <x:c r="K1044" s="24" t="str">
        <x:v>Solitaire Protect Plus</x:v>
      </x:c>
      <x:c r="L1044" s="40" t="n">
        <x:v>3228</x:v>
      </x:c>
      <x:c r="M1044" s="24" t="str">
        <x:v>-10 a +10</x:v>
      </x:c>
      <x:c r="N1044" s="24" t="str">
        <x:v>até -6</x:v>
      </x:c>
      <x:c r="O1044" s="24"/>
      <x:c r="P1044" s="24" t="str">
        <x:v>75</x:v>
      </x:c>
      <x:c r="Q1044" s="24"/>
      <x:c r="R1044" s="24"/>
      <x:c r="S1044" s="26" t="n">
        <x:v>46024</x:v>
      </x:c>
      <x:c r="T1044" s="26"/>
      <x:c r="U1044" s="24" t="str">
        <x:v>ATIVA/SEM FIM INFORMADO</x:v>
      </x:c>
      <x:c r="V1044" s="24"/>
      <x:c r="W1044" s="24" t="n">
        <x:v>23</x:v>
      </x:c>
      <x:c r="X1044" s="24" t="str">
        <x:v>tabela_rodenstock.pdf</x:v>
      </x:c>
      <x:c r="Y1044" s="24" t="str">
        <x:v>alta</x:v>
      </x:c>
      <x:c r="Z1044" s="24"/>
      <x:c r="AA1044" s="24" t="str">
        <x:v>Rodenstock|Monofocal Rodenstock|Surfaçada|Cosmolit Surfaçada|ColorMatic® 3|1.6|1.60|Solitaire Protect Plus|-10 a +10|até -6||75|||23</x:v>
      </x:c>
    </x:row>
    <x:row r="1045">
      <x:c r="A1045" s="24" t="str">
        <x:v>RD-FD2435164189</x:v>
      </x:c>
      <x:c r="B1045" s="24" t="str">
        <x:v>SIM</x:v>
      </x:c>
      <x:c r="C1045" s="24" t="str">
        <x:v>DISPONÍVEL</x:v>
      </x:c>
      <x:c r="D1045" s="24" t="str">
        <x:v>Rodenstock</x:v>
      </x:c>
      <x:c r="E1045" s="24" t="str">
        <x:v>Monofocal Rodenstock</x:v>
      </x:c>
      <x:c r="F1045" s="24" t="str">
        <x:v>Surfaçada</x:v>
      </x:c>
      <x:c r="G1045" s="24" t="str">
        <x:v>Cosmolit Surfaçada</x:v>
      </x:c>
      <x:c r="H1045" s="24" t="str">
        <x:v>ColorMatic® 3</x:v>
      </x:c>
      <x:c r="I1045" s="24" t="str">
        <x:v>1.6</x:v>
      </x:c>
      <x:c r="J1045" s="24" t="str">
        <x:v>1.60</x:v>
      </x:c>
      <x:c r="K1045" s="24" t="str">
        <x:v>ROAD</x:v>
      </x:c>
      <x:c r="L1045" s="40" t="n">
        <x:v>3228</x:v>
      </x:c>
      <x:c r="M1045" s="24" t="str">
        <x:v>-10 a +10</x:v>
      </x:c>
      <x:c r="N1045" s="24" t="str">
        <x:v>até -6</x:v>
      </x:c>
      <x:c r="O1045" s="24"/>
      <x:c r="P1045" s="24" t="str">
        <x:v>75</x:v>
      </x:c>
      <x:c r="Q1045" s="24"/>
      <x:c r="R1045" s="24"/>
      <x:c r="S1045" s="26" t="n">
        <x:v>46024</x:v>
      </x:c>
      <x:c r="T1045" s="26"/>
      <x:c r="U1045" s="24" t="str">
        <x:v>ATIVA/SEM FIM INFORMADO</x:v>
      </x:c>
      <x:c r="V1045" s="24"/>
      <x:c r="W1045" s="24" t="n">
        <x:v>23</x:v>
      </x:c>
      <x:c r="X1045" s="24" t="str">
        <x:v>tabela_rodenstock.pdf</x:v>
      </x:c>
      <x:c r="Y1045" s="24" t="str">
        <x:v>alta</x:v>
      </x:c>
      <x:c r="Z1045" s="24"/>
      <x:c r="AA1045" s="24" t="str">
        <x:v>Rodenstock|Monofocal Rodenstock|Surfaçada|Cosmolit Surfaçada|ColorMatic® 3|1.6|1.60|ROAD|-10 a +10|até -6||75|||23</x:v>
      </x:c>
    </x:row>
    <x:row r="1046">
      <x:c r="A1046" s="24" t="str">
        <x:v>RD-C7C05075F11C</x:v>
      </x:c>
      <x:c r="B1046" s="24" t="str">
        <x:v>SIM</x:v>
      </x:c>
      <x:c r="C1046" s="24" t="str">
        <x:v>DISPONÍVEL</x:v>
      </x:c>
      <x:c r="D1046" s="24" t="str">
        <x:v>Rodenstock</x:v>
      </x:c>
      <x:c r="E1046" s="24" t="str">
        <x:v>Monofocal Rodenstock</x:v>
      </x:c>
      <x:c r="F1046" s="24" t="str">
        <x:v>Surfaçada</x:v>
      </x:c>
      <x:c r="G1046" s="24" t="str">
        <x:v>Cosmolit Surfaçada</x:v>
      </x:c>
      <x:c r="H1046" s="24" t="str">
        <x:v>ColorMatic® 3</x:v>
      </x:c>
      <x:c r="I1046" s="24" t="str">
        <x:v>1.6</x:v>
      </x:c>
      <x:c r="J1046" s="24" t="str">
        <x:v>1.60</x:v>
      </x:c>
      <x:c r="K1046" s="24" t="str">
        <x:v>Solitaire Protect</x:v>
      </x:c>
      <x:c r="L1046" s="40" t="n">
        <x:v>2968</x:v>
      </x:c>
      <x:c r="M1046" s="24" t="str">
        <x:v>-10 a +10</x:v>
      </x:c>
      <x:c r="N1046" s="24" t="str">
        <x:v>até -6</x:v>
      </x:c>
      <x:c r="O1046" s="24"/>
      <x:c r="P1046" s="24" t="str">
        <x:v>75</x:v>
      </x:c>
      <x:c r="Q1046" s="24"/>
      <x:c r="R1046" s="24"/>
      <x:c r="S1046" s="26" t="n">
        <x:v>46024</x:v>
      </x:c>
      <x:c r="T1046" s="26"/>
      <x:c r="U1046" s="24" t="str">
        <x:v>ATIVA/SEM FIM INFORMADO</x:v>
      </x:c>
      <x:c r="V1046" s="24"/>
      <x:c r="W1046" s="24" t="n">
        <x:v>23</x:v>
      </x:c>
      <x:c r="X1046" s="24" t="str">
        <x:v>tabela_rodenstock.pdf</x:v>
      </x:c>
      <x:c r="Y1046" s="24" t="str">
        <x:v>alta</x:v>
      </x:c>
      <x:c r="Z1046" s="24"/>
      <x:c r="AA1046" s="24" t="str">
        <x:v>Rodenstock|Monofocal Rodenstock|Surfaçada|Cosmolit Surfaçada|ColorMatic® 3|1.6|1.60|Solitaire Protect|-10 a +10|até -6||75|||23</x:v>
      </x:c>
    </x:row>
    <x:row r="1047">
      <x:c r="A1047" s="24" t="str">
        <x:v>RD-747E52FEAEE9</x:v>
      </x:c>
      <x:c r="B1047" s="24" t="str">
        <x:v>SIM</x:v>
      </x:c>
      <x:c r="C1047" s="24" t="str">
        <x:v>DISPONÍVEL</x:v>
      </x:c>
      <x:c r="D1047" s="24" t="str">
        <x:v>Rodenstock</x:v>
      </x:c>
      <x:c r="E1047" s="24" t="str">
        <x:v>Monofocal Rodenstock</x:v>
      </x:c>
      <x:c r="F1047" s="24" t="str">
        <x:v>Surfaçada</x:v>
      </x:c>
      <x:c r="G1047" s="24" t="str">
        <x:v>Cosmolit Surfaçada</x:v>
      </x:c>
      <x:c r="H1047" s="24" t="str">
        <x:v>ColorMatic® 3</x:v>
      </x:c>
      <x:c r="I1047" s="24" t="str">
        <x:v>1.6</x:v>
      </x:c>
      <x:c r="J1047" s="24" t="str">
        <x:v>1.60</x:v>
      </x:c>
      <x:c r="K1047" s="24" t="str">
        <x:v>Solitaire ECO 2</x:v>
      </x:c>
      <x:c r="L1047" s="40" t="n">
        <x:v>2488</x:v>
      </x:c>
      <x:c r="M1047" s="24" t="str">
        <x:v>-10 a +10</x:v>
      </x:c>
      <x:c r="N1047" s="24" t="str">
        <x:v>até -6</x:v>
      </x:c>
      <x:c r="O1047" s="24"/>
      <x:c r="P1047" s="24" t="str">
        <x:v>75</x:v>
      </x:c>
      <x:c r="Q1047" s="24"/>
      <x:c r="R1047" s="24"/>
      <x:c r="S1047" s="26" t="n">
        <x:v>46024</x:v>
      </x:c>
      <x:c r="T1047" s="26"/>
      <x:c r="U1047" s="24" t="str">
        <x:v>ATIVA/SEM FIM INFORMADO</x:v>
      </x:c>
      <x:c r="V1047" s="24"/>
      <x:c r="W1047" s="24" t="n">
        <x:v>23</x:v>
      </x:c>
      <x:c r="X1047" s="24" t="str">
        <x:v>tabela_rodenstock.pdf</x:v>
      </x:c>
      <x:c r="Y1047" s="24" t="str">
        <x:v>alta</x:v>
      </x:c>
      <x:c r="Z1047" s="24"/>
      <x:c r="AA1047" s="24" t="str">
        <x:v>Rodenstock|Monofocal Rodenstock|Surfaçada|Cosmolit Surfaçada|ColorMatic® 3|1.6|1.60|Solitaire ECO 2|-10 a +10|até -6||75|||23</x:v>
      </x:c>
    </x:row>
    <x:row r="1048">
      <x:c r="A1048" s="24" t="str">
        <x:v>RD-CB09A8DEE1DF</x:v>
      </x:c>
      <x:c r="B1048" s="24" t="str">
        <x:v>SIM</x:v>
      </x:c>
      <x:c r="C1048" s="24" t="str">
        <x:v>DISPONÍVEL</x:v>
      </x:c>
      <x:c r="D1048" s="24" t="str">
        <x:v>Rodenstock</x:v>
      </x:c>
      <x:c r="E1048" s="24" t="str">
        <x:v>Monofocal Rodenstock</x:v>
      </x:c>
      <x:c r="F1048" s="24" t="str">
        <x:v>Surfaçada</x:v>
      </x:c>
      <x:c r="G1048" s="24" t="str">
        <x:v>Cosmolit Surfaçada</x:v>
      </x:c>
      <x:c r="H1048" s="24"/>
      <x:c r="I1048" s="24" t="str">
        <x:v>1.67</x:v>
      </x:c>
      <x:c r="J1048" s="24" t="str">
        <x:v>1.67</x:v>
      </x:c>
      <x:c r="K1048" s="24" t="str">
        <x:v>Solitaire X-tra Clean</x:v>
      </x:c>
      <x:c r="L1048" s="40" t="n">
        <x:v>3243</x:v>
      </x:c>
      <x:c r="M1048" s="24" t="str">
        <x:v>-10 a +10</x:v>
      </x:c>
      <x:c r="N1048" s="24" t="str">
        <x:v>até -6</x:v>
      </x:c>
      <x:c r="O1048" s="24"/>
      <x:c r="P1048" s="24" t="str">
        <x:v>75</x:v>
      </x:c>
      <x:c r="Q1048" s="24"/>
      <x:c r="R1048" s="24"/>
      <x:c r="S1048" s="26" t="n">
        <x:v>46024</x:v>
      </x:c>
      <x:c r="T1048" s="26"/>
      <x:c r="U1048" s="24" t="str">
        <x:v>ATIVA/SEM FIM INFORMADO</x:v>
      </x:c>
      <x:c r="V1048" s="24"/>
      <x:c r="W1048" s="24" t="n">
        <x:v>23</x:v>
      </x:c>
      <x:c r="X1048" s="24" t="str">
        <x:v>tabela_rodenstock.pdf</x:v>
      </x:c>
      <x:c r="Y1048" s="24" t="str">
        <x:v>alta</x:v>
      </x:c>
      <x:c r="Z1048" s="24"/>
      <x:c r="AA1048" s="24" t="str">
        <x:v>Rodenstock|Monofocal Rodenstock|Surfaçada|Cosmolit Surfaçada||1.67|1.67|Solitaire X-tra Clean|-10 a +10|até -6||75|||23</x:v>
      </x:c>
    </x:row>
    <x:row r="1049">
      <x:c r="A1049" s="24" t="str">
        <x:v>RD-EC0AC60E99D4</x:v>
      </x:c>
      <x:c r="B1049" s="24" t="str">
        <x:v>SIM</x:v>
      </x:c>
      <x:c r="C1049" s="24" t="str">
        <x:v>DISPONÍVEL</x:v>
      </x:c>
      <x:c r="D1049" s="24" t="str">
        <x:v>Rodenstock</x:v>
      </x:c>
      <x:c r="E1049" s="24" t="str">
        <x:v>Monofocal Rodenstock</x:v>
      </x:c>
      <x:c r="F1049" s="24" t="str">
        <x:v>Surfaçada</x:v>
      </x:c>
      <x:c r="G1049" s="24" t="str">
        <x:v>Cosmolit Surfaçada</x:v>
      </x:c>
      <x:c r="H1049" s="24"/>
      <x:c r="I1049" s="24" t="str">
        <x:v>1.67</x:v>
      </x:c>
      <x:c r="J1049" s="24" t="str">
        <x:v>1.67</x:v>
      </x:c>
      <x:c r="K1049" s="24" t="str">
        <x:v>Solitaire 2 Protect Balance</x:v>
      </x:c>
      <x:c r="L1049" s="40" t="n">
        <x:v>3193</x:v>
      </x:c>
      <x:c r="M1049" s="24" t="str">
        <x:v>-10 a +10</x:v>
      </x:c>
      <x:c r="N1049" s="24" t="str">
        <x:v>até -6</x:v>
      </x:c>
      <x:c r="O1049" s="24"/>
      <x:c r="P1049" s="24" t="str">
        <x:v>75</x:v>
      </x:c>
      <x:c r="Q1049" s="24"/>
      <x:c r="R1049" s="24"/>
      <x:c r="S1049" s="26" t="n">
        <x:v>46024</x:v>
      </x:c>
      <x:c r="T1049" s="26"/>
      <x:c r="U1049" s="24" t="str">
        <x:v>ATIVA/SEM FIM INFORMADO</x:v>
      </x:c>
      <x:c r="V1049" s="24"/>
      <x:c r="W1049" s="24" t="n">
        <x:v>23</x:v>
      </x:c>
      <x:c r="X1049" s="24" t="str">
        <x:v>tabela_rodenstock.pdf</x:v>
      </x:c>
      <x:c r="Y1049" s="24" t="str">
        <x:v>alta</x:v>
      </x:c>
      <x:c r="Z1049" s="24"/>
      <x:c r="AA1049" s="24" t="str">
        <x:v>Rodenstock|Monofocal Rodenstock|Surfaçada|Cosmolit Surfaçada||1.67|1.67|Solitaire 2 Protect Balance|-10 a +10|até -6||75|||23</x:v>
      </x:c>
    </x:row>
    <x:row r="1050">
      <x:c r="A1050" s="24" t="str">
        <x:v>RD-6E15A7104913</x:v>
      </x:c>
      <x:c r="B1050" s="24" t="str">
        <x:v>SIM</x:v>
      </x:c>
      <x:c r="C1050" s="24" t="str">
        <x:v>DISPONÍVEL</x:v>
      </x:c>
      <x:c r="D1050" s="24" t="str">
        <x:v>Rodenstock</x:v>
      </x:c>
      <x:c r="E1050" s="24" t="str">
        <x:v>Monofocal Rodenstock</x:v>
      </x:c>
      <x:c r="F1050" s="24" t="str">
        <x:v>Surfaçada</x:v>
      </x:c>
      <x:c r="G1050" s="24" t="str">
        <x:v>Cosmolit Surfaçada</x:v>
      </x:c>
      <x:c r="H1050" s="24"/>
      <x:c r="I1050" s="24" t="str">
        <x:v>1.67</x:v>
      </x:c>
      <x:c r="J1050" s="24" t="str">
        <x:v>1.67</x:v>
      </x:c>
      <x:c r="K1050" s="24" t="str">
        <x:v>Solitaire Protect Plus</x:v>
      </x:c>
      <x:c r="L1050" s="40" t="n">
        <x:v>3193</x:v>
      </x:c>
      <x:c r="M1050" s="24" t="str">
        <x:v>-10 a +10</x:v>
      </x:c>
      <x:c r="N1050" s="24" t="str">
        <x:v>até -6</x:v>
      </x:c>
      <x:c r="O1050" s="24"/>
      <x:c r="P1050" s="24" t="str">
        <x:v>75</x:v>
      </x:c>
      <x:c r="Q1050" s="24"/>
      <x:c r="R1050" s="24"/>
      <x:c r="S1050" s="26" t="n">
        <x:v>46024</x:v>
      </x:c>
      <x:c r="T1050" s="26"/>
      <x:c r="U1050" s="24" t="str">
        <x:v>ATIVA/SEM FIM INFORMADO</x:v>
      </x:c>
      <x:c r="V1050" s="24"/>
      <x:c r="W1050" s="24" t="n">
        <x:v>23</x:v>
      </x:c>
      <x:c r="X1050" s="24" t="str">
        <x:v>tabela_rodenstock.pdf</x:v>
      </x:c>
      <x:c r="Y1050" s="24" t="str">
        <x:v>alta</x:v>
      </x:c>
      <x:c r="Z1050" s="24"/>
      <x:c r="AA1050" s="24" t="str">
        <x:v>Rodenstock|Monofocal Rodenstock|Surfaçada|Cosmolit Surfaçada||1.67|1.67|Solitaire Protect Plus|-10 a +10|até -6||75|||23</x:v>
      </x:c>
    </x:row>
    <x:row r="1051">
      <x:c r="A1051" s="24" t="str">
        <x:v>RD-328350258889</x:v>
      </x:c>
      <x:c r="B1051" s="24" t="str">
        <x:v>SIM</x:v>
      </x:c>
      <x:c r="C1051" s="24" t="str">
        <x:v>DISPONÍVEL</x:v>
      </x:c>
      <x:c r="D1051" s="24" t="str">
        <x:v>Rodenstock</x:v>
      </x:c>
      <x:c r="E1051" s="24" t="str">
        <x:v>Monofocal Rodenstock</x:v>
      </x:c>
      <x:c r="F1051" s="24" t="str">
        <x:v>Surfaçada</x:v>
      </x:c>
      <x:c r="G1051" s="24" t="str">
        <x:v>Cosmolit Surfaçada</x:v>
      </x:c>
      <x:c r="H1051" s="24"/>
      <x:c r="I1051" s="24" t="str">
        <x:v>1.67</x:v>
      </x:c>
      <x:c r="J1051" s="24" t="str">
        <x:v>1.67</x:v>
      </x:c>
      <x:c r="K1051" s="24" t="str">
        <x:v>ROAD</x:v>
      </x:c>
      <x:c r="L1051" s="40" t="n">
        <x:v>3193</x:v>
      </x:c>
      <x:c r="M1051" s="24" t="str">
        <x:v>-10 a +10</x:v>
      </x:c>
      <x:c r="N1051" s="24" t="str">
        <x:v>até -6</x:v>
      </x:c>
      <x:c r="O1051" s="24"/>
      <x:c r="P1051" s="24" t="str">
        <x:v>75</x:v>
      </x:c>
      <x:c r="Q1051" s="24"/>
      <x:c r="R1051" s="24"/>
      <x:c r="S1051" s="26" t="n">
        <x:v>46024</x:v>
      </x:c>
      <x:c r="T1051" s="26"/>
      <x:c r="U1051" s="24" t="str">
        <x:v>ATIVA/SEM FIM INFORMADO</x:v>
      </x:c>
      <x:c r="V1051" s="24"/>
      <x:c r="W1051" s="24" t="n">
        <x:v>23</x:v>
      </x:c>
      <x:c r="X1051" s="24" t="str">
        <x:v>tabela_rodenstock.pdf</x:v>
      </x:c>
      <x:c r="Y1051" s="24" t="str">
        <x:v>alta</x:v>
      </x:c>
      <x:c r="Z1051" s="24"/>
      <x:c r="AA1051" s="24" t="str">
        <x:v>Rodenstock|Monofocal Rodenstock|Surfaçada|Cosmolit Surfaçada||1.67|1.67|ROAD|-10 a +10|até -6||75|||23</x:v>
      </x:c>
    </x:row>
    <x:row r="1052">
      <x:c r="A1052" s="24" t="str">
        <x:v>RD-3FF2BCD5FA29</x:v>
      </x:c>
      <x:c r="B1052" s="24" t="str">
        <x:v>SIM</x:v>
      </x:c>
      <x:c r="C1052" s="24" t="str">
        <x:v>DISPONÍVEL</x:v>
      </x:c>
      <x:c r="D1052" s="24" t="str">
        <x:v>Rodenstock</x:v>
      </x:c>
      <x:c r="E1052" s="24" t="str">
        <x:v>Monofocal Rodenstock</x:v>
      </x:c>
      <x:c r="F1052" s="24" t="str">
        <x:v>Surfaçada</x:v>
      </x:c>
      <x:c r="G1052" s="24" t="str">
        <x:v>Cosmolit Surfaçada</x:v>
      </x:c>
      <x:c r="H1052" s="24"/>
      <x:c r="I1052" s="24" t="str">
        <x:v>1.67</x:v>
      </x:c>
      <x:c r="J1052" s="24" t="str">
        <x:v>1.67</x:v>
      </x:c>
      <x:c r="K1052" s="24" t="str">
        <x:v>Solitaire Protect</x:v>
      </x:c>
      <x:c r="L1052" s="40" t="n">
        <x:v>2933</x:v>
      </x:c>
      <x:c r="M1052" s="24" t="str">
        <x:v>-10 a +10</x:v>
      </x:c>
      <x:c r="N1052" s="24" t="str">
        <x:v>até -6</x:v>
      </x:c>
      <x:c r="O1052" s="24"/>
      <x:c r="P1052" s="24" t="str">
        <x:v>75</x:v>
      </x:c>
      <x:c r="Q1052" s="24"/>
      <x:c r="R1052" s="24"/>
      <x:c r="S1052" s="26" t="n">
        <x:v>46024</x:v>
      </x:c>
      <x:c r="T1052" s="26"/>
      <x:c r="U1052" s="24" t="str">
        <x:v>ATIVA/SEM FIM INFORMADO</x:v>
      </x:c>
      <x:c r="V1052" s="24"/>
      <x:c r="W1052" s="24" t="n">
        <x:v>23</x:v>
      </x:c>
      <x:c r="X1052" s="24" t="str">
        <x:v>tabela_rodenstock.pdf</x:v>
      </x:c>
      <x:c r="Y1052" s="24" t="str">
        <x:v>alta</x:v>
      </x:c>
      <x:c r="Z1052" s="24"/>
      <x:c r="AA1052" s="24" t="str">
        <x:v>Rodenstock|Monofocal Rodenstock|Surfaçada|Cosmolit Surfaçada||1.67|1.67|Solitaire Protect|-10 a +10|até -6||75|||23</x:v>
      </x:c>
    </x:row>
    <x:row r="1053">
      <x:c r="A1053" s="24" t="str">
        <x:v>RD-2B960B68CCBF</x:v>
      </x:c>
      <x:c r="B1053" s="24" t="str">
        <x:v>SIM</x:v>
      </x:c>
      <x:c r="C1053" s="24" t="str">
        <x:v>DISPONÍVEL</x:v>
      </x:c>
      <x:c r="D1053" s="24" t="str">
        <x:v>Rodenstock</x:v>
      </x:c>
      <x:c r="E1053" s="24" t="str">
        <x:v>Monofocal Rodenstock</x:v>
      </x:c>
      <x:c r="F1053" s="24" t="str">
        <x:v>Surfaçada</x:v>
      </x:c>
      <x:c r="G1053" s="24" t="str">
        <x:v>Cosmolit Surfaçada</x:v>
      </x:c>
      <x:c r="H1053" s="24"/>
      <x:c r="I1053" s="24" t="str">
        <x:v>1.67</x:v>
      </x:c>
      <x:c r="J1053" s="24" t="str">
        <x:v>1.67</x:v>
      </x:c>
      <x:c r="K1053" s="24" t="str">
        <x:v>Solitaire ECO 2</x:v>
      </x:c>
      <x:c r="L1053" s="40" t="n">
        <x:v>2453</x:v>
      </x:c>
      <x:c r="M1053" s="24" t="str">
        <x:v>-10 a +10</x:v>
      </x:c>
      <x:c r="N1053" s="24" t="str">
        <x:v>até -6</x:v>
      </x:c>
      <x:c r="O1053" s="24"/>
      <x:c r="P1053" s="24" t="str">
        <x:v>75</x:v>
      </x:c>
      <x:c r="Q1053" s="24"/>
      <x:c r="R1053" s="24"/>
      <x:c r="S1053" s="26" t="n">
        <x:v>46024</x:v>
      </x:c>
      <x:c r="T1053" s="26"/>
      <x:c r="U1053" s="24" t="str">
        <x:v>ATIVA/SEM FIM INFORMADO</x:v>
      </x:c>
      <x:c r="V1053" s="24"/>
      <x:c r="W1053" s="24" t="n">
        <x:v>23</x:v>
      </x:c>
      <x:c r="X1053" s="24" t="str">
        <x:v>tabela_rodenstock.pdf</x:v>
      </x:c>
      <x:c r="Y1053" s="24" t="str">
        <x:v>alta</x:v>
      </x:c>
      <x:c r="Z1053" s="24"/>
      <x:c r="AA1053" s="24" t="str">
        <x:v>Rodenstock|Monofocal Rodenstock|Surfaçada|Cosmolit Surfaçada||1.67|1.67|Solitaire ECO 2|-10 a +10|até -6||75|||23</x:v>
      </x:c>
    </x:row>
    <x:row r="1054">
      <x:c r="A1054" s="24" t="str">
        <x:v>RD-1A6E768F6AD9</x:v>
      </x:c>
      <x:c r="B1054" s="24" t="str">
        <x:v>SIM</x:v>
      </x:c>
      <x:c r="C1054" s="24" t="str">
        <x:v>DISPONÍVEL</x:v>
      </x:c>
      <x:c r="D1054" s="24" t="str">
        <x:v>Rodenstock</x:v>
      </x:c>
      <x:c r="E1054" s="24" t="str">
        <x:v>Monofocal Rodenstock</x:v>
      </x:c>
      <x:c r="F1054" s="24" t="str">
        <x:v>Surfaçada</x:v>
      </x:c>
      <x:c r="G1054" s="24" t="str">
        <x:v>Cosmolit Surfaçada</x:v>
      </x:c>
      <x:c r="H1054" s="24" t="str">
        <x:v>ColorMatic® 3</x:v>
      </x:c>
      <x:c r="I1054" s="24" t="str">
        <x:v>1.67</x:v>
      </x:c>
      <x:c r="J1054" s="24" t="str">
        <x:v>1.67</x:v>
      </x:c>
      <x:c r="K1054" s="24" t="str">
        <x:v>Solitaire X-tra Clean</x:v>
      </x:c>
      <x:c r="L1054" s="40" t="n">
        <x:v>4492</x:v>
      </x:c>
      <x:c r="M1054" s="24" t="str">
        <x:v>-10 a +10</x:v>
      </x:c>
      <x:c r="N1054" s="24" t="str">
        <x:v>até -6</x:v>
      </x:c>
      <x:c r="O1054" s="24"/>
      <x:c r="P1054" s="24" t="str">
        <x:v>75</x:v>
      </x:c>
      <x:c r="Q1054" s="24"/>
      <x:c r="R1054" s="24"/>
      <x:c r="S1054" s="26" t="n">
        <x:v>46024</x:v>
      </x:c>
      <x:c r="T1054" s="26"/>
      <x:c r="U1054" s="24" t="str">
        <x:v>ATIVA/SEM FIM INFORMADO</x:v>
      </x:c>
      <x:c r="V1054" s="24"/>
      <x:c r="W1054" s="24" t="n">
        <x:v>23</x:v>
      </x:c>
      <x:c r="X1054" s="24" t="str">
        <x:v>tabela_rodenstock.pdf</x:v>
      </x:c>
      <x:c r="Y1054" s="24" t="str">
        <x:v>alta</x:v>
      </x:c>
      <x:c r="Z1054" s="24"/>
      <x:c r="AA1054" s="24" t="str">
        <x:v>Rodenstock|Monofocal Rodenstock|Surfaçada|Cosmolit Surfaçada|ColorMatic® 3|1.67|1.67|Solitaire X-tra Clean|-10 a +10|até -6||75|||23</x:v>
      </x:c>
    </x:row>
    <x:row r="1055">
      <x:c r="A1055" s="24" t="str">
        <x:v>RD-6DCB47838EB8</x:v>
      </x:c>
      <x:c r="B1055" s="24" t="str">
        <x:v>SIM</x:v>
      </x:c>
      <x:c r="C1055" s="24" t="str">
        <x:v>DISPONÍVEL</x:v>
      </x:c>
      <x:c r="D1055" s="24" t="str">
        <x:v>Rodenstock</x:v>
      </x:c>
      <x:c r="E1055" s="24" t="str">
        <x:v>Monofocal Rodenstock</x:v>
      </x:c>
      <x:c r="F1055" s="24" t="str">
        <x:v>Surfaçada</x:v>
      </x:c>
      <x:c r="G1055" s="24" t="str">
        <x:v>Cosmolit Surfaçada</x:v>
      </x:c>
      <x:c r="H1055" s="24" t="str">
        <x:v>ColorMatic® 3</x:v>
      </x:c>
      <x:c r="I1055" s="24" t="str">
        <x:v>1.67</x:v>
      </x:c>
      <x:c r="J1055" s="24" t="str">
        <x:v>1.67</x:v>
      </x:c>
      <x:c r="K1055" s="24" t="str">
        <x:v>Solitaire 2 Protect Balance</x:v>
      </x:c>
      <x:c r="L1055" s="40" t="n">
        <x:v>4442</x:v>
      </x:c>
      <x:c r="M1055" s="24" t="str">
        <x:v>-10 a +10</x:v>
      </x:c>
      <x:c r="N1055" s="24" t="str">
        <x:v>até -6</x:v>
      </x:c>
      <x:c r="O1055" s="24"/>
      <x:c r="P1055" s="24" t="str">
        <x:v>75</x:v>
      </x:c>
      <x:c r="Q1055" s="24"/>
      <x:c r="R1055" s="24"/>
      <x:c r="S1055" s="26" t="n">
        <x:v>46024</x:v>
      </x:c>
      <x:c r="T1055" s="26"/>
      <x:c r="U1055" s="24" t="str">
        <x:v>ATIVA/SEM FIM INFORMADO</x:v>
      </x:c>
      <x:c r="V1055" s="24"/>
      <x:c r="W1055" s="24" t="n">
        <x:v>23</x:v>
      </x:c>
      <x:c r="X1055" s="24" t="str">
        <x:v>tabela_rodenstock.pdf</x:v>
      </x:c>
      <x:c r="Y1055" s="24" t="str">
        <x:v>alta</x:v>
      </x:c>
      <x:c r="Z1055" s="24"/>
      <x:c r="AA1055" s="24" t="str">
        <x:v>Rodenstock|Monofocal Rodenstock|Surfaçada|Cosmolit Surfaçada|ColorMatic® 3|1.67|1.67|Solitaire 2 Protect Balance|-10 a +10|até -6||75|||23</x:v>
      </x:c>
    </x:row>
    <x:row r="1056">
      <x:c r="A1056" s="24" t="str">
        <x:v>RD-0695FFE26908</x:v>
      </x:c>
      <x:c r="B1056" s="24" t="str">
        <x:v>SIM</x:v>
      </x:c>
      <x:c r="C1056" s="24" t="str">
        <x:v>DISPONÍVEL</x:v>
      </x:c>
      <x:c r="D1056" s="24" t="str">
        <x:v>Rodenstock</x:v>
      </x:c>
      <x:c r="E1056" s="24" t="str">
        <x:v>Monofocal Rodenstock</x:v>
      </x:c>
      <x:c r="F1056" s="24" t="str">
        <x:v>Surfaçada</x:v>
      </x:c>
      <x:c r="G1056" s="24" t="str">
        <x:v>Cosmolit Surfaçada</x:v>
      </x:c>
      <x:c r="H1056" s="24" t="str">
        <x:v>ColorMatic® 3</x:v>
      </x:c>
      <x:c r="I1056" s="24" t="str">
        <x:v>1.67</x:v>
      </x:c>
      <x:c r="J1056" s="24" t="str">
        <x:v>1.67</x:v>
      </x:c>
      <x:c r="K1056" s="24" t="str">
        <x:v>Solitaire Protect Plus</x:v>
      </x:c>
      <x:c r="L1056" s="40" t="n">
        <x:v>4442</x:v>
      </x:c>
      <x:c r="M1056" s="24" t="str">
        <x:v>-10 a +10</x:v>
      </x:c>
      <x:c r="N1056" s="24" t="str">
        <x:v>até -6</x:v>
      </x:c>
      <x:c r="O1056" s="24"/>
      <x:c r="P1056" s="24" t="str">
        <x:v>75</x:v>
      </x:c>
      <x:c r="Q1056" s="24"/>
      <x:c r="R1056" s="24"/>
      <x:c r="S1056" s="26" t="n">
        <x:v>46024</x:v>
      </x:c>
      <x:c r="T1056" s="26"/>
      <x:c r="U1056" s="24" t="str">
        <x:v>ATIVA/SEM FIM INFORMADO</x:v>
      </x:c>
      <x:c r="V1056" s="24"/>
      <x:c r="W1056" s="24" t="n">
        <x:v>23</x:v>
      </x:c>
      <x:c r="X1056" s="24" t="str">
        <x:v>tabela_rodenstock.pdf</x:v>
      </x:c>
      <x:c r="Y1056" s="24" t="str">
        <x:v>alta</x:v>
      </x:c>
      <x:c r="Z1056" s="24"/>
      <x:c r="AA1056" s="24" t="str">
        <x:v>Rodenstock|Monofocal Rodenstock|Surfaçada|Cosmolit Surfaçada|ColorMatic® 3|1.67|1.67|Solitaire Protect Plus|-10 a +10|até -6||75|||23</x:v>
      </x:c>
    </x:row>
    <x:row r="1057">
      <x:c r="A1057" s="24" t="str">
        <x:v>RD-D5D8C6110E3C</x:v>
      </x:c>
      <x:c r="B1057" s="24" t="str">
        <x:v>SIM</x:v>
      </x:c>
      <x:c r="C1057" s="24" t="str">
        <x:v>DISPONÍVEL</x:v>
      </x:c>
      <x:c r="D1057" s="24" t="str">
        <x:v>Rodenstock</x:v>
      </x:c>
      <x:c r="E1057" s="24" t="str">
        <x:v>Monofocal Rodenstock</x:v>
      </x:c>
      <x:c r="F1057" s="24" t="str">
        <x:v>Surfaçada</x:v>
      </x:c>
      <x:c r="G1057" s="24" t="str">
        <x:v>Cosmolit Surfaçada</x:v>
      </x:c>
      <x:c r="H1057" s="24" t="str">
        <x:v>ColorMatic® 3</x:v>
      </x:c>
      <x:c r="I1057" s="24" t="str">
        <x:v>1.67</x:v>
      </x:c>
      <x:c r="J1057" s="24" t="str">
        <x:v>1.67</x:v>
      </x:c>
      <x:c r="K1057" s="24" t="str">
        <x:v>ROAD</x:v>
      </x:c>
      <x:c r="L1057" s="40" t="n">
        <x:v>4442</x:v>
      </x:c>
      <x:c r="M1057" s="24" t="str">
        <x:v>-10 a +10</x:v>
      </x:c>
      <x:c r="N1057" s="24" t="str">
        <x:v>até -6</x:v>
      </x:c>
      <x:c r="O1057" s="24"/>
      <x:c r="P1057" s="24" t="str">
        <x:v>75</x:v>
      </x:c>
      <x:c r="Q1057" s="24"/>
      <x:c r="R1057" s="24"/>
      <x:c r="S1057" s="26" t="n">
        <x:v>46024</x:v>
      </x:c>
      <x:c r="T1057" s="26"/>
      <x:c r="U1057" s="24" t="str">
        <x:v>ATIVA/SEM FIM INFORMADO</x:v>
      </x:c>
      <x:c r="V1057" s="24"/>
      <x:c r="W1057" s="24" t="n">
        <x:v>23</x:v>
      </x:c>
      <x:c r="X1057" s="24" t="str">
        <x:v>tabela_rodenstock.pdf</x:v>
      </x:c>
      <x:c r="Y1057" s="24" t="str">
        <x:v>alta</x:v>
      </x:c>
      <x:c r="Z1057" s="24"/>
      <x:c r="AA1057" s="24" t="str">
        <x:v>Rodenstock|Monofocal Rodenstock|Surfaçada|Cosmolit Surfaçada|ColorMatic® 3|1.67|1.67|ROAD|-10 a +10|até -6||75|||23</x:v>
      </x:c>
    </x:row>
    <x:row r="1058">
      <x:c r="A1058" s="24" t="str">
        <x:v>RD-457B584C5239</x:v>
      </x:c>
      <x:c r="B1058" s="24" t="str">
        <x:v>SIM</x:v>
      </x:c>
      <x:c r="C1058" s="24" t="str">
        <x:v>DISPONÍVEL</x:v>
      </x:c>
      <x:c r="D1058" s="24" t="str">
        <x:v>Rodenstock</x:v>
      </x:c>
      <x:c r="E1058" s="24" t="str">
        <x:v>Monofocal Rodenstock</x:v>
      </x:c>
      <x:c r="F1058" s="24" t="str">
        <x:v>Surfaçada</x:v>
      </x:c>
      <x:c r="G1058" s="24" t="str">
        <x:v>Cosmolit Surfaçada</x:v>
      </x:c>
      <x:c r="H1058" s="24" t="str">
        <x:v>ColorMatic® 3</x:v>
      </x:c>
      <x:c r="I1058" s="24" t="str">
        <x:v>1.67</x:v>
      </x:c>
      <x:c r="J1058" s="24" t="str">
        <x:v>1.67</x:v>
      </x:c>
      <x:c r="K1058" s="24" t="str">
        <x:v>Solitaire Protect</x:v>
      </x:c>
      <x:c r="L1058" s="40" t="n">
        <x:v>4182</x:v>
      </x:c>
      <x:c r="M1058" s="24" t="str">
        <x:v>-10 a +10</x:v>
      </x:c>
      <x:c r="N1058" s="24" t="str">
        <x:v>até -6</x:v>
      </x:c>
      <x:c r="O1058" s="24"/>
      <x:c r="P1058" s="24" t="str">
        <x:v>75</x:v>
      </x:c>
      <x:c r="Q1058" s="24"/>
      <x:c r="R1058" s="24"/>
      <x:c r="S1058" s="26" t="n">
        <x:v>46024</x:v>
      </x:c>
      <x:c r="T1058" s="26"/>
      <x:c r="U1058" s="24" t="str">
        <x:v>ATIVA/SEM FIM INFORMADO</x:v>
      </x:c>
      <x:c r="V1058" s="24"/>
      <x:c r="W1058" s="24" t="n">
        <x:v>23</x:v>
      </x:c>
      <x:c r="X1058" s="24" t="str">
        <x:v>tabela_rodenstock.pdf</x:v>
      </x:c>
      <x:c r="Y1058" s="24" t="str">
        <x:v>alta</x:v>
      </x:c>
      <x:c r="Z1058" s="24"/>
      <x:c r="AA1058" s="24" t="str">
        <x:v>Rodenstock|Monofocal Rodenstock|Surfaçada|Cosmolit Surfaçada|ColorMatic® 3|1.67|1.67|Solitaire Protect|-10 a +10|até -6||75|||23</x:v>
      </x:c>
    </x:row>
    <x:row r="1059">
      <x:c r="A1059" s="24" t="str">
        <x:v>RD-BCD80BDA89D6</x:v>
      </x:c>
      <x:c r="B1059" s="24" t="str">
        <x:v>SIM</x:v>
      </x:c>
      <x:c r="C1059" s="24" t="str">
        <x:v>DISPONÍVEL</x:v>
      </x:c>
      <x:c r="D1059" s="24" t="str">
        <x:v>Rodenstock</x:v>
      </x:c>
      <x:c r="E1059" s="24" t="str">
        <x:v>Monofocal Rodenstock</x:v>
      </x:c>
      <x:c r="F1059" s="24" t="str">
        <x:v>Surfaçada</x:v>
      </x:c>
      <x:c r="G1059" s="24" t="str">
        <x:v>Cosmolit Surfaçada</x:v>
      </x:c>
      <x:c r="H1059" s="24" t="str">
        <x:v>ColorMatic® 3</x:v>
      </x:c>
      <x:c r="I1059" s="24" t="str">
        <x:v>1.67</x:v>
      </x:c>
      <x:c r="J1059" s="24" t="str">
        <x:v>1.67</x:v>
      </x:c>
      <x:c r="K1059" s="24" t="str">
        <x:v>Solitaire ECO 2</x:v>
      </x:c>
      <x:c r="L1059" s="40" t="n">
        <x:v>3702</x:v>
      </x:c>
      <x:c r="M1059" s="24" t="str">
        <x:v>-10 a +10</x:v>
      </x:c>
      <x:c r="N1059" s="24" t="str">
        <x:v>até -6</x:v>
      </x:c>
      <x:c r="O1059" s="24"/>
      <x:c r="P1059" s="24" t="str">
        <x:v>75</x:v>
      </x:c>
      <x:c r="Q1059" s="24"/>
      <x:c r="R1059" s="24"/>
      <x:c r="S1059" s="26" t="n">
        <x:v>46024</x:v>
      </x:c>
      <x:c r="T1059" s="26"/>
      <x:c r="U1059" s="24" t="str">
        <x:v>ATIVA/SEM FIM INFORMADO</x:v>
      </x:c>
      <x:c r="V1059" s="24"/>
      <x:c r="W1059" s="24" t="n">
        <x:v>23</x:v>
      </x:c>
      <x:c r="X1059" s="24" t="str">
        <x:v>tabela_rodenstock.pdf</x:v>
      </x:c>
      <x:c r="Y1059" s="24" t="str">
        <x:v>alta</x:v>
      </x:c>
      <x:c r="Z1059" s="24"/>
      <x:c r="AA1059" s="24" t="str">
        <x:v>Rodenstock|Monofocal Rodenstock|Surfaçada|Cosmolit Surfaçada|ColorMatic® 3|1.67|1.67|Solitaire ECO 2|-10 a +10|até -6||75|||23</x:v>
      </x:c>
    </x:row>
    <x:row r="1060">
      <x:c r="A1060" s="24" t="str">
        <x:v>RD-CA3D9489EC5B</x:v>
      </x:c>
      <x:c r="B1060" s="24" t="str">
        <x:v>SIM</x:v>
      </x:c>
      <x:c r="C1060" s="24" t="str">
        <x:v>DISPONÍVEL</x:v>
      </x:c>
      <x:c r="D1060" s="24" t="str">
        <x:v>Rodenstock</x:v>
      </x:c>
      <x:c r="E1060" s="24" t="str">
        <x:v>Monofocal Rodenstock</x:v>
      </x:c>
      <x:c r="F1060" s="24" t="str">
        <x:v>Surfaçada</x:v>
      </x:c>
      <x:c r="G1060" s="24" t="str">
        <x:v>Cosmolit Surfaçada</x:v>
      </x:c>
      <x:c r="H1060" s="24"/>
      <x:c r="I1060" s="24" t="str">
        <x:v>Perfalit</x:v>
      </x:c>
      <x:c r="J1060" s="24" t="str">
        <x:v>1.50</x:v>
      </x:c>
      <x:c r="K1060" s="24" t="str">
        <x:v>Solitaire X-tra Clean</x:v>
      </x:c>
      <x:c r="L1060" s="40" t="n">
        <x:v>636</x:v>
      </x:c>
      <x:c r="M1060" s="24" t="str">
        <x:v>-4 a +4</x:v>
      </x:c>
      <x:c r="N1060" s="24" t="str">
        <x:v>até -2</x:v>
      </x:c>
      <x:c r="O1060" s="24"/>
      <x:c r="P1060" s="24" t="str">
        <x:v>65/70</x:v>
      </x:c>
      <x:c r="Q1060" s="24"/>
      <x:c r="R1060" s="24"/>
      <x:c r="S1060" s="26" t="n">
        <x:v>46024</x:v>
      </x:c>
      <x:c r="T1060" s="26"/>
      <x:c r="U1060" s="24" t="str">
        <x:v>ATIVA/SEM FIM INFORMADO</x:v>
      </x:c>
      <x:c r="V1060" s="24"/>
      <x:c r="W1060" s="24" t="n">
        <x:v>23</x:v>
      </x:c>
      <x:c r="X1060" s="24" t="str">
        <x:v>tabela_rodenstock.pdf</x:v>
      </x:c>
      <x:c r="Y1060" s="24" t="str">
        <x:v>alta</x:v>
      </x:c>
      <x:c r="Z1060" s="24"/>
      <x:c r="AA1060" s="24" t="str">
        <x:v>Rodenstock|Monofocal Rodenstock|Surfaçada|Cosmolit Surfaçada||Perfalit|1.50|Solitaire X-tra Clean|-4 a +4|até -2||65/70|||23</x:v>
      </x:c>
    </x:row>
    <x:row r="1061">
      <x:c r="A1061" s="24" t="str">
        <x:v>RD-9D94D918FF26</x:v>
      </x:c>
      <x:c r="B1061" s="24" t="str">
        <x:v>SIM</x:v>
      </x:c>
      <x:c r="C1061" s="24" t="str">
        <x:v>DISPONÍVEL</x:v>
      </x:c>
      <x:c r="D1061" s="24" t="str">
        <x:v>Rodenstock</x:v>
      </x:c>
      <x:c r="E1061" s="24" t="str">
        <x:v>Monofocal Rodenstock</x:v>
      </x:c>
      <x:c r="F1061" s="24" t="str">
        <x:v>Surfaçada</x:v>
      </x:c>
      <x:c r="G1061" s="24" t="str">
        <x:v>Cosmolit Surfaçada</x:v>
      </x:c>
      <x:c r="H1061" s="24"/>
      <x:c r="I1061" s="24" t="str">
        <x:v>Perfalit</x:v>
      </x:c>
      <x:c r="J1061" s="24" t="str">
        <x:v>1.60</x:v>
      </x:c>
      <x:c r="K1061" s="24" t="str">
        <x:v>Solitaire X-tra Clean</x:v>
      </x:c>
      <x:c r="L1061" s="40" t="n">
        <x:v>1076</x:v>
      </x:c>
      <x:c r="M1061" s="24" t="str">
        <x:v>-6 a +6</x:v>
      </x:c>
      <x:c r="N1061" s="24" t="str">
        <x:v>até -2</x:v>
      </x:c>
      <x:c r="O1061" s="24"/>
      <x:c r="P1061" s="24" t="str">
        <x:v>65/70</x:v>
      </x:c>
      <x:c r="Q1061" s="24"/>
      <x:c r="R1061" s="24"/>
      <x:c r="S1061" s="26" t="n">
        <x:v>46024</x:v>
      </x:c>
      <x:c r="T1061" s="26"/>
      <x:c r="U1061" s="24" t="str">
        <x:v>ATIVA/SEM FIM INFORMADO</x:v>
      </x:c>
      <x:c r="V1061" s="24"/>
      <x:c r="W1061" s="24" t="n">
        <x:v>23</x:v>
      </x:c>
      <x:c r="X1061" s="24" t="str">
        <x:v>tabela_rodenstock.pdf</x:v>
      </x:c>
      <x:c r="Y1061" s="24" t="str">
        <x:v>alta</x:v>
      </x:c>
      <x:c r="Z1061" s="24"/>
      <x:c r="AA1061" s="24" t="str">
        <x:v>Rodenstock|Monofocal Rodenstock|Surfaçada|Cosmolit Surfaçada||Perfalit|1.60|Solitaire X-tra Clean|-6 a +6|até -2||65/70|||23</x:v>
      </x:c>
    </x:row>
    <x:row r="1062">
      <x:c r="A1062" s="24" t="str">
        <x:v>RD-9EDF04432F15</x:v>
      </x:c>
      <x:c r="B1062" s="24" t="str">
        <x:v>SIM</x:v>
      </x:c>
      <x:c r="C1062" s="24" t="str">
        <x:v>DISPONÍVEL</x:v>
      </x:c>
      <x:c r="D1062" s="24" t="str">
        <x:v>Rodenstock</x:v>
      </x:c>
      <x:c r="E1062" s="24" t="str">
        <x:v>Monofocal Rodenstock</x:v>
      </x:c>
      <x:c r="F1062" s="24" t="str">
        <x:v>Surfaçada</x:v>
      </x:c>
      <x:c r="G1062" s="24" t="str">
        <x:v>Cosmolit Surfaçada</x:v>
      </x:c>
      <x:c r="H1062" s="24"/>
      <x:c r="I1062" s="24" t="str">
        <x:v>1.5 com AR Hidrocoat 2</x:v>
      </x:c>
      <x:c r="J1062" s="24" t="str">
        <x:v>1.50</x:v>
      </x:c>
      <x:c r="K1062" s="24" t="str">
        <x:v>Solitaire X-tra Clean</x:v>
      </x:c>
      <x:c r="L1062" s="40" t="n">
        <x:v>540</x:v>
      </x:c>
      <x:c r="M1062" s="24" t="str">
        <x:v>-4 a +4</x:v>
      </x:c>
      <x:c r="N1062" s="24" t="str">
        <x:v>até -2</x:v>
      </x:c>
      <x:c r="O1062" s="24"/>
      <x:c r="P1062" s="24" t="str">
        <x:v>65/70</x:v>
      </x:c>
      <x:c r="Q1062" s="24"/>
      <x:c r="R1062" s="24"/>
      <x:c r="S1062" s="26" t="n">
        <x:v>46024</x:v>
      </x:c>
      <x:c r="T1062" s="26"/>
      <x:c r="U1062" s="24" t="str">
        <x:v>ATIVA/SEM FIM INFORMADO</x:v>
      </x:c>
      <x:c r="V1062" s="24"/>
      <x:c r="W1062" s="24" t="n">
        <x:v>23</x:v>
      </x:c>
      <x:c r="X1062" s="24" t="str">
        <x:v>tabela_rodenstock.pdf</x:v>
      </x:c>
      <x:c r="Y1062" s="24" t="str">
        <x:v>alta</x:v>
      </x:c>
      <x:c r="Z1062" s="24"/>
      <x:c r="AA1062" s="24" t="str">
        <x:v>Rodenstock|Monofocal Rodenstock|Surfaçada|Cosmolit Surfaçada||1.5 com AR Hidrocoat 2|1.50|Solitaire X-tra Clean|-4 a +4|até -2||65/70|||23</x:v>
      </x:c>
    </x:row>
    <x:row r="1063">
      <x:c r="A1063" s="24" t="str">
        <x:v>RD-266760FF1F6B</x:v>
      </x:c>
      <x:c r="B1063" s="24" t="str">
        <x:v>SIM</x:v>
      </x:c>
      <x:c r="C1063" s="24" t="str">
        <x:v>DISPONÍVEL</x:v>
      </x:c>
      <x:c r="D1063" s="24" t="str">
        <x:v>Rodenstock</x:v>
      </x:c>
      <x:c r="E1063" s="24" t="str">
        <x:v>Monofocal Rodenstock</x:v>
      </x:c>
      <x:c r="F1063" s="24" t="str">
        <x:v>Surfaçada</x:v>
      </x:c>
      <x:c r="G1063" s="24" t="str">
        <x:v>Cosmolit Surfaçada</x:v>
      </x:c>
      <x:c r="H1063" s="24"/>
      <x:c r="I1063" s="24" t="str">
        <x:v>1.6 com AR Hidrocoat 2</x:v>
      </x:c>
      <x:c r="J1063" s="24" t="str">
        <x:v>1.60</x:v>
      </x:c>
      <x:c r="K1063" s="24" t="str">
        <x:v>Solitaire X-tra Clean</x:v>
      </x:c>
      <x:c r="L1063" s="40" t="n">
        <x:v>708</x:v>
      </x:c>
      <x:c r="M1063" s="24" t="str">
        <x:v>-6 a +6</x:v>
      </x:c>
      <x:c r="N1063" s="24" t="str">
        <x:v>até -2</x:v>
      </x:c>
      <x:c r="O1063" s="24"/>
      <x:c r="P1063" s="24" t="str">
        <x:v>65/70</x:v>
      </x:c>
      <x:c r="Q1063" s="24"/>
      <x:c r="R1063" s="24"/>
      <x:c r="S1063" s="26" t="n">
        <x:v>46024</x:v>
      </x:c>
      <x:c r="T1063" s="26"/>
      <x:c r="U1063" s="24" t="str">
        <x:v>ATIVA/SEM FIM INFORMADO</x:v>
      </x:c>
      <x:c r="V1063" s="24"/>
      <x:c r="W1063" s="24" t="n">
        <x:v>23</x:v>
      </x:c>
      <x:c r="X1063" s="24" t="str">
        <x:v>tabela_rodenstock.pdf</x:v>
      </x:c>
      <x:c r="Y1063" s="24" t="str">
        <x:v>alta</x:v>
      </x:c>
      <x:c r="Z1063" s="24"/>
      <x:c r="AA1063" s="24" t="str">
        <x:v>Rodenstock|Monofocal Rodenstock|Surfaçada|Cosmolit Surfaçada||1.6 com AR Hidrocoat 2|1.60|Solitaire X-tra Clean|-6 a +6|até -2||65/70|||23</x:v>
      </x:c>
    </x:row>
    <x:row r="1064">
      <x:c r="A1064" s="24" t="str">
        <x:v>RD-0DF913808DE6</x:v>
      </x:c>
      <x:c r="B1064" s="24" t="str">
        <x:v>SIM</x:v>
      </x:c>
      <x:c r="C1064" s="24" t="str">
        <x:v>DISPONÍVEL</x:v>
      </x:c>
      <x:c r="D1064" s="24" t="str">
        <x:v>Rodenstock</x:v>
      </x:c>
      <x:c r="E1064" s="24" t="str">
        <x:v>Monofocal Rodenstock</x:v>
      </x:c>
      <x:c r="F1064" s="24" t="str">
        <x:v>Surfaçada</x:v>
      </x:c>
      <x:c r="G1064" s="24" t="str">
        <x:v>Cosmolit Surfaçada</x:v>
      </x:c>
      <x:c r="H1064" s="24"/>
      <x:c r="I1064" s="24" t="str">
        <x:v>1.67 com AR Hidrocoat 2</x:v>
      </x:c>
      <x:c r="J1064" s="24" t="str">
        <x:v>1.67</x:v>
      </x:c>
      <x:c r="K1064" s="24" t="str">
        <x:v>Solitaire X-tra Clean</x:v>
      </x:c>
      <x:c r="L1064" s="40" t="n">
        <x:v>1156</x:v>
      </x:c>
      <x:c r="M1064" s="24" t="str">
        <x:v>-6 a +6</x:v>
      </x:c>
      <x:c r="N1064" s="24" t="str">
        <x:v>até -2</x:v>
      </x:c>
      <x:c r="O1064" s="24"/>
      <x:c r="P1064" s="24" t="str">
        <x:v>65/70</x:v>
      </x:c>
      <x:c r="Q1064" s="24"/>
      <x:c r="R1064" s="24"/>
      <x:c r="S1064" s="26" t="n">
        <x:v>46024</x:v>
      </x:c>
      <x:c r="T1064" s="26"/>
      <x:c r="U1064" s="24" t="str">
        <x:v>ATIVA/SEM FIM INFORMADO</x:v>
      </x:c>
      <x:c r="V1064" s="24"/>
      <x:c r="W1064" s="24" t="n">
        <x:v>23</x:v>
      </x:c>
      <x:c r="X1064" s="24" t="str">
        <x:v>tabela_rodenstock.pdf</x:v>
      </x:c>
      <x:c r="Y1064" s="24" t="str">
        <x:v>alta</x:v>
      </x:c>
      <x:c r="Z1064" s="24"/>
      <x:c r="AA1064" s="24" t="str">
        <x:v>Rodenstock|Monofocal Rodenstock|Surfaçada|Cosmolit Surfaçada||1.67 com AR Hidrocoat 2|1.67|Solitaire X-tra Clean|-6 a +6|até -2||65/70|||23</x:v>
      </x:c>
    </x:row>
    <x:row r="1065">
      <x:c r="A1065" s="24" t="str">
        <x:v>RD-3EA8C9CCC0F4</x:v>
      </x:c>
      <x:c r="B1065" s="24" t="str">
        <x:v>SIM</x:v>
      </x:c>
      <x:c r="C1065" s="24" t="str">
        <x:v>DISPONÍVEL</x:v>
      </x:c>
      <x:c r="D1065" s="24" t="str">
        <x:v>Rodenstock</x:v>
      </x:c>
      <x:c r="E1065" s="24" t="str">
        <x:v>Monofocal Rodenstock</x:v>
      </x:c>
      <x:c r="F1065" s="24" t="str">
        <x:v>Surfaçada</x:v>
      </x:c>
      <x:c r="G1065" s="24" t="str">
        <x:v>Cosmolit Surfaçada</x:v>
      </x:c>
      <x:c r="H1065" s="24"/>
      <x:c r="I1065" s="24" t="str">
        <x:v>1.74 com AR Hidrocoat 2</x:v>
      </x:c>
      <x:c r="J1065" s="24" t="str">
        <x:v>1.74</x:v>
      </x:c>
      <x:c r="K1065" s="24" t="str">
        <x:v>Solitaire X-tra Clean</x:v>
      </x:c>
      <x:c r="L1065" s="40" t="n">
        <x:v>1716</x:v>
      </x:c>
      <x:c r="M1065" s="24" t="str">
        <x:v>-10 a -2.25</x:v>
      </x:c>
      <x:c r="N1065" s="24" t="str">
        <x:v>até -2</x:v>
      </x:c>
      <x:c r="O1065" s="24"/>
      <x:c r="P1065" s="24" t="str">
        <x:v>65/70</x:v>
      </x:c>
      <x:c r="Q1065" s="24"/>
      <x:c r="R1065" s="24"/>
      <x:c r="S1065" s="26" t="n">
        <x:v>46024</x:v>
      </x:c>
      <x:c r="T1065" s="26"/>
      <x:c r="U1065" s="24" t="str">
        <x:v>ATIVA/SEM FIM INFORMADO</x:v>
      </x:c>
      <x:c r="V1065" s="24"/>
      <x:c r="W1065" s="24" t="n">
        <x:v>23</x:v>
      </x:c>
      <x:c r="X1065" s="24" t="str">
        <x:v>tabela_rodenstock.pdf</x:v>
      </x:c>
      <x:c r="Y1065" s="24" t="str">
        <x:v>alta</x:v>
      </x:c>
      <x:c r="Z1065" s="24"/>
      <x:c r="AA1065" s="24" t="str">
        <x:v>Rodenstock|Monofocal Rodenstock|Surfaçada|Cosmolit Surfaçada||1.74 com AR Hidrocoat 2|1.74|Solitaire X-tra Clean|-10 a -2.25|até -2||65/70|||23</x:v>
      </x:c>
    </x:row>
    <x:row r="1066">
      <x:c r="A1066" s="24" t="str">
        <x:v>RD-C3C6496AA042</x:v>
      </x:c>
      <x:c r="B1066" s="24" t="str">
        <x:v>SIM</x:v>
      </x:c>
      <x:c r="C1066" s="24" t="str">
        <x:v>DISPONÍVEL</x:v>
      </x:c>
      <x:c r="D1066" s="24" t="str">
        <x:v>Rodenstock</x:v>
      </x:c>
      <x:c r="E1066" s="24" t="str">
        <x:v>Netline</x:v>
      </x:c>
      <x:c r="F1066" s="24" t="str">
        <x:v>Netline</x:v>
      </x:c>
      <x:c r="G1066" s="24" t="str">
        <x:v>Progressiv E.Max</x:v>
      </x:c>
      <x:c r="H1066" s="24"/>
      <x:c r="I1066" s="24" t="str">
        <x:v>1.5</x:v>
      </x:c>
      <x:c r="J1066" s="24" t="str">
        <x:v>1.50</x:v>
      </x:c>
      <x:c r="K1066" s="24" t="str">
        <x:v>HydroCoat 2</x:v>
      </x:c>
      <x:c r="L1066" s="40" t="n">
        <x:v>2768</x:v>
      </x:c>
      <x:c r="M1066" s="24" t="str">
        <x:v>-8 a +8</x:v>
      </x:c>
      <x:c r="N1066" s="24" t="str">
        <x:v>até -6</x:v>
      </x:c>
      <x:c r="O1066" s="24"/>
      <x:c r="P1066" s="24" t="str">
        <x:v>75/80</x:v>
      </x:c>
      <x:c r="Q1066" s="24"/>
      <x:c r="R1066" s="24"/>
      <x:c r="S1066" s="26" t="n">
        <x:v>46024</x:v>
      </x:c>
      <x:c r="T1066" s="26"/>
      <x:c r="U1066" s="24" t="str">
        <x:v>ATIVA/SEM FIM INFORMADO</x:v>
      </x:c>
      <x:c r="V1066" s="24"/>
      <x:c r="W1066" s="24" t="n">
        <x:v>32</x:v>
      </x:c>
      <x:c r="X1066" s="24" t="str">
        <x:v>tabela_rodenstock.pdf</x:v>
      </x:c>
      <x:c r="Y1066" s="24" t="str">
        <x:v>alta</x:v>
      </x:c>
      <x:c r="Z1066" s="24"/>
      <x:c r="AA1066" s="24" t="str">
        <x:v>Rodenstock|Netline|Netline|Progressiv E.Max||1.5|1.50|HydroCoat 2|-8 a +8|até -6||75/80|||32</x:v>
      </x:c>
    </x:row>
    <x:row r="1067">
      <x:c r="A1067" s="24" t="str">
        <x:v>RD-67B3627483A0</x:v>
      </x:c>
      <x:c r="B1067" s="24" t="str">
        <x:v>SIM</x:v>
      </x:c>
      <x:c r="C1067" s="24" t="str">
        <x:v>DISPONÍVEL</x:v>
      </x:c>
      <x:c r="D1067" s="24" t="str">
        <x:v>Rodenstock</x:v>
      </x:c>
      <x:c r="E1067" s="24" t="str">
        <x:v>Netline</x:v>
      </x:c>
      <x:c r="F1067" s="24" t="str">
        <x:v>Netline</x:v>
      </x:c>
      <x:c r="G1067" s="24" t="str">
        <x:v>Progressiv E.Max</x:v>
      </x:c>
      <x:c r="H1067" s="24"/>
      <x:c r="I1067" s="24" t="str">
        <x:v>1.5</x:v>
      </x:c>
      <x:c r="J1067" s="24" t="str">
        <x:v>1.50</x:v>
      </x:c>
      <x:c r="K1067" s="24" t="str">
        <x:v>Solitaire 2 Protect Balance</x:v>
      </x:c>
      <x:c r="L1067" s="40" t="n">
        <x:v>2768</x:v>
      </x:c>
      <x:c r="M1067" s="24" t="str">
        <x:v>-8 a +8</x:v>
      </x:c>
      <x:c r="N1067" s="24" t="str">
        <x:v>até -6</x:v>
      </x:c>
      <x:c r="O1067" s="24"/>
      <x:c r="P1067" s="24" t="str">
        <x:v>75/80</x:v>
      </x:c>
      <x:c r="Q1067" s="24"/>
      <x:c r="R1067" s="24"/>
      <x:c r="S1067" s="26" t="n">
        <x:v>46024</x:v>
      </x:c>
      <x:c r="T1067" s="26"/>
      <x:c r="U1067" s="24" t="str">
        <x:v>ATIVA/SEM FIM INFORMADO</x:v>
      </x:c>
      <x:c r="V1067" s="24"/>
      <x:c r="W1067" s="24" t="n">
        <x:v>32</x:v>
      </x:c>
      <x:c r="X1067" s="24" t="str">
        <x:v>tabela_rodenstock.pdf</x:v>
      </x:c>
      <x:c r="Y1067" s="24" t="str">
        <x:v>alta</x:v>
      </x:c>
      <x:c r="Z1067" s="24"/>
      <x:c r="AA1067" s="24" t="str">
        <x:v>Rodenstock|Netline|Netline|Progressiv E.Max||1.5|1.50|Solitaire 2 Protect Balance|-8 a +8|até -6||75/80|||32</x:v>
      </x:c>
    </x:row>
    <x:row r="1068">
      <x:c r="A1068" s="24" t="str">
        <x:v>RD-39D3DC35FD49</x:v>
      </x:c>
      <x:c r="B1068" s="24" t="str">
        <x:v>SIM</x:v>
      </x:c>
      <x:c r="C1068" s="24" t="str">
        <x:v>DISPONÍVEL</x:v>
      </x:c>
      <x:c r="D1068" s="24" t="str">
        <x:v>Rodenstock</x:v>
      </x:c>
      <x:c r="E1068" s="24" t="str">
        <x:v>Netline</x:v>
      </x:c>
      <x:c r="F1068" s="24" t="str">
        <x:v>Netline</x:v>
      </x:c>
      <x:c r="G1068" s="24" t="str">
        <x:v>Progressiv E.Max</x:v>
      </x:c>
      <x:c r="H1068" s="24"/>
      <x:c r="I1068" s="24" t="str">
        <x:v>1.5</x:v>
      </x:c>
      <x:c r="J1068" s="24" t="str">
        <x:v>1.50</x:v>
      </x:c>
      <x:c r="K1068" s="24" t="str">
        <x:v>Solitaire ECO 2</x:v>
      </x:c>
      <x:c r="L1068" s="40" t="n">
        <x:v>2028</x:v>
      </x:c>
      <x:c r="M1068" s="24" t="str">
        <x:v>-8 a +8</x:v>
      </x:c>
      <x:c r="N1068" s="24" t="str">
        <x:v>até -6</x:v>
      </x:c>
      <x:c r="O1068" s="24"/>
      <x:c r="P1068" s="24" t="str">
        <x:v>75/80</x:v>
      </x:c>
      <x:c r="Q1068" s="24"/>
      <x:c r="R1068" s="24"/>
      <x:c r="S1068" s="26" t="n">
        <x:v>46024</x:v>
      </x:c>
      <x:c r="T1068" s="26"/>
      <x:c r="U1068" s="24" t="str">
        <x:v>ATIVA/SEM FIM INFORMADO</x:v>
      </x:c>
      <x:c r="V1068" s="24"/>
      <x:c r="W1068" s="24" t="n">
        <x:v>32</x:v>
      </x:c>
      <x:c r="X1068" s="24" t="str">
        <x:v>tabela_rodenstock.pdf</x:v>
      </x:c>
      <x:c r="Y1068" s="24" t="str">
        <x:v>alta</x:v>
      </x:c>
      <x:c r="Z1068" s="24"/>
      <x:c r="AA1068" s="24" t="str">
        <x:v>Rodenstock|Netline|Netline|Progressiv E.Max||1.5|1.50|Solitaire ECO 2|-8 a +8|até -6||75/80|||32</x:v>
      </x:c>
    </x:row>
    <x:row r="1069">
      <x:c r="A1069" s="24" t="str">
        <x:v>RD-4844A9DD0B1F</x:v>
      </x:c>
      <x:c r="B1069" s="24" t="str">
        <x:v>SIM</x:v>
      </x:c>
      <x:c r="C1069" s="24" t="str">
        <x:v>DISPONÍVEL</x:v>
      </x:c>
      <x:c r="D1069" s="24" t="str">
        <x:v>Rodenstock</x:v>
      </x:c>
      <x:c r="E1069" s="24" t="str">
        <x:v>Netline</x:v>
      </x:c>
      <x:c r="F1069" s="24" t="str">
        <x:v>Netline</x:v>
      </x:c>
      <x:c r="G1069" s="24" t="str">
        <x:v>Progressiv E.Max</x:v>
      </x:c>
      <x:c r="H1069" s="24"/>
      <x:c r="I1069" s="24" t="str">
        <x:v>1.5</x:v>
      </x:c>
      <x:c r="J1069" s="24" t="str">
        <x:v>1.50</x:v>
      </x:c>
      <x:c r="K1069" s="24" t="str">
        <x:v>Sem AR</x:v>
      </x:c>
      <x:c r="L1069" s="40" t="n">
        <x:v>1638</x:v>
      </x:c>
      <x:c r="M1069" s="24" t="str">
        <x:v>-8 a +8</x:v>
      </x:c>
      <x:c r="N1069" s="24" t="str">
        <x:v>até -6</x:v>
      </x:c>
      <x:c r="O1069" s="24"/>
      <x:c r="P1069" s="24" t="str">
        <x:v>75/80</x:v>
      </x:c>
      <x:c r="Q1069" s="24"/>
      <x:c r="R1069" s="24"/>
      <x:c r="S1069" s="26" t="n">
        <x:v>46024</x:v>
      </x:c>
      <x:c r="T1069" s="26"/>
      <x:c r="U1069" s="24" t="str">
        <x:v>ATIVA/SEM FIM INFORMADO</x:v>
      </x:c>
      <x:c r="V1069" s="24"/>
      <x:c r="W1069" s="24" t="n">
        <x:v>32</x:v>
      </x:c>
      <x:c r="X1069" s="24" t="str">
        <x:v>tabela_rodenstock.pdf</x:v>
      </x:c>
      <x:c r="Y1069" s="24" t="str">
        <x:v>alta</x:v>
      </x:c>
      <x:c r="Z1069" s="24"/>
      <x:c r="AA1069" s="24" t="str">
        <x:v>Rodenstock|Netline|Netline|Progressiv E.Max||1.5|1.50|Sem AR|-8 a +8|até -6||75/80|||32</x:v>
      </x:c>
    </x:row>
    <x:row r="1070">
      <x:c r="A1070" s="24" t="str">
        <x:v>RD-31A0357419A6</x:v>
      </x:c>
      <x:c r="B1070" s="24" t="str">
        <x:v>SIM</x:v>
      </x:c>
      <x:c r="C1070" s="24" t="str">
        <x:v>DISPONÍVEL</x:v>
      </x:c>
      <x:c r="D1070" s="24" t="str">
        <x:v>Rodenstock</x:v>
      </x:c>
      <x:c r="E1070" s="24" t="str">
        <x:v>Netline</x:v>
      </x:c>
      <x:c r="F1070" s="24" t="str">
        <x:v>Netline</x:v>
      </x:c>
      <x:c r="G1070" s="24" t="str">
        <x:v>Progressiv E.Max</x:v>
      </x:c>
      <x:c r="H1070" s="24" t="str">
        <x:v>ColorMatic® 3</x:v>
      </x:c>
      <x:c r="I1070" s="24" t="str">
        <x:v>1.54</x:v>
      </x:c>
      <x:c r="J1070" s="24" t="str">
        <x:v>1.54</x:v>
      </x:c>
      <x:c r="K1070" s="24" t="str">
        <x:v>HydroCoat 2</x:v>
      </x:c>
      <x:c r="L1070" s="40" t="n">
        <x:v>4059</x:v>
      </x:c>
      <x:c r="M1070" s="24" t="str">
        <x:v>-8 a +8</x:v>
      </x:c>
      <x:c r="N1070" s="24" t="str">
        <x:v>até -6</x:v>
      </x:c>
      <x:c r="O1070" s="24"/>
      <x:c r="P1070" s="24" t="str">
        <x:v>75/80</x:v>
      </x:c>
      <x:c r="Q1070" s="24"/>
      <x:c r="R1070" s="24"/>
      <x:c r="S1070" s="26" t="n">
        <x:v>46024</x:v>
      </x:c>
      <x:c r="T1070" s="26"/>
      <x:c r="U1070" s="24" t="str">
        <x:v>ATIVA/SEM FIM INFORMADO</x:v>
      </x:c>
      <x:c r="V1070" s="24"/>
      <x:c r="W1070" s="24" t="n">
        <x:v>32</x:v>
      </x:c>
      <x:c r="X1070" s="24" t="str">
        <x:v>tabela_rodenstock.pdf</x:v>
      </x:c>
      <x:c r="Y1070" s="24" t="str">
        <x:v>alta</x:v>
      </x:c>
      <x:c r="Z1070" s="24"/>
      <x:c r="AA1070" s="24" t="str">
        <x:v>Rodenstock|Netline|Netline|Progressiv E.Max|ColorMatic® 3|1.54|1.54|HydroCoat 2|-8 a +8|até -6||75/80|||32</x:v>
      </x:c>
    </x:row>
    <x:row r="1071">
      <x:c r="A1071" s="24" t="str">
        <x:v>RD-74140BFB0BE3</x:v>
      </x:c>
      <x:c r="B1071" s="24" t="str">
        <x:v>SIM</x:v>
      </x:c>
      <x:c r="C1071" s="24" t="str">
        <x:v>DISPONÍVEL</x:v>
      </x:c>
      <x:c r="D1071" s="24" t="str">
        <x:v>Rodenstock</x:v>
      </x:c>
      <x:c r="E1071" s="24" t="str">
        <x:v>Netline</x:v>
      </x:c>
      <x:c r="F1071" s="24" t="str">
        <x:v>Netline</x:v>
      </x:c>
      <x:c r="G1071" s="24" t="str">
        <x:v>Progressiv E.Max</x:v>
      </x:c>
      <x:c r="H1071" s="24" t="str">
        <x:v>ColorMatic® 3</x:v>
      </x:c>
      <x:c r="I1071" s="24" t="str">
        <x:v>1.54</x:v>
      </x:c>
      <x:c r="J1071" s="24" t="str">
        <x:v>1.54</x:v>
      </x:c>
      <x:c r="K1071" s="24" t="str">
        <x:v>Solitaire 2 Protect Balance</x:v>
      </x:c>
      <x:c r="L1071" s="40" t="n">
        <x:v>4059</x:v>
      </x:c>
      <x:c r="M1071" s="24" t="str">
        <x:v>-8 a +8</x:v>
      </x:c>
      <x:c r="N1071" s="24" t="str">
        <x:v>até -6</x:v>
      </x:c>
      <x:c r="O1071" s="24"/>
      <x:c r="P1071" s="24" t="str">
        <x:v>75/80</x:v>
      </x:c>
      <x:c r="Q1071" s="24"/>
      <x:c r="R1071" s="24"/>
      <x:c r="S1071" s="26" t="n">
        <x:v>46024</x:v>
      </x:c>
      <x:c r="T1071" s="26"/>
      <x:c r="U1071" s="24" t="str">
        <x:v>ATIVA/SEM FIM INFORMADO</x:v>
      </x:c>
      <x:c r="V1071" s="24"/>
      <x:c r="W1071" s="24" t="n">
        <x:v>32</x:v>
      </x:c>
      <x:c r="X1071" s="24" t="str">
        <x:v>tabela_rodenstock.pdf</x:v>
      </x:c>
      <x:c r="Y1071" s="24" t="str">
        <x:v>alta</x:v>
      </x:c>
      <x:c r="Z1071" s="24"/>
      <x:c r="AA1071" s="24" t="str">
        <x:v>Rodenstock|Netline|Netline|Progressiv E.Max|ColorMatic® 3|1.54|1.54|Solitaire 2 Protect Balance|-8 a +8|até -6||75/80|||32</x:v>
      </x:c>
    </x:row>
    <x:row r="1072">
      <x:c r="A1072" s="24" t="str">
        <x:v>RD-F7EA1A7A43BE</x:v>
      </x:c>
      <x:c r="B1072" s="24" t="str">
        <x:v>SIM</x:v>
      </x:c>
      <x:c r="C1072" s="24" t="str">
        <x:v>DISPONÍVEL</x:v>
      </x:c>
      <x:c r="D1072" s="24" t="str">
        <x:v>Rodenstock</x:v>
      </x:c>
      <x:c r="E1072" s="24" t="str">
        <x:v>Netline</x:v>
      </x:c>
      <x:c r="F1072" s="24" t="str">
        <x:v>Netline</x:v>
      </x:c>
      <x:c r="G1072" s="24" t="str">
        <x:v>Progressiv E.Max</x:v>
      </x:c>
      <x:c r="H1072" s="24" t="str">
        <x:v>ColorMatic® 3</x:v>
      </x:c>
      <x:c r="I1072" s="24" t="str">
        <x:v>1.54</x:v>
      </x:c>
      <x:c r="J1072" s="24" t="str">
        <x:v>1.54</x:v>
      </x:c>
      <x:c r="K1072" s="24" t="str">
        <x:v>Solitaire ECO 2</x:v>
      </x:c>
      <x:c r="L1072" s="40" t="n">
        <x:v>3319</x:v>
      </x:c>
      <x:c r="M1072" s="24" t="str">
        <x:v>-8 a +8</x:v>
      </x:c>
      <x:c r="N1072" s="24" t="str">
        <x:v>até -6</x:v>
      </x:c>
      <x:c r="O1072" s="24"/>
      <x:c r="P1072" s="24" t="str">
        <x:v>75/80</x:v>
      </x:c>
      <x:c r="Q1072" s="24"/>
      <x:c r="R1072" s="24"/>
      <x:c r="S1072" s="26" t="n">
        <x:v>46024</x:v>
      </x:c>
      <x:c r="T1072" s="26"/>
      <x:c r="U1072" s="24" t="str">
        <x:v>ATIVA/SEM FIM INFORMADO</x:v>
      </x:c>
      <x:c r="V1072" s="24"/>
      <x:c r="W1072" s="24" t="n">
        <x:v>32</x:v>
      </x:c>
      <x:c r="X1072" s="24" t="str">
        <x:v>tabela_rodenstock.pdf</x:v>
      </x:c>
      <x:c r="Y1072" s="24" t="str">
        <x:v>alta</x:v>
      </x:c>
      <x:c r="Z1072" s="24"/>
      <x:c r="AA1072" s="24" t="str">
        <x:v>Rodenstock|Netline|Netline|Progressiv E.Max|ColorMatic® 3|1.54|1.54|Solitaire ECO 2|-8 a +8|até -6||75/80|||32</x:v>
      </x:c>
    </x:row>
    <x:row r="1073">
      <x:c r="A1073" s="24" t="str">
        <x:v>RD-A975A503FD27</x:v>
      </x:c>
      <x:c r="B1073" s="24" t="str">
        <x:v>SIM</x:v>
      </x:c>
      <x:c r="C1073" s="24" t="str">
        <x:v>DISPONÍVEL</x:v>
      </x:c>
      <x:c r="D1073" s="24" t="str">
        <x:v>Rodenstock</x:v>
      </x:c>
      <x:c r="E1073" s="24" t="str">
        <x:v>Netline</x:v>
      </x:c>
      <x:c r="F1073" s="24" t="str">
        <x:v>Netline</x:v>
      </x:c>
      <x:c r="G1073" s="24" t="str">
        <x:v>Progressiv E.Max</x:v>
      </x:c>
      <x:c r="H1073" s="24" t="str">
        <x:v>ColorMatic® 3</x:v>
      </x:c>
      <x:c r="I1073" s="24" t="str">
        <x:v>1.54</x:v>
      </x:c>
      <x:c r="J1073" s="24" t="str">
        <x:v>1.54</x:v>
      </x:c>
      <x:c r="K1073" s="24" t="str">
        <x:v>Sem AR</x:v>
      </x:c>
      <x:c r="L1073" s="40" t="n">
        <x:v>2929</x:v>
      </x:c>
      <x:c r="M1073" s="24" t="str">
        <x:v>-8 a +8</x:v>
      </x:c>
      <x:c r="N1073" s="24" t="str">
        <x:v>até -6</x:v>
      </x:c>
      <x:c r="O1073" s="24"/>
      <x:c r="P1073" s="24" t="str">
        <x:v>75/80</x:v>
      </x:c>
      <x:c r="Q1073" s="24"/>
      <x:c r="R1073" s="24"/>
      <x:c r="S1073" s="26" t="n">
        <x:v>46024</x:v>
      </x:c>
      <x:c r="T1073" s="26"/>
      <x:c r="U1073" s="24" t="str">
        <x:v>ATIVA/SEM FIM INFORMADO</x:v>
      </x:c>
      <x:c r="V1073" s="24"/>
      <x:c r="W1073" s="24" t="n">
        <x:v>32</x:v>
      </x:c>
      <x:c r="X1073" s="24" t="str">
        <x:v>tabela_rodenstock.pdf</x:v>
      </x:c>
      <x:c r="Y1073" s="24" t="str">
        <x:v>alta</x:v>
      </x:c>
      <x:c r="Z1073" s="24"/>
      <x:c r="AA1073" s="24" t="str">
        <x:v>Rodenstock|Netline|Netline|Progressiv E.Max|ColorMatic® 3|1.54|1.54|Sem AR|-8 a +8|até -6||75/80|||32</x:v>
      </x:c>
    </x:row>
    <x:row r="1074">
      <x:c r="A1074" s="24" t="str">
        <x:v>RD-58BC4C9F5501</x:v>
      </x:c>
      <x:c r="B1074" s="24" t="str">
        <x:v>SIM</x:v>
      </x:c>
      <x:c r="C1074" s="24" t="str">
        <x:v>DISPONÍVEL</x:v>
      </x:c>
      <x:c r="D1074" s="24" t="str">
        <x:v>Rodenstock</x:v>
      </x:c>
      <x:c r="E1074" s="24" t="str">
        <x:v>Netline</x:v>
      </x:c>
      <x:c r="F1074" s="24" t="str">
        <x:v>Netline</x:v>
      </x:c>
      <x:c r="G1074" s="24" t="str">
        <x:v>Progressiv E.Max</x:v>
      </x:c>
      <x:c r="H1074" s="24"/>
      <x:c r="I1074" s="24" t="str">
        <x:v>1.6</x:v>
      </x:c>
      <x:c r="J1074" s="24" t="str">
        <x:v>1.60</x:v>
      </x:c>
      <x:c r="K1074" s="24" t="str">
        <x:v>HydroCoat 2</x:v>
      </x:c>
      <x:c r="L1074" s="40" t="n">
        <x:v>3040</x:v>
      </x:c>
      <x:c r="M1074" s="24" t="str">
        <x:v>-10 a +8</x:v>
      </x:c>
      <x:c r="N1074" s="24" t="str">
        <x:v>até -6</x:v>
      </x:c>
      <x:c r="O1074" s="24"/>
      <x:c r="P1074" s="24" t="str">
        <x:v>75/80</x:v>
      </x:c>
      <x:c r="Q1074" s="24"/>
      <x:c r="R1074" s="24"/>
      <x:c r="S1074" s="26" t="n">
        <x:v>46024</x:v>
      </x:c>
      <x:c r="T1074" s="26"/>
      <x:c r="U1074" s="24" t="str">
        <x:v>ATIVA/SEM FIM INFORMADO</x:v>
      </x:c>
      <x:c r="V1074" s="24"/>
      <x:c r="W1074" s="24" t="n">
        <x:v>32</x:v>
      </x:c>
      <x:c r="X1074" s="24" t="str">
        <x:v>tabela_rodenstock.pdf</x:v>
      </x:c>
      <x:c r="Y1074" s="24" t="str">
        <x:v>alta</x:v>
      </x:c>
      <x:c r="Z1074" s="24"/>
      <x:c r="AA1074" s="24" t="str">
        <x:v>Rodenstock|Netline|Netline|Progressiv E.Max||1.6|1.60|HydroCoat 2|-10 a +8|até -6||75/80|||32</x:v>
      </x:c>
    </x:row>
    <x:row r="1075">
      <x:c r="A1075" s="24" t="str">
        <x:v>RD-CB70081AEF4B</x:v>
      </x:c>
      <x:c r="B1075" s="24" t="str">
        <x:v>SIM</x:v>
      </x:c>
      <x:c r="C1075" s="24" t="str">
        <x:v>DISPONÍVEL</x:v>
      </x:c>
      <x:c r="D1075" s="24" t="str">
        <x:v>Rodenstock</x:v>
      </x:c>
      <x:c r="E1075" s="24" t="str">
        <x:v>Netline</x:v>
      </x:c>
      <x:c r="F1075" s="24" t="str">
        <x:v>Netline</x:v>
      </x:c>
      <x:c r="G1075" s="24" t="str">
        <x:v>Progressiv E.Max</x:v>
      </x:c>
      <x:c r="H1075" s="24"/>
      <x:c r="I1075" s="24" t="str">
        <x:v>1.6</x:v>
      </x:c>
      <x:c r="J1075" s="24" t="str">
        <x:v>1.60</x:v>
      </x:c>
      <x:c r="K1075" s="24" t="str">
        <x:v>Solitaire 2 Protect Balance</x:v>
      </x:c>
      <x:c r="L1075" s="40" t="n">
        <x:v>3040</x:v>
      </x:c>
      <x:c r="M1075" s="24" t="str">
        <x:v>-10 a +8</x:v>
      </x:c>
      <x:c r="N1075" s="24" t="str">
        <x:v>até -6</x:v>
      </x:c>
      <x:c r="O1075" s="24"/>
      <x:c r="P1075" s="24" t="str">
        <x:v>75/80</x:v>
      </x:c>
      <x:c r="Q1075" s="24"/>
      <x:c r="R1075" s="24"/>
      <x:c r="S1075" s="26" t="n">
        <x:v>46024</x:v>
      </x:c>
      <x:c r="T1075" s="26"/>
      <x:c r="U1075" s="24" t="str">
        <x:v>ATIVA/SEM FIM INFORMADO</x:v>
      </x:c>
      <x:c r="V1075" s="24"/>
      <x:c r="W1075" s="24" t="n">
        <x:v>32</x:v>
      </x:c>
      <x:c r="X1075" s="24" t="str">
        <x:v>tabela_rodenstock.pdf</x:v>
      </x:c>
      <x:c r="Y1075" s="24" t="str">
        <x:v>alta</x:v>
      </x:c>
      <x:c r="Z1075" s="24"/>
      <x:c r="AA1075" s="24" t="str">
        <x:v>Rodenstock|Netline|Netline|Progressiv E.Max||1.6|1.60|Solitaire 2 Protect Balance|-10 a +8|até -6||75/80|||32</x:v>
      </x:c>
    </x:row>
    <x:row r="1076">
      <x:c r="A1076" s="24" t="str">
        <x:v>RD-7F60FE978741</x:v>
      </x:c>
      <x:c r="B1076" s="24" t="str">
        <x:v>SIM</x:v>
      </x:c>
      <x:c r="C1076" s="24" t="str">
        <x:v>DISPONÍVEL</x:v>
      </x:c>
      <x:c r="D1076" s="24" t="str">
        <x:v>Rodenstock</x:v>
      </x:c>
      <x:c r="E1076" s="24" t="str">
        <x:v>Netline</x:v>
      </x:c>
      <x:c r="F1076" s="24" t="str">
        <x:v>Netline</x:v>
      </x:c>
      <x:c r="G1076" s="24" t="str">
        <x:v>Progressiv E.Max</x:v>
      </x:c>
      <x:c r="H1076" s="24"/>
      <x:c r="I1076" s="24" t="str">
        <x:v>1.6</x:v>
      </x:c>
      <x:c r="J1076" s="24" t="str">
        <x:v>1.60</x:v>
      </x:c>
      <x:c r="K1076" s="24" t="str">
        <x:v>Solitaire ECO 2</x:v>
      </x:c>
      <x:c r="L1076" s="40" t="n">
        <x:v>2300</x:v>
      </x:c>
      <x:c r="M1076" s="24" t="str">
        <x:v>-10 a +8</x:v>
      </x:c>
      <x:c r="N1076" s="24" t="str">
        <x:v>até -6</x:v>
      </x:c>
      <x:c r="O1076" s="24"/>
      <x:c r="P1076" s="24" t="str">
        <x:v>75/80</x:v>
      </x:c>
      <x:c r="Q1076" s="24"/>
      <x:c r="R1076" s="24"/>
      <x:c r="S1076" s="26" t="n">
        <x:v>46024</x:v>
      </x:c>
      <x:c r="T1076" s="26"/>
      <x:c r="U1076" s="24" t="str">
        <x:v>ATIVA/SEM FIM INFORMADO</x:v>
      </x:c>
      <x:c r="V1076" s="24"/>
      <x:c r="W1076" s="24" t="n">
        <x:v>32</x:v>
      </x:c>
      <x:c r="X1076" s="24" t="str">
        <x:v>tabela_rodenstock.pdf</x:v>
      </x:c>
      <x:c r="Y1076" s="24" t="str">
        <x:v>alta</x:v>
      </x:c>
      <x:c r="Z1076" s="24"/>
      <x:c r="AA1076" s="24" t="str">
        <x:v>Rodenstock|Netline|Netline|Progressiv E.Max||1.6|1.60|Solitaire ECO 2|-10 a +8|até -6||75/80|||32</x:v>
      </x:c>
    </x:row>
    <x:row r="1077">
      <x:c r="A1077" s="24" t="str">
        <x:v>RD-B40F0FFDB32C</x:v>
      </x:c>
      <x:c r="B1077" s="24" t="str">
        <x:v>SIM</x:v>
      </x:c>
      <x:c r="C1077" s="24" t="str">
        <x:v>DISPONÍVEL</x:v>
      </x:c>
      <x:c r="D1077" s="24" t="str">
        <x:v>Rodenstock</x:v>
      </x:c>
      <x:c r="E1077" s="24" t="str">
        <x:v>Netline</x:v>
      </x:c>
      <x:c r="F1077" s="24" t="str">
        <x:v>Netline</x:v>
      </x:c>
      <x:c r="G1077" s="24" t="str">
        <x:v>Progressiv E.Max</x:v>
      </x:c>
      <x:c r="H1077" s="24" t="str">
        <x:v>ColorMatic® 3</x:v>
      </x:c>
      <x:c r="I1077" s="24" t="str">
        <x:v>1.67</x:v>
      </x:c>
      <x:c r="J1077" s="24" t="str">
        <x:v>1.67</x:v>
      </x:c>
      <x:c r="K1077" s="24" t="str">
        <x:v>HydroCoat 2</x:v>
      </x:c>
      <x:c r="L1077" s="40" t="n">
        <x:v>5204</x:v>
      </x:c>
      <x:c r="M1077" s="24" t="str">
        <x:v>-10 a +8</x:v>
      </x:c>
      <x:c r="N1077" s="24" t="str">
        <x:v>até -6</x:v>
      </x:c>
      <x:c r="O1077" s="24"/>
      <x:c r="P1077" s="24" t="str">
        <x:v>75/80
75/80</x:v>
      </x:c>
      <x:c r="Q1077" s="24"/>
      <x:c r="R1077" s="24"/>
      <x:c r="S1077" s="26" t="n">
        <x:v>46024</x:v>
      </x:c>
      <x:c r="T1077" s="26"/>
      <x:c r="U1077" s="24" t="str">
        <x:v>ATIVA/SEM FIM INFORMADO</x:v>
      </x:c>
      <x:c r="V1077" s="24"/>
      <x:c r="W1077" s="24" t="n">
        <x:v>32</x:v>
      </x:c>
      <x:c r="X1077" s="24" t="str">
        <x:v>tabela_rodenstock.pdf</x:v>
      </x:c>
      <x:c r="Y1077" s="24" t="str">
        <x:v>alta</x:v>
      </x:c>
      <x:c r="Z1077" s="24"/>
      <x:c r="AA1077" s="24" t="str">
        <x:v>Rodenstock|Netline|Netline|Progressiv E.Max|ColorMatic® 3|1.67|1.67|HydroCoat 2|-10 a +8|até -6||75/80
75/80|||32</x:v>
      </x:c>
    </x:row>
    <x:row r="1078">
      <x:c r="A1078" s="24" t="str">
        <x:v>RD-59DCF3B8B119</x:v>
      </x:c>
      <x:c r="B1078" s="24" t="str">
        <x:v>SIM</x:v>
      </x:c>
      <x:c r="C1078" s="24" t="str">
        <x:v>DISPONÍVEL</x:v>
      </x:c>
      <x:c r="D1078" s="24" t="str">
        <x:v>Rodenstock</x:v>
      </x:c>
      <x:c r="E1078" s="24" t="str">
        <x:v>Netline</x:v>
      </x:c>
      <x:c r="F1078" s="24" t="str">
        <x:v>Netline</x:v>
      </x:c>
      <x:c r="G1078" s="24" t="str">
        <x:v>Progressiv E.Max</x:v>
      </x:c>
      <x:c r="H1078" s="24" t="str">
        <x:v>ColorMatic® 3</x:v>
      </x:c>
      <x:c r="I1078" s="24" t="str">
        <x:v>1.67</x:v>
      </x:c>
      <x:c r="J1078" s="24" t="str">
        <x:v>1.67</x:v>
      </x:c>
      <x:c r="K1078" s="24" t="str">
        <x:v>Solitaire 2 Protect Balance</x:v>
      </x:c>
      <x:c r="L1078" s="40" t="n">
        <x:v>5204</x:v>
      </x:c>
      <x:c r="M1078" s="24" t="str">
        <x:v>-10 a +8</x:v>
      </x:c>
      <x:c r="N1078" s="24" t="str">
        <x:v>até -6</x:v>
      </x:c>
      <x:c r="O1078" s="24"/>
      <x:c r="P1078" s="24" t="str">
        <x:v>75/80
75/80</x:v>
      </x:c>
      <x:c r="Q1078" s="24"/>
      <x:c r="R1078" s="24"/>
      <x:c r="S1078" s="26" t="n">
        <x:v>46024</x:v>
      </x:c>
      <x:c r="T1078" s="26"/>
      <x:c r="U1078" s="24" t="str">
        <x:v>ATIVA/SEM FIM INFORMADO</x:v>
      </x:c>
      <x:c r="V1078" s="24"/>
      <x:c r="W1078" s="24" t="n">
        <x:v>32</x:v>
      </x:c>
      <x:c r="X1078" s="24" t="str">
        <x:v>tabela_rodenstock.pdf</x:v>
      </x:c>
      <x:c r="Y1078" s="24" t="str">
        <x:v>alta</x:v>
      </x:c>
      <x:c r="Z1078" s="24"/>
      <x:c r="AA1078" s="24" t="str">
        <x:v>Rodenstock|Netline|Netline|Progressiv E.Max|ColorMatic® 3|1.67|1.67|Solitaire 2 Protect Balance|-10 a +8|até -6||75/80
75/80|||32</x:v>
      </x:c>
    </x:row>
    <x:row r="1079">
      <x:c r="A1079" s="24" t="str">
        <x:v>RD-0CF52A265945</x:v>
      </x:c>
      <x:c r="B1079" s="24" t="str">
        <x:v>SIM</x:v>
      </x:c>
      <x:c r="C1079" s="24" t="str">
        <x:v>DISPONÍVEL</x:v>
      </x:c>
      <x:c r="D1079" s="24" t="str">
        <x:v>Rodenstock</x:v>
      </x:c>
      <x:c r="E1079" s="24" t="str">
        <x:v>Netline</x:v>
      </x:c>
      <x:c r="F1079" s="24" t="str">
        <x:v>Netline</x:v>
      </x:c>
      <x:c r="G1079" s="24" t="str">
        <x:v>Progressiv E.Max</x:v>
      </x:c>
      <x:c r="H1079" s="24" t="str">
        <x:v>ColorMatic® 3</x:v>
      </x:c>
      <x:c r="I1079" s="24" t="str">
        <x:v>1.67</x:v>
      </x:c>
      <x:c r="J1079" s="24" t="str">
        <x:v>1.67</x:v>
      </x:c>
      <x:c r="K1079" s="24" t="str">
        <x:v>Solitaire ECO 2</x:v>
      </x:c>
      <x:c r="L1079" s="40" t="n">
        <x:v>4464</x:v>
      </x:c>
      <x:c r="M1079" s="24" t="str">
        <x:v>-10 a +8</x:v>
      </x:c>
      <x:c r="N1079" s="24" t="str">
        <x:v>até -6</x:v>
      </x:c>
      <x:c r="O1079" s="24"/>
      <x:c r="P1079" s="24" t="str">
        <x:v>75/80
75/80</x:v>
      </x:c>
      <x:c r="Q1079" s="24"/>
      <x:c r="R1079" s="24"/>
      <x:c r="S1079" s="26" t="n">
        <x:v>46024</x:v>
      </x:c>
      <x:c r="T1079" s="26"/>
      <x:c r="U1079" s="24" t="str">
        <x:v>ATIVA/SEM FIM INFORMADO</x:v>
      </x:c>
      <x:c r="V1079" s="24"/>
      <x:c r="W1079" s="24" t="n">
        <x:v>32</x:v>
      </x:c>
      <x:c r="X1079" s="24" t="str">
        <x:v>tabela_rodenstock.pdf</x:v>
      </x:c>
      <x:c r="Y1079" s="24" t="str">
        <x:v>alta</x:v>
      </x:c>
      <x:c r="Z1079" s="24"/>
      <x:c r="AA1079" s="24" t="str">
        <x:v>Rodenstock|Netline|Netline|Progressiv E.Max|ColorMatic® 3|1.67|1.67|Solitaire ECO 2|-10 a +8|até -6||75/80
75/80|||32</x:v>
      </x:c>
    </x:row>
    <x:row r="1080">
      <x:c r="A1080" s="24" t="str">
        <x:v>RD-E931D8FE3119</x:v>
      </x:c>
      <x:c r="B1080" s="24" t="str">
        <x:v>SIM</x:v>
      </x:c>
      <x:c r="C1080" s="24" t="str">
        <x:v>DISPONÍVEL</x:v>
      </x:c>
      <x:c r="D1080" s="24" t="str">
        <x:v>Rodenstock</x:v>
      </x:c>
      <x:c r="E1080" s="24" t="str">
        <x:v>Netline</x:v>
      </x:c>
      <x:c r="F1080" s="24" t="str">
        <x:v>Netline</x:v>
      </x:c>
      <x:c r="G1080" s="24" t="str">
        <x:v>Progressiv E.Pro</x:v>
      </x:c>
      <x:c r="H1080" s="24" t="str">
        <x:v>Polarizada</x:v>
      </x:c>
      <x:c r="I1080" s="24" t="str">
        <x:v>1.5</x:v>
      </x:c>
      <x:c r="J1080" s="24" t="str">
        <x:v>1.50</x:v>
      </x:c>
      <x:c r="K1080" s="24" t="str">
        <x:v>HydroCoat 2</x:v>
      </x:c>
      <x:c r="L1080" s="40" t="n">
        <x:v>3205</x:v>
      </x:c>
      <x:c r="M1080" s="24" t="str">
        <x:v>-6 a +6</x:v>
      </x:c>
      <x:c r="N1080" s="24" t="str">
        <x:v>até -6</x:v>
      </x:c>
      <x:c r="O1080" s="24"/>
      <x:c r="P1080" s="24" t="str">
        <x:v>75/80</x:v>
      </x:c>
      <x:c r="Q1080" s="24"/>
      <x:c r="R1080" s="24"/>
      <x:c r="S1080" s="26" t="n">
        <x:v>46024</x:v>
      </x:c>
      <x:c r="T1080" s="26"/>
      <x:c r="U1080" s="24" t="str">
        <x:v>ATIVA/SEM FIM INFORMADO</x:v>
      </x:c>
      <x:c r="V1080" s="24"/>
      <x:c r="W1080" s="24" t="n">
        <x:v>32</x:v>
      </x:c>
      <x:c r="X1080" s="24" t="str">
        <x:v>tabela_rodenstock.pdf</x:v>
      </x:c>
      <x:c r="Y1080" s="24" t="str">
        <x:v>alta</x:v>
      </x:c>
      <x:c r="Z1080" s="24"/>
      <x:c r="AA1080" s="24" t="str">
        <x:v>Rodenstock|Netline|Netline|Progressiv E.Pro|Polarizada|1.5|1.50|HydroCoat 2|-6 a +6|até -6||75/80|||32</x:v>
      </x:c>
    </x:row>
    <x:row r="1081">
      <x:c r="A1081" s="24" t="str">
        <x:v>RD-00B5922481F0</x:v>
      </x:c>
      <x:c r="B1081" s="24" t="str">
        <x:v>SIM</x:v>
      </x:c>
      <x:c r="C1081" s="24" t="str">
        <x:v>DISPONÍVEL</x:v>
      </x:c>
      <x:c r="D1081" s="24" t="str">
        <x:v>Rodenstock</x:v>
      </x:c>
      <x:c r="E1081" s="24" t="str">
        <x:v>Netline</x:v>
      </x:c>
      <x:c r="F1081" s="24" t="str">
        <x:v>Netline</x:v>
      </x:c>
      <x:c r="G1081" s="24" t="str">
        <x:v>Progressiv E.Pro</x:v>
      </x:c>
      <x:c r="H1081" s="24" t="str">
        <x:v>Polarizada</x:v>
      </x:c>
      <x:c r="I1081" s="24" t="str">
        <x:v>1.5</x:v>
      </x:c>
      <x:c r="J1081" s="24" t="str">
        <x:v>1.50</x:v>
      </x:c>
      <x:c r="K1081" s="24" t="str">
        <x:v>Solitaire 2 Protect Balance</x:v>
      </x:c>
      <x:c r="L1081" s="40" t="n">
        <x:v>3205</x:v>
      </x:c>
      <x:c r="M1081" s="24" t="str">
        <x:v>-6 a +6</x:v>
      </x:c>
      <x:c r="N1081" s="24" t="str">
        <x:v>até -6</x:v>
      </x:c>
      <x:c r="O1081" s="24"/>
      <x:c r="P1081" s="24" t="str">
        <x:v>75/80</x:v>
      </x:c>
      <x:c r="Q1081" s="24"/>
      <x:c r="R1081" s="24"/>
      <x:c r="S1081" s="26" t="n">
        <x:v>46024</x:v>
      </x:c>
      <x:c r="T1081" s="26"/>
      <x:c r="U1081" s="24" t="str">
        <x:v>ATIVA/SEM FIM INFORMADO</x:v>
      </x:c>
      <x:c r="V1081" s="24"/>
      <x:c r="W1081" s="24" t="n">
        <x:v>32</x:v>
      </x:c>
      <x:c r="X1081" s="24" t="str">
        <x:v>tabela_rodenstock.pdf</x:v>
      </x:c>
      <x:c r="Y1081" s="24" t="str">
        <x:v>alta</x:v>
      </x:c>
      <x:c r="Z1081" s="24"/>
      <x:c r="AA1081" s="24" t="str">
        <x:v>Rodenstock|Netline|Netline|Progressiv E.Pro|Polarizada|1.5|1.50|Solitaire 2 Protect Balance|-6 a +6|até -6||75/80|||32</x:v>
      </x:c>
    </x:row>
    <x:row r="1082">
      <x:c r="A1082" s="24" t="str">
        <x:v>RD-553744D37561</x:v>
      </x:c>
      <x:c r="B1082" s="24" t="str">
        <x:v>SIM</x:v>
      </x:c>
      <x:c r="C1082" s="24" t="str">
        <x:v>DISPONÍVEL</x:v>
      </x:c>
      <x:c r="D1082" s="24" t="str">
        <x:v>Rodenstock</x:v>
      </x:c>
      <x:c r="E1082" s="24" t="str">
        <x:v>Netline</x:v>
      </x:c>
      <x:c r="F1082" s="24" t="str">
        <x:v>Netline</x:v>
      </x:c>
      <x:c r="G1082" s="24" t="str">
        <x:v>Progressiv E.Pro</x:v>
      </x:c>
      <x:c r="H1082" s="24" t="str">
        <x:v>Polarizada</x:v>
      </x:c>
      <x:c r="I1082" s="24" t="str">
        <x:v>1.5</x:v>
      </x:c>
      <x:c r="J1082" s="24" t="str">
        <x:v>1.50</x:v>
      </x:c>
      <x:c r="K1082" s="24" t="str">
        <x:v>Solitaire ECO 2</x:v>
      </x:c>
      <x:c r="L1082" s="40" t="n">
        <x:v>2465</x:v>
      </x:c>
      <x:c r="M1082" s="24" t="str">
        <x:v>-6 a +6</x:v>
      </x:c>
      <x:c r="N1082" s="24" t="str">
        <x:v>até -6</x:v>
      </x:c>
      <x:c r="O1082" s="24"/>
      <x:c r="P1082" s="24" t="str">
        <x:v>75/80</x:v>
      </x:c>
      <x:c r="Q1082" s="24"/>
      <x:c r="R1082" s="24"/>
      <x:c r="S1082" s="26" t="n">
        <x:v>46024</x:v>
      </x:c>
      <x:c r="T1082" s="26"/>
      <x:c r="U1082" s="24" t="str">
        <x:v>ATIVA/SEM FIM INFORMADO</x:v>
      </x:c>
      <x:c r="V1082" s="24"/>
      <x:c r="W1082" s="24" t="n">
        <x:v>32</x:v>
      </x:c>
      <x:c r="X1082" s="24" t="str">
        <x:v>tabela_rodenstock.pdf</x:v>
      </x:c>
      <x:c r="Y1082" s="24" t="str">
        <x:v>alta</x:v>
      </x:c>
      <x:c r="Z1082" s="24"/>
      <x:c r="AA1082" s="24" t="str">
        <x:v>Rodenstock|Netline|Netline|Progressiv E.Pro|Polarizada|1.5|1.50|Solitaire ECO 2|-6 a +6|até -6||75/80|||32</x:v>
      </x:c>
    </x:row>
    <x:row r="1083">
      <x:c r="A1083" s="24" t="str">
        <x:v>RD-C1DB839953C4</x:v>
      </x:c>
      <x:c r="B1083" s="24" t="str">
        <x:v>SIM</x:v>
      </x:c>
      <x:c r="C1083" s="24" t="str">
        <x:v>DISPONÍVEL</x:v>
      </x:c>
      <x:c r="D1083" s="24" t="str">
        <x:v>Rodenstock</x:v>
      </x:c>
      <x:c r="E1083" s="24" t="str">
        <x:v>Netline</x:v>
      </x:c>
      <x:c r="F1083" s="24" t="str">
        <x:v>Netline</x:v>
      </x:c>
      <x:c r="G1083" s="24" t="str">
        <x:v>Progressiv E.Pro</x:v>
      </x:c>
      <x:c r="H1083" s="24" t="str">
        <x:v>Polarizada</x:v>
      </x:c>
      <x:c r="I1083" s="24" t="str">
        <x:v>1.5</x:v>
      </x:c>
      <x:c r="J1083" s="24" t="str">
        <x:v>1.50</x:v>
      </x:c>
      <x:c r="K1083" s="24" t="str">
        <x:v>Sem AR</x:v>
      </x:c>
      <x:c r="L1083" s="40" t="n">
        <x:v>2075</x:v>
      </x:c>
      <x:c r="M1083" s="24" t="str">
        <x:v>-6 a +6</x:v>
      </x:c>
      <x:c r="N1083" s="24" t="str">
        <x:v>até -6</x:v>
      </x:c>
      <x:c r="O1083" s="24"/>
      <x:c r="P1083" s="24" t="str">
        <x:v>75/80</x:v>
      </x:c>
      <x:c r="Q1083" s="24"/>
      <x:c r="R1083" s="24"/>
      <x:c r="S1083" s="26" t="n">
        <x:v>46024</x:v>
      </x:c>
      <x:c r="T1083" s="26"/>
      <x:c r="U1083" s="24" t="str">
        <x:v>ATIVA/SEM FIM INFORMADO</x:v>
      </x:c>
      <x:c r="V1083" s="24"/>
      <x:c r="W1083" s="24" t="n">
        <x:v>32</x:v>
      </x:c>
      <x:c r="X1083" s="24" t="str">
        <x:v>tabela_rodenstock.pdf</x:v>
      </x:c>
      <x:c r="Y1083" s="24" t="str">
        <x:v>alta</x:v>
      </x:c>
      <x:c r="Z1083" s="24"/>
      <x:c r="AA1083" s="24" t="str">
        <x:v>Rodenstock|Netline|Netline|Progressiv E.Pro|Polarizada|1.5|1.50|Sem AR|-6 a +6|até -6||75/80|||32</x:v>
      </x:c>
    </x:row>
    <x:row r="1084">
      <x:c r="A1084" s="24" t="str">
        <x:v>RD-7FA0756D6C9C</x:v>
      </x:c>
      <x:c r="B1084" s="24" t="str">
        <x:v>SIM</x:v>
      </x:c>
      <x:c r="C1084" s="24" t="str">
        <x:v>DISPONÍVEL</x:v>
      </x:c>
      <x:c r="D1084" s="24" t="str">
        <x:v>Rodenstock</x:v>
      </x:c>
      <x:c r="E1084" s="24" t="str">
        <x:v>Netline</x:v>
      </x:c>
      <x:c r="F1084" s="24" t="str">
        <x:v>Netline</x:v>
      </x:c>
      <x:c r="G1084" s="24" t="str">
        <x:v>Progressiv E.Pro</x:v>
      </x:c>
      <x:c r="H1084" s="24" t="str">
        <x:v>ColorMatic® 3</x:v>
      </x:c>
      <x:c r="I1084" s="24" t="str">
        <x:v>1.54</x:v>
      </x:c>
      <x:c r="J1084" s="24" t="str">
        <x:v>1.54</x:v>
      </x:c>
      <x:c r="K1084" s="24" t="str">
        <x:v>HydroCoat 2</x:v>
      </x:c>
      <x:c r="L1084" s="40" t="n">
        <x:v>3527</x:v>
      </x:c>
      <x:c r="M1084" s="24" t="str">
        <x:v>-8 a +8</x:v>
      </x:c>
      <x:c r="N1084" s="24" t="str">
        <x:v>até -6</x:v>
      </x:c>
      <x:c r="O1084" s="24"/>
      <x:c r="P1084" s="24" t="str">
        <x:v>75/80</x:v>
      </x:c>
      <x:c r="Q1084" s="24"/>
      <x:c r="R1084" s="24"/>
      <x:c r="S1084" s="26" t="n">
        <x:v>46024</x:v>
      </x:c>
      <x:c r="T1084" s="26"/>
      <x:c r="U1084" s="24" t="str">
        <x:v>ATIVA/SEM FIM INFORMADO</x:v>
      </x:c>
      <x:c r="V1084" s="24"/>
      <x:c r="W1084" s="24" t="n">
        <x:v>32</x:v>
      </x:c>
      <x:c r="X1084" s="24" t="str">
        <x:v>tabela_rodenstock.pdf</x:v>
      </x:c>
      <x:c r="Y1084" s="24" t="str">
        <x:v>alta</x:v>
      </x:c>
      <x:c r="Z1084" s="24"/>
      <x:c r="AA1084" s="24" t="str">
        <x:v>Rodenstock|Netline|Netline|Progressiv E.Pro|ColorMatic® 3|1.54|1.54|HydroCoat 2|-8 a +8|até -6||75/80|||32</x:v>
      </x:c>
    </x:row>
    <x:row r="1085">
      <x:c r="A1085" s="24" t="str">
        <x:v>RD-E1349251649E</x:v>
      </x:c>
      <x:c r="B1085" s="24" t="str">
        <x:v>SIM</x:v>
      </x:c>
      <x:c r="C1085" s="24" t="str">
        <x:v>DISPONÍVEL</x:v>
      </x:c>
      <x:c r="D1085" s="24" t="str">
        <x:v>Rodenstock</x:v>
      </x:c>
      <x:c r="E1085" s="24" t="str">
        <x:v>Netline</x:v>
      </x:c>
      <x:c r="F1085" s="24" t="str">
        <x:v>Netline</x:v>
      </x:c>
      <x:c r="G1085" s="24" t="str">
        <x:v>Progressiv E.Pro</x:v>
      </x:c>
      <x:c r="H1085" s="24" t="str">
        <x:v>ColorMatic® 3</x:v>
      </x:c>
      <x:c r="I1085" s="24" t="str">
        <x:v>1.54</x:v>
      </x:c>
      <x:c r="J1085" s="24" t="str">
        <x:v>1.54</x:v>
      </x:c>
      <x:c r="K1085" s="24" t="str">
        <x:v>Solitaire 2 Protect Balance</x:v>
      </x:c>
      <x:c r="L1085" s="40" t="n">
        <x:v>3527</x:v>
      </x:c>
      <x:c r="M1085" s="24" t="str">
        <x:v>-8 a +8</x:v>
      </x:c>
      <x:c r="N1085" s="24" t="str">
        <x:v>até -6</x:v>
      </x:c>
      <x:c r="O1085" s="24"/>
      <x:c r="P1085" s="24" t="str">
        <x:v>75/80</x:v>
      </x:c>
      <x:c r="Q1085" s="24"/>
      <x:c r="R1085" s="24"/>
      <x:c r="S1085" s="26" t="n">
        <x:v>46024</x:v>
      </x:c>
      <x:c r="T1085" s="26"/>
      <x:c r="U1085" s="24" t="str">
        <x:v>ATIVA/SEM FIM INFORMADO</x:v>
      </x:c>
      <x:c r="V1085" s="24"/>
      <x:c r="W1085" s="24" t="n">
        <x:v>32</x:v>
      </x:c>
      <x:c r="X1085" s="24" t="str">
        <x:v>tabela_rodenstock.pdf</x:v>
      </x:c>
      <x:c r="Y1085" s="24" t="str">
        <x:v>alta</x:v>
      </x:c>
      <x:c r="Z1085" s="24"/>
      <x:c r="AA1085" s="24" t="str">
        <x:v>Rodenstock|Netline|Netline|Progressiv E.Pro|ColorMatic® 3|1.54|1.54|Solitaire 2 Protect Balance|-8 a +8|até -6||75/80|||32</x:v>
      </x:c>
    </x:row>
    <x:row r="1086">
      <x:c r="A1086" s="24" t="str">
        <x:v>RD-CCD30476AC6E</x:v>
      </x:c>
      <x:c r="B1086" s="24" t="str">
        <x:v>SIM</x:v>
      </x:c>
      <x:c r="C1086" s="24" t="str">
        <x:v>DISPONÍVEL</x:v>
      </x:c>
      <x:c r="D1086" s="24" t="str">
        <x:v>Rodenstock</x:v>
      </x:c>
      <x:c r="E1086" s="24" t="str">
        <x:v>Netline</x:v>
      </x:c>
      <x:c r="F1086" s="24" t="str">
        <x:v>Netline</x:v>
      </x:c>
      <x:c r="G1086" s="24" t="str">
        <x:v>Progressiv E.Pro</x:v>
      </x:c>
      <x:c r="H1086" s="24" t="str">
        <x:v>ColorMatic® 3</x:v>
      </x:c>
      <x:c r="I1086" s="24" t="str">
        <x:v>1.54</x:v>
      </x:c>
      <x:c r="J1086" s="24" t="str">
        <x:v>1.54</x:v>
      </x:c>
      <x:c r="K1086" s="24" t="str">
        <x:v>Solitaire ECO 2</x:v>
      </x:c>
      <x:c r="L1086" s="40" t="n">
        <x:v>2787</x:v>
      </x:c>
      <x:c r="M1086" s="24" t="str">
        <x:v>-8 a +8</x:v>
      </x:c>
      <x:c r="N1086" s="24" t="str">
        <x:v>até -6</x:v>
      </x:c>
      <x:c r="O1086" s="24"/>
      <x:c r="P1086" s="24" t="str">
        <x:v>75/80</x:v>
      </x:c>
      <x:c r="Q1086" s="24"/>
      <x:c r="R1086" s="24"/>
      <x:c r="S1086" s="26" t="n">
        <x:v>46024</x:v>
      </x:c>
      <x:c r="T1086" s="26"/>
      <x:c r="U1086" s="24" t="str">
        <x:v>ATIVA/SEM FIM INFORMADO</x:v>
      </x:c>
      <x:c r="V1086" s="24"/>
      <x:c r="W1086" s="24" t="n">
        <x:v>32</x:v>
      </x:c>
      <x:c r="X1086" s="24" t="str">
        <x:v>tabela_rodenstock.pdf</x:v>
      </x:c>
      <x:c r="Y1086" s="24" t="str">
        <x:v>alta</x:v>
      </x:c>
      <x:c r="Z1086" s="24"/>
      <x:c r="AA1086" s="24" t="str">
        <x:v>Rodenstock|Netline|Netline|Progressiv E.Pro|ColorMatic® 3|1.54|1.54|Solitaire ECO 2|-8 a +8|até -6||75/80|||32</x:v>
      </x:c>
    </x:row>
    <x:row r="1087">
      <x:c r="A1087" s="24" t="str">
        <x:v>RD-6BA78245471D</x:v>
      </x:c>
      <x:c r="B1087" s="24" t="str">
        <x:v>SIM</x:v>
      </x:c>
      <x:c r="C1087" s="24" t="str">
        <x:v>DISPONÍVEL</x:v>
      </x:c>
      <x:c r="D1087" s="24" t="str">
        <x:v>Rodenstock</x:v>
      </x:c>
      <x:c r="E1087" s="24" t="str">
        <x:v>Netline</x:v>
      </x:c>
      <x:c r="F1087" s="24" t="str">
        <x:v>Netline</x:v>
      </x:c>
      <x:c r="G1087" s="24" t="str">
        <x:v>Progressiv E.Pro</x:v>
      </x:c>
      <x:c r="H1087" s="24" t="str">
        <x:v>ColorMatic® 3</x:v>
      </x:c>
      <x:c r="I1087" s="24" t="str">
        <x:v>1.54</x:v>
      </x:c>
      <x:c r="J1087" s="24" t="str">
        <x:v>1.54</x:v>
      </x:c>
      <x:c r="K1087" s="24" t="str">
        <x:v>Sem AR</x:v>
      </x:c>
      <x:c r="L1087" s="40" t="n">
        <x:v>2397</x:v>
      </x:c>
      <x:c r="M1087" s="24" t="str">
        <x:v>-8 a +8</x:v>
      </x:c>
      <x:c r="N1087" s="24" t="str">
        <x:v>até -6</x:v>
      </x:c>
      <x:c r="O1087" s="24"/>
      <x:c r="P1087" s="24" t="str">
        <x:v>75/80</x:v>
      </x:c>
      <x:c r="Q1087" s="24"/>
      <x:c r="R1087" s="24"/>
      <x:c r="S1087" s="26" t="n">
        <x:v>46024</x:v>
      </x:c>
      <x:c r="T1087" s="26"/>
      <x:c r="U1087" s="24" t="str">
        <x:v>ATIVA/SEM FIM INFORMADO</x:v>
      </x:c>
      <x:c r="V1087" s="24"/>
      <x:c r="W1087" s="24" t="n">
        <x:v>32</x:v>
      </x:c>
      <x:c r="X1087" s="24" t="str">
        <x:v>tabela_rodenstock.pdf</x:v>
      </x:c>
      <x:c r="Y1087" s="24" t="str">
        <x:v>alta</x:v>
      </x:c>
      <x:c r="Z1087" s="24"/>
      <x:c r="AA1087" s="24" t="str">
        <x:v>Rodenstock|Netline|Netline|Progressiv E.Pro|ColorMatic® 3|1.54|1.54|Sem AR|-8 a +8|até -6||75/80|||32</x:v>
      </x:c>
    </x:row>
    <x:row r="1088">
      <x:c r="A1088" s="24" t="str">
        <x:v>RD-59076E2E629F</x:v>
      </x:c>
      <x:c r="B1088" s="24" t="str">
        <x:v>SIM</x:v>
      </x:c>
      <x:c r="C1088" s="24" t="str">
        <x:v>DISPONÍVEL</x:v>
      </x:c>
      <x:c r="D1088" s="24" t="str">
        <x:v>Rodenstock</x:v>
      </x:c>
      <x:c r="E1088" s="24" t="str">
        <x:v>Netline</x:v>
      </x:c>
      <x:c r="F1088" s="24" t="str">
        <x:v>Netline</x:v>
      </x:c>
      <x:c r="G1088" s="24" t="str">
        <x:v>Progressiv E.Pro</x:v>
      </x:c>
      <x:c r="H1088" s="24"/>
      <x:c r="I1088" s="24" t="str">
        <x:v>1.6</x:v>
      </x:c>
      <x:c r="J1088" s="24" t="str">
        <x:v>1.60</x:v>
      </x:c>
      <x:c r="K1088" s="24" t="str">
        <x:v>HydroCoat 2</x:v>
      </x:c>
      <x:c r="L1088" s="40" t="n">
        <x:v>2585</x:v>
      </x:c>
      <x:c r="M1088" s="24" t="str">
        <x:v>-10 a +8</x:v>
      </x:c>
      <x:c r="N1088" s="24" t="str">
        <x:v>até -6</x:v>
      </x:c>
      <x:c r="O1088" s="24"/>
      <x:c r="P1088" s="24" t="str">
        <x:v>75/80</x:v>
      </x:c>
      <x:c r="Q1088" s="24"/>
      <x:c r="R1088" s="24"/>
      <x:c r="S1088" s="26" t="n">
        <x:v>46024</x:v>
      </x:c>
      <x:c r="T1088" s="26"/>
      <x:c r="U1088" s="24" t="str">
        <x:v>ATIVA/SEM FIM INFORMADO</x:v>
      </x:c>
      <x:c r="V1088" s="24"/>
      <x:c r="W1088" s="24" t="n">
        <x:v>32</x:v>
      </x:c>
      <x:c r="X1088" s="24" t="str">
        <x:v>tabela_rodenstock.pdf</x:v>
      </x:c>
      <x:c r="Y1088" s="24" t="str">
        <x:v>alta</x:v>
      </x:c>
      <x:c r="Z1088" s="24"/>
      <x:c r="AA1088" s="24" t="str">
        <x:v>Rodenstock|Netline|Netline|Progressiv E.Pro||1.6|1.60|HydroCoat 2|-10 a +8|até -6||75/80|||32</x:v>
      </x:c>
    </x:row>
    <x:row r="1089">
      <x:c r="A1089" s="24" t="str">
        <x:v>RD-4293E02D7205</x:v>
      </x:c>
      <x:c r="B1089" s="24" t="str">
        <x:v>SIM</x:v>
      </x:c>
      <x:c r="C1089" s="24" t="str">
        <x:v>DISPONÍVEL</x:v>
      </x:c>
      <x:c r="D1089" s="24" t="str">
        <x:v>Rodenstock</x:v>
      </x:c>
      <x:c r="E1089" s="24" t="str">
        <x:v>Netline</x:v>
      </x:c>
      <x:c r="F1089" s="24" t="str">
        <x:v>Netline</x:v>
      </x:c>
      <x:c r="G1089" s="24" t="str">
        <x:v>Progressiv E.Pro</x:v>
      </x:c>
      <x:c r="H1089" s="24"/>
      <x:c r="I1089" s="24" t="str">
        <x:v>1.6</x:v>
      </x:c>
      <x:c r="J1089" s="24" t="str">
        <x:v>1.60</x:v>
      </x:c>
      <x:c r="K1089" s="24" t="str">
        <x:v>Solitaire 2 Protect Balance</x:v>
      </x:c>
      <x:c r="L1089" s="40" t="n">
        <x:v>2585</x:v>
      </x:c>
      <x:c r="M1089" s="24" t="str">
        <x:v>-10 a +8</x:v>
      </x:c>
      <x:c r="N1089" s="24" t="str">
        <x:v>até -6</x:v>
      </x:c>
      <x:c r="O1089" s="24"/>
      <x:c r="P1089" s="24" t="str">
        <x:v>75/80</x:v>
      </x:c>
      <x:c r="Q1089" s="24"/>
      <x:c r="R1089" s="24"/>
      <x:c r="S1089" s="26" t="n">
        <x:v>46024</x:v>
      </x:c>
      <x:c r="T1089" s="26"/>
      <x:c r="U1089" s="24" t="str">
        <x:v>ATIVA/SEM FIM INFORMADO</x:v>
      </x:c>
      <x:c r="V1089" s="24"/>
      <x:c r="W1089" s="24" t="n">
        <x:v>32</x:v>
      </x:c>
      <x:c r="X1089" s="24" t="str">
        <x:v>tabela_rodenstock.pdf</x:v>
      </x:c>
      <x:c r="Y1089" s="24" t="str">
        <x:v>alta</x:v>
      </x:c>
      <x:c r="Z1089" s="24"/>
      <x:c r="AA1089" s="24" t="str">
        <x:v>Rodenstock|Netline|Netline|Progressiv E.Pro||1.6|1.60|Solitaire 2 Protect Balance|-10 a +8|até -6||75/80|||32</x:v>
      </x:c>
    </x:row>
    <x:row r="1090">
      <x:c r="A1090" s="24" t="str">
        <x:v>RD-B45C8BE6F2F1</x:v>
      </x:c>
      <x:c r="B1090" s="24" t="str">
        <x:v>SIM</x:v>
      </x:c>
      <x:c r="C1090" s="24" t="str">
        <x:v>DISPONÍVEL</x:v>
      </x:c>
      <x:c r="D1090" s="24" t="str">
        <x:v>Rodenstock</x:v>
      </x:c>
      <x:c r="E1090" s="24" t="str">
        <x:v>Netline</x:v>
      </x:c>
      <x:c r="F1090" s="24" t="str">
        <x:v>Netline</x:v>
      </x:c>
      <x:c r="G1090" s="24" t="str">
        <x:v>Progressiv E.Pro</x:v>
      </x:c>
      <x:c r="H1090" s="24"/>
      <x:c r="I1090" s="24" t="str">
        <x:v>1.6</x:v>
      </x:c>
      <x:c r="J1090" s="24" t="str">
        <x:v>1.60</x:v>
      </x:c>
      <x:c r="K1090" s="24" t="str">
        <x:v>Solitaire ECO 2</x:v>
      </x:c>
      <x:c r="L1090" s="40" t="n">
        <x:v>1845</x:v>
      </x:c>
      <x:c r="M1090" s="24" t="str">
        <x:v>-10 a +8</x:v>
      </x:c>
      <x:c r="N1090" s="24" t="str">
        <x:v>até -6</x:v>
      </x:c>
      <x:c r="O1090" s="24"/>
      <x:c r="P1090" s="24" t="str">
        <x:v>75/80</x:v>
      </x:c>
      <x:c r="Q1090" s="24"/>
      <x:c r="R1090" s="24"/>
      <x:c r="S1090" s="26" t="n">
        <x:v>46024</x:v>
      </x:c>
      <x:c r="T1090" s="26"/>
      <x:c r="U1090" s="24" t="str">
        <x:v>ATIVA/SEM FIM INFORMADO</x:v>
      </x:c>
      <x:c r="V1090" s="24"/>
      <x:c r="W1090" s="24" t="n">
        <x:v>32</x:v>
      </x:c>
      <x:c r="X1090" s="24" t="str">
        <x:v>tabela_rodenstock.pdf</x:v>
      </x:c>
      <x:c r="Y1090" s="24" t="str">
        <x:v>alta</x:v>
      </x:c>
      <x:c r="Z1090" s="24"/>
      <x:c r="AA1090" s="24" t="str">
        <x:v>Rodenstock|Netline|Netline|Progressiv E.Pro||1.6|1.60|Solitaire ECO 2|-10 a +8|até -6||75/80|||32</x:v>
      </x:c>
    </x:row>
    <x:row r="1091">
      <x:c r="A1091" s="24" t="str">
        <x:v>RD-F4AF814943F1</x:v>
      </x:c>
      <x:c r="B1091" s="24" t="str">
        <x:v>SIM</x:v>
      </x:c>
      <x:c r="C1091" s="24" t="str">
        <x:v>DISPONÍVEL</x:v>
      </x:c>
      <x:c r="D1091" s="24" t="str">
        <x:v>Rodenstock</x:v>
      </x:c>
      <x:c r="E1091" s="24" t="str">
        <x:v>Netline</x:v>
      </x:c>
      <x:c r="F1091" s="24" t="str">
        <x:v>Netline</x:v>
      </x:c>
      <x:c r="G1091" s="24" t="str">
        <x:v>Progressiv E.Pro</x:v>
      </x:c>
      <x:c r="H1091" s="24" t="str">
        <x:v>ColorMatic® 3</x:v>
      </x:c>
      <x:c r="I1091" s="24" t="str">
        <x:v>1.6</x:v>
      </x:c>
      <x:c r="J1091" s="24" t="str">
        <x:v>1.60</x:v>
      </x:c>
      <x:c r="K1091" s="24" t="str">
        <x:v>HydroCoat 2</x:v>
      </x:c>
      <x:c r="L1091" s="40" t="n">
        <x:v>3872</x:v>
      </x:c>
      <x:c r="M1091" s="24" t="str">
        <x:v>-10 a +8</x:v>
      </x:c>
      <x:c r="N1091" s="24" t="str">
        <x:v>até -6</x:v>
      </x:c>
      <x:c r="O1091" s="24"/>
      <x:c r="P1091" s="24" t="str">
        <x:v>75/80</x:v>
      </x:c>
      <x:c r="Q1091" s="24"/>
      <x:c r="R1091" s="24"/>
      <x:c r="S1091" s="26" t="n">
        <x:v>46024</x:v>
      </x:c>
      <x:c r="T1091" s="26"/>
      <x:c r="U1091" s="24" t="str">
        <x:v>ATIVA/SEM FIM INFORMADO</x:v>
      </x:c>
      <x:c r="V1091" s="24"/>
      <x:c r="W1091" s="24" t="n">
        <x:v>32</x:v>
      </x:c>
      <x:c r="X1091" s="24" t="str">
        <x:v>tabela_rodenstock.pdf</x:v>
      </x:c>
      <x:c r="Y1091" s="24" t="str">
        <x:v>alta</x:v>
      </x:c>
      <x:c r="Z1091" s="24"/>
      <x:c r="AA1091" s="24" t="str">
        <x:v>Rodenstock|Netline|Netline|Progressiv E.Pro|ColorMatic® 3|1.6|1.60|HydroCoat 2|-10 a +8|até -6||75/80|||32</x:v>
      </x:c>
    </x:row>
    <x:row r="1092">
      <x:c r="A1092" s="24" t="str">
        <x:v>RD-8DA3C066C44D</x:v>
      </x:c>
      <x:c r="B1092" s="24" t="str">
        <x:v>SIM</x:v>
      </x:c>
      <x:c r="C1092" s="24" t="str">
        <x:v>DISPONÍVEL</x:v>
      </x:c>
      <x:c r="D1092" s="24" t="str">
        <x:v>Rodenstock</x:v>
      </x:c>
      <x:c r="E1092" s="24" t="str">
        <x:v>Netline</x:v>
      </x:c>
      <x:c r="F1092" s="24" t="str">
        <x:v>Netline</x:v>
      </x:c>
      <x:c r="G1092" s="24" t="str">
        <x:v>Progressiv E.Pro</x:v>
      </x:c>
      <x:c r="H1092" s="24" t="str">
        <x:v>ColorMatic® 3</x:v>
      </x:c>
      <x:c r="I1092" s="24" t="str">
        <x:v>1.6</x:v>
      </x:c>
      <x:c r="J1092" s="24" t="str">
        <x:v>1.60</x:v>
      </x:c>
      <x:c r="K1092" s="24" t="str">
        <x:v>Solitaire 2 Protect Balance</x:v>
      </x:c>
      <x:c r="L1092" s="40" t="n">
        <x:v>3872</x:v>
      </x:c>
      <x:c r="M1092" s="24" t="str">
        <x:v>-10 a +8</x:v>
      </x:c>
      <x:c r="N1092" s="24" t="str">
        <x:v>até -6</x:v>
      </x:c>
      <x:c r="O1092" s="24"/>
      <x:c r="P1092" s="24" t="str">
        <x:v>75/80</x:v>
      </x:c>
      <x:c r="Q1092" s="24"/>
      <x:c r="R1092" s="24"/>
      <x:c r="S1092" s="26" t="n">
        <x:v>46024</x:v>
      </x:c>
      <x:c r="T1092" s="26"/>
      <x:c r="U1092" s="24" t="str">
        <x:v>ATIVA/SEM FIM INFORMADO</x:v>
      </x:c>
      <x:c r="V1092" s="24"/>
      <x:c r="W1092" s="24" t="n">
        <x:v>32</x:v>
      </x:c>
      <x:c r="X1092" s="24" t="str">
        <x:v>tabela_rodenstock.pdf</x:v>
      </x:c>
      <x:c r="Y1092" s="24" t="str">
        <x:v>alta</x:v>
      </x:c>
      <x:c r="Z1092" s="24"/>
      <x:c r="AA1092" s="24" t="str">
        <x:v>Rodenstock|Netline|Netline|Progressiv E.Pro|ColorMatic® 3|1.6|1.60|Solitaire 2 Protect Balance|-10 a +8|até -6||75/80|||32</x:v>
      </x:c>
    </x:row>
    <x:row r="1093">
      <x:c r="A1093" s="24" t="str">
        <x:v>RD-DAF43FE39968</x:v>
      </x:c>
      <x:c r="B1093" s="24" t="str">
        <x:v>SIM</x:v>
      </x:c>
      <x:c r="C1093" s="24" t="str">
        <x:v>DISPONÍVEL</x:v>
      </x:c>
      <x:c r="D1093" s="24" t="str">
        <x:v>Rodenstock</x:v>
      </x:c>
      <x:c r="E1093" s="24" t="str">
        <x:v>Netline</x:v>
      </x:c>
      <x:c r="F1093" s="24" t="str">
        <x:v>Netline</x:v>
      </x:c>
      <x:c r="G1093" s="24" t="str">
        <x:v>Progressiv E.Pro</x:v>
      </x:c>
      <x:c r="H1093" s="24" t="str">
        <x:v>ColorMatic® 3</x:v>
      </x:c>
      <x:c r="I1093" s="24" t="str">
        <x:v>1.6</x:v>
      </x:c>
      <x:c r="J1093" s="24" t="str">
        <x:v>1.60</x:v>
      </x:c>
      <x:c r="K1093" s="24" t="str">
        <x:v>Solitaire ECO 2</x:v>
      </x:c>
      <x:c r="L1093" s="40" t="n">
        <x:v>3132</x:v>
      </x:c>
      <x:c r="M1093" s="24" t="str">
        <x:v>-10 a +8</x:v>
      </x:c>
      <x:c r="N1093" s="24" t="str">
        <x:v>até -6</x:v>
      </x:c>
      <x:c r="O1093" s="24"/>
      <x:c r="P1093" s="24" t="str">
        <x:v>75/80</x:v>
      </x:c>
      <x:c r="Q1093" s="24"/>
      <x:c r="R1093" s="24"/>
      <x:c r="S1093" s="26" t="n">
        <x:v>46024</x:v>
      </x:c>
      <x:c r="T1093" s="26"/>
      <x:c r="U1093" s="24" t="str">
        <x:v>ATIVA/SEM FIM INFORMADO</x:v>
      </x:c>
      <x:c r="V1093" s="24"/>
      <x:c r="W1093" s="24" t="n">
        <x:v>32</x:v>
      </x:c>
      <x:c r="X1093" s="24" t="str">
        <x:v>tabela_rodenstock.pdf</x:v>
      </x:c>
      <x:c r="Y1093" s="24" t="str">
        <x:v>alta</x:v>
      </x:c>
      <x:c r="Z1093" s="24"/>
      <x:c r="AA1093" s="24" t="str">
        <x:v>Rodenstock|Netline|Netline|Progressiv E.Pro|ColorMatic® 3|1.6|1.60|Solitaire ECO 2|-10 a +8|até -6||75/80|||32</x:v>
      </x:c>
    </x:row>
    <x:row r="1094">
      <x:c r="A1094" s="24" t="str">
        <x:v>RD-41A1A02528E9</x:v>
      </x:c>
      <x:c r="B1094" s="24" t="str">
        <x:v>SIM</x:v>
      </x:c>
      <x:c r="C1094" s="24" t="str">
        <x:v>DISPONÍVEL</x:v>
      </x:c>
      <x:c r="D1094" s="24" t="str">
        <x:v>Rodenstock</x:v>
      </x:c>
      <x:c r="E1094" s="24" t="str">
        <x:v>Netline</x:v>
      </x:c>
      <x:c r="F1094" s="24" t="str">
        <x:v>Netline</x:v>
      </x:c>
      <x:c r="G1094" s="24" t="str">
        <x:v>Progressiv E.Pro</x:v>
      </x:c>
      <x:c r="H1094" s="24"/>
      <x:c r="I1094" s="24" t="str">
        <x:v>1.67</x:v>
      </x:c>
      <x:c r="J1094" s="24" t="str">
        <x:v>1.67</x:v>
      </x:c>
      <x:c r="K1094" s="24" t="str">
        <x:v>HydroCoat 2</x:v>
      </x:c>
      <x:c r="L1094" s="40" t="n">
        <x:v>3170</x:v>
      </x:c>
      <x:c r="M1094" s="24" t="str">
        <x:v>-10 a +8</x:v>
      </x:c>
      <x:c r="N1094" s="24" t="str">
        <x:v>até -6</x:v>
      </x:c>
      <x:c r="O1094" s="24"/>
      <x:c r="P1094" s="24" t="str">
        <x:v>75/80</x:v>
      </x:c>
      <x:c r="Q1094" s="24"/>
      <x:c r="R1094" s="24"/>
      <x:c r="S1094" s="26" t="n">
        <x:v>46024</x:v>
      </x:c>
      <x:c r="T1094" s="26"/>
      <x:c r="U1094" s="24" t="str">
        <x:v>ATIVA/SEM FIM INFORMADO</x:v>
      </x:c>
      <x:c r="V1094" s="24"/>
      <x:c r="W1094" s="24" t="n">
        <x:v>32</x:v>
      </x:c>
      <x:c r="X1094" s="24" t="str">
        <x:v>tabela_rodenstock.pdf</x:v>
      </x:c>
      <x:c r="Y1094" s="24" t="str">
        <x:v>alta</x:v>
      </x:c>
      <x:c r="Z1094" s="24"/>
      <x:c r="AA1094" s="24" t="str">
        <x:v>Rodenstock|Netline|Netline|Progressiv E.Pro||1.67|1.67|HydroCoat 2|-10 a +8|até -6||75/80|||32</x:v>
      </x:c>
    </x:row>
    <x:row r="1095">
      <x:c r="A1095" s="24" t="str">
        <x:v>RD-8ABBC43D7090</x:v>
      </x:c>
      <x:c r="B1095" s="24" t="str">
        <x:v>SIM</x:v>
      </x:c>
      <x:c r="C1095" s="24" t="str">
        <x:v>DISPONÍVEL</x:v>
      </x:c>
      <x:c r="D1095" s="24" t="str">
        <x:v>Rodenstock</x:v>
      </x:c>
      <x:c r="E1095" s="24" t="str">
        <x:v>Netline</x:v>
      </x:c>
      <x:c r="F1095" s="24" t="str">
        <x:v>Netline</x:v>
      </x:c>
      <x:c r="G1095" s="24" t="str">
        <x:v>Progressiv E.Pro</x:v>
      </x:c>
      <x:c r="H1095" s="24"/>
      <x:c r="I1095" s="24" t="str">
        <x:v>1.67</x:v>
      </x:c>
      <x:c r="J1095" s="24" t="str">
        <x:v>1.67</x:v>
      </x:c>
      <x:c r="K1095" s="24" t="str">
        <x:v>Solitaire 2 Protect Balance</x:v>
      </x:c>
      <x:c r="L1095" s="40" t="n">
        <x:v>3170</x:v>
      </x:c>
      <x:c r="M1095" s="24" t="str">
        <x:v>-10 a +8</x:v>
      </x:c>
      <x:c r="N1095" s="24" t="str">
        <x:v>até -6</x:v>
      </x:c>
      <x:c r="O1095" s="24"/>
      <x:c r="P1095" s="24" t="str">
        <x:v>75/80</x:v>
      </x:c>
      <x:c r="Q1095" s="24"/>
      <x:c r="R1095" s="24"/>
      <x:c r="S1095" s="26" t="n">
        <x:v>46024</x:v>
      </x:c>
      <x:c r="T1095" s="26"/>
      <x:c r="U1095" s="24" t="str">
        <x:v>ATIVA/SEM FIM INFORMADO</x:v>
      </x:c>
      <x:c r="V1095" s="24"/>
      <x:c r="W1095" s="24" t="n">
        <x:v>32</x:v>
      </x:c>
      <x:c r="X1095" s="24" t="str">
        <x:v>tabela_rodenstock.pdf</x:v>
      </x:c>
      <x:c r="Y1095" s="24" t="str">
        <x:v>alta</x:v>
      </x:c>
      <x:c r="Z1095" s="24"/>
      <x:c r="AA1095" s="24" t="str">
        <x:v>Rodenstock|Netline|Netline|Progressiv E.Pro||1.67|1.67|Solitaire 2 Protect Balance|-10 a +8|até -6||75/80|||32</x:v>
      </x:c>
    </x:row>
    <x:row r="1096">
      <x:c r="A1096" s="24" t="str">
        <x:v>RD-5D656844F850</x:v>
      </x:c>
      <x:c r="B1096" s="24" t="str">
        <x:v>SIM</x:v>
      </x:c>
      <x:c r="C1096" s="24" t="str">
        <x:v>DISPONÍVEL</x:v>
      </x:c>
      <x:c r="D1096" s="24" t="str">
        <x:v>Rodenstock</x:v>
      </x:c>
      <x:c r="E1096" s="24" t="str">
        <x:v>Netline</x:v>
      </x:c>
      <x:c r="F1096" s="24" t="str">
        <x:v>Netline</x:v>
      </x:c>
      <x:c r="G1096" s="24" t="str">
        <x:v>Progressiv E.Pro</x:v>
      </x:c>
      <x:c r="H1096" s="24"/>
      <x:c r="I1096" s="24" t="str">
        <x:v>1.67</x:v>
      </x:c>
      <x:c r="J1096" s="24" t="str">
        <x:v>1.67</x:v>
      </x:c>
      <x:c r="K1096" s="24" t="str">
        <x:v>Solitaire ECO 2</x:v>
      </x:c>
      <x:c r="L1096" s="40" t="n">
        <x:v>2430</x:v>
      </x:c>
      <x:c r="M1096" s="24" t="str">
        <x:v>-10 a +8</x:v>
      </x:c>
      <x:c r="N1096" s="24" t="str">
        <x:v>até -6</x:v>
      </x:c>
      <x:c r="O1096" s="24"/>
      <x:c r="P1096" s="24" t="str">
        <x:v>75/80</x:v>
      </x:c>
      <x:c r="Q1096" s="24"/>
      <x:c r="R1096" s="24"/>
      <x:c r="S1096" s="26" t="n">
        <x:v>46024</x:v>
      </x:c>
      <x:c r="T1096" s="26"/>
      <x:c r="U1096" s="24" t="str">
        <x:v>ATIVA/SEM FIM INFORMADO</x:v>
      </x:c>
      <x:c r="V1096" s="24"/>
      <x:c r="W1096" s="24" t="n">
        <x:v>32</x:v>
      </x:c>
      <x:c r="X1096" s="24" t="str">
        <x:v>tabela_rodenstock.pdf</x:v>
      </x:c>
      <x:c r="Y1096" s="24" t="str">
        <x:v>alta</x:v>
      </x:c>
      <x:c r="Z1096" s="24"/>
      <x:c r="AA1096" s="24" t="str">
        <x:v>Rodenstock|Netline|Netline|Progressiv E.Pro||1.67|1.67|Solitaire ECO 2|-10 a +8|até -6||75/80|||32</x:v>
      </x:c>
    </x:row>
    <x:row r="1097">
      <x:c r="A1097" s="24" t="str">
        <x:v>RD-B5CD81722A06</x:v>
      </x:c>
      <x:c r="B1097" s="24" t="str">
        <x:v>SIM</x:v>
      </x:c>
      <x:c r="C1097" s="24" t="str">
        <x:v>DISPONÍVEL</x:v>
      </x:c>
      <x:c r="D1097" s="24" t="str">
        <x:v>Rodenstock</x:v>
      </x:c>
      <x:c r="E1097" s="24" t="str">
        <x:v>Netline</x:v>
      </x:c>
      <x:c r="F1097" s="24" t="str">
        <x:v>Netline</x:v>
      </x:c>
      <x:c r="G1097" s="24" t="str">
        <x:v>Progressiv E</x:v>
      </x:c>
      <x:c r="H1097" s="24"/>
      <x:c r="I1097" s="24" t="str">
        <x:v>1.5</x:v>
      </x:c>
      <x:c r="J1097" s="24" t="str">
        <x:v>1.50</x:v>
      </x:c>
      <x:c r="K1097" s="24" t="str">
        <x:v>HydroCoat 2</x:v>
      </x:c>
      <x:c r="L1097" s="40" t="n">
        <x:v>1879</x:v>
      </x:c>
      <x:c r="M1097" s="24" t="str">
        <x:v>-8 a +8</x:v>
      </x:c>
      <x:c r="N1097" s="24" t="str">
        <x:v>até -6</x:v>
      </x:c>
      <x:c r="O1097" s="24"/>
      <x:c r="P1097" s="24" t="str">
        <x:v>75/80</x:v>
      </x:c>
      <x:c r="Q1097" s="24"/>
      <x:c r="R1097" s="24"/>
      <x:c r="S1097" s="26" t="n">
        <x:v>46024</x:v>
      </x:c>
      <x:c r="T1097" s="26"/>
      <x:c r="U1097" s="24" t="str">
        <x:v>ATIVA/SEM FIM INFORMADO</x:v>
      </x:c>
      <x:c r="V1097" s="24"/>
      <x:c r="W1097" s="24" t="n">
        <x:v>32</x:v>
      </x:c>
      <x:c r="X1097" s="24" t="str">
        <x:v>tabela_rodenstock.pdf</x:v>
      </x:c>
      <x:c r="Y1097" s="24" t="str">
        <x:v>alta</x:v>
      </x:c>
      <x:c r="Z1097" s="24"/>
      <x:c r="AA1097" s="24" t="str">
        <x:v>Rodenstock|Netline|Netline|Progressiv E||1.5|1.50|HydroCoat 2|-8 a +8|até -6||75/80|||32</x:v>
      </x:c>
    </x:row>
    <x:row r="1098">
      <x:c r="A1098" s="24" t="str">
        <x:v>RD-A969C7FE6F5F</x:v>
      </x:c>
      <x:c r="B1098" s="24" t="str">
        <x:v>SIM</x:v>
      </x:c>
      <x:c r="C1098" s="24" t="str">
        <x:v>DISPONÍVEL</x:v>
      </x:c>
      <x:c r="D1098" s="24" t="str">
        <x:v>Rodenstock</x:v>
      </x:c>
      <x:c r="E1098" s="24" t="str">
        <x:v>Netline</x:v>
      </x:c>
      <x:c r="F1098" s="24" t="str">
        <x:v>Netline</x:v>
      </x:c>
      <x:c r="G1098" s="24" t="str">
        <x:v>Progressiv E</x:v>
      </x:c>
      <x:c r="H1098" s="24"/>
      <x:c r="I1098" s="24" t="str">
        <x:v>1.5</x:v>
      </x:c>
      <x:c r="J1098" s="24" t="str">
        <x:v>1.50</x:v>
      </x:c>
      <x:c r="K1098" s="24" t="str">
        <x:v>Solitaire 2 Protect Balance</x:v>
      </x:c>
      <x:c r="L1098" s="40" t="n">
        <x:v>1879</x:v>
      </x:c>
      <x:c r="M1098" s="24" t="str">
        <x:v>-8 a +8</x:v>
      </x:c>
      <x:c r="N1098" s="24" t="str">
        <x:v>até -6</x:v>
      </x:c>
      <x:c r="O1098" s="24"/>
      <x:c r="P1098" s="24" t="str">
        <x:v>75/80</x:v>
      </x:c>
      <x:c r="Q1098" s="24"/>
      <x:c r="R1098" s="24"/>
      <x:c r="S1098" s="26" t="n">
        <x:v>46024</x:v>
      </x:c>
      <x:c r="T1098" s="26"/>
      <x:c r="U1098" s="24" t="str">
        <x:v>ATIVA/SEM FIM INFORMADO</x:v>
      </x:c>
      <x:c r="V1098" s="24"/>
      <x:c r="W1098" s="24" t="n">
        <x:v>32</x:v>
      </x:c>
      <x:c r="X1098" s="24" t="str">
        <x:v>tabela_rodenstock.pdf</x:v>
      </x:c>
      <x:c r="Y1098" s="24" t="str">
        <x:v>alta</x:v>
      </x:c>
      <x:c r="Z1098" s="24"/>
      <x:c r="AA1098" s="24" t="str">
        <x:v>Rodenstock|Netline|Netline|Progressiv E||1.5|1.50|Solitaire 2 Protect Balance|-8 a +8|até -6||75/80|||32</x:v>
      </x:c>
    </x:row>
    <x:row r="1099">
      <x:c r="A1099" s="24" t="str">
        <x:v>RD-E23EBF2A7894</x:v>
      </x:c>
      <x:c r="B1099" s="24" t="str">
        <x:v>SIM</x:v>
      </x:c>
      <x:c r="C1099" s="24" t="str">
        <x:v>DISPONÍVEL</x:v>
      </x:c>
      <x:c r="D1099" s="24" t="str">
        <x:v>Rodenstock</x:v>
      </x:c>
      <x:c r="E1099" s="24" t="str">
        <x:v>Netline</x:v>
      </x:c>
      <x:c r="F1099" s="24" t="str">
        <x:v>Netline</x:v>
      </x:c>
      <x:c r="G1099" s="24" t="str">
        <x:v>Progressiv E</x:v>
      </x:c>
      <x:c r="H1099" s="24"/>
      <x:c r="I1099" s="24" t="str">
        <x:v>1.5</x:v>
      </x:c>
      <x:c r="J1099" s="24" t="str">
        <x:v>1.50</x:v>
      </x:c>
      <x:c r="K1099" s="24" t="str">
        <x:v>Solitaire ECO 2</x:v>
      </x:c>
      <x:c r="L1099" s="40" t="n">
        <x:v>1139</x:v>
      </x:c>
      <x:c r="M1099" s="24" t="str">
        <x:v>-8 a +8</x:v>
      </x:c>
      <x:c r="N1099" s="24" t="str">
        <x:v>até -6</x:v>
      </x:c>
      <x:c r="O1099" s="24"/>
      <x:c r="P1099" s="24" t="str">
        <x:v>75/80</x:v>
      </x:c>
      <x:c r="Q1099" s="24"/>
      <x:c r="R1099" s="24"/>
      <x:c r="S1099" s="26" t="n">
        <x:v>46024</x:v>
      </x:c>
      <x:c r="T1099" s="26"/>
      <x:c r="U1099" s="24" t="str">
        <x:v>ATIVA/SEM FIM INFORMADO</x:v>
      </x:c>
      <x:c r="V1099" s="24"/>
      <x:c r="W1099" s="24" t="n">
        <x:v>32</x:v>
      </x:c>
      <x:c r="X1099" s="24" t="str">
        <x:v>tabela_rodenstock.pdf</x:v>
      </x:c>
      <x:c r="Y1099" s="24" t="str">
        <x:v>alta</x:v>
      </x:c>
      <x:c r="Z1099" s="24"/>
      <x:c r="AA1099" s="24" t="str">
        <x:v>Rodenstock|Netline|Netline|Progressiv E||1.5|1.50|Solitaire ECO 2|-8 a +8|até -6||75/80|||32</x:v>
      </x:c>
    </x:row>
    <x:row r="1100">
      <x:c r="A1100" s="24" t="str">
        <x:v>RD-A546DDC2D63C</x:v>
      </x:c>
      <x:c r="B1100" s="24" t="str">
        <x:v>SIM</x:v>
      </x:c>
      <x:c r="C1100" s="24" t="str">
        <x:v>DISPONÍVEL</x:v>
      </x:c>
      <x:c r="D1100" s="24" t="str">
        <x:v>Rodenstock</x:v>
      </x:c>
      <x:c r="E1100" s="24" t="str">
        <x:v>Netline</x:v>
      </x:c>
      <x:c r="F1100" s="24" t="str">
        <x:v>Netline</x:v>
      </x:c>
      <x:c r="G1100" s="24" t="str">
        <x:v>Progressiv E</x:v>
      </x:c>
      <x:c r="H1100" s="24"/>
      <x:c r="I1100" s="24" t="str">
        <x:v>1.5</x:v>
      </x:c>
      <x:c r="J1100" s="24" t="str">
        <x:v>1.50</x:v>
      </x:c>
      <x:c r="K1100" s="24" t="str">
        <x:v>Sem AR</x:v>
      </x:c>
      <x:c r="L1100" s="40" t="n">
        <x:v>749</x:v>
      </x:c>
      <x:c r="M1100" s="24" t="str">
        <x:v>-8 a +8</x:v>
      </x:c>
      <x:c r="N1100" s="24" t="str">
        <x:v>até -6</x:v>
      </x:c>
      <x:c r="O1100" s="24"/>
      <x:c r="P1100" s="24" t="str">
        <x:v>75/80</x:v>
      </x:c>
      <x:c r="Q1100" s="24"/>
      <x:c r="R1100" s="24"/>
      <x:c r="S1100" s="26" t="n">
        <x:v>46024</x:v>
      </x:c>
      <x:c r="T1100" s="26"/>
      <x:c r="U1100" s="24" t="str">
        <x:v>ATIVA/SEM FIM INFORMADO</x:v>
      </x:c>
      <x:c r="V1100" s="24"/>
      <x:c r="W1100" s="24" t="n">
        <x:v>32</x:v>
      </x:c>
      <x:c r="X1100" s="24" t="str">
        <x:v>tabela_rodenstock.pdf</x:v>
      </x:c>
      <x:c r="Y1100" s="24" t="str">
        <x:v>alta</x:v>
      </x:c>
      <x:c r="Z1100" s="24"/>
      <x:c r="AA1100" s="24" t="str">
        <x:v>Rodenstock|Netline|Netline|Progressiv E||1.5|1.50|Sem AR|-8 a +8|até -6||75/80|||32</x:v>
      </x:c>
    </x:row>
    <x:row r="1101">
      <x:c r="A1101" s="24" t="str">
        <x:v>RD-C4DE31B90729</x:v>
      </x:c>
      <x:c r="B1101" s="24" t="str">
        <x:v>SIM</x:v>
      </x:c>
      <x:c r="C1101" s="24" t="str">
        <x:v>DISPONÍVEL</x:v>
      </x:c>
      <x:c r="D1101" s="24" t="str">
        <x:v>Rodenstock</x:v>
      </x:c>
      <x:c r="E1101" s="24" t="str">
        <x:v>Netline</x:v>
      </x:c>
      <x:c r="F1101" s="24" t="str">
        <x:v>Netline</x:v>
      </x:c>
      <x:c r="G1101" s="24" t="str">
        <x:v>Progressiv E</x:v>
      </x:c>
      <x:c r="H1101" s="24" t="str">
        <x:v>ColorMatic® 3</x:v>
      </x:c>
      <x:c r="I1101" s="24" t="str">
        <x:v>1.54</x:v>
      </x:c>
      <x:c r="J1101" s="24" t="str">
        <x:v>1.54</x:v>
      </x:c>
      <x:c r="K1101" s="24" t="str">
        <x:v>HydroCoat 2</x:v>
      </x:c>
      <x:c r="L1101" s="40" t="n">
        <x:v>3299</x:v>
      </x:c>
      <x:c r="M1101" s="24" t="str">
        <x:v>-8 a +8</x:v>
      </x:c>
      <x:c r="N1101" s="24" t="str">
        <x:v>até -6</x:v>
      </x:c>
      <x:c r="O1101" s="24"/>
      <x:c r="P1101" s="24" t="str">
        <x:v>75/80</x:v>
      </x:c>
      <x:c r="Q1101" s="24"/>
      <x:c r="R1101" s="24"/>
      <x:c r="S1101" s="26" t="n">
        <x:v>46024</x:v>
      </x:c>
      <x:c r="T1101" s="26"/>
      <x:c r="U1101" s="24" t="str">
        <x:v>ATIVA/SEM FIM INFORMADO</x:v>
      </x:c>
      <x:c r="V1101" s="24"/>
      <x:c r="W1101" s="24" t="n">
        <x:v>32</x:v>
      </x:c>
      <x:c r="X1101" s="24" t="str">
        <x:v>tabela_rodenstock.pdf</x:v>
      </x:c>
      <x:c r="Y1101" s="24" t="str">
        <x:v>alta</x:v>
      </x:c>
      <x:c r="Z1101" s="24"/>
      <x:c r="AA1101" s="24" t="str">
        <x:v>Rodenstock|Netline|Netline|Progressiv E|ColorMatic® 3|1.54|1.54|HydroCoat 2|-8 a +8|até -6||75/80|||32</x:v>
      </x:c>
    </x:row>
    <x:row r="1102">
      <x:c r="A1102" s="24" t="str">
        <x:v>RD-E32FD24CD7AA</x:v>
      </x:c>
      <x:c r="B1102" s="24" t="str">
        <x:v>SIM</x:v>
      </x:c>
      <x:c r="C1102" s="24" t="str">
        <x:v>DISPONÍVEL</x:v>
      </x:c>
      <x:c r="D1102" s="24" t="str">
        <x:v>Rodenstock</x:v>
      </x:c>
      <x:c r="E1102" s="24" t="str">
        <x:v>Netline</x:v>
      </x:c>
      <x:c r="F1102" s="24" t="str">
        <x:v>Netline</x:v>
      </x:c>
      <x:c r="G1102" s="24" t="str">
        <x:v>Progressiv E</x:v>
      </x:c>
      <x:c r="H1102" s="24" t="str">
        <x:v>ColorMatic® 3</x:v>
      </x:c>
      <x:c r="I1102" s="24" t="str">
        <x:v>1.54</x:v>
      </x:c>
      <x:c r="J1102" s="24" t="str">
        <x:v>1.54</x:v>
      </x:c>
      <x:c r="K1102" s="24" t="str">
        <x:v>Solitaire 2 Protect Balance</x:v>
      </x:c>
      <x:c r="L1102" s="40" t="n">
        <x:v>3299</x:v>
      </x:c>
      <x:c r="M1102" s="24" t="str">
        <x:v>-8 a +8</x:v>
      </x:c>
      <x:c r="N1102" s="24" t="str">
        <x:v>até -6</x:v>
      </x:c>
      <x:c r="O1102" s="24"/>
      <x:c r="P1102" s="24" t="str">
        <x:v>75/80</x:v>
      </x:c>
      <x:c r="Q1102" s="24"/>
      <x:c r="R1102" s="24"/>
      <x:c r="S1102" s="26" t="n">
        <x:v>46024</x:v>
      </x:c>
      <x:c r="T1102" s="26"/>
      <x:c r="U1102" s="24" t="str">
        <x:v>ATIVA/SEM FIM INFORMADO</x:v>
      </x:c>
      <x:c r="V1102" s="24"/>
      <x:c r="W1102" s="24" t="n">
        <x:v>32</x:v>
      </x:c>
      <x:c r="X1102" s="24" t="str">
        <x:v>tabela_rodenstock.pdf</x:v>
      </x:c>
      <x:c r="Y1102" s="24" t="str">
        <x:v>alta</x:v>
      </x:c>
      <x:c r="Z1102" s="24"/>
      <x:c r="AA1102" s="24" t="str">
        <x:v>Rodenstock|Netline|Netline|Progressiv E|ColorMatic® 3|1.54|1.54|Solitaire 2 Protect Balance|-8 a +8|até -6||75/80|||32</x:v>
      </x:c>
    </x:row>
    <x:row r="1103">
      <x:c r="A1103" s="24" t="str">
        <x:v>RD-CD22584875BB</x:v>
      </x:c>
      <x:c r="B1103" s="24" t="str">
        <x:v>SIM</x:v>
      </x:c>
      <x:c r="C1103" s="24" t="str">
        <x:v>DISPONÍVEL</x:v>
      </x:c>
      <x:c r="D1103" s="24" t="str">
        <x:v>Rodenstock</x:v>
      </x:c>
      <x:c r="E1103" s="24" t="str">
        <x:v>Netline</x:v>
      </x:c>
      <x:c r="F1103" s="24" t="str">
        <x:v>Netline</x:v>
      </x:c>
      <x:c r="G1103" s="24" t="str">
        <x:v>Progressiv E</x:v>
      </x:c>
      <x:c r="H1103" s="24" t="str">
        <x:v>ColorMatic® 3</x:v>
      </x:c>
      <x:c r="I1103" s="24" t="str">
        <x:v>1.54</x:v>
      </x:c>
      <x:c r="J1103" s="24" t="str">
        <x:v>1.54</x:v>
      </x:c>
      <x:c r="K1103" s="24" t="str">
        <x:v>Solitaire ECO 2</x:v>
      </x:c>
      <x:c r="L1103" s="40" t="n">
        <x:v>2559</x:v>
      </x:c>
      <x:c r="M1103" s="24" t="str">
        <x:v>-8 a +8</x:v>
      </x:c>
      <x:c r="N1103" s="24" t="str">
        <x:v>até -6</x:v>
      </x:c>
      <x:c r="O1103" s="24"/>
      <x:c r="P1103" s="24" t="str">
        <x:v>75/80</x:v>
      </x:c>
      <x:c r="Q1103" s="24"/>
      <x:c r="R1103" s="24"/>
      <x:c r="S1103" s="26" t="n">
        <x:v>46024</x:v>
      </x:c>
      <x:c r="T1103" s="26"/>
      <x:c r="U1103" s="24" t="str">
        <x:v>ATIVA/SEM FIM INFORMADO</x:v>
      </x:c>
      <x:c r="V1103" s="24"/>
      <x:c r="W1103" s="24" t="n">
        <x:v>32</x:v>
      </x:c>
      <x:c r="X1103" s="24" t="str">
        <x:v>tabela_rodenstock.pdf</x:v>
      </x:c>
      <x:c r="Y1103" s="24" t="str">
        <x:v>alta</x:v>
      </x:c>
      <x:c r="Z1103" s="24"/>
      <x:c r="AA1103" s="24" t="str">
        <x:v>Rodenstock|Netline|Netline|Progressiv E|ColorMatic® 3|1.54|1.54|Solitaire ECO 2|-8 a +8|até -6||75/80|||32</x:v>
      </x:c>
    </x:row>
    <x:row r="1104">
      <x:c r="A1104" s="24" t="str">
        <x:v>RD-F5D88F5D34E9</x:v>
      </x:c>
      <x:c r="B1104" s="24" t="str">
        <x:v>SIM</x:v>
      </x:c>
      <x:c r="C1104" s="24" t="str">
        <x:v>DISPONÍVEL</x:v>
      </x:c>
      <x:c r="D1104" s="24" t="str">
        <x:v>Rodenstock</x:v>
      </x:c>
      <x:c r="E1104" s="24" t="str">
        <x:v>Netline</x:v>
      </x:c>
      <x:c r="F1104" s="24" t="str">
        <x:v>Netline</x:v>
      </x:c>
      <x:c r="G1104" s="24" t="str">
        <x:v>Progressiv E</x:v>
      </x:c>
      <x:c r="H1104" s="24" t="str">
        <x:v>ColorMatic® 3</x:v>
      </x:c>
      <x:c r="I1104" s="24" t="str">
        <x:v>1.54</x:v>
      </x:c>
      <x:c r="J1104" s="24" t="str">
        <x:v>1.54</x:v>
      </x:c>
      <x:c r="K1104" s="24" t="str">
        <x:v>Sem AR</x:v>
      </x:c>
      <x:c r="L1104" s="40" t="n">
        <x:v>2169</x:v>
      </x:c>
      <x:c r="M1104" s="24" t="str">
        <x:v>-8 a +8</x:v>
      </x:c>
      <x:c r="N1104" s="24" t="str">
        <x:v>até -6</x:v>
      </x:c>
      <x:c r="O1104" s="24"/>
      <x:c r="P1104" s="24" t="str">
        <x:v>75/80</x:v>
      </x:c>
      <x:c r="Q1104" s="24"/>
      <x:c r="R1104" s="24"/>
      <x:c r="S1104" s="26" t="n">
        <x:v>46024</x:v>
      </x:c>
      <x:c r="T1104" s="26"/>
      <x:c r="U1104" s="24" t="str">
        <x:v>ATIVA/SEM FIM INFORMADO</x:v>
      </x:c>
      <x:c r="V1104" s="24"/>
      <x:c r="W1104" s="24" t="n">
        <x:v>32</x:v>
      </x:c>
      <x:c r="X1104" s="24" t="str">
        <x:v>tabela_rodenstock.pdf</x:v>
      </x:c>
      <x:c r="Y1104" s="24" t="str">
        <x:v>alta</x:v>
      </x:c>
      <x:c r="Z1104" s="24"/>
      <x:c r="AA1104" s="24" t="str">
        <x:v>Rodenstock|Netline|Netline|Progressiv E|ColorMatic® 3|1.54|1.54|Sem AR|-8 a +8|até -6||75/80|||32</x:v>
      </x:c>
    </x:row>
    <x:row r="1105">
      <x:c r="A1105" s="24" t="str">
        <x:v>RD-AB15E1C92D0C</x:v>
      </x:c>
      <x:c r="B1105" s="24" t="str">
        <x:v>SIM</x:v>
      </x:c>
      <x:c r="C1105" s="24" t="str">
        <x:v>DISPONÍVEL</x:v>
      </x:c>
      <x:c r="D1105" s="24" t="str">
        <x:v>Rodenstock</x:v>
      </x:c>
      <x:c r="E1105" s="24" t="str">
        <x:v>Netline</x:v>
      </x:c>
      <x:c r="F1105" s="24" t="str">
        <x:v>Netline</x:v>
      </x:c>
      <x:c r="G1105" s="24" t="str">
        <x:v>Progressiv E</x:v>
      </x:c>
      <x:c r="H1105" s="24"/>
      <x:c r="I1105" s="24" t="str">
        <x:v>1.6</x:v>
      </x:c>
      <x:c r="J1105" s="24" t="str">
        <x:v>1.60</x:v>
      </x:c>
      <x:c r="K1105" s="24" t="str">
        <x:v>HydroCoat 2</x:v>
      </x:c>
      <x:c r="L1105" s="40" t="n">
        <x:v>2110</x:v>
      </x:c>
      <x:c r="M1105" s="24" t="str">
        <x:v>-10 a +8</x:v>
      </x:c>
      <x:c r="N1105" s="24" t="str">
        <x:v>até -6</x:v>
      </x:c>
      <x:c r="O1105" s="24"/>
      <x:c r="P1105" s="24" t="str">
        <x:v>75/80</x:v>
      </x:c>
      <x:c r="Q1105" s="24"/>
      <x:c r="R1105" s="24"/>
      <x:c r="S1105" s="26" t="n">
        <x:v>46024</x:v>
      </x:c>
      <x:c r="T1105" s="26"/>
      <x:c r="U1105" s="24" t="str">
        <x:v>ATIVA/SEM FIM INFORMADO</x:v>
      </x:c>
      <x:c r="V1105" s="24"/>
      <x:c r="W1105" s="24" t="n">
        <x:v>32</x:v>
      </x:c>
      <x:c r="X1105" s="24" t="str">
        <x:v>tabela_rodenstock.pdf</x:v>
      </x:c>
      <x:c r="Y1105" s="24" t="str">
        <x:v>alta</x:v>
      </x:c>
      <x:c r="Z1105" s="24"/>
      <x:c r="AA1105" s="24" t="str">
        <x:v>Rodenstock|Netline|Netline|Progressiv E||1.6|1.60|HydroCoat 2|-10 a +8|até -6||75/80|||32</x:v>
      </x:c>
    </x:row>
    <x:row r="1106">
      <x:c r="A1106" s="24" t="str">
        <x:v>RD-8E4948D044B9</x:v>
      </x:c>
      <x:c r="B1106" s="24" t="str">
        <x:v>SIM</x:v>
      </x:c>
      <x:c r="C1106" s="24" t="str">
        <x:v>DISPONÍVEL</x:v>
      </x:c>
      <x:c r="D1106" s="24" t="str">
        <x:v>Rodenstock</x:v>
      </x:c>
      <x:c r="E1106" s="24" t="str">
        <x:v>Netline</x:v>
      </x:c>
      <x:c r="F1106" s="24" t="str">
        <x:v>Netline</x:v>
      </x:c>
      <x:c r="G1106" s="24" t="str">
        <x:v>Progressiv E</x:v>
      </x:c>
      <x:c r="H1106" s="24"/>
      <x:c r="I1106" s="24" t="str">
        <x:v>1.6</x:v>
      </x:c>
      <x:c r="J1106" s="24" t="str">
        <x:v>1.60</x:v>
      </x:c>
      <x:c r="K1106" s="24" t="str">
        <x:v>Solitaire 2 Protect Balance</x:v>
      </x:c>
      <x:c r="L1106" s="40" t="n">
        <x:v>2110</x:v>
      </x:c>
      <x:c r="M1106" s="24" t="str">
        <x:v>-10 a +8</x:v>
      </x:c>
      <x:c r="N1106" s="24" t="str">
        <x:v>até -6</x:v>
      </x:c>
      <x:c r="O1106" s="24"/>
      <x:c r="P1106" s="24" t="str">
        <x:v>75/80</x:v>
      </x:c>
      <x:c r="Q1106" s="24"/>
      <x:c r="R1106" s="24"/>
      <x:c r="S1106" s="26" t="n">
        <x:v>46024</x:v>
      </x:c>
      <x:c r="T1106" s="26"/>
      <x:c r="U1106" s="24" t="str">
        <x:v>ATIVA/SEM FIM INFORMADO</x:v>
      </x:c>
      <x:c r="V1106" s="24"/>
      <x:c r="W1106" s="24" t="n">
        <x:v>32</x:v>
      </x:c>
      <x:c r="X1106" s="24" t="str">
        <x:v>tabela_rodenstock.pdf</x:v>
      </x:c>
      <x:c r="Y1106" s="24" t="str">
        <x:v>alta</x:v>
      </x:c>
      <x:c r="Z1106" s="24"/>
      <x:c r="AA1106" s="24" t="str">
        <x:v>Rodenstock|Netline|Netline|Progressiv E||1.6|1.60|Solitaire 2 Protect Balance|-10 a +8|até -6||75/80|||32</x:v>
      </x:c>
    </x:row>
    <x:row r="1107">
      <x:c r="A1107" s="24" t="str">
        <x:v>RD-82624B2BBDD7</x:v>
      </x:c>
      <x:c r="B1107" s="24" t="str">
        <x:v>SIM</x:v>
      </x:c>
      <x:c r="C1107" s="24" t="str">
        <x:v>DISPONÍVEL</x:v>
      </x:c>
      <x:c r="D1107" s="24" t="str">
        <x:v>Rodenstock</x:v>
      </x:c>
      <x:c r="E1107" s="24" t="str">
        <x:v>Netline</x:v>
      </x:c>
      <x:c r="F1107" s="24" t="str">
        <x:v>Netline</x:v>
      </x:c>
      <x:c r="G1107" s="24" t="str">
        <x:v>Progressiv E</x:v>
      </x:c>
      <x:c r="H1107" s="24"/>
      <x:c r="I1107" s="24" t="str">
        <x:v>1.6</x:v>
      </x:c>
      <x:c r="J1107" s="24" t="str">
        <x:v>1.60</x:v>
      </x:c>
      <x:c r="K1107" s="24" t="str">
        <x:v>Solitaire ECO 2</x:v>
      </x:c>
      <x:c r="L1107" s="40" t="n">
        <x:v>1370</x:v>
      </x:c>
      <x:c r="M1107" s="24" t="str">
        <x:v>-10 a +8</x:v>
      </x:c>
      <x:c r="N1107" s="24" t="str">
        <x:v>até -6</x:v>
      </x:c>
      <x:c r="O1107" s="24"/>
      <x:c r="P1107" s="24" t="str">
        <x:v>75/80</x:v>
      </x:c>
      <x:c r="Q1107" s="24"/>
      <x:c r="R1107" s="24"/>
      <x:c r="S1107" s="26" t="n">
        <x:v>46024</x:v>
      </x:c>
      <x:c r="T1107" s="26"/>
      <x:c r="U1107" s="24" t="str">
        <x:v>ATIVA/SEM FIM INFORMADO</x:v>
      </x:c>
      <x:c r="V1107" s="24"/>
      <x:c r="W1107" s="24" t="n">
        <x:v>32</x:v>
      </x:c>
      <x:c r="X1107" s="24" t="str">
        <x:v>tabela_rodenstock.pdf</x:v>
      </x:c>
      <x:c r="Y1107" s="24" t="str">
        <x:v>alta</x:v>
      </x:c>
      <x:c r="Z1107" s="24"/>
      <x:c r="AA1107" s="24" t="str">
        <x:v>Rodenstock|Netline|Netline|Progressiv E||1.6|1.60|Solitaire ECO 2|-10 a +8|até -6||75/80|||32</x:v>
      </x:c>
    </x:row>
    <x:row r="1108">
      <x:c r="A1108" s="24" t="str">
        <x:v>RD-5B4D7413E377</x:v>
      </x:c>
      <x:c r="B1108" s="24" t="str">
        <x:v>SIM</x:v>
      </x:c>
      <x:c r="C1108" s="24" t="str">
        <x:v>DISPONÍVEL</x:v>
      </x:c>
      <x:c r="D1108" s="24" t="str">
        <x:v>Rodenstock</x:v>
      </x:c>
      <x:c r="E1108" s="24" t="str">
        <x:v>Netline</x:v>
      </x:c>
      <x:c r="F1108" s="24" t="str">
        <x:v>Netline</x:v>
      </x:c>
      <x:c r="G1108" s="24" t="str">
        <x:v>Progressiv E</x:v>
      </x:c>
      <x:c r="H1108" s="24" t="str">
        <x:v>ColorMatic® 3</x:v>
      </x:c>
      <x:c r="I1108" s="24" t="str">
        <x:v>1.6</x:v>
      </x:c>
      <x:c r="J1108" s="24" t="str">
        <x:v>1.60</x:v>
      </x:c>
      <x:c r="K1108" s="24" t="str">
        <x:v>HydroCoat 2</x:v>
      </x:c>
      <x:c r="L1108" s="40" t="n">
        <x:v>3390</x:v>
      </x:c>
      <x:c r="M1108" s="24" t="str">
        <x:v>-10 a +8</x:v>
      </x:c>
      <x:c r="N1108" s="24" t="str">
        <x:v>até -6</x:v>
      </x:c>
      <x:c r="O1108" s="24"/>
      <x:c r="P1108" s="24" t="str">
        <x:v>75/80</x:v>
      </x:c>
      <x:c r="Q1108" s="24"/>
      <x:c r="R1108" s="24"/>
      <x:c r="S1108" s="26" t="n">
        <x:v>46024</x:v>
      </x:c>
      <x:c r="T1108" s="26"/>
      <x:c r="U1108" s="24" t="str">
        <x:v>ATIVA/SEM FIM INFORMADO</x:v>
      </x:c>
      <x:c r="V1108" s="24"/>
      <x:c r="W1108" s="24" t="n">
        <x:v>32</x:v>
      </x:c>
      <x:c r="X1108" s="24" t="str">
        <x:v>tabela_rodenstock.pdf</x:v>
      </x:c>
      <x:c r="Y1108" s="24" t="str">
        <x:v>alta</x:v>
      </x:c>
      <x:c r="Z1108" s="24"/>
      <x:c r="AA1108" s="24" t="str">
        <x:v>Rodenstock|Netline|Netline|Progressiv E|ColorMatic® 3|1.6|1.60|HydroCoat 2|-10 a +8|até -6||75/80|||32</x:v>
      </x:c>
    </x:row>
    <x:row r="1109">
      <x:c r="A1109" s="24" t="str">
        <x:v>RD-86F469141791</x:v>
      </x:c>
      <x:c r="B1109" s="24" t="str">
        <x:v>SIM</x:v>
      </x:c>
      <x:c r="C1109" s="24" t="str">
        <x:v>DISPONÍVEL</x:v>
      </x:c>
      <x:c r="D1109" s="24" t="str">
        <x:v>Rodenstock</x:v>
      </x:c>
      <x:c r="E1109" s="24" t="str">
        <x:v>Netline</x:v>
      </x:c>
      <x:c r="F1109" s="24" t="str">
        <x:v>Netline</x:v>
      </x:c>
      <x:c r="G1109" s="24" t="str">
        <x:v>Progressiv E</x:v>
      </x:c>
      <x:c r="H1109" s="24" t="str">
        <x:v>ColorMatic® 3</x:v>
      </x:c>
      <x:c r="I1109" s="24" t="str">
        <x:v>1.6</x:v>
      </x:c>
      <x:c r="J1109" s="24" t="str">
        <x:v>1.60</x:v>
      </x:c>
      <x:c r="K1109" s="24" t="str">
        <x:v>Solitaire 2 Protect Balance</x:v>
      </x:c>
      <x:c r="L1109" s="40" t="n">
        <x:v>3390</x:v>
      </x:c>
      <x:c r="M1109" s="24" t="str">
        <x:v>-10 a +8</x:v>
      </x:c>
      <x:c r="N1109" s="24" t="str">
        <x:v>até -6</x:v>
      </x:c>
      <x:c r="O1109" s="24"/>
      <x:c r="P1109" s="24" t="str">
        <x:v>75/80</x:v>
      </x:c>
      <x:c r="Q1109" s="24"/>
      <x:c r="R1109" s="24"/>
      <x:c r="S1109" s="26" t="n">
        <x:v>46024</x:v>
      </x:c>
      <x:c r="T1109" s="26"/>
      <x:c r="U1109" s="24" t="str">
        <x:v>ATIVA/SEM FIM INFORMADO</x:v>
      </x:c>
      <x:c r="V1109" s="24"/>
      <x:c r="W1109" s="24" t="n">
        <x:v>32</x:v>
      </x:c>
      <x:c r="X1109" s="24" t="str">
        <x:v>tabela_rodenstock.pdf</x:v>
      </x:c>
      <x:c r="Y1109" s="24" t="str">
        <x:v>alta</x:v>
      </x:c>
      <x:c r="Z1109" s="24"/>
      <x:c r="AA1109" s="24" t="str">
        <x:v>Rodenstock|Netline|Netline|Progressiv E|ColorMatic® 3|1.6|1.60|Solitaire 2 Protect Balance|-10 a +8|até -6||75/80|||32</x:v>
      </x:c>
    </x:row>
    <x:row r="1110">
      <x:c r="A1110" s="24" t="str">
        <x:v>RD-83B5D21787B5</x:v>
      </x:c>
      <x:c r="B1110" s="24" t="str">
        <x:v>SIM</x:v>
      </x:c>
      <x:c r="C1110" s="24" t="str">
        <x:v>DISPONÍVEL</x:v>
      </x:c>
      <x:c r="D1110" s="24" t="str">
        <x:v>Rodenstock</x:v>
      </x:c>
      <x:c r="E1110" s="24" t="str">
        <x:v>Netline</x:v>
      </x:c>
      <x:c r="F1110" s="24" t="str">
        <x:v>Netline</x:v>
      </x:c>
      <x:c r="G1110" s="24" t="str">
        <x:v>Progressiv E</x:v>
      </x:c>
      <x:c r="H1110" s="24" t="str">
        <x:v>ColorMatic® 3</x:v>
      </x:c>
      <x:c r="I1110" s="24" t="str">
        <x:v>1.6</x:v>
      </x:c>
      <x:c r="J1110" s="24" t="str">
        <x:v>1.60</x:v>
      </x:c>
      <x:c r="K1110" s="24" t="str">
        <x:v>Solitaire ECO 2</x:v>
      </x:c>
      <x:c r="L1110" s="40" t="n">
        <x:v>2650</x:v>
      </x:c>
      <x:c r="M1110" s="24" t="str">
        <x:v>-10 a +8</x:v>
      </x:c>
      <x:c r="N1110" s="24" t="str">
        <x:v>até -6</x:v>
      </x:c>
      <x:c r="O1110" s="24"/>
      <x:c r="P1110" s="24" t="str">
        <x:v>75/80</x:v>
      </x:c>
      <x:c r="Q1110" s="24"/>
      <x:c r="R1110" s="24"/>
      <x:c r="S1110" s="26" t="n">
        <x:v>46024</x:v>
      </x:c>
      <x:c r="T1110" s="26"/>
      <x:c r="U1110" s="24" t="str">
        <x:v>ATIVA/SEM FIM INFORMADO</x:v>
      </x:c>
      <x:c r="V1110" s="24"/>
      <x:c r="W1110" s="24" t="n">
        <x:v>32</x:v>
      </x:c>
      <x:c r="X1110" s="24" t="str">
        <x:v>tabela_rodenstock.pdf</x:v>
      </x:c>
      <x:c r="Y1110" s="24" t="str">
        <x:v>alta</x:v>
      </x:c>
      <x:c r="Z1110" s="24"/>
      <x:c r="AA1110" s="24" t="str">
        <x:v>Rodenstock|Netline|Netline|Progressiv E|ColorMatic® 3|1.6|1.60|Solitaire ECO 2|-10 a +8|até -6||75/80|||32</x:v>
      </x:c>
    </x:row>
    <x:row r="1111">
      <x:c r="A1111" s="24" t="str">
        <x:v>RD-E8BAE56E50AD</x:v>
      </x:c>
      <x:c r="B1111" s="24" t="str">
        <x:v>SIM</x:v>
      </x:c>
      <x:c r="C1111" s="24" t="str">
        <x:v>DISPONÍVEL</x:v>
      </x:c>
      <x:c r="D1111" s="24" t="str">
        <x:v>Rodenstock</x:v>
      </x:c>
      <x:c r="E1111" s="24" t="str">
        <x:v>Netline</x:v>
      </x:c>
      <x:c r="F1111" s="24" t="str">
        <x:v>Netline</x:v>
      </x:c>
      <x:c r="G1111" s="24" t="str">
        <x:v>Progressiv E</x:v>
      </x:c>
      <x:c r="H1111" s="24"/>
      <x:c r="I1111" s="24" t="str">
        <x:v>1.67</x:v>
      </x:c>
      <x:c r="J1111" s="24" t="str">
        <x:v>1.67</x:v>
      </x:c>
      <x:c r="K1111" s="24" t="str">
        <x:v>HydroCoat 2</x:v>
      </x:c>
      <x:c r="L1111" s="40" t="n">
        <x:v>2813</x:v>
      </x:c>
      <x:c r="M1111" s="24" t="str">
        <x:v>-10 a +8</x:v>
      </x:c>
      <x:c r="N1111" s="24" t="str">
        <x:v>até -6</x:v>
      </x:c>
      <x:c r="O1111" s="24"/>
      <x:c r="P1111" s="24" t="str">
        <x:v>75/80</x:v>
      </x:c>
      <x:c r="Q1111" s="24"/>
      <x:c r="R1111" s="24"/>
      <x:c r="S1111" s="26" t="n">
        <x:v>46024</x:v>
      </x:c>
      <x:c r="T1111" s="26"/>
      <x:c r="U1111" s="24" t="str">
        <x:v>ATIVA/SEM FIM INFORMADO</x:v>
      </x:c>
      <x:c r="V1111" s="24"/>
      <x:c r="W1111" s="24" t="n">
        <x:v>32</x:v>
      </x:c>
      <x:c r="X1111" s="24" t="str">
        <x:v>tabela_rodenstock.pdf</x:v>
      </x:c>
      <x:c r="Y1111" s="24" t="str">
        <x:v>alta</x:v>
      </x:c>
      <x:c r="Z1111" s="24"/>
      <x:c r="AA1111" s="24" t="str">
        <x:v>Rodenstock|Netline|Netline|Progressiv E||1.67|1.67|HydroCoat 2|-10 a +8|até -6||75/80|||32</x:v>
      </x:c>
    </x:row>
    <x:row r="1112">
      <x:c r="A1112" s="24" t="str">
        <x:v>RD-675F49A4423C</x:v>
      </x:c>
      <x:c r="B1112" s="24" t="str">
        <x:v>SIM</x:v>
      </x:c>
      <x:c r="C1112" s="24" t="str">
        <x:v>DISPONÍVEL</x:v>
      </x:c>
      <x:c r="D1112" s="24" t="str">
        <x:v>Rodenstock</x:v>
      </x:c>
      <x:c r="E1112" s="24" t="str">
        <x:v>Netline</x:v>
      </x:c>
      <x:c r="F1112" s="24" t="str">
        <x:v>Netline</x:v>
      </x:c>
      <x:c r="G1112" s="24" t="str">
        <x:v>Progressiv E</x:v>
      </x:c>
      <x:c r="H1112" s="24"/>
      <x:c r="I1112" s="24" t="str">
        <x:v>1.67</x:v>
      </x:c>
      <x:c r="J1112" s="24" t="str">
        <x:v>1.67</x:v>
      </x:c>
      <x:c r="K1112" s="24" t="str">
        <x:v>Solitaire 2 Protect Balance</x:v>
      </x:c>
      <x:c r="L1112" s="40" t="n">
        <x:v>2813</x:v>
      </x:c>
      <x:c r="M1112" s="24" t="str">
        <x:v>-10 a +8</x:v>
      </x:c>
      <x:c r="N1112" s="24" t="str">
        <x:v>até -6</x:v>
      </x:c>
      <x:c r="O1112" s="24"/>
      <x:c r="P1112" s="24" t="str">
        <x:v>75/80</x:v>
      </x:c>
      <x:c r="Q1112" s="24"/>
      <x:c r="R1112" s="24"/>
      <x:c r="S1112" s="26" t="n">
        <x:v>46024</x:v>
      </x:c>
      <x:c r="T1112" s="26"/>
      <x:c r="U1112" s="24" t="str">
        <x:v>ATIVA/SEM FIM INFORMADO</x:v>
      </x:c>
      <x:c r="V1112" s="24"/>
      <x:c r="W1112" s="24" t="n">
        <x:v>32</x:v>
      </x:c>
      <x:c r="X1112" s="24" t="str">
        <x:v>tabela_rodenstock.pdf</x:v>
      </x:c>
      <x:c r="Y1112" s="24" t="str">
        <x:v>alta</x:v>
      </x:c>
      <x:c r="Z1112" s="24"/>
      <x:c r="AA1112" s="24" t="str">
        <x:v>Rodenstock|Netline|Netline|Progressiv E||1.67|1.67|Solitaire 2 Protect Balance|-10 a +8|até -6||75/80|||32</x:v>
      </x:c>
    </x:row>
    <x:row r="1113">
      <x:c r="A1113" s="24" t="str">
        <x:v>RD-E79B167D3313</x:v>
      </x:c>
      <x:c r="B1113" s="24" t="str">
        <x:v>SIM</x:v>
      </x:c>
      <x:c r="C1113" s="24" t="str">
        <x:v>DISPONÍVEL</x:v>
      </x:c>
      <x:c r="D1113" s="24" t="str">
        <x:v>Rodenstock</x:v>
      </x:c>
      <x:c r="E1113" s="24" t="str">
        <x:v>Netline</x:v>
      </x:c>
      <x:c r="F1113" s="24" t="str">
        <x:v>Netline</x:v>
      </x:c>
      <x:c r="G1113" s="24" t="str">
        <x:v>Progressiv E</x:v>
      </x:c>
      <x:c r="H1113" s="24"/>
      <x:c r="I1113" s="24" t="str">
        <x:v>1.67</x:v>
      </x:c>
      <x:c r="J1113" s="24" t="str">
        <x:v>1.67</x:v>
      </x:c>
      <x:c r="K1113" s="24" t="str">
        <x:v>Solitaire ECO 2</x:v>
      </x:c>
      <x:c r="L1113" s="40" t="n">
        <x:v>2073</x:v>
      </x:c>
      <x:c r="M1113" s="24" t="str">
        <x:v>-10 a +8</x:v>
      </x:c>
      <x:c r="N1113" s="24" t="str">
        <x:v>até -6</x:v>
      </x:c>
      <x:c r="O1113" s="24"/>
      <x:c r="P1113" s="24" t="str">
        <x:v>75/80</x:v>
      </x:c>
      <x:c r="Q1113" s="24"/>
      <x:c r="R1113" s="24"/>
      <x:c r="S1113" s="26" t="n">
        <x:v>46024</x:v>
      </x:c>
      <x:c r="T1113" s="26"/>
      <x:c r="U1113" s="24" t="str">
        <x:v>ATIVA/SEM FIM INFORMADO</x:v>
      </x:c>
      <x:c r="V1113" s="24"/>
      <x:c r="W1113" s="24" t="n">
        <x:v>32</x:v>
      </x:c>
      <x:c r="X1113" s="24" t="str">
        <x:v>tabela_rodenstock.pdf</x:v>
      </x:c>
      <x:c r="Y1113" s="24" t="str">
        <x:v>alta</x:v>
      </x:c>
      <x:c r="Z1113" s="24"/>
      <x:c r="AA1113" s="24" t="str">
        <x:v>Rodenstock|Netline|Netline|Progressiv E||1.67|1.67|Solitaire ECO 2|-10 a +8|até -6||75/80|||32</x:v>
      </x:c>
    </x:row>
    <x:row r="1114">
      <x:c r="A1114" s="24" t="str">
        <x:v>RD-53A3160C3C81</x:v>
      </x:c>
      <x:c r="B1114" s="24" t="str">
        <x:v>SIM</x:v>
      </x:c>
      <x:c r="C1114" s="24" t="str">
        <x:v>DISPONÍVEL</x:v>
      </x:c>
      <x:c r="D1114" s="24" t="str">
        <x:v>Rodenstock</x:v>
      </x:c>
      <x:c r="E1114" s="24" t="str">
        <x:v>Netline</x:v>
      </x:c>
      <x:c r="F1114" s="24" t="str">
        <x:v>Netline</x:v>
      </x:c>
      <x:c r="G1114" s="24" t="str">
        <x:v>Progressiv E</x:v>
      </x:c>
      <x:c r="H1114" s="24" t="str">
        <x:v>ColorMatic® 3</x:v>
      </x:c>
      <x:c r="I1114" s="24" t="str">
        <x:v>1.67</x:v>
      </x:c>
      <x:c r="J1114" s="24" t="str">
        <x:v>1.67</x:v>
      </x:c>
      <x:c r="K1114" s="24" t="str">
        <x:v>HydroCoat 2</x:v>
      </x:c>
      <x:c r="L1114" s="40" t="n">
        <x:v>4632</x:v>
      </x:c>
      <x:c r="M1114" s="24" t="str">
        <x:v>-10 a +8</x:v>
      </x:c>
      <x:c r="N1114" s="24" t="str">
        <x:v>até -6</x:v>
      </x:c>
      <x:c r="O1114" s="24"/>
      <x:c r="P1114" s="24" t="str">
        <x:v>75/80</x:v>
      </x:c>
      <x:c r="Q1114" s="24"/>
      <x:c r="R1114" s="24"/>
      <x:c r="S1114" s="26" t="n">
        <x:v>46024</x:v>
      </x:c>
      <x:c r="T1114" s="26"/>
      <x:c r="U1114" s="24" t="str">
        <x:v>ATIVA/SEM FIM INFORMADO</x:v>
      </x:c>
      <x:c r="V1114" s="24"/>
      <x:c r="W1114" s="24" t="n">
        <x:v>32</x:v>
      </x:c>
      <x:c r="X1114" s="24" t="str">
        <x:v>tabela_rodenstock.pdf</x:v>
      </x:c>
      <x:c r="Y1114" s="24" t="str">
        <x:v>alta</x:v>
      </x:c>
      <x:c r="Z1114" s="24"/>
      <x:c r="AA1114" s="24" t="str">
        <x:v>Rodenstock|Netline|Netline|Progressiv E|ColorMatic® 3|1.67|1.67|HydroCoat 2|-10 a +8|até -6||75/80|||32</x:v>
      </x:c>
    </x:row>
    <x:row r="1115">
      <x:c r="A1115" s="24" t="str">
        <x:v>RD-87E27AF99A2F</x:v>
      </x:c>
      <x:c r="B1115" s="24" t="str">
        <x:v>SIM</x:v>
      </x:c>
      <x:c r="C1115" s="24" t="str">
        <x:v>DISPONÍVEL</x:v>
      </x:c>
      <x:c r="D1115" s="24" t="str">
        <x:v>Rodenstock</x:v>
      </x:c>
      <x:c r="E1115" s="24" t="str">
        <x:v>Netline</x:v>
      </x:c>
      <x:c r="F1115" s="24" t="str">
        <x:v>Netline</x:v>
      </x:c>
      <x:c r="G1115" s="24" t="str">
        <x:v>Progressiv E</x:v>
      </x:c>
      <x:c r="H1115" s="24" t="str">
        <x:v>ColorMatic® 3</x:v>
      </x:c>
      <x:c r="I1115" s="24" t="str">
        <x:v>1.67</x:v>
      </x:c>
      <x:c r="J1115" s="24" t="str">
        <x:v>1.67</x:v>
      </x:c>
      <x:c r="K1115" s="24" t="str">
        <x:v>Solitaire 2 Protect Balance</x:v>
      </x:c>
      <x:c r="L1115" s="40" t="n">
        <x:v>4632</x:v>
      </x:c>
      <x:c r="M1115" s="24" t="str">
        <x:v>-10 a +8</x:v>
      </x:c>
      <x:c r="N1115" s="24" t="str">
        <x:v>até -6</x:v>
      </x:c>
      <x:c r="O1115" s="24"/>
      <x:c r="P1115" s="24" t="str">
        <x:v>75/80</x:v>
      </x:c>
      <x:c r="Q1115" s="24"/>
      <x:c r="R1115" s="24"/>
      <x:c r="S1115" s="26" t="n">
        <x:v>46024</x:v>
      </x:c>
      <x:c r="T1115" s="26"/>
      <x:c r="U1115" s="24" t="str">
        <x:v>ATIVA/SEM FIM INFORMADO</x:v>
      </x:c>
      <x:c r="V1115" s="24"/>
      <x:c r="W1115" s="24" t="n">
        <x:v>32</x:v>
      </x:c>
      <x:c r="X1115" s="24" t="str">
        <x:v>tabela_rodenstock.pdf</x:v>
      </x:c>
      <x:c r="Y1115" s="24" t="str">
        <x:v>alta</x:v>
      </x:c>
      <x:c r="Z1115" s="24"/>
      <x:c r="AA1115" s="24" t="str">
        <x:v>Rodenstock|Netline|Netline|Progressiv E|ColorMatic® 3|1.67|1.67|Solitaire 2 Protect Balance|-10 a +8|até -6||75/80|||32</x:v>
      </x:c>
    </x:row>
    <x:row r="1116">
      <x:c r="A1116" s="24" t="str">
        <x:v>RD-B648461922A1</x:v>
      </x:c>
      <x:c r="B1116" s="24" t="str">
        <x:v>SIM</x:v>
      </x:c>
      <x:c r="C1116" s="24" t="str">
        <x:v>DISPONÍVEL</x:v>
      </x:c>
      <x:c r="D1116" s="24" t="str">
        <x:v>Rodenstock</x:v>
      </x:c>
      <x:c r="E1116" s="24" t="str">
        <x:v>Netline</x:v>
      </x:c>
      <x:c r="F1116" s="24" t="str">
        <x:v>Netline</x:v>
      </x:c>
      <x:c r="G1116" s="24" t="str">
        <x:v>Progressiv E</x:v>
      </x:c>
      <x:c r="H1116" s="24" t="str">
        <x:v>ColorMatic® 3</x:v>
      </x:c>
      <x:c r="I1116" s="24" t="str">
        <x:v>1.67</x:v>
      </x:c>
      <x:c r="J1116" s="24" t="str">
        <x:v>1.67</x:v>
      </x:c>
      <x:c r="K1116" s="24" t="str">
        <x:v>Solitaire ECO 2</x:v>
      </x:c>
      <x:c r="L1116" s="40" t="n">
        <x:v>3892</x:v>
      </x:c>
      <x:c r="M1116" s="24" t="str">
        <x:v>-10 a +8</x:v>
      </x:c>
      <x:c r="N1116" s="24" t="str">
        <x:v>até -6</x:v>
      </x:c>
      <x:c r="O1116" s="24"/>
      <x:c r="P1116" s="24" t="str">
        <x:v>75/80</x:v>
      </x:c>
      <x:c r="Q1116" s="24"/>
      <x:c r="R1116" s="24"/>
      <x:c r="S1116" s="26" t="n">
        <x:v>46024</x:v>
      </x:c>
      <x:c r="T1116" s="26"/>
      <x:c r="U1116" s="24" t="str">
        <x:v>ATIVA/SEM FIM INFORMADO</x:v>
      </x:c>
      <x:c r="V1116" s="24"/>
      <x:c r="W1116" s="24" t="n">
        <x:v>32</x:v>
      </x:c>
      <x:c r="X1116" s="24" t="str">
        <x:v>tabela_rodenstock.pdf</x:v>
      </x:c>
      <x:c r="Y1116" s="24" t="str">
        <x:v>alta</x:v>
      </x:c>
      <x:c r="Z1116" s="24"/>
      <x:c r="AA1116" s="24" t="str">
        <x:v>Rodenstock|Netline|Netline|Progressiv E|ColorMatic® 3|1.67|1.67|Solitaire ECO 2|-10 a +8|até -6||75/80|||32</x:v>
      </x:c>
    </x:row>
    <x:row r="1117">
      <x:c r="A1117" s="24" t="str">
        <x:v>RD-6412994C1CCB</x:v>
      </x:c>
      <x:c r="B1117" s="24" t="str">
        <x:v>SIM</x:v>
      </x:c>
      <x:c r="C1117" s="24" t="str">
        <x:v>DISPONÍVEL</x:v>
      </x:c>
      <x:c r="D1117" s="24" t="str">
        <x:v>Rodenstock</x:v>
      </x:c>
      <x:c r="E1117" s="24" t="str">
        <x:v>Netline</x:v>
      </x:c>
      <x:c r="F1117" s="24" t="str">
        <x:v>Netline</x:v>
      </x:c>
      <x:c r="G1117" s="24" t="str">
        <x:v>Netline Mono E</x:v>
      </x:c>
      <x:c r="H1117" s="24" t="str">
        <x:v>Polarizada</x:v>
      </x:c>
      <x:c r="I1117" s="24" t="str">
        <x:v>1.5</x:v>
      </x:c>
      <x:c r="J1117" s="24" t="str">
        <x:v>1.50</x:v>
      </x:c>
      <x:c r="K1117" s="24" t="str">
        <x:v>HydroCoat 2</x:v>
      </x:c>
      <x:c r="L1117" s="40" t="n">
        <x:v>2548</x:v>
      </x:c>
      <x:c r="M1117" s="24" t="str">
        <x:v>-8 a +8</x:v>
      </x:c>
      <x:c r="N1117" s="24" t="str">
        <x:v>até -6</x:v>
      </x:c>
      <x:c r="O1117" s="24"/>
      <x:c r="P1117" s="24" t="str">
        <x:v>75</x:v>
      </x:c>
      <x:c r="Q1117" s="24"/>
      <x:c r="R1117" s="24"/>
      <x:c r="S1117" s="26" t="n">
        <x:v>46024</x:v>
      </x:c>
      <x:c r="T1117" s="26"/>
      <x:c r="U1117" s="24" t="str">
        <x:v>ATIVA/SEM FIM INFORMADO</x:v>
      </x:c>
      <x:c r="V1117" s="24"/>
      <x:c r="W1117" s="24" t="n">
        <x:v>32</x:v>
      </x:c>
      <x:c r="X1117" s="24" t="str">
        <x:v>tabela_rodenstock.pdf</x:v>
      </x:c>
      <x:c r="Y1117" s="24" t="str">
        <x:v>alta</x:v>
      </x:c>
      <x:c r="Z1117" s="24"/>
      <x:c r="AA1117" s="24" t="str">
        <x:v>Rodenstock|Netline|Netline|Netline Mono E|Polarizada|1.5|1.50|HydroCoat 2|-8 a +8|até -6||75|||32</x:v>
      </x:c>
    </x:row>
    <x:row r="1118">
      <x:c r="A1118" s="24" t="str">
        <x:v>RD-C8724D9D4E26</x:v>
      </x:c>
      <x:c r="B1118" s="24" t="str">
        <x:v>SIM</x:v>
      </x:c>
      <x:c r="C1118" s="24" t="str">
        <x:v>DISPONÍVEL</x:v>
      </x:c>
      <x:c r="D1118" s="24" t="str">
        <x:v>Rodenstock</x:v>
      </x:c>
      <x:c r="E1118" s="24" t="str">
        <x:v>Netline</x:v>
      </x:c>
      <x:c r="F1118" s="24" t="str">
        <x:v>Netline</x:v>
      </x:c>
      <x:c r="G1118" s="24" t="str">
        <x:v>Netline Mono E</x:v>
      </x:c>
      <x:c r="H1118" s="24" t="str">
        <x:v>Polarizada</x:v>
      </x:c>
      <x:c r="I1118" s="24" t="str">
        <x:v>1.5</x:v>
      </x:c>
      <x:c r="J1118" s="24" t="str">
        <x:v>1.50</x:v>
      </x:c>
      <x:c r="K1118" s="24" t="str">
        <x:v>Solitaire 2 Protect Balance</x:v>
      </x:c>
      <x:c r="L1118" s="40" t="n">
        <x:v>2548</x:v>
      </x:c>
      <x:c r="M1118" s="24" t="str">
        <x:v>-8 a +8</x:v>
      </x:c>
      <x:c r="N1118" s="24" t="str">
        <x:v>até -6</x:v>
      </x:c>
      <x:c r="O1118" s="24"/>
      <x:c r="P1118" s="24" t="str">
        <x:v>75</x:v>
      </x:c>
      <x:c r="Q1118" s="24"/>
      <x:c r="R1118" s="24"/>
      <x:c r="S1118" s="26" t="n">
        <x:v>46024</x:v>
      </x:c>
      <x:c r="T1118" s="26"/>
      <x:c r="U1118" s="24" t="str">
        <x:v>ATIVA/SEM FIM INFORMADO</x:v>
      </x:c>
      <x:c r="V1118" s="24"/>
      <x:c r="W1118" s="24" t="n">
        <x:v>32</x:v>
      </x:c>
      <x:c r="X1118" s="24" t="str">
        <x:v>tabela_rodenstock.pdf</x:v>
      </x:c>
      <x:c r="Y1118" s="24" t="str">
        <x:v>alta</x:v>
      </x:c>
      <x:c r="Z1118" s="24"/>
      <x:c r="AA1118" s="24" t="str">
        <x:v>Rodenstock|Netline|Netline|Netline Mono E|Polarizada|1.5|1.50|Solitaire 2 Protect Balance|-8 a +8|até -6||75|||32</x:v>
      </x:c>
    </x:row>
    <x:row r="1119">
      <x:c r="A1119" s="24" t="str">
        <x:v>RD-C4872A380613</x:v>
      </x:c>
      <x:c r="B1119" s="24" t="str">
        <x:v>SIM</x:v>
      </x:c>
      <x:c r="C1119" s="24" t="str">
        <x:v>DISPONÍVEL</x:v>
      </x:c>
      <x:c r="D1119" s="24" t="str">
        <x:v>Rodenstock</x:v>
      </x:c>
      <x:c r="E1119" s="24" t="str">
        <x:v>Netline</x:v>
      </x:c>
      <x:c r="F1119" s="24" t="str">
        <x:v>Netline</x:v>
      </x:c>
      <x:c r="G1119" s="24" t="str">
        <x:v>Netline Mono E</x:v>
      </x:c>
      <x:c r="H1119" s="24" t="str">
        <x:v>Polarizada</x:v>
      </x:c>
      <x:c r="I1119" s="24" t="str">
        <x:v>1.5</x:v>
      </x:c>
      <x:c r="J1119" s="24" t="str">
        <x:v>1.50</x:v>
      </x:c>
      <x:c r="K1119" s="24" t="str">
        <x:v>Solitaire ECO 2</x:v>
      </x:c>
      <x:c r="L1119" s="40" t="n">
        <x:v>1808</x:v>
      </x:c>
      <x:c r="M1119" s="24" t="str">
        <x:v>-8 a +8</x:v>
      </x:c>
      <x:c r="N1119" s="24" t="str">
        <x:v>até -6</x:v>
      </x:c>
      <x:c r="O1119" s="24"/>
      <x:c r="P1119" s="24" t="str">
        <x:v>75</x:v>
      </x:c>
      <x:c r="Q1119" s="24"/>
      <x:c r="R1119" s="24"/>
      <x:c r="S1119" s="26" t="n">
        <x:v>46024</x:v>
      </x:c>
      <x:c r="T1119" s="26"/>
      <x:c r="U1119" s="24" t="str">
        <x:v>ATIVA/SEM FIM INFORMADO</x:v>
      </x:c>
      <x:c r="V1119" s="24"/>
      <x:c r="W1119" s="24" t="n">
        <x:v>32</x:v>
      </x:c>
      <x:c r="X1119" s="24" t="str">
        <x:v>tabela_rodenstock.pdf</x:v>
      </x:c>
      <x:c r="Y1119" s="24" t="str">
        <x:v>alta</x:v>
      </x:c>
      <x:c r="Z1119" s="24"/>
      <x:c r="AA1119" s="24" t="str">
        <x:v>Rodenstock|Netline|Netline|Netline Mono E|Polarizada|1.5|1.50|Solitaire ECO 2|-8 a +8|até -6||75|||32</x:v>
      </x:c>
    </x:row>
    <x:row r="1120">
      <x:c r="A1120" s="24" t="str">
        <x:v>RD-DDA1FE57C0B2</x:v>
      </x:c>
      <x:c r="B1120" s="24" t="str">
        <x:v>SIM</x:v>
      </x:c>
      <x:c r="C1120" s="24" t="str">
        <x:v>DISPONÍVEL</x:v>
      </x:c>
      <x:c r="D1120" s="24" t="str">
        <x:v>Rodenstock</x:v>
      </x:c>
      <x:c r="E1120" s="24" t="str">
        <x:v>Netline</x:v>
      </x:c>
      <x:c r="F1120" s="24" t="str">
        <x:v>Netline</x:v>
      </x:c>
      <x:c r="G1120" s="24" t="str">
        <x:v>Netline Mono E</x:v>
      </x:c>
      <x:c r="H1120" s="24" t="str">
        <x:v>Polarizada</x:v>
      </x:c>
      <x:c r="I1120" s="24" t="str">
        <x:v>1.5</x:v>
      </x:c>
      <x:c r="J1120" s="24" t="str">
        <x:v>1.50</x:v>
      </x:c>
      <x:c r="K1120" s="24" t="str">
        <x:v>Sem AR</x:v>
      </x:c>
      <x:c r="L1120" s="40" t="n">
        <x:v>1418</x:v>
      </x:c>
      <x:c r="M1120" s="24" t="str">
        <x:v>-8 a +8</x:v>
      </x:c>
      <x:c r="N1120" s="24" t="str">
        <x:v>até -6</x:v>
      </x:c>
      <x:c r="O1120" s="24"/>
      <x:c r="P1120" s="24" t="str">
        <x:v>75</x:v>
      </x:c>
      <x:c r="Q1120" s="24"/>
      <x:c r="R1120" s="24"/>
      <x:c r="S1120" s="26" t="n">
        <x:v>46024</x:v>
      </x:c>
      <x:c r="T1120" s="26"/>
      <x:c r="U1120" s="24" t="str">
        <x:v>ATIVA/SEM FIM INFORMADO</x:v>
      </x:c>
      <x:c r="V1120" s="24"/>
      <x:c r="W1120" s="24" t="n">
        <x:v>32</x:v>
      </x:c>
      <x:c r="X1120" s="24" t="str">
        <x:v>tabela_rodenstock.pdf</x:v>
      </x:c>
      <x:c r="Y1120" s="24" t="str">
        <x:v>alta</x:v>
      </x:c>
      <x:c r="Z1120" s="24"/>
      <x:c r="AA1120" s="24" t="str">
        <x:v>Rodenstock|Netline|Netline|Netline Mono E|Polarizada|1.5|1.50|Sem AR|-8 a +8|até -6||75|||32</x:v>
      </x:c>
    </x:row>
    <x:row r="1121">
      <x:c r="A1121" s="24" t="str">
        <x:v>RD-075FFE04D6B2</x:v>
      </x:c>
      <x:c r="B1121" s="24" t="str">
        <x:v>SIM</x:v>
      </x:c>
      <x:c r="C1121" s="24" t="str">
        <x:v>DISPONÍVEL</x:v>
      </x:c>
      <x:c r="D1121" s="24" t="str">
        <x:v>Rodenstock</x:v>
      </x:c>
      <x:c r="E1121" s="24" t="str">
        <x:v>Netline</x:v>
      </x:c>
      <x:c r="F1121" s="24" t="str">
        <x:v>Netline</x:v>
      </x:c>
      <x:c r="G1121" s="24" t="str">
        <x:v>Netline Mono E</x:v>
      </x:c>
      <x:c r="H1121" s="24" t="str">
        <x:v>ColorMatic® 3</x:v>
      </x:c>
      <x:c r="I1121" s="24" t="str">
        <x:v>1.54</x:v>
      </x:c>
      <x:c r="J1121" s="24" t="str">
        <x:v>1.54</x:v>
      </x:c>
      <x:c r="K1121" s="24" t="str">
        <x:v>HydroCoat 2</x:v>
      </x:c>
      <x:c r="L1121" s="40" t="n">
        <x:v>2675</x:v>
      </x:c>
      <x:c r="M1121" s="24" t="str">
        <x:v>-8 a +8</x:v>
      </x:c>
      <x:c r="N1121" s="24" t="str">
        <x:v>até -6</x:v>
      </x:c>
      <x:c r="O1121" s="24"/>
      <x:c r="P1121" s="24" t="str">
        <x:v>75</x:v>
      </x:c>
      <x:c r="Q1121" s="24"/>
      <x:c r="R1121" s="24"/>
      <x:c r="S1121" s="26" t="n">
        <x:v>46024</x:v>
      </x:c>
      <x:c r="T1121" s="26"/>
      <x:c r="U1121" s="24" t="str">
        <x:v>ATIVA/SEM FIM INFORMADO</x:v>
      </x:c>
      <x:c r="V1121" s="24"/>
      <x:c r="W1121" s="24" t="n">
        <x:v>32</x:v>
      </x:c>
      <x:c r="X1121" s="24" t="str">
        <x:v>tabela_rodenstock.pdf</x:v>
      </x:c>
      <x:c r="Y1121" s="24" t="str">
        <x:v>alta</x:v>
      </x:c>
      <x:c r="Z1121" s="24"/>
      <x:c r="AA1121" s="24" t="str">
        <x:v>Rodenstock|Netline|Netline|Netline Mono E|ColorMatic® 3|1.54|1.54|HydroCoat 2|-8 a +8|até -6||75|||32</x:v>
      </x:c>
    </x:row>
    <x:row r="1122">
      <x:c r="A1122" s="24" t="str">
        <x:v>RD-C3B59FB592F9</x:v>
      </x:c>
      <x:c r="B1122" s="24" t="str">
        <x:v>SIM</x:v>
      </x:c>
      <x:c r="C1122" s="24" t="str">
        <x:v>DISPONÍVEL</x:v>
      </x:c>
      <x:c r="D1122" s="24" t="str">
        <x:v>Rodenstock</x:v>
      </x:c>
      <x:c r="E1122" s="24" t="str">
        <x:v>Netline</x:v>
      </x:c>
      <x:c r="F1122" s="24" t="str">
        <x:v>Netline</x:v>
      </x:c>
      <x:c r="G1122" s="24" t="str">
        <x:v>Netline Mono E</x:v>
      </x:c>
      <x:c r="H1122" s="24" t="str">
        <x:v>ColorMatic® 3</x:v>
      </x:c>
      <x:c r="I1122" s="24" t="str">
        <x:v>1.54</x:v>
      </x:c>
      <x:c r="J1122" s="24" t="str">
        <x:v>1.54</x:v>
      </x:c>
      <x:c r="K1122" s="24" t="str">
        <x:v>Solitaire 2 Protect Balance</x:v>
      </x:c>
      <x:c r="L1122" s="40" t="n">
        <x:v>2675</x:v>
      </x:c>
      <x:c r="M1122" s="24" t="str">
        <x:v>-8 a +8</x:v>
      </x:c>
      <x:c r="N1122" s="24" t="str">
        <x:v>até -6</x:v>
      </x:c>
      <x:c r="O1122" s="24"/>
      <x:c r="P1122" s="24" t="str">
        <x:v>75</x:v>
      </x:c>
      <x:c r="Q1122" s="24"/>
      <x:c r="R1122" s="24"/>
      <x:c r="S1122" s="26" t="n">
        <x:v>46024</x:v>
      </x:c>
      <x:c r="T1122" s="26"/>
      <x:c r="U1122" s="24" t="str">
        <x:v>ATIVA/SEM FIM INFORMADO</x:v>
      </x:c>
      <x:c r="V1122" s="24"/>
      <x:c r="W1122" s="24" t="n">
        <x:v>32</x:v>
      </x:c>
      <x:c r="X1122" s="24" t="str">
        <x:v>tabela_rodenstock.pdf</x:v>
      </x:c>
      <x:c r="Y1122" s="24" t="str">
        <x:v>alta</x:v>
      </x:c>
      <x:c r="Z1122" s="24"/>
      <x:c r="AA1122" s="24" t="str">
        <x:v>Rodenstock|Netline|Netline|Netline Mono E|ColorMatic® 3|1.54|1.54|Solitaire 2 Protect Balance|-8 a +8|até -6||75|||32</x:v>
      </x:c>
    </x:row>
    <x:row r="1123">
      <x:c r="A1123" s="24" t="str">
        <x:v>RD-8E69B76AA97E</x:v>
      </x:c>
      <x:c r="B1123" s="24" t="str">
        <x:v>SIM</x:v>
      </x:c>
      <x:c r="C1123" s="24" t="str">
        <x:v>DISPONÍVEL</x:v>
      </x:c>
      <x:c r="D1123" s="24" t="str">
        <x:v>Rodenstock</x:v>
      </x:c>
      <x:c r="E1123" s="24" t="str">
        <x:v>Netline</x:v>
      </x:c>
      <x:c r="F1123" s="24" t="str">
        <x:v>Netline</x:v>
      </x:c>
      <x:c r="G1123" s="24" t="str">
        <x:v>Netline Mono E</x:v>
      </x:c>
      <x:c r="H1123" s="24" t="str">
        <x:v>ColorMatic® 3</x:v>
      </x:c>
      <x:c r="I1123" s="24" t="str">
        <x:v>1.54</x:v>
      </x:c>
      <x:c r="J1123" s="24" t="str">
        <x:v>1.54</x:v>
      </x:c>
      <x:c r="K1123" s="24" t="str">
        <x:v>Solitaire ECO 2</x:v>
      </x:c>
      <x:c r="L1123" s="40" t="n">
        <x:v>1935</x:v>
      </x:c>
      <x:c r="M1123" s="24" t="str">
        <x:v>-8 a +8</x:v>
      </x:c>
      <x:c r="N1123" s="24" t="str">
        <x:v>até -6</x:v>
      </x:c>
      <x:c r="O1123" s="24"/>
      <x:c r="P1123" s="24" t="str">
        <x:v>75</x:v>
      </x:c>
      <x:c r="Q1123" s="24"/>
      <x:c r="R1123" s="24"/>
      <x:c r="S1123" s="26" t="n">
        <x:v>46024</x:v>
      </x:c>
      <x:c r="T1123" s="26"/>
      <x:c r="U1123" s="24" t="str">
        <x:v>ATIVA/SEM FIM INFORMADO</x:v>
      </x:c>
      <x:c r="V1123" s="24"/>
      <x:c r="W1123" s="24" t="n">
        <x:v>32</x:v>
      </x:c>
      <x:c r="X1123" s="24" t="str">
        <x:v>tabela_rodenstock.pdf</x:v>
      </x:c>
      <x:c r="Y1123" s="24" t="str">
        <x:v>alta</x:v>
      </x:c>
      <x:c r="Z1123" s="24"/>
      <x:c r="AA1123" s="24" t="str">
        <x:v>Rodenstock|Netline|Netline|Netline Mono E|ColorMatic® 3|1.54|1.54|Solitaire ECO 2|-8 a +8|até -6||75|||32</x:v>
      </x:c>
    </x:row>
    <x:row r="1124">
      <x:c r="A1124" s="24" t="str">
        <x:v>RD-DBFC752E02E8</x:v>
      </x:c>
      <x:c r="B1124" s="24" t="str">
        <x:v>SIM</x:v>
      </x:c>
      <x:c r="C1124" s="24" t="str">
        <x:v>DISPONÍVEL</x:v>
      </x:c>
      <x:c r="D1124" s="24" t="str">
        <x:v>Rodenstock</x:v>
      </x:c>
      <x:c r="E1124" s="24" t="str">
        <x:v>Netline</x:v>
      </x:c>
      <x:c r="F1124" s="24" t="str">
        <x:v>Netline</x:v>
      </x:c>
      <x:c r="G1124" s="24" t="str">
        <x:v>Netline Mono E</x:v>
      </x:c>
      <x:c r="H1124" s="24" t="str">
        <x:v>ColorMatic® 3</x:v>
      </x:c>
      <x:c r="I1124" s="24" t="str">
        <x:v>1.54</x:v>
      </x:c>
      <x:c r="J1124" s="24" t="str">
        <x:v>1.54</x:v>
      </x:c>
      <x:c r="K1124" s="24" t="str">
        <x:v>Sem AR</x:v>
      </x:c>
      <x:c r="L1124" s="40" t="n">
        <x:v>1545</x:v>
      </x:c>
      <x:c r="M1124" s="24" t="str">
        <x:v>-8 a +8</x:v>
      </x:c>
      <x:c r="N1124" s="24" t="str">
        <x:v>até -6</x:v>
      </x:c>
      <x:c r="O1124" s="24"/>
      <x:c r="P1124" s="24" t="str">
        <x:v>75</x:v>
      </x:c>
      <x:c r="Q1124" s="24"/>
      <x:c r="R1124" s="24"/>
      <x:c r="S1124" s="26" t="n">
        <x:v>46024</x:v>
      </x:c>
      <x:c r="T1124" s="26"/>
      <x:c r="U1124" s="24" t="str">
        <x:v>ATIVA/SEM FIM INFORMADO</x:v>
      </x:c>
      <x:c r="V1124" s="24"/>
      <x:c r="W1124" s="24" t="n">
        <x:v>32</x:v>
      </x:c>
      <x:c r="X1124" s="24" t="str">
        <x:v>tabela_rodenstock.pdf</x:v>
      </x:c>
      <x:c r="Y1124" s="24" t="str">
        <x:v>alta</x:v>
      </x:c>
      <x:c r="Z1124" s="24"/>
      <x:c r="AA1124" s="24" t="str">
        <x:v>Rodenstock|Netline|Netline|Netline Mono E|ColorMatic® 3|1.54|1.54|Sem AR|-8 a +8|até -6||75|||32</x:v>
      </x:c>
    </x:row>
    <x:row r="1125">
      <x:c r="A1125" s="24" t="str">
        <x:v>RD-F31735867301</x:v>
      </x:c>
      <x:c r="B1125" s="24" t="str">
        <x:v>SIM</x:v>
      </x:c>
      <x:c r="C1125" s="24" t="str">
        <x:v>DISPONÍVEL</x:v>
      </x:c>
      <x:c r="D1125" s="24" t="str">
        <x:v>Rodenstock</x:v>
      </x:c>
      <x:c r="E1125" s="24" t="str">
        <x:v>Netline</x:v>
      </x:c>
      <x:c r="F1125" s="24" t="str">
        <x:v>Netline</x:v>
      </x:c>
      <x:c r="G1125" s="24" t="str">
        <x:v>Netline Mono E</x:v>
      </x:c>
      <x:c r="H1125" s="24"/>
      <x:c r="I1125" s="24" t="str">
        <x:v>1.6</x:v>
      </x:c>
      <x:c r="J1125" s="24" t="str">
        <x:v>1.60</x:v>
      </x:c>
      <x:c r="K1125" s="24" t="str">
        <x:v>HydroCoat 2</x:v>
      </x:c>
      <x:c r="L1125" s="40" t="n">
        <x:v>1930</x:v>
      </x:c>
      <x:c r="M1125" s="24" t="str">
        <x:v>-10 a +10</x:v>
      </x:c>
      <x:c r="N1125" s="24" t="str">
        <x:v>até -6</x:v>
      </x:c>
      <x:c r="O1125" s="24"/>
      <x:c r="P1125" s="24" t="str">
        <x:v>75</x:v>
      </x:c>
      <x:c r="Q1125" s="24"/>
      <x:c r="R1125" s="24"/>
      <x:c r="S1125" s="26" t="n">
        <x:v>46024</x:v>
      </x:c>
      <x:c r="T1125" s="26"/>
      <x:c r="U1125" s="24" t="str">
        <x:v>ATIVA/SEM FIM INFORMADO</x:v>
      </x:c>
      <x:c r="V1125" s="24"/>
      <x:c r="W1125" s="24" t="n">
        <x:v>32</x:v>
      </x:c>
      <x:c r="X1125" s="24" t="str">
        <x:v>tabela_rodenstock.pdf</x:v>
      </x:c>
      <x:c r="Y1125" s="24" t="str">
        <x:v>alta</x:v>
      </x:c>
      <x:c r="Z1125" s="24"/>
      <x:c r="AA1125" s="24" t="str">
        <x:v>Rodenstock|Netline|Netline|Netline Mono E||1.6|1.60|HydroCoat 2|-10 a +10|até -6||75|||32</x:v>
      </x:c>
    </x:row>
    <x:row r="1126">
      <x:c r="A1126" s="24" t="str">
        <x:v>RD-633882E6A5F0</x:v>
      </x:c>
      <x:c r="B1126" s="24" t="str">
        <x:v>SIM</x:v>
      </x:c>
      <x:c r="C1126" s="24" t="str">
        <x:v>DISPONÍVEL</x:v>
      </x:c>
      <x:c r="D1126" s="24" t="str">
        <x:v>Rodenstock</x:v>
      </x:c>
      <x:c r="E1126" s="24" t="str">
        <x:v>Netline</x:v>
      </x:c>
      <x:c r="F1126" s="24" t="str">
        <x:v>Netline</x:v>
      </x:c>
      <x:c r="G1126" s="24" t="str">
        <x:v>Netline Mono E</x:v>
      </x:c>
      <x:c r="H1126" s="24"/>
      <x:c r="I1126" s="24" t="str">
        <x:v>1.6</x:v>
      </x:c>
      <x:c r="J1126" s="24" t="str">
        <x:v>1.60</x:v>
      </x:c>
      <x:c r="K1126" s="24" t="str">
        <x:v>Solitaire 2 Protect Balance</x:v>
      </x:c>
      <x:c r="L1126" s="40" t="n">
        <x:v>1930</x:v>
      </x:c>
      <x:c r="M1126" s="24" t="str">
        <x:v>-10 a +10</x:v>
      </x:c>
      <x:c r="N1126" s="24" t="str">
        <x:v>até -6</x:v>
      </x:c>
      <x:c r="O1126" s="24"/>
      <x:c r="P1126" s="24" t="str">
        <x:v>75</x:v>
      </x:c>
      <x:c r="Q1126" s="24"/>
      <x:c r="R1126" s="24"/>
      <x:c r="S1126" s="26" t="n">
        <x:v>46024</x:v>
      </x:c>
      <x:c r="T1126" s="26"/>
      <x:c r="U1126" s="24" t="str">
        <x:v>ATIVA/SEM FIM INFORMADO</x:v>
      </x:c>
      <x:c r="V1126" s="24"/>
      <x:c r="W1126" s="24" t="n">
        <x:v>32</x:v>
      </x:c>
      <x:c r="X1126" s="24" t="str">
        <x:v>tabela_rodenstock.pdf</x:v>
      </x:c>
      <x:c r="Y1126" s="24" t="str">
        <x:v>alta</x:v>
      </x:c>
      <x:c r="Z1126" s="24"/>
      <x:c r="AA1126" s="24" t="str">
        <x:v>Rodenstock|Netline|Netline|Netline Mono E||1.6|1.60|Solitaire 2 Protect Balance|-10 a +10|até -6||75|||32</x:v>
      </x:c>
    </x:row>
    <x:row r="1127">
      <x:c r="A1127" s="24" t="str">
        <x:v>RD-0F15D2FF5E30</x:v>
      </x:c>
      <x:c r="B1127" s="24" t="str">
        <x:v>SIM</x:v>
      </x:c>
      <x:c r="C1127" s="24" t="str">
        <x:v>DISPONÍVEL</x:v>
      </x:c>
      <x:c r="D1127" s="24" t="str">
        <x:v>Rodenstock</x:v>
      </x:c>
      <x:c r="E1127" s="24" t="str">
        <x:v>Netline</x:v>
      </x:c>
      <x:c r="F1127" s="24" t="str">
        <x:v>Netline</x:v>
      </x:c>
      <x:c r="G1127" s="24" t="str">
        <x:v>Netline Mono E</x:v>
      </x:c>
      <x:c r="H1127" s="24"/>
      <x:c r="I1127" s="24" t="str">
        <x:v>1.6</x:v>
      </x:c>
      <x:c r="J1127" s="24" t="str">
        <x:v>1.60</x:v>
      </x:c>
      <x:c r="K1127" s="24" t="str">
        <x:v>Solitaire ECO 2</x:v>
      </x:c>
      <x:c r="L1127" s="40" t="n">
        <x:v>1190</x:v>
      </x:c>
      <x:c r="M1127" s="24" t="str">
        <x:v>-10 a +10</x:v>
      </x:c>
      <x:c r="N1127" s="24" t="str">
        <x:v>até -6</x:v>
      </x:c>
      <x:c r="O1127" s="24"/>
      <x:c r="P1127" s="24" t="str">
        <x:v>75</x:v>
      </x:c>
      <x:c r="Q1127" s="24"/>
      <x:c r="R1127" s="24"/>
      <x:c r="S1127" s="26" t="n">
        <x:v>46024</x:v>
      </x:c>
      <x:c r="T1127" s="26"/>
      <x:c r="U1127" s="24" t="str">
        <x:v>ATIVA/SEM FIM INFORMADO</x:v>
      </x:c>
      <x:c r="V1127" s="24"/>
      <x:c r="W1127" s="24" t="n">
        <x:v>32</x:v>
      </x:c>
      <x:c r="X1127" s="24" t="str">
        <x:v>tabela_rodenstock.pdf</x:v>
      </x:c>
      <x:c r="Y1127" s="24" t="str">
        <x:v>alta</x:v>
      </x:c>
      <x:c r="Z1127" s="24"/>
      <x:c r="AA1127" s="24" t="str">
        <x:v>Rodenstock|Netline|Netline|Netline Mono E||1.6|1.60|Solitaire ECO 2|-10 a +10|até -6||75|||32</x:v>
      </x:c>
    </x:row>
    <x:row r="1128">
      <x:c r="A1128" s="24" t="str">
        <x:v>RD-02F2A7670A2E</x:v>
      </x:c>
      <x:c r="B1128" s="24" t="str">
        <x:v>SIM</x:v>
      </x:c>
      <x:c r="C1128" s="24" t="str">
        <x:v>DISPONÍVEL</x:v>
      </x:c>
      <x:c r="D1128" s="24" t="str">
        <x:v>Rodenstock</x:v>
      </x:c>
      <x:c r="E1128" s="24" t="str">
        <x:v>Netline</x:v>
      </x:c>
      <x:c r="F1128" s="24" t="str">
        <x:v>Netline</x:v>
      </x:c>
      <x:c r="G1128" s="24" t="str">
        <x:v>Netline Mono E</x:v>
      </x:c>
      <x:c r="H1128" s="24" t="str">
        <x:v>ColorMatic® 3</x:v>
      </x:c>
      <x:c r="I1128" s="24" t="str">
        <x:v>1.6</x:v>
      </x:c>
      <x:c r="J1128" s="24" t="str">
        <x:v>1.60</x:v>
      </x:c>
      <x:c r="K1128" s="24" t="str">
        <x:v>HydroCoat 2</x:v>
      </x:c>
      <x:c r="L1128" s="40" t="n">
        <x:v>3032</x:v>
      </x:c>
      <x:c r="M1128" s="24" t="str">
        <x:v>-10 a +10</x:v>
      </x:c>
      <x:c r="N1128" s="24" t="str">
        <x:v>até -6</x:v>
      </x:c>
      <x:c r="O1128" s="24"/>
      <x:c r="P1128" s="24" t="str">
        <x:v>75</x:v>
      </x:c>
      <x:c r="Q1128" s="24"/>
      <x:c r="R1128" s="24"/>
      <x:c r="S1128" s="26" t="n">
        <x:v>46024</x:v>
      </x:c>
      <x:c r="T1128" s="26"/>
      <x:c r="U1128" s="24" t="str">
        <x:v>ATIVA/SEM FIM INFORMADO</x:v>
      </x:c>
      <x:c r="V1128" s="24"/>
      <x:c r="W1128" s="24" t="n">
        <x:v>32</x:v>
      </x:c>
      <x:c r="X1128" s="24" t="str">
        <x:v>tabela_rodenstock.pdf</x:v>
      </x:c>
      <x:c r="Y1128" s="24" t="str">
        <x:v>alta</x:v>
      </x:c>
      <x:c r="Z1128" s="24"/>
      <x:c r="AA1128" s="24" t="str">
        <x:v>Rodenstock|Netline|Netline|Netline Mono E|ColorMatic® 3|1.6|1.60|HydroCoat 2|-10 a +10|até -6||75|||32</x:v>
      </x:c>
    </x:row>
    <x:row r="1129">
      <x:c r="A1129" s="24" t="str">
        <x:v>RD-672CB31D795E</x:v>
      </x:c>
      <x:c r="B1129" s="24" t="str">
        <x:v>SIM</x:v>
      </x:c>
      <x:c r="C1129" s="24" t="str">
        <x:v>DISPONÍVEL</x:v>
      </x:c>
      <x:c r="D1129" s="24" t="str">
        <x:v>Rodenstock</x:v>
      </x:c>
      <x:c r="E1129" s="24" t="str">
        <x:v>Netline</x:v>
      </x:c>
      <x:c r="F1129" s="24" t="str">
        <x:v>Netline</x:v>
      </x:c>
      <x:c r="G1129" s="24" t="str">
        <x:v>Netline Mono E</x:v>
      </x:c>
      <x:c r="H1129" s="24" t="str">
        <x:v>ColorMatic® 3</x:v>
      </x:c>
      <x:c r="I1129" s="24" t="str">
        <x:v>1.6</x:v>
      </x:c>
      <x:c r="J1129" s="24" t="str">
        <x:v>1.60</x:v>
      </x:c>
      <x:c r="K1129" s="24" t="str">
        <x:v>Solitaire 2 Protect Balance</x:v>
      </x:c>
      <x:c r="L1129" s="40" t="n">
        <x:v>3032</x:v>
      </x:c>
      <x:c r="M1129" s="24" t="str">
        <x:v>-10 a +10</x:v>
      </x:c>
      <x:c r="N1129" s="24" t="str">
        <x:v>até -6</x:v>
      </x:c>
      <x:c r="O1129" s="24"/>
      <x:c r="P1129" s="24" t="str">
        <x:v>75</x:v>
      </x:c>
      <x:c r="Q1129" s="24"/>
      <x:c r="R1129" s="24"/>
      <x:c r="S1129" s="26" t="n">
        <x:v>46024</x:v>
      </x:c>
      <x:c r="T1129" s="26"/>
      <x:c r="U1129" s="24" t="str">
        <x:v>ATIVA/SEM FIM INFORMADO</x:v>
      </x:c>
      <x:c r="V1129" s="24"/>
      <x:c r="W1129" s="24" t="n">
        <x:v>32</x:v>
      </x:c>
      <x:c r="X1129" s="24" t="str">
        <x:v>tabela_rodenstock.pdf</x:v>
      </x:c>
      <x:c r="Y1129" s="24" t="str">
        <x:v>alta</x:v>
      </x:c>
      <x:c r="Z1129" s="24"/>
      <x:c r="AA1129" s="24" t="str">
        <x:v>Rodenstock|Netline|Netline|Netline Mono E|ColorMatic® 3|1.6|1.60|Solitaire 2 Protect Balance|-10 a +10|até -6||75|||32</x:v>
      </x:c>
    </x:row>
    <x:row r="1130">
      <x:c r="A1130" s="24" t="str">
        <x:v>RD-823B9D8A4C6E</x:v>
      </x:c>
      <x:c r="B1130" s="24" t="str">
        <x:v>SIM</x:v>
      </x:c>
      <x:c r="C1130" s="24" t="str">
        <x:v>DISPONÍVEL</x:v>
      </x:c>
      <x:c r="D1130" s="24" t="str">
        <x:v>Rodenstock</x:v>
      </x:c>
      <x:c r="E1130" s="24" t="str">
        <x:v>Netline</x:v>
      </x:c>
      <x:c r="F1130" s="24" t="str">
        <x:v>Netline</x:v>
      </x:c>
      <x:c r="G1130" s="24" t="str">
        <x:v>Netline Mono E</x:v>
      </x:c>
      <x:c r="H1130" s="24" t="str">
        <x:v>ColorMatic® 3</x:v>
      </x:c>
      <x:c r="I1130" s="24" t="str">
        <x:v>1.6</x:v>
      </x:c>
      <x:c r="J1130" s="24" t="str">
        <x:v>1.60</x:v>
      </x:c>
      <x:c r="K1130" s="24" t="str">
        <x:v>Solitaire ECO 2</x:v>
      </x:c>
      <x:c r="L1130" s="40" t="n">
        <x:v>2292</x:v>
      </x:c>
      <x:c r="M1130" s="24" t="str">
        <x:v>-10 a +10</x:v>
      </x:c>
      <x:c r="N1130" s="24" t="str">
        <x:v>até -6</x:v>
      </x:c>
      <x:c r="O1130" s="24"/>
      <x:c r="P1130" s="24" t="str">
        <x:v>75</x:v>
      </x:c>
      <x:c r="Q1130" s="24"/>
      <x:c r="R1130" s="24"/>
      <x:c r="S1130" s="26" t="n">
        <x:v>46024</x:v>
      </x:c>
      <x:c r="T1130" s="26"/>
      <x:c r="U1130" s="24" t="str">
        <x:v>ATIVA/SEM FIM INFORMADO</x:v>
      </x:c>
      <x:c r="V1130" s="24"/>
      <x:c r="W1130" s="24" t="n">
        <x:v>32</x:v>
      </x:c>
      <x:c r="X1130" s="24" t="str">
        <x:v>tabela_rodenstock.pdf</x:v>
      </x:c>
      <x:c r="Y1130" s="24" t="str">
        <x:v>alta</x:v>
      </x:c>
      <x:c r="Z1130" s="24"/>
      <x:c r="AA1130" s="24" t="str">
        <x:v>Rodenstock|Netline|Netline|Netline Mono E|ColorMatic® 3|1.6|1.60|Solitaire ECO 2|-10 a +10|até -6||75|||32</x:v>
      </x:c>
    </x:row>
    <x:row r="1131">
      <x:c r="A1131" s="24" t="str">
        <x:v>RD-F057F7CF2AFD</x:v>
      </x:c>
      <x:c r="B1131" s="24" t="str">
        <x:v>SIM</x:v>
      </x:c>
      <x:c r="C1131" s="24" t="str">
        <x:v>DISPONÍVEL</x:v>
      </x:c>
      <x:c r="D1131" s="24" t="str">
        <x:v>Rodenstock</x:v>
      </x:c>
      <x:c r="E1131" s="24" t="str">
        <x:v>Netline</x:v>
      </x:c>
      <x:c r="F1131" s="24" t="str">
        <x:v>Netline</x:v>
      </x:c>
      <x:c r="G1131" s="24" t="str">
        <x:v>Netline Mono E</x:v>
      </x:c>
      <x:c r="H1131" s="24"/>
      <x:c r="I1131" s="24" t="str">
        <x:v>1.67</x:v>
      </x:c>
      <x:c r="J1131" s="24" t="str">
        <x:v>1.67</x:v>
      </x:c>
      <x:c r="K1131" s="24" t="str">
        <x:v>HydroCoat 2</x:v>
      </x:c>
      <x:c r="L1131" s="40" t="n">
        <x:v>2623</x:v>
      </x:c>
      <x:c r="M1131" s="24" t="str">
        <x:v>-10 a +10</x:v>
      </x:c>
      <x:c r="N1131" s="24" t="str">
        <x:v>até -6</x:v>
      </x:c>
      <x:c r="O1131" s="24"/>
      <x:c r="P1131" s="24" t="str">
        <x:v>75</x:v>
      </x:c>
      <x:c r="Q1131" s="24"/>
      <x:c r="R1131" s="24"/>
      <x:c r="S1131" s="26" t="n">
        <x:v>46024</x:v>
      </x:c>
      <x:c r="T1131" s="26"/>
      <x:c r="U1131" s="24" t="str">
        <x:v>ATIVA/SEM FIM INFORMADO</x:v>
      </x:c>
      <x:c r="V1131" s="24"/>
      <x:c r="W1131" s="24" t="n">
        <x:v>32</x:v>
      </x:c>
      <x:c r="X1131" s="24" t="str">
        <x:v>tabela_rodenstock.pdf</x:v>
      </x:c>
      <x:c r="Y1131" s="24" t="str">
        <x:v>alta</x:v>
      </x:c>
      <x:c r="Z1131" s="24"/>
      <x:c r="AA1131" s="24" t="str">
        <x:v>Rodenstock|Netline|Netline|Netline Mono E||1.67|1.67|HydroCoat 2|-10 a +10|até -6||75|||32</x:v>
      </x:c>
    </x:row>
    <x:row r="1132">
      <x:c r="A1132" s="24" t="str">
        <x:v>RD-89FD76A06519</x:v>
      </x:c>
      <x:c r="B1132" s="24" t="str">
        <x:v>SIM</x:v>
      </x:c>
      <x:c r="C1132" s="24" t="str">
        <x:v>DISPONÍVEL</x:v>
      </x:c>
      <x:c r="D1132" s="24" t="str">
        <x:v>Rodenstock</x:v>
      </x:c>
      <x:c r="E1132" s="24" t="str">
        <x:v>Netline</x:v>
      </x:c>
      <x:c r="F1132" s="24" t="str">
        <x:v>Netline</x:v>
      </x:c>
      <x:c r="G1132" s="24" t="str">
        <x:v>Netline Mono E</x:v>
      </x:c>
      <x:c r="H1132" s="24"/>
      <x:c r="I1132" s="24" t="str">
        <x:v>1.67</x:v>
      </x:c>
      <x:c r="J1132" s="24" t="str">
        <x:v>1.67</x:v>
      </x:c>
      <x:c r="K1132" s="24" t="str">
        <x:v>Solitaire 2 Protect Balance</x:v>
      </x:c>
      <x:c r="L1132" s="40" t="n">
        <x:v>2623</x:v>
      </x:c>
      <x:c r="M1132" s="24" t="str">
        <x:v>-10 a +10</x:v>
      </x:c>
      <x:c r="N1132" s="24" t="str">
        <x:v>até -6</x:v>
      </x:c>
      <x:c r="O1132" s="24"/>
      <x:c r="P1132" s="24" t="str">
        <x:v>75</x:v>
      </x:c>
      <x:c r="Q1132" s="24"/>
      <x:c r="R1132" s="24"/>
      <x:c r="S1132" s="26" t="n">
        <x:v>46024</x:v>
      </x:c>
      <x:c r="T1132" s="26"/>
      <x:c r="U1132" s="24" t="str">
        <x:v>ATIVA/SEM FIM INFORMADO</x:v>
      </x:c>
      <x:c r="V1132" s="24"/>
      <x:c r="W1132" s="24" t="n">
        <x:v>32</x:v>
      </x:c>
      <x:c r="X1132" s="24" t="str">
        <x:v>tabela_rodenstock.pdf</x:v>
      </x:c>
      <x:c r="Y1132" s="24" t="str">
        <x:v>alta</x:v>
      </x:c>
      <x:c r="Z1132" s="24"/>
      <x:c r="AA1132" s="24" t="str">
        <x:v>Rodenstock|Netline|Netline|Netline Mono E||1.67|1.67|Solitaire 2 Protect Balance|-10 a +10|até -6||75|||32</x:v>
      </x:c>
    </x:row>
    <x:row r="1133">
      <x:c r="A1133" s="24" t="str">
        <x:v>RD-AE04EE954212</x:v>
      </x:c>
      <x:c r="B1133" s="24" t="str">
        <x:v>SIM</x:v>
      </x:c>
      <x:c r="C1133" s="24" t="str">
        <x:v>DISPONÍVEL</x:v>
      </x:c>
      <x:c r="D1133" s="24" t="str">
        <x:v>Rodenstock</x:v>
      </x:c>
      <x:c r="E1133" s="24" t="str">
        <x:v>Netline</x:v>
      </x:c>
      <x:c r="F1133" s="24" t="str">
        <x:v>Netline</x:v>
      </x:c>
      <x:c r="G1133" s="24" t="str">
        <x:v>Netline Mono E</x:v>
      </x:c>
      <x:c r="H1133" s="24"/>
      <x:c r="I1133" s="24" t="str">
        <x:v>1.67</x:v>
      </x:c>
      <x:c r="J1133" s="24" t="str">
        <x:v>1.67</x:v>
      </x:c>
      <x:c r="K1133" s="24" t="str">
        <x:v>Solitaire ECO 2</x:v>
      </x:c>
      <x:c r="L1133" s="40" t="n">
        <x:v>1883</x:v>
      </x:c>
      <x:c r="M1133" s="24" t="str">
        <x:v>-10 a +10</x:v>
      </x:c>
      <x:c r="N1133" s="24" t="str">
        <x:v>até -6</x:v>
      </x:c>
      <x:c r="O1133" s="24"/>
      <x:c r="P1133" s="24" t="str">
        <x:v>75</x:v>
      </x:c>
      <x:c r="Q1133" s="24"/>
      <x:c r="R1133" s="24"/>
      <x:c r="S1133" s="26" t="n">
        <x:v>46024</x:v>
      </x:c>
      <x:c r="T1133" s="26"/>
      <x:c r="U1133" s="24" t="str">
        <x:v>ATIVA/SEM FIM INFORMADO</x:v>
      </x:c>
      <x:c r="V1133" s="24"/>
      <x:c r="W1133" s="24" t="n">
        <x:v>32</x:v>
      </x:c>
      <x:c r="X1133" s="24" t="str">
        <x:v>tabela_rodenstock.pdf</x:v>
      </x:c>
      <x:c r="Y1133" s="24" t="str">
        <x:v>alta</x:v>
      </x:c>
      <x:c r="Z1133" s="24"/>
      <x:c r="AA1133" s="24" t="str">
        <x:v>Rodenstock|Netline|Netline|Netline Mono E||1.67|1.67|Solitaire ECO 2|-10 a +10|até -6||75|||32</x:v>
      </x:c>
    </x:row>
    <x:row r="1134">
      <x:c r="A1134" s="24" t="str">
        <x:v>RD-F16BDF556954</x:v>
      </x:c>
      <x:c r="B1134" s="24" t="str">
        <x:v>SIM</x:v>
      </x:c>
      <x:c r="C1134" s="24" t="str">
        <x:v>DISPONÍVEL</x:v>
      </x:c>
      <x:c r="D1134" s="24" t="str">
        <x:v>Rodenstock</x:v>
      </x:c>
      <x:c r="E1134" s="24" t="str">
        <x:v>Netline</x:v>
      </x:c>
      <x:c r="F1134" s="24" t="str">
        <x:v>Netline</x:v>
      </x:c>
      <x:c r="G1134" s="24" t="str">
        <x:v>Netline Mono E</x:v>
      </x:c>
      <x:c r="H1134" s="24" t="str">
        <x:v>ColorMatic® 3</x:v>
      </x:c>
      <x:c r="I1134" s="24" t="str">
        <x:v>1.67</x:v>
      </x:c>
      <x:c r="J1134" s="24" t="str">
        <x:v>1.67</x:v>
      </x:c>
      <x:c r="K1134" s="24" t="str">
        <x:v>HydroCoat 2</x:v>
      </x:c>
      <x:c r="L1134" s="40" t="n">
        <x:v>3602</x:v>
      </x:c>
      <x:c r="M1134" s="24" t="str">
        <x:v>-10 a +10</x:v>
      </x:c>
      <x:c r="N1134" s="24" t="str">
        <x:v>até -6</x:v>
      </x:c>
      <x:c r="O1134" s="24"/>
      <x:c r="P1134" s="24" t="str">
        <x:v>75</x:v>
      </x:c>
      <x:c r="Q1134" s="24"/>
      <x:c r="R1134" s="24"/>
      <x:c r="S1134" s="26" t="n">
        <x:v>46024</x:v>
      </x:c>
      <x:c r="T1134" s="26"/>
      <x:c r="U1134" s="24" t="str">
        <x:v>ATIVA/SEM FIM INFORMADO</x:v>
      </x:c>
      <x:c r="V1134" s="24"/>
      <x:c r="W1134" s="24" t="n">
        <x:v>32</x:v>
      </x:c>
      <x:c r="X1134" s="24" t="str">
        <x:v>tabela_rodenstock.pdf</x:v>
      </x:c>
      <x:c r="Y1134" s="24" t="str">
        <x:v>alta</x:v>
      </x:c>
      <x:c r="Z1134" s="24"/>
      <x:c r="AA1134" s="24" t="str">
        <x:v>Rodenstock|Netline|Netline|Netline Mono E|ColorMatic® 3|1.67|1.67|HydroCoat 2|-10 a +10|até -6||75|||32</x:v>
      </x:c>
    </x:row>
    <x:row r="1135">
      <x:c r="A1135" s="24" t="str">
        <x:v>RD-D5CE5CF25E29</x:v>
      </x:c>
      <x:c r="B1135" s="24" t="str">
        <x:v>SIM</x:v>
      </x:c>
      <x:c r="C1135" s="24" t="str">
        <x:v>DISPONÍVEL</x:v>
      </x:c>
      <x:c r="D1135" s="24" t="str">
        <x:v>Rodenstock</x:v>
      </x:c>
      <x:c r="E1135" s="24" t="str">
        <x:v>Netline</x:v>
      </x:c>
      <x:c r="F1135" s="24" t="str">
        <x:v>Netline</x:v>
      </x:c>
      <x:c r="G1135" s="24" t="str">
        <x:v>Netline Mono E</x:v>
      </x:c>
      <x:c r="H1135" s="24" t="str">
        <x:v>ColorMatic® 3</x:v>
      </x:c>
      <x:c r="I1135" s="24" t="str">
        <x:v>1.67</x:v>
      </x:c>
      <x:c r="J1135" s="24" t="str">
        <x:v>1.67</x:v>
      </x:c>
      <x:c r="K1135" s="24" t="str">
        <x:v>Solitaire 2 Protect Balance</x:v>
      </x:c>
      <x:c r="L1135" s="40" t="n">
        <x:v>3602</x:v>
      </x:c>
      <x:c r="M1135" s="24" t="str">
        <x:v>-10 a +10</x:v>
      </x:c>
      <x:c r="N1135" s="24" t="str">
        <x:v>até -6</x:v>
      </x:c>
      <x:c r="O1135" s="24"/>
      <x:c r="P1135" s="24" t="str">
        <x:v>75</x:v>
      </x:c>
      <x:c r="Q1135" s="24"/>
      <x:c r="R1135" s="24"/>
      <x:c r="S1135" s="26" t="n">
        <x:v>46024</x:v>
      </x:c>
      <x:c r="T1135" s="26"/>
      <x:c r="U1135" s="24" t="str">
        <x:v>ATIVA/SEM FIM INFORMADO</x:v>
      </x:c>
      <x:c r="V1135" s="24"/>
      <x:c r="W1135" s="24" t="n">
        <x:v>32</x:v>
      </x:c>
      <x:c r="X1135" s="24" t="str">
        <x:v>tabela_rodenstock.pdf</x:v>
      </x:c>
      <x:c r="Y1135" s="24" t="str">
        <x:v>alta</x:v>
      </x:c>
      <x:c r="Z1135" s="24"/>
      <x:c r="AA1135" s="24" t="str">
        <x:v>Rodenstock|Netline|Netline|Netline Mono E|ColorMatic® 3|1.67|1.67|Solitaire 2 Protect Balance|-10 a +10|até -6||75|||32</x:v>
      </x:c>
    </x:row>
    <x:row r="1136">
      <x:c r="A1136" s="24" t="str">
        <x:v>RD-C180D3411AD5</x:v>
      </x:c>
      <x:c r="B1136" s="24" t="str">
        <x:v>SIM</x:v>
      </x:c>
      <x:c r="C1136" s="24" t="str">
        <x:v>DISPONÍVEL</x:v>
      </x:c>
      <x:c r="D1136" s="24" t="str">
        <x:v>Rodenstock</x:v>
      </x:c>
      <x:c r="E1136" s="24" t="str">
        <x:v>Netline</x:v>
      </x:c>
      <x:c r="F1136" s="24" t="str">
        <x:v>Netline</x:v>
      </x:c>
      <x:c r="G1136" s="24" t="str">
        <x:v>Netline Mono E</x:v>
      </x:c>
      <x:c r="H1136" s="24" t="str">
        <x:v>ColorMatic® 3</x:v>
      </x:c>
      <x:c r="I1136" s="24" t="str">
        <x:v>1.67</x:v>
      </x:c>
      <x:c r="J1136" s="24" t="str">
        <x:v>1.67</x:v>
      </x:c>
      <x:c r="K1136" s="24" t="str">
        <x:v>Solitaire ECO 2</x:v>
      </x:c>
      <x:c r="L1136" s="40" t="n">
        <x:v>2862</x:v>
      </x:c>
      <x:c r="M1136" s="24" t="str">
        <x:v>-10 a +10</x:v>
      </x:c>
      <x:c r="N1136" s="24" t="str">
        <x:v>até -6</x:v>
      </x:c>
      <x:c r="O1136" s="24"/>
      <x:c r="P1136" s="24" t="str">
        <x:v>75</x:v>
      </x:c>
      <x:c r="Q1136" s="24"/>
      <x:c r="R1136" s="24"/>
      <x:c r="S1136" s="26" t="n">
        <x:v>46024</x:v>
      </x:c>
      <x:c r="T1136" s="26"/>
      <x:c r="U1136" s="24" t="str">
        <x:v>ATIVA/SEM FIM INFORMADO</x:v>
      </x:c>
      <x:c r="V1136" s="24"/>
      <x:c r="W1136" s="24" t="n">
        <x:v>32</x:v>
      </x:c>
      <x:c r="X1136" s="24" t="str">
        <x:v>tabela_rodenstock.pdf</x:v>
      </x:c>
      <x:c r="Y1136" s="24" t="str">
        <x:v>alta</x:v>
      </x:c>
      <x:c r="Z1136" s="24"/>
      <x:c r="AA1136" s="24" t="str">
        <x:v>Rodenstock|Netline|Netline|Netline Mono E|ColorMatic® 3|1.67|1.67|Solitaire ECO 2|-10 a +10|até -6||75|||32</x:v>
      </x:c>
    </x:row>
    <x:row r="1137">
      <x:c r="A1137" s="24" t="str">
        <x:v>RD-C1DC6D8B6D5E</x:v>
      </x:c>
      <x:c r="B1137" s="24" t="str">
        <x:v>SIM</x:v>
      </x:c>
      <x:c r="C1137" s="24" t="str">
        <x:v>DISPONÍVEL</x:v>
      </x:c>
      <x:c r="D1137" s="24" t="str">
        <x:v>Rodenstock</x:v>
      </x:c>
      <x:c r="E1137" s="24" t="str">
        <x:v>Netline</x:v>
      </x:c>
      <x:c r="F1137" s="24" t="str">
        <x:v>Netline</x:v>
      </x:c>
      <x:c r="G1137" s="24" t="str">
        <x:v>Netline Mono E</x:v>
      </x:c>
      <x:c r="H1137" s="24"/>
      <x:c r="I1137" s="24" t="str">
        <x:v>1.74</x:v>
      </x:c>
      <x:c r="J1137" s="24" t="str">
        <x:v>1.74</x:v>
      </x:c>
      <x:c r="K1137" s="24" t="str">
        <x:v>Solitaire ECO 2</x:v>
      </x:c>
      <x:c r="L1137" s="40" t="n">
        <x:v>3400</x:v>
      </x:c>
      <x:c r="M1137" s="24" t="str">
        <x:v>-12 a +10</x:v>
      </x:c>
      <x:c r="N1137" s="24" t="str">
        <x:v>até -5</x:v>
      </x:c>
      <x:c r="O1137" s="24"/>
      <x:c r="P1137" s="24" t="str">
        <x:v>75</x:v>
      </x:c>
      <x:c r="Q1137" s="24"/>
      <x:c r="R1137" s="24"/>
      <x:c r="S1137" s="26" t="n">
        <x:v>46024</x:v>
      </x:c>
      <x:c r="T1137" s="26"/>
      <x:c r="U1137" s="24" t="str">
        <x:v>ATIVA/SEM FIM INFORMADO</x:v>
      </x:c>
      <x:c r="V1137" s="24"/>
      <x:c r="W1137" s="24" t="n">
        <x:v>32</x:v>
      </x:c>
      <x:c r="X1137" s="24" t="str">
        <x:v>tabela_rodenstock.pdf</x:v>
      </x:c>
      <x:c r="Y1137" s="24" t="str">
        <x:v>alta</x:v>
      </x:c>
      <x:c r="Z1137" s="24"/>
      <x:c r="AA1137" s="24" t="str">
        <x:v>Rodenstock|Netline|Netline|Netline Mono E||1.74|1.74|Solitaire ECO 2|-12 a +10|até -5||75|||32</x:v>
      </x:c>
    </x:row>
    <x:row r="1138">
      <x:c r="A1138" s="24" t="str">
        <x:v>RD-40AD00BD0885</x:v>
      </x:c>
      <x:c r="B1138" s="24" t="str">
        <x:v>SIM</x:v>
      </x:c>
      <x:c r="C1138" s="24" t="str">
        <x:v>DISPONÍVEL</x:v>
      </x:c>
      <x:c r="D1138" s="24" t="str">
        <x:v>Rodenstock</x:v>
      </x:c>
      <x:c r="E1138" s="24" t="str">
        <x:v>Bifocal</x:v>
      </x:c>
      <x:c r="F1138" s="24" t="str">
        <x:v>Surfaçada</x:v>
      </x:c>
      <x:c r="G1138" s="24" t="str">
        <x:v>Smart Bifo</x:v>
      </x:c>
      <x:c r="H1138" s="24"/>
      <x:c r="I1138" s="24" t="str">
        <x:v>1.5</x:v>
      </x:c>
      <x:c r="J1138" s="24" t="str">
        <x:v>1.50</x:v>
      </x:c>
      <x:c r="K1138" s="24" t="str">
        <x:v>Solitaire X-tra Clean</x:v>
      </x:c>
      <x:c r="L1138" s="40" t="n">
        <x:v>2700</x:v>
      </x:c>
      <x:c r="M1138" s="24" t="str">
        <x:v>1.910 1.520 -8 a +8 até -4 75
5.190 4.800 -8 a +8 até -4 75
4.910 4.520 -10 a +8 até -4 75
-
2.390 - -10 a +8 até -4 75
5.990 - -10 a +8 até -4 75
5.190 - -10 a +10 até -6 75
6.790 - -10 a +10 até -6 75</x:v>
      </x:c>
      <x:c r="N1138" s="24"/>
      <x:c r="O1138" s="24"/>
      <x:c r="P1138" s="24"/>
      <x:c r="Q1138" s="24"/>
      <x:c r="R1138" s="24"/>
      <x:c r="S1138" s="26" t="n">
        <x:v>46024</x:v>
      </x:c>
      <x:c r="T1138" s="26"/>
      <x:c r="U1138" s="24" t="str">
        <x:v>ATIVA/SEM FIM INFORMADO</x:v>
      </x:c>
      <x:c r="V1138" s="24"/>
      <x:c r="W1138" s="24" t="n">
        <x:v>34</x:v>
      </x:c>
      <x:c r="X1138" s="24" t="str">
        <x:v>tabela_rodenstock.pdf</x:v>
      </x:c>
      <x:c r="Y1138" s="24" t="str">
        <x:v>alta</x:v>
      </x:c>
      <x:c r="Z1138" s="24"/>
      <x:c r="AA1138" s="24" t="str">
        <x:v>Rodenstock|Bifocal|Surfaçada|Smart Bifo||1.5|1.50|Solitaire X-tra Clean|1.910 1.520 -8 a +8 até -4 75
5.190 4.800 -8 a +8 até -4 75
4.910 4.520 -10 a +8 até -4 75
-
2.390 - -10 a +8 até -4 75
5.990 - -10 a +8 até -4 75
5.190 - -10 a +10 até -6 75
6.790 - -10 a +10 até -6 75||||||34</x:v>
      </x:c>
    </x:row>
    <x:row r="1139">
      <x:c r="A1139" s="24" t="str">
        <x:v>RD-92D02E8D6E53</x:v>
      </x:c>
      <x:c r="B1139" s="24" t="str">
        <x:v>SIM</x:v>
      </x:c>
      <x:c r="C1139" s="24" t="str">
        <x:v>DISPONÍVEL</x:v>
      </x:c>
      <x:c r="D1139" s="24" t="str">
        <x:v>Rodenstock</x:v>
      </x:c>
      <x:c r="E1139" s="24" t="str">
        <x:v>Bifocal</x:v>
      </x:c>
      <x:c r="F1139" s="24" t="str">
        <x:v>Surfaçada</x:v>
      </x:c>
      <x:c r="G1139" s="24" t="str">
        <x:v>Smart Bifo</x:v>
      </x:c>
      <x:c r="H1139" s="24"/>
      <x:c r="I1139" s="24" t="str">
        <x:v>1.5</x:v>
      </x:c>
      <x:c r="J1139" s="24" t="str">
        <x:v>1.50</x:v>
      </x:c>
      <x:c r="K1139" s="24" t="str">
        <x:v>Solitaire 2 Protect Balance</x:v>
      </x:c>
      <x:c r="L1139" s="40" t="n">
        <x:v>2650</x:v>
      </x:c>
      <x:c r="M1139" s="24" t="str">
        <x:v>1.910 1.520 -8 a +8 até -4 75
5.190 4.800 -8 a +8 até -4 75
4.910 4.520 -10 a +8 até -4 75
-
2.390 - -10 a +8 até -4 75
5.990 - -10 a +8 até -4 75
5.190 - -10 a +10 até -6 75
6.790 - -10 a +10 até -6 75</x:v>
      </x:c>
      <x:c r="N1139" s="24"/>
      <x:c r="O1139" s="24"/>
      <x:c r="P1139" s="24"/>
      <x:c r="Q1139" s="24"/>
      <x:c r="R1139" s="24"/>
      <x:c r="S1139" s="26" t="n">
        <x:v>46024</x:v>
      </x:c>
      <x:c r="T1139" s="26"/>
      <x:c r="U1139" s="24" t="str">
        <x:v>ATIVA/SEM FIM INFORMADO</x:v>
      </x:c>
      <x:c r="V1139" s="24"/>
      <x:c r="W1139" s="24" t="n">
        <x:v>34</x:v>
      </x:c>
      <x:c r="X1139" s="24" t="str">
        <x:v>tabela_rodenstock.pdf</x:v>
      </x:c>
      <x:c r="Y1139" s="24" t="str">
        <x:v>alta</x:v>
      </x:c>
      <x:c r="Z1139" s="24"/>
      <x:c r="AA1139" s="24" t="str">
        <x:v>Rodenstock|Bifocal|Surfaçada|Smart Bifo||1.5|1.50|Solitaire 2 Protect Balance|1.910 1.520 -8 a +8 até -4 75
5.190 4.800 -8 a +8 até -4 75
4.910 4.520 -10 a +8 até -4 75
-
2.390 - -10 a +8 até -4 75
5.990 - -10 a +8 até -4 75
5.190 - -10 a +10 até -6 75
6.790 - -10 a +10 até -6 75||||||34</x:v>
      </x:c>
    </x:row>
    <x:row r="1140">
      <x:c r="A1140" s="24" t="str">
        <x:v>RD-9A6C1FEE471F</x:v>
      </x:c>
      <x:c r="B1140" s="24" t="str">
        <x:v>SIM</x:v>
      </x:c>
      <x:c r="C1140" s="24" t="str">
        <x:v>DISPONÍVEL</x:v>
      </x:c>
      <x:c r="D1140" s="24" t="str">
        <x:v>Rodenstock</x:v>
      </x:c>
      <x:c r="E1140" s="24" t="str">
        <x:v>Bifocal</x:v>
      </x:c>
      <x:c r="F1140" s="24" t="str">
        <x:v>Surfaçada</x:v>
      </x:c>
      <x:c r="G1140" s="24" t="str">
        <x:v>Smart Bifo</x:v>
      </x:c>
      <x:c r="H1140" s="24"/>
      <x:c r="I1140" s="24" t="str">
        <x:v>1.5</x:v>
      </x:c>
      <x:c r="J1140" s="24" t="str">
        <x:v>1.50</x:v>
      </x:c>
      <x:c r="K1140" s="24" t="str">
        <x:v>Solitaire Protect Plus</x:v>
      </x:c>
      <x:c r="L1140" s="40" t="n">
        <x:v>2650</x:v>
      </x:c>
      <x:c r="M1140" s="24" t="str">
        <x:v>1.910 1.520 -8 a +8 até -4 75
5.190 4.800 -8 a +8 até -4 75
4.910 4.520 -10 a +8 até -4 75
-
2.390 - -10 a +8 até -4 75
5.990 - -10 a +8 até -4 75
5.190 - -10 a +10 até -6 75
6.790 - -10 a +10 até -6 75</x:v>
      </x:c>
      <x:c r="N1140" s="24"/>
      <x:c r="O1140" s="24"/>
      <x:c r="P1140" s="24"/>
      <x:c r="Q1140" s="24"/>
      <x:c r="R1140" s="24"/>
      <x:c r="S1140" s="26" t="n">
        <x:v>46024</x:v>
      </x:c>
      <x:c r="T1140" s="26"/>
      <x:c r="U1140" s="24" t="str">
        <x:v>ATIVA/SEM FIM INFORMADO</x:v>
      </x:c>
      <x:c r="V1140" s="24"/>
      <x:c r="W1140" s="24" t="n">
        <x:v>34</x:v>
      </x:c>
      <x:c r="X1140" s="24" t="str">
        <x:v>tabela_rodenstock.pdf</x:v>
      </x:c>
      <x:c r="Y1140" s="24" t="str">
        <x:v>alta</x:v>
      </x:c>
      <x:c r="Z1140" s="24"/>
      <x:c r="AA1140" s="24" t="str">
        <x:v>Rodenstock|Bifocal|Surfaçada|Smart Bifo||1.5|1.50|Solitaire Protect Plus|1.910 1.520 -8 a +8 até -4 75
5.190 4.800 -8 a +8 até -4 75
4.910 4.520 -10 a +8 até -4 75
-
2.390 - -10 a +8 até -4 75
5.990 - -10 a +8 até -4 75
5.190 - -10 a +10 até -6 75
6.790 - -10 a +10 até -6 75||||||34</x:v>
      </x:c>
    </x:row>
    <x:row r="1141">
      <x:c r="A1141" s="24" t="str">
        <x:v>RD-E805C432BD1E</x:v>
      </x:c>
      <x:c r="B1141" s="24" t="str">
        <x:v>SIM</x:v>
      </x:c>
      <x:c r="C1141" s="24" t="str">
        <x:v>DISPONÍVEL</x:v>
      </x:c>
      <x:c r="D1141" s="24" t="str">
        <x:v>Rodenstock</x:v>
      </x:c>
      <x:c r="E1141" s="24" t="str">
        <x:v>Bifocal</x:v>
      </x:c>
      <x:c r="F1141" s="24" t="str">
        <x:v>Surfaçada</x:v>
      </x:c>
      <x:c r="G1141" s="24" t="str">
        <x:v>Smart Bifo</x:v>
      </x:c>
      <x:c r="H1141" s="24"/>
      <x:c r="I1141" s="24" t="str">
        <x:v>1.5</x:v>
      </x:c>
      <x:c r="J1141" s="24" t="str">
        <x:v>1.50</x:v>
      </x:c>
      <x:c r="K1141" s="24" t="str">
        <x:v>Solitaire Protect</x:v>
      </x:c>
      <x:c r="L1141" s="40" t="n">
        <x:v>2390</x:v>
      </x:c>
      <x:c r="M1141" s="24" t="str">
        <x:v>1.910 1.520 -8 a +8 até -4 75
5.190 4.800 -8 a +8 até -4 75
4.910 4.520 -10 a +8 até -4 75
-
2.390 - -10 a +8 até -4 75
5.990 - -10 a +8 até -4 75
5.190 - -10 a +10 até -6 75
6.790 - -10 a +10 até -6 75</x:v>
      </x:c>
      <x:c r="N1141" s="24"/>
      <x:c r="O1141" s="24"/>
      <x:c r="P1141" s="24"/>
      <x:c r="Q1141" s="24"/>
      <x:c r="R1141" s="24"/>
      <x:c r="S1141" s="26" t="n">
        <x:v>46024</x:v>
      </x:c>
      <x:c r="T1141" s="26"/>
      <x:c r="U1141" s="24" t="str">
        <x:v>ATIVA/SEM FIM INFORMADO</x:v>
      </x:c>
      <x:c r="V1141" s="24"/>
      <x:c r="W1141" s="24" t="n">
        <x:v>34</x:v>
      </x:c>
      <x:c r="X1141" s="24" t="str">
        <x:v>tabela_rodenstock.pdf</x:v>
      </x:c>
      <x:c r="Y1141" s="24" t="str">
        <x:v>alta</x:v>
      </x:c>
      <x:c r="Z1141" s="24"/>
      <x:c r="AA1141" s="24" t="str">
        <x:v>Rodenstock|Bifocal|Surfaçada|Smart Bifo||1.5|1.50|Solitaire Protect|1.910 1.520 -8 a +8 até -4 75
5.190 4.800 -8 a +8 até -4 75
4.910 4.520 -10 a +8 até -4 75
-
2.390 - -10 a +8 até -4 75
5.990 - -10 a +8 até -4 75
5.190 - -10 a +10 até -6 75
6.790 - -10 a +10 até -6 75||||||34</x:v>
      </x:c>
    </x:row>
    <x:row r="1142">
      <x:c r="A1142" s="24" t="str">
        <x:v>RD-CE1D61031F89</x:v>
      </x:c>
      <x:c r="B1142" s="24" t="str">
        <x:v>SIM</x:v>
      </x:c>
      <x:c r="C1142" s="24" t="str">
        <x:v>DISPONÍVEL</x:v>
      </x:c>
      <x:c r="D1142" s="24" t="str">
        <x:v>Rodenstock</x:v>
      </x:c>
      <x:c r="E1142" s="24" t="str">
        <x:v>Bifocal</x:v>
      </x:c>
      <x:c r="F1142" s="24" t="str">
        <x:v>Surfaçada</x:v>
      </x:c>
      <x:c r="G1142" s="24" t="str">
        <x:v>Smart Bifo</x:v>
      </x:c>
      <x:c r="H1142" s="24" t="str">
        <x:v>Polarizada</x:v>
      </x:c>
      <x:c r="I1142" s="24" t="str">
        <x:v>1.5</x:v>
      </x:c>
      <x:c r="J1142" s="24" t="str">
        <x:v>1.50</x:v>
      </x:c>
      <x:c r="K1142" s="24" t="str">
        <x:v>Solitaire X-tra Clean</x:v>
      </x:c>
      <x:c r="L1142" s="40" t="n">
        <x:v>5980</x:v>
      </x:c>
      <x:c r="M1142" s="24" t="str">
        <x:v>-8 a +8</x:v>
      </x:c>
      <x:c r="N1142" s="24" t="str">
        <x:v>até -4</x:v>
      </x:c>
      <x:c r="O1142" s="24"/>
      <x:c r="P1142" s="24" t="str">
        <x:v>75</x:v>
      </x:c>
      <x:c r="Q1142" s="24"/>
      <x:c r="R1142" s="24"/>
      <x:c r="S1142" s="26" t="n">
        <x:v>46024</x:v>
      </x:c>
      <x:c r="T1142" s="26"/>
      <x:c r="U1142" s="24" t="str">
        <x:v>ATIVA/SEM FIM INFORMADO</x:v>
      </x:c>
      <x:c r="V1142" s="24"/>
      <x:c r="W1142" s="24" t="n">
        <x:v>34</x:v>
      </x:c>
      <x:c r="X1142" s="24" t="str">
        <x:v>tabela_rodenstock.pdf</x:v>
      </x:c>
      <x:c r="Y1142" s="24" t="str">
        <x:v>alta</x:v>
      </x:c>
      <x:c r="Z1142" s="24"/>
      <x:c r="AA1142" s="24" t="str">
        <x:v>Rodenstock|Bifocal|Surfaçada|Smart Bifo|Polarizada|1.5|1.50|Solitaire X-tra Clean|-8 a +8|até -4||75|||34</x:v>
      </x:c>
    </x:row>
    <x:row r="1143">
      <x:c r="A1143" s="24" t="str">
        <x:v>RD-681017403EB3</x:v>
      </x:c>
      <x:c r="B1143" s="24" t="str">
        <x:v>SIM</x:v>
      </x:c>
      <x:c r="C1143" s="24" t="str">
        <x:v>DISPONÍVEL</x:v>
      </x:c>
      <x:c r="D1143" s="24" t="str">
        <x:v>Rodenstock</x:v>
      </x:c>
      <x:c r="E1143" s="24" t="str">
        <x:v>Bifocal</x:v>
      </x:c>
      <x:c r="F1143" s="24" t="str">
        <x:v>Surfaçada</x:v>
      </x:c>
      <x:c r="G1143" s="24" t="str">
        <x:v>Smart Bifo</x:v>
      </x:c>
      <x:c r="H1143" s="24" t="str">
        <x:v>Polarizada</x:v>
      </x:c>
      <x:c r="I1143" s="24" t="str">
        <x:v>1.5</x:v>
      </x:c>
      <x:c r="J1143" s="24" t="str">
        <x:v>1.50</x:v>
      </x:c>
      <x:c r="K1143" s="24" t="str">
        <x:v>Solitaire 2 Protect Balance</x:v>
      </x:c>
      <x:c r="L1143" s="40" t="n">
        <x:v>5930</x:v>
      </x:c>
      <x:c r="M1143" s="24" t="str">
        <x:v>-8 a +8</x:v>
      </x:c>
      <x:c r="N1143" s="24" t="str">
        <x:v>até -4</x:v>
      </x:c>
      <x:c r="O1143" s="24"/>
      <x:c r="P1143" s="24" t="str">
        <x:v>75</x:v>
      </x:c>
      <x:c r="Q1143" s="24"/>
      <x:c r="R1143" s="24"/>
      <x:c r="S1143" s="26" t="n">
        <x:v>46024</x:v>
      </x:c>
      <x:c r="T1143" s="26"/>
      <x:c r="U1143" s="24" t="str">
        <x:v>ATIVA/SEM FIM INFORMADO</x:v>
      </x:c>
      <x:c r="V1143" s="24"/>
      <x:c r="W1143" s="24" t="n">
        <x:v>34</x:v>
      </x:c>
      <x:c r="X1143" s="24" t="str">
        <x:v>tabela_rodenstock.pdf</x:v>
      </x:c>
      <x:c r="Y1143" s="24" t="str">
        <x:v>alta</x:v>
      </x:c>
      <x:c r="Z1143" s="24"/>
      <x:c r="AA1143" s="24" t="str">
        <x:v>Rodenstock|Bifocal|Surfaçada|Smart Bifo|Polarizada|1.5|1.50|Solitaire 2 Protect Balance|-8 a +8|até -4||75|||34</x:v>
      </x:c>
    </x:row>
    <x:row r="1144">
      <x:c r="A1144" s="24" t="str">
        <x:v>RD-0B050426CBCA</x:v>
      </x:c>
      <x:c r="B1144" s="24" t="str">
        <x:v>SIM</x:v>
      </x:c>
      <x:c r="C1144" s="24" t="str">
        <x:v>DISPONÍVEL</x:v>
      </x:c>
      <x:c r="D1144" s="24" t="str">
        <x:v>Rodenstock</x:v>
      </x:c>
      <x:c r="E1144" s="24" t="str">
        <x:v>Bifocal</x:v>
      </x:c>
      <x:c r="F1144" s="24" t="str">
        <x:v>Surfaçada</x:v>
      </x:c>
      <x:c r="G1144" s="24" t="str">
        <x:v>Smart Bifo</x:v>
      </x:c>
      <x:c r="H1144" s="24" t="str">
        <x:v>Polarizada</x:v>
      </x:c>
      <x:c r="I1144" s="24" t="str">
        <x:v>1.5</x:v>
      </x:c>
      <x:c r="J1144" s="24" t="str">
        <x:v>1.50</x:v>
      </x:c>
      <x:c r="K1144" s="24" t="str">
        <x:v>Solitaire Protect Plus</x:v>
      </x:c>
      <x:c r="L1144" s="40" t="n">
        <x:v>5930</x:v>
      </x:c>
      <x:c r="M1144" s="24" t="str">
        <x:v>-8 a +8</x:v>
      </x:c>
      <x:c r="N1144" s="24" t="str">
        <x:v>até -4</x:v>
      </x:c>
      <x:c r="O1144" s="24"/>
      <x:c r="P1144" s="24" t="str">
        <x:v>75</x:v>
      </x:c>
      <x:c r="Q1144" s="24"/>
      <x:c r="R1144" s="24"/>
      <x:c r="S1144" s="26" t="n">
        <x:v>46024</x:v>
      </x:c>
      <x:c r="T1144" s="26"/>
      <x:c r="U1144" s="24" t="str">
        <x:v>ATIVA/SEM FIM INFORMADO</x:v>
      </x:c>
      <x:c r="V1144" s="24"/>
      <x:c r="W1144" s="24" t="n">
        <x:v>34</x:v>
      </x:c>
      <x:c r="X1144" s="24" t="str">
        <x:v>tabela_rodenstock.pdf</x:v>
      </x:c>
      <x:c r="Y1144" s="24" t="str">
        <x:v>alta</x:v>
      </x:c>
      <x:c r="Z1144" s="24"/>
      <x:c r="AA1144" s="24" t="str">
        <x:v>Rodenstock|Bifocal|Surfaçada|Smart Bifo|Polarizada|1.5|1.50|Solitaire Protect Plus|-8 a +8|até -4||75|||34</x:v>
      </x:c>
    </x:row>
    <x:row r="1145">
      <x:c r="A1145" s="24" t="str">
        <x:v>RD-E2F762102E2F</x:v>
      </x:c>
      <x:c r="B1145" s="24" t="str">
        <x:v>SIM</x:v>
      </x:c>
      <x:c r="C1145" s="24" t="str">
        <x:v>DISPONÍVEL</x:v>
      </x:c>
      <x:c r="D1145" s="24" t="str">
        <x:v>Rodenstock</x:v>
      </x:c>
      <x:c r="E1145" s="24" t="str">
        <x:v>Bifocal</x:v>
      </x:c>
      <x:c r="F1145" s="24" t="str">
        <x:v>Surfaçada</x:v>
      </x:c>
      <x:c r="G1145" s="24" t="str">
        <x:v>Smart Bifo</x:v>
      </x:c>
      <x:c r="H1145" s="24" t="str">
        <x:v>Polarizada</x:v>
      </x:c>
      <x:c r="I1145" s="24" t="str">
        <x:v>1.5</x:v>
      </x:c>
      <x:c r="J1145" s="24" t="str">
        <x:v>1.50</x:v>
      </x:c>
      <x:c r="K1145" s="24" t="str">
        <x:v>Solitaire Protect</x:v>
      </x:c>
      <x:c r="L1145" s="40" t="n">
        <x:v>5670</x:v>
      </x:c>
      <x:c r="M1145" s="24" t="str">
        <x:v>-8 a +8</x:v>
      </x:c>
      <x:c r="N1145" s="24" t="str">
        <x:v>até -4</x:v>
      </x:c>
      <x:c r="O1145" s="24"/>
      <x:c r="P1145" s="24" t="str">
        <x:v>75</x:v>
      </x:c>
      <x:c r="Q1145" s="24"/>
      <x:c r="R1145" s="24"/>
      <x:c r="S1145" s="26" t="n">
        <x:v>46024</x:v>
      </x:c>
      <x:c r="T1145" s="26"/>
      <x:c r="U1145" s="24" t="str">
        <x:v>ATIVA/SEM FIM INFORMADO</x:v>
      </x:c>
      <x:c r="V1145" s="24"/>
      <x:c r="W1145" s="24" t="n">
        <x:v>34</x:v>
      </x:c>
      <x:c r="X1145" s="24" t="str">
        <x:v>tabela_rodenstock.pdf</x:v>
      </x:c>
      <x:c r="Y1145" s="24" t="str">
        <x:v>alta</x:v>
      </x:c>
      <x:c r="Z1145" s="24"/>
      <x:c r="AA1145" s="24" t="str">
        <x:v>Rodenstock|Bifocal|Surfaçada|Smart Bifo|Polarizada|1.5|1.50|Solitaire Protect|-8 a +8|até -4||75|||34</x:v>
      </x:c>
    </x:row>
    <x:row r="1146">
      <x:c r="A1146" s="24" t="str">
        <x:v>RD-B87275F5F56A</x:v>
      </x:c>
      <x:c r="B1146" s="24" t="str">
        <x:v>SIM</x:v>
      </x:c>
      <x:c r="C1146" s="24" t="str">
        <x:v>DISPONÍVEL</x:v>
      </x:c>
      <x:c r="D1146" s="24" t="str">
        <x:v>Rodenstock</x:v>
      </x:c>
      <x:c r="E1146" s="24" t="str">
        <x:v>Bifocal</x:v>
      </x:c>
      <x:c r="F1146" s="24" t="str">
        <x:v>Surfaçada</x:v>
      </x:c>
      <x:c r="G1146" s="24" t="str">
        <x:v>Smart Bifo</x:v>
      </x:c>
      <x:c r="H1146" s="24" t="str">
        <x:v>Polarizada</x:v>
      </x:c>
      <x:c r="I1146" s="24" t="str">
        <x:v>1.5</x:v>
      </x:c>
      <x:c r="J1146" s="24" t="str">
        <x:v>1.50</x:v>
      </x:c>
      <x:c r="K1146" s="24" t="str">
        <x:v>Solitaire ECO 2</x:v>
      </x:c>
      <x:c r="L1146" s="40" t="n">
        <x:v>5190</x:v>
      </x:c>
      <x:c r="M1146" s="24" t="str">
        <x:v>-8 a +8</x:v>
      </x:c>
      <x:c r="N1146" s="24" t="str">
        <x:v>até -4</x:v>
      </x:c>
      <x:c r="O1146" s="24"/>
      <x:c r="P1146" s="24" t="str">
        <x:v>75</x:v>
      </x:c>
      <x:c r="Q1146" s="24"/>
      <x:c r="R1146" s="24"/>
      <x:c r="S1146" s="26" t="n">
        <x:v>46024</x:v>
      </x:c>
      <x:c r="T1146" s="26"/>
      <x:c r="U1146" s="24" t="str">
        <x:v>ATIVA/SEM FIM INFORMADO</x:v>
      </x:c>
      <x:c r="V1146" s="24"/>
      <x:c r="W1146" s="24" t="n">
        <x:v>34</x:v>
      </x:c>
      <x:c r="X1146" s="24" t="str">
        <x:v>tabela_rodenstock.pdf</x:v>
      </x:c>
      <x:c r="Y1146" s="24" t="str">
        <x:v>alta</x:v>
      </x:c>
      <x:c r="Z1146" s="24"/>
      <x:c r="AA1146" s="24" t="str">
        <x:v>Rodenstock|Bifocal|Surfaçada|Smart Bifo|Polarizada|1.5|1.50|Solitaire ECO 2|-8 a +8|até -4||75|||34</x:v>
      </x:c>
    </x:row>
    <x:row r="1147">
      <x:c r="A1147" s="24" t="str">
        <x:v>RD-F7B551619CA1</x:v>
      </x:c>
      <x:c r="B1147" s="24" t="str">
        <x:v>SIM</x:v>
      </x:c>
      <x:c r="C1147" s="24" t="str">
        <x:v>DISPONÍVEL</x:v>
      </x:c>
      <x:c r="D1147" s="24" t="str">
        <x:v>Rodenstock</x:v>
      </x:c>
      <x:c r="E1147" s="24" t="str">
        <x:v>Bifocal</x:v>
      </x:c>
      <x:c r="F1147" s="24" t="str">
        <x:v>Surfaçada</x:v>
      </x:c>
      <x:c r="G1147" s="24" t="str">
        <x:v>Smart Bifo</x:v>
      </x:c>
      <x:c r="H1147" s="24" t="str">
        <x:v>Polarizada</x:v>
      </x:c>
      <x:c r="I1147" s="24" t="str">
        <x:v>1.5</x:v>
      </x:c>
      <x:c r="J1147" s="24" t="str">
        <x:v>1.50</x:v>
      </x:c>
      <x:c r="K1147" s="24" t="str">
        <x:v>Sem AR</x:v>
      </x:c>
      <x:c r="L1147" s="40" t="n">
        <x:v>4800</x:v>
      </x:c>
      <x:c r="M1147" s="24" t="str">
        <x:v>-8 a +8</x:v>
      </x:c>
      <x:c r="N1147" s="24" t="str">
        <x:v>até -4</x:v>
      </x:c>
      <x:c r="O1147" s="24"/>
      <x:c r="P1147" s="24" t="str">
        <x:v>75</x:v>
      </x:c>
      <x:c r="Q1147" s="24"/>
      <x:c r="R1147" s="24"/>
      <x:c r="S1147" s="26" t="n">
        <x:v>46024</x:v>
      </x:c>
      <x:c r="T1147" s="26"/>
      <x:c r="U1147" s="24" t="str">
        <x:v>ATIVA/SEM FIM INFORMADO</x:v>
      </x:c>
      <x:c r="V1147" s="24"/>
      <x:c r="W1147" s="24" t="n">
        <x:v>34</x:v>
      </x:c>
      <x:c r="X1147" s="24" t="str">
        <x:v>tabela_rodenstock.pdf</x:v>
      </x:c>
      <x:c r="Y1147" s="24" t="str">
        <x:v>alta</x:v>
      </x:c>
      <x:c r="Z1147" s="24"/>
      <x:c r="AA1147" s="24" t="str">
        <x:v>Rodenstock|Bifocal|Surfaçada|Smart Bifo|Polarizada|1.5|1.50|Sem AR|-8 a +8|até -4||75|||34</x:v>
      </x:c>
    </x:row>
    <x:row r="1148">
      <x:c r="A1148" s="24" t="str">
        <x:v>RD-4EFD40FCBA11</x:v>
      </x:c>
      <x:c r="B1148" s="24" t="str">
        <x:v>SIM</x:v>
      </x:c>
      <x:c r="C1148" s="24" t="str">
        <x:v>DISPONÍVEL</x:v>
      </x:c>
      <x:c r="D1148" s="24" t="str">
        <x:v>Rodenstock</x:v>
      </x:c>
      <x:c r="E1148" s="24" t="str">
        <x:v>Bifocal</x:v>
      </x:c>
      <x:c r="F1148" s="24" t="str">
        <x:v>Surfaçada</x:v>
      </x:c>
      <x:c r="G1148" s="24" t="str">
        <x:v>Smart Bifo</x:v>
      </x:c>
      <x:c r="H1148" s="24" t="str">
        <x:v>ColorMatic® 3</x:v>
      </x:c>
      <x:c r="I1148" s="24" t="str">
        <x:v>1.54</x:v>
      </x:c>
      <x:c r="J1148" s="24" t="str">
        <x:v>1.54</x:v>
      </x:c>
      <x:c r="K1148" s="24" t="str">
        <x:v>Solitaire X-tra Clean</x:v>
      </x:c>
      <x:c r="L1148" s="40" t="n">
        <x:v>5700</x:v>
      </x:c>
      <x:c r="M1148" s="24" t="str">
        <x:v>-10 a +8</x:v>
      </x:c>
      <x:c r="N1148" s="24" t="str">
        <x:v>até -4</x:v>
      </x:c>
      <x:c r="O1148" s="24"/>
      <x:c r="P1148" s="24" t="str">
        <x:v>75</x:v>
      </x:c>
      <x:c r="Q1148" s="24"/>
      <x:c r="R1148" s="24"/>
      <x:c r="S1148" s="26" t="n">
        <x:v>46024</x:v>
      </x:c>
      <x:c r="T1148" s="26"/>
      <x:c r="U1148" s="24" t="str">
        <x:v>ATIVA/SEM FIM INFORMADO</x:v>
      </x:c>
      <x:c r="V1148" s="24"/>
      <x:c r="W1148" s="24" t="n">
        <x:v>34</x:v>
      </x:c>
      <x:c r="X1148" s="24" t="str">
        <x:v>tabela_rodenstock.pdf</x:v>
      </x:c>
      <x:c r="Y1148" s="24" t="str">
        <x:v>alta</x:v>
      </x:c>
      <x:c r="Z1148" s="24"/>
      <x:c r="AA1148" s="24" t="str">
        <x:v>Rodenstock|Bifocal|Surfaçada|Smart Bifo|ColorMatic® 3|1.54|1.54|Solitaire X-tra Clean|-10 a +8|até -4||75|||34</x:v>
      </x:c>
    </x:row>
    <x:row r="1149">
      <x:c r="A1149" s="24" t="str">
        <x:v>RD-76DBEE64571D</x:v>
      </x:c>
      <x:c r="B1149" s="24" t="str">
        <x:v>SIM</x:v>
      </x:c>
      <x:c r="C1149" s="24" t="str">
        <x:v>DISPONÍVEL</x:v>
      </x:c>
      <x:c r="D1149" s="24" t="str">
        <x:v>Rodenstock</x:v>
      </x:c>
      <x:c r="E1149" s="24" t="str">
        <x:v>Bifocal</x:v>
      </x:c>
      <x:c r="F1149" s="24" t="str">
        <x:v>Surfaçada</x:v>
      </x:c>
      <x:c r="G1149" s="24" t="str">
        <x:v>Smart Bifo</x:v>
      </x:c>
      <x:c r="H1149" s="24" t="str">
        <x:v>ColorMatic® 3</x:v>
      </x:c>
      <x:c r="I1149" s="24" t="str">
        <x:v>1.54</x:v>
      </x:c>
      <x:c r="J1149" s="24" t="str">
        <x:v>1.54</x:v>
      </x:c>
      <x:c r="K1149" s="24" t="str">
        <x:v>Solitaire 2 Protect Balance</x:v>
      </x:c>
      <x:c r="L1149" s="40" t="n">
        <x:v>5650</x:v>
      </x:c>
      <x:c r="M1149" s="24" t="str">
        <x:v>-10 a +8</x:v>
      </x:c>
      <x:c r="N1149" s="24" t="str">
        <x:v>até -4</x:v>
      </x:c>
      <x:c r="O1149" s="24"/>
      <x:c r="P1149" s="24" t="str">
        <x:v>75</x:v>
      </x:c>
      <x:c r="Q1149" s="24"/>
      <x:c r="R1149" s="24"/>
      <x:c r="S1149" s="26" t="n">
        <x:v>46024</x:v>
      </x:c>
      <x:c r="T1149" s="26"/>
      <x:c r="U1149" s="24" t="str">
        <x:v>ATIVA/SEM FIM INFORMADO</x:v>
      </x:c>
      <x:c r="V1149" s="24"/>
      <x:c r="W1149" s="24" t="n">
        <x:v>34</x:v>
      </x:c>
      <x:c r="X1149" s="24" t="str">
        <x:v>tabela_rodenstock.pdf</x:v>
      </x:c>
      <x:c r="Y1149" s="24" t="str">
        <x:v>alta</x:v>
      </x:c>
      <x:c r="Z1149" s="24"/>
      <x:c r="AA1149" s="24" t="str">
        <x:v>Rodenstock|Bifocal|Surfaçada|Smart Bifo|ColorMatic® 3|1.54|1.54|Solitaire 2 Protect Balance|-10 a +8|até -4||75|||34</x:v>
      </x:c>
    </x:row>
    <x:row r="1150">
      <x:c r="A1150" s="24" t="str">
        <x:v>RD-72B419767B3E</x:v>
      </x:c>
      <x:c r="B1150" s="24" t="str">
        <x:v>SIM</x:v>
      </x:c>
      <x:c r="C1150" s="24" t="str">
        <x:v>DISPONÍVEL</x:v>
      </x:c>
      <x:c r="D1150" s="24" t="str">
        <x:v>Rodenstock</x:v>
      </x:c>
      <x:c r="E1150" s="24" t="str">
        <x:v>Bifocal</x:v>
      </x:c>
      <x:c r="F1150" s="24" t="str">
        <x:v>Surfaçada</x:v>
      </x:c>
      <x:c r="G1150" s="24" t="str">
        <x:v>Smart Bifo</x:v>
      </x:c>
      <x:c r="H1150" s="24" t="str">
        <x:v>ColorMatic® 3</x:v>
      </x:c>
      <x:c r="I1150" s="24" t="str">
        <x:v>1.54</x:v>
      </x:c>
      <x:c r="J1150" s="24" t="str">
        <x:v>1.54</x:v>
      </x:c>
      <x:c r="K1150" s="24" t="str">
        <x:v>Solitaire Protect Plus</x:v>
      </x:c>
      <x:c r="L1150" s="40" t="n">
        <x:v>5650</x:v>
      </x:c>
      <x:c r="M1150" s="24" t="str">
        <x:v>-10 a +8</x:v>
      </x:c>
      <x:c r="N1150" s="24" t="str">
        <x:v>até -4</x:v>
      </x:c>
      <x:c r="O1150" s="24"/>
      <x:c r="P1150" s="24" t="str">
        <x:v>75</x:v>
      </x:c>
      <x:c r="Q1150" s="24"/>
      <x:c r="R1150" s="24"/>
      <x:c r="S1150" s="26" t="n">
        <x:v>46024</x:v>
      </x:c>
      <x:c r="T1150" s="26"/>
      <x:c r="U1150" s="24" t="str">
        <x:v>ATIVA/SEM FIM INFORMADO</x:v>
      </x:c>
      <x:c r="V1150" s="24"/>
      <x:c r="W1150" s="24" t="n">
        <x:v>34</x:v>
      </x:c>
      <x:c r="X1150" s="24" t="str">
        <x:v>tabela_rodenstock.pdf</x:v>
      </x:c>
      <x:c r="Y1150" s="24" t="str">
        <x:v>alta</x:v>
      </x:c>
      <x:c r="Z1150" s="24"/>
      <x:c r="AA1150" s="24" t="str">
        <x:v>Rodenstock|Bifocal|Surfaçada|Smart Bifo|ColorMatic® 3|1.54|1.54|Solitaire Protect Plus|-10 a +8|até -4||75|||34</x:v>
      </x:c>
    </x:row>
    <x:row r="1151">
      <x:c r="A1151" s="24" t="str">
        <x:v>RD-62945182C682</x:v>
      </x:c>
      <x:c r="B1151" s="24" t="str">
        <x:v>SIM</x:v>
      </x:c>
      <x:c r="C1151" s="24" t="str">
        <x:v>DISPONÍVEL</x:v>
      </x:c>
      <x:c r="D1151" s="24" t="str">
        <x:v>Rodenstock</x:v>
      </x:c>
      <x:c r="E1151" s="24" t="str">
        <x:v>Bifocal</x:v>
      </x:c>
      <x:c r="F1151" s="24" t="str">
        <x:v>Surfaçada</x:v>
      </x:c>
      <x:c r="G1151" s="24" t="str">
        <x:v>Smart Bifo</x:v>
      </x:c>
      <x:c r="H1151" s="24" t="str">
        <x:v>ColorMatic® 3</x:v>
      </x:c>
      <x:c r="I1151" s="24" t="str">
        <x:v>1.54</x:v>
      </x:c>
      <x:c r="J1151" s="24" t="str">
        <x:v>1.54</x:v>
      </x:c>
      <x:c r="K1151" s="24" t="str">
        <x:v>Solitaire Protect</x:v>
      </x:c>
      <x:c r="L1151" s="40" t="n">
        <x:v>5390</x:v>
      </x:c>
      <x:c r="M1151" s="24" t="str">
        <x:v>-10 a +8</x:v>
      </x:c>
      <x:c r="N1151" s="24" t="str">
        <x:v>até -4</x:v>
      </x:c>
      <x:c r="O1151" s="24"/>
      <x:c r="P1151" s="24" t="str">
        <x:v>75</x:v>
      </x:c>
      <x:c r="Q1151" s="24"/>
      <x:c r="R1151" s="24"/>
      <x:c r="S1151" s="26" t="n">
        <x:v>46024</x:v>
      </x:c>
      <x:c r="T1151" s="26"/>
      <x:c r="U1151" s="24" t="str">
        <x:v>ATIVA/SEM FIM INFORMADO</x:v>
      </x:c>
      <x:c r="V1151" s="24"/>
      <x:c r="W1151" s="24" t="n">
        <x:v>34</x:v>
      </x:c>
      <x:c r="X1151" s="24" t="str">
        <x:v>tabela_rodenstock.pdf</x:v>
      </x:c>
      <x:c r="Y1151" s="24" t="str">
        <x:v>alta</x:v>
      </x:c>
      <x:c r="Z1151" s="24"/>
      <x:c r="AA1151" s="24" t="str">
        <x:v>Rodenstock|Bifocal|Surfaçada|Smart Bifo|ColorMatic® 3|1.54|1.54|Solitaire Protect|-10 a +8|até -4||75|||34</x:v>
      </x:c>
    </x:row>
    <x:row r="1152">
      <x:c r="A1152" s="24" t="str">
        <x:v>RD-CB97E3C313F0</x:v>
      </x:c>
      <x:c r="B1152" s="24" t="str">
        <x:v>SIM</x:v>
      </x:c>
      <x:c r="C1152" s="24" t="str">
        <x:v>DISPONÍVEL</x:v>
      </x:c>
      <x:c r="D1152" s="24" t="str">
        <x:v>Rodenstock</x:v>
      </x:c>
      <x:c r="E1152" s="24" t="str">
        <x:v>Bifocal</x:v>
      </x:c>
      <x:c r="F1152" s="24" t="str">
        <x:v>Surfaçada</x:v>
      </x:c>
      <x:c r="G1152" s="24" t="str">
        <x:v>Smart Bifo</x:v>
      </x:c>
      <x:c r="H1152" s="24" t="str">
        <x:v>ColorMatic® 3</x:v>
      </x:c>
      <x:c r="I1152" s="24" t="str">
        <x:v>1.54</x:v>
      </x:c>
      <x:c r="J1152" s="24" t="str">
        <x:v>1.54</x:v>
      </x:c>
      <x:c r="K1152" s="24" t="str">
        <x:v>Solitaire ECO 2</x:v>
      </x:c>
      <x:c r="L1152" s="40" t="n">
        <x:v>4910</x:v>
      </x:c>
      <x:c r="M1152" s="24" t="str">
        <x:v>-10 a +8</x:v>
      </x:c>
      <x:c r="N1152" s="24" t="str">
        <x:v>até -4</x:v>
      </x:c>
      <x:c r="O1152" s="24"/>
      <x:c r="P1152" s="24" t="str">
        <x:v>75</x:v>
      </x:c>
      <x:c r="Q1152" s="24"/>
      <x:c r="R1152" s="24"/>
      <x:c r="S1152" s="26" t="n">
        <x:v>46024</x:v>
      </x:c>
      <x:c r="T1152" s="26"/>
      <x:c r="U1152" s="24" t="str">
        <x:v>ATIVA/SEM FIM INFORMADO</x:v>
      </x:c>
      <x:c r="V1152" s="24"/>
      <x:c r="W1152" s="24" t="n">
        <x:v>34</x:v>
      </x:c>
      <x:c r="X1152" s="24" t="str">
        <x:v>tabela_rodenstock.pdf</x:v>
      </x:c>
      <x:c r="Y1152" s="24" t="str">
        <x:v>alta</x:v>
      </x:c>
      <x:c r="Z1152" s="24"/>
      <x:c r="AA1152" s="24" t="str">
        <x:v>Rodenstock|Bifocal|Surfaçada|Smart Bifo|ColorMatic® 3|1.54|1.54|Solitaire ECO 2|-10 a +8|até -4||75|||34</x:v>
      </x:c>
    </x:row>
    <x:row r="1153">
      <x:c r="A1153" s="24" t="str">
        <x:v>RD-6AB04D34465D</x:v>
      </x:c>
      <x:c r="B1153" s="24" t="str">
        <x:v>SIM</x:v>
      </x:c>
      <x:c r="C1153" s="24" t="str">
        <x:v>DISPONÍVEL</x:v>
      </x:c>
      <x:c r="D1153" s="24" t="str">
        <x:v>Rodenstock</x:v>
      </x:c>
      <x:c r="E1153" s="24" t="str">
        <x:v>Bifocal</x:v>
      </x:c>
      <x:c r="F1153" s="24" t="str">
        <x:v>Surfaçada</x:v>
      </x:c>
      <x:c r="G1153" s="24" t="str">
        <x:v>Smart Bifo</x:v>
      </x:c>
      <x:c r="H1153" s="24" t="str">
        <x:v>ColorMatic® 3</x:v>
      </x:c>
      <x:c r="I1153" s="24" t="str">
        <x:v>1.54</x:v>
      </x:c>
      <x:c r="J1153" s="24" t="str">
        <x:v>1.54</x:v>
      </x:c>
      <x:c r="K1153" s="24" t="str">
        <x:v>Sem AR</x:v>
      </x:c>
      <x:c r="L1153" s="40" t="n">
        <x:v>4520</x:v>
      </x:c>
      <x:c r="M1153" s="24" t="str">
        <x:v>-10 a +8</x:v>
      </x:c>
      <x:c r="N1153" s="24" t="str">
        <x:v>até -4</x:v>
      </x:c>
      <x:c r="O1153" s="24"/>
      <x:c r="P1153" s="24" t="str">
        <x:v>75</x:v>
      </x:c>
      <x:c r="Q1153" s="24"/>
      <x:c r="R1153" s="24"/>
      <x:c r="S1153" s="26" t="n">
        <x:v>46024</x:v>
      </x:c>
      <x:c r="T1153" s="26"/>
      <x:c r="U1153" s="24" t="str">
        <x:v>ATIVA/SEM FIM INFORMADO</x:v>
      </x:c>
      <x:c r="V1153" s="24"/>
      <x:c r="W1153" s="24" t="n">
        <x:v>34</x:v>
      </x:c>
      <x:c r="X1153" s="24" t="str">
        <x:v>tabela_rodenstock.pdf</x:v>
      </x:c>
      <x:c r="Y1153" s="24" t="str">
        <x:v>alta</x:v>
      </x:c>
      <x:c r="Z1153" s="24"/>
      <x:c r="AA1153" s="24" t="str">
        <x:v>Rodenstock|Bifocal|Surfaçada|Smart Bifo|ColorMatic® 3|1.54|1.54|Sem AR|-10 a +8|até -4||75|||34</x:v>
      </x:c>
    </x:row>
    <x:row r="1154">
      <x:c r="A1154" s="24" t="str">
        <x:v>RD-473CC2BDE94D</x:v>
      </x:c>
      <x:c r="B1154" s="24" t="str">
        <x:v>SIM</x:v>
      </x:c>
      <x:c r="C1154" s="24" t="str">
        <x:v>DISPONÍVEL</x:v>
      </x:c>
      <x:c r="D1154" s="24" t="str">
        <x:v>Rodenstock</x:v>
      </x:c>
      <x:c r="E1154" s="24" t="str">
        <x:v>Bifocal</x:v>
      </x:c>
      <x:c r="F1154" s="24" t="str">
        <x:v>Surfaçada</x:v>
      </x:c>
      <x:c r="G1154" s="24" t="str">
        <x:v>Smart Bifo</x:v>
      </x:c>
      <x:c r="H1154" s="24"/>
      <x:c r="I1154" s="24" t="str">
        <x:v>1.6</x:v>
      </x:c>
      <x:c r="J1154" s="24" t="str">
        <x:v>1.60</x:v>
      </x:c>
      <x:c r="K1154" s="24" t="str">
        <x:v>Solitaire X-tra Clean</x:v>
      </x:c>
      <x:c r="L1154" s="40" t="n">
        <x:v>3180</x:v>
      </x:c>
      <x:c r="M1154" s="24" t="str">
        <x:v>-10 a +8</x:v>
      </x:c>
      <x:c r="N1154" s="24" t="str">
        <x:v>até -4</x:v>
      </x:c>
      <x:c r="O1154" s="24"/>
      <x:c r="P1154" s="24" t="str">
        <x:v>75</x:v>
      </x:c>
      <x:c r="Q1154" s="24"/>
      <x:c r="R1154" s="24"/>
      <x:c r="S1154" s="26" t="n">
        <x:v>46024</x:v>
      </x:c>
      <x:c r="T1154" s="26"/>
      <x:c r="U1154" s="24" t="str">
        <x:v>ATIVA/SEM FIM INFORMADO</x:v>
      </x:c>
      <x:c r="V1154" s="24"/>
      <x:c r="W1154" s="24" t="n">
        <x:v>34</x:v>
      </x:c>
      <x:c r="X1154" s="24" t="str">
        <x:v>tabela_rodenstock.pdf</x:v>
      </x:c>
      <x:c r="Y1154" s="24" t="str">
        <x:v>alta</x:v>
      </x:c>
      <x:c r="Z1154" s="24"/>
      <x:c r="AA1154" s="24" t="str">
        <x:v>Rodenstock|Bifocal|Surfaçada|Smart Bifo||1.6|1.60|Solitaire X-tra Clean|-10 a +8|até -4||75|||34</x:v>
      </x:c>
    </x:row>
    <x:row r="1155">
      <x:c r="A1155" s="24" t="str">
        <x:v>RD-E4FBFE2E0132</x:v>
      </x:c>
      <x:c r="B1155" s="24" t="str">
        <x:v>SIM</x:v>
      </x:c>
      <x:c r="C1155" s="24" t="str">
        <x:v>DISPONÍVEL</x:v>
      </x:c>
      <x:c r="D1155" s="24" t="str">
        <x:v>Rodenstock</x:v>
      </x:c>
      <x:c r="E1155" s="24" t="str">
        <x:v>Bifocal</x:v>
      </x:c>
      <x:c r="F1155" s="24" t="str">
        <x:v>Surfaçada</x:v>
      </x:c>
      <x:c r="G1155" s="24" t="str">
        <x:v>Smart Bifo</x:v>
      </x:c>
      <x:c r="H1155" s="24"/>
      <x:c r="I1155" s="24" t="str">
        <x:v>1.6</x:v>
      </x:c>
      <x:c r="J1155" s="24" t="str">
        <x:v>1.60</x:v>
      </x:c>
      <x:c r="K1155" s="24" t="str">
        <x:v>Solitaire 2 Protect Balance</x:v>
      </x:c>
      <x:c r="L1155" s="40" t="n">
        <x:v>3130</x:v>
      </x:c>
      <x:c r="M1155" s="24" t="str">
        <x:v>-10 a +8</x:v>
      </x:c>
      <x:c r="N1155" s="24" t="str">
        <x:v>até -4</x:v>
      </x:c>
      <x:c r="O1155" s="24"/>
      <x:c r="P1155" s="24" t="str">
        <x:v>75</x:v>
      </x:c>
      <x:c r="Q1155" s="24"/>
      <x:c r="R1155" s="24"/>
      <x:c r="S1155" s="26" t="n">
        <x:v>46024</x:v>
      </x:c>
      <x:c r="T1155" s="26"/>
      <x:c r="U1155" s="24" t="str">
        <x:v>ATIVA/SEM FIM INFORMADO</x:v>
      </x:c>
      <x:c r="V1155" s="24"/>
      <x:c r="W1155" s="24" t="n">
        <x:v>34</x:v>
      </x:c>
      <x:c r="X1155" s="24" t="str">
        <x:v>tabela_rodenstock.pdf</x:v>
      </x:c>
      <x:c r="Y1155" s="24" t="str">
        <x:v>alta</x:v>
      </x:c>
      <x:c r="Z1155" s="24"/>
      <x:c r="AA1155" s="24" t="str">
        <x:v>Rodenstock|Bifocal|Surfaçada|Smart Bifo||1.6|1.60|Solitaire 2 Protect Balance|-10 a +8|até -4||75|||34</x:v>
      </x:c>
    </x:row>
    <x:row r="1156">
      <x:c r="A1156" s="24" t="str">
        <x:v>RD-BB8E931A82BA</x:v>
      </x:c>
      <x:c r="B1156" s="24" t="str">
        <x:v>SIM</x:v>
      </x:c>
      <x:c r="C1156" s="24" t="str">
        <x:v>DISPONÍVEL</x:v>
      </x:c>
      <x:c r="D1156" s="24" t="str">
        <x:v>Rodenstock</x:v>
      </x:c>
      <x:c r="E1156" s="24" t="str">
        <x:v>Bifocal</x:v>
      </x:c>
      <x:c r="F1156" s="24" t="str">
        <x:v>Surfaçada</x:v>
      </x:c>
      <x:c r="G1156" s="24" t="str">
        <x:v>Smart Bifo</x:v>
      </x:c>
      <x:c r="H1156" s="24"/>
      <x:c r="I1156" s="24" t="str">
        <x:v>1.6</x:v>
      </x:c>
      <x:c r="J1156" s="24" t="str">
        <x:v>1.60</x:v>
      </x:c>
      <x:c r="K1156" s="24" t="str">
        <x:v>Solitaire Protect Plus</x:v>
      </x:c>
      <x:c r="L1156" s="40" t="n">
        <x:v>3130</x:v>
      </x:c>
      <x:c r="M1156" s="24" t="str">
        <x:v>-10 a +8</x:v>
      </x:c>
      <x:c r="N1156" s="24" t="str">
        <x:v>até -4</x:v>
      </x:c>
      <x:c r="O1156" s="24"/>
      <x:c r="P1156" s="24" t="str">
        <x:v>75</x:v>
      </x:c>
      <x:c r="Q1156" s="24"/>
      <x:c r="R1156" s="24"/>
      <x:c r="S1156" s="26" t="n">
        <x:v>46024</x:v>
      </x:c>
      <x:c r="T1156" s="26"/>
      <x:c r="U1156" s="24" t="str">
        <x:v>ATIVA/SEM FIM INFORMADO</x:v>
      </x:c>
      <x:c r="V1156" s="24"/>
      <x:c r="W1156" s="24" t="n">
        <x:v>34</x:v>
      </x:c>
      <x:c r="X1156" s="24" t="str">
        <x:v>tabela_rodenstock.pdf</x:v>
      </x:c>
      <x:c r="Y1156" s="24" t="str">
        <x:v>alta</x:v>
      </x:c>
      <x:c r="Z1156" s="24"/>
      <x:c r="AA1156" s="24" t="str">
        <x:v>Rodenstock|Bifocal|Surfaçada|Smart Bifo||1.6|1.60|Solitaire Protect Plus|-10 a +8|até -4||75|||34</x:v>
      </x:c>
    </x:row>
    <x:row r="1157">
      <x:c r="A1157" s="24" t="str">
        <x:v>RD-E4A2B1D8AF2F</x:v>
      </x:c>
      <x:c r="B1157" s="24" t="str">
        <x:v>SIM</x:v>
      </x:c>
      <x:c r="C1157" s="24" t="str">
        <x:v>DISPONÍVEL</x:v>
      </x:c>
      <x:c r="D1157" s="24" t="str">
        <x:v>Rodenstock</x:v>
      </x:c>
      <x:c r="E1157" s="24" t="str">
        <x:v>Bifocal</x:v>
      </x:c>
      <x:c r="F1157" s="24" t="str">
        <x:v>Surfaçada</x:v>
      </x:c>
      <x:c r="G1157" s="24" t="str">
        <x:v>Smart Bifo</x:v>
      </x:c>
      <x:c r="H1157" s="24"/>
      <x:c r="I1157" s="24" t="str">
        <x:v>1.6</x:v>
      </x:c>
      <x:c r="J1157" s="24" t="str">
        <x:v>1.60</x:v>
      </x:c>
      <x:c r="K1157" s="24" t="str">
        <x:v>Solitaire Protect</x:v>
      </x:c>
      <x:c r="L1157" s="40" t="n">
        <x:v>2870</x:v>
      </x:c>
      <x:c r="M1157" s="24" t="str">
        <x:v>-10 a +8</x:v>
      </x:c>
      <x:c r="N1157" s="24" t="str">
        <x:v>até -4</x:v>
      </x:c>
      <x:c r="O1157" s="24"/>
      <x:c r="P1157" s="24" t="str">
        <x:v>75</x:v>
      </x:c>
      <x:c r="Q1157" s="24"/>
      <x:c r="R1157" s="24"/>
      <x:c r="S1157" s="26" t="n">
        <x:v>46024</x:v>
      </x:c>
      <x:c r="T1157" s="26"/>
      <x:c r="U1157" s="24" t="str">
        <x:v>ATIVA/SEM FIM INFORMADO</x:v>
      </x:c>
      <x:c r="V1157" s="24"/>
      <x:c r="W1157" s="24" t="n">
        <x:v>34</x:v>
      </x:c>
      <x:c r="X1157" s="24" t="str">
        <x:v>tabela_rodenstock.pdf</x:v>
      </x:c>
      <x:c r="Y1157" s="24" t="str">
        <x:v>alta</x:v>
      </x:c>
      <x:c r="Z1157" s="24"/>
      <x:c r="AA1157" s="24" t="str">
        <x:v>Rodenstock|Bifocal|Surfaçada|Smart Bifo||1.6|1.60|Solitaire Protect|-10 a +8|até -4||75|||34</x:v>
      </x:c>
    </x:row>
    <x:row r="1158">
      <x:c r="A1158" s="24" t="str">
        <x:v>RD-78C2CFD362E7</x:v>
      </x:c>
      <x:c r="B1158" s="24" t="str">
        <x:v>SIM</x:v>
      </x:c>
      <x:c r="C1158" s="24" t="str">
        <x:v>DISPONÍVEL</x:v>
      </x:c>
      <x:c r="D1158" s="24" t="str">
        <x:v>Rodenstock</x:v>
      </x:c>
      <x:c r="E1158" s="24" t="str">
        <x:v>Bifocal</x:v>
      </x:c>
      <x:c r="F1158" s="24" t="str">
        <x:v>Surfaçada</x:v>
      </x:c>
      <x:c r="G1158" s="24" t="str">
        <x:v>Smart Bifo</x:v>
      </x:c>
      <x:c r="H1158" s="24"/>
      <x:c r="I1158" s="24" t="str">
        <x:v>1.6</x:v>
      </x:c>
      <x:c r="J1158" s="24" t="str">
        <x:v>1.60</x:v>
      </x:c>
      <x:c r="K1158" s="24" t="str">
        <x:v>Solitaire ECO 2</x:v>
      </x:c>
      <x:c r="L1158" s="40" t="n">
        <x:v>2390</x:v>
      </x:c>
      <x:c r="M1158" s="24" t="str">
        <x:v>-10 a +8</x:v>
      </x:c>
      <x:c r="N1158" s="24" t="str">
        <x:v>até -4</x:v>
      </x:c>
      <x:c r="O1158" s="24"/>
      <x:c r="P1158" s="24" t="str">
        <x:v>75</x:v>
      </x:c>
      <x:c r="Q1158" s="24"/>
      <x:c r="R1158" s="24"/>
      <x:c r="S1158" s="26" t="n">
        <x:v>46024</x:v>
      </x:c>
      <x:c r="T1158" s="26"/>
      <x:c r="U1158" s="24" t="str">
        <x:v>ATIVA/SEM FIM INFORMADO</x:v>
      </x:c>
      <x:c r="V1158" s="24"/>
      <x:c r="W1158" s="24" t="n">
        <x:v>34</x:v>
      </x:c>
      <x:c r="X1158" s="24" t="str">
        <x:v>tabela_rodenstock.pdf</x:v>
      </x:c>
      <x:c r="Y1158" s="24" t="str">
        <x:v>alta</x:v>
      </x:c>
      <x:c r="Z1158" s="24"/>
      <x:c r="AA1158" s="24" t="str">
        <x:v>Rodenstock|Bifocal|Surfaçada|Smart Bifo||1.6|1.60|Solitaire ECO 2|-10 a +8|até -4||75|||34</x:v>
      </x:c>
    </x:row>
    <x:row r="1159">
      <x:c r="A1159" s="24" t="str">
        <x:v>RD-DAFE27B6A2C4</x:v>
      </x:c>
      <x:c r="B1159" s="24" t="str">
        <x:v>SIM</x:v>
      </x:c>
      <x:c r="C1159" s="24" t="str">
        <x:v>DISPONÍVEL</x:v>
      </x:c>
      <x:c r="D1159" s="24" t="str">
        <x:v>Rodenstock</x:v>
      </x:c>
      <x:c r="E1159" s="24" t="str">
        <x:v>Bifocal</x:v>
      </x:c>
      <x:c r="F1159" s="24" t="str">
        <x:v>Surfaçada</x:v>
      </x:c>
      <x:c r="G1159" s="24" t="str">
        <x:v>Smart Bifo</x:v>
      </x:c>
      <x:c r="H1159" s="24" t="str">
        <x:v>ColorMatic® 3</x:v>
      </x:c>
      <x:c r="I1159" s="24" t="str">
        <x:v>1.6</x:v>
      </x:c>
      <x:c r="J1159" s="24" t="str">
        <x:v>1.60</x:v>
      </x:c>
      <x:c r="K1159" s="24" t="str">
        <x:v>Solitaire X-tra Clean</x:v>
      </x:c>
      <x:c r="L1159" s="40" t="n">
        <x:v>6780</x:v>
      </x:c>
      <x:c r="M1159" s="24" t="str">
        <x:v>-10 a +8</x:v>
      </x:c>
      <x:c r="N1159" s="24" t="str">
        <x:v>até -4</x:v>
      </x:c>
      <x:c r="O1159" s="24"/>
      <x:c r="P1159" s="24" t="str">
        <x:v>75</x:v>
      </x:c>
      <x:c r="Q1159" s="24"/>
      <x:c r="R1159" s="24"/>
      <x:c r="S1159" s="26" t="n">
        <x:v>46024</x:v>
      </x:c>
      <x:c r="T1159" s="26"/>
      <x:c r="U1159" s="24" t="str">
        <x:v>ATIVA/SEM FIM INFORMADO</x:v>
      </x:c>
      <x:c r="V1159" s="24"/>
      <x:c r="W1159" s="24" t="n">
        <x:v>34</x:v>
      </x:c>
      <x:c r="X1159" s="24" t="str">
        <x:v>tabela_rodenstock.pdf</x:v>
      </x:c>
      <x:c r="Y1159" s="24" t="str">
        <x:v>alta</x:v>
      </x:c>
      <x:c r="Z1159" s="24"/>
      <x:c r="AA1159" s="24" t="str">
        <x:v>Rodenstock|Bifocal|Surfaçada|Smart Bifo|ColorMatic® 3|1.6|1.60|Solitaire X-tra Clean|-10 a +8|até -4||75|||34</x:v>
      </x:c>
    </x:row>
    <x:row r="1160">
      <x:c r="A1160" s="24" t="str">
        <x:v>RD-B5C5C2D84D5F</x:v>
      </x:c>
      <x:c r="B1160" s="24" t="str">
        <x:v>SIM</x:v>
      </x:c>
      <x:c r="C1160" s="24" t="str">
        <x:v>DISPONÍVEL</x:v>
      </x:c>
      <x:c r="D1160" s="24" t="str">
        <x:v>Rodenstock</x:v>
      </x:c>
      <x:c r="E1160" s="24" t="str">
        <x:v>Bifocal</x:v>
      </x:c>
      <x:c r="F1160" s="24" t="str">
        <x:v>Surfaçada</x:v>
      </x:c>
      <x:c r="G1160" s="24" t="str">
        <x:v>Smart Bifo</x:v>
      </x:c>
      <x:c r="H1160" s="24" t="str">
        <x:v>ColorMatic® 3</x:v>
      </x:c>
      <x:c r="I1160" s="24" t="str">
        <x:v>1.6</x:v>
      </x:c>
      <x:c r="J1160" s="24" t="str">
        <x:v>1.60</x:v>
      </x:c>
      <x:c r="K1160" s="24" t="str">
        <x:v>Solitaire 2 Protect Balance</x:v>
      </x:c>
      <x:c r="L1160" s="40" t="n">
        <x:v>6730</x:v>
      </x:c>
      <x:c r="M1160" s="24" t="str">
        <x:v>-10 a +8</x:v>
      </x:c>
      <x:c r="N1160" s="24" t="str">
        <x:v>até -4</x:v>
      </x:c>
      <x:c r="O1160" s="24"/>
      <x:c r="P1160" s="24" t="str">
        <x:v>75</x:v>
      </x:c>
      <x:c r="Q1160" s="24"/>
      <x:c r="R1160" s="24"/>
      <x:c r="S1160" s="26" t="n">
        <x:v>46024</x:v>
      </x:c>
      <x:c r="T1160" s="26"/>
      <x:c r="U1160" s="24" t="str">
        <x:v>ATIVA/SEM FIM INFORMADO</x:v>
      </x:c>
      <x:c r="V1160" s="24"/>
      <x:c r="W1160" s="24" t="n">
        <x:v>34</x:v>
      </x:c>
      <x:c r="X1160" s="24" t="str">
        <x:v>tabela_rodenstock.pdf</x:v>
      </x:c>
      <x:c r="Y1160" s="24" t="str">
        <x:v>alta</x:v>
      </x:c>
      <x:c r="Z1160" s="24"/>
      <x:c r="AA1160" s="24" t="str">
        <x:v>Rodenstock|Bifocal|Surfaçada|Smart Bifo|ColorMatic® 3|1.6|1.60|Solitaire 2 Protect Balance|-10 a +8|até -4||75|||34</x:v>
      </x:c>
    </x:row>
    <x:row r="1161">
      <x:c r="A1161" s="24" t="str">
        <x:v>RD-017435157EDB</x:v>
      </x:c>
      <x:c r="B1161" s="24" t="str">
        <x:v>SIM</x:v>
      </x:c>
      <x:c r="C1161" s="24" t="str">
        <x:v>DISPONÍVEL</x:v>
      </x:c>
      <x:c r="D1161" s="24" t="str">
        <x:v>Rodenstock</x:v>
      </x:c>
      <x:c r="E1161" s="24" t="str">
        <x:v>Bifocal</x:v>
      </x:c>
      <x:c r="F1161" s="24" t="str">
        <x:v>Surfaçada</x:v>
      </x:c>
      <x:c r="G1161" s="24" t="str">
        <x:v>Smart Bifo</x:v>
      </x:c>
      <x:c r="H1161" s="24" t="str">
        <x:v>ColorMatic® 3</x:v>
      </x:c>
      <x:c r="I1161" s="24" t="str">
        <x:v>1.6</x:v>
      </x:c>
      <x:c r="J1161" s="24" t="str">
        <x:v>1.60</x:v>
      </x:c>
      <x:c r="K1161" s="24" t="str">
        <x:v>Solitaire Protect Plus</x:v>
      </x:c>
      <x:c r="L1161" s="40" t="n">
        <x:v>6730</x:v>
      </x:c>
      <x:c r="M1161" s="24" t="str">
        <x:v>-10 a +8</x:v>
      </x:c>
      <x:c r="N1161" s="24" t="str">
        <x:v>até -4</x:v>
      </x:c>
      <x:c r="O1161" s="24"/>
      <x:c r="P1161" s="24" t="str">
        <x:v>75</x:v>
      </x:c>
      <x:c r="Q1161" s="24"/>
      <x:c r="R1161" s="24"/>
      <x:c r="S1161" s="26" t="n">
        <x:v>46024</x:v>
      </x:c>
      <x:c r="T1161" s="26"/>
      <x:c r="U1161" s="24" t="str">
        <x:v>ATIVA/SEM FIM INFORMADO</x:v>
      </x:c>
      <x:c r="V1161" s="24"/>
      <x:c r="W1161" s="24" t="n">
        <x:v>34</x:v>
      </x:c>
      <x:c r="X1161" s="24" t="str">
        <x:v>tabela_rodenstock.pdf</x:v>
      </x:c>
      <x:c r="Y1161" s="24" t="str">
        <x:v>alta</x:v>
      </x:c>
      <x:c r="Z1161" s="24"/>
      <x:c r="AA1161" s="24" t="str">
        <x:v>Rodenstock|Bifocal|Surfaçada|Smart Bifo|ColorMatic® 3|1.6|1.60|Solitaire Protect Plus|-10 a +8|até -4||75|||34</x:v>
      </x:c>
    </x:row>
    <x:row r="1162">
      <x:c r="A1162" s="24" t="str">
        <x:v>RD-597E7110C929</x:v>
      </x:c>
      <x:c r="B1162" s="24" t="str">
        <x:v>SIM</x:v>
      </x:c>
      <x:c r="C1162" s="24" t="str">
        <x:v>DISPONÍVEL</x:v>
      </x:c>
      <x:c r="D1162" s="24" t="str">
        <x:v>Rodenstock</x:v>
      </x:c>
      <x:c r="E1162" s="24" t="str">
        <x:v>Bifocal</x:v>
      </x:c>
      <x:c r="F1162" s="24" t="str">
        <x:v>Surfaçada</x:v>
      </x:c>
      <x:c r="G1162" s="24" t="str">
        <x:v>Smart Bifo</x:v>
      </x:c>
      <x:c r="H1162" s="24" t="str">
        <x:v>ColorMatic® 3</x:v>
      </x:c>
      <x:c r="I1162" s="24" t="str">
        <x:v>1.6</x:v>
      </x:c>
      <x:c r="J1162" s="24" t="str">
        <x:v>1.60</x:v>
      </x:c>
      <x:c r="K1162" s="24" t="str">
        <x:v>Solitaire Protect</x:v>
      </x:c>
      <x:c r="L1162" s="40" t="n">
        <x:v>6470</x:v>
      </x:c>
      <x:c r="M1162" s="24" t="str">
        <x:v>-10 a +8</x:v>
      </x:c>
      <x:c r="N1162" s="24" t="str">
        <x:v>até -4</x:v>
      </x:c>
      <x:c r="O1162" s="24"/>
      <x:c r="P1162" s="24" t="str">
        <x:v>75</x:v>
      </x:c>
      <x:c r="Q1162" s="24"/>
      <x:c r="R1162" s="24"/>
      <x:c r="S1162" s="26" t="n">
        <x:v>46024</x:v>
      </x:c>
      <x:c r="T1162" s="26"/>
      <x:c r="U1162" s="24" t="str">
        <x:v>ATIVA/SEM FIM INFORMADO</x:v>
      </x:c>
      <x:c r="V1162" s="24"/>
      <x:c r="W1162" s="24" t="n">
        <x:v>34</x:v>
      </x:c>
      <x:c r="X1162" s="24" t="str">
        <x:v>tabela_rodenstock.pdf</x:v>
      </x:c>
      <x:c r="Y1162" s="24" t="str">
        <x:v>alta</x:v>
      </x:c>
      <x:c r="Z1162" s="24"/>
      <x:c r="AA1162" s="24" t="str">
        <x:v>Rodenstock|Bifocal|Surfaçada|Smart Bifo|ColorMatic® 3|1.6|1.60|Solitaire Protect|-10 a +8|até -4||75|||34</x:v>
      </x:c>
    </x:row>
    <x:row r="1163">
      <x:c r="A1163" s="24" t="str">
        <x:v>RD-A8648CCBC1B4</x:v>
      </x:c>
      <x:c r="B1163" s="24" t="str">
        <x:v>SIM</x:v>
      </x:c>
      <x:c r="C1163" s="24" t="str">
        <x:v>DISPONÍVEL</x:v>
      </x:c>
      <x:c r="D1163" s="24" t="str">
        <x:v>Rodenstock</x:v>
      </x:c>
      <x:c r="E1163" s="24" t="str">
        <x:v>Bifocal</x:v>
      </x:c>
      <x:c r="F1163" s="24" t="str">
        <x:v>Surfaçada</x:v>
      </x:c>
      <x:c r="G1163" s="24" t="str">
        <x:v>Smart Bifo</x:v>
      </x:c>
      <x:c r="H1163" s="24" t="str">
        <x:v>ColorMatic® 3</x:v>
      </x:c>
      <x:c r="I1163" s="24" t="str">
        <x:v>1.6</x:v>
      </x:c>
      <x:c r="J1163" s="24" t="str">
        <x:v>1.60</x:v>
      </x:c>
      <x:c r="K1163" s="24" t="str">
        <x:v>Solitaire ECO 2</x:v>
      </x:c>
      <x:c r="L1163" s="40" t="n">
        <x:v>5990</x:v>
      </x:c>
      <x:c r="M1163" s="24" t="str">
        <x:v>-10 a +8</x:v>
      </x:c>
      <x:c r="N1163" s="24" t="str">
        <x:v>até -4</x:v>
      </x:c>
      <x:c r="O1163" s="24"/>
      <x:c r="P1163" s="24" t="str">
        <x:v>75</x:v>
      </x:c>
      <x:c r="Q1163" s="24"/>
      <x:c r="R1163" s="24"/>
      <x:c r="S1163" s="26" t="n">
        <x:v>46024</x:v>
      </x:c>
      <x:c r="T1163" s="26"/>
      <x:c r="U1163" s="24" t="str">
        <x:v>ATIVA/SEM FIM INFORMADO</x:v>
      </x:c>
      <x:c r="V1163" s="24"/>
      <x:c r="W1163" s="24" t="n">
        <x:v>34</x:v>
      </x:c>
      <x:c r="X1163" s="24" t="str">
        <x:v>tabela_rodenstock.pdf</x:v>
      </x:c>
      <x:c r="Y1163" s="24" t="str">
        <x:v>alta</x:v>
      </x:c>
      <x:c r="Z1163" s="24"/>
      <x:c r="AA1163" s="24" t="str">
        <x:v>Rodenstock|Bifocal|Surfaçada|Smart Bifo|ColorMatic® 3|1.6|1.60|Solitaire ECO 2|-10 a +8|até -4||75|||34</x:v>
      </x:c>
    </x:row>
    <x:row r="1164">
      <x:c r="A1164" s="24" t="str">
        <x:v>RD-4188A7C7EB5B</x:v>
      </x:c>
      <x:c r="B1164" s="24" t="str">
        <x:v>SIM</x:v>
      </x:c>
      <x:c r="C1164" s="24" t="str">
        <x:v>DISPONÍVEL</x:v>
      </x:c>
      <x:c r="D1164" s="24" t="str">
        <x:v>Rodenstock</x:v>
      </x:c>
      <x:c r="E1164" s="24" t="str">
        <x:v>Bifocal</x:v>
      </x:c>
      <x:c r="F1164" s="24" t="str">
        <x:v>Surfaçada</x:v>
      </x:c>
      <x:c r="G1164" s="24" t="str">
        <x:v>Smart Bifo</x:v>
      </x:c>
      <x:c r="H1164" s="24"/>
      <x:c r="I1164" s="24" t="str">
        <x:v>1.67</x:v>
      </x:c>
      <x:c r="J1164" s="24" t="str">
        <x:v>1.67</x:v>
      </x:c>
      <x:c r="K1164" s="24" t="str">
        <x:v>Solitaire X-tra Clean</x:v>
      </x:c>
      <x:c r="L1164" s="40" t="n">
        <x:v>5980</x:v>
      </x:c>
      <x:c r="M1164" s="24" t="str">
        <x:v>-10 a +10</x:v>
      </x:c>
      <x:c r="N1164" s="24" t="str">
        <x:v>até -6</x:v>
      </x:c>
      <x:c r="O1164" s="24"/>
      <x:c r="P1164" s="24" t="str">
        <x:v>75</x:v>
      </x:c>
      <x:c r="Q1164" s="24"/>
      <x:c r="R1164" s="24"/>
      <x:c r="S1164" s="26" t="n">
        <x:v>46024</x:v>
      </x:c>
      <x:c r="T1164" s="26"/>
      <x:c r="U1164" s="24" t="str">
        <x:v>ATIVA/SEM FIM INFORMADO</x:v>
      </x:c>
      <x:c r="V1164" s="24"/>
      <x:c r="W1164" s="24" t="n">
        <x:v>34</x:v>
      </x:c>
      <x:c r="X1164" s="24" t="str">
        <x:v>tabela_rodenstock.pdf</x:v>
      </x:c>
      <x:c r="Y1164" s="24" t="str">
        <x:v>alta</x:v>
      </x:c>
      <x:c r="Z1164" s="24"/>
      <x:c r="AA1164" s="24" t="str">
        <x:v>Rodenstock|Bifocal|Surfaçada|Smart Bifo||1.67|1.67|Solitaire X-tra Clean|-10 a +10|até -6||75|||34</x:v>
      </x:c>
    </x:row>
    <x:row r="1165">
      <x:c r="A1165" s="24" t="str">
        <x:v>RD-DFA672CF42FE</x:v>
      </x:c>
      <x:c r="B1165" s="24" t="str">
        <x:v>SIM</x:v>
      </x:c>
      <x:c r="C1165" s="24" t="str">
        <x:v>DISPONÍVEL</x:v>
      </x:c>
      <x:c r="D1165" s="24" t="str">
        <x:v>Rodenstock</x:v>
      </x:c>
      <x:c r="E1165" s="24" t="str">
        <x:v>Bifocal</x:v>
      </x:c>
      <x:c r="F1165" s="24" t="str">
        <x:v>Surfaçada</x:v>
      </x:c>
      <x:c r="G1165" s="24" t="str">
        <x:v>Smart Bifo</x:v>
      </x:c>
      <x:c r="H1165" s="24"/>
      <x:c r="I1165" s="24" t="str">
        <x:v>1.67</x:v>
      </x:c>
      <x:c r="J1165" s="24" t="str">
        <x:v>1.67</x:v>
      </x:c>
      <x:c r="K1165" s="24" t="str">
        <x:v>Solitaire 2 Protect Balance</x:v>
      </x:c>
      <x:c r="L1165" s="40" t="n">
        <x:v>5930</x:v>
      </x:c>
      <x:c r="M1165" s="24" t="str">
        <x:v>-10 a +10</x:v>
      </x:c>
      <x:c r="N1165" s="24" t="str">
        <x:v>até -6</x:v>
      </x:c>
      <x:c r="O1165" s="24"/>
      <x:c r="P1165" s="24" t="str">
        <x:v>75</x:v>
      </x:c>
      <x:c r="Q1165" s="24"/>
      <x:c r="R1165" s="24"/>
      <x:c r="S1165" s="26" t="n">
        <x:v>46024</x:v>
      </x:c>
      <x:c r="T1165" s="26"/>
      <x:c r="U1165" s="24" t="str">
        <x:v>ATIVA/SEM FIM INFORMADO</x:v>
      </x:c>
      <x:c r="V1165" s="24"/>
      <x:c r="W1165" s="24" t="n">
        <x:v>34</x:v>
      </x:c>
      <x:c r="X1165" s="24" t="str">
        <x:v>tabela_rodenstock.pdf</x:v>
      </x:c>
      <x:c r="Y1165" s="24" t="str">
        <x:v>alta</x:v>
      </x:c>
      <x:c r="Z1165" s="24"/>
      <x:c r="AA1165" s="24" t="str">
        <x:v>Rodenstock|Bifocal|Surfaçada|Smart Bifo||1.67|1.67|Solitaire 2 Protect Balance|-10 a +10|até -6||75|||34</x:v>
      </x:c>
    </x:row>
    <x:row r="1166">
      <x:c r="A1166" s="24" t="str">
        <x:v>RD-EFA521F40E61</x:v>
      </x:c>
      <x:c r="B1166" s="24" t="str">
        <x:v>SIM</x:v>
      </x:c>
      <x:c r="C1166" s="24" t="str">
        <x:v>DISPONÍVEL</x:v>
      </x:c>
      <x:c r="D1166" s="24" t="str">
        <x:v>Rodenstock</x:v>
      </x:c>
      <x:c r="E1166" s="24" t="str">
        <x:v>Bifocal</x:v>
      </x:c>
      <x:c r="F1166" s="24" t="str">
        <x:v>Surfaçada</x:v>
      </x:c>
      <x:c r="G1166" s="24" t="str">
        <x:v>Smart Bifo</x:v>
      </x:c>
      <x:c r="H1166" s="24"/>
      <x:c r="I1166" s="24" t="str">
        <x:v>1.67</x:v>
      </x:c>
      <x:c r="J1166" s="24" t="str">
        <x:v>1.67</x:v>
      </x:c>
      <x:c r="K1166" s="24" t="str">
        <x:v>Solitaire Protect Plus</x:v>
      </x:c>
      <x:c r="L1166" s="40" t="n">
        <x:v>5930</x:v>
      </x:c>
      <x:c r="M1166" s="24" t="str">
        <x:v>-10 a +10</x:v>
      </x:c>
      <x:c r="N1166" s="24" t="str">
        <x:v>até -6</x:v>
      </x:c>
      <x:c r="O1166" s="24"/>
      <x:c r="P1166" s="24" t="str">
        <x:v>75</x:v>
      </x:c>
      <x:c r="Q1166" s="24"/>
      <x:c r="R1166" s="24"/>
      <x:c r="S1166" s="26" t="n">
        <x:v>46024</x:v>
      </x:c>
      <x:c r="T1166" s="26"/>
      <x:c r="U1166" s="24" t="str">
        <x:v>ATIVA/SEM FIM INFORMADO</x:v>
      </x:c>
      <x:c r="V1166" s="24"/>
      <x:c r="W1166" s="24" t="n">
        <x:v>34</x:v>
      </x:c>
      <x:c r="X1166" s="24" t="str">
        <x:v>tabela_rodenstock.pdf</x:v>
      </x:c>
      <x:c r="Y1166" s="24" t="str">
        <x:v>alta</x:v>
      </x:c>
      <x:c r="Z1166" s="24"/>
      <x:c r="AA1166" s="24" t="str">
        <x:v>Rodenstock|Bifocal|Surfaçada|Smart Bifo||1.67|1.67|Solitaire Protect Plus|-10 a +10|até -6||75|||34</x:v>
      </x:c>
    </x:row>
    <x:row r="1167">
      <x:c r="A1167" s="24" t="str">
        <x:v>RD-A5056A4DFFD4</x:v>
      </x:c>
      <x:c r="B1167" s="24" t="str">
        <x:v>SIM</x:v>
      </x:c>
      <x:c r="C1167" s="24" t="str">
        <x:v>DISPONÍVEL</x:v>
      </x:c>
      <x:c r="D1167" s="24" t="str">
        <x:v>Rodenstock</x:v>
      </x:c>
      <x:c r="E1167" s="24" t="str">
        <x:v>Bifocal</x:v>
      </x:c>
      <x:c r="F1167" s="24" t="str">
        <x:v>Surfaçada</x:v>
      </x:c>
      <x:c r="G1167" s="24" t="str">
        <x:v>Smart Bifo</x:v>
      </x:c>
      <x:c r="H1167" s="24"/>
      <x:c r="I1167" s="24" t="str">
        <x:v>1.67</x:v>
      </x:c>
      <x:c r="J1167" s="24" t="str">
        <x:v>1.67</x:v>
      </x:c>
      <x:c r="K1167" s="24" t="str">
        <x:v>Solitaire Protect</x:v>
      </x:c>
      <x:c r="L1167" s="40" t="n">
        <x:v>5670</x:v>
      </x:c>
      <x:c r="M1167" s="24" t="str">
        <x:v>-10 a +10</x:v>
      </x:c>
      <x:c r="N1167" s="24" t="str">
        <x:v>até -6</x:v>
      </x:c>
      <x:c r="O1167" s="24"/>
      <x:c r="P1167" s="24" t="str">
        <x:v>75</x:v>
      </x:c>
      <x:c r="Q1167" s="24"/>
      <x:c r="R1167" s="24"/>
      <x:c r="S1167" s="26" t="n">
        <x:v>46024</x:v>
      </x:c>
      <x:c r="T1167" s="26"/>
      <x:c r="U1167" s="24" t="str">
        <x:v>ATIVA/SEM FIM INFORMADO</x:v>
      </x:c>
      <x:c r="V1167" s="24"/>
      <x:c r="W1167" s="24" t="n">
        <x:v>34</x:v>
      </x:c>
      <x:c r="X1167" s="24" t="str">
        <x:v>tabela_rodenstock.pdf</x:v>
      </x:c>
      <x:c r="Y1167" s="24" t="str">
        <x:v>alta</x:v>
      </x:c>
      <x:c r="Z1167" s="24"/>
      <x:c r="AA1167" s="24" t="str">
        <x:v>Rodenstock|Bifocal|Surfaçada|Smart Bifo||1.67|1.67|Solitaire Protect|-10 a +10|até -6||75|||34</x:v>
      </x:c>
    </x:row>
    <x:row r="1168">
      <x:c r="A1168" s="24" t="str">
        <x:v>RD-C2CA6821E362</x:v>
      </x:c>
      <x:c r="B1168" s="24" t="str">
        <x:v>SIM</x:v>
      </x:c>
      <x:c r="C1168" s="24" t="str">
        <x:v>DISPONÍVEL</x:v>
      </x:c>
      <x:c r="D1168" s="24" t="str">
        <x:v>Rodenstock</x:v>
      </x:c>
      <x:c r="E1168" s="24" t="str">
        <x:v>Bifocal</x:v>
      </x:c>
      <x:c r="F1168" s="24" t="str">
        <x:v>Surfaçada</x:v>
      </x:c>
      <x:c r="G1168" s="24" t="str">
        <x:v>Smart Bifo</x:v>
      </x:c>
      <x:c r="H1168" s="24"/>
      <x:c r="I1168" s="24" t="str">
        <x:v>1.67</x:v>
      </x:c>
      <x:c r="J1168" s="24" t="str">
        <x:v>1.67</x:v>
      </x:c>
      <x:c r="K1168" s="24" t="str">
        <x:v>Solitaire ECO 2</x:v>
      </x:c>
      <x:c r="L1168" s="40" t="n">
        <x:v>5190</x:v>
      </x:c>
      <x:c r="M1168" s="24" t="str">
        <x:v>-10 a +10</x:v>
      </x:c>
      <x:c r="N1168" s="24" t="str">
        <x:v>até -6</x:v>
      </x:c>
      <x:c r="O1168" s="24"/>
      <x:c r="P1168" s="24" t="str">
        <x:v>75</x:v>
      </x:c>
      <x:c r="Q1168" s="24"/>
      <x:c r="R1168" s="24"/>
      <x:c r="S1168" s="26" t="n">
        <x:v>46024</x:v>
      </x:c>
      <x:c r="T1168" s="26"/>
      <x:c r="U1168" s="24" t="str">
        <x:v>ATIVA/SEM FIM INFORMADO</x:v>
      </x:c>
      <x:c r="V1168" s="24"/>
      <x:c r="W1168" s="24" t="n">
        <x:v>34</x:v>
      </x:c>
      <x:c r="X1168" s="24" t="str">
        <x:v>tabela_rodenstock.pdf</x:v>
      </x:c>
      <x:c r="Y1168" s="24" t="str">
        <x:v>alta</x:v>
      </x:c>
      <x:c r="Z1168" s="24"/>
      <x:c r="AA1168" s="24" t="str">
        <x:v>Rodenstock|Bifocal|Surfaçada|Smart Bifo||1.67|1.67|Solitaire ECO 2|-10 a +10|até -6||75|||34</x:v>
      </x:c>
    </x:row>
    <x:row r="1169">
      <x:c r="A1169" s="24" t="str">
        <x:v>RD-8DBD34774A82</x:v>
      </x:c>
      <x:c r="B1169" s="24" t="str">
        <x:v>SIM</x:v>
      </x:c>
      <x:c r="C1169" s="24" t="str">
        <x:v>DISPONÍVEL</x:v>
      </x:c>
      <x:c r="D1169" s="24" t="str">
        <x:v>Rodenstock</x:v>
      </x:c>
      <x:c r="E1169" s="24" t="str">
        <x:v>Bifocal</x:v>
      </x:c>
      <x:c r="F1169" s="24" t="str">
        <x:v>Surfaçada</x:v>
      </x:c>
      <x:c r="G1169" s="24" t="str">
        <x:v>Smart Bifo</x:v>
      </x:c>
      <x:c r="H1169" s="24" t="str">
        <x:v>ColorMatic® 3</x:v>
      </x:c>
      <x:c r="I1169" s="24" t="str">
        <x:v>1.67</x:v>
      </x:c>
      <x:c r="J1169" s="24" t="str">
        <x:v>1.67</x:v>
      </x:c>
      <x:c r="K1169" s="24" t="str">
        <x:v>Solitaire X-tra Clean</x:v>
      </x:c>
      <x:c r="L1169" s="40" t="n">
        <x:v>7580</x:v>
      </x:c>
      <x:c r="M1169" s="24" t="str">
        <x:v>-10 a +10</x:v>
      </x:c>
      <x:c r="N1169" s="24" t="str">
        <x:v>até -6</x:v>
      </x:c>
      <x:c r="O1169" s="24"/>
      <x:c r="P1169" s="24" t="str">
        <x:v>75</x:v>
      </x:c>
      <x:c r="Q1169" s="24"/>
      <x:c r="R1169" s="24"/>
      <x:c r="S1169" s="26" t="n">
        <x:v>46024</x:v>
      </x:c>
      <x:c r="T1169" s="26"/>
      <x:c r="U1169" s="24" t="str">
        <x:v>ATIVA/SEM FIM INFORMADO</x:v>
      </x:c>
      <x:c r="V1169" s="24"/>
      <x:c r="W1169" s="24" t="n">
        <x:v>34</x:v>
      </x:c>
      <x:c r="X1169" s="24" t="str">
        <x:v>tabela_rodenstock.pdf</x:v>
      </x:c>
      <x:c r="Y1169" s="24" t="str">
        <x:v>alta</x:v>
      </x:c>
      <x:c r="Z1169" s="24"/>
      <x:c r="AA1169" s="24" t="str">
        <x:v>Rodenstock|Bifocal|Surfaçada|Smart Bifo|ColorMatic® 3|1.67|1.67|Solitaire X-tra Clean|-10 a +10|até -6||75|||34</x:v>
      </x:c>
    </x:row>
    <x:row r="1170">
      <x:c r="A1170" s="24" t="str">
        <x:v>RD-2E22E84CA8BF</x:v>
      </x:c>
      <x:c r="B1170" s="24" t="str">
        <x:v>SIM</x:v>
      </x:c>
      <x:c r="C1170" s="24" t="str">
        <x:v>DISPONÍVEL</x:v>
      </x:c>
      <x:c r="D1170" s="24" t="str">
        <x:v>Rodenstock</x:v>
      </x:c>
      <x:c r="E1170" s="24" t="str">
        <x:v>Bifocal</x:v>
      </x:c>
      <x:c r="F1170" s="24" t="str">
        <x:v>Surfaçada</x:v>
      </x:c>
      <x:c r="G1170" s="24" t="str">
        <x:v>Smart Bifo</x:v>
      </x:c>
      <x:c r="H1170" s="24" t="str">
        <x:v>ColorMatic® 3</x:v>
      </x:c>
      <x:c r="I1170" s="24" t="str">
        <x:v>1.67</x:v>
      </x:c>
      <x:c r="J1170" s="24" t="str">
        <x:v>1.67</x:v>
      </x:c>
      <x:c r="K1170" s="24" t="str">
        <x:v>Solitaire 2 Protect Balance</x:v>
      </x:c>
      <x:c r="L1170" s="40" t="n">
        <x:v>7530</x:v>
      </x:c>
      <x:c r="M1170" s="24" t="str">
        <x:v>-10 a +10</x:v>
      </x:c>
      <x:c r="N1170" s="24" t="str">
        <x:v>até -6</x:v>
      </x:c>
      <x:c r="O1170" s="24"/>
      <x:c r="P1170" s="24" t="str">
        <x:v>75</x:v>
      </x:c>
      <x:c r="Q1170" s="24"/>
      <x:c r="R1170" s="24"/>
      <x:c r="S1170" s="26" t="n">
        <x:v>46024</x:v>
      </x:c>
      <x:c r="T1170" s="26"/>
      <x:c r="U1170" s="24" t="str">
        <x:v>ATIVA/SEM FIM INFORMADO</x:v>
      </x:c>
      <x:c r="V1170" s="24"/>
      <x:c r="W1170" s="24" t="n">
        <x:v>34</x:v>
      </x:c>
      <x:c r="X1170" s="24" t="str">
        <x:v>tabela_rodenstock.pdf</x:v>
      </x:c>
      <x:c r="Y1170" s="24" t="str">
        <x:v>alta</x:v>
      </x:c>
      <x:c r="Z1170" s="24"/>
      <x:c r="AA1170" s="24" t="str">
        <x:v>Rodenstock|Bifocal|Surfaçada|Smart Bifo|ColorMatic® 3|1.67|1.67|Solitaire 2 Protect Balance|-10 a +10|até -6||75|||34</x:v>
      </x:c>
    </x:row>
    <x:row r="1171">
      <x:c r="A1171" s="24" t="str">
        <x:v>RD-6463DE27E61C</x:v>
      </x:c>
      <x:c r="B1171" s="24" t="str">
        <x:v>SIM</x:v>
      </x:c>
      <x:c r="C1171" s="24" t="str">
        <x:v>DISPONÍVEL</x:v>
      </x:c>
      <x:c r="D1171" s="24" t="str">
        <x:v>Rodenstock</x:v>
      </x:c>
      <x:c r="E1171" s="24" t="str">
        <x:v>Bifocal</x:v>
      </x:c>
      <x:c r="F1171" s="24" t="str">
        <x:v>Surfaçada</x:v>
      </x:c>
      <x:c r="G1171" s="24" t="str">
        <x:v>Smart Bifo</x:v>
      </x:c>
      <x:c r="H1171" s="24" t="str">
        <x:v>ColorMatic® 3</x:v>
      </x:c>
      <x:c r="I1171" s="24" t="str">
        <x:v>1.67</x:v>
      </x:c>
      <x:c r="J1171" s="24" t="str">
        <x:v>1.67</x:v>
      </x:c>
      <x:c r="K1171" s="24" t="str">
        <x:v>Solitaire Protect Plus</x:v>
      </x:c>
      <x:c r="L1171" s="40" t="n">
        <x:v>7530</x:v>
      </x:c>
      <x:c r="M1171" s="24" t="str">
        <x:v>-10 a +10</x:v>
      </x:c>
      <x:c r="N1171" s="24" t="str">
        <x:v>até -6</x:v>
      </x:c>
      <x:c r="O1171" s="24"/>
      <x:c r="P1171" s="24" t="str">
        <x:v>75</x:v>
      </x:c>
      <x:c r="Q1171" s="24"/>
      <x:c r="R1171" s="24"/>
      <x:c r="S1171" s="26" t="n">
        <x:v>46024</x:v>
      </x:c>
      <x:c r="T1171" s="26"/>
      <x:c r="U1171" s="24" t="str">
        <x:v>ATIVA/SEM FIM INFORMADO</x:v>
      </x:c>
      <x:c r="V1171" s="24"/>
      <x:c r="W1171" s="24" t="n">
        <x:v>34</x:v>
      </x:c>
      <x:c r="X1171" s="24" t="str">
        <x:v>tabela_rodenstock.pdf</x:v>
      </x:c>
      <x:c r="Y1171" s="24" t="str">
        <x:v>alta</x:v>
      </x:c>
      <x:c r="Z1171" s="24"/>
      <x:c r="AA1171" s="24" t="str">
        <x:v>Rodenstock|Bifocal|Surfaçada|Smart Bifo|ColorMatic® 3|1.67|1.67|Solitaire Protect Plus|-10 a +10|até -6||75|||34</x:v>
      </x:c>
    </x:row>
    <x:row r="1172">
      <x:c r="A1172" s="24" t="str">
        <x:v>RD-9A07D65FD750</x:v>
      </x:c>
      <x:c r="B1172" s="24" t="str">
        <x:v>SIM</x:v>
      </x:c>
      <x:c r="C1172" s="24" t="str">
        <x:v>DISPONÍVEL</x:v>
      </x:c>
      <x:c r="D1172" s="24" t="str">
        <x:v>Rodenstock</x:v>
      </x:c>
      <x:c r="E1172" s="24" t="str">
        <x:v>Bifocal</x:v>
      </x:c>
      <x:c r="F1172" s="24" t="str">
        <x:v>Surfaçada</x:v>
      </x:c>
      <x:c r="G1172" s="24" t="str">
        <x:v>Smart Bifo</x:v>
      </x:c>
      <x:c r="H1172" s="24" t="str">
        <x:v>ColorMatic® 3</x:v>
      </x:c>
      <x:c r="I1172" s="24" t="str">
        <x:v>1.67</x:v>
      </x:c>
      <x:c r="J1172" s="24" t="str">
        <x:v>1.67</x:v>
      </x:c>
      <x:c r="K1172" s="24" t="str">
        <x:v>Solitaire Protect</x:v>
      </x:c>
      <x:c r="L1172" s="40" t="n">
        <x:v>7270</x:v>
      </x:c>
      <x:c r="M1172" s="24" t="str">
        <x:v>-10 a +10</x:v>
      </x:c>
      <x:c r="N1172" s="24" t="str">
        <x:v>até -6</x:v>
      </x:c>
      <x:c r="O1172" s="24"/>
      <x:c r="P1172" s="24" t="str">
        <x:v>75</x:v>
      </x:c>
      <x:c r="Q1172" s="24"/>
      <x:c r="R1172" s="24"/>
      <x:c r="S1172" s="26" t="n">
        <x:v>46024</x:v>
      </x:c>
      <x:c r="T1172" s="26"/>
      <x:c r="U1172" s="24" t="str">
        <x:v>ATIVA/SEM FIM INFORMADO</x:v>
      </x:c>
      <x:c r="V1172" s="24"/>
      <x:c r="W1172" s="24" t="n">
        <x:v>34</x:v>
      </x:c>
      <x:c r="X1172" s="24" t="str">
        <x:v>tabela_rodenstock.pdf</x:v>
      </x:c>
      <x:c r="Y1172" s="24" t="str">
        <x:v>alta</x:v>
      </x:c>
      <x:c r="Z1172" s="24"/>
      <x:c r="AA1172" s="24" t="str">
        <x:v>Rodenstock|Bifocal|Surfaçada|Smart Bifo|ColorMatic® 3|1.67|1.67|Solitaire Protect|-10 a +10|até -6||75|||34</x:v>
      </x:c>
    </x:row>
    <x:row r="1173">
      <x:c r="A1173" s="24" t="str">
        <x:v>RD-13C127D76770</x:v>
      </x:c>
      <x:c r="B1173" s="24" t="str">
        <x:v>SIM</x:v>
      </x:c>
      <x:c r="C1173" s="24" t="str">
        <x:v>DISPONÍVEL</x:v>
      </x:c>
      <x:c r="D1173" s="24" t="str">
        <x:v>Rodenstock</x:v>
      </x:c>
      <x:c r="E1173" s="24" t="str">
        <x:v>Bifocal</x:v>
      </x:c>
      <x:c r="F1173" s="24" t="str">
        <x:v>Surfaçada</x:v>
      </x:c>
      <x:c r="G1173" s="24" t="str">
        <x:v>Smart Bifo</x:v>
      </x:c>
      <x:c r="H1173" s="24" t="str">
        <x:v>ColorMatic® 3</x:v>
      </x:c>
      <x:c r="I1173" s="24" t="str">
        <x:v>1.67</x:v>
      </x:c>
      <x:c r="J1173" s="24" t="str">
        <x:v>1.67</x:v>
      </x:c>
      <x:c r="K1173" s="24" t="str">
        <x:v>Solitaire ECO 2</x:v>
      </x:c>
      <x:c r="L1173" s="40" t="n">
        <x:v>6790</x:v>
      </x:c>
      <x:c r="M1173" s="24" t="str">
        <x:v>-10 a +10</x:v>
      </x:c>
      <x:c r="N1173" s="24" t="str">
        <x:v>até -6</x:v>
      </x:c>
      <x:c r="O1173" s="24"/>
      <x:c r="P1173" s="24" t="str">
        <x:v>75</x:v>
      </x:c>
      <x:c r="Q1173" s="24"/>
      <x:c r="R1173" s="24"/>
      <x:c r="S1173" s="26" t="n">
        <x:v>46024</x:v>
      </x:c>
      <x:c r="T1173" s="26"/>
      <x:c r="U1173" s="24" t="str">
        <x:v>ATIVA/SEM FIM INFORMADO</x:v>
      </x:c>
      <x:c r="V1173" s="24"/>
      <x:c r="W1173" s="24" t="n">
        <x:v>34</x:v>
      </x:c>
      <x:c r="X1173" s="24" t="str">
        <x:v>tabela_rodenstock.pdf</x:v>
      </x:c>
      <x:c r="Y1173" s="24" t="str">
        <x:v>alta</x:v>
      </x:c>
      <x:c r="Z1173" s="24"/>
      <x:c r="AA1173" s="24" t="str">
        <x:v>Rodenstock|Bifocal|Surfaçada|Smart Bifo|ColorMatic® 3|1.67|1.67|Solitaire ECO 2|-10 a +10|até -6||75|||34</x:v>
      </x:c>
    </x:row>
    <x:row r="1174">
      <x:c r="A1174" s="24" t="str">
        <x:v>RD-FB4CB6BEC474</x:v>
      </x:c>
      <x:c r="B1174" s="24" t="str">
        <x:v>SIM</x:v>
      </x:c>
      <x:c r="C1174" s="24" t="str">
        <x:v>DISPONÍVEL</x:v>
      </x:c>
      <x:c r="D1174" s="24" t="str">
        <x:v>Rodenstock</x:v>
      </x:c>
      <x:c r="E1174" s="24" t="str">
        <x:v>Monofocal Acabada</x:v>
      </x:c>
      <x:c r="F1174" s="24" t="str">
        <x:v>Pronta</x:v>
      </x:c>
      <x:c r="G1174" s="24" t="str">
        <x:v>Perfalit</x:v>
      </x:c>
      <x:c r="H1174" s="24"/>
      <x:c r="I1174" s="24" t="str">
        <x:v>Perfalit</x:v>
      </x:c>
      <x:c r="J1174" s="24" t="str">
        <x:v>1.50</x:v>
      </x:c>
      <x:c r="K1174" s="24" t="str">
        <x:v>Solitaire 2 Protect Balance</x:v>
      </x:c>
      <x:c r="L1174" s="40" t="n">
        <x:v>636</x:v>
      </x:c>
      <x:c r="M1174" s="24" t="str">
        <x:v>-4 a +4</x:v>
      </x:c>
      <x:c r="N1174" s="24" t="str">
        <x:v>até -2</x:v>
      </x:c>
      <x:c r="O1174" s="24"/>
      <x:c r="P1174" s="24" t="str">
        <x:v>65/70</x:v>
      </x:c>
      <x:c r="Q1174" s="24"/>
      <x:c r="R1174" s="24"/>
      <x:c r="S1174" s="26" t="n">
        <x:v>46024</x:v>
      </x:c>
      <x:c r="T1174" s="26"/>
      <x:c r="U1174" s="24" t="str">
        <x:v>ATIVA/SEM FIM INFORMADO</x:v>
      </x:c>
      <x:c r="V1174" s="24"/>
      <x:c r="W1174" s="24" t="n">
        <x:v>23</x:v>
      </x:c>
      <x:c r="X1174" s="24" t="str">
        <x:v>tabela_rodenstock.pdf</x:v>
      </x:c>
      <x:c r="Y1174" s="24" t="str">
        <x:v>alta</x:v>
      </x:c>
      <x:c r="Z1174" s="24"/>
      <x:c r="AA1174" s="24" t="str">
        <x:v>Rodenstock|Monofocal Acabada|Pronta|Perfalit||Perfalit|1.50|Solitaire 2 Protect Balance|-4 a +4|até -2||65/70|||23</x:v>
      </x:c>
    </x:row>
    <x:row r="1175">
      <x:c r="A1175" s="24" t="str">
        <x:v>RD-B61C04B50053</x:v>
      </x:c>
      <x:c r="B1175" s="24" t="str">
        <x:v>SIM</x:v>
      </x:c>
      <x:c r="C1175" s="24" t="str">
        <x:v>DISPONÍVEL</x:v>
      </x:c>
      <x:c r="D1175" s="24" t="str">
        <x:v>Rodenstock</x:v>
      </x:c>
      <x:c r="E1175" s="24" t="str">
        <x:v>Monofocal Acabada</x:v>
      </x:c>
      <x:c r="F1175" s="24" t="str">
        <x:v>Pronta</x:v>
      </x:c>
      <x:c r="G1175" s="24" t="str">
        <x:v>Perfalit</x:v>
      </x:c>
      <x:c r="H1175" s="24"/>
      <x:c r="I1175" s="24" t="str">
        <x:v>Perfalit</x:v>
      </x:c>
      <x:c r="J1175" s="24" t="str">
        <x:v>1.60</x:v>
      </x:c>
      <x:c r="K1175" s="24" t="str">
        <x:v>Solitaire 2 Protect Balance</x:v>
      </x:c>
      <x:c r="L1175" s="40" t="n">
        <x:v>1076</x:v>
      </x:c>
      <x:c r="M1175" s="24" t="str">
        <x:v>-6 a +6</x:v>
      </x:c>
      <x:c r="N1175" s="24" t="str">
        <x:v>até -2</x:v>
      </x:c>
      <x:c r="O1175" s="24"/>
      <x:c r="P1175" s="24" t="str">
        <x:v>65/70</x:v>
      </x:c>
      <x:c r="Q1175" s="24"/>
      <x:c r="R1175" s="24"/>
      <x:c r="S1175" s="26" t="n">
        <x:v>46024</x:v>
      </x:c>
      <x:c r="T1175" s="26"/>
      <x:c r="U1175" s="24" t="str">
        <x:v>ATIVA/SEM FIM INFORMADO</x:v>
      </x:c>
      <x:c r="V1175" s="24"/>
      <x:c r="W1175" s="24" t="n">
        <x:v>23</x:v>
      </x:c>
      <x:c r="X1175" s="24" t="str">
        <x:v>tabela_rodenstock.pdf</x:v>
      </x:c>
      <x:c r="Y1175" s="24" t="str">
        <x:v>alta</x:v>
      </x:c>
      <x:c r="Z1175" s="24"/>
      <x:c r="AA1175" s="24" t="str">
        <x:v>Rodenstock|Monofocal Acabada|Pronta|Perfalit||Perfalit|1.60|Solitaire 2 Protect Balance|-6 a +6|até -2||65/70|||23</x:v>
      </x:c>
    </x:row>
    <x:row r="1176">
      <x:c r="A1176" s="24" t="str">
        <x:v>RD-52FB8AE328C2</x:v>
      </x:c>
      <x:c r="B1176" s="24" t="str">
        <x:v>SIM</x:v>
      </x:c>
      <x:c r="C1176" s="24" t="str">
        <x:v>DISPONÍVEL</x:v>
      </x:c>
      <x:c r="D1176" s="24" t="str">
        <x:v>Rodenstock</x:v>
      </x:c>
      <x:c r="E1176" s="24" t="str">
        <x:v>Progressiva B.I.G. NORM</x:v>
      </x:c>
      <x:c r="F1176" s="24" t="str">
        <x:v>Surfaçada</x:v>
      </x:c>
      <x:c r="G1176" s="24" t="str">
        <x:v>Impression B.I.G. NORM</x:v>
      </x:c>
      <x:c r="H1176" s="24"/>
      <x:c r="I1176" s="24" t="str">
        <x:v>1.5</x:v>
      </x:c>
      <x:c r="J1176" s="24" t="str">
        <x:v>1.50</x:v>
      </x:c>
      <x:c r="K1176" s="24" t="str">
        <x:v>LayR X-tra Clean</x:v>
      </x:c>
      <x:c r="L1176" s="40" t="n">
        <x:v>10901</x:v>
      </x:c>
      <x:c r="M1176" s="24" t="str">
        <x:v>-8 a +8</x:v>
      </x:c>
      <x:c r="N1176" s="24" t="str">
        <x:v>até -6</x:v>
      </x:c>
      <x:c r="O1176" s="24"/>
      <x:c r="P1176" s="24" t="str">
        <x:v>75/80</x:v>
      </x:c>
      <x:c r="Q1176" s="24"/>
      <x:c r="R1176" s="24"/>
      <x:c r="S1176" s="26" t="n">
        <x:v>46024</x:v>
      </x:c>
      <x:c r="T1176" s="26"/>
      <x:c r="U1176" s="24" t="str">
        <x:v>ATIVA/SEM FIM INFORMADO</x:v>
      </x:c>
      <x:c r="V1176" s="24"/>
      <x:c r="W1176" s="24" t="n">
        <x:v>11</x:v>
      </x:c>
      <x:c r="X1176" s="24" t="str">
        <x:v>tabela_rodenstock.pdf</x:v>
      </x:c>
      <x:c r="Y1176" s="24" t="str">
        <x:v>alta</x:v>
      </x:c>
      <x:c r="Z1176" s="24"/>
      <x:c r="AA1176" s="24" t="str">
        <x:v>Rodenstock|Progressiva B.I.G. NORM|Surfaçada|Impression B.I.G. NORM||1.5|1.50|LayR X-tra Clean|-8 a +8|até -6||75/80|||11</x:v>
      </x:c>
    </x:row>
    <x:row r="1177">
      <x:c r="A1177" s="24" t="str">
        <x:v>RD-4E94A0284AAB</x:v>
      </x:c>
      <x:c r="B1177" s="24" t="str">
        <x:v>SIM</x:v>
      </x:c>
      <x:c r="C1177" s="24" t="str">
        <x:v>DISPONÍVEL</x:v>
      </x:c>
      <x:c r="D1177" s="24" t="str">
        <x:v>Rodenstock</x:v>
      </x:c>
      <x:c r="E1177" s="24" t="str">
        <x:v>Progressiva B.I.G. NORM</x:v>
      </x:c>
      <x:c r="F1177" s="24" t="str">
        <x:v>Surfaçada</x:v>
      </x:c>
      <x:c r="G1177" s="24" t="str">
        <x:v>Impression B.I.G. NORM</x:v>
      </x:c>
      <x:c r="H1177" s="24"/>
      <x:c r="I1177" s="24" t="str">
        <x:v>1.5</x:v>
      </x:c>
      <x:c r="J1177" s="24" t="str">
        <x:v>1.50</x:v>
      </x:c>
      <x:c r="K1177" s="24" t="str">
        <x:v>LayR Balance</x:v>
      </x:c>
      <x:c r="L1177" s="40" t="n">
        <x:v>10901</x:v>
      </x:c>
      <x:c r="M1177" s="24" t="str">
        <x:v>-8 a +8</x:v>
      </x:c>
      <x:c r="N1177" s="24" t="str">
        <x:v>até -6</x:v>
      </x:c>
      <x:c r="O1177" s="24"/>
      <x:c r="P1177" s="24" t="str">
        <x:v>75/80</x:v>
      </x:c>
      <x:c r="Q1177" s="24"/>
      <x:c r="R1177" s="24"/>
      <x:c r="S1177" s="26" t="n">
        <x:v>46024</x:v>
      </x:c>
      <x:c r="T1177" s="26"/>
      <x:c r="U1177" s="24" t="str">
        <x:v>ATIVA/SEM FIM INFORMADO</x:v>
      </x:c>
      <x:c r="V1177" s="24"/>
      <x:c r="W1177" s="24" t="n">
        <x:v>11</x:v>
      </x:c>
      <x:c r="X1177" s="24" t="str">
        <x:v>tabela_rodenstock.pdf</x:v>
      </x:c>
      <x:c r="Y1177" s="24" t="str">
        <x:v>alta</x:v>
      </x:c>
      <x:c r="Z1177" s="24"/>
      <x:c r="AA1177" s="24" t="str">
        <x:v>Rodenstock|Progressiva B.I.G. NORM|Surfaçada|Impression B.I.G. NORM||1.5|1.50|LayR Balance|-8 a +8|até -6||75/80|||11</x:v>
      </x:c>
    </x:row>
    <x:row r="1178">
      <x:c r="A1178" s="24" t="str">
        <x:v>RD-71F6B179329D</x:v>
      </x:c>
      <x:c r="B1178" s="24" t="str">
        <x:v>SIM</x:v>
      </x:c>
      <x:c r="C1178" s="24" t="str">
        <x:v>DISPONÍVEL</x:v>
      </x:c>
      <x:c r="D1178" s="24" t="str">
        <x:v>Rodenstock</x:v>
      </x:c>
      <x:c r="E1178" s="24" t="str">
        <x:v>Progressiva B.I.G. NORM</x:v>
      </x:c>
      <x:c r="F1178" s="24" t="str">
        <x:v>Surfaçada</x:v>
      </x:c>
      <x:c r="G1178" s="24" t="str">
        <x:v>Impression B.I.G. NORM</x:v>
      </x:c>
      <x:c r="H1178" s="24"/>
      <x:c r="I1178" s="24" t="str">
        <x:v>1.5</x:v>
      </x:c>
      <x:c r="J1178" s="24" t="str">
        <x:v>1.50</x:v>
      </x:c>
      <x:c r="K1178" s="24" t="str">
        <x:v>Solitaire X-tra Clean</x:v>
      </x:c>
      <x:c r="L1178" s="40" t="n">
        <x:v>10831</x:v>
      </x:c>
      <x:c r="M1178" s="24" t="str">
        <x:v>-8 a +8</x:v>
      </x:c>
      <x:c r="N1178" s="24" t="str">
        <x:v>até -6</x:v>
      </x:c>
      <x:c r="O1178" s="24"/>
      <x:c r="P1178" s="24" t="str">
        <x:v>75/80</x:v>
      </x:c>
      <x:c r="Q1178" s="24"/>
      <x:c r="R1178" s="24"/>
      <x:c r="S1178" s="26" t="n">
        <x:v>46024</x:v>
      </x:c>
      <x:c r="T1178" s="26"/>
      <x:c r="U1178" s="24" t="str">
        <x:v>ATIVA/SEM FIM INFORMADO</x:v>
      </x:c>
      <x:c r="V1178" s="24"/>
      <x:c r="W1178" s="24" t="n">
        <x:v>11</x:v>
      </x:c>
      <x:c r="X1178" s="24" t="str">
        <x:v>tabela_rodenstock.pdf</x:v>
      </x:c>
      <x:c r="Y1178" s="24" t="str">
        <x:v>alta</x:v>
      </x:c>
      <x:c r="Z1178" s="24"/>
      <x:c r="AA1178" s="24" t="str">
        <x:v>Rodenstock|Progressiva B.I.G. NORM|Surfaçada|Impression B.I.G. NORM||1.5|1.50|Solitaire X-tra Clean|-8 a +8|até -6||75/80|||11</x:v>
      </x:c>
    </x:row>
    <x:row r="1179">
      <x:c r="A1179" s="24" t="str">
        <x:v>RD-7FC1B226586D</x:v>
      </x:c>
      <x:c r="B1179" s="24" t="str">
        <x:v>SIM</x:v>
      </x:c>
      <x:c r="C1179" s="24" t="str">
        <x:v>DISPONÍVEL</x:v>
      </x:c>
      <x:c r="D1179" s="24" t="str">
        <x:v>Rodenstock</x:v>
      </x:c>
      <x:c r="E1179" s="24" t="str">
        <x:v>Progressiva B.I.G. NORM</x:v>
      </x:c>
      <x:c r="F1179" s="24" t="str">
        <x:v>Surfaçada</x:v>
      </x:c>
      <x:c r="G1179" s="24" t="str">
        <x:v>Impression B.I.G. NORM</x:v>
      </x:c>
      <x:c r="H1179" s="24"/>
      <x:c r="I1179" s="24" t="str">
        <x:v>1.5</x:v>
      </x:c>
      <x:c r="J1179" s="24" t="str">
        <x:v>1.50</x:v>
      </x:c>
      <x:c r="K1179" s="24" t="str">
        <x:v>Solitaire Protect Plus</x:v>
      </x:c>
      <x:c r="L1179" s="40" t="n">
        <x:v>10781</x:v>
      </x:c>
      <x:c r="M1179" s="24" t="str">
        <x:v>-8 a +8</x:v>
      </x:c>
      <x:c r="N1179" s="24" t="str">
        <x:v>até -6</x:v>
      </x:c>
      <x:c r="O1179" s="24"/>
      <x:c r="P1179" s="24" t="str">
        <x:v>75/80</x:v>
      </x:c>
      <x:c r="Q1179" s="24"/>
      <x:c r="R1179" s="24"/>
      <x:c r="S1179" s="26" t="n">
        <x:v>46024</x:v>
      </x:c>
      <x:c r="T1179" s="26"/>
      <x:c r="U1179" s="24" t="str">
        <x:v>ATIVA/SEM FIM INFORMADO</x:v>
      </x:c>
      <x:c r="V1179" s="24"/>
      <x:c r="W1179" s="24" t="n">
        <x:v>11</x:v>
      </x:c>
      <x:c r="X1179" s="24" t="str">
        <x:v>tabela_rodenstock.pdf</x:v>
      </x:c>
      <x:c r="Y1179" s="24" t="str">
        <x:v>alta</x:v>
      </x:c>
      <x:c r="Z1179" s="24"/>
      <x:c r="AA1179" s="24" t="str">
        <x:v>Rodenstock|Progressiva B.I.G. NORM|Surfaçada|Impression B.I.G. NORM||1.5|1.50|Solitaire Protect Plus|-8 a +8|até -6||75/80|||11</x:v>
      </x:c>
    </x:row>
    <x:row r="1180">
      <x:c r="A1180" s="24" t="str">
        <x:v>RD-F30CA69C6E4A</x:v>
      </x:c>
      <x:c r="B1180" s="24" t="str">
        <x:v>SIM</x:v>
      </x:c>
      <x:c r="C1180" s="24" t="str">
        <x:v>DISPONÍVEL</x:v>
      </x:c>
      <x:c r="D1180" s="24" t="str">
        <x:v>Rodenstock</x:v>
      </x:c>
      <x:c r="E1180" s="24" t="str">
        <x:v>Progressiva B.I.G. NORM</x:v>
      </x:c>
      <x:c r="F1180" s="24" t="str">
        <x:v>Surfaçada</x:v>
      </x:c>
      <x:c r="G1180" s="24" t="str">
        <x:v>Impression B.I.G. NORM</x:v>
      </x:c>
      <x:c r="H1180" s="24"/>
      <x:c r="I1180" s="24" t="str">
        <x:v>1.5</x:v>
      </x:c>
      <x:c r="J1180" s="24" t="str">
        <x:v>1.50</x:v>
      </x:c>
      <x:c r="K1180" s="24" t="str">
        <x:v>ROAD</x:v>
      </x:c>
      <x:c r="L1180" s="40" t="n">
        <x:v>10781</x:v>
      </x:c>
      <x:c r="M1180" s="24" t="str">
        <x:v>-8 a +8</x:v>
      </x:c>
      <x:c r="N1180" s="24" t="str">
        <x:v>até -6</x:v>
      </x:c>
      <x:c r="O1180" s="24"/>
      <x:c r="P1180" s="24" t="str">
        <x:v>75/80</x:v>
      </x:c>
      <x:c r="Q1180" s="24"/>
      <x:c r="R1180" s="24"/>
      <x:c r="S1180" s="26" t="n">
        <x:v>46024</x:v>
      </x:c>
      <x:c r="T1180" s="26"/>
      <x:c r="U1180" s="24" t="str">
        <x:v>ATIVA/SEM FIM INFORMADO</x:v>
      </x:c>
      <x:c r="V1180" s="24"/>
      <x:c r="W1180" s="24" t="n">
        <x:v>11</x:v>
      </x:c>
      <x:c r="X1180" s="24" t="str">
        <x:v>tabela_rodenstock.pdf</x:v>
      </x:c>
      <x:c r="Y1180" s="24" t="str">
        <x:v>alta</x:v>
      </x:c>
      <x:c r="Z1180" s="24"/>
      <x:c r="AA1180" s="24" t="str">
        <x:v>Rodenstock|Progressiva B.I.G. NORM|Surfaçada|Impression B.I.G. NORM||1.5|1.50|ROAD|-8 a +8|até -6||75/80|||11</x:v>
      </x:c>
    </x:row>
    <x:row r="1181">
      <x:c r="A1181" s="24" t="str">
        <x:v>RD-51321A0D8BEE</x:v>
      </x:c>
      <x:c r="B1181" s="24" t="str">
        <x:v>SIM</x:v>
      </x:c>
      <x:c r="C1181" s="24" t="str">
        <x:v>DISPONÍVEL</x:v>
      </x:c>
      <x:c r="D1181" s="24" t="str">
        <x:v>Rodenstock</x:v>
      </x:c>
      <x:c r="E1181" s="24" t="str">
        <x:v>Progressiva B.I.G. NORM</x:v>
      </x:c>
      <x:c r="F1181" s="24" t="str">
        <x:v>Surfaçada</x:v>
      </x:c>
      <x:c r="G1181" s="24" t="str">
        <x:v>Impression B.I.G. NORM</x:v>
      </x:c>
      <x:c r="H1181" s="24"/>
      <x:c r="I1181" s="24" t="str">
        <x:v>1.5</x:v>
      </x:c>
      <x:c r="J1181" s="24" t="str">
        <x:v>1.50</x:v>
      </x:c>
      <x:c r="K1181" s="24" t="str">
        <x:v>Solitaire Protect</x:v>
      </x:c>
      <x:c r="L1181" s="40" t="n">
        <x:v>10521</x:v>
      </x:c>
      <x:c r="M1181" s="24" t="str">
        <x:v>-8 a +8</x:v>
      </x:c>
      <x:c r="N1181" s="24" t="str">
        <x:v>até -6</x:v>
      </x:c>
      <x:c r="O1181" s="24"/>
      <x:c r="P1181" s="24" t="str">
        <x:v>75/80</x:v>
      </x:c>
      <x:c r="Q1181" s="24"/>
      <x:c r="R1181" s="24"/>
      <x:c r="S1181" s="26" t="n">
        <x:v>46024</x:v>
      </x:c>
      <x:c r="T1181" s="26"/>
      <x:c r="U1181" s="24" t="str">
        <x:v>ATIVA/SEM FIM INFORMADO</x:v>
      </x:c>
      <x:c r="V1181" s="24"/>
      <x:c r="W1181" s="24" t="n">
        <x:v>11</x:v>
      </x:c>
      <x:c r="X1181" s="24" t="str">
        <x:v>tabela_rodenstock.pdf</x:v>
      </x:c>
      <x:c r="Y1181" s="24" t="str">
        <x:v>alta</x:v>
      </x:c>
      <x:c r="Z1181" s="24"/>
      <x:c r="AA1181" s="24" t="str">
        <x:v>Rodenstock|Progressiva B.I.G. NORM|Surfaçada|Impression B.I.G. NORM||1.5|1.50|Solitaire Protect|-8 a +8|até -6||75/80|||11</x:v>
      </x:c>
    </x:row>
    <x:row r="1182">
      <x:c r="A1182" s="24" t="str">
        <x:v>RD-D0A4631C1A4F</x:v>
      </x:c>
      <x:c r="B1182" s="24" t="str">
        <x:v>SIM</x:v>
      </x:c>
      <x:c r="C1182" s="24" t="str">
        <x:v>DISPONÍVEL</x:v>
      </x:c>
      <x:c r="D1182" s="24" t="str">
        <x:v>Rodenstock</x:v>
      </x:c>
      <x:c r="E1182" s="24" t="str">
        <x:v>Progressiva B.I.G. NORM</x:v>
      </x:c>
      <x:c r="F1182" s="24" t="str">
        <x:v>Surfaçada</x:v>
      </x:c>
      <x:c r="G1182" s="24" t="str">
        <x:v>Impression B.I.G. NORM</x:v>
      </x:c>
      <x:c r="H1182" s="24" t="str">
        <x:v>ColorMatic® 3</x:v>
      </x:c>
      <x:c r="I1182" s="24" t="str">
        <x:v>1.54</x:v>
      </x:c>
      <x:c r="J1182" s="24" t="str">
        <x:v>1.54</x:v>
      </x:c>
      <x:c r="K1182" s="24" t="str">
        <x:v>LayR X-tra Clean</x:v>
      </x:c>
      <x:c r="L1182" s="40" t="n">
        <x:v>12234</x:v>
      </x:c>
      <x:c r="M1182" s="24" t="str">
        <x:v>-8 a +8</x:v>
      </x:c>
      <x:c r="N1182" s="24" t="str">
        <x:v>até -6</x:v>
      </x:c>
      <x:c r="O1182" s="24"/>
      <x:c r="P1182" s="24" t="str">
        <x:v>75/80</x:v>
      </x:c>
      <x:c r="Q1182" s="24"/>
      <x:c r="R1182" s="24"/>
      <x:c r="S1182" s="26" t="n">
        <x:v>46024</x:v>
      </x:c>
      <x:c r="T1182" s="26"/>
      <x:c r="U1182" s="24" t="str">
        <x:v>ATIVA/SEM FIM INFORMADO</x:v>
      </x:c>
      <x:c r="V1182" s="24"/>
      <x:c r="W1182" s="24" t="n">
        <x:v>11</x:v>
      </x:c>
      <x:c r="X1182" s="24" t="str">
        <x:v>tabela_rodenstock.pdf</x:v>
      </x:c>
      <x:c r="Y1182" s="24" t="str">
        <x:v>alta</x:v>
      </x:c>
      <x:c r="Z1182" s="24"/>
      <x:c r="AA1182" s="24" t="str">
        <x:v>Rodenstock|Progressiva B.I.G. NORM|Surfaçada|Impression B.I.G. NORM|ColorMatic® 3|1.54|1.54|LayR X-tra Clean|-8 a +8|até -6||75/80|||11</x:v>
      </x:c>
    </x:row>
    <x:row r="1183">
      <x:c r="A1183" s="24" t="str">
        <x:v>RD-5D88AA01845D</x:v>
      </x:c>
      <x:c r="B1183" s="24" t="str">
        <x:v>SIM</x:v>
      </x:c>
      <x:c r="C1183" s="24" t="str">
        <x:v>DISPONÍVEL</x:v>
      </x:c>
      <x:c r="D1183" s="24" t="str">
        <x:v>Rodenstock</x:v>
      </x:c>
      <x:c r="E1183" s="24" t="str">
        <x:v>Progressiva B.I.G. NORM</x:v>
      </x:c>
      <x:c r="F1183" s="24" t="str">
        <x:v>Surfaçada</x:v>
      </x:c>
      <x:c r="G1183" s="24" t="str">
        <x:v>Impression B.I.G. NORM</x:v>
      </x:c>
      <x:c r="H1183" s="24" t="str">
        <x:v>ColorMatic® 3</x:v>
      </x:c>
      <x:c r="I1183" s="24" t="str">
        <x:v>1.54</x:v>
      </x:c>
      <x:c r="J1183" s="24" t="str">
        <x:v>1.54</x:v>
      </x:c>
      <x:c r="K1183" s="24" t="str">
        <x:v>LayR Balance</x:v>
      </x:c>
      <x:c r="L1183" s="40" t="n">
        <x:v>12234</x:v>
      </x:c>
      <x:c r="M1183" s="24" t="str">
        <x:v>-8 a +8</x:v>
      </x:c>
      <x:c r="N1183" s="24" t="str">
        <x:v>até -6</x:v>
      </x:c>
      <x:c r="O1183" s="24"/>
      <x:c r="P1183" s="24" t="str">
        <x:v>75/80</x:v>
      </x:c>
      <x:c r="Q1183" s="24"/>
      <x:c r="R1183" s="24"/>
      <x:c r="S1183" s="26" t="n">
        <x:v>46024</x:v>
      </x:c>
      <x:c r="T1183" s="26"/>
      <x:c r="U1183" s="24" t="str">
        <x:v>ATIVA/SEM FIM INFORMADO</x:v>
      </x:c>
      <x:c r="V1183" s="24"/>
      <x:c r="W1183" s="24" t="n">
        <x:v>11</x:v>
      </x:c>
      <x:c r="X1183" s="24" t="str">
        <x:v>tabela_rodenstock.pdf</x:v>
      </x:c>
      <x:c r="Y1183" s="24" t="str">
        <x:v>alta</x:v>
      </x:c>
      <x:c r="Z1183" s="24"/>
      <x:c r="AA1183" s="24" t="str">
        <x:v>Rodenstock|Progressiva B.I.G. NORM|Surfaçada|Impression B.I.G. NORM|ColorMatic® 3|1.54|1.54|LayR Balance|-8 a +8|até -6||75/80|||11</x:v>
      </x:c>
    </x:row>
    <x:row r="1184">
      <x:c r="A1184" s="24" t="str">
        <x:v>RD-DF67C7E5C342</x:v>
      </x:c>
      <x:c r="B1184" s="24" t="str">
        <x:v>SIM</x:v>
      </x:c>
      <x:c r="C1184" s="24" t="str">
        <x:v>DISPONÍVEL</x:v>
      </x:c>
      <x:c r="D1184" s="24" t="str">
        <x:v>Rodenstock</x:v>
      </x:c>
      <x:c r="E1184" s="24" t="str">
        <x:v>Progressiva B.I.G. NORM</x:v>
      </x:c>
      <x:c r="F1184" s="24" t="str">
        <x:v>Surfaçada</x:v>
      </x:c>
      <x:c r="G1184" s="24" t="str">
        <x:v>Impression B.I.G. NORM</x:v>
      </x:c>
      <x:c r="H1184" s="24" t="str">
        <x:v>ColorMatic® 3</x:v>
      </x:c>
      <x:c r="I1184" s="24" t="str">
        <x:v>1.54</x:v>
      </x:c>
      <x:c r="J1184" s="24" t="str">
        <x:v>1.54</x:v>
      </x:c>
      <x:c r="K1184" s="24" t="str">
        <x:v>Solitaire X-tra Clean</x:v>
      </x:c>
      <x:c r="L1184" s="40" t="n">
        <x:v>12164</x:v>
      </x:c>
      <x:c r="M1184" s="24" t="str">
        <x:v>-8 a +8</x:v>
      </x:c>
      <x:c r="N1184" s="24" t="str">
        <x:v>até -6</x:v>
      </x:c>
      <x:c r="O1184" s="24"/>
      <x:c r="P1184" s="24" t="str">
        <x:v>75/80</x:v>
      </x:c>
      <x:c r="Q1184" s="24"/>
      <x:c r="R1184" s="24"/>
      <x:c r="S1184" s="26" t="n">
        <x:v>46024</x:v>
      </x:c>
      <x:c r="T1184" s="26"/>
      <x:c r="U1184" s="24" t="str">
        <x:v>ATIVA/SEM FIM INFORMADO</x:v>
      </x:c>
      <x:c r="V1184" s="24"/>
      <x:c r="W1184" s="24" t="n">
        <x:v>11</x:v>
      </x:c>
      <x:c r="X1184" s="24" t="str">
        <x:v>tabela_rodenstock.pdf</x:v>
      </x:c>
      <x:c r="Y1184" s="24" t="str">
        <x:v>alta</x:v>
      </x:c>
      <x:c r="Z1184" s="24"/>
      <x:c r="AA1184" s="24" t="str">
        <x:v>Rodenstock|Progressiva B.I.G. NORM|Surfaçada|Impression B.I.G. NORM|ColorMatic® 3|1.54|1.54|Solitaire X-tra Clean|-8 a +8|até -6||75/80|||11</x:v>
      </x:c>
    </x:row>
    <x:row r="1185">
      <x:c r="A1185" s="24" t="str">
        <x:v>RD-EE7BCC89661B</x:v>
      </x:c>
      <x:c r="B1185" s="24" t="str">
        <x:v>SIM</x:v>
      </x:c>
      <x:c r="C1185" s="24" t="str">
        <x:v>DISPONÍVEL</x:v>
      </x:c>
      <x:c r="D1185" s="24" t="str">
        <x:v>Rodenstock</x:v>
      </x:c>
      <x:c r="E1185" s="24" t="str">
        <x:v>Progressiva B.I.G. NORM</x:v>
      </x:c>
      <x:c r="F1185" s="24" t="str">
        <x:v>Surfaçada</x:v>
      </x:c>
      <x:c r="G1185" s="24" t="str">
        <x:v>Impression B.I.G. NORM</x:v>
      </x:c>
      <x:c r="H1185" s="24" t="str">
        <x:v>ColorMatic® 3</x:v>
      </x:c>
      <x:c r="I1185" s="24" t="str">
        <x:v>1.54</x:v>
      </x:c>
      <x:c r="J1185" s="24" t="str">
        <x:v>1.54</x:v>
      </x:c>
      <x:c r="K1185" s="24" t="str">
        <x:v>Solitaire Protect Plus</x:v>
      </x:c>
      <x:c r="L1185" s="40" t="n">
        <x:v>12114</x:v>
      </x:c>
      <x:c r="M1185" s="24" t="str">
        <x:v>-8 a +8</x:v>
      </x:c>
      <x:c r="N1185" s="24" t="str">
        <x:v>até -6</x:v>
      </x:c>
      <x:c r="O1185" s="24"/>
      <x:c r="P1185" s="24" t="str">
        <x:v>75/80</x:v>
      </x:c>
      <x:c r="Q1185" s="24"/>
      <x:c r="R1185" s="24"/>
      <x:c r="S1185" s="26" t="n">
        <x:v>46024</x:v>
      </x:c>
      <x:c r="T1185" s="26"/>
      <x:c r="U1185" s="24" t="str">
        <x:v>ATIVA/SEM FIM INFORMADO</x:v>
      </x:c>
      <x:c r="V1185" s="24"/>
      <x:c r="W1185" s="24" t="n">
        <x:v>11</x:v>
      </x:c>
      <x:c r="X1185" s="24" t="str">
        <x:v>tabela_rodenstock.pdf</x:v>
      </x:c>
      <x:c r="Y1185" s="24" t="str">
        <x:v>alta</x:v>
      </x:c>
      <x:c r="Z1185" s="24"/>
      <x:c r="AA1185" s="24" t="str">
        <x:v>Rodenstock|Progressiva B.I.G. NORM|Surfaçada|Impression B.I.G. NORM|ColorMatic® 3|1.54|1.54|Solitaire Protect Plus|-8 a +8|até -6||75/80|||11</x:v>
      </x:c>
    </x:row>
    <x:row r="1186">
      <x:c r="A1186" s="24" t="str">
        <x:v>RD-3046C93387BC</x:v>
      </x:c>
      <x:c r="B1186" s="24" t="str">
        <x:v>SIM</x:v>
      </x:c>
      <x:c r="C1186" s="24" t="str">
        <x:v>DISPONÍVEL</x:v>
      </x:c>
      <x:c r="D1186" s="24" t="str">
        <x:v>Rodenstock</x:v>
      </x:c>
      <x:c r="E1186" s="24" t="str">
        <x:v>Progressiva B.I.G. NORM</x:v>
      </x:c>
      <x:c r="F1186" s="24" t="str">
        <x:v>Surfaçada</x:v>
      </x:c>
      <x:c r="G1186" s="24" t="str">
        <x:v>Impression B.I.G. NORM</x:v>
      </x:c>
      <x:c r="H1186" s="24" t="str">
        <x:v>ColorMatic® 3</x:v>
      </x:c>
      <x:c r="I1186" s="24" t="str">
        <x:v>1.54</x:v>
      </x:c>
      <x:c r="J1186" s="24" t="str">
        <x:v>1.54</x:v>
      </x:c>
      <x:c r="K1186" s="24" t="str">
        <x:v>ROAD</x:v>
      </x:c>
      <x:c r="L1186" s="40" t="n">
        <x:v>12114</x:v>
      </x:c>
      <x:c r="M1186" s="24" t="str">
        <x:v>-8 a +8</x:v>
      </x:c>
      <x:c r="N1186" s="24" t="str">
        <x:v>até -6</x:v>
      </x:c>
      <x:c r="O1186" s="24"/>
      <x:c r="P1186" s="24" t="str">
        <x:v>75/80</x:v>
      </x:c>
      <x:c r="Q1186" s="24"/>
      <x:c r="R1186" s="24"/>
      <x:c r="S1186" s="26" t="n">
        <x:v>46024</x:v>
      </x:c>
      <x:c r="T1186" s="26"/>
      <x:c r="U1186" s="24" t="str">
        <x:v>ATIVA/SEM FIM INFORMADO</x:v>
      </x:c>
      <x:c r="V1186" s="24"/>
      <x:c r="W1186" s="24" t="n">
        <x:v>11</x:v>
      </x:c>
      <x:c r="X1186" s="24" t="str">
        <x:v>tabela_rodenstock.pdf</x:v>
      </x:c>
      <x:c r="Y1186" s="24" t="str">
        <x:v>alta</x:v>
      </x:c>
      <x:c r="Z1186" s="24"/>
      <x:c r="AA1186" s="24" t="str">
        <x:v>Rodenstock|Progressiva B.I.G. NORM|Surfaçada|Impression B.I.G. NORM|ColorMatic® 3|1.54|1.54|ROAD|-8 a +8|até -6||75/80|||11</x:v>
      </x:c>
    </x:row>
    <x:row r="1187">
      <x:c r="A1187" s="24" t="str">
        <x:v>RD-B7E9DA5D3848</x:v>
      </x:c>
      <x:c r="B1187" s="24" t="str">
        <x:v>SIM</x:v>
      </x:c>
      <x:c r="C1187" s="24" t="str">
        <x:v>DISPONÍVEL</x:v>
      </x:c>
      <x:c r="D1187" s="24" t="str">
        <x:v>Rodenstock</x:v>
      </x:c>
      <x:c r="E1187" s="24" t="str">
        <x:v>Progressiva B.I.G. NORM</x:v>
      </x:c>
      <x:c r="F1187" s="24" t="str">
        <x:v>Surfaçada</x:v>
      </x:c>
      <x:c r="G1187" s="24" t="str">
        <x:v>Impression B.I.G. NORM</x:v>
      </x:c>
      <x:c r="H1187" s="24" t="str">
        <x:v>ColorMatic® 3</x:v>
      </x:c>
      <x:c r="I1187" s="24" t="str">
        <x:v>1.54</x:v>
      </x:c>
      <x:c r="J1187" s="24" t="str">
        <x:v>1.54</x:v>
      </x:c>
      <x:c r="K1187" s="24" t="str">
        <x:v>Solitaire Protect</x:v>
      </x:c>
      <x:c r="L1187" s="40" t="n">
        <x:v>11854</x:v>
      </x:c>
      <x:c r="M1187" s="24" t="str">
        <x:v>-8 a +8</x:v>
      </x:c>
      <x:c r="N1187" s="24" t="str">
        <x:v>até -6</x:v>
      </x:c>
      <x:c r="O1187" s="24"/>
      <x:c r="P1187" s="24" t="str">
        <x:v>75/80</x:v>
      </x:c>
      <x:c r="Q1187" s="24"/>
      <x:c r="R1187" s="24"/>
      <x:c r="S1187" s="26" t="n">
        <x:v>46024</x:v>
      </x:c>
      <x:c r="T1187" s="26"/>
      <x:c r="U1187" s="24" t="str">
        <x:v>ATIVA/SEM FIM INFORMADO</x:v>
      </x:c>
      <x:c r="V1187" s="24"/>
      <x:c r="W1187" s="24" t="n">
        <x:v>11</x:v>
      </x:c>
      <x:c r="X1187" s="24" t="str">
        <x:v>tabela_rodenstock.pdf</x:v>
      </x:c>
      <x:c r="Y1187" s="24" t="str">
        <x:v>alta</x:v>
      </x:c>
      <x:c r="Z1187" s="24"/>
      <x:c r="AA1187" s="24" t="str">
        <x:v>Rodenstock|Progressiva B.I.G. NORM|Surfaçada|Impression B.I.G. NORM|ColorMatic® 3|1.54|1.54|Solitaire Protect|-8 a +8|até -6||75/80|||11</x:v>
      </x:c>
    </x:row>
    <x:row r="1188">
      <x:c r="A1188" s="24" t="str">
        <x:v>RD-545542F0BE15</x:v>
      </x:c>
      <x:c r="B1188" s="24" t="str">
        <x:v>SIM</x:v>
      </x:c>
      <x:c r="C1188" s="24" t="str">
        <x:v>DISPONÍVEL</x:v>
      </x:c>
      <x:c r="D1188" s="24" t="str">
        <x:v>Rodenstock</x:v>
      </x:c>
      <x:c r="E1188" s="24" t="str">
        <x:v>Progressiva B.I.G. NORM</x:v>
      </x:c>
      <x:c r="F1188" s="24" t="str">
        <x:v>Surfaçada</x:v>
      </x:c>
      <x:c r="G1188" s="24" t="str">
        <x:v>Impression B.I.G. NORM</x:v>
      </x:c>
      <x:c r="H1188" s="24"/>
      <x:c r="I1188" s="24" t="str">
        <x:v>1.6</x:v>
      </x:c>
      <x:c r="J1188" s="24" t="str">
        <x:v>1.60</x:v>
      </x:c>
      <x:c r="K1188" s="24" t="str">
        <x:v>LayR X-tra Clean</x:v>
      </x:c>
      <x:c r="L1188" s="40" t="n">
        <x:v>12188</x:v>
      </x:c>
      <x:c r="M1188" s="24" t="str">
        <x:v>-11 a +10</x:v>
      </x:c>
      <x:c r="N1188" s="24" t="str">
        <x:v>até -6</x:v>
      </x:c>
      <x:c r="O1188" s="24"/>
      <x:c r="P1188" s="24" t="str">
        <x:v>75/80</x:v>
      </x:c>
      <x:c r="Q1188" s="24"/>
      <x:c r="R1188" s="24"/>
      <x:c r="S1188" s="26" t="n">
        <x:v>46024</x:v>
      </x:c>
      <x:c r="T1188" s="26"/>
      <x:c r="U1188" s="24" t="str">
        <x:v>ATIVA/SEM FIM INFORMADO</x:v>
      </x:c>
      <x:c r="V1188" s="24"/>
      <x:c r="W1188" s="24" t="n">
        <x:v>11</x:v>
      </x:c>
      <x:c r="X1188" s="24" t="str">
        <x:v>tabela_rodenstock.pdf</x:v>
      </x:c>
      <x:c r="Y1188" s="24" t="str">
        <x:v>alta</x:v>
      </x:c>
      <x:c r="Z1188" s="24"/>
      <x:c r="AA1188" s="24" t="str">
        <x:v>Rodenstock|Progressiva B.I.G. NORM|Surfaçada|Impression B.I.G. NORM||1.6|1.60|LayR X-tra Clean|-11 a +10|até -6||75/80|||11</x:v>
      </x:c>
    </x:row>
    <x:row r="1189">
      <x:c r="A1189" s="24" t="str">
        <x:v>RD-692EEF59F584</x:v>
      </x:c>
      <x:c r="B1189" s="24" t="str">
        <x:v>SIM</x:v>
      </x:c>
      <x:c r="C1189" s="24" t="str">
        <x:v>DISPONÍVEL</x:v>
      </x:c>
      <x:c r="D1189" s="24" t="str">
        <x:v>Rodenstock</x:v>
      </x:c>
      <x:c r="E1189" s="24" t="str">
        <x:v>Progressiva B.I.G. NORM</x:v>
      </x:c>
      <x:c r="F1189" s="24" t="str">
        <x:v>Surfaçada</x:v>
      </x:c>
      <x:c r="G1189" s="24" t="str">
        <x:v>Impression B.I.G. NORM</x:v>
      </x:c>
      <x:c r="H1189" s="24"/>
      <x:c r="I1189" s="24" t="str">
        <x:v>1.6</x:v>
      </x:c>
      <x:c r="J1189" s="24" t="str">
        <x:v>1.60</x:v>
      </x:c>
      <x:c r="K1189" s="24" t="str">
        <x:v>LayR Balance</x:v>
      </x:c>
      <x:c r="L1189" s="40" t="n">
        <x:v>12188</x:v>
      </x:c>
      <x:c r="M1189" s="24" t="str">
        <x:v>-11 a +10</x:v>
      </x:c>
      <x:c r="N1189" s="24" t="str">
        <x:v>até -6</x:v>
      </x:c>
      <x:c r="O1189" s="24"/>
      <x:c r="P1189" s="24" t="str">
        <x:v>75/80</x:v>
      </x:c>
      <x:c r="Q1189" s="24"/>
      <x:c r="R1189" s="24"/>
      <x:c r="S1189" s="26" t="n">
        <x:v>46024</x:v>
      </x:c>
      <x:c r="T1189" s="26"/>
      <x:c r="U1189" s="24" t="str">
        <x:v>ATIVA/SEM FIM INFORMADO</x:v>
      </x:c>
      <x:c r="V1189" s="24"/>
      <x:c r="W1189" s="24" t="n">
        <x:v>11</x:v>
      </x:c>
      <x:c r="X1189" s="24" t="str">
        <x:v>tabela_rodenstock.pdf</x:v>
      </x:c>
      <x:c r="Y1189" s="24" t="str">
        <x:v>alta</x:v>
      </x:c>
      <x:c r="Z1189" s="24"/>
      <x:c r="AA1189" s="24" t="str">
        <x:v>Rodenstock|Progressiva B.I.G. NORM|Surfaçada|Impression B.I.G. NORM||1.6|1.60|LayR Balance|-11 a +10|até -6||75/80|||11</x:v>
      </x:c>
    </x:row>
    <x:row r="1190">
      <x:c r="A1190" s="24" t="str">
        <x:v>RD-67AB79305A47</x:v>
      </x:c>
      <x:c r="B1190" s="24" t="str">
        <x:v>SIM</x:v>
      </x:c>
      <x:c r="C1190" s="24" t="str">
        <x:v>DISPONÍVEL</x:v>
      </x:c>
      <x:c r="D1190" s="24" t="str">
        <x:v>Rodenstock</x:v>
      </x:c>
      <x:c r="E1190" s="24" t="str">
        <x:v>Progressiva B.I.G. NORM</x:v>
      </x:c>
      <x:c r="F1190" s="24" t="str">
        <x:v>Surfaçada</x:v>
      </x:c>
      <x:c r="G1190" s="24" t="str">
        <x:v>Impression B.I.G. NORM</x:v>
      </x:c>
      <x:c r="H1190" s="24"/>
      <x:c r="I1190" s="24" t="str">
        <x:v>1.6</x:v>
      </x:c>
      <x:c r="J1190" s="24" t="str">
        <x:v>1.60</x:v>
      </x:c>
      <x:c r="K1190" s="24" t="str">
        <x:v>Solitaire X-tra Clean</x:v>
      </x:c>
      <x:c r="L1190" s="40" t="n">
        <x:v>12118</x:v>
      </x:c>
      <x:c r="M1190" s="24" t="str">
        <x:v>-11 a +10</x:v>
      </x:c>
      <x:c r="N1190" s="24" t="str">
        <x:v>até -6</x:v>
      </x:c>
      <x:c r="O1190" s="24"/>
      <x:c r="P1190" s="24" t="str">
        <x:v>75/80</x:v>
      </x:c>
      <x:c r="Q1190" s="24"/>
      <x:c r="R1190" s="24"/>
      <x:c r="S1190" s="26" t="n">
        <x:v>46024</x:v>
      </x:c>
      <x:c r="T1190" s="26"/>
      <x:c r="U1190" s="24" t="str">
        <x:v>ATIVA/SEM FIM INFORMADO</x:v>
      </x:c>
      <x:c r="V1190" s="24"/>
      <x:c r="W1190" s="24" t="n">
        <x:v>11</x:v>
      </x:c>
      <x:c r="X1190" s="24" t="str">
        <x:v>tabela_rodenstock.pdf</x:v>
      </x:c>
      <x:c r="Y1190" s="24" t="str">
        <x:v>alta</x:v>
      </x:c>
      <x:c r="Z1190" s="24"/>
      <x:c r="AA1190" s="24" t="str">
        <x:v>Rodenstock|Progressiva B.I.G. NORM|Surfaçada|Impression B.I.G. NORM||1.6|1.60|Solitaire X-tra Clean|-11 a +10|até -6||75/80|||11</x:v>
      </x:c>
    </x:row>
    <x:row r="1191">
      <x:c r="A1191" s="24" t="str">
        <x:v>RD-DA57ABF14ABE</x:v>
      </x:c>
      <x:c r="B1191" s="24" t="str">
        <x:v>SIM</x:v>
      </x:c>
      <x:c r="C1191" s="24" t="str">
        <x:v>DISPONÍVEL</x:v>
      </x:c>
      <x:c r="D1191" s="24" t="str">
        <x:v>Rodenstock</x:v>
      </x:c>
      <x:c r="E1191" s="24" t="str">
        <x:v>Progressiva B.I.G. NORM</x:v>
      </x:c>
      <x:c r="F1191" s="24" t="str">
        <x:v>Surfaçada</x:v>
      </x:c>
      <x:c r="G1191" s="24" t="str">
        <x:v>Impression B.I.G. NORM</x:v>
      </x:c>
      <x:c r="H1191" s="24"/>
      <x:c r="I1191" s="24" t="str">
        <x:v>1.6</x:v>
      </x:c>
      <x:c r="J1191" s="24" t="str">
        <x:v>1.60</x:v>
      </x:c>
      <x:c r="K1191" s="24" t="str">
        <x:v>Solitaire Protect Plus</x:v>
      </x:c>
      <x:c r="L1191" s="40" t="n">
        <x:v>12068</x:v>
      </x:c>
      <x:c r="M1191" s="24" t="str">
        <x:v>-11 a +10</x:v>
      </x:c>
      <x:c r="N1191" s="24" t="str">
        <x:v>até -6</x:v>
      </x:c>
      <x:c r="O1191" s="24"/>
      <x:c r="P1191" s="24" t="str">
        <x:v>75/80</x:v>
      </x:c>
      <x:c r="Q1191" s="24"/>
      <x:c r="R1191" s="24"/>
      <x:c r="S1191" s="26" t="n">
        <x:v>46024</x:v>
      </x:c>
      <x:c r="T1191" s="26"/>
      <x:c r="U1191" s="24" t="str">
        <x:v>ATIVA/SEM FIM INFORMADO</x:v>
      </x:c>
      <x:c r="V1191" s="24"/>
      <x:c r="W1191" s="24" t="n">
        <x:v>11</x:v>
      </x:c>
      <x:c r="X1191" s="24" t="str">
        <x:v>tabela_rodenstock.pdf</x:v>
      </x:c>
      <x:c r="Y1191" s="24" t="str">
        <x:v>alta</x:v>
      </x:c>
      <x:c r="Z1191" s="24"/>
      <x:c r="AA1191" s="24" t="str">
        <x:v>Rodenstock|Progressiva B.I.G. NORM|Surfaçada|Impression B.I.G. NORM||1.6|1.60|Solitaire Protect Plus|-11 a +10|até -6||75/80|||11</x:v>
      </x:c>
    </x:row>
    <x:row r="1192">
      <x:c r="A1192" s="24" t="str">
        <x:v>RD-7F0FC28373C9</x:v>
      </x:c>
      <x:c r="B1192" s="24" t="str">
        <x:v>SIM</x:v>
      </x:c>
      <x:c r="C1192" s="24" t="str">
        <x:v>DISPONÍVEL</x:v>
      </x:c>
      <x:c r="D1192" s="24" t="str">
        <x:v>Rodenstock</x:v>
      </x:c>
      <x:c r="E1192" s="24" t="str">
        <x:v>Progressiva B.I.G. NORM</x:v>
      </x:c>
      <x:c r="F1192" s="24" t="str">
        <x:v>Surfaçada</x:v>
      </x:c>
      <x:c r="G1192" s="24" t="str">
        <x:v>Impression B.I.G. NORM</x:v>
      </x:c>
      <x:c r="H1192" s="24"/>
      <x:c r="I1192" s="24" t="str">
        <x:v>1.6</x:v>
      </x:c>
      <x:c r="J1192" s="24" t="str">
        <x:v>1.60</x:v>
      </x:c>
      <x:c r="K1192" s="24" t="str">
        <x:v>ROAD</x:v>
      </x:c>
      <x:c r="L1192" s="40" t="n">
        <x:v>12068</x:v>
      </x:c>
      <x:c r="M1192" s="24" t="str">
        <x:v>-11 a +10</x:v>
      </x:c>
      <x:c r="N1192" s="24" t="str">
        <x:v>até -6</x:v>
      </x:c>
      <x:c r="O1192" s="24"/>
      <x:c r="P1192" s="24" t="str">
        <x:v>75/80</x:v>
      </x:c>
      <x:c r="Q1192" s="24"/>
      <x:c r="R1192" s="24"/>
      <x:c r="S1192" s="26" t="n">
        <x:v>46024</x:v>
      </x:c>
      <x:c r="T1192" s="26"/>
      <x:c r="U1192" s="24" t="str">
        <x:v>ATIVA/SEM FIM INFORMADO</x:v>
      </x:c>
      <x:c r="V1192" s="24"/>
      <x:c r="W1192" s="24" t="n">
        <x:v>11</x:v>
      </x:c>
      <x:c r="X1192" s="24" t="str">
        <x:v>tabela_rodenstock.pdf</x:v>
      </x:c>
      <x:c r="Y1192" s="24" t="str">
        <x:v>alta</x:v>
      </x:c>
      <x:c r="Z1192" s="24"/>
      <x:c r="AA1192" s="24" t="str">
        <x:v>Rodenstock|Progressiva B.I.G. NORM|Surfaçada|Impression B.I.G. NORM||1.6|1.60|ROAD|-11 a +10|até -6||75/80|||11</x:v>
      </x:c>
    </x:row>
    <x:row r="1193">
      <x:c r="A1193" s="24" t="str">
        <x:v>RD-A13F65F09DF5</x:v>
      </x:c>
      <x:c r="B1193" s="24" t="str">
        <x:v>SIM</x:v>
      </x:c>
      <x:c r="C1193" s="24" t="str">
        <x:v>DISPONÍVEL</x:v>
      </x:c>
      <x:c r="D1193" s="24" t="str">
        <x:v>Rodenstock</x:v>
      </x:c>
      <x:c r="E1193" s="24" t="str">
        <x:v>Progressiva B.I.G. NORM</x:v>
      </x:c>
      <x:c r="F1193" s="24" t="str">
        <x:v>Surfaçada</x:v>
      </x:c>
      <x:c r="G1193" s="24" t="str">
        <x:v>Impression B.I.G. NORM</x:v>
      </x:c>
      <x:c r="H1193" s="24"/>
      <x:c r="I1193" s="24" t="str">
        <x:v>1.6</x:v>
      </x:c>
      <x:c r="J1193" s="24" t="str">
        <x:v>1.60</x:v>
      </x:c>
      <x:c r="K1193" s="24" t="str">
        <x:v>Solitaire Protect</x:v>
      </x:c>
      <x:c r="L1193" s="40" t="n">
        <x:v>11808</x:v>
      </x:c>
      <x:c r="M1193" s="24" t="str">
        <x:v>-11 a +10</x:v>
      </x:c>
      <x:c r="N1193" s="24" t="str">
        <x:v>até -6</x:v>
      </x:c>
      <x:c r="O1193" s="24"/>
      <x:c r="P1193" s="24" t="str">
        <x:v>75/80</x:v>
      </x:c>
      <x:c r="Q1193" s="24"/>
      <x:c r="R1193" s="24"/>
      <x:c r="S1193" s="26" t="n">
        <x:v>46024</x:v>
      </x:c>
      <x:c r="T1193" s="26"/>
      <x:c r="U1193" s="24" t="str">
        <x:v>ATIVA/SEM FIM INFORMADO</x:v>
      </x:c>
      <x:c r="V1193" s="24"/>
      <x:c r="W1193" s="24" t="n">
        <x:v>11</x:v>
      </x:c>
      <x:c r="X1193" s="24" t="str">
        <x:v>tabela_rodenstock.pdf</x:v>
      </x:c>
      <x:c r="Y1193" s="24" t="str">
        <x:v>alta</x:v>
      </x:c>
      <x:c r="Z1193" s="24"/>
      <x:c r="AA1193" s="24" t="str">
        <x:v>Rodenstock|Progressiva B.I.G. NORM|Surfaçada|Impression B.I.G. NORM||1.6|1.60|Solitaire Protect|-11 a +10|até -6||75/80|||11</x:v>
      </x:c>
    </x:row>
    <x:row r="1194">
      <x:c r="A1194" s="24" t="str">
        <x:v>RD-C1F8C72B4B3E</x:v>
      </x:c>
      <x:c r="B1194" s="24" t="str">
        <x:v>SIM</x:v>
      </x:c>
      <x:c r="C1194" s="24" t="str">
        <x:v>DISPONÍVEL</x:v>
      </x:c>
      <x:c r="D1194" s="24" t="str">
        <x:v>Rodenstock</x:v>
      </x:c>
      <x:c r="E1194" s="24" t="str">
        <x:v>Progressiva B.I.G. NORM</x:v>
      </x:c>
      <x:c r="F1194" s="24" t="str">
        <x:v>Surfaçada</x:v>
      </x:c>
      <x:c r="G1194" s="24" t="str">
        <x:v>Impression B.I.G. NORM</x:v>
      </x:c>
      <x:c r="H1194" s="24" t="str">
        <x:v>PRO410</x:v>
      </x:c>
      <x:c r="I1194" s="24" t="str">
        <x:v>1.6</x:v>
      </x:c>
      <x:c r="J1194" s="24" t="str">
        <x:v>1.60</x:v>
      </x:c>
      <x:c r="K1194" s="24" t="str">
        <x:v>LayR X-tra Clean</x:v>
      </x:c>
      <x:c r="L1194" s="40" t="n">
        <x:v>12730</x:v>
      </x:c>
      <x:c r="M1194" s="24" t="str">
        <x:v>-11 a +10</x:v>
      </x:c>
      <x:c r="N1194" s="24" t="str">
        <x:v>até -6</x:v>
      </x:c>
      <x:c r="O1194" s="24"/>
      <x:c r="P1194" s="24" t="str">
        <x:v>75/80</x:v>
      </x:c>
      <x:c r="Q1194" s="24"/>
      <x:c r="R1194" s="24"/>
      <x:c r="S1194" s="26" t="n">
        <x:v>46024</x:v>
      </x:c>
      <x:c r="T1194" s="26"/>
      <x:c r="U1194" s="24" t="str">
        <x:v>ATIVA/SEM FIM INFORMADO</x:v>
      </x:c>
      <x:c r="V1194" s="24"/>
      <x:c r="W1194" s="24" t="n">
        <x:v>11</x:v>
      </x:c>
      <x:c r="X1194" s="24" t="str">
        <x:v>tabela_rodenstock.pdf</x:v>
      </x:c>
      <x:c r="Y1194" s="24" t="str">
        <x:v>alta</x:v>
      </x:c>
      <x:c r="Z1194" s="24"/>
      <x:c r="AA1194" s="24" t="str">
        <x:v>Rodenstock|Progressiva B.I.G. NORM|Surfaçada|Impression B.I.G. NORM|PRO410|1.6|1.60|LayR X-tra Clean|-11 a +10|até -6||75/80|||11</x:v>
      </x:c>
    </x:row>
    <x:row r="1195">
      <x:c r="A1195" s="24" t="str">
        <x:v>RD-0F546A90B8FC</x:v>
      </x:c>
      <x:c r="B1195" s="24" t="str">
        <x:v>SIM</x:v>
      </x:c>
      <x:c r="C1195" s="24" t="str">
        <x:v>DISPONÍVEL</x:v>
      </x:c>
      <x:c r="D1195" s="24" t="str">
        <x:v>Rodenstock</x:v>
      </x:c>
      <x:c r="E1195" s="24" t="str">
        <x:v>Progressiva B.I.G. NORM</x:v>
      </x:c>
      <x:c r="F1195" s="24" t="str">
        <x:v>Surfaçada</x:v>
      </x:c>
      <x:c r="G1195" s="24" t="str">
        <x:v>Impression B.I.G. NORM</x:v>
      </x:c>
      <x:c r="H1195" s="24" t="str">
        <x:v>PRO410</x:v>
      </x:c>
      <x:c r="I1195" s="24" t="str">
        <x:v>1.6</x:v>
      </x:c>
      <x:c r="J1195" s="24" t="str">
        <x:v>1.60</x:v>
      </x:c>
      <x:c r="K1195" s="24" t="str">
        <x:v>LayR Balance</x:v>
      </x:c>
      <x:c r="L1195" s="40" t="n">
        <x:v>12730</x:v>
      </x:c>
      <x:c r="M1195" s="24" t="str">
        <x:v>-11 a +10</x:v>
      </x:c>
      <x:c r="N1195" s="24" t="str">
        <x:v>até -6</x:v>
      </x:c>
      <x:c r="O1195" s="24"/>
      <x:c r="P1195" s="24" t="str">
        <x:v>75/80</x:v>
      </x:c>
      <x:c r="Q1195" s="24"/>
      <x:c r="R1195" s="24"/>
      <x:c r="S1195" s="26" t="n">
        <x:v>46024</x:v>
      </x:c>
      <x:c r="T1195" s="26"/>
      <x:c r="U1195" s="24" t="str">
        <x:v>ATIVA/SEM FIM INFORMADO</x:v>
      </x:c>
      <x:c r="V1195" s="24"/>
      <x:c r="W1195" s="24" t="n">
        <x:v>11</x:v>
      </x:c>
      <x:c r="X1195" s="24" t="str">
        <x:v>tabela_rodenstock.pdf</x:v>
      </x:c>
      <x:c r="Y1195" s="24" t="str">
        <x:v>alta</x:v>
      </x:c>
      <x:c r="Z1195" s="24"/>
      <x:c r="AA1195" s="24" t="str">
        <x:v>Rodenstock|Progressiva B.I.G. NORM|Surfaçada|Impression B.I.G. NORM|PRO410|1.6|1.60|LayR Balance|-11 a +10|até -6||75/80|||11</x:v>
      </x:c>
    </x:row>
    <x:row r="1196">
      <x:c r="A1196" s="24" t="str">
        <x:v>RD-6D702B569583</x:v>
      </x:c>
      <x:c r="B1196" s="24" t="str">
        <x:v>SIM</x:v>
      </x:c>
      <x:c r="C1196" s="24" t="str">
        <x:v>DISPONÍVEL</x:v>
      </x:c>
      <x:c r="D1196" s="24" t="str">
        <x:v>Rodenstock</x:v>
      </x:c>
      <x:c r="E1196" s="24" t="str">
        <x:v>Progressiva B.I.G. NORM</x:v>
      </x:c>
      <x:c r="F1196" s="24" t="str">
        <x:v>Surfaçada</x:v>
      </x:c>
      <x:c r="G1196" s="24" t="str">
        <x:v>Impression B.I.G. NORM</x:v>
      </x:c>
      <x:c r="H1196" s="24" t="str">
        <x:v>PRO410</x:v>
      </x:c>
      <x:c r="I1196" s="24" t="str">
        <x:v>1.6</x:v>
      </x:c>
      <x:c r="J1196" s="24" t="str">
        <x:v>1.60</x:v>
      </x:c>
      <x:c r="K1196" s="24" t="str">
        <x:v>Solitaire X-tra Clean</x:v>
      </x:c>
      <x:c r="L1196" s="40" t="n">
        <x:v>12660</x:v>
      </x:c>
      <x:c r="M1196" s="24" t="str">
        <x:v>-11 a +10</x:v>
      </x:c>
      <x:c r="N1196" s="24" t="str">
        <x:v>até -6</x:v>
      </x:c>
      <x:c r="O1196" s="24"/>
      <x:c r="P1196" s="24" t="str">
        <x:v>75/80</x:v>
      </x:c>
      <x:c r="Q1196" s="24"/>
      <x:c r="R1196" s="24"/>
      <x:c r="S1196" s="26" t="n">
        <x:v>46024</x:v>
      </x:c>
      <x:c r="T1196" s="26"/>
      <x:c r="U1196" s="24" t="str">
        <x:v>ATIVA/SEM FIM INFORMADO</x:v>
      </x:c>
      <x:c r="V1196" s="24"/>
      <x:c r="W1196" s="24" t="n">
        <x:v>11</x:v>
      </x:c>
      <x:c r="X1196" s="24" t="str">
        <x:v>tabela_rodenstock.pdf</x:v>
      </x:c>
      <x:c r="Y1196" s="24" t="str">
        <x:v>alta</x:v>
      </x:c>
      <x:c r="Z1196" s="24"/>
      <x:c r="AA1196" s="24" t="str">
        <x:v>Rodenstock|Progressiva B.I.G. NORM|Surfaçada|Impression B.I.G. NORM|PRO410|1.6|1.60|Solitaire X-tra Clean|-11 a +10|até -6||75/80|||11</x:v>
      </x:c>
    </x:row>
    <x:row r="1197">
      <x:c r="A1197" s="24" t="str">
        <x:v>RD-5EE7538B1FBA</x:v>
      </x:c>
      <x:c r="B1197" s="24" t="str">
        <x:v>SIM</x:v>
      </x:c>
      <x:c r="C1197" s="24" t="str">
        <x:v>DISPONÍVEL</x:v>
      </x:c>
      <x:c r="D1197" s="24" t="str">
        <x:v>Rodenstock</x:v>
      </x:c>
      <x:c r="E1197" s="24" t="str">
        <x:v>Progressiva B.I.G. NORM</x:v>
      </x:c>
      <x:c r="F1197" s="24" t="str">
        <x:v>Surfaçada</x:v>
      </x:c>
      <x:c r="G1197" s="24" t="str">
        <x:v>Impression B.I.G. NORM</x:v>
      </x:c>
      <x:c r="H1197" s="24" t="str">
        <x:v>PRO410</x:v>
      </x:c>
      <x:c r="I1197" s="24" t="str">
        <x:v>1.6</x:v>
      </x:c>
      <x:c r="J1197" s="24" t="str">
        <x:v>1.60</x:v>
      </x:c>
      <x:c r="K1197" s="24" t="str">
        <x:v>Solitaire Protect Plus</x:v>
      </x:c>
      <x:c r="L1197" s="40" t="n">
        <x:v>12610</x:v>
      </x:c>
      <x:c r="M1197" s="24" t="str">
        <x:v>-11 a +10</x:v>
      </x:c>
      <x:c r="N1197" s="24" t="str">
        <x:v>até -6</x:v>
      </x:c>
      <x:c r="O1197" s="24"/>
      <x:c r="P1197" s="24" t="str">
        <x:v>75/80</x:v>
      </x:c>
      <x:c r="Q1197" s="24"/>
      <x:c r="R1197" s="24"/>
      <x:c r="S1197" s="26" t="n">
        <x:v>46024</x:v>
      </x:c>
      <x:c r="T1197" s="26"/>
      <x:c r="U1197" s="24" t="str">
        <x:v>ATIVA/SEM FIM INFORMADO</x:v>
      </x:c>
      <x:c r="V1197" s="24"/>
      <x:c r="W1197" s="24" t="n">
        <x:v>11</x:v>
      </x:c>
      <x:c r="X1197" s="24" t="str">
        <x:v>tabela_rodenstock.pdf</x:v>
      </x:c>
      <x:c r="Y1197" s="24" t="str">
        <x:v>alta</x:v>
      </x:c>
      <x:c r="Z1197" s="24"/>
      <x:c r="AA1197" s="24" t="str">
        <x:v>Rodenstock|Progressiva B.I.G. NORM|Surfaçada|Impression B.I.G. NORM|PRO410|1.6|1.60|Solitaire Protect Plus|-11 a +10|até -6||75/80|||11</x:v>
      </x:c>
    </x:row>
    <x:row r="1198">
      <x:c r="A1198" s="24" t="str">
        <x:v>RD-1205B1470CCF</x:v>
      </x:c>
      <x:c r="B1198" s="24" t="str">
        <x:v>SIM</x:v>
      </x:c>
      <x:c r="C1198" s="24" t="str">
        <x:v>DISPONÍVEL</x:v>
      </x:c>
      <x:c r="D1198" s="24" t="str">
        <x:v>Rodenstock</x:v>
      </x:c>
      <x:c r="E1198" s="24" t="str">
        <x:v>Progressiva B.I.G. NORM</x:v>
      </x:c>
      <x:c r="F1198" s="24" t="str">
        <x:v>Surfaçada</x:v>
      </x:c>
      <x:c r="G1198" s="24" t="str">
        <x:v>Impression B.I.G. NORM</x:v>
      </x:c>
      <x:c r="H1198" s="24" t="str">
        <x:v>PRO410</x:v>
      </x:c>
      <x:c r="I1198" s="24" t="str">
        <x:v>1.6</x:v>
      </x:c>
      <x:c r="J1198" s="24" t="str">
        <x:v>1.60</x:v>
      </x:c>
      <x:c r="K1198" s="24" t="str">
        <x:v>ROAD</x:v>
      </x:c>
      <x:c r="L1198" s="40" t="n">
        <x:v>12610</x:v>
      </x:c>
      <x:c r="M1198" s="24" t="str">
        <x:v>-11 a +10</x:v>
      </x:c>
      <x:c r="N1198" s="24" t="str">
        <x:v>até -6</x:v>
      </x:c>
      <x:c r="O1198" s="24"/>
      <x:c r="P1198" s="24" t="str">
        <x:v>75/80</x:v>
      </x:c>
      <x:c r="Q1198" s="24"/>
      <x:c r="R1198" s="24"/>
      <x:c r="S1198" s="26" t="n">
        <x:v>46024</x:v>
      </x:c>
      <x:c r="T1198" s="26"/>
      <x:c r="U1198" s="24" t="str">
        <x:v>ATIVA/SEM FIM INFORMADO</x:v>
      </x:c>
      <x:c r="V1198" s="24"/>
      <x:c r="W1198" s="24" t="n">
        <x:v>11</x:v>
      </x:c>
      <x:c r="X1198" s="24" t="str">
        <x:v>tabela_rodenstock.pdf</x:v>
      </x:c>
      <x:c r="Y1198" s="24" t="str">
        <x:v>alta</x:v>
      </x:c>
      <x:c r="Z1198" s="24"/>
      <x:c r="AA1198" s="24" t="str">
        <x:v>Rodenstock|Progressiva B.I.G. NORM|Surfaçada|Impression B.I.G. NORM|PRO410|1.6|1.60|ROAD|-11 a +10|até -6||75/80|||11</x:v>
      </x:c>
    </x:row>
    <x:row r="1199">
      <x:c r="A1199" s="24" t="str">
        <x:v>RD-11A5A4DD23E8</x:v>
      </x:c>
      <x:c r="B1199" s="24" t="str">
        <x:v>SIM</x:v>
      </x:c>
      <x:c r="C1199" s="24" t="str">
        <x:v>DISPONÍVEL</x:v>
      </x:c>
      <x:c r="D1199" s="24" t="str">
        <x:v>Rodenstock</x:v>
      </x:c>
      <x:c r="E1199" s="24" t="str">
        <x:v>Progressiva B.I.G. NORM</x:v>
      </x:c>
      <x:c r="F1199" s="24" t="str">
        <x:v>Surfaçada</x:v>
      </x:c>
      <x:c r="G1199" s="24" t="str">
        <x:v>Impression B.I.G. NORM</x:v>
      </x:c>
      <x:c r="H1199" s="24" t="str">
        <x:v>PRO410</x:v>
      </x:c>
      <x:c r="I1199" s="24" t="str">
        <x:v>1.6</x:v>
      </x:c>
      <x:c r="J1199" s="24" t="str">
        <x:v>1.60</x:v>
      </x:c>
      <x:c r="K1199" s="24" t="str">
        <x:v>Solitaire Protect</x:v>
      </x:c>
      <x:c r="L1199" s="40" t="n">
        <x:v>12350</x:v>
      </x:c>
      <x:c r="M1199" s="24" t="str">
        <x:v>-11 a +10</x:v>
      </x:c>
      <x:c r="N1199" s="24" t="str">
        <x:v>até -6</x:v>
      </x:c>
      <x:c r="O1199" s="24"/>
      <x:c r="P1199" s="24" t="str">
        <x:v>75/80</x:v>
      </x:c>
      <x:c r="Q1199" s="24"/>
      <x:c r="R1199" s="24"/>
      <x:c r="S1199" s="26" t="n">
        <x:v>46024</x:v>
      </x:c>
      <x:c r="T1199" s="26"/>
      <x:c r="U1199" s="24" t="str">
        <x:v>ATIVA/SEM FIM INFORMADO</x:v>
      </x:c>
      <x:c r="V1199" s="24"/>
      <x:c r="W1199" s="24" t="n">
        <x:v>11</x:v>
      </x:c>
      <x:c r="X1199" s="24" t="str">
        <x:v>tabela_rodenstock.pdf</x:v>
      </x:c>
      <x:c r="Y1199" s="24" t="str">
        <x:v>alta</x:v>
      </x:c>
      <x:c r="Z1199" s="24"/>
      <x:c r="AA1199" s="24" t="str">
        <x:v>Rodenstock|Progressiva B.I.G. NORM|Surfaçada|Impression B.I.G. NORM|PRO410|1.6|1.60|Solitaire Protect|-11 a +10|até -6||75/80|||11</x:v>
      </x:c>
    </x:row>
    <x:row r="1200">
      <x:c r="A1200" s="24" t="str">
        <x:v>RD-D67E65B361F8</x:v>
      </x:c>
      <x:c r="B1200" s="24" t="str">
        <x:v>SIM</x:v>
      </x:c>
      <x:c r="C1200" s="24" t="str">
        <x:v>DISPONÍVEL</x:v>
      </x:c>
      <x:c r="D1200" s="24" t="str">
        <x:v>Rodenstock</x:v>
      </x:c>
      <x:c r="E1200" s="24" t="str">
        <x:v>Progressiva B.I.G. NORM</x:v>
      </x:c>
      <x:c r="F1200" s="24" t="str">
        <x:v>Surfaçada</x:v>
      </x:c>
      <x:c r="G1200" s="24" t="str">
        <x:v>Impression B.I.G. NORM</x:v>
      </x:c>
      <x:c r="H1200" s="24" t="str">
        <x:v>ColorMatic® 3 | X</x:v>
      </x:c>
      <x:c r="I1200" s="24" t="str">
        <x:v>1.6</x:v>
      </x:c>
      <x:c r="J1200" s="24" t="str">
        <x:v>1.60</x:v>
      </x:c>
      <x:c r="K1200" s="24" t="str">
        <x:v>LayR X-tra Clean</x:v>
      </x:c>
      <x:c r="L1200" s="40" t="n">
        <x:v>13328</x:v>
      </x:c>
      <x:c r="M1200" s="24" t="str">
        <x:v>-11 a +10</x:v>
      </x:c>
      <x:c r="N1200" s="24" t="str">
        <x:v>até -6</x:v>
      </x:c>
      <x:c r="O1200" s="24"/>
      <x:c r="P1200" s="24" t="str">
        <x:v>75/80</x:v>
      </x:c>
      <x:c r="Q1200" s="24"/>
      <x:c r="R1200" s="24"/>
      <x:c r="S1200" s="26" t="n">
        <x:v>46024</x:v>
      </x:c>
      <x:c r="T1200" s="26"/>
      <x:c r="U1200" s="24" t="str">
        <x:v>ATIVA/SEM FIM INFORMADO</x:v>
      </x:c>
      <x:c r="V1200" s="24"/>
      <x:c r="W1200" s="24" t="n">
        <x:v>11</x:v>
      </x:c>
      <x:c r="X1200" s="24" t="str">
        <x:v>tabela_rodenstock.pdf</x:v>
      </x:c>
      <x:c r="Y1200" s="24" t="str">
        <x:v>alta</x:v>
      </x:c>
      <x:c r="Z1200" s="24"/>
      <x:c r="AA1200" s="24" t="str">
        <x:v>Rodenstock|Progressiva B.I.G. NORM|Surfaçada|Impression B.I.G. NORM|ColorMatic® 3 | X|1.6|1.60|LayR X-tra Clean|-11 a +10|até -6||75/80|||11</x:v>
      </x:c>
    </x:row>
    <x:row r="1201">
      <x:c r="A1201" s="24" t="str">
        <x:v>RD-9CC8D1ED638E</x:v>
      </x:c>
      <x:c r="B1201" s="24" t="str">
        <x:v>SIM</x:v>
      </x:c>
      <x:c r="C1201" s="24" t="str">
        <x:v>DISPONÍVEL</x:v>
      </x:c>
      <x:c r="D1201" s="24" t="str">
        <x:v>Rodenstock</x:v>
      </x:c>
      <x:c r="E1201" s="24" t="str">
        <x:v>Progressiva B.I.G. NORM</x:v>
      </x:c>
      <x:c r="F1201" s="24" t="str">
        <x:v>Surfaçada</x:v>
      </x:c>
      <x:c r="G1201" s="24" t="str">
        <x:v>Impression B.I.G. NORM</x:v>
      </x:c>
      <x:c r="H1201" s="24" t="str">
        <x:v>ColorMatic® 3 | X</x:v>
      </x:c>
      <x:c r="I1201" s="24" t="str">
        <x:v>1.6</x:v>
      </x:c>
      <x:c r="J1201" s="24" t="str">
        <x:v>1.60</x:v>
      </x:c>
      <x:c r="K1201" s="24" t="str">
        <x:v>LayR Balance</x:v>
      </x:c>
      <x:c r="L1201" s="40" t="n">
        <x:v>13328</x:v>
      </x:c>
      <x:c r="M1201" s="24" t="str">
        <x:v>-11 a +10</x:v>
      </x:c>
      <x:c r="N1201" s="24" t="str">
        <x:v>até -6</x:v>
      </x:c>
      <x:c r="O1201" s="24"/>
      <x:c r="P1201" s="24" t="str">
        <x:v>75/80</x:v>
      </x:c>
      <x:c r="Q1201" s="24"/>
      <x:c r="R1201" s="24"/>
      <x:c r="S1201" s="26" t="n">
        <x:v>46024</x:v>
      </x:c>
      <x:c r="T1201" s="26"/>
      <x:c r="U1201" s="24" t="str">
        <x:v>ATIVA/SEM FIM INFORMADO</x:v>
      </x:c>
      <x:c r="V1201" s="24"/>
      <x:c r="W1201" s="24" t="n">
        <x:v>11</x:v>
      </x:c>
      <x:c r="X1201" s="24" t="str">
        <x:v>tabela_rodenstock.pdf</x:v>
      </x:c>
      <x:c r="Y1201" s="24" t="str">
        <x:v>alta</x:v>
      </x:c>
      <x:c r="Z1201" s="24"/>
      <x:c r="AA1201" s="24" t="str">
        <x:v>Rodenstock|Progressiva B.I.G. NORM|Surfaçada|Impression B.I.G. NORM|ColorMatic® 3 | X|1.6|1.60|LayR Balance|-11 a +10|até -6||75/80|||11</x:v>
      </x:c>
    </x:row>
    <x:row r="1202">
      <x:c r="A1202" s="24" t="str">
        <x:v>RD-D6967C7755F5</x:v>
      </x:c>
      <x:c r="B1202" s="24" t="str">
        <x:v>SIM</x:v>
      </x:c>
      <x:c r="C1202" s="24" t="str">
        <x:v>DISPONÍVEL</x:v>
      </x:c>
      <x:c r="D1202" s="24" t="str">
        <x:v>Rodenstock</x:v>
      </x:c>
      <x:c r="E1202" s="24" t="str">
        <x:v>Progressiva B.I.G. NORM</x:v>
      </x:c>
      <x:c r="F1202" s="24" t="str">
        <x:v>Surfaçada</x:v>
      </x:c>
      <x:c r="G1202" s="24" t="str">
        <x:v>Impression B.I.G. NORM</x:v>
      </x:c>
      <x:c r="H1202" s="24" t="str">
        <x:v>ColorMatic® 3 | X</x:v>
      </x:c>
      <x:c r="I1202" s="24" t="str">
        <x:v>1.6</x:v>
      </x:c>
      <x:c r="J1202" s="24" t="str">
        <x:v>1.60</x:v>
      </x:c>
      <x:c r="K1202" s="24" t="str">
        <x:v>Solitaire X-tra Clean</x:v>
      </x:c>
      <x:c r="L1202" s="40" t="n">
        <x:v>13258</x:v>
      </x:c>
      <x:c r="M1202" s="24" t="str">
        <x:v>-11 a +10</x:v>
      </x:c>
      <x:c r="N1202" s="24" t="str">
        <x:v>até -6</x:v>
      </x:c>
      <x:c r="O1202" s="24"/>
      <x:c r="P1202" s="24" t="str">
        <x:v>75/80</x:v>
      </x:c>
      <x:c r="Q1202" s="24"/>
      <x:c r="R1202" s="24"/>
      <x:c r="S1202" s="26" t="n">
        <x:v>46024</x:v>
      </x:c>
      <x:c r="T1202" s="26"/>
      <x:c r="U1202" s="24" t="str">
        <x:v>ATIVA/SEM FIM INFORMADO</x:v>
      </x:c>
      <x:c r="V1202" s="24"/>
      <x:c r="W1202" s="24" t="n">
        <x:v>11</x:v>
      </x:c>
      <x:c r="X1202" s="24" t="str">
        <x:v>tabela_rodenstock.pdf</x:v>
      </x:c>
      <x:c r="Y1202" s="24" t="str">
        <x:v>alta</x:v>
      </x:c>
      <x:c r="Z1202" s="24"/>
      <x:c r="AA1202" s="24" t="str">
        <x:v>Rodenstock|Progressiva B.I.G. NORM|Surfaçada|Impression B.I.G. NORM|ColorMatic® 3 | X|1.6|1.60|Solitaire X-tra Clean|-11 a +10|até -6||75/80|||11</x:v>
      </x:c>
    </x:row>
    <x:row r="1203">
      <x:c r="A1203" s="24" t="str">
        <x:v>RD-19002123278D</x:v>
      </x:c>
      <x:c r="B1203" s="24" t="str">
        <x:v>SIM</x:v>
      </x:c>
      <x:c r="C1203" s="24" t="str">
        <x:v>DISPONÍVEL</x:v>
      </x:c>
      <x:c r="D1203" s="24" t="str">
        <x:v>Rodenstock</x:v>
      </x:c>
      <x:c r="E1203" s="24" t="str">
        <x:v>Progressiva B.I.G. NORM</x:v>
      </x:c>
      <x:c r="F1203" s="24" t="str">
        <x:v>Surfaçada</x:v>
      </x:c>
      <x:c r="G1203" s="24" t="str">
        <x:v>Impression B.I.G. NORM</x:v>
      </x:c>
      <x:c r="H1203" s="24" t="str">
        <x:v>ColorMatic® 3 | X</x:v>
      </x:c>
      <x:c r="I1203" s="24" t="str">
        <x:v>1.6</x:v>
      </x:c>
      <x:c r="J1203" s="24" t="str">
        <x:v>1.60</x:v>
      </x:c>
      <x:c r="K1203" s="24" t="str">
        <x:v>Solitaire Protect Plus</x:v>
      </x:c>
      <x:c r="L1203" s="40" t="n">
        <x:v>13208</x:v>
      </x:c>
      <x:c r="M1203" s="24" t="str">
        <x:v>-11 a +10</x:v>
      </x:c>
      <x:c r="N1203" s="24" t="str">
        <x:v>até -6</x:v>
      </x:c>
      <x:c r="O1203" s="24"/>
      <x:c r="P1203" s="24" t="str">
        <x:v>75/80</x:v>
      </x:c>
      <x:c r="Q1203" s="24"/>
      <x:c r="R1203" s="24"/>
      <x:c r="S1203" s="26" t="n">
        <x:v>46024</x:v>
      </x:c>
      <x:c r="T1203" s="26"/>
      <x:c r="U1203" s="24" t="str">
        <x:v>ATIVA/SEM FIM INFORMADO</x:v>
      </x:c>
      <x:c r="V1203" s="24"/>
      <x:c r="W1203" s="24" t="n">
        <x:v>11</x:v>
      </x:c>
      <x:c r="X1203" s="24" t="str">
        <x:v>tabela_rodenstock.pdf</x:v>
      </x:c>
      <x:c r="Y1203" s="24" t="str">
        <x:v>alta</x:v>
      </x:c>
      <x:c r="Z1203" s="24"/>
      <x:c r="AA1203" s="24" t="str">
        <x:v>Rodenstock|Progressiva B.I.G. NORM|Surfaçada|Impression B.I.G. NORM|ColorMatic® 3 | X|1.6|1.60|Solitaire Protect Plus|-11 a +10|até -6||75/80|||11</x:v>
      </x:c>
    </x:row>
    <x:row r="1204">
      <x:c r="A1204" s="24" t="str">
        <x:v>RD-39F472A7EFFD</x:v>
      </x:c>
      <x:c r="B1204" s="24" t="str">
        <x:v>SIM</x:v>
      </x:c>
      <x:c r="C1204" s="24" t="str">
        <x:v>DISPONÍVEL</x:v>
      </x:c>
      <x:c r="D1204" s="24" t="str">
        <x:v>Rodenstock</x:v>
      </x:c>
      <x:c r="E1204" s="24" t="str">
        <x:v>Progressiva B.I.G. NORM</x:v>
      </x:c>
      <x:c r="F1204" s="24" t="str">
        <x:v>Surfaçada</x:v>
      </x:c>
      <x:c r="G1204" s="24" t="str">
        <x:v>Impression B.I.G. NORM</x:v>
      </x:c>
      <x:c r="H1204" s="24" t="str">
        <x:v>ColorMatic® 3 | X</x:v>
      </x:c>
      <x:c r="I1204" s="24" t="str">
        <x:v>1.6</x:v>
      </x:c>
      <x:c r="J1204" s="24" t="str">
        <x:v>1.60</x:v>
      </x:c>
      <x:c r="K1204" s="24" t="str">
        <x:v>ROAD</x:v>
      </x:c>
      <x:c r="L1204" s="40" t="n">
        <x:v>13208</x:v>
      </x:c>
      <x:c r="M1204" s="24" t="str">
        <x:v>-11 a +10</x:v>
      </x:c>
      <x:c r="N1204" s="24" t="str">
        <x:v>até -6</x:v>
      </x:c>
      <x:c r="O1204" s="24"/>
      <x:c r="P1204" s="24" t="str">
        <x:v>75/80</x:v>
      </x:c>
      <x:c r="Q1204" s="24"/>
      <x:c r="R1204" s="24"/>
      <x:c r="S1204" s="26" t="n">
        <x:v>46024</x:v>
      </x:c>
      <x:c r="T1204" s="26"/>
      <x:c r="U1204" s="24" t="str">
        <x:v>ATIVA/SEM FIM INFORMADO</x:v>
      </x:c>
      <x:c r="V1204" s="24"/>
      <x:c r="W1204" s="24" t="n">
        <x:v>11</x:v>
      </x:c>
      <x:c r="X1204" s="24" t="str">
        <x:v>tabela_rodenstock.pdf</x:v>
      </x:c>
      <x:c r="Y1204" s="24" t="str">
        <x:v>alta</x:v>
      </x:c>
      <x:c r="Z1204" s="24"/>
      <x:c r="AA1204" s="24" t="str">
        <x:v>Rodenstock|Progressiva B.I.G. NORM|Surfaçada|Impression B.I.G. NORM|ColorMatic® 3 | X|1.6|1.60|ROAD|-11 a +10|até -6||75/80|||11</x:v>
      </x:c>
    </x:row>
    <x:row r="1205">
      <x:c r="A1205" s="24" t="str">
        <x:v>RD-FE28361AC465</x:v>
      </x:c>
      <x:c r="B1205" s="24" t="str">
        <x:v>SIM</x:v>
      </x:c>
      <x:c r="C1205" s="24" t="str">
        <x:v>DISPONÍVEL</x:v>
      </x:c>
      <x:c r="D1205" s="24" t="str">
        <x:v>Rodenstock</x:v>
      </x:c>
      <x:c r="E1205" s="24" t="str">
        <x:v>Progressiva B.I.G. NORM</x:v>
      </x:c>
      <x:c r="F1205" s="24" t="str">
        <x:v>Surfaçada</x:v>
      </x:c>
      <x:c r="G1205" s="24" t="str">
        <x:v>Impression B.I.G. NORM</x:v>
      </x:c>
      <x:c r="H1205" s="24" t="str">
        <x:v>ColorMatic® 3 | X</x:v>
      </x:c>
      <x:c r="I1205" s="24" t="str">
        <x:v>1.6</x:v>
      </x:c>
      <x:c r="J1205" s="24" t="str">
        <x:v>1.60</x:v>
      </x:c>
      <x:c r="K1205" s="24" t="str">
        <x:v>Solitaire Protect</x:v>
      </x:c>
      <x:c r="L1205" s="40" t="n">
        <x:v>12948</x:v>
      </x:c>
      <x:c r="M1205" s="24" t="str">
        <x:v>-11 a +10</x:v>
      </x:c>
      <x:c r="N1205" s="24" t="str">
        <x:v>até -6</x:v>
      </x:c>
      <x:c r="O1205" s="24"/>
      <x:c r="P1205" s="24" t="str">
        <x:v>75/80</x:v>
      </x:c>
      <x:c r="Q1205" s="24"/>
      <x:c r="R1205" s="24"/>
      <x:c r="S1205" s="26" t="n">
        <x:v>46024</x:v>
      </x:c>
      <x:c r="T1205" s="26"/>
      <x:c r="U1205" s="24" t="str">
        <x:v>ATIVA/SEM FIM INFORMADO</x:v>
      </x:c>
      <x:c r="V1205" s="24"/>
      <x:c r="W1205" s="24" t="n">
        <x:v>11</x:v>
      </x:c>
      <x:c r="X1205" s="24" t="str">
        <x:v>tabela_rodenstock.pdf</x:v>
      </x:c>
      <x:c r="Y1205" s="24" t="str">
        <x:v>alta</x:v>
      </x:c>
      <x:c r="Z1205" s="24"/>
      <x:c r="AA1205" s="24" t="str">
        <x:v>Rodenstock|Progressiva B.I.G. NORM|Surfaçada|Impression B.I.G. NORM|ColorMatic® 3 | X|1.6|1.60|Solitaire Protect|-11 a +10|até -6||75/80|||11</x:v>
      </x:c>
    </x:row>
    <x:row r="1206">
      <x:c r="A1206" s="24" t="str">
        <x:v>RD-0EE0BDECBA1A</x:v>
      </x:c>
      <x:c r="B1206" s="24" t="str">
        <x:v>SIM</x:v>
      </x:c>
      <x:c r="C1206" s="24" t="str">
        <x:v>DISPONÍVEL</x:v>
      </x:c>
      <x:c r="D1206" s="24" t="str">
        <x:v>Rodenstock</x:v>
      </x:c>
      <x:c r="E1206" s="24" t="str">
        <x:v>Progressiva B.I.G. NORM</x:v>
      </x:c>
      <x:c r="F1206" s="24" t="str">
        <x:v>Surfaçada</x:v>
      </x:c>
      <x:c r="G1206" s="24" t="str">
        <x:v>Impression B.I.G. NORM</x:v>
      </x:c>
      <x:c r="H1206" s="24"/>
      <x:c r="I1206" s="24" t="str">
        <x:v>1.67</x:v>
      </x:c>
      <x:c r="J1206" s="24" t="str">
        <x:v>1.67</x:v>
      </x:c>
      <x:c r="K1206" s="24" t="str">
        <x:v>LayR X-tra Clean</x:v>
      </x:c>
      <x:c r="L1206" s="40" t="n">
        <x:v>14165</x:v>
      </x:c>
      <x:c r="M1206" s="24" t="str">
        <x:v>-12 a +10</x:v>
      </x:c>
      <x:c r="N1206" s="24" t="str">
        <x:v>até -6</x:v>
      </x:c>
      <x:c r="O1206" s="24"/>
      <x:c r="P1206" s="24" t="str">
        <x:v>75/80</x:v>
      </x:c>
      <x:c r="Q1206" s="24"/>
      <x:c r="R1206" s="24"/>
      <x:c r="S1206" s="26" t="n">
        <x:v>46024</x:v>
      </x:c>
      <x:c r="T1206" s="26"/>
      <x:c r="U1206" s="24" t="str">
        <x:v>ATIVA/SEM FIM INFORMADO</x:v>
      </x:c>
      <x:c r="V1206" s="24"/>
      <x:c r="W1206" s="24" t="n">
        <x:v>11</x:v>
      </x:c>
      <x:c r="X1206" s="24" t="str">
        <x:v>tabela_rodenstock.pdf</x:v>
      </x:c>
      <x:c r="Y1206" s="24" t="str">
        <x:v>alta</x:v>
      </x:c>
      <x:c r="Z1206" s="24"/>
      <x:c r="AA1206" s="24" t="str">
        <x:v>Rodenstock|Progressiva B.I.G. NORM|Surfaçada|Impression B.I.G. NORM||1.67|1.67|LayR X-tra Clean|-12 a +10|até -6||75/80|||11</x:v>
      </x:c>
    </x:row>
    <x:row r="1207">
      <x:c r="A1207" s="24" t="str">
        <x:v>RD-C2A3E495D20A</x:v>
      </x:c>
      <x:c r="B1207" s="24" t="str">
        <x:v>SIM</x:v>
      </x:c>
      <x:c r="C1207" s="24" t="str">
        <x:v>DISPONÍVEL</x:v>
      </x:c>
      <x:c r="D1207" s="24" t="str">
        <x:v>Rodenstock</x:v>
      </x:c>
      <x:c r="E1207" s="24" t="str">
        <x:v>Progressiva B.I.G. NORM</x:v>
      </x:c>
      <x:c r="F1207" s="24" t="str">
        <x:v>Surfaçada</x:v>
      </x:c>
      <x:c r="G1207" s="24" t="str">
        <x:v>Impression B.I.G. NORM</x:v>
      </x:c>
      <x:c r="H1207" s="24"/>
      <x:c r="I1207" s="24" t="str">
        <x:v>1.67</x:v>
      </x:c>
      <x:c r="J1207" s="24" t="str">
        <x:v>1.67</x:v>
      </x:c>
      <x:c r="K1207" s="24" t="str">
        <x:v>LayR Balance</x:v>
      </x:c>
      <x:c r="L1207" s="40" t="n">
        <x:v>14165</x:v>
      </x:c>
      <x:c r="M1207" s="24" t="str">
        <x:v>-12 a +10</x:v>
      </x:c>
      <x:c r="N1207" s="24" t="str">
        <x:v>até -6</x:v>
      </x:c>
      <x:c r="O1207" s="24"/>
      <x:c r="P1207" s="24" t="str">
        <x:v>75/80</x:v>
      </x:c>
      <x:c r="Q1207" s="24"/>
      <x:c r="R1207" s="24"/>
      <x:c r="S1207" s="26" t="n">
        <x:v>46024</x:v>
      </x:c>
      <x:c r="T1207" s="26"/>
      <x:c r="U1207" s="24" t="str">
        <x:v>ATIVA/SEM FIM INFORMADO</x:v>
      </x:c>
      <x:c r="V1207" s="24"/>
      <x:c r="W1207" s="24" t="n">
        <x:v>11</x:v>
      </x:c>
      <x:c r="X1207" s="24" t="str">
        <x:v>tabela_rodenstock.pdf</x:v>
      </x:c>
      <x:c r="Y1207" s="24" t="str">
        <x:v>alta</x:v>
      </x:c>
      <x:c r="Z1207" s="24"/>
      <x:c r="AA1207" s="24" t="str">
        <x:v>Rodenstock|Progressiva B.I.G. NORM|Surfaçada|Impression B.I.G. NORM||1.67|1.67|LayR Balance|-12 a +10|até -6||75/80|||11</x:v>
      </x:c>
    </x:row>
    <x:row r="1208">
      <x:c r="A1208" s="24" t="str">
        <x:v>RD-BF4FFA79B1E3</x:v>
      </x:c>
      <x:c r="B1208" s="24" t="str">
        <x:v>SIM</x:v>
      </x:c>
      <x:c r="C1208" s="24" t="str">
        <x:v>DISPONÍVEL</x:v>
      </x:c>
      <x:c r="D1208" s="24" t="str">
        <x:v>Rodenstock</x:v>
      </x:c>
      <x:c r="E1208" s="24" t="str">
        <x:v>Progressiva B.I.G. NORM</x:v>
      </x:c>
      <x:c r="F1208" s="24" t="str">
        <x:v>Surfaçada</x:v>
      </x:c>
      <x:c r="G1208" s="24" t="str">
        <x:v>Impression B.I.G. NORM</x:v>
      </x:c>
      <x:c r="H1208" s="24"/>
      <x:c r="I1208" s="24" t="str">
        <x:v>1.67</x:v>
      </x:c>
      <x:c r="J1208" s="24" t="str">
        <x:v>1.67</x:v>
      </x:c>
      <x:c r="K1208" s="24" t="str">
        <x:v>Solitaire X-tra Clean</x:v>
      </x:c>
      <x:c r="L1208" s="40" t="n">
        <x:v>14095</x:v>
      </x:c>
      <x:c r="M1208" s="24" t="str">
        <x:v>-12 a +10</x:v>
      </x:c>
      <x:c r="N1208" s="24" t="str">
        <x:v>até -6</x:v>
      </x:c>
      <x:c r="O1208" s="24"/>
      <x:c r="P1208" s="24" t="str">
        <x:v>75/80</x:v>
      </x:c>
      <x:c r="Q1208" s="24"/>
      <x:c r="R1208" s="24"/>
      <x:c r="S1208" s="26" t="n">
        <x:v>46024</x:v>
      </x:c>
      <x:c r="T1208" s="26"/>
      <x:c r="U1208" s="24" t="str">
        <x:v>ATIVA/SEM FIM INFORMADO</x:v>
      </x:c>
      <x:c r="V1208" s="24"/>
      <x:c r="W1208" s="24" t="n">
        <x:v>11</x:v>
      </x:c>
      <x:c r="X1208" s="24" t="str">
        <x:v>tabela_rodenstock.pdf</x:v>
      </x:c>
      <x:c r="Y1208" s="24" t="str">
        <x:v>alta</x:v>
      </x:c>
      <x:c r="Z1208" s="24"/>
      <x:c r="AA1208" s="24" t="str">
        <x:v>Rodenstock|Progressiva B.I.G. NORM|Surfaçada|Impression B.I.G. NORM||1.67|1.67|Solitaire X-tra Clean|-12 a +10|até -6||75/80|||11</x:v>
      </x:c>
    </x:row>
    <x:row r="1209">
      <x:c r="A1209" s="24" t="str">
        <x:v>RD-A464BF193700</x:v>
      </x:c>
      <x:c r="B1209" s="24" t="str">
        <x:v>SIM</x:v>
      </x:c>
      <x:c r="C1209" s="24" t="str">
        <x:v>DISPONÍVEL</x:v>
      </x:c>
      <x:c r="D1209" s="24" t="str">
        <x:v>Rodenstock</x:v>
      </x:c>
      <x:c r="E1209" s="24" t="str">
        <x:v>Progressiva B.I.G. NORM</x:v>
      </x:c>
      <x:c r="F1209" s="24" t="str">
        <x:v>Surfaçada</x:v>
      </x:c>
      <x:c r="G1209" s="24" t="str">
        <x:v>Impression B.I.G. NORM</x:v>
      </x:c>
      <x:c r="H1209" s="24"/>
      <x:c r="I1209" s="24" t="str">
        <x:v>1.67</x:v>
      </x:c>
      <x:c r="J1209" s="24" t="str">
        <x:v>1.67</x:v>
      </x:c>
      <x:c r="K1209" s="24" t="str">
        <x:v>Solitaire Protect Plus</x:v>
      </x:c>
      <x:c r="L1209" s="40" t="n">
        <x:v>14045</x:v>
      </x:c>
      <x:c r="M1209" s="24" t="str">
        <x:v>-12 a +10</x:v>
      </x:c>
      <x:c r="N1209" s="24" t="str">
        <x:v>até -6</x:v>
      </x:c>
      <x:c r="O1209" s="24"/>
      <x:c r="P1209" s="24" t="str">
        <x:v>75/80</x:v>
      </x:c>
      <x:c r="Q1209" s="24"/>
      <x:c r="R1209" s="24"/>
      <x:c r="S1209" s="26" t="n">
        <x:v>46024</x:v>
      </x:c>
      <x:c r="T1209" s="26"/>
      <x:c r="U1209" s="24" t="str">
        <x:v>ATIVA/SEM FIM INFORMADO</x:v>
      </x:c>
      <x:c r="V1209" s="24"/>
      <x:c r="W1209" s="24" t="n">
        <x:v>11</x:v>
      </x:c>
      <x:c r="X1209" s="24" t="str">
        <x:v>tabela_rodenstock.pdf</x:v>
      </x:c>
      <x:c r="Y1209" s="24" t="str">
        <x:v>alta</x:v>
      </x:c>
      <x:c r="Z1209" s="24"/>
      <x:c r="AA1209" s="24" t="str">
        <x:v>Rodenstock|Progressiva B.I.G. NORM|Surfaçada|Impression B.I.G. NORM||1.67|1.67|Solitaire Protect Plus|-12 a +10|até -6||75/80|||11</x:v>
      </x:c>
    </x:row>
    <x:row r="1210">
      <x:c r="A1210" s="24" t="str">
        <x:v>RD-461F604CA0B6</x:v>
      </x:c>
      <x:c r="B1210" s="24" t="str">
        <x:v>SIM</x:v>
      </x:c>
      <x:c r="C1210" s="24" t="str">
        <x:v>DISPONÍVEL</x:v>
      </x:c>
      <x:c r="D1210" s="24" t="str">
        <x:v>Rodenstock</x:v>
      </x:c>
      <x:c r="E1210" s="24" t="str">
        <x:v>Progressiva B.I.G. NORM</x:v>
      </x:c>
      <x:c r="F1210" s="24" t="str">
        <x:v>Surfaçada</x:v>
      </x:c>
      <x:c r="G1210" s="24" t="str">
        <x:v>Impression B.I.G. NORM</x:v>
      </x:c>
      <x:c r="H1210" s="24"/>
      <x:c r="I1210" s="24" t="str">
        <x:v>1.67</x:v>
      </x:c>
      <x:c r="J1210" s="24" t="str">
        <x:v>1.67</x:v>
      </x:c>
      <x:c r="K1210" s="24" t="str">
        <x:v>ROAD</x:v>
      </x:c>
      <x:c r="L1210" s="40" t="n">
        <x:v>14045</x:v>
      </x:c>
      <x:c r="M1210" s="24" t="str">
        <x:v>-12 a +10</x:v>
      </x:c>
      <x:c r="N1210" s="24" t="str">
        <x:v>até -6</x:v>
      </x:c>
      <x:c r="O1210" s="24"/>
      <x:c r="P1210" s="24" t="str">
        <x:v>75/80</x:v>
      </x:c>
      <x:c r="Q1210" s="24"/>
      <x:c r="R1210" s="24"/>
      <x:c r="S1210" s="26" t="n">
        <x:v>46024</x:v>
      </x:c>
      <x:c r="T1210" s="26"/>
      <x:c r="U1210" s="24" t="str">
        <x:v>ATIVA/SEM FIM INFORMADO</x:v>
      </x:c>
      <x:c r="V1210" s="24"/>
      <x:c r="W1210" s="24" t="n">
        <x:v>11</x:v>
      </x:c>
      <x:c r="X1210" s="24" t="str">
        <x:v>tabela_rodenstock.pdf</x:v>
      </x:c>
      <x:c r="Y1210" s="24" t="str">
        <x:v>alta</x:v>
      </x:c>
      <x:c r="Z1210" s="24"/>
      <x:c r="AA1210" s="24" t="str">
        <x:v>Rodenstock|Progressiva B.I.G. NORM|Surfaçada|Impression B.I.G. NORM||1.67|1.67|ROAD|-12 a +10|até -6||75/80|||11</x:v>
      </x:c>
    </x:row>
    <x:row r="1211">
      <x:c r="A1211" s="24" t="str">
        <x:v>RD-749914C3B3F4</x:v>
      </x:c>
      <x:c r="B1211" s="24" t="str">
        <x:v>SIM</x:v>
      </x:c>
      <x:c r="C1211" s="24" t="str">
        <x:v>DISPONÍVEL</x:v>
      </x:c>
      <x:c r="D1211" s="24" t="str">
        <x:v>Rodenstock</x:v>
      </x:c>
      <x:c r="E1211" s="24" t="str">
        <x:v>Progressiva B.I.G. NORM</x:v>
      </x:c>
      <x:c r="F1211" s="24" t="str">
        <x:v>Surfaçada</x:v>
      </x:c>
      <x:c r="G1211" s="24" t="str">
        <x:v>Impression B.I.G. NORM</x:v>
      </x:c>
      <x:c r="H1211" s="24"/>
      <x:c r="I1211" s="24" t="str">
        <x:v>1.67</x:v>
      </x:c>
      <x:c r="J1211" s="24" t="str">
        <x:v>1.67</x:v>
      </x:c>
      <x:c r="K1211" s="24" t="str">
        <x:v>Solitaire Protect</x:v>
      </x:c>
      <x:c r="L1211" s="40" t="n">
        <x:v>13785</x:v>
      </x:c>
      <x:c r="M1211" s="24" t="str">
        <x:v>-12 a +10</x:v>
      </x:c>
      <x:c r="N1211" s="24" t="str">
        <x:v>até -6</x:v>
      </x:c>
      <x:c r="O1211" s="24"/>
      <x:c r="P1211" s="24" t="str">
        <x:v>75/80</x:v>
      </x:c>
      <x:c r="Q1211" s="24"/>
      <x:c r="R1211" s="24"/>
      <x:c r="S1211" s="26" t="n">
        <x:v>46024</x:v>
      </x:c>
      <x:c r="T1211" s="26"/>
      <x:c r="U1211" s="24" t="str">
        <x:v>ATIVA/SEM FIM INFORMADO</x:v>
      </x:c>
      <x:c r="V1211" s="24"/>
      <x:c r="W1211" s="24" t="n">
        <x:v>11</x:v>
      </x:c>
      <x:c r="X1211" s="24" t="str">
        <x:v>tabela_rodenstock.pdf</x:v>
      </x:c>
      <x:c r="Y1211" s="24" t="str">
        <x:v>alta</x:v>
      </x:c>
      <x:c r="Z1211" s="24"/>
      <x:c r="AA1211" s="24" t="str">
        <x:v>Rodenstock|Progressiva B.I.G. NORM|Surfaçada|Impression B.I.G. NORM||1.67|1.67|Solitaire Protect|-12 a +10|até -6||75/80|||11</x:v>
      </x:c>
    </x:row>
    <x:row r="1212">
      <x:c r="A1212" s="24" t="str">
        <x:v>RD-517DCA21E1B1</x:v>
      </x:c>
      <x:c r="B1212" s="24" t="str">
        <x:v>SIM</x:v>
      </x:c>
      <x:c r="C1212" s="24" t="str">
        <x:v>DISPONÍVEL</x:v>
      </x:c>
      <x:c r="D1212" s="24" t="str">
        <x:v>Rodenstock</x:v>
      </x:c>
      <x:c r="E1212" s="24" t="str">
        <x:v>Progressiva B.I.G. NORM</x:v>
      </x:c>
      <x:c r="F1212" s="24" t="str">
        <x:v>Surfaçada</x:v>
      </x:c>
      <x:c r="G1212" s="24" t="str">
        <x:v>Impression B.I.G. NORM</x:v>
      </x:c>
      <x:c r="H1212" s="24" t="str">
        <x:v>ColorMatic® 3</x:v>
      </x:c>
      <x:c r="I1212" s="24" t="str">
        <x:v>1.67</x:v>
      </x:c>
      <x:c r="J1212" s="24" t="str">
        <x:v>1.67</x:v>
      </x:c>
      <x:c r="K1212" s="24" t="str">
        <x:v>LayR X-tra Clean</x:v>
      </x:c>
      <x:c r="L1212" s="40" t="n">
        <x:v>15091</x:v>
      </x:c>
      <x:c r="M1212" s="24" t="str">
        <x:v>-12 a +10</x:v>
      </x:c>
      <x:c r="N1212" s="24" t="str">
        <x:v>até -6</x:v>
      </x:c>
      <x:c r="O1212" s="24"/>
      <x:c r="P1212" s="24" t="str">
        <x:v>75/80</x:v>
      </x:c>
      <x:c r="Q1212" s="24"/>
      <x:c r="R1212" s="24"/>
      <x:c r="S1212" s="26" t="n">
        <x:v>46024</x:v>
      </x:c>
      <x:c r="T1212" s="26"/>
      <x:c r="U1212" s="24" t="str">
        <x:v>ATIVA/SEM FIM INFORMADO</x:v>
      </x:c>
      <x:c r="V1212" s="24"/>
      <x:c r="W1212" s="24" t="n">
        <x:v>11</x:v>
      </x:c>
      <x:c r="X1212" s="24" t="str">
        <x:v>tabela_rodenstock.pdf</x:v>
      </x:c>
      <x:c r="Y1212" s="24" t="str">
        <x:v>alta</x:v>
      </x:c>
      <x:c r="Z1212" s="24"/>
      <x:c r="AA1212" s="24" t="str">
        <x:v>Rodenstock|Progressiva B.I.G. NORM|Surfaçada|Impression B.I.G. NORM|ColorMatic® 3|1.67|1.67|LayR X-tra Clean|-12 a +10|até -6||75/80|||11</x:v>
      </x:c>
    </x:row>
    <x:row r="1213">
      <x:c r="A1213" s="24" t="str">
        <x:v>RD-80F5A1A07DBE</x:v>
      </x:c>
      <x:c r="B1213" s="24" t="str">
        <x:v>SIM</x:v>
      </x:c>
      <x:c r="C1213" s="24" t="str">
        <x:v>DISPONÍVEL</x:v>
      </x:c>
      <x:c r="D1213" s="24" t="str">
        <x:v>Rodenstock</x:v>
      </x:c>
      <x:c r="E1213" s="24" t="str">
        <x:v>Progressiva B.I.G. NORM</x:v>
      </x:c>
      <x:c r="F1213" s="24" t="str">
        <x:v>Surfaçada</x:v>
      </x:c>
      <x:c r="G1213" s="24" t="str">
        <x:v>Impression B.I.G. NORM</x:v>
      </x:c>
      <x:c r="H1213" s="24" t="str">
        <x:v>ColorMatic® 3</x:v>
      </x:c>
      <x:c r="I1213" s="24" t="str">
        <x:v>1.67</x:v>
      </x:c>
      <x:c r="J1213" s="24" t="str">
        <x:v>1.67</x:v>
      </x:c>
      <x:c r="K1213" s="24" t="str">
        <x:v>LayR Balance</x:v>
      </x:c>
      <x:c r="L1213" s="40" t="n">
        <x:v>15091</x:v>
      </x:c>
      <x:c r="M1213" s="24" t="str">
        <x:v>-12 a +10</x:v>
      </x:c>
      <x:c r="N1213" s="24" t="str">
        <x:v>até -6</x:v>
      </x:c>
      <x:c r="O1213" s="24"/>
      <x:c r="P1213" s="24" t="str">
        <x:v>75/80</x:v>
      </x:c>
      <x:c r="Q1213" s="24"/>
      <x:c r="R1213" s="24"/>
      <x:c r="S1213" s="26" t="n">
        <x:v>46024</x:v>
      </x:c>
      <x:c r="T1213" s="26"/>
      <x:c r="U1213" s="24" t="str">
        <x:v>ATIVA/SEM FIM INFORMADO</x:v>
      </x:c>
      <x:c r="V1213" s="24"/>
      <x:c r="W1213" s="24" t="n">
        <x:v>11</x:v>
      </x:c>
      <x:c r="X1213" s="24" t="str">
        <x:v>tabela_rodenstock.pdf</x:v>
      </x:c>
      <x:c r="Y1213" s="24" t="str">
        <x:v>alta</x:v>
      </x:c>
      <x:c r="Z1213" s="24"/>
      <x:c r="AA1213" s="24" t="str">
        <x:v>Rodenstock|Progressiva B.I.G. NORM|Surfaçada|Impression B.I.G. NORM|ColorMatic® 3|1.67|1.67|LayR Balance|-12 a +10|até -6||75/80|||11</x:v>
      </x:c>
    </x:row>
    <x:row r="1214">
      <x:c r="A1214" s="24" t="str">
        <x:v>RD-6484255E2A82</x:v>
      </x:c>
      <x:c r="B1214" s="24" t="str">
        <x:v>SIM</x:v>
      </x:c>
      <x:c r="C1214" s="24" t="str">
        <x:v>DISPONÍVEL</x:v>
      </x:c>
      <x:c r="D1214" s="24" t="str">
        <x:v>Rodenstock</x:v>
      </x:c>
      <x:c r="E1214" s="24" t="str">
        <x:v>Progressiva B.I.G. NORM</x:v>
      </x:c>
      <x:c r="F1214" s="24" t="str">
        <x:v>Surfaçada</x:v>
      </x:c>
      <x:c r="G1214" s="24" t="str">
        <x:v>Impression B.I.G. NORM</x:v>
      </x:c>
      <x:c r="H1214" s="24" t="str">
        <x:v>ColorMatic® 3</x:v>
      </x:c>
      <x:c r="I1214" s="24" t="str">
        <x:v>1.67</x:v>
      </x:c>
      <x:c r="J1214" s="24" t="str">
        <x:v>1.67</x:v>
      </x:c>
      <x:c r="K1214" s="24" t="str">
        <x:v>Solitaire X-tra Clean</x:v>
      </x:c>
      <x:c r="L1214" s="40" t="n">
        <x:v>15021</x:v>
      </x:c>
      <x:c r="M1214" s="24" t="str">
        <x:v>-12 a +10</x:v>
      </x:c>
      <x:c r="N1214" s="24" t="str">
        <x:v>até -6</x:v>
      </x:c>
      <x:c r="O1214" s="24"/>
      <x:c r="P1214" s="24" t="str">
        <x:v>75/80</x:v>
      </x:c>
      <x:c r="Q1214" s="24"/>
      <x:c r="R1214" s="24"/>
      <x:c r="S1214" s="26" t="n">
        <x:v>46024</x:v>
      </x:c>
      <x:c r="T1214" s="26"/>
      <x:c r="U1214" s="24" t="str">
        <x:v>ATIVA/SEM FIM INFORMADO</x:v>
      </x:c>
      <x:c r="V1214" s="24"/>
      <x:c r="W1214" s="24" t="n">
        <x:v>11</x:v>
      </x:c>
      <x:c r="X1214" s="24" t="str">
        <x:v>tabela_rodenstock.pdf</x:v>
      </x:c>
      <x:c r="Y1214" s="24" t="str">
        <x:v>alta</x:v>
      </x:c>
      <x:c r="Z1214" s="24"/>
      <x:c r="AA1214" s="24" t="str">
        <x:v>Rodenstock|Progressiva B.I.G. NORM|Surfaçada|Impression B.I.G. NORM|ColorMatic® 3|1.67|1.67|Solitaire X-tra Clean|-12 a +10|até -6||75/80|||11</x:v>
      </x:c>
    </x:row>
    <x:row r="1215">
      <x:c r="A1215" s="24" t="str">
        <x:v>RD-9C097FA40B8C</x:v>
      </x:c>
      <x:c r="B1215" s="24" t="str">
        <x:v>SIM</x:v>
      </x:c>
      <x:c r="C1215" s="24" t="str">
        <x:v>DISPONÍVEL</x:v>
      </x:c>
      <x:c r="D1215" s="24" t="str">
        <x:v>Rodenstock</x:v>
      </x:c>
      <x:c r="E1215" s="24" t="str">
        <x:v>Progressiva B.I.G. NORM</x:v>
      </x:c>
      <x:c r="F1215" s="24" t="str">
        <x:v>Surfaçada</x:v>
      </x:c>
      <x:c r="G1215" s="24" t="str">
        <x:v>Impression B.I.G. NORM</x:v>
      </x:c>
      <x:c r="H1215" s="24" t="str">
        <x:v>ColorMatic® 3</x:v>
      </x:c>
      <x:c r="I1215" s="24" t="str">
        <x:v>1.67</x:v>
      </x:c>
      <x:c r="J1215" s="24" t="str">
        <x:v>1.67</x:v>
      </x:c>
      <x:c r="K1215" s="24" t="str">
        <x:v>Solitaire Protect Plus</x:v>
      </x:c>
      <x:c r="L1215" s="40" t="n">
        <x:v>14971</x:v>
      </x:c>
      <x:c r="M1215" s="24" t="str">
        <x:v>-12 a +10</x:v>
      </x:c>
      <x:c r="N1215" s="24" t="str">
        <x:v>até -6</x:v>
      </x:c>
      <x:c r="O1215" s="24"/>
      <x:c r="P1215" s="24" t="str">
        <x:v>75/80</x:v>
      </x:c>
      <x:c r="Q1215" s="24"/>
      <x:c r="R1215" s="24"/>
      <x:c r="S1215" s="26" t="n">
        <x:v>46024</x:v>
      </x:c>
      <x:c r="T1215" s="26"/>
      <x:c r="U1215" s="24" t="str">
        <x:v>ATIVA/SEM FIM INFORMADO</x:v>
      </x:c>
      <x:c r="V1215" s="24"/>
      <x:c r="W1215" s="24" t="n">
        <x:v>11</x:v>
      </x:c>
      <x:c r="X1215" s="24" t="str">
        <x:v>tabela_rodenstock.pdf</x:v>
      </x:c>
      <x:c r="Y1215" s="24" t="str">
        <x:v>alta</x:v>
      </x:c>
      <x:c r="Z1215" s="24"/>
      <x:c r="AA1215" s="24" t="str">
        <x:v>Rodenstock|Progressiva B.I.G. NORM|Surfaçada|Impression B.I.G. NORM|ColorMatic® 3|1.67|1.67|Solitaire Protect Plus|-12 a +10|até -6||75/80|||11</x:v>
      </x:c>
    </x:row>
    <x:row r="1216">
      <x:c r="A1216" s="24" t="str">
        <x:v>RD-6660158A0490</x:v>
      </x:c>
      <x:c r="B1216" s="24" t="str">
        <x:v>SIM</x:v>
      </x:c>
      <x:c r="C1216" s="24" t="str">
        <x:v>DISPONÍVEL</x:v>
      </x:c>
      <x:c r="D1216" s="24" t="str">
        <x:v>Rodenstock</x:v>
      </x:c>
      <x:c r="E1216" s="24" t="str">
        <x:v>Progressiva B.I.G. NORM</x:v>
      </x:c>
      <x:c r="F1216" s="24" t="str">
        <x:v>Surfaçada</x:v>
      </x:c>
      <x:c r="G1216" s="24" t="str">
        <x:v>Impression B.I.G. NORM</x:v>
      </x:c>
      <x:c r="H1216" s="24" t="str">
        <x:v>ColorMatic® 3</x:v>
      </x:c>
      <x:c r="I1216" s="24" t="str">
        <x:v>1.67</x:v>
      </x:c>
      <x:c r="J1216" s="24" t="str">
        <x:v>1.67</x:v>
      </x:c>
      <x:c r="K1216" s="24" t="str">
        <x:v>ROAD</x:v>
      </x:c>
      <x:c r="L1216" s="40" t="n">
        <x:v>14971</x:v>
      </x:c>
      <x:c r="M1216" s="24" t="str">
        <x:v>-12 a +10</x:v>
      </x:c>
      <x:c r="N1216" s="24" t="str">
        <x:v>até -6</x:v>
      </x:c>
      <x:c r="O1216" s="24"/>
      <x:c r="P1216" s="24" t="str">
        <x:v>75/80</x:v>
      </x:c>
      <x:c r="Q1216" s="24"/>
      <x:c r="R1216" s="24"/>
      <x:c r="S1216" s="26" t="n">
        <x:v>46024</x:v>
      </x:c>
      <x:c r="T1216" s="26"/>
      <x:c r="U1216" s="24" t="str">
        <x:v>ATIVA/SEM FIM INFORMADO</x:v>
      </x:c>
      <x:c r="V1216" s="24"/>
      <x:c r="W1216" s="24" t="n">
        <x:v>11</x:v>
      </x:c>
      <x:c r="X1216" s="24" t="str">
        <x:v>tabela_rodenstock.pdf</x:v>
      </x:c>
      <x:c r="Y1216" s="24" t="str">
        <x:v>alta</x:v>
      </x:c>
      <x:c r="Z1216" s="24"/>
      <x:c r="AA1216" s="24" t="str">
        <x:v>Rodenstock|Progressiva B.I.G. NORM|Surfaçada|Impression B.I.G. NORM|ColorMatic® 3|1.67|1.67|ROAD|-12 a +10|até -6||75/80|||11</x:v>
      </x:c>
    </x:row>
    <x:row r="1217">
      <x:c r="A1217" s="24" t="str">
        <x:v>RD-532E4A96461E</x:v>
      </x:c>
      <x:c r="B1217" s="24" t="str">
        <x:v>SIM</x:v>
      </x:c>
      <x:c r="C1217" s="24" t="str">
        <x:v>DISPONÍVEL</x:v>
      </x:c>
      <x:c r="D1217" s="24" t="str">
        <x:v>Rodenstock</x:v>
      </x:c>
      <x:c r="E1217" s="24" t="str">
        <x:v>Progressiva B.I.G. NORM</x:v>
      </x:c>
      <x:c r="F1217" s="24" t="str">
        <x:v>Surfaçada</x:v>
      </x:c>
      <x:c r="G1217" s="24" t="str">
        <x:v>Impression B.I.G. NORM</x:v>
      </x:c>
      <x:c r="H1217" s="24" t="str">
        <x:v>ColorMatic® 3</x:v>
      </x:c>
      <x:c r="I1217" s="24" t="str">
        <x:v>1.67</x:v>
      </x:c>
      <x:c r="J1217" s="24" t="str">
        <x:v>1.67</x:v>
      </x:c>
      <x:c r="K1217" s="24" t="str">
        <x:v>Solitaire Protect</x:v>
      </x:c>
      <x:c r="L1217" s="40" t="n">
        <x:v>14711</x:v>
      </x:c>
      <x:c r="M1217" s="24" t="str">
        <x:v>-12 a +10</x:v>
      </x:c>
      <x:c r="N1217" s="24" t="str">
        <x:v>até -6</x:v>
      </x:c>
      <x:c r="O1217" s="24"/>
      <x:c r="P1217" s="24" t="str">
        <x:v>75/80</x:v>
      </x:c>
      <x:c r="Q1217" s="24"/>
      <x:c r="R1217" s="24"/>
      <x:c r="S1217" s="26" t="n">
        <x:v>46024</x:v>
      </x:c>
      <x:c r="T1217" s="26"/>
      <x:c r="U1217" s="24" t="str">
        <x:v>ATIVA/SEM FIM INFORMADO</x:v>
      </x:c>
      <x:c r="V1217" s="24"/>
      <x:c r="W1217" s="24" t="n">
        <x:v>11</x:v>
      </x:c>
      <x:c r="X1217" s="24" t="str">
        <x:v>tabela_rodenstock.pdf</x:v>
      </x:c>
      <x:c r="Y1217" s="24" t="str">
        <x:v>alta</x:v>
      </x:c>
      <x:c r="Z1217" s="24"/>
      <x:c r="AA1217" s="24" t="str">
        <x:v>Rodenstock|Progressiva B.I.G. NORM|Surfaçada|Impression B.I.G. NORM|ColorMatic® 3|1.67|1.67|Solitaire Protect|-12 a +10|até -6||75/80|||11</x:v>
      </x:c>
    </x:row>
    <x:row r="1218">
      <x:c r="A1218" s="24" t="str">
        <x:v>RD-9DA886F36A59</x:v>
      </x:c>
      <x:c r="B1218" s="24" t="str">
        <x:v>SIM</x:v>
      </x:c>
      <x:c r="C1218" s="24" t="str">
        <x:v>DISPONÍVEL</x:v>
      </x:c>
      <x:c r="D1218" s="24" t="str">
        <x:v>Rodenstock</x:v>
      </x:c>
      <x:c r="E1218" s="24" t="str">
        <x:v>Progressiva B.I.G. NORM</x:v>
      </x:c>
      <x:c r="F1218" s="24" t="str">
        <x:v>Surfaçada</x:v>
      </x:c>
      <x:c r="G1218" s="24" t="str">
        <x:v>Impression B.I.G. NORM</x:v>
      </x:c>
      <x:c r="H1218" s="24"/>
      <x:c r="I1218" s="24" t="str">
        <x:v>1.74</x:v>
      </x:c>
      <x:c r="J1218" s="24" t="str">
        <x:v>1.74</x:v>
      </x:c>
      <x:c r="K1218" s="24" t="str">
        <x:v>LayR X-tra Clean</x:v>
      </x:c>
      <x:c r="L1218" s="40" t="n">
        <x:v>15360</x:v>
      </x:c>
      <x:c r="M1218" s="24" t="str">
        <x:v>-18 a +13</x:v>
      </x:c>
      <x:c r="N1218" s="24" t="str">
        <x:v>até -6</x:v>
      </x:c>
      <x:c r="O1218" s="24"/>
      <x:c r="P1218" s="24" t="str">
        <x:v>75/80</x:v>
      </x:c>
      <x:c r="Q1218" s="24"/>
      <x:c r="R1218" s="24"/>
      <x:c r="S1218" s="26" t="n">
        <x:v>46024</x:v>
      </x:c>
      <x:c r="T1218" s="26"/>
      <x:c r="U1218" s="24" t="str">
        <x:v>ATIVA/SEM FIM INFORMADO</x:v>
      </x:c>
      <x:c r="V1218" s="24"/>
      <x:c r="W1218" s="24" t="n">
        <x:v>11</x:v>
      </x:c>
      <x:c r="X1218" s="24" t="str">
        <x:v>tabela_rodenstock.pdf</x:v>
      </x:c>
      <x:c r="Y1218" s="24" t="str">
        <x:v>alta</x:v>
      </x:c>
      <x:c r="Z1218" s="24"/>
      <x:c r="AA1218" s="24" t="str">
        <x:v>Rodenstock|Progressiva B.I.G. NORM|Surfaçada|Impression B.I.G. NORM||1.74|1.74|LayR X-tra Clean|-18 a +13|até -6||75/80|||11</x:v>
      </x:c>
    </x:row>
    <x:row r="1219">
      <x:c r="A1219" s="24" t="str">
        <x:v>RD-B353782AF356</x:v>
      </x:c>
      <x:c r="B1219" s="24" t="str">
        <x:v>SIM</x:v>
      </x:c>
      <x:c r="C1219" s="24" t="str">
        <x:v>DISPONÍVEL</x:v>
      </x:c>
      <x:c r="D1219" s="24" t="str">
        <x:v>Rodenstock</x:v>
      </x:c>
      <x:c r="E1219" s="24" t="str">
        <x:v>Progressiva B.I.G. NORM</x:v>
      </x:c>
      <x:c r="F1219" s="24" t="str">
        <x:v>Surfaçada</x:v>
      </x:c>
      <x:c r="G1219" s="24" t="str">
        <x:v>Impression B.I.G. NORM</x:v>
      </x:c>
      <x:c r="H1219" s="24"/>
      <x:c r="I1219" s="24" t="str">
        <x:v>1.74</x:v>
      </x:c>
      <x:c r="J1219" s="24" t="str">
        <x:v>1.74</x:v>
      </x:c>
      <x:c r="K1219" s="24" t="str">
        <x:v>LayR Balance</x:v>
      </x:c>
      <x:c r="L1219" s="40" t="n">
        <x:v>15360</x:v>
      </x:c>
      <x:c r="M1219" s="24" t="str">
        <x:v>-18 a +13</x:v>
      </x:c>
      <x:c r="N1219" s="24" t="str">
        <x:v>até -6</x:v>
      </x:c>
      <x:c r="O1219" s="24"/>
      <x:c r="P1219" s="24" t="str">
        <x:v>75/80</x:v>
      </x:c>
      <x:c r="Q1219" s="24"/>
      <x:c r="R1219" s="24"/>
      <x:c r="S1219" s="26" t="n">
        <x:v>46024</x:v>
      </x:c>
      <x:c r="T1219" s="26"/>
      <x:c r="U1219" s="24" t="str">
        <x:v>ATIVA/SEM FIM INFORMADO</x:v>
      </x:c>
      <x:c r="V1219" s="24"/>
      <x:c r="W1219" s="24" t="n">
        <x:v>11</x:v>
      </x:c>
      <x:c r="X1219" s="24" t="str">
        <x:v>tabela_rodenstock.pdf</x:v>
      </x:c>
      <x:c r="Y1219" s="24" t="str">
        <x:v>alta</x:v>
      </x:c>
      <x:c r="Z1219" s="24"/>
      <x:c r="AA1219" s="24" t="str">
        <x:v>Rodenstock|Progressiva B.I.G. NORM|Surfaçada|Impression B.I.G. NORM||1.74|1.74|LayR Balance|-18 a +13|até -6||75/80|||11</x:v>
      </x:c>
    </x:row>
    <x:row r="1220">
      <x:c r="A1220" s="24" t="str">
        <x:v>RD-272DC6AC5197</x:v>
      </x:c>
      <x:c r="B1220" s="24" t="str">
        <x:v>SIM</x:v>
      </x:c>
      <x:c r="C1220" s="24" t="str">
        <x:v>DISPONÍVEL</x:v>
      </x:c>
      <x:c r="D1220" s="24" t="str">
        <x:v>Rodenstock</x:v>
      </x:c>
      <x:c r="E1220" s="24" t="str">
        <x:v>Progressiva B.I.G. NORM</x:v>
      </x:c>
      <x:c r="F1220" s="24" t="str">
        <x:v>Surfaçada</x:v>
      </x:c>
      <x:c r="G1220" s="24" t="str">
        <x:v>Impression B.I.G. NORM</x:v>
      </x:c>
      <x:c r="H1220" s="24"/>
      <x:c r="I1220" s="24" t="str">
        <x:v>1.74</x:v>
      </x:c>
      <x:c r="J1220" s="24" t="str">
        <x:v>1.74</x:v>
      </x:c>
      <x:c r="K1220" s="24" t="str">
        <x:v>Solitaire X-tra Clean</x:v>
      </x:c>
      <x:c r="L1220" s="40" t="n">
        <x:v>15290</x:v>
      </x:c>
      <x:c r="M1220" s="24" t="str">
        <x:v>-18 a +13</x:v>
      </x:c>
      <x:c r="N1220" s="24" t="str">
        <x:v>até -6</x:v>
      </x:c>
      <x:c r="O1220" s="24"/>
      <x:c r="P1220" s="24" t="str">
        <x:v>75/80</x:v>
      </x:c>
      <x:c r="Q1220" s="24"/>
      <x:c r="R1220" s="24"/>
      <x:c r="S1220" s="26" t="n">
        <x:v>46024</x:v>
      </x:c>
      <x:c r="T1220" s="26"/>
      <x:c r="U1220" s="24" t="str">
        <x:v>ATIVA/SEM FIM INFORMADO</x:v>
      </x:c>
      <x:c r="V1220" s="24"/>
      <x:c r="W1220" s="24" t="n">
        <x:v>11</x:v>
      </x:c>
      <x:c r="X1220" s="24" t="str">
        <x:v>tabela_rodenstock.pdf</x:v>
      </x:c>
      <x:c r="Y1220" s="24" t="str">
        <x:v>alta</x:v>
      </x:c>
      <x:c r="Z1220" s="24"/>
      <x:c r="AA1220" s="24" t="str">
        <x:v>Rodenstock|Progressiva B.I.G. NORM|Surfaçada|Impression B.I.G. NORM||1.74|1.74|Solitaire X-tra Clean|-18 a +13|até -6||75/80|||11</x:v>
      </x:c>
    </x:row>
    <x:row r="1221">
      <x:c r="A1221" s="24" t="str">
        <x:v>RD-81886C51AFBF</x:v>
      </x:c>
      <x:c r="B1221" s="24" t="str">
        <x:v>SIM</x:v>
      </x:c>
      <x:c r="C1221" s="24" t="str">
        <x:v>DISPONÍVEL</x:v>
      </x:c>
      <x:c r="D1221" s="24" t="str">
        <x:v>Rodenstock</x:v>
      </x:c>
      <x:c r="E1221" s="24" t="str">
        <x:v>Progressiva B.I.G. NORM</x:v>
      </x:c>
      <x:c r="F1221" s="24" t="str">
        <x:v>Surfaçada</x:v>
      </x:c>
      <x:c r="G1221" s="24" t="str">
        <x:v>Impression B.I.G. NORM</x:v>
      </x:c>
      <x:c r="H1221" s="24"/>
      <x:c r="I1221" s="24" t="str">
        <x:v>1.74</x:v>
      </x:c>
      <x:c r="J1221" s="24" t="str">
        <x:v>1.74</x:v>
      </x:c>
      <x:c r="K1221" s="24" t="str">
        <x:v>Solitaire Protect Plus</x:v>
      </x:c>
      <x:c r="L1221" s="40" t="n">
        <x:v>15240</x:v>
      </x:c>
      <x:c r="M1221" s="24" t="str">
        <x:v>-18 a +13</x:v>
      </x:c>
      <x:c r="N1221" s="24" t="str">
        <x:v>até -6</x:v>
      </x:c>
      <x:c r="O1221" s="24"/>
      <x:c r="P1221" s="24" t="str">
        <x:v>75/80</x:v>
      </x:c>
      <x:c r="Q1221" s="24"/>
      <x:c r="R1221" s="24"/>
      <x:c r="S1221" s="26" t="n">
        <x:v>46024</x:v>
      </x:c>
      <x:c r="T1221" s="26"/>
      <x:c r="U1221" s="24" t="str">
        <x:v>ATIVA/SEM FIM INFORMADO</x:v>
      </x:c>
      <x:c r="V1221" s="24"/>
      <x:c r="W1221" s="24" t="n">
        <x:v>11</x:v>
      </x:c>
      <x:c r="X1221" s="24" t="str">
        <x:v>tabela_rodenstock.pdf</x:v>
      </x:c>
      <x:c r="Y1221" s="24" t="str">
        <x:v>alta</x:v>
      </x:c>
      <x:c r="Z1221" s="24"/>
      <x:c r="AA1221" s="24" t="str">
        <x:v>Rodenstock|Progressiva B.I.G. NORM|Surfaçada|Impression B.I.G. NORM||1.74|1.74|Solitaire Protect Plus|-18 a +13|até -6||75/80|||11</x:v>
      </x:c>
    </x:row>
    <x:row r="1222">
      <x:c r="A1222" s="24" t="str">
        <x:v>RD-C5D799D5412E</x:v>
      </x:c>
      <x:c r="B1222" s="24" t="str">
        <x:v>SIM</x:v>
      </x:c>
      <x:c r="C1222" s="24" t="str">
        <x:v>DISPONÍVEL</x:v>
      </x:c>
      <x:c r="D1222" s="24" t="str">
        <x:v>Rodenstock</x:v>
      </x:c>
      <x:c r="E1222" s="24" t="str">
        <x:v>Progressiva B.I.G. NORM</x:v>
      </x:c>
      <x:c r="F1222" s="24" t="str">
        <x:v>Surfaçada</x:v>
      </x:c>
      <x:c r="G1222" s="24" t="str">
        <x:v>Impression B.I.G. NORM</x:v>
      </x:c>
      <x:c r="H1222" s="24"/>
      <x:c r="I1222" s="24" t="str">
        <x:v>1.74</x:v>
      </x:c>
      <x:c r="J1222" s="24" t="str">
        <x:v>1.74</x:v>
      </x:c>
      <x:c r="K1222" s="24" t="str">
        <x:v>Solitaire Protect</x:v>
      </x:c>
      <x:c r="L1222" s="40" t="n">
        <x:v>14980</x:v>
      </x:c>
      <x:c r="M1222" s="24" t="str">
        <x:v>-18 a +13</x:v>
      </x:c>
      <x:c r="N1222" s="24" t="str">
        <x:v>até -6</x:v>
      </x:c>
      <x:c r="O1222" s="24"/>
      <x:c r="P1222" s="24" t="str">
        <x:v>75/80</x:v>
      </x:c>
      <x:c r="Q1222" s="24"/>
      <x:c r="R1222" s="24"/>
      <x:c r="S1222" s="26" t="n">
        <x:v>46024</x:v>
      </x:c>
      <x:c r="T1222" s="26"/>
      <x:c r="U1222" s="24" t="str">
        <x:v>ATIVA/SEM FIM INFORMADO</x:v>
      </x:c>
      <x:c r="V1222" s="24"/>
      <x:c r="W1222" s="24" t="n">
        <x:v>11</x:v>
      </x:c>
      <x:c r="X1222" s="24" t="str">
        <x:v>tabela_rodenstock.pdf</x:v>
      </x:c>
      <x:c r="Y1222" s="24" t="str">
        <x:v>alta</x:v>
      </x:c>
      <x:c r="Z1222" s="24"/>
      <x:c r="AA1222" s="24" t="str">
        <x:v>Rodenstock|Progressiva B.I.G. NORM|Surfaçada|Impression B.I.G. NORM||1.74|1.74|Solitaire Protect|-18 a +13|até -6||75/80|||11</x:v>
      </x:c>
    </x:row>
    <x:row r="1223">
      <x:c r="A1223" s="24" t="str">
        <x:v>RD-EBA4ED411DD2</x:v>
      </x:c>
      <x:c r="B1223" s="24" t="str">
        <x:v>SIM</x:v>
      </x:c>
      <x:c r="C1223" s="24" t="str">
        <x:v>DISPONÍVEL</x:v>
      </x:c>
      <x:c r="D1223" s="24" t="str">
        <x:v>Rodenstock</x:v>
      </x:c>
      <x:c r="E1223" s="24" t="str">
        <x:v>Progressiva B.I.G. NORM</x:v>
      </x:c>
      <x:c r="F1223" s="24" t="str">
        <x:v>Surfaçada</x:v>
      </x:c>
      <x:c r="G1223" s="24" t="str">
        <x:v>Multigressiv B.I.G. NORM</x:v>
      </x:c>
      <x:c r="H1223" s="24"/>
      <x:c r="I1223" s="24" t="str">
        <x:v>1.5</x:v>
      </x:c>
      <x:c r="J1223" s="24" t="str">
        <x:v>1.50</x:v>
      </x:c>
      <x:c r="K1223" s="24" t="str">
        <x:v>LayR X-tra Clean</x:v>
      </x:c>
      <x:c r="L1223" s="40" t="n">
        <x:v>7213</x:v>
      </x:c>
      <x:c r="M1223" s="24" t="str">
        <x:v>-8 a +8</x:v>
      </x:c>
      <x:c r="N1223" s="24" t="str">
        <x:v>até -6</x:v>
      </x:c>
      <x:c r="O1223" s="24"/>
      <x:c r="P1223" s="24" t="str">
        <x:v>75/80</x:v>
      </x:c>
      <x:c r="Q1223" s="24"/>
      <x:c r="R1223" s="24"/>
      <x:c r="S1223" s="26" t="n">
        <x:v>46024</x:v>
      </x:c>
      <x:c r="T1223" s="26"/>
      <x:c r="U1223" s="24" t="str">
        <x:v>ATIVA/SEM FIM INFORMADO</x:v>
      </x:c>
      <x:c r="V1223" s="24"/>
      <x:c r="W1223" s="24" t="n">
        <x:v>11</x:v>
      </x:c>
      <x:c r="X1223" s="24" t="str">
        <x:v>tabela_rodenstock.pdf</x:v>
      </x:c>
      <x:c r="Y1223" s="24" t="str">
        <x:v>alta</x:v>
      </x:c>
      <x:c r="Z1223" s="24"/>
      <x:c r="AA1223" s="24" t="str">
        <x:v>Rodenstock|Progressiva B.I.G. NORM|Surfaçada|Multigressiv B.I.G. NORM||1.5|1.50|LayR X-tra Clean|-8 a +8|até -6||75/80|||11</x:v>
      </x:c>
    </x:row>
    <x:row r="1224">
      <x:c r="A1224" s="24" t="str">
        <x:v>RD-5C197FBC95B7</x:v>
      </x:c>
      <x:c r="B1224" s="24" t="str">
        <x:v>SIM</x:v>
      </x:c>
      <x:c r="C1224" s="24" t="str">
        <x:v>DISPONÍVEL</x:v>
      </x:c>
      <x:c r="D1224" s="24" t="str">
        <x:v>Rodenstock</x:v>
      </x:c>
      <x:c r="E1224" s="24" t="str">
        <x:v>Progressiva B.I.G. NORM</x:v>
      </x:c>
      <x:c r="F1224" s="24" t="str">
        <x:v>Surfaçada</x:v>
      </x:c>
      <x:c r="G1224" s="24" t="str">
        <x:v>Multigressiv B.I.G. NORM</x:v>
      </x:c>
      <x:c r="H1224" s="24"/>
      <x:c r="I1224" s="24" t="str">
        <x:v>1.5</x:v>
      </x:c>
      <x:c r="J1224" s="24" t="str">
        <x:v>1.50</x:v>
      </x:c>
      <x:c r="K1224" s="24" t="str">
        <x:v>LayR Balance</x:v>
      </x:c>
      <x:c r="L1224" s="40" t="n">
        <x:v>7213</x:v>
      </x:c>
      <x:c r="M1224" s="24" t="str">
        <x:v>-8 a +8</x:v>
      </x:c>
      <x:c r="N1224" s="24" t="str">
        <x:v>até -6</x:v>
      </x:c>
      <x:c r="O1224" s="24"/>
      <x:c r="P1224" s="24" t="str">
        <x:v>75/80</x:v>
      </x:c>
      <x:c r="Q1224" s="24"/>
      <x:c r="R1224" s="24"/>
      <x:c r="S1224" s="26" t="n">
        <x:v>46024</x:v>
      </x:c>
      <x:c r="T1224" s="26"/>
      <x:c r="U1224" s="24" t="str">
        <x:v>ATIVA/SEM FIM INFORMADO</x:v>
      </x:c>
      <x:c r="V1224" s="24"/>
      <x:c r="W1224" s="24" t="n">
        <x:v>11</x:v>
      </x:c>
      <x:c r="X1224" s="24" t="str">
        <x:v>tabela_rodenstock.pdf</x:v>
      </x:c>
      <x:c r="Y1224" s="24" t="str">
        <x:v>alta</x:v>
      </x:c>
      <x:c r="Z1224" s="24"/>
      <x:c r="AA1224" s="24" t="str">
        <x:v>Rodenstock|Progressiva B.I.G. NORM|Surfaçada|Multigressiv B.I.G. NORM||1.5|1.50|LayR Balance|-8 a +8|até -6||75/80|||11</x:v>
      </x:c>
    </x:row>
    <x:row r="1225">
      <x:c r="A1225" s="24" t="str">
        <x:v>RD-7FE6777A8D06</x:v>
      </x:c>
      <x:c r="B1225" s="24" t="str">
        <x:v>SIM</x:v>
      </x:c>
      <x:c r="C1225" s="24" t="str">
        <x:v>DISPONÍVEL</x:v>
      </x:c>
      <x:c r="D1225" s="24" t="str">
        <x:v>Rodenstock</x:v>
      </x:c>
      <x:c r="E1225" s="24" t="str">
        <x:v>Progressiva B.I.G. NORM</x:v>
      </x:c>
      <x:c r="F1225" s="24" t="str">
        <x:v>Surfaçada</x:v>
      </x:c>
      <x:c r="G1225" s="24" t="str">
        <x:v>Multigressiv B.I.G. NORM</x:v>
      </x:c>
      <x:c r="H1225" s="24"/>
      <x:c r="I1225" s="24" t="str">
        <x:v>1.5</x:v>
      </x:c>
      <x:c r="J1225" s="24" t="str">
        <x:v>1.50</x:v>
      </x:c>
      <x:c r="K1225" s="24" t="str">
        <x:v>Solitaire X-tra Clean</x:v>
      </x:c>
      <x:c r="L1225" s="40" t="n">
        <x:v>7143</x:v>
      </x:c>
      <x:c r="M1225" s="24" t="str">
        <x:v>-8 a +8</x:v>
      </x:c>
      <x:c r="N1225" s="24" t="str">
        <x:v>até -6</x:v>
      </x:c>
      <x:c r="O1225" s="24"/>
      <x:c r="P1225" s="24" t="str">
        <x:v>75/80</x:v>
      </x:c>
      <x:c r="Q1225" s="24"/>
      <x:c r="R1225" s="24"/>
      <x:c r="S1225" s="26" t="n">
        <x:v>46024</x:v>
      </x:c>
      <x:c r="T1225" s="26"/>
      <x:c r="U1225" s="24" t="str">
        <x:v>ATIVA/SEM FIM INFORMADO</x:v>
      </x:c>
      <x:c r="V1225" s="24"/>
      <x:c r="W1225" s="24" t="n">
        <x:v>11</x:v>
      </x:c>
      <x:c r="X1225" s="24" t="str">
        <x:v>tabela_rodenstock.pdf</x:v>
      </x:c>
      <x:c r="Y1225" s="24" t="str">
        <x:v>alta</x:v>
      </x:c>
      <x:c r="Z1225" s="24"/>
      <x:c r="AA1225" s="24" t="str">
        <x:v>Rodenstock|Progressiva B.I.G. NORM|Surfaçada|Multigressiv B.I.G. NORM||1.5|1.50|Solitaire X-tra Clean|-8 a +8|até -6||75/80|||11</x:v>
      </x:c>
    </x:row>
    <x:row r="1226">
      <x:c r="A1226" s="24" t="str">
        <x:v>RD-F8EB087DC1BB</x:v>
      </x:c>
      <x:c r="B1226" s="24" t="str">
        <x:v>SIM</x:v>
      </x:c>
      <x:c r="C1226" s="24" t="str">
        <x:v>DISPONÍVEL</x:v>
      </x:c>
      <x:c r="D1226" s="24" t="str">
        <x:v>Rodenstock</x:v>
      </x:c>
      <x:c r="E1226" s="24" t="str">
        <x:v>Progressiva B.I.G. NORM</x:v>
      </x:c>
      <x:c r="F1226" s="24" t="str">
        <x:v>Surfaçada</x:v>
      </x:c>
      <x:c r="G1226" s="24" t="str">
        <x:v>Multigressiv B.I.G. NORM</x:v>
      </x:c>
      <x:c r="H1226" s="24"/>
      <x:c r="I1226" s="24" t="str">
        <x:v>1.5</x:v>
      </x:c>
      <x:c r="J1226" s="24" t="str">
        <x:v>1.50</x:v>
      </x:c>
      <x:c r="K1226" s="24" t="str">
        <x:v>Solitaire Protect Plus</x:v>
      </x:c>
      <x:c r="L1226" s="40" t="n">
        <x:v>7093</x:v>
      </x:c>
      <x:c r="M1226" s="24" t="str">
        <x:v>-8 a +8</x:v>
      </x:c>
      <x:c r="N1226" s="24" t="str">
        <x:v>até -6</x:v>
      </x:c>
      <x:c r="O1226" s="24"/>
      <x:c r="P1226" s="24" t="str">
        <x:v>75/80</x:v>
      </x:c>
      <x:c r="Q1226" s="24"/>
      <x:c r="R1226" s="24"/>
      <x:c r="S1226" s="26" t="n">
        <x:v>46024</x:v>
      </x:c>
      <x:c r="T1226" s="26"/>
      <x:c r="U1226" s="24" t="str">
        <x:v>ATIVA/SEM FIM INFORMADO</x:v>
      </x:c>
      <x:c r="V1226" s="24"/>
      <x:c r="W1226" s="24" t="n">
        <x:v>11</x:v>
      </x:c>
      <x:c r="X1226" s="24" t="str">
        <x:v>tabela_rodenstock.pdf</x:v>
      </x:c>
      <x:c r="Y1226" s="24" t="str">
        <x:v>alta</x:v>
      </x:c>
      <x:c r="Z1226" s="24"/>
      <x:c r="AA1226" s="24" t="str">
        <x:v>Rodenstock|Progressiva B.I.G. NORM|Surfaçada|Multigressiv B.I.G. NORM||1.5|1.50|Solitaire Protect Plus|-8 a +8|até -6||75/80|||11</x:v>
      </x:c>
    </x:row>
    <x:row r="1227">
      <x:c r="A1227" s="24" t="str">
        <x:v>RD-C8E64EF5145F</x:v>
      </x:c>
      <x:c r="B1227" s="24" t="str">
        <x:v>SIM</x:v>
      </x:c>
      <x:c r="C1227" s="24" t="str">
        <x:v>DISPONÍVEL</x:v>
      </x:c>
      <x:c r="D1227" s="24" t="str">
        <x:v>Rodenstock</x:v>
      </x:c>
      <x:c r="E1227" s="24" t="str">
        <x:v>Progressiva B.I.G. NORM</x:v>
      </x:c>
      <x:c r="F1227" s="24" t="str">
        <x:v>Surfaçada</x:v>
      </x:c>
      <x:c r="G1227" s="24" t="str">
        <x:v>Multigressiv B.I.G. NORM</x:v>
      </x:c>
      <x:c r="H1227" s="24"/>
      <x:c r="I1227" s="24" t="str">
        <x:v>1.5</x:v>
      </x:c>
      <x:c r="J1227" s="24" t="str">
        <x:v>1.50</x:v>
      </x:c>
      <x:c r="K1227" s="24" t="str">
        <x:v>ROAD</x:v>
      </x:c>
      <x:c r="L1227" s="40" t="n">
        <x:v>7093</x:v>
      </x:c>
      <x:c r="M1227" s="24" t="str">
        <x:v>-8 a +8</x:v>
      </x:c>
      <x:c r="N1227" s="24" t="str">
        <x:v>até -6</x:v>
      </x:c>
      <x:c r="O1227" s="24"/>
      <x:c r="P1227" s="24" t="str">
        <x:v>75/80</x:v>
      </x:c>
      <x:c r="Q1227" s="24"/>
      <x:c r="R1227" s="24"/>
      <x:c r="S1227" s="26" t="n">
        <x:v>46024</x:v>
      </x:c>
      <x:c r="T1227" s="26"/>
      <x:c r="U1227" s="24" t="str">
        <x:v>ATIVA/SEM FIM INFORMADO</x:v>
      </x:c>
      <x:c r="V1227" s="24"/>
      <x:c r="W1227" s="24" t="n">
        <x:v>11</x:v>
      </x:c>
      <x:c r="X1227" s="24" t="str">
        <x:v>tabela_rodenstock.pdf</x:v>
      </x:c>
      <x:c r="Y1227" s="24" t="str">
        <x:v>alta</x:v>
      </x:c>
      <x:c r="Z1227" s="24"/>
      <x:c r="AA1227" s="24" t="str">
        <x:v>Rodenstock|Progressiva B.I.G. NORM|Surfaçada|Multigressiv B.I.G. NORM||1.5|1.50|ROAD|-8 a +8|até -6||75/80|||11</x:v>
      </x:c>
    </x:row>
    <x:row r="1228">
      <x:c r="A1228" s="24" t="str">
        <x:v>RD-838BC9B39843</x:v>
      </x:c>
      <x:c r="B1228" s="24" t="str">
        <x:v>SIM</x:v>
      </x:c>
      <x:c r="C1228" s="24" t="str">
        <x:v>DISPONÍVEL</x:v>
      </x:c>
      <x:c r="D1228" s="24" t="str">
        <x:v>Rodenstock</x:v>
      </x:c>
      <x:c r="E1228" s="24" t="str">
        <x:v>Progressiva B.I.G. NORM</x:v>
      </x:c>
      <x:c r="F1228" s="24" t="str">
        <x:v>Surfaçada</x:v>
      </x:c>
      <x:c r="G1228" s="24" t="str">
        <x:v>Multigressiv B.I.G. NORM</x:v>
      </x:c>
      <x:c r="H1228" s="24"/>
      <x:c r="I1228" s="24" t="str">
        <x:v>1.5</x:v>
      </x:c>
      <x:c r="J1228" s="24" t="str">
        <x:v>1.50</x:v>
      </x:c>
      <x:c r="K1228" s="24" t="str">
        <x:v>Solitaire Protect</x:v>
      </x:c>
      <x:c r="L1228" s="40" t="n">
        <x:v>6833</x:v>
      </x:c>
      <x:c r="M1228" s="24" t="str">
        <x:v>-8 a +8</x:v>
      </x:c>
      <x:c r="N1228" s="24" t="str">
        <x:v>até -6</x:v>
      </x:c>
      <x:c r="O1228" s="24"/>
      <x:c r="P1228" s="24" t="str">
        <x:v>75/80</x:v>
      </x:c>
      <x:c r="Q1228" s="24"/>
      <x:c r="R1228" s="24"/>
      <x:c r="S1228" s="26" t="n">
        <x:v>46024</x:v>
      </x:c>
      <x:c r="T1228" s="26"/>
      <x:c r="U1228" s="24" t="str">
        <x:v>ATIVA/SEM FIM INFORMADO</x:v>
      </x:c>
      <x:c r="V1228" s="24"/>
      <x:c r="W1228" s="24" t="n">
        <x:v>11</x:v>
      </x:c>
      <x:c r="X1228" s="24" t="str">
        <x:v>tabela_rodenstock.pdf</x:v>
      </x:c>
      <x:c r="Y1228" s="24" t="str">
        <x:v>alta</x:v>
      </x:c>
      <x:c r="Z1228" s="24"/>
      <x:c r="AA1228" s="24" t="str">
        <x:v>Rodenstock|Progressiva B.I.G. NORM|Surfaçada|Multigressiv B.I.G. NORM||1.5|1.50|Solitaire Protect|-8 a +8|até -6||75/80|||11</x:v>
      </x:c>
    </x:row>
    <x:row r="1229">
      <x:c r="A1229" s="24" t="str">
        <x:v>RD-5ECDC59229DC</x:v>
      </x:c>
      <x:c r="B1229" s="24" t="str">
        <x:v>SIM</x:v>
      </x:c>
      <x:c r="C1229" s="24" t="str">
        <x:v>DISPONÍVEL</x:v>
      </x:c>
      <x:c r="D1229" s="24" t="str">
        <x:v>Rodenstock</x:v>
      </x:c>
      <x:c r="E1229" s="24" t="str">
        <x:v>Progressiva B.I.G. NORM</x:v>
      </x:c>
      <x:c r="F1229" s="24" t="str">
        <x:v>Surfaçada</x:v>
      </x:c>
      <x:c r="G1229" s="24" t="str">
        <x:v>Multigressiv B.I.G. NORM</x:v>
      </x:c>
      <x:c r="H1229" s="24" t="str">
        <x:v>ColorMatic® 3</x:v>
      </x:c>
      <x:c r="I1229" s="24" t="str">
        <x:v>1.54</x:v>
      </x:c>
      <x:c r="J1229" s="24" t="str">
        <x:v>1.54</x:v>
      </x:c>
      <x:c r="K1229" s="24" t="str">
        <x:v>LayR X-tra Clean</x:v>
      </x:c>
      <x:c r="L1229" s="40" t="n">
        <x:v>8756</x:v>
      </x:c>
      <x:c r="M1229" s="24" t="str">
        <x:v>-8 a +8</x:v>
      </x:c>
      <x:c r="N1229" s="24" t="str">
        <x:v>até -6</x:v>
      </x:c>
      <x:c r="O1229" s="24"/>
      <x:c r="P1229" s="24" t="str">
        <x:v>75/80</x:v>
      </x:c>
      <x:c r="Q1229" s="24"/>
      <x:c r="R1229" s="24"/>
      <x:c r="S1229" s="26" t="n">
        <x:v>46024</x:v>
      </x:c>
      <x:c r="T1229" s="26"/>
      <x:c r="U1229" s="24" t="str">
        <x:v>ATIVA/SEM FIM INFORMADO</x:v>
      </x:c>
      <x:c r="V1229" s="24"/>
      <x:c r="W1229" s="24" t="n">
        <x:v>11</x:v>
      </x:c>
      <x:c r="X1229" s="24" t="str">
        <x:v>tabela_rodenstock.pdf</x:v>
      </x:c>
      <x:c r="Y1229" s="24" t="str">
        <x:v>alta</x:v>
      </x:c>
      <x:c r="Z1229" s="24"/>
      <x:c r="AA1229" s="24" t="str">
        <x:v>Rodenstock|Progressiva B.I.G. NORM|Surfaçada|Multigressiv B.I.G. NORM|ColorMatic® 3|1.54|1.54|LayR X-tra Clean|-8 a +8|até -6||75/80|||11</x:v>
      </x:c>
    </x:row>
    <x:row r="1230">
      <x:c r="A1230" s="24" t="str">
        <x:v>RD-1FA8FDDF3E45</x:v>
      </x:c>
      <x:c r="B1230" s="24" t="str">
        <x:v>SIM</x:v>
      </x:c>
      <x:c r="C1230" s="24" t="str">
        <x:v>DISPONÍVEL</x:v>
      </x:c>
      <x:c r="D1230" s="24" t="str">
        <x:v>Rodenstock</x:v>
      </x:c>
      <x:c r="E1230" s="24" t="str">
        <x:v>Progressiva B.I.G. NORM</x:v>
      </x:c>
      <x:c r="F1230" s="24" t="str">
        <x:v>Surfaçada</x:v>
      </x:c>
      <x:c r="G1230" s="24" t="str">
        <x:v>Multigressiv B.I.G. NORM</x:v>
      </x:c>
      <x:c r="H1230" s="24" t="str">
        <x:v>ColorMatic® 3</x:v>
      </x:c>
      <x:c r="I1230" s="24" t="str">
        <x:v>1.54</x:v>
      </x:c>
      <x:c r="J1230" s="24" t="str">
        <x:v>1.54</x:v>
      </x:c>
      <x:c r="K1230" s="24" t="str">
        <x:v>LayR Balance</x:v>
      </x:c>
      <x:c r="L1230" s="40" t="n">
        <x:v>8756</x:v>
      </x:c>
      <x:c r="M1230" s="24" t="str">
        <x:v>-8 a +8</x:v>
      </x:c>
      <x:c r="N1230" s="24" t="str">
        <x:v>até -6</x:v>
      </x:c>
      <x:c r="O1230" s="24"/>
      <x:c r="P1230" s="24" t="str">
        <x:v>75/80</x:v>
      </x:c>
      <x:c r="Q1230" s="24"/>
      <x:c r="R1230" s="24"/>
      <x:c r="S1230" s="26" t="n">
        <x:v>46024</x:v>
      </x:c>
      <x:c r="T1230" s="26"/>
      <x:c r="U1230" s="24" t="str">
        <x:v>ATIVA/SEM FIM INFORMADO</x:v>
      </x:c>
      <x:c r="V1230" s="24"/>
      <x:c r="W1230" s="24" t="n">
        <x:v>11</x:v>
      </x:c>
      <x:c r="X1230" s="24" t="str">
        <x:v>tabela_rodenstock.pdf</x:v>
      </x:c>
      <x:c r="Y1230" s="24" t="str">
        <x:v>alta</x:v>
      </x:c>
      <x:c r="Z1230" s="24"/>
      <x:c r="AA1230" s="24" t="str">
        <x:v>Rodenstock|Progressiva B.I.G. NORM|Surfaçada|Multigressiv B.I.G. NORM|ColorMatic® 3|1.54|1.54|LayR Balance|-8 a +8|até -6||75/80|||11</x:v>
      </x:c>
    </x:row>
    <x:row r="1231">
      <x:c r="A1231" s="24" t="str">
        <x:v>RD-4D08386880F9</x:v>
      </x:c>
      <x:c r="B1231" s="24" t="str">
        <x:v>SIM</x:v>
      </x:c>
      <x:c r="C1231" s="24" t="str">
        <x:v>DISPONÍVEL</x:v>
      </x:c>
      <x:c r="D1231" s="24" t="str">
        <x:v>Rodenstock</x:v>
      </x:c>
      <x:c r="E1231" s="24" t="str">
        <x:v>Progressiva B.I.G. NORM</x:v>
      </x:c>
      <x:c r="F1231" s="24" t="str">
        <x:v>Surfaçada</x:v>
      </x:c>
      <x:c r="G1231" s="24" t="str">
        <x:v>Multigressiv B.I.G. NORM</x:v>
      </x:c>
      <x:c r="H1231" s="24" t="str">
        <x:v>ColorMatic® 3</x:v>
      </x:c>
      <x:c r="I1231" s="24" t="str">
        <x:v>1.54</x:v>
      </x:c>
      <x:c r="J1231" s="24" t="str">
        <x:v>1.54</x:v>
      </x:c>
      <x:c r="K1231" s="24" t="str">
        <x:v>Solitaire X-tra Clean</x:v>
      </x:c>
      <x:c r="L1231" s="40" t="n">
        <x:v>8686</x:v>
      </x:c>
      <x:c r="M1231" s="24" t="str">
        <x:v>-8 a +8</x:v>
      </x:c>
      <x:c r="N1231" s="24" t="str">
        <x:v>até -6</x:v>
      </x:c>
      <x:c r="O1231" s="24"/>
      <x:c r="P1231" s="24" t="str">
        <x:v>75/80</x:v>
      </x:c>
      <x:c r="Q1231" s="24"/>
      <x:c r="R1231" s="24"/>
      <x:c r="S1231" s="26" t="n">
        <x:v>46024</x:v>
      </x:c>
      <x:c r="T1231" s="26"/>
      <x:c r="U1231" s="24" t="str">
        <x:v>ATIVA/SEM FIM INFORMADO</x:v>
      </x:c>
      <x:c r="V1231" s="24"/>
      <x:c r="W1231" s="24" t="n">
        <x:v>11</x:v>
      </x:c>
      <x:c r="X1231" s="24" t="str">
        <x:v>tabela_rodenstock.pdf</x:v>
      </x:c>
      <x:c r="Y1231" s="24" t="str">
        <x:v>alta</x:v>
      </x:c>
      <x:c r="Z1231" s="24"/>
      <x:c r="AA1231" s="24" t="str">
        <x:v>Rodenstock|Progressiva B.I.G. NORM|Surfaçada|Multigressiv B.I.G. NORM|ColorMatic® 3|1.54|1.54|Solitaire X-tra Clean|-8 a +8|até -6||75/80|||11</x:v>
      </x:c>
    </x:row>
    <x:row r="1232">
      <x:c r="A1232" s="24" t="str">
        <x:v>RD-B976E8473A4D</x:v>
      </x:c>
      <x:c r="B1232" s="24" t="str">
        <x:v>SIM</x:v>
      </x:c>
      <x:c r="C1232" s="24" t="str">
        <x:v>DISPONÍVEL</x:v>
      </x:c>
      <x:c r="D1232" s="24" t="str">
        <x:v>Rodenstock</x:v>
      </x:c>
      <x:c r="E1232" s="24" t="str">
        <x:v>Progressiva B.I.G. NORM</x:v>
      </x:c>
      <x:c r="F1232" s="24" t="str">
        <x:v>Surfaçada</x:v>
      </x:c>
      <x:c r="G1232" s="24" t="str">
        <x:v>Multigressiv B.I.G. NORM</x:v>
      </x:c>
      <x:c r="H1232" s="24" t="str">
        <x:v>ColorMatic® 3</x:v>
      </x:c>
      <x:c r="I1232" s="24" t="str">
        <x:v>1.54</x:v>
      </x:c>
      <x:c r="J1232" s="24" t="str">
        <x:v>1.54</x:v>
      </x:c>
      <x:c r="K1232" s="24" t="str">
        <x:v>Solitaire Protect Plus</x:v>
      </x:c>
      <x:c r="L1232" s="40" t="n">
        <x:v>8636</x:v>
      </x:c>
      <x:c r="M1232" s="24" t="str">
        <x:v>-8 a +8</x:v>
      </x:c>
      <x:c r="N1232" s="24" t="str">
        <x:v>até -6</x:v>
      </x:c>
      <x:c r="O1232" s="24"/>
      <x:c r="P1232" s="24" t="str">
        <x:v>75/80</x:v>
      </x:c>
      <x:c r="Q1232" s="24"/>
      <x:c r="R1232" s="24"/>
      <x:c r="S1232" s="26" t="n">
        <x:v>46024</x:v>
      </x:c>
      <x:c r="T1232" s="26"/>
      <x:c r="U1232" s="24" t="str">
        <x:v>ATIVA/SEM FIM INFORMADO</x:v>
      </x:c>
      <x:c r="V1232" s="24"/>
      <x:c r="W1232" s="24" t="n">
        <x:v>11</x:v>
      </x:c>
      <x:c r="X1232" s="24" t="str">
        <x:v>tabela_rodenstock.pdf</x:v>
      </x:c>
      <x:c r="Y1232" s="24" t="str">
        <x:v>alta</x:v>
      </x:c>
      <x:c r="Z1232" s="24"/>
      <x:c r="AA1232" s="24" t="str">
        <x:v>Rodenstock|Progressiva B.I.G. NORM|Surfaçada|Multigressiv B.I.G. NORM|ColorMatic® 3|1.54|1.54|Solitaire Protect Plus|-8 a +8|até -6||75/80|||11</x:v>
      </x:c>
    </x:row>
    <x:row r="1233">
      <x:c r="A1233" s="24" t="str">
        <x:v>RD-02764C55D9BA</x:v>
      </x:c>
      <x:c r="B1233" s="24" t="str">
        <x:v>SIM</x:v>
      </x:c>
      <x:c r="C1233" s="24" t="str">
        <x:v>DISPONÍVEL</x:v>
      </x:c>
      <x:c r="D1233" s="24" t="str">
        <x:v>Rodenstock</x:v>
      </x:c>
      <x:c r="E1233" s="24" t="str">
        <x:v>Progressiva B.I.G. NORM</x:v>
      </x:c>
      <x:c r="F1233" s="24" t="str">
        <x:v>Surfaçada</x:v>
      </x:c>
      <x:c r="G1233" s="24" t="str">
        <x:v>Multigressiv B.I.G. NORM</x:v>
      </x:c>
      <x:c r="H1233" s="24" t="str">
        <x:v>ColorMatic® 3</x:v>
      </x:c>
      <x:c r="I1233" s="24" t="str">
        <x:v>1.54</x:v>
      </x:c>
      <x:c r="J1233" s="24" t="str">
        <x:v>1.54</x:v>
      </x:c>
      <x:c r="K1233" s="24" t="str">
        <x:v>ROAD</x:v>
      </x:c>
      <x:c r="L1233" s="40" t="n">
        <x:v>8636</x:v>
      </x:c>
      <x:c r="M1233" s="24" t="str">
        <x:v>-8 a +8</x:v>
      </x:c>
      <x:c r="N1233" s="24" t="str">
        <x:v>até -6</x:v>
      </x:c>
      <x:c r="O1233" s="24"/>
      <x:c r="P1233" s="24" t="str">
        <x:v>75/80</x:v>
      </x:c>
      <x:c r="Q1233" s="24"/>
      <x:c r="R1233" s="24"/>
      <x:c r="S1233" s="26" t="n">
        <x:v>46024</x:v>
      </x:c>
      <x:c r="T1233" s="26"/>
      <x:c r="U1233" s="24" t="str">
        <x:v>ATIVA/SEM FIM INFORMADO</x:v>
      </x:c>
      <x:c r="V1233" s="24"/>
      <x:c r="W1233" s="24" t="n">
        <x:v>11</x:v>
      </x:c>
      <x:c r="X1233" s="24" t="str">
        <x:v>tabela_rodenstock.pdf</x:v>
      </x:c>
      <x:c r="Y1233" s="24" t="str">
        <x:v>alta</x:v>
      </x:c>
      <x:c r="Z1233" s="24"/>
      <x:c r="AA1233" s="24" t="str">
        <x:v>Rodenstock|Progressiva B.I.G. NORM|Surfaçada|Multigressiv B.I.G. NORM|ColorMatic® 3|1.54|1.54|ROAD|-8 a +8|até -6||75/80|||11</x:v>
      </x:c>
    </x:row>
    <x:row r="1234">
      <x:c r="A1234" s="24" t="str">
        <x:v>RD-B1BB16E85993</x:v>
      </x:c>
      <x:c r="B1234" s="24" t="str">
        <x:v>SIM</x:v>
      </x:c>
      <x:c r="C1234" s="24" t="str">
        <x:v>DISPONÍVEL</x:v>
      </x:c>
      <x:c r="D1234" s="24" t="str">
        <x:v>Rodenstock</x:v>
      </x:c>
      <x:c r="E1234" s="24" t="str">
        <x:v>Progressiva B.I.G. NORM</x:v>
      </x:c>
      <x:c r="F1234" s="24" t="str">
        <x:v>Surfaçada</x:v>
      </x:c>
      <x:c r="G1234" s="24" t="str">
        <x:v>Multigressiv B.I.G. NORM</x:v>
      </x:c>
      <x:c r="H1234" s="24" t="str">
        <x:v>ColorMatic® 3</x:v>
      </x:c>
      <x:c r="I1234" s="24" t="str">
        <x:v>1.54</x:v>
      </x:c>
      <x:c r="J1234" s="24" t="str">
        <x:v>1.54</x:v>
      </x:c>
      <x:c r="K1234" s="24" t="str">
        <x:v>Solitaire Protect</x:v>
      </x:c>
      <x:c r="L1234" s="40" t="n">
        <x:v>8376</x:v>
      </x:c>
      <x:c r="M1234" s="24" t="str">
        <x:v>-8 a +8</x:v>
      </x:c>
      <x:c r="N1234" s="24" t="str">
        <x:v>até -6</x:v>
      </x:c>
      <x:c r="O1234" s="24"/>
      <x:c r="P1234" s="24" t="str">
        <x:v>75/80</x:v>
      </x:c>
      <x:c r="Q1234" s="24"/>
      <x:c r="R1234" s="24"/>
      <x:c r="S1234" s="26" t="n">
        <x:v>46024</x:v>
      </x:c>
      <x:c r="T1234" s="26"/>
      <x:c r="U1234" s="24" t="str">
        <x:v>ATIVA/SEM FIM INFORMADO</x:v>
      </x:c>
      <x:c r="V1234" s="24"/>
      <x:c r="W1234" s="24" t="n">
        <x:v>11</x:v>
      </x:c>
      <x:c r="X1234" s="24" t="str">
        <x:v>tabela_rodenstock.pdf</x:v>
      </x:c>
      <x:c r="Y1234" s="24" t="str">
        <x:v>alta</x:v>
      </x:c>
      <x:c r="Z1234" s="24"/>
      <x:c r="AA1234" s="24" t="str">
        <x:v>Rodenstock|Progressiva B.I.G. NORM|Surfaçada|Multigressiv B.I.G. NORM|ColorMatic® 3|1.54|1.54|Solitaire Protect|-8 a +8|até -6||75/80|||11</x:v>
      </x:c>
    </x:row>
    <x:row r="1235">
      <x:c r="A1235" s="24" t="str">
        <x:v>RD-B5D2701EAED1</x:v>
      </x:c>
      <x:c r="B1235" s="24" t="str">
        <x:v>SIM</x:v>
      </x:c>
      <x:c r="C1235" s="24" t="str">
        <x:v>DISPONÍVEL</x:v>
      </x:c>
      <x:c r="D1235" s="24" t="str">
        <x:v>Rodenstock</x:v>
      </x:c>
      <x:c r="E1235" s="24" t="str">
        <x:v>Progressiva B.I.G. NORM</x:v>
      </x:c>
      <x:c r="F1235" s="24" t="str">
        <x:v>Surfaçada</x:v>
      </x:c>
      <x:c r="G1235" s="24" t="str">
        <x:v>Multigressiv B.I.G. NORM</x:v>
      </x:c>
      <x:c r="H1235" s="24"/>
      <x:c r="I1235" s="24" t="str">
        <x:v>1.6</x:v>
      </x:c>
      <x:c r="J1235" s="24" t="str">
        <x:v>1.60</x:v>
      </x:c>
      <x:c r="K1235" s="24" t="str">
        <x:v>LayR X-tra Clean</x:v>
      </x:c>
      <x:c r="L1235" s="40" t="n">
        <x:v>8492</x:v>
      </x:c>
      <x:c r="M1235" s="24" t="str">
        <x:v>-11 a +10</x:v>
      </x:c>
      <x:c r="N1235" s="24" t="str">
        <x:v>até -6</x:v>
      </x:c>
      <x:c r="O1235" s="24"/>
      <x:c r="P1235" s="24" t="str">
        <x:v>75/80</x:v>
      </x:c>
      <x:c r="Q1235" s="24"/>
      <x:c r="R1235" s="24"/>
      <x:c r="S1235" s="26" t="n">
        <x:v>46024</x:v>
      </x:c>
      <x:c r="T1235" s="26"/>
      <x:c r="U1235" s="24" t="str">
        <x:v>ATIVA/SEM FIM INFORMADO</x:v>
      </x:c>
      <x:c r="V1235" s="24"/>
      <x:c r="W1235" s="24" t="n">
        <x:v>11</x:v>
      </x:c>
      <x:c r="X1235" s="24" t="str">
        <x:v>tabela_rodenstock.pdf</x:v>
      </x:c>
      <x:c r="Y1235" s="24" t="str">
        <x:v>alta</x:v>
      </x:c>
      <x:c r="Z1235" s="24"/>
      <x:c r="AA1235" s="24" t="str">
        <x:v>Rodenstock|Progressiva B.I.G. NORM|Surfaçada|Multigressiv B.I.G. NORM||1.6|1.60|LayR X-tra Clean|-11 a +10|até -6||75/80|||11</x:v>
      </x:c>
    </x:row>
    <x:row r="1236">
      <x:c r="A1236" s="24" t="str">
        <x:v>RD-B2970312480F</x:v>
      </x:c>
      <x:c r="B1236" s="24" t="str">
        <x:v>SIM</x:v>
      </x:c>
      <x:c r="C1236" s="24" t="str">
        <x:v>DISPONÍVEL</x:v>
      </x:c>
      <x:c r="D1236" s="24" t="str">
        <x:v>Rodenstock</x:v>
      </x:c>
      <x:c r="E1236" s="24" t="str">
        <x:v>Progressiva B.I.G. NORM</x:v>
      </x:c>
      <x:c r="F1236" s="24" t="str">
        <x:v>Surfaçada</x:v>
      </x:c>
      <x:c r="G1236" s="24" t="str">
        <x:v>Multigressiv B.I.G. NORM</x:v>
      </x:c>
      <x:c r="H1236" s="24"/>
      <x:c r="I1236" s="24" t="str">
        <x:v>1.6</x:v>
      </x:c>
      <x:c r="J1236" s="24" t="str">
        <x:v>1.60</x:v>
      </x:c>
      <x:c r="K1236" s="24" t="str">
        <x:v>LayR Balance</x:v>
      </x:c>
      <x:c r="L1236" s="40" t="n">
        <x:v>8492</x:v>
      </x:c>
      <x:c r="M1236" s="24" t="str">
        <x:v>-11 a +10</x:v>
      </x:c>
      <x:c r="N1236" s="24" t="str">
        <x:v>até -6</x:v>
      </x:c>
      <x:c r="O1236" s="24"/>
      <x:c r="P1236" s="24" t="str">
        <x:v>75/80</x:v>
      </x:c>
      <x:c r="Q1236" s="24"/>
      <x:c r="R1236" s="24"/>
      <x:c r="S1236" s="26" t="n">
        <x:v>46024</x:v>
      </x:c>
      <x:c r="T1236" s="26"/>
      <x:c r="U1236" s="24" t="str">
        <x:v>ATIVA/SEM FIM INFORMADO</x:v>
      </x:c>
      <x:c r="V1236" s="24"/>
      <x:c r="W1236" s="24" t="n">
        <x:v>11</x:v>
      </x:c>
      <x:c r="X1236" s="24" t="str">
        <x:v>tabela_rodenstock.pdf</x:v>
      </x:c>
      <x:c r="Y1236" s="24" t="str">
        <x:v>alta</x:v>
      </x:c>
      <x:c r="Z1236" s="24"/>
      <x:c r="AA1236" s="24" t="str">
        <x:v>Rodenstock|Progressiva B.I.G. NORM|Surfaçada|Multigressiv B.I.G. NORM||1.6|1.60|LayR Balance|-11 a +10|até -6||75/80|||11</x:v>
      </x:c>
    </x:row>
    <x:row r="1237">
      <x:c r="A1237" s="24" t="str">
        <x:v>RD-4403F22626A9</x:v>
      </x:c>
      <x:c r="B1237" s="24" t="str">
        <x:v>SIM</x:v>
      </x:c>
      <x:c r="C1237" s="24" t="str">
        <x:v>DISPONÍVEL</x:v>
      </x:c>
      <x:c r="D1237" s="24" t="str">
        <x:v>Rodenstock</x:v>
      </x:c>
      <x:c r="E1237" s="24" t="str">
        <x:v>Progressiva B.I.G. NORM</x:v>
      </x:c>
      <x:c r="F1237" s="24" t="str">
        <x:v>Surfaçada</x:v>
      </x:c>
      <x:c r="G1237" s="24" t="str">
        <x:v>Multigressiv B.I.G. NORM</x:v>
      </x:c>
      <x:c r="H1237" s="24"/>
      <x:c r="I1237" s="24" t="str">
        <x:v>1.6</x:v>
      </x:c>
      <x:c r="J1237" s="24" t="str">
        <x:v>1.60</x:v>
      </x:c>
      <x:c r="K1237" s="24" t="str">
        <x:v>Solitaire X-tra Clean</x:v>
      </x:c>
      <x:c r="L1237" s="40" t="n">
        <x:v>8422</x:v>
      </x:c>
      <x:c r="M1237" s="24" t="str">
        <x:v>-11 a +10</x:v>
      </x:c>
      <x:c r="N1237" s="24" t="str">
        <x:v>até -6</x:v>
      </x:c>
      <x:c r="O1237" s="24"/>
      <x:c r="P1237" s="24" t="str">
        <x:v>75/80</x:v>
      </x:c>
      <x:c r="Q1237" s="24"/>
      <x:c r="R1237" s="24"/>
      <x:c r="S1237" s="26" t="n">
        <x:v>46024</x:v>
      </x:c>
      <x:c r="T1237" s="26"/>
      <x:c r="U1237" s="24" t="str">
        <x:v>ATIVA/SEM FIM INFORMADO</x:v>
      </x:c>
      <x:c r="V1237" s="24"/>
      <x:c r="W1237" s="24" t="n">
        <x:v>11</x:v>
      </x:c>
      <x:c r="X1237" s="24" t="str">
        <x:v>tabela_rodenstock.pdf</x:v>
      </x:c>
      <x:c r="Y1237" s="24" t="str">
        <x:v>alta</x:v>
      </x:c>
      <x:c r="Z1237" s="24"/>
      <x:c r="AA1237" s="24" t="str">
        <x:v>Rodenstock|Progressiva B.I.G. NORM|Surfaçada|Multigressiv B.I.G. NORM||1.6|1.60|Solitaire X-tra Clean|-11 a +10|até -6||75/80|||11</x:v>
      </x:c>
    </x:row>
    <x:row r="1238">
      <x:c r="A1238" s="24" t="str">
        <x:v>RD-B916BFE12D5D</x:v>
      </x:c>
      <x:c r="B1238" s="24" t="str">
        <x:v>SIM</x:v>
      </x:c>
      <x:c r="C1238" s="24" t="str">
        <x:v>DISPONÍVEL</x:v>
      </x:c>
      <x:c r="D1238" s="24" t="str">
        <x:v>Rodenstock</x:v>
      </x:c>
      <x:c r="E1238" s="24" t="str">
        <x:v>Progressiva B.I.G. NORM</x:v>
      </x:c>
      <x:c r="F1238" s="24" t="str">
        <x:v>Surfaçada</x:v>
      </x:c>
      <x:c r="G1238" s="24" t="str">
        <x:v>Multigressiv B.I.G. NORM</x:v>
      </x:c>
      <x:c r="H1238" s="24"/>
      <x:c r="I1238" s="24" t="str">
        <x:v>1.6</x:v>
      </x:c>
      <x:c r="J1238" s="24" t="str">
        <x:v>1.60</x:v>
      </x:c>
      <x:c r="K1238" s="24" t="str">
        <x:v>Solitaire Protect Plus</x:v>
      </x:c>
      <x:c r="L1238" s="40" t="n">
        <x:v>8372</x:v>
      </x:c>
      <x:c r="M1238" s="24" t="str">
        <x:v>-11 a +10</x:v>
      </x:c>
      <x:c r="N1238" s="24" t="str">
        <x:v>até -6</x:v>
      </x:c>
      <x:c r="O1238" s="24"/>
      <x:c r="P1238" s="24" t="str">
        <x:v>75/80</x:v>
      </x:c>
      <x:c r="Q1238" s="24"/>
      <x:c r="R1238" s="24"/>
      <x:c r="S1238" s="26" t="n">
        <x:v>46024</x:v>
      </x:c>
      <x:c r="T1238" s="26"/>
      <x:c r="U1238" s="24" t="str">
        <x:v>ATIVA/SEM FIM INFORMADO</x:v>
      </x:c>
      <x:c r="V1238" s="24"/>
      <x:c r="W1238" s="24" t="n">
        <x:v>11</x:v>
      </x:c>
      <x:c r="X1238" s="24" t="str">
        <x:v>tabela_rodenstock.pdf</x:v>
      </x:c>
      <x:c r="Y1238" s="24" t="str">
        <x:v>alta</x:v>
      </x:c>
      <x:c r="Z1238" s="24"/>
      <x:c r="AA1238" s="24" t="str">
        <x:v>Rodenstock|Progressiva B.I.G. NORM|Surfaçada|Multigressiv B.I.G. NORM||1.6|1.60|Solitaire Protect Plus|-11 a +10|até -6||75/80|||11</x:v>
      </x:c>
    </x:row>
    <x:row r="1239">
      <x:c r="A1239" s="24" t="str">
        <x:v>RD-6EC66EE729A6</x:v>
      </x:c>
      <x:c r="B1239" s="24" t="str">
        <x:v>SIM</x:v>
      </x:c>
      <x:c r="C1239" s="24" t="str">
        <x:v>DISPONÍVEL</x:v>
      </x:c>
      <x:c r="D1239" s="24" t="str">
        <x:v>Rodenstock</x:v>
      </x:c>
      <x:c r="E1239" s="24" t="str">
        <x:v>Progressiva B.I.G. NORM</x:v>
      </x:c>
      <x:c r="F1239" s="24" t="str">
        <x:v>Surfaçada</x:v>
      </x:c>
      <x:c r="G1239" s="24" t="str">
        <x:v>Multigressiv B.I.G. NORM</x:v>
      </x:c>
      <x:c r="H1239" s="24"/>
      <x:c r="I1239" s="24" t="str">
        <x:v>1.6</x:v>
      </x:c>
      <x:c r="J1239" s="24" t="str">
        <x:v>1.60</x:v>
      </x:c>
      <x:c r="K1239" s="24" t="str">
        <x:v>ROAD</x:v>
      </x:c>
      <x:c r="L1239" s="40" t="n">
        <x:v>8372</x:v>
      </x:c>
      <x:c r="M1239" s="24" t="str">
        <x:v>-11 a +10</x:v>
      </x:c>
      <x:c r="N1239" s="24" t="str">
        <x:v>até -6</x:v>
      </x:c>
      <x:c r="O1239" s="24"/>
      <x:c r="P1239" s="24" t="str">
        <x:v>75/80</x:v>
      </x:c>
      <x:c r="Q1239" s="24"/>
      <x:c r="R1239" s="24"/>
      <x:c r="S1239" s="26" t="n">
        <x:v>46024</x:v>
      </x:c>
      <x:c r="T1239" s="26"/>
      <x:c r="U1239" s="24" t="str">
        <x:v>ATIVA/SEM FIM INFORMADO</x:v>
      </x:c>
      <x:c r="V1239" s="24"/>
      <x:c r="W1239" s="24" t="n">
        <x:v>11</x:v>
      </x:c>
      <x:c r="X1239" s="24" t="str">
        <x:v>tabela_rodenstock.pdf</x:v>
      </x:c>
      <x:c r="Y1239" s="24" t="str">
        <x:v>alta</x:v>
      </x:c>
      <x:c r="Z1239" s="24"/>
      <x:c r="AA1239" s="24" t="str">
        <x:v>Rodenstock|Progressiva B.I.G. NORM|Surfaçada|Multigressiv B.I.G. NORM||1.6|1.60|ROAD|-11 a +10|até -6||75/80|||11</x:v>
      </x:c>
    </x:row>
    <x:row r="1240">
      <x:c r="A1240" s="24" t="str">
        <x:v>RD-23C2049C027F</x:v>
      </x:c>
      <x:c r="B1240" s="24" t="str">
        <x:v>SIM</x:v>
      </x:c>
      <x:c r="C1240" s="24" t="str">
        <x:v>DISPONÍVEL</x:v>
      </x:c>
      <x:c r="D1240" s="24" t="str">
        <x:v>Rodenstock</x:v>
      </x:c>
      <x:c r="E1240" s="24" t="str">
        <x:v>Progressiva B.I.G. NORM</x:v>
      </x:c>
      <x:c r="F1240" s="24" t="str">
        <x:v>Surfaçada</x:v>
      </x:c>
      <x:c r="G1240" s="24" t="str">
        <x:v>Multigressiv B.I.G. NORM</x:v>
      </x:c>
      <x:c r="H1240" s="24"/>
      <x:c r="I1240" s="24" t="str">
        <x:v>1.6</x:v>
      </x:c>
      <x:c r="J1240" s="24" t="str">
        <x:v>1.60</x:v>
      </x:c>
      <x:c r="K1240" s="24" t="str">
        <x:v>Solitaire Protect</x:v>
      </x:c>
      <x:c r="L1240" s="40" t="n">
        <x:v>8112</x:v>
      </x:c>
      <x:c r="M1240" s="24" t="str">
        <x:v>-11 a +10</x:v>
      </x:c>
      <x:c r="N1240" s="24" t="str">
        <x:v>até -6</x:v>
      </x:c>
      <x:c r="O1240" s="24"/>
      <x:c r="P1240" s="24" t="str">
        <x:v>75/80</x:v>
      </x:c>
      <x:c r="Q1240" s="24"/>
      <x:c r="R1240" s="24"/>
      <x:c r="S1240" s="26" t="n">
        <x:v>46024</x:v>
      </x:c>
      <x:c r="T1240" s="26"/>
      <x:c r="U1240" s="24" t="str">
        <x:v>ATIVA/SEM FIM INFORMADO</x:v>
      </x:c>
      <x:c r="V1240" s="24"/>
      <x:c r="W1240" s="24" t="n">
        <x:v>11</x:v>
      </x:c>
      <x:c r="X1240" s="24" t="str">
        <x:v>tabela_rodenstock.pdf</x:v>
      </x:c>
      <x:c r="Y1240" s="24" t="str">
        <x:v>alta</x:v>
      </x:c>
      <x:c r="Z1240" s="24"/>
      <x:c r="AA1240" s="24" t="str">
        <x:v>Rodenstock|Progressiva B.I.G. NORM|Surfaçada|Multigressiv B.I.G. NORM||1.6|1.60|Solitaire Protect|-11 a +10|até -6||75/80|||11</x:v>
      </x:c>
    </x:row>
    <x:row r="1241">
      <x:c r="A1241" s="24" t="str">
        <x:v>RD-F54ECB11B46C</x:v>
      </x:c>
      <x:c r="B1241" s="24" t="str">
        <x:v>SIM</x:v>
      </x:c>
      <x:c r="C1241" s="24" t="str">
        <x:v>DISPONÍVEL</x:v>
      </x:c>
      <x:c r="D1241" s="24" t="str">
        <x:v>Rodenstock</x:v>
      </x:c>
      <x:c r="E1241" s="24" t="str">
        <x:v>Progressiva B.I.G. NORM</x:v>
      </x:c>
      <x:c r="F1241" s="24" t="str">
        <x:v>Surfaçada</x:v>
      </x:c>
      <x:c r="G1241" s="24" t="str">
        <x:v>Multigressiv B.I.G. NORM</x:v>
      </x:c>
      <x:c r="H1241" s="24" t="str">
        <x:v>PRO410</x:v>
      </x:c>
      <x:c r="I1241" s="24" t="str">
        <x:v>1.6</x:v>
      </x:c>
      <x:c r="J1241" s="24" t="str">
        <x:v>1.60</x:v>
      </x:c>
      <x:c r="K1241" s="24" t="str">
        <x:v>LayR X-tra Clean</x:v>
      </x:c>
      <x:c r="L1241" s="40" t="n">
        <x:v>8851</x:v>
      </x:c>
      <x:c r="M1241" s="24" t="str">
        <x:v>-11 a +10</x:v>
      </x:c>
      <x:c r="N1241" s="24" t="str">
        <x:v>até -6</x:v>
      </x:c>
      <x:c r="O1241" s="24"/>
      <x:c r="P1241" s="24" t="str">
        <x:v>75/80</x:v>
      </x:c>
      <x:c r="Q1241" s="24"/>
      <x:c r="R1241" s="24"/>
      <x:c r="S1241" s="26" t="n">
        <x:v>46024</x:v>
      </x:c>
      <x:c r="T1241" s="26"/>
      <x:c r="U1241" s="24" t="str">
        <x:v>ATIVA/SEM FIM INFORMADO</x:v>
      </x:c>
      <x:c r="V1241" s="24"/>
      <x:c r="W1241" s="24" t="n">
        <x:v>11</x:v>
      </x:c>
      <x:c r="X1241" s="24" t="str">
        <x:v>tabela_rodenstock.pdf</x:v>
      </x:c>
      <x:c r="Y1241" s="24" t="str">
        <x:v>alta</x:v>
      </x:c>
      <x:c r="Z1241" s="24"/>
      <x:c r="AA1241" s="24" t="str">
        <x:v>Rodenstock|Progressiva B.I.G. NORM|Surfaçada|Multigressiv B.I.G. NORM|PRO410|1.6|1.60|LayR X-tra Clean|-11 a +10|até -6||75/80|||11</x:v>
      </x:c>
    </x:row>
    <x:row r="1242">
      <x:c r="A1242" s="24" t="str">
        <x:v>RD-4A0CE46ED12F</x:v>
      </x:c>
      <x:c r="B1242" s="24" t="str">
        <x:v>SIM</x:v>
      </x:c>
      <x:c r="C1242" s="24" t="str">
        <x:v>DISPONÍVEL</x:v>
      </x:c>
      <x:c r="D1242" s="24" t="str">
        <x:v>Rodenstock</x:v>
      </x:c>
      <x:c r="E1242" s="24" t="str">
        <x:v>Progressiva B.I.G. NORM</x:v>
      </x:c>
      <x:c r="F1242" s="24" t="str">
        <x:v>Surfaçada</x:v>
      </x:c>
      <x:c r="G1242" s="24" t="str">
        <x:v>Multigressiv B.I.G. NORM</x:v>
      </x:c>
      <x:c r="H1242" s="24" t="str">
        <x:v>PRO410</x:v>
      </x:c>
      <x:c r="I1242" s="24" t="str">
        <x:v>1.6</x:v>
      </x:c>
      <x:c r="J1242" s="24" t="str">
        <x:v>1.60</x:v>
      </x:c>
      <x:c r="K1242" s="24" t="str">
        <x:v>LayR Balance</x:v>
      </x:c>
      <x:c r="L1242" s="40" t="n">
        <x:v>8851</x:v>
      </x:c>
      <x:c r="M1242" s="24" t="str">
        <x:v>-11 a +10</x:v>
      </x:c>
      <x:c r="N1242" s="24" t="str">
        <x:v>até -6</x:v>
      </x:c>
      <x:c r="O1242" s="24"/>
      <x:c r="P1242" s="24" t="str">
        <x:v>75/80</x:v>
      </x:c>
      <x:c r="Q1242" s="24"/>
      <x:c r="R1242" s="24"/>
      <x:c r="S1242" s="26" t="n">
        <x:v>46024</x:v>
      </x:c>
      <x:c r="T1242" s="26"/>
      <x:c r="U1242" s="24" t="str">
        <x:v>ATIVA/SEM FIM INFORMADO</x:v>
      </x:c>
      <x:c r="V1242" s="24"/>
      <x:c r="W1242" s="24" t="n">
        <x:v>11</x:v>
      </x:c>
      <x:c r="X1242" s="24" t="str">
        <x:v>tabela_rodenstock.pdf</x:v>
      </x:c>
      <x:c r="Y1242" s="24" t="str">
        <x:v>alta</x:v>
      </x:c>
      <x:c r="Z1242" s="24"/>
      <x:c r="AA1242" s="24" t="str">
        <x:v>Rodenstock|Progressiva B.I.G. NORM|Surfaçada|Multigressiv B.I.G. NORM|PRO410|1.6|1.60|LayR Balance|-11 a +10|até -6||75/80|||11</x:v>
      </x:c>
    </x:row>
    <x:row r="1243">
      <x:c r="A1243" s="24" t="str">
        <x:v>RD-1D4DAA6DF732</x:v>
      </x:c>
      <x:c r="B1243" s="24" t="str">
        <x:v>SIM</x:v>
      </x:c>
      <x:c r="C1243" s="24" t="str">
        <x:v>DISPONÍVEL</x:v>
      </x:c>
      <x:c r="D1243" s="24" t="str">
        <x:v>Rodenstock</x:v>
      </x:c>
      <x:c r="E1243" s="24" t="str">
        <x:v>Progressiva B.I.G. NORM</x:v>
      </x:c>
      <x:c r="F1243" s="24" t="str">
        <x:v>Surfaçada</x:v>
      </x:c>
      <x:c r="G1243" s="24" t="str">
        <x:v>Multigressiv B.I.G. NORM</x:v>
      </x:c>
      <x:c r="H1243" s="24" t="str">
        <x:v>PRO410</x:v>
      </x:c>
      <x:c r="I1243" s="24" t="str">
        <x:v>1.6</x:v>
      </x:c>
      <x:c r="J1243" s="24" t="str">
        <x:v>1.60</x:v>
      </x:c>
      <x:c r="K1243" s="24" t="str">
        <x:v>Solitaire X-tra Clean</x:v>
      </x:c>
      <x:c r="L1243" s="40" t="n">
        <x:v>8781</x:v>
      </x:c>
      <x:c r="M1243" s="24" t="str">
        <x:v>-11 a +10</x:v>
      </x:c>
      <x:c r="N1243" s="24" t="str">
        <x:v>até -6</x:v>
      </x:c>
      <x:c r="O1243" s="24"/>
      <x:c r="P1243" s="24" t="str">
        <x:v>75/80</x:v>
      </x:c>
      <x:c r="Q1243" s="24"/>
      <x:c r="R1243" s="24"/>
      <x:c r="S1243" s="26" t="n">
        <x:v>46024</x:v>
      </x:c>
      <x:c r="T1243" s="26"/>
      <x:c r="U1243" s="24" t="str">
        <x:v>ATIVA/SEM FIM INFORMADO</x:v>
      </x:c>
      <x:c r="V1243" s="24"/>
      <x:c r="W1243" s="24" t="n">
        <x:v>11</x:v>
      </x:c>
      <x:c r="X1243" s="24" t="str">
        <x:v>tabela_rodenstock.pdf</x:v>
      </x:c>
      <x:c r="Y1243" s="24" t="str">
        <x:v>alta</x:v>
      </x:c>
      <x:c r="Z1243" s="24"/>
      <x:c r="AA1243" s="24" t="str">
        <x:v>Rodenstock|Progressiva B.I.G. NORM|Surfaçada|Multigressiv B.I.G. NORM|PRO410|1.6|1.60|Solitaire X-tra Clean|-11 a +10|até -6||75/80|||11</x:v>
      </x:c>
    </x:row>
    <x:row r="1244">
      <x:c r="A1244" s="24" t="str">
        <x:v>RD-7F27466A47CE</x:v>
      </x:c>
      <x:c r="B1244" s="24" t="str">
        <x:v>SIM</x:v>
      </x:c>
      <x:c r="C1244" s="24" t="str">
        <x:v>DISPONÍVEL</x:v>
      </x:c>
      <x:c r="D1244" s="24" t="str">
        <x:v>Rodenstock</x:v>
      </x:c>
      <x:c r="E1244" s="24" t="str">
        <x:v>Progressiva B.I.G. NORM</x:v>
      </x:c>
      <x:c r="F1244" s="24" t="str">
        <x:v>Surfaçada</x:v>
      </x:c>
      <x:c r="G1244" s="24" t="str">
        <x:v>Multigressiv B.I.G. NORM</x:v>
      </x:c>
      <x:c r="H1244" s="24" t="str">
        <x:v>PRO410</x:v>
      </x:c>
      <x:c r="I1244" s="24" t="str">
        <x:v>1.6</x:v>
      </x:c>
      <x:c r="J1244" s="24" t="str">
        <x:v>1.60</x:v>
      </x:c>
      <x:c r="K1244" s="24" t="str">
        <x:v>Solitaire Protect Plus</x:v>
      </x:c>
      <x:c r="L1244" s="40" t="n">
        <x:v>8731</x:v>
      </x:c>
      <x:c r="M1244" s="24" t="str">
        <x:v>-11 a +10</x:v>
      </x:c>
      <x:c r="N1244" s="24" t="str">
        <x:v>até -6</x:v>
      </x:c>
      <x:c r="O1244" s="24"/>
      <x:c r="P1244" s="24" t="str">
        <x:v>75/80</x:v>
      </x:c>
      <x:c r="Q1244" s="24"/>
      <x:c r="R1244" s="24"/>
      <x:c r="S1244" s="26" t="n">
        <x:v>46024</x:v>
      </x:c>
      <x:c r="T1244" s="26"/>
      <x:c r="U1244" s="24" t="str">
        <x:v>ATIVA/SEM FIM INFORMADO</x:v>
      </x:c>
      <x:c r="V1244" s="24"/>
      <x:c r="W1244" s="24" t="n">
        <x:v>11</x:v>
      </x:c>
      <x:c r="X1244" s="24" t="str">
        <x:v>tabela_rodenstock.pdf</x:v>
      </x:c>
      <x:c r="Y1244" s="24" t="str">
        <x:v>alta</x:v>
      </x:c>
      <x:c r="Z1244" s="24"/>
      <x:c r="AA1244" s="24" t="str">
        <x:v>Rodenstock|Progressiva B.I.G. NORM|Surfaçada|Multigressiv B.I.G. NORM|PRO410|1.6|1.60|Solitaire Protect Plus|-11 a +10|até -6||75/80|||11</x:v>
      </x:c>
    </x:row>
    <x:row r="1245">
      <x:c r="A1245" s="24" t="str">
        <x:v>RD-7577A44D9BA1</x:v>
      </x:c>
      <x:c r="B1245" s="24" t="str">
        <x:v>SIM</x:v>
      </x:c>
      <x:c r="C1245" s="24" t="str">
        <x:v>DISPONÍVEL</x:v>
      </x:c>
      <x:c r="D1245" s="24" t="str">
        <x:v>Rodenstock</x:v>
      </x:c>
      <x:c r="E1245" s="24" t="str">
        <x:v>Progressiva B.I.G. NORM</x:v>
      </x:c>
      <x:c r="F1245" s="24" t="str">
        <x:v>Surfaçada</x:v>
      </x:c>
      <x:c r="G1245" s="24" t="str">
        <x:v>Multigressiv B.I.G. NORM</x:v>
      </x:c>
      <x:c r="H1245" s="24" t="str">
        <x:v>PRO410</x:v>
      </x:c>
      <x:c r="I1245" s="24" t="str">
        <x:v>1.6</x:v>
      </x:c>
      <x:c r="J1245" s="24" t="str">
        <x:v>1.60</x:v>
      </x:c>
      <x:c r="K1245" s="24" t="str">
        <x:v>ROAD</x:v>
      </x:c>
      <x:c r="L1245" s="40" t="n">
        <x:v>8731</x:v>
      </x:c>
      <x:c r="M1245" s="24" t="str">
        <x:v>-11 a +10</x:v>
      </x:c>
      <x:c r="N1245" s="24" t="str">
        <x:v>até -6</x:v>
      </x:c>
      <x:c r="O1245" s="24"/>
      <x:c r="P1245" s="24" t="str">
        <x:v>75/80</x:v>
      </x:c>
      <x:c r="Q1245" s="24"/>
      <x:c r="R1245" s="24"/>
      <x:c r="S1245" s="26" t="n">
        <x:v>46024</x:v>
      </x:c>
      <x:c r="T1245" s="26"/>
      <x:c r="U1245" s="24" t="str">
        <x:v>ATIVA/SEM FIM INFORMADO</x:v>
      </x:c>
      <x:c r="V1245" s="24"/>
      <x:c r="W1245" s="24" t="n">
        <x:v>11</x:v>
      </x:c>
      <x:c r="X1245" s="24" t="str">
        <x:v>tabela_rodenstock.pdf</x:v>
      </x:c>
      <x:c r="Y1245" s="24" t="str">
        <x:v>alta</x:v>
      </x:c>
      <x:c r="Z1245" s="24"/>
      <x:c r="AA1245" s="24" t="str">
        <x:v>Rodenstock|Progressiva B.I.G. NORM|Surfaçada|Multigressiv B.I.G. NORM|PRO410|1.6|1.60|ROAD|-11 a +10|até -6||75/80|||11</x:v>
      </x:c>
    </x:row>
    <x:row r="1246">
      <x:c r="A1246" s="24" t="str">
        <x:v>RD-24AC124BD1BE</x:v>
      </x:c>
      <x:c r="B1246" s="24" t="str">
        <x:v>SIM</x:v>
      </x:c>
      <x:c r="C1246" s="24" t="str">
        <x:v>DISPONÍVEL</x:v>
      </x:c>
      <x:c r="D1246" s="24" t="str">
        <x:v>Rodenstock</x:v>
      </x:c>
      <x:c r="E1246" s="24" t="str">
        <x:v>Progressiva B.I.G. NORM</x:v>
      </x:c>
      <x:c r="F1246" s="24" t="str">
        <x:v>Surfaçada</x:v>
      </x:c>
      <x:c r="G1246" s="24" t="str">
        <x:v>Multigressiv B.I.G. NORM</x:v>
      </x:c>
      <x:c r="H1246" s="24" t="str">
        <x:v>PRO410</x:v>
      </x:c>
      <x:c r="I1246" s="24" t="str">
        <x:v>1.6</x:v>
      </x:c>
      <x:c r="J1246" s="24" t="str">
        <x:v>1.60</x:v>
      </x:c>
      <x:c r="K1246" s="24" t="str">
        <x:v>Solitaire Protect</x:v>
      </x:c>
      <x:c r="L1246" s="40" t="n">
        <x:v>8471</x:v>
      </x:c>
      <x:c r="M1246" s="24" t="str">
        <x:v>-11 a +10</x:v>
      </x:c>
      <x:c r="N1246" s="24" t="str">
        <x:v>até -6</x:v>
      </x:c>
      <x:c r="O1246" s="24"/>
      <x:c r="P1246" s="24" t="str">
        <x:v>75/80</x:v>
      </x:c>
      <x:c r="Q1246" s="24"/>
      <x:c r="R1246" s="24"/>
      <x:c r="S1246" s="26" t="n">
        <x:v>46024</x:v>
      </x:c>
      <x:c r="T1246" s="26"/>
      <x:c r="U1246" s="24" t="str">
        <x:v>ATIVA/SEM FIM INFORMADO</x:v>
      </x:c>
      <x:c r="V1246" s="24"/>
      <x:c r="W1246" s="24" t="n">
        <x:v>11</x:v>
      </x:c>
      <x:c r="X1246" s="24" t="str">
        <x:v>tabela_rodenstock.pdf</x:v>
      </x:c>
      <x:c r="Y1246" s="24" t="str">
        <x:v>alta</x:v>
      </x:c>
      <x:c r="Z1246" s="24"/>
      <x:c r="AA1246" s="24" t="str">
        <x:v>Rodenstock|Progressiva B.I.G. NORM|Surfaçada|Multigressiv B.I.G. NORM|PRO410|1.6|1.60|Solitaire Protect|-11 a +10|até -6||75/80|||11</x:v>
      </x:c>
    </x:row>
    <x:row r="1247">
      <x:c r="A1247" s="24" t="str">
        <x:v>RD-6CC26D5E46F3</x:v>
      </x:c>
      <x:c r="B1247" s="24" t="str">
        <x:v>SIM</x:v>
      </x:c>
      <x:c r="C1247" s="24" t="str">
        <x:v>DISPONÍVEL</x:v>
      </x:c>
      <x:c r="D1247" s="24" t="str">
        <x:v>Rodenstock</x:v>
      </x:c>
      <x:c r="E1247" s="24" t="str">
        <x:v>Progressiva B.I.G. NORM</x:v>
      </x:c>
      <x:c r="F1247" s="24" t="str">
        <x:v>Surfaçada</x:v>
      </x:c>
      <x:c r="G1247" s="24" t="str">
        <x:v>Multigressiv B.I.G. NORM</x:v>
      </x:c>
      <x:c r="H1247" s="24" t="str">
        <x:v>ColorMatic® 3 | X</x:v>
      </x:c>
      <x:c r="I1247" s="24" t="str">
        <x:v>1.6</x:v>
      </x:c>
      <x:c r="J1247" s="24" t="str">
        <x:v>1.60</x:v>
      </x:c>
      <x:c r="K1247" s="24" t="str">
        <x:v>LayR X-tra Clean</x:v>
      </x:c>
      <x:c r="L1247" s="40" t="n">
        <x:v>10645</x:v>
      </x:c>
      <x:c r="M1247" s="24" t="str">
        <x:v>-11 a +10</x:v>
      </x:c>
      <x:c r="N1247" s="24" t="str">
        <x:v>até -6</x:v>
      </x:c>
      <x:c r="O1247" s="24"/>
      <x:c r="P1247" s="24" t="str">
        <x:v>75/80</x:v>
      </x:c>
      <x:c r="Q1247" s="24"/>
      <x:c r="R1247" s="24"/>
      <x:c r="S1247" s="26" t="n">
        <x:v>46024</x:v>
      </x:c>
      <x:c r="T1247" s="26"/>
      <x:c r="U1247" s="24" t="str">
        <x:v>ATIVA/SEM FIM INFORMADO</x:v>
      </x:c>
      <x:c r="V1247" s="24"/>
      <x:c r="W1247" s="24" t="n">
        <x:v>11</x:v>
      </x:c>
      <x:c r="X1247" s="24" t="str">
        <x:v>tabela_rodenstock.pdf</x:v>
      </x:c>
      <x:c r="Y1247" s="24" t="str">
        <x:v>alta</x:v>
      </x:c>
      <x:c r="Z1247" s="24"/>
      <x:c r="AA1247" s="24" t="str">
        <x:v>Rodenstock|Progressiva B.I.G. NORM|Surfaçada|Multigressiv B.I.G. NORM|ColorMatic® 3 | X|1.6|1.60|LayR X-tra Clean|-11 a +10|até -6||75/80|||11</x:v>
      </x:c>
    </x:row>
    <x:row r="1248">
      <x:c r="A1248" s="24" t="str">
        <x:v>RD-D42071D9A1AB</x:v>
      </x:c>
      <x:c r="B1248" s="24" t="str">
        <x:v>SIM</x:v>
      </x:c>
      <x:c r="C1248" s="24" t="str">
        <x:v>DISPONÍVEL</x:v>
      </x:c>
      <x:c r="D1248" s="24" t="str">
        <x:v>Rodenstock</x:v>
      </x:c>
      <x:c r="E1248" s="24" t="str">
        <x:v>Progressiva B.I.G. NORM</x:v>
      </x:c>
      <x:c r="F1248" s="24" t="str">
        <x:v>Surfaçada</x:v>
      </x:c>
      <x:c r="G1248" s="24" t="str">
        <x:v>Multigressiv B.I.G. NORM</x:v>
      </x:c>
      <x:c r="H1248" s="24" t="str">
        <x:v>ColorMatic® 3 | X</x:v>
      </x:c>
      <x:c r="I1248" s="24" t="str">
        <x:v>1.6</x:v>
      </x:c>
      <x:c r="J1248" s="24" t="str">
        <x:v>1.60</x:v>
      </x:c>
      <x:c r="K1248" s="24" t="str">
        <x:v>LayR Balance</x:v>
      </x:c>
      <x:c r="L1248" s="40" t="n">
        <x:v>10645</x:v>
      </x:c>
      <x:c r="M1248" s="24" t="str">
        <x:v>-11 a +10</x:v>
      </x:c>
      <x:c r="N1248" s="24" t="str">
        <x:v>até -6</x:v>
      </x:c>
      <x:c r="O1248" s="24"/>
      <x:c r="P1248" s="24" t="str">
        <x:v>75/80</x:v>
      </x:c>
      <x:c r="Q1248" s="24"/>
      <x:c r="R1248" s="24"/>
      <x:c r="S1248" s="26" t="n">
        <x:v>46024</x:v>
      </x:c>
      <x:c r="T1248" s="26"/>
      <x:c r="U1248" s="24" t="str">
        <x:v>ATIVA/SEM FIM INFORMADO</x:v>
      </x:c>
      <x:c r="V1248" s="24"/>
      <x:c r="W1248" s="24" t="n">
        <x:v>11</x:v>
      </x:c>
      <x:c r="X1248" s="24" t="str">
        <x:v>tabela_rodenstock.pdf</x:v>
      </x:c>
      <x:c r="Y1248" s="24" t="str">
        <x:v>alta</x:v>
      </x:c>
      <x:c r="Z1248" s="24"/>
      <x:c r="AA1248" s="24" t="str">
        <x:v>Rodenstock|Progressiva B.I.G. NORM|Surfaçada|Multigressiv B.I.G. NORM|ColorMatic® 3 | X|1.6|1.60|LayR Balance|-11 a +10|até -6||75/80|||11</x:v>
      </x:c>
    </x:row>
    <x:row r="1249">
      <x:c r="A1249" s="24" t="str">
        <x:v>RD-918568D6576F</x:v>
      </x:c>
      <x:c r="B1249" s="24" t="str">
        <x:v>SIM</x:v>
      </x:c>
      <x:c r="C1249" s="24" t="str">
        <x:v>DISPONÍVEL</x:v>
      </x:c>
      <x:c r="D1249" s="24" t="str">
        <x:v>Rodenstock</x:v>
      </x:c>
      <x:c r="E1249" s="24" t="str">
        <x:v>Progressiva B.I.G. NORM</x:v>
      </x:c>
      <x:c r="F1249" s="24" t="str">
        <x:v>Surfaçada</x:v>
      </x:c>
      <x:c r="G1249" s="24" t="str">
        <x:v>Multigressiv B.I.G. NORM</x:v>
      </x:c>
      <x:c r="H1249" s="24" t="str">
        <x:v>ColorMatic® 3 | X</x:v>
      </x:c>
      <x:c r="I1249" s="24" t="str">
        <x:v>1.6</x:v>
      </x:c>
      <x:c r="J1249" s="24" t="str">
        <x:v>1.60</x:v>
      </x:c>
      <x:c r="K1249" s="24" t="str">
        <x:v>Solitaire X-tra Clean</x:v>
      </x:c>
      <x:c r="L1249" s="40" t="n">
        <x:v>10575</x:v>
      </x:c>
      <x:c r="M1249" s="24" t="str">
        <x:v>-11 a +10</x:v>
      </x:c>
      <x:c r="N1249" s="24" t="str">
        <x:v>até -6</x:v>
      </x:c>
      <x:c r="O1249" s="24"/>
      <x:c r="P1249" s="24" t="str">
        <x:v>75/80</x:v>
      </x:c>
      <x:c r="Q1249" s="24"/>
      <x:c r="R1249" s="24"/>
      <x:c r="S1249" s="26" t="n">
        <x:v>46024</x:v>
      </x:c>
      <x:c r="T1249" s="26"/>
      <x:c r="U1249" s="24" t="str">
        <x:v>ATIVA/SEM FIM INFORMADO</x:v>
      </x:c>
      <x:c r="V1249" s="24"/>
      <x:c r="W1249" s="24" t="n">
        <x:v>11</x:v>
      </x:c>
      <x:c r="X1249" s="24" t="str">
        <x:v>tabela_rodenstock.pdf</x:v>
      </x:c>
      <x:c r="Y1249" s="24" t="str">
        <x:v>alta</x:v>
      </x:c>
      <x:c r="Z1249" s="24"/>
      <x:c r="AA1249" s="24" t="str">
        <x:v>Rodenstock|Progressiva B.I.G. NORM|Surfaçada|Multigressiv B.I.G. NORM|ColorMatic® 3 | X|1.6|1.60|Solitaire X-tra Clean|-11 a +10|até -6||75/80|||11</x:v>
      </x:c>
    </x:row>
    <x:row r="1250">
      <x:c r="A1250" s="24" t="str">
        <x:v>RD-71D73F134588</x:v>
      </x:c>
      <x:c r="B1250" s="24" t="str">
        <x:v>SIM</x:v>
      </x:c>
      <x:c r="C1250" s="24" t="str">
        <x:v>DISPONÍVEL</x:v>
      </x:c>
      <x:c r="D1250" s="24" t="str">
        <x:v>Rodenstock</x:v>
      </x:c>
      <x:c r="E1250" s="24" t="str">
        <x:v>Progressiva B.I.G. NORM</x:v>
      </x:c>
      <x:c r="F1250" s="24" t="str">
        <x:v>Surfaçada</x:v>
      </x:c>
      <x:c r="G1250" s="24" t="str">
        <x:v>Multigressiv B.I.G. NORM</x:v>
      </x:c>
      <x:c r="H1250" s="24" t="str">
        <x:v>ColorMatic® 3 | X</x:v>
      </x:c>
      <x:c r="I1250" s="24" t="str">
        <x:v>1.6</x:v>
      </x:c>
      <x:c r="J1250" s="24" t="str">
        <x:v>1.60</x:v>
      </x:c>
      <x:c r="K1250" s="24" t="str">
        <x:v>Solitaire Protect Plus</x:v>
      </x:c>
      <x:c r="L1250" s="40" t="n">
        <x:v>10525</x:v>
      </x:c>
      <x:c r="M1250" s="24" t="str">
        <x:v>-11 a +10</x:v>
      </x:c>
      <x:c r="N1250" s="24" t="str">
        <x:v>até -6</x:v>
      </x:c>
      <x:c r="O1250" s="24"/>
      <x:c r="P1250" s="24" t="str">
        <x:v>75/80</x:v>
      </x:c>
      <x:c r="Q1250" s="24"/>
      <x:c r="R1250" s="24"/>
      <x:c r="S1250" s="26" t="n">
        <x:v>46024</x:v>
      </x:c>
      <x:c r="T1250" s="26"/>
      <x:c r="U1250" s="24" t="str">
        <x:v>ATIVA/SEM FIM INFORMADO</x:v>
      </x:c>
      <x:c r="V1250" s="24"/>
      <x:c r="W1250" s="24" t="n">
        <x:v>11</x:v>
      </x:c>
      <x:c r="X1250" s="24" t="str">
        <x:v>tabela_rodenstock.pdf</x:v>
      </x:c>
      <x:c r="Y1250" s="24" t="str">
        <x:v>alta</x:v>
      </x:c>
      <x:c r="Z1250" s="24"/>
      <x:c r="AA1250" s="24" t="str">
        <x:v>Rodenstock|Progressiva B.I.G. NORM|Surfaçada|Multigressiv B.I.G. NORM|ColorMatic® 3 | X|1.6|1.60|Solitaire Protect Plus|-11 a +10|até -6||75/80|||11</x:v>
      </x:c>
    </x:row>
    <x:row r="1251">
      <x:c r="A1251" s="24" t="str">
        <x:v>RD-7685E33A1DCC</x:v>
      </x:c>
      <x:c r="B1251" s="24" t="str">
        <x:v>SIM</x:v>
      </x:c>
      <x:c r="C1251" s="24" t="str">
        <x:v>DISPONÍVEL</x:v>
      </x:c>
      <x:c r="D1251" s="24" t="str">
        <x:v>Rodenstock</x:v>
      </x:c>
      <x:c r="E1251" s="24" t="str">
        <x:v>Progressiva B.I.G. NORM</x:v>
      </x:c>
      <x:c r="F1251" s="24" t="str">
        <x:v>Surfaçada</x:v>
      </x:c>
      <x:c r="G1251" s="24" t="str">
        <x:v>Multigressiv B.I.G. NORM</x:v>
      </x:c>
      <x:c r="H1251" s="24" t="str">
        <x:v>ColorMatic® 3 | X</x:v>
      </x:c>
      <x:c r="I1251" s="24" t="str">
        <x:v>1.6</x:v>
      </x:c>
      <x:c r="J1251" s="24" t="str">
        <x:v>1.60</x:v>
      </x:c>
      <x:c r="K1251" s="24" t="str">
        <x:v>ROAD</x:v>
      </x:c>
      <x:c r="L1251" s="40" t="n">
        <x:v>10525</x:v>
      </x:c>
      <x:c r="M1251" s="24" t="str">
        <x:v>-11 a +10</x:v>
      </x:c>
      <x:c r="N1251" s="24" t="str">
        <x:v>até -6</x:v>
      </x:c>
      <x:c r="O1251" s="24"/>
      <x:c r="P1251" s="24" t="str">
        <x:v>75/80</x:v>
      </x:c>
      <x:c r="Q1251" s="24"/>
      <x:c r="R1251" s="24"/>
      <x:c r="S1251" s="26" t="n">
        <x:v>46024</x:v>
      </x:c>
      <x:c r="T1251" s="26"/>
      <x:c r="U1251" s="24" t="str">
        <x:v>ATIVA/SEM FIM INFORMADO</x:v>
      </x:c>
      <x:c r="V1251" s="24"/>
      <x:c r="W1251" s="24" t="n">
        <x:v>11</x:v>
      </x:c>
      <x:c r="X1251" s="24" t="str">
        <x:v>tabela_rodenstock.pdf</x:v>
      </x:c>
      <x:c r="Y1251" s="24" t="str">
        <x:v>alta</x:v>
      </x:c>
      <x:c r="Z1251" s="24"/>
      <x:c r="AA1251" s="24" t="str">
        <x:v>Rodenstock|Progressiva B.I.G. NORM|Surfaçada|Multigressiv B.I.G. NORM|ColorMatic® 3 | X|1.6|1.60|ROAD|-11 a +10|até -6||75/80|||11</x:v>
      </x:c>
    </x:row>
    <x:row r="1252">
      <x:c r="A1252" s="24" t="str">
        <x:v>RD-E06DC185008A</x:v>
      </x:c>
      <x:c r="B1252" s="24" t="str">
        <x:v>SIM</x:v>
      </x:c>
      <x:c r="C1252" s="24" t="str">
        <x:v>DISPONÍVEL</x:v>
      </x:c>
      <x:c r="D1252" s="24" t="str">
        <x:v>Rodenstock</x:v>
      </x:c>
      <x:c r="E1252" s="24" t="str">
        <x:v>Progressiva B.I.G. NORM</x:v>
      </x:c>
      <x:c r="F1252" s="24" t="str">
        <x:v>Surfaçada</x:v>
      </x:c>
      <x:c r="G1252" s="24" t="str">
        <x:v>Multigressiv B.I.G. NORM</x:v>
      </x:c>
      <x:c r="H1252" s="24" t="str">
        <x:v>ColorMatic® 3 | X</x:v>
      </x:c>
      <x:c r="I1252" s="24" t="str">
        <x:v>1.6</x:v>
      </x:c>
      <x:c r="J1252" s="24" t="str">
        <x:v>1.60</x:v>
      </x:c>
      <x:c r="K1252" s="24" t="str">
        <x:v>Solitaire Protect</x:v>
      </x:c>
      <x:c r="L1252" s="40" t="n">
        <x:v>10265</x:v>
      </x:c>
      <x:c r="M1252" s="24" t="str">
        <x:v>-11 a +10</x:v>
      </x:c>
      <x:c r="N1252" s="24" t="str">
        <x:v>até -6</x:v>
      </x:c>
      <x:c r="O1252" s="24"/>
      <x:c r="P1252" s="24" t="str">
        <x:v>75/80</x:v>
      </x:c>
      <x:c r="Q1252" s="24"/>
      <x:c r="R1252" s="24"/>
      <x:c r="S1252" s="26" t="n">
        <x:v>46024</x:v>
      </x:c>
      <x:c r="T1252" s="26"/>
      <x:c r="U1252" s="24" t="str">
        <x:v>ATIVA/SEM FIM INFORMADO</x:v>
      </x:c>
      <x:c r="V1252" s="24"/>
      <x:c r="W1252" s="24" t="n">
        <x:v>11</x:v>
      </x:c>
      <x:c r="X1252" s="24" t="str">
        <x:v>tabela_rodenstock.pdf</x:v>
      </x:c>
      <x:c r="Y1252" s="24" t="str">
        <x:v>alta</x:v>
      </x:c>
      <x:c r="Z1252" s="24"/>
      <x:c r="AA1252" s="24" t="str">
        <x:v>Rodenstock|Progressiva B.I.G. NORM|Surfaçada|Multigressiv B.I.G. NORM|ColorMatic® 3 | X|1.6|1.60|Solitaire Protect|-11 a +10|até -6||75/80|||11</x:v>
      </x:c>
    </x:row>
    <x:row r="1253">
      <x:c r="A1253" s="24" t="str">
        <x:v>RD-ABD64EF8FEAF</x:v>
      </x:c>
      <x:c r="B1253" s="24" t="str">
        <x:v>SIM</x:v>
      </x:c>
      <x:c r="C1253" s="24" t="str">
        <x:v>DISPONÍVEL</x:v>
      </x:c>
      <x:c r="D1253" s="24" t="str">
        <x:v>Rodenstock</x:v>
      </x:c>
      <x:c r="E1253" s="24" t="str">
        <x:v>Progressiva B.I.G. NORM</x:v>
      </x:c>
      <x:c r="F1253" s="24" t="str">
        <x:v>Surfaçada</x:v>
      </x:c>
      <x:c r="G1253" s="24" t="str">
        <x:v>Multigressiv B.I.G. NORM</x:v>
      </x:c>
      <x:c r="H1253" s="24"/>
      <x:c r="I1253" s="24" t="str">
        <x:v>1.67</x:v>
      </x:c>
      <x:c r="J1253" s="24" t="str">
        <x:v>1.67</x:v>
      </x:c>
      <x:c r="K1253" s="24" t="str">
        <x:v>LayR X-tra Clean</x:v>
      </x:c>
      <x:c r="L1253" s="40" t="n">
        <x:v>10307</x:v>
      </x:c>
      <x:c r="M1253" s="24" t="str">
        <x:v>-12 a +10</x:v>
      </x:c>
      <x:c r="N1253" s="24" t="str">
        <x:v>até -6</x:v>
      </x:c>
      <x:c r="O1253" s="24"/>
      <x:c r="P1253" s="24" t="str">
        <x:v>75/80</x:v>
      </x:c>
      <x:c r="Q1253" s="24"/>
      <x:c r="R1253" s="24"/>
      <x:c r="S1253" s="26" t="n">
        <x:v>46024</x:v>
      </x:c>
      <x:c r="T1253" s="26"/>
      <x:c r="U1253" s="24" t="str">
        <x:v>ATIVA/SEM FIM INFORMADO</x:v>
      </x:c>
      <x:c r="V1253" s="24"/>
      <x:c r="W1253" s="24" t="n">
        <x:v>11</x:v>
      </x:c>
      <x:c r="X1253" s="24" t="str">
        <x:v>tabela_rodenstock.pdf</x:v>
      </x:c>
      <x:c r="Y1253" s="24" t="str">
        <x:v>alta</x:v>
      </x:c>
      <x:c r="Z1253" s="24"/>
      <x:c r="AA1253" s="24" t="str">
        <x:v>Rodenstock|Progressiva B.I.G. NORM|Surfaçada|Multigressiv B.I.G. NORM||1.67|1.67|LayR X-tra Clean|-12 a +10|até -6||75/80|||11</x:v>
      </x:c>
    </x:row>
    <x:row r="1254">
      <x:c r="A1254" s="24" t="str">
        <x:v>RD-73E35CFC035E</x:v>
      </x:c>
      <x:c r="B1254" s="24" t="str">
        <x:v>SIM</x:v>
      </x:c>
      <x:c r="C1254" s="24" t="str">
        <x:v>DISPONÍVEL</x:v>
      </x:c>
      <x:c r="D1254" s="24" t="str">
        <x:v>Rodenstock</x:v>
      </x:c>
      <x:c r="E1254" s="24" t="str">
        <x:v>Progressiva B.I.G. NORM</x:v>
      </x:c>
      <x:c r="F1254" s="24" t="str">
        <x:v>Surfaçada</x:v>
      </x:c>
      <x:c r="G1254" s="24" t="str">
        <x:v>Multigressiv B.I.G. NORM</x:v>
      </x:c>
      <x:c r="H1254" s="24"/>
      <x:c r="I1254" s="24" t="str">
        <x:v>1.67</x:v>
      </x:c>
      <x:c r="J1254" s="24" t="str">
        <x:v>1.67</x:v>
      </x:c>
      <x:c r="K1254" s="24" t="str">
        <x:v>LayR Balance</x:v>
      </x:c>
      <x:c r="L1254" s="40" t="n">
        <x:v>10307</x:v>
      </x:c>
      <x:c r="M1254" s="24" t="str">
        <x:v>-12 a +10</x:v>
      </x:c>
      <x:c r="N1254" s="24" t="str">
        <x:v>até -6</x:v>
      </x:c>
      <x:c r="O1254" s="24"/>
      <x:c r="P1254" s="24" t="str">
        <x:v>75/80</x:v>
      </x:c>
      <x:c r="Q1254" s="24"/>
      <x:c r="R1254" s="24"/>
      <x:c r="S1254" s="26" t="n">
        <x:v>46024</x:v>
      </x:c>
      <x:c r="T1254" s="26"/>
      <x:c r="U1254" s="24" t="str">
        <x:v>ATIVA/SEM FIM INFORMADO</x:v>
      </x:c>
      <x:c r="V1254" s="24"/>
      <x:c r="W1254" s="24" t="n">
        <x:v>11</x:v>
      </x:c>
      <x:c r="X1254" s="24" t="str">
        <x:v>tabela_rodenstock.pdf</x:v>
      </x:c>
      <x:c r="Y1254" s="24" t="str">
        <x:v>alta</x:v>
      </x:c>
      <x:c r="Z1254" s="24"/>
      <x:c r="AA1254" s="24" t="str">
        <x:v>Rodenstock|Progressiva B.I.G. NORM|Surfaçada|Multigressiv B.I.G. NORM||1.67|1.67|LayR Balance|-12 a +10|até -6||75/80|||11</x:v>
      </x:c>
    </x:row>
    <x:row r="1255">
      <x:c r="A1255" s="24" t="str">
        <x:v>RD-16AE321C5DB8</x:v>
      </x:c>
      <x:c r="B1255" s="24" t="str">
        <x:v>SIM</x:v>
      </x:c>
      <x:c r="C1255" s="24" t="str">
        <x:v>DISPONÍVEL</x:v>
      </x:c>
      <x:c r="D1255" s="24" t="str">
        <x:v>Rodenstock</x:v>
      </x:c>
      <x:c r="E1255" s="24" t="str">
        <x:v>Progressiva B.I.G. NORM</x:v>
      </x:c>
      <x:c r="F1255" s="24" t="str">
        <x:v>Surfaçada</x:v>
      </x:c>
      <x:c r="G1255" s="24" t="str">
        <x:v>Multigressiv B.I.G. NORM</x:v>
      </x:c>
      <x:c r="H1255" s="24"/>
      <x:c r="I1255" s="24" t="str">
        <x:v>1.67</x:v>
      </x:c>
      <x:c r="J1255" s="24" t="str">
        <x:v>1.67</x:v>
      </x:c>
      <x:c r="K1255" s="24" t="str">
        <x:v>Solitaire X-tra Clean</x:v>
      </x:c>
      <x:c r="L1255" s="40" t="n">
        <x:v>10237</x:v>
      </x:c>
      <x:c r="M1255" s="24" t="str">
        <x:v>-12 a +10</x:v>
      </x:c>
      <x:c r="N1255" s="24" t="str">
        <x:v>até -6</x:v>
      </x:c>
      <x:c r="O1255" s="24"/>
      <x:c r="P1255" s="24" t="str">
        <x:v>75/80</x:v>
      </x:c>
      <x:c r="Q1255" s="24"/>
      <x:c r="R1255" s="24"/>
      <x:c r="S1255" s="26" t="n">
        <x:v>46024</x:v>
      </x:c>
      <x:c r="T1255" s="26"/>
      <x:c r="U1255" s="24" t="str">
        <x:v>ATIVA/SEM FIM INFORMADO</x:v>
      </x:c>
      <x:c r="V1255" s="24"/>
      <x:c r="W1255" s="24" t="n">
        <x:v>11</x:v>
      </x:c>
      <x:c r="X1255" s="24" t="str">
        <x:v>tabela_rodenstock.pdf</x:v>
      </x:c>
      <x:c r="Y1255" s="24" t="str">
        <x:v>alta</x:v>
      </x:c>
      <x:c r="Z1255" s="24"/>
      <x:c r="AA1255" s="24" t="str">
        <x:v>Rodenstock|Progressiva B.I.G. NORM|Surfaçada|Multigressiv B.I.G. NORM||1.67|1.67|Solitaire X-tra Clean|-12 a +10|até -6||75/80|||11</x:v>
      </x:c>
    </x:row>
    <x:row r="1256">
      <x:c r="A1256" s="24" t="str">
        <x:v>RD-59726DCCF989</x:v>
      </x:c>
      <x:c r="B1256" s="24" t="str">
        <x:v>SIM</x:v>
      </x:c>
      <x:c r="C1256" s="24" t="str">
        <x:v>DISPONÍVEL</x:v>
      </x:c>
      <x:c r="D1256" s="24" t="str">
        <x:v>Rodenstock</x:v>
      </x:c>
      <x:c r="E1256" s="24" t="str">
        <x:v>Progressiva B.I.G. NORM</x:v>
      </x:c>
      <x:c r="F1256" s="24" t="str">
        <x:v>Surfaçada</x:v>
      </x:c>
      <x:c r="G1256" s="24" t="str">
        <x:v>Multigressiv B.I.G. NORM</x:v>
      </x:c>
      <x:c r="H1256" s="24"/>
      <x:c r="I1256" s="24" t="str">
        <x:v>1.67</x:v>
      </x:c>
      <x:c r="J1256" s="24" t="str">
        <x:v>1.67</x:v>
      </x:c>
      <x:c r="K1256" s="24" t="str">
        <x:v>Solitaire Protect Plus</x:v>
      </x:c>
      <x:c r="L1256" s="40" t="n">
        <x:v>10187</x:v>
      </x:c>
      <x:c r="M1256" s="24" t="str">
        <x:v>-12 a +10</x:v>
      </x:c>
      <x:c r="N1256" s="24" t="str">
        <x:v>até -6</x:v>
      </x:c>
      <x:c r="O1256" s="24"/>
      <x:c r="P1256" s="24" t="str">
        <x:v>75/80</x:v>
      </x:c>
      <x:c r="Q1256" s="24"/>
      <x:c r="R1256" s="24"/>
      <x:c r="S1256" s="26" t="n">
        <x:v>46024</x:v>
      </x:c>
      <x:c r="T1256" s="26"/>
      <x:c r="U1256" s="24" t="str">
        <x:v>ATIVA/SEM FIM INFORMADO</x:v>
      </x:c>
      <x:c r="V1256" s="24"/>
      <x:c r="W1256" s="24" t="n">
        <x:v>11</x:v>
      </x:c>
      <x:c r="X1256" s="24" t="str">
        <x:v>tabela_rodenstock.pdf</x:v>
      </x:c>
      <x:c r="Y1256" s="24" t="str">
        <x:v>alta</x:v>
      </x:c>
      <x:c r="Z1256" s="24"/>
      <x:c r="AA1256" s="24" t="str">
        <x:v>Rodenstock|Progressiva B.I.G. NORM|Surfaçada|Multigressiv B.I.G. NORM||1.67|1.67|Solitaire Protect Plus|-12 a +10|até -6||75/80|||11</x:v>
      </x:c>
    </x:row>
    <x:row r="1257">
      <x:c r="A1257" s="24" t="str">
        <x:v>RD-F0BA71A55E37</x:v>
      </x:c>
      <x:c r="B1257" s="24" t="str">
        <x:v>SIM</x:v>
      </x:c>
      <x:c r="C1257" s="24" t="str">
        <x:v>DISPONÍVEL</x:v>
      </x:c>
      <x:c r="D1257" s="24" t="str">
        <x:v>Rodenstock</x:v>
      </x:c>
      <x:c r="E1257" s="24" t="str">
        <x:v>Progressiva B.I.G. NORM</x:v>
      </x:c>
      <x:c r="F1257" s="24" t="str">
        <x:v>Surfaçada</x:v>
      </x:c>
      <x:c r="G1257" s="24" t="str">
        <x:v>Multigressiv B.I.G. NORM</x:v>
      </x:c>
      <x:c r="H1257" s="24"/>
      <x:c r="I1257" s="24" t="str">
        <x:v>1.67</x:v>
      </x:c>
      <x:c r="J1257" s="24" t="str">
        <x:v>1.67</x:v>
      </x:c>
      <x:c r="K1257" s="24" t="str">
        <x:v>ROAD</x:v>
      </x:c>
      <x:c r="L1257" s="40" t="n">
        <x:v>10187</x:v>
      </x:c>
      <x:c r="M1257" s="24" t="str">
        <x:v>-12 a +10</x:v>
      </x:c>
      <x:c r="N1257" s="24" t="str">
        <x:v>até -6</x:v>
      </x:c>
      <x:c r="O1257" s="24"/>
      <x:c r="P1257" s="24" t="str">
        <x:v>75/80</x:v>
      </x:c>
      <x:c r="Q1257" s="24"/>
      <x:c r="R1257" s="24"/>
      <x:c r="S1257" s="26" t="n">
        <x:v>46024</x:v>
      </x:c>
      <x:c r="T1257" s="26"/>
      <x:c r="U1257" s="24" t="str">
        <x:v>ATIVA/SEM FIM INFORMADO</x:v>
      </x:c>
      <x:c r="V1257" s="24"/>
      <x:c r="W1257" s="24" t="n">
        <x:v>11</x:v>
      </x:c>
      <x:c r="X1257" s="24" t="str">
        <x:v>tabela_rodenstock.pdf</x:v>
      </x:c>
      <x:c r="Y1257" s="24" t="str">
        <x:v>alta</x:v>
      </x:c>
      <x:c r="Z1257" s="24"/>
      <x:c r="AA1257" s="24" t="str">
        <x:v>Rodenstock|Progressiva B.I.G. NORM|Surfaçada|Multigressiv B.I.G. NORM||1.67|1.67|ROAD|-12 a +10|até -6||75/80|||11</x:v>
      </x:c>
    </x:row>
    <x:row r="1258">
      <x:c r="A1258" s="24" t="str">
        <x:v>RD-1EF9EB7E1551</x:v>
      </x:c>
      <x:c r="B1258" s="24" t="str">
        <x:v>SIM</x:v>
      </x:c>
      <x:c r="C1258" s="24" t="str">
        <x:v>DISPONÍVEL</x:v>
      </x:c>
      <x:c r="D1258" s="24" t="str">
        <x:v>Rodenstock</x:v>
      </x:c>
      <x:c r="E1258" s="24" t="str">
        <x:v>Progressiva B.I.G. NORM</x:v>
      </x:c>
      <x:c r="F1258" s="24" t="str">
        <x:v>Surfaçada</x:v>
      </x:c>
      <x:c r="G1258" s="24" t="str">
        <x:v>Multigressiv B.I.G. NORM</x:v>
      </x:c>
      <x:c r="H1258" s="24"/>
      <x:c r="I1258" s="24" t="str">
        <x:v>1.67</x:v>
      </x:c>
      <x:c r="J1258" s="24" t="str">
        <x:v>1.67</x:v>
      </x:c>
      <x:c r="K1258" s="24" t="str">
        <x:v>Solitaire Protect</x:v>
      </x:c>
      <x:c r="L1258" s="40" t="n">
        <x:v>9927</x:v>
      </x:c>
      <x:c r="M1258" s="24" t="str">
        <x:v>-12 a +10</x:v>
      </x:c>
      <x:c r="N1258" s="24" t="str">
        <x:v>até -6</x:v>
      </x:c>
      <x:c r="O1258" s="24"/>
      <x:c r="P1258" s="24" t="str">
        <x:v>75/80</x:v>
      </x:c>
      <x:c r="Q1258" s="24"/>
      <x:c r="R1258" s="24"/>
      <x:c r="S1258" s="26" t="n">
        <x:v>46024</x:v>
      </x:c>
      <x:c r="T1258" s="26"/>
      <x:c r="U1258" s="24" t="str">
        <x:v>ATIVA/SEM FIM INFORMADO</x:v>
      </x:c>
      <x:c r="V1258" s="24"/>
      <x:c r="W1258" s="24" t="n">
        <x:v>11</x:v>
      </x:c>
      <x:c r="X1258" s="24" t="str">
        <x:v>tabela_rodenstock.pdf</x:v>
      </x:c>
      <x:c r="Y1258" s="24" t="str">
        <x:v>alta</x:v>
      </x:c>
      <x:c r="Z1258" s="24"/>
      <x:c r="AA1258" s="24" t="str">
        <x:v>Rodenstock|Progressiva B.I.G. NORM|Surfaçada|Multigressiv B.I.G. NORM||1.67|1.67|Solitaire Protect|-12 a +10|até -6||75/80|||11</x:v>
      </x:c>
    </x:row>
    <x:row r="1259">
      <x:c r="A1259" s="24" t="str">
        <x:v>RD-C05777825C15</x:v>
      </x:c>
      <x:c r="B1259" s="24" t="str">
        <x:v>SIM</x:v>
      </x:c>
      <x:c r="C1259" s="24" t="str">
        <x:v>DISPONÍVEL</x:v>
      </x:c>
      <x:c r="D1259" s="24" t="str">
        <x:v>Rodenstock</x:v>
      </x:c>
      <x:c r="E1259" s="24" t="str">
        <x:v>Progressiva B.I.G. NORM</x:v>
      </x:c>
      <x:c r="F1259" s="24" t="str">
        <x:v>Surfaçada</x:v>
      </x:c>
      <x:c r="G1259" s="24" t="str">
        <x:v>Multigressiv B.I.G. NORM</x:v>
      </x:c>
      <x:c r="H1259" s="24" t="str">
        <x:v>ColorMatic® 3</x:v>
      </x:c>
      <x:c r="I1259" s="24" t="str">
        <x:v>1.67</x:v>
      </x:c>
      <x:c r="J1259" s="24" t="str">
        <x:v>1.67</x:v>
      </x:c>
      <x:c r="K1259" s="24" t="str">
        <x:v>LayR X-tra Clean</x:v>
      </x:c>
      <x:c r="L1259" s="40" t="n">
        <x:v>11932</x:v>
      </x:c>
      <x:c r="M1259" s="24" t="str">
        <x:v>-12 a +10</x:v>
      </x:c>
      <x:c r="N1259" s="24" t="str">
        <x:v>até -6</x:v>
      </x:c>
      <x:c r="O1259" s="24"/>
      <x:c r="P1259" s="24" t="str">
        <x:v>75/80</x:v>
      </x:c>
      <x:c r="Q1259" s="24"/>
      <x:c r="R1259" s="24"/>
      <x:c r="S1259" s="26" t="n">
        <x:v>46024</x:v>
      </x:c>
      <x:c r="T1259" s="26"/>
      <x:c r="U1259" s="24" t="str">
        <x:v>ATIVA/SEM FIM INFORMADO</x:v>
      </x:c>
      <x:c r="V1259" s="24"/>
      <x:c r="W1259" s="24" t="n">
        <x:v>11</x:v>
      </x:c>
      <x:c r="X1259" s="24" t="str">
        <x:v>tabela_rodenstock.pdf</x:v>
      </x:c>
      <x:c r="Y1259" s="24" t="str">
        <x:v>alta</x:v>
      </x:c>
      <x:c r="Z1259" s="24"/>
      <x:c r="AA1259" s="24" t="str">
        <x:v>Rodenstock|Progressiva B.I.G. NORM|Surfaçada|Multigressiv B.I.G. NORM|ColorMatic® 3|1.67|1.67|LayR X-tra Clean|-12 a +10|até -6||75/80|||11</x:v>
      </x:c>
    </x:row>
    <x:row r="1260">
      <x:c r="A1260" s="24" t="str">
        <x:v>RD-3AA909DE63CC</x:v>
      </x:c>
      <x:c r="B1260" s="24" t="str">
        <x:v>SIM</x:v>
      </x:c>
      <x:c r="C1260" s="24" t="str">
        <x:v>DISPONÍVEL</x:v>
      </x:c>
      <x:c r="D1260" s="24" t="str">
        <x:v>Rodenstock</x:v>
      </x:c>
      <x:c r="E1260" s="24" t="str">
        <x:v>Progressiva B.I.G. NORM</x:v>
      </x:c>
      <x:c r="F1260" s="24" t="str">
        <x:v>Surfaçada</x:v>
      </x:c>
      <x:c r="G1260" s="24" t="str">
        <x:v>Multigressiv B.I.G. NORM</x:v>
      </x:c>
      <x:c r="H1260" s="24" t="str">
        <x:v>ColorMatic® 3</x:v>
      </x:c>
      <x:c r="I1260" s="24" t="str">
        <x:v>1.67</x:v>
      </x:c>
      <x:c r="J1260" s="24" t="str">
        <x:v>1.67</x:v>
      </x:c>
      <x:c r="K1260" s="24" t="str">
        <x:v>LayR Balance</x:v>
      </x:c>
      <x:c r="L1260" s="40" t="n">
        <x:v>11932</x:v>
      </x:c>
      <x:c r="M1260" s="24" t="str">
        <x:v>-12 a +10</x:v>
      </x:c>
      <x:c r="N1260" s="24" t="str">
        <x:v>até -6</x:v>
      </x:c>
      <x:c r="O1260" s="24"/>
      <x:c r="P1260" s="24" t="str">
        <x:v>75/80</x:v>
      </x:c>
      <x:c r="Q1260" s="24"/>
      <x:c r="R1260" s="24"/>
      <x:c r="S1260" s="26" t="n">
        <x:v>46024</x:v>
      </x:c>
      <x:c r="T1260" s="26"/>
      <x:c r="U1260" s="24" t="str">
        <x:v>ATIVA/SEM FIM INFORMADO</x:v>
      </x:c>
      <x:c r="V1260" s="24"/>
      <x:c r="W1260" s="24" t="n">
        <x:v>11</x:v>
      </x:c>
      <x:c r="X1260" s="24" t="str">
        <x:v>tabela_rodenstock.pdf</x:v>
      </x:c>
      <x:c r="Y1260" s="24" t="str">
        <x:v>alta</x:v>
      </x:c>
      <x:c r="Z1260" s="24"/>
      <x:c r="AA1260" s="24" t="str">
        <x:v>Rodenstock|Progressiva B.I.G. NORM|Surfaçada|Multigressiv B.I.G. NORM|ColorMatic® 3|1.67|1.67|LayR Balance|-12 a +10|até -6||75/80|||11</x:v>
      </x:c>
    </x:row>
    <x:row r="1261">
      <x:c r="A1261" s="24" t="str">
        <x:v>RD-4B26FBF03037</x:v>
      </x:c>
      <x:c r="B1261" s="24" t="str">
        <x:v>SIM</x:v>
      </x:c>
      <x:c r="C1261" s="24" t="str">
        <x:v>DISPONÍVEL</x:v>
      </x:c>
      <x:c r="D1261" s="24" t="str">
        <x:v>Rodenstock</x:v>
      </x:c>
      <x:c r="E1261" s="24" t="str">
        <x:v>Progressiva B.I.G. NORM</x:v>
      </x:c>
      <x:c r="F1261" s="24" t="str">
        <x:v>Surfaçada</x:v>
      </x:c>
      <x:c r="G1261" s="24" t="str">
        <x:v>Multigressiv B.I.G. NORM</x:v>
      </x:c>
      <x:c r="H1261" s="24" t="str">
        <x:v>ColorMatic® 3</x:v>
      </x:c>
      <x:c r="I1261" s="24" t="str">
        <x:v>1.67</x:v>
      </x:c>
      <x:c r="J1261" s="24" t="str">
        <x:v>1.67</x:v>
      </x:c>
      <x:c r="K1261" s="24" t="str">
        <x:v>Solitaire X-tra Clean</x:v>
      </x:c>
      <x:c r="L1261" s="40" t="n">
        <x:v>11862</x:v>
      </x:c>
      <x:c r="M1261" s="24" t="str">
        <x:v>-12 a +10</x:v>
      </x:c>
      <x:c r="N1261" s="24" t="str">
        <x:v>até -6</x:v>
      </x:c>
      <x:c r="O1261" s="24"/>
      <x:c r="P1261" s="24" t="str">
        <x:v>75/80</x:v>
      </x:c>
      <x:c r="Q1261" s="24"/>
      <x:c r="R1261" s="24"/>
      <x:c r="S1261" s="26" t="n">
        <x:v>46024</x:v>
      </x:c>
      <x:c r="T1261" s="26"/>
      <x:c r="U1261" s="24" t="str">
        <x:v>ATIVA/SEM FIM INFORMADO</x:v>
      </x:c>
      <x:c r="V1261" s="24"/>
      <x:c r="W1261" s="24" t="n">
        <x:v>11</x:v>
      </x:c>
      <x:c r="X1261" s="24" t="str">
        <x:v>tabela_rodenstock.pdf</x:v>
      </x:c>
      <x:c r="Y1261" s="24" t="str">
        <x:v>alta</x:v>
      </x:c>
      <x:c r="Z1261" s="24"/>
      <x:c r="AA1261" s="24" t="str">
        <x:v>Rodenstock|Progressiva B.I.G. NORM|Surfaçada|Multigressiv B.I.G. NORM|ColorMatic® 3|1.67|1.67|Solitaire X-tra Clean|-12 a +10|até -6||75/80|||11</x:v>
      </x:c>
    </x:row>
    <x:row r="1262">
      <x:c r="A1262" s="24" t="str">
        <x:v>RD-8B06235A848E</x:v>
      </x:c>
      <x:c r="B1262" s="24" t="str">
        <x:v>SIM</x:v>
      </x:c>
      <x:c r="C1262" s="24" t="str">
        <x:v>DISPONÍVEL</x:v>
      </x:c>
      <x:c r="D1262" s="24" t="str">
        <x:v>Rodenstock</x:v>
      </x:c>
      <x:c r="E1262" s="24" t="str">
        <x:v>Progressiva B.I.G. NORM</x:v>
      </x:c>
      <x:c r="F1262" s="24" t="str">
        <x:v>Surfaçada</x:v>
      </x:c>
      <x:c r="G1262" s="24" t="str">
        <x:v>Multigressiv B.I.G. NORM</x:v>
      </x:c>
      <x:c r="H1262" s="24" t="str">
        <x:v>ColorMatic® 3</x:v>
      </x:c>
      <x:c r="I1262" s="24" t="str">
        <x:v>1.67</x:v>
      </x:c>
      <x:c r="J1262" s="24" t="str">
        <x:v>1.67</x:v>
      </x:c>
      <x:c r="K1262" s="24" t="str">
        <x:v>Solitaire Protect Plus</x:v>
      </x:c>
      <x:c r="L1262" s="40" t="n">
        <x:v>11812</x:v>
      </x:c>
      <x:c r="M1262" s="24" t="str">
        <x:v>-12 a +10</x:v>
      </x:c>
      <x:c r="N1262" s="24" t="str">
        <x:v>até -6</x:v>
      </x:c>
      <x:c r="O1262" s="24"/>
      <x:c r="P1262" s="24" t="str">
        <x:v>75/80</x:v>
      </x:c>
      <x:c r="Q1262" s="24"/>
      <x:c r="R1262" s="24"/>
      <x:c r="S1262" s="26" t="n">
        <x:v>46024</x:v>
      </x:c>
      <x:c r="T1262" s="26"/>
      <x:c r="U1262" s="24" t="str">
        <x:v>ATIVA/SEM FIM INFORMADO</x:v>
      </x:c>
      <x:c r="V1262" s="24"/>
      <x:c r="W1262" s="24" t="n">
        <x:v>11</x:v>
      </x:c>
      <x:c r="X1262" s="24" t="str">
        <x:v>tabela_rodenstock.pdf</x:v>
      </x:c>
      <x:c r="Y1262" s="24" t="str">
        <x:v>alta</x:v>
      </x:c>
      <x:c r="Z1262" s="24"/>
      <x:c r="AA1262" s="24" t="str">
        <x:v>Rodenstock|Progressiva B.I.G. NORM|Surfaçada|Multigressiv B.I.G. NORM|ColorMatic® 3|1.67|1.67|Solitaire Protect Plus|-12 a +10|até -6||75/80|||11</x:v>
      </x:c>
    </x:row>
    <x:row r="1263">
      <x:c r="A1263" s="24" t="str">
        <x:v>RD-4B6015BA6EB0</x:v>
      </x:c>
      <x:c r="B1263" s="24" t="str">
        <x:v>SIM</x:v>
      </x:c>
      <x:c r="C1263" s="24" t="str">
        <x:v>DISPONÍVEL</x:v>
      </x:c>
      <x:c r="D1263" s="24" t="str">
        <x:v>Rodenstock</x:v>
      </x:c>
      <x:c r="E1263" s="24" t="str">
        <x:v>Progressiva B.I.G. NORM</x:v>
      </x:c>
      <x:c r="F1263" s="24" t="str">
        <x:v>Surfaçada</x:v>
      </x:c>
      <x:c r="G1263" s="24" t="str">
        <x:v>Multigressiv B.I.G. NORM</x:v>
      </x:c>
      <x:c r="H1263" s="24" t="str">
        <x:v>ColorMatic® 3</x:v>
      </x:c>
      <x:c r="I1263" s="24" t="str">
        <x:v>1.67</x:v>
      </x:c>
      <x:c r="J1263" s="24" t="str">
        <x:v>1.67</x:v>
      </x:c>
      <x:c r="K1263" s="24" t="str">
        <x:v>ROAD</x:v>
      </x:c>
      <x:c r="L1263" s="40" t="n">
        <x:v>11812</x:v>
      </x:c>
      <x:c r="M1263" s="24" t="str">
        <x:v>-12 a +10</x:v>
      </x:c>
      <x:c r="N1263" s="24" t="str">
        <x:v>até -6</x:v>
      </x:c>
      <x:c r="O1263" s="24"/>
      <x:c r="P1263" s="24" t="str">
        <x:v>75/80</x:v>
      </x:c>
      <x:c r="Q1263" s="24"/>
      <x:c r="R1263" s="24"/>
      <x:c r="S1263" s="26" t="n">
        <x:v>46024</x:v>
      </x:c>
      <x:c r="T1263" s="26"/>
      <x:c r="U1263" s="24" t="str">
        <x:v>ATIVA/SEM FIM INFORMADO</x:v>
      </x:c>
      <x:c r="V1263" s="24"/>
      <x:c r="W1263" s="24" t="n">
        <x:v>11</x:v>
      </x:c>
      <x:c r="X1263" s="24" t="str">
        <x:v>tabela_rodenstock.pdf</x:v>
      </x:c>
      <x:c r="Y1263" s="24" t="str">
        <x:v>alta</x:v>
      </x:c>
      <x:c r="Z1263" s="24"/>
      <x:c r="AA1263" s="24" t="str">
        <x:v>Rodenstock|Progressiva B.I.G. NORM|Surfaçada|Multigressiv B.I.G. NORM|ColorMatic® 3|1.67|1.67|ROAD|-12 a +10|até -6||75/80|||11</x:v>
      </x:c>
    </x:row>
    <x:row r="1264">
      <x:c r="A1264" s="24" t="str">
        <x:v>RD-51EE022BF686</x:v>
      </x:c>
      <x:c r="B1264" s="24" t="str">
        <x:v>SIM</x:v>
      </x:c>
      <x:c r="C1264" s="24" t="str">
        <x:v>DISPONÍVEL</x:v>
      </x:c>
      <x:c r="D1264" s="24" t="str">
        <x:v>Rodenstock</x:v>
      </x:c>
      <x:c r="E1264" s="24" t="str">
        <x:v>Progressiva B.I.G. NORM</x:v>
      </x:c>
      <x:c r="F1264" s="24" t="str">
        <x:v>Surfaçada</x:v>
      </x:c>
      <x:c r="G1264" s="24" t="str">
        <x:v>Multigressiv B.I.G. NORM</x:v>
      </x:c>
      <x:c r="H1264" s="24" t="str">
        <x:v>ColorMatic® 3</x:v>
      </x:c>
      <x:c r="I1264" s="24" t="str">
        <x:v>1.67</x:v>
      </x:c>
      <x:c r="J1264" s="24" t="str">
        <x:v>1.67</x:v>
      </x:c>
      <x:c r="K1264" s="24" t="str">
        <x:v>Solitaire Protect</x:v>
      </x:c>
      <x:c r="L1264" s="40" t="n">
        <x:v>11552</x:v>
      </x:c>
      <x:c r="M1264" s="24" t="str">
        <x:v>-12 a +10</x:v>
      </x:c>
      <x:c r="N1264" s="24" t="str">
        <x:v>até -6</x:v>
      </x:c>
      <x:c r="O1264" s="24"/>
      <x:c r="P1264" s="24" t="str">
        <x:v>75/80</x:v>
      </x:c>
      <x:c r="Q1264" s="24"/>
      <x:c r="R1264" s="24"/>
      <x:c r="S1264" s="26" t="n">
        <x:v>46024</x:v>
      </x:c>
      <x:c r="T1264" s="26"/>
      <x:c r="U1264" s="24" t="str">
        <x:v>ATIVA/SEM FIM INFORMADO</x:v>
      </x:c>
      <x:c r="V1264" s="24"/>
      <x:c r="W1264" s="24" t="n">
        <x:v>11</x:v>
      </x:c>
      <x:c r="X1264" s="24" t="str">
        <x:v>tabela_rodenstock.pdf</x:v>
      </x:c>
      <x:c r="Y1264" s="24" t="str">
        <x:v>alta</x:v>
      </x:c>
      <x:c r="Z1264" s="24"/>
      <x:c r="AA1264" s="24" t="str">
        <x:v>Rodenstock|Progressiva B.I.G. NORM|Surfaçada|Multigressiv B.I.G. NORM|ColorMatic® 3|1.67|1.67|Solitaire Protect|-12 a +10|até -6||75/80|||11</x:v>
      </x:c>
    </x:row>
    <x:row r="1265">
      <x:c r="A1265" s="24" t="str">
        <x:v>RD-CDEBB01FE28D</x:v>
      </x:c>
      <x:c r="B1265" s="24" t="str">
        <x:v>SIM</x:v>
      </x:c>
      <x:c r="C1265" s="24" t="str">
        <x:v>DISPONÍVEL</x:v>
      </x:c>
      <x:c r="D1265" s="24" t="str">
        <x:v>Rodenstock</x:v>
      </x:c>
      <x:c r="E1265" s="24" t="str">
        <x:v>Progressiva B.I.G. NORM</x:v>
      </x:c>
      <x:c r="F1265" s="24" t="str">
        <x:v>Surfaçada</x:v>
      </x:c>
      <x:c r="G1265" s="24" t="str">
        <x:v>Multigressiv B.I.G. NORM</x:v>
      </x:c>
      <x:c r="H1265" s="24"/>
      <x:c r="I1265" s="24" t="str">
        <x:v>1.74</x:v>
      </x:c>
      <x:c r="J1265" s="24" t="str">
        <x:v>1.74</x:v>
      </x:c>
      <x:c r="K1265" s="24" t="str">
        <x:v>LayR X-tra Clean</x:v>
      </x:c>
      <x:c r="L1265" s="40" t="n">
        <x:v>12255</x:v>
      </x:c>
      <x:c r="M1265" s="24" t="str">
        <x:v>-18 a +13</x:v>
      </x:c>
      <x:c r="N1265" s="24" t="str">
        <x:v>até -6</x:v>
      </x:c>
      <x:c r="O1265" s="24"/>
      <x:c r="P1265" s="24" t="str">
        <x:v>75/80</x:v>
      </x:c>
      <x:c r="Q1265" s="24"/>
      <x:c r="R1265" s="24"/>
      <x:c r="S1265" s="26" t="n">
        <x:v>46024</x:v>
      </x:c>
      <x:c r="T1265" s="26"/>
      <x:c r="U1265" s="24" t="str">
        <x:v>ATIVA/SEM FIM INFORMADO</x:v>
      </x:c>
      <x:c r="V1265" s="24"/>
      <x:c r="W1265" s="24" t="n">
        <x:v>11</x:v>
      </x:c>
      <x:c r="X1265" s="24" t="str">
        <x:v>tabela_rodenstock.pdf</x:v>
      </x:c>
      <x:c r="Y1265" s="24" t="str">
        <x:v>alta</x:v>
      </x:c>
      <x:c r="Z1265" s="24"/>
      <x:c r="AA1265" s="24" t="str">
        <x:v>Rodenstock|Progressiva B.I.G. NORM|Surfaçada|Multigressiv B.I.G. NORM||1.74|1.74|LayR X-tra Clean|-18 a +13|até -6||75/80|||11</x:v>
      </x:c>
    </x:row>
    <x:row r="1266">
      <x:c r="A1266" s="24" t="str">
        <x:v>RD-E40C8D6BB5BF</x:v>
      </x:c>
      <x:c r="B1266" s="24" t="str">
        <x:v>SIM</x:v>
      </x:c>
      <x:c r="C1266" s="24" t="str">
        <x:v>DISPONÍVEL</x:v>
      </x:c>
      <x:c r="D1266" s="24" t="str">
        <x:v>Rodenstock</x:v>
      </x:c>
      <x:c r="E1266" s="24" t="str">
        <x:v>Progressiva B.I.G. NORM</x:v>
      </x:c>
      <x:c r="F1266" s="24" t="str">
        <x:v>Surfaçada</x:v>
      </x:c>
      <x:c r="G1266" s="24" t="str">
        <x:v>Multigressiv B.I.G. NORM</x:v>
      </x:c>
      <x:c r="H1266" s="24"/>
      <x:c r="I1266" s="24" t="str">
        <x:v>1.74</x:v>
      </x:c>
      <x:c r="J1266" s="24" t="str">
        <x:v>1.74</x:v>
      </x:c>
      <x:c r="K1266" s="24" t="str">
        <x:v>LayR Balance</x:v>
      </x:c>
      <x:c r="L1266" s="40" t="n">
        <x:v>12255</x:v>
      </x:c>
      <x:c r="M1266" s="24" t="str">
        <x:v>-18 a +13</x:v>
      </x:c>
      <x:c r="N1266" s="24" t="str">
        <x:v>até -6</x:v>
      </x:c>
      <x:c r="O1266" s="24"/>
      <x:c r="P1266" s="24" t="str">
        <x:v>75/80</x:v>
      </x:c>
      <x:c r="Q1266" s="24"/>
      <x:c r="R1266" s="24"/>
      <x:c r="S1266" s="26" t="n">
        <x:v>46024</x:v>
      </x:c>
      <x:c r="T1266" s="26"/>
      <x:c r="U1266" s="24" t="str">
        <x:v>ATIVA/SEM FIM INFORMADO</x:v>
      </x:c>
      <x:c r="V1266" s="24"/>
      <x:c r="W1266" s="24" t="n">
        <x:v>11</x:v>
      </x:c>
      <x:c r="X1266" s="24" t="str">
        <x:v>tabela_rodenstock.pdf</x:v>
      </x:c>
      <x:c r="Y1266" s="24" t="str">
        <x:v>alta</x:v>
      </x:c>
      <x:c r="Z1266" s="24"/>
      <x:c r="AA1266" s="24" t="str">
        <x:v>Rodenstock|Progressiva B.I.G. NORM|Surfaçada|Multigressiv B.I.G. NORM||1.74|1.74|LayR Balance|-18 a +13|até -6||75/80|||11</x:v>
      </x:c>
    </x:row>
    <x:row r="1267">
      <x:c r="A1267" s="24" t="str">
        <x:v>RD-F3F3BB089992</x:v>
      </x:c>
      <x:c r="B1267" s="24" t="str">
        <x:v>SIM</x:v>
      </x:c>
      <x:c r="C1267" s="24" t="str">
        <x:v>DISPONÍVEL</x:v>
      </x:c>
      <x:c r="D1267" s="24" t="str">
        <x:v>Rodenstock</x:v>
      </x:c>
      <x:c r="E1267" s="24" t="str">
        <x:v>Progressiva B.I.G. NORM</x:v>
      </x:c>
      <x:c r="F1267" s="24" t="str">
        <x:v>Surfaçada</x:v>
      </x:c>
      <x:c r="G1267" s="24" t="str">
        <x:v>Multigressiv B.I.G. NORM</x:v>
      </x:c>
      <x:c r="H1267" s="24"/>
      <x:c r="I1267" s="24" t="str">
        <x:v>1.74</x:v>
      </x:c>
      <x:c r="J1267" s="24" t="str">
        <x:v>1.74</x:v>
      </x:c>
      <x:c r="K1267" s="24" t="str">
        <x:v>Solitaire X-tra Clean</x:v>
      </x:c>
      <x:c r="L1267" s="40" t="n">
        <x:v>12185</x:v>
      </x:c>
      <x:c r="M1267" s="24" t="str">
        <x:v>-18 a +13</x:v>
      </x:c>
      <x:c r="N1267" s="24" t="str">
        <x:v>até -6</x:v>
      </x:c>
      <x:c r="O1267" s="24"/>
      <x:c r="P1267" s="24" t="str">
        <x:v>75/80</x:v>
      </x:c>
      <x:c r="Q1267" s="24"/>
      <x:c r="R1267" s="24"/>
      <x:c r="S1267" s="26" t="n">
        <x:v>46024</x:v>
      </x:c>
      <x:c r="T1267" s="26"/>
      <x:c r="U1267" s="24" t="str">
        <x:v>ATIVA/SEM FIM INFORMADO</x:v>
      </x:c>
      <x:c r="V1267" s="24"/>
      <x:c r="W1267" s="24" t="n">
        <x:v>11</x:v>
      </x:c>
      <x:c r="X1267" s="24" t="str">
        <x:v>tabela_rodenstock.pdf</x:v>
      </x:c>
      <x:c r="Y1267" s="24" t="str">
        <x:v>alta</x:v>
      </x:c>
      <x:c r="Z1267" s="24"/>
      <x:c r="AA1267" s="24" t="str">
        <x:v>Rodenstock|Progressiva B.I.G. NORM|Surfaçada|Multigressiv B.I.G. NORM||1.74|1.74|Solitaire X-tra Clean|-18 a +13|até -6||75/80|||11</x:v>
      </x:c>
    </x:row>
    <x:row r="1268">
      <x:c r="A1268" s="24" t="str">
        <x:v>RD-EE877C7FA459</x:v>
      </x:c>
      <x:c r="B1268" s="24" t="str">
        <x:v>SIM</x:v>
      </x:c>
      <x:c r="C1268" s="24" t="str">
        <x:v>DISPONÍVEL</x:v>
      </x:c>
      <x:c r="D1268" s="24" t="str">
        <x:v>Rodenstock</x:v>
      </x:c>
      <x:c r="E1268" s="24" t="str">
        <x:v>Progressiva B.I.G. NORM</x:v>
      </x:c>
      <x:c r="F1268" s="24" t="str">
        <x:v>Surfaçada</x:v>
      </x:c>
      <x:c r="G1268" s="24" t="str">
        <x:v>Multigressiv B.I.G. NORM</x:v>
      </x:c>
      <x:c r="H1268" s="24"/>
      <x:c r="I1268" s="24" t="str">
        <x:v>1.74</x:v>
      </x:c>
      <x:c r="J1268" s="24" t="str">
        <x:v>1.74</x:v>
      </x:c>
      <x:c r="K1268" s="24" t="str">
        <x:v>Solitaire Protect Plus</x:v>
      </x:c>
      <x:c r="L1268" s="40" t="n">
        <x:v>12135</x:v>
      </x:c>
      <x:c r="M1268" s="24" t="str">
        <x:v>-18 a +13</x:v>
      </x:c>
      <x:c r="N1268" s="24" t="str">
        <x:v>até -6</x:v>
      </x:c>
      <x:c r="O1268" s="24"/>
      <x:c r="P1268" s="24" t="str">
        <x:v>75/80</x:v>
      </x:c>
      <x:c r="Q1268" s="24"/>
      <x:c r="R1268" s="24"/>
      <x:c r="S1268" s="26" t="n">
        <x:v>46024</x:v>
      </x:c>
      <x:c r="T1268" s="26"/>
      <x:c r="U1268" s="24" t="str">
        <x:v>ATIVA/SEM FIM INFORMADO</x:v>
      </x:c>
      <x:c r="V1268" s="24"/>
      <x:c r="W1268" s="24" t="n">
        <x:v>11</x:v>
      </x:c>
      <x:c r="X1268" s="24" t="str">
        <x:v>tabela_rodenstock.pdf</x:v>
      </x:c>
      <x:c r="Y1268" s="24" t="str">
        <x:v>alta</x:v>
      </x:c>
      <x:c r="Z1268" s="24"/>
      <x:c r="AA1268" s="24" t="str">
        <x:v>Rodenstock|Progressiva B.I.G. NORM|Surfaçada|Multigressiv B.I.G. NORM||1.74|1.74|Solitaire Protect Plus|-18 a +13|até -6||75/80|||11</x:v>
      </x:c>
    </x:row>
    <x:row r="1269">
      <x:c r="A1269" s="24" t="str">
        <x:v>RD-AC8311A16016</x:v>
      </x:c>
      <x:c r="B1269" s="24" t="str">
        <x:v>SIM</x:v>
      </x:c>
      <x:c r="C1269" s="24" t="str">
        <x:v>DISPONÍVEL</x:v>
      </x:c>
      <x:c r="D1269" s="24" t="str">
        <x:v>Rodenstock</x:v>
      </x:c>
      <x:c r="E1269" s="24" t="str">
        <x:v>Progressiva B.I.G. NORM</x:v>
      </x:c>
      <x:c r="F1269" s="24" t="str">
        <x:v>Surfaçada</x:v>
      </x:c>
      <x:c r="G1269" s="24" t="str">
        <x:v>Multigressiv B.I.G. NORM</x:v>
      </x:c>
      <x:c r="H1269" s="24"/>
      <x:c r="I1269" s="24" t="str">
        <x:v>1.74</x:v>
      </x:c>
      <x:c r="J1269" s="24" t="str">
        <x:v>1.74</x:v>
      </x:c>
      <x:c r="K1269" s="24" t="str">
        <x:v>Solitaire Protect</x:v>
      </x:c>
      <x:c r="L1269" s="40" t="n">
        <x:v>11875</x:v>
      </x:c>
      <x:c r="M1269" s="24" t="str">
        <x:v>-18 a +13</x:v>
      </x:c>
      <x:c r="N1269" s="24" t="str">
        <x:v>até -6</x:v>
      </x:c>
      <x:c r="O1269" s="24"/>
      <x:c r="P1269" s="24" t="str">
        <x:v>75/80</x:v>
      </x:c>
      <x:c r="Q1269" s="24"/>
      <x:c r="R1269" s="24"/>
      <x:c r="S1269" s="26" t="n">
        <x:v>46024</x:v>
      </x:c>
      <x:c r="T1269" s="26"/>
      <x:c r="U1269" s="24" t="str">
        <x:v>ATIVA/SEM FIM INFORMADO</x:v>
      </x:c>
      <x:c r="V1269" s="24"/>
      <x:c r="W1269" s="24" t="n">
        <x:v>11</x:v>
      </x:c>
      <x:c r="X1269" s="24" t="str">
        <x:v>tabela_rodenstock.pdf</x:v>
      </x:c>
      <x:c r="Y1269" s="24" t="str">
        <x:v>alta</x:v>
      </x:c>
      <x:c r="Z1269" s="24"/>
      <x:c r="AA1269" s="24" t="str">
        <x:v>Rodenstock|Progressiva B.I.G. NORM|Surfaçada|Multigressiv B.I.G. NORM||1.74|1.74|Solitaire Protect|-18 a +13|até -6||75/80|||11</x:v>
      </x:c>
    </x:row>
    <x:row r="1270">
      <x:c r="A1270" s="24" t="str">
        <x:v>RD-64C403733525</x:v>
      </x:c>
      <x:c r="B1270" s="24" t="str">
        <x:v>SIM</x:v>
      </x:c>
      <x:c r="C1270" s="24" t="str">
        <x:v>DISPONÍVEL</x:v>
      </x:c>
      <x:c r="D1270" s="24" t="str">
        <x:v>Rodenstock</x:v>
      </x:c>
      <x:c r="E1270" s="24" t="str">
        <x:v>Progressiva B.I.G. NORM</x:v>
      </x:c>
      <x:c r="F1270" s="24" t="str">
        <x:v>Surfaçada</x:v>
      </x:c>
      <x:c r="G1270" s="24" t="str">
        <x:v>Progressiv B.I.G. NORM</x:v>
      </x:c>
      <x:c r="H1270" s="24"/>
      <x:c r="I1270" s="24" t="str">
        <x:v>1.5</x:v>
      </x:c>
      <x:c r="J1270" s="24" t="str">
        <x:v>1.50</x:v>
      </x:c>
      <x:c r="K1270" s="24" t="str">
        <x:v>LayR X-tra Clean</x:v>
      </x:c>
      <x:c r="L1270" s="40" t="n">
        <x:v>6211</x:v>
      </x:c>
      <x:c r="M1270" s="24" t="str">
        <x:v>-8 a +8</x:v>
      </x:c>
      <x:c r="N1270" s="24" t="str">
        <x:v>até -6</x:v>
      </x:c>
      <x:c r="O1270" s="24"/>
      <x:c r="P1270" s="24" t="str">
        <x:v>75/80</x:v>
      </x:c>
      <x:c r="Q1270" s="24"/>
      <x:c r="R1270" s="24"/>
      <x:c r="S1270" s="26" t="n">
        <x:v>46024</x:v>
      </x:c>
      <x:c r="T1270" s="26"/>
      <x:c r="U1270" s="24" t="str">
        <x:v>ATIVA/SEM FIM INFORMADO</x:v>
      </x:c>
      <x:c r="V1270" s="24"/>
      <x:c r="W1270" s="24" t="n">
        <x:v>11</x:v>
      </x:c>
      <x:c r="X1270" s="24" t="str">
        <x:v>tabela_rodenstock.pdf</x:v>
      </x:c>
      <x:c r="Y1270" s="24" t="str">
        <x:v>alta</x:v>
      </x:c>
      <x:c r="Z1270" s="24"/>
      <x:c r="AA1270" s="24" t="str">
        <x:v>Rodenstock|Progressiva B.I.G. NORM|Surfaçada|Progressiv B.I.G. NORM||1.5|1.50|LayR X-tra Clean|-8 a +8|até -6||75/80|||11</x:v>
      </x:c>
    </x:row>
    <x:row r="1271">
      <x:c r="A1271" s="24" t="str">
        <x:v>RD-0ECA493E9E1E</x:v>
      </x:c>
      <x:c r="B1271" s="24" t="str">
        <x:v>SIM</x:v>
      </x:c>
      <x:c r="C1271" s="24" t="str">
        <x:v>DISPONÍVEL</x:v>
      </x:c>
      <x:c r="D1271" s="24" t="str">
        <x:v>Rodenstock</x:v>
      </x:c>
      <x:c r="E1271" s="24" t="str">
        <x:v>Progressiva B.I.G. NORM</x:v>
      </x:c>
      <x:c r="F1271" s="24" t="str">
        <x:v>Surfaçada</x:v>
      </x:c>
      <x:c r="G1271" s="24" t="str">
        <x:v>Progressiv B.I.G. NORM</x:v>
      </x:c>
      <x:c r="H1271" s="24"/>
      <x:c r="I1271" s="24" t="str">
        <x:v>1.5</x:v>
      </x:c>
      <x:c r="J1271" s="24" t="str">
        <x:v>1.50</x:v>
      </x:c>
      <x:c r="K1271" s="24" t="str">
        <x:v>LayR Balance</x:v>
      </x:c>
      <x:c r="L1271" s="40" t="n">
        <x:v>6211</x:v>
      </x:c>
      <x:c r="M1271" s="24" t="str">
        <x:v>-8 a +8</x:v>
      </x:c>
      <x:c r="N1271" s="24" t="str">
        <x:v>até -6</x:v>
      </x:c>
      <x:c r="O1271" s="24"/>
      <x:c r="P1271" s="24" t="str">
        <x:v>75/80</x:v>
      </x:c>
      <x:c r="Q1271" s="24"/>
      <x:c r="R1271" s="24"/>
      <x:c r="S1271" s="26" t="n">
        <x:v>46024</x:v>
      </x:c>
      <x:c r="T1271" s="26"/>
      <x:c r="U1271" s="24" t="str">
        <x:v>ATIVA/SEM FIM INFORMADO</x:v>
      </x:c>
      <x:c r="V1271" s="24"/>
      <x:c r="W1271" s="24" t="n">
        <x:v>11</x:v>
      </x:c>
      <x:c r="X1271" s="24" t="str">
        <x:v>tabela_rodenstock.pdf</x:v>
      </x:c>
      <x:c r="Y1271" s="24" t="str">
        <x:v>alta</x:v>
      </x:c>
      <x:c r="Z1271" s="24"/>
      <x:c r="AA1271" s="24" t="str">
        <x:v>Rodenstock|Progressiva B.I.G. NORM|Surfaçada|Progressiv B.I.G. NORM||1.5|1.50|LayR Balance|-8 a +8|até -6||75/80|||11</x:v>
      </x:c>
    </x:row>
    <x:row r="1272">
      <x:c r="A1272" s="24" t="str">
        <x:v>RD-ABDAD3DEBFD7</x:v>
      </x:c>
      <x:c r="B1272" s="24" t="str">
        <x:v>SIM</x:v>
      </x:c>
      <x:c r="C1272" s="24" t="str">
        <x:v>DISPONÍVEL</x:v>
      </x:c>
      <x:c r="D1272" s="24" t="str">
        <x:v>Rodenstock</x:v>
      </x:c>
      <x:c r="E1272" s="24" t="str">
        <x:v>Progressiva B.I.G. NORM</x:v>
      </x:c>
      <x:c r="F1272" s="24" t="str">
        <x:v>Surfaçada</x:v>
      </x:c>
      <x:c r="G1272" s="24" t="str">
        <x:v>Progressiv B.I.G. NORM</x:v>
      </x:c>
      <x:c r="H1272" s="24"/>
      <x:c r="I1272" s="24" t="str">
        <x:v>1.5</x:v>
      </x:c>
      <x:c r="J1272" s="24" t="str">
        <x:v>1.50</x:v>
      </x:c>
      <x:c r="K1272" s="24" t="str">
        <x:v>Solitaire X-tra Clean</x:v>
      </x:c>
      <x:c r="L1272" s="40" t="n">
        <x:v>6141</x:v>
      </x:c>
      <x:c r="M1272" s="24" t="str">
        <x:v>-8 a +8</x:v>
      </x:c>
      <x:c r="N1272" s="24" t="str">
        <x:v>até -6</x:v>
      </x:c>
      <x:c r="O1272" s="24"/>
      <x:c r="P1272" s="24" t="str">
        <x:v>75/80</x:v>
      </x:c>
      <x:c r="Q1272" s="24"/>
      <x:c r="R1272" s="24"/>
      <x:c r="S1272" s="26" t="n">
        <x:v>46024</x:v>
      </x:c>
      <x:c r="T1272" s="26"/>
      <x:c r="U1272" s="24" t="str">
        <x:v>ATIVA/SEM FIM INFORMADO</x:v>
      </x:c>
      <x:c r="V1272" s="24"/>
      <x:c r="W1272" s="24" t="n">
        <x:v>11</x:v>
      </x:c>
      <x:c r="X1272" s="24" t="str">
        <x:v>tabela_rodenstock.pdf</x:v>
      </x:c>
      <x:c r="Y1272" s="24" t="str">
        <x:v>alta</x:v>
      </x:c>
      <x:c r="Z1272" s="24"/>
      <x:c r="AA1272" s="24" t="str">
        <x:v>Rodenstock|Progressiva B.I.G. NORM|Surfaçada|Progressiv B.I.G. NORM||1.5|1.50|Solitaire X-tra Clean|-8 a +8|até -6||75/80|||11</x:v>
      </x:c>
    </x:row>
    <x:row r="1273">
      <x:c r="A1273" s="24" t="str">
        <x:v>RD-69E76935D0B8</x:v>
      </x:c>
      <x:c r="B1273" s="24" t="str">
        <x:v>SIM</x:v>
      </x:c>
      <x:c r="C1273" s="24" t="str">
        <x:v>DISPONÍVEL</x:v>
      </x:c>
      <x:c r="D1273" s="24" t="str">
        <x:v>Rodenstock</x:v>
      </x:c>
      <x:c r="E1273" s="24" t="str">
        <x:v>Progressiva B.I.G. NORM</x:v>
      </x:c>
      <x:c r="F1273" s="24" t="str">
        <x:v>Surfaçada</x:v>
      </x:c>
      <x:c r="G1273" s="24" t="str">
        <x:v>Progressiv B.I.G. NORM</x:v>
      </x:c>
      <x:c r="H1273" s="24"/>
      <x:c r="I1273" s="24" t="str">
        <x:v>1.5</x:v>
      </x:c>
      <x:c r="J1273" s="24" t="str">
        <x:v>1.50</x:v>
      </x:c>
      <x:c r="K1273" s="24" t="str">
        <x:v>Solitaire Protect Plus</x:v>
      </x:c>
      <x:c r="L1273" s="40" t="n">
        <x:v>6091</x:v>
      </x:c>
      <x:c r="M1273" s="24" t="str">
        <x:v>-8 a +8</x:v>
      </x:c>
      <x:c r="N1273" s="24" t="str">
        <x:v>até -6</x:v>
      </x:c>
      <x:c r="O1273" s="24"/>
      <x:c r="P1273" s="24" t="str">
        <x:v>75/80</x:v>
      </x:c>
      <x:c r="Q1273" s="24"/>
      <x:c r="R1273" s="24"/>
      <x:c r="S1273" s="26" t="n">
        <x:v>46024</x:v>
      </x:c>
      <x:c r="T1273" s="26"/>
      <x:c r="U1273" s="24" t="str">
        <x:v>ATIVA/SEM FIM INFORMADO</x:v>
      </x:c>
      <x:c r="V1273" s="24"/>
      <x:c r="W1273" s="24" t="n">
        <x:v>11</x:v>
      </x:c>
      <x:c r="X1273" s="24" t="str">
        <x:v>tabela_rodenstock.pdf</x:v>
      </x:c>
      <x:c r="Y1273" s="24" t="str">
        <x:v>alta</x:v>
      </x:c>
      <x:c r="Z1273" s="24"/>
      <x:c r="AA1273" s="24" t="str">
        <x:v>Rodenstock|Progressiva B.I.G. NORM|Surfaçada|Progressiv B.I.G. NORM||1.5|1.50|Solitaire Protect Plus|-8 a +8|até -6||75/80|||11</x:v>
      </x:c>
    </x:row>
    <x:row r="1274">
      <x:c r="A1274" s="24" t="str">
        <x:v>RD-D8C91952085A</x:v>
      </x:c>
      <x:c r="B1274" s="24" t="str">
        <x:v>SIM</x:v>
      </x:c>
      <x:c r="C1274" s="24" t="str">
        <x:v>DISPONÍVEL</x:v>
      </x:c>
      <x:c r="D1274" s="24" t="str">
        <x:v>Rodenstock</x:v>
      </x:c>
      <x:c r="E1274" s="24" t="str">
        <x:v>Progressiva B.I.G. NORM</x:v>
      </x:c>
      <x:c r="F1274" s="24" t="str">
        <x:v>Surfaçada</x:v>
      </x:c>
      <x:c r="G1274" s="24" t="str">
        <x:v>Progressiv B.I.G. NORM</x:v>
      </x:c>
      <x:c r="H1274" s="24"/>
      <x:c r="I1274" s="24" t="str">
        <x:v>1.5</x:v>
      </x:c>
      <x:c r="J1274" s="24" t="str">
        <x:v>1.50</x:v>
      </x:c>
      <x:c r="K1274" s="24" t="str">
        <x:v>ROAD</x:v>
      </x:c>
      <x:c r="L1274" s="40" t="n">
        <x:v>6091</x:v>
      </x:c>
      <x:c r="M1274" s="24" t="str">
        <x:v>-8 a +8</x:v>
      </x:c>
      <x:c r="N1274" s="24" t="str">
        <x:v>até -6</x:v>
      </x:c>
      <x:c r="O1274" s="24"/>
      <x:c r="P1274" s="24" t="str">
        <x:v>75/80</x:v>
      </x:c>
      <x:c r="Q1274" s="24"/>
      <x:c r="R1274" s="24"/>
      <x:c r="S1274" s="26" t="n">
        <x:v>46024</x:v>
      </x:c>
      <x:c r="T1274" s="26"/>
      <x:c r="U1274" s="24" t="str">
        <x:v>ATIVA/SEM FIM INFORMADO</x:v>
      </x:c>
      <x:c r="V1274" s="24"/>
      <x:c r="W1274" s="24" t="n">
        <x:v>11</x:v>
      </x:c>
      <x:c r="X1274" s="24" t="str">
        <x:v>tabela_rodenstock.pdf</x:v>
      </x:c>
      <x:c r="Y1274" s="24" t="str">
        <x:v>alta</x:v>
      </x:c>
      <x:c r="Z1274" s="24"/>
      <x:c r="AA1274" s="24" t="str">
        <x:v>Rodenstock|Progressiva B.I.G. NORM|Surfaçada|Progressiv B.I.G. NORM||1.5|1.50|ROAD|-8 a +8|até -6||75/80|||11</x:v>
      </x:c>
    </x:row>
    <x:row r="1275">
      <x:c r="A1275" s="24" t="str">
        <x:v>RD-7AB4D3BE7ED5</x:v>
      </x:c>
      <x:c r="B1275" s="24" t="str">
        <x:v>SIM</x:v>
      </x:c>
      <x:c r="C1275" s="24" t="str">
        <x:v>DISPONÍVEL</x:v>
      </x:c>
      <x:c r="D1275" s="24" t="str">
        <x:v>Rodenstock</x:v>
      </x:c>
      <x:c r="E1275" s="24" t="str">
        <x:v>Progressiva B.I.G. NORM</x:v>
      </x:c>
      <x:c r="F1275" s="24" t="str">
        <x:v>Surfaçada</x:v>
      </x:c>
      <x:c r="G1275" s="24" t="str">
        <x:v>Progressiv B.I.G. NORM</x:v>
      </x:c>
      <x:c r="H1275" s="24"/>
      <x:c r="I1275" s="24" t="str">
        <x:v>1.5</x:v>
      </x:c>
      <x:c r="J1275" s="24" t="str">
        <x:v>1.50</x:v>
      </x:c>
      <x:c r="K1275" s="24" t="str">
        <x:v>Solitaire Protect</x:v>
      </x:c>
      <x:c r="L1275" s="40" t="n">
        <x:v>5831</x:v>
      </x:c>
      <x:c r="M1275" s="24" t="str">
        <x:v>-8 a +8</x:v>
      </x:c>
      <x:c r="N1275" s="24" t="str">
        <x:v>até -6</x:v>
      </x:c>
      <x:c r="O1275" s="24"/>
      <x:c r="P1275" s="24" t="str">
        <x:v>75/80</x:v>
      </x:c>
      <x:c r="Q1275" s="24"/>
      <x:c r="R1275" s="24"/>
      <x:c r="S1275" s="26" t="n">
        <x:v>46024</x:v>
      </x:c>
      <x:c r="T1275" s="26"/>
      <x:c r="U1275" s="24" t="str">
        <x:v>ATIVA/SEM FIM INFORMADO</x:v>
      </x:c>
      <x:c r="V1275" s="24"/>
      <x:c r="W1275" s="24" t="n">
        <x:v>11</x:v>
      </x:c>
      <x:c r="X1275" s="24" t="str">
        <x:v>tabela_rodenstock.pdf</x:v>
      </x:c>
      <x:c r="Y1275" s="24" t="str">
        <x:v>alta</x:v>
      </x:c>
      <x:c r="Z1275" s="24"/>
      <x:c r="AA1275" s="24" t="str">
        <x:v>Rodenstock|Progressiva B.I.G. NORM|Surfaçada|Progressiv B.I.G. NORM||1.5|1.50|Solitaire Protect|-8 a +8|até -6||75/80|||11</x:v>
      </x:c>
    </x:row>
    <x:row r="1276">
      <x:c r="A1276" s="24" t="str">
        <x:v>RD-73F833C4FB2C</x:v>
      </x:c>
      <x:c r="B1276" s="24" t="str">
        <x:v>SIM</x:v>
      </x:c>
      <x:c r="C1276" s="24" t="str">
        <x:v>DISPONÍVEL</x:v>
      </x:c>
      <x:c r="D1276" s="24" t="str">
        <x:v>Rodenstock</x:v>
      </x:c>
      <x:c r="E1276" s="24" t="str">
        <x:v>Progressiva B.I.G. NORM</x:v>
      </x:c>
      <x:c r="F1276" s="24" t="str">
        <x:v>Surfaçada</x:v>
      </x:c>
      <x:c r="G1276" s="24" t="str">
        <x:v>Progressiv B.I.G. NORM</x:v>
      </x:c>
      <x:c r="H1276" s="24" t="str">
        <x:v>ColorMatic® 3</x:v>
      </x:c>
      <x:c r="I1276" s="24" t="str">
        <x:v>1.54</x:v>
      </x:c>
      <x:c r="J1276" s="24" t="str">
        <x:v>1.54</x:v>
      </x:c>
      <x:c r="K1276" s="24" t="str">
        <x:v>LayR X-tra Clean</x:v>
      </x:c>
      <x:c r="L1276" s="40" t="n">
        <x:v>7563</x:v>
      </x:c>
      <x:c r="M1276" s="24" t="str">
        <x:v>-8 a +8</x:v>
      </x:c>
      <x:c r="N1276" s="24" t="str">
        <x:v>até -6</x:v>
      </x:c>
      <x:c r="O1276" s="24"/>
      <x:c r="P1276" s="24" t="str">
        <x:v>75/80</x:v>
      </x:c>
      <x:c r="Q1276" s="24"/>
      <x:c r="R1276" s="24"/>
      <x:c r="S1276" s="26" t="n">
        <x:v>46024</x:v>
      </x:c>
      <x:c r="T1276" s="26"/>
      <x:c r="U1276" s="24" t="str">
        <x:v>ATIVA/SEM FIM INFORMADO</x:v>
      </x:c>
      <x:c r="V1276" s="24"/>
      <x:c r="W1276" s="24" t="n">
        <x:v>11</x:v>
      </x:c>
      <x:c r="X1276" s="24" t="str">
        <x:v>tabela_rodenstock.pdf</x:v>
      </x:c>
      <x:c r="Y1276" s="24" t="str">
        <x:v>alta</x:v>
      </x:c>
      <x:c r="Z1276" s="24"/>
      <x:c r="AA1276" s="24" t="str">
        <x:v>Rodenstock|Progressiva B.I.G. NORM|Surfaçada|Progressiv B.I.G. NORM|ColorMatic® 3|1.54|1.54|LayR X-tra Clean|-8 a +8|até -6||75/80|||11</x:v>
      </x:c>
    </x:row>
    <x:row r="1277">
      <x:c r="A1277" s="24" t="str">
        <x:v>RD-EF196ACE59F9</x:v>
      </x:c>
      <x:c r="B1277" s="24" t="str">
        <x:v>SIM</x:v>
      </x:c>
      <x:c r="C1277" s="24" t="str">
        <x:v>DISPONÍVEL</x:v>
      </x:c>
      <x:c r="D1277" s="24" t="str">
        <x:v>Rodenstock</x:v>
      </x:c>
      <x:c r="E1277" s="24" t="str">
        <x:v>Progressiva B.I.G. NORM</x:v>
      </x:c>
      <x:c r="F1277" s="24" t="str">
        <x:v>Surfaçada</x:v>
      </x:c>
      <x:c r="G1277" s="24" t="str">
        <x:v>Progressiv B.I.G. NORM</x:v>
      </x:c>
      <x:c r="H1277" s="24" t="str">
        <x:v>ColorMatic® 3</x:v>
      </x:c>
      <x:c r="I1277" s="24" t="str">
        <x:v>1.54</x:v>
      </x:c>
      <x:c r="J1277" s="24" t="str">
        <x:v>1.54</x:v>
      </x:c>
      <x:c r="K1277" s="24" t="str">
        <x:v>LayR Balance</x:v>
      </x:c>
      <x:c r="L1277" s="40" t="n">
        <x:v>7563</x:v>
      </x:c>
      <x:c r="M1277" s="24" t="str">
        <x:v>-8 a +8</x:v>
      </x:c>
      <x:c r="N1277" s="24" t="str">
        <x:v>até -6</x:v>
      </x:c>
      <x:c r="O1277" s="24"/>
      <x:c r="P1277" s="24" t="str">
        <x:v>75/80</x:v>
      </x:c>
      <x:c r="Q1277" s="24"/>
      <x:c r="R1277" s="24"/>
      <x:c r="S1277" s="26" t="n">
        <x:v>46024</x:v>
      </x:c>
      <x:c r="T1277" s="26"/>
      <x:c r="U1277" s="24" t="str">
        <x:v>ATIVA/SEM FIM INFORMADO</x:v>
      </x:c>
      <x:c r="V1277" s="24"/>
      <x:c r="W1277" s="24" t="n">
        <x:v>11</x:v>
      </x:c>
      <x:c r="X1277" s="24" t="str">
        <x:v>tabela_rodenstock.pdf</x:v>
      </x:c>
      <x:c r="Y1277" s="24" t="str">
        <x:v>alta</x:v>
      </x:c>
      <x:c r="Z1277" s="24"/>
      <x:c r="AA1277" s="24" t="str">
        <x:v>Rodenstock|Progressiva B.I.G. NORM|Surfaçada|Progressiv B.I.G. NORM|ColorMatic® 3|1.54|1.54|LayR Balance|-8 a +8|até -6||75/80|||11</x:v>
      </x:c>
    </x:row>
    <x:row r="1278">
      <x:c r="A1278" s="24" t="str">
        <x:v>RD-4627AC8D7B01</x:v>
      </x:c>
      <x:c r="B1278" s="24" t="str">
        <x:v>SIM</x:v>
      </x:c>
      <x:c r="C1278" s="24" t="str">
        <x:v>DISPONÍVEL</x:v>
      </x:c>
      <x:c r="D1278" s="24" t="str">
        <x:v>Rodenstock</x:v>
      </x:c>
      <x:c r="E1278" s="24" t="str">
        <x:v>Progressiva B.I.G. NORM</x:v>
      </x:c>
      <x:c r="F1278" s="24" t="str">
        <x:v>Surfaçada</x:v>
      </x:c>
      <x:c r="G1278" s="24" t="str">
        <x:v>Progressiv B.I.G. NORM</x:v>
      </x:c>
      <x:c r="H1278" s="24" t="str">
        <x:v>ColorMatic® 3</x:v>
      </x:c>
      <x:c r="I1278" s="24" t="str">
        <x:v>1.54</x:v>
      </x:c>
      <x:c r="J1278" s="24" t="str">
        <x:v>1.54</x:v>
      </x:c>
      <x:c r="K1278" s="24" t="str">
        <x:v>Solitaire X-tra Clean</x:v>
      </x:c>
      <x:c r="L1278" s="40" t="n">
        <x:v>7493</x:v>
      </x:c>
      <x:c r="M1278" s="24" t="str">
        <x:v>-8 a +8</x:v>
      </x:c>
      <x:c r="N1278" s="24" t="str">
        <x:v>até -6</x:v>
      </x:c>
      <x:c r="O1278" s="24"/>
      <x:c r="P1278" s="24" t="str">
        <x:v>75/80</x:v>
      </x:c>
      <x:c r="Q1278" s="24"/>
      <x:c r="R1278" s="24"/>
      <x:c r="S1278" s="26" t="n">
        <x:v>46024</x:v>
      </x:c>
      <x:c r="T1278" s="26"/>
      <x:c r="U1278" s="24" t="str">
        <x:v>ATIVA/SEM FIM INFORMADO</x:v>
      </x:c>
      <x:c r="V1278" s="24"/>
      <x:c r="W1278" s="24" t="n">
        <x:v>11</x:v>
      </x:c>
      <x:c r="X1278" s="24" t="str">
        <x:v>tabela_rodenstock.pdf</x:v>
      </x:c>
      <x:c r="Y1278" s="24" t="str">
        <x:v>alta</x:v>
      </x:c>
      <x:c r="Z1278" s="24"/>
      <x:c r="AA1278" s="24" t="str">
        <x:v>Rodenstock|Progressiva B.I.G. NORM|Surfaçada|Progressiv B.I.G. NORM|ColorMatic® 3|1.54|1.54|Solitaire X-tra Clean|-8 a +8|até -6||75/80|||11</x:v>
      </x:c>
    </x:row>
    <x:row r="1279">
      <x:c r="A1279" s="24" t="str">
        <x:v>RD-F8C16911D63A</x:v>
      </x:c>
      <x:c r="B1279" s="24" t="str">
        <x:v>SIM</x:v>
      </x:c>
      <x:c r="C1279" s="24" t="str">
        <x:v>DISPONÍVEL</x:v>
      </x:c>
      <x:c r="D1279" s="24" t="str">
        <x:v>Rodenstock</x:v>
      </x:c>
      <x:c r="E1279" s="24" t="str">
        <x:v>Progressiva B.I.G. NORM</x:v>
      </x:c>
      <x:c r="F1279" s="24" t="str">
        <x:v>Surfaçada</x:v>
      </x:c>
      <x:c r="G1279" s="24" t="str">
        <x:v>Progressiv B.I.G. NORM</x:v>
      </x:c>
      <x:c r="H1279" s="24" t="str">
        <x:v>ColorMatic® 3</x:v>
      </x:c>
      <x:c r="I1279" s="24" t="str">
        <x:v>1.54</x:v>
      </x:c>
      <x:c r="J1279" s="24" t="str">
        <x:v>1.54</x:v>
      </x:c>
      <x:c r="K1279" s="24" t="str">
        <x:v>Solitaire Protect Plus</x:v>
      </x:c>
      <x:c r="L1279" s="40" t="n">
        <x:v>7443</x:v>
      </x:c>
      <x:c r="M1279" s="24" t="str">
        <x:v>-8 a +8</x:v>
      </x:c>
      <x:c r="N1279" s="24" t="str">
        <x:v>até -6</x:v>
      </x:c>
      <x:c r="O1279" s="24"/>
      <x:c r="P1279" s="24" t="str">
        <x:v>75/80</x:v>
      </x:c>
      <x:c r="Q1279" s="24"/>
      <x:c r="R1279" s="24"/>
      <x:c r="S1279" s="26" t="n">
        <x:v>46024</x:v>
      </x:c>
      <x:c r="T1279" s="26"/>
      <x:c r="U1279" s="24" t="str">
        <x:v>ATIVA/SEM FIM INFORMADO</x:v>
      </x:c>
      <x:c r="V1279" s="24"/>
      <x:c r="W1279" s="24" t="n">
        <x:v>11</x:v>
      </x:c>
      <x:c r="X1279" s="24" t="str">
        <x:v>tabela_rodenstock.pdf</x:v>
      </x:c>
      <x:c r="Y1279" s="24" t="str">
        <x:v>alta</x:v>
      </x:c>
      <x:c r="Z1279" s="24"/>
      <x:c r="AA1279" s="24" t="str">
        <x:v>Rodenstock|Progressiva B.I.G. NORM|Surfaçada|Progressiv B.I.G. NORM|ColorMatic® 3|1.54|1.54|Solitaire Protect Plus|-8 a +8|até -6||75/80|||11</x:v>
      </x:c>
    </x:row>
    <x:row r="1280">
      <x:c r="A1280" s="24" t="str">
        <x:v>RD-B48D0CA78897</x:v>
      </x:c>
      <x:c r="B1280" s="24" t="str">
        <x:v>SIM</x:v>
      </x:c>
      <x:c r="C1280" s="24" t="str">
        <x:v>DISPONÍVEL</x:v>
      </x:c>
      <x:c r="D1280" s="24" t="str">
        <x:v>Rodenstock</x:v>
      </x:c>
      <x:c r="E1280" s="24" t="str">
        <x:v>Progressiva B.I.G. NORM</x:v>
      </x:c>
      <x:c r="F1280" s="24" t="str">
        <x:v>Surfaçada</x:v>
      </x:c>
      <x:c r="G1280" s="24" t="str">
        <x:v>Progressiv B.I.G. NORM</x:v>
      </x:c>
      <x:c r="H1280" s="24" t="str">
        <x:v>ColorMatic® 3</x:v>
      </x:c>
      <x:c r="I1280" s="24" t="str">
        <x:v>1.54</x:v>
      </x:c>
      <x:c r="J1280" s="24" t="str">
        <x:v>1.54</x:v>
      </x:c>
      <x:c r="K1280" s="24" t="str">
        <x:v>ROAD</x:v>
      </x:c>
      <x:c r="L1280" s="40" t="n">
        <x:v>7443</x:v>
      </x:c>
      <x:c r="M1280" s="24" t="str">
        <x:v>-8 a +8</x:v>
      </x:c>
      <x:c r="N1280" s="24" t="str">
        <x:v>até -6</x:v>
      </x:c>
      <x:c r="O1280" s="24"/>
      <x:c r="P1280" s="24" t="str">
        <x:v>75/80</x:v>
      </x:c>
      <x:c r="Q1280" s="24"/>
      <x:c r="R1280" s="24"/>
      <x:c r="S1280" s="26" t="n">
        <x:v>46024</x:v>
      </x:c>
      <x:c r="T1280" s="26"/>
      <x:c r="U1280" s="24" t="str">
        <x:v>ATIVA/SEM FIM INFORMADO</x:v>
      </x:c>
      <x:c r="V1280" s="24"/>
      <x:c r="W1280" s="24" t="n">
        <x:v>11</x:v>
      </x:c>
      <x:c r="X1280" s="24" t="str">
        <x:v>tabela_rodenstock.pdf</x:v>
      </x:c>
      <x:c r="Y1280" s="24" t="str">
        <x:v>alta</x:v>
      </x:c>
      <x:c r="Z1280" s="24"/>
      <x:c r="AA1280" s="24" t="str">
        <x:v>Rodenstock|Progressiva B.I.G. NORM|Surfaçada|Progressiv B.I.G. NORM|ColorMatic® 3|1.54|1.54|ROAD|-8 a +8|até -6||75/80|||11</x:v>
      </x:c>
    </x:row>
    <x:row r="1281">
      <x:c r="A1281" s="24" t="str">
        <x:v>RD-5DB899E93EC3</x:v>
      </x:c>
      <x:c r="B1281" s="24" t="str">
        <x:v>SIM</x:v>
      </x:c>
      <x:c r="C1281" s="24" t="str">
        <x:v>DISPONÍVEL</x:v>
      </x:c>
      <x:c r="D1281" s="24" t="str">
        <x:v>Rodenstock</x:v>
      </x:c>
      <x:c r="E1281" s="24" t="str">
        <x:v>Progressiva B.I.G. NORM</x:v>
      </x:c>
      <x:c r="F1281" s="24" t="str">
        <x:v>Surfaçada</x:v>
      </x:c>
      <x:c r="G1281" s="24" t="str">
        <x:v>Progressiv B.I.G. NORM</x:v>
      </x:c>
      <x:c r="H1281" s="24" t="str">
        <x:v>ColorMatic® 3</x:v>
      </x:c>
      <x:c r="I1281" s="24" t="str">
        <x:v>1.54</x:v>
      </x:c>
      <x:c r="J1281" s="24" t="str">
        <x:v>1.54</x:v>
      </x:c>
      <x:c r="K1281" s="24" t="str">
        <x:v>Solitaire Protect</x:v>
      </x:c>
      <x:c r="L1281" s="40" t="n">
        <x:v>7183</x:v>
      </x:c>
      <x:c r="M1281" s="24" t="str">
        <x:v>-8 a +8</x:v>
      </x:c>
      <x:c r="N1281" s="24" t="str">
        <x:v>até -6</x:v>
      </x:c>
      <x:c r="O1281" s="24"/>
      <x:c r="P1281" s="24" t="str">
        <x:v>75/80</x:v>
      </x:c>
      <x:c r="Q1281" s="24"/>
      <x:c r="R1281" s="24"/>
      <x:c r="S1281" s="26" t="n">
        <x:v>46024</x:v>
      </x:c>
      <x:c r="T1281" s="26"/>
      <x:c r="U1281" s="24" t="str">
        <x:v>ATIVA/SEM FIM INFORMADO</x:v>
      </x:c>
      <x:c r="V1281" s="24"/>
      <x:c r="W1281" s="24" t="n">
        <x:v>11</x:v>
      </x:c>
      <x:c r="X1281" s="24" t="str">
        <x:v>tabela_rodenstock.pdf</x:v>
      </x:c>
      <x:c r="Y1281" s="24" t="str">
        <x:v>alta</x:v>
      </x:c>
      <x:c r="Z1281" s="24"/>
      <x:c r="AA1281" s="24" t="str">
        <x:v>Rodenstock|Progressiva B.I.G. NORM|Surfaçada|Progressiv B.I.G. NORM|ColorMatic® 3|1.54|1.54|Solitaire Protect|-8 a +8|até -6||75/80|||11</x:v>
      </x:c>
    </x:row>
    <x:row r="1282">
      <x:c r="A1282" s="24" t="str">
        <x:v>RD-7F524B5B4156</x:v>
      </x:c>
      <x:c r="B1282" s="24" t="str">
        <x:v>SIM</x:v>
      </x:c>
      <x:c r="C1282" s="24" t="str">
        <x:v>DISPONÍVEL</x:v>
      </x:c>
      <x:c r="D1282" s="24" t="str">
        <x:v>Rodenstock</x:v>
      </x:c>
      <x:c r="E1282" s="24" t="str">
        <x:v>Progressiva B.I.G. NORM</x:v>
      </x:c>
      <x:c r="F1282" s="24" t="str">
        <x:v>Surfaçada</x:v>
      </x:c>
      <x:c r="G1282" s="24" t="str">
        <x:v>Progressiv B.I.G. NORM</x:v>
      </x:c>
      <x:c r="H1282" s="24"/>
      <x:c r="I1282" s="24" t="str">
        <x:v>1.6</x:v>
      </x:c>
      <x:c r="J1282" s="24" t="str">
        <x:v>1.60</x:v>
      </x:c>
      <x:c r="K1282" s="24" t="str">
        <x:v>LayR X-tra Clean</x:v>
      </x:c>
      <x:c r="L1282" s="40" t="n">
        <x:v>7497</x:v>
      </x:c>
      <x:c r="M1282" s="24" t="str">
        <x:v>-11 a +10</x:v>
      </x:c>
      <x:c r="N1282" s="24" t="str">
        <x:v>até -6</x:v>
      </x:c>
      <x:c r="O1282" s="24"/>
      <x:c r="P1282" s="24" t="str">
        <x:v>75/80</x:v>
      </x:c>
      <x:c r="Q1282" s="24"/>
      <x:c r="R1282" s="24"/>
      <x:c r="S1282" s="26" t="n">
        <x:v>46024</x:v>
      </x:c>
      <x:c r="T1282" s="26"/>
      <x:c r="U1282" s="24" t="str">
        <x:v>ATIVA/SEM FIM INFORMADO</x:v>
      </x:c>
      <x:c r="V1282" s="24"/>
      <x:c r="W1282" s="24" t="n">
        <x:v>11</x:v>
      </x:c>
      <x:c r="X1282" s="24" t="str">
        <x:v>tabela_rodenstock.pdf</x:v>
      </x:c>
      <x:c r="Y1282" s="24" t="str">
        <x:v>alta</x:v>
      </x:c>
      <x:c r="Z1282" s="24"/>
      <x:c r="AA1282" s="24" t="str">
        <x:v>Rodenstock|Progressiva B.I.G. NORM|Surfaçada|Progressiv B.I.G. NORM||1.6|1.60|LayR X-tra Clean|-11 a +10|até -6||75/80|||11</x:v>
      </x:c>
    </x:row>
    <x:row r="1283">
      <x:c r="A1283" s="24" t="str">
        <x:v>RD-4581372ED7D8</x:v>
      </x:c>
      <x:c r="B1283" s="24" t="str">
        <x:v>SIM</x:v>
      </x:c>
      <x:c r="C1283" s="24" t="str">
        <x:v>DISPONÍVEL</x:v>
      </x:c>
      <x:c r="D1283" s="24" t="str">
        <x:v>Rodenstock</x:v>
      </x:c>
      <x:c r="E1283" s="24" t="str">
        <x:v>Progressiva B.I.G. NORM</x:v>
      </x:c>
      <x:c r="F1283" s="24" t="str">
        <x:v>Surfaçada</x:v>
      </x:c>
      <x:c r="G1283" s="24" t="str">
        <x:v>Progressiv B.I.G. NORM</x:v>
      </x:c>
      <x:c r="H1283" s="24"/>
      <x:c r="I1283" s="24" t="str">
        <x:v>1.6</x:v>
      </x:c>
      <x:c r="J1283" s="24" t="str">
        <x:v>1.60</x:v>
      </x:c>
      <x:c r="K1283" s="24" t="str">
        <x:v>LayR Balance</x:v>
      </x:c>
      <x:c r="L1283" s="40" t="n">
        <x:v>7497</x:v>
      </x:c>
      <x:c r="M1283" s="24" t="str">
        <x:v>-11 a +10</x:v>
      </x:c>
      <x:c r="N1283" s="24" t="str">
        <x:v>até -6</x:v>
      </x:c>
      <x:c r="O1283" s="24"/>
      <x:c r="P1283" s="24" t="str">
        <x:v>75/80</x:v>
      </x:c>
      <x:c r="Q1283" s="24"/>
      <x:c r="R1283" s="24"/>
      <x:c r="S1283" s="26" t="n">
        <x:v>46024</x:v>
      </x:c>
      <x:c r="T1283" s="26"/>
      <x:c r="U1283" s="24" t="str">
        <x:v>ATIVA/SEM FIM INFORMADO</x:v>
      </x:c>
      <x:c r="V1283" s="24"/>
      <x:c r="W1283" s="24" t="n">
        <x:v>11</x:v>
      </x:c>
      <x:c r="X1283" s="24" t="str">
        <x:v>tabela_rodenstock.pdf</x:v>
      </x:c>
      <x:c r="Y1283" s="24" t="str">
        <x:v>alta</x:v>
      </x:c>
      <x:c r="Z1283" s="24"/>
      <x:c r="AA1283" s="24" t="str">
        <x:v>Rodenstock|Progressiva B.I.G. NORM|Surfaçada|Progressiv B.I.G. NORM||1.6|1.60|LayR Balance|-11 a +10|até -6||75/80|||11</x:v>
      </x:c>
    </x:row>
    <x:row r="1284">
      <x:c r="A1284" s="24" t="str">
        <x:v>RD-5876CF7BF23B</x:v>
      </x:c>
      <x:c r="B1284" s="24" t="str">
        <x:v>SIM</x:v>
      </x:c>
      <x:c r="C1284" s="24" t="str">
        <x:v>DISPONÍVEL</x:v>
      </x:c>
      <x:c r="D1284" s="24" t="str">
        <x:v>Rodenstock</x:v>
      </x:c>
      <x:c r="E1284" s="24" t="str">
        <x:v>Progressiva B.I.G. NORM</x:v>
      </x:c>
      <x:c r="F1284" s="24" t="str">
        <x:v>Surfaçada</x:v>
      </x:c>
      <x:c r="G1284" s="24" t="str">
        <x:v>Progressiv B.I.G. NORM</x:v>
      </x:c>
      <x:c r="H1284" s="24"/>
      <x:c r="I1284" s="24" t="str">
        <x:v>1.6</x:v>
      </x:c>
      <x:c r="J1284" s="24" t="str">
        <x:v>1.60</x:v>
      </x:c>
      <x:c r="K1284" s="24" t="str">
        <x:v>Solitaire X-tra Clean</x:v>
      </x:c>
      <x:c r="L1284" s="40" t="n">
        <x:v>7427</x:v>
      </x:c>
      <x:c r="M1284" s="24" t="str">
        <x:v>-11 a +10</x:v>
      </x:c>
      <x:c r="N1284" s="24" t="str">
        <x:v>até -6</x:v>
      </x:c>
      <x:c r="O1284" s="24"/>
      <x:c r="P1284" s="24" t="str">
        <x:v>75/80</x:v>
      </x:c>
      <x:c r="Q1284" s="24"/>
      <x:c r="R1284" s="24"/>
      <x:c r="S1284" s="26" t="n">
        <x:v>46024</x:v>
      </x:c>
      <x:c r="T1284" s="26"/>
      <x:c r="U1284" s="24" t="str">
        <x:v>ATIVA/SEM FIM INFORMADO</x:v>
      </x:c>
      <x:c r="V1284" s="24"/>
      <x:c r="W1284" s="24" t="n">
        <x:v>11</x:v>
      </x:c>
      <x:c r="X1284" s="24" t="str">
        <x:v>tabela_rodenstock.pdf</x:v>
      </x:c>
      <x:c r="Y1284" s="24" t="str">
        <x:v>alta</x:v>
      </x:c>
      <x:c r="Z1284" s="24"/>
      <x:c r="AA1284" s="24" t="str">
        <x:v>Rodenstock|Progressiva B.I.G. NORM|Surfaçada|Progressiv B.I.G. NORM||1.6|1.60|Solitaire X-tra Clean|-11 a +10|até -6||75/80|||11</x:v>
      </x:c>
    </x:row>
    <x:row r="1285">
      <x:c r="A1285" s="24" t="str">
        <x:v>RD-A019E2142A72</x:v>
      </x:c>
      <x:c r="B1285" s="24" t="str">
        <x:v>SIM</x:v>
      </x:c>
      <x:c r="C1285" s="24" t="str">
        <x:v>DISPONÍVEL</x:v>
      </x:c>
      <x:c r="D1285" s="24" t="str">
        <x:v>Rodenstock</x:v>
      </x:c>
      <x:c r="E1285" s="24" t="str">
        <x:v>Progressiva B.I.G. NORM</x:v>
      </x:c>
      <x:c r="F1285" s="24" t="str">
        <x:v>Surfaçada</x:v>
      </x:c>
      <x:c r="G1285" s="24" t="str">
        <x:v>Progressiv B.I.G. NORM</x:v>
      </x:c>
      <x:c r="H1285" s="24"/>
      <x:c r="I1285" s="24" t="str">
        <x:v>1.6</x:v>
      </x:c>
      <x:c r="J1285" s="24" t="str">
        <x:v>1.60</x:v>
      </x:c>
      <x:c r="K1285" s="24" t="str">
        <x:v>Solitaire Protect Plus</x:v>
      </x:c>
      <x:c r="L1285" s="40" t="n">
        <x:v>7377</x:v>
      </x:c>
      <x:c r="M1285" s="24" t="str">
        <x:v>-11 a +10</x:v>
      </x:c>
      <x:c r="N1285" s="24" t="str">
        <x:v>até -6</x:v>
      </x:c>
      <x:c r="O1285" s="24"/>
      <x:c r="P1285" s="24" t="str">
        <x:v>75/80</x:v>
      </x:c>
      <x:c r="Q1285" s="24"/>
      <x:c r="R1285" s="24"/>
      <x:c r="S1285" s="26" t="n">
        <x:v>46024</x:v>
      </x:c>
      <x:c r="T1285" s="26"/>
      <x:c r="U1285" s="24" t="str">
        <x:v>ATIVA/SEM FIM INFORMADO</x:v>
      </x:c>
      <x:c r="V1285" s="24"/>
      <x:c r="W1285" s="24" t="n">
        <x:v>11</x:v>
      </x:c>
      <x:c r="X1285" s="24" t="str">
        <x:v>tabela_rodenstock.pdf</x:v>
      </x:c>
      <x:c r="Y1285" s="24" t="str">
        <x:v>alta</x:v>
      </x:c>
      <x:c r="Z1285" s="24"/>
      <x:c r="AA1285" s="24" t="str">
        <x:v>Rodenstock|Progressiva B.I.G. NORM|Surfaçada|Progressiv B.I.G. NORM||1.6|1.60|Solitaire Protect Plus|-11 a +10|até -6||75/80|||11</x:v>
      </x:c>
    </x:row>
    <x:row r="1286">
      <x:c r="A1286" s="24" t="str">
        <x:v>RD-A623FF6CEAE1</x:v>
      </x:c>
      <x:c r="B1286" s="24" t="str">
        <x:v>SIM</x:v>
      </x:c>
      <x:c r="C1286" s="24" t="str">
        <x:v>DISPONÍVEL</x:v>
      </x:c>
      <x:c r="D1286" s="24" t="str">
        <x:v>Rodenstock</x:v>
      </x:c>
      <x:c r="E1286" s="24" t="str">
        <x:v>Progressiva B.I.G. NORM</x:v>
      </x:c>
      <x:c r="F1286" s="24" t="str">
        <x:v>Surfaçada</x:v>
      </x:c>
      <x:c r="G1286" s="24" t="str">
        <x:v>Progressiv B.I.G. NORM</x:v>
      </x:c>
      <x:c r="H1286" s="24"/>
      <x:c r="I1286" s="24" t="str">
        <x:v>1.6</x:v>
      </x:c>
      <x:c r="J1286" s="24" t="str">
        <x:v>1.60</x:v>
      </x:c>
      <x:c r="K1286" s="24" t="str">
        <x:v>ROAD</x:v>
      </x:c>
      <x:c r="L1286" s="40" t="n">
        <x:v>7377</x:v>
      </x:c>
      <x:c r="M1286" s="24" t="str">
        <x:v>-11 a +10</x:v>
      </x:c>
      <x:c r="N1286" s="24" t="str">
        <x:v>até -6</x:v>
      </x:c>
      <x:c r="O1286" s="24"/>
      <x:c r="P1286" s="24" t="str">
        <x:v>75/80</x:v>
      </x:c>
      <x:c r="Q1286" s="24"/>
      <x:c r="R1286" s="24"/>
      <x:c r="S1286" s="26" t="n">
        <x:v>46024</x:v>
      </x:c>
      <x:c r="T1286" s="26"/>
      <x:c r="U1286" s="24" t="str">
        <x:v>ATIVA/SEM FIM INFORMADO</x:v>
      </x:c>
      <x:c r="V1286" s="24"/>
      <x:c r="W1286" s="24" t="n">
        <x:v>11</x:v>
      </x:c>
      <x:c r="X1286" s="24" t="str">
        <x:v>tabela_rodenstock.pdf</x:v>
      </x:c>
      <x:c r="Y1286" s="24" t="str">
        <x:v>alta</x:v>
      </x:c>
      <x:c r="Z1286" s="24"/>
      <x:c r="AA1286" s="24" t="str">
        <x:v>Rodenstock|Progressiva B.I.G. NORM|Surfaçada|Progressiv B.I.G. NORM||1.6|1.60|ROAD|-11 a +10|até -6||75/80|||11</x:v>
      </x:c>
    </x:row>
    <x:row r="1287">
      <x:c r="A1287" s="24" t="str">
        <x:v>RD-A0E9B1A1E6A2</x:v>
      </x:c>
      <x:c r="B1287" s="24" t="str">
        <x:v>SIM</x:v>
      </x:c>
      <x:c r="C1287" s="24" t="str">
        <x:v>DISPONÍVEL</x:v>
      </x:c>
      <x:c r="D1287" s="24" t="str">
        <x:v>Rodenstock</x:v>
      </x:c>
      <x:c r="E1287" s="24" t="str">
        <x:v>Progressiva B.I.G. NORM</x:v>
      </x:c>
      <x:c r="F1287" s="24" t="str">
        <x:v>Surfaçada</x:v>
      </x:c>
      <x:c r="G1287" s="24" t="str">
        <x:v>Progressiv B.I.G. NORM</x:v>
      </x:c>
      <x:c r="H1287" s="24"/>
      <x:c r="I1287" s="24" t="str">
        <x:v>1.6</x:v>
      </x:c>
      <x:c r="J1287" s="24" t="str">
        <x:v>1.60</x:v>
      </x:c>
      <x:c r="K1287" s="24" t="str">
        <x:v>Solitaire Protect</x:v>
      </x:c>
      <x:c r="L1287" s="40" t="n">
        <x:v>7117</x:v>
      </x:c>
      <x:c r="M1287" s="24" t="str">
        <x:v>-11 a +10</x:v>
      </x:c>
      <x:c r="N1287" s="24" t="str">
        <x:v>até -6</x:v>
      </x:c>
      <x:c r="O1287" s="24"/>
      <x:c r="P1287" s="24" t="str">
        <x:v>75/80</x:v>
      </x:c>
      <x:c r="Q1287" s="24"/>
      <x:c r="R1287" s="24"/>
      <x:c r="S1287" s="26" t="n">
        <x:v>46024</x:v>
      </x:c>
      <x:c r="T1287" s="26"/>
      <x:c r="U1287" s="24" t="str">
        <x:v>ATIVA/SEM FIM INFORMADO</x:v>
      </x:c>
      <x:c r="V1287" s="24"/>
      <x:c r="W1287" s="24" t="n">
        <x:v>11</x:v>
      </x:c>
      <x:c r="X1287" s="24" t="str">
        <x:v>tabela_rodenstock.pdf</x:v>
      </x:c>
      <x:c r="Y1287" s="24" t="str">
        <x:v>alta</x:v>
      </x:c>
      <x:c r="Z1287" s="24"/>
      <x:c r="AA1287" s="24" t="str">
        <x:v>Rodenstock|Progressiva B.I.G. NORM|Surfaçada|Progressiv B.I.G. NORM||1.6|1.60|Solitaire Protect|-11 a +10|até -6||75/80|||11</x:v>
      </x:c>
    </x:row>
    <x:row r="1288">
      <x:c r="A1288" s="24" t="str">
        <x:v>RD-672E51CB16D0</x:v>
      </x:c>
      <x:c r="B1288" s="24" t="str">
        <x:v>SIM</x:v>
      </x:c>
      <x:c r="C1288" s="24" t="str">
        <x:v>DISPONÍVEL</x:v>
      </x:c>
      <x:c r="D1288" s="24" t="str">
        <x:v>Rodenstock</x:v>
      </x:c>
      <x:c r="E1288" s="24" t="str">
        <x:v>Progressiva B.I.G. NORM</x:v>
      </x:c>
      <x:c r="F1288" s="24" t="str">
        <x:v>Surfaçada</x:v>
      </x:c>
      <x:c r="G1288" s="24" t="str">
        <x:v>Progressiv B.I.G. NORM</x:v>
      </x:c>
      <x:c r="H1288" s="24" t="str">
        <x:v>PRO410</x:v>
      </x:c>
      <x:c r="I1288" s="24" t="str">
        <x:v>1.6</x:v>
      </x:c>
      <x:c r="J1288" s="24" t="str">
        <x:v>1.60</x:v>
      </x:c>
      <x:c r="K1288" s="24" t="str">
        <x:v>LayR X-tra Clean</x:v>
      </x:c>
      <x:c r="L1288" s="40" t="n">
        <x:v>7812</x:v>
      </x:c>
      <x:c r="M1288" s="24" t="str">
        <x:v>-11 a +10</x:v>
      </x:c>
      <x:c r="N1288" s="24" t="str">
        <x:v>até -6</x:v>
      </x:c>
      <x:c r="O1288" s="24"/>
      <x:c r="P1288" s="24" t="str">
        <x:v>75/80</x:v>
      </x:c>
      <x:c r="Q1288" s="24"/>
      <x:c r="R1288" s="24"/>
      <x:c r="S1288" s="26" t="n">
        <x:v>46024</x:v>
      </x:c>
      <x:c r="T1288" s="26"/>
      <x:c r="U1288" s="24" t="str">
        <x:v>ATIVA/SEM FIM INFORMADO</x:v>
      </x:c>
      <x:c r="V1288" s="24"/>
      <x:c r="W1288" s="24" t="n">
        <x:v>11</x:v>
      </x:c>
      <x:c r="X1288" s="24" t="str">
        <x:v>tabela_rodenstock.pdf</x:v>
      </x:c>
      <x:c r="Y1288" s="24" t="str">
        <x:v>alta</x:v>
      </x:c>
      <x:c r="Z1288" s="24"/>
      <x:c r="AA1288" s="24" t="str">
        <x:v>Rodenstock|Progressiva B.I.G. NORM|Surfaçada|Progressiv B.I.G. NORM|PRO410|1.6|1.60|LayR X-tra Clean|-11 a +10|até -6||75/80|||11</x:v>
      </x:c>
    </x:row>
    <x:row r="1289">
      <x:c r="A1289" s="24" t="str">
        <x:v>RD-6163E3335A9C</x:v>
      </x:c>
      <x:c r="B1289" s="24" t="str">
        <x:v>SIM</x:v>
      </x:c>
      <x:c r="C1289" s="24" t="str">
        <x:v>DISPONÍVEL</x:v>
      </x:c>
      <x:c r="D1289" s="24" t="str">
        <x:v>Rodenstock</x:v>
      </x:c>
      <x:c r="E1289" s="24" t="str">
        <x:v>Progressiva B.I.G. NORM</x:v>
      </x:c>
      <x:c r="F1289" s="24" t="str">
        <x:v>Surfaçada</x:v>
      </x:c>
      <x:c r="G1289" s="24" t="str">
        <x:v>Progressiv B.I.G. NORM</x:v>
      </x:c>
      <x:c r="H1289" s="24" t="str">
        <x:v>PRO410</x:v>
      </x:c>
      <x:c r="I1289" s="24" t="str">
        <x:v>1.6</x:v>
      </x:c>
      <x:c r="J1289" s="24" t="str">
        <x:v>1.60</x:v>
      </x:c>
      <x:c r="K1289" s="24" t="str">
        <x:v>LayR Balance</x:v>
      </x:c>
      <x:c r="L1289" s="40" t="n">
        <x:v>7812</x:v>
      </x:c>
      <x:c r="M1289" s="24" t="str">
        <x:v>-11 a +10</x:v>
      </x:c>
      <x:c r="N1289" s="24" t="str">
        <x:v>até -6</x:v>
      </x:c>
      <x:c r="O1289" s="24"/>
      <x:c r="P1289" s="24" t="str">
        <x:v>75/80</x:v>
      </x:c>
      <x:c r="Q1289" s="24"/>
      <x:c r="R1289" s="24"/>
      <x:c r="S1289" s="26" t="n">
        <x:v>46024</x:v>
      </x:c>
      <x:c r="T1289" s="26"/>
      <x:c r="U1289" s="24" t="str">
        <x:v>ATIVA/SEM FIM INFORMADO</x:v>
      </x:c>
      <x:c r="V1289" s="24"/>
      <x:c r="W1289" s="24" t="n">
        <x:v>11</x:v>
      </x:c>
      <x:c r="X1289" s="24" t="str">
        <x:v>tabela_rodenstock.pdf</x:v>
      </x:c>
      <x:c r="Y1289" s="24" t="str">
        <x:v>alta</x:v>
      </x:c>
      <x:c r="Z1289" s="24"/>
      <x:c r="AA1289" s="24" t="str">
        <x:v>Rodenstock|Progressiva B.I.G. NORM|Surfaçada|Progressiv B.I.G. NORM|PRO410|1.6|1.60|LayR Balance|-11 a +10|até -6||75/80|||11</x:v>
      </x:c>
    </x:row>
    <x:row r="1290">
      <x:c r="A1290" s="24" t="str">
        <x:v>RD-D986AE9822E5</x:v>
      </x:c>
      <x:c r="B1290" s="24" t="str">
        <x:v>SIM</x:v>
      </x:c>
      <x:c r="C1290" s="24" t="str">
        <x:v>DISPONÍVEL</x:v>
      </x:c>
      <x:c r="D1290" s="24" t="str">
        <x:v>Rodenstock</x:v>
      </x:c>
      <x:c r="E1290" s="24" t="str">
        <x:v>Progressiva B.I.G. NORM</x:v>
      </x:c>
      <x:c r="F1290" s="24" t="str">
        <x:v>Surfaçada</x:v>
      </x:c>
      <x:c r="G1290" s="24" t="str">
        <x:v>Progressiv B.I.G. NORM</x:v>
      </x:c>
      <x:c r="H1290" s="24" t="str">
        <x:v>PRO410</x:v>
      </x:c>
      <x:c r="I1290" s="24" t="str">
        <x:v>1.6</x:v>
      </x:c>
      <x:c r="J1290" s="24" t="str">
        <x:v>1.60</x:v>
      </x:c>
      <x:c r="K1290" s="24" t="str">
        <x:v>Solitaire X-tra Clean</x:v>
      </x:c>
      <x:c r="L1290" s="40" t="n">
        <x:v>7742</x:v>
      </x:c>
      <x:c r="M1290" s="24" t="str">
        <x:v>-11 a +10</x:v>
      </x:c>
      <x:c r="N1290" s="24" t="str">
        <x:v>até -6</x:v>
      </x:c>
      <x:c r="O1290" s="24"/>
      <x:c r="P1290" s="24" t="str">
        <x:v>75/80</x:v>
      </x:c>
      <x:c r="Q1290" s="24"/>
      <x:c r="R1290" s="24"/>
      <x:c r="S1290" s="26" t="n">
        <x:v>46024</x:v>
      </x:c>
      <x:c r="T1290" s="26"/>
      <x:c r="U1290" s="24" t="str">
        <x:v>ATIVA/SEM FIM INFORMADO</x:v>
      </x:c>
      <x:c r="V1290" s="24"/>
      <x:c r="W1290" s="24" t="n">
        <x:v>11</x:v>
      </x:c>
      <x:c r="X1290" s="24" t="str">
        <x:v>tabela_rodenstock.pdf</x:v>
      </x:c>
      <x:c r="Y1290" s="24" t="str">
        <x:v>alta</x:v>
      </x:c>
      <x:c r="Z1290" s="24"/>
      <x:c r="AA1290" s="24" t="str">
        <x:v>Rodenstock|Progressiva B.I.G. NORM|Surfaçada|Progressiv B.I.G. NORM|PRO410|1.6|1.60|Solitaire X-tra Clean|-11 a +10|até -6||75/80|||11</x:v>
      </x:c>
    </x:row>
    <x:row r="1291">
      <x:c r="A1291" s="24" t="str">
        <x:v>RD-A3E47EC012BE</x:v>
      </x:c>
      <x:c r="B1291" s="24" t="str">
        <x:v>SIM</x:v>
      </x:c>
      <x:c r="C1291" s="24" t="str">
        <x:v>DISPONÍVEL</x:v>
      </x:c>
      <x:c r="D1291" s="24" t="str">
        <x:v>Rodenstock</x:v>
      </x:c>
      <x:c r="E1291" s="24" t="str">
        <x:v>Progressiva B.I.G. NORM</x:v>
      </x:c>
      <x:c r="F1291" s="24" t="str">
        <x:v>Surfaçada</x:v>
      </x:c>
      <x:c r="G1291" s="24" t="str">
        <x:v>Progressiv B.I.G. NORM</x:v>
      </x:c>
      <x:c r="H1291" s="24" t="str">
        <x:v>PRO410</x:v>
      </x:c>
      <x:c r="I1291" s="24" t="str">
        <x:v>1.6</x:v>
      </x:c>
      <x:c r="J1291" s="24" t="str">
        <x:v>1.60</x:v>
      </x:c>
      <x:c r="K1291" s="24" t="str">
        <x:v>Solitaire Protect Plus</x:v>
      </x:c>
      <x:c r="L1291" s="40" t="n">
        <x:v>7692</x:v>
      </x:c>
      <x:c r="M1291" s="24" t="str">
        <x:v>-11 a +10</x:v>
      </x:c>
      <x:c r="N1291" s="24" t="str">
        <x:v>até -6</x:v>
      </x:c>
      <x:c r="O1291" s="24"/>
      <x:c r="P1291" s="24" t="str">
        <x:v>75/80</x:v>
      </x:c>
      <x:c r="Q1291" s="24"/>
      <x:c r="R1291" s="24"/>
      <x:c r="S1291" s="26" t="n">
        <x:v>46024</x:v>
      </x:c>
      <x:c r="T1291" s="26"/>
      <x:c r="U1291" s="24" t="str">
        <x:v>ATIVA/SEM FIM INFORMADO</x:v>
      </x:c>
      <x:c r="V1291" s="24"/>
      <x:c r="W1291" s="24" t="n">
        <x:v>11</x:v>
      </x:c>
      <x:c r="X1291" s="24" t="str">
        <x:v>tabela_rodenstock.pdf</x:v>
      </x:c>
      <x:c r="Y1291" s="24" t="str">
        <x:v>alta</x:v>
      </x:c>
      <x:c r="Z1291" s="24"/>
      <x:c r="AA1291" s="24" t="str">
        <x:v>Rodenstock|Progressiva B.I.G. NORM|Surfaçada|Progressiv B.I.G. NORM|PRO410|1.6|1.60|Solitaire Protect Plus|-11 a +10|até -6||75/80|||11</x:v>
      </x:c>
    </x:row>
    <x:row r="1292">
      <x:c r="A1292" s="24" t="str">
        <x:v>RD-522328A365AD</x:v>
      </x:c>
      <x:c r="B1292" s="24" t="str">
        <x:v>SIM</x:v>
      </x:c>
      <x:c r="C1292" s="24" t="str">
        <x:v>DISPONÍVEL</x:v>
      </x:c>
      <x:c r="D1292" s="24" t="str">
        <x:v>Rodenstock</x:v>
      </x:c>
      <x:c r="E1292" s="24" t="str">
        <x:v>Progressiva B.I.G. NORM</x:v>
      </x:c>
      <x:c r="F1292" s="24" t="str">
        <x:v>Surfaçada</x:v>
      </x:c>
      <x:c r="G1292" s="24" t="str">
        <x:v>Progressiv B.I.G. NORM</x:v>
      </x:c>
      <x:c r="H1292" s="24" t="str">
        <x:v>PRO410</x:v>
      </x:c>
      <x:c r="I1292" s="24" t="str">
        <x:v>1.6</x:v>
      </x:c>
      <x:c r="J1292" s="24" t="str">
        <x:v>1.60</x:v>
      </x:c>
      <x:c r="K1292" s="24" t="str">
        <x:v>ROAD</x:v>
      </x:c>
      <x:c r="L1292" s="40" t="n">
        <x:v>7692</x:v>
      </x:c>
      <x:c r="M1292" s="24" t="str">
        <x:v>-11 a +10</x:v>
      </x:c>
      <x:c r="N1292" s="24" t="str">
        <x:v>até -6</x:v>
      </x:c>
      <x:c r="O1292" s="24"/>
      <x:c r="P1292" s="24" t="str">
        <x:v>75/80</x:v>
      </x:c>
      <x:c r="Q1292" s="24"/>
      <x:c r="R1292" s="24"/>
      <x:c r="S1292" s="26" t="n">
        <x:v>46024</x:v>
      </x:c>
      <x:c r="T1292" s="26"/>
      <x:c r="U1292" s="24" t="str">
        <x:v>ATIVA/SEM FIM INFORMADO</x:v>
      </x:c>
      <x:c r="V1292" s="24"/>
      <x:c r="W1292" s="24" t="n">
        <x:v>11</x:v>
      </x:c>
      <x:c r="X1292" s="24" t="str">
        <x:v>tabela_rodenstock.pdf</x:v>
      </x:c>
      <x:c r="Y1292" s="24" t="str">
        <x:v>alta</x:v>
      </x:c>
      <x:c r="Z1292" s="24"/>
      <x:c r="AA1292" s="24" t="str">
        <x:v>Rodenstock|Progressiva B.I.G. NORM|Surfaçada|Progressiv B.I.G. NORM|PRO410|1.6|1.60|ROAD|-11 a +10|até -6||75/80|||11</x:v>
      </x:c>
    </x:row>
    <x:row r="1293">
      <x:c r="A1293" s="24" t="str">
        <x:v>RD-4E0D91359CBC</x:v>
      </x:c>
      <x:c r="B1293" s="24" t="str">
        <x:v>SIM</x:v>
      </x:c>
      <x:c r="C1293" s="24" t="str">
        <x:v>DISPONÍVEL</x:v>
      </x:c>
      <x:c r="D1293" s="24" t="str">
        <x:v>Rodenstock</x:v>
      </x:c>
      <x:c r="E1293" s="24" t="str">
        <x:v>Progressiva B.I.G. NORM</x:v>
      </x:c>
      <x:c r="F1293" s="24" t="str">
        <x:v>Surfaçada</x:v>
      </x:c>
      <x:c r="G1293" s="24" t="str">
        <x:v>Progressiv B.I.G. NORM</x:v>
      </x:c>
      <x:c r="H1293" s="24" t="str">
        <x:v>PRO410</x:v>
      </x:c>
      <x:c r="I1293" s="24" t="str">
        <x:v>1.6</x:v>
      </x:c>
      <x:c r="J1293" s="24" t="str">
        <x:v>1.60</x:v>
      </x:c>
      <x:c r="K1293" s="24" t="str">
        <x:v>Solitaire Protect</x:v>
      </x:c>
      <x:c r="L1293" s="40" t="n">
        <x:v>7432</x:v>
      </x:c>
      <x:c r="M1293" s="24" t="str">
        <x:v>-11 a +10</x:v>
      </x:c>
      <x:c r="N1293" s="24" t="str">
        <x:v>até -6</x:v>
      </x:c>
      <x:c r="O1293" s="24"/>
      <x:c r="P1293" s="24" t="str">
        <x:v>75/80</x:v>
      </x:c>
      <x:c r="Q1293" s="24"/>
      <x:c r="R1293" s="24"/>
      <x:c r="S1293" s="26" t="n">
        <x:v>46024</x:v>
      </x:c>
      <x:c r="T1293" s="26"/>
      <x:c r="U1293" s="24" t="str">
        <x:v>ATIVA/SEM FIM INFORMADO</x:v>
      </x:c>
      <x:c r="V1293" s="24"/>
      <x:c r="W1293" s="24" t="n">
        <x:v>11</x:v>
      </x:c>
      <x:c r="X1293" s="24" t="str">
        <x:v>tabela_rodenstock.pdf</x:v>
      </x:c>
      <x:c r="Y1293" s="24" t="str">
        <x:v>alta</x:v>
      </x:c>
      <x:c r="Z1293" s="24"/>
      <x:c r="AA1293" s="24" t="str">
        <x:v>Rodenstock|Progressiva B.I.G. NORM|Surfaçada|Progressiv B.I.G. NORM|PRO410|1.6|1.60|Solitaire Protect|-11 a +10|até -6||75/80|||11</x:v>
      </x:c>
    </x:row>
    <x:row r="1294">
      <x:c r="A1294" s="24" t="str">
        <x:v>RD-A6AE1FFC3682</x:v>
      </x:c>
      <x:c r="B1294" s="24" t="str">
        <x:v>SIM</x:v>
      </x:c>
      <x:c r="C1294" s="24" t="str">
        <x:v>DISPONÍVEL</x:v>
      </x:c>
      <x:c r="D1294" s="24" t="str">
        <x:v>Rodenstock</x:v>
      </x:c>
      <x:c r="E1294" s="24" t="str">
        <x:v>Progressiva B.I.G. NORM</x:v>
      </x:c>
      <x:c r="F1294" s="24" t="str">
        <x:v>Surfaçada</x:v>
      </x:c>
      <x:c r="G1294" s="24" t="str">
        <x:v>Progressiv B.I.G. NORM</x:v>
      </x:c>
      <x:c r="H1294" s="24" t="str">
        <x:v>ColorMatic® 3 | X</x:v>
      </x:c>
      <x:c r="I1294" s="24" t="str">
        <x:v>1.6</x:v>
      </x:c>
      <x:c r="J1294" s="24" t="str">
        <x:v>1.60</x:v>
      </x:c>
      <x:c r="K1294" s="24" t="str">
        <x:v>LayR X-tra Clean</x:v>
      </x:c>
      <x:c r="L1294" s="40" t="n">
        <x:v>9126</x:v>
      </x:c>
      <x:c r="M1294" s="24" t="str">
        <x:v>-11 a +10</x:v>
      </x:c>
      <x:c r="N1294" s="24" t="str">
        <x:v>até -6</x:v>
      </x:c>
      <x:c r="O1294" s="24"/>
      <x:c r="P1294" s="24" t="str">
        <x:v>75/80</x:v>
      </x:c>
      <x:c r="Q1294" s="24"/>
      <x:c r="R1294" s="24"/>
      <x:c r="S1294" s="26" t="n">
        <x:v>46024</x:v>
      </x:c>
      <x:c r="T1294" s="26"/>
      <x:c r="U1294" s="24" t="str">
        <x:v>ATIVA/SEM FIM INFORMADO</x:v>
      </x:c>
      <x:c r="V1294" s="24"/>
      <x:c r="W1294" s="24" t="n">
        <x:v>11</x:v>
      </x:c>
      <x:c r="X1294" s="24" t="str">
        <x:v>tabela_rodenstock.pdf</x:v>
      </x:c>
      <x:c r="Y1294" s="24" t="str">
        <x:v>alta</x:v>
      </x:c>
      <x:c r="Z1294" s="24"/>
      <x:c r="AA1294" s="24" t="str">
        <x:v>Rodenstock|Progressiva B.I.G. NORM|Surfaçada|Progressiv B.I.G. NORM|ColorMatic® 3 | X|1.6|1.60|LayR X-tra Clean|-11 a +10|até -6||75/80|||11</x:v>
      </x:c>
    </x:row>
    <x:row r="1295">
      <x:c r="A1295" s="24" t="str">
        <x:v>RD-943825FA6A65</x:v>
      </x:c>
      <x:c r="B1295" s="24" t="str">
        <x:v>SIM</x:v>
      </x:c>
      <x:c r="C1295" s="24" t="str">
        <x:v>DISPONÍVEL</x:v>
      </x:c>
      <x:c r="D1295" s="24" t="str">
        <x:v>Rodenstock</x:v>
      </x:c>
      <x:c r="E1295" s="24" t="str">
        <x:v>Progressiva B.I.G. NORM</x:v>
      </x:c>
      <x:c r="F1295" s="24" t="str">
        <x:v>Surfaçada</x:v>
      </x:c>
      <x:c r="G1295" s="24" t="str">
        <x:v>Progressiv B.I.G. NORM</x:v>
      </x:c>
      <x:c r="H1295" s="24" t="str">
        <x:v>ColorMatic® 3 | X</x:v>
      </x:c>
      <x:c r="I1295" s="24" t="str">
        <x:v>1.6</x:v>
      </x:c>
      <x:c r="J1295" s="24" t="str">
        <x:v>1.60</x:v>
      </x:c>
      <x:c r="K1295" s="24" t="str">
        <x:v>LayR Balance</x:v>
      </x:c>
      <x:c r="L1295" s="40" t="n">
        <x:v>9126</x:v>
      </x:c>
      <x:c r="M1295" s="24" t="str">
        <x:v>-11 a +10</x:v>
      </x:c>
      <x:c r="N1295" s="24" t="str">
        <x:v>até -6</x:v>
      </x:c>
      <x:c r="O1295" s="24"/>
      <x:c r="P1295" s="24" t="str">
        <x:v>75/80</x:v>
      </x:c>
      <x:c r="Q1295" s="24"/>
      <x:c r="R1295" s="24"/>
      <x:c r="S1295" s="26" t="n">
        <x:v>46024</x:v>
      </x:c>
      <x:c r="T1295" s="26"/>
      <x:c r="U1295" s="24" t="str">
        <x:v>ATIVA/SEM FIM INFORMADO</x:v>
      </x:c>
      <x:c r="V1295" s="24"/>
      <x:c r="W1295" s="24" t="n">
        <x:v>11</x:v>
      </x:c>
      <x:c r="X1295" s="24" t="str">
        <x:v>tabela_rodenstock.pdf</x:v>
      </x:c>
      <x:c r="Y1295" s="24" t="str">
        <x:v>alta</x:v>
      </x:c>
      <x:c r="Z1295" s="24"/>
      <x:c r="AA1295" s="24" t="str">
        <x:v>Rodenstock|Progressiva B.I.G. NORM|Surfaçada|Progressiv B.I.G. NORM|ColorMatic® 3 | X|1.6|1.60|LayR Balance|-11 a +10|até -6||75/80|||11</x:v>
      </x:c>
    </x:row>
    <x:row r="1296">
      <x:c r="A1296" s="24" t="str">
        <x:v>RD-8B29993C8506</x:v>
      </x:c>
      <x:c r="B1296" s="24" t="str">
        <x:v>SIM</x:v>
      </x:c>
      <x:c r="C1296" s="24" t="str">
        <x:v>DISPONÍVEL</x:v>
      </x:c>
      <x:c r="D1296" s="24" t="str">
        <x:v>Rodenstock</x:v>
      </x:c>
      <x:c r="E1296" s="24" t="str">
        <x:v>Progressiva B.I.G. NORM</x:v>
      </x:c>
      <x:c r="F1296" s="24" t="str">
        <x:v>Surfaçada</x:v>
      </x:c>
      <x:c r="G1296" s="24" t="str">
        <x:v>Progressiv B.I.G. NORM</x:v>
      </x:c>
      <x:c r="H1296" s="24" t="str">
        <x:v>ColorMatic® 3 | X</x:v>
      </x:c>
      <x:c r="I1296" s="24" t="str">
        <x:v>1.6</x:v>
      </x:c>
      <x:c r="J1296" s="24" t="str">
        <x:v>1.60</x:v>
      </x:c>
      <x:c r="K1296" s="24" t="str">
        <x:v>Solitaire X-tra Clean</x:v>
      </x:c>
      <x:c r="L1296" s="40" t="n">
        <x:v>9056</x:v>
      </x:c>
      <x:c r="M1296" s="24" t="str">
        <x:v>-11 a +10</x:v>
      </x:c>
      <x:c r="N1296" s="24" t="str">
        <x:v>até -6</x:v>
      </x:c>
      <x:c r="O1296" s="24"/>
      <x:c r="P1296" s="24" t="str">
        <x:v>75/80</x:v>
      </x:c>
      <x:c r="Q1296" s="24"/>
      <x:c r="R1296" s="24"/>
      <x:c r="S1296" s="26" t="n">
        <x:v>46024</x:v>
      </x:c>
      <x:c r="T1296" s="26"/>
      <x:c r="U1296" s="24" t="str">
        <x:v>ATIVA/SEM FIM INFORMADO</x:v>
      </x:c>
      <x:c r="V1296" s="24"/>
      <x:c r="W1296" s="24" t="n">
        <x:v>11</x:v>
      </x:c>
      <x:c r="X1296" s="24" t="str">
        <x:v>tabela_rodenstock.pdf</x:v>
      </x:c>
      <x:c r="Y1296" s="24" t="str">
        <x:v>alta</x:v>
      </x:c>
      <x:c r="Z1296" s="24"/>
      <x:c r="AA1296" s="24" t="str">
        <x:v>Rodenstock|Progressiva B.I.G. NORM|Surfaçada|Progressiv B.I.G. NORM|ColorMatic® 3 | X|1.6|1.60|Solitaire X-tra Clean|-11 a +10|até -6||75/80|||11</x:v>
      </x:c>
    </x:row>
    <x:row r="1297">
      <x:c r="A1297" s="24" t="str">
        <x:v>RD-4E0BDC3F8409</x:v>
      </x:c>
      <x:c r="B1297" s="24" t="str">
        <x:v>SIM</x:v>
      </x:c>
      <x:c r="C1297" s="24" t="str">
        <x:v>DISPONÍVEL</x:v>
      </x:c>
      <x:c r="D1297" s="24" t="str">
        <x:v>Rodenstock</x:v>
      </x:c>
      <x:c r="E1297" s="24" t="str">
        <x:v>Progressiva B.I.G. NORM</x:v>
      </x:c>
      <x:c r="F1297" s="24" t="str">
        <x:v>Surfaçada</x:v>
      </x:c>
      <x:c r="G1297" s="24" t="str">
        <x:v>Progressiv B.I.G. NORM</x:v>
      </x:c>
      <x:c r="H1297" s="24" t="str">
        <x:v>ColorMatic® 3 | X</x:v>
      </x:c>
      <x:c r="I1297" s="24" t="str">
        <x:v>1.6</x:v>
      </x:c>
      <x:c r="J1297" s="24" t="str">
        <x:v>1.60</x:v>
      </x:c>
      <x:c r="K1297" s="24" t="str">
        <x:v>Solitaire Protect Plus</x:v>
      </x:c>
      <x:c r="L1297" s="40" t="n">
        <x:v>9006</x:v>
      </x:c>
      <x:c r="M1297" s="24" t="str">
        <x:v>-11 a +10</x:v>
      </x:c>
      <x:c r="N1297" s="24" t="str">
        <x:v>até -6</x:v>
      </x:c>
      <x:c r="O1297" s="24"/>
      <x:c r="P1297" s="24" t="str">
        <x:v>75/80</x:v>
      </x:c>
      <x:c r="Q1297" s="24"/>
      <x:c r="R1297" s="24"/>
      <x:c r="S1297" s="26" t="n">
        <x:v>46024</x:v>
      </x:c>
      <x:c r="T1297" s="26"/>
      <x:c r="U1297" s="24" t="str">
        <x:v>ATIVA/SEM FIM INFORMADO</x:v>
      </x:c>
      <x:c r="V1297" s="24"/>
      <x:c r="W1297" s="24" t="n">
        <x:v>11</x:v>
      </x:c>
      <x:c r="X1297" s="24" t="str">
        <x:v>tabela_rodenstock.pdf</x:v>
      </x:c>
      <x:c r="Y1297" s="24" t="str">
        <x:v>alta</x:v>
      </x:c>
      <x:c r="Z1297" s="24"/>
      <x:c r="AA1297" s="24" t="str">
        <x:v>Rodenstock|Progressiva B.I.G. NORM|Surfaçada|Progressiv B.I.G. NORM|ColorMatic® 3 | X|1.6|1.60|Solitaire Protect Plus|-11 a +10|até -6||75/80|||11</x:v>
      </x:c>
    </x:row>
    <x:row r="1298">
      <x:c r="A1298" s="24" t="str">
        <x:v>RD-3F192FF825AA</x:v>
      </x:c>
      <x:c r="B1298" s="24" t="str">
        <x:v>SIM</x:v>
      </x:c>
      <x:c r="C1298" s="24" t="str">
        <x:v>DISPONÍVEL</x:v>
      </x:c>
      <x:c r="D1298" s="24" t="str">
        <x:v>Rodenstock</x:v>
      </x:c>
      <x:c r="E1298" s="24" t="str">
        <x:v>Progressiva B.I.G. NORM</x:v>
      </x:c>
      <x:c r="F1298" s="24" t="str">
        <x:v>Surfaçada</x:v>
      </x:c>
      <x:c r="G1298" s="24" t="str">
        <x:v>Progressiv B.I.G. NORM</x:v>
      </x:c>
      <x:c r="H1298" s="24" t="str">
        <x:v>ColorMatic® 3 | X</x:v>
      </x:c>
      <x:c r="I1298" s="24" t="str">
        <x:v>1.6</x:v>
      </x:c>
      <x:c r="J1298" s="24" t="str">
        <x:v>1.60</x:v>
      </x:c>
      <x:c r="K1298" s="24" t="str">
        <x:v>ROAD</x:v>
      </x:c>
      <x:c r="L1298" s="40" t="n">
        <x:v>9006</x:v>
      </x:c>
      <x:c r="M1298" s="24" t="str">
        <x:v>-11 a +10</x:v>
      </x:c>
      <x:c r="N1298" s="24" t="str">
        <x:v>até -6</x:v>
      </x:c>
      <x:c r="O1298" s="24"/>
      <x:c r="P1298" s="24" t="str">
        <x:v>75/80</x:v>
      </x:c>
      <x:c r="Q1298" s="24"/>
      <x:c r="R1298" s="24"/>
      <x:c r="S1298" s="26" t="n">
        <x:v>46024</x:v>
      </x:c>
      <x:c r="T1298" s="26"/>
      <x:c r="U1298" s="24" t="str">
        <x:v>ATIVA/SEM FIM INFORMADO</x:v>
      </x:c>
      <x:c r="V1298" s="24"/>
      <x:c r="W1298" s="24" t="n">
        <x:v>11</x:v>
      </x:c>
      <x:c r="X1298" s="24" t="str">
        <x:v>tabela_rodenstock.pdf</x:v>
      </x:c>
      <x:c r="Y1298" s="24" t="str">
        <x:v>alta</x:v>
      </x:c>
      <x:c r="Z1298" s="24"/>
      <x:c r="AA1298" s="24" t="str">
        <x:v>Rodenstock|Progressiva B.I.G. NORM|Surfaçada|Progressiv B.I.G. NORM|ColorMatic® 3 | X|1.6|1.60|ROAD|-11 a +10|até -6||75/80|||11</x:v>
      </x:c>
    </x:row>
    <x:row r="1299">
      <x:c r="A1299" s="24" t="str">
        <x:v>RD-6924B0C8A43A</x:v>
      </x:c>
      <x:c r="B1299" s="24" t="str">
        <x:v>SIM</x:v>
      </x:c>
      <x:c r="C1299" s="24" t="str">
        <x:v>DISPONÍVEL</x:v>
      </x:c>
      <x:c r="D1299" s="24" t="str">
        <x:v>Rodenstock</x:v>
      </x:c>
      <x:c r="E1299" s="24" t="str">
        <x:v>Progressiva B.I.G. NORM</x:v>
      </x:c>
      <x:c r="F1299" s="24" t="str">
        <x:v>Surfaçada</x:v>
      </x:c>
      <x:c r="G1299" s="24" t="str">
        <x:v>Progressiv B.I.G. NORM</x:v>
      </x:c>
      <x:c r="H1299" s="24" t="str">
        <x:v>ColorMatic® 3 | X</x:v>
      </x:c>
      <x:c r="I1299" s="24" t="str">
        <x:v>1.6</x:v>
      </x:c>
      <x:c r="J1299" s="24" t="str">
        <x:v>1.60</x:v>
      </x:c>
      <x:c r="K1299" s="24" t="str">
        <x:v>Solitaire Protect</x:v>
      </x:c>
      <x:c r="L1299" s="40" t="n">
        <x:v>8746</x:v>
      </x:c>
      <x:c r="M1299" s="24" t="str">
        <x:v>-11 a +10</x:v>
      </x:c>
      <x:c r="N1299" s="24" t="str">
        <x:v>até -6</x:v>
      </x:c>
      <x:c r="O1299" s="24"/>
      <x:c r="P1299" s="24" t="str">
        <x:v>75/80</x:v>
      </x:c>
      <x:c r="Q1299" s="24"/>
      <x:c r="R1299" s="24"/>
      <x:c r="S1299" s="26" t="n">
        <x:v>46024</x:v>
      </x:c>
      <x:c r="T1299" s="26"/>
      <x:c r="U1299" s="24" t="str">
        <x:v>ATIVA/SEM FIM INFORMADO</x:v>
      </x:c>
      <x:c r="V1299" s="24"/>
      <x:c r="W1299" s="24" t="n">
        <x:v>11</x:v>
      </x:c>
      <x:c r="X1299" s="24" t="str">
        <x:v>tabela_rodenstock.pdf</x:v>
      </x:c>
      <x:c r="Y1299" s="24" t="str">
        <x:v>alta</x:v>
      </x:c>
      <x:c r="Z1299" s="24"/>
      <x:c r="AA1299" s="24" t="str">
        <x:v>Rodenstock|Progressiva B.I.G. NORM|Surfaçada|Progressiv B.I.G. NORM|ColorMatic® 3 | X|1.6|1.60|Solitaire Protect|-11 a +10|até -6||75/80|||11</x:v>
      </x:c>
    </x:row>
    <x:row r="1300">
      <x:c r="A1300" s="24" t="str">
        <x:v>RD-D8FCE3A2E3AA</x:v>
      </x:c>
      <x:c r="B1300" s="24" t="str">
        <x:v>SIM</x:v>
      </x:c>
      <x:c r="C1300" s="24" t="str">
        <x:v>DISPONÍVEL</x:v>
      </x:c>
      <x:c r="D1300" s="24" t="str">
        <x:v>Rodenstock</x:v>
      </x:c>
      <x:c r="E1300" s="24" t="str">
        <x:v>Progressiva B.I.G. NORM</x:v>
      </x:c>
      <x:c r="F1300" s="24" t="str">
        <x:v>Surfaçada</x:v>
      </x:c>
      <x:c r="G1300" s="24" t="str">
        <x:v>Progressiv B.I.G. NORM</x:v>
      </x:c>
      <x:c r="H1300" s="24"/>
      <x:c r="I1300" s="24" t="str">
        <x:v>1.67</x:v>
      </x:c>
      <x:c r="J1300" s="24" t="str">
        <x:v>1.67</x:v>
      </x:c>
      <x:c r="K1300" s="24" t="str">
        <x:v>LayR X-tra Clean</x:v>
      </x:c>
      <x:c r="L1300" s="40" t="n">
        <x:v>9271</x:v>
      </x:c>
      <x:c r="M1300" s="24" t="str">
        <x:v>-12 a +10</x:v>
      </x:c>
      <x:c r="N1300" s="24" t="str">
        <x:v>até -6</x:v>
      </x:c>
      <x:c r="O1300" s="24"/>
      <x:c r="P1300" s="24" t="str">
        <x:v>75/80</x:v>
      </x:c>
      <x:c r="Q1300" s="24"/>
      <x:c r="R1300" s="24"/>
      <x:c r="S1300" s="26" t="n">
        <x:v>46024</x:v>
      </x:c>
      <x:c r="T1300" s="26"/>
      <x:c r="U1300" s="24" t="str">
        <x:v>ATIVA/SEM FIM INFORMADO</x:v>
      </x:c>
      <x:c r="V1300" s="24"/>
      <x:c r="W1300" s="24" t="n">
        <x:v>11</x:v>
      </x:c>
      <x:c r="X1300" s="24" t="str">
        <x:v>tabela_rodenstock.pdf</x:v>
      </x:c>
      <x:c r="Y1300" s="24" t="str">
        <x:v>alta</x:v>
      </x:c>
      <x:c r="Z1300" s="24"/>
      <x:c r="AA1300" s="24" t="str">
        <x:v>Rodenstock|Progressiva B.I.G. NORM|Surfaçada|Progressiv B.I.G. NORM||1.67|1.67|LayR X-tra Clean|-12 a +10|até -6||75/80|||11</x:v>
      </x:c>
    </x:row>
    <x:row r="1301">
      <x:c r="A1301" s="24" t="str">
        <x:v>RD-A523468D73EC</x:v>
      </x:c>
      <x:c r="B1301" s="24" t="str">
        <x:v>SIM</x:v>
      </x:c>
      <x:c r="C1301" s="24" t="str">
        <x:v>DISPONÍVEL</x:v>
      </x:c>
      <x:c r="D1301" s="24" t="str">
        <x:v>Rodenstock</x:v>
      </x:c>
      <x:c r="E1301" s="24" t="str">
        <x:v>Progressiva B.I.G. NORM</x:v>
      </x:c>
      <x:c r="F1301" s="24" t="str">
        <x:v>Surfaçada</x:v>
      </x:c>
      <x:c r="G1301" s="24" t="str">
        <x:v>Progressiv B.I.G. NORM</x:v>
      </x:c>
      <x:c r="H1301" s="24"/>
      <x:c r="I1301" s="24" t="str">
        <x:v>1.67</x:v>
      </x:c>
      <x:c r="J1301" s="24" t="str">
        <x:v>1.67</x:v>
      </x:c>
      <x:c r="K1301" s="24" t="str">
        <x:v>LayR Balance</x:v>
      </x:c>
      <x:c r="L1301" s="40" t="n">
        <x:v>9271</x:v>
      </x:c>
      <x:c r="M1301" s="24" t="str">
        <x:v>-12 a +10</x:v>
      </x:c>
      <x:c r="N1301" s="24" t="str">
        <x:v>até -6</x:v>
      </x:c>
      <x:c r="O1301" s="24"/>
      <x:c r="P1301" s="24" t="str">
        <x:v>75/80</x:v>
      </x:c>
      <x:c r="Q1301" s="24"/>
      <x:c r="R1301" s="24"/>
      <x:c r="S1301" s="26" t="n">
        <x:v>46024</x:v>
      </x:c>
      <x:c r="T1301" s="26"/>
      <x:c r="U1301" s="24" t="str">
        <x:v>ATIVA/SEM FIM INFORMADO</x:v>
      </x:c>
      <x:c r="V1301" s="24"/>
      <x:c r="W1301" s="24" t="n">
        <x:v>11</x:v>
      </x:c>
      <x:c r="X1301" s="24" t="str">
        <x:v>tabela_rodenstock.pdf</x:v>
      </x:c>
      <x:c r="Y1301" s="24" t="str">
        <x:v>alta</x:v>
      </x:c>
      <x:c r="Z1301" s="24"/>
      <x:c r="AA1301" s="24" t="str">
        <x:v>Rodenstock|Progressiva B.I.G. NORM|Surfaçada|Progressiv B.I.G. NORM||1.67|1.67|LayR Balance|-12 a +10|até -6||75/80|||11</x:v>
      </x:c>
    </x:row>
    <x:row r="1302">
      <x:c r="A1302" s="24" t="str">
        <x:v>RD-95A7553857AC</x:v>
      </x:c>
      <x:c r="B1302" s="24" t="str">
        <x:v>SIM</x:v>
      </x:c>
      <x:c r="C1302" s="24" t="str">
        <x:v>DISPONÍVEL</x:v>
      </x:c>
      <x:c r="D1302" s="24" t="str">
        <x:v>Rodenstock</x:v>
      </x:c>
      <x:c r="E1302" s="24" t="str">
        <x:v>Progressiva B.I.G. NORM</x:v>
      </x:c>
      <x:c r="F1302" s="24" t="str">
        <x:v>Surfaçada</x:v>
      </x:c>
      <x:c r="G1302" s="24" t="str">
        <x:v>Progressiv B.I.G. NORM</x:v>
      </x:c>
      <x:c r="H1302" s="24"/>
      <x:c r="I1302" s="24" t="str">
        <x:v>1.67</x:v>
      </x:c>
      <x:c r="J1302" s="24" t="str">
        <x:v>1.67</x:v>
      </x:c>
      <x:c r="K1302" s="24" t="str">
        <x:v>Solitaire X-tra Clean</x:v>
      </x:c>
      <x:c r="L1302" s="40" t="n">
        <x:v>9201</x:v>
      </x:c>
      <x:c r="M1302" s="24" t="str">
        <x:v>-12 a +10</x:v>
      </x:c>
      <x:c r="N1302" s="24" t="str">
        <x:v>até -6</x:v>
      </x:c>
      <x:c r="O1302" s="24"/>
      <x:c r="P1302" s="24" t="str">
        <x:v>75/80</x:v>
      </x:c>
      <x:c r="Q1302" s="24"/>
      <x:c r="R1302" s="24"/>
      <x:c r="S1302" s="26" t="n">
        <x:v>46024</x:v>
      </x:c>
      <x:c r="T1302" s="26"/>
      <x:c r="U1302" s="24" t="str">
        <x:v>ATIVA/SEM FIM INFORMADO</x:v>
      </x:c>
      <x:c r="V1302" s="24"/>
      <x:c r="W1302" s="24" t="n">
        <x:v>11</x:v>
      </x:c>
      <x:c r="X1302" s="24" t="str">
        <x:v>tabela_rodenstock.pdf</x:v>
      </x:c>
      <x:c r="Y1302" s="24" t="str">
        <x:v>alta</x:v>
      </x:c>
      <x:c r="Z1302" s="24"/>
      <x:c r="AA1302" s="24" t="str">
        <x:v>Rodenstock|Progressiva B.I.G. NORM|Surfaçada|Progressiv B.I.G. NORM||1.67|1.67|Solitaire X-tra Clean|-12 a +10|até -6||75/80|||11</x:v>
      </x:c>
    </x:row>
    <x:row r="1303">
      <x:c r="A1303" s="24" t="str">
        <x:v>RD-5A938297EC3E</x:v>
      </x:c>
      <x:c r="B1303" s="24" t="str">
        <x:v>SIM</x:v>
      </x:c>
      <x:c r="C1303" s="24" t="str">
        <x:v>DISPONÍVEL</x:v>
      </x:c>
      <x:c r="D1303" s="24" t="str">
        <x:v>Rodenstock</x:v>
      </x:c>
      <x:c r="E1303" s="24" t="str">
        <x:v>Progressiva B.I.G. NORM</x:v>
      </x:c>
      <x:c r="F1303" s="24" t="str">
        <x:v>Surfaçada</x:v>
      </x:c>
      <x:c r="G1303" s="24" t="str">
        <x:v>Progressiv B.I.G. NORM</x:v>
      </x:c>
      <x:c r="H1303" s="24"/>
      <x:c r="I1303" s="24" t="str">
        <x:v>1.67</x:v>
      </x:c>
      <x:c r="J1303" s="24" t="str">
        <x:v>1.67</x:v>
      </x:c>
      <x:c r="K1303" s="24" t="str">
        <x:v>Solitaire Protect Plus</x:v>
      </x:c>
      <x:c r="L1303" s="40" t="n">
        <x:v>9151</x:v>
      </x:c>
      <x:c r="M1303" s="24" t="str">
        <x:v>-12 a +10</x:v>
      </x:c>
      <x:c r="N1303" s="24" t="str">
        <x:v>até -6</x:v>
      </x:c>
      <x:c r="O1303" s="24"/>
      <x:c r="P1303" s="24" t="str">
        <x:v>75/80</x:v>
      </x:c>
      <x:c r="Q1303" s="24"/>
      <x:c r="R1303" s="24"/>
      <x:c r="S1303" s="26" t="n">
        <x:v>46024</x:v>
      </x:c>
      <x:c r="T1303" s="26"/>
      <x:c r="U1303" s="24" t="str">
        <x:v>ATIVA/SEM FIM INFORMADO</x:v>
      </x:c>
      <x:c r="V1303" s="24"/>
      <x:c r="W1303" s="24" t="n">
        <x:v>11</x:v>
      </x:c>
      <x:c r="X1303" s="24" t="str">
        <x:v>tabela_rodenstock.pdf</x:v>
      </x:c>
      <x:c r="Y1303" s="24" t="str">
        <x:v>alta</x:v>
      </x:c>
      <x:c r="Z1303" s="24"/>
      <x:c r="AA1303" s="24" t="str">
        <x:v>Rodenstock|Progressiva B.I.G. NORM|Surfaçada|Progressiv B.I.G. NORM||1.67|1.67|Solitaire Protect Plus|-12 a +10|até -6||75/80|||11</x:v>
      </x:c>
    </x:row>
    <x:row r="1304">
      <x:c r="A1304" s="24" t="str">
        <x:v>RD-058C61DB3813</x:v>
      </x:c>
      <x:c r="B1304" s="24" t="str">
        <x:v>SIM</x:v>
      </x:c>
      <x:c r="C1304" s="24" t="str">
        <x:v>DISPONÍVEL</x:v>
      </x:c>
      <x:c r="D1304" s="24" t="str">
        <x:v>Rodenstock</x:v>
      </x:c>
      <x:c r="E1304" s="24" t="str">
        <x:v>Progressiva B.I.G. NORM</x:v>
      </x:c>
      <x:c r="F1304" s="24" t="str">
        <x:v>Surfaçada</x:v>
      </x:c>
      <x:c r="G1304" s="24" t="str">
        <x:v>Progressiv B.I.G. NORM</x:v>
      </x:c>
      <x:c r="H1304" s="24"/>
      <x:c r="I1304" s="24" t="str">
        <x:v>1.67</x:v>
      </x:c>
      <x:c r="J1304" s="24" t="str">
        <x:v>1.67</x:v>
      </x:c>
      <x:c r="K1304" s="24" t="str">
        <x:v>ROAD</x:v>
      </x:c>
      <x:c r="L1304" s="40" t="n">
        <x:v>9151</x:v>
      </x:c>
      <x:c r="M1304" s="24" t="str">
        <x:v>-12 a +10</x:v>
      </x:c>
      <x:c r="N1304" s="24" t="str">
        <x:v>até -6</x:v>
      </x:c>
      <x:c r="O1304" s="24"/>
      <x:c r="P1304" s="24" t="str">
        <x:v>75/80</x:v>
      </x:c>
      <x:c r="Q1304" s="24"/>
      <x:c r="R1304" s="24"/>
      <x:c r="S1304" s="26" t="n">
        <x:v>46024</x:v>
      </x:c>
      <x:c r="T1304" s="26"/>
      <x:c r="U1304" s="24" t="str">
        <x:v>ATIVA/SEM FIM INFORMADO</x:v>
      </x:c>
      <x:c r="V1304" s="24"/>
      <x:c r="W1304" s="24" t="n">
        <x:v>11</x:v>
      </x:c>
      <x:c r="X1304" s="24" t="str">
        <x:v>tabela_rodenstock.pdf</x:v>
      </x:c>
      <x:c r="Y1304" s="24" t="str">
        <x:v>alta</x:v>
      </x:c>
      <x:c r="Z1304" s="24"/>
      <x:c r="AA1304" s="24" t="str">
        <x:v>Rodenstock|Progressiva B.I.G. NORM|Surfaçada|Progressiv B.I.G. NORM||1.67|1.67|ROAD|-12 a +10|até -6||75/80|||11</x:v>
      </x:c>
    </x:row>
    <x:row r="1305">
      <x:c r="A1305" s="24" t="str">
        <x:v>RD-EE452790DF3A</x:v>
      </x:c>
      <x:c r="B1305" s="24" t="str">
        <x:v>SIM</x:v>
      </x:c>
      <x:c r="C1305" s="24" t="str">
        <x:v>DISPONÍVEL</x:v>
      </x:c>
      <x:c r="D1305" s="24" t="str">
        <x:v>Rodenstock</x:v>
      </x:c>
      <x:c r="E1305" s="24" t="str">
        <x:v>Progressiva B.I.G. NORM</x:v>
      </x:c>
      <x:c r="F1305" s="24" t="str">
        <x:v>Surfaçada</x:v>
      </x:c>
      <x:c r="G1305" s="24" t="str">
        <x:v>Progressiv B.I.G. NORM</x:v>
      </x:c>
      <x:c r="H1305" s="24"/>
      <x:c r="I1305" s="24" t="str">
        <x:v>1.67</x:v>
      </x:c>
      <x:c r="J1305" s="24" t="str">
        <x:v>1.67</x:v>
      </x:c>
      <x:c r="K1305" s="24" t="str">
        <x:v>Solitaire Protect</x:v>
      </x:c>
      <x:c r="L1305" s="40" t="n">
        <x:v>8891</x:v>
      </x:c>
      <x:c r="M1305" s="24" t="str">
        <x:v>-12 a +10</x:v>
      </x:c>
      <x:c r="N1305" s="24" t="str">
        <x:v>até -6</x:v>
      </x:c>
      <x:c r="O1305" s="24"/>
      <x:c r="P1305" s="24" t="str">
        <x:v>75/80</x:v>
      </x:c>
      <x:c r="Q1305" s="24"/>
      <x:c r="R1305" s="24"/>
      <x:c r="S1305" s="26" t="n">
        <x:v>46024</x:v>
      </x:c>
      <x:c r="T1305" s="26"/>
      <x:c r="U1305" s="24" t="str">
        <x:v>ATIVA/SEM FIM INFORMADO</x:v>
      </x:c>
      <x:c r="V1305" s="24"/>
      <x:c r="W1305" s="24" t="n">
        <x:v>11</x:v>
      </x:c>
      <x:c r="X1305" s="24" t="str">
        <x:v>tabela_rodenstock.pdf</x:v>
      </x:c>
      <x:c r="Y1305" s="24" t="str">
        <x:v>alta</x:v>
      </x:c>
      <x:c r="Z1305" s="24"/>
      <x:c r="AA1305" s="24" t="str">
        <x:v>Rodenstock|Progressiva B.I.G. NORM|Surfaçada|Progressiv B.I.G. NORM||1.67|1.67|Solitaire Protect|-12 a +10|até -6||75/80|||11</x:v>
      </x:c>
    </x:row>
    <x:row r="1306">
      <x:c r="A1306" s="24" t="str">
        <x:v>RD-36FE34C8DE91</x:v>
      </x:c>
      <x:c r="B1306" s="24" t="str">
        <x:v>SIM</x:v>
      </x:c>
      <x:c r="C1306" s="24" t="str">
        <x:v>DISPONÍVEL</x:v>
      </x:c>
      <x:c r="D1306" s="24" t="str">
        <x:v>Rodenstock</x:v>
      </x:c>
      <x:c r="E1306" s="24" t="str">
        <x:v>Progressiva B.I.G. NORM</x:v>
      </x:c>
      <x:c r="F1306" s="24" t="str">
        <x:v>Surfaçada</x:v>
      </x:c>
      <x:c r="G1306" s="24" t="str">
        <x:v>Progressiv B.I.G. NORM</x:v>
      </x:c>
      <x:c r="H1306" s="24" t="str">
        <x:v>ColorMatic® 3</x:v>
      </x:c>
      <x:c r="I1306" s="24" t="str">
        <x:v>1.67</x:v>
      </x:c>
      <x:c r="J1306" s="24" t="str">
        <x:v>1.67</x:v>
      </x:c>
      <x:c r="K1306" s="24" t="str">
        <x:v>LayR X-tra Clean</x:v>
      </x:c>
      <x:c r="L1306" s="40" t="n">
        <x:v>10696</x:v>
      </x:c>
      <x:c r="M1306" s="24" t="str">
        <x:v>-12 a +10</x:v>
      </x:c>
      <x:c r="N1306" s="24" t="str">
        <x:v>até -6</x:v>
      </x:c>
      <x:c r="O1306" s="24"/>
      <x:c r="P1306" s="24" t="str">
        <x:v>75/80</x:v>
      </x:c>
      <x:c r="Q1306" s="24"/>
      <x:c r="R1306" s="24"/>
      <x:c r="S1306" s="26" t="n">
        <x:v>46024</x:v>
      </x:c>
      <x:c r="T1306" s="26"/>
      <x:c r="U1306" s="24" t="str">
        <x:v>ATIVA/SEM FIM INFORMADO</x:v>
      </x:c>
      <x:c r="V1306" s="24"/>
      <x:c r="W1306" s="24" t="n">
        <x:v>11</x:v>
      </x:c>
      <x:c r="X1306" s="24" t="str">
        <x:v>tabela_rodenstock.pdf</x:v>
      </x:c>
      <x:c r="Y1306" s="24" t="str">
        <x:v>alta</x:v>
      </x:c>
      <x:c r="Z1306" s="24"/>
      <x:c r="AA1306" s="24" t="str">
        <x:v>Rodenstock|Progressiva B.I.G. NORM|Surfaçada|Progressiv B.I.G. NORM|ColorMatic® 3|1.67|1.67|LayR X-tra Clean|-12 a +10|até -6||75/80|||11</x:v>
      </x:c>
    </x:row>
    <x:row r="1307">
      <x:c r="A1307" s="24" t="str">
        <x:v>RD-3347C01E8933</x:v>
      </x:c>
      <x:c r="B1307" s="24" t="str">
        <x:v>SIM</x:v>
      </x:c>
      <x:c r="C1307" s="24" t="str">
        <x:v>DISPONÍVEL</x:v>
      </x:c>
      <x:c r="D1307" s="24" t="str">
        <x:v>Rodenstock</x:v>
      </x:c>
      <x:c r="E1307" s="24" t="str">
        <x:v>Progressiva B.I.G. NORM</x:v>
      </x:c>
      <x:c r="F1307" s="24" t="str">
        <x:v>Surfaçada</x:v>
      </x:c>
      <x:c r="G1307" s="24" t="str">
        <x:v>Progressiv B.I.G. NORM</x:v>
      </x:c>
      <x:c r="H1307" s="24" t="str">
        <x:v>ColorMatic® 3</x:v>
      </x:c>
      <x:c r="I1307" s="24" t="str">
        <x:v>1.67</x:v>
      </x:c>
      <x:c r="J1307" s="24" t="str">
        <x:v>1.67</x:v>
      </x:c>
      <x:c r="K1307" s="24" t="str">
        <x:v>LayR Balance</x:v>
      </x:c>
      <x:c r="L1307" s="40" t="n">
        <x:v>10696</x:v>
      </x:c>
      <x:c r="M1307" s="24" t="str">
        <x:v>-12 a +10</x:v>
      </x:c>
      <x:c r="N1307" s="24" t="str">
        <x:v>até -6</x:v>
      </x:c>
      <x:c r="O1307" s="24"/>
      <x:c r="P1307" s="24" t="str">
        <x:v>75/80</x:v>
      </x:c>
      <x:c r="Q1307" s="24"/>
      <x:c r="R1307" s="24"/>
      <x:c r="S1307" s="26" t="n">
        <x:v>46024</x:v>
      </x:c>
      <x:c r="T1307" s="26"/>
      <x:c r="U1307" s="24" t="str">
        <x:v>ATIVA/SEM FIM INFORMADO</x:v>
      </x:c>
      <x:c r="V1307" s="24"/>
      <x:c r="W1307" s="24" t="n">
        <x:v>11</x:v>
      </x:c>
      <x:c r="X1307" s="24" t="str">
        <x:v>tabela_rodenstock.pdf</x:v>
      </x:c>
      <x:c r="Y1307" s="24" t="str">
        <x:v>alta</x:v>
      </x:c>
      <x:c r="Z1307" s="24"/>
      <x:c r="AA1307" s="24" t="str">
        <x:v>Rodenstock|Progressiva B.I.G. NORM|Surfaçada|Progressiv B.I.G. NORM|ColorMatic® 3|1.67|1.67|LayR Balance|-12 a +10|até -6||75/80|||11</x:v>
      </x:c>
    </x:row>
    <x:row r="1308">
      <x:c r="A1308" s="24" t="str">
        <x:v>RD-1AA61C6527F4</x:v>
      </x:c>
      <x:c r="B1308" s="24" t="str">
        <x:v>SIM</x:v>
      </x:c>
      <x:c r="C1308" s="24" t="str">
        <x:v>DISPONÍVEL</x:v>
      </x:c>
      <x:c r="D1308" s="24" t="str">
        <x:v>Rodenstock</x:v>
      </x:c>
      <x:c r="E1308" s="24" t="str">
        <x:v>Progressiva B.I.G. NORM</x:v>
      </x:c>
      <x:c r="F1308" s="24" t="str">
        <x:v>Surfaçada</x:v>
      </x:c>
      <x:c r="G1308" s="24" t="str">
        <x:v>Progressiv B.I.G. NORM</x:v>
      </x:c>
      <x:c r="H1308" s="24" t="str">
        <x:v>ColorMatic® 3</x:v>
      </x:c>
      <x:c r="I1308" s="24" t="str">
        <x:v>1.67</x:v>
      </x:c>
      <x:c r="J1308" s="24" t="str">
        <x:v>1.67</x:v>
      </x:c>
      <x:c r="K1308" s="24" t="str">
        <x:v>Solitaire X-tra Clean</x:v>
      </x:c>
      <x:c r="L1308" s="40" t="n">
        <x:v>10626</x:v>
      </x:c>
      <x:c r="M1308" s="24" t="str">
        <x:v>-12 a +10</x:v>
      </x:c>
      <x:c r="N1308" s="24" t="str">
        <x:v>até -6</x:v>
      </x:c>
      <x:c r="O1308" s="24"/>
      <x:c r="P1308" s="24" t="str">
        <x:v>75/80</x:v>
      </x:c>
      <x:c r="Q1308" s="24"/>
      <x:c r="R1308" s="24"/>
      <x:c r="S1308" s="26" t="n">
        <x:v>46024</x:v>
      </x:c>
      <x:c r="T1308" s="26"/>
      <x:c r="U1308" s="24" t="str">
        <x:v>ATIVA/SEM FIM INFORMADO</x:v>
      </x:c>
      <x:c r="V1308" s="24"/>
      <x:c r="W1308" s="24" t="n">
        <x:v>11</x:v>
      </x:c>
      <x:c r="X1308" s="24" t="str">
        <x:v>tabela_rodenstock.pdf</x:v>
      </x:c>
      <x:c r="Y1308" s="24" t="str">
        <x:v>alta</x:v>
      </x:c>
      <x:c r="Z1308" s="24"/>
      <x:c r="AA1308" s="24" t="str">
        <x:v>Rodenstock|Progressiva B.I.G. NORM|Surfaçada|Progressiv B.I.G. NORM|ColorMatic® 3|1.67|1.67|Solitaire X-tra Clean|-12 a +10|até -6||75/80|||11</x:v>
      </x:c>
    </x:row>
    <x:row r="1309">
      <x:c r="A1309" s="24" t="str">
        <x:v>RD-86FA7689133D</x:v>
      </x:c>
      <x:c r="B1309" s="24" t="str">
        <x:v>SIM</x:v>
      </x:c>
      <x:c r="C1309" s="24" t="str">
        <x:v>DISPONÍVEL</x:v>
      </x:c>
      <x:c r="D1309" s="24" t="str">
        <x:v>Rodenstock</x:v>
      </x:c>
      <x:c r="E1309" s="24" t="str">
        <x:v>Progressiva B.I.G. NORM</x:v>
      </x:c>
      <x:c r="F1309" s="24" t="str">
        <x:v>Surfaçada</x:v>
      </x:c>
      <x:c r="G1309" s="24" t="str">
        <x:v>Progressiv B.I.G. NORM</x:v>
      </x:c>
      <x:c r="H1309" s="24" t="str">
        <x:v>ColorMatic® 3</x:v>
      </x:c>
      <x:c r="I1309" s="24" t="str">
        <x:v>1.67</x:v>
      </x:c>
      <x:c r="J1309" s="24" t="str">
        <x:v>1.67</x:v>
      </x:c>
      <x:c r="K1309" s="24" t="str">
        <x:v>Solitaire Protect Plus</x:v>
      </x:c>
      <x:c r="L1309" s="40" t="n">
        <x:v>10576</x:v>
      </x:c>
      <x:c r="M1309" s="24" t="str">
        <x:v>-12 a +10</x:v>
      </x:c>
      <x:c r="N1309" s="24" t="str">
        <x:v>até -6</x:v>
      </x:c>
      <x:c r="O1309" s="24"/>
      <x:c r="P1309" s="24" t="str">
        <x:v>75/80</x:v>
      </x:c>
      <x:c r="Q1309" s="24"/>
      <x:c r="R1309" s="24"/>
      <x:c r="S1309" s="26" t="n">
        <x:v>46024</x:v>
      </x:c>
      <x:c r="T1309" s="26"/>
      <x:c r="U1309" s="24" t="str">
        <x:v>ATIVA/SEM FIM INFORMADO</x:v>
      </x:c>
      <x:c r="V1309" s="24"/>
      <x:c r="W1309" s="24" t="n">
        <x:v>11</x:v>
      </x:c>
      <x:c r="X1309" s="24" t="str">
        <x:v>tabela_rodenstock.pdf</x:v>
      </x:c>
      <x:c r="Y1309" s="24" t="str">
        <x:v>alta</x:v>
      </x:c>
      <x:c r="Z1309" s="24"/>
      <x:c r="AA1309" s="24" t="str">
        <x:v>Rodenstock|Progressiva B.I.G. NORM|Surfaçada|Progressiv B.I.G. NORM|ColorMatic® 3|1.67|1.67|Solitaire Protect Plus|-12 a +10|até -6||75/80|||11</x:v>
      </x:c>
    </x:row>
    <x:row r="1310">
      <x:c r="A1310" s="24" t="str">
        <x:v>RD-D490D857306D</x:v>
      </x:c>
      <x:c r="B1310" s="24" t="str">
        <x:v>SIM</x:v>
      </x:c>
      <x:c r="C1310" s="24" t="str">
        <x:v>DISPONÍVEL</x:v>
      </x:c>
      <x:c r="D1310" s="24" t="str">
        <x:v>Rodenstock</x:v>
      </x:c>
      <x:c r="E1310" s="24" t="str">
        <x:v>Progressiva B.I.G. NORM</x:v>
      </x:c>
      <x:c r="F1310" s="24" t="str">
        <x:v>Surfaçada</x:v>
      </x:c>
      <x:c r="G1310" s="24" t="str">
        <x:v>Progressiv B.I.G. NORM</x:v>
      </x:c>
      <x:c r="H1310" s="24" t="str">
        <x:v>ColorMatic® 3</x:v>
      </x:c>
      <x:c r="I1310" s="24" t="str">
        <x:v>1.67</x:v>
      </x:c>
      <x:c r="J1310" s="24" t="str">
        <x:v>1.67</x:v>
      </x:c>
      <x:c r="K1310" s="24" t="str">
        <x:v>ROAD</x:v>
      </x:c>
      <x:c r="L1310" s="40" t="n">
        <x:v>10576</x:v>
      </x:c>
      <x:c r="M1310" s="24" t="str">
        <x:v>-12 a +10</x:v>
      </x:c>
      <x:c r="N1310" s="24" t="str">
        <x:v>até -6</x:v>
      </x:c>
      <x:c r="O1310" s="24"/>
      <x:c r="P1310" s="24" t="str">
        <x:v>75/80</x:v>
      </x:c>
      <x:c r="Q1310" s="24"/>
      <x:c r="R1310" s="24"/>
      <x:c r="S1310" s="26" t="n">
        <x:v>46024</x:v>
      </x:c>
      <x:c r="T1310" s="26"/>
      <x:c r="U1310" s="24" t="str">
        <x:v>ATIVA/SEM FIM INFORMADO</x:v>
      </x:c>
      <x:c r="V1310" s="24"/>
      <x:c r="W1310" s="24" t="n">
        <x:v>11</x:v>
      </x:c>
      <x:c r="X1310" s="24" t="str">
        <x:v>tabela_rodenstock.pdf</x:v>
      </x:c>
      <x:c r="Y1310" s="24" t="str">
        <x:v>alta</x:v>
      </x:c>
      <x:c r="Z1310" s="24"/>
      <x:c r="AA1310" s="24" t="str">
        <x:v>Rodenstock|Progressiva B.I.G. NORM|Surfaçada|Progressiv B.I.G. NORM|ColorMatic® 3|1.67|1.67|ROAD|-12 a +10|até -6||75/80|||11</x:v>
      </x:c>
    </x:row>
    <x:row r="1311">
      <x:c r="A1311" s="24" t="str">
        <x:v>RD-C3629BBB4979</x:v>
      </x:c>
      <x:c r="B1311" s="24" t="str">
        <x:v>SIM</x:v>
      </x:c>
      <x:c r="C1311" s="24" t="str">
        <x:v>DISPONÍVEL</x:v>
      </x:c>
      <x:c r="D1311" s="24" t="str">
        <x:v>Rodenstock</x:v>
      </x:c>
      <x:c r="E1311" s="24" t="str">
        <x:v>Progressiva B.I.G. NORM</x:v>
      </x:c>
      <x:c r="F1311" s="24" t="str">
        <x:v>Surfaçada</x:v>
      </x:c>
      <x:c r="G1311" s="24" t="str">
        <x:v>Progressiv B.I.G. NORM</x:v>
      </x:c>
      <x:c r="H1311" s="24" t="str">
        <x:v>ColorMatic® 3</x:v>
      </x:c>
      <x:c r="I1311" s="24" t="str">
        <x:v>1.67</x:v>
      </x:c>
      <x:c r="J1311" s="24" t="str">
        <x:v>1.67</x:v>
      </x:c>
      <x:c r="K1311" s="24" t="str">
        <x:v>Solitaire Protect</x:v>
      </x:c>
      <x:c r="L1311" s="40" t="n">
        <x:v>10316</x:v>
      </x:c>
      <x:c r="M1311" s="24" t="str">
        <x:v>-12 a +10</x:v>
      </x:c>
      <x:c r="N1311" s="24" t="str">
        <x:v>até -6</x:v>
      </x:c>
      <x:c r="O1311" s="24"/>
      <x:c r="P1311" s="24" t="str">
        <x:v>75/80</x:v>
      </x:c>
      <x:c r="Q1311" s="24"/>
      <x:c r="R1311" s="24"/>
      <x:c r="S1311" s="26" t="n">
        <x:v>46024</x:v>
      </x:c>
      <x:c r="T1311" s="26"/>
      <x:c r="U1311" s="24" t="str">
        <x:v>ATIVA/SEM FIM INFORMADO</x:v>
      </x:c>
      <x:c r="V1311" s="24"/>
      <x:c r="W1311" s="24" t="n">
        <x:v>11</x:v>
      </x:c>
      <x:c r="X1311" s="24" t="str">
        <x:v>tabela_rodenstock.pdf</x:v>
      </x:c>
      <x:c r="Y1311" s="24" t="str">
        <x:v>alta</x:v>
      </x:c>
      <x:c r="Z1311" s="24"/>
      <x:c r="AA1311" s="24" t="str">
        <x:v>Rodenstock|Progressiva B.I.G. NORM|Surfaçada|Progressiv B.I.G. NORM|ColorMatic® 3|1.67|1.67|Solitaire Protect|-12 a +10|até -6||75/80|||11</x:v>
      </x:c>
    </x:row>
    <x:row r="1312">
      <x:c r="A1312" s="24" t="str">
        <x:v>RD-9813DD303114</x:v>
      </x:c>
      <x:c r="B1312" s="24" t="str">
        <x:v>SIM</x:v>
      </x:c>
      <x:c r="C1312" s="24" t="str">
        <x:v>DISPONÍVEL</x:v>
      </x:c>
      <x:c r="D1312" s="24" t="str">
        <x:v>Rodenstock</x:v>
      </x:c>
      <x:c r="E1312" s="24" t="str">
        <x:v>Progressiva B.I.G. NORM</x:v>
      </x:c>
      <x:c r="F1312" s="24" t="str">
        <x:v>Surfaçada</x:v>
      </x:c>
      <x:c r="G1312" s="24" t="str">
        <x:v>Progressiv B.I.G. NORM</x:v>
      </x:c>
      <x:c r="H1312" s="24"/>
      <x:c r="I1312" s="24" t="str">
        <x:v>1.74</x:v>
      </x:c>
      <x:c r="J1312" s="24" t="str">
        <x:v>1.74</x:v>
      </x:c>
      <x:c r="K1312" s="24" t="str">
        <x:v>LayR X-tra Clean</x:v>
      </x:c>
      <x:c r="L1312" s="40" t="n">
        <x:v>11021</x:v>
      </x:c>
      <x:c r="M1312" s="24" t="str">
        <x:v>-18 a +13</x:v>
      </x:c>
      <x:c r="N1312" s="24" t="str">
        <x:v>até -6</x:v>
      </x:c>
      <x:c r="O1312" s="24"/>
      <x:c r="P1312" s="24" t="str">
        <x:v>75/80</x:v>
      </x:c>
      <x:c r="Q1312" s="24"/>
      <x:c r="R1312" s="24"/>
      <x:c r="S1312" s="26" t="n">
        <x:v>46024</x:v>
      </x:c>
      <x:c r="T1312" s="26"/>
      <x:c r="U1312" s="24" t="str">
        <x:v>ATIVA/SEM FIM INFORMADO</x:v>
      </x:c>
      <x:c r="V1312" s="24"/>
      <x:c r="W1312" s="24" t="n">
        <x:v>11</x:v>
      </x:c>
      <x:c r="X1312" s="24" t="str">
        <x:v>tabela_rodenstock.pdf</x:v>
      </x:c>
      <x:c r="Y1312" s="24" t="str">
        <x:v>alta</x:v>
      </x:c>
      <x:c r="Z1312" s="24"/>
      <x:c r="AA1312" s="24" t="str">
        <x:v>Rodenstock|Progressiva B.I.G. NORM|Surfaçada|Progressiv B.I.G. NORM||1.74|1.74|LayR X-tra Clean|-18 a +13|até -6||75/80|||11</x:v>
      </x:c>
    </x:row>
    <x:row r="1313">
      <x:c r="A1313" s="24" t="str">
        <x:v>RD-253FB911AD44</x:v>
      </x:c>
      <x:c r="B1313" s="24" t="str">
        <x:v>SIM</x:v>
      </x:c>
      <x:c r="C1313" s="24" t="str">
        <x:v>DISPONÍVEL</x:v>
      </x:c>
      <x:c r="D1313" s="24" t="str">
        <x:v>Rodenstock</x:v>
      </x:c>
      <x:c r="E1313" s="24" t="str">
        <x:v>Progressiva B.I.G. NORM</x:v>
      </x:c>
      <x:c r="F1313" s="24" t="str">
        <x:v>Surfaçada</x:v>
      </x:c>
      <x:c r="G1313" s="24" t="str">
        <x:v>Progressiv B.I.G. NORM</x:v>
      </x:c>
      <x:c r="H1313" s="24"/>
      <x:c r="I1313" s="24" t="str">
        <x:v>1.74</x:v>
      </x:c>
      <x:c r="J1313" s="24" t="str">
        <x:v>1.74</x:v>
      </x:c>
      <x:c r="K1313" s="24" t="str">
        <x:v>LayR Balance</x:v>
      </x:c>
      <x:c r="L1313" s="40" t="n">
        <x:v>11021</x:v>
      </x:c>
      <x:c r="M1313" s="24" t="str">
        <x:v>-18 a +13</x:v>
      </x:c>
      <x:c r="N1313" s="24" t="str">
        <x:v>até -6</x:v>
      </x:c>
      <x:c r="O1313" s="24"/>
      <x:c r="P1313" s="24" t="str">
        <x:v>75/80</x:v>
      </x:c>
      <x:c r="Q1313" s="24"/>
      <x:c r="R1313" s="24"/>
      <x:c r="S1313" s="26" t="n">
        <x:v>46024</x:v>
      </x:c>
      <x:c r="T1313" s="26"/>
      <x:c r="U1313" s="24" t="str">
        <x:v>ATIVA/SEM FIM INFORMADO</x:v>
      </x:c>
      <x:c r="V1313" s="24"/>
      <x:c r="W1313" s="24" t="n">
        <x:v>11</x:v>
      </x:c>
      <x:c r="X1313" s="24" t="str">
        <x:v>tabela_rodenstock.pdf</x:v>
      </x:c>
      <x:c r="Y1313" s="24" t="str">
        <x:v>alta</x:v>
      </x:c>
      <x:c r="Z1313" s="24"/>
      <x:c r="AA1313" s="24" t="str">
        <x:v>Rodenstock|Progressiva B.I.G. NORM|Surfaçada|Progressiv B.I.G. NORM||1.74|1.74|LayR Balance|-18 a +13|até -6||75/80|||11</x:v>
      </x:c>
    </x:row>
    <x:row r="1314">
      <x:c r="A1314" s="24" t="str">
        <x:v>RD-A4AE61CD25B3</x:v>
      </x:c>
      <x:c r="B1314" s="24" t="str">
        <x:v>SIM</x:v>
      </x:c>
      <x:c r="C1314" s="24" t="str">
        <x:v>DISPONÍVEL</x:v>
      </x:c>
      <x:c r="D1314" s="24" t="str">
        <x:v>Rodenstock</x:v>
      </x:c>
      <x:c r="E1314" s="24" t="str">
        <x:v>Progressiva B.I.G. NORM</x:v>
      </x:c>
      <x:c r="F1314" s="24" t="str">
        <x:v>Surfaçada</x:v>
      </x:c>
      <x:c r="G1314" s="24" t="str">
        <x:v>Progressiv B.I.G. NORM</x:v>
      </x:c>
      <x:c r="H1314" s="24"/>
      <x:c r="I1314" s="24" t="str">
        <x:v>1.74</x:v>
      </x:c>
      <x:c r="J1314" s="24" t="str">
        <x:v>1.74</x:v>
      </x:c>
      <x:c r="K1314" s="24" t="str">
        <x:v>Solitaire X-tra Clean</x:v>
      </x:c>
      <x:c r="L1314" s="40" t="n">
        <x:v>10951</x:v>
      </x:c>
      <x:c r="M1314" s="24" t="str">
        <x:v>-18 a +13</x:v>
      </x:c>
      <x:c r="N1314" s="24" t="str">
        <x:v>até -6</x:v>
      </x:c>
      <x:c r="O1314" s="24"/>
      <x:c r="P1314" s="24" t="str">
        <x:v>75/80</x:v>
      </x:c>
      <x:c r="Q1314" s="24"/>
      <x:c r="R1314" s="24"/>
      <x:c r="S1314" s="26" t="n">
        <x:v>46024</x:v>
      </x:c>
      <x:c r="T1314" s="26"/>
      <x:c r="U1314" s="24" t="str">
        <x:v>ATIVA/SEM FIM INFORMADO</x:v>
      </x:c>
      <x:c r="V1314" s="24"/>
      <x:c r="W1314" s="24" t="n">
        <x:v>11</x:v>
      </x:c>
      <x:c r="X1314" s="24" t="str">
        <x:v>tabela_rodenstock.pdf</x:v>
      </x:c>
      <x:c r="Y1314" s="24" t="str">
        <x:v>alta</x:v>
      </x:c>
      <x:c r="Z1314" s="24"/>
      <x:c r="AA1314" s="24" t="str">
        <x:v>Rodenstock|Progressiva B.I.G. NORM|Surfaçada|Progressiv B.I.G. NORM||1.74|1.74|Solitaire X-tra Clean|-18 a +13|até -6||75/80|||11</x:v>
      </x:c>
    </x:row>
    <x:row r="1315">
      <x:c r="A1315" s="24" t="str">
        <x:v>RD-4B48F562ECB4</x:v>
      </x:c>
      <x:c r="B1315" s="24" t="str">
        <x:v>SIM</x:v>
      </x:c>
      <x:c r="C1315" s="24" t="str">
        <x:v>DISPONÍVEL</x:v>
      </x:c>
      <x:c r="D1315" s="24" t="str">
        <x:v>Rodenstock</x:v>
      </x:c>
      <x:c r="E1315" s="24" t="str">
        <x:v>Progressiva B.I.G. NORM</x:v>
      </x:c>
      <x:c r="F1315" s="24" t="str">
        <x:v>Surfaçada</x:v>
      </x:c>
      <x:c r="G1315" s="24" t="str">
        <x:v>Progressiv B.I.G. NORM</x:v>
      </x:c>
      <x:c r="H1315" s="24"/>
      <x:c r="I1315" s="24" t="str">
        <x:v>1.74</x:v>
      </x:c>
      <x:c r="J1315" s="24" t="str">
        <x:v>1.74</x:v>
      </x:c>
      <x:c r="K1315" s="24" t="str">
        <x:v>Solitaire Protect Plus</x:v>
      </x:c>
      <x:c r="L1315" s="40" t="n">
        <x:v>10901</x:v>
      </x:c>
      <x:c r="M1315" s="24" t="str">
        <x:v>-18 a +13</x:v>
      </x:c>
      <x:c r="N1315" s="24" t="str">
        <x:v>até -6</x:v>
      </x:c>
      <x:c r="O1315" s="24"/>
      <x:c r="P1315" s="24" t="str">
        <x:v>75/80</x:v>
      </x:c>
      <x:c r="Q1315" s="24"/>
      <x:c r="R1315" s="24"/>
      <x:c r="S1315" s="26" t="n">
        <x:v>46024</x:v>
      </x:c>
      <x:c r="T1315" s="26"/>
      <x:c r="U1315" s="24" t="str">
        <x:v>ATIVA/SEM FIM INFORMADO</x:v>
      </x:c>
      <x:c r="V1315" s="24"/>
      <x:c r="W1315" s="24" t="n">
        <x:v>11</x:v>
      </x:c>
      <x:c r="X1315" s="24" t="str">
        <x:v>tabela_rodenstock.pdf</x:v>
      </x:c>
      <x:c r="Y1315" s="24" t="str">
        <x:v>alta</x:v>
      </x:c>
      <x:c r="Z1315" s="24"/>
      <x:c r="AA1315" s="24" t="str">
        <x:v>Rodenstock|Progressiva B.I.G. NORM|Surfaçada|Progressiv B.I.G. NORM||1.74|1.74|Solitaire Protect Plus|-18 a +13|até -6||75/80|||11</x:v>
      </x:c>
    </x:row>
    <x:row r="1316">
      <x:c r="A1316" s="24" t="str">
        <x:v>RD-D2820EC89266</x:v>
      </x:c>
      <x:c r="B1316" s="24" t="str">
        <x:v>SIM</x:v>
      </x:c>
      <x:c r="C1316" s="24" t="str">
        <x:v>DISPONÍVEL</x:v>
      </x:c>
      <x:c r="D1316" s="24" t="str">
        <x:v>Rodenstock</x:v>
      </x:c>
      <x:c r="E1316" s="24" t="str">
        <x:v>Progressiva B.I.G. NORM</x:v>
      </x:c>
      <x:c r="F1316" s="24" t="str">
        <x:v>Surfaçada</x:v>
      </x:c>
      <x:c r="G1316" s="24" t="str">
        <x:v>Progressiv B.I.G. NORM</x:v>
      </x:c>
      <x:c r="H1316" s="24"/>
      <x:c r="I1316" s="24" t="str">
        <x:v>1.74</x:v>
      </x:c>
      <x:c r="J1316" s="24" t="str">
        <x:v>1.74</x:v>
      </x:c>
      <x:c r="K1316" s="24" t="str">
        <x:v>Solitaire Protect</x:v>
      </x:c>
      <x:c r="L1316" s="40" t="n">
        <x:v>10641</x:v>
      </x:c>
      <x:c r="M1316" s="24" t="str">
        <x:v>-18 a +13</x:v>
      </x:c>
      <x:c r="N1316" s="24" t="str">
        <x:v>até -6</x:v>
      </x:c>
      <x:c r="O1316" s="24"/>
      <x:c r="P1316" s="24" t="str">
        <x:v>75/80</x:v>
      </x:c>
      <x:c r="Q1316" s="24"/>
      <x:c r="R1316" s="24"/>
      <x:c r="S1316" s="26" t="n">
        <x:v>46024</x:v>
      </x:c>
      <x:c r="T1316" s="26"/>
      <x:c r="U1316" s="24" t="str">
        <x:v>ATIVA/SEM FIM INFORMADO</x:v>
      </x:c>
      <x:c r="V1316" s="24"/>
      <x:c r="W1316" s="24" t="n">
        <x:v>11</x:v>
      </x:c>
      <x:c r="X1316" s="24" t="str">
        <x:v>tabela_rodenstock.pdf</x:v>
      </x:c>
      <x:c r="Y1316" s="24" t="str">
        <x:v>alta</x:v>
      </x:c>
      <x:c r="Z1316" s="24"/>
      <x:c r="AA1316" s="24" t="str">
        <x:v>Rodenstock|Progressiva B.I.G. NORM|Surfaçada|Progressiv B.I.G. NORM||1.74|1.74|Solitaire Protect|-18 a +13|até -6||75/80|||11</x:v>
      </x:c>
    </x:row>
    <x:row r="1317">
      <x:c r="A1317" s="24" t="str">
        <x:v>RD-4DD932F41BCE</x:v>
      </x:c>
      <x:c r="B1317" s="24" t="str">
        <x:v>SIM</x:v>
      </x:c>
      <x:c r="C1317" s="24" t="str">
        <x:v>DISPONÍVEL</x:v>
      </x:c>
      <x:c r="D1317" s="24" t="str">
        <x:v>Rodenstock</x:v>
      </x:c>
      <x:c r="E1317" s="24" t="str">
        <x:v>Controle de Miopia</x:v>
      </x:c>
      <x:c r="F1317" s="24" t="str">
        <x:v>Surfaçada</x:v>
      </x:c>
      <x:c r="G1317" s="24" t="str">
        <x:v>Rodenstock MyCon</x:v>
      </x:c>
      <x:c r="H1317" s="24"/>
      <x:c r="I1317" s="24" t="str">
        <x:v>1.5</x:v>
      </x:c>
      <x:c r="J1317" s="24" t="str">
        <x:v>1.50</x:v>
      </x:c>
      <x:c r="K1317" s="24" t="str">
        <x:v>Solitaire X-tra Clean</x:v>
      </x:c>
      <x:c r="L1317" s="40" t="n">
        <x:v>2153</x:v>
      </x:c>
      <x:c r="M1317" s="24" t="str">
        <x:v>2.103 2.103 1.843 1.363 0 a -8</x:v>
      </x:c>
      <x:c r="N1317" s="24"/>
      <x:c r="O1317" s="24"/>
      <x:c r="P1317" s="24"/>
      <x:c r="Q1317" s="24"/>
      <x:c r="R1317" s="24"/>
      <x:c r="S1317" s="26" t="n">
        <x:v>46024</x:v>
      </x:c>
      <x:c r="T1317" s="26"/>
      <x:c r="U1317" s="24" t="str">
        <x:v>ATIVA/SEM FIM INFORMADO</x:v>
      </x:c>
      <x:c r="V1317" s="24"/>
      <x:c r="W1317" s="24" t="n">
        <x:v>25</x:v>
      </x:c>
      <x:c r="X1317" s="24" t="str">
        <x:v>tabela_rodenstock.pdf</x:v>
      </x:c>
      <x:c r="Y1317" s="24" t="str">
        <x:v>alta</x:v>
      </x:c>
      <x:c r="Z1317" s="24"/>
      <x:c r="AA1317" s="24" t="str">
        <x:v>Rodenstock|Controle de Miopia|Surfaçada|Rodenstock MyCon||1.5|1.50|Solitaire X-tra Clean|2.103 2.103 1.843 1.363 0 a -8||||||25</x:v>
      </x:c>
    </x:row>
    <x:row r="1318">
      <x:c r="A1318" s="24" t="str">
        <x:v>RD-882C925C3E3D</x:v>
      </x:c>
      <x:c r="B1318" s="24" t="str">
        <x:v>SIM</x:v>
      </x:c>
      <x:c r="C1318" s="24" t="str">
        <x:v>DISPONÍVEL</x:v>
      </x:c>
      <x:c r="D1318" s="24" t="str">
        <x:v>Rodenstock</x:v>
      </x:c>
      <x:c r="E1318" s="24" t="str">
        <x:v>Controle de Miopia</x:v>
      </x:c>
      <x:c r="F1318" s="24" t="str">
        <x:v>Surfaçada</x:v>
      </x:c>
      <x:c r="G1318" s="24" t="str">
        <x:v>Rodenstock MyCon</x:v>
      </x:c>
      <x:c r="H1318" s="24" t="str">
        <x:v>Polarizada</x:v>
      </x:c>
      <x:c r="I1318" s="24" t="str">
        <x:v>1.5</x:v>
      </x:c>
      <x:c r="J1318" s="24" t="str">
        <x:v>1.50</x:v>
      </x:c>
      <x:c r="K1318" s="24" t="str">
        <x:v>Solitaire X-tra Clean</x:v>
      </x:c>
      <x:c r="L1318" s="40" t="n">
        <x:v>3170</x:v>
      </x:c>
      <x:c r="M1318" s="24" t="str">
        <x:v>0 a -8</x:v>
      </x:c>
      <x:c r="N1318" s="24" t="str">
        <x:v>até -6</x:v>
      </x:c>
      <x:c r="O1318" s="24"/>
      <x:c r="P1318" s="24" t="str">
        <x:v>75</x:v>
      </x:c>
      <x:c r="Q1318" s="24"/>
      <x:c r="R1318" s="24"/>
      <x:c r="S1318" s="26" t="n">
        <x:v>46024</x:v>
      </x:c>
      <x:c r="T1318" s="26"/>
      <x:c r="U1318" s="24" t="str">
        <x:v>ATIVA/SEM FIM INFORMADO</x:v>
      </x:c>
      <x:c r="V1318" s="24"/>
      <x:c r="W1318" s="24" t="n">
        <x:v>25</x:v>
      </x:c>
      <x:c r="X1318" s="24" t="str">
        <x:v>tabela_rodenstock.pdf</x:v>
      </x:c>
      <x:c r="Y1318" s="24" t="str">
        <x:v>alta</x:v>
      </x:c>
      <x:c r="Z1318" s="24"/>
      <x:c r="AA1318" s="24" t="str">
        <x:v>Rodenstock|Controle de Miopia|Surfaçada|Rodenstock MyCon|Polarizada|1.5|1.50|Solitaire X-tra Clean|0 a -8|até -6||75|||25</x:v>
      </x:c>
    </x:row>
    <x:row r="1319">
      <x:c r="A1319" s="24" t="str">
        <x:v>RD-2E68A9676A50</x:v>
      </x:c>
      <x:c r="B1319" s="24" t="str">
        <x:v>SIM</x:v>
      </x:c>
      <x:c r="C1319" s="24" t="str">
        <x:v>DISPONÍVEL</x:v>
      </x:c>
      <x:c r="D1319" s="24" t="str">
        <x:v>Rodenstock</x:v>
      </x:c>
      <x:c r="E1319" s="24" t="str">
        <x:v>Controle de Miopia</x:v>
      </x:c>
      <x:c r="F1319" s="24" t="str">
        <x:v>Surfaçada</x:v>
      </x:c>
      <x:c r="G1319" s="24" t="str">
        <x:v>Rodenstock MyCon</x:v>
      </x:c>
      <x:c r="H1319" s="24" t="str">
        <x:v>Polarizada</x:v>
      </x:c>
      <x:c r="I1319" s="24" t="str">
        <x:v>1.5</x:v>
      </x:c>
      <x:c r="J1319" s="24" t="str">
        <x:v>1.50</x:v>
      </x:c>
      <x:c r="K1319" s="24" t="str">
        <x:v>Solitaire 2 Protect Balance</x:v>
      </x:c>
      <x:c r="L1319" s="40" t="n">
        <x:v>3120</x:v>
      </x:c>
      <x:c r="M1319" s="24" t="str">
        <x:v>0 a -8</x:v>
      </x:c>
      <x:c r="N1319" s="24" t="str">
        <x:v>até -6</x:v>
      </x:c>
      <x:c r="O1319" s="24"/>
      <x:c r="P1319" s="24" t="str">
        <x:v>75</x:v>
      </x:c>
      <x:c r="Q1319" s="24"/>
      <x:c r="R1319" s="24"/>
      <x:c r="S1319" s="26" t="n">
        <x:v>46024</x:v>
      </x:c>
      <x:c r="T1319" s="26"/>
      <x:c r="U1319" s="24" t="str">
        <x:v>ATIVA/SEM FIM INFORMADO</x:v>
      </x:c>
      <x:c r="V1319" s="24"/>
      <x:c r="W1319" s="24" t="n">
        <x:v>25</x:v>
      </x:c>
      <x:c r="X1319" s="24" t="str">
        <x:v>tabela_rodenstock.pdf</x:v>
      </x:c>
      <x:c r="Y1319" s="24" t="str">
        <x:v>alta</x:v>
      </x:c>
      <x:c r="Z1319" s="24"/>
      <x:c r="AA1319" s="24" t="str">
        <x:v>Rodenstock|Controle de Miopia|Surfaçada|Rodenstock MyCon|Polarizada|1.5|1.50|Solitaire 2 Protect Balance|0 a -8|até -6||75|||25</x:v>
      </x:c>
    </x:row>
    <x:row r="1320">
      <x:c r="A1320" s="24" t="str">
        <x:v>RD-F47E84C3FB55</x:v>
      </x:c>
      <x:c r="B1320" s="24" t="str">
        <x:v>SIM</x:v>
      </x:c>
      <x:c r="C1320" s="24" t="str">
        <x:v>DISPONÍVEL</x:v>
      </x:c>
      <x:c r="D1320" s="24" t="str">
        <x:v>Rodenstock</x:v>
      </x:c>
      <x:c r="E1320" s="24" t="str">
        <x:v>Controle de Miopia</x:v>
      </x:c>
      <x:c r="F1320" s="24" t="str">
        <x:v>Surfaçada</x:v>
      </x:c>
      <x:c r="G1320" s="24" t="str">
        <x:v>Rodenstock MyCon</x:v>
      </x:c>
      <x:c r="H1320" s="24" t="str">
        <x:v>Polarizada</x:v>
      </x:c>
      <x:c r="I1320" s="24" t="str">
        <x:v>1.5</x:v>
      </x:c>
      <x:c r="J1320" s="24" t="str">
        <x:v>1.50</x:v>
      </x:c>
      <x:c r="K1320" s="24" t="str">
        <x:v>Solitaire Protect Plus</x:v>
      </x:c>
      <x:c r="L1320" s="40" t="n">
        <x:v>3120</x:v>
      </x:c>
      <x:c r="M1320" s="24" t="str">
        <x:v>0 a -8</x:v>
      </x:c>
      <x:c r="N1320" s="24" t="str">
        <x:v>até -6</x:v>
      </x:c>
      <x:c r="O1320" s="24"/>
      <x:c r="P1320" s="24" t="str">
        <x:v>75</x:v>
      </x:c>
      <x:c r="Q1320" s="24"/>
      <x:c r="R1320" s="24"/>
      <x:c r="S1320" s="26" t="n">
        <x:v>46024</x:v>
      </x:c>
      <x:c r="T1320" s="26"/>
      <x:c r="U1320" s="24" t="str">
        <x:v>ATIVA/SEM FIM INFORMADO</x:v>
      </x:c>
      <x:c r="V1320" s="24"/>
      <x:c r="W1320" s="24" t="n">
        <x:v>25</x:v>
      </x:c>
      <x:c r="X1320" s="24" t="str">
        <x:v>tabela_rodenstock.pdf</x:v>
      </x:c>
      <x:c r="Y1320" s="24" t="str">
        <x:v>alta</x:v>
      </x:c>
      <x:c r="Z1320" s="24"/>
      <x:c r="AA1320" s="24" t="str">
        <x:v>Rodenstock|Controle de Miopia|Surfaçada|Rodenstock MyCon|Polarizada|1.5|1.50|Solitaire Protect Plus|0 a -8|até -6||75|||25</x:v>
      </x:c>
    </x:row>
    <x:row r="1321">
      <x:c r="A1321" s="24" t="str">
        <x:v>RD-B4B898D32EC4</x:v>
      </x:c>
      <x:c r="B1321" s="24" t="str">
        <x:v>SIM</x:v>
      </x:c>
      <x:c r="C1321" s="24" t="str">
        <x:v>DISPONÍVEL</x:v>
      </x:c>
      <x:c r="D1321" s="24" t="str">
        <x:v>Rodenstock</x:v>
      </x:c>
      <x:c r="E1321" s="24" t="str">
        <x:v>Controle de Miopia</x:v>
      </x:c>
      <x:c r="F1321" s="24" t="str">
        <x:v>Surfaçada</x:v>
      </x:c>
      <x:c r="G1321" s="24" t="str">
        <x:v>Rodenstock MyCon</x:v>
      </x:c>
      <x:c r="H1321" s="24" t="str">
        <x:v>Polarizada</x:v>
      </x:c>
      <x:c r="I1321" s="24" t="str">
        <x:v>1.5</x:v>
      </x:c>
      <x:c r="J1321" s="24" t="str">
        <x:v>1.50</x:v>
      </x:c>
      <x:c r="K1321" s="24" t="str">
        <x:v>Solitaire Protect</x:v>
      </x:c>
      <x:c r="L1321" s="40" t="n">
        <x:v>2860</x:v>
      </x:c>
      <x:c r="M1321" s="24" t="str">
        <x:v>0 a -8</x:v>
      </x:c>
      <x:c r="N1321" s="24" t="str">
        <x:v>até -6</x:v>
      </x:c>
      <x:c r="O1321" s="24"/>
      <x:c r="P1321" s="24" t="str">
        <x:v>75</x:v>
      </x:c>
      <x:c r="Q1321" s="24"/>
      <x:c r="R1321" s="24"/>
      <x:c r="S1321" s="26" t="n">
        <x:v>46024</x:v>
      </x:c>
      <x:c r="T1321" s="26"/>
      <x:c r="U1321" s="24" t="str">
        <x:v>ATIVA/SEM FIM INFORMADO</x:v>
      </x:c>
      <x:c r="V1321" s="24"/>
      <x:c r="W1321" s="24" t="n">
        <x:v>25</x:v>
      </x:c>
      <x:c r="X1321" s="24" t="str">
        <x:v>tabela_rodenstock.pdf</x:v>
      </x:c>
      <x:c r="Y1321" s="24" t="str">
        <x:v>alta</x:v>
      </x:c>
      <x:c r="Z1321" s="24"/>
      <x:c r="AA1321" s="24" t="str">
        <x:v>Rodenstock|Controle de Miopia|Surfaçada|Rodenstock MyCon|Polarizada|1.5|1.50|Solitaire Protect|0 a -8|até -6||75|||25</x:v>
      </x:c>
    </x:row>
    <x:row r="1322">
      <x:c r="A1322" s="24" t="str">
        <x:v>RD-854A6818D523</x:v>
      </x:c>
      <x:c r="B1322" s="24" t="str">
        <x:v>SIM</x:v>
      </x:c>
      <x:c r="C1322" s="24" t="str">
        <x:v>DISPONÍVEL</x:v>
      </x:c>
      <x:c r="D1322" s="24" t="str">
        <x:v>Rodenstock</x:v>
      </x:c>
      <x:c r="E1322" s="24" t="str">
        <x:v>Controle de Miopia</x:v>
      </x:c>
      <x:c r="F1322" s="24" t="str">
        <x:v>Surfaçada</x:v>
      </x:c>
      <x:c r="G1322" s="24" t="str">
        <x:v>Rodenstock MyCon</x:v>
      </x:c>
      <x:c r="H1322" s="24" t="str">
        <x:v>Polarizada</x:v>
      </x:c>
      <x:c r="I1322" s="24" t="str">
        <x:v>1.5</x:v>
      </x:c>
      <x:c r="J1322" s="24" t="str">
        <x:v>1.50</x:v>
      </x:c>
      <x:c r="K1322" s="24" t="str">
        <x:v>Solitaire ECO 2</x:v>
      </x:c>
      <x:c r="L1322" s="40" t="n">
        <x:v>2380</x:v>
      </x:c>
      <x:c r="M1322" s="24" t="str">
        <x:v>0 a -8</x:v>
      </x:c>
      <x:c r="N1322" s="24" t="str">
        <x:v>até -6</x:v>
      </x:c>
      <x:c r="O1322" s="24"/>
      <x:c r="P1322" s="24" t="str">
        <x:v>75</x:v>
      </x:c>
      <x:c r="Q1322" s="24"/>
      <x:c r="R1322" s="24"/>
      <x:c r="S1322" s="26" t="n">
        <x:v>46024</x:v>
      </x:c>
      <x:c r="T1322" s="26"/>
      <x:c r="U1322" s="24" t="str">
        <x:v>ATIVA/SEM FIM INFORMADO</x:v>
      </x:c>
      <x:c r="V1322" s="24"/>
      <x:c r="W1322" s="24" t="n">
        <x:v>25</x:v>
      </x:c>
      <x:c r="X1322" s="24" t="str">
        <x:v>tabela_rodenstock.pdf</x:v>
      </x:c>
      <x:c r="Y1322" s="24" t="str">
        <x:v>alta</x:v>
      </x:c>
      <x:c r="Z1322" s="24"/>
      <x:c r="AA1322" s="24" t="str">
        <x:v>Rodenstock|Controle de Miopia|Surfaçada|Rodenstock MyCon|Polarizada|1.5|1.50|Solitaire ECO 2|0 a -8|até -6||75|||25</x:v>
      </x:c>
    </x:row>
    <x:row r="1323">
      <x:c r="A1323" s="24" t="str">
        <x:v>RD-85F7E7343788</x:v>
      </x:c>
      <x:c r="B1323" s="24" t="str">
        <x:v>SIM</x:v>
      </x:c>
      <x:c r="C1323" s="24" t="str">
        <x:v>DISPONÍVEL</x:v>
      </x:c>
      <x:c r="D1323" s="24" t="str">
        <x:v>Rodenstock</x:v>
      </x:c>
      <x:c r="E1323" s="24" t="str">
        <x:v>Controle de Miopia</x:v>
      </x:c>
      <x:c r="F1323" s="24" t="str">
        <x:v>Surfaçada</x:v>
      </x:c>
      <x:c r="G1323" s="24" t="str">
        <x:v>Rodenstock MyCon</x:v>
      </x:c>
      <x:c r="H1323" s="24" t="str">
        <x:v>ColorMatic® 3</x:v>
      </x:c>
      <x:c r="I1323" s="24" t="str">
        <x:v>1.54</x:v>
      </x:c>
      <x:c r="J1323" s="24" t="str">
        <x:v>1.54</x:v>
      </x:c>
      <x:c r="K1323" s="24" t="str">
        <x:v>Solitaire X-tra Clean</x:v>
      </x:c>
      <x:c r="L1323" s="40" t="n">
        <x:v>2465</x:v>
      </x:c>
      <x:c r="M1323" s="24" t="str">
        <x:v>0 a -8</x:v>
      </x:c>
      <x:c r="N1323" s="24" t="str">
        <x:v>até -6</x:v>
      </x:c>
      <x:c r="O1323" s="24"/>
      <x:c r="P1323" s="24" t="str">
        <x:v>75</x:v>
      </x:c>
      <x:c r="Q1323" s="24"/>
      <x:c r="R1323" s="24"/>
      <x:c r="S1323" s="26" t="n">
        <x:v>46024</x:v>
      </x:c>
      <x:c r="T1323" s="26"/>
      <x:c r="U1323" s="24" t="str">
        <x:v>ATIVA/SEM FIM INFORMADO</x:v>
      </x:c>
      <x:c r="V1323" s="24"/>
      <x:c r="W1323" s="24" t="n">
        <x:v>25</x:v>
      </x:c>
      <x:c r="X1323" s="24" t="str">
        <x:v>tabela_rodenstock.pdf</x:v>
      </x:c>
      <x:c r="Y1323" s="24" t="str">
        <x:v>alta</x:v>
      </x:c>
      <x:c r="Z1323" s="24"/>
      <x:c r="AA1323" s="24" t="str">
        <x:v>Rodenstock|Controle de Miopia|Surfaçada|Rodenstock MyCon|ColorMatic® 3|1.54|1.54|Solitaire X-tra Clean|0 a -8|até -6||75|||25</x:v>
      </x:c>
    </x:row>
    <x:row r="1324">
      <x:c r="A1324" s="24" t="str">
        <x:v>RD-F4CDEA15BE36</x:v>
      </x:c>
      <x:c r="B1324" s="24" t="str">
        <x:v>SIM</x:v>
      </x:c>
      <x:c r="C1324" s="24" t="str">
        <x:v>DISPONÍVEL</x:v>
      </x:c>
      <x:c r="D1324" s="24" t="str">
        <x:v>Rodenstock</x:v>
      </x:c>
      <x:c r="E1324" s="24" t="str">
        <x:v>Controle de Miopia</x:v>
      </x:c>
      <x:c r="F1324" s="24" t="str">
        <x:v>Surfaçada</x:v>
      </x:c>
      <x:c r="G1324" s="24" t="str">
        <x:v>Rodenstock MyCon</x:v>
      </x:c>
      <x:c r="H1324" s="24" t="str">
        <x:v>ColorMatic® 3</x:v>
      </x:c>
      <x:c r="I1324" s="24" t="str">
        <x:v>1.54</x:v>
      </x:c>
      <x:c r="J1324" s="24" t="str">
        <x:v>1.54</x:v>
      </x:c>
      <x:c r="K1324" s="24" t="str">
        <x:v>Solitaire 2 Protect Balance</x:v>
      </x:c>
      <x:c r="L1324" s="40" t="n">
        <x:v>2415</x:v>
      </x:c>
      <x:c r="M1324" s="24" t="str">
        <x:v>0 a -8</x:v>
      </x:c>
      <x:c r="N1324" s="24" t="str">
        <x:v>até -6</x:v>
      </x:c>
      <x:c r="O1324" s="24"/>
      <x:c r="P1324" s="24" t="str">
        <x:v>75</x:v>
      </x:c>
      <x:c r="Q1324" s="24"/>
      <x:c r="R1324" s="24"/>
      <x:c r="S1324" s="26" t="n">
        <x:v>46024</x:v>
      </x:c>
      <x:c r="T1324" s="26"/>
      <x:c r="U1324" s="24" t="str">
        <x:v>ATIVA/SEM FIM INFORMADO</x:v>
      </x:c>
      <x:c r="V1324" s="24"/>
      <x:c r="W1324" s="24" t="n">
        <x:v>25</x:v>
      </x:c>
      <x:c r="X1324" s="24" t="str">
        <x:v>tabela_rodenstock.pdf</x:v>
      </x:c>
      <x:c r="Y1324" s="24" t="str">
        <x:v>alta</x:v>
      </x:c>
      <x:c r="Z1324" s="24"/>
      <x:c r="AA1324" s="24" t="str">
        <x:v>Rodenstock|Controle de Miopia|Surfaçada|Rodenstock MyCon|ColorMatic® 3|1.54|1.54|Solitaire 2 Protect Balance|0 a -8|até -6||75|||25</x:v>
      </x:c>
    </x:row>
    <x:row r="1325">
      <x:c r="A1325" s="24" t="str">
        <x:v>RD-453FDEA4C172</x:v>
      </x:c>
      <x:c r="B1325" s="24" t="str">
        <x:v>SIM</x:v>
      </x:c>
      <x:c r="C1325" s="24" t="str">
        <x:v>DISPONÍVEL</x:v>
      </x:c>
      <x:c r="D1325" s="24" t="str">
        <x:v>Rodenstock</x:v>
      </x:c>
      <x:c r="E1325" s="24" t="str">
        <x:v>Controle de Miopia</x:v>
      </x:c>
      <x:c r="F1325" s="24" t="str">
        <x:v>Surfaçada</x:v>
      </x:c>
      <x:c r="G1325" s="24" t="str">
        <x:v>Rodenstock MyCon</x:v>
      </x:c>
      <x:c r="H1325" s="24" t="str">
        <x:v>ColorMatic® 3</x:v>
      </x:c>
      <x:c r="I1325" s="24" t="str">
        <x:v>1.54</x:v>
      </x:c>
      <x:c r="J1325" s="24" t="str">
        <x:v>1.54</x:v>
      </x:c>
      <x:c r="K1325" s="24" t="str">
        <x:v>Solitaire Protect Plus</x:v>
      </x:c>
      <x:c r="L1325" s="40" t="n">
        <x:v>2415</x:v>
      </x:c>
      <x:c r="M1325" s="24" t="str">
        <x:v>0 a -8</x:v>
      </x:c>
      <x:c r="N1325" s="24" t="str">
        <x:v>até -6</x:v>
      </x:c>
      <x:c r="O1325" s="24"/>
      <x:c r="P1325" s="24" t="str">
        <x:v>75</x:v>
      </x:c>
      <x:c r="Q1325" s="24"/>
      <x:c r="R1325" s="24"/>
      <x:c r="S1325" s="26" t="n">
        <x:v>46024</x:v>
      </x:c>
      <x:c r="T1325" s="26"/>
      <x:c r="U1325" s="24" t="str">
        <x:v>ATIVA/SEM FIM INFORMADO</x:v>
      </x:c>
      <x:c r="V1325" s="24"/>
      <x:c r="W1325" s="24" t="n">
        <x:v>25</x:v>
      </x:c>
      <x:c r="X1325" s="24" t="str">
        <x:v>tabela_rodenstock.pdf</x:v>
      </x:c>
      <x:c r="Y1325" s="24" t="str">
        <x:v>alta</x:v>
      </x:c>
      <x:c r="Z1325" s="24"/>
      <x:c r="AA1325" s="24" t="str">
        <x:v>Rodenstock|Controle de Miopia|Surfaçada|Rodenstock MyCon|ColorMatic® 3|1.54|1.54|Solitaire Protect Plus|0 a -8|até -6||75|||25</x:v>
      </x:c>
    </x:row>
    <x:row r="1326">
      <x:c r="A1326" s="24" t="str">
        <x:v>RD-99062906B0A2</x:v>
      </x:c>
      <x:c r="B1326" s="24" t="str">
        <x:v>SIM</x:v>
      </x:c>
      <x:c r="C1326" s="24" t="str">
        <x:v>DISPONÍVEL</x:v>
      </x:c>
      <x:c r="D1326" s="24" t="str">
        <x:v>Rodenstock</x:v>
      </x:c>
      <x:c r="E1326" s="24" t="str">
        <x:v>Controle de Miopia</x:v>
      </x:c>
      <x:c r="F1326" s="24" t="str">
        <x:v>Surfaçada</x:v>
      </x:c>
      <x:c r="G1326" s="24" t="str">
        <x:v>Rodenstock MyCon</x:v>
      </x:c>
      <x:c r="H1326" s="24" t="str">
        <x:v>ColorMatic® 3</x:v>
      </x:c>
      <x:c r="I1326" s="24" t="str">
        <x:v>1.54</x:v>
      </x:c>
      <x:c r="J1326" s="24" t="str">
        <x:v>1.54</x:v>
      </x:c>
      <x:c r="K1326" s="24" t="str">
        <x:v>Solitaire Protect</x:v>
      </x:c>
      <x:c r="L1326" s="40" t="n">
        <x:v>2155</x:v>
      </x:c>
      <x:c r="M1326" s="24" t="str">
        <x:v>0 a -8</x:v>
      </x:c>
      <x:c r="N1326" s="24" t="str">
        <x:v>até -6</x:v>
      </x:c>
      <x:c r="O1326" s="24"/>
      <x:c r="P1326" s="24" t="str">
        <x:v>75</x:v>
      </x:c>
      <x:c r="Q1326" s="24"/>
      <x:c r="R1326" s="24"/>
      <x:c r="S1326" s="26" t="n">
        <x:v>46024</x:v>
      </x:c>
      <x:c r="T1326" s="26"/>
      <x:c r="U1326" s="24" t="str">
        <x:v>ATIVA/SEM FIM INFORMADO</x:v>
      </x:c>
      <x:c r="V1326" s="24"/>
      <x:c r="W1326" s="24" t="n">
        <x:v>25</x:v>
      </x:c>
      <x:c r="X1326" s="24" t="str">
        <x:v>tabela_rodenstock.pdf</x:v>
      </x:c>
      <x:c r="Y1326" s="24" t="str">
        <x:v>alta</x:v>
      </x:c>
      <x:c r="Z1326" s="24"/>
      <x:c r="AA1326" s="24" t="str">
        <x:v>Rodenstock|Controle de Miopia|Surfaçada|Rodenstock MyCon|ColorMatic® 3|1.54|1.54|Solitaire Protect|0 a -8|até -6||75|||25</x:v>
      </x:c>
    </x:row>
    <x:row r="1327">
      <x:c r="A1327" s="24" t="str">
        <x:v>RD-3F03BEC68339</x:v>
      </x:c>
      <x:c r="B1327" s="24" t="str">
        <x:v>SIM</x:v>
      </x:c>
      <x:c r="C1327" s="24" t="str">
        <x:v>DISPONÍVEL</x:v>
      </x:c>
      <x:c r="D1327" s="24" t="str">
        <x:v>Rodenstock</x:v>
      </x:c>
      <x:c r="E1327" s="24" t="str">
        <x:v>Controle de Miopia</x:v>
      </x:c>
      <x:c r="F1327" s="24" t="str">
        <x:v>Surfaçada</x:v>
      </x:c>
      <x:c r="G1327" s="24" t="str">
        <x:v>Rodenstock MyCon</x:v>
      </x:c>
      <x:c r="H1327" s="24" t="str">
        <x:v>ColorMatic® 3</x:v>
      </x:c>
      <x:c r="I1327" s="24" t="str">
        <x:v>1.54</x:v>
      </x:c>
      <x:c r="J1327" s="24" t="str">
        <x:v>1.54</x:v>
      </x:c>
      <x:c r="K1327" s="24" t="str">
        <x:v>Solitaire ECO 2</x:v>
      </x:c>
      <x:c r="L1327" s="40" t="n">
        <x:v>1675</x:v>
      </x:c>
      <x:c r="M1327" s="24" t="str">
        <x:v>0 a -8</x:v>
      </x:c>
      <x:c r="N1327" s="24" t="str">
        <x:v>até -6</x:v>
      </x:c>
      <x:c r="O1327" s="24"/>
      <x:c r="P1327" s="24" t="str">
        <x:v>75</x:v>
      </x:c>
      <x:c r="Q1327" s="24"/>
      <x:c r="R1327" s="24"/>
      <x:c r="S1327" s="26" t="n">
        <x:v>46024</x:v>
      </x:c>
      <x:c r="T1327" s="26"/>
      <x:c r="U1327" s="24" t="str">
        <x:v>ATIVA/SEM FIM INFORMADO</x:v>
      </x:c>
      <x:c r="V1327" s="24"/>
      <x:c r="W1327" s="24" t="n">
        <x:v>25</x:v>
      </x:c>
      <x:c r="X1327" s="24" t="str">
        <x:v>tabela_rodenstock.pdf</x:v>
      </x:c>
      <x:c r="Y1327" s="24" t="str">
        <x:v>alta</x:v>
      </x:c>
      <x:c r="Z1327" s="24"/>
      <x:c r="AA1327" s="24" t="str">
        <x:v>Rodenstock|Controle de Miopia|Surfaçada|Rodenstock MyCon|ColorMatic® 3|1.54|1.54|Solitaire ECO 2|0 a -8|até -6||75|||25</x:v>
      </x:c>
    </x:row>
    <x:row r="1328">
      <x:c r="A1328" s="24" t="str">
        <x:v>RD-5D3D5739BC7C</x:v>
      </x:c>
      <x:c r="B1328" s="24" t="str">
        <x:v>SIM</x:v>
      </x:c>
      <x:c r="C1328" s="24" t="str">
        <x:v>DISPONÍVEL</x:v>
      </x:c>
      <x:c r="D1328" s="24" t="str">
        <x:v>Rodenstock</x:v>
      </x:c>
      <x:c r="E1328" s="24" t="str">
        <x:v>Controle de Miopia</x:v>
      </x:c>
      <x:c r="F1328" s="24" t="str">
        <x:v>Surfaçada</x:v>
      </x:c>
      <x:c r="G1328" s="24" t="str">
        <x:v>Rodenstock MyCon</x:v>
      </x:c>
      <x:c r="H1328" s="24"/>
      <x:c r="I1328" s="24" t="str">
        <x:v>1.6</x:v>
      </x:c>
      <x:c r="J1328" s="24" t="str">
        <x:v>1.60</x:v>
      </x:c>
      <x:c r="K1328" s="24" t="str">
        <x:v>Solitaire X-tra Clean</x:v>
      </x:c>
      <x:c r="L1328" s="40" t="n">
        <x:v>2349</x:v>
      </x:c>
      <x:c r="M1328" s="24" t="str">
        <x:v>0 a -10</x:v>
      </x:c>
      <x:c r="N1328" s="24" t="str">
        <x:v>até -6</x:v>
      </x:c>
      <x:c r="O1328" s="24"/>
      <x:c r="P1328" s="24" t="str">
        <x:v>75</x:v>
      </x:c>
      <x:c r="Q1328" s="24"/>
      <x:c r="R1328" s="24"/>
      <x:c r="S1328" s="26" t="n">
        <x:v>46024</x:v>
      </x:c>
      <x:c r="T1328" s="26"/>
      <x:c r="U1328" s="24" t="str">
        <x:v>ATIVA/SEM FIM INFORMADO</x:v>
      </x:c>
      <x:c r="V1328" s="24"/>
      <x:c r="W1328" s="24" t="n">
        <x:v>25</x:v>
      </x:c>
      <x:c r="X1328" s="24" t="str">
        <x:v>tabela_rodenstock.pdf</x:v>
      </x:c>
      <x:c r="Y1328" s="24" t="str">
        <x:v>alta</x:v>
      </x:c>
      <x:c r="Z1328" s="24"/>
      <x:c r="AA1328" s="24" t="str">
        <x:v>Rodenstock|Controle de Miopia|Surfaçada|Rodenstock MyCon||1.6|1.60|Solitaire X-tra Clean|0 a -10|até -6||75|||25</x:v>
      </x:c>
    </x:row>
    <x:row r="1329">
      <x:c r="A1329" s="24" t="str">
        <x:v>RD-AA864D8DC8DC</x:v>
      </x:c>
      <x:c r="B1329" s="24" t="str">
        <x:v>SIM</x:v>
      </x:c>
      <x:c r="C1329" s="24" t="str">
        <x:v>DISPONÍVEL</x:v>
      </x:c>
      <x:c r="D1329" s="24" t="str">
        <x:v>Rodenstock</x:v>
      </x:c>
      <x:c r="E1329" s="24" t="str">
        <x:v>Controle de Miopia</x:v>
      </x:c>
      <x:c r="F1329" s="24" t="str">
        <x:v>Surfaçada</x:v>
      </x:c>
      <x:c r="G1329" s="24" t="str">
        <x:v>Rodenstock MyCon</x:v>
      </x:c>
      <x:c r="H1329" s="24"/>
      <x:c r="I1329" s="24" t="str">
        <x:v>1.6</x:v>
      </x:c>
      <x:c r="J1329" s="24" t="str">
        <x:v>1.60</x:v>
      </x:c>
      <x:c r="K1329" s="24" t="str">
        <x:v>Solitaire 2 Protect Balance</x:v>
      </x:c>
      <x:c r="L1329" s="40" t="n">
        <x:v>2299</x:v>
      </x:c>
      <x:c r="M1329" s="24" t="str">
        <x:v>0 a -10</x:v>
      </x:c>
      <x:c r="N1329" s="24" t="str">
        <x:v>até -6</x:v>
      </x:c>
      <x:c r="O1329" s="24"/>
      <x:c r="P1329" s="24" t="str">
        <x:v>75</x:v>
      </x:c>
      <x:c r="Q1329" s="24"/>
      <x:c r="R1329" s="24"/>
      <x:c r="S1329" s="26" t="n">
        <x:v>46024</x:v>
      </x:c>
      <x:c r="T1329" s="26"/>
      <x:c r="U1329" s="24" t="str">
        <x:v>ATIVA/SEM FIM INFORMADO</x:v>
      </x:c>
      <x:c r="V1329" s="24"/>
      <x:c r="W1329" s="24" t="n">
        <x:v>25</x:v>
      </x:c>
      <x:c r="X1329" s="24" t="str">
        <x:v>tabela_rodenstock.pdf</x:v>
      </x:c>
      <x:c r="Y1329" s="24" t="str">
        <x:v>alta</x:v>
      </x:c>
      <x:c r="Z1329" s="24"/>
      <x:c r="AA1329" s="24" t="str">
        <x:v>Rodenstock|Controle de Miopia|Surfaçada|Rodenstock MyCon||1.6|1.60|Solitaire 2 Protect Balance|0 a -10|até -6||75|||25</x:v>
      </x:c>
    </x:row>
    <x:row r="1330">
      <x:c r="A1330" s="24" t="str">
        <x:v>RD-57E8080C3077</x:v>
      </x:c>
      <x:c r="B1330" s="24" t="str">
        <x:v>SIM</x:v>
      </x:c>
      <x:c r="C1330" s="24" t="str">
        <x:v>DISPONÍVEL</x:v>
      </x:c>
      <x:c r="D1330" s="24" t="str">
        <x:v>Rodenstock</x:v>
      </x:c>
      <x:c r="E1330" s="24" t="str">
        <x:v>Controle de Miopia</x:v>
      </x:c>
      <x:c r="F1330" s="24" t="str">
        <x:v>Surfaçada</x:v>
      </x:c>
      <x:c r="G1330" s="24" t="str">
        <x:v>Rodenstock MyCon</x:v>
      </x:c>
      <x:c r="H1330" s="24"/>
      <x:c r="I1330" s="24" t="str">
        <x:v>1.6</x:v>
      </x:c>
      <x:c r="J1330" s="24" t="str">
        <x:v>1.60</x:v>
      </x:c>
      <x:c r="K1330" s="24" t="str">
        <x:v>Solitaire Protect Plus</x:v>
      </x:c>
      <x:c r="L1330" s="40" t="n">
        <x:v>2299</x:v>
      </x:c>
      <x:c r="M1330" s="24" t="str">
        <x:v>0 a -10</x:v>
      </x:c>
      <x:c r="N1330" s="24" t="str">
        <x:v>até -6</x:v>
      </x:c>
      <x:c r="O1330" s="24"/>
      <x:c r="P1330" s="24" t="str">
        <x:v>75</x:v>
      </x:c>
      <x:c r="Q1330" s="24"/>
      <x:c r="R1330" s="24"/>
      <x:c r="S1330" s="26" t="n">
        <x:v>46024</x:v>
      </x:c>
      <x:c r="T1330" s="26"/>
      <x:c r="U1330" s="24" t="str">
        <x:v>ATIVA/SEM FIM INFORMADO</x:v>
      </x:c>
      <x:c r="V1330" s="24"/>
      <x:c r="W1330" s="24" t="n">
        <x:v>25</x:v>
      </x:c>
      <x:c r="X1330" s="24" t="str">
        <x:v>tabela_rodenstock.pdf</x:v>
      </x:c>
      <x:c r="Y1330" s="24" t="str">
        <x:v>alta</x:v>
      </x:c>
      <x:c r="Z1330" s="24"/>
      <x:c r="AA1330" s="24" t="str">
        <x:v>Rodenstock|Controle de Miopia|Surfaçada|Rodenstock MyCon||1.6|1.60|Solitaire Protect Plus|0 a -10|até -6||75|||25</x:v>
      </x:c>
    </x:row>
    <x:row r="1331">
      <x:c r="A1331" s="24" t="str">
        <x:v>RD-866092400C61</x:v>
      </x:c>
      <x:c r="B1331" s="24" t="str">
        <x:v>SIM</x:v>
      </x:c>
      <x:c r="C1331" s="24" t="str">
        <x:v>DISPONÍVEL</x:v>
      </x:c>
      <x:c r="D1331" s="24" t="str">
        <x:v>Rodenstock</x:v>
      </x:c>
      <x:c r="E1331" s="24" t="str">
        <x:v>Controle de Miopia</x:v>
      </x:c>
      <x:c r="F1331" s="24" t="str">
        <x:v>Surfaçada</x:v>
      </x:c>
      <x:c r="G1331" s="24" t="str">
        <x:v>Rodenstock MyCon</x:v>
      </x:c>
      <x:c r="H1331" s="24"/>
      <x:c r="I1331" s="24" t="str">
        <x:v>1.6</x:v>
      </x:c>
      <x:c r="J1331" s="24" t="str">
        <x:v>1.60</x:v>
      </x:c>
      <x:c r="K1331" s="24" t="str">
        <x:v>Solitaire Protect</x:v>
      </x:c>
      <x:c r="L1331" s="40" t="n">
        <x:v>2039</x:v>
      </x:c>
      <x:c r="M1331" s="24" t="str">
        <x:v>0 a -10</x:v>
      </x:c>
      <x:c r="N1331" s="24" t="str">
        <x:v>até -6</x:v>
      </x:c>
      <x:c r="O1331" s="24"/>
      <x:c r="P1331" s="24" t="str">
        <x:v>75</x:v>
      </x:c>
      <x:c r="Q1331" s="24"/>
      <x:c r="R1331" s="24"/>
      <x:c r="S1331" s="26" t="n">
        <x:v>46024</x:v>
      </x:c>
      <x:c r="T1331" s="26"/>
      <x:c r="U1331" s="24" t="str">
        <x:v>ATIVA/SEM FIM INFORMADO</x:v>
      </x:c>
      <x:c r="V1331" s="24"/>
      <x:c r="W1331" s="24" t="n">
        <x:v>25</x:v>
      </x:c>
      <x:c r="X1331" s="24" t="str">
        <x:v>tabela_rodenstock.pdf</x:v>
      </x:c>
      <x:c r="Y1331" s="24" t="str">
        <x:v>alta</x:v>
      </x:c>
      <x:c r="Z1331" s="24"/>
      <x:c r="AA1331" s="24" t="str">
        <x:v>Rodenstock|Controle de Miopia|Surfaçada|Rodenstock MyCon||1.6|1.60|Solitaire Protect|0 a -10|até -6||75|||25</x:v>
      </x:c>
    </x:row>
    <x:row r="1332">
      <x:c r="A1332" s="24" t="str">
        <x:v>RD-EFC6622AAC46</x:v>
      </x:c>
      <x:c r="B1332" s="24" t="str">
        <x:v>SIM</x:v>
      </x:c>
      <x:c r="C1332" s="24" t="str">
        <x:v>DISPONÍVEL</x:v>
      </x:c>
      <x:c r="D1332" s="24" t="str">
        <x:v>Rodenstock</x:v>
      </x:c>
      <x:c r="E1332" s="24" t="str">
        <x:v>Controle de Miopia</x:v>
      </x:c>
      <x:c r="F1332" s="24" t="str">
        <x:v>Surfaçada</x:v>
      </x:c>
      <x:c r="G1332" s="24" t="str">
        <x:v>Rodenstock MyCon</x:v>
      </x:c>
      <x:c r="H1332" s="24"/>
      <x:c r="I1332" s="24" t="str">
        <x:v>1.6</x:v>
      </x:c>
      <x:c r="J1332" s="24" t="str">
        <x:v>1.60</x:v>
      </x:c>
      <x:c r="K1332" s="24" t="str">
        <x:v>Solitaire ECO 2</x:v>
      </x:c>
      <x:c r="L1332" s="40" t="n">
        <x:v>1559</x:v>
      </x:c>
      <x:c r="M1332" s="24" t="str">
        <x:v>0 a -10</x:v>
      </x:c>
      <x:c r="N1332" s="24" t="str">
        <x:v>até -6</x:v>
      </x:c>
      <x:c r="O1332" s="24"/>
      <x:c r="P1332" s="24" t="str">
        <x:v>75</x:v>
      </x:c>
      <x:c r="Q1332" s="24"/>
      <x:c r="R1332" s="24"/>
      <x:c r="S1332" s="26" t="n">
        <x:v>46024</x:v>
      </x:c>
      <x:c r="T1332" s="26"/>
      <x:c r="U1332" s="24" t="str">
        <x:v>ATIVA/SEM FIM INFORMADO</x:v>
      </x:c>
      <x:c r="V1332" s="24"/>
      <x:c r="W1332" s="24" t="n">
        <x:v>25</x:v>
      </x:c>
      <x:c r="X1332" s="24" t="str">
        <x:v>tabela_rodenstock.pdf</x:v>
      </x:c>
      <x:c r="Y1332" s="24" t="str">
        <x:v>alta</x:v>
      </x:c>
      <x:c r="Z1332" s="24"/>
      <x:c r="AA1332" s="24" t="str">
        <x:v>Rodenstock|Controle de Miopia|Surfaçada|Rodenstock MyCon||1.6|1.60|Solitaire ECO 2|0 a -10|até -6||75|||25</x:v>
      </x:c>
    </x:row>
    <x:row r="1333">
      <x:c r="A1333" s="24" t="str">
        <x:v>RD-DBC4562A8199</x:v>
      </x:c>
      <x:c r="B1333" s="24" t="str">
        <x:v>SIM</x:v>
      </x:c>
      <x:c r="C1333" s="24" t="str">
        <x:v>DISPONÍVEL</x:v>
      </x:c>
      <x:c r="D1333" s="24" t="str">
        <x:v>Rodenstock</x:v>
      </x:c>
      <x:c r="E1333" s="24" t="str">
        <x:v>Controle de Miopia</x:v>
      </x:c>
      <x:c r="F1333" s="24" t="str">
        <x:v>Surfaçada</x:v>
      </x:c>
      <x:c r="G1333" s="24" t="str">
        <x:v>Rodenstock MyCon</x:v>
      </x:c>
      <x:c r="H1333" s="24" t="str">
        <x:v>ColorMatic® 3</x:v>
      </x:c>
      <x:c r="I1333" s="24" t="str">
        <x:v>1.6</x:v>
      </x:c>
      <x:c r="J1333" s="24" t="str">
        <x:v>1.60</x:v>
      </x:c>
      <x:c r="K1333" s="24" t="str">
        <x:v>Solitaire X-tra Clean</x:v>
      </x:c>
      <x:c r="L1333" s="40" t="n">
        <x:v>3170</x:v>
      </x:c>
      <x:c r="M1333" s="24" t="str">
        <x:v>0 a -10</x:v>
      </x:c>
      <x:c r="N1333" s="24" t="str">
        <x:v>até -6</x:v>
      </x:c>
      <x:c r="O1333" s="24"/>
      <x:c r="P1333" s="24" t="str">
        <x:v>75</x:v>
      </x:c>
      <x:c r="Q1333" s="24"/>
      <x:c r="R1333" s="24"/>
      <x:c r="S1333" s="26" t="n">
        <x:v>46024</x:v>
      </x:c>
      <x:c r="T1333" s="26"/>
      <x:c r="U1333" s="24" t="str">
        <x:v>ATIVA/SEM FIM INFORMADO</x:v>
      </x:c>
      <x:c r="V1333" s="24"/>
      <x:c r="W1333" s="24" t="n">
        <x:v>25</x:v>
      </x:c>
      <x:c r="X1333" s="24" t="str">
        <x:v>tabela_rodenstock.pdf</x:v>
      </x:c>
      <x:c r="Y1333" s="24" t="str">
        <x:v>alta</x:v>
      </x:c>
      <x:c r="Z1333" s="24"/>
      <x:c r="AA1333" s="24" t="str">
        <x:v>Rodenstock|Controle de Miopia|Surfaçada|Rodenstock MyCon|ColorMatic® 3|1.6|1.60|Solitaire X-tra Clean|0 a -10|até -6||75|||25</x:v>
      </x:c>
    </x:row>
    <x:row r="1334">
      <x:c r="A1334" s="24" t="str">
        <x:v>RD-247AA3C3416E</x:v>
      </x:c>
      <x:c r="B1334" s="24" t="str">
        <x:v>SIM</x:v>
      </x:c>
      <x:c r="C1334" s="24" t="str">
        <x:v>DISPONÍVEL</x:v>
      </x:c>
      <x:c r="D1334" s="24" t="str">
        <x:v>Rodenstock</x:v>
      </x:c>
      <x:c r="E1334" s="24" t="str">
        <x:v>Controle de Miopia</x:v>
      </x:c>
      <x:c r="F1334" s="24" t="str">
        <x:v>Surfaçada</x:v>
      </x:c>
      <x:c r="G1334" s="24" t="str">
        <x:v>Rodenstock MyCon</x:v>
      </x:c>
      <x:c r="H1334" s="24" t="str">
        <x:v>ColorMatic® 3</x:v>
      </x:c>
      <x:c r="I1334" s="24" t="str">
        <x:v>1.6</x:v>
      </x:c>
      <x:c r="J1334" s="24" t="str">
        <x:v>1.60</x:v>
      </x:c>
      <x:c r="K1334" s="24" t="str">
        <x:v>Solitaire 2 Protect Balance</x:v>
      </x:c>
      <x:c r="L1334" s="40" t="n">
        <x:v>3120</x:v>
      </x:c>
      <x:c r="M1334" s="24" t="str">
        <x:v>0 a -10</x:v>
      </x:c>
      <x:c r="N1334" s="24" t="str">
        <x:v>até -6</x:v>
      </x:c>
      <x:c r="O1334" s="24"/>
      <x:c r="P1334" s="24" t="str">
        <x:v>75</x:v>
      </x:c>
      <x:c r="Q1334" s="24"/>
      <x:c r="R1334" s="24"/>
      <x:c r="S1334" s="26" t="n">
        <x:v>46024</x:v>
      </x:c>
      <x:c r="T1334" s="26"/>
      <x:c r="U1334" s="24" t="str">
        <x:v>ATIVA/SEM FIM INFORMADO</x:v>
      </x:c>
      <x:c r="V1334" s="24"/>
      <x:c r="W1334" s="24" t="n">
        <x:v>25</x:v>
      </x:c>
      <x:c r="X1334" s="24" t="str">
        <x:v>tabela_rodenstock.pdf</x:v>
      </x:c>
      <x:c r="Y1334" s="24" t="str">
        <x:v>alta</x:v>
      </x:c>
      <x:c r="Z1334" s="24"/>
      <x:c r="AA1334" s="24" t="str">
        <x:v>Rodenstock|Controle de Miopia|Surfaçada|Rodenstock MyCon|ColorMatic® 3|1.6|1.60|Solitaire 2 Protect Balance|0 a -10|até -6||75|||25</x:v>
      </x:c>
    </x:row>
    <x:row r="1335">
      <x:c r="A1335" s="24" t="str">
        <x:v>RD-C6BB56534C5E</x:v>
      </x:c>
      <x:c r="B1335" s="24" t="str">
        <x:v>SIM</x:v>
      </x:c>
      <x:c r="C1335" s="24" t="str">
        <x:v>DISPONÍVEL</x:v>
      </x:c>
      <x:c r="D1335" s="24" t="str">
        <x:v>Rodenstock</x:v>
      </x:c>
      <x:c r="E1335" s="24" t="str">
        <x:v>Controle de Miopia</x:v>
      </x:c>
      <x:c r="F1335" s="24" t="str">
        <x:v>Surfaçada</x:v>
      </x:c>
      <x:c r="G1335" s="24" t="str">
        <x:v>Rodenstock MyCon</x:v>
      </x:c>
      <x:c r="H1335" s="24" t="str">
        <x:v>ColorMatic® 3</x:v>
      </x:c>
      <x:c r="I1335" s="24" t="str">
        <x:v>1.6</x:v>
      </x:c>
      <x:c r="J1335" s="24" t="str">
        <x:v>1.60</x:v>
      </x:c>
      <x:c r="K1335" s="24" t="str">
        <x:v>Solitaire Protect Plus</x:v>
      </x:c>
      <x:c r="L1335" s="40" t="n">
        <x:v>3120</x:v>
      </x:c>
      <x:c r="M1335" s="24" t="str">
        <x:v>0 a -10</x:v>
      </x:c>
      <x:c r="N1335" s="24" t="str">
        <x:v>até -6</x:v>
      </x:c>
      <x:c r="O1335" s="24"/>
      <x:c r="P1335" s="24" t="str">
        <x:v>75</x:v>
      </x:c>
      <x:c r="Q1335" s="24"/>
      <x:c r="R1335" s="24"/>
      <x:c r="S1335" s="26" t="n">
        <x:v>46024</x:v>
      </x:c>
      <x:c r="T1335" s="26"/>
      <x:c r="U1335" s="24" t="str">
        <x:v>ATIVA/SEM FIM INFORMADO</x:v>
      </x:c>
      <x:c r="V1335" s="24"/>
      <x:c r="W1335" s="24" t="n">
        <x:v>25</x:v>
      </x:c>
      <x:c r="X1335" s="24" t="str">
        <x:v>tabela_rodenstock.pdf</x:v>
      </x:c>
      <x:c r="Y1335" s="24" t="str">
        <x:v>alta</x:v>
      </x:c>
      <x:c r="Z1335" s="24"/>
      <x:c r="AA1335" s="24" t="str">
        <x:v>Rodenstock|Controle de Miopia|Surfaçada|Rodenstock MyCon|ColorMatic® 3|1.6|1.60|Solitaire Protect Plus|0 a -10|até -6||75|||25</x:v>
      </x:c>
    </x:row>
    <x:row r="1336">
      <x:c r="A1336" s="24" t="str">
        <x:v>RD-3B5FE4598C77</x:v>
      </x:c>
      <x:c r="B1336" s="24" t="str">
        <x:v>SIM</x:v>
      </x:c>
      <x:c r="C1336" s="24" t="str">
        <x:v>DISPONÍVEL</x:v>
      </x:c>
      <x:c r="D1336" s="24" t="str">
        <x:v>Rodenstock</x:v>
      </x:c>
      <x:c r="E1336" s="24" t="str">
        <x:v>Controle de Miopia</x:v>
      </x:c>
      <x:c r="F1336" s="24" t="str">
        <x:v>Surfaçada</x:v>
      </x:c>
      <x:c r="G1336" s="24" t="str">
        <x:v>Rodenstock MyCon</x:v>
      </x:c>
      <x:c r="H1336" s="24" t="str">
        <x:v>ColorMatic® 3</x:v>
      </x:c>
      <x:c r="I1336" s="24" t="str">
        <x:v>1.6</x:v>
      </x:c>
      <x:c r="J1336" s="24" t="str">
        <x:v>1.60</x:v>
      </x:c>
      <x:c r="K1336" s="24" t="str">
        <x:v>Solitaire Protect</x:v>
      </x:c>
      <x:c r="L1336" s="40" t="n">
        <x:v>2860</x:v>
      </x:c>
      <x:c r="M1336" s="24" t="str">
        <x:v>0 a -10</x:v>
      </x:c>
      <x:c r="N1336" s="24" t="str">
        <x:v>até -6</x:v>
      </x:c>
      <x:c r="O1336" s="24"/>
      <x:c r="P1336" s="24" t="str">
        <x:v>75</x:v>
      </x:c>
      <x:c r="Q1336" s="24"/>
      <x:c r="R1336" s="24"/>
      <x:c r="S1336" s="26" t="n">
        <x:v>46024</x:v>
      </x:c>
      <x:c r="T1336" s="26"/>
      <x:c r="U1336" s="24" t="str">
        <x:v>ATIVA/SEM FIM INFORMADO</x:v>
      </x:c>
      <x:c r="V1336" s="24"/>
      <x:c r="W1336" s="24" t="n">
        <x:v>25</x:v>
      </x:c>
      <x:c r="X1336" s="24" t="str">
        <x:v>tabela_rodenstock.pdf</x:v>
      </x:c>
      <x:c r="Y1336" s="24" t="str">
        <x:v>alta</x:v>
      </x:c>
      <x:c r="Z1336" s="24"/>
      <x:c r="AA1336" s="24" t="str">
        <x:v>Rodenstock|Controle de Miopia|Surfaçada|Rodenstock MyCon|ColorMatic® 3|1.6|1.60|Solitaire Protect|0 a -10|até -6||75|||25</x:v>
      </x:c>
    </x:row>
    <x:row r="1337">
      <x:c r="A1337" s="24" t="str">
        <x:v>RD-910BD2C9138E</x:v>
      </x:c>
      <x:c r="B1337" s="24" t="str">
        <x:v>SIM</x:v>
      </x:c>
      <x:c r="C1337" s="24" t="str">
        <x:v>DISPONÍVEL</x:v>
      </x:c>
      <x:c r="D1337" s="24" t="str">
        <x:v>Rodenstock</x:v>
      </x:c>
      <x:c r="E1337" s="24" t="str">
        <x:v>Controle de Miopia</x:v>
      </x:c>
      <x:c r="F1337" s="24" t="str">
        <x:v>Surfaçada</x:v>
      </x:c>
      <x:c r="G1337" s="24" t="str">
        <x:v>Rodenstock MyCon</x:v>
      </x:c>
      <x:c r="H1337" s="24" t="str">
        <x:v>ColorMatic® 3</x:v>
      </x:c>
      <x:c r="I1337" s="24" t="str">
        <x:v>1.6</x:v>
      </x:c>
      <x:c r="J1337" s="24" t="str">
        <x:v>1.60</x:v>
      </x:c>
      <x:c r="K1337" s="24" t="str">
        <x:v>Solitaire ECO 2</x:v>
      </x:c>
      <x:c r="L1337" s="40" t="n">
        <x:v>2380</x:v>
      </x:c>
      <x:c r="M1337" s="24" t="str">
        <x:v>0 a -10</x:v>
      </x:c>
      <x:c r="N1337" s="24" t="str">
        <x:v>até -6</x:v>
      </x:c>
      <x:c r="O1337" s="24"/>
      <x:c r="P1337" s="24" t="str">
        <x:v>75</x:v>
      </x:c>
      <x:c r="Q1337" s="24"/>
      <x:c r="R1337" s="24"/>
      <x:c r="S1337" s="26" t="n">
        <x:v>46024</x:v>
      </x:c>
      <x:c r="T1337" s="26"/>
      <x:c r="U1337" s="24" t="str">
        <x:v>ATIVA/SEM FIM INFORMADO</x:v>
      </x:c>
      <x:c r="V1337" s="24"/>
      <x:c r="W1337" s="24" t="n">
        <x:v>25</x:v>
      </x:c>
      <x:c r="X1337" s="24" t="str">
        <x:v>tabela_rodenstock.pdf</x:v>
      </x:c>
      <x:c r="Y1337" s="24" t="str">
        <x:v>alta</x:v>
      </x:c>
      <x:c r="Z1337" s="24"/>
      <x:c r="AA1337" s="24" t="str">
        <x:v>Rodenstock|Controle de Miopia|Surfaçada|Rodenstock MyCon|ColorMatic® 3|1.6|1.60|Solitaire ECO 2|0 a -10|até -6||75|||25</x:v>
      </x:c>
    </x:row>
    <x:row r="1338">
      <x:c r="A1338" s="24" t="str">
        <x:v>RD-E3DBE713FDC4</x:v>
      </x:c>
      <x:c r="B1338" s="24" t="str">
        <x:v>SIM</x:v>
      </x:c>
      <x:c r="C1338" s="24" t="str">
        <x:v>DISPONÍVEL</x:v>
      </x:c>
      <x:c r="D1338" s="24" t="str">
        <x:v>Rodenstock</x:v>
      </x:c>
      <x:c r="E1338" s="24" t="str">
        <x:v>Controle de Miopia</x:v>
      </x:c>
      <x:c r="F1338" s="24" t="str">
        <x:v>Surfaçada</x:v>
      </x:c>
      <x:c r="G1338" s="24" t="str">
        <x:v>Rodenstock MyCon</x:v>
      </x:c>
      <x:c r="H1338" s="24"/>
      <x:c r="I1338" s="24" t="str">
        <x:v>1.67</x:v>
      </x:c>
      <x:c r="J1338" s="24" t="str">
        <x:v>1.67</x:v>
      </x:c>
      <x:c r="K1338" s="24" t="str">
        <x:v>Solitaire X-tra Clean</x:v>
      </x:c>
      <x:c r="L1338" s="40" t="n">
        <x:v>2883</x:v>
      </x:c>
      <x:c r="M1338" s="24" t="str">
        <x:v>0 a -12</x:v>
      </x:c>
      <x:c r="N1338" s="24" t="str">
        <x:v>até -6</x:v>
      </x:c>
      <x:c r="O1338" s="24"/>
      <x:c r="P1338" s="24" t="str">
        <x:v>75</x:v>
      </x:c>
      <x:c r="Q1338" s="24"/>
      <x:c r="R1338" s="24"/>
      <x:c r="S1338" s="26" t="n">
        <x:v>46024</x:v>
      </x:c>
      <x:c r="T1338" s="26"/>
      <x:c r="U1338" s="24" t="str">
        <x:v>ATIVA/SEM FIM INFORMADO</x:v>
      </x:c>
      <x:c r="V1338" s="24"/>
      <x:c r="W1338" s="24" t="n">
        <x:v>25</x:v>
      </x:c>
      <x:c r="X1338" s="24" t="str">
        <x:v>tabela_rodenstock.pdf</x:v>
      </x:c>
      <x:c r="Y1338" s="24" t="str">
        <x:v>alta</x:v>
      </x:c>
      <x:c r="Z1338" s="24"/>
      <x:c r="AA1338" s="24" t="str">
        <x:v>Rodenstock|Controle de Miopia|Surfaçada|Rodenstock MyCon||1.67|1.67|Solitaire X-tra Clean|0 a -12|até -6||75|||25</x:v>
      </x:c>
    </x:row>
    <x:row r="1339">
      <x:c r="A1339" s="24" t="str">
        <x:v>RD-98F91B0A3017</x:v>
      </x:c>
      <x:c r="B1339" s="24" t="str">
        <x:v>SIM</x:v>
      </x:c>
      <x:c r="C1339" s="24" t="str">
        <x:v>DISPONÍVEL</x:v>
      </x:c>
      <x:c r="D1339" s="24" t="str">
        <x:v>Rodenstock</x:v>
      </x:c>
      <x:c r="E1339" s="24" t="str">
        <x:v>Controle de Miopia</x:v>
      </x:c>
      <x:c r="F1339" s="24" t="str">
        <x:v>Surfaçada</x:v>
      </x:c>
      <x:c r="G1339" s="24" t="str">
        <x:v>Rodenstock MyCon</x:v>
      </x:c>
      <x:c r="H1339" s="24"/>
      <x:c r="I1339" s="24" t="str">
        <x:v>1.67</x:v>
      </x:c>
      <x:c r="J1339" s="24" t="str">
        <x:v>1.67</x:v>
      </x:c>
      <x:c r="K1339" s="24" t="str">
        <x:v>Solitaire 2 Protect Balance</x:v>
      </x:c>
      <x:c r="L1339" s="40" t="n">
        <x:v>2833</x:v>
      </x:c>
      <x:c r="M1339" s="24" t="str">
        <x:v>0 a -12</x:v>
      </x:c>
      <x:c r="N1339" s="24" t="str">
        <x:v>até -6</x:v>
      </x:c>
      <x:c r="O1339" s="24"/>
      <x:c r="P1339" s="24" t="str">
        <x:v>75</x:v>
      </x:c>
      <x:c r="Q1339" s="24"/>
      <x:c r="R1339" s="24"/>
      <x:c r="S1339" s="26" t="n">
        <x:v>46024</x:v>
      </x:c>
      <x:c r="T1339" s="26"/>
      <x:c r="U1339" s="24" t="str">
        <x:v>ATIVA/SEM FIM INFORMADO</x:v>
      </x:c>
      <x:c r="V1339" s="24"/>
      <x:c r="W1339" s="24" t="n">
        <x:v>25</x:v>
      </x:c>
      <x:c r="X1339" s="24" t="str">
        <x:v>tabela_rodenstock.pdf</x:v>
      </x:c>
      <x:c r="Y1339" s="24" t="str">
        <x:v>alta</x:v>
      </x:c>
      <x:c r="Z1339" s="24"/>
      <x:c r="AA1339" s="24" t="str">
        <x:v>Rodenstock|Controle de Miopia|Surfaçada|Rodenstock MyCon||1.67|1.67|Solitaire 2 Protect Balance|0 a -12|até -6||75|||25</x:v>
      </x:c>
    </x:row>
    <x:row r="1340">
      <x:c r="A1340" s="24" t="str">
        <x:v>RD-CBE70CA7A101</x:v>
      </x:c>
      <x:c r="B1340" s="24" t="str">
        <x:v>SIM</x:v>
      </x:c>
      <x:c r="C1340" s="24" t="str">
        <x:v>DISPONÍVEL</x:v>
      </x:c>
      <x:c r="D1340" s="24" t="str">
        <x:v>Rodenstock</x:v>
      </x:c>
      <x:c r="E1340" s="24" t="str">
        <x:v>Controle de Miopia</x:v>
      </x:c>
      <x:c r="F1340" s="24" t="str">
        <x:v>Surfaçada</x:v>
      </x:c>
      <x:c r="G1340" s="24" t="str">
        <x:v>Rodenstock MyCon</x:v>
      </x:c>
      <x:c r="H1340" s="24"/>
      <x:c r="I1340" s="24" t="str">
        <x:v>1.67</x:v>
      </x:c>
      <x:c r="J1340" s="24" t="str">
        <x:v>1.67</x:v>
      </x:c>
      <x:c r="K1340" s="24" t="str">
        <x:v>Solitaire Protect Plus</x:v>
      </x:c>
      <x:c r="L1340" s="40" t="n">
        <x:v>2833</x:v>
      </x:c>
      <x:c r="M1340" s="24" t="str">
        <x:v>0 a -12</x:v>
      </x:c>
      <x:c r="N1340" s="24" t="str">
        <x:v>até -6</x:v>
      </x:c>
      <x:c r="O1340" s="24"/>
      <x:c r="P1340" s="24" t="str">
        <x:v>75</x:v>
      </x:c>
      <x:c r="Q1340" s="24"/>
      <x:c r="R1340" s="24"/>
      <x:c r="S1340" s="26" t="n">
        <x:v>46024</x:v>
      </x:c>
      <x:c r="T1340" s="26"/>
      <x:c r="U1340" s="24" t="str">
        <x:v>ATIVA/SEM FIM INFORMADO</x:v>
      </x:c>
      <x:c r="V1340" s="24"/>
      <x:c r="W1340" s="24" t="n">
        <x:v>25</x:v>
      </x:c>
      <x:c r="X1340" s="24" t="str">
        <x:v>tabela_rodenstock.pdf</x:v>
      </x:c>
      <x:c r="Y1340" s="24" t="str">
        <x:v>alta</x:v>
      </x:c>
      <x:c r="Z1340" s="24"/>
      <x:c r="AA1340" s="24" t="str">
        <x:v>Rodenstock|Controle de Miopia|Surfaçada|Rodenstock MyCon||1.67|1.67|Solitaire Protect Plus|0 a -12|até -6||75|||25</x:v>
      </x:c>
    </x:row>
    <x:row r="1341">
      <x:c r="A1341" s="24" t="str">
        <x:v>RD-F218385EA71B</x:v>
      </x:c>
      <x:c r="B1341" s="24" t="str">
        <x:v>SIM</x:v>
      </x:c>
      <x:c r="C1341" s="24" t="str">
        <x:v>DISPONÍVEL</x:v>
      </x:c>
      <x:c r="D1341" s="24" t="str">
        <x:v>Rodenstock</x:v>
      </x:c>
      <x:c r="E1341" s="24" t="str">
        <x:v>Controle de Miopia</x:v>
      </x:c>
      <x:c r="F1341" s="24" t="str">
        <x:v>Surfaçada</x:v>
      </x:c>
      <x:c r="G1341" s="24" t="str">
        <x:v>Rodenstock MyCon</x:v>
      </x:c>
      <x:c r="H1341" s="24"/>
      <x:c r="I1341" s="24" t="str">
        <x:v>1.67</x:v>
      </x:c>
      <x:c r="J1341" s="24" t="str">
        <x:v>1.67</x:v>
      </x:c>
      <x:c r="K1341" s="24" t="str">
        <x:v>Solitaire Protect</x:v>
      </x:c>
      <x:c r="L1341" s="40" t="n">
        <x:v>2573</x:v>
      </x:c>
      <x:c r="M1341" s="24" t="str">
        <x:v>0 a -12</x:v>
      </x:c>
      <x:c r="N1341" s="24" t="str">
        <x:v>até -6</x:v>
      </x:c>
      <x:c r="O1341" s="24"/>
      <x:c r="P1341" s="24" t="str">
        <x:v>75</x:v>
      </x:c>
      <x:c r="Q1341" s="24"/>
      <x:c r="R1341" s="24"/>
      <x:c r="S1341" s="26" t="n">
        <x:v>46024</x:v>
      </x:c>
      <x:c r="T1341" s="26"/>
      <x:c r="U1341" s="24" t="str">
        <x:v>ATIVA/SEM FIM INFORMADO</x:v>
      </x:c>
      <x:c r="V1341" s="24"/>
      <x:c r="W1341" s="24" t="n">
        <x:v>25</x:v>
      </x:c>
      <x:c r="X1341" s="24" t="str">
        <x:v>tabela_rodenstock.pdf</x:v>
      </x:c>
      <x:c r="Y1341" s="24" t="str">
        <x:v>alta</x:v>
      </x:c>
      <x:c r="Z1341" s="24"/>
      <x:c r="AA1341" s="24" t="str">
        <x:v>Rodenstock|Controle de Miopia|Surfaçada|Rodenstock MyCon||1.67|1.67|Solitaire Protect|0 a -12|até -6||75|||25</x:v>
      </x:c>
    </x:row>
    <x:row r="1342">
      <x:c r="A1342" s="24" t="str">
        <x:v>RD-F17298BF5559</x:v>
      </x:c>
      <x:c r="B1342" s="24" t="str">
        <x:v>SIM</x:v>
      </x:c>
      <x:c r="C1342" s="24" t="str">
        <x:v>DISPONÍVEL</x:v>
      </x:c>
      <x:c r="D1342" s="24" t="str">
        <x:v>Rodenstock</x:v>
      </x:c>
      <x:c r="E1342" s="24" t="str">
        <x:v>Controle de Miopia</x:v>
      </x:c>
      <x:c r="F1342" s="24" t="str">
        <x:v>Surfaçada</x:v>
      </x:c>
      <x:c r="G1342" s="24" t="str">
        <x:v>Rodenstock MyCon</x:v>
      </x:c>
      <x:c r="H1342" s="24"/>
      <x:c r="I1342" s="24" t="str">
        <x:v>1.67</x:v>
      </x:c>
      <x:c r="J1342" s="24" t="str">
        <x:v>1.67</x:v>
      </x:c>
      <x:c r="K1342" s="24" t="str">
        <x:v>Solitaire ECO 2</x:v>
      </x:c>
      <x:c r="L1342" s="40" t="n">
        <x:v>2093</x:v>
      </x:c>
      <x:c r="M1342" s="24" t="str">
        <x:v>0 a -12</x:v>
      </x:c>
      <x:c r="N1342" s="24" t="str">
        <x:v>até -6</x:v>
      </x:c>
      <x:c r="O1342" s="24"/>
      <x:c r="P1342" s="24" t="str">
        <x:v>75</x:v>
      </x:c>
      <x:c r="Q1342" s="24"/>
      <x:c r="R1342" s="24"/>
      <x:c r="S1342" s="26" t="n">
        <x:v>46024</x:v>
      </x:c>
      <x:c r="T1342" s="26"/>
      <x:c r="U1342" s="24" t="str">
        <x:v>ATIVA/SEM FIM INFORMADO</x:v>
      </x:c>
      <x:c r="V1342" s="24"/>
      <x:c r="W1342" s="24" t="n">
        <x:v>25</x:v>
      </x:c>
      <x:c r="X1342" s="24" t="str">
        <x:v>tabela_rodenstock.pdf</x:v>
      </x:c>
      <x:c r="Y1342" s="24" t="str">
        <x:v>alta</x:v>
      </x:c>
      <x:c r="Z1342" s="24"/>
      <x:c r="AA1342" s="24" t="str">
        <x:v>Rodenstock|Controle de Miopia|Surfaçada|Rodenstock MyCon||1.67|1.67|Solitaire ECO 2|0 a -12|até -6||75|||25</x:v>
      </x:c>
    </x:row>
    <x:row r="1343">
      <x:c r="A1343" s="24" t="str">
        <x:v>RD-75A22FFF740B</x:v>
      </x:c>
      <x:c r="B1343" s="24" t="str">
        <x:v>SIM</x:v>
      </x:c>
      <x:c r="C1343" s="24" t="str">
        <x:v>DISPONÍVEL</x:v>
      </x:c>
      <x:c r="D1343" s="24" t="str">
        <x:v>Rodenstock</x:v>
      </x:c>
      <x:c r="E1343" s="24" t="str">
        <x:v>Controle de Miopia</x:v>
      </x:c>
      <x:c r="F1343" s="24" t="str">
        <x:v>Surfaçada</x:v>
      </x:c>
      <x:c r="G1343" s="24" t="str">
        <x:v>Rodenstock MyCon</x:v>
      </x:c>
      <x:c r="H1343" s="24" t="str">
        <x:v>ColorMatic® 3</x:v>
      </x:c>
      <x:c r="I1343" s="24" t="str">
        <x:v>1.67</x:v>
      </x:c>
      <x:c r="J1343" s="24" t="str">
        <x:v>1.67</x:v>
      </x:c>
      <x:c r="K1343" s="24" t="str">
        <x:v>Solitaire X-tra Clean</x:v>
      </x:c>
      <x:c r="L1343" s="40" t="n">
        <x:v>3572</x:v>
      </x:c>
      <x:c r="M1343" s="24" t="str">
        <x:v>0 a -12</x:v>
      </x:c>
      <x:c r="N1343" s="24" t="str">
        <x:v>até -6</x:v>
      </x:c>
      <x:c r="O1343" s="24"/>
      <x:c r="P1343" s="24" t="str">
        <x:v>75</x:v>
      </x:c>
      <x:c r="Q1343" s="24"/>
      <x:c r="R1343" s="24"/>
      <x:c r="S1343" s="26" t="n">
        <x:v>46024</x:v>
      </x:c>
      <x:c r="T1343" s="26"/>
      <x:c r="U1343" s="24" t="str">
        <x:v>ATIVA/SEM FIM INFORMADO</x:v>
      </x:c>
      <x:c r="V1343" s="24"/>
      <x:c r="W1343" s="24" t="n">
        <x:v>25</x:v>
      </x:c>
      <x:c r="X1343" s="24" t="str">
        <x:v>tabela_rodenstock.pdf</x:v>
      </x:c>
      <x:c r="Y1343" s="24" t="str">
        <x:v>alta</x:v>
      </x:c>
      <x:c r="Z1343" s="24"/>
      <x:c r="AA1343" s="24" t="str">
        <x:v>Rodenstock|Controle de Miopia|Surfaçada|Rodenstock MyCon|ColorMatic® 3|1.67|1.67|Solitaire X-tra Clean|0 a -12|até -6||75|||25</x:v>
      </x:c>
    </x:row>
    <x:row r="1344">
      <x:c r="A1344" s="24" t="str">
        <x:v>RD-38D390043A80</x:v>
      </x:c>
      <x:c r="B1344" s="24" t="str">
        <x:v>SIM</x:v>
      </x:c>
      <x:c r="C1344" s="24" t="str">
        <x:v>DISPONÍVEL</x:v>
      </x:c>
      <x:c r="D1344" s="24" t="str">
        <x:v>Rodenstock</x:v>
      </x:c>
      <x:c r="E1344" s="24" t="str">
        <x:v>Controle de Miopia</x:v>
      </x:c>
      <x:c r="F1344" s="24" t="str">
        <x:v>Surfaçada</x:v>
      </x:c>
      <x:c r="G1344" s="24" t="str">
        <x:v>Rodenstock MyCon</x:v>
      </x:c>
      <x:c r="H1344" s="24" t="str">
        <x:v>ColorMatic® 3</x:v>
      </x:c>
      <x:c r="I1344" s="24" t="str">
        <x:v>1.67</x:v>
      </x:c>
      <x:c r="J1344" s="24" t="str">
        <x:v>1.67</x:v>
      </x:c>
      <x:c r="K1344" s="24" t="str">
        <x:v>Solitaire 2 Protect Balance</x:v>
      </x:c>
      <x:c r="L1344" s="40" t="n">
        <x:v>3522</x:v>
      </x:c>
      <x:c r="M1344" s="24" t="str">
        <x:v>0 a -12</x:v>
      </x:c>
      <x:c r="N1344" s="24" t="str">
        <x:v>até -6</x:v>
      </x:c>
      <x:c r="O1344" s="24"/>
      <x:c r="P1344" s="24" t="str">
        <x:v>75</x:v>
      </x:c>
      <x:c r="Q1344" s="24"/>
      <x:c r="R1344" s="24"/>
      <x:c r="S1344" s="26" t="n">
        <x:v>46024</x:v>
      </x:c>
      <x:c r="T1344" s="26"/>
      <x:c r="U1344" s="24" t="str">
        <x:v>ATIVA/SEM FIM INFORMADO</x:v>
      </x:c>
      <x:c r="V1344" s="24"/>
      <x:c r="W1344" s="24" t="n">
        <x:v>25</x:v>
      </x:c>
      <x:c r="X1344" s="24" t="str">
        <x:v>tabela_rodenstock.pdf</x:v>
      </x:c>
      <x:c r="Y1344" s="24" t="str">
        <x:v>alta</x:v>
      </x:c>
      <x:c r="Z1344" s="24"/>
      <x:c r="AA1344" s="24" t="str">
        <x:v>Rodenstock|Controle de Miopia|Surfaçada|Rodenstock MyCon|ColorMatic® 3|1.67|1.67|Solitaire 2 Protect Balance|0 a -12|até -6||75|||25</x:v>
      </x:c>
    </x:row>
    <x:row r="1345">
      <x:c r="A1345" s="24" t="str">
        <x:v>RD-4EE3A673D571</x:v>
      </x:c>
      <x:c r="B1345" s="24" t="str">
        <x:v>SIM</x:v>
      </x:c>
      <x:c r="C1345" s="24" t="str">
        <x:v>DISPONÍVEL</x:v>
      </x:c>
      <x:c r="D1345" s="24" t="str">
        <x:v>Rodenstock</x:v>
      </x:c>
      <x:c r="E1345" s="24" t="str">
        <x:v>Controle de Miopia</x:v>
      </x:c>
      <x:c r="F1345" s="24" t="str">
        <x:v>Surfaçada</x:v>
      </x:c>
      <x:c r="G1345" s="24" t="str">
        <x:v>Rodenstock MyCon</x:v>
      </x:c>
      <x:c r="H1345" s="24" t="str">
        <x:v>ColorMatic® 3</x:v>
      </x:c>
      <x:c r="I1345" s="24" t="str">
        <x:v>1.67</x:v>
      </x:c>
      <x:c r="J1345" s="24" t="str">
        <x:v>1.67</x:v>
      </x:c>
      <x:c r="K1345" s="24" t="str">
        <x:v>Solitaire Protect Plus</x:v>
      </x:c>
      <x:c r="L1345" s="40" t="n">
        <x:v>3522</x:v>
      </x:c>
      <x:c r="M1345" s="24" t="str">
        <x:v>0 a -12</x:v>
      </x:c>
      <x:c r="N1345" s="24" t="str">
        <x:v>até -6</x:v>
      </x:c>
      <x:c r="O1345" s="24"/>
      <x:c r="P1345" s="24" t="str">
        <x:v>75</x:v>
      </x:c>
      <x:c r="Q1345" s="24"/>
      <x:c r="R1345" s="24"/>
      <x:c r="S1345" s="26" t="n">
        <x:v>46024</x:v>
      </x:c>
      <x:c r="T1345" s="26"/>
      <x:c r="U1345" s="24" t="str">
        <x:v>ATIVA/SEM FIM INFORMADO</x:v>
      </x:c>
      <x:c r="V1345" s="24"/>
      <x:c r="W1345" s="24" t="n">
        <x:v>25</x:v>
      </x:c>
      <x:c r="X1345" s="24" t="str">
        <x:v>tabela_rodenstock.pdf</x:v>
      </x:c>
      <x:c r="Y1345" s="24" t="str">
        <x:v>alta</x:v>
      </x:c>
      <x:c r="Z1345" s="24"/>
      <x:c r="AA1345" s="24" t="str">
        <x:v>Rodenstock|Controle de Miopia|Surfaçada|Rodenstock MyCon|ColorMatic® 3|1.67|1.67|Solitaire Protect Plus|0 a -12|até -6||75|||25</x:v>
      </x:c>
    </x:row>
    <x:row r="1346">
      <x:c r="A1346" s="24" t="str">
        <x:v>RD-58DAA77D0DF0</x:v>
      </x:c>
      <x:c r="B1346" s="24" t="str">
        <x:v>SIM</x:v>
      </x:c>
      <x:c r="C1346" s="24" t="str">
        <x:v>DISPONÍVEL</x:v>
      </x:c>
      <x:c r="D1346" s="24" t="str">
        <x:v>Rodenstock</x:v>
      </x:c>
      <x:c r="E1346" s="24" t="str">
        <x:v>Controle de Miopia</x:v>
      </x:c>
      <x:c r="F1346" s="24" t="str">
        <x:v>Surfaçada</x:v>
      </x:c>
      <x:c r="G1346" s="24" t="str">
        <x:v>Rodenstock MyCon</x:v>
      </x:c>
      <x:c r="H1346" s="24" t="str">
        <x:v>ColorMatic® 3</x:v>
      </x:c>
      <x:c r="I1346" s="24" t="str">
        <x:v>1.67</x:v>
      </x:c>
      <x:c r="J1346" s="24" t="str">
        <x:v>1.67</x:v>
      </x:c>
      <x:c r="K1346" s="24" t="str">
        <x:v>Solitaire Protect</x:v>
      </x:c>
      <x:c r="L1346" s="40" t="n">
        <x:v>3262</x:v>
      </x:c>
      <x:c r="M1346" s="24" t="str">
        <x:v>0 a -12</x:v>
      </x:c>
      <x:c r="N1346" s="24" t="str">
        <x:v>até -6</x:v>
      </x:c>
      <x:c r="O1346" s="24"/>
      <x:c r="P1346" s="24" t="str">
        <x:v>75</x:v>
      </x:c>
      <x:c r="Q1346" s="24"/>
      <x:c r="R1346" s="24"/>
      <x:c r="S1346" s="26" t="n">
        <x:v>46024</x:v>
      </x:c>
      <x:c r="T1346" s="26"/>
      <x:c r="U1346" s="24" t="str">
        <x:v>ATIVA/SEM FIM INFORMADO</x:v>
      </x:c>
      <x:c r="V1346" s="24"/>
      <x:c r="W1346" s="24" t="n">
        <x:v>25</x:v>
      </x:c>
      <x:c r="X1346" s="24" t="str">
        <x:v>tabela_rodenstock.pdf</x:v>
      </x:c>
      <x:c r="Y1346" s="24" t="str">
        <x:v>alta</x:v>
      </x:c>
      <x:c r="Z1346" s="24"/>
      <x:c r="AA1346" s="24" t="str">
        <x:v>Rodenstock|Controle de Miopia|Surfaçada|Rodenstock MyCon|ColorMatic® 3|1.67|1.67|Solitaire Protect|0 a -12|até -6||75|||25</x:v>
      </x:c>
    </x:row>
    <x:row r="1347">
      <x:c r="A1347" s="24" t="str">
        <x:v>RD-4C75D6B4D210</x:v>
      </x:c>
      <x:c r="B1347" s="24" t="str">
        <x:v>SIM</x:v>
      </x:c>
      <x:c r="C1347" s="24" t="str">
        <x:v>DISPONÍVEL</x:v>
      </x:c>
      <x:c r="D1347" s="24" t="str">
        <x:v>Rodenstock</x:v>
      </x:c>
      <x:c r="E1347" s="24" t="str">
        <x:v>Controle de Miopia</x:v>
      </x:c>
      <x:c r="F1347" s="24" t="str">
        <x:v>Surfaçada</x:v>
      </x:c>
      <x:c r="G1347" s="24" t="str">
        <x:v>Rodenstock MyCon</x:v>
      </x:c>
      <x:c r="H1347" s="24" t="str">
        <x:v>ColorMatic® 3</x:v>
      </x:c>
      <x:c r="I1347" s="24" t="str">
        <x:v>1.67</x:v>
      </x:c>
      <x:c r="J1347" s="24" t="str">
        <x:v>1.67</x:v>
      </x:c>
      <x:c r="K1347" s="24" t="str">
        <x:v>Solitaire ECO 2</x:v>
      </x:c>
      <x:c r="L1347" s="40" t="n">
        <x:v>2782</x:v>
      </x:c>
      <x:c r="M1347" s="24" t="str">
        <x:v>0 a -12</x:v>
      </x:c>
      <x:c r="N1347" s="24" t="str">
        <x:v>até -6</x:v>
      </x:c>
      <x:c r="O1347" s="24"/>
      <x:c r="P1347" s="24" t="str">
        <x:v>75</x:v>
      </x:c>
      <x:c r="Q1347" s="24"/>
      <x:c r="R1347" s="24"/>
      <x:c r="S1347" s="26" t="n">
        <x:v>46024</x:v>
      </x:c>
      <x:c r="T1347" s="26"/>
      <x:c r="U1347" s="24" t="str">
        <x:v>ATIVA/SEM FIM INFORMADO</x:v>
      </x:c>
      <x:c r="V1347" s="24"/>
      <x:c r="W1347" s="24" t="n">
        <x:v>25</x:v>
      </x:c>
      <x:c r="X1347" s="24" t="str">
        <x:v>tabela_rodenstock.pdf</x:v>
      </x:c>
      <x:c r="Y1347" s="24" t="str">
        <x:v>alta</x:v>
      </x:c>
      <x:c r="Z1347" s="24"/>
      <x:c r="AA1347" s="24" t="str">
        <x:v>Rodenstock|Controle de Miopia|Surfaçada|Rodenstock MyCon|ColorMatic® 3|1.67|1.67|Solitaire ECO 2|0 a -12|até -6||75|||25</x:v>
      </x:c>
    </x:row>
    <x:row r="1348">
      <x:c r="A1348" s="24" t="str">
        <x:v>RD-5DEF924BE473</x:v>
      </x:c>
      <x:c r="B1348" s="24" t="str">
        <x:v>SIM</x:v>
      </x:c>
      <x:c r="C1348" s="24" t="str">
        <x:v>DISPONÍVEL</x:v>
      </x:c>
      <x:c r="D1348" s="24" t="str">
        <x:v>Rodenstock</x:v>
      </x:c>
      <x:c r="E1348" s="24" t="str">
        <x:v>Controle de Miopia</x:v>
      </x:c>
      <x:c r="F1348" s="24" t="str">
        <x:v>Surfaçada</x:v>
      </x:c>
      <x:c r="G1348" s="24" t="str">
        <x:v>Rodenstock MyCon 2</x:v>
      </x:c>
      <x:c r="H1348" s="24"/>
      <x:c r="I1348" s="24" t="str">
        <x:v>1.5</x:v>
      </x:c>
      <x:c r="J1348" s="24" t="str">
        <x:v>1.50</x:v>
      </x:c>
      <x:c r="K1348" s="24" t="str">
        <x:v>Solitaire X-tra Clean</x:v>
      </x:c>
      <x:c r="L1348" s="40" t="n">
        <x:v>2298</x:v>
      </x:c>
      <x:c r="M1348" s="24" t="str">
        <x:v>0 a -8</x:v>
      </x:c>
      <x:c r="N1348" s="24" t="str">
        <x:v>até -6</x:v>
      </x:c>
      <x:c r="O1348" s="24"/>
      <x:c r="P1348" s="24" t="str">
        <x:v>75</x:v>
      </x:c>
      <x:c r="Q1348" s="24"/>
      <x:c r="R1348" s="24"/>
      <x:c r="S1348" s="26" t="n">
        <x:v>46024</x:v>
      </x:c>
      <x:c r="T1348" s="26"/>
      <x:c r="U1348" s="24" t="str">
        <x:v>ATIVA/SEM FIM INFORMADO</x:v>
      </x:c>
      <x:c r="V1348" s="24"/>
      <x:c r="W1348" s="24" t="n">
        <x:v>25</x:v>
      </x:c>
      <x:c r="X1348" s="24" t="str">
        <x:v>tabela_rodenstock.pdf</x:v>
      </x:c>
      <x:c r="Y1348" s="24" t="str">
        <x:v>alta</x:v>
      </x:c>
      <x:c r="Z1348" s="24"/>
      <x:c r="AA1348" s="24" t="str">
        <x:v>Rodenstock|Controle de Miopia|Surfaçada|Rodenstock MyCon 2||1.5|1.50|Solitaire X-tra Clean|0 a -8|até -6||75|||25</x:v>
      </x:c>
    </x:row>
    <x:row r="1349">
      <x:c r="A1349" s="24" t="str">
        <x:v>RD-35FEC4C6087D</x:v>
      </x:c>
      <x:c r="B1349" s="24" t="str">
        <x:v>SIM</x:v>
      </x:c>
      <x:c r="C1349" s="24" t="str">
        <x:v>DISPONÍVEL</x:v>
      </x:c>
      <x:c r="D1349" s="24" t="str">
        <x:v>Rodenstock</x:v>
      </x:c>
      <x:c r="E1349" s="24" t="str">
        <x:v>Controle de Miopia</x:v>
      </x:c>
      <x:c r="F1349" s="24" t="str">
        <x:v>Surfaçada</x:v>
      </x:c>
      <x:c r="G1349" s="24" t="str">
        <x:v>Rodenstock MyCon 2</x:v>
      </x:c>
      <x:c r="H1349" s="24"/>
      <x:c r="I1349" s="24" t="str">
        <x:v>1.5</x:v>
      </x:c>
      <x:c r="J1349" s="24" t="str">
        <x:v>1.50</x:v>
      </x:c>
      <x:c r="K1349" s="24" t="str">
        <x:v>Solitaire 2 Protect Balance</x:v>
      </x:c>
      <x:c r="L1349" s="40" t="n">
        <x:v>2248</x:v>
      </x:c>
      <x:c r="M1349" s="24" t="str">
        <x:v>0 a -8</x:v>
      </x:c>
      <x:c r="N1349" s="24" t="str">
        <x:v>até -6</x:v>
      </x:c>
      <x:c r="O1349" s="24"/>
      <x:c r="P1349" s="24" t="str">
        <x:v>75</x:v>
      </x:c>
      <x:c r="Q1349" s="24"/>
      <x:c r="R1349" s="24"/>
      <x:c r="S1349" s="26" t="n">
        <x:v>46024</x:v>
      </x:c>
      <x:c r="T1349" s="26"/>
      <x:c r="U1349" s="24" t="str">
        <x:v>ATIVA/SEM FIM INFORMADO</x:v>
      </x:c>
      <x:c r="V1349" s="24"/>
      <x:c r="W1349" s="24" t="n">
        <x:v>25</x:v>
      </x:c>
      <x:c r="X1349" s="24" t="str">
        <x:v>tabela_rodenstock.pdf</x:v>
      </x:c>
      <x:c r="Y1349" s="24" t="str">
        <x:v>alta</x:v>
      </x:c>
      <x:c r="Z1349" s="24"/>
      <x:c r="AA1349" s="24" t="str">
        <x:v>Rodenstock|Controle de Miopia|Surfaçada|Rodenstock MyCon 2||1.5|1.50|Solitaire 2 Protect Balance|0 a -8|até -6||75|||25</x:v>
      </x:c>
    </x:row>
    <x:row r="1350">
      <x:c r="A1350" s="24" t="str">
        <x:v>RD-ADDD1228A3FB</x:v>
      </x:c>
      <x:c r="B1350" s="24" t="str">
        <x:v>SIM</x:v>
      </x:c>
      <x:c r="C1350" s="24" t="str">
        <x:v>DISPONÍVEL</x:v>
      </x:c>
      <x:c r="D1350" s="24" t="str">
        <x:v>Rodenstock</x:v>
      </x:c>
      <x:c r="E1350" s="24" t="str">
        <x:v>Controle de Miopia</x:v>
      </x:c>
      <x:c r="F1350" s="24" t="str">
        <x:v>Surfaçada</x:v>
      </x:c>
      <x:c r="G1350" s="24" t="str">
        <x:v>Rodenstock MyCon 2</x:v>
      </x:c>
      <x:c r="H1350" s="24"/>
      <x:c r="I1350" s="24" t="str">
        <x:v>1.5</x:v>
      </x:c>
      <x:c r="J1350" s="24" t="str">
        <x:v>1.50</x:v>
      </x:c>
      <x:c r="K1350" s="24" t="str">
        <x:v>Solitaire Protect Plus</x:v>
      </x:c>
      <x:c r="L1350" s="40" t="n">
        <x:v>2248</x:v>
      </x:c>
      <x:c r="M1350" s="24" t="str">
        <x:v>0 a -8</x:v>
      </x:c>
      <x:c r="N1350" s="24" t="str">
        <x:v>até -6</x:v>
      </x:c>
      <x:c r="O1350" s="24"/>
      <x:c r="P1350" s="24" t="str">
        <x:v>75</x:v>
      </x:c>
      <x:c r="Q1350" s="24"/>
      <x:c r="R1350" s="24"/>
      <x:c r="S1350" s="26" t="n">
        <x:v>46024</x:v>
      </x:c>
      <x:c r="T1350" s="26"/>
      <x:c r="U1350" s="24" t="str">
        <x:v>ATIVA/SEM FIM INFORMADO</x:v>
      </x:c>
      <x:c r="V1350" s="24"/>
      <x:c r="W1350" s="24" t="n">
        <x:v>25</x:v>
      </x:c>
      <x:c r="X1350" s="24" t="str">
        <x:v>tabela_rodenstock.pdf</x:v>
      </x:c>
      <x:c r="Y1350" s="24" t="str">
        <x:v>alta</x:v>
      </x:c>
      <x:c r="Z1350" s="24"/>
      <x:c r="AA1350" s="24" t="str">
        <x:v>Rodenstock|Controle de Miopia|Surfaçada|Rodenstock MyCon 2||1.5|1.50|Solitaire Protect Plus|0 a -8|até -6||75|||25</x:v>
      </x:c>
    </x:row>
    <x:row r="1351">
      <x:c r="A1351" s="24" t="str">
        <x:v>RD-2C259DC4F9B3</x:v>
      </x:c>
      <x:c r="B1351" s="24" t="str">
        <x:v>SIM</x:v>
      </x:c>
      <x:c r="C1351" s="24" t="str">
        <x:v>DISPONÍVEL</x:v>
      </x:c>
      <x:c r="D1351" s="24" t="str">
        <x:v>Rodenstock</x:v>
      </x:c>
      <x:c r="E1351" s="24" t="str">
        <x:v>Controle de Miopia</x:v>
      </x:c>
      <x:c r="F1351" s="24" t="str">
        <x:v>Surfaçada</x:v>
      </x:c>
      <x:c r="G1351" s="24" t="str">
        <x:v>Rodenstock MyCon 2</x:v>
      </x:c>
      <x:c r="H1351" s="24"/>
      <x:c r="I1351" s="24" t="str">
        <x:v>1.5</x:v>
      </x:c>
      <x:c r="J1351" s="24" t="str">
        <x:v>1.50</x:v>
      </x:c>
      <x:c r="K1351" s="24" t="str">
        <x:v>Solitaire Protect</x:v>
      </x:c>
      <x:c r="L1351" s="40" t="n">
        <x:v>1988</x:v>
      </x:c>
      <x:c r="M1351" s="24" t="str">
        <x:v>0 a -8</x:v>
      </x:c>
      <x:c r="N1351" s="24" t="str">
        <x:v>até -6</x:v>
      </x:c>
      <x:c r="O1351" s="24"/>
      <x:c r="P1351" s="24" t="str">
        <x:v>75</x:v>
      </x:c>
      <x:c r="Q1351" s="24"/>
      <x:c r="R1351" s="24"/>
      <x:c r="S1351" s="26" t="n">
        <x:v>46024</x:v>
      </x:c>
      <x:c r="T1351" s="26"/>
      <x:c r="U1351" s="24" t="str">
        <x:v>ATIVA/SEM FIM INFORMADO</x:v>
      </x:c>
      <x:c r="V1351" s="24"/>
      <x:c r="W1351" s="24" t="n">
        <x:v>25</x:v>
      </x:c>
      <x:c r="X1351" s="24" t="str">
        <x:v>tabela_rodenstock.pdf</x:v>
      </x:c>
      <x:c r="Y1351" s="24" t="str">
        <x:v>alta</x:v>
      </x:c>
      <x:c r="Z1351" s="24"/>
      <x:c r="AA1351" s="24" t="str">
        <x:v>Rodenstock|Controle de Miopia|Surfaçada|Rodenstock MyCon 2||1.5|1.50|Solitaire Protect|0 a -8|até -6||75|||25</x:v>
      </x:c>
    </x:row>
    <x:row r="1352">
      <x:c r="A1352" s="24" t="str">
        <x:v>RD-EF4559681D79</x:v>
      </x:c>
      <x:c r="B1352" s="24" t="str">
        <x:v>SIM</x:v>
      </x:c>
      <x:c r="C1352" s="24" t="str">
        <x:v>DISPONÍVEL</x:v>
      </x:c>
      <x:c r="D1352" s="24" t="str">
        <x:v>Rodenstock</x:v>
      </x:c>
      <x:c r="E1352" s="24" t="str">
        <x:v>Controle de Miopia</x:v>
      </x:c>
      <x:c r="F1352" s="24" t="str">
        <x:v>Surfaçada</x:v>
      </x:c>
      <x:c r="G1352" s="24" t="str">
        <x:v>Rodenstock MyCon 2</x:v>
      </x:c>
      <x:c r="H1352" s="24"/>
      <x:c r="I1352" s="24" t="str">
        <x:v>1.5</x:v>
      </x:c>
      <x:c r="J1352" s="24" t="str">
        <x:v>1.50</x:v>
      </x:c>
      <x:c r="K1352" s="24" t="str">
        <x:v>Solitaire ECO 2</x:v>
      </x:c>
      <x:c r="L1352" s="40" t="n">
        <x:v>1508</x:v>
      </x:c>
      <x:c r="M1352" s="24" t="str">
        <x:v>0 a -8</x:v>
      </x:c>
      <x:c r="N1352" s="24" t="str">
        <x:v>até -6</x:v>
      </x:c>
      <x:c r="O1352" s="24"/>
      <x:c r="P1352" s="24" t="str">
        <x:v>75</x:v>
      </x:c>
      <x:c r="Q1352" s="24"/>
      <x:c r="R1352" s="24"/>
      <x:c r="S1352" s="26" t="n">
        <x:v>46024</x:v>
      </x:c>
      <x:c r="T1352" s="26"/>
      <x:c r="U1352" s="24" t="str">
        <x:v>ATIVA/SEM FIM INFORMADO</x:v>
      </x:c>
      <x:c r="V1352" s="24"/>
      <x:c r="W1352" s="24" t="n">
        <x:v>25</x:v>
      </x:c>
      <x:c r="X1352" s="24" t="str">
        <x:v>tabela_rodenstock.pdf</x:v>
      </x:c>
      <x:c r="Y1352" s="24" t="str">
        <x:v>alta</x:v>
      </x:c>
      <x:c r="Z1352" s="24"/>
      <x:c r="AA1352" s="24" t="str">
        <x:v>Rodenstock|Controle de Miopia|Surfaçada|Rodenstock MyCon 2||1.5|1.50|Solitaire ECO 2|0 a -8|até -6||75|||25</x:v>
      </x:c>
    </x:row>
    <x:row r="1353">
      <x:c r="A1353" s="24" t="str">
        <x:v>RD-92104F92D9CA</x:v>
      </x:c>
      <x:c r="B1353" s="24" t="str">
        <x:v>SIM</x:v>
      </x:c>
      <x:c r="C1353" s="24" t="str">
        <x:v>DISPONÍVEL</x:v>
      </x:c>
      <x:c r="D1353" s="24" t="str">
        <x:v>Rodenstock</x:v>
      </x:c>
      <x:c r="E1353" s="24" t="str">
        <x:v>Controle de Miopia</x:v>
      </x:c>
      <x:c r="F1353" s="24" t="str">
        <x:v>Surfaçada</x:v>
      </x:c>
      <x:c r="G1353" s="24" t="str">
        <x:v>Rodenstock MyCon 2</x:v>
      </x:c>
      <x:c r="H1353" s="24" t="str">
        <x:v>Polarizada</x:v>
      </x:c>
      <x:c r="I1353" s="24" t="str">
        <x:v>1.5</x:v>
      </x:c>
      <x:c r="J1353" s="24" t="str">
        <x:v>1.50</x:v>
      </x:c>
      <x:c r="K1353" s="24" t="str">
        <x:v>Solitaire X-tra Clean</x:v>
      </x:c>
      <x:c r="L1353" s="40" t="n">
        <x:v>3469</x:v>
      </x:c>
      <x:c r="M1353" s="24" t="str">
        <x:v>0 a -8</x:v>
      </x:c>
      <x:c r="N1353" s="24" t="str">
        <x:v>até -6</x:v>
      </x:c>
      <x:c r="O1353" s="24"/>
      <x:c r="P1353" s="24" t="str">
        <x:v>75</x:v>
      </x:c>
      <x:c r="Q1353" s="24"/>
      <x:c r="R1353" s="24"/>
      <x:c r="S1353" s="26" t="n">
        <x:v>46024</x:v>
      </x:c>
      <x:c r="T1353" s="26"/>
      <x:c r="U1353" s="24" t="str">
        <x:v>ATIVA/SEM FIM INFORMADO</x:v>
      </x:c>
      <x:c r="V1353" s="24"/>
      <x:c r="W1353" s="24" t="n">
        <x:v>25</x:v>
      </x:c>
      <x:c r="X1353" s="24" t="str">
        <x:v>tabela_rodenstock.pdf</x:v>
      </x:c>
      <x:c r="Y1353" s="24" t="str">
        <x:v>alta</x:v>
      </x:c>
      <x:c r="Z1353" s="24"/>
      <x:c r="AA1353" s="24" t="str">
        <x:v>Rodenstock|Controle de Miopia|Surfaçada|Rodenstock MyCon 2|Polarizada|1.5|1.50|Solitaire X-tra Clean|0 a -8|até -6||75|||25</x:v>
      </x:c>
    </x:row>
    <x:row r="1354">
      <x:c r="A1354" s="24" t="str">
        <x:v>RD-F4BAB5023056</x:v>
      </x:c>
      <x:c r="B1354" s="24" t="str">
        <x:v>SIM</x:v>
      </x:c>
      <x:c r="C1354" s="24" t="str">
        <x:v>DISPONÍVEL</x:v>
      </x:c>
      <x:c r="D1354" s="24" t="str">
        <x:v>Rodenstock</x:v>
      </x:c>
      <x:c r="E1354" s="24" t="str">
        <x:v>Controle de Miopia</x:v>
      </x:c>
      <x:c r="F1354" s="24" t="str">
        <x:v>Surfaçada</x:v>
      </x:c>
      <x:c r="G1354" s="24" t="str">
        <x:v>Rodenstock MyCon 2</x:v>
      </x:c>
      <x:c r="H1354" s="24" t="str">
        <x:v>Polarizada</x:v>
      </x:c>
      <x:c r="I1354" s="24" t="str">
        <x:v>1.5</x:v>
      </x:c>
      <x:c r="J1354" s="24" t="str">
        <x:v>1.50</x:v>
      </x:c>
      <x:c r="K1354" s="24" t="str">
        <x:v>Solitaire 2 Protect Balance</x:v>
      </x:c>
      <x:c r="L1354" s="40" t="n">
        <x:v>3419</x:v>
      </x:c>
      <x:c r="M1354" s="24" t="str">
        <x:v>0 a -8</x:v>
      </x:c>
      <x:c r="N1354" s="24" t="str">
        <x:v>até -6</x:v>
      </x:c>
      <x:c r="O1354" s="24"/>
      <x:c r="P1354" s="24" t="str">
        <x:v>75</x:v>
      </x:c>
      <x:c r="Q1354" s="24"/>
      <x:c r="R1354" s="24"/>
      <x:c r="S1354" s="26" t="n">
        <x:v>46024</x:v>
      </x:c>
      <x:c r="T1354" s="26"/>
      <x:c r="U1354" s="24" t="str">
        <x:v>ATIVA/SEM FIM INFORMADO</x:v>
      </x:c>
      <x:c r="V1354" s="24"/>
      <x:c r="W1354" s="24" t="n">
        <x:v>25</x:v>
      </x:c>
      <x:c r="X1354" s="24" t="str">
        <x:v>tabela_rodenstock.pdf</x:v>
      </x:c>
      <x:c r="Y1354" s="24" t="str">
        <x:v>alta</x:v>
      </x:c>
      <x:c r="Z1354" s="24"/>
      <x:c r="AA1354" s="24" t="str">
        <x:v>Rodenstock|Controle de Miopia|Surfaçada|Rodenstock MyCon 2|Polarizada|1.5|1.50|Solitaire 2 Protect Balance|0 a -8|até -6||75|||25</x:v>
      </x:c>
    </x:row>
    <x:row r="1355">
      <x:c r="A1355" s="24" t="str">
        <x:v>RD-25A6C91586E2</x:v>
      </x:c>
      <x:c r="B1355" s="24" t="str">
        <x:v>SIM</x:v>
      </x:c>
      <x:c r="C1355" s="24" t="str">
        <x:v>DISPONÍVEL</x:v>
      </x:c>
      <x:c r="D1355" s="24" t="str">
        <x:v>Rodenstock</x:v>
      </x:c>
      <x:c r="E1355" s="24" t="str">
        <x:v>Controle de Miopia</x:v>
      </x:c>
      <x:c r="F1355" s="24" t="str">
        <x:v>Surfaçada</x:v>
      </x:c>
      <x:c r="G1355" s="24" t="str">
        <x:v>Rodenstock MyCon 2</x:v>
      </x:c>
      <x:c r="H1355" s="24" t="str">
        <x:v>Polarizada</x:v>
      </x:c>
      <x:c r="I1355" s="24" t="str">
        <x:v>1.5</x:v>
      </x:c>
      <x:c r="J1355" s="24" t="str">
        <x:v>1.50</x:v>
      </x:c>
      <x:c r="K1355" s="24" t="str">
        <x:v>Solitaire Protect Plus</x:v>
      </x:c>
      <x:c r="L1355" s="40" t="n">
        <x:v>3419</x:v>
      </x:c>
      <x:c r="M1355" s="24" t="str">
        <x:v>0 a -8</x:v>
      </x:c>
      <x:c r="N1355" s="24" t="str">
        <x:v>até -6</x:v>
      </x:c>
      <x:c r="O1355" s="24"/>
      <x:c r="P1355" s="24" t="str">
        <x:v>75</x:v>
      </x:c>
      <x:c r="Q1355" s="24"/>
      <x:c r="R1355" s="24"/>
      <x:c r="S1355" s="26" t="n">
        <x:v>46024</x:v>
      </x:c>
      <x:c r="T1355" s="26"/>
      <x:c r="U1355" s="24" t="str">
        <x:v>ATIVA/SEM FIM INFORMADO</x:v>
      </x:c>
      <x:c r="V1355" s="24"/>
      <x:c r="W1355" s="24" t="n">
        <x:v>25</x:v>
      </x:c>
      <x:c r="X1355" s="24" t="str">
        <x:v>tabela_rodenstock.pdf</x:v>
      </x:c>
      <x:c r="Y1355" s="24" t="str">
        <x:v>alta</x:v>
      </x:c>
      <x:c r="Z1355" s="24"/>
      <x:c r="AA1355" s="24" t="str">
        <x:v>Rodenstock|Controle de Miopia|Surfaçada|Rodenstock MyCon 2|Polarizada|1.5|1.50|Solitaire Protect Plus|0 a -8|até -6||75|||25</x:v>
      </x:c>
    </x:row>
    <x:row r="1356">
      <x:c r="A1356" s="24" t="str">
        <x:v>RD-0F506508B309</x:v>
      </x:c>
      <x:c r="B1356" s="24" t="str">
        <x:v>SIM</x:v>
      </x:c>
      <x:c r="C1356" s="24" t="str">
        <x:v>DISPONÍVEL</x:v>
      </x:c>
      <x:c r="D1356" s="24" t="str">
        <x:v>Rodenstock</x:v>
      </x:c>
      <x:c r="E1356" s="24" t="str">
        <x:v>Controle de Miopia</x:v>
      </x:c>
      <x:c r="F1356" s="24" t="str">
        <x:v>Surfaçada</x:v>
      </x:c>
      <x:c r="G1356" s="24" t="str">
        <x:v>Rodenstock MyCon 2</x:v>
      </x:c>
      <x:c r="H1356" s="24" t="str">
        <x:v>Polarizada</x:v>
      </x:c>
      <x:c r="I1356" s="24" t="str">
        <x:v>1.5</x:v>
      </x:c>
      <x:c r="J1356" s="24" t="str">
        <x:v>1.50</x:v>
      </x:c>
      <x:c r="K1356" s="24" t="str">
        <x:v>Solitaire Protect</x:v>
      </x:c>
      <x:c r="L1356" s="40" t="n">
        <x:v>3159</x:v>
      </x:c>
      <x:c r="M1356" s="24" t="str">
        <x:v>0 a -8</x:v>
      </x:c>
      <x:c r="N1356" s="24" t="str">
        <x:v>até -6</x:v>
      </x:c>
      <x:c r="O1356" s="24"/>
      <x:c r="P1356" s="24" t="str">
        <x:v>75</x:v>
      </x:c>
      <x:c r="Q1356" s="24"/>
      <x:c r="R1356" s="24"/>
      <x:c r="S1356" s="26" t="n">
        <x:v>46024</x:v>
      </x:c>
      <x:c r="T1356" s="26"/>
      <x:c r="U1356" s="24" t="str">
        <x:v>ATIVA/SEM FIM INFORMADO</x:v>
      </x:c>
      <x:c r="V1356" s="24"/>
      <x:c r="W1356" s="24" t="n">
        <x:v>25</x:v>
      </x:c>
      <x:c r="X1356" s="24" t="str">
        <x:v>tabela_rodenstock.pdf</x:v>
      </x:c>
      <x:c r="Y1356" s="24" t="str">
        <x:v>alta</x:v>
      </x:c>
      <x:c r="Z1356" s="24"/>
      <x:c r="AA1356" s="24" t="str">
        <x:v>Rodenstock|Controle de Miopia|Surfaçada|Rodenstock MyCon 2|Polarizada|1.5|1.50|Solitaire Protect|0 a -8|até -6||75|||25</x:v>
      </x:c>
    </x:row>
    <x:row r="1357">
      <x:c r="A1357" s="24" t="str">
        <x:v>RD-A49999EC2347</x:v>
      </x:c>
      <x:c r="B1357" s="24" t="str">
        <x:v>SIM</x:v>
      </x:c>
      <x:c r="C1357" s="24" t="str">
        <x:v>DISPONÍVEL</x:v>
      </x:c>
      <x:c r="D1357" s="24" t="str">
        <x:v>Rodenstock</x:v>
      </x:c>
      <x:c r="E1357" s="24" t="str">
        <x:v>Controle de Miopia</x:v>
      </x:c>
      <x:c r="F1357" s="24" t="str">
        <x:v>Surfaçada</x:v>
      </x:c>
      <x:c r="G1357" s="24" t="str">
        <x:v>Rodenstock MyCon 2</x:v>
      </x:c>
      <x:c r="H1357" s="24" t="str">
        <x:v>Polarizada</x:v>
      </x:c>
      <x:c r="I1357" s="24" t="str">
        <x:v>1.5</x:v>
      </x:c>
      <x:c r="J1357" s="24" t="str">
        <x:v>1.50</x:v>
      </x:c>
      <x:c r="K1357" s="24" t="str">
        <x:v>Solitaire ECO 2</x:v>
      </x:c>
      <x:c r="L1357" s="40" t="n">
        <x:v>2679</x:v>
      </x:c>
      <x:c r="M1357" s="24" t="str">
        <x:v>0 a -8</x:v>
      </x:c>
      <x:c r="N1357" s="24" t="str">
        <x:v>até -6</x:v>
      </x:c>
      <x:c r="O1357" s="24"/>
      <x:c r="P1357" s="24" t="str">
        <x:v>75</x:v>
      </x:c>
      <x:c r="Q1357" s="24"/>
      <x:c r="R1357" s="24"/>
      <x:c r="S1357" s="26" t="n">
        <x:v>46024</x:v>
      </x:c>
      <x:c r="T1357" s="26"/>
      <x:c r="U1357" s="24" t="str">
        <x:v>ATIVA/SEM FIM INFORMADO</x:v>
      </x:c>
      <x:c r="V1357" s="24"/>
      <x:c r="W1357" s="24" t="n">
        <x:v>25</x:v>
      </x:c>
      <x:c r="X1357" s="24" t="str">
        <x:v>tabela_rodenstock.pdf</x:v>
      </x:c>
      <x:c r="Y1357" s="24" t="str">
        <x:v>alta</x:v>
      </x:c>
      <x:c r="Z1357" s="24"/>
      <x:c r="AA1357" s="24" t="str">
        <x:v>Rodenstock|Controle de Miopia|Surfaçada|Rodenstock MyCon 2|Polarizada|1.5|1.50|Solitaire ECO 2|0 a -8|até -6||75|||25</x:v>
      </x:c>
    </x:row>
    <x:row r="1358">
      <x:c r="A1358" s="24" t="str">
        <x:v>RD-AA56B1F50BF3</x:v>
      </x:c>
      <x:c r="B1358" s="24" t="str">
        <x:v>SIM</x:v>
      </x:c>
      <x:c r="C1358" s="24" t="str">
        <x:v>DISPONÍVEL</x:v>
      </x:c>
      <x:c r="D1358" s="24" t="str">
        <x:v>Rodenstock</x:v>
      </x:c>
      <x:c r="E1358" s="24" t="str">
        <x:v>Controle de Miopia</x:v>
      </x:c>
      <x:c r="F1358" s="24" t="str">
        <x:v>Surfaçada</x:v>
      </x:c>
      <x:c r="G1358" s="24" t="str">
        <x:v>Rodenstock MyCon 2</x:v>
      </x:c>
      <x:c r="H1358" s="24" t="str">
        <x:v>ColorMatic® 3</x:v>
      </x:c>
      <x:c r="I1358" s="24" t="str">
        <x:v>1.54</x:v>
      </x:c>
      <x:c r="J1358" s="24" t="str">
        <x:v>1.54</x:v>
      </x:c>
      <x:c r="K1358" s="24" t="str">
        <x:v>Solitaire X-tra Clean</x:v>
      </x:c>
      <x:c r="L1358" s="40" t="n">
        <x:v>2657</x:v>
      </x:c>
      <x:c r="M1358" s="24" t="str">
        <x:v>0 a -8</x:v>
      </x:c>
      <x:c r="N1358" s="24" t="str">
        <x:v>até -6</x:v>
      </x:c>
      <x:c r="O1358" s="24"/>
      <x:c r="P1358" s="24" t="str">
        <x:v>75</x:v>
      </x:c>
      <x:c r="Q1358" s="24"/>
      <x:c r="R1358" s="24"/>
      <x:c r="S1358" s="26" t="n">
        <x:v>46024</x:v>
      </x:c>
      <x:c r="T1358" s="26"/>
      <x:c r="U1358" s="24" t="str">
        <x:v>ATIVA/SEM FIM INFORMADO</x:v>
      </x:c>
      <x:c r="V1358" s="24"/>
      <x:c r="W1358" s="24" t="n">
        <x:v>25</x:v>
      </x:c>
      <x:c r="X1358" s="24" t="str">
        <x:v>tabela_rodenstock.pdf</x:v>
      </x:c>
      <x:c r="Y1358" s="24" t="str">
        <x:v>alta</x:v>
      </x:c>
      <x:c r="Z1358" s="24"/>
      <x:c r="AA1358" s="24" t="str">
        <x:v>Rodenstock|Controle de Miopia|Surfaçada|Rodenstock MyCon 2|ColorMatic® 3|1.54|1.54|Solitaire X-tra Clean|0 a -8|até -6||75|||25</x:v>
      </x:c>
    </x:row>
    <x:row r="1359">
      <x:c r="A1359" s="24" t="str">
        <x:v>RD-E2A2C2016589</x:v>
      </x:c>
      <x:c r="B1359" s="24" t="str">
        <x:v>SIM</x:v>
      </x:c>
      <x:c r="C1359" s="24" t="str">
        <x:v>DISPONÍVEL</x:v>
      </x:c>
      <x:c r="D1359" s="24" t="str">
        <x:v>Rodenstock</x:v>
      </x:c>
      <x:c r="E1359" s="24" t="str">
        <x:v>Controle de Miopia</x:v>
      </x:c>
      <x:c r="F1359" s="24" t="str">
        <x:v>Surfaçada</x:v>
      </x:c>
      <x:c r="G1359" s="24" t="str">
        <x:v>Rodenstock MyCon 2</x:v>
      </x:c>
      <x:c r="H1359" s="24" t="str">
        <x:v>ColorMatic® 3</x:v>
      </x:c>
      <x:c r="I1359" s="24" t="str">
        <x:v>1.54</x:v>
      </x:c>
      <x:c r="J1359" s="24" t="str">
        <x:v>1.54</x:v>
      </x:c>
      <x:c r="K1359" s="24" t="str">
        <x:v>Solitaire 2 Protect Balance</x:v>
      </x:c>
      <x:c r="L1359" s="40" t="n">
        <x:v>2607</x:v>
      </x:c>
      <x:c r="M1359" s="24" t="str">
        <x:v>0 a -8</x:v>
      </x:c>
      <x:c r="N1359" s="24" t="str">
        <x:v>até -6</x:v>
      </x:c>
      <x:c r="O1359" s="24"/>
      <x:c r="P1359" s="24" t="str">
        <x:v>75</x:v>
      </x:c>
      <x:c r="Q1359" s="24"/>
      <x:c r="R1359" s="24"/>
      <x:c r="S1359" s="26" t="n">
        <x:v>46024</x:v>
      </x:c>
      <x:c r="T1359" s="26"/>
      <x:c r="U1359" s="24" t="str">
        <x:v>ATIVA/SEM FIM INFORMADO</x:v>
      </x:c>
      <x:c r="V1359" s="24"/>
      <x:c r="W1359" s="24" t="n">
        <x:v>25</x:v>
      </x:c>
      <x:c r="X1359" s="24" t="str">
        <x:v>tabela_rodenstock.pdf</x:v>
      </x:c>
      <x:c r="Y1359" s="24" t="str">
        <x:v>alta</x:v>
      </x:c>
      <x:c r="Z1359" s="24"/>
      <x:c r="AA1359" s="24" t="str">
        <x:v>Rodenstock|Controle de Miopia|Surfaçada|Rodenstock MyCon 2|ColorMatic® 3|1.54|1.54|Solitaire 2 Protect Balance|0 a -8|até -6||75|||25</x:v>
      </x:c>
    </x:row>
    <x:row r="1360">
      <x:c r="A1360" s="24" t="str">
        <x:v>RD-0A0269F842D9</x:v>
      </x:c>
      <x:c r="B1360" s="24" t="str">
        <x:v>SIM</x:v>
      </x:c>
      <x:c r="C1360" s="24" t="str">
        <x:v>DISPONÍVEL</x:v>
      </x:c>
      <x:c r="D1360" s="24" t="str">
        <x:v>Rodenstock</x:v>
      </x:c>
      <x:c r="E1360" s="24" t="str">
        <x:v>Controle de Miopia</x:v>
      </x:c>
      <x:c r="F1360" s="24" t="str">
        <x:v>Surfaçada</x:v>
      </x:c>
      <x:c r="G1360" s="24" t="str">
        <x:v>Rodenstock MyCon 2</x:v>
      </x:c>
      <x:c r="H1360" s="24" t="str">
        <x:v>ColorMatic® 3</x:v>
      </x:c>
      <x:c r="I1360" s="24" t="str">
        <x:v>1.54</x:v>
      </x:c>
      <x:c r="J1360" s="24" t="str">
        <x:v>1.54</x:v>
      </x:c>
      <x:c r="K1360" s="24" t="str">
        <x:v>Solitaire Protect Plus</x:v>
      </x:c>
      <x:c r="L1360" s="40" t="n">
        <x:v>2607</x:v>
      </x:c>
      <x:c r="M1360" s="24" t="str">
        <x:v>0 a -8</x:v>
      </x:c>
      <x:c r="N1360" s="24" t="str">
        <x:v>até -6</x:v>
      </x:c>
      <x:c r="O1360" s="24"/>
      <x:c r="P1360" s="24" t="str">
        <x:v>75</x:v>
      </x:c>
      <x:c r="Q1360" s="24"/>
      <x:c r="R1360" s="24"/>
      <x:c r="S1360" s="26" t="n">
        <x:v>46024</x:v>
      </x:c>
      <x:c r="T1360" s="26"/>
      <x:c r="U1360" s="24" t="str">
        <x:v>ATIVA/SEM FIM INFORMADO</x:v>
      </x:c>
      <x:c r="V1360" s="24"/>
      <x:c r="W1360" s="24" t="n">
        <x:v>25</x:v>
      </x:c>
      <x:c r="X1360" s="24" t="str">
        <x:v>tabela_rodenstock.pdf</x:v>
      </x:c>
      <x:c r="Y1360" s="24" t="str">
        <x:v>alta</x:v>
      </x:c>
      <x:c r="Z1360" s="24"/>
      <x:c r="AA1360" s="24" t="str">
        <x:v>Rodenstock|Controle de Miopia|Surfaçada|Rodenstock MyCon 2|ColorMatic® 3|1.54|1.54|Solitaire Protect Plus|0 a -8|até -6||75|||25</x:v>
      </x:c>
    </x:row>
    <x:row r="1361">
      <x:c r="A1361" s="24" t="str">
        <x:v>RD-4C4AE8237D54</x:v>
      </x:c>
      <x:c r="B1361" s="24" t="str">
        <x:v>SIM</x:v>
      </x:c>
      <x:c r="C1361" s="24" t="str">
        <x:v>DISPONÍVEL</x:v>
      </x:c>
      <x:c r="D1361" s="24" t="str">
        <x:v>Rodenstock</x:v>
      </x:c>
      <x:c r="E1361" s="24" t="str">
        <x:v>Controle de Miopia</x:v>
      </x:c>
      <x:c r="F1361" s="24" t="str">
        <x:v>Surfaçada</x:v>
      </x:c>
      <x:c r="G1361" s="24" t="str">
        <x:v>Rodenstock MyCon 2</x:v>
      </x:c>
      <x:c r="H1361" s="24" t="str">
        <x:v>ColorMatic® 3</x:v>
      </x:c>
      <x:c r="I1361" s="24" t="str">
        <x:v>1.54</x:v>
      </x:c>
      <x:c r="J1361" s="24" t="str">
        <x:v>1.54</x:v>
      </x:c>
      <x:c r="K1361" s="24" t="str">
        <x:v>Solitaire Protect</x:v>
      </x:c>
      <x:c r="L1361" s="40" t="n">
        <x:v>2347</x:v>
      </x:c>
      <x:c r="M1361" s="24" t="str">
        <x:v>0 a -8</x:v>
      </x:c>
      <x:c r="N1361" s="24" t="str">
        <x:v>até -6</x:v>
      </x:c>
      <x:c r="O1361" s="24"/>
      <x:c r="P1361" s="24" t="str">
        <x:v>75</x:v>
      </x:c>
      <x:c r="Q1361" s="24"/>
      <x:c r="R1361" s="24"/>
      <x:c r="S1361" s="26" t="n">
        <x:v>46024</x:v>
      </x:c>
      <x:c r="T1361" s="26"/>
      <x:c r="U1361" s="24" t="str">
        <x:v>ATIVA/SEM FIM INFORMADO</x:v>
      </x:c>
      <x:c r="V1361" s="24"/>
      <x:c r="W1361" s="24" t="n">
        <x:v>25</x:v>
      </x:c>
      <x:c r="X1361" s="24" t="str">
        <x:v>tabela_rodenstock.pdf</x:v>
      </x:c>
      <x:c r="Y1361" s="24" t="str">
        <x:v>alta</x:v>
      </x:c>
      <x:c r="Z1361" s="24"/>
      <x:c r="AA1361" s="24" t="str">
        <x:v>Rodenstock|Controle de Miopia|Surfaçada|Rodenstock MyCon 2|ColorMatic® 3|1.54|1.54|Solitaire Protect|0 a -8|até -6||75|||25</x:v>
      </x:c>
    </x:row>
    <x:row r="1362">
      <x:c r="A1362" s="24" t="str">
        <x:v>RD-A4D123EE6568</x:v>
      </x:c>
      <x:c r="B1362" s="24" t="str">
        <x:v>SIM</x:v>
      </x:c>
      <x:c r="C1362" s="24" t="str">
        <x:v>DISPONÍVEL</x:v>
      </x:c>
      <x:c r="D1362" s="24" t="str">
        <x:v>Rodenstock</x:v>
      </x:c>
      <x:c r="E1362" s="24" t="str">
        <x:v>Controle de Miopia</x:v>
      </x:c>
      <x:c r="F1362" s="24" t="str">
        <x:v>Surfaçada</x:v>
      </x:c>
      <x:c r="G1362" s="24" t="str">
        <x:v>Rodenstock MyCon 2</x:v>
      </x:c>
      <x:c r="H1362" s="24" t="str">
        <x:v>ColorMatic® 3</x:v>
      </x:c>
      <x:c r="I1362" s="24" t="str">
        <x:v>1.54</x:v>
      </x:c>
      <x:c r="J1362" s="24" t="str">
        <x:v>1.54</x:v>
      </x:c>
      <x:c r="K1362" s="24" t="str">
        <x:v>Solitaire ECO 2</x:v>
      </x:c>
      <x:c r="L1362" s="40" t="n">
        <x:v>1867</x:v>
      </x:c>
      <x:c r="M1362" s="24" t="str">
        <x:v>0 a -8</x:v>
      </x:c>
      <x:c r="N1362" s="24" t="str">
        <x:v>até -6</x:v>
      </x:c>
      <x:c r="O1362" s="24"/>
      <x:c r="P1362" s="24" t="str">
        <x:v>75</x:v>
      </x:c>
      <x:c r="Q1362" s="24"/>
      <x:c r="R1362" s="24"/>
      <x:c r="S1362" s="26" t="n">
        <x:v>46024</x:v>
      </x:c>
      <x:c r="T1362" s="26"/>
      <x:c r="U1362" s="24" t="str">
        <x:v>ATIVA/SEM FIM INFORMADO</x:v>
      </x:c>
      <x:c r="V1362" s="24"/>
      <x:c r="W1362" s="24" t="n">
        <x:v>25</x:v>
      </x:c>
      <x:c r="X1362" s="24" t="str">
        <x:v>tabela_rodenstock.pdf</x:v>
      </x:c>
      <x:c r="Y1362" s="24" t="str">
        <x:v>alta</x:v>
      </x:c>
      <x:c r="Z1362" s="24"/>
      <x:c r="AA1362" s="24" t="str">
        <x:v>Rodenstock|Controle de Miopia|Surfaçada|Rodenstock MyCon 2|ColorMatic® 3|1.54|1.54|Solitaire ECO 2|0 a -8|até -6||75|||25</x:v>
      </x:c>
    </x:row>
    <x:row r="1363">
      <x:c r="A1363" s="24" t="str">
        <x:v>RD-62C4E1D52A83</x:v>
      </x:c>
      <x:c r="B1363" s="24" t="str">
        <x:v>SIM</x:v>
      </x:c>
      <x:c r="C1363" s="24" t="str">
        <x:v>DISPONÍVEL</x:v>
      </x:c>
      <x:c r="D1363" s="24" t="str">
        <x:v>Rodenstock</x:v>
      </x:c>
      <x:c r="E1363" s="24" t="str">
        <x:v>Controle de Miopia</x:v>
      </x:c>
      <x:c r="F1363" s="24" t="str">
        <x:v>Surfaçada</x:v>
      </x:c>
      <x:c r="G1363" s="24" t="str">
        <x:v>Rodenstock MyCon 2</x:v>
      </x:c>
      <x:c r="H1363" s="24"/>
      <x:c r="I1363" s="24" t="str">
        <x:v>1.6</x:v>
      </x:c>
      <x:c r="J1363" s="24" t="str">
        <x:v>1.60</x:v>
      </x:c>
      <x:c r="K1363" s="24" t="str">
        <x:v>Solitaire X-tra Clean</x:v>
      </x:c>
      <x:c r="L1363" s="40" t="n">
        <x:v>2524</x:v>
      </x:c>
      <x:c r="M1363" s="24" t="str">
        <x:v>0 a -10</x:v>
      </x:c>
      <x:c r="N1363" s="24" t="str">
        <x:v>até -6</x:v>
      </x:c>
      <x:c r="O1363" s="24"/>
      <x:c r="P1363" s="24" t="str">
        <x:v>75</x:v>
      </x:c>
      <x:c r="Q1363" s="24"/>
      <x:c r="R1363" s="24"/>
      <x:c r="S1363" s="26" t="n">
        <x:v>46024</x:v>
      </x:c>
      <x:c r="T1363" s="26"/>
      <x:c r="U1363" s="24" t="str">
        <x:v>ATIVA/SEM FIM INFORMADO</x:v>
      </x:c>
      <x:c r="V1363" s="24"/>
      <x:c r="W1363" s="24" t="n">
        <x:v>25</x:v>
      </x:c>
      <x:c r="X1363" s="24" t="str">
        <x:v>tabela_rodenstock.pdf</x:v>
      </x:c>
      <x:c r="Y1363" s="24" t="str">
        <x:v>alta</x:v>
      </x:c>
      <x:c r="Z1363" s="24"/>
      <x:c r="AA1363" s="24" t="str">
        <x:v>Rodenstock|Controle de Miopia|Surfaçada|Rodenstock MyCon 2||1.6|1.60|Solitaire X-tra Clean|0 a -10|até -6||75|||25</x:v>
      </x:c>
    </x:row>
    <x:row r="1364">
      <x:c r="A1364" s="24" t="str">
        <x:v>RD-650D93BFFBC4</x:v>
      </x:c>
      <x:c r="B1364" s="24" t="str">
        <x:v>SIM</x:v>
      </x:c>
      <x:c r="C1364" s="24" t="str">
        <x:v>DISPONÍVEL</x:v>
      </x:c>
      <x:c r="D1364" s="24" t="str">
        <x:v>Rodenstock</x:v>
      </x:c>
      <x:c r="E1364" s="24" t="str">
        <x:v>Controle de Miopia</x:v>
      </x:c>
      <x:c r="F1364" s="24" t="str">
        <x:v>Surfaçada</x:v>
      </x:c>
      <x:c r="G1364" s="24" t="str">
        <x:v>Rodenstock MyCon 2</x:v>
      </x:c>
      <x:c r="H1364" s="24"/>
      <x:c r="I1364" s="24" t="str">
        <x:v>1.6</x:v>
      </x:c>
      <x:c r="J1364" s="24" t="str">
        <x:v>1.60</x:v>
      </x:c>
      <x:c r="K1364" s="24" t="str">
        <x:v>Solitaire 2 Protect Balance</x:v>
      </x:c>
      <x:c r="L1364" s="40" t="n">
        <x:v>2474</x:v>
      </x:c>
      <x:c r="M1364" s="24" t="str">
        <x:v>0 a -10</x:v>
      </x:c>
      <x:c r="N1364" s="24" t="str">
        <x:v>até -6</x:v>
      </x:c>
      <x:c r="O1364" s="24"/>
      <x:c r="P1364" s="24" t="str">
        <x:v>75</x:v>
      </x:c>
      <x:c r="Q1364" s="24"/>
      <x:c r="R1364" s="24"/>
      <x:c r="S1364" s="26" t="n">
        <x:v>46024</x:v>
      </x:c>
      <x:c r="T1364" s="26"/>
      <x:c r="U1364" s="24" t="str">
        <x:v>ATIVA/SEM FIM INFORMADO</x:v>
      </x:c>
      <x:c r="V1364" s="24"/>
      <x:c r="W1364" s="24" t="n">
        <x:v>25</x:v>
      </x:c>
      <x:c r="X1364" s="24" t="str">
        <x:v>tabela_rodenstock.pdf</x:v>
      </x:c>
      <x:c r="Y1364" s="24" t="str">
        <x:v>alta</x:v>
      </x:c>
      <x:c r="Z1364" s="24"/>
      <x:c r="AA1364" s="24" t="str">
        <x:v>Rodenstock|Controle de Miopia|Surfaçada|Rodenstock MyCon 2||1.6|1.60|Solitaire 2 Protect Balance|0 a -10|até -6||75|||25</x:v>
      </x:c>
    </x:row>
    <x:row r="1365">
      <x:c r="A1365" s="24" t="str">
        <x:v>RD-D7785F9D7FF8</x:v>
      </x:c>
      <x:c r="B1365" s="24" t="str">
        <x:v>SIM</x:v>
      </x:c>
      <x:c r="C1365" s="24" t="str">
        <x:v>DISPONÍVEL</x:v>
      </x:c>
      <x:c r="D1365" s="24" t="str">
        <x:v>Rodenstock</x:v>
      </x:c>
      <x:c r="E1365" s="24" t="str">
        <x:v>Controle de Miopia</x:v>
      </x:c>
      <x:c r="F1365" s="24" t="str">
        <x:v>Surfaçada</x:v>
      </x:c>
      <x:c r="G1365" s="24" t="str">
        <x:v>Rodenstock MyCon 2</x:v>
      </x:c>
      <x:c r="H1365" s="24"/>
      <x:c r="I1365" s="24" t="str">
        <x:v>1.6</x:v>
      </x:c>
      <x:c r="J1365" s="24" t="str">
        <x:v>1.60</x:v>
      </x:c>
      <x:c r="K1365" s="24" t="str">
        <x:v>Solitaire Protect Plus</x:v>
      </x:c>
      <x:c r="L1365" s="40" t="n">
        <x:v>2474</x:v>
      </x:c>
      <x:c r="M1365" s="24" t="str">
        <x:v>0 a -10</x:v>
      </x:c>
      <x:c r="N1365" s="24" t="str">
        <x:v>até -6</x:v>
      </x:c>
      <x:c r="O1365" s="24"/>
      <x:c r="P1365" s="24" t="str">
        <x:v>75</x:v>
      </x:c>
      <x:c r="Q1365" s="24"/>
      <x:c r="R1365" s="24"/>
      <x:c r="S1365" s="26" t="n">
        <x:v>46024</x:v>
      </x:c>
      <x:c r="T1365" s="26"/>
      <x:c r="U1365" s="24" t="str">
        <x:v>ATIVA/SEM FIM INFORMADO</x:v>
      </x:c>
      <x:c r="V1365" s="24"/>
      <x:c r="W1365" s="24" t="n">
        <x:v>25</x:v>
      </x:c>
      <x:c r="X1365" s="24" t="str">
        <x:v>tabela_rodenstock.pdf</x:v>
      </x:c>
      <x:c r="Y1365" s="24" t="str">
        <x:v>alta</x:v>
      </x:c>
      <x:c r="Z1365" s="24"/>
      <x:c r="AA1365" s="24" t="str">
        <x:v>Rodenstock|Controle de Miopia|Surfaçada|Rodenstock MyCon 2||1.6|1.60|Solitaire Protect Plus|0 a -10|até -6||75|||25</x:v>
      </x:c>
    </x:row>
    <x:row r="1366">
      <x:c r="A1366" s="24" t="str">
        <x:v>RD-2301CAD56304</x:v>
      </x:c>
      <x:c r="B1366" s="24" t="str">
        <x:v>SIM</x:v>
      </x:c>
      <x:c r="C1366" s="24" t="str">
        <x:v>DISPONÍVEL</x:v>
      </x:c>
      <x:c r="D1366" s="24" t="str">
        <x:v>Rodenstock</x:v>
      </x:c>
      <x:c r="E1366" s="24" t="str">
        <x:v>Controle de Miopia</x:v>
      </x:c>
      <x:c r="F1366" s="24" t="str">
        <x:v>Surfaçada</x:v>
      </x:c>
      <x:c r="G1366" s="24" t="str">
        <x:v>Rodenstock MyCon 2</x:v>
      </x:c>
      <x:c r="H1366" s="24"/>
      <x:c r="I1366" s="24" t="str">
        <x:v>1.6</x:v>
      </x:c>
      <x:c r="J1366" s="24" t="str">
        <x:v>1.60</x:v>
      </x:c>
      <x:c r="K1366" s="24" t="str">
        <x:v>Solitaire Protect</x:v>
      </x:c>
      <x:c r="L1366" s="40" t="n">
        <x:v>2214</x:v>
      </x:c>
      <x:c r="M1366" s="24" t="str">
        <x:v>0 a -10</x:v>
      </x:c>
      <x:c r="N1366" s="24" t="str">
        <x:v>até -6</x:v>
      </x:c>
      <x:c r="O1366" s="24"/>
      <x:c r="P1366" s="24" t="str">
        <x:v>75</x:v>
      </x:c>
      <x:c r="Q1366" s="24"/>
      <x:c r="R1366" s="24"/>
      <x:c r="S1366" s="26" t="n">
        <x:v>46024</x:v>
      </x:c>
      <x:c r="T1366" s="26"/>
      <x:c r="U1366" s="24" t="str">
        <x:v>ATIVA/SEM FIM INFORMADO</x:v>
      </x:c>
      <x:c r="V1366" s="24"/>
      <x:c r="W1366" s="24" t="n">
        <x:v>25</x:v>
      </x:c>
      <x:c r="X1366" s="24" t="str">
        <x:v>tabela_rodenstock.pdf</x:v>
      </x:c>
      <x:c r="Y1366" s="24" t="str">
        <x:v>alta</x:v>
      </x:c>
      <x:c r="Z1366" s="24"/>
      <x:c r="AA1366" s="24" t="str">
        <x:v>Rodenstock|Controle de Miopia|Surfaçada|Rodenstock MyCon 2||1.6|1.60|Solitaire Protect|0 a -10|até -6||75|||25</x:v>
      </x:c>
    </x:row>
    <x:row r="1367">
      <x:c r="A1367" s="24" t="str">
        <x:v>RD-B557C8354753</x:v>
      </x:c>
      <x:c r="B1367" s="24" t="str">
        <x:v>SIM</x:v>
      </x:c>
      <x:c r="C1367" s="24" t="str">
        <x:v>DISPONÍVEL</x:v>
      </x:c>
      <x:c r="D1367" s="24" t="str">
        <x:v>Rodenstock</x:v>
      </x:c>
      <x:c r="E1367" s="24" t="str">
        <x:v>Controle de Miopia</x:v>
      </x:c>
      <x:c r="F1367" s="24" t="str">
        <x:v>Surfaçada</x:v>
      </x:c>
      <x:c r="G1367" s="24" t="str">
        <x:v>Rodenstock MyCon 2</x:v>
      </x:c>
      <x:c r="H1367" s="24"/>
      <x:c r="I1367" s="24" t="str">
        <x:v>1.6</x:v>
      </x:c>
      <x:c r="J1367" s="24" t="str">
        <x:v>1.60</x:v>
      </x:c>
      <x:c r="K1367" s="24" t="str">
        <x:v>Solitaire ECO 2</x:v>
      </x:c>
      <x:c r="L1367" s="40" t="n">
        <x:v>1734</x:v>
      </x:c>
      <x:c r="M1367" s="24" t="str">
        <x:v>0 a -10</x:v>
      </x:c>
      <x:c r="N1367" s="24" t="str">
        <x:v>até -6</x:v>
      </x:c>
      <x:c r="O1367" s="24"/>
      <x:c r="P1367" s="24" t="str">
        <x:v>75</x:v>
      </x:c>
      <x:c r="Q1367" s="24"/>
      <x:c r="R1367" s="24"/>
      <x:c r="S1367" s="26" t="n">
        <x:v>46024</x:v>
      </x:c>
      <x:c r="T1367" s="26"/>
      <x:c r="U1367" s="24" t="str">
        <x:v>ATIVA/SEM FIM INFORMADO</x:v>
      </x:c>
      <x:c r="V1367" s="24"/>
      <x:c r="W1367" s="24" t="n">
        <x:v>25</x:v>
      </x:c>
      <x:c r="X1367" s="24" t="str">
        <x:v>tabela_rodenstock.pdf</x:v>
      </x:c>
      <x:c r="Y1367" s="24" t="str">
        <x:v>alta</x:v>
      </x:c>
      <x:c r="Z1367" s="24"/>
      <x:c r="AA1367" s="24" t="str">
        <x:v>Rodenstock|Controle de Miopia|Surfaçada|Rodenstock MyCon 2||1.6|1.60|Solitaire ECO 2|0 a -10|até -6||75|||25</x:v>
      </x:c>
    </x:row>
    <x:row r="1368">
      <x:c r="A1368" s="24" t="str">
        <x:v>RD-4EDD442F76F6</x:v>
      </x:c>
      <x:c r="B1368" s="24" t="str">
        <x:v>SIM</x:v>
      </x:c>
      <x:c r="C1368" s="24" t="str">
        <x:v>DISPONÍVEL</x:v>
      </x:c>
      <x:c r="D1368" s="24" t="str">
        <x:v>Rodenstock</x:v>
      </x:c>
      <x:c r="E1368" s="24" t="str">
        <x:v>Controle de Miopia</x:v>
      </x:c>
      <x:c r="F1368" s="24" t="str">
        <x:v>Surfaçada</x:v>
      </x:c>
      <x:c r="G1368" s="24" t="str">
        <x:v>Rodenstock MyCon 2</x:v>
      </x:c>
      <x:c r="H1368" s="24" t="str">
        <x:v>ColorMatic® 3</x:v>
      </x:c>
      <x:c r="I1368" s="24" t="str">
        <x:v>1.6</x:v>
      </x:c>
      <x:c r="J1368" s="24" t="str">
        <x:v>1.60</x:v>
      </x:c>
      <x:c r="K1368" s="24" t="str">
        <x:v>Solitaire X-tra Clean</x:v>
      </x:c>
      <x:c r="L1368" s="40" t="n">
        <x:v>3469</x:v>
      </x:c>
      <x:c r="M1368" s="24" t="str">
        <x:v>0 a -10</x:v>
      </x:c>
      <x:c r="N1368" s="24" t="str">
        <x:v>até -6</x:v>
      </x:c>
      <x:c r="O1368" s="24"/>
      <x:c r="P1368" s="24" t="str">
        <x:v>75</x:v>
      </x:c>
      <x:c r="Q1368" s="24"/>
      <x:c r="R1368" s="24"/>
      <x:c r="S1368" s="26" t="n">
        <x:v>46024</x:v>
      </x:c>
      <x:c r="T1368" s="26"/>
      <x:c r="U1368" s="24" t="str">
        <x:v>ATIVA/SEM FIM INFORMADO</x:v>
      </x:c>
      <x:c r="V1368" s="24"/>
      <x:c r="W1368" s="24" t="n">
        <x:v>25</x:v>
      </x:c>
      <x:c r="X1368" s="24" t="str">
        <x:v>tabela_rodenstock.pdf</x:v>
      </x:c>
      <x:c r="Y1368" s="24" t="str">
        <x:v>alta</x:v>
      </x:c>
      <x:c r="Z1368" s="24"/>
      <x:c r="AA1368" s="24" t="str">
        <x:v>Rodenstock|Controle de Miopia|Surfaçada|Rodenstock MyCon 2|ColorMatic® 3|1.6|1.60|Solitaire X-tra Clean|0 a -10|até -6||75|||25</x:v>
      </x:c>
    </x:row>
    <x:row r="1369">
      <x:c r="A1369" s="24" t="str">
        <x:v>RD-134E5B70DF2C</x:v>
      </x:c>
      <x:c r="B1369" s="24" t="str">
        <x:v>SIM</x:v>
      </x:c>
      <x:c r="C1369" s="24" t="str">
        <x:v>DISPONÍVEL</x:v>
      </x:c>
      <x:c r="D1369" s="24" t="str">
        <x:v>Rodenstock</x:v>
      </x:c>
      <x:c r="E1369" s="24" t="str">
        <x:v>Controle de Miopia</x:v>
      </x:c>
      <x:c r="F1369" s="24" t="str">
        <x:v>Surfaçada</x:v>
      </x:c>
      <x:c r="G1369" s="24" t="str">
        <x:v>Rodenstock MyCon 2</x:v>
      </x:c>
      <x:c r="H1369" s="24" t="str">
        <x:v>ColorMatic® 3</x:v>
      </x:c>
      <x:c r="I1369" s="24" t="str">
        <x:v>1.6</x:v>
      </x:c>
      <x:c r="J1369" s="24" t="str">
        <x:v>1.60</x:v>
      </x:c>
      <x:c r="K1369" s="24" t="str">
        <x:v>Solitaire 2 Protect Balance</x:v>
      </x:c>
      <x:c r="L1369" s="40" t="n">
        <x:v>3419</x:v>
      </x:c>
      <x:c r="M1369" s="24" t="str">
        <x:v>0 a -10</x:v>
      </x:c>
      <x:c r="N1369" s="24" t="str">
        <x:v>até -6</x:v>
      </x:c>
      <x:c r="O1369" s="24"/>
      <x:c r="P1369" s="24" t="str">
        <x:v>75</x:v>
      </x:c>
      <x:c r="Q1369" s="24"/>
      <x:c r="R1369" s="24"/>
      <x:c r="S1369" s="26" t="n">
        <x:v>46024</x:v>
      </x:c>
      <x:c r="T1369" s="26"/>
      <x:c r="U1369" s="24" t="str">
        <x:v>ATIVA/SEM FIM INFORMADO</x:v>
      </x:c>
      <x:c r="V1369" s="24"/>
      <x:c r="W1369" s="24" t="n">
        <x:v>25</x:v>
      </x:c>
      <x:c r="X1369" s="24" t="str">
        <x:v>tabela_rodenstock.pdf</x:v>
      </x:c>
      <x:c r="Y1369" s="24" t="str">
        <x:v>alta</x:v>
      </x:c>
      <x:c r="Z1369" s="24"/>
      <x:c r="AA1369" s="24" t="str">
        <x:v>Rodenstock|Controle de Miopia|Surfaçada|Rodenstock MyCon 2|ColorMatic® 3|1.6|1.60|Solitaire 2 Protect Balance|0 a -10|até -6||75|||25</x:v>
      </x:c>
    </x:row>
    <x:row r="1370">
      <x:c r="A1370" s="24" t="str">
        <x:v>RD-7DF2048CC0B1</x:v>
      </x:c>
      <x:c r="B1370" s="24" t="str">
        <x:v>SIM</x:v>
      </x:c>
      <x:c r="C1370" s="24" t="str">
        <x:v>DISPONÍVEL</x:v>
      </x:c>
      <x:c r="D1370" s="24" t="str">
        <x:v>Rodenstock</x:v>
      </x:c>
      <x:c r="E1370" s="24" t="str">
        <x:v>Controle de Miopia</x:v>
      </x:c>
      <x:c r="F1370" s="24" t="str">
        <x:v>Surfaçada</x:v>
      </x:c>
      <x:c r="G1370" s="24" t="str">
        <x:v>Rodenstock MyCon 2</x:v>
      </x:c>
      <x:c r="H1370" s="24" t="str">
        <x:v>ColorMatic® 3</x:v>
      </x:c>
      <x:c r="I1370" s="24" t="str">
        <x:v>1.6</x:v>
      </x:c>
      <x:c r="J1370" s="24" t="str">
        <x:v>1.60</x:v>
      </x:c>
      <x:c r="K1370" s="24" t="str">
        <x:v>Solitaire Protect Plus</x:v>
      </x:c>
      <x:c r="L1370" s="40" t="n">
        <x:v>3419</x:v>
      </x:c>
      <x:c r="M1370" s="24" t="str">
        <x:v>0 a -10</x:v>
      </x:c>
      <x:c r="N1370" s="24" t="str">
        <x:v>até -6</x:v>
      </x:c>
      <x:c r="O1370" s="24"/>
      <x:c r="P1370" s="24" t="str">
        <x:v>75</x:v>
      </x:c>
      <x:c r="Q1370" s="24"/>
      <x:c r="R1370" s="24"/>
      <x:c r="S1370" s="26" t="n">
        <x:v>46024</x:v>
      </x:c>
      <x:c r="T1370" s="26"/>
      <x:c r="U1370" s="24" t="str">
        <x:v>ATIVA/SEM FIM INFORMADO</x:v>
      </x:c>
      <x:c r="V1370" s="24"/>
      <x:c r="W1370" s="24" t="n">
        <x:v>25</x:v>
      </x:c>
      <x:c r="X1370" s="24" t="str">
        <x:v>tabela_rodenstock.pdf</x:v>
      </x:c>
      <x:c r="Y1370" s="24" t="str">
        <x:v>alta</x:v>
      </x:c>
      <x:c r="Z1370" s="24"/>
      <x:c r="AA1370" s="24" t="str">
        <x:v>Rodenstock|Controle de Miopia|Surfaçada|Rodenstock MyCon 2|ColorMatic® 3|1.6|1.60|Solitaire Protect Plus|0 a -10|até -6||75|||25</x:v>
      </x:c>
    </x:row>
    <x:row r="1371">
      <x:c r="A1371" s="24" t="str">
        <x:v>RD-83B8F2562EE5</x:v>
      </x:c>
      <x:c r="B1371" s="24" t="str">
        <x:v>SIM</x:v>
      </x:c>
      <x:c r="C1371" s="24" t="str">
        <x:v>DISPONÍVEL</x:v>
      </x:c>
      <x:c r="D1371" s="24" t="str">
        <x:v>Rodenstock</x:v>
      </x:c>
      <x:c r="E1371" s="24" t="str">
        <x:v>Controle de Miopia</x:v>
      </x:c>
      <x:c r="F1371" s="24" t="str">
        <x:v>Surfaçada</x:v>
      </x:c>
      <x:c r="G1371" s="24" t="str">
        <x:v>Rodenstock MyCon 2</x:v>
      </x:c>
      <x:c r="H1371" s="24" t="str">
        <x:v>ColorMatic® 3</x:v>
      </x:c>
      <x:c r="I1371" s="24" t="str">
        <x:v>1.6</x:v>
      </x:c>
      <x:c r="J1371" s="24" t="str">
        <x:v>1.60</x:v>
      </x:c>
      <x:c r="K1371" s="24" t="str">
        <x:v>Solitaire Protect</x:v>
      </x:c>
      <x:c r="L1371" s="40" t="n">
        <x:v>3159</x:v>
      </x:c>
      <x:c r="M1371" s="24" t="str">
        <x:v>0 a -10</x:v>
      </x:c>
      <x:c r="N1371" s="24" t="str">
        <x:v>até -6</x:v>
      </x:c>
      <x:c r="O1371" s="24"/>
      <x:c r="P1371" s="24" t="str">
        <x:v>75</x:v>
      </x:c>
      <x:c r="Q1371" s="24"/>
      <x:c r="R1371" s="24"/>
      <x:c r="S1371" s="26" t="n">
        <x:v>46024</x:v>
      </x:c>
      <x:c r="T1371" s="26"/>
      <x:c r="U1371" s="24" t="str">
        <x:v>ATIVA/SEM FIM INFORMADO</x:v>
      </x:c>
      <x:c r="V1371" s="24"/>
      <x:c r="W1371" s="24" t="n">
        <x:v>25</x:v>
      </x:c>
      <x:c r="X1371" s="24" t="str">
        <x:v>tabela_rodenstock.pdf</x:v>
      </x:c>
      <x:c r="Y1371" s="24" t="str">
        <x:v>alta</x:v>
      </x:c>
      <x:c r="Z1371" s="24"/>
      <x:c r="AA1371" s="24" t="str">
        <x:v>Rodenstock|Controle de Miopia|Surfaçada|Rodenstock MyCon 2|ColorMatic® 3|1.6|1.60|Solitaire Protect|0 a -10|até -6||75|||25</x:v>
      </x:c>
    </x:row>
    <x:row r="1372">
      <x:c r="A1372" s="24" t="str">
        <x:v>RD-DC31A626904D</x:v>
      </x:c>
      <x:c r="B1372" s="24" t="str">
        <x:v>SIM</x:v>
      </x:c>
      <x:c r="C1372" s="24" t="str">
        <x:v>DISPONÍVEL</x:v>
      </x:c>
      <x:c r="D1372" s="24" t="str">
        <x:v>Rodenstock</x:v>
      </x:c>
      <x:c r="E1372" s="24" t="str">
        <x:v>Controle de Miopia</x:v>
      </x:c>
      <x:c r="F1372" s="24" t="str">
        <x:v>Surfaçada</x:v>
      </x:c>
      <x:c r="G1372" s="24" t="str">
        <x:v>Rodenstock MyCon 2</x:v>
      </x:c>
      <x:c r="H1372" s="24" t="str">
        <x:v>ColorMatic® 3</x:v>
      </x:c>
      <x:c r="I1372" s="24" t="str">
        <x:v>1.6</x:v>
      </x:c>
      <x:c r="J1372" s="24" t="str">
        <x:v>1.60</x:v>
      </x:c>
      <x:c r="K1372" s="24" t="str">
        <x:v>Solitaire ECO 2</x:v>
      </x:c>
      <x:c r="L1372" s="40" t="n">
        <x:v>2679</x:v>
      </x:c>
      <x:c r="M1372" s="24" t="str">
        <x:v>0 a -10</x:v>
      </x:c>
      <x:c r="N1372" s="24" t="str">
        <x:v>até -6</x:v>
      </x:c>
      <x:c r="O1372" s="24"/>
      <x:c r="P1372" s="24" t="str">
        <x:v>75</x:v>
      </x:c>
      <x:c r="Q1372" s="24"/>
      <x:c r="R1372" s="24"/>
      <x:c r="S1372" s="26" t="n">
        <x:v>46024</x:v>
      </x:c>
      <x:c r="T1372" s="26"/>
      <x:c r="U1372" s="24" t="str">
        <x:v>ATIVA/SEM FIM INFORMADO</x:v>
      </x:c>
      <x:c r="V1372" s="24"/>
      <x:c r="W1372" s="24" t="n">
        <x:v>25</x:v>
      </x:c>
      <x:c r="X1372" s="24" t="str">
        <x:v>tabela_rodenstock.pdf</x:v>
      </x:c>
      <x:c r="Y1372" s="24" t="str">
        <x:v>alta</x:v>
      </x:c>
      <x:c r="Z1372" s="24"/>
      <x:c r="AA1372" s="24" t="str">
        <x:v>Rodenstock|Controle de Miopia|Surfaçada|Rodenstock MyCon 2|ColorMatic® 3|1.6|1.60|Solitaire ECO 2|0 a -10|até -6||75|||25</x:v>
      </x:c>
    </x:row>
    <x:row r="1373">
      <x:c r="A1373" s="24" t="str">
        <x:v>RD-6215DD60E5E3</x:v>
      </x:c>
      <x:c r="B1373" s="24" t="str">
        <x:v>SIM</x:v>
      </x:c>
      <x:c r="C1373" s="24" t="str">
        <x:v>DISPONÍVEL</x:v>
      </x:c>
      <x:c r="D1373" s="24" t="str">
        <x:v>Rodenstock</x:v>
      </x:c>
      <x:c r="E1373" s="24" t="str">
        <x:v>Controle de Miopia</x:v>
      </x:c>
      <x:c r="F1373" s="24" t="str">
        <x:v>Surfaçada</x:v>
      </x:c>
      <x:c r="G1373" s="24" t="str">
        <x:v>Rodenstock MyCon 2</x:v>
      </x:c>
      <x:c r="H1373" s="24"/>
      <x:c r="I1373" s="24" t="str">
        <x:v>1.67</x:v>
      </x:c>
      <x:c r="J1373" s="24" t="str">
        <x:v>1.67</x:v>
      </x:c>
      <x:c r="K1373" s="24" t="str">
        <x:v>Solitaire X-tra Clean</x:v>
      </x:c>
      <x:c r="L1373" s="40" t="n">
        <x:v>3139</x:v>
      </x:c>
      <x:c r="M1373" s="24" t="str">
        <x:v>0 a -12</x:v>
      </x:c>
      <x:c r="N1373" s="24" t="str">
        <x:v>até -6</x:v>
      </x:c>
      <x:c r="O1373" s="24"/>
      <x:c r="P1373" s="24" t="str">
        <x:v>75</x:v>
      </x:c>
      <x:c r="Q1373" s="24"/>
      <x:c r="R1373" s="24"/>
      <x:c r="S1373" s="26" t="n">
        <x:v>46024</x:v>
      </x:c>
      <x:c r="T1373" s="26"/>
      <x:c r="U1373" s="24" t="str">
        <x:v>ATIVA/SEM FIM INFORMADO</x:v>
      </x:c>
      <x:c r="V1373" s="24"/>
      <x:c r="W1373" s="24" t="n">
        <x:v>25</x:v>
      </x:c>
      <x:c r="X1373" s="24" t="str">
        <x:v>tabela_rodenstock.pdf</x:v>
      </x:c>
      <x:c r="Y1373" s="24" t="str">
        <x:v>alta</x:v>
      </x:c>
      <x:c r="Z1373" s="24"/>
      <x:c r="AA1373" s="24" t="str">
        <x:v>Rodenstock|Controle de Miopia|Surfaçada|Rodenstock MyCon 2||1.67|1.67|Solitaire X-tra Clean|0 a -12|até -6||75|||25</x:v>
      </x:c>
    </x:row>
    <x:row r="1374">
      <x:c r="A1374" s="24" t="str">
        <x:v>RD-07004C36E840</x:v>
      </x:c>
      <x:c r="B1374" s="24" t="str">
        <x:v>SIM</x:v>
      </x:c>
      <x:c r="C1374" s="24" t="str">
        <x:v>DISPONÍVEL</x:v>
      </x:c>
      <x:c r="D1374" s="24" t="str">
        <x:v>Rodenstock</x:v>
      </x:c>
      <x:c r="E1374" s="24" t="str">
        <x:v>Controle de Miopia</x:v>
      </x:c>
      <x:c r="F1374" s="24" t="str">
        <x:v>Surfaçada</x:v>
      </x:c>
      <x:c r="G1374" s="24" t="str">
        <x:v>Rodenstock MyCon 2</x:v>
      </x:c>
      <x:c r="H1374" s="24"/>
      <x:c r="I1374" s="24" t="str">
        <x:v>1.67</x:v>
      </x:c>
      <x:c r="J1374" s="24" t="str">
        <x:v>1.67</x:v>
      </x:c>
      <x:c r="K1374" s="24" t="str">
        <x:v>Solitaire 2 Protect Balance</x:v>
      </x:c>
      <x:c r="L1374" s="40" t="n">
        <x:v>3089</x:v>
      </x:c>
      <x:c r="M1374" s="24" t="str">
        <x:v>0 a -12</x:v>
      </x:c>
      <x:c r="N1374" s="24" t="str">
        <x:v>até -6</x:v>
      </x:c>
      <x:c r="O1374" s="24"/>
      <x:c r="P1374" s="24" t="str">
        <x:v>75</x:v>
      </x:c>
      <x:c r="Q1374" s="24"/>
      <x:c r="R1374" s="24"/>
      <x:c r="S1374" s="26" t="n">
        <x:v>46024</x:v>
      </x:c>
      <x:c r="T1374" s="26"/>
      <x:c r="U1374" s="24" t="str">
        <x:v>ATIVA/SEM FIM INFORMADO</x:v>
      </x:c>
      <x:c r="V1374" s="24"/>
      <x:c r="W1374" s="24" t="n">
        <x:v>25</x:v>
      </x:c>
      <x:c r="X1374" s="24" t="str">
        <x:v>tabela_rodenstock.pdf</x:v>
      </x:c>
      <x:c r="Y1374" s="24" t="str">
        <x:v>alta</x:v>
      </x:c>
      <x:c r="Z1374" s="24"/>
      <x:c r="AA1374" s="24" t="str">
        <x:v>Rodenstock|Controle de Miopia|Surfaçada|Rodenstock MyCon 2||1.67|1.67|Solitaire 2 Protect Balance|0 a -12|até -6||75|||25</x:v>
      </x:c>
    </x:row>
    <x:row r="1375">
      <x:c r="A1375" s="24" t="str">
        <x:v>RD-28C3246C2ADE</x:v>
      </x:c>
      <x:c r="B1375" s="24" t="str">
        <x:v>SIM</x:v>
      </x:c>
      <x:c r="C1375" s="24" t="str">
        <x:v>DISPONÍVEL</x:v>
      </x:c>
      <x:c r="D1375" s="24" t="str">
        <x:v>Rodenstock</x:v>
      </x:c>
      <x:c r="E1375" s="24" t="str">
        <x:v>Controle de Miopia</x:v>
      </x:c>
      <x:c r="F1375" s="24" t="str">
        <x:v>Surfaçada</x:v>
      </x:c>
      <x:c r="G1375" s="24" t="str">
        <x:v>Rodenstock MyCon 2</x:v>
      </x:c>
      <x:c r="H1375" s="24"/>
      <x:c r="I1375" s="24" t="str">
        <x:v>1.67</x:v>
      </x:c>
      <x:c r="J1375" s="24" t="str">
        <x:v>1.67</x:v>
      </x:c>
      <x:c r="K1375" s="24" t="str">
        <x:v>Solitaire Protect Plus</x:v>
      </x:c>
      <x:c r="L1375" s="40" t="n">
        <x:v>3089</x:v>
      </x:c>
      <x:c r="M1375" s="24" t="str">
        <x:v>0 a -12</x:v>
      </x:c>
      <x:c r="N1375" s="24" t="str">
        <x:v>até -6</x:v>
      </x:c>
      <x:c r="O1375" s="24"/>
      <x:c r="P1375" s="24" t="str">
        <x:v>75</x:v>
      </x:c>
      <x:c r="Q1375" s="24"/>
      <x:c r="R1375" s="24"/>
      <x:c r="S1375" s="26" t="n">
        <x:v>46024</x:v>
      </x:c>
      <x:c r="T1375" s="26"/>
      <x:c r="U1375" s="24" t="str">
        <x:v>ATIVA/SEM FIM INFORMADO</x:v>
      </x:c>
      <x:c r="V1375" s="24"/>
      <x:c r="W1375" s="24" t="n">
        <x:v>25</x:v>
      </x:c>
      <x:c r="X1375" s="24" t="str">
        <x:v>tabela_rodenstock.pdf</x:v>
      </x:c>
      <x:c r="Y1375" s="24" t="str">
        <x:v>alta</x:v>
      </x:c>
      <x:c r="Z1375" s="24"/>
      <x:c r="AA1375" s="24" t="str">
        <x:v>Rodenstock|Controle de Miopia|Surfaçada|Rodenstock MyCon 2||1.67|1.67|Solitaire Protect Plus|0 a -12|até -6||75|||25</x:v>
      </x:c>
    </x:row>
    <x:row r="1376">
      <x:c r="A1376" s="24" t="str">
        <x:v>RD-40FF87A14C55</x:v>
      </x:c>
      <x:c r="B1376" s="24" t="str">
        <x:v>SIM</x:v>
      </x:c>
      <x:c r="C1376" s="24" t="str">
        <x:v>DISPONÍVEL</x:v>
      </x:c>
      <x:c r="D1376" s="24" t="str">
        <x:v>Rodenstock</x:v>
      </x:c>
      <x:c r="E1376" s="24" t="str">
        <x:v>Controle de Miopia</x:v>
      </x:c>
      <x:c r="F1376" s="24" t="str">
        <x:v>Surfaçada</x:v>
      </x:c>
      <x:c r="G1376" s="24" t="str">
        <x:v>Rodenstock MyCon 2</x:v>
      </x:c>
      <x:c r="H1376" s="24"/>
      <x:c r="I1376" s="24" t="str">
        <x:v>1.67</x:v>
      </x:c>
      <x:c r="J1376" s="24" t="str">
        <x:v>1.67</x:v>
      </x:c>
      <x:c r="K1376" s="24" t="str">
        <x:v>Solitaire Protect</x:v>
      </x:c>
      <x:c r="L1376" s="40" t="n">
        <x:v>2829</x:v>
      </x:c>
      <x:c r="M1376" s="24" t="str">
        <x:v>0 a -12</x:v>
      </x:c>
      <x:c r="N1376" s="24" t="str">
        <x:v>até -6</x:v>
      </x:c>
      <x:c r="O1376" s="24"/>
      <x:c r="P1376" s="24" t="str">
        <x:v>75</x:v>
      </x:c>
      <x:c r="Q1376" s="24"/>
      <x:c r="R1376" s="24"/>
      <x:c r="S1376" s="26" t="n">
        <x:v>46024</x:v>
      </x:c>
      <x:c r="T1376" s="26"/>
      <x:c r="U1376" s="24" t="str">
        <x:v>ATIVA/SEM FIM INFORMADO</x:v>
      </x:c>
      <x:c r="V1376" s="24"/>
      <x:c r="W1376" s="24" t="n">
        <x:v>25</x:v>
      </x:c>
      <x:c r="X1376" s="24" t="str">
        <x:v>tabela_rodenstock.pdf</x:v>
      </x:c>
      <x:c r="Y1376" s="24" t="str">
        <x:v>alta</x:v>
      </x:c>
      <x:c r="Z1376" s="24"/>
      <x:c r="AA1376" s="24" t="str">
        <x:v>Rodenstock|Controle de Miopia|Surfaçada|Rodenstock MyCon 2||1.67|1.67|Solitaire Protect|0 a -12|até -6||75|||25</x:v>
      </x:c>
    </x:row>
    <x:row r="1377">
      <x:c r="A1377" s="24" t="str">
        <x:v>RD-ACC109C707D3</x:v>
      </x:c>
      <x:c r="B1377" s="24" t="str">
        <x:v>SIM</x:v>
      </x:c>
      <x:c r="C1377" s="24" t="str">
        <x:v>DISPONÍVEL</x:v>
      </x:c>
      <x:c r="D1377" s="24" t="str">
        <x:v>Rodenstock</x:v>
      </x:c>
      <x:c r="E1377" s="24" t="str">
        <x:v>Controle de Miopia</x:v>
      </x:c>
      <x:c r="F1377" s="24" t="str">
        <x:v>Surfaçada</x:v>
      </x:c>
      <x:c r="G1377" s="24" t="str">
        <x:v>Rodenstock MyCon 2</x:v>
      </x:c>
      <x:c r="H1377" s="24"/>
      <x:c r="I1377" s="24" t="str">
        <x:v>1.67</x:v>
      </x:c>
      <x:c r="J1377" s="24" t="str">
        <x:v>1.67</x:v>
      </x:c>
      <x:c r="K1377" s="24" t="str">
        <x:v>Solitaire ECO 2</x:v>
      </x:c>
      <x:c r="L1377" s="40" t="n">
        <x:v>2349</x:v>
      </x:c>
      <x:c r="M1377" s="24" t="str">
        <x:v>0 a -12</x:v>
      </x:c>
      <x:c r="N1377" s="24" t="str">
        <x:v>até -6</x:v>
      </x:c>
      <x:c r="O1377" s="24"/>
      <x:c r="P1377" s="24" t="str">
        <x:v>75</x:v>
      </x:c>
      <x:c r="Q1377" s="24"/>
      <x:c r="R1377" s="24"/>
      <x:c r="S1377" s="26" t="n">
        <x:v>46024</x:v>
      </x:c>
      <x:c r="T1377" s="26"/>
      <x:c r="U1377" s="24" t="str">
        <x:v>ATIVA/SEM FIM INFORMADO</x:v>
      </x:c>
      <x:c r="V1377" s="24"/>
      <x:c r="W1377" s="24" t="n">
        <x:v>25</x:v>
      </x:c>
      <x:c r="X1377" s="24" t="str">
        <x:v>tabela_rodenstock.pdf</x:v>
      </x:c>
      <x:c r="Y1377" s="24" t="str">
        <x:v>alta</x:v>
      </x:c>
      <x:c r="Z1377" s="24"/>
      <x:c r="AA1377" s="24" t="str">
        <x:v>Rodenstock|Controle de Miopia|Surfaçada|Rodenstock MyCon 2||1.67|1.67|Solitaire ECO 2|0 a -12|até -6||75|||25</x:v>
      </x:c>
    </x:row>
    <x:row r="1378">
      <x:c r="A1378" s="24" t="str">
        <x:v>RD-B8F576F3CD82</x:v>
      </x:c>
      <x:c r="B1378" s="24" t="str">
        <x:v>SIM</x:v>
      </x:c>
      <x:c r="C1378" s="24" t="str">
        <x:v>DISPONÍVEL</x:v>
      </x:c>
      <x:c r="D1378" s="24" t="str">
        <x:v>Rodenstock</x:v>
      </x:c>
      <x:c r="E1378" s="24" t="str">
        <x:v>Controle de Miopia</x:v>
      </x:c>
      <x:c r="F1378" s="24" t="str">
        <x:v>Surfaçada</x:v>
      </x:c>
      <x:c r="G1378" s="24" t="str">
        <x:v>Rodenstock MyCon 2</x:v>
      </x:c>
      <x:c r="H1378" s="24" t="str">
        <x:v>ColorMatic® 3</x:v>
      </x:c>
      <x:c r="I1378" s="24" t="str">
        <x:v>1.67</x:v>
      </x:c>
      <x:c r="J1378" s="24" t="str">
        <x:v>1.67</x:v>
      </x:c>
      <x:c r="K1378" s="24" t="str">
        <x:v>Solitaire X-tra Clean</x:v>
      </x:c>
      <x:c r="L1378" s="40" t="n">
        <x:v>3931</x:v>
      </x:c>
      <x:c r="M1378" s="24" t="str">
        <x:v>0 a -12</x:v>
      </x:c>
      <x:c r="N1378" s="24" t="str">
        <x:v>até -6</x:v>
      </x:c>
      <x:c r="O1378" s="24"/>
      <x:c r="P1378" s="24" t="str">
        <x:v>75</x:v>
      </x:c>
      <x:c r="Q1378" s="24"/>
      <x:c r="R1378" s="24"/>
      <x:c r="S1378" s="26" t="n">
        <x:v>46024</x:v>
      </x:c>
      <x:c r="T1378" s="26"/>
      <x:c r="U1378" s="24" t="str">
        <x:v>ATIVA/SEM FIM INFORMADO</x:v>
      </x:c>
      <x:c r="V1378" s="24"/>
      <x:c r="W1378" s="24" t="n">
        <x:v>25</x:v>
      </x:c>
      <x:c r="X1378" s="24" t="str">
        <x:v>tabela_rodenstock.pdf</x:v>
      </x:c>
      <x:c r="Y1378" s="24" t="str">
        <x:v>alta</x:v>
      </x:c>
      <x:c r="Z1378" s="24"/>
      <x:c r="AA1378" s="24" t="str">
        <x:v>Rodenstock|Controle de Miopia|Surfaçada|Rodenstock MyCon 2|ColorMatic® 3|1.67|1.67|Solitaire X-tra Clean|0 a -12|até -6||75|||25</x:v>
      </x:c>
    </x:row>
    <x:row r="1379">
      <x:c r="A1379" s="24" t="str">
        <x:v>RD-8CAA612309C0</x:v>
      </x:c>
      <x:c r="B1379" s="24" t="str">
        <x:v>SIM</x:v>
      </x:c>
      <x:c r="C1379" s="24" t="str">
        <x:v>DISPONÍVEL</x:v>
      </x:c>
      <x:c r="D1379" s="24" t="str">
        <x:v>Rodenstock</x:v>
      </x:c>
      <x:c r="E1379" s="24" t="str">
        <x:v>Controle de Miopia</x:v>
      </x:c>
      <x:c r="F1379" s="24" t="str">
        <x:v>Surfaçada</x:v>
      </x:c>
      <x:c r="G1379" s="24" t="str">
        <x:v>Rodenstock MyCon 2</x:v>
      </x:c>
      <x:c r="H1379" s="24" t="str">
        <x:v>ColorMatic® 3</x:v>
      </x:c>
      <x:c r="I1379" s="24" t="str">
        <x:v>1.67</x:v>
      </x:c>
      <x:c r="J1379" s="24" t="str">
        <x:v>1.67</x:v>
      </x:c>
      <x:c r="K1379" s="24" t="str">
        <x:v>Solitaire 2 Protect Balance</x:v>
      </x:c>
      <x:c r="L1379" s="40" t="n">
        <x:v>3881</x:v>
      </x:c>
      <x:c r="M1379" s="24" t="str">
        <x:v>0 a -12</x:v>
      </x:c>
      <x:c r="N1379" s="24" t="str">
        <x:v>até -6</x:v>
      </x:c>
      <x:c r="O1379" s="24"/>
      <x:c r="P1379" s="24" t="str">
        <x:v>75</x:v>
      </x:c>
      <x:c r="Q1379" s="24"/>
      <x:c r="R1379" s="24"/>
      <x:c r="S1379" s="26" t="n">
        <x:v>46024</x:v>
      </x:c>
      <x:c r="T1379" s="26"/>
      <x:c r="U1379" s="24" t="str">
        <x:v>ATIVA/SEM FIM INFORMADO</x:v>
      </x:c>
      <x:c r="V1379" s="24"/>
      <x:c r="W1379" s="24" t="n">
        <x:v>25</x:v>
      </x:c>
      <x:c r="X1379" s="24" t="str">
        <x:v>tabela_rodenstock.pdf</x:v>
      </x:c>
      <x:c r="Y1379" s="24" t="str">
        <x:v>alta</x:v>
      </x:c>
      <x:c r="Z1379" s="24"/>
      <x:c r="AA1379" s="24" t="str">
        <x:v>Rodenstock|Controle de Miopia|Surfaçada|Rodenstock MyCon 2|ColorMatic® 3|1.67|1.67|Solitaire 2 Protect Balance|0 a -12|até -6||75|||25</x:v>
      </x:c>
    </x:row>
    <x:row r="1380">
      <x:c r="A1380" s="24" t="str">
        <x:v>RD-1F3C613360D5</x:v>
      </x:c>
      <x:c r="B1380" s="24" t="str">
        <x:v>SIM</x:v>
      </x:c>
      <x:c r="C1380" s="24" t="str">
        <x:v>DISPONÍVEL</x:v>
      </x:c>
      <x:c r="D1380" s="24" t="str">
        <x:v>Rodenstock</x:v>
      </x:c>
      <x:c r="E1380" s="24" t="str">
        <x:v>Controle de Miopia</x:v>
      </x:c>
      <x:c r="F1380" s="24" t="str">
        <x:v>Surfaçada</x:v>
      </x:c>
      <x:c r="G1380" s="24" t="str">
        <x:v>Rodenstock MyCon 2</x:v>
      </x:c>
      <x:c r="H1380" s="24" t="str">
        <x:v>ColorMatic® 3</x:v>
      </x:c>
      <x:c r="I1380" s="24" t="str">
        <x:v>1.67</x:v>
      </x:c>
      <x:c r="J1380" s="24" t="str">
        <x:v>1.67</x:v>
      </x:c>
      <x:c r="K1380" s="24" t="str">
        <x:v>Solitaire Protect Plus</x:v>
      </x:c>
      <x:c r="L1380" s="40" t="n">
        <x:v>3881</x:v>
      </x:c>
      <x:c r="M1380" s="24" t="str">
        <x:v>0 a -12</x:v>
      </x:c>
      <x:c r="N1380" s="24" t="str">
        <x:v>até -6</x:v>
      </x:c>
      <x:c r="O1380" s="24"/>
      <x:c r="P1380" s="24" t="str">
        <x:v>75</x:v>
      </x:c>
      <x:c r="Q1380" s="24"/>
      <x:c r="R1380" s="24"/>
      <x:c r="S1380" s="26" t="n">
        <x:v>46024</x:v>
      </x:c>
      <x:c r="T1380" s="26"/>
      <x:c r="U1380" s="24" t="str">
        <x:v>ATIVA/SEM FIM INFORMADO</x:v>
      </x:c>
      <x:c r="V1380" s="24"/>
      <x:c r="W1380" s="24" t="n">
        <x:v>25</x:v>
      </x:c>
      <x:c r="X1380" s="24" t="str">
        <x:v>tabela_rodenstock.pdf</x:v>
      </x:c>
      <x:c r="Y1380" s="24" t="str">
        <x:v>alta</x:v>
      </x:c>
      <x:c r="Z1380" s="24"/>
      <x:c r="AA1380" s="24" t="str">
        <x:v>Rodenstock|Controle de Miopia|Surfaçada|Rodenstock MyCon 2|ColorMatic® 3|1.67|1.67|Solitaire Protect Plus|0 a -12|até -6||75|||25</x:v>
      </x:c>
    </x:row>
    <x:row r="1381">
      <x:c r="A1381" s="24" t="str">
        <x:v>RD-80B6627555B5</x:v>
      </x:c>
      <x:c r="B1381" s="24" t="str">
        <x:v>SIM</x:v>
      </x:c>
      <x:c r="C1381" s="24" t="str">
        <x:v>DISPONÍVEL</x:v>
      </x:c>
      <x:c r="D1381" s="24" t="str">
        <x:v>Rodenstock</x:v>
      </x:c>
      <x:c r="E1381" s="24" t="str">
        <x:v>Controle de Miopia</x:v>
      </x:c>
      <x:c r="F1381" s="24" t="str">
        <x:v>Surfaçada</x:v>
      </x:c>
      <x:c r="G1381" s="24" t="str">
        <x:v>Rodenstock MyCon 2</x:v>
      </x:c>
      <x:c r="H1381" s="24" t="str">
        <x:v>ColorMatic® 3</x:v>
      </x:c>
      <x:c r="I1381" s="24" t="str">
        <x:v>1.67</x:v>
      </x:c>
      <x:c r="J1381" s="24" t="str">
        <x:v>1.67</x:v>
      </x:c>
      <x:c r="K1381" s="24" t="str">
        <x:v>Solitaire Protect</x:v>
      </x:c>
      <x:c r="L1381" s="40" t="n">
        <x:v>3621</x:v>
      </x:c>
      <x:c r="M1381" s="24" t="str">
        <x:v>0 a -12</x:v>
      </x:c>
      <x:c r="N1381" s="24" t="str">
        <x:v>até -6</x:v>
      </x:c>
      <x:c r="O1381" s="24"/>
      <x:c r="P1381" s="24" t="str">
        <x:v>75</x:v>
      </x:c>
      <x:c r="Q1381" s="24"/>
      <x:c r="R1381" s="24"/>
      <x:c r="S1381" s="26" t="n">
        <x:v>46024</x:v>
      </x:c>
      <x:c r="T1381" s="26"/>
      <x:c r="U1381" s="24" t="str">
        <x:v>ATIVA/SEM FIM INFORMADO</x:v>
      </x:c>
      <x:c r="V1381" s="24"/>
      <x:c r="W1381" s="24" t="n">
        <x:v>25</x:v>
      </x:c>
      <x:c r="X1381" s="24" t="str">
        <x:v>tabela_rodenstock.pdf</x:v>
      </x:c>
      <x:c r="Y1381" s="24" t="str">
        <x:v>alta</x:v>
      </x:c>
      <x:c r="Z1381" s="24"/>
      <x:c r="AA1381" s="24" t="str">
        <x:v>Rodenstock|Controle de Miopia|Surfaçada|Rodenstock MyCon 2|ColorMatic® 3|1.67|1.67|Solitaire Protect|0 a -12|até -6||75|||25</x:v>
      </x:c>
    </x:row>
    <x:row r="1382">
      <x:c r="A1382" s="24" t="str">
        <x:v>RD-A0140CAF39D9</x:v>
      </x:c>
      <x:c r="B1382" s="24" t="str">
        <x:v>SIM</x:v>
      </x:c>
      <x:c r="C1382" s="24" t="str">
        <x:v>DISPONÍVEL</x:v>
      </x:c>
      <x:c r="D1382" s="24" t="str">
        <x:v>Rodenstock</x:v>
      </x:c>
      <x:c r="E1382" s="24" t="str">
        <x:v>Controle de Miopia</x:v>
      </x:c>
      <x:c r="F1382" s="24" t="str">
        <x:v>Surfaçada</x:v>
      </x:c>
      <x:c r="G1382" s="24" t="str">
        <x:v>Rodenstock MyCon 2</x:v>
      </x:c>
      <x:c r="H1382" s="24" t="str">
        <x:v>ColorMatic® 3</x:v>
      </x:c>
      <x:c r="I1382" s="24" t="str">
        <x:v>1.67</x:v>
      </x:c>
      <x:c r="J1382" s="24" t="str">
        <x:v>1.67</x:v>
      </x:c>
      <x:c r="K1382" s="24" t="str">
        <x:v>Solitaire ECO 2</x:v>
      </x:c>
      <x:c r="L1382" s="40" t="n">
        <x:v>3141</x:v>
      </x:c>
      <x:c r="M1382" s="24" t="str">
        <x:v>0 a -12</x:v>
      </x:c>
      <x:c r="N1382" s="24" t="str">
        <x:v>até -6</x:v>
      </x:c>
      <x:c r="O1382" s="24"/>
      <x:c r="P1382" s="24" t="str">
        <x:v>75</x:v>
      </x:c>
      <x:c r="Q1382" s="24"/>
      <x:c r="R1382" s="24"/>
      <x:c r="S1382" s="26" t="n">
        <x:v>46024</x:v>
      </x:c>
      <x:c r="T1382" s="26"/>
      <x:c r="U1382" s="24" t="str">
        <x:v>ATIVA/SEM FIM INFORMADO</x:v>
      </x:c>
      <x:c r="V1382" s="24"/>
      <x:c r="W1382" s="24" t="n">
        <x:v>25</x:v>
      </x:c>
      <x:c r="X1382" s="24" t="str">
        <x:v>tabela_rodenstock.pdf</x:v>
      </x:c>
      <x:c r="Y1382" s="24" t="str">
        <x:v>alta</x:v>
      </x:c>
      <x:c r="Z1382" s="24"/>
      <x:c r="AA1382" s="24" t="str">
        <x:v>Rodenstock|Controle de Miopia|Surfaçada|Rodenstock MyCon 2|ColorMatic® 3|1.67|1.67|Solitaire ECO 2|0 a -12|até -6||75|||25</x:v>
      </x:c>
    </x:row>
    <x:row r="1383">
      <x:c r="A1383" s="24" t="str">
        <x:v>ZS-AD2522715005</x:v>
      </x:c>
      <x:c r="B1383" s="24" t="str">
        <x:v>SIM</x:v>
      </x:c>
      <x:c r="C1383" s="24" t="str">
        <x:v>DISPONÍVEL</x:v>
      </x:c>
      <x:c r="D1383" s="24" t="str">
        <x:v>ZEISS</x:v>
      </x:c>
      <x:c r="E1383" s="24" t="str">
        <x:v>Visão Simples</x:v>
      </x:c>
      <x:c r="F1383" s="24" t="str">
        <x:v>Surfaçada</x:v>
      </x:c>
      <x:c r="G1383" s="24" t="str">
        <x:v>ClearMind Individual 3</x:v>
      </x:c>
      <x:c r="H1383" s="24"/>
      <x:c r="I1383" s="24" t="str">
        <x:v>1.5</x:v>
      </x:c>
      <x:c r="J1383" s="24" t="str">
        <x:v>1.50</x:v>
      </x:c>
      <x:c r="K1383" s="24" t="str">
        <x:v>DuraVision Gold UV</x:v>
      </x:c>
      <x:c r="L1383" s="40" t="n">
        <x:v>2877</x:v>
      </x:c>
      <x:c r="M1383" s="24" t="str">
        <x:v>-6.00 a +6.00</x:v>
      </x:c>
      <x:c r="N1383" s="24" t="str">
        <x:v>-4.00</x:v>
      </x:c>
      <x:c r="O1383" s="24" t="str">
        <x:v>-</x:v>
      </x:c>
      <x:c r="P1383" s="24" t="str">
        <x:v>75</x:v>
      </x:c>
      <x:c r="Q1383" s="24"/>
      <x:c r="R1383" s="24"/>
      <x:c r="S1383" s="26" t="n">
        <x:v>46113</x:v>
      </x:c>
      <x:c r="T1383" s="26"/>
      <x:c r="U1383" s="24" t="str">
        <x:v>ATIVA/SEM FIM INFORMADO</x:v>
      </x:c>
      <x:c r="V1383" s="24" t="str">
        <x:v>Programa de Parcerias ZEISS — categoria Experts</x:v>
      </x:c>
      <x:c r="W1383" s="24" t="n">
        <x:v>14</x:v>
      </x:c>
      <x:c r="X1383" s="24" t="str">
        <x:v>tabela_zeiss.pdf</x:v>
      </x:c>
      <x:c r="Y1383" s="24" t="str">
        <x:v>alta</x:v>
      </x:c>
      <x:c r="Z1383" s="24"/>
      <x:c r="AA1383" s="24" t="str">
        <x:v>ZEISS|Visão Simples|Surfaçada|ClearMind Individual 3||1.5|1.50|DuraVision Gold UV|-6.00 a +6.00|-4.00|-|75|||14</x:v>
      </x:c>
    </x:row>
    <x:row r="1384">
      <x:c r="A1384" s="24" t="str">
        <x:v>ZS-FBCA18A6F3AA</x:v>
      </x:c>
      <x:c r="B1384" s="24" t="str">
        <x:v>SIM</x:v>
      </x:c>
      <x:c r="C1384" s="24" t="str">
        <x:v>DISPONÍVEL</x:v>
      </x:c>
      <x:c r="D1384" s="24" t="str">
        <x:v>ZEISS</x:v>
      </x:c>
      <x:c r="E1384" s="24" t="str">
        <x:v>Visão Simples</x:v>
      </x:c>
      <x:c r="F1384" s="24" t="str">
        <x:v>Surfaçada</x:v>
      </x:c>
      <x:c r="G1384" s="24" t="str">
        <x:v>ClearMind Individual 3</x:v>
      </x:c>
      <x:c r="H1384" s="24"/>
      <x:c r="I1384" s="24" t="str">
        <x:v>1.5</x:v>
      </x:c>
      <x:c r="J1384" s="24" t="str">
        <x:v>1.50</x:v>
      </x:c>
      <x:c r="K1384" s="24" t="str">
        <x:v>DURAVISION® ANTIVÍRUS PLATINUM UV</x:v>
      </x:c>
      <x:c r="L1384" s="40" t="n">
        <x:v>2737</x:v>
      </x:c>
      <x:c r="M1384" s="24" t="str">
        <x:v>-6.00 a +6.00</x:v>
      </x:c>
      <x:c r="N1384" s="24" t="str">
        <x:v>-4.00</x:v>
      </x:c>
      <x:c r="O1384" s="24" t="str">
        <x:v>-</x:v>
      </x:c>
      <x:c r="P1384" s="24" t="str">
        <x:v>75</x:v>
      </x:c>
      <x:c r="Q1384" s="24"/>
      <x:c r="R1384" s="24"/>
      <x:c r="S1384" s="26" t="n">
        <x:v>46113</x:v>
      </x:c>
      <x:c r="T1384" s="26"/>
      <x:c r="U1384" s="24" t="str">
        <x:v>ATIVA/SEM FIM INFORMADO</x:v>
      </x:c>
      <x:c r="V1384" s="24" t="str">
        <x:v>Programa de Parcerias ZEISS — categoria Experts</x:v>
      </x:c>
      <x:c r="W1384" s="24" t="n">
        <x:v>14</x:v>
      </x:c>
      <x:c r="X1384" s="24" t="str">
        <x:v>tabela_zeiss.pdf</x:v>
      </x:c>
      <x:c r="Y1384" s="24" t="str">
        <x:v>alta</x:v>
      </x:c>
      <x:c r="Z1384" s="24"/>
      <x:c r="AA1384" s="24" t="str">
        <x:v>ZEISS|Visão Simples|Surfaçada|ClearMind Individual 3||1.5|1.50|DURAVISION® ANTIVÍRUS PLATINUM UV|-6.00 a +6.00|-4.00|-|75|||14</x:v>
      </x:c>
    </x:row>
    <x:row r="1385">
      <x:c r="A1385" s="24" t="str">
        <x:v>ZS-AE8FF4C001F9</x:v>
      </x:c>
      <x:c r="B1385" s="24" t="str">
        <x:v>SIM</x:v>
      </x:c>
      <x:c r="C1385" s="24" t="str">
        <x:v>DISPONÍVEL</x:v>
      </x:c>
      <x:c r="D1385" s="24" t="str">
        <x:v>ZEISS</x:v>
      </x:c>
      <x:c r="E1385" s="24" t="str">
        <x:v>Visão Simples</x:v>
      </x:c>
      <x:c r="F1385" s="24" t="str">
        <x:v>Surfaçada</x:v>
      </x:c>
      <x:c r="G1385" s="24" t="str">
        <x:v>ClearMind Individual 3</x:v>
      </x:c>
      <x:c r="H1385" s="24"/>
      <x:c r="I1385" s="24" t="str">
        <x:v>1.5</x:v>
      </x:c>
      <x:c r="J1385" s="24" t="str">
        <x:v>1.50</x:v>
      </x:c>
      <x:c r="K1385" s="24" t="str">
        <x:v>DuraVision Platinum UV</x:v>
      </x:c>
      <x:c r="L1385" s="40" t="n">
        <x:v>2737</x:v>
      </x:c>
      <x:c r="M1385" s="24" t="str">
        <x:v>-6.00 a +6.00</x:v>
      </x:c>
      <x:c r="N1385" s="24" t="str">
        <x:v>-4.00</x:v>
      </x:c>
      <x:c r="O1385" s="24" t="str">
        <x:v>-</x:v>
      </x:c>
      <x:c r="P1385" s="24" t="str">
        <x:v>75</x:v>
      </x:c>
      <x:c r="Q1385" s="24"/>
      <x:c r="R1385" s="24"/>
      <x:c r="S1385" s="26" t="n">
        <x:v>46113</x:v>
      </x:c>
      <x:c r="T1385" s="26"/>
      <x:c r="U1385" s="24" t="str">
        <x:v>ATIVA/SEM FIM INFORMADO</x:v>
      </x:c>
      <x:c r="V1385" s="24" t="str">
        <x:v>Programa de Parcerias ZEISS — categoria Experts</x:v>
      </x:c>
      <x:c r="W1385" s="24" t="n">
        <x:v>14</x:v>
      </x:c>
      <x:c r="X1385" s="24" t="str">
        <x:v>tabela_zeiss.pdf</x:v>
      </x:c>
      <x:c r="Y1385" s="24" t="str">
        <x:v>alta</x:v>
      </x:c>
      <x:c r="Z1385" s="24"/>
      <x:c r="AA1385" s="24" t="str">
        <x:v>ZEISS|Visão Simples|Surfaçada|ClearMind Individual 3||1.5|1.50|DuraVision Platinum UV|-6.00 a +6.00|-4.00|-|75|||14</x:v>
      </x:c>
    </x:row>
    <x:row r="1386">
      <x:c r="A1386" s="24" t="str">
        <x:v>ZS-CEEDC6416DDA</x:v>
      </x:c>
      <x:c r="B1386" s="24" t="str">
        <x:v>SIM</x:v>
      </x:c>
      <x:c r="C1386" s="24" t="str">
        <x:v>DISPONÍVEL</x:v>
      </x:c>
      <x:c r="D1386" s="24" t="str">
        <x:v>ZEISS</x:v>
      </x:c>
      <x:c r="E1386" s="24" t="str">
        <x:v>Visão Simples</x:v>
      </x:c>
      <x:c r="F1386" s="24" t="str">
        <x:v>Surfaçada</x:v>
      </x:c>
      <x:c r="G1386" s="24" t="str">
        <x:v>ClearMind Individual 3</x:v>
      </x:c>
      <x:c r="H1386" s="24"/>
      <x:c r="I1386" s="24" t="str">
        <x:v>1.5</x:v>
      </x:c>
      <x:c r="J1386" s="24" t="str">
        <x:v>1.50</x:v>
      </x:c>
      <x:c r="K1386" s="24" t="str">
        <x:v>DuraVision Silver UV</x:v>
      </x:c>
      <x:c r="L1386" s="40" t="n">
        <x:v>2477</x:v>
      </x:c>
      <x:c r="M1386" s="24" t="str">
        <x:v>-6.00 a +6.00</x:v>
      </x:c>
      <x:c r="N1386" s="24" t="str">
        <x:v>-4.00</x:v>
      </x:c>
      <x:c r="O1386" s="24" t="str">
        <x:v>-</x:v>
      </x:c>
      <x:c r="P1386" s="24" t="str">
        <x:v>75</x:v>
      </x:c>
      <x:c r="Q1386" s="24"/>
      <x:c r="R1386" s="24"/>
      <x:c r="S1386" s="26" t="n">
        <x:v>46113</x:v>
      </x:c>
      <x:c r="T1386" s="26"/>
      <x:c r="U1386" s="24" t="str">
        <x:v>ATIVA/SEM FIM INFORMADO</x:v>
      </x:c>
      <x:c r="V1386" s="24" t="str">
        <x:v>Programa de Parcerias ZEISS — categoria Experts</x:v>
      </x:c>
      <x:c r="W1386" s="24" t="n">
        <x:v>14</x:v>
      </x:c>
      <x:c r="X1386" s="24" t="str">
        <x:v>tabela_zeiss.pdf</x:v>
      </x:c>
      <x:c r="Y1386" s="24" t="str">
        <x:v>alta</x:v>
      </x:c>
      <x:c r="Z1386" s="24"/>
      <x:c r="AA1386" s="24" t="str">
        <x:v>ZEISS|Visão Simples|Surfaçada|ClearMind Individual 3||1.5|1.50|DuraVision Silver UV|-6.00 a +6.00|-4.00|-|75|||14</x:v>
      </x:c>
    </x:row>
    <x:row r="1387">
      <x:c r="A1387" s="24" t="str">
        <x:v>ZS-C5A0408533E8</x:v>
      </x:c>
      <x:c r="B1387" s="24" t="str">
        <x:v>SIM</x:v>
      </x:c>
      <x:c r="C1387" s="24" t="str">
        <x:v>DISPONÍVEL</x:v>
      </x:c>
      <x:c r="D1387" s="24" t="str">
        <x:v>ZEISS</x:v>
      </x:c>
      <x:c r="E1387" s="24" t="str">
        <x:v>Visão Simples</x:v>
      </x:c>
      <x:c r="F1387" s="24" t="str">
        <x:v>Surfaçada</x:v>
      </x:c>
      <x:c r="G1387" s="24" t="str">
        <x:v>ClearMind Individual 3</x:v>
      </x:c>
      <x:c r="H1387" s="24"/>
      <x:c r="I1387" s="24" t="str">
        <x:v>1.5</x:v>
      </x:c>
      <x:c r="J1387" s="24" t="str">
        <x:v>1.50</x:v>
      </x:c>
      <x:c r="K1387" s="24" t="str">
        <x:v>DuraVision Chrome UV</x:v>
      </x:c>
      <x:c r="L1387" s="40" t="n">
        <x:v>1987</x:v>
      </x:c>
      <x:c r="M1387" s="24" t="str">
        <x:v>-6.00 a +6.00</x:v>
      </x:c>
      <x:c r="N1387" s="24" t="str">
        <x:v>-4.00</x:v>
      </x:c>
      <x:c r="O1387" s="24" t="str">
        <x:v>-</x:v>
      </x:c>
      <x:c r="P1387" s="24" t="str">
        <x:v>75</x:v>
      </x:c>
      <x:c r="Q1387" s="24"/>
      <x:c r="R1387" s="24"/>
      <x:c r="S1387" s="26" t="n">
        <x:v>46113</x:v>
      </x:c>
      <x:c r="T1387" s="26"/>
      <x:c r="U1387" s="24" t="str">
        <x:v>ATIVA/SEM FIM INFORMADO</x:v>
      </x:c>
      <x:c r="V1387" s="24" t="str">
        <x:v>Programa de Parcerias ZEISS — categoria Experts</x:v>
      </x:c>
      <x:c r="W1387" s="24" t="n">
        <x:v>14</x:v>
      </x:c>
      <x:c r="X1387" s="24" t="str">
        <x:v>tabela_zeiss.pdf</x:v>
      </x:c>
      <x:c r="Y1387" s="24" t="str">
        <x:v>alta</x:v>
      </x:c>
      <x:c r="Z1387" s="24"/>
      <x:c r="AA1387" s="24" t="str">
        <x:v>ZEISS|Visão Simples|Surfaçada|ClearMind Individual 3||1.5|1.50|DuraVision Chrome UV|-6.00 a +6.00|-4.00|-|75|||14</x:v>
      </x:c>
    </x:row>
    <x:row r="1388">
      <x:c r="A1388" s="24" t="str">
        <x:v>ZS-8353C1F02943</x:v>
      </x:c>
      <x:c r="B1388" s="24" t="str">
        <x:v>SIM</x:v>
      </x:c>
      <x:c r="C1388" s="24" t="str">
        <x:v>DISPONÍVEL</x:v>
      </x:c>
      <x:c r="D1388" s="24" t="str">
        <x:v>ZEISS</x:v>
      </x:c>
      <x:c r="E1388" s="24" t="str">
        <x:v>Visão Simples</x:v>
      </x:c>
      <x:c r="F1388" s="24" t="str">
        <x:v>Surfaçada</x:v>
      </x:c>
      <x:c r="G1388" s="24" t="str">
        <x:v>ClearMind Individual 3</x:v>
      </x:c>
      <x:c r="H1388" s="24"/>
      <x:c r="I1388" s="24" t="str">
        <x:v>Poli</x:v>
      </x:c>
      <x:c r="J1388" s="24"/>
      <x:c r="K1388" s="24" t="str">
        <x:v>DuraVision Gold UV</x:v>
      </x:c>
      <x:c r="L1388" s="40" t="n">
        <x:v>3237</x:v>
      </x:c>
      <x:c r="M1388" s="24" t="str">
        <x:v>-10.00 a +8.00</x:v>
      </x:c>
      <x:c r="N1388" s="24" t="str">
        <x:v>-4.00</x:v>
      </x:c>
      <x:c r="O1388" s="24" t="str">
        <x:v>-</x:v>
      </x:c>
      <x:c r="P1388" s="24" t="str">
        <x:v>70</x:v>
      </x:c>
      <x:c r="Q1388" s="24"/>
      <x:c r="R1388" s="24"/>
      <x:c r="S1388" s="26" t="n">
        <x:v>46113</x:v>
      </x:c>
      <x:c r="T1388" s="26"/>
      <x:c r="U1388" s="24" t="str">
        <x:v>ATIVA/SEM FIM INFORMADO</x:v>
      </x:c>
      <x:c r="V1388" s="24" t="str">
        <x:v>Programa de Parcerias ZEISS — categoria Experts</x:v>
      </x:c>
      <x:c r="W1388" s="24" t="n">
        <x:v>14</x:v>
      </x:c>
      <x:c r="X1388" s="24" t="str">
        <x:v>tabela_zeiss.pdf</x:v>
      </x:c>
      <x:c r="Y1388" s="24" t="str">
        <x:v>alta</x:v>
      </x:c>
      <x:c r="Z1388" s="24"/>
      <x:c r="AA1388" s="24" t="str">
        <x:v>ZEISS|Visão Simples|Surfaçada|ClearMind Individual 3||Poli||DuraVision Gold UV|-10.00 a +8.00|-4.00|-|70|||14</x:v>
      </x:c>
    </x:row>
    <x:row r="1389">
      <x:c r="A1389" s="24" t="str">
        <x:v>ZS-D9374338563B</x:v>
      </x:c>
      <x:c r="B1389" s="24" t="str">
        <x:v>SIM</x:v>
      </x:c>
      <x:c r="C1389" s="24" t="str">
        <x:v>DISPONÍVEL</x:v>
      </x:c>
      <x:c r="D1389" s="24" t="str">
        <x:v>ZEISS</x:v>
      </x:c>
      <x:c r="E1389" s="24" t="str">
        <x:v>Visão Simples</x:v>
      </x:c>
      <x:c r="F1389" s="24" t="str">
        <x:v>Surfaçada</x:v>
      </x:c>
      <x:c r="G1389" s="24" t="str">
        <x:v>ClearMind Individual 3</x:v>
      </x:c>
      <x:c r="H1389" s="24"/>
      <x:c r="I1389" s="24" t="str">
        <x:v>Poli</x:v>
      </x:c>
      <x:c r="J1389" s="24"/>
      <x:c r="K1389" s="24" t="str">
        <x:v>DuraVision Platinum UV</x:v>
      </x:c>
      <x:c r="L1389" s="40" t="n">
        <x:v>3097</x:v>
      </x:c>
      <x:c r="M1389" s="24" t="str">
        <x:v>-10.00 a +8.00</x:v>
      </x:c>
      <x:c r="N1389" s="24" t="str">
        <x:v>-4.00</x:v>
      </x:c>
      <x:c r="O1389" s="24" t="str">
        <x:v>-</x:v>
      </x:c>
      <x:c r="P1389" s="24" t="str">
        <x:v>70</x:v>
      </x:c>
      <x:c r="Q1389" s="24"/>
      <x:c r="R1389" s="24"/>
      <x:c r="S1389" s="26" t="n">
        <x:v>46113</x:v>
      </x:c>
      <x:c r="T1389" s="26"/>
      <x:c r="U1389" s="24" t="str">
        <x:v>ATIVA/SEM FIM INFORMADO</x:v>
      </x:c>
      <x:c r="V1389" s="24" t="str">
        <x:v>Programa de Parcerias ZEISS — categoria Experts</x:v>
      </x:c>
      <x:c r="W1389" s="24" t="n">
        <x:v>14</x:v>
      </x:c>
      <x:c r="X1389" s="24" t="str">
        <x:v>tabela_zeiss.pdf</x:v>
      </x:c>
      <x:c r="Y1389" s="24" t="str">
        <x:v>alta</x:v>
      </x:c>
      <x:c r="Z1389" s="24"/>
      <x:c r="AA1389" s="24" t="str">
        <x:v>ZEISS|Visão Simples|Surfaçada|ClearMind Individual 3||Poli||DuraVision Platinum UV|-10.00 a +8.00|-4.00|-|70|||14</x:v>
      </x:c>
    </x:row>
    <x:row r="1390">
      <x:c r="A1390" s="24" t="str">
        <x:v>ZS-A665377CF0B0</x:v>
      </x:c>
      <x:c r="B1390" s="24" t="str">
        <x:v>SIM</x:v>
      </x:c>
      <x:c r="C1390" s="24" t="str">
        <x:v>DISPONÍVEL</x:v>
      </x:c>
      <x:c r="D1390" s="24" t="str">
        <x:v>ZEISS</x:v>
      </x:c>
      <x:c r="E1390" s="24" t="str">
        <x:v>Visão Simples</x:v>
      </x:c>
      <x:c r="F1390" s="24" t="str">
        <x:v>Surfaçada</x:v>
      </x:c>
      <x:c r="G1390" s="24" t="str">
        <x:v>ClearMind Individual 3</x:v>
      </x:c>
      <x:c r="H1390" s="24"/>
      <x:c r="I1390" s="24" t="str">
        <x:v>Poli</x:v>
      </x:c>
      <x:c r="J1390" s="24"/>
      <x:c r="K1390" s="24" t="str">
        <x:v>DuraVision Silver UV</x:v>
      </x:c>
      <x:c r="L1390" s="40" t="n">
        <x:v>2837</x:v>
      </x:c>
      <x:c r="M1390" s="24" t="str">
        <x:v>-10.00 a +8.00</x:v>
      </x:c>
      <x:c r="N1390" s="24" t="str">
        <x:v>-4.00</x:v>
      </x:c>
      <x:c r="O1390" s="24" t="str">
        <x:v>-</x:v>
      </x:c>
      <x:c r="P1390" s="24" t="str">
        <x:v>70</x:v>
      </x:c>
      <x:c r="Q1390" s="24"/>
      <x:c r="R1390" s="24"/>
      <x:c r="S1390" s="26" t="n">
        <x:v>46113</x:v>
      </x:c>
      <x:c r="T1390" s="26"/>
      <x:c r="U1390" s="24" t="str">
        <x:v>ATIVA/SEM FIM INFORMADO</x:v>
      </x:c>
      <x:c r="V1390" s="24" t="str">
        <x:v>Programa de Parcerias ZEISS — categoria Experts</x:v>
      </x:c>
      <x:c r="W1390" s="24" t="n">
        <x:v>14</x:v>
      </x:c>
      <x:c r="X1390" s="24" t="str">
        <x:v>tabela_zeiss.pdf</x:v>
      </x:c>
      <x:c r="Y1390" s="24" t="str">
        <x:v>alta</x:v>
      </x:c>
      <x:c r="Z1390" s="24"/>
      <x:c r="AA1390" s="24" t="str">
        <x:v>ZEISS|Visão Simples|Surfaçada|ClearMind Individual 3||Poli||DuraVision Silver UV|-10.00 a +8.00|-4.00|-|70|||14</x:v>
      </x:c>
    </x:row>
    <x:row r="1391">
      <x:c r="A1391" s="24" t="str">
        <x:v>ZS-8455A29DC034</x:v>
      </x:c>
      <x:c r="B1391" s="24" t="str">
        <x:v>SIM</x:v>
      </x:c>
      <x:c r="C1391" s="24" t="str">
        <x:v>DISPONÍVEL</x:v>
      </x:c>
      <x:c r="D1391" s="24" t="str">
        <x:v>ZEISS</x:v>
      </x:c>
      <x:c r="E1391" s="24" t="str">
        <x:v>Visão Simples</x:v>
      </x:c>
      <x:c r="F1391" s="24" t="str">
        <x:v>Surfaçada</x:v>
      </x:c>
      <x:c r="G1391" s="24" t="str">
        <x:v>ClearMind Individual 3</x:v>
      </x:c>
      <x:c r="H1391" s="24"/>
      <x:c r="I1391" s="24" t="str">
        <x:v>Poli</x:v>
      </x:c>
      <x:c r="J1391" s="24"/>
      <x:c r="K1391" s="24" t="str">
        <x:v>DuraVision Chrome UV</x:v>
      </x:c>
      <x:c r="L1391" s="40" t="n">
        <x:v>2347</x:v>
      </x:c>
      <x:c r="M1391" s="24" t="str">
        <x:v>-10.00 a +8.00</x:v>
      </x:c>
      <x:c r="N1391" s="24" t="str">
        <x:v>-4.00</x:v>
      </x:c>
      <x:c r="O1391" s="24" t="str">
        <x:v>-</x:v>
      </x:c>
      <x:c r="P1391" s="24" t="str">
        <x:v>70</x:v>
      </x:c>
      <x:c r="Q1391" s="24"/>
      <x:c r="R1391" s="24"/>
      <x:c r="S1391" s="26" t="n">
        <x:v>46113</x:v>
      </x:c>
      <x:c r="T1391" s="26"/>
      <x:c r="U1391" s="24" t="str">
        <x:v>ATIVA/SEM FIM INFORMADO</x:v>
      </x:c>
      <x:c r="V1391" s="24" t="str">
        <x:v>Programa de Parcerias ZEISS — categoria Experts</x:v>
      </x:c>
      <x:c r="W1391" s="24" t="n">
        <x:v>14</x:v>
      </x:c>
      <x:c r="X1391" s="24" t="str">
        <x:v>tabela_zeiss.pdf</x:v>
      </x:c>
      <x:c r="Y1391" s="24" t="str">
        <x:v>alta</x:v>
      </x:c>
      <x:c r="Z1391" s="24"/>
      <x:c r="AA1391" s="24" t="str">
        <x:v>ZEISS|Visão Simples|Surfaçada|ClearMind Individual 3||Poli||DuraVision Chrome UV|-10.00 a +8.00|-4.00|-|70|||14</x:v>
      </x:c>
    </x:row>
    <x:row r="1392">
      <x:c r="A1392" s="24" t="str">
        <x:v>ZS-435F86220D5D</x:v>
      </x:c>
      <x:c r="B1392" s="24" t="str">
        <x:v>SIM</x:v>
      </x:c>
      <x:c r="C1392" s="24" t="str">
        <x:v>DISPONÍVEL</x:v>
      </x:c>
      <x:c r="D1392" s="24" t="str">
        <x:v>ZEISS</x:v>
      </x:c>
      <x:c r="E1392" s="24" t="str">
        <x:v>Visão Simples</x:v>
      </x:c>
      <x:c r="F1392" s="24" t="str">
        <x:v>Surfaçada</x:v>
      </x:c>
      <x:c r="G1392" s="24" t="str">
        <x:v>ClearMind Individual 3</x:v>
      </x:c>
      <x:c r="H1392" s="24"/>
      <x:c r="I1392" s="24" t="str">
        <x:v>1.6</x:v>
      </x:c>
      <x:c r="J1392" s="24" t="str">
        <x:v>1.60</x:v>
      </x:c>
      <x:c r="K1392" s="24" t="str">
        <x:v>DuraVision Gold UV</x:v>
      </x:c>
      <x:c r="L1392" s="40" t="n">
        <x:v>3457</x:v>
      </x:c>
      <x:c r="M1392" s="24" t="str">
        <x:v>-6.00 a +6.00</x:v>
      </x:c>
      <x:c r="N1392" s="24" t="str">
        <x:v>-6.00</x:v>
      </x:c>
      <x:c r="O1392" s="24" t="str">
        <x:v>-</x:v>
      </x:c>
      <x:c r="P1392" s="24" t="str">
        <x:v>75</x:v>
      </x:c>
      <x:c r="Q1392" s="24"/>
      <x:c r="R1392" s="24"/>
      <x:c r="S1392" s="26" t="n">
        <x:v>46113</x:v>
      </x:c>
      <x:c r="T1392" s="26"/>
      <x:c r="U1392" s="24" t="str">
        <x:v>ATIVA/SEM FIM INFORMADO</x:v>
      </x:c>
      <x:c r="V1392" s="24" t="str">
        <x:v>Programa de Parcerias ZEISS — categoria Experts</x:v>
      </x:c>
      <x:c r="W1392" s="24" t="n">
        <x:v>14</x:v>
      </x:c>
      <x:c r="X1392" s="24" t="str">
        <x:v>tabela_zeiss.pdf</x:v>
      </x:c>
      <x:c r="Y1392" s="24" t="str">
        <x:v>alta</x:v>
      </x:c>
      <x:c r="Z1392" s="24"/>
      <x:c r="AA1392" s="24" t="str">
        <x:v>ZEISS|Visão Simples|Surfaçada|ClearMind Individual 3||1.6|1.60|DuraVision Gold UV|-6.00 a +6.00|-6.00|-|75|||14</x:v>
      </x:c>
    </x:row>
    <x:row r="1393">
      <x:c r="A1393" s="24" t="str">
        <x:v>ZS-C955C12EEDD6</x:v>
      </x:c>
      <x:c r="B1393" s="24" t="str">
        <x:v>SIM</x:v>
      </x:c>
      <x:c r="C1393" s="24" t="str">
        <x:v>DISPONÍVEL</x:v>
      </x:c>
      <x:c r="D1393" s="24" t="str">
        <x:v>ZEISS</x:v>
      </x:c>
      <x:c r="E1393" s="24" t="str">
        <x:v>Visão Simples</x:v>
      </x:c>
      <x:c r="F1393" s="24" t="str">
        <x:v>Surfaçada</x:v>
      </x:c>
      <x:c r="G1393" s="24" t="str">
        <x:v>ClearMind Individual 3</x:v>
      </x:c>
      <x:c r="H1393" s="24"/>
      <x:c r="I1393" s="24" t="str">
        <x:v>1.6</x:v>
      </x:c>
      <x:c r="J1393" s="24" t="str">
        <x:v>1.60</x:v>
      </x:c>
      <x:c r="K1393" s="24" t="str">
        <x:v>DURAVISION® ANTIVÍRUS PLATINUM UV</x:v>
      </x:c>
      <x:c r="L1393" s="40" t="n">
        <x:v>3317</x:v>
      </x:c>
      <x:c r="M1393" s="24" t="str">
        <x:v>-6.00 a +6.00</x:v>
      </x:c>
      <x:c r="N1393" s="24" t="str">
        <x:v>-6.00</x:v>
      </x:c>
      <x:c r="O1393" s="24" t="str">
        <x:v>-</x:v>
      </x:c>
      <x:c r="P1393" s="24" t="str">
        <x:v>75</x:v>
      </x:c>
      <x:c r="Q1393" s="24"/>
      <x:c r="R1393" s="24"/>
      <x:c r="S1393" s="26" t="n">
        <x:v>46113</x:v>
      </x:c>
      <x:c r="T1393" s="26"/>
      <x:c r="U1393" s="24" t="str">
        <x:v>ATIVA/SEM FIM INFORMADO</x:v>
      </x:c>
      <x:c r="V1393" s="24" t="str">
        <x:v>Programa de Parcerias ZEISS — categoria Experts</x:v>
      </x:c>
      <x:c r="W1393" s="24" t="n">
        <x:v>14</x:v>
      </x:c>
      <x:c r="X1393" s="24" t="str">
        <x:v>tabela_zeiss.pdf</x:v>
      </x:c>
      <x:c r="Y1393" s="24" t="str">
        <x:v>alta</x:v>
      </x:c>
      <x:c r="Z1393" s="24"/>
      <x:c r="AA1393" s="24" t="str">
        <x:v>ZEISS|Visão Simples|Surfaçada|ClearMind Individual 3||1.6|1.60|DURAVISION® ANTIVÍRUS PLATINUM UV|-6.00 a +6.00|-6.00|-|75|||14</x:v>
      </x:c>
    </x:row>
    <x:row r="1394">
      <x:c r="A1394" s="24" t="str">
        <x:v>ZS-77CAA84BFF26</x:v>
      </x:c>
      <x:c r="B1394" s="24" t="str">
        <x:v>SIM</x:v>
      </x:c>
      <x:c r="C1394" s="24" t="str">
        <x:v>DISPONÍVEL</x:v>
      </x:c>
      <x:c r="D1394" s="24" t="str">
        <x:v>ZEISS</x:v>
      </x:c>
      <x:c r="E1394" s="24" t="str">
        <x:v>Visão Simples</x:v>
      </x:c>
      <x:c r="F1394" s="24" t="str">
        <x:v>Surfaçada</x:v>
      </x:c>
      <x:c r="G1394" s="24" t="str">
        <x:v>ClearMind Individual 3</x:v>
      </x:c>
      <x:c r="H1394" s="24"/>
      <x:c r="I1394" s="24" t="str">
        <x:v>1.6</x:v>
      </x:c>
      <x:c r="J1394" s="24" t="str">
        <x:v>1.60</x:v>
      </x:c>
      <x:c r="K1394" s="24" t="str">
        <x:v>DuraVision Platinum UV</x:v>
      </x:c>
      <x:c r="L1394" s="40" t="n">
        <x:v>3317</x:v>
      </x:c>
      <x:c r="M1394" s="24" t="str">
        <x:v>-6.00 a +6.00</x:v>
      </x:c>
      <x:c r="N1394" s="24" t="str">
        <x:v>-6.00</x:v>
      </x:c>
      <x:c r="O1394" s="24" t="str">
        <x:v>-</x:v>
      </x:c>
      <x:c r="P1394" s="24" t="str">
        <x:v>75</x:v>
      </x:c>
      <x:c r="Q1394" s="24"/>
      <x:c r="R1394" s="24"/>
      <x:c r="S1394" s="26" t="n">
        <x:v>46113</x:v>
      </x:c>
      <x:c r="T1394" s="26"/>
      <x:c r="U1394" s="24" t="str">
        <x:v>ATIVA/SEM FIM INFORMADO</x:v>
      </x:c>
      <x:c r="V1394" s="24" t="str">
        <x:v>Programa de Parcerias ZEISS — categoria Experts</x:v>
      </x:c>
      <x:c r="W1394" s="24" t="n">
        <x:v>14</x:v>
      </x:c>
      <x:c r="X1394" s="24" t="str">
        <x:v>tabela_zeiss.pdf</x:v>
      </x:c>
      <x:c r="Y1394" s="24" t="str">
        <x:v>alta</x:v>
      </x:c>
      <x:c r="Z1394" s="24"/>
      <x:c r="AA1394" s="24" t="str">
        <x:v>ZEISS|Visão Simples|Surfaçada|ClearMind Individual 3||1.6|1.60|DuraVision Platinum UV|-6.00 a +6.00|-6.00|-|75|||14</x:v>
      </x:c>
    </x:row>
    <x:row r="1395">
      <x:c r="A1395" s="24" t="str">
        <x:v>ZS-DFF33A2133A2</x:v>
      </x:c>
      <x:c r="B1395" s="24" t="str">
        <x:v>SIM</x:v>
      </x:c>
      <x:c r="C1395" s="24" t="str">
        <x:v>DISPONÍVEL</x:v>
      </x:c>
      <x:c r="D1395" s="24" t="str">
        <x:v>ZEISS</x:v>
      </x:c>
      <x:c r="E1395" s="24" t="str">
        <x:v>Visão Simples</x:v>
      </x:c>
      <x:c r="F1395" s="24" t="str">
        <x:v>Surfaçada</x:v>
      </x:c>
      <x:c r="G1395" s="24" t="str">
        <x:v>ClearMind Individual 3</x:v>
      </x:c>
      <x:c r="H1395" s="24"/>
      <x:c r="I1395" s="24" t="str">
        <x:v>1.6</x:v>
      </x:c>
      <x:c r="J1395" s="24" t="str">
        <x:v>1.60</x:v>
      </x:c>
      <x:c r="K1395" s="24" t="str">
        <x:v>DuraVision Silver UV</x:v>
      </x:c>
      <x:c r="L1395" s="40" t="n">
        <x:v>3057</x:v>
      </x:c>
      <x:c r="M1395" s="24" t="str">
        <x:v>-6.00 a +6.00</x:v>
      </x:c>
      <x:c r="N1395" s="24" t="str">
        <x:v>-6.00</x:v>
      </x:c>
      <x:c r="O1395" s="24" t="str">
        <x:v>-</x:v>
      </x:c>
      <x:c r="P1395" s="24" t="str">
        <x:v>75</x:v>
      </x:c>
      <x:c r="Q1395" s="24"/>
      <x:c r="R1395" s="24"/>
      <x:c r="S1395" s="26" t="n">
        <x:v>46113</x:v>
      </x:c>
      <x:c r="T1395" s="26"/>
      <x:c r="U1395" s="24" t="str">
        <x:v>ATIVA/SEM FIM INFORMADO</x:v>
      </x:c>
      <x:c r="V1395" s="24" t="str">
        <x:v>Programa de Parcerias ZEISS — categoria Experts</x:v>
      </x:c>
      <x:c r="W1395" s="24" t="n">
        <x:v>14</x:v>
      </x:c>
      <x:c r="X1395" s="24" t="str">
        <x:v>tabela_zeiss.pdf</x:v>
      </x:c>
      <x:c r="Y1395" s="24" t="str">
        <x:v>alta</x:v>
      </x:c>
      <x:c r="Z1395" s="24"/>
      <x:c r="AA1395" s="24" t="str">
        <x:v>ZEISS|Visão Simples|Surfaçada|ClearMind Individual 3||1.6|1.60|DuraVision Silver UV|-6.00 a +6.00|-6.00|-|75|||14</x:v>
      </x:c>
    </x:row>
    <x:row r="1396">
      <x:c r="A1396" s="24" t="str">
        <x:v>ZS-24373A74372A</x:v>
      </x:c>
      <x:c r="B1396" s="24" t="str">
        <x:v>SIM</x:v>
      </x:c>
      <x:c r="C1396" s="24" t="str">
        <x:v>DISPONÍVEL</x:v>
      </x:c>
      <x:c r="D1396" s="24" t="str">
        <x:v>ZEISS</x:v>
      </x:c>
      <x:c r="E1396" s="24" t="str">
        <x:v>Visão Simples</x:v>
      </x:c>
      <x:c r="F1396" s="24" t="str">
        <x:v>Surfaçada</x:v>
      </x:c>
      <x:c r="G1396" s="24" t="str">
        <x:v>ClearMind Individual 3</x:v>
      </x:c>
      <x:c r="H1396" s="24"/>
      <x:c r="I1396" s="24" t="str">
        <x:v>1.6</x:v>
      </x:c>
      <x:c r="J1396" s="24" t="str">
        <x:v>1.60</x:v>
      </x:c>
      <x:c r="K1396" s="24" t="str">
        <x:v>DuraVision Chrome UV</x:v>
      </x:c>
      <x:c r="L1396" s="40" t="n">
        <x:v>2567</x:v>
      </x:c>
      <x:c r="M1396" s="24" t="str">
        <x:v>-6.00 a +6.00</x:v>
      </x:c>
      <x:c r="N1396" s="24" t="str">
        <x:v>-6.00</x:v>
      </x:c>
      <x:c r="O1396" s="24" t="str">
        <x:v>-</x:v>
      </x:c>
      <x:c r="P1396" s="24" t="str">
        <x:v>75</x:v>
      </x:c>
      <x:c r="Q1396" s="24"/>
      <x:c r="R1396" s="24"/>
      <x:c r="S1396" s="26" t="n">
        <x:v>46113</x:v>
      </x:c>
      <x:c r="T1396" s="26"/>
      <x:c r="U1396" s="24" t="str">
        <x:v>ATIVA/SEM FIM INFORMADO</x:v>
      </x:c>
      <x:c r="V1396" s="24" t="str">
        <x:v>Programa de Parcerias ZEISS — categoria Experts</x:v>
      </x:c>
      <x:c r="W1396" s="24" t="n">
        <x:v>14</x:v>
      </x:c>
      <x:c r="X1396" s="24" t="str">
        <x:v>tabela_zeiss.pdf</x:v>
      </x:c>
      <x:c r="Y1396" s="24" t="str">
        <x:v>alta</x:v>
      </x:c>
      <x:c r="Z1396" s="24"/>
      <x:c r="AA1396" s="24" t="str">
        <x:v>ZEISS|Visão Simples|Surfaçada|ClearMind Individual 3||1.6|1.60|DuraVision Chrome UV|-6.00 a +6.00|-6.00|-|75|||14</x:v>
      </x:c>
    </x:row>
    <x:row r="1397">
      <x:c r="A1397" s="24" t="str">
        <x:v>ZS-82A62F81F9E4</x:v>
      </x:c>
      <x:c r="B1397" s="24" t="str">
        <x:v>SIM</x:v>
      </x:c>
      <x:c r="C1397" s="24" t="str">
        <x:v>DISPONÍVEL</x:v>
      </x:c>
      <x:c r="D1397" s="24" t="str">
        <x:v>ZEISS</x:v>
      </x:c>
      <x:c r="E1397" s="24" t="str">
        <x:v>Visão Simples</x:v>
      </x:c>
      <x:c r="F1397" s="24" t="str">
        <x:v>Surfaçada</x:v>
      </x:c>
      <x:c r="G1397" s="24" t="str">
        <x:v>ClearMind Individual 3</x:v>
      </x:c>
      <x:c r="H1397" s="24"/>
      <x:c r="I1397" s="24" t="str">
        <x:v>1.67</x:v>
      </x:c>
      <x:c r="J1397" s="24" t="str">
        <x:v>1.67</x:v>
      </x:c>
      <x:c r="K1397" s="24" t="str">
        <x:v>DuraVision Gold UV</x:v>
      </x:c>
      <x:c r="L1397" s="40" t="n">
        <x:v>4757</x:v>
      </x:c>
      <x:c r="M1397" s="24" t="str">
        <x:v>-8.00 a +8.00</x:v>
      </x:c>
      <x:c r="N1397" s="24" t="str">
        <x:v>-6.00</x:v>
      </x:c>
      <x:c r="O1397" s="24" t="str">
        <x:v>-</x:v>
      </x:c>
      <x:c r="P1397" s="24" t="str">
        <x:v>70</x:v>
      </x:c>
      <x:c r="Q1397" s="24"/>
      <x:c r="R1397" s="24"/>
      <x:c r="S1397" s="26" t="n">
        <x:v>46113</x:v>
      </x:c>
      <x:c r="T1397" s="26"/>
      <x:c r="U1397" s="24" t="str">
        <x:v>ATIVA/SEM FIM INFORMADO</x:v>
      </x:c>
      <x:c r="V1397" s="24" t="str">
        <x:v>Programa de Parcerias ZEISS — categoria Experts</x:v>
      </x:c>
      <x:c r="W1397" s="24" t="n">
        <x:v>14</x:v>
      </x:c>
      <x:c r="X1397" s="24" t="str">
        <x:v>tabela_zeiss.pdf</x:v>
      </x:c>
      <x:c r="Y1397" s="24" t="str">
        <x:v>alta</x:v>
      </x:c>
      <x:c r="Z1397" s="24"/>
      <x:c r="AA1397" s="24" t="str">
        <x:v>ZEISS|Visão Simples|Surfaçada|ClearMind Individual 3||1.67|1.67|DuraVision Gold UV|-8.00 a +8.00|-6.00|-|70|||14</x:v>
      </x:c>
    </x:row>
    <x:row r="1398">
      <x:c r="A1398" s="24" t="str">
        <x:v>ZS-3B821773B4C1</x:v>
      </x:c>
      <x:c r="B1398" s="24" t="str">
        <x:v>SIM</x:v>
      </x:c>
      <x:c r="C1398" s="24" t="str">
        <x:v>DISPONÍVEL</x:v>
      </x:c>
      <x:c r="D1398" s="24" t="str">
        <x:v>ZEISS</x:v>
      </x:c>
      <x:c r="E1398" s="24" t="str">
        <x:v>Visão Simples</x:v>
      </x:c>
      <x:c r="F1398" s="24" t="str">
        <x:v>Surfaçada</x:v>
      </x:c>
      <x:c r="G1398" s="24" t="str">
        <x:v>ClearMind Individual 3</x:v>
      </x:c>
      <x:c r="H1398" s="24"/>
      <x:c r="I1398" s="24" t="str">
        <x:v>1.67</x:v>
      </x:c>
      <x:c r="J1398" s="24" t="str">
        <x:v>1.67</x:v>
      </x:c>
      <x:c r="K1398" s="24" t="str">
        <x:v>DURAVISION® ANTIVÍRUS PLATINUM UV</x:v>
      </x:c>
      <x:c r="L1398" s="40" t="n">
        <x:v>4617</x:v>
      </x:c>
      <x:c r="M1398" s="24" t="str">
        <x:v>-8.00 a +8.00</x:v>
      </x:c>
      <x:c r="N1398" s="24" t="str">
        <x:v>-6.00</x:v>
      </x:c>
      <x:c r="O1398" s="24" t="str">
        <x:v>-</x:v>
      </x:c>
      <x:c r="P1398" s="24" t="str">
        <x:v>70</x:v>
      </x:c>
      <x:c r="Q1398" s="24"/>
      <x:c r="R1398" s="24"/>
      <x:c r="S1398" s="26" t="n">
        <x:v>46113</x:v>
      </x:c>
      <x:c r="T1398" s="26"/>
      <x:c r="U1398" s="24" t="str">
        <x:v>ATIVA/SEM FIM INFORMADO</x:v>
      </x:c>
      <x:c r="V1398" s="24" t="str">
        <x:v>Programa de Parcerias ZEISS — categoria Experts</x:v>
      </x:c>
      <x:c r="W1398" s="24" t="n">
        <x:v>14</x:v>
      </x:c>
      <x:c r="X1398" s="24" t="str">
        <x:v>tabela_zeiss.pdf</x:v>
      </x:c>
      <x:c r="Y1398" s="24" t="str">
        <x:v>alta</x:v>
      </x:c>
      <x:c r="Z1398" s="24"/>
      <x:c r="AA1398" s="24" t="str">
        <x:v>ZEISS|Visão Simples|Surfaçada|ClearMind Individual 3||1.67|1.67|DURAVISION® ANTIVÍRUS PLATINUM UV|-8.00 a +8.00|-6.00|-|70|||14</x:v>
      </x:c>
    </x:row>
    <x:row r="1399">
      <x:c r="A1399" s="24" t="str">
        <x:v>ZS-EC52770ADEBD</x:v>
      </x:c>
      <x:c r="B1399" s="24" t="str">
        <x:v>SIM</x:v>
      </x:c>
      <x:c r="C1399" s="24" t="str">
        <x:v>DISPONÍVEL</x:v>
      </x:c>
      <x:c r="D1399" s="24" t="str">
        <x:v>ZEISS</x:v>
      </x:c>
      <x:c r="E1399" s="24" t="str">
        <x:v>Visão Simples</x:v>
      </x:c>
      <x:c r="F1399" s="24" t="str">
        <x:v>Surfaçada</x:v>
      </x:c>
      <x:c r="G1399" s="24" t="str">
        <x:v>ClearMind Individual 3</x:v>
      </x:c>
      <x:c r="H1399" s="24"/>
      <x:c r="I1399" s="24" t="str">
        <x:v>1.67</x:v>
      </x:c>
      <x:c r="J1399" s="24" t="str">
        <x:v>1.67</x:v>
      </x:c>
      <x:c r="K1399" s="24" t="str">
        <x:v>DuraVision Platinum UV</x:v>
      </x:c>
      <x:c r="L1399" s="40" t="n">
        <x:v>4617</x:v>
      </x:c>
      <x:c r="M1399" s="24" t="str">
        <x:v>-8.00 a +8.00</x:v>
      </x:c>
      <x:c r="N1399" s="24" t="str">
        <x:v>-6.00</x:v>
      </x:c>
      <x:c r="O1399" s="24" t="str">
        <x:v>-</x:v>
      </x:c>
      <x:c r="P1399" s="24" t="str">
        <x:v>70</x:v>
      </x:c>
      <x:c r="Q1399" s="24"/>
      <x:c r="R1399" s="24"/>
      <x:c r="S1399" s="26" t="n">
        <x:v>46113</x:v>
      </x:c>
      <x:c r="T1399" s="26"/>
      <x:c r="U1399" s="24" t="str">
        <x:v>ATIVA/SEM FIM INFORMADO</x:v>
      </x:c>
      <x:c r="V1399" s="24" t="str">
        <x:v>Programa de Parcerias ZEISS — categoria Experts</x:v>
      </x:c>
      <x:c r="W1399" s="24" t="n">
        <x:v>14</x:v>
      </x:c>
      <x:c r="X1399" s="24" t="str">
        <x:v>tabela_zeiss.pdf</x:v>
      </x:c>
      <x:c r="Y1399" s="24" t="str">
        <x:v>alta</x:v>
      </x:c>
      <x:c r="Z1399" s="24"/>
      <x:c r="AA1399" s="24" t="str">
        <x:v>ZEISS|Visão Simples|Surfaçada|ClearMind Individual 3||1.67|1.67|DuraVision Platinum UV|-8.00 a +8.00|-6.00|-|70|||14</x:v>
      </x:c>
    </x:row>
    <x:row r="1400">
      <x:c r="A1400" s="24" t="str">
        <x:v>ZS-0D952268ECE0</x:v>
      </x:c>
      <x:c r="B1400" s="24" t="str">
        <x:v>SIM</x:v>
      </x:c>
      <x:c r="C1400" s="24" t="str">
        <x:v>DISPONÍVEL</x:v>
      </x:c>
      <x:c r="D1400" s="24" t="str">
        <x:v>ZEISS</x:v>
      </x:c>
      <x:c r="E1400" s="24" t="str">
        <x:v>Visão Simples</x:v>
      </x:c>
      <x:c r="F1400" s="24" t="str">
        <x:v>Surfaçada</x:v>
      </x:c>
      <x:c r="G1400" s="24" t="str">
        <x:v>ClearMind Individual 3</x:v>
      </x:c>
      <x:c r="H1400" s="24"/>
      <x:c r="I1400" s="24" t="str">
        <x:v>1.67</x:v>
      </x:c>
      <x:c r="J1400" s="24" t="str">
        <x:v>1.67</x:v>
      </x:c>
      <x:c r="K1400" s="24" t="str">
        <x:v>DuraVision Silver UV</x:v>
      </x:c>
      <x:c r="L1400" s="40" t="n">
        <x:v>4357</x:v>
      </x:c>
      <x:c r="M1400" s="24" t="str">
        <x:v>-8.00 a +8.00</x:v>
      </x:c>
      <x:c r="N1400" s="24" t="str">
        <x:v>-6.00</x:v>
      </x:c>
      <x:c r="O1400" s="24" t="str">
        <x:v>-</x:v>
      </x:c>
      <x:c r="P1400" s="24" t="str">
        <x:v>70</x:v>
      </x:c>
      <x:c r="Q1400" s="24"/>
      <x:c r="R1400" s="24"/>
      <x:c r="S1400" s="26" t="n">
        <x:v>46113</x:v>
      </x:c>
      <x:c r="T1400" s="26"/>
      <x:c r="U1400" s="24" t="str">
        <x:v>ATIVA/SEM FIM INFORMADO</x:v>
      </x:c>
      <x:c r="V1400" s="24" t="str">
        <x:v>Programa de Parcerias ZEISS — categoria Experts</x:v>
      </x:c>
      <x:c r="W1400" s="24" t="n">
        <x:v>14</x:v>
      </x:c>
      <x:c r="X1400" s="24" t="str">
        <x:v>tabela_zeiss.pdf</x:v>
      </x:c>
      <x:c r="Y1400" s="24" t="str">
        <x:v>alta</x:v>
      </x:c>
      <x:c r="Z1400" s="24"/>
      <x:c r="AA1400" s="24" t="str">
        <x:v>ZEISS|Visão Simples|Surfaçada|ClearMind Individual 3||1.67|1.67|DuraVision Silver UV|-8.00 a +8.00|-6.00|-|70|||14</x:v>
      </x:c>
    </x:row>
    <x:row r="1401">
      <x:c r="A1401" s="24" t="str">
        <x:v>ZS-6C9CC9C8DEDE</x:v>
      </x:c>
      <x:c r="B1401" s="24" t="str">
        <x:v>SIM</x:v>
      </x:c>
      <x:c r="C1401" s="24" t="str">
        <x:v>DISPONÍVEL</x:v>
      </x:c>
      <x:c r="D1401" s="24" t="str">
        <x:v>ZEISS</x:v>
      </x:c>
      <x:c r="E1401" s="24" t="str">
        <x:v>Visão Simples</x:v>
      </x:c>
      <x:c r="F1401" s="24" t="str">
        <x:v>Surfaçada</x:v>
      </x:c>
      <x:c r="G1401" s="24" t="str">
        <x:v>ClearMind Individual 3</x:v>
      </x:c>
      <x:c r="H1401" s="24"/>
      <x:c r="I1401" s="24" t="str">
        <x:v>1.67</x:v>
      </x:c>
      <x:c r="J1401" s="24" t="str">
        <x:v>1.67</x:v>
      </x:c>
      <x:c r="K1401" s="24" t="str">
        <x:v>DuraVision Chrome UV</x:v>
      </x:c>
      <x:c r="L1401" s="40" t="n">
        <x:v>3867</x:v>
      </x:c>
      <x:c r="M1401" s="24" t="str">
        <x:v>-8.00 a +8.00</x:v>
      </x:c>
      <x:c r="N1401" s="24" t="str">
        <x:v>-6.00</x:v>
      </x:c>
      <x:c r="O1401" s="24" t="str">
        <x:v>-</x:v>
      </x:c>
      <x:c r="P1401" s="24" t="str">
        <x:v>70</x:v>
      </x:c>
      <x:c r="Q1401" s="24"/>
      <x:c r="R1401" s="24"/>
      <x:c r="S1401" s="26" t="n">
        <x:v>46113</x:v>
      </x:c>
      <x:c r="T1401" s="26"/>
      <x:c r="U1401" s="24" t="str">
        <x:v>ATIVA/SEM FIM INFORMADO</x:v>
      </x:c>
      <x:c r="V1401" s="24" t="str">
        <x:v>Programa de Parcerias ZEISS — categoria Experts</x:v>
      </x:c>
      <x:c r="W1401" s="24" t="n">
        <x:v>14</x:v>
      </x:c>
      <x:c r="X1401" s="24" t="str">
        <x:v>tabela_zeiss.pdf</x:v>
      </x:c>
      <x:c r="Y1401" s="24" t="str">
        <x:v>alta</x:v>
      </x:c>
      <x:c r="Z1401" s="24"/>
      <x:c r="AA1401" s="24" t="str">
        <x:v>ZEISS|Visão Simples|Surfaçada|ClearMind Individual 3||1.67|1.67|DuraVision Chrome UV|-8.00 a +8.00|-6.00|-|70|||14</x:v>
      </x:c>
    </x:row>
    <x:row r="1402">
      <x:c r="A1402" s="24" t="str">
        <x:v>ZS-5CC1EEA7205D</x:v>
      </x:c>
      <x:c r="B1402" s="24" t="str">
        <x:v>SIM</x:v>
      </x:c>
      <x:c r="C1402" s="24" t="str">
        <x:v>DISPONÍVEL</x:v>
      </x:c>
      <x:c r="D1402" s="24" t="str">
        <x:v>ZEISS</x:v>
      </x:c>
      <x:c r="E1402" s="24" t="str">
        <x:v>Visão Simples</x:v>
      </x:c>
      <x:c r="F1402" s="24" t="str">
        <x:v>Surfaçada</x:v>
      </x:c>
      <x:c r="G1402" s="24" t="str">
        <x:v>ClearMind Individual 3</x:v>
      </x:c>
      <x:c r="H1402" s="24"/>
      <x:c r="I1402" s="24" t="str">
        <x:v>1.74</x:v>
      </x:c>
      <x:c r="J1402" s="24" t="str">
        <x:v>1.74</x:v>
      </x:c>
      <x:c r="K1402" s="24" t="str">
        <x:v>DuraVision Gold UV</x:v>
      </x:c>
      <x:c r="L1402" s="40" t="n">
        <x:v>5067</x:v>
      </x:c>
      <x:c r="M1402" s="24" t="str">
        <x:v>-10.00 a +6.00</x:v>
      </x:c>
      <x:c r="N1402" s="24" t="str">
        <x:v>-6.00</x:v>
      </x:c>
      <x:c r="O1402" s="24" t="str">
        <x:v>-</x:v>
      </x:c>
      <x:c r="P1402" s="24" t="str">
        <x:v>70 a 75</x:v>
      </x:c>
      <x:c r="Q1402" s="24"/>
      <x:c r="R1402" s="24"/>
      <x:c r="S1402" s="26" t="n">
        <x:v>46113</x:v>
      </x:c>
      <x:c r="T1402" s="26"/>
      <x:c r="U1402" s="24" t="str">
        <x:v>ATIVA/SEM FIM INFORMADO</x:v>
      </x:c>
      <x:c r="V1402" s="24" t="str">
        <x:v>Programa de Parcerias ZEISS — categoria Experts</x:v>
      </x:c>
      <x:c r="W1402" s="24" t="n">
        <x:v>14</x:v>
      </x:c>
      <x:c r="X1402" s="24" t="str">
        <x:v>tabela_zeiss.pdf</x:v>
      </x:c>
      <x:c r="Y1402" s="24" t="str">
        <x:v>alta</x:v>
      </x:c>
      <x:c r="Z1402" s="24"/>
      <x:c r="AA1402" s="24" t="str">
        <x:v>ZEISS|Visão Simples|Surfaçada|ClearMind Individual 3||1.74|1.74|DuraVision Gold UV|-10.00 a +6.00|-6.00|-|70 a 75|||14</x:v>
      </x:c>
    </x:row>
    <x:row r="1403">
      <x:c r="A1403" s="24" t="str">
        <x:v>ZS-9F58EDB72514</x:v>
      </x:c>
      <x:c r="B1403" s="24" t="str">
        <x:v>SIM</x:v>
      </x:c>
      <x:c r="C1403" s="24" t="str">
        <x:v>DISPONÍVEL</x:v>
      </x:c>
      <x:c r="D1403" s="24" t="str">
        <x:v>ZEISS</x:v>
      </x:c>
      <x:c r="E1403" s="24" t="str">
        <x:v>Visão Simples</x:v>
      </x:c>
      <x:c r="F1403" s="24" t="str">
        <x:v>Surfaçada</x:v>
      </x:c>
      <x:c r="G1403" s="24" t="str">
        <x:v>ClearMind Individual 3</x:v>
      </x:c>
      <x:c r="H1403" s="24"/>
      <x:c r="I1403" s="24" t="str">
        <x:v>1.74</x:v>
      </x:c>
      <x:c r="J1403" s="24" t="str">
        <x:v>1.74</x:v>
      </x:c>
      <x:c r="K1403" s="24" t="str">
        <x:v>DuraVision Platinum UV</x:v>
      </x:c>
      <x:c r="L1403" s="40" t="n">
        <x:v>4927</x:v>
      </x:c>
      <x:c r="M1403" s="24" t="str">
        <x:v>-10.00 a +6.00</x:v>
      </x:c>
      <x:c r="N1403" s="24" t="str">
        <x:v>-6.00</x:v>
      </x:c>
      <x:c r="O1403" s="24" t="str">
        <x:v>-</x:v>
      </x:c>
      <x:c r="P1403" s="24" t="str">
        <x:v>70 a 75</x:v>
      </x:c>
      <x:c r="Q1403" s="24"/>
      <x:c r="R1403" s="24"/>
      <x:c r="S1403" s="26" t="n">
        <x:v>46113</x:v>
      </x:c>
      <x:c r="T1403" s="26"/>
      <x:c r="U1403" s="24" t="str">
        <x:v>ATIVA/SEM FIM INFORMADO</x:v>
      </x:c>
      <x:c r="V1403" s="24" t="str">
        <x:v>Programa de Parcerias ZEISS — categoria Experts</x:v>
      </x:c>
      <x:c r="W1403" s="24" t="n">
        <x:v>14</x:v>
      </x:c>
      <x:c r="X1403" s="24" t="str">
        <x:v>tabela_zeiss.pdf</x:v>
      </x:c>
      <x:c r="Y1403" s="24" t="str">
        <x:v>alta</x:v>
      </x:c>
      <x:c r="Z1403" s="24"/>
      <x:c r="AA1403" s="24" t="str">
        <x:v>ZEISS|Visão Simples|Surfaçada|ClearMind Individual 3||1.74|1.74|DuraVision Platinum UV|-10.00 a +6.00|-6.00|-|70 a 75|||14</x:v>
      </x:c>
    </x:row>
    <x:row r="1404">
      <x:c r="A1404" s="24" t="str">
        <x:v>ZS-7990CE9FB1AB</x:v>
      </x:c>
      <x:c r="B1404" s="24" t="str">
        <x:v>SIM</x:v>
      </x:c>
      <x:c r="C1404" s="24" t="str">
        <x:v>DISPONÍVEL</x:v>
      </x:c>
      <x:c r="D1404" s="24" t="str">
        <x:v>ZEISS</x:v>
      </x:c>
      <x:c r="E1404" s="24" t="str">
        <x:v>Visão Simples</x:v>
      </x:c>
      <x:c r="F1404" s="24" t="str">
        <x:v>Surfaçada</x:v>
      </x:c>
      <x:c r="G1404" s="24" t="str">
        <x:v>ClearMind Individual 3</x:v>
      </x:c>
      <x:c r="H1404" s="24"/>
      <x:c r="I1404" s="24" t="str">
        <x:v>1.74</x:v>
      </x:c>
      <x:c r="J1404" s="24" t="str">
        <x:v>1.74</x:v>
      </x:c>
      <x:c r="K1404" s="24" t="str">
        <x:v>DuraVision Silver UV</x:v>
      </x:c>
      <x:c r="L1404" s="40" t="n">
        <x:v>4667</x:v>
      </x:c>
      <x:c r="M1404" s="24" t="str">
        <x:v>-10.00 a +6.00</x:v>
      </x:c>
      <x:c r="N1404" s="24" t="str">
        <x:v>-6.00</x:v>
      </x:c>
      <x:c r="O1404" s="24" t="str">
        <x:v>-</x:v>
      </x:c>
      <x:c r="P1404" s="24" t="str">
        <x:v>70 a 75</x:v>
      </x:c>
      <x:c r="Q1404" s="24"/>
      <x:c r="R1404" s="24"/>
      <x:c r="S1404" s="26" t="n">
        <x:v>46113</x:v>
      </x:c>
      <x:c r="T1404" s="26"/>
      <x:c r="U1404" s="24" t="str">
        <x:v>ATIVA/SEM FIM INFORMADO</x:v>
      </x:c>
      <x:c r="V1404" s="24" t="str">
        <x:v>Programa de Parcerias ZEISS — categoria Experts</x:v>
      </x:c>
      <x:c r="W1404" s="24" t="n">
        <x:v>14</x:v>
      </x:c>
      <x:c r="X1404" s="24" t="str">
        <x:v>tabela_zeiss.pdf</x:v>
      </x:c>
      <x:c r="Y1404" s="24" t="str">
        <x:v>alta</x:v>
      </x:c>
      <x:c r="Z1404" s="24"/>
      <x:c r="AA1404" s="24" t="str">
        <x:v>ZEISS|Visão Simples|Surfaçada|ClearMind Individual 3||1.74|1.74|DuraVision Silver UV|-10.00 a +6.00|-6.00|-|70 a 75|||14</x:v>
      </x:c>
    </x:row>
    <x:row r="1405">
      <x:c r="A1405" s="24" t="str">
        <x:v>ZS-2A620FC75B92</x:v>
      </x:c>
      <x:c r="B1405" s="24" t="str">
        <x:v>SIM</x:v>
      </x:c>
      <x:c r="C1405" s="24" t="str">
        <x:v>DISPONÍVEL</x:v>
      </x:c>
      <x:c r="D1405" s="24" t="str">
        <x:v>ZEISS</x:v>
      </x:c>
      <x:c r="E1405" s="24" t="str">
        <x:v>Visão Simples</x:v>
      </x:c>
      <x:c r="F1405" s="24" t="str">
        <x:v>Surfaçada</x:v>
      </x:c>
      <x:c r="G1405" s="24" t="str">
        <x:v>ClearMind Individual 3</x:v>
      </x:c>
      <x:c r="H1405" s="24"/>
      <x:c r="I1405" s="24" t="str">
        <x:v>1.74</x:v>
      </x:c>
      <x:c r="J1405" s="24" t="str">
        <x:v>1.74</x:v>
      </x:c>
      <x:c r="K1405" s="24" t="str">
        <x:v>DuraVision Chrome UV</x:v>
      </x:c>
      <x:c r="L1405" s="40" t="n">
        <x:v>4177</x:v>
      </x:c>
      <x:c r="M1405" s="24" t="str">
        <x:v>-10.00 a +6.00</x:v>
      </x:c>
      <x:c r="N1405" s="24" t="str">
        <x:v>-6.00</x:v>
      </x:c>
      <x:c r="O1405" s="24" t="str">
        <x:v>-</x:v>
      </x:c>
      <x:c r="P1405" s="24" t="str">
        <x:v>70 a 75</x:v>
      </x:c>
      <x:c r="Q1405" s="24"/>
      <x:c r="R1405" s="24"/>
      <x:c r="S1405" s="26" t="n">
        <x:v>46113</x:v>
      </x:c>
      <x:c r="T1405" s="26"/>
      <x:c r="U1405" s="24" t="str">
        <x:v>ATIVA/SEM FIM INFORMADO</x:v>
      </x:c>
      <x:c r="V1405" s="24" t="str">
        <x:v>Programa de Parcerias ZEISS — categoria Experts</x:v>
      </x:c>
      <x:c r="W1405" s="24" t="n">
        <x:v>14</x:v>
      </x:c>
      <x:c r="X1405" s="24" t="str">
        <x:v>tabela_zeiss.pdf</x:v>
      </x:c>
      <x:c r="Y1405" s="24" t="str">
        <x:v>alta</x:v>
      </x:c>
      <x:c r="Z1405" s="24"/>
      <x:c r="AA1405" s="24" t="str">
        <x:v>ZEISS|Visão Simples|Surfaçada|ClearMind Individual 3||1.74|1.74|DuraVision Chrome UV|-10.00 a +6.00|-6.00|-|70 a 75|||14</x:v>
      </x:c>
    </x:row>
    <x:row r="1406">
      <x:c r="A1406" s="24" t="str">
        <x:v>ZS-9CCB4B1B58B2</x:v>
      </x:c>
      <x:c r="B1406" s="24" t="str">
        <x:v>SIM</x:v>
      </x:c>
      <x:c r="C1406" s="24" t="str">
        <x:v>DISPONÍVEL</x:v>
      </x:c>
      <x:c r="D1406" s="24" t="str">
        <x:v>ZEISS</x:v>
      </x:c>
      <x:c r="E1406" s="24" t="str">
        <x:v>Visão Simples</x:v>
      </x:c>
      <x:c r="F1406" s="24" t="str">
        <x:v>Surfaçada</x:v>
      </x:c>
      <x:c r="G1406" s="24" t="str">
        <x:v>ClearMind Individual 3</x:v>
      </x:c>
      <x:c r="H1406" s="24" t="str">
        <x:v>PhotoFusion X</x:v>
      </x:c>
      <x:c r="I1406" s="24" t="str">
        <x:v>1.5</x:v>
      </x:c>
      <x:c r="J1406" s="24" t="str">
        <x:v>1.50</x:v>
      </x:c>
      <x:c r="K1406" s="24" t="str">
        <x:v>DuraVision Gold UV</x:v>
      </x:c>
      <x:c r="L1406" s="40" t="n">
        <x:v>3967</x:v>
      </x:c>
      <x:c r="M1406" s="24" t="str">
        <x:v>-6.00 a +6.00</x:v>
      </x:c>
      <x:c r="N1406" s="24" t="str">
        <x:v>-4.00</x:v>
      </x:c>
      <x:c r="O1406" s="24" t="str">
        <x:v>-</x:v>
      </x:c>
      <x:c r="P1406" s="24" t="str">
        <x:v>75</x:v>
      </x:c>
      <x:c r="Q1406" s="24"/>
      <x:c r="R1406" s="24"/>
      <x:c r="S1406" s="26" t="n">
        <x:v>46113</x:v>
      </x:c>
      <x:c r="T1406" s="26"/>
      <x:c r="U1406" s="24" t="str">
        <x:v>ATIVA/SEM FIM INFORMADO</x:v>
      </x:c>
      <x:c r="V1406" s="24" t="str">
        <x:v>Programa de Parcerias ZEISS — categoria Experts; Programa de Parcerias ZEISS</x:v>
      </x:c>
      <x:c r="W1406" s="24" t="n">
        <x:v>14</x:v>
      </x:c>
      <x:c r="X1406" s="24" t="str">
        <x:v>tabela_zeiss.pdf</x:v>
      </x:c>
      <x:c r="Y1406" s="24" t="str">
        <x:v>alta</x:v>
      </x:c>
      <x:c r="Z1406" s="24"/>
      <x:c r="AA1406" s="24" t="str">
        <x:v>ZEISS|Visão Simples|Surfaçada|ClearMind Individual 3|PhotoFusion X|1.5|1.50|DuraVision Gold UV|-6.00 a +6.00|-4.00|-|75|||14</x:v>
      </x:c>
    </x:row>
    <x:row r="1407">
      <x:c r="A1407" s="24" t="str">
        <x:v>ZS-47D592CF0699</x:v>
      </x:c>
      <x:c r="B1407" s="24" t="str">
        <x:v>SIM</x:v>
      </x:c>
      <x:c r="C1407" s="24" t="str">
        <x:v>DISPONÍVEL</x:v>
      </x:c>
      <x:c r="D1407" s="24" t="str">
        <x:v>ZEISS</x:v>
      </x:c>
      <x:c r="E1407" s="24" t="str">
        <x:v>Visão Simples</x:v>
      </x:c>
      <x:c r="F1407" s="24" t="str">
        <x:v>Surfaçada</x:v>
      </x:c>
      <x:c r="G1407" s="24" t="str">
        <x:v>ClearMind Individual 3</x:v>
      </x:c>
      <x:c r="H1407" s="24" t="str">
        <x:v>PhotoFusion X</x:v>
      </x:c>
      <x:c r="I1407" s="24" t="str">
        <x:v>1.5</x:v>
      </x:c>
      <x:c r="J1407" s="24" t="str">
        <x:v>1.50</x:v>
      </x:c>
      <x:c r="K1407" s="24" t="str">
        <x:v>DURAVISION® ANTIVÍRUS PLATINUM UV</x:v>
      </x:c>
      <x:c r="L1407" s="40" t="n">
        <x:v>3827</x:v>
      </x:c>
      <x:c r="M1407" s="24" t="str">
        <x:v>-6.00 a +6.00</x:v>
      </x:c>
      <x:c r="N1407" s="24" t="str">
        <x:v>-4.00</x:v>
      </x:c>
      <x:c r="O1407" s="24" t="str">
        <x:v>-</x:v>
      </x:c>
      <x:c r="P1407" s="24" t="str">
        <x:v>75</x:v>
      </x:c>
      <x:c r="Q1407" s="24"/>
      <x:c r="R1407" s="24"/>
      <x:c r="S1407" s="26" t="n">
        <x:v>46113</x:v>
      </x:c>
      <x:c r="T1407" s="26"/>
      <x:c r="U1407" s="24" t="str">
        <x:v>ATIVA/SEM FIM INFORMADO</x:v>
      </x:c>
      <x:c r="V1407" s="24" t="str">
        <x:v>Programa de Parcerias ZEISS — categoria Experts; Programa de Parcerias ZEISS</x:v>
      </x:c>
      <x:c r="W1407" s="24" t="n">
        <x:v>14</x:v>
      </x:c>
      <x:c r="X1407" s="24" t="str">
        <x:v>tabela_zeiss.pdf</x:v>
      </x:c>
      <x:c r="Y1407" s="24" t="str">
        <x:v>alta</x:v>
      </x:c>
      <x:c r="Z1407" s="24"/>
      <x:c r="AA1407" s="24" t="str">
        <x:v>ZEISS|Visão Simples|Surfaçada|ClearMind Individual 3|PhotoFusion X|1.5|1.50|DURAVISION® ANTIVÍRUS PLATINUM UV|-6.00 a +6.00|-4.00|-|75|||14</x:v>
      </x:c>
    </x:row>
    <x:row r="1408">
      <x:c r="A1408" s="24" t="str">
        <x:v>ZS-9EC667F3859A</x:v>
      </x:c>
      <x:c r="B1408" s="24" t="str">
        <x:v>SIM</x:v>
      </x:c>
      <x:c r="C1408" s="24" t="str">
        <x:v>DISPONÍVEL</x:v>
      </x:c>
      <x:c r="D1408" s="24" t="str">
        <x:v>ZEISS</x:v>
      </x:c>
      <x:c r="E1408" s="24" t="str">
        <x:v>Visão Simples</x:v>
      </x:c>
      <x:c r="F1408" s="24" t="str">
        <x:v>Surfaçada</x:v>
      </x:c>
      <x:c r="G1408" s="24" t="str">
        <x:v>ClearMind Individual 3</x:v>
      </x:c>
      <x:c r="H1408" s="24" t="str">
        <x:v>PhotoFusion X</x:v>
      </x:c>
      <x:c r="I1408" s="24" t="str">
        <x:v>1.5</x:v>
      </x:c>
      <x:c r="J1408" s="24" t="str">
        <x:v>1.50</x:v>
      </x:c>
      <x:c r="K1408" s="24" t="str">
        <x:v>DuraVision Platinum UV</x:v>
      </x:c>
      <x:c r="L1408" s="40" t="n">
        <x:v>3827</x:v>
      </x:c>
      <x:c r="M1408" s="24" t="str">
        <x:v>-6.00 a +6.00</x:v>
      </x:c>
      <x:c r="N1408" s="24" t="str">
        <x:v>-4.00</x:v>
      </x:c>
      <x:c r="O1408" s="24" t="str">
        <x:v>-</x:v>
      </x:c>
      <x:c r="P1408" s="24" t="str">
        <x:v>75</x:v>
      </x:c>
      <x:c r="Q1408" s="24"/>
      <x:c r="R1408" s="24"/>
      <x:c r="S1408" s="26" t="n">
        <x:v>46113</x:v>
      </x:c>
      <x:c r="T1408" s="26"/>
      <x:c r="U1408" s="24" t="str">
        <x:v>ATIVA/SEM FIM INFORMADO</x:v>
      </x:c>
      <x:c r="V1408" s="24" t="str">
        <x:v>Programa de Parcerias ZEISS — categoria Experts; Programa de Parcerias ZEISS</x:v>
      </x:c>
      <x:c r="W1408" s="24" t="n">
        <x:v>14</x:v>
      </x:c>
      <x:c r="X1408" s="24" t="str">
        <x:v>tabela_zeiss.pdf</x:v>
      </x:c>
      <x:c r="Y1408" s="24" t="str">
        <x:v>alta</x:v>
      </x:c>
      <x:c r="Z1408" s="24"/>
      <x:c r="AA1408" s="24" t="str">
        <x:v>ZEISS|Visão Simples|Surfaçada|ClearMind Individual 3|PhotoFusion X|1.5|1.50|DuraVision Platinum UV|-6.00 a +6.00|-4.00|-|75|||14</x:v>
      </x:c>
    </x:row>
    <x:row r="1409">
      <x:c r="A1409" s="24" t="str">
        <x:v>ZS-64E16DAE85EF</x:v>
      </x:c>
      <x:c r="B1409" s="24" t="str">
        <x:v>SIM</x:v>
      </x:c>
      <x:c r="C1409" s="24" t="str">
        <x:v>DISPONÍVEL</x:v>
      </x:c>
      <x:c r="D1409" s="24" t="str">
        <x:v>ZEISS</x:v>
      </x:c>
      <x:c r="E1409" s="24" t="str">
        <x:v>Visão Simples</x:v>
      </x:c>
      <x:c r="F1409" s="24" t="str">
        <x:v>Surfaçada</x:v>
      </x:c>
      <x:c r="G1409" s="24" t="str">
        <x:v>ClearMind Individual 3</x:v>
      </x:c>
      <x:c r="H1409" s="24" t="str">
        <x:v>PhotoFusion X</x:v>
      </x:c>
      <x:c r="I1409" s="24" t="str">
        <x:v>1.5</x:v>
      </x:c>
      <x:c r="J1409" s="24" t="str">
        <x:v>1.50</x:v>
      </x:c>
      <x:c r="K1409" s="24" t="str">
        <x:v>DuraVision Silver UV</x:v>
      </x:c>
      <x:c r="L1409" s="40" t="n">
        <x:v>3567</x:v>
      </x:c>
      <x:c r="M1409" s="24" t="str">
        <x:v>-6.00 a +6.00</x:v>
      </x:c>
      <x:c r="N1409" s="24" t="str">
        <x:v>-4.00</x:v>
      </x:c>
      <x:c r="O1409" s="24" t="str">
        <x:v>-</x:v>
      </x:c>
      <x:c r="P1409" s="24" t="str">
        <x:v>75</x:v>
      </x:c>
      <x:c r="Q1409" s="24"/>
      <x:c r="R1409" s="24"/>
      <x:c r="S1409" s="26" t="n">
        <x:v>46113</x:v>
      </x:c>
      <x:c r="T1409" s="26"/>
      <x:c r="U1409" s="24" t="str">
        <x:v>ATIVA/SEM FIM INFORMADO</x:v>
      </x:c>
      <x:c r="V1409" s="24" t="str">
        <x:v>Programa de Parcerias ZEISS — categoria Experts; Programa de Parcerias ZEISS</x:v>
      </x:c>
      <x:c r="W1409" s="24" t="n">
        <x:v>14</x:v>
      </x:c>
      <x:c r="X1409" s="24" t="str">
        <x:v>tabela_zeiss.pdf</x:v>
      </x:c>
      <x:c r="Y1409" s="24" t="str">
        <x:v>alta</x:v>
      </x:c>
      <x:c r="Z1409" s="24"/>
      <x:c r="AA1409" s="24" t="str">
        <x:v>ZEISS|Visão Simples|Surfaçada|ClearMind Individual 3|PhotoFusion X|1.5|1.50|DuraVision Silver UV|-6.00 a +6.00|-4.00|-|75|||14</x:v>
      </x:c>
    </x:row>
    <x:row r="1410">
      <x:c r="A1410" s="24" t="str">
        <x:v>ZS-6D413C3AC303</x:v>
      </x:c>
      <x:c r="B1410" s="24" t="str">
        <x:v>SIM</x:v>
      </x:c>
      <x:c r="C1410" s="24" t="str">
        <x:v>DISPONÍVEL</x:v>
      </x:c>
      <x:c r="D1410" s="24" t="str">
        <x:v>ZEISS</x:v>
      </x:c>
      <x:c r="E1410" s="24" t="str">
        <x:v>Visão Simples</x:v>
      </x:c>
      <x:c r="F1410" s="24" t="str">
        <x:v>Surfaçada</x:v>
      </x:c>
      <x:c r="G1410" s="24" t="str">
        <x:v>ClearMind Individual 3</x:v>
      </x:c>
      <x:c r="H1410" s="24" t="str">
        <x:v>PhotoFusion X</x:v>
      </x:c>
      <x:c r="I1410" s="24" t="str">
        <x:v>1.5</x:v>
      </x:c>
      <x:c r="J1410" s="24" t="str">
        <x:v>1.50</x:v>
      </x:c>
      <x:c r="K1410" s="24" t="str">
        <x:v>DuraVision Chrome UV</x:v>
      </x:c>
      <x:c r="L1410" s="40" t="n">
        <x:v>3077</x:v>
      </x:c>
      <x:c r="M1410" s="24" t="str">
        <x:v>-6.00 a +6.00</x:v>
      </x:c>
      <x:c r="N1410" s="24" t="str">
        <x:v>-4.00</x:v>
      </x:c>
      <x:c r="O1410" s="24" t="str">
        <x:v>-</x:v>
      </x:c>
      <x:c r="P1410" s="24" t="str">
        <x:v>75</x:v>
      </x:c>
      <x:c r="Q1410" s="24"/>
      <x:c r="R1410" s="24"/>
      <x:c r="S1410" s="26" t="n">
        <x:v>46113</x:v>
      </x:c>
      <x:c r="T1410" s="26"/>
      <x:c r="U1410" s="24" t="str">
        <x:v>ATIVA/SEM FIM INFORMADO</x:v>
      </x:c>
      <x:c r="V1410" s="24" t="str">
        <x:v>Programa de Parcerias ZEISS — categoria Experts; Programa de Parcerias ZEISS</x:v>
      </x:c>
      <x:c r="W1410" s="24" t="n">
        <x:v>14</x:v>
      </x:c>
      <x:c r="X1410" s="24" t="str">
        <x:v>tabela_zeiss.pdf</x:v>
      </x:c>
      <x:c r="Y1410" s="24" t="str">
        <x:v>alta</x:v>
      </x:c>
      <x:c r="Z1410" s="24"/>
      <x:c r="AA1410" s="24" t="str">
        <x:v>ZEISS|Visão Simples|Surfaçada|ClearMind Individual 3|PhotoFusion X|1.5|1.50|DuraVision Chrome UV|-6.00 a +6.00|-4.00|-|75|||14</x:v>
      </x:c>
    </x:row>
    <x:row r="1411">
      <x:c r="A1411" s="24" t="str">
        <x:v>ZS-194FA1C2193D</x:v>
      </x:c>
      <x:c r="B1411" s="24" t="str">
        <x:v>SIM</x:v>
      </x:c>
      <x:c r="C1411" s="24" t="str">
        <x:v>DISPONÍVEL</x:v>
      </x:c>
      <x:c r="D1411" s="24" t="str">
        <x:v>ZEISS</x:v>
      </x:c>
      <x:c r="E1411" s="24" t="str">
        <x:v>Visão Simples</x:v>
      </x:c>
      <x:c r="F1411" s="24" t="str">
        <x:v>Surfaçada</x:v>
      </x:c>
      <x:c r="G1411" s="24" t="str">
        <x:v>ClearMind Individual 3</x:v>
      </x:c>
      <x:c r="H1411" s="24" t="str">
        <x:v>PhotoFusion X</x:v>
      </x:c>
      <x:c r="I1411" s="24" t="str">
        <x:v>Poli</x:v>
      </x:c>
      <x:c r="J1411" s="24"/>
      <x:c r="K1411" s="24" t="str">
        <x:v>DuraVision Gold UV</x:v>
      </x:c>
      <x:c r="L1411" s="40" t="n">
        <x:v>4327</x:v>
      </x:c>
      <x:c r="M1411" s="24" t="str">
        <x:v>-10.00 a +8.00</x:v>
      </x:c>
      <x:c r="N1411" s="24" t="str">
        <x:v>-4.00</x:v>
      </x:c>
      <x:c r="O1411" s="24" t="str">
        <x:v>-</x:v>
      </x:c>
      <x:c r="P1411" s="24" t="str">
        <x:v>70</x:v>
      </x:c>
      <x:c r="Q1411" s="24"/>
      <x:c r="R1411" s="24"/>
      <x:c r="S1411" s="26" t="n">
        <x:v>46113</x:v>
      </x:c>
      <x:c r="T1411" s="26"/>
      <x:c r="U1411" s="24" t="str">
        <x:v>ATIVA/SEM FIM INFORMADO</x:v>
      </x:c>
      <x:c r="V1411" s="24" t="str">
        <x:v>Programa de Parcerias ZEISS — categoria Experts; Programa de Parcerias ZEISS</x:v>
      </x:c>
      <x:c r="W1411" s="24" t="n">
        <x:v>14</x:v>
      </x:c>
      <x:c r="X1411" s="24" t="str">
        <x:v>tabela_zeiss.pdf</x:v>
      </x:c>
      <x:c r="Y1411" s="24" t="str">
        <x:v>alta</x:v>
      </x:c>
      <x:c r="Z1411" s="24"/>
      <x:c r="AA1411" s="24" t="str">
        <x:v>ZEISS|Visão Simples|Surfaçada|ClearMind Individual 3|PhotoFusion X|Poli||DuraVision Gold UV|-10.00 a +8.00|-4.00|-|70|||14</x:v>
      </x:c>
    </x:row>
    <x:row r="1412">
      <x:c r="A1412" s="24" t="str">
        <x:v>ZS-FC2E8B45F2C1</x:v>
      </x:c>
      <x:c r="B1412" s="24" t="str">
        <x:v>SIM</x:v>
      </x:c>
      <x:c r="C1412" s="24" t="str">
        <x:v>DISPONÍVEL</x:v>
      </x:c>
      <x:c r="D1412" s="24" t="str">
        <x:v>ZEISS</x:v>
      </x:c>
      <x:c r="E1412" s="24" t="str">
        <x:v>Visão Simples</x:v>
      </x:c>
      <x:c r="F1412" s="24" t="str">
        <x:v>Surfaçada</x:v>
      </x:c>
      <x:c r="G1412" s="24" t="str">
        <x:v>ClearMind Individual 3</x:v>
      </x:c>
      <x:c r="H1412" s="24" t="str">
        <x:v>PhotoFusion X</x:v>
      </x:c>
      <x:c r="I1412" s="24" t="str">
        <x:v>Poli</x:v>
      </x:c>
      <x:c r="J1412" s="24"/>
      <x:c r="K1412" s="24" t="str">
        <x:v>DuraVision Platinum UV</x:v>
      </x:c>
      <x:c r="L1412" s="40" t="n">
        <x:v>4187</x:v>
      </x:c>
      <x:c r="M1412" s="24" t="str">
        <x:v>-10.00 a +8.00</x:v>
      </x:c>
      <x:c r="N1412" s="24" t="str">
        <x:v>-4.00</x:v>
      </x:c>
      <x:c r="O1412" s="24" t="str">
        <x:v>-</x:v>
      </x:c>
      <x:c r="P1412" s="24" t="str">
        <x:v>70</x:v>
      </x:c>
      <x:c r="Q1412" s="24"/>
      <x:c r="R1412" s="24"/>
      <x:c r="S1412" s="26" t="n">
        <x:v>46113</x:v>
      </x:c>
      <x:c r="T1412" s="26"/>
      <x:c r="U1412" s="24" t="str">
        <x:v>ATIVA/SEM FIM INFORMADO</x:v>
      </x:c>
      <x:c r="V1412" s="24" t="str">
        <x:v>Programa de Parcerias ZEISS — categoria Experts; Programa de Parcerias ZEISS</x:v>
      </x:c>
      <x:c r="W1412" s="24" t="n">
        <x:v>14</x:v>
      </x:c>
      <x:c r="X1412" s="24" t="str">
        <x:v>tabela_zeiss.pdf</x:v>
      </x:c>
      <x:c r="Y1412" s="24" t="str">
        <x:v>alta</x:v>
      </x:c>
      <x:c r="Z1412" s="24"/>
      <x:c r="AA1412" s="24" t="str">
        <x:v>ZEISS|Visão Simples|Surfaçada|ClearMind Individual 3|PhotoFusion X|Poli||DuraVision Platinum UV|-10.00 a +8.00|-4.00|-|70|||14</x:v>
      </x:c>
    </x:row>
    <x:row r="1413">
      <x:c r="A1413" s="24" t="str">
        <x:v>ZS-BBD03D8E4F24</x:v>
      </x:c>
      <x:c r="B1413" s="24" t="str">
        <x:v>SIM</x:v>
      </x:c>
      <x:c r="C1413" s="24" t="str">
        <x:v>DISPONÍVEL</x:v>
      </x:c>
      <x:c r="D1413" s="24" t="str">
        <x:v>ZEISS</x:v>
      </x:c>
      <x:c r="E1413" s="24" t="str">
        <x:v>Visão Simples</x:v>
      </x:c>
      <x:c r="F1413" s="24" t="str">
        <x:v>Surfaçada</x:v>
      </x:c>
      <x:c r="G1413" s="24" t="str">
        <x:v>ClearMind Individual 3</x:v>
      </x:c>
      <x:c r="H1413" s="24" t="str">
        <x:v>PhotoFusion X</x:v>
      </x:c>
      <x:c r="I1413" s="24" t="str">
        <x:v>Poli</x:v>
      </x:c>
      <x:c r="J1413" s="24"/>
      <x:c r="K1413" s="24" t="str">
        <x:v>DuraVision Silver UV</x:v>
      </x:c>
      <x:c r="L1413" s="40" t="n">
        <x:v>3927</x:v>
      </x:c>
      <x:c r="M1413" s="24" t="str">
        <x:v>-10.00 a +8.00</x:v>
      </x:c>
      <x:c r="N1413" s="24" t="str">
        <x:v>-4.00</x:v>
      </x:c>
      <x:c r="O1413" s="24" t="str">
        <x:v>-</x:v>
      </x:c>
      <x:c r="P1413" s="24" t="str">
        <x:v>70</x:v>
      </x:c>
      <x:c r="Q1413" s="24"/>
      <x:c r="R1413" s="24"/>
      <x:c r="S1413" s="26" t="n">
        <x:v>46113</x:v>
      </x:c>
      <x:c r="T1413" s="26"/>
      <x:c r="U1413" s="24" t="str">
        <x:v>ATIVA/SEM FIM INFORMADO</x:v>
      </x:c>
      <x:c r="V1413" s="24" t="str">
        <x:v>Programa de Parcerias ZEISS — categoria Experts; Programa de Parcerias ZEISS</x:v>
      </x:c>
      <x:c r="W1413" s="24" t="n">
        <x:v>14</x:v>
      </x:c>
      <x:c r="X1413" s="24" t="str">
        <x:v>tabela_zeiss.pdf</x:v>
      </x:c>
      <x:c r="Y1413" s="24" t="str">
        <x:v>alta</x:v>
      </x:c>
      <x:c r="Z1413" s="24"/>
      <x:c r="AA1413" s="24" t="str">
        <x:v>ZEISS|Visão Simples|Surfaçada|ClearMind Individual 3|PhotoFusion X|Poli||DuraVision Silver UV|-10.00 a +8.00|-4.00|-|70|||14</x:v>
      </x:c>
    </x:row>
    <x:row r="1414">
      <x:c r="A1414" s="24" t="str">
        <x:v>ZS-3C9C86C43EAD</x:v>
      </x:c>
      <x:c r="B1414" s="24" t="str">
        <x:v>SIM</x:v>
      </x:c>
      <x:c r="C1414" s="24" t="str">
        <x:v>DISPONÍVEL</x:v>
      </x:c>
      <x:c r="D1414" s="24" t="str">
        <x:v>ZEISS</x:v>
      </x:c>
      <x:c r="E1414" s="24" t="str">
        <x:v>Visão Simples</x:v>
      </x:c>
      <x:c r="F1414" s="24" t="str">
        <x:v>Surfaçada</x:v>
      </x:c>
      <x:c r="G1414" s="24" t="str">
        <x:v>ClearMind Individual 3</x:v>
      </x:c>
      <x:c r="H1414" s="24" t="str">
        <x:v>PhotoFusion X</x:v>
      </x:c>
      <x:c r="I1414" s="24" t="str">
        <x:v>Poli</x:v>
      </x:c>
      <x:c r="J1414" s="24"/>
      <x:c r="K1414" s="24" t="str">
        <x:v>DuraVision Chrome UV</x:v>
      </x:c>
      <x:c r="L1414" s="40" t="n">
        <x:v>3437</x:v>
      </x:c>
      <x:c r="M1414" s="24" t="str">
        <x:v>-10.00 a +8.00</x:v>
      </x:c>
      <x:c r="N1414" s="24" t="str">
        <x:v>-4.00</x:v>
      </x:c>
      <x:c r="O1414" s="24" t="str">
        <x:v>-</x:v>
      </x:c>
      <x:c r="P1414" s="24" t="str">
        <x:v>70</x:v>
      </x:c>
      <x:c r="Q1414" s="24"/>
      <x:c r="R1414" s="24"/>
      <x:c r="S1414" s="26" t="n">
        <x:v>46113</x:v>
      </x:c>
      <x:c r="T1414" s="26"/>
      <x:c r="U1414" s="24" t="str">
        <x:v>ATIVA/SEM FIM INFORMADO</x:v>
      </x:c>
      <x:c r="V1414" s="24" t="str">
        <x:v>Programa de Parcerias ZEISS — categoria Experts; Programa de Parcerias ZEISS</x:v>
      </x:c>
      <x:c r="W1414" s="24" t="n">
        <x:v>14</x:v>
      </x:c>
      <x:c r="X1414" s="24" t="str">
        <x:v>tabela_zeiss.pdf</x:v>
      </x:c>
      <x:c r="Y1414" s="24" t="str">
        <x:v>alta</x:v>
      </x:c>
      <x:c r="Z1414" s="24"/>
      <x:c r="AA1414" s="24" t="str">
        <x:v>ZEISS|Visão Simples|Surfaçada|ClearMind Individual 3|PhotoFusion X|Poli||DuraVision Chrome UV|-10.00 a +8.00|-4.00|-|70|||14</x:v>
      </x:c>
    </x:row>
    <x:row r="1415">
      <x:c r="A1415" s="24" t="str">
        <x:v>ZS-86D6B0DECC01</x:v>
      </x:c>
      <x:c r="B1415" s="24" t="str">
        <x:v>SIM</x:v>
      </x:c>
      <x:c r="C1415" s="24" t="str">
        <x:v>DISPONÍVEL</x:v>
      </x:c>
      <x:c r="D1415" s="24" t="str">
        <x:v>ZEISS</x:v>
      </x:c>
      <x:c r="E1415" s="24" t="str">
        <x:v>Visão Simples</x:v>
      </x:c>
      <x:c r="F1415" s="24" t="str">
        <x:v>Surfaçada</x:v>
      </x:c>
      <x:c r="G1415" s="24" t="str">
        <x:v>ClearMind Individual 3</x:v>
      </x:c>
      <x:c r="H1415" s="24" t="str">
        <x:v>PhotoFusion X</x:v>
      </x:c>
      <x:c r="I1415" s="24" t="str">
        <x:v>1.6</x:v>
      </x:c>
      <x:c r="J1415" s="24" t="str">
        <x:v>1.60</x:v>
      </x:c>
      <x:c r="K1415" s="24" t="str">
        <x:v>DuraVision Gold UV</x:v>
      </x:c>
      <x:c r="L1415" s="40" t="n">
        <x:v>4547</x:v>
      </x:c>
      <x:c r="M1415" s="24" t="str">
        <x:v>-6.00 a +8.00</x:v>
      </x:c>
      <x:c r="N1415" s="24" t="str">
        <x:v>-4.00</x:v>
      </x:c>
      <x:c r="O1415" s="24" t="str">
        <x:v>-</x:v>
      </x:c>
      <x:c r="P1415" s="24" t="str">
        <x:v>75</x:v>
      </x:c>
      <x:c r="Q1415" s="24"/>
      <x:c r="R1415" s="24"/>
      <x:c r="S1415" s="26" t="n">
        <x:v>46113</x:v>
      </x:c>
      <x:c r="T1415" s="26"/>
      <x:c r="U1415" s="24" t="str">
        <x:v>ATIVA/SEM FIM INFORMADO</x:v>
      </x:c>
      <x:c r="V1415" s="24" t="str">
        <x:v>Programa de Parcerias ZEISS — categoria Experts; Programa de Parcerias ZEISS</x:v>
      </x:c>
      <x:c r="W1415" s="24" t="n">
        <x:v>14</x:v>
      </x:c>
      <x:c r="X1415" s="24" t="str">
        <x:v>tabela_zeiss.pdf</x:v>
      </x:c>
      <x:c r="Y1415" s="24" t="str">
        <x:v>alta</x:v>
      </x:c>
      <x:c r="Z1415" s="24"/>
      <x:c r="AA1415" s="24" t="str">
        <x:v>ZEISS|Visão Simples|Surfaçada|ClearMind Individual 3|PhotoFusion X|1.6|1.60|DuraVision Gold UV|-6.00 a +8.00|-4.00|-|75|||14</x:v>
      </x:c>
    </x:row>
    <x:row r="1416">
      <x:c r="A1416" s="24" t="str">
        <x:v>ZS-F2D41D7B2EA4</x:v>
      </x:c>
      <x:c r="B1416" s="24" t="str">
        <x:v>SIM</x:v>
      </x:c>
      <x:c r="C1416" s="24" t="str">
        <x:v>DISPONÍVEL</x:v>
      </x:c>
      <x:c r="D1416" s="24" t="str">
        <x:v>ZEISS</x:v>
      </x:c>
      <x:c r="E1416" s="24" t="str">
        <x:v>Visão Simples</x:v>
      </x:c>
      <x:c r="F1416" s="24" t="str">
        <x:v>Surfaçada</x:v>
      </x:c>
      <x:c r="G1416" s="24" t="str">
        <x:v>ClearMind Individual 3</x:v>
      </x:c>
      <x:c r="H1416" s="24" t="str">
        <x:v>PhotoFusion X</x:v>
      </x:c>
      <x:c r="I1416" s="24" t="str">
        <x:v>1.6</x:v>
      </x:c>
      <x:c r="J1416" s="24" t="str">
        <x:v>1.60</x:v>
      </x:c>
      <x:c r="K1416" s="24" t="str">
        <x:v>DURAVISION® ANTIVÍRUS PLATINUM UV</x:v>
      </x:c>
      <x:c r="L1416" s="40" t="n">
        <x:v>4407</x:v>
      </x:c>
      <x:c r="M1416" s="24" t="str">
        <x:v>-6.00 a +8.00</x:v>
      </x:c>
      <x:c r="N1416" s="24" t="str">
        <x:v>-4.00</x:v>
      </x:c>
      <x:c r="O1416" s="24" t="str">
        <x:v>-</x:v>
      </x:c>
      <x:c r="P1416" s="24" t="str">
        <x:v>75</x:v>
      </x:c>
      <x:c r="Q1416" s="24"/>
      <x:c r="R1416" s="24"/>
      <x:c r="S1416" s="26" t="n">
        <x:v>46113</x:v>
      </x:c>
      <x:c r="T1416" s="26"/>
      <x:c r="U1416" s="24" t="str">
        <x:v>ATIVA/SEM FIM INFORMADO</x:v>
      </x:c>
      <x:c r="V1416" s="24" t="str">
        <x:v>Programa de Parcerias ZEISS — categoria Experts; Programa de Parcerias ZEISS</x:v>
      </x:c>
      <x:c r="W1416" s="24" t="n">
        <x:v>14</x:v>
      </x:c>
      <x:c r="X1416" s="24" t="str">
        <x:v>tabela_zeiss.pdf</x:v>
      </x:c>
      <x:c r="Y1416" s="24" t="str">
        <x:v>alta</x:v>
      </x:c>
      <x:c r="Z1416" s="24"/>
      <x:c r="AA1416" s="24" t="str">
        <x:v>ZEISS|Visão Simples|Surfaçada|ClearMind Individual 3|PhotoFusion X|1.6|1.60|DURAVISION® ANTIVÍRUS PLATINUM UV|-6.00 a +8.00|-4.00|-|75|||14</x:v>
      </x:c>
    </x:row>
    <x:row r="1417">
      <x:c r="A1417" s="24" t="str">
        <x:v>ZS-6E53AA1C5814</x:v>
      </x:c>
      <x:c r="B1417" s="24" t="str">
        <x:v>SIM</x:v>
      </x:c>
      <x:c r="C1417" s="24" t="str">
        <x:v>DISPONÍVEL</x:v>
      </x:c>
      <x:c r="D1417" s="24" t="str">
        <x:v>ZEISS</x:v>
      </x:c>
      <x:c r="E1417" s="24" t="str">
        <x:v>Visão Simples</x:v>
      </x:c>
      <x:c r="F1417" s="24" t="str">
        <x:v>Surfaçada</x:v>
      </x:c>
      <x:c r="G1417" s="24" t="str">
        <x:v>ClearMind Individual 3</x:v>
      </x:c>
      <x:c r="H1417" s="24" t="str">
        <x:v>PhotoFusion X</x:v>
      </x:c>
      <x:c r="I1417" s="24" t="str">
        <x:v>1.6</x:v>
      </x:c>
      <x:c r="J1417" s="24" t="str">
        <x:v>1.60</x:v>
      </x:c>
      <x:c r="K1417" s="24" t="str">
        <x:v>DuraVision Platinum UV</x:v>
      </x:c>
      <x:c r="L1417" s="40" t="n">
        <x:v>4407</x:v>
      </x:c>
      <x:c r="M1417" s="24" t="str">
        <x:v>-6.00 a +8.00</x:v>
      </x:c>
      <x:c r="N1417" s="24" t="str">
        <x:v>-4.00</x:v>
      </x:c>
      <x:c r="O1417" s="24" t="str">
        <x:v>-</x:v>
      </x:c>
      <x:c r="P1417" s="24" t="str">
        <x:v>75</x:v>
      </x:c>
      <x:c r="Q1417" s="24"/>
      <x:c r="R1417" s="24"/>
      <x:c r="S1417" s="26" t="n">
        <x:v>46113</x:v>
      </x:c>
      <x:c r="T1417" s="26"/>
      <x:c r="U1417" s="24" t="str">
        <x:v>ATIVA/SEM FIM INFORMADO</x:v>
      </x:c>
      <x:c r="V1417" s="24" t="str">
        <x:v>Programa de Parcerias ZEISS — categoria Experts; Programa de Parcerias ZEISS</x:v>
      </x:c>
      <x:c r="W1417" s="24" t="n">
        <x:v>14</x:v>
      </x:c>
      <x:c r="X1417" s="24" t="str">
        <x:v>tabela_zeiss.pdf</x:v>
      </x:c>
      <x:c r="Y1417" s="24" t="str">
        <x:v>alta</x:v>
      </x:c>
      <x:c r="Z1417" s="24"/>
      <x:c r="AA1417" s="24" t="str">
        <x:v>ZEISS|Visão Simples|Surfaçada|ClearMind Individual 3|PhotoFusion X|1.6|1.60|DuraVision Platinum UV|-6.00 a +8.00|-4.00|-|75|||14</x:v>
      </x:c>
    </x:row>
    <x:row r="1418">
      <x:c r="A1418" s="24" t="str">
        <x:v>ZS-694C50018680</x:v>
      </x:c>
      <x:c r="B1418" s="24" t="str">
        <x:v>SIM</x:v>
      </x:c>
      <x:c r="C1418" s="24" t="str">
        <x:v>DISPONÍVEL</x:v>
      </x:c>
      <x:c r="D1418" s="24" t="str">
        <x:v>ZEISS</x:v>
      </x:c>
      <x:c r="E1418" s="24" t="str">
        <x:v>Visão Simples</x:v>
      </x:c>
      <x:c r="F1418" s="24" t="str">
        <x:v>Surfaçada</x:v>
      </x:c>
      <x:c r="G1418" s="24" t="str">
        <x:v>ClearMind Individual 3</x:v>
      </x:c>
      <x:c r="H1418" s="24" t="str">
        <x:v>PhotoFusion X</x:v>
      </x:c>
      <x:c r="I1418" s="24" t="str">
        <x:v>1.6</x:v>
      </x:c>
      <x:c r="J1418" s="24" t="str">
        <x:v>1.60</x:v>
      </x:c>
      <x:c r="K1418" s="24" t="str">
        <x:v>DuraVision Silver UV</x:v>
      </x:c>
      <x:c r="L1418" s="40" t="n">
        <x:v>4147</x:v>
      </x:c>
      <x:c r="M1418" s="24" t="str">
        <x:v>-6.00 a +8.00</x:v>
      </x:c>
      <x:c r="N1418" s="24" t="str">
        <x:v>-4.00</x:v>
      </x:c>
      <x:c r="O1418" s="24" t="str">
        <x:v>-</x:v>
      </x:c>
      <x:c r="P1418" s="24" t="str">
        <x:v>75</x:v>
      </x:c>
      <x:c r="Q1418" s="24"/>
      <x:c r="R1418" s="24"/>
      <x:c r="S1418" s="26" t="n">
        <x:v>46113</x:v>
      </x:c>
      <x:c r="T1418" s="26"/>
      <x:c r="U1418" s="24" t="str">
        <x:v>ATIVA/SEM FIM INFORMADO</x:v>
      </x:c>
      <x:c r="V1418" s="24" t="str">
        <x:v>Programa de Parcerias ZEISS — categoria Experts; Programa de Parcerias ZEISS</x:v>
      </x:c>
      <x:c r="W1418" s="24" t="n">
        <x:v>14</x:v>
      </x:c>
      <x:c r="X1418" s="24" t="str">
        <x:v>tabela_zeiss.pdf</x:v>
      </x:c>
      <x:c r="Y1418" s="24" t="str">
        <x:v>alta</x:v>
      </x:c>
      <x:c r="Z1418" s="24"/>
      <x:c r="AA1418" s="24" t="str">
        <x:v>ZEISS|Visão Simples|Surfaçada|ClearMind Individual 3|PhotoFusion X|1.6|1.60|DuraVision Silver UV|-6.00 a +8.00|-4.00|-|75|||14</x:v>
      </x:c>
    </x:row>
    <x:row r="1419">
      <x:c r="A1419" s="24" t="str">
        <x:v>ZS-A45EC8962079</x:v>
      </x:c>
      <x:c r="B1419" s="24" t="str">
        <x:v>SIM</x:v>
      </x:c>
      <x:c r="C1419" s="24" t="str">
        <x:v>DISPONÍVEL</x:v>
      </x:c>
      <x:c r="D1419" s="24" t="str">
        <x:v>ZEISS</x:v>
      </x:c>
      <x:c r="E1419" s="24" t="str">
        <x:v>Visão Simples</x:v>
      </x:c>
      <x:c r="F1419" s="24" t="str">
        <x:v>Surfaçada</x:v>
      </x:c>
      <x:c r="G1419" s="24" t="str">
        <x:v>ClearMind Individual 3</x:v>
      </x:c>
      <x:c r="H1419" s="24" t="str">
        <x:v>PhotoFusion X</x:v>
      </x:c>
      <x:c r="I1419" s="24" t="str">
        <x:v>1.6</x:v>
      </x:c>
      <x:c r="J1419" s="24" t="str">
        <x:v>1.60</x:v>
      </x:c>
      <x:c r="K1419" s="24" t="str">
        <x:v>DuraVision Chrome UV</x:v>
      </x:c>
      <x:c r="L1419" s="40" t="n">
        <x:v>3657</x:v>
      </x:c>
      <x:c r="M1419" s="24" t="str">
        <x:v>-6.00 a +8.00</x:v>
      </x:c>
      <x:c r="N1419" s="24" t="str">
        <x:v>-4.00</x:v>
      </x:c>
      <x:c r="O1419" s="24" t="str">
        <x:v>-</x:v>
      </x:c>
      <x:c r="P1419" s="24" t="str">
        <x:v>75</x:v>
      </x:c>
      <x:c r="Q1419" s="24"/>
      <x:c r="R1419" s="24"/>
      <x:c r="S1419" s="26" t="n">
        <x:v>46113</x:v>
      </x:c>
      <x:c r="T1419" s="26"/>
      <x:c r="U1419" s="24" t="str">
        <x:v>ATIVA/SEM FIM INFORMADO</x:v>
      </x:c>
      <x:c r="V1419" s="24" t="str">
        <x:v>Programa de Parcerias ZEISS — categoria Experts; Programa de Parcerias ZEISS</x:v>
      </x:c>
      <x:c r="W1419" s="24" t="n">
        <x:v>14</x:v>
      </x:c>
      <x:c r="X1419" s="24" t="str">
        <x:v>tabela_zeiss.pdf</x:v>
      </x:c>
      <x:c r="Y1419" s="24" t="str">
        <x:v>alta</x:v>
      </x:c>
      <x:c r="Z1419" s="24"/>
      <x:c r="AA1419" s="24" t="str">
        <x:v>ZEISS|Visão Simples|Surfaçada|ClearMind Individual 3|PhotoFusion X|1.6|1.60|DuraVision Chrome UV|-6.00 a +8.00|-4.00|-|75|||14</x:v>
      </x:c>
    </x:row>
    <x:row r="1420">
      <x:c r="A1420" s="24" t="str">
        <x:v>ZS-15E5AF2A80A0</x:v>
      </x:c>
      <x:c r="B1420" s="24" t="str">
        <x:v>SIM</x:v>
      </x:c>
      <x:c r="C1420" s="24" t="str">
        <x:v>DISPONÍVEL</x:v>
      </x:c>
      <x:c r="D1420" s="24" t="str">
        <x:v>ZEISS</x:v>
      </x:c>
      <x:c r="E1420" s="24" t="str">
        <x:v>Visão Simples</x:v>
      </x:c>
      <x:c r="F1420" s="24" t="str">
        <x:v>Surfaçada</x:v>
      </x:c>
      <x:c r="G1420" s="24" t="str">
        <x:v>ClearMind Individual 3</x:v>
      </x:c>
      <x:c r="H1420" s="24" t="str">
        <x:v>PhotoFusion X</x:v>
      </x:c>
      <x:c r="I1420" s="24" t="str">
        <x:v>1.67</x:v>
      </x:c>
      <x:c r="J1420" s="24" t="str">
        <x:v>1.67</x:v>
      </x:c>
      <x:c r="K1420" s="24" t="str">
        <x:v>DuraVision Gold UV</x:v>
      </x:c>
      <x:c r="L1420" s="40" t="n">
        <x:v>5847</x:v>
      </x:c>
      <x:c r="M1420" s="24" t="str">
        <x:v>-8.00 a +8.00</x:v>
      </x:c>
      <x:c r="N1420" s="24" t="str">
        <x:v>-6.00</x:v>
      </x:c>
      <x:c r="O1420" s="24" t="str">
        <x:v>-</x:v>
      </x:c>
      <x:c r="P1420" s="24" t="str">
        <x:v>70</x:v>
      </x:c>
      <x:c r="Q1420" s="24"/>
      <x:c r="R1420" s="24"/>
      <x:c r="S1420" s="26" t="n">
        <x:v>46113</x:v>
      </x:c>
      <x:c r="T1420" s="26"/>
      <x:c r="U1420" s="24" t="str">
        <x:v>ATIVA/SEM FIM INFORMADO</x:v>
      </x:c>
      <x:c r="V1420" s="24" t="str">
        <x:v>Programa de Parcerias ZEISS — categoria Experts; Programa de Parcerias ZEISS</x:v>
      </x:c>
      <x:c r="W1420" s="24" t="n">
        <x:v>14</x:v>
      </x:c>
      <x:c r="X1420" s="24" t="str">
        <x:v>tabela_zeiss.pdf</x:v>
      </x:c>
      <x:c r="Y1420" s="24" t="str">
        <x:v>alta</x:v>
      </x:c>
      <x:c r="Z1420" s="24"/>
      <x:c r="AA1420" s="24" t="str">
        <x:v>ZEISS|Visão Simples|Surfaçada|ClearMind Individual 3|PhotoFusion X|1.67|1.67|DuraVision Gold UV|-8.00 a +8.00|-6.00|-|70|||14</x:v>
      </x:c>
    </x:row>
    <x:row r="1421">
      <x:c r="A1421" s="24" t="str">
        <x:v>ZS-9819B215D4DF</x:v>
      </x:c>
      <x:c r="B1421" s="24" t="str">
        <x:v>SIM</x:v>
      </x:c>
      <x:c r="C1421" s="24" t="str">
        <x:v>DISPONÍVEL</x:v>
      </x:c>
      <x:c r="D1421" s="24" t="str">
        <x:v>ZEISS</x:v>
      </x:c>
      <x:c r="E1421" s="24" t="str">
        <x:v>Visão Simples</x:v>
      </x:c>
      <x:c r="F1421" s="24" t="str">
        <x:v>Surfaçada</x:v>
      </x:c>
      <x:c r="G1421" s="24" t="str">
        <x:v>ClearMind Individual 3</x:v>
      </x:c>
      <x:c r="H1421" s="24" t="str">
        <x:v>PhotoFusion X</x:v>
      </x:c>
      <x:c r="I1421" s="24" t="str">
        <x:v>1.67</x:v>
      </x:c>
      <x:c r="J1421" s="24" t="str">
        <x:v>1.67</x:v>
      </x:c>
      <x:c r="K1421" s="24" t="str">
        <x:v>DURAVISION® ANTIVÍRUS PLATINUM UV</x:v>
      </x:c>
      <x:c r="L1421" s="40" t="n">
        <x:v>5707</x:v>
      </x:c>
      <x:c r="M1421" s="24" t="str">
        <x:v>-8.00 a +8.00</x:v>
      </x:c>
      <x:c r="N1421" s="24" t="str">
        <x:v>-6.00</x:v>
      </x:c>
      <x:c r="O1421" s="24" t="str">
        <x:v>-</x:v>
      </x:c>
      <x:c r="P1421" s="24" t="str">
        <x:v>70</x:v>
      </x:c>
      <x:c r="Q1421" s="24"/>
      <x:c r="R1421" s="24"/>
      <x:c r="S1421" s="26" t="n">
        <x:v>46113</x:v>
      </x:c>
      <x:c r="T1421" s="26"/>
      <x:c r="U1421" s="24" t="str">
        <x:v>ATIVA/SEM FIM INFORMADO</x:v>
      </x:c>
      <x:c r="V1421" s="24" t="str">
        <x:v>Programa de Parcerias ZEISS — categoria Experts; Programa de Parcerias ZEISS</x:v>
      </x:c>
      <x:c r="W1421" s="24" t="n">
        <x:v>14</x:v>
      </x:c>
      <x:c r="X1421" s="24" t="str">
        <x:v>tabela_zeiss.pdf</x:v>
      </x:c>
      <x:c r="Y1421" s="24" t="str">
        <x:v>alta</x:v>
      </x:c>
      <x:c r="Z1421" s="24"/>
      <x:c r="AA1421" s="24" t="str">
        <x:v>ZEISS|Visão Simples|Surfaçada|ClearMind Individual 3|PhotoFusion X|1.67|1.67|DURAVISION® ANTIVÍRUS PLATINUM UV|-8.00 a +8.00|-6.00|-|70|||14</x:v>
      </x:c>
    </x:row>
    <x:row r="1422">
      <x:c r="A1422" s="24" t="str">
        <x:v>ZS-4C69B6F40BB9</x:v>
      </x:c>
      <x:c r="B1422" s="24" t="str">
        <x:v>SIM</x:v>
      </x:c>
      <x:c r="C1422" s="24" t="str">
        <x:v>DISPONÍVEL</x:v>
      </x:c>
      <x:c r="D1422" s="24" t="str">
        <x:v>ZEISS</x:v>
      </x:c>
      <x:c r="E1422" s="24" t="str">
        <x:v>Visão Simples</x:v>
      </x:c>
      <x:c r="F1422" s="24" t="str">
        <x:v>Surfaçada</x:v>
      </x:c>
      <x:c r="G1422" s="24" t="str">
        <x:v>ClearMind Individual 3</x:v>
      </x:c>
      <x:c r="H1422" s="24" t="str">
        <x:v>PhotoFusion X</x:v>
      </x:c>
      <x:c r="I1422" s="24" t="str">
        <x:v>1.67</x:v>
      </x:c>
      <x:c r="J1422" s="24" t="str">
        <x:v>1.67</x:v>
      </x:c>
      <x:c r="K1422" s="24" t="str">
        <x:v>DuraVision Platinum UV</x:v>
      </x:c>
      <x:c r="L1422" s="40" t="n">
        <x:v>5707</x:v>
      </x:c>
      <x:c r="M1422" s="24" t="str">
        <x:v>-8.00 a +8.00</x:v>
      </x:c>
      <x:c r="N1422" s="24" t="str">
        <x:v>-6.00</x:v>
      </x:c>
      <x:c r="O1422" s="24" t="str">
        <x:v>-</x:v>
      </x:c>
      <x:c r="P1422" s="24" t="str">
        <x:v>70</x:v>
      </x:c>
      <x:c r="Q1422" s="24"/>
      <x:c r="R1422" s="24"/>
      <x:c r="S1422" s="26" t="n">
        <x:v>46113</x:v>
      </x:c>
      <x:c r="T1422" s="26"/>
      <x:c r="U1422" s="24" t="str">
        <x:v>ATIVA/SEM FIM INFORMADO</x:v>
      </x:c>
      <x:c r="V1422" s="24" t="str">
        <x:v>Programa de Parcerias ZEISS — categoria Experts; Programa de Parcerias ZEISS</x:v>
      </x:c>
      <x:c r="W1422" s="24" t="n">
        <x:v>14</x:v>
      </x:c>
      <x:c r="X1422" s="24" t="str">
        <x:v>tabela_zeiss.pdf</x:v>
      </x:c>
      <x:c r="Y1422" s="24" t="str">
        <x:v>alta</x:v>
      </x:c>
      <x:c r="Z1422" s="24"/>
      <x:c r="AA1422" s="24" t="str">
        <x:v>ZEISS|Visão Simples|Surfaçada|ClearMind Individual 3|PhotoFusion X|1.67|1.67|DuraVision Platinum UV|-8.00 a +8.00|-6.00|-|70|||14</x:v>
      </x:c>
    </x:row>
    <x:row r="1423">
      <x:c r="A1423" s="24" t="str">
        <x:v>ZS-30CDF170A5B2</x:v>
      </x:c>
      <x:c r="B1423" s="24" t="str">
        <x:v>SIM</x:v>
      </x:c>
      <x:c r="C1423" s="24" t="str">
        <x:v>DISPONÍVEL</x:v>
      </x:c>
      <x:c r="D1423" s="24" t="str">
        <x:v>ZEISS</x:v>
      </x:c>
      <x:c r="E1423" s="24" t="str">
        <x:v>Visão Simples</x:v>
      </x:c>
      <x:c r="F1423" s="24" t="str">
        <x:v>Surfaçada</x:v>
      </x:c>
      <x:c r="G1423" s="24" t="str">
        <x:v>ClearMind Individual 3</x:v>
      </x:c>
      <x:c r="H1423" s="24" t="str">
        <x:v>PhotoFusion X</x:v>
      </x:c>
      <x:c r="I1423" s="24" t="str">
        <x:v>1.67</x:v>
      </x:c>
      <x:c r="J1423" s="24" t="str">
        <x:v>1.67</x:v>
      </x:c>
      <x:c r="K1423" s="24" t="str">
        <x:v>DuraVision Silver UV</x:v>
      </x:c>
      <x:c r="L1423" s="40" t="n">
        <x:v>5447</x:v>
      </x:c>
      <x:c r="M1423" s="24" t="str">
        <x:v>-8.00 a +8.00</x:v>
      </x:c>
      <x:c r="N1423" s="24" t="str">
        <x:v>-6.00</x:v>
      </x:c>
      <x:c r="O1423" s="24" t="str">
        <x:v>-</x:v>
      </x:c>
      <x:c r="P1423" s="24" t="str">
        <x:v>70</x:v>
      </x:c>
      <x:c r="Q1423" s="24"/>
      <x:c r="R1423" s="24"/>
      <x:c r="S1423" s="26" t="n">
        <x:v>46113</x:v>
      </x:c>
      <x:c r="T1423" s="26"/>
      <x:c r="U1423" s="24" t="str">
        <x:v>ATIVA/SEM FIM INFORMADO</x:v>
      </x:c>
      <x:c r="V1423" s="24" t="str">
        <x:v>Programa de Parcerias ZEISS — categoria Experts; Programa de Parcerias ZEISS</x:v>
      </x:c>
      <x:c r="W1423" s="24" t="n">
        <x:v>14</x:v>
      </x:c>
      <x:c r="X1423" s="24" t="str">
        <x:v>tabela_zeiss.pdf</x:v>
      </x:c>
      <x:c r="Y1423" s="24" t="str">
        <x:v>alta</x:v>
      </x:c>
      <x:c r="Z1423" s="24"/>
      <x:c r="AA1423" s="24" t="str">
        <x:v>ZEISS|Visão Simples|Surfaçada|ClearMind Individual 3|PhotoFusion X|1.67|1.67|DuraVision Silver UV|-8.00 a +8.00|-6.00|-|70|||14</x:v>
      </x:c>
    </x:row>
    <x:row r="1424">
      <x:c r="A1424" s="24" t="str">
        <x:v>ZS-90620FEBD915</x:v>
      </x:c>
      <x:c r="B1424" s="24" t="str">
        <x:v>SIM</x:v>
      </x:c>
      <x:c r="C1424" s="24" t="str">
        <x:v>DISPONÍVEL</x:v>
      </x:c>
      <x:c r="D1424" s="24" t="str">
        <x:v>ZEISS</x:v>
      </x:c>
      <x:c r="E1424" s="24" t="str">
        <x:v>Visão Simples</x:v>
      </x:c>
      <x:c r="F1424" s="24" t="str">
        <x:v>Surfaçada</x:v>
      </x:c>
      <x:c r="G1424" s="24" t="str">
        <x:v>ClearMind Individual 3</x:v>
      </x:c>
      <x:c r="H1424" s="24" t="str">
        <x:v>PhotoFusion X</x:v>
      </x:c>
      <x:c r="I1424" s="24" t="str">
        <x:v>1.67</x:v>
      </x:c>
      <x:c r="J1424" s="24" t="str">
        <x:v>1.67</x:v>
      </x:c>
      <x:c r="K1424" s="24" t="str">
        <x:v>DuraVision Chrome UV</x:v>
      </x:c>
      <x:c r="L1424" s="40" t="n">
        <x:v>4957</x:v>
      </x:c>
      <x:c r="M1424" s="24" t="str">
        <x:v>-8.00 a +8.00</x:v>
      </x:c>
      <x:c r="N1424" s="24" t="str">
        <x:v>-6.00</x:v>
      </x:c>
      <x:c r="O1424" s="24" t="str">
        <x:v>-</x:v>
      </x:c>
      <x:c r="P1424" s="24" t="str">
        <x:v>70</x:v>
      </x:c>
      <x:c r="Q1424" s="24"/>
      <x:c r="R1424" s="24"/>
      <x:c r="S1424" s="26" t="n">
        <x:v>46113</x:v>
      </x:c>
      <x:c r="T1424" s="26"/>
      <x:c r="U1424" s="24" t="str">
        <x:v>ATIVA/SEM FIM INFORMADO</x:v>
      </x:c>
      <x:c r="V1424" s="24" t="str">
        <x:v>Programa de Parcerias ZEISS — categoria Experts; Programa de Parcerias ZEISS</x:v>
      </x:c>
      <x:c r="W1424" s="24" t="n">
        <x:v>14</x:v>
      </x:c>
      <x:c r="X1424" s="24" t="str">
        <x:v>tabela_zeiss.pdf</x:v>
      </x:c>
      <x:c r="Y1424" s="24" t="str">
        <x:v>alta</x:v>
      </x:c>
      <x:c r="Z1424" s="24"/>
      <x:c r="AA1424" s="24" t="str">
        <x:v>ZEISS|Visão Simples|Surfaçada|ClearMind Individual 3|PhotoFusion X|1.67|1.67|DuraVision Chrome UV|-8.00 a +8.00|-6.00|-|70|||14</x:v>
      </x:c>
    </x:row>
    <x:row r="1425">
      <x:c r="A1425" s="24" t="str">
        <x:v>ZS-BE5751EC50F5</x:v>
      </x:c>
      <x:c r="B1425" s="24" t="str">
        <x:v>SIM</x:v>
      </x:c>
      <x:c r="C1425" s="24" t="str">
        <x:v>DISPONÍVEL</x:v>
      </x:c>
      <x:c r="D1425" s="24" t="str">
        <x:v>ZEISS</x:v>
      </x:c>
      <x:c r="E1425" s="24" t="str">
        <x:v>Visão Simples</x:v>
      </x:c>
      <x:c r="F1425" s="24" t="str">
        <x:v>Surfaçada</x:v>
      </x:c>
      <x:c r="G1425" s="24" t="str">
        <x:v>ClearMind Individual 3</x:v>
      </x:c>
      <x:c r="H1425" s="24" t="str">
        <x:v>PhotoFusion X Extra Dark Cinza</x:v>
      </x:c>
      <x:c r="I1425" s="24" t="str">
        <x:v>1.5</x:v>
      </x:c>
      <x:c r="J1425" s="24" t="str">
        <x:v>1.50</x:v>
      </x:c>
      <x:c r="K1425" s="24" t="str">
        <x:v>DuraVision Gold UV</x:v>
      </x:c>
      <x:c r="L1425" s="40" t="n">
        <x:v>4017</x:v>
      </x:c>
      <x:c r="M1425" s="24" t="str">
        <x:v>-6.00 a +6.00</x:v>
      </x:c>
      <x:c r="N1425" s="24" t="str">
        <x:v>-4.00</x:v>
      </x:c>
      <x:c r="O1425" s="24" t="str">
        <x:v>-</x:v>
      </x:c>
      <x:c r="P1425" s="24" t="str">
        <x:v>75</x:v>
      </x:c>
      <x:c r="Q1425" s="24"/>
      <x:c r="R1425" s="24"/>
      <x:c r="S1425" s="26" t="n">
        <x:v>46113</x:v>
      </x:c>
      <x:c r="T1425" s="26"/>
      <x:c r="U1425" s="24" t="str">
        <x:v>ATIVA/SEM FIM INFORMADO</x:v>
      </x:c>
      <x:c r="V1425" s="24" t="str">
        <x:v>Programa de Parcerias ZEISS — categoria Experts; Programa de Parcerias ZEISS</x:v>
      </x:c>
      <x:c r="W1425" s="24" t="n">
        <x:v>14</x:v>
      </x:c>
      <x:c r="X1425" s="24" t="str">
        <x:v>tabela_zeiss.pdf</x:v>
      </x:c>
      <x:c r="Y1425" s="24" t="str">
        <x:v>alta</x:v>
      </x:c>
      <x:c r="Z1425" s="24"/>
      <x:c r="AA1425" s="24" t="str">
        <x:v>ZEISS|Visão Simples|Surfaçada|ClearMind Individual 3|PhotoFusion X Extra Dark Cinza|1.5|1.50|DuraVision Gold UV|-6.00 a +6.00|-4.00|-|75|||14</x:v>
      </x:c>
    </x:row>
    <x:row r="1426">
      <x:c r="A1426" s="24" t="str">
        <x:v>ZS-63FB1C598CD7</x:v>
      </x:c>
      <x:c r="B1426" s="24" t="str">
        <x:v>SIM</x:v>
      </x:c>
      <x:c r="C1426" s="24" t="str">
        <x:v>DISPONÍVEL</x:v>
      </x:c>
      <x:c r="D1426" s="24" t="str">
        <x:v>ZEISS</x:v>
      </x:c>
      <x:c r="E1426" s="24" t="str">
        <x:v>Visão Simples</x:v>
      </x:c>
      <x:c r="F1426" s="24" t="str">
        <x:v>Surfaçada</x:v>
      </x:c>
      <x:c r="G1426" s="24" t="str">
        <x:v>ClearMind Individual 3</x:v>
      </x:c>
      <x:c r="H1426" s="24" t="str">
        <x:v>PhotoFusion X Extra Dark Cinza</x:v>
      </x:c>
      <x:c r="I1426" s="24" t="str">
        <x:v>1.5</x:v>
      </x:c>
      <x:c r="J1426" s="24" t="str">
        <x:v>1.50</x:v>
      </x:c>
      <x:c r="K1426" s="24" t="str">
        <x:v>DURAVISION® ANTIVÍRUS PLATINUM UV</x:v>
      </x:c>
      <x:c r="L1426" s="40" t="n">
        <x:v>3877</x:v>
      </x:c>
      <x:c r="M1426" s="24" t="str">
        <x:v>-6.00 a +6.00</x:v>
      </x:c>
      <x:c r="N1426" s="24" t="str">
        <x:v>-4.00</x:v>
      </x:c>
      <x:c r="O1426" s="24" t="str">
        <x:v>-</x:v>
      </x:c>
      <x:c r="P1426" s="24" t="str">
        <x:v>75</x:v>
      </x:c>
      <x:c r="Q1426" s="24"/>
      <x:c r="R1426" s="24"/>
      <x:c r="S1426" s="26" t="n">
        <x:v>46113</x:v>
      </x:c>
      <x:c r="T1426" s="26"/>
      <x:c r="U1426" s="24" t="str">
        <x:v>ATIVA/SEM FIM INFORMADO</x:v>
      </x:c>
      <x:c r="V1426" s="24" t="str">
        <x:v>Programa de Parcerias ZEISS — categoria Experts; Programa de Parcerias ZEISS</x:v>
      </x:c>
      <x:c r="W1426" s="24" t="n">
        <x:v>14</x:v>
      </x:c>
      <x:c r="X1426" s="24" t="str">
        <x:v>tabela_zeiss.pdf</x:v>
      </x:c>
      <x:c r="Y1426" s="24" t="str">
        <x:v>alta</x:v>
      </x:c>
      <x:c r="Z1426" s="24"/>
      <x:c r="AA1426" s="24" t="str">
        <x:v>ZEISS|Visão Simples|Surfaçada|ClearMind Individual 3|PhotoFusion X Extra Dark Cinza|1.5|1.50|DURAVISION® ANTIVÍRUS PLATINUM UV|-6.00 a +6.00|-4.00|-|75|||14</x:v>
      </x:c>
    </x:row>
    <x:row r="1427">
      <x:c r="A1427" s="24" t="str">
        <x:v>ZS-11C51171A621</x:v>
      </x:c>
      <x:c r="B1427" s="24" t="str">
        <x:v>SIM</x:v>
      </x:c>
      <x:c r="C1427" s="24" t="str">
        <x:v>DISPONÍVEL</x:v>
      </x:c>
      <x:c r="D1427" s="24" t="str">
        <x:v>ZEISS</x:v>
      </x:c>
      <x:c r="E1427" s="24" t="str">
        <x:v>Visão Simples</x:v>
      </x:c>
      <x:c r="F1427" s="24" t="str">
        <x:v>Surfaçada</x:v>
      </x:c>
      <x:c r="G1427" s="24" t="str">
        <x:v>ClearMind Individual 3</x:v>
      </x:c>
      <x:c r="H1427" s="24" t="str">
        <x:v>PhotoFusion X Extra Dark Cinza</x:v>
      </x:c>
      <x:c r="I1427" s="24" t="str">
        <x:v>1.5</x:v>
      </x:c>
      <x:c r="J1427" s="24" t="str">
        <x:v>1.50</x:v>
      </x:c>
      <x:c r="K1427" s="24" t="str">
        <x:v>DuraVision Platinum UV</x:v>
      </x:c>
      <x:c r="L1427" s="40" t="n">
        <x:v>3877</x:v>
      </x:c>
      <x:c r="M1427" s="24" t="str">
        <x:v>-6.00 a +6.00</x:v>
      </x:c>
      <x:c r="N1427" s="24" t="str">
        <x:v>-4.00</x:v>
      </x:c>
      <x:c r="O1427" s="24" t="str">
        <x:v>-</x:v>
      </x:c>
      <x:c r="P1427" s="24" t="str">
        <x:v>75</x:v>
      </x:c>
      <x:c r="Q1427" s="24"/>
      <x:c r="R1427" s="24"/>
      <x:c r="S1427" s="26" t="n">
        <x:v>46113</x:v>
      </x:c>
      <x:c r="T1427" s="26"/>
      <x:c r="U1427" s="24" t="str">
        <x:v>ATIVA/SEM FIM INFORMADO</x:v>
      </x:c>
      <x:c r="V1427" s="24" t="str">
        <x:v>Programa de Parcerias ZEISS — categoria Experts; Programa de Parcerias ZEISS</x:v>
      </x:c>
      <x:c r="W1427" s="24" t="n">
        <x:v>14</x:v>
      </x:c>
      <x:c r="X1427" s="24" t="str">
        <x:v>tabela_zeiss.pdf</x:v>
      </x:c>
      <x:c r="Y1427" s="24" t="str">
        <x:v>alta</x:v>
      </x:c>
      <x:c r="Z1427" s="24"/>
      <x:c r="AA1427" s="24" t="str">
        <x:v>ZEISS|Visão Simples|Surfaçada|ClearMind Individual 3|PhotoFusion X Extra Dark Cinza|1.5|1.50|DuraVision Platinum UV|-6.00 a +6.00|-4.00|-|75|||14</x:v>
      </x:c>
    </x:row>
    <x:row r="1428">
      <x:c r="A1428" s="24" t="str">
        <x:v>ZS-73DEB1635FC6</x:v>
      </x:c>
      <x:c r="B1428" s="24" t="str">
        <x:v>SIM</x:v>
      </x:c>
      <x:c r="C1428" s="24" t="str">
        <x:v>DISPONÍVEL</x:v>
      </x:c>
      <x:c r="D1428" s="24" t="str">
        <x:v>ZEISS</x:v>
      </x:c>
      <x:c r="E1428" s="24" t="str">
        <x:v>Visão Simples</x:v>
      </x:c>
      <x:c r="F1428" s="24" t="str">
        <x:v>Surfaçada</x:v>
      </x:c>
      <x:c r="G1428" s="24" t="str">
        <x:v>ClearMind Individual 3</x:v>
      </x:c>
      <x:c r="H1428" s="24" t="str">
        <x:v>PhotoFusion X Extra Dark Cinza</x:v>
      </x:c>
      <x:c r="I1428" s="24" t="str">
        <x:v>1.5</x:v>
      </x:c>
      <x:c r="J1428" s="24" t="str">
        <x:v>1.50</x:v>
      </x:c>
      <x:c r="K1428" s="24" t="str">
        <x:v>DuraVision Silver UV</x:v>
      </x:c>
      <x:c r="L1428" s="40" t="n">
        <x:v>3617</x:v>
      </x:c>
      <x:c r="M1428" s="24" t="str">
        <x:v>-6.00 a +6.00</x:v>
      </x:c>
      <x:c r="N1428" s="24" t="str">
        <x:v>-4.00</x:v>
      </x:c>
      <x:c r="O1428" s="24" t="str">
        <x:v>-</x:v>
      </x:c>
      <x:c r="P1428" s="24" t="str">
        <x:v>75</x:v>
      </x:c>
      <x:c r="Q1428" s="24"/>
      <x:c r="R1428" s="24"/>
      <x:c r="S1428" s="26" t="n">
        <x:v>46113</x:v>
      </x:c>
      <x:c r="T1428" s="26"/>
      <x:c r="U1428" s="24" t="str">
        <x:v>ATIVA/SEM FIM INFORMADO</x:v>
      </x:c>
      <x:c r="V1428" s="24" t="str">
        <x:v>Programa de Parcerias ZEISS — categoria Experts; Programa de Parcerias ZEISS</x:v>
      </x:c>
      <x:c r="W1428" s="24" t="n">
        <x:v>14</x:v>
      </x:c>
      <x:c r="X1428" s="24" t="str">
        <x:v>tabela_zeiss.pdf</x:v>
      </x:c>
      <x:c r="Y1428" s="24" t="str">
        <x:v>alta</x:v>
      </x:c>
      <x:c r="Z1428" s="24"/>
      <x:c r="AA1428" s="24" t="str">
        <x:v>ZEISS|Visão Simples|Surfaçada|ClearMind Individual 3|PhotoFusion X Extra Dark Cinza|1.5|1.50|DuraVision Silver UV|-6.00 a +6.00|-4.00|-|75|||14</x:v>
      </x:c>
    </x:row>
    <x:row r="1429">
      <x:c r="A1429" s="24" t="str">
        <x:v>ZS-D770C54D294C</x:v>
      </x:c>
      <x:c r="B1429" s="24" t="str">
        <x:v>SIM</x:v>
      </x:c>
      <x:c r="C1429" s="24" t="str">
        <x:v>DISPONÍVEL</x:v>
      </x:c>
      <x:c r="D1429" s="24" t="str">
        <x:v>ZEISS</x:v>
      </x:c>
      <x:c r="E1429" s="24" t="str">
        <x:v>Visão Simples</x:v>
      </x:c>
      <x:c r="F1429" s="24" t="str">
        <x:v>Surfaçada</x:v>
      </x:c>
      <x:c r="G1429" s="24" t="str">
        <x:v>ClearMind Individual 3</x:v>
      </x:c>
      <x:c r="H1429" s="24" t="str">
        <x:v>PhotoFusion X Extra Dark Cinza</x:v>
      </x:c>
      <x:c r="I1429" s="24" t="str">
        <x:v>1.5</x:v>
      </x:c>
      <x:c r="J1429" s="24" t="str">
        <x:v>1.50</x:v>
      </x:c>
      <x:c r="K1429" s="24" t="str">
        <x:v>DuraVision Chrome UV</x:v>
      </x:c>
      <x:c r="L1429" s="40" t="n">
        <x:v>3127</x:v>
      </x:c>
      <x:c r="M1429" s="24" t="str">
        <x:v>-6.00 a +6.00</x:v>
      </x:c>
      <x:c r="N1429" s="24" t="str">
        <x:v>-4.00</x:v>
      </x:c>
      <x:c r="O1429" s="24" t="str">
        <x:v>-</x:v>
      </x:c>
      <x:c r="P1429" s="24" t="str">
        <x:v>75</x:v>
      </x:c>
      <x:c r="Q1429" s="24"/>
      <x:c r="R1429" s="24"/>
      <x:c r="S1429" s="26" t="n">
        <x:v>46113</x:v>
      </x:c>
      <x:c r="T1429" s="26"/>
      <x:c r="U1429" s="24" t="str">
        <x:v>ATIVA/SEM FIM INFORMADO</x:v>
      </x:c>
      <x:c r="V1429" s="24" t="str">
        <x:v>Programa de Parcerias ZEISS — categoria Experts; Programa de Parcerias ZEISS</x:v>
      </x:c>
      <x:c r="W1429" s="24" t="n">
        <x:v>14</x:v>
      </x:c>
      <x:c r="X1429" s="24" t="str">
        <x:v>tabela_zeiss.pdf</x:v>
      </x:c>
      <x:c r="Y1429" s="24" t="str">
        <x:v>alta</x:v>
      </x:c>
      <x:c r="Z1429" s="24"/>
      <x:c r="AA1429" s="24" t="str">
        <x:v>ZEISS|Visão Simples|Surfaçada|ClearMind Individual 3|PhotoFusion X Extra Dark Cinza|1.5|1.50|DuraVision Chrome UV|-6.00 a +6.00|-4.00|-|75|||14</x:v>
      </x:c>
    </x:row>
    <x:row r="1430">
      <x:c r="A1430" s="24" t="str">
        <x:v>ZS-C4F434BD4ABF</x:v>
      </x:c>
      <x:c r="B1430" s="24" t="str">
        <x:v>SIM</x:v>
      </x:c>
      <x:c r="C1430" s="24" t="str">
        <x:v>DISPONÍVEL</x:v>
      </x:c>
      <x:c r="D1430" s="24" t="str">
        <x:v>ZEISS</x:v>
      </x:c>
      <x:c r="E1430" s="24" t="str">
        <x:v>Visão Simples</x:v>
      </x:c>
      <x:c r="F1430" s="24" t="str">
        <x:v>Surfaçada</x:v>
      </x:c>
      <x:c r="G1430" s="24" t="str">
        <x:v>ClearMind Individual 3</x:v>
      </x:c>
      <x:c r="H1430" s="24" t="str">
        <x:v>PhotoFusion X Extra Dark Cinza</x:v>
      </x:c>
      <x:c r="I1430" s="24" t="str">
        <x:v>Poli</x:v>
      </x:c>
      <x:c r="J1430" s="24"/>
      <x:c r="K1430" s="24" t="str">
        <x:v>DuraVision Gold UV</x:v>
      </x:c>
      <x:c r="L1430" s="40" t="n">
        <x:v>4377</x:v>
      </x:c>
      <x:c r="M1430" s="24" t="str">
        <x:v>-10.00 a +8.00</x:v>
      </x:c>
      <x:c r="N1430" s="24" t="str">
        <x:v>-4.00</x:v>
      </x:c>
      <x:c r="O1430" s="24" t="str">
        <x:v>-</x:v>
      </x:c>
      <x:c r="P1430" s="24" t="str">
        <x:v>70</x:v>
      </x:c>
      <x:c r="Q1430" s="24"/>
      <x:c r="R1430" s="24"/>
      <x:c r="S1430" s="26" t="n">
        <x:v>46113</x:v>
      </x:c>
      <x:c r="T1430" s="26"/>
      <x:c r="U1430" s="24" t="str">
        <x:v>ATIVA/SEM FIM INFORMADO</x:v>
      </x:c>
      <x:c r="V1430" s="24" t="str">
        <x:v>Programa de Parcerias ZEISS — categoria Experts; Programa de Parcerias ZEISS</x:v>
      </x:c>
      <x:c r="W1430" s="24" t="n">
        <x:v>14</x:v>
      </x:c>
      <x:c r="X1430" s="24" t="str">
        <x:v>tabela_zeiss.pdf</x:v>
      </x:c>
      <x:c r="Y1430" s="24" t="str">
        <x:v>alta</x:v>
      </x:c>
      <x:c r="Z1430" s="24"/>
      <x:c r="AA1430" s="24" t="str">
        <x:v>ZEISS|Visão Simples|Surfaçada|ClearMind Individual 3|PhotoFusion X Extra Dark Cinza|Poli||DuraVision Gold UV|-10.00 a +8.00|-4.00|-|70|||14</x:v>
      </x:c>
    </x:row>
    <x:row r="1431">
      <x:c r="A1431" s="24" t="str">
        <x:v>ZS-FF151D1B29FA</x:v>
      </x:c>
      <x:c r="B1431" s="24" t="str">
        <x:v>SIM</x:v>
      </x:c>
      <x:c r="C1431" s="24" t="str">
        <x:v>DISPONÍVEL</x:v>
      </x:c>
      <x:c r="D1431" s="24" t="str">
        <x:v>ZEISS</x:v>
      </x:c>
      <x:c r="E1431" s="24" t="str">
        <x:v>Visão Simples</x:v>
      </x:c>
      <x:c r="F1431" s="24" t="str">
        <x:v>Surfaçada</x:v>
      </x:c>
      <x:c r="G1431" s="24" t="str">
        <x:v>ClearMind Individual 3</x:v>
      </x:c>
      <x:c r="H1431" s="24" t="str">
        <x:v>PhotoFusion X Extra Dark Cinza</x:v>
      </x:c>
      <x:c r="I1431" s="24" t="str">
        <x:v>Poli</x:v>
      </x:c>
      <x:c r="J1431" s="24"/>
      <x:c r="K1431" s="24" t="str">
        <x:v>DuraVision Platinum UV</x:v>
      </x:c>
      <x:c r="L1431" s="40" t="n">
        <x:v>4237</x:v>
      </x:c>
      <x:c r="M1431" s="24" t="str">
        <x:v>-10.00 a +8.00</x:v>
      </x:c>
      <x:c r="N1431" s="24" t="str">
        <x:v>-4.00</x:v>
      </x:c>
      <x:c r="O1431" s="24" t="str">
        <x:v>-</x:v>
      </x:c>
      <x:c r="P1431" s="24" t="str">
        <x:v>70</x:v>
      </x:c>
      <x:c r="Q1431" s="24"/>
      <x:c r="R1431" s="24"/>
      <x:c r="S1431" s="26" t="n">
        <x:v>46113</x:v>
      </x:c>
      <x:c r="T1431" s="26"/>
      <x:c r="U1431" s="24" t="str">
        <x:v>ATIVA/SEM FIM INFORMADO</x:v>
      </x:c>
      <x:c r="V1431" s="24" t="str">
        <x:v>Programa de Parcerias ZEISS — categoria Experts; Programa de Parcerias ZEISS</x:v>
      </x:c>
      <x:c r="W1431" s="24" t="n">
        <x:v>14</x:v>
      </x:c>
      <x:c r="X1431" s="24" t="str">
        <x:v>tabela_zeiss.pdf</x:v>
      </x:c>
      <x:c r="Y1431" s="24" t="str">
        <x:v>alta</x:v>
      </x:c>
      <x:c r="Z1431" s="24"/>
      <x:c r="AA1431" s="24" t="str">
        <x:v>ZEISS|Visão Simples|Surfaçada|ClearMind Individual 3|PhotoFusion X Extra Dark Cinza|Poli||DuraVision Platinum UV|-10.00 a +8.00|-4.00|-|70|||14</x:v>
      </x:c>
    </x:row>
    <x:row r="1432">
      <x:c r="A1432" s="24" t="str">
        <x:v>ZS-EF09E4232884</x:v>
      </x:c>
      <x:c r="B1432" s="24" t="str">
        <x:v>SIM</x:v>
      </x:c>
      <x:c r="C1432" s="24" t="str">
        <x:v>DISPONÍVEL</x:v>
      </x:c>
      <x:c r="D1432" s="24" t="str">
        <x:v>ZEISS</x:v>
      </x:c>
      <x:c r="E1432" s="24" t="str">
        <x:v>Visão Simples</x:v>
      </x:c>
      <x:c r="F1432" s="24" t="str">
        <x:v>Surfaçada</x:v>
      </x:c>
      <x:c r="G1432" s="24" t="str">
        <x:v>ClearMind Individual 3</x:v>
      </x:c>
      <x:c r="H1432" s="24" t="str">
        <x:v>PhotoFusion X Extra Dark Cinza</x:v>
      </x:c>
      <x:c r="I1432" s="24" t="str">
        <x:v>Poli</x:v>
      </x:c>
      <x:c r="J1432" s="24"/>
      <x:c r="K1432" s="24" t="str">
        <x:v>DuraVision Silver UV</x:v>
      </x:c>
      <x:c r="L1432" s="40" t="n">
        <x:v>3977</x:v>
      </x:c>
      <x:c r="M1432" s="24" t="str">
        <x:v>-10.00 a +8.00</x:v>
      </x:c>
      <x:c r="N1432" s="24" t="str">
        <x:v>-4.00</x:v>
      </x:c>
      <x:c r="O1432" s="24" t="str">
        <x:v>-</x:v>
      </x:c>
      <x:c r="P1432" s="24" t="str">
        <x:v>70</x:v>
      </x:c>
      <x:c r="Q1432" s="24"/>
      <x:c r="R1432" s="24"/>
      <x:c r="S1432" s="26" t="n">
        <x:v>46113</x:v>
      </x:c>
      <x:c r="T1432" s="26"/>
      <x:c r="U1432" s="24" t="str">
        <x:v>ATIVA/SEM FIM INFORMADO</x:v>
      </x:c>
      <x:c r="V1432" s="24" t="str">
        <x:v>Programa de Parcerias ZEISS — categoria Experts; Programa de Parcerias ZEISS</x:v>
      </x:c>
      <x:c r="W1432" s="24" t="n">
        <x:v>14</x:v>
      </x:c>
      <x:c r="X1432" s="24" t="str">
        <x:v>tabela_zeiss.pdf</x:v>
      </x:c>
      <x:c r="Y1432" s="24" t="str">
        <x:v>alta</x:v>
      </x:c>
      <x:c r="Z1432" s="24"/>
      <x:c r="AA1432" s="24" t="str">
        <x:v>ZEISS|Visão Simples|Surfaçada|ClearMind Individual 3|PhotoFusion X Extra Dark Cinza|Poli||DuraVision Silver UV|-10.00 a +8.00|-4.00|-|70|||14</x:v>
      </x:c>
    </x:row>
    <x:row r="1433">
      <x:c r="A1433" s="24" t="str">
        <x:v>ZS-4102ED7432DB</x:v>
      </x:c>
      <x:c r="B1433" s="24" t="str">
        <x:v>SIM</x:v>
      </x:c>
      <x:c r="C1433" s="24" t="str">
        <x:v>DISPONÍVEL</x:v>
      </x:c>
      <x:c r="D1433" s="24" t="str">
        <x:v>ZEISS</x:v>
      </x:c>
      <x:c r="E1433" s="24" t="str">
        <x:v>Visão Simples</x:v>
      </x:c>
      <x:c r="F1433" s="24" t="str">
        <x:v>Surfaçada</x:v>
      </x:c>
      <x:c r="G1433" s="24" t="str">
        <x:v>ClearMind Individual 3</x:v>
      </x:c>
      <x:c r="H1433" s="24" t="str">
        <x:v>PhotoFusion X Extra Dark Cinza</x:v>
      </x:c>
      <x:c r="I1433" s="24" t="str">
        <x:v>Poli</x:v>
      </x:c>
      <x:c r="J1433" s="24"/>
      <x:c r="K1433" s="24" t="str">
        <x:v>DuraVision Chrome UV</x:v>
      </x:c>
      <x:c r="L1433" s="40" t="n">
        <x:v>3487</x:v>
      </x:c>
      <x:c r="M1433" s="24" t="str">
        <x:v>-10.00 a +8.00</x:v>
      </x:c>
      <x:c r="N1433" s="24" t="str">
        <x:v>-4.00</x:v>
      </x:c>
      <x:c r="O1433" s="24" t="str">
        <x:v>-</x:v>
      </x:c>
      <x:c r="P1433" s="24" t="str">
        <x:v>70</x:v>
      </x:c>
      <x:c r="Q1433" s="24"/>
      <x:c r="R1433" s="24"/>
      <x:c r="S1433" s="26" t="n">
        <x:v>46113</x:v>
      </x:c>
      <x:c r="T1433" s="26"/>
      <x:c r="U1433" s="24" t="str">
        <x:v>ATIVA/SEM FIM INFORMADO</x:v>
      </x:c>
      <x:c r="V1433" s="24" t="str">
        <x:v>Programa de Parcerias ZEISS — categoria Experts; Programa de Parcerias ZEISS</x:v>
      </x:c>
      <x:c r="W1433" s="24" t="n">
        <x:v>14</x:v>
      </x:c>
      <x:c r="X1433" s="24" t="str">
        <x:v>tabela_zeiss.pdf</x:v>
      </x:c>
      <x:c r="Y1433" s="24" t="str">
        <x:v>alta</x:v>
      </x:c>
      <x:c r="Z1433" s="24"/>
      <x:c r="AA1433" s="24" t="str">
        <x:v>ZEISS|Visão Simples|Surfaçada|ClearMind Individual 3|PhotoFusion X Extra Dark Cinza|Poli||DuraVision Chrome UV|-10.00 a +8.00|-4.00|-|70|||14</x:v>
      </x:c>
    </x:row>
    <x:row r="1434">
      <x:c r="A1434" s="24" t="str">
        <x:v>ZS-7841D5B4C6CD</x:v>
      </x:c>
      <x:c r="B1434" s="24" t="str">
        <x:v>SIM</x:v>
      </x:c>
      <x:c r="C1434" s="24" t="str">
        <x:v>DISPONÍVEL</x:v>
      </x:c>
      <x:c r="D1434" s="24" t="str">
        <x:v>ZEISS</x:v>
      </x:c>
      <x:c r="E1434" s="24" t="str">
        <x:v>Visão Simples</x:v>
      </x:c>
      <x:c r="F1434" s="24" t="str">
        <x:v>Surfaçada</x:v>
      </x:c>
      <x:c r="G1434" s="24" t="str">
        <x:v>ClearMind Individual 3</x:v>
      </x:c>
      <x:c r="H1434" s="24" t="str">
        <x:v>PhotoFusion X Extra Dark Cinza</x:v>
      </x:c>
      <x:c r="I1434" s="24" t="str">
        <x:v>1.6</x:v>
      </x:c>
      <x:c r="J1434" s="24" t="str">
        <x:v>1.60</x:v>
      </x:c>
      <x:c r="K1434" s="24" t="str">
        <x:v>DuraVision Gold UV</x:v>
      </x:c>
      <x:c r="L1434" s="40" t="n">
        <x:v>4597</x:v>
      </x:c>
      <x:c r="M1434" s="24" t="str">
        <x:v>-6.00 a +8.00</x:v>
      </x:c>
      <x:c r="N1434" s="24" t="str">
        <x:v>-4.00</x:v>
      </x:c>
      <x:c r="O1434" s="24" t="str">
        <x:v>-</x:v>
      </x:c>
      <x:c r="P1434" s="24" t="str">
        <x:v>75</x:v>
      </x:c>
      <x:c r="Q1434" s="24"/>
      <x:c r="R1434" s="24"/>
      <x:c r="S1434" s="26" t="n">
        <x:v>46113</x:v>
      </x:c>
      <x:c r="T1434" s="26"/>
      <x:c r="U1434" s="24" t="str">
        <x:v>ATIVA/SEM FIM INFORMADO</x:v>
      </x:c>
      <x:c r="V1434" s="24" t="str">
        <x:v>Programa de Parcerias ZEISS — categoria Experts; Programa de Parcerias ZEISS</x:v>
      </x:c>
      <x:c r="W1434" s="24" t="n">
        <x:v>14</x:v>
      </x:c>
      <x:c r="X1434" s="24" t="str">
        <x:v>tabela_zeiss.pdf</x:v>
      </x:c>
      <x:c r="Y1434" s="24" t="str">
        <x:v>alta</x:v>
      </x:c>
      <x:c r="Z1434" s="24"/>
      <x:c r="AA1434" s="24" t="str">
        <x:v>ZEISS|Visão Simples|Surfaçada|ClearMind Individual 3|PhotoFusion X Extra Dark Cinza|1.6|1.60|DuraVision Gold UV|-6.00 a +8.00|-4.00|-|75|||14</x:v>
      </x:c>
    </x:row>
    <x:row r="1435">
      <x:c r="A1435" s="24" t="str">
        <x:v>ZS-FEDA928547F0</x:v>
      </x:c>
      <x:c r="B1435" s="24" t="str">
        <x:v>SIM</x:v>
      </x:c>
      <x:c r="C1435" s="24" t="str">
        <x:v>DISPONÍVEL</x:v>
      </x:c>
      <x:c r="D1435" s="24" t="str">
        <x:v>ZEISS</x:v>
      </x:c>
      <x:c r="E1435" s="24" t="str">
        <x:v>Visão Simples</x:v>
      </x:c>
      <x:c r="F1435" s="24" t="str">
        <x:v>Surfaçada</x:v>
      </x:c>
      <x:c r="G1435" s="24" t="str">
        <x:v>ClearMind Individual 3</x:v>
      </x:c>
      <x:c r="H1435" s="24" t="str">
        <x:v>PhotoFusion X Extra Dark Cinza</x:v>
      </x:c>
      <x:c r="I1435" s="24" t="str">
        <x:v>1.6</x:v>
      </x:c>
      <x:c r="J1435" s="24" t="str">
        <x:v>1.60</x:v>
      </x:c>
      <x:c r="K1435" s="24" t="str">
        <x:v>DURAVISION® ANTIVÍRUS PLATINUM UV</x:v>
      </x:c>
      <x:c r="L1435" s="40" t="n">
        <x:v>4457</x:v>
      </x:c>
      <x:c r="M1435" s="24" t="str">
        <x:v>-6.00 a +8.00</x:v>
      </x:c>
      <x:c r="N1435" s="24" t="str">
        <x:v>-4.00</x:v>
      </x:c>
      <x:c r="O1435" s="24" t="str">
        <x:v>-</x:v>
      </x:c>
      <x:c r="P1435" s="24" t="str">
        <x:v>75</x:v>
      </x:c>
      <x:c r="Q1435" s="24"/>
      <x:c r="R1435" s="24"/>
      <x:c r="S1435" s="26" t="n">
        <x:v>46113</x:v>
      </x:c>
      <x:c r="T1435" s="26"/>
      <x:c r="U1435" s="24" t="str">
        <x:v>ATIVA/SEM FIM INFORMADO</x:v>
      </x:c>
      <x:c r="V1435" s="24" t="str">
        <x:v>Programa de Parcerias ZEISS — categoria Experts; Programa de Parcerias ZEISS</x:v>
      </x:c>
      <x:c r="W1435" s="24" t="n">
        <x:v>14</x:v>
      </x:c>
      <x:c r="X1435" s="24" t="str">
        <x:v>tabela_zeiss.pdf</x:v>
      </x:c>
      <x:c r="Y1435" s="24" t="str">
        <x:v>alta</x:v>
      </x:c>
      <x:c r="Z1435" s="24"/>
      <x:c r="AA1435" s="24" t="str">
        <x:v>ZEISS|Visão Simples|Surfaçada|ClearMind Individual 3|PhotoFusion X Extra Dark Cinza|1.6|1.60|DURAVISION® ANTIVÍRUS PLATINUM UV|-6.00 a +8.00|-4.00|-|75|||14</x:v>
      </x:c>
    </x:row>
    <x:row r="1436">
      <x:c r="A1436" s="24" t="str">
        <x:v>ZS-5B617B5A465D</x:v>
      </x:c>
      <x:c r="B1436" s="24" t="str">
        <x:v>SIM</x:v>
      </x:c>
      <x:c r="C1436" s="24" t="str">
        <x:v>DISPONÍVEL</x:v>
      </x:c>
      <x:c r="D1436" s="24" t="str">
        <x:v>ZEISS</x:v>
      </x:c>
      <x:c r="E1436" s="24" t="str">
        <x:v>Visão Simples</x:v>
      </x:c>
      <x:c r="F1436" s="24" t="str">
        <x:v>Surfaçada</x:v>
      </x:c>
      <x:c r="G1436" s="24" t="str">
        <x:v>ClearMind Individual 3</x:v>
      </x:c>
      <x:c r="H1436" s="24" t="str">
        <x:v>PhotoFusion X Extra Dark Cinza</x:v>
      </x:c>
      <x:c r="I1436" s="24" t="str">
        <x:v>1.6</x:v>
      </x:c>
      <x:c r="J1436" s="24" t="str">
        <x:v>1.60</x:v>
      </x:c>
      <x:c r="K1436" s="24" t="str">
        <x:v>DuraVision Platinum UV</x:v>
      </x:c>
      <x:c r="L1436" s="40" t="n">
        <x:v>4457</x:v>
      </x:c>
      <x:c r="M1436" s="24" t="str">
        <x:v>-6.00 a +8.00</x:v>
      </x:c>
      <x:c r="N1436" s="24" t="str">
        <x:v>-4.00</x:v>
      </x:c>
      <x:c r="O1436" s="24" t="str">
        <x:v>-</x:v>
      </x:c>
      <x:c r="P1436" s="24" t="str">
        <x:v>75</x:v>
      </x:c>
      <x:c r="Q1436" s="24"/>
      <x:c r="R1436" s="24"/>
      <x:c r="S1436" s="26" t="n">
        <x:v>46113</x:v>
      </x:c>
      <x:c r="T1436" s="26"/>
      <x:c r="U1436" s="24" t="str">
        <x:v>ATIVA/SEM FIM INFORMADO</x:v>
      </x:c>
      <x:c r="V1436" s="24" t="str">
        <x:v>Programa de Parcerias ZEISS — categoria Experts; Programa de Parcerias ZEISS</x:v>
      </x:c>
      <x:c r="W1436" s="24" t="n">
        <x:v>14</x:v>
      </x:c>
      <x:c r="X1436" s="24" t="str">
        <x:v>tabela_zeiss.pdf</x:v>
      </x:c>
      <x:c r="Y1436" s="24" t="str">
        <x:v>alta</x:v>
      </x:c>
      <x:c r="Z1436" s="24"/>
      <x:c r="AA1436" s="24" t="str">
        <x:v>ZEISS|Visão Simples|Surfaçada|ClearMind Individual 3|PhotoFusion X Extra Dark Cinza|1.6|1.60|DuraVision Platinum UV|-6.00 a +8.00|-4.00|-|75|||14</x:v>
      </x:c>
    </x:row>
    <x:row r="1437">
      <x:c r="A1437" s="24" t="str">
        <x:v>ZS-F900566A3F84</x:v>
      </x:c>
      <x:c r="B1437" s="24" t="str">
        <x:v>SIM</x:v>
      </x:c>
      <x:c r="C1437" s="24" t="str">
        <x:v>DISPONÍVEL</x:v>
      </x:c>
      <x:c r="D1437" s="24" t="str">
        <x:v>ZEISS</x:v>
      </x:c>
      <x:c r="E1437" s="24" t="str">
        <x:v>Visão Simples</x:v>
      </x:c>
      <x:c r="F1437" s="24" t="str">
        <x:v>Surfaçada</x:v>
      </x:c>
      <x:c r="G1437" s="24" t="str">
        <x:v>ClearMind Individual 3</x:v>
      </x:c>
      <x:c r="H1437" s="24" t="str">
        <x:v>PhotoFusion X Extra Dark Cinza</x:v>
      </x:c>
      <x:c r="I1437" s="24" t="str">
        <x:v>1.6</x:v>
      </x:c>
      <x:c r="J1437" s="24" t="str">
        <x:v>1.60</x:v>
      </x:c>
      <x:c r="K1437" s="24" t="str">
        <x:v>DuraVision Silver UV</x:v>
      </x:c>
      <x:c r="L1437" s="40" t="n">
        <x:v>4197</x:v>
      </x:c>
      <x:c r="M1437" s="24" t="str">
        <x:v>-6.00 a +8.00</x:v>
      </x:c>
      <x:c r="N1437" s="24" t="str">
        <x:v>-4.00</x:v>
      </x:c>
      <x:c r="O1437" s="24" t="str">
        <x:v>-</x:v>
      </x:c>
      <x:c r="P1437" s="24" t="str">
        <x:v>75</x:v>
      </x:c>
      <x:c r="Q1437" s="24"/>
      <x:c r="R1437" s="24"/>
      <x:c r="S1437" s="26" t="n">
        <x:v>46113</x:v>
      </x:c>
      <x:c r="T1437" s="26"/>
      <x:c r="U1437" s="24" t="str">
        <x:v>ATIVA/SEM FIM INFORMADO</x:v>
      </x:c>
      <x:c r="V1437" s="24" t="str">
        <x:v>Programa de Parcerias ZEISS — categoria Experts; Programa de Parcerias ZEISS</x:v>
      </x:c>
      <x:c r="W1437" s="24" t="n">
        <x:v>14</x:v>
      </x:c>
      <x:c r="X1437" s="24" t="str">
        <x:v>tabela_zeiss.pdf</x:v>
      </x:c>
      <x:c r="Y1437" s="24" t="str">
        <x:v>alta</x:v>
      </x:c>
      <x:c r="Z1437" s="24"/>
      <x:c r="AA1437" s="24" t="str">
        <x:v>ZEISS|Visão Simples|Surfaçada|ClearMind Individual 3|PhotoFusion X Extra Dark Cinza|1.6|1.60|DuraVision Silver UV|-6.00 a +8.00|-4.00|-|75|||14</x:v>
      </x:c>
    </x:row>
    <x:row r="1438">
      <x:c r="A1438" s="24" t="str">
        <x:v>ZS-8E01E983AD83</x:v>
      </x:c>
      <x:c r="B1438" s="24" t="str">
        <x:v>SIM</x:v>
      </x:c>
      <x:c r="C1438" s="24" t="str">
        <x:v>DISPONÍVEL</x:v>
      </x:c>
      <x:c r="D1438" s="24" t="str">
        <x:v>ZEISS</x:v>
      </x:c>
      <x:c r="E1438" s="24" t="str">
        <x:v>Visão Simples</x:v>
      </x:c>
      <x:c r="F1438" s="24" t="str">
        <x:v>Surfaçada</x:v>
      </x:c>
      <x:c r="G1438" s="24" t="str">
        <x:v>ClearMind Individual 3</x:v>
      </x:c>
      <x:c r="H1438" s="24" t="str">
        <x:v>PhotoFusion X Extra Dark Cinza</x:v>
      </x:c>
      <x:c r="I1438" s="24" t="str">
        <x:v>1.6</x:v>
      </x:c>
      <x:c r="J1438" s="24" t="str">
        <x:v>1.60</x:v>
      </x:c>
      <x:c r="K1438" s="24" t="str">
        <x:v>DuraVision Chrome UV</x:v>
      </x:c>
      <x:c r="L1438" s="40" t="n">
        <x:v>3707</x:v>
      </x:c>
      <x:c r="M1438" s="24" t="str">
        <x:v>-6.00 a +8.00</x:v>
      </x:c>
      <x:c r="N1438" s="24" t="str">
        <x:v>-4.00</x:v>
      </x:c>
      <x:c r="O1438" s="24" t="str">
        <x:v>-</x:v>
      </x:c>
      <x:c r="P1438" s="24" t="str">
        <x:v>75</x:v>
      </x:c>
      <x:c r="Q1438" s="24"/>
      <x:c r="R1438" s="24"/>
      <x:c r="S1438" s="26" t="n">
        <x:v>46113</x:v>
      </x:c>
      <x:c r="T1438" s="26"/>
      <x:c r="U1438" s="24" t="str">
        <x:v>ATIVA/SEM FIM INFORMADO</x:v>
      </x:c>
      <x:c r="V1438" s="24" t="str">
        <x:v>Programa de Parcerias ZEISS — categoria Experts; Programa de Parcerias ZEISS</x:v>
      </x:c>
      <x:c r="W1438" s="24" t="n">
        <x:v>14</x:v>
      </x:c>
      <x:c r="X1438" s="24" t="str">
        <x:v>tabela_zeiss.pdf</x:v>
      </x:c>
      <x:c r="Y1438" s="24" t="str">
        <x:v>alta</x:v>
      </x:c>
      <x:c r="Z1438" s="24"/>
      <x:c r="AA1438" s="24" t="str">
        <x:v>ZEISS|Visão Simples|Surfaçada|ClearMind Individual 3|PhotoFusion X Extra Dark Cinza|1.6|1.60|DuraVision Chrome UV|-6.00 a +8.00|-4.00|-|75|||14</x:v>
      </x:c>
    </x:row>
    <x:row r="1439">
      <x:c r="A1439" s="24" t="str">
        <x:v>ZS-4E20692B831D</x:v>
      </x:c>
      <x:c r="B1439" s="24" t="str">
        <x:v>SIM</x:v>
      </x:c>
      <x:c r="C1439" s="24" t="str">
        <x:v>DISPONÍVEL</x:v>
      </x:c>
      <x:c r="D1439" s="24" t="str">
        <x:v>ZEISS</x:v>
      </x:c>
      <x:c r="E1439" s="24" t="str">
        <x:v>Visão Simples</x:v>
      </x:c>
      <x:c r="F1439" s="24" t="str">
        <x:v>Surfaçada</x:v>
      </x:c>
      <x:c r="G1439" s="24" t="str">
        <x:v>ClearMind Individual 3</x:v>
      </x:c>
      <x:c r="H1439" s="24" t="str">
        <x:v>PhotoFusion X Extra Dark Cinza</x:v>
      </x:c>
      <x:c r="I1439" s="24" t="str">
        <x:v>1.67</x:v>
      </x:c>
      <x:c r="J1439" s="24" t="str">
        <x:v>1.67</x:v>
      </x:c>
      <x:c r="K1439" s="24" t="str">
        <x:v>DuraVision Gold UV</x:v>
      </x:c>
      <x:c r="L1439" s="40" t="n">
        <x:v>5897</x:v>
      </x:c>
      <x:c r="M1439" s="24" t="str">
        <x:v>-8.00 a +8.00</x:v>
      </x:c>
      <x:c r="N1439" s="24" t="str">
        <x:v>-6.00</x:v>
      </x:c>
      <x:c r="O1439" s="24" t="str">
        <x:v>-</x:v>
      </x:c>
      <x:c r="P1439" s="24" t="str">
        <x:v>70</x:v>
      </x:c>
      <x:c r="Q1439" s="24"/>
      <x:c r="R1439" s="24"/>
      <x:c r="S1439" s="26" t="n">
        <x:v>46113</x:v>
      </x:c>
      <x:c r="T1439" s="26"/>
      <x:c r="U1439" s="24" t="str">
        <x:v>ATIVA/SEM FIM INFORMADO</x:v>
      </x:c>
      <x:c r="V1439" s="24" t="str">
        <x:v>Programa de Parcerias ZEISS — categoria Experts; Programa de Parcerias ZEISS</x:v>
      </x:c>
      <x:c r="W1439" s="24" t="n">
        <x:v>14</x:v>
      </x:c>
      <x:c r="X1439" s="24" t="str">
        <x:v>tabela_zeiss.pdf</x:v>
      </x:c>
      <x:c r="Y1439" s="24" t="str">
        <x:v>alta</x:v>
      </x:c>
      <x:c r="Z1439" s="24"/>
      <x:c r="AA1439" s="24" t="str">
        <x:v>ZEISS|Visão Simples|Surfaçada|ClearMind Individual 3|PhotoFusion X Extra Dark Cinza|1.67|1.67|DuraVision Gold UV|-8.00 a +8.00|-6.00|-|70|||14</x:v>
      </x:c>
    </x:row>
    <x:row r="1440">
      <x:c r="A1440" s="24" t="str">
        <x:v>ZS-12809B072C08</x:v>
      </x:c>
      <x:c r="B1440" s="24" t="str">
        <x:v>SIM</x:v>
      </x:c>
      <x:c r="C1440" s="24" t="str">
        <x:v>DISPONÍVEL</x:v>
      </x:c>
      <x:c r="D1440" s="24" t="str">
        <x:v>ZEISS</x:v>
      </x:c>
      <x:c r="E1440" s="24" t="str">
        <x:v>Visão Simples</x:v>
      </x:c>
      <x:c r="F1440" s="24" t="str">
        <x:v>Surfaçada</x:v>
      </x:c>
      <x:c r="G1440" s="24" t="str">
        <x:v>ClearMind Individual 3</x:v>
      </x:c>
      <x:c r="H1440" s="24" t="str">
        <x:v>PhotoFusion X Extra Dark Cinza</x:v>
      </x:c>
      <x:c r="I1440" s="24" t="str">
        <x:v>1.67</x:v>
      </x:c>
      <x:c r="J1440" s="24" t="str">
        <x:v>1.67</x:v>
      </x:c>
      <x:c r="K1440" s="24" t="str">
        <x:v>DURAVISION® ANTIVÍRUS PLATINUM UV</x:v>
      </x:c>
      <x:c r="L1440" s="40" t="n">
        <x:v>5757</x:v>
      </x:c>
      <x:c r="M1440" s="24" t="str">
        <x:v>-8.00 a +8.00</x:v>
      </x:c>
      <x:c r="N1440" s="24" t="str">
        <x:v>-6.00</x:v>
      </x:c>
      <x:c r="O1440" s="24" t="str">
        <x:v>-</x:v>
      </x:c>
      <x:c r="P1440" s="24" t="str">
        <x:v>70</x:v>
      </x:c>
      <x:c r="Q1440" s="24"/>
      <x:c r="R1440" s="24"/>
      <x:c r="S1440" s="26" t="n">
        <x:v>46113</x:v>
      </x:c>
      <x:c r="T1440" s="26"/>
      <x:c r="U1440" s="24" t="str">
        <x:v>ATIVA/SEM FIM INFORMADO</x:v>
      </x:c>
      <x:c r="V1440" s="24" t="str">
        <x:v>Programa de Parcerias ZEISS — categoria Experts; Programa de Parcerias ZEISS</x:v>
      </x:c>
      <x:c r="W1440" s="24" t="n">
        <x:v>14</x:v>
      </x:c>
      <x:c r="X1440" s="24" t="str">
        <x:v>tabela_zeiss.pdf</x:v>
      </x:c>
      <x:c r="Y1440" s="24" t="str">
        <x:v>alta</x:v>
      </x:c>
      <x:c r="Z1440" s="24"/>
      <x:c r="AA1440" s="24" t="str">
        <x:v>ZEISS|Visão Simples|Surfaçada|ClearMind Individual 3|PhotoFusion X Extra Dark Cinza|1.67|1.67|DURAVISION® ANTIVÍRUS PLATINUM UV|-8.00 a +8.00|-6.00|-|70|||14</x:v>
      </x:c>
    </x:row>
    <x:row r="1441">
      <x:c r="A1441" s="24" t="str">
        <x:v>ZS-61AA3CDBB06A</x:v>
      </x:c>
      <x:c r="B1441" s="24" t="str">
        <x:v>SIM</x:v>
      </x:c>
      <x:c r="C1441" s="24" t="str">
        <x:v>DISPONÍVEL</x:v>
      </x:c>
      <x:c r="D1441" s="24" t="str">
        <x:v>ZEISS</x:v>
      </x:c>
      <x:c r="E1441" s="24" t="str">
        <x:v>Visão Simples</x:v>
      </x:c>
      <x:c r="F1441" s="24" t="str">
        <x:v>Surfaçada</x:v>
      </x:c>
      <x:c r="G1441" s="24" t="str">
        <x:v>ClearMind Individual 3</x:v>
      </x:c>
      <x:c r="H1441" s="24" t="str">
        <x:v>PhotoFusion X Extra Dark Cinza</x:v>
      </x:c>
      <x:c r="I1441" s="24" t="str">
        <x:v>1.67</x:v>
      </x:c>
      <x:c r="J1441" s="24" t="str">
        <x:v>1.67</x:v>
      </x:c>
      <x:c r="K1441" s="24" t="str">
        <x:v>DuraVision Platinum UV</x:v>
      </x:c>
      <x:c r="L1441" s="40" t="n">
        <x:v>5757</x:v>
      </x:c>
      <x:c r="M1441" s="24" t="str">
        <x:v>-8.00 a +8.00</x:v>
      </x:c>
      <x:c r="N1441" s="24" t="str">
        <x:v>-6.00</x:v>
      </x:c>
      <x:c r="O1441" s="24" t="str">
        <x:v>-</x:v>
      </x:c>
      <x:c r="P1441" s="24" t="str">
        <x:v>70</x:v>
      </x:c>
      <x:c r="Q1441" s="24"/>
      <x:c r="R1441" s="24"/>
      <x:c r="S1441" s="26" t="n">
        <x:v>46113</x:v>
      </x:c>
      <x:c r="T1441" s="26"/>
      <x:c r="U1441" s="24" t="str">
        <x:v>ATIVA/SEM FIM INFORMADO</x:v>
      </x:c>
      <x:c r="V1441" s="24" t="str">
        <x:v>Programa de Parcerias ZEISS — categoria Experts; Programa de Parcerias ZEISS</x:v>
      </x:c>
      <x:c r="W1441" s="24" t="n">
        <x:v>14</x:v>
      </x:c>
      <x:c r="X1441" s="24" t="str">
        <x:v>tabela_zeiss.pdf</x:v>
      </x:c>
      <x:c r="Y1441" s="24" t="str">
        <x:v>alta</x:v>
      </x:c>
      <x:c r="Z1441" s="24"/>
      <x:c r="AA1441" s="24" t="str">
        <x:v>ZEISS|Visão Simples|Surfaçada|ClearMind Individual 3|PhotoFusion X Extra Dark Cinza|1.67|1.67|DuraVision Platinum UV|-8.00 a +8.00|-6.00|-|70|||14</x:v>
      </x:c>
    </x:row>
    <x:row r="1442">
      <x:c r="A1442" s="24" t="str">
        <x:v>ZS-CF2946EFA497</x:v>
      </x:c>
      <x:c r="B1442" s="24" t="str">
        <x:v>SIM</x:v>
      </x:c>
      <x:c r="C1442" s="24" t="str">
        <x:v>DISPONÍVEL</x:v>
      </x:c>
      <x:c r="D1442" s="24" t="str">
        <x:v>ZEISS</x:v>
      </x:c>
      <x:c r="E1442" s="24" t="str">
        <x:v>Visão Simples</x:v>
      </x:c>
      <x:c r="F1442" s="24" t="str">
        <x:v>Surfaçada</x:v>
      </x:c>
      <x:c r="G1442" s="24" t="str">
        <x:v>ClearMind Individual 3</x:v>
      </x:c>
      <x:c r="H1442" s="24" t="str">
        <x:v>PhotoFusion X Extra Dark Cinza</x:v>
      </x:c>
      <x:c r="I1442" s="24" t="str">
        <x:v>1.67</x:v>
      </x:c>
      <x:c r="J1442" s="24" t="str">
        <x:v>1.67</x:v>
      </x:c>
      <x:c r="K1442" s="24" t="str">
        <x:v>DuraVision Silver UV</x:v>
      </x:c>
      <x:c r="L1442" s="40" t="n">
        <x:v>5497</x:v>
      </x:c>
      <x:c r="M1442" s="24" t="str">
        <x:v>-8.00 a +8.00</x:v>
      </x:c>
      <x:c r="N1442" s="24" t="str">
        <x:v>-6.00</x:v>
      </x:c>
      <x:c r="O1442" s="24" t="str">
        <x:v>-</x:v>
      </x:c>
      <x:c r="P1442" s="24" t="str">
        <x:v>70</x:v>
      </x:c>
      <x:c r="Q1442" s="24"/>
      <x:c r="R1442" s="24"/>
      <x:c r="S1442" s="26" t="n">
        <x:v>46113</x:v>
      </x:c>
      <x:c r="T1442" s="26"/>
      <x:c r="U1442" s="24" t="str">
        <x:v>ATIVA/SEM FIM INFORMADO</x:v>
      </x:c>
      <x:c r="V1442" s="24" t="str">
        <x:v>Programa de Parcerias ZEISS — categoria Experts; Programa de Parcerias ZEISS</x:v>
      </x:c>
      <x:c r="W1442" s="24" t="n">
        <x:v>14</x:v>
      </x:c>
      <x:c r="X1442" s="24" t="str">
        <x:v>tabela_zeiss.pdf</x:v>
      </x:c>
      <x:c r="Y1442" s="24" t="str">
        <x:v>alta</x:v>
      </x:c>
      <x:c r="Z1442" s="24"/>
      <x:c r="AA1442" s="24" t="str">
        <x:v>ZEISS|Visão Simples|Surfaçada|ClearMind Individual 3|PhotoFusion X Extra Dark Cinza|1.67|1.67|DuraVision Silver UV|-8.00 a +8.00|-6.00|-|70|||14</x:v>
      </x:c>
    </x:row>
    <x:row r="1443">
      <x:c r="A1443" s="24" t="str">
        <x:v>ZS-B90B408B881E</x:v>
      </x:c>
      <x:c r="B1443" s="24" t="str">
        <x:v>SIM</x:v>
      </x:c>
      <x:c r="C1443" s="24" t="str">
        <x:v>DISPONÍVEL</x:v>
      </x:c>
      <x:c r="D1443" s="24" t="str">
        <x:v>ZEISS</x:v>
      </x:c>
      <x:c r="E1443" s="24" t="str">
        <x:v>Visão Simples</x:v>
      </x:c>
      <x:c r="F1443" s="24" t="str">
        <x:v>Surfaçada</x:v>
      </x:c>
      <x:c r="G1443" s="24" t="str">
        <x:v>ClearMind Individual 3</x:v>
      </x:c>
      <x:c r="H1443" s="24" t="str">
        <x:v>PhotoFusion X Extra Dark Cinza</x:v>
      </x:c>
      <x:c r="I1443" s="24" t="str">
        <x:v>1.67</x:v>
      </x:c>
      <x:c r="J1443" s="24" t="str">
        <x:v>1.67</x:v>
      </x:c>
      <x:c r="K1443" s="24" t="str">
        <x:v>DuraVision Chrome UV</x:v>
      </x:c>
      <x:c r="L1443" s="40" t="n">
        <x:v>5007</x:v>
      </x:c>
      <x:c r="M1443" s="24" t="str">
        <x:v>-8.00 a +8.00</x:v>
      </x:c>
      <x:c r="N1443" s="24" t="str">
        <x:v>-6.00</x:v>
      </x:c>
      <x:c r="O1443" s="24" t="str">
        <x:v>-</x:v>
      </x:c>
      <x:c r="P1443" s="24" t="str">
        <x:v>70</x:v>
      </x:c>
      <x:c r="Q1443" s="24"/>
      <x:c r="R1443" s="24"/>
      <x:c r="S1443" s="26" t="n">
        <x:v>46113</x:v>
      </x:c>
      <x:c r="T1443" s="26"/>
      <x:c r="U1443" s="24" t="str">
        <x:v>ATIVA/SEM FIM INFORMADO</x:v>
      </x:c>
      <x:c r="V1443" s="24" t="str">
        <x:v>Programa de Parcerias ZEISS — categoria Experts; Programa de Parcerias ZEISS</x:v>
      </x:c>
      <x:c r="W1443" s="24" t="n">
        <x:v>14</x:v>
      </x:c>
      <x:c r="X1443" s="24" t="str">
        <x:v>tabela_zeiss.pdf</x:v>
      </x:c>
      <x:c r="Y1443" s="24" t="str">
        <x:v>alta</x:v>
      </x:c>
      <x:c r="Z1443" s="24"/>
      <x:c r="AA1443" s="24" t="str">
        <x:v>ZEISS|Visão Simples|Surfaçada|ClearMind Individual 3|PhotoFusion X Extra Dark Cinza|1.67|1.67|DuraVision Chrome UV|-8.00 a +8.00|-6.00|-|70|||14</x:v>
      </x:c>
    </x:row>
    <x:row r="1444">
      <x:c r="A1444" s="24" t="str">
        <x:v>ZS-51D0B24C093A</x:v>
      </x:c>
      <x:c r="B1444" s="24" t="str">
        <x:v>SIM</x:v>
      </x:c>
      <x:c r="C1444" s="24" t="str">
        <x:v>DISPONÍVEL</x:v>
      </x:c>
      <x:c r="D1444" s="24" t="str">
        <x:v>ZEISS</x:v>
      </x:c>
      <x:c r="E1444" s="24" t="str">
        <x:v>Visão Simples</x:v>
      </x:c>
      <x:c r="F1444" s="24" t="str">
        <x:v>Surfaçada</x:v>
      </x:c>
      <x:c r="G1444" s="24" t="str">
        <x:v>ClearMind Individual 3</x:v>
      </x:c>
      <x:c r="H1444" s="24" t="str">
        <x:v>Polarizada</x:v>
      </x:c>
      <x:c r="I1444" s="24" t="str">
        <x:v>1.5</x:v>
      </x:c>
      <x:c r="J1444" s="24" t="str">
        <x:v>1.50</x:v>
      </x:c>
      <x:c r="K1444" s="24" t="str">
        <x:v>DuraVision Gold UV</x:v>
      </x:c>
      <x:c r="L1444" s="40" t="n">
        <x:v>3717</x:v>
      </x:c>
      <x:c r="M1444" s="24" t="str">
        <x:v>-6.00 a +6.00</x:v>
      </x:c>
      <x:c r="N1444" s="24" t="str">
        <x:v>-4.00</x:v>
      </x:c>
      <x:c r="O1444" s="24" t="str">
        <x:v>-</x:v>
      </x:c>
      <x:c r="P1444" s="24" t="str">
        <x:v>75</x:v>
      </x:c>
      <x:c r="Q1444" s="24"/>
      <x:c r="R1444" s="24"/>
      <x:c r="S1444" s="26" t="n">
        <x:v>46113</x:v>
      </x:c>
      <x:c r="T1444" s="26"/>
      <x:c r="U1444" s="24" t="str">
        <x:v>ATIVA/SEM FIM INFORMADO</x:v>
      </x:c>
      <x:c r="V1444" s="24" t="str">
        <x:v>Programa de Parcerias ZEISS — categoria Experts</x:v>
      </x:c>
      <x:c r="W1444" s="24" t="n">
        <x:v>14</x:v>
      </x:c>
      <x:c r="X1444" s="24" t="str">
        <x:v>tabela_zeiss.pdf</x:v>
      </x:c>
      <x:c r="Y1444" s="24" t="str">
        <x:v>alta</x:v>
      </x:c>
      <x:c r="Z1444" s="24"/>
      <x:c r="AA1444" s="24" t="str">
        <x:v>ZEISS|Visão Simples|Surfaçada|ClearMind Individual 3|Polarizada|1.5|1.50|DuraVision Gold UV|-6.00 a +6.00|-4.00|-|75|||14</x:v>
      </x:c>
    </x:row>
    <x:row r="1445">
      <x:c r="A1445" s="24" t="str">
        <x:v>ZS-6CCE5CC70513</x:v>
      </x:c>
      <x:c r="B1445" s="24" t="str">
        <x:v>SIM</x:v>
      </x:c>
      <x:c r="C1445" s="24" t="str">
        <x:v>DISPONÍVEL</x:v>
      </x:c>
      <x:c r="D1445" s="24" t="str">
        <x:v>ZEISS</x:v>
      </x:c>
      <x:c r="E1445" s="24" t="str">
        <x:v>Visão Simples</x:v>
      </x:c>
      <x:c r="F1445" s="24" t="str">
        <x:v>Surfaçada</x:v>
      </x:c>
      <x:c r="G1445" s="24" t="str">
        <x:v>ClearMind Individual 3</x:v>
      </x:c>
      <x:c r="H1445" s="24" t="str">
        <x:v>Polarizada</x:v>
      </x:c>
      <x:c r="I1445" s="24" t="str">
        <x:v>1.5</x:v>
      </x:c>
      <x:c r="J1445" s="24" t="str">
        <x:v>1.50</x:v>
      </x:c>
      <x:c r="K1445" s="24" t="str">
        <x:v>DuraVision Platinum UV</x:v>
      </x:c>
      <x:c r="L1445" s="40" t="n">
        <x:v>3577</x:v>
      </x:c>
      <x:c r="M1445" s="24" t="str">
        <x:v>-6.00 a +6.00</x:v>
      </x:c>
      <x:c r="N1445" s="24" t="str">
        <x:v>-4.00</x:v>
      </x:c>
      <x:c r="O1445" s="24" t="str">
        <x:v>-</x:v>
      </x:c>
      <x:c r="P1445" s="24" t="str">
        <x:v>75</x:v>
      </x:c>
      <x:c r="Q1445" s="24"/>
      <x:c r="R1445" s="24"/>
      <x:c r="S1445" s="26" t="n">
        <x:v>46113</x:v>
      </x:c>
      <x:c r="T1445" s="26"/>
      <x:c r="U1445" s="24" t="str">
        <x:v>ATIVA/SEM FIM INFORMADO</x:v>
      </x:c>
      <x:c r="V1445" s="24" t="str">
        <x:v>Programa de Parcerias ZEISS — categoria Experts</x:v>
      </x:c>
      <x:c r="W1445" s="24" t="n">
        <x:v>14</x:v>
      </x:c>
      <x:c r="X1445" s="24" t="str">
        <x:v>tabela_zeiss.pdf</x:v>
      </x:c>
      <x:c r="Y1445" s="24" t="str">
        <x:v>alta</x:v>
      </x:c>
      <x:c r="Z1445" s="24"/>
      <x:c r="AA1445" s="24" t="str">
        <x:v>ZEISS|Visão Simples|Surfaçada|ClearMind Individual 3|Polarizada|1.5|1.50|DuraVision Platinum UV|-6.00 a +6.00|-4.00|-|75|||14</x:v>
      </x:c>
    </x:row>
    <x:row r="1446">
      <x:c r="A1446" s="24" t="str">
        <x:v>ZS-084FBD282CCB</x:v>
      </x:c>
      <x:c r="B1446" s="24" t="str">
        <x:v>SIM</x:v>
      </x:c>
      <x:c r="C1446" s="24" t="str">
        <x:v>DISPONÍVEL</x:v>
      </x:c>
      <x:c r="D1446" s="24" t="str">
        <x:v>ZEISS</x:v>
      </x:c>
      <x:c r="E1446" s="24" t="str">
        <x:v>Visão Simples</x:v>
      </x:c>
      <x:c r="F1446" s="24" t="str">
        <x:v>Surfaçada</x:v>
      </x:c>
      <x:c r="G1446" s="24" t="str">
        <x:v>ClearMind Individual 3</x:v>
      </x:c>
      <x:c r="H1446" s="24" t="str">
        <x:v>Polarizada</x:v>
      </x:c>
      <x:c r="I1446" s="24" t="str">
        <x:v>1.5</x:v>
      </x:c>
      <x:c r="J1446" s="24" t="str">
        <x:v>1.50</x:v>
      </x:c>
      <x:c r="K1446" s="24" t="str">
        <x:v>DuraVision Silver UV</x:v>
      </x:c>
      <x:c r="L1446" s="40" t="n">
        <x:v>3317</x:v>
      </x:c>
      <x:c r="M1446" s="24" t="str">
        <x:v>-6.00 a +6.00</x:v>
      </x:c>
      <x:c r="N1446" s="24" t="str">
        <x:v>-4.00</x:v>
      </x:c>
      <x:c r="O1446" s="24" t="str">
        <x:v>-</x:v>
      </x:c>
      <x:c r="P1446" s="24" t="str">
        <x:v>75</x:v>
      </x:c>
      <x:c r="Q1446" s="24"/>
      <x:c r="R1446" s="24"/>
      <x:c r="S1446" s="26" t="n">
        <x:v>46113</x:v>
      </x:c>
      <x:c r="T1446" s="26"/>
      <x:c r="U1446" s="24" t="str">
        <x:v>ATIVA/SEM FIM INFORMADO</x:v>
      </x:c>
      <x:c r="V1446" s="24" t="str">
        <x:v>Programa de Parcerias ZEISS — categoria Experts</x:v>
      </x:c>
      <x:c r="W1446" s="24" t="n">
        <x:v>14</x:v>
      </x:c>
      <x:c r="X1446" s="24" t="str">
        <x:v>tabela_zeiss.pdf</x:v>
      </x:c>
      <x:c r="Y1446" s="24" t="str">
        <x:v>alta</x:v>
      </x:c>
      <x:c r="Z1446" s="24"/>
      <x:c r="AA1446" s="24" t="str">
        <x:v>ZEISS|Visão Simples|Surfaçada|ClearMind Individual 3|Polarizada|1.5|1.50|DuraVision Silver UV|-6.00 a +6.00|-4.00|-|75|||14</x:v>
      </x:c>
    </x:row>
    <x:row r="1447">
      <x:c r="A1447" s="24" t="str">
        <x:v>ZS-1C628050F11B</x:v>
      </x:c>
      <x:c r="B1447" s="24" t="str">
        <x:v>SIM</x:v>
      </x:c>
      <x:c r="C1447" s="24" t="str">
        <x:v>DISPONÍVEL</x:v>
      </x:c>
      <x:c r="D1447" s="24" t="str">
        <x:v>ZEISS</x:v>
      </x:c>
      <x:c r="E1447" s="24" t="str">
        <x:v>Visão Simples</x:v>
      </x:c>
      <x:c r="F1447" s="24" t="str">
        <x:v>Surfaçada</x:v>
      </x:c>
      <x:c r="G1447" s="24" t="str">
        <x:v>ClearMind Individual 3</x:v>
      </x:c>
      <x:c r="H1447" s="24" t="str">
        <x:v>Polarizada</x:v>
      </x:c>
      <x:c r="I1447" s="24" t="str">
        <x:v>1.5</x:v>
      </x:c>
      <x:c r="J1447" s="24" t="str">
        <x:v>1.50</x:v>
      </x:c>
      <x:c r="K1447" s="24" t="str">
        <x:v>DuraVision Chrome UV</x:v>
      </x:c>
      <x:c r="L1447" s="40" t="n">
        <x:v>2827</x:v>
      </x:c>
      <x:c r="M1447" s="24" t="str">
        <x:v>-6.00 a +6.00</x:v>
      </x:c>
      <x:c r="N1447" s="24" t="str">
        <x:v>-4.00</x:v>
      </x:c>
      <x:c r="O1447" s="24" t="str">
        <x:v>-</x:v>
      </x:c>
      <x:c r="P1447" s="24" t="str">
        <x:v>75</x:v>
      </x:c>
      <x:c r="Q1447" s="24"/>
      <x:c r="R1447" s="24"/>
      <x:c r="S1447" s="26" t="n">
        <x:v>46113</x:v>
      </x:c>
      <x:c r="T1447" s="26"/>
      <x:c r="U1447" s="24" t="str">
        <x:v>ATIVA/SEM FIM INFORMADO</x:v>
      </x:c>
      <x:c r="V1447" s="24" t="str">
        <x:v>Programa de Parcerias ZEISS — categoria Experts</x:v>
      </x:c>
      <x:c r="W1447" s="24" t="n">
        <x:v>14</x:v>
      </x:c>
      <x:c r="X1447" s="24" t="str">
        <x:v>tabela_zeiss.pdf</x:v>
      </x:c>
      <x:c r="Y1447" s="24" t="str">
        <x:v>alta</x:v>
      </x:c>
      <x:c r="Z1447" s="24"/>
      <x:c r="AA1447" s="24" t="str">
        <x:v>ZEISS|Visão Simples|Surfaçada|ClearMind Individual 3|Polarizada|1.5|1.50|DuraVision Chrome UV|-6.00 a +6.00|-4.00|-|75|||14</x:v>
      </x:c>
    </x:row>
    <x:row r="1448">
      <x:c r="A1448" s="24" t="str">
        <x:v>ZS-085285F5E405</x:v>
      </x:c>
      <x:c r="B1448" s="24" t="str">
        <x:v>SIM</x:v>
      </x:c>
      <x:c r="C1448" s="24" t="str">
        <x:v>DISPONÍVEL</x:v>
      </x:c>
      <x:c r="D1448" s="24" t="str">
        <x:v>ZEISS</x:v>
      </x:c>
      <x:c r="E1448" s="24" t="str">
        <x:v>Visão Simples</x:v>
      </x:c>
      <x:c r="F1448" s="24" t="str">
        <x:v>Surfaçada</x:v>
      </x:c>
      <x:c r="G1448" s="24" t="str">
        <x:v>ClearMind Individual 3</x:v>
      </x:c>
      <x:c r="H1448" s="24" t="str">
        <x:v>Polarizada</x:v>
      </x:c>
      <x:c r="I1448" s="24" t="str">
        <x:v>1.5</x:v>
      </x:c>
      <x:c r="J1448" s="24" t="str">
        <x:v>1.50</x:v>
      </x:c>
      <x:c r="K1448" s="24" t="str">
        <x:v>Sem AR</x:v>
      </x:c>
      <x:c r="L1448" s="40" t="n">
        <x:v>2427</x:v>
      </x:c>
      <x:c r="M1448" s="24" t="str">
        <x:v>-6.00 a +6.00</x:v>
      </x:c>
      <x:c r="N1448" s="24" t="str">
        <x:v>-4.00</x:v>
      </x:c>
      <x:c r="O1448" s="24" t="str">
        <x:v>-</x:v>
      </x:c>
      <x:c r="P1448" s="24" t="str">
        <x:v>75</x:v>
      </x:c>
      <x:c r="Q1448" s="24"/>
      <x:c r="R1448" s="24"/>
      <x:c r="S1448" s="26" t="n">
        <x:v>46113</x:v>
      </x:c>
      <x:c r="T1448" s="26"/>
      <x:c r="U1448" s="24" t="str">
        <x:v>ATIVA/SEM FIM INFORMADO</x:v>
      </x:c>
      <x:c r="V1448" s="24" t="str">
        <x:v>Programa de Parcerias ZEISS — categoria Experts</x:v>
      </x:c>
      <x:c r="W1448" s="24" t="n">
        <x:v>14</x:v>
      </x:c>
      <x:c r="X1448" s="24" t="str">
        <x:v>tabela_zeiss.pdf</x:v>
      </x:c>
      <x:c r="Y1448" s="24" t="str">
        <x:v>alta</x:v>
      </x:c>
      <x:c r="Z1448" s="24"/>
      <x:c r="AA1448" s="24" t="str">
        <x:v>ZEISS|Visão Simples|Surfaçada|ClearMind Individual 3|Polarizada|1.5|1.50|Sem AR|-6.00 a +6.00|-4.00|-|75|||14</x:v>
      </x:c>
    </x:row>
    <x:row r="1449">
      <x:c r="A1449" s="24" t="str">
        <x:v>ZS-8F92EA2A749B</x:v>
      </x:c>
      <x:c r="B1449" s="24" t="str">
        <x:v>SIM</x:v>
      </x:c>
      <x:c r="C1449" s="24" t="str">
        <x:v>DISPONÍVEL</x:v>
      </x:c>
      <x:c r="D1449" s="24" t="str">
        <x:v>ZEISS</x:v>
      </x:c>
      <x:c r="E1449" s="24" t="str">
        <x:v>Visão Simples</x:v>
      </x:c>
      <x:c r="F1449" s="24" t="str">
        <x:v>Surfaçada</x:v>
      </x:c>
      <x:c r="G1449" s="24" t="str">
        <x:v>ClearMind Individual 3</x:v>
      </x:c>
      <x:c r="H1449" s="24" t="str">
        <x:v>Polarizada</x:v>
      </x:c>
      <x:c r="I1449" s="24" t="str">
        <x:v>1.6</x:v>
      </x:c>
      <x:c r="J1449" s="24" t="str">
        <x:v>1.60</x:v>
      </x:c>
      <x:c r="K1449" s="24" t="str">
        <x:v>DuraVision Gold UV</x:v>
      </x:c>
      <x:c r="L1449" s="40" t="n">
        <x:v>4297</x:v>
      </x:c>
      <x:c r="M1449" s="24" t="str">
        <x:v>-8.00 a +8.00</x:v>
      </x:c>
      <x:c r="N1449" s="24" t="str">
        <x:v>-4.00</x:v>
      </x:c>
      <x:c r="O1449" s="24" t="str">
        <x:v>-</x:v>
      </x:c>
      <x:c r="P1449" s="24" t="str">
        <x:v>70</x:v>
      </x:c>
      <x:c r="Q1449" s="24"/>
      <x:c r="R1449" s="24"/>
      <x:c r="S1449" s="26" t="n">
        <x:v>46113</x:v>
      </x:c>
      <x:c r="T1449" s="26"/>
      <x:c r="U1449" s="24" t="str">
        <x:v>ATIVA/SEM FIM INFORMADO</x:v>
      </x:c>
      <x:c r="V1449" s="24" t="str">
        <x:v>Programa de Parcerias ZEISS — categoria Experts</x:v>
      </x:c>
      <x:c r="W1449" s="24" t="n">
        <x:v>14</x:v>
      </x:c>
      <x:c r="X1449" s="24" t="str">
        <x:v>tabela_zeiss.pdf</x:v>
      </x:c>
      <x:c r="Y1449" s="24" t="str">
        <x:v>alta</x:v>
      </x:c>
      <x:c r="Z1449" s="24"/>
      <x:c r="AA1449" s="24" t="str">
        <x:v>ZEISS|Visão Simples|Surfaçada|ClearMind Individual 3|Polarizada|1.6|1.60|DuraVision Gold UV|-8.00 a +8.00|-4.00|-|70|||14</x:v>
      </x:c>
    </x:row>
    <x:row r="1450">
      <x:c r="A1450" s="24" t="str">
        <x:v>ZS-F44165F7D7D1</x:v>
      </x:c>
      <x:c r="B1450" s="24" t="str">
        <x:v>SIM</x:v>
      </x:c>
      <x:c r="C1450" s="24" t="str">
        <x:v>DISPONÍVEL</x:v>
      </x:c>
      <x:c r="D1450" s="24" t="str">
        <x:v>ZEISS</x:v>
      </x:c>
      <x:c r="E1450" s="24" t="str">
        <x:v>Visão Simples</x:v>
      </x:c>
      <x:c r="F1450" s="24" t="str">
        <x:v>Surfaçada</x:v>
      </x:c>
      <x:c r="G1450" s="24" t="str">
        <x:v>ClearMind Individual 3</x:v>
      </x:c>
      <x:c r="H1450" s="24" t="str">
        <x:v>Polarizada</x:v>
      </x:c>
      <x:c r="I1450" s="24" t="str">
        <x:v>1.6</x:v>
      </x:c>
      <x:c r="J1450" s="24" t="str">
        <x:v>1.60</x:v>
      </x:c>
      <x:c r="K1450" s="24" t="str">
        <x:v>DuraVision Platinum UV</x:v>
      </x:c>
      <x:c r="L1450" s="40" t="n">
        <x:v>4157</x:v>
      </x:c>
      <x:c r="M1450" s="24" t="str">
        <x:v>-8.00 a +8.00</x:v>
      </x:c>
      <x:c r="N1450" s="24" t="str">
        <x:v>-4.00</x:v>
      </x:c>
      <x:c r="O1450" s="24" t="str">
        <x:v>-</x:v>
      </x:c>
      <x:c r="P1450" s="24" t="str">
        <x:v>70</x:v>
      </x:c>
      <x:c r="Q1450" s="24"/>
      <x:c r="R1450" s="24"/>
      <x:c r="S1450" s="26" t="n">
        <x:v>46113</x:v>
      </x:c>
      <x:c r="T1450" s="26"/>
      <x:c r="U1450" s="24" t="str">
        <x:v>ATIVA/SEM FIM INFORMADO</x:v>
      </x:c>
      <x:c r="V1450" s="24" t="str">
        <x:v>Programa de Parcerias ZEISS — categoria Experts</x:v>
      </x:c>
      <x:c r="W1450" s="24" t="n">
        <x:v>14</x:v>
      </x:c>
      <x:c r="X1450" s="24" t="str">
        <x:v>tabela_zeiss.pdf</x:v>
      </x:c>
      <x:c r="Y1450" s="24" t="str">
        <x:v>alta</x:v>
      </x:c>
      <x:c r="Z1450" s="24"/>
      <x:c r="AA1450" s="24" t="str">
        <x:v>ZEISS|Visão Simples|Surfaçada|ClearMind Individual 3|Polarizada|1.6|1.60|DuraVision Platinum UV|-8.00 a +8.00|-4.00|-|70|||14</x:v>
      </x:c>
    </x:row>
    <x:row r="1451">
      <x:c r="A1451" s="24" t="str">
        <x:v>ZS-A78A5601FDA2</x:v>
      </x:c>
      <x:c r="B1451" s="24" t="str">
        <x:v>SIM</x:v>
      </x:c>
      <x:c r="C1451" s="24" t="str">
        <x:v>DISPONÍVEL</x:v>
      </x:c>
      <x:c r="D1451" s="24" t="str">
        <x:v>ZEISS</x:v>
      </x:c>
      <x:c r="E1451" s="24" t="str">
        <x:v>Visão Simples</x:v>
      </x:c>
      <x:c r="F1451" s="24" t="str">
        <x:v>Surfaçada</x:v>
      </x:c>
      <x:c r="G1451" s="24" t="str">
        <x:v>ClearMind Individual 3</x:v>
      </x:c>
      <x:c r="H1451" s="24" t="str">
        <x:v>Polarizada</x:v>
      </x:c>
      <x:c r="I1451" s="24" t="str">
        <x:v>1.6</x:v>
      </x:c>
      <x:c r="J1451" s="24" t="str">
        <x:v>1.60</x:v>
      </x:c>
      <x:c r="K1451" s="24" t="str">
        <x:v>DuraVision Silver UV</x:v>
      </x:c>
      <x:c r="L1451" s="40" t="n">
        <x:v>3897</x:v>
      </x:c>
      <x:c r="M1451" s="24" t="str">
        <x:v>-8.00 a +8.00</x:v>
      </x:c>
      <x:c r="N1451" s="24" t="str">
        <x:v>-4.00</x:v>
      </x:c>
      <x:c r="O1451" s="24" t="str">
        <x:v>-</x:v>
      </x:c>
      <x:c r="P1451" s="24" t="str">
        <x:v>70</x:v>
      </x:c>
      <x:c r="Q1451" s="24"/>
      <x:c r="R1451" s="24"/>
      <x:c r="S1451" s="26" t="n">
        <x:v>46113</x:v>
      </x:c>
      <x:c r="T1451" s="26"/>
      <x:c r="U1451" s="24" t="str">
        <x:v>ATIVA/SEM FIM INFORMADO</x:v>
      </x:c>
      <x:c r="V1451" s="24" t="str">
        <x:v>Programa de Parcerias ZEISS — categoria Experts</x:v>
      </x:c>
      <x:c r="W1451" s="24" t="n">
        <x:v>14</x:v>
      </x:c>
      <x:c r="X1451" s="24" t="str">
        <x:v>tabela_zeiss.pdf</x:v>
      </x:c>
      <x:c r="Y1451" s="24" t="str">
        <x:v>alta</x:v>
      </x:c>
      <x:c r="Z1451" s="24"/>
      <x:c r="AA1451" s="24" t="str">
        <x:v>ZEISS|Visão Simples|Surfaçada|ClearMind Individual 3|Polarizada|1.6|1.60|DuraVision Silver UV|-8.00 a +8.00|-4.00|-|70|||14</x:v>
      </x:c>
    </x:row>
    <x:row r="1452">
      <x:c r="A1452" s="24" t="str">
        <x:v>ZS-CCFB9D1398F4</x:v>
      </x:c>
      <x:c r="B1452" s="24" t="str">
        <x:v>SIM</x:v>
      </x:c>
      <x:c r="C1452" s="24" t="str">
        <x:v>DISPONÍVEL</x:v>
      </x:c>
      <x:c r="D1452" s="24" t="str">
        <x:v>ZEISS</x:v>
      </x:c>
      <x:c r="E1452" s="24" t="str">
        <x:v>Visão Simples</x:v>
      </x:c>
      <x:c r="F1452" s="24" t="str">
        <x:v>Surfaçada</x:v>
      </x:c>
      <x:c r="G1452" s="24" t="str">
        <x:v>ClearMind Individual 3</x:v>
      </x:c>
      <x:c r="H1452" s="24" t="str">
        <x:v>Polarizada</x:v>
      </x:c>
      <x:c r="I1452" s="24" t="str">
        <x:v>1.6</x:v>
      </x:c>
      <x:c r="J1452" s="24" t="str">
        <x:v>1.60</x:v>
      </x:c>
      <x:c r="K1452" s="24" t="str">
        <x:v>DuraVision Chrome UV</x:v>
      </x:c>
      <x:c r="L1452" s="40" t="n">
        <x:v>3407</x:v>
      </x:c>
      <x:c r="M1452" s="24" t="str">
        <x:v>-8.00 a +8.00</x:v>
      </x:c>
      <x:c r="N1452" s="24" t="str">
        <x:v>-4.00</x:v>
      </x:c>
      <x:c r="O1452" s="24" t="str">
        <x:v>-</x:v>
      </x:c>
      <x:c r="P1452" s="24" t="str">
        <x:v>70</x:v>
      </x:c>
      <x:c r="Q1452" s="24"/>
      <x:c r="R1452" s="24"/>
      <x:c r="S1452" s="26" t="n">
        <x:v>46113</x:v>
      </x:c>
      <x:c r="T1452" s="26"/>
      <x:c r="U1452" s="24" t="str">
        <x:v>ATIVA/SEM FIM INFORMADO</x:v>
      </x:c>
      <x:c r="V1452" s="24" t="str">
        <x:v>Programa de Parcerias ZEISS — categoria Experts</x:v>
      </x:c>
      <x:c r="W1452" s="24" t="n">
        <x:v>14</x:v>
      </x:c>
      <x:c r="X1452" s="24" t="str">
        <x:v>tabela_zeiss.pdf</x:v>
      </x:c>
      <x:c r="Y1452" s="24" t="str">
        <x:v>alta</x:v>
      </x:c>
      <x:c r="Z1452" s="24"/>
      <x:c r="AA1452" s="24" t="str">
        <x:v>ZEISS|Visão Simples|Surfaçada|ClearMind Individual 3|Polarizada|1.6|1.60|DuraVision Chrome UV|-8.00 a +8.00|-4.00|-|70|||14</x:v>
      </x:c>
    </x:row>
    <x:row r="1453">
      <x:c r="A1453" s="24" t="str">
        <x:v>ZS-D4AFC59AC34A</x:v>
      </x:c>
      <x:c r="B1453" s="24" t="str">
        <x:v>SIM</x:v>
      </x:c>
      <x:c r="C1453" s="24" t="str">
        <x:v>DISPONÍVEL</x:v>
      </x:c>
      <x:c r="D1453" s="24" t="str">
        <x:v>ZEISS</x:v>
      </x:c>
      <x:c r="E1453" s="24" t="str">
        <x:v>Visão Simples</x:v>
      </x:c>
      <x:c r="F1453" s="24" t="str">
        <x:v>Surfaçada</x:v>
      </x:c>
      <x:c r="G1453" s="24" t="str">
        <x:v>ClearMind Individual 3</x:v>
      </x:c>
      <x:c r="H1453" s="24" t="str">
        <x:v>Polarizada</x:v>
      </x:c>
      <x:c r="I1453" s="24" t="str">
        <x:v>1.6</x:v>
      </x:c>
      <x:c r="J1453" s="24" t="str">
        <x:v>1.60</x:v>
      </x:c>
      <x:c r="K1453" s="24" t="str">
        <x:v>Sem AR</x:v>
      </x:c>
      <x:c r="L1453" s="40" t="n">
        <x:v>3007</x:v>
      </x:c>
      <x:c r="M1453" s="24" t="str">
        <x:v>-8.00 a +8.00</x:v>
      </x:c>
      <x:c r="N1453" s="24" t="str">
        <x:v>-4.00</x:v>
      </x:c>
      <x:c r="O1453" s="24" t="str">
        <x:v>-</x:v>
      </x:c>
      <x:c r="P1453" s="24" t="str">
        <x:v>70</x:v>
      </x:c>
      <x:c r="Q1453" s="24"/>
      <x:c r="R1453" s="24"/>
      <x:c r="S1453" s="26" t="n">
        <x:v>46113</x:v>
      </x:c>
      <x:c r="T1453" s="26"/>
      <x:c r="U1453" s="24" t="str">
        <x:v>ATIVA/SEM FIM INFORMADO</x:v>
      </x:c>
      <x:c r="V1453" s="24" t="str">
        <x:v>Programa de Parcerias ZEISS — categoria Experts</x:v>
      </x:c>
      <x:c r="W1453" s="24" t="n">
        <x:v>14</x:v>
      </x:c>
      <x:c r="X1453" s="24" t="str">
        <x:v>tabela_zeiss.pdf</x:v>
      </x:c>
      <x:c r="Y1453" s="24" t="str">
        <x:v>alta</x:v>
      </x:c>
      <x:c r="Z1453" s="24"/>
      <x:c r="AA1453" s="24" t="str">
        <x:v>ZEISS|Visão Simples|Surfaçada|ClearMind Individual 3|Polarizada|1.6|1.60|Sem AR|-8.00 a +8.00|-4.00|-|70|||14</x:v>
      </x:c>
    </x:row>
    <x:row r="1454">
      <x:c r="A1454" s="24" t="str">
        <x:v>ZS-B58C6D5C45DF</x:v>
      </x:c>
      <x:c r="B1454" s="24" t="str">
        <x:v>SIM</x:v>
      </x:c>
      <x:c r="C1454" s="24" t="str">
        <x:v>DISPONÍVEL</x:v>
      </x:c>
      <x:c r="D1454" s="24" t="str">
        <x:v>ZEISS</x:v>
      </x:c>
      <x:c r="E1454" s="24" t="str">
        <x:v>Visão Simples</x:v>
      </x:c>
      <x:c r="F1454" s="24" t="str">
        <x:v>Surfaçada</x:v>
      </x:c>
      <x:c r="G1454" s="24" t="str">
        <x:v>SmartLife Individual 3</x:v>
      </x:c>
      <x:c r="H1454" s="24"/>
      <x:c r="I1454" s="24" t="str">
        <x:v>1.5</x:v>
      </x:c>
      <x:c r="J1454" s="24" t="str">
        <x:v>1.50</x:v>
      </x:c>
      <x:c r="K1454" s="24" t="str">
        <x:v>DuraVision Gold UV</x:v>
      </x:c>
      <x:c r="L1454" s="40" t="n">
        <x:v>2559</x:v>
      </x:c>
      <x:c r="M1454" s="24" t="str">
        <x:v>-6.00 a +6.00</x:v>
      </x:c>
      <x:c r="N1454" s="24" t="str">
        <x:v>-4.00</x:v>
      </x:c>
      <x:c r="O1454" s="24" t="str">
        <x:v>-</x:v>
      </x:c>
      <x:c r="P1454" s="24" t="str">
        <x:v>75</x:v>
      </x:c>
      <x:c r="Q1454" s="24"/>
      <x:c r="R1454" s="24"/>
      <x:c r="S1454" s="26" t="n">
        <x:v>46113</x:v>
      </x:c>
      <x:c r="T1454" s="26"/>
      <x:c r="U1454" s="24" t="str">
        <x:v>ATIVA/SEM FIM INFORMADO</x:v>
      </x:c>
      <x:c r="V1454" s="24"/>
      <x:c r="W1454" s="24" t="n">
        <x:v>15</x:v>
      </x:c>
      <x:c r="X1454" s="24" t="str">
        <x:v>tabela_zeiss.pdf</x:v>
      </x:c>
      <x:c r="Y1454" s="24" t="str">
        <x:v>alta</x:v>
      </x:c>
      <x:c r="Z1454" s="24"/>
      <x:c r="AA1454" s="24" t="str">
        <x:v>ZEISS|Visão Simples|Surfaçada|SmartLife Individual 3||1.5|1.50|DuraVision Gold UV|-6.00 a +6.00|-4.00|-|75|||15</x:v>
      </x:c>
    </x:row>
    <x:row r="1455">
      <x:c r="A1455" s="24" t="str">
        <x:v>ZS-F0A3F86EE926</x:v>
      </x:c>
      <x:c r="B1455" s="24" t="str">
        <x:v>SIM</x:v>
      </x:c>
      <x:c r="C1455" s="24" t="str">
        <x:v>DISPONÍVEL</x:v>
      </x:c>
      <x:c r="D1455" s="24" t="str">
        <x:v>ZEISS</x:v>
      </x:c>
      <x:c r="E1455" s="24" t="str">
        <x:v>Visão Simples</x:v>
      </x:c>
      <x:c r="F1455" s="24" t="str">
        <x:v>Surfaçada</x:v>
      </x:c>
      <x:c r="G1455" s="24" t="str">
        <x:v>SmartLife Individual 3</x:v>
      </x:c>
      <x:c r="H1455" s="24"/>
      <x:c r="I1455" s="24" t="str">
        <x:v>1.5</x:v>
      </x:c>
      <x:c r="J1455" s="24" t="str">
        <x:v>1.50</x:v>
      </x:c>
      <x:c r="K1455" s="24" t="str">
        <x:v>DURAVISION® ANTIVÍRUS PLATINUM UV</x:v>
      </x:c>
      <x:c r="L1455" s="40" t="n">
        <x:v>2419</x:v>
      </x:c>
      <x:c r="M1455" s="24" t="str">
        <x:v>-6.00 a +6.00</x:v>
      </x:c>
      <x:c r="N1455" s="24" t="str">
        <x:v>-4.00</x:v>
      </x:c>
      <x:c r="O1455" s="24" t="str">
        <x:v>-</x:v>
      </x:c>
      <x:c r="P1455" s="24" t="str">
        <x:v>75</x:v>
      </x:c>
      <x:c r="Q1455" s="24"/>
      <x:c r="R1455" s="24"/>
      <x:c r="S1455" s="26" t="n">
        <x:v>46113</x:v>
      </x:c>
      <x:c r="T1455" s="26"/>
      <x:c r="U1455" s="24" t="str">
        <x:v>ATIVA/SEM FIM INFORMADO</x:v>
      </x:c>
      <x:c r="V1455" s="24"/>
      <x:c r="W1455" s="24" t="n">
        <x:v>15</x:v>
      </x:c>
      <x:c r="X1455" s="24" t="str">
        <x:v>tabela_zeiss.pdf</x:v>
      </x:c>
      <x:c r="Y1455" s="24" t="str">
        <x:v>alta</x:v>
      </x:c>
      <x:c r="Z1455" s="24"/>
      <x:c r="AA1455" s="24" t="str">
        <x:v>ZEISS|Visão Simples|Surfaçada|SmartLife Individual 3||1.5|1.50|DURAVISION® ANTIVÍRUS PLATINUM UV|-6.00 a +6.00|-4.00|-|75|||15</x:v>
      </x:c>
    </x:row>
    <x:row r="1456">
      <x:c r="A1456" s="24" t="str">
        <x:v>ZS-E5DE8AEAF5E6</x:v>
      </x:c>
      <x:c r="B1456" s="24" t="str">
        <x:v>SIM</x:v>
      </x:c>
      <x:c r="C1456" s="24" t="str">
        <x:v>DISPONÍVEL</x:v>
      </x:c>
      <x:c r="D1456" s="24" t="str">
        <x:v>ZEISS</x:v>
      </x:c>
      <x:c r="E1456" s="24" t="str">
        <x:v>Visão Simples</x:v>
      </x:c>
      <x:c r="F1456" s="24" t="str">
        <x:v>Surfaçada</x:v>
      </x:c>
      <x:c r="G1456" s="24" t="str">
        <x:v>SmartLife Individual 3</x:v>
      </x:c>
      <x:c r="H1456" s="24"/>
      <x:c r="I1456" s="24" t="str">
        <x:v>1.5</x:v>
      </x:c>
      <x:c r="J1456" s="24" t="str">
        <x:v>1.50</x:v>
      </x:c>
      <x:c r="K1456" s="24" t="str">
        <x:v>DuraVision Platinum UV</x:v>
      </x:c>
      <x:c r="L1456" s="40" t="n">
        <x:v>2419</x:v>
      </x:c>
      <x:c r="M1456" s="24" t="str">
        <x:v>-6.00 a +6.00</x:v>
      </x:c>
      <x:c r="N1456" s="24" t="str">
        <x:v>-4.00</x:v>
      </x:c>
      <x:c r="O1456" s="24" t="str">
        <x:v>-</x:v>
      </x:c>
      <x:c r="P1456" s="24" t="str">
        <x:v>75</x:v>
      </x:c>
      <x:c r="Q1456" s="24"/>
      <x:c r="R1456" s="24"/>
      <x:c r="S1456" s="26" t="n">
        <x:v>46113</x:v>
      </x:c>
      <x:c r="T1456" s="26"/>
      <x:c r="U1456" s="24" t="str">
        <x:v>ATIVA/SEM FIM INFORMADO</x:v>
      </x:c>
      <x:c r="V1456" s="24"/>
      <x:c r="W1456" s="24" t="n">
        <x:v>15</x:v>
      </x:c>
      <x:c r="X1456" s="24" t="str">
        <x:v>tabela_zeiss.pdf</x:v>
      </x:c>
      <x:c r="Y1456" s="24" t="str">
        <x:v>alta</x:v>
      </x:c>
      <x:c r="Z1456" s="24"/>
      <x:c r="AA1456" s="24" t="str">
        <x:v>ZEISS|Visão Simples|Surfaçada|SmartLife Individual 3||1.5|1.50|DuraVision Platinum UV|-6.00 a +6.00|-4.00|-|75|||15</x:v>
      </x:c>
    </x:row>
    <x:row r="1457">
      <x:c r="A1457" s="24" t="str">
        <x:v>ZS-141877E09762</x:v>
      </x:c>
      <x:c r="B1457" s="24" t="str">
        <x:v>SIM</x:v>
      </x:c>
      <x:c r="C1457" s="24" t="str">
        <x:v>DISPONÍVEL</x:v>
      </x:c>
      <x:c r="D1457" s="24" t="str">
        <x:v>ZEISS</x:v>
      </x:c>
      <x:c r="E1457" s="24" t="str">
        <x:v>Visão Simples</x:v>
      </x:c>
      <x:c r="F1457" s="24" t="str">
        <x:v>Surfaçada</x:v>
      </x:c>
      <x:c r="G1457" s="24" t="str">
        <x:v>SmartLife Individual 3</x:v>
      </x:c>
      <x:c r="H1457" s="24"/>
      <x:c r="I1457" s="24" t="str">
        <x:v>1.5</x:v>
      </x:c>
      <x:c r="J1457" s="24" t="str">
        <x:v>1.50</x:v>
      </x:c>
      <x:c r="K1457" s="24" t="str">
        <x:v>DuraVision Silver UV</x:v>
      </x:c>
      <x:c r="L1457" s="40" t="n">
        <x:v>2159</x:v>
      </x:c>
      <x:c r="M1457" s="24" t="str">
        <x:v>-6.00 a +6.00</x:v>
      </x:c>
      <x:c r="N1457" s="24" t="str">
        <x:v>-4.00</x:v>
      </x:c>
      <x:c r="O1457" s="24" t="str">
        <x:v>-</x:v>
      </x:c>
      <x:c r="P1457" s="24" t="str">
        <x:v>75</x:v>
      </x:c>
      <x:c r="Q1457" s="24"/>
      <x:c r="R1457" s="24"/>
      <x:c r="S1457" s="26" t="n">
        <x:v>46113</x:v>
      </x:c>
      <x:c r="T1457" s="26"/>
      <x:c r="U1457" s="24" t="str">
        <x:v>ATIVA/SEM FIM INFORMADO</x:v>
      </x:c>
      <x:c r="V1457" s="24"/>
      <x:c r="W1457" s="24" t="n">
        <x:v>15</x:v>
      </x:c>
      <x:c r="X1457" s="24" t="str">
        <x:v>tabela_zeiss.pdf</x:v>
      </x:c>
      <x:c r="Y1457" s="24" t="str">
        <x:v>alta</x:v>
      </x:c>
      <x:c r="Z1457" s="24"/>
      <x:c r="AA1457" s="24" t="str">
        <x:v>ZEISS|Visão Simples|Surfaçada|SmartLife Individual 3||1.5|1.50|DuraVision Silver UV|-6.00 a +6.00|-4.00|-|75|||15</x:v>
      </x:c>
    </x:row>
    <x:row r="1458">
      <x:c r="A1458" s="24" t="str">
        <x:v>ZS-79022E2ECB13</x:v>
      </x:c>
      <x:c r="B1458" s="24" t="str">
        <x:v>SIM</x:v>
      </x:c>
      <x:c r="C1458" s="24" t="str">
        <x:v>DISPONÍVEL</x:v>
      </x:c>
      <x:c r="D1458" s="24" t="str">
        <x:v>ZEISS</x:v>
      </x:c>
      <x:c r="E1458" s="24" t="str">
        <x:v>Visão Simples</x:v>
      </x:c>
      <x:c r="F1458" s="24" t="str">
        <x:v>Surfaçada</x:v>
      </x:c>
      <x:c r="G1458" s="24" t="str">
        <x:v>SmartLife Individual 3</x:v>
      </x:c>
      <x:c r="H1458" s="24"/>
      <x:c r="I1458" s="24" t="str">
        <x:v>1.5</x:v>
      </x:c>
      <x:c r="J1458" s="24" t="str">
        <x:v>1.50</x:v>
      </x:c>
      <x:c r="K1458" s="24" t="str">
        <x:v>DuraVision Chrome UV</x:v>
      </x:c>
      <x:c r="L1458" s="40" t="n">
        <x:v>1669</x:v>
      </x:c>
      <x:c r="M1458" s="24" t="str">
        <x:v>-6.00 a +6.00</x:v>
      </x:c>
      <x:c r="N1458" s="24" t="str">
        <x:v>-4.00</x:v>
      </x:c>
      <x:c r="O1458" s="24" t="str">
        <x:v>-</x:v>
      </x:c>
      <x:c r="P1458" s="24" t="str">
        <x:v>75</x:v>
      </x:c>
      <x:c r="Q1458" s="24"/>
      <x:c r="R1458" s="24"/>
      <x:c r="S1458" s="26" t="n">
        <x:v>46113</x:v>
      </x:c>
      <x:c r="T1458" s="26"/>
      <x:c r="U1458" s="24" t="str">
        <x:v>ATIVA/SEM FIM INFORMADO</x:v>
      </x:c>
      <x:c r="V1458" s="24"/>
      <x:c r="W1458" s="24" t="n">
        <x:v>15</x:v>
      </x:c>
      <x:c r="X1458" s="24" t="str">
        <x:v>tabela_zeiss.pdf</x:v>
      </x:c>
      <x:c r="Y1458" s="24" t="str">
        <x:v>alta</x:v>
      </x:c>
      <x:c r="Z1458" s="24"/>
      <x:c r="AA1458" s="24" t="str">
        <x:v>ZEISS|Visão Simples|Surfaçada|SmartLife Individual 3||1.5|1.50|DuraVision Chrome UV|-6.00 a +6.00|-4.00|-|75|||15</x:v>
      </x:c>
    </x:row>
    <x:row r="1459">
      <x:c r="A1459" s="24" t="str">
        <x:v>ZS-FC06F7A3EBD9</x:v>
      </x:c>
      <x:c r="B1459" s="24" t="str">
        <x:v>SIM</x:v>
      </x:c>
      <x:c r="C1459" s="24" t="str">
        <x:v>DISPONÍVEL</x:v>
      </x:c>
      <x:c r="D1459" s="24" t="str">
        <x:v>ZEISS</x:v>
      </x:c>
      <x:c r="E1459" s="24" t="str">
        <x:v>Visão Simples</x:v>
      </x:c>
      <x:c r="F1459" s="24" t="str">
        <x:v>Surfaçada</x:v>
      </x:c>
      <x:c r="G1459" s="24" t="str">
        <x:v>SmartLife Individual 3</x:v>
      </x:c>
      <x:c r="H1459" s="24"/>
      <x:c r="I1459" s="24" t="str">
        <x:v>Poli</x:v>
      </x:c>
      <x:c r="J1459" s="24"/>
      <x:c r="K1459" s="24" t="str">
        <x:v>DuraVision Gold UV</x:v>
      </x:c>
      <x:c r="L1459" s="40" t="n">
        <x:v>2919</x:v>
      </x:c>
      <x:c r="M1459" s="24" t="str">
        <x:v>-10.00 a +8.00</x:v>
      </x:c>
      <x:c r="N1459" s="24" t="str">
        <x:v>-4.00</x:v>
      </x:c>
      <x:c r="O1459" s="24" t="str">
        <x:v>-</x:v>
      </x:c>
      <x:c r="P1459" s="24" t="str">
        <x:v>70</x:v>
      </x:c>
      <x:c r="Q1459" s="24"/>
      <x:c r="R1459" s="24"/>
      <x:c r="S1459" s="26" t="n">
        <x:v>46113</x:v>
      </x:c>
      <x:c r="T1459" s="26"/>
      <x:c r="U1459" s="24" t="str">
        <x:v>ATIVA/SEM FIM INFORMADO</x:v>
      </x:c>
      <x:c r="V1459" s="24"/>
      <x:c r="W1459" s="24" t="n">
        <x:v>15</x:v>
      </x:c>
      <x:c r="X1459" s="24" t="str">
        <x:v>tabela_zeiss.pdf</x:v>
      </x:c>
      <x:c r="Y1459" s="24" t="str">
        <x:v>alta</x:v>
      </x:c>
      <x:c r="Z1459" s="24"/>
      <x:c r="AA1459" s="24" t="str">
        <x:v>ZEISS|Visão Simples|Surfaçada|SmartLife Individual 3||Poli||DuraVision Gold UV|-10.00 a +8.00|-4.00|-|70|||15</x:v>
      </x:c>
    </x:row>
    <x:row r="1460">
      <x:c r="A1460" s="24" t="str">
        <x:v>ZS-537C845745F3</x:v>
      </x:c>
      <x:c r="B1460" s="24" t="str">
        <x:v>SIM</x:v>
      </x:c>
      <x:c r="C1460" s="24" t="str">
        <x:v>DISPONÍVEL</x:v>
      </x:c>
      <x:c r="D1460" s="24" t="str">
        <x:v>ZEISS</x:v>
      </x:c>
      <x:c r="E1460" s="24" t="str">
        <x:v>Visão Simples</x:v>
      </x:c>
      <x:c r="F1460" s="24" t="str">
        <x:v>Surfaçada</x:v>
      </x:c>
      <x:c r="G1460" s="24" t="str">
        <x:v>SmartLife Individual 3</x:v>
      </x:c>
      <x:c r="H1460" s="24"/>
      <x:c r="I1460" s="24" t="str">
        <x:v>Poli</x:v>
      </x:c>
      <x:c r="J1460" s="24"/>
      <x:c r="K1460" s="24" t="str">
        <x:v>DuraVision Platinum UV</x:v>
      </x:c>
      <x:c r="L1460" s="40" t="n">
        <x:v>2779</x:v>
      </x:c>
      <x:c r="M1460" s="24" t="str">
        <x:v>-10.00 a +8.00</x:v>
      </x:c>
      <x:c r="N1460" s="24" t="str">
        <x:v>-4.00</x:v>
      </x:c>
      <x:c r="O1460" s="24" t="str">
        <x:v>-</x:v>
      </x:c>
      <x:c r="P1460" s="24" t="str">
        <x:v>70</x:v>
      </x:c>
      <x:c r="Q1460" s="24"/>
      <x:c r="R1460" s="24"/>
      <x:c r="S1460" s="26" t="n">
        <x:v>46113</x:v>
      </x:c>
      <x:c r="T1460" s="26"/>
      <x:c r="U1460" s="24" t="str">
        <x:v>ATIVA/SEM FIM INFORMADO</x:v>
      </x:c>
      <x:c r="V1460" s="24"/>
      <x:c r="W1460" s="24" t="n">
        <x:v>15</x:v>
      </x:c>
      <x:c r="X1460" s="24" t="str">
        <x:v>tabela_zeiss.pdf</x:v>
      </x:c>
      <x:c r="Y1460" s="24" t="str">
        <x:v>alta</x:v>
      </x:c>
      <x:c r="Z1460" s="24"/>
      <x:c r="AA1460" s="24" t="str">
        <x:v>ZEISS|Visão Simples|Surfaçada|SmartLife Individual 3||Poli||DuraVision Platinum UV|-10.00 a +8.00|-4.00|-|70|||15</x:v>
      </x:c>
    </x:row>
    <x:row r="1461">
      <x:c r="A1461" s="24" t="str">
        <x:v>ZS-390DF1819B8E</x:v>
      </x:c>
      <x:c r="B1461" s="24" t="str">
        <x:v>SIM</x:v>
      </x:c>
      <x:c r="C1461" s="24" t="str">
        <x:v>DISPONÍVEL</x:v>
      </x:c>
      <x:c r="D1461" s="24" t="str">
        <x:v>ZEISS</x:v>
      </x:c>
      <x:c r="E1461" s="24" t="str">
        <x:v>Visão Simples</x:v>
      </x:c>
      <x:c r="F1461" s="24" t="str">
        <x:v>Surfaçada</x:v>
      </x:c>
      <x:c r="G1461" s="24" t="str">
        <x:v>SmartLife Individual 3</x:v>
      </x:c>
      <x:c r="H1461" s="24"/>
      <x:c r="I1461" s="24" t="str">
        <x:v>Poli</x:v>
      </x:c>
      <x:c r="J1461" s="24"/>
      <x:c r="K1461" s="24" t="str">
        <x:v>DuraVision Silver UV</x:v>
      </x:c>
      <x:c r="L1461" s="40" t="n">
        <x:v>2519</x:v>
      </x:c>
      <x:c r="M1461" s="24" t="str">
        <x:v>-10.00 a +8.00</x:v>
      </x:c>
      <x:c r="N1461" s="24" t="str">
        <x:v>-4.00</x:v>
      </x:c>
      <x:c r="O1461" s="24" t="str">
        <x:v>-</x:v>
      </x:c>
      <x:c r="P1461" s="24" t="str">
        <x:v>70</x:v>
      </x:c>
      <x:c r="Q1461" s="24"/>
      <x:c r="R1461" s="24"/>
      <x:c r="S1461" s="26" t="n">
        <x:v>46113</x:v>
      </x:c>
      <x:c r="T1461" s="26"/>
      <x:c r="U1461" s="24" t="str">
        <x:v>ATIVA/SEM FIM INFORMADO</x:v>
      </x:c>
      <x:c r="V1461" s="24"/>
      <x:c r="W1461" s="24" t="n">
        <x:v>15</x:v>
      </x:c>
      <x:c r="X1461" s="24" t="str">
        <x:v>tabela_zeiss.pdf</x:v>
      </x:c>
      <x:c r="Y1461" s="24" t="str">
        <x:v>alta</x:v>
      </x:c>
      <x:c r="Z1461" s="24"/>
      <x:c r="AA1461" s="24" t="str">
        <x:v>ZEISS|Visão Simples|Surfaçada|SmartLife Individual 3||Poli||DuraVision Silver UV|-10.00 a +8.00|-4.00|-|70|||15</x:v>
      </x:c>
    </x:row>
    <x:row r="1462">
      <x:c r="A1462" s="24" t="str">
        <x:v>ZS-DB65A68D7087</x:v>
      </x:c>
      <x:c r="B1462" s="24" t="str">
        <x:v>SIM</x:v>
      </x:c>
      <x:c r="C1462" s="24" t="str">
        <x:v>DISPONÍVEL</x:v>
      </x:c>
      <x:c r="D1462" s="24" t="str">
        <x:v>ZEISS</x:v>
      </x:c>
      <x:c r="E1462" s="24" t="str">
        <x:v>Visão Simples</x:v>
      </x:c>
      <x:c r="F1462" s="24" t="str">
        <x:v>Surfaçada</x:v>
      </x:c>
      <x:c r="G1462" s="24" t="str">
        <x:v>SmartLife Individual 3</x:v>
      </x:c>
      <x:c r="H1462" s="24"/>
      <x:c r="I1462" s="24" t="str">
        <x:v>Poli</x:v>
      </x:c>
      <x:c r="J1462" s="24"/>
      <x:c r="K1462" s="24" t="str">
        <x:v>DuraVision Chrome UV</x:v>
      </x:c>
      <x:c r="L1462" s="40" t="n">
        <x:v>2029</x:v>
      </x:c>
      <x:c r="M1462" s="24" t="str">
        <x:v>-10.00 a +8.00</x:v>
      </x:c>
      <x:c r="N1462" s="24" t="str">
        <x:v>-4.00</x:v>
      </x:c>
      <x:c r="O1462" s="24" t="str">
        <x:v>-</x:v>
      </x:c>
      <x:c r="P1462" s="24" t="str">
        <x:v>70</x:v>
      </x:c>
      <x:c r="Q1462" s="24"/>
      <x:c r="R1462" s="24"/>
      <x:c r="S1462" s="26" t="n">
        <x:v>46113</x:v>
      </x:c>
      <x:c r="T1462" s="26"/>
      <x:c r="U1462" s="24" t="str">
        <x:v>ATIVA/SEM FIM INFORMADO</x:v>
      </x:c>
      <x:c r="V1462" s="24"/>
      <x:c r="W1462" s="24" t="n">
        <x:v>15</x:v>
      </x:c>
      <x:c r="X1462" s="24" t="str">
        <x:v>tabela_zeiss.pdf</x:v>
      </x:c>
      <x:c r="Y1462" s="24" t="str">
        <x:v>alta</x:v>
      </x:c>
      <x:c r="Z1462" s="24"/>
      <x:c r="AA1462" s="24" t="str">
        <x:v>ZEISS|Visão Simples|Surfaçada|SmartLife Individual 3||Poli||DuraVision Chrome UV|-10.00 a +8.00|-4.00|-|70|||15</x:v>
      </x:c>
    </x:row>
    <x:row r="1463">
      <x:c r="A1463" s="24" t="str">
        <x:v>ZS-61D73B758D11</x:v>
      </x:c>
      <x:c r="B1463" s="24" t="str">
        <x:v>SIM</x:v>
      </x:c>
      <x:c r="C1463" s="24" t="str">
        <x:v>DISPONÍVEL</x:v>
      </x:c>
      <x:c r="D1463" s="24" t="str">
        <x:v>ZEISS</x:v>
      </x:c>
      <x:c r="E1463" s="24" t="str">
        <x:v>Visão Simples</x:v>
      </x:c>
      <x:c r="F1463" s="24" t="str">
        <x:v>Surfaçada</x:v>
      </x:c>
      <x:c r="G1463" s="24" t="str">
        <x:v>SmartLife Individual 3</x:v>
      </x:c>
      <x:c r="H1463" s="24"/>
      <x:c r="I1463" s="24" t="str">
        <x:v>1.6</x:v>
      </x:c>
      <x:c r="J1463" s="24" t="str">
        <x:v>1.60</x:v>
      </x:c>
      <x:c r="K1463" s="24" t="str">
        <x:v>DuraVision Gold UV</x:v>
      </x:c>
      <x:c r="L1463" s="40" t="n">
        <x:v>3139</x:v>
      </x:c>
      <x:c r="M1463" s="24" t="str">
        <x:v>-6.00 a +6.00</x:v>
      </x:c>
      <x:c r="N1463" s="24" t="str">
        <x:v>-6.00</x:v>
      </x:c>
      <x:c r="O1463" s="24" t="str">
        <x:v>-</x:v>
      </x:c>
      <x:c r="P1463" s="24" t="str">
        <x:v>75</x:v>
      </x:c>
      <x:c r="Q1463" s="24"/>
      <x:c r="R1463" s="24"/>
      <x:c r="S1463" s="26" t="n">
        <x:v>46113</x:v>
      </x:c>
      <x:c r="T1463" s="26"/>
      <x:c r="U1463" s="24" t="str">
        <x:v>ATIVA/SEM FIM INFORMADO</x:v>
      </x:c>
      <x:c r="V1463" s="24"/>
      <x:c r="W1463" s="24" t="n">
        <x:v>15</x:v>
      </x:c>
      <x:c r="X1463" s="24" t="str">
        <x:v>tabela_zeiss.pdf</x:v>
      </x:c>
      <x:c r="Y1463" s="24" t="str">
        <x:v>alta</x:v>
      </x:c>
      <x:c r="Z1463" s="24"/>
      <x:c r="AA1463" s="24" t="str">
        <x:v>ZEISS|Visão Simples|Surfaçada|SmartLife Individual 3||1.6|1.60|DuraVision Gold UV|-6.00 a +6.00|-6.00|-|75|||15</x:v>
      </x:c>
    </x:row>
    <x:row r="1464">
      <x:c r="A1464" s="24" t="str">
        <x:v>ZS-6D402D9A3459</x:v>
      </x:c>
      <x:c r="B1464" s="24" t="str">
        <x:v>SIM</x:v>
      </x:c>
      <x:c r="C1464" s="24" t="str">
        <x:v>DISPONÍVEL</x:v>
      </x:c>
      <x:c r="D1464" s="24" t="str">
        <x:v>ZEISS</x:v>
      </x:c>
      <x:c r="E1464" s="24" t="str">
        <x:v>Visão Simples</x:v>
      </x:c>
      <x:c r="F1464" s="24" t="str">
        <x:v>Surfaçada</x:v>
      </x:c>
      <x:c r="G1464" s="24" t="str">
        <x:v>SmartLife Individual 3</x:v>
      </x:c>
      <x:c r="H1464" s="24"/>
      <x:c r="I1464" s="24" t="str">
        <x:v>1.6</x:v>
      </x:c>
      <x:c r="J1464" s="24" t="str">
        <x:v>1.60</x:v>
      </x:c>
      <x:c r="K1464" s="24" t="str">
        <x:v>DURAVISION® ANTIVÍRUS PLATINUM UV</x:v>
      </x:c>
      <x:c r="L1464" s="40" t="n">
        <x:v>2999</x:v>
      </x:c>
      <x:c r="M1464" s="24" t="str">
        <x:v>-6.00 a +6.00</x:v>
      </x:c>
      <x:c r="N1464" s="24" t="str">
        <x:v>-6.00</x:v>
      </x:c>
      <x:c r="O1464" s="24" t="str">
        <x:v>-</x:v>
      </x:c>
      <x:c r="P1464" s="24" t="str">
        <x:v>75</x:v>
      </x:c>
      <x:c r="Q1464" s="24"/>
      <x:c r="R1464" s="24"/>
      <x:c r="S1464" s="26" t="n">
        <x:v>46113</x:v>
      </x:c>
      <x:c r="T1464" s="26"/>
      <x:c r="U1464" s="24" t="str">
        <x:v>ATIVA/SEM FIM INFORMADO</x:v>
      </x:c>
      <x:c r="V1464" s="24"/>
      <x:c r="W1464" s="24" t="n">
        <x:v>15</x:v>
      </x:c>
      <x:c r="X1464" s="24" t="str">
        <x:v>tabela_zeiss.pdf</x:v>
      </x:c>
      <x:c r="Y1464" s="24" t="str">
        <x:v>alta</x:v>
      </x:c>
      <x:c r="Z1464" s="24"/>
      <x:c r="AA1464" s="24" t="str">
        <x:v>ZEISS|Visão Simples|Surfaçada|SmartLife Individual 3||1.6|1.60|DURAVISION® ANTIVÍRUS PLATINUM UV|-6.00 a +6.00|-6.00|-|75|||15</x:v>
      </x:c>
    </x:row>
    <x:row r="1465">
      <x:c r="A1465" s="24" t="str">
        <x:v>ZS-49054A79E6B5</x:v>
      </x:c>
      <x:c r="B1465" s="24" t="str">
        <x:v>SIM</x:v>
      </x:c>
      <x:c r="C1465" s="24" t="str">
        <x:v>DISPONÍVEL</x:v>
      </x:c>
      <x:c r="D1465" s="24" t="str">
        <x:v>ZEISS</x:v>
      </x:c>
      <x:c r="E1465" s="24" t="str">
        <x:v>Visão Simples</x:v>
      </x:c>
      <x:c r="F1465" s="24" t="str">
        <x:v>Surfaçada</x:v>
      </x:c>
      <x:c r="G1465" s="24" t="str">
        <x:v>SmartLife Individual 3</x:v>
      </x:c>
      <x:c r="H1465" s="24"/>
      <x:c r="I1465" s="24" t="str">
        <x:v>1.6</x:v>
      </x:c>
      <x:c r="J1465" s="24" t="str">
        <x:v>1.60</x:v>
      </x:c>
      <x:c r="K1465" s="24" t="str">
        <x:v>DuraVision Platinum UV</x:v>
      </x:c>
      <x:c r="L1465" s="40" t="n">
        <x:v>2999</x:v>
      </x:c>
      <x:c r="M1465" s="24" t="str">
        <x:v>-6.00 a +6.00</x:v>
      </x:c>
      <x:c r="N1465" s="24" t="str">
        <x:v>-6.00</x:v>
      </x:c>
      <x:c r="O1465" s="24" t="str">
        <x:v>-</x:v>
      </x:c>
      <x:c r="P1465" s="24" t="str">
        <x:v>75</x:v>
      </x:c>
      <x:c r="Q1465" s="24"/>
      <x:c r="R1465" s="24"/>
      <x:c r="S1465" s="26" t="n">
        <x:v>46113</x:v>
      </x:c>
      <x:c r="T1465" s="26"/>
      <x:c r="U1465" s="24" t="str">
        <x:v>ATIVA/SEM FIM INFORMADO</x:v>
      </x:c>
      <x:c r="V1465" s="24"/>
      <x:c r="W1465" s="24" t="n">
        <x:v>15</x:v>
      </x:c>
      <x:c r="X1465" s="24" t="str">
        <x:v>tabela_zeiss.pdf</x:v>
      </x:c>
      <x:c r="Y1465" s="24" t="str">
        <x:v>alta</x:v>
      </x:c>
      <x:c r="Z1465" s="24"/>
      <x:c r="AA1465" s="24" t="str">
        <x:v>ZEISS|Visão Simples|Surfaçada|SmartLife Individual 3||1.6|1.60|DuraVision Platinum UV|-6.00 a +6.00|-6.00|-|75|||15</x:v>
      </x:c>
    </x:row>
    <x:row r="1466">
      <x:c r="A1466" s="24" t="str">
        <x:v>ZS-89C6912E410F</x:v>
      </x:c>
      <x:c r="B1466" s="24" t="str">
        <x:v>SIM</x:v>
      </x:c>
      <x:c r="C1466" s="24" t="str">
        <x:v>DISPONÍVEL</x:v>
      </x:c>
      <x:c r="D1466" s="24" t="str">
        <x:v>ZEISS</x:v>
      </x:c>
      <x:c r="E1466" s="24" t="str">
        <x:v>Visão Simples</x:v>
      </x:c>
      <x:c r="F1466" s="24" t="str">
        <x:v>Surfaçada</x:v>
      </x:c>
      <x:c r="G1466" s="24" t="str">
        <x:v>SmartLife Individual 3</x:v>
      </x:c>
      <x:c r="H1466" s="24"/>
      <x:c r="I1466" s="24" t="str">
        <x:v>1.6</x:v>
      </x:c>
      <x:c r="J1466" s="24" t="str">
        <x:v>1.60</x:v>
      </x:c>
      <x:c r="K1466" s="24" t="str">
        <x:v>DuraVision Silver UV</x:v>
      </x:c>
      <x:c r="L1466" s="40" t="n">
        <x:v>2739</x:v>
      </x:c>
      <x:c r="M1466" s="24" t="str">
        <x:v>-6.00 a +6.00</x:v>
      </x:c>
      <x:c r="N1466" s="24" t="str">
        <x:v>-6.00</x:v>
      </x:c>
      <x:c r="O1466" s="24" t="str">
        <x:v>-</x:v>
      </x:c>
      <x:c r="P1466" s="24" t="str">
        <x:v>75</x:v>
      </x:c>
      <x:c r="Q1466" s="24"/>
      <x:c r="R1466" s="24"/>
      <x:c r="S1466" s="26" t="n">
        <x:v>46113</x:v>
      </x:c>
      <x:c r="T1466" s="26"/>
      <x:c r="U1466" s="24" t="str">
        <x:v>ATIVA/SEM FIM INFORMADO</x:v>
      </x:c>
      <x:c r="V1466" s="24"/>
      <x:c r="W1466" s="24" t="n">
        <x:v>15</x:v>
      </x:c>
      <x:c r="X1466" s="24" t="str">
        <x:v>tabela_zeiss.pdf</x:v>
      </x:c>
      <x:c r="Y1466" s="24" t="str">
        <x:v>alta</x:v>
      </x:c>
      <x:c r="Z1466" s="24"/>
      <x:c r="AA1466" s="24" t="str">
        <x:v>ZEISS|Visão Simples|Surfaçada|SmartLife Individual 3||1.6|1.60|DuraVision Silver UV|-6.00 a +6.00|-6.00|-|75|||15</x:v>
      </x:c>
    </x:row>
    <x:row r="1467">
      <x:c r="A1467" s="24" t="str">
        <x:v>ZS-5CF91AB06FB8</x:v>
      </x:c>
      <x:c r="B1467" s="24" t="str">
        <x:v>SIM</x:v>
      </x:c>
      <x:c r="C1467" s="24" t="str">
        <x:v>DISPONÍVEL</x:v>
      </x:c>
      <x:c r="D1467" s="24" t="str">
        <x:v>ZEISS</x:v>
      </x:c>
      <x:c r="E1467" s="24" t="str">
        <x:v>Visão Simples</x:v>
      </x:c>
      <x:c r="F1467" s="24" t="str">
        <x:v>Surfaçada</x:v>
      </x:c>
      <x:c r="G1467" s="24" t="str">
        <x:v>SmartLife Individual 3</x:v>
      </x:c>
      <x:c r="H1467" s="24"/>
      <x:c r="I1467" s="24" t="str">
        <x:v>1.6</x:v>
      </x:c>
      <x:c r="J1467" s="24" t="str">
        <x:v>1.60</x:v>
      </x:c>
      <x:c r="K1467" s="24" t="str">
        <x:v>DuraVision Chrome UV</x:v>
      </x:c>
      <x:c r="L1467" s="40" t="n">
        <x:v>2249</x:v>
      </x:c>
      <x:c r="M1467" s="24" t="str">
        <x:v>-6.00 a +6.00</x:v>
      </x:c>
      <x:c r="N1467" s="24" t="str">
        <x:v>-6.00</x:v>
      </x:c>
      <x:c r="O1467" s="24" t="str">
        <x:v>-</x:v>
      </x:c>
      <x:c r="P1467" s="24" t="str">
        <x:v>75</x:v>
      </x:c>
      <x:c r="Q1467" s="24"/>
      <x:c r="R1467" s="24"/>
      <x:c r="S1467" s="26" t="n">
        <x:v>46113</x:v>
      </x:c>
      <x:c r="T1467" s="26"/>
      <x:c r="U1467" s="24" t="str">
        <x:v>ATIVA/SEM FIM INFORMADO</x:v>
      </x:c>
      <x:c r="V1467" s="24"/>
      <x:c r="W1467" s="24" t="n">
        <x:v>15</x:v>
      </x:c>
      <x:c r="X1467" s="24" t="str">
        <x:v>tabela_zeiss.pdf</x:v>
      </x:c>
      <x:c r="Y1467" s="24" t="str">
        <x:v>alta</x:v>
      </x:c>
      <x:c r="Z1467" s="24"/>
      <x:c r="AA1467" s="24" t="str">
        <x:v>ZEISS|Visão Simples|Surfaçada|SmartLife Individual 3||1.6|1.60|DuraVision Chrome UV|-6.00 a +6.00|-6.00|-|75|||15</x:v>
      </x:c>
    </x:row>
    <x:row r="1468">
      <x:c r="A1468" s="24" t="str">
        <x:v>ZS-C361B1CF553D</x:v>
      </x:c>
      <x:c r="B1468" s="24" t="str">
        <x:v>SIM</x:v>
      </x:c>
      <x:c r="C1468" s="24" t="str">
        <x:v>DISPONÍVEL</x:v>
      </x:c>
      <x:c r="D1468" s="24" t="str">
        <x:v>ZEISS</x:v>
      </x:c>
      <x:c r="E1468" s="24" t="str">
        <x:v>Visão Simples</x:v>
      </x:c>
      <x:c r="F1468" s="24" t="str">
        <x:v>Surfaçada</x:v>
      </x:c>
      <x:c r="G1468" s="24" t="str">
        <x:v>SmartLife Individual 3</x:v>
      </x:c>
      <x:c r="H1468" s="24"/>
      <x:c r="I1468" s="24" t="str">
        <x:v>1.67</x:v>
      </x:c>
      <x:c r="J1468" s="24" t="str">
        <x:v>1.67</x:v>
      </x:c>
      <x:c r="K1468" s="24" t="str">
        <x:v>DuraVision Gold UV</x:v>
      </x:c>
      <x:c r="L1468" s="40" t="n">
        <x:v>4439</x:v>
      </x:c>
      <x:c r="M1468" s="24" t="str">
        <x:v>-8.00 a +8.00</x:v>
      </x:c>
      <x:c r="N1468" s="24" t="str">
        <x:v>-6.00</x:v>
      </x:c>
      <x:c r="O1468" s="24" t="str">
        <x:v>-</x:v>
      </x:c>
      <x:c r="P1468" s="24" t="str">
        <x:v>70</x:v>
      </x:c>
      <x:c r="Q1468" s="24"/>
      <x:c r="R1468" s="24"/>
      <x:c r="S1468" s="26" t="n">
        <x:v>46113</x:v>
      </x:c>
      <x:c r="T1468" s="26"/>
      <x:c r="U1468" s="24" t="str">
        <x:v>ATIVA/SEM FIM INFORMADO</x:v>
      </x:c>
      <x:c r="V1468" s="24"/>
      <x:c r="W1468" s="24" t="n">
        <x:v>15</x:v>
      </x:c>
      <x:c r="X1468" s="24" t="str">
        <x:v>tabela_zeiss.pdf</x:v>
      </x:c>
      <x:c r="Y1468" s="24" t="str">
        <x:v>alta</x:v>
      </x:c>
      <x:c r="Z1468" s="24"/>
      <x:c r="AA1468" s="24" t="str">
        <x:v>ZEISS|Visão Simples|Surfaçada|SmartLife Individual 3||1.67|1.67|DuraVision Gold UV|-8.00 a +8.00|-6.00|-|70|||15</x:v>
      </x:c>
    </x:row>
    <x:row r="1469">
      <x:c r="A1469" s="24" t="str">
        <x:v>ZS-EC98A73DDC27</x:v>
      </x:c>
      <x:c r="B1469" s="24" t="str">
        <x:v>SIM</x:v>
      </x:c>
      <x:c r="C1469" s="24" t="str">
        <x:v>DISPONÍVEL</x:v>
      </x:c>
      <x:c r="D1469" s="24" t="str">
        <x:v>ZEISS</x:v>
      </x:c>
      <x:c r="E1469" s="24" t="str">
        <x:v>Visão Simples</x:v>
      </x:c>
      <x:c r="F1469" s="24" t="str">
        <x:v>Surfaçada</x:v>
      </x:c>
      <x:c r="G1469" s="24" t="str">
        <x:v>SmartLife Individual 3</x:v>
      </x:c>
      <x:c r="H1469" s="24"/>
      <x:c r="I1469" s="24" t="str">
        <x:v>1.67</x:v>
      </x:c>
      <x:c r="J1469" s="24" t="str">
        <x:v>1.67</x:v>
      </x:c>
      <x:c r="K1469" s="24" t="str">
        <x:v>DURAVISION® ANTIVÍRUS PLATINUM UV</x:v>
      </x:c>
      <x:c r="L1469" s="40" t="n">
        <x:v>4299</x:v>
      </x:c>
      <x:c r="M1469" s="24" t="str">
        <x:v>-8.00 a +8.00</x:v>
      </x:c>
      <x:c r="N1469" s="24" t="str">
        <x:v>-6.00</x:v>
      </x:c>
      <x:c r="O1469" s="24" t="str">
        <x:v>-</x:v>
      </x:c>
      <x:c r="P1469" s="24" t="str">
        <x:v>70</x:v>
      </x:c>
      <x:c r="Q1469" s="24"/>
      <x:c r="R1469" s="24"/>
      <x:c r="S1469" s="26" t="n">
        <x:v>46113</x:v>
      </x:c>
      <x:c r="T1469" s="26"/>
      <x:c r="U1469" s="24" t="str">
        <x:v>ATIVA/SEM FIM INFORMADO</x:v>
      </x:c>
      <x:c r="V1469" s="24"/>
      <x:c r="W1469" s="24" t="n">
        <x:v>15</x:v>
      </x:c>
      <x:c r="X1469" s="24" t="str">
        <x:v>tabela_zeiss.pdf</x:v>
      </x:c>
      <x:c r="Y1469" s="24" t="str">
        <x:v>alta</x:v>
      </x:c>
      <x:c r="Z1469" s="24"/>
      <x:c r="AA1469" s="24" t="str">
        <x:v>ZEISS|Visão Simples|Surfaçada|SmartLife Individual 3||1.67|1.67|DURAVISION® ANTIVÍRUS PLATINUM UV|-8.00 a +8.00|-6.00|-|70|||15</x:v>
      </x:c>
    </x:row>
    <x:row r="1470">
      <x:c r="A1470" s="24" t="str">
        <x:v>ZS-408F68CAB2F6</x:v>
      </x:c>
      <x:c r="B1470" s="24" t="str">
        <x:v>SIM</x:v>
      </x:c>
      <x:c r="C1470" s="24" t="str">
        <x:v>DISPONÍVEL</x:v>
      </x:c>
      <x:c r="D1470" s="24" t="str">
        <x:v>ZEISS</x:v>
      </x:c>
      <x:c r="E1470" s="24" t="str">
        <x:v>Visão Simples</x:v>
      </x:c>
      <x:c r="F1470" s="24" t="str">
        <x:v>Surfaçada</x:v>
      </x:c>
      <x:c r="G1470" s="24" t="str">
        <x:v>SmartLife Individual 3</x:v>
      </x:c>
      <x:c r="H1470" s="24"/>
      <x:c r="I1470" s="24" t="str">
        <x:v>1.67</x:v>
      </x:c>
      <x:c r="J1470" s="24" t="str">
        <x:v>1.67</x:v>
      </x:c>
      <x:c r="K1470" s="24" t="str">
        <x:v>DuraVision Platinum UV</x:v>
      </x:c>
      <x:c r="L1470" s="40" t="n">
        <x:v>4299</x:v>
      </x:c>
      <x:c r="M1470" s="24" t="str">
        <x:v>-8.00 a +8.00</x:v>
      </x:c>
      <x:c r="N1470" s="24" t="str">
        <x:v>-6.00</x:v>
      </x:c>
      <x:c r="O1470" s="24" t="str">
        <x:v>-</x:v>
      </x:c>
      <x:c r="P1470" s="24" t="str">
        <x:v>70</x:v>
      </x:c>
      <x:c r="Q1470" s="24"/>
      <x:c r="R1470" s="24"/>
      <x:c r="S1470" s="26" t="n">
        <x:v>46113</x:v>
      </x:c>
      <x:c r="T1470" s="26"/>
      <x:c r="U1470" s="24" t="str">
        <x:v>ATIVA/SEM FIM INFORMADO</x:v>
      </x:c>
      <x:c r="V1470" s="24"/>
      <x:c r="W1470" s="24" t="n">
        <x:v>15</x:v>
      </x:c>
      <x:c r="X1470" s="24" t="str">
        <x:v>tabela_zeiss.pdf</x:v>
      </x:c>
      <x:c r="Y1470" s="24" t="str">
        <x:v>alta</x:v>
      </x:c>
      <x:c r="Z1470" s="24"/>
      <x:c r="AA1470" s="24" t="str">
        <x:v>ZEISS|Visão Simples|Surfaçada|SmartLife Individual 3||1.67|1.67|DuraVision Platinum UV|-8.00 a +8.00|-6.00|-|70|||15</x:v>
      </x:c>
    </x:row>
    <x:row r="1471">
      <x:c r="A1471" s="24" t="str">
        <x:v>ZS-7830718CDAEF</x:v>
      </x:c>
      <x:c r="B1471" s="24" t="str">
        <x:v>SIM</x:v>
      </x:c>
      <x:c r="C1471" s="24" t="str">
        <x:v>DISPONÍVEL</x:v>
      </x:c>
      <x:c r="D1471" s="24" t="str">
        <x:v>ZEISS</x:v>
      </x:c>
      <x:c r="E1471" s="24" t="str">
        <x:v>Visão Simples</x:v>
      </x:c>
      <x:c r="F1471" s="24" t="str">
        <x:v>Surfaçada</x:v>
      </x:c>
      <x:c r="G1471" s="24" t="str">
        <x:v>SmartLife Individual 3</x:v>
      </x:c>
      <x:c r="H1471" s="24"/>
      <x:c r="I1471" s="24" t="str">
        <x:v>1.67</x:v>
      </x:c>
      <x:c r="J1471" s="24" t="str">
        <x:v>1.67</x:v>
      </x:c>
      <x:c r="K1471" s="24" t="str">
        <x:v>DuraVision Silver UV</x:v>
      </x:c>
      <x:c r="L1471" s="40" t="n">
        <x:v>4039</x:v>
      </x:c>
      <x:c r="M1471" s="24" t="str">
        <x:v>-8.00 a +8.00</x:v>
      </x:c>
      <x:c r="N1471" s="24" t="str">
        <x:v>-6.00</x:v>
      </x:c>
      <x:c r="O1471" s="24" t="str">
        <x:v>-</x:v>
      </x:c>
      <x:c r="P1471" s="24" t="str">
        <x:v>70</x:v>
      </x:c>
      <x:c r="Q1471" s="24"/>
      <x:c r="R1471" s="24"/>
      <x:c r="S1471" s="26" t="n">
        <x:v>46113</x:v>
      </x:c>
      <x:c r="T1471" s="26"/>
      <x:c r="U1471" s="24" t="str">
        <x:v>ATIVA/SEM FIM INFORMADO</x:v>
      </x:c>
      <x:c r="V1471" s="24"/>
      <x:c r="W1471" s="24" t="n">
        <x:v>15</x:v>
      </x:c>
      <x:c r="X1471" s="24" t="str">
        <x:v>tabela_zeiss.pdf</x:v>
      </x:c>
      <x:c r="Y1471" s="24" t="str">
        <x:v>alta</x:v>
      </x:c>
      <x:c r="Z1471" s="24"/>
      <x:c r="AA1471" s="24" t="str">
        <x:v>ZEISS|Visão Simples|Surfaçada|SmartLife Individual 3||1.67|1.67|DuraVision Silver UV|-8.00 a +8.00|-6.00|-|70|||15</x:v>
      </x:c>
    </x:row>
    <x:row r="1472">
      <x:c r="A1472" s="24" t="str">
        <x:v>ZS-05E0144E5A82</x:v>
      </x:c>
      <x:c r="B1472" s="24" t="str">
        <x:v>SIM</x:v>
      </x:c>
      <x:c r="C1472" s="24" t="str">
        <x:v>DISPONÍVEL</x:v>
      </x:c>
      <x:c r="D1472" s="24" t="str">
        <x:v>ZEISS</x:v>
      </x:c>
      <x:c r="E1472" s="24" t="str">
        <x:v>Visão Simples</x:v>
      </x:c>
      <x:c r="F1472" s="24" t="str">
        <x:v>Surfaçada</x:v>
      </x:c>
      <x:c r="G1472" s="24" t="str">
        <x:v>SmartLife Individual 3</x:v>
      </x:c>
      <x:c r="H1472" s="24"/>
      <x:c r="I1472" s="24" t="str">
        <x:v>1.67</x:v>
      </x:c>
      <x:c r="J1472" s="24" t="str">
        <x:v>1.67</x:v>
      </x:c>
      <x:c r="K1472" s="24" t="str">
        <x:v>DuraVision Chrome UV</x:v>
      </x:c>
      <x:c r="L1472" s="40" t="n">
        <x:v>3549</x:v>
      </x:c>
      <x:c r="M1472" s="24" t="str">
        <x:v>-8.00 a +8.00</x:v>
      </x:c>
      <x:c r="N1472" s="24" t="str">
        <x:v>-6.00</x:v>
      </x:c>
      <x:c r="O1472" s="24" t="str">
        <x:v>-</x:v>
      </x:c>
      <x:c r="P1472" s="24" t="str">
        <x:v>70</x:v>
      </x:c>
      <x:c r="Q1472" s="24"/>
      <x:c r="R1472" s="24"/>
      <x:c r="S1472" s="26" t="n">
        <x:v>46113</x:v>
      </x:c>
      <x:c r="T1472" s="26"/>
      <x:c r="U1472" s="24" t="str">
        <x:v>ATIVA/SEM FIM INFORMADO</x:v>
      </x:c>
      <x:c r="V1472" s="24"/>
      <x:c r="W1472" s="24" t="n">
        <x:v>15</x:v>
      </x:c>
      <x:c r="X1472" s="24" t="str">
        <x:v>tabela_zeiss.pdf</x:v>
      </x:c>
      <x:c r="Y1472" s="24" t="str">
        <x:v>alta</x:v>
      </x:c>
      <x:c r="Z1472" s="24"/>
      <x:c r="AA1472" s="24" t="str">
        <x:v>ZEISS|Visão Simples|Surfaçada|SmartLife Individual 3||1.67|1.67|DuraVision Chrome UV|-8.00 a +8.00|-6.00|-|70|||15</x:v>
      </x:c>
    </x:row>
    <x:row r="1473">
      <x:c r="A1473" s="24" t="str">
        <x:v>ZS-83B842D7D158</x:v>
      </x:c>
      <x:c r="B1473" s="24" t="str">
        <x:v>SIM</x:v>
      </x:c>
      <x:c r="C1473" s="24" t="str">
        <x:v>DISPONÍVEL</x:v>
      </x:c>
      <x:c r="D1473" s="24" t="str">
        <x:v>ZEISS</x:v>
      </x:c>
      <x:c r="E1473" s="24" t="str">
        <x:v>Visão Simples</x:v>
      </x:c>
      <x:c r="F1473" s="24" t="str">
        <x:v>Surfaçada</x:v>
      </x:c>
      <x:c r="G1473" s="24" t="str">
        <x:v>SmartLife Individual 3</x:v>
      </x:c>
      <x:c r="H1473" s="24"/>
      <x:c r="I1473" s="24" t="str">
        <x:v>1.74</x:v>
      </x:c>
      <x:c r="J1473" s="24" t="str">
        <x:v>1.74</x:v>
      </x:c>
      <x:c r="K1473" s="24" t="str">
        <x:v>DuraVision Gold UV</x:v>
      </x:c>
      <x:c r="L1473" s="40" t="n">
        <x:v>4749</x:v>
      </x:c>
      <x:c r="M1473" s="24" t="str">
        <x:v>-10.00 a +6.00</x:v>
      </x:c>
      <x:c r="N1473" s="24" t="str">
        <x:v>-6.00</x:v>
      </x:c>
      <x:c r="O1473" s="24" t="str">
        <x:v>-</x:v>
      </x:c>
      <x:c r="P1473" s="24" t="str">
        <x:v>70 a 75</x:v>
      </x:c>
      <x:c r="Q1473" s="24"/>
      <x:c r="R1473" s="24"/>
      <x:c r="S1473" s="26" t="n">
        <x:v>46113</x:v>
      </x:c>
      <x:c r="T1473" s="26"/>
      <x:c r="U1473" s="24" t="str">
        <x:v>ATIVA/SEM FIM INFORMADO</x:v>
      </x:c>
      <x:c r="V1473" s="24"/>
      <x:c r="W1473" s="24" t="n">
        <x:v>15</x:v>
      </x:c>
      <x:c r="X1473" s="24" t="str">
        <x:v>tabela_zeiss.pdf</x:v>
      </x:c>
      <x:c r="Y1473" s="24" t="str">
        <x:v>alta</x:v>
      </x:c>
      <x:c r="Z1473" s="24"/>
      <x:c r="AA1473" s="24" t="str">
        <x:v>ZEISS|Visão Simples|Surfaçada|SmartLife Individual 3||1.74|1.74|DuraVision Gold UV|-10.00 a +6.00|-6.00|-|70 a 75|||15</x:v>
      </x:c>
    </x:row>
    <x:row r="1474">
      <x:c r="A1474" s="24" t="str">
        <x:v>ZS-F265B57F11F4</x:v>
      </x:c>
      <x:c r="B1474" s="24" t="str">
        <x:v>SIM</x:v>
      </x:c>
      <x:c r="C1474" s="24" t="str">
        <x:v>DISPONÍVEL</x:v>
      </x:c>
      <x:c r="D1474" s="24" t="str">
        <x:v>ZEISS</x:v>
      </x:c>
      <x:c r="E1474" s="24" t="str">
        <x:v>Visão Simples</x:v>
      </x:c>
      <x:c r="F1474" s="24" t="str">
        <x:v>Surfaçada</x:v>
      </x:c>
      <x:c r="G1474" s="24" t="str">
        <x:v>SmartLife Individual 3</x:v>
      </x:c>
      <x:c r="H1474" s="24"/>
      <x:c r="I1474" s="24" t="str">
        <x:v>1.74</x:v>
      </x:c>
      <x:c r="J1474" s="24" t="str">
        <x:v>1.74</x:v>
      </x:c>
      <x:c r="K1474" s="24" t="str">
        <x:v>DuraVision Platinum UV</x:v>
      </x:c>
      <x:c r="L1474" s="40" t="n">
        <x:v>4609</x:v>
      </x:c>
      <x:c r="M1474" s="24" t="str">
        <x:v>-10.00 a +6.00</x:v>
      </x:c>
      <x:c r="N1474" s="24" t="str">
        <x:v>-6.00</x:v>
      </x:c>
      <x:c r="O1474" s="24" t="str">
        <x:v>-</x:v>
      </x:c>
      <x:c r="P1474" s="24" t="str">
        <x:v>70 a 75</x:v>
      </x:c>
      <x:c r="Q1474" s="24"/>
      <x:c r="R1474" s="24"/>
      <x:c r="S1474" s="26" t="n">
        <x:v>46113</x:v>
      </x:c>
      <x:c r="T1474" s="26"/>
      <x:c r="U1474" s="24" t="str">
        <x:v>ATIVA/SEM FIM INFORMADO</x:v>
      </x:c>
      <x:c r="V1474" s="24"/>
      <x:c r="W1474" s="24" t="n">
        <x:v>15</x:v>
      </x:c>
      <x:c r="X1474" s="24" t="str">
        <x:v>tabela_zeiss.pdf</x:v>
      </x:c>
      <x:c r="Y1474" s="24" t="str">
        <x:v>alta</x:v>
      </x:c>
      <x:c r="Z1474" s="24"/>
      <x:c r="AA1474" s="24" t="str">
        <x:v>ZEISS|Visão Simples|Surfaçada|SmartLife Individual 3||1.74|1.74|DuraVision Platinum UV|-10.00 a +6.00|-6.00|-|70 a 75|||15</x:v>
      </x:c>
    </x:row>
    <x:row r="1475">
      <x:c r="A1475" s="24" t="str">
        <x:v>ZS-8458ADF2A258</x:v>
      </x:c>
      <x:c r="B1475" s="24" t="str">
        <x:v>SIM</x:v>
      </x:c>
      <x:c r="C1475" s="24" t="str">
        <x:v>DISPONÍVEL</x:v>
      </x:c>
      <x:c r="D1475" s="24" t="str">
        <x:v>ZEISS</x:v>
      </x:c>
      <x:c r="E1475" s="24" t="str">
        <x:v>Visão Simples</x:v>
      </x:c>
      <x:c r="F1475" s="24" t="str">
        <x:v>Surfaçada</x:v>
      </x:c>
      <x:c r="G1475" s="24" t="str">
        <x:v>SmartLife Individual 3</x:v>
      </x:c>
      <x:c r="H1475" s="24"/>
      <x:c r="I1475" s="24" t="str">
        <x:v>1.74</x:v>
      </x:c>
      <x:c r="J1475" s="24" t="str">
        <x:v>1.74</x:v>
      </x:c>
      <x:c r="K1475" s="24" t="str">
        <x:v>DuraVision Silver UV</x:v>
      </x:c>
      <x:c r="L1475" s="40" t="n">
        <x:v>4349</x:v>
      </x:c>
      <x:c r="M1475" s="24" t="str">
        <x:v>-10.00 a +6.00</x:v>
      </x:c>
      <x:c r="N1475" s="24" t="str">
        <x:v>-6.00</x:v>
      </x:c>
      <x:c r="O1475" s="24" t="str">
        <x:v>-</x:v>
      </x:c>
      <x:c r="P1475" s="24" t="str">
        <x:v>70 a 75</x:v>
      </x:c>
      <x:c r="Q1475" s="24"/>
      <x:c r="R1475" s="24"/>
      <x:c r="S1475" s="26" t="n">
        <x:v>46113</x:v>
      </x:c>
      <x:c r="T1475" s="26"/>
      <x:c r="U1475" s="24" t="str">
        <x:v>ATIVA/SEM FIM INFORMADO</x:v>
      </x:c>
      <x:c r="V1475" s="24"/>
      <x:c r="W1475" s="24" t="n">
        <x:v>15</x:v>
      </x:c>
      <x:c r="X1475" s="24" t="str">
        <x:v>tabela_zeiss.pdf</x:v>
      </x:c>
      <x:c r="Y1475" s="24" t="str">
        <x:v>alta</x:v>
      </x:c>
      <x:c r="Z1475" s="24"/>
      <x:c r="AA1475" s="24" t="str">
        <x:v>ZEISS|Visão Simples|Surfaçada|SmartLife Individual 3||1.74|1.74|DuraVision Silver UV|-10.00 a +6.00|-6.00|-|70 a 75|||15</x:v>
      </x:c>
    </x:row>
    <x:row r="1476">
      <x:c r="A1476" s="24" t="str">
        <x:v>ZS-CCE831D61FBB</x:v>
      </x:c>
      <x:c r="B1476" s="24" t="str">
        <x:v>SIM</x:v>
      </x:c>
      <x:c r="C1476" s="24" t="str">
        <x:v>DISPONÍVEL</x:v>
      </x:c>
      <x:c r="D1476" s="24" t="str">
        <x:v>ZEISS</x:v>
      </x:c>
      <x:c r="E1476" s="24" t="str">
        <x:v>Visão Simples</x:v>
      </x:c>
      <x:c r="F1476" s="24" t="str">
        <x:v>Surfaçada</x:v>
      </x:c>
      <x:c r="G1476" s="24" t="str">
        <x:v>SmartLife Individual 3</x:v>
      </x:c>
      <x:c r="H1476" s="24"/>
      <x:c r="I1476" s="24" t="str">
        <x:v>1.74</x:v>
      </x:c>
      <x:c r="J1476" s="24" t="str">
        <x:v>1.74</x:v>
      </x:c>
      <x:c r="K1476" s="24" t="str">
        <x:v>DuraVision Chrome UV</x:v>
      </x:c>
      <x:c r="L1476" s="40" t="n">
        <x:v>3859</x:v>
      </x:c>
      <x:c r="M1476" s="24" t="str">
        <x:v>-10.00 a +6.00</x:v>
      </x:c>
      <x:c r="N1476" s="24" t="str">
        <x:v>-6.00</x:v>
      </x:c>
      <x:c r="O1476" s="24" t="str">
        <x:v>-</x:v>
      </x:c>
      <x:c r="P1476" s="24" t="str">
        <x:v>70 a 75</x:v>
      </x:c>
      <x:c r="Q1476" s="24"/>
      <x:c r="R1476" s="24"/>
      <x:c r="S1476" s="26" t="n">
        <x:v>46113</x:v>
      </x:c>
      <x:c r="T1476" s="26"/>
      <x:c r="U1476" s="24" t="str">
        <x:v>ATIVA/SEM FIM INFORMADO</x:v>
      </x:c>
      <x:c r="V1476" s="24"/>
      <x:c r="W1476" s="24" t="n">
        <x:v>15</x:v>
      </x:c>
      <x:c r="X1476" s="24" t="str">
        <x:v>tabela_zeiss.pdf</x:v>
      </x:c>
      <x:c r="Y1476" s="24" t="str">
        <x:v>alta</x:v>
      </x:c>
      <x:c r="Z1476" s="24"/>
      <x:c r="AA1476" s="24" t="str">
        <x:v>ZEISS|Visão Simples|Surfaçada|SmartLife Individual 3||1.74|1.74|DuraVision Chrome UV|-10.00 a +6.00|-6.00|-|70 a 75|||15</x:v>
      </x:c>
    </x:row>
    <x:row r="1477">
      <x:c r="A1477" s="24" t="str">
        <x:v>ZS-10C3DD31BC33</x:v>
      </x:c>
      <x:c r="B1477" s="24" t="str">
        <x:v>SIM</x:v>
      </x:c>
      <x:c r="C1477" s="24" t="str">
        <x:v>DISPONÍVEL</x:v>
      </x:c>
      <x:c r="D1477" s="24" t="str">
        <x:v>ZEISS</x:v>
      </x:c>
      <x:c r="E1477" s="24" t="str">
        <x:v>Visão Simples</x:v>
      </x:c>
      <x:c r="F1477" s="24" t="str">
        <x:v>Surfaçada</x:v>
      </x:c>
      <x:c r="G1477" s="24" t="str">
        <x:v>SmartLife Individual 3</x:v>
      </x:c>
      <x:c r="H1477" s="24" t="str">
        <x:v>PhotoFusion X</x:v>
      </x:c>
      <x:c r="I1477" s="24" t="str">
        <x:v>1.5</x:v>
      </x:c>
      <x:c r="J1477" s="24" t="str">
        <x:v>1.50</x:v>
      </x:c>
      <x:c r="K1477" s="24" t="str">
        <x:v>DuraVision Gold UV</x:v>
      </x:c>
      <x:c r="L1477" s="40" t="n">
        <x:v>3649</x:v>
      </x:c>
      <x:c r="M1477" s="24" t="str">
        <x:v>-6.00 a +6.00</x:v>
      </x:c>
      <x:c r="N1477" s="24" t="str">
        <x:v>-4.00</x:v>
      </x:c>
      <x:c r="O1477" s="24" t="str">
        <x:v>-</x:v>
      </x:c>
      <x:c r="P1477" s="24" t="str">
        <x:v>75</x:v>
      </x:c>
      <x:c r="Q1477" s="24"/>
      <x:c r="R1477" s="24"/>
      <x:c r="S1477" s="26" t="n">
        <x:v>46113</x:v>
      </x:c>
      <x:c r="T1477" s="26"/>
      <x:c r="U1477" s="24" t="str">
        <x:v>ATIVA/SEM FIM INFORMADO</x:v>
      </x:c>
      <x:c r="V1477" s="24" t="str">
        <x:v>Programa de Parcerias ZEISS</x:v>
      </x:c>
      <x:c r="W1477" s="24" t="n">
        <x:v>15</x:v>
      </x:c>
      <x:c r="X1477" s="24" t="str">
        <x:v>tabela_zeiss.pdf</x:v>
      </x:c>
      <x:c r="Y1477" s="24" t="str">
        <x:v>alta</x:v>
      </x:c>
      <x:c r="Z1477" s="24"/>
      <x:c r="AA1477" s="24" t="str">
        <x:v>ZEISS|Visão Simples|Surfaçada|SmartLife Individual 3|PhotoFusion X|1.5|1.50|DuraVision Gold UV|-6.00 a +6.00|-4.00|-|75|||15</x:v>
      </x:c>
    </x:row>
    <x:row r="1478">
      <x:c r="A1478" s="24" t="str">
        <x:v>ZS-527D1BA5CE5C</x:v>
      </x:c>
      <x:c r="B1478" s="24" t="str">
        <x:v>SIM</x:v>
      </x:c>
      <x:c r="C1478" s="24" t="str">
        <x:v>DISPONÍVEL</x:v>
      </x:c>
      <x:c r="D1478" s="24" t="str">
        <x:v>ZEISS</x:v>
      </x:c>
      <x:c r="E1478" s="24" t="str">
        <x:v>Visão Simples</x:v>
      </x:c>
      <x:c r="F1478" s="24" t="str">
        <x:v>Surfaçada</x:v>
      </x:c>
      <x:c r="G1478" s="24" t="str">
        <x:v>SmartLife Individual 3</x:v>
      </x:c>
      <x:c r="H1478" s="24" t="str">
        <x:v>PhotoFusion X</x:v>
      </x:c>
      <x:c r="I1478" s="24" t="str">
        <x:v>1.5</x:v>
      </x:c>
      <x:c r="J1478" s="24" t="str">
        <x:v>1.50</x:v>
      </x:c>
      <x:c r="K1478" s="24" t="str">
        <x:v>DURAVISION® ANTIVÍRUS PLATINUM UV</x:v>
      </x:c>
      <x:c r="L1478" s="40" t="n">
        <x:v>3509</x:v>
      </x:c>
      <x:c r="M1478" s="24" t="str">
        <x:v>-6.00 a +6.00</x:v>
      </x:c>
      <x:c r="N1478" s="24" t="str">
        <x:v>-4.00</x:v>
      </x:c>
      <x:c r="O1478" s="24" t="str">
        <x:v>-</x:v>
      </x:c>
      <x:c r="P1478" s="24" t="str">
        <x:v>75</x:v>
      </x:c>
      <x:c r="Q1478" s="24"/>
      <x:c r="R1478" s="24"/>
      <x:c r="S1478" s="26" t="n">
        <x:v>46113</x:v>
      </x:c>
      <x:c r="T1478" s="26"/>
      <x:c r="U1478" s="24" t="str">
        <x:v>ATIVA/SEM FIM INFORMADO</x:v>
      </x:c>
      <x:c r="V1478" s="24" t="str">
        <x:v>Programa de Parcerias ZEISS</x:v>
      </x:c>
      <x:c r="W1478" s="24" t="n">
        <x:v>15</x:v>
      </x:c>
      <x:c r="X1478" s="24" t="str">
        <x:v>tabela_zeiss.pdf</x:v>
      </x:c>
      <x:c r="Y1478" s="24" t="str">
        <x:v>alta</x:v>
      </x:c>
      <x:c r="Z1478" s="24"/>
      <x:c r="AA1478" s="24" t="str">
        <x:v>ZEISS|Visão Simples|Surfaçada|SmartLife Individual 3|PhotoFusion X|1.5|1.50|DURAVISION® ANTIVÍRUS PLATINUM UV|-6.00 a +6.00|-4.00|-|75|||15</x:v>
      </x:c>
    </x:row>
    <x:row r="1479">
      <x:c r="A1479" s="24" t="str">
        <x:v>ZS-1F3725E8370B</x:v>
      </x:c>
      <x:c r="B1479" s="24" t="str">
        <x:v>SIM</x:v>
      </x:c>
      <x:c r="C1479" s="24" t="str">
        <x:v>DISPONÍVEL</x:v>
      </x:c>
      <x:c r="D1479" s="24" t="str">
        <x:v>ZEISS</x:v>
      </x:c>
      <x:c r="E1479" s="24" t="str">
        <x:v>Visão Simples</x:v>
      </x:c>
      <x:c r="F1479" s="24" t="str">
        <x:v>Surfaçada</x:v>
      </x:c>
      <x:c r="G1479" s="24" t="str">
        <x:v>SmartLife Individual 3</x:v>
      </x:c>
      <x:c r="H1479" s="24" t="str">
        <x:v>PhotoFusion X</x:v>
      </x:c>
      <x:c r="I1479" s="24" t="str">
        <x:v>1.5</x:v>
      </x:c>
      <x:c r="J1479" s="24" t="str">
        <x:v>1.50</x:v>
      </x:c>
      <x:c r="K1479" s="24" t="str">
        <x:v>DuraVision Platinum UV</x:v>
      </x:c>
      <x:c r="L1479" s="40" t="n">
        <x:v>3509</x:v>
      </x:c>
      <x:c r="M1479" s="24" t="str">
        <x:v>-6.00 a +6.00</x:v>
      </x:c>
      <x:c r="N1479" s="24" t="str">
        <x:v>-4.00</x:v>
      </x:c>
      <x:c r="O1479" s="24" t="str">
        <x:v>-</x:v>
      </x:c>
      <x:c r="P1479" s="24" t="str">
        <x:v>75</x:v>
      </x:c>
      <x:c r="Q1479" s="24"/>
      <x:c r="R1479" s="24"/>
      <x:c r="S1479" s="26" t="n">
        <x:v>46113</x:v>
      </x:c>
      <x:c r="T1479" s="26"/>
      <x:c r="U1479" s="24" t="str">
        <x:v>ATIVA/SEM FIM INFORMADO</x:v>
      </x:c>
      <x:c r="V1479" s="24" t="str">
        <x:v>Programa de Parcerias ZEISS</x:v>
      </x:c>
      <x:c r="W1479" s="24" t="n">
        <x:v>15</x:v>
      </x:c>
      <x:c r="X1479" s="24" t="str">
        <x:v>tabela_zeiss.pdf</x:v>
      </x:c>
      <x:c r="Y1479" s="24" t="str">
        <x:v>alta</x:v>
      </x:c>
      <x:c r="Z1479" s="24"/>
      <x:c r="AA1479" s="24" t="str">
        <x:v>ZEISS|Visão Simples|Surfaçada|SmartLife Individual 3|PhotoFusion X|1.5|1.50|DuraVision Platinum UV|-6.00 a +6.00|-4.00|-|75|||15</x:v>
      </x:c>
    </x:row>
    <x:row r="1480">
      <x:c r="A1480" s="24" t="str">
        <x:v>ZS-811222CFBC54</x:v>
      </x:c>
      <x:c r="B1480" s="24" t="str">
        <x:v>SIM</x:v>
      </x:c>
      <x:c r="C1480" s="24" t="str">
        <x:v>DISPONÍVEL</x:v>
      </x:c>
      <x:c r="D1480" s="24" t="str">
        <x:v>ZEISS</x:v>
      </x:c>
      <x:c r="E1480" s="24" t="str">
        <x:v>Visão Simples</x:v>
      </x:c>
      <x:c r="F1480" s="24" t="str">
        <x:v>Surfaçada</x:v>
      </x:c>
      <x:c r="G1480" s="24" t="str">
        <x:v>SmartLife Individual 3</x:v>
      </x:c>
      <x:c r="H1480" s="24" t="str">
        <x:v>PhotoFusion X</x:v>
      </x:c>
      <x:c r="I1480" s="24" t="str">
        <x:v>1.5</x:v>
      </x:c>
      <x:c r="J1480" s="24" t="str">
        <x:v>1.50</x:v>
      </x:c>
      <x:c r="K1480" s="24" t="str">
        <x:v>DuraVision Silver UV</x:v>
      </x:c>
      <x:c r="L1480" s="40" t="n">
        <x:v>3249</x:v>
      </x:c>
      <x:c r="M1480" s="24" t="str">
        <x:v>-6.00 a +6.00</x:v>
      </x:c>
      <x:c r="N1480" s="24" t="str">
        <x:v>-4.00</x:v>
      </x:c>
      <x:c r="O1480" s="24" t="str">
        <x:v>-</x:v>
      </x:c>
      <x:c r="P1480" s="24" t="str">
        <x:v>75</x:v>
      </x:c>
      <x:c r="Q1480" s="24"/>
      <x:c r="R1480" s="24"/>
      <x:c r="S1480" s="26" t="n">
        <x:v>46113</x:v>
      </x:c>
      <x:c r="T1480" s="26"/>
      <x:c r="U1480" s="24" t="str">
        <x:v>ATIVA/SEM FIM INFORMADO</x:v>
      </x:c>
      <x:c r="V1480" s="24" t="str">
        <x:v>Programa de Parcerias ZEISS</x:v>
      </x:c>
      <x:c r="W1480" s="24" t="n">
        <x:v>15</x:v>
      </x:c>
      <x:c r="X1480" s="24" t="str">
        <x:v>tabela_zeiss.pdf</x:v>
      </x:c>
      <x:c r="Y1480" s="24" t="str">
        <x:v>alta</x:v>
      </x:c>
      <x:c r="Z1480" s="24"/>
      <x:c r="AA1480" s="24" t="str">
        <x:v>ZEISS|Visão Simples|Surfaçada|SmartLife Individual 3|PhotoFusion X|1.5|1.50|DuraVision Silver UV|-6.00 a +6.00|-4.00|-|75|||15</x:v>
      </x:c>
    </x:row>
    <x:row r="1481">
      <x:c r="A1481" s="24" t="str">
        <x:v>ZS-DBEDDB85881B</x:v>
      </x:c>
      <x:c r="B1481" s="24" t="str">
        <x:v>SIM</x:v>
      </x:c>
      <x:c r="C1481" s="24" t="str">
        <x:v>DISPONÍVEL</x:v>
      </x:c>
      <x:c r="D1481" s="24" t="str">
        <x:v>ZEISS</x:v>
      </x:c>
      <x:c r="E1481" s="24" t="str">
        <x:v>Visão Simples</x:v>
      </x:c>
      <x:c r="F1481" s="24" t="str">
        <x:v>Surfaçada</x:v>
      </x:c>
      <x:c r="G1481" s="24" t="str">
        <x:v>SmartLife Individual 3</x:v>
      </x:c>
      <x:c r="H1481" s="24" t="str">
        <x:v>PhotoFusion X</x:v>
      </x:c>
      <x:c r="I1481" s="24" t="str">
        <x:v>1.5</x:v>
      </x:c>
      <x:c r="J1481" s="24" t="str">
        <x:v>1.50</x:v>
      </x:c>
      <x:c r="K1481" s="24" t="str">
        <x:v>DuraVision Chrome UV</x:v>
      </x:c>
      <x:c r="L1481" s="40" t="n">
        <x:v>2759</x:v>
      </x:c>
      <x:c r="M1481" s="24" t="str">
        <x:v>-6.00 a +6.00</x:v>
      </x:c>
      <x:c r="N1481" s="24" t="str">
        <x:v>-4.00</x:v>
      </x:c>
      <x:c r="O1481" s="24" t="str">
        <x:v>-</x:v>
      </x:c>
      <x:c r="P1481" s="24" t="str">
        <x:v>75</x:v>
      </x:c>
      <x:c r="Q1481" s="24"/>
      <x:c r="R1481" s="24"/>
      <x:c r="S1481" s="26" t="n">
        <x:v>46113</x:v>
      </x:c>
      <x:c r="T1481" s="26"/>
      <x:c r="U1481" s="24" t="str">
        <x:v>ATIVA/SEM FIM INFORMADO</x:v>
      </x:c>
      <x:c r="V1481" s="24" t="str">
        <x:v>Programa de Parcerias ZEISS</x:v>
      </x:c>
      <x:c r="W1481" s="24" t="n">
        <x:v>15</x:v>
      </x:c>
      <x:c r="X1481" s="24" t="str">
        <x:v>tabela_zeiss.pdf</x:v>
      </x:c>
      <x:c r="Y1481" s="24" t="str">
        <x:v>alta</x:v>
      </x:c>
      <x:c r="Z1481" s="24"/>
      <x:c r="AA1481" s="24" t="str">
        <x:v>ZEISS|Visão Simples|Surfaçada|SmartLife Individual 3|PhotoFusion X|1.5|1.50|DuraVision Chrome UV|-6.00 a +6.00|-4.00|-|75|||15</x:v>
      </x:c>
    </x:row>
    <x:row r="1482">
      <x:c r="A1482" s="24" t="str">
        <x:v>ZS-60EA7426A685</x:v>
      </x:c>
      <x:c r="B1482" s="24" t="str">
        <x:v>SIM</x:v>
      </x:c>
      <x:c r="C1482" s="24" t="str">
        <x:v>DISPONÍVEL</x:v>
      </x:c>
      <x:c r="D1482" s="24" t="str">
        <x:v>ZEISS</x:v>
      </x:c>
      <x:c r="E1482" s="24" t="str">
        <x:v>Visão Simples</x:v>
      </x:c>
      <x:c r="F1482" s="24" t="str">
        <x:v>Surfaçada</x:v>
      </x:c>
      <x:c r="G1482" s="24" t="str">
        <x:v>SmartLife Individual 3</x:v>
      </x:c>
      <x:c r="H1482" s="24" t="str">
        <x:v>PhotoFusion X</x:v>
      </x:c>
      <x:c r="I1482" s="24" t="str">
        <x:v>Poli</x:v>
      </x:c>
      <x:c r="J1482" s="24"/>
      <x:c r="K1482" s="24" t="str">
        <x:v>DuraVision Gold UV</x:v>
      </x:c>
      <x:c r="L1482" s="40" t="n">
        <x:v>4009</x:v>
      </x:c>
      <x:c r="M1482" s="24" t="str">
        <x:v>-10.00 a +8.00</x:v>
      </x:c>
      <x:c r="N1482" s="24" t="str">
        <x:v>-4.00</x:v>
      </x:c>
      <x:c r="O1482" s="24" t="str">
        <x:v>-</x:v>
      </x:c>
      <x:c r="P1482" s="24" t="str">
        <x:v>70</x:v>
      </x:c>
      <x:c r="Q1482" s="24"/>
      <x:c r="R1482" s="24"/>
      <x:c r="S1482" s="26" t="n">
        <x:v>46113</x:v>
      </x:c>
      <x:c r="T1482" s="26"/>
      <x:c r="U1482" s="24" t="str">
        <x:v>ATIVA/SEM FIM INFORMADO</x:v>
      </x:c>
      <x:c r="V1482" s="24" t="str">
        <x:v>Programa de Parcerias ZEISS</x:v>
      </x:c>
      <x:c r="W1482" s="24" t="n">
        <x:v>15</x:v>
      </x:c>
      <x:c r="X1482" s="24" t="str">
        <x:v>tabela_zeiss.pdf</x:v>
      </x:c>
      <x:c r="Y1482" s="24" t="str">
        <x:v>alta</x:v>
      </x:c>
      <x:c r="Z1482" s="24"/>
      <x:c r="AA1482" s="24" t="str">
        <x:v>ZEISS|Visão Simples|Surfaçada|SmartLife Individual 3|PhotoFusion X|Poli||DuraVision Gold UV|-10.00 a +8.00|-4.00|-|70|||15</x:v>
      </x:c>
    </x:row>
    <x:row r="1483">
      <x:c r="A1483" s="24" t="str">
        <x:v>ZS-D5F773C8710C</x:v>
      </x:c>
      <x:c r="B1483" s="24" t="str">
        <x:v>SIM</x:v>
      </x:c>
      <x:c r="C1483" s="24" t="str">
        <x:v>DISPONÍVEL</x:v>
      </x:c>
      <x:c r="D1483" s="24" t="str">
        <x:v>ZEISS</x:v>
      </x:c>
      <x:c r="E1483" s="24" t="str">
        <x:v>Visão Simples</x:v>
      </x:c>
      <x:c r="F1483" s="24" t="str">
        <x:v>Surfaçada</x:v>
      </x:c>
      <x:c r="G1483" s="24" t="str">
        <x:v>SmartLife Individual 3</x:v>
      </x:c>
      <x:c r="H1483" s="24" t="str">
        <x:v>PhotoFusion X</x:v>
      </x:c>
      <x:c r="I1483" s="24" t="str">
        <x:v>Poli</x:v>
      </x:c>
      <x:c r="J1483" s="24"/>
      <x:c r="K1483" s="24" t="str">
        <x:v>DuraVision Platinum UV</x:v>
      </x:c>
      <x:c r="L1483" s="40" t="n">
        <x:v>3869</x:v>
      </x:c>
      <x:c r="M1483" s="24" t="str">
        <x:v>-10.00 a +8.00</x:v>
      </x:c>
      <x:c r="N1483" s="24" t="str">
        <x:v>-4.00</x:v>
      </x:c>
      <x:c r="O1483" s="24" t="str">
        <x:v>-</x:v>
      </x:c>
      <x:c r="P1483" s="24" t="str">
        <x:v>70</x:v>
      </x:c>
      <x:c r="Q1483" s="24"/>
      <x:c r="R1483" s="24"/>
      <x:c r="S1483" s="26" t="n">
        <x:v>46113</x:v>
      </x:c>
      <x:c r="T1483" s="26"/>
      <x:c r="U1483" s="24" t="str">
        <x:v>ATIVA/SEM FIM INFORMADO</x:v>
      </x:c>
      <x:c r="V1483" s="24" t="str">
        <x:v>Programa de Parcerias ZEISS</x:v>
      </x:c>
      <x:c r="W1483" s="24" t="n">
        <x:v>15</x:v>
      </x:c>
      <x:c r="X1483" s="24" t="str">
        <x:v>tabela_zeiss.pdf</x:v>
      </x:c>
      <x:c r="Y1483" s="24" t="str">
        <x:v>alta</x:v>
      </x:c>
      <x:c r="Z1483" s="24"/>
      <x:c r="AA1483" s="24" t="str">
        <x:v>ZEISS|Visão Simples|Surfaçada|SmartLife Individual 3|PhotoFusion X|Poli||DuraVision Platinum UV|-10.00 a +8.00|-4.00|-|70|||15</x:v>
      </x:c>
    </x:row>
    <x:row r="1484">
      <x:c r="A1484" s="24" t="str">
        <x:v>ZS-F8B4BEEB6FC7</x:v>
      </x:c>
      <x:c r="B1484" s="24" t="str">
        <x:v>SIM</x:v>
      </x:c>
      <x:c r="C1484" s="24" t="str">
        <x:v>DISPONÍVEL</x:v>
      </x:c>
      <x:c r="D1484" s="24" t="str">
        <x:v>ZEISS</x:v>
      </x:c>
      <x:c r="E1484" s="24" t="str">
        <x:v>Visão Simples</x:v>
      </x:c>
      <x:c r="F1484" s="24" t="str">
        <x:v>Surfaçada</x:v>
      </x:c>
      <x:c r="G1484" s="24" t="str">
        <x:v>SmartLife Individual 3</x:v>
      </x:c>
      <x:c r="H1484" s="24" t="str">
        <x:v>PhotoFusion X</x:v>
      </x:c>
      <x:c r="I1484" s="24" t="str">
        <x:v>Poli</x:v>
      </x:c>
      <x:c r="J1484" s="24"/>
      <x:c r="K1484" s="24" t="str">
        <x:v>DuraVision Silver UV</x:v>
      </x:c>
      <x:c r="L1484" s="40" t="n">
        <x:v>3609</x:v>
      </x:c>
      <x:c r="M1484" s="24" t="str">
        <x:v>-10.00 a +8.00</x:v>
      </x:c>
      <x:c r="N1484" s="24" t="str">
        <x:v>-4.00</x:v>
      </x:c>
      <x:c r="O1484" s="24" t="str">
        <x:v>-</x:v>
      </x:c>
      <x:c r="P1484" s="24" t="str">
        <x:v>70</x:v>
      </x:c>
      <x:c r="Q1484" s="24"/>
      <x:c r="R1484" s="24"/>
      <x:c r="S1484" s="26" t="n">
        <x:v>46113</x:v>
      </x:c>
      <x:c r="T1484" s="26"/>
      <x:c r="U1484" s="24" t="str">
        <x:v>ATIVA/SEM FIM INFORMADO</x:v>
      </x:c>
      <x:c r="V1484" s="24" t="str">
        <x:v>Programa de Parcerias ZEISS</x:v>
      </x:c>
      <x:c r="W1484" s="24" t="n">
        <x:v>15</x:v>
      </x:c>
      <x:c r="X1484" s="24" t="str">
        <x:v>tabela_zeiss.pdf</x:v>
      </x:c>
      <x:c r="Y1484" s="24" t="str">
        <x:v>alta</x:v>
      </x:c>
      <x:c r="Z1484" s="24"/>
      <x:c r="AA1484" s="24" t="str">
        <x:v>ZEISS|Visão Simples|Surfaçada|SmartLife Individual 3|PhotoFusion X|Poli||DuraVision Silver UV|-10.00 a +8.00|-4.00|-|70|||15</x:v>
      </x:c>
    </x:row>
    <x:row r="1485">
      <x:c r="A1485" s="24" t="str">
        <x:v>ZS-7591DC4A284C</x:v>
      </x:c>
      <x:c r="B1485" s="24" t="str">
        <x:v>SIM</x:v>
      </x:c>
      <x:c r="C1485" s="24" t="str">
        <x:v>DISPONÍVEL</x:v>
      </x:c>
      <x:c r="D1485" s="24" t="str">
        <x:v>ZEISS</x:v>
      </x:c>
      <x:c r="E1485" s="24" t="str">
        <x:v>Visão Simples</x:v>
      </x:c>
      <x:c r="F1485" s="24" t="str">
        <x:v>Surfaçada</x:v>
      </x:c>
      <x:c r="G1485" s="24" t="str">
        <x:v>SmartLife Individual 3</x:v>
      </x:c>
      <x:c r="H1485" s="24" t="str">
        <x:v>PhotoFusion X</x:v>
      </x:c>
      <x:c r="I1485" s="24" t="str">
        <x:v>Poli</x:v>
      </x:c>
      <x:c r="J1485" s="24"/>
      <x:c r="K1485" s="24" t="str">
        <x:v>DuraVision Chrome UV</x:v>
      </x:c>
      <x:c r="L1485" s="40" t="n">
        <x:v>3119</x:v>
      </x:c>
      <x:c r="M1485" s="24" t="str">
        <x:v>-10.00 a +8.00</x:v>
      </x:c>
      <x:c r="N1485" s="24" t="str">
        <x:v>-4.00</x:v>
      </x:c>
      <x:c r="O1485" s="24" t="str">
        <x:v>-</x:v>
      </x:c>
      <x:c r="P1485" s="24" t="str">
        <x:v>70</x:v>
      </x:c>
      <x:c r="Q1485" s="24"/>
      <x:c r="R1485" s="24"/>
      <x:c r="S1485" s="26" t="n">
        <x:v>46113</x:v>
      </x:c>
      <x:c r="T1485" s="26"/>
      <x:c r="U1485" s="24" t="str">
        <x:v>ATIVA/SEM FIM INFORMADO</x:v>
      </x:c>
      <x:c r="V1485" s="24" t="str">
        <x:v>Programa de Parcerias ZEISS</x:v>
      </x:c>
      <x:c r="W1485" s="24" t="n">
        <x:v>15</x:v>
      </x:c>
      <x:c r="X1485" s="24" t="str">
        <x:v>tabela_zeiss.pdf</x:v>
      </x:c>
      <x:c r="Y1485" s="24" t="str">
        <x:v>alta</x:v>
      </x:c>
      <x:c r="Z1485" s="24"/>
      <x:c r="AA1485" s="24" t="str">
        <x:v>ZEISS|Visão Simples|Surfaçada|SmartLife Individual 3|PhotoFusion X|Poli||DuraVision Chrome UV|-10.00 a +8.00|-4.00|-|70|||15</x:v>
      </x:c>
    </x:row>
    <x:row r="1486">
      <x:c r="A1486" s="24" t="str">
        <x:v>ZS-9A26F78C2E12</x:v>
      </x:c>
      <x:c r="B1486" s="24" t="str">
        <x:v>SIM</x:v>
      </x:c>
      <x:c r="C1486" s="24" t="str">
        <x:v>DISPONÍVEL</x:v>
      </x:c>
      <x:c r="D1486" s="24" t="str">
        <x:v>ZEISS</x:v>
      </x:c>
      <x:c r="E1486" s="24" t="str">
        <x:v>Visão Simples</x:v>
      </x:c>
      <x:c r="F1486" s="24" t="str">
        <x:v>Surfaçada</x:v>
      </x:c>
      <x:c r="G1486" s="24" t="str">
        <x:v>SmartLife Individual 3</x:v>
      </x:c>
      <x:c r="H1486" s="24" t="str">
        <x:v>PhotoFusion X</x:v>
      </x:c>
      <x:c r="I1486" s="24" t="str">
        <x:v>1.6</x:v>
      </x:c>
      <x:c r="J1486" s="24" t="str">
        <x:v>1.60</x:v>
      </x:c>
      <x:c r="K1486" s="24" t="str">
        <x:v>DuraVision Gold UV</x:v>
      </x:c>
      <x:c r="L1486" s="40" t="n">
        <x:v>4229</x:v>
      </x:c>
      <x:c r="M1486" s="24" t="str">
        <x:v>-6.00 a +8.00</x:v>
      </x:c>
      <x:c r="N1486" s="24" t="str">
        <x:v>-4.00</x:v>
      </x:c>
      <x:c r="O1486" s="24" t="str">
        <x:v>-</x:v>
      </x:c>
      <x:c r="P1486" s="24" t="str">
        <x:v>75</x:v>
      </x:c>
      <x:c r="Q1486" s="24"/>
      <x:c r="R1486" s="24"/>
      <x:c r="S1486" s="26" t="n">
        <x:v>46113</x:v>
      </x:c>
      <x:c r="T1486" s="26"/>
      <x:c r="U1486" s="24" t="str">
        <x:v>ATIVA/SEM FIM INFORMADO</x:v>
      </x:c>
      <x:c r="V1486" s="24" t="str">
        <x:v>Programa de Parcerias ZEISS</x:v>
      </x:c>
      <x:c r="W1486" s="24" t="n">
        <x:v>15</x:v>
      </x:c>
      <x:c r="X1486" s="24" t="str">
        <x:v>tabela_zeiss.pdf</x:v>
      </x:c>
      <x:c r="Y1486" s="24" t="str">
        <x:v>alta</x:v>
      </x:c>
      <x:c r="Z1486" s="24"/>
      <x:c r="AA1486" s="24" t="str">
        <x:v>ZEISS|Visão Simples|Surfaçada|SmartLife Individual 3|PhotoFusion X|1.6|1.60|DuraVision Gold UV|-6.00 a +8.00|-4.00|-|75|||15</x:v>
      </x:c>
    </x:row>
    <x:row r="1487">
      <x:c r="A1487" s="24" t="str">
        <x:v>ZS-101325F84433</x:v>
      </x:c>
      <x:c r="B1487" s="24" t="str">
        <x:v>SIM</x:v>
      </x:c>
      <x:c r="C1487" s="24" t="str">
        <x:v>DISPONÍVEL</x:v>
      </x:c>
      <x:c r="D1487" s="24" t="str">
        <x:v>ZEISS</x:v>
      </x:c>
      <x:c r="E1487" s="24" t="str">
        <x:v>Visão Simples</x:v>
      </x:c>
      <x:c r="F1487" s="24" t="str">
        <x:v>Surfaçada</x:v>
      </x:c>
      <x:c r="G1487" s="24" t="str">
        <x:v>SmartLife Individual 3</x:v>
      </x:c>
      <x:c r="H1487" s="24" t="str">
        <x:v>PhotoFusion X</x:v>
      </x:c>
      <x:c r="I1487" s="24" t="str">
        <x:v>1.6</x:v>
      </x:c>
      <x:c r="J1487" s="24" t="str">
        <x:v>1.60</x:v>
      </x:c>
      <x:c r="K1487" s="24" t="str">
        <x:v>DURAVISION® ANTIVÍRUS PLATINUM UV</x:v>
      </x:c>
      <x:c r="L1487" s="40" t="n">
        <x:v>4089</x:v>
      </x:c>
      <x:c r="M1487" s="24" t="str">
        <x:v>-6.00 a +8.00</x:v>
      </x:c>
      <x:c r="N1487" s="24" t="str">
        <x:v>-4.00</x:v>
      </x:c>
      <x:c r="O1487" s="24" t="str">
        <x:v>-</x:v>
      </x:c>
      <x:c r="P1487" s="24" t="str">
        <x:v>75</x:v>
      </x:c>
      <x:c r="Q1487" s="24"/>
      <x:c r="R1487" s="24"/>
      <x:c r="S1487" s="26" t="n">
        <x:v>46113</x:v>
      </x:c>
      <x:c r="T1487" s="26"/>
      <x:c r="U1487" s="24" t="str">
        <x:v>ATIVA/SEM FIM INFORMADO</x:v>
      </x:c>
      <x:c r="V1487" s="24" t="str">
        <x:v>Programa de Parcerias ZEISS</x:v>
      </x:c>
      <x:c r="W1487" s="24" t="n">
        <x:v>15</x:v>
      </x:c>
      <x:c r="X1487" s="24" t="str">
        <x:v>tabela_zeiss.pdf</x:v>
      </x:c>
      <x:c r="Y1487" s="24" t="str">
        <x:v>alta</x:v>
      </x:c>
      <x:c r="Z1487" s="24"/>
      <x:c r="AA1487" s="24" t="str">
        <x:v>ZEISS|Visão Simples|Surfaçada|SmartLife Individual 3|PhotoFusion X|1.6|1.60|DURAVISION® ANTIVÍRUS PLATINUM UV|-6.00 a +8.00|-4.00|-|75|||15</x:v>
      </x:c>
    </x:row>
    <x:row r="1488">
      <x:c r="A1488" s="24" t="str">
        <x:v>ZS-6A58A52DF456</x:v>
      </x:c>
      <x:c r="B1488" s="24" t="str">
        <x:v>SIM</x:v>
      </x:c>
      <x:c r="C1488" s="24" t="str">
        <x:v>DISPONÍVEL</x:v>
      </x:c>
      <x:c r="D1488" s="24" t="str">
        <x:v>ZEISS</x:v>
      </x:c>
      <x:c r="E1488" s="24" t="str">
        <x:v>Visão Simples</x:v>
      </x:c>
      <x:c r="F1488" s="24" t="str">
        <x:v>Surfaçada</x:v>
      </x:c>
      <x:c r="G1488" s="24" t="str">
        <x:v>SmartLife Individual 3</x:v>
      </x:c>
      <x:c r="H1488" s="24" t="str">
        <x:v>PhotoFusion X</x:v>
      </x:c>
      <x:c r="I1488" s="24" t="str">
        <x:v>1.6</x:v>
      </x:c>
      <x:c r="J1488" s="24" t="str">
        <x:v>1.60</x:v>
      </x:c>
      <x:c r="K1488" s="24" t="str">
        <x:v>DuraVision Platinum UV</x:v>
      </x:c>
      <x:c r="L1488" s="40" t="n">
        <x:v>4089</x:v>
      </x:c>
      <x:c r="M1488" s="24" t="str">
        <x:v>-6.00 a +8.00</x:v>
      </x:c>
      <x:c r="N1488" s="24" t="str">
        <x:v>-4.00</x:v>
      </x:c>
      <x:c r="O1488" s="24" t="str">
        <x:v>-</x:v>
      </x:c>
      <x:c r="P1488" s="24" t="str">
        <x:v>75</x:v>
      </x:c>
      <x:c r="Q1488" s="24"/>
      <x:c r="R1488" s="24"/>
      <x:c r="S1488" s="26" t="n">
        <x:v>46113</x:v>
      </x:c>
      <x:c r="T1488" s="26"/>
      <x:c r="U1488" s="24" t="str">
        <x:v>ATIVA/SEM FIM INFORMADO</x:v>
      </x:c>
      <x:c r="V1488" s="24" t="str">
        <x:v>Programa de Parcerias ZEISS</x:v>
      </x:c>
      <x:c r="W1488" s="24" t="n">
        <x:v>15</x:v>
      </x:c>
      <x:c r="X1488" s="24" t="str">
        <x:v>tabela_zeiss.pdf</x:v>
      </x:c>
      <x:c r="Y1488" s="24" t="str">
        <x:v>alta</x:v>
      </x:c>
      <x:c r="Z1488" s="24"/>
      <x:c r="AA1488" s="24" t="str">
        <x:v>ZEISS|Visão Simples|Surfaçada|SmartLife Individual 3|PhotoFusion X|1.6|1.60|DuraVision Platinum UV|-6.00 a +8.00|-4.00|-|75|||15</x:v>
      </x:c>
    </x:row>
    <x:row r="1489">
      <x:c r="A1489" s="24" t="str">
        <x:v>ZS-4AD4EDBF4187</x:v>
      </x:c>
      <x:c r="B1489" s="24" t="str">
        <x:v>SIM</x:v>
      </x:c>
      <x:c r="C1489" s="24" t="str">
        <x:v>DISPONÍVEL</x:v>
      </x:c>
      <x:c r="D1489" s="24" t="str">
        <x:v>ZEISS</x:v>
      </x:c>
      <x:c r="E1489" s="24" t="str">
        <x:v>Visão Simples</x:v>
      </x:c>
      <x:c r="F1489" s="24" t="str">
        <x:v>Surfaçada</x:v>
      </x:c>
      <x:c r="G1489" s="24" t="str">
        <x:v>SmartLife Individual 3</x:v>
      </x:c>
      <x:c r="H1489" s="24" t="str">
        <x:v>PhotoFusion X</x:v>
      </x:c>
      <x:c r="I1489" s="24" t="str">
        <x:v>1.6</x:v>
      </x:c>
      <x:c r="J1489" s="24" t="str">
        <x:v>1.60</x:v>
      </x:c>
      <x:c r="K1489" s="24" t="str">
        <x:v>DuraVision Silver UV</x:v>
      </x:c>
      <x:c r="L1489" s="40" t="n">
        <x:v>3829</x:v>
      </x:c>
      <x:c r="M1489" s="24" t="str">
        <x:v>-6.00 a +8.00</x:v>
      </x:c>
      <x:c r="N1489" s="24" t="str">
        <x:v>-4.00</x:v>
      </x:c>
      <x:c r="O1489" s="24" t="str">
        <x:v>-</x:v>
      </x:c>
      <x:c r="P1489" s="24" t="str">
        <x:v>75</x:v>
      </x:c>
      <x:c r="Q1489" s="24"/>
      <x:c r="R1489" s="24"/>
      <x:c r="S1489" s="26" t="n">
        <x:v>46113</x:v>
      </x:c>
      <x:c r="T1489" s="26"/>
      <x:c r="U1489" s="24" t="str">
        <x:v>ATIVA/SEM FIM INFORMADO</x:v>
      </x:c>
      <x:c r="V1489" s="24" t="str">
        <x:v>Programa de Parcerias ZEISS</x:v>
      </x:c>
      <x:c r="W1489" s="24" t="n">
        <x:v>15</x:v>
      </x:c>
      <x:c r="X1489" s="24" t="str">
        <x:v>tabela_zeiss.pdf</x:v>
      </x:c>
      <x:c r="Y1489" s="24" t="str">
        <x:v>alta</x:v>
      </x:c>
      <x:c r="Z1489" s="24"/>
      <x:c r="AA1489" s="24" t="str">
        <x:v>ZEISS|Visão Simples|Surfaçada|SmartLife Individual 3|PhotoFusion X|1.6|1.60|DuraVision Silver UV|-6.00 a +8.00|-4.00|-|75|||15</x:v>
      </x:c>
    </x:row>
    <x:row r="1490">
      <x:c r="A1490" s="24" t="str">
        <x:v>ZS-305A5A5DA591</x:v>
      </x:c>
      <x:c r="B1490" s="24" t="str">
        <x:v>SIM</x:v>
      </x:c>
      <x:c r="C1490" s="24" t="str">
        <x:v>DISPONÍVEL</x:v>
      </x:c>
      <x:c r="D1490" s="24" t="str">
        <x:v>ZEISS</x:v>
      </x:c>
      <x:c r="E1490" s="24" t="str">
        <x:v>Visão Simples</x:v>
      </x:c>
      <x:c r="F1490" s="24" t="str">
        <x:v>Surfaçada</x:v>
      </x:c>
      <x:c r="G1490" s="24" t="str">
        <x:v>SmartLife Individual 3</x:v>
      </x:c>
      <x:c r="H1490" s="24" t="str">
        <x:v>PhotoFusion X</x:v>
      </x:c>
      <x:c r="I1490" s="24" t="str">
        <x:v>1.6</x:v>
      </x:c>
      <x:c r="J1490" s="24" t="str">
        <x:v>1.60</x:v>
      </x:c>
      <x:c r="K1490" s="24" t="str">
        <x:v>DuraVision Chrome UV</x:v>
      </x:c>
      <x:c r="L1490" s="40" t="n">
        <x:v>3339</x:v>
      </x:c>
      <x:c r="M1490" s="24" t="str">
        <x:v>-6.00 a +8.00</x:v>
      </x:c>
      <x:c r="N1490" s="24" t="str">
        <x:v>-4.00</x:v>
      </x:c>
      <x:c r="O1490" s="24" t="str">
        <x:v>-</x:v>
      </x:c>
      <x:c r="P1490" s="24" t="str">
        <x:v>75</x:v>
      </x:c>
      <x:c r="Q1490" s="24"/>
      <x:c r="R1490" s="24"/>
      <x:c r="S1490" s="26" t="n">
        <x:v>46113</x:v>
      </x:c>
      <x:c r="T1490" s="26"/>
      <x:c r="U1490" s="24" t="str">
        <x:v>ATIVA/SEM FIM INFORMADO</x:v>
      </x:c>
      <x:c r="V1490" s="24" t="str">
        <x:v>Programa de Parcerias ZEISS</x:v>
      </x:c>
      <x:c r="W1490" s="24" t="n">
        <x:v>15</x:v>
      </x:c>
      <x:c r="X1490" s="24" t="str">
        <x:v>tabela_zeiss.pdf</x:v>
      </x:c>
      <x:c r="Y1490" s="24" t="str">
        <x:v>alta</x:v>
      </x:c>
      <x:c r="Z1490" s="24"/>
      <x:c r="AA1490" s="24" t="str">
        <x:v>ZEISS|Visão Simples|Surfaçada|SmartLife Individual 3|PhotoFusion X|1.6|1.60|DuraVision Chrome UV|-6.00 a +8.00|-4.00|-|75|||15</x:v>
      </x:c>
    </x:row>
    <x:row r="1491">
      <x:c r="A1491" s="24" t="str">
        <x:v>ZS-77A6A993EA20</x:v>
      </x:c>
      <x:c r="B1491" s="24" t="str">
        <x:v>SIM</x:v>
      </x:c>
      <x:c r="C1491" s="24" t="str">
        <x:v>DISPONÍVEL</x:v>
      </x:c>
      <x:c r="D1491" s="24" t="str">
        <x:v>ZEISS</x:v>
      </x:c>
      <x:c r="E1491" s="24" t="str">
        <x:v>Visão Simples</x:v>
      </x:c>
      <x:c r="F1491" s="24" t="str">
        <x:v>Surfaçada</x:v>
      </x:c>
      <x:c r="G1491" s="24" t="str">
        <x:v>SmartLife Individual 3</x:v>
      </x:c>
      <x:c r="H1491" s="24" t="str">
        <x:v>PhotoFusion X</x:v>
      </x:c>
      <x:c r="I1491" s="24" t="str">
        <x:v>1.67</x:v>
      </x:c>
      <x:c r="J1491" s="24" t="str">
        <x:v>1.67</x:v>
      </x:c>
      <x:c r="K1491" s="24" t="str">
        <x:v>DuraVision Gold UV</x:v>
      </x:c>
      <x:c r="L1491" s="40" t="n">
        <x:v>5529</x:v>
      </x:c>
      <x:c r="M1491" s="24" t="str">
        <x:v>-8.00 a +8.00</x:v>
      </x:c>
      <x:c r="N1491" s="24" t="str">
        <x:v>-6.00</x:v>
      </x:c>
      <x:c r="O1491" s="24" t="str">
        <x:v>-</x:v>
      </x:c>
      <x:c r="P1491" s="24" t="str">
        <x:v>70</x:v>
      </x:c>
      <x:c r="Q1491" s="24"/>
      <x:c r="R1491" s="24"/>
      <x:c r="S1491" s="26" t="n">
        <x:v>46113</x:v>
      </x:c>
      <x:c r="T1491" s="26"/>
      <x:c r="U1491" s="24" t="str">
        <x:v>ATIVA/SEM FIM INFORMADO</x:v>
      </x:c>
      <x:c r="V1491" s="24" t="str">
        <x:v>Programa de Parcerias ZEISS</x:v>
      </x:c>
      <x:c r="W1491" s="24" t="n">
        <x:v>15</x:v>
      </x:c>
      <x:c r="X1491" s="24" t="str">
        <x:v>tabela_zeiss.pdf</x:v>
      </x:c>
      <x:c r="Y1491" s="24" t="str">
        <x:v>alta</x:v>
      </x:c>
      <x:c r="Z1491" s="24"/>
      <x:c r="AA1491" s="24" t="str">
        <x:v>ZEISS|Visão Simples|Surfaçada|SmartLife Individual 3|PhotoFusion X|1.67|1.67|DuraVision Gold UV|-8.00 a +8.00|-6.00|-|70|||15</x:v>
      </x:c>
    </x:row>
    <x:row r="1492">
      <x:c r="A1492" s="24" t="str">
        <x:v>ZS-0A9F2F633A85</x:v>
      </x:c>
      <x:c r="B1492" s="24" t="str">
        <x:v>SIM</x:v>
      </x:c>
      <x:c r="C1492" s="24" t="str">
        <x:v>DISPONÍVEL</x:v>
      </x:c>
      <x:c r="D1492" s="24" t="str">
        <x:v>ZEISS</x:v>
      </x:c>
      <x:c r="E1492" s="24" t="str">
        <x:v>Visão Simples</x:v>
      </x:c>
      <x:c r="F1492" s="24" t="str">
        <x:v>Surfaçada</x:v>
      </x:c>
      <x:c r="G1492" s="24" t="str">
        <x:v>SmartLife Individual 3</x:v>
      </x:c>
      <x:c r="H1492" s="24" t="str">
        <x:v>PhotoFusion X</x:v>
      </x:c>
      <x:c r="I1492" s="24" t="str">
        <x:v>1.67</x:v>
      </x:c>
      <x:c r="J1492" s="24" t="str">
        <x:v>1.67</x:v>
      </x:c>
      <x:c r="K1492" s="24" t="str">
        <x:v>DURAVISION® ANTIVÍRUS PLATINUM UV</x:v>
      </x:c>
      <x:c r="L1492" s="40" t="n">
        <x:v>5389</x:v>
      </x:c>
      <x:c r="M1492" s="24" t="str">
        <x:v>-8.00 a +8.00</x:v>
      </x:c>
      <x:c r="N1492" s="24" t="str">
        <x:v>-6.00</x:v>
      </x:c>
      <x:c r="O1492" s="24" t="str">
        <x:v>-</x:v>
      </x:c>
      <x:c r="P1492" s="24" t="str">
        <x:v>70</x:v>
      </x:c>
      <x:c r="Q1492" s="24"/>
      <x:c r="R1492" s="24"/>
      <x:c r="S1492" s="26" t="n">
        <x:v>46113</x:v>
      </x:c>
      <x:c r="T1492" s="26"/>
      <x:c r="U1492" s="24" t="str">
        <x:v>ATIVA/SEM FIM INFORMADO</x:v>
      </x:c>
      <x:c r="V1492" s="24" t="str">
        <x:v>Programa de Parcerias ZEISS</x:v>
      </x:c>
      <x:c r="W1492" s="24" t="n">
        <x:v>15</x:v>
      </x:c>
      <x:c r="X1492" s="24" t="str">
        <x:v>tabela_zeiss.pdf</x:v>
      </x:c>
      <x:c r="Y1492" s="24" t="str">
        <x:v>alta</x:v>
      </x:c>
      <x:c r="Z1492" s="24"/>
      <x:c r="AA1492" s="24" t="str">
        <x:v>ZEISS|Visão Simples|Surfaçada|SmartLife Individual 3|PhotoFusion X|1.67|1.67|DURAVISION® ANTIVÍRUS PLATINUM UV|-8.00 a +8.00|-6.00|-|70|||15</x:v>
      </x:c>
    </x:row>
    <x:row r="1493">
      <x:c r="A1493" s="24" t="str">
        <x:v>ZS-D263DC90842C</x:v>
      </x:c>
      <x:c r="B1493" s="24" t="str">
        <x:v>SIM</x:v>
      </x:c>
      <x:c r="C1493" s="24" t="str">
        <x:v>DISPONÍVEL</x:v>
      </x:c>
      <x:c r="D1493" s="24" t="str">
        <x:v>ZEISS</x:v>
      </x:c>
      <x:c r="E1493" s="24" t="str">
        <x:v>Visão Simples</x:v>
      </x:c>
      <x:c r="F1493" s="24" t="str">
        <x:v>Surfaçada</x:v>
      </x:c>
      <x:c r="G1493" s="24" t="str">
        <x:v>SmartLife Individual 3</x:v>
      </x:c>
      <x:c r="H1493" s="24" t="str">
        <x:v>PhotoFusion X</x:v>
      </x:c>
      <x:c r="I1493" s="24" t="str">
        <x:v>1.67</x:v>
      </x:c>
      <x:c r="J1493" s="24" t="str">
        <x:v>1.67</x:v>
      </x:c>
      <x:c r="K1493" s="24" t="str">
        <x:v>DuraVision Platinum UV</x:v>
      </x:c>
      <x:c r="L1493" s="40" t="n">
        <x:v>5389</x:v>
      </x:c>
      <x:c r="M1493" s="24" t="str">
        <x:v>-8.00 a +8.00</x:v>
      </x:c>
      <x:c r="N1493" s="24" t="str">
        <x:v>-6.00</x:v>
      </x:c>
      <x:c r="O1493" s="24" t="str">
        <x:v>-</x:v>
      </x:c>
      <x:c r="P1493" s="24" t="str">
        <x:v>70</x:v>
      </x:c>
      <x:c r="Q1493" s="24"/>
      <x:c r="R1493" s="24"/>
      <x:c r="S1493" s="26" t="n">
        <x:v>46113</x:v>
      </x:c>
      <x:c r="T1493" s="26"/>
      <x:c r="U1493" s="24" t="str">
        <x:v>ATIVA/SEM FIM INFORMADO</x:v>
      </x:c>
      <x:c r="V1493" s="24" t="str">
        <x:v>Programa de Parcerias ZEISS</x:v>
      </x:c>
      <x:c r="W1493" s="24" t="n">
        <x:v>15</x:v>
      </x:c>
      <x:c r="X1493" s="24" t="str">
        <x:v>tabela_zeiss.pdf</x:v>
      </x:c>
      <x:c r="Y1493" s="24" t="str">
        <x:v>alta</x:v>
      </x:c>
      <x:c r="Z1493" s="24"/>
      <x:c r="AA1493" s="24" t="str">
        <x:v>ZEISS|Visão Simples|Surfaçada|SmartLife Individual 3|PhotoFusion X|1.67|1.67|DuraVision Platinum UV|-8.00 a +8.00|-6.00|-|70|||15</x:v>
      </x:c>
    </x:row>
    <x:row r="1494">
      <x:c r="A1494" s="24" t="str">
        <x:v>ZS-BC511DA7C1C4</x:v>
      </x:c>
      <x:c r="B1494" s="24" t="str">
        <x:v>SIM</x:v>
      </x:c>
      <x:c r="C1494" s="24" t="str">
        <x:v>DISPONÍVEL</x:v>
      </x:c>
      <x:c r="D1494" s="24" t="str">
        <x:v>ZEISS</x:v>
      </x:c>
      <x:c r="E1494" s="24" t="str">
        <x:v>Visão Simples</x:v>
      </x:c>
      <x:c r="F1494" s="24" t="str">
        <x:v>Surfaçada</x:v>
      </x:c>
      <x:c r="G1494" s="24" t="str">
        <x:v>SmartLife Individual 3</x:v>
      </x:c>
      <x:c r="H1494" s="24" t="str">
        <x:v>PhotoFusion X</x:v>
      </x:c>
      <x:c r="I1494" s="24" t="str">
        <x:v>1.67</x:v>
      </x:c>
      <x:c r="J1494" s="24" t="str">
        <x:v>1.67</x:v>
      </x:c>
      <x:c r="K1494" s="24" t="str">
        <x:v>DuraVision Silver UV</x:v>
      </x:c>
      <x:c r="L1494" s="40" t="n">
        <x:v>5129</x:v>
      </x:c>
      <x:c r="M1494" s="24" t="str">
        <x:v>-8.00 a +8.00</x:v>
      </x:c>
      <x:c r="N1494" s="24" t="str">
        <x:v>-6.00</x:v>
      </x:c>
      <x:c r="O1494" s="24" t="str">
        <x:v>-</x:v>
      </x:c>
      <x:c r="P1494" s="24" t="str">
        <x:v>70</x:v>
      </x:c>
      <x:c r="Q1494" s="24"/>
      <x:c r="R1494" s="24"/>
      <x:c r="S1494" s="26" t="n">
        <x:v>46113</x:v>
      </x:c>
      <x:c r="T1494" s="26"/>
      <x:c r="U1494" s="24" t="str">
        <x:v>ATIVA/SEM FIM INFORMADO</x:v>
      </x:c>
      <x:c r="V1494" s="24" t="str">
        <x:v>Programa de Parcerias ZEISS</x:v>
      </x:c>
      <x:c r="W1494" s="24" t="n">
        <x:v>15</x:v>
      </x:c>
      <x:c r="X1494" s="24" t="str">
        <x:v>tabela_zeiss.pdf</x:v>
      </x:c>
      <x:c r="Y1494" s="24" t="str">
        <x:v>alta</x:v>
      </x:c>
      <x:c r="Z1494" s="24"/>
      <x:c r="AA1494" s="24" t="str">
        <x:v>ZEISS|Visão Simples|Surfaçada|SmartLife Individual 3|PhotoFusion X|1.67|1.67|DuraVision Silver UV|-8.00 a +8.00|-6.00|-|70|||15</x:v>
      </x:c>
    </x:row>
    <x:row r="1495">
      <x:c r="A1495" s="24" t="str">
        <x:v>ZS-6968ED8503CB</x:v>
      </x:c>
      <x:c r="B1495" s="24" t="str">
        <x:v>SIM</x:v>
      </x:c>
      <x:c r="C1495" s="24" t="str">
        <x:v>DISPONÍVEL</x:v>
      </x:c>
      <x:c r="D1495" s="24" t="str">
        <x:v>ZEISS</x:v>
      </x:c>
      <x:c r="E1495" s="24" t="str">
        <x:v>Visão Simples</x:v>
      </x:c>
      <x:c r="F1495" s="24" t="str">
        <x:v>Surfaçada</x:v>
      </x:c>
      <x:c r="G1495" s="24" t="str">
        <x:v>SmartLife Individual 3</x:v>
      </x:c>
      <x:c r="H1495" s="24" t="str">
        <x:v>PhotoFusion X</x:v>
      </x:c>
      <x:c r="I1495" s="24" t="str">
        <x:v>1.67</x:v>
      </x:c>
      <x:c r="J1495" s="24" t="str">
        <x:v>1.67</x:v>
      </x:c>
      <x:c r="K1495" s="24" t="str">
        <x:v>DuraVision Chrome UV</x:v>
      </x:c>
      <x:c r="L1495" s="40" t="n">
        <x:v>4639</x:v>
      </x:c>
      <x:c r="M1495" s="24" t="str">
        <x:v>-8.00 a +8.00</x:v>
      </x:c>
      <x:c r="N1495" s="24" t="str">
        <x:v>-6.00</x:v>
      </x:c>
      <x:c r="O1495" s="24" t="str">
        <x:v>-</x:v>
      </x:c>
      <x:c r="P1495" s="24" t="str">
        <x:v>70</x:v>
      </x:c>
      <x:c r="Q1495" s="24"/>
      <x:c r="R1495" s="24"/>
      <x:c r="S1495" s="26" t="n">
        <x:v>46113</x:v>
      </x:c>
      <x:c r="T1495" s="26"/>
      <x:c r="U1495" s="24" t="str">
        <x:v>ATIVA/SEM FIM INFORMADO</x:v>
      </x:c>
      <x:c r="V1495" s="24" t="str">
        <x:v>Programa de Parcerias ZEISS</x:v>
      </x:c>
      <x:c r="W1495" s="24" t="n">
        <x:v>15</x:v>
      </x:c>
      <x:c r="X1495" s="24" t="str">
        <x:v>tabela_zeiss.pdf</x:v>
      </x:c>
      <x:c r="Y1495" s="24" t="str">
        <x:v>alta</x:v>
      </x:c>
      <x:c r="Z1495" s="24"/>
      <x:c r="AA1495" s="24" t="str">
        <x:v>ZEISS|Visão Simples|Surfaçada|SmartLife Individual 3|PhotoFusion X|1.67|1.67|DuraVision Chrome UV|-8.00 a +8.00|-6.00|-|70|||15</x:v>
      </x:c>
    </x:row>
    <x:row r="1496">
      <x:c r="A1496" s="24" t="str">
        <x:v>ZS-5A1CF3C713B5</x:v>
      </x:c>
      <x:c r="B1496" s="24" t="str">
        <x:v>SIM</x:v>
      </x:c>
      <x:c r="C1496" s="24" t="str">
        <x:v>DISPONÍVEL</x:v>
      </x:c>
      <x:c r="D1496" s="24" t="str">
        <x:v>ZEISS</x:v>
      </x:c>
      <x:c r="E1496" s="24" t="str">
        <x:v>Visão Simples</x:v>
      </x:c>
      <x:c r="F1496" s="24" t="str">
        <x:v>Surfaçada</x:v>
      </x:c>
      <x:c r="G1496" s="24" t="str">
        <x:v>SmartLife Individual 3</x:v>
      </x:c>
      <x:c r="H1496" s="24" t="str">
        <x:v>PhotoFusion X Extra Dark Cinza</x:v>
      </x:c>
      <x:c r="I1496" s="24" t="str">
        <x:v>1.5</x:v>
      </x:c>
      <x:c r="J1496" s="24" t="str">
        <x:v>1.50</x:v>
      </x:c>
      <x:c r="K1496" s="24" t="str">
        <x:v>DuraVision Gold UV</x:v>
      </x:c>
      <x:c r="L1496" s="40" t="n">
        <x:v>3699</x:v>
      </x:c>
      <x:c r="M1496" s="24" t="str">
        <x:v>-6.00 a +6.00</x:v>
      </x:c>
      <x:c r="N1496" s="24" t="str">
        <x:v>-4.00</x:v>
      </x:c>
      <x:c r="O1496" s="24" t="str">
        <x:v>-</x:v>
      </x:c>
      <x:c r="P1496" s="24" t="str">
        <x:v>75</x:v>
      </x:c>
      <x:c r="Q1496" s="24"/>
      <x:c r="R1496" s="24"/>
      <x:c r="S1496" s="26" t="n">
        <x:v>46113</x:v>
      </x:c>
      <x:c r="T1496" s="26"/>
      <x:c r="U1496" s="24" t="str">
        <x:v>ATIVA/SEM FIM INFORMADO</x:v>
      </x:c>
      <x:c r="V1496" s="24" t="str">
        <x:v>Programa de Parcerias ZEISS</x:v>
      </x:c>
      <x:c r="W1496" s="24" t="n">
        <x:v>15</x:v>
      </x:c>
      <x:c r="X1496" s="24" t="str">
        <x:v>tabela_zeiss.pdf</x:v>
      </x:c>
      <x:c r="Y1496" s="24" t="str">
        <x:v>alta</x:v>
      </x:c>
      <x:c r="Z1496" s="24"/>
      <x:c r="AA1496" s="24" t="str">
        <x:v>ZEISS|Visão Simples|Surfaçada|SmartLife Individual 3|PhotoFusion X Extra Dark Cinza|1.5|1.50|DuraVision Gold UV|-6.00 a +6.00|-4.00|-|75|||15</x:v>
      </x:c>
    </x:row>
    <x:row r="1497">
      <x:c r="A1497" s="24" t="str">
        <x:v>ZS-A08CD317CFA8</x:v>
      </x:c>
      <x:c r="B1497" s="24" t="str">
        <x:v>SIM</x:v>
      </x:c>
      <x:c r="C1497" s="24" t="str">
        <x:v>DISPONÍVEL</x:v>
      </x:c>
      <x:c r="D1497" s="24" t="str">
        <x:v>ZEISS</x:v>
      </x:c>
      <x:c r="E1497" s="24" t="str">
        <x:v>Visão Simples</x:v>
      </x:c>
      <x:c r="F1497" s="24" t="str">
        <x:v>Surfaçada</x:v>
      </x:c>
      <x:c r="G1497" s="24" t="str">
        <x:v>SmartLife Individual 3</x:v>
      </x:c>
      <x:c r="H1497" s="24" t="str">
        <x:v>PhotoFusion X Extra Dark Cinza</x:v>
      </x:c>
      <x:c r="I1497" s="24" t="str">
        <x:v>1.5</x:v>
      </x:c>
      <x:c r="J1497" s="24" t="str">
        <x:v>1.50</x:v>
      </x:c>
      <x:c r="K1497" s="24" t="str">
        <x:v>DURAVISION® ANTIVÍRUS PLATINUM UV</x:v>
      </x:c>
      <x:c r="L1497" s="40" t="n">
        <x:v>3559</x:v>
      </x:c>
      <x:c r="M1497" s="24" t="str">
        <x:v>-6.00 a +6.00</x:v>
      </x:c>
      <x:c r="N1497" s="24" t="str">
        <x:v>-4.00</x:v>
      </x:c>
      <x:c r="O1497" s="24" t="str">
        <x:v>-</x:v>
      </x:c>
      <x:c r="P1497" s="24" t="str">
        <x:v>75</x:v>
      </x:c>
      <x:c r="Q1497" s="24"/>
      <x:c r="R1497" s="24"/>
      <x:c r="S1497" s="26" t="n">
        <x:v>46113</x:v>
      </x:c>
      <x:c r="T1497" s="26"/>
      <x:c r="U1497" s="24" t="str">
        <x:v>ATIVA/SEM FIM INFORMADO</x:v>
      </x:c>
      <x:c r="V1497" s="24" t="str">
        <x:v>Programa de Parcerias ZEISS</x:v>
      </x:c>
      <x:c r="W1497" s="24" t="n">
        <x:v>15</x:v>
      </x:c>
      <x:c r="X1497" s="24" t="str">
        <x:v>tabela_zeiss.pdf</x:v>
      </x:c>
      <x:c r="Y1497" s="24" t="str">
        <x:v>alta</x:v>
      </x:c>
      <x:c r="Z1497" s="24"/>
      <x:c r="AA1497" s="24" t="str">
        <x:v>ZEISS|Visão Simples|Surfaçada|SmartLife Individual 3|PhotoFusion X Extra Dark Cinza|1.5|1.50|DURAVISION® ANTIVÍRUS PLATINUM UV|-6.00 a +6.00|-4.00|-|75|||15</x:v>
      </x:c>
    </x:row>
    <x:row r="1498">
      <x:c r="A1498" s="24" t="str">
        <x:v>ZS-18F6A71C8841</x:v>
      </x:c>
      <x:c r="B1498" s="24" t="str">
        <x:v>SIM</x:v>
      </x:c>
      <x:c r="C1498" s="24" t="str">
        <x:v>DISPONÍVEL</x:v>
      </x:c>
      <x:c r="D1498" s="24" t="str">
        <x:v>ZEISS</x:v>
      </x:c>
      <x:c r="E1498" s="24" t="str">
        <x:v>Visão Simples</x:v>
      </x:c>
      <x:c r="F1498" s="24" t="str">
        <x:v>Surfaçada</x:v>
      </x:c>
      <x:c r="G1498" s="24" t="str">
        <x:v>SmartLife Individual 3</x:v>
      </x:c>
      <x:c r="H1498" s="24" t="str">
        <x:v>PhotoFusion X Extra Dark Cinza</x:v>
      </x:c>
      <x:c r="I1498" s="24" t="str">
        <x:v>1.5</x:v>
      </x:c>
      <x:c r="J1498" s="24" t="str">
        <x:v>1.50</x:v>
      </x:c>
      <x:c r="K1498" s="24" t="str">
        <x:v>DuraVision Platinum UV</x:v>
      </x:c>
      <x:c r="L1498" s="40" t="n">
        <x:v>3559</x:v>
      </x:c>
      <x:c r="M1498" s="24" t="str">
        <x:v>-6.00 a +6.00</x:v>
      </x:c>
      <x:c r="N1498" s="24" t="str">
        <x:v>-4.00</x:v>
      </x:c>
      <x:c r="O1498" s="24" t="str">
        <x:v>-</x:v>
      </x:c>
      <x:c r="P1498" s="24" t="str">
        <x:v>75</x:v>
      </x:c>
      <x:c r="Q1498" s="24"/>
      <x:c r="R1498" s="24"/>
      <x:c r="S1498" s="26" t="n">
        <x:v>46113</x:v>
      </x:c>
      <x:c r="T1498" s="26"/>
      <x:c r="U1498" s="24" t="str">
        <x:v>ATIVA/SEM FIM INFORMADO</x:v>
      </x:c>
      <x:c r="V1498" s="24" t="str">
        <x:v>Programa de Parcerias ZEISS</x:v>
      </x:c>
      <x:c r="W1498" s="24" t="n">
        <x:v>15</x:v>
      </x:c>
      <x:c r="X1498" s="24" t="str">
        <x:v>tabela_zeiss.pdf</x:v>
      </x:c>
      <x:c r="Y1498" s="24" t="str">
        <x:v>alta</x:v>
      </x:c>
      <x:c r="Z1498" s="24"/>
      <x:c r="AA1498" s="24" t="str">
        <x:v>ZEISS|Visão Simples|Surfaçada|SmartLife Individual 3|PhotoFusion X Extra Dark Cinza|1.5|1.50|DuraVision Platinum UV|-6.00 a +6.00|-4.00|-|75|||15</x:v>
      </x:c>
    </x:row>
    <x:row r="1499">
      <x:c r="A1499" s="24" t="str">
        <x:v>ZS-616E81C6B7E0</x:v>
      </x:c>
      <x:c r="B1499" s="24" t="str">
        <x:v>SIM</x:v>
      </x:c>
      <x:c r="C1499" s="24" t="str">
        <x:v>DISPONÍVEL</x:v>
      </x:c>
      <x:c r="D1499" s="24" t="str">
        <x:v>ZEISS</x:v>
      </x:c>
      <x:c r="E1499" s="24" t="str">
        <x:v>Visão Simples</x:v>
      </x:c>
      <x:c r="F1499" s="24" t="str">
        <x:v>Surfaçada</x:v>
      </x:c>
      <x:c r="G1499" s="24" t="str">
        <x:v>SmartLife Individual 3</x:v>
      </x:c>
      <x:c r="H1499" s="24" t="str">
        <x:v>PhotoFusion X Extra Dark Cinza</x:v>
      </x:c>
      <x:c r="I1499" s="24" t="str">
        <x:v>1.5</x:v>
      </x:c>
      <x:c r="J1499" s="24" t="str">
        <x:v>1.50</x:v>
      </x:c>
      <x:c r="K1499" s="24" t="str">
        <x:v>DuraVision Silver UV</x:v>
      </x:c>
      <x:c r="L1499" s="40" t="n">
        <x:v>3299</x:v>
      </x:c>
      <x:c r="M1499" s="24" t="str">
        <x:v>-6.00 a +6.00</x:v>
      </x:c>
      <x:c r="N1499" s="24" t="str">
        <x:v>-4.00</x:v>
      </x:c>
      <x:c r="O1499" s="24" t="str">
        <x:v>-</x:v>
      </x:c>
      <x:c r="P1499" s="24" t="str">
        <x:v>75</x:v>
      </x:c>
      <x:c r="Q1499" s="24"/>
      <x:c r="R1499" s="24"/>
      <x:c r="S1499" s="26" t="n">
        <x:v>46113</x:v>
      </x:c>
      <x:c r="T1499" s="26"/>
      <x:c r="U1499" s="24" t="str">
        <x:v>ATIVA/SEM FIM INFORMADO</x:v>
      </x:c>
      <x:c r="V1499" s="24" t="str">
        <x:v>Programa de Parcerias ZEISS</x:v>
      </x:c>
      <x:c r="W1499" s="24" t="n">
        <x:v>15</x:v>
      </x:c>
      <x:c r="X1499" s="24" t="str">
        <x:v>tabela_zeiss.pdf</x:v>
      </x:c>
      <x:c r="Y1499" s="24" t="str">
        <x:v>alta</x:v>
      </x:c>
      <x:c r="Z1499" s="24"/>
      <x:c r="AA1499" s="24" t="str">
        <x:v>ZEISS|Visão Simples|Surfaçada|SmartLife Individual 3|PhotoFusion X Extra Dark Cinza|1.5|1.50|DuraVision Silver UV|-6.00 a +6.00|-4.00|-|75|||15</x:v>
      </x:c>
    </x:row>
    <x:row r="1500">
      <x:c r="A1500" s="24" t="str">
        <x:v>ZS-2C27756BD67C</x:v>
      </x:c>
      <x:c r="B1500" s="24" t="str">
        <x:v>SIM</x:v>
      </x:c>
      <x:c r="C1500" s="24" t="str">
        <x:v>DISPONÍVEL</x:v>
      </x:c>
      <x:c r="D1500" s="24" t="str">
        <x:v>ZEISS</x:v>
      </x:c>
      <x:c r="E1500" s="24" t="str">
        <x:v>Visão Simples</x:v>
      </x:c>
      <x:c r="F1500" s="24" t="str">
        <x:v>Surfaçada</x:v>
      </x:c>
      <x:c r="G1500" s="24" t="str">
        <x:v>SmartLife Individual 3</x:v>
      </x:c>
      <x:c r="H1500" s="24" t="str">
        <x:v>PhotoFusion X Extra Dark Cinza</x:v>
      </x:c>
      <x:c r="I1500" s="24" t="str">
        <x:v>1.5</x:v>
      </x:c>
      <x:c r="J1500" s="24" t="str">
        <x:v>1.50</x:v>
      </x:c>
      <x:c r="K1500" s="24" t="str">
        <x:v>DuraVision Chrome UV</x:v>
      </x:c>
      <x:c r="L1500" s="40" t="n">
        <x:v>2809</x:v>
      </x:c>
      <x:c r="M1500" s="24" t="str">
        <x:v>-6.00 a +6.00</x:v>
      </x:c>
      <x:c r="N1500" s="24" t="str">
        <x:v>-4.00</x:v>
      </x:c>
      <x:c r="O1500" s="24" t="str">
        <x:v>-</x:v>
      </x:c>
      <x:c r="P1500" s="24" t="str">
        <x:v>75</x:v>
      </x:c>
      <x:c r="Q1500" s="24"/>
      <x:c r="R1500" s="24"/>
      <x:c r="S1500" s="26" t="n">
        <x:v>46113</x:v>
      </x:c>
      <x:c r="T1500" s="26"/>
      <x:c r="U1500" s="24" t="str">
        <x:v>ATIVA/SEM FIM INFORMADO</x:v>
      </x:c>
      <x:c r="V1500" s="24" t="str">
        <x:v>Programa de Parcerias ZEISS</x:v>
      </x:c>
      <x:c r="W1500" s="24" t="n">
        <x:v>15</x:v>
      </x:c>
      <x:c r="X1500" s="24" t="str">
        <x:v>tabela_zeiss.pdf</x:v>
      </x:c>
      <x:c r="Y1500" s="24" t="str">
        <x:v>alta</x:v>
      </x:c>
      <x:c r="Z1500" s="24"/>
      <x:c r="AA1500" s="24" t="str">
        <x:v>ZEISS|Visão Simples|Surfaçada|SmartLife Individual 3|PhotoFusion X Extra Dark Cinza|1.5|1.50|DuraVision Chrome UV|-6.00 a +6.00|-4.00|-|75|||15</x:v>
      </x:c>
    </x:row>
    <x:row r="1501">
      <x:c r="A1501" s="24" t="str">
        <x:v>ZS-795E1E4B0152</x:v>
      </x:c>
      <x:c r="B1501" s="24" t="str">
        <x:v>SIM</x:v>
      </x:c>
      <x:c r="C1501" s="24" t="str">
        <x:v>DISPONÍVEL</x:v>
      </x:c>
      <x:c r="D1501" s="24" t="str">
        <x:v>ZEISS</x:v>
      </x:c>
      <x:c r="E1501" s="24" t="str">
        <x:v>Visão Simples</x:v>
      </x:c>
      <x:c r="F1501" s="24" t="str">
        <x:v>Surfaçada</x:v>
      </x:c>
      <x:c r="G1501" s="24" t="str">
        <x:v>SmartLife Individual 3</x:v>
      </x:c>
      <x:c r="H1501" s="24" t="str">
        <x:v>PhotoFusion X Extra Dark Cinza</x:v>
      </x:c>
      <x:c r="I1501" s="24" t="str">
        <x:v>Poli</x:v>
      </x:c>
      <x:c r="J1501" s="24"/>
      <x:c r="K1501" s="24" t="str">
        <x:v>DuraVision Gold UV</x:v>
      </x:c>
      <x:c r="L1501" s="40" t="n">
        <x:v>4059</x:v>
      </x:c>
      <x:c r="M1501" s="24" t="str">
        <x:v>-10.00 a +8.00</x:v>
      </x:c>
      <x:c r="N1501" s="24" t="str">
        <x:v>-4.00</x:v>
      </x:c>
      <x:c r="O1501" s="24" t="str">
        <x:v>-</x:v>
      </x:c>
      <x:c r="P1501" s="24" t="str">
        <x:v>70</x:v>
      </x:c>
      <x:c r="Q1501" s="24"/>
      <x:c r="R1501" s="24"/>
      <x:c r="S1501" s="26" t="n">
        <x:v>46113</x:v>
      </x:c>
      <x:c r="T1501" s="26"/>
      <x:c r="U1501" s="24" t="str">
        <x:v>ATIVA/SEM FIM INFORMADO</x:v>
      </x:c>
      <x:c r="V1501" s="24" t="str">
        <x:v>Programa de Parcerias ZEISS</x:v>
      </x:c>
      <x:c r="W1501" s="24" t="n">
        <x:v>15</x:v>
      </x:c>
      <x:c r="X1501" s="24" t="str">
        <x:v>tabela_zeiss.pdf</x:v>
      </x:c>
      <x:c r="Y1501" s="24" t="str">
        <x:v>alta</x:v>
      </x:c>
      <x:c r="Z1501" s="24"/>
      <x:c r="AA1501" s="24" t="str">
        <x:v>ZEISS|Visão Simples|Surfaçada|SmartLife Individual 3|PhotoFusion X Extra Dark Cinza|Poli||DuraVision Gold UV|-10.00 a +8.00|-4.00|-|70|||15</x:v>
      </x:c>
    </x:row>
    <x:row r="1502">
      <x:c r="A1502" s="24" t="str">
        <x:v>ZS-589AB3AB9AF9</x:v>
      </x:c>
      <x:c r="B1502" s="24" t="str">
        <x:v>SIM</x:v>
      </x:c>
      <x:c r="C1502" s="24" t="str">
        <x:v>DISPONÍVEL</x:v>
      </x:c>
      <x:c r="D1502" s="24" t="str">
        <x:v>ZEISS</x:v>
      </x:c>
      <x:c r="E1502" s="24" t="str">
        <x:v>Visão Simples</x:v>
      </x:c>
      <x:c r="F1502" s="24" t="str">
        <x:v>Surfaçada</x:v>
      </x:c>
      <x:c r="G1502" s="24" t="str">
        <x:v>SmartLife Individual 3</x:v>
      </x:c>
      <x:c r="H1502" s="24" t="str">
        <x:v>PhotoFusion X Extra Dark Cinza</x:v>
      </x:c>
      <x:c r="I1502" s="24" t="str">
        <x:v>Poli</x:v>
      </x:c>
      <x:c r="J1502" s="24"/>
      <x:c r="K1502" s="24" t="str">
        <x:v>DuraVision Platinum UV</x:v>
      </x:c>
      <x:c r="L1502" s="40" t="n">
        <x:v>3919</x:v>
      </x:c>
      <x:c r="M1502" s="24" t="str">
        <x:v>-10.00 a +8.00</x:v>
      </x:c>
      <x:c r="N1502" s="24" t="str">
        <x:v>-4.00</x:v>
      </x:c>
      <x:c r="O1502" s="24" t="str">
        <x:v>-</x:v>
      </x:c>
      <x:c r="P1502" s="24" t="str">
        <x:v>70</x:v>
      </x:c>
      <x:c r="Q1502" s="24"/>
      <x:c r="R1502" s="24"/>
      <x:c r="S1502" s="26" t="n">
        <x:v>46113</x:v>
      </x:c>
      <x:c r="T1502" s="26"/>
      <x:c r="U1502" s="24" t="str">
        <x:v>ATIVA/SEM FIM INFORMADO</x:v>
      </x:c>
      <x:c r="V1502" s="24" t="str">
        <x:v>Programa de Parcerias ZEISS</x:v>
      </x:c>
      <x:c r="W1502" s="24" t="n">
        <x:v>15</x:v>
      </x:c>
      <x:c r="X1502" s="24" t="str">
        <x:v>tabela_zeiss.pdf</x:v>
      </x:c>
      <x:c r="Y1502" s="24" t="str">
        <x:v>alta</x:v>
      </x:c>
      <x:c r="Z1502" s="24"/>
      <x:c r="AA1502" s="24" t="str">
        <x:v>ZEISS|Visão Simples|Surfaçada|SmartLife Individual 3|PhotoFusion X Extra Dark Cinza|Poli||DuraVision Platinum UV|-10.00 a +8.00|-4.00|-|70|||15</x:v>
      </x:c>
    </x:row>
    <x:row r="1503">
      <x:c r="A1503" s="24" t="str">
        <x:v>ZS-36917D245BBA</x:v>
      </x:c>
      <x:c r="B1503" s="24" t="str">
        <x:v>SIM</x:v>
      </x:c>
      <x:c r="C1503" s="24" t="str">
        <x:v>DISPONÍVEL</x:v>
      </x:c>
      <x:c r="D1503" s="24" t="str">
        <x:v>ZEISS</x:v>
      </x:c>
      <x:c r="E1503" s="24" t="str">
        <x:v>Visão Simples</x:v>
      </x:c>
      <x:c r="F1503" s="24" t="str">
        <x:v>Surfaçada</x:v>
      </x:c>
      <x:c r="G1503" s="24" t="str">
        <x:v>SmartLife Individual 3</x:v>
      </x:c>
      <x:c r="H1503" s="24" t="str">
        <x:v>PhotoFusion X Extra Dark Cinza</x:v>
      </x:c>
      <x:c r="I1503" s="24" t="str">
        <x:v>Poli</x:v>
      </x:c>
      <x:c r="J1503" s="24"/>
      <x:c r="K1503" s="24" t="str">
        <x:v>DuraVision Silver UV</x:v>
      </x:c>
      <x:c r="L1503" s="40" t="n">
        <x:v>3659</x:v>
      </x:c>
      <x:c r="M1503" s="24" t="str">
        <x:v>-10.00 a +8.00</x:v>
      </x:c>
      <x:c r="N1503" s="24" t="str">
        <x:v>-4.00</x:v>
      </x:c>
      <x:c r="O1503" s="24" t="str">
        <x:v>-</x:v>
      </x:c>
      <x:c r="P1503" s="24" t="str">
        <x:v>70</x:v>
      </x:c>
      <x:c r="Q1503" s="24"/>
      <x:c r="R1503" s="24"/>
      <x:c r="S1503" s="26" t="n">
        <x:v>46113</x:v>
      </x:c>
      <x:c r="T1503" s="26"/>
      <x:c r="U1503" s="24" t="str">
        <x:v>ATIVA/SEM FIM INFORMADO</x:v>
      </x:c>
      <x:c r="V1503" s="24" t="str">
        <x:v>Programa de Parcerias ZEISS</x:v>
      </x:c>
      <x:c r="W1503" s="24" t="n">
        <x:v>15</x:v>
      </x:c>
      <x:c r="X1503" s="24" t="str">
        <x:v>tabela_zeiss.pdf</x:v>
      </x:c>
      <x:c r="Y1503" s="24" t="str">
        <x:v>alta</x:v>
      </x:c>
      <x:c r="Z1503" s="24"/>
      <x:c r="AA1503" s="24" t="str">
        <x:v>ZEISS|Visão Simples|Surfaçada|SmartLife Individual 3|PhotoFusion X Extra Dark Cinza|Poli||DuraVision Silver UV|-10.00 a +8.00|-4.00|-|70|||15</x:v>
      </x:c>
    </x:row>
    <x:row r="1504">
      <x:c r="A1504" s="24" t="str">
        <x:v>ZS-09394FE139FC</x:v>
      </x:c>
      <x:c r="B1504" s="24" t="str">
        <x:v>SIM</x:v>
      </x:c>
      <x:c r="C1504" s="24" t="str">
        <x:v>DISPONÍVEL</x:v>
      </x:c>
      <x:c r="D1504" s="24" t="str">
        <x:v>ZEISS</x:v>
      </x:c>
      <x:c r="E1504" s="24" t="str">
        <x:v>Visão Simples</x:v>
      </x:c>
      <x:c r="F1504" s="24" t="str">
        <x:v>Surfaçada</x:v>
      </x:c>
      <x:c r="G1504" s="24" t="str">
        <x:v>SmartLife Individual 3</x:v>
      </x:c>
      <x:c r="H1504" s="24" t="str">
        <x:v>PhotoFusion X Extra Dark Cinza</x:v>
      </x:c>
      <x:c r="I1504" s="24" t="str">
        <x:v>Poli</x:v>
      </x:c>
      <x:c r="J1504" s="24"/>
      <x:c r="K1504" s="24" t="str">
        <x:v>DuraVision Chrome UV</x:v>
      </x:c>
      <x:c r="L1504" s="40" t="n">
        <x:v>3169</x:v>
      </x:c>
      <x:c r="M1504" s="24" t="str">
        <x:v>-10.00 a +8.00</x:v>
      </x:c>
      <x:c r="N1504" s="24" t="str">
        <x:v>-4.00</x:v>
      </x:c>
      <x:c r="O1504" s="24" t="str">
        <x:v>-</x:v>
      </x:c>
      <x:c r="P1504" s="24" t="str">
        <x:v>70</x:v>
      </x:c>
      <x:c r="Q1504" s="24"/>
      <x:c r="R1504" s="24"/>
      <x:c r="S1504" s="26" t="n">
        <x:v>46113</x:v>
      </x:c>
      <x:c r="T1504" s="26"/>
      <x:c r="U1504" s="24" t="str">
        <x:v>ATIVA/SEM FIM INFORMADO</x:v>
      </x:c>
      <x:c r="V1504" s="24" t="str">
        <x:v>Programa de Parcerias ZEISS</x:v>
      </x:c>
      <x:c r="W1504" s="24" t="n">
        <x:v>15</x:v>
      </x:c>
      <x:c r="X1504" s="24" t="str">
        <x:v>tabela_zeiss.pdf</x:v>
      </x:c>
      <x:c r="Y1504" s="24" t="str">
        <x:v>alta</x:v>
      </x:c>
      <x:c r="Z1504" s="24"/>
      <x:c r="AA1504" s="24" t="str">
        <x:v>ZEISS|Visão Simples|Surfaçada|SmartLife Individual 3|PhotoFusion X Extra Dark Cinza|Poli||DuraVision Chrome UV|-10.00 a +8.00|-4.00|-|70|||15</x:v>
      </x:c>
    </x:row>
    <x:row r="1505">
      <x:c r="A1505" s="24" t="str">
        <x:v>ZS-08CC04AD8388</x:v>
      </x:c>
      <x:c r="B1505" s="24" t="str">
        <x:v>SIM</x:v>
      </x:c>
      <x:c r="C1505" s="24" t="str">
        <x:v>DISPONÍVEL</x:v>
      </x:c>
      <x:c r="D1505" s="24" t="str">
        <x:v>ZEISS</x:v>
      </x:c>
      <x:c r="E1505" s="24" t="str">
        <x:v>Visão Simples</x:v>
      </x:c>
      <x:c r="F1505" s="24" t="str">
        <x:v>Surfaçada</x:v>
      </x:c>
      <x:c r="G1505" s="24" t="str">
        <x:v>SmartLife Individual 3</x:v>
      </x:c>
      <x:c r="H1505" s="24" t="str">
        <x:v>PhotoFusion X Extra Dark Cinza</x:v>
      </x:c>
      <x:c r="I1505" s="24" t="str">
        <x:v>1.6</x:v>
      </x:c>
      <x:c r="J1505" s="24" t="str">
        <x:v>1.60</x:v>
      </x:c>
      <x:c r="K1505" s="24" t="str">
        <x:v>DuraVision Gold UV</x:v>
      </x:c>
      <x:c r="L1505" s="40" t="n">
        <x:v>4279</x:v>
      </x:c>
      <x:c r="M1505" s="24" t="str">
        <x:v>-6.00 a +8.00</x:v>
      </x:c>
      <x:c r="N1505" s="24" t="str">
        <x:v>-4.00</x:v>
      </x:c>
      <x:c r="O1505" s="24" t="str">
        <x:v>-</x:v>
      </x:c>
      <x:c r="P1505" s="24" t="str">
        <x:v>75</x:v>
      </x:c>
      <x:c r="Q1505" s="24"/>
      <x:c r="R1505" s="24"/>
      <x:c r="S1505" s="26" t="n">
        <x:v>46113</x:v>
      </x:c>
      <x:c r="T1505" s="26"/>
      <x:c r="U1505" s="24" t="str">
        <x:v>ATIVA/SEM FIM INFORMADO</x:v>
      </x:c>
      <x:c r="V1505" s="24" t="str">
        <x:v>Programa de Parcerias ZEISS</x:v>
      </x:c>
      <x:c r="W1505" s="24" t="n">
        <x:v>15</x:v>
      </x:c>
      <x:c r="X1505" s="24" t="str">
        <x:v>tabela_zeiss.pdf</x:v>
      </x:c>
      <x:c r="Y1505" s="24" t="str">
        <x:v>alta</x:v>
      </x:c>
      <x:c r="Z1505" s="24"/>
      <x:c r="AA1505" s="24" t="str">
        <x:v>ZEISS|Visão Simples|Surfaçada|SmartLife Individual 3|PhotoFusion X Extra Dark Cinza|1.6|1.60|DuraVision Gold UV|-6.00 a +8.00|-4.00|-|75|||15</x:v>
      </x:c>
    </x:row>
    <x:row r="1506">
      <x:c r="A1506" s="24" t="str">
        <x:v>ZS-C7CD133421B4</x:v>
      </x:c>
      <x:c r="B1506" s="24" t="str">
        <x:v>SIM</x:v>
      </x:c>
      <x:c r="C1506" s="24" t="str">
        <x:v>DISPONÍVEL</x:v>
      </x:c>
      <x:c r="D1506" s="24" t="str">
        <x:v>ZEISS</x:v>
      </x:c>
      <x:c r="E1506" s="24" t="str">
        <x:v>Visão Simples</x:v>
      </x:c>
      <x:c r="F1506" s="24" t="str">
        <x:v>Surfaçada</x:v>
      </x:c>
      <x:c r="G1506" s="24" t="str">
        <x:v>SmartLife Individual 3</x:v>
      </x:c>
      <x:c r="H1506" s="24" t="str">
        <x:v>PhotoFusion X Extra Dark Cinza</x:v>
      </x:c>
      <x:c r="I1506" s="24" t="str">
        <x:v>1.6</x:v>
      </x:c>
      <x:c r="J1506" s="24" t="str">
        <x:v>1.60</x:v>
      </x:c>
      <x:c r="K1506" s="24" t="str">
        <x:v>DURAVISION® ANTIVÍRUS PLATINUM UV</x:v>
      </x:c>
      <x:c r="L1506" s="40" t="n">
        <x:v>4139</x:v>
      </x:c>
      <x:c r="M1506" s="24" t="str">
        <x:v>-6.00 a +8.00</x:v>
      </x:c>
      <x:c r="N1506" s="24" t="str">
        <x:v>-4.00</x:v>
      </x:c>
      <x:c r="O1506" s="24" t="str">
        <x:v>-</x:v>
      </x:c>
      <x:c r="P1506" s="24" t="str">
        <x:v>75</x:v>
      </x:c>
      <x:c r="Q1506" s="24"/>
      <x:c r="R1506" s="24"/>
      <x:c r="S1506" s="26" t="n">
        <x:v>46113</x:v>
      </x:c>
      <x:c r="T1506" s="26"/>
      <x:c r="U1506" s="24" t="str">
        <x:v>ATIVA/SEM FIM INFORMADO</x:v>
      </x:c>
      <x:c r="V1506" s="24" t="str">
        <x:v>Programa de Parcerias ZEISS</x:v>
      </x:c>
      <x:c r="W1506" s="24" t="n">
        <x:v>15</x:v>
      </x:c>
      <x:c r="X1506" s="24" t="str">
        <x:v>tabela_zeiss.pdf</x:v>
      </x:c>
      <x:c r="Y1506" s="24" t="str">
        <x:v>alta</x:v>
      </x:c>
      <x:c r="Z1506" s="24"/>
      <x:c r="AA1506" s="24" t="str">
        <x:v>ZEISS|Visão Simples|Surfaçada|SmartLife Individual 3|PhotoFusion X Extra Dark Cinza|1.6|1.60|DURAVISION® ANTIVÍRUS PLATINUM UV|-6.00 a +8.00|-4.00|-|75|||15</x:v>
      </x:c>
    </x:row>
    <x:row r="1507">
      <x:c r="A1507" s="24" t="str">
        <x:v>ZS-C629EE9077E7</x:v>
      </x:c>
      <x:c r="B1507" s="24" t="str">
        <x:v>SIM</x:v>
      </x:c>
      <x:c r="C1507" s="24" t="str">
        <x:v>DISPONÍVEL</x:v>
      </x:c>
      <x:c r="D1507" s="24" t="str">
        <x:v>ZEISS</x:v>
      </x:c>
      <x:c r="E1507" s="24" t="str">
        <x:v>Visão Simples</x:v>
      </x:c>
      <x:c r="F1507" s="24" t="str">
        <x:v>Surfaçada</x:v>
      </x:c>
      <x:c r="G1507" s="24" t="str">
        <x:v>SmartLife Individual 3</x:v>
      </x:c>
      <x:c r="H1507" s="24" t="str">
        <x:v>PhotoFusion X Extra Dark Cinza</x:v>
      </x:c>
      <x:c r="I1507" s="24" t="str">
        <x:v>1.6</x:v>
      </x:c>
      <x:c r="J1507" s="24" t="str">
        <x:v>1.60</x:v>
      </x:c>
      <x:c r="K1507" s="24" t="str">
        <x:v>DuraVision Platinum UV</x:v>
      </x:c>
      <x:c r="L1507" s="40" t="n">
        <x:v>4139</x:v>
      </x:c>
      <x:c r="M1507" s="24" t="str">
        <x:v>-6.00 a +8.00</x:v>
      </x:c>
      <x:c r="N1507" s="24" t="str">
        <x:v>-4.00</x:v>
      </x:c>
      <x:c r="O1507" s="24" t="str">
        <x:v>-</x:v>
      </x:c>
      <x:c r="P1507" s="24" t="str">
        <x:v>75</x:v>
      </x:c>
      <x:c r="Q1507" s="24"/>
      <x:c r="R1507" s="24"/>
      <x:c r="S1507" s="26" t="n">
        <x:v>46113</x:v>
      </x:c>
      <x:c r="T1507" s="26"/>
      <x:c r="U1507" s="24" t="str">
        <x:v>ATIVA/SEM FIM INFORMADO</x:v>
      </x:c>
      <x:c r="V1507" s="24" t="str">
        <x:v>Programa de Parcerias ZEISS</x:v>
      </x:c>
      <x:c r="W1507" s="24" t="n">
        <x:v>15</x:v>
      </x:c>
      <x:c r="X1507" s="24" t="str">
        <x:v>tabela_zeiss.pdf</x:v>
      </x:c>
      <x:c r="Y1507" s="24" t="str">
        <x:v>alta</x:v>
      </x:c>
      <x:c r="Z1507" s="24"/>
      <x:c r="AA1507" s="24" t="str">
        <x:v>ZEISS|Visão Simples|Surfaçada|SmartLife Individual 3|PhotoFusion X Extra Dark Cinza|1.6|1.60|DuraVision Platinum UV|-6.00 a +8.00|-4.00|-|75|||15</x:v>
      </x:c>
    </x:row>
    <x:row r="1508">
      <x:c r="A1508" s="24" t="str">
        <x:v>ZS-44B9EED83CA3</x:v>
      </x:c>
      <x:c r="B1508" s="24" t="str">
        <x:v>SIM</x:v>
      </x:c>
      <x:c r="C1508" s="24" t="str">
        <x:v>DISPONÍVEL</x:v>
      </x:c>
      <x:c r="D1508" s="24" t="str">
        <x:v>ZEISS</x:v>
      </x:c>
      <x:c r="E1508" s="24" t="str">
        <x:v>Visão Simples</x:v>
      </x:c>
      <x:c r="F1508" s="24" t="str">
        <x:v>Surfaçada</x:v>
      </x:c>
      <x:c r="G1508" s="24" t="str">
        <x:v>SmartLife Individual 3</x:v>
      </x:c>
      <x:c r="H1508" s="24" t="str">
        <x:v>PhotoFusion X Extra Dark Cinza</x:v>
      </x:c>
      <x:c r="I1508" s="24" t="str">
        <x:v>1.6</x:v>
      </x:c>
      <x:c r="J1508" s="24" t="str">
        <x:v>1.60</x:v>
      </x:c>
      <x:c r="K1508" s="24" t="str">
        <x:v>DuraVision Silver UV</x:v>
      </x:c>
      <x:c r="L1508" s="40" t="n">
        <x:v>3879</x:v>
      </x:c>
      <x:c r="M1508" s="24" t="str">
        <x:v>-6.00 a +8.00</x:v>
      </x:c>
      <x:c r="N1508" s="24" t="str">
        <x:v>-4.00</x:v>
      </x:c>
      <x:c r="O1508" s="24" t="str">
        <x:v>-</x:v>
      </x:c>
      <x:c r="P1508" s="24" t="str">
        <x:v>75</x:v>
      </x:c>
      <x:c r="Q1508" s="24"/>
      <x:c r="R1508" s="24"/>
      <x:c r="S1508" s="26" t="n">
        <x:v>46113</x:v>
      </x:c>
      <x:c r="T1508" s="26"/>
      <x:c r="U1508" s="24" t="str">
        <x:v>ATIVA/SEM FIM INFORMADO</x:v>
      </x:c>
      <x:c r="V1508" s="24" t="str">
        <x:v>Programa de Parcerias ZEISS</x:v>
      </x:c>
      <x:c r="W1508" s="24" t="n">
        <x:v>15</x:v>
      </x:c>
      <x:c r="X1508" s="24" t="str">
        <x:v>tabela_zeiss.pdf</x:v>
      </x:c>
      <x:c r="Y1508" s="24" t="str">
        <x:v>alta</x:v>
      </x:c>
      <x:c r="Z1508" s="24"/>
      <x:c r="AA1508" s="24" t="str">
        <x:v>ZEISS|Visão Simples|Surfaçada|SmartLife Individual 3|PhotoFusion X Extra Dark Cinza|1.6|1.60|DuraVision Silver UV|-6.00 a +8.00|-4.00|-|75|||15</x:v>
      </x:c>
    </x:row>
    <x:row r="1509">
      <x:c r="A1509" s="24" t="str">
        <x:v>ZS-C8FA3E1FA24F</x:v>
      </x:c>
      <x:c r="B1509" s="24" t="str">
        <x:v>SIM</x:v>
      </x:c>
      <x:c r="C1509" s="24" t="str">
        <x:v>DISPONÍVEL</x:v>
      </x:c>
      <x:c r="D1509" s="24" t="str">
        <x:v>ZEISS</x:v>
      </x:c>
      <x:c r="E1509" s="24" t="str">
        <x:v>Visão Simples</x:v>
      </x:c>
      <x:c r="F1509" s="24" t="str">
        <x:v>Surfaçada</x:v>
      </x:c>
      <x:c r="G1509" s="24" t="str">
        <x:v>SmartLife Individual 3</x:v>
      </x:c>
      <x:c r="H1509" s="24" t="str">
        <x:v>PhotoFusion X Extra Dark Cinza</x:v>
      </x:c>
      <x:c r="I1509" s="24" t="str">
        <x:v>1.6</x:v>
      </x:c>
      <x:c r="J1509" s="24" t="str">
        <x:v>1.60</x:v>
      </x:c>
      <x:c r="K1509" s="24" t="str">
        <x:v>DuraVision Chrome UV</x:v>
      </x:c>
      <x:c r="L1509" s="40" t="n">
        <x:v>3389</x:v>
      </x:c>
      <x:c r="M1509" s="24" t="str">
        <x:v>-6.00 a +8.00</x:v>
      </x:c>
      <x:c r="N1509" s="24" t="str">
        <x:v>-4.00</x:v>
      </x:c>
      <x:c r="O1509" s="24" t="str">
        <x:v>-</x:v>
      </x:c>
      <x:c r="P1509" s="24" t="str">
        <x:v>75</x:v>
      </x:c>
      <x:c r="Q1509" s="24"/>
      <x:c r="R1509" s="24"/>
      <x:c r="S1509" s="26" t="n">
        <x:v>46113</x:v>
      </x:c>
      <x:c r="T1509" s="26"/>
      <x:c r="U1509" s="24" t="str">
        <x:v>ATIVA/SEM FIM INFORMADO</x:v>
      </x:c>
      <x:c r="V1509" s="24" t="str">
        <x:v>Programa de Parcerias ZEISS</x:v>
      </x:c>
      <x:c r="W1509" s="24" t="n">
        <x:v>15</x:v>
      </x:c>
      <x:c r="X1509" s="24" t="str">
        <x:v>tabela_zeiss.pdf</x:v>
      </x:c>
      <x:c r="Y1509" s="24" t="str">
        <x:v>alta</x:v>
      </x:c>
      <x:c r="Z1509" s="24"/>
      <x:c r="AA1509" s="24" t="str">
        <x:v>ZEISS|Visão Simples|Surfaçada|SmartLife Individual 3|PhotoFusion X Extra Dark Cinza|1.6|1.60|DuraVision Chrome UV|-6.00 a +8.00|-4.00|-|75|||15</x:v>
      </x:c>
    </x:row>
    <x:row r="1510">
      <x:c r="A1510" s="24" t="str">
        <x:v>ZS-53227C15A59E</x:v>
      </x:c>
      <x:c r="B1510" s="24" t="str">
        <x:v>SIM</x:v>
      </x:c>
      <x:c r="C1510" s="24" t="str">
        <x:v>DISPONÍVEL</x:v>
      </x:c>
      <x:c r="D1510" s="24" t="str">
        <x:v>ZEISS</x:v>
      </x:c>
      <x:c r="E1510" s="24" t="str">
        <x:v>Visão Simples</x:v>
      </x:c>
      <x:c r="F1510" s="24" t="str">
        <x:v>Surfaçada</x:v>
      </x:c>
      <x:c r="G1510" s="24" t="str">
        <x:v>SmartLife Individual 3</x:v>
      </x:c>
      <x:c r="H1510" s="24" t="str">
        <x:v>PhotoFusion X Extra Dark Cinza</x:v>
      </x:c>
      <x:c r="I1510" s="24" t="str">
        <x:v>1.67</x:v>
      </x:c>
      <x:c r="J1510" s="24" t="str">
        <x:v>1.67</x:v>
      </x:c>
      <x:c r="K1510" s="24" t="str">
        <x:v>DuraVision Gold UV</x:v>
      </x:c>
      <x:c r="L1510" s="40" t="n">
        <x:v>5579</x:v>
      </x:c>
      <x:c r="M1510" s="24" t="str">
        <x:v>-8.00 a +8.00</x:v>
      </x:c>
      <x:c r="N1510" s="24" t="str">
        <x:v>-6.00</x:v>
      </x:c>
      <x:c r="O1510" s="24" t="str">
        <x:v>-</x:v>
      </x:c>
      <x:c r="P1510" s="24" t="str">
        <x:v>70</x:v>
      </x:c>
      <x:c r="Q1510" s="24"/>
      <x:c r="R1510" s="24"/>
      <x:c r="S1510" s="26" t="n">
        <x:v>46113</x:v>
      </x:c>
      <x:c r="T1510" s="26"/>
      <x:c r="U1510" s="24" t="str">
        <x:v>ATIVA/SEM FIM INFORMADO</x:v>
      </x:c>
      <x:c r="V1510" s="24" t="str">
        <x:v>Programa de Parcerias ZEISS</x:v>
      </x:c>
      <x:c r="W1510" s="24" t="n">
        <x:v>15</x:v>
      </x:c>
      <x:c r="X1510" s="24" t="str">
        <x:v>tabela_zeiss.pdf</x:v>
      </x:c>
      <x:c r="Y1510" s="24" t="str">
        <x:v>alta</x:v>
      </x:c>
      <x:c r="Z1510" s="24"/>
      <x:c r="AA1510" s="24" t="str">
        <x:v>ZEISS|Visão Simples|Surfaçada|SmartLife Individual 3|PhotoFusion X Extra Dark Cinza|1.67|1.67|DuraVision Gold UV|-8.00 a +8.00|-6.00|-|70|||15</x:v>
      </x:c>
    </x:row>
    <x:row r="1511">
      <x:c r="A1511" s="24" t="str">
        <x:v>ZS-85AF435200B0</x:v>
      </x:c>
      <x:c r="B1511" s="24" t="str">
        <x:v>SIM</x:v>
      </x:c>
      <x:c r="C1511" s="24" t="str">
        <x:v>DISPONÍVEL</x:v>
      </x:c>
      <x:c r="D1511" s="24" t="str">
        <x:v>ZEISS</x:v>
      </x:c>
      <x:c r="E1511" s="24" t="str">
        <x:v>Visão Simples</x:v>
      </x:c>
      <x:c r="F1511" s="24" t="str">
        <x:v>Surfaçada</x:v>
      </x:c>
      <x:c r="G1511" s="24" t="str">
        <x:v>SmartLife Individual 3</x:v>
      </x:c>
      <x:c r="H1511" s="24" t="str">
        <x:v>PhotoFusion X Extra Dark Cinza</x:v>
      </x:c>
      <x:c r="I1511" s="24" t="str">
        <x:v>1.67</x:v>
      </x:c>
      <x:c r="J1511" s="24" t="str">
        <x:v>1.67</x:v>
      </x:c>
      <x:c r="K1511" s="24" t="str">
        <x:v>DURAVISION® ANTIVÍRUS PLATINUM UV</x:v>
      </x:c>
      <x:c r="L1511" s="40" t="n">
        <x:v>5439</x:v>
      </x:c>
      <x:c r="M1511" s="24" t="str">
        <x:v>-8.00 a +8.00</x:v>
      </x:c>
      <x:c r="N1511" s="24" t="str">
        <x:v>-6.00</x:v>
      </x:c>
      <x:c r="O1511" s="24" t="str">
        <x:v>-</x:v>
      </x:c>
      <x:c r="P1511" s="24" t="str">
        <x:v>70</x:v>
      </x:c>
      <x:c r="Q1511" s="24"/>
      <x:c r="R1511" s="24"/>
      <x:c r="S1511" s="26" t="n">
        <x:v>46113</x:v>
      </x:c>
      <x:c r="T1511" s="26"/>
      <x:c r="U1511" s="24" t="str">
        <x:v>ATIVA/SEM FIM INFORMADO</x:v>
      </x:c>
      <x:c r="V1511" s="24" t="str">
        <x:v>Programa de Parcerias ZEISS</x:v>
      </x:c>
      <x:c r="W1511" s="24" t="n">
        <x:v>15</x:v>
      </x:c>
      <x:c r="X1511" s="24" t="str">
        <x:v>tabela_zeiss.pdf</x:v>
      </x:c>
      <x:c r="Y1511" s="24" t="str">
        <x:v>alta</x:v>
      </x:c>
      <x:c r="Z1511" s="24"/>
      <x:c r="AA1511" s="24" t="str">
        <x:v>ZEISS|Visão Simples|Surfaçada|SmartLife Individual 3|PhotoFusion X Extra Dark Cinza|1.67|1.67|DURAVISION® ANTIVÍRUS PLATINUM UV|-8.00 a +8.00|-6.00|-|70|||15</x:v>
      </x:c>
    </x:row>
    <x:row r="1512">
      <x:c r="A1512" s="24" t="str">
        <x:v>ZS-1CDE634EE8B6</x:v>
      </x:c>
      <x:c r="B1512" s="24" t="str">
        <x:v>SIM</x:v>
      </x:c>
      <x:c r="C1512" s="24" t="str">
        <x:v>DISPONÍVEL</x:v>
      </x:c>
      <x:c r="D1512" s="24" t="str">
        <x:v>ZEISS</x:v>
      </x:c>
      <x:c r="E1512" s="24" t="str">
        <x:v>Visão Simples</x:v>
      </x:c>
      <x:c r="F1512" s="24" t="str">
        <x:v>Surfaçada</x:v>
      </x:c>
      <x:c r="G1512" s="24" t="str">
        <x:v>SmartLife Individual 3</x:v>
      </x:c>
      <x:c r="H1512" s="24" t="str">
        <x:v>PhotoFusion X Extra Dark Cinza</x:v>
      </x:c>
      <x:c r="I1512" s="24" t="str">
        <x:v>1.67</x:v>
      </x:c>
      <x:c r="J1512" s="24" t="str">
        <x:v>1.67</x:v>
      </x:c>
      <x:c r="K1512" s="24" t="str">
        <x:v>DuraVision Platinum UV</x:v>
      </x:c>
      <x:c r="L1512" s="40" t="n">
        <x:v>5439</x:v>
      </x:c>
      <x:c r="M1512" s="24" t="str">
        <x:v>-8.00 a +8.00</x:v>
      </x:c>
      <x:c r="N1512" s="24" t="str">
        <x:v>-6.00</x:v>
      </x:c>
      <x:c r="O1512" s="24" t="str">
        <x:v>-</x:v>
      </x:c>
      <x:c r="P1512" s="24" t="str">
        <x:v>70</x:v>
      </x:c>
      <x:c r="Q1512" s="24"/>
      <x:c r="R1512" s="24"/>
      <x:c r="S1512" s="26" t="n">
        <x:v>46113</x:v>
      </x:c>
      <x:c r="T1512" s="26"/>
      <x:c r="U1512" s="24" t="str">
        <x:v>ATIVA/SEM FIM INFORMADO</x:v>
      </x:c>
      <x:c r="V1512" s="24" t="str">
        <x:v>Programa de Parcerias ZEISS</x:v>
      </x:c>
      <x:c r="W1512" s="24" t="n">
        <x:v>15</x:v>
      </x:c>
      <x:c r="X1512" s="24" t="str">
        <x:v>tabela_zeiss.pdf</x:v>
      </x:c>
      <x:c r="Y1512" s="24" t="str">
        <x:v>alta</x:v>
      </x:c>
      <x:c r="Z1512" s="24"/>
      <x:c r="AA1512" s="24" t="str">
        <x:v>ZEISS|Visão Simples|Surfaçada|SmartLife Individual 3|PhotoFusion X Extra Dark Cinza|1.67|1.67|DuraVision Platinum UV|-8.00 a +8.00|-6.00|-|70|||15</x:v>
      </x:c>
    </x:row>
    <x:row r="1513">
      <x:c r="A1513" s="24" t="str">
        <x:v>ZS-4A650240D817</x:v>
      </x:c>
      <x:c r="B1513" s="24" t="str">
        <x:v>SIM</x:v>
      </x:c>
      <x:c r="C1513" s="24" t="str">
        <x:v>DISPONÍVEL</x:v>
      </x:c>
      <x:c r="D1513" s="24" t="str">
        <x:v>ZEISS</x:v>
      </x:c>
      <x:c r="E1513" s="24" t="str">
        <x:v>Visão Simples</x:v>
      </x:c>
      <x:c r="F1513" s="24" t="str">
        <x:v>Surfaçada</x:v>
      </x:c>
      <x:c r="G1513" s="24" t="str">
        <x:v>SmartLife Individual 3</x:v>
      </x:c>
      <x:c r="H1513" s="24" t="str">
        <x:v>PhotoFusion X Extra Dark Cinza</x:v>
      </x:c>
      <x:c r="I1513" s="24" t="str">
        <x:v>1.67</x:v>
      </x:c>
      <x:c r="J1513" s="24" t="str">
        <x:v>1.67</x:v>
      </x:c>
      <x:c r="K1513" s="24" t="str">
        <x:v>DuraVision Silver UV</x:v>
      </x:c>
      <x:c r="L1513" s="40" t="n">
        <x:v>5179</x:v>
      </x:c>
      <x:c r="M1513" s="24" t="str">
        <x:v>-8.00 a +8.00</x:v>
      </x:c>
      <x:c r="N1513" s="24" t="str">
        <x:v>-6.00</x:v>
      </x:c>
      <x:c r="O1513" s="24" t="str">
        <x:v>-</x:v>
      </x:c>
      <x:c r="P1513" s="24" t="str">
        <x:v>70</x:v>
      </x:c>
      <x:c r="Q1513" s="24"/>
      <x:c r="R1513" s="24"/>
      <x:c r="S1513" s="26" t="n">
        <x:v>46113</x:v>
      </x:c>
      <x:c r="T1513" s="26"/>
      <x:c r="U1513" s="24" t="str">
        <x:v>ATIVA/SEM FIM INFORMADO</x:v>
      </x:c>
      <x:c r="V1513" s="24" t="str">
        <x:v>Programa de Parcerias ZEISS</x:v>
      </x:c>
      <x:c r="W1513" s="24" t="n">
        <x:v>15</x:v>
      </x:c>
      <x:c r="X1513" s="24" t="str">
        <x:v>tabela_zeiss.pdf</x:v>
      </x:c>
      <x:c r="Y1513" s="24" t="str">
        <x:v>alta</x:v>
      </x:c>
      <x:c r="Z1513" s="24"/>
      <x:c r="AA1513" s="24" t="str">
        <x:v>ZEISS|Visão Simples|Surfaçada|SmartLife Individual 3|PhotoFusion X Extra Dark Cinza|1.67|1.67|DuraVision Silver UV|-8.00 a +8.00|-6.00|-|70|||15</x:v>
      </x:c>
    </x:row>
    <x:row r="1514">
      <x:c r="A1514" s="24" t="str">
        <x:v>ZS-335A5FA2ABEC</x:v>
      </x:c>
      <x:c r="B1514" s="24" t="str">
        <x:v>SIM</x:v>
      </x:c>
      <x:c r="C1514" s="24" t="str">
        <x:v>DISPONÍVEL</x:v>
      </x:c>
      <x:c r="D1514" s="24" t="str">
        <x:v>ZEISS</x:v>
      </x:c>
      <x:c r="E1514" s="24" t="str">
        <x:v>Visão Simples</x:v>
      </x:c>
      <x:c r="F1514" s="24" t="str">
        <x:v>Surfaçada</x:v>
      </x:c>
      <x:c r="G1514" s="24" t="str">
        <x:v>SmartLife Individual 3</x:v>
      </x:c>
      <x:c r="H1514" s="24" t="str">
        <x:v>PhotoFusion X Extra Dark Cinza</x:v>
      </x:c>
      <x:c r="I1514" s="24" t="str">
        <x:v>1.67</x:v>
      </x:c>
      <x:c r="J1514" s="24" t="str">
        <x:v>1.67</x:v>
      </x:c>
      <x:c r="K1514" s="24" t="str">
        <x:v>DuraVision Chrome UV</x:v>
      </x:c>
      <x:c r="L1514" s="40" t="n">
        <x:v>4689</x:v>
      </x:c>
      <x:c r="M1514" s="24" t="str">
        <x:v>-8.00 a +8.00</x:v>
      </x:c>
      <x:c r="N1514" s="24" t="str">
        <x:v>-6.00</x:v>
      </x:c>
      <x:c r="O1514" s="24" t="str">
        <x:v>-</x:v>
      </x:c>
      <x:c r="P1514" s="24" t="str">
        <x:v>70</x:v>
      </x:c>
      <x:c r="Q1514" s="24"/>
      <x:c r="R1514" s="24"/>
      <x:c r="S1514" s="26" t="n">
        <x:v>46113</x:v>
      </x:c>
      <x:c r="T1514" s="26"/>
      <x:c r="U1514" s="24" t="str">
        <x:v>ATIVA/SEM FIM INFORMADO</x:v>
      </x:c>
      <x:c r="V1514" s="24" t="str">
        <x:v>Programa de Parcerias ZEISS</x:v>
      </x:c>
      <x:c r="W1514" s="24" t="n">
        <x:v>15</x:v>
      </x:c>
      <x:c r="X1514" s="24" t="str">
        <x:v>tabela_zeiss.pdf</x:v>
      </x:c>
      <x:c r="Y1514" s="24" t="str">
        <x:v>alta</x:v>
      </x:c>
      <x:c r="Z1514" s="24"/>
      <x:c r="AA1514" s="24" t="str">
        <x:v>ZEISS|Visão Simples|Surfaçada|SmartLife Individual 3|PhotoFusion X Extra Dark Cinza|1.67|1.67|DuraVision Chrome UV|-8.00 a +8.00|-6.00|-|70|||15</x:v>
      </x:c>
    </x:row>
    <x:row r="1515">
      <x:c r="A1515" s="24" t="str">
        <x:v>ZS-795D19139E7E</x:v>
      </x:c>
      <x:c r="B1515" s="24" t="str">
        <x:v>SIM</x:v>
      </x:c>
      <x:c r="C1515" s="24" t="str">
        <x:v>DISPONÍVEL</x:v>
      </x:c>
      <x:c r="D1515" s="24" t="str">
        <x:v>ZEISS</x:v>
      </x:c>
      <x:c r="E1515" s="24" t="str">
        <x:v>Visão Simples</x:v>
      </x:c>
      <x:c r="F1515" s="24" t="str">
        <x:v>Surfaçada</x:v>
      </x:c>
      <x:c r="G1515" s="24" t="str">
        <x:v>SmartLife Individual 3</x:v>
      </x:c>
      <x:c r="H1515" s="24" t="str">
        <x:v>Polarizada</x:v>
      </x:c>
      <x:c r="I1515" s="24" t="str">
        <x:v>1.5</x:v>
      </x:c>
      <x:c r="J1515" s="24" t="str">
        <x:v>1.50</x:v>
      </x:c>
      <x:c r="K1515" s="24" t="str">
        <x:v>DuraVision Gold UV</x:v>
      </x:c>
      <x:c r="L1515" s="40" t="n">
        <x:v>3399</x:v>
      </x:c>
      <x:c r="M1515" s="24" t="str">
        <x:v>-6.00 a +6.00</x:v>
      </x:c>
      <x:c r="N1515" s="24" t="str">
        <x:v>-4.00</x:v>
      </x:c>
      <x:c r="O1515" s="24" t="str">
        <x:v>-</x:v>
      </x:c>
      <x:c r="P1515" s="24" t="str">
        <x:v>75</x:v>
      </x:c>
      <x:c r="Q1515" s="24"/>
      <x:c r="R1515" s="24"/>
      <x:c r="S1515" s="26" t="n">
        <x:v>46113</x:v>
      </x:c>
      <x:c r="T1515" s="26"/>
      <x:c r="U1515" s="24" t="str">
        <x:v>ATIVA/SEM FIM INFORMADO</x:v>
      </x:c>
      <x:c r="V1515" s="24"/>
      <x:c r="W1515" s="24" t="n">
        <x:v>15</x:v>
      </x:c>
      <x:c r="X1515" s="24" t="str">
        <x:v>tabela_zeiss.pdf</x:v>
      </x:c>
      <x:c r="Y1515" s="24" t="str">
        <x:v>alta</x:v>
      </x:c>
      <x:c r="Z1515" s="24"/>
      <x:c r="AA1515" s="24" t="str">
        <x:v>ZEISS|Visão Simples|Surfaçada|SmartLife Individual 3|Polarizada|1.5|1.50|DuraVision Gold UV|-6.00 a +6.00|-4.00|-|75|||15</x:v>
      </x:c>
    </x:row>
    <x:row r="1516">
      <x:c r="A1516" s="24" t="str">
        <x:v>ZS-0FFE560CA83C</x:v>
      </x:c>
      <x:c r="B1516" s="24" t="str">
        <x:v>SIM</x:v>
      </x:c>
      <x:c r="C1516" s="24" t="str">
        <x:v>DISPONÍVEL</x:v>
      </x:c>
      <x:c r="D1516" s="24" t="str">
        <x:v>ZEISS</x:v>
      </x:c>
      <x:c r="E1516" s="24" t="str">
        <x:v>Visão Simples</x:v>
      </x:c>
      <x:c r="F1516" s="24" t="str">
        <x:v>Surfaçada</x:v>
      </x:c>
      <x:c r="G1516" s="24" t="str">
        <x:v>SmartLife Individual 3</x:v>
      </x:c>
      <x:c r="H1516" s="24" t="str">
        <x:v>Polarizada</x:v>
      </x:c>
      <x:c r="I1516" s="24" t="str">
        <x:v>1.5</x:v>
      </x:c>
      <x:c r="J1516" s="24" t="str">
        <x:v>1.50</x:v>
      </x:c>
      <x:c r="K1516" s="24" t="str">
        <x:v>DuraVision Platinum UV</x:v>
      </x:c>
      <x:c r="L1516" s="40" t="n">
        <x:v>3259</x:v>
      </x:c>
      <x:c r="M1516" s="24" t="str">
        <x:v>-6.00 a +6.00</x:v>
      </x:c>
      <x:c r="N1516" s="24" t="str">
        <x:v>-4.00</x:v>
      </x:c>
      <x:c r="O1516" s="24" t="str">
        <x:v>-</x:v>
      </x:c>
      <x:c r="P1516" s="24" t="str">
        <x:v>75</x:v>
      </x:c>
      <x:c r="Q1516" s="24"/>
      <x:c r="R1516" s="24"/>
      <x:c r="S1516" s="26" t="n">
        <x:v>46113</x:v>
      </x:c>
      <x:c r="T1516" s="26"/>
      <x:c r="U1516" s="24" t="str">
        <x:v>ATIVA/SEM FIM INFORMADO</x:v>
      </x:c>
      <x:c r="V1516" s="24"/>
      <x:c r="W1516" s="24" t="n">
        <x:v>15</x:v>
      </x:c>
      <x:c r="X1516" s="24" t="str">
        <x:v>tabela_zeiss.pdf</x:v>
      </x:c>
      <x:c r="Y1516" s="24" t="str">
        <x:v>alta</x:v>
      </x:c>
      <x:c r="Z1516" s="24"/>
      <x:c r="AA1516" s="24" t="str">
        <x:v>ZEISS|Visão Simples|Surfaçada|SmartLife Individual 3|Polarizada|1.5|1.50|DuraVision Platinum UV|-6.00 a +6.00|-4.00|-|75|||15</x:v>
      </x:c>
    </x:row>
    <x:row r="1517">
      <x:c r="A1517" s="24" t="str">
        <x:v>ZS-0F132D067598</x:v>
      </x:c>
      <x:c r="B1517" s="24" t="str">
        <x:v>SIM</x:v>
      </x:c>
      <x:c r="C1517" s="24" t="str">
        <x:v>DISPONÍVEL</x:v>
      </x:c>
      <x:c r="D1517" s="24" t="str">
        <x:v>ZEISS</x:v>
      </x:c>
      <x:c r="E1517" s="24" t="str">
        <x:v>Visão Simples</x:v>
      </x:c>
      <x:c r="F1517" s="24" t="str">
        <x:v>Surfaçada</x:v>
      </x:c>
      <x:c r="G1517" s="24" t="str">
        <x:v>SmartLife Individual 3</x:v>
      </x:c>
      <x:c r="H1517" s="24" t="str">
        <x:v>Polarizada</x:v>
      </x:c>
      <x:c r="I1517" s="24" t="str">
        <x:v>1.5</x:v>
      </x:c>
      <x:c r="J1517" s="24" t="str">
        <x:v>1.50</x:v>
      </x:c>
      <x:c r="K1517" s="24" t="str">
        <x:v>DuraVision Silver UV</x:v>
      </x:c>
      <x:c r="L1517" s="40" t="n">
        <x:v>2999</x:v>
      </x:c>
      <x:c r="M1517" s="24" t="str">
        <x:v>-6.00 a +6.00</x:v>
      </x:c>
      <x:c r="N1517" s="24" t="str">
        <x:v>-4.00</x:v>
      </x:c>
      <x:c r="O1517" s="24" t="str">
        <x:v>-</x:v>
      </x:c>
      <x:c r="P1517" s="24" t="str">
        <x:v>75</x:v>
      </x:c>
      <x:c r="Q1517" s="24"/>
      <x:c r="R1517" s="24"/>
      <x:c r="S1517" s="26" t="n">
        <x:v>46113</x:v>
      </x:c>
      <x:c r="T1517" s="26"/>
      <x:c r="U1517" s="24" t="str">
        <x:v>ATIVA/SEM FIM INFORMADO</x:v>
      </x:c>
      <x:c r="V1517" s="24"/>
      <x:c r="W1517" s="24" t="n">
        <x:v>15</x:v>
      </x:c>
      <x:c r="X1517" s="24" t="str">
        <x:v>tabela_zeiss.pdf</x:v>
      </x:c>
      <x:c r="Y1517" s="24" t="str">
        <x:v>alta</x:v>
      </x:c>
      <x:c r="Z1517" s="24"/>
      <x:c r="AA1517" s="24" t="str">
        <x:v>ZEISS|Visão Simples|Surfaçada|SmartLife Individual 3|Polarizada|1.5|1.50|DuraVision Silver UV|-6.00 a +6.00|-4.00|-|75|||15</x:v>
      </x:c>
    </x:row>
    <x:row r="1518">
      <x:c r="A1518" s="24" t="str">
        <x:v>ZS-B293EAAB5F21</x:v>
      </x:c>
      <x:c r="B1518" s="24" t="str">
        <x:v>SIM</x:v>
      </x:c>
      <x:c r="C1518" s="24" t="str">
        <x:v>DISPONÍVEL</x:v>
      </x:c>
      <x:c r="D1518" s="24" t="str">
        <x:v>ZEISS</x:v>
      </x:c>
      <x:c r="E1518" s="24" t="str">
        <x:v>Visão Simples</x:v>
      </x:c>
      <x:c r="F1518" s="24" t="str">
        <x:v>Surfaçada</x:v>
      </x:c>
      <x:c r="G1518" s="24" t="str">
        <x:v>SmartLife Individual 3</x:v>
      </x:c>
      <x:c r="H1518" s="24" t="str">
        <x:v>Polarizada</x:v>
      </x:c>
      <x:c r="I1518" s="24" t="str">
        <x:v>1.5</x:v>
      </x:c>
      <x:c r="J1518" s="24" t="str">
        <x:v>1.50</x:v>
      </x:c>
      <x:c r="K1518" s="24" t="str">
        <x:v>DuraVision Chrome UV</x:v>
      </x:c>
      <x:c r="L1518" s="40" t="n">
        <x:v>2509</x:v>
      </x:c>
      <x:c r="M1518" s="24" t="str">
        <x:v>-6.00 a +6.00</x:v>
      </x:c>
      <x:c r="N1518" s="24" t="str">
        <x:v>-4.00</x:v>
      </x:c>
      <x:c r="O1518" s="24" t="str">
        <x:v>-</x:v>
      </x:c>
      <x:c r="P1518" s="24" t="str">
        <x:v>75</x:v>
      </x:c>
      <x:c r="Q1518" s="24"/>
      <x:c r="R1518" s="24"/>
      <x:c r="S1518" s="26" t="n">
        <x:v>46113</x:v>
      </x:c>
      <x:c r="T1518" s="26"/>
      <x:c r="U1518" s="24" t="str">
        <x:v>ATIVA/SEM FIM INFORMADO</x:v>
      </x:c>
      <x:c r="V1518" s="24"/>
      <x:c r="W1518" s="24" t="n">
        <x:v>15</x:v>
      </x:c>
      <x:c r="X1518" s="24" t="str">
        <x:v>tabela_zeiss.pdf</x:v>
      </x:c>
      <x:c r="Y1518" s="24" t="str">
        <x:v>alta</x:v>
      </x:c>
      <x:c r="Z1518" s="24"/>
      <x:c r="AA1518" s="24" t="str">
        <x:v>ZEISS|Visão Simples|Surfaçada|SmartLife Individual 3|Polarizada|1.5|1.50|DuraVision Chrome UV|-6.00 a +6.00|-4.00|-|75|||15</x:v>
      </x:c>
    </x:row>
    <x:row r="1519">
      <x:c r="A1519" s="24" t="str">
        <x:v>ZS-B5E11AC663B9</x:v>
      </x:c>
      <x:c r="B1519" s="24" t="str">
        <x:v>SIM</x:v>
      </x:c>
      <x:c r="C1519" s="24" t="str">
        <x:v>DISPONÍVEL</x:v>
      </x:c>
      <x:c r="D1519" s="24" t="str">
        <x:v>ZEISS</x:v>
      </x:c>
      <x:c r="E1519" s="24" t="str">
        <x:v>Visão Simples</x:v>
      </x:c>
      <x:c r="F1519" s="24" t="str">
        <x:v>Surfaçada</x:v>
      </x:c>
      <x:c r="G1519" s="24" t="str">
        <x:v>SmartLife Individual 3</x:v>
      </x:c>
      <x:c r="H1519" s="24" t="str">
        <x:v>Polarizada</x:v>
      </x:c>
      <x:c r="I1519" s="24" t="str">
        <x:v>1.5</x:v>
      </x:c>
      <x:c r="J1519" s="24" t="str">
        <x:v>1.50</x:v>
      </x:c>
      <x:c r="K1519" s="24" t="str">
        <x:v>Sem AR</x:v>
      </x:c>
      <x:c r="L1519" s="40" t="n">
        <x:v>2109</x:v>
      </x:c>
      <x:c r="M1519" s="24" t="str">
        <x:v>-6.00 a +6.00</x:v>
      </x:c>
      <x:c r="N1519" s="24" t="str">
        <x:v>-4.00</x:v>
      </x:c>
      <x:c r="O1519" s="24" t="str">
        <x:v>-</x:v>
      </x:c>
      <x:c r="P1519" s="24" t="str">
        <x:v>75</x:v>
      </x:c>
      <x:c r="Q1519" s="24"/>
      <x:c r="R1519" s="24"/>
      <x:c r="S1519" s="26" t="n">
        <x:v>46113</x:v>
      </x:c>
      <x:c r="T1519" s="26"/>
      <x:c r="U1519" s="24" t="str">
        <x:v>ATIVA/SEM FIM INFORMADO</x:v>
      </x:c>
      <x:c r="V1519" s="24"/>
      <x:c r="W1519" s="24" t="n">
        <x:v>15</x:v>
      </x:c>
      <x:c r="X1519" s="24" t="str">
        <x:v>tabela_zeiss.pdf</x:v>
      </x:c>
      <x:c r="Y1519" s="24" t="str">
        <x:v>alta</x:v>
      </x:c>
      <x:c r="Z1519" s="24"/>
      <x:c r="AA1519" s="24" t="str">
        <x:v>ZEISS|Visão Simples|Surfaçada|SmartLife Individual 3|Polarizada|1.5|1.50|Sem AR|-6.00 a +6.00|-4.00|-|75|||15</x:v>
      </x:c>
    </x:row>
    <x:row r="1520">
      <x:c r="A1520" s="24" t="str">
        <x:v>ZS-8EB61F1DAB67</x:v>
      </x:c>
      <x:c r="B1520" s="24" t="str">
        <x:v>SIM</x:v>
      </x:c>
      <x:c r="C1520" s="24" t="str">
        <x:v>DISPONÍVEL</x:v>
      </x:c>
      <x:c r="D1520" s="24" t="str">
        <x:v>ZEISS</x:v>
      </x:c>
      <x:c r="E1520" s="24" t="str">
        <x:v>Visão Simples</x:v>
      </x:c>
      <x:c r="F1520" s="24" t="str">
        <x:v>Surfaçada</x:v>
      </x:c>
      <x:c r="G1520" s="24" t="str">
        <x:v>SmartLife Individual 3</x:v>
      </x:c>
      <x:c r="H1520" s="24" t="str">
        <x:v>Polarizada</x:v>
      </x:c>
      <x:c r="I1520" s="24" t="str">
        <x:v>1.6</x:v>
      </x:c>
      <x:c r="J1520" s="24" t="str">
        <x:v>1.60</x:v>
      </x:c>
      <x:c r="K1520" s="24" t="str">
        <x:v>DuraVision Gold UV</x:v>
      </x:c>
      <x:c r="L1520" s="40" t="n">
        <x:v>3979</x:v>
      </x:c>
      <x:c r="M1520" s="24" t="str">
        <x:v>-8.00 a +8.00</x:v>
      </x:c>
      <x:c r="N1520" s="24" t="str">
        <x:v>-4.00</x:v>
      </x:c>
      <x:c r="O1520" s="24" t="str">
        <x:v>-</x:v>
      </x:c>
      <x:c r="P1520" s="24" t="str">
        <x:v>70</x:v>
      </x:c>
      <x:c r="Q1520" s="24"/>
      <x:c r="R1520" s="24"/>
      <x:c r="S1520" s="26" t="n">
        <x:v>46113</x:v>
      </x:c>
      <x:c r="T1520" s="26"/>
      <x:c r="U1520" s="24" t="str">
        <x:v>ATIVA/SEM FIM INFORMADO</x:v>
      </x:c>
      <x:c r="V1520" s="24"/>
      <x:c r="W1520" s="24" t="n">
        <x:v>15</x:v>
      </x:c>
      <x:c r="X1520" s="24" t="str">
        <x:v>tabela_zeiss.pdf</x:v>
      </x:c>
      <x:c r="Y1520" s="24" t="str">
        <x:v>alta</x:v>
      </x:c>
      <x:c r="Z1520" s="24"/>
      <x:c r="AA1520" s="24" t="str">
        <x:v>ZEISS|Visão Simples|Surfaçada|SmartLife Individual 3|Polarizada|1.6|1.60|DuraVision Gold UV|-8.00 a +8.00|-4.00|-|70|||15</x:v>
      </x:c>
    </x:row>
    <x:row r="1521">
      <x:c r="A1521" s="24" t="str">
        <x:v>ZS-73557A4351A4</x:v>
      </x:c>
      <x:c r="B1521" s="24" t="str">
        <x:v>SIM</x:v>
      </x:c>
      <x:c r="C1521" s="24" t="str">
        <x:v>DISPONÍVEL</x:v>
      </x:c>
      <x:c r="D1521" s="24" t="str">
        <x:v>ZEISS</x:v>
      </x:c>
      <x:c r="E1521" s="24" t="str">
        <x:v>Visão Simples</x:v>
      </x:c>
      <x:c r="F1521" s="24" t="str">
        <x:v>Surfaçada</x:v>
      </x:c>
      <x:c r="G1521" s="24" t="str">
        <x:v>SmartLife Individual 3</x:v>
      </x:c>
      <x:c r="H1521" s="24" t="str">
        <x:v>Polarizada</x:v>
      </x:c>
      <x:c r="I1521" s="24" t="str">
        <x:v>1.6</x:v>
      </x:c>
      <x:c r="J1521" s="24" t="str">
        <x:v>1.60</x:v>
      </x:c>
      <x:c r="K1521" s="24" t="str">
        <x:v>DuraVision Platinum UV</x:v>
      </x:c>
      <x:c r="L1521" s="40" t="n">
        <x:v>3839</x:v>
      </x:c>
      <x:c r="M1521" s="24" t="str">
        <x:v>-8.00 a +8.00</x:v>
      </x:c>
      <x:c r="N1521" s="24" t="str">
        <x:v>-4.00</x:v>
      </x:c>
      <x:c r="O1521" s="24" t="str">
        <x:v>-</x:v>
      </x:c>
      <x:c r="P1521" s="24" t="str">
        <x:v>70</x:v>
      </x:c>
      <x:c r="Q1521" s="24"/>
      <x:c r="R1521" s="24"/>
      <x:c r="S1521" s="26" t="n">
        <x:v>46113</x:v>
      </x:c>
      <x:c r="T1521" s="26"/>
      <x:c r="U1521" s="24" t="str">
        <x:v>ATIVA/SEM FIM INFORMADO</x:v>
      </x:c>
      <x:c r="V1521" s="24"/>
      <x:c r="W1521" s="24" t="n">
        <x:v>15</x:v>
      </x:c>
      <x:c r="X1521" s="24" t="str">
        <x:v>tabela_zeiss.pdf</x:v>
      </x:c>
      <x:c r="Y1521" s="24" t="str">
        <x:v>alta</x:v>
      </x:c>
      <x:c r="Z1521" s="24"/>
      <x:c r="AA1521" s="24" t="str">
        <x:v>ZEISS|Visão Simples|Surfaçada|SmartLife Individual 3|Polarizada|1.6|1.60|DuraVision Platinum UV|-8.00 a +8.00|-4.00|-|70|||15</x:v>
      </x:c>
    </x:row>
    <x:row r="1522">
      <x:c r="A1522" s="24" t="str">
        <x:v>ZS-976FD611579E</x:v>
      </x:c>
      <x:c r="B1522" s="24" t="str">
        <x:v>SIM</x:v>
      </x:c>
      <x:c r="C1522" s="24" t="str">
        <x:v>DISPONÍVEL</x:v>
      </x:c>
      <x:c r="D1522" s="24" t="str">
        <x:v>ZEISS</x:v>
      </x:c>
      <x:c r="E1522" s="24" t="str">
        <x:v>Visão Simples</x:v>
      </x:c>
      <x:c r="F1522" s="24" t="str">
        <x:v>Surfaçada</x:v>
      </x:c>
      <x:c r="G1522" s="24" t="str">
        <x:v>SmartLife Individual 3</x:v>
      </x:c>
      <x:c r="H1522" s="24" t="str">
        <x:v>Polarizada</x:v>
      </x:c>
      <x:c r="I1522" s="24" t="str">
        <x:v>1.6</x:v>
      </x:c>
      <x:c r="J1522" s="24" t="str">
        <x:v>1.60</x:v>
      </x:c>
      <x:c r="K1522" s="24" t="str">
        <x:v>DuraVision Silver UV</x:v>
      </x:c>
      <x:c r="L1522" s="40" t="n">
        <x:v>3579</x:v>
      </x:c>
      <x:c r="M1522" s="24" t="str">
        <x:v>-8.00 a +8.00</x:v>
      </x:c>
      <x:c r="N1522" s="24" t="str">
        <x:v>-4.00</x:v>
      </x:c>
      <x:c r="O1522" s="24" t="str">
        <x:v>-</x:v>
      </x:c>
      <x:c r="P1522" s="24" t="str">
        <x:v>70</x:v>
      </x:c>
      <x:c r="Q1522" s="24"/>
      <x:c r="R1522" s="24"/>
      <x:c r="S1522" s="26" t="n">
        <x:v>46113</x:v>
      </x:c>
      <x:c r="T1522" s="26"/>
      <x:c r="U1522" s="24" t="str">
        <x:v>ATIVA/SEM FIM INFORMADO</x:v>
      </x:c>
      <x:c r="V1522" s="24"/>
      <x:c r="W1522" s="24" t="n">
        <x:v>15</x:v>
      </x:c>
      <x:c r="X1522" s="24" t="str">
        <x:v>tabela_zeiss.pdf</x:v>
      </x:c>
      <x:c r="Y1522" s="24" t="str">
        <x:v>alta</x:v>
      </x:c>
      <x:c r="Z1522" s="24"/>
      <x:c r="AA1522" s="24" t="str">
        <x:v>ZEISS|Visão Simples|Surfaçada|SmartLife Individual 3|Polarizada|1.6|1.60|DuraVision Silver UV|-8.00 a +8.00|-4.00|-|70|||15</x:v>
      </x:c>
    </x:row>
    <x:row r="1523">
      <x:c r="A1523" s="24" t="str">
        <x:v>ZS-BB19A66CD1D4</x:v>
      </x:c>
      <x:c r="B1523" s="24" t="str">
        <x:v>SIM</x:v>
      </x:c>
      <x:c r="C1523" s="24" t="str">
        <x:v>DISPONÍVEL</x:v>
      </x:c>
      <x:c r="D1523" s="24" t="str">
        <x:v>ZEISS</x:v>
      </x:c>
      <x:c r="E1523" s="24" t="str">
        <x:v>Visão Simples</x:v>
      </x:c>
      <x:c r="F1523" s="24" t="str">
        <x:v>Surfaçada</x:v>
      </x:c>
      <x:c r="G1523" s="24" t="str">
        <x:v>SmartLife Individual 3</x:v>
      </x:c>
      <x:c r="H1523" s="24" t="str">
        <x:v>Polarizada</x:v>
      </x:c>
      <x:c r="I1523" s="24" t="str">
        <x:v>1.6</x:v>
      </x:c>
      <x:c r="J1523" s="24" t="str">
        <x:v>1.60</x:v>
      </x:c>
      <x:c r="K1523" s="24" t="str">
        <x:v>DuraVision Chrome UV</x:v>
      </x:c>
      <x:c r="L1523" s="40" t="n">
        <x:v>3089</x:v>
      </x:c>
      <x:c r="M1523" s="24" t="str">
        <x:v>-8.00 a +8.00</x:v>
      </x:c>
      <x:c r="N1523" s="24" t="str">
        <x:v>-4.00</x:v>
      </x:c>
      <x:c r="O1523" s="24" t="str">
        <x:v>-</x:v>
      </x:c>
      <x:c r="P1523" s="24" t="str">
        <x:v>70</x:v>
      </x:c>
      <x:c r="Q1523" s="24"/>
      <x:c r="R1523" s="24"/>
      <x:c r="S1523" s="26" t="n">
        <x:v>46113</x:v>
      </x:c>
      <x:c r="T1523" s="26"/>
      <x:c r="U1523" s="24" t="str">
        <x:v>ATIVA/SEM FIM INFORMADO</x:v>
      </x:c>
      <x:c r="V1523" s="24"/>
      <x:c r="W1523" s="24" t="n">
        <x:v>15</x:v>
      </x:c>
      <x:c r="X1523" s="24" t="str">
        <x:v>tabela_zeiss.pdf</x:v>
      </x:c>
      <x:c r="Y1523" s="24" t="str">
        <x:v>alta</x:v>
      </x:c>
      <x:c r="Z1523" s="24"/>
      <x:c r="AA1523" s="24" t="str">
        <x:v>ZEISS|Visão Simples|Surfaçada|SmartLife Individual 3|Polarizada|1.6|1.60|DuraVision Chrome UV|-8.00 a +8.00|-4.00|-|70|||15</x:v>
      </x:c>
    </x:row>
    <x:row r="1524">
      <x:c r="A1524" s="24" t="str">
        <x:v>ZS-0E60B94C975C</x:v>
      </x:c>
      <x:c r="B1524" s="24" t="str">
        <x:v>SIM</x:v>
      </x:c>
      <x:c r="C1524" s="24" t="str">
        <x:v>DISPONÍVEL</x:v>
      </x:c>
      <x:c r="D1524" s="24" t="str">
        <x:v>ZEISS</x:v>
      </x:c>
      <x:c r="E1524" s="24" t="str">
        <x:v>Visão Simples</x:v>
      </x:c>
      <x:c r="F1524" s="24" t="str">
        <x:v>Surfaçada</x:v>
      </x:c>
      <x:c r="G1524" s="24" t="str">
        <x:v>SmartLife Individual 3</x:v>
      </x:c>
      <x:c r="H1524" s="24" t="str">
        <x:v>Polarizada</x:v>
      </x:c>
      <x:c r="I1524" s="24" t="str">
        <x:v>1.6</x:v>
      </x:c>
      <x:c r="J1524" s="24" t="str">
        <x:v>1.60</x:v>
      </x:c>
      <x:c r="K1524" s="24" t="str">
        <x:v>Sem AR</x:v>
      </x:c>
      <x:c r="L1524" s="40" t="n">
        <x:v>2689</x:v>
      </x:c>
      <x:c r="M1524" s="24" t="str">
        <x:v>-8.00 a +8.00</x:v>
      </x:c>
      <x:c r="N1524" s="24" t="str">
        <x:v>-4.00</x:v>
      </x:c>
      <x:c r="O1524" s="24" t="str">
        <x:v>-</x:v>
      </x:c>
      <x:c r="P1524" s="24" t="str">
        <x:v>70</x:v>
      </x:c>
      <x:c r="Q1524" s="24"/>
      <x:c r="R1524" s="24"/>
      <x:c r="S1524" s="26" t="n">
        <x:v>46113</x:v>
      </x:c>
      <x:c r="T1524" s="26"/>
      <x:c r="U1524" s="24" t="str">
        <x:v>ATIVA/SEM FIM INFORMADO</x:v>
      </x:c>
      <x:c r="V1524" s="24"/>
      <x:c r="W1524" s="24" t="n">
        <x:v>15</x:v>
      </x:c>
      <x:c r="X1524" s="24" t="str">
        <x:v>tabela_zeiss.pdf</x:v>
      </x:c>
      <x:c r="Y1524" s="24" t="str">
        <x:v>alta</x:v>
      </x:c>
      <x:c r="Z1524" s="24"/>
      <x:c r="AA1524" s="24" t="str">
        <x:v>ZEISS|Visão Simples|Surfaçada|SmartLife Individual 3|Polarizada|1.6|1.60|Sem AR|-8.00 a +8.00|-4.00|-|70|||15</x:v>
      </x:c>
    </x:row>
    <x:row r="1525">
      <x:c r="A1525" s="24" t="str">
        <x:v>ZS-53478C961AB0</x:v>
      </x:c>
      <x:c r="B1525" s="24" t="str">
        <x:v>SIM</x:v>
      </x:c>
      <x:c r="C1525" s="24" t="str">
        <x:v>DISPONÍVEL</x:v>
      </x:c>
      <x:c r="D1525" s="24" t="str">
        <x:v>ZEISS</x:v>
      </x:c>
      <x:c r="E1525" s="24" t="str">
        <x:v>Visão Simples</x:v>
      </x:c>
      <x:c r="F1525" s="24" t="str">
        <x:v>Surfaçada</x:v>
      </x:c>
      <x:c r="G1525" s="24" t="str">
        <x:v>SmartLife</x:v>
      </x:c>
      <x:c r="H1525" s="24"/>
      <x:c r="I1525" s="24" t="str">
        <x:v>1.5</x:v>
      </x:c>
      <x:c r="J1525" s="24" t="str">
        <x:v>1.50</x:v>
      </x:c>
      <x:c r="K1525" s="24" t="str">
        <x:v>DURAVISION® GOLD</x:v>
      </x:c>
      <x:c r="L1525" s="40" t="n">
        <x:v>2269</x:v>
      </x:c>
      <x:c r="M1525" s="24" t="str">
        <x:v>-6.00 a +6.00</x:v>
      </x:c>
      <x:c r="N1525" s="24" t="str">
        <x:v>-4.00</x:v>
      </x:c>
      <x:c r="O1525" s="24" t="str">
        <x:v>-</x:v>
      </x:c>
      <x:c r="P1525" s="24" t="str">
        <x:v>75</x:v>
      </x:c>
      <x:c r="Q1525" s="24"/>
      <x:c r="R1525" s="24"/>
      <x:c r="S1525" s="26" t="n">
        <x:v>46113</x:v>
      </x:c>
      <x:c r="T1525" s="26"/>
      <x:c r="U1525" s="24" t="str">
        <x:v>ATIVA/SEM FIM INFORMADO</x:v>
      </x:c>
      <x:c r="V1525" s="24"/>
      <x:c r="W1525" s="24" t="n">
        <x:v>16</x:v>
      </x:c>
      <x:c r="X1525" s="24" t="str">
        <x:v>tabela_zeiss.pdf</x:v>
      </x:c>
      <x:c r="Y1525" s="24" t="str">
        <x:v>alta</x:v>
      </x:c>
      <x:c r="Z1525" s="24"/>
      <x:c r="AA1525" s="24" t="str">
        <x:v>ZEISS|Visão Simples|Surfaçada|SmartLife||1.5|1.50|DURAVISION® GOLD|-6.00 a +6.00|-4.00|-|75|||16</x:v>
      </x:c>
    </x:row>
    <x:row r="1526">
      <x:c r="A1526" s="24" t="str">
        <x:v>ZS-760EFE99F7EE</x:v>
      </x:c>
      <x:c r="B1526" s="24" t="str">
        <x:v>SIM</x:v>
      </x:c>
      <x:c r="C1526" s="24" t="str">
        <x:v>DISPONÍVEL</x:v>
      </x:c>
      <x:c r="D1526" s="24" t="str">
        <x:v>ZEISS</x:v>
      </x:c>
      <x:c r="E1526" s="24" t="str">
        <x:v>Visão Simples</x:v>
      </x:c>
      <x:c r="F1526" s="24" t="str">
        <x:v>Surfaçada</x:v>
      </x:c>
      <x:c r="G1526" s="24" t="str">
        <x:v>SmartLife</x:v>
      </x:c>
      <x:c r="H1526" s="24"/>
      <x:c r="I1526" s="24" t="str">
        <x:v>1.5</x:v>
      </x:c>
      <x:c r="J1526" s="24" t="str">
        <x:v>1.50</x:v>
      </x:c>
      <x:c r="K1526" s="24" t="str">
        <x:v>DURAVISION® ANTIVÍRUS PLATINUM UV</x:v>
      </x:c>
      <x:c r="L1526" s="40" t="n">
        <x:v>2129</x:v>
      </x:c>
      <x:c r="M1526" s="24" t="str">
        <x:v>-6.00 a +6.00</x:v>
      </x:c>
      <x:c r="N1526" s="24" t="str">
        <x:v>-4.00</x:v>
      </x:c>
      <x:c r="O1526" s="24" t="str">
        <x:v>-</x:v>
      </x:c>
      <x:c r="P1526" s="24" t="str">
        <x:v>75</x:v>
      </x:c>
      <x:c r="Q1526" s="24"/>
      <x:c r="R1526" s="24"/>
      <x:c r="S1526" s="26" t="n">
        <x:v>46113</x:v>
      </x:c>
      <x:c r="T1526" s="26"/>
      <x:c r="U1526" s="24" t="str">
        <x:v>ATIVA/SEM FIM INFORMADO</x:v>
      </x:c>
      <x:c r="V1526" s="24"/>
      <x:c r="W1526" s="24" t="n">
        <x:v>16</x:v>
      </x:c>
      <x:c r="X1526" s="24" t="str">
        <x:v>tabela_zeiss.pdf</x:v>
      </x:c>
      <x:c r="Y1526" s="24" t="str">
        <x:v>alta</x:v>
      </x:c>
      <x:c r="Z1526" s="24"/>
      <x:c r="AA1526" s="24" t="str">
        <x:v>ZEISS|Visão Simples|Surfaçada|SmartLife||1.5|1.50|DURAVISION® ANTIVÍRUS PLATINUM UV|-6.00 a +6.00|-4.00|-|75|||16</x:v>
      </x:c>
    </x:row>
    <x:row r="1527">
      <x:c r="A1527" s="24" t="str">
        <x:v>ZS-FC340247417B</x:v>
      </x:c>
      <x:c r="B1527" s="24" t="str">
        <x:v>SIM</x:v>
      </x:c>
      <x:c r="C1527" s="24" t="str">
        <x:v>DISPONÍVEL</x:v>
      </x:c>
      <x:c r="D1527" s="24" t="str">
        <x:v>ZEISS</x:v>
      </x:c>
      <x:c r="E1527" s="24" t="str">
        <x:v>Visão Simples</x:v>
      </x:c>
      <x:c r="F1527" s="24" t="str">
        <x:v>Surfaçada</x:v>
      </x:c>
      <x:c r="G1527" s="24" t="str">
        <x:v>SmartLife</x:v>
      </x:c>
      <x:c r="H1527" s="24"/>
      <x:c r="I1527" s="24" t="str">
        <x:v>1.5</x:v>
      </x:c>
      <x:c r="J1527" s="24" t="str">
        <x:v>1.50</x:v>
      </x:c>
      <x:c r="K1527" s="24" t="str">
        <x:v>DuraVision Platinum UV</x:v>
      </x:c>
      <x:c r="L1527" s="40" t="n">
        <x:v>2129</x:v>
      </x:c>
      <x:c r="M1527" s="24" t="str">
        <x:v>-6.00 a +6.00</x:v>
      </x:c>
      <x:c r="N1527" s="24" t="str">
        <x:v>-4.00</x:v>
      </x:c>
      <x:c r="O1527" s="24" t="str">
        <x:v>-</x:v>
      </x:c>
      <x:c r="P1527" s="24" t="str">
        <x:v>75</x:v>
      </x:c>
      <x:c r="Q1527" s="24"/>
      <x:c r="R1527" s="24"/>
      <x:c r="S1527" s="26" t="n">
        <x:v>46113</x:v>
      </x:c>
      <x:c r="T1527" s="26"/>
      <x:c r="U1527" s="24" t="str">
        <x:v>ATIVA/SEM FIM INFORMADO</x:v>
      </x:c>
      <x:c r="V1527" s="24"/>
      <x:c r="W1527" s="24" t="n">
        <x:v>16</x:v>
      </x:c>
      <x:c r="X1527" s="24" t="str">
        <x:v>tabela_zeiss.pdf</x:v>
      </x:c>
      <x:c r="Y1527" s="24" t="str">
        <x:v>alta</x:v>
      </x:c>
      <x:c r="Z1527" s="24"/>
      <x:c r="AA1527" s="24" t="str">
        <x:v>ZEISS|Visão Simples|Surfaçada|SmartLife||1.5|1.50|DuraVision Platinum UV|-6.00 a +6.00|-4.00|-|75|||16</x:v>
      </x:c>
    </x:row>
    <x:row r="1528">
      <x:c r="A1528" s="24" t="str">
        <x:v>ZS-ED4525F24700</x:v>
      </x:c>
      <x:c r="B1528" s="24" t="str">
        <x:v>SIM</x:v>
      </x:c>
      <x:c r="C1528" s="24" t="str">
        <x:v>DISPONÍVEL</x:v>
      </x:c>
      <x:c r="D1528" s="24" t="str">
        <x:v>ZEISS</x:v>
      </x:c>
      <x:c r="E1528" s="24" t="str">
        <x:v>Visão Simples</x:v>
      </x:c>
      <x:c r="F1528" s="24" t="str">
        <x:v>Surfaçada</x:v>
      </x:c>
      <x:c r="G1528" s="24" t="str">
        <x:v>SmartLife</x:v>
      </x:c>
      <x:c r="H1528" s="24"/>
      <x:c r="I1528" s="24" t="str">
        <x:v>1.5</x:v>
      </x:c>
      <x:c r="J1528" s="24" t="str">
        <x:v>1.50</x:v>
      </x:c>
      <x:c r="K1528" s="24" t="str">
        <x:v>DuraVision Silver UV</x:v>
      </x:c>
      <x:c r="L1528" s="40" t="n">
        <x:v>1869</x:v>
      </x:c>
      <x:c r="M1528" s="24" t="str">
        <x:v>-6.00 a +6.00</x:v>
      </x:c>
      <x:c r="N1528" s="24" t="str">
        <x:v>-4.00</x:v>
      </x:c>
      <x:c r="O1528" s="24" t="str">
        <x:v>-</x:v>
      </x:c>
      <x:c r="P1528" s="24" t="str">
        <x:v>75</x:v>
      </x:c>
      <x:c r="Q1528" s="24"/>
      <x:c r="R1528" s="24"/>
      <x:c r="S1528" s="26" t="n">
        <x:v>46113</x:v>
      </x:c>
      <x:c r="T1528" s="26"/>
      <x:c r="U1528" s="24" t="str">
        <x:v>ATIVA/SEM FIM INFORMADO</x:v>
      </x:c>
      <x:c r="V1528" s="24"/>
      <x:c r="W1528" s="24" t="n">
        <x:v>16</x:v>
      </x:c>
      <x:c r="X1528" s="24" t="str">
        <x:v>tabela_zeiss.pdf</x:v>
      </x:c>
      <x:c r="Y1528" s="24" t="str">
        <x:v>alta</x:v>
      </x:c>
      <x:c r="Z1528" s="24"/>
      <x:c r="AA1528" s="24" t="str">
        <x:v>ZEISS|Visão Simples|Surfaçada|SmartLife||1.5|1.50|DuraVision Silver UV|-6.00 a +6.00|-4.00|-|75|||16</x:v>
      </x:c>
    </x:row>
    <x:row r="1529">
      <x:c r="A1529" s="24" t="str">
        <x:v>ZS-CFD4BA933786</x:v>
      </x:c>
      <x:c r="B1529" s="24" t="str">
        <x:v>SIM</x:v>
      </x:c>
      <x:c r="C1529" s="24" t="str">
        <x:v>DISPONÍVEL</x:v>
      </x:c>
      <x:c r="D1529" s="24" t="str">
        <x:v>ZEISS</x:v>
      </x:c>
      <x:c r="E1529" s="24" t="str">
        <x:v>Visão Simples</x:v>
      </x:c>
      <x:c r="F1529" s="24" t="str">
        <x:v>Surfaçada</x:v>
      </x:c>
      <x:c r="G1529" s="24" t="str">
        <x:v>SmartLife</x:v>
      </x:c>
      <x:c r="H1529" s="24"/>
      <x:c r="I1529" s="24" t="str">
        <x:v>1.5</x:v>
      </x:c>
      <x:c r="J1529" s="24" t="str">
        <x:v>1.50</x:v>
      </x:c>
      <x:c r="K1529" s="24" t="str">
        <x:v>DuraVision Chrome UV</x:v>
      </x:c>
      <x:c r="L1529" s="40" t="n">
        <x:v>1379</x:v>
      </x:c>
      <x:c r="M1529" s="24" t="str">
        <x:v>-6.00 a +6.00</x:v>
      </x:c>
      <x:c r="N1529" s="24" t="str">
        <x:v>-4.00</x:v>
      </x:c>
      <x:c r="O1529" s="24" t="str">
        <x:v>-</x:v>
      </x:c>
      <x:c r="P1529" s="24" t="str">
        <x:v>75</x:v>
      </x:c>
      <x:c r="Q1529" s="24"/>
      <x:c r="R1529" s="24"/>
      <x:c r="S1529" s="26" t="n">
        <x:v>46113</x:v>
      </x:c>
      <x:c r="T1529" s="26"/>
      <x:c r="U1529" s="24" t="str">
        <x:v>ATIVA/SEM FIM INFORMADO</x:v>
      </x:c>
      <x:c r="V1529" s="24"/>
      <x:c r="W1529" s="24" t="n">
        <x:v>16</x:v>
      </x:c>
      <x:c r="X1529" s="24" t="str">
        <x:v>tabela_zeiss.pdf</x:v>
      </x:c>
      <x:c r="Y1529" s="24" t="str">
        <x:v>alta</x:v>
      </x:c>
      <x:c r="Z1529" s="24"/>
      <x:c r="AA1529" s="24" t="str">
        <x:v>ZEISS|Visão Simples|Surfaçada|SmartLife||1.5|1.50|DuraVision Chrome UV|-6.00 a +6.00|-4.00|-|75|||16</x:v>
      </x:c>
    </x:row>
    <x:row r="1530">
      <x:c r="A1530" s="24" t="str">
        <x:v>ZS-E73B50F99ABA</x:v>
      </x:c>
      <x:c r="B1530" s="24" t="str">
        <x:v>SIM</x:v>
      </x:c>
      <x:c r="C1530" s="24" t="str">
        <x:v>DISPONÍVEL</x:v>
      </x:c>
      <x:c r="D1530" s="24" t="str">
        <x:v>ZEISS</x:v>
      </x:c>
      <x:c r="E1530" s="24" t="str">
        <x:v>Visão Simples</x:v>
      </x:c>
      <x:c r="F1530" s="24" t="str">
        <x:v>Surfaçada</x:v>
      </x:c>
      <x:c r="G1530" s="24" t="str">
        <x:v>SmartLife</x:v>
      </x:c>
      <x:c r="H1530" s="24"/>
      <x:c r="I1530" s="24" t="str">
        <x:v>Poli</x:v>
      </x:c>
      <x:c r="J1530" s="24"/>
      <x:c r="K1530" s="24" t="str">
        <x:v>DURAVISION® GOLD</x:v>
      </x:c>
      <x:c r="L1530" s="40" t="n">
        <x:v>2629</x:v>
      </x:c>
      <x:c r="M1530" s="24" t="str">
        <x:v>-10.00 a +8.00</x:v>
      </x:c>
      <x:c r="N1530" s="24" t="str">
        <x:v>-4.00</x:v>
      </x:c>
      <x:c r="O1530" s="24" t="str">
        <x:v>-</x:v>
      </x:c>
      <x:c r="P1530" s="24" t="str">
        <x:v>70</x:v>
      </x:c>
      <x:c r="Q1530" s="24"/>
      <x:c r="R1530" s="24"/>
      <x:c r="S1530" s="26" t="n">
        <x:v>46113</x:v>
      </x:c>
      <x:c r="T1530" s="26"/>
      <x:c r="U1530" s="24" t="str">
        <x:v>ATIVA/SEM FIM INFORMADO</x:v>
      </x:c>
      <x:c r="V1530" s="24"/>
      <x:c r="W1530" s="24" t="n">
        <x:v>16</x:v>
      </x:c>
      <x:c r="X1530" s="24" t="str">
        <x:v>tabela_zeiss.pdf</x:v>
      </x:c>
      <x:c r="Y1530" s="24" t="str">
        <x:v>alta</x:v>
      </x:c>
      <x:c r="Z1530" s="24"/>
      <x:c r="AA1530" s="24" t="str">
        <x:v>ZEISS|Visão Simples|Surfaçada|SmartLife||Poli||DURAVISION® GOLD|-10.00 a +8.00|-4.00|-|70|||16</x:v>
      </x:c>
    </x:row>
    <x:row r="1531">
      <x:c r="A1531" s="24" t="str">
        <x:v>ZS-8A40ADD4AF1E</x:v>
      </x:c>
      <x:c r="B1531" s="24" t="str">
        <x:v>SIM</x:v>
      </x:c>
      <x:c r="C1531" s="24" t="str">
        <x:v>DISPONÍVEL</x:v>
      </x:c>
      <x:c r="D1531" s="24" t="str">
        <x:v>ZEISS</x:v>
      </x:c>
      <x:c r="E1531" s="24" t="str">
        <x:v>Visão Simples</x:v>
      </x:c>
      <x:c r="F1531" s="24" t="str">
        <x:v>Surfaçada</x:v>
      </x:c>
      <x:c r="G1531" s="24" t="str">
        <x:v>SmartLife</x:v>
      </x:c>
      <x:c r="H1531" s="24"/>
      <x:c r="I1531" s="24" t="str">
        <x:v>Poli</x:v>
      </x:c>
      <x:c r="J1531" s="24"/>
      <x:c r="K1531" s="24" t="str">
        <x:v>DuraVision Platinum UV</x:v>
      </x:c>
      <x:c r="L1531" s="40" t="n">
        <x:v>2489</x:v>
      </x:c>
      <x:c r="M1531" s="24" t="str">
        <x:v>-10.00 a +8.00</x:v>
      </x:c>
      <x:c r="N1531" s="24" t="str">
        <x:v>-4.00</x:v>
      </x:c>
      <x:c r="O1531" s="24" t="str">
        <x:v>-</x:v>
      </x:c>
      <x:c r="P1531" s="24" t="str">
        <x:v>70</x:v>
      </x:c>
      <x:c r="Q1531" s="24"/>
      <x:c r="R1531" s="24"/>
      <x:c r="S1531" s="26" t="n">
        <x:v>46113</x:v>
      </x:c>
      <x:c r="T1531" s="26"/>
      <x:c r="U1531" s="24" t="str">
        <x:v>ATIVA/SEM FIM INFORMADO</x:v>
      </x:c>
      <x:c r="V1531" s="24"/>
      <x:c r="W1531" s="24" t="n">
        <x:v>16</x:v>
      </x:c>
      <x:c r="X1531" s="24" t="str">
        <x:v>tabela_zeiss.pdf</x:v>
      </x:c>
      <x:c r="Y1531" s="24" t="str">
        <x:v>alta</x:v>
      </x:c>
      <x:c r="Z1531" s="24"/>
      <x:c r="AA1531" s="24" t="str">
        <x:v>ZEISS|Visão Simples|Surfaçada|SmartLife||Poli||DuraVision Platinum UV|-10.00 a +8.00|-4.00|-|70|||16</x:v>
      </x:c>
    </x:row>
    <x:row r="1532">
      <x:c r="A1532" s="24" t="str">
        <x:v>ZS-7AEC4B05724F</x:v>
      </x:c>
      <x:c r="B1532" s="24" t="str">
        <x:v>SIM</x:v>
      </x:c>
      <x:c r="C1532" s="24" t="str">
        <x:v>DISPONÍVEL</x:v>
      </x:c>
      <x:c r="D1532" s="24" t="str">
        <x:v>ZEISS</x:v>
      </x:c>
      <x:c r="E1532" s="24" t="str">
        <x:v>Visão Simples</x:v>
      </x:c>
      <x:c r="F1532" s="24" t="str">
        <x:v>Surfaçada</x:v>
      </x:c>
      <x:c r="G1532" s="24" t="str">
        <x:v>SmartLife</x:v>
      </x:c>
      <x:c r="H1532" s="24"/>
      <x:c r="I1532" s="24" t="str">
        <x:v>Poli</x:v>
      </x:c>
      <x:c r="J1532" s="24"/>
      <x:c r="K1532" s="24" t="str">
        <x:v>DuraVision Silver UV</x:v>
      </x:c>
      <x:c r="L1532" s="40" t="n">
        <x:v>2229</x:v>
      </x:c>
      <x:c r="M1532" s="24" t="str">
        <x:v>-10.00 a +8.00</x:v>
      </x:c>
      <x:c r="N1532" s="24" t="str">
        <x:v>-4.00</x:v>
      </x:c>
      <x:c r="O1532" s="24" t="str">
        <x:v>-</x:v>
      </x:c>
      <x:c r="P1532" s="24" t="str">
        <x:v>70</x:v>
      </x:c>
      <x:c r="Q1532" s="24"/>
      <x:c r="R1532" s="24"/>
      <x:c r="S1532" s="26" t="n">
        <x:v>46113</x:v>
      </x:c>
      <x:c r="T1532" s="26"/>
      <x:c r="U1532" s="24" t="str">
        <x:v>ATIVA/SEM FIM INFORMADO</x:v>
      </x:c>
      <x:c r="V1532" s="24"/>
      <x:c r="W1532" s="24" t="n">
        <x:v>16</x:v>
      </x:c>
      <x:c r="X1532" s="24" t="str">
        <x:v>tabela_zeiss.pdf</x:v>
      </x:c>
      <x:c r="Y1532" s="24" t="str">
        <x:v>alta</x:v>
      </x:c>
      <x:c r="Z1532" s="24"/>
      <x:c r="AA1532" s="24" t="str">
        <x:v>ZEISS|Visão Simples|Surfaçada|SmartLife||Poli||DuraVision Silver UV|-10.00 a +8.00|-4.00|-|70|||16</x:v>
      </x:c>
    </x:row>
    <x:row r="1533">
      <x:c r="A1533" s="24" t="str">
        <x:v>ZS-B99C0DF0B69A</x:v>
      </x:c>
      <x:c r="B1533" s="24" t="str">
        <x:v>SIM</x:v>
      </x:c>
      <x:c r="C1533" s="24" t="str">
        <x:v>DISPONÍVEL</x:v>
      </x:c>
      <x:c r="D1533" s="24" t="str">
        <x:v>ZEISS</x:v>
      </x:c>
      <x:c r="E1533" s="24" t="str">
        <x:v>Visão Simples</x:v>
      </x:c>
      <x:c r="F1533" s="24" t="str">
        <x:v>Surfaçada</x:v>
      </x:c>
      <x:c r="G1533" s="24" t="str">
        <x:v>SmartLife</x:v>
      </x:c>
      <x:c r="H1533" s="24"/>
      <x:c r="I1533" s="24" t="str">
        <x:v>Poli</x:v>
      </x:c>
      <x:c r="J1533" s="24"/>
      <x:c r="K1533" s="24" t="str">
        <x:v>DuraVision Chrome UV</x:v>
      </x:c>
      <x:c r="L1533" s="40" t="n">
        <x:v>1739</x:v>
      </x:c>
      <x:c r="M1533" s="24" t="str">
        <x:v>-10.00 a +8.00</x:v>
      </x:c>
      <x:c r="N1533" s="24" t="str">
        <x:v>-4.00</x:v>
      </x:c>
      <x:c r="O1533" s="24" t="str">
        <x:v>-</x:v>
      </x:c>
      <x:c r="P1533" s="24" t="str">
        <x:v>70</x:v>
      </x:c>
      <x:c r="Q1533" s="24"/>
      <x:c r="R1533" s="24"/>
      <x:c r="S1533" s="26" t="n">
        <x:v>46113</x:v>
      </x:c>
      <x:c r="T1533" s="26"/>
      <x:c r="U1533" s="24" t="str">
        <x:v>ATIVA/SEM FIM INFORMADO</x:v>
      </x:c>
      <x:c r="V1533" s="24"/>
      <x:c r="W1533" s="24" t="n">
        <x:v>16</x:v>
      </x:c>
      <x:c r="X1533" s="24" t="str">
        <x:v>tabela_zeiss.pdf</x:v>
      </x:c>
      <x:c r="Y1533" s="24" t="str">
        <x:v>alta</x:v>
      </x:c>
      <x:c r="Z1533" s="24"/>
      <x:c r="AA1533" s="24" t="str">
        <x:v>ZEISS|Visão Simples|Surfaçada|SmartLife||Poli||DuraVision Chrome UV|-10.00 a +8.00|-4.00|-|70|||16</x:v>
      </x:c>
    </x:row>
    <x:row r="1534">
      <x:c r="A1534" s="24" t="str">
        <x:v>ZS-03252A72E7B6</x:v>
      </x:c>
      <x:c r="B1534" s="24" t="str">
        <x:v>SIM</x:v>
      </x:c>
      <x:c r="C1534" s="24" t="str">
        <x:v>DISPONÍVEL</x:v>
      </x:c>
      <x:c r="D1534" s="24" t="str">
        <x:v>ZEISS</x:v>
      </x:c>
      <x:c r="E1534" s="24" t="str">
        <x:v>Visão Simples</x:v>
      </x:c>
      <x:c r="F1534" s="24" t="str">
        <x:v>Surfaçada</x:v>
      </x:c>
      <x:c r="G1534" s="24" t="str">
        <x:v>SmartLife</x:v>
      </x:c>
      <x:c r="H1534" s="24"/>
      <x:c r="I1534" s="24" t="str">
        <x:v>1.6</x:v>
      </x:c>
      <x:c r="J1534" s="24" t="str">
        <x:v>1.60</x:v>
      </x:c>
      <x:c r="K1534" s="24" t="str">
        <x:v>DURAVISION® GOLD</x:v>
      </x:c>
      <x:c r="L1534" s="40" t="n">
        <x:v>2849</x:v>
      </x:c>
      <x:c r="M1534" s="24" t="str">
        <x:v>-6.00 a +6.00</x:v>
      </x:c>
      <x:c r="N1534" s="24" t="str">
        <x:v>-6.00</x:v>
      </x:c>
      <x:c r="O1534" s="24" t="str">
        <x:v>-</x:v>
      </x:c>
      <x:c r="P1534" s="24" t="str">
        <x:v>75</x:v>
      </x:c>
      <x:c r="Q1534" s="24"/>
      <x:c r="R1534" s="24"/>
      <x:c r="S1534" s="26" t="n">
        <x:v>46113</x:v>
      </x:c>
      <x:c r="T1534" s="26"/>
      <x:c r="U1534" s="24" t="str">
        <x:v>ATIVA/SEM FIM INFORMADO</x:v>
      </x:c>
      <x:c r="V1534" s="24"/>
      <x:c r="W1534" s="24" t="n">
        <x:v>16</x:v>
      </x:c>
      <x:c r="X1534" s="24" t="str">
        <x:v>tabela_zeiss.pdf</x:v>
      </x:c>
      <x:c r="Y1534" s="24" t="str">
        <x:v>alta</x:v>
      </x:c>
      <x:c r="Z1534" s="24"/>
      <x:c r="AA1534" s="24" t="str">
        <x:v>ZEISS|Visão Simples|Surfaçada|SmartLife||1.6|1.60|DURAVISION® GOLD|-6.00 a +6.00|-6.00|-|75|||16</x:v>
      </x:c>
    </x:row>
    <x:row r="1535">
      <x:c r="A1535" s="24" t="str">
        <x:v>ZS-6511486327D8</x:v>
      </x:c>
      <x:c r="B1535" s="24" t="str">
        <x:v>SIM</x:v>
      </x:c>
      <x:c r="C1535" s="24" t="str">
        <x:v>DISPONÍVEL</x:v>
      </x:c>
      <x:c r="D1535" s="24" t="str">
        <x:v>ZEISS</x:v>
      </x:c>
      <x:c r="E1535" s="24" t="str">
        <x:v>Visão Simples</x:v>
      </x:c>
      <x:c r="F1535" s="24" t="str">
        <x:v>Surfaçada</x:v>
      </x:c>
      <x:c r="G1535" s="24" t="str">
        <x:v>SmartLife</x:v>
      </x:c>
      <x:c r="H1535" s="24"/>
      <x:c r="I1535" s="24" t="str">
        <x:v>1.6</x:v>
      </x:c>
      <x:c r="J1535" s="24" t="str">
        <x:v>1.60</x:v>
      </x:c>
      <x:c r="K1535" s="24" t="str">
        <x:v>DURAVISION® ANTIVÍRUS PLATINUM UV</x:v>
      </x:c>
      <x:c r="L1535" s="40" t="n">
        <x:v>2709</x:v>
      </x:c>
      <x:c r="M1535" s="24" t="str">
        <x:v>-6.00 a +6.00</x:v>
      </x:c>
      <x:c r="N1535" s="24" t="str">
        <x:v>-6.00</x:v>
      </x:c>
      <x:c r="O1535" s="24" t="str">
        <x:v>-</x:v>
      </x:c>
      <x:c r="P1535" s="24" t="str">
        <x:v>75</x:v>
      </x:c>
      <x:c r="Q1535" s="24"/>
      <x:c r="R1535" s="24"/>
      <x:c r="S1535" s="26" t="n">
        <x:v>46113</x:v>
      </x:c>
      <x:c r="T1535" s="26"/>
      <x:c r="U1535" s="24" t="str">
        <x:v>ATIVA/SEM FIM INFORMADO</x:v>
      </x:c>
      <x:c r="V1535" s="24"/>
      <x:c r="W1535" s="24" t="n">
        <x:v>16</x:v>
      </x:c>
      <x:c r="X1535" s="24" t="str">
        <x:v>tabela_zeiss.pdf</x:v>
      </x:c>
      <x:c r="Y1535" s="24" t="str">
        <x:v>alta</x:v>
      </x:c>
      <x:c r="Z1535" s="24"/>
      <x:c r="AA1535" s="24" t="str">
        <x:v>ZEISS|Visão Simples|Surfaçada|SmartLife||1.6|1.60|DURAVISION® ANTIVÍRUS PLATINUM UV|-6.00 a +6.00|-6.00|-|75|||16</x:v>
      </x:c>
    </x:row>
    <x:row r="1536">
      <x:c r="A1536" s="24" t="str">
        <x:v>ZS-1B7A30E1E1DE</x:v>
      </x:c>
      <x:c r="B1536" s="24" t="str">
        <x:v>SIM</x:v>
      </x:c>
      <x:c r="C1536" s="24" t="str">
        <x:v>DISPONÍVEL</x:v>
      </x:c>
      <x:c r="D1536" s="24" t="str">
        <x:v>ZEISS</x:v>
      </x:c>
      <x:c r="E1536" s="24" t="str">
        <x:v>Visão Simples</x:v>
      </x:c>
      <x:c r="F1536" s="24" t="str">
        <x:v>Surfaçada</x:v>
      </x:c>
      <x:c r="G1536" s="24" t="str">
        <x:v>SmartLife</x:v>
      </x:c>
      <x:c r="H1536" s="24"/>
      <x:c r="I1536" s="24" t="str">
        <x:v>1.6</x:v>
      </x:c>
      <x:c r="J1536" s="24" t="str">
        <x:v>1.60</x:v>
      </x:c>
      <x:c r="K1536" s="24" t="str">
        <x:v>DuraVision Platinum UV</x:v>
      </x:c>
      <x:c r="L1536" s="40" t="n">
        <x:v>2709</x:v>
      </x:c>
      <x:c r="M1536" s="24" t="str">
        <x:v>-6.00 a +6.00</x:v>
      </x:c>
      <x:c r="N1536" s="24" t="str">
        <x:v>-6.00</x:v>
      </x:c>
      <x:c r="O1536" s="24" t="str">
        <x:v>-</x:v>
      </x:c>
      <x:c r="P1536" s="24" t="str">
        <x:v>75</x:v>
      </x:c>
      <x:c r="Q1536" s="24"/>
      <x:c r="R1536" s="24"/>
      <x:c r="S1536" s="26" t="n">
        <x:v>46113</x:v>
      </x:c>
      <x:c r="T1536" s="26"/>
      <x:c r="U1536" s="24" t="str">
        <x:v>ATIVA/SEM FIM INFORMADO</x:v>
      </x:c>
      <x:c r="V1536" s="24"/>
      <x:c r="W1536" s="24" t="n">
        <x:v>16</x:v>
      </x:c>
      <x:c r="X1536" s="24" t="str">
        <x:v>tabela_zeiss.pdf</x:v>
      </x:c>
      <x:c r="Y1536" s="24" t="str">
        <x:v>alta</x:v>
      </x:c>
      <x:c r="Z1536" s="24"/>
      <x:c r="AA1536" s="24" t="str">
        <x:v>ZEISS|Visão Simples|Surfaçada|SmartLife||1.6|1.60|DuraVision Platinum UV|-6.00 a +6.00|-6.00|-|75|||16</x:v>
      </x:c>
    </x:row>
    <x:row r="1537">
      <x:c r="A1537" s="24" t="str">
        <x:v>ZS-39B7DAD1EABE</x:v>
      </x:c>
      <x:c r="B1537" s="24" t="str">
        <x:v>SIM</x:v>
      </x:c>
      <x:c r="C1537" s="24" t="str">
        <x:v>DISPONÍVEL</x:v>
      </x:c>
      <x:c r="D1537" s="24" t="str">
        <x:v>ZEISS</x:v>
      </x:c>
      <x:c r="E1537" s="24" t="str">
        <x:v>Visão Simples</x:v>
      </x:c>
      <x:c r="F1537" s="24" t="str">
        <x:v>Surfaçada</x:v>
      </x:c>
      <x:c r="G1537" s="24" t="str">
        <x:v>SmartLife</x:v>
      </x:c>
      <x:c r="H1537" s="24"/>
      <x:c r="I1537" s="24" t="str">
        <x:v>1.6</x:v>
      </x:c>
      <x:c r="J1537" s="24" t="str">
        <x:v>1.60</x:v>
      </x:c>
      <x:c r="K1537" s="24" t="str">
        <x:v>DuraVision Silver UV</x:v>
      </x:c>
      <x:c r="L1537" s="40" t="n">
        <x:v>2449</x:v>
      </x:c>
      <x:c r="M1537" s="24" t="str">
        <x:v>-6.00 a +6.00</x:v>
      </x:c>
      <x:c r="N1537" s="24" t="str">
        <x:v>-6.00</x:v>
      </x:c>
      <x:c r="O1537" s="24" t="str">
        <x:v>-</x:v>
      </x:c>
      <x:c r="P1537" s="24" t="str">
        <x:v>75</x:v>
      </x:c>
      <x:c r="Q1537" s="24"/>
      <x:c r="R1537" s="24"/>
      <x:c r="S1537" s="26" t="n">
        <x:v>46113</x:v>
      </x:c>
      <x:c r="T1537" s="26"/>
      <x:c r="U1537" s="24" t="str">
        <x:v>ATIVA/SEM FIM INFORMADO</x:v>
      </x:c>
      <x:c r="V1537" s="24"/>
      <x:c r="W1537" s="24" t="n">
        <x:v>16</x:v>
      </x:c>
      <x:c r="X1537" s="24" t="str">
        <x:v>tabela_zeiss.pdf</x:v>
      </x:c>
      <x:c r="Y1537" s="24" t="str">
        <x:v>alta</x:v>
      </x:c>
      <x:c r="Z1537" s="24"/>
      <x:c r="AA1537" s="24" t="str">
        <x:v>ZEISS|Visão Simples|Surfaçada|SmartLife||1.6|1.60|DuraVision Silver UV|-6.00 a +6.00|-6.00|-|75|||16</x:v>
      </x:c>
    </x:row>
    <x:row r="1538">
      <x:c r="A1538" s="24" t="str">
        <x:v>ZS-488D69A7F782</x:v>
      </x:c>
      <x:c r="B1538" s="24" t="str">
        <x:v>SIM</x:v>
      </x:c>
      <x:c r="C1538" s="24" t="str">
        <x:v>DISPONÍVEL</x:v>
      </x:c>
      <x:c r="D1538" s="24" t="str">
        <x:v>ZEISS</x:v>
      </x:c>
      <x:c r="E1538" s="24" t="str">
        <x:v>Visão Simples</x:v>
      </x:c>
      <x:c r="F1538" s="24" t="str">
        <x:v>Surfaçada</x:v>
      </x:c>
      <x:c r="G1538" s="24" t="str">
        <x:v>SmartLife</x:v>
      </x:c>
      <x:c r="H1538" s="24"/>
      <x:c r="I1538" s="24" t="str">
        <x:v>1.6</x:v>
      </x:c>
      <x:c r="J1538" s="24" t="str">
        <x:v>1.60</x:v>
      </x:c>
      <x:c r="K1538" s="24" t="str">
        <x:v>DuraVision Chrome UV</x:v>
      </x:c>
      <x:c r="L1538" s="40" t="n">
        <x:v>1959</x:v>
      </x:c>
      <x:c r="M1538" s="24" t="str">
        <x:v>-6.00 a +6.00</x:v>
      </x:c>
      <x:c r="N1538" s="24" t="str">
        <x:v>-6.00</x:v>
      </x:c>
      <x:c r="O1538" s="24" t="str">
        <x:v>-</x:v>
      </x:c>
      <x:c r="P1538" s="24" t="str">
        <x:v>75</x:v>
      </x:c>
      <x:c r="Q1538" s="24"/>
      <x:c r="R1538" s="24"/>
      <x:c r="S1538" s="26" t="n">
        <x:v>46113</x:v>
      </x:c>
      <x:c r="T1538" s="26"/>
      <x:c r="U1538" s="24" t="str">
        <x:v>ATIVA/SEM FIM INFORMADO</x:v>
      </x:c>
      <x:c r="V1538" s="24"/>
      <x:c r="W1538" s="24" t="n">
        <x:v>16</x:v>
      </x:c>
      <x:c r="X1538" s="24" t="str">
        <x:v>tabela_zeiss.pdf</x:v>
      </x:c>
      <x:c r="Y1538" s="24" t="str">
        <x:v>alta</x:v>
      </x:c>
      <x:c r="Z1538" s="24"/>
      <x:c r="AA1538" s="24" t="str">
        <x:v>ZEISS|Visão Simples|Surfaçada|SmartLife||1.6|1.60|DuraVision Chrome UV|-6.00 a +6.00|-6.00|-|75|||16</x:v>
      </x:c>
    </x:row>
    <x:row r="1539">
      <x:c r="A1539" s="24" t="str">
        <x:v>ZS-CD2CEDFF6DBF</x:v>
      </x:c>
      <x:c r="B1539" s="24" t="str">
        <x:v>SIM</x:v>
      </x:c>
      <x:c r="C1539" s="24" t="str">
        <x:v>DISPONÍVEL</x:v>
      </x:c>
      <x:c r="D1539" s="24" t="str">
        <x:v>ZEISS</x:v>
      </x:c>
      <x:c r="E1539" s="24" t="str">
        <x:v>Visão Simples</x:v>
      </x:c>
      <x:c r="F1539" s="24" t="str">
        <x:v>Surfaçada</x:v>
      </x:c>
      <x:c r="G1539" s="24" t="str">
        <x:v>SmartLife</x:v>
      </x:c>
      <x:c r="H1539" s="24"/>
      <x:c r="I1539" s="24" t="str">
        <x:v>1.67</x:v>
      </x:c>
      <x:c r="J1539" s="24" t="str">
        <x:v>1.67</x:v>
      </x:c>
      <x:c r="K1539" s="24" t="str">
        <x:v>DURAVISION® GOLD</x:v>
      </x:c>
      <x:c r="L1539" s="40" t="n">
        <x:v>4149</x:v>
      </x:c>
      <x:c r="M1539" s="24" t="str">
        <x:v>-8.00 a +8.00</x:v>
      </x:c>
      <x:c r="N1539" s="24" t="str">
        <x:v>-6.00</x:v>
      </x:c>
      <x:c r="O1539" s="24" t="str">
        <x:v>-</x:v>
      </x:c>
      <x:c r="P1539" s="24" t="str">
        <x:v>70</x:v>
      </x:c>
      <x:c r="Q1539" s="24"/>
      <x:c r="R1539" s="24"/>
      <x:c r="S1539" s="26" t="n">
        <x:v>46113</x:v>
      </x:c>
      <x:c r="T1539" s="26"/>
      <x:c r="U1539" s="24" t="str">
        <x:v>ATIVA/SEM FIM INFORMADO</x:v>
      </x:c>
      <x:c r="V1539" s="24"/>
      <x:c r="W1539" s="24" t="n">
        <x:v>16</x:v>
      </x:c>
      <x:c r="X1539" s="24" t="str">
        <x:v>tabela_zeiss.pdf</x:v>
      </x:c>
      <x:c r="Y1539" s="24" t="str">
        <x:v>alta</x:v>
      </x:c>
      <x:c r="Z1539" s="24"/>
      <x:c r="AA1539" s="24" t="str">
        <x:v>ZEISS|Visão Simples|Surfaçada|SmartLife||1.67|1.67|DURAVISION® GOLD|-8.00 a +8.00|-6.00|-|70|||16</x:v>
      </x:c>
    </x:row>
    <x:row r="1540">
      <x:c r="A1540" s="24" t="str">
        <x:v>ZS-4C84111B2451</x:v>
      </x:c>
      <x:c r="B1540" s="24" t="str">
        <x:v>SIM</x:v>
      </x:c>
      <x:c r="C1540" s="24" t="str">
        <x:v>DISPONÍVEL</x:v>
      </x:c>
      <x:c r="D1540" s="24" t="str">
        <x:v>ZEISS</x:v>
      </x:c>
      <x:c r="E1540" s="24" t="str">
        <x:v>Visão Simples</x:v>
      </x:c>
      <x:c r="F1540" s="24" t="str">
        <x:v>Surfaçada</x:v>
      </x:c>
      <x:c r="G1540" s="24" t="str">
        <x:v>SmartLife</x:v>
      </x:c>
      <x:c r="H1540" s="24"/>
      <x:c r="I1540" s="24" t="str">
        <x:v>1.67</x:v>
      </x:c>
      <x:c r="J1540" s="24" t="str">
        <x:v>1.67</x:v>
      </x:c>
      <x:c r="K1540" s="24" t="str">
        <x:v>DURAVISION® ANTIVÍRUS PLATINUM UV</x:v>
      </x:c>
      <x:c r="L1540" s="40" t="n">
        <x:v>4009</x:v>
      </x:c>
      <x:c r="M1540" s="24" t="str">
        <x:v>-8.00 a +8.00</x:v>
      </x:c>
      <x:c r="N1540" s="24" t="str">
        <x:v>-6.00</x:v>
      </x:c>
      <x:c r="O1540" s="24" t="str">
        <x:v>-</x:v>
      </x:c>
      <x:c r="P1540" s="24" t="str">
        <x:v>70</x:v>
      </x:c>
      <x:c r="Q1540" s="24"/>
      <x:c r="R1540" s="24"/>
      <x:c r="S1540" s="26" t="n">
        <x:v>46113</x:v>
      </x:c>
      <x:c r="T1540" s="26"/>
      <x:c r="U1540" s="24" t="str">
        <x:v>ATIVA/SEM FIM INFORMADO</x:v>
      </x:c>
      <x:c r="V1540" s="24"/>
      <x:c r="W1540" s="24" t="n">
        <x:v>16</x:v>
      </x:c>
      <x:c r="X1540" s="24" t="str">
        <x:v>tabela_zeiss.pdf</x:v>
      </x:c>
      <x:c r="Y1540" s="24" t="str">
        <x:v>alta</x:v>
      </x:c>
      <x:c r="Z1540" s="24"/>
      <x:c r="AA1540" s="24" t="str">
        <x:v>ZEISS|Visão Simples|Surfaçada|SmartLife||1.67|1.67|DURAVISION® ANTIVÍRUS PLATINUM UV|-8.00 a +8.00|-6.00|-|70|||16</x:v>
      </x:c>
    </x:row>
    <x:row r="1541">
      <x:c r="A1541" s="24" t="str">
        <x:v>ZS-C9194E1C5194</x:v>
      </x:c>
      <x:c r="B1541" s="24" t="str">
        <x:v>SIM</x:v>
      </x:c>
      <x:c r="C1541" s="24" t="str">
        <x:v>DISPONÍVEL</x:v>
      </x:c>
      <x:c r="D1541" s="24" t="str">
        <x:v>ZEISS</x:v>
      </x:c>
      <x:c r="E1541" s="24" t="str">
        <x:v>Visão Simples</x:v>
      </x:c>
      <x:c r="F1541" s="24" t="str">
        <x:v>Surfaçada</x:v>
      </x:c>
      <x:c r="G1541" s="24" t="str">
        <x:v>SmartLife</x:v>
      </x:c>
      <x:c r="H1541" s="24"/>
      <x:c r="I1541" s="24" t="str">
        <x:v>1.67</x:v>
      </x:c>
      <x:c r="J1541" s="24" t="str">
        <x:v>1.67</x:v>
      </x:c>
      <x:c r="K1541" s="24" t="str">
        <x:v>DuraVision Platinum UV</x:v>
      </x:c>
      <x:c r="L1541" s="40" t="n">
        <x:v>4009</x:v>
      </x:c>
      <x:c r="M1541" s="24" t="str">
        <x:v>-8.00 a +8.00</x:v>
      </x:c>
      <x:c r="N1541" s="24" t="str">
        <x:v>-6.00</x:v>
      </x:c>
      <x:c r="O1541" s="24" t="str">
        <x:v>-</x:v>
      </x:c>
      <x:c r="P1541" s="24" t="str">
        <x:v>70</x:v>
      </x:c>
      <x:c r="Q1541" s="24"/>
      <x:c r="R1541" s="24"/>
      <x:c r="S1541" s="26" t="n">
        <x:v>46113</x:v>
      </x:c>
      <x:c r="T1541" s="26"/>
      <x:c r="U1541" s="24" t="str">
        <x:v>ATIVA/SEM FIM INFORMADO</x:v>
      </x:c>
      <x:c r="V1541" s="24"/>
      <x:c r="W1541" s="24" t="n">
        <x:v>16</x:v>
      </x:c>
      <x:c r="X1541" s="24" t="str">
        <x:v>tabela_zeiss.pdf</x:v>
      </x:c>
      <x:c r="Y1541" s="24" t="str">
        <x:v>alta</x:v>
      </x:c>
      <x:c r="Z1541" s="24"/>
      <x:c r="AA1541" s="24" t="str">
        <x:v>ZEISS|Visão Simples|Surfaçada|SmartLife||1.67|1.67|DuraVision Platinum UV|-8.00 a +8.00|-6.00|-|70|||16</x:v>
      </x:c>
    </x:row>
    <x:row r="1542">
      <x:c r="A1542" s="24" t="str">
        <x:v>ZS-5E078AB2548C</x:v>
      </x:c>
      <x:c r="B1542" s="24" t="str">
        <x:v>SIM</x:v>
      </x:c>
      <x:c r="C1542" s="24" t="str">
        <x:v>DISPONÍVEL</x:v>
      </x:c>
      <x:c r="D1542" s="24" t="str">
        <x:v>ZEISS</x:v>
      </x:c>
      <x:c r="E1542" s="24" t="str">
        <x:v>Visão Simples</x:v>
      </x:c>
      <x:c r="F1542" s="24" t="str">
        <x:v>Surfaçada</x:v>
      </x:c>
      <x:c r="G1542" s="24" t="str">
        <x:v>SmartLife</x:v>
      </x:c>
      <x:c r="H1542" s="24"/>
      <x:c r="I1542" s="24" t="str">
        <x:v>1.67</x:v>
      </x:c>
      <x:c r="J1542" s="24" t="str">
        <x:v>1.67</x:v>
      </x:c>
      <x:c r="K1542" s="24" t="str">
        <x:v>DuraVision Silver UV</x:v>
      </x:c>
      <x:c r="L1542" s="40" t="n">
        <x:v>3749</x:v>
      </x:c>
      <x:c r="M1542" s="24" t="str">
        <x:v>-8.00 a +8.00</x:v>
      </x:c>
      <x:c r="N1542" s="24" t="str">
        <x:v>-6.00</x:v>
      </x:c>
      <x:c r="O1542" s="24" t="str">
        <x:v>-</x:v>
      </x:c>
      <x:c r="P1542" s="24" t="str">
        <x:v>70</x:v>
      </x:c>
      <x:c r="Q1542" s="24"/>
      <x:c r="R1542" s="24"/>
      <x:c r="S1542" s="26" t="n">
        <x:v>46113</x:v>
      </x:c>
      <x:c r="T1542" s="26"/>
      <x:c r="U1542" s="24" t="str">
        <x:v>ATIVA/SEM FIM INFORMADO</x:v>
      </x:c>
      <x:c r="V1542" s="24"/>
      <x:c r="W1542" s="24" t="n">
        <x:v>16</x:v>
      </x:c>
      <x:c r="X1542" s="24" t="str">
        <x:v>tabela_zeiss.pdf</x:v>
      </x:c>
      <x:c r="Y1542" s="24" t="str">
        <x:v>alta</x:v>
      </x:c>
      <x:c r="Z1542" s="24"/>
      <x:c r="AA1542" s="24" t="str">
        <x:v>ZEISS|Visão Simples|Surfaçada|SmartLife||1.67|1.67|DuraVision Silver UV|-8.00 a +8.00|-6.00|-|70|||16</x:v>
      </x:c>
    </x:row>
    <x:row r="1543">
      <x:c r="A1543" s="24" t="str">
        <x:v>ZS-26E9E4E1C721</x:v>
      </x:c>
      <x:c r="B1543" s="24" t="str">
        <x:v>SIM</x:v>
      </x:c>
      <x:c r="C1543" s="24" t="str">
        <x:v>DISPONÍVEL</x:v>
      </x:c>
      <x:c r="D1543" s="24" t="str">
        <x:v>ZEISS</x:v>
      </x:c>
      <x:c r="E1543" s="24" t="str">
        <x:v>Visão Simples</x:v>
      </x:c>
      <x:c r="F1543" s="24" t="str">
        <x:v>Surfaçada</x:v>
      </x:c>
      <x:c r="G1543" s="24" t="str">
        <x:v>SmartLife</x:v>
      </x:c>
      <x:c r="H1543" s="24"/>
      <x:c r="I1543" s="24" t="str">
        <x:v>1.67</x:v>
      </x:c>
      <x:c r="J1543" s="24" t="str">
        <x:v>1.67</x:v>
      </x:c>
      <x:c r="K1543" s="24" t="str">
        <x:v>DuraVision Chrome UV</x:v>
      </x:c>
      <x:c r="L1543" s="40" t="n">
        <x:v>3259</x:v>
      </x:c>
      <x:c r="M1543" s="24" t="str">
        <x:v>-8.00 a +8.00</x:v>
      </x:c>
      <x:c r="N1543" s="24" t="str">
        <x:v>-6.00</x:v>
      </x:c>
      <x:c r="O1543" s="24" t="str">
        <x:v>-</x:v>
      </x:c>
      <x:c r="P1543" s="24" t="str">
        <x:v>70</x:v>
      </x:c>
      <x:c r="Q1543" s="24"/>
      <x:c r="R1543" s="24"/>
      <x:c r="S1543" s="26" t="n">
        <x:v>46113</x:v>
      </x:c>
      <x:c r="T1543" s="26"/>
      <x:c r="U1543" s="24" t="str">
        <x:v>ATIVA/SEM FIM INFORMADO</x:v>
      </x:c>
      <x:c r="V1543" s="24"/>
      <x:c r="W1543" s="24" t="n">
        <x:v>16</x:v>
      </x:c>
      <x:c r="X1543" s="24" t="str">
        <x:v>tabela_zeiss.pdf</x:v>
      </x:c>
      <x:c r="Y1543" s="24" t="str">
        <x:v>alta</x:v>
      </x:c>
      <x:c r="Z1543" s="24"/>
      <x:c r="AA1543" s="24" t="str">
        <x:v>ZEISS|Visão Simples|Surfaçada|SmartLife||1.67|1.67|DuraVision Chrome UV|-8.00 a +8.00|-6.00|-|70|||16</x:v>
      </x:c>
    </x:row>
    <x:row r="1544">
      <x:c r="A1544" s="24" t="str">
        <x:v>ZS-2A0C5932A698</x:v>
      </x:c>
      <x:c r="B1544" s="24" t="str">
        <x:v>SIM</x:v>
      </x:c>
      <x:c r="C1544" s="24" t="str">
        <x:v>DISPONÍVEL</x:v>
      </x:c>
      <x:c r="D1544" s="24" t="str">
        <x:v>ZEISS</x:v>
      </x:c>
      <x:c r="E1544" s="24" t="str">
        <x:v>Visão Simples</x:v>
      </x:c>
      <x:c r="F1544" s="24" t="str">
        <x:v>Surfaçada</x:v>
      </x:c>
      <x:c r="G1544" s="24" t="str">
        <x:v>SmartLife</x:v>
      </x:c>
      <x:c r="H1544" s="24"/>
      <x:c r="I1544" s="24" t="str">
        <x:v>1.74</x:v>
      </x:c>
      <x:c r="J1544" s="24" t="str">
        <x:v>1.74</x:v>
      </x:c>
      <x:c r="K1544" s="24" t="str">
        <x:v>DURAVISION® GOLD</x:v>
      </x:c>
      <x:c r="L1544" s="40" t="n">
        <x:v>4459</x:v>
      </x:c>
      <x:c r="M1544" s="24" t="str">
        <x:v>-10.00 a +6.00</x:v>
      </x:c>
      <x:c r="N1544" s="24" t="str">
        <x:v>-6.00</x:v>
      </x:c>
      <x:c r="O1544" s="24" t="str">
        <x:v>-</x:v>
      </x:c>
      <x:c r="P1544" s="24" t="str">
        <x:v>70 a 75</x:v>
      </x:c>
      <x:c r="Q1544" s="24"/>
      <x:c r="R1544" s="24"/>
      <x:c r="S1544" s="26" t="n">
        <x:v>46113</x:v>
      </x:c>
      <x:c r="T1544" s="26"/>
      <x:c r="U1544" s="24" t="str">
        <x:v>ATIVA/SEM FIM INFORMADO</x:v>
      </x:c>
      <x:c r="V1544" s="24"/>
      <x:c r="W1544" s="24" t="n">
        <x:v>16</x:v>
      </x:c>
      <x:c r="X1544" s="24" t="str">
        <x:v>tabela_zeiss.pdf</x:v>
      </x:c>
      <x:c r="Y1544" s="24" t="str">
        <x:v>alta</x:v>
      </x:c>
      <x:c r="Z1544" s="24"/>
      <x:c r="AA1544" s="24" t="str">
        <x:v>ZEISS|Visão Simples|Surfaçada|SmartLife||1.74|1.74|DURAVISION® GOLD|-10.00 a +6.00|-6.00|-|70 a 75|||16</x:v>
      </x:c>
    </x:row>
    <x:row r="1545">
      <x:c r="A1545" s="24" t="str">
        <x:v>ZS-A4CC9F323CDB</x:v>
      </x:c>
      <x:c r="B1545" s="24" t="str">
        <x:v>SIM</x:v>
      </x:c>
      <x:c r="C1545" s="24" t="str">
        <x:v>DISPONÍVEL</x:v>
      </x:c>
      <x:c r="D1545" s="24" t="str">
        <x:v>ZEISS</x:v>
      </x:c>
      <x:c r="E1545" s="24" t="str">
        <x:v>Visão Simples</x:v>
      </x:c>
      <x:c r="F1545" s="24" t="str">
        <x:v>Surfaçada</x:v>
      </x:c>
      <x:c r="G1545" s="24" t="str">
        <x:v>SmartLife</x:v>
      </x:c>
      <x:c r="H1545" s="24"/>
      <x:c r="I1545" s="24" t="str">
        <x:v>1.74</x:v>
      </x:c>
      <x:c r="J1545" s="24" t="str">
        <x:v>1.74</x:v>
      </x:c>
      <x:c r="K1545" s="24" t="str">
        <x:v>DuraVision Platinum UV</x:v>
      </x:c>
      <x:c r="L1545" s="40" t="n">
        <x:v>4319</x:v>
      </x:c>
      <x:c r="M1545" s="24" t="str">
        <x:v>-10.00 a +6.00</x:v>
      </x:c>
      <x:c r="N1545" s="24" t="str">
        <x:v>-6.00</x:v>
      </x:c>
      <x:c r="O1545" s="24" t="str">
        <x:v>-</x:v>
      </x:c>
      <x:c r="P1545" s="24" t="str">
        <x:v>70 a 75</x:v>
      </x:c>
      <x:c r="Q1545" s="24"/>
      <x:c r="R1545" s="24"/>
      <x:c r="S1545" s="26" t="n">
        <x:v>46113</x:v>
      </x:c>
      <x:c r="T1545" s="26"/>
      <x:c r="U1545" s="24" t="str">
        <x:v>ATIVA/SEM FIM INFORMADO</x:v>
      </x:c>
      <x:c r="V1545" s="24"/>
      <x:c r="W1545" s="24" t="n">
        <x:v>16</x:v>
      </x:c>
      <x:c r="X1545" s="24" t="str">
        <x:v>tabela_zeiss.pdf</x:v>
      </x:c>
      <x:c r="Y1545" s="24" t="str">
        <x:v>alta</x:v>
      </x:c>
      <x:c r="Z1545" s="24"/>
      <x:c r="AA1545" s="24" t="str">
        <x:v>ZEISS|Visão Simples|Surfaçada|SmartLife||1.74|1.74|DuraVision Platinum UV|-10.00 a +6.00|-6.00|-|70 a 75|||16</x:v>
      </x:c>
    </x:row>
    <x:row r="1546">
      <x:c r="A1546" s="24" t="str">
        <x:v>ZS-E3C18B071568</x:v>
      </x:c>
      <x:c r="B1546" s="24" t="str">
        <x:v>SIM</x:v>
      </x:c>
      <x:c r="C1546" s="24" t="str">
        <x:v>DISPONÍVEL</x:v>
      </x:c>
      <x:c r="D1546" s="24" t="str">
        <x:v>ZEISS</x:v>
      </x:c>
      <x:c r="E1546" s="24" t="str">
        <x:v>Visão Simples</x:v>
      </x:c>
      <x:c r="F1546" s="24" t="str">
        <x:v>Surfaçada</x:v>
      </x:c>
      <x:c r="G1546" s="24" t="str">
        <x:v>SmartLife</x:v>
      </x:c>
      <x:c r="H1546" s="24"/>
      <x:c r="I1546" s="24" t="str">
        <x:v>1.74</x:v>
      </x:c>
      <x:c r="J1546" s="24" t="str">
        <x:v>1.74</x:v>
      </x:c>
      <x:c r="K1546" s="24" t="str">
        <x:v>DuraVision Silver UV</x:v>
      </x:c>
      <x:c r="L1546" s="40" t="n">
        <x:v>4059</x:v>
      </x:c>
      <x:c r="M1546" s="24" t="str">
        <x:v>-10.00 a +6.00</x:v>
      </x:c>
      <x:c r="N1546" s="24" t="str">
        <x:v>-6.00</x:v>
      </x:c>
      <x:c r="O1546" s="24" t="str">
        <x:v>-</x:v>
      </x:c>
      <x:c r="P1546" s="24" t="str">
        <x:v>70 a 75</x:v>
      </x:c>
      <x:c r="Q1546" s="24"/>
      <x:c r="R1546" s="24"/>
      <x:c r="S1546" s="26" t="n">
        <x:v>46113</x:v>
      </x:c>
      <x:c r="T1546" s="26"/>
      <x:c r="U1546" s="24" t="str">
        <x:v>ATIVA/SEM FIM INFORMADO</x:v>
      </x:c>
      <x:c r="V1546" s="24"/>
      <x:c r="W1546" s="24" t="n">
        <x:v>16</x:v>
      </x:c>
      <x:c r="X1546" s="24" t="str">
        <x:v>tabela_zeiss.pdf</x:v>
      </x:c>
      <x:c r="Y1546" s="24" t="str">
        <x:v>alta</x:v>
      </x:c>
      <x:c r="Z1546" s="24"/>
      <x:c r="AA1546" s="24" t="str">
        <x:v>ZEISS|Visão Simples|Surfaçada|SmartLife||1.74|1.74|DuraVision Silver UV|-10.00 a +6.00|-6.00|-|70 a 75|||16</x:v>
      </x:c>
    </x:row>
    <x:row r="1547">
      <x:c r="A1547" s="24" t="str">
        <x:v>ZS-786C1716E386</x:v>
      </x:c>
      <x:c r="B1547" s="24" t="str">
        <x:v>SIM</x:v>
      </x:c>
      <x:c r="C1547" s="24" t="str">
        <x:v>DISPONÍVEL</x:v>
      </x:c>
      <x:c r="D1547" s="24" t="str">
        <x:v>ZEISS</x:v>
      </x:c>
      <x:c r="E1547" s="24" t="str">
        <x:v>Visão Simples</x:v>
      </x:c>
      <x:c r="F1547" s="24" t="str">
        <x:v>Surfaçada</x:v>
      </x:c>
      <x:c r="G1547" s="24" t="str">
        <x:v>SmartLife</x:v>
      </x:c>
      <x:c r="H1547" s="24"/>
      <x:c r="I1547" s="24" t="str">
        <x:v>1.74</x:v>
      </x:c>
      <x:c r="J1547" s="24" t="str">
        <x:v>1.74</x:v>
      </x:c>
      <x:c r="K1547" s="24" t="str">
        <x:v>DuraVision Chrome UV</x:v>
      </x:c>
      <x:c r="L1547" s="40" t="n">
        <x:v>3569</x:v>
      </x:c>
      <x:c r="M1547" s="24" t="str">
        <x:v>-10.00 a +6.00</x:v>
      </x:c>
      <x:c r="N1547" s="24" t="str">
        <x:v>-6.00</x:v>
      </x:c>
      <x:c r="O1547" s="24" t="str">
        <x:v>-</x:v>
      </x:c>
      <x:c r="P1547" s="24" t="str">
        <x:v>70 a 75</x:v>
      </x:c>
      <x:c r="Q1547" s="24"/>
      <x:c r="R1547" s="24"/>
      <x:c r="S1547" s="26" t="n">
        <x:v>46113</x:v>
      </x:c>
      <x:c r="T1547" s="26"/>
      <x:c r="U1547" s="24" t="str">
        <x:v>ATIVA/SEM FIM INFORMADO</x:v>
      </x:c>
      <x:c r="V1547" s="24"/>
      <x:c r="W1547" s="24" t="n">
        <x:v>16</x:v>
      </x:c>
      <x:c r="X1547" s="24" t="str">
        <x:v>tabela_zeiss.pdf</x:v>
      </x:c>
      <x:c r="Y1547" s="24" t="str">
        <x:v>alta</x:v>
      </x:c>
      <x:c r="Z1547" s="24"/>
      <x:c r="AA1547" s="24" t="str">
        <x:v>ZEISS|Visão Simples|Surfaçada|SmartLife||1.74|1.74|DuraVision Chrome UV|-10.00 a +6.00|-6.00|-|70 a 75|||16</x:v>
      </x:c>
    </x:row>
    <x:row r="1548">
      <x:c r="A1548" s="24" t="str">
        <x:v>ZS-06F4E28517B9</x:v>
      </x:c>
      <x:c r="B1548" s="24" t="str">
        <x:v>SIM</x:v>
      </x:c>
      <x:c r="C1548" s="24" t="str">
        <x:v>DISPONÍVEL</x:v>
      </x:c>
      <x:c r="D1548" s="24" t="str">
        <x:v>ZEISS</x:v>
      </x:c>
      <x:c r="E1548" s="24" t="str">
        <x:v>Visão Simples</x:v>
      </x:c>
      <x:c r="F1548" s="24" t="str">
        <x:v>Surfaçada</x:v>
      </x:c>
      <x:c r="G1548" s="24" t="str">
        <x:v>SmartLife</x:v>
      </x:c>
      <x:c r="H1548" s="24" t="str">
        <x:v>PhotoFusion X</x:v>
      </x:c>
      <x:c r="I1548" s="24" t="str">
        <x:v>1.5</x:v>
      </x:c>
      <x:c r="J1548" s="24" t="str">
        <x:v>1.50</x:v>
      </x:c>
      <x:c r="K1548" s="24" t="str">
        <x:v>DURAVISION® GOLD</x:v>
      </x:c>
      <x:c r="L1548" s="40" t="n">
        <x:v>3359</x:v>
      </x:c>
      <x:c r="M1548" s="24" t="str">
        <x:v>-6.00 a +6.00</x:v>
      </x:c>
      <x:c r="N1548" s="24" t="str">
        <x:v>-4.00</x:v>
      </x:c>
      <x:c r="O1548" s="24" t="str">
        <x:v>-</x:v>
      </x:c>
      <x:c r="P1548" s="24" t="str">
        <x:v>75</x:v>
      </x:c>
      <x:c r="Q1548" s="24"/>
      <x:c r="R1548" s="24"/>
      <x:c r="S1548" s="26" t="n">
        <x:v>46113</x:v>
      </x:c>
      <x:c r="T1548" s="26"/>
      <x:c r="U1548" s="24" t="str">
        <x:v>ATIVA/SEM FIM INFORMADO</x:v>
      </x:c>
      <x:c r="V1548" s="24" t="str">
        <x:v>Programa de Parcerias ZEISS</x:v>
      </x:c>
      <x:c r="W1548" s="24" t="n">
        <x:v>16</x:v>
      </x:c>
      <x:c r="X1548" s="24" t="str">
        <x:v>tabela_zeiss.pdf</x:v>
      </x:c>
      <x:c r="Y1548" s="24" t="str">
        <x:v>alta</x:v>
      </x:c>
      <x:c r="Z1548" s="24"/>
      <x:c r="AA1548" s="24" t="str">
        <x:v>ZEISS|Visão Simples|Surfaçada|SmartLife|PhotoFusion X|1.5|1.50|DURAVISION® GOLD|-6.00 a +6.00|-4.00|-|75|||16</x:v>
      </x:c>
    </x:row>
    <x:row r="1549">
      <x:c r="A1549" s="24" t="str">
        <x:v>ZS-BA802ACEFEB6</x:v>
      </x:c>
      <x:c r="B1549" s="24" t="str">
        <x:v>SIM</x:v>
      </x:c>
      <x:c r="C1549" s="24" t="str">
        <x:v>DISPONÍVEL</x:v>
      </x:c>
      <x:c r="D1549" s="24" t="str">
        <x:v>ZEISS</x:v>
      </x:c>
      <x:c r="E1549" s="24" t="str">
        <x:v>Visão Simples</x:v>
      </x:c>
      <x:c r="F1549" s="24" t="str">
        <x:v>Surfaçada</x:v>
      </x:c>
      <x:c r="G1549" s="24" t="str">
        <x:v>SmartLife</x:v>
      </x:c>
      <x:c r="H1549" s="24" t="str">
        <x:v>PhotoFusion X</x:v>
      </x:c>
      <x:c r="I1549" s="24" t="str">
        <x:v>1.5</x:v>
      </x:c>
      <x:c r="J1549" s="24" t="str">
        <x:v>1.50</x:v>
      </x:c>
      <x:c r="K1549" s="24" t="str">
        <x:v>DURAVISION® ANTIVÍRUS PLATINUM UV</x:v>
      </x:c>
      <x:c r="L1549" s="40" t="n">
        <x:v>3219</x:v>
      </x:c>
      <x:c r="M1549" s="24" t="str">
        <x:v>-6.00 a +6.00</x:v>
      </x:c>
      <x:c r="N1549" s="24" t="str">
        <x:v>-4.00</x:v>
      </x:c>
      <x:c r="O1549" s="24" t="str">
        <x:v>-</x:v>
      </x:c>
      <x:c r="P1549" s="24" t="str">
        <x:v>75</x:v>
      </x:c>
      <x:c r="Q1549" s="24"/>
      <x:c r="R1549" s="24"/>
      <x:c r="S1549" s="26" t="n">
        <x:v>46113</x:v>
      </x:c>
      <x:c r="T1549" s="26"/>
      <x:c r="U1549" s="24" t="str">
        <x:v>ATIVA/SEM FIM INFORMADO</x:v>
      </x:c>
      <x:c r="V1549" s="24" t="str">
        <x:v>Programa de Parcerias ZEISS</x:v>
      </x:c>
      <x:c r="W1549" s="24" t="n">
        <x:v>16</x:v>
      </x:c>
      <x:c r="X1549" s="24" t="str">
        <x:v>tabela_zeiss.pdf</x:v>
      </x:c>
      <x:c r="Y1549" s="24" t="str">
        <x:v>alta</x:v>
      </x:c>
      <x:c r="Z1549" s="24"/>
      <x:c r="AA1549" s="24" t="str">
        <x:v>ZEISS|Visão Simples|Surfaçada|SmartLife|PhotoFusion X|1.5|1.50|DURAVISION® ANTIVÍRUS PLATINUM UV|-6.00 a +6.00|-4.00|-|75|||16</x:v>
      </x:c>
    </x:row>
    <x:row r="1550">
      <x:c r="A1550" s="24" t="str">
        <x:v>ZS-882F08F5AB19</x:v>
      </x:c>
      <x:c r="B1550" s="24" t="str">
        <x:v>SIM</x:v>
      </x:c>
      <x:c r="C1550" s="24" t="str">
        <x:v>DISPONÍVEL</x:v>
      </x:c>
      <x:c r="D1550" s="24" t="str">
        <x:v>ZEISS</x:v>
      </x:c>
      <x:c r="E1550" s="24" t="str">
        <x:v>Visão Simples</x:v>
      </x:c>
      <x:c r="F1550" s="24" t="str">
        <x:v>Surfaçada</x:v>
      </x:c>
      <x:c r="G1550" s="24" t="str">
        <x:v>SmartLife</x:v>
      </x:c>
      <x:c r="H1550" s="24" t="str">
        <x:v>PhotoFusion X</x:v>
      </x:c>
      <x:c r="I1550" s="24" t="str">
        <x:v>1.5</x:v>
      </x:c>
      <x:c r="J1550" s="24" t="str">
        <x:v>1.50</x:v>
      </x:c>
      <x:c r="K1550" s="24" t="str">
        <x:v>DuraVision Platinum UV</x:v>
      </x:c>
      <x:c r="L1550" s="40" t="n">
        <x:v>3219</x:v>
      </x:c>
      <x:c r="M1550" s="24" t="str">
        <x:v>-6.00 a +6.00</x:v>
      </x:c>
      <x:c r="N1550" s="24" t="str">
        <x:v>-4.00</x:v>
      </x:c>
      <x:c r="O1550" s="24" t="str">
        <x:v>-</x:v>
      </x:c>
      <x:c r="P1550" s="24" t="str">
        <x:v>75</x:v>
      </x:c>
      <x:c r="Q1550" s="24"/>
      <x:c r="R1550" s="24"/>
      <x:c r="S1550" s="26" t="n">
        <x:v>46113</x:v>
      </x:c>
      <x:c r="T1550" s="26"/>
      <x:c r="U1550" s="24" t="str">
        <x:v>ATIVA/SEM FIM INFORMADO</x:v>
      </x:c>
      <x:c r="V1550" s="24" t="str">
        <x:v>Programa de Parcerias ZEISS</x:v>
      </x:c>
      <x:c r="W1550" s="24" t="n">
        <x:v>16</x:v>
      </x:c>
      <x:c r="X1550" s="24" t="str">
        <x:v>tabela_zeiss.pdf</x:v>
      </x:c>
      <x:c r="Y1550" s="24" t="str">
        <x:v>alta</x:v>
      </x:c>
      <x:c r="Z1550" s="24"/>
      <x:c r="AA1550" s="24" t="str">
        <x:v>ZEISS|Visão Simples|Surfaçada|SmartLife|PhotoFusion X|1.5|1.50|DuraVision Platinum UV|-6.00 a +6.00|-4.00|-|75|||16</x:v>
      </x:c>
    </x:row>
    <x:row r="1551">
      <x:c r="A1551" s="24" t="str">
        <x:v>ZS-2C0DCCDC20B8</x:v>
      </x:c>
      <x:c r="B1551" s="24" t="str">
        <x:v>SIM</x:v>
      </x:c>
      <x:c r="C1551" s="24" t="str">
        <x:v>DISPONÍVEL</x:v>
      </x:c>
      <x:c r="D1551" s="24" t="str">
        <x:v>ZEISS</x:v>
      </x:c>
      <x:c r="E1551" s="24" t="str">
        <x:v>Visão Simples</x:v>
      </x:c>
      <x:c r="F1551" s="24" t="str">
        <x:v>Surfaçada</x:v>
      </x:c>
      <x:c r="G1551" s="24" t="str">
        <x:v>SmartLife</x:v>
      </x:c>
      <x:c r="H1551" s="24" t="str">
        <x:v>PhotoFusion X</x:v>
      </x:c>
      <x:c r="I1551" s="24" t="str">
        <x:v>1.5</x:v>
      </x:c>
      <x:c r="J1551" s="24" t="str">
        <x:v>1.50</x:v>
      </x:c>
      <x:c r="K1551" s="24" t="str">
        <x:v>DuraVision Silver UV</x:v>
      </x:c>
      <x:c r="L1551" s="40" t="n">
        <x:v>2959</x:v>
      </x:c>
      <x:c r="M1551" s="24" t="str">
        <x:v>-6.00 a +6.00</x:v>
      </x:c>
      <x:c r="N1551" s="24" t="str">
        <x:v>-4.00</x:v>
      </x:c>
      <x:c r="O1551" s="24" t="str">
        <x:v>-</x:v>
      </x:c>
      <x:c r="P1551" s="24" t="str">
        <x:v>75</x:v>
      </x:c>
      <x:c r="Q1551" s="24"/>
      <x:c r="R1551" s="24"/>
      <x:c r="S1551" s="26" t="n">
        <x:v>46113</x:v>
      </x:c>
      <x:c r="T1551" s="26"/>
      <x:c r="U1551" s="24" t="str">
        <x:v>ATIVA/SEM FIM INFORMADO</x:v>
      </x:c>
      <x:c r="V1551" s="24" t="str">
        <x:v>Programa de Parcerias ZEISS</x:v>
      </x:c>
      <x:c r="W1551" s="24" t="n">
        <x:v>16</x:v>
      </x:c>
      <x:c r="X1551" s="24" t="str">
        <x:v>tabela_zeiss.pdf</x:v>
      </x:c>
      <x:c r="Y1551" s="24" t="str">
        <x:v>alta</x:v>
      </x:c>
      <x:c r="Z1551" s="24"/>
      <x:c r="AA1551" s="24" t="str">
        <x:v>ZEISS|Visão Simples|Surfaçada|SmartLife|PhotoFusion X|1.5|1.50|DuraVision Silver UV|-6.00 a +6.00|-4.00|-|75|||16</x:v>
      </x:c>
    </x:row>
    <x:row r="1552">
      <x:c r="A1552" s="24" t="str">
        <x:v>ZS-5F5808900584</x:v>
      </x:c>
      <x:c r="B1552" s="24" t="str">
        <x:v>SIM</x:v>
      </x:c>
      <x:c r="C1552" s="24" t="str">
        <x:v>DISPONÍVEL</x:v>
      </x:c>
      <x:c r="D1552" s="24" t="str">
        <x:v>ZEISS</x:v>
      </x:c>
      <x:c r="E1552" s="24" t="str">
        <x:v>Visão Simples</x:v>
      </x:c>
      <x:c r="F1552" s="24" t="str">
        <x:v>Surfaçada</x:v>
      </x:c>
      <x:c r="G1552" s="24" t="str">
        <x:v>SmartLife</x:v>
      </x:c>
      <x:c r="H1552" s="24" t="str">
        <x:v>PhotoFusion X</x:v>
      </x:c>
      <x:c r="I1552" s="24" t="str">
        <x:v>1.5</x:v>
      </x:c>
      <x:c r="J1552" s="24" t="str">
        <x:v>1.50</x:v>
      </x:c>
      <x:c r="K1552" s="24" t="str">
        <x:v>DuraVision Chrome UV</x:v>
      </x:c>
      <x:c r="L1552" s="40" t="n">
        <x:v>2469</x:v>
      </x:c>
      <x:c r="M1552" s="24" t="str">
        <x:v>-6.00 a +6.00</x:v>
      </x:c>
      <x:c r="N1552" s="24" t="str">
        <x:v>-4.00</x:v>
      </x:c>
      <x:c r="O1552" s="24" t="str">
        <x:v>-</x:v>
      </x:c>
      <x:c r="P1552" s="24" t="str">
        <x:v>75</x:v>
      </x:c>
      <x:c r="Q1552" s="24"/>
      <x:c r="R1552" s="24"/>
      <x:c r="S1552" s="26" t="n">
        <x:v>46113</x:v>
      </x:c>
      <x:c r="T1552" s="26"/>
      <x:c r="U1552" s="24" t="str">
        <x:v>ATIVA/SEM FIM INFORMADO</x:v>
      </x:c>
      <x:c r="V1552" s="24" t="str">
        <x:v>Programa de Parcerias ZEISS</x:v>
      </x:c>
      <x:c r="W1552" s="24" t="n">
        <x:v>16</x:v>
      </x:c>
      <x:c r="X1552" s="24" t="str">
        <x:v>tabela_zeiss.pdf</x:v>
      </x:c>
      <x:c r="Y1552" s="24" t="str">
        <x:v>alta</x:v>
      </x:c>
      <x:c r="Z1552" s="24"/>
      <x:c r="AA1552" s="24" t="str">
        <x:v>ZEISS|Visão Simples|Surfaçada|SmartLife|PhotoFusion X|1.5|1.50|DuraVision Chrome UV|-6.00 a +6.00|-4.00|-|75|||16</x:v>
      </x:c>
    </x:row>
    <x:row r="1553">
      <x:c r="A1553" s="24" t="str">
        <x:v>ZS-09A63F05C44D</x:v>
      </x:c>
      <x:c r="B1553" s="24" t="str">
        <x:v>SIM</x:v>
      </x:c>
      <x:c r="C1553" s="24" t="str">
        <x:v>DISPONÍVEL</x:v>
      </x:c>
      <x:c r="D1553" s="24" t="str">
        <x:v>ZEISS</x:v>
      </x:c>
      <x:c r="E1553" s="24" t="str">
        <x:v>Visão Simples</x:v>
      </x:c>
      <x:c r="F1553" s="24" t="str">
        <x:v>Surfaçada</x:v>
      </x:c>
      <x:c r="G1553" s="24" t="str">
        <x:v>SmartLife</x:v>
      </x:c>
      <x:c r="H1553" s="24" t="str">
        <x:v>PhotoFusion X</x:v>
      </x:c>
      <x:c r="I1553" s="24" t="str">
        <x:v>Poli</x:v>
      </x:c>
      <x:c r="J1553" s="24"/>
      <x:c r="K1553" s="24" t="str">
        <x:v>DURAVISION® GOLD</x:v>
      </x:c>
      <x:c r="L1553" s="40" t="n">
        <x:v>3719</x:v>
      </x:c>
      <x:c r="M1553" s="24" t="str">
        <x:v>-10.00 a +8.00</x:v>
      </x:c>
      <x:c r="N1553" s="24" t="str">
        <x:v>-4.00</x:v>
      </x:c>
      <x:c r="O1553" s="24" t="str">
        <x:v>-</x:v>
      </x:c>
      <x:c r="P1553" s="24" t="str">
        <x:v>70</x:v>
      </x:c>
      <x:c r="Q1553" s="24"/>
      <x:c r="R1553" s="24"/>
      <x:c r="S1553" s="26" t="n">
        <x:v>46113</x:v>
      </x:c>
      <x:c r="T1553" s="26"/>
      <x:c r="U1553" s="24" t="str">
        <x:v>ATIVA/SEM FIM INFORMADO</x:v>
      </x:c>
      <x:c r="V1553" s="24" t="str">
        <x:v>Programa de Parcerias ZEISS</x:v>
      </x:c>
      <x:c r="W1553" s="24" t="n">
        <x:v>16</x:v>
      </x:c>
      <x:c r="X1553" s="24" t="str">
        <x:v>tabela_zeiss.pdf</x:v>
      </x:c>
      <x:c r="Y1553" s="24" t="str">
        <x:v>alta</x:v>
      </x:c>
      <x:c r="Z1553" s="24"/>
      <x:c r="AA1553" s="24" t="str">
        <x:v>ZEISS|Visão Simples|Surfaçada|SmartLife|PhotoFusion X|Poli||DURAVISION® GOLD|-10.00 a +8.00|-4.00|-|70|||16</x:v>
      </x:c>
    </x:row>
    <x:row r="1554">
      <x:c r="A1554" s="24" t="str">
        <x:v>ZS-CC8A80319133</x:v>
      </x:c>
      <x:c r="B1554" s="24" t="str">
        <x:v>SIM</x:v>
      </x:c>
      <x:c r="C1554" s="24" t="str">
        <x:v>DISPONÍVEL</x:v>
      </x:c>
      <x:c r="D1554" s="24" t="str">
        <x:v>ZEISS</x:v>
      </x:c>
      <x:c r="E1554" s="24" t="str">
        <x:v>Visão Simples</x:v>
      </x:c>
      <x:c r="F1554" s="24" t="str">
        <x:v>Surfaçada</x:v>
      </x:c>
      <x:c r="G1554" s="24" t="str">
        <x:v>SmartLife</x:v>
      </x:c>
      <x:c r="H1554" s="24" t="str">
        <x:v>PhotoFusion X</x:v>
      </x:c>
      <x:c r="I1554" s="24" t="str">
        <x:v>Poli</x:v>
      </x:c>
      <x:c r="J1554" s="24"/>
      <x:c r="K1554" s="24" t="str">
        <x:v>DuraVision Platinum UV</x:v>
      </x:c>
      <x:c r="L1554" s="40" t="n">
        <x:v>3579</x:v>
      </x:c>
      <x:c r="M1554" s="24" t="str">
        <x:v>-10.00 a +8.00</x:v>
      </x:c>
      <x:c r="N1554" s="24" t="str">
        <x:v>-4.00</x:v>
      </x:c>
      <x:c r="O1554" s="24" t="str">
        <x:v>-</x:v>
      </x:c>
      <x:c r="P1554" s="24" t="str">
        <x:v>70</x:v>
      </x:c>
      <x:c r="Q1554" s="24"/>
      <x:c r="R1554" s="24"/>
      <x:c r="S1554" s="26" t="n">
        <x:v>46113</x:v>
      </x:c>
      <x:c r="T1554" s="26"/>
      <x:c r="U1554" s="24" t="str">
        <x:v>ATIVA/SEM FIM INFORMADO</x:v>
      </x:c>
      <x:c r="V1554" s="24" t="str">
        <x:v>Programa de Parcerias ZEISS</x:v>
      </x:c>
      <x:c r="W1554" s="24" t="n">
        <x:v>16</x:v>
      </x:c>
      <x:c r="X1554" s="24" t="str">
        <x:v>tabela_zeiss.pdf</x:v>
      </x:c>
      <x:c r="Y1554" s="24" t="str">
        <x:v>alta</x:v>
      </x:c>
      <x:c r="Z1554" s="24"/>
      <x:c r="AA1554" s="24" t="str">
        <x:v>ZEISS|Visão Simples|Surfaçada|SmartLife|PhotoFusion X|Poli||DuraVision Platinum UV|-10.00 a +8.00|-4.00|-|70|||16</x:v>
      </x:c>
    </x:row>
    <x:row r="1555">
      <x:c r="A1555" s="24" t="str">
        <x:v>ZS-6DADAED8D242</x:v>
      </x:c>
      <x:c r="B1555" s="24" t="str">
        <x:v>SIM</x:v>
      </x:c>
      <x:c r="C1555" s="24" t="str">
        <x:v>DISPONÍVEL</x:v>
      </x:c>
      <x:c r="D1555" s="24" t="str">
        <x:v>ZEISS</x:v>
      </x:c>
      <x:c r="E1555" s="24" t="str">
        <x:v>Visão Simples</x:v>
      </x:c>
      <x:c r="F1555" s="24" t="str">
        <x:v>Surfaçada</x:v>
      </x:c>
      <x:c r="G1555" s="24" t="str">
        <x:v>SmartLife</x:v>
      </x:c>
      <x:c r="H1555" s="24" t="str">
        <x:v>PhotoFusion X</x:v>
      </x:c>
      <x:c r="I1555" s="24" t="str">
        <x:v>Poli</x:v>
      </x:c>
      <x:c r="J1555" s="24"/>
      <x:c r="K1555" s="24" t="str">
        <x:v>DuraVision Silver UV</x:v>
      </x:c>
      <x:c r="L1555" s="40" t="n">
        <x:v>3319</x:v>
      </x:c>
      <x:c r="M1555" s="24" t="str">
        <x:v>-10.00 a +8.00</x:v>
      </x:c>
      <x:c r="N1555" s="24" t="str">
        <x:v>-4.00</x:v>
      </x:c>
      <x:c r="O1555" s="24" t="str">
        <x:v>-</x:v>
      </x:c>
      <x:c r="P1555" s="24" t="str">
        <x:v>70</x:v>
      </x:c>
      <x:c r="Q1555" s="24"/>
      <x:c r="R1555" s="24"/>
      <x:c r="S1555" s="26" t="n">
        <x:v>46113</x:v>
      </x:c>
      <x:c r="T1555" s="26"/>
      <x:c r="U1555" s="24" t="str">
        <x:v>ATIVA/SEM FIM INFORMADO</x:v>
      </x:c>
      <x:c r="V1555" s="24" t="str">
        <x:v>Programa de Parcerias ZEISS</x:v>
      </x:c>
      <x:c r="W1555" s="24" t="n">
        <x:v>16</x:v>
      </x:c>
      <x:c r="X1555" s="24" t="str">
        <x:v>tabela_zeiss.pdf</x:v>
      </x:c>
      <x:c r="Y1555" s="24" t="str">
        <x:v>alta</x:v>
      </x:c>
      <x:c r="Z1555" s="24"/>
      <x:c r="AA1555" s="24" t="str">
        <x:v>ZEISS|Visão Simples|Surfaçada|SmartLife|PhotoFusion X|Poli||DuraVision Silver UV|-10.00 a +8.00|-4.00|-|70|||16</x:v>
      </x:c>
    </x:row>
    <x:row r="1556">
      <x:c r="A1556" s="24" t="str">
        <x:v>ZS-1CA04D6F0028</x:v>
      </x:c>
      <x:c r="B1556" s="24" t="str">
        <x:v>SIM</x:v>
      </x:c>
      <x:c r="C1556" s="24" t="str">
        <x:v>DISPONÍVEL</x:v>
      </x:c>
      <x:c r="D1556" s="24" t="str">
        <x:v>ZEISS</x:v>
      </x:c>
      <x:c r="E1556" s="24" t="str">
        <x:v>Visão Simples</x:v>
      </x:c>
      <x:c r="F1556" s="24" t="str">
        <x:v>Surfaçada</x:v>
      </x:c>
      <x:c r="G1556" s="24" t="str">
        <x:v>SmartLife</x:v>
      </x:c>
      <x:c r="H1556" s="24" t="str">
        <x:v>PhotoFusion X</x:v>
      </x:c>
      <x:c r="I1556" s="24" t="str">
        <x:v>Poli</x:v>
      </x:c>
      <x:c r="J1556" s="24"/>
      <x:c r="K1556" s="24" t="str">
        <x:v>DuraVision Chrome UV</x:v>
      </x:c>
      <x:c r="L1556" s="40" t="n">
        <x:v>2829</x:v>
      </x:c>
      <x:c r="M1556" s="24" t="str">
        <x:v>-10.00 a +8.00</x:v>
      </x:c>
      <x:c r="N1556" s="24" t="str">
        <x:v>-4.00</x:v>
      </x:c>
      <x:c r="O1556" s="24" t="str">
        <x:v>-</x:v>
      </x:c>
      <x:c r="P1556" s="24" t="str">
        <x:v>70</x:v>
      </x:c>
      <x:c r="Q1556" s="24"/>
      <x:c r="R1556" s="24"/>
      <x:c r="S1556" s="26" t="n">
        <x:v>46113</x:v>
      </x:c>
      <x:c r="T1556" s="26"/>
      <x:c r="U1556" s="24" t="str">
        <x:v>ATIVA/SEM FIM INFORMADO</x:v>
      </x:c>
      <x:c r="V1556" s="24" t="str">
        <x:v>Programa de Parcerias ZEISS</x:v>
      </x:c>
      <x:c r="W1556" s="24" t="n">
        <x:v>16</x:v>
      </x:c>
      <x:c r="X1556" s="24" t="str">
        <x:v>tabela_zeiss.pdf</x:v>
      </x:c>
      <x:c r="Y1556" s="24" t="str">
        <x:v>alta</x:v>
      </x:c>
      <x:c r="Z1556" s="24"/>
      <x:c r="AA1556" s="24" t="str">
        <x:v>ZEISS|Visão Simples|Surfaçada|SmartLife|PhotoFusion X|Poli||DuraVision Chrome UV|-10.00 a +8.00|-4.00|-|70|||16</x:v>
      </x:c>
    </x:row>
    <x:row r="1557">
      <x:c r="A1557" s="24" t="str">
        <x:v>ZS-675D67630AB1</x:v>
      </x:c>
      <x:c r="B1557" s="24" t="str">
        <x:v>SIM</x:v>
      </x:c>
      <x:c r="C1557" s="24" t="str">
        <x:v>DISPONÍVEL</x:v>
      </x:c>
      <x:c r="D1557" s="24" t="str">
        <x:v>ZEISS</x:v>
      </x:c>
      <x:c r="E1557" s="24" t="str">
        <x:v>Visão Simples</x:v>
      </x:c>
      <x:c r="F1557" s="24" t="str">
        <x:v>Surfaçada</x:v>
      </x:c>
      <x:c r="G1557" s="24" t="str">
        <x:v>SmartLife</x:v>
      </x:c>
      <x:c r="H1557" s="24" t="str">
        <x:v>PhotoFusion X</x:v>
      </x:c>
      <x:c r="I1557" s="24" t="str">
        <x:v>1.6</x:v>
      </x:c>
      <x:c r="J1557" s="24" t="str">
        <x:v>1.60</x:v>
      </x:c>
      <x:c r="K1557" s="24" t="str">
        <x:v>DURAVISION® GOLD</x:v>
      </x:c>
      <x:c r="L1557" s="40" t="n">
        <x:v>3939</x:v>
      </x:c>
      <x:c r="M1557" s="24" t="str">
        <x:v>-6.00 a +8.00</x:v>
      </x:c>
      <x:c r="N1557" s="24" t="str">
        <x:v>-4.00</x:v>
      </x:c>
      <x:c r="O1557" s="24" t="str">
        <x:v>-</x:v>
      </x:c>
      <x:c r="P1557" s="24" t="str">
        <x:v>75</x:v>
      </x:c>
      <x:c r="Q1557" s="24"/>
      <x:c r="R1557" s="24"/>
      <x:c r="S1557" s="26" t="n">
        <x:v>46113</x:v>
      </x:c>
      <x:c r="T1557" s="26"/>
      <x:c r="U1557" s="24" t="str">
        <x:v>ATIVA/SEM FIM INFORMADO</x:v>
      </x:c>
      <x:c r="V1557" s="24" t="str">
        <x:v>Programa de Parcerias ZEISS</x:v>
      </x:c>
      <x:c r="W1557" s="24" t="n">
        <x:v>16</x:v>
      </x:c>
      <x:c r="X1557" s="24" t="str">
        <x:v>tabela_zeiss.pdf</x:v>
      </x:c>
      <x:c r="Y1557" s="24" t="str">
        <x:v>alta</x:v>
      </x:c>
      <x:c r="Z1557" s="24"/>
      <x:c r="AA1557" s="24" t="str">
        <x:v>ZEISS|Visão Simples|Surfaçada|SmartLife|PhotoFusion X|1.6|1.60|DURAVISION® GOLD|-6.00 a +8.00|-4.00|-|75|||16</x:v>
      </x:c>
    </x:row>
    <x:row r="1558">
      <x:c r="A1558" s="24" t="str">
        <x:v>ZS-9DBEFE5B3749</x:v>
      </x:c>
      <x:c r="B1558" s="24" t="str">
        <x:v>SIM</x:v>
      </x:c>
      <x:c r="C1558" s="24" t="str">
        <x:v>DISPONÍVEL</x:v>
      </x:c>
      <x:c r="D1558" s="24" t="str">
        <x:v>ZEISS</x:v>
      </x:c>
      <x:c r="E1558" s="24" t="str">
        <x:v>Visão Simples</x:v>
      </x:c>
      <x:c r="F1558" s="24" t="str">
        <x:v>Surfaçada</x:v>
      </x:c>
      <x:c r="G1558" s="24" t="str">
        <x:v>SmartLife</x:v>
      </x:c>
      <x:c r="H1558" s="24" t="str">
        <x:v>PhotoFusion X</x:v>
      </x:c>
      <x:c r="I1558" s="24" t="str">
        <x:v>1.6</x:v>
      </x:c>
      <x:c r="J1558" s="24" t="str">
        <x:v>1.60</x:v>
      </x:c>
      <x:c r="K1558" s="24" t="str">
        <x:v>DURAVISION® ANTIVÍRUS PLATINUM UV</x:v>
      </x:c>
      <x:c r="L1558" s="40" t="n">
        <x:v>3799</x:v>
      </x:c>
      <x:c r="M1558" s="24" t="str">
        <x:v>-6.00 a +8.00</x:v>
      </x:c>
      <x:c r="N1558" s="24" t="str">
        <x:v>-4.00</x:v>
      </x:c>
      <x:c r="O1558" s="24" t="str">
        <x:v>-</x:v>
      </x:c>
      <x:c r="P1558" s="24" t="str">
        <x:v>75</x:v>
      </x:c>
      <x:c r="Q1558" s="24"/>
      <x:c r="R1558" s="24"/>
      <x:c r="S1558" s="26" t="n">
        <x:v>46113</x:v>
      </x:c>
      <x:c r="T1558" s="26"/>
      <x:c r="U1558" s="24" t="str">
        <x:v>ATIVA/SEM FIM INFORMADO</x:v>
      </x:c>
      <x:c r="V1558" s="24" t="str">
        <x:v>Programa de Parcerias ZEISS</x:v>
      </x:c>
      <x:c r="W1558" s="24" t="n">
        <x:v>16</x:v>
      </x:c>
      <x:c r="X1558" s="24" t="str">
        <x:v>tabela_zeiss.pdf</x:v>
      </x:c>
      <x:c r="Y1558" s="24" t="str">
        <x:v>alta</x:v>
      </x:c>
      <x:c r="Z1558" s="24"/>
      <x:c r="AA1558" s="24" t="str">
        <x:v>ZEISS|Visão Simples|Surfaçada|SmartLife|PhotoFusion X|1.6|1.60|DURAVISION® ANTIVÍRUS PLATINUM UV|-6.00 a +8.00|-4.00|-|75|||16</x:v>
      </x:c>
    </x:row>
    <x:row r="1559">
      <x:c r="A1559" s="24" t="str">
        <x:v>ZS-32AF8489E9C0</x:v>
      </x:c>
      <x:c r="B1559" s="24" t="str">
        <x:v>SIM</x:v>
      </x:c>
      <x:c r="C1559" s="24" t="str">
        <x:v>DISPONÍVEL</x:v>
      </x:c>
      <x:c r="D1559" s="24" t="str">
        <x:v>ZEISS</x:v>
      </x:c>
      <x:c r="E1559" s="24" t="str">
        <x:v>Visão Simples</x:v>
      </x:c>
      <x:c r="F1559" s="24" t="str">
        <x:v>Surfaçada</x:v>
      </x:c>
      <x:c r="G1559" s="24" t="str">
        <x:v>SmartLife</x:v>
      </x:c>
      <x:c r="H1559" s="24" t="str">
        <x:v>PhotoFusion X</x:v>
      </x:c>
      <x:c r="I1559" s="24" t="str">
        <x:v>1.6</x:v>
      </x:c>
      <x:c r="J1559" s="24" t="str">
        <x:v>1.60</x:v>
      </x:c>
      <x:c r="K1559" s="24" t="str">
        <x:v>DuraVision Platinum UV</x:v>
      </x:c>
      <x:c r="L1559" s="40" t="n">
        <x:v>3799</x:v>
      </x:c>
      <x:c r="M1559" s="24" t="str">
        <x:v>-6.00 a +8.00</x:v>
      </x:c>
      <x:c r="N1559" s="24" t="str">
        <x:v>-4.00</x:v>
      </x:c>
      <x:c r="O1559" s="24" t="str">
        <x:v>-</x:v>
      </x:c>
      <x:c r="P1559" s="24" t="str">
        <x:v>75</x:v>
      </x:c>
      <x:c r="Q1559" s="24"/>
      <x:c r="R1559" s="24"/>
      <x:c r="S1559" s="26" t="n">
        <x:v>46113</x:v>
      </x:c>
      <x:c r="T1559" s="26"/>
      <x:c r="U1559" s="24" t="str">
        <x:v>ATIVA/SEM FIM INFORMADO</x:v>
      </x:c>
      <x:c r="V1559" s="24" t="str">
        <x:v>Programa de Parcerias ZEISS</x:v>
      </x:c>
      <x:c r="W1559" s="24" t="n">
        <x:v>16</x:v>
      </x:c>
      <x:c r="X1559" s="24" t="str">
        <x:v>tabela_zeiss.pdf</x:v>
      </x:c>
      <x:c r="Y1559" s="24" t="str">
        <x:v>alta</x:v>
      </x:c>
      <x:c r="Z1559" s="24"/>
      <x:c r="AA1559" s="24" t="str">
        <x:v>ZEISS|Visão Simples|Surfaçada|SmartLife|PhotoFusion X|1.6|1.60|DuraVision Platinum UV|-6.00 a +8.00|-4.00|-|75|||16</x:v>
      </x:c>
    </x:row>
    <x:row r="1560">
      <x:c r="A1560" s="24" t="str">
        <x:v>ZS-3C89EFBA755A</x:v>
      </x:c>
      <x:c r="B1560" s="24" t="str">
        <x:v>SIM</x:v>
      </x:c>
      <x:c r="C1560" s="24" t="str">
        <x:v>DISPONÍVEL</x:v>
      </x:c>
      <x:c r="D1560" s="24" t="str">
        <x:v>ZEISS</x:v>
      </x:c>
      <x:c r="E1560" s="24" t="str">
        <x:v>Visão Simples</x:v>
      </x:c>
      <x:c r="F1560" s="24" t="str">
        <x:v>Surfaçada</x:v>
      </x:c>
      <x:c r="G1560" s="24" t="str">
        <x:v>SmartLife</x:v>
      </x:c>
      <x:c r="H1560" s="24" t="str">
        <x:v>PhotoFusion X</x:v>
      </x:c>
      <x:c r="I1560" s="24" t="str">
        <x:v>1.6</x:v>
      </x:c>
      <x:c r="J1560" s="24" t="str">
        <x:v>1.60</x:v>
      </x:c>
      <x:c r="K1560" s="24" t="str">
        <x:v>DuraVision Silver UV</x:v>
      </x:c>
      <x:c r="L1560" s="40" t="n">
        <x:v>3539</x:v>
      </x:c>
      <x:c r="M1560" s="24" t="str">
        <x:v>-6.00 a +8.00</x:v>
      </x:c>
      <x:c r="N1560" s="24" t="str">
        <x:v>-4.00</x:v>
      </x:c>
      <x:c r="O1560" s="24" t="str">
        <x:v>-</x:v>
      </x:c>
      <x:c r="P1560" s="24" t="str">
        <x:v>75</x:v>
      </x:c>
      <x:c r="Q1560" s="24"/>
      <x:c r="R1560" s="24"/>
      <x:c r="S1560" s="26" t="n">
        <x:v>46113</x:v>
      </x:c>
      <x:c r="T1560" s="26"/>
      <x:c r="U1560" s="24" t="str">
        <x:v>ATIVA/SEM FIM INFORMADO</x:v>
      </x:c>
      <x:c r="V1560" s="24" t="str">
        <x:v>Programa de Parcerias ZEISS</x:v>
      </x:c>
      <x:c r="W1560" s="24" t="n">
        <x:v>16</x:v>
      </x:c>
      <x:c r="X1560" s="24" t="str">
        <x:v>tabela_zeiss.pdf</x:v>
      </x:c>
      <x:c r="Y1560" s="24" t="str">
        <x:v>alta</x:v>
      </x:c>
      <x:c r="Z1560" s="24"/>
      <x:c r="AA1560" s="24" t="str">
        <x:v>ZEISS|Visão Simples|Surfaçada|SmartLife|PhotoFusion X|1.6|1.60|DuraVision Silver UV|-6.00 a +8.00|-4.00|-|75|||16</x:v>
      </x:c>
    </x:row>
    <x:row r="1561">
      <x:c r="A1561" s="24" t="str">
        <x:v>ZS-6E30CEB0B835</x:v>
      </x:c>
      <x:c r="B1561" s="24" t="str">
        <x:v>SIM</x:v>
      </x:c>
      <x:c r="C1561" s="24" t="str">
        <x:v>DISPONÍVEL</x:v>
      </x:c>
      <x:c r="D1561" s="24" t="str">
        <x:v>ZEISS</x:v>
      </x:c>
      <x:c r="E1561" s="24" t="str">
        <x:v>Visão Simples</x:v>
      </x:c>
      <x:c r="F1561" s="24" t="str">
        <x:v>Surfaçada</x:v>
      </x:c>
      <x:c r="G1561" s="24" t="str">
        <x:v>SmartLife</x:v>
      </x:c>
      <x:c r="H1561" s="24" t="str">
        <x:v>PhotoFusion X</x:v>
      </x:c>
      <x:c r="I1561" s="24" t="str">
        <x:v>1.6</x:v>
      </x:c>
      <x:c r="J1561" s="24" t="str">
        <x:v>1.60</x:v>
      </x:c>
      <x:c r="K1561" s="24" t="str">
        <x:v>DuraVision Chrome UV</x:v>
      </x:c>
      <x:c r="L1561" s="40" t="n">
        <x:v>3049</x:v>
      </x:c>
      <x:c r="M1561" s="24" t="str">
        <x:v>-6.00 a +8.00</x:v>
      </x:c>
      <x:c r="N1561" s="24" t="str">
        <x:v>-4.00</x:v>
      </x:c>
      <x:c r="O1561" s="24" t="str">
        <x:v>-</x:v>
      </x:c>
      <x:c r="P1561" s="24" t="str">
        <x:v>75</x:v>
      </x:c>
      <x:c r="Q1561" s="24"/>
      <x:c r="R1561" s="24"/>
      <x:c r="S1561" s="26" t="n">
        <x:v>46113</x:v>
      </x:c>
      <x:c r="T1561" s="26"/>
      <x:c r="U1561" s="24" t="str">
        <x:v>ATIVA/SEM FIM INFORMADO</x:v>
      </x:c>
      <x:c r="V1561" s="24" t="str">
        <x:v>Programa de Parcerias ZEISS</x:v>
      </x:c>
      <x:c r="W1561" s="24" t="n">
        <x:v>16</x:v>
      </x:c>
      <x:c r="X1561" s="24" t="str">
        <x:v>tabela_zeiss.pdf</x:v>
      </x:c>
      <x:c r="Y1561" s="24" t="str">
        <x:v>alta</x:v>
      </x:c>
      <x:c r="Z1561" s="24"/>
      <x:c r="AA1561" s="24" t="str">
        <x:v>ZEISS|Visão Simples|Surfaçada|SmartLife|PhotoFusion X|1.6|1.60|DuraVision Chrome UV|-6.00 a +8.00|-4.00|-|75|||16</x:v>
      </x:c>
    </x:row>
    <x:row r="1562">
      <x:c r="A1562" s="24" t="str">
        <x:v>ZS-64790744F294</x:v>
      </x:c>
      <x:c r="B1562" s="24" t="str">
        <x:v>SIM</x:v>
      </x:c>
      <x:c r="C1562" s="24" t="str">
        <x:v>DISPONÍVEL</x:v>
      </x:c>
      <x:c r="D1562" s="24" t="str">
        <x:v>ZEISS</x:v>
      </x:c>
      <x:c r="E1562" s="24" t="str">
        <x:v>Visão Simples</x:v>
      </x:c>
      <x:c r="F1562" s="24" t="str">
        <x:v>Surfaçada</x:v>
      </x:c>
      <x:c r="G1562" s="24" t="str">
        <x:v>SmartLife</x:v>
      </x:c>
      <x:c r="H1562" s="24" t="str">
        <x:v>PhotoFusion X</x:v>
      </x:c>
      <x:c r="I1562" s="24" t="str">
        <x:v>1.67</x:v>
      </x:c>
      <x:c r="J1562" s="24" t="str">
        <x:v>1.67</x:v>
      </x:c>
      <x:c r="K1562" s="24" t="str">
        <x:v>DURAVISION® GOLD</x:v>
      </x:c>
      <x:c r="L1562" s="40" t="n">
        <x:v>5239</x:v>
      </x:c>
      <x:c r="M1562" s="24" t="str">
        <x:v>-8.00 a +8.00</x:v>
      </x:c>
      <x:c r="N1562" s="24" t="str">
        <x:v>-6.00</x:v>
      </x:c>
      <x:c r="O1562" s="24" t="str">
        <x:v>-</x:v>
      </x:c>
      <x:c r="P1562" s="24" t="str">
        <x:v>70</x:v>
      </x:c>
      <x:c r="Q1562" s="24"/>
      <x:c r="R1562" s="24"/>
      <x:c r="S1562" s="26" t="n">
        <x:v>46113</x:v>
      </x:c>
      <x:c r="T1562" s="26"/>
      <x:c r="U1562" s="24" t="str">
        <x:v>ATIVA/SEM FIM INFORMADO</x:v>
      </x:c>
      <x:c r="V1562" s="24" t="str">
        <x:v>Programa de Parcerias ZEISS</x:v>
      </x:c>
      <x:c r="W1562" s="24" t="n">
        <x:v>16</x:v>
      </x:c>
      <x:c r="X1562" s="24" t="str">
        <x:v>tabela_zeiss.pdf</x:v>
      </x:c>
      <x:c r="Y1562" s="24" t="str">
        <x:v>alta</x:v>
      </x:c>
      <x:c r="Z1562" s="24"/>
      <x:c r="AA1562" s="24" t="str">
        <x:v>ZEISS|Visão Simples|Surfaçada|SmartLife|PhotoFusion X|1.67|1.67|DURAVISION® GOLD|-8.00 a +8.00|-6.00|-|70|||16</x:v>
      </x:c>
    </x:row>
    <x:row r="1563">
      <x:c r="A1563" s="24" t="str">
        <x:v>ZS-A62100794EB0</x:v>
      </x:c>
      <x:c r="B1563" s="24" t="str">
        <x:v>SIM</x:v>
      </x:c>
      <x:c r="C1563" s="24" t="str">
        <x:v>DISPONÍVEL</x:v>
      </x:c>
      <x:c r="D1563" s="24" t="str">
        <x:v>ZEISS</x:v>
      </x:c>
      <x:c r="E1563" s="24" t="str">
        <x:v>Visão Simples</x:v>
      </x:c>
      <x:c r="F1563" s="24" t="str">
        <x:v>Surfaçada</x:v>
      </x:c>
      <x:c r="G1563" s="24" t="str">
        <x:v>SmartLife</x:v>
      </x:c>
      <x:c r="H1563" s="24" t="str">
        <x:v>PhotoFusion X</x:v>
      </x:c>
      <x:c r="I1563" s="24" t="str">
        <x:v>1.67</x:v>
      </x:c>
      <x:c r="J1563" s="24" t="str">
        <x:v>1.67</x:v>
      </x:c>
      <x:c r="K1563" s="24" t="str">
        <x:v>DURAVISION® ANTIVÍRUS PLATINUM UV</x:v>
      </x:c>
      <x:c r="L1563" s="40" t="n">
        <x:v>5099</x:v>
      </x:c>
      <x:c r="M1563" s="24" t="str">
        <x:v>-8.00 a +8.00</x:v>
      </x:c>
      <x:c r="N1563" s="24" t="str">
        <x:v>-6.00</x:v>
      </x:c>
      <x:c r="O1563" s="24" t="str">
        <x:v>-</x:v>
      </x:c>
      <x:c r="P1563" s="24" t="str">
        <x:v>70</x:v>
      </x:c>
      <x:c r="Q1563" s="24"/>
      <x:c r="R1563" s="24"/>
      <x:c r="S1563" s="26" t="n">
        <x:v>46113</x:v>
      </x:c>
      <x:c r="T1563" s="26"/>
      <x:c r="U1563" s="24" t="str">
        <x:v>ATIVA/SEM FIM INFORMADO</x:v>
      </x:c>
      <x:c r="V1563" s="24" t="str">
        <x:v>Programa de Parcerias ZEISS</x:v>
      </x:c>
      <x:c r="W1563" s="24" t="n">
        <x:v>16</x:v>
      </x:c>
      <x:c r="X1563" s="24" t="str">
        <x:v>tabela_zeiss.pdf</x:v>
      </x:c>
      <x:c r="Y1563" s="24" t="str">
        <x:v>alta</x:v>
      </x:c>
      <x:c r="Z1563" s="24"/>
      <x:c r="AA1563" s="24" t="str">
        <x:v>ZEISS|Visão Simples|Surfaçada|SmartLife|PhotoFusion X|1.67|1.67|DURAVISION® ANTIVÍRUS PLATINUM UV|-8.00 a +8.00|-6.00|-|70|||16</x:v>
      </x:c>
    </x:row>
    <x:row r="1564">
      <x:c r="A1564" s="24" t="str">
        <x:v>ZS-AA82A9BB6578</x:v>
      </x:c>
      <x:c r="B1564" s="24" t="str">
        <x:v>SIM</x:v>
      </x:c>
      <x:c r="C1564" s="24" t="str">
        <x:v>DISPONÍVEL</x:v>
      </x:c>
      <x:c r="D1564" s="24" t="str">
        <x:v>ZEISS</x:v>
      </x:c>
      <x:c r="E1564" s="24" t="str">
        <x:v>Visão Simples</x:v>
      </x:c>
      <x:c r="F1564" s="24" t="str">
        <x:v>Surfaçada</x:v>
      </x:c>
      <x:c r="G1564" s="24" t="str">
        <x:v>SmartLife</x:v>
      </x:c>
      <x:c r="H1564" s="24" t="str">
        <x:v>PhotoFusion X</x:v>
      </x:c>
      <x:c r="I1564" s="24" t="str">
        <x:v>1.67</x:v>
      </x:c>
      <x:c r="J1564" s="24" t="str">
        <x:v>1.67</x:v>
      </x:c>
      <x:c r="K1564" s="24" t="str">
        <x:v>DuraVision Platinum UV</x:v>
      </x:c>
      <x:c r="L1564" s="40" t="n">
        <x:v>5099</x:v>
      </x:c>
      <x:c r="M1564" s="24" t="str">
        <x:v>-8.00 a +8.00</x:v>
      </x:c>
      <x:c r="N1564" s="24" t="str">
        <x:v>-6.00</x:v>
      </x:c>
      <x:c r="O1564" s="24" t="str">
        <x:v>-</x:v>
      </x:c>
      <x:c r="P1564" s="24" t="str">
        <x:v>70</x:v>
      </x:c>
      <x:c r="Q1564" s="24"/>
      <x:c r="R1564" s="24"/>
      <x:c r="S1564" s="26" t="n">
        <x:v>46113</x:v>
      </x:c>
      <x:c r="T1564" s="26"/>
      <x:c r="U1564" s="24" t="str">
        <x:v>ATIVA/SEM FIM INFORMADO</x:v>
      </x:c>
      <x:c r="V1564" s="24" t="str">
        <x:v>Programa de Parcerias ZEISS</x:v>
      </x:c>
      <x:c r="W1564" s="24" t="n">
        <x:v>16</x:v>
      </x:c>
      <x:c r="X1564" s="24" t="str">
        <x:v>tabela_zeiss.pdf</x:v>
      </x:c>
      <x:c r="Y1564" s="24" t="str">
        <x:v>alta</x:v>
      </x:c>
      <x:c r="Z1564" s="24"/>
      <x:c r="AA1564" s="24" t="str">
        <x:v>ZEISS|Visão Simples|Surfaçada|SmartLife|PhotoFusion X|1.67|1.67|DuraVision Platinum UV|-8.00 a +8.00|-6.00|-|70|||16</x:v>
      </x:c>
    </x:row>
    <x:row r="1565">
      <x:c r="A1565" s="24" t="str">
        <x:v>ZS-92164CFB2C58</x:v>
      </x:c>
      <x:c r="B1565" s="24" t="str">
        <x:v>SIM</x:v>
      </x:c>
      <x:c r="C1565" s="24" t="str">
        <x:v>DISPONÍVEL</x:v>
      </x:c>
      <x:c r="D1565" s="24" t="str">
        <x:v>ZEISS</x:v>
      </x:c>
      <x:c r="E1565" s="24" t="str">
        <x:v>Visão Simples</x:v>
      </x:c>
      <x:c r="F1565" s="24" t="str">
        <x:v>Surfaçada</x:v>
      </x:c>
      <x:c r="G1565" s="24" t="str">
        <x:v>SmartLife</x:v>
      </x:c>
      <x:c r="H1565" s="24" t="str">
        <x:v>PhotoFusion X</x:v>
      </x:c>
      <x:c r="I1565" s="24" t="str">
        <x:v>1.67</x:v>
      </x:c>
      <x:c r="J1565" s="24" t="str">
        <x:v>1.67</x:v>
      </x:c>
      <x:c r="K1565" s="24" t="str">
        <x:v>DuraVision Silver UV</x:v>
      </x:c>
      <x:c r="L1565" s="40" t="n">
        <x:v>4839</x:v>
      </x:c>
      <x:c r="M1565" s="24" t="str">
        <x:v>-8.00 a +8.00</x:v>
      </x:c>
      <x:c r="N1565" s="24" t="str">
        <x:v>-6.00</x:v>
      </x:c>
      <x:c r="O1565" s="24" t="str">
        <x:v>-</x:v>
      </x:c>
      <x:c r="P1565" s="24" t="str">
        <x:v>70</x:v>
      </x:c>
      <x:c r="Q1565" s="24"/>
      <x:c r="R1565" s="24"/>
      <x:c r="S1565" s="26" t="n">
        <x:v>46113</x:v>
      </x:c>
      <x:c r="T1565" s="26"/>
      <x:c r="U1565" s="24" t="str">
        <x:v>ATIVA/SEM FIM INFORMADO</x:v>
      </x:c>
      <x:c r="V1565" s="24" t="str">
        <x:v>Programa de Parcerias ZEISS</x:v>
      </x:c>
      <x:c r="W1565" s="24" t="n">
        <x:v>16</x:v>
      </x:c>
      <x:c r="X1565" s="24" t="str">
        <x:v>tabela_zeiss.pdf</x:v>
      </x:c>
      <x:c r="Y1565" s="24" t="str">
        <x:v>alta</x:v>
      </x:c>
      <x:c r="Z1565" s="24"/>
      <x:c r="AA1565" s="24" t="str">
        <x:v>ZEISS|Visão Simples|Surfaçada|SmartLife|PhotoFusion X|1.67|1.67|DuraVision Silver UV|-8.00 a +8.00|-6.00|-|70|||16</x:v>
      </x:c>
    </x:row>
    <x:row r="1566">
      <x:c r="A1566" s="24" t="str">
        <x:v>ZS-3E59A7BE9836</x:v>
      </x:c>
      <x:c r="B1566" s="24" t="str">
        <x:v>SIM</x:v>
      </x:c>
      <x:c r="C1566" s="24" t="str">
        <x:v>DISPONÍVEL</x:v>
      </x:c>
      <x:c r="D1566" s="24" t="str">
        <x:v>ZEISS</x:v>
      </x:c>
      <x:c r="E1566" s="24" t="str">
        <x:v>Visão Simples</x:v>
      </x:c>
      <x:c r="F1566" s="24" t="str">
        <x:v>Surfaçada</x:v>
      </x:c>
      <x:c r="G1566" s="24" t="str">
        <x:v>SmartLife</x:v>
      </x:c>
      <x:c r="H1566" s="24" t="str">
        <x:v>PhotoFusion X</x:v>
      </x:c>
      <x:c r="I1566" s="24" t="str">
        <x:v>1.67</x:v>
      </x:c>
      <x:c r="J1566" s="24" t="str">
        <x:v>1.67</x:v>
      </x:c>
      <x:c r="K1566" s="24" t="str">
        <x:v>DuraVision Chrome UV</x:v>
      </x:c>
      <x:c r="L1566" s="40" t="n">
        <x:v>4349</x:v>
      </x:c>
      <x:c r="M1566" s="24" t="str">
        <x:v>-8.00 a +8.00</x:v>
      </x:c>
      <x:c r="N1566" s="24" t="str">
        <x:v>-6.00</x:v>
      </x:c>
      <x:c r="O1566" s="24" t="str">
        <x:v>-</x:v>
      </x:c>
      <x:c r="P1566" s="24" t="str">
        <x:v>70</x:v>
      </x:c>
      <x:c r="Q1566" s="24"/>
      <x:c r="R1566" s="24"/>
      <x:c r="S1566" s="26" t="n">
        <x:v>46113</x:v>
      </x:c>
      <x:c r="T1566" s="26"/>
      <x:c r="U1566" s="24" t="str">
        <x:v>ATIVA/SEM FIM INFORMADO</x:v>
      </x:c>
      <x:c r="V1566" s="24" t="str">
        <x:v>Programa de Parcerias ZEISS</x:v>
      </x:c>
      <x:c r="W1566" s="24" t="n">
        <x:v>16</x:v>
      </x:c>
      <x:c r="X1566" s="24" t="str">
        <x:v>tabela_zeiss.pdf</x:v>
      </x:c>
      <x:c r="Y1566" s="24" t="str">
        <x:v>alta</x:v>
      </x:c>
      <x:c r="Z1566" s="24"/>
      <x:c r="AA1566" s="24" t="str">
        <x:v>ZEISS|Visão Simples|Surfaçada|SmartLife|PhotoFusion X|1.67|1.67|DuraVision Chrome UV|-8.00 a +8.00|-6.00|-|70|||16</x:v>
      </x:c>
    </x:row>
    <x:row r="1567">
      <x:c r="A1567" s="24" t="str">
        <x:v>ZS-02CD92EB8251</x:v>
      </x:c>
      <x:c r="B1567" s="24" t="str">
        <x:v>SIM</x:v>
      </x:c>
      <x:c r="C1567" s="24" t="str">
        <x:v>DISPONÍVEL</x:v>
      </x:c>
      <x:c r="D1567" s="24" t="str">
        <x:v>ZEISS</x:v>
      </x:c>
      <x:c r="E1567" s="24" t="str">
        <x:v>Visão Simples</x:v>
      </x:c>
      <x:c r="F1567" s="24" t="str">
        <x:v>Surfaçada</x:v>
      </x:c>
      <x:c r="G1567" s="24" t="str">
        <x:v>SmartLife</x:v>
      </x:c>
      <x:c r="H1567" s="24" t="str">
        <x:v>PhotoFusion X Extra Dark Cinza</x:v>
      </x:c>
      <x:c r="I1567" s="24" t="str">
        <x:v>1.5</x:v>
      </x:c>
      <x:c r="J1567" s="24" t="str">
        <x:v>1.50</x:v>
      </x:c>
      <x:c r="K1567" s="24" t="str">
        <x:v>DURAVISION® GOLD</x:v>
      </x:c>
      <x:c r="L1567" s="40" t="n">
        <x:v>3409</x:v>
      </x:c>
      <x:c r="M1567" s="24" t="str">
        <x:v>-6.00 a +6.00</x:v>
      </x:c>
      <x:c r="N1567" s="24" t="str">
        <x:v>-4.00</x:v>
      </x:c>
      <x:c r="O1567" s="24" t="str">
        <x:v>-</x:v>
      </x:c>
      <x:c r="P1567" s="24" t="str">
        <x:v>75</x:v>
      </x:c>
      <x:c r="Q1567" s="24"/>
      <x:c r="R1567" s="24"/>
      <x:c r="S1567" s="26" t="n">
        <x:v>46113</x:v>
      </x:c>
      <x:c r="T1567" s="26"/>
      <x:c r="U1567" s="24" t="str">
        <x:v>ATIVA/SEM FIM INFORMADO</x:v>
      </x:c>
      <x:c r="V1567" s="24" t="str">
        <x:v>Programa de Parcerias ZEISS</x:v>
      </x:c>
      <x:c r="W1567" s="24" t="n">
        <x:v>16</x:v>
      </x:c>
      <x:c r="X1567" s="24" t="str">
        <x:v>tabela_zeiss.pdf</x:v>
      </x:c>
      <x:c r="Y1567" s="24" t="str">
        <x:v>alta</x:v>
      </x:c>
      <x:c r="Z1567" s="24"/>
      <x:c r="AA1567" s="24" t="str">
        <x:v>ZEISS|Visão Simples|Surfaçada|SmartLife|PhotoFusion X Extra Dark Cinza|1.5|1.50|DURAVISION® GOLD|-6.00 a +6.00|-4.00|-|75|||16</x:v>
      </x:c>
    </x:row>
    <x:row r="1568">
      <x:c r="A1568" s="24" t="str">
        <x:v>ZS-017A163EAFF1</x:v>
      </x:c>
      <x:c r="B1568" s="24" t="str">
        <x:v>SIM</x:v>
      </x:c>
      <x:c r="C1568" s="24" t="str">
        <x:v>DISPONÍVEL</x:v>
      </x:c>
      <x:c r="D1568" s="24" t="str">
        <x:v>ZEISS</x:v>
      </x:c>
      <x:c r="E1568" s="24" t="str">
        <x:v>Visão Simples</x:v>
      </x:c>
      <x:c r="F1568" s="24" t="str">
        <x:v>Surfaçada</x:v>
      </x:c>
      <x:c r="G1568" s="24" t="str">
        <x:v>SmartLife</x:v>
      </x:c>
      <x:c r="H1568" s="24" t="str">
        <x:v>PhotoFusion X Extra Dark Cinza</x:v>
      </x:c>
      <x:c r="I1568" s="24" t="str">
        <x:v>1.5</x:v>
      </x:c>
      <x:c r="J1568" s="24" t="str">
        <x:v>1.50</x:v>
      </x:c>
      <x:c r="K1568" s="24" t="str">
        <x:v>DURAVISION® ANTIVÍRUS PLATINUM UV</x:v>
      </x:c>
      <x:c r="L1568" s="40" t="n">
        <x:v>3269</x:v>
      </x:c>
      <x:c r="M1568" s="24" t="str">
        <x:v>-6.00 a +6.00</x:v>
      </x:c>
      <x:c r="N1568" s="24" t="str">
        <x:v>-4.00</x:v>
      </x:c>
      <x:c r="O1568" s="24" t="str">
        <x:v>-</x:v>
      </x:c>
      <x:c r="P1568" s="24" t="str">
        <x:v>75</x:v>
      </x:c>
      <x:c r="Q1568" s="24"/>
      <x:c r="R1568" s="24"/>
      <x:c r="S1568" s="26" t="n">
        <x:v>46113</x:v>
      </x:c>
      <x:c r="T1568" s="26"/>
      <x:c r="U1568" s="24" t="str">
        <x:v>ATIVA/SEM FIM INFORMADO</x:v>
      </x:c>
      <x:c r="V1568" s="24" t="str">
        <x:v>Programa de Parcerias ZEISS</x:v>
      </x:c>
      <x:c r="W1568" s="24" t="n">
        <x:v>16</x:v>
      </x:c>
      <x:c r="X1568" s="24" t="str">
        <x:v>tabela_zeiss.pdf</x:v>
      </x:c>
      <x:c r="Y1568" s="24" t="str">
        <x:v>alta</x:v>
      </x:c>
      <x:c r="Z1568" s="24"/>
      <x:c r="AA1568" s="24" t="str">
        <x:v>ZEISS|Visão Simples|Surfaçada|SmartLife|PhotoFusion X Extra Dark Cinza|1.5|1.50|DURAVISION® ANTIVÍRUS PLATINUM UV|-6.00 a +6.00|-4.00|-|75|||16</x:v>
      </x:c>
    </x:row>
    <x:row r="1569">
      <x:c r="A1569" s="24" t="str">
        <x:v>ZS-7F985D1A81F1</x:v>
      </x:c>
      <x:c r="B1569" s="24" t="str">
        <x:v>SIM</x:v>
      </x:c>
      <x:c r="C1569" s="24" t="str">
        <x:v>DISPONÍVEL</x:v>
      </x:c>
      <x:c r="D1569" s="24" t="str">
        <x:v>ZEISS</x:v>
      </x:c>
      <x:c r="E1569" s="24" t="str">
        <x:v>Visão Simples</x:v>
      </x:c>
      <x:c r="F1569" s="24" t="str">
        <x:v>Surfaçada</x:v>
      </x:c>
      <x:c r="G1569" s="24" t="str">
        <x:v>SmartLife</x:v>
      </x:c>
      <x:c r="H1569" s="24" t="str">
        <x:v>PhotoFusion X Extra Dark Cinza</x:v>
      </x:c>
      <x:c r="I1569" s="24" t="str">
        <x:v>1.5</x:v>
      </x:c>
      <x:c r="J1569" s="24" t="str">
        <x:v>1.50</x:v>
      </x:c>
      <x:c r="K1569" s="24" t="str">
        <x:v>DuraVision Platinum UV</x:v>
      </x:c>
      <x:c r="L1569" s="40" t="n">
        <x:v>3269</x:v>
      </x:c>
      <x:c r="M1569" s="24" t="str">
        <x:v>-6.00 a +6.00</x:v>
      </x:c>
      <x:c r="N1569" s="24" t="str">
        <x:v>-4.00</x:v>
      </x:c>
      <x:c r="O1569" s="24" t="str">
        <x:v>-</x:v>
      </x:c>
      <x:c r="P1569" s="24" t="str">
        <x:v>75</x:v>
      </x:c>
      <x:c r="Q1569" s="24"/>
      <x:c r="R1569" s="24"/>
      <x:c r="S1569" s="26" t="n">
        <x:v>46113</x:v>
      </x:c>
      <x:c r="T1569" s="26"/>
      <x:c r="U1569" s="24" t="str">
        <x:v>ATIVA/SEM FIM INFORMADO</x:v>
      </x:c>
      <x:c r="V1569" s="24" t="str">
        <x:v>Programa de Parcerias ZEISS</x:v>
      </x:c>
      <x:c r="W1569" s="24" t="n">
        <x:v>16</x:v>
      </x:c>
      <x:c r="X1569" s="24" t="str">
        <x:v>tabela_zeiss.pdf</x:v>
      </x:c>
      <x:c r="Y1569" s="24" t="str">
        <x:v>alta</x:v>
      </x:c>
      <x:c r="Z1569" s="24"/>
      <x:c r="AA1569" s="24" t="str">
        <x:v>ZEISS|Visão Simples|Surfaçada|SmartLife|PhotoFusion X Extra Dark Cinza|1.5|1.50|DuraVision Platinum UV|-6.00 a +6.00|-4.00|-|75|||16</x:v>
      </x:c>
    </x:row>
    <x:row r="1570">
      <x:c r="A1570" s="24" t="str">
        <x:v>ZS-AE69DF3296FE</x:v>
      </x:c>
      <x:c r="B1570" s="24" t="str">
        <x:v>SIM</x:v>
      </x:c>
      <x:c r="C1570" s="24" t="str">
        <x:v>DISPONÍVEL</x:v>
      </x:c>
      <x:c r="D1570" s="24" t="str">
        <x:v>ZEISS</x:v>
      </x:c>
      <x:c r="E1570" s="24" t="str">
        <x:v>Visão Simples</x:v>
      </x:c>
      <x:c r="F1570" s="24" t="str">
        <x:v>Surfaçada</x:v>
      </x:c>
      <x:c r="G1570" s="24" t="str">
        <x:v>SmartLife</x:v>
      </x:c>
      <x:c r="H1570" s="24" t="str">
        <x:v>PhotoFusion X Extra Dark Cinza</x:v>
      </x:c>
      <x:c r="I1570" s="24" t="str">
        <x:v>1.5</x:v>
      </x:c>
      <x:c r="J1570" s="24" t="str">
        <x:v>1.50</x:v>
      </x:c>
      <x:c r="K1570" s="24" t="str">
        <x:v>DuraVision Silver UV</x:v>
      </x:c>
      <x:c r="L1570" s="40" t="n">
        <x:v>3009</x:v>
      </x:c>
      <x:c r="M1570" s="24" t="str">
        <x:v>-6.00 a +6.00</x:v>
      </x:c>
      <x:c r="N1570" s="24" t="str">
        <x:v>-4.00</x:v>
      </x:c>
      <x:c r="O1570" s="24" t="str">
        <x:v>-</x:v>
      </x:c>
      <x:c r="P1570" s="24" t="str">
        <x:v>75</x:v>
      </x:c>
      <x:c r="Q1570" s="24"/>
      <x:c r="R1570" s="24"/>
      <x:c r="S1570" s="26" t="n">
        <x:v>46113</x:v>
      </x:c>
      <x:c r="T1570" s="26"/>
      <x:c r="U1570" s="24" t="str">
        <x:v>ATIVA/SEM FIM INFORMADO</x:v>
      </x:c>
      <x:c r="V1570" s="24" t="str">
        <x:v>Programa de Parcerias ZEISS</x:v>
      </x:c>
      <x:c r="W1570" s="24" t="n">
        <x:v>16</x:v>
      </x:c>
      <x:c r="X1570" s="24" t="str">
        <x:v>tabela_zeiss.pdf</x:v>
      </x:c>
      <x:c r="Y1570" s="24" t="str">
        <x:v>alta</x:v>
      </x:c>
      <x:c r="Z1570" s="24"/>
      <x:c r="AA1570" s="24" t="str">
        <x:v>ZEISS|Visão Simples|Surfaçada|SmartLife|PhotoFusion X Extra Dark Cinza|1.5|1.50|DuraVision Silver UV|-6.00 a +6.00|-4.00|-|75|||16</x:v>
      </x:c>
    </x:row>
    <x:row r="1571">
      <x:c r="A1571" s="24" t="str">
        <x:v>ZS-DD6F4B93E447</x:v>
      </x:c>
      <x:c r="B1571" s="24" t="str">
        <x:v>SIM</x:v>
      </x:c>
      <x:c r="C1571" s="24" t="str">
        <x:v>DISPONÍVEL</x:v>
      </x:c>
      <x:c r="D1571" s="24" t="str">
        <x:v>ZEISS</x:v>
      </x:c>
      <x:c r="E1571" s="24" t="str">
        <x:v>Visão Simples</x:v>
      </x:c>
      <x:c r="F1571" s="24" t="str">
        <x:v>Surfaçada</x:v>
      </x:c>
      <x:c r="G1571" s="24" t="str">
        <x:v>SmartLife</x:v>
      </x:c>
      <x:c r="H1571" s="24" t="str">
        <x:v>PhotoFusion X Extra Dark Cinza</x:v>
      </x:c>
      <x:c r="I1571" s="24" t="str">
        <x:v>1.5</x:v>
      </x:c>
      <x:c r="J1571" s="24" t="str">
        <x:v>1.50</x:v>
      </x:c>
      <x:c r="K1571" s="24" t="str">
        <x:v>DuraVision Chrome UV</x:v>
      </x:c>
      <x:c r="L1571" s="40" t="n">
        <x:v>2519</x:v>
      </x:c>
      <x:c r="M1571" s="24" t="str">
        <x:v>-6.00 a +6.00</x:v>
      </x:c>
      <x:c r="N1571" s="24" t="str">
        <x:v>-4.00</x:v>
      </x:c>
      <x:c r="O1571" s="24" t="str">
        <x:v>-</x:v>
      </x:c>
      <x:c r="P1571" s="24" t="str">
        <x:v>75</x:v>
      </x:c>
      <x:c r="Q1571" s="24"/>
      <x:c r="R1571" s="24"/>
      <x:c r="S1571" s="26" t="n">
        <x:v>46113</x:v>
      </x:c>
      <x:c r="T1571" s="26"/>
      <x:c r="U1571" s="24" t="str">
        <x:v>ATIVA/SEM FIM INFORMADO</x:v>
      </x:c>
      <x:c r="V1571" s="24" t="str">
        <x:v>Programa de Parcerias ZEISS</x:v>
      </x:c>
      <x:c r="W1571" s="24" t="n">
        <x:v>16</x:v>
      </x:c>
      <x:c r="X1571" s="24" t="str">
        <x:v>tabela_zeiss.pdf</x:v>
      </x:c>
      <x:c r="Y1571" s="24" t="str">
        <x:v>alta</x:v>
      </x:c>
      <x:c r="Z1571" s="24"/>
      <x:c r="AA1571" s="24" t="str">
        <x:v>ZEISS|Visão Simples|Surfaçada|SmartLife|PhotoFusion X Extra Dark Cinza|1.5|1.50|DuraVision Chrome UV|-6.00 a +6.00|-4.00|-|75|||16</x:v>
      </x:c>
    </x:row>
    <x:row r="1572">
      <x:c r="A1572" s="24" t="str">
        <x:v>ZS-A1B670FFC058</x:v>
      </x:c>
      <x:c r="B1572" s="24" t="str">
        <x:v>SIM</x:v>
      </x:c>
      <x:c r="C1572" s="24" t="str">
        <x:v>DISPONÍVEL</x:v>
      </x:c>
      <x:c r="D1572" s="24" t="str">
        <x:v>ZEISS</x:v>
      </x:c>
      <x:c r="E1572" s="24" t="str">
        <x:v>Visão Simples</x:v>
      </x:c>
      <x:c r="F1572" s="24" t="str">
        <x:v>Surfaçada</x:v>
      </x:c>
      <x:c r="G1572" s="24" t="str">
        <x:v>SmartLife</x:v>
      </x:c>
      <x:c r="H1572" s="24" t="str">
        <x:v>PhotoFusion X Extra Dark Cinza</x:v>
      </x:c>
      <x:c r="I1572" s="24" t="str">
        <x:v>Poli</x:v>
      </x:c>
      <x:c r="J1572" s="24"/>
      <x:c r="K1572" s="24" t="str">
        <x:v>DURAVISION® GOLD</x:v>
      </x:c>
      <x:c r="L1572" s="40" t="n">
        <x:v>3769</x:v>
      </x:c>
      <x:c r="M1572" s="24" t="str">
        <x:v>-10.00 a +8.00</x:v>
      </x:c>
      <x:c r="N1572" s="24" t="str">
        <x:v>-4.00</x:v>
      </x:c>
      <x:c r="O1572" s="24" t="str">
        <x:v>-</x:v>
      </x:c>
      <x:c r="P1572" s="24" t="str">
        <x:v>70</x:v>
      </x:c>
      <x:c r="Q1572" s="24"/>
      <x:c r="R1572" s="24"/>
      <x:c r="S1572" s="26" t="n">
        <x:v>46113</x:v>
      </x:c>
      <x:c r="T1572" s="26"/>
      <x:c r="U1572" s="24" t="str">
        <x:v>ATIVA/SEM FIM INFORMADO</x:v>
      </x:c>
      <x:c r="V1572" s="24" t="str">
        <x:v>Programa de Parcerias ZEISS</x:v>
      </x:c>
      <x:c r="W1572" s="24" t="n">
        <x:v>16</x:v>
      </x:c>
      <x:c r="X1572" s="24" t="str">
        <x:v>tabela_zeiss.pdf</x:v>
      </x:c>
      <x:c r="Y1572" s="24" t="str">
        <x:v>alta</x:v>
      </x:c>
      <x:c r="Z1572" s="24"/>
      <x:c r="AA1572" s="24" t="str">
        <x:v>ZEISS|Visão Simples|Surfaçada|SmartLife|PhotoFusion X Extra Dark Cinza|Poli||DURAVISION® GOLD|-10.00 a +8.00|-4.00|-|70|||16</x:v>
      </x:c>
    </x:row>
    <x:row r="1573">
      <x:c r="A1573" s="24" t="str">
        <x:v>ZS-3551D316A062</x:v>
      </x:c>
      <x:c r="B1573" s="24" t="str">
        <x:v>SIM</x:v>
      </x:c>
      <x:c r="C1573" s="24" t="str">
        <x:v>DISPONÍVEL</x:v>
      </x:c>
      <x:c r="D1573" s="24" t="str">
        <x:v>ZEISS</x:v>
      </x:c>
      <x:c r="E1573" s="24" t="str">
        <x:v>Visão Simples</x:v>
      </x:c>
      <x:c r="F1573" s="24" t="str">
        <x:v>Surfaçada</x:v>
      </x:c>
      <x:c r="G1573" s="24" t="str">
        <x:v>SmartLife</x:v>
      </x:c>
      <x:c r="H1573" s="24" t="str">
        <x:v>PhotoFusion X Extra Dark Cinza</x:v>
      </x:c>
      <x:c r="I1573" s="24" t="str">
        <x:v>Poli</x:v>
      </x:c>
      <x:c r="J1573" s="24"/>
      <x:c r="K1573" s="24" t="str">
        <x:v>DuraVision Platinum UV</x:v>
      </x:c>
      <x:c r="L1573" s="40" t="n">
        <x:v>3629</x:v>
      </x:c>
      <x:c r="M1573" s="24" t="str">
        <x:v>-10.00 a +8.00</x:v>
      </x:c>
      <x:c r="N1573" s="24" t="str">
        <x:v>-4.00</x:v>
      </x:c>
      <x:c r="O1573" s="24" t="str">
        <x:v>-</x:v>
      </x:c>
      <x:c r="P1573" s="24" t="str">
        <x:v>70</x:v>
      </x:c>
      <x:c r="Q1573" s="24"/>
      <x:c r="R1573" s="24"/>
      <x:c r="S1573" s="26" t="n">
        <x:v>46113</x:v>
      </x:c>
      <x:c r="T1573" s="26"/>
      <x:c r="U1573" s="24" t="str">
        <x:v>ATIVA/SEM FIM INFORMADO</x:v>
      </x:c>
      <x:c r="V1573" s="24" t="str">
        <x:v>Programa de Parcerias ZEISS</x:v>
      </x:c>
      <x:c r="W1573" s="24" t="n">
        <x:v>16</x:v>
      </x:c>
      <x:c r="X1573" s="24" t="str">
        <x:v>tabela_zeiss.pdf</x:v>
      </x:c>
      <x:c r="Y1573" s="24" t="str">
        <x:v>alta</x:v>
      </x:c>
      <x:c r="Z1573" s="24"/>
      <x:c r="AA1573" s="24" t="str">
        <x:v>ZEISS|Visão Simples|Surfaçada|SmartLife|PhotoFusion X Extra Dark Cinza|Poli||DuraVision Platinum UV|-10.00 a +8.00|-4.00|-|70|||16</x:v>
      </x:c>
    </x:row>
    <x:row r="1574">
      <x:c r="A1574" s="24" t="str">
        <x:v>ZS-B879D462BFE4</x:v>
      </x:c>
      <x:c r="B1574" s="24" t="str">
        <x:v>SIM</x:v>
      </x:c>
      <x:c r="C1574" s="24" t="str">
        <x:v>DISPONÍVEL</x:v>
      </x:c>
      <x:c r="D1574" s="24" t="str">
        <x:v>ZEISS</x:v>
      </x:c>
      <x:c r="E1574" s="24" t="str">
        <x:v>Visão Simples</x:v>
      </x:c>
      <x:c r="F1574" s="24" t="str">
        <x:v>Surfaçada</x:v>
      </x:c>
      <x:c r="G1574" s="24" t="str">
        <x:v>SmartLife</x:v>
      </x:c>
      <x:c r="H1574" s="24" t="str">
        <x:v>PhotoFusion X Extra Dark Cinza</x:v>
      </x:c>
      <x:c r="I1574" s="24" t="str">
        <x:v>Poli</x:v>
      </x:c>
      <x:c r="J1574" s="24"/>
      <x:c r="K1574" s="24" t="str">
        <x:v>DuraVision Silver UV</x:v>
      </x:c>
      <x:c r="L1574" s="40" t="n">
        <x:v>3369</x:v>
      </x:c>
      <x:c r="M1574" s="24" t="str">
        <x:v>-10.00 a +8.00</x:v>
      </x:c>
      <x:c r="N1574" s="24" t="str">
        <x:v>-4.00</x:v>
      </x:c>
      <x:c r="O1574" s="24" t="str">
        <x:v>-</x:v>
      </x:c>
      <x:c r="P1574" s="24" t="str">
        <x:v>70</x:v>
      </x:c>
      <x:c r="Q1574" s="24"/>
      <x:c r="R1574" s="24"/>
      <x:c r="S1574" s="26" t="n">
        <x:v>46113</x:v>
      </x:c>
      <x:c r="T1574" s="26"/>
      <x:c r="U1574" s="24" t="str">
        <x:v>ATIVA/SEM FIM INFORMADO</x:v>
      </x:c>
      <x:c r="V1574" s="24" t="str">
        <x:v>Programa de Parcerias ZEISS</x:v>
      </x:c>
      <x:c r="W1574" s="24" t="n">
        <x:v>16</x:v>
      </x:c>
      <x:c r="X1574" s="24" t="str">
        <x:v>tabela_zeiss.pdf</x:v>
      </x:c>
      <x:c r="Y1574" s="24" t="str">
        <x:v>alta</x:v>
      </x:c>
      <x:c r="Z1574" s="24"/>
      <x:c r="AA1574" s="24" t="str">
        <x:v>ZEISS|Visão Simples|Surfaçada|SmartLife|PhotoFusion X Extra Dark Cinza|Poli||DuraVision Silver UV|-10.00 a +8.00|-4.00|-|70|||16</x:v>
      </x:c>
    </x:row>
    <x:row r="1575">
      <x:c r="A1575" s="24" t="str">
        <x:v>ZS-EF0C72922641</x:v>
      </x:c>
      <x:c r="B1575" s="24" t="str">
        <x:v>SIM</x:v>
      </x:c>
      <x:c r="C1575" s="24" t="str">
        <x:v>DISPONÍVEL</x:v>
      </x:c>
      <x:c r="D1575" s="24" t="str">
        <x:v>ZEISS</x:v>
      </x:c>
      <x:c r="E1575" s="24" t="str">
        <x:v>Visão Simples</x:v>
      </x:c>
      <x:c r="F1575" s="24" t="str">
        <x:v>Surfaçada</x:v>
      </x:c>
      <x:c r="G1575" s="24" t="str">
        <x:v>SmartLife</x:v>
      </x:c>
      <x:c r="H1575" s="24" t="str">
        <x:v>PhotoFusion X Extra Dark Cinza</x:v>
      </x:c>
      <x:c r="I1575" s="24" t="str">
        <x:v>Poli</x:v>
      </x:c>
      <x:c r="J1575" s="24"/>
      <x:c r="K1575" s="24" t="str">
        <x:v>DuraVision Chrome UV</x:v>
      </x:c>
      <x:c r="L1575" s="40" t="n">
        <x:v>2879</x:v>
      </x:c>
      <x:c r="M1575" s="24" t="str">
        <x:v>-10.00 a +8.00</x:v>
      </x:c>
      <x:c r="N1575" s="24" t="str">
        <x:v>-4.00</x:v>
      </x:c>
      <x:c r="O1575" s="24" t="str">
        <x:v>-</x:v>
      </x:c>
      <x:c r="P1575" s="24" t="str">
        <x:v>70</x:v>
      </x:c>
      <x:c r="Q1575" s="24"/>
      <x:c r="R1575" s="24"/>
      <x:c r="S1575" s="26" t="n">
        <x:v>46113</x:v>
      </x:c>
      <x:c r="T1575" s="26"/>
      <x:c r="U1575" s="24" t="str">
        <x:v>ATIVA/SEM FIM INFORMADO</x:v>
      </x:c>
      <x:c r="V1575" s="24" t="str">
        <x:v>Programa de Parcerias ZEISS</x:v>
      </x:c>
      <x:c r="W1575" s="24" t="n">
        <x:v>16</x:v>
      </x:c>
      <x:c r="X1575" s="24" t="str">
        <x:v>tabela_zeiss.pdf</x:v>
      </x:c>
      <x:c r="Y1575" s="24" t="str">
        <x:v>alta</x:v>
      </x:c>
      <x:c r="Z1575" s="24"/>
      <x:c r="AA1575" s="24" t="str">
        <x:v>ZEISS|Visão Simples|Surfaçada|SmartLife|PhotoFusion X Extra Dark Cinza|Poli||DuraVision Chrome UV|-10.00 a +8.00|-4.00|-|70|||16</x:v>
      </x:c>
    </x:row>
    <x:row r="1576">
      <x:c r="A1576" s="24" t="str">
        <x:v>ZS-25520136CF0E</x:v>
      </x:c>
      <x:c r="B1576" s="24" t="str">
        <x:v>SIM</x:v>
      </x:c>
      <x:c r="C1576" s="24" t="str">
        <x:v>DISPONÍVEL</x:v>
      </x:c>
      <x:c r="D1576" s="24" t="str">
        <x:v>ZEISS</x:v>
      </x:c>
      <x:c r="E1576" s="24" t="str">
        <x:v>Visão Simples</x:v>
      </x:c>
      <x:c r="F1576" s="24" t="str">
        <x:v>Surfaçada</x:v>
      </x:c>
      <x:c r="G1576" s="24" t="str">
        <x:v>SmartLife</x:v>
      </x:c>
      <x:c r="H1576" s="24" t="str">
        <x:v>PhotoFusion X Extra Dark Cinza</x:v>
      </x:c>
      <x:c r="I1576" s="24" t="str">
        <x:v>1.6</x:v>
      </x:c>
      <x:c r="J1576" s="24" t="str">
        <x:v>1.60</x:v>
      </x:c>
      <x:c r="K1576" s="24" t="str">
        <x:v>DURAVISION® GOLD</x:v>
      </x:c>
      <x:c r="L1576" s="40" t="n">
        <x:v>3989</x:v>
      </x:c>
      <x:c r="M1576" s="24" t="str">
        <x:v>-6.00 a +8.00</x:v>
      </x:c>
      <x:c r="N1576" s="24" t="str">
        <x:v>-4.00</x:v>
      </x:c>
      <x:c r="O1576" s="24" t="str">
        <x:v>-</x:v>
      </x:c>
      <x:c r="P1576" s="24" t="str">
        <x:v>75</x:v>
      </x:c>
      <x:c r="Q1576" s="24"/>
      <x:c r="R1576" s="24"/>
      <x:c r="S1576" s="26" t="n">
        <x:v>46113</x:v>
      </x:c>
      <x:c r="T1576" s="26"/>
      <x:c r="U1576" s="24" t="str">
        <x:v>ATIVA/SEM FIM INFORMADO</x:v>
      </x:c>
      <x:c r="V1576" s="24" t="str">
        <x:v>Programa de Parcerias ZEISS</x:v>
      </x:c>
      <x:c r="W1576" s="24" t="n">
        <x:v>16</x:v>
      </x:c>
      <x:c r="X1576" s="24" t="str">
        <x:v>tabela_zeiss.pdf</x:v>
      </x:c>
      <x:c r="Y1576" s="24" t="str">
        <x:v>alta</x:v>
      </x:c>
      <x:c r="Z1576" s="24"/>
      <x:c r="AA1576" s="24" t="str">
        <x:v>ZEISS|Visão Simples|Surfaçada|SmartLife|PhotoFusion X Extra Dark Cinza|1.6|1.60|DURAVISION® GOLD|-6.00 a +8.00|-4.00|-|75|||16</x:v>
      </x:c>
    </x:row>
    <x:row r="1577">
      <x:c r="A1577" s="24" t="str">
        <x:v>ZS-BA4A16BA5CA5</x:v>
      </x:c>
      <x:c r="B1577" s="24" t="str">
        <x:v>SIM</x:v>
      </x:c>
      <x:c r="C1577" s="24" t="str">
        <x:v>DISPONÍVEL</x:v>
      </x:c>
      <x:c r="D1577" s="24" t="str">
        <x:v>ZEISS</x:v>
      </x:c>
      <x:c r="E1577" s="24" t="str">
        <x:v>Visão Simples</x:v>
      </x:c>
      <x:c r="F1577" s="24" t="str">
        <x:v>Surfaçada</x:v>
      </x:c>
      <x:c r="G1577" s="24" t="str">
        <x:v>SmartLife</x:v>
      </x:c>
      <x:c r="H1577" s="24" t="str">
        <x:v>PhotoFusion X Extra Dark Cinza</x:v>
      </x:c>
      <x:c r="I1577" s="24" t="str">
        <x:v>1.6</x:v>
      </x:c>
      <x:c r="J1577" s="24" t="str">
        <x:v>1.60</x:v>
      </x:c>
      <x:c r="K1577" s="24" t="str">
        <x:v>DURAVISION® ANTIVÍRUS PLATINUM UV</x:v>
      </x:c>
      <x:c r="L1577" s="40" t="n">
        <x:v>3849</x:v>
      </x:c>
      <x:c r="M1577" s="24" t="str">
        <x:v>-6.00 a +8.00</x:v>
      </x:c>
      <x:c r="N1577" s="24" t="str">
        <x:v>-4.00</x:v>
      </x:c>
      <x:c r="O1577" s="24" t="str">
        <x:v>-</x:v>
      </x:c>
      <x:c r="P1577" s="24" t="str">
        <x:v>75</x:v>
      </x:c>
      <x:c r="Q1577" s="24"/>
      <x:c r="R1577" s="24"/>
      <x:c r="S1577" s="26" t="n">
        <x:v>46113</x:v>
      </x:c>
      <x:c r="T1577" s="26"/>
      <x:c r="U1577" s="24" t="str">
        <x:v>ATIVA/SEM FIM INFORMADO</x:v>
      </x:c>
      <x:c r="V1577" s="24" t="str">
        <x:v>Programa de Parcerias ZEISS</x:v>
      </x:c>
      <x:c r="W1577" s="24" t="n">
        <x:v>16</x:v>
      </x:c>
      <x:c r="X1577" s="24" t="str">
        <x:v>tabela_zeiss.pdf</x:v>
      </x:c>
      <x:c r="Y1577" s="24" t="str">
        <x:v>alta</x:v>
      </x:c>
      <x:c r="Z1577" s="24"/>
      <x:c r="AA1577" s="24" t="str">
        <x:v>ZEISS|Visão Simples|Surfaçada|SmartLife|PhotoFusion X Extra Dark Cinza|1.6|1.60|DURAVISION® ANTIVÍRUS PLATINUM UV|-6.00 a +8.00|-4.00|-|75|||16</x:v>
      </x:c>
    </x:row>
    <x:row r="1578">
      <x:c r="A1578" s="24" t="str">
        <x:v>ZS-5D5533F75E12</x:v>
      </x:c>
      <x:c r="B1578" s="24" t="str">
        <x:v>SIM</x:v>
      </x:c>
      <x:c r="C1578" s="24" t="str">
        <x:v>DISPONÍVEL</x:v>
      </x:c>
      <x:c r="D1578" s="24" t="str">
        <x:v>ZEISS</x:v>
      </x:c>
      <x:c r="E1578" s="24" t="str">
        <x:v>Visão Simples</x:v>
      </x:c>
      <x:c r="F1578" s="24" t="str">
        <x:v>Surfaçada</x:v>
      </x:c>
      <x:c r="G1578" s="24" t="str">
        <x:v>SmartLife</x:v>
      </x:c>
      <x:c r="H1578" s="24" t="str">
        <x:v>PhotoFusion X Extra Dark Cinza</x:v>
      </x:c>
      <x:c r="I1578" s="24" t="str">
        <x:v>1.6</x:v>
      </x:c>
      <x:c r="J1578" s="24" t="str">
        <x:v>1.60</x:v>
      </x:c>
      <x:c r="K1578" s="24" t="str">
        <x:v>DuraVision Platinum UV</x:v>
      </x:c>
      <x:c r="L1578" s="40" t="n">
        <x:v>3849</x:v>
      </x:c>
      <x:c r="M1578" s="24" t="str">
        <x:v>-6.00 a +8.00</x:v>
      </x:c>
      <x:c r="N1578" s="24" t="str">
        <x:v>-4.00</x:v>
      </x:c>
      <x:c r="O1578" s="24" t="str">
        <x:v>-</x:v>
      </x:c>
      <x:c r="P1578" s="24" t="str">
        <x:v>75</x:v>
      </x:c>
      <x:c r="Q1578" s="24"/>
      <x:c r="R1578" s="24"/>
      <x:c r="S1578" s="26" t="n">
        <x:v>46113</x:v>
      </x:c>
      <x:c r="T1578" s="26"/>
      <x:c r="U1578" s="24" t="str">
        <x:v>ATIVA/SEM FIM INFORMADO</x:v>
      </x:c>
      <x:c r="V1578" s="24" t="str">
        <x:v>Programa de Parcerias ZEISS</x:v>
      </x:c>
      <x:c r="W1578" s="24" t="n">
        <x:v>16</x:v>
      </x:c>
      <x:c r="X1578" s="24" t="str">
        <x:v>tabela_zeiss.pdf</x:v>
      </x:c>
      <x:c r="Y1578" s="24" t="str">
        <x:v>alta</x:v>
      </x:c>
      <x:c r="Z1578" s="24"/>
      <x:c r="AA1578" s="24" t="str">
        <x:v>ZEISS|Visão Simples|Surfaçada|SmartLife|PhotoFusion X Extra Dark Cinza|1.6|1.60|DuraVision Platinum UV|-6.00 a +8.00|-4.00|-|75|||16</x:v>
      </x:c>
    </x:row>
    <x:row r="1579">
      <x:c r="A1579" s="24" t="str">
        <x:v>ZS-EAB7E80B19B0</x:v>
      </x:c>
      <x:c r="B1579" s="24" t="str">
        <x:v>SIM</x:v>
      </x:c>
      <x:c r="C1579" s="24" t="str">
        <x:v>DISPONÍVEL</x:v>
      </x:c>
      <x:c r="D1579" s="24" t="str">
        <x:v>ZEISS</x:v>
      </x:c>
      <x:c r="E1579" s="24" t="str">
        <x:v>Visão Simples</x:v>
      </x:c>
      <x:c r="F1579" s="24" t="str">
        <x:v>Surfaçada</x:v>
      </x:c>
      <x:c r="G1579" s="24" t="str">
        <x:v>SmartLife</x:v>
      </x:c>
      <x:c r="H1579" s="24" t="str">
        <x:v>PhotoFusion X Extra Dark Cinza</x:v>
      </x:c>
      <x:c r="I1579" s="24" t="str">
        <x:v>1.6</x:v>
      </x:c>
      <x:c r="J1579" s="24" t="str">
        <x:v>1.60</x:v>
      </x:c>
      <x:c r="K1579" s="24" t="str">
        <x:v>DuraVision Silver UV</x:v>
      </x:c>
      <x:c r="L1579" s="40" t="n">
        <x:v>3589</x:v>
      </x:c>
      <x:c r="M1579" s="24" t="str">
        <x:v>-6.00 a +8.00</x:v>
      </x:c>
      <x:c r="N1579" s="24" t="str">
        <x:v>-4.00</x:v>
      </x:c>
      <x:c r="O1579" s="24" t="str">
        <x:v>-</x:v>
      </x:c>
      <x:c r="P1579" s="24" t="str">
        <x:v>75</x:v>
      </x:c>
      <x:c r="Q1579" s="24"/>
      <x:c r="R1579" s="24"/>
      <x:c r="S1579" s="26" t="n">
        <x:v>46113</x:v>
      </x:c>
      <x:c r="T1579" s="26"/>
      <x:c r="U1579" s="24" t="str">
        <x:v>ATIVA/SEM FIM INFORMADO</x:v>
      </x:c>
      <x:c r="V1579" s="24" t="str">
        <x:v>Programa de Parcerias ZEISS</x:v>
      </x:c>
      <x:c r="W1579" s="24" t="n">
        <x:v>16</x:v>
      </x:c>
      <x:c r="X1579" s="24" t="str">
        <x:v>tabela_zeiss.pdf</x:v>
      </x:c>
      <x:c r="Y1579" s="24" t="str">
        <x:v>alta</x:v>
      </x:c>
      <x:c r="Z1579" s="24"/>
      <x:c r="AA1579" s="24" t="str">
        <x:v>ZEISS|Visão Simples|Surfaçada|SmartLife|PhotoFusion X Extra Dark Cinza|1.6|1.60|DuraVision Silver UV|-6.00 a +8.00|-4.00|-|75|||16</x:v>
      </x:c>
    </x:row>
    <x:row r="1580">
      <x:c r="A1580" s="24" t="str">
        <x:v>ZS-9C2DF1C4C781</x:v>
      </x:c>
      <x:c r="B1580" s="24" t="str">
        <x:v>SIM</x:v>
      </x:c>
      <x:c r="C1580" s="24" t="str">
        <x:v>DISPONÍVEL</x:v>
      </x:c>
      <x:c r="D1580" s="24" t="str">
        <x:v>ZEISS</x:v>
      </x:c>
      <x:c r="E1580" s="24" t="str">
        <x:v>Visão Simples</x:v>
      </x:c>
      <x:c r="F1580" s="24" t="str">
        <x:v>Surfaçada</x:v>
      </x:c>
      <x:c r="G1580" s="24" t="str">
        <x:v>SmartLife</x:v>
      </x:c>
      <x:c r="H1580" s="24" t="str">
        <x:v>PhotoFusion X Extra Dark Cinza</x:v>
      </x:c>
      <x:c r="I1580" s="24" t="str">
        <x:v>1.6</x:v>
      </x:c>
      <x:c r="J1580" s="24" t="str">
        <x:v>1.60</x:v>
      </x:c>
      <x:c r="K1580" s="24" t="str">
        <x:v>DuraVision Chrome UV</x:v>
      </x:c>
      <x:c r="L1580" s="40" t="n">
        <x:v>3099</x:v>
      </x:c>
      <x:c r="M1580" s="24" t="str">
        <x:v>-6.00 a +8.00</x:v>
      </x:c>
      <x:c r="N1580" s="24" t="str">
        <x:v>-4.00</x:v>
      </x:c>
      <x:c r="O1580" s="24" t="str">
        <x:v>-</x:v>
      </x:c>
      <x:c r="P1580" s="24" t="str">
        <x:v>75</x:v>
      </x:c>
      <x:c r="Q1580" s="24"/>
      <x:c r="R1580" s="24"/>
      <x:c r="S1580" s="26" t="n">
        <x:v>46113</x:v>
      </x:c>
      <x:c r="T1580" s="26"/>
      <x:c r="U1580" s="24" t="str">
        <x:v>ATIVA/SEM FIM INFORMADO</x:v>
      </x:c>
      <x:c r="V1580" s="24" t="str">
        <x:v>Programa de Parcerias ZEISS</x:v>
      </x:c>
      <x:c r="W1580" s="24" t="n">
        <x:v>16</x:v>
      </x:c>
      <x:c r="X1580" s="24" t="str">
        <x:v>tabela_zeiss.pdf</x:v>
      </x:c>
      <x:c r="Y1580" s="24" t="str">
        <x:v>alta</x:v>
      </x:c>
      <x:c r="Z1580" s="24"/>
      <x:c r="AA1580" s="24" t="str">
        <x:v>ZEISS|Visão Simples|Surfaçada|SmartLife|PhotoFusion X Extra Dark Cinza|1.6|1.60|DuraVision Chrome UV|-6.00 a +8.00|-4.00|-|75|||16</x:v>
      </x:c>
    </x:row>
    <x:row r="1581">
      <x:c r="A1581" s="24" t="str">
        <x:v>ZS-6D390796980D</x:v>
      </x:c>
      <x:c r="B1581" s="24" t="str">
        <x:v>SIM</x:v>
      </x:c>
      <x:c r="C1581" s="24" t="str">
        <x:v>DISPONÍVEL</x:v>
      </x:c>
      <x:c r="D1581" s="24" t="str">
        <x:v>ZEISS</x:v>
      </x:c>
      <x:c r="E1581" s="24" t="str">
        <x:v>Visão Simples</x:v>
      </x:c>
      <x:c r="F1581" s="24" t="str">
        <x:v>Surfaçada</x:v>
      </x:c>
      <x:c r="G1581" s="24" t="str">
        <x:v>SmartLife</x:v>
      </x:c>
      <x:c r="H1581" s="24" t="str">
        <x:v>PhotoFusion X Extra Dark Cinza</x:v>
      </x:c>
      <x:c r="I1581" s="24" t="str">
        <x:v>1.67</x:v>
      </x:c>
      <x:c r="J1581" s="24" t="str">
        <x:v>1.67</x:v>
      </x:c>
      <x:c r="K1581" s="24" t="str">
        <x:v>DURAVISION® GOLD</x:v>
      </x:c>
      <x:c r="L1581" s="40" t="n">
        <x:v>5289</x:v>
      </x:c>
      <x:c r="M1581" s="24" t="str">
        <x:v>-8.00 a +8.00</x:v>
      </x:c>
      <x:c r="N1581" s="24" t="str">
        <x:v>-6.00</x:v>
      </x:c>
      <x:c r="O1581" s="24" t="str">
        <x:v>-</x:v>
      </x:c>
      <x:c r="P1581" s="24" t="str">
        <x:v>70</x:v>
      </x:c>
      <x:c r="Q1581" s="24"/>
      <x:c r="R1581" s="24"/>
      <x:c r="S1581" s="26" t="n">
        <x:v>46113</x:v>
      </x:c>
      <x:c r="T1581" s="26"/>
      <x:c r="U1581" s="24" t="str">
        <x:v>ATIVA/SEM FIM INFORMADO</x:v>
      </x:c>
      <x:c r="V1581" s="24" t="str">
        <x:v>Programa de Parcerias ZEISS</x:v>
      </x:c>
      <x:c r="W1581" s="24" t="n">
        <x:v>16</x:v>
      </x:c>
      <x:c r="X1581" s="24" t="str">
        <x:v>tabela_zeiss.pdf</x:v>
      </x:c>
      <x:c r="Y1581" s="24" t="str">
        <x:v>alta</x:v>
      </x:c>
      <x:c r="Z1581" s="24"/>
      <x:c r="AA1581" s="24" t="str">
        <x:v>ZEISS|Visão Simples|Surfaçada|SmartLife|PhotoFusion X Extra Dark Cinza|1.67|1.67|DURAVISION® GOLD|-8.00 a +8.00|-6.00|-|70|||16</x:v>
      </x:c>
    </x:row>
    <x:row r="1582">
      <x:c r="A1582" s="24" t="str">
        <x:v>ZS-A52C62F87DDF</x:v>
      </x:c>
      <x:c r="B1582" s="24" t="str">
        <x:v>SIM</x:v>
      </x:c>
      <x:c r="C1582" s="24" t="str">
        <x:v>DISPONÍVEL</x:v>
      </x:c>
      <x:c r="D1582" s="24" t="str">
        <x:v>ZEISS</x:v>
      </x:c>
      <x:c r="E1582" s="24" t="str">
        <x:v>Visão Simples</x:v>
      </x:c>
      <x:c r="F1582" s="24" t="str">
        <x:v>Surfaçada</x:v>
      </x:c>
      <x:c r="G1582" s="24" t="str">
        <x:v>SmartLife</x:v>
      </x:c>
      <x:c r="H1582" s="24" t="str">
        <x:v>PhotoFusion X Extra Dark Cinza</x:v>
      </x:c>
      <x:c r="I1582" s="24" t="str">
        <x:v>1.67</x:v>
      </x:c>
      <x:c r="J1582" s="24" t="str">
        <x:v>1.67</x:v>
      </x:c>
      <x:c r="K1582" s="24" t="str">
        <x:v>DURAVISION® ANTIVÍRUS PLATINUM UV</x:v>
      </x:c>
      <x:c r="L1582" s="40" t="n">
        <x:v>5149</x:v>
      </x:c>
      <x:c r="M1582" s="24" t="str">
        <x:v>-8.00 a +8.00</x:v>
      </x:c>
      <x:c r="N1582" s="24" t="str">
        <x:v>-6.00</x:v>
      </x:c>
      <x:c r="O1582" s="24" t="str">
        <x:v>-</x:v>
      </x:c>
      <x:c r="P1582" s="24" t="str">
        <x:v>70</x:v>
      </x:c>
      <x:c r="Q1582" s="24"/>
      <x:c r="R1582" s="24"/>
      <x:c r="S1582" s="26" t="n">
        <x:v>46113</x:v>
      </x:c>
      <x:c r="T1582" s="26"/>
      <x:c r="U1582" s="24" t="str">
        <x:v>ATIVA/SEM FIM INFORMADO</x:v>
      </x:c>
      <x:c r="V1582" s="24" t="str">
        <x:v>Programa de Parcerias ZEISS</x:v>
      </x:c>
      <x:c r="W1582" s="24" t="n">
        <x:v>16</x:v>
      </x:c>
      <x:c r="X1582" s="24" t="str">
        <x:v>tabela_zeiss.pdf</x:v>
      </x:c>
      <x:c r="Y1582" s="24" t="str">
        <x:v>alta</x:v>
      </x:c>
      <x:c r="Z1582" s="24"/>
      <x:c r="AA1582" s="24" t="str">
        <x:v>ZEISS|Visão Simples|Surfaçada|SmartLife|PhotoFusion X Extra Dark Cinza|1.67|1.67|DURAVISION® ANTIVÍRUS PLATINUM UV|-8.00 a +8.00|-6.00|-|70|||16</x:v>
      </x:c>
    </x:row>
    <x:row r="1583">
      <x:c r="A1583" s="24" t="str">
        <x:v>ZS-32615231306E</x:v>
      </x:c>
      <x:c r="B1583" s="24" t="str">
        <x:v>SIM</x:v>
      </x:c>
      <x:c r="C1583" s="24" t="str">
        <x:v>DISPONÍVEL</x:v>
      </x:c>
      <x:c r="D1583" s="24" t="str">
        <x:v>ZEISS</x:v>
      </x:c>
      <x:c r="E1583" s="24" t="str">
        <x:v>Visão Simples</x:v>
      </x:c>
      <x:c r="F1583" s="24" t="str">
        <x:v>Surfaçada</x:v>
      </x:c>
      <x:c r="G1583" s="24" t="str">
        <x:v>SmartLife</x:v>
      </x:c>
      <x:c r="H1583" s="24" t="str">
        <x:v>PhotoFusion X Extra Dark Cinza</x:v>
      </x:c>
      <x:c r="I1583" s="24" t="str">
        <x:v>1.67</x:v>
      </x:c>
      <x:c r="J1583" s="24" t="str">
        <x:v>1.67</x:v>
      </x:c>
      <x:c r="K1583" s="24" t="str">
        <x:v>DuraVision Platinum UV</x:v>
      </x:c>
      <x:c r="L1583" s="40" t="n">
        <x:v>5149</x:v>
      </x:c>
      <x:c r="M1583" s="24" t="str">
        <x:v>-8.00 a +8.00</x:v>
      </x:c>
      <x:c r="N1583" s="24" t="str">
        <x:v>-6.00</x:v>
      </x:c>
      <x:c r="O1583" s="24" t="str">
        <x:v>-</x:v>
      </x:c>
      <x:c r="P1583" s="24" t="str">
        <x:v>70</x:v>
      </x:c>
      <x:c r="Q1583" s="24"/>
      <x:c r="R1583" s="24"/>
      <x:c r="S1583" s="26" t="n">
        <x:v>46113</x:v>
      </x:c>
      <x:c r="T1583" s="26"/>
      <x:c r="U1583" s="24" t="str">
        <x:v>ATIVA/SEM FIM INFORMADO</x:v>
      </x:c>
      <x:c r="V1583" s="24" t="str">
        <x:v>Programa de Parcerias ZEISS</x:v>
      </x:c>
      <x:c r="W1583" s="24" t="n">
        <x:v>16</x:v>
      </x:c>
      <x:c r="X1583" s="24" t="str">
        <x:v>tabela_zeiss.pdf</x:v>
      </x:c>
      <x:c r="Y1583" s="24" t="str">
        <x:v>alta</x:v>
      </x:c>
      <x:c r="Z1583" s="24"/>
      <x:c r="AA1583" s="24" t="str">
        <x:v>ZEISS|Visão Simples|Surfaçada|SmartLife|PhotoFusion X Extra Dark Cinza|1.67|1.67|DuraVision Platinum UV|-8.00 a +8.00|-6.00|-|70|||16</x:v>
      </x:c>
    </x:row>
    <x:row r="1584">
      <x:c r="A1584" s="24" t="str">
        <x:v>ZS-F2C3A526ACE3</x:v>
      </x:c>
      <x:c r="B1584" s="24" t="str">
        <x:v>SIM</x:v>
      </x:c>
      <x:c r="C1584" s="24" t="str">
        <x:v>DISPONÍVEL</x:v>
      </x:c>
      <x:c r="D1584" s="24" t="str">
        <x:v>ZEISS</x:v>
      </x:c>
      <x:c r="E1584" s="24" t="str">
        <x:v>Visão Simples</x:v>
      </x:c>
      <x:c r="F1584" s="24" t="str">
        <x:v>Surfaçada</x:v>
      </x:c>
      <x:c r="G1584" s="24" t="str">
        <x:v>SmartLife</x:v>
      </x:c>
      <x:c r="H1584" s="24" t="str">
        <x:v>PhotoFusion X Extra Dark Cinza</x:v>
      </x:c>
      <x:c r="I1584" s="24" t="str">
        <x:v>1.67</x:v>
      </x:c>
      <x:c r="J1584" s="24" t="str">
        <x:v>1.67</x:v>
      </x:c>
      <x:c r="K1584" s="24" t="str">
        <x:v>DuraVision Silver UV</x:v>
      </x:c>
      <x:c r="L1584" s="40" t="n">
        <x:v>4889</x:v>
      </x:c>
      <x:c r="M1584" s="24" t="str">
        <x:v>-8.00 a +8.00</x:v>
      </x:c>
      <x:c r="N1584" s="24" t="str">
        <x:v>-6.00</x:v>
      </x:c>
      <x:c r="O1584" s="24" t="str">
        <x:v>-</x:v>
      </x:c>
      <x:c r="P1584" s="24" t="str">
        <x:v>70</x:v>
      </x:c>
      <x:c r="Q1584" s="24"/>
      <x:c r="R1584" s="24"/>
      <x:c r="S1584" s="26" t="n">
        <x:v>46113</x:v>
      </x:c>
      <x:c r="T1584" s="26"/>
      <x:c r="U1584" s="24" t="str">
        <x:v>ATIVA/SEM FIM INFORMADO</x:v>
      </x:c>
      <x:c r="V1584" s="24" t="str">
        <x:v>Programa de Parcerias ZEISS</x:v>
      </x:c>
      <x:c r="W1584" s="24" t="n">
        <x:v>16</x:v>
      </x:c>
      <x:c r="X1584" s="24" t="str">
        <x:v>tabela_zeiss.pdf</x:v>
      </x:c>
      <x:c r="Y1584" s="24" t="str">
        <x:v>alta</x:v>
      </x:c>
      <x:c r="Z1584" s="24"/>
      <x:c r="AA1584" s="24" t="str">
        <x:v>ZEISS|Visão Simples|Surfaçada|SmartLife|PhotoFusion X Extra Dark Cinza|1.67|1.67|DuraVision Silver UV|-8.00 a +8.00|-6.00|-|70|||16</x:v>
      </x:c>
    </x:row>
    <x:row r="1585">
      <x:c r="A1585" s="24" t="str">
        <x:v>ZS-4635A1001AAA</x:v>
      </x:c>
      <x:c r="B1585" s="24" t="str">
        <x:v>SIM</x:v>
      </x:c>
      <x:c r="C1585" s="24" t="str">
        <x:v>DISPONÍVEL</x:v>
      </x:c>
      <x:c r="D1585" s="24" t="str">
        <x:v>ZEISS</x:v>
      </x:c>
      <x:c r="E1585" s="24" t="str">
        <x:v>Visão Simples</x:v>
      </x:c>
      <x:c r="F1585" s="24" t="str">
        <x:v>Surfaçada</x:v>
      </x:c>
      <x:c r="G1585" s="24" t="str">
        <x:v>SmartLife</x:v>
      </x:c>
      <x:c r="H1585" s="24" t="str">
        <x:v>PhotoFusion X Extra Dark Cinza</x:v>
      </x:c>
      <x:c r="I1585" s="24" t="str">
        <x:v>1.67</x:v>
      </x:c>
      <x:c r="J1585" s="24" t="str">
        <x:v>1.67</x:v>
      </x:c>
      <x:c r="K1585" s="24" t="str">
        <x:v>DuraVision Chrome UV</x:v>
      </x:c>
      <x:c r="L1585" s="40" t="n">
        <x:v>4399</x:v>
      </x:c>
      <x:c r="M1585" s="24" t="str">
        <x:v>-8.00 a +8.00</x:v>
      </x:c>
      <x:c r="N1585" s="24" t="str">
        <x:v>-6.00</x:v>
      </x:c>
      <x:c r="O1585" s="24" t="str">
        <x:v>-</x:v>
      </x:c>
      <x:c r="P1585" s="24" t="str">
        <x:v>70</x:v>
      </x:c>
      <x:c r="Q1585" s="24"/>
      <x:c r="R1585" s="24"/>
      <x:c r="S1585" s="26" t="n">
        <x:v>46113</x:v>
      </x:c>
      <x:c r="T1585" s="26"/>
      <x:c r="U1585" s="24" t="str">
        <x:v>ATIVA/SEM FIM INFORMADO</x:v>
      </x:c>
      <x:c r="V1585" s="24" t="str">
        <x:v>Programa de Parcerias ZEISS</x:v>
      </x:c>
      <x:c r="W1585" s="24" t="n">
        <x:v>16</x:v>
      </x:c>
      <x:c r="X1585" s="24" t="str">
        <x:v>tabela_zeiss.pdf</x:v>
      </x:c>
      <x:c r="Y1585" s="24" t="str">
        <x:v>alta</x:v>
      </x:c>
      <x:c r="Z1585" s="24"/>
      <x:c r="AA1585" s="24" t="str">
        <x:v>ZEISS|Visão Simples|Surfaçada|SmartLife|PhotoFusion X Extra Dark Cinza|1.67|1.67|DuraVision Chrome UV|-8.00 a +8.00|-6.00|-|70|||16</x:v>
      </x:c>
    </x:row>
    <x:row r="1586">
      <x:c r="A1586" s="24" t="str">
        <x:v>ZS-A11AC4DC5737</x:v>
      </x:c>
      <x:c r="B1586" s="24" t="str">
        <x:v>SIM</x:v>
      </x:c>
      <x:c r="C1586" s="24" t="str">
        <x:v>DISPONÍVEL</x:v>
      </x:c>
      <x:c r="D1586" s="24" t="str">
        <x:v>ZEISS</x:v>
      </x:c>
      <x:c r="E1586" s="24" t="str">
        <x:v>Visão Simples</x:v>
      </x:c>
      <x:c r="F1586" s="24" t="str">
        <x:v>Surfaçada</x:v>
      </x:c>
      <x:c r="G1586" s="24" t="str">
        <x:v>SmartLife</x:v>
      </x:c>
      <x:c r="H1586" s="24" t="str">
        <x:v>Polarizada</x:v>
      </x:c>
      <x:c r="I1586" s="24" t="str">
        <x:v>1.5</x:v>
      </x:c>
      <x:c r="J1586" s="24" t="str">
        <x:v>1.50</x:v>
      </x:c>
      <x:c r="K1586" s="24" t="str">
        <x:v>DURAVISION® GOLD</x:v>
      </x:c>
      <x:c r="L1586" s="40" t="n">
        <x:v>3109</x:v>
      </x:c>
      <x:c r="M1586" s="24" t="str">
        <x:v>-6.00 a +6.00</x:v>
      </x:c>
      <x:c r="N1586" s="24" t="str">
        <x:v>-4.00</x:v>
      </x:c>
      <x:c r="O1586" s="24" t="str">
        <x:v>-</x:v>
      </x:c>
      <x:c r="P1586" s="24" t="str">
        <x:v>75</x:v>
      </x:c>
      <x:c r="Q1586" s="24"/>
      <x:c r="R1586" s="24"/>
      <x:c r="S1586" s="26" t="n">
        <x:v>46113</x:v>
      </x:c>
      <x:c r="T1586" s="26"/>
      <x:c r="U1586" s="24" t="str">
        <x:v>ATIVA/SEM FIM INFORMADO</x:v>
      </x:c>
      <x:c r="V1586" s="24"/>
      <x:c r="W1586" s="24" t="n">
        <x:v>16</x:v>
      </x:c>
      <x:c r="X1586" s="24" t="str">
        <x:v>tabela_zeiss.pdf</x:v>
      </x:c>
      <x:c r="Y1586" s="24" t="str">
        <x:v>alta</x:v>
      </x:c>
      <x:c r="Z1586" s="24"/>
      <x:c r="AA1586" s="24" t="str">
        <x:v>ZEISS|Visão Simples|Surfaçada|SmartLife|Polarizada|1.5|1.50|DURAVISION® GOLD|-6.00 a +6.00|-4.00|-|75|||16</x:v>
      </x:c>
    </x:row>
    <x:row r="1587">
      <x:c r="A1587" s="24" t="str">
        <x:v>ZS-11EEF5565B1F</x:v>
      </x:c>
      <x:c r="B1587" s="24" t="str">
        <x:v>SIM</x:v>
      </x:c>
      <x:c r="C1587" s="24" t="str">
        <x:v>DISPONÍVEL</x:v>
      </x:c>
      <x:c r="D1587" s="24" t="str">
        <x:v>ZEISS</x:v>
      </x:c>
      <x:c r="E1587" s="24" t="str">
        <x:v>Visão Simples</x:v>
      </x:c>
      <x:c r="F1587" s="24" t="str">
        <x:v>Surfaçada</x:v>
      </x:c>
      <x:c r="G1587" s="24" t="str">
        <x:v>SmartLife</x:v>
      </x:c>
      <x:c r="H1587" s="24" t="str">
        <x:v>Polarizada</x:v>
      </x:c>
      <x:c r="I1587" s="24" t="str">
        <x:v>1.5</x:v>
      </x:c>
      <x:c r="J1587" s="24" t="str">
        <x:v>1.50</x:v>
      </x:c>
      <x:c r="K1587" s="24" t="str">
        <x:v>DuraVision Platinum UV</x:v>
      </x:c>
      <x:c r="L1587" s="40" t="n">
        <x:v>2969</x:v>
      </x:c>
      <x:c r="M1587" s="24" t="str">
        <x:v>-6.00 a +6.00</x:v>
      </x:c>
      <x:c r="N1587" s="24" t="str">
        <x:v>-4.00</x:v>
      </x:c>
      <x:c r="O1587" s="24" t="str">
        <x:v>-</x:v>
      </x:c>
      <x:c r="P1587" s="24" t="str">
        <x:v>75</x:v>
      </x:c>
      <x:c r="Q1587" s="24"/>
      <x:c r="R1587" s="24"/>
      <x:c r="S1587" s="26" t="n">
        <x:v>46113</x:v>
      </x:c>
      <x:c r="T1587" s="26"/>
      <x:c r="U1587" s="24" t="str">
        <x:v>ATIVA/SEM FIM INFORMADO</x:v>
      </x:c>
      <x:c r="V1587" s="24"/>
      <x:c r="W1587" s="24" t="n">
        <x:v>16</x:v>
      </x:c>
      <x:c r="X1587" s="24" t="str">
        <x:v>tabela_zeiss.pdf</x:v>
      </x:c>
      <x:c r="Y1587" s="24" t="str">
        <x:v>alta</x:v>
      </x:c>
      <x:c r="Z1587" s="24"/>
      <x:c r="AA1587" s="24" t="str">
        <x:v>ZEISS|Visão Simples|Surfaçada|SmartLife|Polarizada|1.5|1.50|DuraVision Platinum UV|-6.00 a +6.00|-4.00|-|75|||16</x:v>
      </x:c>
    </x:row>
    <x:row r="1588">
      <x:c r="A1588" s="24" t="str">
        <x:v>ZS-08C2CFB2CCEB</x:v>
      </x:c>
      <x:c r="B1588" s="24" t="str">
        <x:v>SIM</x:v>
      </x:c>
      <x:c r="C1588" s="24" t="str">
        <x:v>DISPONÍVEL</x:v>
      </x:c>
      <x:c r="D1588" s="24" t="str">
        <x:v>ZEISS</x:v>
      </x:c>
      <x:c r="E1588" s="24" t="str">
        <x:v>Visão Simples</x:v>
      </x:c>
      <x:c r="F1588" s="24" t="str">
        <x:v>Surfaçada</x:v>
      </x:c>
      <x:c r="G1588" s="24" t="str">
        <x:v>SmartLife</x:v>
      </x:c>
      <x:c r="H1588" s="24" t="str">
        <x:v>Polarizada</x:v>
      </x:c>
      <x:c r="I1588" s="24" t="str">
        <x:v>1.5</x:v>
      </x:c>
      <x:c r="J1588" s="24" t="str">
        <x:v>1.50</x:v>
      </x:c>
      <x:c r="K1588" s="24" t="str">
        <x:v>DuraVision Silver UV</x:v>
      </x:c>
      <x:c r="L1588" s="40" t="n">
        <x:v>2709</x:v>
      </x:c>
      <x:c r="M1588" s="24" t="str">
        <x:v>-6.00 a +6.00</x:v>
      </x:c>
      <x:c r="N1588" s="24" t="str">
        <x:v>-4.00</x:v>
      </x:c>
      <x:c r="O1588" s="24" t="str">
        <x:v>-</x:v>
      </x:c>
      <x:c r="P1588" s="24" t="str">
        <x:v>75</x:v>
      </x:c>
      <x:c r="Q1588" s="24"/>
      <x:c r="R1588" s="24"/>
      <x:c r="S1588" s="26" t="n">
        <x:v>46113</x:v>
      </x:c>
      <x:c r="T1588" s="26"/>
      <x:c r="U1588" s="24" t="str">
        <x:v>ATIVA/SEM FIM INFORMADO</x:v>
      </x:c>
      <x:c r="V1588" s="24"/>
      <x:c r="W1588" s="24" t="n">
        <x:v>16</x:v>
      </x:c>
      <x:c r="X1588" s="24" t="str">
        <x:v>tabela_zeiss.pdf</x:v>
      </x:c>
      <x:c r="Y1588" s="24" t="str">
        <x:v>alta</x:v>
      </x:c>
      <x:c r="Z1588" s="24"/>
      <x:c r="AA1588" s="24" t="str">
        <x:v>ZEISS|Visão Simples|Surfaçada|SmartLife|Polarizada|1.5|1.50|DuraVision Silver UV|-6.00 a +6.00|-4.00|-|75|||16</x:v>
      </x:c>
    </x:row>
    <x:row r="1589">
      <x:c r="A1589" s="24" t="str">
        <x:v>ZS-3EC212CE022F</x:v>
      </x:c>
      <x:c r="B1589" s="24" t="str">
        <x:v>SIM</x:v>
      </x:c>
      <x:c r="C1589" s="24" t="str">
        <x:v>DISPONÍVEL</x:v>
      </x:c>
      <x:c r="D1589" s="24" t="str">
        <x:v>ZEISS</x:v>
      </x:c>
      <x:c r="E1589" s="24" t="str">
        <x:v>Visão Simples</x:v>
      </x:c>
      <x:c r="F1589" s="24" t="str">
        <x:v>Surfaçada</x:v>
      </x:c>
      <x:c r="G1589" s="24" t="str">
        <x:v>SmartLife</x:v>
      </x:c>
      <x:c r="H1589" s="24" t="str">
        <x:v>Polarizada</x:v>
      </x:c>
      <x:c r="I1589" s="24" t="str">
        <x:v>1.5</x:v>
      </x:c>
      <x:c r="J1589" s="24" t="str">
        <x:v>1.50</x:v>
      </x:c>
      <x:c r="K1589" s="24" t="str">
        <x:v>DuraVision Chrome UV</x:v>
      </x:c>
      <x:c r="L1589" s="40" t="n">
        <x:v>2219</x:v>
      </x:c>
      <x:c r="M1589" s="24" t="str">
        <x:v>-6.00 a +6.00</x:v>
      </x:c>
      <x:c r="N1589" s="24" t="str">
        <x:v>-4.00</x:v>
      </x:c>
      <x:c r="O1589" s="24" t="str">
        <x:v>-</x:v>
      </x:c>
      <x:c r="P1589" s="24" t="str">
        <x:v>75</x:v>
      </x:c>
      <x:c r="Q1589" s="24"/>
      <x:c r="R1589" s="24"/>
      <x:c r="S1589" s="26" t="n">
        <x:v>46113</x:v>
      </x:c>
      <x:c r="T1589" s="26"/>
      <x:c r="U1589" s="24" t="str">
        <x:v>ATIVA/SEM FIM INFORMADO</x:v>
      </x:c>
      <x:c r="V1589" s="24"/>
      <x:c r="W1589" s="24" t="n">
        <x:v>16</x:v>
      </x:c>
      <x:c r="X1589" s="24" t="str">
        <x:v>tabela_zeiss.pdf</x:v>
      </x:c>
      <x:c r="Y1589" s="24" t="str">
        <x:v>alta</x:v>
      </x:c>
      <x:c r="Z1589" s="24"/>
      <x:c r="AA1589" s="24" t="str">
        <x:v>ZEISS|Visão Simples|Surfaçada|SmartLife|Polarizada|1.5|1.50|DuraVision Chrome UV|-6.00 a +6.00|-4.00|-|75|||16</x:v>
      </x:c>
    </x:row>
    <x:row r="1590">
      <x:c r="A1590" s="24" t="str">
        <x:v>ZS-7A780CBF7F43</x:v>
      </x:c>
      <x:c r="B1590" s="24" t="str">
        <x:v>SIM</x:v>
      </x:c>
      <x:c r="C1590" s="24" t="str">
        <x:v>DISPONÍVEL</x:v>
      </x:c>
      <x:c r="D1590" s="24" t="str">
        <x:v>ZEISS</x:v>
      </x:c>
      <x:c r="E1590" s="24" t="str">
        <x:v>Visão Simples</x:v>
      </x:c>
      <x:c r="F1590" s="24" t="str">
        <x:v>Surfaçada</x:v>
      </x:c>
      <x:c r="G1590" s="24" t="str">
        <x:v>SmartLife</x:v>
      </x:c>
      <x:c r="H1590" s="24" t="str">
        <x:v>Polarizada</x:v>
      </x:c>
      <x:c r="I1590" s="24" t="str">
        <x:v>1.5</x:v>
      </x:c>
      <x:c r="J1590" s="24" t="str">
        <x:v>1.50</x:v>
      </x:c>
      <x:c r="K1590" s="24" t="str">
        <x:v>Sem AR</x:v>
      </x:c>
      <x:c r="L1590" s="40" t="n">
        <x:v>1819</x:v>
      </x:c>
      <x:c r="M1590" s="24" t="str">
        <x:v>-6.00 a +6.00</x:v>
      </x:c>
      <x:c r="N1590" s="24" t="str">
        <x:v>-4.00</x:v>
      </x:c>
      <x:c r="O1590" s="24" t="str">
        <x:v>-</x:v>
      </x:c>
      <x:c r="P1590" s="24" t="str">
        <x:v>75</x:v>
      </x:c>
      <x:c r="Q1590" s="24"/>
      <x:c r="R1590" s="24"/>
      <x:c r="S1590" s="26" t="n">
        <x:v>46113</x:v>
      </x:c>
      <x:c r="T1590" s="26"/>
      <x:c r="U1590" s="24" t="str">
        <x:v>ATIVA/SEM FIM INFORMADO</x:v>
      </x:c>
      <x:c r="V1590" s="24"/>
      <x:c r="W1590" s="24" t="n">
        <x:v>16</x:v>
      </x:c>
      <x:c r="X1590" s="24" t="str">
        <x:v>tabela_zeiss.pdf</x:v>
      </x:c>
      <x:c r="Y1590" s="24" t="str">
        <x:v>alta</x:v>
      </x:c>
      <x:c r="Z1590" s="24"/>
      <x:c r="AA1590" s="24" t="str">
        <x:v>ZEISS|Visão Simples|Surfaçada|SmartLife|Polarizada|1.5|1.50|Sem AR|-6.00 a +6.00|-4.00|-|75|||16</x:v>
      </x:c>
    </x:row>
    <x:row r="1591">
      <x:c r="A1591" s="24" t="str">
        <x:v>ZS-441AB8FBE005</x:v>
      </x:c>
      <x:c r="B1591" s="24" t="str">
        <x:v>SIM</x:v>
      </x:c>
      <x:c r="C1591" s="24" t="str">
        <x:v>DISPONÍVEL</x:v>
      </x:c>
      <x:c r="D1591" s="24" t="str">
        <x:v>ZEISS</x:v>
      </x:c>
      <x:c r="E1591" s="24" t="str">
        <x:v>Visão Simples</x:v>
      </x:c>
      <x:c r="F1591" s="24" t="str">
        <x:v>Surfaçada</x:v>
      </x:c>
      <x:c r="G1591" s="24" t="str">
        <x:v>SmartLife</x:v>
      </x:c>
      <x:c r="H1591" s="24" t="str">
        <x:v>Polarizada</x:v>
      </x:c>
      <x:c r="I1591" s="24" t="str">
        <x:v>1.6</x:v>
      </x:c>
      <x:c r="J1591" s="24" t="str">
        <x:v>1.60</x:v>
      </x:c>
      <x:c r="K1591" s="24" t="str">
        <x:v>DURAVISION® GOLD</x:v>
      </x:c>
      <x:c r="L1591" s="40" t="n">
        <x:v>3689</x:v>
      </x:c>
      <x:c r="M1591" s="24" t="str">
        <x:v>-8.00 a +8.00</x:v>
      </x:c>
      <x:c r="N1591" s="24" t="str">
        <x:v>-4.00</x:v>
      </x:c>
      <x:c r="O1591" s="24" t="str">
        <x:v>-</x:v>
      </x:c>
      <x:c r="P1591" s="24" t="str">
        <x:v>70</x:v>
      </x:c>
      <x:c r="Q1591" s="24"/>
      <x:c r="R1591" s="24"/>
      <x:c r="S1591" s="26" t="n">
        <x:v>46113</x:v>
      </x:c>
      <x:c r="T1591" s="26"/>
      <x:c r="U1591" s="24" t="str">
        <x:v>ATIVA/SEM FIM INFORMADO</x:v>
      </x:c>
      <x:c r="V1591" s="24"/>
      <x:c r="W1591" s="24" t="n">
        <x:v>16</x:v>
      </x:c>
      <x:c r="X1591" s="24" t="str">
        <x:v>tabela_zeiss.pdf</x:v>
      </x:c>
      <x:c r="Y1591" s="24" t="str">
        <x:v>alta</x:v>
      </x:c>
      <x:c r="Z1591" s="24"/>
      <x:c r="AA1591" s="24" t="str">
        <x:v>ZEISS|Visão Simples|Surfaçada|SmartLife|Polarizada|1.6|1.60|DURAVISION® GOLD|-8.00 a +8.00|-4.00|-|70|||16</x:v>
      </x:c>
    </x:row>
    <x:row r="1592">
      <x:c r="A1592" s="24" t="str">
        <x:v>ZS-C306EB14B8E2</x:v>
      </x:c>
      <x:c r="B1592" s="24" t="str">
        <x:v>SIM</x:v>
      </x:c>
      <x:c r="C1592" s="24" t="str">
        <x:v>DISPONÍVEL</x:v>
      </x:c>
      <x:c r="D1592" s="24" t="str">
        <x:v>ZEISS</x:v>
      </x:c>
      <x:c r="E1592" s="24" t="str">
        <x:v>Visão Simples</x:v>
      </x:c>
      <x:c r="F1592" s="24" t="str">
        <x:v>Surfaçada</x:v>
      </x:c>
      <x:c r="G1592" s="24" t="str">
        <x:v>SmartLife</x:v>
      </x:c>
      <x:c r="H1592" s="24" t="str">
        <x:v>Polarizada</x:v>
      </x:c>
      <x:c r="I1592" s="24" t="str">
        <x:v>1.6</x:v>
      </x:c>
      <x:c r="J1592" s="24" t="str">
        <x:v>1.60</x:v>
      </x:c>
      <x:c r="K1592" s="24" t="str">
        <x:v>DuraVision Platinum UV</x:v>
      </x:c>
      <x:c r="L1592" s="40" t="n">
        <x:v>3549</x:v>
      </x:c>
      <x:c r="M1592" s="24" t="str">
        <x:v>-8.00 a +8.00</x:v>
      </x:c>
      <x:c r="N1592" s="24" t="str">
        <x:v>-4.00</x:v>
      </x:c>
      <x:c r="O1592" s="24" t="str">
        <x:v>-</x:v>
      </x:c>
      <x:c r="P1592" s="24" t="str">
        <x:v>70</x:v>
      </x:c>
      <x:c r="Q1592" s="24"/>
      <x:c r="R1592" s="24"/>
      <x:c r="S1592" s="26" t="n">
        <x:v>46113</x:v>
      </x:c>
      <x:c r="T1592" s="26"/>
      <x:c r="U1592" s="24" t="str">
        <x:v>ATIVA/SEM FIM INFORMADO</x:v>
      </x:c>
      <x:c r="V1592" s="24"/>
      <x:c r="W1592" s="24" t="n">
        <x:v>16</x:v>
      </x:c>
      <x:c r="X1592" s="24" t="str">
        <x:v>tabela_zeiss.pdf</x:v>
      </x:c>
      <x:c r="Y1592" s="24" t="str">
        <x:v>alta</x:v>
      </x:c>
      <x:c r="Z1592" s="24"/>
      <x:c r="AA1592" s="24" t="str">
        <x:v>ZEISS|Visão Simples|Surfaçada|SmartLife|Polarizada|1.6|1.60|DuraVision Platinum UV|-8.00 a +8.00|-4.00|-|70|||16</x:v>
      </x:c>
    </x:row>
    <x:row r="1593">
      <x:c r="A1593" s="24" t="str">
        <x:v>ZS-38E5117548D7</x:v>
      </x:c>
      <x:c r="B1593" s="24" t="str">
        <x:v>SIM</x:v>
      </x:c>
      <x:c r="C1593" s="24" t="str">
        <x:v>DISPONÍVEL</x:v>
      </x:c>
      <x:c r="D1593" s="24" t="str">
        <x:v>ZEISS</x:v>
      </x:c>
      <x:c r="E1593" s="24" t="str">
        <x:v>Visão Simples</x:v>
      </x:c>
      <x:c r="F1593" s="24" t="str">
        <x:v>Surfaçada</x:v>
      </x:c>
      <x:c r="G1593" s="24" t="str">
        <x:v>SmartLife</x:v>
      </x:c>
      <x:c r="H1593" s="24" t="str">
        <x:v>Polarizada</x:v>
      </x:c>
      <x:c r="I1593" s="24" t="str">
        <x:v>1.6</x:v>
      </x:c>
      <x:c r="J1593" s="24" t="str">
        <x:v>1.60</x:v>
      </x:c>
      <x:c r="K1593" s="24" t="str">
        <x:v>DuraVision Silver UV</x:v>
      </x:c>
      <x:c r="L1593" s="40" t="n">
        <x:v>3289</x:v>
      </x:c>
      <x:c r="M1593" s="24" t="str">
        <x:v>-8.00 a +8.00</x:v>
      </x:c>
      <x:c r="N1593" s="24" t="str">
        <x:v>-4.00</x:v>
      </x:c>
      <x:c r="O1593" s="24" t="str">
        <x:v>-</x:v>
      </x:c>
      <x:c r="P1593" s="24" t="str">
        <x:v>70</x:v>
      </x:c>
      <x:c r="Q1593" s="24"/>
      <x:c r="R1593" s="24"/>
      <x:c r="S1593" s="26" t="n">
        <x:v>46113</x:v>
      </x:c>
      <x:c r="T1593" s="26"/>
      <x:c r="U1593" s="24" t="str">
        <x:v>ATIVA/SEM FIM INFORMADO</x:v>
      </x:c>
      <x:c r="V1593" s="24"/>
      <x:c r="W1593" s="24" t="n">
        <x:v>16</x:v>
      </x:c>
      <x:c r="X1593" s="24" t="str">
        <x:v>tabela_zeiss.pdf</x:v>
      </x:c>
      <x:c r="Y1593" s="24" t="str">
        <x:v>alta</x:v>
      </x:c>
      <x:c r="Z1593" s="24"/>
      <x:c r="AA1593" s="24" t="str">
        <x:v>ZEISS|Visão Simples|Surfaçada|SmartLife|Polarizada|1.6|1.60|DuraVision Silver UV|-8.00 a +8.00|-4.00|-|70|||16</x:v>
      </x:c>
    </x:row>
    <x:row r="1594">
      <x:c r="A1594" s="24" t="str">
        <x:v>ZS-C007E82D729A</x:v>
      </x:c>
      <x:c r="B1594" s="24" t="str">
        <x:v>SIM</x:v>
      </x:c>
      <x:c r="C1594" s="24" t="str">
        <x:v>DISPONÍVEL</x:v>
      </x:c>
      <x:c r="D1594" s="24" t="str">
        <x:v>ZEISS</x:v>
      </x:c>
      <x:c r="E1594" s="24" t="str">
        <x:v>Visão Simples</x:v>
      </x:c>
      <x:c r="F1594" s="24" t="str">
        <x:v>Surfaçada</x:v>
      </x:c>
      <x:c r="G1594" s="24" t="str">
        <x:v>SmartLife</x:v>
      </x:c>
      <x:c r="H1594" s="24" t="str">
        <x:v>Polarizada</x:v>
      </x:c>
      <x:c r="I1594" s="24" t="str">
        <x:v>1.6</x:v>
      </x:c>
      <x:c r="J1594" s="24" t="str">
        <x:v>1.60</x:v>
      </x:c>
      <x:c r="K1594" s="24" t="str">
        <x:v>DuraVision Chrome UV</x:v>
      </x:c>
      <x:c r="L1594" s="40" t="n">
        <x:v>2799</x:v>
      </x:c>
      <x:c r="M1594" s="24" t="str">
        <x:v>-8.00 a +8.00</x:v>
      </x:c>
      <x:c r="N1594" s="24" t="str">
        <x:v>-4.00</x:v>
      </x:c>
      <x:c r="O1594" s="24" t="str">
        <x:v>-</x:v>
      </x:c>
      <x:c r="P1594" s="24" t="str">
        <x:v>70</x:v>
      </x:c>
      <x:c r="Q1594" s="24"/>
      <x:c r="R1594" s="24"/>
      <x:c r="S1594" s="26" t="n">
        <x:v>46113</x:v>
      </x:c>
      <x:c r="T1594" s="26"/>
      <x:c r="U1594" s="24" t="str">
        <x:v>ATIVA/SEM FIM INFORMADO</x:v>
      </x:c>
      <x:c r="V1594" s="24"/>
      <x:c r="W1594" s="24" t="n">
        <x:v>16</x:v>
      </x:c>
      <x:c r="X1594" s="24" t="str">
        <x:v>tabela_zeiss.pdf</x:v>
      </x:c>
      <x:c r="Y1594" s="24" t="str">
        <x:v>alta</x:v>
      </x:c>
      <x:c r="Z1594" s="24"/>
      <x:c r="AA1594" s="24" t="str">
        <x:v>ZEISS|Visão Simples|Surfaçada|SmartLife|Polarizada|1.6|1.60|DuraVision Chrome UV|-8.00 a +8.00|-4.00|-|70|||16</x:v>
      </x:c>
    </x:row>
    <x:row r="1595">
      <x:c r="A1595" s="24" t="str">
        <x:v>ZS-30F3745E5D16</x:v>
      </x:c>
      <x:c r="B1595" s="24" t="str">
        <x:v>SIM</x:v>
      </x:c>
      <x:c r="C1595" s="24" t="str">
        <x:v>DISPONÍVEL</x:v>
      </x:c>
      <x:c r="D1595" s="24" t="str">
        <x:v>ZEISS</x:v>
      </x:c>
      <x:c r="E1595" s="24" t="str">
        <x:v>Visão Simples</x:v>
      </x:c>
      <x:c r="F1595" s="24" t="str">
        <x:v>Surfaçada</x:v>
      </x:c>
      <x:c r="G1595" s="24" t="str">
        <x:v>SmartLife</x:v>
      </x:c>
      <x:c r="H1595" s="24" t="str">
        <x:v>Polarizada</x:v>
      </x:c>
      <x:c r="I1595" s="24" t="str">
        <x:v>1.6</x:v>
      </x:c>
      <x:c r="J1595" s="24" t="str">
        <x:v>1.60</x:v>
      </x:c>
      <x:c r="K1595" s="24" t="str">
        <x:v>Sem AR</x:v>
      </x:c>
      <x:c r="L1595" s="40" t="n">
        <x:v>2399</x:v>
      </x:c>
      <x:c r="M1595" s="24" t="str">
        <x:v>-8.00 a +8.00</x:v>
      </x:c>
      <x:c r="N1595" s="24" t="str">
        <x:v>-4.00</x:v>
      </x:c>
      <x:c r="O1595" s="24" t="str">
        <x:v>-</x:v>
      </x:c>
      <x:c r="P1595" s="24" t="str">
        <x:v>70</x:v>
      </x:c>
      <x:c r="Q1595" s="24"/>
      <x:c r="R1595" s="24"/>
      <x:c r="S1595" s="26" t="n">
        <x:v>46113</x:v>
      </x:c>
      <x:c r="T1595" s="26"/>
      <x:c r="U1595" s="24" t="str">
        <x:v>ATIVA/SEM FIM INFORMADO</x:v>
      </x:c>
      <x:c r="V1595" s="24"/>
      <x:c r="W1595" s="24" t="n">
        <x:v>16</x:v>
      </x:c>
      <x:c r="X1595" s="24" t="str">
        <x:v>tabela_zeiss.pdf</x:v>
      </x:c>
      <x:c r="Y1595" s="24" t="str">
        <x:v>alta</x:v>
      </x:c>
      <x:c r="Z1595" s="24"/>
      <x:c r="AA1595" s="24" t="str">
        <x:v>ZEISS|Visão Simples|Surfaçada|SmartLife|Polarizada|1.6|1.60|Sem AR|-8.00 a +8.00|-4.00|-|70|||16</x:v>
      </x:c>
    </x:row>
    <x:row r="1596">
      <x:c r="A1596" s="24" t="str">
        <x:v>ZS-6B13F7575924</x:v>
      </x:c>
      <x:c r="B1596" s="24" t="str">
        <x:v>SIM</x:v>
      </x:c>
      <x:c r="C1596" s="24" t="str">
        <x:v>DISPONÍVEL</x:v>
      </x:c>
      <x:c r="D1596" s="24" t="str">
        <x:v>ZEISS</x:v>
      </x:c>
      <x:c r="E1596" s="24" t="str">
        <x:v>Visão Simples</x:v>
      </x:c>
      <x:c r="F1596" s="24" t="str">
        <x:v>Surfaçada</x:v>
      </x:c>
      <x:c r="G1596" s="24" t="str">
        <x:v>Light 2</x:v>
      </x:c>
      <x:c r="H1596" s="24"/>
      <x:c r="I1596" s="24" t="str">
        <x:v>1.5</x:v>
      </x:c>
      <x:c r="J1596" s="24" t="str">
        <x:v>1.50</x:v>
      </x:c>
      <x:c r="K1596" s="24" t="str">
        <x:v>DuraVision Gold UV</x:v>
      </x:c>
      <x:c r="L1596" s="40" t="n">
        <x:v>1780</x:v>
      </x:c>
      <x:c r="M1596" s="24" t="str">
        <x:v>-6.00 a +6.00</x:v>
      </x:c>
      <x:c r="N1596" s="24" t="str">
        <x:v>-4.00</x:v>
      </x:c>
      <x:c r="O1596" s="24" t="str">
        <x:v>-</x:v>
      </x:c>
      <x:c r="P1596" s="24" t="str">
        <x:v>75</x:v>
      </x:c>
      <x:c r="Q1596" s="24"/>
      <x:c r="R1596" s="24"/>
      <x:c r="S1596" s="26" t="n">
        <x:v>46113</x:v>
      </x:c>
      <x:c r="T1596" s="26"/>
      <x:c r="U1596" s="24" t="str">
        <x:v>ATIVA/SEM FIM INFORMADO</x:v>
      </x:c>
      <x:c r="V1596" s="24"/>
      <x:c r="W1596" s="24" t="n">
        <x:v>17</x:v>
      </x:c>
      <x:c r="X1596" s="24" t="str">
        <x:v>tabela_zeiss.pdf</x:v>
      </x:c>
      <x:c r="Y1596" s="24" t="str">
        <x:v>alta</x:v>
      </x:c>
      <x:c r="Z1596" s="24"/>
      <x:c r="AA1596" s="24" t="str">
        <x:v>ZEISS|Visão Simples|Surfaçada|Light 2||1.5|1.50|DuraVision Gold UV|-6.00 a +6.00|-4.00|-|75|||17</x:v>
      </x:c>
    </x:row>
    <x:row r="1597">
      <x:c r="A1597" s="24" t="str">
        <x:v>ZS-02D7517A754E</x:v>
      </x:c>
      <x:c r="B1597" s="24" t="str">
        <x:v>SIM</x:v>
      </x:c>
      <x:c r="C1597" s="24" t="str">
        <x:v>DISPONÍVEL</x:v>
      </x:c>
      <x:c r="D1597" s="24" t="str">
        <x:v>ZEISS</x:v>
      </x:c>
      <x:c r="E1597" s="24" t="str">
        <x:v>Visão Simples</x:v>
      </x:c>
      <x:c r="F1597" s="24" t="str">
        <x:v>Surfaçada</x:v>
      </x:c>
      <x:c r="G1597" s="24" t="str">
        <x:v>Light 2</x:v>
      </x:c>
      <x:c r="H1597" s="24"/>
      <x:c r="I1597" s="24" t="str">
        <x:v>1.5</x:v>
      </x:c>
      <x:c r="J1597" s="24" t="str">
        <x:v>1.50</x:v>
      </x:c>
      <x:c r="K1597" s="24" t="str">
        <x:v>DURAVISION® ANTIVÍRUS PLATINUM UV</x:v>
      </x:c>
      <x:c r="L1597" s="40" t="n">
        <x:v>1640</x:v>
      </x:c>
      <x:c r="M1597" s="24" t="str">
        <x:v>-6.00 a +6.00</x:v>
      </x:c>
      <x:c r="N1597" s="24" t="str">
        <x:v>-4.00</x:v>
      </x:c>
      <x:c r="O1597" s="24" t="str">
        <x:v>-</x:v>
      </x:c>
      <x:c r="P1597" s="24" t="str">
        <x:v>75</x:v>
      </x:c>
      <x:c r="Q1597" s="24"/>
      <x:c r="R1597" s="24"/>
      <x:c r="S1597" s="26" t="n">
        <x:v>46113</x:v>
      </x:c>
      <x:c r="T1597" s="26"/>
      <x:c r="U1597" s="24" t="str">
        <x:v>ATIVA/SEM FIM INFORMADO</x:v>
      </x:c>
      <x:c r="V1597" s="24"/>
      <x:c r="W1597" s="24" t="n">
        <x:v>17</x:v>
      </x:c>
      <x:c r="X1597" s="24" t="str">
        <x:v>tabela_zeiss.pdf</x:v>
      </x:c>
      <x:c r="Y1597" s="24" t="str">
        <x:v>alta</x:v>
      </x:c>
      <x:c r="Z1597" s="24"/>
      <x:c r="AA1597" s="24" t="str">
        <x:v>ZEISS|Visão Simples|Surfaçada|Light 2||1.5|1.50|DURAVISION® ANTIVÍRUS PLATINUM UV|-6.00 a +6.00|-4.00|-|75|||17</x:v>
      </x:c>
    </x:row>
    <x:row r="1598">
      <x:c r="A1598" s="24" t="str">
        <x:v>ZS-C8634B685E92</x:v>
      </x:c>
      <x:c r="B1598" s="24" t="str">
        <x:v>SIM</x:v>
      </x:c>
      <x:c r="C1598" s="24" t="str">
        <x:v>DISPONÍVEL</x:v>
      </x:c>
      <x:c r="D1598" s="24" t="str">
        <x:v>ZEISS</x:v>
      </x:c>
      <x:c r="E1598" s="24" t="str">
        <x:v>Visão Simples</x:v>
      </x:c>
      <x:c r="F1598" s="24" t="str">
        <x:v>Surfaçada</x:v>
      </x:c>
      <x:c r="G1598" s="24" t="str">
        <x:v>Light 2</x:v>
      </x:c>
      <x:c r="H1598" s="24"/>
      <x:c r="I1598" s="24" t="str">
        <x:v>1.5</x:v>
      </x:c>
      <x:c r="J1598" s="24" t="str">
        <x:v>1.50</x:v>
      </x:c>
      <x:c r="K1598" s="24" t="str">
        <x:v>DuraVision Platinum UV</x:v>
      </x:c>
      <x:c r="L1598" s="40" t="n">
        <x:v>1640</x:v>
      </x:c>
      <x:c r="M1598" s="24" t="str">
        <x:v>-6.00 a +6.00</x:v>
      </x:c>
      <x:c r="N1598" s="24" t="str">
        <x:v>-4.00</x:v>
      </x:c>
      <x:c r="O1598" s="24" t="str">
        <x:v>-</x:v>
      </x:c>
      <x:c r="P1598" s="24" t="str">
        <x:v>75</x:v>
      </x:c>
      <x:c r="Q1598" s="24"/>
      <x:c r="R1598" s="24"/>
      <x:c r="S1598" s="26" t="n">
        <x:v>46113</x:v>
      </x:c>
      <x:c r="T1598" s="26"/>
      <x:c r="U1598" s="24" t="str">
        <x:v>ATIVA/SEM FIM INFORMADO</x:v>
      </x:c>
      <x:c r="V1598" s="24"/>
      <x:c r="W1598" s="24" t="n">
        <x:v>17</x:v>
      </x:c>
      <x:c r="X1598" s="24" t="str">
        <x:v>tabela_zeiss.pdf</x:v>
      </x:c>
      <x:c r="Y1598" s="24" t="str">
        <x:v>alta</x:v>
      </x:c>
      <x:c r="Z1598" s="24"/>
      <x:c r="AA1598" s="24" t="str">
        <x:v>ZEISS|Visão Simples|Surfaçada|Light 2||1.5|1.50|DuraVision Platinum UV|-6.00 a +6.00|-4.00|-|75|||17</x:v>
      </x:c>
    </x:row>
    <x:row r="1599">
      <x:c r="A1599" s="24" t="str">
        <x:v>ZS-120625C952DE</x:v>
      </x:c>
      <x:c r="B1599" s="24" t="str">
        <x:v>SIM</x:v>
      </x:c>
      <x:c r="C1599" s="24" t="str">
        <x:v>DISPONÍVEL</x:v>
      </x:c>
      <x:c r="D1599" s="24" t="str">
        <x:v>ZEISS</x:v>
      </x:c>
      <x:c r="E1599" s="24" t="str">
        <x:v>Visão Simples</x:v>
      </x:c>
      <x:c r="F1599" s="24" t="str">
        <x:v>Surfaçada</x:v>
      </x:c>
      <x:c r="G1599" s="24" t="str">
        <x:v>Light 2</x:v>
      </x:c>
      <x:c r="H1599" s="24"/>
      <x:c r="I1599" s="24" t="str">
        <x:v>1.5</x:v>
      </x:c>
      <x:c r="J1599" s="24" t="str">
        <x:v>1.50</x:v>
      </x:c>
      <x:c r="K1599" s="24" t="str">
        <x:v>DuraVision Silver UV</x:v>
      </x:c>
      <x:c r="L1599" s="40" t="n">
        <x:v>1380</x:v>
      </x:c>
      <x:c r="M1599" s="24" t="str">
        <x:v>-6.00 a +6.00</x:v>
      </x:c>
      <x:c r="N1599" s="24" t="str">
        <x:v>-4.00</x:v>
      </x:c>
      <x:c r="O1599" s="24" t="str">
        <x:v>-</x:v>
      </x:c>
      <x:c r="P1599" s="24" t="str">
        <x:v>75</x:v>
      </x:c>
      <x:c r="Q1599" s="24"/>
      <x:c r="R1599" s="24"/>
      <x:c r="S1599" s="26" t="n">
        <x:v>46113</x:v>
      </x:c>
      <x:c r="T1599" s="26"/>
      <x:c r="U1599" s="24" t="str">
        <x:v>ATIVA/SEM FIM INFORMADO</x:v>
      </x:c>
      <x:c r="V1599" s="24"/>
      <x:c r="W1599" s="24" t="n">
        <x:v>17</x:v>
      </x:c>
      <x:c r="X1599" s="24" t="str">
        <x:v>tabela_zeiss.pdf</x:v>
      </x:c>
      <x:c r="Y1599" s="24" t="str">
        <x:v>alta</x:v>
      </x:c>
      <x:c r="Z1599" s="24"/>
      <x:c r="AA1599" s="24" t="str">
        <x:v>ZEISS|Visão Simples|Surfaçada|Light 2||1.5|1.50|DuraVision Silver UV|-6.00 a +6.00|-4.00|-|75|||17</x:v>
      </x:c>
    </x:row>
    <x:row r="1600">
      <x:c r="A1600" s="24" t="str">
        <x:v>ZS-FB10A72B3EFD</x:v>
      </x:c>
      <x:c r="B1600" s="24" t="str">
        <x:v>SIM</x:v>
      </x:c>
      <x:c r="C1600" s="24" t="str">
        <x:v>DISPONÍVEL</x:v>
      </x:c>
      <x:c r="D1600" s="24" t="str">
        <x:v>ZEISS</x:v>
      </x:c>
      <x:c r="E1600" s="24" t="str">
        <x:v>Visão Simples</x:v>
      </x:c>
      <x:c r="F1600" s="24" t="str">
        <x:v>Surfaçada</x:v>
      </x:c>
      <x:c r="G1600" s="24" t="str">
        <x:v>Light 2</x:v>
      </x:c>
      <x:c r="H1600" s="24"/>
      <x:c r="I1600" s="24" t="str">
        <x:v>1.5</x:v>
      </x:c>
      <x:c r="J1600" s="24" t="str">
        <x:v>1.50</x:v>
      </x:c>
      <x:c r="K1600" s="24" t="str">
        <x:v>DuraVision Chrome UV</x:v>
      </x:c>
      <x:c r="L1600" s="40" t="n">
        <x:v>890</x:v>
      </x:c>
      <x:c r="M1600" s="24" t="str">
        <x:v>-6.00 a +6.00</x:v>
      </x:c>
      <x:c r="N1600" s="24" t="str">
        <x:v>-4.00</x:v>
      </x:c>
      <x:c r="O1600" s="24" t="str">
        <x:v>-</x:v>
      </x:c>
      <x:c r="P1600" s="24" t="str">
        <x:v>75</x:v>
      </x:c>
      <x:c r="Q1600" s="24"/>
      <x:c r="R1600" s="24"/>
      <x:c r="S1600" s="26" t="n">
        <x:v>46113</x:v>
      </x:c>
      <x:c r="T1600" s="26"/>
      <x:c r="U1600" s="24" t="str">
        <x:v>ATIVA/SEM FIM INFORMADO</x:v>
      </x:c>
      <x:c r="V1600" s="24"/>
      <x:c r="W1600" s="24" t="n">
        <x:v>17</x:v>
      </x:c>
      <x:c r="X1600" s="24" t="str">
        <x:v>tabela_zeiss.pdf</x:v>
      </x:c>
      <x:c r="Y1600" s="24" t="str">
        <x:v>alta</x:v>
      </x:c>
      <x:c r="Z1600" s="24"/>
      <x:c r="AA1600" s="24" t="str">
        <x:v>ZEISS|Visão Simples|Surfaçada|Light 2||1.5|1.50|DuraVision Chrome UV|-6.00 a +6.00|-4.00|-|75|||17</x:v>
      </x:c>
    </x:row>
    <x:row r="1601">
      <x:c r="A1601" s="24" t="str">
        <x:v>ZS-BDBDF99C0EEC</x:v>
      </x:c>
      <x:c r="B1601" s="24" t="str">
        <x:v>SIM</x:v>
      </x:c>
      <x:c r="C1601" s="24" t="str">
        <x:v>DISPONÍVEL</x:v>
      </x:c>
      <x:c r="D1601" s="24" t="str">
        <x:v>ZEISS</x:v>
      </x:c>
      <x:c r="E1601" s="24" t="str">
        <x:v>Visão Simples</x:v>
      </x:c>
      <x:c r="F1601" s="24" t="str">
        <x:v>Surfaçada</x:v>
      </x:c>
      <x:c r="G1601" s="24" t="str">
        <x:v>Light 2</x:v>
      </x:c>
      <x:c r="H1601" s="24"/>
      <x:c r="I1601" s="24" t="str">
        <x:v>Poli</x:v>
      </x:c>
      <x:c r="J1601" s="24"/>
      <x:c r="K1601" s="24" t="str">
        <x:v>DuraVision Gold UV</x:v>
      </x:c>
      <x:c r="L1601" s="40" t="n">
        <x:v>2140</x:v>
      </x:c>
      <x:c r="M1601" s="24" t="str">
        <x:v>-10.00 a +8.00</x:v>
      </x:c>
      <x:c r="N1601" s="24" t="str">
        <x:v>-4.00</x:v>
      </x:c>
      <x:c r="O1601" s="24" t="str">
        <x:v>-</x:v>
      </x:c>
      <x:c r="P1601" s="24" t="str">
        <x:v>70</x:v>
      </x:c>
      <x:c r="Q1601" s="24"/>
      <x:c r="R1601" s="24"/>
      <x:c r="S1601" s="26" t="n">
        <x:v>46113</x:v>
      </x:c>
      <x:c r="T1601" s="26"/>
      <x:c r="U1601" s="24" t="str">
        <x:v>ATIVA/SEM FIM INFORMADO</x:v>
      </x:c>
      <x:c r="V1601" s="24"/>
      <x:c r="W1601" s="24" t="n">
        <x:v>17</x:v>
      </x:c>
      <x:c r="X1601" s="24" t="str">
        <x:v>tabela_zeiss.pdf</x:v>
      </x:c>
      <x:c r="Y1601" s="24" t="str">
        <x:v>alta</x:v>
      </x:c>
      <x:c r="Z1601" s="24"/>
      <x:c r="AA1601" s="24" t="str">
        <x:v>ZEISS|Visão Simples|Surfaçada|Light 2||Poli||DuraVision Gold UV|-10.00 a +8.00|-4.00|-|70|||17</x:v>
      </x:c>
    </x:row>
    <x:row r="1602">
      <x:c r="A1602" s="24" t="str">
        <x:v>ZS-47E299F2FD0A</x:v>
      </x:c>
      <x:c r="B1602" s="24" t="str">
        <x:v>SIM</x:v>
      </x:c>
      <x:c r="C1602" s="24" t="str">
        <x:v>DISPONÍVEL</x:v>
      </x:c>
      <x:c r="D1602" s="24" t="str">
        <x:v>ZEISS</x:v>
      </x:c>
      <x:c r="E1602" s="24" t="str">
        <x:v>Visão Simples</x:v>
      </x:c>
      <x:c r="F1602" s="24" t="str">
        <x:v>Surfaçada</x:v>
      </x:c>
      <x:c r="G1602" s="24" t="str">
        <x:v>Light 2</x:v>
      </x:c>
      <x:c r="H1602" s="24"/>
      <x:c r="I1602" s="24" t="str">
        <x:v>Poli</x:v>
      </x:c>
      <x:c r="J1602" s="24"/>
      <x:c r="K1602" s="24" t="str">
        <x:v>DuraVision Platinum UV</x:v>
      </x:c>
      <x:c r="L1602" s="40" t="n">
        <x:v>2000</x:v>
      </x:c>
      <x:c r="M1602" s="24" t="str">
        <x:v>-10.00 a +8.00</x:v>
      </x:c>
      <x:c r="N1602" s="24" t="str">
        <x:v>-4.00</x:v>
      </x:c>
      <x:c r="O1602" s="24" t="str">
        <x:v>-</x:v>
      </x:c>
      <x:c r="P1602" s="24" t="str">
        <x:v>70</x:v>
      </x:c>
      <x:c r="Q1602" s="24"/>
      <x:c r="R1602" s="24"/>
      <x:c r="S1602" s="26" t="n">
        <x:v>46113</x:v>
      </x:c>
      <x:c r="T1602" s="26"/>
      <x:c r="U1602" s="24" t="str">
        <x:v>ATIVA/SEM FIM INFORMADO</x:v>
      </x:c>
      <x:c r="V1602" s="24"/>
      <x:c r="W1602" s="24" t="n">
        <x:v>17</x:v>
      </x:c>
      <x:c r="X1602" s="24" t="str">
        <x:v>tabela_zeiss.pdf</x:v>
      </x:c>
      <x:c r="Y1602" s="24" t="str">
        <x:v>alta</x:v>
      </x:c>
      <x:c r="Z1602" s="24"/>
      <x:c r="AA1602" s="24" t="str">
        <x:v>ZEISS|Visão Simples|Surfaçada|Light 2||Poli||DuraVision Platinum UV|-10.00 a +8.00|-4.00|-|70|||17</x:v>
      </x:c>
    </x:row>
    <x:row r="1603">
      <x:c r="A1603" s="24" t="str">
        <x:v>ZS-7F0CD8B2F10A</x:v>
      </x:c>
      <x:c r="B1603" s="24" t="str">
        <x:v>SIM</x:v>
      </x:c>
      <x:c r="C1603" s="24" t="str">
        <x:v>DISPONÍVEL</x:v>
      </x:c>
      <x:c r="D1603" s="24" t="str">
        <x:v>ZEISS</x:v>
      </x:c>
      <x:c r="E1603" s="24" t="str">
        <x:v>Visão Simples</x:v>
      </x:c>
      <x:c r="F1603" s="24" t="str">
        <x:v>Surfaçada</x:v>
      </x:c>
      <x:c r="G1603" s="24" t="str">
        <x:v>Light 2</x:v>
      </x:c>
      <x:c r="H1603" s="24"/>
      <x:c r="I1603" s="24" t="str">
        <x:v>Poli</x:v>
      </x:c>
      <x:c r="J1603" s="24"/>
      <x:c r="K1603" s="24" t="str">
        <x:v>DuraVision Silver UV</x:v>
      </x:c>
      <x:c r="L1603" s="40" t="n">
        <x:v>1740</x:v>
      </x:c>
      <x:c r="M1603" s="24" t="str">
        <x:v>-10.00 a +8.00</x:v>
      </x:c>
      <x:c r="N1603" s="24" t="str">
        <x:v>-4.00</x:v>
      </x:c>
      <x:c r="O1603" s="24" t="str">
        <x:v>-</x:v>
      </x:c>
      <x:c r="P1603" s="24" t="str">
        <x:v>70</x:v>
      </x:c>
      <x:c r="Q1603" s="24"/>
      <x:c r="R1603" s="24"/>
      <x:c r="S1603" s="26" t="n">
        <x:v>46113</x:v>
      </x:c>
      <x:c r="T1603" s="26"/>
      <x:c r="U1603" s="24" t="str">
        <x:v>ATIVA/SEM FIM INFORMADO</x:v>
      </x:c>
      <x:c r="V1603" s="24"/>
      <x:c r="W1603" s="24" t="n">
        <x:v>17</x:v>
      </x:c>
      <x:c r="X1603" s="24" t="str">
        <x:v>tabela_zeiss.pdf</x:v>
      </x:c>
      <x:c r="Y1603" s="24" t="str">
        <x:v>alta</x:v>
      </x:c>
      <x:c r="Z1603" s="24"/>
      <x:c r="AA1603" s="24" t="str">
        <x:v>ZEISS|Visão Simples|Surfaçada|Light 2||Poli||DuraVision Silver UV|-10.00 a +8.00|-4.00|-|70|||17</x:v>
      </x:c>
    </x:row>
    <x:row r="1604">
      <x:c r="A1604" s="24" t="str">
        <x:v>ZS-1B0024DAA3C7</x:v>
      </x:c>
      <x:c r="B1604" s="24" t="str">
        <x:v>SIM</x:v>
      </x:c>
      <x:c r="C1604" s="24" t="str">
        <x:v>DISPONÍVEL</x:v>
      </x:c>
      <x:c r="D1604" s="24" t="str">
        <x:v>ZEISS</x:v>
      </x:c>
      <x:c r="E1604" s="24" t="str">
        <x:v>Visão Simples</x:v>
      </x:c>
      <x:c r="F1604" s="24" t="str">
        <x:v>Surfaçada</x:v>
      </x:c>
      <x:c r="G1604" s="24" t="str">
        <x:v>Light 2</x:v>
      </x:c>
      <x:c r="H1604" s="24"/>
      <x:c r="I1604" s="24" t="str">
        <x:v>Poli</x:v>
      </x:c>
      <x:c r="J1604" s="24"/>
      <x:c r="K1604" s="24" t="str">
        <x:v>DuraVision Chrome UV</x:v>
      </x:c>
      <x:c r="L1604" s="40" t="n">
        <x:v>1250</x:v>
      </x:c>
      <x:c r="M1604" s="24" t="str">
        <x:v>-10.00 a +8.00</x:v>
      </x:c>
      <x:c r="N1604" s="24" t="str">
        <x:v>-4.00</x:v>
      </x:c>
      <x:c r="O1604" s="24" t="str">
        <x:v>-</x:v>
      </x:c>
      <x:c r="P1604" s="24" t="str">
        <x:v>70</x:v>
      </x:c>
      <x:c r="Q1604" s="24"/>
      <x:c r="R1604" s="24"/>
      <x:c r="S1604" s="26" t="n">
        <x:v>46113</x:v>
      </x:c>
      <x:c r="T1604" s="26"/>
      <x:c r="U1604" s="24" t="str">
        <x:v>ATIVA/SEM FIM INFORMADO</x:v>
      </x:c>
      <x:c r="V1604" s="24"/>
      <x:c r="W1604" s="24" t="n">
        <x:v>17</x:v>
      </x:c>
      <x:c r="X1604" s="24" t="str">
        <x:v>tabela_zeiss.pdf</x:v>
      </x:c>
      <x:c r="Y1604" s="24" t="str">
        <x:v>alta</x:v>
      </x:c>
      <x:c r="Z1604" s="24"/>
      <x:c r="AA1604" s="24" t="str">
        <x:v>ZEISS|Visão Simples|Surfaçada|Light 2||Poli||DuraVision Chrome UV|-10.00 a +8.00|-4.00|-|70|||17</x:v>
      </x:c>
    </x:row>
    <x:row r="1605">
      <x:c r="A1605" s="24" t="str">
        <x:v>ZS-3507B6CB7C89</x:v>
      </x:c>
      <x:c r="B1605" s="24" t="str">
        <x:v>SIM</x:v>
      </x:c>
      <x:c r="C1605" s="24" t="str">
        <x:v>DISPONÍVEL</x:v>
      </x:c>
      <x:c r="D1605" s="24" t="str">
        <x:v>ZEISS</x:v>
      </x:c>
      <x:c r="E1605" s="24" t="str">
        <x:v>Visão Simples</x:v>
      </x:c>
      <x:c r="F1605" s="24" t="str">
        <x:v>Surfaçada</x:v>
      </x:c>
      <x:c r="G1605" s="24" t="str">
        <x:v>Light 2</x:v>
      </x:c>
      <x:c r="H1605" s="24"/>
      <x:c r="I1605" s="24" t="str">
        <x:v>1.6</x:v>
      </x:c>
      <x:c r="J1605" s="24" t="str">
        <x:v>1.60</x:v>
      </x:c>
      <x:c r="K1605" s="24" t="str">
        <x:v>DuraVision Gold UV</x:v>
      </x:c>
      <x:c r="L1605" s="40" t="n">
        <x:v>2360</x:v>
      </x:c>
      <x:c r="M1605" s="24" t="str">
        <x:v>-6.00 a +6.00</x:v>
      </x:c>
      <x:c r="N1605" s="24" t="str">
        <x:v>-6.00</x:v>
      </x:c>
      <x:c r="O1605" s="24" t="str">
        <x:v>-</x:v>
      </x:c>
      <x:c r="P1605" s="24" t="str">
        <x:v>75</x:v>
      </x:c>
      <x:c r="Q1605" s="24"/>
      <x:c r="R1605" s="24"/>
      <x:c r="S1605" s="26" t="n">
        <x:v>46113</x:v>
      </x:c>
      <x:c r="T1605" s="26"/>
      <x:c r="U1605" s="24" t="str">
        <x:v>ATIVA/SEM FIM INFORMADO</x:v>
      </x:c>
      <x:c r="V1605" s="24"/>
      <x:c r="W1605" s="24" t="n">
        <x:v>17</x:v>
      </x:c>
      <x:c r="X1605" s="24" t="str">
        <x:v>tabela_zeiss.pdf</x:v>
      </x:c>
      <x:c r="Y1605" s="24" t="str">
        <x:v>alta</x:v>
      </x:c>
      <x:c r="Z1605" s="24"/>
      <x:c r="AA1605" s="24" t="str">
        <x:v>ZEISS|Visão Simples|Surfaçada|Light 2||1.6|1.60|DuraVision Gold UV|-6.00 a +6.00|-6.00|-|75|||17</x:v>
      </x:c>
    </x:row>
    <x:row r="1606">
      <x:c r="A1606" s="24" t="str">
        <x:v>ZS-00205B5B1B1D</x:v>
      </x:c>
      <x:c r="B1606" s="24" t="str">
        <x:v>SIM</x:v>
      </x:c>
      <x:c r="C1606" s="24" t="str">
        <x:v>DISPONÍVEL</x:v>
      </x:c>
      <x:c r="D1606" s="24" t="str">
        <x:v>ZEISS</x:v>
      </x:c>
      <x:c r="E1606" s="24" t="str">
        <x:v>Visão Simples</x:v>
      </x:c>
      <x:c r="F1606" s="24" t="str">
        <x:v>Surfaçada</x:v>
      </x:c>
      <x:c r="G1606" s="24" t="str">
        <x:v>Light 2</x:v>
      </x:c>
      <x:c r="H1606" s="24"/>
      <x:c r="I1606" s="24" t="str">
        <x:v>1.6</x:v>
      </x:c>
      <x:c r="J1606" s="24" t="str">
        <x:v>1.60</x:v>
      </x:c>
      <x:c r="K1606" s="24" t="str">
        <x:v>DURAVISION® ANTIVÍRUS PLATINUM UV</x:v>
      </x:c>
      <x:c r="L1606" s="40" t="n">
        <x:v>2220</x:v>
      </x:c>
      <x:c r="M1606" s="24" t="str">
        <x:v>-6.00 a +6.00</x:v>
      </x:c>
      <x:c r="N1606" s="24" t="str">
        <x:v>-6.00</x:v>
      </x:c>
      <x:c r="O1606" s="24" t="str">
        <x:v>-</x:v>
      </x:c>
      <x:c r="P1606" s="24" t="str">
        <x:v>75</x:v>
      </x:c>
      <x:c r="Q1606" s="24"/>
      <x:c r="R1606" s="24"/>
      <x:c r="S1606" s="26" t="n">
        <x:v>46113</x:v>
      </x:c>
      <x:c r="T1606" s="26"/>
      <x:c r="U1606" s="24" t="str">
        <x:v>ATIVA/SEM FIM INFORMADO</x:v>
      </x:c>
      <x:c r="V1606" s="24"/>
      <x:c r="W1606" s="24" t="n">
        <x:v>17</x:v>
      </x:c>
      <x:c r="X1606" s="24" t="str">
        <x:v>tabela_zeiss.pdf</x:v>
      </x:c>
      <x:c r="Y1606" s="24" t="str">
        <x:v>alta</x:v>
      </x:c>
      <x:c r="Z1606" s="24"/>
      <x:c r="AA1606" s="24" t="str">
        <x:v>ZEISS|Visão Simples|Surfaçada|Light 2||1.6|1.60|DURAVISION® ANTIVÍRUS PLATINUM UV|-6.00 a +6.00|-6.00|-|75|||17</x:v>
      </x:c>
    </x:row>
    <x:row r="1607">
      <x:c r="A1607" s="24" t="str">
        <x:v>ZS-7019CDBC41CC</x:v>
      </x:c>
      <x:c r="B1607" s="24" t="str">
        <x:v>SIM</x:v>
      </x:c>
      <x:c r="C1607" s="24" t="str">
        <x:v>DISPONÍVEL</x:v>
      </x:c>
      <x:c r="D1607" s="24" t="str">
        <x:v>ZEISS</x:v>
      </x:c>
      <x:c r="E1607" s="24" t="str">
        <x:v>Visão Simples</x:v>
      </x:c>
      <x:c r="F1607" s="24" t="str">
        <x:v>Surfaçada</x:v>
      </x:c>
      <x:c r="G1607" s="24" t="str">
        <x:v>Light 2</x:v>
      </x:c>
      <x:c r="H1607" s="24"/>
      <x:c r="I1607" s="24" t="str">
        <x:v>1.6</x:v>
      </x:c>
      <x:c r="J1607" s="24" t="str">
        <x:v>1.60</x:v>
      </x:c>
      <x:c r="K1607" s="24" t="str">
        <x:v>DuraVision Platinum UV</x:v>
      </x:c>
      <x:c r="L1607" s="40" t="n">
        <x:v>2220</x:v>
      </x:c>
      <x:c r="M1607" s="24" t="str">
        <x:v>-6.00 a +6.00</x:v>
      </x:c>
      <x:c r="N1607" s="24" t="str">
        <x:v>-6.00</x:v>
      </x:c>
      <x:c r="O1607" s="24" t="str">
        <x:v>-</x:v>
      </x:c>
      <x:c r="P1607" s="24" t="str">
        <x:v>75</x:v>
      </x:c>
      <x:c r="Q1607" s="24"/>
      <x:c r="R1607" s="24"/>
      <x:c r="S1607" s="26" t="n">
        <x:v>46113</x:v>
      </x:c>
      <x:c r="T1607" s="26"/>
      <x:c r="U1607" s="24" t="str">
        <x:v>ATIVA/SEM FIM INFORMADO</x:v>
      </x:c>
      <x:c r="V1607" s="24"/>
      <x:c r="W1607" s="24" t="n">
        <x:v>17</x:v>
      </x:c>
      <x:c r="X1607" s="24" t="str">
        <x:v>tabela_zeiss.pdf</x:v>
      </x:c>
      <x:c r="Y1607" s="24" t="str">
        <x:v>alta</x:v>
      </x:c>
      <x:c r="Z1607" s="24"/>
      <x:c r="AA1607" s="24" t="str">
        <x:v>ZEISS|Visão Simples|Surfaçada|Light 2||1.6|1.60|DuraVision Platinum UV|-6.00 a +6.00|-6.00|-|75|||17</x:v>
      </x:c>
    </x:row>
    <x:row r="1608">
      <x:c r="A1608" s="24" t="str">
        <x:v>ZS-AF87A56CF4AA</x:v>
      </x:c>
      <x:c r="B1608" s="24" t="str">
        <x:v>SIM</x:v>
      </x:c>
      <x:c r="C1608" s="24" t="str">
        <x:v>DISPONÍVEL</x:v>
      </x:c>
      <x:c r="D1608" s="24" t="str">
        <x:v>ZEISS</x:v>
      </x:c>
      <x:c r="E1608" s="24" t="str">
        <x:v>Visão Simples</x:v>
      </x:c>
      <x:c r="F1608" s="24" t="str">
        <x:v>Surfaçada</x:v>
      </x:c>
      <x:c r="G1608" s="24" t="str">
        <x:v>Light 2</x:v>
      </x:c>
      <x:c r="H1608" s="24"/>
      <x:c r="I1608" s="24" t="str">
        <x:v>1.6</x:v>
      </x:c>
      <x:c r="J1608" s="24" t="str">
        <x:v>1.60</x:v>
      </x:c>
      <x:c r="K1608" s="24" t="str">
        <x:v>DuraVision Silver UV</x:v>
      </x:c>
      <x:c r="L1608" s="40" t="n">
        <x:v>1960</x:v>
      </x:c>
      <x:c r="M1608" s="24" t="str">
        <x:v>-6.00 a +6.00</x:v>
      </x:c>
      <x:c r="N1608" s="24" t="str">
        <x:v>-6.00</x:v>
      </x:c>
      <x:c r="O1608" s="24" t="str">
        <x:v>-</x:v>
      </x:c>
      <x:c r="P1608" s="24" t="str">
        <x:v>75</x:v>
      </x:c>
      <x:c r="Q1608" s="24"/>
      <x:c r="R1608" s="24"/>
      <x:c r="S1608" s="26" t="n">
        <x:v>46113</x:v>
      </x:c>
      <x:c r="T1608" s="26"/>
      <x:c r="U1608" s="24" t="str">
        <x:v>ATIVA/SEM FIM INFORMADO</x:v>
      </x:c>
      <x:c r="V1608" s="24"/>
      <x:c r="W1608" s="24" t="n">
        <x:v>17</x:v>
      </x:c>
      <x:c r="X1608" s="24" t="str">
        <x:v>tabela_zeiss.pdf</x:v>
      </x:c>
      <x:c r="Y1608" s="24" t="str">
        <x:v>alta</x:v>
      </x:c>
      <x:c r="Z1608" s="24"/>
      <x:c r="AA1608" s="24" t="str">
        <x:v>ZEISS|Visão Simples|Surfaçada|Light 2||1.6|1.60|DuraVision Silver UV|-6.00 a +6.00|-6.00|-|75|||17</x:v>
      </x:c>
    </x:row>
    <x:row r="1609">
      <x:c r="A1609" s="24" t="str">
        <x:v>ZS-83DCA89A345A</x:v>
      </x:c>
      <x:c r="B1609" s="24" t="str">
        <x:v>SIM</x:v>
      </x:c>
      <x:c r="C1609" s="24" t="str">
        <x:v>DISPONÍVEL</x:v>
      </x:c>
      <x:c r="D1609" s="24" t="str">
        <x:v>ZEISS</x:v>
      </x:c>
      <x:c r="E1609" s="24" t="str">
        <x:v>Visão Simples</x:v>
      </x:c>
      <x:c r="F1609" s="24" t="str">
        <x:v>Surfaçada</x:v>
      </x:c>
      <x:c r="G1609" s="24" t="str">
        <x:v>Light 2</x:v>
      </x:c>
      <x:c r="H1609" s="24"/>
      <x:c r="I1609" s="24" t="str">
        <x:v>1.6</x:v>
      </x:c>
      <x:c r="J1609" s="24" t="str">
        <x:v>1.60</x:v>
      </x:c>
      <x:c r="K1609" s="24" t="str">
        <x:v>DuraVision Chrome UV</x:v>
      </x:c>
      <x:c r="L1609" s="40" t="n">
        <x:v>1470</x:v>
      </x:c>
      <x:c r="M1609" s="24" t="str">
        <x:v>-6.00 a +6.00</x:v>
      </x:c>
      <x:c r="N1609" s="24" t="str">
        <x:v>-6.00</x:v>
      </x:c>
      <x:c r="O1609" s="24" t="str">
        <x:v>-</x:v>
      </x:c>
      <x:c r="P1609" s="24" t="str">
        <x:v>75</x:v>
      </x:c>
      <x:c r="Q1609" s="24"/>
      <x:c r="R1609" s="24"/>
      <x:c r="S1609" s="26" t="n">
        <x:v>46113</x:v>
      </x:c>
      <x:c r="T1609" s="26"/>
      <x:c r="U1609" s="24" t="str">
        <x:v>ATIVA/SEM FIM INFORMADO</x:v>
      </x:c>
      <x:c r="V1609" s="24"/>
      <x:c r="W1609" s="24" t="n">
        <x:v>17</x:v>
      </x:c>
      <x:c r="X1609" s="24" t="str">
        <x:v>tabela_zeiss.pdf</x:v>
      </x:c>
      <x:c r="Y1609" s="24" t="str">
        <x:v>alta</x:v>
      </x:c>
      <x:c r="Z1609" s="24"/>
      <x:c r="AA1609" s="24" t="str">
        <x:v>ZEISS|Visão Simples|Surfaçada|Light 2||1.6|1.60|DuraVision Chrome UV|-6.00 a +6.00|-6.00|-|75|||17</x:v>
      </x:c>
    </x:row>
    <x:row r="1610">
      <x:c r="A1610" s="24" t="str">
        <x:v>ZS-CA108BF27DD5</x:v>
      </x:c>
      <x:c r="B1610" s="24" t="str">
        <x:v>SIM</x:v>
      </x:c>
      <x:c r="C1610" s="24" t="str">
        <x:v>DISPONÍVEL</x:v>
      </x:c>
      <x:c r="D1610" s="24" t="str">
        <x:v>ZEISS</x:v>
      </x:c>
      <x:c r="E1610" s="24" t="str">
        <x:v>Visão Simples</x:v>
      </x:c>
      <x:c r="F1610" s="24" t="str">
        <x:v>Surfaçada</x:v>
      </x:c>
      <x:c r="G1610" s="24" t="str">
        <x:v>Light 2</x:v>
      </x:c>
      <x:c r="H1610" s="24"/>
      <x:c r="I1610" s="24" t="str">
        <x:v>1.67</x:v>
      </x:c>
      <x:c r="J1610" s="24" t="str">
        <x:v>1.67</x:v>
      </x:c>
      <x:c r="K1610" s="24" t="str">
        <x:v>DuraVision Gold UV</x:v>
      </x:c>
      <x:c r="L1610" s="40" t="n">
        <x:v>3660</x:v>
      </x:c>
      <x:c r="M1610" s="24" t="str">
        <x:v>-8.00 a +8.00</x:v>
      </x:c>
      <x:c r="N1610" s="24" t="str">
        <x:v>-6.00</x:v>
      </x:c>
      <x:c r="O1610" s="24" t="str">
        <x:v>-</x:v>
      </x:c>
      <x:c r="P1610" s="24" t="str">
        <x:v>70</x:v>
      </x:c>
      <x:c r="Q1610" s="24"/>
      <x:c r="R1610" s="24"/>
      <x:c r="S1610" s="26" t="n">
        <x:v>46113</x:v>
      </x:c>
      <x:c r="T1610" s="26"/>
      <x:c r="U1610" s="24" t="str">
        <x:v>ATIVA/SEM FIM INFORMADO</x:v>
      </x:c>
      <x:c r="V1610" s="24"/>
      <x:c r="W1610" s="24" t="n">
        <x:v>17</x:v>
      </x:c>
      <x:c r="X1610" s="24" t="str">
        <x:v>tabela_zeiss.pdf</x:v>
      </x:c>
      <x:c r="Y1610" s="24" t="str">
        <x:v>alta</x:v>
      </x:c>
      <x:c r="Z1610" s="24"/>
      <x:c r="AA1610" s="24" t="str">
        <x:v>ZEISS|Visão Simples|Surfaçada|Light 2||1.67|1.67|DuraVision Gold UV|-8.00 a +8.00|-6.00|-|70|||17</x:v>
      </x:c>
    </x:row>
    <x:row r="1611">
      <x:c r="A1611" s="24" t="str">
        <x:v>ZS-370411958CB1</x:v>
      </x:c>
      <x:c r="B1611" s="24" t="str">
        <x:v>SIM</x:v>
      </x:c>
      <x:c r="C1611" s="24" t="str">
        <x:v>DISPONÍVEL</x:v>
      </x:c>
      <x:c r="D1611" s="24" t="str">
        <x:v>ZEISS</x:v>
      </x:c>
      <x:c r="E1611" s="24" t="str">
        <x:v>Visão Simples</x:v>
      </x:c>
      <x:c r="F1611" s="24" t="str">
        <x:v>Surfaçada</x:v>
      </x:c>
      <x:c r="G1611" s="24" t="str">
        <x:v>Light 2</x:v>
      </x:c>
      <x:c r="H1611" s="24"/>
      <x:c r="I1611" s="24" t="str">
        <x:v>1.67</x:v>
      </x:c>
      <x:c r="J1611" s="24" t="str">
        <x:v>1.67</x:v>
      </x:c>
      <x:c r="K1611" s="24" t="str">
        <x:v>DURAVISION® ANTIVÍRUS PLATINUM UV</x:v>
      </x:c>
      <x:c r="L1611" s="40" t="n">
        <x:v>3520</x:v>
      </x:c>
      <x:c r="M1611" s="24" t="str">
        <x:v>-8.00 a +8.00</x:v>
      </x:c>
      <x:c r="N1611" s="24" t="str">
        <x:v>-6.00</x:v>
      </x:c>
      <x:c r="O1611" s="24" t="str">
        <x:v>-</x:v>
      </x:c>
      <x:c r="P1611" s="24" t="str">
        <x:v>70</x:v>
      </x:c>
      <x:c r="Q1611" s="24"/>
      <x:c r="R1611" s="24"/>
      <x:c r="S1611" s="26" t="n">
        <x:v>46113</x:v>
      </x:c>
      <x:c r="T1611" s="26"/>
      <x:c r="U1611" s="24" t="str">
        <x:v>ATIVA/SEM FIM INFORMADO</x:v>
      </x:c>
      <x:c r="V1611" s="24"/>
      <x:c r="W1611" s="24" t="n">
        <x:v>17</x:v>
      </x:c>
      <x:c r="X1611" s="24" t="str">
        <x:v>tabela_zeiss.pdf</x:v>
      </x:c>
      <x:c r="Y1611" s="24" t="str">
        <x:v>alta</x:v>
      </x:c>
      <x:c r="Z1611" s="24"/>
      <x:c r="AA1611" s="24" t="str">
        <x:v>ZEISS|Visão Simples|Surfaçada|Light 2||1.67|1.67|DURAVISION® ANTIVÍRUS PLATINUM UV|-8.00 a +8.00|-6.00|-|70|||17</x:v>
      </x:c>
    </x:row>
    <x:row r="1612">
      <x:c r="A1612" s="24" t="str">
        <x:v>ZS-E4C80124F70E</x:v>
      </x:c>
      <x:c r="B1612" s="24" t="str">
        <x:v>SIM</x:v>
      </x:c>
      <x:c r="C1612" s="24" t="str">
        <x:v>DISPONÍVEL</x:v>
      </x:c>
      <x:c r="D1612" s="24" t="str">
        <x:v>ZEISS</x:v>
      </x:c>
      <x:c r="E1612" s="24" t="str">
        <x:v>Visão Simples</x:v>
      </x:c>
      <x:c r="F1612" s="24" t="str">
        <x:v>Surfaçada</x:v>
      </x:c>
      <x:c r="G1612" s="24" t="str">
        <x:v>Light 2</x:v>
      </x:c>
      <x:c r="H1612" s="24"/>
      <x:c r="I1612" s="24" t="str">
        <x:v>1.67</x:v>
      </x:c>
      <x:c r="J1612" s="24" t="str">
        <x:v>1.67</x:v>
      </x:c>
      <x:c r="K1612" s="24" t="str">
        <x:v>DuraVision Platinum UV</x:v>
      </x:c>
      <x:c r="L1612" s="40" t="n">
        <x:v>3520</x:v>
      </x:c>
      <x:c r="M1612" s="24" t="str">
        <x:v>-8.00 a +8.00</x:v>
      </x:c>
      <x:c r="N1612" s="24" t="str">
        <x:v>-6.00</x:v>
      </x:c>
      <x:c r="O1612" s="24" t="str">
        <x:v>-</x:v>
      </x:c>
      <x:c r="P1612" s="24" t="str">
        <x:v>70</x:v>
      </x:c>
      <x:c r="Q1612" s="24"/>
      <x:c r="R1612" s="24"/>
      <x:c r="S1612" s="26" t="n">
        <x:v>46113</x:v>
      </x:c>
      <x:c r="T1612" s="26"/>
      <x:c r="U1612" s="24" t="str">
        <x:v>ATIVA/SEM FIM INFORMADO</x:v>
      </x:c>
      <x:c r="V1612" s="24"/>
      <x:c r="W1612" s="24" t="n">
        <x:v>17</x:v>
      </x:c>
      <x:c r="X1612" s="24" t="str">
        <x:v>tabela_zeiss.pdf</x:v>
      </x:c>
      <x:c r="Y1612" s="24" t="str">
        <x:v>alta</x:v>
      </x:c>
      <x:c r="Z1612" s="24"/>
      <x:c r="AA1612" s="24" t="str">
        <x:v>ZEISS|Visão Simples|Surfaçada|Light 2||1.67|1.67|DuraVision Platinum UV|-8.00 a +8.00|-6.00|-|70|||17</x:v>
      </x:c>
    </x:row>
    <x:row r="1613">
      <x:c r="A1613" s="24" t="str">
        <x:v>ZS-3DFBD161DDB6</x:v>
      </x:c>
      <x:c r="B1613" s="24" t="str">
        <x:v>SIM</x:v>
      </x:c>
      <x:c r="C1613" s="24" t="str">
        <x:v>DISPONÍVEL</x:v>
      </x:c>
      <x:c r="D1613" s="24" t="str">
        <x:v>ZEISS</x:v>
      </x:c>
      <x:c r="E1613" s="24" t="str">
        <x:v>Visão Simples</x:v>
      </x:c>
      <x:c r="F1613" s="24" t="str">
        <x:v>Surfaçada</x:v>
      </x:c>
      <x:c r="G1613" s="24" t="str">
        <x:v>Light 2</x:v>
      </x:c>
      <x:c r="H1613" s="24"/>
      <x:c r="I1613" s="24" t="str">
        <x:v>1.67</x:v>
      </x:c>
      <x:c r="J1613" s="24" t="str">
        <x:v>1.67</x:v>
      </x:c>
      <x:c r="K1613" s="24" t="str">
        <x:v>DuraVision Silver UV</x:v>
      </x:c>
      <x:c r="L1613" s="40" t="n">
        <x:v>3260</x:v>
      </x:c>
      <x:c r="M1613" s="24" t="str">
        <x:v>-8.00 a +8.00</x:v>
      </x:c>
      <x:c r="N1613" s="24" t="str">
        <x:v>-6.00</x:v>
      </x:c>
      <x:c r="O1613" s="24" t="str">
        <x:v>-</x:v>
      </x:c>
      <x:c r="P1613" s="24" t="str">
        <x:v>70</x:v>
      </x:c>
      <x:c r="Q1613" s="24"/>
      <x:c r="R1613" s="24"/>
      <x:c r="S1613" s="26" t="n">
        <x:v>46113</x:v>
      </x:c>
      <x:c r="T1613" s="26"/>
      <x:c r="U1613" s="24" t="str">
        <x:v>ATIVA/SEM FIM INFORMADO</x:v>
      </x:c>
      <x:c r="V1613" s="24"/>
      <x:c r="W1613" s="24" t="n">
        <x:v>17</x:v>
      </x:c>
      <x:c r="X1613" s="24" t="str">
        <x:v>tabela_zeiss.pdf</x:v>
      </x:c>
      <x:c r="Y1613" s="24" t="str">
        <x:v>alta</x:v>
      </x:c>
      <x:c r="Z1613" s="24"/>
      <x:c r="AA1613" s="24" t="str">
        <x:v>ZEISS|Visão Simples|Surfaçada|Light 2||1.67|1.67|DuraVision Silver UV|-8.00 a +8.00|-6.00|-|70|||17</x:v>
      </x:c>
    </x:row>
    <x:row r="1614">
      <x:c r="A1614" s="24" t="str">
        <x:v>ZS-243E9A0DBAE7</x:v>
      </x:c>
      <x:c r="B1614" s="24" t="str">
        <x:v>SIM</x:v>
      </x:c>
      <x:c r="C1614" s="24" t="str">
        <x:v>DISPONÍVEL</x:v>
      </x:c>
      <x:c r="D1614" s="24" t="str">
        <x:v>ZEISS</x:v>
      </x:c>
      <x:c r="E1614" s="24" t="str">
        <x:v>Visão Simples</x:v>
      </x:c>
      <x:c r="F1614" s="24" t="str">
        <x:v>Surfaçada</x:v>
      </x:c>
      <x:c r="G1614" s="24" t="str">
        <x:v>Light 2</x:v>
      </x:c>
      <x:c r="H1614" s="24"/>
      <x:c r="I1614" s="24" t="str">
        <x:v>1.67</x:v>
      </x:c>
      <x:c r="J1614" s="24" t="str">
        <x:v>1.67</x:v>
      </x:c>
      <x:c r="K1614" s="24" t="str">
        <x:v>DuraVision Chrome UV</x:v>
      </x:c>
      <x:c r="L1614" s="40" t="n">
        <x:v>2770</x:v>
      </x:c>
      <x:c r="M1614" s="24" t="str">
        <x:v>-8.00 a +8.00</x:v>
      </x:c>
      <x:c r="N1614" s="24" t="str">
        <x:v>-6.00</x:v>
      </x:c>
      <x:c r="O1614" s="24" t="str">
        <x:v>-</x:v>
      </x:c>
      <x:c r="P1614" s="24" t="str">
        <x:v>70</x:v>
      </x:c>
      <x:c r="Q1614" s="24"/>
      <x:c r="R1614" s="24"/>
      <x:c r="S1614" s="26" t="n">
        <x:v>46113</x:v>
      </x:c>
      <x:c r="T1614" s="26"/>
      <x:c r="U1614" s="24" t="str">
        <x:v>ATIVA/SEM FIM INFORMADO</x:v>
      </x:c>
      <x:c r="V1614" s="24"/>
      <x:c r="W1614" s="24" t="n">
        <x:v>17</x:v>
      </x:c>
      <x:c r="X1614" s="24" t="str">
        <x:v>tabela_zeiss.pdf</x:v>
      </x:c>
      <x:c r="Y1614" s="24" t="str">
        <x:v>alta</x:v>
      </x:c>
      <x:c r="Z1614" s="24"/>
      <x:c r="AA1614" s="24" t="str">
        <x:v>ZEISS|Visão Simples|Surfaçada|Light 2||1.67|1.67|DuraVision Chrome UV|-8.00 a +8.00|-6.00|-|70|||17</x:v>
      </x:c>
    </x:row>
    <x:row r="1615">
      <x:c r="A1615" s="24" t="str">
        <x:v>ZS-21A263F64436</x:v>
      </x:c>
      <x:c r="B1615" s="24" t="str">
        <x:v>SIM</x:v>
      </x:c>
      <x:c r="C1615" s="24" t="str">
        <x:v>DISPONÍVEL</x:v>
      </x:c>
      <x:c r="D1615" s="24" t="str">
        <x:v>ZEISS</x:v>
      </x:c>
      <x:c r="E1615" s="24" t="str">
        <x:v>Visão Simples</x:v>
      </x:c>
      <x:c r="F1615" s="24" t="str">
        <x:v>Surfaçada</x:v>
      </x:c>
      <x:c r="G1615" s="24" t="str">
        <x:v>Light 2</x:v>
      </x:c>
      <x:c r="H1615" s="24"/>
      <x:c r="I1615" s="24" t="str">
        <x:v>1.74</x:v>
      </x:c>
      <x:c r="J1615" s="24" t="str">
        <x:v>1.74</x:v>
      </x:c>
      <x:c r="K1615" s="24" t="str">
        <x:v>DuraVision Gold UV</x:v>
      </x:c>
      <x:c r="L1615" s="40" t="n">
        <x:v>3970</x:v>
      </x:c>
      <x:c r="M1615" s="24" t="str">
        <x:v>-10.00 a +6.00</x:v>
      </x:c>
      <x:c r="N1615" s="24" t="str">
        <x:v>-6.00</x:v>
      </x:c>
      <x:c r="O1615" s="24" t="str">
        <x:v>-</x:v>
      </x:c>
      <x:c r="P1615" s="24" t="str">
        <x:v>70 a 75</x:v>
      </x:c>
      <x:c r="Q1615" s="24"/>
      <x:c r="R1615" s="24"/>
      <x:c r="S1615" s="26" t="n">
        <x:v>46113</x:v>
      </x:c>
      <x:c r="T1615" s="26"/>
      <x:c r="U1615" s="24" t="str">
        <x:v>ATIVA/SEM FIM INFORMADO</x:v>
      </x:c>
      <x:c r="V1615" s="24"/>
      <x:c r="W1615" s="24" t="n">
        <x:v>17</x:v>
      </x:c>
      <x:c r="X1615" s="24" t="str">
        <x:v>tabela_zeiss.pdf</x:v>
      </x:c>
      <x:c r="Y1615" s="24" t="str">
        <x:v>alta</x:v>
      </x:c>
      <x:c r="Z1615" s="24"/>
      <x:c r="AA1615" s="24" t="str">
        <x:v>ZEISS|Visão Simples|Surfaçada|Light 2||1.74|1.74|DuraVision Gold UV|-10.00 a +6.00|-6.00|-|70 a 75|||17</x:v>
      </x:c>
    </x:row>
    <x:row r="1616">
      <x:c r="A1616" s="24" t="str">
        <x:v>ZS-0F8807693F02</x:v>
      </x:c>
      <x:c r="B1616" s="24" t="str">
        <x:v>SIM</x:v>
      </x:c>
      <x:c r="C1616" s="24" t="str">
        <x:v>DISPONÍVEL</x:v>
      </x:c>
      <x:c r="D1616" s="24" t="str">
        <x:v>ZEISS</x:v>
      </x:c>
      <x:c r="E1616" s="24" t="str">
        <x:v>Visão Simples</x:v>
      </x:c>
      <x:c r="F1616" s="24" t="str">
        <x:v>Surfaçada</x:v>
      </x:c>
      <x:c r="G1616" s="24" t="str">
        <x:v>Light 2</x:v>
      </x:c>
      <x:c r="H1616" s="24"/>
      <x:c r="I1616" s="24" t="str">
        <x:v>1.74</x:v>
      </x:c>
      <x:c r="J1616" s="24" t="str">
        <x:v>1.74</x:v>
      </x:c>
      <x:c r="K1616" s="24" t="str">
        <x:v>DuraVision Platinum UV</x:v>
      </x:c>
      <x:c r="L1616" s="40" t="n">
        <x:v>3830</x:v>
      </x:c>
      <x:c r="M1616" s="24" t="str">
        <x:v>-10.00 a +6.00</x:v>
      </x:c>
      <x:c r="N1616" s="24" t="str">
        <x:v>-6.00</x:v>
      </x:c>
      <x:c r="O1616" s="24" t="str">
        <x:v>-</x:v>
      </x:c>
      <x:c r="P1616" s="24" t="str">
        <x:v>70 a 75</x:v>
      </x:c>
      <x:c r="Q1616" s="24"/>
      <x:c r="R1616" s="24"/>
      <x:c r="S1616" s="26" t="n">
        <x:v>46113</x:v>
      </x:c>
      <x:c r="T1616" s="26"/>
      <x:c r="U1616" s="24" t="str">
        <x:v>ATIVA/SEM FIM INFORMADO</x:v>
      </x:c>
      <x:c r="V1616" s="24"/>
      <x:c r="W1616" s="24" t="n">
        <x:v>17</x:v>
      </x:c>
      <x:c r="X1616" s="24" t="str">
        <x:v>tabela_zeiss.pdf</x:v>
      </x:c>
      <x:c r="Y1616" s="24" t="str">
        <x:v>alta</x:v>
      </x:c>
      <x:c r="Z1616" s="24"/>
      <x:c r="AA1616" s="24" t="str">
        <x:v>ZEISS|Visão Simples|Surfaçada|Light 2||1.74|1.74|DuraVision Platinum UV|-10.00 a +6.00|-6.00|-|70 a 75|||17</x:v>
      </x:c>
    </x:row>
    <x:row r="1617">
      <x:c r="A1617" s="24" t="str">
        <x:v>ZS-568D0E53758C</x:v>
      </x:c>
      <x:c r="B1617" s="24" t="str">
        <x:v>SIM</x:v>
      </x:c>
      <x:c r="C1617" s="24" t="str">
        <x:v>DISPONÍVEL</x:v>
      </x:c>
      <x:c r="D1617" s="24" t="str">
        <x:v>ZEISS</x:v>
      </x:c>
      <x:c r="E1617" s="24" t="str">
        <x:v>Visão Simples</x:v>
      </x:c>
      <x:c r="F1617" s="24" t="str">
        <x:v>Surfaçada</x:v>
      </x:c>
      <x:c r="G1617" s="24" t="str">
        <x:v>Light 2</x:v>
      </x:c>
      <x:c r="H1617" s="24"/>
      <x:c r="I1617" s="24" t="str">
        <x:v>1.74</x:v>
      </x:c>
      <x:c r="J1617" s="24" t="str">
        <x:v>1.74</x:v>
      </x:c>
      <x:c r="K1617" s="24" t="str">
        <x:v>DuraVision Silver UV</x:v>
      </x:c>
      <x:c r="L1617" s="40" t="n">
        <x:v>3570</x:v>
      </x:c>
      <x:c r="M1617" s="24" t="str">
        <x:v>-10.00 a +6.00</x:v>
      </x:c>
      <x:c r="N1617" s="24" t="str">
        <x:v>-6.00</x:v>
      </x:c>
      <x:c r="O1617" s="24" t="str">
        <x:v>-</x:v>
      </x:c>
      <x:c r="P1617" s="24" t="str">
        <x:v>70 a 75</x:v>
      </x:c>
      <x:c r="Q1617" s="24"/>
      <x:c r="R1617" s="24"/>
      <x:c r="S1617" s="26" t="n">
        <x:v>46113</x:v>
      </x:c>
      <x:c r="T1617" s="26"/>
      <x:c r="U1617" s="24" t="str">
        <x:v>ATIVA/SEM FIM INFORMADO</x:v>
      </x:c>
      <x:c r="V1617" s="24"/>
      <x:c r="W1617" s="24" t="n">
        <x:v>17</x:v>
      </x:c>
      <x:c r="X1617" s="24" t="str">
        <x:v>tabela_zeiss.pdf</x:v>
      </x:c>
      <x:c r="Y1617" s="24" t="str">
        <x:v>alta</x:v>
      </x:c>
      <x:c r="Z1617" s="24"/>
      <x:c r="AA1617" s="24" t="str">
        <x:v>ZEISS|Visão Simples|Surfaçada|Light 2||1.74|1.74|DuraVision Silver UV|-10.00 a +6.00|-6.00|-|70 a 75|||17</x:v>
      </x:c>
    </x:row>
    <x:row r="1618">
      <x:c r="A1618" s="24" t="str">
        <x:v>ZS-137D8E5EB2DF</x:v>
      </x:c>
      <x:c r="B1618" s="24" t="str">
        <x:v>SIM</x:v>
      </x:c>
      <x:c r="C1618" s="24" t="str">
        <x:v>DISPONÍVEL</x:v>
      </x:c>
      <x:c r="D1618" s="24" t="str">
        <x:v>ZEISS</x:v>
      </x:c>
      <x:c r="E1618" s="24" t="str">
        <x:v>Visão Simples</x:v>
      </x:c>
      <x:c r="F1618" s="24" t="str">
        <x:v>Surfaçada</x:v>
      </x:c>
      <x:c r="G1618" s="24" t="str">
        <x:v>Light 2</x:v>
      </x:c>
      <x:c r="H1618" s="24"/>
      <x:c r="I1618" s="24" t="str">
        <x:v>1.74</x:v>
      </x:c>
      <x:c r="J1618" s="24" t="str">
        <x:v>1.74</x:v>
      </x:c>
      <x:c r="K1618" s="24" t="str">
        <x:v>DuraVision Chrome UV</x:v>
      </x:c>
      <x:c r="L1618" s="40" t="n">
        <x:v>3080</x:v>
      </x:c>
      <x:c r="M1618" s="24" t="str">
        <x:v>-10.00 a +6.00</x:v>
      </x:c>
      <x:c r="N1618" s="24" t="str">
        <x:v>-6.00</x:v>
      </x:c>
      <x:c r="O1618" s="24" t="str">
        <x:v>-</x:v>
      </x:c>
      <x:c r="P1618" s="24" t="str">
        <x:v>70 a 75</x:v>
      </x:c>
      <x:c r="Q1618" s="24"/>
      <x:c r="R1618" s="24"/>
      <x:c r="S1618" s="26" t="n">
        <x:v>46113</x:v>
      </x:c>
      <x:c r="T1618" s="26"/>
      <x:c r="U1618" s="24" t="str">
        <x:v>ATIVA/SEM FIM INFORMADO</x:v>
      </x:c>
      <x:c r="V1618" s="24"/>
      <x:c r="W1618" s="24" t="n">
        <x:v>17</x:v>
      </x:c>
      <x:c r="X1618" s="24" t="str">
        <x:v>tabela_zeiss.pdf</x:v>
      </x:c>
      <x:c r="Y1618" s="24" t="str">
        <x:v>alta</x:v>
      </x:c>
      <x:c r="Z1618" s="24"/>
      <x:c r="AA1618" s="24" t="str">
        <x:v>ZEISS|Visão Simples|Surfaçada|Light 2||1.74|1.74|DuraVision Chrome UV|-10.00 a +6.00|-6.00|-|70 a 75|||17</x:v>
      </x:c>
    </x:row>
    <x:row r="1619">
      <x:c r="A1619" s="24" t="str">
        <x:v>ZS-9849B54C1421</x:v>
      </x:c>
      <x:c r="B1619" s="24" t="str">
        <x:v>SIM</x:v>
      </x:c>
      <x:c r="C1619" s="24" t="str">
        <x:v>DISPONÍVEL</x:v>
      </x:c>
      <x:c r="D1619" s="24" t="str">
        <x:v>ZEISS</x:v>
      </x:c>
      <x:c r="E1619" s="24" t="str">
        <x:v>Visão Simples</x:v>
      </x:c>
      <x:c r="F1619" s="24" t="str">
        <x:v>Surfaçada</x:v>
      </x:c>
      <x:c r="G1619" s="24" t="str">
        <x:v>Light 2</x:v>
      </x:c>
      <x:c r="H1619" s="24" t="str">
        <x:v>PhotoFusion X</x:v>
      </x:c>
      <x:c r="I1619" s="24" t="str">
        <x:v>1.5</x:v>
      </x:c>
      <x:c r="J1619" s="24" t="str">
        <x:v>1.50</x:v>
      </x:c>
      <x:c r="K1619" s="24" t="str">
        <x:v>DuraVision Gold UV</x:v>
      </x:c>
      <x:c r="L1619" s="40" t="n">
        <x:v>2870</x:v>
      </x:c>
      <x:c r="M1619" s="24" t="str">
        <x:v>-6.00 a +6.00</x:v>
      </x:c>
      <x:c r="N1619" s="24" t="str">
        <x:v>-4.00</x:v>
      </x:c>
      <x:c r="O1619" s="24" t="str">
        <x:v>-</x:v>
      </x:c>
      <x:c r="P1619" s="24" t="str">
        <x:v>75</x:v>
      </x:c>
      <x:c r="Q1619" s="24"/>
      <x:c r="R1619" s="24"/>
      <x:c r="S1619" s="26" t="n">
        <x:v>46113</x:v>
      </x:c>
      <x:c r="T1619" s="26"/>
      <x:c r="U1619" s="24" t="str">
        <x:v>ATIVA/SEM FIM INFORMADO</x:v>
      </x:c>
      <x:c r="V1619" s="24" t="str">
        <x:v>Programa de Parcerias ZEISS</x:v>
      </x:c>
      <x:c r="W1619" s="24" t="n">
        <x:v>17</x:v>
      </x:c>
      <x:c r="X1619" s="24" t="str">
        <x:v>tabela_zeiss.pdf</x:v>
      </x:c>
      <x:c r="Y1619" s="24" t="str">
        <x:v>alta</x:v>
      </x:c>
      <x:c r="Z1619" s="24"/>
      <x:c r="AA1619" s="24" t="str">
        <x:v>ZEISS|Visão Simples|Surfaçada|Light 2|PhotoFusion X|1.5|1.50|DuraVision Gold UV|-6.00 a +6.00|-4.00|-|75|||17</x:v>
      </x:c>
    </x:row>
    <x:row r="1620">
      <x:c r="A1620" s="24" t="str">
        <x:v>ZS-2A41F42AAD2C</x:v>
      </x:c>
      <x:c r="B1620" s="24" t="str">
        <x:v>SIM</x:v>
      </x:c>
      <x:c r="C1620" s="24" t="str">
        <x:v>DISPONÍVEL</x:v>
      </x:c>
      <x:c r="D1620" s="24" t="str">
        <x:v>ZEISS</x:v>
      </x:c>
      <x:c r="E1620" s="24" t="str">
        <x:v>Visão Simples</x:v>
      </x:c>
      <x:c r="F1620" s="24" t="str">
        <x:v>Surfaçada</x:v>
      </x:c>
      <x:c r="G1620" s="24" t="str">
        <x:v>Light 2</x:v>
      </x:c>
      <x:c r="H1620" s="24" t="str">
        <x:v>PhotoFusion X</x:v>
      </x:c>
      <x:c r="I1620" s="24" t="str">
        <x:v>1.5</x:v>
      </x:c>
      <x:c r="J1620" s="24" t="str">
        <x:v>1.50</x:v>
      </x:c>
      <x:c r="K1620" s="24" t="str">
        <x:v>DURAVISION® ANTIVÍRUS PLATINUM UV</x:v>
      </x:c>
      <x:c r="L1620" s="40" t="n">
        <x:v>2730</x:v>
      </x:c>
      <x:c r="M1620" s="24" t="str">
        <x:v>-6.00 a +6.00</x:v>
      </x:c>
      <x:c r="N1620" s="24" t="str">
        <x:v>-4.00</x:v>
      </x:c>
      <x:c r="O1620" s="24" t="str">
        <x:v>-</x:v>
      </x:c>
      <x:c r="P1620" s="24" t="str">
        <x:v>75</x:v>
      </x:c>
      <x:c r="Q1620" s="24"/>
      <x:c r="R1620" s="24"/>
      <x:c r="S1620" s="26" t="n">
        <x:v>46113</x:v>
      </x:c>
      <x:c r="T1620" s="26"/>
      <x:c r="U1620" s="24" t="str">
        <x:v>ATIVA/SEM FIM INFORMADO</x:v>
      </x:c>
      <x:c r="V1620" s="24" t="str">
        <x:v>Programa de Parcerias ZEISS</x:v>
      </x:c>
      <x:c r="W1620" s="24" t="n">
        <x:v>17</x:v>
      </x:c>
      <x:c r="X1620" s="24" t="str">
        <x:v>tabela_zeiss.pdf</x:v>
      </x:c>
      <x:c r="Y1620" s="24" t="str">
        <x:v>alta</x:v>
      </x:c>
      <x:c r="Z1620" s="24"/>
      <x:c r="AA1620" s="24" t="str">
        <x:v>ZEISS|Visão Simples|Surfaçada|Light 2|PhotoFusion X|1.5|1.50|DURAVISION® ANTIVÍRUS PLATINUM UV|-6.00 a +6.00|-4.00|-|75|||17</x:v>
      </x:c>
    </x:row>
    <x:row r="1621">
      <x:c r="A1621" s="24" t="str">
        <x:v>ZS-624E41CED48E</x:v>
      </x:c>
      <x:c r="B1621" s="24" t="str">
        <x:v>SIM</x:v>
      </x:c>
      <x:c r="C1621" s="24" t="str">
        <x:v>DISPONÍVEL</x:v>
      </x:c>
      <x:c r="D1621" s="24" t="str">
        <x:v>ZEISS</x:v>
      </x:c>
      <x:c r="E1621" s="24" t="str">
        <x:v>Visão Simples</x:v>
      </x:c>
      <x:c r="F1621" s="24" t="str">
        <x:v>Surfaçada</x:v>
      </x:c>
      <x:c r="G1621" s="24" t="str">
        <x:v>Light 2</x:v>
      </x:c>
      <x:c r="H1621" s="24" t="str">
        <x:v>PhotoFusion X</x:v>
      </x:c>
      <x:c r="I1621" s="24" t="str">
        <x:v>1.5</x:v>
      </x:c>
      <x:c r="J1621" s="24" t="str">
        <x:v>1.50</x:v>
      </x:c>
      <x:c r="K1621" s="24" t="str">
        <x:v>DuraVision Platinum UV</x:v>
      </x:c>
      <x:c r="L1621" s="40" t="n">
        <x:v>2730</x:v>
      </x:c>
      <x:c r="M1621" s="24" t="str">
        <x:v>-6.00 a +6.00</x:v>
      </x:c>
      <x:c r="N1621" s="24" t="str">
        <x:v>-4.00</x:v>
      </x:c>
      <x:c r="O1621" s="24" t="str">
        <x:v>-</x:v>
      </x:c>
      <x:c r="P1621" s="24" t="str">
        <x:v>75</x:v>
      </x:c>
      <x:c r="Q1621" s="24"/>
      <x:c r="R1621" s="24"/>
      <x:c r="S1621" s="26" t="n">
        <x:v>46113</x:v>
      </x:c>
      <x:c r="T1621" s="26"/>
      <x:c r="U1621" s="24" t="str">
        <x:v>ATIVA/SEM FIM INFORMADO</x:v>
      </x:c>
      <x:c r="V1621" s="24" t="str">
        <x:v>Programa de Parcerias ZEISS</x:v>
      </x:c>
      <x:c r="W1621" s="24" t="n">
        <x:v>17</x:v>
      </x:c>
      <x:c r="X1621" s="24" t="str">
        <x:v>tabela_zeiss.pdf</x:v>
      </x:c>
      <x:c r="Y1621" s="24" t="str">
        <x:v>alta</x:v>
      </x:c>
      <x:c r="Z1621" s="24"/>
      <x:c r="AA1621" s="24" t="str">
        <x:v>ZEISS|Visão Simples|Surfaçada|Light 2|PhotoFusion X|1.5|1.50|DuraVision Platinum UV|-6.00 a +6.00|-4.00|-|75|||17</x:v>
      </x:c>
    </x:row>
    <x:row r="1622">
      <x:c r="A1622" s="24" t="str">
        <x:v>ZS-67BFE7C24D1A</x:v>
      </x:c>
      <x:c r="B1622" s="24" t="str">
        <x:v>SIM</x:v>
      </x:c>
      <x:c r="C1622" s="24" t="str">
        <x:v>DISPONÍVEL</x:v>
      </x:c>
      <x:c r="D1622" s="24" t="str">
        <x:v>ZEISS</x:v>
      </x:c>
      <x:c r="E1622" s="24" t="str">
        <x:v>Visão Simples</x:v>
      </x:c>
      <x:c r="F1622" s="24" t="str">
        <x:v>Surfaçada</x:v>
      </x:c>
      <x:c r="G1622" s="24" t="str">
        <x:v>Light 2</x:v>
      </x:c>
      <x:c r="H1622" s="24" t="str">
        <x:v>PhotoFusion X</x:v>
      </x:c>
      <x:c r="I1622" s="24" t="str">
        <x:v>1.5</x:v>
      </x:c>
      <x:c r="J1622" s="24" t="str">
        <x:v>1.50</x:v>
      </x:c>
      <x:c r="K1622" s="24" t="str">
        <x:v>DuraVision Silver UV</x:v>
      </x:c>
      <x:c r="L1622" s="40" t="n">
        <x:v>2470</x:v>
      </x:c>
      <x:c r="M1622" s="24" t="str">
        <x:v>-6.00 a +6.00</x:v>
      </x:c>
      <x:c r="N1622" s="24" t="str">
        <x:v>-4.00</x:v>
      </x:c>
      <x:c r="O1622" s="24" t="str">
        <x:v>-</x:v>
      </x:c>
      <x:c r="P1622" s="24" t="str">
        <x:v>75</x:v>
      </x:c>
      <x:c r="Q1622" s="24"/>
      <x:c r="R1622" s="24"/>
      <x:c r="S1622" s="26" t="n">
        <x:v>46113</x:v>
      </x:c>
      <x:c r="T1622" s="26"/>
      <x:c r="U1622" s="24" t="str">
        <x:v>ATIVA/SEM FIM INFORMADO</x:v>
      </x:c>
      <x:c r="V1622" s="24" t="str">
        <x:v>Programa de Parcerias ZEISS</x:v>
      </x:c>
      <x:c r="W1622" s="24" t="n">
        <x:v>17</x:v>
      </x:c>
      <x:c r="X1622" s="24" t="str">
        <x:v>tabela_zeiss.pdf</x:v>
      </x:c>
      <x:c r="Y1622" s="24" t="str">
        <x:v>alta</x:v>
      </x:c>
      <x:c r="Z1622" s="24"/>
      <x:c r="AA1622" s="24" t="str">
        <x:v>ZEISS|Visão Simples|Surfaçada|Light 2|PhotoFusion X|1.5|1.50|DuraVision Silver UV|-6.00 a +6.00|-4.00|-|75|||17</x:v>
      </x:c>
    </x:row>
    <x:row r="1623">
      <x:c r="A1623" s="24" t="str">
        <x:v>ZS-79179F392A5C</x:v>
      </x:c>
      <x:c r="B1623" s="24" t="str">
        <x:v>SIM</x:v>
      </x:c>
      <x:c r="C1623" s="24" t="str">
        <x:v>DISPONÍVEL</x:v>
      </x:c>
      <x:c r="D1623" s="24" t="str">
        <x:v>ZEISS</x:v>
      </x:c>
      <x:c r="E1623" s="24" t="str">
        <x:v>Visão Simples</x:v>
      </x:c>
      <x:c r="F1623" s="24" t="str">
        <x:v>Surfaçada</x:v>
      </x:c>
      <x:c r="G1623" s="24" t="str">
        <x:v>Light 2</x:v>
      </x:c>
      <x:c r="H1623" s="24" t="str">
        <x:v>PhotoFusion X</x:v>
      </x:c>
      <x:c r="I1623" s="24" t="str">
        <x:v>1.5</x:v>
      </x:c>
      <x:c r="J1623" s="24" t="str">
        <x:v>1.50</x:v>
      </x:c>
      <x:c r="K1623" s="24" t="str">
        <x:v>DuraVision Chrome UV</x:v>
      </x:c>
      <x:c r="L1623" s="40" t="n">
        <x:v>1980</x:v>
      </x:c>
      <x:c r="M1623" s="24" t="str">
        <x:v>-6.00 a +6.00</x:v>
      </x:c>
      <x:c r="N1623" s="24" t="str">
        <x:v>-4.00</x:v>
      </x:c>
      <x:c r="O1623" s="24" t="str">
        <x:v>-</x:v>
      </x:c>
      <x:c r="P1623" s="24" t="str">
        <x:v>75</x:v>
      </x:c>
      <x:c r="Q1623" s="24"/>
      <x:c r="R1623" s="24"/>
      <x:c r="S1623" s="26" t="n">
        <x:v>46113</x:v>
      </x:c>
      <x:c r="T1623" s="26"/>
      <x:c r="U1623" s="24" t="str">
        <x:v>ATIVA/SEM FIM INFORMADO</x:v>
      </x:c>
      <x:c r="V1623" s="24" t="str">
        <x:v>Programa de Parcerias ZEISS</x:v>
      </x:c>
      <x:c r="W1623" s="24" t="n">
        <x:v>17</x:v>
      </x:c>
      <x:c r="X1623" s="24" t="str">
        <x:v>tabela_zeiss.pdf</x:v>
      </x:c>
      <x:c r="Y1623" s="24" t="str">
        <x:v>alta</x:v>
      </x:c>
      <x:c r="Z1623" s="24"/>
      <x:c r="AA1623" s="24" t="str">
        <x:v>ZEISS|Visão Simples|Surfaçada|Light 2|PhotoFusion X|1.5|1.50|DuraVision Chrome UV|-6.00 a +6.00|-4.00|-|75|||17</x:v>
      </x:c>
    </x:row>
    <x:row r="1624">
      <x:c r="A1624" s="24" t="str">
        <x:v>ZS-639E64AAD348</x:v>
      </x:c>
      <x:c r="B1624" s="24" t="str">
        <x:v>SIM</x:v>
      </x:c>
      <x:c r="C1624" s="24" t="str">
        <x:v>DISPONÍVEL</x:v>
      </x:c>
      <x:c r="D1624" s="24" t="str">
        <x:v>ZEISS</x:v>
      </x:c>
      <x:c r="E1624" s="24" t="str">
        <x:v>Visão Simples</x:v>
      </x:c>
      <x:c r="F1624" s="24" t="str">
        <x:v>Surfaçada</x:v>
      </x:c>
      <x:c r="G1624" s="24" t="str">
        <x:v>Light 2</x:v>
      </x:c>
      <x:c r="H1624" s="24" t="str">
        <x:v>PhotoFusion X</x:v>
      </x:c>
      <x:c r="I1624" s="24" t="str">
        <x:v>Poli</x:v>
      </x:c>
      <x:c r="J1624" s="24"/>
      <x:c r="K1624" s="24" t="str">
        <x:v>DuraVision Gold UV</x:v>
      </x:c>
      <x:c r="L1624" s="40" t="n">
        <x:v>3230</x:v>
      </x:c>
      <x:c r="M1624" s="24" t="str">
        <x:v>-10.00 a +8.00</x:v>
      </x:c>
      <x:c r="N1624" s="24" t="str">
        <x:v>-4.00</x:v>
      </x:c>
      <x:c r="O1624" s="24" t="str">
        <x:v>-</x:v>
      </x:c>
      <x:c r="P1624" s="24" t="str">
        <x:v>70</x:v>
      </x:c>
      <x:c r="Q1624" s="24"/>
      <x:c r="R1624" s="24"/>
      <x:c r="S1624" s="26" t="n">
        <x:v>46113</x:v>
      </x:c>
      <x:c r="T1624" s="26"/>
      <x:c r="U1624" s="24" t="str">
        <x:v>ATIVA/SEM FIM INFORMADO</x:v>
      </x:c>
      <x:c r="V1624" s="24" t="str">
        <x:v>Programa de Parcerias ZEISS</x:v>
      </x:c>
      <x:c r="W1624" s="24" t="n">
        <x:v>17</x:v>
      </x:c>
      <x:c r="X1624" s="24" t="str">
        <x:v>tabela_zeiss.pdf</x:v>
      </x:c>
      <x:c r="Y1624" s="24" t="str">
        <x:v>alta</x:v>
      </x:c>
      <x:c r="Z1624" s="24"/>
      <x:c r="AA1624" s="24" t="str">
        <x:v>ZEISS|Visão Simples|Surfaçada|Light 2|PhotoFusion X|Poli||DuraVision Gold UV|-10.00 a +8.00|-4.00|-|70|||17</x:v>
      </x:c>
    </x:row>
    <x:row r="1625">
      <x:c r="A1625" s="24" t="str">
        <x:v>ZS-00AAF43FF831</x:v>
      </x:c>
      <x:c r="B1625" s="24" t="str">
        <x:v>SIM</x:v>
      </x:c>
      <x:c r="C1625" s="24" t="str">
        <x:v>DISPONÍVEL</x:v>
      </x:c>
      <x:c r="D1625" s="24" t="str">
        <x:v>ZEISS</x:v>
      </x:c>
      <x:c r="E1625" s="24" t="str">
        <x:v>Visão Simples</x:v>
      </x:c>
      <x:c r="F1625" s="24" t="str">
        <x:v>Surfaçada</x:v>
      </x:c>
      <x:c r="G1625" s="24" t="str">
        <x:v>Light 2</x:v>
      </x:c>
      <x:c r="H1625" s="24" t="str">
        <x:v>PhotoFusion X</x:v>
      </x:c>
      <x:c r="I1625" s="24" t="str">
        <x:v>Poli</x:v>
      </x:c>
      <x:c r="J1625" s="24"/>
      <x:c r="K1625" s="24" t="str">
        <x:v>DuraVision Platinum UV</x:v>
      </x:c>
      <x:c r="L1625" s="40" t="n">
        <x:v>3090</x:v>
      </x:c>
      <x:c r="M1625" s="24" t="str">
        <x:v>-10.00 a +8.00</x:v>
      </x:c>
      <x:c r="N1625" s="24" t="str">
        <x:v>-4.00</x:v>
      </x:c>
      <x:c r="O1625" s="24" t="str">
        <x:v>-</x:v>
      </x:c>
      <x:c r="P1625" s="24" t="str">
        <x:v>70</x:v>
      </x:c>
      <x:c r="Q1625" s="24"/>
      <x:c r="R1625" s="24"/>
      <x:c r="S1625" s="26" t="n">
        <x:v>46113</x:v>
      </x:c>
      <x:c r="T1625" s="26"/>
      <x:c r="U1625" s="24" t="str">
        <x:v>ATIVA/SEM FIM INFORMADO</x:v>
      </x:c>
      <x:c r="V1625" s="24" t="str">
        <x:v>Programa de Parcerias ZEISS</x:v>
      </x:c>
      <x:c r="W1625" s="24" t="n">
        <x:v>17</x:v>
      </x:c>
      <x:c r="X1625" s="24" t="str">
        <x:v>tabela_zeiss.pdf</x:v>
      </x:c>
      <x:c r="Y1625" s="24" t="str">
        <x:v>alta</x:v>
      </x:c>
      <x:c r="Z1625" s="24"/>
      <x:c r="AA1625" s="24" t="str">
        <x:v>ZEISS|Visão Simples|Surfaçada|Light 2|PhotoFusion X|Poli||DuraVision Platinum UV|-10.00 a +8.00|-4.00|-|70|||17</x:v>
      </x:c>
    </x:row>
    <x:row r="1626">
      <x:c r="A1626" s="24" t="str">
        <x:v>ZS-A410861DEEE4</x:v>
      </x:c>
      <x:c r="B1626" s="24" t="str">
        <x:v>SIM</x:v>
      </x:c>
      <x:c r="C1626" s="24" t="str">
        <x:v>DISPONÍVEL</x:v>
      </x:c>
      <x:c r="D1626" s="24" t="str">
        <x:v>ZEISS</x:v>
      </x:c>
      <x:c r="E1626" s="24" t="str">
        <x:v>Visão Simples</x:v>
      </x:c>
      <x:c r="F1626" s="24" t="str">
        <x:v>Surfaçada</x:v>
      </x:c>
      <x:c r="G1626" s="24" t="str">
        <x:v>Light 2</x:v>
      </x:c>
      <x:c r="H1626" s="24" t="str">
        <x:v>PhotoFusion X</x:v>
      </x:c>
      <x:c r="I1626" s="24" t="str">
        <x:v>Poli</x:v>
      </x:c>
      <x:c r="J1626" s="24"/>
      <x:c r="K1626" s="24" t="str">
        <x:v>DuraVision Silver UV</x:v>
      </x:c>
      <x:c r="L1626" s="40" t="n">
        <x:v>2830</x:v>
      </x:c>
      <x:c r="M1626" s="24" t="str">
        <x:v>-10.00 a +8.00</x:v>
      </x:c>
      <x:c r="N1626" s="24" t="str">
        <x:v>-4.00</x:v>
      </x:c>
      <x:c r="O1626" s="24" t="str">
        <x:v>-</x:v>
      </x:c>
      <x:c r="P1626" s="24" t="str">
        <x:v>70</x:v>
      </x:c>
      <x:c r="Q1626" s="24"/>
      <x:c r="R1626" s="24"/>
      <x:c r="S1626" s="26" t="n">
        <x:v>46113</x:v>
      </x:c>
      <x:c r="T1626" s="26"/>
      <x:c r="U1626" s="24" t="str">
        <x:v>ATIVA/SEM FIM INFORMADO</x:v>
      </x:c>
      <x:c r="V1626" s="24" t="str">
        <x:v>Programa de Parcerias ZEISS</x:v>
      </x:c>
      <x:c r="W1626" s="24" t="n">
        <x:v>17</x:v>
      </x:c>
      <x:c r="X1626" s="24" t="str">
        <x:v>tabela_zeiss.pdf</x:v>
      </x:c>
      <x:c r="Y1626" s="24" t="str">
        <x:v>alta</x:v>
      </x:c>
      <x:c r="Z1626" s="24"/>
      <x:c r="AA1626" s="24" t="str">
        <x:v>ZEISS|Visão Simples|Surfaçada|Light 2|PhotoFusion X|Poli||DuraVision Silver UV|-10.00 a +8.00|-4.00|-|70|||17</x:v>
      </x:c>
    </x:row>
    <x:row r="1627">
      <x:c r="A1627" s="24" t="str">
        <x:v>ZS-3D3B9E3D6D45</x:v>
      </x:c>
      <x:c r="B1627" s="24" t="str">
        <x:v>SIM</x:v>
      </x:c>
      <x:c r="C1627" s="24" t="str">
        <x:v>DISPONÍVEL</x:v>
      </x:c>
      <x:c r="D1627" s="24" t="str">
        <x:v>ZEISS</x:v>
      </x:c>
      <x:c r="E1627" s="24" t="str">
        <x:v>Visão Simples</x:v>
      </x:c>
      <x:c r="F1627" s="24" t="str">
        <x:v>Surfaçada</x:v>
      </x:c>
      <x:c r="G1627" s="24" t="str">
        <x:v>Light 2</x:v>
      </x:c>
      <x:c r="H1627" s="24" t="str">
        <x:v>PhotoFusion X</x:v>
      </x:c>
      <x:c r="I1627" s="24" t="str">
        <x:v>Poli</x:v>
      </x:c>
      <x:c r="J1627" s="24"/>
      <x:c r="K1627" s="24" t="str">
        <x:v>DuraVision Chrome UV</x:v>
      </x:c>
      <x:c r="L1627" s="40" t="n">
        <x:v>2340</x:v>
      </x:c>
      <x:c r="M1627" s="24" t="str">
        <x:v>-10.00 a +8.00</x:v>
      </x:c>
      <x:c r="N1627" s="24" t="str">
        <x:v>-4.00</x:v>
      </x:c>
      <x:c r="O1627" s="24" t="str">
        <x:v>-</x:v>
      </x:c>
      <x:c r="P1627" s="24" t="str">
        <x:v>70</x:v>
      </x:c>
      <x:c r="Q1627" s="24"/>
      <x:c r="R1627" s="24"/>
      <x:c r="S1627" s="26" t="n">
        <x:v>46113</x:v>
      </x:c>
      <x:c r="T1627" s="26"/>
      <x:c r="U1627" s="24" t="str">
        <x:v>ATIVA/SEM FIM INFORMADO</x:v>
      </x:c>
      <x:c r="V1627" s="24" t="str">
        <x:v>Programa de Parcerias ZEISS</x:v>
      </x:c>
      <x:c r="W1627" s="24" t="n">
        <x:v>17</x:v>
      </x:c>
      <x:c r="X1627" s="24" t="str">
        <x:v>tabela_zeiss.pdf</x:v>
      </x:c>
      <x:c r="Y1627" s="24" t="str">
        <x:v>alta</x:v>
      </x:c>
      <x:c r="Z1627" s="24"/>
      <x:c r="AA1627" s="24" t="str">
        <x:v>ZEISS|Visão Simples|Surfaçada|Light 2|PhotoFusion X|Poli||DuraVision Chrome UV|-10.00 a +8.00|-4.00|-|70|||17</x:v>
      </x:c>
    </x:row>
    <x:row r="1628">
      <x:c r="A1628" s="24" t="str">
        <x:v>ZS-423F1820AD88</x:v>
      </x:c>
      <x:c r="B1628" s="24" t="str">
        <x:v>SIM</x:v>
      </x:c>
      <x:c r="C1628" s="24" t="str">
        <x:v>DISPONÍVEL</x:v>
      </x:c>
      <x:c r="D1628" s="24" t="str">
        <x:v>ZEISS</x:v>
      </x:c>
      <x:c r="E1628" s="24" t="str">
        <x:v>Visão Simples</x:v>
      </x:c>
      <x:c r="F1628" s="24" t="str">
        <x:v>Surfaçada</x:v>
      </x:c>
      <x:c r="G1628" s="24" t="str">
        <x:v>Light 2</x:v>
      </x:c>
      <x:c r="H1628" s="24" t="str">
        <x:v>PhotoFusion X</x:v>
      </x:c>
      <x:c r="I1628" s="24" t="str">
        <x:v>1.6</x:v>
      </x:c>
      <x:c r="J1628" s="24" t="str">
        <x:v>1.60</x:v>
      </x:c>
      <x:c r="K1628" s="24" t="str">
        <x:v>DuraVision Gold UV</x:v>
      </x:c>
      <x:c r="L1628" s="40" t="n">
        <x:v>3450</x:v>
      </x:c>
      <x:c r="M1628" s="24" t="str">
        <x:v>-6.00 a +8.00</x:v>
      </x:c>
      <x:c r="N1628" s="24" t="str">
        <x:v>-4.00</x:v>
      </x:c>
      <x:c r="O1628" s="24" t="str">
        <x:v>-</x:v>
      </x:c>
      <x:c r="P1628" s="24" t="str">
        <x:v>75</x:v>
      </x:c>
      <x:c r="Q1628" s="24"/>
      <x:c r="R1628" s="24"/>
      <x:c r="S1628" s="26" t="n">
        <x:v>46113</x:v>
      </x:c>
      <x:c r="T1628" s="26"/>
      <x:c r="U1628" s="24" t="str">
        <x:v>ATIVA/SEM FIM INFORMADO</x:v>
      </x:c>
      <x:c r="V1628" s="24" t="str">
        <x:v>Programa de Parcerias ZEISS</x:v>
      </x:c>
      <x:c r="W1628" s="24" t="n">
        <x:v>17</x:v>
      </x:c>
      <x:c r="X1628" s="24" t="str">
        <x:v>tabela_zeiss.pdf</x:v>
      </x:c>
      <x:c r="Y1628" s="24" t="str">
        <x:v>alta</x:v>
      </x:c>
      <x:c r="Z1628" s="24"/>
      <x:c r="AA1628" s="24" t="str">
        <x:v>ZEISS|Visão Simples|Surfaçada|Light 2|PhotoFusion X|1.6|1.60|DuraVision Gold UV|-6.00 a +8.00|-4.00|-|75|||17</x:v>
      </x:c>
    </x:row>
    <x:row r="1629">
      <x:c r="A1629" s="24" t="str">
        <x:v>ZS-D852504A1795</x:v>
      </x:c>
      <x:c r="B1629" s="24" t="str">
        <x:v>SIM</x:v>
      </x:c>
      <x:c r="C1629" s="24" t="str">
        <x:v>DISPONÍVEL</x:v>
      </x:c>
      <x:c r="D1629" s="24" t="str">
        <x:v>ZEISS</x:v>
      </x:c>
      <x:c r="E1629" s="24" t="str">
        <x:v>Visão Simples</x:v>
      </x:c>
      <x:c r="F1629" s="24" t="str">
        <x:v>Surfaçada</x:v>
      </x:c>
      <x:c r="G1629" s="24" t="str">
        <x:v>Light 2</x:v>
      </x:c>
      <x:c r="H1629" s="24" t="str">
        <x:v>PhotoFusion X</x:v>
      </x:c>
      <x:c r="I1629" s="24" t="str">
        <x:v>1.6</x:v>
      </x:c>
      <x:c r="J1629" s="24" t="str">
        <x:v>1.60</x:v>
      </x:c>
      <x:c r="K1629" s="24" t="str">
        <x:v>DURAVISION® ANTIVÍRUS PLATINUM UV</x:v>
      </x:c>
      <x:c r="L1629" s="40" t="n">
        <x:v>3310</x:v>
      </x:c>
      <x:c r="M1629" s="24" t="str">
        <x:v>-6.00 a +8.00</x:v>
      </x:c>
      <x:c r="N1629" s="24" t="str">
        <x:v>-4.00</x:v>
      </x:c>
      <x:c r="O1629" s="24" t="str">
        <x:v>-</x:v>
      </x:c>
      <x:c r="P1629" s="24" t="str">
        <x:v>75</x:v>
      </x:c>
      <x:c r="Q1629" s="24"/>
      <x:c r="R1629" s="24"/>
      <x:c r="S1629" s="26" t="n">
        <x:v>46113</x:v>
      </x:c>
      <x:c r="T1629" s="26"/>
      <x:c r="U1629" s="24" t="str">
        <x:v>ATIVA/SEM FIM INFORMADO</x:v>
      </x:c>
      <x:c r="V1629" s="24" t="str">
        <x:v>Programa de Parcerias ZEISS</x:v>
      </x:c>
      <x:c r="W1629" s="24" t="n">
        <x:v>17</x:v>
      </x:c>
      <x:c r="X1629" s="24" t="str">
        <x:v>tabela_zeiss.pdf</x:v>
      </x:c>
      <x:c r="Y1629" s="24" t="str">
        <x:v>alta</x:v>
      </x:c>
      <x:c r="Z1629" s="24"/>
      <x:c r="AA1629" s="24" t="str">
        <x:v>ZEISS|Visão Simples|Surfaçada|Light 2|PhotoFusion X|1.6|1.60|DURAVISION® ANTIVÍRUS PLATINUM UV|-6.00 a +8.00|-4.00|-|75|||17</x:v>
      </x:c>
    </x:row>
    <x:row r="1630">
      <x:c r="A1630" s="24" t="str">
        <x:v>ZS-4580880D8417</x:v>
      </x:c>
      <x:c r="B1630" s="24" t="str">
        <x:v>SIM</x:v>
      </x:c>
      <x:c r="C1630" s="24" t="str">
        <x:v>DISPONÍVEL</x:v>
      </x:c>
      <x:c r="D1630" s="24" t="str">
        <x:v>ZEISS</x:v>
      </x:c>
      <x:c r="E1630" s="24" t="str">
        <x:v>Visão Simples</x:v>
      </x:c>
      <x:c r="F1630" s="24" t="str">
        <x:v>Surfaçada</x:v>
      </x:c>
      <x:c r="G1630" s="24" t="str">
        <x:v>Light 2</x:v>
      </x:c>
      <x:c r="H1630" s="24" t="str">
        <x:v>PhotoFusion X</x:v>
      </x:c>
      <x:c r="I1630" s="24" t="str">
        <x:v>1.6</x:v>
      </x:c>
      <x:c r="J1630" s="24" t="str">
        <x:v>1.60</x:v>
      </x:c>
      <x:c r="K1630" s="24" t="str">
        <x:v>DuraVision Platinum UV</x:v>
      </x:c>
      <x:c r="L1630" s="40" t="n">
        <x:v>3310</x:v>
      </x:c>
      <x:c r="M1630" s="24" t="str">
        <x:v>-6.00 a +8.00</x:v>
      </x:c>
      <x:c r="N1630" s="24" t="str">
        <x:v>-4.00</x:v>
      </x:c>
      <x:c r="O1630" s="24" t="str">
        <x:v>-</x:v>
      </x:c>
      <x:c r="P1630" s="24" t="str">
        <x:v>75</x:v>
      </x:c>
      <x:c r="Q1630" s="24"/>
      <x:c r="R1630" s="24"/>
      <x:c r="S1630" s="26" t="n">
        <x:v>46113</x:v>
      </x:c>
      <x:c r="T1630" s="26"/>
      <x:c r="U1630" s="24" t="str">
        <x:v>ATIVA/SEM FIM INFORMADO</x:v>
      </x:c>
      <x:c r="V1630" s="24" t="str">
        <x:v>Programa de Parcerias ZEISS</x:v>
      </x:c>
      <x:c r="W1630" s="24" t="n">
        <x:v>17</x:v>
      </x:c>
      <x:c r="X1630" s="24" t="str">
        <x:v>tabela_zeiss.pdf</x:v>
      </x:c>
      <x:c r="Y1630" s="24" t="str">
        <x:v>alta</x:v>
      </x:c>
      <x:c r="Z1630" s="24"/>
      <x:c r="AA1630" s="24" t="str">
        <x:v>ZEISS|Visão Simples|Surfaçada|Light 2|PhotoFusion X|1.6|1.60|DuraVision Platinum UV|-6.00 a +8.00|-4.00|-|75|||17</x:v>
      </x:c>
    </x:row>
    <x:row r="1631">
      <x:c r="A1631" s="24" t="str">
        <x:v>ZS-54E9BC7FD8C9</x:v>
      </x:c>
      <x:c r="B1631" s="24" t="str">
        <x:v>SIM</x:v>
      </x:c>
      <x:c r="C1631" s="24" t="str">
        <x:v>DISPONÍVEL</x:v>
      </x:c>
      <x:c r="D1631" s="24" t="str">
        <x:v>ZEISS</x:v>
      </x:c>
      <x:c r="E1631" s="24" t="str">
        <x:v>Visão Simples</x:v>
      </x:c>
      <x:c r="F1631" s="24" t="str">
        <x:v>Surfaçada</x:v>
      </x:c>
      <x:c r="G1631" s="24" t="str">
        <x:v>Light 2</x:v>
      </x:c>
      <x:c r="H1631" s="24" t="str">
        <x:v>PhotoFusion X</x:v>
      </x:c>
      <x:c r="I1631" s="24" t="str">
        <x:v>1.6</x:v>
      </x:c>
      <x:c r="J1631" s="24" t="str">
        <x:v>1.60</x:v>
      </x:c>
      <x:c r="K1631" s="24" t="str">
        <x:v>DuraVision Silver UV</x:v>
      </x:c>
      <x:c r="L1631" s="40" t="n">
        <x:v>3050</x:v>
      </x:c>
      <x:c r="M1631" s="24" t="str">
        <x:v>-6.00 a +8.00</x:v>
      </x:c>
      <x:c r="N1631" s="24" t="str">
        <x:v>-4.00</x:v>
      </x:c>
      <x:c r="O1631" s="24" t="str">
        <x:v>-</x:v>
      </x:c>
      <x:c r="P1631" s="24" t="str">
        <x:v>75</x:v>
      </x:c>
      <x:c r="Q1631" s="24"/>
      <x:c r="R1631" s="24"/>
      <x:c r="S1631" s="26" t="n">
        <x:v>46113</x:v>
      </x:c>
      <x:c r="T1631" s="26"/>
      <x:c r="U1631" s="24" t="str">
        <x:v>ATIVA/SEM FIM INFORMADO</x:v>
      </x:c>
      <x:c r="V1631" s="24" t="str">
        <x:v>Programa de Parcerias ZEISS</x:v>
      </x:c>
      <x:c r="W1631" s="24" t="n">
        <x:v>17</x:v>
      </x:c>
      <x:c r="X1631" s="24" t="str">
        <x:v>tabela_zeiss.pdf</x:v>
      </x:c>
      <x:c r="Y1631" s="24" t="str">
        <x:v>alta</x:v>
      </x:c>
      <x:c r="Z1631" s="24"/>
      <x:c r="AA1631" s="24" t="str">
        <x:v>ZEISS|Visão Simples|Surfaçada|Light 2|PhotoFusion X|1.6|1.60|DuraVision Silver UV|-6.00 a +8.00|-4.00|-|75|||17</x:v>
      </x:c>
    </x:row>
    <x:row r="1632">
      <x:c r="A1632" s="24" t="str">
        <x:v>ZS-4FB264F786D3</x:v>
      </x:c>
      <x:c r="B1632" s="24" t="str">
        <x:v>SIM</x:v>
      </x:c>
      <x:c r="C1632" s="24" t="str">
        <x:v>DISPONÍVEL</x:v>
      </x:c>
      <x:c r="D1632" s="24" t="str">
        <x:v>ZEISS</x:v>
      </x:c>
      <x:c r="E1632" s="24" t="str">
        <x:v>Visão Simples</x:v>
      </x:c>
      <x:c r="F1632" s="24" t="str">
        <x:v>Surfaçada</x:v>
      </x:c>
      <x:c r="G1632" s="24" t="str">
        <x:v>Light 2</x:v>
      </x:c>
      <x:c r="H1632" s="24" t="str">
        <x:v>PhotoFusion X</x:v>
      </x:c>
      <x:c r="I1632" s="24" t="str">
        <x:v>1.6</x:v>
      </x:c>
      <x:c r="J1632" s="24" t="str">
        <x:v>1.60</x:v>
      </x:c>
      <x:c r="K1632" s="24" t="str">
        <x:v>DuraVision Chrome UV</x:v>
      </x:c>
      <x:c r="L1632" s="40" t="n">
        <x:v>2560</x:v>
      </x:c>
      <x:c r="M1632" s="24" t="str">
        <x:v>-6.00 a +8.00</x:v>
      </x:c>
      <x:c r="N1632" s="24" t="str">
        <x:v>-4.00</x:v>
      </x:c>
      <x:c r="O1632" s="24" t="str">
        <x:v>-</x:v>
      </x:c>
      <x:c r="P1632" s="24" t="str">
        <x:v>75</x:v>
      </x:c>
      <x:c r="Q1632" s="24"/>
      <x:c r="R1632" s="24"/>
      <x:c r="S1632" s="26" t="n">
        <x:v>46113</x:v>
      </x:c>
      <x:c r="T1632" s="26"/>
      <x:c r="U1632" s="24" t="str">
        <x:v>ATIVA/SEM FIM INFORMADO</x:v>
      </x:c>
      <x:c r="V1632" s="24" t="str">
        <x:v>Programa de Parcerias ZEISS</x:v>
      </x:c>
      <x:c r="W1632" s="24" t="n">
        <x:v>17</x:v>
      </x:c>
      <x:c r="X1632" s="24" t="str">
        <x:v>tabela_zeiss.pdf</x:v>
      </x:c>
      <x:c r="Y1632" s="24" t="str">
        <x:v>alta</x:v>
      </x:c>
      <x:c r="Z1632" s="24"/>
      <x:c r="AA1632" s="24" t="str">
        <x:v>ZEISS|Visão Simples|Surfaçada|Light 2|PhotoFusion X|1.6|1.60|DuraVision Chrome UV|-6.00 a +8.00|-4.00|-|75|||17</x:v>
      </x:c>
    </x:row>
    <x:row r="1633">
      <x:c r="A1633" s="24" t="str">
        <x:v>ZS-AF90EC5F17F6</x:v>
      </x:c>
      <x:c r="B1633" s="24" t="str">
        <x:v>SIM</x:v>
      </x:c>
      <x:c r="C1633" s="24" t="str">
        <x:v>DISPONÍVEL</x:v>
      </x:c>
      <x:c r="D1633" s="24" t="str">
        <x:v>ZEISS</x:v>
      </x:c>
      <x:c r="E1633" s="24" t="str">
        <x:v>Visão Simples</x:v>
      </x:c>
      <x:c r="F1633" s="24" t="str">
        <x:v>Surfaçada</x:v>
      </x:c>
      <x:c r="G1633" s="24" t="str">
        <x:v>Light 2</x:v>
      </x:c>
      <x:c r="H1633" s="24" t="str">
        <x:v>PhotoFusion X</x:v>
      </x:c>
      <x:c r="I1633" s="24" t="str">
        <x:v>1.67</x:v>
      </x:c>
      <x:c r="J1633" s="24" t="str">
        <x:v>1.67</x:v>
      </x:c>
      <x:c r="K1633" s="24" t="str">
        <x:v>DuraVision Gold UV</x:v>
      </x:c>
      <x:c r="L1633" s="40" t="n">
        <x:v>4750</x:v>
      </x:c>
      <x:c r="M1633" s="24" t="str">
        <x:v>-8.00 a +8.00</x:v>
      </x:c>
      <x:c r="N1633" s="24" t="str">
        <x:v>-6.00</x:v>
      </x:c>
      <x:c r="O1633" s="24" t="str">
        <x:v>-</x:v>
      </x:c>
      <x:c r="P1633" s="24" t="str">
        <x:v>70</x:v>
      </x:c>
      <x:c r="Q1633" s="24"/>
      <x:c r="R1633" s="24"/>
      <x:c r="S1633" s="26" t="n">
        <x:v>46113</x:v>
      </x:c>
      <x:c r="T1633" s="26"/>
      <x:c r="U1633" s="24" t="str">
        <x:v>ATIVA/SEM FIM INFORMADO</x:v>
      </x:c>
      <x:c r="V1633" s="24" t="str">
        <x:v>Programa de Parcerias ZEISS</x:v>
      </x:c>
      <x:c r="W1633" s="24" t="n">
        <x:v>17</x:v>
      </x:c>
      <x:c r="X1633" s="24" t="str">
        <x:v>tabela_zeiss.pdf</x:v>
      </x:c>
      <x:c r="Y1633" s="24" t="str">
        <x:v>alta</x:v>
      </x:c>
      <x:c r="Z1633" s="24"/>
      <x:c r="AA1633" s="24" t="str">
        <x:v>ZEISS|Visão Simples|Surfaçada|Light 2|PhotoFusion X|1.67|1.67|DuraVision Gold UV|-8.00 a +8.00|-6.00|-|70|||17</x:v>
      </x:c>
    </x:row>
    <x:row r="1634">
      <x:c r="A1634" s="24" t="str">
        <x:v>ZS-2C28A312E768</x:v>
      </x:c>
      <x:c r="B1634" s="24" t="str">
        <x:v>SIM</x:v>
      </x:c>
      <x:c r="C1634" s="24" t="str">
        <x:v>DISPONÍVEL</x:v>
      </x:c>
      <x:c r="D1634" s="24" t="str">
        <x:v>ZEISS</x:v>
      </x:c>
      <x:c r="E1634" s="24" t="str">
        <x:v>Visão Simples</x:v>
      </x:c>
      <x:c r="F1634" s="24" t="str">
        <x:v>Surfaçada</x:v>
      </x:c>
      <x:c r="G1634" s="24" t="str">
        <x:v>Light 2</x:v>
      </x:c>
      <x:c r="H1634" s="24" t="str">
        <x:v>PhotoFusion X</x:v>
      </x:c>
      <x:c r="I1634" s="24" t="str">
        <x:v>1.67</x:v>
      </x:c>
      <x:c r="J1634" s="24" t="str">
        <x:v>1.67</x:v>
      </x:c>
      <x:c r="K1634" s="24" t="str">
        <x:v>DURAVISION® ANTIVÍRUS PLATINUM UV</x:v>
      </x:c>
      <x:c r="L1634" s="40" t="n">
        <x:v>4610</x:v>
      </x:c>
      <x:c r="M1634" s="24" t="str">
        <x:v>-8.00 a +8.00</x:v>
      </x:c>
      <x:c r="N1634" s="24" t="str">
        <x:v>-6.00</x:v>
      </x:c>
      <x:c r="O1634" s="24" t="str">
        <x:v>-</x:v>
      </x:c>
      <x:c r="P1634" s="24" t="str">
        <x:v>70</x:v>
      </x:c>
      <x:c r="Q1634" s="24"/>
      <x:c r="R1634" s="24"/>
      <x:c r="S1634" s="26" t="n">
        <x:v>46113</x:v>
      </x:c>
      <x:c r="T1634" s="26"/>
      <x:c r="U1634" s="24" t="str">
        <x:v>ATIVA/SEM FIM INFORMADO</x:v>
      </x:c>
      <x:c r="V1634" s="24" t="str">
        <x:v>Programa de Parcerias ZEISS</x:v>
      </x:c>
      <x:c r="W1634" s="24" t="n">
        <x:v>17</x:v>
      </x:c>
      <x:c r="X1634" s="24" t="str">
        <x:v>tabela_zeiss.pdf</x:v>
      </x:c>
      <x:c r="Y1634" s="24" t="str">
        <x:v>alta</x:v>
      </x:c>
      <x:c r="Z1634" s="24"/>
      <x:c r="AA1634" s="24" t="str">
        <x:v>ZEISS|Visão Simples|Surfaçada|Light 2|PhotoFusion X|1.67|1.67|DURAVISION® ANTIVÍRUS PLATINUM UV|-8.00 a +8.00|-6.00|-|70|||17</x:v>
      </x:c>
    </x:row>
    <x:row r="1635">
      <x:c r="A1635" s="24" t="str">
        <x:v>ZS-A74C2F352603</x:v>
      </x:c>
      <x:c r="B1635" s="24" t="str">
        <x:v>SIM</x:v>
      </x:c>
      <x:c r="C1635" s="24" t="str">
        <x:v>DISPONÍVEL</x:v>
      </x:c>
      <x:c r="D1635" s="24" t="str">
        <x:v>ZEISS</x:v>
      </x:c>
      <x:c r="E1635" s="24" t="str">
        <x:v>Visão Simples</x:v>
      </x:c>
      <x:c r="F1635" s="24" t="str">
        <x:v>Surfaçada</x:v>
      </x:c>
      <x:c r="G1635" s="24" t="str">
        <x:v>Light 2</x:v>
      </x:c>
      <x:c r="H1635" s="24" t="str">
        <x:v>PhotoFusion X</x:v>
      </x:c>
      <x:c r="I1635" s="24" t="str">
        <x:v>1.67</x:v>
      </x:c>
      <x:c r="J1635" s="24" t="str">
        <x:v>1.67</x:v>
      </x:c>
      <x:c r="K1635" s="24" t="str">
        <x:v>DuraVision Platinum UV</x:v>
      </x:c>
      <x:c r="L1635" s="40" t="n">
        <x:v>4610</x:v>
      </x:c>
      <x:c r="M1635" s="24" t="str">
        <x:v>-8.00 a +8.00</x:v>
      </x:c>
      <x:c r="N1635" s="24" t="str">
        <x:v>-6.00</x:v>
      </x:c>
      <x:c r="O1635" s="24" t="str">
        <x:v>-</x:v>
      </x:c>
      <x:c r="P1635" s="24" t="str">
        <x:v>70</x:v>
      </x:c>
      <x:c r="Q1635" s="24"/>
      <x:c r="R1635" s="24"/>
      <x:c r="S1635" s="26" t="n">
        <x:v>46113</x:v>
      </x:c>
      <x:c r="T1635" s="26"/>
      <x:c r="U1635" s="24" t="str">
        <x:v>ATIVA/SEM FIM INFORMADO</x:v>
      </x:c>
      <x:c r="V1635" s="24" t="str">
        <x:v>Programa de Parcerias ZEISS</x:v>
      </x:c>
      <x:c r="W1635" s="24" t="n">
        <x:v>17</x:v>
      </x:c>
      <x:c r="X1635" s="24" t="str">
        <x:v>tabela_zeiss.pdf</x:v>
      </x:c>
      <x:c r="Y1635" s="24" t="str">
        <x:v>alta</x:v>
      </x:c>
      <x:c r="Z1635" s="24"/>
      <x:c r="AA1635" s="24" t="str">
        <x:v>ZEISS|Visão Simples|Surfaçada|Light 2|PhotoFusion X|1.67|1.67|DuraVision Platinum UV|-8.00 a +8.00|-6.00|-|70|||17</x:v>
      </x:c>
    </x:row>
    <x:row r="1636">
      <x:c r="A1636" s="24" t="str">
        <x:v>ZS-E30FF930481E</x:v>
      </x:c>
      <x:c r="B1636" s="24" t="str">
        <x:v>SIM</x:v>
      </x:c>
      <x:c r="C1636" s="24" t="str">
        <x:v>DISPONÍVEL</x:v>
      </x:c>
      <x:c r="D1636" s="24" t="str">
        <x:v>ZEISS</x:v>
      </x:c>
      <x:c r="E1636" s="24" t="str">
        <x:v>Visão Simples</x:v>
      </x:c>
      <x:c r="F1636" s="24" t="str">
        <x:v>Surfaçada</x:v>
      </x:c>
      <x:c r="G1636" s="24" t="str">
        <x:v>Light 2</x:v>
      </x:c>
      <x:c r="H1636" s="24" t="str">
        <x:v>PhotoFusion X</x:v>
      </x:c>
      <x:c r="I1636" s="24" t="str">
        <x:v>1.67</x:v>
      </x:c>
      <x:c r="J1636" s="24" t="str">
        <x:v>1.67</x:v>
      </x:c>
      <x:c r="K1636" s="24" t="str">
        <x:v>DuraVision Silver UV</x:v>
      </x:c>
      <x:c r="L1636" s="40" t="n">
        <x:v>4350</x:v>
      </x:c>
      <x:c r="M1636" s="24" t="str">
        <x:v>-8.00 a +8.00</x:v>
      </x:c>
      <x:c r="N1636" s="24" t="str">
        <x:v>-6.00</x:v>
      </x:c>
      <x:c r="O1636" s="24" t="str">
        <x:v>-</x:v>
      </x:c>
      <x:c r="P1636" s="24" t="str">
        <x:v>70</x:v>
      </x:c>
      <x:c r="Q1636" s="24"/>
      <x:c r="R1636" s="24"/>
      <x:c r="S1636" s="26" t="n">
        <x:v>46113</x:v>
      </x:c>
      <x:c r="T1636" s="26"/>
      <x:c r="U1636" s="24" t="str">
        <x:v>ATIVA/SEM FIM INFORMADO</x:v>
      </x:c>
      <x:c r="V1636" s="24" t="str">
        <x:v>Programa de Parcerias ZEISS</x:v>
      </x:c>
      <x:c r="W1636" s="24" t="n">
        <x:v>17</x:v>
      </x:c>
      <x:c r="X1636" s="24" t="str">
        <x:v>tabela_zeiss.pdf</x:v>
      </x:c>
      <x:c r="Y1636" s="24" t="str">
        <x:v>alta</x:v>
      </x:c>
      <x:c r="Z1636" s="24"/>
      <x:c r="AA1636" s="24" t="str">
        <x:v>ZEISS|Visão Simples|Surfaçada|Light 2|PhotoFusion X|1.67|1.67|DuraVision Silver UV|-8.00 a +8.00|-6.00|-|70|||17</x:v>
      </x:c>
    </x:row>
    <x:row r="1637">
      <x:c r="A1637" s="24" t="str">
        <x:v>ZS-10D05A8A3A8B</x:v>
      </x:c>
      <x:c r="B1637" s="24" t="str">
        <x:v>SIM</x:v>
      </x:c>
      <x:c r="C1637" s="24" t="str">
        <x:v>DISPONÍVEL</x:v>
      </x:c>
      <x:c r="D1637" s="24" t="str">
        <x:v>ZEISS</x:v>
      </x:c>
      <x:c r="E1637" s="24" t="str">
        <x:v>Visão Simples</x:v>
      </x:c>
      <x:c r="F1637" s="24" t="str">
        <x:v>Surfaçada</x:v>
      </x:c>
      <x:c r="G1637" s="24" t="str">
        <x:v>Light 2</x:v>
      </x:c>
      <x:c r="H1637" s="24" t="str">
        <x:v>PhotoFusion X</x:v>
      </x:c>
      <x:c r="I1637" s="24" t="str">
        <x:v>1.67</x:v>
      </x:c>
      <x:c r="J1637" s="24" t="str">
        <x:v>1.67</x:v>
      </x:c>
      <x:c r="K1637" s="24" t="str">
        <x:v>DuraVision Chrome UV</x:v>
      </x:c>
      <x:c r="L1637" s="40" t="n">
        <x:v>3860</x:v>
      </x:c>
      <x:c r="M1637" s="24" t="str">
        <x:v>-8.00 a +8.00</x:v>
      </x:c>
      <x:c r="N1637" s="24" t="str">
        <x:v>-6.00</x:v>
      </x:c>
      <x:c r="O1637" s="24" t="str">
        <x:v>-</x:v>
      </x:c>
      <x:c r="P1637" s="24" t="str">
        <x:v>70</x:v>
      </x:c>
      <x:c r="Q1637" s="24"/>
      <x:c r="R1637" s="24"/>
      <x:c r="S1637" s="26" t="n">
        <x:v>46113</x:v>
      </x:c>
      <x:c r="T1637" s="26"/>
      <x:c r="U1637" s="24" t="str">
        <x:v>ATIVA/SEM FIM INFORMADO</x:v>
      </x:c>
      <x:c r="V1637" s="24" t="str">
        <x:v>Programa de Parcerias ZEISS</x:v>
      </x:c>
      <x:c r="W1637" s="24" t="n">
        <x:v>17</x:v>
      </x:c>
      <x:c r="X1637" s="24" t="str">
        <x:v>tabela_zeiss.pdf</x:v>
      </x:c>
      <x:c r="Y1637" s="24" t="str">
        <x:v>alta</x:v>
      </x:c>
      <x:c r="Z1637" s="24"/>
      <x:c r="AA1637" s="24" t="str">
        <x:v>ZEISS|Visão Simples|Surfaçada|Light 2|PhotoFusion X|1.67|1.67|DuraVision Chrome UV|-8.00 a +8.00|-6.00|-|70|||17</x:v>
      </x:c>
    </x:row>
    <x:row r="1638">
      <x:c r="A1638" s="24" t="str">
        <x:v>ZS-77055D996252</x:v>
      </x:c>
      <x:c r="B1638" s="24" t="str">
        <x:v>SIM</x:v>
      </x:c>
      <x:c r="C1638" s="24" t="str">
        <x:v>DISPONÍVEL</x:v>
      </x:c>
      <x:c r="D1638" s="24" t="str">
        <x:v>ZEISS</x:v>
      </x:c>
      <x:c r="E1638" s="24" t="str">
        <x:v>Visão Simples</x:v>
      </x:c>
      <x:c r="F1638" s="24" t="str">
        <x:v>Surfaçada</x:v>
      </x:c>
      <x:c r="G1638" s="24" t="str">
        <x:v>Light 2</x:v>
      </x:c>
      <x:c r="H1638" s="24" t="str">
        <x:v>PhotoFusion X Extra Dark Cinza</x:v>
      </x:c>
      <x:c r="I1638" s="24" t="str">
        <x:v>1.5</x:v>
      </x:c>
      <x:c r="J1638" s="24" t="str">
        <x:v>1.50</x:v>
      </x:c>
      <x:c r="K1638" s="24" t="str">
        <x:v>DuraVision Gold UV</x:v>
      </x:c>
      <x:c r="L1638" s="40" t="n">
        <x:v>2920</x:v>
      </x:c>
      <x:c r="M1638" s="24" t="str">
        <x:v>-6.00 a +6.00</x:v>
      </x:c>
      <x:c r="N1638" s="24" t="str">
        <x:v>-4.00</x:v>
      </x:c>
      <x:c r="O1638" s="24" t="str">
        <x:v>-</x:v>
      </x:c>
      <x:c r="P1638" s="24" t="str">
        <x:v>75</x:v>
      </x:c>
      <x:c r="Q1638" s="24"/>
      <x:c r="R1638" s="24"/>
      <x:c r="S1638" s="26" t="n">
        <x:v>46113</x:v>
      </x:c>
      <x:c r="T1638" s="26"/>
      <x:c r="U1638" s="24" t="str">
        <x:v>ATIVA/SEM FIM INFORMADO</x:v>
      </x:c>
      <x:c r="V1638" s="24" t="str">
        <x:v>Programa de Parcerias ZEISS</x:v>
      </x:c>
      <x:c r="W1638" s="24" t="n">
        <x:v>17</x:v>
      </x:c>
      <x:c r="X1638" s="24" t="str">
        <x:v>tabela_zeiss.pdf</x:v>
      </x:c>
      <x:c r="Y1638" s="24" t="str">
        <x:v>alta</x:v>
      </x:c>
      <x:c r="Z1638" s="24"/>
      <x:c r="AA1638" s="24" t="str">
        <x:v>ZEISS|Visão Simples|Surfaçada|Light 2|PhotoFusion X Extra Dark Cinza|1.5|1.50|DuraVision Gold UV|-6.00 a +6.00|-4.00|-|75|||17</x:v>
      </x:c>
    </x:row>
    <x:row r="1639">
      <x:c r="A1639" s="24" t="str">
        <x:v>ZS-51DD86541477</x:v>
      </x:c>
      <x:c r="B1639" s="24" t="str">
        <x:v>SIM</x:v>
      </x:c>
      <x:c r="C1639" s="24" t="str">
        <x:v>DISPONÍVEL</x:v>
      </x:c>
      <x:c r="D1639" s="24" t="str">
        <x:v>ZEISS</x:v>
      </x:c>
      <x:c r="E1639" s="24" t="str">
        <x:v>Visão Simples</x:v>
      </x:c>
      <x:c r="F1639" s="24" t="str">
        <x:v>Surfaçada</x:v>
      </x:c>
      <x:c r="G1639" s="24" t="str">
        <x:v>Light 2</x:v>
      </x:c>
      <x:c r="H1639" s="24" t="str">
        <x:v>PhotoFusion X Extra Dark Cinza</x:v>
      </x:c>
      <x:c r="I1639" s="24" t="str">
        <x:v>1.5</x:v>
      </x:c>
      <x:c r="J1639" s="24" t="str">
        <x:v>1.50</x:v>
      </x:c>
      <x:c r="K1639" s="24" t="str">
        <x:v>DURAVISION® ANTIVÍRUS PLATINUM UV</x:v>
      </x:c>
      <x:c r="L1639" s="40" t="n">
        <x:v>2780</x:v>
      </x:c>
      <x:c r="M1639" s="24" t="str">
        <x:v>-6.00 a +6.00</x:v>
      </x:c>
      <x:c r="N1639" s="24" t="str">
        <x:v>-4.00</x:v>
      </x:c>
      <x:c r="O1639" s="24" t="str">
        <x:v>-</x:v>
      </x:c>
      <x:c r="P1639" s="24" t="str">
        <x:v>75</x:v>
      </x:c>
      <x:c r="Q1639" s="24"/>
      <x:c r="R1639" s="24"/>
      <x:c r="S1639" s="26" t="n">
        <x:v>46113</x:v>
      </x:c>
      <x:c r="T1639" s="26"/>
      <x:c r="U1639" s="24" t="str">
        <x:v>ATIVA/SEM FIM INFORMADO</x:v>
      </x:c>
      <x:c r="V1639" s="24" t="str">
        <x:v>Programa de Parcerias ZEISS</x:v>
      </x:c>
      <x:c r="W1639" s="24" t="n">
        <x:v>17</x:v>
      </x:c>
      <x:c r="X1639" s="24" t="str">
        <x:v>tabela_zeiss.pdf</x:v>
      </x:c>
      <x:c r="Y1639" s="24" t="str">
        <x:v>alta</x:v>
      </x:c>
      <x:c r="Z1639" s="24"/>
      <x:c r="AA1639" s="24" t="str">
        <x:v>ZEISS|Visão Simples|Surfaçada|Light 2|PhotoFusion X Extra Dark Cinza|1.5|1.50|DURAVISION® ANTIVÍRUS PLATINUM UV|-6.00 a +6.00|-4.00|-|75|||17</x:v>
      </x:c>
    </x:row>
    <x:row r="1640">
      <x:c r="A1640" s="24" t="str">
        <x:v>ZS-A0B90D653019</x:v>
      </x:c>
      <x:c r="B1640" s="24" t="str">
        <x:v>SIM</x:v>
      </x:c>
      <x:c r="C1640" s="24" t="str">
        <x:v>DISPONÍVEL</x:v>
      </x:c>
      <x:c r="D1640" s="24" t="str">
        <x:v>ZEISS</x:v>
      </x:c>
      <x:c r="E1640" s="24" t="str">
        <x:v>Visão Simples</x:v>
      </x:c>
      <x:c r="F1640" s="24" t="str">
        <x:v>Surfaçada</x:v>
      </x:c>
      <x:c r="G1640" s="24" t="str">
        <x:v>Light 2</x:v>
      </x:c>
      <x:c r="H1640" s="24" t="str">
        <x:v>PhotoFusion X Extra Dark Cinza</x:v>
      </x:c>
      <x:c r="I1640" s="24" t="str">
        <x:v>1.5</x:v>
      </x:c>
      <x:c r="J1640" s="24" t="str">
        <x:v>1.50</x:v>
      </x:c>
      <x:c r="K1640" s="24" t="str">
        <x:v>DuraVision Platinum UV</x:v>
      </x:c>
      <x:c r="L1640" s="40" t="n">
        <x:v>2780</x:v>
      </x:c>
      <x:c r="M1640" s="24" t="str">
        <x:v>-6.00 a +6.00</x:v>
      </x:c>
      <x:c r="N1640" s="24" t="str">
        <x:v>-4.00</x:v>
      </x:c>
      <x:c r="O1640" s="24" t="str">
        <x:v>-</x:v>
      </x:c>
      <x:c r="P1640" s="24" t="str">
        <x:v>75</x:v>
      </x:c>
      <x:c r="Q1640" s="24"/>
      <x:c r="R1640" s="24"/>
      <x:c r="S1640" s="26" t="n">
        <x:v>46113</x:v>
      </x:c>
      <x:c r="T1640" s="26"/>
      <x:c r="U1640" s="24" t="str">
        <x:v>ATIVA/SEM FIM INFORMADO</x:v>
      </x:c>
      <x:c r="V1640" s="24" t="str">
        <x:v>Programa de Parcerias ZEISS</x:v>
      </x:c>
      <x:c r="W1640" s="24" t="n">
        <x:v>17</x:v>
      </x:c>
      <x:c r="X1640" s="24" t="str">
        <x:v>tabela_zeiss.pdf</x:v>
      </x:c>
      <x:c r="Y1640" s="24" t="str">
        <x:v>alta</x:v>
      </x:c>
      <x:c r="Z1640" s="24"/>
      <x:c r="AA1640" s="24" t="str">
        <x:v>ZEISS|Visão Simples|Surfaçada|Light 2|PhotoFusion X Extra Dark Cinza|1.5|1.50|DuraVision Platinum UV|-6.00 a +6.00|-4.00|-|75|||17</x:v>
      </x:c>
    </x:row>
    <x:row r="1641">
      <x:c r="A1641" s="24" t="str">
        <x:v>ZS-7D257F41049D</x:v>
      </x:c>
      <x:c r="B1641" s="24" t="str">
        <x:v>SIM</x:v>
      </x:c>
      <x:c r="C1641" s="24" t="str">
        <x:v>DISPONÍVEL</x:v>
      </x:c>
      <x:c r="D1641" s="24" t="str">
        <x:v>ZEISS</x:v>
      </x:c>
      <x:c r="E1641" s="24" t="str">
        <x:v>Visão Simples</x:v>
      </x:c>
      <x:c r="F1641" s="24" t="str">
        <x:v>Surfaçada</x:v>
      </x:c>
      <x:c r="G1641" s="24" t="str">
        <x:v>Light 2</x:v>
      </x:c>
      <x:c r="H1641" s="24" t="str">
        <x:v>PhotoFusion X Extra Dark Cinza</x:v>
      </x:c>
      <x:c r="I1641" s="24" t="str">
        <x:v>1.5</x:v>
      </x:c>
      <x:c r="J1641" s="24" t="str">
        <x:v>1.50</x:v>
      </x:c>
      <x:c r="K1641" s="24" t="str">
        <x:v>DuraVision Silver UV</x:v>
      </x:c>
      <x:c r="L1641" s="40" t="n">
        <x:v>2520</x:v>
      </x:c>
      <x:c r="M1641" s="24" t="str">
        <x:v>-6.00 a +6.00</x:v>
      </x:c>
      <x:c r="N1641" s="24" t="str">
        <x:v>-4.00</x:v>
      </x:c>
      <x:c r="O1641" s="24" t="str">
        <x:v>-</x:v>
      </x:c>
      <x:c r="P1641" s="24" t="str">
        <x:v>75</x:v>
      </x:c>
      <x:c r="Q1641" s="24"/>
      <x:c r="R1641" s="24"/>
      <x:c r="S1641" s="26" t="n">
        <x:v>46113</x:v>
      </x:c>
      <x:c r="T1641" s="26"/>
      <x:c r="U1641" s="24" t="str">
        <x:v>ATIVA/SEM FIM INFORMADO</x:v>
      </x:c>
      <x:c r="V1641" s="24" t="str">
        <x:v>Programa de Parcerias ZEISS</x:v>
      </x:c>
      <x:c r="W1641" s="24" t="n">
        <x:v>17</x:v>
      </x:c>
      <x:c r="X1641" s="24" t="str">
        <x:v>tabela_zeiss.pdf</x:v>
      </x:c>
      <x:c r="Y1641" s="24" t="str">
        <x:v>alta</x:v>
      </x:c>
      <x:c r="Z1641" s="24"/>
      <x:c r="AA1641" s="24" t="str">
        <x:v>ZEISS|Visão Simples|Surfaçada|Light 2|PhotoFusion X Extra Dark Cinza|1.5|1.50|DuraVision Silver UV|-6.00 a +6.00|-4.00|-|75|||17</x:v>
      </x:c>
    </x:row>
    <x:row r="1642">
      <x:c r="A1642" s="24" t="str">
        <x:v>ZS-49E2DAF4887C</x:v>
      </x:c>
      <x:c r="B1642" s="24" t="str">
        <x:v>SIM</x:v>
      </x:c>
      <x:c r="C1642" s="24" t="str">
        <x:v>DISPONÍVEL</x:v>
      </x:c>
      <x:c r="D1642" s="24" t="str">
        <x:v>ZEISS</x:v>
      </x:c>
      <x:c r="E1642" s="24" t="str">
        <x:v>Visão Simples</x:v>
      </x:c>
      <x:c r="F1642" s="24" t="str">
        <x:v>Surfaçada</x:v>
      </x:c>
      <x:c r="G1642" s="24" t="str">
        <x:v>Light 2</x:v>
      </x:c>
      <x:c r="H1642" s="24" t="str">
        <x:v>PhotoFusion X Extra Dark Cinza</x:v>
      </x:c>
      <x:c r="I1642" s="24" t="str">
        <x:v>1.5</x:v>
      </x:c>
      <x:c r="J1642" s="24" t="str">
        <x:v>1.50</x:v>
      </x:c>
      <x:c r="K1642" s="24" t="str">
        <x:v>DuraVision Chrome UV</x:v>
      </x:c>
      <x:c r="L1642" s="40" t="n">
        <x:v>2030</x:v>
      </x:c>
      <x:c r="M1642" s="24" t="str">
        <x:v>-6.00 a +6.00</x:v>
      </x:c>
      <x:c r="N1642" s="24" t="str">
        <x:v>-4.00</x:v>
      </x:c>
      <x:c r="O1642" s="24" t="str">
        <x:v>-</x:v>
      </x:c>
      <x:c r="P1642" s="24" t="str">
        <x:v>75</x:v>
      </x:c>
      <x:c r="Q1642" s="24"/>
      <x:c r="R1642" s="24"/>
      <x:c r="S1642" s="26" t="n">
        <x:v>46113</x:v>
      </x:c>
      <x:c r="T1642" s="26"/>
      <x:c r="U1642" s="24" t="str">
        <x:v>ATIVA/SEM FIM INFORMADO</x:v>
      </x:c>
      <x:c r="V1642" s="24" t="str">
        <x:v>Programa de Parcerias ZEISS</x:v>
      </x:c>
      <x:c r="W1642" s="24" t="n">
        <x:v>17</x:v>
      </x:c>
      <x:c r="X1642" s="24" t="str">
        <x:v>tabela_zeiss.pdf</x:v>
      </x:c>
      <x:c r="Y1642" s="24" t="str">
        <x:v>alta</x:v>
      </x:c>
      <x:c r="Z1642" s="24"/>
      <x:c r="AA1642" s="24" t="str">
        <x:v>ZEISS|Visão Simples|Surfaçada|Light 2|PhotoFusion X Extra Dark Cinza|1.5|1.50|DuraVision Chrome UV|-6.00 a +6.00|-4.00|-|75|||17</x:v>
      </x:c>
    </x:row>
    <x:row r="1643">
      <x:c r="A1643" s="24" t="str">
        <x:v>ZS-C9AF347FEDD2</x:v>
      </x:c>
      <x:c r="B1643" s="24" t="str">
        <x:v>SIM</x:v>
      </x:c>
      <x:c r="C1643" s="24" t="str">
        <x:v>DISPONÍVEL</x:v>
      </x:c>
      <x:c r="D1643" s="24" t="str">
        <x:v>ZEISS</x:v>
      </x:c>
      <x:c r="E1643" s="24" t="str">
        <x:v>Visão Simples</x:v>
      </x:c>
      <x:c r="F1643" s="24" t="str">
        <x:v>Surfaçada</x:v>
      </x:c>
      <x:c r="G1643" s="24" t="str">
        <x:v>Light 2</x:v>
      </x:c>
      <x:c r="H1643" s="24" t="str">
        <x:v>PhotoFusion X Extra Dark Cinza</x:v>
      </x:c>
      <x:c r="I1643" s="24" t="str">
        <x:v>Poli</x:v>
      </x:c>
      <x:c r="J1643" s="24"/>
      <x:c r="K1643" s="24" t="str">
        <x:v>DuraVision Gold UV</x:v>
      </x:c>
      <x:c r="L1643" s="40" t="n">
        <x:v>3280</x:v>
      </x:c>
      <x:c r="M1643" s="24" t="str">
        <x:v>-10.00 a +8.00</x:v>
      </x:c>
      <x:c r="N1643" s="24" t="str">
        <x:v>-4.00</x:v>
      </x:c>
      <x:c r="O1643" s="24" t="str">
        <x:v>-</x:v>
      </x:c>
      <x:c r="P1643" s="24" t="str">
        <x:v>70</x:v>
      </x:c>
      <x:c r="Q1643" s="24"/>
      <x:c r="R1643" s="24"/>
      <x:c r="S1643" s="26" t="n">
        <x:v>46113</x:v>
      </x:c>
      <x:c r="T1643" s="26"/>
      <x:c r="U1643" s="24" t="str">
        <x:v>ATIVA/SEM FIM INFORMADO</x:v>
      </x:c>
      <x:c r="V1643" s="24" t="str">
        <x:v>Programa de Parcerias ZEISS</x:v>
      </x:c>
      <x:c r="W1643" s="24" t="n">
        <x:v>17</x:v>
      </x:c>
      <x:c r="X1643" s="24" t="str">
        <x:v>tabela_zeiss.pdf</x:v>
      </x:c>
      <x:c r="Y1643" s="24" t="str">
        <x:v>alta</x:v>
      </x:c>
      <x:c r="Z1643" s="24"/>
      <x:c r="AA1643" s="24" t="str">
        <x:v>ZEISS|Visão Simples|Surfaçada|Light 2|PhotoFusion X Extra Dark Cinza|Poli||DuraVision Gold UV|-10.00 a +8.00|-4.00|-|70|||17</x:v>
      </x:c>
    </x:row>
    <x:row r="1644">
      <x:c r="A1644" s="24" t="str">
        <x:v>ZS-3A3ACD63F3D1</x:v>
      </x:c>
      <x:c r="B1644" s="24" t="str">
        <x:v>SIM</x:v>
      </x:c>
      <x:c r="C1644" s="24" t="str">
        <x:v>DISPONÍVEL</x:v>
      </x:c>
      <x:c r="D1644" s="24" t="str">
        <x:v>ZEISS</x:v>
      </x:c>
      <x:c r="E1644" s="24" t="str">
        <x:v>Visão Simples</x:v>
      </x:c>
      <x:c r="F1644" s="24" t="str">
        <x:v>Surfaçada</x:v>
      </x:c>
      <x:c r="G1644" s="24" t="str">
        <x:v>Light 2</x:v>
      </x:c>
      <x:c r="H1644" s="24" t="str">
        <x:v>PhotoFusion X Extra Dark Cinza</x:v>
      </x:c>
      <x:c r="I1644" s="24" t="str">
        <x:v>Poli</x:v>
      </x:c>
      <x:c r="J1644" s="24"/>
      <x:c r="K1644" s="24" t="str">
        <x:v>DuraVision Platinum UV</x:v>
      </x:c>
      <x:c r="L1644" s="40" t="n">
        <x:v>3140</x:v>
      </x:c>
      <x:c r="M1644" s="24" t="str">
        <x:v>-10.00 a +8.00</x:v>
      </x:c>
      <x:c r="N1644" s="24" t="str">
        <x:v>-4.00</x:v>
      </x:c>
      <x:c r="O1644" s="24" t="str">
        <x:v>-</x:v>
      </x:c>
      <x:c r="P1644" s="24" t="str">
        <x:v>70</x:v>
      </x:c>
      <x:c r="Q1644" s="24"/>
      <x:c r="R1644" s="24"/>
      <x:c r="S1644" s="26" t="n">
        <x:v>46113</x:v>
      </x:c>
      <x:c r="T1644" s="26"/>
      <x:c r="U1644" s="24" t="str">
        <x:v>ATIVA/SEM FIM INFORMADO</x:v>
      </x:c>
      <x:c r="V1644" s="24" t="str">
        <x:v>Programa de Parcerias ZEISS</x:v>
      </x:c>
      <x:c r="W1644" s="24" t="n">
        <x:v>17</x:v>
      </x:c>
      <x:c r="X1644" s="24" t="str">
        <x:v>tabela_zeiss.pdf</x:v>
      </x:c>
      <x:c r="Y1644" s="24" t="str">
        <x:v>alta</x:v>
      </x:c>
      <x:c r="Z1644" s="24"/>
      <x:c r="AA1644" s="24" t="str">
        <x:v>ZEISS|Visão Simples|Surfaçada|Light 2|PhotoFusion X Extra Dark Cinza|Poli||DuraVision Platinum UV|-10.00 a +8.00|-4.00|-|70|||17</x:v>
      </x:c>
    </x:row>
    <x:row r="1645">
      <x:c r="A1645" s="24" t="str">
        <x:v>ZS-62CF8E9A860A</x:v>
      </x:c>
      <x:c r="B1645" s="24" t="str">
        <x:v>SIM</x:v>
      </x:c>
      <x:c r="C1645" s="24" t="str">
        <x:v>DISPONÍVEL</x:v>
      </x:c>
      <x:c r="D1645" s="24" t="str">
        <x:v>ZEISS</x:v>
      </x:c>
      <x:c r="E1645" s="24" t="str">
        <x:v>Visão Simples</x:v>
      </x:c>
      <x:c r="F1645" s="24" t="str">
        <x:v>Surfaçada</x:v>
      </x:c>
      <x:c r="G1645" s="24" t="str">
        <x:v>Light 2</x:v>
      </x:c>
      <x:c r="H1645" s="24" t="str">
        <x:v>PhotoFusion X Extra Dark Cinza</x:v>
      </x:c>
      <x:c r="I1645" s="24" t="str">
        <x:v>Poli</x:v>
      </x:c>
      <x:c r="J1645" s="24"/>
      <x:c r="K1645" s="24" t="str">
        <x:v>DuraVision Silver UV</x:v>
      </x:c>
      <x:c r="L1645" s="40" t="n">
        <x:v>2880</x:v>
      </x:c>
      <x:c r="M1645" s="24" t="str">
        <x:v>-10.00 a +8.00</x:v>
      </x:c>
      <x:c r="N1645" s="24" t="str">
        <x:v>-4.00</x:v>
      </x:c>
      <x:c r="O1645" s="24" t="str">
        <x:v>-</x:v>
      </x:c>
      <x:c r="P1645" s="24" t="str">
        <x:v>70</x:v>
      </x:c>
      <x:c r="Q1645" s="24"/>
      <x:c r="R1645" s="24"/>
      <x:c r="S1645" s="26" t="n">
        <x:v>46113</x:v>
      </x:c>
      <x:c r="T1645" s="26"/>
      <x:c r="U1645" s="24" t="str">
        <x:v>ATIVA/SEM FIM INFORMADO</x:v>
      </x:c>
      <x:c r="V1645" s="24" t="str">
        <x:v>Programa de Parcerias ZEISS</x:v>
      </x:c>
      <x:c r="W1645" s="24" t="n">
        <x:v>17</x:v>
      </x:c>
      <x:c r="X1645" s="24" t="str">
        <x:v>tabela_zeiss.pdf</x:v>
      </x:c>
      <x:c r="Y1645" s="24" t="str">
        <x:v>alta</x:v>
      </x:c>
      <x:c r="Z1645" s="24"/>
      <x:c r="AA1645" s="24" t="str">
        <x:v>ZEISS|Visão Simples|Surfaçada|Light 2|PhotoFusion X Extra Dark Cinza|Poli||DuraVision Silver UV|-10.00 a +8.00|-4.00|-|70|||17</x:v>
      </x:c>
    </x:row>
    <x:row r="1646">
      <x:c r="A1646" s="24" t="str">
        <x:v>ZS-D8E94EB60999</x:v>
      </x:c>
      <x:c r="B1646" s="24" t="str">
        <x:v>SIM</x:v>
      </x:c>
      <x:c r="C1646" s="24" t="str">
        <x:v>DISPONÍVEL</x:v>
      </x:c>
      <x:c r="D1646" s="24" t="str">
        <x:v>ZEISS</x:v>
      </x:c>
      <x:c r="E1646" s="24" t="str">
        <x:v>Visão Simples</x:v>
      </x:c>
      <x:c r="F1646" s="24" t="str">
        <x:v>Surfaçada</x:v>
      </x:c>
      <x:c r="G1646" s="24" t="str">
        <x:v>Light 2</x:v>
      </x:c>
      <x:c r="H1646" s="24" t="str">
        <x:v>PhotoFusion X Extra Dark Cinza</x:v>
      </x:c>
      <x:c r="I1646" s="24" t="str">
        <x:v>Poli</x:v>
      </x:c>
      <x:c r="J1646" s="24"/>
      <x:c r="K1646" s="24" t="str">
        <x:v>DuraVision Chrome UV</x:v>
      </x:c>
      <x:c r="L1646" s="40" t="n">
        <x:v>2390</x:v>
      </x:c>
      <x:c r="M1646" s="24" t="str">
        <x:v>-10.00 a +8.00</x:v>
      </x:c>
      <x:c r="N1646" s="24" t="str">
        <x:v>-4.00</x:v>
      </x:c>
      <x:c r="O1646" s="24" t="str">
        <x:v>-</x:v>
      </x:c>
      <x:c r="P1646" s="24" t="str">
        <x:v>70</x:v>
      </x:c>
      <x:c r="Q1646" s="24"/>
      <x:c r="R1646" s="24"/>
      <x:c r="S1646" s="26" t="n">
        <x:v>46113</x:v>
      </x:c>
      <x:c r="T1646" s="26"/>
      <x:c r="U1646" s="24" t="str">
        <x:v>ATIVA/SEM FIM INFORMADO</x:v>
      </x:c>
      <x:c r="V1646" s="24" t="str">
        <x:v>Programa de Parcerias ZEISS</x:v>
      </x:c>
      <x:c r="W1646" s="24" t="n">
        <x:v>17</x:v>
      </x:c>
      <x:c r="X1646" s="24" t="str">
        <x:v>tabela_zeiss.pdf</x:v>
      </x:c>
      <x:c r="Y1646" s="24" t="str">
        <x:v>alta</x:v>
      </x:c>
      <x:c r="Z1646" s="24"/>
      <x:c r="AA1646" s="24" t="str">
        <x:v>ZEISS|Visão Simples|Surfaçada|Light 2|PhotoFusion X Extra Dark Cinza|Poli||DuraVision Chrome UV|-10.00 a +8.00|-4.00|-|70|||17</x:v>
      </x:c>
    </x:row>
    <x:row r="1647">
      <x:c r="A1647" s="24" t="str">
        <x:v>ZS-ADA1815CBD05</x:v>
      </x:c>
      <x:c r="B1647" s="24" t="str">
        <x:v>SIM</x:v>
      </x:c>
      <x:c r="C1647" s="24" t="str">
        <x:v>DISPONÍVEL</x:v>
      </x:c>
      <x:c r="D1647" s="24" t="str">
        <x:v>ZEISS</x:v>
      </x:c>
      <x:c r="E1647" s="24" t="str">
        <x:v>Visão Simples</x:v>
      </x:c>
      <x:c r="F1647" s="24" t="str">
        <x:v>Surfaçada</x:v>
      </x:c>
      <x:c r="G1647" s="24" t="str">
        <x:v>Light 2</x:v>
      </x:c>
      <x:c r="H1647" s="24" t="str">
        <x:v>PhotoFusion X Extra Dark Cinza</x:v>
      </x:c>
      <x:c r="I1647" s="24" t="str">
        <x:v>1.6</x:v>
      </x:c>
      <x:c r="J1647" s="24" t="str">
        <x:v>1.60</x:v>
      </x:c>
      <x:c r="K1647" s="24" t="str">
        <x:v>DuraVision Gold UV</x:v>
      </x:c>
      <x:c r="L1647" s="40" t="n">
        <x:v>3500</x:v>
      </x:c>
      <x:c r="M1647" s="24" t="str">
        <x:v>-6.00 a +8.00</x:v>
      </x:c>
      <x:c r="N1647" s="24" t="str">
        <x:v>-4.00</x:v>
      </x:c>
      <x:c r="O1647" s="24" t="str">
        <x:v>-</x:v>
      </x:c>
      <x:c r="P1647" s="24" t="str">
        <x:v>75</x:v>
      </x:c>
      <x:c r="Q1647" s="24"/>
      <x:c r="R1647" s="24"/>
      <x:c r="S1647" s="26" t="n">
        <x:v>46113</x:v>
      </x:c>
      <x:c r="T1647" s="26"/>
      <x:c r="U1647" s="24" t="str">
        <x:v>ATIVA/SEM FIM INFORMADO</x:v>
      </x:c>
      <x:c r="V1647" s="24" t="str">
        <x:v>Programa de Parcerias ZEISS</x:v>
      </x:c>
      <x:c r="W1647" s="24" t="n">
        <x:v>17</x:v>
      </x:c>
      <x:c r="X1647" s="24" t="str">
        <x:v>tabela_zeiss.pdf</x:v>
      </x:c>
      <x:c r="Y1647" s="24" t="str">
        <x:v>alta</x:v>
      </x:c>
      <x:c r="Z1647" s="24"/>
      <x:c r="AA1647" s="24" t="str">
        <x:v>ZEISS|Visão Simples|Surfaçada|Light 2|PhotoFusion X Extra Dark Cinza|1.6|1.60|DuraVision Gold UV|-6.00 a +8.00|-4.00|-|75|||17</x:v>
      </x:c>
    </x:row>
    <x:row r="1648">
      <x:c r="A1648" s="24" t="str">
        <x:v>ZS-39EF1728BE80</x:v>
      </x:c>
      <x:c r="B1648" s="24" t="str">
        <x:v>SIM</x:v>
      </x:c>
      <x:c r="C1648" s="24" t="str">
        <x:v>DISPONÍVEL</x:v>
      </x:c>
      <x:c r="D1648" s="24" t="str">
        <x:v>ZEISS</x:v>
      </x:c>
      <x:c r="E1648" s="24" t="str">
        <x:v>Visão Simples</x:v>
      </x:c>
      <x:c r="F1648" s="24" t="str">
        <x:v>Surfaçada</x:v>
      </x:c>
      <x:c r="G1648" s="24" t="str">
        <x:v>Light 2</x:v>
      </x:c>
      <x:c r="H1648" s="24" t="str">
        <x:v>PhotoFusion X Extra Dark Cinza</x:v>
      </x:c>
      <x:c r="I1648" s="24" t="str">
        <x:v>1.6</x:v>
      </x:c>
      <x:c r="J1648" s="24" t="str">
        <x:v>1.60</x:v>
      </x:c>
      <x:c r="K1648" s="24" t="str">
        <x:v>DURAVISION® ANTIVÍRUS PLATINUM UV</x:v>
      </x:c>
      <x:c r="L1648" s="40" t="n">
        <x:v>3360</x:v>
      </x:c>
      <x:c r="M1648" s="24" t="str">
        <x:v>-6.00 a +8.00</x:v>
      </x:c>
      <x:c r="N1648" s="24" t="str">
        <x:v>-4.00</x:v>
      </x:c>
      <x:c r="O1648" s="24" t="str">
        <x:v>-</x:v>
      </x:c>
      <x:c r="P1648" s="24" t="str">
        <x:v>75</x:v>
      </x:c>
      <x:c r="Q1648" s="24"/>
      <x:c r="R1648" s="24"/>
      <x:c r="S1648" s="26" t="n">
        <x:v>46113</x:v>
      </x:c>
      <x:c r="T1648" s="26"/>
      <x:c r="U1648" s="24" t="str">
        <x:v>ATIVA/SEM FIM INFORMADO</x:v>
      </x:c>
      <x:c r="V1648" s="24" t="str">
        <x:v>Programa de Parcerias ZEISS</x:v>
      </x:c>
      <x:c r="W1648" s="24" t="n">
        <x:v>17</x:v>
      </x:c>
      <x:c r="X1648" s="24" t="str">
        <x:v>tabela_zeiss.pdf</x:v>
      </x:c>
      <x:c r="Y1648" s="24" t="str">
        <x:v>alta</x:v>
      </x:c>
      <x:c r="Z1648" s="24"/>
      <x:c r="AA1648" s="24" t="str">
        <x:v>ZEISS|Visão Simples|Surfaçada|Light 2|PhotoFusion X Extra Dark Cinza|1.6|1.60|DURAVISION® ANTIVÍRUS PLATINUM UV|-6.00 a +8.00|-4.00|-|75|||17</x:v>
      </x:c>
    </x:row>
    <x:row r="1649">
      <x:c r="A1649" s="24" t="str">
        <x:v>ZS-E1195F501677</x:v>
      </x:c>
      <x:c r="B1649" s="24" t="str">
        <x:v>SIM</x:v>
      </x:c>
      <x:c r="C1649" s="24" t="str">
        <x:v>DISPONÍVEL</x:v>
      </x:c>
      <x:c r="D1649" s="24" t="str">
        <x:v>ZEISS</x:v>
      </x:c>
      <x:c r="E1649" s="24" t="str">
        <x:v>Visão Simples</x:v>
      </x:c>
      <x:c r="F1649" s="24" t="str">
        <x:v>Surfaçada</x:v>
      </x:c>
      <x:c r="G1649" s="24" t="str">
        <x:v>Light 2</x:v>
      </x:c>
      <x:c r="H1649" s="24" t="str">
        <x:v>PhotoFusion X Extra Dark Cinza</x:v>
      </x:c>
      <x:c r="I1649" s="24" t="str">
        <x:v>1.6</x:v>
      </x:c>
      <x:c r="J1649" s="24" t="str">
        <x:v>1.60</x:v>
      </x:c>
      <x:c r="K1649" s="24" t="str">
        <x:v>DuraVision Platinum UV</x:v>
      </x:c>
      <x:c r="L1649" s="40" t="n">
        <x:v>3360</x:v>
      </x:c>
      <x:c r="M1649" s="24" t="str">
        <x:v>-6.00 a +8.00</x:v>
      </x:c>
      <x:c r="N1649" s="24" t="str">
        <x:v>-4.00</x:v>
      </x:c>
      <x:c r="O1649" s="24" t="str">
        <x:v>-</x:v>
      </x:c>
      <x:c r="P1649" s="24" t="str">
        <x:v>75</x:v>
      </x:c>
      <x:c r="Q1649" s="24"/>
      <x:c r="R1649" s="24"/>
      <x:c r="S1649" s="26" t="n">
        <x:v>46113</x:v>
      </x:c>
      <x:c r="T1649" s="26"/>
      <x:c r="U1649" s="24" t="str">
        <x:v>ATIVA/SEM FIM INFORMADO</x:v>
      </x:c>
      <x:c r="V1649" s="24" t="str">
        <x:v>Programa de Parcerias ZEISS</x:v>
      </x:c>
      <x:c r="W1649" s="24" t="n">
        <x:v>17</x:v>
      </x:c>
      <x:c r="X1649" s="24" t="str">
        <x:v>tabela_zeiss.pdf</x:v>
      </x:c>
      <x:c r="Y1649" s="24" t="str">
        <x:v>alta</x:v>
      </x:c>
      <x:c r="Z1649" s="24"/>
      <x:c r="AA1649" s="24" t="str">
        <x:v>ZEISS|Visão Simples|Surfaçada|Light 2|PhotoFusion X Extra Dark Cinza|1.6|1.60|DuraVision Platinum UV|-6.00 a +8.00|-4.00|-|75|||17</x:v>
      </x:c>
    </x:row>
    <x:row r="1650">
      <x:c r="A1650" s="24" t="str">
        <x:v>ZS-2F201FA2C729</x:v>
      </x:c>
      <x:c r="B1650" s="24" t="str">
        <x:v>SIM</x:v>
      </x:c>
      <x:c r="C1650" s="24" t="str">
        <x:v>DISPONÍVEL</x:v>
      </x:c>
      <x:c r="D1650" s="24" t="str">
        <x:v>ZEISS</x:v>
      </x:c>
      <x:c r="E1650" s="24" t="str">
        <x:v>Visão Simples</x:v>
      </x:c>
      <x:c r="F1650" s="24" t="str">
        <x:v>Surfaçada</x:v>
      </x:c>
      <x:c r="G1650" s="24" t="str">
        <x:v>Light 2</x:v>
      </x:c>
      <x:c r="H1650" s="24" t="str">
        <x:v>PhotoFusion X Extra Dark Cinza</x:v>
      </x:c>
      <x:c r="I1650" s="24" t="str">
        <x:v>1.6</x:v>
      </x:c>
      <x:c r="J1650" s="24" t="str">
        <x:v>1.60</x:v>
      </x:c>
      <x:c r="K1650" s="24" t="str">
        <x:v>DuraVision Silver UV</x:v>
      </x:c>
      <x:c r="L1650" s="40" t="n">
        <x:v>3100</x:v>
      </x:c>
      <x:c r="M1650" s="24" t="str">
        <x:v>-6.00 a +8.00</x:v>
      </x:c>
      <x:c r="N1650" s="24" t="str">
        <x:v>-4.00</x:v>
      </x:c>
      <x:c r="O1650" s="24" t="str">
        <x:v>-</x:v>
      </x:c>
      <x:c r="P1650" s="24" t="str">
        <x:v>75</x:v>
      </x:c>
      <x:c r="Q1650" s="24"/>
      <x:c r="R1650" s="24"/>
      <x:c r="S1650" s="26" t="n">
        <x:v>46113</x:v>
      </x:c>
      <x:c r="T1650" s="26"/>
      <x:c r="U1650" s="24" t="str">
        <x:v>ATIVA/SEM FIM INFORMADO</x:v>
      </x:c>
      <x:c r="V1650" s="24" t="str">
        <x:v>Programa de Parcerias ZEISS</x:v>
      </x:c>
      <x:c r="W1650" s="24" t="n">
        <x:v>17</x:v>
      </x:c>
      <x:c r="X1650" s="24" t="str">
        <x:v>tabela_zeiss.pdf</x:v>
      </x:c>
      <x:c r="Y1650" s="24" t="str">
        <x:v>alta</x:v>
      </x:c>
      <x:c r="Z1650" s="24"/>
      <x:c r="AA1650" s="24" t="str">
        <x:v>ZEISS|Visão Simples|Surfaçada|Light 2|PhotoFusion X Extra Dark Cinza|1.6|1.60|DuraVision Silver UV|-6.00 a +8.00|-4.00|-|75|||17</x:v>
      </x:c>
    </x:row>
    <x:row r="1651">
      <x:c r="A1651" s="24" t="str">
        <x:v>ZS-B920D95E2D2F</x:v>
      </x:c>
      <x:c r="B1651" s="24" t="str">
        <x:v>SIM</x:v>
      </x:c>
      <x:c r="C1651" s="24" t="str">
        <x:v>DISPONÍVEL</x:v>
      </x:c>
      <x:c r="D1651" s="24" t="str">
        <x:v>ZEISS</x:v>
      </x:c>
      <x:c r="E1651" s="24" t="str">
        <x:v>Visão Simples</x:v>
      </x:c>
      <x:c r="F1651" s="24" t="str">
        <x:v>Surfaçada</x:v>
      </x:c>
      <x:c r="G1651" s="24" t="str">
        <x:v>Light 2</x:v>
      </x:c>
      <x:c r="H1651" s="24" t="str">
        <x:v>PhotoFusion X Extra Dark Cinza</x:v>
      </x:c>
      <x:c r="I1651" s="24" t="str">
        <x:v>1.6</x:v>
      </x:c>
      <x:c r="J1651" s="24" t="str">
        <x:v>1.60</x:v>
      </x:c>
      <x:c r="K1651" s="24" t="str">
        <x:v>DuraVision Chrome UV</x:v>
      </x:c>
      <x:c r="L1651" s="40" t="n">
        <x:v>2610</x:v>
      </x:c>
      <x:c r="M1651" s="24" t="str">
        <x:v>-6.00 a +8.00</x:v>
      </x:c>
      <x:c r="N1651" s="24" t="str">
        <x:v>-4.00</x:v>
      </x:c>
      <x:c r="O1651" s="24" t="str">
        <x:v>-</x:v>
      </x:c>
      <x:c r="P1651" s="24" t="str">
        <x:v>75</x:v>
      </x:c>
      <x:c r="Q1651" s="24"/>
      <x:c r="R1651" s="24"/>
      <x:c r="S1651" s="26" t="n">
        <x:v>46113</x:v>
      </x:c>
      <x:c r="T1651" s="26"/>
      <x:c r="U1651" s="24" t="str">
        <x:v>ATIVA/SEM FIM INFORMADO</x:v>
      </x:c>
      <x:c r="V1651" s="24" t="str">
        <x:v>Programa de Parcerias ZEISS</x:v>
      </x:c>
      <x:c r="W1651" s="24" t="n">
        <x:v>17</x:v>
      </x:c>
      <x:c r="X1651" s="24" t="str">
        <x:v>tabela_zeiss.pdf</x:v>
      </x:c>
      <x:c r="Y1651" s="24" t="str">
        <x:v>alta</x:v>
      </x:c>
      <x:c r="Z1651" s="24"/>
      <x:c r="AA1651" s="24" t="str">
        <x:v>ZEISS|Visão Simples|Surfaçada|Light 2|PhotoFusion X Extra Dark Cinza|1.6|1.60|DuraVision Chrome UV|-6.00 a +8.00|-4.00|-|75|||17</x:v>
      </x:c>
    </x:row>
    <x:row r="1652">
      <x:c r="A1652" s="24" t="str">
        <x:v>ZS-A179BB86BE53</x:v>
      </x:c>
      <x:c r="B1652" s="24" t="str">
        <x:v>SIM</x:v>
      </x:c>
      <x:c r="C1652" s="24" t="str">
        <x:v>DISPONÍVEL</x:v>
      </x:c>
      <x:c r="D1652" s="24" t="str">
        <x:v>ZEISS</x:v>
      </x:c>
      <x:c r="E1652" s="24" t="str">
        <x:v>Visão Simples</x:v>
      </x:c>
      <x:c r="F1652" s="24" t="str">
        <x:v>Surfaçada</x:v>
      </x:c>
      <x:c r="G1652" s="24" t="str">
        <x:v>Light 2</x:v>
      </x:c>
      <x:c r="H1652" s="24" t="str">
        <x:v>PhotoFusion X Extra Dark Cinza</x:v>
      </x:c>
      <x:c r="I1652" s="24" t="str">
        <x:v>1.67</x:v>
      </x:c>
      <x:c r="J1652" s="24" t="str">
        <x:v>1.67</x:v>
      </x:c>
      <x:c r="K1652" s="24" t="str">
        <x:v>DuraVision Gold UV</x:v>
      </x:c>
      <x:c r="L1652" s="40" t="n">
        <x:v>4800</x:v>
      </x:c>
      <x:c r="M1652" s="24" t="str">
        <x:v>-8.00 a +8.00</x:v>
      </x:c>
      <x:c r="N1652" s="24" t="str">
        <x:v>-6.00</x:v>
      </x:c>
      <x:c r="O1652" s="24" t="str">
        <x:v>-</x:v>
      </x:c>
      <x:c r="P1652" s="24" t="str">
        <x:v>70</x:v>
      </x:c>
      <x:c r="Q1652" s="24"/>
      <x:c r="R1652" s="24"/>
      <x:c r="S1652" s="26" t="n">
        <x:v>46113</x:v>
      </x:c>
      <x:c r="T1652" s="26"/>
      <x:c r="U1652" s="24" t="str">
        <x:v>ATIVA/SEM FIM INFORMADO</x:v>
      </x:c>
      <x:c r="V1652" s="24" t="str">
        <x:v>Programa de Parcerias ZEISS</x:v>
      </x:c>
      <x:c r="W1652" s="24" t="n">
        <x:v>17</x:v>
      </x:c>
      <x:c r="X1652" s="24" t="str">
        <x:v>tabela_zeiss.pdf</x:v>
      </x:c>
      <x:c r="Y1652" s="24" t="str">
        <x:v>alta</x:v>
      </x:c>
      <x:c r="Z1652" s="24"/>
      <x:c r="AA1652" s="24" t="str">
        <x:v>ZEISS|Visão Simples|Surfaçada|Light 2|PhotoFusion X Extra Dark Cinza|1.67|1.67|DuraVision Gold UV|-8.00 a +8.00|-6.00|-|70|||17</x:v>
      </x:c>
    </x:row>
    <x:row r="1653">
      <x:c r="A1653" s="24" t="str">
        <x:v>ZS-96B60B16993B</x:v>
      </x:c>
      <x:c r="B1653" s="24" t="str">
        <x:v>SIM</x:v>
      </x:c>
      <x:c r="C1653" s="24" t="str">
        <x:v>DISPONÍVEL</x:v>
      </x:c>
      <x:c r="D1653" s="24" t="str">
        <x:v>ZEISS</x:v>
      </x:c>
      <x:c r="E1653" s="24" t="str">
        <x:v>Visão Simples</x:v>
      </x:c>
      <x:c r="F1653" s="24" t="str">
        <x:v>Surfaçada</x:v>
      </x:c>
      <x:c r="G1653" s="24" t="str">
        <x:v>Light 2</x:v>
      </x:c>
      <x:c r="H1653" s="24" t="str">
        <x:v>PhotoFusion X Extra Dark Cinza</x:v>
      </x:c>
      <x:c r="I1653" s="24" t="str">
        <x:v>1.67</x:v>
      </x:c>
      <x:c r="J1653" s="24" t="str">
        <x:v>1.67</x:v>
      </x:c>
      <x:c r="K1653" s="24" t="str">
        <x:v>DURAVISION® ANTIVÍRUS PLATINUM UV</x:v>
      </x:c>
      <x:c r="L1653" s="40" t="n">
        <x:v>4660</x:v>
      </x:c>
      <x:c r="M1653" s="24" t="str">
        <x:v>-8.00 a +8.00</x:v>
      </x:c>
      <x:c r="N1653" s="24" t="str">
        <x:v>-6.00</x:v>
      </x:c>
      <x:c r="O1653" s="24" t="str">
        <x:v>-</x:v>
      </x:c>
      <x:c r="P1653" s="24" t="str">
        <x:v>70</x:v>
      </x:c>
      <x:c r="Q1653" s="24"/>
      <x:c r="R1653" s="24"/>
      <x:c r="S1653" s="26" t="n">
        <x:v>46113</x:v>
      </x:c>
      <x:c r="T1653" s="26"/>
      <x:c r="U1653" s="24" t="str">
        <x:v>ATIVA/SEM FIM INFORMADO</x:v>
      </x:c>
      <x:c r="V1653" s="24" t="str">
        <x:v>Programa de Parcerias ZEISS</x:v>
      </x:c>
      <x:c r="W1653" s="24" t="n">
        <x:v>17</x:v>
      </x:c>
      <x:c r="X1653" s="24" t="str">
        <x:v>tabela_zeiss.pdf</x:v>
      </x:c>
      <x:c r="Y1653" s="24" t="str">
        <x:v>alta</x:v>
      </x:c>
      <x:c r="Z1653" s="24"/>
      <x:c r="AA1653" s="24" t="str">
        <x:v>ZEISS|Visão Simples|Surfaçada|Light 2|PhotoFusion X Extra Dark Cinza|1.67|1.67|DURAVISION® ANTIVÍRUS PLATINUM UV|-8.00 a +8.00|-6.00|-|70|||17</x:v>
      </x:c>
    </x:row>
    <x:row r="1654">
      <x:c r="A1654" s="24" t="str">
        <x:v>ZS-5CC1254A33FC</x:v>
      </x:c>
      <x:c r="B1654" s="24" t="str">
        <x:v>SIM</x:v>
      </x:c>
      <x:c r="C1654" s="24" t="str">
        <x:v>DISPONÍVEL</x:v>
      </x:c>
      <x:c r="D1654" s="24" t="str">
        <x:v>ZEISS</x:v>
      </x:c>
      <x:c r="E1654" s="24" t="str">
        <x:v>Visão Simples</x:v>
      </x:c>
      <x:c r="F1654" s="24" t="str">
        <x:v>Surfaçada</x:v>
      </x:c>
      <x:c r="G1654" s="24" t="str">
        <x:v>Light 2</x:v>
      </x:c>
      <x:c r="H1654" s="24" t="str">
        <x:v>PhotoFusion X Extra Dark Cinza</x:v>
      </x:c>
      <x:c r="I1654" s="24" t="str">
        <x:v>1.67</x:v>
      </x:c>
      <x:c r="J1654" s="24" t="str">
        <x:v>1.67</x:v>
      </x:c>
      <x:c r="K1654" s="24" t="str">
        <x:v>DuraVision Platinum UV</x:v>
      </x:c>
      <x:c r="L1654" s="40" t="n">
        <x:v>4660</x:v>
      </x:c>
      <x:c r="M1654" s="24" t="str">
        <x:v>-8.00 a +8.00</x:v>
      </x:c>
      <x:c r="N1654" s="24" t="str">
        <x:v>-6.00</x:v>
      </x:c>
      <x:c r="O1654" s="24" t="str">
        <x:v>-</x:v>
      </x:c>
      <x:c r="P1654" s="24" t="str">
        <x:v>70</x:v>
      </x:c>
      <x:c r="Q1654" s="24"/>
      <x:c r="R1654" s="24"/>
      <x:c r="S1654" s="26" t="n">
        <x:v>46113</x:v>
      </x:c>
      <x:c r="T1654" s="26"/>
      <x:c r="U1654" s="24" t="str">
        <x:v>ATIVA/SEM FIM INFORMADO</x:v>
      </x:c>
      <x:c r="V1654" s="24" t="str">
        <x:v>Programa de Parcerias ZEISS</x:v>
      </x:c>
      <x:c r="W1654" s="24" t="n">
        <x:v>17</x:v>
      </x:c>
      <x:c r="X1654" s="24" t="str">
        <x:v>tabela_zeiss.pdf</x:v>
      </x:c>
      <x:c r="Y1654" s="24" t="str">
        <x:v>alta</x:v>
      </x:c>
      <x:c r="Z1654" s="24"/>
      <x:c r="AA1654" s="24" t="str">
        <x:v>ZEISS|Visão Simples|Surfaçada|Light 2|PhotoFusion X Extra Dark Cinza|1.67|1.67|DuraVision Platinum UV|-8.00 a +8.00|-6.00|-|70|||17</x:v>
      </x:c>
    </x:row>
    <x:row r="1655">
      <x:c r="A1655" s="24" t="str">
        <x:v>ZS-BAE6A6019382</x:v>
      </x:c>
      <x:c r="B1655" s="24" t="str">
        <x:v>SIM</x:v>
      </x:c>
      <x:c r="C1655" s="24" t="str">
        <x:v>DISPONÍVEL</x:v>
      </x:c>
      <x:c r="D1655" s="24" t="str">
        <x:v>ZEISS</x:v>
      </x:c>
      <x:c r="E1655" s="24" t="str">
        <x:v>Visão Simples</x:v>
      </x:c>
      <x:c r="F1655" s="24" t="str">
        <x:v>Surfaçada</x:v>
      </x:c>
      <x:c r="G1655" s="24" t="str">
        <x:v>Light 2</x:v>
      </x:c>
      <x:c r="H1655" s="24" t="str">
        <x:v>PhotoFusion X Extra Dark Cinza</x:v>
      </x:c>
      <x:c r="I1655" s="24" t="str">
        <x:v>1.67</x:v>
      </x:c>
      <x:c r="J1655" s="24" t="str">
        <x:v>1.67</x:v>
      </x:c>
      <x:c r="K1655" s="24" t="str">
        <x:v>DuraVision Silver UV</x:v>
      </x:c>
      <x:c r="L1655" s="40" t="n">
        <x:v>4400</x:v>
      </x:c>
      <x:c r="M1655" s="24" t="str">
        <x:v>-8.00 a +8.00</x:v>
      </x:c>
      <x:c r="N1655" s="24" t="str">
        <x:v>-6.00</x:v>
      </x:c>
      <x:c r="O1655" s="24" t="str">
        <x:v>-</x:v>
      </x:c>
      <x:c r="P1655" s="24" t="str">
        <x:v>70</x:v>
      </x:c>
      <x:c r="Q1655" s="24"/>
      <x:c r="R1655" s="24"/>
      <x:c r="S1655" s="26" t="n">
        <x:v>46113</x:v>
      </x:c>
      <x:c r="T1655" s="26"/>
      <x:c r="U1655" s="24" t="str">
        <x:v>ATIVA/SEM FIM INFORMADO</x:v>
      </x:c>
      <x:c r="V1655" s="24" t="str">
        <x:v>Programa de Parcerias ZEISS</x:v>
      </x:c>
      <x:c r="W1655" s="24" t="n">
        <x:v>17</x:v>
      </x:c>
      <x:c r="X1655" s="24" t="str">
        <x:v>tabela_zeiss.pdf</x:v>
      </x:c>
      <x:c r="Y1655" s="24" t="str">
        <x:v>alta</x:v>
      </x:c>
      <x:c r="Z1655" s="24"/>
      <x:c r="AA1655" s="24" t="str">
        <x:v>ZEISS|Visão Simples|Surfaçada|Light 2|PhotoFusion X Extra Dark Cinza|1.67|1.67|DuraVision Silver UV|-8.00 a +8.00|-6.00|-|70|||17</x:v>
      </x:c>
    </x:row>
    <x:row r="1656">
      <x:c r="A1656" s="24" t="str">
        <x:v>ZS-221A3FFFC376</x:v>
      </x:c>
      <x:c r="B1656" s="24" t="str">
        <x:v>SIM</x:v>
      </x:c>
      <x:c r="C1656" s="24" t="str">
        <x:v>DISPONÍVEL</x:v>
      </x:c>
      <x:c r="D1656" s="24" t="str">
        <x:v>ZEISS</x:v>
      </x:c>
      <x:c r="E1656" s="24" t="str">
        <x:v>Visão Simples</x:v>
      </x:c>
      <x:c r="F1656" s="24" t="str">
        <x:v>Surfaçada</x:v>
      </x:c>
      <x:c r="G1656" s="24" t="str">
        <x:v>Light 2</x:v>
      </x:c>
      <x:c r="H1656" s="24" t="str">
        <x:v>PhotoFusion X Extra Dark Cinza</x:v>
      </x:c>
      <x:c r="I1656" s="24" t="str">
        <x:v>1.67</x:v>
      </x:c>
      <x:c r="J1656" s="24" t="str">
        <x:v>1.67</x:v>
      </x:c>
      <x:c r="K1656" s="24" t="str">
        <x:v>DuraVision Chrome UV</x:v>
      </x:c>
      <x:c r="L1656" s="40" t="n">
        <x:v>3910</x:v>
      </x:c>
      <x:c r="M1656" s="24" t="str">
        <x:v>-8.00 a +8.00</x:v>
      </x:c>
      <x:c r="N1656" s="24" t="str">
        <x:v>-6.00</x:v>
      </x:c>
      <x:c r="O1656" s="24" t="str">
        <x:v>-</x:v>
      </x:c>
      <x:c r="P1656" s="24" t="str">
        <x:v>70</x:v>
      </x:c>
      <x:c r="Q1656" s="24"/>
      <x:c r="R1656" s="24"/>
      <x:c r="S1656" s="26" t="n">
        <x:v>46113</x:v>
      </x:c>
      <x:c r="T1656" s="26"/>
      <x:c r="U1656" s="24" t="str">
        <x:v>ATIVA/SEM FIM INFORMADO</x:v>
      </x:c>
      <x:c r="V1656" s="24" t="str">
        <x:v>Programa de Parcerias ZEISS</x:v>
      </x:c>
      <x:c r="W1656" s="24" t="n">
        <x:v>17</x:v>
      </x:c>
      <x:c r="X1656" s="24" t="str">
        <x:v>tabela_zeiss.pdf</x:v>
      </x:c>
      <x:c r="Y1656" s="24" t="str">
        <x:v>alta</x:v>
      </x:c>
      <x:c r="Z1656" s="24"/>
      <x:c r="AA1656" s="24" t="str">
        <x:v>ZEISS|Visão Simples|Surfaçada|Light 2|PhotoFusion X Extra Dark Cinza|1.67|1.67|DuraVision Chrome UV|-8.00 a +8.00|-6.00|-|70|||17</x:v>
      </x:c>
    </x:row>
    <x:row r="1657">
      <x:c r="A1657" s="24" t="str">
        <x:v>ZS-9D1EFB3F3C97</x:v>
      </x:c>
      <x:c r="B1657" s="24" t="str">
        <x:v>SIM</x:v>
      </x:c>
      <x:c r="C1657" s="24" t="str">
        <x:v>DISPONÍVEL</x:v>
      </x:c>
      <x:c r="D1657" s="24" t="str">
        <x:v>ZEISS</x:v>
      </x:c>
      <x:c r="E1657" s="24" t="str">
        <x:v>Visão Simples</x:v>
      </x:c>
      <x:c r="F1657" s="24" t="str">
        <x:v>Surfaçada</x:v>
      </x:c>
      <x:c r="G1657" s="24" t="str">
        <x:v>Light 2</x:v>
      </x:c>
      <x:c r="H1657" s="24" t="str">
        <x:v>Polarizada</x:v>
      </x:c>
      <x:c r="I1657" s="24" t="str">
        <x:v>1.5</x:v>
      </x:c>
      <x:c r="J1657" s="24" t="str">
        <x:v>1.50</x:v>
      </x:c>
      <x:c r="K1657" s="24" t="str">
        <x:v>DuraVision Gold UV</x:v>
      </x:c>
      <x:c r="L1657" s="40" t="n">
        <x:v>2620</x:v>
      </x:c>
      <x:c r="M1657" s="24" t="str">
        <x:v>-6.00 a +6.00</x:v>
      </x:c>
      <x:c r="N1657" s="24" t="str">
        <x:v>-4.00</x:v>
      </x:c>
      <x:c r="O1657" s="24" t="str">
        <x:v>-</x:v>
      </x:c>
      <x:c r="P1657" s="24" t="str">
        <x:v>75</x:v>
      </x:c>
      <x:c r="Q1657" s="24"/>
      <x:c r="R1657" s="24"/>
      <x:c r="S1657" s="26" t="n">
        <x:v>46113</x:v>
      </x:c>
      <x:c r="T1657" s="26"/>
      <x:c r="U1657" s="24" t="str">
        <x:v>ATIVA/SEM FIM INFORMADO</x:v>
      </x:c>
      <x:c r="V1657" s="24"/>
      <x:c r="W1657" s="24" t="n">
        <x:v>17</x:v>
      </x:c>
      <x:c r="X1657" s="24" t="str">
        <x:v>tabela_zeiss.pdf</x:v>
      </x:c>
      <x:c r="Y1657" s="24" t="str">
        <x:v>alta</x:v>
      </x:c>
      <x:c r="Z1657" s="24"/>
      <x:c r="AA1657" s="24" t="str">
        <x:v>ZEISS|Visão Simples|Surfaçada|Light 2|Polarizada|1.5|1.50|DuraVision Gold UV|-6.00 a +6.00|-4.00|-|75|||17</x:v>
      </x:c>
    </x:row>
    <x:row r="1658">
      <x:c r="A1658" s="24" t="str">
        <x:v>ZS-745E1DB2EA4E</x:v>
      </x:c>
      <x:c r="B1658" s="24" t="str">
        <x:v>SIM</x:v>
      </x:c>
      <x:c r="C1658" s="24" t="str">
        <x:v>DISPONÍVEL</x:v>
      </x:c>
      <x:c r="D1658" s="24" t="str">
        <x:v>ZEISS</x:v>
      </x:c>
      <x:c r="E1658" s="24" t="str">
        <x:v>Visão Simples</x:v>
      </x:c>
      <x:c r="F1658" s="24" t="str">
        <x:v>Surfaçada</x:v>
      </x:c>
      <x:c r="G1658" s="24" t="str">
        <x:v>Light 2</x:v>
      </x:c>
      <x:c r="H1658" s="24" t="str">
        <x:v>Polarizada</x:v>
      </x:c>
      <x:c r="I1658" s="24" t="str">
        <x:v>1.5</x:v>
      </x:c>
      <x:c r="J1658" s="24" t="str">
        <x:v>1.50</x:v>
      </x:c>
      <x:c r="K1658" s="24" t="str">
        <x:v>DuraVision Platinum UV</x:v>
      </x:c>
      <x:c r="L1658" s="40" t="n">
        <x:v>2480</x:v>
      </x:c>
      <x:c r="M1658" s="24" t="str">
        <x:v>-6.00 a +6.00</x:v>
      </x:c>
      <x:c r="N1658" s="24" t="str">
        <x:v>-4.00</x:v>
      </x:c>
      <x:c r="O1658" s="24" t="str">
        <x:v>-</x:v>
      </x:c>
      <x:c r="P1658" s="24" t="str">
        <x:v>75</x:v>
      </x:c>
      <x:c r="Q1658" s="24"/>
      <x:c r="R1658" s="24"/>
      <x:c r="S1658" s="26" t="n">
        <x:v>46113</x:v>
      </x:c>
      <x:c r="T1658" s="26"/>
      <x:c r="U1658" s="24" t="str">
        <x:v>ATIVA/SEM FIM INFORMADO</x:v>
      </x:c>
      <x:c r="V1658" s="24"/>
      <x:c r="W1658" s="24" t="n">
        <x:v>17</x:v>
      </x:c>
      <x:c r="X1658" s="24" t="str">
        <x:v>tabela_zeiss.pdf</x:v>
      </x:c>
      <x:c r="Y1658" s="24" t="str">
        <x:v>alta</x:v>
      </x:c>
      <x:c r="Z1658" s="24"/>
      <x:c r="AA1658" s="24" t="str">
        <x:v>ZEISS|Visão Simples|Surfaçada|Light 2|Polarizada|1.5|1.50|DuraVision Platinum UV|-6.00 a +6.00|-4.00|-|75|||17</x:v>
      </x:c>
    </x:row>
    <x:row r="1659">
      <x:c r="A1659" s="24" t="str">
        <x:v>ZS-BE47B580A3E3</x:v>
      </x:c>
      <x:c r="B1659" s="24" t="str">
        <x:v>SIM</x:v>
      </x:c>
      <x:c r="C1659" s="24" t="str">
        <x:v>DISPONÍVEL</x:v>
      </x:c>
      <x:c r="D1659" s="24" t="str">
        <x:v>ZEISS</x:v>
      </x:c>
      <x:c r="E1659" s="24" t="str">
        <x:v>Visão Simples</x:v>
      </x:c>
      <x:c r="F1659" s="24" t="str">
        <x:v>Surfaçada</x:v>
      </x:c>
      <x:c r="G1659" s="24" t="str">
        <x:v>Light 2</x:v>
      </x:c>
      <x:c r="H1659" s="24" t="str">
        <x:v>Polarizada</x:v>
      </x:c>
      <x:c r="I1659" s="24" t="str">
        <x:v>1.5</x:v>
      </x:c>
      <x:c r="J1659" s="24" t="str">
        <x:v>1.50</x:v>
      </x:c>
      <x:c r="K1659" s="24" t="str">
        <x:v>DuraVision Silver UV</x:v>
      </x:c>
      <x:c r="L1659" s="40" t="n">
        <x:v>2220</x:v>
      </x:c>
      <x:c r="M1659" s="24" t="str">
        <x:v>-6.00 a +6.00</x:v>
      </x:c>
      <x:c r="N1659" s="24" t="str">
        <x:v>-4.00</x:v>
      </x:c>
      <x:c r="O1659" s="24" t="str">
        <x:v>-</x:v>
      </x:c>
      <x:c r="P1659" s="24" t="str">
        <x:v>75</x:v>
      </x:c>
      <x:c r="Q1659" s="24"/>
      <x:c r="R1659" s="24"/>
      <x:c r="S1659" s="26" t="n">
        <x:v>46113</x:v>
      </x:c>
      <x:c r="T1659" s="26"/>
      <x:c r="U1659" s="24" t="str">
        <x:v>ATIVA/SEM FIM INFORMADO</x:v>
      </x:c>
      <x:c r="V1659" s="24"/>
      <x:c r="W1659" s="24" t="n">
        <x:v>17</x:v>
      </x:c>
      <x:c r="X1659" s="24" t="str">
        <x:v>tabela_zeiss.pdf</x:v>
      </x:c>
      <x:c r="Y1659" s="24" t="str">
        <x:v>alta</x:v>
      </x:c>
      <x:c r="Z1659" s="24"/>
      <x:c r="AA1659" s="24" t="str">
        <x:v>ZEISS|Visão Simples|Surfaçada|Light 2|Polarizada|1.5|1.50|DuraVision Silver UV|-6.00 a +6.00|-4.00|-|75|||17</x:v>
      </x:c>
    </x:row>
    <x:row r="1660">
      <x:c r="A1660" s="24" t="str">
        <x:v>ZS-D9C724DF6C6B</x:v>
      </x:c>
      <x:c r="B1660" s="24" t="str">
        <x:v>SIM</x:v>
      </x:c>
      <x:c r="C1660" s="24" t="str">
        <x:v>DISPONÍVEL</x:v>
      </x:c>
      <x:c r="D1660" s="24" t="str">
        <x:v>ZEISS</x:v>
      </x:c>
      <x:c r="E1660" s="24" t="str">
        <x:v>Visão Simples</x:v>
      </x:c>
      <x:c r="F1660" s="24" t="str">
        <x:v>Surfaçada</x:v>
      </x:c>
      <x:c r="G1660" s="24" t="str">
        <x:v>Light 2</x:v>
      </x:c>
      <x:c r="H1660" s="24" t="str">
        <x:v>Polarizada</x:v>
      </x:c>
      <x:c r="I1660" s="24" t="str">
        <x:v>1.5</x:v>
      </x:c>
      <x:c r="J1660" s="24" t="str">
        <x:v>1.50</x:v>
      </x:c>
      <x:c r="K1660" s="24" t="str">
        <x:v>DuraVision Chrome UV</x:v>
      </x:c>
      <x:c r="L1660" s="40" t="n">
        <x:v>1730</x:v>
      </x:c>
      <x:c r="M1660" s="24" t="str">
        <x:v>-6.00 a +6.00</x:v>
      </x:c>
      <x:c r="N1660" s="24" t="str">
        <x:v>-4.00</x:v>
      </x:c>
      <x:c r="O1660" s="24" t="str">
        <x:v>-</x:v>
      </x:c>
      <x:c r="P1660" s="24" t="str">
        <x:v>75</x:v>
      </x:c>
      <x:c r="Q1660" s="24"/>
      <x:c r="R1660" s="24"/>
      <x:c r="S1660" s="26" t="n">
        <x:v>46113</x:v>
      </x:c>
      <x:c r="T1660" s="26"/>
      <x:c r="U1660" s="24" t="str">
        <x:v>ATIVA/SEM FIM INFORMADO</x:v>
      </x:c>
      <x:c r="V1660" s="24"/>
      <x:c r="W1660" s="24" t="n">
        <x:v>17</x:v>
      </x:c>
      <x:c r="X1660" s="24" t="str">
        <x:v>tabela_zeiss.pdf</x:v>
      </x:c>
      <x:c r="Y1660" s="24" t="str">
        <x:v>alta</x:v>
      </x:c>
      <x:c r="Z1660" s="24"/>
      <x:c r="AA1660" s="24" t="str">
        <x:v>ZEISS|Visão Simples|Surfaçada|Light 2|Polarizada|1.5|1.50|DuraVision Chrome UV|-6.00 a +6.00|-4.00|-|75|||17</x:v>
      </x:c>
    </x:row>
    <x:row r="1661">
      <x:c r="A1661" s="24" t="str">
        <x:v>ZS-C11258BA3209</x:v>
      </x:c>
      <x:c r="B1661" s="24" t="str">
        <x:v>SIM</x:v>
      </x:c>
      <x:c r="C1661" s="24" t="str">
        <x:v>DISPONÍVEL</x:v>
      </x:c>
      <x:c r="D1661" s="24" t="str">
        <x:v>ZEISS</x:v>
      </x:c>
      <x:c r="E1661" s="24" t="str">
        <x:v>Visão Simples</x:v>
      </x:c>
      <x:c r="F1661" s="24" t="str">
        <x:v>Surfaçada</x:v>
      </x:c>
      <x:c r="G1661" s="24" t="str">
        <x:v>Light 2</x:v>
      </x:c>
      <x:c r="H1661" s="24" t="str">
        <x:v>Polarizada</x:v>
      </x:c>
      <x:c r="I1661" s="24" t="str">
        <x:v>1.6</x:v>
      </x:c>
      <x:c r="J1661" s="24" t="str">
        <x:v>1.60</x:v>
      </x:c>
      <x:c r="K1661" s="24" t="str">
        <x:v>DuraVision Gold UV</x:v>
      </x:c>
      <x:c r="L1661" s="40" t="n">
        <x:v>3200</x:v>
      </x:c>
      <x:c r="M1661" s="24" t="str">
        <x:v>-8.00 a +8.00</x:v>
      </x:c>
      <x:c r="N1661" s="24" t="str">
        <x:v>-4.00</x:v>
      </x:c>
      <x:c r="O1661" s="24" t="str">
        <x:v>-</x:v>
      </x:c>
      <x:c r="P1661" s="24" t="str">
        <x:v>70</x:v>
      </x:c>
      <x:c r="Q1661" s="24"/>
      <x:c r="R1661" s="24"/>
      <x:c r="S1661" s="26" t="n">
        <x:v>46113</x:v>
      </x:c>
      <x:c r="T1661" s="26"/>
      <x:c r="U1661" s="24" t="str">
        <x:v>ATIVA/SEM FIM INFORMADO</x:v>
      </x:c>
      <x:c r="V1661" s="24"/>
      <x:c r="W1661" s="24" t="n">
        <x:v>17</x:v>
      </x:c>
      <x:c r="X1661" s="24" t="str">
        <x:v>tabela_zeiss.pdf</x:v>
      </x:c>
      <x:c r="Y1661" s="24" t="str">
        <x:v>alta</x:v>
      </x:c>
      <x:c r="Z1661" s="24"/>
      <x:c r="AA1661" s="24" t="str">
        <x:v>ZEISS|Visão Simples|Surfaçada|Light 2|Polarizada|1.6|1.60|DuraVision Gold UV|-8.00 a +8.00|-4.00|-|70|||17</x:v>
      </x:c>
    </x:row>
    <x:row r="1662">
      <x:c r="A1662" s="24" t="str">
        <x:v>ZS-81857D9D674E</x:v>
      </x:c>
      <x:c r="B1662" s="24" t="str">
        <x:v>SIM</x:v>
      </x:c>
      <x:c r="C1662" s="24" t="str">
        <x:v>DISPONÍVEL</x:v>
      </x:c>
      <x:c r="D1662" s="24" t="str">
        <x:v>ZEISS</x:v>
      </x:c>
      <x:c r="E1662" s="24" t="str">
        <x:v>Visão Simples</x:v>
      </x:c>
      <x:c r="F1662" s="24" t="str">
        <x:v>Surfaçada</x:v>
      </x:c>
      <x:c r="G1662" s="24" t="str">
        <x:v>Light 2</x:v>
      </x:c>
      <x:c r="H1662" s="24" t="str">
        <x:v>Polarizada</x:v>
      </x:c>
      <x:c r="I1662" s="24" t="str">
        <x:v>1.6</x:v>
      </x:c>
      <x:c r="J1662" s="24" t="str">
        <x:v>1.60</x:v>
      </x:c>
      <x:c r="K1662" s="24" t="str">
        <x:v>DuraVision Platinum UV</x:v>
      </x:c>
      <x:c r="L1662" s="40" t="n">
        <x:v>3060</x:v>
      </x:c>
      <x:c r="M1662" s="24" t="str">
        <x:v>-8.00 a +8.00</x:v>
      </x:c>
      <x:c r="N1662" s="24" t="str">
        <x:v>-4.00</x:v>
      </x:c>
      <x:c r="O1662" s="24" t="str">
        <x:v>-</x:v>
      </x:c>
      <x:c r="P1662" s="24" t="str">
        <x:v>70</x:v>
      </x:c>
      <x:c r="Q1662" s="24"/>
      <x:c r="R1662" s="24"/>
      <x:c r="S1662" s="26" t="n">
        <x:v>46113</x:v>
      </x:c>
      <x:c r="T1662" s="26"/>
      <x:c r="U1662" s="24" t="str">
        <x:v>ATIVA/SEM FIM INFORMADO</x:v>
      </x:c>
      <x:c r="V1662" s="24"/>
      <x:c r="W1662" s="24" t="n">
        <x:v>17</x:v>
      </x:c>
      <x:c r="X1662" s="24" t="str">
        <x:v>tabela_zeiss.pdf</x:v>
      </x:c>
      <x:c r="Y1662" s="24" t="str">
        <x:v>alta</x:v>
      </x:c>
      <x:c r="Z1662" s="24"/>
      <x:c r="AA1662" s="24" t="str">
        <x:v>ZEISS|Visão Simples|Surfaçada|Light 2|Polarizada|1.6|1.60|DuraVision Platinum UV|-8.00 a +8.00|-4.00|-|70|||17</x:v>
      </x:c>
    </x:row>
    <x:row r="1663">
      <x:c r="A1663" s="24" t="str">
        <x:v>ZS-B8DBE2E15AB6</x:v>
      </x:c>
      <x:c r="B1663" s="24" t="str">
        <x:v>SIM</x:v>
      </x:c>
      <x:c r="C1663" s="24" t="str">
        <x:v>DISPONÍVEL</x:v>
      </x:c>
      <x:c r="D1663" s="24" t="str">
        <x:v>ZEISS</x:v>
      </x:c>
      <x:c r="E1663" s="24" t="str">
        <x:v>Visão Simples</x:v>
      </x:c>
      <x:c r="F1663" s="24" t="str">
        <x:v>Surfaçada</x:v>
      </x:c>
      <x:c r="G1663" s="24" t="str">
        <x:v>Light 2</x:v>
      </x:c>
      <x:c r="H1663" s="24" t="str">
        <x:v>Polarizada</x:v>
      </x:c>
      <x:c r="I1663" s="24" t="str">
        <x:v>1.6</x:v>
      </x:c>
      <x:c r="J1663" s="24" t="str">
        <x:v>1.60</x:v>
      </x:c>
      <x:c r="K1663" s="24" t="str">
        <x:v>DuraVision Silver UV</x:v>
      </x:c>
      <x:c r="L1663" s="40" t="n">
        <x:v>2800</x:v>
      </x:c>
      <x:c r="M1663" s="24" t="str">
        <x:v>-8.00 a +8.00</x:v>
      </x:c>
      <x:c r="N1663" s="24" t="str">
        <x:v>-4.00</x:v>
      </x:c>
      <x:c r="O1663" s="24" t="str">
        <x:v>-</x:v>
      </x:c>
      <x:c r="P1663" s="24" t="str">
        <x:v>70</x:v>
      </x:c>
      <x:c r="Q1663" s="24"/>
      <x:c r="R1663" s="24"/>
      <x:c r="S1663" s="26" t="n">
        <x:v>46113</x:v>
      </x:c>
      <x:c r="T1663" s="26"/>
      <x:c r="U1663" s="24" t="str">
        <x:v>ATIVA/SEM FIM INFORMADO</x:v>
      </x:c>
      <x:c r="V1663" s="24"/>
      <x:c r="W1663" s="24" t="n">
        <x:v>17</x:v>
      </x:c>
      <x:c r="X1663" s="24" t="str">
        <x:v>tabela_zeiss.pdf</x:v>
      </x:c>
      <x:c r="Y1663" s="24" t="str">
        <x:v>alta</x:v>
      </x:c>
      <x:c r="Z1663" s="24"/>
      <x:c r="AA1663" s="24" t="str">
        <x:v>ZEISS|Visão Simples|Surfaçada|Light 2|Polarizada|1.6|1.60|DuraVision Silver UV|-8.00 a +8.00|-4.00|-|70|||17</x:v>
      </x:c>
    </x:row>
    <x:row r="1664">
      <x:c r="A1664" s="24" t="str">
        <x:v>ZS-ED29FC939BD1</x:v>
      </x:c>
      <x:c r="B1664" s="24" t="str">
        <x:v>SIM</x:v>
      </x:c>
      <x:c r="C1664" s="24" t="str">
        <x:v>DISPONÍVEL</x:v>
      </x:c>
      <x:c r="D1664" s="24" t="str">
        <x:v>ZEISS</x:v>
      </x:c>
      <x:c r="E1664" s="24" t="str">
        <x:v>Visão Simples</x:v>
      </x:c>
      <x:c r="F1664" s="24" t="str">
        <x:v>Surfaçada</x:v>
      </x:c>
      <x:c r="G1664" s="24" t="str">
        <x:v>Light 2</x:v>
      </x:c>
      <x:c r="H1664" s="24" t="str">
        <x:v>Polarizada</x:v>
      </x:c>
      <x:c r="I1664" s="24" t="str">
        <x:v>1.6</x:v>
      </x:c>
      <x:c r="J1664" s="24" t="str">
        <x:v>1.60</x:v>
      </x:c>
      <x:c r="K1664" s="24" t="str">
        <x:v>DuraVision Chrome UV</x:v>
      </x:c>
      <x:c r="L1664" s="40" t="n">
        <x:v>2310</x:v>
      </x:c>
      <x:c r="M1664" s="24" t="str">
        <x:v>-8.00 a +8.00</x:v>
      </x:c>
      <x:c r="N1664" s="24" t="str">
        <x:v>-4.00</x:v>
      </x:c>
      <x:c r="O1664" s="24" t="str">
        <x:v>-</x:v>
      </x:c>
      <x:c r="P1664" s="24" t="str">
        <x:v>70</x:v>
      </x:c>
      <x:c r="Q1664" s="24"/>
      <x:c r="R1664" s="24"/>
      <x:c r="S1664" s="26" t="n">
        <x:v>46113</x:v>
      </x:c>
      <x:c r="T1664" s="26"/>
      <x:c r="U1664" s="24" t="str">
        <x:v>ATIVA/SEM FIM INFORMADO</x:v>
      </x:c>
      <x:c r="V1664" s="24"/>
      <x:c r="W1664" s="24" t="n">
        <x:v>17</x:v>
      </x:c>
      <x:c r="X1664" s="24" t="str">
        <x:v>tabela_zeiss.pdf</x:v>
      </x:c>
      <x:c r="Y1664" s="24" t="str">
        <x:v>alta</x:v>
      </x:c>
      <x:c r="Z1664" s="24"/>
      <x:c r="AA1664" s="24" t="str">
        <x:v>ZEISS|Visão Simples|Surfaçada|Light 2|Polarizada|1.6|1.60|DuraVision Chrome UV|-8.00 a +8.00|-4.00|-|70|||17</x:v>
      </x:c>
    </x:row>
    <x:row r="1665">
      <x:c r="A1665" s="24" t="str">
        <x:v>ZS-29EBB8E83850</x:v>
      </x:c>
      <x:c r="B1665" s="24" t="str">
        <x:v>SIM</x:v>
      </x:c>
      <x:c r="C1665" s="24" t="str">
        <x:v>DISPONÍVEL</x:v>
      </x:c>
      <x:c r="D1665" s="24" t="str">
        <x:v>ZEISS</x:v>
      </x:c>
      <x:c r="E1665" s="24" t="str">
        <x:v>Visão Simples Jovem</x:v>
      </x:c>
      <x:c r="F1665" s="24" t="str">
        <x:v>Surfaçada</x:v>
      </x:c>
      <x:c r="G1665" s="24" t="str">
        <x:v>SmartLife Young</x:v>
      </x:c>
      <x:c r="H1665" s="24"/>
      <x:c r="I1665" s="24" t="str">
        <x:v>1.5</x:v>
      </x:c>
      <x:c r="J1665" s="24" t="str">
        <x:v>1.50</x:v>
      </x:c>
      <x:c r="K1665" s="24" t="str">
        <x:v>DuraVision Gold UV</x:v>
      </x:c>
      <x:c r="L1665" s="40" t="n">
        <x:v>2258</x:v>
      </x:c>
      <x:c r="M1665" s="24" t="str">
        <x:v>-6.00 a +6.00</x:v>
      </x:c>
      <x:c r="N1665" s="24" t="str">
        <x:v>-4.00</x:v>
      </x:c>
      <x:c r="O1665" s="24" t="str">
        <x:v>-</x:v>
      </x:c>
      <x:c r="P1665" s="24" t="str">
        <x:v>75</x:v>
      </x:c>
      <x:c r="Q1665" s="24"/>
      <x:c r="R1665" s="24"/>
      <x:c r="S1665" s="26" t="n">
        <x:v>46113</x:v>
      </x:c>
      <x:c r="T1665" s="26"/>
      <x:c r="U1665" s="24" t="str">
        <x:v>ATIVA/SEM FIM INFORMADO</x:v>
      </x:c>
      <x:c r="V1665" s="24"/>
      <x:c r="W1665" s="24" t="n">
        <x:v>20</x:v>
      </x:c>
      <x:c r="X1665" s="24" t="str">
        <x:v>tabela_zeiss.pdf</x:v>
      </x:c>
      <x:c r="Y1665" s="24" t="str">
        <x:v>alta</x:v>
      </x:c>
      <x:c r="Z1665" s="24"/>
      <x:c r="AA1665" s="24" t="str">
        <x:v>ZEISS|Visão Simples Jovem|Surfaçada|SmartLife Young||1.5|1.50|DuraVision Gold UV|-6.00 a +6.00|-4.00|-|75|||20</x:v>
      </x:c>
    </x:row>
    <x:row r="1666">
      <x:c r="A1666" s="24" t="str">
        <x:v>ZS-9C632E3A47E5</x:v>
      </x:c>
      <x:c r="B1666" s="24" t="str">
        <x:v>SIM</x:v>
      </x:c>
      <x:c r="C1666" s="24" t="str">
        <x:v>DISPONÍVEL</x:v>
      </x:c>
      <x:c r="D1666" s="24" t="str">
        <x:v>ZEISS</x:v>
      </x:c>
      <x:c r="E1666" s="24" t="str">
        <x:v>Visão Simples Jovem</x:v>
      </x:c>
      <x:c r="F1666" s="24" t="str">
        <x:v>Surfaçada</x:v>
      </x:c>
      <x:c r="G1666" s="24" t="str">
        <x:v>SmartLife Young</x:v>
      </x:c>
      <x:c r="H1666" s="24"/>
      <x:c r="I1666" s="24" t="str">
        <x:v>1.5</x:v>
      </x:c>
      <x:c r="J1666" s="24" t="str">
        <x:v>1.50</x:v>
      </x:c>
      <x:c r="K1666" s="24" t="str">
        <x:v>DuraVision Antivírus Platinum UV</x:v>
      </x:c>
      <x:c r="L1666" s="40" t="n">
        <x:v>2118</x:v>
      </x:c>
      <x:c r="M1666" s="24" t="str">
        <x:v>-6.00 a +6.00</x:v>
      </x:c>
      <x:c r="N1666" s="24" t="str">
        <x:v>-4.00</x:v>
      </x:c>
      <x:c r="O1666" s="24" t="str">
        <x:v>-</x:v>
      </x:c>
      <x:c r="P1666" s="24" t="str">
        <x:v>75</x:v>
      </x:c>
      <x:c r="Q1666" s="24"/>
      <x:c r="R1666" s="24"/>
      <x:c r="S1666" s="26" t="n">
        <x:v>46113</x:v>
      </x:c>
      <x:c r="T1666" s="26"/>
      <x:c r="U1666" s="24" t="str">
        <x:v>ATIVA/SEM FIM INFORMADO</x:v>
      </x:c>
      <x:c r="V1666" s="24"/>
      <x:c r="W1666" s="24" t="n">
        <x:v>20</x:v>
      </x:c>
      <x:c r="X1666" s="24" t="str">
        <x:v>tabela_zeiss.pdf</x:v>
      </x:c>
      <x:c r="Y1666" s="24" t="str">
        <x:v>alta</x:v>
      </x:c>
      <x:c r="Z1666" s="24"/>
      <x:c r="AA1666" s="24" t="str">
        <x:v>ZEISS|Visão Simples Jovem|Surfaçada|SmartLife Young||1.5|1.50|DuraVision Antivírus Platinum UV|-6.00 a +6.00|-4.00|-|75|||20</x:v>
      </x:c>
    </x:row>
    <x:row r="1667">
      <x:c r="A1667" s="24" t="str">
        <x:v>ZS-5CE4F5CE6AA5</x:v>
      </x:c>
      <x:c r="B1667" s="24" t="str">
        <x:v>SIM</x:v>
      </x:c>
      <x:c r="C1667" s="24" t="str">
        <x:v>DISPONÍVEL</x:v>
      </x:c>
      <x:c r="D1667" s="24" t="str">
        <x:v>ZEISS</x:v>
      </x:c>
      <x:c r="E1667" s="24" t="str">
        <x:v>Visão Simples Jovem</x:v>
      </x:c>
      <x:c r="F1667" s="24" t="str">
        <x:v>Surfaçada</x:v>
      </x:c>
      <x:c r="G1667" s="24" t="str">
        <x:v>SmartLife Young</x:v>
      </x:c>
      <x:c r="H1667" s="24"/>
      <x:c r="I1667" s="24" t="str">
        <x:v>1.5</x:v>
      </x:c>
      <x:c r="J1667" s="24" t="str">
        <x:v>1.50</x:v>
      </x:c>
      <x:c r="K1667" s="24" t="str">
        <x:v>DuraVision Platinum UV</x:v>
      </x:c>
      <x:c r="L1667" s="40" t="n">
        <x:v>2118</x:v>
      </x:c>
      <x:c r="M1667" s="24" t="str">
        <x:v>-6.00 a +6.00</x:v>
      </x:c>
      <x:c r="N1667" s="24" t="str">
        <x:v>-4.00</x:v>
      </x:c>
      <x:c r="O1667" s="24" t="str">
        <x:v>-</x:v>
      </x:c>
      <x:c r="P1667" s="24" t="str">
        <x:v>75</x:v>
      </x:c>
      <x:c r="Q1667" s="24"/>
      <x:c r="R1667" s="24"/>
      <x:c r="S1667" s="26" t="n">
        <x:v>46113</x:v>
      </x:c>
      <x:c r="T1667" s="26"/>
      <x:c r="U1667" s="24" t="str">
        <x:v>ATIVA/SEM FIM INFORMADO</x:v>
      </x:c>
      <x:c r="V1667" s="24"/>
      <x:c r="W1667" s="24" t="n">
        <x:v>20</x:v>
      </x:c>
      <x:c r="X1667" s="24" t="str">
        <x:v>tabela_zeiss.pdf</x:v>
      </x:c>
      <x:c r="Y1667" s="24" t="str">
        <x:v>alta</x:v>
      </x:c>
      <x:c r="Z1667" s="24"/>
      <x:c r="AA1667" s="24" t="str">
        <x:v>ZEISS|Visão Simples Jovem|Surfaçada|SmartLife Young||1.5|1.50|DuraVision Platinum UV|-6.00 a +6.00|-4.00|-|75|||20</x:v>
      </x:c>
    </x:row>
    <x:row r="1668">
      <x:c r="A1668" s="24" t="str">
        <x:v>ZS-6B899F22D28D</x:v>
      </x:c>
      <x:c r="B1668" s="24" t="str">
        <x:v>SIM</x:v>
      </x:c>
      <x:c r="C1668" s="24" t="str">
        <x:v>DISPONÍVEL</x:v>
      </x:c>
      <x:c r="D1668" s="24" t="str">
        <x:v>ZEISS</x:v>
      </x:c>
      <x:c r="E1668" s="24" t="str">
        <x:v>Visão Simples Jovem</x:v>
      </x:c>
      <x:c r="F1668" s="24" t="str">
        <x:v>Surfaçada</x:v>
      </x:c>
      <x:c r="G1668" s="24" t="str">
        <x:v>SmartLife Young</x:v>
      </x:c>
      <x:c r="H1668" s="24"/>
      <x:c r="I1668" s="24" t="str">
        <x:v>1.5</x:v>
      </x:c>
      <x:c r="J1668" s="24" t="str">
        <x:v>1.50</x:v>
      </x:c>
      <x:c r="K1668" s="24" t="str">
        <x:v>DuraVision Silver UV</x:v>
      </x:c>
      <x:c r="L1668" s="40" t="n">
        <x:v>1858</x:v>
      </x:c>
      <x:c r="M1668" s="24" t="str">
        <x:v>-6.00 a +6.00</x:v>
      </x:c>
      <x:c r="N1668" s="24" t="str">
        <x:v>-4.00</x:v>
      </x:c>
      <x:c r="O1668" s="24" t="str">
        <x:v>-</x:v>
      </x:c>
      <x:c r="P1668" s="24" t="str">
        <x:v>75</x:v>
      </x:c>
      <x:c r="Q1668" s="24"/>
      <x:c r="R1668" s="24"/>
      <x:c r="S1668" s="26" t="n">
        <x:v>46113</x:v>
      </x:c>
      <x:c r="T1668" s="26"/>
      <x:c r="U1668" s="24" t="str">
        <x:v>ATIVA/SEM FIM INFORMADO</x:v>
      </x:c>
      <x:c r="V1668" s="24"/>
      <x:c r="W1668" s="24" t="n">
        <x:v>20</x:v>
      </x:c>
      <x:c r="X1668" s="24" t="str">
        <x:v>tabela_zeiss.pdf</x:v>
      </x:c>
      <x:c r="Y1668" s="24" t="str">
        <x:v>alta</x:v>
      </x:c>
      <x:c r="Z1668" s="24"/>
      <x:c r="AA1668" s="24" t="str">
        <x:v>ZEISS|Visão Simples Jovem|Surfaçada|SmartLife Young||1.5|1.50|DuraVision Silver UV|-6.00 a +6.00|-4.00|-|75|||20</x:v>
      </x:c>
    </x:row>
    <x:row r="1669">
      <x:c r="A1669" s="24" t="str">
        <x:v>ZS-7A6A0E73D303</x:v>
      </x:c>
      <x:c r="B1669" s="24" t="str">
        <x:v>SIM</x:v>
      </x:c>
      <x:c r="C1669" s="24" t="str">
        <x:v>DISPONÍVEL</x:v>
      </x:c>
      <x:c r="D1669" s="24" t="str">
        <x:v>ZEISS</x:v>
      </x:c>
      <x:c r="E1669" s="24" t="str">
        <x:v>Visão Simples Jovem</x:v>
      </x:c>
      <x:c r="F1669" s="24" t="str">
        <x:v>Surfaçada</x:v>
      </x:c>
      <x:c r="G1669" s="24" t="str">
        <x:v>SmartLife Young</x:v>
      </x:c>
      <x:c r="H1669" s="24"/>
      <x:c r="I1669" s="24" t="str">
        <x:v>1.5</x:v>
      </x:c>
      <x:c r="J1669" s="24" t="str">
        <x:v>1.50</x:v>
      </x:c>
      <x:c r="K1669" s="24" t="str">
        <x:v>DuraVision Chrome UV</x:v>
      </x:c>
      <x:c r="L1669" s="40" t="n">
        <x:v>1368</x:v>
      </x:c>
      <x:c r="M1669" s="24" t="str">
        <x:v>-6.00 a +6.00</x:v>
      </x:c>
      <x:c r="N1669" s="24" t="str">
        <x:v>-4.00</x:v>
      </x:c>
      <x:c r="O1669" s="24" t="str">
        <x:v>-</x:v>
      </x:c>
      <x:c r="P1669" s="24" t="str">
        <x:v>75</x:v>
      </x:c>
      <x:c r="Q1669" s="24"/>
      <x:c r="R1669" s="24"/>
      <x:c r="S1669" s="26" t="n">
        <x:v>46113</x:v>
      </x:c>
      <x:c r="T1669" s="26"/>
      <x:c r="U1669" s="24" t="str">
        <x:v>ATIVA/SEM FIM INFORMADO</x:v>
      </x:c>
      <x:c r="V1669" s="24"/>
      <x:c r="W1669" s="24" t="n">
        <x:v>20</x:v>
      </x:c>
      <x:c r="X1669" s="24" t="str">
        <x:v>tabela_zeiss.pdf</x:v>
      </x:c>
      <x:c r="Y1669" s="24" t="str">
        <x:v>alta</x:v>
      </x:c>
      <x:c r="Z1669" s="24"/>
      <x:c r="AA1669" s="24" t="str">
        <x:v>ZEISS|Visão Simples Jovem|Surfaçada|SmartLife Young||1.5|1.50|DuraVision Chrome UV|-6.00 a +6.00|-4.00|-|75|||20</x:v>
      </x:c>
    </x:row>
    <x:row r="1670">
      <x:c r="A1670" s="24" t="str">
        <x:v>ZS-A66B75AE96EE</x:v>
      </x:c>
      <x:c r="B1670" s="24" t="str">
        <x:v>SIM</x:v>
      </x:c>
      <x:c r="C1670" s="24" t="str">
        <x:v>DISPONÍVEL</x:v>
      </x:c>
      <x:c r="D1670" s="24" t="str">
        <x:v>ZEISS</x:v>
      </x:c>
      <x:c r="E1670" s="24" t="str">
        <x:v>Visão Simples Jovem</x:v>
      </x:c>
      <x:c r="F1670" s="24" t="str">
        <x:v>Surfaçada</x:v>
      </x:c>
      <x:c r="G1670" s="24" t="str">
        <x:v>SmartLife Young</x:v>
      </x:c>
      <x:c r="H1670" s="24"/>
      <x:c r="I1670" s="24" t="str">
        <x:v>Poli</x:v>
      </x:c>
      <x:c r="J1670" s="24"/>
      <x:c r="K1670" s="24" t="str">
        <x:v>DuraVision Gold UV</x:v>
      </x:c>
      <x:c r="L1670" s="40" t="n">
        <x:v>2618</x:v>
      </x:c>
      <x:c r="M1670" s="24" t="str">
        <x:v>-10.00 a +8.00</x:v>
      </x:c>
      <x:c r="N1670" s="24" t="str">
        <x:v>-4.00</x:v>
      </x:c>
      <x:c r="O1670" s="24" t="str">
        <x:v>-</x:v>
      </x:c>
      <x:c r="P1670" s="24" t="str">
        <x:v>70</x:v>
      </x:c>
      <x:c r="Q1670" s="24"/>
      <x:c r="R1670" s="24"/>
      <x:c r="S1670" s="26" t="n">
        <x:v>46113</x:v>
      </x:c>
      <x:c r="T1670" s="26"/>
      <x:c r="U1670" s="24" t="str">
        <x:v>ATIVA/SEM FIM INFORMADO</x:v>
      </x:c>
      <x:c r="V1670" s="24"/>
      <x:c r="W1670" s="24" t="n">
        <x:v>20</x:v>
      </x:c>
      <x:c r="X1670" s="24" t="str">
        <x:v>tabela_zeiss.pdf</x:v>
      </x:c>
      <x:c r="Y1670" s="24" t="str">
        <x:v>alta</x:v>
      </x:c>
      <x:c r="Z1670" s="24"/>
      <x:c r="AA1670" s="24" t="str">
        <x:v>ZEISS|Visão Simples Jovem|Surfaçada|SmartLife Young||Poli||DuraVision Gold UV|-10.00 a +8.00|-4.00|-|70|||20</x:v>
      </x:c>
    </x:row>
    <x:row r="1671">
      <x:c r="A1671" s="24" t="str">
        <x:v>ZS-9400948F4DDE</x:v>
      </x:c>
      <x:c r="B1671" s="24" t="str">
        <x:v>SIM</x:v>
      </x:c>
      <x:c r="C1671" s="24" t="str">
        <x:v>DISPONÍVEL</x:v>
      </x:c>
      <x:c r="D1671" s="24" t="str">
        <x:v>ZEISS</x:v>
      </x:c>
      <x:c r="E1671" s="24" t="str">
        <x:v>Visão Simples Jovem</x:v>
      </x:c>
      <x:c r="F1671" s="24" t="str">
        <x:v>Surfaçada</x:v>
      </x:c>
      <x:c r="G1671" s="24" t="str">
        <x:v>SmartLife Young</x:v>
      </x:c>
      <x:c r="H1671" s="24"/>
      <x:c r="I1671" s="24" t="str">
        <x:v>Poli</x:v>
      </x:c>
      <x:c r="J1671" s="24"/>
      <x:c r="K1671" s="24" t="str">
        <x:v>DuraVision Platinum UV</x:v>
      </x:c>
      <x:c r="L1671" s="40" t="n">
        <x:v>2478</x:v>
      </x:c>
      <x:c r="M1671" s="24" t="str">
        <x:v>-10.00 a +8.00</x:v>
      </x:c>
      <x:c r="N1671" s="24" t="str">
        <x:v>-4.00</x:v>
      </x:c>
      <x:c r="O1671" s="24" t="str">
        <x:v>-</x:v>
      </x:c>
      <x:c r="P1671" s="24" t="str">
        <x:v>70</x:v>
      </x:c>
      <x:c r="Q1671" s="24"/>
      <x:c r="R1671" s="24"/>
      <x:c r="S1671" s="26" t="n">
        <x:v>46113</x:v>
      </x:c>
      <x:c r="T1671" s="26"/>
      <x:c r="U1671" s="24" t="str">
        <x:v>ATIVA/SEM FIM INFORMADO</x:v>
      </x:c>
      <x:c r="V1671" s="24"/>
      <x:c r="W1671" s="24" t="n">
        <x:v>20</x:v>
      </x:c>
      <x:c r="X1671" s="24" t="str">
        <x:v>tabela_zeiss.pdf</x:v>
      </x:c>
      <x:c r="Y1671" s="24" t="str">
        <x:v>alta</x:v>
      </x:c>
      <x:c r="Z1671" s="24"/>
      <x:c r="AA1671" s="24" t="str">
        <x:v>ZEISS|Visão Simples Jovem|Surfaçada|SmartLife Young||Poli||DuraVision Platinum UV|-10.00 a +8.00|-4.00|-|70|||20</x:v>
      </x:c>
    </x:row>
    <x:row r="1672">
      <x:c r="A1672" s="24" t="str">
        <x:v>ZS-1F8E161E3A9B</x:v>
      </x:c>
      <x:c r="B1672" s="24" t="str">
        <x:v>SIM</x:v>
      </x:c>
      <x:c r="C1672" s="24" t="str">
        <x:v>DISPONÍVEL</x:v>
      </x:c>
      <x:c r="D1672" s="24" t="str">
        <x:v>ZEISS</x:v>
      </x:c>
      <x:c r="E1672" s="24" t="str">
        <x:v>Visão Simples Jovem</x:v>
      </x:c>
      <x:c r="F1672" s="24" t="str">
        <x:v>Surfaçada</x:v>
      </x:c>
      <x:c r="G1672" s="24" t="str">
        <x:v>SmartLife Young</x:v>
      </x:c>
      <x:c r="H1672" s="24"/>
      <x:c r="I1672" s="24" t="str">
        <x:v>Poli</x:v>
      </x:c>
      <x:c r="J1672" s="24"/>
      <x:c r="K1672" s="24" t="str">
        <x:v>DuraVision Silver UV</x:v>
      </x:c>
      <x:c r="L1672" s="40" t="n">
        <x:v>2218</x:v>
      </x:c>
      <x:c r="M1672" s="24" t="str">
        <x:v>-10.00 a +8.00</x:v>
      </x:c>
      <x:c r="N1672" s="24" t="str">
        <x:v>-4.00</x:v>
      </x:c>
      <x:c r="O1672" s="24" t="str">
        <x:v>-</x:v>
      </x:c>
      <x:c r="P1672" s="24" t="str">
        <x:v>70</x:v>
      </x:c>
      <x:c r="Q1672" s="24"/>
      <x:c r="R1672" s="24"/>
      <x:c r="S1672" s="26" t="n">
        <x:v>46113</x:v>
      </x:c>
      <x:c r="T1672" s="26"/>
      <x:c r="U1672" s="24" t="str">
        <x:v>ATIVA/SEM FIM INFORMADO</x:v>
      </x:c>
      <x:c r="V1672" s="24"/>
      <x:c r="W1672" s="24" t="n">
        <x:v>20</x:v>
      </x:c>
      <x:c r="X1672" s="24" t="str">
        <x:v>tabela_zeiss.pdf</x:v>
      </x:c>
      <x:c r="Y1672" s="24" t="str">
        <x:v>alta</x:v>
      </x:c>
      <x:c r="Z1672" s="24"/>
      <x:c r="AA1672" s="24" t="str">
        <x:v>ZEISS|Visão Simples Jovem|Surfaçada|SmartLife Young||Poli||DuraVision Silver UV|-10.00 a +8.00|-4.00|-|70|||20</x:v>
      </x:c>
    </x:row>
    <x:row r="1673">
      <x:c r="A1673" s="24" t="str">
        <x:v>ZS-67EBC8F5169F</x:v>
      </x:c>
      <x:c r="B1673" s="24" t="str">
        <x:v>SIM</x:v>
      </x:c>
      <x:c r="C1673" s="24" t="str">
        <x:v>DISPONÍVEL</x:v>
      </x:c>
      <x:c r="D1673" s="24" t="str">
        <x:v>ZEISS</x:v>
      </x:c>
      <x:c r="E1673" s="24" t="str">
        <x:v>Visão Simples Jovem</x:v>
      </x:c>
      <x:c r="F1673" s="24" t="str">
        <x:v>Surfaçada</x:v>
      </x:c>
      <x:c r="G1673" s="24" t="str">
        <x:v>SmartLife Young</x:v>
      </x:c>
      <x:c r="H1673" s="24"/>
      <x:c r="I1673" s="24" t="str">
        <x:v>Poli</x:v>
      </x:c>
      <x:c r="J1673" s="24"/>
      <x:c r="K1673" s="24" t="str">
        <x:v>DuraVision Chrome UV</x:v>
      </x:c>
      <x:c r="L1673" s="40" t="n">
        <x:v>1728</x:v>
      </x:c>
      <x:c r="M1673" s="24" t="str">
        <x:v>-10.00 a +8.00</x:v>
      </x:c>
      <x:c r="N1673" s="24" t="str">
        <x:v>-4.00</x:v>
      </x:c>
      <x:c r="O1673" s="24" t="str">
        <x:v>-</x:v>
      </x:c>
      <x:c r="P1673" s="24" t="str">
        <x:v>70</x:v>
      </x:c>
      <x:c r="Q1673" s="24"/>
      <x:c r="R1673" s="24"/>
      <x:c r="S1673" s="26" t="n">
        <x:v>46113</x:v>
      </x:c>
      <x:c r="T1673" s="26"/>
      <x:c r="U1673" s="24" t="str">
        <x:v>ATIVA/SEM FIM INFORMADO</x:v>
      </x:c>
      <x:c r="V1673" s="24"/>
      <x:c r="W1673" s="24" t="n">
        <x:v>20</x:v>
      </x:c>
      <x:c r="X1673" s="24" t="str">
        <x:v>tabela_zeiss.pdf</x:v>
      </x:c>
      <x:c r="Y1673" s="24" t="str">
        <x:v>alta</x:v>
      </x:c>
      <x:c r="Z1673" s="24"/>
      <x:c r="AA1673" s="24" t="str">
        <x:v>ZEISS|Visão Simples Jovem|Surfaçada|SmartLife Young||Poli||DuraVision Chrome UV|-10.00 a +8.00|-4.00|-|70|||20</x:v>
      </x:c>
    </x:row>
    <x:row r="1674">
      <x:c r="A1674" s="24" t="str">
        <x:v>ZS-EBFB4D722458</x:v>
      </x:c>
      <x:c r="B1674" s="24" t="str">
        <x:v>SIM</x:v>
      </x:c>
      <x:c r="C1674" s="24" t="str">
        <x:v>DISPONÍVEL</x:v>
      </x:c>
      <x:c r="D1674" s="24" t="str">
        <x:v>ZEISS</x:v>
      </x:c>
      <x:c r="E1674" s="24" t="str">
        <x:v>Visão Simples Jovem</x:v>
      </x:c>
      <x:c r="F1674" s="24" t="str">
        <x:v>Surfaçada</x:v>
      </x:c>
      <x:c r="G1674" s="24" t="str">
        <x:v>SmartLife Young</x:v>
      </x:c>
      <x:c r="H1674" s="24"/>
      <x:c r="I1674" s="24" t="str">
        <x:v>1.6</x:v>
      </x:c>
      <x:c r="J1674" s="24" t="str">
        <x:v>1.60</x:v>
      </x:c>
      <x:c r="K1674" s="24" t="str">
        <x:v>DuraVision Gold UV</x:v>
      </x:c>
      <x:c r="L1674" s="40" t="n">
        <x:v>2838</x:v>
      </x:c>
      <x:c r="M1674" s="24" t="str">
        <x:v>-6.00 a +6.00</x:v>
      </x:c>
      <x:c r="N1674" s="24" t="str">
        <x:v>-6.00</x:v>
      </x:c>
      <x:c r="O1674" s="24" t="str">
        <x:v>-</x:v>
      </x:c>
      <x:c r="P1674" s="24" t="str">
        <x:v>75</x:v>
      </x:c>
      <x:c r="Q1674" s="24"/>
      <x:c r="R1674" s="24"/>
      <x:c r="S1674" s="26" t="n">
        <x:v>46113</x:v>
      </x:c>
      <x:c r="T1674" s="26"/>
      <x:c r="U1674" s="24" t="str">
        <x:v>ATIVA/SEM FIM INFORMADO</x:v>
      </x:c>
      <x:c r="V1674" s="24"/>
      <x:c r="W1674" s="24" t="n">
        <x:v>20</x:v>
      </x:c>
      <x:c r="X1674" s="24" t="str">
        <x:v>tabela_zeiss.pdf</x:v>
      </x:c>
      <x:c r="Y1674" s="24" t="str">
        <x:v>alta</x:v>
      </x:c>
      <x:c r="Z1674" s="24"/>
      <x:c r="AA1674" s="24" t="str">
        <x:v>ZEISS|Visão Simples Jovem|Surfaçada|SmartLife Young||1.6|1.60|DuraVision Gold UV|-6.00 a +6.00|-6.00|-|75|||20</x:v>
      </x:c>
    </x:row>
    <x:row r="1675">
      <x:c r="A1675" s="24" t="str">
        <x:v>ZS-B473A89B7AF3</x:v>
      </x:c>
      <x:c r="B1675" s="24" t="str">
        <x:v>SIM</x:v>
      </x:c>
      <x:c r="C1675" s="24" t="str">
        <x:v>DISPONÍVEL</x:v>
      </x:c>
      <x:c r="D1675" s="24" t="str">
        <x:v>ZEISS</x:v>
      </x:c>
      <x:c r="E1675" s="24" t="str">
        <x:v>Visão Simples Jovem</x:v>
      </x:c>
      <x:c r="F1675" s="24" t="str">
        <x:v>Surfaçada</x:v>
      </x:c>
      <x:c r="G1675" s="24" t="str">
        <x:v>SmartLife Young</x:v>
      </x:c>
      <x:c r="H1675" s="24"/>
      <x:c r="I1675" s="24" t="str">
        <x:v>1.6</x:v>
      </x:c>
      <x:c r="J1675" s="24" t="str">
        <x:v>1.60</x:v>
      </x:c>
      <x:c r="K1675" s="24" t="str">
        <x:v>DuraVision Antivírus Platinum UV</x:v>
      </x:c>
      <x:c r="L1675" s="40" t="n">
        <x:v>2698</x:v>
      </x:c>
      <x:c r="M1675" s="24" t="str">
        <x:v>-6.00 a +6.00</x:v>
      </x:c>
      <x:c r="N1675" s="24" t="str">
        <x:v>-6.00</x:v>
      </x:c>
      <x:c r="O1675" s="24" t="str">
        <x:v>-</x:v>
      </x:c>
      <x:c r="P1675" s="24" t="str">
        <x:v>75</x:v>
      </x:c>
      <x:c r="Q1675" s="24"/>
      <x:c r="R1675" s="24"/>
      <x:c r="S1675" s="26" t="n">
        <x:v>46113</x:v>
      </x:c>
      <x:c r="T1675" s="26"/>
      <x:c r="U1675" s="24" t="str">
        <x:v>ATIVA/SEM FIM INFORMADO</x:v>
      </x:c>
      <x:c r="V1675" s="24"/>
      <x:c r="W1675" s="24" t="n">
        <x:v>20</x:v>
      </x:c>
      <x:c r="X1675" s="24" t="str">
        <x:v>tabela_zeiss.pdf</x:v>
      </x:c>
      <x:c r="Y1675" s="24" t="str">
        <x:v>alta</x:v>
      </x:c>
      <x:c r="Z1675" s="24"/>
      <x:c r="AA1675" s="24" t="str">
        <x:v>ZEISS|Visão Simples Jovem|Surfaçada|SmartLife Young||1.6|1.60|DuraVision Antivírus Platinum UV|-6.00 a +6.00|-6.00|-|75|||20</x:v>
      </x:c>
    </x:row>
    <x:row r="1676">
      <x:c r="A1676" s="24" t="str">
        <x:v>ZS-8F8524B981C8</x:v>
      </x:c>
      <x:c r="B1676" s="24" t="str">
        <x:v>SIM</x:v>
      </x:c>
      <x:c r="C1676" s="24" t="str">
        <x:v>DISPONÍVEL</x:v>
      </x:c>
      <x:c r="D1676" s="24" t="str">
        <x:v>ZEISS</x:v>
      </x:c>
      <x:c r="E1676" s="24" t="str">
        <x:v>Visão Simples Jovem</x:v>
      </x:c>
      <x:c r="F1676" s="24" t="str">
        <x:v>Surfaçada</x:v>
      </x:c>
      <x:c r="G1676" s="24" t="str">
        <x:v>SmartLife Young</x:v>
      </x:c>
      <x:c r="H1676" s="24"/>
      <x:c r="I1676" s="24" t="str">
        <x:v>1.6</x:v>
      </x:c>
      <x:c r="J1676" s="24" t="str">
        <x:v>1.60</x:v>
      </x:c>
      <x:c r="K1676" s="24" t="str">
        <x:v>DuraVision Platinum UV</x:v>
      </x:c>
      <x:c r="L1676" s="40" t="n">
        <x:v>2698</x:v>
      </x:c>
      <x:c r="M1676" s="24" t="str">
        <x:v>-6.00 a +6.00</x:v>
      </x:c>
      <x:c r="N1676" s="24" t="str">
        <x:v>-6.00</x:v>
      </x:c>
      <x:c r="O1676" s="24" t="str">
        <x:v>-</x:v>
      </x:c>
      <x:c r="P1676" s="24" t="str">
        <x:v>75</x:v>
      </x:c>
      <x:c r="Q1676" s="24"/>
      <x:c r="R1676" s="24"/>
      <x:c r="S1676" s="26" t="n">
        <x:v>46113</x:v>
      </x:c>
      <x:c r="T1676" s="26"/>
      <x:c r="U1676" s="24" t="str">
        <x:v>ATIVA/SEM FIM INFORMADO</x:v>
      </x:c>
      <x:c r="V1676" s="24"/>
      <x:c r="W1676" s="24" t="n">
        <x:v>20</x:v>
      </x:c>
      <x:c r="X1676" s="24" t="str">
        <x:v>tabela_zeiss.pdf</x:v>
      </x:c>
      <x:c r="Y1676" s="24" t="str">
        <x:v>alta</x:v>
      </x:c>
      <x:c r="Z1676" s="24"/>
      <x:c r="AA1676" s="24" t="str">
        <x:v>ZEISS|Visão Simples Jovem|Surfaçada|SmartLife Young||1.6|1.60|DuraVision Platinum UV|-6.00 a +6.00|-6.00|-|75|||20</x:v>
      </x:c>
    </x:row>
    <x:row r="1677">
      <x:c r="A1677" s="24" t="str">
        <x:v>ZS-F29BA05C1A55</x:v>
      </x:c>
      <x:c r="B1677" s="24" t="str">
        <x:v>SIM</x:v>
      </x:c>
      <x:c r="C1677" s="24" t="str">
        <x:v>DISPONÍVEL</x:v>
      </x:c>
      <x:c r="D1677" s="24" t="str">
        <x:v>ZEISS</x:v>
      </x:c>
      <x:c r="E1677" s="24" t="str">
        <x:v>Visão Simples Jovem</x:v>
      </x:c>
      <x:c r="F1677" s="24" t="str">
        <x:v>Surfaçada</x:v>
      </x:c>
      <x:c r="G1677" s="24" t="str">
        <x:v>SmartLife Young</x:v>
      </x:c>
      <x:c r="H1677" s="24"/>
      <x:c r="I1677" s="24" t="str">
        <x:v>1.6</x:v>
      </x:c>
      <x:c r="J1677" s="24" t="str">
        <x:v>1.60</x:v>
      </x:c>
      <x:c r="K1677" s="24" t="str">
        <x:v>DuraVision Silver UV</x:v>
      </x:c>
      <x:c r="L1677" s="40" t="n">
        <x:v>2438</x:v>
      </x:c>
      <x:c r="M1677" s="24" t="str">
        <x:v>-6.00 a +6.00</x:v>
      </x:c>
      <x:c r="N1677" s="24" t="str">
        <x:v>-6.00</x:v>
      </x:c>
      <x:c r="O1677" s="24" t="str">
        <x:v>-</x:v>
      </x:c>
      <x:c r="P1677" s="24" t="str">
        <x:v>75</x:v>
      </x:c>
      <x:c r="Q1677" s="24"/>
      <x:c r="R1677" s="24"/>
      <x:c r="S1677" s="26" t="n">
        <x:v>46113</x:v>
      </x:c>
      <x:c r="T1677" s="26"/>
      <x:c r="U1677" s="24" t="str">
        <x:v>ATIVA/SEM FIM INFORMADO</x:v>
      </x:c>
      <x:c r="V1677" s="24"/>
      <x:c r="W1677" s="24" t="n">
        <x:v>20</x:v>
      </x:c>
      <x:c r="X1677" s="24" t="str">
        <x:v>tabela_zeiss.pdf</x:v>
      </x:c>
      <x:c r="Y1677" s="24" t="str">
        <x:v>alta</x:v>
      </x:c>
      <x:c r="Z1677" s="24"/>
      <x:c r="AA1677" s="24" t="str">
        <x:v>ZEISS|Visão Simples Jovem|Surfaçada|SmartLife Young||1.6|1.60|DuraVision Silver UV|-6.00 a +6.00|-6.00|-|75|||20</x:v>
      </x:c>
    </x:row>
    <x:row r="1678">
      <x:c r="A1678" s="24" t="str">
        <x:v>ZS-D2380DDA5CAE</x:v>
      </x:c>
      <x:c r="B1678" s="24" t="str">
        <x:v>SIM</x:v>
      </x:c>
      <x:c r="C1678" s="24" t="str">
        <x:v>DISPONÍVEL</x:v>
      </x:c>
      <x:c r="D1678" s="24" t="str">
        <x:v>ZEISS</x:v>
      </x:c>
      <x:c r="E1678" s="24" t="str">
        <x:v>Visão Simples Jovem</x:v>
      </x:c>
      <x:c r="F1678" s="24" t="str">
        <x:v>Surfaçada</x:v>
      </x:c>
      <x:c r="G1678" s="24" t="str">
        <x:v>SmartLife Young</x:v>
      </x:c>
      <x:c r="H1678" s="24"/>
      <x:c r="I1678" s="24" t="str">
        <x:v>1.6</x:v>
      </x:c>
      <x:c r="J1678" s="24" t="str">
        <x:v>1.60</x:v>
      </x:c>
      <x:c r="K1678" s="24" t="str">
        <x:v>DuraVision Chrome UV</x:v>
      </x:c>
      <x:c r="L1678" s="40" t="n">
        <x:v>1948</x:v>
      </x:c>
      <x:c r="M1678" s="24" t="str">
        <x:v>-6.00 a +6.00</x:v>
      </x:c>
      <x:c r="N1678" s="24" t="str">
        <x:v>-6.00</x:v>
      </x:c>
      <x:c r="O1678" s="24" t="str">
        <x:v>-</x:v>
      </x:c>
      <x:c r="P1678" s="24" t="str">
        <x:v>75</x:v>
      </x:c>
      <x:c r="Q1678" s="24"/>
      <x:c r="R1678" s="24"/>
      <x:c r="S1678" s="26" t="n">
        <x:v>46113</x:v>
      </x:c>
      <x:c r="T1678" s="26"/>
      <x:c r="U1678" s="24" t="str">
        <x:v>ATIVA/SEM FIM INFORMADO</x:v>
      </x:c>
      <x:c r="V1678" s="24"/>
      <x:c r="W1678" s="24" t="n">
        <x:v>20</x:v>
      </x:c>
      <x:c r="X1678" s="24" t="str">
        <x:v>tabela_zeiss.pdf</x:v>
      </x:c>
      <x:c r="Y1678" s="24" t="str">
        <x:v>alta</x:v>
      </x:c>
      <x:c r="Z1678" s="24"/>
      <x:c r="AA1678" s="24" t="str">
        <x:v>ZEISS|Visão Simples Jovem|Surfaçada|SmartLife Young||1.6|1.60|DuraVision Chrome UV|-6.00 a +6.00|-6.00|-|75|||20</x:v>
      </x:c>
    </x:row>
    <x:row r="1679">
      <x:c r="A1679" s="24" t="str">
        <x:v>ZS-A1DA86E719A2</x:v>
      </x:c>
      <x:c r="B1679" s="24" t="str">
        <x:v>SIM</x:v>
      </x:c>
      <x:c r="C1679" s="24" t="str">
        <x:v>DISPONÍVEL</x:v>
      </x:c>
      <x:c r="D1679" s="24" t="str">
        <x:v>ZEISS</x:v>
      </x:c>
      <x:c r="E1679" s="24" t="str">
        <x:v>Visão Simples Jovem</x:v>
      </x:c>
      <x:c r="F1679" s="24" t="str">
        <x:v>Surfaçada</x:v>
      </x:c>
      <x:c r="G1679" s="24" t="str">
        <x:v>SmartLife Young</x:v>
      </x:c>
      <x:c r="H1679" s="24"/>
      <x:c r="I1679" s="24" t="str">
        <x:v>1.67</x:v>
      </x:c>
      <x:c r="J1679" s="24" t="str">
        <x:v>1.67</x:v>
      </x:c>
      <x:c r="K1679" s="24" t="str">
        <x:v>DuraVision Gold UV</x:v>
      </x:c>
      <x:c r="L1679" s="40" t="n">
        <x:v>4138</x:v>
      </x:c>
      <x:c r="M1679" s="24" t="str">
        <x:v>-8.00 a +8.00</x:v>
      </x:c>
      <x:c r="N1679" s="24" t="str">
        <x:v>-6.00</x:v>
      </x:c>
      <x:c r="O1679" s="24" t="str">
        <x:v>-</x:v>
      </x:c>
      <x:c r="P1679" s="24" t="str">
        <x:v>70</x:v>
      </x:c>
      <x:c r="Q1679" s="24"/>
      <x:c r="R1679" s="24"/>
      <x:c r="S1679" s="26" t="n">
        <x:v>46113</x:v>
      </x:c>
      <x:c r="T1679" s="26"/>
      <x:c r="U1679" s="24" t="str">
        <x:v>ATIVA/SEM FIM INFORMADO</x:v>
      </x:c>
      <x:c r="V1679" s="24"/>
      <x:c r="W1679" s="24" t="n">
        <x:v>20</x:v>
      </x:c>
      <x:c r="X1679" s="24" t="str">
        <x:v>tabela_zeiss.pdf</x:v>
      </x:c>
      <x:c r="Y1679" s="24" t="str">
        <x:v>alta</x:v>
      </x:c>
      <x:c r="Z1679" s="24"/>
      <x:c r="AA1679" s="24" t="str">
        <x:v>ZEISS|Visão Simples Jovem|Surfaçada|SmartLife Young||1.67|1.67|DuraVision Gold UV|-8.00 a +8.00|-6.00|-|70|||20</x:v>
      </x:c>
    </x:row>
    <x:row r="1680">
      <x:c r="A1680" s="24" t="str">
        <x:v>ZS-801011B70C13</x:v>
      </x:c>
      <x:c r="B1680" s="24" t="str">
        <x:v>SIM</x:v>
      </x:c>
      <x:c r="C1680" s="24" t="str">
        <x:v>DISPONÍVEL</x:v>
      </x:c>
      <x:c r="D1680" s="24" t="str">
        <x:v>ZEISS</x:v>
      </x:c>
      <x:c r="E1680" s="24" t="str">
        <x:v>Visão Simples Jovem</x:v>
      </x:c>
      <x:c r="F1680" s="24" t="str">
        <x:v>Surfaçada</x:v>
      </x:c>
      <x:c r="G1680" s="24" t="str">
        <x:v>SmartLife Young</x:v>
      </x:c>
      <x:c r="H1680" s="24"/>
      <x:c r="I1680" s="24" t="str">
        <x:v>1.67</x:v>
      </x:c>
      <x:c r="J1680" s="24" t="str">
        <x:v>1.67</x:v>
      </x:c>
      <x:c r="K1680" s="24" t="str">
        <x:v>DuraVision Antivírus Platinum UV</x:v>
      </x:c>
      <x:c r="L1680" s="40" t="n">
        <x:v>3998</x:v>
      </x:c>
      <x:c r="M1680" s="24" t="str">
        <x:v>-8.00 a +8.00</x:v>
      </x:c>
      <x:c r="N1680" s="24" t="str">
        <x:v>-6.00</x:v>
      </x:c>
      <x:c r="O1680" s="24" t="str">
        <x:v>-</x:v>
      </x:c>
      <x:c r="P1680" s="24" t="str">
        <x:v>70</x:v>
      </x:c>
      <x:c r="Q1680" s="24"/>
      <x:c r="R1680" s="24"/>
      <x:c r="S1680" s="26" t="n">
        <x:v>46113</x:v>
      </x:c>
      <x:c r="T1680" s="26"/>
      <x:c r="U1680" s="24" t="str">
        <x:v>ATIVA/SEM FIM INFORMADO</x:v>
      </x:c>
      <x:c r="V1680" s="24"/>
      <x:c r="W1680" s="24" t="n">
        <x:v>20</x:v>
      </x:c>
      <x:c r="X1680" s="24" t="str">
        <x:v>tabela_zeiss.pdf</x:v>
      </x:c>
      <x:c r="Y1680" s="24" t="str">
        <x:v>alta</x:v>
      </x:c>
      <x:c r="Z1680" s="24"/>
      <x:c r="AA1680" s="24" t="str">
        <x:v>ZEISS|Visão Simples Jovem|Surfaçada|SmartLife Young||1.67|1.67|DuraVision Antivírus Platinum UV|-8.00 a +8.00|-6.00|-|70|||20</x:v>
      </x:c>
    </x:row>
    <x:row r="1681">
      <x:c r="A1681" s="24" t="str">
        <x:v>ZS-97104A875553</x:v>
      </x:c>
      <x:c r="B1681" s="24" t="str">
        <x:v>SIM</x:v>
      </x:c>
      <x:c r="C1681" s="24" t="str">
        <x:v>DISPONÍVEL</x:v>
      </x:c>
      <x:c r="D1681" s="24" t="str">
        <x:v>ZEISS</x:v>
      </x:c>
      <x:c r="E1681" s="24" t="str">
        <x:v>Visão Simples Jovem</x:v>
      </x:c>
      <x:c r="F1681" s="24" t="str">
        <x:v>Surfaçada</x:v>
      </x:c>
      <x:c r="G1681" s="24" t="str">
        <x:v>SmartLife Young</x:v>
      </x:c>
      <x:c r="H1681" s="24"/>
      <x:c r="I1681" s="24" t="str">
        <x:v>1.67</x:v>
      </x:c>
      <x:c r="J1681" s="24" t="str">
        <x:v>1.67</x:v>
      </x:c>
      <x:c r="K1681" s="24" t="str">
        <x:v>DuraVision Platinum UV</x:v>
      </x:c>
      <x:c r="L1681" s="40" t="n">
        <x:v>3998</x:v>
      </x:c>
      <x:c r="M1681" s="24" t="str">
        <x:v>-8.00 a +8.00</x:v>
      </x:c>
      <x:c r="N1681" s="24" t="str">
        <x:v>-6.00</x:v>
      </x:c>
      <x:c r="O1681" s="24" t="str">
        <x:v>-</x:v>
      </x:c>
      <x:c r="P1681" s="24" t="str">
        <x:v>70</x:v>
      </x:c>
      <x:c r="Q1681" s="24"/>
      <x:c r="R1681" s="24"/>
      <x:c r="S1681" s="26" t="n">
        <x:v>46113</x:v>
      </x:c>
      <x:c r="T1681" s="26"/>
      <x:c r="U1681" s="24" t="str">
        <x:v>ATIVA/SEM FIM INFORMADO</x:v>
      </x:c>
      <x:c r="V1681" s="24"/>
      <x:c r="W1681" s="24" t="n">
        <x:v>20</x:v>
      </x:c>
      <x:c r="X1681" s="24" t="str">
        <x:v>tabela_zeiss.pdf</x:v>
      </x:c>
      <x:c r="Y1681" s="24" t="str">
        <x:v>alta</x:v>
      </x:c>
      <x:c r="Z1681" s="24"/>
      <x:c r="AA1681" s="24" t="str">
        <x:v>ZEISS|Visão Simples Jovem|Surfaçada|SmartLife Young||1.67|1.67|DuraVision Platinum UV|-8.00 a +8.00|-6.00|-|70|||20</x:v>
      </x:c>
    </x:row>
    <x:row r="1682">
      <x:c r="A1682" s="24" t="str">
        <x:v>ZS-9F80A1EF978F</x:v>
      </x:c>
      <x:c r="B1682" s="24" t="str">
        <x:v>SIM</x:v>
      </x:c>
      <x:c r="C1682" s="24" t="str">
        <x:v>DISPONÍVEL</x:v>
      </x:c>
      <x:c r="D1682" s="24" t="str">
        <x:v>ZEISS</x:v>
      </x:c>
      <x:c r="E1682" s="24" t="str">
        <x:v>Visão Simples Jovem</x:v>
      </x:c>
      <x:c r="F1682" s="24" t="str">
        <x:v>Surfaçada</x:v>
      </x:c>
      <x:c r="G1682" s="24" t="str">
        <x:v>SmartLife Young</x:v>
      </x:c>
      <x:c r="H1682" s="24"/>
      <x:c r="I1682" s="24" t="str">
        <x:v>1.67</x:v>
      </x:c>
      <x:c r="J1682" s="24" t="str">
        <x:v>1.67</x:v>
      </x:c>
      <x:c r="K1682" s="24" t="str">
        <x:v>DuraVision Silver UV</x:v>
      </x:c>
      <x:c r="L1682" s="40" t="n">
        <x:v>3738</x:v>
      </x:c>
      <x:c r="M1682" s="24" t="str">
        <x:v>-8.00 a +8.00</x:v>
      </x:c>
      <x:c r="N1682" s="24" t="str">
        <x:v>-6.00</x:v>
      </x:c>
      <x:c r="O1682" s="24" t="str">
        <x:v>-</x:v>
      </x:c>
      <x:c r="P1682" s="24" t="str">
        <x:v>70</x:v>
      </x:c>
      <x:c r="Q1682" s="24"/>
      <x:c r="R1682" s="24"/>
      <x:c r="S1682" s="26" t="n">
        <x:v>46113</x:v>
      </x:c>
      <x:c r="T1682" s="26"/>
      <x:c r="U1682" s="24" t="str">
        <x:v>ATIVA/SEM FIM INFORMADO</x:v>
      </x:c>
      <x:c r="V1682" s="24"/>
      <x:c r="W1682" s="24" t="n">
        <x:v>20</x:v>
      </x:c>
      <x:c r="X1682" s="24" t="str">
        <x:v>tabela_zeiss.pdf</x:v>
      </x:c>
      <x:c r="Y1682" s="24" t="str">
        <x:v>alta</x:v>
      </x:c>
      <x:c r="Z1682" s="24"/>
      <x:c r="AA1682" s="24" t="str">
        <x:v>ZEISS|Visão Simples Jovem|Surfaçada|SmartLife Young||1.67|1.67|DuraVision Silver UV|-8.00 a +8.00|-6.00|-|70|||20</x:v>
      </x:c>
    </x:row>
    <x:row r="1683">
      <x:c r="A1683" s="24" t="str">
        <x:v>ZS-1A4309DCA721</x:v>
      </x:c>
      <x:c r="B1683" s="24" t="str">
        <x:v>SIM</x:v>
      </x:c>
      <x:c r="C1683" s="24" t="str">
        <x:v>DISPONÍVEL</x:v>
      </x:c>
      <x:c r="D1683" s="24" t="str">
        <x:v>ZEISS</x:v>
      </x:c>
      <x:c r="E1683" s="24" t="str">
        <x:v>Visão Simples Jovem</x:v>
      </x:c>
      <x:c r="F1683" s="24" t="str">
        <x:v>Surfaçada</x:v>
      </x:c>
      <x:c r="G1683" s="24" t="str">
        <x:v>SmartLife Young</x:v>
      </x:c>
      <x:c r="H1683" s="24"/>
      <x:c r="I1683" s="24" t="str">
        <x:v>1.67</x:v>
      </x:c>
      <x:c r="J1683" s="24" t="str">
        <x:v>1.67</x:v>
      </x:c>
      <x:c r="K1683" s="24" t="str">
        <x:v>DuraVision Chrome UV</x:v>
      </x:c>
      <x:c r="L1683" s="40" t="n">
        <x:v>3248</x:v>
      </x:c>
      <x:c r="M1683" s="24" t="str">
        <x:v>-8.00 a +8.00</x:v>
      </x:c>
      <x:c r="N1683" s="24" t="str">
        <x:v>-6.00</x:v>
      </x:c>
      <x:c r="O1683" s="24" t="str">
        <x:v>-</x:v>
      </x:c>
      <x:c r="P1683" s="24" t="str">
        <x:v>70</x:v>
      </x:c>
      <x:c r="Q1683" s="24"/>
      <x:c r="R1683" s="24"/>
      <x:c r="S1683" s="26" t="n">
        <x:v>46113</x:v>
      </x:c>
      <x:c r="T1683" s="26"/>
      <x:c r="U1683" s="24" t="str">
        <x:v>ATIVA/SEM FIM INFORMADO</x:v>
      </x:c>
      <x:c r="V1683" s="24"/>
      <x:c r="W1683" s="24" t="n">
        <x:v>20</x:v>
      </x:c>
      <x:c r="X1683" s="24" t="str">
        <x:v>tabela_zeiss.pdf</x:v>
      </x:c>
      <x:c r="Y1683" s="24" t="str">
        <x:v>alta</x:v>
      </x:c>
      <x:c r="Z1683" s="24"/>
      <x:c r="AA1683" s="24" t="str">
        <x:v>ZEISS|Visão Simples Jovem|Surfaçada|SmartLife Young||1.67|1.67|DuraVision Chrome UV|-8.00 a +8.00|-6.00|-|70|||20</x:v>
      </x:c>
    </x:row>
    <x:row r="1684">
      <x:c r="A1684" s="24" t="str">
        <x:v>ZS-1DED8946D142</x:v>
      </x:c>
      <x:c r="B1684" s="24" t="str">
        <x:v>SIM</x:v>
      </x:c>
      <x:c r="C1684" s="24" t="str">
        <x:v>DISPONÍVEL</x:v>
      </x:c>
      <x:c r="D1684" s="24" t="str">
        <x:v>ZEISS</x:v>
      </x:c>
      <x:c r="E1684" s="24" t="str">
        <x:v>Visão Simples Jovem</x:v>
      </x:c>
      <x:c r="F1684" s="24" t="str">
        <x:v>Surfaçada</x:v>
      </x:c>
      <x:c r="G1684" s="24" t="str">
        <x:v>SmartLife Young</x:v>
      </x:c>
      <x:c r="H1684" s="24"/>
      <x:c r="I1684" s="24" t="str">
        <x:v>1.74</x:v>
      </x:c>
      <x:c r="J1684" s="24" t="str">
        <x:v>1.74</x:v>
      </x:c>
      <x:c r="K1684" s="24" t="str">
        <x:v>DuraVision Gold UV</x:v>
      </x:c>
      <x:c r="L1684" s="40" t="n">
        <x:v>4448</x:v>
      </x:c>
      <x:c r="M1684" s="24" t="str">
        <x:v>-10.00 a +6.00</x:v>
      </x:c>
      <x:c r="N1684" s="24" t="str">
        <x:v>-6.00</x:v>
      </x:c>
      <x:c r="O1684" s="24" t="str">
        <x:v>-</x:v>
      </x:c>
      <x:c r="P1684" s="24" t="str">
        <x:v>70 a 75</x:v>
      </x:c>
      <x:c r="Q1684" s="24"/>
      <x:c r="R1684" s="24"/>
      <x:c r="S1684" s="26" t="n">
        <x:v>46113</x:v>
      </x:c>
      <x:c r="T1684" s="26"/>
      <x:c r="U1684" s="24" t="str">
        <x:v>ATIVA/SEM FIM INFORMADO</x:v>
      </x:c>
      <x:c r="V1684" s="24"/>
      <x:c r="W1684" s="24" t="n">
        <x:v>20</x:v>
      </x:c>
      <x:c r="X1684" s="24" t="str">
        <x:v>tabela_zeiss.pdf</x:v>
      </x:c>
      <x:c r="Y1684" s="24" t="str">
        <x:v>alta</x:v>
      </x:c>
      <x:c r="Z1684" s="24"/>
      <x:c r="AA1684" s="24" t="str">
        <x:v>ZEISS|Visão Simples Jovem|Surfaçada|SmartLife Young||1.74|1.74|DuraVision Gold UV|-10.00 a +6.00|-6.00|-|70 a 75|||20</x:v>
      </x:c>
    </x:row>
    <x:row r="1685">
      <x:c r="A1685" s="24" t="str">
        <x:v>ZS-0623249DFE51</x:v>
      </x:c>
      <x:c r="B1685" s="24" t="str">
        <x:v>SIM</x:v>
      </x:c>
      <x:c r="C1685" s="24" t="str">
        <x:v>DISPONÍVEL</x:v>
      </x:c>
      <x:c r="D1685" s="24" t="str">
        <x:v>ZEISS</x:v>
      </x:c>
      <x:c r="E1685" s="24" t="str">
        <x:v>Visão Simples Jovem</x:v>
      </x:c>
      <x:c r="F1685" s="24" t="str">
        <x:v>Surfaçada</x:v>
      </x:c>
      <x:c r="G1685" s="24" t="str">
        <x:v>SmartLife Young</x:v>
      </x:c>
      <x:c r="H1685" s="24"/>
      <x:c r="I1685" s="24" t="str">
        <x:v>1.74</x:v>
      </x:c>
      <x:c r="J1685" s="24" t="str">
        <x:v>1.74</x:v>
      </x:c>
      <x:c r="K1685" s="24" t="str">
        <x:v>DuraVision Platinum UV</x:v>
      </x:c>
      <x:c r="L1685" s="40" t="n">
        <x:v>4308</x:v>
      </x:c>
      <x:c r="M1685" s="24" t="str">
        <x:v>-10.00 a +6.00</x:v>
      </x:c>
      <x:c r="N1685" s="24" t="str">
        <x:v>-6.00</x:v>
      </x:c>
      <x:c r="O1685" s="24" t="str">
        <x:v>-</x:v>
      </x:c>
      <x:c r="P1685" s="24" t="str">
        <x:v>70 a 75</x:v>
      </x:c>
      <x:c r="Q1685" s="24"/>
      <x:c r="R1685" s="24"/>
      <x:c r="S1685" s="26" t="n">
        <x:v>46113</x:v>
      </x:c>
      <x:c r="T1685" s="26"/>
      <x:c r="U1685" s="24" t="str">
        <x:v>ATIVA/SEM FIM INFORMADO</x:v>
      </x:c>
      <x:c r="V1685" s="24"/>
      <x:c r="W1685" s="24" t="n">
        <x:v>20</x:v>
      </x:c>
      <x:c r="X1685" s="24" t="str">
        <x:v>tabela_zeiss.pdf</x:v>
      </x:c>
      <x:c r="Y1685" s="24" t="str">
        <x:v>alta</x:v>
      </x:c>
      <x:c r="Z1685" s="24"/>
      <x:c r="AA1685" s="24" t="str">
        <x:v>ZEISS|Visão Simples Jovem|Surfaçada|SmartLife Young||1.74|1.74|DuraVision Platinum UV|-10.00 a +6.00|-6.00|-|70 a 75|||20</x:v>
      </x:c>
    </x:row>
    <x:row r="1686">
      <x:c r="A1686" s="24" t="str">
        <x:v>ZS-4F7B86B7BDFF</x:v>
      </x:c>
      <x:c r="B1686" s="24" t="str">
        <x:v>SIM</x:v>
      </x:c>
      <x:c r="C1686" s="24" t="str">
        <x:v>DISPONÍVEL</x:v>
      </x:c>
      <x:c r="D1686" s="24" t="str">
        <x:v>ZEISS</x:v>
      </x:c>
      <x:c r="E1686" s="24" t="str">
        <x:v>Visão Simples Jovem</x:v>
      </x:c>
      <x:c r="F1686" s="24" t="str">
        <x:v>Surfaçada</x:v>
      </x:c>
      <x:c r="G1686" s="24" t="str">
        <x:v>SmartLife Young</x:v>
      </x:c>
      <x:c r="H1686" s="24"/>
      <x:c r="I1686" s="24" t="str">
        <x:v>1.74</x:v>
      </x:c>
      <x:c r="J1686" s="24" t="str">
        <x:v>1.74</x:v>
      </x:c>
      <x:c r="K1686" s="24" t="str">
        <x:v>DuraVision Silver UV</x:v>
      </x:c>
      <x:c r="L1686" s="40" t="n">
        <x:v>4048</x:v>
      </x:c>
      <x:c r="M1686" s="24" t="str">
        <x:v>-10.00 a +6.00</x:v>
      </x:c>
      <x:c r="N1686" s="24" t="str">
        <x:v>-6.00</x:v>
      </x:c>
      <x:c r="O1686" s="24" t="str">
        <x:v>-</x:v>
      </x:c>
      <x:c r="P1686" s="24" t="str">
        <x:v>70 a 75</x:v>
      </x:c>
      <x:c r="Q1686" s="24"/>
      <x:c r="R1686" s="24"/>
      <x:c r="S1686" s="26" t="n">
        <x:v>46113</x:v>
      </x:c>
      <x:c r="T1686" s="26"/>
      <x:c r="U1686" s="24" t="str">
        <x:v>ATIVA/SEM FIM INFORMADO</x:v>
      </x:c>
      <x:c r="V1686" s="24"/>
      <x:c r="W1686" s="24" t="n">
        <x:v>20</x:v>
      </x:c>
      <x:c r="X1686" s="24" t="str">
        <x:v>tabela_zeiss.pdf</x:v>
      </x:c>
      <x:c r="Y1686" s="24" t="str">
        <x:v>alta</x:v>
      </x:c>
      <x:c r="Z1686" s="24"/>
      <x:c r="AA1686" s="24" t="str">
        <x:v>ZEISS|Visão Simples Jovem|Surfaçada|SmartLife Young||1.74|1.74|DuraVision Silver UV|-10.00 a +6.00|-6.00|-|70 a 75|||20</x:v>
      </x:c>
    </x:row>
    <x:row r="1687">
      <x:c r="A1687" s="24" t="str">
        <x:v>ZS-51DAAA2D6E0E</x:v>
      </x:c>
      <x:c r="B1687" s="24" t="str">
        <x:v>SIM</x:v>
      </x:c>
      <x:c r="C1687" s="24" t="str">
        <x:v>DISPONÍVEL</x:v>
      </x:c>
      <x:c r="D1687" s="24" t="str">
        <x:v>ZEISS</x:v>
      </x:c>
      <x:c r="E1687" s="24" t="str">
        <x:v>Visão Simples Jovem</x:v>
      </x:c>
      <x:c r="F1687" s="24" t="str">
        <x:v>Surfaçada</x:v>
      </x:c>
      <x:c r="G1687" s="24" t="str">
        <x:v>SmartLife Young</x:v>
      </x:c>
      <x:c r="H1687" s="24"/>
      <x:c r="I1687" s="24" t="str">
        <x:v>1.74</x:v>
      </x:c>
      <x:c r="J1687" s="24" t="str">
        <x:v>1.74</x:v>
      </x:c>
      <x:c r="K1687" s="24" t="str">
        <x:v>DuraVision Chrome UV</x:v>
      </x:c>
      <x:c r="L1687" s="40" t="n">
        <x:v>3558</x:v>
      </x:c>
      <x:c r="M1687" s="24" t="str">
        <x:v>-10.00 a +6.00</x:v>
      </x:c>
      <x:c r="N1687" s="24" t="str">
        <x:v>-6.00</x:v>
      </x:c>
      <x:c r="O1687" s="24" t="str">
        <x:v>-</x:v>
      </x:c>
      <x:c r="P1687" s="24" t="str">
        <x:v>70 a 75</x:v>
      </x:c>
      <x:c r="Q1687" s="24"/>
      <x:c r="R1687" s="24"/>
      <x:c r="S1687" s="26" t="n">
        <x:v>46113</x:v>
      </x:c>
      <x:c r="T1687" s="26"/>
      <x:c r="U1687" s="24" t="str">
        <x:v>ATIVA/SEM FIM INFORMADO</x:v>
      </x:c>
      <x:c r="V1687" s="24"/>
      <x:c r="W1687" s="24" t="n">
        <x:v>20</x:v>
      </x:c>
      <x:c r="X1687" s="24" t="str">
        <x:v>tabela_zeiss.pdf</x:v>
      </x:c>
      <x:c r="Y1687" s="24" t="str">
        <x:v>alta</x:v>
      </x:c>
      <x:c r="Z1687" s="24"/>
      <x:c r="AA1687" s="24" t="str">
        <x:v>ZEISS|Visão Simples Jovem|Surfaçada|SmartLife Young||1.74|1.74|DuraVision Chrome UV|-10.00 a +6.00|-6.00|-|70 a 75|||20</x:v>
      </x:c>
    </x:row>
    <x:row r="1688">
      <x:c r="A1688" s="24" t="str">
        <x:v>ZS-6A1A2A5F23B6</x:v>
      </x:c>
      <x:c r="B1688" s="24" t="str">
        <x:v>SIM</x:v>
      </x:c>
      <x:c r="C1688" s="24" t="str">
        <x:v>DISPONÍVEL</x:v>
      </x:c>
      <x:c r="D1688" s="24" t="str">
        <x:v>ZEISS</x:v>
      </x:c>
      <x:c r="E1688" s="24" t="str">
        <x:v>Visão Simples Jovem</x:v>
      </x:c>
      <x:c r="F1688" s="24" t="str">
        <x:v>Surfaçada</x:v>
      </x:c>
      <x:c r="G1688" s="24" t="str">
        <x:v>SmartLife Young</x:v>
      </x:c>
      <x:c r="H1688" s="24" t="str">
        <x:v>PhotoFusion X</x:v>
      </x:c>
      <x:c r="I1688" s="24" t="str">
        <x:v>1.5</x:v>
      </x:c>
      <x:c r="J1688" s="24" t="str">
        <x:v>1.50</x:v>
      </x:c>
      <x:c r="K1688" s="24" t="str">
        <x:v>DuraVision Gold UV</x:v>
      </x:c>
      <x:c r="L1688" s="40" t="n">
        <x:v>3348</x:v>
      </x:c>
      <x:c r="M1688" s="24" t="str">
        <x:v>-6.00 a +6.00</x:v>
      </x:c>
      <x:c r="N1688" s="24" t="str">
        <x:v>-4.00</x:v>
      </x:c>
      <x:c r="O1688" s="24" t="str">
        <x:v>-</x:v>
      </x:c>
      <x:c r="P1688" s="24" t="str">
        <x:v>75</x:v>
      </x:c>
      <x:c r="Q1688" s="24"/>
      <x:c r="R1688" s="24"/>
      <x:c r="S1688" s="26" t="n">
        <x:v>46113</x:v>
      </x:c>
      <x:c r="T1688" s="26"/>
      <x:c r="U1688" s="24" t="str">
        <x:v>ATIVA/SEM FIM INFORMADO</x:v>
      </x:c>
      <x:c r="V1688" s="24" t="str">
        <x:v>Programa de Parcerias ZEISS</x:v>
      </x:c>
      <x:c r="W1688" s="24" t="n">
        <x:v>20</x:v>
      </x:c>
      <x:c r="X1688" s="24" t="str">
        <x:v>tabela_zeiss.pdf</x:v>
      </x:c>
      <x:c r="Y1688" s="24" t="str">
        <x:v>alta</x:v>
      </x:c>
      <x:c r="Z1688" s="24"/>
      <x:c r="AA1688" s="24" t="str">
        <x:v>ZEISS|Visão Simples Jovem|Surfaçada|SmartLife Young|PhotoFusion X|1.5|1.50|DuraVision Gold UV|-6.00 a +6.00|-4.00|-|75|||20</x:v>
      </x:c>
    </x:row>
    <x:row r="1689">
      <x:c r="A1689" s="24" t="str">
        <x:v>ZS-1C9779CB9887</x:v>
      </x:c>
      <x:c r="B1689" s="24" t="str">
        <x:v>SIM</x:v>
      </x:c>
      <x:c r="C1689" s="24" t="str">
        <x:v>DISPONÍVEL</x:v>
      </x:c>
      <x:c r="D1689" s="24" t="str">
        <x:v>ZEISS</x:v>
      </x:c>
      <x:c r="E1689" s="24" t="str">
        <x:v>Visão Simples Jovem</x:v>
      </x:c>
      <x:c r="F1689" s="24" t="str">
        <x:v>Surfaçada</x:v>
      </x:c>
      <x:c r="G1689" s="24" t="str">
        <x:v>SmartLife Young</x:v>
      </x:c>
      <x:c r="H1689" s="24" t="str">
        <x:v>PhotoFusion X</x:v>
      </x:c>
      <x:c r="I1689" s="24" t="str">
        <x:v>1.5</x:v>
      </x:c>
      <x:c r="J1689" s="24" t="str">
        <x:v>1.50</x:v>
      </x:c>
      <x:c r="K1689" s="24" t="str">
        <x:v>DuraVision Antivírus Platinum UV</x:v>
      </x:c>
      <x:c r="L1689" s="40" t="n">
        <x:v>3208</x:v>
      </x:c>
      <x:c r="M1689" s="24" t="str">
        <x:v>-6.00 a +6.00</x:v>
      </x:c>
      <x:c r="N1689" s="24" t="str">
        <x:v>-4.00</x:v>
      </x:c>
      <x:c r="O1689" s="24" t="str">
        <x:v>-</x:v>
      </x:c>
      <x:c r="P1689" s="24" t="str">
        <x:v>75</x:v>
      </x:c>
      <x:c r="Q1689" s="24"/>
      <x:c r="R1689" s="24"/>
      <x:c r="S1689" s="26" t="n">
        <x:v>46113</x:v>
      </x:c>
      <x:c r="T1689" s="26"/>
      <x:c r="U1689" s="24" t="str">
        <x:v>ATIVA/SEM FIM INFORMADO</x:v>
      </x:c>
      <x:c r="V1689" s="24" t="str">
        <x:v>Programa de Parcerias ZEISS</x:v>
      </x:c>
      <x:c r="W1689" s="24" t="n">
        <x:v>20</x:v>
      </x:c>
      <x:c r="X1689" s="24" t="str">
        <x:v>tabela_zeiss.pdf</x:v>
      </x:c>
      <x:c r="Y1689" s="24" t="str">
        <x:v>alta</x:v>
      </x:c>
      <x:c r="Z1689" s="24"/>
      <x:c r="AA1689" s="24" t="str">
        <x:v>ZEISS|Visão Simples Jovem|Surfaçada|SmartLife Young|PhotoFusion X|1.5|1.50|DuraVision Antivírus Platinum UV|-6.00 a +6.00|-4.00|-|75|||20</x:v>
      </x:c>
    </x:row>
    <x:row r="1690">
      <x:c r="A1690" s="24" t="str">
        <x:v>ZS-4DF707CAE435</x:v>
      </x:c>
      <x:c r="B1690" s="24" t="str">
        <x:v>SIM</x:v>
      </x:c>
      <x:c r="C1690" s="24" t="str">
        <x:v>DISPONÍVEL</x:v>
      </x:c>
      <x:c r="D1690" s="24" t="str">
        <x:v>ZEISS</x:v>
      </x:c>
      <x:c r="E1690" s="24" t="str">
        <x:v>Visão Simples Jovem</x:v>
      </x:c>
      <x:c r="F1690" s="24" t="str">
        <x:v>Surfaçada</x:v>
      </x:c>
      <x:c r="G1690" s="24" t="str">
        <x:v>SmartLife Young</x:v>
      </x:c>
      <x:c r="H1690" s="24" t="str">
        <x:v>PhotoFusion X</x:v>
      </x:c>
      <x:c r="I1690" s="24" t="str">
        <x:v>1.5</x:v>
      </x:c>
      <x:c r="J1690" s="24" t="str">
        <x:v>1.50</x:v>
      </x:c>
      <x:c r="K1690" s="24" t="str">
        <x:v>DuraVision Platinum UV</x:v>
      </x:c>
      <x:c r="L1690" s="40" t="n">
        <x:v>3208</x:v>
      </x:c>
      <x:c r="M1690" s="24" t="str">
        <x:v>-6.00 a +6.00</x:v>
      </x:c>
      <x:c r="N1690" s="24" t="str">
        <x:v>-4.00</x:v>
      </x:c>
      <x:c r="O1690" s="24" t="str">
        <x:v>-</x:v>
      </x:c>
      <x:c r="P1690" s="24" t="str">
        <x:v>75</x:v>
      </x:c>
      <x:c r="Q1690" s="24"/>
      <x:c r="R1690" s="24"/>
      <x:c r="S1690" s="26" t="n">
        <x:v>46113</x:v>
      </x:c>
      <x:c r="T1690" s="26"/>
      <x:c r="U1690" s="24" t="str">
        <x:v>ATIVA/SEM FIM INFORMADO</x:v>
      </x:c>
      <x:c r="V1690" s="24" t="str">
        <x:v>Programa de Parcerias ZEISS</x:v>
      </x:c>
      <x:c r="W1690" s="24" t="n">
        <x:v>20</x:v>
      </x:c>
      <x:c r="X1690" s="24" t="str">
        <x:v>tabela_zeiss.pdf</x:v>
      </x:c>
      <x:c r="Y1690" s="24" t="str">
        <x:v>alta</x:v>
      </x:c>
      <x:c r="Z1690" s="24"/>
      <x:c r="AA1690" s="24" t="str">
        <x:v>ZEISS|Visão Simples Jovem|Surfaçada|SmartLife Young|PhotoFusion X|1.5|1.50|DuraVision Platinum UV|-6.00 a +6.00|-4.00|-|75|||20</x:v>
      </x:c>
    </x:row>
    <x:row r="1691">
      <x:c r="A1691" s="24" t="str">
        <x:v>ZS-79106DCD8396</x:v>
      </x:c>
      <x:c r="B1691" s="24" t="str">
        <x:v>SIM</x:v>
      </x:c>
      <x:c r="C1691" s="24" t="str">
        <x:v>DISPONÍVEL</x:v>
      </x:c>
      <x:c r="D1691" s="24" t="str">
        <x:v>ZEISS</x:v>
      </x:c>
      <x:c r="E1691" s="24" t="str">
        <x:v>Visão Simples Jovem</x:v>
      </x:c>
      <x:c r="F1691" s="24" t="str">
        <x:v>Surfaçada</x:v>
      </x:c>
      <x:c r="G1691" s="24" t="str">
        <x:v>SmartLife Young</x:v>
      </x:c>
      <x:c r="H1691" s="24" t="str">
        <x:v>PhotoFusion X</x:v>
      </x:c>
      <x:c r="I1691" s="24" t="str">
        <x:v>1.5</x:v>
      </x:c>
      <x:c r="J1691" s="24" t="str">
        <x:v>1.50</x:v>
      </x:c>
      <x:c r="K1691" s="24" t="str">
        <x:v>DuraVision Silver UV</x:v>
      </x:c>
      <x:c r="L1691" s="40" t="n">
        <x:v>2948</x:v>
      </x:c>
      <x:c r="M1691" s="24" t="str">
        <x:v>-6.00 a +6.00</x:v>
      </x:c>
      <x:c r="N1691" s="24" t="str">
        <x:v>-4.00</x:v>
      </x:c>
      <x:c r="O1691" s="24" t="str">
        <x:v>-</x:v>
      </x:c>
      <x:c r="P1691" s="24" t="str">
        <x:v>75</x:v>
      </x:c>
      <x:c r="Q1691" s="24"/>
      <x:c r="R1691" s="24"/>
      <x:c r="S1691" s="26" t="n">
        <x:v>46113</x:v>
      </x:c>
      <x:c r="T1691" s="26"/>
      <x:c r="U1691" s="24" t="str">
        <x:v>ATIVA/SEM FIM INFORMADO</x:v>
      </x:c>
      <x:c r="V1691" s="24" t="str">
        <x:v>Programa de Parcerias ZEISS</x:v>
      </x:c>
      <x:c r="W1691" s="24" t="n">
        <x:v>20</x:v>
      </x:c>
      <x:c r="X1691" s="24" t="str">
        <x:v>tabela_zeiss.pdf</x:v>
      </x:c>
      <x:c r="Y1691" s="24" t="str">
        <x:v>alta</x:v>
      </x:c>
      <x:c r="Z1691" s="24"/>
      <x:c r="AA1691" s="24" t="str">
        <x:v>ZEISS|Visão Simples Jovem|Surfaçada|SmartLife Young|PhotoFusion X|1.5|1.50|DuraVision Silver UV|-6.00 a +6.00|-4.00|-|75|||20</x:v>
      </x:c>
    </x:row>
    <x:row r="1692">
      <x:c r="A1692" s="24" t="str">
        <x:v>ZS-6DA638A2A16A</x:v>
      </x:c>
      <x:c r="B1692" s="24" t="str">
        <x:v>SIM</x:v>
      </x:c>
      <x:c r="C1692" s="24" t="str">
        <x:v>DISPONÍVEL</x:v>
      </x:c>
      <x:c r="D1692" s="24" t="str">
        <x:v>ZEISS</x:v>
      </x:c>
      <x:c r="E1692" s="24" t="str">
        <x:v>Visão Simples Jovem</x:v>
      </x:c>
      <x:c r="F1692" s="24" t="str">
        <x:v>Surfaçada</x:v>
      </x:c>
      <x:c r="G1692" s="24" t="str">
        <x:v>SmartLife Young</x:v>
      </x:c>
      <x:c r="H1692" s="24" t="str">
        <x:v>PhotoFusion X</x:v>
      </x:c>
      <x:c r="I1692" s="24" t="str">
        <x:v>1.5</x:v>
      </x:c>
      <x:c r="J1692" s="24" t="str">
        <x:v>1.50</x:v>
      </x:c>
      <x:c r="K1692" s="24" t="str">
        <x:v>DuraVision Chrome UV</x:v>
      </x:c>
      <x:c r="L1692" s="40" t="n">
        <x:v>2458</x:v>
      </x:c>
      <x:c r="M1692" s="24" t="str">
        <x:v>-6.00 a +6.00</x:v>
      </x:c>
      <x:c r="N1692" s="24" t="str">
        <x:v>-4.00</x:v>
      </x:c>
      <x:c r="O1692" s="24" t="str">
        <x:v>-</x:v>
      </x:c>
      <x:c r="P1692" s="24" t="str">
        <x:v>75</x:v>
      </x:c>
      <x:c r="Q1692" s="24"/>
      <x:c r="R1692" s="24"/>
      <x:c r="S1692" s="26" t="n">
        <x:v>46113</x:v>
      </x:c>
      <x:c r="T1692" s="26"/>
      <x:c r="U1692" s="24" t="str">
        <x:v>ATIVA/SEM FIM INFORMADO</x:v>
      </x:c>
      <x:c r="V1692" s="24" t="str">
        <x:v>Programa de Parcerias ZEISS</x:v>
      </x:c>
      <x:c r="W1692" s="24" t="n">
        <x:v>20</x:v>
      </x:c>
      <x:c r="X1692" s="24" t="str">
        <x:v>tabela_zeiss.pdf</x:v>
      </x:c>
      <x:c r="Y1692" s="24" t="str">
        <x:v>alta</x:v>
      </x:c>
      <x:c r="Z1692" s="24"/>
      <x:c r="AA1692" s="24" t="str">
        <x:v>ZEISS|Visão Simples Jovem|Surfaçada|SmartLife Young|PhotoFusion X|1.5|1.50|DuraVision Chrome UV|-6.00 a +6.00|-4.00|-|75|||20</x:v>
      </x:c>
    </x:row>
    <x:row r="1693">
      <x:c r="A1693" s="24" t="str">
        <x:v>ZS-0873FBF4928D</x:v>
      </x:c>
      <x:c r="B1693" s="24" t="str">
        <x:v>SIM</x:v>
      </x:c>
      <x:c r="C1693" s="24" t="str">
        <x:v>DISPONÍVEL</x:v>
      </x:c>
      <x:c r="D1693" s="24" t="str">
        <x:v>ZEISS</x:v>
      </x:c>
      <x:c r="E1693" s="24" t="str">
        <x:v>Visão Simples Jovem</x:v>
      </x:c>
      <x:c r="F1693" s="24" t="str">
        <x:v>Surfaçada</x:v>
      </x:c>
      <x:c r="G1693" s="24" t="str">
        <x:v>SmartLife Young</x:v>
      </x:c>
      <x:c r="H1693" s="24" t="str">
        <x:v>PhotoFusion X</x:v>
      </x:c>
      <x:c r="I1693" s="24" t="str">
        <x:v>Poli</x:v>
      </x:c>
      <x:c r="J1693" s="24"/>
      <x:c r="K1693" s="24" t="str">
        <x:v>DuraVision Gold UV</x:v>
      </x:c>
      <x:c r="L1693" s="40" t="n">
        <x:v>3708</x:v>
      </x:c>
      <x:c r="M1693" s="24" t="str">
        <x:v>-10.00 a +8.00</x:v>
      </x:c>
      <x:c r="N1693" s="24" t="str">
        <x:v>-4.00</x:v>
      </x:c>
      <x:c r="O1693" s="24" t="str">
        <x:v>-</x:v>
      </x:c>
      <x:c r="P1693" s="24" t="str">
        <x:v>70</x:v>
      </x:c>
      <x:c r="Q1693" s="24"/>
      <x:c r="R1693" s="24"/>
      <x:c r="S1693" s="26" t="n">
        <x:v>46113</x:v>
      </x:c>
      <x:c r="T1693" s="26"/>
      <x:c r="U1693" s="24" t="str">
        <x:v>ATIVA/SEM FIM INFORMADO</x:v>
      </x:c>
      <x:c r="V1693" s="24" t="str">
        <x:v>Programa de Parcerias ZEISS</x:v>
      </x:c>
      <x:c r="W1693" s="24" t="n">
        <x:v>20</x:v>
      </x:c>
      <x:c r="X1693" s="24" t="str">
        <x:v>tabela_zeiss.pdf</x:v>
      </x:c>
      <x:c r="Y1693" s="24" t="str">
        <x:v>alta</x:v>
      </x:c>
      <x:c r="Z1693" s="24"/>
      <x:c r="AA1693" s="24" t="str">
        <x:v>ZEISS|Visão Simples Jovem|Surfaçada|SmartLife Young|PhotoFusion X|Poli||DuraVision Gold UV|-10.00 a +8.00|-4.00|-|70|||20</x:v>
      </x:c>
    </x:row>
    <x:row r="1694">
      <x:c r="A1694" s="24" t="str">
        <x:v>ZS-616FF26FCCBB</x:v>
      </x:c>
      <x:c r="B1694" s="24" t="str">
        <x:v>SIM</x:v>
      </x:c>
      <x:c r="C1694" s="24" t="str">
        <x:v>DISPONÍVEL</x:v>
      </x:c>
      <x:c r="D1694" s="24" t="str">
        <x:v>ZEISS</x:v>
      </x:c>
      <x:c r="E1694" s="24" t="str">
        <x:v>Visão Simples Jovem</x:v>
      </x:c>
      <x:c r="F1694" s="24" t="str">
        <x:v>Surfaçada</x:v>
      </x:c>
      <x:c r="G1694" s="24" t="str">
        <x:v>SmartLife Young</x:v>
      </x:c>
      <x:c r="H1694" s="24" t="str">
        <x:v>PhotoFusion X</x:v>
      </x:c>
      <x:c r="I1694" s="24" t="str">
        <x:v>Poli</x:v>
      </x:c>
      <x:c r="J1694" s="24"/>
      <x:c r="K1694" s="24" t="str">
        <x:v>DuraVision Platinum UV</x:v>
      </x:c>
      <x:c r="L1694" s="40" t="n">
        <x:v>3568</x:v>
      </x:c>
      <x:c r="M1694" s="24" t="str">
        <x:v>-10.00 a +8.00</x:v>
      </x:c>
      <x:c r="N1694" s="24" t="str">
        <x:v>-4.00</x:v>
      </x:c>
      <x:c r="O1694" s="24" t="str">
        <x:v>-</x:v>
      </x:c>
      <x:c r="P1694" s="24" t="str">
        <x:v>70</x:v>
      </x:c>
      <x:c r="Q1694" s="24"/>
      <x:c r="R1694" s="24"/>
      <x:c r="S1694" s="26" t="n">
        <x:v>46113</x:v>
      </x:c>
      <x:c r="T1694" s="26"/>
      <x:c r="U1694" s="24" t="str">
        <x:v>ATIVA/SEM FIM INFORMADO</x:v>
      </x:c>
      <x:c r="V1694" s="24" t="str">
        <x:v>Programa de Parcerias ZEISS</x:v>
      </x:c>
      <x:c r="W1694" s="24" t="n">
        <x:v>20</x:v>
      </x:c>
      <x:c r="X1694" s="24" t="str">
        <x:v>tabela_zeiss.pdf</x:v>
      </x:c>
      <x:c r="Y1694" s="24" t="str">
        <x:v>alta</x:v>
      </x:c>
      <x:c r="Z1694" s="24"/>
      <x:c r="AA1694" s="24" t="str">
        <x:v>ZEISS|Visão Simples Jovem|Surfaçada|SmartLife Young|PhotoFusion X|Poli||DuraVision Platinum UV|-10.00 a +8.00|-4.00|-|70|||20</x:v>
      </x:c>
    </x:row>
    <x:row r="1695">
      <x:c r="A1695" s="24" t="str">
        <x:v>ZS-6DB5456D8424</x:v>
      </x:c>
      <x:c r="B1695" s="24" t="str">
        <x:v>SIM</x:v>
      </x:c>
      <x:c r="C1695" s="24" t="str">
        <x:v>DISPONÍVEL</x:v>
      </x:c>
      <x:c r="D1695" s="24" t="str">
        <x:v>ZEISS</x:v>
      </x:c>
      <x:c r="E1695" s="24" t="str">
        <x:v>Visão Simples Jovem</x:v>
      </x:c>
      <x:c r="F1695" s="24" t="str">
        <x:v>Surfaçada</x:v>
      </x:c>
      <x:c r="G1695" s="24" t="str">
        <x:v>SmartLife Young</x:v>
      </x:c>
      <x:c r="H1695" s="24" t="str">
        <x:v>PhotoFusion X</x:v>
      </x:c>
      <x:c r="I1695" s="24" t="str">
        <x:v>Poli</x:v>
      </x:c>
      <x:c r="J1695" s="24"/>
      <x:c r="K1695" s="24" t="str">
        <x:v>DuraVision Silver UV</x:v>
      </x:c>
      <x:c r="L1695" s="40" t="n">
        <x:v>3308</x:v>
      </x:c>
      <x:c r="M1695" s="24" t="str">
        <x:v>-10.00 a +8.00</x:v>
      </x:c>
      <x:c r="N1695" s="24" t="str">
        <x:v>-4.00</x:v>
      </x:c>
      <x:c r="O1695" s="24" t="str">
        <x:v>-</x:v>
      </x:c>
      <x:c r="P1695" s="24" t="str">
        <x:v>70</x:v>
      </x:c>
      <x:c r="Q1695" s="24"/>
      <x:c r="R1695" s="24"/>
      <x:c r="S1695" s="26" t="n">
        <x:v>46113</x:v>
      </x:c>
      <x:c r="T1695" s="26"/>
      <x:c r="U1695" s="24" t="str">
        <x:v>ATIVA/SEM FIM INFORMADO</x:v>
      </x:c>
      <x:c r="V1695" s="24" t="str">
        <x:v>Programa de Parcerias ZEISS</x:v>
      </x:c>
      <x:c r="W1695" s="24" t="n">
        <x:v>20</x:v>
      </x:c>
      <x:c r="X1695" s="24" t="str">
        <x:v>tabela_zeiss.pdf</x:v>
      </x:c>
      <x:c r="Y1695" s="24" t="str">
        <x:v>alta</x:v>
      </x:c>
      <x:c r="Z1695" s="24"/>
      <x:c r="AA1695" s="24" t="str">
        <x:v>ZEISS|Visão Simples Jovem|Surfaçada|SmartLife Young|PhotoFusion X|Poli||DuraVision Silver UV|-10.00 a +8.00|-4.00|-|70|||20</x:v>
      </x:c>
    </x:row>
    <x:row r="1696">
      <x:c r="A1696" s="24" t="str">
        <x:v>ZS-D69961180510</x:v>
      </x:c>
      <x:c r="B1696" s="24" t="str">
        <x:v>SIM</x:v>
      </x:c>
      <x:c r="C1696" s="24" t="str">
        <x:v>DISPONÍVEL</x:v>
      </x:c>
      <x:c r="D1696" s="24" t="str">
        <x:v>ZEISS</x:v>
      </x:c>
      <x:c r="E1696" s="24" t="str">
        <x:v>Visão Simples Jovem</x:v>
      </x:c>
      <x:c r="F1696" s="24" t="str">
        <x:v>Surfaçada</x:v>
      </x:c>
      <x:c r="G1696" s="24" t="str">
        <x:v>SmartLife Young</x:v>
      </x:c>
      <x:c r="H1696" s="24" t="str">
        <x:v>PhotoFusion X</x:v>
      </x:c>
      <x:c r="I1696" s="24" t="str">
        <x:v>Poli</x:v>
      </x:c>
      <x:c r="J1696" s="24"/>
      <x:c r="K1696" s="24" t="str">
        <x:v>DuraVision Chrome UV</x:v>
      </x:c>
      <x:c r="L1696" s="40" t="n">
        <x:v>2818</x:v>
      </x:c>
      <x:c r="M1696" s="24" t="str">
        <x:v>-10.00 a +8.00</x:v>
      </x:c>
      <x:c r="N1696" s="24" t="str">
        <x:v>-4.00</x:v>
      </x:c>
      <x:c r="O1696" s="24" t="str">
        <x:v>-</x:v>
      </x:c>
      <x:c r="P1696" s="24" t="str">
        <x:v>70</x:v>
      </x:c>
      <x:c r="Q1696" s="24"/>
      <x:c r="R1696" s="24"/>
      <x:c r="S1696" s="26" t="n">
        <x:v>46113</x:v>
      </x:c>
      <x:c r="T1696" s="26"/>
      <x:c r="U1696" s="24" t="str">
        <x:v>ATIVA/SEM FIM INFORMADO</x:v>
      </x:c>
      <x:c r="V1696" s="24" t="str">
        <x:v>Programa de Parcerias ZEISS</x:v>
      </x:c>
      <x:c r="W1696" s="24" t="n">
        <x:v>20</x:v>
      </x:c>
      <x:c r="X1696" s="24" t="str">
        <x:v>tabela_zeiss.pdf</x:v>
      </x:c>
      <x:c r="Y1696" s="24" t="str">
        <x:v>alta</x:v>
      </x:c>
      <x:c r="Z1696" s="24"/>
      <x:c r="AA1696" s="24" t="str">
        <x:v>ZEISS|Visão Simples Jovem|Surfaçada|SmartLife Young|PhotoFusion X|Poli||DuraVision Chrome UV|-10.00 a +8.00|-4.00|-|70|||20</x:v>
      </x:c>
    </x:row>
    <x:row r="1697">
      <x:c r="A1697" s="24" t="str">
        <x:v>ZS-F0BEE77E07D9</x:v>
      </x:c>
      <x:c r="B1697" s="24" t="str">
        <x:v>SIM</x:v>
      </x:c>
      <x:c r="C1697" s="24" t="str">
        <x:v>DISPONÍVEL</x:v>
      </x:c>
      <x:c r="D1697" s="24" t="str">
        <x:v>ZEISS</x:v>
      </x:c>
      <x:c r="E1697" s="24" t="str">
        <x:v>Visão Simples Jovem</x:v>
      </x:c>
      <x:c r="F1697" s="24" t="str">
        <x:v>Surfaçada</x:v>
      </x:c>
      <x:c r="G1697" s="24" t="str">
        <x:v>SmartLife Young</x:v>
      </x:c>
      <x:c r="H1697" s="24" t="str">
        <x:v>PhotoFusion X</x:v>
      </x:c>
      <x:c r="I1697" s="24" t="str">
        <x:v>1.6</x:v>
      </x:c>
      <x:c r="J1697" s="24" t="str">
        <x:v>1.60</x:v>
      </x:c>
      <x:c r="K1697" s="24" t="str">
        <x:v>DuraVision Gold UV</x:v>
      </x:c>
      <x:c r="L1697" s="40" t="n">
        <x:v>3928</x:v>
      </x:c>
      <x:c r="M1697" s="24" t="str">
        <x:v>-6.00 a +8.00</x:v>
      </x:c>
      <x:c r="N1697" s="24" t="str">
        <x:v>-4.00</x:v>
      </x:c>
      <x:c r="O1697" s="24" t="str">
        <x:v>-</x:v>
      </x:c>
      <x:c r="P1697" s="24" t="str">
        <x:v>75</x:v>
      </x:c>
      <x:c r="Q1697" s="24"/>
      <x:c r="R1697" s="24"/>
      <x:c r="S1697" s="26" t="n">
        <x:v>46113</x:v>
      </x:c>
      <x:c r="T1697" s="26"/>
      <x:c r="U1697" s="24" t="str">
        <x:v>ATIVA/SEM FIM INFORMADO</x:v>
      </x:c>
      <x:c r="V1697" s="24" t="str">
        <x:v>Programa de Parcerias ZEISS</x:v>
      </x:c>
      <x:c r="W1697" s="24" t="n">
        <x:v>20</x:v>
      </x:c>
      <x:c r="X1697" s="24" t="str">
        <x:v>tabela_zeiss.pdf</x:v>
      </x:c>
      <x:c r="Y1697" s="24" t="str">
        <x:v>alta</x:v>
      </x:c>
      <x:c r="Z1697" s="24"/>
      <x:c r="AA1697" s="24" t="str">
        <x:v>ZEISS|Visão Simples Jovem|Surfaçada|SmartLife Young|PhotoFusion X|1.6|1.60|DuraVision Gold UV|-6.00 a +8.00|-4.00|-|75|||20</x:v>
      </x:c>
    </x:row>
    <x:row r="1698">
      <x:c r="A1698" s="24" t="str">
        <x:v>ZS-E7C8020E87D3</x:v>
      </x:c>
      <x:c r="B1698" s="24" t="str">
        <x:v>SIM</x:v>
      </x:c>
      <x:c r="C1698" s="24" t="str">
        <x:v>DISPONÍVEL</x:v>
      </x:c>
      <x:c r="D1698" s="24" t="str">
        <x:v>ZEISS</x:v>
      </x:c>
      <x:c r="E1698" s="24" t="str">
        <x:v>Visão Simples Jovem</x:v>
      </x:c>
      <x:c r="F1698" s="24" t="str">
        <x:v>Surfaçada</x:v>
      </x:c>
      <x:c r="G1698" s="24" t="str">
        <x:v>SmartLife Young</x:v>
      </x:c>
      <x:c r="H1698" s="24" t="str">
        <x:v>PhotoFusion X</x:v>
      </x:c>
      <x:c r="I1698" s="24" t="str">
        <x:v>1.6</x:v>
      </x:c>
      <x:c r="J1698" s="24" t="str">
        <x:v>1.60</x:v>
      </x:c>
      <x:c r="K1698" s="24" t="str">
        <x:v>DuraVision Antivírus Platinum UV</x:v>
      </x:c>
      <x:c r="L1698" s="40" t="n">
        <x:v>3788</x:v>
      </x:c>
      <x:c r="M1698" s="24" t="str">
        <x:v>-6.00 a +8.00</x:v>
      </x:c>
      <x:c r="N1698" s="24" t="str">
        <x:v>-4.00</x:v>
      </x:c>
      <x:c r="O1698" s="24" t="str">
        <x:v>-</x:v>
      </x:c>
      <x:c r="P1698" s="24" t="str">
        <x:v>75</x:v>
      </x:c>
      <x:c r="Q1698" s="24"/>
      <x:c r="R1698" s="24"/>
      <x:c r="S1698" s="26" t="n">
        <x:v>46113</x:v>
      </x:c>
      <x:c r="T1698" s="26"/>
      <x:c r="U1698" s="24" t="str">
        <x:v>ATIVA/SEM FIM INFORMADO</x:v>
      </x:c>
      <x:c r="V1698" s="24" t="str">
        <x:v>Programa de Parcerias ZEISS</x:v>
      </x:c>
      <x:c r="W1698" s="24" t="n">
        <x:v>20</x:v>
      </x:c>
      <x:c r="X1698" s="24" t="str">
        <x:v>tabela_zeiss.pdf</x:v>
      </x:c>
      <x:c r="Y1698" s="24" t="str">
        <x:v>alta</x:v>
      </x:c>
      <x:c r="Z1698" s="24"/>
      <x:c r="AA1698" s="24" t="str">
        <x:v>ZEISS|Visão Simples Jovem|Surfaçada|SmartLife Young|PhotoFusion X|1.6|1.60|DuraVision Antivírus Platinum UV|-6.00 a +8.00|-4.00|-|75|||20</x:v>
      </x:c>
    </x:row>
    <x:row r="1699">
      <x:c r="A1699" s="24" t="str">
        <x:v>ZS-7894CF5FDB57</x:v>
      </x:c>
      <x:c r="B1699" s="24" t="str">
        <x:v>SIM</x:v>
      </x:c>
      <x:c r="C1699" s="24" t="str">
        <x:v>DISPONÍVEL</x:v>
      </x:c>
      <x:c r="D1699" s="24" t="str">
        <x:v>ZEISS</x:v>
      </x:c>
      <x:c r="E1699" s="24" t="str">
        <x:v>Visão Simples Jovem</x:v>
      </x:c>
      <x:c r="F1699" s="24" t="str">
        <x:v>Surfaçada</x:v>
      </x:c>
      <x:c r="G1699" s="24" t="str">
        <x:v>SmartLife Young</x:v>
      </x:c>
      <x:c r="H1699" s="24" t="str">
        <x:v>PhotoFusion X</x:v>
      </x:c>
      <x:c r="I1699" s="24" t="str">
        <x:v>1.6</x:v>
      </x:c>
      <x:c r="J1699" s="24" t="str">
        <x:v>1.60</x:v>
      </x:c>
      <x:c r="K1699" s="24" t="str">
        <x:v>DuraVision Platinum UV</x:v>
      </x:c>
      <x:c r="L1699" s="40" t="n">
        <x:v>3788</x:v>
      </x:c>
      <x:c r="M1699" s="24" t="str">
        <x:v>-6.00 a +8.00</x:v>
      </x:c>
      <x:c r="N1699" s="24" t="str">
        <x:v>-4.00</x:v>
      </x:c>
      <x:c r="O1699" s="24" t="str">
        <x:v>-</x:v>
      </x:c>
      <x:c r="P1699" s="24" t="str">
        <x:v>75</x:v>
      </x:c>
      <x:c r="Q1699" s="24"/>
      <x:c r="R1699" s="24"/>
      <x:c r="S1699" s="26" t="n">
        <x:v>46113</x:v>
      </x:c>
      <x:c r="T1699" s="26"/>
      <x:c r="U1699" s="24" t="str">
        <x:v>ATIVA/SEM FIM INFORMADO</x:v>
      </x:c>
      <x:c r="V1699" s="24" t="str">
        <x:v>Programa de Parcerias ZEISS</x:v>
      </x:c>
      <x:c r="W1699" s="24" t="n">
        <x:v>20</x:v>
      </x:c>
      <x:c r="X1699" s="24" t="str">
        <x:v>tabela_zeiss.pdf</x:v>
      </x:c>
      <x:c r="Y1699" s="24" t="str">
        <x:v>alta</x:v>
      </x:c>
      <x:c r="Z1699" s="24"/>
      <x:c r="AA1699" s="24" t="str">
        <x:v>ZEISS|Visão Simples Jovem|Surfaçada|SmartLife Young|PhotoFusion X|1.6|1.60|DuraVision Platinum UV|-6.00 a +8.00|-4.00|-|75|||20</x:v>
      </x:c>
    </x:row>
    <x:row r="1700">
      <x:c r="A1700" s="24" t="str">
        <x:v>ZS-362473E7742F</x:v>
      </x:c>
      <x:c r="B1700" s="24" t="str">
        <x:v>SIM</x:v>
      </x:c>
      <x:c r="C1700" s="24" t="str">
        <x:v>DISPONÍVEL</x:v>
      </x:c>
      <x:c r="D1700" s="24" t="str">
        <x:v>ZEISS</x:v>
      </x:c>
      <x:c r="E1700" s="24" t="str">
        <x:v>Visão Simples Jovem</x:v>
      </x:c>
      <x:c r="F1700" s="24" t="str">
        <x:v>Surfaçada</x:v>
      </x:c>
      <x:c r="G1700" s="24" t="str">
        <x:v>SmartLife Young</x:v>
      </x:c>
      <x:c r="H1700" s="24" t="str">
        <x:v>PhotoFusion X</x:v>
      </x:c>
      <x:c r="I1700" s="24" t="str">
        <x:v>1.6</x:v>
      </x:c>
      <x:c r="J1700" s="24" t="str">
        <x:v>1.60</x:v>
      </x:c>
      <x:c r="K1700" s="24" t="str">
        <x:v>DuraVision Silver UV</x:v>
      </x:c>
      <x:c r="L1700" s="40" t="n">
        <x:v>3528</x:v>
      </x:c>
      <x:c r="M1700" s="24" t="str">
        <x:v>-6.00 a +8.00</x:v>
      </x:c>
      <x:c r="N1700" s="24" t="str">
        <x:v>-4.00</x:v>
      </x:c>
      <x:c r="O1700" s="24" t="str">
        <x:v>-</x:v>
      </x:c>
      <x:c r="P1700" s="24" t="str">
        <x:v>75</x:v>
      </x:c>
      <x:c r="Q1700" s="24"/>
      <x:c r="R1700" s="24"/>
      <x:c r="S1700" s="26" t="n">
        <x:v>46113</x:v>
      </x:c>
      <x:c r="T1700" s="26"/>
      <x:c r="U1700" s="24" t="str">
        <x:v>ATIVA/SEM FIM INFORMADO</x:v>
      </x:c>
      <x:c r="V1700" s="24" t="str">
        <x:v>Programa de Parcerias ZEISS</x:v>
      </x:c>
      <x:c r="W1700" s="24" t="n">
        <x:v>20</x:v>
      </x:c>
      <x:c r="X1700" s="24" t="str">
        <x:v>tabela_zeiss.pdf</x:v>
      </x:c>
      <x:c r="Y1700" s="24" t="str">
        <x:v>alta</x:v>
      </x:c>
      <x:c r="Z1700" s="24"/>
      <x:c r="AA1700" s="24" t="str">
        <x:v>ZEISS|Visão Simples Jovem|Surfaçada|SmartLife Young|PhotoFusion X|1.6|1.60|DuraVision Silver UV|-6.00 a +8.00|-4.00|-|75|||20</x:v>
      </x:c>
    </x:row>
    <x:row r="1701">
      <x:c r="A1701" s="24" t="str">
        <x:v>ZS-B815B25B92BF</x:v>
      </x:c>
      <x:c r="B1701" s="24" t="str">
        <x:v>SIM</x:v>
      </x:c>
      <x:c r="C1701" s="24" t="str">
        <x:v>DISPONÍVEL</x:v>
      </x:c>
      <x:c r="D1701" s="24" t="str">
        <x:v>ZEISS</x:v>
      </x:c>
      <x:c r="E1701" s="24" t="str">
        <x:v>Visão Simples Jovem</x:v>
      </x:c>
      <x:c r="F1701" s="24" t="str">
        <x:v>Surfaçada</x:v>
      </x:c>
      <x:c r="G1701" s="24" t="str">
        <x:v>SmartLife Young</x:v>
      </x:c>
      <x:c r="H1701" s="24" t="str">
        <x:v>PhotoFusion X</x:v>
      </x:c>
      <x:c r="I1701" s="24" t="str">
        <x:v>1.6</x:v>
      </x:c>
      <x:c r="J1701" s="24" t="str">
        <x:v>1.60</x:v>
      </x:c>
      <x:c r="K1701" s="24" t="str">
        <x:v>DuraVision Chrome UV</x:v>
      </x:c>
      <x:c r="L1701" s="40" t="n">
        <x:v>3038</x:v>
      </x:c>
      <x:c r="M1701" s="24" t="str">
        <x:v>-6.00 a +8.00</x:v>
      </x:c>
      <x:c r="N1701" s="24" t="str">
        <x:v>-4.00</x:v>
      </x:c>
      <x:c r="O1701" s="24" t="str">
        <x:v>-</x:v>
      </x:c>
      <x:c r="P1701" s="24" t="str">
        <x:v>75</x:v>
      </x:c>
      <x:c r="Q1701" s="24"/>
      <x:c r="R1701" s="24"/>
      <x:c r="S1701" s="26" t="n">
        <x:v>46113</x:v>
      </x:c>
      <x:c r="T1701" s="26"/>
      <x:c r="U1701" s="24" t="str">
        <x:v>ATIVA/SEM FIM INFORMADO</x:v>
      </x:c>
      <x:c r="V1701" s="24" t="str">
        <x:v>Programa de Parcerias ZEISS</x:v>
      </x:c>
      <x:c r="W1701" s="24" t="n">
        <x:v>20</x:v>
      </x:c>
      <x:c r="X1701" s="24" t="str">
        <x:v>tabela_zeiss.pdf</x:v>
      </x:c>
      <x:c r="Y1701" s="24" t="str">
        <x:v>alta</x:v>
      </x:c>
      <x:c r="Z1701" s="24"/>
      <x:c r="AA1701" s="24" t="str">
        <x:v>ZEISS|Visão Simples Jovem|Surfaçada|SmartLife Young|PhotoFusion X|1.6|1.60|DuraVision Chrome UV|-6.00 a +8.00|-4.00|-|75|||20</x:v>
      </x:c>
    </x:row>
    <x:row r="1702">
      <x:c r="A1702" s="24" t="str">
        <x:v>ZS-59CEFE4E5A3B</x:v>
      </x:c>
      <x:c r="B1702" s="24" t="str">
        <x:v>SIM</x:v>
      </x:c>
      <x:c r="C1702" s="24" t="str">
        <x:v>DISPONÍVEL</x:v>
      </x:c>
      <x:c r="D1702" s="24" t="str">
        <x:v>ZEISS</x:v>
      </x:c>
      <x:c r="E1702" s="24" t="str">
        <x:v>Visão Simples Jovem</x:v>
      </x:c>
      <x:c r="F1702" s="24" t="str">
        <x:v>Surfaçada</x:v>
      </x:c>
      <x:c r="G1702" s="24" t="str">
        <x:v>SmartLife Young</x:v>
      </x:c>
      <x:c r="H1702" s="24" t="str">
        <x:v>PhotoFusion X</x:v>
      </x:c>
      <x:c r="I1702" s="24" t="str">
        <x:v>1.67</x:v>
      </x:c>
      <x:c r="J1702" s="24" t="str">
        <x:v>1.67</x:v>
      </x:c>
      <x:c r="K1702" s="24" t="str">
        <x:v>DuraVision Gold UV</x:v>
      </x:c>
      <x:c r="L1702" s="40" t="n">
        <x:v>5228</x:v>
      </x:c>
      <x:c r="M1702" s="24" t="str">
        <x:v>-8.00 a +8.00</x:v>
      </x:c>
      <x:c r="N1702" s="24" t="str">
        <x:v>-6.00</x:v>
      </x:c>
      <x:c r="O1702" s="24" t="str">
        <x:v>-</x:v>
      </x:c>
      <x:c r="P1702" s="24" t="str">
        <x:v>70</x:v>
      </x:c>
      <x:c r="Q1702" s="24"/>
      <x:c r="R1702" s="24"/>
      <x:c r="S1702" s="26" t="n">
        <x:v>46113</x:v>
      </x:c>
      <x:c r="T1702" s="26"/>
      <x:c r="U1702" s="24" t="str">
        <x:v>ATIVA/SEM FIM INFORMADO</x:v>
      </x:c>
      <x:c r="V1702" s="24" t="str">
        <x:v>Programa de Parcerias ZEISS</x:v>
      </x:c>
      <x:c r="W1702" s="24" t="n">
        <x:v>20</x:v>
      </x:c>
      <x:c r="X1702" s="24" t="str">
        <x:v>tabela_zeiss.pdf</x:v>
      </x:c>
      <x:c r="Y1702" s="24" t="str">
        <x:v>alta</x:v>
      </x:c>
      <x:c r="Z1702" s="24"/>
      <x:c r="AA1702" s="24" t="str">
        <x:v>ZEISS|Visão Simples Jovem|Surfaçada|SmartLife Young|PhotoFusion X|1.67|1.67|DuraVision Gold UV|-8.00 a +8.00|-6.00|-|70|||20</x:v>
      </x:c>
    </x:row>
    <x:row r="1703">
      <x:c r="A1703" s="24" t="str">
        <x:v>ZS-68110B1DBCEE</x:v>
      </x:c>
      <x:c r="B1703" s="24" t="str">
        <x:v>SIM</x:v>
      </x:c>
      <x:c r="C1703" s="24" t="str">
        <x:v>DISPONÍVEL</x:v>
      </x:c>
      <x:c r="D1703" s="24" t="str">
        <x:v>ZEISS</x:v>
      </x:c>
      <x:c r="E1703" s="24" t="str">
        <x:v>Visão Simples Jovem</x:v>
      </x:c>
      <x:c r="F1703" s="24" t="str">
        <x:v>Surfaçada</x:v>
      </x:c>
      <x:c r="G1703" s="24" t="str">
        <x:v>SmartLife Young</x:v>
      </x:c>
      <x:c r="H1703" s="24" t="str">
        <x:v>PhotoFusion X</x:v>
      </x:c>
      <x:c r="I1703" s="24" t="str">
        <x:v>1.67</x:v>
      </x:c>
      <x:c r="J1703" s="24" t="str">
        <x:v>1.67</x:v>
      </x:c>
      <x:c r="K1703" s="24" t="str">
        <x:v>DuraVision Antivírus Platinum UV</x:v>
      </x:c>
      <x:c r="L1703" s="40" t="n">
        <x:v>5088</x:v>
      </x:c>
      <x:c r="M1703" s="24" t="str">
        <x:v>-8.00 a +8.00</x:v>
      </x:c>
      <x:c r="N1703" s="24" t="str">
        <x:v>-6.00</x:v>
      </x:c>
      <x:c r="O1703" s="24" t="str">
        <x:v>-</x:v>
      </x:c>
      <x:c r="P1703" s="24" t="str">
        <x:v>70</x:v>
      </x:c>
      <x:c r="Q1703" s="24"/>
      <x:c r="R1703" s="24"/>
      <x:c r="S1703" s="26" t="n">
        <x:v>46113</x:v>
      </x:c>
      <x:c r="T1703" s="26"/>
      <x:c r="U1703" s="24" t="str">
        <x:v>ATIVA/SEM FIM INFORMADO</x:v>
      </x:c>
      <x:c r="V1703" s="24" t="str">
        <x:v>Programa de Parcerias ZEISS</x:v>
      </x:c>
      <x:c r="W1703" s="24" t="n">
        <x:v>20</x:v>
      </x:c>
      <x:c r="X1703" s="24" t="str">
        <x:v>tabela_zeiss.pdf</x:v>
      </x:c>
      <x:c r="Y1703" s="24" t="str">
        <x:v>alta</x:v>
      </x:c>
      <x:c r="Z1703" s="24"/>
      <x:c r="AA1703" s="24" t="str">
        <x:v>ZEISS|Visão Simples Jovem|Surfaçada|SmartLife Young|PhotoFusion X|1.67|1.67|DuraVision Antivírus Platinum UV|-8.00 a +8.00|-6.00|-|70|||20</x:v>
      </x:c>
    </x:row>
    <x:row r="1704">
      <x:c r="A1704" s="24" t="str">
        <x:v>ZS-C6B9C8602648</x:v>
      </x:c>
      <x:c r="B1704" s="24" t="str">
        <x:v>SIM</x:v>
      </x:c>
      <x:c r="C1704" s="24" t="str">
        <x:v>DISPONÍVEL</x:v>
      </x:c>
      <x:c r="D1704" s="24" t="str">
        <x:v>ZEISS</x:v>
      </x:c>
      <x:c r="E1704" s="24" t="str">
        <x:v>Visão Simples Jovem</x:v>
      </x:c>
      <x:c r="F1704" s="24" t="str">
        <x:v>Surfaçada</x:v>
      </x:c>
      <x:c r="G1704" s="24" t="str">
        <x:v>SmartLife Young</x:v>
      </x:c>
      <x:c r="H1704" s="24" t="str">
        <x:v>PhotoFusion X</x:v>
      </x:c>
      <x:c r="I1704" s="24" t="str">
        <x:v>1.67</x:v>
      </x:c>
      <x:c r="J1704" s="24" t="str">
        <x:v>1.67</x:v>
      </x:c>
      <x:c r="K1704" s="24" t="str">
        <x:v>DuraVision Platinum UV</x:v>
      </x:c>
      <x:c r="L1704" s="40" t="n">
        <x:v>5088</x:v>
      </x:c>
      <x:c r="M1704" s="24" t="str">
        <x:v>-8.00 a +8.00</x:v>
      </x:c>
      <x:c r="N1704" s="24" t="str">
        <x:v>-6.00</x:v>
      </x:c>
      <x:c r="O1704" s="24" t="str">
        <x:v>-</x:v>
      </x:c>
      <x:c r="P1704" s="24" t="str">
        <x:v>70</x:v>
      </x:c>
      <x:c r="Q1704" s="24"/>
      <x:c r="R1704" s="24"/>
      <x:c r="S1704" s="26" t="n">
        <x:v>46113</x:v>
      </x:c>
      <x:c r="T1704" s="26"/>
      <x:c r="U1704" s="24" t="str">
        <x:v>ATIVA/SEM FIM INFORMADO</x:v>
      </x:c>
      <x:c r="V1704" s="24" t="str">
        <x:v>Programa de Parcerias ZEISS</x:v>
      </x:c>
      <x:c r="W1704" s="24" t="n">
        <x:v>20</x:v>
      </x:c>
      <x:c r="X1704" s="24" t="str">
        <x:v>tabela_zeiss.pdf</x:v>
      </x:c>
      <x:c r="Y1704" s="24" t="str">
        <x:v>alta</x:v>
      </x:c>
      <x:c r="Z1704" s="24"/>
      <x:c r="AA1704" s="24" t="str">
        <x:v>ZEISS|Visão Simples Jovem|Surfaçada|SmartLife Young|PhotoFusion X|1.67|1.67|DuraVision Platinum UV|-8.00 a +8.00|-6.00|-|70|||20</x:v>
      </x:c>
    </x:row>
    <x:row r="1705">
      <x:c r="A1705" s="24" t="str">
        <x:v>ZS-724477F3F0E2</x:v>
      </x:c>
      <x:c r="B1705" s="24" t="str">
        <x:v>SIM</x:v>
      </x:c>
      <x:c r="C1705" s="24" t="str">
        <x:v>DISPONÍVEL</x:v>
      </x:c>
      <x:c r="D1705" s="24" t="str">
        <x:v>ZEISS</x:v>
      </x:c>
      <x:c r="E1705" s="24" t="str">
        <x:v>Visão Simples Jovem</x:v>
      </x:c>
      <x:c r="F1705" s="24" t="str">
        <x:v>Surfaçada</x:v>
      </x:c>
      <x:c r="G1705" s="24" t="str">
        <x:v>SmartLife Young</x:v>
      </x:c>
      <x:c r="H1705" s="24" t="str">
        <x:v>PhotoFusion X</x:v>
      </x:c>
      <x:c r="I1705" s="24" t="str">
        <x:v>1.67</x:v>
      </x:c>
      <x:c r="J1705" s="24" t="str">
        <x:v>1.67</x:v>
      </x:c>
      <x:c r="K1705" s="24" t="str">
        <x:v>DuraVision Silver UV</x:v>
      </x:c>
      <x:c r="L1705" s="40" t="n">
        <x:v>4828</x:v>
      </x:c>
      <x:c r="M1705" s="24" t="str">
        <x:v>-8.00 a +8.00</x:v>
      </x:c>
      <x:c r="N1705" s="24" t="str">
        <x:v>-6.00</x:v>
      </x:c>
      <x:c r="O1705" s="24" t="str">
        <x:v>-</x:v>
      </x:c>
      <x:c r="P1705" s="24" t="str">
        <x:v>70</x:v>
      </x:c>
      <x:c r="Q1705" s="24"/>
      <x:c r="R1705" s="24"/>
      <x:c r="S1705" s="26" t="n">
        <x:v>46113</x:v>
      </x:c>
      <x:c r="T1705" s="26"/>
      <x:c r="U1705" s="24" t="str">
        <x:v>ATIVA/SEM FIM INFORMADO</x:v>
      </x:c>
      <x:c r="V1705" s="24" t="str">
        <x:v>Programa de Parcerias ZEISS</x:v>
      </x:c>
      <x:c r="W1705" s="24" t="n">
        <x:v>20</x:v>
      </x:c>
      <x:c r="X1705" s="24" t="str">
        <x:v>tabela_zeiss.pdf</x:v>
      </x:c>
      <x:c r="Y1705" s="24" t="str">
        <x:v>alta</x:v>
      </x:c>
      <x:c r="Z1705" s="24"/>
      <x:c r="AA1705" s="24" t="str">
        <x:v>ZEISS|Visão Simples Jovem|Surfaçada|SmartLife Young|PhotoFusion X|1.67|1.67|DuraVision Silver UV|-8.00 a +8.00|-6.00|-|70|||20</x:v>
      </x:c>
    </x:row>
    <x:row r="1706">
      <x:c r="A1706" s="24" t="str">
        <x:v>ZS-9B82B22942E2</x:v>
      </x:c>
      <x:c r="B1706" s="24" t="str">
        <x:v>SIM</x:v>
      </x:c>
      <x:c r="C1706" s="24" t="str">
        <x:v>DISPONÍVEL</x:v>
      </x:c>
      <x:c r="D1706" s="24" t="str">
        <x:v>ZEISS</x:v>
      </x:c>
      <x:c r="E1706" s="24" t="str">
        <x:v>Visão Simples Jovem</x:v>
      </x:c>
      <x:c r="F1706" s="24" t="str">
        <x:v>Surfaçada</x:v>
      </x:c>
      <x:c r="G1706" s="24" t="str">
        <x:v>SmartLife Young</x:v>
      </x:c>
      <x:c r="H1706" s="24" t="str">
        <x:v>PhotoFusion X</x:v>
      </x:c>
      <x:c r="I1706" s="24" t="str">
        <x:v>1.67</x:v>
      </x:c>
      <x:c r="J1706" s="24" t="str">
        <x:v>1.67</x:v>
      </x:c>
      <x:c r="K1706" s="24" t="str">
        <x:v>DuraVision Chrome UV</x:v>
      </x:c>
      <x:c r="L1706" s="40" t="n">
        <x:v>4338</x:v>
      </x:c>
      <x:c r="M1706" s="24" t="str">
        <x:v>-8.00 a +8.00</x:v>
      </x:c>
      <x:c r="N1706" s="24" t="str">
        <x:v>-6.00</x:v>
      </x:c>
      <x:c r="O1706" s="24" t="str">
        <x:v>-</x:v>
      </x:c>
      <x:c r="P1706" s="24" t="str">
        <x:v>70</x:v>
      </x:c>
      <x:c r="Q1706" s="24"/>
      <x:c r="R1706" s="24"/>
      <x:c r="S1706" s="26" t="n">
        <x:v>46113</x:v>
      </x:c>
      <x:c r="T1706" s="26"/>
      <x:c r="U1706" s="24" t="str">
        <x:v>ATIVA/SEM FIM INFORMADO</x:v>
      </x:c>
      <x:c r="V1706" s="24" t="str">
        <x:v>Programa de Parcerias ZEISS</x:v>
      </x:c>
      <x:c r="W1706" s="24" t="n">
        <x:v>20</x:v>
      </x:c>
      <x:c r="X1706" s="24" t="str">
        <x:v>tabela_zeiss.pdf</x:v>
      </x:c>
      <x:c r="Y1706" s="24" t="str">
        <x:v>alta</x:v>
      </x:c>
      <x:c r="Z1706" s="24"/>
      <x:c r="AA1706" s="24" t="str">
        <x:v>ZEISS|Visão Simples Jovem|Surfaçada|SmartLife Young|PhotoFusion X|1.67|1.67|DuraVision Chrome UV|-8.00 a +8.00|-6.00|-|70|||20</x:v>
      </x:c>
    </x:row>
    <x:row r="1707">
      <x:c r="A1707" s="24" t="str">
        <x:v>ZS-D980D3B77F85</x:v>
      </x:c>
      <x:c r="B1707" s="24" t="str">
        <x:v>SIM</x:v>
      </x:c>
      <x:c r="C1707" s="24" t="str">
        <x:v>DISPONÍVEL</x:v>
      </x:c>
      <x:c r="D1707" s="24" t="str">
        <x:v>ZEISS</x:v>
      </x:c>
      <x:c r="E1707" s="24" t="str">
        <x:v>Visão Simples Jovem</x:v>
      </x:c>
      <x:c r="F1707" s="24" t="str">
        <x:v>Surfaçada</x:v>
      </x:c>
      <x:c r="G1707" s="24" t="str">
        <x:v>SmartLife Young</x:v>
      </x:c>
      <x:c r="H1707" s="24" t="str">
        <x:v>PhotoFusion X Extra Dark Cinza</x:v>
      </x:c>
      <x:c r="I1707" s="24" t="str">
        <x:v>1.5</x:v>
      </x:c>
      <x:c r="J1707" s="24" t="str">
        <x:v>1.50</x:v>
      </x:c>
      <x:c r="K1707" s="24" t="str">
        <x:v>DuraVision Gold UV</x:v>
      </x:c>
      <x:c r="L1707" s="40" t="n">
        <x:v>3398</x:v>
      </x:c>
      <x:c r="M1707" s="24" t="str">
        <x:v>-6.00 a +6.00</x:v>
      </x:c>
      <x:c r="N1707" s="24" t="str">
        <x:v>-4.00</x:v>
      </x:c>
      <x:c r="O1707" s="24" t="str">
        <x:v>-</x:v>
      </x:c>
      <x:c r="P1707" s="24" t="str">
        <x:v>75</x:v>
      </x:c>
      <x:c r="Q1707" s="24"/>
      <x:c r="R1707" s="24"/>
      <x:c r="S1707" s="26" t="n">
        <x:v>46113</x:v>
      </x:c>
      <x:c r="T1707" s="26"/>
      <x:c r="U1707" s="24" t="str">
        <x:v>ATIVA/SEM FIM INFORMADO</x:v>
      </x:c>
      <x:c r="V1707" s="24" t="str">
        <x:v>Programa de Parcerias ZEISS</x:v>
      </x:c>
      <x:c r="W1707" s="24" t="n">
        <x:v>20</x:v>
      </x:c>
      <x:c r="X1707" s="24" t="str">
        <x:v>tabela_zeiss.pdf</x:v>
      </x:c>
      <x:c r="Y1707" s="24" t="str">
        <x:v>alta</x:v>
      </x:c>
      <x:c r="Z1707" s="24"/>
      <x:c r="AA1707" s="24" t="str">
        <x:v>ZEISS|Visão Simples Jovem|Surfaçada|SmartLife Young|PhotoFusion X Extra Dark Cinza|1.5|1.50|DuraVision Gold UV|-6.00 a +6.00|-4.00|-|75|||20</x:v>
      </x:c>
    </x:row>
    <x:row r="1708">
      <x:c r="A1708" s="24" t="str">
        <x:v>ZS-9404F5C5DDA3</x:v>
      </x:c>
      <x:c r="B1708" s="24" t="str">
        <x:v>SIM</x:v>
      </x:c>
      <x:c r="C1708" s="24" t="str">
        <x:v>DISPONÍVEL</x:v>
      </x:c>
      <x:c r="D1708" s="24" t="str">
        <x:v>ZEISS</x:v>
      </x:c>
      <x:c r="E1708" s="24" t="str">
        <x:v>Visão Simples Jovem</x:v>
      </x:c>
      <x:c r="F1708" s="24" t="str">
        <x:v>Surfaçada</x:v>
      </x:c>
      <x:c r="G1708" s="24" t="str">
        <x:v>SmartLife Young</x:v>
      </x:c>
      <x:c r="H1708" s="24" t="str">
        <x:v>PhotoFusion X Extra Dark Cinza</x:v>
      </x:c>
      <x:c r="I1708" s="24" t="str">
        <x:v>1.5</x:v>
      </x:c>
      <x:c r="J1708" s="24" t="str">
        <x:v>1.50</x:v>
      </x:c>
      <x:c r="K1708" s="24" t="str">
        <x:v>DuraVision Antivírus Platinum UV</x:v>
      </x:c>
      <x:c r="L1708" s="40" t="n">
        <x:v>3258</x:v>
      </x:c>
      <x:c r="M1708" s="24" t="str">
        <x:v>-6.00 a +6.00</x:v>
      </x:c>
      <x:c r="N1708" s="24" t="str">
        <x:v>-4.00</x:v>
      </x:c>
      <x:c r="O1708" s="24" t="str">
        <x:v>-</x:v>
      </x:c>
      <x:c r="P1708" s="24" t="str">
        <x:v>75</x:v>
      </x:c>
      <x:c r="Q1708" s="24"/>
      <x:c r="R1708" s="24"/>
      <x:c r="S1708" s="26" t="n">
        <x:v>46113</x:v>
      </x:c>
      <x:c r="T1708" s="26"/>
      <x:c r="U1708" s="24" t="str">
        <x:v>ATIVA/SEM FIM INFORMADO</x:v>
      </x:c>
      <x:c r="V1708" s="24" t="str">
        <x:v>Programa de Parcerias ZEISS</x:v>
      </x:c>
      <x:c r="W1708" s="24" t="n">
        <x:v>20</x:v>
      </x:c>
      <x:c r="X1708" s="24" t="str">
        <x:v>tabela_zeiss.pdf</x:v>
      </x:c>
      <x:c r="Y1708" s="24" t="str">
        <x:v>alta</x:v>
      </x:c>
      <x:c r="Z1708" s="24"/>
      <x:c r="AA1708" s="24" t="str">
        <x:v>ZEISS|Visão Simples Jovem|Surfaçada|SmartLife Young|PhotoFusion X Extra Dark Cinza|1.5|1.50|DuraVision Antivírus Platinum UV|-6.00 a +6.00|-4.00|-|75|||20</x:v>
      </x:c>
    </x:row>
    <x:row r="1709">
      <x:c r="A1709" s="24" t="str">
        <x:v>ZS-42D3EDB2EB74</x:v>
      </x:c>
      <x:c r="B1709" s="24" t="str">
        <x:v>SIM</x:v>
      </x:c>
      <x:c r="C1709" s="24" t="str">
        <x:v>DISPONÍVEL</x:v>
      </x:c>
      <x:c r="D1709" s="24" t="str">
        <x:v>ZEISS</x:v>
      </x:c>
      <x:c r="E1709" s="24" t="str">
        <x:v>Visão Simples Jovem</x:v>
      </x:c>
      <x:c r="F1709" s="24" t="str">
        <x:v>Surfaçada</x:v>
      </x:c>
      <x:c r="G1709" s="24" t="str">
        <x:v>SmartLife Young</x:v>
      </x:c>
      <x:c r="H1709" s="24" t="str">
        <x:v>PhotoFusion X Extra Dark Cinza</x:v>
      </x:c>
      <x:c r="I1709" s="24" t="str">
        <x:v>1.5</x:v>
      </x:c>
      <x:c r="J1709" s="24" t="str">
        <x:v>1.50</x:v>
      </x:c>
      <x:c r="K1709" s="24" t="str">
        <x:v>DuraVision Platinum UV</x:v>
      </x:c>
      <x:c r="L1709" s="40" t="n">
        <x:v>3258</x:v>
      </x:c>
      <x:c r="M1709" s="24" t="str">
        <x:v>-6.00 a +6.00</x:v>
      </x:c>
      <x:c r="N1709" s="24" t="str">
        <x:v>-4.00</x:v>
      </x:c>
      <x:c r="O1709" s="24" t="str">
        <x:v>-</x:v>
      </x:c>
      <x:c r="P1709" s="24" t="str">
        <x:v>75</x:v>
      </x:c>
      <x:c r="Q1709" s="24"/>
      <x:c r="R1709" s="24"/>
      <x:c r="S1709" s="26" t="n">
        <x:v>46113</x:v>
      </x:c>
      <x:c r="T1709" s="26"/>
      <x:c r="U1709" s="24" t="str">
        <x:v>ATIVA/SEM FIM INFORMADO</x:v>
      </x:c>
      <x:c r="V1709" s="24" t="str">
        <x:v>Programa de Parcerias ZEISS</x:v>
      </x:c>
      <x:c r="W1709" s="24" t="n">
        <x:v>20</x:v>
      </x:c>
      <x:c r="X1709" s="24" t="str">
        <x:v>tabela_zeiss.pdf</x:v>
      </x:c>
      <x:c r="Y1709" s="24" t="str">
        <x:v>alta</x:v>
      </x:c>
      <x:c r="Z1709" s="24"/>
      <x:c r="AA1709" s="24" t="str">
        <x:v>ZEISS|Visão Simples Jovem|Surfaçada|SmartLife Young|PhotoFusion X Extra Dark Cinza|1.5|1.50|DuraVision Platinum UV|-6.00 a +6.00|-4.00|-|75|||20</x:v>
      </x:c>
    </x:row>
    <x:row r="1710">
      <x:c r="A1710" s="24" t="str">
        <x:v>ZS-607C94CF2947</x:v>
      </x:c>
      <x:c r="B1710" s="24" t="str">
        <x:v>SIM</x:v>
      </x:c>
      <x:c r="C1710" s="24" t="str">
        <x:v>DISPONÍVEL</x:v>
      </x:c>
      <x:c r="D1710" s="24" t="str">
        <x:v>ZEISS</x:v>
      </x:c>
      <x:c r="E1710" s="24" t="str">
        <x:v>Visão Simples Jovem</x:v>
      </x:c>
      <x:c r="F1710" s="24" t="str">
        <x:v>Surfaçada</x:v>
      </x:c>
      <x:c r="G1710" s="24" t="str">
        <x:v>SmartLife Young</x:v>
      </x:c>
      <x:c r="H1710" s="24" t="str">
        <x:v>PhotoFusion X Extra Dark Cinza</x:v>
      </x:c>
      <x:c r="I1710" s="24" t="str">
        <x:v>1.5</x:v>
      </x:c>
      <x:c r="J1710" s="24" t="str">
        <x:v>1.50</x:v>
      </x:c>
      <x:c r="K1710" s="24" t="str">
        <x:v>DuraVision Silver UV</x:v>
      </x:c>
      <x:c r="L1710" s="40" t="n">
        <x:v>2998</x:v>
      </x:c>
      <x:c r="M1710" s="24" t="str">
        <x:v>-6.00 a +6.00</x:v>
      </x:c>
      <x:c r="N1710" s="24" t="str">
        <x:v>-4.00</x:v>
      </x:c>
      <x:c r="O1710" s="24" t="str">
        <x:v>-</x:v>
      </x:c>
      <x:c r="P1710" s="24" t="str">
        <x:v>75</x:v>
      </x:c>
      <x:c r="Q1710" s="24"/>
      <x:c r="R1710" s="24"/>
      <x:c r="S1710" s="26" t="n">
        <x:v>46113</x:v>
      </x:c>
      <x:c r="T1710" s="26"/>
      <x:c r="U1710" s="24" t="str">
        <x:v>ATIVA/SEM FIM INFORMADO</x:v>
      </x:c>
      <x:c r="V1710" s="24" t="str">
        <x:v>Programa de Parcerias ZEISS</x:v>
      </x:c>
      <x:c r="W1710" s="24" t="n">
        <x:v>20</x:v>
      </x:c>
      <x:c r="X1710" s="24" t="str">
        <x:v>tabela_zeiss.pdf</x:v>
      </x:c>
      <x:c r="Y1710" s="24" t="str">
        <x:v>alta</x:v>
      </x:c>
      <x:c r="Z1710" s="24"/>
      <x:c r="AA1710" s="24" t="str">
        <x:v>ZEISS|Visão Simples Jovem|Surfaçada|SmartLife Young|PhotoFusion X Extra Dark Cinza|1.5|1.50|DuraVision Silver UV|-6.00 a +6.00|-4.00|-|75|||20</x:v>
      </x:c>
    </x:row>
    <x:row r="1711">
      <x:c r="A1711" s="24" t="str">
        <x:v>ZS-0144220923E2</x:v>
      </x:c>
      <x:c r="B1711" s="24" t="str">
        <x:v>SIM</x:v>
      </x:c>
      <x:c r="C1711" s="24" t="str">
        <x:v>DISPONÍVEL</x:v>
      </x:c>
      <x:c r="D1711" s="24" t="str">
        <x:v>ZEISS</x:v>
      </x:c>
      <x:c r="E1711" s="24" t="str">
        <x:v>Visão Simples Jovem</x:v>
      </x:c>
      <x:c r="F1711" s="24" t="str">
        <x:v>Surfaçada</x:v>
      </x:c>
      <x:c r="G1711" s="24" t="str">
        <x:v>SmartLife Young</x:v>
      </x:c>
      <x:c r="H1711" s="24" t="str">
        <x:v>PhotoFusion X Extra Dark Cinza</x:v>
      </x:c>
      <x:c r="I1711" s="24" t="str">
        <x:v>1.5</x:v>
      </x:c>
      <x:c r="J1711" s="24" t="str">
        <x:v>1.50</x:v>
      </x:c>
      <x:c r="K1711" s="24" t="str">
        <x:v>DuraVision Chrome UV</x:v>
      </x:c>
      <x:c r="L1711" s="40" t="n">
        <x:v>2508</x:v>
      </x:c>
      <x:c r="M1711" s="24" t="str">
        <x:v>-6.00 a +6.00</x:v>
      </x:c>
      <x:c r="N1711" s="24" t="str">
        <x:v>-4.00</x:v>
      </x:c>
      <x:c r="O1711" s="24" t="str">
        <x:v>-</x:v>
      </x:c>
      <x:c r="P1711" s="24" t="str">
        <x:v>75</x:v>
      </x:c>
      <x:c r="Q1711" s="24"/>
      <x:c r="R1711" s="24"/>
      <x:c r="S1711" s="26" t="n">
        <x:v>46113</x:v>
      </x:c>
      <x:c r="T1711" s="26"/>
      <x:c r="U1711" s="24" t="str">
        <x:v>ATIVA/SEM FIM INFORMADO</x:v>
      </x:c>
      <x:c r="V1711" s="24" t="str">
        <x:v>Programa de Parcerias ZEISS</x:v>
      </x:c>
      <x:c r="W1711" s="24" t="n">
        <x:v>20</x:v>
      </x:c>
      <x:c r="X1711" s="24" t="str">
        <x:v>tabela_zeiss.pdf</x:v>
      </x:c>
      <x:c r="Y1711" s="24" t="str">
        <x:v>alta</x:v>
      </x:c>
      <x:c r="Z1711" s="24"/>
      <x:c r="AA1711" s="24" t="str">
        <x:v>ZEISS|Visão Simples Jovem|Surfaçada|SmartLife Young|PhotoFusion X Extra Dark Cinza|1.5|1.50|DuraVision Chrome UV|-6.00 a +6.00|-4.00|-|75|||20</x:v>
      </x:c>
    </x:row>
    <x:row r="1712">
      <x:c r="A1712" s="24" t="str">
        <x:v>ZS-CD03642FBC44</x:v>
      </x:c>
      <x:c r="B1712" s="24" t="str">
        <x:v>SIM</x:v>
      </x:c>
      <x:c r="C1712" s="24" t="str">
        <x:v>DISPONÍVEL</x:v>
      </x:c>
      <x:c r="D1712" s="24" t="str">
        <x:v>ZEISS</x:v>
      </x:c>
      <x:c r="E1712" s="24" t="str">
        <x:v>Visão Simples Jovem</x:v>
      </x:c>
      <x:c r="F1712" s="24" t="str">
        <x:v>Surfaçada</x:v>
      </x:c>
      <x:c r="G1712" s="24" t="str">
        <x:v>SmartLife Young</x:v>
      </x:c>
      <x:c r="H1712" s="24" t="str">
        <x:v>PhotoFusion X Extra Dark Cinza</x:v>
      </x:c>
      <x:c r="I1712" s="24" t="str">
        <x:v>Poli</x:v>
      </x:c>
      <x:c r="J1712" s="24"/>
      <x:c r="K1712" s="24" t="str">
        <x:v>DuraVision Gold UV</x:v>
      </x:c>
      <x:c r="L1712" s="40" t="n">
        <x:v>3758</x:v>
      </x:c>
      <x:c r="M1712" s="24" t="str">
        <x:v>-10.00 a +8.00</x:v>
      </x:c>
      <x:c r="N1712" s="24" t="str">
        <x:v>-4.00</x:v>
      </x:c>
      <x:c r="O1712" s="24" t="str">
        <x:v>-</x:v>
      </x:c>
      <x:c r="P1712" s="24" t="str">
        <x:v>70</x:v>
      </x:c>
      <x:c r="Q1712" s="24"/>
      <x:c r="R1712" s="24"/>
      <x:c r="S1712" s="26" t="n">
        <x:v>46113</x:v>
      </x:c>
      <x:c r="T1712" s="26"/>
      <x:c r="U1712" s="24" t="str">
        <x:v>ATIVA/SEM FIM INFORMADO</x:v>
      </x:c>
      <x:c r="V1712" s="24" t="str">
        <x:v>Programa de Parcerias ZEISS</x:v>
      </x:c>
      <x:c r="W1712" s="24" t="n">
        <x:v>20</x:v>
      </x:c>
      <x:c r="X1712" s="24" t="str">
        <x:v>tabela_zeiss.pdf</x:v>
      </x:c>
      <x:c r="Y1712" s="24" t="str">
        <x:v>alta</x:v>
      </x:c>
      <x:c r="Z1712" s="24"/>
      <x:c r="AA1712" s="24" t="str">
        <x:v>ZEISS|Visão Simples Jovem|Surfaçada|SmartLife Young|PhotoFusion X Extra Dark Cinza|Poli||DuraVision Gold UV|-10.00 a +8.00|-4.00|-|70|||20</x:v>
      </x:c>
    </x:row>
    <x:row r="1713">
      <x:c r="A1713" s="24" t="str">
        <x:v>ZS-E76883FC3746</x:v>
      </x:c>
      <x:c r="B1713" s="24" t="str">
        <x:v>SIM</x:v>
      </x:c>
      <x:c r="C1713" s="24" t="str">
        <x:v>DISPONÍVEL</x:v>
      </x:c>
      <x:c r="D1713" s="24" t="str">
        <x:v>ZEISS</x:v>
      </x:c>
      <x:c r="E1713" s="24" t="str">
        <x:v>Visão Simples Jovem</x:v>
      </x:c>
      <x:c r="F1713" s="24" t="str">
        <x:v>Surfaçada</x:v>
      </x:c>
      <x:c r="G1713" s="24" t="str">
        <x:v>SmartLife Young</x:v>
      </x:c>
      <x:c r="H1713" s="24" t="str">
        <x:v>PhotoFusion X Extra Dark Cinza</x:v>
      </x:c>
      <x:c r="I1713" s="24" t="str">
        <x:v>Poli</x:v>
      </x:c>
      <x:c r="J1713" s="24"/>
      <x:c r="K1713" s="24" t="str">
        <x:v>DuraVision Platinum UV</x:v>
      </x:c>
      <x:c r="L1713" s="40" t="n">
        <x:v>3618</x:v>
      </x:c>
      <x:c r="M1713" s="24" t="str">
        <x:v>-10.00 a +8.00</x:v>
      </x:c>
      <x:c r="N1713" s="24" t="str">
        <x:v>-4.00</x:v>
      </x:c>
      <x:c r="O1713" s="24" t="str">
        <x:v>-</x:v>
      </x:c>
      <x:c r="P1713" s="24" t="str">
        <x:v>70</x:v>
      </x:c>
      <x:c r="Q1713" s="24"/>
      <x:c r="R1713" s="24"/>
      <x:c r="S1713" s="26" t="n">
        <x:v>46113</x:v>
      </x:c>
      <x:c r="T1713" s="26"/>
      <x:c r="U1713" s="24" t="str">
        <x:v>ATIVA/SEM FIM INFORMADO</x:v>
      </x:c>
      <x:c r="V1713" s="24" t="str">
        <x:v>Programa de Parcerias ZEISS</x:v>
      </x:c>
      <x:c r="W1713" s="24" t="n">
        <x:v>20</x:v>
      </x:c>
      <x:c r="X1713" s="24" t="str">
        <x:v>tabela_zeiss.pdf</x:v>
      </x:c>
      <x:c r="Y1713" s="24" t="str">
        <x:v>alta</x:v>
      </x:c>
      <x:c r="Z1713" s="24"/>
      <x:c r="AA1713" s="24" t="str">
        <x:v>ZEISS|Visão Simples Jovem|Surfaçada|SmartLife Young|PhotoFusion X Extra Dark Cinza|Poli||DuraVision Platinum UV|-10.00 a +8.00|-4.00|-|70|||20</x:v>
      </x:c>
    </x:row>
    <x:row r="1714">
      <x:c r="A1714" s="24" t="str">
        <x:v>ZS-477CCB09E647</x:v>
      </x:c>
      <x:c r="B1714" s="24" t="str">
        <x:v>SIM</x:v>
      </x:c>
      <x:c r="C1714" s="24" t="str">
        <x:v>DISPONÍVEL</x:v>
      </x:c>
      <x:c r="D1714" s="24" t="str">
        <x:v>ZEISS</x:v>
      </x:c>
      <x:c r="E1714" s="24" t="str">
        <x:v>Visão Simples Jovem</x:v>
      </x:c>
      <x:c r="F1714" s="24" t="str">
        <x:v>Surfaçada</x:v>
      </x:c>
      <x:c r="G1714" s="24" t="str">
        <x:v>SmartLife Young</x:v>
      </x:c>
      <x:c r="H1714" s="24" t="str">
        <x:v>PhotoFusion X Extra Dark Cinza</x:v>
      </x:c>
      <x:c r="I1714" s="24" t="str">
        <x:v>Poli</x:v>
      </x:c>
      <x:c r="J1714" s="24"/>
      <x:c r="K1714" s="24" t="str">
        <x:v>DuraVision Silver UV</x:v>
      </x:c>
      <x:c r="L1714" s="40" t="n">
        <x:v>3358</x:v>
      </x:c>
      <x:c r="M1714" s="24" t="str">
        <x:v>-10.00 a +8.00</x:v>
      </x:c>
      <x:c r="N1714" s="24" t="str">
        <x:v>-4.00</x:v>
      </x:c>
      <x:c r="O1714" s="24" t="str">
        <x:v>-</x:v>
      </x:c>
      <x:c r="P1714" s="24" t="str">
        <x:v>70</x:v>
      </x:c>
      <x:c r="Q1714" s="24"/>
      <x:c r="R1714" s="24"/>
      <x:c r="S1714" s="26" t="n">
        <x:v>46113</x:v>
      </x:c>
      <x:c r="T1714" s="26"/>
      <x:c r="U1714" s="24" t="str">
        <x:v>ATIVA/SEM FIM INFORMADO</x:v>
      </x:c>
      <x:c r="V1714" s="24" t="str">
        <x:v>Programa de Parcerias ZEISS</x:v>
      </x:c>
      <x:c r="W1714" s="24" t="n">
        <x:v>20</x:v>
      </x:c>
      <x:c r="X1714" s="24" t="str">
        <x:v>tabela_zeiss.pdf</x:v>
      </x:c>
      <x:c r="Y1714" s="24" t="str">
        <x:v>alta</x:v>
      </x:c>
      <x:c r="Z1714" s="24"/>
      <x:c r="AA1714" s="24" t="str">
        <x:v>ZEISS|Visão Simples Jovem|Surfaçada|SmartLife Young|PhotoFusion X Extra Dark Cinza|Poli||DuraVision Silver UV|-10.00 a +8.00|-4.00|-|70|||20</x:v>
      </x:c>
    </x:row>
    <x:row r="1715">
      <x:c r="A1715" s="24" t="str">
        <x:v>ZS-9FD36206EC00</x:v>
      </x:c>
      <x:c r="B1715" s="24" t="str">
        <x:v>SIM</x:v>
      </x:c>
      <x:c r="C1715" s="24" t="str">
        <x:v>DISPONÍVEL</x:v>
      </x:c>
      <x:c r="D1715" s="24" t="str">
        <x:v>ZEISS</x:v>
      </x:c>
      <x:c r="E1715" s="24" t="str">
        <x:v>Visão Simples Jovem</x:v>
      </x:c>
      <x:c r="F1715" s="24" t="str">
        <x:v>Surfaçada</x:v>
      </x:c>
      <x:c r="G1715" s="24" t="str">
        <x:v>SmartLife Young</x:v>
      </x:c>
      <x:c r="H1715" s="24" t="str">
        <x:v>PhotoFusion X Extra Dark Cinza</x:v>
      </x:c>
      <x:c r="I1715" s="24" t="str">
        <x:v>Poli</x:v>
      </x:c>
      <x:c r="J1715" s="24"/>
      <x:c r="K1715" s="24" t="str">
        <x:v>DuraVision Chrome UV</x:v>
      </x:c>
      <x:c r="L1715" s="40" t="n">
        <x:v>2868</x:v>
      </x:c>
      <x:c r="M1715" s="24" t="str">
        <x:v>-10.00 a +8.00</x:v>
      </x:c>
      <x:c r="N1715" s="24" t="str">
        <x:v>-4.00</x:v>
      </x:c>
      <x:c r="O1715" s="24" t="str">
        <x:v>-</x:v>
      </x:c>
      <x:c r="P1715" s="24" t="str">
        <x:v>70</x:v>
      </x:c>
      <x:c r="Q1715" s="24"/>
      <x:c r="R1715" s="24"/>
      <x:c r="S1715" s="26" t="n">
        <x:v>46113</x:v>
      </x:c>
      <x:c r="T1715" s="26"/>
      <x:c r="U1715" s="24" t="str">
        <x:v>ATIVA/SEM FIM INFORMADO</x:v>
      </x:c>
      <x:c r="V1715" s="24" t="str">
        <x:v>Programa de Parcerias ZEISS</x:v>
      </x:c>
      <x:c r="W1715" s="24" t="n">
        <x:v>20</x:v>
      </x:c>
      <x:c r="X1715" s="24" t="str">
        <x:v>tabela_zeiss.pdf</x:v>
      </x:c>
      <x:c r="Y1715" s="24" t="str">
        <x:v>alta</x:v>
      </x:c>
      <x:c r="Z1715" s="24"/>
      <x:c r="AA1715" s="24" t="str">
        <x:v>ZEISS|Visão Simples Jovem|Surfaçada|SmartLife Young|PhotoFusion X Extra Dark Cinza|Poli||DuraVision Chrome UV|-10.00 a +8.00|-4.00|-|70|||20</x:v>
      </x:c>
    </x:row>
    <x:row r="1716">
      <x:c r="A1716" s="24" t="str">
        <x:v>ZS-6F11E66D2220</x:v>
      </x:c>
      <x:c r="B1716" s="24" t="str">
        <x:v>SIM</x:v>
      </x:c>
      <x:c r="C1716" s="24" t="str">
        <x:v>DISPONÍVEL</x:v>
      </x:c>
      <x:c r="D1716" s="24" t="str">
        <x:v>ZEISS</x:v>
      </x:c>
      <x:c r="E1716" s="24" t="str">
        <x:v>Visão Simples Jovem</x:v>
      </x:c>
      <x:c r="F1716" s="24" t="str">
        <x:v>Surfaçada</x:v>
      </x:c>
      <x:c r="G1716" s="24" t="str">
        <x:v>SmartLife Young</x:v>
      </x:c>
      <x:c r="H1716" s="24" t="str">
        <x:v>PhotoFusion X Extra Dark Cinza</x:v>
      </x:c>
      <x:c r="I1716" s="24" t="str">
        <x:v>1.6</x:v>
      </x:c>
      <x:c r="J1716" s="24" t="str">
        <x:v>1.60</x:v>
      </x:c>
      <x:c r="K1716" s="24" t="str">
        <x:v>DuraVision Gold UV</x:v>
      </x:c>
      <x:c r="L1716" s="40" t="n">
        <x:v>3978</x:v>
      </x:c>
      <x:c r="M1716" s="24" t="str">
        <x:v>-6.00 a +8.00</x:v>
      </x:c>
      <x:c r="N1716" s="24" t="str">
        <x:v>-4.00</x:v>
      </x:c>
      <x:c r="O1716" s="24" t="str">
        <x:v>-</x:v>
      </x:c>
      <x:c r="P1716" s="24" t="str">
        <x:v>75</x:v>
      </x:c>
      <x:c r="Q1716" s="24"/>
      <x:c r="R1716" s="24"/>
      <x:c r="S1716" s="26" t="n">
        <x:v>46113</x:v>
      </x:c>
      <x:c r="T1716" s="26"/>
      <x:c r="U1716" s="24" t="str">
        <x:v>ATIVA/SEM FIM INFORMADO</x:v>
      </x:c>
      <x:c r="V1716" s="24" t="str">
        <x:v>Programa de Parcerias ZEISS</x:v>
      </x:c>
      <x:c r="W1716" s="24" t="n">
        <x:v>20</x:v>
      </x:c>
      <x:c r="X1716" s="24" t="str">
        <x:v>tabela_zeiss.pdf</x:v>
      </x:c>
      <x:c r="Y1716" s="24" t="str">
        <x:v>alta</x:v>
      </x:c>
      <x:c r="Z1716" s="24"/>
      <x:c r="AA1716" s="24" t="str">
        <x:v>ZEISS|Visão Simples Jovem|Surfaçada|SmartLife Young|PhotoFusion X Extra Dark Cinza|1.6|1.60|DuraVision Gold UV|-6.00 a +8.00|-4.00|-|75|||20</x:v>
      </x:c>
    </x:row>
    <x:row r="1717">
      <x:c r="A1717" s="24" t="str">
        <x:v>ZS-47D778EE04F3</x:v>
      </x:c>
      <x:c r="B1717" s="24" t="str">
        <x:v>SIM</x:v>
      </x:c>
      <x:c r="C1717" s="24" t="str">
        <x:v>DISPONÍVEL</x:v>
      </x:c>
      <x:c r="D1717" s="24" t="str">
        <x:v>ZEISS</x:v>
      </x:c>
      <x:c r="E1717" s="24" t="str">
        <x:v>Visão Simples Jovem</x:v>
      </x:c>
      <x:c r="F1717" s="24" t="str">
        <x:v>Surfaçada</x:v>
      </x:c>
      <x:c r="G1717" s="24" t="str">
        <x:v>SmartLife Young</x:v>
      </x:c>
      <x:c r="H1717" s="24" t="str">
        <x:v>PhotoFusion X Extra Dark Cinza</x:v>
      </x:c>
      <x:c r="I1717" s="24" t="str">
        <x:v>1.6</x:v>
      </x:c>
      <x:c r="J1717" s="24" t="str">
        <x:v>1.60</x:v>
      </x:c>
      <x:c r="K1717" s="24" t="str">
        <x:v>DuraVision Antivírus Platinum UV</x:v>
      </x:c>
      <x:c r="L1717" s="40" t="n">
        <x:v>3838</x:v>
      </x:c>
      <x:c r="M1717" s="24" t="str">
        <x:v>-6.00 a +8.00</x:v>
      </x:c>
      <x:c r="N1717" s="24" t="str">
        <x:v>-4.00</x:v>
      </x:c>
      <x:c r="O1717" s="24" t="str">
        <x:v>-</x:v>
      </x:c>
      <x:c r="P1717" s="24" t="str">
        <x:v>75</x:v>
      </x:c>
      <x:c r="Q1717" s="24"/>
      <x:c r="R1717" s="24"/>
      <x:c r="S1717" s="26" t="n">
        <x:v>46113</x:v>
      </x:c>
      <x:c r="T1717" s="26"/>
      <x:c r="U1717" s="24" t="str">
        <x:v>ATIVA/SEM FIM INFORMADO</x:v>
      </x:c>
      <x:c r="V1717" s="24" t="str">
        <x:v>Programa de Parcerias ZEISS</x:v>
      </x:c>
      <x:c r="W1717" s="24" t="n">
        <x:v>20</x:v>
      </x:c>
      <x:c r="X1717" s="24" t="str">
        <x:v>tabela_zeiss.pdf</x:v>
      </x:c>
      <x:c r="Y1717" s="24" t="str">
        <x:v>alta</x:v>
      </x:c>
      <x:c r="Z1717" s="24"/>
      <x:c r="AA1717" s="24" t="str">
        <x:v>ZEISS|Visão Simples Jovem|Surfaçada|SmartLife Young|PhotoFusion X Extra Dark Cinza|1.6|1.60|DuraVision Antivírus Platinum UV|-6.00 a +8.00|-4.00|-|75|||20</x:v>
      </x:c>
    </x:row>
    <x:row r="1718">
      <x:c r="A1718" s="24" t="str">
        <x:v>ZS-6F1E69B0D17A</x:v>
      </x:c>
      <x:c r="B1718" s="24" t="str">
        <x:v>SIM</x:v>
      </x:c>
      <x:c r="C1718" s="24" t="str">
        <x:v>DISPONÍVEL</x:v>
      </x:c>
      <x:c r="D1718" s="24" t="str">
        <x:v>ZEISS</x:v>
      </x:c>
      <x:c r="E1718" s="24" t="str">
        <x:v>Visão Simples Jovem</x:v>
      </x:c>
      <x:c r="F1718" s="24" t="str">
        <x:v>Surfaçada</x:v>
      </x:c>
      <x:c r="G1718" s="24" t="str">
        <x:v>SmartLife Young</x:v>
      </x:c>
      <x:c r="H1718" s="24" t="str">
        <x:v>PhotoFusion X Extra Dark Cinza</x:v>
      </x:c>
      <x:c r="I1718" s="24" t="str">
        <x:v>1.6</x:v>
      </x:c>
      <x:c r="J1718" s="24" t="str">
        <x:v>1.60</x:v>
      </x:c>
      <x:c r="K1718" s="24" t="str">
        <x:v>DuraVision Platinum UV</x:v>
      </x:c>
      <x:c r="L1718" s="40" t="n">
        <x:v>3838</x:v>
      </x:c>
      <x:c r="M1718" s="24" t="str">
        <x:v>-6.00 a +8.00</x:v>
      </x:c>
      <x:c r="N1718" s="24" t="str">
        <x:v>-4.00</x:v>
      </x:c>
      <x:c r="O1718" s="24" t="str">
        <x:v>-</x:v>
      </x:c>
      <x:c r="P1718" s="24" t="str">
        <x:v>75</x:v>
      </x:c>
      <x:c r="Q1718" s="24"/>
      <x:c r="R1718" s="24"/>
      <x:c r="S1718" s="26" t="n">
        <x:v>46113</x:v>
      </x:c>
      <x:c r="T1718" s="26"/>
      <x:c r="U1718" s="24" t="str">
        <x:v>ATIVA/SEM FIM INFORMADO</x:v>
      </x:c>
      <x:c r="V1718" s="24" t="str">
        <x:v>Programa de Parcerias ZEISS</x:v>
      </x:c>
      <x:c r="W1718" s="24" t="n">
        <x:v>20</x:v>
      </x:c>
      <x:c r="X1718" s="24" t="str">
        <x:v>tabela_zeiss.pdf</x:v>
      </x:c>
      <x:c r="Y1718" s="24" t="str">
        <x:v>alta</x:v>
      </x:c>
      <x:c r="Z1718" s="24"/>
      <x:c r="AA1718" s="24" t="str">
        <x:v>ZEISS|Visão Simples Jovem|Surfaçada|SmartLife Young|PhotoFusion X Extra Dark Cinza|1.6|1.60|DuraVision Platinum UV|-6.00 a +8.00|-4.00|-|75|||20</x:v>
      </x:c>
    </x:row>
    <x:row r="1719">
      <x:c r="A1719" s="24" t="str">
        <x:v>ZS-50D0CEA620BA</x:v>
      </x:c>
      <x:c r="B1719" s="24" t="str">
        <x:v>SIM</x:v>
      </x:c>
      <x:c r="C1719" s="24" t="str">
        <x:v>DISPONÍVEL</x:v>
      </x:c>
      <x:c r="D1719" s="24" t="str">
        <x:v>ZEISS</x:v>
      </x:c>
      <x:c r="E1719" s="24" t="str">
        <x:v>Visão Simples Jovem</x:v>
      </x:c>
      <x:c r="F1719" s="24" t="str">
        <x:v>Surfaçada</x:v>
      </x:c>
      <x:c r="G1719" s="24" t="str">
        <x:v>SmartLife Young</x:v>
      </x:c>
      <x:c r="H1719" s="24" t="str">
        <x:v>PhotoFusion X Extra Dark Cinza</x:v>
      </x:c>
      <x:c r="I1719" s="24" t="str">
        <x:v>1.6</x:v>
      </x:c>
      <x:c r="J1719" s="24" t="str">
        <x:v>1.60</x:v>
      </x:c>
      <x:c r="K1719" s="24" t="str">
        <x:v>DuraVision Silver UV</x:v>
      </x:c>
      <x:c r="L1719" s="40" t="n">
        <x:v>3578</x:v>
      </x:c>
      <x:c r="M1719" s="24" t="str">
        <x:v>-6.00 a +8.00</x:v>
      </x:c>
      <x:c r="N1719" s="24" t="str">
        <x:v>-4.00</x:v>
      </x:c>
      <x:c r="O1719" s="24" t="str">
        <x:v>-</x:v>
      </x:c>
      <x:c r="P1719" s="24" t="str">
        <x:v>75</x:v>
      </x:c>
      <x:c r="Q1719" s="24"/>
      <x:c r="R1719" s="24"/>
      <x:c r="S1719" s="26" t="n">
        <x:v>46113</x:v>
      </x:c>
      <x:c r="T1719" s="26"/>
      <x:c r="U1719" s="24" t="str">
        <x:v>ATIVA/SEM FIM INFORMADO</x:v>
      </x:c>
      <x:c r="V1719" s="24" t="str">
        <x:v>Programa de Parcerias ZEISS</x:v>
      </x:c>
      <x:c r="W1719" s="24" t="n">
        <x:v>20</x:v>
      </x:c>
      <x:c r="X1719" s="24" t="str">
        <x:v>tabela_zeiss.pdf</x:v>
      </x:c>
      <x:c r="Y1719" s="24" t="str">
        <x:v>alta</x:v>
      </x:c>
      <x:c r="Z1719" s="24"/>
      <x:c r="AA1719" s="24" t="str">
        <x:v>ZEISS|Visão Simples Jovem|Surfaçada|SmartLife Young|PhotoFusion X Extra Dark Cinza|1.6|1.60|DuraVision Silver UV|-6.00 a +8.00|-4.00|-|75|||20</x:v>
      </x:c>
    </x:row>
    <x:row r="1720">
      <x:c r="A1720" s="24" t="str">
        <x:v>ZS-7B536CDBA741</x:v>
      </x:c>
      <x:c r="B1720" s="24" t="str">
        <x:v>SIM</x:v>
      </x:c>
      <x:c r="C1720" s="24" t="str">
        <x:v>DISPONÍVEL</x:v>
      </x:c>
      <x:c r="D1720" s="24" t="str">
        <x:v>ZEISS</x:v>
      </x:c>
      <x:c r="E1720" s="24" t="str">
        <x:v>Visão Simples Jovem</x:v>
      </x:c>
      <x:c r="F1720" s="24" t="str">
        <x:v>Surfaçada</x:v>
      </x:c>
      <x:c r="G1720" s="24" t="str">
        <x:v>SmartLife Young</x:v>
      </x:c>
      <x:c r="H1720" s="24" t="str">
        <x:v>PhotoFusion X Extra Dark Cinza</x:v>
      </x:c>
      <x:c r="I1720" s="24" t="str">
        <x:v>1.6</x:v>
      </x:c>
      <x:c r="J1720" s="24" t="str">
        <x:v>1.60</x:v>
      </x:c>
      <x:c r="K1720" s="24" t="str">
        <x:v>DuraVision Chrome UV</x:v>
      </x:c>
      <x:c r="L1720" s="40" t="n">
        <x:v>3088</x:v>
      </x:c>
      <x:c r="M1720" s="24" t="str">
        <x:v>-6.00 a +8.00</x:v>
      </x:c>
      <x:c r="N1720" s="24" t="str">
        <x:v>-4.00</x:v>
      </x:c>
      <x:c r="O1720" s="24" t="str">
        <x:v>-</x:v>
      </x:c>
      <x:c r="P1720" s="24" t="str">
        <x:v>75</x:v>
      </x:c>
      <x:c r="Q1720" s="24"/>
      <x:c r="R1720" s="24"/>
      <x:c r="S1720" s="26" t="n">
        <x:v>46113</x:v>
      </x:c>
      <x:c r="T1720" s="26"/>
      <x:c r="U1720" s="24" t="str">
        <x:v>ATIVA/SEM FIM INFORMADO</x:v>
      </x:c>
      <x:c r="V1720" s="24" t="str">
        <x:v>Programa de Parcerias ZEISS</x:v>
      </x:c>
      <x:c r="W1720" s="24" t="n">
        <x:v>20</x:v>
      </x:c>
      <x:c r="X1720" s="24" t="str">
        <x:v>tabela_zeiss.pdf</x:v>
      </x:c>
      <x:c r="Y1720" s="24" t="str">
        <x:v>alta</x:v>
      </x:c>
      <x:c r="Z1720" s="24"/>
      <x:c r="AA1720" s="24" t="str">
        <x:v>ZEISS|Visão Simples Jovem|Surfaçada|SmartLife Young|PhotoFusion X Extra Dark Cinza|1.6|1.60|DuraVision Chrome UV|-6.00 a +8.00|-4.00|-|75|||20</x:v>
      </x:c>
    </x:row>
    <x:row r="1721">
      <x:c r="A1721" s="24" t="str">
        <x:v>ZS-C62579364D20</x:v>
      </x:c>
      <x:c r="B1721" s="24" t="str">
        <x:v>SIM</x:v>
      </x:c>
      <x:c r="C1721" s="24" t="str">
        <x:v>DISPONÍVEL</x:v>
      </x:c>
      <x:c r="D1721" s="24" t="str">
        <x:v>ZEISS</x:v>
      </x:c>
      <x:c r="E1721" s="24" t="str">
        <x:v>Visão Simples Jovem</x:v>
      </x:c>
      <x:c r="F1721" s="24" t="str">
        <x:v>Surfaçada</x:v>
      </x:c>
      <x:c r="G1721" s="24" t="str">
        <x:v>SmartLife Young</x:v>
      </x:c>
      <x:c r="H1721" s="24" t="str">
        <x:v>PhotoFusion X Extra Dark Cinza</x:v>
      </x:c>
      <x:c r="I1721" s="24" t="str">
        <x:v>1.67</x:v>
      </x:c>
      <x:c r="J1721" s="24" t="str">
        <x:v>1.67</x:v>
      </x:c>
      <x:c r="K1721" s="24" t="str">
        <x:v>DuraVision Gold UV</x:v>
      </x:c>
      <x:c r="L1721" s="40" t="n">
        <x:v>5278</x:v>
      </x:c>
      <x:c r="M1721" s="24" t="str">
        <x:v>-8.00 a +8.00</x:v>
      </x:c>
      <x:c r="N1721" s="24" t="str">
        <x:v>-6.00</x:v>
      </x:c>
      <x:c r="O1721" s="24" t="str">
        <x:v>-</x:v>
      </x:c>
      <x:c r="P1721" s="24" t="str">
        <x:v>70</x:v>
      </x:c>
      <x:c r="Q1721" s="24"/>
      <x:c r="R1721" s="24"/>
      <x:c r="S1721" s="26" t="n">
        <x:v>46113</x:v>
      </x:c>
      <x:c r="T1721" s="26"/>
      <x:c r="U1721" s="24" t="str">
        <x:v>ATIVA/SEM FIM INFORMADO</x:v>
      </x:c>
      <x:c r="V1721" s="24" t="str">
        <x:v>Programa de Parcerias ZEISS</x:v>
      </x:c>
      <x:c r="W1721" s="24" t="n">
        <x:v>20</x:v>
      </x:c>
      <x:c r="X1721" s="24" t="str">
        <x:v>tabela_zeiss.pdf</x:v>
      </x:c>
      <x:c r="Y1721" s="24" t="str">
        <x:v>alta</x:v>
      </x:c>
      <x:c r="Z1721" s="24"/>
      <x:c r="AA1721" s="24" t="str">
        <x:v>ZEISS|Visão Simples Jovem|Surfaçada|SmartLife Young|PhotoFusion X Extra Dark Cinza|1.67|1.67|DuraVision Gold UV|-8.00 a +8.00|-6.00|-|70|||20</x:v>
      </x:c>
    </x:row>
    <x:row r="1722">
      <x:c r="A1722" s="24" t="str">
        <x:v>ZS-156A52A70CFB</x:v>
      </x:c>
      <x:c r="B1722" s="24" t="str">
        <x:v>SIM</x:v>
      </x:c>
      <x:c r="C1722" s="24" t="str">
        <x:v>DISPONÍVEL</x:v>
      </x:c>
      <x:c r="D1722" s="24" t="str">
        <x:v>ZEISS</x:v>
      </x:c>
      <x:c r="E1722" s="24" t="str">
        <x:v>Visão Simples Jovem</x:v>
      </x:c>
      <x:c r="F1722" s="24" t="str">
        <x:v>Surfaçada</x:v>
      </x:c>
      <x:c r="G1722" s="24" t="str">
        <x:v>SmartLife Young</x:v>
      </x:c>
      <x:c r="H1722" s="24" t="str">
        <x:v>PhotoFusion X Extra Dark Cinza</x:v>
      </x:c>
      <x:c r="I1722" s="24" t="str">
        <x:v>1.67</x:v>
      </x:c>
      <x:c r="J1722" s="24" t="str">
        <x:v>1.67</x:v>
      </x:c>
      <x:c r="K1722" s="24" t="str">
        <x:v>DuraVision Antivírus Platinum UV</x:v>
      </x:c>
      <x:c r="L1722" s="40" t="n">
        <x:v>5138</x:v>
      </x:c>
      <x:c r="M1722" s="24" t="str">
        <x:v>-8.00 a +8.00</x:v>
      </x:c>
      <x:c r="N1722" s="24" t="str">
        <x:v>-6.00</x:v>
      </x:c>
      <x:c r="O1722" s="24" t="str">
        <x:v>-</x:v>
      </x:c>
      <x:c r="P1722" s="24" t="str">
        <x:v>70</x:v>
      </x:c>
      <x:c r="Q1722" s="24"/>
      <x:c r="R1722" s="24"/>
      <x:c r="S1722" s="26" t="n">
        <x:v>46113</x:v>
      </x:c>
      <x:c r="T1722" s="26"/>
      <x:c r="U1722" s="24" t="str">
        <x:v>ATIVA/SEM FIM INFORMADO</x:v>
      </x:c>
      <x:c r="V1722" s="24" t="str">
        <x:v>Programa de Parcerias ZEISS</x:v>
      </x:c>
      <x:c r="W1722" s="24" t="n">
        <x:v>20</x:v>
      </x:c>
      <x:c r="X1722" s="24" t="str">
        <x:v>tabela_zeiss.pdf</x:v>
      </x:c>
      <x:c r="Y1722" s="24" t="str">
        <x:v>alta</x:v>
      </x:c>
      <x:c r="Z1722" s="24"/>
      <x:c r="AA1722" s="24" t="str">
        <x:v>ZEISS|Visão Simples Jovem|Surfaçada|SmartLife Young|PhotoFusion X Extra Dark Cinza|1.67|1.67|DuraVision Antivírus Platinum UV|-8.00 a +8.00|-6.00|-|70|||20</x:v>
      </x:c>
    </x:row>
    <x:row r="1723">
      <x:c r="A1723" s="24" t="str">
        <x:v>ZS-CE50526929A5</x:v>
      </x:c>
      <x:c r="B1723" s="24" t="str">
        <x:v>SIM</x:v>
      </x:c>
      <x:c r="C1723" s="24" t="str">
        <x:v>DISPONÍVEL</x:v>
      </x:c>
      <x:c r="D1723" s="24" t="str">
        <x:v>ZEISS</x:v>
      </x:c>
      <x:c r="E1723" s="24" t="str">
        <x:v>Visão Simples Jovem</x:v>
      </x:c>
      <x:c r="F1723" s="24" t="str">
        <x:v>Surfaçada</x:v>
      </x:c>
      <x:c r="G1723" s="24" t="str">
        <x:v>SmartLife Young</x:v>
      </x:c>
      <x:c r="H1723" s="24" t="str">
        <x:v>PhotoFusion X Extra Dark Cinza</x:v>
      </x:c>
      <x:c r="I1723" s="24" t="str">
        <x:v>1.67</x:v>
      </x:c>
      <x:c r="J1723" s="24" t="str">
        <x:v>1.67</x:v>
      </x:c>
      <x:c r="K1723" s="24" t="str">
        <x:v>DuraVision Platinum UV</x:v>
      </x:c>
      <x:c r="L1723" s="40" t="n">
        <x:v>5138</x:v>
      </x:c>
      <x:c r="M1723" s="24" t="str">
        <x:v>-8.00 a +8.00</x:v>
      </x:c>
      <x:c r="N1723" s="24" t="str">
        <x:v>-6.00</x:v>
      </x:c>
      <x:c r="O1723" s="24" t="str">
        <x:v>-</x:v>
      </x:c>
      <x:c r="P1723" s="24" t="str">
        <x:v>70</x:v>
      </x:c>
      <x:c r="Q1723" s="24"/>
      <x:c r="R1723" s="24"/>
      <x:c r="S1723" s="26" t="n">
        <x:v>46113</x:v>
      </x:c>
      <x:c r="T1723" s="26"/>
      <x:c r="U1723" s="24" t="str">
        <x:v>ATIVA/SEM FIM INFORMADO</x:v>
      </x:c>
      <x:c r="V1723" s="24" t="str">
        <x:v>Programa de Parcerias ZEISS</x:v>
      </x:c>
      <x:c r="W1723" s="24" t="n">
        <x:v>20</x:v>
      </x:c>
      <x:c r="X1723" s="24" t="str">
        <x:v>tabela_zeiss.pdf</x:v>
      </x:c>
      <x:c r="Y1723" s="24" t="str">
        <x:v>alta</x:v>
      </x:c>
      <x:c r="Z1723" s="24"/>
      <x:c r="AA1723" s="24" t="str">
        <x:v>ZEISS|Visão Simples Jovem|Surfaçada|SmartLife Young|PhotoFusion X Extra Dark Cinza|1.67|1.67|DuraVision Platinum UV|-8.00 a +8.00|-6.00|-|70|||20</x:v>
      </x:c>
    </x:row>
    <x:row r="1724">
      <x:c r="A1724" s="24" t="str">
        <x:v>ZS-02713A6A7F26</x:v>
      </x:c>
      <x:c r="B1724" s="24" t="str">
        <x:v>SIM</x:v>
      </x:c>
      <x:c r="C1724" s="24" t="str">
        <x:v>DISPONÍVEL</x:v>
      </x:c>
      <x:c r="D1724" s="24" t="str">
        <x:v>ZEISS</x:v>
      </x:c>
      <x:c r="E1724" s="24" t="str">
        <x:v>Visão Simples Jovem</x:v>
      </x:c>
      <x:c r="F1724" s="24" t="str">
        <x:v>Surfaçada</x:v>
      </x:c>
      <x:c r="G1724" s="24" t="str">
        <x:v>SmartLife Young</x:v>
      </x:c>
      <x:c r="H1724" s="24" t="str">
        <x:v>PhotoFusion X Extra Dark Cinza</x:v>
      </x:c>
      <x:c r="I1724" s="24" t="str">
        <x:v>1.67</x:v>
      </x:c>
      <x:c r="J1724" s="24" t="str">
        <x:v>1.67</x:v>
      </x:c>
      <x:c r="K1724" s="24" t="str">
        <x:v>DuraVision Silver UV</x:v>
      </x:c>
      <x:c r="L1724" s="40" t="n">
        <x:v>4878</x:v>
      </x:c>
      <x:c r="M1724" s="24" t="str">
        <x:v>-8.00 a +8.00</x:v>
      </x:c>
      <x:c r="N1724" s="24" t="str">
        <x:v>-6.00</x:v>
      </x:c>
      <x:c r="O1724" s="24" t="str">
        <x:v>-</x:v>
      </x:c>
      <x:c r="P1724" s="24" t="str">
        <x:v>70</x:v>
      </x:c>
      <x:c r="Q1724" s="24"/>
      <x:c r="R1724" s="24"/>
      <x:c r="S1724" s="26" t="n">
        <x:v>46113</x:v>
      </x:c>
      <x:c r="T1724" s="26"/>
      <x:c r="U1724" s="24" t="str">
        <x:v>ATIVA/SEM FIM INFORMADO</x:v>
      </x:c>
      <x:c r="V1724" s="24" t="str">
        <x:v>Programa de Parcerias ZEISS</x:v>
      </x:c>
      <x:c r="W1724" s="24" t="n">
        <x:v>20</x:v>
      </x:c>
      <x:c r="X1724" s="24" t="str">
        <x:v>tabela_zeiss.pdf</x:v>
      </x:c>
      <x:c r="Y1724" s="24" t="str">
        <x:v>alta</x:v>
      </x:c>
      <x:c r="Z1724" s="24"/>
      <x:c r="AA1724" s="24" t="str">
        <x:v>ZEISS|Visão Simples Jovem|Surfaçada|SmartLife Young|PhotoFusion X Extra Dark Cinza|1.67|1.67|DuraVision Silver UV|-8.00 a +8.00|-6.00|-|70|||20</x:v>
      </x:c>
    </x:row>
    <x:row r="1725">
      <x:c r="A1725" s="24" t="str">
        <x:v>ZS-628B045140BE</x:v>
      </x:c>
      <x:c r="B1725" s="24" t="str">
        <x:v>SIM</x:v>
      </x:c>
      <x:c r="C1725" s="24" t="str">
        <x:v>DISPONÍVEL</x:v>
      </x:c>
      <x:c r="D1725" s="24" t="str">
        <x:v>ZEISS</x:v>
      </x:c>
      <x:c r="E1725" s="24" t="str">
        <x:v>Visão Simples Jovem</x:v>
      </x:c>
      <x:c r="F1725" s="24" t="str">
        <x:v>Surfaçada</x:v>
      </x:c>
      <x:c r="G1725" s="24" t="str">
        <x:v>SmartLife Young</x:v>
      </x:c>
      <x:c r="H1725" s="24" t="str">
        <x:v>PhotoFusion X Extra Dark Cinza</x:v>
      </x:c>
      <x:c r="I1725" s="24" t="str">
        <x:v>1.67</x:v>
      </x:c>
      <x:c r="J1725" s="24" t="str">
        <x:v>1.67</x:v>
      </x:c>
      <x:c r="K1725" s="24" t="str">
        <x:v>DuraVision Chrome UV</x:v>
      </x:c>
      <x:c r="L1725" s="40" t="n">
        <x:v>4388</x:v>
      </x:c>
      <x:c r="M1725" s="24" t="str">
        <x:v>-8.00 a +8.00</x:v>
      </x:c>
      <x:c r="N1725" s="24" t="str">
        <x:v>-6.00</x:v>
      </x:c>
      <x:c r="O1725" s="24" t="str">
        <x:v>-</x:v>
      </x:c>
      <x:c r="P1725" s="24" t="str">
        <x:v>70</x:v>
      </x:c>
      <x:c r="Q1725" s="24"/>
      <x:c r="R1725" s="24"/>
      <x:c r="S1725" s="26" t="n">
        <x:v>46113</x:v>
      </x:c>
      <x:c r="T1725" s="26"/>
      <x:c r="U1725" s="24" t="str">
        <x:v>ATIVA/SEM FIM INFORMADO</x:v>
      </x:c>
      <x:c r="V1725" s="24" t="str">
        <x:v>Programa de Parcerias ZEISS</x:v>
      </x:c>
      <x:c r="W1725" s="24" t="n">
        <x:v>20</x:v>
      </x:c>
      <x:c r="X1725" s="24" t="str">
        <x:v>tabela_zeiss.pdf</x:v>
      </x:c>
      <x:c r="Y1725" s="24" t="str">
        <x:v>alta</x:v>
      </x:c>
      <x:c r="Z1725" s="24"/>
      <x:c r="AA1725" s="24" t="str">
        <x:v>ZEISS|Visão Simples Jovem|Surfaçada|SmartLife Young|PhotoFusion X Extra Dark Cinza|1.67|1.67|DuraVision Chrome UV|-8.00 a +8.00|-6.00|-|70|||20</x:v>
      </x:c>
    </x:row>
    <x:row r="1726">
      <x:c r="A1726" s="24" t="str">
        <x:v>ZS-A3F964C03746</x:v>
      </x:c>
      <x:c r="B1726" s="24" t="str">
        <x:v>SIM</x:v>
      </x:c>
      <x:c r="C1726" s="24" t="str">
        <x:v>DISPONÍVEL</x:v>
      </x:c>
      <x:c r="D1726" s="24" t="str">
        <x:v>ZEISS</x:v>
      </x:c>
      <x:c r="E1726" s="24" t="str">
        <x:v>Visão Simples Jovem</x:v>
      </x:c>
      <x:c r="F1726" s="24" t="str">
        <x:v>Surfaçada</x:v>
      </x:c>
      <x:c r="G1726" s="24" t="str">
        <x:v>SmartLife Young</x:v>
      </x:c>
      <x:c r="H1726" s="24" t="str">
        <x:v>Polarizada</x:v>
      </x:c>
      <x:c r="I1726" s="24" t="str">
        <x:v>1.5</x:v>
      </x:c>
      <x:c r="J1726" s="24" t="str">
        <x:v>1.50</x:v>
      </x:c>
      <x:c r="K1726" s="24" t="str">
        <x:v>DuraVision Gold UV</x:v>
      </x:c>
      <x:c r="L1726" s="40" t="n">
        <x:v>3098</x:v>
      </x:c>
      <x:c r="M1726" s="24" t="str">
        <x:v>-6.00 a +6.00</x:v>
      </x:c>
      <x:c r="N1726" s="24" t="str">
        <x:v>-4.00</x:v>
      </x:c>
      <x:c r="O1726" s="24" t="str">
        <x:v>-</x:v>
      </x:c>
      <x:c r="P1726" s="24" t="str">
        <x:v>75</x:v>
      </x:c>
      <x:c r="Q1726" s="24"/>
      <x:c r="R1726" s="24"/>
      <x:c r="S1726" s="26" t="n">
        <x:v>46113</x:v>
      </x:c>
      <x:c r="T1726" s="26"/>
      <x:c r="U1726" s="24" t="str">
        <x:v>ATIVA/SEM FIM INFORMADO</x:v>
      </x:c>
      <x:c r="V1726" s="24"/>
      <x:c r="W1726" s="24" t="n">
        <x:v>20</x:v>
      </x:c>
      <x:c r="X1726" s="24" t="str">
        <x:v>tabela_zeiss.pdf</x:v>
      </x:c>
      <x:c r="Y1726" s="24" t="str">
        <x:v>alta</x:v>
      </x:c>
      <x:c r="Z1726" s="24"/>
      <x:c r="AA1726" s="24" t="str">
        <x:v>ZEISS|Visão Simples Jovem|Surfaçada|SmartLife Young|Polarizada|1.5|1.50|DuraVision Gold UV|-6.00 a +6.00|-4.00|-|75|||20</x:v>
      </x:c>
    </x:row>
    <x:row r="1727">
      <x:c r="A1727" s="24" t="str">
        <x:v>ZS-E94D5B2C9347</x:v>
      </x:c>
      <x:c r="B1727" s="24" t="str">
        <x:v>SIM</x:v>
      </x:c>
      <x:c r="C1727" s="24" t="str">
        <x:v>DISPONÍVEL</x:v>
      </x:c>
      <x:c r="D1727" s="24" t="str">
        <x:v>ZEISS</x:v>
      </x:c>
      <x:c r="E1727" s="24" t="str">
        <x:v>Visão Simples Jovem</x:v>
      </x:c>
      <x:c r="F1727" s="24" t="str">
        <x:v>Surfaçada</x:v>
      </x:c>
      <x:c r="G1727" s="24" t="str">
        <x:v>SmartLife Young</x:v>
      </x:c>
      <x:c r="H1727" s="24" t="str">
        <x:v>Polarizada</x:v>
      </x:c>
      <x:c r="I1727" s="24" t="str">
        <x:v>1.5</x:v>
      </x:c>
      <x:c r="J1727" s="24" t="str">
        <x:v>1.50</x:v>
      </x:c>
      <x:c r="K1727" s="24" t="str">
        <x:v>DuraVision Platinum UV</x:v>
      </x:c>
      <x:c r="L1727" s="40" t="n">
        <x:v>2958</x:v>
      </x:c>
      <x:c r="M1727" s="24" t="str">
        <x:v>-6.00 a +6.00</x:v>
      </x:c>
      <x:c r="N1727" s="24" t="str">
        <x:v>-4.00</x:v>
      </x:c>
      <x:c r="O1727" s="24" t="str">
        <x:v>-</x:v>
      </x:c>
      <x:c r="P1727" s="24" t="str">
        <x:v>75</x:v>
      </x:c>
      <x:c r="Q1727" s="24"/>
      <x:c r="R1727" s="24"/>
      <x:c r="S1727" s="26" t="n">
        <x:v>46113</x:v>
      </x:c>
      <x:c r="T1727" s="26"/>
      <x:c r="U1727" s="24" t="str">
        <x:v>ATIVA/SEM FIM INFORMADO</x:v>
      </x:c>
      <x:c r="V1727" s="24"/>
      <x:c r="W1727" s="24" t="n">
        <x:v>20</x:v>
      </x:c>
      <x:c r="X1727" s="24" t="str">
        <x:v>tabela_zeiss.pdf</x:v>
      </x:c>
      <x:c r="Y1727" s="24" t="str">
        <x:v>alta</x:v>
      </x:c>
      <x:c r="Z1727" s="24"/>
      <x:c r="AA1727" s="24" t="str">
        <x:v>ZEISS|Visão Simples Jovem|Surfaçada|SmartLife Young|Polarizada|1.5|1.50|DuraVision Platinum UV|-6.00 a +6.00|-4.00|-|75|||20</x:v>
      </x:c>
    </x:row>
    <x:row r="1728">
      <x:c r="A1728" s="24" t="str">
        <x:v>ZS-95C9F5C8B497</x:v>
      </x:c>
      <x:c r="B1728" s="24" t="str">
        <x:v>SIM</x:v>
      </x:c>
      <x:c r="C1728" s="24" t="str">
        <x:v>DISPONÍVEL</x:v>
      </x:c>
      <x:c r="D1728" s="24" t="str">
        <x:v>ZEISS</x:v>
      </x:c>
      <x:c r="E1728" s="24" t="str">
        <x:v>Visão Simples Jovem</x:v>
      </x:c>
      <x:c r="F1728" s="24" t="str">
        <x:v>Surfaçada</x:v>
      </x:c>
      <x:c r="G1728" s="24" t="str">
        <x:v>SmartLife Young</x:v>
      </x:c>
      <x:c r="H1728" s="24" t="str">
        <x:v>Polarizada</x:v>
      </x:c>
      <x:c r="I1728" s="24" t="str">
        <x:v>1.5</x:v>
      </x:c>
      <x:c r="J1728" s="24" t="str">
        <x:v>1.50</x:v>
      </x:c>
      <x:c r="K1728" s="24" t="str">
        <x:v>DuraVision Silver UV</x:v>
      </x:c>
      <x:c r="L1728" s="40" t="n">
        <x:v>2698</x:v>
      </x:c>
      <x:c r="M1728" s="24" t="str">
        <x:v>-6.00 a +6.00</x:v>
      </x:c>
      <x:c r="N1728" s="24" t="str">
        <x:v>-4.00</x:v>
      </x:c>
      <x:c r="O1728" s="24" t="str">
        <x:v>-</x:v>
      </x:c>
      <x:c r="P1728" s="24" t="str">
        <x:v>75</x:v>
      </x:c>
      <x:c r="Q1728" s="24"/>
      <x:c r="R1728" s="24"/>
      <x:c r="S1728" s="26" t="n">
        <x:v>46113</x:v>
      </x:c>
      <x:c r="T1728" s="26"/>
      <x:c r="U1728" s="24" t="str">
        <x:v>ATIVA/SEM FIM INFORMADO</x:v>
      </x:c>
      <x:c r="V1728" s="24"/>
      <x:c r="W1728" s="24" t="n">
        <x:v>20</x:v>
      </x:c>
      <x:c r="X1728" s="24" t="str">
        <x:v>tabela_zeiss.pdf</x:v>
      </x:c>
      <x:c r="Y1728" s="24" t="str">
        <x:v>alta</x:v>
      </x:c>
      <x:c r="Z1728" s="24"/>
      <x:c r="AA1728" s="24" t="str">
        <x:v>ZEISS|Visão Simples Jovem|Surfaçada|SmartLife Young|Polarizada|1.5|1.50|DuraVision Silver UV|-6.00 a +6.00|-4.00|-|75|||20</x:v>
      </x:c>
    </x:row>
    <x:row r="1729">
      <x:c r="A1729" s="24" t="str">
        <x:v>ZS-4ABB1784B81E</x:v>
      </x:c>
      <x:c r="B1729" s="24" t="str">
        <x:v>SIM</x:v>
      </x:c>
      <x:c r="C1729" s="24" t="str">
        <x:v>DISPONÍVEL</x:v>
      </x:c>
      <x:c r="D1729" s="24" t="str">
        <x:v>ZEISS</x:v>
      </x:c>
      <x:c r="E1729" s="24" t="str">
        <x:v>Visão Simples Jovem</x:v>
      </x:c>
      <x:c r="F1729" s="24" t="str">
        <x:v>Surfaçada</x:v>
      </x:c>
      <x:c r="G1729" s="24" t="str">
        <x:v>SmartLife Young</x:v>
      </x:c>
      <x:c r="H1729" s="24" t="str">
        <x:v>Polarizada</x:v>
      </x:c>
      <x:c r="I1729" s="24" t="str">
        <x:v>1.5</x:v>
      </x:c>
      <x:c r="J1729" s="24" t="str">
        <x:v>1.50</x:v>
      </x:c>
      <x:c r="K1729" s="24" t="str">
        <x:v>DuraVision Chrome UV</x:v>
      </x:c>
      <x:c r="L1729" s="40" t="n">
        <x:v>2208</x:v>
      </x:c>
      <x:c r="M1729" s="24" t="str">
        <x:v>-6.00 a +6.00</x:v>
      </x:c>
      <x:c r="N1729" s="24" t="str">
        <x:v>-4.00</x:v>
      </x:c>
      <x:c r="O1729" s="24" t="str">
        <x:v>-</x:v>
      </x:c>
      <x:c r="P1729" s="24" t="str">
        <x:v>75</x:v>
      </x:c>
      <x:c r="Q1729" s="24"/>
      <x:c r="R1729" s="24"/>
      <x:c r="S1729" s="26" t="n">
        <x:v>46113</x:v>
      </x:c>
      <x:c r="T1729" s="26"/>
      <x:c r="U1729" s="24" t="str">
        <x:v>ATIVA/SEM FIM INFORMADO</x:v>
      </x:c>
      <x:c r="V1729" s="24"/>
      <x:c r="W1729" s="24" t="n">
        <x:v>20</x:v>
      </x:c>
      <x:c r="X1729" s="24" t="str">
        <x:v>tabela_zeiss.pdf</x:v>
      </x:c>
      <x:c r="Y1729" s="24" t="str">
        <x:v>alta</x:v>
      </x:c>
      <x:c r="Z1729" s="24"/>
      <x:c r="AA1729" s="24" t="str">
        <x:v>ZEISS|Visão Simples Jovem|Surfaçada|SmartLife Young|Polarizada|1.5|1.50|DuraVision Chrome UV|-6.00 a +6.00|-4.00|-|75|||20</x:v>
      </x:c>
    </x:row>
    <x:row r="1730">
      <x:c r="A1730" s="24" t="str">
        <x:v>ZS-6E45385AD356</x:v>
      </x:c>
      <x:c r="B1730" s="24" t="str">
        <x:v>SIM</x:v>
      </x:c>
      <x:c r="C1730" s="24" t="str">
        <x:v>DISPONÍVEL</x:v>
      </x:c>
      <x:c r="D1730" s="24" t="str">
        <x:v>ZEISS</x:v>
      </x:c>
      <x:c r="E1730" s="24" t="str">
        <x:v>Visão Simples Jovem</x:v>
      </x:c>
      <x:c r="F1730" s="24" t="str">
        <x:v>Surfaçada</x:v>
      </x:c>
      <x:c r="G1730" s="24" t="str">
        <x:v>SmartLife Young</x:v>
      </x:c>
      <x:c r="H1730" s="24" t="str">
        <x:v>Polarizada</x:v>
      </x:c>
      <x:c r="I1730" s="24" t="str">
        <x:v>1.6</x:v>
      </x:c>
      <x:c r="J1730" s="24" t="str">
        <x:v>1.60</x:v>
      </x:c>
      <x:c r="K1730" s="24" t="str">
        <x:v>DuraVision Gold UV</x:v>
      </x:c>
      <x:c r="L1730" s="40" t="n">
        <x:v>3678</x:v>
      </x:c>
      <x:c r="M1730" s="24" t="str">
        <x:v>-8.00 a +8.00</x:v>
      </x:c>
      <x:c r="N1730" s="24" t="str">
        <x:v>-4.00</x:v>
      </x:c>
      <x:c r="O1730" s="24" t="str">
        <x:v>-</x:v>
      </x:c>
      <x:c r="P1730" s="24" t="str">
        <x:v>70</x:v>
      </x:c>
      <x:c r="Q1730" s="24"/>
      <x:c r="R1730" s="24"/>
      <x:c r="S1730" s="26" t="n">
        <x:v>46113</x:v>
      </x:c>
      <x:c r="T1730" s="26"/>
      <x:c r="U1730" s="24" t="str">
        <x:v>ATIVA/SEM FIM INFORMADO</x:v>
      </x:c>
      <x:c r="V1730" s="24"/>
      <x:c r="W1730" s="24" t="n">
        <x:v>20</x:v>
      </x:c>
      <x:c r="X1730" s="24" t="str">
        <x:v>tabela_zeiss.pdf</x:v>
      </x:c>
      <x:c r="Y1730" s="24" t="str">
        <x:v>alta</x:v>
      </x:c>
      <x:c r="Z1730" s="24"/>
      <x:c r="AA1730" s="24" t="str">
        <x:v>ZEISS|Visão Simples Jovem|Surfaçada|SmartLife Young|Polarizada|1.6|1.60|DuraVision Gold UV|-8.00 a +8.00|-4.00|-|70|||20</x:v>
      </x:c>
    </x:row>
    <x:row r="1731">
      <x:c r="A1731" s="24" t="str">
        <x:v>ZS-36CACCA1C0D4</x:v>
      </x:c>
      <x:c r="B1731" s="24" t="str">
        <x:v>SIM</x:v>
      </x:c>
      <x:c r="C1731" s="24" t="str">
        <x:v>DISPONÍVEL</x:v>
      </x:c>
      <x:c r="D1731" s="24" t="str">
        <x:v>ZEISS</x:v>
      </x:c>
      <x:c r="E1731" s="24" t="str">
        <x:v>Visão Simples Jovem</x:v>
      </x:c>
      <x:c r="F1731" s="24" t="str">
        <x:v>Surfaçada</x:v>
      </x:c>
      <x:c r="G1731" s="24" t="str">
        <x:v>SmartLife Young</x:v>
      </x:c>
      <x:c r="H1731" s="24" t="str">
        <x:v>Polarizada</x:v>
      </x:c>
      <x:c r="I1731" s="24" t="str">
        <x:v>1.6</x:v>
      </x:c>
      <x:c r="J1731" s="24" t="str">
        <x:v>1.60</x:v>
      </x:c>
      <x:c r="K1731" s="24" t="str">
        <x:v>DuraVision Platinum UV</x:v>
      </x:c>
      <x:c r="L1731" s="40" t="n">
        <x:v>3538</x:v>
      </x:c>
      <x:c r="M1731" s="24" t="str">
        <x:v>-8.00 a +8.00</x:v>
      </x:c>
      <x:c r="N1731" s="24" t="str">
        <x:v>-4.00</x:v>
      </x:c>
      <x:c r="O1731" s="24" t="str">
        <x:v>-</x:v>
      </x:c>
      <x:c r="P1731" s="24" t="str">
        <x:v>70</x:v>
      </x:c>
      <x:c r="Q1731" s="24"/>
      <x:c r="R1731" s="24"/>
      <x:c r="S1731" s="26" t="n">
        <x:v>46113</x:v>
      </x:c>
      <x:c r="T1731" s="26"/>
      <x:c r="U1731" s="24" t="str">
        <x:v>ATIVA/SEM FIM INFORMADO</x:v>
      </x:c>
      <x:c r="V1731" s="24"/>
      <x:c r="W1731" s="24" t="n">
        <x:v>20</x:v>
      </x:c>
      <x:c r="X1731" s="24" t="str">
        <x:v>tabela_zeiss.pdf</x:v>
      </x:c>
      <x:c r="Y1731" s="24" t="str">
        <x:v>alta</x:v>
      </x:c>
      <x:c r="Z1731" s="24"/>
      <x:c r="AA1731" s="24" t="str">
        <x:v>ZEISS|Visão Simples Jovem|Surfaçada|SmartLife Young|Polarizada|1.6|1.60|DuraVision Platinum UV|-8.00 a +8.00|-4.00|-|70|||20</x:v>
      </x:c>
    </x:row>
    <x:row r="1732">
      <x:c r="A1732" s="24" t="str">
        <x:v>ZS-CC72D298E757</x:v>
      </x:c>
      <x:c r="B1732" s="24" t="str">
        <x:v>SIM</x:v>
      </x:c>
      <x:c r="C1732" s="24" t="str">
        <x:v>DISPONÍVEL</x:v>
      </x:c>
      <x:c r="D1732" s="24" t="str">
        <x:v>ZEISS</x:v>
      </x:c>
      <x:c r="E1732" s="24" t="str">
        <x:v>Visão Simples Jovem</x:v>
      </x:c>
      <x:c r="F1732" s="24" t="str">
        <x:v>Surfaçada</x:v>
      </x:c>
      <x:c r="G1732" s="24" t="str">
        <x:v>SmartLife Young</x:v>
      </x:c>
      <x:c r="H1732" s="24" t="str">
        <x:v>Polarizada</x:v>
      </x:c>
      <x:c r="I1732" s="24" t="str">
        <x:v>1.6</x:v>
      </x:c>
      <x:c r="J1732" s="24" t="str">
        <x:v>1.60</x:v>
      </x:c>
      <x:c r="K1732" s="24" t="str">
        <x:v>DuraVision Silver UV</x:v>
      </x:c>
      <x:c r="L1732" s="40" t="n">
        <x:v>3278</x:v>
      </x:c>
      <x:c r="M1732" s="24" t="str">
        <x:v>-8.00 a +8.00</x:v>
      </x:c>
      <x:c r="N1732" s="24" t="str">
        <x:v>-4.00</x:v>
      </x:c>
      <x:c r="O1732" s="24" t="str">
        <x:v>-</x:v>
      </x:c>
      <x:c r="P1732" s="24" t="str">
        <x:v>70</x:v>
      </x:c>
      <x:c r="Q1732" s="24"/>
      <x:c r="R1732" s="24"/>
      <x:c r="S1732" s="26" t="n">
        <x:v>46113</x:v>
      </x:c>
      <x:c r="T1732" s="26"/>
      <x:c r="U1732" s="24" t="str">
        <x:v>ATIVA/SEM FIM INFORMADO</x:v>
      </x:c>
      <x:c r="V1732" s="24"/>
      <x:c r="W1732" s="24" t="n">
        <x:v>20</x:v>
      </x:c>
      <x:c r="X1732" s="24" t="str">
        <x:v>tabela_zeiss.pdf</x:v>
      </x:c>
      <x:c r="Y1732" s="24" t="str">
        <x:v>alta</x:v>
      </x:c>
      <x:c r="Z1732" s="24"/>
      <x:c r="AA1732" s="24" t="str">
        <x:v>ZEISS|Visão Simples Jovem|Surfaçada|SmartLife Young|Polarizada|1.6|1.60|DuraVision Silver UV|-8.00 a +8.00|-4.00|-|70|||20</x:v>
      </x:c>
    </x:row>
    <x:row r="1733">
      <x:c r="A1733" s="24" t="str">
        <x:v>ZS-91BCB12318AC</x:v>
      </x:c>
      <x:c r="B1733" s="24" t="str">
        <x:v>SIM</x:v>
      </x:c>
      <x:c r="C1733" s="24" t="str">
        <x:v>DISPONÍVEL</x:v>
      </x:c>
      <x:c r="D1733" s="24" t="str">
        <x:v>ZEISS</x:v>
      </x:c>
      <x:c r="E1733" s="24" t="str">
        <x:v>Visão Simples Jovem</x:v>
      </x:c>
      <x:c r="F1733" s="24" t="str">
        <x:v>Surfaçada</x:v>
      </x:c>
      <x:c r="G1733" s="24" t="str">
        <x:v>SmartLife Young</x:v>
      </x:c>
      <x:c r="H1733" s="24" t="str">
        <x:v>Polarizada</x:v>
      </x:c>
      <x:c r="I1733" s="24" t="str">
        <x:v>1.6</x:v>
      </x:c>
      <x:c r="J1733" s="24" t="str">
        <x:v>1.60</x:v>
      </x:c>
      <x:c r="K1733" s="24" t="str">
        <x:v>DuraVision Chrome UV</x:v>
      </x:c>
      <x:c r="L1733" s="40" t="n">
        <x:v>2788</x:v>
      </x:c>
      <x:c r="M1733" s="24" t="str">
        <x:v>-8.00 a +8.00</x:v>
      </x:c>
      <x:c r="N1733" s="24" t="str">
        <x:v>-4.00</x:v>
      </x:c>
      <x:c r="O1733" s="24" t="str">
        <x:v>-</x:v>
      </x:c>
      <x:c r="P1733" s="24" t="str">
        <x:v>70</x:v>
      </x:c>
      <x:c r="Q1733" s="24"/>
      <x:c r="R1733" s="24"/>
      <x:c r="S1733" s="26" t="n">
        <x:v>46113</x:v>
      </x:c>
      <x:c r="T1733" s="26"/>
      <x:c r="U1733" s="24" t="str">
        <x:v>ATIVA/SEM FIM INFORMADO</x:v>
      </x:c>
      <x:c r="V1733" s="24"/>
      <x:c r="W1733" s="24" t="n">
        <x:v>20</x:v>
      </x:c>
      <x:c r="X1733" s="24" t="str">
        <x:v>tabela_zeiss.pdf</x:v>
      </x:c>
      <x:c r="Y1733" s="24" t="str">
        <x:v>alta</x:v>
      </x:c>
      <x:c r="Z1733" s="24"/>
      <x:c r="AA1733" s="24" t="str">
        <x:v>ZEISS|Visão Simples Jovem|Surfaçada|SmartLife Young|Polarizada|1.6|1.60|DuraVision Chrome UV|-8.00 a +8.00|-4.00|-|70|||20</x:v>
      </x:c>
    </x:row>
    <x:row r="1734">
      <x:c r="A1734" s="24" t="str">
        <x:v>ZS-C82A43F2E1A2</x:v>
      </x:c>
      <x:c r="B1734" s="24" t="str">
        <x:v>SIM</x:v>
      </x:c>
      <x:c r="C1734" s="24" t="str">
        <x:v>DISPONÍVEL</x:v>
      </x:c>
      <x:c r="D1734" s="24" t="str">
        <x:v>ZEISS</x:v>
      </x:c>
      <x:c r="E1734" s="24" t="str">
        <x:v>Visão Simples Digital</x:v>
      </x:c>
      <x:c r="F1734" s="24" t="str">
        <x:v>Surfaçada</x:v>
      </x:c>
      <x:c r="G1734" s="24" t="str">
        <x:v>ClearMind Digital Individual 3</x:v>
      </x:c>
      <x:c r="H1734" s="24"/>
      <x:c r="I1734" s="24" t="str">
        <x:v>1.5</x:v>
      </x:c>
      <x:c r="J1734" s="24" t="str">
        <x:v>1.50</x:v>
      </x:c>
      <x:c r="K1734" s="24" t="str">
        <x:v>DuraVision Gold UV</x:v>
      </x:c>
      <x:c r="L1734" s="40" t="n">
        <x:v>2463</x:v>
      </x:c>
      <x:c r="M1734" s="24" t="str">
        <x:v>-6.00 a +4.00</x:v>
      </x:c>
      <x:c r="N1734" s="24" t="str">
        <x:v>-4.00</x:v>
      </x:c>
      <x:c r="O1734" s="24" t="str">
        <x:v>0.50 a 1.25</x:v>
      </x:c>
      <x:c r="P1734" s="24" t="str">
        <x:v>75</x:v>
      </x:c>
      <x:c r="Q1734" s="24"/>
      <x:c r="R1734" s="24"/>
      <x:c r="S1734" s="26" t="n">
        <x:v>46113</x:v>
      </x:c>
      <x:c r="T1734" s="26"/>
      <x:c r="U1734" s="24" t="str">
        <x:v>ATIVA/SEM FIM INFORMADO</x:v>
      </x:c>
      <x:c r="V1734" s="24" t="str">
        <x:v>Programa de Parcerias ZEISS — categoria Experts</x:v>
      </x:c>
      <x:c r="W1734" s="24" t="n">
        <x:v>26</x:v>
      </x:c>
      <x:c r="X1734" s="24" t="str">
        <x:v>tabela_zeiss.pdf</x:v>
      </x:c>
      <x:c r="Y1734" s="24" t="str">
        <x:v>alta</x:v>
      </x:c>
      <x:c r="Z1734" s="24"/>
      <x:c r="AA1734" s="24" t="str">
        <x:v>ZEISS|Visão Simples Digital|Surfaçada|ClearMind Digital Individual 3||1.5|1.50|DuraVision Gold UV|-6.00 a +4.00|-4.00|0.50 a 1.25|75|||26</x:v>
      </x:c>
    </x:row>
    <x:row r="1735">
      <x:c r="A1735" s="24" t="str">
        <x:v>ZS-E5067A6335B6</x:v>
      </x:c>
      <x:c r="B1735" s="24" t="str">
        <x:v>SIM</x:v>
      </x:c>
      <x:c r="C1735" s="24" t="str">
        <x:v>DISPONÍVEL</x:v>
      </x:c>
      <x:c r="D1735" s="24" t="str">
        <x:v>ZEISS</x:v>
      </x:c>
      <x:c r="E1735" s="24" t="str">
        <x:v>Visão Simples Digital</x:v>
      </x:c>
      <x:c r="F1735" s="24" t="str">
        <x:v>Surfaçada</x:v>
      </x:c>
      <x:c r="G1735" s="24" t="str">
        <x:v>ClearMind Digital Individual 3</x:v>
      </x:c>
      <x:c r="H1735" s="24"/>
      <x:c r="I1735" s="24" t="str">
        <x:v>1.5</x:v>
      </x:c>
      <x:c r="J1735" s="24" t="str">
        <x:v>1.50</x:v>
      </x:c>
      <x:c r="K1735" s="24" t="str">
        <x:v>DURAVISION® ANTIVÍRUS PLATINUM UV</x:v>
      </x:c>
      <x:c r="L1735" s="40" t="n">
        <x:v>2323</x:v>
      </x:c>
      <x:c r="M1735" s="24" t="str">
        <x:v>-6.00 a +4.00</x:v>
      </x:c>
      <x:c r="N1735" s="24" t="str">
        <x:v>-4.00</x:v>
      </x:c>
      <x:c r="O1735" s="24" t="str">
        <x:v>0.50 a 1.25</x:v>
      </x:c>
      <x:c r="P1735" s="24" t="str">
        <x:v>75</x:v>
      </x:c>
      <x:c r="Q1735" s="24"/>
      <x:c r="R1735" s="24"/>
      <x:c r="S1735" s="26" t="n">
        <x:v>46113</x:v>
      </x:c>
      <x:c r="T1735" s="26"/>
      <x:c r="U1735" s="24" t="str">
        <x:v>ATIVA/SEM FIM INFORMADO</x:v>
      </x:c>
      <x:c r="V1735" s="24" t="str">
        <x:v>Programa de Parcerias ZEISS — categoria Experts</x:v>
      </x:c>
      <x:c r="W1735" s="24" t="n">
        <x:v>26</x:v>
      </x:c>
      <x:c r="X1735" s="24" t="str">
        <x:v>tabela_zeiss.pdf</x:v>
      </x:c>
      <x:c r="Y1735" s="24" t="str">
        <x:v>alta</x:v>
      </x:c>
      <x:c r="Z1735" s="24"/>
      <x:c r="AA1735" s="24" t="str">
        <x:v>ZEISS|Visão Simples Digital|Surfaçada|ClearMind Digital Individual 3||1.5|1.50|DURAVISION® ANTIVÍRUS PLATINUM UV|-6.00 a +4.00|-4.00|0.50 a 1.25|75|||26</x:v>
      </x:c>
    </x:row>
    <x:row r="1736">
      <x:c r="A1736" s="24" t="str">
        <x:v>ZS-3A3DFF3C0F8B</x:v>
      </x:c>
      <x:c r="B1736" s="24" t="str">
        <x:v>SIM</x:v>
      </x:c>
      <x:c r="C1736" s="24" t="str">
        <x:v>DISPONÍVEL</x:v>
      </x:c>
      <x:c r="D1736" s="24" t="str">
        <x:v>ZEISS</x:v>
      </x:c>
      <x:c r="E1736" s="24" t="str">
        <x:v>Visão Simples Digital</x:v>
      </x:c>
      <x:c r="F1736" s="24" t="str">
        <x:v>Surfaçada</x:v>
      </x:c>
      <x:c r="G1736" s="24" t="str">
        <x:v>ClearMind Digital Individual 3</x:v>
      </x:c>
      <x:c r="H1736" s="24"/>
      <x:c r="I1736" s="24" t="str">
        <x:v>1.5</x:v>
      </x:c>
      <x:c r="J1736" s="24" t="str">
        <x:v>1.50</x:v>
      </x:c>
      <x:c r="K1736" s="24" t="str">
        <x:v>DuraVision Platinum UV</x:v>
      </x:c>
      <x:c r="L1736" s="40" t="n">
        <x:v>2323</x:v>
      </x:c>
      <x:c r="M1736" s="24" t="str">
        <x:v>-6.00 a +4.00</x:v>
      </x:c>
      <x:c r="N1736" s="24" t="str">
        <x:v>-4.00</x:v>
      </x:c>
      <x:c r="O1736" s="24" t="str">
        <x:v>0.50 a 1.25</x:v>
      </x:c>
      <x:c r="P1736" s="24" t="str">
        <x:v>75</x:v>
      </x:c>
      <x:c r="Q1736" s="24"/>
      <x:c r="R1736" s="24"/>
      <x:c r="S1736" s="26" t="n">
        <x:v>46113</x:v>
      </x:c>
      <x:c r="T1736" s="26"/>
      <x:c r="U1736" s="24" t="str">
        <x:v>ATIVA/SEM FIM INFORMADO</x:v>
      </x:c>
      <x:c r="V1736" s="24" t="str">
        <x:v>Programa de Parcerias ZEISS — categoria Experts</x:v>
      </x:c>
      <x:c r="W1736" s="24" t="n">
        <x:v>26</x:v>
      </x:c>
      <x:c r="X1736" s="24" t="str">
        <x:v>tabela_zeiss.pdf</x:v>
      </x:c>
      <x:c r="Y1736" s="24" t="str">
        <x:v>alta</x:v>
      </x:c>
      <x:c r="Z1736" s="24"/>
      <x:c r="AA1736" s="24" t="str">
        <x:v>ZEISS|Visão Simples Digital|Surfaçada|ClearMind Digital Individual 3||1.5|1.50|DuraVision Platinum UV|-6.00 a +4.00|-4.00|0.50 a 1.25|75|||26</x:v>
      </x:c>
    </x:row>
    <x:row r="1737">
      <x:c r="A1737" s="24" t="str">
        <x:v>ZS-A34348CBB102</x:v>
      </x:c>
      <x:c r="B1737" s="24" t="str">
        <x:v>SIM</x:v>
      </x:c>
      <x:c r="C1737" s="24" t="str">
        <x:v>DISPONÍVEL</x:v>
      </x:c>
      <x:c r="D1737" s="24" t="str">
        <x:v>ZEISS</x:v>
      </x:c>
      <x:c r="E1737" s="24" t="str">
        <x:v>Visão Simples Digital</x:v>
      </x:c>
      <x:c r="F1737" s="24" t="str">
        <x:v>Surfaçada</x:v>
      </x:c>
      <x:c r="G1737" s="24" t="str">
        <x:v>ClearMind Digital Individual 3</x:v>
      </x:c>
      <x:c r="H1737" s="24"/>
      <x:c r="I1737" s="24" t="str">
        <x:v>1.5</x:v>
      </x:c>
      <x:c r="J1737" s="24" t="str">
        <x:v>1.50</x:v>
      </x:c>
      <x:c r="K1737" s="24" t="str">
        <x:v>DuraVision Silver UV</x:v>
      </x:c>
      <x:c r="L1737" s="40" t="n">
        <x:v>2063</x:v>
      </x:c>
      <x:c r="M1737" s="24" t="str">
        <x:v>-6.00 a +4.00</x:v>
      </x:c>
      <x:c r="N1737" s="24" t="str">
        <x:v>-4.00</x:v>
      </x:c>
      <x:c r="O1737" s="24" t="str">
        <x:v>0.50 a 1.25</x:v>
      </x:c>
      <x:c r="P1737" s="24" t="str">
        <x:v>75</x:v>
      </x:c>
      <x:c r="Q1737" s="24"/>
      <x:c r="R1737" s="24"/>
      <x:c r="S1737" s="26" t="n">
        <x:v>46113</x:v>
      </x:c>
      <x:c r="T1737" s="26"/>
      <x:c r="U1737" s="24" t="str">
        <x:v>ATIVA/SEM FIM INFORMADO</x:v>
      </x:c>
      <x:c r="V1737" s="24" t="str">
        <x:v>Programa de Parcerias ZEISS — categoria Experts</x:v>
      </x:c>
      <x:c r="W1737" s="24" t="n">
        <x:v>26</x:v>
      </x:c>
      <x:c r="X1737" s="24" t="str">
        <x:v>tabela_zeiss.pdf</x:v>
      </x:c>
      <x:c r="Y1737" s="24" t="str">
        <x:v>alta</x:v>
      </x:c>
      <x:c r="Z1737" s="24"/>
      <x:c r="AA1737" s="24" t="str">
        <x:v>ZEISS|Visão Simples Digital|Surfaçada|ClearMind Digital Individual 3||1.5|1.50|DuraVision Silver UV|-6.00 a +4.00|-4.00|0.50 a 1.25|75|||26</x:v>
      </x:c>
    </x:row>
    <x:row r="1738">
      <x:c r="A1738" s="24" t="str">
        <x:v>ZS-B14C09593968</x:v>
      </x:c>
      <x:c r="B1738" s="24" t="str">
        <x:v>SIM</x:v>
      </x:c>
      <x:c r="C1738" s="24" t="str">
        <x:v>DISPONÍVEL</x:v>
      </x:c>
      <x:c r="D1738" s="24" t="str">
        <x:v>ZEISS</x:v>
      </x:c>
      <x:c r="E1738" s="24" t="str">
        <x:v>Visão Simples Digital</x:v>
      </x:c>
      <x:c r="F1738" s="24" t="str">
        <x:v>Surfaçada</x:v>
      </x:c>
      <x:c r="G1738" s="24" t="str">
        <x:v>ClearMind Digital Individual 3</x:v>
      </x:c>
      <x:c r="H1738" s="24"/>
      <x:c r="I1738" s="24" t="str">
        <x:v>1.5</x:v>
      </x:c>
      <x:c r="J1738" s="24" t="str">
        <x:v>1.50</x:v>
      </x:c>
      <x:c r="K1738" s="24" t="str">
        <x:v>DuraVision Chrome UV</x:v>
      </x:c>
      <x:c r="L1738" s="40" t="n">
        <x:v>1573</x:v>
      </x:c>
      <x:c r="M1738" s="24" t="str">
        <x:v>-6.00 a +4.00</x:v>
      </x:c>
      <x:c r="N1738" s="24" t="str">
        <x:v>-4.00</x:v>
      </x:c>
      <x:c r="O1738" s="24" t="str">
        <x:v>0.50 a 1.25</x:v>
      </x:c>
      <x:c r="P1738" s="24" t="str">
        <x:v>75</x:v>
      </x:c>
      <x:c r="Q1738" s="24"/>
      <x:c r="R1738" s="24"/>
      <x:c r="S1738" s="26" t="n">
        <x:v>46113</x:v>
      </x:c>
      <x:c r="T1738" s="26"/>
      <x:c r="U1738" s="24" t="str">
        <x:v>ATIVA/SEM FIM INFORMADO</x:v>
      </x:c>
      <x:c r="V1738" s="24" t="str">
        <x:v>Programa de Parcerias ZEISS — categoria Experts</x:v>
      </x:c>
      <x:c r="W1738" s="24" t="n">
        <x:v>26</x:v>
      </x:c>
      <x:c r="X1738" s="24" t="str">
        <x:v>tabela_zeiss.pdf</x:v>
      </x:c>
      <x:c r="Y1738" s="24" t="str">
        <x:v>alta</x:v>
      </x:c>
      <x:c r="Z1738" s="24"/>
      <x:c r="AA1738" s="24" t="str">
        <x:v>ZEISS|Visão Simples Digital|Surfaçada|ClearMind Digital Individual 3||1.5|1.50|DuraVision Chrome UV|-6.00 a +4.00|-4.00|0.50 a 1.25|75|||26</x:v>
      </x:c>
    </x:row>
    <x:row r="1739">
      <x:c r="A1739" s="24" t="str">
        <x:v>ZS-58641530603C</x:v>
      </x:c>
      <x:c r="B1739" s="24" t="str">
        <x:v>SIM</x:v>
      </x:c>
      <x:c r="C1739" s="24" t="str">
        <x:v>DISPONÍVEL</x:v>
      </x:c>
      <x:c r="D1739" s="24" t="str">
        <x:v>ZEISS</x:v>
      </x:c>
      <x:c r="E1739" s="24" t="str">
        <x:v>Visão Simples Digital</x:v>
      </x:c>
      <x:c r="F1739" s="24" t="str">
        <x:v>Surfaçada</x:v>
      </x:c>
      <x:c r="G1739" s="24" t="str">
        <x:v>ClearMind Digital Individual 3</x:v>
      </x:c>
      <x:c r="H1739" s="24"/>
      <x:c r="I1739" s="24" t="str">
        <x:v>Poli</x:v>
      </x:c>
      <x:c r="J1739" s="24"/>
      <x:c r="K1739" s="24" t="str">
        <x:v>DuraVision Gold UV</x:v>
      </x:c>
      <x:c r="L1739" s="40" t="n">
        <x:v>2823</x:v>
      </x:c>
      <x:c r="M1739" s="24" t="str">
        <x:v>-10.00 a +6.00</x:v>
      </x:c>
      <x:c r="N1739" s="24" t="str">
        <x:v>-6.00</x:v>
      </x:c>
      <x:c r="O1739" s="24" t="str">
        <x:v>0.50 a 1.25</x:v>
      </x:c>
      <x:c r="P1739" s="24" t="str">
        <x:v>70</x:v>
      </x:c>
      <x:c r="Q1739" s="24"/>
      <x:c r="R1739" s="24"/>
      <x:c r="S1739" s="26" t="n">
        <x:v>46113</x:v>
      </x:c>
      <x:c r="T1739" s="26"/>
      <x:c r="U1739" s="24" t="str">
        <x:v>ATIVA/SEM FIM INFORMADO</x:v>
      </x:c>
      <x:c r="V1739" s="24" t="str">
        <x:v>Programa de Parcerias ZEISS — categoria Experts</x:v>
      </x:c>
      <x:c r="W1739" s="24" t="n">
        <x:v>26</x:v>
      </x:c>
      <x:c r="X1739" s="24" t="str">
        <x:v>tabela_zeiss.pdf</x:v>
      </x:c>
      <x:c r="Y1739" s="24" t="str">
        <x:v>alta</x:v>
      </x:c>
      <x:c r="Z1739" s="24"/>
      <x:c r="AA1739" s="24" t="str">
        <x:v>ZEISS|Visão Simples Digital|Surfaçada|ClearMind Digital Individual 3||Poli||DuraVision Gold UV|-10.00 a +6.00|-6.00|0.50 a 1.25|70|||26</x:v>
      </x:c>
    </x:row>
    <x:row r="1740">
      <x:c r="A1740" s="24" t="str">
        <x:v>ZS-F3D02F423878</x:v>
      </x:c>
      <x:c r="B1740" s="24" t="str">
        <x:v>SIM</x:v>
      </x:c>
      <x:c r="C1740" s="24" t="str">
        <x:v>DISPONÍVEL</x:v>
      </x:c>
      <x:c r="D1740" s="24" t="str">
        <x:v>ZEISS</x:v>
      </x:c>
      <x:c r="E1740" s="24" t="str">
        <x:v>Visão Simples Digital</x:v>
      </x:c>
      <x:c r="F1740" s="24" t="str">
        <x:v>Surfaçada</x:v>
      </x:c>
      <x:c r="G1740" s="24" t="str">
        <x:v>ClearMind Digital Individual 3</x:v>
      </x:c>
      <x:c r="H1740" s="24"/>
      <x:c r="I1740" s="24" t="str">
        <x:v>Poli</x:v>
      </x:c>
      <x:c r="J1740" s="24"/>
      <x:c r="K1740" s="24" t="str">
        <x:v>DuraVision Platinum UV</x:v>
      </x:c>
      <x:c r="L1740" s="40" t="n">
        <x:v>2683</x:v>
      </x:c>
      <x:c r="M1740" s="24" t="str">
        <x:v>-10.00 a +6.00</x:v>
      </x:c>
      <x:c r="N1740" s="24" t="str">
        <x:v>-6.00</x:v>
      </x:c>
      <x:c r="O1740" s="24" t="str">
        <x:v>0.50 a 1.25</x:v>
      </x:c>
      <x:c r="P1740" s="24" t="str">
        <x:v>70</x:v>
      </x:c>
      <x:c r="Q1740" s="24"/>
      <x:c r="R1740" s="24"/>
      <x:c r="S1740" s="26" t="n">
        <x:v>46113</x:v>
      </x:c>
      <x:c r="T1740" s="26"/>
      <x:c r="U1740" s="24" t="str">
        <x:v>ATIVA/SEM FIM INFORMADO</x:v>
      </x:c>
      <x:c r="V1740" s="24" t="str">
        <x:v>Programa de Parcerias ZEISS — categoria Experts</x:v>
      </x:c>
      <x:c r="W1740" s="24" t="n">
        <x:v>26</x:v>
      </x:c>
      <x:c r="X1740" s="24" t="str">
        <x:v>tabela_zeiss.pdf</x:v>
      </x:c>
      <x:c r="Y1740" s="24" t="str">
        <x:v>alta</x:v>
      </x:c>
      <x:c r="Z1740" s="24"/>
      <x:c r="AA1740" s="24" t="str">
        <x:v>ZEISS|Visão Simples Digital|Surfaçada|ClearMind Digital Individual 3||Poli||DuraVision Platinum UV|-10.00 a +6.00|-6.00|0.50 a 1.25|70|||26</x:v>
      </x:c>
    </x:row>
    <x:row r="1741">
      <x:c r="A1741" s="24" t="str">
        <x:v>ZS-260ECD3BAD58</x:v>
      </x:c>
      <x:c r="B1741" s="24" t="str">
        <x:v>SIM</x:v>
      </x:c>
      <x:c r="C1741" s="24" t="str">
        <x:v>DISPONÍVEL</x:v>
      </x:c>
      <x:c r="D1741" s="24" t="str">
        <x:v>ZEISS</x:v>
      </x:c>
      <x:c r="E1741" s="24" t="str">
        <x:v>Visão Simples Digital</x:v>
      </x:c>
      <x:c r="F1741" s="24" t="str">
        <x:v>Surfaçada</x:v>
      </x:c>
      <x:c r="G1741" s="24" t="str">
        <x:v>ClearMind Digital Individual 3</x:v>
      </x:c>
      <x:c r="H1741" s="24"/>
      <x:c r="I1741" s="24" t="str">
        <x:v>Poli</x:v>
      </x:c>
      <x:c r="J1741" s="24"/>
      <x:c r="K1741" s="24" t="str">
        <x:v>DuraVision Silver UV</x:v>
      </x:c>
      <x:c r="L1741" s="40" t="n">
        <x:v>2423</x:v>
      </x:c>
      <x:c r="M1741" s="24" t="str">
        <x:v>-10.00 a +6.00</x:v>
      </x:c>
      <x:c r="N1741" s="24" t="str">
        <x:v>-6.00</x:v>
      </x:c>
      <x:c r="O1741" s="24" t="str">
        <x:v>0.50 a 1.25</x:v>
      </x:c>
      <x:c r="P1741" s="24" t="str">
        <x:v>70</x:v>
      </x:c>
      <x:c r="Q1741" s="24"/>
      <x:c r="R1741" s="24"/>
      <x:c r="S1741" s="26" t="n">
        <x:v>46113</x:v>
      </x:c>
      <x:c r="T1741" s="26"/>
      <x:c r="U1741" s="24" t="str">
        <x:v>ATIVA/SEM FIM INFORMADO</x:v>
      </x:c>
      <x:c r="V1741" s="24" t="str">
        <x:v>Programa de Parcerias ZEISS — categoria Experts</x:v>
      </x:c>
      <x:c r="W1741" s="24" t="n">
        <x:v>26</x:v>
      </x:c>
      <x:c r="X1741" s="24" t="str">
        <x:v>tabela_zeiss.pdf</x:v>
      </x:c>
      <x:c r="Y1741" s="24" t="str">
        <x:v>alta</x:v>
      </x:c>
      <x:c r="Z1741" s="24"/>
      <x:c r="AA1741" s="24" t="str">
        <x:v>ZEISS|Visão Simples Digital|Surfaçada|ClearMind Digital Individual 3||Poli||DuraVision Silver UV|-10.00 a +6.00|-6.00|0.50 a 1.25|70|||26</x:v>
      </x:c>
    </x:row>
    <x:row r="1742">
      <x:c r="A1742" s="24" t="str">
        <x:v>ZS-D971B51145CA</x:v>
      </x:c>
      <x:c r="B1742" s="24" t="str">
        <x:v>SIM</x:v>
      </x:c>
      <x:c r="C1742" s="24" t="str">
        <x:v>DISPONÍVEL</x:v>
      </x:c>
      <x:c r="D1742" s="24" t="str">
        <x:v>ZEISS</x:v>
      </x:c>
      <x:c r="E1742" s="24" t="str">
        <x:v>Visão Simples Digital</x:v>
      </x:c>
      <x:c r="F1742" s="24" t="str">
        <x:v>Surfaçada</x:v>
      </x:c>
      <x:c r="G1742" s="24" t="str">
        <x:v>ClearMind Digital Individual 3</x:v>
      </x:c>
      <x:c r="H1742" s="24"/>
      <x:c r="I1742" s="24" t="str">
        <x:v>Poli</x:v>
      </x:c>
      <x:c r="J1742" s="24"/>
      <x:c r="K1742" s="24" t="str">
        <x:v>DuraVision Chrome UV</x:v>
      </x:c>
      <x:c r="L1742" s="40" t="n">
        <x:v>1933</x:v>
      </x:c>
      <x:c r="M1742" s="24" t="str">
        <x:v>-10.00 a +6.00</x:v>
      </x:c>
      <x:c r="N1742" s="24" t="str">
        <x:v>-6.00</x:v>
      </x:c>
      <x:c r="O1742" s="24" t="str">
        <x:v>0.50 a 1.25</x:v>
      </x:c>
      <x:c r="P1742" s="24" t="str">
        <x:v>70</x:v>
      </x:c>
      <x:c r="Q1742" s="24"/>
      <x:c r="R1742" s="24"/>
      <x:c r="S1742" s="26" t="n">
        <x:v>46113</x:v>
      </x:c>
      <x:c r="T1742" s="26"/>
      <x:c r="U1742" s="24" t="str">
        <x:v>ATIVA/SEM FIM INFORMADO</x:v>
      </x:c>
      <x:c r="V1742" s="24" t="str">
        <x:v>Programa de Parcerias ZEISS — categoria Experts</x:v>
      </x:c>
      <x:c r="W1742" s="24" t="n">
        <x:v>26</x:v>
      </x:c>
      <x:c r="X1742" s="24" t="str">
        <x:v>tabela_zeiss.pdf</x:v>
      </x:c>
      <x:c r="Y1742" s="24" t="str">
        <x:v>alta</x:v>
      </x:c>
      <x:c r="Z1742" s="24"/>
      <x:c r="AA1742" s="24" t="str">
        <x:v>ZEISS|Visão Simples Digital|Surfaçada|ClearMind Digital Individual 3||Poli||DuraVision Chrome UV|-10.00 a +6.00|-6.00|0.50 a 1.25|70|||26</x:v>
      </x:c>
    </x:row>
    <x:row r="1743">
      <x:c r="A1743" s="24" t="str">
        <x:v>ZS-B0549C09587F</x:v>
      </x:c>
      <x:c r="B1743" s="24" t="str">
        <x:v>SIM</x:v>
      </x:c>
      <x:c r="C1743" s="24" t="str">
        <x:v>DISPONÍVEL</x:v>
      </x:c>
      <x:c r="D1743" s="24" t="str">
        <x:v>ZEISS</x:v>
      </x:c>
      <x:c r="E1743" s="24" t="str">
        <x:v>Visão Simples Digital</x:v>
      </x:c>
      <x:c r="F1743" s="24" t="str">
        <x:v>Surfaçada</x:v>
      </x:c>
      <x:c r="G1743" s="24" t="str">
        <x:v>ClearMind Digital Individual 3</x:v>
      </x:c>
      <x:c r="H1743" s="24"/>
      <x:c r="I1743" s="24" t="str">
        <x:v>1.6</x:v>
      </x:c>
      <x:c r="J1743" s="24" t="str">
        <x:v>1.60</x:v>
      </x:c>
      <x:c r="K1743" s="24" t="str">
        <x:v>DuraVision Gold UV</x:v>
      </x:c>
      <x:c r="L1743" s="40" t="n">
        <x:v>3043</x:v>
      </x:c>
      <x:c r="M1743" s="24" t="str">
        <x:v>-7.25 a +6.00</x:v>
      </x:c>
      <x:c r="N1743" s="24" t="str">
        <x:v>-6.00</x:v>
      </x:c>
      <x:c r="O1743" s="24" t="str">
        <x:v>0.50 a 1.25</x:v>
      </x:c>
      <x:c r="P1743" s="24" t="str">
        <x:v>75</x:v>
      </x:c>
      <x:c r="Q1743" s="24"/>
      <x:c r="R1743" s="24"/>
      <x:c r="S1743" s="26" t="n">
        <x:v>46113</x:v>
      </x:c>
      <x:c r="T1743" s="26"/>
      <x:c r="U1743" s="24" t="str">
        <x:v>ATIVA/SEM FIM INFORMADO</x:v>
      </x:c>
      <x:c r="V1743" s="24" t="str">
        <x:v>Programa de Parcerias ZEISS — categoria Experts</x:v>
      </x:c>
      <x:c r="W1743" s="24" t="n">
        <x:v>26</x:v>
      </x:c>
      <x:c r="X1743" s="24" t="str">
        <x:v>tabela_zeiss.pdf</x:v>
      </x:c>
      <x:c r="Y1743" s="24" t="str">
        <x:v>alta</x:v>
      </x:c>
      <x:c r="Z1743" s="24"/>
      <x:c r="AA1743" s="24" t="str">
        <x:v>ZEISS|Visão Simples Digital|Surfaçada|ClearMind Digital Individual 3||1.6|1.60|DuraVision Gold UV|-7.25 a +6.00|-6.00|0.50 a 1.25|75|||26</x:v>
      </x:c>
    </x:row>
    <x:row r="1744">
      <x:c r="A1744" s="24" t="str">
        <x:v>ZS-F130F7050A88</x:v>
      </x:c>
      <x:c r="B1744" s="24" t="str">
        <x:v>SIM</x:v>
      </x:c>
      <x:c r="C1744" s="24" t="str">
        <x:v>DISPONÍVEL</x:v>
      </x:c>
      <x:c r="D1744" s="24" t="str">
        <x:v>ZEISS</x:v>
      </x:c>
      <x:c r="E1744" s="24" t="str">
        <x:v>Visão Simples Digital</x:v>
      </x:c>
      <x:c r="F1744" s="24" t="str">
        <x:v>Surfaçada</x:v>
      </x:c>
      <x:c r="G1744" s="24" t="str">
        <x:v>ClearMind Digital Individual 3</x:v>
      </x:c>
      <x:c r="H1744" s="24"/>
      <x:c r="I1744" s="24" t="str">
        <x:v>1.6</x:v>
      </x:c>
      <x:c r="J1744" s="24" t="str">
        <x:v>1.60</x:v>
      </x:c>
      <x:c r="K1744" s="24" t="str">
        <x:v>DURAVISION® ANTIVÍRUS PLATINUM UV</x:v>
      </x:c>
      <x:c r="L1744" s="40" t="n">
        <x:v>2903</x:v>
      </x:c>
      <x:c r="M1744" s="24" t="str">
        <x:v>-7.25 a +6.00</x:v>
      </x:c>
      <x:c r="N1744" s="24" t="str">
        <x:v>-6.00</x:v>
      </x:c>
      <x:c r="O1744" s="24" t="str">
        <x:v>0.50 a 1.25</x:v>
      </x:c>
      <x:c r="P1744" s="24" t="str">
        <x:v>75</x:v>
      </x:c>
      <x:c r="Q1744" s="24"/>
      <x:c r="R1744" s="24"/>
      <x:c r="S1744" s="26" t="n">
        <x:v>46113</x:v>
      </x:c>
      <x:c r="T1744" s="26"/>
      <x:c r="U1744" s="24" t="str">
        <x:v>ATIVA/SEM FIM INFORMADO</x:v>
      </x:c>
      <x:c r="V1744" s="24" t="str">
        <x:v>Programa de Parcerias ZEISS — categoria Experts</x:v>
      </x:c>
      <x:c r="W1744" s="24" t="n">
        <x:v>26</x:v>
      </x:c>
      <x:c r="X1744" s="24" t="str">
        <x:v>tabela_zeiss.pdf</x:v>
      </x:c>
      <x:c r="Y1744" s="24" t="str">
        <x:v>alta</x:v>
      </x:c>
      <x:c r="Z1744" s="24"/>
      <x:c r="AA1744" s="24" t="str">
        <x:v>ZEISS|Visão Simples Digital|Surfaçada|ClearMind Digital Individual 3||1.6|1.60|DURAVISION® ANTIVÍRUS PLATINUM UV|-7.25 a +6.00|-6.00|0.50 a 1.25|75|||26</x:v>
      </x:c>
    </x:row>
    <x:row r="1745">
      <x:c r="A1745" s="24" t="str">
        <x:v>ZS-9916587CFA48</x:v>
      </x:c>
      <x:c r="B1745" s="24" t="str">
        <x:v>SIM</x:v>
      </x:c>
      <x:c r="C1745" s="24" t="str">
        <x:v>DISPONÍVEL</x:v>
      </x:c>
      <x:c r="D1745" s="24" t="str">
        <x:v>ZEISS</x:v>
      </x:c>
      <x:c r="E1745" s="24" t="str">
        <x:v>Visão Simples Digital</x:v>
      </x:c>
      <x:c r="F1745" s="24" t="str">
        <x:v>Surfaçada</x:v>
      </x:c>
      <x:c r="G1745" s="24" t="str">
        <x:v>ClearMind Digital Individual 3</x:v>
      </x:c>
      <x:c r="H1745" s="24"/>
      <x:c r="I1745" s="24" t="str">
        <x:v>1.6</x:v>
      </x:c>
      <x:c r="J1745" s="24" t="str">
        <x:v>1.60</x:v>
      </x:c>
      <x:c r="K1745" s="24" t="str">
        <x:v>DuraVision Platinum UV</x:v>
      </x:c>
      <x:c r="L1745" s="40" t="n">
        <x:v>2903</x:v>
      </x:c>
      <x:c r="M1745" s="24" t="str">
        <x:v>-7.25 a +6.00</x:v>
      </x:c>
      <x:c r="N1745" s="24" t="str">
        <x:v>-6.00</x:v>
      </x:c>
      <x:c r="O1745" s="24" t="str">
        <x:v>0.50 a 1.25</x:v>
      </x:c>
      <x:c r="P1745" s="24" t="str">
        <x:v>75</x:v>
      </x:c>
      <x:c r="Q1745" s="24"/>
      <x:c r="R1745" s="24"/>
      <x:c r="S1745" s="26" t="n">
        <x:v>46113</x:v>
      </x:c>
      <x:c r="T1745" s="26"/>
      <x:c r="U1745" s="24" t="str">
        <x:v>ATIVA/SEM FIM INFORMADO</x:v>
      </x:c>
      <x:c r="V1745" s="24" t="str">
        <x:v>Programa de Parcerias ZEISS — categoria Experts</x:v>
      </x:c>
      <x:c r="W1745" s="24" t="n">
        <x:v>26</x:v>
      </x:c>
      <x:c r="X1745" s="24" t="str">
        <x:v>tabela_zeiss.pdf</x:v>
      </x:c>
      <x:c r="Y1745" s="24" t="str">
        <x:v>alta</x:v>
      </x:c>
      <x:c r="Z1745" s="24"/>
      <x:c r="AA1745" s="24" t="str">
        <x:v>ZEISS|Visão Simples Digital|Surfaçada|ClearMind Digital Individual 3||1.6|1.60|DuraVision Platinum UV|-7.25 a +6.00|-6.00|0.50 a 1.25|75|||26</x:v>
      </x:c>
    </x:row>
    <x:row r="1746">
      <x:c r="A1746" s="24" t="str">
        <x:v>ZS-F5897473AAB9</x:v>
      </x:c>
      <x:c r="B1746" s="24" t="str">
        <x:v>SIM</x:v>
      </x:c>
      <x:c r="C1746" s="24" t="str">
        <x:v>DISPONÍVEL</x:v>
      </x:c>
      <x:c r="D1746" s="24" t="str">
        <x:v>ZEISS</x:v>
      </x:c>
      <x:c r="E1746" s="24" t="str">
        <x:v>Visão Simples Digital</x:v>
      </x:c>
      <x:c r="F1746" s="24" t="str">
        <x:v>Surfaçada</x:v>
      </x:c>
      <x:c r="G1746" s="24" t="str">
        <x:v>ClearMind Digital Individual 3</x:v>
      </x:c>
      <x:c r="H1746" s="24"/>
      <x:c r="I1746" s="24" t="str">
        <x:v>1.6</x:v>
      </x:c>
      <x:c r="J1746" s="24" t="str">
        <x:v>1.60</x:v>
      </x:c>
      <x:c r="K1746" s="24" t="str">
        <x:v>DuraVision Silver UV</x:v>
      </x:c>
      <x:c r="L1746" s="40" t="n">
        <x:v>2643</x:v>
      </x:c>
      <x:c r="M1746" s="24" t="str">
        <x:v>-7.25 a +6.00</x:v>
      </x:c>
      <x:c r="N1746" s="24" t="str">
        <x:v>-6.00</x:v>
      </x:c>
      <x:c r="O1746" s="24" t="str">
        <x:v>0.50 a 1.25</x:v>
      </x:c>
      <x:c r="P1746" s="24" t="str">
        <x:v>75</x:v>
      </x:c>
      <x:c r="Q1746" s="24"/>
      <x:c r="R1746" s="24"/>
      <x:c r="S1746" s="26" t="n">
        <x:v>46113</x:v>
      </x:c>
      <x:c r="T1746" s="26"/>
      <x:c r="U1746" s="24" t="str">
        <x:v>ATIVA/SEM FIM INFORMADO</x:v>
      </x:c>
      <x:c r="V1746" s="24" t="str">
        <x:v>Programa de Parcerias ZEISS — categoria Experts</x:v>
      </x:c>
      <x:c r="W1746" s="24" t="n">
        <x:v>26</x:v>
      </x:c>
      <x:c r="X1746" s="24" t="str">
        <x:v>tabela_zeiss.pdf</x:v>
      </x:c>
      <x:c r="Y1746" s="24" t="str">
        <x:v>alta</x:v>
      </x:c>
      <x:c r="Z1746" s="24"/>
      <x:c r="AA1746" s="24" t="str">
        <x:v>ZEISS|Visão Simples Digital|Surfaçada|ClearMind Digital Individual 3||1.6|1.60|DuraVision Silver UV|-7.25 a +6.00|-6.00|0.50 a 1.25|75|||26</x:v>
      </x:c>
    </x:row>
    <x:row r="1747">
      <x:c r="A1747" s="24" t="str">
        <x:v>ZS-434BF2D10AC6</x:v>
      </x:c>
      <x:c r="B1747" s="24" t="str">
        <x:v>SIM</x:v>
      </x:c>
      <x:c r="C1747" s="24" t="str">
        <x:v>DISPONÍVEL</x:v>
      </x:c>
      <x:c r="D1747" s="24" t="str">
        <x:v>ZEISS</x:v>
      </x:c>
      <x:c r="E1747" s="24" t="str">
        <x:v>Visão Simples Digital</x:v>
      </x:c>
      <x:c r="F1747" s="24" t="str">
        <x:v>Surfaçada</x:v>
      </x:c>
      <x:c r="G1747" s="24" t="str">
        <x:v>ClearMind Digital Individual 3</x:v>
      </x:c>
      <x:c r="H1747" s="24"/>
      <x:c r="I1747" s="24" t="str">
        <x:v>1.6</x:v>
      </x:c>
      <x:c r="J1747" s="24" t="str">
        <x:v>1.60</x:v>
      </x:c>
      <x:c r="K1747" s="24" t="str">
        <x:v>DuraVision Chrome UV</x:v>
      </x:c>
      <x:c r="L1747" s="40" t="n">
        <x:v>2153</x:v>
      </x:c>
      <x:c r="M1747" s="24" t="str">
        <x:v>-7.25 a +6.00</x:v>
      </x:c>
      <x:c r="N1747" s="24" t="str">
        <x:v>-6.00</x:v>
      </x:c>
      <x:c r="O1747" s="24" t="str">
        <x:v>0.50 a 1.25</x:v>
      </x:c>
      <x:c r="P1747" s="24" t="str">
        <x:v>75</x:v>
      </x:c>
      <x:c r="Q1747" s="24"/>
      <x:c r="R1747" s="24"/>
      <x:c r="S1747" s="26" t="n">
        <x:v>46113</x:v>
      </x:c>
      <x:c r="T1747" s="26"/>
      <x:c r="U1747" s="24" t="str">
        <x:v>ATIVA/SEM FIM INFORMADO</x:v>
      </x:c>
      <x:c r="V1747" s="24" t="str">
        <x:v>Programa de Parcerias ZEISS — categoria Experts</x:v>
      </x:c>
      <x:c r="W1747" s="24" t="n">
        <x:v>26</x:v>
      </x:c>
      <x:c r="X1747" s="24" t="str">
        <x:v>tabela_zeiss.pdf</x:v>
      </x:c>
      <x:c r="Y1747" s="24" t="str">
        <x:v>alta</x:v>
      </x:c>
      <x:c r="Z1747" s="24"/>
      <x:c r="AA1747" s="24" t="str">
        <x:v>ZEISS|Visão Simples Digital|Surfaçada|ClearMind Digital Individual 3||1.6|1.60|DuraVision Chrome UV|-7.25 a +6.00|-6.00|0.50 a 1.25|75|||26</x:v>
      </x:c>
    </x:row>
    <x:row r="1748">
      <x:c r="A1748" s="24" t="str">
        <x:v>ZS-DBCCD2D41881</x:v>
      </x:c>
      <x:c r="B1748" s="24" t="str">
        <x:v>SIM</x:v>
      </x:c>
      <x:c r="C1748" s="24" t="str">
        <x:v>DISPONÍVEL</x:v>
      </x:c>
      <x:c r="D1748" s="24" t="str">
        <x:v>ZEISS</x:v>
      </x:c>
      <x:c r="E1748" s="24" t="str">
        <x:v>Visão Simples Digital</x:v>
      </x:c>
      <x:c r="F1748" s="24" t="str">
        <x:v>Surfaçada</x:v>
      </x:c>
      <x:c r="G1748" s="24" t="str">
        <x:v>ClearMind Digital Individual 3</x:v>
      </x:c>
      <x:c r="H1748" s="24"/>
      <x:c r="I1748" s="24" t="str">
        <x:v>1.67</x:v>
      </x:c>
      <x:c r="J1748" s="24" t="str">
        <x:v>1.67</x:v>
      </x:c>
      <x:c r="K1748" s="24" t="str">
        <x:v>DuraVision Gold UV</x:v>
      </x:c>
      <x:c r="L1748" s="40" t="n">
        <x:v>4343</x:v>
      </x:c>
      <x:c r="M1748" s="24" t="str">
        <x:v>-8.00 a +8.00</x:v>
      </x:c>
      <x:c r="N1748" s="24" t="str">
        <x:v>-6.00</x:v>
      </x:c>
      <x:c r="O1748" s="24" t="str">
        <x:v>0.50 a 1.25</x:v>
      </x:c>
      <x:c r="P1748" s="24" t="str">
        <x:v>70</x:v>
      </x:c>
      <x:c r="Q1748" s="24"/>
      <x:c r="R1748" s="24"/>
      <x:c r="S1748" s="26" t="n">
        <x:v>46113</x:v>
      </x:c>
      <x:c r="T1748" s="26"/>
      <x:c r="U1748" s="24" t="str">
        <x:v>ATIVA/SEM FIM INFORMADO</x:v>
      </x:c>
      <x:c r="V1748" s="24" t="str">
        <x:v>Programa de Parcerias ZEISS — categoria Experts</x:v>
      </x:c>
      <x:c r="W1748" s="24" t="n">
        <x:v>26</x:v>
      </x:c>
      <x:c r="X1748" s="24" t="str">
        <x:v>tabela_zeiss.pdf</x:v>
      </x:c>
      <x:c r="Y1748" s="24" t="str">
        <x:v>alta</x:v>
      </x:c>
      <x:c r="Z1748" s="24"/>
      <x:c r="AA1748" s="24" t="str">
        <x:v>ZEISS|Visão Simples Digital|Surfaçada|ClearMind Digital Individual 3||1.67|1.67|DuraVision Gold UV|-8.00 a +8.00|-6.00|0.50 a 1.25|70|||26</x:v>
      </x:c>
    </x:row>
    <x:row r="1749">
      <x:c r="A1749" s="24" t="str">
        <x:v>ZS-AC521F12F628</x:v>
      </x:c>
      <x:c r="B1749" s="24" t="str">
        <x:v>SIM</x:v>
      </x:c>
      <x:c r="C1749" s="24" t="str">
        <x:v>DISPONÍVEL</x:v>
      </x:c>
      <x:c r="D1749" s="24" t="str">
        <x:v>ZEISS</x:v>
      </x:c>
      <x:c r="E1749" s="24" t="str">
        <x:v>Visão Simples Digital</x:v>
      </x:c>
      <x:c r="F1749" s="24" t="str">
        <x:v>Surfaçada</x:v>
      </x:c>
      <x:c r="G1749" s="24" t="str">
        <x:v>ClearMind Digital Individual 3</x:v>
      </x:c>
      <x:c r="H1749" s="24"/>
      <x:c r="I1749" s="24" t="str">
        <x:v>1.67</x:v>
      </x:c>
      <x:c r="J1749" s="24" t="str">
        <x:v>1.67</x:v>
      </x:c>
      <x:c r="K1749" s="24" t="str">
        <x:v>DURAVISION® ANTIVÍRUS PLATINUM UV</x:v>
      </x:c>
      <x:c r="L1749" s="40" t="n">
        <x:v>4203</x:v>
      </x:c>
      <x:c r="M1749" s="24" t="str">
        <x:v>-8.00 a +8.00</x:v>
      </x:c>
      <x:c r="N1749" s="24" t="str">
        <x:v>-6.00</x:v>
      </x:c>
      <x:c r="O1749" s="24" t="str">
        <x:v>0.50 a 1.25</x:v>
      </x:c>
      <x:c r="P1749" s="24" t="str">
        <x:v>70</x:v>
      </x:c>
      <x:c r="Q1749" s="24"/>
      <x:c r="R1749" s="24"/>
      <x:c r="S1749" s="26" t="n">
        <x:v>46113</x:v>
      </x:c>
      <x:c r="T1749" s="26"/>
      <x:c r="U1749" s="24" t="str">
        <x:v>ATIVA/SEM FIM INFORMADO</x:v>
      </x:c>
      <x:c r="V1749" s="24" t="str">
        <x:v>Programa de Parcerias ZEISS — categoria Experts</x:v>
      </x:c>
      <x:c r="W1749" s="24" t="n">
        <x:v>26</x:v>
      </x:c>
      <x:c r="X1749" s="24" t="str">
        <x:v>tabela_zeiss.pdf</x:v>
      </x:c>
      <x:c r="Y1749" s="24" t="str">
        <x:v>alta</x:v>
      </x:c>
      <x:c r="Z1749" s="24"/>
      <x:c r="AA1749" s="24" t="str">
        <x:v>ZEISS|Visão Simples Digital|Surfaçada|ClearMind Digital Individual 3||1.67|1.67|DURAVISION® ANTIVÍRUS PLATINUM UV|-8.00 a +8.00|-6.00|0.50 a 1.25|70|||26</x:v>
      </x:c>
    </x:row>
    <x:row r="1750">
      <x:c r="A1750" s="24" t="str">
        <x:v>ZS-D76752AD1F5F</x:v>
      </x:c>
      <x:c r="B1750" s="24" t="str">
        <x:v>SIM</x:v>
      </x:c>
      <x:c r="C1750" s="24" t="str">
        <x:v>DISPONÍVEL</x:v>
      </x:c>
      <x:c r="D1750" s="24" t="str">
        <x:v>ZEISS</x:v>
      </x:c>
      <x:c r="E1750" s="24" t="str">
        <x:v>Visão Simples Digital</x:v>
      </x:c>
      <x:c r="F1750" s="24" t="str">
        <x:v>Surfaçada</x:v>
      </x:c>
      <x:c r="G1750" s="24" t="str">
        <x:v>ClearMind Digital Individual 3</x:v>
      </x:c>
      <x:c r="H1750" s="24"/>
      <x:c r="I1750" s="24" t="str">
        <x:v>1.67</x:v>
      </x:c>
      <x:c r="J1750" s="24" t="str">
        <x:v>1.67</x:v>
      </x:c>
      <x:c r="K1750" s="24" t="str">
        <x:v>DuraVision Platinum UV</x:v>
      </x:c>
      <x:c r="L1750" s="40" t="n">
        <x:v>4203</x:v>
      </x:c>
      <x:c r="M1750" s="24" t="str">
        <x:v>-8.00 a +8.00</x:v>
      </x:c>
      <x:c r="N1750" s="24" t="str">
        <x:v>-6.00</x:v>
      </x:c>
      <x:c r="O1750" s="24" t="str">
        <x:v>0.50 a 1.25</x:v>
      </x:c>
      <x:c r="P1750" s="24" t="str">
        <x:v>70</x:v>
      </x:c>
      <x:c r="Q1750" s="24"/>
      <x:c r="R1750" s="24"/>
      <x:c r="S1750" s="26" t="n">
        <x:v>46113</x:v>
      </x:c>
      <x:c r="T1750" s="26"/>
      <x:c r="U1750" s="24" t="str">
        <x:v>ATIVA/SEM FIM INFORMADO</x:v>
      </x:c>
      <x:c r="V1750" s="24" t="str">
        <x:v>Programa de Parcerias ZEISS — categoria Experts</x:v>
      </x:c>
      <x:c r="W1750" s="24" t="n">
        <x:v>26</x:v>
      </x:c>
      <x:c r="X1750" s="24" t="str">
        <x:v>tabela_zeiss.pdf</x:v>
      </x:c>
      <x:c r="Y1750" s="24" t="str">
        <x:v>alta</x:v>
      </x:c>
      <x:c r="Z1750" s="24"/>
      <x:c r="AA1750" s="24" t="str">
        <x:v>ZEISS|Visão Simples Digital|Surfaçada|ClearMind Digital Individual 3||1.67|1.67|DuraVision Platinum UV|-8.00 a +8.00|-6.00|0.50 a 1.25|70|||26</x:v>
      </x:c>
    </x:row>
    <x:row r="1751">
      <x:c r="A1751" s="24" t="str">
        <x:v>ZS-74BD65B4A754</x:v>
      </x:c>
      <x:c r="B1751" s="24" t="str">
        <x:v>SIM</x:v>
      </x:c>
      <x:c r="C1751" s="24" t="str">
        <x:v>DISPONÍVEL</x:v>
      </x:c>
      <x:c r="D1751" s="24" t="str">
        <x:v>ZEISS</x:v>
      </x:c>
      <x:c r="E1751" s="24" t="str">
        <x:v>Visão Simples Digital</x:v>
      </x:c>
      <x:c r="F1751" s="24" t="str">
        <x:v>Surfaçada</x:v>
      </x:c>
      <x:c r="G1751" s="24" t="str">
        <x:v>ClearMind Digital Individual 3</x:v>
      </x:c>
      <x:c r="H1751" s="24"/>
      <x:c r="I1751" s="24" t="str">
        <x:v>1.67</x:v>
      </x:c>
      <x:c r="J1751" s="24" t="str">
        <x:v>1.67</x:v>
      </x:c>
      <x:c r="K1751" s="24" t="str">
        <x:v>DuraVision Silver UV</x:v>
      </x:c>
      <x:c r="L1751" s="40" t="n">
        <x:v>3943</x:v>
      </x:c>
      <x:c r="M1751" s="24" t="str">
        <x:v>-8.00 a +8.00</x:v>
      </x:c>
      <x:c r="N1751" s="24" t="str">
        <x:v>-6.00</x:v>
      </x:c>
      <x:c r="O1751" s="24" t="str">
        <x:v>0.50 a 1.25</x:v>
      </x:c>
      <x:c r="P1751" s="24" t="str">
        <x:v>70</x:v>
      </x:c>
      <x:c r="Q1751" s="24"/>
      <x:c r="R1751" s="24"/>
      <x:c r="S1751" s="26" t="n">
        <x:v>46113</x:v>
      </x:c>
      <x:c r="T1751" s="26"/>
      <x:c r="U1751" s="24" t="str">
        <x:v>ATIVA/SEM FIM INFORMADO</x:v>
      </x:c>
      <x:c r="V1751" s="24" t="str">
        <x:v>Programa de Parcerias ZEISS — categoria Experts</x:v>
      </x:c>
      <x:c r="W1751" s="24" t="n">
        <x:v>26</x:v>
      </x:c>
      <x:c r="X1751" s="24" t="str">
        <x:v>tabela_zeiss.pdf</x:v>
      </x:c>
      <x:c r="Y1751" s="24" t="str">
        <x:v>alta</x:v>
      </x:c>
      <x:c r="Z1751" s="24"/>
      <x:c r="AA1751" s="24" t="str">
        <x:v>ZEISS|Visão Simples Digital|Surfaçada|ClearMind Digital Individual 3||1.67|1.67|DuraVision Silver UV|-8.00 a +8.00|-6.00|0.50 a 1.25|70|||26</x:v>
      </x:c>
    </x:row>
    <x:row r="1752">
      <x:c r="A1752" s="24" t="str">
        <x:v>ZS-03EA4834F8DC</x:v>
      </x:c>
      <x:c r="B1752" s="24" t="str">
        <x:v>SIM</x:v>
      </x:c>
      <x:c r="C1752" s="24" t="str">
        <x:v>DISPONÍVEL</x:v>
      </x:c>
      <x:c r="D1752" s="24" t="str">
        <x:v>ZEISS</x:v>
      </x:c>
      <x:c r="E1752" s="24" t="str">
        <x:v>Visão Simples Digital</x:v>
      </x:c>
      <x:c r="F1752" s="24" t="str">
        <x:v>Surfaçada</x:v>
      </x:c>
      <x:c r="G1752" s="24" t="str">
        <x:v>ClearMind Digital Individual 3</x:v>
      </x:c>
      <x:c r="H1752" s="24"/>
      <x:c r="I1752" s="24" t="str">
        <x:v>1.67</x:v>
      </x:c>
      <x:c r="J1752" s="24" t="str">
        <x:v>1.67</x:v>
      </x:c>
      <x:c r="K1752" s="24" t="str">
        <x:v>DuraVision Chrome UV</x:v>
      </x:c>
      <x:c r="L1752" s="40" t="n">
        <x:v>3453</x:v>
      </x:c>
      <x:c r="M1752" s="24" t="str">
        <x:v>-8.00 a +8.00</x:v>
      </x:c>
      <x:c r="N1752" s="24" t="str">
        <x:v>-6.00</x:v>
      </x:c>
      <x:c r="O1752" s="24" t="str">
        <x:v>0.50 a 1.25</x:v>
      </x:c>
      <x:c r="P1752" s="24" t="str">
        <x:v>70</x:v>
      </x:c>
      <x:c r="Q1752" s="24"/>
      <x:c r="R1752" s="24"/>
      <x:c r="S1752" s="26" t="n">
        <x:v>46113</x:v>
      </x:c>
      <x:c r="T1752" s="26"/>
      <x:c r="U1752" s="24" t="str">
        <x:v>ATIVA/SEM FIM INFORMADO</x:v>
      </x:c>
      <x:c r="V1752" s="24" t="str">
        <x:v>Programa de Parcerias ZEISS — categoria Experts</x:v>
      </x:c>
      <x:c r="W1752" s="24" t="n">
        <x:v>26</x:v>
      </x:c>
      <x:c r="X1752" s="24" t="str">
        <x:v>tabela_zeiss.pdf</x:v>
      </x:c>
      <x:c r="Y1752" s="24" t="str">
        <x:v>alta</x:v>
      </x:c>
      <x:c r="Z1752" s="24"/>
      <x:c r="AA1752" s="24" t="str">
        <x:v>ZEISS|Visão Simples Digital|Surfaçada|ClearMind Digital Individual 3||1.67|1.67|DuraVision Chrome UV|-8.00 a +8.00|-6.00|0.50 a 1.25|70|||26</x:v>
      </x:c>
    </x:row>
    <x:row r="1753">
      <x:c r="A1753" s="24" t="str">
        <x:v>ZS-F15F59475BD2</x:v>
      </x:c>
      <x:c r="B1753" s="24" t="str">
        <x:v>SIM</x:v>
      </x:c>
      <x:c r="C1753" s="24" t="str">
        <x:v>DISPONÍVEL</x:v>
      </x:c>
      <x:c r="D1753" s="24" t="str">
        <x:v>ZEISS</x:v>
      </x:c>
      <x:c r="E1753" s="24" t="str">
        <x:v>Visão Simples Digital</x:v>
      </x:c>
      <x:c r="F1753" s="24" t="str">
        <x:v>Surfaçada</x:v>
      </x:c>
      <x:c r="G1753" s="24" t="str">
        <x:v>ClearMind Digital Individual 3</x:v>
      </x:c>
      <x:c r="H1753" s="24"/>
      <x:c r="I1753" s="24" t="str">
        <x:v>1.74</x:v>
      </x:c>
      <x:c r="J1753" s="24" t="str">
        <x:v>1.74</x:v>
      </x:c>
      <x:c r="K1753" s="24" t="str">
        <x:v>DuraVision Gold UV</x:v>
      </x:c>
      <x:c r="L1753" s="40" t="n">
        <x:v>4653</x:v>
      </x:c>
      <x:c r="M1753" s="24" t="str">
        <x:v>-10.00 a +7.00</x:v>
      </x:c>
      <x:c r="N1753" s="24" t="str">
        <x:v>-4.00</x:v>
      </x:c>
      <x:c r="O1753" s="24" t="str">
        <x:v>0.50 a 1.25</x:v>
      </x:c>
      <x:c r="P1753" s="24" t="str">
        <x:v>70 a 75</x:v>
      </x:c>
      <x:c r="Q1753" s="24"/>
      <x:c r="R1753" s="24"/>
      <x:c r="S1753" s="26" t="n">
        <x:v>46113</x:v>
      </x:c>
      <x:c r="T1753" s="26"/>
      <x:c r="U1753" s="24" t="str">
        <x:v>ATIVA/SEM FIM INFORMADO</x:v>
      </x:c>
      <x:c r="V1753" s="24" t="str">
        <x:v>Programa de Parcerias ZEISS — categoria Experts</x:v>
      </x:c>
      <x:c r="W1753" s="24" t="n">
        <x:v>26</x:v>
      </x:c>
      <x:c r="X1753" s="24" t="str">
        <x:v>tabela_zeiss.pdf</x:v>
      </x:c>
      <x:c r="Y1753" s="24" t="str">
        <x:v>alta</x:v>
      </x:c>
      <x:c r="Z1753" s="24"/>
      <x:c r="AA1753" s="24" t="str">
        <x:v>ZEISS|Visão Simples Digital|Surfaçada|ClearMind Digital Individual 3||1.74|1.74|DuraVision Gold UV|-10.00 a +7.00|-4.00|0.50 a 1.25|70 a 75|||26</x:v>
      </x:c>
    </x:row>
    <x:row r="1754">
      <x:c r="A1754" s="24" t="str">
        <x:v>ZS-A8F74F053200</x:v>
      </x:c>
      <x:c r="B1754" s="24" t="str">
        <x:v>SIM</x:v>
      </x:c>
      <x:c r="C1754" s="24" t="str">
        <x:v>DISPONÍVEL</x:v>
      </x:c>
      <x:c r="D1754" s="24" t="str">
        <x:v>ZEISS</x:v>
      </x:c>
      <x:c r="E1754" s="24" t="str">
        <x:v>Visão Simples Digital</x:v>
      </x:c>
      <x:c r="F1754" s="24" t="str">
        <x:v>Surfaçada</x:v>
      </x:c>
      <x:c r="G1754" s="24" t="str">
        <x:v>ClearMind Digital Individual 3</x:v>
      </x:c>
      <x:c r="H1754" s="24"/>
      <x:c r="I1754" s="24" t="str">
        <x:v>1.74</x:v>
      </x:c>
      <x:c r="J1754" s="24" t="str">
        <x:v>1.74</x:v>
      </x:c>
      <x:c r="K1754" s="24" t="str">
        <x:v>DuraVision Platinum UV</x:v>
      </x:c>
      <x:c r="L1754" s="40" t="n">
        <x:v>4513</x:v>
      </x:c>
      <x:c r="M1754" s="24" t="str">
        <x:v>-10.00 a +7.00</x:v>
      </x:c>
      <x:c r="N1754" s="24" t="str">
        <x:v>-4.00</x:v>
      </x:c>
      <x:c r="O1754" s="24" t="str">
        <x:v>0.50 a 1.25</x:v>
      </x:c>
      <x:c r="P1754" s="24" t="str">
        <x:v>70 a 75</x:v>
      </x:c>
      <x:c r="Q1754" s="24"/>
      <x:c r="R1754" s="24"/>
      <x:c r="S1754" s="26" t="n">
        <x:v>46113</x:v>
      </x:c>
      <x:c r="T1754" s="26"/>
      <x:c r="U1754" s="24" t="str">
        <x:v>ATIVA/SEM FIM INFORMADO</x:v>
      </x:c>
      <x:c r="V1754" s="24" t="str">
        <x:v>Programa de Parcerias ZEISS — categoria Experts</x:v>
      </x:c>
      <x:c r="W1754" s="24" t="n">
        <x:v>26</x:v>
      </x:c>
      <x:c r="X1754" s="24" t="str">
        <x:v>tabela_zeiss.pdf</x:v>
      </x:c>
      <x:c r="Y1754" s="24" t="str">
        <x:v>alta</x:v>
      </x:c>
      <x:c r="Z1754" s="24"/>
      <x:c r="AA1754" s="24" t="str">
        <x:v>ZEISS|Visão Simples Digital|Surfaçada|ClearMind Digital Individual 3||1.74|1.74|DuraVision Platinum UV|-10.00 a +7.00|-4.00|0.50 a 1.25|70 a 75|||26</x:v>
      </x:c>
    </x:row>
    <x:row r="1755">
      <x:c r="A1755" s="24" t="str">
        <x:v>ZS-F37A989A3FE5</x:v>
      </x:c>
      <x:c r="B1755" s="24" t="str">
        <x:v>SIM</x:v>
      </x:c>
      <x:c r="C1755" s="24" t="str">
        <x:v>DISPONÍVEL</x:v>
      </x:c>
      <x:c r="D1755" s="24" t="str">
        <x:v>ZEISS</x:v>
      </x:c>
      <x:c r="E1755" s="24" t="str">
        <x:v>Visão Simples Digital</x:v>
      </x:c>
      <x:c r="F1755" s="24" t="str">
        <x:v>Surfaçada</x:v>
      </x:c>
      <x:c r="G1755" s="24" t="str">
        <x:v>ClearMind Digital Individual 3</x:v>
      </x:c>
      <x:c r="H1755" s="24"/>
      <x:c r="I1755" s="24" t="str">
        <x:v>1.74</x:v>
      </x:c>
      <x:c r="J1755" s="24" t="str">
        <x:v>1.74</x:v>
      </x:c>
      <x:c r="K1755" s="24" t="str">
        <x:v>DuraVision Silver UV</x:v>
      </x:c>
      <x:c r="L1755" s="40" t="n">
        <x:v>4253</x:v>
      </x:c>
      <x:c r="M1755" s="24" t="str">
        <x:v>-10.00 a +7.00</x:v>
      </x:c>
      <x:c r="N1755" s="24" t="str">
        <x:v>-4.00</x:v>
      </x:c>
      <x:c r="O1755" s="24" t="str">
        <x:v>0.50 a 1.25</x:v>
      </x:c>
      <x:c r="P1755" s="24" t="str">
        <x:v>70 a 75</x:v>
      </x:c>
      <x:c r="Q1755" s="24"/>
      <x:c r="R1755" s="24"/>
      <x:c r="S1755" s="26" t="n">
        <x:v>46113</x:v>
      </x:c>
      <x:c r="T1755" s="26"/>
      <x:c r="U1755" s="24" t="str">
        <x:v>ATIVA/SEM FIM INFORMADO</x:v>
      </x:c>
      <x:c r="V1755" s="24" t="str">
        <x:v>Programa de Parcerias ZEISS — categoria Experts</x:v>
      </x:c>
      <x:c r="W1755" s="24" t="n">
        <x:v>26</x:v>
      </x:c>
      <x:c r="X1755" s="24" t="str">
        <x:v>tabela_zeiss.pdf</x:v>
      </x:c>
      <x:c r="Y1755" s="24" t="str">
        <x:v>alta</x:v>
      </x:c>
      <x:c r="Z1755" s="24"/>
      <x:c r="AA1755" s="24" t="str">
        <x:v>ZEISS|Visão Simples Digital|Surfaçada|ClearMind Digital Individual 3||1.74|1.74|DuraVision Silver UV|-10.00 a +7.00|-4.00|0.50 a 1.25|70 a 75|||26</x:v>
      </x:c>
    </x:row>
    <x:row r="1756">
      <x:c r="A1756" s="24" t="str">
        <x:v>ZS-9F7B690108A3</x:v>
      </x:c>
      <x:c r="B1756" s="24" t="str">
        <x:v>SIM</x:v>
      </x:c>
      <x:c r="C1756" s="24" t="str">
        <x:v>DISPONÍVEL</x:v>
      </x:c>
      <x:c r="D1756" s="24" t="str">
        <x:v>ZEISS</x:v>
      </x:c>
      <x:c r="E1756" s="24" t="str">
        <x:v>Visão Simples Digital</x:v>
      </x:c>
      <x:c r="F1756" s="24" t="str">
        <x:v>Surfaçada</x:v>
      </x:c>
      <x:c r="G1756" s="24" t="str">
        <x:v>ClearMind Digital Individual 3</x:v>
      </x:c>
      <x:c r="H1756" s="24"/>
      <x:c r="I1756" s="24" t="str">
        <x:v>1.74</x:v>
      </x:c>
      <x:c r="J1756" s="24" t="str">
        <x:v>1.74</x:v>
      </x:c>
      <x:c r="K1756" s="24" t="str">
        <x:v>DuraVision Chrome UV</x:v>
      </x:c>
      <x:c r="L1756" s="40" t="n">
        <x:v>3763</x:v>
      </x:c>
      <x:c r="M1756" s="24" t="str">
        <x:v>-10.00 a +7.00</x:v>
      </x:c>
      <x:c r="N1756" s="24" t="str">
        <x:v>-4.00</x:v>
      </x:c>
      <x:c r="O1756" s="24" t="str">
        <x:v>0.50 a 1.25</x:v>
      </x:c>
      <x:c r="P1756" s="24" t="str">
        <x:v>70 a 75</x:v>
      </x:c>
      <x:c r="Q1756" s="24"/>
      <x:c r="R1756" s="24"/>
      <x:c r="S1756" s="26" t="n">
        <x:v>46113</x:v>
      </x:c>
      <x:c r="T1756" s="26"/>
      <x:c r="U1756" s="24" t="str">
        <x:v>ATIVA/SEM FIM INFORMADO</x:v>
      </x:c>
      <x:c r="V1756" s="24" t="str">
        <x:v>Programa de Parcerias ZEISS — categoria Experts</x:v>
      </x:c>
      <x:c r="W1756" s="24" t="n">
        <x:v>26</x:v>
      </x:c>
      <x:c r="X1756" s="24" t="str">
        <x:v>tabela_zeiss.pdf</x:v>
      </x:c>
      <x:c r="Y1756" s="24" t="str">
        <x:v>alta</x:v>
      </x:c>
      <x:c r="Z1756" s="24"/>
      <x:c r="AA1756" s="24" t="str">
        <x:v>ZEISS|Visão Simples Digital|Surfaçada|ClearMind Digital Individual 3||1.74|1.74|DuraVision Chrome UV|-10.00 a +7.00|-4.00|0.50 a 1.25|70 a 75|||26</x:v>
      </x:c>
    </x:row>
    <x:row r="1757">
      <x:c r="A1757" s="24" t="str">
        <x:v>ZS-47E45F3075B8</x:v>
      </x:c>
      <x:c r="B1757" s="24" t="str">
        <x:v>SIM</x:v>
      </x:c>
      <x:c r="C1757" s="24" t="str">
        <x:v>DISPONÍVEL</x:v>
      </x:c>
      <x:c r="D1757" s="24" t="str">
        <x:v>ZEISS</x:v>
      </x:c>
      <x:c r="E1757" s="24" t="str">
        <x:v>Visão Simples Digital</x:v>
      </x:c>
      <x:c r="F1757" s="24" t="str">
        <x:v>Surfaçada</x:v>
      </x:c>
      <x:c r="G1757" s="24" t="str">
        <x:v>ClearMind Digital Individual 3</x:v>
      </x:c>
      <x:c r="H1757" s="24" t="str">
        <x:v>PhotoFusion X</x:v>
      </x:c>
      <x:c r="I1757" s="24" t="str">
        <x:v>1.5</x:v>
      </x:c>
      <x:c r="J1757" s="24" t="str">
        <x:v>1.50</x:v>
      </x:c>
      <x:c r="K1757" s="24" t="str">
        <x:v>DuraVision Gold UV</x:v>
      </x:c>
      <x:c r="L1757" s="40" t="n">
        <x:v>3883</x:v>
      </x:c>
      <x:c r="M1757" s="24" t="str">
        <x:v>-6.00 a +5.50</x:v>
      </x:c>
      <x:c r="N1757" s="24" t="str">
        <x:v>-4.00</x:v>
      </x:c>
      <x:c r="O1757" s="24" t="str">
        <x:v>0.50 a 1.25</x:v>
      </x:c>
      <x:c r="P1757" s="24" t="str">
        <x:v>75</x:v>
      </x:c>
      <x:c r="Q1757" s="24"/>
      <x:c r="R1757" s="24"/>
      <x:c r="S1757" s="26" t="n">
        <x:v>46113</x:v>
      </x:c>
      <x:c r="T1757" s="26"/>
      <x:c r="U1757" s="24" t="str">
        <x:v>ATIVA/SEM FIM INFORMADO</x:v>
      </x:c>
      <x:c r="V1757" s="24" t="str">
        <x:v>Programa de Parcerias ZEISS — categoria Experts; Programa de Parcerias ZEISS</x:v>
      </x:c>
      <x:c r="W1757" s="24" t="n">
        <x:v>26</x:v>
      </x:c>
      <x:c r="X1757" s="24" t="str">
        <x:v>tabela_zeiss.pdf</x:v>
      </x:c>
      <x:c r="Y1757" s="24" t="str">
        <x:v>alta</x:v>
      </x:c>
      <x:c r="Z1757" s="24"/>
      <x:c r="AA1757" s="24" t="str">
        <x:v>ZEISS|Visão Simples Digital|Surfaçada|ClearMind Digital Individual 3|PhotoFusion X|1.5|1.50|DuraVision Gold UV|-6.00 a +5.50|-4.00|0.50 a 1.25|75|||26</x:v>
      </x:c>
    </x:row>
    <x:row r="1758">
      <x:c r="A1758" s="24" t="str">
        <x:v>ZS-0D0B458B4247</x:v>
      </x:c>
      <x:c r="B1758" s="24" t="str">
        <x:v>SIM</x:v>
      </x:c>
      <x:c r="C1758" s="24" t="str">
        <x:v>DISPONÍVEL</x:v>
      </x:c>
      <x:c r="D1758" s="24" t="str">
        <x:v>ZEISS</x:v>
      </x:c>
      <x:c r="E1758" s="24" t="str">
        <x:v>Visão Simples Digital</x:v>
      </x:c>
      <x:c r="F1758" s="24" t="str">
        <x:v>Surfaçada</x:v>
      </x:c>
      <x:c r="G1758" s="24" t="str">
        <x:v>ClearMind Digital Individual 3</x:v>
      </x:c>
      <x:c r="H1758" s="24" t="str">
        <x:v>PhotoFusion X</x:v>
      </x:c>
      <x:c r="I1758" s="24" t="str">
        <x:v>1.5</x:v>
      </x:c>
      <x:c r="J1758" s="24" t="str">
        <x:v>1.50</x:v>
      </x:c>
      <x:c r="K1758" s="24" t="str">
        <x:v>DURAVISION® ANTIVÍRUS PLATINUM UV</x:v>
      </x:c>
      <x:c r="L1758" s="40" t="n">
        <x:v>3743</x:v>
      </x:c>
      <x:c r="M1758" s="24" t="str">
        <x:v>-6.00 a +5.50</x:v>
      </x:c>
      <x:c r="N1758" s="24" t="str">
        <x:v>-4.00</x:v>
      </x:c>
      <x:c r="O1758" s="24" t="str">
        <x:v>0.50 a 1.25</x:v>
      </x:c>
      <x:c r="P1758" s="24" t="str">
        <x:v>75</x:v>
      </x:c>
      <x:c r="Q1758" s="24"/>
      <x:c r="R1758" s="24"/>
      <x:c r="S1758" s="26" t="n">
        <x:v>46113</x:v>
      </x:c>
      <x:c r="T1758" s="26"/>
      <x:c r="U1758" s="24" t="str">
        <x:v>ATIVA/SEM FIM INFORMADO</x:v>
      </x:c>
      <x:c r="V1758" s="24" t="str">
        <x:v>Programa de Parcerias ZEISS — categoria Experts; Programa de Parcerias ZEISS</x:v>
      </x:c>
      <x:c r="W1758" s="24" t="n">
        <x:v>26</x:v>
      </x:c>
      <x:c r="X1758" s="24" t="str">
        <x:v>tabela_zeiss.pdf</x:v>
      </x:c>
      <x:c r="Y1758" s="24" t="str">
        <x:v>alta</x:v>
      </x:c>
      <x:c r="Z1758" s="24"/>
      <x:c r="AA1758" s="24" t="str">
        <x:v>ZEISS|Visão Simples Digital|Surfaçada|ClearMind Digital Individual 3|PhotoFusion X|1.5|1.50|DURAVISION® ANTIVÍRUS PLATINUM UV|-6.00 a +5.50|-4.00|0.50 a 1.25|75|||26</x:v>
      </x:c>
    </x:row>
    <x:row r="1759">
      <x:c r="A1759" s="24" t="str">
        <x:v>ZS-1B96385F75DA</x:v>
      </x:c>
      <x:c r="B1759" s="24" t="str">
        <x:v>SIM</x:v>
      </x:c>
      <x:c r="C1759" s="24" t="str">
        <x:v>DISPONÍVEL</x:v>
      </x:c>
      <x:c r="D1759" s="24" t="str">
        <x:v>ZEISS</x:v>
      </x:c>
      <x:c r="E1759" s="24" t="str">
        <x:v>Visão Simples Digital</x:v>
      </x:c>
      <x:c r="F1759" s="24" t="str">
        <x:v>Surfaçada</x:v>
      </x:c>
      <x:c r="G1759" s="24" t="str">
        <x:v>ClearMind Digital Individual 3</x:v>
      </x:c>
      <x:c r="H1759" s="24" t="str">
        <x:v>PhotoFusion X</x:v>
      </x:c>
      <x:c r="I1759" s="24" t="str">
        <x:v>1.5</x:v>
      </x:c>
      <x:c r="J1759" s="24" t="str">
        <x:v>1.50</x:v>
      </x:c>
      <x:c r="K1759" s="24" t="str">
        <x:v>DuraVision Platinum UV</x:v>
      </x:c>
      <x:c r="L1759" s="40" t="n">
        <x:v>3743</x:v>
      </x:c>
      <x:c r="M1759" s="24" t="str">
        <x:v>-6.00 a +5.50</x:v>
      </x:c>
      <x:c r="N1759" s="24" t="str">
        <x:v>-4.00</x:v>
      </x:c>
      <x:c r="O1759" s="24" t="str">
        <x:v>0.50 a 1.25</x:v>
      </x:c>
      <x:c r="P1759" s="24" t="str">
        <x:v>75</x:v>
      </x:c>
      <x:c r="Q1759" s="24"/>
      <x:c r="R1759" s="24"/>
      <x:c r="S1759" s="26" t="n">
        <x:v>46113</x:v>
      </x:c>
      <x:c r="T1759" s="26"/>
      <x:c r="U1759" s="24" t="str">
        <x:v>ATIVA/SEM FIM INFORMADO</x:v>
      </x:c>
      <x:c r="V1759" s="24" t="str">
        <x:v>Programa de Parcerias ZEISS — categoria Experts; Programa de Parcerias ZEISS</x:v>
      </x:c>
      <x:c r="W1759" s="24" t="n">
        <x:v>26</x:v>
      </x:c>
      <x:c r="X1759" s="24" t="str">
        <x:v>tabela_zeiss.pdf</x:v>
      </x:c>
      <x:c r="Y1759" s="24" t="str">
        <x:v>alta</x:v>
      </x:c>
      <x:c r="Z1759" s="24"/>
      <x:c r="AA1759" s="24" t="str">
        <x:v>ZEISS|Visão Simples Digital|Surfaçada|ClearMind Digital Individual 3|PhotoFusion X|1.5|1.50|DuraVision Platinum UV|-6.00 a +5.50|-4.00|0.50 a 1.25|75|||26</x:v>
      </x:c>
    </x:row>
    <x:row r="1760">
      <x:c r="A1760" s="24" t="str">
        <x:v>ZS-7B5B4A01B5A4</x:v>
      </x:c>
      <x:c r="B1760" s="24" t="str">
        <x:v>SIM</x:v>
      </x:c>
      <x:c r="C1760" s="24" t="str">
        <x:v>DISPONÍVEL</x:v>
      </x:c>
      <x:c r="D1760" s="24" t="str">
        <x:v>ZEISS</x:v>
      </x:c>
      <x:c r="E1760" s="24" t="str">
        <x:v>Visão Simples Digital</x:v>
      </x:c>
      <x:c r="F1760" s="24" t="str">
        <x:v>Surfaçada</x:v>
      </x:c>
      <x:c r="G1760" s="24" t="str">
        <x:v>ClearMind Digital Individual 3</x:v>
      </x:c>
      <x:c r="H1760" s="24" t="str">
        <x:v>PhotoFusion X</x:v>
      </x:c>
      <x:c r="I1760" s="24" t="str">
        <x:v>1.5</x:v>
      </x:c>
      <x:c r="J1760" s="24" t="str">
        <x:v>1.50</x:v>
      </x:c>
      <x:c r="K1760" s="24" t="str">
        <x:v>DuraVision Silver UV</x:v>
      </x:c>
      <x:c r="L1760" s="40" t="n">
        <x:v>3483</x:v>
      </x:c>
      <x:c r="M1760" s="24" t="str">
        <x:v>-6.00 a +5.50</x:v>
      </x:c>
      <x:c r="N1760" s="24" t="str">
        <x:v>-4.00</x:v>
      </x:c>
      <x:c r="O1760" s="24" t="str">
        <x:v>0.50 a 1.25</x:v>
      </x:c>
      <x:c r="P1760" s="24" t="str">
        <x:v>75</x:v>
      </x:c>
      <x:c r="Q1760" s="24"/>
      <x:c r="R1760" s="24"/>
      <x:c r="S1760" s="26" t="n">
        <x:v>46113</x:v>
      </x:c>
      <x:c r="T1760" s="26"/>
      <x:c r="U1760" s="24" t="str">
        <x:v>ATIVA/SEM FIM INFORMADO</x:v>
      </x:c>
      <x:c r="V1760" s="24" t="str">
        <x:v>Programa de Parcerias ZEISS — categoria Experts; Programa de Parcerias ZEISS</x:v>
      </x:c>
      <x:c r="W1760" s="24" t="n">
        <x:v>26</x:v>
      </x:c>
      <x:c r="X1760" s="24" t="str">
        <x:v>tabela_zeiss.pdf</x:v>
      </x:c>
      <x:c r="Y1760" s="24" t="str">
        <x:v>alta</x:v>
      </x:c>
      <x:c r="Z1760" s="24"/>
      <x:c r="AA1760" s="24" t="str">
        <x:v>ZEISS|Visão Simples Digital|Surfaçada|ClearMind Digital Individual 3|PhotoFusion X|1.5|1.50|DuraVision Silver UV|-6.00 a +5.50|-4.00|0.50 a 1.25|75|||26</x:v>
      </x:c>
    </x:row>
    <x:row r="1761">
      <x:c r="A1761" s="24" t="str">
        <x:v>ZS-641826820F31</x:v>
      </x:c>
      <x:c r="B1761" s="24" t="str">
        <x:v>SIM</x:v>
      </x:c>
      <x:c r="C1761" s="24" t="str">
        <x:v>DISPONÍVEL</x:v>
      </x:c>
      <x:c r="D1761" s="24" t="str">
        <x:v>ZEISS</x:v>
      </x:c>
      <x:c r="E1761" s="24" t="str">
        <x:v>Visão Simples Digital</x:v>
      </x:c>
      <x:c r="F1761" s="24" t="str">
        <x:v>Surfaçada</x:v>
      </x:c>
      <x:c r="G1761" s="24" t="str">
        <x:v>ClearMind Digital Individual 3</x:v>
      </x:c>
      <x:c r="H1761" s="24" t="str">
        <x:v>PhotoFusion X</x:v>
      </x:c>
      <x:c r="I1761" s="24" t="str">
        <x:v>1.5</x:v>
      </x:c>
      <x:c r="J1761" s="24" t="str">
        <x:v>1.50</x:v>
      </x:c>
      <x:c r="K1761" s="24" t="str">
        <x:v>DuraVision Chrome UV</x:v>
      </x:c>
      <x:c r="L1761" s="40" t="n">
        <x:v>2993</x:v>
      </x:c>
      <x:c r="M1761" s="24" t="str">
        <x:v>-6.00 a +5.50</x:v>
      </x:c>
      <x:c r="N1761" s="24" t="str">
        <x:v>-4.00</x:v>
      </x:c>
      <x:c r="O1761" s="24" t="str">
        <x:v>0.50 a 1.25</x:v>
      </x:c>
      <x:c r="P1761" s="24" t="str">
        <x:v>75</x:v>
      </x:c>
      <x:c r="Q1761" s="24"/>
      <x:c r="R1761" s="24"/>
      <x:c r="S1761" s="26" t="n">
        <x:v>46113</x:v>
      </x:c>
      <x:c r="T1761" s="26"/>
      <x:c r="U1761" s="24" t="str">
        <x:v>ATIVA/SEM FIM INFORMADO</x:v>
      </x:c>
      <x:c r="V1761" s="24" t="str">
        <x:v>Programa de Parcerias ZEISS — categoria Experts; Programa de Parcerias ZEISS</x:v>
      </x:c>
      <x:c r="W1761" s="24" t="n">
        <x:v>26</x:v>
      </x:c>
      <x:c r="X1761" s="24" t="str">
        <x:v>tabela_zeiss.pdf</x:v>
      </x:c>
      <x:c r="Y1761" s="24" t="str">
        <x:v>alta</x:v>
      </x:c>
      <x:c r="Z1761" s="24"/>
      <x:c r="AA1761" s="24" t="str">
        <x:v>ZEISS|Visão Simples Digital|Surfaçada|ClearMind Digital Individual 3|PhotoFusion X|1.5|1.50|DuraVision Chrome UV|-6.00 a +5.50|-4.00|0.50 a 1.25|75|||26</x:v>
      </x:c>
    </x:row>
    <x:row r="1762">
      <x:c r="A1762" s="24" t="str">
        <x:v>ZS-683F13527064</x:v>
      </x:c>
      <x:c r="B1762" s="24" t="str">
        <x:v>SIM</x:v>
      </x:c>
      <x:c r="C1762" s="24" t="str">
        <x:v>DISPONÍVEL</x:v>
      </x:c>
      <x:c r="D1762" s="24" t="str">
        <x:v>ZEISS</x:v>
      </x:c>
      <x:c r="E1762" s="24" t="str">
        <x:v>Visão Simples Digital</x:v>
      </x:c>
      <x:c r="F1762" s="24" t="str">
        <x:v>Surfaçada</x:v>
      </x:c>
      <x:c r="G1762" s="24" t="str">
        <x:v>ClearMind Digital Individual 3</x:v>
      </x:c>
      <x:c r="H1762" s="24" t="str">
        <x:v>PhotoFusion X</x:v>
      </x:c>
      <x:c r="I1762" s="24" t="str">
        <x:v>Poli</x:v>
      </x:c>
      <x:c r="J1762" s="24"/>
      <x:c r="K1762" s="24" t="str">
        <x:v>DuraVision Gold UV</x:v>
      </x:c>
      <x:c r="L1762" s="40" t="n">
        <x:v>4243</x:v>
      </x:c>
      <x:c r="M1762" s="24" t="str">
        <x:v>-10.00 a +6.00</x:v>
      </x:c>
      <x:c r="N1762" s="24" t="str">
        <x:v>-6.00</x:v>
      </x:c>
      <x:c r="O1762" s="24" t="str">
        <x:v>0.50 a 1.25</x:v>
      </x:c>
      <x:c r="P1762" s="24" t="str">
        <x:v>70</x:v>
      </x:c>
      <x:c r="Q1762" s="24"/>
      <x:c r="R1762" s="24"/>
      <x:c r="S1762" s="26" t="n">
        <x:v>46113</x:v>
      </x:c>
      <x:c r="T1762" s="26"/>
      <x:c r="U1762" s="24" t="str">
        <x:v>ATIVA/SEM FIM INFORMADO</x:v>
      </x:c>
      <x:c r="V1762" s="24" t="str">
        <x:v>Programa de Parcerias ZEISS — categoria Experts; Programa de Parcerias ZEISS</x:v>
      </x:c>
      <x:c r="W1762" s="24" t="n">
        <x:v>26</x:v>
      </x:c>
      <x:c r="X1762" s="24" t="str">
        <x:v>tabela_zeiss.pdf</x:v>
      </x:c>
      <x:c r="Y1762" s="24" t="str">
        <x:v>alta</x:v>
      </x:c>
      <x:c r="Z1762" s="24"/>
      <x:c r="AA1762" s="24" t="str">
        <x:v>ZEISS|Visão Simples Digital|Surfaçada|ClearMind Digital Individual 3|PhotoFusion X|Poli||DuraVision Gold UV|-10.00 a +6.00|-6.00|0.50 a 1.25|70|||26</x:v>
      </x:c>
    </x:row>
    <x:row r="1763">
      <x:c r="A1763" s="24" t="str">
        <x:v>ZS-F6C4F8A47BA3</x:v>
      </x:c>
      <x:c r="B1763" s="24" t="str">
        <x:v>SIM</x:v>
      </x:c>
      <x:c r="C1763" s="24" t="str">
        <x:v>DISPONÍVEL</x:v>
      </x:c>
      <x:c r="D1763" s="24" t="str">
        <x:v>ZEISS</x:v>
      </x:c>
      <x:c r="E1763" s="24" t="str">
        <x:v>Visão Simples Digital</x:v>
      </x:c>
      <x:c r="F1763" s="24" t="str">
        <x:v>Surfaçada</x:v>
      </x:c>
      <x:c r="G1763" s="24" t="str">
        <x:v>ClearMind Digital Individual 3</x:v>
      </x:c>
      <x:c r="H1763" s="24" t="str">
        <x:v>PhotoFusion X</x:v>
      </x:c>
      <x:c r="I1763" s="24" t="str">
        <x:v>Poli</x:v>
      </x:c>
      <x:c r="J1763" s="24"/>
      <x:c r="K1763" s="24" t="str">
        <x:v>DuraVision Platinum UV</x:v>
      </x:c>
      <x:c r="L1763" s="40" t="n">
        <x:v>4103</x:v>
      </x:c>
      <x:c r="M1763" s="24" t="str">
        <x:v>-10.00 a +6.00</x:v>
      </x:c>
      <x:c r="N1763" s="24" t="str">
        <x:v>-6.00</x:v>
      </x:c>
      <x:c r="O1763" s="24" t="str">
        <x:v>0.50 a 1.25</x:v>
      </x:c>
      <x:c r="P1763" s="24" t="str">
        <x:v>70</x:v>
      </x:c>
      <x:c r="Q1763" s="24"/>
      <x:c r="R1763" s="24"/>
      <x:c r="S1763" s="26" t="n">
        <x:v>46113</x:v>
      </x:c>
      <x:c r="T1763" s="26"/>
      <x:c r="U1763" s="24" t="str">
        <x:v>ATIVA/SEM FIM INFORMADO</x:v>
      </x:c>
      <x:c r="V1763" s="24" t="str">
        <x:v>Programa de Parcerias ZEISS — categoria Experts; Programa de Parcerias ZEISS</x:v>
      </x:c>
      <x:c r="W1763" s="24" t="n">
        <x:v>26</x:v>
      </x:c>
      <x:c r="X1763" s="24" t="str">
        <x:v>tabela_zeiss.pdf</x:v>
      </x:c>
      <x:c r="Y1763" s="24" t="str">
        <x:v>alta</x:v>
      </x:c>
      <x:c r="Z1763" s="24"/>
      <x:c r="AA1763" s="24" t="str">
        <x:v>ZEISS|Visão Simples Digital|Surfaçada|ClearMind Digital Individual 3|PhotoFusion X|Poli||DuraVision Platinum UV|-10.00 a +6.00|-6.00|0.50 a 1.25|70|||26</x:v>
      </x:c>
    </x:row>
    <x:row r="1764">
      <x:c r="A1764" s="24" t="str">
        <x:v>ZS-96AC2B1BB9A1</x:v>
      </x:c>
      <x:c r="B1764" s="24" t="str">
        <x:v>SIM</x:v>
      </x:c>
      <x:c r="C1764" s="24" t="str">
        <x:v>DISPONÍVEL</x:v>
      </x:c>
      <x:c r="D1764" s="24" t="str">
        <x:v>ZEISS</x:v>
      </x:c>
      <x:c r="E1764" s="24" t="str">
        <x:v>Visão Simples Digital</x:v>
      </x:c>
      <x:c r="F1764" s="24" t="str">
        <x:v>Surfaçada</x:v>
      </x:c>
      <x:c r="G1764" s="24" t="str">
        <x:v>ClearMind Digital Individual 3</x:v>
      </x:c>
      <x:c r="H1764" s="24" t="str">
        <x:v>PhotoFusion X</x:v>
      </x:c>
      <x:c r="I1764" s="24" t="str">
        <x:v>Poli</x:v>
      </x:c>
      <x:c r="J1764" s="24"/>
      <x:c r="K1764" s="24" t="str">
        <x:v>DuraVision Silver UV</x:v>
      </x:c>
      <x:c r="L1764" s="40" t="n">
        <x:v>3843</x:v>
      </x:c>
      <x:c r="M1764" s="24" t="str">
        <x:v>-10.00 a +6.00</x:v>
      </x:c>
      <x:c r="N1764" s="24" t="str">
        <x:v>-6.00</x:v>
      </x:c>
      <x:c r="O1764" s="24" t="str">
        <x:v>0.50 a 1.25</x:v>
      </x:c>
      <x:c r="P1764" s="24" t="str">
        <x:v>70</x:v>
      </x:c>
      <x:c r="Q1764" s="24"/>
      <x:c r="R1764" s="24"/>
      <x:c r="S1764" s="26" t="n">
        <x:v>46113</x:v>
      </x:c>
      <x:c r="T1764" s="26"/>
      <x:c r="U1764" s="24" t="str">
        <x:v>ATIVA/SEM FIM INFORMADO</x:v>
      </x:c>
      <x:c r="V1764" s="24" t="str">
        <x:v>Programa de Parcerias ZEISS — categoria Experts; Programa de Parcerias ZEISS</x:v>
      </x:c>
      <x:c r="W1764" s="24" t="n">
        <x:v>26</x:v>
      </x:c>
      <x:c r="X1764" s="24" t="str">
        <x:v>tabela_zeiss.pdf</x:v>
      </x:c>
      <x:c r="Y1764" s="24" t="str">
        <x:v>alta</x:v>
      </x:c>
      <x:c r="Z1764" s="24"/>
      <x:c r="AA1764" s="24" t="str">
        <x:v>ZEISS|Visão Simples Digital|Surfaçada|ClearMind Digital Individual 3|PhotoFusion X|Poli||DuraVision Silver UV|-10.00 a +6.00|-6.00|0.50 a 1.25|70|||26</x:v>
      </x:c>
    </x:row>
    <x:row r="1765">
      <x:c r="A1765" s="24" t="str">
        <x:v>ZS-D94276804208</x:v>
      </x:c>
      <x:c r="B1765" s="24" t="str">
        <x:v>SIM</x:v>
      </x:c>
      <x:c r="C1765" s="24" t="str">
        <x:v>DISPONÍVEL</x:v>
      </x:c>
      <x:c r="D1765" s="24" t="str">
        <x:v>ZEISS</x:v>
      </x:c>
      <x:c r="E1765" s="24" t="str">
        <x:v>Visão Simples Digital</x:v>
      </x:c>
      <x:c r="F1765" s="24" t="str">
        <x:v>Surfaçada</x:v>
      </x:c>
      <x:c r="G1765" s="24" t="str">
        <x:v>ClearMind Digital Individual 3</x:v>
      </x:c>
      <x:c r="H1765" s="24" t="str">
        <x:v>PhotoFusion X</x:v>
      </x:c>
      <x:c r="I1765" s="24" t="str">
        <x:v>Poli</x:v>
      </x:c>
      <x:c r="J1765" s="24"/>
      <x:c r="K1765" s="24" t="str">
        <x:v>DuraVision Chrome UV</x:v>
      </x:c>
      <x:c r="L1765" s="40" t="n">
        <x:v>3353</x:v>
      </x:c>
      <x:c r="M1765" s="24" t="str">
        <x:v>-10.00 a +6.00</x:v>
      </x:c>
      <x:c r="N1765" s="24" t="str">
        <x:v>-6.00</x:v>
      </x:c>
      <x:c r="O1765" s="24" t="str">
        <x:v>0.50 a 1.25</x:v>
      </x:c>
      <x:c r="P1765" s="24" t="str">
        <x:v>70</x:v>
      </x:c>
      <x:c r="Q1765" s="24"/>
      <x:c r="R1765" s="24"/>
      <x:c r="S1765" s="26" t="n">
        <x:v>46113</x:v>
      </x:c>
      <x:c r="T1765" s="26"/>
      <x:c r="U1765" s="24" t="str">
        <x:v>ATIVA/SEM FIM INFORMADO</x:v>
      </x:c>
      <x:c r="V1765" s="24" t="str">
        <x:v>Programa de Parcerias ZEISS — categoria Experts; Programa de Parcerias ZEISS</x:v>
      </x:c>
      <x:c r="W1765" s="24" t="n">
        <x:v>26</x:v>
      </x:c>
      <x:c r="X1765" s="24" t="str">
        <x:v>tabela_zeiss.pdf</x:v>
      </x:c>
      <x:c r="Y1765" s="24" t="str">
        <x:v>alta</x:v>
      </x:c>
      <x:c r="Z1765" s="24"/>
      <x:c r="AA1765" s="24" t="str">
        <x:v>ZEISS|Visão Simples Digital|Surfaçada|ClearMind Digital Individual 3|PhotoFusion X|Poli||DuraVision Chrome UV|-10.00 a +6.00|-6.00|0.50 a 1.25|70|||26</x:v>
      </x:c>
    </x:row>
    <x:row r="1766">
      <x:c r="A1766" s="24" t="str">
        <x:v>ZS-8A9D71944EB7</x:v>
      </x:c>
      <x:c r="B1766" s="24" t="str">
        <x:v>SIM</x:v>
      </x:c>
      <x:c r="C1766" s="24" t="str">
        <x:v>DISPONÍVEL</x:v>
      </x:c>
      <x:c r="D1766" s="24" t="str">
        <x:v>ZEISS</x:v>
      </x:c>
      <x:c r="E1766" s="24" t="str">
        <x:v>Visão Simples Digital</x:v>
      </x:c>
      <x:c r="F1766" s="24" t="str">
        <x:v>Surfaçada</x:v>
      </x:c>
      <x:c r="G1766" s="24" t="str">
        <x:v>ClearMind Digital Individual 3</x:v>
      </x:c>
      <x:c r="H1766" s="24" t="str">
        <x:v>PhotoFusion X</x:v>
      </x:c>
      <x:c r="I1766" s="24" t="str">
        <x:v>1.6</x:v>
      </x:c>
      <x:c r="J1766" s="24" t="str">
        <x:v>1.60</x:v>
      </x:c>
      <x:c r="K1766" s="24" t="str">
        <x:v>DuraVision Gold UV</x:v>
      </x:c>
      <x:c r="L1766" s="40" t="n">
        <x:v>4463</x:v>
      </x:c>
      <x:c r="M1766" s="24" t="str">
        <x:v>-7.25 a +6.00</x:v>
      </x:c>
      <x:c r="N1766" s="24" t="str">
        <x:v>-6.00</x:v>
      </x:c>
      <x:c r="O1766" s="24" t="str">
        <x:v>0.50 a 1.25</x:v>
      </x:c>
      <x:c r="P1766" s="24" t="str">
        <x:v>75</x:v>
      </x:c>
      <x:c r="Q1766" s="24"/>
      <x:c r="R1766" s="24"/>
      <x:c r="S1766" s="26" t="n">
        <x:v>46113</x:v>
      </x:c>
      <x:c r="T1766" s="26"/>
      <x:c r="U1766" s="24" t="str">
        <x:v>ATIVA/SEM FIM INFORMADO</x:v>
      </x:c>
      <x:c r="V1766" s="24" t="str">
        <x:v>Programa de Parcerias ZEISS — categoria Experts; Programa de Parcerias ZEISS</x:v>
      </x:c>
      <x:c r="W1766" s="24" t="n">
        <x:v>26</x:v>
      </x:c>
      <x:c r="X1766" s="24" t="str">
        <x:v>tabela_zeiss.pdf</x:v>
      </x:c>
      <x:c r="Y1766" s="24" t="str">
        <x:v>alta</x:v>
      </x:c>
      <x:c r="Z1766" s="24"/>
      <x:c r="AA1766" s="24" t="str">
        <x:v>ZEISS|Visão Simples Digital|Surfaçada|ClearMind Digital Individual 3|PhotoFusion X|1.6|1.60|DuraVision Gold UV|-7.25 a +6.00|-6.00|0.50 a 1.25|75|||26</x:v>
      </x:c>
    </x:row>
    <x:row r="1767">
      <x:c r="A1767" s="24" t="str">
        <x:v>ZS-83C5EBD9FD07</x:v>
      </x:c>
      <x:c r="B1767" s="24" t="str">
        <x:v>SIM</x:v>
      </x:c>
      <x:c r="C1767" s="24" t="str">
        <x:v>DISPONÍVEL</x:v>
      </x:c>
      <x:c r="D1767" s="24" t="str">
        <x:v>ZEISS</x:v>
      </x:c>
      <x:c r="E1767" s="24" t="str">
        <x:v>Visão Simples Digital</x:v>
      </x:c>
      <x:c r="F1767" s="24" t="str">
        <x:v>Surfaçada</x:v>
      </x:c>
      <x:c r="G1767" s="24" t="str">
        <x:v>ClearMind Digital Individual 3</x:v>
      </x:c>
      <x:c r="H1767" s="24" t="str">
        <x:v>PhotoFusion X</x:v>
      </x:c>
      <x:c r="I1767" s="24" t="str">
        <x:v>1.6</x:v>
      </x:c>
      <x:c r="J1767" s="24" t="str">
        <x:v>1.60</x:v>
      </x:c>
      <x:c r="K1767" s="24" t="str">
        <x:v>DURAVISION® ANTIVÍRUS PLATINUM UV</x:v>
      </x:c>
      <x:c r="L1767" s="40" t="n">
        <x:v>4323</x:v>
      </x:c>
      <x:c r="M1767" s="24" t="str">
        <x:v>-7.25 a +6.00</x:v>
      </x:c>
      <x:c r="N1767" s="24" t="str">
        <x:v>-6.00</x:v>
      </x:c>
      <x:c r="O1767" s="24" t="str">
        <x:v>0.50 a 1.25</x:v>
      </x:c>
      <x:c r="P1767" s="24" t="str">
        <x:v>75</x:v>
      </x:c>
      <x:c r="Q1767" s="24"/>
      <x:c r="R1767" s="24"/>
      <x:c r="S1767" s="26" t="n">
        <x:v>46113</x:v>
      </x:c>
      <x:c r="T1767" s="26"/>
      <x:c r="U1767" s="24" t="str">
        <x:v>ATIVA/SEM FIM INFORMADO</x:v>
      </x:c>
      <x:c r="V1767" s="24" t="str">
        <x:v>Programa de Parcerias ZEISS — categoria Experts; Programa de Parcerias ZEISS</x:v>
      </x:c>
      <x:c r="W1767" s="24" t="n">
        <x:v>26</x:v>
      </x:c>
      <x:c r="X1767" s="24" t="str">
        <x:v>tabela_zeiss.pdf</x:v>
      </x:c>
      <x:c r="Y1767" s="24" t="str">
        <x:v>alta</x:v>
      </x:c>
      <x:c r="Z1767" s="24"/>
      <x:c r="AA1767" s="24" t="str">
        <x:v>ZEISS|Visão Simples Digital|Surfaçada|ClearMind Digital Individual 3|PhotoFusion X|1.6|1.60|DURAVISION® ANTIVÍRUS PLATINUM UV|-7.25 a +6.00|-6.00|0.50 a 1.25|75|||26</x:v>
      </x:c>
    </x:row>
    <x:row r="1768">
      <x:c r="A1768" s="24" t="str">
        <x:v>ZS-E5626EFA89C7</x:v>
      </x:c>
      <x:c r="B1768" s="24" t="str">
        <x:v>SIM</x:v>
      </x:c>
      <x:c r="C1768" s="24" t="str">
        <x:v>DISPONÍVEL</x:v>
      </x:c>
      <x:c r="D1768" s="24" t="str">
        <x:v>ZEISS</x:v>
      </x:c>
      <x:c r="E1768" s="24" t="str">
        <x:v>Visão Simples Digital</x:v>
      </x:c>
      <x:c r="F1768" s="24" t="str">
        <x:v>Surfaçada</x:v>
      </x:c>
      <x:c r="G1768" s="24" t="str">
        <x:v>ClearMind Digital Individual 3</x:v>
      </x:c>
      <x:c r="H1768" s="24" t="str">
        <x:v>PhotoFusion X</x:v>
      </x:c>
      <x:c r="I1768" s="24" t="str">
        <x:v>1.6</x:v>
      </x:c>
      <x:c r="J1768" s="24" t="str">
        <x:v>1.60</x:v>
      </x:c>
      <x:c r="K1768" s="24" t="str">
        <x:v>DuraVision Platinum UV</x:v>
      </x:c>
      <x:c r="L1768" s="40" t="n">
        <x:v>4323</x:v>
      </x:c>
      <x:c r="M1768" s="24" t="str">
        <x:v>-7.25 a +6.00</x:v>
      </x:c>
      <x:c r="N1768" s="24" t="str">
        <x:v>-6.00</x:v>
      </x:c>
      <x:c r="O1768" s="24" t="str">
        <x:v>0.50 a 1.25</x:v>
      </x:c>
      <x:c r="P1768" s="24" t="str">
        <x:v>75</x:v>
      </x:c>
      <x:c r="Q1768" s="24"/>
      <x:c r="R1768" s="24"/>
      <x:c r="S1768" s="26" t="n">
        <x:v>46113</x:v>
      </x:c>
      <x:c r="T1768" s="26"/>
      <x:c r="U1768" s="24" t="str">
        <x:v>ATIVA/SEM FIM INFORMADO</x:v>
      </x:c>
      <x:c r="V1768" s="24" t="str">
        <x:v>Programa de Parcerias ZEISS — categoria Experts; Programa de Parcerias ZEISS</x:v>
      </x:c>
      <x:c r="W1768" s="24" t="n">
        <x:v>26</x:v>
      </x:c>
      <x:c r="X1768" s="24" t="str">
        <x:v>tabela_zeiss.pdf</x:v>
      </x:c>
      <x:c r="Y1768" s="24" t="str">
        <x:v>alta</x:v>
      </x:c>
      <x:c r="Z1768" s="24"/>
      <x:c r="AA1768" s="24" t="str">
        <x:v>ZEISS|Visão Simples Digital|Surfaçada|ClearMind Digital Individual 3|PhotoFusion X|1.6|1.60|DuraVision Platinum UV|-7.25 a +6.00|-6.00|0.50 a 1.25|75|||26</x:v>
      </x:c>
    </x:row>
    <x:row r="1769">
      <x:c r="A1769" s="24" t="str">
        <x:v>ZS-8A25CBD10B45</x:v>
      </x:c>
      <x:c r="B1769" s="24" t="str">
        <x:v>SIM</x:v>
      </x:c>
      <x:c r="C1769" s="24" t="str">
        <x:v>DISPONÍVEL</x:v>
      </x:c>
      <x:c r="D1769" s="24" t="str">
        <x:v>ZEISS</x:v>
      </x:c>
      <x:c r="E1769" s="24" t="str">
        <x:v>Visão Simples Digital</x:v>
      </x:c>
      <x:c r="F1769" s="24" t="str">
        <x:v>Surfaçada</x:v>
      </x:c>
      <x:c r="G1769" s="24" t="str">
        <x:v>ClearMind Digital Individual 3</x:v>
      </x:c>
      <x:c r="H1769" s="24" t="str">
        <x:v>PhotoFusion X</x:v>
      </x:c>
      <x:c r="I1769" s="24" t="str">
        <x:v>1.6</x:v>
      </x:c>
      <x:c r="J1769" s="24" t="str">
        <x:v>1.60</x:v>
      </x:c>
      <x:c r="K1769" s="24" t="str">
        <x:v>DuraVision Silver UV</x:v>
      </x:c>
      <x:c r="L1769" s="40" t="n">
        <x:v>4063</x:v>
      </x:c>
      <x:c r="M1769" s="24" t="str">
        <x:v>-7.25 a +6.00</x:v>
      </x:c>
      <x:c r="N1769" s="24" t="str">
        <x:v>-6.00</x:v>
      </x:c>
      <x:c r="O1769" s="24" t="str">
        <x:v>0.50 a 1.25</x:v>
      </x:c>
      <x:c r="P1769" s="24" t="str">
        <x:v>75</x:v>
      </x:c>
      <x:c r="Q1769" s="24"/>
      <x:c r="R1769" s="24"/>
      <x:c r="S1769" s="26" t="n">
        <x:v>46113</x:v>
      </x:c>
      <x:c r="T1769" s="26"/>
      <x:c r="U1769" s="24" t="str">
        <x:v>ATIVA/SEM FIM INFORMADO</x:v>
      </x:c>
      <x:c r="V1769" s="24" t="str">
        <x:v>Programa de Parcerias ZEISS — categoria Experts; Programa de Parcerias ZEISS</x:v>
      </x:c>
      <x:c r="W1769" s="24" t="n">
        <x:v>26</x:v>
      </x:c>
      <x:c r="X1769" s="24" t="str">
        <x:v>tabela_zeiss.pdf</x:v>
      </x:c>
      <x:c r="Y1769" s="24" t="str">
        <x:v>alta</x:v>
      </x:c>
      <x:c r="Z1769" s="24"/>
      <x:c r="AA1769" s="24" t="str">
        <x:v>ZEISS|Visão Simples Digital|Surfaçada|ClearMind Digital Individual 3|PhotoFusion X|1.6|1.60|DuraVision Silver UV|-7.25 a +6.00|-6.00|0.50 a 1.25|75|||26</x:v>
      </x:c>
    </x:row>
    <x:row r="1770">
      <x:c r="A1770" s="24" t="str">
        <x:v>ZS-0E1460EE8CB7</x:v>
      </x:c>
      <x:c r="B1770" s="24" t="str">
        <x:v>SIM</x:v>
      </x:c>
      <x:c r="C1770" s="24" t="str">
        <x:v>DISPONÍVEL</x:v>
      </x:c>
      <x:c r="D1770" s="24" t="str">
        <x:v>ZEISS</x:v>
      </x:c>
      <x:c r="E1770" s="24" t="str">
        <x:v>Visão Simples Digital</x:v>
      </x:c>
      <x:c r="F1770" s="24" t="str">
        <x:v>Surfaçada</x:v>
      </x:c>
      <x:c r="G1770" s="24" t="str">
        <x:v>ClearMind Digital Individual 3</x:v>
      </x:c>
      <x:c r="H1770" s="24" t="str">
        <x:v>PhotoFusion X</x:v>
      </x:c>
      <x:c r="I1770" s="24" t="str">
        <x:v>1.6</x:v>
      </x:c>
      <x:c r="J1770" s="24" t="str">
        <x:v>1.60</x:v>
      </x:c>
      <x:c r="K1770" s="24" t="str">
        <x:v>DuraVision Chrome UV</x:v>
      </x:c>
      <x:c r="L1770" s="40" t="n">
        <x:v>3573</x:v>
      </x:c>
      <x:c r="M1770" s="24" t="str">
        <x:v>-7.25 a +6.00</x:v>
      </x:c>
      <x:c r="N1770" s="24" t="str">
        <x:v>-6.00</x:v>
      </x:c>
      <x:c r="O1770" s="24" t="str">
        <x:v>0.50 a 1.25</x:v>
      </x:c>
      <x:c r="P1770" s="24" t="str">
        <x:v>75</x:v>
      </x:c>
      <x:c r="Q1770" s="24"/>
      <x:c r="R1770" s="24"/>
      <x:c r="S1770" s="26" t="n">
        <x:v>46113</x:v>
      </x:c>
      <x:c r="T1770" s="26"/>
      <x:c r="U1770" s="24" t="str">
        <x:v>ATIVA/SEM FIM INFORMADO</x:v>
      </x:c>
      <x:c r="V1770" s="24" t="str">
        <x:v>Programa de Parcerias ZEISS — categoria Experts; Programa de Parcerias ZEISS</x:v>
      </x:c>
      <x:c r="W1770" s="24" t="n">
        <x:v>26</x:v>
      </x:c>
      <x:c r="X1770" s="24" t="str">
        <x:v>tabela_zeiss.pdf</x:v>
      </x:c>
      <x:c r="Y1770" s="24" t="str">
        <x:v>alta</x:v>
      </x:c>
      <x:c r="Z1770" s="24"/>
      <x:c r="AA1770" s="24" t="str">
        <x:v>ZEISS|Visão Simples Digital|Surfaçada|ClearMind Digital Individual 3|PhotoFusion X|1.6|1.60|DuraVision Chrome UV|-7.25 a +6.00|-6.00|0.50 a 1.25|75|||26</x:v>
      </x:c>
    </x:row>
    <x:row r="1771">
      <x:c r="A1771" s="24" t="str">
        <x:v>ZS-473315B5AF35</x:v>
      </x:c>
      <x:c r="B1771" s="24" t="str">
        <x:v>SIM</x:v>
      </x:c>
      <x:c r="C1771" s="24" t="str">
        <x:v>DISPONÍVEL</x:v>
      </x:c>
      <x:c r="D1771" s="24" t="str">
        <x:v>ZEISS</x:v>
      </x:c>
      <x:c r="E1771" s="24" t="str">
        <x:v>Visão Simples Digital</x:v>
      </x:c>
      <x:c r="F1771" s="24" t="str">
        <x:v>Surfaçada</x:v>
      </x:c>
      <x:c r="G1771" s="24" t="str">
        <x:v>ClearMind Digital Individual 3</x:v>
      </x:c>
      <x:c r="H1771" s="24" t="str">
        <x:v>PhotoFusion X</x:v>
      </x:c>
      <x:c r="I1771" s="24" t="str">
        <x:v>1.67</x:v>
      </x:c>
      <x:c r="J1771" s="24" t="str">
        <x:v>1.67</x:v>
      </x:c>
      <x:c r="K1771" s="24" t="str">
        <x:v>DuraVision Gold UV</x:v>
      </x:c>
      <x:c r="L1771" s="40" t="n">
        <x:v>5763</x:v>
      </x:c>
      <x:c r="M1771" s="24" t="str">
        <x:v>-8.00 a +8.00</x:v>
      </x:c>
      <x:c r="N1771" s="24" t="str">
        <x:v>-6.00</x:v>
      </x:c>
      <x:c r="O1771" s="24" t="str">
        <x:v>0.50 a 1.25</x:v>
      </x:c>
      <x:c r="P1771" s="24" t="str">
        <x:v>70</x:v>
      </x:c>
      <x:c r="Q1771" s="24"/>
      <x:c r="R1771" s="24"/>
      <x:c r="S1771" s="26" t="n">
        <x:v>46113</x:v>
      </x:c>
      <x:c r="T1771" s="26"/>
      <x:c r="U1771" s="24" t="str">
        <x:v>ATIVA/SEM FIM INFORMADO</x:v>
      </x:c>
      <x:c r="V1771" s="24" t="str">
        <x:v>Programa de Parcerias ZEISS — categoria Experts; Programa de Parcerias ZEISS</x:v>
      </x:c>
      <x:c r="W1771" s="24" t="n">
        <x:v>26</x:v>
      </x:c>
      <x:c r="X1771" s="24" t="str">
        <x:v>tabela_zeiss.pdf</x:v>
      </x:c>
      <x:c r="Y1771" s="24" t="str">
        <x:v>alta</x:v>
      </x:c>
      <x:c r="Z1771" s="24"/>
      <x:c r="AA1771" s="24" t="str">
        <x:v>ZEISS|Visão Simples Digital|Surfaçada|ClearMind Digital Individual 3|PhotoFusion X|1.67|1.67|DuraVision Gold UV|-8.00 a +8.00|-6.00|0.50 a 1.25|70|||26</x:v>
      </x:c>
    </x:row>
    <x:row r="1772">
      <x:c r="A1772" s="24" t="str">
        <x:v>ZS-E391F68AB8ED</x:v>
      </x:c>
      <x:c r="B1772" s="24" t="str">
        <x:v>SIM</x:v>
      </x:c>
      <x:c r="C1772" s="24" t="str">
        <x:v>DISPONÍVEL</x:v>
      </x:c>
      <x:c r="D1772" s="24" t="str">
        <x:v>ZEISS</x:v>
      </x:c>
      <x:c r="E1772" s="24" t="str">
        <x:v>Visão Simples Digital</x:v>
      </x:c>
      <x:c r="F1772" s="24" t="str">
        <x:v>Surfaçada</x:v>
      </x:c>
      <x:c r="G1772" s="24" t="str">
        <x:v>ClearMind Digital Individual 3</x:v>
      </x:c>
      <x:c r="H1772" s="24" t="str">
        <x:v>PhotoFusion X</x:v>
      </x:c>
      <x:c r="I1772" s="24" t="str">
        <x:v>1.67</x:v>
      </x:c>
      <x:c r="J1772" s="24" t="str">
        <x:v>1.67</x:v>
      </x:c>
      <x:c r="K1772" s="24" t="str">
        <x:v>DURAVISION® ANTIVÍRUS PLATINUM UV</x:v>
      </x:c>
      <x:c r="L1772" s="40" t="n">
        <x:v>5623</x:v>
      </x:c>
      <x:c r="M1772" s="24" t="str">
        <x:v>-8.00 a +8.00</x:v>
      </x:c>
      <x:c r="N1772" s="24" t="str">
        <x:v>-6.00</x:v>
      </x:c>
      <x:c r="O1772" s="24" t="str">
        <x:v>0.50 a 1.25</x:v>
      </x:c>
      <x:c r="P1772" s="24" t="str">
        <x:v>70</x:v>
      </x:c>
      <x:c r="Q1772" s="24"/>
      <x:c r="R1772" s="24"/>
      <x:c r="S1772" s="26" t="n">
        <x:v>46113</x:v>
      </x:c>
      <x:c r="T1772" s="26"/>
      <x:c r="U1772" s="24" t="str">
        <x:v>ATIVA/SEM FIM INFORMADO</x:v>
      </x:c>
      <x:c r="V1772" s="24" t="str">
        <x:v>Programa de Parcerias ZEISS — categoria Experts; Programa de Parcerias ZEISS</x:v>
      </x:c>
      <x:c r="W1772" s="24" t="n">
        <x:v>26</x:v>
      </x:c>
      <x:c r="X1772" s="24" t="str">
        <x:v>tabela_zeiss.pdf</x:v>
      </x:c>
      <x:c r="Y1772" s="24" t="str">
        <x:v>alta</x:v>
      </x:c>
      <x:c r="Z1772" s="24"/>
      <x:c r="AA1772" s="24" t="str">
        <x:v>ZEISS|Visão Simples Digital|Surfaçada|ClearMind Digital Individual 3|PhotoFusion X|1.67|1.67|DURAVISION® ANTIVÍRUS PLATINUM UV|-8.00 a +8.00|-6.00|0.50 a 1.25|70|||26</x:v>
      </x:c>
    </x:row>
    <x:row r="1773">
      <x:c r="A1773" s="24" t="str">
        <x:v>ZS-8ED1EB58C602</x:v>
      </x:c>
      <x:c r="B1773" s="24" t="str">
        <x:v>SIM</x:v>
      </x:c>
      <x:c r="C1773" s="24" t="str">
        <x:v>DISPONÍVEL</x:v>
      </x:c>
      <x:c r="D1773" s="24" t="str">
        <x:v>ZEISS</x:v>
      </x:c>
      <x:c r="E1773" s="24" t="str">
        <x:v>Visão Simples Digital</x:v>
      </x:c>
      <x:c r="F1773" s="24" t="str">
        <x:v>Surfaçada</x:v>
      </x:c>
      <x:c r="G1773" s="24" t="str">
        <x:v>ClearMind Digital Individual 3</x:v>
      </x:c>
      <x:c r="H1773" s="24" t="str">
        <x:v>PhotoFusion X</x:v>
      </x:c>
      <x:c r="I1773" s="24" t="str">
        <x:v>1.67</x:v>
      </x:c>
      <x:c r="J1773" s="24" t="str">
        <x:v>1.67</x:v>
      </x:c>
      <x:c r="K1773" s="24" t="str">
        <x:v>DuraVision Platinum UV</x:v>
      </x:c>
      <x:c r="L1773" s="40" t="n">
        <x:v>5623</x:v>
      </x:c>
      <x:c r="M1773" s="24" t="str">
        <x:v>-8.00 a +8.00</x:v>
      </x:c>
      <x:c r="N1773" s="24" t="str">
        <x:v>-6.00</x:v>
      </x:c>
      <x:c r="O1773" s="24" t="str">
        <x:v>0.50 a 1.25</x:v>
      </x:c>
      <x:c r="P1773" s="24" t="str">
        <x:v>70</x:v>
      </x:c>
      <x:c r="Q1773" s="24"/>
      <x:c r="R1773" s="24"/>
      <x:c r="S1773" s="26" t="n">
        <x:v>46113</x:v>
      </x:c>
      <x:c r="T1773" s="26"/>
      <x:c r="U1773" s="24" t="str">
        <x:v>ATIVA/SEM FIM INFORMADO</x:v>
      </x:c>
      <x:c r="V1773" s="24" t="str">
        <x:v>Programa de Parcerias ZEISS — categoria Experts; Programa de Parcerias ZEISS</x:v>
      </x:c>
      <x:c r="W1773" s="24" t="n">
        <x:v>26</x:v>
      </x:c>
      <x:c r="X1773" s="24" t="str">
        <x:v>tabela_zeiss.pdf</x:v>
      </x:c>
      <x:c r="Y1773" s="24" t="str">
        <x:v>alta</x:v>
      </x:c>
      <x:c r="Z1773" s="24"/>
      <x:c r="AA1773" s="24" t="str">
        <x:v>ZEISS|Visão Simples Digital|Surfaçada|ClearMind Digital Individual 3|PhotoFusion X|1.67|1.67|DuraVision Platinum UV|-8.00 a +8.00|-6.00|0.50 a 1.25|70|||26</x:v>
      </x:c>
    </x:row>
    <x:row r="1774">
      <x:c r="A1774" s="24" t="str">
        <x:v>ZS-4FD927E3C271</x:v>
      </x:c>
      <x:c r="B1774" s="24" t="str">
        <x:v>SIM</x:v>
      </x:c>
      <x:c r="C1774" s="24" t="str">
        <x:v>DISPONÍVEL</x:v>
      </x:c>
      <x:c r="D1774" s="24" t="str">
        <x:v>ZEISS</x:v>
      </x:c>
      <x:c r="E1774" s="24" t="str">
        <x:v>Visão Simples Digital</x:v>
      </x:c>
      <x:c r="F1774" s="24" t="str">
        <x:v>Surfaçada</x:v>
      </x:c>
      <x:c r="G1774" s="24" t="str">
        <x:v>ClearMind Digital Individual 3</x:v>
      </x:c>
      <x:c r="H1774" s="24" t="str">
        <x:v>PhotoFusion X</x:v>
      </x:c>
      <x:c r="I1774" s="24" t="str">
        <x:v>1.67</x:v>
      </x:c>
      <x:c r="J1774" s="24" t="str">
        <x:v>1.67</x:v>
      </x:c>
      <x:c r="K1774" s="24" t="str">
        <x:v>DuraVision Silver UV</x:v>
      </x:c>
      <x:c r="L1774" s="40" t="n">
        <x:v>5363</x:v>
      </x:c>
      <x:c r="M1774" s="24" t="str">
        <x:v>-8.00 a +8.00</x:v>
      </x:c>
      <x:c r="N1774" s="24" t="str">
        <x:v>-6.00</x:v>
      </x:c>
      <x:c r="O1774" s="24" t="str">
        <x:v>0.50 a 1.25</x:v>
      </x:c>
      <x:c r="P1774" s="24" t="str">
        <x:v>70</x:v>
      </x:c>
      <x:c r="Q1774" s="24"/>
      <x:c r="R1774" s="24"/>
      <x:c r="S1774" s="26" t="n">
        <x:v>46113</x:v>
      </x:c>
      <x:c r="T1774" s="26"/>
      <x:c r="U1774" s="24" t="str">
        <x:v>ATIVA/SEM FIM INFORMADO</x:v>
      </x:c>
      <x:c r="V1774" s="24" t="str">
        <x:v>Programa de Parcerias ZEISS — categoria Experts; Programa de Parcerias ZEISS</x:v>
      </x:c>
      <x:c r="W1774" s="24" t="n">
        <x:v>26</x:v>
      </x:c>
      <x:c r="X1774" s="24" t="str">
        <x:v>tabela_zeiss.pdf</x:v>
      </x:c>
      <x:c r="Y1774" s="24" t="str">
        <x:v>alta</x:v>
      </x:c>
      <x:c r="Z1774" s="24"/>
      <x:c r="AA1774" s="24" t="str">
        <x:v>ZEISS|Visão Simples Digital|Surfaçada|ClearMind Digital Individual 3|PhotoFusion X|1.67|1.67|DuraVision Silver UV|-8.00 a +8.00|-6.00|0.50 a 1.25|70|||26</x:v>
      </x:c>
    </x:row>
    <x:row r="1775">
      <x:c r="A1775" s="24" t="str">
        <x:v>ZS-8DBB25DB86DF</x:v>
      </x:c>
      <x:c r="B1775" s="24" t="str">
        <x:v>SIM</x:v>
      </x:c>
      <x:c r="C1775" s="24" t="str">
        <x:v>DISPONÍVEL</x:v>
      </x:c>
      <x:c r="D1775" s="24" t="str">
        <x:v>ZEISS</x:v>
      </x:c>
      <x:c r="E1775" s="24" t="str">
        <x:v>Visão Simples Digital</x:v>
      </x:c>
      <x:c r="F1775" s="24" t="str">
        <x:v>Surfaçada</x:v>
      </x:c>
      <x:c r="G1775" s="24" t="str">
        <x:v>ClearMind Digital Individual 3</x:v>
      </x:c>
      <x:c r="H1775" s="24" t="str">
        <x:v>PhotoFusion X</x:v>
      </x:c>
      <x:c r="I1775" s="24" t="str">
        <x:v>1.67</x:v>
      </x:c>
      <x:c r="J1775" s="24" t="str">
        <x:v>1.67</x:v>
      </x:c>
      <x:c r="K1775" s="24" t="str">
        <x:v>DuraVision Chrome UV</x:v>
      </x:c>
      <x:c r="L1775" s="40" t="n">
        <x:v>4873</x:v>
      </x:c>
      <x:c r="M1775" s="24" t="str">
        <x:v>-8.00 a +8.00</x:v>
      </x:c>
      <x:c r="N1775" s="24" t="str">
        <x:v>-6.00</x:v>
      </x:c>
      <x:c r="O1775" s="24" t="str">
        <x:v>0.50 a 1.25</x:v>
      </x:c>
      <x:c r="P1775" s="24" t="str">
        <x:v>70</x:v>
      </x:c>
      <x:c r="Q1775" s="24"/>
      <x:c r="R1775" s="24"/>
      <x:c r="S1775" s="26" t="n">
        <x:v>46113</x:v>
      </x:c>
      <x:c r="T1775" s="26"/>
      <x:c r="U1775" s="24" t="str">
        <x:v>ATIVA/SEM FIM INFORMADO</x:v>
      </x:c>
      <x:c r="V1775" s="24" t="str">
        <x:v>Programa de Parcerias ZEISS — categoria Experts; Programa de Parcerias ZEISS</x:v>
      </x:c>
      <x:c r="W1775" s="24" t="n">
        <x:v>26</x:v>
      </x:c>
      <x:c r="X1775" s="24" t="str">
        <x:v>tabela_zeiss.pdf</x:v>
      </x:c>
      <x:c r="Y1775" s="24" t="str">
        <x:v>alta</x:v>
      </x:c>
      <x:c r="Z1775" s="24"/>
      <x:c r="AA1775" s="24" t="str">
        <x:v>ZEISS|Visão Simples Digital|Surfaçada|ClearMind Digital Individual 3|PhotoFusion X|1.67|1.67|DuraVision Chrome UV|-8.00 a +8.00|-6.00|0.50 a 1.25|70|||26</x:v>
      </x:c>
    </x:row>
    <x:row r="1776">
      <x:c r="A1776" s="24" t="str">
        <x:v>ZS-89CAC813DC74</x:v>
      </x:c>
      <x:c r="B1776" s="24" t="str">
        <x:v>SIM</x:v>
      </x:c>
      <x:c r="C1776" s="24" t="str">
        <x:v>DISPONÍVEL</x:v>
      </x:c>
      <x:c r="D1776" s="24" t="str">
        <x:v>ZEISS</x:v>
      </x:c>
      <x:c r="E1776" s="24" t="str">
        <x:v>Visão Simples Digital</x:v>
      </x:c>
      <x:c r="F1776" s="24" t="str">
        <x:v>Surfaçada</x:v>
      </x:c>
      <x:c r="G1776" s="24" t="str">
        <x:v>ClearMind Digital Individual 3</x:v>
      </x:c>
      <x:c r="H1776" s="24" t="str">
        <x:v>PhotoFusion X Extra Dark Cinza</x:v>
      </x:c>
      <x:c r="I1776" s="24" t="str">
        <x:v>1.5</x:v>
      </x:c>
      <x:c r="J1776" s="24" t="str">
        <x:v>1.50</x:v>
      </x:c>
      <x:c r="K1776" s="24" t="str">
        <x:v>DuraVision Gold UV</x:v>
      </x:c>
      <x:c r="L1776" s="40" t="n">
        <x:v>3933</x:v>
      </x:c>
      <x:c r="M1776" s="24" t="str">
        <x:v>-6.00 a +5.50</x:v>
      </x:c>
      <x:c r="N1776" s="24" t="str">
        <x:v>-4.00</x:v>
      </x:c>
      <x:c r="O1776" s="24" t="str">
        <x:v>0.50 a 1.25</x:v>
      </x:c>
      <x:c r="P1776" s="24" t="str">
        <x:v>75</x:v>
      </x:c>
      <x:c r="Q1776" s="24"/>
      <x:c r="R1776" s="24"/>
      <x:c r="S1776" s="26" t="n">
        <x:v>46113</x:v>
      </x:c>
      <x:c r="T1776" s="26"/>
      <x:c r="U1776" s="24" t="str">
        <x:v>ATIVA/SEM FIM INFORMADO</x:v>
      </x:c>
      <x:c r="V1776" s="24" t="str">
        <x:v>Programa de Parcerias ZEISS — categoria Experts; Programa de Parcerias ZEISS</x:v>
      </x:c>
      <x:c r="W1776" s="24" t="n">
        <x:v>26</x:v>
      </x:c>
      <x:c r="X1776" s="24" t="str">
        <x:v>tabela_zeiss.pdf</x:v>
      </x:c>
      <x:c r="Y1776" s="24" t="str">
        <x:v>alta</x:v>
      </x:c>
      <x:c r="Z1776" s="24"/>
      <x:c r="AA1776" s="24" t="str">
        <x:v>ZEISS|Visão Simples Digital|Surfaçada|ClearMind Digital Individual 3|PhotoFusion X Extra Dark Cinza|1.5|1.50|DuraVision Gold UV|-6.00 a +5.50|-4.00|0.50 a 1.25|75|||26</x:v>
      </x:c>
    </x:row>
    <x:row r="1777">
      <x:c r="A1777" s="24" t="str">
        <x:v>ZS-CF9CF0C773FE</x:v>
      </x:c>
      <x:c r="B1777" s="24" t="str">
        <x:v>SIM</x:v>
      </x:c>
      <x:c r="C1777" s="24" t="str">
        <x:v>DISPONÍVEL</x:v>
      </x:c>
      <x:c r="D1777" s="24" t="str">
        <x:v>ZEISS</x:v>
      </x:c>
      <x:c r="E1777" s="24" t="str">
        <x:v>Visão Simples Digital</x:v>
      </x:c>
      <x:c r="F1777" s="24" t="str">
        <x:v>Surfaçada</x:v>
      </x:c>
      <x:c r="G1777" s="24" t="str">
        <x:v>ClearMind Digital Individual 3</x:v>
      </x:c>
      <x:c r="H1777" s="24" t="str">
        <x:v>PhotoFusion X Extra Dark Cinza</x:v>
      </x:c>
      <x:c r="I1777" s="24" t="str">
        <x:v>1.5</x:v>
      </x:c>
      <x:c r="J1777" s="24" t="str">
        <x:v>1.50</x:v>
      </x:c>
      <x:c r="K1777" s="24" t="str">
        <x:v>DURAVISION® ANTIVÍRUS PLATINUM UV</x:v>
      </x:c>
      <x:c r="L1777" s="40" t="n">
        <x:v>3543</x:v>
      </x:c>
      <x:c r="M1777" s="24" t="str">
        <x:v>-6.00 a +5.50</x:v>
      </x:c>
      <x:c r="N1777" s="24" t="str">
        <x:v>-4.00</x:v>
      </x:c>
      <x:c r="O1777" s="24" t="str">
        <x:v>0.50 a 1.25</x:v>
      </x:c>
      <x:c r="P1777" s="24" t="str">
        <x:v>75</x:v>
      </x:c>
      <x:c r="Q1777" s="24"/>
      <x:c r="R1777" s="24"/>
      <x:c r="S1777" s="26" t="n">
        <x:v>46113</x:v>
      </x:c>
      <x:c r="T1777" s="26"/>
      <x:c r="U1777" s="24" t="str">
        <x:v>ATIVA/SEM FIM INFORMADO</x:v>
      </x:c>
      <x:c r="V1777" s="24" t="str">
        <x:v>Programa de Parcerias ZEISS — categoria Experts; Programa de Parcerias ZEISS</x:v>
      </x:c>
      <x:c r="W1777" s="24" t="n">
        <x:v>26</x:v>
      </x:c>
      <x:c r="X1777" s="24" t="str">
        <x:v>tabela_zeiss.pdf</x:v>
      </x:c>
      <x:c r="Y1777" s="24" t="str">
        <x:v>alta</x:v>
      </x:c>
      <x:c r="Z1777" s="24"/>
      <x:c r="AA1777" s="24" t="str">
        <x:v>ZEISS|Visão Simples Digital|Surfaçada|ClearMind Digital Individual 3|PhotoFusion X Extra Dark Cinza|1.5|1.50|DURAVISION® ANTIVÍRUS PLATINUM UV|-6.00 a +5.50|-4.00|0.50 a 1.25|75|||26</x:v>
      </x:c>
    </x:row>
    <x:row r="1778">
      <x:c r="A1778" s="24" t="str">
        <x:v>ZS-9D0086CEB3A6</x:v>
      </x:c>
      <x:c r="B1778" s="24" t="str">
        <x:v>SIM</x:v>
      </x:c>
      <x:c r="C1778" s="24" t="str">
        <x:v>DISPONÍVEL</x:v>
      </x:c>
      <x:c r="D1778" s="24" t="str">
        <x:v>ZEISS</x:v>
      </x:c>
      <x:c r="E1778" s="24" t="str">
        <x:v>Visão Simples Digital</x:v>
      </x:c>
      <x:c r="F1778" s="24" t="str">
        <x:v>Surfaçada</x:v>
      </x:c>
      <x:c r="G1778" s="24" t="str">
        <x:v>ClearMind Digital Individual 3</x:v>
      </x:c>
      <x:c r="H1778" s="24" t="str">
        <x:v>PhotoFusion X Extra Dark Cinza</x:v>
      </x:c>
      <x:c r="I1778" s="24" t="str">
        <x:v>1.5</x:v>
      </x:c>
      <x:c r="J1778" s="24" t="str">
        <x:v>1.50</x:v>
      </x:c>
      <x:c r="K1778" s="24" t="str">
        <x:v>DuraVision Platinum UV</x:v>
      </x:c>
      <x:c r="L1778" s="40" t="n">
        <x:v>3793</x:v>
      </x:c>
      <x:c r="M1778" s="24" t="str">
        <x:v>-6.00 a +5.50</x:v>
      </x:c>
      <x:c r="N1778" s="24" t="str">
        <x:v>-4.00</x:v>
      </x:c>
      <x:c r="O1778" s="24" t="str">
        <x:v>0.50 a 1.25</x:v>
      </x:c>
      <x:c r="P1778" s="24" t="str">
        <x:v>75</x:v>
      </x:c>
      <x:c r="Q1778" s="24"/>
      <x:c r="R1778" s="24"/>
      <x:c r="S1778" s="26" t="n">
        <x:v>46113</x:v>
      </x:c>
      <x:c r="T1778" s="26"/>
      <x:c r="U1778" s="24" t="str">
        <x:v>ATIVA/SEM FIM INFORMADO</x:v>
      </x:c>
      <x:c r="V1778" s="24" t="str">
        <x:v>Programa de Parcerias ZEISS — categoria Experts; Programa de Parcerias ZEISS</x:v>
      </x:c>
      <x:c r="W1778" s="24" t="n">
        <x:v>26</x:v>
      </x:c>
      <x:c r="X1778" s="24" t="str">
        <x:v>tabela_zeiss.pdf</x:v>
      </x:c>
      <x:c r="Y1778" s="24" t="str">
        <x:v>alta</x:v>
      </x:c>
      <x:c r="Z1778" s="24"/>
      <x:c r="AA1778" s="24" t="str">
        <x:v>ZEISS|Visão Simples Digital|Surfaçada|ClearMind Digital Individual 3|PhotoFusion X Extra Dark Cinza|1.5|1.50|DuraVision Platinum UV|-6.00 a +5.50|-4.00|0.50 a 1.25|75|||26</x:v>
      </x:c>
    </x:row>
    <x:row r="1779">
      <x:c r="A1779" s="24" t="str">
        <x:v>ZS-4CCDD36B14BC</x:v>
      </x:c>
      <x:c r="B1779" s="24" t="str">
        <x:v>SIM</x:v>
      </x:c>
      <x:c r="C1779" s="24" t="str">
        <x:v>DISPONÍVEL</x:v>
      </x:c>
      <x:c r="D1779" s="24" t="str">
        <x:v>ZEISS</x:v>
      </x:c>
      <x:c r="E1779" s="24" t="str">
        <x:v>Visão Simples Digital</x:v>
      </x:c>
      <x:c r="F1779" s="24" t="str">
        <x:v>Surfaçada</x:v>
      </x:c>
      <x:c r="G1779" s="24" t="str">
        <x:v>ClearMind Digital Individual 3</x:v>
      </x:c>
      <x:c r="H1779" s="24" t="str">
        <x:v>PhotoFusion X Extra Dark Cinza</x:v>
      </x:c>
      <x:c r="I1779" s="24" t="str">
        <x:v>1.5</x:v>
      </x:c>
      <x:c r="J1779" s="24" t="str">
        <x:v>1.50</x:v>
      </x:c>
      <x:c r="K1779" s="24" t="str">
        <x:v>DuraVision Silver UV</x:v>
      </x:c>
      <x:c r="L1779" s="40" t="n">
        <x:v>3533</x:v>
      </x:c>
      <x:c r="M1779" s="24" t="str">
        <x:v>-6.00 a +5.50</x:v>
      </x:c>
      <x:c r="N1779" s="24" t="str">
        <x:v>-4.00</x:v>
      </x:c>
      <x:c r="O1779" s="24" t="str">
        <x:v>0.50 a 1.25</x:v>
      </x:c>
      <x:c r="P1779" s="24" t="str">
        <x:v>75</x:v>
      </x:c>
      <x:c r="Q1779" s="24"/>
      <x:c r="R1779" s="24"/>
      <x:c r="S1779" s="26" t="n">
        <x:v>46113</x:v>
      </x:c>
      <x:c r="T1779" s="26"/>
      <x:c r="U1779" s="24" t="str">
        <x:v>ATIVA/SEM FIM INFORMADO</x:v>
      </x:c>
      <x:c r="V1779" s="24" t="str">
        <x:v>Programa de Parcerias ZEISS — categoria Experts; Programa de Parcerias ZEISS</x:v>
      </x:c>
      <x:c r="W1779" s="24" t="n">
        <x:v>26</x:v>
      </x:c>
      <x:c r="X1779" s="24" t="str">
        <x:v>tabela_zeiss.pdf</x:v>
      </x:c>
      <x:c r="Y1779" s="24" t="str">
        <x:v>alta</x:v>
      </x:c>
      <x:c r="Z1779" s="24"/>
      <x:c r="AA1779" s="24" t="str">
        <x:v>ZEISS|Visão Simples Digital|Surfaçada|ClearMind Digital Individual 3|PhotoFusion X Extra Dark Cinza|1.5|1.50|DuraVision Silver UV|-6.00 a +5.50|-4.00|0.50 a 1.25|75|||26</x:v>
      </x:c>
    </x:row>
    <x:row r="1780">
      <x:c r="A1780" s="24" t="str">
        <x:v>ZS-D5446BCB6E2A</x:v>
      </x:c>
      <x:c r="B1780" s="24" t="str">
        <x:v>SIM</x:v>
      </x:c>
      <x:c r="C1780" s="24" t="str">
        <x:v>DISPONÍVEL</x:v>
      </x:c>
      <x:c r="D1780" s="24" t="str">
        <x:v>ZEISS</x:v>
      </x:c>
      <x:c r="E1780" s="24" t="str">
        <x:v>Visão Simples Digital</x:v>
      </x:c>
      <x:c r="F1780" s="24" t="str">
        <x:v>Surfaçada</x:v>
      </x:c>
      <x:c r="G1780" s="24" t="str">
        <x:v>ClearMind Digital Individual 3</x:v>
      </x:c>
      <x:c r="H1780" s="24" t="str">
        <x:v>PhotoFusion X Extra Dark Cinza</x:v>
      </x:c>
      <x:c r="I1780" s="24" t="str">
        <x:v>1.5</x:v>
      </x:c>
      <x:c r="J1780" s="24" t="str">
        <x:v>1.50</x:v>
      </x:c>
      <x:c r="K1780" s="24" t="str">
        <x:v>DuraVision Chrome UV</x:v>
      </x:c>
      <x:c r="L1780" s="40" t="n">
        <x:v>3043</x:v>
      </x:c>
      <x:c r="M1780" s="24" t="str">
        <x:v>-6.00 a +5.50</x:v>
      </x:c>
      <x:c r="N1780" s="24" t="str">
        <x:v>-4.00</x:v>
      </x:c>
      <x:c r="O1780" s="24" t="str">
        <x:v>0.50 a 1.25</x:v>
      </x:c>
      <x:c r="P1780" s="24" t="str">
        <x:v>75</x:v>
      </x:c>
      <x:c r="Q1780" s="24"/>
      <x:c r="R1780" s="24"/>
      <x:c r="S1780" s="26" t="n">
        <x:v>46113</x:v>
      </x:c>
      <x:c r="T1780" s="26"/>
      <x:c r="U1780" s="24" t="str">
        <x:v>ATIVA/SEM FIM INFORMADO</x:v>
      </x:c>
      <x:c r="V1780" s="24" t="str">
        <x:v>Programa de Parcerias ZEISS — categoria Experts; Programa de Parcerias ZEISS</x:v>
      </x:c>
      <x:c r="W1780" s="24" t="n">
        <x:v>26</x:v>
      </x:c>
      <x:c r="X1780" s="24" t="str">
        <x:v>tabela_zeiss.pdf</x:v>
      </x:c>
      <x:c r="Y1780" s="24" t="str">
        <x:v>alta</x:v>
      </x:c>
      <x:c r="Z1780" s="24"/>
      <x:c r="AA1780" s="24" t="str">
        <x:v>ZEISS|Visão Simples Digital|Surfaçada|ClearMind Digital Individual 3|PhotoFusion X Extra Dark Cinza|1.5|1.50|DuraVision Chrome UV|-6.00 a +5.50|-4.00|0.50 a 1.25|75|||26</x:v>
      </x:c>
    </x:row>
    <x:row r="1781">
      <x:c r="A1781" s="24" t="str">
        <x:v>ZS-988EDCC281A3</x:v>
      </x:c>
      <x:c r="B1781" s="24" t="str">
        <x:v>SIM</x:v>
      </x:c>
      <x:c r="C1781" s="24" t="str">
        <x:v>DISPONÍVEL</x:v>
      </x:c>
      <x:c r="D1781" s="24" t="str">
        <x:v>ZEISS</x:v>
      </x:c>
      <x:c r="E1781" s="24" t="str">
        <x:v>Visão Simples Digital</x:v>
      </x:c>
      <x:c r="F1781" s="24" t="str">
        <x:v>Surfaçada</x:v>
      </x:c>
      <x:c r="G1781" s="24" t="str">
        <x:v>ClearMind Digital Individual 3</x:v>
      </x:c>
      <x:c r="H1781" s="24" t="str">
        <x:v>PhotoFusion X Extra Dark Cinza</x:v>
      </x:c>
      <x:c r="I1781" s="24" t="str">
        <x:v>Poli</x:v>
      </x:c>
      <x:c r="J1781" s="24"/>
      <x:c r="K1781" s="24" t="str">
        <x:v>DuraVision Gold UV</x:v>
      </x:c>
      <x:c r="L1781" s="40" t="n">
        <x:v>4293</x:v>
      </x:c>
      <x:c r="M1781" s="24" t="str">
        <x:v>-10.00 a +6.00</x:v>
      </x:c>
      <x:c r="N1781" s="24" t="str">
        <x:v>-6.00</x:v>
      </x:c>
      <x:c r="O1781" s="24" t="str">
        <x:v>0.50 a 1.25</x:v>
      </x:c>
      <x:c r="P1781" s="24" t="str">
        <x:v>70</x:v>
      </x:c>
      <x:c r="Q1781" s="24"/>
      <x:c r="R1781" s="24"/>
      <x:c r="S1781" s="26" t="n">
        <x:v>46113</x:v>
      </x:c>
      <x:c r="T1781" s="26"/>
      <x:c r="U1781" s="24" t="str">
        <x:v>ATIVA/SEM FIM INFORMADO</x:v>
      </x:c>
      <x:c r="V1781" s="24" t="str">
        <x:v>Programa de Parcerias ZEISS — categoria Experts; Programa de Parcerias ZEISS</x:v>
      </x:c>
      <x:c r="W1781" s="24" t="n">
        <x:v>26</x:v>
      </x:c>
      <x:c r="X1781" s="24" t="str">
        <x:v>tabela_zeiss.pdf</x:v>
      </x:c>
      <x:c r="Y1781" s="24" t="str">
        <x:v>alta</x:v>
      </x:c>
      <x:c r="Z1781" s="24"/>
      <x:c r="AA1781" s="24" t="str">
        <x:v>ZEISS|Visão Simples Digital|Surfaçada|ClearMind Digital Individual 3|PhotoFusion X Extra Dark Cinza|Poli||DuraVision Gold UV|-10.00 a +6.00|-6.00|0.50 a 1.25|70|||26</x:v>
      </x:c>
    </x:row>
    <x:row r="1782">
      <x:c r="A1782" s="24" t="str">
        <x:v>ZS-C7F3872AD7AD</x:v>
      </x:c>
      <x:c r="B1782" s="24" t="str">
        <x:v>SIM</x:v>
      </x:c>
      <x:c r="C1782" s="24" t="str">
        <x:v>DISPONÍVEL</x:v>
      </x:c>
      <x:c r="D1782" s="24" t="str">
        <x:v>ZEISS</x:v>
      </x:c>
      <x:c r="E1782" s="24" t="str">
        <x:v>Visão Simples Digital</x:v>
      </x:c>
      <x:c r="F1782" s="24" t="str">
        <x:v>Surfaçada</x:v>
      </x:c>
      <x:c r="G1782" s="24" t="str">
        <x:v>ClearMind Digital Individual 3</x:v>
      </x:c>
      <x:c r="H1782" s="24" t="str">
        <x:v>PhotoFusion X Extra Dark Cinza</x:v>
      </x:c>
      <x:c r="I1782" s="24" t="str">
        <x:v>Poli</x:v>
      </x:c>
      <x:c r="J1782" s="24"/>
      <x:c r="K1782" s="24" t="str">
        <x:v>DuraVision Platinum UV</x:v>
      </x:c>
      <x:c r="L1782" s="40" t="n">
        <x:v>4153</x:v>
      </x:c>
      <x:c r="M1782" s="24" t="str">
        <x:v>-10.00 a +6.00</x:v>
      </x:c>
      <x:c r="N1782" s="24" t="str">
        <x:v>-6.00</x:v>
      </x:c>
      <x:c r="O1782" s="24" t="str">
        <x:v>0.50 a 1.25</x:v>
      </x:c>
      <x:c r="P1782" s="24" t="str">
        <x:v>70</x:v>
      </x:c>
      <x:c r="Q1782" s="24"/>
      <x:c r="R1782" s="24"/>
      <x:c r="S1782" s="26" t="n">
        <x:v>46113</x:v>
      </x:c>
      <x:c r="T1782" s="26"/>
      <x:c r="U1782" s="24" t="str">
        <x:v>ATIVA/SEM FIM INFORMADO</x:v>
      </x:c>
      <x:c r="V1782" s="24" t="str">
        <x:v>Programa de Parcerias ZEISS — categoria Experts; Programa de Parcerias ZEISS</x:v>
      </x:c>
      <x:c r="W1782" s="24" t="n">
        <x:v>26</x:v>
      </x:c>
      <x:c r="X1782" s="24" t="str">
        <x:v>tabela_zeiss.pdf</x:v>
      </x:c>
      <x:c r="Y1782" s="24" t="str">
        <x:v>alta</x:v>
      </x:c>
      <x:c r="Z1782" s="24"/>
      <x:c r="AA1782" s="24" t="str">
        <x:v>ZEISS|Visão Simples Digital|Surfaçada|ClearMind Digital Individual 3|PhotoFusion X Extra Dark Cinza|Poli||DuraVision Platinum UV|-10.00 a +6.00|-6.00|0.50 a 1.25|70|||26</x:v>
      </x:c>
    </x:row>
    <x:row r="1783">
      <x:c r="A1783" s="24" t="str">
        <x:v>ZS-4604D8E50702</x:v>
      </x:c>
      <x:c r="B1783" s="24" t="str">
        <x:v>SIM</x:v>
      </x:c>
      <x:c r="C1783" s="24" t="str">
        <x:v>DISPONÍVEL</x:v>
      </x:c>
      <x:c r="D1783" s="24" t="str">
        <x:v>ZEISS</x:v>
      </x:c>
      <x:c r="E1783" s="24" t="str">
        <x:v>Visão Simples Digital</x:v>
      </x:c>
      <x:c r="F1783" s="24" t="str">
        <x:v>Surfaçada</x:v>
      </x:c>
      <x:c r="G1783" s="24" t="str">
        <x:v>ClearMind Digital Individual 3</x:v>
      </x:c>
      <x:c r="H1783" s="24" t="str">
        <x:v>PhotoFusion X Extra Dark Cinza</x:v>
      </x:c>
      <x:c r="I1783" s="24" t="str">
        <x:v>Poli</x:v>
      </x:c>
      <x:c r="J1783" s="24"/>
      <x:c r="K1783" s="24" t="str">
        <x:v>DuraVision Silver UV</x:v>
      </x:c>
      <x:c r="L1783" s="40" t="n">
        <x:v>3893</x:v>
      </x:c>
      <x:c r="M1783" s="24" t="str">
        <x:v>-10.00 a +6.00</x:v>
      </x:c>
      <x:c r="N1783" s="24" t="str">
        <x:v>-6.00</x:v>
      </x:c>
      <x:c r="O1783" s="24" t="str">
        <x:v>0.50 a 1.25</x:v>
      </x:c>
      <x:c r="P1783" s="24" t="str">
        <x:v>70</x:v>
      </x:c>
      <x:c r="Q1783" s="24"/>
      <x:c r="R1783" s="24"/>
      <x:c r="S1783" s="26" t="n">
        <x:v>46113</x:v>
      </x:c>
      <x:c r="T1783" s="26"/>
      <x:c r="U1783" s="24" t="str">
        <x:v>ATIVA/SEM FIM INFORMADO</x:v>
      </x:c>
      <x:c r="V1783" s="24" t="str">
        <x:v>Programa de Parcerias ZEISS — categoria Experts; Programa de Parcerias ZEISS</x:v>
      </x:c>
      <x:c r="W1783" s="24" t="n">
        <x:v>26</x:v>
      </x:c>
      <x:c r="X1783" s="24" t="str">
        <x:v>tabela_zeiss.pdf</x:v>
      </x:c>
      <x:c r="Y1783" s="24" t="str">
        <x:v>alta</x:v>
      </x:c>
      <x:c r="Z1783" s="24"/>
      <x:c r="AA1783" s="24" t="str">
        <x:v>ZEISS|Visão Simples Digital|Surfaçada|ClearMind Digital Individual 3|PhotoFusion X Extra Dark Cinza|Poli||DuraVision Silver UV|-10.00 a +6.00|-6.00|0.50 a 1.25|70|||26</x:v>
      </x:c>
    </x:row>
    <x:row r="1784">
      <x:c r="A1784" s="24" t="str">
        <x:v>ZS-A02C78E4A6D2</x:v>
      </x:c>
      <x:c r="B1784" s="24" t="str">
        <x:v>SIM</x:v>
      </x:c>
      <x:c r="C1784" s="24" t="str">
        <x:v>DISPONÍVEL</x:v>
      </x:c>
      <x:c r="D1784" s="24" t="str">
        <x:v>ZEISS</x:v>
      </x:c>
      <x:c r="E1784" s="24" t="str">
        <x:v>Visão Simples Digital</x:v>
      </x:c>
      <x:c r="F1784" s="24" t="str">
        <x:v>Surfaçada</x:v>
      </x:c>
      <x:c r="G1784" s="24" t="str">
        <x:v>ClearMind Digital Individual 3</x:v>
      </x:c>
      <x:c r="H1784" s="24" t="str">
        <x:v>PhotoFusion X Extra Dark Cinza</x:v>
      </x:c>
      <x:c r="I1784" s="24" t="str">
        <x:v>Poli</x:v>
      </x:c>
      <x:c r="J1784" s="24"/>
      <x:c r="K1784" s="24" t="str">
        <x:v>DuraVision Chrome UV</x:v>
      </x:c>
      <x:c r="L1784" s="40" t="n">
        <x:v>3403</x:v>
      </x:c>
      <x:c r="M1784" s="24" t="str">
        <x:v>-10.00 a +6.00</x:v>
      </x:c>
      <x:c r="N1784" s="24" t="str">
        <x:v>-6.00</x:v>
      </x:c>
      <x:c r="O1784" s="24" t="str">
        <x:v>0.50 a 1.25</x:v>
      </x:c>
      <x:c r="P1784" s="24" t="str">
        <x:v>70</x:v>
      </x:c>
      <x:c r="Q1784" s="24"/>
      <x:c r="R1784" s="24"/>
      <x:c r="S1784" s="26" t="n">
        <x:v>46113</x:v>
      </x:c>
      <x:c r="T1784" s="26"/>
      <x:c r="U1784" s="24" t="str">
        <x:v>ATIVA/SEM FIM INFORMADO</x:v>
      </x:c>
      <x:c r="V1784" s="24" t="str">
        <x:v>Programa de Parcerias ZEISS — categoria Experts; Programa de Parcerias ZEISS</x:v>
      </x:c>
      <x:c r="W1784" s="24" t="n">
        <x:v>26</x:v>
      </x:c>
      <x:c r="X1784" s="24" t="str">
        <x:v>tabela_zeiss.pdf</x:v>
      </x:c>
      <x:c r="Y1784" s="24" t="str">
        <x:v>alta</x:v>
      </x:c>
      <x:c r="Z1784" s="24"/>
      <x:c r="AA1784" s="24" t="str">
        <x:v>ZEISS|Visão Simples Digital|Surfaçada|ClearMind Digital Individual 3|PhotoFusion X Extra Dark Cinza|Poli||DuraVision Chrome UV|-10.00 a +6.00|-6.00|0.50 a 1.25|70|||26</x:v>
      </x:c>
    </x:row>
    <x:row r="1785">
      <x:c r="A1785" s="24" t="str">
        <x:v>ZS-3CE6B2548824</x:v>
      </x:c>
      <x:c r="B1785" s="24" t="str">
        <x:v>SIM</x:v>
      </x:c>
      <x:c r="C1785" s="24" t="str">
        <x:v>DISPONÍVEL</x:v>
      </x:c>
      <x:c r="D1785" s="24" t="str">
        <x:v>ZEISS</x:v>
      </x:c>
      <x:c r="E1785" s="24" t="str">
        <x:v>Visão Simples Digital</x:v>
      </x:c>
      <x:c r="F1785" s="24" t="str">
        <x:v>Surfaçada</x:v>
      </x:c>
      <x:c r="G1785" s="24" t="str">
        <x:v>ClearMind Digital Individual 3</x:v>
      </x:c>
      <x:c r="H1785" s="24" t="str">
        <x:v>PhotoFusion X Extra Dark Cinza</x:v>
      </x:c>
      <x:c r="I1785" s="24" t="str">
        <x:v>1.6</x:v>
      </x:c>
      <x:c r="J1785" s="24" t="str">
        <x:v>1.60</x:v>
      </x:c>
      <x:c r="K1785" s="24" t="str">
        <x:v>DuraVision Gold UV</x:v>
      </x:c>
      <x:c r="L1785" s="40" t="n">
        <x:v>4513</x:v>
      </x:c>
      <x:c r="M1785" s="24" t="str">
        <x:v>-7.25 a +6.00</x:v>
      </x:c>
      <x:c r="N1785" s="24" t="str">
        <x:v>-6.00</x:v>
      </x:c>
      <x:c r="O1785" s="24" t="str">
        <x:v>0.50 a 1.25</x:v>
      </x:c>
      <x:c r="P1785" s="24" t="str">
        <x:v>75</x:v>
      </x:c>
      <x:c r="Q1785" s="24"/>
      <x:c r="R1785" s="24"/>
      <x:c r="S1785" s="26" t="n">
        <x:v>46113</x:v>
      </x:c>
      <x:c r="T1785" s="26"/>
      <x:c r="U1785" s="24" t="str">
        <x:v>ATIVA/SEM FIM INFORMADO</x:v>
      </x:c>
      <x:c r="V1785" s="24" t="str">
        <x:v>Programa de Parcerias ZEISS — categoria Experts; Programa de Parcerias ZEISS</x:v>
      </x:c>
      <x:c r="W1785" s="24" t="n">
        <x:v>26</x:v>
      </x:c>
      <x:c r="X1785" s="24" t="str">
        <x:v>tabela_zeiss.pdf</x:v>
      </x:c>
      <x:c r="Y1785" s="24" t="str">
        <x:v>alta</x:v>
      </x:c>
      <x:c r="Z1785" s="24"/>
      <x:c r="AA1785" s="24" t="str">
        <x:v>ZEISS|Visão Simples Digital|Surfaçada|ClearMind Digital Individual 3|PhotoFusion X Extra Dark Cinza|1.6|1.60|DuraVision Gold UV|-7.25 a +6.00|-6.00|0.50 a 1.25|75|||26</x:v>
      </x:c>
    </x:row>
    <x:row r="1786">
      <x:c r="A1786" s="24" t="str">
        <x:v>ZS-C63B2161BD37</x:v>
      </x:c>
      <x:c r="B1786" s="24" t="str">
        <x:v>SIM</x:v>
      </x:c>
      <x:c r="C1786" s="24" t="str">
        <x:v>DISPONÍVEL</x:v>
      </x:c>
      <x:c r="D1786" s="24" t="str">
        <x:v>ZEISS</x:v>
      </x:c>
      <x:c r="E1786" s="24" t="str">
        <x:v>Visão Simples Digital</x:v>
      </x:c>
      <x:c r="F1786" s="24" t="str">
        <x:v>Surfaçada</x:v>
      </x:c>
      <x:c r="G1786" s="24" t="str">
        <x:v>ClearMind Digital Individual 3</x:v>
      </x:c>
      <x:c r="H1786" s="24" t="str">
        <x:v>PhotoFusion X Extra Dark Cinza</x:v>
      </x:c>
      <x:c r="I1786" s="24" t="str">
        <x:v>1.6</x:v>
      </x:c>
      <x:c r="J1786" s="24" t="str">
        <x:v>1.60</x:v>
      </x:c>
      <x:c r="K1786" s="24" t="str">
        <x:v>DURAVISION® ANTIVÍRUS PLATINUM UV</x:v>
      </x:c>
      <x:c r="L1786" s="40" t="n">
        <x:v>4123</x:v>
      </x:c>
      <x:c r="M1786" s="24" t="str">
        <x:v>-7.25 a +6.00</x:v>
      </x:c>
      <x:c r="N1786" s="24" t="str">
        <x:v>-6.00</x:v>
      </x:c>
      <x:c r="O1786" s="24" t="str">
        <x:v>0.50 a 1.25</x:v>
      </x:c>
      <x:c r="P1786" s="24" t="str">
        <x:v>75</x:v>
      </x:c>
      <x:c r="Q1786" s="24"/>
      <x:c r="R1786" s="24"/>
      <x:c r="S1786" s="26" t="n">
        <x:v>46113</x:v>
      </x:c>
      <x:c r="T1786" s="26"/>
      <x:c r="U1786" s="24" t="str">
        <x:v>ATIVA/SEM FIM INFORMADO</x:v>
      </x:c>
      <x:c r="V1786" s="24" t="str">
        <x:v>Programa de Parcerias ZEISS — categoria Experts; Programa de Parcerias ZEISS</x:v>
      </x:c>
      <x:c r="W1786" s="24" t="n">
        <x:v>26</x:v>
      </x:c>
      <x:c r="X1786" s="24" t="str">
        <x:v>tabela_zeiss.pdf</x:v>
      </x:c>
      <x:c r="Y1786" s="24" t="str">
        <x:v>alta</x:v>
      </x:c>
      <x:c r="Z1786" s="24"/>
      <x:c r="AA1786" s="24" t="str">
        <x:v>ZEISS|Visão Simples Digital|Surfaçada|ClearMind Digital Individual 3|PhotoFusion X Extra Dark Cinza|1.6|1.60|DURAVISION® ANTIVÍRUS PLATINUM UV|-7.25 a +6.00|-6.00|0.50 a 1.25|75|||26</x:v>
      </x:c>
    </x:row>
    <x:row r="1787">
      <x:c r="A1787" s="24" t="str">
        <x:v>ZS-BB25DEDE694D</x:v>
      </x:c>
      <x:c r="B1787" s="24" t="str">
        <x:v>SIM</x:v>
      </x:c>
      <x:c r="C1787" s="24" t="str">
        <x:v>DISPONÍVEL</x:v>
      </x:c>
      <x:c r="D1787" s="24" t="str">
        <x:v>ZEISS</x:v>
      </x:c>
      <x:c r="E1787" s="24" t="str">
        <x:v>Visão Simples Digital</x:v>
      </x:c>
      <x:c r="F1787" s="24" t="str">
        <x:v>Surfaçada</x:v>
      </x:c>
      <x:c r="G1787" s="24" t="str">
        <x:v>ClearMind Digital Individual 3</x:v>
      </x:c>
      <x:c r="H1787" s="24" t="str">
        <x:v>PhotoFusion X Extra Dark Cinza</x:v>
      </x:c>
      <x:c r="I1787" s="24" t="str">
        <x:v>1.6</x:v>
      </x:c>
      <x:c r="J1787" s="24" t="str">
        <x:v>1.60</x:v>
      </x:c>
      <x:c r="K1787" s="24" t="str">
        <x:v>DuraVision Platinum UV</x:v>
      </x:c>
      <x:c r="L1787" s="40" t="n">
        <x:v>4373</x:v>
      </x:c>
      <x:c r="M1787" s="24" t="str">
        <x:v>-7.25 a +6.00</x:v>
      </x:c>
      <x:c r="N1787" s="24" t="str">
        <x:v>-6.00</x:v>
      </x:c>
      <x:c r="O1787" s="24" t="str">
        <x:v>0.50 a 1.25</x:v>
      </x:c>
      <x:c r="P1787" s="24" t="str">
        <x:v>75</x:v>
      </x:c>
      <x:c r="Q1787" s="24"/>
      <x:c r="R1787" s="24"/>
      <x:c r="S1787" s="26" t="n">
        <x:v>46113</x:v>
      </x:c>
      <x:c r="T1787" s="26"/>
      <x:c r="U1787" s="24" t="str">
        <x:v>ATIVA/SEM FIM INFORMADO</x:v>
      </x:c>
      <x:c r="V1787" s="24" t="str">
        <x:v>Programa de Parcerias ZEISS — categoria Experts; Programa de Parcerias ZEISS</x:v>
      </x:c>
      <x:c r="W1787" s="24" t="n">
        <x:v>26</x:v>
      </x:c>
      <x:c r="X1787" s="24" t="str">
        <x:v>tabela_zeiss.pdf</x:v>
      </x:c>
      <x:c r="Y1787" s="24" t="str">
        <x:v>alta</x:v>
      </x:c>
      <x:c r="Z1787" s="24"/>
      <x:c r="AA1787" s="24" t="str">
        <x:v>ZEISS|Visão Simples Digital|Surfaçada|ClearMind Digital Individual 3|PhotoFusion X Extra Dark Cinza|1.6|1.60|DuraVision Platinum UV|-7.25 a +6.00|-6.00|0.50 a 1.25|75|||26</x:v>
      </x:c>
    </x:row>
    <x:row r="1788">
      <x:c r="A1788" s="24" t="str">
        <x:v>ZS-2D87A7198325</x:v>
      </x:c>
      <x:c r="B1788" s="24" t="str">
        <x:v>SIM</x:v>
      </x:c>
      <x:c r="C1788" s="24" t="str">
        <x:v>DISPONÍVEL</x:v>
      </x:c>
      <x:c r="D1788" s="24" t="str">
        <x:v>ZEISS</x:v>
      </x:c>
      <x:c r="E1788" s="24" t="str">
        <x:v>Visão Simples Digital</x:v>
      </x:c>
      <x:c r="F1788" s="24" t="str">
        <x:v>Surfaçada</x:v>
      </x:c>
      <x:c r="G1788" s="24" t="str">
        <x:v>ClearMind Digital Individual 3</x:v>
      </x:c>
      <x:c r="H1788" s="24" t="str">
        <x:v>PhotoFusion X Extra Dark Cinza</x:v>
      </x:c>
      <x:c r="I1788" s="24" t="str">
        <x:v>1.6</x:v>
      </x:c>
      <x:c r="J1788" s="24" t="str">
        <x:v>1.60</x:v>
      </x:c>
      <x:c r="K1788" s="24" t="str">
        <x:v>DuraVision Silver UV</x:v>
      </x:c>
      <x:c r="L1788" s="40" t="n">
        <x:v>4113</x:v>
      </x:c>
      <x:c r="M1788" s="24" t="str">
        <x:v>-7.25 a +6.00</x:v>
      </x:c>
      <x:c r="N1788" s="24" t="str">
        <x:v>-6.00</x:v>
      </x:c>
      <x:c r="O1788" s="24" t="str">
        <x:v>0.50 a 1.25</x:v>
      </x:c>
      <x:c r="P1788" s="24" t="str">
        <x:v>75</x:v>
      </x:c>
      <x:c r="Q1788" s="24"/>
      <x:c r="R1788" s="24"/>
      <x:c r="S1788" s="26" t="n">
        <x:v>46113</x:v>
      </x:c>
      <x:c r="T1788" s="26"/>
      <x:c r="U1788" s="24" t="str">
        <x:v>ATIVA/SEM FIM INFORMADO</x:v>
      </x:c>
      <x:c r="V1788" s="24" t="str">
        <x:v>Programa de Parcerias ZEISS — categoria Experts; Programa de Parcerias ZEISS</x:v>
      </x:c>
      <x:c r="W1788" s="24" t="n">
        <x:v>26</x:v>
      </x:c>
      <x:c r="X1788" s="24" t="str">
        <x:v>tabela_zeiss.pdf</x:v>
      </x:c>
      <x:c r="Y1788" s="24" t="str">
        <x:v>alta</x:v>
      </x:c>
      <x:c r="Z1788" s="24"/>
      <x:c r="AA1788" s="24" t="str">
        <x:v>ZEISS|Visão Simples Digital|Surfaçada|ClearMind Digital Individual 3|PhotoFusion X Extra Dark Cinza|1.6|1.60|DuraVision Silver UV|-7.25 a +6.00|-6.00|0.50 a 1.25|75|||26</x:v>
      </x:c>
    </x:row>
    <x:row r="1789">
      <x:c r="A1789" s="24" t="str">
        <x:v>ZS-60119D394C41</x:v>
      </x:c>
      <x:c r="B1789" s="24" t="str">
        <x:v>SIM</x:v>
      </x:c>
      <x:c r="C1789" s="24" t="str">
        <x:v>DISPONÍVEL</x:v>
      </x:c>
      <x:c r="D1789" s="24" t="str">
        <x:v>ZEISS</x:v>
      </x:c>
      <x:c r="E1789" s="24" t="str">
        <x:v>Visão Simples Digital</x:v>
      </x:c>
      <x:c r="F1789" s="24" t="str">
        <x:v>Surfaçada</x:v>
      </x:c>
      <x:c r="G1789" s="24" t="str">
        <x:v>ClearMind Digital Individual 3</x:v>
      </x:c>
      <x:c r="H1789" s="24" t="str">
        <x:v>PhotoFusion X Extra Dark Cinza</x:v>
      </x:c>
      <x:c r="I1789" s="24" t="str">
        <x:v>1.6</x:v>
      </x:c>
      <x:c r="J1789" s="24" t="str">
        <x:v>1.60</x:v>
      </x:c>
      <x:c r="K1789" s="24" t="str">
        <x:v>DuraVision Chrome UV</x:v>
      </x:c>
      <x:c r="L1789" s="40" t="n">
        <x:v>3623</x:v>
      </x:c>
      <x:c r="M1789" s="24" t="str">
        <x:v>-7.25 a +6.00</x:v>
      </x:c>
      <x:c r="N1789" s="24" t="str">
        <x:v>-6.00</x:v>
      </x:c>
      <x:c r="O1789" s="24" t="str">
        <x:v>0.50 a 1.25</x:v>
      </x:c>
      <x:c r="P1789" s="24" t="str">
        <x:v>75</x:v>
      </x:c>
      <x:c r="Q1789" s="24"/>
      <x:c r="R1789" s="24"/>
      <x:c r="S1789" s="26" t="n">
        <x:v>46113</x:v>
      </x:c>
      <x:c r="T1789" s="26"/>
      <x:c r="U1789" s="24" t="str">
        <x:v>ATIVA/SEM FIM INFORMADO</x:v>
      </x:c>
      <x:c r="V1789" s="24" t="str">
        <x:v>Programa de Parcerias ZEISS — categoria Experts; Programa de Parcerias ZEISS</x:v>
      </x:c>
      <x:c r="W1789" s="24" t="n">
        <x:v>26</x:v>
      </x:c>
      <x:c r="X1789" s="24" t="str">
        <x:v>tabela_zeiss.pdf</x:v>
      </x:c>
      <x:c r="Y1789" s="24" t="str">
        <x:v>alta</x:v>
      </x:c>
      <x:c r="Z1789" s="24"/>
      <x:c r="AA1789" s="24" t="str">
        <x:v>ZEISS|Visão Simples Digital|Surfaçada|ClearMind Digital Individual 3|PhotoFusion X Extra Dark Cinza|1.6|1.60|DuraVision Chrome UV|-7.25 a +6.00|-6.00|0.50 a 1.25|75|||26</x:v>
      </x:c>
    </x:row>
    <x:row r="1790">
      <x:c r="A1790" s="24" t="str">
        <x:v>ZS-037C36CB9542</x:v>
      </x:c>
      <x:c r="B1790" s="24" t="str">
        <x:v>SIM</x:v>
      </x:c>
      <x:c r="C1790" s="24" t="str">
        <x:v>DISPONÍVEL</x:v>
      </x:c>
      <x:c r="D1790" s="24" t="str">
        <x:v>ZEISS</x:v>
      </x:c>
      <x:c r="E1790" s="24" t="str">
        <x:v>Visão Simples Digital</x:v>
      </x:c>
      <x:c r="F1790" s="24" t="str">
        <x:v>Surfaçada</x:v>
      </x:c>
      <x:c r="G1790" s="24" t="str">
        <x:v>ClearMind Digital Individual 3</x:v>
      </x:c>
      <x:c r="H1790" s="24" t="str">
        <x:v>PhotoFusion X Extra Dark Cinza</x:v>
      </x:c>
      <x:c r="I1790" s="24" t="str">
        <x:v>1.67</x:v>
      </x:c>
      <x:c r="J1790" s="24" t="str">
        <x:v>1.67</x:v>
      </x:c>
      <x:c r="K1790" s="24" t="str">
        <x:v>DuraVision Gold UV</x:v>
      </x:c>
      <x:c r="L1790" s="40" t="n">
        <x:v>5813</x:v>
      </x:c>
      <x:c r="M1790" s="24" t="str">
        <x:v>-8.00 a +8.00</x:v>
      </x:c>
      <x:c r="N1790" s="24" t="str">
        <x:v>-6.00</x:v>
      </x:c>
      <x:c r="O1790" s="24" t="str">
        <x:v>0.50 a 1.25</x:v>
      </x:c>
      <x:c r="P1790" s="24" t="str">
        <x:v>70</x:v>
      </x:c>
      <x:c r="Q1790" s="24"/>
      <x:c r="R1790" s="24"/>
      <x:c r="S1790" s="26" t="n">
        <x:v>46113</x:v>
      </x:c>
      <x:c r="T1790" s="26"/>
      <x:c r="U1790" s="24" t="str">
        <x:v>ATIVA/SEM FIM INFORMADO</x:v>
      </x:c>
      <x:c r="V1790" s="24" t="str">
        <x:v>Programa de Parcerias ZEISS — categoria Experts; Programa de Parcerias ZEISS</x:v>
      </x:c>
      <x:c r="W1790" s="24" t="n">
        <x:v>26</x:v>
      </x:c>
      <x:c r="X1790" s="24" t="str">
        <x:v>tabela_zeiss.pdf</x:v>
      </x:c>
      <x:c r="Y1790" s="24" t="str">
        <x:v>alta</x:v>
      </x:c>
      <x:c r="Z1790" s="24"/>
      <x:c r="AA1790" s="24" t="str">
        <x:v>ZEISS|Visão Simples Digital|Surfaçada|ClearMind Digital Individual 3|PhotoFusion X Extra Dark Cinza|1.67|1.67|DuraVision Gold UV|-8.00 a +8.00|-6.00|0.50 a 1.25|70|||26</x:v>
      </x:c>
    </x:row>
    <x:row r="1791">
      <x:c r="A1791" s="24" t="str">
        <x:v>ZS-E05516CCC664</x:v>
      </x:c>
      <x:c r="B1791" s="24" t="str">
        <x:v>SIM</x:v>
      </x:c>
      <x:c r="C1791" s="24" t="str">
        <x:v>DISPONÍVEL</x:v>
      </x:c>
      <x:c r="D1791" s="24" t="str">
        <x:v>ZEISS</x:v>
      </x:c>
      <x:c r="E1791" s="24" t="str">
        <x:v>Visão Simples Digital</x:v>
      </x:c>
      <x:c r="F1791" s="24" t="str">
        <x:v>Surfaçada</x:v>
      </x:c>
      <x:c r="G1791" s="24" t="str">
        <x:v>ClearMind Digital Individual 3</x:v>
      </x:c>
      <x:c r="H1791" s="24" t="str">
        <x:v>PhotoFusion X Extra Dark Cinza</x:v>
      </x:c>
      <x:c r="I1791" s="24" t="str">
        <x:v>1.67</x:v>
      </x:c>
      <x:c r="J1791" s="24" t="str">
        <x:v>1.67</x:v>
      </x:c>
      <x:c r="K1791" s="24" t="str">
        <x:v>DURAVISION® ANTIVÍRUS PLATINUM UV</x:v>
      </x:c>
      <x:c r="L1791" s="40" t="n">
        <x:v>5423</x:v>
      </x:c>
      <x:c r="M1791" s="24" t="str">
        <x:v>-8.00 a +8.00</x:v>
      </x:c>
      <x:c r="N1791" s="24" t="str">
        <x:v>-6.00</x:v>
      </x:c>
      <x:c r="O1791" s="24" t="str">
        <x:v>0.50 a 1.25</x:v>
      </x:c>
      <x:c r="P1791" s="24" t="str">
        <x:v>70</x:v>
      </x:c>
      <x:c r="Q1791" s="24"/>
      <x:c r="R1791" s="24"/>
      <x:c r="S1791" s="26" t="n">
        <x:v>46113</x:v>
      </x:c>
      <x:c r="T1791" s="26"/>
      <x:c r="U1791" s="24" t="str">
        <x:v>ATIVA/SEM FIM INFORMADO</x:v>
      </x:c>
      <x:c r="V1791" s="24" t="str">
        <x:v>Programa de Parcerias ZEISS — categoria Experts; Programa de Parcerias ZEISS</x:v>
      </x:c>
      <x:c r="W1791" s="24" t="n">
        <x:v>26</x:v>
      </x:c>
      <x:c r="X1791" s="24" t="str">
        <x:v>tabela_zeiss.pdf</x:v>
      </x:c>
      <x:c r="Y1791" s="24" t="str">
        <x:v>alta</x:v>
      </x:c>
      <x:c r="Z1791" s="24"/>
      <x:c r="AA1791" s="24" t="str">
        <x:v>ZEISS|Visão Simples Digital|Surfaçada|ClearMind Digital Individual 3|PhotoFusion X Extra Dark Cinza|1.67|1.67|DURAVISION® ANTIVÍRUS PLATINUM UV|-8.00 a +8.00|-6.00|0.50 a 1.25|70|||26</x:v>
      </x:c>
    </x:row>
    <x:row r="1792">
      <x:c r="A1792" s="24" t="str">
        <x:v>ZS-2A933CF1FAC4</x:v>
      </x:c>
      <x:c r="B1792" s="24" t="str">
        <x:v>SIM</x:v>
      </x:c>
      <x:c r="C1792" s="24" t="str">
        <x:v>DISPONÍVEL</x:v>
      </x:c>
      <x:c r="D1792" s="24" t="str">
        <x:v>ZEISS</x:v>
      </x:c>
      <x:c r="E1792" s="24" t="str">
        <x:v>Visão Simples Digital</x:v>
      </x:c>
      <x:c r="F1792" s="24" t="str">
        <x:v>Surfaçada</x:v>
      </x:c>
      <x:c r="G1792" s="24" t="str">
        <x:v>ClearMind Digital Individual 3</x:v>
      </x:c>
      <x:c r="H1792" s="24" t="str">
        <x:v>PhotoFusion X Extra Dark Cinza</x:v>
      </x:c>
      <x:c r="I1792" s="24" t="str">
        <x:v>1.67</x:v>
      </x:c>
      <x:c r="J1792" s="24" t="str">
        <x:v>1.67</x:v>
      </x:c>
      <x:c r="K1792" s="24" t="str">
        <x:v>DuraVision Platinum UV</x:v>
      </x:c>
      <x:c r="L1792" s="40" t="n">
        <x:v>5673</x:v>
      </x:c>
      <x:c r="M1792" s="24" t="str">
        <x:v>-8.00 a +8.00</x:v>
      </x:c>
      <x:c r="N1792" s="24" t="str">
        <x:v>-6.00</x:v>
      </x:c>
      <x:c r="O1792" s="24" t="str">
        <x:v>0.50 a 1.25</x:v>
      </x:c>
      <x:c r="P1792" s="24" t="str">
        <x:v>70</x:v>
      </x:c>
      <x:c r="Q1792" s="24"/>
      <x:c r="R1792" s="24"/>
      <x:c r="S1792" s="26" t="n">
        <x:v>46113</x:v>
      </x:c>
      <x:c r="T1792" s="26"/>
      <x:c r="U1792" s="24" t="str">
        <x:v>ATIVA/SEM FIM INFORMADO</x:v>
      </x:c>
      <x:c r="V1792" s="24" t="str">
        <x:v>Programa de Parcerias ZEISS — categoria Experts; Programa de Parcerias ZEISS</x:v>
      </x:c>
      <x:c r="W1792" s="24" t="n">
        <x:v>26</x:v>
      </x:c>
      <x:c r="X1792" s="24" t="str">
        <x:v>tabela_zeiss.pdf</x:v>
      </x:c>
      <x:c r="Y1792" s="24" t="str">
        <x:v>alta</x:v>
      </x:c>
      <x:c r="Z1792" s="24"/>
      <x:c r="AA1792" s="24" t="str">
        <x:v>ZEISS|Visão Simples Digital|Surfaçada|ClearMind Digital Individual 3|PhotoFusion X Extra Dark Cinza|1.67|1.67|DuraVision Platinum UV|-8.00 a +8.00|-6.00|0.50 a 1.25|70|||26</x:v>
      </x:c>
    </x:row>
    <x:row r="1793">
      <x:c r="A1793" s="24" t="str">
        <x:v>ZS-CF2AB9161F89</x:v>
      </x:c>
      <x:c r="B1793" s="24" t="str">
        <x:v>SIM</x:v>
      </x:c>
      <x:c r="C1793" s="24" t="str">
        <x:v>DISPONÍVEL</x:v>
      </x:c>
      <x:c r="D1793" s="24" t="str">
        <x:v>ZEISS</x:v>
      </x:c>
      <x:c r="E1793" s="24" t="str">
        <x:v>Visão Simples Digital</x:v>
      </x:c>
      <x:c r="F1793" s="24" t="str">
        <x:v>Surfaçada</x:v>
      </x:c>
      <x:c r="G1793" s="24" t="str">
        <x:v>ClearMind Digital Individual 3</x:v>
      </x:c>
      <x:c r="H1793" s="24" t="str">
        <x:v>PhotoFusion X Extra Dark Cinza</x:v>
      </x:c>
      <x:c r="I1793" s="24" t="str">
        <x:v>1.67</x:v>
      </x:c>
      <x:c r="J1793" s="24" t="str">
        <x:v>1.67</x:v>
      </x:c>
      <x:c r="K1793" s="24" t="str">
        <x:v>DuraVision Silver UV</x:v>
      </x:c>
      <x:c r="L1793" s="40" t="n">
        <x:v>5413</x:v>
      </x:c>
      <x:c r="M1793" s="24" t="str">
        <x:v>-8.00 a +8.00</x:v>
      </x:c>
      <x:c r="N1793" s="24" t="str">
        <x:v>-6.00</x:v>
      </x:c>
      <x:c r="O1793" s="24" t="str">
        <x:v>0.50 a 1.25</x:v>
      </x:c>
      <x:c r="P1793" s="24" t="str">
        <x:v>70</x:v>
      </x:c>
      <x:c r="Q1793" s="24"/>
      <x:c r="R1793" s="24"/>
      <x:c r="S1793" s="26" t="n">
        <x:v>46113</x:v>
      </x:c>
      <x:c r="T1793" s="26"/>
      <x:c r="U1793" s="24" t="str">
        <x:v>ATIVA/SEM FIM INFORMADO</x:v>
      </x:c>
      <x:c r="V1793" s="24" t="str">
        <x:v>Programa de Parcerias ZEISS — categoria Experts; Programa de Parcerias ZEISS</x:v>
      </x:c>
      <x:c r="W1793" s="24" t="n">
        <x:v>26</x:v>
      </x:c>
      <x:c r="X1793" s="24" t="str">
        <x:v>tabela_zeiss.pdf</x:v>
      </x:c>
      <x:c r="Y1793" s="24" t="str">
        <x:v>alta</x:v>
      </x:c>
      <x:c r="Z1793" s="24"/>
      <x:c r="AA1793" s="24" t="str">
        <x:v>ZEISS|Visão Simples Digital|Surfaçada|ClearMind Digital Individual 3|PhotoFusion X Extra Dark Cinza|1.67|1.67|DuraVision Silver UV|-8.00 a +8.00|-6.00|0.50 a 1.25|70|||26</x:v>
      </x:c>
    </x:row>
    <x:row r="1794">
      <x:c r="A1794" s="24" t="str">
        <x:v>ZS-38186A0C1723</x:v>
      </x:c>
      <x:c r="B1794" s="24" t="str">
        <x:v>SIM</x:v>
      </x:c>
      <x:c r="C1794" s="24" t="str">
        <x:v>DISPONÍVEL</x:v>
      </x:c>
      <x:c r="D1794" s="24" t="str">
        <x:v>ZEISS</x:v>
      </x:c>
      <x:c r="E1794" s="24" t="str">
        <x:v>Visão Simples Digital</x:v>
      </x:c>
      <x:c r="F1794" s="24" t="str">
        <x:v>Surfaçada</x:v>
      </x:c>
      <x:c r="G1794" s="24" t="str">
        <x:v>ClearMind Digital Individual 3</x:v>
      </x:c>
      <x:c r="H1794" s="24" t="str">
        <x:v>PhotoFusion X Extra Dark Cinza</x:v>
      </x:c>
      <x:c r="I1794" s="24" t="str">
        <x:v>1.67</x:v>
      </x:c>
      <x:c r="J1794" s="24" t="str">
        <x:v>1.67</x:v>
      </x:c>
      <x:c r="K1794" s="24" t="str">
        <x:v>DuraVision Chrome UV</x:v>
      </x:c>
      <x:c r="L1794" s="40" t="n">
        <x:v>4923</x:v>
      </x:c>
      <x:c r="M1794" s="24" t="str">
        <x:v>-8.00 a +8.00</x:v>
      </x:c>
      <x:c r="N1794" s="24" t="str">
        <x:v>-6.00</x:v>
      </x:c>
      <x:c r="O1794" s="24" t="str">
        <x:v>0.50 a 1.25</x:v>
      </x:c>
      <x:c r="P1794" s="24" t="str">
        <x:v>70</x:v>
      </x:c>
      <x:c r="Q1794" s="24"/>
      <x:c r="R1794" s="24"/>
      <x:c r="S1794" s="26" t="n">
        <x:v>46113</x:v>
      </x:c>
      <x:c r="T1794" s="26"/>
      <x:c r="U1794" s="24" t="str">
        <x:v>ATIVA/SEM FIM INFORMADO</x:v>
      </x:c>
      <x:c r="V1794" s="24" t="str">
        <x:v>Programa de Parcerias ZEISS — categoria Experts; Programa de Parcerias ZEISS</x:v>
      </x:c>
      <x:c r="W1794" s="24" t="n">
        <x:v>26</x:v>
      </x:c>
      <x:c r="X1794" s="24" t="str">
        <x:v>tabela_zeiss.pdf</x:v>
      </x:c>
      <x:c r="Y1794" s="24" t="str">
        <x:v>alta</x:v>
      </x:c>
      <x:c r="Z1794" s="24"/>
      <x:c r="AA1794" s="24" t="str">
        <x:v>ZEISS|Visão Simples Digital|Surfaçada|ClearMind Digital Individual 3|PhotoFusion X Extra Dark Cinza|1.67|1.67|DuraVision Chrome UV|-8.00 a +8.00|-6.00|0.50 a 1.25|70|||26</x:v>
      </x:c>
    </x:row>
    <x:row r="1795">
      <x:c r="A1795" s="24" t="str">
        <x:v>ZS-4619067A5680</x:v>
      </x:c>
      <x:c r="B1795" s="24" t="str">
        <x:v>SIM</x:v>
      </x:c>
      <x:c r="C1795" s="24" t="str">
        <x:v>DISPONÍVEL</x:v>
      </x:c>
      <x:c r="D1795" s="24" t="str">
        <x:v>ZEISS</x:v>
      </x:c>
      <x:c r="E1795" s="24" t="str">
        <x:v>Visão Simples Digital</x:v>
      </x:c>
      <x:c r="F1795" s="24" t="str">
        <x:v>Surfaçada</x:v>
      </x:c>
      <x:c r="G1795" s="24" t="str">
        <x:v>ClearMind Digital Individual 3</x:v>
      </x:c>
      <x:c r="H1795" s="24" t="str">
        <x:v>Polarizada</x:v>
      </x:c>
      <x:c r="I1795" s="24" t="str">
        <x:v>1.5</x:v>
      </x:c>
      <x:c r="J1795" s="24" t="str">
        <x:v>1.50</x:v>
      </x:c>
      <x:c r="K1795" s="24" t="str">
        <x:v>DuraVision Gold UV</x:v>
      </x:c>
      <x:c r="L1795" s="40" t="n">
        <x:v>3303</x:v>
      </x:c>
      <x:c r="M1795" s="24" t="str">
        <x:v>-6.00 a +6.00</x:v>
      </x:c>
      <x:c r="N1795" s="24" t="str">
        <x:v>-4.00</x:v>
      </x:c>
      <x:c r="O1795" s="24" t="str">
        <x:v>0.50 a 1.25</x:v>
      </x:c>
      <x:c r="P1795" s="24" t="str">
        <x:v>70</x:v>
      </x:c>
      <x:c r="Q1795" s="24"/>
      <x:c r="R1795" s="24"/>
      <x:c r="S1795" s="26" t="n">
        <x:v>46113</x:v>
      </x:c>
      <x:c r="T1795" s="26"/>
      <x:c r="U1795" s="24" t="str">
        <x:v>ATIVA/SEM FIM INFORMADO</x:v>
      </x:c>
      <x:c r="V1795" s="24" t="str">
        <x:v>Programa de Parcerias ZEISS — categoria Experts</x:v>
      </x:c>
      <x:c r="W1795" s="24" t="n">
        <x:v>26</x:v>
      </x:c>
      <x:c r="X1795" s="24" t="str">
        <x:v>tabela_zeiss.pdf</x:v>
      </x:c>
      <x:c r="Y1795" s="24" t="str">
        <x:v>alta</x:v>
      </x:c>
      <x:c r="Z1795" s="24"/>
      <x:c r="AA1795" s="24" t="str">
        <x:v>ZEISS|Visão Simples Digital|Surfaçada|ClearMind Digital Individual 3|Polarizada|1.5|1.50|DuraVision Gold UV|-6.00 a +6.00|-4.00|0.50 a 1.25|70|||26</x:v>
      </x:c>
    </x:row>
    <x:row r="1796">
      <x:c r="A1796" s="24" t="str">
        <x:v>ZS-3C50B7BB73E9</x:v>
      </x:c>
      <x:c r="B1796" s="24" t="str">
        <x:v>SIM</x:v>
      </x:c>
      <x:c r="C1796" s="24" t="str">
        <x:v>DISPONÍVEL</x:v>
      </x:c>
      <x:c r="D1796" s="24" t="str">
        <x:v>ZEISS</x:v>
      </x:c>
      <x:c r="E1796" s="24" t="str">
        <x:v>Visão Simples Digital</x:v>
      </x:c>
      <x:c r="F1796" s="24" t="str">
        <x:v>Surfaçada</x:v>
      </x:c>
      <x:c r="G1796" s="24" t="str">
        <x:v>ClearMind Digital Individual 3</x:v>
      </x:c>
      <x:c r="H1796" s="24" t="str">
        <x:v>Polarizada</x:v>
      </x:c>
      <x:c r="I1796" s="24" t="str">
        <x:v>1.5</x:v>
      </x:c>
      <x:c r="J1796" s="24" t="str">
        <x:v>1.50</x:v>
      </x:c>
      <x:c r="K1796" s="24" t="str">
        <x:v>DuraVision Platinum UV</x:v>
      </x:c>
      <x:c r="L1796" s="40" t="n">
        <x:v>3163</x:v>
      </x:c>
      <x:c r="M1796" s="24" t="str">
        <x:v>-6.00 a +6.00</x:v>
      </x:c>
      <x:c r="N1796" s="24" t="str">
        <x:v>-4.00</x:v>
      </x:c>
      <x:c r="O1796" s="24" t="str">
        <x:v>0.50 a 1.25</x:v>
      </x:c>
      <x:c r="P1796" s="24" t="str">
        <x:v>70</x:v>
      </x:c>
      <x:c r="Q1796" s="24"/>
      <x:c r="R1796" s="24"/>
      <x:c r="S1796" s="26" t="n">
        <x:v>46113</x:v>
      </x:c>
      <x:c r="T1796" s="26"/>
      <x:c r="U1796" s="24" t="str">
        <x:v>ATIVA/SEM FIM INFORMADO</x:v>
      </x:c>
      <x:c r="V1796" s="24" t="str">
        <x:v>Programa de Parcerias ZEISS — categoria Experts</x:v>
      </x:c>
      <x:c r="W1796" s="24" t="n">
        <x:v>26</x:v>
      </x:c>
      <x:c r="X1796" s="24" t="str">
        <x:v>tabela_zeiss.pdf</x:v>
      </x:c>
      <x:c r="Y1796" s="24" t="str">
        <x:v>alta</x:v>
      </x:c>
      <x:c r="Z1796" s="24"/>
      <x:c r="AA1796" s="24" t="str">
        <x:v>ZEISS|Visão Simples Digital|Surfaçada|ClearMind Digital Individual 3|Polarizada|1.5|1.50|DuraVision Platinum UV|-6.00 a +6.00|-4.00|0.50 a 1.25|70|||26</x:v>
      </x:c>
    </x:row>
    <x:row r="1797">
      <x:c r="A1797" s="24" t="str">
        <x:v>ZS-0D64D81A87DC</x:v>
      </x:c>
      <x:c r="B1797" s="24" t="str">
        <x:v>SIM</x:v>
      </x:c>
      <x:c r="C1797" s="24" t="str">
        <x:v>DISPONÍVEL</x:v>
      </x:c>
      <x:c r="D1797" s="24" t="str">
        <x:v>ZEISS</x:v>
      </x:c>
      <x:c r="E1797" s="24" t="str">
        <x:v>Visão Simples Digital</x:v>
      </x:c>
      <x:c r="F1797" s="24" t="str">
        <x:v>Surfaçada</x:v>
      </x:c>
      <x:c r="G1797" s="24" t="str">
        <x:v>ClearMind Digital Individual 3</x:v>
      </x:c>
      <x:c r="H1797" s="24" t="str">
        <x:v>Polarizada</x:v>
      </x:c>
      <x:c r="I1797" s="24" t="str">
        <x:v>1.5</x:v>
      </x:c>
      <x:c r="J1797" s="24" t="str">
        <x:v>1.50</x:v>
      </x:c>
      <x:c r="K1797" s="24" t="str">
        <x:v>DuraVision Silver UV</x:v>
      </x:c>
      <x:c r="L1797" s="40" t="n">
        <x:v>2903</x:v>
      </x:c>
      <x:c r="M1797" s="24" t="str">
        <x:v>-6.00 a +6.00</x:v>
      </x:c>
      <x:c r="N1797" s="24" t="str">
        <x:v>-4.00</x:v>
      </x:c>
      <x:c r="O1797" s="24" t="str">
        <x:v>0.50 a 1.25</x:v>
      </x:c>
      <x:c r="P1797" s="24" t="str">
        <x:v>70</x:v>
      </x:c>
      <x:c r="Q1797" s="24"/>
      <x:c r="R1797" s="24"/>
      <x:c r="S1797" s="26" t="n">
        <x:v>46113</x:v>
      </x:c>
      <x:c r="T1797" s="26"/>
      <x:c r="U1797" s="24" t="str">
        <x:v>ATIVA/SEM FIM INFORMADO</x:v>
      </x:c>
      <x:c r="V1797" s="24" t="str">
        <x:v>Programa de Parcerias ZEISS — categoria Experts</x:v>
      </x:c>
      <x:c r="W1797" s="24" t="n">
        <x:v>26</x:v>
      </x:c>
      <x:c r="X1797" s="24" t="str">
        <x:v>tabela_zeiss.pdf</x:v>
      </x:c>
      <x:c r="Y1797" s="24" t="str">
        <x:v>alta</x:v>
      </x:c>
      <x:c r="Z1797" s="24"/>
      <x:c r="AA1797" s="24" t="str">
        <x:v>ZEISS|Visão Simples Digital|Surfaçada|ClearMind Digital Individual 3|Polarizada|1.5|1.50|DuraVision Silver UV|-6.00 a +6.00|-4.00|0.50 a 1.25|70|||26</x:v>
      </x:c>
    </x:row>
    <x:row r="1798">
      <x:c r="A1798" s="24" t="str">
        <x:v>ZS-50C5D5A1C384</x:v>
      </x:c>
      <x:c r="B1798" s="24" t="str">
        <x:v>SIM</x:v>
      </x:c>
      <x:c r="C1798" s="24" t="str">
        <x:v>DISPONÍVEL</x:v>
      </x:c>
      <x:c r="D1798" s="24" t="str">
        <x:v>ZEISS</x:v>
      </x:c>
      <x:c r="E1798" s="24" t="str">
        <x:v>Visão Simples Digital</x:v>
      </x:c>
      <x:c r="F1798" s="24" t="str">
        <x:v>Surfaçada</x:v>
      </x:c>
      <x:c r="G1798" s="24" t="str">
        <x:v>ClearMind Digital Individual 3</x:v>
      </x:c>
      <x:c r="H1798" s="24" t="str">
        <x:v>Polarizada</x:v>
      </x:c>
      <x:c r="I1798" s="24" t="str">
        <x:v>1.5</x:v>
      </x:c>
      <x:c r="J1798" s="24" t="str">
        <x:v>1.50</x:v>
      </x:c>
      <x:c r="K1798" s="24" t="str">
        <x:v>DuraVision Chrome UV</x:v>
      </x:c>
      <x:c r="L1798" s="40" t="n">
        <x:v>2413</x:v>
      </x:c>
      <x:c r="M1798" s="24" t="str">
        <x:v>-6.00 a +6.00</x:v>
      </x:c>
      <x:c r="N1798" s="24" t="str">
        <x:v>-4.00</x:v>
      </x:c>
      <x:c r="O1798" s="24" t="str">
        <x:v>0.50 a 1.25</x:v>
      </x:c>
      <x:c r="P1798" s="24" t="str">
        <x:v>70</x:v>
      </x:c>
      <x:c r="Q1798" s="24"/>
      <x:c r="R1798" s="24"/>
      <x:c r="S1798" s="26" t="n">
        <x:v>46113</x:v>
      </x:c>
      <x:c r="T1798" s="26"/>
      <x:c r="U1798" s="24" t="str">
        <x:v>ATIVA/SEM FIM INFORMADO</x:v>
      </x:c>
      <x:c r="V1798" s="24" t="str">
        <x:v>Programa de Parcerias ZEISS — categoria Experts</x:v>
      </x:c>
      <x:c r="W1798" s="24" t="n">
        <x:v>26</x:v>
      </x:c>
      <x:c r="X1798" s="24" t="str">
        <x:v>tabela_zeiss.pdf</x:v>
      </x:c>
      <x:c r="Y1798" s="24" t="str">
        <x:v>alta</x:v>
      </x:c>
      <x:c r="Z1798" s="24"/>
      <x:c r="AA1798" s="24" t="str">
        <x:v>ZEISS|Visão Simples Digital|Surfaçada|ClearMind Digital Individual 3|Polarizada|1.5|1.50|DuraVision Chrome UV|-6.00 a +6.00|-4.00|0.50 a 1.25|70|||26</x:v>
      </x:c>
    </x:row>
    <x:row r="1799">
      <x:c r="A1799" s="24" t="str">
        <x:v>ZS-CDB6878A772D</x:v>
      </x:c>
      <x:c r="B1799" s="24" t="str">
        <x:v>SIM</x:v>
      </x:c>
      <x:c r="C1799" s="24" t="str">
        <x:v>DISPONÍVEL</x:v>
      </x:c>
      <x:c r="D1799" s="24" t="str">
        <x:v>ZEISS</x:v>
      </x:c>
      <x:c r="E1799" s="24" t="str">
        <x:v>Visão Simples Digital</x:v>
      </x:c>
      <x:c r="F1799" s="24" t="str">
        <x:v>Surfaçada</x:v>
      </x:c>
      <x:c r="G1799" s="24" t="str">
        <x:v>ClearMind Digital Individual 3</x:v>
      </x:c>
      <x:c r="H1799" s="24" t="str">
        <x:v>Polarizada</x:v>
      </x:c>
      <x:c r="I1799" s="24" t="str">
        <x:v>1.6</x:v>
      </x:c>
      <x:c r="J1799" s="24" t="str">
        <x:v>1.60</x:v>
      </x:c>
      <x:c r="K1799" s="24" t="str">
        <x:v>DuraVision Gold UV</x:v>
      </x:c>
      <x:c r="L1799" s="40" t="n">
        <x:v>3883</x:v>
      </x:c>
      <x:c r="M1799" s="24" t="str">
        <x:v>-8.00 a +8.00</x:v>
      </x:c>
      <x:c r="N1799" s="24" t="str">
        <x:v>-4.00</x:v>
      </x:c>
      <x:c r="O1799" s="24" t="str">
        <x:v>0.50 a 1.25</x:v>
      </x:c>
      <x:c r="P1799" s="24" t="str">
        <x:v>70</x:v>
      </x:c>
      <x:c r="Q1799" s="24"/>
      <x:c r="R1799" s="24"/>
      <x:c r="S1799" s="26" t="n">
        <x:v>46113</x:v>
      </x:c>
      <x:c r="T1799" s="26"/>
      <x:c r="U1799" s="24" t="str">
        <x:v>ATIVA/SEM FIM INFORMADO</x:v>
      </x:c>
      <x:c r="V1799" s="24" t="str">
        <x:v>Programa de Parcerias ZEISS — categoria Experts</x:v>
      </x:c>
      <x:c r="W1799" s="24" t="n">
        <x:v>26</x:v>
      </x:c>
      <x:c r="X1799" s="24" t="str">
        <x:v>tabela_zeiss.pdf</x:v>
      </x:c>
      <x:c r="Y1799" s="24" t="str">
        <x:v>alta</x:v>
      </x:c>
      <x:c r="Z1799" s="24"/>
      <x:c r="AA1799" s="24" t="str">
        <x:v>ZEISS|Visão Simples Digital|Surfaçada|ClearMind Digital Individual 3|Polarizada|1.6|1.60|DuraVision Gold UV|-8.00 a +8.00|-4.00|0.50 a 1.25|70|||26</x:v>
      </x:c>
    </x:row>
    <x:row r="1800">
      <x:c r="A1800" s="24" t="str">
        <x:v>ZS-A6A72C2A4C4A</x:v>
      </x:c>
      <x:c r="B1800" s="24" t="str">
        <x:v>SIM</x:v>
      </x:c>
      <x:c r="C1800" s="24" t="str">
        <x:v>DISPONÍVEL</x:v>
      </x:c>
      <x:c r="D1800" s="24" t="str">
        <x:v>ZEISS</x:v>
      </x:c>
      <x:c r="E1800" s="24" t="str">
        <x:v>Visão Simples Digital</x:v>
      </x:c>
      <x:c r="F1800" s="24" t="str">
        <x:v>Surfaçada</x:v>
      </x:c>
      <x:c r="G1800" s="24" t="str">
        <x:v>ClearMind Digital Individual 3</x:v>
      </x:c>
      <x:c r="H1800" s="24" t="str">
        <x:v>Polarizada</x:v>
      </x:c>
      <x:c r="I1800" s="24" t="str">
        <x:v>1.6</x:v>
      </x:c>
      <x:c r="J1800" s="24" t="str">
        <x:v>1.60</x:v>
      </x:c>
      <x:c r="K1800" s="24" t="str">
        <x:v>DuraVision Platinum UV</x:v>
      </x:c>
      <x:c r="L1800" s="40" t="n">
        <x:v>3743</x:v>
      </x:c>
      <x:c r="M1800" s="24" t="str">
        <x:v>-8.00 a +8.00</x:v>
      </x:c>
      <x:c r="N1800" s="24" t="str">
        <x:v>-4.00</x:v>
      </x:c>
      <x:c r="O1800" s="24" t="str">
        <x:v>0.50 a 1.25</x:v>
      </x:c>
      <x:c r="P1800" s="24" t="str">
        <x:v>70</x:v>
      </x:c>
      <x:c r="Q1800" s="24"/>
      <x:c r="R1800" s="24"/>
      <x:c r="S1800" s="26" t="n">
        <x:v>46113</x:v>
      </x:c>
      <x:c r="T1800" s="26"/>
      <x:c r="U1800" s="24" t="str">
        <x:v>ATIVA/SEM FIM INFORMADO</x:v>
      </x:c>
      <x:c r="V1800" s="24" t="str">
        <x:v>Programa de Parcerias ZEISS — categoria Experts</x:v>
      </x:c>
      <x:c r="W1800" s="24" t="n">
        <x:v>26</x:v>
      </x:c>
      <x:c r="X1800" s="24" t="str">
        <x:v>tabela_zeiss.pdf</x:v>
      </x:c>
      <x:c r="Y1800" s="24" t="str">
        <x:v>alta</x:v>
      </x:c>
      <x:c r="Z1800" s="24"/>
      <x:c r="AA1800" s="24" t="str">
        <x:v>ZEISS|Visão Simples Digital|Surfaçada|ClearMind Digital Individual 3|Polarizada|1.6|1.60|DuraVision Platinum UV|-8.00 a +8.00|-4.00|0.50 a 1.25|70|||26</x:v>
      </x:c>
    </x:row>
    <x:row r="1801">
      <x:c r="A1801" s="24" t="str">
        <x:v>ZS-A02479D844A4</x:v>
      </x:c>
      <x:c r="B1801" s="24" t="str">
        <x:v>SIM</x:v>
      </x:c>
      <x:c r="C1801" s="24" t="str">
        <x:v>DISPONÍVEL</x:v>
      </x:c>
      <x:c r="D1801" s="24" t="str">
        <x:v>ZEISS</x:v>
      </x:c>
      <x:c r="E1801" s="24" t="str">
        <x:v>Visão Simples Digital</x:v>
      </x:c>
      <x:c r="F1801" s="24" t="str">
        <x:v>Surfaçada</x:v>
      </x:c>
      <x:c r="G1801" s="24" t="str">
        <x:v>ClearMind Digital Individual 3</x:v>
      </x:c>
      <x:c r="H1801" s="24" t="str">
        <x:v>Polarizada</x:v>
      </x:c>
      <x:c r="I1801" s="24" t="str">
        <x:v>1.6</x:v>
      </x:c>
      <x:c r="J1801" s="24" t="str">
        <x:v>1.60</x:v>
      </x:c>
      <x:c r="K1801" s="24" t="str">
        <x:v>DuraVision Silver UV</x:v>
      </x:c>
      <x:c r="L1801" s="40" t="n">
        <x:v>3483</x:v>
      </x:c>
      <x:c r="M1801" s="24" t="str">
        <x:v>-8.00 a +8.00</x:v>
      </x:c>
      <x:c r="N1801" s="24" t="str">
        <x:v>-4.00</x:v>
      </x:c>
      <x:c r="O1801" s="24" t="str">
        <x:v>0.50 a 1.25</x:v>
      </x:c>
      <x:c r="P1801" s="24" t="str">
        <x:v>70</x:v>
      </x:c>
      <x:c r="Q1801" s="24"/>
      <x:c r="R1801" s="24"/>
      <x:c r="S1801" s="26" t="n">
        <x:v>46113</x:v>
      </x:c>
      <x:c r="T1801" s="26"/>
      <x:c r="U1801" s="24" t="str">
        <x:v>ATIVA/SEM FIM INFORMADO</x:v>
      </x:c>
      <x:c r="V1801" s="24" t="str">
        <x:v>Programa de Parcerias ZEISS — categoria Experts</x:v>
      </x:c>
      <x:c r="W1801" s="24" t="n">
        <x:v>26</x:v>
      </x:c>
      <x:c r="X1801" s="24" t="str">
        <x:v>tabela_zeiss.pdf</x:v>
      </x:c>
      <x:c r="Y1801" s="24" t="str">
        <x:v>alta</x:v>
      </x:c>
      <x:c r="Z1801" s="24"/>
      <x:c r="AA1801" s="24" t="str">
        <x:v>ZEISS|Visão Simples Digital|Surfaçada|ClearMind Digital Individual 3|Polarizada|1.6|1.60|DuraVision Silver UV|-8.00 a +8.00|-4.00|0.50 a 1.25|70|||26</x:v>
      </x:c>
    </x:row>
    <x:row r="1802">
      <x:c r="A1802" s="24" t="str">
        <x:v>ZS-AD6DA062E759</x:v>
      </x:c>
      <x:c r="B1802" s="24" t="str">
        <x:v>SIM</x:v>
      </x:c>
      <x:c r="C1802" s="24" t="str">
        <x:v>DISPONÍVEL</x:v>
      </x:c>
      <x:c r="D1802" s="24" t="str">
        <x:v>ZEISS</x:v>
      </x:c>
      <x:c r="E1802" s="24" t="str">
        <x:v>Visão Simples Digital</x:v>
      </x:c>
      <x:c r="F1802" s="24" t="str">
        <x:v>Surfaçada</x:v>
      </x:c>
      <x:c r="G1802" s="24" t="str">
        <x:v>ClearMind Digital Individual 3</x:v>
      </x:c>
      <x:c r="H1802" s="24" t="str">
        <x:v>Polarizada</x:v>
      </x:c>
      <x:c r="I1802" s="24" t="str">
        <x:v>1.6</x:v>
      </x:c>
      <x:c r="J1802" s="24" t="str">
        <x:v>1.60</x:v>
      </x:c>
      <x:c r="K1802" s="24" t="str">
        <x:v>DuraVision Chrome UV</x:v>
      </x:c>
      <x:c r="L1802" s="40" t="n">
        <x:v>2993</x:v>
      </x:c>
      <x:c r="M1802" s="24" t="str">
        <x:v>-8.00 a +8.00</x:v>
      </x:c>
      <x:c r="N1802" s="24" t="str">
        <x:v>-4.00</x:v>
      </x:c>
      <x:c r="O1802" s="24" t="str">
        <x:v>0.50 a 1.25</x:v>
      </x:c>
      <x:c r="P1802" s="24" t="str">
        <x:v>70</x:v>
      </x:c>
      <x:c r="Q1802" s="24"/>
      <x:c r="R1802" s="24"/>
      <x:c r="S1802" s="26" t="n">
        <x:v>46113</x:v>
      </x:c>
      <x:c r="T1802" s="26"/>
      <x:c r="U1802" s="24" t="str">
        <x:v>ATIVA/SEM FIM INFORMADO</x:v>
      </x:c>
      <x:c r="V1802" s="24" t="str">
        <x:v>Programa de Parcerias ZEISS — categoria Experts</x:v>
      </x:c>
      <x:c r="W1802" s="24" t="n">
        <x:v>26</x:v>
      </x:c>
      <x:c r="X1802" s="24" t="str">
        <x:v>tabela_zeiss.pdf</x:v>
      </x:c>
      <x:c r="Y1802" s="24" t="str">
        <x:v>alta</x:v>
      </x:c>
      <x:c r="Z1802" s="24"/>
      <x:c r="AA1802" s="24" t="str">
        <x:v>ZEISS|Visão Simples Digital|Surfaçada|ClearMind Digital Individual 3|Polarizada|1.6|1.60|DuraVision Chrome UV|-8.00 a +8.00|-4.00|0.50 a 1.25|70|||26</x:v>
      </x:c>
    </x:row>
    <x:row r="1803">
      <x:c r="A1803" s="24" t="str">
        <x:v>ZS-7F0B9F426DFC</x:v>
      </x:c>
      <x:c r="B1803" s="24" t="str">
        <x:v>SIM</x:v>
      </x:c>
      <x:c r="C1803" s="24" t="str">
        <x:v>DISPONÍVEL</x:v>
      </x:c>
      <x:c r="D1803" s="24" t="str">
        <x:v>ZEISS</x:v>
      </x:c>
      <x:c r="E1803" s="24" t="str">
        <x:v>Visão Simples Digital</x:v>
      </x:c>
      <x:c r="F1803" s="24" t="str">
        <x:v>Surfaçada</x:v>
      </x:c>
      <x:c r="G1803" s="24" t="str">
        <x:v>SmartLife Digital Individual 3</x:v>
      </x:c>
      <x:c r="H1803" s="24"/>
      <x:c r="I1803" s="24" t="str">
        <x:v>1.5</x:v>
      </x:c>
      <x:c r="J1803" s="24" t="str">
        <x:v>1.50</x:v>
      </x:c>
      <x:c r="K1803" s="24" t="str">
        <x:v>DuraVision Gold UV</x:v>
      </x:c>
      <x:c r="L1803" s="40" t="n">
        <x:v>2213</x:v>
      </x:c>
      <x:c r="M1803" s="24" t="str">
        <x:v>-6.00 a +4.00</x:v>
      </x:c>
      <x:c r="N1803" s="24" t="str">
        <x:v>-4.00</x:v>
      </x:c>
      <x:c r="O1803" s="24" t="str">
        <x:v>0.50 a 1.25</x:v>
      </x:c>
      <x:c r="P1803" s="24" t="str">
        <x:v>75</x:v>
      </x:c>
      <x:c r="Q1803" s="24"/>
      <x:c r="R1803" s="24"/>
      <x:c r="S1803" s="26" t="n">
        <x:v>46113</x:v>
      </x:c>
      <x:c r="T1803" s="26"/>
      <x:c r="U1803" s="24" t="str">
        <x:v>ATIVA/SEM FIM INFORMADO</x:v>
      </x:c>
      <x:c r="V1803" s="24"/>
      <x:c r="W1803" s="24" t="n">
        <x:v>27</x:v>
      </x:c>
      <x:c r="X1803" s="24" t="str">
        <x:v>tabela_zeiss.pdf</x:v>
      </x:c>
      <x:c r="Y1803" s="24" t="str">
        <x:v>alta</x:v>
      </x:c>
      <x:c r="Z1803" s="24"/>
      <x:c r="AA1803" s="24" t="str">
        <x:v>ZEISS|Visão Simples Digital|Surfaçada|SmartLife Digital Individual 3||1.5|1.50|DuraVision Gold UV|-6.00 a +4.00|-4.00|0.50 a 1.25|75|||27</x:v>
      </x:c>
    </x:row>
    <x:row r="1804">
      <x:c r="A1804" s="24" t="str">
        <x:v>ZS-A1F53BA2FEA6</x:v>
      </x:c>
      <x:c r="B1804" s="24" t="str">
        <x:v>SIM</x:v>
      </x:c>
      <x:c r="C1804" s="24" t="str">
        <x:v>DISPONÍVEL</x:v>
      </x:c>
      <x:c r="D1804" s="24" t="str">
        <x:v>ZEISS</x:v>
      </x:c>
      <x:c r="E1804" s="24" t="str">
        <x:v>Visão Simples Digital</x:v>
      </x:c>
      <x:c r="F1804" s="24" t="str">
        <x:v>Surfaçada</x:v>
      </x:c>
      <x:c r="G1804" s="24" t="str">
        <x:v>SmartLife Digital Individual 3</x:v>
      </x:c>
      <x:c r="H1804" s="24"/>
      <x:c r="I1804" s="24" t="str">
        <x:v>1.5</x:v>
      </x:c>
      <x:c r="J1804" s="24" t="str">
        <x:v>1.50</x:v>
      </x:c>
      <x:c r="K1804" s="24" t="str">
        <x:v>DURAVISION® ANTIVÍRUS PLATINUM UV</x:v>
      </x:c>
      <x:c r="L1804" s="40" t="n">
        <x:v>2073</x:v>
      </x:c>
      <x:c r="M1804" s="24" t="str">
        <x:v>-6.00 a +4.00</x:v>
      </x:c>
      <x:c r="N1804" s="24" t="str">
        <x:v>-4.00</x:v>
      </x:c>
      <x:c r="O1804" s="24" t="str">
        <x:v>0.50 a 1.25</x:v>
      </x:c>
      <x:c r="P1804" s="24" t="str">
        <x:v>75</x:v>
      </x:c>
      <x:c r="Q1804" s="24"/>
      <x:c r="R1804" s="24"/>
      <x:c r="S1804" s="26" t="n">
        <x:v>46113</x:v>
      </x:c>
      <x:c r="T1804" s="26"/>
      <x:c r="U1804" s="24" t="str">
        <x:v>ATIVA/SEM FIM INFORMADO</x:v>
      </x:c>
      <x:c r="V1804" s="24"/>
      <x:c r="W1804" s="24" t="n">
        <x:v>27</x:v>
      </x:c>
      <x:c r="X1804" s="24" t="str">
        <x:v>tabela_zeiss.pdf</x:v>
      </x:c>
      <x:c r="Y1804" s="24" t="str">
        <x:v>alta</x:v>
      </x:c>
      <x:c r="Z1804" s="24"/>
      <x:c r="AA1804" s="24" t="str">
        <x:v>ZEISS|Visão Simples Digital|Surfaçada|SmartLife Digital Individual 3||1.5|1.50|DURAVISION® ANTIVÍRUS PLATINUM UV|-6.00 a +4.00|-4.00|0.50 a 1.25|75|||27</x:v>
      </x:c>
    </x:row>
    <x:row r="1805">
      <x:c r="A1805" s="24" t="str">
        <x:v>ZS-D0909E0DA676</x:v>
      </x:c>
      <x:c r="B1805" s="24" t="str">
        <x:v>SIM</x:v>
      </x:c>
      <x:c r="C1805" s="24" t="str">
        <x:v>DISPONÍVEL</x:v>
      </x:c>
      <x:c r="D1805" s="24" t="str">
        <x:v>ZEISS</x:v>
      </x:c>
      <x:c r="E1805" s="24" t="str">
        <x:v>Visão Simples Digital</x:v>
      </x:c>
      <x:c r="F1805" s="24" t="str">
        <x:v>Surfaçada</x:v>
      </x:c>
      <x:c r="G1805" s="24" t="str">
        <x:v>SmartLife Digital Individual 3</x:v>
      </x:c>
      <x:c r="H1805" s="24"/>
      <x:c r="I1805" s="24" t="str">
        <x:v>1.5</x:v>
      </x:c>
      <x:c r="J1805" s="24" t="str">
        <x:v>1.50</x:v>
      </x:c>
      <x:c r="K1805" s="24" t="str">
        <x:v>DuraVision Platinum UV</x:v>
      </x:c>
      <x:c r="L1805" s="40" t="n">
        <x:v>2073</x:v>
      </x:c>
      <x:c r="M1805" s="24" t="str">
        <x:v>-6.00 a +4.00</x:v>
      </x:c>
      <x:c r="N1805" s="24" t="str">
        <x:v>-4.00</x:v>
      </x:c>
      <x:c r="O1805" s="24" t="str">
        <x:v>0.50 a 1.25</x:v>
      </x:c>
      <x:c r="P1805" s="24" t="str">
        <x:v>75</x:v>
      </x:c>
      <x:c r="Q1805" s="24"/>
      <x:c r="R1805" s="24"/>
      <x:c r="S1805" s="26" t="n">
        <x:v>46113</x:v>
      </x:c>
      <x:c r="T1805" s="26"/>
      <x:c r="U1805" s="24" t="str">
        <x:v>ATIVA/SEM FIM INFORMADO</x:v>
      </x:c>
      <x:c r="V1805" s="24"/>
      <x:c r="W1805" s="24" t="n">
        <x:v>27</x:v>
      </x:c>
      <x:c r="X1805" s="24" t="str">
        <x:v>tabela_zeiss.pdf</x:v>
      </x:c>
      <x:c r="Y1805" s="24" t="str">
        <x:v>alta</x:v>
      </x:c>
      <x:c r="Z1805" s="24"/>
      <x:c r="AA1805" s="24" t="str">
        <x:v>ZEISS|Visão Simples Digital|Surfaçada|SmartLife Digital Individual 3||1.5|1.50|DuraVision Platinum UV|-6.00 a +4.00|-4.00|0.50 a 1.25|75|||27</x:v>
      </x:c>
    </x:row>
    <x:row r="1806">
      <x:c r="A1806" s="24" t="str">
        <x:v>ZS-5FEA8FE94391</x:v>
      </x:c>
      <x:c r="B1806" s="24" t="str">
        <x:v>SIM</x:v>
      </x:c>
      <x:c r="C1806" s="24" t="str">
        <x:v>DISPONÍVEL</x:v>
      </x:c>
      <x:c r="D1806" s="24" t="str">
        <x:v>ZEISS</x:v>
      </x:c>
      <x:c r="E1806" s="24" t="str">
        <x:v>Visão Simples Digital</x:v>
      </x:c>
      <x:c r="F1806" s="24" t="str">
        <x:v>Surfaçada</x:v>
      </x:c>
      <x:c r="G1806" s="24" t="str">
        <x:v>SmartLife Digital Individual 3</x:v>
      </x:c>
      <x:c r="H1806" s="24"/>
      <x:c r="I1806" s="24" t="str">
        <x:v>1.5</x:v>
      </x:c>
      <x:c r="J1806" s="24" t="str">
        <x:v>1.50</x:v>
      </x:c>
      <x:c r="K1806" s="24" t="str">
        <x:v>DuraVision Silver UV</x:v>
      </x:c>
      <x:c r="L1806" s="40" t="n">
        <x:v>1813</x:v>
      </x:c>
      <x:c r="M1806" s="24" t="str">
        <x:v>-6.00 a +4.00</x:v>
      </x:c>
      <x:c r="N1806" s="24" t="str">
        <x:v>-4.00</x:v>
      </x:c>
      <x:c r="O1806" s="24" t="str">
        <x:v>0.50 a 1.25</x:v>
      </x:c>
      <x:c r="P1806" s="24" t="str">
        <x:v>75</x:v>
      </x:c>
      <x:c r="Q1806" s="24"/>
      <x:c r="R1806" s="24"/>
      <x:c r="S1806" s="26" t="n">
        <x:v>46113</x:v>
      </x:c>
      <x:c r="T1806" s="26"/>
      <x:c r="U1806" s="24" t="str">
        <x:v>ATIVA/SEM FIM INFORMADO</x:v>
      </x:c>
      <x:c r="V1806" s="24"/>
      <x:c r="W1806" s="24" t="n">
        <x:v>27</x:v>
      </x:c>
      <x:c r="X1806" s="24" t="str">
        <x:v>tabela_zeiss.pdf</x:v>
      </x:c>
      <x:c r="Y1806" s="24" t="str">
        <x:v>alta</x:v>
      </x:c>
      <x:c r="Z1806" s="24"/>
      <x:c r="AA1806" s="24" t="str">
        <x:v>ZEISS|Visão Simples Digital|Surfaçada|SmartLife Digital Individual 3||1.5|1.50|DuraVision Silver UV|-6.00 a +4.00|-4.00|0.50 a 1.25|75|||27</x:v>
      </x:c>
    </x:row>
    <x:row r="1807">
      <x:c r="A1807" s="24" t="str">
        <x:v>ZS-7D159C373D73</x:v>
      </x:c>
      <x:c r="B1807" s="24" t="str">
        <x:v>SIM</x:v>
      </x:c>
      <x:c r="C1807" s="24" t="str">
        <x:v>DISPONÍVEL</x:v>
      </x:c>
      <x:c r="D1807" s="24" t="str">
        <x:v>ZEISS</x:v>
      </x:c>
      <x:c r="E1807" s="24" t="str">
        <x:v>Visão Simples Digital</x:v>
      </x:c>
      <x:c r="F1807" s="24" t="str">
        <x:v>Surfaçada</x:v>
      </x:c>
      <x:c r="G1807" s="24" t="str">
        <x:v>SmartLife Digital Individual 3</x:v>
      </x:c>
      <x:c r="H1807" s="24"/>
      <x:c r="I1807" s="24" t="str">
        <x:v>1.5</x:v>
      </x:c>
      <x:c r="J1807" s="24" t="str">
        <x:v>1.50</x:v>
      </x:c>
      <x:c r="K1807" s="24" t="str">
        <x:v>DuraVision Chrome UV</x:v>
      </x:c>
      <x:c r="L1807" s="40" t="n">
        <x:v>1323</x:v>
      </x:c>
      <x:c r="M1807" s="24" t="str">
        <x:v>-6.00 a +4.00</x:v>
      </x:c>
      <x:c r="N1807" s="24" t="str">
        <x:v>-4.00</x:v>
      </x:c>
      <x:c r="O1807" s="24" t="str">
        <x:v>0.50 a 1.25</x:v>
      </x:c>
      <x:c r="P1807" s="24" t="str">
        <x:v>75</x:v>
      </x:c>
      <x:c r="Q1807" s="24"/>
      <x:c r="R1807" s="24"/>
      <x:c r="S1807" s="26" t="n">
        <x:v>46113</x:v>
      </x:c>
      <x:c r="T1807" s="26"/>
      <x:c r="U1807" s="24" t="str">
        <x:v>ATIVA/SEM FIM INFORMADO</x:v>
      </x:c>
      <x:c r="V1807" s="24"/>
      <x:c r="W1807" s="24" t="n">
        <x:v>27</x:v>
      </x:c>
      <x:c r="X1807" s="24" t="str">
        <x:v>tabela_zeiss.pdf</x:v>
      </x:c>
      <x:c r="Y1807" s="24" t="str">
        <x:v>alta</x:v>
      </x:c>
      <x:c r="Z1807" s="24"/>
      <x:c r="AA1807" s="24" t="str">
        <x:v>ZEISS|Visão Simples Digital|Surfaçada|SmartLife Digital Individual 3||1.5|1.50|DuraVision Chrome UV|-6.00 a +4.00|-4.00|0.50 a 1.25|75|||27</x:v>
      </x:c>
    </x:row>
    <x:row r="1808">
      <x:c r="A1808" s="24" t="str">
        <x:v>ZS-EF02F9E7B0FC</x:v>
      </x:c>
      <x:c r="B1808" s="24" t="str">
        <x:v>SIM</x:v>
      </x:c>
      <x:c r="C1808" s="24" t="str">
        <x:v>DISPONÍVEL</x:v>
      </x:c>
      <x:c r="D1808" s="24" t="str">
        <x:v>ZEISS</x:v>
      </x:c>
      <x:c r="E1808" s="24" t="str">
        <x:v>Visão Simples Digital</x:v>
      </x:c>
      <x:c r="F1808" s="24" t="str">
        <x:v>Surfaçada</x:v>
      </x:c>
      <x:c r="G1808" s="24" t="str">
        <x:v>SmartLife Digital Individual 3</x:v>
      </x:c>
      <x:c r="H1808" s="24"/>
      <x:c r="I1808" s="24" t="str">
        <x:v>Poli</x:v>
      </x:c>
      <x:c r="J1808" s="24"/>
      <x:c r="K1808" s="24" t="str">
        <x:v>DuraVision Gold UV</x:v>
      </x:c>
      <x:c r="L1808" s="40" t="n">
        <x:v>2573</x:v>
      </x:c>
      <x:c r="M1808" s="24" t="str">
        <x:v>-10.00 a +6.00</x:v>
      </x:c>
      <x:c r="N1808" s="24" t="str">
        <x:v>-6.00</x:v>
      </x:c>
      <x:c r="O1808" s="24" t="str">
        <x:v>0.50 a 1.25</x:v>
      </x:c>
      <x:c r="P1808" s="24" t="str">
        <x:v>70</x:v>
      </x:c>
      <x:c r="Q1808" s="24"/>
      <x:c r="R1808" s="24"/>
      <x:c r="S1808" s="26" t="n">
        <x:v>46113</x:v>
      </x:c>
      <x:c r="T1808" s="26"/>
      <x:c r="U1808" s="24" t="str">
        <x:v>ATIVA/SEM FIM INFORMADO</x:v>
      </x:c>
      <x:c r="V1808" s="24"/>
      <x:c r="W1808" s="24" t="n">
        <x:v>27</x:v>
      </x:c>
      <x:c r="X1808" s="24" t="str">
        <x:v>tabela_zeiss.pdf</x:v>
      </x:c>
      <x:c r="Y1808" s="24" t="str">
        <x:v>alta</x:v>
      </x:c>
      <x:c r="Z1808" s="24"/>
      <x:c r="AA1808" s="24" t="str">
        <x:v>ZEISS|Visão Simples Digital|Surfaçada|SmartLife Digital Individual 3||Poli||DuraVision Gold UV|-10.00 a +6.00|-6.00|0.50 a 1.25|70|||27</x:v>
      </x:c>
    </x:row>
    <x:row r="1809">
      <x:c r="A1809" s="24" t="str">
        <x:v>ZS-0E4DE3FAFB0C</x:v>
      </x:c>
      <x:c r="B1809" s="24" t="str">
        <x:v>SIM</x:v>
      </x:c>
      <x:c r="C1809" s="24" t="str">
        <x:v>DISPONÍVEL</x:v>
      </x:c>
      <x:c r="D1809" s="24" t="str">
        <x:v>ZEISS</x:v>
      </x:c>
      <x:c r="E1809" s="24" t="str">
        <x:v>Visão Simples Digital</x:v>
      </x:c>
      <x:c r="F1809" s="24" t="str">
        <x:v>Surfaçada</x:v>
      </x:c>
      <x:c r="G1809" s="24" t="str">
        <x:v>SmartLife Digital Individual 3</x:v>
      </x:c>
      <x:c r="H1809" s="24"/>
      <x:c r="I1809" s="24" t="str">
        <x:v>Poli</x:v>
      </x:c>
      <x:c r="J1809" s="24"/>
      <x:c r="K1809" s="24" t="str">
        <x:v>DuraVision Platinum UV</x:v>
      </x:c>
      <x:c r="L1809" s="40" t="n">
        <x:v>2433</x:v>
      </x:c>
      <x:c r="M1809" s="24" t="str">
        <x:v>-10.00 a +6.00</x:v>
      </x:c>
      <x:c r="N1809" s="24" t="str">
        <x:v>-6.00</x:v>
      </x:c>
      <x:c r="O1809" s="24" t="str">
        <x:v>0.50 a 1.25</x:v>
      </x:c>
      <x:c r="P1809" s="24" t="str">
        <x:v>70</x:v>
      </x:c>
      <x:c r="Q1809" s="24"/>
      <x:c r="R1809" s="24"/>
      <x:c r="S1809" s="26" t="n">
        <x:v>46113</x:v>
      </x:c>
      <x:c r="T1809" s="26"/>
      <x:c r="U1809" s="24" t="str">
        <x:v>ATIVA/SEM FIM INFORMADO</x:v>
      </x:c>
      <x:c r="V1809" s="24"/>
      <x:c r="W1809" s="24" t="n">
        <x:v>27</x:v>
      </x:c>
      <x:c r="X1809" s="24" t="str">
        <x:v>tabela_zeiss.pdf</x:v>
      </x:c>
      <x:c r="Y1809" s="24" t="str">
        <x:v>alta</x:v>
      </x:c>
      <x:c r="Z1809" s="24"/>
      <x:c r="AA1809" s="24" t="str">
        <x:v>ZEISS|Visão Simples Digital|Surfaçada|SmartLife Digital Individual 3||Poli||DuraVision Platinum UV|-10.00 a +6.00|-6.00|0.50 a 1.25|70|||27</x:v>
      </x:c>
    </x:row>
    <x:row r="1810">
      <x:c r="A1810" s="24" t="str">
        <x:v>ZS-B60F50EF0FC2</x:v>
      </x:c>
      <x:c r="B1810" s="24" t="str">
        <x:v>SIM</x:v>
      </x:c>
      <x:c r="C1810" s="24" t="str">
        <x:v>DISPONÍVEL</x:v>
      </x:c>
      <x:c r="D1810" s="24" t="str">
        <x:v>ZEISS</x:v>
      </x:c>
      <x:c r="E1810" s="24" t="str">
        <x:v>Visão Simples Digital</x:v>
      </x:c>
      <x:c r="F1810" s="24" t="str">
        <x:v>Surfaçada</x:v>
      </x:c>
      <x:c r="G1810" s="24" t="str">
        <x:v>SmartLife Digital Individual 3</x:v>
      </x:c>
      <x:c r="H1810" s="24"/>
      <x:c r="I1810" s="24" t="str">
        <x:v>Poli</x:v>
      </x:c>
      <x:c r="J1810" s="24"/>
      <x:c r="K1810" s="24" t="str">
        <x:v>DuraVision Silver UV</x:v>
      </x:c>
      <x:c r="L1810" s="40" t="n">
        <x:v>2173</x:v>
      </x:c>
      <x:c r="M1810" s="24" t="str">
        <x:v>-10.00 a +6.00</x:v>
      </x:c>
      <x:c r="N1810" s="24" t="str">
        <x:v>-6.00</x:v>
      </x:c>
      <x:c r="O1810" s="24" t="str">
        <x:v>0.50 a 1.25</x:v>
      </x:c>
      <x:c r="P1810" s="24" t="str">
        <x:v>70</x:v>
      </x:c>
      <x:c r="Q1810" s="24"/>
      <x:c r="R1810" s="24"/>
      <x:c r="S1810" s="26" t="n">
        <x:v>46113</x:v>
      </x:c>
      <x:c r="T1810" s="26"/>
      <x:c r="U1810" s="24" t="str">
        <x:v>ATIVA/SEM FIM INFORMADO</x:v>
      </x:c>
      <x:c r="V1810" s="24"/>
      <x:c r="W1810" s="24" t="n">
        <x:v>27</x:v>
      </x:c>
      <x:c r="X1810" s="24" t="str">
        <x:v>tabela_zeiss.pdf</x:v>
      </x:c>
      <x:c r="Y1810" s="24" t="str">
        <x:v>alta</x:v>
      </x:c>
      <x:c r="Z1810" s="24"/>
      <x:c r="AA1810" s="24" t="str">
        <x:v>ZEISS|Visão Simples Digital|Surfaçada|SmartLife Digital Individual 3||Poli||DuraVision Silver UV|-10.00 a +6.00|-6.00|0.50 a 1.25|70|||27</x:v>
      </x:c>
    </x:row>
    <x:row r="1811">
      <x:c r="A1811" s="24" t="str">
        <x:v>ZS-377E1E293C0F</x:v>
      </x:c>
      <x:c r="B1811" s="24" t="str">
        <x:v>SIM</x:v>
      </x:c>
      <x:c r="C1811" s="24" t="str">
        <x:v>DISPONÍVEL</x:v>
      </x:c>
      <x:c r="D1811" s="24" t="str">
        <x:v>ZEISS</x:v>
      </x:c>
      <x:c r="E1811" s="24" t="str">
        <x:v>Visão Simples Digital</x:v>
      </x:c>
      <x:c r="F1811" s="24" t="str">
        <x:v>Surfaçada</x:v>
      </x:c>
      <x:c r="G1811" s="24" t="str">
        <x:v>SmartLife Digital Individual 3</x:v>
      </x:c>
      <x:c r="H1811" s="24"/>
      <x:c r="I1811" s="24" t="str">
        <x:v>Poli</x:v>
      </x:c>
      <x:c r="J1811" s="24"/>
      <x:c r="K1811" s="24" t="str">
        <x:v>DuraVision Chrome UV</x:v>
      </x:c>
      <x:c r="L1811" s="40" t="n">
        <x:v>1683</x:v>
      </x:c>
      <x:c r="M1811" s="24" t="str">
        <x:v>-10.00 a +6.00</x:v>
      </x:c>
      <x:c r="N1811" s="24" t="str">
        <x:v>-6.00</x:v>
      </x:c>
      <x:c r="O1811" s="24" t="str">
        <x:v>0.50 a 1.25</x:v>
      </x:c>
      <x:c r="P1811" s="24" t="str">
        <x:v>70</x:v>
      </x:c>
      <x:c r="Q1811" s="24"/>
      <x:c r="R1811" s="24"/>
      <x:c r="S1811" s="26" t="n">
        <x:v>46113</x:v>
      </x:c>
      <x:c r="T1811" s="26"/>
      <x:c r="U1811" s="24" t="str">
        <x:v>ATIVA/SEM FIM INFORMADO</x:v>
      </x:c>
      <x:c r="V1811" s="24"/>
      <x:c r="W1811" s="24" t="n">
        <x:v>27</x:v>
      </x:c>
      <x:c r="X1811" s="24" t="str">
        <x:v>tabela_zeiss.pdf</x:v>
      </x:c>
      <x:c r="Y1811" s="24" t="str">
        <x:v>alta</x:v>
      </x:c>
      <x:c r="Z1811" s="24"/>
      <x:c r="AA1811" s="24" t="str">
        <x:v>ZEISS|Visão Simples Digital|Surfaçada|SmartLife Digital Individual 3||Poli||DuraVision Chrome UV|-10.00 a +6.00|-6.00|0.50 a 1.25|70|||27</x:v>
      </x:c>
    </x:row>
    <x:row r="1812">
      <x:c r="A1812" s="24" t="str">
        <x:v>ZS-6697DEE654EB</x:v>
      </x:c>
      <x:c r="B1812" s="24" t="str">
        <x:v>SIM</x:v>
      </x:c>
      <x:c r="C1812" s="24" t="str">
        <x:v>DISPONÍVEL</x:v>
      </x:c>
      <x:c r="D1812" s="24" t="str">
        <x:v>ZEISS</x:v>
      </x:c>
      <x:c r="E1812" s="24" t="str">
        <x:v>Visão Simples Digital</x:v>
      </x:c>
      <x:c r="F1812" s="24" t="str">
        <x:v>Surfaçada</x:v>
      </x:c>
      <x:c r="G1812" s="24" t="str">
        <x:v>SmartLife Digital Individual 3</x:v>
      </x:c>
      <x:c r="H1812" s="24"/>
      <x:c r="I1812" s="24" t="str">
        <x:v>1.6</x:v>
      </x:c>
      <x:c r="J1812" s="24" t="str">
        <x:v>1.60</x:v>
      </x:c>
      <x:c r="K1812" s="24" t="str">
        <x:v>DuraVision Gold UV</x:v>
      </x:c>
      <x:c r="L1812" s="40" t="n">
        <x:v>2793</x:v>
      </x:c>
      <x:c r="M1812" s="24" t="str">
        <x:v>-7.25 a +6.00</x:v>
      </x:c>
      <x:c r="N1812" s="24" t="str">
        <x:v>-6.00</x:v>
      </x:c>
      <x:c r="O1812" s="24" t="str">
        <x:v>0.50 a 1.25</x:v>
      </x:c>
      <x:c r="P1812" s="24" t="str">
        <x:v>75</x:v>
      </x:c>
      <x:c r="Q1812" s="24"/>
      <x:c r="R1812" s="24"/>
      <x:c r="S1812" s="26" t="n">
        <x:v>46113</x:v>
      </x:c>
      <x:c r="T1812" s="26"/>
      <x:c r="U1812" s="24" t="str">
        <x:v>ATIVA/SEM FIM INFORMADO</x:v>
      </x:c>
      <x:c r="V1812" s="24"/>
      <x:c r="W1812" s="24" t="n">
        <x:v>27</x:v>
      </x:c>
      <x:c r="X1812" s="24" t="str">
        <x:v>tabela_zeiss.pdf</x:v>
      </x:c>
      <x:c r="Y1812" s="24" t="str">
        <x:v>alta</x:v>
      </x:c>
      <x:c r="Z1812" s="24"/>
      <x:c r="AA1812" s="24" t="str">
        <x:v>ZEISS|Visão Simples Digital|Surfaçada|SmartLife Digital Individual 3||1.6|1.60|DuraVision Gold UV|-7.25 a +6.00|-6.00|0.50 a 1.25|75|||27</x:v>
      </x:c>
    </x:row>
    <x:row r="1813">
      <x:c r="A1813" s="24" t="str">
        <x:v>ZS-E574F407F12C</x:v>
      </x:c>
      <x:c r="B1813" s="24" t="str">
        <x:v>SIM</x:v>
      </x:c>
      <x:c r="C1813" s="24" t="str">
        <x:v>DISPONÍVEL</x:v>
      </x:c>
      <x:c r="D1813" s="24" t="str">
        <x:v>ZEISS</x:v>
      </x:c>
      <x:c r="E1813" s="24" t="str">
        <x:v>Visão Simples Digital</x:v>
      </x:c>
      <x:c r="F1813" s="24" t="str">
        <x:v>Surfaçada</x:v>
      </x:c>
      <x:c r="G1813" s="24" t="str">
        <x:v>SmartLife Digital Individual 3</x:v>
      </x:c>
      <x:c r="H1813" s="24"/>
      <x:c r="I1813" s="24" t="str">
        <x:v>1.6</x:v>
      </x:c>
      <x:c r="J1813" s="24" t="str">
        <x:v>1.60</x:v>
      </x:c>
      <x:c r="K1813" s="24" t="str">
        <x:v>DURAVISION® ANTIVÍRUS PLATINUM UV</x:v>
      </x:c>
      <x:c r="L1813" s="40" t="n">
        <x:v>2653</x:v>
      </x:c>
      <x:c r="M1813" s="24" t="str">
        <x:v>-7.25 a +6.00</x:v>
      </x:c>
      <x:c r="N1813" s="24" t="str">
        <x:v>-6.00</x:v>
      </x:c>
      <x:c r="O1813" s="24" t="str">
        <x:v>0.50 a 1.25</x:v>
      </x:c>
      <x:c r="P1813" s="24" t="str">
        <x:v>75</x:v>
      </x:c>
      <x:c r="Q1813" s="24"/>
      <x:c r="R1813" s="24"/>
      <x:c r="S1813" s="26" t="n">
        <x:v>46113</x:v>
      </x:c>
      <x:c r="T1813" s="26"/>
      <x:c r="U1813" s="24" t="str">
        <x:v>ATIVA/SEM FIM INFORMADO</x:v>
      </x:c>
      <x:c r="V1813" s="24"/>
      <x:c r="W1813" s="24" t="n">
        <x:v>27</x:v>
      </x:c>
      <x:c r="X1813" s="24" t="str">
        <x:v>tabela_zeiss.pdf</x:v>
      </x:c>
      <x:c r="Y1813" s="24" t="str">
        <x:v>alta</x:v>
      </x:c>
      <x:c r="Z1813" s="24"/>
      <x:c r="AA1813" s="24" t="str">
        <x:v>ZEISS|Visão Simples Digital|Surfaçada|SmartLife Digital Individual 3||1.6|1.60|DURAVISION® ANTIVÍRUS PLATINUM UV|-7.25 a +6.00|-6.00|0.50 a 1.25|75|||27</x:v>
      </x:c>
    </x:row>
    <x:row r="1814">
      <x:c r="A1814" s="24" t="str">
        <x:v>ZS-EEA30D659CCC</x:v>
      </x:c>
      <x:c r="B1814" s="24" t="str">
        <x:v>SIM</x:v>
      </x:c>
      <x:c r="C1814" s="24" t="str">
        <x:v>DISPONÍVEL</x:v>
      </x:c>
      <x:c r="D1814" s="24" t="str">
        <x:v>ZEISS</x:v>
      </x:c>
      <x:c r="E1814" s="24" t="str">
        <x:v>Visão Simples Digital</x:v>
      </x:c>
      <x:c r="F1814" s="24" t="str">
        <x:v>Surfaçada</x:v>
      </x:c>
      <x:c r="G1814" s="24" t="str">
        <x:v>SmartLife Digital Individual 3</x:v>
      </x:c>
      <x:c r="H1814" s="24"/>
      <x:c r="I1814" s="24" t="str">
        <x:v>1.6</x:v>
      </x:c>
      <x:c r="J1814" s="24" t="str">
        <x:v>1.60</x:v>
      </x:c>
      <x:c r="K1814" s="24" t="str">
        <x:v>DuraVision Platinum UV</x:v>
      </x:c>
      <x:c r="L1814" s="40" t="n">
        <x:v>2653</x:v>
      </x:c>
      <x:c r="M1814" s="24" t="str">
        <x:v>-7.25 a +6.00</x:v>
      </x:c>
      <x:c r="N1814" s="24" t="str">
        <x:v>-6.00</x:v>
      </x:c>
      <x:c r="O1814" s="24" t="str">
        <x:v>0.50 a 1.25</x:v>
      </x:c>
      <x:c r="P1814" s="24" t="str">
        <x:v>75</x:v>
      </x:c>
      <x:c r="Q1814" s="24"/>
      <x:c r="R1814" s="24"/>
      <x:c r="S1814" s="26" t="n">
        <x:v>46113</x:v>
      </x:c>
      <x:c r="T1814" s="26"/>
      <x:c r="U1814" s="24" t="str">
        <x:v>ATIVA/SEM FIM INFORMADO</x:v>
      </x:c>
      <x:c r="V1814" s="24"/>
      <x:c r="W1814" s="24" t="n">
        <x:v>27</x:v>
      </x:c>
      <x:c r="X1814" s="24" t="str">
        <x:v>tabela_zeiss.pdf</x:v>
      </x:c>
      <x:c r="Y1814" s="24" t="str">
        <x:v>alta</x:v>
      </x:c>
      <x:c r="Z1814" s="24"/>
      <x:c r="AA1814" s="24" t="str">
        <x:v>ZEISS|Visão Simples Digital|Surfaçada|SmartLife Digital Individual 3||1.6|1.60|DuraVision Platinum UV|-7.25 a +6.00|-6.00|0.50 a 1.25|75|||27</x:v>
      </x:c>
    </x:row>
    <x:row r="1815">
      <x:c r="A1815" s="24" t="str">
        <x:v>ZS-96C554FF0AC5</x:v>
      </x:c>
      <x:c r="B1815" s="24" t="str">
        <x:v>SIM</x:v>
      </x:c>
      <x:c r="C1815" s="24" t="str">
        <x:v>DISPONÍVEL</x:v>
      </x:c>
      <x:c r="D1815" s="24" t="str">
        <x:v>ZEISS</x:v>
      </x:c>
      <x:c r="E1815" s="24" t="str">
        <x:v>Visão Simples Digital</x:v>
      </x:c>
      <x:c r="F1815" s="24" t="str">
        <x:v>Surfaçada</x:v>
      </x:c>
      <x:c r="G1815" s="24" t="str">
        <x:v>SmartLife Digital Individual 3</x:v>
      </x:c>
      <x:c r="H1815" s="24"/>
      <x:c r="I1815" s="24" t="str">
        <x:v>1.6</x:v>
      </x:c>
      <x:c r="J1815" s="24" t="str">
        <x:v>1.60</x:v>
      </x:c>
      <x:c r="K1815" s="24" t="str">
        <x:v>DuraVision Silver UV</x:v>
      </x:c>
      <x:c r="L1815" s="40" t="n">
        <x:v>2393</x:v>
      </x:c>
      <x:c r="M1815" s="24" t="str">
        <x:v>-7.25 a +6.00</x:v>
      </x:c>
      <x:c r="N1815" s="24" t="str">
        <x:v>-6.00</x:v>
      </x:c>
      <x:c r="O1815" s="24" t="str">
        <x:v>0.50 a 1.25</x:v>
      </x:c>
      <x:c r="P1815" s="24" t="str">
        <x:v>75</x:v>
      </x:c>
      <x:c r="Q1815" s="24"/>
      <x:c r="R1815" s="24"/>
      <x:c r="S1815" s="26" t="n">
        <x:v>46113</x:v>
      </x:c>
      <x:c r="T1815" s="26"/>
      <x:c r="U1815" s="24" t="str">
        <x:v>ATIVA/SEM FIM INFORMADO</x:v>
      </x:c>
      <x:c r="V1815" s="24"/>
      <x:c r="W1815" s="24" t="n">
        <x:v>27</x:v>
      </x:c>
      <x:c r="X1815" s="24" t="str">
        <x:v>tabela_zeiss.pdf</x:v>
      </x:c>
      <x:c r="Y1815" s="24" t="str">
        <x:v>alta</x:v>
      </x:c>
      <x:c r="Z1815" s="24"/>
      <x:c r="AA1815" s="24" t="str">
        <x:v>ZEISS|Visão Simples Digital|Surfaçada|SmartLife Digital Individual 3||1.6|1.60|DuraVision Silver UV|-7.25 a +6.00|-6.00|0.50 a 1.25|75|||27</x:v>
      </x:c>
    </x:row>
    <x:row r="1816">
      <x:c r="A1816" s="24" t="str">
        <x:v>ZS-DCF5562522A1</x:v>
      </x:c>
      <x:c r="B1816" s="24" t="str">
        <x:v>SIM</x:v>
      </x:c>
      <x:c r="C1816" s="24" t="str">
        <x:v>DISPONÍVEL</x:v>
      </x:c>
      <x:c r="D1816" s="24" t="str">
        <x:v>ZEISS</x:v>
      </x:c>
      <x:c r="E1816" s="24" t="str">
        <x:v>Visão Simples Digital</x:v>
      </x:c>
      <x:c r="F1816" s="24" t="str">
        <x:v>Surfaçada</x:v>
      </x:c>
      <x:c r="G1816" s="24" t="str">
        <x:v>SmartLife Digital Individual 3</x:v>
      </x:c>
      <x:c r="H1816" s="24"/>
      <x:c r="I1816" s="24" t="str">
        <x:v>1.6</x:v>
      </x:c>
      <x:c r="J1816" s="24" t="str">
        <x:v>1.60</x:v>
      </x:c>
      <x:c r="K1816" s="24" t="str">
        <x:v>DuraVision Chrome UV</x:v>
      </x:c>
      <x:c r="L1816" s="40" t="n">
        <x:v>1903</x:v>
      </x:c>
      <x:c r="M1816" s="24" t="str">
        <x:v>-7.25 a +6.00</x:v>
      </x:c>
      <x:c r="N1816" s="24" t="str">
        <x:v>-6.00</x:v>
      </x:c>
      <x:c r="O1816" s="24" t="str">
        <x:v>0.50 a 1.25</x:v>
      </x:c>
      <x:c r="P1816" s="24" t="str">
        <x:v>75</x:v>
      </x:c>
      <x:c r="Q1816" s="24"/>
      <x:c r="R1816" s="24"/>
      <x:c r="S1816" s="26" t="n">
        <x:v>46113</x:v>
      </x:c>
      <x:c r="T1816" s="26"/>
      <x:c r="U1816" s="24" t="str">
        <x:v>ATIVA/SEM FIM INFORMADO</x:v>
      </x:c>
      <x:c r="V1816" s="24"/>
      <x:c r="W1816" s="24" t="n">
        <x:v>27</x:v>
      </x:c>
      <x:c r="X1816" s="24" t="str">
        <x:v>tabela_zeiss.pdf</x:v>
      </x:c>
      <x:c r="Y1816" s="24" t="str">
        <x:v>alta</x:v>
      </x:c>
      <x:c r="Z1816" s="24"/>
      <x:c r="AA1816" s="24" t="str">
        <x:v>ZEISS|Visão Simples Digital|Surfaçada|SmartLife Digital Individual 3||1.6|1.60|DuraVision Chrome UV|-7.25 a +6.00|-6.00|0.50 a 1.25|75|||27</x:v>
      </x:c>
    </x:row>
    <x:row r="1817">
      <x:c r="A1817" s="24" t="str">
        <x:v>ZS-40DD6143DB47</x:v>
      </x:c>
      <x:c r="B1817" s="24" t="str">
        <x:v>SIM</x:v>
      </x:c>
      <x:c r="C1817" s="24" t="str">
        <x:v>DISPONÍVEL</x:v>
      </x:c>
      <x:c r="D1817" s="24" t="str">
        <x:v>ZEISS</x:v>
      </x:c>
      <x:c r="E1817" s="24" t="str">
        <x:v>Visão Simples Digital</x:v>
      </x:c>
      <x:c r="F1817" s="24" t="str">
        <x:v>Surfaçada</x:v>
      </x:c>
      <x:c r="G1817" s="24" t="str">
        <x:v>SmartLife Digital Individual 3</x:v>
      </x:c>
      <x:c r="H1817" s="24"/>
      <x:c r="I1817" s="24" t="str">
        <x:v>1.67</x:v>
      </x:c>
      <x:c r="J1817" s="24" t="str">
        <x:v>1.67</x:v>
      </x:c>
      <x:c r="K1817" s="24" t="str">
        <x:v>DuraVision Gold UV</x:v>
      </x:c>
      <x:c r="L1817" s="40" t="n">
        <x:v>4093</x:v>
      </x:c>
      <x:c r="M1817" s="24" t="str">
        <x:v>-8.00 a +8.00</x:v>
      </x:c>
      <x:c r="N1817" s="24" t="str">
        <x:v>-6.00</x:v>
      </x:c>
      <x:c r="O1817" s="24" t="str">
        <x:v>0.50 a 1.25</x:v>
      </x:c>
      <x:c r="P1817" s="24" t="str">
        <x:v>70</x:v>
      </x:c>
      <x:c r="Q1817" s="24"/>
      <x:c r="R1817" s="24"/>
      <x:c r="S1817" s="26" t="n">
        <x:v>46113</x:v>
      </x:c>
      <x:c r="T1817" s="26"/>
      <x:c r="U1817" s="24" t="str">
        <x:v>ATIVA/SEM FIM INFORMADO</x:v>
      </x:c>
      <x:c r="V1817" s="24"/>
      <x:c r="W1817" s="24" t="n">
        <x:v>27</x:v>
      </x:c>
      <x:c r="X1817" s="24" t="str">
        <x:v>tabela_zeiss.pdf</x:v>
      </x:c>
      <x:c r="Y1817" s="24" t="str">
        <x:v>alta</x:v>
      </x:c>
      <x:c r="Z1817" s="24"/>
      <x:c r="AA1817" s="24" t="str">
        <x:v>ZEISS|Visão Simples Digital|Surfaçada|SmartLife Digital Individual 3||1.67|1.67|DuraVision Gold UV|-8.00 a +8.00|-6.00|0.50 a 1.25|70|||27</x:v>
      </x:c>
    </x:row>
    <x:row r="1818">
      <x:c r="A1818" s="24" t="str">
        <x:v>ZS-5A077DCA6491</x:v>
      </x:c>
      <x:c r="B1818" s="24" t="str">
        <x:v>SIM</x:v>
      </x:c>
      <x:c r="C1818" s="24" t="str">
        <x:v>DISPONÍVEL</x:v>
      </x:c>
      <x:c r="D1818" s="24" t="str">
        <x:v>ZEISS</x:v>
      </x:c>
      <x:c r="E1818" s="24" t="str">
        <x:v>Visão Simples Digital</x:v>
      </x:c>
      <x:c r="F1818" s="24" t="str">
        <x:v>Surfaçada</x:v>
      </x:c>
      <x:c r="G1818" s="24" t="str">
        <x:v>SmartLife Digital Individual 3</x:v>
      </x:c>
      <x:c r="H1818" s="24"/>
      <x:c r="I1818" s="24" t="str">
        <x:v>1.67</x:v>
      </x:c>
      <x:c r="J1818" s="24" t="str">
        <x:v>1.67</x:v>
      </x:c>
      <x:c r="K1818" s="24" t="str">
        <x:v>DURAVISION® ANTIVÍRUS PLATINUM UV</x:v>
      </x:c>
      <x:c r="L1818" s="40" t="n">
        <x:v>3953</x:v>
      </x:c>
      <x:c r="M1818" s="24" t="str">
        <x:v>-8.00 a +8.00</x:v>
      </x:c>
      <x:c r="N1818" s="24" t="str">
        <x:v>-6.00</x:v>
      </x:c>
      <x:c r="O1818" s="24" t="str">
        <x:v>0.50 a 1.25</x:v>
      </x:c>
      <x:c r="P1818" s="24" t="str">
        <x:v>70</x:v>
      </x:c>
      <x:c r="Q1818" s="24"/>
      <x:c r="R1818" s="24"/>
      <x:c r="S1818" s="26" t="n">
        <x:v>46113</x:v>
      </x:c>
      <x:c r="T1818" s="26"/>
      <x:c r="U1818" s="24" t="str">
        <x:v>ATIVA/SEM FIM INFORMADO</x:v>
      </x:c>
      <x:c r="V1818" s="24"/>
      <x:c r="W1818" s="24" t="n">
        <x:v>27</x:v>
      </x:c>
      <x:c r="X1818" s="24" t="str">
        <x:v>tabela_zeiss.pdf</x:v>
      </x:c>
      <x:c r="Y1818" s="24" t="str">
        <x:v>alta</x:v>
      </x:c>
      <x:c r="Z1818" s="24"/>
      <x:c r="AA1818" s="24" t="str">
        <x:v>ZEISS|Visão Simples Digital|Surfaçada|SmartLife Digital Individual 3||1.67|1.67|DURAVISION® ANTIVÍRUS PLATINUM UV|-8.00 a +8.00|-6.00|0.50 a 1.25|70|||27</x:v>
      </x:c>
    </x:row>
    <x:row r="1819">
      <x:c r="A1819" s="24" t="str">
        <x:v>ZS-38AFE2FADB9A</x:v>
      </x:c>
      <x:c r="B1819" s="24" t="str">
        <x:v>SIM</x:v>
      </x:c>
      <x:c r="C1819" s="24" t="str">
        <x:v>DISPONÍVEL</x:v>
      </x:c>
      <x:c r="D1819" s="24" t="str">
        <x:v>ZEISS</x:v>
      </x:c>
      <x:c r="E1819" s="24" t="str">
        <x:v>Visão Simples Digital</x:v>
      </x:c>
      <x:c r="F1819" s="24" t="str">
        <x:v>Surfaçada</x:v>
      </x:c>
      <x:c r="G1819" s="24" t="str">
        <x:v>SmartLife Digital Individual 3</x:v>
      </x:c>
      <x:c r="H1819" s="24"/>
      <x:c r="I1819" s="24" t="str">
        <x:v>1.67</x:v>
      </x:c>
      <x:c r="J1819" s="24" t="str">
        <x:v>1.67</x:v>
      </x:c>
      <x:c r="K1819" s="24" t="str">
        <x:v>DuraVision Platinum UV</x:v>
      </x:c>
      <x:c r="L1819" s="40" t="n">
        <x:v>3953</x:v>
      </x:c>
      <x:c r="M1819" s="24" t="str">
        <x:v>-8.00 a +8.00</x:v>
      </x:c>
      <x:c r="N1819" s="24" t="str">
        <x:v>-6.00</x:v>
      </x:c>
      <x:c r="O1819" s="24" t="str">
        <x:v>0.50 a 1.25</x:v>
      </x:c>
      <x:c r="P1819" s="24" t="str">
        <x:v>70</x:v>
      </x:c>
      <x:c r="Q1819" s="24"/>
      <x:c r="R1819" s="24"/>
      <x:c r="S1819" s="26" t="n">
        <x:v>46113</x:v>
      </x:c>
      <x:c r="T1819" s="26"/>
      <x:c r="U1819" s="24" t="str">
        <x:v>ATIVA/SEM FIM INFORMADO</x:v>
      </x:c>
      <x:c r="V1819" s="24"/>
      <x:c r="W1819" s="24" t="n">
        <x:v>27</x:v>
      </x:c>
      <x:c r="X1819" s="24" t="str">
        <x:v>tabela_zeiss.pdf</x:v>
      </x:c>
      <x:c r="Y1819" s="24" t="str">
        <x:v>alta</x:v>
      </x:c>
      <x:c r="Z1819" s="24"/>
      <x:c r="AA1819" s="24" t="str">
        <x:v>ZEISS|Visão Simples Digital|Surfaçada|SmartLife Digital Individual 3||1.67|1.67|DuraVision Platinum UV|-8.00 a +8.00|-6.00|0.50 a 1.25|70|||27</x:v>
      </x:c>
    </x:row>
    <x:row r="1820">
      <x:c r="A1820" s="24" t="str">
        <x:v>ZS-AE7C233A3474</x:v>
      </x:c>
      <x:c r="B1820" s="24" t="str">
        <x:v>SIM</x:v>
      </x:c>
      <x:c r="C1820" s="24" t="str">
        <x:v>DISPONÍVEL</x:v>
      </x:c>
      <x:c r="D1820" s="24" t="str">
        <x:v>ZEISS</x:v>
      </x:c>
      <x:c r="E1820" s="24" t="str">
        <x:v>Visão Simples Digital</x:v>
      </x:c>
      <x:c r="F1820" s="24" t="str">
        <x:v>Surfaçada</x:v>
      </x:c>
      <x:c r="G1820" s="24" t="str">
        <x:v>SmartLife Digital Individual 3</x:v>
      </x:c>
      <x:c r="H1820" s="24"/>
      <x:c r="I1820" s="24" t="str">
        <x:v>1.67</x:v>
      </x:c>
      <x:c r="J1820" s="24" t="str">
        <x:v>1.67</x:v>
      </x:c>
      <x:c r="K1820" s="24" t="str">
        <x:v>DuraVision Silver UV</x:v>
      </x:c>
      <x:c r="L1820" s="40" t="n">
        <x:v>3693</x:v>
      </x:c>
      <x:c r="M1820" s="24" t="str">
        <x:v>-8.00 a +8.00</x:v>
      </x:c>
      <x:c r="N1820" s="24" t="str">
        <x:v>-6.00</x:v>
      </x:c>
      <x:c r="O1820" s="24" t="str">
        <x:v>0.50 a 1.25</x:v>
      </x:c>
      <x:c r="P1820" s="24" t="str">
        <x:v>70</x:v>
      </x:c>
      <x:c r="Q1820" s="24"/>
      <x:c r="R1820" s="24"/>
      <x:c r="S1820" s="26" t="n">
        <x:v>46113</x:v>
      </x:c>
      <x:c r="T1820" s="26"/>
      <x:c r="U1820" s="24" t="str">
        <x:v>ATIVA/SEM FIM INFORMADO</x:v>
      </x:c>
      <x:c r="V1820" s="24"/>
      <x:c r="W1820" s="24" t="n">
        <x:v>27</x:v>
      </x:c>
      <x:c r="X1820" s="24" t="str">
        <x:v>tabela_zeiss.pdf</x:v>
      </x:c>
      <x:c r="Y1820" s="24" t="str">
        <x:v>alta</x:v>
      </x:c>
      <x:c r="Z1820" s="24"/>
      <x:c r="AA1820" s="24" t="str">
        <x:v>ZEISS|Visão Simples Digital|Surfaçada|SmartLife Digital Individual 3||1.67|1.67|DuraVision Silver UV|-8.00 a +8.00|-6.00|0.50 a 1.25|70|||27</x:v>
      </x:c>
    </x:row>
    <x:row r="1821">
      <x:c r="A1821" s="24" t="str">
        <x:v>ZS-E35834890871</x:v>
      </x:c>
      <x:c r="B1821" s="24" t="str">
        <x:v>SIM</x:v>
      </x:c>
      <x:c r="C1821" s="24" t="str">
        <x:v>DISPONÍVEL</x:v>
      </x:c>
      <x:c r="D1821" s="24" t="str">
        <x:v>ZEISS</x:v>
      </x:c>
      <x:c r="E1821" s="24" t="str">
        <x:v>Visão Simples Digital</x:v>
      </x:c>
      <x:c r="F1821" s="24" t="str">
        <x:v>Surfaçada</x:v>
      </x:c>
      <x:c r="G1821" s="24" t="str">
        <x:v>SmartLife Digital Individual 3</x:v>
      </x:c>
      <x:c r="H1821" s="24"/>
      <x:c r="I1821" s="24" t="str">
        <x:v>1.67</x:v>
      </x:c>
      <x:c r="J1821" s="24" t="str">
        <x:v>1.67</x:v>
      </x:c>
      <x:c r="K1821" s="24" t="str">
        <x:v>DuraVision Chrome UV</x:v>
      </x:c>
      <x:c r="L1821" s="40" t="n">
        <x:v>3203</x:v>
      </x:c>
      <x:c r="M1821" s="24" t="str">
        <x:v>-8.00 a +8.00</x:v>
      </x:c>
      <x:c r="N1821" s="24" t="str">
        <x:v>-6.00</x:v>
      </x:c>
      <x:c r="O1821" s="24" t="str">
        <x:v>0.50 a 1.25</x:v>
      </x:c>
      <x:c r="P1821" s="24" t="str">
        <x:v>70</x:v>
      </x:c>
      <x:c r="Q1821" s="24"/>
      <x:c r="R1821" s="24"/>
      <x:c r="S1821" s="26" t="n">
        <x:v>46113</x:v>
      </x:c>
      <x:c r="T1821" s="26"/>
      <x:c r="U1821" s="24" t="str">
        <x:v>ATIVA/SEM FIM INFORMADO</x:v>
      </x:c>
      <x:c r="V1821" s="24"/>
      <x:c r="W1821" s="24" t="n">
        <x:v>27</x:v>
      </x:c>
      <x:c r="X1821" s="24" t="str">
        <x:v>tabela_zeiss.pdf</x:v>
      </x:c>
      <x:c r="Y1821" s="24" t="str">
        <x:v>alta</x:v>
      </x:c>
      <x:c r="Z1821" s="24"/>
      <x:c r="AA1821" s="24" t="str">
        <x:v>ZEISS|Visão Simples Digital|Surfaçada|SmartLife Digital Individual 3||1.67|1.67|DuraVision Chrome UV|-8.00 a +8.00|-6.00|0.50 a 1.25|70|||27</x:v>
      </x:c>
    </x:row>
    <x:row r="1822">
      <x:c r="A1822" s="24" t="str">
        <x:v>ZS-44BC09C56766</x:v>
      </x:c>
      <x:c r="B1822" s="24" t="str">
        <x:v>SIM</x:v>
      </x:c>
      <x:c r="C1822" s="24" t="str">
        <x:v>DISPONÍVEL</x:v>
      </x:c>
      <x:c r="D1822" s="24" t="str">
        <x:v>ZEISS</x:v>
      </x:c>
      <x:c r="E1822" s="24" t="str">
        <x:v>Visão Simples Digital</x:v>
      </x:c>
      <x:c r="F1822" s="24" t="str">
        <x:v>Surfaçada</x:v>
      </x:c>
      <x:c r="G1822" s="24" t="str">
        <x:v>SmartLife Digital Individual 3</x:v>
      </x:c>
      <x:c r="H1822" s="24"/>
      <x:c r="I1822" s="24" t="str">
        <x:v>1.74</x:v>
      </x:c>
      <x:c r="J1822" s="24" t="str">
        <x:v>1.74</x:v>
      </x:c>
      <x:c r="K1822" s="24" t="str">
        <x:v>DuraVision Gold UV</x:v>
      </x:c>
      <x:c r="L1822" s="40" t="n">
        <x:v>4403</x:v>
      </x:c>
      <x:c r="M1822" s="24" t="str">
        <x:v>-10.00 a +7.00</x:v>
      </x:c>
      <x:c r="N1822" s="24" t="str">
        <x:v>-4.00</x:v>
      </x:c>
      <x:c r="O1822" s="24" t="str">
        <x:v>0.50 a 1.25</x:v>
      </x:c>
      <x:c r="P1822" s="24" t="str">
        <x:v>70 a 75</x:v>
      </x:c>
      <x:c r="Q1822" s="24"/>
      <x:c r="R1822" s="24"/>
      <x:c r="S1822" s="26" t="n">
        <x:v>46113</x:v>
      </x:c>
      <x:c r="T1822" s="26"/>
      <x:c r="U1822" s="24" t="str">
        <x:v>ATIVA/SEM FIM INFORMADO</x:v>
      </x:c>
      <x:c r="V1822" s="24"/>
      <x:c r="W1822" s="24" t="n">
        <x:v>27</x:v>
      </x:c>
      <x:c r="X1822" s="24" t="str">
        <x:v>tabela_zeiss.pdf</x:v>
      </x:c>
      <x:c r="Y1822" s="24" t="str">
        <x:v>alta</x:v>
      </x:c>
      <x:c r="Z1822" s="24"/>
      <x:c r="AA1822" s="24" t="str">
        <x:v>ZEISS|Visão Simples Digital|Surfaçada|SmartLife Digital Individual 3||1.74|1.74|DuraVision Gold UV|-10.00 a +7.00|-4.00|0.50 a 1.25|70 a 75|||27</x:v>
      </x:c>
    </x:row>
    <x:row r="1823">
      <x:c r="A1823" s="24" t="str">
        <x:v>ZS-7BBFDA706A25</x:v>
      </x:c>
      <x:c r="B1823" s="24" t="str">
        <x:v>SIM</x:v>
      </x:c>
      <x:c r="C1823" s="24" t="str">
        <x:v>DISPONÍVEL</x:v>
      </x:c>
      <x:c r="D1823" s="24" t="str">
        <x:v>ZEISS</x:v>
      </x:c>
      <x:c r="E1823" s="24" t="str">
        <x:v>Visão Simples Digital</x:v>
      </x:c>
      <x:c r="F1823" s="24" t="str">
        <x:v>Surfaçada</x:v>
      </x:c>
      <x:c r="G1823" s="24" t="str">
        <x:v>SmartLife Digital Individual 3</x:v>
      </x:c>
      <x:c r="H1823" s="24"/>
      <x:c r="I1823" s="24" t="str">
        <x:v>1.74</x:v>
      </x:c>
      <x:c r="J1823" s="24" t="str">
        <x:v>1.74</x:v>
      </x:c>
      <x:c r="K1823" s="24" t="str">
        <x:v>DuraVision Platinum UV</x:v>
      </x:c>
      <x:c r="L1823" s="40" t="n">
        <x:v>4263</x:v>
      </x:c>
      <x:c r="M1823" s="24" t="str">
        <x:v>-10.00 a +7.00</x:v>
      </x:c>
      <x:c r="N1823" s="24" t="str">
        <x:v>-4.00</x:v>
      </x:c>
      <x:c r="O1823" s="24" t="str">
        <x:v>0.50 a 1.25</x:v>
      </x:c>
      <x:c r="P1823" s="24" t="str">
        <x:v>70 a 75</x:v>
      </x:c>
      <x:c r="Q1823" s="24"/>
      <x:c r="R1823" s="24"/>
      <x:c r="S1823" s="26" t="n">
        <x:v>46113</x:v>
      </x:c>
      <x:c r="T1823" s="26"/>
      <x:c r="U1823" s="24" t="str">
        <x:v>ATIVA/SEM FIM INFORMADO</x:v>
      </x:c>
      <x:c r="V1823" s="24"/>
      <x:c r="W1823" s="24" t="n">
        <x:v>27</x:v>
      </x:c>
      <x:c r="X1823" s="24" t="str">
        <x:v>tabela_zeiss.pdf</x:v>
      </x:c>
      <x:c r="Y1823" s="24" t="str">
        <x:v>alta</x:v>
      </x:c>
      <x:c r="Z1823" s="24"/>
      <x:c r="AA1823" s="24" t="str">
        <x:v>ZEISS|Visão Simples Digital|Surfaçada|SmartLife Digital Individual 3||1.74|1.74|DuraVision Platinum UV|-10.00 a +7.00|-4.00|0.50 a 1.25|70 a 75|||27</x:v>
      </x:c>
    </x:row>
    <x:row r="1824">
      <x:c r="A1824" s="24" t="str">
        <x:v>ZS-E090627DAD88</x:v>
      </x:c>
      <x:c r="B1824" s="24" t="str">
        <x:v>SIM</x:v>
      </x:c>
      <x:c r="C1824" s="24" t="str">
        <x:v>DISPONÍVEL</x:v>
      </x:c>
      <x:c r="D1824" s="24" t="str">
        <x:v>ZEISS</x:v>
      </x:c>
      <x:c r="E1824" s="24" t="str">
        <x:v>Visão Simples Digital</x:v>
      </x:c>
      <x:c r="F1824" s="24" t="str">
        <x:v>Surfaçada</x:v>
      </x:c>
      <x:c r="G1824" s="24" t="str">
        <x:v>SmartLife Digital Individual 3</x:v>
      </x:c>
      <x:c r="H1824" s="24"/>
      <x:c r="I1824" s="24" t="str">
        <x:v>1.74</x:v>
      </x:c>
      <x:c r="J1824" s="24" t="str">
        <x:v>1.74</x:v>
      </x:c>
      <x:c r="K1824" s="24" t="str">
        <x:v>DuraVision Silver UV</x:v>
      </x:c>
      <x:c r="L1824" s="40" t="n">
        <x:v>4003</x:v>
      </x:c>
      <x:c r="M1824" s="24" t="str">
        <x:v>-10.00 a +7.00</x:v>
      </x:c>
      <x:c r="N1824" s="24" t="str">
        <x:v>-4.00</x:v>
      </x:c>
      <x:c r="O1824" s="24" t="str">
        <x:v>0.50 a 1.25</x:v>
      </x:c>
      <x:c r="P1824" s="24" t="str">
        <x:v>70 a 75</x:v>
      </x:c>
      <x:c r="Q1824" s="24"/>
      <x:c r="R1824" s="24"/>
      <x:c r="S1824" s="26" t="n">
        <x:v>46113</x:v>
      </x:c>
      <x:c r="T1824" s="26"/>
      <x:c r="U1824" s="24" t="str">
        <x:v>ATIVA/SEM FIM INFORMADO</x:v>
      </x:c>
      <x:c r="V1824" s="24"/>
      <x:c r="W1824" s="24" t="n">
        <x:v>27</x:v>
      </x:c>
      <x:c r="X1824" s="24" t="str">
        <x:v>tabela_zeiss.pdf</x:v>
      </x:c>
      <x:c r="Y1824" s="24" t="str">
        <x:v>alta</x:v>
      </x:c>
      <x:c r="Z1824" s="24"/>
      <x:c r="AA1824" s="24" t="str">
        <x:v>ZEISS|Visão Simples Digital|Surfaçada|SmartLife Digital Individual 3||1.74|1.74|DuraVision Silver UV|-10.00 a +7.00|-4.00|0.50 a 1.25|70 a 75|||27</x:v>
      </x:c>
    </x:row>
    <x:row r="1825">
      <x:c r="A1825" s="24" t="str">
        <x:v>ZS-B275C21F3B7A</x:v>
      </x:c>
      <x:c r="B1825" s="24" t="str">
        <x:v>SIM</x:v>
      </x:c>
      <x:c r="C1825" s="24" t="str">
        <x:v>DISPONÍVEL</x:v>
      </x:c>
      <x:c r="D1825" s="24" t="str">
        <x:v>ZEISS</x:v>
      </x:c>
      <x:c r="E1825" s="24" t="str">
        <x:v>Visão Simples Digital</x:v>
      </x:c>
      <x:c r="F1825" s="24" t="str">
        <x:v>Surfaçada</x:v>
      </x:c>
      <x:c r="G1825" s="24" t="str">
        <x:v>SmartLife Digital Individual 3</x:v>
      </x:c>
      <x:c r="H1825" s="24"/>
      <x:c r="I1825" s="24" t="str">
        <x:v>1.74</x:v>
      </x:c>
      <x:c r="J1825" s="24" t="str">
        <x:v>1.74</x:v>
      </x:c>
      <x:c r="K1825" s="24" t="str">
        <x:v>DuraVision Chrome UV</x:v>
      </x:c>
      <x:c r="L1825" s="40" t="n">
        <x:v>3513</x:v>
      </x:c>
      <x:c r="M1825" s="24" t="str">
        <x:v>-10.00 a +7.00</x:v>
      </x:c>
      <x:c r="N1825" s="24" t="str">
        <x:v>-4.00</x:v>
      </x:c>
      <x:c r="O1825" s="24" t="str">
        <x:v>0.50 a 1.25</x:v>
      </x:c>
      <x:c r="P1825" s="24" t="str">
        <x:v>70 a 75</x:v>
      </x:c>
      <x:c r="Q1825" s="24"/>
      <x:c r="R1825" s="24"/>
      <x:c r="S1825" s="26" t="n">
        <x:v>46113</x:v>
      </x:c>
      <x:c r="T1825" s="26"/>
      <x:c r="U1825" s="24" t="str">
        <x:v>ATIVA/SEM FIM INFORMADO</x:v>
      </x:c>
      <x:c r="V1825" s="24"/>
      <x:c r="W1825" s="24" t="n">
        <x:v>27</x:v>
      </x:c>
      <x:c r="X1825" s="24" t="str">
        <x:v>tabela_zeiss.pdf</x:v>
      </x:c>
      <x:c r="Y1825" s="24" t="str">
        <x:v>alta</x:v>
      </x:c>
      <x:c r="Z1825" s="24"/>
      <x:c r="AA1825" s="24" t="str">
        <x:v>ZEISS|Visão Simples Digital|Surfaçada|SmartLife Digital Individual 3||1.74|1.74|DuraVision Chrome UV|-10.00 a +7.00|-4.00|0.50 a 1.25|70 a 75|||27</x:v>
      </x:c>
    </x:row>
    <x:row r="1826">
      <x:c r="A1826" s="24" t="str">
        <x:v>ZS-984C82E1B1B2</x:v>
      </x:c>
      <x:c r="B1826" s="24" t="str">
        <x:v>SIM</x:v>
      </x:c>
      <x:c r="C1826" s="24" t="str">
        <x:v>DISPONÍVEL</x:v>
      </x:c>
      <x:c r="D1826" s="24" t="str">
        <x:v>ZEISS</x:v>
      </x:c>
      <x:c r="E1826" s="24" t="str">
        <x:v>Visão Simples Digital</x:v>
      </x:c>
      <x:c r="F1826" s="24" t="str">
        <x:v>Surfaçada</x:v>
      </x:c>
      <x:c r="G1826" s="24" t="str">
        <x:v>SmartLife Digital Individual 3</x:v>
      </x:c>
      <x:c r="H1826" s="24" t="str">
        <x:v>PhotoFusion X</x:v>
      </x:c>
      <x:c r="I1826" s="24" t="str">
        <x:v>1.5</x:v>
      </x:c>
      <x:c r="J1826" s="24" t="str">
        <x:v>1.50</x:v>
      </x:c>
      <x:c r="K1826" s="24" t="str">
        <x:v>DuraVision Gold UV</x:v>
      </x:c>
      <x:c r="L1826" s="40" t="n">
        <x:v>3633</x:v>
      </x:c>
      <x:c r="M1826" s="24" t="str">
        <x:v>-6.00 a +5.50</x:v>
      </x:c>
      <x:c r="N1826" s="24" t="str">
        <x:v>-4.00</x:v>
      </x:c>
      <x:c r="O1826" s="24" t="str">
        <x:v>0.50 a 1.25</x:v>
      </x:c>
      <x:c r="P1826" s="24" t="str">
        <x:v>75</x:v>
      </x:c>
      <x:c r="Q1826" s="24"/>
      <x:c r="R1826" s="24"/>
      <x:c r="S1826" s="26" t="n">
        <x:v>46113</x:v>
      </x:c>
      <x:c r="T1826" s="26"/>
      <x:c r="U1826" s="24" t="str">
        <x:v>ATIVA/SEM FIM INFORMADO</x:v>
      </x:c>
      <x:c r="V1826" s="24" t="str">
        <x:v>Programa de Parcerias ZEISS</x:v>
      </x:c>
      <x:c r="W1826" s="24" t="n">
        <x:v>27</x:v>
      </x:c>
      <x:c r="X1826" s="24" t="str">
        <x:v>tabela_zeiss.pdf</x:v>
      </x:c>
      <x:c r="Y1826" s="24" t="str">
        <x:v>alta</x:v>
      </x:c>
      <x:c r="Z1826" s="24"/>
      <x:c r="AA1826" s="24" t="str">
        <x:v>ZEISS|Visão Simples Digital|Surfaçada|SmartLife Digital Individual 3|PhotoFusion X|1.5|1.50|DuraVision Gold UV|-6.00 a +5.50|-4.00|0.50 a 1.25|75|||27</x:v>
      </x:c>
    </x:row>
    <x:row r="1827">
      <x:c r="A1827" s="24" t="str">
        <x:v>ZS-FDBB89424F75</x:v>
      </x:c>
      <x:c r="B1827" s="24" t="str">
        <x:v>SIM</x:v>
      </x:c>
      <x:c r="C1827" s="24" t="str">
        <x:v>DISPONÍVEL</x:v>
      </x:c>
      <x:c r="D1827" s="24" t="str">
        <x:v>ZEISS</x:v>
      </x:c>
      <x:c r="E1827" s="24" t="str">
        <x:v>Visão Simples Digital</x:v>
      </x:c>
      <x:c r="F1827" s="24" t="str">
        <x:v>Surfaçada</x:v>
      </x:c>
      <x:c r="G1827" s="24" t="str">
        <x:v>SmartLife Digital Individual 3</x:v>
      </x:c>
      <x:c r="H1827" s="24" t="str">
        <x:v>PhotoFusion X</x:v>
      </x:c>
      <x:c r="I1827" s="24" t="str">
        <x:v>1.5</x:v>
      </x:c>
      <x:c r="J1827" s="24" t="str">
        <x:v>1.50</x:v>
      </x:c>
      <x:c r="K1827" s="24" t="str">
        <x:v>DURAVISION® ANTIVÍRUS PLATINUM UV</x:v>
      </x:c>
      <x:c r="L1827" s="40" t="n">
        <x:v>3493</x:v>
      </x:c>
      <x:c r="M1827" s="24" t="str">
        <x:v>-6.00 a +5.50</x:v>
      </x:c>
      <x:c r="N1827" s="24" t="str">
        <x:v>-4.00</x:v>
      </x:c>
      <x:c r="O1827" s="24" t="str">
        <x:v>0.50 a 1.25</x:v>
      </x:c>
      <x:c r="P1827" s="24" t="str">
        <x:v>75</x:v>
      </x:c>
      <x:c r="Q1827" s="24"/>
      <x:c r="R1827" s="24"/>
      <x:c r="S1827" s="26" t="n">
        <x:v>46113</x:v>
      </x:c>
      <x:c r="T1827" s="26"/>
      <x:c r="U1827" s="24" t="str">
        <x:v>ATIVA/SEM FIM INFORMADO</x:v>
      </x:c>
      <x:c r="V1827" s="24" t="str">
        <x:v>Programa de Parcerias ZEISS</x:v>
      </x:c>
      <x:c r="W1827" s="24" t="n">
        <x:v>27</x:v>
      </x:c>
      <x:c r="X1827" s="24" t="str">
        <x:v>tabela_zeiss.pdf</x:v>
      </x:c>
      <x:c r="Y1827" s="24" t="str">
        <x:v>alta</x:v>
      </x:c>
      <x:c r="Z1827" s="24"/>
      <x:c r="AA1827" s="24" t="str">
        <x:v>ZEISS|Visão Simples Digital|Surfaçada|SmartLife Digital Individual 3|PhotoFusion X|1.5|1.50|DURAVISION® ANTIVÍRUS PLATINUM UV|-6.00 a +5.50|-4.00|0.50 a 1.25|75|||27</x:v>
      </x:c>
    </x:row>
    <x:row r="1828">
      <x:c r="A1828" s="24" t="str">
        <x:v>ZS-E520ADF077CB</x:v>
      </x:c>
      <x:c r="B1828" s="24" t="str">
        <x:v>SIM</x:v>
      </x:c>
      <x:c r="C1828" s="24" t="str">
        <x:v>DISPONÍVEL</x:v>
      </x:c>
      <x:c r="D1828" s="24" t="str">
        <x:v>ZEISS</x:v>
      </x:c>
      <x:c r="E1828" s="24" t="str">
        <x:v>Visão Simples Digital</x:v>
      </x:c>
      <x:c r="F1828" s="24" t="str">
        <x:v>Surfaçada</x:v>
      </x:c>
      <x:c r="G1828" s="24" t="str">
        <x:v>SmartLife Digital Individual 3</x:v>
      </x:c>
      <x:c r="H1828" s="24" t="str">
        <x:v>PhotoFusion X</x:v>
      </x:c>
      <x:c r="I1828" s="24" t="str">
        <x:v>1.5</x:v>
      </x:c>
      <x:c r="J1828" s="24" t="str">
        <x:v>1.50</x:v>
      </x:c>
      <x:c r="K1828" s="24" t="str">
        <x:v>DuraVision Platinum UV</x:v>
      </x:c>
      <x:c r="L1828" s="40" t="n">
        <x:v>3493</x:v>
      </x:c>
      <x:c r="M1828" s="24" t="str">
        <x:v>-6.00 a +5.50</x:v>
      </x:c>
      <x:c r="N1828" s="24" t="str">
        <x:v>-4.00</x:v>
      </x:c>
      <x:c r="O1828" s="24" t="str">
        <x:v>0.50 a 1.25</x:v>
      </x:c>
      <x:c r="P1828" s="24" t="str">
        <x:v>75</x:v>
      </x:c>
      <x:c r="Q1828" s="24"/>
      <x:c r="R1828" s="24"/>
      <x:c r="S1828" s="26" t="n">
        <x:v>46113</x:v>
      </x:c>
      <x:c r="T1828" s="26"/>
      <x:c r="U1828" s="24" t="str">
        <x:v>ATIVA/SEM FIM INFORMADO</x:v>
      </x:c>
      <x:c r="V1828" s="24" t="str">
        <x:v>Programa de Parcerias ZEISS</x:v>
      </x:c>
      <x:c r="W1828" s="24" t="n">
        <x:v>27</x:v>
      </x:c>
      <x:c r="X1828" s="24" t="str">
        <x:v>tabela_zeiss.pdf</x:v>
      </x:c>
      <x:c r="Y1828" s="24" t="str">
        <x:v>alta</x:v>
      </x:c>
      <x:c r="Z1828" s="24"/>
      <x:c r="AA1828" s="24" t="str">
        <x:v>ZEISS|Visão Simples Digital|Surfaçada|SmartLife Digital Individual 3|PhotoFusion X|1.5|1.50|DuraVision Platinum UV|-6.00 a +5.50|-4.00|0.50 a 1.25|75|||27</x:v>
      </x:c>
    </x:row>
    <x:row r="1829">
      <x:c r="A1829" s="24" t="str">
        <x:v>ZS-B823C683CA25</x:v>
      </x:c>
      <x:c r="B1829" s="24" t="str">
        <x:v>SIM</x:v>
      </x:c>
      <x:c r="C1829" s="24" t="str">
        <x:v>DISPONÍVEL</x:v>
      </x:c>
      <x:c r="D1829" s="24" t="str">
        <x:v>ZEISS</x:v>
      </x:c>
      <x:c r="E1829" s="24" t="str">
        <x:v>Visão Simples Digital</x:v>
      </x:c>
      <x:c r="F1829" s="24" t="str">
        <x:v>Surfaçada</x:v>
      </x:c>
      <x:c r="G1829" s="24" t="str">
        <x:v>SmartLife Digital Individual 3</x:v>
      </x:c>
      <x:c r="H1829" s="24" t="str">
        <x:v>PhotoFusion X</x:v>
      </x:c>
      <x:c r="I1829" s="24" t="str">
        <x:v>1.5</x:v>
      </x:c>
      <x:c r="J1829" s="24" t="str">
        <x:v>1.50</x:v>
      </x:c>
      <x:c r="K1829" s="24" t="str">
        <x:v>DuraVision Silver UV</x:v>
      </x:c>
      <x:c r="L1829" s="40" t="n">
        <x:v>3233</x:v>
      </x:c>
      <x:c r="M1829" s="24" t="str">
        <x:v>-6.00 a +5.50</x:v>
      </x:c>
      <x:c r="N1829" s="24" t="str">
        <x:v>-4.00</x:v>
      </x:c>
      <x:c r="O1829" s="24" t="str">
        <x:v>0.50 a 1.25</x:v>
      </x:c>
      <x:c r="P1829" s="24" t="str">
        <x:v>75</x:v>
      </x:c>
      <x:c r="Q1829" s="24"/>
      <x:c r="R1829" s="24"/>
      <x:c r="S1829" s="26" t="n">
        <x:v>46113</x:v>
      </x:c>
      <x:c r="T1829" s="26"/>
      <x:c r="U1829" s="24" t="str">
        <x:v>ATIVA/SEM FIM INFORMADO</x:v>
      </x:c>
      <x:c r="V1829" s="24" t="str">
        <x:v>Programa de Parcerias ZEISS</x:v>
      </x:c>
      <x:c r="W1829" s="24" t="n">
        <x:v>27</x:v>
      </x:c>
      <x:c r="X1829" s="24" t="str">
        <x:v>tabela_zeiss.pdf</x:v>
      </x:c>
      <x:c r="Y1829" s="24" t="str">
        <x:v>alta</x:v>
      </x:c>
      <x:c r="Z1829" s="24"/>
      <x:c r="AA1829" s="24" t="str">
        <x:v>ZEISS|Visão Simples Digital|Surfaçada|SmartLife Digital Individual 3|PhotoFusion X|1.5|1.50|DuraVision Silver UV|-6.00 a +5.50|-4.00|0.50 a 1.25|75|||27</x:v>
      </x:c>
    </x:row>
    <x:row r="1830">
      <x:c r="A1830" s="24" t="str">
        <x:v>ZS-E9CFBEB91A3C</x:v>
      </x:c>
      <x:c r="B1830" s="24" t="str">
        <x:v>SIM</x:v>
      </x:c>
      <x:c r="C1830" s="24" t="str">
        <x:v>DISPONÍVEL</x:v>
      </x:c>
      <x:c r="D1830" s="24" t="str">
        <x:v>ZEISS</x:v>
      </x:c>
      <x:c r="E1830" s="24" t="str">
        <x:v>Visão Simples Digital</x:v>
      </x:c>
      <x:c r="F1830" s="24" t="str">
        <x:v>Surfaçada</x:v>
      </x:c>
      <x:c r="G1830" s="24" t="str">
        <x:v>SmartLife Digital Individual 3</x:v>
      </x:c>
      <x:c r="H1830" s="24" t="str">
        <x:v>PhotoFusion X</x:v>
      </x:c>
      <x:c r="I1830" s="24" t="str">
        <x:v>1.5</x:v>
      </x:c>
      <x:c r="J1830" s="24" t="str">
        <x:v>1.50</x:v>
      </x:c>
      <x:c r="K1830" s="24" t="str">
        <x:v>DuraVision Chrome UV</x:v>
      </x:c>
      <x:c r="L1830" s="40" t="n">
        <x:v>2743</x:v>
      </x:c>
      <x:c r="M1830" s="24" t="str">
        <x:v>-6.00 a +5.50</x:v>
      </x:c>
      <x:c r="N1830" s="24" t="str">
        <x:v>-4.00</x:v>
      </x:c>
      <x:c r="O1830" s="24" t="str">
        <x:v>0.50 a 1.25</x:v>
      </x:c>
      <x:c r="P1830" s="24" t="str">
        <x:v>75</x:v>
      </x:c>
      <x:c r="Q1830" s="24"/>
      <x:c r="R1830" s="24"/>
      <x:c r="S1830" s="26" t="n">
        <x:v>46113</x:v>
      </x:c>
      <x:c r="T1830" s="26"/>
      <x:c r="U1830" s="24" t="str">
        <x:v>ATIVA/SEM FIM INFORMADO</x:v>
      </x:c>
      <x:c r="V1830" s="24" t="str">
        <x:v>Programa de Parcerias ZEISS</x:v>
      </x:c>
      <x:c r="W1830" s="24" t="n">
        <x:v>27</x:v>
      </x:c>
      <x:c r="X1830" s="24" t="str">
        <x:v>tabela_zeiss.pdf</x:v>
      </x:c>
      <x:c r="Y1830" s="24" t="str">
        <x:v>alta</x:v>
      </x:c>
      <x:c r="Z1830" s="24"/>
      <x:c r="AA1830" s="24" t="str">
        <x:v>ZEISS|Visão Simples Digital|Surfaçada|SmartLife Digital Individual 3|PhotoFusion X|1.5|1.50|DuraVision Chrome UV|-6.00 a +5.50|-4.00|0.50 a 1.25|75|||27</x:v>
      </x:c>
    </x:row>
    <x:row r="1831">
      <x:c r="A1831" s="24" t="str">
        <x:v>ZS-949AE0E3892B</x:v>
      </x:c>
      <x:c r="B1831" s="24" t="str">
        <x:v>SIM</x:v>
      </x:c>
      <x:c r="C1831" s="24" t="str">
        <x:v>DISPONÍVEL</x:v>
      </x:c>
      <x:c r="D1831" s="24" t="str">
        <x:v>ZEISS</x:v>
      </x:c>
      <x:c r="E1831" s="24" t="str">
        <x:v>Visão Simples Digital</x:v>
      </x:c>
      <x:c r="F1831" s="24" t="str">
        <x:v>Surfaçada</x:v>
      </x:c>
      <x:c r="G1831" s="24" t="str">
        <x:v>SmartLife Digital Individual 3</x:v>
      </x:c>
      <x:c r="H1831" s="24" t="str">
        <x:v>PhotoFusion X</x:v>
      </x:c>
      <x:c r="I1831" s="24" t="str">
        <x:v>Poli</x:v>
      </x:c>
      <x:c r="J1831" s="24"/>
      <x:c r="K1831" s="24" t="str">
        <x:v>DuraVision Gold UV</x:v>
      </x:c>
      <x:c r="L1831" s="40" t="n">
        <x:v>3993</x:v>
      </x:c>
      <x:c r="M1831" s="24" t="str">
        <x:v>-10.00 a +6.00</x:v>
      </x:c>
      <x:c r="N1831" s="24" t="str">
        <x:v>-6.00</x:v>
      </x:c>
      <x:c r="O1831" s="24" t="str">
        <x:v>0.50 a 1.25</x:v>
      </x:c>
      <x:c r="P1831" s="24" t="str">
        <x:v>70</x:v>
      </x:c>
      <x:c r="Q1831" s="24"/>
      <x:c r="R1831" s="24"/>
      <x:c r="S1831" s="26" t="n">
        <x:v>46113</x:v>
      </x:c>
      <x:c r="T1831" s="26"/>
      <x:c r="U1831" s="24" t="str">
        <x:v>ATIVA/SEM FIM INFORMADO</x:v>
      </x:c>
      <x:c r="V1831" s="24" t="str">
        <x:v>Programa de Parcerias ZEISS</x:v>
      </x:c>
      <x:c r="W1831" s="24" t="n">
        <x:v>27</x:v>
      </x:c>
      <x:c r="X1831" s="24" t="str">
        <x:v>tabela_zeiss.pdf</x:v>
      </x:c>
      <x:c r="Y1831" s="24" t="str">
        <x:v>alta</x:v>
      </x:c>
      <x:c r="Z1831" s="24"/>
      <x:c r="AA1831" s="24" t="str">
        <x:v>ZEISS|Visão Simples Digital|Surfaçada|SmartLife Digital Individual 3|PhotoFusion X|Poli||DuraVision Gold UV|-10.00 a +6.00|-6.00|0.50 a 1.25|70|||27</x:v>
      </x:c>
    </x:row>
    <x:row r="1832">
      <x:c r="A1832" s="24" t="str">
        <x:v>ZS-77C0620D5D03</x:v>
      </x:c>
      <x:c r="B1832" s="24" t="str">
        <x:v>SIM</x:v>
      </x:c>
      <x:c r="C1832" s="24" t="str">
        <x:v>DISPONÍVEL</x:v>
      </x:c>
      <x:c r="D1832" s="24" t="str">
        <x:v>ZEISS</x:v>
      </x:c>
      <x:c r="E1832" s="24" t="str">
        <x:v>Visão Simples Digital</x:v>
      </x:c>
      <x:c r="F1832" s="24" t="str">
        <x:v>Surfaçada</x:v>
      </x:c>
      <x:c r="G1832" s="24" t="str">
        <x:v>SmartLife Digital Individual 3</x:v>
      </x:c>
      <x:c r="H1832" s="24" t="str">
        <x:v>PhotoFusion X</x:v>
      </x:c>
      <x:c r="I1832" s="24" t="str">
        <x:v>Poli</x:v>
      </x:c>
      <x:c r="J1832" s="24"/>
      <x:c r="K1832" s="24" t="str">
        <x:v>DuraVision Platinum UV</x:v>
      </x:c>
      <x:c r="L1832" s="40" t="n">
        <x:v>3853</x:v>
      </x:c>
      <x:c r="M1832" s="24" t="str">
        <x:v>-10.00 a +6.00</x:v>
      </x:c>
      <x:c r="N1832" s="24" t="str">
        <x:v>-6.00</x:v>
      </x:c>
      <x:c r="O1832" s="24" t="str">
        <x:v>0.50 a 1.25</x:v>
      </x:c>
      <x:c r="P1832" s="24" t="str">
        <x:v>70</x:v>
      </x:c>
      <x:c r="Q1832" s="24"/>
      <x:c r="R1832" s="24"/>
      <x:c r="S1832" s="26" t="n">
        <x:v>46113</x:v>
      </x:c>
      <x:c r="T1832" s="26"/>
      <x:c r="U1832" s="24" t="str">
        <x:v>ATIVA/SEM FIM INFORMADO</x:v>
      </x:c>
      <x:c r="V1832" s="24" t="str">
        <x:v>Programa de Parcerias ZEISS</x:v>
      </x:c>
      <x:c r="W1832" s="24" t="n">
        <x:v>27</x:v>
      </x:c>
      <x:c r="X1832" s="24" t="str">
        <x:v>tabela_zeiss.pdf</x:v>
      </x:c>
      <x:c r="Y1832" s="24" t="str">
        <x:v>alta</x:v>
      </x:c>
      <x:c r="Z1832" s="24"/>
      <x:c r="AA1832" s="24" t="str">
        <x:v>ZEISS|Visão Simples Digital|Surfaçada|SmartLife Digital Individual 3|PhotoFusion X|Poli||DuraVision Platinum UV|-10.00 a +6.00|-6.00|0.50 a 1.25|70|||27</x:v>
      </x:c>
    </x:row>
    <x:row r="1833">
      <x:c r="A1833" s="24" t="str">
        <x:v>ZS-44C493DDABCF</x:v>
      </x:c>
      <x:c r="B1833" s="24" t="str">
        <x:v>SIM</x:v>
      </x:c>
      <x:c r="C1833" s="24" t="str">
        <x:v>DISPONÍVEL</x:v>
      </x:c>
      <x:c r="D1833" s="24" t="str">
        <x:v>ZEISS</x:v>
      </x:c>
      <x:c r="E1833" s="24" t="str">
        <x:v>Visão Simples Digital</x:v>
      </x:c>
      <x:c r="F1833" s="24" t="str">
        <x:v>Surfaçada</x:v>
      </x:c>
      <x:c r="G1833" s="24" t="str">
        <x:v>SmartLife Digital Individual 3</x:v>
      </x:c>
      <x:c r="H1833" s="24" t="str">
        <x:v>PhotoFusion X</x:v>
      </x:c>
      <x:c r="I1833" s="24" t="str">
        <x:v>Poli</x:v>
      </x:c>
      <x:c r="J1833" s="24"/>
      <x:c r="K1833" s="24" t="str">
        <x:v>DuraVision Silver UV</x:v>
      </x:c>
      <x:c r="L1833" s="40" t="n">
        <x:v>3593</x:v>
      </x:c>
      <x:c r="M1833" s="24" t="str">
        <x:v>-10.00 a +6.00</x:v>
      </x:c>
      <x:c r="N1833" s="24" t="str">
        <x:v>-6.00</x:v>
      </x:c>
      <x:c r="O1833" s="24" t="str">
        <x:v>0.50 a 1.25</x:v>
      </x:c>
      <x:c r="P1833" s="24" t="str">
        <x:v>70</x:v>
      </x:c>
      <x:c r="Q1833" s="24"/>
      <x:c r="R1833" s="24"/>
      <x:c r="S1833" s="26" t="n">
        <x:v>46113</x:v>
      </x:c>
      <x:c r="T1833" s="26"/>
      <x:c r="U1833" s="24" t="str">
        <x:v>ATIVA/SEM FIM INFORMADO</x:v>
      </x:c>
      <x:c r="V1833" s="24" t="str">
        <x:v>Programa de Parcerias ZEISS</x:v>
      </x:c>
      <x:c r="W1833" s="24" t="n">
        <x:v>27</x:v>
      </x:c>
      <x:c r="X1833" s="24" t="str">
        <x:v>tabela_zeiss.pdf</x:v>
      </x:c>
      <x:c r="Y1833" s="24" t="str">
        <x:v>alta</x:v>
      </x:c>
      <x:c r="Z1833" s="24"/>
      <x:c r="AA1833" s="24" t="str">
        <x:v>ZEISS|Visão Simples Digital|Surfaçada|SmartLife Digital Individual 3|PhotoFusion X|Poli||DuraVision Silver UV|-10.00 a +6.00|-6.00|0.50 a 1.25|70|||27</x:v>
      </x:c>
    </x:row>
    <x:row r="1834">
      <x:c r="A1834" s="24" t="str">
        <x:v>ZS-372BB3C13BC1</x:v>
      </x:c>
      <x:c r="B1834" s="24" t="str">
        <x:v>SIM</x:v>
      </x:c>
      <x:c r="C1834" s="24" t="str">
        <x:v>DISPONÍVEL</x:v>
      </x:c>
      <x:c r="D1834" s="24" t="str">
        <x:v>ZEISS</x:v>
      </x:c>
      <x:c r="E1834" s="24" t="str">
        <x:v>Visão Simples Digital</x:v>
      </x:c>
      <x:c r="F1834" s="24" t="str">
        <x:v>Surfaçada</x:v>
      </x:c>
      <x:c r="G1834" s="24" t="str">
        <x:v>SmartLife Digital Individual 3</x:v>
      </x:c>
      <x:c r="H1834" s="24" t="str">
        <x:v>PhotoFusion X</x:v>
      </x:c>
      <x:c r="I1834" s="24" t="str">
        <x:v>Poli</x:v>
      </x:c>
      <x:c r="J1834" s="24"/>
      <x:c r="K1834" s="24" t="str">
        <x:v>DuraVision Chrome UV</x:v>
      </x:c>
      <x:c r="L1834" s="40" t="n">
        <x:v>3103</x:v>
      </x:c>
      <x:c r="M1834" s="24" t="str">
        <x:v>-10.00 a +6.00</x:v>
      </x:c>
      <x:c r="N1834" s="24" t="str">
        <x:v>-6.00</x:v>
      </x:c>
      <x:c r="O1834" s="24" t="str">
        <x:v>0.50 a 1.25</x:v>
      </x:c>
      <x:c r="P1834" s="24" t="str">
        <x:v>70</x:v>
      </x:c>
      <x:c r="Q1834" s="24"/>
      <x:c r="R1834" s="24"/>
      <x:c r="S1834" s="26" t="n">
        <x:v>46113</x:v>
      </x:c>
      <x:c r="T1834" s="26"/>
      <x:c r="U1834" s="24" t="str">
        <x:v>ATIVA/SEM FIM INFORMADO</x:v>
      </x:c>
      <x:c r="V1834" s="24" t="str">
        <x:v>Programa de Parcerias ZEISS</x:v>
      </x:c>
      <x:c r="W1834" s="24" t="n">
        <x:v>27</x:v>
      </x:c>
      <x:c r="X1834" s="24" t="str">
        <x:v>tabela_zeiss.pdf</x:v>
      </x:c>
      <x:c r="Y1834" s="24" t="str">
        <x:v>alta</x:v>
      </x:c>
      <x:c r="Z1834" s="24"/>
      <x:c r="AA1834" s="24" t="str">
        <x:v>ZEISS|Visão Simples Digital|Surfaçada|SmartLife Digital Individual 3|PhotoFusion X|Poli||DuraVision Chrome UV|-10.00 a +6.00|-6.00|0.50 a 1.25|70|||27</x:v>
      </x:c>
    </x:row>
    <x:row r="1835">
      <x:c r="A1835" s="24" t="str">
        <x:v>ZS-849301F5A0BF</x:v>
      </x:c>
      <x:c r="B1835" s="24" t="str">
        <x:v>SIM</x:v>
      </x:c>
      <x:c r="C1835" s="24" t="str">
        <x:v>DISPONÍVEL</x:v>
      </x:c>
      <x:c r="D1835" s="24" t="str">
        <x:v>ZEISS</x:v>
      </x:c>
      <x:c r="E1835" s="24" t="str">
        <x:v>Visão Simples Digital</x:v>
      </x:c>
      <x:c r="F1835" s="24" t="str">
        <x:v>Surfaçada</x:v>
      </x:c>
      <x:c r="G1835" s="24" t="str">
        <x:v>SmartLife Digital Individual 3</x:v>
      </x:c>
      <x:c r="H1835" s="24" t="str">
        <x:v>PhotoFusion X</x:v>
      </x:c>
      <x:c r="I1835" s="24" t="str">
        <x:v>1.6</x:v>
      </x:c>
      <x:c r="J1835" s="24" t="str">
        <x:v>1.60</x:v>
      </x:c>
      <x:c r="K1835" s="24" t="str">
        <x:v>DuraVision Gold UV</x:v>
      </x:c>
      <x:c r="L1835" s="40" t="n">
        <x:v>4213</x:v>
      </x:c>
      <x:c r="M1835" s="24" t="str">
        <x:v>-7.25 a +6.00</x:v>
      </x:c>
      <x:c r="N1835" s="24" t="str">
        <x:v>-6.00</x:v>
      </x:c>
      <x:c r="O1835" s="24" t="str">
        <x:v>0.50 a 1.25</x:v>
      </x:c>
      <x:c r="P1835" s="24" t="str">
        <x:v>75</x:v>
      </x:c>
      <x:c r="Q1835" s="24"/>
      <x:c r="R1835" s="24"/>
      <x:c r="S1835" s="26" t="n">
        <x:v>46113</x:v>
      </x:c>
      <x:c r="T1835" s="26"/>
      <x:c r="U1835" s="24" t="str">
        <x:v>ATIVA/SEM FIM INFORMADO</x:v>
      </x:c>
      <x:c r="V1835" s="24" t="str">
        <x:v>Programa de Parcerias ZEISS</x:v>
      </x:c>
      <x:c r="W1835" s="24" t="n">
        <x:v>27</x:v>
      </x:c>
      <x:c r="X1835" s="24" t="str">
        <x:v>tabela_zeiss.pdf</x:v>
      </x:c>
      <x:c r="Y1835" s="24" t="str">
        <x:v>alta</x:v>
      </x:c>
      <x:c r="Z1835" s="24"/>
      <x:c r="AA1835" s="24" t="str">
        <x:v>ZEISS|Visão Simples Digital|Surfaçada|SmartLife Digital Individual 3|PhotoFusion X|1.6|1.60|DuraVision Gold UV|-7.25 a +6.00|-6.00|0.50 a 1.25|75|||27</x:v>
      </x:c>
    </x:row>
    <x:row r="1836">
      <x:c r="A1836" s="24" t="str">
        <x:v>ZS-AA36491C441D</x:v>
      </x:c>
      <x:c r="B1836" s="24" t="str">
        <x:v>SIM</x:v>
      </x:c>
      <x:c r="C1836" s="24" t="str">
        <x:v>DISPONÍVEL</x:v>
      </x:c>
      <x:c r="D1836" s="24" t="str">
        <x:v>ZEISS</x:v>
      </x:c>
      <x:c r="E1836" s="24" t="str">
        <x:v>Visão Simples Digital</x:v>
      </x:c>
      <x:c r="F1836" s="24" t="str">
        <x:v>Surfaçada</x:v>
      </x:c>
      <x:c r="G1836" s="24" t="str">
        <x:v>SmartLife Digital Individual 3</x:v>
      </x:c>
      <x:c r="H1836" s="24" t="str">
        <x:v>PhotoFusion X</x:v>
      </x:c>
      <x:c r="I1836" s="24" t="str">
        <x:v>1.6</x:v>
      </x:c>
      <x:c r="J1836" s="24" t="str">
        <x:v>1.60</x:v>
      </x:c>
      <x:c r="K1836" s="24" t="str">
        <x:v>DURAVISION® ANTIVÍRUS PLATINUM UV</x:v>
      </x:c>
      <x:c r="L1836" s="40" t="n">
        <x:v>4073</x:v>
      </x:c>
      <x:c r="M1836" s="24" t="str">
        <x:v>-7.25 a +6.00</x:v>
      </x:c>
      <x:c r="N1836" s="24" t="str">
        <x:v>-6.00</x:v>
      </x:c>
      <x:c r="O1836" s="24" t="str">
        <x:v>0.50 a 1.25</x:v>
      </x:c>
      <x:c r="P1836" s="24" t="str">
        <x:v>75</x:v>
      </x:c>
      <x:c r="Q1836" s="24"/>
      <x:c r="R1836" s="24"/>
      <x:c r="S1836" s="26" t="n">
        <x:v>46113</x:v>
      </x:c>
      <x:c r="T1836" s="26"/>
      <x:c r="U1836" s="24" t="str">
        <x:v>ATIVA/SEM FIM INFORMADO</x:v>
      </x:c>
      <x:c r="V1836" s="24" t="str">
        <x:v>Programa de Parcerias ZEISS</x:v>
      </x:c>
      <x:c r="W1836" s="24" t="n">
        <x:v>27</x:v>
      </x:c>
      <x:c r="X1836" s="24" t="str">
        <x:v>tabela_zeiss.pdf</x:v>
      </x:c>
      <x:c r="Y1836" s="24" t="str">
        <x:v>alta</x:v>
      </x:c>
      <x:c r="Z1836" s="24"/>
      <x:c r="AA1836" s="24" t="str">
        <x:v>ZEISS|Visão Simples Digital|Surfaçada|SmartLife Digital Individual 3|PhotoFusion X|1.6|1.60|DURAVISION® ANTIVÍRUS PLATINUM UV|-7.25 a +6.00|-6.00|0.50 a 1.25|75|||27</x:v>
      </x:c>
    </x:row>
    <x:row r="1837">
      <x:c r="A1837" s="24" t="str">
        <x:v>ZS-E7F345ADB4CE</x:v>
      </x:c>
      <x:c r="B1837" s="24" t="str">
        <x:v>SIM</x:v>
      </x:c>
      <x:c r="C1837" s="24" t="str">
        <x:v>DISPONÍVEL</x:v>
      </x:c>
      <x:c r="D1837" s="24" t="str">
        <x:v>ZEISS</x:v>
      </x:c>
      <x:c r="E1837" s="24" t="str">
        <x:v>Visão Simples Digital</x:v>
      </x:c>
      <x:c r="F1837" s="24" t="str">
        <x:v>Surfaçada</x:v>
      </x:c>
      <x:c r="G1837" s="24" t="str">
        <x:v>SmartLife Digital Individual 3</x:v>
      </x:c>
      <x:c r="H1837" s="24" t="str">
        <x:v>PhotoFusion X</x:v>
      </x:c>
      <x:c r="I1837" s="24" t="str">
        <x:v>1.6</x:v>
      </x:c>
      <x:c r="J1837" s="24" t="str">
        <x:v>1.60</x:v>
      </x:c>
      <x:c r="K1837" s="24" t="str">
        <x:v>DuraVision Platinum UV</x:v>
      </x:c>
      <x:c r="L1837" s="40" t="n">
        <x:v>4073</x:v>
      </x:c>
      <x:c r="M1837" s="24" t="str">
        <x:v>-7.25 a +6.00</x:v>
      </x:c>
      <x:c r="N1837" s="24" t="str">
        <x:v>-6.00</x:v>
      </x:c>
      <x:c r="O1837" s="24" t="str">
        <x:v>0.50 a 1.25</x:v>
      </x:c>
      <x:c r="P1837" s="24" t="str">
        <x:v>75</x:v>
      </x:c>
      <x:c r="Q1837" s="24"/>
      <x:c r="R1837" s="24"/>
      <x:c r="S1837" s="26" t="n">
        <x:v>46113</x:v>
      </x:c>
      <x:c r="T1837" s="26"/>
      <x:c r="U1837" s="24" t="str">
        <x:v>ATIVA/SEM FIM INFORMADO</x:v>
      </x:c>
      <x:c r="V1837" s="24" t="str">
        <x:v>Programa de Parcerias ZEISS</x:v>
      </x:c>
      <x:c r="W1837" s="24" t="n">
        <x:v>27</x:v>
      </x:c>
      <x:c r="X1837" s="24" t="str">
        <x:v>tabela_zeiss.pdf</x:v>
      </x:c>
      <x:c r="Y1837" s="24" t="str">
        <x:v>alta</x:v>
      </x:c>
      <x:c r="Z1837" s="24"/>
      <x:c r="AA1837" s="24" t="str">
        <x:v>ZEISS|Visão Simples Digital|Surfaçada|SmartLife Digital Individual 3|PhotoFusion X|1.6|1.60|DuraVision Platinum UV|-7.25 a +6.00|-6.00|0.50 a 1.25|75|||27</x:v>
      </x:c>
    </x:row>
    <x:row r="1838">
      <x:c r="A1838" s="24" t="str">
        <x:v>ZS-E24C6FBF2FD4</x:v>
      </x:c>
      <x:c r="B1838" s="24" t="str">
        <x:v>SIM</x:v>
      </x:c>
      <x:c r="C1838" s="24" t="str">
        <x:v>DISPONÍVEL</x:v>
      </x:c>
      <x:c r="D1838" s="24" t="str">
        <x:v>ZEISS</x:v>
      </x:c>
      <x:c r="E1838" s="24" t="str">
        <x:v>Visão Simples Digital</x:v>
      </x:c>
      <x:c r="F1838" s="24" t="str">
        <x:v>Surfaçada</x:v>
      </x:c>
      <x:c r="G1838" s="24" t="str">
        <x:v>SmartLife Digital Individual 3</x:v>
      </x:c>
      <x:c r="H1838" s="24" t="str">
        <x:v>PhotoFusion X</x:v>
      </x:c>
      <x:c r="I1838" s="24" t="str">
        <x:v>1.6</x:v>
      </x:c>
      <x:c r="J1838" s="24" t="str">
        <x:v>1.60</x:v>
      </x:c>
      <x:c r="K1838" s="24" t="str">
        <x:v>DuraVision Silver UV</x:v>
      </x:c>
      <x:c r="L1838" s="40" t="n">
        <x:v>3813</x:v>
      </x:c>
      <x:c r="M1838" s="24" t="str">
        <x:v>-7.25 a +6.00</x:v>
      </x:c>
      <x:c r="N1838" s="24" t="str">
        <x:v>-6.00</x:v>
      </x:c>
      <x:c r="O1838" s="24" t="str">
        <x:v>0.50 a 1.25</x:v>
      </x:c>
      <x:c r="P1838" s="24" t="str">
        <x:v>75</x:v>
      </x:c>
      <x:c r="Q1838" s="24"/>
      <x:c r="R1838" s="24"/>
      <x:c r="S1838" s="26" t="n">
        <x:v>46113</x:v>
      </x:c>
      <x:c r="T1838" s="26"/>
      <x:c r="U1838" s="24" t="str">
        <x:v>ATIVA/SEM FIM INFORMADO</x:v>
      </x:c>
      <x:c r="V1838" s="24" t="str">
        <x:v>Programa de Parcerias ZEISS</x:v>
      </x:c>
      <x:c r="W1838" s="24" t="n">
        <x:v>27</x:v>
      </x:c>
      <x:c r="X1838" s="24" t="str">
        <x:v>tabela_zeiss.pdf</x:v>
      </x:c>
      <x:c r="Y1838" s="24" t="str">
        <x:v>alta</x:v>
      </x:c>
      <x:c r="Z1838" s="24"/>
      <x:c r="AA1838" s="24" t="str">
        <x:v>ZEISS|Visão Simples Digital|Surfaçada|SmartLife Digital Individual 3|PhotoFusion X|1.6|1.60|DuraVision Silver UV|-7.25 a +6.00|-6.00|0.50 a 1.25|75|||27</x:v>
      </x:c>
    </x:row>
    <x:row r="1839">
      <x:c r="A1839" s="24" t="str">
        <x:v>ZS-879B8B171DFF</x:v>
      </x:c>
      <x:c r="B1839" s="24" t="str">
        <x:v>SIM</x:v>
      </x:c>
      <x:c r="C1839" s="24" t="str">
        <x:v>DISPONÍVEL</x:v>
      </x:c>
      <x:c r="D1839" s="24" t="str">
        <x:v>ZEISS</x:v>
      </x:c>
      <x:c r="E1839" s="24" t="str">
        <x:v>Visão Simples Digital</x:v>
      </x:c>
      <x:c r="F1839" s="24" t="str">
        <x:v>Surfaçada</x:v>
      </x:c>
      <x:c r="G1839" s="24" t="str">
        <x:v>SmartLife Digital Individual 3</x:v>
      </x:c>
      <x:c r="H1839" s="24" t="str">
        <x:v>PhotoFusion X</x:v>
      </x:c>
      <x:c r="I1839" s="24" t="str">
        <x:v>1.6</x:v>
      </x:c>
      <x:c r="J1839" s="24" t="str">
        <x:v>1.60</x:v>
      </x:c>
      <x:c r="K1839" s="24" t="str">
        <x:v>DuraVision Chrome UV</x:v>
      </x:c>
      <x:c r="L1839" s="40" t="n">
        <x:v>3323</x:v>
      </x:c>
      <x:c r="M1839" s="24" t="str">
        <x:v>-7.25 a +6.00</x:v>
      </x:c>
      <x:c r="N1839" s="24" t="str">
        <x:v>-6.00</x:v>
      </x:c>
      <x:c r="O1839" s="24" t="str">
        <x:v>0.50 a 1.25</x:v>
      </x:c>
      <x:c r="P1839" s="24" t="str">
        <x:v>75</x:v>
      </x:c>
      <x:c r="Q1839" s="24"/>
      <x:c r="R1839" s="24"/>
      <x:c r="S1839" s="26" t="n">
        <x:v>46113</x:v>
      </x:c>
      <x:c r="T1839" s="26"/>
      <x:c r="U1839" s="24" t="str">
        <x:v>ATIVA/SEM FIM INFORMADO</x:v>
      </x:c>
      <x:c r="V1839" s="24" t="str">
        <x:v>Programa de Parcerias ZEISS</x:v>
      </x:c>
      <x:c r="W1839" s="24" t="n">
        <x:v>27</x:v>
      </x:c>
      <x:c r="X1839" s="24" t="str">
        <x:v>tabela_zeiss.pdf</x:v>
      </x:c>
      <x:c r="Y1839" s="24" t="str">
        <x:v>alta</x:v>
      </x:c>
      <x:c r="Z1839" s="24"/>
      <x:c r="AA1839" s="24" t="str">
        <x:v>ZEISS|Visão Simples Digital|Surfaçada|SmartLife Digital Individual 3|PhotoFusion X|1.6|1.60|DuraVision Chrome UV|-7.25 a +6.00|-6.00|0.50 a 1.25|75|||27</x:v>
      </x:c>
    </x:row>
    <x:row r="1840">
      <x:c r="A1840" s="24" t="str">
        <x:v>ZS-D8E23D0B8A93</x:v>
      </x:c>
      <x:c r="B1840" s="24" t="str">
        <x:v>SIM</x:v>
      </x:c>
      <x:c r="C1840" s="24" t="str">
        <x:v>DISPONÍVEL</x:v>
      </x:c>
      <x:c r="D1840" s="24" t="str">
        <x:v>ZEISS</x:v>
      </x:c>
      <x:c r="E1840" s="24" t="str">
        <x:v>Visão Simples Digital</x:v>
      </x:c>
      <x:c r="F1840" s="24" t="str">
        <x:v>Surfaçada</x:v>
      </x:c>
      <x:c r="G1840" s="24" t="str">
        <x:v>SmartLife Digital Individual 3</x:v>
      </x:c>
      <x:c r="H1840" s="24" t="str">
        <x:v>PhotoFusion X</x:v>
      </x:c>
      <x:c r="I1840" s="24" t="str">
        <x:v>1.67</x:v>
      </x:c>
      <x:c r="J1840" s="24" t="str">
        <x:v>1.67</x:v>
      </x:c>
      <x:c r="K1840" s="24" t="str">
        <x:v>DuraVision Gold UV</x:v>
      </x:c>
      <x:c r="L1840" s="40" t="n">
        <x:v>5513</x:v>
      </x:c>
      <x:c r="M1840" s="24" t="str">
        <x:v>-8.00 a +8.00</x:v>
      </x:c>
      <x:c r="N1840" s="24" t="str">
        <x:v>-6.00</x:v>
      </x:c>
      <x:c r="O1840" s="24" t="str">
        <x:v>0.50 a 1.25</x:v>
      </x:c>
      <x:c r="P1840" s="24" t="str">
        <x:v>70</x:v>
      </x:c>
      <x:c r="Q1840" s="24"/>
      <x:c r="R1840" s="24"/>
      <x:c r="S1840" s="26" t="n">
        <x:v>46113</x:v>
      </x:c>
      <x:c r="T1840" s="26"/>
      <x:c r="U1840" s="24" t="str">
        <x:v>ATIVA/SEM FIM INFORMADO</x:v>
      </x:c>
      <x:c r="V1840" s="24" t="str">
        <x:v>Programa de Parcerias ZEISS</x:v>
      </x:c>
      <x:c r="W1840" s="24" t="n">
        <x:v>27</x:v>
      </x:c>
      <x:c r="X1840" s="24" t="str">
        <x:v>tabela_zeiss.pdf</x:v>
      </x:c>
      <x:c r="Y1840" s="24" t="str">
        <x:v>alta</x:v>
      </x:c>
      <x:c r="Z1840" s="24"/>
      <x:c r="AA1840" s="24" t="str">
        <x:v>ZEISS|Visão Simples Digital|Surfaçada|SmartLife Digital Individual 3|PhotoFusion X|1.67|1.67|DuraVision Gold UV|-8.00 a +8.00|-6.00|0.50 a 1.25|70|||27</x:v>
      </x:c>
    </x:row>
    <x:row r="1841">
      <x:c r="A1841" s="24" t="str">
        <x:v>ZS-FC3BF5E270EC</x:v>
      </x:c>
      <x:c r="B1841" s="24" t="str">
        <x:v>SIM</x:v>
      </x:c>
      <x:c r="C1841" s="24" t="str">
        <x:v>DISPONÍVEL</x:v>
      </x:c>
      <x:c r="D1841" s="24" t="str">
        <x:v>ZEISS</x:v>
      </x:c>
      <x:c r="E1841" s="24" t="str">
        <x:v>Visão Simples Digital</x:v>
      </x:c>
      <x:c r="F1841" s="24" t="str">
        <x:v>Surfaçada</x:v>
      </x:c>
      <x:c r="G1841" s="24" t="str">
        <x:v>SmartLife Digital Individual 3</x:v>
      </x:c>
      <x:c r="H1841" s="24" t="str">
        <x:v>PhotoFusion X</x:v>
      </x:c>
      <x:c r="I1841" s="24" t="str">
        <x:v>1.67</x:v>
      </x:c>
      <x:c r="J1841" s="24" t="str">
        <x:v>1.67</x:v>
      </x:c>
      <x:c r="K1841" s="24" t="str">
        <x:v>DURAVISION® ANTIVÍRUS PLATINUM UV</x:v>
      </x:c>
      <x:c r="L1841" s="40" t="n">
        <x:v>5373</x:v>
      </x:c>
      <x:c r="M1841" s="24" t="str">
        <x:v>-8.00 a +8.00</x:v>
      </x:c>
      <x:c r="N1841" s="24" t="str">
        <x:v>-6.00</x:v>
      </x:c>
      <x:c r="O1841" s="24" t="str">
        <x:v>0.50 a 1.25</x:v>
      </x:c>
      <x:c r="P1841" s="24" t="str">
        <x:v>70</x:v>
      </x:c>
      <x:c r="Q1841" s="24"/>
      <x:c r="R1841" s="24"/>
      <x:c r="S1841" s="26" t="n">
        <x:v>46113</x:v>
      </x:c>
      <x:c r="T1841" s="26"/>
      <x:c r="U1841" s="24" t="str">
        <x:v>ATIVA/SEM FIM INFORMADO</x:v>
      </x:c>
      <x:c r="V1841" s="24" t="str">
        <x:v>Programa de Parcerias ZEISS</x:v>
      </x:c>
      <x:c r="W1841" s="24" t="n">
        <x:v>27</x:v>
      </x:c>
      <x:c r="X1841" s="24" t="str">
        <x:v>tabela_zeiss.pdf</x:v>
      </x:c>
      <x:c r="Y1841" s="24" t="str">
        <x:v>alta</x:v>
      </x:c>
      <x:c r="Z1841" s="24"/>
      <x:c r="AA1841" s="24" t="str">
        <x:v>ZEISS|Visão Simples Digital|Surfaçada|SmartLife Digital Individual 3|PhotoFusion X|1.67|1.67|DURAVISION® ANTIVÍRUS PLATINUM UV|-8.00 a +8.00|-6.00|0.50 a 1.25|70|||27</x:v>
      </x:c>
    </x:row>
    <x:row r="1842">
      <x:c r="A1842" s="24" t="str">
        <x:v>ZS-516B2B54BF88</x:v>
      </x:c>
      <x:c r="B1842" s="24" t="str">
        <x:v>SIM</x:v>
      </x:c>
      <x:c r="C1842" s="24" t="str">
        <x:v>DISPONÍVEL</x:v>
      </x:c>
      <x:c r="D1842" s="24" t="str">
        <x:v>ZEISS</x:v>
      </x:c>
      <x:c r="E1842" s="24" t="str">
        <x:v>Visão Simples Digital</x:v>
      </x:c>
      <x:c r="F1842" s="24" t="str">
        <x:v>Surfaçada</x:v>
      </x:c>
      <x:c r="G1842" s="24" t="str">
        <x:v>SmartLife Digital Individual 3</x:v>
      </x:c>
      <x:c r="H1842" s="24" t="str">
        <x:v>PhotoFusion X</x:v>
      </x:c>
      <x:c r="I1842" s="24" t="str">
        <x:v>1.67</x:v>
      </x:c>
      <x:c r="J1842" s="24" t="str">
        <x:v>1.67</x:v>
      </x:c>
      <x:c r="K1842" s="24" t="str">
        <x:v>DuraVision Platinum UV</x:v>
      </x:c>
      <x:c r="L1842" s="40" t="n">
        <x:v>5373</x:v>
      </x:c>
      <x:c r="M1842" s="24" t="str">
        <x:v>-8.00 a +8.00</x:v>
      </x:c>
      <x:c r="N1842" s="24" t="str">
        <x:v>-6.00</x:v>
      </x:c>
      <x:c r="O1842" s="24" t="str">
        <x:v>0.50 a 1.25</x:v>
      </x:c>
      <x:c r="P1842" s="24" t="str">
        <x:v>70</x:v>
      </x:c>
      <x:c r="Q1842" s="24"/>
      <x:c r="R1842" s="24"/>
      <x:c r="S1842" s="26" t="n">
        <x:v>46113</x:v>
      </x:c>
      <x:c r="T1842" s="26"/>
      <x:c r="U1842" s="24" t="str">
        <x:v>ATIVA/SEM FIM INFORMADO</x:v>
      </x:c>
      <x:c r="V1842" s="24" t="str">
        <x:v>Programa de Parcerias ZEISS</x:v>
      </x:c>
      <x:c r="W1842" s="24" t="n">
        <x:v>27</x:v>
      </x:c>
      <x:c r="X1842" s="24" t="str">
        <x:v>tabela_zeiss.pdf</x:v>
      </x:c>
      <x:c r="Y1842" s="24" t="str">
        <x:v>alta</x:v>
      </x:c>
      <x:c r="Z1842" s="24"/>
      <x:c r="AA1842" s="24" t="str">
        <x:v>ZEISS|Visão Simples Digital|Surfaçada|SmartLife Digital Individual 3|PhotoFusion X|1.67|1.67|DuraVision Platinum UV|-8.00 a +8.00|-6.00|0.50 a 1.25|70|||27</x:v>
      </x:c>
    </x:row>
    <x:row r="1843">
      <x:c r="A1843" s="24" t="str">
        <x:v>ZS-AF318133F481</x:v>
      </x:c>
      <x:c r="B1843" s="24" t="str">
        <x:v>SIM</x:v>
      </x:c>
      <x:c r="C1843" s="24" t="str">
        <x:v>DISPONÍVEL</x:v>
      </x:c>
      <x:c r="D1843" s="24" t="str">
        <x:v>ZEISS</x:v>
      </x:c>
      <x:c r="E1843" s="24" t="str">
        <x:v>Visão Simples Digital</x:v>
      </x:c>
      <x:c r="F1843" s="24" t="str">
        <x:v>Surfaçada</x:v>
      </x:c>
      <x:c r="G1843" s="24" t="str">
        <x:v>SmartLife Digital Individual 3</x:v>
      </x:c>
      <x:c r="H1843" s="24" t="str">
        <x:v>PhotoFusion X</x:v>
      </x:c>
      <x:c r="I1843" s="24" t="str">
        <x:v>1.67</x:v>
      </x:c>
      <x:c r="J1843" s="24" t="str">
        <x:v>1.67</x:v>
      </x:c>
      <x:c r="K1843" s="24" t="str">
        <x:v>DuraVision Silver UV</x:v>
      </x:c>
      <x:c r="L1843" s="40" t="n">
        <x:v>5113</x:v>
      </x:c>
      <x:c r="M1843" s="24" t="str">
        <x:v>-8.00 a +8.00</x:v>
      </x:c>
      <x:c r="N1843" s="24" t="str">
        <x:v>-6.00</x:v>
      </x:c>
      <x:c r="O1843" s="24" t="str">
        <x:v>0.50 a 1.25</x:v>
      </x:c>
      <x:c r="P1843" s="24" t="str">
        <x:v>70</x:v>
      </x:c>
      <x:c r="Q1843" s="24"/>
      <x:c r="R1843" s="24"/>
      <x:c r="S1843" s="26" t="n">
        <x:v>46113</x:v>
      </x:c>
      <x:c r="T1843" s="26"/>
      <x:c r="U1843" s="24" t="str">
        <x:v>ATIVA/SEM FIM INFORMADO</x:v>
      </x:c>
      <x:c r="V1843" s="24" t="str">
        <x:v>Programa de Parcerias ZEISS</x:v>
      </x:c>
      <x:c r="W1843" s="24" t="n">
        <x:v>27</x:v>
      </x:c>
      <x:c r="X1843" s="24" t="str">
        <x:v>tabela_zeiss.pdf</x:v>
      </x:c>
      <x:c r="Y1843" s="24" t="str">
        <x:v>alta</x:v>
      </x:c>
      <x:c r="Z1843" s="24"/>
      <x:c r="AA1843" s="24" t="str">
        <x:v>ZEISS|Visão Simples Digital|Surfaçada|SmartLife Digital Individual 3|PhotoFusion X|1.67|1.67|DuraVision Silver UV|-8.00 a +8.00|-6.00|0.50 a 1.25|70|||27</x:v>
      </x:c>
    </x:row>
    <x:row r="1844">
      <x:c r="A1844" s="24" t="str">
        <x:v>ZS-C2275D986EE6</x:v>
      </x:c>
      <x:c r="B1844" s="24" t="str">
        <x:v>SIM</x:v>
      </x:c>
      <x:c r="C1844" s="24" t="str">
        <x:v>DISPONÍVEL</x:v>
      </x:c>
      <x:c r="D1844" s="24" t="str">
        <x:v>ZEISS</x:v>
      </x:c>
      <x:c r="E1844" s="24" t="str">
        <x:v>Visão Simples Digital</x:v>
      </x:c>
      <x:c r="F1844" s="24" t="str">
        <x:v>Surfaçada</x:v>
      </x:c>
      <x:c r="G1844" s="24" t="str">
        <x:v>SmartLife Digital Individual 3</x:v>
      </x:c>
      <x:c r="H1844" s="24" t="str">
        <x:v>PhotoFusion X</x:v>
      </x:c>
      <x:c r="I1844" s="24" t="str">
        <x:v>1.67</x:v>
      </x:c>
      <x:c r="J1844" s="24" t="str">
        <x:v>1.67</x:v>
      </x:c>
      <x:c r="K1844" s="24" t="str">
        <x:v>DuraVision Chrome UV</x:v>
      </x:c>
      <x:c r="L1844" s="40" t="n">
        <x:v>4623</x:v>
      </x:c>
      <x:c r="M1844" s="24" t="str">
        <x:v>-8.00 a +8.00</x:v>
      </x:c>
      <x:c r="N1844" s="24" t="str">
        <x:v>-6.00</x:v>
      </x:c>
      <x:c r="O1844" s="24" t="str">
        <x:v>0.50 a 1.25</x:v>
      </x:c>
      <x:c r="P1844" s="24" t="str">
        <x:v>70</x:v>
      </x:c>
      <x:c r="Q1844" s="24"/>
      <x:c r="R1844" s="24"/>
      <x:c r="S1844" s="26" t="n">
        <x:v>46113</x:v>
      </x:c>
      <x:c r="T1844" s="26"/>
      <x:c r="U1844" s="24" t="str">
        <x:v>ATIVA/SEM FIM INFORMADO</x:v>
      </x:c>
      <x:c r="V1844" s="24" t="str">
        <x:v>Programa de Parcerias ZEISS</x:v>
      </x:c>
      <x:c r="W1844" s="24" t="n">
        <x:v>27</x:v>
      </x:c>
      <x:c r="X1844" s="24" t="str">
        <x:v>tabela_zeiss.pdf</x:v>
      </x:c>
      <x:c r="Y1844" s="24" t="str">
        <x:v>alta</x:v>
      </x:c>
      <x:c r="Z1844" s="24"/>
      <x:c r="AA1844" s="24" t="str">
        <x:v>ZEISS|Visão Simples Digital|Surfaçada|SmartLife Digital Individual 3|PhotoFusion X|1.67|1.67|DuraVision Chrome UV|-8.00 a +8.00|-6.00|0.50 a 1.25|70|||27</x:v>
      </x:c>
    </x:row>
    <x:row r="1845">
      <x:c r="A1845" s="24" t="str">
        <x:v>ZS-F4F9249ED27F</x:v>
      </x:c>
      <x:c r="B1845" s="24" t="str">
        <x:v>SIM</x:v>
      </x:c>
      <x:c r="C1845" s="24" t="str">
        <x:v>DISPONÍVEL</x:v>
      </x:c>
      <x:c r="D1845" s="24" t="str">
        <x:v>ZEISS</x:v>
      </x:c>
      <x:c r="E1845" s="24" t="str">
        <x:v>Visão Simples Digital</x:v>
      </x:c>
      <x:c r="F1845" s="24" t="str">
        <x:v>Surfaçada</x:v>
      </x:c>
      <x:c r="G1845" s="24" t="str">
        <x:v>SmartLife Digital Individual 3</x:v>
      </x:c>
      <x:c r="H1845" s="24" t="str">
        <x:v>PhotoFusion X Extra Dark Cinza</x:v>
      </x:c>
      <x:c r="I1845" s="24" t="str">
        <x:v>1.5</x:v>
      </x:c>
      <x:c r="J1845" s="24" t="str">
        <x:v>1.50</x:v>
      </x:c>
      <x:c r="K1845" s="24" t="str">
        <x:v>DuraVision Gold UV</x:v>
      </x:c>
      <x:c r="L1845" s="40" t="n">
        <x:v>3683</x:v>
      </x:c>
      <x:c r="M1845" s="24" t="str">
        <x:v>-6.00 a +5.50</x:v>
      </x:c>
      <x:c r="N1845" s="24" t="str">
        <x:v>-4.00</x:v>
      </x:c>
      <x:c r="O1845" s="24" t="str">
        <x:v>0.50 a 1.25</x:v>
      </x:c>
      <x:c r="P1845" s="24" t="str">
        <x:v>75</x:v>
      </x:c>
      <x:c r="Q1845" s="24"/>
      <x:c r="R1845" s="24"/>
      <x:c r="S1845" s="26" t="n">
        <x:v>46113</x:v>
      </x:c>
      <x:c r="T1845" s="26"/>
      <x:c r="U1845" s="24" t="str">
        <x:v>ATIVA/SEM FIM INFORMADO</x:v>
      </x:c>
      <x:c r="V1845" s="24" t="str">
        <x:v>Programa de Parcerias ZEISS</x:v>
      </x:c>
      <x:c r="W1845" s="24" t="n">
        <x:v>27</x:v>
      </x:c>
      <x:c r="X1845" s="24" t="str">
        <x:v>tabela_zeiss.pdf</x:v>
      </x:c>
      <x:c r="Y1845" s="24" t="str">
        <x:v>alta</x:v>
      </x:c>
      <x:c r="Z1845" s="24"/>
      <x:c r="AA1845" s="24" t="str">
        <x:v>ZEISS|Visão Simples Digital|Surfaçada|SmartLife Digital Individual 3|PhotoFusion X Extra Dark Cinza|1.5|1.50|DuraVision Gold UV|-6.00 a +5.50|-4.00|0.50 a 1.25|75|||27</x:v>
      </x:c>
    </x:row>
    <x:row r="1846">
      <x:c r="A1846" s="24" t="str">
        <x:v>ZS-BA46A2113999</x:v>
      </x:c>
      <x:c r="B1846" s="24" t="str">
        <x:v>SIM</x:v>
      </x:c>
      <x:c r="C1846" s="24" t="str">
        <x:v>DISPONÍVEL</x:v>
      </x:c>
      <x:c r="D1846" s="24" t="str">
        <x:v>ZEISS</x:v>
      </x:c>
      <x:c r="E1846" s="24" t="str">
        <x:v>Visão Simples Digital</x:v>
      </x:c>
      <x:c r="F1846" s="24" t="str">
        <x:v>Surfaçada</x:v>
      </x:c>
      <x:c r="G1846" s="24" t="str">
        <x:v>SmartLife Digital Individual 3</x:v>
      </x:c>
      <x:c r="H1846" s="24" t="str">
        <x:v>PhotoFusion X Extra Dark Cinza</x:v>
      </x:c>
      <x:c r="I1846" s="24" t="str">
        <x:v>1.5</x:v>
      </x:c>
      <x:c r="J1846" s="24" t="str">
        <x:v>1.50</x:v>
      </x:c>
      <x:c r="K1846" s="24" t="str">
        <x:v>DURAVISION® ANTIVÍRUS PLATINUM UV</x:v>
      </x:c>
      <x:c r="L1846" s="40" t="n">
        <x:v>3543</x:v>
      </x:c>
      <x:c r="M1846" s="24" t="str">
        <x:v>-6.00 a +5.50</x:v>
      </x:c>
      <x:c r="N1846" s="24" t="str">
        <x:v>-4.00</x:v>
      </x:c>
      <x:c r="O1846" s="24" t="str">
        <x:v>0.50 a 1.25</x:v>
      </x:c>
      <x:c r="P1846" s="24" t="str">
        <x:v>75</x:v>
      </x:c>
      <x:c r="Q1846" s="24"/>
      <x:c r="R1846" s="24"/>
      <x:c r="S1846" s="26" t="n">
        <x:v>46113</x:v>
      </x:c>
      <x:c r="T1846" s="26"/>
      <x:c r="U1846" s="24" t="str">
        <x:v>ATIVA/SEM FIM INFORMADO</x:v>
      </x:c>
      <x:c r="V1846" s="24" t="str">
        <x:v>Programa de Parcerias ZEISS</x:v>
      </x:c>
      <x:c r="W1846" s="24" t="n">
        <x:v>27</x:v>
      </x:c>
      <x:c r="X1846" s="24" t="str">
        <x:v>tabela_zeiss.pdf</x:v>
      </x:c>
      <x:c r="Y1846" s="24" t="str">
        <x:v>alta</x:v>
      </x:c>
      <x:c r="Z1846" s="24"/>
      <x:c r="AA1846" s="24" t="str">
        <x:v>ZEISS|Visão Simples Digital|Surfaçada|SmartLife Digital Individual 3|PhotoFusion X Extra Dark Cinza|1.5|1.50|DURAVISION® ANTIVÍRUS PLATINUM UV|-6.00 a +5.50|-4.00|0.50 a 1.25|75|||27</x:v>
      </x:c>
    </x:row>
    <x:row r="1847">
      <x:c r="A1847" s="24" t="str">
        <x:v>ZS-6FC0110AABE4</x:v>
      </x:c>
      <x:c r="B1847" s="24" t="str">
        <x:v>SIM</x:v>
      </x:c>
      <x:c r="C1847" s="24" t="str">
        <x:v>DISPONÍVEL</x:v>
      </x:c>
      <x:c r="D1847" s="24" t="str">
        <x:v>ZEISS</x:v>
      </x:c>
      <x:c r="E1847" s="24" t="str">
        <x:v>Visão Simples Digital</x:v>
      </x:c>
      <x:c r="F1847" s="24" t="str">
        <x:v>Surfaçada</x:v>
      </x:c>
      <x:c r="G1847" s="24" t="str">
        <x:v>SmartLife Digital Individual 3</x:v>
      </x:c>
      <x:c r="H1847" s="24" t="str">
        <x:v>PhotoFusion X Extra Dark Cinza</x:v>
      </x:c>
      <x:c r="I1847" s="24" t="str">
        <x:v>1.5</x:v>
      </x:c>
      <x:c r="J1847" s="24" t="str">
        <x:v>1.50</x:v>
      </x:c>
      <x:c r="K1847" s="24" t="str">
        <x:v>DuraVision Platinum UV</x:v>
      </x:c>
      <x:c r="L1847" s="40" t="n">
        <x:v>3543</x:v>
      </x:c>
      <x:c r="M1847" s="24" t="str">
        <x:v>-6.00 a +5.50</x:v>
      </x:c>
      <x:c r="N1847" s="24" t="str">
        <x:v>-4.00</x:v>
      </x:c>
      <x:c r="O1847" s="24" t="str">
        <x:v>0.50 a 1.25</x:v>
      </x:c>
      <x:c r="P1847" s="24" t="str">
        <x:v>75</x:v>
      </x:c>
      <x:c r="Q1847" s="24"/>
      <x:c r="R1847" s="24"/>
      <x:c r="S1847" s="26" t="n">
        <x:v>46113</x:v>
      </x:c>
      <x:c r="T1847" s="26"/>
      <x:c r="U1847" s="24" t="str">
        <x:v>ATIVA/SEM FIM INFORMADO</x:v>
      </x:c>
      <x:c r="V1847" s="24" t="str">
        <x:v>Programa de Parcerias ZEISS</x:v>
      </x:c>
      <x:c r="W1847" s="24" t="n">
        <x:v>27</x:v>
      </x:c>
      <x:c r="X1847" s="24" t="str">
        <x:v>tabela_zeiss.pdf</x:v>
      </x:c>
      <x:c r="Y1847" s="24" t="str">
        <x:v>alta</x:v>
      </x:c>
      <x:c r="Z1847" s="24"/>
      <x:c r="AA1847" s="24" t="str">
        <x:v>ZEISS|Visão Simples Digital|Surfaçada|SmartLife Digital Individual 3|PhotoFusion X Extra Dark Cinza|1.5|1.50|DuraVision Platinum UV|-6.00 a +5.50|-4.00|0.50 a 1.25|75|||27</x:v>
      </x:c>
    </x:row>
    <x:row r="1848">
      <x:c r="A1848" s="24" t="str">
        <x:v>ZS-243A1C8A7EBE</x:v>
      </x:c>
      <x:c r="B1848" s="24" t="str">
        <x:v>SIM</x:v>
      </x:c>
      <x:c r="C1848" s="24" t="str">
        <x:v>DISPONÍVEL</x:v>
      </x:c>
      <x:c r="D1848" s="24" t="str">
        <x:v>ZEISS</x:v>
      </x:c>
      <x:c r="E1848" s="24" t="str">
        <x:v>Visão Simples Digital</x:v>
      </x:c>
      <x:c r="F1848" s="24" t="str">
        <x:v>Surfaçada</x:v>
      </x:c>
      <x:c r="G1848" s="24" t="str">
        <x:v>SmartLife Digital Individual 3</x:v>
      </x:c>
      <x:c r="H1848" s="24" t="str">
        <x:v>PhotoFusion X Extra Dark Cinza</x:v>
      </x:c>
      <x:c r="I1848" s="24" t="str">
        <x:v>1.5</x:v>
      </x:c>
      <x:c r="J1848" s="24" t="str">
        <x:v>1.50</x:v>
      </x:c>
      <x:c r="K1848" s="24" t="str">
        <x:v>DuraVision Silver UV</x:v>
      </x:c>
      <x:c r="L1848" s="40" t="n">
        <x:v>3283</x:v>
      </x:c>
      <x:c r="M1848" s="24" t="str">
        <x:v>-6.00 a +5.50</x:v>
      </x:c>
      <x:c r="N1848" s="24" t="str">
        <x:v>-4.00</x:v>
      </x:c>
      <x:c r="O1848" s="24" t="str">
        <x:v>0.50 a 1.25</x:v>
      </x:c>
      <x:c r="P1848" s="24" t="str">
        <x:v>75</x:v>
      </x:c>
      <x:c r="Q1848" s="24"/>
      <x:c r="R1848" s="24"/>
      <x:c r="S1848" s="26" t="n">
        <x:v>46113</x:v>
      </x:c>
      <x:c r="T1848" s="26"/>
      <x:c r="U1848" s="24" t="str">
        <x:v>ATIVA/SEM FIM INFORMADO</x:v>
      </x:c>
      <x:c r="V1848" s="24" t="str">
        <x:v>Programa de Parcerias ZEISS</x:v>
      </x:c>
      <x:c r="W1848" s="24" t="n">
        <x:v>27</x:v>
      </x:c>
      <x:c r="X1848" s="24" t="str">
        <x:v>tabela_zeiss.pdf</x:v>
      </x:c>
      <x:c r="Y1848" s="24" t="str">
        <x:v>alta</x:v>
      </x:c>
      <x:c r="Z1848" s="24"/>
      <x:c r="AA1848" s="24" t="str">
        <x:v>ZEISS|Visão Simples Digital|Surfaçada|SmartLife Digital Individual 3|PhotoFusion X Extra Dark Cinza|1.5|1.50|DuraVision Silver UV|-6.00 a +5.50|-4.00|0.50 a 1.25|75|||27</x:v>
      </x:c>
    </x:row>
    <x:row r="1849">
      <x:c r="A1849" s="24" t="str">
        <x:v>ZS-AF6446690B58</x:v>
      </x:c>
      <x:c r="B1849" s="24" t="str">
        <x:v>SIM</x:v>
      </x:c>
      <x:c r="C1849" s="24" t="str">
        <x:v>DISPONÍVEL</x:v>
      </x:c>
      <x:c r="D1849" s="24" t="str">
        <x:v>ZEISS</x:v>
      </x:c>
      <x:c r="E1849" s="24" t="str">
        <x:v>Visão Simples Digital</x:v>
      </x:c>
      <x:c r="F1849" s="24" t="str">
        <x:v>Surfaçada</x:v>
      </x:c>
      <x:c r="G1849" s="24" t="str">
        <x:v>SmartLife Digital Individual 3</x:v>
      </x:c>
      <x:c r="H1849" s="24" t="str">
        <x:v>PhotoFusion X Extra Dark Cinza</x:v>
      </x:c>
      <x:c r="I1849" s="24" t="str">
        <x:v>1.5</x:v>
      </x:c>
      <x:c r="J1849" s="24" t="str">
        <x:v>1.50</x:v>
      </x:c>
      <x:c r="K1849" s="24" t="str">
        <x:v>DuraVision Chrome UV</x:v>
      </x:c>
      <x:c r="L1849" s="40" t="n">
        <x:v>2793</x:v>
      </x:c>
      <x:c r="M1849" s="24" t="str">
        <x:v>-6.00 a +5.50</x:v>
      </x:c>
      <x:c r="N1849" s="24" t="str">
        <x:v>-4.00</x:v>
      </x:c>
      <x:c r="O1849" s="24" t="str">
        <x:v>0.50 a 1.25</x:v>
      </x:c>
      <x:c r="P1849" s="24" t="str">
        <x:v>75</x:v>
      </x:c>
      <x:c r="Q1849" s="24"/>
      <x:c r="R1849" s="24"/>
      <x:c r="S1849" s="26" t="n">
        <x:v>46113</x:v>
      </x:c>
      <x:c r="T1849" s="26"/>
      <x:c r="U1849" s="24" t="str">
        <x:v>ATIVA/SEM FIM INFORMADO</x:v>
      </x:c>
      <x:c r="V1849" s="24" t="str">
        <x:v>Programa de Parcerias ZEISS</x:v>
      </x:c>
      <x:c r="W1849" s="24" t="n">
        <x:v>27</x:v>
      </x:c>
      <x:c r="X1849" s="24" t="str">
        <x:v>tabela_zeiss.pdf</x:v>
      </x:c>
      <x:c r="Y1849" s="24" t="str">
        <x:v>alta</x:v>
      </x:c>
      <x:c r="Z1849" s="24"/>
      <x:c r="AA1849" s="24" t="str">
        <x:v>ZEISS|Visão Simples Digital|Surfaçada|SmartLife Digital Individual 3|PhotoFusion X Extra Dark Cinza|1.5|1.50|DuraVision Chrome UV|-6.00 a +5.50|-4.00|0.50 a 1.25|75|||27</x:v>
      </x:c>
    </x:row>
    <x:row r="1850">
      <x:c r="A1850" s="24" t="str">
        <x:v>ZS-79673B0ACE4C</x:v>
      </x:c>
      <x:c r="B1850" s="24" t="str">
        <x:v>SIM</x:v>
      </x:c>
      <x:c r="C1850" s="24" t="str">
        <x:v>DISPONÍVEL</x:v>
      </x:c>
      <x:c r="D1850" s="24" t="str">
        <x:v>ZEISS</x:v>
      </x:c>
      <x:c r="E1850" s="24" t="str">
        <x:v>Visão Simples Digital</x:v>
      </x:c>
      <x:c r="F1850" s="24" t="str">
        <x:v>Surfaçada</x:v>
      </x:c>
      <x:c r="G1850" s="24" t="str">
        <x:v>SmartLife Digital Individual 3</x:v>
      </x:c>
      <x:c r="H1850" s="24" t="str">
        <x:v>PhotoFusion X Extra Dark Cinza</x:v>
      </x:c>
      <x:c r="I1850" s="24" t="str">
        <x:v>Poli</x:v>
      </x:c>
      <x:c r="J1850" s="24"/>
      <x:c r="K1850" s="24" t="str">
        <x:v>DuraVision Gold UV</x:v>
      </x:c>
      <x:c r="L1850" s="40" t="n">
        <x:v>4043</x:v>
      </x:c>
      <x:c r="M1850" s="24" t="str">
        <x:v>-10.00 a +6.00</x:v>
      </x:c>
      <x:c r="N1850" s="24" t="str">
        <x:v>-6.00</x:v>
      </x:c>
      <x:c r="O1850" s="24" t="str">
        <x:v>0.50 a 1.25</x:v>
      </x:c>
      <x:c r="P1850" s="24" t="str">
        <x:v>70</x:v>
      </x:c>
      <x:c r="Q1850" s="24"/>
      <x:c r="R1850" s="24"/>
      <x:c r="S1850" s="26" t="n">
        <x:v>46113</x:v>
      </x:c>
      <x:c r="T1850" s="26"/>
      <x:c r="U1850" s="24" t="str">
        <x:v>ATIVA/SEM FIM INFORMADO</x:v>
      </x:c>
      <x:c r="V1850" s="24" t="str">
        <x:v>Programa de Parcerias ZEISS</x:v>
      </x:c>
      <x:c r="W1850" s="24" t="n">
        <x:v>27</x:v>
      </x:c>
      <x:c r="X1850" s="24" t="str">
        <x:v>tabela_zeiss.pdf</x:v>
      </x:c>
      <x:c r="Y1850" s="24" t="str">
        <x:v>alta</x:v>
      </x:c>
      <x:c r="Z1850" s="24"/>
      <x:c r="AA1850" s="24" t="str">
        <x:v>ZEISS|Visão Simples Digital|Surfaçada|SmartLife Digital Individual 3|PhotoFusion X Extra Dark Cinza|Poli||DuraVision Gold UV|-10.00 a +6.00|-6.00|0.50 a 1.25|70|||27</x:v>
      </x:c>
    </x:row>
    <x:row r="1851">
      <x:c r="A1851" s="24" t="str">
        <x:v>ZS-ED2E1A465168</x:v>
      </x:c>
      <x:c r="B1851" s="24" t="str">
        <x:v>SIM</x:v>
      </x:c>
      <x:c r="C1851" s="24" t="str">
        <x:v>DISPONÍVEL</x:v>
      </x:c>
      <x:c r="D1851" s="24" t="str">
        <x:v>ZEISS</x:v>
      </x:c>
      <x:c r="E1851" s="24" t="str">
        <x:v>Visão Simples Digital</x:v>
      </x:c>
      <x:c r="F1851" s="24" t="str">
        <x:v>Surfaçada</x:v>
      </x:c>
      <x:c r="G1851" s="24" t="str">
        <x:v>SmartLife Digital Individual 3</x:v>
      </x:c>
      <x:c r="H1851" s="24" t="str">
        <x:v>PhotoFusion X Extra Dark Cinza</x:v>
      </x:c>
      <x:c r="I1851" s="24" t="str">
        <x:v>Poli</x:v>
      </x:c>
      <x:c r="J1851" s="24"/>
      <x:c r="K1851" s="24" t="str">
        <x:v>DuraVision Platinum UV</x:v>
      </x:c>
      <x:c r="L1851" s="40" t="n">
        <x:v>3903</x:v>
      </x:c>
      <x:c r="M1851" s="24" t="str">
        <x:v>-10.00 a +6.00</x:v>
      </x:c>
      <x:c r="N1851" s="24" t="str">
        <x:v>-6.00</x:v>
      </x:c>
      <x:c r="O1851" s="24" t="str">
        <x:v>0.50 a 1.25</x:v>
      </x:c>
      <x:c r="P1851" s="24" t="str">
        <x:v>70</x:v>
      </x:c>
      <x:c r="Q1851" s="24"/>
      <x:c r="R1851" s="24"/>
      <x:c r="S1851" s="26" t="n">
        <x:v>46113</x:v>
      </x:c>
      <x:c r="T1851" s="26"/>
      <x:c r="U1851" s="24" t="str">
        <x:v>ATIVA/SEM FIM INFORMADO</x:v>
      </x:c>
      <x:c r="V1851" s="24" t="str">
        <x:v>Programa de Parcerias ZEISS</x:v>
      </x:c>
      <x:c r="W1851" s="24" t="n">
        <x:v>27</x:v>
      </x:c>
      <x:c r="X1851" s="24" t="str">
        <x:v>tabela_zeiss.pdf</x:v>
      </x:c>
      <x:c r="Y1851" s="24" t="str">
        <x:v>alta</x:v>
      </x:c>
      <x:c r="Z1851" s="24"/>
      <x:c r="AA1851" s="24" t="str">
        <x:v>ZEISS|Visão Simples Digital|Surfaçada|SmartLife Digital Individual 3|PhotoFusion X Extra Dark Cinza|Poli||DuraVision Platinum UV|-10.00 a +6.00|-6.00|0.50 a 1.25|70|||27</x:v>
      </x:c>
    </x:row>
    <x:row r="1852">
      <x:c r="A1852" s="24" t="str">
        <x:v>ZS-1239D22AC054</x:v>
      </x:c>
      <x:c r="B1852" s="24" t="str">
        <x:v>SIM</x:v>
      </x:c>
      <x:c r="C1852" s="24" t="str">
        <x:v>DISPONÍVEL</x:v>
      </x:c>
      <x:c r="D1852" s="24" t="str">
        <x:v>ZEISS</x:v>
      </x:c>
      <x:c r="E1852" s="24" t="str">
        <x:v>Visão Simples Digital</x:v>
      </x:c>
      <x:c r="F1852" s="24" t="str">
        <x:v>Surfaçada</x:v>
      </x:c>
      <x:c r="G1852" s="24" t="str">
        <x:v>SmartLife Digital Individual 3</x:v>
      </x:c>
      <x:c r="H1852" s="24" t="str">
        <x:v>PhotoFusion X Extra Dark Cinza</x:v>
      </x:c>
      <x:c r="I1852" s="24" t="str">
        <x:v>Poli</x:v>
      </x:c>
      <x:c r="J1852" s="24"/>
      <x:c r="K1852" s="24" t="str">
        <x:v>DuraVision Silver UV</x:v>
      </x:c>
      <x:c r="L1852" s="40" t="n">
        <x:v>3643</x:v>
      </x:c>
      <x:c r="M1852" s="24" t="str">
        <x:v>-10.00 a +6.00</x:v>
      </x:c>
      <x:c r="N1852" s="24" t="str">
        <x:v>-6.00</x:v>
      </x:c>
      <x:c r="O1852" s="24" t="str">
        <x:v>0.50 a 1.25</x:v>
      </x:c>
      <x:c r="P1852" s="24" t="str">
        <x:v>70</x:v>
      </x:c>
      <x:c r="Q1852" s="24"/>
      <x:c r="R1852" s="24"/>
      <x:c r="S1852" s="26" t="n">
        <x:v>46113</x:v>
      </x:c>
      <x:c r="T1852" s="26"/>
      <x:c r="U1852" s="24" t="str">
        <x:v>ATIVA/SEM FIM INFORMADO</x:v>
      </x:c>
      <x:c r="V1852" s="24" t="str">
        <x:v>Programa de Parcerias ZEISS</x:v>
      </x:c>
      <x:c r="W1852" s="24" t="n">
        <x:v>27</x:v>
      </x:c>
      <x:c r="X1852" s="24" t="str">
        <x:v>tabela_zeiss.pdf</x:v>
      </x:c>
      <x:c r="Y1852" s="24" t="str">
        <x:v>alta</x:v>
      </x:c>
      <x:c r="Z1852" s="24"/>
      <x:c r="AA1852" s="24" t="str">
        <x:v>ZEISS|Visão Simples Digital|Surfaçada|SmartLife Digital Individual 3|PhotoFusion X Extra Dark Cinza|Poli||DuraVision Silver UV|-10.00 a +6.00|-6.00|0.50 a 1.25|70|||27</x:v>
      </x:c>
    </x:row>
    <x:row r="1853">
      <x:c r="A1853" s="24" t="str">
        <x:v>ZS-CDE91AD7A57B</x:v>
      </x:c>
      <x:c r="B1853" s="24" t="str">
        <x:v>SIM</x:v>
      </x:c>
      <x:c r="C1853" s="24" t="str">
        <x:v>DISPONÍVEL</x:v>
      </x:c>
      <x:c r="D1853" s="24" t="str">
        <x:v>ZEISS</x:v>
      </x:c>
      <x:c r="E1853" s="24" t="str">
        <x:v>Visão Simples Digital</x:v>
      </x:c>
      <x:c r="F1853" s="24" t="str">
        <x:v>Surfaçada</x:v>
      </x:c>
      <x:c r="G1853" s="24" t="str">
        <x:v>SmartLife Digital Individual 3</x:v>
      </x:c>
      <x:c r="H1853" s="24" t="str">
        <x:v>PhotoFusion X Extra Dark Cinza</x:v>
      </x:c>
      <x:c r="I1853" s="24" t="str">
        <x:v>Poli</x:v>
      </x:c>
      <x:c r="J1853" s="24"/>
      <x:c r="K1853" s="24" t="str">
        <x:v>DuraVision Chrome UV</x:v>
      </x:c>
      <x:c r="L1853" s="40" t="n">
        <x:v>3153</x:v>
      </x:c>
      <x:c r="M1853" s="24" t="str">
        <x:v>-10.00 a +6.00</x:v>
      </x:c>
      <x:c r="N1853" s="24" t="str">
        <x:v>-6.00</x:v>
      </x:c>
      <x:c r="O1853" s="24" t="str">
        <x:v>0.50 a 1.25</x:v>
      </x:c>
      <x:c r="P1853" s="24" t="str">
        <x:v>70</x:v>
      </x:c>
      <x:c r="Q1853" s="24"/>
      <x:c r="R1853" s="24"/>
      <x:c r="S1853" s="26" t="n">
        <x:v>46113</x:v>
      </x:c>
      <x:c r="T1853" s="26"/>
      <x:c r="U1853" s="24" t="str">
        <x:v>ATIVA/SEM FIM INFORMADO</x:v>
      </x:c>
      <x:c r="V1853" s="24" t="str">
        <x:v>Programa de Parcerias ZEISS</x:v>
      </x:c>
      <x:c r="W1853" s="24" t="n">
        <x:v>27</x:v>
      </x:c>
      <x:c r="X1853" s="24" t="str">
        <x:v>tabela_zeiss.pdf</x:v>
      </x:c>
      <x:c r="Y1853" s="24" t="str">
        <x:v>alta</x:v>
      </x:c>
      <x:c r="Z1853" s="24"/>
      <x:c r="AA1853" s="24" t="str">
        <x:v>ZEISS|Visão Simples Digital|Surfaçada|SmartLife Digital Individual 3|PhotoFusion X Extra Dark Cinza|Poli||DuraVision Chrome UV|-10.00 a +6.00|-6.00|0.50 a 1.25|70|||27</x:v>
      </x:c>
    </x:row>
    <x:row r="1854">
      <x:c r="A1854" s="24" t="str">
        <x:v>ZS-D8025CA0CD85</x:v>
      </x:c>
      <x:c r="B1854" s="24" t="str">
        <x:v>SIM</x:v>
      </x:c>
      <x:c r="C1854" s="24" t="str">
        <x:v>DISPONÍVEL</x:v>
      </x:c>
      <x:c r="D1854" s="24" t="str">
        <x:v>ZEISS</x:v>
      </x:c>
      <x:c r="E1854" s="24" t="str">
        <x:v>Visão Simples Digital</x:v>
      </x:c>
      <x:c r="F1854" s="24" t="str">
        <x:v>Surfaçada</x:v>
      </x:c>
      <x:c r="G1854" s="24" t="str">
        <x:v>SmartLife Digital Individual 3</x:v>
      </x:c>
      <x:c r="H1854" s="24" t="str">
        <x:v>PhotoFusion X Extra Dark Cinza</x:v>
      </x:c>
      <x:c r="I1854" s="24" t="str">
        <x:v>1.6</x:v>
      </x:c>
      <x:c r="J1854" s="24" t="str">
        <x:v>1.60</x:v>
      </x:c>
      <x:c r="K1854" s="24" t="str">
        <x:v>DuraVision Gold UV</x:v>
      </x:c>
      <x:c r="L1854" s="40" t="n">
        <x:v>4263</x:v>
      </x:c>
      <x:c r="M1854" s="24" t="str">
        <x:v>-7.25 a +6.00</x:v>
      </x:c>
      <x:c r="N1854" s="24" t="str">
        <x:v>-6.00</x:v>
      </x:c>
      <x:c r="O1854" s="24" t="str">
        <x:v>0.50 a 1.25</x:v>
      </x:c>
      <x:c r="P1854" s="24" t="str">
        <x:v>75</x:v>
      </x:c>
      <x:c r="Q1854" s="24"/>
      <x:c r="R1854" s="24"/>
      <x:c r="S1854" s="26" t="n">
        <x:v>46113</x:v>
      </x:c>
      <x:c r="T1854" s="26"/>
      <x:c r="U1854" s="24" t="str">
        <x:v>ATIVA/SEM FIM INFORMADO</x:v>
      </x:c>
      <x:c r="V1854" s="24" t="str">
        <x:v>Programa de Parcerias ZEISS</x:v>
      </x:c>
      <x:c r="W1854" s="24" t="n">
        <x:v>27</x:v>
      </x:c>
      <x:c r="X1854" s="24" t="str">
        <x:v>tabela_zeiss.pdf</x:v>
      </x:c>
      <x:c r="Y1854" s="24" t="str">
        <x:v>alta</x:v>
      </x:c>
      <x:c r="Z1854" s="24"/>
      <x:c r="AA1854" s="24" t="str">
        <x:v>ZEISS|Visão Simples Digital|Surfaçada|SmartLife Digital Individual 3|PhotoFusion X Extra Dark Cinza|1.6|1.60|DuraVision Gold UV|-7.25 a +6.00|-6.00|0.50 a 1.25|75|||27</x:v>
      </x:c>
    </x:row>
    <x:row r="1855">
      <x:c r="A1855" s="24" t="str">
        <x:v>ZS-C274990C7754</x:v>
      </x:c>
      <x:c r="B1855" s="24" t="str">
        <x:v>SIM</x:v>
      </x:c>
      <x:c r="C1855" s="24" t="str">
        <x:v>DISPONÍVEL</x:v>
      </x:c>
      <x:c r="D1855" s="24" t="str">
        <x:v>ZEISS</x:v>
      </x:c>
      <x:c r="E1855" s="24" t="str">
        <x:v>Visão Simples Digital</x:v>
      </x:c>
      <x:c r="F1855" s="24" t="str">
        <x:v>Surfaçada</x:v>
      </x:c>
      <x:c r="G1855" s="24" t="str">
        <x:v>SmartLife Digital Individual 3</x:v>
      </x:c>
      <x:c r="H1855" s="24" t="str">
        <x:v>PhotoFusion X Extra Dark Cinza</x:v>
      </x:c>
      <x:c r="I1855" s="24" t="str">
        <x:v>1.6</x:v>
      </x:c>
      <x:c r="J1855" s="24" t="str">
        <x:v>1.60</x:v>
      </x:c>
      <x:c r="K1855" s="24" t="str">
        <x:v>DURAVISION® ANTIVÍRUS PLATINUM UV</x:v>
      </x:c>
      <x:c r="L1855" s="40" t="n">
        <x:v>4123</x:v>
      </x:c>
      <x:c r="M1855" s="24" t="str">
        <x:v>-7.25 a +6.00</x:v>
      </x:c>
      <x:c r="N1855" s="24" t="str">
        <x:v>-6.00</x:v>
      </x:c>
      <x:c r="O1855" s="24" t="str">
        <x:v>0.50 a 1.25</x:v>
      </x:c>
      <x:c r="P1855" s="24" t="str">
        <x:v>75</x:v>
      </x:c>
      <x:c r="Q1855" s="24"/>
      <x:c r="R1855" s="24"/>
      <x:c r="S1855" s="26" t="n">
        <x:v>46113</x:v>
      </x:c>
      <x:c r="T1855" s="26"/>
      <x:c r="U1855" s="24" t="str">
        <x:v>ATIVA/SEM FIM INFORMADO</x:v>
      </x:c>
      <x:c r="V1855" s="24" t="str">
        <x:v>Programa de Parcerias ZEISS</x:v>
      </x:c>
      <x:c r="W1855" s="24" t="n">
        <x:v>27</x:v>
      </x:c>
      <x:c r="X1855" s="24" t="str">
        <x:v>tabela_zeiss.pdf</x:v>
      </x:c>
      <x:c r="Y1855" s="24" t="str">
        <x:v>alta</x:v>
      </x:c>
      <x:c r="Z1855" s="24"/>
      <x:c r="AA1855" s="24" t="str">
        <x:v>ZEISS|Visão Simples Digital|Surfaçada|SmartLife Digital Individual 3|PhotoFusion X Extra Dark Cinza|1.6|1.60|DURAVISION® ANTIVÍRUS PLATINUM UV|-7.25 a +6.00|-6.00|0.50 a 1.25|75|||27</x:v>
      </x:c>
    </x:row>
    <x:row r="1856">
      <x:c r="A1856" s="24" t="str">
        <x:v>ZS-5D38583C9FEE</x:v>
      </x:c>
      <x:c r="B1856" s="24" t="str">
        <x:v>SIM</x:v>
      </x:c>
      <x:c r="C1856" s="24" t="str">
        <x:v>DISPONÍVEL</x:v>
      </x:c>
      <x:c r="D1856" s="24" t="str">
        <x:v>ZEISS</x:v>
      </x:c>
      <x:c r="E1856" s="24" t="str">
        <x:v>Visão Simples Digital</x:v>
      </x:c>
      <x:c r="F1856" s="24" t="str">
        <x:v>Surfaçada</x:v>
      </x:c>
      <x:c r="G1856" s="24" t="str">
        <x:v>SmartLife Digital Individual 3</x:v>
      </x:c>
      <x:c r="H1856" s="24" t="str">
        <x:v>PhotoFusion X Extra Dark Cinza</x:v>
      </x:c>
      <x:c r="I1856" s="24" t="str">
        <x:v>1.6</x:v>
      </x:c>
      <x:c r="J1856" s="24" t="str">
        <x:v>1.60</x:v>
      </x:c>
      <x:c r="K1856" s="24" t="str">
        <x:v>DuraVision Platinum UV</x:v>
      </x:c>
      <x:c r="L1856" s="40" t="n">
        <x:v>4123</x:v>
      </x:c>
      <x:c r="M1856" s="24" t="str">
        <x:v>-7.25 a +6.00</x:v>
      </x:c>
      <x:c r="N1856" s="24" t="str">
        <x:v>-6.00</x:v>
      </x:c>
      <x:c r="O1856" s="24" t="str">
        <x:v>0.50 a 1.25</x:v>
      </x:c>
      <x:c r="P1856" s="24" t="str">
        <x:v>75</x:v>
      </x:c>
      <x:c r="Q1856" s="24"/>
      <x:c r="R1856" s="24"/>
      <x:c r="S1856" s="26" t="n">
        <x:v>46113</x:v>
      </x:c>
      <x:c r="T1856" s="26"/>
      <x:c r="U1856" s="24" t="str">
        <x:v>ATIVA/SEM FIM INFORMADO</x:v>
      </x:c>
      <x:c r="V1856" s="24" t="str">
        <x:v>Programa de Parcerias ZEISS</x:v>
      </x:c>
      <x:c r="W1856" s="24" t="n">
        <x:v>27</x:v>
      </x:c>
      <x:c r="X1856" s="24" t="str">
        <x:v>tabela_zeiss.pdf</x:v>
      </x:c>
      <x:c r="Y1856" s="24" t="str">
        <x:v>alta</x:v>
      </x:c>
      <x:c r="Z1856" s="24"/>
      <x:c r="AA1856" s="24" t="str">
        <x:v>ZEISS|Visão Simples Digital|Surfaçada|SmartLife Digital Individual 3|PhotoFusion X Extra Dark Cinza|1.6|1.60|DuraVision Platinum UV|-7.25 a +6.00|-6.00|0.50 a 1.25|75|||27</x:v>
      </x:c>
    </x:row>
    <x:row r="1857">
      <x:c r="A1857" s="24" t="str">
        <x:v>ZS-FDBF8AF43CB7</x:v>
      </x:c>
      <x:c r="B1857" s="24" t="str">
        <x:v>SIM</x:v>
      </x:c>
      <x:c r="C1857" s="24" t="str">
        <x:v>DISPONÍVEL</x:v>
      </x:c>
      <x:c r="D1857" s="24" t="str">
        <x:v>ZEISS</x:v>
      </x:c>
      <x:c r="E1857" s="24" t="str">
        <x:v>Visão Simples Digital</x:v>
      </x:c>
      <x:c r="F1857" s="24" t="str">
        <x:v>Surfaçada</x:v>
      </x:c>
      <x:c r="G1857" s="24" t="str">
        <x:v>SmartLife Digital Individual 3</x:v>
      </x:c>
      <x:c r="H1857" s="24" t="str">
        <x:v>PhotoFusion X Extra Dark Cinza</x:v>
      </x:c>
      <x:c r="I1857" s="24" t="str">
        <x:v>1.6</x:v>
      </x:c>
      <x:c r="J1857" s="24" t="str">
        <x:v>1.60</x:v>
      </x:c>
      <x:c r="K1857" s="24" t="str">
        <x:v>DuraVision Silver UV</x:v>
      </x:c>
      <x:c r="L1857" s="40" t="n">
        <x:v>3863</x:v>
      </x:c>
      <x:c r="M1857" s="24" t="str">
        <x:v>-7.25 a +6.00</x:v>
      </x:c>
      <x:c r="N1857" s="24" t="str">
        <x:v>-6.00</x:v>
      </x:c>
      <x:c r="O1857" s="24" t="str">
        <x:v>0.50 a 1.25</x:v>
      </x:c>
      <x:c r="P1857" s="24" t="str">
        <x:v>75</x:v>
      </x:c>
      <x:c r="Q1857" s="24"/>
      <x:c r="R1857" s="24"/>
      <x:c r="S1857" s="26" t="n">
        <x:v>46113</x:v>
      </x:c>
      <x:c r="T1857" s="26"/>
      <x:c r="U1857" s="24" t="str">
        <x:v>ATIVA/SEM FIM INFORMADO</x:v>
      </x:c>
      <x:c r="V1857" s="24" t="str">
        <x:v>Programa de Parcerias ZEISS</x:v>
      </x:c>
      <x:c r="W1857" s="24" t="n">
        <x:v>27</x:v>
      </x:c>
      <x:c r="X1857" s="24" t="str">
        <x:v>tabela_zeiss.pdf</x:v>
      </x:c>
      <x:c r="Y1857" s="24" t="str">
        <x:v>alta</x:v>
      </x:c>
      <x:c r="Z1857" s="24"/>
      <x:c r="AA1857" s="24" t="str">
        <x:v>ZEISS|Visão Simples Digital|Surfaçada|SmartLife Digital Individual 3|PhotoFusion X Extra Dark Cinza|1.6|1.60|DuraVision Silver UV|-7.25 a +6.00|-6.00|0.50 a 1.25|75|||27</x:v>
      </x:c>
    </x:row>
    <x:row r="1858">
      <x:c r="A1858" s="24" t="str">
        <x:v>ZS-77F642255C3A</x:v>
      </x:c>
      <x:c r="B1858" s="24" t="str">
        <x:v>SIM</x:v>
      </x:c>
      <x:c r="C1858" s="24" t="str">
        <x:v>DISPONÍVEL</x:v>
      </x:c>
      <x:c r="D1858" s="24" t="str">
        <x:v>ZEISS</x:v>
      </x:c>
      <x:c r="E1858" s="24" t="str">
        <x:v>Visão Simples Digital</x:v>
      </x:c>
      <x:c r="F1858" s="24" t="str">
        <x:v>Surfaçada</x:v>
      </x:c>
      <x:c r="G1858" s="24" t="str">
        <x:v>SmartLife Digital Individual 3</x:v>
      </x:c>
      <x:c r="H1858" s="24" t="str">
        <x:v>PhotoFusion X Extra Dark Cinza</x:v>
      </x:c>
      <x:c r="I1858" s="24" t="str">
        <x:v>1.6</x:v>
      </x:c>
      <x:c r="J1858" s="24" t="str">
        <x:v>1.60</x:v>
      </x:c>
      <x:c r="K1858" s="24" t="str">
        <x:v>DuraVision Chrome UV</x:v>
      </x:c>
      <x:c r="L1858" s="40" t="n">
        <x:v>3373</x:v>
      </x:c>
      <x:c r="M1858" s="24" t="str">
        <x:v>-7.25 a +6.00</x:v>
      </x:c>
      <x:c r="N1858" s="24" t="str">
        <x:v>-6.00</x:v>
      </x:c>
      <x:c r="O1858" s="24" t="str">
        <x:v>0.50 a 1.25</x:v>
      </x:c>
      <x:c r="P1858" s="24" t="str">
        <x:v>75</x:v>
      </x:c>
      <x:c r="Q1858" s="24"/>
      <x:c r="R1858" s="24"/>
      <x:c r="S1858" s="26" t="n">
        <x:v>46113</x:v>
      </x:c>
      <x:c r="T1858" s="26"/>
      <x:c r="U1858" s="24" t="str">
        <x:v>ATIVA/SEM FIM INFORMADO</x:v>
      </x:c>
      <x:c r="V1858" s="24" t="str">
        <x:v>Programa de Parcerias ZEISS</x:v>
      </x:c>
      <x:c r="W1858" s="24" t="n">
        <x:v>27</x:v>
      </x:c>
      <x:c r="X1858" s="24" t="str">
        <x:v>tabela_zeiss.pdf</x:v>
      </x:c>
      <x:c r="Y1858" s="24" t="str">
        <x:v>alta</x:v>
      </x:c>
      <x:c r="Z1858" s="24"/>
      <x:c r="AA1858" s="24" t="str">
        <x:v>ZEISS|Visão Simples Digital|Surfaçada|SmartLife Digital Individual 3|PhotoFusion X Extra Dark Cinza|1.6|1.60|DuraVision Chrome UV|-7.25 a +6.00|-6.00|0.50 a 1.25|75|||27</x:v>
      </x:c>
    </x:row>
    <x:row r="1859">
      <x:c r="A1859" s="24" t="str">
        <x:v>ZS-F1BB4C3F87F0</x:v>
      </x:c>
      <x:c r="B1859" s="24" t="str">
        <x:v>SIM</x:v>
      </x:c>
      <x:c r="C1859" s="24" t="str">
        <x:v>DISPONÍVEL</x:v>
      </x:c>
      <x:c r="D1859" s="24" t="str">
        <x:v>ZEISS</x:v>
      </x:c>
      <x:c r="E1859" s="24" t="str">
        <x:v>Visão Simples Digital</x:v>
      </x:c>
      <x:c r="F1859" s="24" t="str">
        <x:v>Surfaçada</x:v>
      </x:c>
      <x:c r="G1859" s="24" t="str">
        <x:v>SmartLife Digital Individual 3</x:v>
      </x:c>
      <x:c r="H1859" s="24" t="str">
        <x:v>PhotoFusion X Extra Dark Cinza</x:v>
      </x:c>
      <x:c r="I1859" s="24" t="str">
        <x:v>1.67</x:v>
      </x:c>
      <x:c r="J1859" s="24" t="str">
        <x:v>1.67</x:v>
      </x:c>
      <x:c r="K1859" s="24" t="str">
        <x:v>DuraVision Gold UV</x:v>
      </x:c>
      <x:c r="L1859" s="40" t="n">
        <x:v>5563</x:v>
      </x:c>
      <x:c r="M1859" s="24" t="str">
        <x:v>-8.00 a +8.00</x:v>
      </x:c>
      <x:c r="N1859" s="24" t="str">
        <x:v>-6.00</x:v>
      </x:c>
      <x:c r="O1859" s="24" t="str">
        <x:v>0.50 a 1.25</x:v>
      </x:c>
      <x:c r="P1859" s="24" t="str">
        <x:v>70</x:v>
      </x:c>
      <x:c r="Q1859" s="24"/>
      <x:c r="R1859" s="24"/>
      <x:c r="S1859" s="26" t="n">
        <x:v>46113</x:v>
      </x:c>
      <x:c r="T1859" s="26"/>
      <x:c r="U1859" s="24" t="str">
        <x:v>ATIVA/SEM FIM INFORMADO</x:v>
      </x:c>
      <x:c r="V1859" s="24" t="str">
        <x:v>Programa de Parcerias ZEISS</x:v>
      </x:c>
      <x:c r="W1859" s="24" t="n">
        <x:v>27</x:v>
      </x:c>
      <x:c r="X1859" s="24" t="str">
        <x:v>tabela_zeiss.pdf</x:v>
      </x:c>
      <x:c r="Y1859" s="24" t="str">
        <x:v>alta</x:v>
      </x:c>
      <x:c r="Z1859" s="24"/>
      <x:c r="AA1859" s="24" t="str">
        <x:v>ZEISS|Visão Simples Digital|Surfaçada|SmartLife Digital Individual 3|PhotoFusion X Extra Dark Cinza|1.67|1.67|DuraVision Gold UV|-8.00 a +8.00|-6.00|0.50 a 1.25|70|||27</x:v>
      </x:c>
    </x:row>
    <x:row r="1860">
      <x:c r="A1860" s="24" t="str">
        <x:v>ZS-AEFA19113C0C</x:v>
      </x:c>
      <x:c r="B1860" s="24" t="str">
        <x:v>SIM</x:v>
      </x:c>
      <x:c r="C1860" s="24" t="str">
        <x:v>DISPONÍVEL</x:v>
      </x:c>
      <x:c r="D1860" s="24" t="str">
        <x:v>ZEISS</x:v>
      </x:c>
      <x:c r="E1860" s="24" t="str">
        <x:v>Visão Simples Digital</x:v>
      </x:c>
      <x:c r="F1860" s="24" t="str">
        <x:v>Surfaçada</x:v>
      </x:c>
      <x:c r="G1860" s="24" t="str">
        <x:v>SmartLife Digital Individual 3</x:v>
      </x:c>
      <x:c r="H1860" s="24" t="str">
        <x:v>PhotoFusion X Extra Dark Cinza</x:v>
      </x:c>
      <x:c r="I1860" s="24" t="str">
        <x:v>1.67</x:v>
      </x:c>
      <x:c r="J1860" s="24" t="str">
        <x:v>1.67</x:v>
      </x:c>
      <x:c r="K1860" s="24" t="str">
        <x:v>DURAVISION® ANTIVÍRUS PLATINUM UV</x:v>
      </x:c>
      <x:c r="L1860" s="40" t="n">
        <x:v>5423</x:v>
      </x:c>
      <x:c r="M1860" s="24" t="str">
        <x:v>-8.00 a +8.00</x:v>
      </x:c>
      <x:c r="N1860" s="24" t="str">
        <x:v>-6.00</x:v>
      </x:c>
      <x:c r="O1860" s="24" t="str">
        <x:v>0.50 a 1.25</x:v>
      </x:c>
      <x:c r="P1860" s="24" t="str">
        <x:v>70</x:v>
      </x:c>
      <x:c r="Q1860" s="24"/>
      <x:c r="R1860" s="24"/>
      <x:c r="S1860" s="26" t="n">
        <x:v>46113</x:v>
      </x:c>
      <x:c r="T1860" s="26"/>
      <x:c r="U1860" s="24" t="str">
        <x:v>ATIVA/SEM FIM INFORMADO</x:v>
      </x:c>
      <x:c r="V1860" s="24" t="str">
        <x:v>Programa de Parcerias ZEISS</x:v>
      </x:c>
      <x:c r="W1860" s="24" t="n">
        <x:v>27</x:v>
      </x:c>
      <x:c r="X1860" s="24" t="str">
        <x:v>tabela_zeiss.pdf</x:v>
      </x:c>
      <x:c r="Y1860" s="24" t="str">
        <x:v>alta</x:v>
      </x:c>
      <x:c r="Z1860" s="24"/>
      <x:c r="AA1860" s="24" t="str">
        <x:v>ZEISS|Visão Simples Digital|Surfaçada|SmartLife Digital Individual 3|PhotoFusion X Extra Dark Cinza|1.67|1.67|DURAVISION® ANTIVÍRUS PLATINUM UV|-8.00 a +8.00|-6.00|0.50 a 1.25|70|||27</x:v>
      </x:c>
    </x:row>
    <x:row r="1861">
      <x:c r="A1861" s="24" t="str">
        <x:v>ZS-4B9C45B0DD60</x:v>
      </x:c>
      <x:c r="B1861" s="24" t="str">
        <x:v>SIM</x:v>
      </x:c>
      <x:c r="C1861" s="24" t="str">
        <x:v>DISPONÍVEL</x:v>
      </x:c>
      <x:c r="D1861" s="24" t="str">
        <x:v>ZEISS</x:v>
      </x:c>
      <x:c r="E1861" s="24" t="str">
        <x:v>Visão Simples Digital</x:v>
      </x:c>
      <x:c r="F1861" s="24" t="str">
        <x:v>Surfaçada</x:v>
      </x:c>
      <x:c r="G1861" s="24" t="str">
        <x:v>SmartLife Digital Individual 3</x:v>
      </x:c>
      <x:c r="H1861" s="24" t="str">
        <x:v>PhotoFusion X Extra Dark Cinza</x:v>
      </x:c>
      <x:c r="I1861" s="24" t="str">
        <x:v>1.67</x:v>
      </x:c>
      <x:c r="J1861" s="24" t="str">
        <x:v>1.67</x:v>
      </x:c>
      <x:c r="K1861" s="24" t="str">
        <x:v>DuraVision Platinum UV</x:v>
      </x:c>
      <x:c r="L1861" s="40" t="n">
        <x:v>5423</x:v>
      </x:c>
      <x:c r="M1861" s="24" t="str">
        <x:v>-8.00 a +8.00</x:v>
      </x:c>
      <x:c r="N1861" s="24" t="str">
        <x:v>-6.00</x:v>
      </x:c>
      <x:c r="O1861" s="24" t="str">
        <x:v>0.50 a 1.25</x:v>
      </x:c>
      <x:c r="P1861" s="24" t="str">
        <x:v>70</x:v>
      </x:c>
      <x:c r="Q1861" s="24"/>
      <x:c r="R1861" s="24"/>
      <x:c r="S1861" s="26" t="n">
        <x:v>46113</x:v>
      </x:c>
      <x:c r="T1861" s="26"/>
      <x:c r="U1861" s="24" t="str">
        <x:v>ATIVA/SEM FIM INFORMADO</x:v>
      </x:c>
      <x:c r="V1861" s="24" t="str">
        <x:v>Programa de Parcerias ZEISS</x:v>
      </x:c>
      <x:c r="W1861" s="24" t="n">
        <x:v>27</x:v>
      </x:c>
      <x:c r="X1861" s="24" t="str">
        <x:v>tabela_zeiss.pdf</x:v>
      </x:c>
      <x:c r="Y1861" s="24" t="str">
        <x:v>alta</x:v>
      </x:c>
      <x:c r="Z1861" s="24"/>
      <x:c r="AA1861" s="24" t="str">
        <x:v>ZEISS|Visão Simples Digital|Surfaçada|SmartLife Digital Individual 3|PhotoFusion X Extra Dark Cinza|1.67|1.67|DuraVision Platinum UV|-8.00 a +8.00|-6.00|0.50 a 1.25|70|||27</x:v>
      </x:c>
    </x:row>
    <x:row r="1862">
      <x:c r="A1862" s="24" t="str">
        <x:v>ZS-0174F84B2666</x:v>
      </x:c>
      <x:c r="B1862" s="24" t="str">
        <x:v>SIM</x:v>
      </x:c>
      <x:c r="C1862" s="24" t="str">
        <x:v>DISPONÍVEL</x:v>
      </x:c>
      <x:c r="D1862" s="24" t="str">
        <x:v>ZEISS</x:v>
      </x:c>
      <x:c r="E1862" s="24" t="str">
        <x:v>Visão Simples Digital</x:v>
      </x:c>
      <x:c r="F1862" s="24" t="str">
        <x:v>Surfaçada</x:v>
      </x:c>
      <x:c r="G1862" s="24" t="str">
        <x:v>SmartLife Digital Individual 3</x:v>
      </x:c>
      <x:c r="H1862" s="24" t="str">
        <x:v>PhotoFusion X Extra Dark Cinza</x:v>
      </x:c>
      <x:c r="I1862" s="24" t="str">
        <x:v>1.67</x:v>
      </x:c>
      <x:c r="J1862" s="24" t="str">
        <x:v>1.67</x:v>
      </x:c>
      <x:c r="K1862" s="24" t="str">
        <x:v>DuraVision Silver UV</x:v>
      </x:c>
      <x:c r="L1862" s="40" t="n">
        <x:v>5163</x:v>
      </x:c>
      <x:c r="M1862" s="24" t="str">
        <x:v>-8.00 a +8.00</x:v>
      </x:c>
      <x:c r="N1862" s="24" t="str">
        <x:v>-6.00</x:v>
      </x:c>
      <x:c r="O1862" s="24" t="str">
        <x:v>0.50 a 1.25</x:v>
      </x:c>
      <x:c r="P1862" s="24" t="str">
        <x:v>70</x:v>
      </x:c>
      <x:c r="Q1862" s="24"/>
      <x:c r="R1862" s="24"/>
      <x:c r="S1862" s="26" t="n">
        <x:v>46113</x:v>
      </x:c>
      <x:c r="T1862" s="26"/>
      <x:c r="U1862" s="24" t="str">
        <x:v>ATIVA/SEM FIM INFORMADO</x:v>
      </x:c>
      <x:c r="V1862" s="24" t="str">
        <x:v>Programa de Parcerias ZEISS</x:v>
      </x:c>
      <x:c r="W1862" s="24" t="n">
        <x:v>27</x:v>
      </x:c>
      <x:c r="X1862" s="24" t="str">
        <x:v>tabela_zeiss.pdf</x:v>
      </x:c>
      <x:c r="Y1862" s="24" t="str">
        <x:v>alta</x:v>
      </x:c>
      <x:c r="Z1862" s="24"/>
      <x:c r="AA1862" s="24" t="str">
        <x:v>ZEISS|Visão Simples Digital|Surfaçada|SmartLife Digital Individual 3|PhotoFusion X Extra Dark Cinza|1.67|1.67|DuraVision Silver UV|-8.00 a +8.00|-6.00|0.50 a 1.25|70|||27</x:v>
      </x:c>
    </x:row>
    <x:row r="1863">
      <x:c r="A1863" s="24" t="str">
        <x:v>ZS-E1D5614DD19F</x:v>
      </x:c>
      <x:c r="B1863" s="24" t="str">
        <x:v>SIM</x:v>
      </x:c>
      <x:c r="C1863" s="24" t="str">
        <x:v>DISPONÍVEL</x:v>
      </x:c>
      <x:c r="D1863" s="24" t="str">
        <x:v>ZEISS</x:v>
      </x:c>
      <x:c r="E1863" s="24" t="str">
        <x:v>Visão Simples Digital</x:v>
      </x:c>
      <x:c r="F1863" s="24" t="str">
        <x:v>Surfaçada</x:v>
      </x:c>
      <x:c r="G1863" s="24" t="str">
        <x:v>SmartLife Digital Individual 3</x:v>
      </x:c>
      <x:c r="H1863" s="24" t="str">
        <x:v>PhotoFusion X Extra Dark Cinza</x:v>
      </x:c>
      <x:c r="I1863" s="24" t="str">
        <x:v>1.67</x:v>
      </x:c>
      <x:c r="J1863" s="24" t="str">
        <x:v>1.67</x:v>
      </x:c>
      <x:c r="K1863" s="24" t="str">
        <x:v>DuraVision Chrome UV</x:v>
      </x:c>
      <x:c r="L1863" s="40" t="n">
        <x:v>4673</x:v>
      </x:c>
      <x:c r="M1863" s="24" t="str">
        <x:v>-8.00 a +8.00</x:v>
      </x:c>
      <x:c r="N1863" s="24" t="str">
        <x:v>-6.00</x:v>
      </x:c>
      <x:c r="O1863" s="24" t="str">
        <x:v>0.50 a 1.25</x:v>
      </x:c>
      <x:c r="P1863" s="24" t="str">
        <x:v>70</x:v>
      </x:c>
      <x:c r="Q1863" s="24"/>
      <x:c r="R1863" s="24"/>
      <x:c r="S1863" s="26" t="n">
        <x:v>46113</x:v>
      </x:c>
      <x:c r="T1863" s="26"/>
      <x:c r="U1863" s="24" t="str">
        <x:v>ATIVA/SEM FIM INFORMADO</x:v>
      </x:c>
      <x:c r="V1863" s="24" t="str">
        <x:v>Programa de Parcerias ZEISS</x:v>
      </x:c>
      <x:c r="W1863" s="24" t="n">
        <x:v>27</x:v>
      </x:c>
      <x:c r="X1863" s="24" t="str">
        <x:v>tabela_zeiss.pdf</x:v>
      </x:c>
      <x:c r="Y1863" s="24" t="str">
        <x:v>alta</x:v>
      </x:c>
      <x:c r="Z1863" s="24"/>
      <x:c r="AA1863" s="24" t="str">
        <x:v>ZEISS|Visão Simples Digital|Surfaçada|SmartLife Digital Individual 3|PhotoFusion X Extra Dark Cinza|1.67|1.67|DuraVision Chrome UV|-8.00 a +8.00|-6.00|0.50 a 1.25|70|||27</x:v>
      </x:c>
    </x:row>
    <x:row r="1864">
      <x:c r="A1864" s="24" t="str">
        <x:v>ZS-FA64B3872A2C</x:v>
      </x:c>
      <x:c r="B1864" s="24" t="str">
        <x:v>SIM</x:v>
      </x:c>
      <x:c r="C1864" s="24" t="str">
        <x:v>DISPONÍVEL</x:v>
      </x:c>
      <x:c r="D1864" s="24" t="str">
        <x:v>ZEISS</x:v>
      </x:c>
      <x:c r="E1864" s="24" t="str">
        <x:v>Visão Simples Digital</x:v>
      </x:c>
      <x:c r="F1864" s="24" t="str">
        <x:v>Surfaçada</x:v>
      </x:c>
      <x:c r="G1864" s="24" t="str">
        <x:v>SmartLife Digital Individual 3</x:v>
      </x:c>
      <x:c r="H1864" s="24" t="str">
        <x:v>Polarizada</x:v>
      </x:c>
      <x:c r="I1864" s="24" t="str">
        <x:v>1.5</x:v>
      </x:c>
      <x:c r="J1864" s="24" t="str">
        <x:v>1.50</x:v>
      </x:c>
      <x:c r="K1864" s="24" t="str">
        <x:v>DuraVision Gold UV</x:v>
      </x:c>
      <x:c r="L1864" s="40" t="n">
        <x:v>3053</x:v>
      </x:c>
      <x:c r="M1864" s="24" t="str">
        <x:v>-6.00 a +6.00</x:v>
      </x:c>
      <x:c r="N1864" s="24" t="str">
        <x:v>-4.00</x:v>
      </x:c>
      <x:c r="O1864" s="24" t="str">
        <x:v>0.50 a 1.25</x:v>
      </x:c>
      <x:c r="P1864" s="24" t="str">
        <x:v>70</x:v>
      </x:c>
      <x:c r="Q1864" s="24"/>
      <x:c r="R1864" s="24"/>
      <x:c r="S1864" s="26" t="n">
        <x:v>46113</x:v>
      </x:c>
      <x:c r="T1864" s="26"/>
      <x:c r="U1864" s="24" t="str">
        <x:v>ATIVA/SEM FIM INFORMADO</x:v>
      </x:c>
      <x:c r="V1864" s="24"/>
      <x:c r="W1864" s="24" t="n">
        <x:v>27</x:v>
      </x:c>
      <x:c r="X1864" s="24" t="str">
        <x:v>tabela_zeiss.pdf</x:v>
      </x:c>
      <x:c r="Y1864" s="24" t="str">
        <x:v>alta</x:v>
      </x:c>
      <x:c r="Z1864" s="24"/>
      <x:c r="AA1864" s="24" t="str">
        <x:v>ZEISS|Visão Simples Digital|Surfaçada|SmartLife Digital Individual 3|Polarizada|1.5|1.50|DuraVision Gold UV|-6.00 a +6.00|-4.00|0.50 a 1.25|70|||27</x:v>
      </x:c>
    </x:row>
    <x:row r="1865">
      <x:c r="A1865" s="24" t="str">
        <x:v>ZS-11EF7B6876CE</x:v>
      </x:c>
      <x:c r="B1865" s="24" t="str">
        <x:v>SIM</x:v>
      </x:c>
      <x:c r="C1865" s="24" t="str">
        <x:v>DISPONÍVEL</x:v>
      </x:c>
      <x:c r="D1865" s="24" t="str">
        <x:v>ZEISS</x:v>
      </x:c>
      <x:c r="E1865" s="24" t="str">
        <x:v>Visão Simples Digital</x:v>
      </x:c>
      <x:c r="F1865" s="24" t="str">
        <x:v>Surfaçada</x:v>
      </x:c>
      <x:c r="G1865" s="24" t="str">
        <x:v>SmartLife Digital Individual 3</x:v>
      </x:c>
      <x:c r="H1865" s="24" t="str">
        <x:v>Polarizada</x:v>
      </x:c>
      <x:c r="I1865" s="24" t="str">
        <x:v>1.5</x:v>
      </x:c>
      <x:c r="J1865" s="24" t="str">
        <x:v>1.50</x:v>
      </x:c>
      <x:c r="K1865" s="24" t="str">
        <x:v>DuraVision Platinum UV</x:v>
      </x:c>
      <x:c r="L1865" s="40" t="n">
        <x:v>2913</x:v>
      </x:c>
      <x:c r="M1865" s="24" t="str">
        <x:v>-6.00 a +6.00</x:v>
      </x:c>
      <x:c r="N1865" s="24" t="str">
        <x:v>-4.00</x:v>
      </x:c>
      <x:c r="O1865" s="24" t="str">
        <x:v>0.50 a 1.25</x:v>
      </x:c>
      <x:c r="P1865" s="24" t="str">
        <x:v>70</x:v>
      </x:c>
      <x:c r="Q1865" s="24"/>
      <x:c r="R1865" s="24"/>
      <x:c r="S1865" s="26" t="n">
        <x:v>46113</x:v>
      </x:c>
      <x:c r="T1865" s="26"/>
      <x:c r="U1865" s="24" t="str">
        <x:v>ATIVA/SEM FIM INFORMADO</x:v>
      </x:c>
      <x:c r="V1865" s="24"/>
      <x:c r="W1865" s="24" t="n">
        <x:v>27</x:v>
      </x:c>
      <x:c r="X1865" s="24" t="str">
        <x:v>tabela_zeiss.pdf</x:v>
      </x:c>
      <x:c r="Y1865" s="24" t="str">
        <x:v>alta</x:v>
      </x:c>
      <x:c r="Z1865" s="24"/>
      <x:c r="AA1865" s="24" t="str">
        <x:v>ZEISS|Visão Simples Digital|Surfaçada|SmartLife Digital Individual 3|Polarizada|1.5|1.50|DuraVision Platinum UV|-6.00 a +6.00|-4.00|0.50 a 1.25|70|||27</x:v>
      </x:c>
    </x:row>
    <x:row r="1866">
      <x:c r="A1866" s="24" t="str">
        <x:v>ZS-F9B762A3AD83</x:v>
      </x:c>
      <x:c r="B1866" s="24" t="str">
        <x:v>SIM</x:v>
      </x:c>
      <x:c r="C1866" s="24" t="str">
        <x:v>DISPONÍVEL</x:v>
      </x:c>
      <x:c r="D1866" s="24" t="str">
        <x:v>ZEISS</x:v>
      </x:c>
      <x:c r="E1866" s="24" t="str">
        <x:v>Visão Simples Digital</x:v>
      </x:c>
      <x:c r="F1866" s="24" t="str">
        <x:v>Surfaçada</x:v>
      </x:c>
      <x:c r="G1866" s="24" t="str">
        <x:v>SmartLife Digital Individual 3</x:v>
      </x:c>
      <x:c r="H1866" s="24" t="str">
        <x:v>Polarizada</x:v>
      </x:c>
      <x:c r="I1866" s="24" t="str">
        <x:v>1.5</x:v>
      </x:c>
      <x:c r="J1866" s="24" t="str">
        <x:v>1.50</x:v>
      </x:c>
      <x:c r="K1866" s="24" t="str">
        <x:v>DuraVision Silver UV</x:v>
      </x:c>
      <x:c r="L1866" s="40" t="n">
        <x:v>2653</x:v>
      </x:c>
      <x:c r="M1866" s="24" t="str">
        <x:v>-6.00 a +6.00</x:v>
      </x:c>
      <x:c r="N1866" s="24" t="str">
        <x:v>-4.00</x:v>
      </x:c>
      <x:c r="O1866" s="24" t="str">
        <x:v>0.50 a 1.25</x:v>
      </x:c>
      <x:c r="P1866" s="24" t="str">
        <x:v>70</x:v>
      </x:c>
      <x:c r="Q1866" s="24"/>
      <x:c r="R1866" s="24"/>
      <x:c r="S1866" s="26" t="n">
        <x:v>46113</x:v>
      </x:c>
      <x:c r="T1866" s="26"/>
      <x:c r="U1866" s="24" t="str">
        <x:v>ATIVA/SEM FIM INFORMADO</x:v>
      </x:c>
      <x:c r="V1866" s="24"/>
      <x:c r="W1866" s="24" t="n">
        <x:v>27</x:v>
      </x:c>
      <x:c r="X1866" s="24" t="str">
        <x:v>tabela_zeiss.pdf</x:v>
      </x:c>
      <x:c r="Y1866" s="24" t="str">
        <x:v>alta</x:v>
      </x:c>
      <x:c r="Z1866" s="24"/>
      <x:c r="AA1866" s="24" t="str">
        <x:v>ZEISS|Visão Simples Digital|Surfaçada|SmartLife Digital Individual 3|Polarizada|1.5|1.50|DuraVision Silver UV|-6.00 a +6.00|-4.00|0.50 a 1.25|70|||27</x:v>
      </x:c>
    </x:row>
    <x:row r="1867">
      <x:c r="A1867" s="24" t="str">
        <x:v>ZS-DE4FB5CC3101</x:v>
      </x:c>
      <x:c r="B1867" s="24" t="str">
        <x:v>SIM</x:v>
      </x:c>
      <x:c r="C1867" s="24" t="str">
        <x:v>DISPONÍVEL</x:v>
      </x:c>
      <x:c r="D1867" s="24" t="str">
        <x:v>ZEISS</x:v>
      </x:c>
      <x:c r="E1867" s="24" t="str">
        <x:v>Visão Simples Digital</x:v>
      </x:c>
      <x:c r="F1867" s="24" t="str">
        <x:v>Surfaçada</x:v>
      </x:c>
      <x:c r="G1867" s="24" t="str">
        <x:v>SmartLife Digital Individual 3</x:v>
      </x:c>
      <x:c r="H1867" s="24" t="str">
        <x:v>Polarizada</x:v>
      </x:c>
      <x:c r="I1867" s="24" t="str">
        <x:v>1.5</x:v>
      </x:c>
      <x:c r="J1867" s="24" t="str">
        <x:v>1.50</x:v>
      </x:c>
      <x:c r="K1867" s="24" t="str">
        <x:v>DuraVision Chrome UV</x:v>
      </x:c>
      <x:c r="L1867" s="40" t="n">
        <x:v>2163</x:v>
      </x:c>
      <x:c r="M1867" s="24" t="str">
        <x:v>-6.00 a +6.00</x:v>
      </x:c>
      <x:c r="N1867" s="24" t="str">
        <x:v>-4.00</x:v>
      </x:c>
      <x:c r="O1867" s="24" t="str">
        <x:v>0.50 a 1.25</x:v>
      </x:c>
      <x:c r="P1867" s="24" t="str">
        <x:v>70</x:v>
      </x:c>
      <x:c r="Q1867" s="24"/>
      <x:c r="R1867" s="24"/>
      <x:c r="S1867" s="26" t="n">
        <x:v>46113</x:v>
      </x:c>
      <x:c r="T1867" s="26"/>
      <x:c r="U1867" s="24" t="str">
        <x:v>ATIVA/SEM FIM INFORMADO</x:v>
      </x:c>
      <x:c r="V1867" s="24"/>
      <x:c r="W1867" s="24" t="n">
        <x:v>27</x:v>
      </x:c>
      <x:c r="X1867" s="24" t="str">
        <x:v>tabela_zeiss.pdf</x:v>
      </x:c>
      <x:c r="Y1867" s="24" t="str">
        <x:v>alta</x:v>
      </x:c>
      <x:c r="Z1867" s="24"/>
      <x:c r="AA1867" s="24" t="str">
        <x:v>ZEISS|Visão Simples Digital|Surfaçada|SmartLife Digital Individual 3|Polarizada|1.5|1.50|DuraVision Chrome UV|-6.00 a +6.00|-4.00|0.50 a 1.25|70|||27</x:v>
      </x:c>
    </x:row>
    <x:row r="1868">
      <x:c r="A1868" s="24" t="str">
        <x:v>ZS-A8A26A6EF8CF</x:v>
      </x:c>
      <x:c r="B1868" s="24" t="str">
        <x:v>SIM</x:v>
      </x:c>
      <x:c r="C1868" s="24" t="str">
        <x:v>DISPONÍVEL</x:v>
      </x:c>
      <x:c r="D1868" s="24" t="str">
        <x:v>ZEISS</x:v>
      </x:c>
      <x:c r="E1868" s="24" t="str">
        <x:v>Visão Simples Digital</x:v>
      </x:c>
      <x:c r="F1868" s="24" t="str">
        <x:v>Surfaçada</x:v>
      </x:c>
      <x:c r="G1868" s="24" t="str">
        <x:v>SmartLife Digital Individual 3</x:v>
      </x:c>
      <x:c r="H1868" s="24" t="str">
        <x:v>Polarizada</x:v>
      </x:c>
      <x:c r="I1868" s="24" t="str">
        <x:v>1.6</x:v>
      </x:c>
      <x:c r="J1868" s="24" t="str">
        <x:v>1.60</x:v>
      </x:c>
      <x:c r="K1868" s="24" t="str">
        <x:v>DuraVision Gold UV</x:v>
      </x:c>
      <x:c r="L1868" s="40" t="n">
        <x:v>3633</x:v>
      </x:c>
      <x:c r="M1868" s="24" t="str">
        <x:v>-8.00 a +8.00</x:v>
      </x:c>
      <x:c r="N1868" s="24" t="str">
        <x:v>-4.00</x:v>
      </x:c>
      <x:c r="O1868" s="24" t="str">
        <x:v>0.50 a 1.25</x:v>
      </x:c>
      <x:c r="P1868" s="24" t="str">
        <x:v>70</x:v>
      </x:c>
      <x:c r="Q1868" s="24"/>
      <x:c r="R1868" s="24"/>
      <x:c r="S1868" s="26" t="n">
        <x:v>46113</x:v>
      </x:c>
      <x:c r="T1868" s="26"/>
      <x:c r="U1868" s="24" t="str">
        <x:v>ATIVA/SEM FIM INFORMADO</x:v>
      </x:c>
      <x:c r="V1868" s="24"/>
      <x:c r="W1868" s="24" t="n">
        <x:v>27</x:v>
      </x:c>
      <x:c r="X1868" s="24" t="str">
        <x:v>tabela_zeiss.pdf</x:v>
      </x:c>
      <x:c r="Y1868" s="24" t="str">
        <x:v>alta</x:v>
      </x:c>
      <x:c r="Z1868" s="24"/>
      <x:c r="AA1868" s="24" t="str">
        <x:v>ZEISS|Visão Simples Digital|Surfaçada|SmartLife Digital Individual 3|Polarizada|1.6|1.60|DuraVision Gold UV|-8.00 a +8.00|-4.00|0.50 a 1.25|70|||27</x:v>
      </x:c>
    </x:row>
    <x:row r="1869">
      <x:c r="A1869" s="24" t="str">
        <x:v>ZS-812E8E50A97B</x:v>
      </x:c>
      <x:c r="B1869" s="24" t="str">
        <x:v>SIM</x:v>
      </x:c>
      <x:c r="C1869" s="24" t="str">
        <x:v>DISPONÍVEL</x:v>
      </x:c>
      <x:c r="D1869" s="24" t="str">
        <x:v>ZEISS</x:v>
      </x:c>
      <x:c r="E1869" s="24" t="str">
        <x:v>Visão Simples Digital</x:v>
      </x:c>
      <x:c r="F1869" s="24" t="str">
        <x:v>Surfaçada</x:v>
      </x:c>
      <x:c r="G1869" s="24" t="str">
        <x:v>SmartLife Digital Individual 3</x:v>
      </x:c>
      <x:c r="H1869" s="24" t="str">
        <x:v>Polarizada</x:v>
      </x:c>
      <x:c r="I1869" s="24" t="str">
        <x:v>1.6</x:v>
      </x:c>
      <x:c r="J1869" s="24" t="str">
        <x:v>1.60</x:v>
      </x:c>
      <x:c r="K1869" s="24" t="str">
        <x:v>DuraVision Platinum UV</x:v>
      </x:c>
      <x:c r="L1869" s="40" t="n">
        <x:v>3493</x:v>
      </x:c>
      <x:c r="M1869" s="24" t="str">
        <x:v>-8.00 a +8.00</x:v>
      </x:c>
      <x:c r="N1869" s="24" t="str">
        <x:v>-4.00</x:v>
      </x:c>
      <x:c r="O1869" s="24" t="str">
        <x:v>0.50 a 1.25</x:v>
      </x:c>
      <x:c r="P1869" s="24" t="str">
        <x:v>70</x:v>
      </x:c>
      <x:c r="Q1869" s="24"/>
      <x:c r="R1869" s="24"/>
      <x:c r="S1869" s="26" t="n">
        <x:v>46113</x:v>
      </x:c>
      <x:c r="T1869" s="26"/>
      <x:c r="U1869" s="24" t="str">
        <x:v>ATIVA/SEM FIM INFORMADO</x:v>
      </x:c>
      <x:c r="V1869" s="24"/>
      <x:c r="W1869" s="24" t="n">
        <x:v>27</x:v>
      </x:c>
      <x:c r="X1869" s="24" t="str">
        <x:v>tabela_zeiss.pdf</x:v>
      </x:c>
      <x:c r="Y1869" s="24" t="str">
        <x:v>alta</x:v>
      </x:c>
      <x:c r="Z1869" s="24"/>
      <x:c r="AA1869" s="24" t="str">
        <x:v>ZEISS|Visão Simples Digital|Surfaçada|SmartLife Digital Individual 3|Polarizada|1.6|1.60|DuraVision Platinum UV|-8.00 a +8.00|-4.00|0.50 a 1.25|70|||27</x:v>
      </x:c>
    </x:row>
    <x:row r="1870">
      <x:c r="A1870" s="24" t="str">
        <x:v>ZS-5F76D85C5C1D</x:v>
      </x:c>
      <x:c r="B1870" s="24" t="str">
        <x:v>SIM</x:v>
      </x:c>
      <x:c r="C1870" s="24" t="str">
        <x:v>DISPONÍVEL</x:v>
      </x:c>
      <x:c r="D1870" s="24" t="str">
        <x:v>ZEISS</x:v>
      </x:c>
      <x:c r="E1870" s="24" t="str">
        <x:v>Visão Simples Digital</x:v>
      </x:c>
      <x:c r="F1870" s="24" t="str">
        <x:v>Surfaçada</x:v>
      </x:c>
      <x:c r="G1870" s="24" t="str">
        <x:v>SmartLife Digital Individual 3</x:v>
      </x:c>
      <x:c r="H1870" s="24" t="str">
        <x:v>Polarizada</x:v>
      </x:c>
      <x:c r="I1870" s="24" t="str">
        <x:v>1.6</x:v>
      </x:c>
      <x:c r="J1870" s="24" t="str">
        <x:v>1.60</x:v>
      </x:c>
      <x:c r="K1870" s="24" t="str">
        <x:v>DuraVision Silver UV</x:v>
      </x:c>
      <x:c r="L1870" s="40" t="n">
        <x:v>3233</x:v>
      </x:c>
      <x:c r="M1870" s="24" t="str">
        <x:v>-8.00 a +8.00</x:v>
      </x:c>
      <x:c r="N1870" s="24" t="str">
        <x:v>-4.00</x:v>
      </x:c>
      <x:c r="O1870" s="24" t="str">
        <x:v>0.50 a 1.25</x:v>
      </x:c>
      <x:c r="P1870" s="24" t="str">
        <x:v>70</x:v>
      </x:c>
      <x:c r="Q1870" s="24"/>
      <x:c r="R1870" s="24"/>
      <x:c r="S1870" s="26" t="n">
        <x:v>46113</x:v>
      </x:c>
      <x:c r="T1870" s="26"/>
      <x:c r="U1870" s="24" t="str">
        <x:v>ATIVA/SEM FIM INFORMADO</x:v>
      </x:c>
      <x:c r="V1870" s="24"/>
      <x:c r="W1870" s="24" t="n">
        <x:v>27</x:v>
      </x:c>
      <x:c r="X1870" s="24" t="str">
        <x:v>tabela_zeiss.pdf</x:v>
      </x:c>
      <x:c r="Y1870" s="24" t="str">
        <x:v>alta</x:v>
      </x:c>
      <x:c r="Z1870" s="24"/>
      <x:c r="AA1870" s="24" t="str">
        <x:v>ZEISS|Visão Simples Digital|Surfaçada|SmartLife Digital Individual 3|Polarizada|1.6|1.60|DuraVision Silver UV|-8.00 a +8.00|-4.00|0.50 a 1.25|70|||27</x:v>
      </x:c>
    </x:row>
    <x:row r="1871">
      <x:c r="A1871" s="24" t="str">
        <x:v>ZS-6D72745C735C</x:v>
      </x:c>
      <x:c r="B1871" s="24" t="str">
        <x:v>SIM</x:v>
      </x:c>
      <x:c r="C1871" s="24" t="str">
        <x:v>DISPONÍVEL</x:v>
      </x:c>
      <x:c r="D1871" s="24" t="str">
        <x:v>ZEISS</x:v>
      </x:c>
      <x:c r="E1871" s="24" t="str">
        <x:v>Visão Simples Digital</x:v>
      </x:c>
      <x:c r="F1871" s="24" t="str">
        <x:v>Surfaçada</x:v>
      </x:c>
      <x:c r="G1871" s="24" t="str">
        <x:v>SmartLife Digital Individual 3</x:v>
      </x:c>
      <x:c r="H1871" s="24" t="str">
        <x:v>Polarizada</x:v>
      </x:c>
      <x:c r="I1871" s="24" t="str">
        <x:v>1.6</x:v>
      </x:c>
      <x:c r="J1871" s="24" t="str">
        <x:v>1.60</x:v>
      </x:c>
      <x:c r="K1871" s="24" t="str">
        <x:v>DuraVision Chrome UV</x:v>
      </x:c>
      <x:c r="L1871" s="40" t="n">
        <x:v>2743</x:v>
      </x:c>
      <x:c r="M1871" s="24" t="str">
        <x:v>-8.00 a +8.00</x:v>
      </x:c>
      <x:c r="N1871" s="24" t="str">
        <x:v>-4.00</x:v>
      </x:c>
      <x:c r="O1871" s="24" t="str">
        <x:v>0.50 a 1.25</x:v>
      </x:c>
      <x:c r="P1871" s="24" t="str">
        <x:v>70</x:v>
      </x:c>
      <x:c r="Q1871" s="24"/>
      <x:c r="R1871" s="24"/>
      <x:c r="S1871" s="26" t="n">
        <x:v>46113</x:v>
      </x:c>
      <x:c r="T1871" s="26"/>
      <x:c r="U1871" s="24" t="str">
        <x:v>ATIVA/SEM FIM INFORMADO</x:v>
      </x:c>
      <x:c r="V1871" s="24"/>
      <x:c r="W1871" s="24" t="n">
        <x:v>27</x:v>
      </x:c>
      <x:c r="X1871" s="24" t="str">
        <x:v>tabela_zeiss.pdf</x:v>
      </x:c>
      <x:c r="Y1871" s="24" t="str">
        <x:v>alta</x:v>
      </x:c>
      <x:c r="Z1871" s="24"/>
      <x:c r="AA1871" s="24" t="str">
        <x:v>ZEISS|Visão Simples Digital|Surfaçada|SmartLife Digital Individual 3|Polarizada|1.6|1.60|DuraVision Chrome UV|-8.00 a +8.00|-4.00|0.50 a 1.25|70|||27</x:v>
      </x:c>
    </x:row>
    <x:row r="1872">
      <x:c r="A1872" s="24" t="str">
        <x:v>ZS-AECF56554D03</x:v>
      </x:c>
      <x:c r="B1872" s="24" t="str">
        <x:v>SIM</x:v>
      </x:c>
      <x:c r="C1872" s="24" t="str">
        <x:v>DISPONÍVEL</x:v>
      </x:c>
      <x:c r="D1872" s="24" t="str">
        <x:v>ZEISS</x:v>
      </x:c>
      <x:c r="E1872" s="24" t="str">
        <x:v>Visão Simples Especial</x:v>
      </x:c>
      <x:c r="F1872" s="24" t="str">
        <x:v>Surfaçada</x:v>
      </x:c>
      <x:c r="G1872" s="24" t="str">
        <x:v>DriveSafe</x:v>
      </x:c>
      <x:c r="H1872" s="24"/>
      <x:c r="I1872" s="24" t="str">
        <x:v>1.5</x:v>
      </x:c>
      <x:c r="J1872" s="24" t="str">
        <x:v>1.50</x:v>
      </x:c>
      <x:c r="K1872" s="24" t="str">
        <x:v>DURAVISION® DRIVESAFE</x:v>
      </x:c>
      <x:c r="L1872" s="40" t="n">
        <x:v>2140</x:v>
      </x:c>
      <x:c r="M1872" s="24" t="str">
        <x:v>-6.00 a +6.00</x:v>
      </x:c>
      <x:c r="N1872" s="24" t="str">
        <x:v>-4.00</x:v>
      </x:c>
      <x:c r="O1872" s="24" t="str">
        <x:v>-</x:v>
      </x:c>
      <x:c r="P1872" s="24" t="str">
        <x:v>75</x:v>
      </x:c>
      <x:c r="Q1872" s="24"/>
      <x:c r="R1872" s="24"/>
      <x:c r="S1872" s="26" t="n">
        <x:v>46113</x:v>
      </x:c>
      <x:c r="T1872" s="26"/>
      <x:c r="U1872" s="24" t="str">
        <x:v>ATIVA/SEM FIM INFORMADO</x:v>
      </x:c>
      <x:c r="V1872" s="24"/>
      <x:c r="W1872" s="24" t="n">
        <x:v>28</x:v>
      </x:c>
      <x:c r="X1872" s="24" t="str">
        <x:v>tabela_zeiss.pdf</x:v>
      </x:c>
      <x:c r="Y1872" s="24" t="str">
        <x:v>alta</x:v>
      </x:c>
      <x:c r="Z1872" s="24"/>
      <x:c r="AA1872" s="24" t="str">
        <x:v>ZEISS|Visão Simples Especial|Surfaçada|DriveSafe||1.5|1.50|DURAVISION® DRIVESAFE|-6.00 a +6.00|-4.00|-|75|||28</x:v>
      </x:c>
    </x:row>
    <x:row r="1873">
      <x:c r="A1873" s="24" t="str">
        <x:v>ZS-04ECE89BCF4A</x:v>
      </x:c>
      <x:c r="B1873" s="24" t="str">
        <x:v>SIM</x:v>
      </x:c>
      <x:c r="C1873" s="24" t="str">
        <x:v>DISPONÍVEL</x:v>
      </x:c>
      <x:c r="D1873" s="24" t="str">
        <x:v>ZEISS</x:v>
      </x:c>
      <x:c r="E1873" s="24" t="str">
        <x:v>Visão Simples Especial</x:v>
      </x:c>
      <x:c r="F1873" s="24" t="str">
        <x:v>Surfaçada</x:v>
      </x:c>
      <x:c r="G1873" s="24" t="str">
        <x:v>DriveSafe</x:v>
      </x:c>
      <x:c r="H1873" s="24"/>
      <x:c r="I1873" s="24" t="str">
        <x:v>Poli</x:v>
      </x:c>
      <x:c r="J1873" s="24"/>
      <x:c r="K1873" s="24" t="str">
        <x:v>DURAVISION® DRIVESAFE</x:v>
      </x:c>
      <x:c r="L1873" s="40" t="n">
        <x:v>2500</x:v>
      </x:c>
      <x:c r="M1873" s="24" t="str">
        <x:v>-10.00 a +8.00</x:v>
      </x:c>
      <x:c r="N1873" s="24" t="str">
        <x:v>-4.00</x:v>
      </x:c>
      <x:c r="O1873" s="24" t="str">
        <x:v>-</x:v>
      </x:c>
      <x:c r="P1873" s="24" t="str">
        <x:v>70</x:v>
      </x:c>
      <x:c r="Q1873" s="24"/>
      <x:c r="R1873" s="24"/>
      <x:c r="S1873" s="26" t="n">
        <x:v>46113</x:v>
      </x:c>
      <x:c r="T1873" s="26"/>
      <x:c r="U1873" s="24" t="str">
        <x:v>ATIVA/SEM FIM INFORMADO</x:v>
      </x:c>
      <x:c r="V1873" s="24"/>
      <x:c r="W1873" s="24" t="n">
        <x:v>28</x:v>
      </x:c>
      <x:c r="X1873" s="24" t="str">
        <x:v>tabela_zeiss.pdf</x:v>
      </x:c>
      <x:c r="Y1873" s="24" t="str">
        <x:v>alta</x:v>
      </x:c>
      <x:c r="Z1873" s="24"/>
      <x:c r="AA1873" s="24" t="str">
        <x:v>ZEISS|Visão Simples Especial|Surfaçada|DriveSafe||Poli||DURAVISION® DRIVESAFE|-10.00 a +8.00|-4.00|-|70|||28</x:v>
      </x:c>
    </x:row>
    <x:row r="1874">
      <x:c r="A1874" s="24" t="str">
        <x:v>ZS-C691FDFD40A6</x:v>
      </x:c>
      <x:c r="B1874" s="24" t="str">
        <x:v>SIM</x:v>
      </x:c>
      <x:c r="C1874" s="24" t="str">
        <x:v>DISPONÍVEL</x:v>
      </x:c>
      <x:c r="D1874" s="24" t="str">
        <x:v>ZEISS</x:v>
      </x:c>
      <x:c r="E1874" s="24" t="str">
        <x:v>Visão Simples Especial</x:v>
      </x:c>
      <x:c r="F1874" s="24" t="str">
        <x:v>Surfaçada</x:v>
      </x:c>
      <x:c r="G1874" s="24" t="str">
        <x:v>DriveSafe</x:v>
      </x:c>
      <x:c r="H1874" s="24"/>
      <x:c r="I1874" s="24" t="str">
        <x:v>1.6</x:v>
      </x:c>
      <x:c r="J1874" s="24" t="str">
        <x:v>1.60</x:v>
      </x:c>
      <x:c r="K1874" s="24" t="str">
        <x:v>DURAVISION® DRIVESAFE</x:v>
      </x:c>
      <x:c r="L1874" s="40" t="n">
        <x:v>2720</x:v>
      </x:c>
      <x:c r="M1874" s="24" t="str">
        <x:v>-6.00 a +6.00</x:v>
      </x:c>
      <x:c r="N1874" s="24" t="str">
        <x:v>-6.00</x:v>
      </x:c>
      <x:c r="O1874" s="24" t="str">
        <x:v>-</x:v>
      </x:c>
      <x:c r="P1874" s="24" t="str">
        <x:v>75</x:v>
      </x:c>
      <x:c r="Q1874" s="24"/>
      <x:c r="R1874" s="24"/>
      <x:c r="S1874" s="26" t="n">
        <x:v>46113</x:v>
      </x:c>
      <x:c r="T1874" s="26"/>
      <x:c r="U1874" s="24" t="str">
        <x:v>ATIVA/SEM FIM INFORMADO</x:v>
      </x:c>
      <x:c r="V1874" s="24"/>
      <x:c r="W1874" s="24" t="n">
        <x:v>28</x:v>
      </x:c>
      <x:c r="X1874" s="24" t="str">
        <x:v>tabela_zeiss.pdf</x:v>
      </x:c>
      <x:c r="Y1874" s="24" t="str">
        <x:v>alta</x:v>
      </x:c>
      <x:c r="Z1874" s="24"/>
      <x:c r="AA1874" s="24" t="str">
        <x:v>ZEISS|Visão Simples Especial|Surfaçada|DriveSafe||1.6|1.60|DURAVISION® DRIVESAFE|-6.00 a +6.00|-6.00|-|75|||28</x:v>
      </x:c>
    </x:row>
    <x:row r="1875">
      <x:c r="A1875" s="24" t="str">
        <x:v>ZS-47D273F8BB65</x:v>
      </x:c>
      <x:c r="B1875" s="24" t="str">
        <x:v>SIM</x:v>
      </x:c>
      <x:c r="C1875" s="24" t="str">
        <x:v>DISPONÍVEL</x:v>
      </x:c>
      <x:c r="D1875" s="24" t="str">
        <x:v>ZEISS</x:v>
      </x:c>
      <x:c r="E1875" s="24" t="str">
        <x:v>Visão Simples Especial</x:v>
      </x:c>
      <x:c r="F1875" s="24" t="str">
        <x:v>Surfaçada</x:v>
      </x:c>
      <x:c r="G1875" s="24" t="str">
        <x:v>DriveSafe</x:v>
      </x:c>
      <x:c r="H1875" s="24"/>
      <x:c r="I1875" s="24" t="str">
        <x:v>1.67</x:v>
      </x:c>
      <x:c r="J1875" s="24" t="str">
        <x:v>1.67</x:v>
      </x:c>
      <x:c r="K1875" s="24" t="str">
        <x:v>DURAVISION® DRIVESAFE</x:v>
      </x:c>
      <x:c r="L1875" s="40" t="n">
        <x:v>4020</x:v>
      </x:c>
      <x:c r="M1875" s="24" t="str">
        <x:v>-8.00 a +8.00</x:v>
      </x:c>
      <x:c r="N1875" s="24" t="str">
        <x:v>-6.00</x:v>
      </x:c>
      <x:c r="O1875" s="24" t="str">
        <x:v>-</x:v>
      </x:c>
      <x:c r="P1875" s="24" t="str">
        <x:v>70</x:v>
      </x:c>
      <x:c r="Q1875" s="24"/>
      <x:c r="R1875" s="24"/>
      <x:c r="S1875" s="26" t="n">
        <x:v>46113</x:v>
      </x:c>
      <x:c r="T1875" s="26"/>
      <x:c r="U1875" s="24" t="str">
        <x:v>ATIVA/SEM FIM INFORMADO</x:v>
      </x:c>
      <x:c r="V1875" s="24"/>
      <x:c r="W1875" s="24" t="n">
        <x:v>28</x:v>
      </x:c>
      <x:c r="X1875" s="24" t="str">
        <x:v>tabela_zeiss.pdf</x:v>
      </x:c>
      <x:c r="Y1875" s="24" t="str">
        <x:v>alta</x:v>
      </x:c>
      <x:c r="Z1875" s="24"/>
      <x:c r="AA1875" s="24" t="str">
        <x:v>ZEISS|Visão Simples Especial|Surfaçada|DriveSafe||1.67|1.67|DURAVISION® DRIVESAFE|-8.00 a +8.00|-6.00|-|70|||28</x:v>
      </x:c>
    </x:row>
    <x:row r="1876">
      <x:c r="A1876" s="24" t="str">
        <x:v>ZS-9699C2436068</x:v>
      </x:c>
      <x:c r="B1876" s="24" t="str">
        <x:v>SIM</x:v>
      </x:c>
      <x:c r="C1876" s="24" t="str">
        <x:v>DISPONÍVEL</x:v>
      </x:c>
      <x:c r="D1876" s="24" t="str">
        <x:v>ZEISS</x:v>
      </x:c>
      <x:c r="E1876" s="24" t="str">
        <x:v>Visão Simples Especial</x:v>
      </x:c>
      <x:c r="F1876" s="24" t="str">
        <x:v>Surfaçada</x:v>
      </x:c>
      <x:c r="G1876" s="24" t="str">
        <x:v>DriveSafe</x:v>
      </x:c>
      <x:c r="H1876" s="24"/>
      <x:c r="I1876" s="24" t="str">
        <x:v>1.74</x:v>
      </x:c>
      <x:c r="J1876" s="24" t="str">
        <x:v>1.74</x:v>
      </x:c>
      <x:c r="K1876" s="24" t="str">
        <x:v>DURAVISION® DRIVESAFE</x:v>
      </x:c>
      <x:c r="L1876" s="40" t="n">
        <x:v>4330</x:v>
      </x:c>
      <x:c r="M1876" s="24" t="str">
        <x:v>-10.00 a +7.00</x:v>
      </x:c>
      <x:c r="N1876" s="24" t="str">
        <x:v>-4.00</x:v>
      </x:c>
      <x:c r="O1876" s="24" t="str">
        <x:v>-</x:v>
      </x:c>
      <x:c r="P1876" s="24" t="str">
        <x:v>70 a 75</x:v>
      </x:c>
      <x:c r="Q1876" s="24"/>
      <x:c r="R1876" s="24"/>
      <x:c r="S1876" s="26" t="n">
        <x:v>46113</x:v>
      </x:c>
      <x:c r="T1876" s="26"/>
      <x:c r="U1876" s="24" t="str">
        <x:v>ATIVA/SEM FIM INFORMADO</x:v>
      </x:c>
      <x:c r="V1876" s="24"/>
      <x:c r="W1876" s="24" t="n">
        <x:v>28</x:v>
      </x:c>
      <x:c r="X1876" s="24" t="str">
        <x:v>tabela_zeiss.pdf</x:v>
      </x:c>
      <x:c r="Y1876" s="24" t="str">
        <x:v>alta</x:v>
      </x:c>
      <x:c r="Z1876" s="24"/>
      <x:c r="AA1876" s="24" t="str">
        <x:v>ZEISS|Visão Simples Especial|Surfaçada|DriveSafe||1.74|1.74|DURAVISION® DRIVESAFE|-10.00 a +7.00|-4.00|-|70 a 75|||28</x:v>
      </x:c>
    </x:row>
    <x:row r="1877">
      <x:c r="A1877" s="24" t="str">
        <x:v>ZS-6EB9E19EFD66</x:v>
      </x:c>
      <x:c r="B1877" s="24" t="str">
        <x:v>SIM</x:v>
      </x:c>
      <x:c r="C1877" s="24" t="str">
        <x:v>DISPONÍVEL</x:v>
      </x:c>
      <x:c r="D1877" s="24" t="str">
        <x:v>ZEISS</x:v>
      </x:c>
      <x:c r="E1877" s="24" t="str">
        <x:v>Visão Simples Especial</x:v>
      </x:c>
      <x:c r="F1877" s="24" t="str">
        <x:v>Surfaçada</x:v>
      </x:c>
      <x:c r="G1877" s="24" t="str">
        <x:v>DriveSafe</x:v>
      </x:c>
      <x:c r="H1877" s="24" t="str">
        <x:v>PhotoFusion X</x:v>
      </x:c>
      <x:c r="I1877" s="24" t="str">
        <x:v>1.5</x:v>
      </x:c>
      <x:c r="J1877" s="24" t="str">
        <x:v>1.50</x:v>
      </x:c>
      <x:c r="K1877" s="24" t="str">
        <x:v>DURAVISION® DRIVESAFE</x:v>
      </x:c>
      <x:c r="L1877" s="40" t="n">
        <x:v>3560</x:v>
      </x:c>
      <x:c r="M1877" s="24" t="str">
        <x:v>-6.00 a +6.00</x:v>
      </x:c>
      <x:c r="N1877" s="24" t="str">
        <x:v>-4.00</x:v>
      </x:c>
      <x:c r="O1877" s="24" t="str">
        <x:v>-</x:v>
      </x:c>
      <x:c r="P1877" s="24" t="str">
        <x:v>75</x:v>
      </x:c>
      <x:c r="Q1877" s="24"/>
      <x:c r="R1877" s="24"/>
      <x:c r="S1877" s="26" t="n">
        <x:v>46113</x:v>
      </x:c>
      <x:c r="T1877" s="26"/>
      <x:c r="U1877" s="24" t="str">
        <x:v>ATIVA/SEM FIM INFORMADO</x:v>
      </x:c>
      <x:c r="V1877" s="24" t="str">
        <x:v>Programa de Parcerias ZEISS</x:v>
      </x:c>
      <x:c r="W1877" s="24" t="n">
        <x:v>28</x:v>
      </x:c>
      <x:c r="X1877" s="24" t="str">
        <x:v>tabela_zeiss.pdf</x:v>
      </x:c>
      <x:c r="Y1877" s="24" t="str">
        <x:v>alta</x:v>
      </x:c>
      <x:c r="Z1877" s="24"/>
      <x:c r="AA1877" s="24" t="str">
        <x:v>ZEISS|Visão Simples Especial|Surfaçada|DriveSafe|PhotoFusion X|1.5|1.50|DURAVISION® DRIVESAFE|-6.00 a +6.00|-4.00|-|75|||28</x:v>
      </x:c>
    </x:row>
    <x:row r="1878">
      <x:c r="A1878" s="24" t="str">
        <x:v>ZS-63981115A229</x:v>
      </x:c>
      <x:c r="B1878" s="24" t="str">
        <x:v>SIM</x:v>
      </x:c>
      <x:c r="C1878" s="24" t="str">
        <x:v>DISPONÍVEL</x:v>
      </x:c>
      <x:c r="D1878" s="24" t="str">
        <x:v>ZEISS</x:v>
      </x:c>
      <x:c r="E1878" s="24" t="str">
        <x:v>Visão Simples Especial</x:v>
      </x:c>
      <x:c r="F1878" s="24" t="str">
        <x:v>Surfaçada</x:v>
      </x:c>
      <x:c r="G1878" s="24" t="str">
        <x:v>DriveSafe</x:v>
      </x:c>
      <x:c r="H1878" s="24" t="str">
        <x:v>PhotoFusion X</x:v>
      </x:c>
      <x:c r="I1878" s="24" t="str">
        <x:v>Poli</x:v>
      </x:c>
      <x:c r="J1878" s="24"/>
      <x:c r="K1878" s="24" t="str">
        <x:v>DURAVISION® DRIVESAFE</x:v>
      </x:c>
      <x:c r="L1878" s="40" t="n">
        <x:v>3920</x:v>
      </x:c>
      <x:c r="M1878" s="24" t="str">
        <x:v>-10.00 a +8.00</x:v>
      </x:c>
      <x:c r="N1878" s="24" t="str">
        <x:v>-4.00</x:v>
      </x:c>
      <x:c r="O1878" s="24" t="str">
        <x:v>-</x:v>
      </x:c>
      <x:c r="P1878" s="24" t="str">
        <x:v>70</x:v>
      </x:c>
      <x:c r="Q1878" s="24"/>
      <x:c r="R1878" s="24"/>
      <x:c r="S1878" s="26" t="n">
        <x:v>46113</x:v>
      </x:c>
      <x:c r="T1878" s="26"/>
      <x:c r="U1878" s="24" t="str">
        <x:v>ATIVA/SEM FIM INFORMADO</x:v>
      </x:c>
      <x:c r="V1878" s="24" t="str">
        <x:v>Programa de Parcerias ZEISS</x:v>
      </x:c>
      <x:c r="W1878" s="24" t="n">
        <x:v>28</x:v>
      </x:c>
      <x:c r="X1878" s="24" t="str">
        <x:v>tabela_zeiss.pdf</x:v>
      </x:c>
      <x:c r="Y1878" s="24" t="str">
        <x:v>alta</x:v>
      </x:c>
      <x:c r="Z1878" s="24"/>
      <x:c r="AA1878" s="24" t="str">
        <x:v>ZEISS|Visão Simples Especial|Surfaçada|DriveSafe|PhotoFusion X|Poli||DURAVISION® DRIVESAFE|-10.00 a +8.00|-4.00|-|70|||28</x:v>
      </x:c>
    </x:row>
    <x:row r="1879">
      <x:c r="A1879" s="24" t="str">
        <x:v>ZS-B31B650B8D2B</x:v>
      </x:c>
      <x:c r="B1879" s="24" t="str">
        <x:v>SIM</x:v>
      </x:c>
      <x:c r="C1879" s="24" t="str">
        <x:v>DISPONÍVEL</x:v>
      </x:c>
      <x:c r="D1879" s="24" t="str">
        <x:v>ZEISS</x:v>
      </x:c>
      <x:c r="E1879" s="24" t="str">
        <x:v>Visão Simples Especial</x:v>
      </x:c>
      <x:c r="F1879" s="24" t="str">
        <x:v>Surfaçada</x:v>
      </x:c>
      <x:c r="G1879" s="24" t="str">
        <x:v>DriveSafe</x:v>
      </x:c>
      <x:c r="H1879" s="24" t="str">
        <x:v>PhotoFusion X</x:v>
      </x:c>
      <x:c r="I1879" s="24" t="str">
        <x:v>1.6</x:v>
      </x:c>
      <x:c r="J1879" s="24" t="str">
        <x:v>1.60</x:v>
      </x:c>
      <x:c r="K1879" s="24" t="str">
        <x:v>DURAVISION® DRIVESAFE</x:v>
      </x:c>
      <x:c r="L1879" s="40" t="n">
        <x:v>4140</x:v>
      </x:c>
      <x:c r="M1879" s="24" t="str">
        <x:v>-6.00 a +8.00</x:v>
      </x:c>
      <x:c r="N1879" s="24" t="str">
        <x:v>-4.00</x:v>
      </x:c>
      <x:c r="O1879" s="24" t="str">
        <x:v>-</x:v>
      </x:c>
      <x:c r="P1879" s="24" t="str">
        <x:v>75</x:v>
      </x:c>
      <x:c r="Q1879" s="24"/>
      <x:c r="R1879" s="24"/>
      <x:c r="S1879" s="26" t="n">
        <x:v>46113</x:v>
      </x:c>
      <x:c r="T1879" s="26"/>
      <x:c r="U1879" s="24" t="str">
        <x:v>ATIVA/SEM FIM INFORMADO</x:v>
      </x:c>
      <x:c r="V1879" s="24" t="str">
        <x:v>Programa de Parcerias ZEISS</x:v>
      </x:c>
      <x:c r="W1879" s="24" t="n">
        <x:v>28</x:v>
      </x:c>
      <x:c r="X1879" s="24" t="str">
        <x:v>tabela_zeiss.pdf</x:v>
      </x:c>
      <x:c r="Y1879" s="24" t="str">
        <x:v>alta</x:v>
      </x:c>
      <x:c r="Z1879" s="24"/>
      <x:c r="AA1879" s="24" t="str">
        <x:v>ZEISS|Visão Simples Especial|Surfaçada|DriveSafe|PhotoFusion X|1.6|1.60|DURAVISION® DRIVESAFE|-6.00 a +8.00|-4.00|-|75|||28</x:v>
      </x:c>
    </x:row>
    <x:row r="1880">
      <x:c r="A1880" s="24" t="str">
        <x:v>ZS-77AFE5AB17EE</x:v>
      </x:c>
      <x:c r="B1880" s="24" t="str">
        <x:v>SIM</x:v>
      </x:c>
      <x:c r="C1880" s="24" t="str">
        <x:v>DISPONÍVEL</x:v>
      </x:c>
      <x:c r="D1880" s="24" t="str">
        <x:v>ZEISS</x:v>
      </x:c>
      <x:c r="E1880" s="24" t="str">
        <x:v>Visão Simples Especial</x:v>
      </x:c>
      <x:c r="F1880" s="24" t="str">
        <x:v>Surfaçada</x:v>
      </x:c>
      <x:c r="G1880" s="24" t="str">
        <x:v>DriveSafe</x:v>
      </x:c>
      <x:c r="H1880" s="24" t="str">
        <x:v>PhotoFusion X</x:v>
      </x:c>
      <x:c r="I1880" s="24" t="str">
        <x:v>1.67</x:v>
      </x:c>
      <x:c r="J1880" s="24" t="str">
        <x:v>1.67</x:v>
      </x:c>
      <x:c r="K1880" s="24" t="str">
        <x:v>DURAVISION® DRIVESAFE</x:v>
      </x:c>
      <x:c r="L1880" s="40" t="n">
        <x:v>5440</x:v>
      </x:c>
      <x:c r="M1880" s="24" t="str">
        <x:v>-8.00 a +8.00</x:v>
      </x:c>
      <x:c r="N1880" s="24" t="str">
        <x:v>-6.00</x:v>
      </x:c>
      <x:c r="O1880" s="24" t="str">
        <x:v>-</x:v>
      </x:c>
      <x:c r="P1880" s="24" t="str">
        <x:v>70</x:v>
      </x:c>
      <x:c r="Q1880" s="24"/>
      <x:c r="R1880" s="24"/>
      <x:c r="S1880" s="26" t="n">
        <x:v>46113</x:v>
      </x:c>
      <x:c r="T1880" s="26"/>
      <x:c r="U1880" s="24" t="str">
        <x:v>ATIVA/SEM FIM INFORMADO</x:v>
      </x:c>
      <x:c r="V1880" s="24" t="str">
        <x:v>Programa de Parcerias ZEISS</x:v>
      </x:c>
      <x:c r="W1880" s="24" t="n">
        <x:v>28</x:v>
      </x:c>
      <x:c r="X1880" s="24" t="str">
        <x:v>tabela_zeiss.pdf</x:v>
      </x:c>
      <x:c r="Y1880" s="24" t="str">
        <x:v>alta</x:v>
      </x:c>
      <x:c r="Z1880" s="24"/>
      <x:c r="AA1880" s="24" t="str">
        <x:v>ZEISS|Visão Simples Especial|Surfaçada|DriveSafe|PhotoFusion X|1.67|1.67|DURAVISION® DRIVESAFE|-8.00 a +8.00|-6.00|-|70|||28</x:v>
      </x:c>
    </x:row>
    <x:row r="1881">
      <x:c r="A1881" s="24" t="str">
        <x:v>ZS-875214234F41</x:v>
      </x:c>
      <x:c r="B1881" s="24" t="str">
        <x:v>SIM</x:v>
      </x:c>
      <x:c r="C1881" s="24" t="str">
        <x:v>DISPONÍVEL</x:v>
      </x:c>
      <x:c r="D1881" s="24" t="str">
        <x:v>ZEISS</x:v>
      </x:c>
      <x:c r="E1881" s="24" t="str">
        <x:v>Visão Simples Especial</x:v>
      </x:c>
      <x:c r="F1881" s="24" t="str">
        <x:v>Surfaçada</x:v>
      </x:c>
      <x:c r="G1881" s="24" t="str">
        <x:v>DriveSafe</x:v>
      </x:c>
      <x:c r="H1881" s="24" t="str">
        <x:v>PhotoFusion X Extra Dark Cinza</x:v>
      </x:c>
      <x:c r="I1881" s="24" t="str">
        <x:v>1.5</x:v>
      </x:c>
      <x:c r="J1881" s="24" t="str">
        <x:v>1.50</x:v>
      </x:c>
      <x:c r="K1881" s="24" t="str">
        <x:v>DURAVISION® DRIVESAFE</x:v>
      </x:c>
      <x:c r="L1881" s="40" t="n">
        <x:v>3610</x:v>
      </x:c>
      <x:c r="M1881" s="24" t="str">
        <x:v>-6.00 a +6.00</x:v>
      </x:c>
      <x:c r="N1881" s="24" t="str">
        <x:v>-4.00</x:v>
      </x:c>
      <x:c r="O1881" s="24" t="str">
        <x:v>-</x:v>
      </x:c>
      <x:c r="P1881" s="24" t="str">
        <x:v>75</x:v>
      </x:c>
      <x:c r="Q1881" s="24"/>
      <x:c r="R1881" s="24"/>
      <x:c r="S1881" s="26" t="n">
        <x:v>46113</x:v>
      </x:c>
      <x:c r="T1881" s="26"/>
      <x:c r="U1881" s="24" t="str">
        <x:v>ATIVA/SEM FIM INFORMADO</x:v>
      </x:c>
      <x:c r="V1881" s="24" t="str">
        <x:v>Programa de Parcerias ZEISS</x:v>
      </x:c>
      <x:c r="W1881" s="24" t="n">
        <x:v>28</x:v>
      </x:c>
      <x:c r="X1881" s="24" t="str">
        <x:v>tabela_zeiss.pdf</x:v>
      </x:c>
      <x:c r="Y1881" s="24" t="str">
        <x:v>alta</x:v>
      </x:c>
      <x:c r="Z1881" s="24"/>
      <x:c r="AA1881" s="24" t="str">
        <x:v>ZEISS|Visão Simples Especial|Surfaçada|DriveSafe|PhotoFusion X Extra Dark Cinza|1.5|1.50|DURAVISION® DRIVESAFE|-6.00 a +6.00|-4.00|-|75|||28</x:v>
      </x:c>
    </x:row>
    <x:row r="1882">
      <x:c r="A1882" s="24" t="str">
        <x:v>ZS-8B464EC06A3A</x:v>
      </x:c>
      <x:c r="B1882" s="24" t="str">
        <x:v>SIM</x:v>
      </x:c>
      <x:c r="C1882" s="24" t="str">
        <x:v>DISPONÍVEL</x:v>
      </x:c>
      <x:c r="D1882" s="24" t="str">
        <x:v>ZEISS</x:v>
      </x:c>
      <x:c r="E1882" s="24" t="str">
        <x:v>Visão Simples Especial</x:v>
      </x:c>
      <x:c r="F1882" s="24" t="str">
        <x:v>Surfaçada</x:v>
      </x:c>
      <x:c r="G1882" s="24" t="str">
        <x:v>DriveSafe</x:v>
      </x:c>
      <x:c r="H1882" s="24" t="str">
        <x:v>PhotoFusion X Extra Dark Cinza</x:v>
      </x:c>
      <x:c r="I1882" s="24" t="str">
        <x:v>Poli</x:v>
      </x:c>
      <x:c r="J1882" s="24"/>
      <x:c r="K1882" s="24" t="str">
        <x:v>DURAVISION® DRIVESAFE</x:v>
      </x:c>
      <x:c r="L1882" s="40" t="n">
        <x:v>3970</x:v>
      </x:c>
      <x:c r="M1882" s="24" t="str">
        <x:v>-10.00 a +8.00</x:v>
      </x:c>
      <x:c r="N1882" s="24" t="str">
        <x:v>-4.00</x:v>
      </x:c>
      <x:c r="O1882" s="24" t="str">
        <x:v>-</x:v>
      </x:c>
      <x:c r="P1882" s="24" t="str">
        <x:v>70</x:v>
      </x:c>
      <x:c r="Q1882" s="24"/>
      <x:c r="R1882" s="24"/>
      <x:c r="S1882" s="26" t="n">
        <x:v>46113</x:v>
      </x:c>
      <x:c r="T1882" s="26"/>
      <x:c r="U1882" s="24" t="str">
        <x:v>ATIVA/SEM FIM INFORMADO</x:v>
      </x:c>
      <x:c r="V1882" s="24" t="str">
        <x:v>Programa de Parcerias ZEISS</x:v>
      </x:c>
      <x:c r="W1882" s="24" t="n">
        <x:v>28</x:v>
      </x:c>
      <x:c r="X1882" s="24" t="str">
        <x:v>tabela_zeiss.pdf</x:v>
      </x:c>
      <x:c r="Y1882" s="24" t="str">
        <x:v>alta</x:v>
      </x:c>
      <x:c r="Z1882" s="24"/>
      <x:c r="AA1882" s="24" t="str">
        <x:v>ZEISS|Visão Simples Especial|Surfaçada|DriveSafe|PhotoFusion X Extra Dark Cinza|Poli||DURAVISION® DRIVESAFE|-10.00 a +8.00|-4.00|-|70|||28</x:v>
      </x:c>
    </x:row>
    <x:row r="1883">
      <x:c r="A1883" s="24" t="str">
        <x:v>ZS-BB90CCF40830</x:v>
      </x:c>
      <x:c r="B1883" s="24" t="str">
        <x:v>SIM</x:v>
      </x:c>
      <x:c r="C1883" s="24" t="str">
        <x:v>DISPONÍVEL</x:v>
      </x:c>
      <x:c r="D1883" s="24" t="str">
        <x:v>ZEISS</x:v>
      </x:c>
      <x:c r="E1883" s="24" t="str">
        <x:v>Visão Simples Especial</x:v>
      </x:c>
      <x:c r="F1883" s="24" t="str">
        <x:v>Surfaçada</x:v>
      </x:c>
      <x:c r="G1883" s="24" t="str">
        <x:v>DriveSafe</x:v>
      </x:c>
      <x:c r="H1883" s="24" t="str">
        <x:v>PhotoFusion X Extra Dark Cinza</x:v>
      </x:c>
      <x:c r="I1883" s="24" t="str">
        <x:v>1.6</x:v>
      </x:c>
      <x:c r="J1883" s="24" t="str">
        <x:v>1.60</x:v>
      </x:c>
      <x:c r="K1883" s="24" t="str">
        <x:v>DURAVISION® DRIVESAFE</x:v>
      </x:c>
      <x:c r="L1883" s="40" t="n">
        <x:v>4190</x:v>
      </x:c>
      <x:c r="M1883" s="24" t="str">
        <x:v>-6.00 a +8.00</x:v>
      </x:c>
      <x:c r="N1883" s="24" t="str">
        <x:v>-4.00</x:v>
      </x:c>
      <x:c r="O1883" s="24" t="str">
        <x:v>-</x:v>
      </x:c>
      <x:c r="P1883" s="24" t="str">
        <x:v>75</x:v>
      </x:c>
      <x:c r="Q1883" s="24"/>
      <x:c r="R1883" s="24"/>
      <x:c r="S1883" s="26" t="n">
        <x:v>46113</x:v>
      </x:c>
      <x:c r="T1883" s="26"/>
      <x:c r="U1883" s="24" t="str">
        <x:v>ATIVA/SEM FIM INFORMADO</x:v>
      </x:c>
      <x:c r="V1883" s="24" t="str">
        <x:v>Programa de Parcerias ZEISS</x:v>
      </x:c>
      <x:c r="W1883" s="24" t="n">
        <x:v>28</x:v>
      </x:c>
      <x:c r="X1883" s="24" t="str">
        <x:v>tabela_zeiss.pdf</x:v>
      </x:c>
      <x:c r="Y1883" s="24" t="str">
        <x:v>alta</x:v>
      </x:c>
      <x:c r="Z1883" s="24"/>
      <x:c r="AA1883" s="24" t="str">
        <x:v>ZEISS|Visão Simples Especial|Surfaçada|DriveSafe|PhotoFusion X Extra Dark Cinza|1.6|1.60|DURAVISION® DRIVESAFE|-6.00 a +8.00|-4.00|-|75|||28</x:v>
      </x:c>
    </x:row>
    <x:row r="1884">
      <x:c r="A1884" s="24" t="str">
        <x:v>ZS-5C3F567F1FD1</x:v>
      </x:c>
      <x:c r="B1884" s="24" t="str">
        <x:v>SIM</x:v>
      </x:c>
      <x:c r="C1884" s="24" t="str">
        <x:v>DISPONÍVEL</x:v>
      </x:c>
      <x:c r="D1884" s="24" t="str">
        <x:v>ZEISS</x:v>
      </x:c>
      <x:c r="E1884" s="24" t="str">
        <x:v>Visão Simples Especial</x:v>
      </x:c>
      <x:c r="F1884" s="24" t="str">
        <x:v>Surfaçada</x:v>
      </x:c>
      <x:c r="G1884" s="24" t="str">
        <x:v>DriveSafe</x:v>
      </x:c>
      <x:c r="H1884" s="24" t="str">
        <x:v>PhotoFusion X Extra Dark Cinza</x:v>
      </x:c>
      <x:c r="I1884" s="24" t="str">
        <x:v>1.67</x:v>
      </x:c>
      <x:c r="J1884" s="24" t="str">
        <x:v>1.67</x:v>
      </x:c>
      <x:c r="K1884" s="24" t="str">
        <x:v>DURAVISION® DRIVESAFE</x:v>
      </x:c>
      <x:c r="L1884" s="40" t="n">
        <x:v>5490</x:v>
      </x:c>
      <x:c r="M1884" s="24" t="str">
        <x:v>-8.00 a +8.00</x:v>
      </x:c>
      <x:c r="N1884" s="24" t="str">
        <x:v>-6.00</x:v>
      </x:c>
      <x:c r="O1884" s="24" t="str">
        <x:v>-</x:v>
      </x:c>
      <x:c r="P1884" s="24" t="str">
        <x:v>70</x:v>
      </x:c>
      <x:c r="Q1884" s="24"/>
      <x:c r="R1884" s="24"/>
      <x:c r="S1884" s="26" t="n">
        <x:v>46113</x:v>
      </x:c>
      <x:c r="T1884" s="26"/>
      <x:c r="U1884" s="24" t="str">
        <x:v>ATIVA/SEM FIM INFORMADO</x:v>
      </x:c>
      <x:c r="V1884" s="24" t="str">
        <x:v>Programa de Parcerias ZEISS</x:v>
      </x:c>
      <x:c r="W1884" s="24" t="n">
        <x:v>28</x:v>
      </x:c>
      <x:c r="X1884" s="24" t="str">
        <x:v>tabela_zeiss.pdf</x:v>
      </x:c>
      <x:c r="Y1884" s="24" t="str">
        <x:v>alta</x:v>
      </x:c>
      <x:c r="Z1884" s="24"/>
      <x:c r="AA1884" s="24" t="str">
        <x:v>ZEISS|Visão Simples Especial|Surfaçada|DriveSafe|PhotoFusion X Extra Dark Cinza|1.67|1.67|DURAVISION® DRIVESAFE|-8.00 a +8.00|-6.00|-|70|||28</x:v>
      </x:c>
    </x:row>
    <x:row r="1885">
      <x:c r="A1885" s="24" t="str">
        <x:v>ZS-D19661734C6B</x:v>
      </x:c>
      <x:c r="B1885" s="24" t="str">
        <x:v>SIM</x:v>
      </x:c>
      <x:c r="C1885" s="24" t="str">
        <x:v>DISPONÍVEL</x:v>
      </x:c>
      <x:c r="D1885" s="24" t="str">
        <x:v>ZEISS</x:v>
      </x:c>
      <x:c r="E1885" s="24" t="str">
        <x:v>Visão Simples Especial</x:v>
      </x:c>
      <x:c r="F1885" s="24" t="str">
        <x:v>Surfaçada</x:v>
      </x:c>
      <x:c r="G1885" s="24" t="str">
        <x:v>DriveSafe</x:v>
      </x:c>
      <x:c r="H1885" s="24" t="str">
        <x:v>Polarizada</x:v>
      </x:c>
      <x:c r="I1885" s="24" t="str">
        <x:v>1.5</x:v>
      </x:c>
      <x:c r="J1885" s="24" t="str">
        <x:v>1.50</x:v>
      </x:c>
      <x:c r="K1885" s="24" t="str">
        <x:v>DURAVISION® DRIVESAFE</x:v>
      </x:c>
      <x:c r="L1885" s="40" t="n">
        <x:v>2980</x:v>
      </x:c>
      <x:c r="M1885" s="24" t="str">
        <x:v>-6.00 a +6.00</x:v>
      </x:c>
      <x:c r="N1885" s="24" t="str">
        <x:v>-4.00</x:v>
      </x:c>
      <x:c r="O1885" s="24" t="str">
        <x:v>-</x:v>
      </x:c>
      <x:c r="P1885" s="24" t="str">
        <x:v>75</x:v>
      </x:c>
      <x:c r="Q1885" s="24"/>
      <x:c r="R1885" s="24"/>
      <x:c r="S1885" s="26" t="n">
        <x:v>46113</x:v>
      </x:c>
      <x:c r="T1885" s="26"/>
      <x:c r="U1885" s="24" t="str">
        <x:v>ATIVA/SEM FIM INFORMADO</x:v>
      </x:c>
      <x:c r="V1885" s="24"/>
      <x:c r="W1885" s="24" t="n">
        <x:v>28</x:v>
      </x:c>
      <x:c r="X1885" s="24" t="str">
        <x:v>tabela_zeiss.pdf</x:v>
      </x:c>
      <x:c r="Y1885" s="24" t="str">
        <x:v>alta</x:v>
      </x:c>
      <x:c r="Z1885" s="24"/>
      <x:c r="AA1885" s="24" t="str">
        <x:v>ZEISS|Visão Simples Especial|Surfaçada|DriveSafe|Polarizada|1.5|1.50|DURAVISION® DRIVESAFE|-6.00 a +6.00|-4.00|-|75|||28</x:v>
      </x:c>
    </x:row>
    <x:row r="1886">
      <x:c r="A1886" s="24" t="str">
        <x:v>ZS-320CF16579D1</x:v>
      </x:c>
      <x:c r="B1886" s="24" t="str">
        <x:v>SIM</x:v>
      </x:c>
      <x:c r="C1886" s="24" t="str">
        <x:v>DISPONÍVEL</x:v>
      </x:c>
      <x:c r="D1886" s="24" t="str">
        <x:v>ZEISS</x:v>
      </x:c>
      <x:c r="E1886" s="24" t="str">
        <x:v>Visão Simples Especial</x:v>
      </x:c>
      <x:c r="F1886" s="24" t="str">
        <x:v>Surfaçada</x:v>
      </x:c>
      <x:c r="G1886" s="24" t="str">
        <x:v>DriveSafe</x:v>
      </x:c>
      <x:c r="H1886" s="24" t="str">
        <x:v>Polarizada</x:v>
      </x:c>
      <x:c r="I1886" s="24" t="str">
        <x:v>1.6</x:v>
      </x:c>
      <x:c r="J1886" s="24" t="str">
        <x:v>1.60</x:v>
      </x:c>
      <x:c r="K1886" s="24" t="str">
        <x:v>DURAVISION® DRIVESAFE</x:v>
      </x:c>
      <x:c r="L1886" s="40" t="n">
        <x:v>3560</x:v>
      </x:c>
      <x:c r="M1886" s="24" t="str">
        <x:v>-8.00 a +8.00</x:v>
      </x:c>
      <x:c r="N1886" s="24" t="str">
        <x:v>-4.00</x:v>
      </x:c>
      <x:c r="O1886" s="24" t="str">
        <x:v>-</x:v>
      </x:c>
      <x:c r="P1886" s="24" t="str">
        <x:v>70</x:v>
      </x:c>
      <x:c r="Q1886" s="24"/>
      <x:c r="R1886" s="24"/>
      <x:c r="S1886" s="26" t="n">
        <x:v>46113</x:v>
      </x:c>
      <x:c r="T1886" s="26"/>
      <x:c r="U1886" s="24" t="str">
        <x:v>ATIVA/SEM FIM INFORMADO</x:v>
      </x:c>
      <x:c r="V1886" s="24"/>
      <x:c r="W1886" s="24" t="n">
        <x:v>28</x:v>
      </x:c>
      <x:c r="X1886" s="24" t="str">
        <x:v>tabela_zeiss.pdf</x:v>
      </x:c>
      <x:c r="Y1886" s="24" t="str">
        <x:v>alta</x:v>
      </x:c>
      <x:c r="Z1886" s="24"/>
      <x:c r="AA1886" s="24" t="str">
        <x:v>ZEISS|Visão Simples Especial|Surfaçada|DriveSafe|Polarizada|1.6|1.60|DURAVISION® DRIVESAFE|-8.00 a +8.00|-4.00|-|70|||28</x:v>
      </x:c>
    </x:row>
    <x:row r="1887">
      <x:c r="A1887" s="24" t="str">
        <x:v>ZS-E0238F297EE8</x:v>
      </x:c>
      <x:c r="B1887" s="24" t="str">
        <x:v>SIM</x:v>
      </x:c>
      <x:c r="C1887" s="24" t="str">
        <x:v>DISPONÍVEL</x:v>
      </x:c>
      <x:c r="D1887" s="24" t="str">
        <x:v>ZEISS</x:v>
      </x:c>
      <x:c r="E1887" s="24" t="str">
        <x:v>Visão Simples Especial</x:v>
      </x:c>
      <x:c r="F1887" s="24" t="str">
        <x:v>Surfaçada</x:v>
      </x:c>
      <x:c r="G1887" s="24" t="str">
        <x:v>Sport</x:v>
      </x:c>
      <x:c r="H1887" s="24"/>
      <x:c r="I1887" s="24" t="str">
        <x:v>1.5</x:v>
      </x:c>
      <x:c r="J1887" s="24" t="str">
        <x:v>1.50</x:v>
      </x:c>
      <x:c r="K1887" s="24" t="str">
        <x:v>DuraVision Gold UV</x:v>
      </x:c>
      <x:c r="L1887" s="40" t="n">
        <x:v>2510</x:v>
      </x:c>
      <x:c r="M1887" s="24" t="str">
        <x:v>-4.00 a +4.00</x:v>
      </x:c>
      <x:c r="N1887" s="24" t="str">
        <x:v>-4.00</x:v>
      </x:c>
      <x:c r="O1887" s="24" t="str">
        <x:v>85</x:v>
      </x:c>
      <x:c r="P1887" s="24" t="str">
        <x:v>3.00</x:v>
      </x:c>
      <x:c r="Q1887" s="24"/>
      <x:c r="R1887" s="24"/>
      <x:c r="S1887" s="26" t="n">
        <x:v>46113</x:v>
      </x:c>
      <x:c r="T1887" s="26"/>
      <x:c r="U1887" s="24" t="str">
        <x:v>ATIVA/SEM FIM INFORMADO</x:v>
      </x:c>
      <x:c r="V1887" s="24"/>
      <x:c r="W1887" s="24" t="n">
        <x:v>29</x:v>
      </x:c>
      <x:c r="X1887" s="24" t="str">
        <x:v>tabela_zeiss.pdf</x:v>
      </x:c>
      <x:c r="Y1887" s="24" t="str">
        <x:v>alta</x:v>
      </x:c>
      <x:c r="Z1887" s="24"/>
      <x:c r="AA1887" s="24" t="str">
        <x:v>ZEISS|Visão Simples Especial|Surfaçada|Sport||1.5|1.50|DuraVision Gold UV|-4.00 a +4.00|-4.00|85|3.00|||29</x:v>
      </x:c>
    </x:row>
    <x:row r="1888">
      <x:c r="A1888" s="24" t="str">
        <x:v>ZS-FA870410649C</x:v>
      </x:c>
      <x:c r="B1888" s="24" t="str">
        <x:v>SIM</x:v>
      </x:c>
      <x:c r="C1888" s="24" t="str">
        <x:v>DISPONÍVEL</x:v>
      </x:c>
      <x:c r="D1888" s="24" t="str">
        <x:v>ZEISS</x:v>
      </x:c>
      <x:c r="E1888" s="24" t="str">
        <x:v>Visão Simples Especial</x:v>
      </x:c>
      <x:c r="F1888" s="24" t="str">
        <x:v>Surfaçada</x:v>
      </x:c>
      <x:c r="G1888" s="24" t="str">
        <x:v>Sport</x:v>
      </x:c>
      <x:c r="H1888" s="24"/>
      <x:c r="I1888" s="24" t="str">
        <x:v>1.5</x:v>
      </x:c>
      <x:c r="J1888" s="24" t="str">
        <x:v>1.50</x:v>
      </x:c>
      <x:c r="K1888" s="24" t="str">
        <x:v>DURAVISION® ANTIVÍRUS PLATINUM UV</x:v>
      </x:c>
      <x:c r="L1888" s="40" t="n">
        <x:v>2370</x:v>
      </x:c>
      <x:c r="M1888" s="24" t="str">
        <x:v>-4.00 a +4.00</x:v>
      </x:c>
      <x:c r="N1888" s="24" t="str">
        <x:v>-4.00</x:v>
      </x:c>
      <x:c r="O1888" s="24" t="str">
        <x:v>85</x:v>
      </x:c>
      <x:c r="P1888" s="24" t="str">
        <x:v>3.00</x:v>
      </x:c>
      <x:c r="Q1888" s="24"/>
      <x:c r="R1888" s="24"/>
      <x:c r="S1888" s="26" t="n">
        <x:v>46113</x:v>
      </x:c>
      <x:c r="T1888" s="26"/>
      <x:c r="U1888" s="24" t="str">
        <x:v>ATIVA/SEM FIM INFORMADO</x:v>
      </x:c>
      <x:c r="V1888" s="24"/>
      <x:c r="W1888" s="24" t="n">
        <x:v>29</x:v>
      </x:c>
      <x:c r="X1888" s="24" t="str">
        <x:v>tabela_zeiss.pdf</x:v>
      </x:c>
      <x:c r="Y1888" s="24" t="str">
        <x:v>alta</x:v>
      </x:c>
      <x:c r="Z1888" s="24"/>
      <x:c r="AA1888" s="24" t="str">
        <x:v>ZEISS|Visão Simples Especial|Surfaçada|Sport||1.5|1.50|DURAVISION® ANTIVÍRUS PLATINUM UV|-4.00 a +4.00|-4.00|85|3.00|||29</x:v>
      </x:c>
    </x:row>
    <x:row r="1889">
      <x:c r="A1889" s="24" t="str">
        <x:v>ZS-73C63E13CF7C</x:v>
      </x:c>
      <x:c r="B1889" s="24" t="str">
        <x:v>SIM</x:v>
      </x:c>
      <x:c r="C1889" s="24" t="str">
        <x:v>DISPONÍVEL</x:v>
      </x:c>
      <x:c r="D1889" s="24" t="str">
        <x:v>ZEISS</x:v>
      </x:c>
      <x:c r="E1889" s="24" t="str">
        <x:v>Visão Simples Especial</x:v>
      </x:c>
      <x:c r="F1889" s="24" t="str">
        <x:v>Surfaçada</x:v>
      </x:c>
      <x:c r="G1889" s="24" t="str">
        <x:v>Sport</x:v>
      </x:c>
      <x:c r="H1889" s="24"/>
      <x:c r="I1889" s="24" t="str">
        <x:v>1.5</x:v>
      </x:c>
      <x:c r="J1889" s="24" t="str">
        <x:v>1.50</x:v>
      </x:c>
      <x:c r="K1889" s="24" t="str">
        <x:v>DuraVision Platinum UV</x:v>
      </x:c>
      <x:c r="L1889" s="40" t="n">
        <x:v>2370</x:v>
      </x:c>
      <x:c r="M1889" s="24" t="str">
        <x:v>-4.00 a +4.00</x:v>
      </x:c>
      <x:c r="N1889" s="24" t="str">
        <x:v>-4.00</x:v>
      </x:c>
      <x:c r="O1889" s="24" t="str">
        <x:v>85</x:v>
      </x:c>
      <x:c r="P1889" s="24" t="str">
        <x:v>3.00</x:v>
      </x:c>
      <x:c r="Q1889" s="24"/>
      <x:c r="R1889" s="24"/>
      <x:c r="S1889" s="26" t="n">
        <x:v>46113</x:v>
      </x:c>
      <x:c r="T1889" s="26"/>
      <x:c r="U1889" s="24" t="str">
        <x:v>ATIVA/SEM FIM INFORMADO</x:v>
      </x:c>
      <x:c r="V1889" s="24"/>
      <x:c r="W1889" s="24" t="n">
        <x:v>29</x:v>
      </x:c>
      <x:c r="X1889" s="24" t="str">
        <x:v>tabela_zeiss.pdf</x:v>
      </x:c>
      <x:c r="Y1889" s="24" t="str">
        <x:v>alta</x:v>
      </x:c>
      <x:c r="Z1889" s="24"/>
      <x:c r="AA1889" s="24" t="str">
        <x:v>ZEISS|Visão Simples Especial|Surfaçada|Sport||1.5|1.50|DuraVision Platinum UV|-4.00 a +4.00|-4.00|85|3.00|||29</x:v>
      </x:c>
    </x:row>
    <x:row r="1890">
      <x:c r="A1890" s="24" t="str">
        <x:v>ZS-097A49B5AC81</x:v>
      </x:c>
      <x:c r="B1890" s="24" t="str">
        <x:v>SIM</x:v>
      </x:c>
      <x:c r="C1890" s="24" t="str">
        <x:v>DISPONÍVEL</x:v>
      </x:c>
      <x:c r="D1890" s="24" t="str">
        <x:v>ZEISS</x:v>
      </x:c>
      <x:c r="E1890" s="24" t="str">
        <x:v>Visão Simples Especial</x:v>
      </x:c>
      <x:c r="F1890" s="24" t="str">
        <x:v>Surfaçada</x:v>
      </x:c>
      <x:c r="G1890" s="24" t="str">
        <x:v>Sport</x:v>
      </x:c>
      <x:c r="H1890" s="24"/>
      <x:c r="I1890" s="24" t="str">
        <x:v>1.5</x:v>
      </x:c>
      <x:c r="J1890" s="24" t="str">
        <x:v>1.50</x:v>
      </x:c>
      <x:c r="K1890" s="24" t="str">
        <x:v>DuraVision Silver UV</x:v>
      </x:c>
      <x:c r="L1890" s="40" t="n">
        <x:v>2110</x:v>
      </x:c>
      <x:c r="M1890" s="24" t="str">
        <x:v>-4.00 a +4.00</x:v>
      </x:c>
      <x:c r="N1890" s="24" t="str">
        <x:v>-4.00</x:v>
      </x:c>
      <x:c r="O1890" s="24" t="str">
        <x:v>85</x:v>
      </x:c>
      <x:c r="P1890" s="24" t="str">
        <x:v>3.00</x:v>
      </x:c>
      <x:c r="Q1890" s="24"/>
      <x:c r="R1890" s="24"/>
      <x:c r="S1890" s="26" t="n">
        <x:v>46113</x:v>
      </x:c>
      <x:c r="T1890" s="26"/>
      <x:c r="U1890" s="24" t="str">
        <x:v>ATIVA/SEM FIM INFORMADO</x:v>
      </x:c>
      <x:c r="V1890" s="24"/>
      <x:c r="W1890" s="24" t="n">
        <x:v>29</x:v>
      </x:c>
      <x:c r="X1890" s="24" t="str">
        <x:v>tabela_zeiss.pdf</x:v>
      </x:c>
      <x:c r="Y1890" s="24" t="str">
        <x:v>alta</x:v>
      </x:c>
      <x:c r="Z1890" s="24"/>
      <x:c r="AA1890" s="24" t="str">
        <x:v>ZEISS|Visão Simples Especial|Surfaçada|Sport||1.5|1.50|DuraVision Silver UV|-4.00 a +4.00|-4.00|85|3.00|||29</x:v>
      </x:c>
    </x:row>
    <x:row r="1891">
      <x:c r="A1891" s="24" t="str">
        <x:v>ZS-012E4C542C56</x:v>
      </x:c>
      <x:c r="B1891" s="24" t="str">
        <x:v>SIM</x:v>
      </x:c>
      <x:c r="C1891" s="24" t="str">
        <x:v>DISPONÍVEL</x:v>
      </x:c>
      <x:c r="D1891" s="24" t="str">
        <x:v>ZEISS</x:v>
      </x:c>
      <x:c r="E1891" s="24" t="str">
        <x:v>Visão Simples Especial</x:v>
      </x:c>
      <x:c r="F1891" s="24" t="str">
        <x:v>Surfaçada</x:v>
      </x:c>
      <x:c r="G1891" s="24" t="str">
        <x:v>Sport</x:v>
      </x:c>
      <x:c r="H1891" s="24"/>
      <x:c r="I1891" s="24" t="str">
        <x:v>1.5</x:v>
      </x:c>
      <x:c r="J1891" s="24" t="str">
        <x:v>1.50</x:v>
      </x:c>
      <x:c r="K1891" s="24" t="str">
        <x:v>DuraVision Chrome UV</x:v>
      </x:c>
      <x:c r="L1891" s="40" t="n">
        <x:v>1620</x:v>
      </x:c>
      <x:c r="M1891" s="24" t="str">
        <x:v>-4.00 a +4.00</x:v>
      </x:c>
      <x:c r="N1891" s="24" t="str">
        <x:v>-4.00</x:v>
      </x:c>
      <x:c r="O1891" s="24" t="str">
        <x:v>85</x:v>
      </x:c>
      <x:c r="P1891" s="24" t="str">
        <x:v>3.00</x:v>
      </x:c>
      <x:c r="Q1891" s="24"/>
      <x:c r="R1891" s="24"/>
      <x:c r="S1891" s="26" t="n">
        <x:v>46113</x:v>
      </x:c>
      <x:c r="T1891" s="26"/>
      <x:c r="U1891" s="24" t="str">
        <x:v>ATIVA/SEM FIM INFORMADO</x:v>
      </x:c>
      <x:c r="V1891" s="24"/>
      <x:c r="W1891" s="24" t="n">
        <x:v>29</x:v>
      </x:c>
      <x:c r="X1891" s="24" t="str">
        <x:v>tabela_zeiss.pdf</x:v>
      </x:c>
      <x:c r="Y1891" s="24" t="str">
        <x:v>alta</x:v>
      </x:c>
      <x:c r="Z1891" s="24"/>
      <x:c r="AA1891" s="24" t="str">
        <x:v>ZEISS|Visão Simples Especial|Surfaçada|Sport||1.5|1.50|DuraVision Chrome UV|-4.00 a +4.00|-4.00|85|3.00|||29</x:v>
      </x:c>
    </x:row>
    <x:row r="1892">
      <x:c r="A1892" s="24" t="str">
        <x:v>ZS-10E1FFB83E7A</x:v>
      </x:c>
      <x:c r="B1892" s="24" t="str">
        <x:v>SIM</x:v>
      </x:c>
      <x:c r="C1892" s="24" t="str">
        <x:v>DISPONÍVEL</x:v>
      </x:c>
      <x:c r="D1892" s="24" t="str">
        <x:v>ZEISS</x:v>
      </x:c>
      <x:c r="E1892" s="24" t="str">
        <x:v>Visão Simples Especial</x:v>
      </x:c>
      <x:c r="F1892" s="24" t="str">
        <x:v>Surfaçada</x:v>
      </x:c>
      <x:c r="G1892" s="24" t="str">
        <x:v>Sport</x:v>
      </x:c>
      <x:c r="H1892" s="24"/>
      <x:c r="I1892" s="24" t="str">
        <x:v>Poli</x:v>
      </x:c>
      <x:c r="J1892" s="24"/>
      <x:c r="K1892" s="24" t="str">
        <x:v>DuraVision Gold UV</x:v>
      </x:c>
      <x:c r="L1892" s="40" t="n">
        <x:v>2870</x:v>
      </x:c>
      <x:c r="M1892" s="24" t="str">
        <x:v>-4.00 a +4.00</x:v>
      </x:c>
      <x:c r="N1892" s="24" t="str">
        <x:v>-4.00</x:v>
      </x:c>
      <x:c r="O1892" s="24" t="str">
        <x:v>83</x:v>
      </x:c>
      <x:c r="P1892" s="24" t="str">
        <x:v>3.00</x:v>
      </x:c>
      <x:c r="Q1892" s="24"/>
      <x:c r="R1892" s="24"/>
      <x:c r="S1892" s="26" t="n">
        <x:v>46113</x:v>
      </x:c>
      <x:c r="T1892" s="26"/>
      <x:c r="U1892" s="24" t="str">
        <x:v>ATIVA/SEM FIM INFORMADO</x:v>
      </x:c>
      <x:c r="V1892" s="24"/>
      <x:c r="W1892" s="24" t="n">
        <x:v>29</x:v>
      </x:c>
      <x:c r="X1892" s="24" t="str">
        <x:v>tabela_zeiss.pdf</x:v>
      </x:c>
      <x:c r="Y1892" s="24" t="str">
        <x:v>alta</x:v>
      </x:c>
      <x:c r="Z1892" s="24"/>
      <x:c r="AA1892" s="24" t="str">
        <x:v>ZEISS|Visão Simples Especial|Surfaçada|Sport||Poli||DuraVision Gold UV|-4.00 a +4.00|-4.00|83|3.00|||29</x:v>
      </x:c>
    </x:row>
    <x:row r="1893">
      <x:c r="A1893" s="24" t="str">
        <x:v>ZS-F241BB73B6F6</x:v>
      </x:c>
      <x:c r="B1893" s="24" t="str">
        <x:v>SIM</x:v>
      </x:c>
      <x:c r="C1893" s="24" t="str">
        <x:v>DISPONÍVEL</x:v>
      </x:c>
      <x:c r="D1893" s="24" t="str">
        <x:v>ZEISS</x:v>
      </x:c>
      <x:c r="E1893" s="24" t="str">
        <x:v>Visão Simples Especial</x:v>
      </x:c>
      <x:c r="F1893" s="24" t="str">
        <x:v>Surfaçada</x:v>
      </x:c>
      <x:c r="G1893" s="24" t="str">
        <x:v>Sport</x:v>
      </x:c>
      <x:c r="H1893" s="24"/>
      <x:c r="I1893" s="24" t="str">
        <x:v>Poli</x:v>
      </x:c>
      <x:c r="J1893" s="24"/>
      <x:c r="K1893" s="24" t="str">
        <x:v>DuraVision Platinum UV</x:v>
      </x:c>
      <x:c r="L1893" s="40" t="n">
        <x:v>2730</x:v>
      </x:c>
      <x:c r="M1893" s="24" t="str">
        <x:v>-4.00 a +4.00</x:v>
      </x:c>
      <x:c r="N1893" s="24" t="str">
        <x:v>-4.00</x:v>
      </x:c>
      <x:c r="O1893" s="24" t="str">
        <x:v>83</x:v>
      </x:c>
      <x:c r="P1893" s="24" t="str">
        <x:v>3.00</x:v>
      </x:c>
      <x:c r="Q1893" s="24"/>
      <x:c r="R1893" s="24"/>
      <x:c r="S1893" s="26" t="n">
        <x:v>46113</x:v>
      </x:c>
      <x:c r="T1893" s="26"/>
      <x:c r="U1893" s="24" t="str">
        <x:v>ATIVA/SEM FIM INFORMADO</x:v>
      </x:c>
      <x:c r="V1893" s="24"/>
      <x:c r="W1893" s="24" t="n">
        <x:v>29</x:v>
      </x:c>
      <x:c r="X1893" s="24" t="str">
        <x:v>tabela_zeiss.pdf</x:v>
      </x:c>
      <x:c r="Y1893" s="24" t="str">
        <x:v>alta</x:v>
      </x:c>
      <x:c r="Z1893" s="24"/>
      <x:c r="AA1893" s="24" t="str">
        <x:v>ZEISS|Visão Simples Especial|Surfaçada|Sport||Poli||DuraVision Platinum UV|-4.00 a +4.00|-4.00|83|3.00|||29</x:v>
      </x:c>
    </x:row>
    <x:row r="1894">
      <x:c r="A1894" s="24" t="str">
        <x:v>ZS-8B4AC8DF493C</x:v>
      </x:c>
      <x:c r="B1894" s="24" t="str">
        <x:v>SIM</x:v>
      </x:c>
      <x:c r="C1894" s="24" t="str">
        <x:v>DISPONÍVEL</x:v>
      </x:c>
      <x:c r="D1894" s="24" t="str">
        <x:v>ZEISS</x:v>
      </x:c>
      <x:c r="E1894" s="24" t="str">
        <x:v>Visão Simples Especial</x:v>
      </x:c>
      <x:c r="F1894" s="24" t="str">
        <x:v>Surfaçada</x:v>
      </x:c>
      <x:c r="G1894" s="24" t="str">
        <x:v>Sport</x:v>
      </x:c>
      <x:c r="H1894" s="24"/>
      <x:c r="I1894" s="24" t="str">
        <x:v>Poli</x:v>
      </x:c>
      <x:c r="J1894" s="24"/>
      <x:c r="K1894" s="24" t="str">
        <x:v>DuraVision Silver UV</x:v>
      </x:c>
      <x:c r="L1894" s="40" t="n">
        <x:v>2470</x:v>
      </x:c>
      <x:c r="M1894" s="24" t="str">
        <x:v>-4.00 a +4.00</x:v>
      </x:c>
      <x:c r="N1894" s="24" t="str">
        <x:v>-4.00</x:v>
      </x:c>
      <x:c r="O1894" s="24" t="str">
        <x:v>83</x:v>
      </x:c>
      <x:c r="P1894" s="24" t="str">
        <x:v>3.00</x:v>
      </x:c>
      <x:c r="Q1894" s="24"/>
      <x:c r="R1894" s="24"/>
      <x:c r="S1894" s="26" t="n">
        <x:v>46113</x:v>
      </x:c>
      <x:c r="T1894" s="26"/>
      <x:c r="U1894" s="24" t="str">
        <x:v>ATIVA/SEM FIM INFORMADO</x:v>
      </x:c>
      <x:c r="V1894" s="24"/>
      <x:c r="W1894" s="24" t="n">
        <x:v>29</x:v>
      </x:c>
      <x:c r="X1894" s="24" t="str">
        <x:v>tabela_zeiss.pdf</x:v>
      </x:c>
      <x:c r="Y1894" s="24" t="str">
        <x:v>alta</x:v>
      </x:c>
      <x:c r="Z1894" s="24"/>
      <x:c r="AA1894" s="24" t="str">
        <x:v>ZEISS|Visão Simples Especial|Surfaçada|Sport||Poli||DuraVision Silver UV|-4.00 a +4.00|-4.00|83|3.00|||29</x:v>
      </x:c>
    </x:row>
    <x:row r="1895">
      <x:c r="A1895" s="24" t="str">
        <x:v>ZS-91F76032791C</x:v>
      </x:c>
      <x:c r="B1895" s="24" t="str">
        <x:v>SIM</x:v>
      </x:c>
      <x:c r="C1895" s="24" t="str">
        <x:v>DISPONÍVEL</x:v>
      </x:c>
      <x:c r="D1895" s="24" t="str">
        <x:v>ZEISS</x:v>
      </x:c>
      <x:c r="E1895" s="24" t="str">
        <x:v>Visão Simples Especial</x:v>
      </x:c>
      <x:c r="F1895" s="24" t="str">
        <x:v>Surfaçada</x:v>
      </x:c>
      <x:c r="G1895" s="24" t="str">
        <x:v>Sport</x:v>
      </x:c>
      <x:c r="H1895" s="24"/>
      <x:c r="I1895" s="24" t="str">
        <x:v>Poli</x:v>
      </x:c>
      <x:c r="J1895" s="24"/>
      <x:c r="K1895" s="24" t="str">
        <x:v>DuraVision Chrome UV</x:v>
      </x:c>
      <x:c r="L1895" s="40" t="n">
        <x:v>1980</x:v>
      </x:c>
      <x:c r="M1895" s="24" t="str">
        <x:v>-4.00 a +4.00</x:v>
      </x:c>
      <x:c r="N1895" s="24" t="str">
        <x:v>-4.00</x:v>
      </x:c>
      <x:c r="O1895" s="24" t="str">
        <x:v>83</x:v>
      </x:c>
      <x:c r="P1895" s="24" t="str">
        <x:v>3.00</x:v>
      </x:c>
      <x:c r="Q1895" s="24"/>
      <x:c r="R1895" s="24"/>
      <x:c r="S1895" s="26" t="n">
        <x:v>46113</x:v>
      </x:c>
      <x:c r="T1895" s="26"/>
      <x:c r="U1895" s="24" t="str">
        <x:v>ATIVA/SEM FIM INFORMADO</x:v>
      </x:c>
      <x:c r="V1895" s="24"/>
      <x:c r="W1895" s="24" t="n">
        <x:v>29</x:v>
      </x:c>
      <x:c r="X1895" s="24" t="str">
        <x:v>tabela_zeiss.pdf</x:v>
      </x:c>
      <x:c r="Y1895" s="24" t="str">
        <x:v>alta</x:v>
      </x:c>
      <x:c r="Z1895" s="24"/>
      <x:c r="AA1895" s="24" t="str">
        <x:v>ZEISS|Visão Simples Especial|Surfaçada|Sport||Poli||DuraVision Chrome UV|-4.00 a +4.00|-4.00|83|3.00|||29</x:v>
      </x:c>
    </x:row>
    <x:row r="1896">
      <x:c r="A1896" s="24" t="str">
        <x:v>ZS-CBF42EAB877B</x:v>
      </x:c>
      <x:c r="B1896" s="24" t="str">
        <x:v>SIM</x:v>
      </x:c>
      <x:c r="C1896" s="24" t="str">
        <x:v>DISPONÍVEL</x:v>
      </x:c>
      <x:c r="D1896" s="24" t="str">
        <x:v>ZEISS</x:v>
      </x:c>
      <x:c r="E1896" s="24" t="str">
        <x:v>Visão Simples Especial</x:v>
      </x:c>
      <x:c r="F1896" s="24" t="str">
        <x:v>Surfaçada</x:v>
      </x:c>
      <x:c r="G1896" s="24" t="str">
        <x:v>Sport</x:v>
      </x:c>
      <x:c r="H1896" s="24"/>
      <x:c r="I1896" s="24" t="str">
        <x:v>1.6</x:v>
      </x:c>
      <x:c r="J1896" s="24" t="str">
        <x:v>1.60</x:v>
      </x:c>
      <x:c r="K1896" s="24" t="str">
        <x:v>DuraVision Gold UV</x:v>
      </x:c>
      <x:c r="L1896" s="40" t="n">
        <x:v>3090</x:v>
      </x:c>
      <x:c r="M1896" s="24" t="str">
        <x:v>-4.00 a +4.00</x:v>
      </x:c>
      <x:c r="N1896" s="24" t="str">
        <x:v>-4.00</x:v>
      </x:c>
      <x:c r="O1896" s="24" t="str">
        <x:v>85</x:v>
      </x:c>
      <x:c r="P1896" s="24" t="str">
        <x:v>3.00</x:v>
      </x:c>
      <x:c r="Q1896" s="24"/>
      <x:c r="R1896" s="24"/>
      <x:c r="S1896" s="26" t="n">
        <x:v>46113</x:v>
      </x:c>
      <x:c r="T1896" s="26"/>
      <x:c r="U1896" s="24" t="str">
        <x:v>ATIVA/SEM FIM INFORMADO</x:v>
      </x:c>
      <x:c r="V1896" s="24"/>
      <x:c r="W1896" s="24" t="n">
        <x:v>29</x:v>
      </x:c>
      <x:c r="X1896" s="24" t="str">
        <x:v>tabela_zeiss.pdf</x:v>
      </x:c>
      <x:c r="Y1896" s="24" t="str">
        <x:v>alta</x:v>
      </x:c>
      <x:c r="Z1896" s="24"/>
      <x:c r="AA1896" s="24" t="str">
        <x:v>ZEISS|Visão Simples Especial|Surfaçada|Sport||1.6|1.60|DuraVision Gold UV|-4.00 a +4.00|-4.00|85|3.00|||29</x:v>
      </x:c>
    </x:row>
    <x:row r="1897">
      <x:c r="A1897" s="24" t="str">
        <x:v>ZS-642BFD63DF70</x:v>
      </x:c>
      <x:c r="B1897" s="24" t="str">
        <x:v>SIM</x:v>
      </x:c>
      <x:c r="C1897" s="24" t="str">
        <x:v>DISPONÍVEL</x:v>
      </x:c>
      <x:c r="D1897" s="24" t="str">
        <x:v>ZEISS</x:v>
      </x:c>
      <x:c r="E1897" s="24" t="str">
        <x:v>Visão Simples Especial</x:v>
      </x:c>
      <x:c r="F1897" s="24" t="str">
        <x:v>Surfaçada</x:v>
      </x:c>
      <x:c r="G1897" s="24" t="str">
        <x:v>Sport</x:v>
      </x:c>
      <x:c r="H1897" s="24"/>
      <x:c r="I1897" s="24" t="str">
        <x:v>1.6</x:v>
      </x:c>
      <x:c r="J1897" s="24" t="str">
        <x:v>1.60</x:v>
      </x:c>
      <x:c r="K1897" s="24" t="str">
        <x:v>DURAVISION® ANTIVÍRUS PLATINUM UV</x:v>
      </x:c>
      <x:c r="L1897" s="40" t="n">
        <x:v>2950</x:v>
      </x:c>
      <x:c r="M1897" s="24" t="str">
        <x:v>-4.00 a +4.00</x:v>
      </x:c>
      <x:c r="N1897" s="24" t="str">
        <x:v>-4.00</x:v>
      </x:c>
      <x:c r="O1897" s="24" t="str">
        <x:v>85</x:v>
      </x:c>
      <x:c r="P1897" s="24" t="str">
        <x:v>3.00</x:v>
      </x:c>
      <x:c r="Q1897" s="24"/>
      <x:c r="R1897" s="24"/>
      <x:c r="S1897" s="26" t="n">
        <x:v>46113</x:v>
      </x:c>
      <x:c r="T1897" s="26"/>
      <x:c r="U1897" s="24" t="str">
        <x:v>ATIVA/SEM FIM INFORMADO</x:v>
      </x:c>
      <x:c r="V1897" s="24"/>
      <x:c r="W1897" s="24" t="n">
        <x:v>29</x:v>
      </x:c>
      <x:c r="X1897" s="24" t="str">
        <x:v>tabela_zeiss.pdf</x:v>
      </x:c>
      <x:c r="Y1897" s="24" t="str">
        <x:v>alta</x:v>
      </x:c>
      <x:c r="Z1897" s="24"/>
      <x:c r="AA1897" s="24" t="str">
        <x:v>ZEISS|Visão Simples Especial|Surfaçada|Sport||1.6|1.60|DURAVISION® ANTIVÍRUS PLATINUM UV|-4.00 a +4.00|-4.00|85|3.00|||29</x:v>
      </x:c>
    </x:row>
    <x:row r="1898">
      <x:c r="A1898" s="24" t="str">
        <x:v>ZS-780F86033628</x:v>
      </x:c>
      <x:c r="B1898" s="24" t="str">
        <x:v>SIM</x:v>
      </x:c>
      <x:c r="C1898" s="24" t="str">
        <x:v>DISPONÍVEL</x:v>
      </x:c>
      <x:c r="D1898" s="24" t="str">
        <x:v>ZEISS</x:v>
      </x:c>
      <x:c r="E1898" s="24" t="str">
        <x:v>Visão Simples Especial</x:v>
      </x:c>
      <x:c r="F1898" s="24" t="str">
        <x:v>Surfaçada</x:v>
      </x:c>
      <x:c r="G1898" s="24" t="str">
        <x:v>Sport</x:v>
      </x:c>
      <x:c r="H1898" s="24"/>
      <x:c r="I1898" s="24" t="str">
        <x:v>1.6</x:v>
      </x:c>
      <x:c r="J1898" s="24" t="str">
        <x:v>1.60</x:v>
      </x:c>
      <x:c r="K1898" s="24" t="str">
        <x:v>DuraVision Platinum UV</x:v>
      </x:c>
      <x:c r="L1898" s="40" t="n">
        <x:v>2950</x:v>
      </x:c>
      <x:c r="M1898" s="24" t="str">
        <x:v>-4.00 a +4.00</x:v>
      </x:c>
      <x:c r="N1898" s="24" t="str">
        <x:v>-4.00</x:v>
      </x:c>
      <x:c r="O1898" s="24" t="str">
        <x:v>85</x:v>
      </x:c>
      <x:c r="P1898" s="24" t="str">
        <x:v>3.00</x:v>
      </x:c>
      <x:c r="Q1898" s="24"/>
      <x:c r="R1898" s="24"/>
      <x:c r="S1898" s="26" t="n">
        <x:v>46113</x:v>
      </x:c>
      <x:c r="T1898" s="26"/>
      <x:c r="U1898" s="24" t="str">
        <x:v>ATIVA/SEM FIM INFORMADO</x:v>
      </x:c>
      <x:c r="V1898" s="24"/>
      <x:c r="W1898" s="24" t="n">
        <x:v>29</x:v>
      </x:c>
      <x:c r="X1898" s="24" t="str">
        <x:v>tabela_zeiss.pdf</x:v>
      </x:c>
      <x:c r="Y1898" s="24" t="str">
        <x:v>alta</x:v>
      </x:c>
      <x:c r="Z1898" s="24"/>
      <x:c r="AA1898" s="24" t="str">
        <x:v>ZEISS|Visão Simples Especial|Surfaçada|Sport||1.6|1.60|DuraVision Platinum UV|-4.00 a +4.00|-4.00|85|3.00|||29</x:v>
      </x:c>
    </x:row>
    <x:row r="1899">
      <x:c r="A1899" s="24" t="str">
        <x:v>ZS-F386967FB06D</x:v>
      </x:c>
      <x:c r="B1899" s="24" t="str">
        <x:v>SIM</x:v>
      </x:c>
      <x:c r="C1899" s="24" t="str">
        <x:v>DISPONÍVEL</x:v>
      </x:c>
      <x:c r="D1899" s="24" t="str">
        <x:v>ZEISS</x:v>
      </x:c>
      <x:c r="E1899" s="24" t="str">
        <x:v>Visão Simples Especial</x:v>
      </x:c>
      <x:c r="F1899" s="24" t="str">
        <x:v>Surfaçada</x:v>
      </x:c>
      <x:c r="G1899" s="24" t="str">
        <x:v>Sport</x:v>
      </x:c>
      <x:c r="H1899" s="24"/>
      <x:c r="I1899" s="24" t="str">
        <x:v>1.6</x:v>
      </x:c>
      <x:c r="J1899" s="24" t="str">
        <x:v>1.60</x:v>
      </x:c>
      <x:c r="K1899" s="24" t="str">
        <x:v>DuraVision Silver UV</x:v>
      </x:c>
      <x:c r="L1899" s="40" t="n">
        <x:v>2690</x:v>
      </x:c>
      <x:c r="M1899" s="24" t="str">
        <x:v>-4.00 a +4.00</x:v>
      </x:c>
      <x:c r="N1899" s="24" t="str">
        <x:v>-4.00</x:v>
      </x:c>
      <x:c r="O1899" s="24" t="str">
        <x:v>85</x:v>
      </x:c>
      <x:c r="P1899" s="24" t="str">
        <x:v>3.00</x:v>
      </x:c>
      <x:c r="Q1899" s="24"/>
      <x:c r="R1899" s="24"/>
      <x:c r="S1899" s="26" t="n">
        <x:v>46113</x:v>
      </x:c>
      <x:c r="T1899" s="26"/>
      <x:c r="U1899" s="24" t="str">
        <x:v>ATIVA/SEM FIM INFORMADO</x:v>
      </x:c>
      <x:c r="V1899" s="24"/>
      <x:c r="W1899" s="24" t="n">
        <x:v>29</x:v>
      </x:c>
      <x:c r="X1899" s="24" t="str">
        <x:v>tabela_zeiss.pdf</x:v>
      </x:c>
      <x:c r="Y1899" s="24" t="str">
        <x:v>alta</x:v>
      </x:c>
      <x:c r="Z1899" s="24"/>
      <x:c r="AA1899" s="24" t="str">
        <x:v>ZEISS|Visão Simples Especial|Surfaçada|Sport||1.6|1.60|DuraVision Silver UV|-4.00 a +4.00|-4.00|85|3.00|||29</x:v>
      </x:c>
    </x:row>
    <x:row r="1900">
      <x:c r="A1900" s="24" t="str">
        <x:v>ZS-25B957743281</x:v>
      </x:c>
      <x:c r="B1900" s="24" t="str">
        <x:v>SIM</x:v>
      </x:c>
      <x:c r="C1900" s="24" t="str">
        <x:v>DISPONÍVEL</x:v>
      </x:c>
      <x:c r="D1900" s="24" t="str">
        <x:v>ZEISS</x:v>
      </x:c>
      <x:c r="E1900" s="24" t="str">
        <x:v>Visão Simples Especial</x:v>
      </x:c>
      <x:c r="F1900" s="24" t="str">
        <x:v>Surfaçada</x:v>
      </x:c>
      <x:c r="G1900" s="24" t="str">
        <x:v>Sport</x:v>
      </x:c>
      <x:c r="H1900" s="24"/>
      <x:c r="I1900" s="24" t="str">
        <x:v>1.6</x:v>
      </x:c>
      <x:c r="J1900" s="24" t="str">
        <x:v>1.60</x:v>
      </x:c>
      <x:c r="K1900" s="24" t="str">
        <x:v>DuraVision Chrome UV</x:v>
      </x:c>
      <x:c r="L1900" s="40" t="n">
        <x:v>2200</x:v>
      </x:c>
      <x:c r="M1900" s="24" t="str">
        <x:v>-4.00 a +4.00</x:v>
      </x:c>
      <x:c r="N1900" s="24" t="str">
        <x:v>-4.00</x:v>
      </x:c>
      <x:c r="O1900" s="24" t="str">
        <x:v>85</x:v>
      </x:c>
      <x:c r="P1900" s="24" t="str">
        <x:v>3.00</x:v>
      </x:c>
      <x:c r="Q1900" s="24"/>
      <x:c r="R1900" s="24"/>
      <x:c r="S1900" s="26" t="n">
        <x:v>46113</x:v>
      </x:c>
      <x:c r="T1900" s="26"/>
      <x:c r="U1900" s="24" t="str">
        <x:v>ATIVA/SEM FIM INFORMADO</x:v>
      </x:c>
      <x:c r="V1900" s="24"/>
      <x:c r="W1900" s="24" t="n">
        <x:v>29</x:v>
      </x:c>
      <x:c r="X1900" s="24" t="str">
        <x:v>tabela_zeiss.pdf</x:v>
      </x:c>
      <x:c r="Y1900" s="24" t="str">
        <x:v>alta</x:v>
      </x:c>
      <x:c r="Z1900" s="24"/>
      <x:c r="AA1900" s="24" t="str">
        <x:v>ZEISS|Visão Simples Especial|Surfaçada|Sport||1.6|1.60|DuraVision Chrome UV|-4.00 a +4.00|-4.00|85|3.00|||29</x:v>
      </x:c>
    </x:row>
    <x:row r="1901">
      <x:c r="A1901" s="24" t="str">
        <x:v>ZS-A6FEBF844819</x:v>
      </x:c>
      <x:c r="B1901" s="24" t="str">
        <x:v>SIM</x:v>
      </x:c>
      <x:c r="C1901" s="24" t="str">
        <x:v>DISPONÍVEL</x:v>
      </x:c>
      <x:c r="D1901" s="24" t="str">
        <x:v>ZEISS</x:v>
      </x:c>
      <x:c r="E1901" s="24" t="str">
        <x:v>Visão Simples Especial</x:v>
      </x:c>
      <x:c r="F1901" s="24" t="str">
        <x:v>Surfaçada</x:v>
      </x:c>
      <x:c r="G1901" s="24" t="str">
        <x:v>Sport</x:v>
      </x:c>
      <x:c r="H1901" s="24" t="str">
        <x:v>PhotoFusion X</x:v>
      </x:c>
      <x:c r="I1901" s="24" t="str">
        <x:v>1.5</x:v>
      </x:c>
      <x:c r="J1901" s="24" t="str">
        <x:v>1.50</x:v>
      </x:c>
      <x:c r="K1901" s="24" t="str">
        <x:v>DuraVision Gold UV</x:v>
      </x:c>
      <x:c r="L1901" s="40" t="n">
        <x:v>3930</x:v>
      </x:c>
      <x:c r="M1901" s="24" t="str">
        <x:v>-4.00 a +4.00</x:v>
      </x:c>
      <x:c r="N1901" s="24" t="str">
        <x:v>-4.00</x:v>
      </x:c>
      <x:c r="O1901" s="24" t="str">
        <x:v>85</x:v>
      </x:c>
      <x:c r="P1901" s="24" t="str">
        <x:v>3.00</x:v>
      </x:c>
      <x:c r="Q1901" s="24"/>
      <x:c r="R1901" s="24"/>
      <x:c r="S1901" s="26" t="n">
        <x:v>46113</x:v>
      </x:c>
      <x:c r="T1901" s="26"/>
      <x:c r="U1901" s="24" t="str">
        <x:v>ATIVA/SEM FIM INFORMADO</x:v>
      </x:c>
      <x:c r="V1901" s="24" t="str">
        <x:v>Programa de Parcerias ZEISS</x:v>
      </x:c>
      <x:c r="W1901" s="24" t="n">
        <x:v>29</x:v>
      </x:c>
      <x:c r="X1901" s="24" t="str">
        <x:v>tabela_zeiss.pdf</x:v>
      </x:c>
      <x:c r="Y1901" s="24" t="str">
        <x:v>alta</x:v>
      </x:c>
      <x:c r="Z1901" s="24"/>
      <x:c r="AA1901" s="24" t="str">
        <x:v>ZEISS|Visão Simples Especial|Surfaçada|Sport|PhotoFusion X|1.5|1.50|DuraVision Gold UV|-4.00 a +4.00|-4.00|85|3.00|||29</x:v>
      </x:c>
    </x:row>
    <x:row r="1902">
      <x:c r="A1902" s="24" t="str">
        <x:v>ZS-199048A811A4</x:v>
      </x:c>
      <x:c r="B1902" s="24" t="str">
        <x:v>SIM</x:v>
      </x:c>
      <x:c r="C1902" s="24" t="str">
        <x:v>DISPONÍVEL</x:v>
      </x:c>
      <x:c r="D1902" s="24" t="str">
        <x:v>ZEISS</x:v>
      </x:c>
      <x:c r="E1902" s="24" t="str">
        <x:v>Visão Simples Especial</x:v>
      </x:c>
      <x:c r="F1902" s="24" t="str">
        <x:v>Surfaçada</x:v>
      </x:c>
      <x:c r="G1902" s="24" t="str">
        <x:v>Sport</x:v>
      </x:c>
      <x:c r="H1902" s="24" t="str">
        <x:v>PhotoFusion X</x:v>
      </x:c>
      <x:c r="I1902" s="24" t="str">
        <x:v>1.5</x:v>
      </x:c>
      <x:c r="J1902" s="24" t="str">
        <x:v>1.50</x:v>
      </x:c>
      <x:c r="K1902" s="24" t="str">
        <x:v>DURAVISION® ANTIVÍRUS PLATINUM UV</x:v>
      </x:c>
      <x:c r="L1902" s="40" t="n">
        <x:v>3790</x:v>
      </x:c>
      <x:c r="M1902" s="24" t="str">
        <x:v>-4.00 a +4.00</x:v>
      </x:c>
      <x:c r="N1902" s="24" t="str">
        <x:v>-4.00</x:v>
      </x:c>
      <x:c r="O1902" s="24" t="str">
        <x:v>85</x:v>
      </x:c>
      <x:c r="P1902" s="24" t="str">
        <x:v>3.00</x:v>
      </x:c>
      <x:c r="Q1902" s="24"/>
      <x:c r="R1902" s="24"/>
      <x:c r="S1902" s="26" t="n">
        <x:v>46113</x:v>
      </x:c>
      <x:c r="T1902" s="26"/>
      <x:c r="U1902" s="24" t="str">
        <x:v>ATIVA/SEM FIM INFORMADO</x:v>
      </x:c>
      <x:c r="V1902" s="24" t="str">
        <x:v>Programa de Parcerias ZEISS</x:v>
      </x:c>
      <x:c r="W1902" s="24" t="n">
        <x:v>29</x:v>
      </x:c>
      <x:c r="X1902" s="24" t="str">
        <x:v>tabela_zeiss.pdf</x:v>
      </x:c>
      <x:c r="Y1902" s="24" t="str">
        <x:v>alta</x:v>
      </x:c>
      <x:c r="Z1902" s="24"/>
      <x:c r="AA1902" s="24" t="str">
        <x:v>ZEISS|Visão Simples Especial|Surfaçada|Sport|PhotoFusion X|1.5|1.50|DURAVISION® ANTIVÍRUS PLATINUM UV|-4.00 a +4.00|-4.00|85|3.00|||29</x:v>
      </x:c>
    </x:row>
    <x:row r="1903">
      <x:c r="A1903" s="24" t="str">
        <x:v>ZS-33242E1735A4</x:v>
      </x:c>
      <x:c r="B1903" s="24" t="str">
        <x:v>SIM</x:v>
      </x:c>
      <x:c r="C1903" s="24" t="str">
        <x:v>DISPONÍVEL</x:v>
      </x:c>
      <x:c r="D1903" s="24" t="str">
        <x:v>ZEISS</x:v>
      </x:c>
      <x:c r="E1903" s="24" t="str">
        <x:v>Visão Simples Especial</x:v>
      </x:c>
      <x:c r="F1903" s="24" t="str">
        <x:v>Surfaçada</x:v>
      </x:c>
      <x:c r="G1903" s="24" t="str">
        <x:v>Sport</x:v>
      </x:c>
      <x:c r="H1903" s="24" t="str">
        <x:v>PhotoFusion X</x:v>
      </x:c>
      <x:c r="I1903" s="24" t="str">
        <x:v>1.5</x:v>
      </x:c>
      <x:c r="J1903" s="24" t="str">
        <x:v>1.50</x:v>
      </x:c>
      <x:c r="K1903" s="24" t="str">
        <x:v>DuraVision Platinum UV</x:v>
      </x:c>
      <x:c r="L1903" s="40" t="n">
        <x:v>3790</x:v>
      </x:c>
      <x:c r="M1903" s="24" t="str">
        <x:v>-4.00 a +4.00</x:v>
      </x:c>
      <x:c r="N1903" s="24" t="str">
        <x:v>-4.00</x:v>
      </x:c>
      <x:c r="O1903" s="24" t="str">
        <x:v>85</x:v>
      </x:c>
      <x:c r="P1903" s="24" t="str">
        <x:v>3.00</x:v>
      </x:c>
      <x:c r="Q1903" s="24"/>
      <x:c r="R1903" s="24"/>
      <x:c r="S1903" s="26" t="n">
        <x:v>46113</x:v>
      </x:c>
      <x:c r="T1903" s="26"/>
      <x:c r="U1903" s="24" t="str">
        <x:v>ATIVA/SEM FIM INFORMADO</x:v>
      </x:c>
      <x:c r="V1903" s="24" t="str">
        <x:v>Programa de Parcerias ZEISS</x:v>
      </x:c>
      <x:c r="W1903" s="24" t="n">
        <x:v>29</x:v>
      </x:c>
      <x:c r="X1903" s="24" t="str">
        <x:v>tabela_zeiss.pdf</x:v>
      </x:c>
      <x:c r="Y1903" s="24" t="str">
        <x:v>alta</x:v>
      </x:c>
      <x:c r="Z1903" s="24"/>
      <x:c r="AA1903" s="24" t="str">
        <x:v>ZEISS|Visão Simples Especial|Surfaçada|Sport|PhotoFusion X|1.5|1.50|DuraVision Platinum UV|-4.00 a +4.00|-4.00|85|3.00|||29</x:v>
      </x:c>
    </x:row>
    <x:row r="1904">
      <x:c r="A1904" s="24" t="str">
        <x:v>ZS-230E6EDD0C6E</x:v>
      </x:c>
      <x:c r="B1904" s="24" t="str">
        <x:v>SIM</x:v>
      </x:c>
      <x:c r="C1904" s="24" t="str">
        <x:v>DISPONÍVEL</x:v>
      </x:c>
      <x:c r="D1904" s="24" t="str">
        <x:v>ZEISS</x:v>
      </x:c>
      <x:c r="E1904" s="24" t="str">
        <x:v>Visão Simples Especial</x:v>
      </x:c>
      <x:c r="F1904" s="24" t="str">
        <x:v>Surfaçada</x:v>
      </x:c>
      <x:c r="G1904" s="24" t="str">
        <x:v>Sport</x:v>
      </x:c>
      <x:c r="H1904" s="24" t="str">
        <x:v>PhotoFusion X</x:v>
      </x:c>
      <x:c r="I1904" s="24" t="str">
        <x:v>1.5</x:v>
      </x:c>
      <x:c r="J1904" s="24" t="str">
        <x:v>1.50</x:v>
      </x:c>
      <x:c r="K1904" s="24" t="str">
        <x:v>DuraVision Silver UV</x:v>
      </x:c>
      <x:c r="L1904" s="40" t="n">
        <x:v>3530</x:v>
      </x:c>
      <x:c r="M1904" s="24" t="str">
        <x:v>-4.00 a +4.00</x:v>
      </x:c>
      <x:c r="N1904" s="24" t="str">
        <x:v>-4.00</x:v>
      </x:c>
      <x:c r="O1904" s="24" t="str">
        <x:v>85</x:v>
      </x:c>
      <x:c r="P1904" s="24" t="str">
        <x:v>3.00</x:v>
      </x:c>
      <x:c r="Q1904" s="24"/>
      <x:c r="R1904" s="24"/>
      <x:c r="S1904" s="26" t="n">
        <x:v>46113</x:v>
      </x:c>
      <x:c r="T1904" s="26"/>
      <x:c r="U1904" s="24" t="str">
        <x:v>ATIVA/SEM FIM INFORMADO</x:v>
      </x:c>
      <x:c r="V1904" s="24" t="str">
        <x:v>Programa de Parcerias ZEISS</x:v>
      </x:c>
      <x:c r="W1904" s="24" t="n">
        <x:v>29</x:v>
      </x:c>
      <x:c r="X1904" s="24" t="str">
        <x:v>tabela_zeiss.pdf</x:v>
      </x:c>
      <x:c r="Y1904" s="24" t="str">
        <x:v>alta</x:v>
      </x:c>
      <x:c r="Z1904" s="24"/>
      <x:c r="AA1904" s="24" t="str">
        <x:v>ZEISS|Visão Simples Especial|Surfaçada|Sport|PhotoFusion X|1.5|1.50|DuraVision Silver UV|-4.00 a +4.00|-4.00|85|3.00|||29</x:v>
      </x:c>
    </x:row>
    <x:row r="1905">
      <x:c r="A1905" s="24" t="str">
        <x:v>ZS-DB7E31FB100D</x:v>
      </x:c>
      <x:c r="B1905" s="24" t="str">
        <x:v>SIM</x:v>
      </x:c>
      <x:c r="C1905" s="24" t="str">
        <x:v>DISPONÍVEL</x:v>
      </x:c>
      <x:c r="D1905" s="24" t="str">
        <x:v>ZEISS</x:v>
      </x:c>
      <x:c r="E1905" s="24" t="str">
        <x:v>Visão Simples Especial</x:v>
      </x:c>
      <x:c r="F1905" s="24" t="str">
        <x:v>Surfaçada</x:v>
      </x:c>
      <x:c r="G1905" s="24" t="str">
        <x:v>Sport</x:v>
      </x:c>
      <x:c r="H1905" s="24" t="str">
        <x:v>PhotoFusion X</x:v>
      </x:c>
      <x:c r="I1905" s="24" t="str">
        <x:v>1.5</x:v>
      </x:c>
      <x:c r="J1905" s="24" t="str">
        <x:v>1.50</x:v>
      </x:c>
      <x:c r="K1905" s="24" t="str">
        <x:v>DuraVision Chrome UV</x:v>
      </x:c>
      <x:c r="L1905" s="40" t="n">
        <x:v>3040</x:v>
      </x:c>
      <x:c r="M1905" s="24" t="str">
        <x:v>-4.00 a +4.00</x:v>
      </x:c>
      <x:c r="N1905" s="24" t="str">
        <x:v>-4.00</x:v>
      </x:c>
      <x:c r="O1905" s="24" t="str">
        <x:v>85</x:v>
      </x:c>
      <x:c r="P1905" s="24" t="str">
        <x:v>3.00</x:v>
      </x:c>
      <x:c r="Q1905" s="24"/>
      <x:c r="R1905" s="24"/>
      <x:c r="S1905" s="26" t="n">
        <x:v>46113</x:v>
      </x:c>
      <x:c r="T1905" s="26"/>
      <x:c r="U1905" s="24" t="str">
        <x:v>ATIVA/SEM FIM INFORMADO</x:v>
      </x:c>
      <x:c r="V1905" s="24" t="str">
        <x:v>Programa de Parcerias ZEISS</x:v>
      </x:c>
      <x:c r="W1905" s="24" t="n">
        <x:v>29</x:v>
      </x:c>
      <x:c r="X1905" s="24" t="str">
        <x:v>tabela_zeiss.pdf</x:v>
      </x:c>
      <x:c r="Y1905" s="24" t="str">
        <x:v>alta</x:v>
      </x:c>
      <x:c r="Z1905" s="24"/>
      <x:c r="AA1905" s="24" t="str">
        <x:v>ZEISS|Visão Simples Especial|Surfaçada|Sport|PhotoFusion X|1.5|1.50|DuraVision Chrome UV|-4.00 a +4.00|-4.00|85|3.00|||29</x:v>
      </x:c>
    </x:row>
    <x:row r="1906">
      <x:c r="A1906" s="24" t="str">
        <x:v>ZS-4969EEF1902C</x:v>
      </x:c>
      <x:c r="B1906" s="24" t="str">
        <x:v>SIM</x:v>
      </x:c>
      <x:c r="C1906" s="24" t="str">
        <x:v>DISPONÍVEL</x:v>
      </x:c>
      <x:c r="D1906" s="24" t="str">
        <x:v>ZEISS</x:v>
      </x:c>
      <x:c r="E1906" s="24" t="str">
        <x:v>Visão Simples Especial</x:v>
      </x:c>
      <x:c r="F1906" s="24" t="str">
        <x:v>Surfaçada</x:v>
      </x:c>
      <x:c r="G1906" s="24" t="str">
        <x:v>Sport</x:v>
      </x:c>
      <x:c r="H1906" s="24" t="str">
        <x:v>PhotoFusion X</x:v>
      </x:c>
      <x:c r="I1906" s="24" t="str">
        <x:v>Poli</x:v>
      </x:c>
      <x:c r="J1906" s="24"/>
      <x:c r="K1906" s="24" t="str">
        <x:v>DuraVision Platinum UV</x:v>
      </x:c>
      <x:c r="L1906" s="40" t="n">
        <x:v>4150</x:v>
      </x:c>
      <x:c r="M1906" s="24" t="str">
        <x:v>-4.00 a +4.00</x:v>
      </x:c>
      <x:c r="N1906" s="24" t="str">
        <x:v>-4.00</x:v>
      </x:c>
      <x:c r="O1906" s="24" t="str">
        <x:v>80</x:v>
      </x:c>
      <x:c r="P1906" s="24" t="str">
        <x:v>3.00</x:v>
      </x:c>
      <x:c r="Q1906" s="24"/>
      <x:c r="R1906" s="24"/>
      <x:c r="S1906" s="26" t="n">
        <x:v>46113</x:v>
      </x:c>
      <x:c r="T1906" s="26"/>
      <x:c r="U1906" s="24" t="str">
        <x:v>ATIVA/SEM FIM INFORMADO</x:v>
      </x:c>
      <x:c r="V1906" s="24" t="str">
        <x:v>Programa de Parcerias ZEISS</x:v>
      </x:c>
      <x:c r="W1906" s="24" t="n">
        <x:v>29</x:v>
      </x:c>
      <x:c r="X1906" s="24" t="str">
        <x:v>tabela_zeiss.pdf</x:v>
      </x:c>
      <x:c r="Y1906" s="24" t="str">
        <x:v>alta</x:v>
      </x:c>
      <x:c r="Z1906" s="24"/>
      <x:c r="AA1906" s="24" t="str">
        <x:v>ZEISS|Visão Simples Especial|Surfaçada|Sport|PhotoFusion X|Poli||DuraVision Platinum UV|-4.00 a +4.00|-4.00|80|3.00|||29</x:v>
      </x:c>
    </x:row>
    <x:row r="1907">
      <x:c r="A1907" s="24" t="str">
        <x:v>ZS-B426EC4558FD</x:v>
      </x:c>
      <x:c r="B1907" s="24" t="str">
        <x:v>SIM</x:v>
      </x:c>
      <x:c r="C1907" s="24" t="str">
        <x:v>DISPONÍVEL</x:v>
      </x:c>
      <x:c r="D1907" s="24" t="str">
        <x:v>ZEISS</x:v>
      </x:c>
      <x:c r="E1907" s="24" t="str">
        <x:v>Visão Simples Especial</x:v>
      </x:c>
      <x:c r="F1907" s="24" t="str">
        <x:v>Surfaçada</x:v>
      </x:c>
      <x:c r="G1907" s="24" t="str">
        <x:v>Sport</x:v>
      </x:c>
      <x:c r="H1907" s="24" t="str">
        <x:v>PhotoFusion X</x:v>
      </x:c>
      <x:c r="I1907" s="24" t="str">
        <x:v>Poli</x:v>
      </x:c>
      <x:c r="J1907" s="24"/>
      <x:c r="K1907" s="24" t="str">
        <x:v>DuraVision Silver UV</x:v>
      </x:c>
      <x:c r="L1907" s="40" t="n">
        <x:v>3890</x:v>
      </x:c>
      <x:c r="M1907" s="24" t="str">
        <x:v>-4.00 a +4.00</x:v>
      </x:c>
      <x:c r="N1907" s="24" t="str">
        <x:v>-4.00</x:v>
      </x:c>
      <x:c r="O1907" s="24" t="str">
        <x:v>80</x:v>
      </x:c>
      <x:c r="P1907" s="24" t="str">
        <x:v>3.00</x:v>
      </x:c>
      <x:c r="Q1907" s="24"/>
      <x:c r="R1907" s="24"/>
      <x:c r="S1907" s="26" t="n">
        <x:v>46113</x:v>
      </x:c>
      <x:c r="T1907" s="26"/>
      <x:c r="U1907" s="24" t="str">
        <x:v>ATIVA/SEM FIM INFORMADO</x:v>
      </x:c>
      <x:c r="V1907" s="24" t="str">
        <x:v>Programa de Parcerias ZEISS</x:v>
      </x:c>
      <x:c r="W1907" s="24" t="n">
        <x:v>29</x:v>
      </x:c>
      <x:c r="X1907" s="24" t="str">
        <x:v>tabela_zeiss.pdf</x:v>
      </x:c>
      <x:c r="Y1907" s="24" t="str">
        <x:v>alta</x:v>
      </x:c>
      <x:c r="Z1907" s="24"/>
      <x:c r="AA1907" s="24" t="str">
        <x:v>ZEISS|Visão Simples Especial|Surfaçada|Sport|PhotoFusion X|Poli||DuraVision Silver UV|-4.00 a +4.00|-4.00|80|3.00|||29</x:v>
      </x:c>
    </x:row>
    <x:row r="1908">
      <x:c r="A1908" s="24" t="str">
        <x:v>ZS-E55B54CB6F21</x:v>
      </x:c>
      <x:c r="B1908" s="24" t="str">
        <x:v>SIM</x:v>
      </x:c>
      <x:c r="C1908" s="24" t="str">
        <x:v>DISPONÍVEL</x:v>
      </x:c>
      <x:c r="D1908" s="24" t="str">
        <x:v>ZEISS</x:v>
      </x:c>
      <x:c r="E1908" s="24" t="str">
        <x:v>Visão Simples Especial</x:v>
      </x:c>
      <x:c r="F1908" s="24" t="str">
        <x:v>Surfaçada</x:v>
      </x:c>
      <x:c r="G1908" s="24" t="str">
        <x:v>Sport</x:v>
      </x:c>
      <x:c r="H1908" s="24" t="str">
        <x:v>PhotoFusion X</x:v>
      </x:c>
      <x:c r="I1908" s="24" t="str">
        <x:v>Poli</x:v>
      </x:c>
      <x:c r="J1908" s="24"/>
      <x:c r="K1908" s="24" t="str">
        <x:v>DuraVision Chrome UV</x:v>
      </x:c>
      <x:c r="L1908" s="40" t="n">
        <x:v>3400</x:v>
      </x:c>
      <x:c r="M1908" s="24" t="str">
        <x:v>-4.00 a +4.00</x:v>
      </x:c>
      <x:c r="N1908" s="24" t="str">
        <x:v>-4.00</x:v>
      </x:c>
      <x:c r="O1908" s="24" t="str">
        <x:v>80</x:v>
      </x:c>
      <x:c r="P1908" s="24" t="str">
        <x:v>3.00</x:v>
      </x:c>
      <x:c r="Q1908" s="24"/>
      <x:c r="R1908" s="24"/>
      <x:c r="S1908" s="26" t="n">
        <x:v>46113</x:v>
      </x:c>
      <x:c r="T1908" s="26"/>
      <x:c r="U1908" s="24" t="str">
        <x:v>ATIVA/SEM FIM INFORMADO</x:v>
      </x:c>
      <x:c r="V1908" s="24" t="str">
        <x:v>Programa de Parcerias ZEISS</x:v>
      </x:c>
      <x:c r="W1908" s="24" t="n">
        <x:v>29</x:v>
      </x:c>
      <x:c r="X1908" s="24" t="str">
        <x:v>tabela_zeiss.pdf</x:v>
      </x:c>
      <x:c r="Y1908" s="24" t="str">
        <x:v>alta</x:v>
      </x:c>
      <x:c r="Z1908" s="24"/>
      <x:c r="AA1908" s="24" t="str">
        <x:v>ZEISS|Visão Simples Especial|Surfaçada|Sport|PhotoFusion X|Poli||DuraVision Chrome UV|-4.00 a +4.00|-4.00|80|3.00|||29</x:v>
      </x:c>
    </x:row>
    <x:row r="1909">
      <x:c r="A1909" s="24" t="str">
        <x:v>ZS-D69A161E7E45</x:v>
      </x:c>
      <x:c r="B1909" s="24" t="str">
        <x:v>SIM</x:v>
      </x:c>
      <x:c r="C1909" s="24" t="str">
        <x:v>DISPONÍVEL</x:v>
      </x:c>
      <x:c r="D1909" s="24" t="str">
        <x:v>ZEISS</x:v>
      </x:c>
      <x:c r="E1909" s="24" t="str">
        <x:v>Visão Simples Especial</x:v>
      </x:c>
      <x:c r="F1909" s="24" t="str">
        <x:v>Surfaçada</x:v>
      </x:c>
      <x:c r="G1909" s="24" t="str">
        <x:v>Sport</x:v>
      </x:c>
      <x:c r="H1909" s="24" t="str">
        <x:v>PhotoFusion X</x:v>
      </x:c>
      <x:c r="I1909" s="24" t="str">
        <x:v>1.6</x:v>
      </x:c>
      <x:c r="J1909" s="24" t="str">
        <x:v>1.60</x:v>
      </x:c>
      <x:c r="K1909" s="24" t="str">
        <x:v>DuraVision Gold UV</x:v>
      </x:c>
      <x:c r="L1909" s="40" t="n">
        <x:v>4510</x:v>
      </x:c>
      <x:c r="M1909" s="24" t="str">
        <x:v>-4.00 a +4.00</x:v>
      </x:c>
      <x:c r="N1909" s="24" t="str">
        <x:v>-4.00</x:v>
      </x:c>
      <x:c r="O1909" s="24" t="str">
        <x:v>85</x:v>
      </x:c>
      <x:c r="P1909" s="24" t="str">
        <x:v>3.00</x:v>
      </x:c>
      <x:c r="Q1909" s="24"/>
      <x:c r="R1909" s="24"/>
      <x:c r="S1909" s="26" t="n">
        <x:v>46113</x:v>
      </x:c>
      <x:c r="T1909" s="26"/>
      <x:c r="U1909" s="24" t="str">
        <x:v>ATIVA/SEM FIM INFORMADO</x:v>
      </x:c>
      <x:c r="V1909" s="24" t="str">
        <x:v>Programa de Parcerias ZEISS</x:v>
      </x:c>
      <x:c r="W1909" s="24" t="n">
        <x:v>29</x:v>
      </x:c>
      <x:c r="X1909" s="24" t="str">
        <x:v>tabela_zeiss.pdf</x:v>
      </x:c>
      <x:c r="Y1909" s="24" t="str">
        <x:v>alta</x:v>
      </x:c>
      <x:c r="Z1909" s="24"/>
      <x:c r="AA1909" s="24" t="str">
        <x:v>ZEISS|Visão Simples Especial|Surfaçada|Sport|PhotoFusion X|1.6|1.60|DuraVision Gold UV|-4.00 a +4.00|-4.00|85|3.00|||29</x:v>
      </x:c>
    </x:row>
    <x:row r="1910">
      <x:c r="A1910" s="24" t="str">
        <x:v>ZS-F23A2A45F72F</x:v>
      </x:c>
      <x:c r="B1910" s="24" t="str">
        <x:v>SIM</x:v>
      </x:c>
      <x:c r="C1910" s="24" t="str">
        <x:v>DISPONÍVEL</x:v>
      </x:c>
      <x:c r="D1910" s="24" t="str">
        <x:v>ZEISS</x:v>
      </x:c>
      <x:c r="E1910" s="24" t="str">
        <x:v>Visão Simples Especial</x:v>
      </x:c>
      <x:c r="F1910" s="24" t="str">
        <x:v>Surfaçada</x:v>
      </x:c>
      <x:c r="G1910" s="24" t="str">
        <x:v>Sport</x:v>
      </x:c>
      <x:c r="H1910" s="24" t="str">
        <x:v>PhotoFusion X</x:v>
      </x:c>
      <x:c r="I1910" s="24" t="str">
        <x:v>1.6</x:v>
      </x:c>
      <x:c r="J1910" s="24" t="str">
        <x:v>1.60</x:v>
      </x:c>
      <x:c r="K1910" s="24" t="str">
        <x:v>DURAVISION® ANTIVÍRUS PLATINUM UV</x:v>
      </x:c>
      <x:c r="L1910" s="40" t="n">
        <x:v>4370</x:v>
      </x:c>
      <x:c r="M1910" s="24" t="str">
        <x:v>-4.00 a +4.00</x:v>
      </x:c>
      <x:c r="N1910" s="24" t="str">
        <x:v>-4.00</x:v>
      </x:c>
      <x:c r="O1910" s="24" t="str">
        <x:v>85</x:v>
      </x:c>
      <x:c r="P1910" s="24" t="str">
        <x:v>3.00</x:v>
      </x:c>
      <x:c r="Q1910" s="24"/>
      <x:c r="R1910" s="24"/>
      <x:c r="S1910" s="26" t="n">
        <x:v>46113</x:v>
      </x:c>
      <x:c r="T1910" s="26"/>
      <x:c r="U1910" s="24" t="str">
        <x:v>ATIVA/SEM FIM INFORMADO</x:v>
      </x:c>
      <x:c r="V1910" s="24" t="str">
        <x:v>Programa de Parcerias ZEISS</x:v>
      </x:c>
      <x:c r="W1910" s="24" t="n">
        <x:v>29</x:v>
      </x:c>
      <x:c r="X1910" s="24" t="str">
        <x:v>tabela_zeiss.pdf</x:v>
      </x:c>
      <x:c r="Y1910" s="24" t="str">
        <x:v>alta</x:v>
      </x:c>
      <x:c r="Z1910" s="24"/>
      <x:c r="AA1910" s="24" t="str">
        <x:v>ZEISS|Visão Simples Especial|Surfaçada|Sport|PhotoFusion X|1.6|1.60|DURAVISION® ANTIVÍRUS PLATINUM UV|-4.00 a +4.00|-4.00|85|3.00|||29</x:v>
      </x:c>
    </x:row>
    <x:row r="1911">
      <x:c r="A1911" s="24" t="str">
        <x:v>ZS-033F678FB122</x:v>
      </x:c>
      <x:c r="B1911" s="24" t="str">
        <x:v>SIM</x:v>
      </x:c>
      <x:c r="C1911" s="24" t="str">
        <x:v>DISPONÍVEL</x:v>
      </x:c>
      <x:c r="D1911" s="24" t="str">
        <x:v>ZEISS</x:v>
      </x:c>
      <x:c r="E1911" s="24" t="str">
        <x:v>Visão Simples Especial</x:v>
      </x:c>
      <x:c r="F1911" s="24" t="str">
        <x:v>Surfaçada</x:v>
      </x:c>
      <x:c r="G1911" s="24" t="str">
        <x:v>Sport</x:v>
      </x:c>
      <x:c r="H1911" s="24" t="str">
        <x:v>PhotoFusion X</x:v>
      </x:c>
      <x:c r="I1911" s="24" t="str">
        <x:v>1.6</x:v>
      </x:c>
      <x:c r="J1911" s="24" t="str">
        <x:v>1.60</x:v>
      </x:c>
      <x:c r="K1911" s="24" t="str">
        <x:v>DuraVision Platinum UV</x:v>
      </x:c>
      <x:c r="L1911" s="40" t="n">
        <x:v>4370</x:v>
      </x:c>
      <x:c r="M1911" s="24" t="str">
        <x:v>-4.00 a +4.00</x:v>
      </x:c>
      <x:c r="N1911" s="24" t="str">
        <x:v>-4.00</x:v>
      </x:c>
      <x:c r="O1911" s="24" t="str">
        <x:v>85</x:v>
      </x:c>
      <x:c r="P1911" s="24" t="str">
        <x:v>3.00</x:v>
      </x:c>
      <x:c r="Q1911" s="24"/>
      <x:c r="R1911" s="24"/>
      <x:c r="S1911" s="26" t="n">
        <x:v>46113</x:v>
      </x:c>
      <x:c r="T1911" s="26"/>
      <x:c r="U1911" s="24" t="str">
        <x:v>ATIVA/SEM FIM INFORMADO</x:v>
      </x:c>
      <x:c r="V1911" s="24" t="str">
        <x:v>Programa de Parcerias ZEISS</x:v>
      </x:c>
      <x:c r="W1911" s="24" t="n">
        <x:v>29</x:v>
      </x:c>
      <x:c r="X1911" s="24" t="str">
        <x:v>tabela_zeiss.pdf</x:v>
      </x:c>
      <x:c r="Y1911" s="24" t="str">
        <x:v>alta</x:v>
      </x:c>
      <x:c r="Z1911" s="24"/>
      <x:c r="AA1911" s="24" t="str">
        <x:v>ZEISS|Visão Simples Especial|Surfaçada|Sport|PhotoFusion X|1.6|1.60|DuraVision Platinum UV|-4.00 a +4.00|-4.00|85|3.00|||29</x:v>
      </x:c>
    </x:row>
    <x:row r="1912">
      <x:c r="A1912" s="24" t="str">
        <x:v>ZS-4DFBA8120EC0</x:v>
      </x:c>
      <x:c r="B1912" s="24" t="str">
        <x:v>SIM</x:v>
      </x:c>
      <x:c r="C1912" s="24" t="str">
        <x:v>DISPONÍVEL</x:v>
      </x:c>
      <x:c r="D1912" s="24" t="str">
        <x:v>ZEISS</x:v>
      </x:c>
      <x:c r="E1912" s="24" t="str">
        <x:v>Visão Simples Especial</x:v>
      </x:c>
      <x:c r="F1912" s="24" t="str">
        <x:v>Surfaçada</x:v>
      </x:c>
      <x:c r="G1912" s="24" t="str">
        <x:v>Sport</x:v>
      </x:c>
      <x:c r="H1912" s="24" t="str">
        <x:v>PhotoFusion X</x:v>
      </x:c>
      <x:c r="I1912" s="24" t="str">
        <x:v>1.6</x:v>
      </x:c>
      <x:c r="J1912" s="24" t="str">
        <x:v>1.60</x:v>
      </x:c>
      <x:c r="K1912" s="24" t="str">
        <x:v>DuraVision Silver UV</x:v>
      </x:c>
      <x:c r="L1912" s="40" t="n">
        <x:v>4110</x:v>
      </x:c>
      <x:c r="M1912" s="24" t="str">
        <x:v>-4.00 a +4.00</x:v>
      </x:c>
      <x:c r="N1912" s="24" t="str">
        <x:v>-4.00</x:v>
      </x:c>
      <x:c r="O1912" s="24" t="str">
        <x:v>85</x:v>
      </x:c>
      <x:c r="P1912" s="24" t="str">
        <x:v>3.00</x:v>
      </x:c>
      <x:c r="Q1912" s="24"/>
      <x:c r="R1912" s="24"/>
      <x:c r="S1912" s="26" t="n">
        <x:v>46113</x:v>
      </x:c>
      <x:c r="T1912" s="26"/>
      <x:c r="U1912" s="24" t="str">
        <x:v>ATIVA/SEM FIM INFORMADO</x:v>
      </x:c>
      <x:c r="V1912" s="24" t="str">
        <x:v>Programa de Parcerias ZEISS</x:v>
      </x:c>
      <x:c r="W1912" s="24" t="n">
        <x:v>29</x:v>
      </x:c>
      <x:c r="X1912" s="24" t="str">
        <x:v>tabela_zeiss.pdf</x:v>
      </x:c>
      <x:c r="Y1912" s="24" t="str">
        <x:v>alta</x:v>
      </x:c>
      <x:c r="Z1912" s="24"/>
      <x:c r="AA1912" s="24" t="str">
        <x:v>ZEISS|Visão Simples Especial|Surfaçada|Sport|PhotoFusion X|1.6|1.60|DuraVision Silver UV|-4.00 a +4.00|-4.00|85|3.00|||29</x:v>
      </x:c>
    </x:row>
    <x:row r="1913">
      <x:c r="A1913" s="24" t="str">
        <x:v>ZS-8D058CCF6766</x:v>
      </x:c>
      <x:c r="B1913" s="24" t="str">
        <x:v>SIM</x:v>
      </x:c>
      <x:c r="C1913" s="24" t="str">
        <x:v>DISPONÍVEL</x:v>
      </x:c>
      <x:c r="D1913" s="24" t="str">
        <x:v>ZEISS</x:v>
      </x:c>
      <x:c r="E1913" s="24" t="str">
        <x:v>Visão Simples Especial</x:v>
      </x:c>
      <x:c r="F1913" s="24" t="str">
        <x:v>Surfaçada</x:v>
      </x:c>
      <x:c r="G1913" s="24" t="str">
        <x:v>Sport</x:v>
      </x:c>
      <x:c r="H1913" s="24" t="str">
        <x:v>PhotoFusion X</x:v>
      </x:c>
      <x:c r="I1913" s="24" t="str">
        <x:v>1.6</x:v>
      </x:c>
      <x:c r="J1913" s="24" t="str">
        <x:v>1.60</x:v>
      </x:c>
      <x:c r="K1913" s="24" t="str">
        <x:v>DuraVision Chrome UV</x:v>
      </x:c>
      <x:c r="L1913" s="40" t="n">
        <x:v>3620</x:v>
      </x:c>
      <x:c r="M1913" s="24" t="str">
        <x:v>-4.00 a +4.00</x:v>
      </x:c>
      <x:c r="N1913" s="24" t="str">
        <x:v>-4.00</x:v>
      </x:c>
      <x:c r="O1913" s="24" t="str">
        <x:v>85</x:v>
      </x:c>
      <x:c r="P1913" s="24" t="str">
        <x:v>3.00</x:v>
      </x:c>
      <x:c r="Q1913" s="24"/>
      <x:c r="R1913" s="24"/>
      <x:c r="S1913" s="26" t="n">
        <x:v>46113</x:v>
      </x:c>
      <x:c r="T1913" s="26"/>
      <x:c r="U1913" s="24" t="str">
        <x:v>ATIVA/SEM FIM INFORMADO</x:v>
      </x:c>
      <x:c r="V1913" s="24" t="str">
        <x:v>Programa de Parcerias ZEISS</x:v>
      </x:c>
      <x:c r="W1913" s="24" t="n">
        <x:v>29</x:v>
      </x:c>
      <x:c r="X1913" s="24" t="str">
        <x:v>tabela_zeiss.pdf</x:v>
      </x:c>
      <x:c r="Y1913" s="24" t="str">
        <x:v>alta</x:v>
      </x:c>
      <x:c r="Z1913" s="24"/>
      <x:c r="AA1913" s="24" t="str">
        <x:v>ZEISS|Visão Simples Especial|Surfaçada|Sport|PhotoFusion X|1.6|1.60|DuraVision Chrome UV|-4.00 a +4.00|-4.00|85|3.00|||29</x:v>
      </x:c>
    </x:row>
    <x:row r="1914">
      <x:c r="A1914" s="24" t="str">
        <x:v>ZS-91834CD08F70</x:v>
      </x:c>
      <x:c r="B1914" s="24" t="str">
        <x:v>SIM</x:v>
      </x:c>
      <x:c r="C1914" s="24" t="str">
        <x:v>DISPONÍVEL</x:v>
      </x:c>
      <x:c r="D1914" s="24" t="str">
        <x:v>ZEISS</x:v>
      </x:c>
      <x:c r="E1914" s="24" t="str">
        <x:v>Visão Simples Especial</x:v>
      </x:c>
      <x:c r="F1914" s="24" t="str">
        <x:v>Surfaçada</x:v>
      </x:c>
      <x:c r="G1914" s="24" t="str">
        <x:v>Sport</x:v>
      </x:c>
      <x:c r="H1914" s="24" t="str">
        <x:v>PhotoFusion X Extra Dark Cinza</x:v>
      </x:c>
      <x:c r="I1914" s="24" t="str">
        <x:v>1.5</x:v>
      </x:c>
      <x:c r="J1914" s="24" t="str">
        <x:v>1.50</x:v>
      </x:c>
      <x:c r="K1914" s="24" t="str">
        <x:v>DuraVision Gold UV</x:v>
      </x:c>
      <x:c r="L1914" s="40" t="n">
        <x:v>3980</x:v>
      </x:c>
      <x:c r="M1914" s="24" t="str">
        <x:v>-4.00 a +4.00</x:v>
      </x:c>
      <x:c r="N1914" s="24" t="str">
        <x:v>-4.00</x:v>
      </x:c>
      <x:c r="O1914" s="24" t="str">
        <x:v>85</x:v>
      </x:c>
      <x:c r="P1914" s="24" t="str">
        <x:v>3.00</x:v>
      </x:c>
      <x:c r="Q1914" s="24"/>
      <x:c r="R1914" s="24"/>
      <x:c r="S1914" s="26" t="n">
        <x:v>46113</x:v>
      </x:c>
      <x:c r="T1914" s="26"/>
      <x:c r="U1914" s="24" t="str">
        <x:v>ATIVA/SEM FIM INFORMADO</x:v>
      </x:c>
      <x:c r="V1914" s="24" t="str">
        <x:v>Programa de Parcerias ZEISS</x:v>
      </x:c>
      <x:c r="W1914" s="24" t="n">
        <x:v>29</x:v>
      </x:c>
      <x:c r="X1914" s="24" t="str">
        <x:v>tabela_zeiss.pdf</x:v>
      </x:c>
      <x:c r="Y1914" s="24" t="str">
        <x:v>alta</x:v>
      </x:c>
      <x:c r="Z1914" s="24"/>
      <x:c r="AA1914" s="24" t="str">
        <x:v>ZEISS|Visão Simples Especial|Surfaçada|Sport|PhotoFusion X Extra Dark Cinza|1.5|1.50|DuraVision Gold UV|-4.00 a +4.00|-4.00|85|3.00|||29</x:v>
      </x:c>
    </x:row>
    <x:row r="1915">
      <x:c r="A1915" s="24" t="str">
        <x:v>ZS-9D76ED18CA64</x:v>
      </x:c>
      <x:c r="B1915" s="24" t="str">
        <x:v>SIM</x:v>
      </x:c>
      <x:c r="C1915" s="24" t="str">
        <x:v>DISPONÍVEL</x:v>
      </x:c>
      <x:c r="D1915" s="24" t="str">
        <x:v>ZEISS</x:v>
      </x:c>
      <x:c r="E1915" s="24" t="str">
        <x:v>Visão Simples Especial</x:v>
      </x:c>
      <x:c r="F1915" s="24" t="str">
        <x:v>Surfaçada</x:v>
      </x:c>
      <x:c r="G1915" s="24" t="str">
        <x:v>Sport</x:v>
      </x:c>
      <x:c r="H1915" s="24" t="str">
        <x:v>PhotoFusion X Extra Dark Cinza</x:v>
      </x:c>
      <x:c r="I1915" s="24" t="str">
        <x:v>1.5</x:v>
      </x:c>
      <x:c r="J1915" s="24" t="str">
        <x:v>1.50</x:v>
      </x:c>
      <x:c r="K1915" s="24" t="str">
        <x:v>DURAVISION® ANTIVÍRUS PLATINUM UV</x:v>
      </x:c>
      <x:c r="L1915" s="40" t="n">
        <x:v>3840</x:v>
      </x:c>
      <x:c r="M1915" s="24" t="str">
        <x:v>-4.00 a +4.00</x:v>
      </x:c>
      <x:c r="N1915" s="24" t="str">
        <x:v>-4.00</x:v>
      </x:c>
      <x:c r="O1915" s="24" t="str">
        <x:v>85</x:v>
      </x:c>
      <x:c r="P1915" s="24" t="str">
        <x:v>3.00</x:v>
      </x:c>
      <x:c r="Q1915" s="24"/>
      <x:c r="R1915" s="24"/>
      <x:c r="S1915" s="26" t="n">
        <x:v>46113</x:v>
      </x:c>
      <x:c r="T1915" s="26"/>
      <x:c r="U1915" s="24" t="str">
        <x:v>ATIVA/SEM FIM INFORMADO</x:v>
      </x:c>
      <x:c r="V1915" s="24" t="str">
        <x:v>Programa de Parcerias ZEISS</x:v>
      </x:c>
      <x:c r="W1915" s="24" t="n">
        <x:v>29</x:v>
      </x:c>
      <x:c r="X1915" s="24" t="str">
        <x:v>tabela_zeiss.pdf</x:v>
      </x:c>
      <x:c r="Y1915" s="24" t="str">
        <x:v>alta</x:v>
      </x:c>
      <x:c r="Z1915" s="24"/>
      <x:c r="AA1915" s="24" t="str">
        <x:v>ZEISS|Visão Simples Especial|Surfaçada|Sport|PhotoFusion X Extra Dark Cinza|1.5|1.50|DURAVISION® ANTIVÍRUS PLATINUM UV|-4.00 a +4.00|-4.00|85|3.00|||29</x:v>
      </x:c>
    </x:row>
    <x:row r="1916">
      <x:c r="A1916" s="24" t="str">
        <x:v>ZS-6281FB22BB0E</x:v>
      </x:c>
      <x:c r="B1916" s="24" t="str">
        <x:v>SIM</x:v>
      </x:c>
      <x:c r="C1916" s="24" t="str">
        <x:v>DISPONÍVEL</x:v>
      </x:c>
      <x:c r="D1916" s="24" t="str">
        <x:v>ZEISS</x:v>
      </x:c>
      <x:c r="E1916" s="24" t="str">
        <x:v>Visão Simples Especial</x:v>
      </x:c>
      <x:c r="F1916" s="24" t="str">
        <x:v>Surfaçada</x:v>
      </x:c>
      <x:c r="G1916" s="24" t="str">
        <x:v>Sport</x:v>
      </x:c>
      <x:c r="H1916" s="24" t="str">
        <x:v>PhotoFusion X Extra Dark Cinza</x:v>
      </x:c>
      <x:c r="I1916" s="24" t="str">
        <x:v>1.5</x:v>
      </x:c>
      <x:c r="J1916" s="24" t="str">
        <x:v>1.50</x:v>
      </x:c>
      <x:c r="K1916" s="24" t="str">
        <x:v>DuraVision Platinum UV</x:v>
      </x:c>
      <x:c r="L1916" s="40" t="n">
        <x:v>3840</x:v>
      </x:c>
      <x:c r="M1916" s="24" t="str">
        <x:v>-4.00 a +4.00</x:v>
      </x:c>
      <x:c r="N1916" s="24" t="str">
        <x:v>-4.00</x:v>
      </x:c>
      <x:c r="O1916" s="24" t="str">
        <x:v>85</x:v>
      </x:c>
      <x:c r="P1916" s="24" t="str">
        <x:v>3.00</x:v>
      </x:c>
      <x:c r="Q1916" s="24"/>
      <x:c r="R1916" s="24"/>
      <x:c r="S1916" s="26" t="n">
        <x:v>46113</x:v>
      </x:c>
      <x:c r="T1916" s="26"/>
      <x:c r="U1916" s="24" t="str">
        <x:v>ATIVA/SEM FIM INFORMADO</x:v>
      </x:c>
      <x:c r="V1916" s="24" t="str">
        <x:v>Programa de Parcerias ZEISS</x:v>
      </x:c>
      <x:c r="W1916" s="24" t="n">
        <x:v>29</x:v>
      </x:c>
      <x:c r="X1916" s="24" t="str">
        <x:v>tabela_zeiss.pdf</x:v>
      </x:c>
      <x:c r="Y1916" s="24" t="str">
        <x:v>alta</x:v>
      </x:c>
      <x:c r="Z1916" s="24"/>
      <x:c r="AA1916" s="24" t="str">
        <x:v>ZEISS|Visão Simples Especial|Surfaçada|Sport|PhotoFusion X Extra Dark Cinza|1.5|1.50|DuraVision Platinum UV|-4.00 a +4.00|-4.00|85|3.00|||29</x:v>
      </x:c>
    </x:row>
    <x:row r="1917">
      <x:c r="A1917" s="24" t="str">
        <x:v>ZS-8AF60391A9A1</x:v>
      </x:c>
      <x:c r="B1917" s="24" t="str">
        <x:v>SIM</x:v>
      </x:c>
      <x:c r="C1917" s="24" t="str">
        <x:v>DISPONÍVEL</x:v>
      </x:c>
      <x:c r="D1917" s="24" t="str">
        <x:v>ZEISS</x:v>
      </x:c>
      <x:c r="E1917" s="24" t="str">
        <x:v>Visão Simples Especial</x:v>
      </x:c>
      <x:c r="F1917" s="24" t="str">
        <x:v>Surfaçada</x:v>
      </x:c>
      <x:c r="G1917" s="24" t="str">
        <x:v>Sport</x:v>
      </x:c>
      <x:c r="H1917" s="24" t="str">
        <x:v>PhotoFusion X Extra Dark Cinza</x:v>
      </x:c>
      <x:c r="I1917" s="24" t="str">
        <x:v>1.5</x:v>
      </x:c>
      <x:c r="J1917" s="24" t="str">
        <x:v>1.50</x:v>
      </x:c>
      <x:c r="K1917" s="24" t="str">
        <x:v>DuraVision Silver UV</x:v>
      </x:c>
      <x:c r="L1917" s="40" t="n">
        <x:v>3580</x:v>
      </x:c>
      <x:c r="M1917" s="24" t="str">
        <x:v>-4.00 a +4.00</x:v>
      </x:c>
      <x:c r="N1917" s="24" t="str">
        <x:v>-4.00</x:v>
      </x:c>
      <x:c r="O1917" s="24" t="str">
        <x:v>85</x:v>
      </x:c>
      <x:c r="P1917" s="24" t="str">
        <x:v>3.00</x:v>
      </x:c>
      <x:c r="Q1917" s="24"/>
      <x:c r="R1917" s="24"/>
      <x:c r="S1917" s="26" t="n">
        <x:v>46113</x:v>
      </x:c>
      <x:c r="T1917" s="26"/>
      <x:c r="U1917" s="24" t="str">
        <x:v>ATIVA/SEM FIM INFORMADO</x:v>
      </x:c>
      <x:c r="V1917" s="24" t="str">
        <x:v>Programa de Parcerias ZEISS</x:v>
      </x:c>
      <x:c r="W1917" s="24" t="n">
        <x:v>29</x:v>
      </x:c>
      <x:c r="X1917" s="24" t="str">
        <x:v>tabela_zeiss.pdf</x:v>
      </x:c>
      <x:c r="Y1917" s="24" t="str">
        <x:v>alta</x:v>
      </x:c>
      <x:c r="Z1917" s="24"/>
      <x:c r="AA1917" s="24" t="str">
        <x:v>ZEISS|Visão Simples Especial|Surfaçada|Sport|PhotoFusion X Extra Dark Cinza|1.5|1.50|DuraVision Silver UV|-4.00 a +4.00|-4.00|85|3.00|||29</x:v>
      </x:c>
    </x:row>
    <x:row r="1918">
      <x:c r="A1918" s="24" t="str">
        <x:v>ZS-A7FABF64D8C6</x:v>
      </x:c>
      <x:c r="B1918" s="24" t="str">
        <x:v>SIM</x:v>
      </x:c>
      <x:c r="C1918" s="24" t="str">
        <x:v>DISPONÍVEL</x:v>
      </x:c>
      <x:c r="D1918" s="24" t="str">
        <x:v>ZEISS</x:v>
      </x:c>
      <x:c r="E1918" s="24" t="str">
        <x:v>Visão Simples Especial</x:v>
      </x:c>
      <x:c r="F1918" s="24" t="str">
        <x:v>Surfaçada</x:v>
      </x:c>
      <x:c r="G1918" s="24" t="str">
        <x:v>Sport</x:v>
      </x:c>
      <x:c r="H1918" s="24" t="str">
        <x:v>PhotoFusion X Extra Dark Cinza</x:v>
      </x:c>
      <x:c r="I1918" s="24" t="str">
        <x:v>1.5</x:v>
      </x:c>
      <x:c r="J1918" s="24" t="str">
        <x:v>1.50</x:v>
      </x:c>
      <x:c r="K1918" s="24" t="str">
        <x:v>DuraVision Chrome UV</x:v>
      </x:c>
      <x:c r="L1918" s="40" t="n">
        <x:v>3090</x:v>
      </x:c>
      <x:c r="M1918" s="24" t="str">
        <x:v>-4.00 a +4.00</x:v>
      </x:c>
      <x:c r="N1918" s="24" t="str">
        <x:v>-4.00</x:v>
      </x:c>
      <x:c r="O1918" s="24" t="str">
        <x:v>85</x:v>
      </x:c>
      <x:c r="P1918" s="24" t="str">
        <x:v>3.00</x:v>
      </x:c>
      <x:c r="Q1918" s="24"/>
      <x:c r="R1918" s="24"/>
      <x:c r="S1918" s="26" t="n">
        <x:v>46113</x:v>
      </x:c>
      <x:c r="T1918" s="26"/>
      <x:c r="U1918" s="24" t="str">
        <x:v>ATIVA/SEM FIM INFORMADO</x:v>
      </x:c>
      <x:c r="V1918" s="24" t="str">
        <x:v>Programa de Parcerias ZEISS</x:v>
      </x:c>
      <x:c r="W1918" s="24" t="n">
        <x:v>29</x:v>
      </x:c>
      <x:c r="X1918" s="24" t="str">
        <x:v>tabela_zeiss.pdf</x:v>
      </x:c>
      <x:c r="Y1918" s="24" t="str">
        <x:v>alta</x:v>
      </x:c>
      <x:c r="Z1918" s="24"/>
      <x:c r="AA1918" s="24" t="str">
        <x:v>ZEISS|Visão Simples Especial|Surfaçada|Sport|PhotoFusion X Extra Dark Cinza|1.5|1.50|DuraVision Chrome UV|-4.00 a +4.00|-4.00|85|3.00|||29</x:v>
      </x:c>
    </x:row>
    <x:row r="1919">
      <x:c r="A1919" s="24" t="str">
        <x:v>ZS-8D65144CE842</x:v>
      </x:c>
      <x:c r="B1919" s="24" t="str">
        <x:v>SIM</x:v>
      </x:c>
      <x:c r="C1919" s="24" t="str">
        <x:v>DISPONÍVEL</x:v>
      </x:c>
      <x:c r="D1919" s="24" t="str">
        <x:v>ZEISS</x:v>
      </x:c>
      <x:c r="E1919" s="24" t="str">
        <x:v>Visão Simples Especial</x:v>
      </x:c>
      <x:c r="F1919" s="24" t="str">
        <x:v>Surfaçada</x:v>
      </x:c>
      <x:c r="G1919" s="24" t="str">
        <x:v>Sport</x:v>
      </x:c>
      <x:c r="H1919" s="24" t="str">
        <x:v>PhotoFusion X Extra Dark Cinza</x:v>
      </x:c>
      <x:c r="I1919" s="24" t="str">
        <x:v>Poli</x:v>
      </x:c>
      <x:c r="J1919" s="24"/>
      <x:c r="K1919" s="24" t="str">
        <x:v>DuraVision Platinum UV</x:v>
      </x:c>
      <x:c r="L1919" s="40" t="n">
        <x:v>4200</x:v>
      </x:c>
      <x:c r="M1919" s="24" t="str">
        <x:v>-4.00 a +4.00</x:v>
      </x:c>
      <x:c r="N1919" s="24" t="str">
        <x:v>-4.00</x:v>
      </x:c>
      <x:c r="O1919" s="24" t="str">
        <x:v>80</x:v>
      </x:c>
      <x:c r="P1919" s="24" t="str">
        <x:v>3.00</x:v>
      </x:c>
      <x:c r="Q1919" s="24"/>
      <x:c r="R1919" s="24"/>
      <x:c r="S1919" s="26" t="n">
        <x:v>46113</x:v>
      </x:c>
      <x:c r="T1919" s="26"/>
      <x:c r="U1919" s="24" t="str">
        <x:v>ATIVA/SEM FIM INFORMADO</x:v>
      </x:c>
      <x:c r="V1919" s="24" t="str">
        <x:v>Programa de Parcerias ZEISS</x:v>
      </x:c>
      <x:c r="W1919" s="24" t="n">
        <x:v>29</x:v>
      </x:c>
      <x:c r="X1919" s="24" t="str">
        <x:v>tabela_zeiss.pdf</x:v>
      </x:c>
      <x:c r="Y1919" s="24" t="str">
        <x:v>alta</x:v>
      </x:c>
      <x:c r="Z1919" s="24"/>
      <x:c r="AA1919" s="24" t="str">
        <x:v>ZEISS|Visão Simples Especial|Surfaçada|Sport|PhotoFusion X Extra Dark Cinza|Poli||DuraVision Platinum UV|-4.00 a +4.00|-4.00|80|3.00|||29</x:v>
      </x:c>
    </x:row>
    <x:row r="1920">
      <x:c r="A1920" s="24" t="str">
        <x:v>ZS-AF5E32F651C8</x:v>
      </x:c>
      <x:c r="B1920" s="24" t="str">
        <x:v>SIM</x:v>
      </x:c>
      <x:c r="C1920" s="24" t="str">
        <x:v>DISPONÍVEL</x:v>
      </x:c>
      <x:c r="D1920" s="24" t="str">
        <x:v>ZEISS</x:v>
      </x:c>
      <x:c r="E1920" s="24" t="str">
        <x:v>Visão Simples Especial</x:v>
      </x:c>
      <x:c r="F1920" s="24" t="str">
        <x:v>Surfaçada</x:v>
      </x:c>
      <x:c r="G1920" s="24" t="str">
        <x:v>Sport</x:v>
      </x:c>
      <x:c r="H1920" s="24" t="str">
        <x:v>PhotoFusion X Extra Dark Cinza</x:v>
      </x:c>
      <x:c r="I1920" s="24" t="str">
        <x:v>Poli</x:v>
      </x:c>
      <x:c r="J1920" s="24"/>
      <x:c r="K1920" s="24" t="str">
        <x:v>DuraVision Silver UV</x:v>
      </x:c>
      <x:c r="L1920" s="40" t="n">
        <x:v>3940</x:v>
      </x:c>
      <x:c r="M1920" s="24" t="str">
        <x:v>-4.00 a +4.00</x:v>
      </x:c>
      <x:c r="N1920" s="24" t="str">
        <x:v>-4.00</x:v>
      </x:c>
      <x:c r="O1920" s="24" t="str">
        <x:v>80</x:v>
      </x:c>
      <x:c r="P1920" s="24" t="str">
        <x:v>3.00</x:v>
      </x:c>
      <x:c r="Q1920" s="24"/>
      <x:c r="R1920" s="24"/>
      <x:c r="S1920" s="26" t="n">
        <x:v>46113</x:v>
      </x:c>
      <x:c r="T1920" s="26"/>
      <x:c r="U1920" s="24" t="str">
        <x:v>ATIVA/SEM FIM INFORMADO</x:v>
      </x:c>
      <x:c r="V1920" s="24" t="str">
        <x:v>Programa de Parcerias ZEISS</x:v>
      </x:c>
      <x:c r="W1920" s="24" t="n">
        <x:v>29</x:v>
      </x:c>
      <x:c r="X1920" s="24" t="str">
        <x:v>tabela_zeiss.pdf</x:v>
      </x:c>
      <x:c r="Y1920" s="24" t="str">
        <x:v>alta</x:v>
      </x:c>
      <x:c r="Z1920" s="24"/>
      <x:c r="AA1920" s="24" t="str">
        <x:v>ZEISS|Visão Simples Especial|Surfaçada|Sport|PhotoFusion X Extra Dark Cinza|Poli||DuraVision Silver UV|-4.00 a +4.00|-4.00|80|3.00|||29</x:v>
      </x:c>
    </x:row>
    <x:row r="1921">
      <x:c r="A1921" s="24" t="str">
        <x:v>ZS-1FD5B89FCFC1</x:v>
      </x:c>
      <x:c r="B1921" s="24" t="str">
        <x:v>SIM</x:v>
      </x:c>
      <x:c r="C1921" s="24" t="str">
        <x:v>DISPONÍVEL</x:v>
      </x:c>
      <x:c r="D1921" s="24" t="str">
        <x:v>ZEISS</x:v>
      </x:c>
      <x:c r="E1921" s="24" t="str">
        <x:v>Visão Simples Especial</x:v>
      </x:c>
      <x:c r="F1921" s="24" t="str">
        <x:v>Surfaçada</x:v>
      </x:c>
      <x:c r="G1921" s="24" t="str">
        <x:v>Sport</x:v>
      </x:c>
      <x:c r="H1921" s="24" t="str">
        <x:v>PhotoFusion X Extra Dark Cinza</x:v>
      </x:c>
      <x:c r="I1921" s="24" t="str">
        <x:v>Poli</x:v>
      </x:c>
      <x:c r="J1921" s="24"/>
      <x:c r="K1921" s="24" t="str">
        <x:v>DuraVision Chrome UV</x:v>
      </x:c>
      <x:c r="L1921" s="40" t="n">
        <x:v>3450</x:v>
      </x:c>
      <x:c r="M1921" s="24" t="str">
        <x:v>-4.00 a +4.00</x:v>
      </x:c>
      <x:c r="N1921" s="24" t="str">
        <x:v>-4.00</x:v>
      </x:c>
      <x:c r="O1921" s="24" t="str">
        <x:v>80</x:v>
      </x:c>
      <x:c r="P1921" s="24" t="str">
        <x:v>3.00</x:v>
      </x:c>
      <x:c r="Q1921" s="24"/>
      <x:c r="R1921" s="24"/>
      <x:c r="S1921" s="26" t="n">
        <x:v>46113</x:v>
      </x:c>
      <x:c r="T1921" s="26"/>
      <x:c r="U1921" s="24" t="str">
        <x:v>ATIVA/SEM FIM INFORMADO</x:v>
      </x:c>
      <x:c r="V1921" s="24" t="str">
        <x:v>Programa de Parcerias ZEISS</x:v>
      </x:c>
      <x:c r="W1921" s="24" t="n">
        <x:v>29</x:v>
      </x:c>
      <x:c r="X1921" s="24" t="str">
        <x:v>tabela_zeiss.pdf</x:v>
      </x:c>
      <x:c r="Y1921" s="24" t="str">
        <x:v>alta</x:v>
      </x:c>
      <x:c r="Z1921" s="24"/>
      <x:c r="AA1921" s="24" t="str">
        <x:v>ZEISS|Visão Simples Especial|Surfaçada|Sport|PhotoFusion X Extra Dark Cinza|Poli||DuraVision Chrome UV|-4.00 a +4.00|-4.00|80|3.00|||29</x:v>
      </x:c>
    </x:row>
    <x:row r="1922">
      <x:c r="A1922" s="24" t="str">
        <x:v>ZS-55632877CE34</x:v>
      </x:c>
      <x:c r="B1922" s="24" t="str">
        <x:v>SIM</x:v>
      </x:c>
      <x:c r="C1922" s="24" t="str">
        <x:v>DISPONÍVEL</x:v>
      </x:c>
      <x:c r="D1922" s="24" t="str">
        <x:v>ZEISS</x:v>
      </x:c>
      <x:c r="E1922" s="24" t="str">
        <x:v>Visão Simples Especial</x:v>
      </x:c>
      <x:c r="F1922" s="24" t="str">
        <x:v>Surfaçada</x:v>
      </x:c>
      <x:c r="G1922" s="24" t="str">
        <x:v>Sport</x:v>
      </x:c>
      <x:c r="H1922" s="24" t="str">
        <x:v>PhotoFusion X Extra Dark Cinza</x:v>
      </x:c>
      <x:c r="I1922" s="24" t="str">
        <x:v>1.6</x:v>
      </x:c>
      <x:c r="J1922" s="24" t="str">
        <x:v>1.60</x:v>
      </x:c>
      <x:c r="K1922" s="24" t="str">
        <x:v>DuraVision Gold UV</x:v>
      </x:c>
      <x:c r="L1922" s="40" t="n">
        <x:v>4560</x:v>
      </x:c>
      <x:c r="M1922" s="24" t="str">
        <x:v>-4.00 a +4.00</x:v>
      </x:c>
      <x:c r="N1922" s="24" t="str">
        <x:v>-4.00</x:v>
      </x:c>
      <x:c r="O1922" s="24" t="str">
        <x:v>85</x:v>
      </x:c>
      <x:c r="P1922" s="24" t="str">
        <x:v>3.00</x:v>
      </x:c>
      <x:c r="Q1922" s="24"/>
      <x:c r="R1922" s="24"/>
      <x:c r="S1922" s="26" t="n">
        <x:v>46113</x:v>
      </x:c>
      <x:c r="T1922" s="26"/>
      <x:c r="U1922" s="24" t="str">
        <x:v>ATIVA/SEM FIM INFORMADO</x:v>
      </x:c>
      <x:c r="V1922" s="24" t="str">
        <x:v>Programa de Parcerias ZEISS</x:v>
      </x:c>
      <x:c r="W1922" s="24" t="n">
        <x:v>29</x:v>
      </x:c>
      <x:c r="X1922" s="24" t="str">
        <x:v>tabela_zeiss.pdf</x:v>
      </x:c>
      <x:c r="Y1922" s="24" t="str">
        <x:v>alta</x:v>
      </x:c>
      <x:c r="Z1922" s="24"/>
      <x:c r="AA1922" s="24" t="str">
        <x:v>ZEISS|Visão Simples Especial|Surfaçada|Sport|PhotoFusion X Extra Dark Cinza|1.6|1.60|DuraVision Gold UV|-4.00 a +4.00|-4.00|85|3.00|||29</x:v>
      </x:c>
    </x:row>
    <x:row r="1923">
      <x:c r="A1923" s="24" t="str">
        <x:v>ZS-4200191A3B1F</x:v>
      </x:c>
      <x:c r="B1923" s="24" t="str">
        <x:v>SIM</x:v>
      </x:c>
      <x:c r="C1923" s="24" t="str">
        <x:v>DISPONÍVEL</x:v>
      </x:c>
      <x:c r="D1923" s="24" t="str">
        <x:v>ZEISS</x:v>
      </x:c>
      <x:c r="E1923" s="24" t="str">
        <x:v>Visão Simples Especial</x:v>
      </x:c>
      <x:c r="F1923" s="24" t="str">
        <x:v>Surfaçada</x:v>
      </x:c>
      <x:c r="G1923" s="24" t="str">
        <x:v>Sport</x:v>
      </x:c>
      <x:c r="H1923" s="24" t="str">
        <x:v>PhotoFusion X Extra Dark Cinza</x:v>
      </x:c>
      <x:c r="I1923" s="24" t="str">
        <x:v>1.6</x:v>
      </x:c>
      <x:c r="J1923" s="24" t="str">
        <x:v>1.60</x:v>
      </x:c>
      <x:c r="K1923" s="24" t="str">
        <x:v>DURAVISION® ANTIVÍRUS PLATINUM UV</x:v>
      </x:c>
      <x:c r="L1923" s="40" t="n">
        <x:v>4420</x:v>
      </x:c>
      <x:c r="M1923" s="24" t="str">
        <x:v>-4.00 a +4.00</x:v>
      </x:c>
      <x:c r="N1923" s="24" t="str">
        <x:v>-4.00</x:v>
      </x:c>
      <x:c r="O1923" s="24" t="str">
        <x:v>85</x:v>
      </x:c>
      <x:c r="P1923" s="24" t="str">
        <x:v>3.00</x:v>
      </x:c>
      <x:c r="Q1923" s="24"/>
      <x:c r="R1923" s="24"/>
      <x:c r="S1923" s="26" t="n">
        <x:v>46113</x:v>
      </x:c>
      <x:c r="T1923" s="26"/>
      <x:c r="U1923" s="24" t="str">
        <x:v>ATIVA/SEM FIM INFORMADO</x:v>
      </x:c>
      <x:c r="V1923" s="24" t="str">
        <x:v>Programa de Parcerias ZEISS</x:v>
      </x:c>
      <x:c r="W1923" s="24" t="n">
        <x:v>29</x:v>
      </x:c>
      <x:c r="X1923" s="24" t="str">
        <x:v>tabela_zeiss.pdf</x:v>
      </x:c>
      <x:c r="Y1923" s="24" t="str">
        <x:v>alta</x:v>
      </x:c>
      <x:c r="Z1923" s="24"/>
      <x:c r="AA1923" s="24" t="str">
        <x:v>ZEISS|Visão Simples Especial|Surfaçada|Sport|PhotoFusion X Extra Dark Cinza|1.6|1.60|DURAVISION® ANTIVÍRUS PLATINUM UV|-4.00 a +4.00|-4.00|85|3.00|||29</x:v>
      </x:c>
    </x:row>
    <x:row r="1924">
      <x:c r="A1924" s="24" t="str">
        <x:v>ZS-68C97ED1C0E4</x:v>
      </x:c>
      <x:c r="B1924" s="24" t="str">
        <x:v>SIM</x:v>
      </x:c>
      <x:c r="C1924" s="24" t="str">
        <x:v>DISPONÍVEL</x:v>
      </x:c>
      <x:c r="D1924" s="24" t="str">
        <x:v>ZEISS</x:v>
      </x:c>
      <x:c r="E1924" s="24" t="str">
        <x:v>Visão Simples Especial</x:v>
      </x:c>
      <x:c r="F1924" s="24" t="str">
        <x:v>Surfaçada</x:v>
      </x:c>
      <x:c r="G1924" s="24" t="str">
        <x:v>Sport</x:v>
      </x:c>
      <x:c r="H1924" s="24" t="str">
        <x:v>PhotoFusion X Extra Dark Cinza</x:v>
      </x:c>
      <x:c r="I1924" s="24" t="str">
        <x:v>1.6</x:v>
      </x:c>
      <x:c r="J1924" s="24" t="str">
        <x:v>1.60</x:v>
      </x:c>
      <x:c r="K1924" s="24" t="str">
        <x:v>DuraVision Platinum UV</x:v>
      </x:c>
      <x:c r="L1924" s="40" t="n">
        <x:v>4420</x:v>
      </x:c>
      <x:c r="M1924" s="24" t="str">
        <x:v>-4.00 a +4.00</x:v>
      </x:c>
      <x:c r="N1924" s="24" t="str">
        <x:v>-4.00</x:v>
      </x:c>
      <x:c r="O1924" s="24" t="str">
        <x:v>85</x:v>
      </x:c>
      <x:c r="P1924" s="24" t="str">
        <x:v>3.00</x:v>
      </x:c>
      <x:c r="Q1924" s="24"/>
      <x:c r="R1924" s="24"/>
      <x:c r="S1924" s="26" t="n">
        <x:v>46113</x:v>
      </x:c>
      <x:c r="T1924" s="26"/>
      <x:c r="U1924" s="24" t="str">
        <x:v>ATIVA/SEM FIM INFORMADO</x:v>
      </x:c>
      <x:c r="V1924" s="24" t="str">
        <x:v>Programa de Parcerias ZEISS</x:v>
      </x:c>
      <x:c r="W1924" s="24" t="n">
        <x:v>29</x:v>
      </x:c>
      <x:c r="X1924" s="24" t="str">
        <x:v>tabela_zeiss.pdf</x:v>
      </x:c>
      <x:c r="Y1924" s="24" t="str">
        <x:v>alta</x:v>
      </x:c>
      <x:c r="Z1924" s="24"/>
      <x:c r="AA1924" s="24" t="str">
        <x:v>ZEISS|Visão Simples Especial|Surfaçada|Sport|PhotoFusion X Extra Dark Cinza|1.6|1.60|DuraVision Platinum UV|-4.00 a +4.00|-4.00|85|3.00|||29</x:v>
      </x:c>
    </x:row>
    <x:row r="1925">
      <x:c r="A1925" s="24" t="str">
        <x:v>ZS-C84A40D9B6B3</x:v>
      </x:c>
      <x:c r="B1925" s="24" t="str">
        <x:v>SIM</x:v>
      </x:c>
      <x:c r="C1925" s="24" t="str">
        <x:v>DISPONÍVEL</x:v>
      </x:c>
      <x:c r="D1925" s="24" t="str">
        <x:v>ZEISS</x:v>
      </x:c>
      <x:c r="E1925" s="24" t="str">
        <x:v>Visão Simples Especial</x:v>
      </x:c>
      <x:c r="F1925" s="24" t="str">
        <x:v>Surfaçada</x:v>
      </x:c>
      <x:c r="G1925" s="24" t="str">
        <x:v>Sport</x:v>
      </x:c>
      <x:c r="H1925" s="24" t="str">
        <x:v>PhotoFusion X Extra Dark Cinza</x:v>
      </x:c>
      <x:c r="I1925" s="24" t="str">
        <x:v>1.6</x:v>
      </x:c>
      <x:c r="J1925" s="24" t="str">
        <x:v>1.60</x:v>
      </x:c>
      <x:c r="K1925" s="24" t="str">
        <x:v>DuraVision Silver UV</x:v>
      </x:c>
      <x:c r="L1925" s="40" t="n">
        <x:v>4160</x:v>
      </x:c>
      <x:c r="M1925" s="24" t="str">
        <x:v>-4.00 a +4.00</x:v>
      </x:c>
      <x:c r="N1925" s="24" t="str">
        <x:v>-4.00</x:v>
      </x:c>
      <x:c r="O1925" s="24" t="str">
        <x:v>85</x:v>
      </x:c>
      <x:c r="P1925" s="24" t="str">
        <x:v>3.00</x:v>
      </x:c>
      <x:c r="Q1925" s="24"/>
      <x:c r="R1925" s="24"/>
      <x:c r="S1925" s="26" t="n">
        <x:v>46113</x:v>
      </x:c>
      <x:c r="T1925" s="26"/>
      <x:c r="U1925" s="24" t="str">
        <x:v>ATIVA/SEM FIM INFORMADO</x:v>
      </x:c>
      <x:c r="V1925" s="24" t="str">
        <x:v>Programa de Parcerias ZEISS</x:v>
      </x:c>
      <x:c r="W1925" s="24" t="n">
        <x:v>29</x:v>
      </x:c>
      <x:c r="X1925" s="24" t="str">
        <x:v>tabela_zeiss.pdf</x:v>
      </x:c>
      <x:c r="Y1925" s="24" t="str">
        <x:v>alta</x:v>
      </x:c>
      <x:c r="Z1925" s="24"/>
      <x:c r="AA1925" s="24" t="str">
        <x:v>ZEISS|Visão Simples Especial|Surfaçada|Sport|PhotoFusion X Extra Dark Cinza|1.6|1.60|DuraVision Silver UV|-4.00 a +4.00|-4.00|85|3.00|||29</x:v>
      </x:c>
    </x:row>
    <x:row r="1926">
      <x:c r="A1926" s="24" t="str">
        <x:v>ZS-02837BA91A5D</x:v>
      </x:c>
      <x:c r="B1926" s="24" t="str">
        <x:v>SIM</x:v>
      </x:c>
      <x:c r="C1926" s="24" t="str">
        <x:v>DISPONÍVEL</x:v>
      </x:c>
      <x:c r="D1926" s="24" t="str">
        <x:v>ZEISS</x:v>
      </x:c>
      <x:c r="E1926" s="24" t="str">
        <x:v>Visão Simples Especial</x:v>
      </x:c>
      <x:c r="F1926" s="24" t="str">
        <x:v>Surfaçada</x:v>
      </x:c>
      <x:c r="G1926" s="24" t="str">
        <x:v>Sport</x:v>
      </x:c>
      <x:c r="H1926" s="24" t="str">
        <x:v>PhotoFusion X Extra Dark Cinza</x:v>
      </x:c>
      <x:c r="I1926" s="24" t="str">
        <x:v>1.6</x:v>
      </x:c>
      <x:c r="J1926" s="24" t="str">
        <x:v>1.60</x:v>
      </x:c>
      <x:c r="K1926" s="24" t="str">
        <x:v>DuraVision Chrome UV</x:v>
      </x:c>
      <x:c r="L1926" s="40" t="n">
        <x:v>3670</x:v>
      </x:c>
      <x:c r="M1926" s="24" t="str">
        <x:v>-4.00 a +4.00</x:v>
      </x:c>
      <x:c r="N1926" s="24" t="str">
        <x:v>-4.00</x:v>
      </x:c>
      <x:c r="O1926" s="24" t="str">
        <x:v>85</x:v>
      </x:c>
      <x:c r="P1926" s="24" t="str">
        <x:v>3.00</x:v>
      </x:c>
      <x:c r="Q1926" s="24"/>
      <x:c r="R1926" s="24"/>
      <x:c r="S1926" s="26" t="n">
        <x:v>46113</x:v>
      </x:c>
      <x:c r="T1926" s="26"/>
      <x:c r="U1926" s="24" t="str">
        <x:v>ATIVA/SEM FIM INFORMADO</x:v>
      </x:c>
      <x:c r="V1926" s="24" t="str">
        <x:v>Programa de Parcerias ZEISS</x:v>
      </x:c>
      <x:c r="W1926" s="24" t="n">
        <x:v>29</x:v>
      </x:c>
      <x:c r="X1926" s="24" t="str">
        <x:v>tabela_zeiss.pdf</x:v>
      </x:c>
      <x:c r="Y1926" s="24" t="str">
        <x:v>alta</x:v>
      </x:c>
      <x:c r="Z1926" s="24"/>
      <x:c r="AA1926" s="24" t="str">
        <x:v>ZEISS|Visão Simples Especial|Surfaçada|Sport|PhotoFusion X Extra Dark Cinza|1.6|1.60|DuraVision Chrome UV|-4.00 a +4.00|-4.00|85|3.00|||29</x:v>
      </x:c>
    </x:row>
    <x:row r="1927">
      <x:c r="A1927" s="24" t="str">
        <x:v>ZS-40804EBE5467</x:v>
      </x:c>
      <x:c r="B1927" s="24" t="str">
        <x:v>SIM</x:v>
      </x:c>
      <x:c r="C1927" s="24" t="str">
        <x:v>DISPONÍVEL</x:v>
      </x:c>
      <x:c r="D1927" s="24" t="str">
        <x:v>ZEISS</x:v>
      </x:c>
      <x:c r="E1927" s="24" t="str">
        <x:v>Visão Simples Especial</x:v>
      </x:c>
      <x:c r="F1927" s="24" t="str">
        <x:v>Surfaçada</x:v>
      </x:c>
      <x:c r="G1927" s="24" t="str">
        <x:v>Sport</x:v>
      </x:c>
      <x:c r="H1927" s="24" t="str">
        <x:v>Polarizada</x:v>
      </x:c>
      <x:c r="I1927" s="24" t="str">
        <x:v>1.5</x:v>
      </x:c>
      <x:c r="J1927" s="24" t="str">
        <x:v>1.50</x:v>
      </x:c>
      <x:c r="K1927" s="24" t="str">
        <x:v>DuraVision Gold UV</x:v>
      </x:c>
      <x:c r="L1927" s="40" t="n">
        <x:v>3350</x:v>
      </x:c>
      <x:c r="M1927" s="24" t="str">
        <x:v>-4.00 a +4.00</x:v>
      </x:c>
      <x:c r="N1927" s="24" t="str">
        <x:v>-4.00</x:v>
      </x:c>
      <x:c r="O1927" s="24" t="str">
        <x:v>85</x:v>
      </x:c>
      <x:c r="P1927" s="24" t="str">
        <x:v>3.00</x:v>
      </x:c>
      <x:c r="Q1927" s="24"/>
      <x:c r="R1927" s="24"/>
      <x:c r="S1927" s="26" t="n">
        <x:v>46113</x:v>
      </x:c>
      <x:c r="T1927" s="26"/>
      <x:c r="U1927" s="24" t="str">
        <x:v>ATIVA/SEM FIM INFORMADO</x:v>
      </x:c>
      <x:c r="V1927" s="24"/>
      <x:c r="W1927" s="24" t="n">
        <x:v>29</x:v>
      </x:c>
      <x:c r="X1927" s="24" t="str">
        <x:v>tabela_zeiss.pdf</x:v>
      </x:c>
      <x:c r="Y1927" s="24" t="str">
        <x:v>alta</x:v>
      </x:c>
      <x:c r="Z1927" s="24"/>
      <x:c r="AA1927" s="24" t="str">
        <x:v>ZEISS|Visão Simples Especial|Surfaçada|Sport|Polarizada|1.5|1.50|DuraVision Gold UV|-4.00 a +4.00|-4.00|85|3.00|||29</x:v>
      </x:c>
    </x:row>
    <x:row r="1928">
      <x:c r="A1928" s="24" t="str">
        <x:v>ZS-3048421DE054</x:v>
      </x:c>
      <x:c r="B1928" s="24" t="str">
        <x:v>SIM</x:v>
      </x:c>
      <x:c r="C1928" s="24" t="str">
        <x:v>DISPONÍVEL</x:v>
      </x:c>
      <x:c r="D1928" s="24" t="str">
        <x:v>ZEISS</x:v>
      </x:c>
      <x:c r="E1928" s="24" t="str">
        <x:v>Visão Simples Especial</x:v>
      </x:c>
      <x:c r="F1928" s="24" t="str">
        <x:v>Surfaçada</x:v>
      </x:c>
      <x:c r="G1928" s="24" t="str">
        <x:v>Sport</x:v>
      </x:c>
      <x:c r="H1928" s="24" t="str">
        <x:v>Polarizada</x:v>
      </x:c>
      <x:c r="I1928" s="24" t="str">
        <x:v>1.5</x:v>
      </x:c>
      <x:c r="J1928" s="24" t="str">
        <x:v>1.50</x:v>
      </x:c>
      <x:c r="K1928" s="24" t="str">
        <x:v>DuraVision Platinum UV</x:v>
      </x:c>
      <x:c r="L1928" s="40" t="n">
        <x:v>3210</x:v>
      </x:c>
      <x:c r="M1928" s="24" t="str">
        <x:v>-4.00 a +4.00</x:v>
      </x:c>
      <x:c r="N1928" s="24" t="str">
        <x:v>-4.00</x:v>
      </x:c>
      <x:c r="O1928" s="24" t="str">
        <x:v>85</x:v>
      </x:c>
      <x:c r="P1928" s="24" t="str">
        <x:v>3.00</x:v>
      </x:c>
      <x:c r="Q1928" s="24"/>
      <x:c r="R1928" s="24"/>
      <x:c r="S1928" s="26" t="n">
        <x:v>46113</x:v>
      </x:c>
      <x:c r="T1928" s="26"/>
      <x:c r="U1928" s="24" t="str">
        <x:v>ATIVA/SEM FIM INFORMADO</x:v>
      </x:c>
      <x:c r="V1928" s="24"/>
      <x:c r="W1928" s="24" t="n">
        <x:v>29</x:v>
      </x:c>
      <x:c r="X1928" s="24" t="str">
        <x:v>tabela_zeiss.pdf</x:v>
      </x:c>
      <x:c r="Y1928" s="24" t="str">
        <x:v>alta</x:v>
      </x:c>
      <x:c r="Z1928" s="24"/>
      <x:c r="AA1928" s="24" t="str">
        <x:v>ZEISS|Visão Simples Especial|Surfaçada|Sport|Polarizada|1.5|1.50|DuraVision Platinum UV|-4.00 a +4.00|-4.00|85|3.00|||29</x:v>
      </x:c>
    </x:row>
    <x:row r="1929">
      <x:c r="A1929" s="24" t="str">
        <x:v>ZS-B37E29F02295</x:v>
      </x:c>
      <x:c r="B1929" s="24" t="str">
        <x:v>SIM</x:v>
      </x:c>
      <x:c r="C1929" s="24" t="str">
        <x:v>DISPONÍVEL</x:v>
      </x:c>
      <x:c r="D1929" s="24" t="str">
        <x:v>ZEISS</x:v>
      </x:c>
      <x:c r="E1929" s="24" t="str">
        <x:v>Visão Simples Especial</x:v>
      </x:c>
      <x:c r="F1929" s="24" t="str">
        <x:v>Surfaçada</x:v>
      </x:c>
      <x:c r="G1929" s="24" t="str">
        <x:v>Sport</x:v>
      </x:c>
      <x:c r="H1929" s="24" t="str">
        <x:v>Polarizada</x:v>
      </x:c>
      <x:c r="I1929" s="24" t="str">
        <x:v>1.5</x:v>
      </x:c>
      <x:c r="J1929" s="24" t="str">
        <x:v>1.50</x:v>
      </x:c>
      <x:c r="K1929" s="24" t="str">
        <x:v>DuraVision Silver UV</x:v>
      </x:c>
      <x:c r="L1929" s="40" t="n">
        <x:v>2950</x:v>
      </x:c>
      <x:c r="M1929" s="24" t="str">
        <x:v>-4.00 a +4.00</x:v>
      </x:c>
      <x:c r="N1929" s="24" t="str">
        <x:v>-4.00</x:v>
      </x:c>
      <x:c r="O1929" s="24" t="str">
        <x:v>85</x:v>
      </x:c>
      <x:c r="P1929" s="24" t="str">
        <x:v>3.00</x:v>
      </x:c>
      <x:c r="Q1929" s="24"/>
      <x:c r="R1929" s="24"/>
      <x:c r="S1929" s="26" t="n">
        <x:v>46113</x:v>
      </x:c>
      <x:c r="T1929" s="26"/>
      <x:c r="U1929" s="24" t="str">
        <x:v>ATIVA/SEM FIM INFORMADO</x:v>
      </x:c>
      <x:c r="V1929" s="24"/>
      <x:c r="W1929" s="24" t="n">
        <x:v>29</x:v>
      </x:c>
      <x:c r="X1929" s="24" t="str">
        <x:v>tabela_zeiss.pdf</x:v>
      </x:c>
      <x:c r="Y1929" s="24" t="str">
        <x:v>alta</x:v>
      </x:c>
      <x:c r="Z1929" s="24"/>
      <x:c r="AA1929" s="24" t="str">
        <x:v>ZEISS|Visão Simples Especial|Surfaçada|Sport|Polarizada|1.5|1.50|DuraVision Silver UV|-4.00 a +4.00|-4.00|85|3.00|||29</x:v>
      </x:c>
    </x:row>
    <x:row r="1930">
      <x:c r="A1930" s="24" t="str">
        <x:v>ZS-794E5D685609</x:v>
      </x:c>
      <x:c r="B1930" s="24" t="str">
        <x:v>SIM</x:v>
      </x:c>
      <x:c r="C1930" s="24" t="str">
        <x:v>DISPONÍVEL</x:v>
      </x:c>
      <x:c r="D1930" s="24" t="str">
        <x:v>ZEISS</x:v>
      </x:c>
      <x:c r="E1930" s="24" t="str">
        <x:v>Visão Simples Especial</x:v>
      </x:c>
      <x:c r="F1930" s="24" t="str">
        <x:v>Surfaçada</x:v>
      </x:c>
      <x:c r="G1930" s="24" t="str">
        <x:v>Sport</x:v>
      </x:c>
      <x:c r="H1930" s="24" t="str">
        <x:v>Polarizada</x:v>
      </x:c>
      <x:c r="I1930" s="24" t="str">
        <x:v>1.5</x:v>
      </x:c>
      <x:c r="J1930" s="24" t="str">
        <x:v>1.50</x:v>
      </x:c>
      <x:c r="K1930" s="24" t="str">
        <x:v>DuraVision Chrome UV</x:v>
      </x:c>
      <x:c r="L1930" s="40" t="n">
        <x:v>2460</x:v>
      </x:c>
      <x:c r="M1930" s="24" t="str">
        <x:v>-4.00 a +4.00</x:v>
      </x:c>
      <x:c r="N1930" s="24" t="str">
        <x:v>-4.00</x:v>
      </x:c>
      <x:c r="O1930" s="24" t="str">
        <x:v>85</x:v>
      </x:c>
      <x:c r="P1930" s="24" t="str">
        <x:v>3.00</x:v>
      </x:c>
      <x:c r="Q1930" s="24"/>
      <x:c r="R1930" s="24"/>
      <x:c r="S1930" s="26" t="n">
        <x:v>46113</x:v>
      </x:c>
      <x:c r="T1930" s="26"/>
      <x:c r="U1930" s="24" t="str">
        <x:v>ATIVA/SEM FIM INFORMADO</x:v>
      </x:c>
      <x:c r="V1930" s="24"/>
      <x:c r="W1930" s="24" t="n">
        <x:v>29</x:v>
      </x:c>
      <x:c r="X1930" s="24" t="str">
        <x:v>tabela_zeiss.pdf</x:v>
      </x:c>
      <x:c r="Y1930" s="24" t="str">
        <x:v>alta</x:v>
      </x:c>
      <x:c r="Z1930" s="24"/>
      <x:c r="AA1930" s="24" t="str">
        <x:v>ZEISS|Visão Simples Especial|Surfaçada|Sport|Polarizada|1.5|1.50|DuraVision Chrome UV|-4.00 a +4.00|-4.00|85|3.00|||29</x:v>
      </x:c>
    </x:row>
    <x:row r="1931">
      <x:c r="A1931" s="24" t="str">
        <x:v>ZS-67D942D0900C</x:v>
      </x:c>
      <x:c r="B1931" s="24" t="str">
        <x:v>SIM</x:v>
      </x:c>
      <x:c r="C1931" s="24" t="str">
        <x:v>DISPONÍVEL</x:v>
      </x:c>
      <x:c r="D1931" s="24" t="str">
        <x:v>ZEISS</x:v>
      </x:c>
      <x:c r="E1931" s="24" t="str">
        <x:v>Visão Simples Especial</x:v>
      </x:c>
      <x:c r="F1931" s="24" t="str">
        <x:v>Surfaçada</x:v>
      </x:c>
      <x:c r="G1931" s="24" t="str">
        <x:v>Sport</x:v>
      </x:c>
      <x:c r="H1931" s="24" t="str">
        <x:v>Polarizada</x:v>
      </x:c>
      <x:c r="I1931" s="24" t="str">
        <x:v>1.6</x:v>
      </x:c>
      <x:c r="J1931" s="24" t="str">
        <x:v>1.60</x:v>
      </x:c>
      <x:c r="K1931" s="24" t="str">
        <x:v>DuraVision Gold UV</x:v>
      </x:c>
      <x:c r="L1931" s="40" t="n">
        <x:v>3930</x:v>
      </x:c>
      <x:c r="M1931" s="24" t="str">
        <x:v>-4.00 a +4.00</x:v>
      </x:c>
      <x:c r="N1931" s="24" t="str">
        <x:v>-4.00</x:v>
      </x:c>
      <x:c r="O1931" s="24" t="str">
        <x:v>85</x:v>
      </x:c>
      <x:c r="P1931" s="24" t="str">
        <x:v>3.00</x:v>
      </x:c>
      <x:c r="Q1931" s="24"/>
      <x:c r="R1931" s="24"/>
      <x:c r="S1931" s="26" t="n">
        <x:v>46113</x:v>
      </x:c>
      <x:c r="T1931" s="26"/>
      <x:c r="U1931" s="24" t="str">
        <x:v>ATIVA/SEM FIM INFORMADO</x:v>
      </x:c>
      <x:c r="V1931" s="24"/>
      <x:c r="W1931" s="24" t="n">
        <x:v>29</x:v>
      </x:c>
      <x:c r="X1931" s="24" t="str">
        <x:v>tabela_zeiss.pdf</x:v>
      </x:c>
      <x:c r="Y1931" s="24" t="str">
        <x:v>alta</x:v>
      </x:c>
      <x:c r="Z1931" s="24"/>
      <x:c r="AA1931" s="24" t="str">
        <x:v>ZEISS|Visão Simples Especial|Surfaçada|Sport|Polarizada|1.6|1.60|DuraVision Gold UV|-4.00 a +4.00|-4.00|85|3.00|||29</x:v>
      </x:c>
    </x:row>
    <x:row r="1932">
      <x:c r="A1932" s="24" t="str">
        <x:v>ZS-02A4040E11B0</x:v>
      </x:c>
      <x:c r="B1932" s="24" t="str">
        <x:v>SIM</x:v>
      </x:c>
      <x:c r="C1932" s="24" t="str">
        <x:v>DISPONÍVEL</x:v>
      </x:c>
      <x:c r="D1932" s="24" t="str">
        <x:v>ZEISS</x:v>
      </x:c>
      <x:c r="E1932" s="24" t="str">
        <x:v>Visão Simples Especial</x:v>
      </x:c>
      <x:c r="F1932" s="24" t="str">
        <x:v>Surfaçada</x:v>
      </x:c>
      <x:c r="G1932" s="24" t="str">
        <x:v>Sport</x:v>
      </x:c>
      <x:c r="H1932" s="24" t="str">
        <x:v>Polarizada</x:v>
      </x:c>
      <x:c r="I1932" s="24" t="str">
        <x:v>1.6</x:v>
      </x:c>
      <x:c r="J1932" s="24" t="str">
        <x:v>1.60</x:v>
      </x:c>
      <x:c r="K1932" s="24" t="str">
        <x:v>DuraVision Platinum UV</x:v>
      </x:c>
      <x:c r="L1932" s="40" t="n">
        <x:v>3790</x:v>
      </x:c>
      <x:c r="M1932" s="24" t="str">
        <x:v>-4.00 a +4.00</x:v>
      </x:c>
      <x:c r="N1932" s="24" t="str">
        <x:v>-4.00</x:v>
      </x:c>
      <x:c r="O1932" s="24" t="str">
        <x:v>85</x:v>
      </x:c>
      <x:c r="P1932" s="24" t="str">
        <x:v>3.00</x:v>
      </x:c>
      <x:c r="Q1932" s="24"/>
      <x:c r="R1932" s="24"/>
      <x:c r="S1932" s="26" t="n">
        <x:v>46113</x:v>
      </x:c>
      <x:c r="T1932" s="26"/>
      <x:c r="U1932" s="24" t="str">
        <x:v>ATIVA/SEM FIM INFORMADO</x:v>
      </x:c>
      <x:c r="V1932" s="24"/>
      <x:c r="W1932" s="24" t="n">
        <x:v>29</x:v>
      </x:c>
      <x:c r="X1932" s="24" t="str">
        <x:v>tabela_zeiss.pdf</x:v>
      </x:c>
      <x:c r="Y1932" s="24" t="str">
        <x:v>alta</x:v>
      </x:c>
      <x:c r="Z1932" s="24"/>
      <x:c r="AA1932" s="24" t="str">
        <x:v>ZEISS|Visão Simples Especial|Surfaçada|Sport|Polarizada|1.6|1.60|DuraVision Platinum UV|-4.00 a +4.00|-4.00|85|3.00|||29</x:v>
      </x:c>
    </x:row>
    <x:row r="1933">
      <x:c r="A1933" s="24" t="str">
        <x:v>ZS-B365A3128677</x:v>
      </x:c>
      <x:c r="B1933" s="24" t="str">
        <x:v>SIM</x:v>
      </x:c>
      <x:c r="C1933" s="24" t="str">
        <x:v>DISPONÍVEL</x:v>
      </x:c>
      <x:c r="D1933" s="24" t="str">
        <x:v>ZEISS</x:v>
      </x:c>
      <x:c r="E1933" s="24" t="str">
        <x:v>Visão Simples Especial</x:v>
      </x:c>
      <x:c r="F1933" s="24" t="str">
        <x:v>Surfaçada</x:v>
      </x:c>
      <x:c r="G1933" s="24" t="str">
        <x:v>Sport</x:v>
      </x:c>
      <x:c r="H1933" s="24" t="str">
        <x:v>Polarizada</x:v>
      </x:c>
      <x:c r="I1933" s="24" t="str">
        <x:v>1.6</x:v>
      </x:c>
      <x:c r="J1933" s="24" t="str">
        <x:v>1.60</x:v>
      </x:c>
      <x:c r="K1933" s="24" t="str">
        <x:v>DuraVision Silver UV</x:v>
      </x:c>
      <x:c r="L1933" s="40" t="n">
        <x:v>3530</x:v>
      </x:c>
      <x:c r="M1933" s="24" t="str">
        <x:v>-4.00 a +4.00</x:v>
      </x:c>
      <x:c r="N1933" s="24" t="str">
        <x:v>-4.00</x:v>
      </x:c>
      <x:c r="O1933" s="24" t="str">
        <x:v>85</x:v>
      </x:c>
      <x:c r="P1933" s="24" t="str">
        <x:v>3.00</x:v>
      </x:c>
      <x:c r="Q1933" s="24"/>
      <x:c r="R1933" s="24"/>
      <x:c r="S1933" s="26" t="n">
        <x:v>46113</x:v>
      </x:c>
      <x:c r="T1933" s="26"/>
      <x:c r="U1933" s="24" t="str">
        <x:v>ATIVA/SEM FIM INFORMADO</x:v>
      </x:c>
      <x:c r="V1933" s="24"/>
      <x:c r="W1933" s="24" t="n">
        <x:v>29</x:v>
      </x:c>
      <x:c r="X1933" s="24" t="str">
        <x:v>tabela_zeiss.pdf</x:v>
      </x:c>
      <x:c r="Y1933" s="24" t="str">
        <x:v>alta</x:v>
      </x:c>
      <x:c r="Z1933" s="24"/>
      <x:c r="AA1933" s="24" t="str">
        <x:v>ZEISS|Visão Simples Especial|Surfaçada|Sport|Polarizada|1.6|1.60|DuraVision Silver UV|-4.00 a +4.00|-4.00|85|3.00|||29</x:v>
      </x:c>
    </x:row>
    <x:row r="1934">
      <x:c r="A1934" s="24" t="str">
        <x:v>ZS-1297A21E547E</x:v>
      </x:c>
      <x:c r="B1934" s="24" t="str">
        <x:v>SIM</x:v>
      </x:c>
      <x:c r="C1934" s="24" t="str">
        <x:v>DISPONÍVEL</x:v>
      </x:c>
      <x:c r="D1934" s="24" t="str">
        <x:v>ZEISS</x:v>
      </x:c>
      <x:c r="E1934" s="24" t="str">
        <x:v>Visão Simples Especial</x:v>
      </x:c>
      <x:c r="F1934" s="24" t="str">
        <x:v>Surfaçada</x:v>
      </x:c>
      <x:c r="G1934" s="24" t="str">
        <x:v>Sport</x:v>
      </x:c>
      <x:c r="H1934" s="24" t="str">
        <x:v>Polarizada</x:v>
      </x:c>
      <x:c r="I1934" s="24" t="str">
        <x:v>1.6</x:v>
      </x:c>
      <x:c r="J1934" s="24" t="str">
        <x:v>1.60</x:v>
      </x:c>
      <x:c r="K1934" s="24" t="str">
        <x:v>DuraVision Chrome UV</x:v>
      </x:c>
      <x:c r="L1934" s="40" t="n">
        <x:v>3040</x:v>
      </x:c>
      <x:c r="M1934" s="24" t="str">
        <x:v>-4.00 a +4.00</x:v>
      </x:c>
      <x:c r="N1934" s="24" t="str">
        <x:v>-4.00</x:v>
      </x:c>
      <x:c r="O1934" s="24" t="str">
        <x:v>85</x:v>
      </x:c>
      <x:c r="P1934" s="24" t="str">
        <x:v>3.00</x:v>
      </x:c>
      <x:c r="Q1934" s="24"/>
      <x:c r="R1934" s="24"/>
      <x:c r="S1934" s="26" t="n">
        <x:v>46113</x:v>
      </x:c>
      <x:c r="T1934" s="26"/>
      <x:c r="U1934" s="24" t="str">
        <x:v>ATIVA/SEM FIM INFORMADO</x:v>
      </x:c>
      <x:c r="V1934" s="24"/>
      <x:c r="W1934" s="24" t="n">
        <x:v>29</x:v>
      </x:c>
      <x:c r="X1934" s="24" t="str">
        <x:v>tabela_zeiss.pdf</x:v>
      </x:c>
      <x:c r="Y1934" s="24" t="str">
        <x:v>alta</x:v>
      </x:c>
      <x:c r="Z1934" s="24"/>
      <x:c r="AA1934" s="24" t="str">
        <x:v>ZEISS|Visão Simples Especial|Surfaçada|Sport|Polarizada|1.6|1.60|DuraVision Chrome UV|-4.00 a +4.00|-4.00|85|3.00|||29</x:v>
      </x:c>
    </x:row>
    <x:row r="1935">
      <x:c r="A1935" s="24" t="str">
        <x:v>ZS-53DC269A0259</x:v>
      </x:c>
      <x:c r="B1935" s="24" t="str">
        <x:v>SIM</x:v>
      </x:c>
      <x:c r="C1935" s="24" t="str">
        <x:v>DISPONÍVEL</x:v>
      </x:c>
      <x:c r="D1935" s="24" t="str">
        <x:v>ZEISS</x:v>
      </x:c>
      <x:c r="E1935" s="24" t="str">
        <x:v>Visão Simples Especial</x:v>
      </x:c>
      <x:c r="F1935" s="24" t="str">
        <x:v>Surfaçada</x:v>
      </x:c>
      <x:c r="G1935" s="24" t="str">
        <x:v>EnergizeMe</x:v>
      </x:c>
      <x:c r="H1935" s="24"/>
      <x:c r="I1935" s="24" t="str">
        <x:v>1.5</x:v>
      </x:c>
      <x:c r="J1935" s="24" t="str">
        <x:v>1.50</x:v>
      </x:c>
      <x:c r="K1935" s="24" t="str">
        <x:v>DURAVISION® ANTIVÍRUS PLATINUM UV</x:v>
      </x:c>
      <x:c r="L1935" s="40" t="n">
        <x:v>1454</x:v>
      </x:c>
      <x:c r="M1935" s="24" t="str">
        <x:v>-6.00 a +6.00</x:v>
      </x:c>
      <x:c r="N1935" s="24" t="str">
        <x:v>-4.00</x:v>
      </x:c>
      <x:c r="O1935" s="24" t="str">
        <x:v>75</x:v>
      </x:c>
      <x:c r="P1935" s="24" t="str">
        <x:v>4.00</x:v>
      </x:c>
      <x:c r="Q1935" s="24"/>
      <x:c r="R1935" s="24"/>
      <x:c r="S1935" s="26" t="n">
        <x:v>46113</x:v>
      </x:c>
      <x:c r="T1935" s="26"/>
      <x:c r="U1935" s="24" t="str">
        <x:v>ATIVA/SEM FIM INFORMADO</x:v>
      </x:c>
      <x:c r="V1935" s="24"/>
      <x:c r="W1935" s="24" t="n">
        <x:v>30</x:v>
      </x:c>
      <x:c r="X1935" s="24" t="str">
        <x:v>tabela_zeiss.pdf</x:v>
      </x:c>
      <x:c r="Y1935" s="24" t="str">
        <x:v>alta</x:v>
      </x:c>
      <x:c r="Z1935" s="24"/>
      <x:c r="AA1935" s="24" t="str">
        <x:v>ZEISS|Visão Simples Especial|Surfaçada|EnergizeMe||1.5|1.50|DURAVISION® ANTIVÍRUS PLATINUM UV|-6.00 a +6.00|-4.00|75|4.00|||30</x:v>
      </x:c>
    </x:row>
    <x:row r="1936">
      <x:c r="A1936" s="24" t="str">
        <x:v>ZS-9ED10CDF6EC2</x:v>
      </x:c>
      <x:c r="B1936" s="24" t="str">
        <x:v>SIM</x:v>
      </x:c>
      <x:c r="C1936" s="24" t="str">
        <x:v>DISPONÍVEL</x:v>
      </x:c>
      <x:c r="D1936" s="24" t="str">
        <x:v>ZEISS</x:v>
      </x:c>
      <x:c r="E1936" s="24" t="str">
        <x:v>Visão Simples Especial</x:v>
      </x:c>
      <x:c r="F1936" s="24" t="str">
        <x:v>Surfaçada</x:v>
      </x:c>
      <x:c r="G1936" s="24" t="str">
        <x:v>EnergizeMe</x:v>
      </x:c>
      <x:c r="H1936" s="24"/>
      <x:c r="I1936" s="24" t="str">
        <x:v>1.5</x:v>
      </x:c>
      <x:c r="J1936" s="24" t="str">
        <x:v>1.50</x:v>
      </x:c>
      <x:c r="K1936" s="24" t="str">
        <x:v>DuraVision Platinum UV</x:v>
      </x:c>
      <x:c r="L1936" s="40" t="n">
        <x:v>1454</x:v>
      </x:c>
      <x:c r="M1936" s="24" t="str">
        <x:v>-6.00 a +6.00</x:v>
      </x:c>
      <x:c r="N1936" s="24" t="str">
        <x:v>-4.00</x:v>
      </x:c>
      <x:c r="O1936" s="24" t="str">
        <x:v>75</x:v>
      </x:c>
      <x:c r="P1936" s="24" t="str">
        <x:v>4.00</x:v>
      </x:c>
      <x:c r="Q1936" s="24"/>
      <x:c r="R1936" s="24"/>
      <x:c r="S1936" s="26" t="n">
        <x:v>46113</x:v>
      </x:c>
      <x:c r="T1936" s="26"/>
      <x:c r="U1936" s="24" t="str">
        <x:v>ATIVA/SEM FIM INFORMADO</x:v>
      </x:c>
      <x:c r="V1936" s="24"/>
      <x:c r="W1936" s="24" t="n">
        <x:v>30</x:v>
      </x:c>
      <x:c r="X1936" s="24" t="str">
        <x:v>tabela_zeiss.pdf</x:v>
      </x:c>
      <x:c r="Y1936" s="24" t="str">
        <x:v>alta</x:v>
      </x:c>
      <x:c r="Z1936" s="24"/>
      <x:c r="AA1936" s="24" t="str">
        <x:v>ZEISS|Visão Simples Especial|Surfaçada|EnergizeMe||1.5|1.50|DuraVision Platinum UV|-6.00 a +6.00|-4.00|75|4.00|||30</x:v>
      </x:c>
    </x:row>
    <x:row r="1937">
      <x:c r="A1937" s="24" t="str">
        <x:v>ZS-754548DD3644</x:v>
      </x:c>
      <x:c r="B1937" s="24" t="str">
        <x:v>SIM</x:v>
      </x:c>
      <x:c r="C1937" s="24" t="str">
        <x:v>DISPONÍVEL</x:v>
      </x:c>
      <x:c r="D1937" s="24" t="str">
        <x:v>ZEISS</x:v>
      </x:c>
      <x:c r="E1937" s="24" t="str">
        <x:v>Visão Simples Especial</x:v>
      </x:c>
      <x:c r="F1937" s="24" t="str">
        <x:v>Surfaçada</x:v>
      </x:c>
      <x:c r="G1937" s="24" t="str">
        <x:v>EnergizeMe</x:v>
      </x:c>
      <x:c r="H1937" s="24"/>
      <x:c r="I1937" s="24" t="str">
        <x:v>Poli</x:v>
      </x:c>
      <x:c r="J1937" s="24"/>
      <x:c r="K1937" s="24" t="str">
        <x:v>DuraVision Platinum UV</x:v>
      </x:c>
      <x:c r="L1937" s="40" t="n">
        <x:v>1814</x:v>
      </x:c>
      <x:c r="M1937" s="24" t="str">
        <x:v>-10.00 a +8.00</x:v>
      </x:c>
      <x:c r="N1937" s="24" t="str">
        <x:v>-4.00</x:v>
      </x:c>
      <x:c r="O1937" s="24" t="str">
        <x:v>70</x:v>
      </x:c>
      <x:c r="P1937" s="24" t="str">
        <x:v>4.00</x:v>
      </x:c>
      <x:c r="Q1937" s="24"/>
      <x:c r="R1937" s="24"/>
      <x:c r="S1937" s="26" t="n">
        <x:v>46113</x:v>
      </x:c>
      <x:c r="T1937" s="26"/>
      <x:c r="U1937" s="24" t="str">
        <x:v>ATIVA/SEM FIM INFORMADO</x:v>
      </x:c>
      <x:c r="V1937" s="24"/>
      <x:c r="W1937" s="24" t="n">
        <x:v>30</x:v>
      </x:c>
      <x:c r="X1937" s="24" t="str">
        <x:v>tabela_zeiss.pdf</x:v>
      </x:c>
      <x:c r="Y1937" s="24" t="str">
        <x:v>alta</x:v>
      </x:c>
      <x:c r="Z1937" s="24"/>
      <x:c r="AA1937" s="24" t="str">
        <x:v>ZEISS|Visão Simples Especial|Surfaçada|EnergizeMe||Poli||DuraVision Platinum UV|-10.00 a +8.00|-4.00|70|4.00|||30</x:v>
      </x:c>
    </x:row>
    <x:row r="1938">
      <x:c r="A1938" s="24" t="str">
        <x:v>ZS-245108A0EF1B</x:v>
      </x:c>
      <x:c r="B1938" s="24" t="str">
        <x:v>SIM</x:v>
      </x:c>
      <x:c r="C1938" s="24" t="str">
        <x:v>DISPONÍVEL</x:v>
      </x:c>
      <x:c r="D1938" s="24" t="str">
        <x:v>ZEISS</x:v>
      </x:c>
      <x:c r="E1938" s="24" t="str">
        <x:v>Visão Simples Especial</x:v>
      </x:c>
      <x:c r="F1938" s="24" t="str">
        <x:v>Surfaçada</x:v>
      </x:c>
      <x:c r="G1938" s="24" t="str">
        <x:v>EnergizeMe</x:v>
      </x:c>
      <x:c r="H1938" s="24"/>
      <x:c r="I1938" s="24" t="str">
        <x:v>1.6</x:v>
      </x:c>
      <x:c r="J1938" s="24" t="str">
        <x:v>1.60</x:v>
      </x:c>
      <x:c r="K1938" s="24" t="str">
        <x:v>DURAVISION® ANTIVÍRUS PLATINUM UV</x:v>
      </x:c>
      <x:c r="L1938" s="40" t="n">
        <x:v>2034</x:v>
      </x:c>
      <x:c r="M1938" s="24" t="str">
        <x:v>-6.00 a +6.00</x:v>
      </x:c>
      <x:c r="N1938" s="24" t="str">
        <x:v>-6.00</x:v>
      </x:c>
      <x:c r="O1938" s="24" t="str">
        <x:v>75</x:v>
      </x:c>
      <x:c r="P1938" s="24" t="str">
        <x:v>4.00</x:v>
      </x:c>
      <x:c r="Q1938" s="24"/>
      <x:c r="R1938" s="24"/>
      <x:c r="S1938" s="26" t="n">
        <x:v>46113</x:v>
      </x:c>
      <x:c r="T1938" s="26"/>
      <x:c r="U1938" s="24" t="str">
        <x:v>ATIVA/SEM FIM INFORMADO</x:v>
      </x:c>
      <x:c r="V1938" s="24"/>
      <x:c r="W1938" s="24" t="n">
        <x:v>30</x:v>
      </x:c>
      <x:c r="X1938" s="24" t="str">
        <x:v>tabela_zeiss.pdf</x:v>
      </x:c>
      <x:c r="Y1938" s="24" t="str">
        <x:v>alta</x:v>
      </x:c>
      <x:c r="Z1938" s="24"/>
      <x:c r="AA1938" s="24" t="str">
        <x:v>ZEISS|Visão Simples Especial|Surfaçada|EnergizeMe||1.6|1.60|DURAVISION® ANTIVÍRUS PLATINUM UV|-6.00 a +6.00|-6.00|75|4.00|||30</x:v>
      </x:c>
    </x:row>
    <x:row r="1939">
      <x:c r="A1939" s="24" t="str">
        <x:v>ZS-B1AAEDCD4F9C</x:v>
      </x:c>
      <x:c r="B1939" s="24" t="str">
        <x:v>SIM</x:v>
      </x:c>
      <x:c r="C1939" s="24" t="str">
        <x:v>DISPONÍVEL</x:v>
      </x:c>
      <x:c r="D1939" s="24" t="str">
        <x:v>ZEISS</x:v>
      </x:c>
      <x:c r="E1939" s="24" t="str">
        <x:v>Visão Simples Especial</x:v>
      </x:c>
      <x:c r="F1939" s="24" t="str">
        <x:v>Surfaçada</x:v>
      </x:c>
      <x:c r="G1939" s="24" t="str">
        <x:v>EnergizeMe</x:v>
      </x:c>
      <x:c r="H1939" s="24"/>
      <x:c r="I1939" s="24" t="str">
        <x:v>1.6</x:v>
      </x:c>
      <x:c r="J1939" s="24" t="str">
        <x:v>1.60</x:v>
      </x:c>
      <x:c r="K1939" s="24" t="str">
        <x:v>DuraVision Platinum UV</x:v>
      </x:c>
      <x:c r="L1939" s="40" t="n">
        <x:v>2034</x:v>
      </x:c>
      <x:c r="M1939" s="24" t="str">
        <x:v>-6.00 a +6.00</x:v>
      </x:c>
      <x:c r="N1939" s="24" t="str">
        <x:v>-6.00</x:v>
      </x:c>
      <x:c r="O1939" s="24" t="str">
        <x:v>75</x:v>
      </x:c>
      <x:c r="P1939" s="24" t="str">
        <x:v>4.00</x:v>
      </x:c>
      <x:c r="Q1939" s="24"/>
      <x:c r="R1939" s="24"/>
      <x:c r="S1939" s="26" t="n">
        <x:v>46113</x:v>
      </x:c>
      <x:c r="T1939" s="26"/>
      <x:c r="U1939" s="24" t="str">
        <x:v>ATIVA/SEM FIM INFORMADO</x:v>
      </x:c>
      <x:c r="V1939" s="24"/>
      <x:c r="W1939" s="24" t="n">
        <x:v>30</x:v>
      </x:c>
      <x:c r="X1939" s="24" t="str">
        <x:v>tabela_zeiss.pdf</x:v>
      </x:c>
      <x:c r="Y1939" s="24" t="str">
        <x:v>alta</x:v>
      </x:c>
      <x:c r="Z1939" s="24"/>
      <x:c r="AA1939" s="24" t="str">
        <x:v>ZEISS|Visão Simples Especial|Surfaçada|EnergizeMe||1.6|1.60|DuraVision Platinum UV|-6.00 a +6.00|-6.00|75|4.00|||30</x:v>
      </x:c>
    </x:row>
    <x:row r="1940">
      <x:c r="A1940" s="24" t="str">
        <x:v>ZS-A8D21FD89EB3</x:v>
      </x:c>
      <x:c r="B1940" s="24" t="str">
        <x:v>SIM</x:v>
      </x:c>
      <x:c r="C1940" s="24" t="str">
        <x:v>DISPONÍVEL</x:v>
      </x:c>
      <x:c r="D1940" s="24" t="str">
        <x:v>ZEISS</x:v>
      </x:c>
      <x:c r="E1940" s="24" t="str">
        <x:v>Visão Simples Especial</x:v>
      </x:c>
      <x:c r="F1940" s="24" t="str">
        <x:v>Surfaçada</x:v>
      </x:c>
      <x:c r="G1940" s="24" t="str">
        <x:v>EnergizeMe</x:v>
      </x:c>
      <x:c r="H1940" s="24"/>
      <x:c r="I1940" s="24" t="str">
        <x:v>1.67</x:v>
      </x:c>
      <x:c r="J1940" s="24" t="str">
        <x:v>1.67</x:v>
      </x:c>
      <x:c r="K1940" s="24" t="str">
        <x:v>DURAVISION® ANTIVÍRUS PLATINUM UV</x:v>
      </x:c>
      <x:c r="L1940" s="40" t="n">
        <x:v>3334</x:v>
      </x:c>
      <x:c r="M1940" s="24" t="str">
        <x:v>-8.00 a +8.00</x:v>
      </x:c>
      <x:c r="N1940" s="24" t="str">
        <x:v>-6.00</x:v>
      </x:c>
      <x:c r="O1940" s="24" t="str">
        <x:v>70</x:v>
      </x:c>
      <x:c r="P1940" s="24" t="str">
        <x:v>4.00</x:v>
      </x:c>
      <x:c r="Q1940" s="24"/>
      <x:c r="R1940" s="24"/>
      <x:c r="S1940" s="26" t="n">
        <x:v>46113</x:v>
      </x:c>
      <x:c r="T1940" s="26"/>
      <x:c r="U1940" s="24" t="str">
        <x:v>ATIVA/SEM FIM INFORMADO</x:v>
      </x:c>
      <x:c r="V1940" s="24"/>
      <x:c r="W1940" s="24" t="n">
        <x:v>30</x:v>
      </x:c>
      <x:c r="X1940" s="24" t="str">
        <x:v>tabela_zeiss.pdf</x:v>
      </x:c>
      <x:c r="Y1940" s="24" t="str">
        <x:v>alta</x:v>
      </x:c>
      <x:c r="Z1940" s="24"/>
      <x:c r="AA1940" s="24" t="str">
        <x:v>ZEISS|Visão Simples Especial|Surfaçada|EnergizeMe||1.67|1.67|DURAVISION® ANTIVÍRUS PLATINUM UV|-8.00 a +8.00|-6.00|70|4.00|||30</x:v>
      </x:c>
    </x:row>
    <x:row r="1941">
      <x:c r="A1941" s="24" t="str">
        <x:v>ZS-DE7FD2F6C5D2</x:v>
      </x:c>
      <x:c r="B1941" s="24" t="str">
        <x:v>SIM</x:v>
      </x:c>
      <x:c r="C1941" s="24" t="str">
        <x:v>DISPONÍVEL</x:v>
      </x:c>
      <x:c r="D1941" s="24" t="str">
        <x:v>ZEISS</x:v>
      </x:c>
      <x:c r="E1941" s="24" t="str">
        <x:v>Visão Simples Especial</x:v>
      </x:c>
      <x:c r="F1941" s="24" t="str">
        <x:v>Surfaçada</x:v>
      </x:c>
      <x:c r="G1941" s="24" t="str">
        <x:v>EnergizeMe</x:v>
      </x:c>
      <x:c r="H1941" s="24"/>
      <x:c r="I1941" s="24" t="str">
        <x:v>1.67</x:v>
      </x:c>
      <x:c r="J1941" s="24" t="str">
        <x:v>1.67</x:v>
      </x:c>
      <x:c r="K1941" s="24" t="str">
        <x:v>DuraVision Platinum UV</x:v>
      </x:c>
      <x:c r="L1941" s="40" t="n">
        <x:v>3334</x:v>
      </x:c>
      <x:c r="M1941" s="24" t="str">
        <x:v>-8.00 a +8.00</x:v>
      </x:c>
      <x:c r="N1941" s="24" t="str">
        <x:v>-6.00</x:v>
      </x:c>
      <x:c r="O1941" s="24" t="str">
        <x:v>70</x:v>
      </x:c>
      <x:c r="P1941" s="24" t="str">
        <x:v>4.00</x:v>
      </x:c>
      <x:c r="Q1941" s="24"/>
      <x:c r="R1941" s="24"/>
      <x:c r="S1941" s="26" t="n">
        <x:v>46113</x:v>
      </x:c>
      <x:c r="T1941" s="26"/>
      <x:c r="U1941" s="24" t="str">
        <x:v>ATIVA/SEM FIM INFORMADO</x:v>
      </x:c>
      <x:c r="V1941" s="24"/>
      <x:c r="W1941" s="24" t="n">
        <x:v>30</x:v>
      </x:c>
      <x:c r="X1941" s="24" t="str">
        <x:v>tabela_zeiss.pdf</x:v>
      </x:c>
      <x:c r="Y1941" s="24" t="str">
        <x:v>alta</x:v>
      </x:c>
      <x:c r="Z1941" s="24"/>
      <x:c r="AA1941" s="24" t="str">
        <x:v>ZEISS|Visão Simples Especial|Surfaçada|EnergizeMe||1.67|1.67|DuraVision Platinum UV|-8.00 a +8.00|-6.00|70|4.00|||30</x:v>
      </x:c>
    </x:row>
    <x:row r="1942">
      <x:c r="A1942" s="24" t="str">
        <x:v>ZS-F454E75D5AD8</x:v>
      </x:c>
      <x:c r="B1942" s="24" t="str">
        <x:v>SIM</x:v>
      </x:c>
      <x:c r="C1942" s="24" t="str">
        <x:v>DISPONÍVEL</x:v>
      </x:c>
      <x:c r="D1942" s="24" t="str">
        <x:v>ZEISS</x:v>
      </x:c>
      <x:c r="E1942" s="24" t="str">
        <x:v>Visão Simples Especial</x:v>
      </x:c>
      <x:c r="F1942" s="24" t="str">
        <x:v>Surfaçada</x:v>
      </x:c>
      <x:c r="G1942" s="24" t="str">
        <x:v>EnergizeMe</x:v>
      </x:c>
      <x:c r="H1942" s="24"/>
      <x:c r="I1942" s="24" t="str">
        <x:v>1.74</x:v>
      </x:c>
      <x:c r="J1942" s="24" t="str">
        <x:v>1.74</x:v>
      </x:c>
      <x:c r="K1942" s="24" t="str">
        <x:v>DuraVision Platinum UV</x:v>
      </x:c>
      <x:c r="L1942" s="40" t="n">
        <x:v>3644</x:v>
      </x:c>
      <x:c r="M1942" s="24" t="str">
        <x:v>-10.00 a +7.00</x:v>
      </x:c>
      <x:c r="N1942" s="24" t="str">
        <x:v>-6.00</x:v>
      </x:c>
      <x:c r="O1942" s="24" t="str">
        <x:v>70</x:v>
      </x:c>
      <x:c r="P1942" s="24" t="str">
        <x:v>4.00</x:v>
      </x:c>
      <x:c r="Q1942" s="24"/>
      <x:c r="R1942" s="24"/>
      <x:c r="S1942" s="26" t="n">
        <x:v>46113</x:v>
      </x:c>
      <x:c r="T1942" s="26"/>
      <x:c r="U1942" s="24" t="str">
        <x:v>ATIVA/SEM FIM INFORMADO</x:v>
      </x:c>
      <x:c r="V1942" s="24"/>
      <x:c r="W1942" s="24" t="n">
        <x:v>30</x:v>
      </x:c>
      <x:c r="X1942" s="24" t="str">
        <x:v>tabela_zeiss.pdf</x:v>
      </x:c>
      <x:c r="Y1942" s="24" t="str">
        <x:v>alta</x:v>
      </x:c>
      <x:c r="Z1942" s="24"/>
      <x:c r="AA1942" s="24" t="str">
        <x:v>ZEISS|Visão Simples Especial|Surfaçada|EnergizeMe||1.74|1.74|DuraVision Platinum UV|-10.00 a +7.00|-6.00|70|4.00|||30</x:v>
      </x:c>
    </x:row>
    <x:row r="1943">
      <x:c r="A1943" s="24" t="str">
        <x:v>ZS-ECB6CCB59B50</x:v>
      </x:c>
      <x:c r="B1943" s="24" t="str">
        <x:v>SIM</x:v>
      </x:c>
      <x:c r="C1943" s="24" t="str">
        <x:v>DISPONÍVEL</x:v>
      </x:c>
      <x:c r="D1943" s="24" t="str">
        <x:v>ZEISS</x:v>
      </x:c>
      <x:c r="E1943" s="24" t="str">
        <x:v>Visão Simples Especial</x:v>
      </x:c>
      <x:c r="F1943" s="24" t="str">
        <x:v>Surfaçada</x:v>
      </x:c>
      <x:c r="G1943" s="24" t="str">
        <x:v>EnergizeMe</x:v>
      </x:c>
      <x:c r="H1943" s="24" t="str">
        <x:v>PhotoFusion X</x:v>
      </x:c>
      <x:c r="I1943" s="24" t="str">
        <x:v>1.5</x:v>
      </x:c>
      <x:c r="J1943" s="24" t="str">
        <x:v>1.50</x:v>
      </x:c>
      <x:c r="K1943" s="24" t="str">
        <x:v>DURAVISION® ANTIVÍRUS PLATINUM UV</x:v>
      </x:c>
      <x:c r="L1943" s="40" t="n">
        <x:v>2874</x:v>
      </x:c>
      <x:c r="M1943" s="24" t="str">
        <x:v>-6.00 a +6.00</x:v>
      </x:c>
      <x:c r="N1943" s="24" t="str">
        <x:v>-4.00</x:v>
      </x:c>
      <x:c r="O1943" s="24" t="str">
        <x:v>75</x:v>
      </x:c>
      <x:c r="P1943" s="24" t="str">
        <x:v>4.00</x:v>
      </x:c>
      <x:c r="Q1943" s="24"/>
      <x:c r="R1943" s="24"/>
      <x:c r="S1943" s="26" t="n">
        <x:v>46113</x:v>
      </x:c>
      <x:c r="T1943" s="26"/>
      <x:c r="U1943" s="24" t="str">
        <x:v>ATIVA/SEM FIM INFORMADO</x:v>
      </x:c>
      <x:c r="V1943" s="24" t="str">
        <x:v>Programa de Parcerias ZEISS</x:v>
      </x:c>
      <x:c r="W1943" s="24" t="n">
        <x:v>30</x:v>
      </x:c>
      <x:c r="X1943" s="24" t="str">
        <x:v>tabela_zeiss.pdf</x:v>
      </x:c>
      <x:c r="Y1943" s="24" t="str">
        <x:v>alta</x:v>
      </x:c>
      <x:c r="Z1943" s="24"/>
      <x:c r="AA1943" s="24" t="str">
        <x:v>ZEISS|Visão Simples Especial|Surfaçada|EnergizeMe|PhotoFusion X|1.5|1.50|DURAVISION® ANTIVÍRUS PLATINUM UV|-6.00 a +6.00|-4.00|75|4.00|||30</x:v>
      </x:c>
    </x:row>
    <x:row r="1944">
      <x:c r="A1944" s="24" t="str">
        <x:v>ZS-81D3A0A7EA6A</x:v>
      </x:c>
      <x:c r="B1944" s="24" t="str">
        <x:v>SIM</x:v>
      </x:c>
      <x:c r="C1944" s="24" t="str">
        <x:v>DISPONÍVEL</x:v>
      </x:c>
      <x:c r="D1944" s="24" t="str">
        <x:v>ZEISS</x:v>
      </x:c>
      <x:c r="E1944" s="24" t="str">
        <x:v>Visão Simples Especial</x:v>
      </x:c>
      <x:c r="F1944" s="24" t="str">
        <x:v>Surfaçada</x:v>
      </x:c>
      <x:c r="G1944" s="24" t="str">
        <x:v>EnergizeMe</x:v>
      </x:c>
      <x:c r="H1944" s="24" t="str">
        <x:v>PhotoFusion X</x:v>
      </x:c>
      <x:c r="I1944" s="24" t="str">
        <x:v>1.5</x:v>
      </x:c>
      <x:c r="J1944" s="24" t="str">
        <x:v>1.50</x:v>
      </x:c>
      <x:c r="K1944" s="24" t="str">
        <x:v>DuraVision Platinum UV</x:v>
      </x:c>
      <x:c r="L1944" s="40" t="n">
        <x:v>2874</x:v>
      </x:c>
      <x:c r="M1944" s="24" t="str">
        <x:v>-6.00 a +6.00</x:v>
      </x:c>
      <x:c r="N1944" s="24" t="str">
        <x:v>-4.00</x:v>
      </x:c>
      <x:c r="O1944" s="24" t="str">
        <x:v>75</x:v>
      </x:c>
      <x:c r="P1944" s="24" t="str">
        <x:v>4.00</x:v>
      </x:c>
      <x:c r="Q1944" s="24"/>
      <x:c r="R1944" s="24"/>
      <x:c r="S1944" s="26" t="n">
        <x:v>46113</x:v>
      </x:c>
      <x:c r="T1944" s="26"/>
      <x:c r="U1944" s="24" t="str">
        <x:v>ATIVA/SEM FIM INFORMADO</x:v>
      </x:c>
      <x:c r="V1944" s="24" t="str">
        <x:v>Programa de Parcerias ZEISS</x:v>
      </x:c>
      <x:c r="W1944" s="24" t="n">
        <x:v>30</x:v>
      </x:c>
      <x:c r="X1944" s="24" t="str">
        <x:v>tabela_zeiss.pdf</x:v>
      </x:c>
      <x:c r="Y1944" s="24" t="str">
        <x:v>alta</x:v>
      </x:c>
      <x:c r="Z1944" s="24"/>
      <x:c r="AA1944" s="24" t="str">
        <x:v>ZEISS|Visão Simples Especial|Surfaçada|EnergizeMe|PhotoFusion X|1.5|1.50|DuraVision Platinum UV|-6.00 a +6.00|-4.00|75|4.00|||30</x:v>
      </x:c>
    </x:row>
    <x:row r="1945">
      <x:c r="A1945" s="24" t="str">
        <x:v>ZS-85292427F9CC</x:v>
      </x:c>
      <x:c r="B1945" s="24" t="str">
        <x:v>SIM</x:v>
      </x:c>
      <x:c r="C1945" s="24" t="str">
        <x:v>DISPONÍVEL</x:v>
      </x:c>
      <x:c r="D1945" s="24" t="str">
        <x:v>ZEISS</x:v>
      </x:c>
      <x:c r="E1945" s="24" t="str">
        <x:v>Visão Simples Especial</x:v>
      </x:c>
      <x:c r="F1945" s="24" t="str">
        <x:v>Surfaçada</x:v>
      </x:c>
      <x:c r="G1945" s="24" t="str">
        <x:v>EnergizeMe</x:v>
      </x:c>
      <x:c r="H1945" s="24" t="str">
        <x:v>PhotoFusion X</x:v>
      </x:c>
      <x:c r="I1945" s="24" t="str">
        <x:v>Poli</x:v>
      </x:c>
      <x:c r="J1945" s="24"/>
      <x:c r="K1945" s="24" t="str">
        <x:v>DuraVision Platinum UV</x:v>
      </x:c>
      <x:c r="L1945" s="40" t="n">
        <x:v>3234</x:v>
      </x:c>
      <x:c r="M1945" s="24" t="str">
        <x:v>-10.00 a +8.00</x:v>
      </x:c>
      <x:c r="N1945" s="24" t="str">
        <x:v>-4.00</x:v>
      </x:c>
      <x:c r="O1945" s="24" t="str">
        <x:v>70</x:v>
      </x:c>
      <x:c r="P1945" s="24" t="str">
        <x:v>4.00</x:v>
      </x:c>
      <x:c r="Q1945" s="24"/>
      <x:c r="R1945" s="24"/>
      <x:c r="S1945" s="26" t="n">
        <x:v>46113</x:v>
      </x:c>
      <x:c r="T1945" s="26"/>
      <x:c r="U1945" s="24" t="str">
        <x:v>ATIVA/SEM FIM INFORMADO</x:v>
      </x:c>
      <x:c r="V1945" s="24" t="str">
        <x:v>Programa de Parcerias ZEISS</x:v>
      </x:c>
      <x:c r="W1945" s="24" t="n">
        <x:v>30</x:v>
      </x:c>
      <x:c r="X1945" s="24" t="str">
        <x:v>tabela_zeiss.pdf</x:v>
      </x:c>
      <x:c r="Y1945" s="24" t="str">
        <x:v>alta</x:v>
      </x:c>
      <x:c r="Z1945" s="24"/>
      <x:c r="AA1945" s="24" t="str">
        <x:v>ZEISS|Visão Simples Especial|Surfaçada|EnergizeMe|PhotoFusion X|Poli||DuraVision Platinum UV|-10.00 a +8.00|-4.00|70|4.00|||30</x:v>
      </x:c>
    </x:row>
    <x:row r="1946">
      <x:c r="A1946" s="24" t="str">
        <x:v>ZS-40B6FC903775</x:v>
      </x:c>
      <x:c r="B1946" s="24" t="str">
        <x:v>SIM</x:v>
      </x:c>
      <x:c r="C1946" s="24" t="str">
        <x:v>DISPONÍVEL</x:v>
      </x:c>
      <x:c r="D1946" s="24" t="str">
        <x:v>ZEISS</x:v>
      </x:c>
      <x:c r="E1946" s="24" t="str">
        <x:v>Visão Simples Especial</x:v>
      </x:c>
      <x:c r="F1946" s="24" t="str">
        <x:v>Surfaçada</x:v>
      </x:c>
      <x:c r="G1946" s="24" t="str">
        <x:v>EnergizeMe</x:v>
      </x:c>
      <x:c r="H1946" s="24" t="str">
        <x:v>PhotoFusion X</x:v>
      </x:c>
      <x:c r="I1946" s="24" t="str">
        <x:v>1.6</x:v>
      </x:c>
      <x:c r="J1946" s="24" t="str">
        <x:v>1.60</x:v>
      </x:c>
      <x:c r="K1946" s="24" t="str">
        <x:v>DURAVISION® ANTIVÍRUS PLATINUM UV</x:v>
      </x:c>
      <x:c r="L1946" s="40" t="n">
        <x:v>3454</x:v>
      </x:c>
      <x:c r="M1946" s="24" t="str">
        <x:v>-6.00 a +8.00</x:v>
      </x:c>
      <x:c r="N1946" s="24" t="str">
        <x:v>-4.00</x:v>
      </x:c>
      <x:c r="O1946" s="24" t="str">
        <x:v>75</x:v>
      </x:c>
      <x:c r="P1946" s="24" t="str">
        <x:v>4.00</x:v>
      </x:c>
      <x:c r="Q1946" s="24"/>
      <x:c r="R1946" s="24"/>
      <x:c r="S1946" s="26" t="n">
        <x:v>46113</x:v>
      </x:c>
      <x:c r="T1946" s="26"/>
      <x:c r="U1946" s="24" t="str">
        <x:v>ATIVA/SEM FIM INFORMADO</x:v>
      </x:c>
      <x:c r="V1946" s="24" t="str">
        <x:v>Programa de Parcerias ZEISS</x:v>
      </x:c>
      <x:c r="W1946" s="24" t="n">
        <x:v>30</x:v>
      </x:c>
      <x:c r="X1946" s="24" t="str">
        <x:v>tabela_zeiss.pdf</x:v>
      </x:c>
      <x:c r="Y1946" s="24" t="str">
        <x:v>alta</x:v>
      </x:c>
      <x:c r="Z1946" s="24"/>
      <x:c r="AA1946" s="24" t="str">
        <x:v>ZEISS|Visão Simples Especial|Surfaçada|EnergizeMe|PhotoFusion X|1.6|1.60|DURAVISION® ANTIVÍRUS PLATINUM UV|-6.00 a +8.00|-4.00|75|4.00|||30</x:v>
      </x:c>
    </x:row>
    <x:row r="1947">
      <x:c r="A1947" s="24" t="str">
        <x:v>ZS-E86B1A3E0EE7</x:v>
      </x:c>
      <x:c r="B1947" s="24" t="str">
        <x:v>SIM</x:v>
      </x:c>
      <x:c r="C1947" s="24" t="str">
        <x:v>DISPONÍVEL</x:v>
      </x:c>
      <x:c r="D1947" s="24" t="str">
        <x:v>ZEISS</x:v>
      </x:c>
      <x:c r="E1947" s="24" t="str">
        <x:v>Visão Simples Especial</x:v>
      </x:c>
      <x:c r="F1947" s="24" t="str">
        <x:v>Surfaçada</x:v>
      </x:c>
      <x:c r="G1947" s="24" t="str">
        <x:v>EnergizeMe</x:v>
      </x:c>
      <x:c r="H1947" s="24" t="str">
        <x:v>PhotoFusion X</x:v>
      </x:c>
      <x:c r="I1947" s="24" t="str">
        <x:v>1.6</x:v>
      </x:c>
      <x:c r="J1947" s="24" t="str">
        <x:v>1.60</x:v>
      </x:c>
      <x:c r="K1947" s="24" t="str">
        <x:v>DuraVision Platinum UV</x:v>
      </x:c>
      <x:c r="L1947" s="40" t="n">
        <x:v>3454</x:v>
      </x:c>
      <x:c r="M1947" s="24" t="str">
        <x:v>-6.00 a +8.00</x:v>
      </x:c>
      <x:c r="N1947" s="24" t="str">
        <x:v>-4.00</x:v>
      </x:c>
      <x:c r="O1947" s="24" t="str">
        <x:v>75</x:v>
      </x:c>
      <x:c r="P1947" s="24" t="str">
        <x:v>4.00</x:v>
      </x:c>
      <x:c r="Q1947" s="24"/>
      <x:c r="R1947" s="24"/>
      <x:c r="S1947" s="26" t="n">
        <x:v>46113</x:v>
      </x:c>
      <x:c r="T1947" s="26"/>
      <x:c r="U1947" s="24" t="str">
        <x:v>ATIVA/SEM FIM INFORMADO</x:v>
      </x:c>
      <x:c r="V1947" s="24" t="str">
        <x:v>Programa de Parcerias ZEISS</x:v>
      </x:c>
      <x:c r="W1947" s="24" t="n">
        <x:v>30</x:v>
      </x:c>
      <x:c r="X1947" s="24" t="str">
        <x:v>tabela_zeiss.pdf</x:v>
      </x:c>
      <x:c r="Y1947" s="24" t="str">
        <x:v>alta</x:v>
      </x:c>
      <x:c r="Z1947" s="24"/>
      <x:c r="AA1947" s="24" t="str">
        <x:v>ZEISS|Visão Simples Especial|Surfaçada|EnergizeMe|PhotoFusion X|1.6|1.60|DuraVision Platinum UV|-6.00 a +8.00|-4.00|75|4.00|||30</x:v>
      </x:c>
    </x:row>
    <x:row r="1948">
      <x:c r="A1948" s="24" t="str">
        <x:v>ZS-D93A9E1B243D</x:v>
      </x:c>
      <x:c r="B1948" s="24" t="str">
        <x:v>SIM</x:v>
      </x:c>
      <x:c r="C1948" s="24" t="str">
        <x:v>DISPONÍVEL</x:v>
      </x:c>
      <x:c r="D1948" s="24" t="str">
        <x:v>ZEISS</x:v>
      </x:c>
      <x:c r="E1948" s="24" t="str">
        <x:v>Visão Simples Especial</x:v>
      </x:c>
      <x:c r="F1948" s="24" t="str">
        <x:v>Surfaçada</x:v>
      </x:c>
      <x:c r="G1948" s="24" t="str">
        <x:v>EnergizeMe</x:v>
      </x:c>
      <x:c r="H1948" s="24" t="str">
        <x:v>PhotoFusion X</x:v>
      </x:c>
      <x:c r="I1948" s="24" t="str">
        <x:v>1.67</x:v>
      </x:c>
      <x:c r="J1948" s="24" t="str">
        <x:v>1.67</x:v>
      </x:c>
      <x:c r="K1948" s="24" t="str">
        <x:v>DURAVISION® ANTIVÍRUS PLATINUM UV</x:v>
      </x:c>
      <x:c r="L1948" s="40" t="n">
        <x:v>4754</x:v>
      </x:c>
      <x:c r="M1948" s="24" t="str">
        <x:v>-8.00 a +8.00</x:v>
      </x:c>
      <x:c r="N1948" s="24" t="str">
        <x:v>-6.00</x:v>
      </x:c>
      <x:c r="O1948" s="24" t="str">
        <x:v>70</x:v>
      </x:c>
      <x:c r="P1948" s="24" t="str">
        <x:v>4.00</x:v>
      </x:c>
      <x:c r="Q1948" s="24"/>
      <x:c r="R1948" s="24"/>
      <x:c r="S1948" s="26" t="n">
        <x:v>46113</x:v>
      </x:c>
      <x:c r="T1948" s="26"/>
      <x:c r="U1948" s="24" t="str">
        <x:v>ATIVA/SEM FIM INFORMADO</x:v>
      </x:c>
      <x:c r="V1948" s="24" t="str">
        <x:v>Programa de Parcerias ZEISS</x:v>
      </x:c>
      <x:c r="W1948" s="24" t="n">
        <x:v>30</x:v>
      </x:c>
      <x:c r="X1948" s="24" t="str">
        <x:v>tabela_zeiss.pdf</x:v>
      </x:c>
      <x:c r="Y1948" s="24" t="str">
        <x:v>alta</x:v>
      </x:c>
      <x:c r="Z1948" s="24"/>
      <x:c r="AA1948" s="24" t="str">
        <x:v>ZEISS|Visão Simples Especial|Surfaçada|EnergizeMe|PhotoFusion X|1.67|1.67|DURAVISION® ANTIVÍRUS PLATINUM UV|-8.00 a +8.00|-6.00|70|4.00|||30</x:v>
      </x:c>
    </x:row>
    <x:row r="1949">
      <x:c r="A1949" s="24" t="str">
        <x:v>ZS-007E4AECDFC3</x:v>
      </x:c>
      <x:c r="B1949" s="24" t="str">
        <x:v>SIM</x:v>
      </x:c>
      <x:c r="C1949" s="24" t="str">
        <x:v>DISPONÍVEL</x:v>
      </x:c>
      <x:c r="D1949" s="24" t="str">
        <x:v>ZEISS</x:v>
      </x:c>
      <x:c r="E1949" s="24" t="str">
        <x:v>Visão Simples Especial</x:v>
      </x:c>
      <x:c r="F1949" s="24" t="str">
        <x:v>Surfaçada</x:v>
      </x:c>
      <x:c r="G1949" s="24" t="str">
        <x:v>EnergizeMe</x:v>
      </x:c>
      <x:c r="H1949" s="24" t="str">
        <x:v>PhotoFusion X</x:v>
      </x:c>
      <x:c r="I1949" s="24" t="str">
        <x:v>1.67</x:v>
      </x:c>
      <x:c r="J1949" s="24" t="str">
        <x:v>1.67</x:v>
      </x:c>
      <x:c r="K1949" s="24" t="str">
        <x:v>DuraVision Platinum UV</x:v>
      </x:c>
      <x:c r="L1949" s="40" t="n">
        <x:v>4754</x:v>
      </x:c>
      <x:c r="M1949" s="24" t="str">
        <x:v>-8.00 a +8.00</x:v>
      </x:c>
      <x:c r="N1949" s="24" t="str">
        <x:v>-6.00</x:v>
      </x:c>
      <x:c r="O1949" s="24" t="str">
        <x:v>70</x:v>
      </x:c>
      <x:c r="P1949" s="24" t="str">
        <x:v>4.00</x:v>
      </x:c>
      <x:c r="Q1949" s="24"/>
      <x:c r="R1949" s="24"/>
      <x:c r="S1949" s="26" t="n">
        <x:v>46113</x:v>
      </x:c>
      <x:c r="T1949" s="26"/>
      <x:c r="U1949" s="24" t="str">
        <x:v>ATIVA/SEM FIM INFORMADO</x:v>
      </x:c>
      <x:c r="V1949" s="24" t="str">
        <x:v>Programa de Parcerias ZEISS</x:v>
      </x:c>
      <x:c r="W1949" s="24" t="n">
        <x:v>30</x:v>
      </x:c>
      <x:c r="X1949" s="24" t="str">
        <x:v>tabela_zeiss.pdf</x:v>
      </x:c>
      <x:c r="Y1949" s="24" t="str">
        <x:v>alta</x:v>
      </x:c>
      <x:c r="Z1949" s="24"/>
      <x:c r="AA1949" s="24" t="str">
        <x:v>ZEISS|Visão Simples Especial|Surfaçada|EnergizeMe|PhotoFusion X|1.67|1.67|DuraVision Platinum UV|-8.00 a +8.00|-6.00|70|4.00|||30</x:v>
      </x:c>
    </x:row>
    <x:row r="1950">
      <x:c r="A1950" s="24" t="str">
        <x:v>ZS-9CA2D3E2BFB4</x:v>
      </x:c>
      <x:c r="B1950" s="24" t="str">
        <x:v>SIM</x:v>
      </x:c>
      <x:c r="C1950" s="24" t="str">
        <x:v>DISPONÍVEL</x:v>
      </x:c>
      <x:c r="D1950" s="24" t="str">
        <x:v>ZEISS</x:v>
      </x:c>
      <x:c r="E1950" s="24" t="str">
        <x:v>Visão Simples Especial</x:v>
      </x:c>
      <x:c r="F1950" s="24" t="str">
        <x:v>Surfaçada</x:v>
      </x:c>
      <x:c r="G1950" s="24" t="str">
        <x:v>EnergizeMe</x:v>
      </x:c>
      <x:c r="H1950" s="24" t="str">
        <x:v>PhotoFusion X Extra Dark Cinza</x:v>
      </x:c>
      <x:c r="I1950" s="24" t="str">
        <x:v>1.5</x:v>
      </x:c>
      <x:c r="J1950" s="24" t="str">
        <x:v>1.50</x:v>
      </x:c>
      <x:c r="K1950" s="24" t="str">
        <x:v>DURAVISION® ANTIVÍRUS PLATINUM UV</x:v>
      </x:c>
      <x:c r="L1950" s="40" t="n">
        <x:v>2924</x:v>
      </x:c>
      <x:c r="M1950" s="24" t="str">
        <x:v>-6.00 a +6.00</x:v>
      </x:c>
      <x:c r="N1950" s="24" t="str">
        <x:v>-4.00</x:v>
      </x:c>
      <x:c r="O1950" s="24" t="str">
        <x:v>75</x:v>
      </x:c>
      <x:c r="P1950" s="24" t="str">
        <x:v>4.00</x:v>
      </x:c>
      <x:c r="Q1950" s="24"/>
      <x:c r="R1950" s="24"/>
      <x:c r="S1950" s="26" t="n">
        <x:v>46113</x:v>
      </x:c>
      <x:c r="T1950" s="26"/>
      <x:c r="U1950" s="24" t="str">
        <x:v>ATIVA/SEM FIM INFORMADO</x:v>
      </x:c>
      <x:c r="V1950" s="24" t="str">
        <x:v>Programa de Parcerias ZEISS</x:v>
      </x:c>
      <x:c r="W1950" s="24" t="n">
        <x:v>30</x:v>
      </x:c>
      <x:c r="X1950" s="24" t="str">
        <x:v>tabela_zeiss.pdf</x:v>
      </x:c>
      <x:c r="Y1950" s="24" t="str">
        <x:v>alta</x:v>
      </x:c>
      <x:c r="Z1950" s="24"/>
      <x:c r="AA1950" s="24" t="str">
        <x:v>ZEISS|Visão Simples Especial|Surfaçada|EnergizeMe|PhotoFusion X Extra Dark Cinza|1.5|1.50|DURAVISION® ANTIVÍRUS PLATINUM UV|-6.00 a +6.00|-4.00|75|4.00|||30</x:v>
      </x:c>
    </x:row>
    <x:row r="1951">
      <x:c r="A1951" s="24" t="str">
        <x:v>ZS-1EE83136798E</x:v>
      </x:c>
      <x:c r="B1951" s="24" t="str">
        <x:v>SIM</x:v>
      </x:c>
      <x:c r="C1951" s="24" t="str">
        <x:v>DISPONÍVEL</x:v>
      </x:c>
      <x:c r="D1951" s="24" t="str">
        <x:v>ZEISS</x:v>
      </x:c>
      <x:c r="E1951" s="24" t="str">
        <x:v>Visão Simples Especial</x:v>
      </x:c>
      <x:c r="F1951" s="24" t="str">
        <x:v>Surfaçada</x:v>
      </x:c>
      <x:c r="G1951" s="24" t="str">
        <x:v>EnergizeMe</x:v>
      </x:c>
      <x:c r="H1951" s="24" t="str">
        <x:v>PhotoFusion X Extra Dark Cinza</x:v>
      </x:c>
      <x:c r="I1951" s="24" t="str">
        <x:v>1.5</x:v>
      </x:c>
      <x:c r="J1951" s="24" t="str">
        <x:v>1.50</x:v>
      </x:c>
      <x:c r="K1951" s="24" t="str">
        <x:v>DuraVision Platinum UV</x:v>
      </x:c>
      <x:c r="L1951" s="40" t="n">
        <x:v>2924</x:v>
      </x:c>
      <x:c r="M1951" s="24" t="str">
        <x:v>-6.00 a +6.00</x:v>
      </x:c>
      <x:c r="N1951" s="24" t="str">
        <x:v>-4.00</x:v>
      </x:c>
      <x:c r="O1951" s="24" t="str">
        <x:v>75</x:v>
      </x:c>
      <x:c r="P1951" s="24" t="str">
        <x:v>4.00</x:v>
      </x:c>
      <x:c r="Q1951" s="24"/>
      <x:c r="R1951" s="24"/>
      <x:c r="S1951" s="26" t="n">
        <x:v>46113</x:v>
      </x:c>
      <x:c r="T1951" s="26"/>
      <x:c r="U1951" s="24" t="str">
        <x:v>ATIVA/SEM FIM INFORMADO</x:v>
      </x:c>
      <x:c r="V1951" s="24" t="str">
        <x:v>Programa de Parcerias ZEISS</x:v>
      </x:c>
      <x:c r="W1951" s="24" t="n">
        <x:v>30</x:v>
      </x:c>
      <x:c r="X1951" s="24" t="str">
        <x:v>tabela_zeiss.pdf</x:v>
      </x:c>
      <x:c r="Y1951" s="24" t="str">
        <x:v>alta</x:v>
      </x:c>
      <x:c r="Z1951" s="24"/>
      <x:c r="AA1951" s="24" t="str">
        <x:v>ZEISS|Visão Simples Especial|Surfaçada|EnergizeMe|PhotoFusion X Extra Dark Cinza|1.5|1.50|DuraVision Platinum UV|-6.00 a +6.00|-4.00|75|4.00|||30</x:v>
      </x:c>
    </x:row>
    <x:row r="1952">
      <x:c r="A1952" s="24" t="str">
        <x:v>ZS-BAFA72FF75D9</x:v>
      </x:c>
      <x:c r="B1952" s="24" t="str">
        <x:v>SIM</x:v>
      </x:c>
      <x:c r="C1952" s="24" t="str">
        <x:v>DISPONÍVEL</x:v>
      </x:c>
      <x:c r="D1952" s="24" t="str">
        <x:v>ZEISS</x:v>
      </x:c>
      <x:c r="E1952" s="24" t="str">
        <x:v>Visão Simples Especial</x:v>
      </x:c>
      <x:c r="F1952" s="24" t="str">
        <x:v>Surfaçada</x:v>
      </x:c>
      <x:c r="G1952" s="24" t="str">
        <x:v>EnergizeMe</x:v>
      </x:c>
      <x:c r="H1952" s="24" t="str">
        <x:v>PhotoFusion X Extra Dark Cinza</x:v>
      </x:c>
      <x:c r="I1952" s="24" t="str">
        <x:v>Poli</x:v>
      </x:c>
      <x:c r="J1952" s="24"/>
      <x:c r="K1952" s="24" t="str">
        <x:v>DuraVision Platinum UV</x:v>
      </x:c>
      <x:c r="L1952" s="40" t="n">
        <x:v>3284</x:v>
      </x:c>
      <x:c r="M1952" s="24" t="str">
        <x:v>-10.00 a +8.00</x:v>
      </x:c>
      <x:c r="N1952" s="24" t="str">
        <x:v>-4.00</x:v>
      </x:c>
      <x:c r="O1952" s="24" t="str">
        <x:v>70</x:v>
      </x:c>
      <x:c r="P1952" s="24" t="str">
        <x:v>4.00</x:v>
      </x:c>
      <x:c r="Q1952" s="24"/>
      <x:c r="R1952" s="24"/>
      <x:c r="S1952" s="26" t="n">
        <x:v>46113</x:v>
      </x:c>
      <x:c r="T1952" s="26"/>
      <x:c r="U1952" s="24" t="str">
        <x:v>ATIVA/SEM FIM INFORMADO</x:v>
      </x:c>
      <x:c r="V1952" s="24" t="str">
        <x:v>Programa de Parcerias ZEISS</x:v>
      </x:c>
      <x:c r="W1952" s="24" t="n">
        <x:v>30</x:v>
      </x:c>
      <x:c r="X1952" s="24" t="str">
        <x:v>tabela_zeiss.pdf</x:v>
      </x:c>
      <x:c r="Y1952" s="24" t="str">
        <x:v>alta</x:v>
      </x:c>
      <x:c r="Z1952" s="24"/>
      <x:c r="AA1952" s="24" t="str">
        <x:v>ZEISS|Visão Simples Especial|Surfaçada|EnergizeMe|PhotoFusion X Extra Dark Cinza|Poli||DuraVision Platinum UV|-10.00 a +8.00|-4.00|70|4.00|||30</x:v>
      </x:c>
    </x:row>
    <x:row r="1953">
      <x:c r="A1953" s="24" t="str">
        <x:v>ZS-A90F814F9062</x:v>
      </x:c>
      <x:c r="B1953" s="24" t="str">
        <x:v>SIM</x:v>
      </x:c>
      <x:c r="C1953" s="24" t="str">
        <x:v>DISPONÍVEL</x:v>
      </x:c>
      <x:c r="D1953" s="24" t="str">
        <x:v>ZEISS</x:v>
      </x:c>
      <x:c r="E1953" s="24" t="str">
        <x:v>Visão Simples Especial</x:v>
      </x:c>
      <x:c r="F1953" s="24" t="str">
        <x:v>Surfaçada</x:v>
      </x:c>
      <x:c r="G1953" s="24" t="str">
        <x:v>EnergizeMe</x:v>
      </x:c>
      <x:c r="H1953" s="24" t="str">
        <x:v>PhotoFusion X Extra Dark Cinza</x:v>
      </x:c>
      <x:c r="I1953" s="24" t="str">
        <x:v>1.6</x:v>
      </x:c>
      <x:c r="J1953" s="24" t="str">
        <x:v>1.60</x:v>
      </x:c>
      <x:c r="K1953" s="24" t="str">
        <x:v>DURAVISION® ANTIVÍRUS PLATINUM UV</x:v>
      </x:c>
      <x:c r="L1953" s="40" t="n">
        <x:v>3504</x:v>
      </x:c>
      <x:c r="M1953" s="24" t="str">
        <x:v>-6.00 a +8.00</x:v>
      </x:c>
      <x:c r="N1953" s="24" t="str">
        <x:v>-4.00</x:v>
      </x:c>
      <x:c r="O1953" s="24" t="str">
        <x:v>75</x:v>
      </x:c>
      <x:c r="P1953" s="24" t="str">
        <x:v>4.00</x:v>
      </x:c>
      <x:c r="Q1953" s="24"/>
      <x:c r="R1953" s="24"/>
      <x:c r="S1953" s="26" t="n">
        <x:v>46113</x:v>
      </x:c>
      <x:c r="T1953" s="26"/>
      <x:c r="U1953" s="24" t="str">
        <x:v>ATIVA/SEM FIM INFORMADO</x:v>
      </x:c>
      <x:c r="V1953" s="24" t="str">
        <x:v>Programa de Parcerias ZEISS</x:v>
      </x:c>
      <x:c r="W1953" s="24" t="n">
        <x:v>30</x:v>
      </x:c>
      <x:c r="X1953" s="24" t="str">
        <x:v>tabela_zeiss.pdf</x:v>
      </x:c>
      <x:c r="Y1953" s="24" t="str">
        <x:v>alta</x:v>
      </x:c>
      <x:c r="Z1953" s="24"/>
      <x:c r="AA1953" s="24" t="str">
        <x:v>ZEISS|Visão Simples Especial|Surfaçada|EnergizeMe|PhotoFusion X Extra Dark Cinza|1.6|1.60|DURAVISION® ANTIVÍRUS PLATINUM UV|-6.00 a +8.00|-4.00|75|4.00|||30</x:v>
      </x:c>
    </x:row>
    <x:row r="1954">
      <x:c r="A1954" s="24" t="str">
        <x:v>ZS-ED4543A99EFA</x:v>
      </x:c>
      <x:c r="B1954" s="24" t="str">
        <x:v>SIM</x:v>
      </x:c>
      <x:c r="C1954" s="24" t="str">
        <x:v>DISPONÍVEL</x:v>
      </x:c>
      <x:c r="D1954" s="24" t="str">
        <x:v>ZEISS</x:v>
      </x:c>
      <x:c r="E1954" s="24" t="str">
        <x:v>Visão Simples Especial</x:v>
      </x:c>
      <x:c r="F1954" s="24" t="str">
        <x:v>Surfaçada</x:v>
      </x:c>
      <x:c r="G1954" s="24" t="str">
        <x:v>EnergizeMe</x:v>
      </x:c>
      <x:c r="H1954" s="24" t="str">
        <x:v>PhotoFusion X Extra Dark Cinza</x:v>
      </x:c>
      <x:c r="I1954" s="24" t="str">
        <x:v>1.6</x:v>
      </x:c>
      <x:c r="J1954" s="24" t="str">
        <x:v>1.60</x:v>
      </x:c>
      <x:c r="K1954" s="24" t="str">
        <x:v>DuraVision Platinum UV</x:v>
      </x:c>
      <x:c r="L1954" s="40" t="n">
        <x:v>3504</x:v>
      </x:c>
      <x:c r="M1954" s="24" t="str">
        <x:v>-6.00 a +8.00</x:v>
      </x:c>
      <x:c r="N1954" s="24" t="str">
        <x:v>-4.00</x:v>
      </x:c>
      <x:c r="O1954" s="24" t="str">
        <x:v>75</x:v>
      </x:c>
      <x:c r="P1954" s="24" t="str">
        <x:v>4.00</x:v>
      </x:c>
      <x:c r="Q1954" s="24"/>
      <x:c r="R1954" s="24"/>
      <x:c r="S1954" s="26" t="n">
        <x:v>46113</x:v>
      </x:c>
      <x:c r="T1954" s="26"/>
      <x:c r="U1954" s="24" t="str">
        <x:v>ATIVA/SEM FIM INFORMADO</x:v>
      </x:c>
      <x:c r="V1954" s="24" t="str">
        <x:v>Programa de Parcerias ZEISS</x:v>
      </x:c>
      <x:c r="W1954" s="24" t="n">
        <x:v>30</x:v>
      </x:c>
      <x:c r="X1954" s="24" t="str">
        <x:v>tabela_zeiss.pdf</x:v>
      </x:c>
      <x:c r="Y1954" s="24" t="str">
        <x:v>alta</x:v>
      </x:c>
      <x:c r="Z1954" s="24"/>
      <x:c r="AA1954" s="24" t="str">
        <x:v>ZEISS|Visão Simples Especial|Surfaçada|EnergizeMe|PhotoFusion X Extra Dark Cinza|1.6|1.60|DuraVision Platinum UV|-6.00 a +8.00|-4.00|75|4.00|||30</x:v>
      </x:c>
    </x:row>
    <x:row r="1955">
      <x:c r="A1955" s="24" t="str">
        <x:v>ZS-575A6F44987C</x:v>
      </x:c>
      <x:c r="B1955" s="24" t="str">
        <x:v>SIM</x:v>
      </x:c>
      <x:c r="C1955" s="24" t="str">
        <x:v>DISPONÍVEL</x:v>
      </x:c>
      <x:c r="D1955" s="24" t="str">
        <x:v>ZEISS</x:v>
      </x:c>
      <x:c r="E1955" s="24" t="str">
        <x:v>Visão Simples Especial</x:v>
      </x:c>
      <x:c r="F1955" s="24" t="str">
        <x:v>Surfaçada</x:v>
      </x:c>
      <x:c r="G1955" s="24" t="str">
        <x:v>EnergizeMe</x:v>
      </x:c>
      <x:c r="H1955" s="24" t="str">
        <x:v>PhotoFusion X Extra Dark Cinza</x:v>
      </x:c>
      <x:c r="I1955" s="24" t="str">
        <x:v>1.67</x:v>
      </x:c>
      <x:c r="J1955" s="24" t="str">
        <x:v>1.67</x:v>
      </x:c>
      <x:c r="K1955" s="24" t="str">
        <x:v>DURAVISION® ANTIVÍRUS PLATINUM UV</x:v>
      </x:c>
      <x:c r="L1955" s="40" t="n">
        <x:v>4804</x:v>
      </x:c>
      <x:c r="M1955" s="24" t="str">
        <x:v>-8.00 a +8.00</x:v>
      </x:c>
      <x:c r="N1955" s="24" t="str">
        <x:v>-6.00</x:v>
      </x:c>
      <x:c r="O1955" s="24" t="str">
        <x:v>70</x:v>
      </x:c>
      <x:c r="P1955" s="24" t="str">
        <x:v>4.00</x:v>
      </x:c>
      <x:c r="Q1955" s="24"/>
      <x:c r="R1955" s="24"/>
      <x:c r="S1955" s="26" t="n">
        <x:v>46113</x:v>
      </x:c>
      <x:c r="T1955" s="26"/>
      <x:c r="U1955" s="24" t="str">
        <x:v>ATIVA/SEM FIM INFORMADO</x:v>
      </x:c>
      <x:c r="V1955" s="24" t="str">
        <x:v>Programa de Parcerias ZEISS</x:v>
      </x:c>
      <x:c r="W1955" s="24" t="n">
        <x:v>30</x:v>
      </x:c>
      <x:c r="X1955" s="24" t="str">
        <x:v>tabela_zeiss.pdf</x:v>
      </x:c>
      <x:c r="Y1955" s="24" t="str">
        <x:v>alta</x:v>
      </x:c>
      <x:c r="Z1955" s="24"/>
      <x:c r="AA1955" s="24" t="str">
        <x:v>ZEISS|Visão Simples Especial|Surfaçada|EnergizeMe|PhotoFusion X Extra Dark Cinza|1.67|1.67|DURAVISION® ANTIVÍRUS PLATINUM UV|-8.00 a +8.00|-6.00|70|4.00|||30</x:v>
      </x:c>
    </x:row>
    <x:row r="1956">
      <x:c r="A1956" s="24" t="str">
        <x:v>ZS-8E3AD4375193</x:v>
      </x:c>
      <x:c r="B1956" s="24" t="str">
        <x:v>SIM</x:v>
      </x:c>
      <x:c r="C1956" s="24" t="str">
        <x:v>DISPONÍVEL</x:v>
      </x:c>
      <x:c r="D1956" s="24" t="str">
        <x:v>ZEISS</x:v>
      </x:c>
      <x:c r="E1956" s="24" t="str">
        <x:v>Visão Simples Especial</x:v>
      </x:c>
      <x:c r="F1956" s="24" t="str">
        <x:v>Surfaçada</x:v>
      </x:c>
      <x:c r="G1956" s="24" t="str">
        <x:v>EnergizeMe</x:v>
      </x:c>
      <x:c r="H1956" s="24" t="str">
        <x:v>PhotoFusion X Extra Dark Cinza</x:v>
      </x:c>
      <x:c r="I1956" s="24" t="str">
        <x:v>1.67</x:v>
      </x:c>
      <x:c r="J1956" s="24" t="str">
        <x:v>1.67</x:v>
      </x:c>
      <x:c r="K1956" s="24" t="str">
        <x:v>DuraVision Platinum UV</x:v>
      </x:c>
      <x:c r="L1956" s="40" t="n">
        <x:v>4804</x:v>
      </x:c>
      <x:c r="M1956" s="24" t="str">
        <x:v>-8.00 a +8.00</x:v>
      </x:c>
      <x:c r="N1956" s="24" t="str">
        <x:v>-6.00</x:v>
      </x:c>
      <x:c r="O1956" s="24" t="str">
        <x:v>70</x:v>
      </x:c>
      <x:c r="P1956" s="24" t="str">
        <x:v>4.00</x:v>
      </x:c>
      <x:c r="Q1956" s="24"/>
      <x:c r="R1956" s="24"/>
      <x:c r="S1956" s="26" t="n">
        <x:v>46113</x:v>
      </x:c>
      <x:c r="T1956" s="26"/>
      <x:c r="U1956" s="24" t="str">
        <x:v>ATIVA/SEM FIM INFORMADO</x:v>
      </x:c>
      <x:c r="V1956" s="24" t="str">
        <x:v>Programa de Parcerias ZEISS</x:v>
      </x:c>
      <x:c r="W1956" s="24" t="n">
        <x:v>30</x:v>
      </x:c>
      <x:c r="X1956" s="24" t="str">
        <x:v>tabela_zeiss.pdf</x:v>
      </x:c>
      <x:c r="Y1956" s="24" t="str">
        <x:v>alta</x:v>
      </x:c>
      <x:c r="Z1956" s="24"/>
      <x:c r="AA1956" s="24" t="str">
        <x:v>ZEISS|Visão Simples Especial|Surfaçada|EnergizeMe|PhotoFusion X Extra Dark Cinza|1.67|1.67|DuraVision Platinum UV|-8.00 a +8.00|-6.00|70|4.00|||30</x:v>
      </x:c>
    </x:row>
    <x:row r="1957">
      <x:c r="A1957" s="24" t="str">
        <x:v>ZS-E1A244A2FF32</x:v>
      </x:c>
      <x:c r="B1957" s="24" t="str">
        <x:v>SIM</x:v>
      </x:c>
      <x:c r="C1957" s="24" t="str">
        <x:v>DISPONÍVEL</x:v>
      </x:c>
      <x:c r="D1957" s="24" t="str">
        <x:v>ZEISS</x:v>
      </x:c>
      <x:c r="E1957" s="24" t="str">
        <x:v>Progressiva</x:v>
      </x:c>
      <x:c r="F1957" s="24" t="str">
        <x:v>Surfaçada</x:v>
      </x:c>
      <x:c r="G1957" s="24" t="str">
        <x:v>ClearMind Individual 3</x:v>
      </x:c>
      <x:c r="H1957" s="24"/>
      <x:c r="I1957" s="24" t="str">
        <x:v>1.5</x:v>
      </x:c>
      <x:c r="J1957" s="24" t="str">
        <x:v>1.50</x:v>
      </x:c>
      <x:c r="K1957" s="24" t="str">
        <x:v>DuraVision Gold UV</x:v>
      </x:c>
      <x:c r="L1957" s="40" t="n">
        <x:v>12250</x:v>
      </x:c>
      <x:c r="M1957" s="24" t="str">
        <x:v>-6.00 a +4.00</x:v>
      </x:c>
      <x:c r="N1957" s="24" t="str">
        <x:v>-4.00</x:v>
      </x:c>
      <x:c r="O1957" s="24" t="str">
        <x:v>0.75 a 3.50</x:v>
      </x:c>
      <x:c r="P1957" s="24" t="str">
        <x:v>75</x:v>
      </x:c>
      <x:c r="Q1957" s="24"/>
      <x:c r="R1957" s="24"/>
      <x:c r="S1957" s="26" t="n">
        <x:v>46113</x:v>
      </x:c>
      <x:c r="T1957" s="26"/>
      <x:c r="U1957" s="24" t="str">
        <x:v>ATIVA/SEM FIM INFORMADO</x:v>
      </x:c>
      <x:c r="V1957" s="24" t="str">
        <x:v>Programa de Parcerias ZEISS — categoria Experts</x:v>
      </x:c>
      <x:c r="W1957" s="24" t="n">
        <x:v>32</x:v>
      </x:c>
      <x:c r="X1957" s="24" t="str">
        <x:v>tabela_zeiss.pdf</x:v>
      </x:c>
      <x:c r="Y1957" s="24" t="str">
        <x:v>alta</x:v>
      </x:c>
      <x:c r="Z1957" s="24"/>
      <x:c r="AA1957" s="24" t="str">
        <x:v>ZEISS|Progressiva|Surfaçada|ClearMind Individual 3||1.5|1.50|DuraVision Gold UV|-6.00 a +4.00|-4.00|0.75 a 3.50|75|||32</x:v>
      </x:c>
    </x:row>
    <x:row r="1958">
      <x:c r="A1958" s="24" t="str">
        <x:v>ZS-9332E6A46078</x:v>
      </x:c>
      <x:c r="B1958" s="24" t="str">
        <x:v>SIM</x:v>
      </x:c>
      <x:c r="C1958" s="24" t="str">
        <x:v>DISPONÍVEL</x:v>
      </x:c>
      <x:c r="D1958" s="24" t="str">
        <x:v>ZEISS</x:v>
      </x:c>
      <x:c r="E1958" s="24" t="str">
        <x:v>Progressiva</x:v>
      </x:c>
      <x:c r="F1958" s="24" t="str">
        <x:v>Surfaçada</x:v>
      </x:c>
      <x:c r="G1958" s="24" t="str">
        <x:v>ClearMind Individual 3</x:v>
      </x:c>
      <x:c r="H1958" s="24"/>
      <x:c r="I1958" s="24" t="str">
        <x:v>1.5</x:v>
      </x:c>
      <x:c r="J1958" s="24" t="str">
        <x:v>1.50</x:v>
      </x:c>
      <x:c r="K1958" s="24" t="str">
        <x:v>DURAVISION® ANTIVÍRUS PLATINUM UV</x:v>
      </x:c>
      <x:c r="L1958" s="40" t="n">
        <x:v>12110</x:v>
      </x:c>
      <x:c r="M1958" s="24" t="str">
        <x:v>-6.00 a +4.00</x:v>
      </x:c>
      <x:c r="N1958" s="24" t="str">
        <x:v>-4.00</x:v>
      </x:c>
      <x:c r="O1958" s="24" t="str">
        <x:v>0.75 a 3.50</x:v>
      </x:c>
      <x:c r="P1958" s="24" t="str">
        <x:v>75</x:v>
      </x:c>
      <x:c r="Q1958" s="24"/>
      <x:c r="R1958" s="24"/>
      <x:c r="S1958" s="26" t="n">
        <x:v>46113</x:v>
      </x:c>
      <x:c r="T1958" s="26"/>
      <x:c r="U1958" s="24" t="str">
        <x:v>ATIVA/SEM FIM INFORMADO</x:v>
      </x:c>
      <x:c r="V1958" s="24" t="str">
        <x:v>Programa de Parcerias ZEISS — categoria Experts</x:v>
      </x:c>
      <x:c r="W1958" s="24" t="n">
        <x:v>32</x:v>
      </x:c>
      <x:c r="X1958" s="24" t="str">
        <x:v>tabela_zeiss.pdf</x:v>
      </x:c>
      <x:c r="Y1958" s="24" t="str">
        <x:v>alta</x:v>
      </x:c>
      <x:c r="Z1958" s="24"/>
      <x:c r="AA1958" s="24" t="str">
        <x:v>ZEISS|Progressiva|Surfaçada|ClearMind Individual 3||1.5|1.50|DURAVISION® ANTIVÍRUS PLATINUM UV|-6.00 a +4.00|-4.00|0.75 a 3.50|75|||32</x:v>
      </x:c>
    </x:row>
    <x:row r="1959">
      <x:c r="A1959" s="24" t="str">
        <x:v>ZS-C9239EA5CB5A</x:v>
      </x:c>
      <x:c r="B1959" s="24" t="str">
        <x:v>SIM</x:v>
      </x:c>
      <x:c r="C1959" s="24" t="str">
        <x:v>DISPONÍVEL</x:v>
      </x:c>
      <x:c r="D1959" s="24" t="str">
        <x:v>ZEISS</x:v>
      </x:c>
      <x:c r="E1959" s="24" t="str">
        <x:v>Progressiva</x:v>
      </x:c>
      <x:c r="F1959" s="24" t="str">
        <x:v>Surfaçada</x:v>
      </x:c>
      <x:c r="G1959" s="24" t="str">
        <x:v>ClearMind Individual 3</x:v>
      </x:c>
      <x:c r="H1959" s="24"/>
      <x:c r="I1959" s="24" t="str">
        <x:v>1.5</x:v>
      </x:c>
      <x:c r="J1959" s="24" t="str">
        <x:v>1.50</x:v>
      </x:c>
      <x:c r="K1959" s="24" t="str">
        <x:v>DuraVision Platinum UV</x:v>
      </x:c>
      <x:c r="L1959" s="40" t="n">
        <x:v>12110</x:v>
      </x:c>
      <x:c r="M1959" s="24" t="str">
        <x:v>-6.00 a +4.00</x:v>
      </x:c>
      <x:c r="N1959" s="24" t="str">
        <x:v>-4.00</x:v>
      </x:c>
      <x:c r="O1959" s="24" t="str">
        <x:v>0.75 a 3.50</x:v>
      </x:c>
      <x:c r="P1959" s="24" t="str">
        <x:v>75</x:v>
      </x:c>
      <x:c r="Q1959" s="24"/>
      <x:c r="R1959" s="24"/>
      <x:c r="S1959" s="26" t="n">
        <x:v>46113</x:v>
      </x:c>
      <x:c r="T1959" s="26"/>
      <x:c r="U1959" s="24" t="str">
        <x:v>ATIVA/SEM FIM INFORMADO</x:v>
      </x:c>
      <x:c r="V1959" s="24" t="str">
        <x:v>Programa de Parcerias ZEISS — categoria Experts</x:v>
      </x:c>
      <x:c r="W1959" s="24" t="n">
        <x:v>32</x:v>
      </x:c>
      <x:c r="X1959" s="24" t="str">
        <x:v>tabela_zeiss.pdf</x:v>
      </x:c>
      <x:c r="Y1959" s="24" t="str">
        <x:v>alta</x:v>
      </x:c>
      <x:c r="Z1959" s="24"/>
      <x:c r="AA1959" s="24" t="str">
        <x:v>ZEISS|Progressiva|Surfaçada|ClearMind Individual 3||1.5|1.50|DuraVision Platinum UV|-6.00 a +4.00|-4.00|0.75 a 3.50|75|||32</x:v>
      </x:c>
    </x:row>
    <x:row r="1960">
      <x:c r="A1960" s="24" t="str">
        <x:v>ZS-17E4447F97FE</x:v>
      </x:c>
      <x:c r="B1960" s="24" t="str">
        <x:v>SIM</x:v>
      </x:c>
      <x:c r="C1960" s="24" t="str">
        <x:v>DISPONÍVEL</x:v>
      </x:c>
      <x:c r="D1960" s="24" t="str">
        <x:v>ZEISS</x:v>
      </x:c>
      <x:c r="E1960" s="24" t="str">
        <x:v>Progressiva</x:v>
      </x:c>
      <x:c r="F1960" s="24" t="str">
        <x:v>Surfaçada</x:v>
      </x:c>
      <x:c r="G1960" s="24" t="str">
        <x:v>ClearMind Individual 3</x:v>
      </x:c>
      <x:c r="H1960" s="24"/>
      <x:c r="I1960" s="24" t="str">
        <x:v>1.5</x:v>
      </x:c>
      <x:c r="J1960" s="24" t="str">
        <x:v>1.50</x:v>
      </x:c>
      <x:c r="K1960" s="24" t="str">
        <x:v>DuraVision Silver UV</x:v>
      </x:c>
      <x:c r="L1960" s="40" t="n">
        <x:v>11850</x:v>
      </x:c>
      <x:c r="M1960" s="24" t="str">
        <x:v>-6.00 a +4.00</x:v>
      </x:c>
      <x:c r="N1960" s="24" t="str">
        <x:v>-4.00</x:v>
      </x:c>
      <x:c r="O1960" s="24" t="str">
        <x:v>0.75 a 3.50</x:v>
      </x:c>
      <x:c r="P1960" s="24" t="str">
        <x:v>75</x:v>
      </x:c>
      <x:c r="Q1960" s="24"/>
      <x:c r="R1960" s="24"/>
      <x:c r="S1960" s="26" t="n">
        <x:v>46113</x:v>
      </x:c>
      <x:c r="T1960" s="26"/>
      <x:c r="U1960" s="24" t="str">
        <x:v>ATIVA/SEM FIM INFORMADO</x:v>
      </x:c>
      <x:c r="V1960" s="24" t="str">
        <x:v>Programa de Parcerias ZEISS — categoria Experts</x:v>
      </x:c>
      <x:c r="W1960" s="24" t="n">
        <x:v>32</x:v>
      </x:c>
      <x:c r="X1960" s="24" t="str">
        <x:v>tabela_zeiss.pdf</x:v>
      </x:c>
      <x:c r="Y1960" s="24" t="str">
        <x:v>alta</x:v>
      </x:c>
      <x:c r="Z1960" s="24"/>
      <x:c r="AA1960" s="24" t="str">
        <x:v>ZEISS|Progressiva|Surfaçada|ClearMind Individual 3||1.5|1.50|DuraVision Silver UV|-6.00 a +4.00|-4.00|0.75 a 3.50|75|||32</x:v>
      </x:c>
    </x:row>
    <x:row r="1961">
      <x:c r="A1961" s="24" t="str">
        <x:v>ZS-2E74EF535736</x:v>
      </x:c>
      <x:c r="B1961" s="24" t="str">
        <x:v>SIM</x:v>
      </x:c>
      <x:c r="C1961" s="24" t="str">
        <x:v>DISPONÍVEL</x:v>
      </x:c>
      <x:c r="D1961" s="24" t="str">
        <x:v>ZEISS</x:v>
      </x:c>
      <x:c r="E1961" s="24" t="str">
        <x:v>Progressiva</x:v>
      </x:c>
      <x:c r="F1961" s="24" t="str">
        <x:v>Surfaçada</x:v>
      </x:c>
      <x:c r="G1961" s="24" t="str">
        <x:v>ClearMind Individual 3</x:v>
      </x:c>
      <x:c r="H1961" s="24"/>
      <x:c r="I1961" s="24" t="str">
        <x:v>1.5</x:v>
      </x:c>
      <x:c r="J1961" s="24" t="str">
        <x:v>1.50</x:v>
      </x:c>
      <x:c r="K1961" s="24" t="str">
        <x:v>DuraVision Chrome UV</x:v>
      </x:c>
      <x:c r="L1961" s="40" t="n">
        <x:v>11360</x:v>
      </x:c>
      <x:c r="M1961" s="24" t="str">
        <x:v>-6.00 a +4.00</x:v>
      </x:c>
      <x:c r="N1961" s="24" t="str">
        <x:v>-4.00</x:v>
      </x:c>
      <x:c r="O1961" s="24" t="str">
        <x:v>0.75 a 3.50</x:v>
      </x:c>
      <x:c r="P1961" s="24" t="str">
        <x:v>75</x:v>
      </x:c>
      <x:c r="Q1961" s="24"/>
      <x:c r="R1961" s="24"/>
      <x:c r="S1961" s="26" t="n">
        <x:v>46113</x:v>
      </x:c>
      <x:c r="T1961" s="26"/>
      <x:c r="U1961" s="24" t="str">
        <x:v>ATIVA/SEM FIM INFORMADO</x:v>
      </x:c>
      <x:c r="V1961" s="24" t="str">
        <x:v>Programa de Parcerias ZEISS — categoria Experts</x:v>
      </x:c>
      <x:c r="W1961" s="24" t="n">
        <x:v>32</x:v>
      </x:c>
      <x:c r="X1961" s="24" t="str">
        <x:v>tabela_zeiss.pdf</x:v>
      </x:c>
      <x:c r="Y1961" s="24" t="str">
        <x:v>alta</x:v>
      </x:c>
      <x:c r="Z1961" s="24"/>
      <x:c r="AA1961" s="24" t="str">
        <x:v>ZEISS|Progressiva|Surfaçada|ClearMind Individual 3||1.5|1.50|DuraVision Chrome UV|-6.00 a +4.00|-4.00|0.75 a 3.50|75|||32</x:v>
      </x:c>
    </x:row>
    <x:row r="1962">
      <x:c r="A1962" s="24" t="str">
        <x:v>ZS-976538BAA60B</x:v>
      </x:c>
      <x:c r="B1962" s="24" t="str">
        <x:v>SIM</x:v>
      </x:c>
      <x:c r="C1962" s="24" t="str">
        <x:v>DISPONÍVEL</x:v>
      </x:c>
      <x:c r="D1962" s="24" t="str">
        <x:v>ZEISS</x:v>
      </x:c>
      <x:c r="E1962" s="24" t="str">
        <x:v>Progressiva</x:v>
      </x:c>
      <x:c r="F1962" s="24" t="str">
        <x:v>Surfaçada</x:v>
      </x:c>
      <x:c r="G1962" s="24" t="str">
        <x:v>ClearMind Individual 3</x:v>
      </x:c>
      <x:c r="H1962" s="24"/>
      <x:c r="I1962" s="24" t="str">
        <x:v>Poli</x:v>
      </x:c>
      <x:c r="J1962" s="24"/>
      <x:c r="K1962" s="24" t="str">
        <x:v>DuraVision Gold UV</x:v>
      </x:c>
      <x:c r="L1962" s="40" t="n">
        <x:v>12840</x:v>
      </x:c>
      <x:c r="M1962" s="24" t="str">
        <x:v>-10.00 a +6.00</x:v>
      </x:c>
      <x:c r="N1962" s="24" t="str">
        <x:v>-6.00</x:v>
      </x:c>
      <x:c r="O1962" s="24" t="str">
        <x:v>0.75 a 3.00</x:v>
      </x:c>
      <x:c r="P1962" s="24" t="str">
        <x:v>70</x:v>
      </x:c>
      <x:c r="Q1962" s="24"/>
      <x:c r="R1962" s="24"/>
      <x:c r="S1962" s="26" t="n">
        <x:v>46113</x:v>
      </x:c>
      <x:c r="T1962" s="26"/>
      <x:c r="U1962" s="24" t="str">
        <x:v>ATIVA/SEM FIM INFORMADO</x:v>
      </x:c>
      <x:c r="V1962" s="24" t="str">
        <x:v>Programa de Parcerias ZEISS — categoria Experts</x:v>
      </x:c>
      <x:c r="W1962" s="24" t="n">
        <x:v>32</x:v>
      </x:c>
      <x:c r="X1962" s="24" t="str">
        <x:v>tabela_zeiss.pdf</x:v>
      </x:c>
      <x:c r="Y1962" s="24" t="str">
        <x:v>alta</x:v>
      </x:c>
      <x:c r="Z1962" s="24"/>
      <x:c r="AA1962" s="24" t="str">
        <x:v>ZEISS|Progressiva|Surfaçada|ClearMind Individual 3||Poli||DuraVision Gold UV|-10.00 a +6.00|-6.00|0.75 a 3.00|70|||32</x:v>
      </x:c>
    </x:row>
    <x:row r="1963">
      <x:c r="A1963" s="24" t="str">
        <x:v>ZS-1F5598C015EC</x:v>
      </x:c>
      <x:c r="B1963" s="24" t="str">
        <x:v>SIM</x:v>
      </x:c>
      <x:c r="C1963" s="24" t="str">
        <x:v>DISPONÍVEL</x:v>
      </x:c>
      <x:c r="D1963" s="24" t="str">
        <x:v>ZEISS</x:v>
      </x:c>
      <x:c r="E1963" s="24" t="str">
        <x:v>Progressiva</x:v>
      </x:c>
      <x:c r="F1963" s="24" t="str">
        <x:v>Surfaçada</x:v>
      </x:c>
      <x:c r="G1963" s="24" t="str">
        <x:v>ClearMind Individual 3</x:v>
      </x:c>
      <x:c r="H1963" s="24"/>
      <x:c r="I1963" s="24" t="str">
        <x:v>Poli</x:v>
      </x:c>
      <x:c r="J1963" s="24"/>
      <x:c r="K1963" s="24" t="str">
        <x:v>DuraVision Platinum UV</x:v>
      </x:c>
      <x:c r="L1963" s="40" t="n">
        <x:v>12700</x:v>
      </x:c>
      <x:c r="M1963" s="24" t="str">
        <x:v>-10.00 a +6.00</x:v>
      </x:c>
      <x:c r="N1963" s="24" t="str">
        <x:v>-6.00</x:v>
      </x:c>
      <x:c r="O1963" s="24" t="str">
        <x:v>0.75 a 3.00</x:v>
      </x:c>
      <x:c r="P1963" s="24" t="str">
        <x:v>70</x:v>
      </x:c>
      <x:c r="Q1963" s="24"/>
      <x:c r="R1963" s="24"/>
      <x:c r="S1963" s="26" t="n">
        <x:v>46113</x:v>
      </x:c>
      <x:c r="T1963" s="26"/>
      <x:c r="U1963" s="24" t="str">
        <x:v>ATIVA/SEM FIM INFORMADO</x:v>
      </x:c>
      <x:c r="V1963" s="24" t="str">
        <x:v>Programa de Parcerias ZEISS — categoria Experts</x:v>
      </x:c>
      <x:c r="W1963" s="24" t="n">
        <x:v>32</x:v>
      </x:c>
      <x:c r="X1963" s="24" t="str">
        <x:v>tabela_zeiss.pdf</x:v>
      </x:c>
      <x:c r="Y1963" s="24" t="str">
        <x:v>alta</x:v>
      </x:c>
      <x:c r="Z1963" s="24"/>
      <x:c r="AA1963" s="24" t="str">
        <x:v>ZEISS|Progressiva|Surfaçada|ClearMind Individual 3||Poli||DuraVision Platinum UV|-10.00 a +6.00|-6.00|0.75 a 3.00|70|||32</x:v>
      </x:c>
    </x:row>
    <x:row r="1964">
      <x:c r="A1964" s="24" t="str">
        <x:v>ZS-975DE591B475</x:v>
      </x:c>
      <x:c r="B1964" s="24" t="str">
        <x:v>SIM</x:v>
      </x:c>
      <x:c r="C1964" s="24" t="str">
        <x:v>DISPONÍVEL</x:v>
      </x:c>
      <x:c r="D1964" s="24" t="str">
        <x:v>ZEISS</x:v>
      </x:c>
      <x:c r="E1964" s="24" t="str">
        <x:v>Progressiva</x:v>
      </x:c>
      <x:c r="F1964" s="24" t="str">
        <x:v>Surfaçada</x:v>
      </x:c>
      <x:c r="G1964" s="24" t="str">
        <x:v>ClearMind Individual 3</x:v>
      </x:c>
      <x:c r="H1964" s="24"/>
      <x:c r="I1964" s="24" t="str">
        <x:v>Poli</x:v>
      </x:c>
      <x:c r="J1964" s="24"/>
      <x:c r="K1964" s="24" t="str">
        <x:v>DuraVision Silver UV</x:v>
      </x:c>
      <x:c r="L1964" s="40" t="n">
        <x:v>12440</x:v>
      </x:c>
      <x:c r="M1964" s="24" t="str">
        <x:v>-10.00 a +6.00</x:v>
      </x:c>
      <x:c r="N1964" s="24" t="str">
        <x:v>-6.00</x:v>
      </x:c>
      <x:c r="O1964" s="24" t="str">
        <x:v>0.75 a 3.00</x:v>
      </x:c>
      <x:c r="P1964" s="24" t="str">
        <x:v>70</x:v>
      </x:c>
      <x:c r="Q1964" s="24"/>
      <x:c r="R1964" s="24"/>
      <x:c r="S1964" s="26" t="n">
        <x:v>46113</x:v>
      </x:c>
      <x:c r="T1964" s="26"/>
      <x:c r="U1964" s="24" t="str">
        <x:v>ATIVA/SEM FIM INFORMADO</x:v>
      </x:c>
      <x:c r="V1964" s="24" t="str">
        <x:v>Programa de Parcerias ZEISS — categoria Experts</x:v>
      </x:c>
      <x:c r="W1964" s="24" t="n">
        <x:v>32</x:v>
      </x:c>
      <x:c r="X1964" s="24" t="str">
        <x:v>tabela_zeiss.pdf</x:v>
      </x:c>
      <x:c r="Y1964" s="24" t="str">
        <x:v>alta</x:v>
      </x:c>
      <x:c r="Z1964" s="24"/>
      <x:c r="AA1964" s="24" t="str">
        <x:v>ZEISS|Progressiva|Surfaçada|ClearMind Individual 3||Poli||DuraVision Silver UV|-10.00 a +6.00|-6.00|0.75 a 3.00|70|||32</x:v>
      </x:c>
    </x:row>
    <x:row r="1965">
      <x:c r="A1965" s="24" t="str">
        <x:v>ZS-EBAD2C187FB0</x:v>
      </x:c>
      <x:c r="B1965" s="24" t="str">
        <x:v>SIM</x:v>
      </x:c>
      <x:c r="C1965" s="24" t="str">
        <x:v>DISPONÍVEL</x:v>
      </x:c>
      <x:c r="D1965" s="24" t="str">
        <x:v>ZEISS</x:v>
      </x:c>
      <x:c r="E1965" s="24" t="str">
        <x:v>Progressiva</x:v>
      </x:c>
      <x:c r="F1965" s="24" t="str">
        <x:v>Surfaçada</x:v>
      </x:c>
      <x:c r="G1965" s="24" t="str">
        <x:v>ClearMind Individual 3</x:v>
      </x:c>
      <x:c r="H1965" s="24"/>
      <x:c r="I1965" s="24" t="str">
        <x:v>Poli</x:v>
      </x:c>
      <x:c r="J1965" s="24"/>
      <x:c r="K1965" s="24" t="str">
        <x:v>DuraVision Chrome UV</x:v>
      </x:c>
      <x:c r="L1965" s="40" t="n">
        <x:v>11950</x:v>
      </x:c>
      <x:c r="M1965" s="24" t="str">
        <x:v>-10.00 a +6.00</x:v>
      </x:c>
      <x:c r="N1965" s="24" t="str">
        <x:v>-6.00</x:v>
      </x:c>
      <x:c r="O1965" s="24" t="str">
        <x:v>0.75 a 3.00</x:v>
      </x:c>
      <x:c r="P1965" s="24" t="str">
        <x:v>70</x:v>
      </x:c>
      <x:c r="Q1965" s="24"/>
      <x:c r="R1965" s="24"/>
      <x:c r="S1965" s="26" t="n">
        <x:v>46113</x:v>
      </x:c>
      <x:c r="T1965" s="26"/>
      <x:c r="U1965" s="24" t="str">
        <x:v>ATIVA/SEM FIM INFORMADO</x:v>
      </x:c>
      <x:c r="V1965" s="24" t="str">
        <x:v>Programa de Parcerias ZEISS — categoria Experts</x:v>
      </x:c>
      <x:c r="W1965" s="24" t="n">
        <x:v>32</x:v>
      </x:c>
      <x:c r="X1965" s="24" t="str">
        <x:v>tabela_zeiss.pdf</x:v>
      </x:c>
      <x:c r="Y1965" s="24" t="str">
        <x:v>alta</x:v>
      </x:c>
      <x:c r="Z1965" s="24"/>
      <x:c r="AA1965" s="24" t="str">
        <x:v>ZEISS|Progressiva|Surfaçada|ClearMind Individual 3||Poli||DuraVision Chrome UV|-10.00 a +6.00|-6.00|0.75 a 3.00|70|||32</x:v>
      </x:c>
    </x:row>
    <x:row r="1966">
      <x:c r="A1966" s="24" t="str">
        <x:v>ZS-21525022EA8D</x:v>
      </x:c>
      <x:c r="B1966" s="24" t="str">
        <x:v>SIM</x:v>
      </x:c>
      <x:c r="C1966" s="24" t="str">
        <x:v>DISPONÍVEL</x:v>
      </x:c>
      <x:c r="D1966" s="24" t="str">
        <x:v>ZEISS</x:v>
      </x:c>
      <x:c r="E1966" s="24" t="str">
        <x:v>Progressiva</x:v>
      </x:c>
      <x:c r="F1966" s="24" t="str">
        <x:v>Surfaçada</x:v>
      </x:c>
      <x:c r="G1966" s="24" t="str">
        <x:v>ClearMind Individual 3</x:v>
      </x:c>
      <x:c r="H1966" s="24"/>
      <x:c r="I1966" s="24" t="str">
        <x:v>1.6</x:v>
      </x:c>
      <x:c r="J1966" s="24" t="str">
        <x:v>1.60</x:v>
      </x:c>
      <x:c r="K1966" s="24" t="str">
        <x:v>DuraVision Gold UV</x:v>
      </x:c>
      <x:c r="L1966" s="40" t="n">
        <x:v>13500</x:v>
      </x:c>
      <x:c r="M1966" s="24" t="str">
        <x:v>-7.25 a +6.00</x:v>
      </x:c>
      <x:c r="N1966" s="24" t="str">
        <x:v>-6.00</x:v>
      </x:c>
      <x:c r="O1966" s="24" t="str">
        <x:v>0.75 a 3.50</x:v>
      </x:c>
      <x:c r="P1966" s="24" t="str">
        <x:v>75</x:v>
      </x:c>
      <x:c r="Q1966" s="24"/>
      <x:c r="R1966" s="24"/>
      <x:c r="S1966" s="26" t="n">
        <x:v>46113</x:v>
      </x:c>
      <x:c r="T1966" s="26"/>
      <x:c r="U1966" s="24" t="str">
        <x:v>ATIVA/SEM FIM INFORMADO</x:v>
      </x:c>
      <x:c r="V1966" s="24" t="str">
        <x:v>Programa de Parcerias ZEISS — categoria Experts</x:v>
      </x:c>
      <x:c r="W1966" s="24" t="n">
        <x:v>32</x:v>
      </x:c>
      <x:c r="X1966" s="24" t="str">
        <x:v>tabela_zeiss.pdf</x:v>
      </x:c>
      <x:c r="Y1966" s="24" t="str">
        <x:v>alta</x:v>
      </x:c>
      <x:c r="Z1966" s="24"/>
      <x:c r="AA1966" s="24" t="str">
        <x:v>ZEISS|Progressiva|Surfaçada|ClearMind Individual 3||1.6|1.60|DuraVision Gold UV|-7.25 a +6.00|-6.00|0.75 a 3.50|75|||32</x:v>
      </x:c>
    </x:row>
    <x:row r="1967">
      <x:c r="A1967" s="24" t="str">
        <x:v>ZS-A869692B7A29</x:v>
      </x:c>
      <x:c r="B1967" s="24" t="str">
        <x:v>SIM</x:v>
      </x:c>
      <x:c r="C1967" s="24" t="str">
        <x:v>DISPONÍVEL</x:v>
      </x:c>
      <x:c r="D1967" s="24" t="str">
        <x:v>ZEISS</x:v>
      </x:c>
      <x:c r="E1967" s="24" t="str">
        <x:v>Progressiva</x:v>
      </x:c>
      <x:c r="F1967" s="24" t="str">
        <x:v>Surfaçada</x:v>
      </x:c>
      <x:c r="G1967" s="24" t="str">
        <x:v>ClearMind Individual 3</x:v>
      </x:c>
      <x:c r="H1967" s="24"/>
      <x:c r="I1967" s="24" t="str">
        <x:v>1.6</x:v>
      </x:c>
      <x:c r="J1967" s="24" t="str">
        <x:v>1.60</x:v>
      </x:c>
      <x:c r="K1967" s="24" t="str">
        <x:v>DURAVISION® ANTIVÍRUS PLATINUM UV</x:v>
      </x:c>
      <x:c r="L1967" s="40" t="n">
        <x:v>13360</x:v>
      </x:c>
      <x:c r="M1967" s="24" t="str">
        <x:v>-7.25 a +6.00</x:v>
      </x:c>
      <x:c r="N1967" s="24" t="str">
        <x:v>-6.00</x:v>
      </x:c>
      <x:c r="O1967" s="24" t="str">
        <x:v>0.75 a 3.50</x:v>
      </x:c>
      <x:c r="P1967" s="24" t="str">
        <x:v>75</x:v>
      </x:c>
      <x:c r="Q1967" s="24"/>
      <x:c r="R1967" s="24"/>
      <x:c r="S1967" s="26" t="n">
        <x:v>46113</x:v>
      </x:c>
      <x:c r="T1967" s="26"/>
      <x:c r="U1967" s="24" t="str">
        <x:v>ATIVA/SEM FIM INFORMADO</x:v>
      </x:c>
      <x:c r="V1967" s="24" t="str">
        <x:v>Programa de Parcerias ZEISS — categoria Experts</x:v>
      </x:c>
      <x:c r="W1967" s="24" t="n">
        <x:v>32</x:v>
      </x:c>
      <x:c r="X1967" s="24" t="str">
        <x:v>tabela_zeiss.pdf</x:v>
      </x:c>
      <x:c r="Y1967" s="24" t="str">
        <x:v>alta</x:v>
      </x:c>
      <x:c r="Z1967" s="24"/>
      <x:c r="AA1967" s="24" t="str">
        <x:v>ZEISS|Progressiva|Surfaçada|ClearMind Individual 3||1.6|1.60|DURAVISION® ANTIVÍRUS PLATINUM UV|-7.25 a +6.00|-6.00|0.75 a 3.50|75|||32</x:v>
      </x:c>
    </x:row>
    <x:row r="1968">
      <x:c r="A1968" s="24" t="str">
        <x:v>ZS-AE3F7DBF1DEA</x:v>
      </x:c>
      <x:c r="B1968" s="24" t="str">
        <x:v>SIM</x:v>
      </x:c>
      <x:c r="C1968" s="24" t="str">
        <x:v>DISPONÍVEL</x:v>
      </x:c>
      <x:c r="D1968" s="24" t="str">
        <x:v>ZEISS</x:v>
      </x:c>
      <x:c r="E1968" s="24" t="str">
        <x:v>Progressiva</x:v>
      </x:c>
      <x:c r="F1968" s="24" t="str">
        <x:v>Surfaçada</x:v>
      </x:c>
      <x:c r="G1968" s="24" t="str">
        <x:v>ClearMind Individual 3</x:v>
      </x:c>
      <x:c r="H1968" s="24"/>
      <x:c r="I1968" s="24" t="str">
        <x:v>1.6</x:v>
      </x:c>
      <x:c r="J1968" s="24" t="str">
        <x:v>1.60</x:v>
      </x:c>
      <x:c r="K1968" s="24" t="str">
        <x:v>DuraVision Platinum UV</x:v>
      </x:c>
      <x:c r="L1968" s="40" t="n">
        <x:v>13360</x:v>
      </x:c>
      <x:c r="M1968" s="24" t="str">
        <x:v>-7.25 a +6.00</x:v>
      </x:c>
      <x:c r="N1968" s="24" t="str">
        <x:v>-6.00</x:v>
      </x:c>
      <x:c r="O1968" s="24" t="str">
        <x:v>0.75 a 3.50</x:v>
      </x:c>
      <x:c r="P1968" s="24" t="str">
        <x:v>75</x:v>
      </x:c>
      <x:c r="Q1968" s="24"/>
      <x:c r="R1968" s="24"/>
      <x:c r="S1968" s="26" t="n">
        <x:v>46113</x:v>
      </x:c>
      <x:c r="T1968" s="26"/>
      <x:c r="U1968" s="24" t="str">
        <x:v>ATIVA/SEM FIM INFORMADO</x:v>
      </x:c>
      <x:c r="V1968" s="24" t="str">
        <x:v>Programa de Parcerias ZEISS — categoria Experts</x:v>
      </x:c>
      <x:c r="W1968" s="24" t="n">
        <x:v>32</x:v>
      </x:c>
      <x:c r="X1968" s="24" t="str">
        <x:v>tabela_zeiss.pdf</x:v>
      </x:c>
      <x:c r="Y1968" s="24" t="str">
        <x:v>alta</x:v>
      </x:c>
      <x:c r="Z1968" s="24"/>
      <x:c r="AA1968" s="24" t="str">
        <x:v>ZEISS|Progressiva|Surfaçada|ClearMind Individual 3||1.6|1.60|DuraVision Platinum UV|-7.25 a +6.00|-6.00|0.75 a 3.50|75|||32</x:v>
      </x:c>
    </x:row>
    <x:row r="1969">
      <x:c r="A1969" s="24" t="str">
        <x:v>ZS-C84C02C32852</x:v>
      </x:c>
      <x:c r="B1969" s="24" t="str">
        <x:v>SIM</x:v>
      </x:c>
      <x:c r="C1969" s="24" t="str">
        <x:v>DISPONÍVEL</x:v>
      </x:c>
      <x:c r="D1969" s="24" t="str">
        <x:v>ZEISS</x:v>
      </x:c>
      <x:c r="E1969" s="24" t="str">
        <x:v>Progressiva</x:v>
      </x:c>
      <x:c r="F1969" s="24" t="str">
        <x:v>Surfaçada</x:v>
      </x:c>
      <x:c r="G1969" s="24" t="str">
        <x:v>ClearMind Individual 3</x:v>
      </x:c>
      <x:c r="H1969" s="24"/>
      <x:c r="I1969" s="24" t="str">
        <x:v>1.6</x:v>
      </x:c>
      <x:c r="J1969" s="24" t="str">
        <x:v>1.60</x:v>
      </x:c>
      <x:c r="K1969" s="24" t="str">
        <x:v>DuraVision Silver UV</x:v>
      </x:c>
      <x:c r="L1969" s="40" t="n">
        <x:v>13100</x:v>
      </x:c>
      <x:c r="M1969" s="24" t="str">
        <x:v>-7.25 a +6.00</x:v>
      </x:c>
      <x:c r="N1969" s="24" t="str">
        <x:v>-6.00</x:v>
      </x:c>
      <x:c r="O1969" s="24" t="str">
        <x:v>0.75 a 3.50</x:v>
      </x:c>
      <x:c r="P1969" s="24" t="str">
        <x:v>75</x:v>
      </x:c>
      <x:c r="Q1969" s="24"/>
      <x:c r="R1969" s="24"/>
      <x:c r="S1969" s="26" t="n">
        <x:v>46113</x:v>
      </x:c>
      <x:c r="T1969" s="26"/>
      <x:c r="U1969" s="24" t="str">
        <x:v>ATIVA/SEM FIM INFORMADO</x:v>
      </x:c>
      <x:c r="V1969" s="24" t="str">
        <x:v>Programa de Parcerias ZEISS — categoria Experts</x:v>
      </x:c>
      <x:c r="W1969" s="24" t="n">
        <x:v>32</x:v>
      </x:c>
      <x:c r="X1969" s="24" t="str">
        <x:v>tabela_zeiss.pdf</x:v>
      </x:c>
      <x:c r="Y1969" s="24" t="str">
        <x:v>alta</x:v>
      </x:c>
      <x:c r="Z1969" s="24"/>
      <x:c r="AA1969" s="24" t="str">
        <x:v>ZEISS|Progressiva|Surfaçada|ClearMind Individual 3||1.6|1.60|DuraVision Silver UV|-7.25 a +6.00|-6.00|0.75 a 3.50|75|||32</x:v>
      </x:c>
    </x:row>
    <x:row r="1970">
      <x:c r="A1970" s="24" t="str">
        <x:v>ZS-A9DEEA669B4F</x:v>
      </x:c>
      <x:c r="B1970" s="24" t="str">
        <x:v>SIM</x:v>
      </x:c>
      <x:c r="C1970" s="24" t="str">
        <x:v>DISPONÍVEL</x:v>
      </x:c>
      <x:c r="D1970" s="24" t="str">
        <x:v>ZEISS</x:v>
      </x:c>
      <x:c r="E1970" s="24" t="str">
        <x:v>Progressiva</x:v>
      </x:c>
      <x:c r="F1970" s="24" t="str">
        <x:v>Surfaçada</x:v>
      </x:c>
      <x:c r="G1970" s="24" t="str">
        <x:v>ClearMind Individual 3</x:v>
      </x:c>
      <x:c r="H1970" s="24"/>
      <x:c r="I1970" s="24" t="str">
        <x:v>1.6</x:v>
      </x:c>
      <x:c r="J1970" s="24" t="str">
        <x:v>1.60</x:v>
      </x:c>
      <x:c r="K1970" s="24" t="str">
        <x:v>DuraVision Chrome UV</x:v>
      </x:c>
      <x:c r="L1970" s="40" t="n">
        <x:v>12610</x:v>
      </x:c>
      <x:c r="M1970" s="24" t="str">
        <x:v>-7.25 a +6.00</x:v>
      </x:c>
      <x:c r="N1970" s="24" t="str">
        <x:v>-6.00</x:v>
      </x:c>
      <x:c r="O1970" s="24" t="str">
        <x:v>0.75 a 3.50</x:v>
      </x:c>
      <x:c r="P1970" s="24" t="str">
        <x:v>75</x:v>
      </x:c>
      <x:c r="Q1970" s="24"/>
      <x:c r="R1970" s="24"/>
      <x:c r="S1970" s="26" t="n">
        <x:v>46113</x:v>
      </x:c>
      <x:c r="T1970" s="26"/>
      <x:c r="U1970" s="24" t="str">
        <x:v>ATIVA/SEM FIM INFORMADO</x:v>
      </x:c>
      <x:c r="V1970" s="24" t="str">
        <x:v>Programa de Parcerias ZEISS — categoria Experts</x:v>
      </x:c>
      <x:c r="W1970" s="24" t="n">
        <x:v>32</x:v>
      </x:c>
      <x:c r="X1970" s="24" t="str">
        <x:v>tabela_zeiss.pdf</x:v>
      </x:c>
      <x:c r="Y1970" s="24" t="str">
        <x:v>alta</x:v>
      </x:c>
      <x:c r="Z1970" s="24"/>
      <x:c r="AA1970" s="24" t="str">
        <x:v>ZEISS|Progressiva|Surfaçada|ClearMind Individual 3||1.6|1.60|DuraVision Chrome UV|-7.25 a +6.00|-6.00|0.75 a 3.50|75|||32</x:v>
      </x:c>
    </x:row>
    <x:row r="1971">
      <x:c r="A1971" s="24" t="str">
        <x:v>ZS-01F29685E068</x:v>
      </x:c>
      <x:c r="B1971" s="24" t="str">
        <x:v>SIM</x:v>
      </x:c>
      <x:c r="C1971" s="24" t="str">
        <x:v>DISPONÍVEL</x:v>
      </x:c>
      <x:c r="D1971" s="24" t="str">
        <x:v>ZEISS</x:v>
      </x:c>
      <x:c r="E1971" s="24" t="str">
        <x:v>Progressiva</x:v>
      </x:c>
      <x:c r="F1971" s="24" t="str">
        <x:v>Surfaçada</x:v>
      </x:c>
      <x:c r="G1971" s="24" t="str">
        <x:v>ClearMind Individual 3</x:v>
      </x:c>
      <x:c r="H1971" s="24"/>
      <x:c r="I1971" s="24" t="str">
        <x:v>1.67</x:v>
      </x:c>
      <x:c r="J1971" s="24" t="str">
        <x:v>1.67</x:v>
      </x:c>
      <x:c r="K1971" s="24" t="str">
        <x:v>DuraVision Gold UV</x:v>
      </x:c>
      <x:c r="L1971" s="40" t="n">
        <x:v>15140</x:v>
      </x:c>
      <x:c r="M1971" s="24" t="str">
        <x:v>-8.00 a +8.00</x:v>
      </x:c>
      <x:c r="N1971" s="24" t="str">
        <x:v>-6.00</x:v>
      </x:c>
      <x:c r="O1971" s="24" t="str">
        <x:v>0.75 a 3.00</x:v>
      </x:c>
      <x:c r="P1971" s="24" t="str">
        <x:v>70</x:v>
      </x:c>
      <x:c r="Q1971" s="24"/>
      <x:c r="R1971" s="24"/>
      <x:c r="S1971" s="26" t="n">
        <x:v>46113</x:v>
      </x:c>
      <x:c r="T1971" s="26"/>
      <x:c r="U1971" s="24" t="str">
        <x:v>ATIVA/SEM FIM INFORMADO</x:v>
      </x:c>
      <x:c r="V1971" s="24" t="str">
        <x:v>Programa de Parcerias ZEISS — categoria Experts</x:v>
      </x:c>
      <x:c r="W1971" s="24" t="n">
        <x:v>32</x:v>
      </x:c>
      <x:c r="X1971" s="24" t="str">
        <x:v>tabela_zeiss.pdf</x:v>
      </x:c>
      <x:c r="Y1971" s="24" t="str">
        <x:v>alta</x:v>
      </x:c>
      <x:c r="Z1971" s="24"/>
      <x:c r="AA1971" s="24" t="str">
        <x:v>ZEISS|Progressiva|Surfaçada|ClearMind Individual 3||1.67|1.67|DuraVision Gold UV|-8.00 a +8.00|-6.00|0.75 a 3.00|70|||32</x:v>
      </x:c>
    </x:row>
    <x:row r="1972">
      <x:c r="A1972" s="24" t="str">
        <x:v>ZS-459C2081C100</x:v>
      </x:c>
      <x:c r="B1972" s="24" t="str">
        <x:v>SIM</x:v>
      </x:c>
      <x:c r="C1972" s="24" t="str">
        <x:v>DISPONÍVEL</x:v>
      </x:c>
      <x:c r="D1972" s="24" t="str">
        <x:v>ZEISS</x:v>
      </x:c>
      <x:c r="E1972" s="24" t="str">
        <x:v>Progressiva</x:v>
      </x:c>
      <x:c r="F1972" s="24" t="str">
        <x:v>Surfaçada</x:v>
      </x:c>
      <x:c r="G1972" s="24" t="str">
        <x:v>ClearMind Individual 3</x:v>
      </x:c>
      <x:c r="H1972" s="24"/>
      <x:c r="I1972" s="24" t="str">
        <x:v>1.67</x:v>
      </x:c>
      <x:c r="J1972" s="24" t="str">
        <x:v>1.67</x:v>
      </x:c>
      <x:c r="K1972" s="24" t="str">
        <x:v>DURAVISION® ANTIVÍRUS PLATINUM UV</x:v>
      </x:c>
      <x:c r="L1972" s="40" t="n">
        <x:v>15000</x:v>
      </x:c>
      <x:c r="M1972" s="24" t="str">
        <x:v>-8.00 a +8.00</x:v>
      </x:c>
      <x:c r="N1972" s="24" t="str">
        <x:v>-6.00</x:v>
      </x:c>
      <x:c r="O1972" s="24" t="str">
        <x:v>0.75 a 3.00</x:v>
      </x:c>
      <x:c r="P1972" s="24" t="str">
        <x:v>70</x:v>
      </x:c>
      <x:c r="Q1972" s="24"/>
      <x:c r="R1972" s="24"/>
      <x:c r="S1972" s="26" t="n">
        <x:v>46113</x:v>
      </x:c>
      <x:c r="T1972" s="26"/>
      <x:c r="U1972" s="24" t="str">
        <x:v>ATIVA/SEM FIM INFORMADO</x:v>
      </x:c>
      <x:c r="V1972" s="24" t="str">
        <x:v>Programa de Parcerias ZEISS — categoria Experts</x:v>
      </x:c>
      <x:c r="W1972" s="24" t="n">
        <x:v>32</x:v>
      </x:c>
      <x:c r="X1972" s="24" t="str">
        <x:v>tabela_zeiss.pdf</x:v>
      </x:c>
      <x:c r="Y1972" s="24" t="str">
        <x:v>alta</x:v>
      </x:c>
      <x:c r="Z1972" s="24"/>
      <x:c r="AA1972" s="24" t="str">
        <x:v>ZEISS|Progressiva|Surfaçada|ClearMind Individual 3||1.67|1.67|DURAVISION® ANTIVÍRUS PLATINUM UV|-8.00 a +8.00|-6.00|0.75 a 3.00|70|||32</x:v>
      </x:c>
    </x:row>
    <x:row r="1973">
      <x:c r="A1973" s="24" t="str">
        <x:v>ZS-BA4F5F8EDC3B</x:v>
      </x:c>
      <x:c r="B1973" s="24" t="str">
        <x:v>SIM</x:v>
      </x:c>
      <x:c r="C1973" s="24" t="str">
        <x:v>DISPONÍVEL</x:v>
      </x:c>
      <x:c r="D1973" s="24" t="str">
        <x:v>ZEISS</x:v>
      </x:c>
      <x:c r="E1973" s="24" t="str">
        <x:v>Progressiva</x:v>
      </x:c>
      <x:c r="F1973" s="24" t="str">
        <x:v>Surfaçada</x:v>
      </x:c>
      <x:c r="G1973" s="24" t="str">
        <x:v>ClearMind Individual 3</x:v>
      </x:c>
      <x:c r="H1973" s="24"/>
      <x:c r="I1973" s="24" t="str">
        <x:v>1.67</x:v>
      </x:c>
      <x:c r="J1973" s="24" t="str">
        <x:v>1.67</x:v>
      </x:c>
      <x:c r="K1973" s="24" t="str">
        <x:v>DuraVision Platinum UV</x:v>
      </x:c>
      <x:c r="L1973" s="40" t="n">
        <x:v>15000</x:v>
      </x:c>
      <x:c r="M1973" s="24" t="str">
        <x:v>-8.00 a +8.00</x:v>
      </x:c>
      <x:c r="N1973" s="24" t="str">
        <x:v>-6.00</x:v>
      </x:c>
      <x:c r="O1973" s="24" t="str">
        <x:v>0.75 a 3.00</x:v>
      </x:c>
      <x:c r="P1973" s="24" t="str">
        <x:v>70</x:v>
      </x:c>
      <x:c r="Q1973" s="24"/>
      <x:c r="R1973" s="24"/>
      <x:c r="S1973" s="26" t="n">
        <x:v>46113</x:v>
      </x:c>
      <x:c r="T1973" s="26"/>
      <x:c r="U1973" s="24" t="str">
        <x:v>ATIVA/SEM FIM INFORMADO</x:v>
      </x:c>
      <x:c r="V1973" s="24" t="str">
        <x:v>Programa de Parcerias ZEISS — categoria Experts</x:v>
      </x:c>
      <x:c r="W1973" s="24" t="n">
        <x:v>32</x:v>
      </x:c>
      <x:c r="X1973" s="24" t="str">
        <x:v>tabela_zeiss.pdf</x:v>
      </x:c>
      <x:c r="Y1973" s="24" t="str">
        <x:v>alta</x:v>
      </x:c>
      <x:c r="Z1973" s="24"/>
      <x:c r="AA1973" s="24" t="str">
        <x:v>ZEISS|Progressiva|Surfaçada|ClearMind Individual 3||1.67|1.67|DuraVision Platinum UV|-8.00 a +8.00|-6.00|0.75 a 3.00|70|||32</x:v>
      </x:c>
    </x:row>
    <x:row r="1974">
      <x:c r="A1974" s="24" t="str">
        <x:v>ZS-F0ECCDEE60A1</x:v>
      </x:c>
      <x:c r="B1974" s="24" t="str">
        <x:v>SIM</x:v>
      </x:c>
      <x:c r="C1974" s="24" t="str">
        <x:v>DISPONÍVEL</x:v>
      </x:c>
      <x:c r="D1974" s="24" t="str">
        <x:v>ZEISS</x:v>
      </x:c>
      <x:c r="E1974" s="24" t="str">
        <x:v>Progressiva</x:v>
      </x:c>
      <x:c r="F1974" s="24" t="str">
        <x:v>Surfaçada</x:v>
      </x:c>
      <x:c r="G1974" s="24" t="str">
        <x:v>ClearMind Individual 3</x:v>
      </x:c>
      <x:c r="H1974" s="24"/>
      <x:c r="I1974" s="24" t="str">
        <x:v>1.67</x:v>
      </x:c>
      <x:c r="J1974" s="24" t="str">
        <x:v>1.67</x:v>
      </x:c>
      <x:c r="K1974" s="24" t="str">
        <x:v>DuraVision Silver UV</x:v>
      </x:c>
      <x:c r="L1974" s="40" t="n">
        <x:v>14740</x:v>
      </x:c>
      <x:c r="M1974" s="24" t="str">
        <x:v>-8.00 a +8.00</x:v>
      </x:c>
      <x:c r="N1974" s="24" t="str">
        <x:v>-6.00</x:v>
      </x:c>
      <x:c r="O1974" s="24" t="str">
        <x:v>0.75 a 3.00</x:v>
      </x:c>
      <x:c r="P1974" s="24" t="str">
        <x:v>70</x:v>
      </x:c>
      <x:c r="Q1974" s="24"/>
      <x:c r="R1974" s="24"/>
      <x:c r="S1974" s="26" t="n">
        <x:v>46113</x:v>
      </x:c>
      <x:c r="T1974" s="26"/>
      <x:c r="U1974" s="24" t="str">
        <x:v>ATIVA/SEM FIM INFORMADO</x:v>
      </x:c>
      <x:c r="V1974" s="24" t="str">
        <x:v>Programa de Parcerias ZEISS — categoria Experts</x:v>
      </x:c>
      <x:c r="W1974" s="24" t="n">
        <x:v>32</x:v>
      </x:c>
      <x:c r="X1974" s="24" t="str">
        <x:v>tabela_zeiss.pdf</x:v>
      </x:c>
      <x:c r="Y1974" s="24" t="str">
        <x:v>alta</x:v>
      </x:c>
      <x:c r="Z1974" s="24"/>
      <x:c r="AA1974" s="24" t="str">
        <x:v>ZEISS|Progressiva|Surfaçada|ClearMind Individual 3||1.67|1.67|DuraVision Silver UV|-8.00 a +8.00|-6.00|0.75 a 3.00|70|||32</x:v>
      </x:c>
    </x:row>
    <x:row r="1975">
      <x:c r="A1975" s="24" t="str">
        <x:v>ZS-A7FE6781FF33</x:v>
      </x:c>
      <x:c r="B1975" s="24" t="str">
        <x:v>SIM</x:v>
      </x:c>
      <x:c r="C1975" s="24" t="str">
        <x:v>DISPONÍVEL</x:v>
      </x:c>
      <x:c r="D1975" s="24" t="str">
        <x:v>ZEISS</x:v>
      </x:c>
      <x:c r="E1975" s="24" t="str">
        <x:v>Progressiva</x:v>
      </x:c>
      <x:c r="F1975" s="24" t="str">
        <x:v>Surfaçada</x:v>
      </x:c>
      <x:c r="G1975" s="24" t="str">
        <x:v>ClearMind Individual 3</x:v>
      </x:c>
      <x:c r="H1975" s="24"/>
      <x:c r="I1975" s="24" t="str">
        <x:v>1.67</x:v>
      </x:c>
      <x:c r="J1975" s="24" t="str">
        <x:v>1.67</x:v>
      </x:c>
      <x:c r="K1975" s="24" t="str">
        <x:v>DuraVision Chrome UV</x:v>
      </x:c>
      <x:c r="L1975" s="40" t="n">
        <x:v>14250</x:v>
      </x:c>
      <x:c r="M1975" s="24" t="str">
        <x:v>-8.00 a +8.00</x:v>
      </x:c>
      <x:c r="N1975" s="24" t="str">
        <x:v>-6.00</x:v>
      </x:c>
      <x:c r="O1975" s="24" t="str">
        <x:v>0.75 a 3.00</x:v>
      </x:c>
      <x:c r="P1975" s="24" t="str">
        <x:v>70</x:v>
      </x:c>
      <x:c r="Q1975" s="24"/>
      <x:c r="R1975" s="24"/>
      <x:c r="S1975" s="26" t="n">
        <x:v>46113</x:v>
      </x:c>
      <x:c r="T1975" s="26"/>
      <x:c r="U1975" s="24" t="str">
        <x:v>ATIVA/SEM FIM INFORMADO</x:v>
      </x:c>
      <x:c r="V1975" s="24" t="str">
        <x:v>Programa de Parcerias ZEISS — categoria Experts</x:v>
      </x:c>
      <x:c r="W1975" s="24" t="n">
        <x:v>32</x:v>
      </x:c>
      <x:c r="X1975" s="24" t="str">
        <x:v>tabela_zeiss.pdf</x:v>
      </x:c>
      <x:c r="Y1975" s="24" t="str">
        <x:v>alta</x:v>
      </x:c>
      <x:c r="Z1975" s="24"/>
      <x:c r="AA1975" s="24" t="str">
        <x:v>ZEISS|Progressiva|Surfaçada|ClearMind Individual 3||1.67|1.67|DuraVision Chrome UV|-8.00 a +8.00|-6.00|0.75 a 3.00|70|||32</x:v>
      </x:c>
    </x:row>
    <x:row r="1976">
      <x:c r="A1976" s="24" t="str">
        <x:v>ZS-D339B533077B</x:v>
      </x:c>
      <x:c r="B1976" s="24" t="str">
        <x:v>SIM</x:v>
      </x:c>
      <x:c r="C1976" s="24" t="str">
        <x:v>DISPONÍVEL</x:v>
      </x:c>
      <x:c r="D1976" s="24" t="str">
        <x:v>ZEISS</x:v>
      </x:c>
      <x:c r="E1976" s="24" t="str">
        <x:v>Progressiva</x:v>
      </x:c>
      <x:c r="F1976" s="24" t="str">
        <x:v>Surfaçada</x:v>
      </x:c>
      <x:c r="G1976" s="24" t="str">
        <x:v>ClearMind Individual 3</x:v>
      </x:c>
      <x:c r="H1976" s="24"/>
      <x:c r="I1976" s="24" t="str">
        <x:v>1.74</x:v>
      </x:c>
      <x:c r="J1976" s="24" t="str">
        <x:v>1.74</x:v>
      </x:c>
      <x:c r="K1976" s="24" t="str">
        <x:v>DuraVision Gold UV</x:v>
      </x:c>
      <x:c r="L1976" s="40" t="n">
        <x:v>16740</x:v>
      </x:c>
      <x:c r="M1976" s="24" t="str">
        <x:v>-10.00 a +7.00</x:v>
      </x:c>
      <x:c r="N1976" s="24" t="str">
        <x:v>-4.00</x:v>
      </x:c>
      <x:c r="O1976" s="24" t="str">
        <x:v>0.75 a 3.50</x:v>
      </x:c>
      <x:c r="P1976" s="24" t="str">
        <x:v>70 a 75</x:v>
      </x:c>
      <x:c r="Q1976" s="24"/>
      <x:c r="R1976" s="24"/>
      <x:c r="S1976" s="26" t="n">
        <x:v>46113</x:v>
      </x:c>
      <x:c r="T1976" s="26"/>
      <x:c r="U1976" s="24" t="str">
        <x:v>ATIVA/SEM FIM INFORMADO</x:v>
      </x:c>
      <x:c r="V1976" s="24" t="str">
        <x:v>Programa de Parcerias ZEISS — categoria Experts</x:v>
      </x:c>
      <x:c r="W1976" s="24" t="n">
        <x:v>32</x:v>
      </x:c>
      <x:c r="X1976" s="24" t="str">
        <x:v>tabela_zeiss.pdf</x:v>
      </x:c>
      <x:c r="Y1976" s="24" t="str">
        <x:v>alta</x:v>
      </x:c>
      <x:c r="Z1976" s="24"/>
      <x:c r="AA1976" s="24" t="str">
        <x:v>ZEISS|Progressiva|Surfaçada|ClearMind Individual 3||1.74|1.74|DuraVision Gold UV|-10.00 a +7.00|-4.00|0.75 a 3.50|70 a 75|||32</x:v>
      </x:c>
    </x:row>
    <x:row r="1977">
      <x:c r="A1977" s="24" t="str">
        <x:v>ZS-777AB0D728B1</x:v>
      </x:c>
      <x:c r="B1977" s="24" t="str">
        <x:v>SIM</x:v>
      </x:c>
      <x:c r="C1977" s="24" t="str">
        <x:v>DISPONÍVEL</x:v>
      </x:c>
      <x:c r="D1977" s="24" t="str">
        <x:v>ZEISS</x:v>
      </x:c>
      <x:c r="E1977" s="24" t="str">
        <x:v>Progressiva</x:v>
      </x:c>
      <x:c r="F1977" s="24" t="str">
        <x:v>Surfaçada</x:v>
      </x:c>
      <x:c r="G1977" s="24" t="str">
        <x:v>ClearMind Individual 3</x:v>
      </x:c>
      <x:c r="H1977" s="24"/>
      <x:c r="I1977" s="24" t="str">
        <x:v>1.74</x:v>
      </x:c>
      <x:c r="J1977" s="24" t="str">
        <x:v>1.74</x:v>
      </x:c>
      <x:c r="K1977" s="24" t="str">
        <x:v>DuraVision Platinum UV</x:v>
      </x:c>
      <x:c r="L1977" s="40" t="n">
        <x:v>16600</x:v>
      </x:c>
      <x:c r="M1977" s="24" t="str">
        <x:v>-10.00 a +7.00</x:v>
      </x:c>
      <x:c r="N1977" s="24" t="str">
        <x:v>-4.00</x:v>
      </x:c>
      <x:c r="O1977" s="24" t="str">
        <x:v>0.75 a 3.50</x:v>
      </x:c>
      <x:c r="P1977" s="24" t="str">
        <x:v>70 a 75</x:v>
      </x:c>
      <x:c r="Q1977" s="24"/>
      <x:c r="R1977" s="24"/>
      <x:c r="S1977" s="26" t="n">
        <x:v>46113</x:v>
      </x:c>
      <x:c r="T1977" s="26"/>
      <x:c r="U1977" s="24" t="str">
        <x:v>ATIVA/SEM FIM INFORMADO</x:v>
      </x:c>
      <x:c r="V1977" s="24" t="str">
        <x:v>Programa de Parcerias ZEISS — categoria Experts</x:v>
      </x:c>
      <x:c r="W1977" s="24" t="n">
        <x:v>32</x:v>
      </x:c>
      <x:c r="X1977" s="24" t="str">
        <x:v>tabela_zeiss.pdf</x:v>
      </x:c>
      <x:c r="Y1977" s="24" t="str">
        <x:v>alta</x:v>
      </x:c>
      <x:c r="Z1977" s="24"/>
      <x:c r="AA1977" s="24" t="str">
        <x:v>ZEISS|Progressiva|Surfaçada|ClearMind Individual 3||1.74|1.74|DuraVision Platinum UV|-10.00 a +7.00|-4.00|0.75 a 3.50|70 a 75|||32</x:v>
      </x:c>
    </x:row>
    <x:row r="1978">
      <x:c r="A1978" s="24" t="str">
        <x:v>ZS-CC2D9ECF70D2</x:v>
      </x:c>
      <x:c r="B1978" s="24" t="str">
        <x:v>SIM</x:v>
      </x:c>
      <x:c r="C1978" s="24" t="str">
        <x:v>DISPONÍVEL</x:v>
      </x:c>
      <x:c r="D1978" s="24" t="str">
        <x:v>ZEISS</x:v>
      </x:c>
      <x:c r="E1978" s="24" t="str">
        <x:v>Progressiva</x:v>
      </x:c>
      <x:c r="F1978" s="24" t="str">
        <x:v>Surfaçada</x:v>
      </x:c>
      <x:c r="G1978" s="24" t="str">
        <x:v>ClearMind Individual 3</x:v>
      </x:c>
      <x:c r="H1978" s="24"/>
      <x:c r="I1978" s="24" t="str">
        <x:v>1.74</x:v>
      </x:c>
      <x:c r="J1978" s="24" t="str">
        <x:v>1.74</x:v>
      </x:c>
      <x:c r="K1978" s="24" t="str">
        <x:v>DuraVision Silver UV</x:v>
      </x:c>
      <x:c r="L1978" s="40" t="n">
        <x:v>16340</x:v>
      </x:c>
      <x:c r="M1978" s="24" t="str">
        <x:v>-10.00 a +7.00</x:v>
      </x:c>
      <x:c r="N1978" s="24" t="str">
        <x:v>-4.00</x:v>
      </x:c>
      <x:c r="O1978" s="24" t="str">
        <x:v>0.75 a 3.50</x:v>
      </x:c>
      <x:c r="P1978" s="24" t="str">
        <x:v>70 a 75</x:v>
      </x:c>
      <x:c r="Q1978" s="24"/>
      <x:c r="R1978" s="24"/>
      <x:c r="S1978" s="26" t="n">
        <x:v>46113</x:v>
      </x:c>
      <x:c r="T1978" s="26"/>
      <x:c r="U1978" s="24" t="str">
        <x:v>ATIVA/SEM FIM INFORMADO</x:v>
      </x:c>
      <x:c r="V1978" s="24" t="str">
        <x:v>Programa de Parcerias ZEISS — categoria Experts</x:v>
      </x:c>
      <x:c r="W1978" s="24" t="n">
        <x:v>32</x:v>
      </x:c>
      <x:c r="X1978" s="24" t="str">
        <x:v>tabela_zeiss.pdf</x:v>
      </x:c>
      <x:c r="Y1978" s="24" t="str">
        <x:v>alta</x:v>
      </x:c>
      <x:c r="Z1978" s="24"/>
      <x:c r="AA1978" s="24" t="str">
        <x:v>ZEISS|Progressiva|Surfaçada|ClearMind Individual 3||1.74|1.74|DuraVision Silver UV|-10.00 a +7.00|-4.00|0.75 a 3.50|70 a 75|||32</x:v>
      </x:c>
    </x:row>
    <x:row r="1979">
      <x:c r="A1979" s="24" t="str">
        <x:v>ZS-445BD719B283</x:v>
      </x:c>
      <x:c r="B1979" s="24" t="str">
        <x:v>SIM</x:v>
      </x:c>
      <x:c r="C1979" s="24" t="str">
        <x:v>DISPONÍVEL</x:v>
      </x:c>
      <x:c r="D1979" s="24" t="str">
        <x:v>ZEISS</x:v>
      </x:c>
      <x:c r="E1979" s="24" t="str">
        <x:v>Progressiva</x:v>
      </x:c>
      <x:c r="F1979" s="24" t="str">
        <x:v>Surfaçada</x:v>
      </x:c>
      <x:c r="G1979" s="24" t="str">
        <x:v>ClearMind Individual 3</x:v>
      </x:c>
      <x:c r="H1979" s="24"/>
      <x:c r="I1979" s="24" t="str">
        <x:v>1.74</x:v>
      </x:c>
      <x:c r="J1979" s="24" t="str">
        <x:v>1.74</x:v>
      </x:c>
      <x:c r="K1979" s="24" t="str">
        <x:v>DuraVision Chrome UV</x:v>
      </x:c>
      <x:c r="L1979" s="40" t="n">
        <x:v>15850</x:v>
      </x:c>
      <x:c r="M1979" s="24" t="str">
        <x:v>-10.00 a +7.00</x:v>
      </x:c>
      <x:c r="N1979" s="24" t="str">
        <x:v>-4.00</x:v>
      </x:c>
      <x:c r="O1979" s="24" t="str">
        <x:v>0.75 a 3.50</x:v>
      </x:c>
      <x:c r="P1979" s="24" t="str">
        <x:v>70 a 75</x:v>
      </x:c>
      <x:c r="Q1979" s="24"/>
      <x:c r="R1979" s="24"/>
      <x:c r="S1979" s="26" t="n">
        <x:v>46113</x:v>
      </x:c>
      <x:c r="T1979" s="26"/>
      <x:c r="U1979" s="24" t="str">
        <x:v>ATIVA/SEM FIM INFORMADO</x:v>
      </x:c>
      <x:c r="V1979" s="24" t="str">
        <x:v>Programa de Parcerias ZEISS — categoria Experts</x:v>
      </x:c>
      <x:c r="W1979" s="24" t="n">
        <x:v>32</x:v>
      </x:c>
      <x:c r="X1979" s="24" t="str">
        <x:v>tabela_zeiss.pdf</x:v>
      </x:c>
      <x:c r="Y1979" s="24" t="str">
        <x:v>alta</x:v>
      </x:c>
      <x:c r="Z1979" s="24"/>
      <x:c r="AA1979" s="24" t="str">
        <x:v>ZEISS|Progressiva|Surfaçada|ClearMind Individual 3||1.74|1.74|DuraVision Chrome UV|-10.00 a +7.00|-4.00|0.75 a 3.50|70 a 75|||32</x:v>
      </x:c>
    </x:row>
    <x:row r="1980">
      <x:c r="A1980" s="24" t="str">
        <x:v>ZS-2859E1F86CCF</x:v>
      </x:c>
      <x:c r="B1980" s="24" t="str">
        <x:v>SIM</x:v>
      </x:c>
      <x:c r="C1980" s="24" t="str">
        <x:v>DISPONÍVEL</x:v>
      </x:c>
      <x:c r="D1980" s="24" t="str">
        <x:v>ZEISS</x:v>
      </x:c>
      <x:c r="E1980" s="24" t="str">
        <x:v>Progressiva</x:v>
      </x:c>
      <x:c r="F1980" s="24" t="str">
        <x:v>Surfaçada</x:v>
      </x:c>
      <x:c r="G1980" s="24" t="str">
        <x:v>ClearMind Individual 3</x:v>
      </x:c>
      <x:c r="H1980" s="24" t="str">
        <x:v>PhotoFusion X</x:v>
      </x:c>
      <x:c r="I1980" s="24" t="str">
        <x:v>1.5</x:v>
      </x:c>
      <x:c r="J1980" s="24" t="str">
        <x:v>1.50</x:v>
      </x:c>
      <x:c r="K1980" s="24" t="str">
        <x:v>DuraVision Gold UV</x:v>
      </x:c>
      <x:c r="L1980" s="40" t="n">
        <x:v>13670</x:v>
      </x:c>
      <x:c r="M1980" s="24" t="str">
        <x:v>-6.00 a +5.50</x:v>
      </x:c>
      <x:c r="N1980" s="24" t="str">
        <x:v>-4.00</x:v>
      </x:c>
      <x:c r="O1980" s="24" t="str">
        <x:v>0.75 a 3.00</x:v>
      </x:c>
      <x:c r="P1980" s="24" t="str">
        <x:v>75</x:v>
      </x:c>
      <x:c r="Q1980" s="24"/>
      <x:c r="R1980" s="24"/>
      <x:c r="S1980" s="26" t="n">
        <x:v>46113</x:v>
      </x:c>
      <x:c r="T1980" s="26"/>
      <x:c r="U1980" s="24" t="str">
        <x:v>ATIVA/SEM FIM INFORMADO</x:v>
      </x:c>
      <x:c r="V1980" s="24" t="str">
        <x:v>Programa de Parcerias ZEISS — categoria Experts; Programa de Parcerias ZEISS</x:v>
      </x:c>
      <x:c r="W1980" s="24" t="n">
        <x:v>32</x:v>
      </x:c>
      <x:c r="X1980" s="24" t="str">
        <x:v>tabela_zeiss.pdf</x:v>
      </x:c>
      <x:c r="Y1980" s="24" t="str">
        <x:v>alta</x:v>
      </x:c>
      <x:c r="Z1980" s="24"/>
      <x:c r="AA1980" s="24" t="str">
        <x:v>ZEISS|Progressiva|Surfaçada|ClearMind Individual 3|PhotoFusion X|1.5|1.50|DuraVision Gold UV|-6.00 a +5.50|-4.00|0.75 a 3.00|75|||32</x:v>
      </x:c>
    </x:row>
    <x:row r="1981">
      <x:c r="A1981" s="24" t="str">
        <x:v>ZS-C58CB84E6DC3</x:v>
      </x:c>
      <x:c r="B1981" s="24" t="str">
        <x:v>SIM</x:v>
      </x:c>
      <x:c r="C1981" s="24" t="str">
        <x:v>DISPONÍVEL</x:v>
      </x:c>
      <x:c r="D1981" s="24" t="str">
        <x:v>ZEISS</x:v>
      </x:c>
      <x:c r="E1981" s="24" t="str">
        <x:v>Progressiva</x:v>
      </x:c>
      <x:c r="F1981" s="24" t="str">
        <x:v>Surfaçada</x:v>
      </x:c>
      <x:c r="G1981" s="24" t="str">
        <x:v>ClearMind Individual 3</x:v>
      </x:c>
      <x:c r="H1981" s="24" t="str">
        <x:v>PhotoFusion X</x:v>
      </x:c>
      <x:c r="I1981" s="24" t="str">
        <x:v>1.5</x:v>
      </x:c>
      <x:c r="J1981" s="24" t="str">
        <x:v>1.50</x:v>
      </x:c>
      <x:c r="K1981" s="24" t="str">
        <x:v>DURAVISION® ANTIVÍRUS PLATINUM UV</x:v>
      </x:c>
      <x:c r="L1981" s="40" t="n">
        <x:v>13530</x:v>
      </x:c>
      <x:c r="M1981" s="24" t="str">
        <x:v>-6.00 a +5.50</x:v>
      </x:c>
      <x:c r="N1981" s="24" t="str">
        <x:v>-4.00</x:v>
      </x:c>
      <x:c r="O1981" s="24" t="str">
        <x:v>0.75 a 3.00</x:v>
      </x:c>
      <x:c r="P1981" s="24" t="str">
        <x:v>75</x:v>
      </x:c>
      <x:c r="Q1981" s="24"/>
      <x:c r="R1981" s="24"/>
      <x:c r="S1981" s="26" t="n">
        <x:v>46113</x:v>
      </x:c>
      <x:c r="T1981" s="26"/>
      <x:c r="U1981" s="24" t="str">
        <x:v>ATIVA/SEM FIM INFORMADO</x:v>
      </x:c>
      <x:c r="V1981" s="24" t="str">
        <x:v>Programa de Parcerias ZEISS — categoria Experts; Programa de Parcerias ZEISS</x:v>
      </x:c>
      <x:c r="W1981" s="24" t="n">
        <x:v>32</x:v>
      </x:c>
      <x:c r="X1981" s="24" t="str">
        <x:v>tabela_zeiss.pdf</x:v>
      </x:c>
      <x:c r="Y1981" s="24" t="str">
        <x:v>alta</x:v>
      </x:c>
      <x:c r="Z1981" s="24"/>
      <x:c r="AA1981" s="24" t="str">
        <x:v>ZEISS|Progressiva|Surfaçada|ClearMind Individual 3|PhotoFusion X|1.5|1.50|DURAVISION® ANTIVÍRUS PLATINUM UV|-6.00 a +5.50|-4.00|0.75 a 3.00|75|||32</x:v>
      </x:c>
    </x:row>
    <x:row r="1982">
      <x:c r="A1982" s="24" t="str">
        <x:v>ZS-782BC1A0C846</x:v>
      </x:c>
      <x:c r="B1982" s="24" t="str">
        <x:v>SIM</x:v>
      </x:c>
      <x:c r="C1982" s="24" t="str">
        <x:v>DISPONÍVEL</x:v>
      </x:c>
      <x:c r="D1982" s="24" t="str">
        <x:v>ZEISS</x:v>
      </x:c>
      <x:c r="E1982" s="24" t="str">
        <x:v>Progressiva</x:v>
      </x:c>
      <x:c r="F1982" s="24" t="str">
        <x:v>Surfaçada</x:v>
      </x:c>
      <x:c r="G1982" s="24" t="str">
        <x:v>ClearMind Individual 3</x:v>
      </x:c>
      <x:c r="H1982" s="24" t="str">
        <x:v>PhotoFusion X</x:v>
      </x:c>
      <x:c r="I1982" s="24" t="str">
        <x:v>1.5</x:v>
      </x:c>
      <x:c r="J1982" s="24" t="str">
        <x:v>1.50</x:v>
      </x:c>
      <x:c r="K1982" s="24" t="str">
        <x:v>DuraVision Platinum UV</x:v>
      </x:c>
      <x:c r="L1982" s="40" t="n">
        <x:v>13530</x:v>
      </x:c>
      <x:c r="M1982" s="24" t="str">
        <x:v>-6.00 a +5.50</x:v>
      </x:c>
      <x:c r="N1982" s="24" t="str">
        <x:v>-4.00</x:v>
      </x:c>
      <x:c r="O1982" s="24" t="str">
        <x:v>0.75 a 3.00</x:v>
      </x:c>
      <x:c r="P1982" s="24" t="str">
        <x:v>75</x:v>
      </x:c>
      <x:c r="Q1982" s="24"/>
      <x:c r="R1982" s="24"/>
      <x:c r="S1982" s="26" t="n">
        <x:v>46113</x:v>
      </x:c>
      <x:c r="T1982" s="26"/>
      <x:c r="U1982" s="24" t="str">
        <x:v>ATIVA/SEM FIM INFORMADO</x:v>
      </x:c>
      <x:c r="V1982" s="24" t="str">
        <x:v>Programa de Parcerias ZEISS — categoria Experts; Programa de Parcerias ZEISS</x:v>
      </x:c>
      <x:c r="W1982" s="24" t="n">
        <x:v>32</x:v>
      </x:c>
      <x:c r="X1982" s="24" t="str">
        <x:v>tabela_zeiss.pdf</x:v>
      </x:c>
      <x:c r="Y1982" s="24" t="str">
        <x:v>alta</x:v>
      </x:c>
      <x:c r="Z1982" s="24"/>
      <x:c r="AA1982" s="24" t="str">
        <x:v>ZEISS|Progressiva|Surfaçada|ClearMind Individual 3|PhotoFusion X|1.5|1.50|DuraVision Platinum UV|-6.00 a +5.50|-4.00|0.75 a 3.00|75|||32</x:v>
      </x:c>
    </x:row>
    <x:row r="1983">
      <x:c r="A1983" s="24" t="str">
        <x:v>ZS-D294E6A772BF</x:v>
      </x:c>
      <x:c r="B1983" s="24" t="str">
        <x:v>SIM</x:v>
      </x:c>
      <x:c r="C1983" s="24" t="str">
        <x:v>DISPONÍVEL</x:v>
      </x:c>
      <x:c r="D1983" s="24" t="str">
        <x:v>ZEISS</x:v>
      </x:c>
      <x:c r="E1983" s="24" t="str">
        <x:v>Progressiva</x:v>
      </x:c>
      <x:c r="F1983" s="24" t="str">
        <x:v>Surfaçada</x:v>
      </x:c>
      <x:c r="G1983" s="24" t="str">
        <x:v>ClearMind Individual 3</x:v>
      </x:c>
      <x:c r="H1983" s="24" t="str">
        <x:v>PhotoFusion X</x:v>
      </x:c>
      <x:c r="I1983" s="24" t="str">
        <x:v>1.5</x:v>
      </x:c>
      <x:c r="J1983" s="24" t="str">
        <x:v>1.50</x:v>
      </x:c>
      <x:c r="K1983" s="24" t="str">
        <x:v>DuraVision Silver UV</x:v>
      </x:c>
      <x:c r="L1983" s="40" t="n">
        <x:v>13270</x:v>
      </x:c>
      <x:c r="M1983" s="24" t="str">
        <x:v>-6.00 a +5.50</x:v>
      </x:c>
      <x:c r="N1983" s="24" t="str">
        <x:v>-4.00</x:v>
      </x:c>
      <x:c r="O1983" s="24" t="str">
        <x:v>0.75 a 3.00</x:v>
      </x:c>
      <x:c r="P1983" s="24" t="str">
        <x:v>75</x:v>
      </x:c>
      <x:c r="Q1983" s="24"/>
      <x:c r="R1983" s="24"/>
      <x:c r="S1983" s="26" t="n">
        <x:v>46113</x:v>
      </x:c>
      <x:c r="T1983" s="26"/>
      <x:c r="U1983" s="24" t="str">
        <x:v>ATIVA/SEM FIM INFORMADO</x:v>
      </x:c>
      <x:c r="V1983" s="24" t="str">
        <x:v>Programa de Parcerias ZEISS — categoria Experts; Programa de Parcerias ZEISS</x:v>
      </x:c>
      <x:c r="W1983" s="24" t="n">
        <x:v>32</x:v>
      </x:c>
      <x:c r="X1983" s="24" t="str">
        <x:v>tabela_zeiss.pdf</x:v>
      </x:c>
      <x:c r="Y1983" s="24" t="str">
        <x:v>alta</x:v>
      </x:c>
      <x:c r="Z1983" s="24"/>
      <x:c r="AA1983" s="24" t="str">
        <x:v>ZEISS|Progressiva|Surfaçada|ClearMind Individual 3|PhotoFusion X|1.5|1.50|DuraVision Silver UV|-6.00 a +5.50|-4.00|0.75 a 3.00|75|||32</x:v>
      </x:c>
    </x:row>
    <x:row r="1984">
      <x:c r="A1984" s="24" t="str">
        <x:v>ZS-7A8554200838</x:v>
      </x:c>
      <x:c r="B1984" s="24" t="str">
        <x:v>SIM</x:v>
      </x:c>
      <x:c r="C1984" s="24" t="str">
        <x:v>DISPONÍVEL</x:v>
      </x:c>
      <x:c r="D1984" s="24" t="str">
        <x:v>ZEISS</x:v>
      </x:c>
      <x:c r="E1984" s="24" t="str">
        <x:v>Progressiva</x:v>
      </x:c>
      <x:c r="F1984" s="24" t="str">
        <x:v>Surfaçada</x:v>
      </x:c>
      <x:c r="G1984" s="24" t="str">
        <x:v>ClearMind Individual 3</x:v>
      </x:c>
      <x:c r="H1984" s="24" t="str">
        <x:v>PhotoFusion X</x:v>
      </x:c>
      <x:c r="I1984" s="24" t="str">
        <x:v>1.5</x:v>
      </x:c>
      <x:c r="J1984" s="24" t="str">
        <x:v>1.50</x:v>
      </x:c>
      <x:c r="K1984" s="24" t="str">
        <x:v>DuraVision Chrome UV</x:v>
      </x:c>
      <x:c r="L1984" s="40" t="n">
        <x:v>12780</x:v>
      </x:c>
      <x:c r="M1984" s="24" t="str">
        <x:v>-6.00 a +5.50</x:v>
      </x:c>
      <x:c r="N1984" s="24" t="str">
        <x:v>-4.00</x:v>
      </x:c>
      <x:c r="O1984" s="24" t="str">
        <x:v>0.75 a 3.00</x:v>
      </x:c>
      <x:c r="P1984" s="24" t="str">
        <x:v>75</x:v>
      </x:c>
      <x:c r="Q1984" s="24"/>
      <x:c r="R1984" s="24"/>
      <x:c r="S1984" s="26" t="n">
        <x:v>46113</x:v>
      </x:c>
      <x:c r="T1984" s="26"/>
      <x:c r="U1984" s="24" t="str">
        <x:v>ATIVA/SEM FIM INFORMADO</x:v>
      </x:c>
      <x:c r="V1984" s="24" t="str">
        <x:v>Programa de Parcerias ZEISS — categoria Experts; Programa de Parcerias ZEISS</x:v>
      </x:c>
      <x:c r="W1984" s="24" t="n">
        <x:v>32</x:v>
      </x:c>
      <x:c r="X1984" s="24" t="str">
        <x:v>tabela_zeiss.pdf</x:v>
      </x:c>
      <x:c r="Y1984" s="24" t="str">
        <x:v>alta</x:v>
      </x:c>
      <x:c r="Z1984" s="24"/>
      <x:c r="AA1984" s="24" t="str">
        <x:v>ZEISS|Progressiva|Surfaçada|ClearMind Individual 3|PhotoFusion X|1.5|1.50|DuraVision Chrome UV|-6.00 a +5.50|-4.00|0.75 a 3.00|75|||32</x:v>
      </x:c>
    </x:row>
    <x:row r="1985">
      <x:c r="A1985" s="24" t="str">
        <x:v>ZS-4D71EBEB9B08</x:v>
      </x:c>
      <x:c r="B1985" s="24" t="str">
        <x:v>SIM</x:v>
      </x:c>
      <x:c r="C1985" s="24" t="str">
        <x:v>DISPONÍVEL</x:v>
      </x:c>
      <x:c r="D1985" s="24" t="str">
        <x:v>ZEISS</x:v>
      </x:c>
      <x:c r="E1985" s="24" t="str">
        <x:v>Progressiva</x:v>
      </x:c>
      <x:c r="F1985" s="24" t="str">
        <x:v>Surfaçada</x:v>
      </x:c>
      <x:c r="G1985" s="24" t="str">
        <x:v>ClearMind Individual 3</x:v>
      </x:c>
      <x:c r="H1985" s="24" t="str">
        <x:v>PhotoFusion X</x:v>
      </x:c>
      <x:c r="I1985" s="24" t="str">
        <x:v>Poli</x:v>
      </x:c>
      <x:c r="J1985" s="24"/>
      <x:c r="K1985" s="24" t="str">
        <x:v>DuraVision Gold UV</x:v>
      </x:c>
      <x:c r="L1985" s="40" t="n">
        <x:v>14260</x:v>
      </x:c>
      <x:c r="M1985" s="24" t="str">
        <x:v>-10.00 a +6.00</x:v>
      </x:c>
      <x:c r="N1985" s="24" t="str">
        <x:v>-6.00</x:v>
      </x:c>
      <x:c r="O1985" s="24" t="str">
        <x:v>0.75 a 3.00</x:v>
      </x:c>
      <x:c r="P1985" s="24" t="str">
        <x:v>70</x:v>
      </x:c>
      <x:c r="Q1985" s="24"/>
      <x:c r="R1985" s="24"/>
      <x:c r="S1985" s="26" t="n">
        <x:v>46113</x:v>
      </x:c>
      <x:c r="T1985" s="26"/>
      <x:c r="U1985" s="24" t="str">
        <x:v>ATIVA/SEM FIM INFORMADO</x:v>
      </x:c>
      <x:c r="V1985" s="24" t="str">
        <x:v>Programa de Parcerias ZEISS — categoria Experts; Programa de Parcerias ZEISS</x:v>
      </x:c>
      <x:c r="W1985" s="24" t="n">
        <x:v>32</x:v>
      </x:c>
      <x:c r="X1985" s="24" t="str">
        <x:v>tabela_zeiss.pdf</x:v>
      </x:c>
      <x:c r="Y1985" s="24" t="str">
        <x:v>alta</x:v>
      </x:c>
      <x:c r="Z1985" s="24"/>
      <x:c r="AA1985" s="24" t="str">
        <x:v>ZEISS|Progressiva|Surfaçada|ClearMind Individual 3|PhotoFusion X|Poli||DuraVision Gold UV|-10.00 a +6.00|-6.00|0.75 a 3.00|70|||32</x:v>
      </x:c>
    </x:row>
    <x:row r="1986">
      <x:c r="A1986" s="24" t="str">
        <x:v>ZS-D9570437D7E5</x:v>
      </x:c>
      <x:c r="B1986" s="24" t="str">
        <x:v>SIM</x:v>
      </x:c>
      <x:c r="C1986" s="24" t="str">
        <x:v>DISPONÍVEL</x:v>
      </x:c>
      <x:c r="D1986" s="24" t="str">
        <x:v>ZEISS</x:v>
      </x:c>
      <x:c r="E1986" s="24" t="str">
        <x:v>Progressiva</x:v>
      </x:c>
      <x:c r="F1986" s="24" t="str">
        <x:v>Surfaçada</x:v>
      </x:c>
      <x:c r="G1986" s="24" t="str">
        <x:v>ClearMind Individual 3</x:v>
      </x:c>
      <x:c r="H1986" s="24" t="str">
        <x:v>PhotoFusion X</x:v>
      </x:c>
      <x:c r="I1986" s="24" t="str">
        <x:v>Poli</x:v>
      </x:c>
      <x:c r="J1986" s="24"/>
      <x:c r="K1986" s="24" t="str">
        <x:v>DuraVision Platinum UV</x:v>
      </x:c>
      <x:c r="L1986" s="40" t="n">
        <x:v>14120</x:v>
      </x:c>
      <x:c r="M1986" s="24" t="str">
        <x:v>-10.00 a +6.00</x:v>
      </x:c>
      <x:c r="N1986" s="24" t="str">
        <x:v>-6.00</x:v>
      </x:c>
      <x:c r="O1986" s="24" t="str">
        <x:v>0.75 a 3.00</x:v>
      </x:c>
      <x:c r="P1986" s="24" t="str">
        <x:v>70</x:v>
      </x:c>
      <x:c r="Q1986" s="24"/>
      <x:c r="R1986" s="24"/>
      <x:c r="S1986" s="26" t="n">
        <x:v>46113</x:v>
      </x:c>
      <x:c r="T1986" s="26"/>
      <x:c r="U1986" s="24" t="str">
        <x:v>ATIVA/SEM FIM INFORMADO</x:v>
      </x:c>
      <x:c r="V1986" s="24" t="str">
        <x:v>Programa de Parcerias ZEISS — categoria Experts; Programa de Parcerias ZEISS</x:v>
      </x:c>
      <x:c r="W1986" s="24" t="n">
        <x:v>32</x:v>
      </x:c>
      <x:c r="X1986" s="24" t="str">
        <x:v>tabela_zeiss.pdf</x:v>
      </x:c>
      <x:c r="Y1986" s="24" t="str">
        <x:v>alta</x:v>
      </x:c>
      <x:c r="Z1986" s="24"/>
      <x:c r="AA1986" s="24" t="str">
        <x:v>ZEISS|Progressiva|Surfaçada|ClearMind Individual 3|PhotoFusion X|Poli||DuraVision Platinum UV|-10.00 a +6.00|-6.00|0.75 a 3.00|70|||32</x:v>
      </x:c>
    </x:row>
    <x:row r="1987">
      <x:c r="A1987" s="24" t="str">
        <x:v>ZS-0A84246BF317</x:v>
      </x:c>
      <x:c r="B1987" s="24" t="str">
        <x:v>SIM</x:v>
      </x:c>
      <x:c r="C1987" s="24" t="str">
        <x:v>DISPONÍVEL</x:v>
      </x:c>
      <x:c r="D1987" s="24" t="str">
        <x:v>ZEISS</x:v>
      </x:c>
      <x:c r="E1987" s="24" t="str">
        <x:v>Progressiva</x:v>
      </x:c>
      <x:c r="F1987" s="24" t="str">
        <x:v>Surfaçada</x:v>
      </x:c>
      <x:c r="G1987" s="24" t="str">
        <x:v>ClearMind Individual 3</x:v>
      </x:c>
      <x:c r="H1987" s="24" t="str">
        <x:v>PhotoFusion X</x:v>
      </x:c>
      <x:c r="I1987" s="24" t="str">
        <x:v>Poli</x:v>
      </x:c>
      <x:c r="J1987" s="24"/>
      <x:c r="K1987" s="24" t="str">
        <x:v>DuraVision Silver UV</x:v>
      </x:c>
      <x:c r="L1987" s="40" t="n">
        <x:v>13860</x:v>
      </x:c>
      <x:c r="M1987" s="24" t="str">
        <x:v>-10.00 a +6.00</x:v>
      </x:c>
      <x:c r="N1987" s="24" t="str">
        <x:v>-6.00</x:v>
      </x:c>
      <x:c r="O1987" s="24" t="str">
        <x:v>0.75 a 3.00</x:v>
      </x:c>
      <x:c r="P1987" s="24" t="str">
        <x:v>70</x:v>
      </x:c>
      <x:c r="Q1987" s="24"/>
      <x:c r="R1987" s="24"/>
      <x:c r="S1987" s="26" t="n">
        <x:v>46113</x:v>
      </x:c>
      <x:c r="T1987" s="26"/>
      <x:c r="U1987" s="24" t="str">
        <x:v>ATIVA/SEM FIM INFORMADO</x:v>
      </x:c>
      <x:c r="V1987" s="24" t="str">
        <x:v>Programa de Parcerias ZEISS — categoria Experts; Programa de Parcerias ZEISS</x:v>
      </x:c>
      <x:c r="W1987" s="24" t="n">
        <x:v>32</x:v>
      </x:c>
      <x:c r="X1987" s="24" t="str">
        <x:v>tabela_zeiss.pdf</x:v>
      </x:c>
      <x:c r="Y1987" s="24" t="str">
        <x:v>alta</x:v>
      </x:c>
      <x:c r="Z1987" s="24"/>
      <x:c r="AA1987" s="24" t="str">
        <x:v>ZEISS|Progressiva|Surfaçada|ClearMind Individual 3|PhotoFusion X|Poli||DuraVision Silver UV|-10.00 a +6.00|-6.00|0.75 a 3.00|70|||32</x:v>
      </x:c>
    </x:row>
    <x:row r="1988">
      <x:c r="A1988" s="24" t="str">
        <x:v>ZS-05907DB5BA26</x:v>
      </x:c>
      <x:c r="B1988" s="24" t="str">
        <x:v>SIM</x:v>
      </x:c>
      <x:c r="C1988" s="24" t="str">
        <x:v>DISPONÍVEL</x:v>
      </x:c>
      <x:c r="D1988" s="24" t="str">
        <x:v>ZEISS</x:v>
      </x:c>
      <x:c r="E1988" s="24" t="str">
        <x:v>Progressiva</x:v>
      </x:c>
      <x:c r="F1988" s="24" t="str">
        <x:v>Surfaçada</x:v>
      </x:c>
      <x:c r="G1988" s="24" t="str">
        <x:v>ClearMind Individual 3</x:v>
      </x:c>
      <x:c r="H1988" s="24" t="str">
        <x:v>PhotoFusion X</x:v>
      </x:c>
      <x:c r="I1988" s="24" t="str">
        <x:v>Poli</x:v>
      </x:c>
      <x:c r="J1988" s="24"/>
      <x:c r="K1988" s="24" t="str">
        <x:v>DuraVision Chrome UV</x:v>
      </x:c>
      <x:c r="L1988" s="40" t="n">
        <x:v>13370</x:v>
      </x:c>
      <x:c r="M1988" s="24" t="str">
        <x:v>-10.00 a +6.00</x:v>
      </x:c>
      <x:c r="N1988" s="24" t="str">
        <x:v>-6.00</x:v>
      </x:c>
      <x:c r="O1988" s="24" t="str">
        <x:v>0.75 a 3.00</x:v>
      </x:c>
      <x:c r="P1988" s="24" t="str">
        <x:v>70</x:v>
      </x:c>
      <x:c r="Q1988" s="24"/>
      <x:c r="R1988" s="24"/>
      <x:c r="S1988" s="26" t="n">
        <x:v>46113</x:v>
      </x:c>
      <x:c r="T1988" s="26"/>
      <x:c r="U1988" s="24" t="str">
        <x:v>ATIVA/SEM FIM INFORMADO</x:v>
      </x:c>
      <x:c r="V1988" s="24" t="str">
        <x:v>Programa de Parcerias ZEISS — categoria Experts; Programa de Parcerias ZEISS</x:v>
      </x:c>
      <x:c r="W1988" s="24" t="n">
        <x:v>32</x:v>
      </x:c>
      <x:c r="X1988" s="24" t="str">
        <x:v>tabela_zeiss.pdf</x:v>
      </x:c>
      <x:c r="Y1988" s="24" t="str">
        <x:v>alta</x:v>
      </x:c>
      <x:c r="Z1988" s="24"/>
      <x:c r="AA1988" s="24" t="str">
        <x:v>ZEISS|Progressiva|Surfaçada|ClearMind Individual 3|PhotoFusion X|Poli||DuraVision Chrome UV|-10.00 a +6.00|-6.00|0.75 a 3.00|70|||32</x:v>
      </x:c>
    </x:row>
    <x:row r="1989">
      <x:c r="A1989" s="24" t="str">
        <x:v>ZS-1DFB982E1940</x:v>
      </x:c>
      <x:c r="B1989" s="24" t="str">
        <x:v>SIM</x:v>
      </x:c>
      <x:c r="C1989" s="24" t="str">
        <x:v>DISPONÍVEL</x:v>
      </x:c>
      <x:c r="D1989" s="24" t="str">
        <x:v>ZEISS</x:v>
      </x:c>
      <x:c r="E1989" s="24" t="str">
        <x:v>Progressiva</x:v>
      </x:c>
      <x:c r="F1989" s="24" t="str">
        <x:v>Surfaçada</x:v>
      </x:c>
      <x:c r="G1989" s="24" t="str">
        <x:v>ClearMind Individual 3</x:v>
      </x:c>
      <x:c r="H1989" s="24" t="str">
        <x:v>PhotoFusion X</x:v>
      </x:c>
      <x:c r="I1989" s="24" t="str">
        <x:v>1.6</x:v>
      </x:c>
      <x:c r="J1989" s="24" t="str">
        <x:v>1.60</x:v>
      </x:c>
      <x:c r="K1989" s="24" t="str">
        <x:v>DuraVision Gold UV</x:v>
      </x:c>
      <x:c r="L1989" s="40" t="n">
        <x:v>14920</x:v>
      </x:c>
      <x:c r="M1989" s="24" t="str">
        <x:v>-7.25 a +6.00</x:v>
      </x:c>
      <x:c r="N1989" s="24" t="str">
        <x:v>-6.00</x:v>
      </x:c>
      <x:c r="O1989" s="24" t="str">
        <x:v>0.75 a 3.50</x:v>
      </x:c>
      <x:c r="P1989" s="24" t="str">
        <x:v>75</x:v>
      </x:c>
      <x:c r="Q1989" s="24"/>
      <x:c r="R1989" s="24"/>
      <x:c r="S1989" s="26" t="n">
        <x:v>46113</x:v>
      </x:c>
      <x:c r="T1989" s="26"/>
      <x:c r="U1989" s="24" t="str">
        <x:v>ATIVA/SEM FIM INFORMADO</x:v>
      </x:c>
      <x:c r="V1989" s="24" t="str">
        <x:v>Programa de Parcerias ZEISS — categoria Experts; Programa de Parcerias ZEISS</x:v>
      </x:c>
      <x:c r="W1989" s="24" t="n">
        <x:v>32</x:v>
      </x:c>
      <x:c r="X1989" s="24" t="str">
        <x:v>tabela_zeiss.pdf</x:v>
      </x:c>
      <x:c r="Y1989" s="24" t="str">
        <x:v>alta</x:v>
      </x:c>
      <x:c r="Z1989" s="24"/>
      <x:c r="AA1989" s="24" t="str">
        <x:v>ZEISS|Progressiva|Surfaçada|ClearMind Individual 3|PhotoFusion X|1.6|1.60|DuraVision Gold UV|-7.25 a +6.00|-6.00|0.75 a 3.50|75|||32</x:v>
      </x:c>
    </x:row>
    <x:row r="1990">
      <x:c r="A1990" s="24" t="str">
        <x:v>ZS-F1FF24F9AC50</x:v>
      </x:c>
      <x:c r="B1990" s="24" t="str">
        <x:v>SIM</x:v>
      </x:c>
      <x:c r="C1990" s="24" t="str">
        <x:v>DISPONÍVEL</x:v>
      </x:c>
      <x:c r="D1990" s="24" t="str">
        <x:v>ZEISS</x:v>
      </x:c>
      <x:c r="E1990" s="24" t="str">
        <x:v>Progressiva</x:v>
      </x:c>
      <x:c r="F1990" s="24" t="str">
        <x:v>Surfaçada</x:v>
      </x:c>
      <x:c r="G1990" s="24" t="str">
        <x:v>ClearMind Individual 3</x:v>
      </x:c>
      <x:c r="H1990" s="24" t="str">
        <x:v>PhotoFusion X</x:v>
      </x:c>
      <x:c r="I1990" s="24" t="str">
        <x:v>1.6</x:v>
      </x:c>
      <x:c r="J1990" s="24" t="str">
        <x:v>1.60</x:v>
      </x:c>
      <x:c r="K1990" s="24" t="str">
        <x:v>DURAVISION® ANTIVÍRUS PLATINUM UV</x:v>
      </x:c>
      <x:c r="L1990" s="40" t="n">
        <x:v>14780</x:v>
      </x:c>
      <x:c r="M1990" s="24" t="str">
        <x:v>-7.25 a +6.00</x:v>
      </x:c>
      <x:c r="N1990" s="24" t="str">
        <x:v>-6.00</x:v>
      </x:c>
      <x:c r="O1990" s="24" t="str">
        <x:v>0.75 a 3.50</x:v>
      </x:c>
      <x:c r="P1990" s="24" t="str">
        <x:v>75</x:v>
      </x:c>
      <x:c r="Q1990" s="24"/>
      <x:c r="R1990" s="24"/>
      <x:c r="S1990" s="26" t="n">
        <x:v>46113</x:v>
      </x:c>
      <x:c r="T1990" s="26"/>
      <x:c r="U1990" s="24" t="str">
        <x:v>ATIVA/SEM FIM INFORMADO</x:v>
      </x:c>
      <x:c r="V1990" s="24" t="str">
        <x:v>Programa de Parcerias ZEISS — categoria Experts; Programa de Parcerias ZEISS</x:v>
      </x:c>
      <x:c r="W1990" s="24" t="n">
        <x:v>32</x:v>
      </x:c>
      <x:c r="X1990" s="24" t="str">
        <x:v>tabela_zeiss.pdf</x:v>
      </x:c>
      <x:c r="Y1990" s="24" t="str">
        <x:v>alta</x:v>
      </x:c>
      <x:c r="Z1990" s="24"/>
      <x:c r="AA1990" s="24" t="str">
        <x:v>ZEISS|Progressiva|Surfaçada|ClearMind Individual 3|PhotoFusion X|1.6|1.60|DURAVISION® ANTIVÍRUS PLATINUM UV|-7.25 a +6.00|-6.00|0.75 a 3.50|75|||32</x:v>
      </x:c>
    </x:row>
    <x:row r="1991">
      <x:c r="A1991" s="24" t="str">
        <x:v>ZS-7985591ACA6E</x:v>
      </x:c>
      <x:c r="B1991" s="24" t="str">
        <x:v>SIM</x:v>
      </x:c>
      <x:c r="C1991" s="24" t="str">
        <x:v>DISPONÍVEL</x:v>
      </x:c>
      <x:c r="D1991" s="24" t="str">
        <x:v>ZEISS</x:v>
      </x:c>
      <x:c r="E1991" s="24" t="str">
        <x:v>Progressiva</x:v>
      </x:c>
      <x:c r="F1991" s="24" t="str">
        <x:v>Surfaçada</x:v>
      </x:c>
      <x:c r="G1991" s="24" t="str">
        <x:v>ClearMind Individual 3</x:v>
      </x:c>
      <x:c r="H1991" s="24" t="str">
        <x:v>PhotoFusion X</x:v>
      </x:c>
      <x:c r="I1991" s="24" t="str">
        <x:v>1.6</x:v>
      </x:c>
      <x:c r="J1991" s="24" t="str">
        <x:v>1.60</x:v>
      </x:c>
      <x:c r="K1991" s="24" t="str">
        <x:v>DuraVision Platinum UV</x:v>
      </x:c>
      <x:c r="L1991" s="40" t="n">
        <x:v>14780</x:v>
      </x:c>
      <x:c r="M1991" s="24" t="str">
        <x:v>-7.25 a +6.00</x:v>
      </x:c>
      <x:c r="N1991" s="24" t="str">
        <x:v>-6.00</x:v>
      </x:c>
      <x:c r="O1991" s="24" t="str">
        <x:v>0.75 a 3.50</x:v>
      </x:c>
      <x:c r="P1991" s="24" t="str">
        <x:v>75</x:v>
      </x:c>
      <x:c r="Q1991" s="24"/>
      <x:c r="R1991" s="24"/>
      <x:c r="S1991" s="26" t="n">
        <x:v>46113</x:v>
      </x:c>
      <x:c r="T1991" s="26"/>
      <x:c r="U1991" s="24" t="str">
        <x:v>ATIVA/SEM FIM INFORMADO</x:v>
      </x:c>
      <x:c r="V1991" s="24" t="str">
        <x:v>Programa de Parcerias ZEISS — categoria Experts; Programa de Parcerias ZEISS</x:v>
      </x:c>
      <x:c r="W1991" s="24" t="n">
        <x:v>32</x:v>
      </x:c>
      <x:c r="X1991" s="24" t="str">
        <x:v>tabela_zeiss.pdf</x:v>
      </x:c>
      <x:c r="Y1991" s="24" t="str">
        <x:v>alta</x:v>
      </x:c>
      <x:c r="Z1991" s="24"/>
      <x:c r="AA1991" s="24" t="str">
        <x:v>ZEISS|Progressiva|Surfaçada|ClearMind Individual 3|PhotoFusion X|1.6|1.60|DuraVision Platinum UV|-7.25 a +6.00|-6.00|0.75 a 3.50|75|||32</x:v>
      </x:c>
    </x:row>
    <x:row r="1992">
      <x:c r="A1992" s="24" t="str">
        <x:v>ZS-BD5E573FF969</x:v>
      </x:c>
      <x:c r="B1992" s="24" t="str">
        <x:v>SIM</x:v>
      </x:c>
      <x:c r="C1992" s="24" t="str">
        <x:v>DISPONÍVEL</x:v>
      </x:c>
      <x:c r="D1992" s="24" t="str">
        <x:v>ZEISS</x:v>
      </x:c>
      <x:c r="E1992" s="24" t="str">
        <x:v>Progressiva</x:v>
      </x:c>
      <x:c r="F1992" s="24" t="str">
        <x:v>Surfaçada</x:v>
      </x:c>
      <x:c r="G1992" s="24" t="str">
        <x:v>ClearMind Individual 3</x:v>
      </x:c>
      <x:c r="H1992" s="24" t="str">
        <x:v>PhotoFusion X</x:v>
      </x:c>
      <x:c r="I1992" s="24" t="str">
        <x:v>1.6</x:v>
      </x:c>
      <x:c r="J1992" s="24" t="str">
        <x:v>1.60</x:v>
      </x:c>
      <x:c r="K1992" s="24" t="str">
        <x:v>DuraVision Silver UV</x:v>
      </x:c>
      <x:c r="L1992" s="40" t="n">
        <x:v>14520</x:v>
      </x:c>
      <x:c r="M1992" s="24" t="str">
        <x:v>-7.25 a +6.00</x:v>
      </x:c>
      <x:c r="N1992" s="24" t="str">
        <x:v>-6.00</x:v>
      </x:c>
      <x:c r="O1992" s="24" t="str">
        <x:v>0.75 a 3.50</x:v>
      </x:c>
      <x:c r="P1992" s="24" t="str">
        <x:v>75</x:v>
      </x:c>
      <x:c r="Q1992" s="24"/>
      <x:c r="R1992" s="24"/>
      <x:c r="S1992" s="26" t="n">
        <x:v>46113</x:v>
      </x:c>
      <x:c r="T1992" s="26"/>
      <x:c r="U1992" s="24" t="str">
        <x:v>ATIVA/SEM FIM INFORMADO</x:v>
      </x:c>
      <x:c r="V1992" s="24" t="str">
        <x:v>Programa de Parcerias ZEISS — categoria Experts; Programa de Parcerias ZEISS</x:v>
      </x:c>
      <x:c r="W1992" s="24" t="n">
        <x:v>32</x:v>
      </x:c>
      <x:c r="X1992" s="24" t="str">
        <x:v>tabela_zeiss.pdf</x:v>
      </x:c>
      <x:c r="Y1992" s="24" t="str">
        <x:v>alta</x:v>
      </x:c>
      <x:c r="Z1992" s="24"/>
      <x:c r="AA1992" s="24" t="str">
        <x:v>ZEISS|Progressiva|Surfaçada|ClearMind Individual 3|PhotoFusion X|1.6|1.60|DuraVision Silver UV|-7.25 a +6.00|-6.00|0.75 a 3.50|75|||32</x:v>
      </x:c>
    </x:row>
    <x:row r="1993">
      <x:c r="A1993" s="24" t="str">
        <x:v>ZS-C4DC16BF2809</x:v>
      </x:c>
      <x:c r="B1993" s="24" t="str">
        <x:v>SIM</x:v>
      </x:c>
      <x:c r="C1993" s="24" t="str">
        <x:v>DISPONÍVEL</x:v>
      </x:c>
      <x:c r="D1993" s="24" t="str">
        <x:v>ZEISS</x:v>
      </x:c>
      <x:c r="E1993" s="24" t="str">
        <x:v>Progressiva</x:v>
      </x:c>
      <x:c r="F1993" s="24" t="str">
        <x:v>Surfaçada</x:v>
      </x:c>
      <x:c r="G1993" s="24" t="str">
        <x:v>ClearMind Individual 3</x:v>
      </x:c>
      <x:c r="H1993" s="24" t="str">
        <x:v>PhotoFusion X</x:v>
      </x:c>
      <x:c r="I1993" s="24" t="str">
        <x:v>1.6</x:v>
      </x:c>
      <x:c r="J1993" s="24" t="str">
        <x:v>1.60</x:v>
      </x:c>
      <x:c r="K1993" s="24" t="str">
        <x:v>DuraVision Chrome UV</x:v>
      </x:c>
      <x:c r="L1993" s="40" t="n">
        <x:v>14030</x:v>
      </x:c>
      <x:c r="M1993" s="24" t="str">
        <x:v>-7.25 a +6.00</x:v>
      </x:c>
      <x:c r="N1993" s="24" t="str">
        <x:v>-6.00</x:v>
      </x:c>
      <x:c r="O1993" s="24" t="str">
        <x:v>0.75 a 3.50</x:v>
      </x:c>
      <x:c r="P1993" s="24" t="str">
        <x:v>75</x:v>
      </x:c>
      <x:c r="Q1993" s="24"/>
      <x:c r="R1993" s="24"/>
      <x:c r="S1993" s="26" t="n">
        <x:v>46113</x:v>
      </x:c>
      <x:c r="T1993" s="26"/>
      <x:c r="U1993" s="24" t="str">
        <x:v>ATIVA/SEM FIM INFORMADO</x:v>
      </x:c>
      <x:c r="V1993" s="24" t="str">
        <x:v>Programa de Parcerias ZEISS — categoria Experts; Programa de Parcerias ZEISS</x:v>
      </x:c>
      <x:c r="W1993" s="24" t="n">
        <x:v>32</x:v>
      </x:c>
      <x:c r="X1993" s="24" t="str">
        <x:v>tabela_zeiss.pdf</x:v>
      </x:c>
      <x:c r="Y1993" s="24" t="str">
        <x:v>alta</x:v>
      </x:c>
      <x:c r="Z1993" s="24"/>
      <x:c r="AA1993" s="24" t="str">
        <x:v>ZEISS|Progressiva|Surfaçada|ClearMind Individual 3|PhotoFusion X|1.6|1.60|DuraVision Chrome UV|-7.25 a +6.00|-6.00|0.75 a 3.50|75|||32</x:v>
      </x:c>
    </x:row>
    <x:row r="1994">
      <x:c r="A1994" s="24" t="str">
        <x:v>ZS-A5A32FB70257</x:v>
      </x:c>
      <x:c r="B1994" s="24" t="str">
        <x:v>SIM</x:v>
      </x:c>
      <x:c r="C1994" s="24" t="str">
        <x:v>DISPONÍVEL</x:v>
      </x:c>
      <x:c r="D1994" s="24" t="str">
        <x:v>ZEISS</x:v>
      </x:c>
      <x:c r="E1994" s="24" t="str">
        <x:v>Progressiva</x:v>
      </x:c>
      <x:c r="F1994" s="24" t="str">
        <x:v>Surfaçada</x:v>
      </x:c>
      <x:c r="G1994" s="24" t="str">
        <x:v>ClearMind Individual 3</x:v>
      </x:c>
      <x:c r="H1994" s="24" t="str">
        <x:v>PhotoFusion X</x:v>
      </x:c>
      <x:c r="I1994" s="24" t="str">
        <x:v>1.67</x:v>
      </x:c>
      <x:c r="J1994" s="24" t="str">
        <x:v>1.67</x:v>
      </x:c>
      <x:c r="K1994" s="24" t="str">
        <x:v>DuraVision Gold UV</x:v>
      </x:c>
      <x:c r="L1994" s="40" t="n">
        <x:v>16560</x:v>
      </x:c>
      <x:c r="M1994" s="24" t="str">
        <x:v>-8.00 a +8.00</x:v>
      </x:c>
      <x:c r="N1994" s="24" t="str">
        <x:v>-6.00</x:v>
      </x:c>
      <x:c r="O1994" s="24" t="str">
        <x:v>0.75 a 3.00</x:v>
      </x:c>
      <x:c r="P1994" s="24" t="str">
        <x:v>70</x:v>
      </x:c>
      <x:c r="Q1994" s="24"/>
      <x:c r="R1994" s="24"/>
      <x:c r="S1994" s="26" t="n">
        <x:v>46113</x:v>
      </x:c>
      <x:c r="T1994" s="26"/>
      <x:c r="U1994" s="24" t="str">
        <x:v>ATIVA/SEM FIM INFORMADO</x:v>
      </x:c>
      <x:c r="V1994" s="24" t="str">
        <x:v>Programa de Parcerias ZEISS — categoria Experts; Programa de Parcerias ZEISS</x:v>
      </x:c>
      <x:c r="W1994" s="24" t="n">
        <x:v>32</x:v>
      </x:c>
      <x:c r="X1994" s="24" t="str">
        <x:v>tabela_zeiss.pdf</x:v>
      </x:c>
      <x:c r="Y1994" s="24" t="str">
        <x:v>alta</x:v>
      </x:c>
      <x:c r="Z1994" s="24"/>
      <x:c r="AA1994" s="24" t="str">
        <x:v>ZEISS|Progressiva|Surfaçada|ClearMind Individual 3|PhotoFusion X|1.67|1.67|DuraVision Gold UV|-8.00 a +8.00|-6.00|0.75 a 3.00|70|||32</x:v>
      </x:c>
    </x:row>
    <x:row r="1995">
      <x:c r="A1995" s="24" t="str">
        <x:v>ZS-9309B7D5440A</x:v>
      </x:c>
      <x:c r="B1995" s="24" t="str">
        <x:v>SIM</x:v>
      </x:c>
      <x:c r="C1995" s="24" t="str">
        <x:v>DISPONÍVEL</x:v>
      </x:c>
      <x:c r="D1995" s="24" t="str">
        <x:v>ZEISS</x:v>
      </x:c>
      <x:c r="E1995" s="24" t="str">
        <x:v>Progressiva</x:v>
      </x:c>
      <x:c r="F1995" s="24" t="str">
        <x:v>Surfaçada</x:v>
      </x:c>
      <x:c r="G1995" s="24" t="str">
        <x:v>ClearMind Individual 3</x:v>
      </x:c>
      <x:c r="H1995" s="24" t="str">
        <x:v>PhotoFusion X</x:v>
      </x:c>
      <x:c r="I1995" s="24" t="str">
        <x:v>1.67</x:v>
      </x:c>
      <x:c r="J1995" s="24" t="str">
        <x:v>1.67</x:v>
      </x:c>
      <x:c r="K1995" s="24" t="str">
        <x:v>DURAVISION® ANTIVÍRUS PLATINUM UV</x:v>
      </x:c>
      <x:c r="L1995" s="40" t="n">
        <x:v>16420</x:v>
      </x:c>
      <x:c r="M1995" s="24" t="str">
        <x:v>-8.00 a +8.00</x:v>
      </x:c>
      <x:c r="N1995" s="24" t="str">
        <x:v>-6.00</x:v>
      </x:c>
      <x:c r="O1995" s="24" t="str">
        <x:v>0.75 a 3.00</x:v>
      </x:c>
      <x:c r="P1995" s="24" t="str">
        <x:v>70</x:v>
      </x:c>
      <x:c r="Q1995" s="24"/>
      <x:c r="R1995" s="24"/>
      <x:c r="S1995" s="26" t="n">
        <x:v>46113</x:v>
      </x:c>
      <x:c r="T1995" s="26"/>
      <x:c r="U1995" s="24" t="str">
        <x:v>ATIVA/SEM FIM INFORMADO</x:v>
      </x:c>
      <x:c r="V1995" s="24" t="str">
        <x:v>Programa de Parcerias ZEISS — categoria Experts; Programa de Parcerias ZEISS</x:v>
      </x:c>
      <x:c r="W1995" s="24" t="n">
        <x:v>32</x:v>
      </x:c>
      <x:c r="X1995" s="24" t="str">
        <x:v>tabela_zeiss.pdf</x:v>
      </x:c>
      <x:c r="Y1995" s="24" t="str">
        <x:v>alta</x:v>
      </x:c>
      <x:c r="Z1995" s="24"/>
      <x:c r="AA1995" s="24" t="str">
        <x:v>ZEISS|Progressiva|Surfaçada|ClearMind Individual 3|PhotoFusion X|1.67|1.67|DURAVISION® ANTIVÍRUS PLATINUM UV|-8.00 a +8.00|-6.00|0.75 a 3.00|70|||32</x:v>
      </x:c>
    </x:row>
    <x:row r="1996">
      <x:c r="A1996" s="24" t="str">
        <x:v>ZS-C472F8B0F4E1</x:v>
      </x:c>
      <x:c r="B1996" s="24" t="str">
        <x:v>SIM</x:v>
      </x:c>
      <x:c r="C1996" s="24" t="str">
        <x:v>DISPONÍVEL</x:v>
      </x:c>
      <x:c r="D1996" s="24" t="str">
        <x:v>ZEISS</x:v>
      </x:c>
      <x:c r="E1996" s="24" t="str">
        <x:v>Progressiva</x:v>
      </x:c>
      <x:c r="F1996" s="24" t="str">
        <x:v>Surfaçada</x:v>
      </x:c>
      <x:c r="G1996" s="24" t="str">
        <x:v>ClearMind Individual 3</x:v>
      </x:c>
      <x:c r="H1996" s="24" t="str">
        <x:v>PhotoFusion X</x:v>
      </x:c>
      <x:c r="I1996" s="24" t="str">
        <x:v>1.67</x:v>
      </x:c>
      <x:c r="J1996" s="24" t="str">
        <x:v>1.67</x:v>
      </x:c>
      <x:c r="K1996" s="24" t="str">
        <x:v>DuraVision Platinum UV</x:v>
      </x:c>
      <x:c r="L1996" s="40" t="n">
        <x:v>16420</x:v>
      </x:c>
      <x:c r="M1996" s="24" t="str">
        <x:v>-8.00 a +8.00</x:v>
      </x:c>
      <x:c r="N1996" s="24" t="str">
        <x:v>-6.00</x:v>
      </x:c>
      <x:c r="O1996" s="24" t="str">
        <x:v>0.75 a 3.00</x:v>
      </x:c>
      <x:c r="P1996" s="24" t="str">
        <x:v>70</x:v>
      </x:c>
      <x:c r="Q1996" s="24"/>
      <x:c r="R1996" s="24"/>
      <x:c r="S1996" s="26" t="n">
        <x:v>46113</x:v>
      </x:c>
      <x:c r="T1996" s="26"/>
      <x:c r="U1996" s="24" t="str">
        <x:v>ATIVA/SEM FIM INFORMADO</x:v>
      </x:c>
      <x:c r="V1996" s="24" t="str">
        <x:v>Programa de Parcerias ZEISS — categoria Experts; Programa de Parcerias ZEISS</x:v>
      </x:c>
      <x:c r="W1996" s="24" t="n">
        <x:v>32</x:v>
      </x:c>
      <x:c r="X1996" s="24" t="str">
        <x:v>tabela_zeiss.pdf</x:v>
      </x:c>
      <x:c r="Y1996" s="24" t="str">
        <x:v>alta</x:v>
      </x:c>
      <x:c r="Z1996" s="24"/>
      <x:c r="AA1996" s="24" t="str">
        <x:v>ZEISS|Progressiva|Surfaçada|ClearMind Individual 3|PhotoFusion X|1.67|1.67|DuraVision Platinum UV|-8.00 a +8.00|-6.00|0.75 a 3.00|70|||32</x:v>
      </x:c>
    </x:row>
    <x:row r="1997">
      <x:c r="A1997" s="24" t="str">
        <x:v>ZS-5EDFC159D20E</x:v>
      </x:c>
      <x:c r="B1997" s="24" t="str">
        <x:v>SIM</x:v>
      </x:c>
      <x:c r="C1997" s="24" t="str">
        <x:v>DISPONÍVEL</x:v>
      </x:c>
      <x:c r="D1997" s="24" t="str">
        <x:v>ZEISS</x:v>
      </x:c>
      <x:c r="E1997" s="24" t="str">
        <x:v>Progressiva</x:v>
      </x:c>
      <x:c r="F1997" s="24" t="str">
        <x:v>Surfaçada</x:v>
      </x:c>
      <x:c r="G1997" s="24" t="str">
        <x:v>ClearMind Individual 3</x:v>
      </x:c>
      <x:c r="H1997" s="24" t="str">
        <x:v>PhotoFusion X</x:v>
      </x:c>
      <x:c r="I1997" s="24" t="str">
        <x:v>1.67</x:v>
      </x:c>
      <x:c r="J1997" s="24" t="str">
        <x:v>1.67</x:v>
      </x:c>
      <x:c r="K1997" s="24" t="str">
        <x:v>DuraVision Silver UV</x:v>
      </x:c>
      <x:c r="L1997" s="40" t="n">
        <x:v>16160</x:v>
      </x:c>
      <x:c r="M1997" s="24" t="str">
        <x:v>-8.00 a +8.00</x:v>
      </x:c>
      <x:c r="N1997" s="24" t="str">
        <x:v>-6.00</x:v>
      </x:c>
      <x:c r="O1997" s="24" t="str">
        <x:v>0.75 a 3.00</x:v>
      </x:c>
      <x:c r="P1997" s="24" t="str">
        <x:v>70</x:v>
      </x:c>
      <x:c r="Q1997" s="24"/>
      <x:c r="R1997" s="24"/>
      <x:c r="S1997" s="26" t="n">
        <x:v>46113</x:v>
      </x:c>
      <x:c r="T1997" s="26"/>
      <x:c r="U1997" s="24" t="str">
        <x:v>ATIVA/SEM FIM INFORMADO</x:v>
      </x:c>
      <x:c r="V1997" s="24" t="str">
        <x:v>Programa de Parcerias ZEISS — categoria Experts; Programa de Parcerias ZEISS</x:v>
      </x:c>
      <x:c r="W1997" s="24" t="n">
        <x:v>32</x:v>
      </x:c>
      <x:c r="X1997" s="24" t="str">
        <x:v>tabela_zeiss.pdf</x:v>
      </x:c>
      <x:c r="Y1997" s="24" t="str">
        <x:v>alta</x:v>
      </x:c>
      <x:c r="Z1997" s="24"/>
      <x:c r="AA1997" s="24" t="str">
        <x:v>ZEISS|Progressiva|Surfaçada|ClearMind Individual 3|PhotoFusion X|1.67|1.67|DuraVision Silver UV|-8.00 a +8.00|-6.00|0.75 a 3.00|70|||32</x:v>
      </x:c>
    </x:row>
    <x:row r="1998">
      <x:c r="A1998" s="24" t="str">
        <x:v>ZS-A4DFA1838081</x:v>
      </x:c>
      <x:c r="B1998" s="24" t="str">
        <x:v>SIM</x:v>
      </x:c>
      <x:c r="C1998" s="24" t="str">
        <x:v>DISPONÍVEL</x:v>
      </x:c>
      <x:c r="D1998" s="24" t="str">
        <x:v>ZEISS</x:v>
      </x:c>
      <x:c r="E1998" s="24" t="str">
        <x:v>Progressiva</x:v>
      </x:c>
      <x:c r="F1998" s="24" t="str">
        <x:v>Surfaçada</x:v>
      </x:c>
      <x:c r="G1998" s="24" t="str">
        <x:v>ClearMind Individual 3</x:v>
      </x:c>
      <x:c r="H1998" s="24" t="str">
        <x:v>PhotoFusion X</x:v>
      </x:c>
      <x:c r="I1998" s="24" t="str">
        <x:v>1.67</x:v>
      </x:c>
      <x:c r="J1998" s="24" t="str">
        <x:v>1.67</x:v>
      </x:c>
      <x:c r="K1998" s="24" t="str">
        <x:v>DuraVision Chrome UV</x:v>
      </x:c>
      <x:c r="L1998" s="40" t="n">
        <x:v>15670</x:v>
      </x:c>
      <x:c r="M1998" s="24" t="str">
        <x:v>-8.00 a +8.00</x:v>
      </x:c>
      <x:c r="N1998" s="24" t="str">
        <x:v>-6.00</x:v>
      </x:c>
      <x:c r="O1998" s="24" t="str">
        <x:v>0.75 a 3.00</x:v>
      </x:c>
      <x:c r="P1998" s="24" t="str">
        <x:v>70</x:v>
      </x:c>
      <x:c r="Q1998" s="24"/>
      <x:c r="R1998" s="24"/>
      <x:c r="S1998" s="26" t="n">
        <x:v>46113</x:v>
      </x:c>
      <x:c r="T1998" s="26"/>
      <x:c r="U1998" s="24" t="str">
        <x:v>ATIVA/SEM FIM INFORMADO</x:v>
      </x:c>
      <x:c r="V1998" s="24" t="str">
        <x:v>Programa de Parcerias ZEISS — categoria Experts; Programa de Parcerias ZEISS</x:v>
      </x:c>
      <x:c r="W1998" s="24" t="n">
        <x:v>32</x:v>
      </x:c>
      <x:c r="X1998" s="24" t="str">
        <x:v>tabela_zeiss.pdf</x:v>
      </x:c>
      <x:c r="Y1998" s="24" t="str">
        <x:v>alta</x:v>
      </x:c>
      <x:c r="Z1998" s="24"/>
      <x:c r="AA1998" s="24" t="str">
        <x:v>ZEISS|Progressiva|Surfaçada|ClearMind Individual 3|PhotoFusion X|1.67|1.67|DuraVision Chrome UV|-8.00 a +8.00|-6.00|0.75 a 3.00|70|||32</x:v>
      </x:c>
    </x:row>
    <x:row r="1999">
      <x:c r="A1999" s="24" t="str">
        <x:v>ZS-A23B3AB84BE2</x:v>
      </x:c>
      <x:c r="B1999" s="24" t="str">
        <x:v>SIM</x:v>
      </x:c>
      <x:c r="C1999" s="24" t="str">
        <x:v>DISPONÍVEL</x:v>
      </x:c>
      <x:c r="D1999" s="24" t="str">
        <x:v>ZEISS</x:v>
      </x:c>
      <x:c r="E1999" s="24" t="str">
        <x:v>Progressiva</x:v>
      </x:c>
      <x:c r="F1999" s="24" t="str">
        <x:v>Surfaçada</x:v>
      </x:c>
      <x:c r="G1999" s="24" t="str">
        <x:v>ClearMind Individual 3</x:v>
      </x:c>
      <x:c r="H1999" s="24" t="str">
        <x:v>PhotoFusion X Extra Dark Cinza</x:v>
      </x:c>
      <x:c r="I1999" s="24" t="str">
        <x:v>1.5</x:v>
      </x:c>
      <x:c r="J1999" s="24" t="str">
        <x:v>1.50</x:v>
      </x:c>
      <x:c r="K1999" s="24" t="str">
        <x:v>DuraVision Gold UV</x:v>
      </x:c>
      <x:c r="L1999" s="40" t="n">
        <x:v>13720</x:v>
      </x:c>
      <x:c r="M1999" s="24" t="str">
        <x:v>-6.00 a +5.50</x:v>
      </x:c>
      <x:c r="N1999" s="24" t="str">
        <x:v>-4.00</x:v>
      </x:c>
      <x:c r="O1999" s="24" t="str">
        <x:v>0.75 a 3.00</x:v>
      </x:c>
      <x:c r="P1999" s="24" t="str">
        <x:v>75</x:v>
      </x:c>
      <x:c r="Q1999" s="24"/>
      <x:c r="R1999" s="24"/>
      <x:c r="S1999" s="26" t="n">
        <x:v>46113</x:v>
      </x:c>
      <x:c r="T1999" s="26"/>
      <x:c r="U1999" s="24" t="str">
        <x:v>ATIVA/SEM FIM INFORMADO</x:v>
      </x:c>
      <x:c r="V1999" s="24" t="str">
        <x:v>Programa de Parcerias ZEISS — categoria Experts; Programa de Parcerias ZEISS</x:v>
      </x:c>
      <x:c r="W1999" s="24" t="n">
        <x:v>32</x:v>
      </x:c>
      <x:c r="X1999" s="24" t="str">
        <x:v>tabela_zeiss.pdf</x:v>
      </x:c>
      <x:c r="Y1999" s="24" t="str">
        <x:v>alta</x:v>
      </x:c>
      <x:c r="Z1999" s="24"/>
      <x:c r="AA1999" s="24" t="str">
        <x:v>ZEISS|Progressiva|Surfaçada|ClearMind Individual 3|PhotoFusion X Extra Dark Cinza|1.5|1.50|DuraVision Gold UV|-6.00 a +5.50|-4.00|0.75 a 3.00|75|||32</x:v>
      </x:c>
    </x:row>
    <x:row r="2000">
      <x:c r="A2000" s="24" t="str">
        <x:v>ZS-9BE217322F18</x:v>
      </x:c>
      <x:c r="B2000" s="24" t="str">
        <x:v>SIM</x:v>
      </x:c>
      <x:c r="C2000" s="24" t="str">
        <x:v>DISPONÍVEL</x:v>
      </x:c>
      <x:c r="D2000" s="24" t="str">
        <x:v>ZEISS</x:v>
      </x:c>
      <x:c r="E2000" s="24" t="str">
        <x:v>Progressiva</x:v>
      </x:c>
      <x:c r="F2000" s="24" t="str">
        <x:v>Surfaçada</x:v>
      </x:c>
      <x:c r="G2000" s="24" t="str">
        <x:v>ClearMind Individual 3</x:v>
      </x:c>
      <x:c r="H2000" s="24" t="str">
        <x:v>PhotoFusion X Extra Dark Cinza</x:v>
      </x:c>
      <x:c r="I2000" s="24" t="str">
        <x:v>1.5</x:v>
      </x:c>
      <x:c r="J2000" s="24" t="str">
        <x:v>1.50</x:v>
      </x:c>
      <x:c r="K2000" s="24" t="str">
        <x:v>DURAVISION® ANTIVÍRUS PLATINUM UV</x:v>
      </x:c>
      <x:c r="L2000" s="40" t="n">
        <x:v>13580</x:v>
      </x:c>
      <x:c r="M2000" s="24" t="str">
        <x:v>-6.00 a +5.50</x:v>
      </x:c>
      <x:c r="N2000" s="24" t="str">
        <x:v>-4.00</x:v>
      </x:c>
      <x:c r="O2000" s="24" t="str">
        <x:v>0.75 a 3.00</x:v>
      </x:c>
      <x:c r="P2000" s="24" t="str">
        <x:v>75</x:v>
      </x:c>
      <x:c r="Q2000" s="24"/>
      <x:c r="R2000" s="24"/>
      <x:c r="S2000" s="26" t="n">
        <x:v>46113</x:v>
      </x:c>
      <x:c r="T2000" s="26"/>
      <x:c r="U2000" s="24" t="str">
        <x:v>ATIVA/SEM FIM INFORMADO</x:v>
      </x:c>
      <x:c r="V2000" s="24" t="str">
        <x:v>Programa de Parcerias ZEISS — categoria Experts; Programa de Parcerias ZEISS</x:v>
      </x:c>
      <x:c r="W2000" s="24" t="n">
        <x:v>32</x:v>
      </x:c>
      <x:c r="X2000" s="24" t="str">
        <x:v>tabela_zeiss.pdf</x:v>
      </x:c>
      <x:c r="Y2000" s="24" t="str">
        <x:v>alta</x:v>
      </x:c>
      <x:c r="Z2000" s="24"/>
      <x:c r="AA2000" s="24" t="str">
        <x:v>ZEISS|Progressiva|Surfaçada|ClearMind Individual 3|PhotoFusion X Extra Dark Cinza|1.5|1.50|DURAVISION® ANTIVÍRUS PLATINUM UV|-6.00 a +5.50|-4.00|0.75 a 3.00|75|||32</x:v>
      </x:c>
    </x:row>
    <x:row r="2001">
      <x:c r="A2001" s="24" t="str">
        <x:v>ZS-B151A8092DCE</x:v>
      </x:c>
      <x:c r="B2001" s="24" t="str">
        <x:v>SIM</x:v>
      </x:c>
      <x:c r="C2001" s="24" t="str">
        <x:v>DISPONÍVEL</x:v>
      </x:c>
      <x:c r="D2001" s="24" t="str">
        <x:v>ZEISS</x:v>
      </x:c>
      <x:c r="E2001" s="24" t="str">
        <x:v>Progressiva</x:v>
      </x:c>
      <x:c r="F2001" s="24" t="str">
        <x:v>Surfaçada</x:v>
      </x:c>
      <x:c r="G2001" s="24" t="str">
        <x:v>ClearMind Individual 3</x:v>
      </x:c>
      <x:c r="H2001" s="24" t="str">
        <x:v>PhotoFusion X Extra Dark Cinza</x:v>
      </x:c>
      <x:c r="I2001" s="24" t="str">
        <x:v>1.5</x:v>
      </x:c>
      <x:c r="J2001" s="24" t="str">
        <x:v>1.50</x:v>
      </x:c>
      <x:c r="K2001" s="24" t="str">
        <x:v>DuraVision Platinum UV</x:v>
      </x:c>
      <x:c r="L2001" s="40" t="n">
        <x:v>13580</x:v>
      </x:c>
      <x:c r="M2001" s="24" t="str">
        <x:v>-6.00 a +5.50</x:v>
      </x:c>
      <x:c r="N2001" s="24" t="str">
        <x:v>-4.00</x:v>
      </x:c>
      <x:c r="O2001" s="24" t="str">
        <x:v>0.75 a 3.00</x:v>
      </x:c>
      <x:c r="P2001" s="24" t="str">
        <x:v>75</x:v>
      </x:c>
      <x:c r="Q2001" s="24"/>
      <x:c r="R2001" s="24"/>
      <x:c r="S2001" s="26" t="n">
        <x:v>46113</x:v>
      </x:c>
      <x:c r="T2001" s="26"/>
      <x:c r="U2001" s="24" t="str">
        <x:v>ATIVA/SEM FIM INFORMADO</x:v>
      </x:c>
      <x:c r="V2001" s="24" t="str">
        <x:v>Programa de Parcerias ZEISS — categoria Experts; Programa de Parcerias ZEISS</x:v>
      </x:c>
      <x:c r="W2001" s="24" t="n">
        <x:v>32</x:v>
      </x:c>
      <x:c r="X2001" s="24" t="str">
        <x:v>tabela_zeiss.pdf</x:v>
      </x:c>
      <x:c r="Y2001" s="24" t="str">
        <x:v>alta</x:v>
      </x:c>
      <x:c r="Z2001" s="24"/>
      <x:c r="AA2001" s="24" t="str">
        <x:v>ZEISS|Progressiva|Surfaçada|ClearMind Individual 3|PhotoFusion X Extra Dark Cinza|1.5|1.50|DuraVision Platinum UV|-6.00 a +5.50|-4.00|0.75 a 3.00|75|||32</x:v>
      </x:c>
    </x:row>
    <x:row r="2002">
      <x:c r="A2002" s="24" t="str">
        <x:v>ZS-17B81776DD71</x:v>
      </x:c>
      <x:c r="B2002" s="24" t="str">
        <x:v>SIM</x:v>
      </x:c>
      <x:c r="C2002" s="24" t="str">
        <x:v>DISPONÍVEL</x:v>
      </x:c>
      <x:c r="D2002" s="24" t="str">
        <x:v>ZEISS</x:v>
      </x:c>
      <x:c r="E2002" s="24" t="str">
        <x:v>Progressiva</x:v>
      </x:c>
      <x:c r="F2002" s="24" t="str">
        <x:v>Surfaçada</x:v>
      </x:c>
      <x:c r="G2002" s="24" t="str">
        <x:v>ClearMind Individual 3</x:v>
      </x:c>
      <x:c r="H2002" s="24" t="str">
        <x:v>PhotoFusion X Extra Dark Cinza</x:v>
      </x:c>
      <x:c r="I2002" s="24" t="str">
        <x:v>1.5</x:v>
      </x:c>
      <x:c r="J2002" s="24" t="str">
        <x:v>1.50</x:v>
      </x:c>
      <x:c r="K2002" s="24" t="str">
        <x:v>DuraVision Silver UV</x:v>
      </x:c>
      <x:c r="L2002" s="40" t="n">
        <x:v>13320</x:v>
      </x:c>
      <x:c r="M2002" s="24" t="str">
        <x:v>-6.00 a +5.50</x:v>
      </x:c>
      <x:c r="N2002" s="24" t="str">
        <x:v>-4.00</x:v>
      </x:c>
      <x:c r="O2002" s="24" t="str">
        <x:v>0.75 a 3.00</x:v>
      </x:c>
      <x:c r="P2002" s="24" t="str">
        <x:v>75</x:v>
      </x:c>
      <x:c r="Q2002" s="24"/>
      <x:c r="R2002" s="24"/>
      <x:c r="S2002" s="26" t="n">
        <x:v>46113</x:v>
      </x:c>
      <x:c r="T2002" s="26"/>
      <x:c r="U2002" s="24" t="str">
        <x:v>ATIVA/SEM FIM INFORMADO</x:v>
      </x:c>
      <x:c r="V2002" s="24" t="str">
        <x:v>Programa de Parcerias ZEISS — categoria Experts; Programa de Parcerias ZEISS</x:v>
      </x:c>
      <x:c r="W2002" s="24" t="n">
        <x:v>32</x:v>
      </x:c>
      <x:c r="X2002" s="24" t="str">
        <x:v>tabela_zeiss.pdf</x:v>
      </x:c>
      <x:c r="Y2002" s="24" t="str">
        <x:v>alta</x:v>
      </x:c>
      <x:c r="Z2002" s="24"/>
      <x:c r="AA2002" s="24" t="str">
        <x:v>ZEISS|Progressiva|Surfaçada|ClearMind Individual 3|PhotoFusion X Extra Dark Cinza|1.5|1.50|DuraVision Silver UV|-6.00 a +5.50|-4.00|0.75 a 3.00|75|||32</x:v>
      </x:c>
    </x:row>
    <x:row r="2003">
      <x:c r="A2003" s="24" t="str">
        <x:v>ZS-378FE7CE1C46</x:v>
      </x:c>
      <x:c r="B2003" s="24" t="str">
        <x:v>SIM</x:v>
      </x:c>
      <x:c r="C2003" s="24" t="str">
        <x:v>DISPONÍVEL</x:v>
      </x:c>
      <x:c r="D2003" s="24" t="str">
        <x:v>ZEISS</x:v>
      </x:c>
      <x:c r="E2003" s="24" t="str">
        <x:v>Progressiva</x:v>
      </x:c>
      <x:c r="F2003" s="24" t="str">
        <x:v>Surfaçada</x:v>
      </x:c>
      <x:c r="G2003" s="24" t="str">
        <x:v>ClearMind Individual 3</x:v>
      </x:c>
      <x:c r="H2003" s="24" t="str">
        <x:v>PhotoFusion X Extra Dark Cinza</x:v>
      </x:c>
      <x:c r="I2003" s="24" t="str">
        <x:v>1.5</x:v>
      </x:c>
      <x:c r="J2003" s="24" t="str">
        <x:v>1.50</x:v>
      </x:c>
      <x:c r="K2003" s="24" t="str">
        <x:v>DuraVision Chrome UV</x:v>
      </x:c>
      <x:c r="L2003" s="40" t="n">
        <x:v>12830</x:v>
      </x:c>
      <x:c r="M2003" s="24" t="str">
        <x:v>-6.00 a +5.50</x:v>
      </x:c>
      <x:c r="N2003" s="24" t="str">
        <x:v>-4.00</x:v>
      </x:c>
      <x:c r="O2003" s="24" t="str">
        <x:v>0.75 a 3.00</x:v>
      </x:c>
      <x:c r="P2003" s="24" t="str">
        <x:v>75</x:v>
      </x:c>
      <x:c r="Q2003" s="24"/>
      <x:c r="R2003" s="24"/>
      <x:c r="S2003" s="26" t="n">
        <x:v>46113</x:v>
      </x:c>
      <x:c r="T2003" s="26"/>
      <x:c r="U2003" s="24" t="str">
        <x:v>ATIVA/SEM FIM INFORMADO</x:v>
      </x:c>
      <x:c r="V2003" s="24" t="str">
        <x:v>Programa de Parcerias ZEISS — categoria Experts; Programa de Parcerias ZEISS</x:v>
      </x:c>
      <x:c r="W2003" s="24" t="n">
        <x:v>32</x:v>
      </x:c>
      <x:c r="X2003" s="24" t="str">
        <x:v>tabela_zeiss.pdf</x:v>
      </x:c>
      <x:c r="Y2003" s="24" t="str">
        <x:v>alta</x:v>
      </x:c>
      <x:c r="Z2003" s="24"/>
      <x:c r="AA2003" s="24" t="str">
        <x:v>ZEISS|Progressiva|Surfaçada|ClearMind Individual 3|PhotoFusion X Extra Dark Cinza|1.5|1.50|DuraVision Chrome UV|-6.00 a +5.50|-4.00|0.75 a 3.00|75|||32</x:v>
      </x:c>
    </x:row>
    <x:row r="2004">
      <x:c r="A2004" s="24" t="str">
        <x:v>ZS-BA71F83657E1</x:v>
      </x:c>
      <x:c r="B2004" s="24" t="str">
        <x:v>SIM</x:v>
      </x:c>
      <x:c r="C2004" s="24" t="str">
        <x:v>DISPONÍVEL</x:v>
      </x:c>
      <x:c r="D2004" s="24" t="str">
        <x:v>ZEISS</x:v>
      </x:c>
      <x:c r="E2004" s="24" t="str">
        <x:v>Progressiva</x:v>
      </x:c>
      <x:c r="F2004" s="24" t="str">
        <x:v>Surfaçada</x:v>
      </x:c>
      <x:c r="G2004" s="24" t="str">
        <x:v>ClearMind Individual 3</x:v>
      </x:c>
      <x:c r="H2004" s="24" t="str">
        <x:v>PhotoFusion X Extra Dark Cinza</x:v>
      </x:c>
      <x:c r="I2004" s="24" t="str">
        <x:v>Poli</x:v>
      </x:c>
      <x:c r="J2004" s="24"/>
      <x:c r="K2004" s="24" t="str">
        <x:v>DuraVision Gold UV</x:v>
      </x:c>
      <x:c r="L2004" s="40" t="n">
        <x:v>14310</x:v>
      </x:c>
      <x:c r="M2004" s="24" t="str">
        <x:v>-10.00 a +6.00</x:v>
      </x:c>
      <x:c r="N2004" s="24" t="str">
        <x:v>-6.00</x:v>
      </x:c>
      <x:c r="O2004" s="24" t="str">
        <x:v>0.75 a 3.00</x:v>
      </x:c>
      <x:c r="P2004" s="24" t="str">
        <x:v>70</x:v>
      </x:c>
      <x:c r="Q2004" s="24"/>
      <x:c r="R2004" s="24"/>
      <x:c r="S2004" s="26" t="n">
        <x:v>46113</x:v>
      </x:c>
      <x:c r="T2004" s="26"/>
      <x:c r="U2004" s="24" t="str">
        <x:v>ATIVA/SEM FIM INFORMADO</x:v>
      </x:c>
      <x:c r="V2004" s="24" t="str">
        <x:v>Programa de Parcerias ZEISS — categoria Experts; Programa de Parcerias ZEISS</x:v>
      </x:c>
      <x:c r="W2004" s="24" t="n">
        <x:v>32</x:v>
      </x:c>
      <x:c r="X2004" s="24" t="str">
        <x:v>tabela_zeiss.pdf</x:v>
      </x:c>
      <x:c r="Y2004" s="24" t="str">
        <x:v>alta</x:v>
      </x:c>
      <x:c r="Z2004" s="24"/>
      <x:c r="AA2004" s="24" t="str">
        <x:v>ZEISS|Progressiva|Surfaçada|ClearMind Individual 3|PhotoFusion X Extra Dark Cinza|Poli||DuraVision Gold UV|-10.00 a +6.00|-6.00|0.75 a 3.00|70|||32</x:v>
      </x:c>
    </x:row>
    <x:row r="2005">
      <x:c r="A2005" s="24" t="str">
        <x:v>ZS-263784F44145</x:v>
      </x:c>
      <x:c r="B2005" s="24" t="str">
        <x:v>SIM</x:v>
      </x:c>
      <x:c r="C2005" s="24" t="str">
        <x:v>DISPONÍVEL</x:v>
      </x:c>
      <x:c r="D2005" s="24" t="str">
        <x:v>ZEISS</x:v>
      </x:c>
      <x:c r="E2005" s="24" t="str">
        <x:v>Progressiva</x:v>
      </x:c>
      <x:c r="F2005" s="24" t="str">
        <x:v>Surfaçada</x:v>
      </x:c>
      <x:c r="G2005" s="24" t="str">
        <x:v>ClearMind Individual 3</x:v>
      </x:c>
      <x:c r="H2005" s="24" t="str">
        <x:v>PhotoFusion X Extra Dark Cinza</x:v>
      </x:c>
      <x:c r="I2005" s="24" t="str">
        <x:v>Poli</x:v>
      </x:c>
      <x:c r="J2005" s="24"/>
      <x:c r="K2005" s="24" t="str">
        <x:v>DuraVision Platinum UV</x:v>
      </x:c>
      <x:c r="L2005" s="40" t="n">
        <x:v>14170</x:v>
      </x:c>
      <x:c r="M2005" s="24" t="str">
        <x:v>-10.00 a +6.00</x:v>
      </x:c>
      <x:c r="N2005" s="24" t="str">
        <x:v>-6.00</x:v>
      </x:c>
      <x:c r="O2005" s="24" t="str">
        <x:v>0.75 a 3.00</x:v>
      </x:c>
      <x:c r="P2005" s="24" t="str">
        <x:v>70</x:v>
      </x:c>
      <x:c r="Q2005" s="24"/>
      <x:c r="R2005" s="24"/>
      <x:c r="S2005" s="26" t="n">
        <x:v>46113</x:v>
      </x:c>
      <x:c r="T2005" s="26"/>
      <x:c r="U2005" s="24" t="str">
        <x:v>ATIVA/SEM FIM INFORMADO</x:v>
      </x:c>
      <x:c r="V2005" s="24" t="str">
        <x:v>Programa de Parcerias ZEISS — categoria Experts; Programa de Parcerias ZEISS</x:v>
      </x:c>
      <x:c r="W2005" s="24" t="n">
        <x:v>32</x:v>
      </x:c>
      <x:c r="X2005" s="24" t="str">
        <x:v>tabela_zeiss.pdf</x:v>
      </x:c>
      <x:c r="Y2005" s="24" t="str">
        <x:v>alta</x:v>
      </x:c>
      <x:c r="Z2005" s="24"/>
      <x:c r="AA2005" s="24" t="str">
        <x:v>ZEISS|Progressiva|Surfaçada|ClearMind Individual 3|PhotoFusion X Extra Dark Cinza|Poli||DuraVision Platinum UV|-10.00 a +6.00|-6.00|0.75 a 3.00|70|||32</x:v>
      </x:c>
    </x:row>
    <x:row r="2006">
      <x:c r="A2006" s="24" t="str">
        <x:v>ZS-DFD02E5C208F</x:v>
      </x:c>
      <x:c r="B2006" s="24" t="str">
        <x:v>SIM</x:v>
      </x:c>
      <x:c r="C2006" s="24" t="str">
        <x:v>DISPONÍVEL</x:v>
      </x:c>
      <x:c r="D2006" s="24" t="str">
        <x:v>ZEISS</x:v>
      </x:c>
      <x:c r="E2006" s="24" t="str">
        <x:v>Progressiva</x:v>
      </x:c>
      <x:c r="F2006" s="24" t="str">
        <x:v>Surfaçada</x:v>
      </x:c>
      <x:c r="G2006" s="24" t="str">
        <x:v>ClearMind Individual 3</x:v>
      </x:c>
      <x:c r="H2006" s="24" t="str">
        <x:v>PhotoFusion X Extra Dark Cinza</x:v>
      </x:c>
      <x:c r="I2006" s="24" t="str">
        <x:v>Poli</x:v>
      </x:c>
      <x:c r="J2006" s="24"/>
      <x:c r="K2006" s="24" t="str">
        <x:v>DuraVision Silver UV</x:v>
      </x:c>
      <x:c r="L2006" s="40" t="n">
        <x:v>13910</x:v>
      </x:c>
      <x:c r="M2006" s="24" t="str">
        <x:v>-10.00 a +6.00</x:v>
      </x:c>
      <x:c r="N2006" s="24" t="str">
        <x:v>-6.00</x:v>
      </x:c>
      <x:c r="O2006" s="24" t="str">
        <x:v>0.75 a 3.00</x:v>
      </x:c>
      <x:c r="P2006" s="24" t="str">
        <x:v>70</x:v>
      </x:c>
      <x:c r="Q2006" s="24"/>
      <x:c r="R2006" s="24"/>
      <x:c r="S2006" s="26" t="n">
        <x:v>46113</x:v>
      </x:c>
      <x:c r="T2006" s="26"/>
      <x:c r="U2006" s="24" t="str">
        <x:v>ATIVA/SEM FIM INFORMADO</x:v>
      </x:c>
      <x:c r="V2006" s="24" t="str">
        <x:v>Programa de Parcerias ZEISS — categoria Experts; Programa de Parcerias ZEISS</x:v>
      </x:c>
      <x:c r="W2006" s="24" t="n">
        <x:v>32</x:v>
      </x:c>
      <x:c r="X2006" s="24" t="str">
        <x:v>tabela_zeiss.pdf</x:v>
      </x:c>
      <x:c r="Y2006" s="24" t="str">
        <x:v>alta</x:v>
      </x:c>
      <x:c r="Z2006" s="24"/>
      <x:c r="AA2006" s="24" t="str">
        <x:v>ZEISS|Progressiva|Surfaçada|ClearMind Individual 3|PhotoFusion X Extra Dark Cinza|Poli||DuraVision Silver UV|-10.00 a +6.00|-6.00|0.75 a 3.00|70|||32</x:v>
      </x:c>
    </x:row>
    <x:row r="2007">
      <x:c r="A2007" s="24" t="str">
        <x:v>ZS-2723148B942C</x:v>
      </x:c>
      <x:c r="B2007" s="24" t="str">
        <x:v>SIM</x:v>
      </x:c>
      <x:c r="C2007" s="24" t="str">
        <x:v>DISPONÍVEL</x:v>
      </x:c>
      <x:c r="D2007" s="24" t="str">
        <x:v>ZEISS</x:v>
      </x:c>
      <x:c r="E2007" s="24" t="str">
        <x:v>Progressiva</x:v>
      </x:c>
      <x:c r="F2007" s="24" t="str">
        <x:v>Surfaçada</x:v>
      </x:c>
      <x:c r="G2007" s="24" t="str">
        <x:v>ClearMind Individual 3</x:v>
      </x:c>
      <x:c r="H2007" s="24" t="str">
        <x:v>PhotoFusion X Extra Dark Cinza</x:v>
      </x:c>
      <x:c r="I2007" s="24" t="str">
        <x:v>Poli</x:v>
      </x:c>
      <x:c r="J2007" s="24"/>
      <x:c r="K2007" s="24" t="str">
        <x:v>DuraVision Chrome UV</x:v>
      </x:c>
      <x:c r="L2007" s="40" t="n">
        <x:v>13420</x:v>
      </x:c>
      <x:c r="M2007" s="24" t="str">
        <x:v>-10.00 a +6.00</x:v>
      </x:c>
      <x:c r="N2007" s="24" t="str">
        <x:v>-6.00</x:v>
      </x:c>
      <x:c r="O2007" s="24" t="str">
        <x:v>0.75 a 3.00</x:v>
      </x:c>
      <x:c r="P2007" s="24" t="str">
        <x:v>70</x:v>
      </x:c>
      <x:c r="Q2007" s="24"/>
      <x:c r="R2007" s="24"/>
      <x:c r="S2007" s="26" t="n">
        <x:v>46113</x:v>
      </x:c>
      <x:c r="T2007" s="26"/>
      <x:c r="U2007" s="24" t="str">
        <x:v>ATIVA/SEM FIM INFORMADO</x:v>
      </x:c>
      <x:c r="V2007" s="24" t="str">
        <x:v>Programa de Parcerias ZEISS — categoria Experts; Programa de Parcerias ZEISS</x:v>
      </x:c>
      <x:c r="W2007" s="24" t="n">
        <x:v>32</x:v>
      </x:c>
      <x:c r="X2007" s="24" t="str">
        <x:v>tabela_zeiss.pdf</x:v>
      </x:c>
      <x:c r="Y2007" s="24" t="str">
        <x:v>alta</x:v>
      </x:c>
      <x:c r="Z2007" s="24"/>
      <x:c r="AA2007" s="24" t="str">
        <x:v>ZEISS|Progressiva|Surfaçada|ClearMind Individual 3|PhotoFusion X Extra Dark Cinza|Poli||DuraVision Chrome UV|-10.00 a +6.00|-6.00|0.75 a 3.00|70|||32</x:v>
      </x:c>
    </x:row>
    <x:row r="2008">
      <x:c r="A2008" s="24" t="str">
        <x:v>ZS-6B83B2991CCD</x:v>
      </x:c>
      <x:c r="B2008" s="24" t="str">
        <x:v>SIM</x:v>
      </x:c>
      <x:c r="C2008" s="24" t="str">
        <x:v>DISPONÍVEL</x:v>
      </x:c>
      <x:c r="D2008" s="24" t="str">
        <x:v>ZEISS</x:v>
      </x:c>
      <x:c r="E2008" s="24" t="str">
        <x:v>Progressiva</x:v>
      </x:c>
      <x:c r="F2008" s="24" t="str">
        <x:v>Surfaçada</x:v>
      </x:c>
      <x:c r="G2008" s="24" t="str">
        <x:v>ClearMind Individual 3</x:v>
      </x:c>
      <x:c r="H2008" s="24" t="str">
        <x:v>PhotoFusion X Extra Dark Cinza</x:v>
      </x:c>
      <x:c r="I2008" s="24" t="str">
        <x:v>1.6</x:v>
      </x:c>
      <x:c r="J2008" s="24" t="str">
        <x:v>1.60</x:v>
      </x:c>
      <x:c r="K2008" s="24" t="str">
        <x:v>DuraVision Gold UV</x:v>
      </x:c>
      <x:c r="L2008" s="40" t="n">
        <x:v>14970</x:v>
      </x:c>
      <x:c r="M2008" s="24" t="str">
        <x:v>-7.25 a +6.00</x:v>
      </x:c>
      <x:c r="N2008" s="24" t="str">
        <x:v>-6.00</x:v>
      </x:c>
      <x:c r="O2008" s="24" t="str">
        <x:v>0.75 a 3.50</x:v>
      </x:c>
      <x:c r="P2008" s="24" t="str">
        <x:v>75</x:v>
      </x:c>
      <x:c r="Q2008" s="24"/>
      <x:c r="R2008" s="24"/>
      <x:c r="S2008" s="26" t="n">
        <x:v>46113</x:v>
      </x:c>
      <x:c r="T2008" s="26"/>
      <x:c r="U2008" s="24" t="str">
        <x:v>ATIVA/SEM FIM INFORMADO</x:v>
      </x:c>
      <x:c r="V2008" s="24" t="str">
        <x:v>Programa de Parcerias ZEISS — categoria Experts; Programa de Parcerias ZEISS</x:v>
      </x:c>
      <x:c r="W2008" s="24" t="n">
        <x:v>32</x:v>
      </x:c>
      <x:c r="X2008" s="24" t="str">
        <x:v>tabela_zeiss.pdf</x:v>
      </x:c>
      <x:c r="Y2008" s="24" t="str">
        <x:v>alta</x:v>
      </x:c>
      <x:c r="Z2008" s="24"/>
      <x:c r="AA2008" s="24" t="str">
        <x:v>ZEISS|Progressiva|Surfaçada|ClearMind Individual 3|PhotoFusion X Extra Dark Cinza|1.6|1.60|DuraVision Gold UV|-7.25 a +6.00|-6.00|0.75 a 3.50|75|||32</x:v>
      </x:c>
    </x:row>
    <x:row r="2009">
      <x:c r="A2009" s="24" t="str">
        <x:v>ZS-8532519ECF4C</x:v>
      </x:c>
      <x:c r="B2009" s="24" t="str">
        <x:v>SIM</x:v>
      </x:c>
      <x:c r="C2009" s="24" t="str">
        <x:v>DISPONÍVEL</x:v>
      </x:c>
      <x:c r="D2009" s="24" t="str">
        <x:v>ZEISS</x:v>
      </x:c>
      <x:c r="E2009" s="24" t="str">
        <x:v>Progressiva</x:v>
      </x:c>
      <x:c r="F2009" s="24" t="str">
        <x:v>Surfaçada</x:v>
      </x:c>
      <x:c r="G2009" s="24" t="str">
        <x:v>ClearMind Individual 3</x:v>
      </x:c>
      <x:c r="H2009" s="24" t="str">
        <x:v>PhotoFusion X Extra Dark Cinza</x:v>
      </x:c>
      <x:c r="I2009" s="24" t="str">
        <x:v>1.6</x:v>
      </x:c>
      <x:c r="J2009" s="24" t="str">
        <x:v>1.60</x:v>
      </x:c>
      <x:c r="K2009" s="24" t="str">
        <x:v>DURAVISION® ANTIVÍRUS PLATINUM UV</x:v>
      </x:c>
      <x:c r="L2009" s="40" t="n">
        <x:v>14830</x:v>
      </x:c>
      <x:c r="M2009" s="24" t="str">
        <x:v>-7.25 a +6.00</x:v>
      </x:c>
      <x:c r="N2009" s="24" t="str">
        <x:v>-6.00</x:v>
      </x:c>
      <x:c r="O2009" s="24" t="str">
        <x:v>0.75 a 3.50</x:v>
      </x:c>
      <x:c r="P2009" s="24" t="str">
        <x:v>75</x:v>
      </x:c>
      <x:c r="Q2009" s="24"/>
      <x:c r="R2009" s="24"/>
      <x:c r="S2009" s="26" t="n">
        <x:v>46113</x:v>
      </x:c>
      <x:c r="T2009" s="26"/>
      <x:c r="U2009" s="24" t="str">
        <x:v>ATIVA/SEM FIM INFORMADO</x:v>
      </x:c>
      <x:c r="V2009" s="24" t="str">
        <x:v>Programa de Parcerias ZEISS — categoria Experts; Programa de Parcerias ZEISS</x:v>
      </x:c>
      <x:c r="W2009" s="24" t="n">
        <x:v>32</x:v>
      </x:c>
      <x:c r="X2009" s="24" t="str">
        <x:v>tabela_zeiss.pdf</x:v>
      </x:c>
      <x:c r="Y2009" s="24" t="str">
        <x:v>alta</x:v>
      </x:c>
      <x:c r="Z2009" s="24"/>
      <x:c r="AA2009" s="24" t="str">
        <x:v>ZEISS|Progressiva|Surfaçada|ClearMind Individual 3|PhotoFusion X Extra Dark Cinza|1.6|1.60|DURAVISION® ANTIVÍRUS PLATINUM UV|-7.25 a +6.00|-6.00|0.75 a 3.50|75|||32</x:v>
      </x:c>
    </x:row>
    <x:row r="2010">
      <x:c r="A2010" s="24" t="str">
        <x:v>ZS-FBEA1AB1C0F7</x:v>
      </x:c>
      <x:c r="B2010" s="24" t="str">
        <x:v>SIM</x:v>
      </x:c>
      <x:c r="C2010" s="24" t="str">
        <x:v>DISPONÍVEL</x:v>
      </x:c>
      <x:c r="D2010" s="24" t="str">
        <x:v>ZEISS</x:v>
      </x:c>
      <x:c r="E2010" s="24" t="str">
        <x:v>Progressiva</x:v>
      </x:c>
      <x:c r="F2010" s="24" t="str">
        <x:v>Surfaçada</x:v>
      </x:c>
      <x:c r="G2010" s="24" t="str">
        <x:v>ClearMind Individual 3</x:v>
      </x:c>
      <x:c r="H2010" s="24" t="str">
        <x:v>PhotoFusion X Extra Dark Cinza</x:v>
      </x:c>
      <x:c r="I2010" s="24" t="str">
        <x:v>1.6</x:v>
      </x:c>
      <x:c r="J2010" s="24" t="str">
        <x:v>1.60</x:v>
      </x:c>
      <x:c r="K2010" s="24" t="str">
        <x:v>DuraVision Platinum UV</x:v>
      </x:c>
      <x:c r="L2010" s="40" t="n">
        <x:v>14830</x:v>
      </x:c>
      <x:c r="M2010" s="24" t="str">
        <x:v>-7.25 a +6.00</x:v>
      </x:c>
      <x:c r="N2010" s="24" t="str">
        <x:v>-6.00</x:v>
      </x:c>
      <x:c r="O2010" s="24" t="str">
        <x:v>0.75 a 3.50</x:v>
      </x:c>
      <x:c r="P2010" s="24" t="str">
        <x:v>75</x:v>
      </x:c>
      <x:c r="Q2010" s="24"/>
      <x:c r="R2010" s="24"/>
      <x:c r="S2010" s="26" t="n">
        <x:v>46113</x:v>
      </x:c>
      <x:c r="T2010" s="26"/>
      <x:c r="U2010" s="24" t="str">
        <x:v>ATIVA/SEM FIM INFORMADO</x:v>
      </x:c>
      <x:c r="V2010" s="24" t="str">
        <x:v>Programa de Parcerias ZEISS — categoria Experts; Programa de Parcerias ZEISS</x:v>
      </x:c>
      <x:c r="W2010" s="24" t="n">
        <x:v>32</x:v>
      </x:c>
      <x:c r="X2010" s="24" t="str">
        <x:v>tabela_zeiss.pdf</x:v>
      </x:c>
      <x:c r="Y2010" s="24" t="str">
        <x:v>alta</x:v>
      </x:c>
      <x:c r="Z2010" s="24"/>
      <x:c r="AA2010" s="24" t="str">
        <x:v>ZEISS|Progressiva|Surfaçada|ClearMind Individual 3|PhotoFusion X Extra Dark Cinza|1.6|1.60|DuraVision Platinum UV|-7.25 a +6.00|-6.00|0.75 a 3.50|75|||32</x:v>
      </x:c>
    </x:row>
    <x:row r="2011">
      <x:c r="A2011" s="24" t="str">
        <x:v>ZS-979BF5FAA3D6</x:v>
      </x:c>
      <x:c r="B2011" s="24" t="str">
        <x:v>SIM</x:v>
      </x:c>
      <x:c r="C2011" s="24" t="str">
        <x:v>DISPONÍVEL</x:v>
      </x:c>
      <x:c r="D2011" s="24" t="str">
        <x:v>ZEISS</x:v>
      </x:c>
      <x:c r="E2011" s="24" t="str">
        <x:v>Progressiva</x:v>
      </x:c>
      <x:c r="F2011" s="24" t="str">
        <x:v>Surfaçada</x:v>
      </x:c>
      <x:c r="G2011" s="24" t="str">
        <x:v>ClearMind Individual 3</x:v>
      </x:c>
      <x:c r="H2011" s="24" t="str">
        <x:v>PhotoFusion X Extra Dark Cinza</x:v>
      </x:c>
      <x:c r="I2011" s="24" t="str">
        <x:v>1.6</x:v>
      </x:c>
      <x:c r="J2011" s="24" t="str">
        <x:v>1.60</x:v>
      </x:c>
      <x:c r="K2011" s="24" t="str">
        <x:v>DuraVision Silver UV</x:v>
      </x:c>
      <x:c r="L2011" s="40" t="n">
        <x:v>14570</x:v>
      </x:c>
      <x:c r="M2011" s="24" t="str">
        <x:v>-7.25 a +6.00</x:v>
      </x:c>
      <x:c r="N2011" s="24" t="str">
        <x:v>-6.00</x:v>
      </x:c>
      <x:c r="O2011" s="24" t="str">
        <x:v>0.75 a 3.50</x:v>
      </x:c>
      <x:c r="P2011" s="24" t="str">
        <x:v>75</x:v>
      </x:c>
      <x:c r="Q2011" s="24"/>
      <x:c r="R2011" s="24"/>
      <x:c r="S2011" s="26" t="n">
        <x:v>46113</x:v>
      </x:c>
      <x:c r="T2011" s="26"/>
      <x:c r="U2011" s="24" t="str">
        <x:v>ATIVA/SEM FIM INFORMADO</x:v>
      </x:c>
      <x:c r="V2011" s="24" t="str">
        <x:v>Programa de Parcerias ZEISS — categoria Experts; Programa de Parcerias ZEISS</x:v>
      </x:c>
      <x:c r="W2011" s="24" t="n">
        <x:v>32</x:v>
      </x:c>
      <x:c r="X2011" s="24" t="str">
        <x:v>tabela_zeiss.pdf</x:v>
      </x:c>
      <x:c r="Y2011" s="24" t="str">
        <x:v>alta</x:v>
      </x:c>
      <x:c r="Z2011" s="24"/>
      <x:c r="AA2011" s="24" t="str">
        <x:v>ZEISS|Progressiva|Surfaçada|ClearMind Individual 3|PhotoFusion X Extra Dark Cinza|1.6|1.60|DuraVision Silver UV|-7.25 a +6.00|-6.00|0.75 a 3.50|75|||32</x:v>
      </x:c>
    </x:row>
    <x:row r="2012">
      <x:c r="A2012" s="24" t="str">
        <x:v>ZS-63D7DCF71C7A</x:v>
      </x:c>
      <x:c r="B2012" s="24" t="str">
        <x:v>SIM</x:v>
      </x:c>
      <x:c r="C2012" s="24" t="str">
        <x:v>DISPONÍVEL</x:v>
      </x:c>
      <x:c r="D2012" s="24" t="str">
        <x:v>ZEISS</x:v>
      </x:c>
      <x:c r="E2012" s="24" t="str">
        <x:v>Progressiva</x:v>
      </x:c>
      <x:c r="F2012" s="24" t="str">
        <x:v>Surfaçada</x:v>
      </x:c>
      <x:c r="G2012" s="24" t="str">
        <x:v>ClearMind Individual 3</x:v>
      </x:c>
      <x:c r="H2012" s="24" t="str">
        <x:v>PhotoFusion X Extra Dark Cinza</x:v>
      </x:c>
      <x:c r="I2012" s="24" t="str">
        <x:v>1.6</x:v>
      </x:c>
      <x:c r="J2012" s="24" t="str">
        <x:v>1.60</x:v>
      </x:c>
      <x:c r="K2012" s="24" t="str">
        <x:v>DuraVision Chrome UV</x:v>
      </x:c>
      <x:c r="L2012" s="40" t="n">
        <x:v>14080</x:v>
      </x:c>
      <x:c r="M2012" s="24" t="str">
        <x:v>-7.25 a +6.00</x:v>
      </x:c>
      <x:c r="N2012" s="24" t="str">
        <x:v>-6.00</x:v>
      </x:c>
      <x:c r="O2012" s="24" t="str">
        <x:v>0.75 a 3.50</x:v>
      </x:c>
      <x:c r="P2012" s="24" t="str">
        <x:v>75</x:v>
      </x:c>
      <x:c r="Q2012" s="24"/>
      <x:c r="R2012" s="24"/>
      <x:c r="S2012" s="26" t="n">
        <x:v>46113</x:v>
      </x:c>
      <x:c r="T2012" s="26"/>
      <x:c r="U2012" s="24" t="str">
        <x:v>ATIVA/SEM FIM INFORMADO</x:v>
      </x:c>
      <x:c r="V2012" s="24" t="str">
        <x:v>Programa de Parcerias ZEISS — categoria Experts; Programa de Parcerias ZEISS</x:v>
      </x:c>
      <x:c r="W2012" s="24" t="n">
        <x:v>32</x:v>
      </x:c>
      <x:c r="X2012" s="24" t="str">
        <x:v>tabela_zeiss.pdf</x:v>
      </x:c>
      <x:c r="Y2012" s="24" t="str">
        <x:v>alta</x:v>
      </x:c>
      <x:c r="Z2012" s="24"/>
      <x:c r="AA2012" s="24" t="str">
        <x:v>ZEISS|Progressiva|Surfaçada|ClearMind Individual 3|PhotoFusion X Extra Dark Cinza|1.6|1.60|DuraVision Chrome UV|-7.25 a +6.00|-6.00|0.75 a 3.50|75|||32</x:v>
      </x:c>
    </x:row>
    <x:row r="2013">
      <x:c r="A2013" s="24" t="str">
        <x:v>ZS-4E8D06A43150</x:v>
      </x:c>
      <x:c r="B2013" s="24" t="str">
        <x:v>SIM</x:v>
      </x:c>
      <x:c r="C2013" s="24" t="str">
        <x:v>DISPONÍVEL</x:v>
      </x:c>
      <x:c r="D2013" s="24" t="str">
        <x:v>ZEISS</x:v>
      </x:c>
      <x:c r="E2013" s="24" t="str">
        <x:v>Progressiva</x:v>
      </x:c>
      <x:c r="F2013" s="24" t="str">
        <x:v>Surfaçada</x:v>
      </x:c>
      <x:c r="G2013" s="24" t="str">
        <x:v>ClearMind Individual 3</x:v>
      </x:c>
      <x:c r="H2013" s="24" t="str">
        <x:v>PhotoFusion X Extra Dark Cinza</x:v>
      </x:c>
      <x:c r="I2013" s="24" t="str">
        <x:v>1.67</x:v>
      </x:c>
      <x:c r="J2013" s="24" t="str">
        <x:v>1.67</x:v>
      </x:c>
      <x:c r="K2013" s="24" t="str">
        <x:v>DuraVision Gold UV</x:v>
      </x:c>
      <x:c r="L2013" s="40" t="n">
        <x:v>16610</x:v>
      </x:c>
      <x:c r="M2013" s="24" t="str">
        <x:v>-8.00 a +8.00</x:v>
      </x:c>
      <x:c r="N2013" s="24" t="str">
        <x:v>-6.00</x:v>
      </x:c>
      <x:c r="O2013" s="24" t="str">
        <x:v>0.75 a 3.00</x:v>
      </x:c>
      <x:c r="P2013" s="24" t="str">
        <x:v>70</x:v>
      </x:c>
      <x:c r="Q2013" s="24"/>
      <x:c r="R2013" s="24"/>
      <x:c r="S2013" s="26" t="n">
        <x:v>46113</x:v>
      </x:c>
      <x:c r="T2013" s="26"/>
      <x:c r="U2013" s="24" t="str">
        <x:v>ATIVA/SEM FIM INFORMADO</x:v>
      </x:c>
      <x:c r="V2013" s="24" t="str">
        <x:v>Programa de Parcerias ZEISS — categoria Experts; Programa de Parcerias ZEISS</x:v>
      </x:c>
      <x:c r="W2013" s="24" t="n">
        <x:v>32</x:v>
      </x:c>
      <x:c r="X2013" s="24" t="str">
        <x:v>tabela_zeiss.pdf</x:v>
      </x:c>
      <x:c r="Y2013" s="24" t="str">
        <x:v>alta</x:v>
      </x:c>
      <x:c r="Z2013" s="24"/>
      <x:c r="AA2013" s="24" t="str">
        <x:v>ZEISS|Progressiva|Surfaçada|ClearMind Individual 3|PhotoFusion X Extra Dark Cinza|1.67|1.67|DuraVision Gold UV|-8.00 a +8.00|-6.00|0.75 a 3.00|70|||32</x:v>
      </x:c>
    </x:row>
    <x:row r="2014">
      <x:c r="A2014" s="24" t="str">
        <x:v>ZS-B4F3EFC268A7</x:v>
      </x:c>
      <x:c r="B2014" s="24" t="str">
        <x:v>SIM</x:v>
      </x:c>
      <x:c r="C2014" s="24" t="str">
        <x:v>DISPONÍVEL</x:v>
      </x:c>
      <x:c r="D2014" s="24" t="str">
        <x:v>ZEISS</x:v>
      </x:c>
      <x:c r="E2014" s="24" t="str">
        <x:v>Progressiva</x:v>
      </x:c>
      <x:c r="F2014" s="24" t="str">
        <x:v>Surfaçada</x:v>
      </x:c>
      <x:c r="G2014" s="24" t="str">
        <x:v>ClearMind Individual 3</x:v>
      </x:c>
      <x:c r="H2014" s="24" t="str">
        <x:v>PhotoFusion X Extra Dark Cinza</x:v>
      </x:c>
      <x:c r="I2014" s="24" t="str">
        <x:v>1.67</x:v>
      </x:c>
      <x:c r="J2014" s="24" t="str">
        <x:v>1.67</x:v>
      </x:c>
      <x:c r="K2014" s="24" t="str">
        <x:v>DURAVISION® ANTIVÍRUS PLATINUM UV</x:v>
      </x:c>
      <x:c r="L2014" s="40" t="n">
        <x:v>16470</x:v>
      </x:c>
      <x:c r="M2014" s="24" t="str">
        <x:v>-8.00 a +8.00</x:v>
      </x:c>
      <x:c r="N2014" s="24" t="str">
        <x:v>-6.00</x:v>
      </x:c>
      <x:c r="O2014" s="24" t="str">
        <x:v>0.75 a 3.00</x:v>
      </x:c>
      <x:c r="P2014" s="24" t="str">
        <x:v>70</x:v>
      </x:c>
      <x:c r="Q2014" s="24"/>
      <x:c r="R2014" s="24"/>
      <x:c r="S2014" s="26" t="n">
        <x:v>46113</x:v>
      </x:c>
      <x:c r="T2014" s="26"/>
      <x:c r="U2014" s="24" t="str">
        <x:v>ATIVA/SEM FIM INFORMADO</x:v>
      </x:c>
      <x:c r="V2014" s="24" t="str">
        <x:v>Programa de Parcerias ZEISS — categoria Experts; Programa de Parcerias ZEISS</x:v>
      </x:c>
      <x:c r="W2014" s="24" t="n">
        <x:v>32</x:v>
      </x:c>
      <x:c r="X2014" s="24" t="str">
        <x:v>tabela_zeiss.pdf</x:v>
      </x:c>
      <x:c r="Y2014" s="24" t="str">
        <x:v>alta</x:v>
      </x:c>
      <x:c r="Z2014" s="24"/>
      <x:c r="AA2014" s="24" t="str">
        <x:v>ZEISS|Progressiva|Surfaçada|ClearMind Individual 3|PhotoFusion X Extra Dark Cinza|1.67|1.67|DURAVISION® ANTIVÍRUS PLATINUM UV|-8.00 a +8.00|-6.00|0.75 a 3.00|70|||32</x:v>
      </x:c>
    </x:row>
    <x:row r="2015">
      <x:c r="A2015" s="24" t="str">
        <x:v>ZS-570EF90A06A1</x:v>
      </x:c>
      <x:c r="B2015" s="24" t="str">
        <x:v>SIM</x:v>
      </x:c>
      <x:c r="C2015" s="24" t="str">
        <x:v>DISPONÍVEL</x:v>
      </x:c>
      <x:c r="D2015" s="24" t="str">
        <x:v>ZEISS</x:v>
      </x:c>
      <x:c r="E2015" s="24" t="str">
        <x:v>Progressiva</x:v>
      </x:c>
      <x:c r="F2015" s="24" t="str">
        <x:v>Surfaçada</x:v>
      </x:c>
      <x:c r="G2015" s="24" t="str">
        <x:v>ClearMind Individual 3</x:v>
      </x:c>
      <x:c r="H2015" s="24" t="str">
        <x:v>PhotoFusion X Extra Dark Cinza</x:v>
      </x:c>
      <x:c r="I2015" s="24" t="str">
        <x:v>1.67</x:v>
      </x:c>
      <x:c r="J2015" s="24" t="str">
        <x:v>1.67</x:v>
      </x:c>
      <x:c r="K2015" s="24" t="str">
        <x:v>DuraVision Platinum UV</x:v>
      </x:c>
      <x:c r="L2015" s="40" t="n">
        <x:v>16470</x:v>
      </x:c>
      <x:c r="M2015" s="24" t="str">
        <x:v>-8.00 a +8.00</x:v>
      </x:c>
      <x:c r="N2015" s="24" t="str">
        <x:v>-6.00</x:v>
      </x:c>
      <x:c r="O2015" s="24" t="str">
        <x:v>0.75 a 3.00</x:v>
      </x:c>
      <x:c r="P2015" s="24" t="str">
        <x:v>70</x:v>
      </x:c>
      <x:c r="Q2015" s="24"/>
      <x:c r="R2015" s="24"/>
      <x:c r="S2015" s="26" t="n">
        <x:v>46113</x:v>
      </x:c>
      <x:c r="T2015" s="26"/>
      <x:c r="U2015" s="24" t="str">
        <x:v>ATIVA/SEM FIM INFORMADO</x:v>
      </x:c>
      <x:c r="V2015" s="24" t="str">
        <x:v>Programa de Parcerias ZEISS — categoria Experts; Programa de Parcerias ZEISS</x:v>
      </x:c>
      <x:c r="W2015" s="24" t="n">
        <x:v>32</x:v>
      </x:c>
      <x:c r="X2015" s="24" t="str">
        <x:v>tabela_zeiss.pdf</x:v>
      </x:c>
      <x:c r="Y2015" s="24" t="str">
        <x:v>alta</x:v>
      </x:c>
      <x:c r="Z2015" s="24"/>
      <x:c r="AA2015" s="24" t="str">
        <x:v>ZEISS|Progressiva|Surfaçada|ClearMind Individual 3|PhotoFusion X Extra Dark Cinza|1.67|1.67|DuraVision Platinum UV|-8.00 a +8.00|-6.00|0.75 a 3.00|70|||32</x:v>
      </x:c>
    </x:row>
    <x:row r="2016">
      <x:c r="A2016" s="24" t="str">
        <x:v>ZS-0085BB9FE24B</x:v>
      </x:c>
      <x:c r="B2016" s="24" t="str">
        <x:v>SIM</x:v>
      </x:c>
      <x:c r="C2016" s="24" t="str">
        <x:v>DISPONÍVEL</x:v>
      </x:c>
      <x:c r="D2016" s="24" t="str">
        <x:v>ZEISS</x:v>
      </x:c>
      <x:c r="E2016" s="24" t="str">
        <x:v>Progressiva</x:v>
      </x:c>
      <x:c r="F2016" s="24" t="str">
        <x:v>Surfaçada</x:v>
      </x:c>
      <x:c r="G2016" s="24" t="str">
        <x:v>ClearMind Individual 3</x:v>
      </x:c>
      <x:c r="H2016" s="24" t="str">
        <x:v>PhotoFusion X Extra Dark Cinza</x:v>
      </x:c>
      <x:c r="I2016" s="24" t="str">
        <x:v>1.67</x:v>
      </x:c>
      <x:c r="J2016" s="24" t="str">
        <x:v>1.67</x:v>
      </x:c>
      <x:c r="K2016" s="24" t="str">
        <x:v>DuraVision Silver UV</x:v>
      </x:c>
      <x:c r="L2016" s="40" t="n">
        <x:v>16210</x:v>
      </x:c>
      <x:c r="M2016" s="24" t="str">
        <x:v>-8.00 a +8.00</x:v>
      </x:c>
      <x:c r="N2016" s="24" t="str">
        <x:v>-6.00</x:v>
      </x:c>
      <x:c r="O2016" s="24" t="str">
        <x:v>0.75 a 3.00</x:v>
      </x:c>
      <x:c r="P2016" s="24" t="str">
        <x:v>70</x:v>
      </x:c>
      <x:c r="Q2016" s="24"/>
      <x:c r="R2016" s="24"/>
      <x:c r="S2016" s="26" t="n">
        <x:v>46113</x:v>
      </x:c>
      <x:c r="T2016" s="26"/>
      <x:c r="U2016" s="24" t="str">
        <x:v>ATIVA/SEM FIM INFORMADO</x:v>
      </x:c>
      <x:c r="V2016" s="24" t="str">
        <x:v>Programa de Parcerias ZEISS — categoria Experts; Programa de Parcerias ZEISS</x:v>
      </x:c>
      <x:c r="W2016" s="24" t="n">
        <x:v>32</x:v>
      </x:c>
      <x:c r="X2016" s="24" t="str">
        <x:v>tabela_zeiss.pdf</x:v>
      </x:c>
      <x:c r="Y2016" s="24" t="str">
        <x:v>alta</x:v>
      </x:c>
      <x:c r="Z2016" s="24"/>
      <x:c r="AA2016" s="24" t="str">
        <x:v>ZEISS|Progressiva|Surfaçada|ClearMind Individual 3|PhotoFusion X Extra Dark Cinza|1.67|1.67|DuraVision Silver UV|-8.00 a +8.00|-6.00|0.75 a 3.00|70|||32</x:v>
      </x:c>
    </x:row>
    <x:row r="2017">
      <x:c r="A2017" s="24" t="str">
        <x:v>ZS-7C14B19AD9AC</x:v>
      </x:c>
      <x:c r="B2017" s="24" t="str">
        <x:v>SIM</x:v>
      </x:c>
      <x:c r="C2017" s="24" t="str">
        <x:v>DISPONÍVEL</x:v>
      </x:c>
      <x:c r="D2017" s="24" t="str">
        <x:v>ZEISS</x:v>
      </x:c>
      <x:c r="E2017" s="24" t="str">
        <x:v>Progressiva</x:v>
      </x:c>
      <x:c r="F2017" s="24" t="str">
        <x:v>Surfaçada</x:v>
      </x:c>
      <x:c r="G2017" s="24" t="str">
        <x:v>ClearMind Individual 3</x:v>
      </x:c>
      <x:c r="H2017" s="24" t="str">
        <x:v>PhotoFusion X Extra Dark Cinza</x:v>
      </x:c>
      <x:c r="I2017" s="24" t="str">
        <x:v>1.67</x:v>
      </x:c>
      <x:c r="J2017" s="24" t="str">
        <x:v>1.67</x:v>
      </x:c>
      <x:c r="K2017" s="24" t="str">
        <x:v>DuraVision Chrome UV</x:v>
      </x:c>
      <x:c r="L2017" s="40" t="n">
        <x:v>15720</x:v>
      </x:c>
      <x:c r="M2017" s="24" t="str">
        <x:v>-8.00 a +8.00</x:v>
      </x:c>
      <x:c r="N2017" s="24" t="str">
        <x:v>-6.00</x:v>
      </x:c>
      <x:c r="O2017" s="24" t="str">
        <x:v>0.75 a 3.00</x:v>
      </x:c>
      <x:c r="P2017" s="24" t="str">
        <x:v>70</x:v>
      </x:c>
      <x:c r="Q2017" s="24"/>
      <x:c r="R2017" s="24"/>
      <x:c r="S2017" s="26" t="n">
        <x:v>46113</x:v>
      </x:c>
      <x:c r="T2017" s="26"/>
      <x:c r="U2017" s="24" t="str">
        <x:v>ATIVA/SEM FIM INFORMADO</x:v>
      </x:c>
      <x:c r="V2017" s="24" t="str">
        <x:v>Programa de Parcerias ZEISS — categoria Experts; Programa de Parcerias ZEISS</x:v>
      </x:c>
      <x:c r="W2017" s="24" t="n">
        <x:v>32</x:v>
      </x:c>
      <x:c r="X2017" s="24" t="str">
        <x:v>tabela_zeiss.pdf</x:v>
      </x:c>
      <x:c r="Y2017" s="24" t="str">
        <x:v>alta</x:v>
      </x:c>
      <x:c r="Z2017" s="24"/>
      <x:c r="AA2017" s="24" t="str">
        <x:v>ZEISS|Progressiva|Surfaçada|ClearMind Individual 3|PhotoFusion X Extra Dark Cinza|1.67|1.67|DuraVision Chrome UV|-8.00 a +8.00|-6.00|0.75 a 3.00|70|||32</x:v>
      </x:c>
    </x:row>
    <x:row r="2018">
      <x:c r="A2018" s="24" t="str">
        <x:v>ZS-03C653C017EF</x:v>
      </x:c>
      <x:c r="B2018" s="24" t="str">
        <x:v>SIM</x:v>
      </x:c>
      <x:c r="C2018" s="24" t="str">
        <x:v>DISPONÍVEL</x:v>
      </x:c>
      <x:c r="D2018" s="24" t="str">
        <x:v>ZEISS</x:v>
      </x:c>
      <x:c r="E2018" s="24" t="str">
        <x:v>Progressiva</x:v>
      </x:c>
      <x:c r="F2018" s="24" t="str">
        <x:v>Surfaçada</x:v>
      </x:c>
      <x:c r="G2018" s="24" t="str">
        <x:v>ClearMind Individual 3</x:v>
      </x:c>
      <x:c r="H2018" s="24" t="str">
        <x:v>Polarizada</x:v>
      </x:c>
      <x:c r="I2018" s="24" t="str">
        <x:v>1.5</x:v>
      </x:c>
      <x:c r="J2018" s="24" t="str">
        <x:v>1.50</x:v>
      </x:c>
      <x:c r="K2018" s="24" t="str">
        <x:v>DuraVision Gold UV</x:v>
      </x:c>
      <x:c r="L2018" s="40" t="n">
        <x:v>13090</x:v>
      </x:c>
      <x:c r="M2018" s="24" t="str">
        <x:v>-6.00 a +6.00</x:v>
      </x:c>
      <x:c r="N2018" s="24" t="str">
        <x:v>-4.00</x:v>
      </x:c>
      <x:c r="O2018" s="24" t="str">
        <x:v>0.75 a 3.50</x:v>
      </x:c>
      <x:c r="P2018" s="24" t="str">
        <x:v>70</x:v>
      </x:c>
      <x:c r="Q2018" s="24"/>
      <x:c r="R2018" s="24"/>
      <x:c r="S2018" s="26" t="n">
        <x:v>46113</x:v>
      </x:c>
      <x:c r="T2018" s="26"/>
      <x:c r="U2018" s="24" t="str">
        <x:v>ATIVA/SEM FIM INFORMADO</x:v>
      </x:c>
      <x:c r="V2018" s="24" t="str">
        <x:v>Programa de Parcerias ZEISS — categoria Experts</x:v>
      </x:c>
      <x:c r="W2018" s="24" t="n">
        <x:v>32</x:v>
      </x:c>
      <x:c r="X2018" s="24" t="str">
        <x:v>tabela_zeiss.pdf</x:v>
      </x:c>
      <x:c r="Y2018" s="24" t="str">
        <x:v>alta</x:v>
      </x:c>
      <x:c r="Z2018" s="24"/>
      <x:c r="AA2018" s="24" t="str">
        <x:v>ZEISS|Progressiva|Surfaçada|ClearMind Individual 3|Polarizada|1.5|1.50|DuraVision Gold UV|-6.00 a +6.00|-4.00|0.75 a 3.50|70|||32</x:v>
      </x:c>
    </x:row>
    <x:row r="2019">
      <x:c r="A2019" s="24" t="str">
        <x:v>ZS-E36DC9ABF8EB</x:v>
      </x:c>
      <x:c r="B2019" s="24" t="str">
        <x:v>SIM</x:v>
      </x:c>
      <x:c r="C2019" s="24" t="str">
        <x:v>DISPONÍVEL</x:v>
      </x:c>
      <x:c r="D2019" s="24" t="str">
        <x:v>ZEISS</x:v>
      </x:c>
      <x:c r="E2019" s="24" t="str">
        <x:v>Progressiva</x:v>
      </x:c>
      <x:c r="F2019" s="24" t="str">
        <x:v>Surfaçada</x:v>
      </x:c>
      <x:c r="G2019" s="24" t="str">
        <x:v>ClearMind Individual 3</x:v>
      </x:c>
      <x:c r="H2019" s="24" t="str">
        <x:v>Polarizada</x:v>
      </x:c>
      <x:c r="I2019" s="24" t="str">
        <x:v>1.5</x:v>
      </x:c>
      <x:c r="J2019" s="24" t="str">
        <x:v>1.50</x:v>
      </x:c>
      <x:c r="K2019" s="24" t="str">
        <x:v>DuraVision Platinum UV</x:v>
      </x:c>
      <x:c r="L2019" s="40" t="n">
        <x:v>12950</x:v>
      </x:c>
      <x:c r="M2019" s="24" t="str">
        <x:v>-6.00 a +6.00</x:v>
      </x:c>
      <x:c r="N2019" s="24" t="str">
        <x:v>-4.00</x:v>
      </x:c>
      <x:c r="O2019" s="24" t="str">
        <x:v>0.75 a 3.50</x:v>
      </x:c>
      <x:c r="P2019" s="24" t="str">
        <x:v>70</x:v>
      </x:c>
      <x:c r="Q2019" s="24"/>
      <x:c r="R2019" s="24"/>
      <x:c r="S2019" s="26" t="n">
        <x:v>46113</x:v>
      </x:c>
      <x:c r="T2019" s="26"/>
      <x:c r="U2019" s="24" t="str">
        <x:v>ATIVA/SEM FIM INFORMADO</x:v>
      </x:c>
      <x:c r="V2019" s="24" t="str">
        <x:v>Programa de Parcerias ZEISS — categoria Experts</x:v>
      </x:c>
      <x:c r="W2019" s="24" t="n">
        <x:v>32</x:v>
      </x:c>
      <x:c r="X2019" s="24" t="str">
        <x:v>tabela_zeiss.pdf</x:v>
      </x:c>
      <x:c r="Y2019" s="24" t="str">
        <x:v>alta</x:v>
      </x:c>
      <x:c r="Z2019" s="24"/>
      <x:c r="AA2019" s="24" t="str">
        <x:v>ZEISS|Progressiva|Surfaçada|ClearMind Individual 3|Polarizada|1.5|1.50|DuraVision Platinum UV|-6.00 a +6.00|-4.00|0.75 a 3.50|70|||32</x:v>
      </x:c>
    </x:row>
    <x:row r="2020">
      <x:c r="A2020" s="24" t="str">
        <x:v>ZS-3C94A08F2DEC</x:v>
      </x:c>
      <x:c r="B2020" s="24" t="str">
        <x:v>SIM</x:v>
      </x:c>
      <x:c r="C2020" s="24" t="str">
        <x:v>DISPONÍVEL</x:v>
      </x:c>
      <x:c r="D2020" s="24" t="str">
        <x:v>ZEISS</x:v>
      </x:c>
      <x:c r="E2020" s="24" t="str">
        <x:v>Progressiva</x:v>
      </x:c>
      <x:c r="F2020" s="24" t="str">
        <x:v>Surfaçada</x:v>
      </x:c>
      <x:c r="G2020" s="24" t="str">
        <x:v>ClearMind Individual 3</x:v>
      </x:c>
      <x:c r="H2020" s="24" t="str">
        <x:v>Polarizada</x:v>
      </x:c>
      <x:c r="I2020" s="24" t="str">
        <x:v>1.5</x:v>
      </x:c>
      <x:c r="J2020" s="24" t="str">
        <x:v>1.50</x:v>
      </x:c>
      <x:c r="K2020" s="24" t="str">
        <x:v>DuraVision Silver UV</x:v>
      </x:c>
      <x:c r="L2020" s="40" t="n">
        <x:v>12690</x:v>
      </x:c>
      <x:c r="M2020" s="24" t="str">
        <x:v>-6.00 a +6.00</x:v>
      </x:c>
      <x:c r="N2020" s="24" t="str">
        <x:v>-4.00</x:v>
      </x:c>
      <x:c r="O2020" s="24" t="str">
        <x:v>0.75 a 3.50</x:v>
      </x:c>
      <x:c r="P2020" s="24" t="str">
        <x:v>70</x:v>
      </x:c>
      <x:c r="Q2020" s="24"/>
      <x:c r="R2020" s="24"/>
      <x:c r="S2020" s="26" t="n">
        <x:v>46113</x:v>
      </x:c>
      <x:c r="T2020" s="26"/>
      <x:c r="U2020" s="24" t="str">
        <x:v>ATIVA/SEM FIM INFORMADO</x:v>
      </x:c>
      <x:c r="V2020" s="24" t="str">
        <x:v>Programa de Parcerias ZEISS — categoria Experts</x:v>
      </x:c>
      <x:c r="W2020" s="24" t="n">
        <x:v>32</x:v>
      </x:c>
      <x:c r="X2020" s="24" t="str">
        <x:v>tabela_zeiss.pdf</x:v>
      </x:c>
      <x:c r="Y2020" s="24" t="str">
        <x:v>alta</x:v>
      </x:c>
      <x:c r="Z2020" s="24"/>
      <x:c r="AA2020" s="24" t="str">
        <x:v>ZEISS|Progressiva|Surfaçada|ClearMind Individual 3|Polarizada|1.5|1.50|DuraVision Silver UV|-6.00 a +6.00|-4.00|0.75 a 3.50|70|||32</x:v>
      </x:c>
    </x:row>
    <x:row r="2021">
      <x:c r="A2021" s="24" t="str">
        <x:v>ZS-5D0F0F16DC91</x:v>
      </x:c>
      <x:c r="B2021" s="24" t="str">
        <x:v>SIM</x:v>
      </x:c>
      <x:c r="C2021" s="24" t="str">
        <x:v>DISPONÍVEL</x:v>
      </x:c>
      <x:c r="D2021" s="24" t="str">
        <x:v>ZEISS</x:v>
      </x:c>
      <x:c r="E2021" s="24" t="str">
        <x:v>Progressiva</x:v>
      </x:c>
      <x:c r="F2021" s="24" t="str">
        <x:v>Surfaçada</x:v>
      </x:c>
      <x:c r="G2021" s="24" t="str">
        <x:v>ClearMind Individual 3</x:v>
      </x:c>
      <x:c r="H2021" s="24" t="str">
        <x:v>Polarizada</x:v>
      </x:c>
      <x:c r="I2021" s="24" t="str">
        <x:v>1.5</x:v>
      </x:c>
      <x:c r="J2021" s="24" t="str">
        <x:v>1.50</x:v>
      </x:c>
      <x:c r="K2021" s="24" t="str">
        <x:v>DuraVision Chrome UV</x:v>
      </x:c>
      <x:c r="L2021" s="40" t="n">
        <x:v>12200</x:v>
      </x:c>
      <x:c r="M2021" s="24" t="str">
        <x:v>-6.00 a +6.00</x:v>
      </x:c>
      <x:c r="N2021" s="24" t="str">
        <x:v>-4.00</x:v>
      </x:c>
      <x:c r="O2021" s="24" t="str">
        <x:v>0.75 a 3.50</x:v>
      </x:c>
      <x:c r="P2021" s="24" t="str">
        <x:v>70</x:v>
      </x:c>
      <x:c r="Q2021" s="24"/>
      <x:c r="R2021" s="24"/>
      <x:c r="S2021" s="26" t="n">
        <x:v>46113</x:v>
      </x:c>
      <x:c r="T2021" s="26"/>
      <x:c r="U2021" s="24" t="str">
        <x:v>ATIVA/SEM FIM INFORMADO</x:v>
      </x:c>
      <x:c r="V2021" s="24" t="str">
        <x:v>Programa de Parcerias ZEISS — categoria Experts</x:v>
      </x:c>
      <x:c r="W2021" s="24" t="n">
        <x:v>32</x:v>
      </x:c>
      <x:c r="X2021" s="24" t="str">
        <x:v>tabela_zeiss.pdf</x:v>
      </x:c>
      <x:c r="Y2021" s="24" t="str">
        <x:v>alta</x:v>
      </x:c>
      <x:c r="Z2021" s="24"/>
      <x:c r="AA2021" s="24" t="str">
        <x:v>ZEISS|Progressiva|Surfaçada|ClearMind Individual 3|Polarizada|1.5|1.50|DuraVision Chrome UV|-6.00 a +6.00|-4.00|0.75 a 3.50|70|||32</x:v>
      </x:c>
    </x:row>
    <x:row r="2022">
      <x:c r="A2022" s="24" t="str">
        <x:v>ZS-7B2B811B1BC6</x:v>
      </x:c>
      <x:c r="B2022" s="24" t="str">
        <x:v>SIM</x:v>
      </x:c>
      <x:c r="C2022" s="24" t="str">
        <x:v>DISPONÍVEL</x:v>
      </x:c>
      <x:c r="D2022" s="24" t="str">
        <x:v>ZEISS</x:v>
      </x:c>
      <x:c r="E2022" s="24" t="str">
        <x:v>Progressiva</x:v>
      </x:c>
      <x:c r="F2022" s="24" t="str">
        <x:v>Surfaçada</x:v>
      </x:c>
      <x:c r="G2022" s="24" t="str">
        <x:v>ClearMind Individual 3</x:v>
      </x:c>
      <x:c r="H2022" s="24" t="str">
        <x:v>Polarizada</x:v>
      </x:c>
      <x:c r="I2022" s="24" t="str">
        <x:v>1.5</x:v>
      </x:c>
      <x:c r="J2022" s="24" t="str">
        <x:v>1.50</x:v>
      </x:c>
      <x:c r="K2022" s="24" t="str">
        <x:v>Sem AR</x:v>
      </x:c>
      <x:c r="L2022" s="40" t="n">
        <x:v>11800</x:v>
      </x:c>
      <x:c r="M2022" s="24" t="str">
        <x:v>-6.00 a +6.00</x:v>
      </x:c>
      <x:c r="N2022" s="24" t="str">
        <x:v>-4.00</x:v>
      </x:c>
      <x:c r="O2022" s="24" t="str">
        <x:v>0.75 a 3.50</x:v>
      </x:c>
      <x:c r="P2022" s="24" t="str">
        <x:v>70</x:v>
      </x:c>
      <x:c r="Q2022" s="24"/>
      <x:c r="R2022" s="24"/>
      <x:c r="S2022" s="26" t="n">
        <x:v>46113</x:v>
      </x:c>
      <x:c r="T2022" s="26"/>
      <x:c r="U2022" s="24" t="str">
        <x:v>ATIVA/SEM FIM INFORMADO</x:v>
      </x:c>
      <x:c r="V2022" s="24" t="str">
        <x:v>Programa de Parcerias ZEISS — categoria Experts</x:v>
      </x:c>
      <x:c r="W2022" s="24" t="n">
        <x:v>32</x:v>
      </x:c>
      <x:c r="X2022" s="24" t="str">
        <x:v>tabela_zeiss.pdf</x:v>
      </x:c>
      <x:c r="Y2022" s="24" t="str">
        <x:v>alta</x:v>
      </x:c>
      <x:c r="Z2022" s="24"/>
      <x:c r="AA2022" s="24" t="str">
        <x:v>ZEISS|Progressiva|Surfaçada|ClearMind Individual 3|Polarizada|1.5|1.50|Sem AR|-6.00 a +6.00|-4.00|0.75 a 3.50|70|||32</x:v>
      </x:c>
    </x:row>
    <x:row r="2023">
      <x:c r="A2023" s="24" t="str">
        <x:v>ZS-D0AFD9DC6C78</x:v>
      </x:c>
      <x:c r="B2023" s="24" t="str">
        <x:v>SIM</x:v>
      </x:c>
      <x:c r="C2023" s="24" t="str">
        <x:v>DISPONÍVEL</x:v>
      </x:c>
      <x:c r="D2023" s="24" t="str">
        <x:v>ZEISS</x:v>
      </x:c>
      <x:c r="E2023" s="24" t="str">
        <x:v>Progressiva</x:v>
      </x:c>
      <x:c r="F2023" s="24" t="str">
        <x:v>Surfaçada</x:v>
      </x:c>
      <x:c r="G2023" s="24" t="str">
        <x:v>ClearMind Individual 3</x:v>
      </x:c>
      <x:c r="H2023" s="24" t="str">
        <x:v>Polarizada</x:v>
      </x:c>
      <x:c r="I2023" s="24" t="str">
        <x:v>1.6</x:v>
      </x:c>
      <x:c r="J2023" s="24" t="str">
        <x:v>1.60</x:v>
      </x:c>
      <x:c r="K2023" s="24" t="str">
        <x:v>DuraVision Gold UV</x:v>
      </x:c>
      <x:c r="L2023" s="40" t="n">
        <x:v>14340</x:v>
      </x:c>
      <x:c r="M2023" s="24" t="str">
        <x:v>-8.50 a +6.00</x:v>
      </x:c>
      <x:c r="N2023" s="24" t="str">
        <x:v>-4.00</x:v>
      </x:c>
      <x:c r="O2023" s="24" t="str">
        <x:v>0.75 a 3.50</x:v>
      </x:c>
      <x:c r="P2023" s="24" t="str">
        <x:v>70</x:v>
      </x:c>
      <x:c r="Q2023" s="24"/>
      <x:c r="R2023" s="24"/>
      <x:c r="S2023" s="26" t="n">
        <x:v>46113</x:v>
      </x:c>
      <x:c r="T2023" s="26"/>
      <x:c r="U2023" s="24" t="str">
        <x:v>ATIVA/SEM FIM INFORMADO</x:v>
      </x:c>
      <x:c r="V2023" s="24" t="str">
        <x:v>Programa de Parcerias ZEISS — categoria Experts</x:v>
      </x:c>
      <x:c r="W2023" s="24" t="n">
        <x:v>32</x:v>
      </x:c>
      <x:c r="X2023" s="24" t="str">
        <x:v>tabela_zeiss.pdf</x:v>
      </x:c>
      <x:c r="Y2023" s="24" t="str">
        <x:v>alta</x:v>
      </x:c>
      <x:c r="Z2023" s="24"/>
      <x:c r="AA2023" s="24" t="str">
        <x:v>ZEISS|Progressiva|Surfaçada|ClearMind Individual 3|Polarizada|1.6|1.60|DuraVision Gold UV|-8.50 a +6.00|-4.00|0.75 a 3.50|70|||32</x:v>
      </x:c>
    </x:row>
    <x:row r="2024">
      <x:c r="A2024" s="24" t="str">
        <x:v>ZS-FA19EAA050FB</x:v>
      </x:c>
      <x:c r="B2024" s="24" t="str">
        <x:v>SIM</x:v>
      </x:c>
      <x:c r="C2024" s="24" t="str">
        <x:v>DISPONÍVEL</x:v>
      </x:c>
      <x:c r="D2024" s="24" t="str">
        <x:v>ZEISS</x:v>
      </x:c>
      <x:c r="E2024" s="24" t="str">
        <x:v>Progressiva</x:v>
      </x:c>
      <x:c r="F2024" s="24" t="str">
        <x:v>Surfaçada</x:v>
      </x:c>
      <x:c r="G2024" s="24" t="str">
        <x:v>ClearMind Individual 3</x:v>
      </x:c>
      <x:c r="H2024" s="24" t="str">
        <x:v>Polarizada</x:v>
      </x:c>
      <x:c r="I2024" s="24" t="str">
        <x:v>1.6</x:v>
      </x:c>
      <x:c r="J2024" s="24" t="str">
        <x:v>1.60</x:v>
      </x:c>
      <x:c r="K2024" s="24" t="str">
        <x:v>DuraVision Platinum UV</x:v>
      </x:c>
      <x:c r="L2024" s="40" t="n">
        <x:v>14200</x:v>
      </x:c>
      <x:c r="M2024" s="24" t="str">
        <x:v>-8.50 a +6.00</x:v>
      </x:c>
      <x:c r="N2024" s="24" t="str">
        <x:v>-4.00</x:v>
      </x:c>
      <x:c r="O2024" s="24" t="str">
        <x:v>0.75 a 3.50</x:v>
      </x:c>
      <x:c r="P2024" s="24" t="str">
        <x:v>70</x:v>
      </x:c>
      <x:c r="Q2024" s="24"/>
      <x:c r="R2024" s="24"/>
      <x:c r="S2024" s="26" t="n">
        <x:v>46113</x:v>
      </x:c>
      <x:c r="T2024" s="26"/>
      <x:c r="U2024" s="24" t="str">
        <x:v>ATIVA/SEM FIM INFORMADO</x:v>
      </x:c>
      <x:c r="V2024" s="24" t="str">
        <x:v>Programa de Parcerias ZEISS — categoria Experts</x:v>
      </x:c>
      <x:c r="W2024" s="24" t="n">
        <x:v>32</x:v>
      </x:c>
      <x:c r="X2024" s="24" t="str">
        <x:v>tabela_zeiss.pdf</x:v>
      </x:c>
      <x:c r="Y2024" s="24" t="str">
        <x:v>alta</x:v>
      </x:c>
      <x:c r="Z2024" s="24"/>
      <x:c r="AA2024" s="24" t="str">
        <x:v>ZEISS|Progressiva|Surfaçada|ClearMind Individual 3|Polarizada|1.6|1.60|DuraVision Platinum UV|-8.50 a +6.00|-4.00|0.75 a 3.50|70|||32</x:v>
      </x:c>
    </x:row>
    <x:row r="2025">
      <x:c r="A2025" s="24" t="str">
        <x:v>ZS-3D2E9E1D3020</x:v>
      </x:c>
      <x:c r="B2025" s="24" t="str">
        <x:v>SIM</x:v>
      </x:c>
      <x:c r="C2025" s="24" t="str">
        <x:v>DISPONÍVEL</x:v>
      </x:c>
      <x:c r="D2025" s="24" t="str">
        <x:v>ZEISS</x:v>
      </x:c>
      <x:c r="E2025" s="24" t="str">
        <x:v>Progressiva</x:v>
      </x:c>
      <x:c r="F2025" s="24" t="str">
        <x:v>Surfaçada</x:v>
      </x:c>
      <x:c r="G2025" s="24" t="str">
        <x:v>ClearMind Individual 3</x:v>
      </x:c>
      <x:c r="H2025" s="24" t="str">
        <x:v>Polarizada</x:v>
      </x:c>
      <x:c r="I2025" s="24" t="str">
        <x:v>1.6</x:v>
      </x:c>
      <x:c r="J2025" s="24" t="str">
        <x:v>1.60</x:v>
      </x:c>
      <x:c r="K2025" s="24" t="str">
        <x:v>DuraVision Silver UV</x:v>
      </x:c>
      <x:c r="L2025" s="40" t="n">
        <x:v>13940</x:v>
      </x:c>
      <x:c r="M2025" s="24" t="str">
        <x:v>-8.50 a +6.00</x:v>
      </x:c>
      <x:c r="N2025" s="24" t="str">
        <x:v>-4.00</x:v>
      </x:c>
      <x:c r="O2025" s="24" t="str">
        <x:v>0.75 a 3.50</x:v>
      </x:c>
      <x:c r="P2025" s="24" t="str">
        <x:v>70</x:v>
      </x:c>
      <x:c r="Q2025" s="24"/>
      <x:c r="R2025" s="24"/>
      <x:c r="S2025" s="26" t="n">
        <x:v>46113</x:v>
      </x:c>
      <x:c r="T2025" s="26"/>
      <x:c r="U2025" s="24" t="str">
        <x:v>ATIVA/SEM FIM INFORMADO</x:v>
      </x:c>
      <x:c r="V2025" s="24" t="str">
        <x:v>Programa de Parcerias ZEISS — categoria Experts</x:v>
      </x:c>
      <x:c r="W2025" s="24" t="n">
        <x:v>32</x:v>
      </x:c>
      <x:c r="X2025" s="24" t="str">
        <x:v>tabela_zeiss.pdf</x:v>
      </x:c>
      <x:c r="Y2025" s="24" t="str">
        <x:v>alta</x:v>
      </x:c>
      <x:c r="Z2025" s="24"/>
      <x:c r="AA2025" s="24" t="str">
        <x:v>ZEISS|Progressiva|Surfaçada|ClearMind Individual 3|Polarizada|1.6|1.60|DuraVision Silver UV|-8.50 a +6.00|-4.00|0.75 a 3.50|70|||32</x:v>
      </x:c>
    </x:row>
    <x:row r="2026">
      <x:c r="A2026" s="24" t="str">
        <x:v>ZS-84A11A0CC97C</x:v>
      </x:c>
      <x:c r="B2026" s="24" t="str">
        <x:v>SIM</x:v>
      </x:c>
      <x:c r="C2026" s="24" t="str">
        <x:v>DISPONÍVEL</x:v>
      </x:c>
      <x:c r="D2026" s="24" t="str">
        <x:v>ZEISS</x:v>
      </x:c>
      <x:c r="E2026" s="24" t="str">
        <x:v>Progressiva</x:v>
      </x:c>
      <x:c r="F2026" s="24" t="str">
        <x:v>Surfaçada</x:v>
      </x:c>
      <x:c r="G2026" s="24" t="str">
        <x:v>ClearMind Individual 3</x:v>
      </x:c>
      <x:c r="H2026" s="24" t="str">
        <x:v>Polarizada</x:v>
      </x:c>
      <x:c r="I2026" s="24" t="str">
        <x:v>1.6</x:v>
      </x:c>
      <x:c r="J2026" s="24" t="str">
        <x:v>1.60</x:v>
      </x:c>
      <x:c r="K2026" s="24" t="str">
        <x:v>DuraVision Chrome UV</x:v>
      </x:c>
      <x:c r="L2026" s="40" t="n">
        <x:v>13450</x:v>
      </x:c>
      <x:c r="M2026" s="24" t="str">
        <x:v>-8.50 a +6.00</x:v>
      </x:c>
      <x:c r="N2026" s="24" t="str">
        <x:v>-4.00</x:v>
      </x:c>
      <x:c r="O2026" s="24" t="str">
        <x:v>0.75 a 3.50</x:v>
      </x:c>
      <x:c r="P2026" s="24" t="str">
        <x:v>70</x:v>
      </x:c>
      <x:c r="Q2026" s="24"/>
      <x:c r="R2026" s="24"/>
      <x:c r="S2026" s="26" t="n">
        <x:v>46113</x:v>
      </x:c>
      <x:c r="T2026" s="26"/>
      <x:c r="U2026" s="24" t="str">
        <x:v>ATIVA/SEM FIM INFORMADO</x:v>
      </x:c>
      <x:c r="V2026" s="24" t="str">
        <x:v>Programa de Parcerias ZEISS — categoria Experts</x:v>
      </x:c>
      <x:c r="W2026" s="24" t="n">
        <x:v>32</x:v>
      </x:c>
      <x:c r="X2026" s="24" t="str">
        <x:v>tabela_zeiss.pdf</x:v>
      </x:c>
      <x:c r="Y2026" s="24" t="str">
        <x:v>alta</x:v>
      </x:c>
      <x:c r="Z2026" s="24"/>
      <x:c r="AA2026" s="24" t="str">
        <x:v>ZEISS|Progressiva|Surfaçada|ClearMind Individual 3|Polarizada|1.6|1.60|DuraVision Chrome UV|-8.50 a +6.00|-4.00|0.75 a 3.50|70|||32</x:v>
      </x:c>
    </x:row>
    <x:row r="2027">
      <x:c r="A2027" s="24" t="str">
        <x:v>ZS-5E3DE4A0E3C7</x:v>
      </x:c>
      <x:c r="B2027" s="24" t="str">
        <x:v>SIM</x:v>
      </x:c>
      <x:c r="C2027" s="24" t="str">
        <x:v>DISPONÍVEL</x:v>
      </x:c>
      <x:c r="D2027" s="24" t="str">
        <x:v>ZEISS</x:v>
      </x:c>
      <x:c r="E2027" s="24" t="str">
        <x:v>Progressiva</x:v>
      </x:c>
      <x:c r="F2027" s="24" t="str">
        <x:v>Surfaçada</x:v>
      </x:c>
      <x:c r="G2027" s="24" t="str">
        <x:v>ClearMind Individual 3</x:v>
      </x:c>
      <x:c r="H2027" s="24" t="str">
        <x:v>Polarizada</x:v>
      </x:c>
      <x:c r="I2027" s="24" t="str">
        <x:v>1.6</x:v>
      </x:c>
      <x:c r="J2027" s="24" t="str">
        <x:v>1.60</x:v>
      </x:c>
      <x:c r="K2027" s="24" t="str">
        <x:v>Sem AR</x:v>
      </x:c>
      <x:c r="L2027" s="40" t="n">
        <x:v>13050</x:v>
      </x:c>
      <x:c r="M2027" s="24" t="str">
        <x:v>-8.50 a +6.00</x:v>
      </x:c>
      <x:c r="N2027" s="24" t="str">
        <x:v>-4.00</x:v>
      </x:c>
      <x:c r="O2027" s="24" t="str">
        <x:v>0.75 a 3.50</x:v>
      </x:c>
      <x:c r="P2027" s="24" t="str">
        <x:v>70</x:v>
      </x:c>
      <x:c r="Q2027" s="24"/>
      <x:c r="R2027" s="24"/>
      <x:c r="S2027" s="26" t="n">
        <x:v>46113</x:v>
      </x:c>
      <x:c r="T2027" s="26"/>
      <x:c r="U2027" s="24" t="str">
        <x:v>ATIVA/SEM FIM INFORMADO</x:v>
      </x:c>
      <x:c r="V2027" s="24" t="str">
        <x:v>Programa de Parcerias ZEISS — categoria Experts</x:v>
      </x:c>
      <x:c r="W2027" s="24" t="n">
        <x:v>32</x:v>
      </x:c>
      <x:c r="X2027" s="24" t="str">
        <x:v>tabela_zeiss.pdf</x:v>
      </x:c>
      <x:c r="Y2027" s="24" t="str">
        <x:v>alta</x:v>
      </x:c>
      <x:c r="Z2027" s="24"/>
      <x:c r="AA2027" s="24" t="str">
        <x:v>ZEISS|Progressiva|Surfaçada|ClearMind Individual 3|Polarizada|1.6|1.60|Sem AR|-8.50 a +6.00|-4.00|0.75 a 3.50|70|||32</x:v>
      </x:c>
    </x:row>
    <x:row r="2028">
      <x:c r="A2028" s="24" t="str">
        <x:v>ZS-99BEFAFF522D</x:v>
      </x:c>
      <x:c r="B2028" s="24" t="str">
        <x:v>SIM</x:v>
      </x:c>
      <x:c r="C2028" s="24" t="str">
        <x:v>DISPONÍVEL</x:v>
      </x:c>
      <x:c r="D2028" s="24" t="str">
        <x:v>ZEISS</x:v>
      </x:c>
      <x:c r="E2028" s="24" t="str">
        <x:v>Progressiva</x:v>
      </x:c>
      <x:c r="F2028" s="24" t="str">
        <x:v>Surfaçada</x:v>
      </x:c>
      <x:c r="G2028" s="24" t="str">
        <x:v>ClearMind Superb</x:v>
      </x:c>
      <x:c r="H2028" s="24"/>
      <x:c r="I2028" s="24" t="str">
        <x:v>1.5</x:v>
      </x:c>
      <x:c r="J2028" s="24" t="str">
        <x:v>1.50</x:v>
      </x:c>
      <x:c r="K2028" s="24" t="str">
        <x:v>DuraVision Gold UV</x:v>
      </x:c>
      <x:c r="L2028" s="40" t="n">
        <x:v>8059</x:v>
      </x:c>
      <x:c r="M2028" s="24" t="str">
        <x:v>-6.00 a +4.00</x:v>
      </x:c>
      <x:c r="N2028" s="24" t="str">
        <x:v>-4.00</x:v>
      </x:c>
      <x:c r="O2028" s="24" t="str">
        <x:v>0.75 a 3.50</x:v>
      </x:c>
      <x:c r="P2028" s="24" t="str">
        <x:v>75</x:v>
      </x:c>
      <x:c r="Q2028" s="24"/>
      <x:c r="R2028" s="24"/>
      <x:c r="S2028" s="26" t="n">
        <x:v>46113</x:v>
      </x:c>
      <x:c r="T2028" s="26"/>
      <x:c r="U2028" s="24" t="str">
        <x:v>ATIVA/SEM FIM INFORMADO</x:v>
      </x:c>
      <x:c r="V2028" s="24" t="str">
        <x:v>Programa de Parcerias ZEISS — categoria Experts</x:v>
      </x:c>
      <x:c r="W2028" s="24" t="n">
        <x:v>33</x:v>
      </x:c>
      <x:c r="X2028" s="24" t="str">
        <x:v>tabela_zeiss.pdf</x:v>
      </x:c>
      <x:c r="Y2028" s="24" t="str">
        <x:v>alta</x:v>
      </x:c>
      <x:c r="Z2028" s="24"/>
      <x:c r="AA2028" s="24" t="str">
        <x:v>ZEISS|Progressiva|Surfaçada|ClearMind Superb||1.5|1.50|DuraVision Gold UV|-6.00 a +4.00|-4.00|0.75 a 3.50|75|||33</x:v>
      </x:c>
    </x:row>
    <x:row r="2029">
      <x:c r="A2029" s="24" t="str">
        <x:v>ZS-385B33B41F8E</x:v>
      </x:c>
      <x:c r="B2029" s="24" t="str">
        <x:v>SIM</x:v>
      </x:c>
      <x:c r="C2029" s="24" t="str">
        <x:v>DISPONÍVEL</x:v>
      </x:c>
      <x:c r="D2029" s="24" t="str">
        <x:v>ZEISS</x:v>
      </x:c>
      <x:c r="E2029" s="24" t="str">
        <x:v>Progressiva</x:v>
      </x:c>
      <x:c r="F2029" s="24" t="str">
        <x:v>Surfaçada</x:v>
      </x:c>
      <x:c r="G2029" s="24" t="str">
        <x:v>ClearMind Superb</x:v>
      </x:c>
      <x:c r="H2029" s="24"/>
      <x:c r="I2029" s="24" t="str">
        <x:v>1.5</x:v>
      </x:c>
      <x:c r="J2029" s="24" t="str">
        <x:v>1.50</x:v>
      </x:c>
      <x:c r="K2029" s="24" t="str">
        <x:v>DURAVISION® ANTIVÍRUS PLATINUM UV</x:v>
      </x:c>
      <x:c r="L2029" s="40" t="n">
        <x:v>7919</x:v>
      </x:c>
      <x:c r="M2029" s="24" t="str">
        <x:v>-6.00 a +4.00</x:v>
      </x:c>
      <x:c r="N2029" s="24" t="str">
        <x:v>-4.00</x:v>
      </x:c>
      <x:c r="O2029" s="24" t="str">
        <x:v>0.75 a 3.50</x:v>
      </x:c>
      <x:c r="P2029" s="24" t="str">
        <x:v>75</x:v>
      </x:c>
      <x:c r="Q2029" s="24"/>
      <x:c r="R2029" s="24"/>
      <x:c r="S2029" s="26" t="n">
        <x:v>46113</x:v>
      </x:c>
      <x:c r="T2029" s="26"/>
      <x:c r="U2029" s="24" t="str">
        <x:v>ATIVA/SEM FIM INFORMADO</x:v>
      </x:c>
      <x:c r="V2029" s="24" t="str">
        <x:v>Programa de Parcerias ZEISS — categoria Experts</x:v>
      </x:c>
      <x:c r="W2029" s="24" t="n">
        <x:v>33</x:v>
      </x:c>
      <x:c r="X2029" s="24" t="str">
        <x:v>tabela_zeiss.pdf</x:v>
      </x:c>
      <x:c r="Y2029" s="24" t="str">
        <x:v>alta</x:v>
      </x:c>
      <x:c r="Z2029" s="24"/>
      <x:c r="AA2029" s="24" t="str">
        <x:v>ZEISS|Progressiva|Surfaçada|ClearMind Superb||1.5|1.50|DURAVISION® ANTIVÍRUS PLATINUM UV|-6.00 a +4.00|-4.00|0.75 a 3.50|75|||33</x:v>
      </x:c>
    </x:row>
    <x:row r="2030">
      <x:c r="A2030" s="24" t="str">
        <x:v>ZS-088AD7E7D281</x:v>
      </x:c>
      <x:c r="B2030" s="24" t="str">
        <x:v>SIM</x:v>
      </x:c>
      <x:c r="C2030" s="24" t="str">
        <x:v>DISPONÍVEL</x:v>
      </x:c>
      <x:c r="D2030" s="24" t="str">
        <x:v>ZEISS</x:v>
      </x:c>
      <x:c r="E2030" s="24" t="str">
        <x:v>Progressiva</x:v>
      </x:c>
      <x:c r="F2030" s="24" t="str">
        <x:v>Surfaçada</x:v>
      </x:c>
      <x:c r="G2030" s="24" t="str">
        <x:v>ClearMind Superb</x:v>
      </x:c>
      <x:c r="H2030" s="24"/>
      <x:c r="I2030" s="24" t="str">
        <x:v>1.5</x:v>
      </x:c>
      <x:c r="J2030" s="24" t="str">
        <x:v>1.50</x:v>
      </x:c>
      <x:c r="K2030" s="24" t="str">
        <x:v>DuraVision Platinum UV</x:v>
      </x:c>
      <x:c r="L2030" s="40" t="n">
        <x:v>7919</x:v>
      </x:c>
      <x:c r="M2030" s="24" t="str">
        <x:v>-6.00 a +4.00</x:v>
      </x:c>
      <x:c r="N2030" s="24" t="str">
        <x:v>-4.00</x:v>
      </x:c>
      <x:c r="O2030" s="24" t="str">
        <x:v>0.75 a 3.50</x:v>
      </x:c>
      <x:c r="P2030" s="24" t="str">
        <x:v>75</x:v>
      </x:c>
      <x:c r="Q2030" s="24"/>
      <x:c r="R2030" s="24"/>
      <x:c r="S2030" s="26" t="n">
        <x:v>46113</x:v>
      </x:c>
      <x:c r="T2030" s="26"/>
      <x:c r="U2030" s="24" t="str">
        <x:v>ATIVA/SEM FIM INFORMADO</x:v>
      </x:c>
      <x:c r="V2030" s="24" t="str">
        <x:v>Programa de Parcerias ZEISS — categoria Experts</x:v>
      </x:c>
      <x:c r="W2030" s="24" t="n">
        <x:v>33</x:v>
      </x:c>
      <x:c r="X2030" s="24" t="str">
        <x:v>tabela_zeiss.pdf</x:v>
      </x:c>
      <x:c r="Y2030" s="24" t="str">
        <x:v>alta</x:v>
      </x:c>
      <x:c r="Z2030" s="24"/>
      <x:c r="AA2030" s="24" t="str">
        <x:v>ZEISS|Progressiva|Surfaçada|ClearMind Superb||1.5|1.50|DuraVision Platinum UV|-6.00 a +4.00|-4.00|0.75 a 3.50|75|||33</x:v>
      </x:c>
    </x:row>
    <x:row r="2031">
      <x:c r="A2031" s="24" t="str">
        <x:v>ZS-F1AE5DA1AE19</x:v>
      </x:c>
      <x:c r="B2031" s="24" t="str">
        <x:v>SIM</x:v>
      </x:c>
      <x:c r="C2031" s="24" t="str">
        <x:v>DISPONÍVEL</x:v>
      </x:c>
      <x:c r="D2031" s="24" t="str">
        <x:v>ZEISS</x:v>
      </x:c>
      <x:c r="E2031" s="24" t="str">
        <x:v>Progressiva</x:v>
      </x:c>
      <x:c r="F2031" s="24" t="str">
        <x:v>Surfaçada</x:v>
      </x:c>
      <x:c r="G2031" s="24" t="str">
        <x:v>ClearMind Superb</x:v>
      </x:c>
      <x:c r="H2031" s="24"/>
      <x:c r="I2031" s="24" t="str">
        <x:v>1.5</x:v>
      </x:c>
      <x:c r="J2031" s="24" t="str">
        <x:v>1.50</x:v>
      </x:c>
      <x:c r="K2031" s="24" t="str">
        <x:v>DuraVision Silver UV</x:v>
      </x:c>
      <x:c r="L2031" s="40" t="n">
        <x:v>7659</x:v>
      </x:c>
      <x:c r="M2031" s="24" t="str">
        <x:v>-6.00 a +4.00</x:v>
      </x:c>
      <x:c r="N2031" s="24" t="str">
        <x:v>-4.00</x:v>
      </x:c>
      <x:c r="O2031" s="24" t="str">
        <x:v>0.75 a 3.50</x:v>
      </x:c>
      <x:c r="P2031" s="24" t="str">
        <x:v>75</x:v>
      </x:c>
      <x:c r="Q2031" s="24"/>
      <x:c r="R2031" s="24"/>
      <x:c r="S2031" s="26" t="n">
        <x:v>46113</x:v>
      </x:c>
      <x:c r="T2031" s="26"/>
      <x:c r="U2031" s="24" t="str">
        <x:v>ATIVA/SEM FIM INFORMADO</x:v>
      </x:c>
      <x:c r="V2031" s="24" t="str">
        <x:v>Programa de Parcerias ZEISS — categoria Experts</x:v>
      </x:c>
      <x:c r="W2031" s="24" t="n">
        <x:v>33</x:v>
      </x:c>
      <x:c r="X2031" s="24" t="str">
        <x:v>tabela_zeiss.pdf</x:v>
      </x:c>
      <x:c r="Y2031" s="24" t="str">
        <x:v>alta</x:v>
      </x:c>
      <x:c r="Z2031" s="24"/>
      <x:c r="AA2031" s="24" t="str">
        <x:v>ZEISS|Progressiva|Surfaçada|ClearMind Superb||1.5|1.50|DuraVision Silver UV|-6.00 a +4.00|-4.00|0.75 a 3.50|75|||33</x:v>
      </x:c>
    </x:row>
    <x:row r="2032">
      <x:c r="A2032" s="24" t="str">
        <x:v>ZS-5A4E250B3B96</x:v>
      </x:c>
      <x:c r="B2032" s="24" t="str">
        <x:v>SIM</x:v>
      </x:c>
      <x:c r="C2032" s="24" t="str">
        <x:v>DISPONÍVEL</x:v>
      </x:c>
      <x:c r="D2032" s="24" t="str">
        <x:v>ZEISS</x:v>
      </x:c>
      <x:c r="E2032" s="24" t="str">
        <x:v>Progressiva</x:v>
      </x:c>
      <x:c r="F2032" s="24" t="str">
        <x:v>Surfaçada</x:v>
      </x:c>
      <x:c r="G2032" s="24" t="str">
        <x:v>ClearMind Superb</x:v>
      </x:c>
      <x:c r="H2032" s="24"/>
      <x:c r="I2032" s="24" t="str">
        <x:v>1.5</x:v>
      </x:c>
      <x:c r="J2032" s="24" t="str">
        <x:v>1.50</x:v>
      </x:c>
      <x:c r="K2032" s="24" t="str">
        <x:v>DuraVision Chrome UV</x:v>
      </x:c>
      <x:c r="L2032" s="40" t="n">
        <x:v>7169</x:v>
      </x:c>
      <x:c r="M2032" s="24" t="str">
        <x:v>-6.00 a +4.00</x:v>
      </x:c>
      <x:c r="N2032" s="24" t="str">
        <x:v>-4.00</x:v>
      </x:c>
      <x:c r="O2032" s="24" t="str">
        <x:v>0.75 a 3.50</x:v>
      </x:c>
      <x:c r="P2032" s="24" t="str">
        <x:v>75</x:v>
      </x:c>
      <x:c r="Q2032" s="24"/>
      <x:c r="R2032" s="24"/>
      <x:c r="S2032" s="26" t="n">
        <x:v>46113</x:v>
      </x:c>
      <x:c r="T2032" s="26"/>
      <x:c r="U2032" s="24" t="str">
        <x:v>ATIVA/SEM FIM INFORMADO</x:v>
      </x:c>
      <x:c r="V2032" s="24" t="str">
        <x:v>Programa de Parcerias ZEISS — categoria Experts</x:v>
      </x:c>
      <x:c r="W2032" s="24" t="n">
        <x:v>33</x:v>
      </x:c>
      <x:c r="X2032" s="24" t="str">
        <x:v>tabela_zeiss.pdf</x:v>
      </x:c>
      <x:c r="Y2032" s="24" t="str">
        <x:v>alta</x:v>
      </x:c>
      <x:c r="Z2032" s="24"/>
      <x:c r="AA2032" s="24" t="str">
        <x:v>ZEISS|Progressiva|Surfaçada|ClearMind Superb||1.5|1.50|DuraVision Chrome UV|-6.00 a +4.00|-4.00|0.75 a 3.50|75|||33</x:v>
      </x:c>
    </x:row>
    <x:row r="2033">
      <x:c r="A2033" s="24" t="str">
        <x:v>ZS-B923FB4B9801</x:v>
      </x:c>
      <x:c r="B2033" s="24" t="str">
        <x:v>SIM</x:v>
      </x:c>
      <x:c r="C2033" s="24" t="str">
        <x:v>DISPONÍVEL</x:v>
      </x:c>
      <x:c r="D2033" s="24" t="str">
        <x:v>ZEISS</x:v>
      </x:c>
      <x:c r="E2033" s="24" t="str">
        <x:v>Progressiva</x:v>
      </x:c>
      <x:c r="F2033" s="24" t="str">
        <x:v>Surfaçada</x:v>
      </x:c>
      <x:c r="G2033" s="24" t="str">
        <x:v>ClearMind Superb</x:v>
      </x:c>
      <x:c r="H2033" s="24"/>
      <x:c r="I2033" s="24" t="str">
        <x:v>Poli</x:v>
      </x:c>
      <x:c r="J2033" s="24"/>
      <x:c r="K2033" s="24" t="str">
        <x:v>DuraVision Gold UV</x:v>
      </x:c>
      <x:c r="L2033" s="40" t="n">
        <x:v>8649</x:v>
      </x:c>
      <x:c r="M2033" s="24" t="str">
        <x:v>-10.00 a +6.00</x:v>
      </x:c>
      <x:c r="N2033" s="24" t="str">
        <x:v>-6.00</x:v>
      </x:c>
      <x:c r="O2033" s="24" t="str">
        <x:v>0.75 a 3.00</x:v>
      </x:c>
      <x:c r="P2033" s="24" t="str">
        <x:v>70</x:v>
      </x:c>
      <x:c r="Q2033" s="24"/>
      <x:c r="R2033" s="24"/>
      <x:c r="S2033" s="26" t="n">
        <x:v>46113</x:v>
      </x:c>
      <x:c r="T2033" s="26"/>
      <x:c r="U2033" s="24" t="str">
        <x:v>ATIVA/SEM FIM INFORMADO</x:v>
      </x:c>
      <x:c r="V2033" s="24" t="str">
        <x:v>Programa de Parcerias ZEISS — categoria Experts</x:v>
      </x:c>
      <x:c r="W2033" s="24" t="n">
        <x:v>33</x:v>
      </x:c>
      <x:c r="X2033" s="24" t="str">
        <x:v>tabela_zeiss.pdf</x:v>
      </x:c>
      <x:c r="Y2033" s="24" t="str">
        <x:v>alta</x:v>
      </x:c>
      <x:c r="Z2033" s="24"/>
      <x:c r="AA2033" s="24" t="str">
        <x:v>ZEISS|Progressiva|Surfaçada|ClearMind Superb||Poli||DuraVision Gold UV|-10.00 a +6.00|-6.00|0.75 a 3.00|70|||33</x:v>
      </x:c>
    </x:row>
    <x:row r="2034">
      <x:c r="A2034" s="24" t="str">
        <x:v>ZS-375E5272D5AA</x:v>
      </x:c>
      <x:c r="B2034" s="24" t="str">
        <x:v>SIM</x:v>
      </x:c>
      <x:c r="C2034" s="24" t="str">
        <x:v>DISPONÍVEL</x:v>
      </x:c>
      <x:c r="D2034" s="24" t="str">
        <x:v>ZEISS</x:v>
      </x:c>
      <x:c r="E2034" s="24" t="str">
        <x:v>Progressiva</x:v>
      </x:c>
      <x:c r="F2034" s="24" t="str">
        <x:v>Surfaçada</x:v>
      </x:c>
      <x:c r="G2034" s="24" t="str">
        <x:v>ClearMind Superb</x:v>
      </x:c>
      <x:c r="H2034" s="24"/>
      <x:c r="I2034" s="24" t="str">
        <x:v>Poli</x:v>
      </x:c>
      <x:c r="J2034" s="24"/>
      <x:c r="K2034" s="24" t="str">
        <x:v>DuraVision Platinum UV</x:v>
      </x:c>
      <x:c r="L2034" s="40" t="n">
        <x:v>8509</x:v>
      </x:c>
      <x:c r="M2034" s="24" t="str">
        <x:v>-10.00 a +6.00</x:v>
      </x:c>
      <x:c r="N2034" s="24" t="str">
        <x:v>-6.00</x:v>
      </x:c>
      <x:c r="O2034" s="24" t="str">
        <x:v>0.75 a 3.00</x:v>
      </x:c>
      <x:c r="P2034" s="24" t="str">
        <x:v>70</x:v>
      </x:c>
      <x:c r="Q2034" s="24"/>
      <x:c r="R2034" s="24"/>
      <x:c r="S2034" s="26" t="n">
        <x:v>46113</x:v>
      </x:c>
      <x:c r="T2034" s="26"/>
      <x:c r="U2034" s="24" t="str">
        <x:v>ATIVA/SEM FIM INFORMADO</x:v>
      </x:c>
      <x:c r="V2034" s="24" t="str">
        <x:v>Programa de Parcerias ZEISS — categoria Experts</x:v>
      </x:c>
      <x:c r="W2034" s="24" t="n">
        <x:v>33</x:v>
      </x:c>
      <x:c r="X2034" s="24" t="str">
        <x:v>tabela_zeiss.pdf</x:v>
      </x:c>
      <x:c r="Y2034" s="24" t="str">
        <x:v>alta</x:v>
      </x:c>
      <x:c r="Z2034" s="24"/>
      <x:c r="AA2034" s="24" t="str">
        <x:v>ZEISS|Progressiva|Surfaçada|ClearMind Superb||Poli||DuraVision Platinum UV|-10.00 a +6.00|-6.00|0.75 a 3.00|70|||33</x:v>
      </x:c>
    </x:row>
    <x:row r="2035">
      <x:c r="A2035" s="24" t="str">
        <x:v>ZS-CF2A9506B951</x:v>
      </x:c>
      <x:c r="B2035" s="24" t="str">
        <x:v>SIM</x:v>
      </x:c>
      <x:c r="C2035" s="24" t="str">
        <x:v>DISPONÍVEL</x:v>
      </x:c>
      <x:c r="D2035" s="24" t="str">
        <x:v>ZEISS</x:v>
      </x:c>
      <x:c r="E2035" s="24" t="str">
        <x:v>Progressiva</x:v>
      </x:c>
      <x:c r="F2035" s="24" t="str">
        <x:v>Surfaçada</x:v>
      </x:c>
      <x:c r="G2035" s="24" t="str">
        <x:v>ClearMind Superb</x:v>
      </x:c>
      <x:c r="H2035" s="24"/>
      <x:c r="I2035" s="24" t="str">
        <x:v>Poli</x:v>
      </x:c>
      <x:c r="J2035" s="24"/>
      <x:c r="K2035" s="24" t="str">
        <x:v>DuraVision Silver UV</x:v>
      </x:c>
      <x:c r="L2035" s="40" t="n">
        <x:v>8249</x:v>
      </x:c>
      <x:c r="M2035" s="24" t="str">
        <x:v>-10.00 a +6.00</x:v>
      </x:c>
      <x:c r="N2035" s="24" t="str">
        <x:v>-6.00</x:v>
      </x:c>
      <x:c r="O2035" s="24" t="str">
        <x:v>0.75 a 3.00</x:v>
      </x:c>
      <x:c r="P2035" s="24" t="str">
        <x:v>70</x:v>
      </x:c>
      <x:c r="Q2035" s="24"/>
      <x:c r="R2035" s="24"/>
      <x:c r="S2035" s="26" t="n">
        <x:v>46113</x:v>
      </x:c>
      <x:c r="T2035" s="26"/>
      <x:c r="U2035" s="24" t="str">
        <x:v>ATIVA/SEM FIM INFORMADO</x:v>
      </x:c>
      <x:c r="V2035" s="24" t="str">
        <x:v>Programa de Parcerias ZEISS — categoria Experts</x:v>
      </x:c>
      <x:c r="W2035" s="24" t="n">
        <x:v>33</x:v>
      </x:c>
      <x:c r="X2035" s="24" t="str">
        <x:v>tabela_zeiss.pdf</x:v>
      </x:c>
      <x:c r="Y2035" s="24" t="str">
        <x:v>alta</x:v>
      </x:c>
      <x:c r="Z2035" s="24"/>
      <x:c r="AA2035" s="24" t="str">
        <x:v>ZEISS|Progressiva|Surfaçada|ClearMind Superb||Poli||DuraVision Silver UV|-10.00 a +6.00|-6.00|0.75 a 3.00|70|||33</x:v>
      </x:c>
    </x:row>
    <x:row r="2036">
      <x:c r="A2036" s="24" t="str">
        <x:v>ZS-A8D997AD61B0</x:v>
      </x:c>
      <x:c r="B2036" s="24" t="str">
        <x:v>SIM</x:v>
      </x:c>
      <x:c r="C2036" s="24" t="str">
        <x:v>DISPONÍVEL</x:v>
      </x:c>
      <x:c r="D2036" s="24" t="str">
        <x:v>ZEISS</x:v>
      </x:c>
      <x:c r="E2036" s="24" t="str">
        <x:v>Progressiva</x:v>
      </x:c>
      <x:c r="F2036" s="24" t="str">
        <x:v>Surfaçada</x:v>
      </x:c>
      <x:c r="G2036" s="24" t="str">
        <x:v>ClearMind Superb</x:v>
      </x:c>
      <x:c r="H2036" s="24"/>
      <x:c r="I2036" s="24" t="str">
        <x:v>Poli</x:v>
      </x:c>
      <x:c r="J2036" s="24"/>
      <x:c r="K2036" s="24" t="str">
        <x:v>DuraVision Chrome UV</x:v>
      </x:c>
      <x:c r="L2036" s="40" t="n">
        <x:v>7759</x:v>
      </x:c>
      <x:c r="M2036" s="24" t="str">
        <x:v>-10.00 a +6.00</x:v>
      </x:c>
      <x:c r="N2036" s="24" t="str">
        <x:v>-6.00</x:v>
      </x:c>
      <x:c r="O2036" s="24" t="str">
        <x:v>0.75 a 3.00</x:v>
      </x:c>
      <x:c r="P2036" s="24" t="str">
        <x:v>70</x:v>
      </x:c>
      <x:c r="Q2036" s="24"/>
      <x:c r="R2036" s="24"/>
      <x:c r="S2036" s="26" t="n">
        <x:v>46113</x:v>
      </x:c>
      <x:c r="T2036" s="26"/>
      <x:c r="U2036" s="24" t="str">
        <x:v>ATIVA/SEM FIM INFORMADO</x:v>
      </x:c>
      <x:c r="V2036" s="24" t="str">
        <x:v>Programa de Parcerias ZEISS — categoria Experts</x:v>
      </x:c>
      <x:c r="W2036" s="24" t="n">
        <x:v>33</x:v>
      </x:c>
      <x:c r="X2036" s="24" t="str">
        <x:v>tabela_zeiss.pdf</x:v>
      </x:c>
      <x:c r="Y2036" s="24" t="str">
        <x:v>alta</x:v>
      </x:c>
      <x:c r="Z2036" s="24"/>
      <x:c r="AA2036" s="24" t="str">
        <x:v>ZEISS|Progressiva|Surfaçada|ClearMind Superb||Poli||DuraVision Chrome UV|-10.00 a +6.00|-6.00|0.75 a 3.00|70|||33</x:v>
      </x:c>
    </x:row>
    <x:row r="2037">
      <x:c r="A2037" s="24" t="str">
        <x:v>ZS-9EA6CB1409AC</x:v>
      </x:c>
      <x:c r="B2037" s="24" t="str">
        <x:v>SIM</x:v>
      </x:c>
      <x:c r="C2037" s="24" t="str">
        <x:v>DISPONÍVEL</x:v>
      </x:c>
      <x:c r="D2037" s="24" t="str">
        <x:v>ZEISS</x:v>
      </x:c>
      <x:c r="E2037" s="24" t="str">
        <x:v>Progressiva</x:v>
      </x:c>
      <x:c r="F2037" s="24" t="str">
        <x:v>Surfaçada</x:v>
      </x:c>
      <x:c r="G2037" s="24" t="str">
        <x:v>ClearMind Superb</x:v>
      </x:c>
      <x:c r="H2037" s="24"/>
      <x:c r="I2037" s="24" t="str">
        <x:v>1.6</x:v>
      </x:c>
      <x:c r="J2037" s="24" t="str">
        <x:v>1.60</x:v>
      </x:c>
      <x:c r="K2037" s="24" t="str">
        <x:v>DuraVision Gold UV</x:v>
      </x:c>
      <x:c r="L2037" s="40" t="n">
        <x:v>9309</x:v>
      </x:c>
      <x:c r="M2037" s="24" t="str">
        <x:v>-7.25 a +6.00</x:v>
      </x:c>
      <x:c r="N2037" s="24" t="str">
        <x:v>-6.00</x:v>
      </x:c>
      <x:c r="O2037" s="24" t="str">
        <x:v>0.75 a 3.50</x:v>
      </x:c>
      <x:c r="P2037" s="24" t="str">
        <x:v>75</x:v>
      </x:c>
      <x:c r="Q2037" s="24"/>
      <x:c r="R2037" s="24"/>
      <x:c r="S2037" s="26" t="n">
        <x:v>46113</x:v>
      </x:c>
      <x:c r="T2037" s="26"/>
      <x:c r="U2037" s="24" t="str">
        <x:v>ATIVA/SEM FIM INFORMADO</x:v>
      </x:c>
      <x:c r="V2037" s="24" t="str">
        <x:v>Programa de Parcerias ZEISS — categoria Experts</x:v>
      </x:c>
      <x:c r="W2037" s="24" t="n">
        <x:v>33</x:v>
      </x:c>
      <x:c r="X2037" s="24" t="str">
        <x:v>tabela_zeiss.pdf</x:v>
      </x:c>
      <x:c r="Y2037" s="24" t="str">
        <x:v>alta</x:v>
      </x:c>
      <x:c r="Z2037" s="24"/>
      <x:c r="AA2037" s="24" t="str">
        <x:v>ZEISS|Progressiva|Surfaçada|ClearMind Superb||1.6|1.60|DuraVision Gold UV|-7.25 a +6.00|-6.00|0.75 a 3.50|75|||33</x:v>
      </x:c>
    </x:row>
    <x:row r="2038">
      <x:c r="A2038" s="24" t="str">
        <x:v>ZS-65119C33C10B</x:v>
      </x:c>
      <x:c r="B2038" s="24" t="str">
        <x:v>SIM</x:v>
      </x:c>
      <x:c r="C2038" s="24" t="str">
        <x:v>DISPONÍVEL</x:v>
      </x:c>
      <x:c r="D2038" s="24" t="str">
        <x:v>ZEISS</x:v>
      </x:c>
      <x:c r="E2038" s="24" t="str">
        <x:v>Progressiva</x:v>
      </x:c>
      <x:c r="F2038" s="24" t="str">
        <x:v>Surfaçada</x:v>
      </x:c>
      <x:c r="G2038" s="24" t="str">
        <x:v>ClearMind Superb</x:v>
      </x:c>
      <x:c r="H2038" s="24"/>
      <x:c r="I2038" s="24" t="str">
        <x:v>1.6</x:v>
      </x:c>
      <x:c r="J2038" s="24" t="str">
        <x:v>1.60</x:v>
      </x:c>
      <x:c r="K2038" s="24" t="str">
        <x:v>DURAVISION® ANTIVÍRUS PLATINUM UV</x:v>
      </x:c>
      <x:c r="L2038" s="40" t="n">
        <x:v>9169</x:v>
      </x:c>
      <x:c r="M2038" s="24" t="str">
        <x:v>-7.25 a +6.00</x:v>
      </x:c>
      <x:c r="N2038" s="24" t="str">
        <x:v>-6.00</x:v>
      </x:c>
      <x:c r="O2038" s="24" t="str">
        <x:v>0.75 a 3.50</x:v>
      </x:c>
      <x:c r="P2038" s="24" t="str">
        <x:v>75</x:v>
      </x:c>
      <x:c r="Q2038" s="24"/>
      <x:c r="R2038" s="24"/>
      <x:c r="S2038" s="26" t="n">
        <x:v>46113</x:v>
      </x:c>
      <x:c r="T2038" s="26"/>
      <x:c r="U2038" s="24" t="str">
        <x:v>ATIVA/SEM FIM INFORMADO</x:v>
      </x:c>
      <x:c r="V2038" s="24" t="str">
        <x:v>Programa de Parcerias ZEISS — categoria Experts</x:v>
      </x:c>
      <x:c r="W2038" s="24" t="n">
        <x:v>33</x:v>
      </x:c>
      <x:c r="X2038" s="24" t="str">
        <x:v>tabela_zeiss.pdf</x:v>
      </x:c>
      <x:c r="Y2038" s="24" t="str">
        <x:v>alta</x:v>
      </x:c>
      <x:c r="Z2038" s="24"/>
      <x:c r="AA2038" s="24" t="str">
        <x:v>ZEISS|Progressiva|Surfaçada|ClearMind Superb||1.6|1.60|DURAVISION® ANTIVÍRUS PLATINUM UV|-7.25 a +6.00|-6.00|0.75 a 3.50|75|||33</x:v>
      </x:c>
    </x:row>
    <x:row r="2039">
      <x:c r="A2039" s="24" t="str">
        <x:v>ZS-8AF3290F74D5</x:v>
      </x:c>
      <x:c r="B2039" s="24" t="str">
        <x:v>SIM</x:v>
      </x:c>
      <x:c r="C2039" s="24" t="str">
        <x:v>DISPONÍVEL</x:v>
      </x:c>
      <x:c r="D2039" s="24" t="str">
        <x:v>ZEISS</x:v>
      </x:c>
      <x:c r="E2039" s="24" t="str">
        <x:v>Progressiva</x:v>
      </x:c>
      <x:c r="F2039" s="24" t="str">
        <x:v>Surfaçada</x:v>
      </x:c>
      <x:c r="G2039" s="24" t="str">
        <x:v>ClearMind Superb</x:v>
      </x:c>
      <x:c r="H2039" s="24"/>
      <x:c r="I2039" s="24" t="str">
        <x:v>1.6</x:v>
      </x:c>
      <x:c r="J2039" s="24" t="str">
        <x:v>1.60</x:v>
      </x:c>
      <x:c r="K2039" s="24" t="str">
        <x:v>DuraVision Platinum UV</x:v>
      </x:c>
      <x:c r="L2039" s="40" t="n">
        <x:v>9169</x:v>
      </x:c>
      <x:c r="M2039" s="24" t="str">
        <x:v>-7.25 a +6.00</x:v>
      </x:c>
      <x:c r="N2039" s="24" t="str">
        <x:v>-6.00</x:v>
      </x:c>
      <x:c r="O2039" s="24" t="str">
        <x:v>0.75 a 3.50</x:v>
      </x:c>
      <x:c r="P2039" s="24" t="str">
        <x:v>75</x:v>
      </x:c>
      <x:c r="Q2039" s="24"/>
      <x:c r="R2039" s="24"/>
      <x:c r="S2039" s="26" t="n">
        <x:v>46113</x:v>
      </x:c>
      <x:c r="T2039" s="26"/>
      <x:c r="U2039" s="24" t="str">
        <x:v>ATIVA/SEM FIM INFORMADO</x:v>
      </x:c>
      <x:c r="V2039" s="24" t="str">
        <x:v>Programa de Parcerias ZEISS — categoria Experts</x:v>
      </x:c>
      <x:c r="W2039" s="24" t="n">
        <x:v>33</x:v>
      </x:c>
      <x:c r="X2039" s="24" t="str">
        <x:v>tabela_zeiss.pdf</x:v>
      </x:c>
      <x:c r="Y2039" s="24" t="str">
        <x:v>alta</x:v>
      </x:c>
      <x:c r="Z2039" s="24"/>
      <x:c r="AA2039" s="24" t="str">
        <x:v>ZEISS|Progressiva|Surfaçada|ClearMind Superb||1.6|1.60|DuraVision Platinum UV|-7.25 a +6.00|-6.00|0.75 a 3.50|75|||33</x:v>
      </x:c>
    </x:row>
    <x:row r="2040">
      <x:c r="A2040" s="24" t="str">
        <x:v>ZS-2DB8D64CCCFB</x:v>
      </x:c>
      <x:c r="B2040" s="24" t="str">
        <x:v>SIM</x:v>
      </x:c>
      <x:c r="C2040" s="24" t="str">
        <x:v>DISPONÍVEL</x:v>
      </x:c>
      <x:c r="D2040" s="24" t="str">
        <x:v>ZEISS</x:v>
      </x:c>
      <x:c r="E2040" s="24" t="str">
        <x:v>Progressiva</x:v>
      </x:c>
      <x:c r="F2040" s="24" t="str">
        <x:v>Surfaçada</x:v>
      </x:c>
      <x:c r="G2040" s="24" t="str">
        <x:v>ClearMind Superb</x:v>
      </x:c>
      <x:c r="H2040" s="24"/>
      <x:c r="I2040" s="24" t="str">
        <x:v>1.6</x:v>
      </x:c>
      <x:c r="J2040" s="24" t="str">
        <x:v>1.60</x:v>
      </x:c>
      <x:c r="K2040" s="24" t="str">
        <x:v>DuraVision Silver UV</x:v>
      </x:c>
      <x:c r="L2040" s="40" t="n">
        <x:v>8909</x:v>
      </x:c>
      <x:c r="M2040" s="24" t="str">
        <x:v>-7.25 a +6.00</x:v>
      </x:c>
      <x:c r="N2040" s="24" t="str">
        <x:v>-6.00</x:v>
      </x:c>
      <x:c r="O2040" s="24" t="str">
        <x:v>0.75 a 3.50</x:v>
      </x:c>
      <x:c r="P2040" s="24" t="str">
        <x:v>75</x:v>
      </x:c>
      <x:c r="Q2040" s="24"/>
      <x:c r="R2040" s="24"/>
      <x:c r="S2040" s="26" t="n">
        <x:v>46113</x:v>
      </x:c>
      <x:c r="T2040" s="26"/>
      <x:c r="U2040" s="24" t="str">
        <x:v>ATIVA/SEM FIM INFORMADO</x:v>
      </x:c>
      <x:c r="V2040" s="24" t="str">
        <x:v>Programa de Parcerias ZEISS — categoria Experts</x:v>
      </x:c>
      <x:c r="W2040" s="24" t="n">
        <x:v>33</x:v>
      </x:c>
      <x:c r="X2040" s="24" t="str">
        <x:v>tabela_zeiss.pdf</x:v>
      </x:c>
      <x:c r="Y2040" s="24" t="str">
        <x:v>alta</x:v>
      </x:c>
      <x:c r="Z2040" s="24"/>
      <x:c r="AA2040" s="24" t="str">
        <x:v>ZEISS|Progressiva|Surfaçada|ClearMind Superb||1.6|1.60|DuraVision Silver UV|-7.25 a +6.00|-6.00|0.75 a 3.50|75|||33</x:v>
      </x:c>
    </x:row>
    <x:row r="2041">
      <x:c r="A2041" s="24" t="str">
        <x:v>ZS-36A026D1892F</x:v>
      </x:c>
      <x:c r="B2041" s="24" t="str">
        <x:v>SIM</x:v>
      </x:c>
      <x:c r="C2041" s="24" t="str">
        <x:v>DISPONÍVEL</x:v>
      </x:c>
      <x:c r="D2041" s="24" t="str">
        <x:v>ZEISS</x:v>
      </x:c>
      <x:c r="E2041" s="24" t="str">
        <x:v>Progressiva</x:v>
      </x:c>
      <x:c r="F2041" s="24" t="str">
        <x:v>Surfaçada</x:v>
      </x:c>
      <x:c r="G2041" s="24" t="str">
        <x:v>ClearMind Superb</x:v>
      </x:c>
      <x:c r="H2041" s="24"/>
      <x:c r="I2041" s="24" t="str">
        <x:v>1.6</x:v>
      </x:c>
      <x:c r="J2041" s="24" t="str">
        <x:v>1.60</x:v>
      </x:c>
      <x:c r="K2041" s="24" t="str">
        <x:v>DuraVision Chrome UV</x:v>
      </x:c>
      <x:c r="L2041" s="40" t="n">
        <x:v>8419</x:v>
      </x:c>
      <x:c r="M2041" s="24" t="str">
        <x:v>-7.25 a +6.00</x:v>
      </x:c>
      <x:c r="N2041" s="24" t="str">
        <x:v>-6.00</x:v>
      </x:c>
      <x:c r="O2041" s="24" t="str">
        <x:v>0.75 a 3.50</x:v>
      </x:c>
      <x:c r="P2041" s="24" t="str">
        <x:v>75</x:v>
      </x:c>
      <x:c r="Q2041" s="24"/>
      <x:c r="R2041" s="24"/>
      <x:c r="S2041" s="26" t="n">
        <x:v>46113</x:v>
      </x:c>
      <x:c r="T2041" s="26"/>
      <x:c r="U2041" s="24" t="str">
        <x:v>ATIVA/SEM FIM INFORMADO</x:v>
      </x:c>
      <x:c r="V2041" s="24" t="str">
        <x:v>Programa de Parcerias ZEISS — categoria Experts</x:v>
      </x:c>
      <x:c r="W2041" s="24" t="n">
        <x:v>33</x:v>
      </x:c>
      <x:c r="X2041" s="24" t="str">
        <x:v>tabela_zeiss.pdf</x:v>
      </x:c>
      <x:c r="Y2041" s="24" t="str">
        <x:v>alta</x:v>
      </x:c>
      <x:c r="Z2041" s="24"/>
      <x:c r="AA2041" s="24" t="str">
        <x:v>ZEISS|Progressiva|Surfaçada|ClearMind Superb||1.6|1.60|DuraVision Chrome UV|-7.25 a +6.00|-6.00|0.75 a 3.50|75|||33</x:v>
      </x:c>
    </x:row>
    <x:row r="2042">
      <x:c r="A2042" s="24" t="str">
        <x:v>ZS-0189DB6E3529</x:v>
      </x:c>
      <x:c r="B2042" s="24" t="str">
        <x:v>SIM</x:v>
      </x:c>
      <x:c r="C2042" s="24" t="str">
        <x:v>DISPONÍVEL</x:v>
      </x:c>
      <x:c r="D2042" s="24" t="str">
        <x:v>ZEISS</x:v>
      </x:c>
      <x:c r="E2042" s="24" t="str">
        <x:v>Progressiva</x:v>
      </x:c>
      <x:c r="F2042" s="24" t="str">
        <x:v>Surfaçada</x:v>
      </x:c>
      <x:c r="G2042" s="24" t="str">
        <x:v>ClearMind Superb</x:v>
      </x:c>
      <x:c r="H2042" s="24"/>
      <x:c r="I2042" s="24" t="str">
        <x:v>1.67</x:v>
      </x:c>
      <x:c r="J2042" s="24" t="str">
        <x:v>1.67</x:v>
      </x:c>
      <x:c r="K2042" s="24" t="str">
        <x:v>DuraVision Gold UV</x:v>
      </x:c>
      <x:c r="L2042" s="40" t="n">
        <x:v>10949</x:v>
      </x:c>
      <x:c r="M2042" s="24" t="str">
        <x:v>-8.00 a +8.00</x:v>
      </x:c>
      <x:c r="N2042" s="24" t="str">
        <x:v>-6.00</x:v>
      </x:c>
      <x:c r="O2042" s="24" t="str">
        <x:v>0.75 a 3.00</x:v>
      </x:c>
      <x:c r="P2042" s="24" t="str">
        <x:v>70</x:v>
      </x:c>
      <x:c r="Q2042" s="24"/>
      <x:c r="R2042" s="24"/>
      <x:c r="S2042" s="26" t="n">
        <x:v>46113</x:v>
      </x:c>
      <x:c r="T2042" s="26"/>
      <x:c r="U2042" s="24" t="str">
        <x:v>ATIVA/SEM FIM INFORMADO</x:v>
      </x:c>
      <x:c r="V2042" s="24" t="str">
        <x:v>Programa de Parcerias ZEISS — categoria Experts</x:v>
      </x:c>
      <x:c r="W2042" s="24" t="n">
        <x:v>33</x:v>
      </x:c>
      <x:c r="X2042" s="24" t="str">
        <x:v>tabela_zeiss.pdf</x:v>
      </x:c>
      <x:c r="Y2042" s="24" t="str">
        <x:v>alta</x:v>
      </x:c>
      <x:c r="Z2042" s="24"/>
      <x:c r="AA2042" s="24" t="str">
        <x:v>ZEISS|Progressiva|Surfaçada|ClearMind Superb||1.67|1.67|DuraVision Gold UV|-8.00 a +8.00|-6.00|0.75 a 3.00|70|||33</x:v>
      </x:c>
    </x:row>
    <x:row r="2043">
      <x:c r="A2043" s="24" t="str">
        <x:v>ZS-5AEB3CE608C7</x:v>
      </x:c>
      <x:c r="B2043" s="24" t="str">
        <x:v>SIM</x:v>
      </x:c>
      <x:c r="C2043" s="24" t="str">
        <x:v>DISPONÍVEL</x:v>
      </x:c>
      <x:c r="D2043" s="24" t="str">
        <x:v>ZEISS</x:v>
      </x:c>
      <x:c r="E2043" s="24" t="str">
        <x:v>Progressiva</x:v>
      </x:c>
      <x:c r="F2043" s="24" t="str">
        <x:v>Surfaçada</x:v>
      </x:c>
      <x:c r="G2043" s="24" t="str">
        <x:v>ClearMind Superb</x:v>
      </x:c>
      <x:c r="H2043" s="24"/>
      <x:c r="I2043" s="24" t="str">
        <x:v>1.67</x:v>
      </x:c>
      <x:c r="J2043" s="24" t="str">
        <x:v>1.67</x:v>
      </x:c>
      <x:c r="K2043" s="24" t="str">
        <x:v>DURAVISION® ANTIVÍRUS PLATINUM UV</x:v>
      </x:c>
      <x:c r="L2043" s="40" t="n">
        <x:v>10809</x:v>
      </x:c>
      <x:c r="M2043" s="24" t="str">
        <x:v>-8.00 a +8.00</x:v>
      </x:c>
      <x:c r="N2043" s="24" t="str">
        <x:v>-6.00</x:v>
      </x:c>
      <x:c r="O2043" s="24" t="str">
        <x:v>0.75 a 3.00</x:v>
      </x:c>
      <x:c r="P2043" s="24" t="str">
        <x:v>70</x:v>
      </x:c>
      <x:c r="Q2043" s="24"/>
      <x:c r="R2043" s="24"/>
      <x:c r="S2043" s="26" t="n">
        <x:v>46113</x:v>
      </x:c>
      <x:c r="T2043" s="26"/>
      <x:c r="U2043" s="24" t="str">
        <x:v>ATIVA/SEM FIM INFORMADO</x:v>
      </x:c>
      <x:c r="V2043" s="24" t="str">
        <x:v>Programa de Parcerias ZEISS — categoria Experts</x:v>
      </x:c>
      <x:c r="W2043" s="24" t="n">
        <x:v>33</x:v>
      </x:c>
      <x:c r="X2043" s="24" t="str">
        <x:v>tabela_zeiss.pdf</x:v>
      </x:c>
      <x:c r="Y2043" s="24" t="str">
        <x:v>alta</x:v>
      </x:c>
      <x:c r="Z2043" s="24"/>
      <x:c r="AA2043" s="24" t="str">
        <x:v>ZEISS|Progressiva|Surfaçada|ClearMind Superb||1.67|1.67|DURAVISION® ANTIVÍRUS PLATINUM UV|-8.00 a +8.00|-6.00|0.75 a 3.00|70|||33</x:v>
      </x:c>
    </x:row>
    <x:row r="2044">
      <x:c r="A2044" s="24" t="str">
        <x:v>ZS-C9AA6CD1BF0D</x:v>
      </x:c>
      <x:c r="B2044" s="24" t="str">
        <x:v>SIM</x:v>
      </x:c>
      <x:c r="C2044" s="24" t="str">
        <x:v>DISPONÍVEL</x:v>
      </x:c>
      <x:c r="D2044" s="24" t="str">
        <x:v>ZEISS</x:v>
      </x:c>
      <x:c r="E2044" s="24" t="str">
        <x:v>Progressiva</x:v>
      </x:c>
      <x:c r="F2044" s="24" t="str">
        <x:v>Surfaçada</x:v>
      </x:c>
      <x:c r="G2044" s="24" t="str">
        <x:v>ClearMind Superb</x:v>
      </x:c>
      <x:c r="H2044" s="24"/>
      <x:c r="I2044" s="24" t="str">
        <x:v>1.67</x:v>
      </x:c>
      <x:c r="J2044" s="24" t="str">
        <x:v>1.67</x:v>
      </x:c>
      <x:c r="K2044" s="24" t="str">
        <x:v>DuraVision Platinum UV</x:v>
      </x:c>
      <x:c r="L2044" s="40" t="n">
        <x:v>10809</x:v>
      </x:c>
      <x:c r="M2044" s="24" t="str">
        <x:v>-8.00 a +8.00</x:v>
      </x:c>
      <x:c r="N2044" s="24" t="str">
        <x:v>-6.00</x:v>
      </x:c>
      <x:c r="O2044" s="24" t="str">
        <x:v>0.75 a 3.00</x:v>
      </x:c>
      <x:c r="P2044" s="24" t="str">
        <x:v>70</x:v>
      </x:c>
      <x:c r="Q2044" s="24"/>
      <x:c r="R2044" s="24"/>
      <x:c r="S2044" s="26" t="n">
        <x:v>46113</x:v>
      </x:c>
      <x:c r="T2044" s="26"/>
      <x:c r="U2044" s="24" t="str">
        <x:v>ATIVA/SEM FIM INFORMADO</x:v>
      </x:c>
      <x:c r="V2044" s="24" t="str">
        <x:v>Programa de Parcerias ZEISS — categoria Experts</x:v>
      </x:c>
      <x:c r="W2044" s="24" t="n">
        <x:v>33</x:v>
      </x:c>
      <x:c r="X2044" s="24" t="str">
        <x:v>tabela_zeiss.pdf</x:v>
      </x:c>
      <x:c r="Y2044" s="24" t="str">
        <x:v>alta</x:v>
      </x:c>
      <x:c r="Z2044" s="24"/>
      <x:c r="AA2044" s="24" t="str">
        <x:v>ZEISS|Progressiva|Surfaçada|ClearMind Superb||1.67|1.67|DuraVision Platinum UV|-8.00 a +8.00|-6.00|0.75 a 3.00|70|||33</x:v>
      </x:c>
    </x:row>
    <x:row r="2045">
      <x:c r="A2045" s="24" t="str">
        <x:v>ZS-05A6DEC2563C</x:v>
      </x:c>
      <x:c r="B2045" s="24" t="str">
        <x:v>SIM</x:v>
      </x:c>
      <x:c r="C2045" s="24" t="str">
        <x:v>DISPONÍVEL</x:v>
      </x:c>
      <x:c r="D2045" s="24" t="str">
        <x:v>ZEISS</x:v>
      </x:c>
      <x:c r="E2045" s="24" t="str">
        <x:v>Progressiva</x:v>
      </x:c>
      <x:c r="F2045" s="24" t="str">
        <x:v>Surfaçada</x:v>
      </x:c>
      <x:c r="G2045" s="24" t="str">
        <x:v>ClearMind Superb</x:v>
      </x:c>
      <x:c r="H2045" s="24"/>
      <x:c r="I2045" s="24" t="str">
        <x:v>1.67</x:v>
      </x:c>
      <x:c r="J2045" s="24" t="str">
        <x:v>1.67</x:v>
      </x:c>
      <x:c r="K2045" s="24" t="str">
        <x:v>DuraVision Silver UV</x:v>
      </x:c>
      <x:c r="L2045" s="40" t="n">
        <x:v>10549</x:v>
      </x:c>
      <x:c r="M2045" s="24" t="str">
        <x:v>-8.00 a +8.00</x:v>
      </x:c>
      <x:c r="N2045" s="24" t="str">
        <x:v>-6.00</x:v>
      </x:c>
      <x:c r="O2045" s="24" t="str">
        <x:v>0.75 a 3.00</x:v>
      </x:c>
      <x:c r="P2045" s="24" t="str">
        <x:v>70</x:v>
      </x:c>
      <x:c r="Q2045" s="24"/>
      <x:c r="R2045" s="24"/>
      <x:c r="S2045" s="26" t="n">
        <x:v>46113</x:v>
      </x:c>
      <x:c r="T2045" s="26"/>
      <x:c r="U2045" s="24" t="str">
        <x:v>ATIVA/SEM FIM INFORMADO</x:v>
      </x:c>
      <x:c r="V2045" s="24" t="str">
        <x:v>Programa de Parcerias ZEISS — categoria Experts</x:v>
      </x:c>
      <x:c r="W2045" s="24" t="n">
        <x:v>33</x:v>
      </x:c>
      <x:c r="X2045" s="24" t="str">
        <x:v>tabela_zeiss.pdf</x:v>
      </x:c>
      <x:c r="Y2045" s="24" t="str">
        <x:v>alta</x:v>
      </x:c>
      <x:c r="Z2045" s="24"/>
      <x:c r="AA2045" s="24" t="str">
        <x:v>ZEISS|Progressiva|Surfaçada|ClearMind Superb||1.67|1.67|DuraVision Silver UV|-8.00 a +8.00|-6.00|0.75 a 3.00|70|||33</x:v>
      </x:c>
    </x:row>
    <x:row r="2046">
      <x:c r="A2046" s="24" t="str">
        <x:v>ZS-16B037B8795F</x:v>
      </x:c>
      <x:c r="B2046" s="24" t="str">
        <x:v>SIM</x:v>
      </x:c>
      <x:c r="C2046" s="24" t="str">
        <x:v>DISPONÍVEL</x:v>
      </x:c>
      <x:c r="D2046" s="24" t="str">
        <x:v>ZEISS</x:v>
      </x:c>
      <x:c r="E2046" s="24" t="str">
        <x:v>Progressiva</x:v>
      </x:c>
      <x:c r="F2046" s="24" t="str">
        <x:v>Surfaçada</x:v>
      </x:c>
      <x:c r="G2046" s="24" t="str">
        <x:v>ClearMind Superb</x:v>
      </x:c>
      <x:c r="H2046" s="24"/>
      <x:c r="I2046" s="24" t="str">
        <x:v>1.67</x:v>
      </x:c>
      <x:c r="J2046" s="24" t="str">
        <x:v>1.67</x:v>
      </x:c>
      <x:c r="K2046" s="24" t="str">
        <x:v>DuraVision Chrome UV</x:v>
      </x:c>
      <x:c r="L2046" s="40" t="n">
        <x:v>10059</x:v>
      </x:c>
      <x:c r="M2046" s="24" t="str">
        <x:v>-8.00 a +8.00</x:v>
      </x:c>
      <x:c r="N2046" s="24" t="str">
        <x:v>-6.00</x:v>
      </x:c>
      <x:c r="O2046" s="24" t="str">
        <x:v>0.75 a 3.00</x:v>
      </x:c>
      <x:c r="P2046" s="24" t="str">
        <x:v>70</x:v>
      </x:c>
      <x:c r="Q2046" s="24"/>
      <x:c r="R2046" s="24"/>
      <x:c r="S2046" s="26" t="n">
        <x:v>46113</x:v>
      </x:c>
      <x:c r="T2046" s="26"/>
      <x:c r="U2046" s="24" t="str">
        <x:v>ATIVA/SEM FIM INFORMADO</x:v>
      </x:c>
      <x:c r="V2046" s="24" t="str">
        <x:v>Programa de Parcerias ZEISS — categoria Experts</x:v>
      </x:c>
      <x:c r="W2046" s="24" t="n">
        <x:v>33</x:v>
      </x:c>
      <x:c r="X2046" s="24" t="str">
        <x:v>tabela_zeiss.pdf</x:v>
      </x:c>
      <x:c r="Y2046" s="24" t="str">
        <x:v>alta</x:v>
      </x:c>
      <x:c r="Z2046" s="24"/>
      <x:c r="AA2046" s="24" t="str">
        <x:v>ZEISS|Progressiva|Surfaçada|ClearMind Superb||1.67|1.67|DuraVision Chrome UV|-8.00 a +8.00|-6.00|0.75 a 3.00|70|||33</x:v>
      </x:c>
    </x:row>
    <x:row r="2047">
      <x:c r="A2047" s="24" t="str">
        <x:v>ZS-5B9D5A1E392E</x:v>
      </x:c>
      <x:c r="B2047" s="24" t="str">
        <x:v>SIM</x:v>
      </x:c>
      <x:c r="C2047" s="24" t="str">
        <x:v>DISPONÍVEL</x:v>
      </x:c>
      <x:c r="D2047" s="24" t="str">
        <x:v>ZEISS</x:v>
      </x:c>
      <x:c r="E2047" s="24" t="str">
        <x:v>Progressiva</x:v>
      </x:c>
      <x:c r="F2047" s="24" t="str">
        <x:v>Surfaçada</x:v>
      </x:c>
      <x:c r="G2047" s="24" t="str">
        <x:v>ClearMind Superb</x:v>
      </x:c>
      <x:c r="H2047" s="24"/>
      <x:c r="I2047" s="24" t="str">
        <x:v>1.74</x:v>
      </x:c>
      <x:c r="J2047" s="24" t="str">
        <x:v>1.74</x:v>
      </x:c>
      <x:c r="K2047" s="24" t="str">
        <x:v>DuraVision Gold UV</x:v>
      </x:c>
      <x:c r="L2047" s="40" t="n">
        <x:v>12549</x:v>
      </x:c>
      <x:c r="M2047" s="24" t="str">
        <x:v>-10.00 a +7.00</x:v>
      </x:c>
      <x:c r="N2047" s="24" t="str">
        <x:v>-4.00</x:v>
      </x:c>
      <x:c r="O2047" s="24" t="str">
        <x:v>0.75 a 3.50</x:v>
      </x:c>
      <x:c r="P2047" s="24" t="str">
        <x:v>70 a 75</x:v>
      </x:c>
      <x:c r="Q2047" s="24"/>
      <x:c r="R2047" s="24"/>
      <x:c r="S2047" s="26" t="n">
        <x:v>46113</x:v>
      </x:c>
      <x:c r="T2047" s="26"/>
      <x:c r="U2047" s="24" t="str">
        <x:v>ATIVA/SEM FIM INFORMADO</x:v>
      </x:c>
      <x:c r="V2047" s="24" t="str">
        <x:v>Programa de Parcerias ZEISS — categoria Experts</x:v>
      </x:c>
      <x:c r="W2047" s="24" t="n">
        <x:v>33</x:v>
      </x:c>
      <x:c r="X2047" s="24" t="str">
        <x:v>tabela_zeiss.pdf</x:v>
      </x:c>
      <x:c r="Y2047" s="24" t="str">
        <x:v>alta</x:v>
      </x:c>
      <x:c r="Z2047" s="24"/>
      <x:c r="AA2047" s="24" t="str">
        <x:v>ZEISS|Progressiva|Surfaçada|ClearMind Superb||1.74|1.74|DuraVision Gold UV|-10.00 a +7.00|-4.00|0.75 a 3.50|70 a 75|||33</x:v>
      </x:c>
    </x:row>
    <x:row r="2048">
      <x:c r="A2048" s="24" t="str">
        <x:v>ZS-2D118F14BEC8</x:v>
      </x:c>
      <x:c r="B2048" s="24" t="str">
        <x:v>SIM</x:v>
      </x:c>
      <x:c r="C2048" s="24" t="str">
        <x:v>DISPONÍVEL</x:v>
      </x:c>
      <x:c r="D2048" s="24" t="str">
        <x:v>ZEISS</x:v>
      </x:c>
      <x:c r="E2048" s="24" t="str">
        <x:v>Progressiva</x:v>
      </x:c>
      <x:c r="F2048" s="24" t="str">
        <x:v>Surfaçada</x:v>
      </x:c>
      <x:c r="G2048" s="24" t="str">
        <x:v>ClearMind Superb</x:v>
      </x:c>
      <x:c r="H2048" s="24"/>
      <x:c r="I2048" s="24" t="str">
        <x:v>1.74</x:v>
      </x:c>
      <x:c r="J2048" s="24" t="str">
        <x:v>1.74</x:v>
      </x:c>
      <x:c r="K2048" s="24" t="str">
        <x:v>DuraVision Platinum UV</x:v>
      </x:c>
      <x:c r="L2048" s="40" t="n">
        <x:v>12409</x:v>
      </x:c>
      <x:c r="M2048" s="24" t="str">
        <x:v>-10.00 a +7.00</x:v>
      </x:c>
      <x:c r="N2048" s="24" t="str">
        <x:v>-4.00</x:v>
      </x:c>
      <x:c r="O2048" s="24" t="str">
        <x:v>0.75 a 3.50</x:v>
      </x:c>
      <x:c r="P2048" s="24" t="str">
        <x:v>70 a 75</x:v>
      </x:c>
      <x:c r="Q2048" s="24"/>
      <x:c r="R2048" s="24"/>
      <x:c r="S2048" s="26" t="n">
        <x:v>46113</x:v>
      </x:c>
      <x:c r="T2048" s="26"/>
      <x:c r="U2048" s="24" t="str">
        <x:v>ATIVA/SEM FIM INFORMADO</x:v>
      </x:c>
      <x:c r="V2048" s="24" t="str">
        <x:v>Programa de Parcerias ZEISS — categoria Experts</x:v>
      </x:c>
      <x:c r="W2048" s="24" t="n">
        <x:v>33</x:v>
      </x:c>
      <x:c r="X2048" s="24" t="str">
        <x:v>tabela_zeiss.pdf</x:v>
      </x:c>
      <x:c r="Y2048" s="24" t="str">
        <x:v>alta</x:v>
      </x:c>
      <x:c r="Z2048" s="24"/>
      <x:c r="AA2048" s="24" t="str">
        <x:v>ZEISS|Progressiva|Surfaçada|ClearMind Superb||1.74|1.74|DuraVision Platinum UV|-10.00 a +7.00|-4.00|0.75 a 3.50|70 a 75|||33</x:v>
      </x:c>
    </x:row>
    <x:row r="2049">
      <x:c r="A2049" s="24" t="str">
        <x:v>ZS-D9BC819A8E91</x:v>
      </x:c>
      <x:c r="B2049" s="24" t="str">
        <x:v>SIM</x:v>
      </x:c>
      <x:c r="C2049" s="24" t="str">
        <x:v>DISPONÍVEL</x:v>
      </x:c>
      <x:c r="D2049" s="24" t="str">
        <x:v>ZEISS</x:v>
      </x:c>
      <x:c r="E2049" s="24" t="str">
        <x:v>Progressiva</x:v>
      </x:c>
      <x:c r="F2049" s="24" t="str">
        <x:v>Surfaçada</x:v>
      </x:c>
      <x:c r="G2049" s="24" t="str">
        <x:v>ClearMind Superb</x:v>
      </x:c>
      <x:c r="H2049" s="24"/>
      <x:c r="I2049" s="24" t="str">
        <x:v>1.74</x:v>
      </x:c>
      <x:c r="J2049" s="24" t="str">
        <x:v>1.74</x:v>
      </x:c>
      <x:c r="K2049" s="24" t="str">
        <x:v>DuraVision Silver UV</x:v>
      </x:c>
      <x:c r="L2049" s="40" t="n">
        <x:v>12149</x:v>
      </x:c>
      <x:c r="M2049" s="24" t="str">
        <x:v>-10.00 a +7.00</x:v>
      </x:c>
      <x:c r="N2049" s="24" t="str">
        <x:v>-4.00</x:v>
      </x:c>
      <x:c r="O2049" s="24" t="str">
        <x:v>0.75 a 3.50</x:v>
      </x:c>
      <x:c r="P2049" s="24" t="str">
        <x:v>70 a 75</x:v>
      </x:c>
      <x:c r="Q2049" s="24"/>
      <x:c r="R2049" s="24"/>
      <x:c r="S2049" s="26" t="n">
        <x:v>46113</x:v>
      </x:c>
      <x:c r="T2049" s="26"/>
      <x:c r="U2049" s="24" t="str">
        <x:v>ATIVA/SEM FIM INFORMADO</x:v>
      </x:c>
      <x:c r="V2049" s="24" t="str">
        <x:v>Programa de Parcerias ZEISS — categoria Experts</x:v>
      </x:c>
      <x:c r="W2049" s="24" t="n">
        <x:v>33</x:v>
      </x:c>
      <x:c r="X2049" s="24" t="str">
        <x:v>tabela_zeiss.pdf</x:v>
      </x:c>
      <x:c r="Y2049" s="24" t="str">
        <x:v>alta</x:v>
      </x:c>
      <x:c r="Z2049" s="24"/>
      <x:c r="AA2049" s="24" t="str">
        <x:v>ZEISS|Progressiva|Surfaçada|ClearMind Superb||1.74|1.74|DuraVision Silver UV|-10.00 a +7.00|-4.00|0.75 a 3.50|70 a 75|||33</x:v>
      </x:c>
    </x:row>
    <x:row r="2050">
      <x:c r="A2050" s="24" t="str">
        <x:v>ZS-64A4F1905608</x:v>
      </x:c>
      <x:c r="B2050" s="24" t="str">
        <x:v>SIM</x:v>
      </x:c>
      <x:c r="C2050" s="24" t="str">
        <x:v>DISPONÍVEL</x:v>
      </x:c>
      <x:c r="D2050" s="24" t="str">
        <x:v>ZEISS</x:v>
      </x:c>
      <x:c r="E2050" s="24" t="str">
        <x:v>Progressiva</x:v>
      </x:c>
      <x:c r="F2050" s="24" t="str">
        <x:v>Surfaçada</x:v>
      </x:c>
      <x:c r="G2050" s="24" t="str">
        <x:v>ClearMind Superb</x:v>
      </x:c>
      <x:c r="H2050" s="24"/>
      <x:c r="I2050" s="24" t="str">
        <x:v>1.74</x:v>
      </x:c>
      <x:c r="J2050" s="24" t="str">
        <x:v>1.74</x:v>
      </x:c>
      <x:c r="K2050" s="24" t="str">
        <x:v>DuraVision Chrome UV</x:v>
      </x:c>
      <x:c r="L2050" s="40" t="n">
        <x:v>11659</x:v>
      </x:c>
      <x:c r="M2050" s="24" t="str">
        <x:v>-10.00 a +7.00</x:v>
      </x:c>
      <x:c r="N2050" s="24" t="str">
        <x:v>-4.00</x:v>
      </x:c>
      <x:c r="O2050" s="24" t="str">
        <x:v>0.75 a 3.50</x:v>
      </x:c>
      <x:c r="P2050" s="24" t="str">
        <x:v>70 a 75</x:v>
      </x:c>
      <x:c r="Q2050" s="24"/>
      <x:c r="R2050" s="24"/>
      <x:c r="S2050" s="26" t="n">
        <x:v>46113</x:v>
      </x:c>
      <x:c r="T2050" s="26"/>
      <x:c r="U2050" s="24" t="str">
        <x:v>ATIVA/SEM FIM INFORMADO</x:v>
      </x:c>
      <x:c r="V2050" s="24" t="str">
        <x:v>Programa de Parcerias ZEISS — categoria Experts</x:v>
      </x:c>
      <x:c r="W2050" s="24" t="n">
        <x:v>33</x:v>
      </x:c>
      <x:c r="X2050" s="24" t="str">
        <x:v>tabela_zeiss.pdf</x:v>
      </x:c>
      <x:c r="Y2050" s="24" t="str">
        <x:v>alta</x:v>
      </x:c>
      <x:c r="Z2050" s="24"/>
      <x:c r="AA2050" s="24" t="str">
        <x:v>ZEISS|Progressiva|Surfaçada|ClearMind Superb||1.74|1.74|DuraVision Chrome UV|-10.00 a +7.00|-4.00|0.75 a 3.50|70 a 75|||33</x:v>
      </x:c>
    </x:row>
    <x:row r="2051">
      <x:c r="A2051" s="24" t="str">
        <x:v>ZS-92AE9C284F25</x:v>
      </x:c>
      <x:c r="B2051" s="24" t="str">
        <x:v>SIM</x:v>
      </x:c>
      <x:c r="C2051" s="24" t="str">
        <x:v>DISPONÍVEL</x:v>
      </x:c>
      <x:c r="D2051" s="24" t="str">
        <x:v>ZEISS</x:v>
      </x:c>
      <x:c r="E2051" s="24" t="str">
        <x:v>Progressiva</x:v>
      </x:c>
      <x:c r="F2051" s="24" t="str">
        <x:v>Surfaçada</x:v>
      </x:c>
      <x:c r="G2051" s="24" t="str">
        <x:v>ClearMind Superb</x:v>
      </x:c>
      <x:c r="H2051" s="24" t="str">
        <x:v>PhotoFusion X</x:v>
      </x:c>
      <x:c r="I2051" s="24" t="str">
        <x:v>1.5</x:v>
      </x:c>
      <x:c r="J2051" s="24" t="str">
        <x:v>1.50</x:v>
      </x:c>
      <x:c r="K2051" s="24" t="str">
        <x:v>DuraVision Gold UV</x:v>
      </x:c>
      <x:c r="L2051" s="40" t="n">
        <x:v>9479</x:v>
      </x:c>
      <x:c r="M2051" s="24" t="str">
        <x:v>-6.00 a +5.50</x:v>
      </x:c>
      <x:c r="N2051" s="24" t="str">
        <x:v>-4.00</x:v>
      </x:c>
      <x:c r="O2051" s="24" t="str">
        <x:v>0.75 a 3.00</x:v>
      </x:c>
      <x:c r="P2051" s="24" t="str">
        <x:v>75</x:v>
      </x:c>
      <x:c r="Q2051" s="24"/>
      <x:c r="R2051" s="24"/>
      <x:c r="S2051" s="26" t="n">
        <x:v>46113</x:v>
      </x:c>
      <x:c r="T2051" s="26"/>
      <x:c r="U2051" s="24" t="str">
        <x:v>ATIVA/SEM FIM INFORMADO</x:v>
      </x:c>
      <x:c r="V2051" s="24" t="str">
        <x:v>Programa de Parcerias ZEISS — categoria Experts; Programa de Parcerias ZEISS</x:v>
      </x:c>
      <x:c r="W2051" s="24" t="n">
        <x:v>33</x:v>
      </x:c>
      <x:c r="X2051" s="24" t="str">
        <x:v>tabela_zeiss.pdf</x:v>
      </x:c>
      <x:c r="Y2051" s="24" t="str">
        <x:v>alta</x:v>
      </x:c>
      <x:c r="Z2051" s="24"/>
      <x:c r="AA2051" s="24" t="str">
        <x:v>ZEISS|Progressiva|Surfaçada|ClearMind Superb|PhotoFusion X|1.5|1.50|DuraVision Gold UV|-6.00 a +5.50|-4.00|0.75 a 3.00|75|||33</x:v>
      </x:c>
    </x:row>
    <x:row r="2052">
      <x:c r="A2052" s="24" t="str">
        <x:v>ZS-FBB0D49E12B5</x:v>
      </x:c>
      <x:c r="B2052" s="24" t="str">
        <x:v>SIM</x:v>
      </x:c>
      <x:c r="C2052" s="24" t="str">
        <x:v>DISPONÍVEL</x:v>
      </x:c>
      <x:c r="D2052" s="24" t="str">
        <x:v>ZEISS</x:v>
      </x:c>
      <x:c r="E2052" s="24" t="str">
        <x:v>Progressiva</x:v>
      </x:c>
      <x:c r="F2052" s="24" t="str">
        <x:v>Surfaçada</x:v>
      </x:c>
      <x:c r="G2052" s="24" t="str">
        <x:v>ClearMind Superb</x:v>
      </x:c>
      <x:c r="H2052" s="24" t="str">
        <x:v>PhotoFusion X</x:v>
      </x:c>
      <x:c r="I2052" s="24" t="str">
        <x:v>1.5</x:v>
      </x:c>
      <x:c r="J2052" s="24" t="str">
        <x:v>1.50</x:v>
      </x:c>
      <x:c r="K2052" s="24" t="str">
        <x:v>DURAVISION® ANTIVÍRUS PLATINUM UV</x:v>
      </x:c>
      <x:c r="L2052" s="40" t="n">
        <x:v>9339</x:v>
      </x:c>
      <x:c r="M2052" s="24" t="str">
        <x:v>-6.00 a +5.50</x:v>
      </x:c>
      <x:c r="N2052" s="24" t="str">
        <x:v>-4.00</x:v>
      </x:c>
      <x:c r="O2052" s="24" t="str">
        <x:v>0.75 a 3.00</x:v>
      </x:c>
      <x:c r="P2052" s="24" t="str">
        <x:v>75</x:v>
      </x:c>
      <x:c r="Q2052" s="24"/>
      <x:c r="R2052" s="24"/>
      <x:c r="S2052" s="26" t="n">
        <x:v>46113</x:v>
      </x:c>
      <x:c r="T2052" s="26"/>
      <x:c r="U2052" s="24" t="str">
        <x:v>ATIVA/SEM FIM INFORMADO</x:v>
      </x:c>
      <x:c r="V2052" s="24" t="str">
        <x:v>Programa de Parcerias ZEISS — categoria Experts; Programa de Parcerias ZEISS</x:v>
      </x:c>
      <x:c r="W2052" s="24" t="n">
        <x:v>33</x:v>
      </x:c>
      <x:c r="X2052" s="24" t="str">
        <x:v>tabela_zeiss.pdf</x:v>
      </x:c>
      <x:c r="Y2052" s="24" t="str">
        <x:v>alta</x:v>
      </x:c>
      <x:c r="Z2052" s="24"/>
      <x:c r="AA2052" s="24" t="str">
        <x:v>ZEISS|Progressiva|Surfaçada|ClearMind Superb|PhotoFusion X|1.5|1.50|DURAVISION® ANTIVÍRUS PLATINUM UV|-6.00 a +5.50|-4.00|0.75 a 3.00|75|||33</x:v>
      </x:c>
    </x:row>
    <x:row r="2053">
      <x:c r="A2053" s="24" t="str">
        <x:v>ZS-DF5527A7004B</x:v>
      </x:c>
      <x:c r="B2053" s="24" t="str">
        <x:v>SIM</x:v>
      </x:c>
      <x:c r="C2053" s="24" t="str">
        <x:v>DISPONÍVEL</x:v>
      </x:c>
      <x:c r="D2053" s="24" t="str">
        <x:v>ZEISS</x:v>
      </x:c>
      <x:c r="E2053" s="24" t="str">
        <x:v>Progressiva</x:v>
      </x:c>
      <x:c r="F2053" s="24" t="str">
        <x:v>Surfaçada</x:v>
      </x:c>
      <x:c r="G2053" s="24" t="str">
        <x:v>ClearMind Superb</x:v>
      </x:c>
      <x:c r="H2053" s="24" t="str">
        <x:v>PhotoFusion X</x:v>
      </x:c>
      <x:c r="I2053" s="24" t="str">
        <x:v>1.5</x:v>
      </x:c>
      <x:c r="J2053" s="24" t="str">
        <x:v>1.50</x:v>
      </x:c>
      <x:c r="K2053" s="24" t="str">
        <x:v>DuraVision Platinum UV</x:v>
      </x:c>
      <x:c r="L2053" s="40" t="n">
        <x:v>9339</x:v>
      </x:c>
      <x:c r="M2053" s="24" t="str">
        <x:v>-6.00 a +5.50</x:v>
      </x:c>
      <x:c r="N2053" s="24" t="str">
        <x:v>-4.00</x:v>
      </x:c>
      <x:c r="O2053" s="24" t="str">
        <x:v>0.75 a 3.00</x:v>
      </x:c>
      <x:c r="P2053" s="24" t="str">
        <x:v>75</x:v>
      </x:c>
      <x:c r="Q2053" s="24"/>
      <x:c r="R2053" s="24"/>
      <x:c r="S2053" s="26" t="n">
        <x:v>46113</x:v>
      </x:c>
      <x:c r="T2053" s="26"/>
      <x:c r="U2053" s="24" t="str">
        <x:v>ATIVA/SEM FIM INFORMADO</x:v>
      </x:c>
      <x:c r="V2053" s="24" t="str">
        <x:v>Programa de Parcerias ZEISS — categoria Experts; Programa de Parcerias ZEISS</x:v>
      </x:c>
      <x:c r="W2053" s="24" t="n">
        <x:v>33</x:v>
      </x:c>
      <x:c r="X2053" s="24" t="str">
        <x:v>tabela_zeiss.pdf</x:v>
      </x:c>
      <x:c r="Y2053" s="24" t="str">
        <x:v>alta</x:v>
      </x:c>
      <x:c r="Z2053" s="24"/>
      <x:c r="AA2053" s="24" t="str">
        <x:v>ZEISS|Progressiva|Surfaçada|ClearMind Superb|PhotoFusion X|1.5|1.50|DuraVision Platinum UV|-6.00 a +5.50|-4.00|0.75 a 3.00|75|||33</x:v>
      </x:c>
    </x:row>
    <x:row r="2054">
      <x:c r="A2054" s="24" t="str">
        <x:v>ZS-A24FE46353FD</x:v>
      </x:c>
      <x:c r="B2054" s="24" t="str">
        <x:v>SIM</x:v>
      </x:c>
      <x:c r="C2054" s="24" t="str">
        <x:v>DISPONÍVEL</x:v>
      </x:c>
      <x:c r="D2054" s="24" t="str">
        <x:v>ZEISS</x:v>
      </x:c>
      <x:c r="E2054" s="24" t="str">
        <x:v>Progressiva</x:v>
      </x:c>
      <x:c r="F2054" s="24" t="str">
        <x:v>Surfaçada</x:v>
      </x:c>
      <x:c r="G2054" s="24" t="str">
        <x:v>ClearMind Superb</x:v>
      </x:c>
      <x:c r="H2054" s="24" t="str">
        <x:v>PhotoFusion X</x:v>
      </x:c>
      <x:c r="I2054" s="24" t="str">
        <x:v>1.5</x:v>
      </x:c>
      <x:c r="J2054" s="24" t="str">
        <x:v>1.50</x:v>
      </x:c>
      <x:c r="K2054" s="24" t="str">
        <x:v>DuraVision Silver UV</x:v>
      </x:c>
      <x:c r="L2054" s="40" t="n">
        <x:v>9079</x:v>
      </x:c>
      <x:c r="M2054" s="24" t="str">
        <x:v>-6.00 a +5.50</x:v>
      </x:c>
      <x:c r="N2054" s="24" t="str">
        <x:v>-4.00</x:v>
      </x:c>
      <x:c r="O2054" s="24" t="str">
        <x:v>0.75 a 3.00</x:v>
      </x:c>
      <x:c r="P2054" s="24" t="str">
        <x:v>75</x:v>
      </x:c>
      <x:c r="Q2054" s="24"/>
      <x:c r="R2054" s="24"/>
      <x:c r="S2054" s="26" t="n">
        <x:v>46113</x:v>
      </x:c>
      <x:c r="T2054" s="26"/>
      <x:c r="U2054" s="24" t="str">
        <x:v>ATIVA/SEM FIM INFORMADO</x:v>
      </x:c>
      <x:c r="V2054" s="24" t="str">
        <x:v>Programa de Parcerias ZEISS — categoria Experts; Programa de Parcerias ZEISS</x:v>
      </x:c>
      <x:c r="W2054" s="24" t="n">
        <x:v>33</x:v>
      </x:c>
      <x:c r="X2054" s="24" t="str">
        <x:v>tabela_zeiss.pdf</x:v>
      </x:c>
      <x:c r="Y2054" s="24" t="str">
        <x:v>alta</x:v>
      </x:c>
      <x:c r="Z2054" s="24"/>
      <x:c r="AA2054" s="24" t="str">
        <x:v>ZEISS|Progressiva|Surfaçada|ClearMind Superb|PhotoFusion X|1.5|1.50|DuraVision Silver UV|-6.00 a +5.50|-4.00|0.75 a 3.00|75|||33</x:v>
      </x:c>
    </x:row>
    <x:row r="2055">
      <x:c r="A2055" s="24" t="str">
        <x:v>ZS-AAEC4FF8231E</x:v>
      </x:c>
      <x:c r="B2055" s="24" t="str">
        <x:v>SIM</x:v>
      </x:c>
      <x:c r="C2055" s="24" t="str">
        <x:v>DISPONÍVEL</x:v>
      </x:c>
      <x:c r="D2055" s="24" t="str">
        <x:v>ZEISS</x:v>
      </x:c>
      <x:c r="E2055" s="24" t="str">
        <x:v>Progressiva</x:v>
      </x:c>
      <x:c r="F2055" s="24" t="str">
        <x:v>Surfaçada</x:v>
      </x:c>
      <x:c r="G2055" s="24" t="str">
        <x:v>ClearMind Superb</x:v>
      </x:c>
      <x:c r="H2055" s="24" t="str">
        <x:v>PhotoFusion X</x:v>
      </x:c>
      <x:c r="I2055" s="24" t="str">
        <x:v>1.5</x:v>
      </x:c>
      <x:c r="J2055" s="24" t="str">
        <x:v>1.50</x:v>
      </x:c>
      <x:c r="K2055" s="24" t="str">
        <x:v>DuraVision Chrome UV</x:v>
      </x:c>
      <x:c r="L2055" s="40" t="n">
        <x:v>8589</x:v>
      </x:c>
      <x:c r="M2055" s="24" t="str">
        <x:v>-6.00 a +5.50</x:v>
      </x:c>
      <x:c r="N2055" s="24" t="str">
        <x:v>-4.00</x:v>
      </x:c>
      <x:c r="O2055" s="24" t="str">
        <x:v>0.75 a 3.00</x:v>
      </x:c>
      <x:c r="P2055" s="24" t="str">
        <x:v>75</x:v>
      </x:c>
      <x:c r="Q2055" s="24"/>
      <x:c r="R2055" s="24"/>
      <x:c r="S2055" s="26" t="n">
        <x:v>46113</x:v>
      </x:c>
      <x:c r="T2055" s="26"/>
      <x:c r="U2055" s="24" t="str">
        <x:v>ATIVA/SEM FIM INFORMADO</x:v>
      </x:c>
      <x:c r="V2055" s="24" t="str">
        <x:v>Programa de Parcerias ZEISS — categoria Experts; Programa de Parcerias ZEISS</x:v>
      </x:c>
      <x:c r="W2055" s="24" t="n">
        <x:v>33</x:v>
      </x:c>
      <x:c r="X2055" s="24" t="str">
        <x:v>tabela_zeiss.pdf</x:v>
      </x:c>
      <x:c r="Y2055" s="24" t="str">
        <x:v>alta</x:v>
      </x:c>
      <x:c r="Z2055" s="24"/>
      <x:c r="AA2055" s="24" t="str">
        <x:v>ZEISS|Progressiva|Surfaçada|ClearMind Superb|PhotoFusion X|1.5|1.50|DuraVision Chrome UV|-6.00 a +5.50|-4.00|0.75 a 3.00|75|||33</x:v>
      </x:c>
    </x:row>
    <x:row r="2056">
      <x:c r="A2056" s="24" t="str">
        <x:v>ZS-FE26CF605F43</x:v>
      </x:c>
      <x:c r="B2056" s="24" t="str">
        <x:v>SIM</x:v>
      </x:c>
      <x:c r="C2056" s="24" t="str">
        <x:v>DISPONÍVEL</x:v>
      </x:c>
      <x:c r="D2056" s="24" t="str">
        <x:v>ZEISS</x:v>
      </x:c>
      <x:c r="E2056" s="24" t="str">
        <x:v>Progressiva</x:v>
      </x:c>
      <x:c r="F2056" s="24" t="str">
        <x:v>Surfaçada</x:v>
      </x:c>
      <x:c r="G2056" s="24" t="str">
        <x:v>ClearMind Superb</x:v>
      </x:c>
      <x:c r="H2056" s="24" t="str">
        <x:v>PhotoFusion X</x:v>
      </x:c>
      <x:c r="I2056" s="24" t="str">
        <x:v>Poli</x:v>
      </x:c>
      <x:c r="J2056" s="24"/>
      <x:c r="K2056" s="24" t="str">
        <x:v>DuraVision Gold UV</x:v>
      </x:c>
      <x:c r="L2056" s="40" t="n">
        <x:v>10069</x:v>
      </x:c>
      <x:c r="M2056" s="24" t="str">
        <x:v>-10.00 a +6.00</x:v>
      </x:c>
      <x:c r="N2056" s="24" t="str">
        <x:v>-6.00</x:v>
      </x:c>
      <x:c r="O2056" s="24" t="str">
        <x:v>0.75 a 3.00</x:v>
      </x:c>
      <x:c r="P2056" s="24" t="str">
        <x:v>70</x:v>
      </x:c>
      <x:c r="Q2056" s="24"/>
      <x:c r="R2056" s="24"/>
      <x:c r="S2056" s="26" t="n">
        <x:v>46113</x:v>
      </x:c>
      <x:c r="T2056" s="26"/>
      <x:c r="U2056" s="24" t="str">
        <x:v>ATIVA/SEM FIM INFORMADO</x:v>
      </x:c>
      <x:c r="V2056" s="24" t="str">
        <x:v>Programa de Parcerias ZEISS — categoria Experts; Programa de Parcerias ZEISS</x:v>
      </x:c>
      <x:c r="W2056" s="24" t="n">
        <x:v>33</x:v>
      </x:c>
      <x:c r="X2056" s="24" t="str">
        <x:v>tabela_zeiss.pdf</x:v>
      </x:c>
      <x:c r="Y2056" s="24" t="str">
        <x:v>alta</x:v>
      </x:c>
      <x:c r="Z2056" s="24"/>
      <x:c r="AA2056" s="24" t="str">
        <x:v>ZEISS|Progressiva|Surfaçada|ClearMind Superb|PhotoFusion X|Poli||DuraVision Gold UV|-10.00 a +6.00|-6.00|0.75 a 3.00|70|||33</x:v>
      </x:c>
    </x:row>
    <x:row r="2057">
      <x:c r="A2057" s="24" t="str">
        <x:v>ZS-C42538BE9DDA</x:v>
      </x:c>
      <x:c r="B2057" s="24" t="str">
        <x:v>SIM</x:v>
      </x:c>
      <x:c r="C2057" s="24" t="str">
        <x:v>DISPONÍVEL</x:v>
      </x:c>
      <x:c r="D2057" s="24" t="str">
        <x:v>ZEISS</x:v>
      </x:c>
      <x:c r="E2057" s="24" t="str">
        <x:v>Progressiva</x:v>
      </x:c>
      <x:c r="F2057" s="24" t="str">
        <x:v>Surfaçada</x:v>
      </x:c>
      <x:c r="G2057" s="24" t="str">
        <x:v>ClearMind Superb</x:v>
      </x:c>
      <x:c r="H2057" s="24" t="str">
        <x:v>PhotoFusion X</x:v>
      </x:c>
      <x:c r="I2057" s="24" t="str">
        <x:v>Poli</x:v>
      </x:c>
      <x:c r="J2057" s="24"/>
      <x:c r="K2057" s="24" t="str">
        <x:v>DuraVision Platinum UV</x:v>
      </x:c>
      <x:c r="L2057" s="40" t="n">
        <x:v>9929</x:v>
      </x:c>
      <x:c r="M2057" s="24" t="str">
        <x:v>-10.00 a +6.00</x:v>
      </x:c>
      <x:c r="N2057" s="24" t="str">
        <x:v>-6.00</x:v>
      </x:c>
      <x:c r="O2057" s="24" t="str">
        <x:v>0.75 a 3.00</x:v>
      </x:c>
      <x:c r="P2057" s="24" t="str">
        <x:v>70</x:v>
      </x:c>
      <x:c r="Q2057" s="24"/>
      <x:c r="R2057" s="24"/>
      <x:c r="S2057" s="26" t="n">
        <x:v>46113</x:v>
      </x:c>
      <x:c r="T2057" s="26"/>
      <x:c r="U2057" s="24" t="str">
        <x:v>ATIVA/SEM FIM INFORMADO</x:v>
      </x:c>
      <x:c r="V2057" s="24" t="str">
        <x:v>Programa de Parcerias ZEISS — categoria Experts; Programa de Parcerias ZEISS</x:v>
      </x:c>
      <x:c r="W2057" s="24" t="n">
        <x:v>33</x:v>
      </x:c>
      <x:c r="X2057" s="24" t="str">
        <x:v>tabela_zeiss.pdf</x:v>
      </x:c>
      <x:c r="Y2057" s="24" t="str">
        <x:v>alta</x:v>
      </x:c>
      <x:c r="Z2057" s="24"/>
      <x:c r="AA2057" s="24" t="str">
        <x:v>ZEISS|Progressiva|Surfaçada|ClearMind Superb|PhotoFusion X|Poli||DuraVision Platinum UV|-10.00 a +6.00|-6.00|0.75 a 3.00|70|||33</x:v>
      </x:c>
    </x:row>
    <x:row r="2058">
      <x:c r="A2058" s="24" t="str">
        <x:v>ZS-8F7DAF17082C</x:v>
      </x:c>
      <x:c r="B2058" s="24" t="str">
        <x:v>SIM</x:v>
      </x:c>
      <x:c r="C2058" s="24" t="str">
        <x:v>DISPONÍVEL</x:v>
      </x:c>
      <x:c r="D2058" s="24" t="str">
        <x:v>ZEISS</x:v>
      </x:c>
      <x:c r="E2058" s="24" t="str">
        <x:v>Progressiva</x:v>
      </x:c>
      <x:c r="F2058" s="24" t="str">
        <x:v>Surfaçada</x:v>
      </x:c>
      <x:c r="G2058" s="24" t="str">
        <x:v>ClearMind Superb</x:v>
      </x:c>
      <x:c r="H2058" s="24" t="str">
        <x:v>PhotoFusion X</x:v>
      </x:c>
      <x:c r="I2058" s="24" t="str">
        <x:v>Poli</x:v>
      </x:c>
      <x:c r="J2058" s="24"/>
      <x:c r="K2058" s="24" t="str">
        <x:v>DuraVision Silver UV</x:v>
      </x:c>
      <x:c r="L2058" s="40" t="n">
        <x:v>9669</x:v>
      </x:c>
      <x:c r="M2058" s="24" t="str">
        <x:v>-10.00 a +6.00</x:v>
      </x:c>
      <x:c r="N2058" s="24" t="str">
        <x:v>-6.00</x:v>
      </x:c>
      <x:c r="O2058" s="24" t="str">
        <x:v>0.75 a 3.00</x:v>
      </x:c>
      <x:c r="P2058" s="24" t="str">
        <x:v>70</x:v>
      </x:c>
      <x:c r="Q2058" s="24"/>
      <x:c r="R2058" s="24"/>
      <x:c r="S2058" s="26" t="n">
        <x:v>46113</x:v>
      </x:c>
      <x:c r="T2058" s="26"/>
      <x:c r="U2058" s="24" t="str">
        <x:v>ATIVA/SEM FIM INFORMADO</x:v>
      </x:c>
      <x:c r="V2058" s="24" t="str">
        <x:v>Programa de Parcerias ZEISS — categoria Experts; Programa de Parcerias ZEISS</x:v>
      </x:c>
      <x:c r="W2058" s="24" t="n">
        <x:v>33</x:v>
      </x:c>
      <x:c r="X2058" s="24" t="str">
        <x:v>tabela_zeiss.pdf</x:v>
      </x:c>
      <x:c r="Y2058" s="24" t="str">
        <x:v>alta</x:v>
      </x:c>
      <x:c r="Z2058" s="24"/>
      <x:c r="AA2058" s="24" t="str">
        <x:v>ZEISS|Progressiva|Surfaçada|ClearMind Superb|PhotoFusion X|Poli||DuraVision Silver UV|-10.00 a +6.00|-6.00|0.75 a 3.00|70|||33</x:v>
      </x:c>
    </x:row>
    <x:row r="2059">
      <x:c r="A2059" s="24" t="str">
        <x:v>ZS-AFE5C91CEB11</x:v>
      </x:c>
      <x:c r="B2059" s="24" t="str">
        <x:v>SIM</x:v>
      </x:c>
      <x:c r="C2059" s="24" t="str">
        <x:v>DISPONÍVEL</x:v>
      </x:c>
      <x:c r="D2059" s="24" t="str">
        <x:v>ZEISS</x:v>
      </x:c>
      <x:c r="E2059" s="24" t="str">
        <x:v>Progressiva</x:v>
      </x:c>
      <x:c r="F2059" s="24" t="str">
        <x:v>Surfaçada</x:v>
      </x:c>
      <x:c r="G2059" s="24" t="str">
        <x:v>ClearMind Superb</x:v>
      </x:c>
      <x:c r="H2059" s="24" t="str">
        <x:v>PhotoFusion X</x:v>
      </x:c>
      <x:c r="I2059" s="24" t="str">
        <x:v>Poli</x:v>
      </x:c>
      <x:c r="J2059" s="24"/>
      <x:c r="K2059" s="24" t="str">
        <x:v>DuraVision Chrome UV</x:v>
      </x:c>
      <x:c r="L2059" s="40" t="n">
        <x:v>9179</x:v>
      </x:c>
      <x:c r="M2059" s="24" t="str">
        <x:v>-10.00 a +6.00</x:v>
      </x:c>
      <x:c r="N2059" s="24" t="str">
        <x:v>-6.00</x:v>
      </x:c>
      <x:c r="O2059" s="24" t="str">
        <x:v>0.75 a 3.00</x:v>
      </x:c>
      <x:c r="P2059" s="24" t="str">
        <x:v>70</x:v>
      </x:c>
      <x:c r="Q2059" s="24"/>
      <x:c r="R2059" s="24"/>
      <x:c r="S2059" s="26" t="n">
        <x:v>46113</x:v>
      </x:c>
      <x:c r="T2059" s="26"/>
      <x:c r="U2059" s="24" t="str">
        <x:v>ATIVA/SEM FIM INFORMADO</x:v>
      </x:c>
      <x:c r="V2059" s="24" t="str">
        <x:v>Programa de Parcerias ZEISS — categoria Experts; Programa de Parcerias ZEISS</x:v>
      </x:c>
      <x:c r="W2059" s="24" t="n">
        <x:v>33</x:v>
      </x:c>
      <x:c r="X2059" s="24" t="str">
        <x:v>tabela_zeiss.pdf</x:v>
      </x:c>
      <x:c r="Y2059" s="24" t="str">
        <x:v>alta</x:v>
      </x:c>
      <x:c r="Z2059" s="24"/>
      <x:c r="AA2059" s="24" t="str">
        <x:v>ZEISS|Progressiva|Surfaçada|ClearMind Superb|PhotoFusion X|Poli||DuraVision Chrome UV|-10.00 a +6.00|-6.00|0.75 a 3.00|70|||33</x:v>
      </x:c>
    </x:row>
    <x:row r="2060">
      <x:c r="A2060" s="24" t="str">
        <x:v>ZS-DE8A358BD7B3</x:v>
      </x:c>
      <x:c r="B2060" s="24" t="str">
        <x:v>SIM</x:v>
      </x:c>
      <x:c r="C2060" s="24" t="str">
        <x:v>DISPONÍVEL</x:v>
      </x:c>
      <x:c r="D2060" s="24" t="str">
        <x:v>ZEISS</x:v>
      </x:c>
      <x:c r="E2060" s="24" t="str">
        <x:v>Progressiva</x:v>
      </x:c>
      <x:c r="F2060" s="24" t="str">
        <x:v>Surfaçada</x:v>
      </x:c>
      <x:c r="G2060" s="24" t="str">
        <x:v>ClearMind Superb</x:v>
      </x:c>
      <x:c r="H2060" s="24" t="str">
        <x:v>PhotoFusion X</x:v>
      </x:c>
      <x:c r="I2060" s="24" t="str">
        <x:v>1.6</x:v>
      </x:c>
      <x:c r="J2060" s="24" t="str">
        <x:v>1.60</x:v>
      </x:c>
      <x:c r="K2060" s="24" t="str">
        <x:v>DuraVision Gold UV</x:v>
      </x:c>
      <x:c r="L2060" s="40" t="n">
        <x:v>10729</x:v>
      </x:c>
      <x:c r="M2060" s="24" t="str">
        <x:v>-7.25 a +6.00</x:v>
      </x:c>
      <x:c r="N2060" s="24" t="str">
        <x:v>-6.00</x:v>
      </x:c>
      <x:c r="O2060" s="24" t="str">
        <x:v>0.75 a 3.50</x:v>
      </x:c>
      <x:c r="P2060" s="24" t="str">
        <x:v>75</x:v>
      </x:c>
      <x:c r="Q2060" s="24"/>
      <x:c r="R2060" s="24"/>
      <x:c r="S2060" s="26" t="n">
        <x:v>46113</x:v>
      </x:c>
      <x:c r="T2060" s="26"/>
      <x:c r="U2060" s="24" t="str">
        <x:v>ATIVA/SEM FIM INFORMADO</x:v>
      </x:c>
      <x:c r="V2060" s="24" t="str">
        <x:v>Programa de Parcerias ZEISS — categoria Experts; Programa de Parcerias ZEISS</x:v>
      </x:c>
      <x:c r="W2060" s="24" t="n">
        <x:v>33</x:v>
      </x:c>
      <x:c r="X2060" s="24" t="str">
        <x:v>tabela_zeiss.pdf</x:v>
      </x:c>
      <x:c r="Y2060" s="24" t="str">
        <x:v>alta</x:v>
      </x:c>
      <x:c r="Z2060" s="24"/>
      <x:c r="AA2060" s="24" t="str">
        <x:v>ZEISS|Progressiva|Surfaçada|ClearMind Superb|PhotoFusion X|1.6|1.60|DuraVision Gold UV|-7.25 a +6.00|-6.00|0.75 a 3.50|75|||33</x:v>
      </x:c>
    </x:row>
    <x:row r="2061">
      <x:c r="A2061" s="24" t="str">
        <x:v>ZS-64E1480A2C1B</x:v>
      </x:c>
      <x:c r="B2061" s="24" t="str">
        <x:v>SIM</x:v>
      </x:c>
      <x:c r="C2061" s="24" t="str">
        <x:v>DISPONÍVEL</x:v>
      </x:c>
      <x:c r="D2061" s="24" t="str">
        <x:v>ZEISS</x:v>
      </x:c>
      <x:c r="E2061" s="24" t="str">
        <x:v>Progressiva</x:v>
      </x:c>
      <x:c r="F2061" s="24" t="str">
        <x:v>Surfaçada</x:v>
      </x:c>
      <x:c r="G2061" s="24" t="str">
        <x:v>ClearMind Superb</x:v>
      </x:c>
      <x:c r="H2061" s="24" t="str">
        <x:v>PhotoFusion X</x:v>
      </x:c>
      <x:c r="I2061" s="24" t="str">
        <x:v>1.6</x:v>
      </x:c>
      <x:c r="J2061" s="24" t="str">
        <x:v>1.60</x:v>
      </x:c>
      <x:c r="K2061" s="24" t="str">
        <x:v>DURAVISION® ANTIVÍRUS PLATINUM UV</x:v>
      </x:c>
      <x:c r="L2061" s="40" t="n">
        <x:v>10589</x:v>
      </x:c>
      <x:c r="M2061" s="24" t="str">
        <x:v>-7.25 a +6.00</x:v>
      </x:c>
      <x:c r="N2061" s="24" t="str">
        <x:v>-6.00</x:v>
      </x:c>
      <x:c r="O2061" s="24" t="str">
        <x:v>0.75 a 3.50</x:v>
      </x:c>
      <x:c r="P2061" s="24" t="str">
        <x:v>75</x:v>
      </x:c>
      <x:c r="Q2061" s="24"/>
      <x:c r="R2061" s="24"/>
      <x:c r="S2061" s="26" t="n">
        <x:v>46113</x:v>
      </x:c>
      <x:c r="T2061" s="26"/>
      <x:c r="U2061" s="24" t="str">
        <x:v>ATIVA/SEM FIM INFORMADO</x:v>
      </x:c>
      <x:c r="V2061" s="24" t="str">
        <x:v>Programa de Parcerias ZEISS — categoria Experts; Programa de Parcerias ZEISS</x:v>
      </x:c>
      <x:c r="W2061" s="24" t="n">
        <x:v>33</x:v>
      </x:c>
      <x:c r="X2061" s="24" t="str">
        <x:v>tabela_zeiss.pdf</x:v>
      </x:c>
      <x:c r="Y2061" s="24" t="str">
        <x:v>alta</x:v>
      </x:c>
      <x:c r="Z2061" s="24"/>
      <x:c r="AA2061" s="24" t="str">
        <x:v>ZEISS|Progressiva|Surfaçada|ClearMind Superb|PhotoFusion X|1.6|1.60|DURAVISION® ANTIVÍRUS PLATINUM UV|-7.25 a +6.00|-6.00|0.75 a 3.50|75|||33</x:v>
      </x:c>
    </x:row>
    <x:row r="2062">
      <x:c r="A2062" s="24" t="str">
        <x:v>ZS-49664453B91A</x:v>
      </x:c>
      <x:c r="B2062" s="24" t="str">
        <x:v>SIM</x:v>
      </x:c>
      <x:c r="C2062" s="24" t="str">
        <x:v>DISPONÍVEL</x:v>
      </x:c>
      <x:c r="D2062" s="24" t="str">
        <x:v>ZEISS</x:v>
      </x:c>
      <x:c r="E2062" s="24" t="str">
        <x:v>Progressiva</x:v>
      </x:c>
      <x:c r="F2062" s="24" t="str">
        <x:v>Surfaçada</x:v>
      </x:c>
      <x:c r="G2062" s="24" t="str">
        <x:v>ClearMind Superb</x:v>
      </x:c>
      <x:c r="H2062" s="24" t="str">
        <x:v>PhotoFusion X</x:v>
      </x:c>
      <x:c r="I2062" s="24" t="str">
        <x:v>1.6</x:v>
      </x:c>
      <x:c r="J2062" s="24" t="str">
        <x:v>1.60</x:v>
      </x:c>
      <x:c r="K2062" s="24" t="str">
        <x:v>DuraVision Platinum UV</x:v>
      </x:c>
      <x:c r="L2062" s="40" t="n">
        <x:v>10589</x:v>
      </x:c>
      <x:c r="M2062" s="24" t="str">
        <x:v>-7.25 a +6.00</x:v>
      </x:c>
      <x:c r="N2062" s="24" t="str">
        <x:v>-6.00</x:v>
      </x:c>
      <x:c r="O2062" s="24" t="str">
        <x:v>0.75 a 3.50</x:v>
      </x:c>
      <x:c r="P2062" s="24" t="str">
        <x:v>75</x:v>
      </x:c>
      <x:c r="Q2062" s="24"/>
      <x:c r="R2062" s="24"/>
      <x:c r="S2062" s="26" t="n">
        <x:v>46113</x:v>
      </x:c>
      <x:c r="T2062" s="26"/>
      <x:c r="U2062" s="24" t="str">
        <x:v>ATIVA/SEM FIM INFORMADO</x:v>
      </x:c>
      <x:c r="V2062" s="24" t="str">
        <x:v>Programa de Parcerias ZEISS — categoria Experts; Programa de Parcerias ZEISS</x:v>
      </x:c>
      <x:c r="W2062" s="24" t="n">
        <x:v>33</x:v>
      </x:c>
      <x:c r="X2062" s="24" t="str">
        <x:v>tabela_zeiss.pdf</x:v>
      </x:c>
      <x:c r="Y2062" s="24" t="str">
        <x:v>alta</x:v>
      </x:c>
      <x:c r="Z2062" s="24"/>
      <x:c r="AA2062" s="24" t="str">
        <x:v>ZEISS|Progressiva|Surfaçada|ClearMind Superb|PhotoFusion X|1.6|1.60|DuraVision Platinum UV|-7.25 a +6.00|-6.00|0.75 a 3.50|75|||33</x:v>
      </x:c>
    </x:row>
    <x:row r="2063">
      <x:c r="A2063" s="24" t="str">
        <x:v>ZS-DD2BD355569B</x:v>
      </x:c>
      <x:c r="B2063" s="24" t="str">
        <x:v>SIM</x:v>
      </x:c>
      <x:c r="C2063" s="24" t="str">
        <x:v>DISPONÍVEL</x:v>
      </x:c>
      <x:c r="D2063" s="24" t="str">
        <x:v>ZEISS</x:v>
      </x:c>
      <x:c r="E2063" s="24" t="str">
        <x:v>Progressiva</x:v>
      </x:c>
      <x:c r="F2063" s="24" t="str">
        <x:v>Surfaçada</x:v>
      </x:c>
      <x:c r="G2063" s="24" t="str">
        <x:v>ClearMind Superb</x:v>
      </x:c>
      <x:c r="H2063" s="24" t="str">
        <x:v>PhotoFusion X</x:v>
      </x:c>
      <x:c r="I2063" s="24" t="str">
        <x:v>1.6</x:v>
      </x:c>
      <x:c r="J2063" s="24" t="str">
        <x:v>1.60</x:v>
      </x:c>
      <x:c r="K2063" s="24" t="str">
        <x:v>DuraVision Silver UV</x:v>
      </x:c>
      <x:c r="L2063" s="40" t="n">
        <x:v>10329</x:v>
      </x:c>
      <x:c r="M2063" s="24" t="str">
        <x:v>-7.25 a +6.00</x:v>
      </x:c>
      <x:c r="N2063" s="24" t="str">
        <x:v>-6.00</x:v>
      </x:c>
      <x:c r="O2063" s="24" t="str">
        <x:v>0.75 a 3.50</x:v>
      </x:c>
      <x:c r="P2063" s="24" t="str">
        <x:v>75</x:v>
      </x:c>
      <x:c r="Q2063" s="24"/>
      <x:c r="R2063" s="24"/>
      <x:c r="S2063" s="26" t="n">
        <x:v>46113</x:v>
      </x:c>
      <x:c r="T2063" s="26"/>
      <x:c r="U2063" s="24" t="str">
        <x:v>ATIVA/SEM FIM INFORMADO</x:v>
      </x:c>
      <x:c r="V2063" s="24" t="str">
        <x:v>Programa de Parcerias ZEISS — categoria Experts; Programa de Parcerias ZEISS</x:v>
      </x:c>
      <x:c r="W2063" s="24" t="n">
        <x:v>33</x:v>
      </x:c>
      <x:c r="X2063" s="24" t="str">
        <x:v>tabela_zeiss.pdf</x:v>
      </x:c>
      <x:c r="Y2063" s="24" t="str">
        <x:v>alta</x:v>
      </x:c>
      <x:c r="Z2063" s="24"/>
      <x:c r="AA2063" s="24" t="str">
        <x:v>ZEISS|Progressiva|Surfaçada|ClearMind Superb|PhotoFusion X|1.6|1.60|DuraVision Silver UV|-7.25 a +6.00|-6.00|0.75 a 3.50|75|||33</x:v>
      </x:c>
    </x:row>
    <x:row r="2064">
      <x:c r="A2064" s="24" t="str">
        <x:v>ZS-094A1288CE79</x:v>
      </x:c>
      <x:c r="B2064" s="24" t="str">
        <x:v>SIM</x:v>
      </x:c>
      <x:c r="C2064" s="24" t="str">
        <x:v>DISPONÍVEL</x:v>
      </x:c>
      <x:c r="D2064" s="24" t="str">
        <x:v>ZEISS</x:v>
      </x:c>
      <x:c r="E2064" s="24" t="str">
        <x:v>Progressiva</x:v>
      </x:c>
      <x:c r="F2064" s="24" t="str">
        <x:v>Surfaçada</x:v>
      </x:c>
      <x:c r="G2064" s="24" t="str">
        <x:v>ClearMind Superb</x:v>
      </x:c>
      <x:c r="H2064" s="24" t="str">
        <x:v>PhotoFusion X</x:v>
      </x:c>
      <x:c r="I2064" s="24" t="str">
        <x:v>1.6</x:v>
      </x:c>
      <x:c r="J2064" s="24" t="str">
        <x:v>1.60</x:v>
      </x:c>
      <x:c r="K2064" s="24" t="str">
        <x:v>DuraVision Chrome UV</x:v>
      </x:c>
      <x:c r="L2064" s="40" t="n">
        <x:v>9839</x:v>
      </x:c>
      <x:c r="M2064" s="24" t="str">
        <x:v>-7.25 a +6.00</x:v>
      </x:c>
      <x:c r="N2064" s="24" t="str">
        <x:v>-6.00</x:v>
      </x:c>
      <x:c r="O2064" s="24" t="str">
        <x:v>0.75 a 3.50</x:v>
      </x:c>
      <x:c r="P2064" s="24" t="str">
        <x:v>75</x:v>
      </x:c>
      <x:c r="Q2064" s="24"/>
      <x:c r="R2064" s="24"/>
      <x:c r="S2064" s="26" t="n">
        <x:v>46113</x:v>
      </x:c>
      <x:c r="T2064" s="26"/>
      <x:c r="U2064" s="24" t="str">
        <x:v>ATIVA/SEM FIM INFORMADO</x:v>
      </x:c>
      <x:c r="V2064" s="24" t="str">
        <x:v>Programa de Parcerias ZEISS — categoria Experts; Programa de Parcerias ZEISS</x:v>
      </x:c>
      <x:c r="W2064" s="24" t="n">
        <x:v>33</x:v>
      </x:c>
      <x:c r="X2064" s="24" t="str">
        <x:v>tabela_zeiss.pdf</x:v>
      </x:c>
      <x:c r="Y2064" s="24" t="str">
        <x:v>alta</x:v>
      </x:c>
      <x:c r="Z2064" s="24"/>
      <x:c r="AA2064" s="24" t="str">
        <x:v>ZEISS|Progressiva|Surfaçada|ClearMind Superb|PhotoFusion X|1.6|1.60|DuraVision Chrome UV|-7.25 a +6.00|-6.00|0.75 a 3.50|75|||33</x:v>
      </x:c>
    </x:row>
    <x:row r="2065">
      <x:c r="A2065" s="24" t="str">
        <x:v>ZS-C80283636B07</x:v>
      </x:c>
      <x:c r="B2065" s="24" t="str">
        <x:v>SIM</x:v>
      </x:c>
      <x:c r="C2065" s="24" t="str">
        <x:v>DISPONÍVEL</x:v>
      </x:c>
      <x:c r="D2065" s="24" t="str">
        <x:v>ZEISS</x:v>
      </x:c>
      <x:c r="E2065" s="24" t="str">
        <x:v>Progressiva</x:v>
      </x:c>
      <x:c r="F2065" s="24" t="str">
        <x:v>Surfaçada</x:v>
      </x:c>
      <x:c r="G2065" s="24" t="str">
        <x:v>ClearMind Superb</x:v>
      </x:c>
      <x:c r="H2065" s="24" t="str">
        <x:v>PhotoFusion X</x:v>
      </x:c>
      <x:c r="I2065" s="24" t="str">
        <x:v>1.67</x:v>
      </x:c>
      <x:c r="J2065" s="24" t="str">
        <x:v>1.67</x:v>
      </x:c>
      <x:c r="K2065" s="24" t="str">
        <x:v>DuraVision Gold UV</x:v>
      </x:c>
      <x:c r="L2065" s="40" t="n">
        <x:v>12369</x:v>
      </x:c>
      <x:c r="M2065" s="24" t="str">
        <x:v>-8.00 a +8.00</x:v>
      </x:c>
      <x:c r="N2065" s="24" t="str">
        <x:v>-4.00</x:v>
      </x:c>
      <x:c r="O2065" s="24" t="str">
        <x:v>0.75 a 3.00</x:v>
      </x:c>
      <x:c r="P2065" s="24" t="str">
        <x:v>70</x:v>
      </x:c>
      <x:c r="Q2065" s="24"/>
      <x:c r="R2065" s="24"/>
      <x:c r="S2065" s="26" t="n">
        <x:v>46113</x:v>
      </x:c>
      <x:c r="T2065" s="26"/>
      <x:c r="U2065" s="24" t="str">
        <x:v>ATIVA/SEM FIM INFORMADO</x:v>
      </x:c>
      <x:c r="V2065" s="24" t="str">
        <x:v>Programa de Parcerias ZEISS — categoria Experts; Programa de Parcerias ZEISS</x:v>
      </x:c>
      <x:c r="W2065" s="24" t="n">
        <x:v>33</x:v>
      </x:c>
      <x:c r="X2065" s="24" t="str">
        <x:v>tabela_zeiss.pdf</x:v>
      </x:c>
      <x:c r="Y2065" s="24" t="str">
        <x:v>alta</x:v>
      </x:c>
      <x:c r="Z2065" s="24"/>
      <x:c r="AA2065" s="24" t="str">
        <x:v>ZEISS|Progressiva|Surfaçada|ClearMind Superb|PhotoFusion X|1.67|1.67|DuraVision Gold UV|-8.00 a +8.00|-4.00|0.75 a 3.00|70|||33</x:v>
      </x:c>
    </x:row>
    <x:row r="2066">
      <x:c r="A2066" s="24" t="str">
        <x:v>ZS-B04891C2519C</x:v>
      </x:c>
      <x:c r="B2066" s="24" t="str">
        <x:v>SIM</x:v>
      </x:c>
      <x:c r="C2066" s="24" t="str">
        <x:v>DISPONÍVEL</x:v>
      </x:c>
      <x:c r="D2066" s="24" t="str">
        <x:v>ZEISS</x:v>
      </x:c>
      <x:c r="E2066" s="24" t="str">
        <x:v>Progressiva</x:v>
      </x:c>
      <x:c r="F2066" s="24" t="str">
        <x:v>Surfaçada</x:v>
      </x:c>
      <x:c r="G2066" s="24" t="str">
        <x:v>ClearMind Superb</x:v>
      </x:c>
      <x:c r="H2066" s="24" t="str">
        <x:v>PhotoFusion X</x:v>
      </x:c>
      <x:c r="I2066" s="24" t="str">
        <x:v>1.67</x:v>
      </x:c>
      <x:c r="J2066" s="24" t="str">
        <x:v>1.67</x:v>
      </x:c>
      <x:c r="K2066" s="24" t="str">
        <x:v>DURAVISION® ANTIVÍRUS PLATINUM UV</x:v>
      </x:c>
      <x:c r="L2066" s="40" t="n">
        <x:v>12229</x:v>
      </x:c>
      <x:c r="M2066" s="24" t="str">
        <x:v>-8.00 a +8.00</x:v>
      </x:c>
      <x:c r="N2066" s="24" t="str">
        <x:v>-4.00</x:v>
      </x:c>
      <x:c r="O2066" s="24" t="str">
        <x:v>0.75 a 3.00</x:v>
      </x:c>
      <x:c r="P2066" s="24" t="str">
        <x:v>70</x:v>
      </x:c>
      <x:c r="Q2066" s="24"/>
      <x:c r="R2066" s="24"/>
      <x:c r="S2066" s="26" t="n">
        <x:v>46113</x:v>
      </x:c>
      <x:c r="T2066" s="26"/>
      <x:c r="U2066" s="24" t="str">
        <x:v>ATIVA/SEM FIM INFORMADO</x:v>
      </x:c>
      <x:c r="V2066" s="24" t="str">
        <x:v>Programa de Parcerias ZEISS — categoria Experts; Programa de Parcerias ZEISS</x:v>
      </x:c>
      <x:c r="W2066" s="24" t="n">
        <x:v>33</x:v>
      </x:c>
      <x:c r="X2066" s="24" t="str">
        <x:v>tabela_zeiss.pdf</x:v>
      </x:c>
      <x:c r="Y2066" s="24" t="str">
        <x:v>alta</x:v>
      </x:c>
      <x:c r="Z2066" s="24"/>
      <x:c r="AA2066" s="24" t="str">
        <x:v>ZEISS|Progressiva|Surfaçada|ClearMind Superb|PhotoFusion X|1.67|1.67|DURAVISION® ANTIVÍRUS PLATINUM UV|-8.00 a +8.00|-4.00|0.75 a 3.00|70|||33</x:v>
      </x:c>
    </x:row>
    <x:row r="2067">
      <x:c r="A2067" s="24" t="str">
        <x:v>ZS-1432678C78B9</x:v>
      </x:c>
      <x:c r="B2067" s="24" t="str">
        <x:v>SIM</x:v>
      </x:c>
      <x:c r="C2067" s="24" t="str">
        <x:v>DISPONÍVEL</x:v>
      </x:c>
      <x:c r="D2067" s="24" t="str">
        <x:v>ZEISS</x:v>
      </x:c>
      <x:c r="E2067" s="24" t="str">
        <x:v>Progressiva</x:v>
      </x:c>
      <x:c r="F2067" s="24" t="str">
        <x:v>Surfaçada</x:v>
      </x:c>
      <x:c r="G2067" s="24" t="str">
        <x:v>ClearMind Superb</x:v>
      </x:c>
      <x:c r="H2067" s="24" t="str">
        <x:v>PhotoFusion X</x:v>
      </x:c>
      <x:c r="I2067" s="24" t="str">
        <x:v>1.67</x:v>
      </x:c>
      <x:c r="J2067" s="24" t="str">
        <x:v>1.67</x:v>
      </x:c>
      <x:c r="K2067" s="24" t="str">
        <x:v>DuraVision Platinum UV</x:v>
      </x:c>
      <x:c r="L2067" s="40" t="n">
        <x:v>12229</x:v>
      </x:c>
      <x:c r="M2067" s="24" t="str">
        <x:v>-8.00 a +8.00</x:v>
      </x:c>
      <x:c r="N2067" s="24" t="str">
        <x:v>-4.00</x:v>
      </x:c>
      <x:c r="O2067" s="24" t="str">
        <x:v>0.75 a 3.00</x:v>
      </x:c>
      <x:c r="P2067" s="24" t="str">
        <x:v>70</x:v>
      </x:c>
      <x:c r="Q2067" s="24"/>
      <x:c r="R2067" s="24"/>
      <x:c r="S2067" s="26" t="n">
        <x:v>46113</x:v>
      </x:c>
      <x:c r="T2067" s="26"/>
      <x:c r="U2067" s="24" t="str">
        <x:v>ATIVA/SEM FIM INFORMADO</x:v>
      </x:c>
      <x:c r="V2067" s="24" t="str">
        <x:v>Programa de Parcerias ZEISS — categoria Experts; Programa de Parcerias ZEISS</x:v>
      </x:c>
      <x:c r="W2067" s="24" t="n">
        <x:v>33</x:v>
      </x:c>
      <x:c r="X2067" s="24" t="str">
        <x:v>tabela_zeiss.pdf</x:v>
      </x:c>
      <x:c r="Y2067" s="24" t="str">
        <x:v>alta</x:v>
      </x:c>
      <x:c r="Z2067" s="24"/>
      <x:c r="AA2067" s="24" t="str">
        <x:v>ZEISS|Progressiva|Surfaçada|ClearMind Superb|PhotoFusion X|1.67|1.67|DuraVision Platinum UV|-8.00 a +8.00|-4.00|0.75 a 3.00|70|||33</x:v>
      </x:c>
    </x:row>
    <x:row r="2068">
      <x:c r="A2068" s="24" t="str">
        <x:v>ZS-69BC4E47006B</x:v>
      </x:c>
      <x:c r="B2068" s="24" t="str">
        <x:v>SIM</x:v>
      </x:c>
      <x:c r="C2068" s="24" t="str">
        <x:v>DISPONÍVEL</x:v>
      </x:c>
      <x:c r="D2068" s="24" t="str">
        <x:v>ZEISS</x:v>
      </x:c>
      <x:c r="E2068" s="24" t="str">
        <x:v>Progressiva</x:v>
      </x:c>
      <x:c r="F2068" s="24" t="str">
        <x:v>Surfaçada</x:v>
      </x:c>
      <x:c r="G2068" s="24" t="str">
        <x:v>ClearMind Superb</x:v>
      </x:c>
      <x:c r="H2068" s="24" t="str">
        <x:v>PhotoFusion X</x:v>
      </x:c>
      <x:c r="I2068" s="24" t="str">
        <x:v>1.67</x:v>
      </x:c>
      <x:c r="J2068" s="24" t="str">
        <x:v>1.67</x:v>
      </x:c>
      <x:c r="K2068" s="24" t="str">
        <x:v>DuraVision Silver UV</x:v>
      </x:c>
      <x:c r="L2068" s="40" t="n">
        <x:v>11969</x:v>
      </x:c>
      <x:c r="M2068" s="24" t="str">
        <x:v>-8.00 a +8.00</x:v>
      </x:c>
      <x:c r="N2068" s="24" t="str">
        <x:v>-4.00</x:v>
      </x:c>
      <x:c r="O2068" s="24" t="str">
        <x:v>0.75 a 3.00</x:v>
      </x:c>
      <x:c r="P2068" s="24" t="str">
        <x:v>70</x:v>
      </x:c>
      <x:c r="Q2068" s="24"/>
      <x:c r="R2068" s="24"/>
      <x:c r="S2068" s="26" t="n">
        <x:v>46113</x:v>
      </x:c>
      <x:c r="T2068" s="26"/>
      <x:c r="U2068" s="24" t="str">
        <x:v>ATIVA/SEM FIM INFORMADO</x:v>
      </x:c>
      <x:c r="V2068" s="24" t="str">
        <x:v>Programa de Parcerias ZEISS — categoria Experts; Programa de Parcerias ZEISS</x:v>
      </x:c>
      <x:c r="W2068" s="24" t="n">
        <x:v>33</x:v>
      </x:c>
      <x:c r="X2068" s="24" t="str">
        <x:v>tabela_zeiss.pdf</x:v>
      </x:c>
      <x:c r="Y2068" s="24" t="str">
        <x:v>alta</x:v>
      </x:c>
      <x:c r="Z2068" s="24"/>
      <x:c r="AA2068" s="24" t="str">
        <x:v>ZEISS|Progressiva|Surfaçada|ClearMind Superb|PhotoFusion X|1.67|1.67|DuraVision Silver UV|-8.00 a +8.00|-4.00|0.75 a 3.00|70|||33</x:v>
      </x:c>
    </x:row>
    <x:row r="2069">
      <x:c r="A2069" s="24" t="str">
        <x:v>ZS-5422132E448C</x:v>
      </x:c>
      <x:c r="B2069" s="24" t="str">
        <x:v>SIM</x:v>
      </x:c>
      <x:c r="C2069" s="24" t="str">
        <x:v>DISPONÍVEL</x:v>
      </x:c>
      <x:c r="D2069" s="24" t="str">
        <x:v>ZEISS</x:v>
      </x:c>
      <x:c r="E2069" s="24" t="str">
        <x:v>Progressiva</x:v>
      </x:c>
      <x:c r="F2069" s="24" t="str">
        <x:v>Surfaçada</x:v>
      </x:c>
      <x:c r="G2069" s="24" t="str">
        <x:v>ClearMind Superb</x:v>
      </x:c>
      <x:c r="H2069" s="24" t="str">
        <x:v>PhotoFusion X</x:v>
      </x:c>
      <x:c r="I2069" s="24" t="str">
        <x:v>1.67</x:v>
      </x:c>
      <x:c r="J2069" s="24" t="str">
        <x:v>1.67</x:v>
      </x:c>
      <x:c r="K2069" s="24" t="str">
        <x:v>DuraVision Chrome UV</x:v>
      </x:c>
      <x:c r="L2069" s="40" t="n">
        <x:v>11479</x:v>
      </x:c>
      <x:c r="M2069" s="24" t="str">
        <x:v>-8.00 a +8.00</x:v>
      </x:c>
      <x:c r="N2069" s="24" t="str">
        <x:v>-4.00</x:v>
      </x:c>
      <x:c r="O2069" s="24" t="str">
        <x:v>0.75 a 3.00</x:v>
      </x:c>
      <x:c r="P2069" s="24" t="str">
        <x:v>70</x:v>
      </x:c>
      <x:c r="Q2069" s="24"/>
      <x:c r="R2069" s="24"/>
      <x:c r="S2069" s="26" t="n">
        <x:v>46113</x:v>
      </x:c>
      <x:c r="T2069" s="26"/>
      <x:c r="U2069" s="24" t="str">
        <x:v>ATIVA/SEM FIM INFORMADO</x:v>
      </x:c>
      <x:c r="V2069" s="24" t="str">
        <x:v>Programa de Parcerias ZEISS — categoria Experts; Programa de Parcerias ZEISS</x:v>
      </x:c>
      <x:c r="W2069" s="24" t="n">
        <x:v>33</x:v>
      </x:c>
      <x:c r="X2069" s="24" t="str">
        <x:v>tabela_zeiss.pdf</x:v>
      </x:c>
      <x:c r="Y2069" s="24" t="str">
        <x:v>alta</x:v>
      </x:c>
      <x:c r="Z2069" s="24"/>
      <x:c r="AA2069" s="24" t="str">
        <x:v>ZEISS|Progressiva|Surfaçada|ClearMind Superb|PhotoFusion X|1.67|1.67|DuraVision Chrome UV|-8.00 a +8.00|-4.00|0.75 a 3.00|70|||33</x:v>
      </x:c>
    </x:row>
    <x:row r="2070">
      <x:c r="A2070" s="24" t="str">
        <x:v>ZS-7C292C03E7DB</x:v>
      </x:c>
      <x:c r="B2070" s="24" t="str">
        <x:v>SIM</x:v>
      </x:c>
      <x:c r="C2070" s="24" t="str">
        <x:v>DISPONÍVEL</x:v>
      </x:c>
      <x:c r="D2070" s="24" t="str">
        <x:v>ZEISS</x:v>
      </x:c>
      <x:c r="E2070" s="24" t="str">
        <x:v>Progressiva</x:v>
      </x:c>
      <x:c r="F2070" s="24" t="str">
        <x:v>Surfaçada</x:v>
      </x:c>
      <x:c r="G2070" s="24" t="str">
        <x:v>ClearMind Superb</x:v>
      </x:c>
      <x:c r="H2070" s="24" t="str">
        <x:v>PhotoFusion X Extra Dark Cinza</x:v>
      </x:c>
      <x:c r="I2070" s="24" t="str">
        <x:v>1.5</x:v>
      </x:c>
      <x:c r="J2070" s="24" t="str">
        <x:v>1.50</x:v>
      </x:c>
      <x:c r="K2070" s="24" t="str">
        <x:v>DuraVision Gold UV</x:v>
      </x:c>
      <x:c r="L2070" s="40" t="n">
        <x:v>9529</x:v>
      </x:c>
      <x:c r="M2070" s="24" t="str">
        <x:v>-6.00 a +5.50</x:v>
      </x:c>
      <x:c r="N2070" s="24" t="str">
        <x:v>-4.00</x:v>
      </x:c>
      <x:c r="O2070" s="24" t="str">
        <x:v>0.75 a 3.00</x:v>
      </x:c>
      <x:c r="P2070" s="24" t="str">
        <x:v>75</x:v>
      </x:c>
      <x:c r="Q2070" s="24"/>
      <x:c r="R2070" s="24"/>
      <x:c r="S2070" s="26" t="n">
        <x:v>46113</x:v>
      </x:c>
      <x:c r="T2070" s="26"/>
      <x:c r="U2070" s="24" t="str">
        <x:v>ATIVA/SEM FIM INFORMADO</x:v>
      </x:c>
      <x:c r="V2070" s="24" t="str">
        <x:v>Programa de Parcerias ZEISS — categoria Experts; Programa de Parcerias ZEISS</x:v>
      </x:c>
      <x:c r="W2070" s="24" t="n">
        <x:v>33</x:v>
      </x:c>
      <x:c r="X2070" s="24" t="str">
        <x:v>tabela_zeiss.pdf</x:v>
      </x:c>
      <x:c r="Y2070" s="24" t="str">
        <x:v>alta</x:v>
      </x:c>
      <x:c r="Z2070" s="24"/>
      <x:c r="AA2070" s="24" t="str">
        <x:v>ZEISS|Progressiva|Surfaçada|ClearMind Superb|PhotoFusion X Extra Dark Cinza|1.5|1.50|DuraVision Gold UV|-6.00 a +5.50|-4.00|0.75 a 3.00|75|||33</x:v>
      </x:c>
    </x:row>
    <x:row r="2071">
      <x:c r="A2071" s="24" t="str">
        <x:v>ZS-CBB69ECCA4A8</x:v>
      </x:c>
      <x:c r="B2071" s="24" t="str">
        <x:v>SIM</x:v>
      </x:c>
      <x:c r="C2071" s="24" t="str">
        <x:v>DISPONÍVEL</x:v>
      </x:c>
      <x:c r="D2071" s="24" t="str">
        <x:v>ZEISS</x:v>
      </x:c>
      <x:c r="E2071" s="24" t="str">
        <x:v>Progressiva</x:v>
      </x:c>
      <x:c r="F2071" s="24" t="str">
        <x:v>Surfaçada</x:v>
      </x:c>
      <x:c r="G2071" s="24" t="str">
        <x:v>ClearMind Superb</x:v>
      </x:c>
      <x:c r="H2071" s="24" t="str">
        <x:v>PhotoFusion X Extra Dark Cinza</x:v>
      </x:c>
      <x:c r="I2071" s="24" t="str">
        <x:v>1.5</x:v>
      </x:c>
      <x:c r="J2071" s="24" t="str">
        <x:v>1.50</x:v>
      </x:c>
      <x:c r="K2071" s="24" t="str">
        <x:v>DURAVISION® ANTIVÍRUS PLATINUM UV</x:v>
      </x:c>
      <x:c r="L2071" s="40" t="n">
        <x:v>9389</x:v>
      </x:c>
      <x:c r="M2071" s="24" t="str">
        <x:v>-6.00 a +5.50</x:v>
      </x:c>
      <x:c r="N2071" s="24" t="str">
        <x:v>-4.00</x:v>
      </x:c>
      <x:c r="O2071" s="24" t="str">
        <x:v>0.75 a 3.00</x:v>
      </x:c>
      <x:c r="P2071" s="24" t="str">
        <x:v>75</x:v>
      </x:c>
      <x:c r="Q2071" s="24"/>
      <x:c r="R2071" s="24"/>
      <x:c r="S2071" s="26" t="n">
        <x:v>46113</x:v>
      </x:c>
      <x:c r="T2071" s="26"/>
      <x:c r="U2071" s="24" t="str">
        <x:v>ATIVA/SEM FIM INFORMADO</x:v>
      </x:c>
      <x:c r="V2071" s="24" t="str">
        <x:v>Programa de Parcerias ZEISS — categoria Experts; Programa de Parcerias ZEISS</x:v>
      </x:c>
      <x:c r="W2071" s="24" t="n">
        <x:v>33</x:v>
      </x:c>
      <x:c r="X2071" s="24" t="str">
        <x:v>tabela_zeiss.pdf</x:v>
      </x:c>
      <x:c r="Y2071" s="24" t="str">
        <x:v>alta</x:v>
      </x:c>
      <x:c r="Z2071" s="24"/>
      <x:c r="AA2071" s="24" t="str">
        <x:v>ZEISS|Progressiva|Surfaçada|ClearMind Superb|PhotoFusion X Extra Dark Cinza|1.5|1.50|DURAVISION® ANTIVÍRUS PLATINUM UV|-6.00 a +5.50|-4.00|0.75 a 3.00|75|||33</x:v>
      </x:c>
    </x:row>
    <x:row r="2072">
      <x:c r="A2072" s="24" t="str">
        <x:v>ZS-28C57D313449</x:v>
      </x:c>
      <x:c r="B2072" s="24" t="str">
        <x:v>SIM</x:v>
      </x:c>
      <x:c r="C2072" s="24" t="str">
        <x:v>DISPONÍVEL</x:v>
      </x:c>
      <x:c r="D2072" s="24" t="str">
        <x:v>ZEISS</x:v>
      </x:c>
      <x:c r="E2072" s="24" t="str">
        <x:v>Progressiva</x:v>
      </x:c>
      <x:c r="F2072" s="24" t="str">
        <x:v>Surfaçada</x:v>
      </x:c>
      <x:c r="G2072" s="24" t="str">
        <x:v>ClearMind Superb</x:v>
      </x:c>
      <x:c r="H2072" s="24" t="str">
        <x:v>PhotoFusion X Extra Dark Cinza</x:v>
      </x:c>
      <x:c r="I2072" s="24" t="str">
        <x:v>1.5</x:v>
      </x:c>
      <x:c r="J2072" s="24" t="str">
        <x:v>1.50</x:v>
      </x:c>
      <x:c r="K2072" s="24" t="str">
        <x:v>DuraVision Platinum UV</x:v>
      </x:c>
      <x:c r="L2072" s="40" t="n">
        <x:v>9389</x:v>
      </x:c>
      <x:c r="M2072" s="24" t="str">
        <x:v>-6.00 a +5.50</x:v>
      </x:c>
      <x:c r="N2072" s="24" t="str">
        <x:v>-4.00</x:v>
      </x:c>
      <x:c r="O2072" s="24" t="str">
        <x:v>0.75 a 3.00</x:v>
      </x:c>
      <x:c r="P2072" s="24" t="str">
        <x:v>75</x:v>
      </x:c>
      <x:c r="Q2072" s="24"/>
      <x:c r="R2072" s="24"/>
      <x:c r="S2072" s="26" t="n">
        <x:v>46113</x:v>
      </x:c>
      <x:c r="T2072" s="26"/>
      <x:c r="U2072" s="24" t="str">
        <x:v>ATIVA/SEM FIM INFORMADO</x:v>
      </x:c>
      <x:c r="V2072" s="24" t="str">
        <x:v>Programa de Parcerias ZEISS — categoria Experts; Programa de Parcerias ZEISS</x:v>
      </x:c>
      <x:c r="W2072" s="24" t="n">
        <x:v>33</x:v>
      </x:c>
      <x:c r="X2072" s="24" t="str">
        <x:v>tabela_zeiss.pdf</x:v>
      </x:c>
      <x:c r="Y2072" s="24" t="str">
        <x:v>alta</x:v>
      </x:c>
      <x:c r="Z2072" s="24"/>
      <x:c r="AA2072" s="24" t="str">
        <x:v>ZEISS|Progressiva|Surfaçada|ClearMind Superb|PhotoFusion X Extra Dark Cinza|1.5|1.50|DuraVision Platinum UV|-6.00 a +5.50|-4.00|0.75 a 3.00|75|||33</x:v>
      </x:c>
    </x:row>
    <x:row r="2073">
      <x:c r="A2073" s="24" t="str">
        <x:v>ZS-9816071AE3F9</x:v>
      </x:c>
      <x:c r="B2073" s="24" t="str">
        <x:v>SIM</x:v>
      </x:c>
      <x:c r="C2073" s="24" t="str">
        <x:v>DISPONÍVEL</x:v>
      </x:c>
      <x:c r="D2073" s="24" t="str">
        <x:v>ZEISS</x:v>
      </x:c>
      <x:c r="E2073" s="24" t="str">
        <x:v>Progressiva</x:v>
      </x:c>
      <x:c r="F2073" s="24" t="str">
        <x:v>Surfaçada</x:v>
      </x:c>
      <x:c r="G2073" s="24" t="str">
        <x:v>ClearMind Superb</x:v>
      </x:c>
      <x:c r="H2073" s="24" t="str">
        <x:v>PhotoFusion X Extra Dark Cinza</x:v>
      </x:c>
      <x:c r="I2073" s="24" t="str">
        <x:v>1.5</x:v>
      </x:c>
      <x:c r="J2073" s="24" t="str">
        <x:v>1.50</x:v>
      </x:c>
      <x:c r="K2073" s="24" t="str">
        <x:v>DuraVision Silver UV</x:v>
      </x:c>
      <x:c r="L2073" s="40" t="n">
        <x:v>9129</x:v>
      </x:c>
      <x:c r="M2073" s="24" t="str">
        <x:v>-6.00 a +5.50</x:v>
      </x:c>
      <x:c r="N2073" s="24" t="str">
        <x:v>-4.00</x:v>
      </x:c>
      <x:c r="O2073" s="24" t="str">
        <x:v>0.75 a 3.00</x:v>
      </x:c>
      <x:c r="P2073" s="24" t="str">
        <x:v>75</x:v>
      </x:c>
      <x:c r="Q2073" s="24"/>
      <x:c r="R2073" s="24"/>
      <x:c r="S2073" s="26" t="n">
        <x:v>46113</x:v>
      </x:c>
      <x:c r="T2073" s="26"/>
      <x:c r="U2073" s="24" t="str">
        <x:v>ATIVA/SEM FIM INFORMADO</x:v>
      </x:c>
      <x:c r="V2073" s="24" t="str">
        <x:v>Programa de Parcerias ZEISS — categoria Experts; Programa de Parcerias ZEISS</x:v>
      </x:c>
      <x:c r="W2073" s="24" t="n">
        <x:v>33</x:v>
      </x:c>
      <x:c r="X2073" s="24" t="str">
        <x:v>tabela_zeiss.pdf</x:v>
      </x:c>
      <x:c r="Y2073" s="24" t="str">
        <x:v>alta</x:v>
      </x:c>
      <x:c r="Z2073" s="24"/>
      <x:c r="AA2073" s="24" t="str">
        <x:v>ZEISS|Progressiva|Surfaçada|ClearMind Superb|PhotoFusion X Extra Dark Cinza|1.5|1.50|DuraVision Silver UV|-6.00 a +5.50|-4.00|0.75 a 3.00|75|||33</x:v>
      </x:c>
    </x:row>
    <x:row r="2074">
      <x:c r="A2074" s="24" t="str">
        <x:v>ZS-C23BA255EF2A</x:v>
      </x:c>
      <x:c r="B2074" s="24" t="str">
        <x:v>SIM</x:v>
      </x:c>
      <x:c r="C2074" s="24" t="str">
        <x:v>DISPONÍVEL</x:v>
      </x:c>
      <x:c r="D2074" s="24" t="str">
        <x:v>ZEISS</x:v>
      </x:c>
      <x:c r="E2074" s="24" t="str">
        <x:v>Progressiva</x:v>
      </x:c>
      <x:c r="F2074" s="24" t="str">
        <x:v>Surfaçada</x:v>
      </x:c>
      <x:c r="G2074" s="24" t="str">
        <x:v>ClearMind Superb</x:v>
      </x:c>
      <x:c r="H2074" s="24" t="str">
        <x:v>PhotoFusion X Extra Dark Cinza</x:v>
      </x:c>
      <x:c r="I2074" s="24" t="str">
        <x:v>1.5</x:v>
      </x:c>
      <x:c r="J2074" s="24" t="str">
        <x:v>1.50</x:v>
      </x:c>
      <x:c r="K2074" s="24" t="str">
        <x:v>DuraVision Chrome UV</x:v>
      </x:c>
      <x:c r="L2074" s="40" t="n">
        <x:v>8639</x:v>
      </x:c>
      <x:c r="M2074" s="24" t="str">
        <x:v>-6.00 a +5.50</x:v>
      </x:c>
      <x:c r="N2074" s="24" t="str">
        <x:v>-4.00</x:v>
      </x:c>
      <x:c r="O2074" s="24" t="str">
        <x:v>0.75 a 3.00</x:v>
      </x:c>
      <x:c r="P2074" s="24" t="str">
        <x:v>75</x:v>
      </x:c>
      <x:c r="Q2074" s="24"/>
      <x:c r="R2074" s="24"/>
      <x:c r="S2074" s="26" t="n">
        <x:v>46113</x:v>
      </x:c>
      <x:c r="T2074" s="26"/>
      <x:c r="U2074" s="24" t="str">
        <x:v>ATIVA/SEM FIM INFORMADO</x:v>
      </x:c>
      <x:c r="V2074" s="24" t="str">
        <x:v>Programa de Parcerias ZEISS — categoria Experts; Programa de Parcerias ZEISS</x:v>
      </x:c>
      <x:c r="W2074" s="24" t="n">
        <x:v>33</x:v>
      </x:c>
      <x:c r="X2074" s="24" t="str">
        <x:v>tabela_zeiss.pdf</x:v>
      </x:c>
      <x:c r="Y2074" s="24" t="str">
        <x:v>alta</x:v>
      </x:c>
      <x:c r="Z2074" s="24"/>
      <x:c r="AA2074" s="24" t="str">
        <x:v>ZEISS|Progressiva|Surfaçada|ClearMind Superb|PhotoFusion X Extra Dark Cinza|1.5|1.50|DuraVision Chrome UV|-6.00 a +5.50|-4.00|0.75 a 3.00|75|||33</x:v>
      </x:c>
    </x:row>
    <x:row r="2075">
      <x:c r="A2075" s="24" t="str">
        <x:v>ZS-823B62A55DCB</x:v>
      </x:c>
      <x:c r="B2075" s="24" t="str">
        <x:v>SIM</x:v>
      </x:c>
      <x:c r="C2075" s="24" t="str">
        <x:v>DISPONÍVEL</x:v>
      </x:c>
      <x:c r="D2075" s="24" t="str">
        <x:v>ZEISS</x:v>
      </x:c>
      <x:c r="E2075" s="24" t="str">
        <x:v>Progressiva</x:v>
      </x:c>
      <x:c r="F2075" s="24" t="str">
        <x:v>Surfaçada</x:v>
      </x:c>
      <x:c r="G2075" s="24" t="str">
        <x:v>ClearMind Superb</x:v>
      </x:c>
      <x:c r="H2075" s="24" t="str">
        <x:v>PhotoFusion X Extra Dark Cinza</x:v>
      </x:c>
      <x:c r="I2075" s="24" t="str">
        <x:v>Poli</x:v>
      </x:c>
      <x:c r="J2075" s="24"/>
      <x:c r="K2075" s="24" t="str">
        <x:v>DuraVision Gold UV</x:v>
      </x:c>
      <x:c r="L2075" s="40" t="n">
        <x:v>10119</x:v>
      </x:c>
      <x:c r="M2075" s="24" t="str">
        <x:v>-10.00 a +6.00</x:v>
      </x:c>
      <x:c r="N2075" s="24" t="str">
        <x:v>-6.00</x:v>
      </x:c>
      <x:c r="O2075" s="24" t="str">
        <x:v>0.75 a 3.00</x:v>
      </x:c>
      <x:c r="P2075" s="24" t="str">
        <x:v>70</x:v>
      </x:c>
      <x:c r="Q2075" s="24"/>
      <x:c r="R2075" s="24"/>
      <x:c r="S2075" s="26" t="n">
        <x:v>46113</x:v>
      </x:c>
      <x:c r="T2075" s="26"/>
      <x:c r="U2075" s="24" t="str">
        <x:v>ATIVA/SEM FIM INFORMADO</x:v>
      </x:c>
      <x:c r="V2075" s="24" t="str">
        <x:v>Programa de Parcerias ZEISS — categoria Experts; Programa de Parcerias ZEISS</x:v>
      </x:c>
      <x:c r="W2075" s="24" t="n">
        <x:v>33</x:v>
      </x:c>
      <x:c r="X2075" s="24" t="str">
        <x:v>tabela_zeiss.pdf</x:v>
      </x:c>
      <x:c r="Y2075" s="24" t="str">
        <x:v>alta</x:v>
      </x:c>
      <x:c r="Z2075" s="24"/>
      <x:c r="AA2075" s="24" t="str">
        <x:v>ZEISS|Progressiva|Surfaçada|ClearMind Superb|PhotoFusion X Extra Dark Cinza|Poli||DuraVision Gold UV|-10.00 a +6.00|-6.00|0.75 a 3.00|70|||33</x:v>
      </x:c>
    </x:row>
    <x:row r="2076">
      <x:c r="A2076" s="24" t="str">
        <x:v>ZS-858F423EBB0D</x:v>
      </x:c>
      <x:c r="B2076" s="24" t="str">
        <x:v>SIM</x:v>
      </x:c>
      <x:c r="C2076" s="24" t="str">
        <x:v>DISPONÍVEL</x:v>
      </x:c>
      <x:c r="D2076" s="24" t="str">
        <x:v>ZEISS</x:v>
      </x:c>
      <x:c r="E2076" s="24" t="str">
        <x:v>Progressiva</x:v>
      </x:c>
      <x:c r="F2076" s="24" t="str">
        <x:v>Surfaçada</x:v>
      </x:c>
      <x:c r="G2076" s="24" t="str">
        <x:v>ClearMind Superb</x:v>
      </x:c>
      <x:c r="H2076" s="24" t="str">
        <x:v>PhotoFusion X Extra Dark Cinza</x:v>
      </x:c>
      <x:c r="I2076" s="24" t="str">
        <x:v>Poli</x:v>
      </x:c>
      <x:c r="J2076" s="24"/>
      <x:c r="K2076" s="24" t="str">
        <x:v>DuraVision Platinum UV</x:v>
      </x:c>
      <x:c r="L2076" s="40" t="n">
        <x:v>9979</x:v>
      </x:c>
      <x:c r="M2076" s="24" t="str">
        <x:v>-10.00 a +6.00</x:v>
      </x:c>
      <x:c r="N2076" s="24" t="str">
        <x:v>-6.00</x:v>
      </x:c>
      <x:c r="O2076" s="24" t="str">
        <x:v>0.75 a 3.00</x:v>
      </x:c>
      <x:c r="P2076" s="24" t="str">
        <x:v>70</x:v>
      </x:c>
      <x:c r="Q2076" s="24"/>
      <x:c r="R2076" s="24"/>
      <x:c r="S2076" s="26" t="n">
        <x:v>46113</x:v>
      </x:c>
      <x:c r="T2076" s="26"/>
      <x:c r="U2076" s="24" t="str">
        <x:v>ATIVA/SEM FIM INFORMADO</x:v>
      </x:c>
      <x:c r="V2076" s="24" t="str">
        <x:v>Programa de Parcerias ZEISS — categoria Experts; Programa de Parcerias ZEISS</x:v>
      </x:c>
      <x:c r="W2076" s="24" t="n">
        <x:v>33</x:v>
      </x:c>
      <x:c r="X2076" s="24" t="str">
        <x:v>tabela_zeiss.pdf</x:v>
      </x:c>
      <x:c r="Y2076" s="24" t="str">
        <x:v>alta</x:v>
      </x:c>
      <x:c r="Z2076" s="24"/>
      <x:c r="AA2076" s="24" t="str">
        <x:v>ZEISS|Progressiva|Surfaçada|ClearMind Superb|PhotoFusion X Extra Dark Cinza|Poli||DuraVision Platinum UV|-10.00 a +6.00|-6.00|0.75 a 3.00|70|||33</x:v>
      </x:c>
    </x:row>
    <x:row r="2077">
      <x:c r="A2077" s="24" t="str">
        <x:v>ZS-AA9007C29316</x:v>
      </x:c>
      <x:c r="B2077" s="24" t="str">
        <x:v>SIM</x:v>
      </x:c>
      <x:c r="C2077" s="24" t="str">
        <x:v>DISPONÍVEL</x:v>
      </x:c>
      <x:c r="D2077" s="24" t="str">
        <x:v>ZEISS</x:v>
      </x:c>
      <x:c r="E2077" s="24" t="str">
        <x:v>Progressiva</x:v>
      </x:c>
      <x:c r="F2077" s="24" t="str">
        <x:v>Surfaçada</x:v>
      </x:c>
      <x:c r="G2077" s="24" t="str">
        <x:v>ClearMind Superb</x:v>
      </x:c>
      <x:c r="H2077" s="24" t="str">
        <x:v>PhotoFusion X Extra Dark Cinza</x:v>
      </x:c>
      <x:c r="I2077" s="24" t="str">
        <x:v>Poli</x:v>
      </x:c>
      <x:c r="J2077" s="24"/>
      <x:c r="K2077" s="24" t="str">
        <x:v>DuraVision Silver UV</x:v>
      </x:c>
      <x:c r="L2077" s="40" t="n">
        <x:v>9719</x:v>
      </x:c>
      <x:c r="M2077" s="24" t="str">
        <x:v>-10.00 a +6.00</x:v>
      </x:c>
      <x:c r="N2077" s="24" t="str">
        <x:v>-6.00</x:v>
      </x:c>
      <x:c r="O2077" s="24" t="str">
        <x:v>0.75 a 3.00</x:v>
      </x:c>
      <x:c r="P2077" s="24" t="str">
        <x:v>70</x:v>
      </x:c>
      <x:c r="Q2077" s="24"/>
      <x:c r="R2077" s="24"/>
      <x:c r="S2077" s="26" t="n">
        <x:v>46113</x:v>
      </x:c>
      <x:c r="T2077" s="26"/>
      <x:c r="U2077" s="24" t="str">
        <x:v>ATIVA/SEM FIM INFORMADO</x:v>
      </x:c>
      <x:c r="V2077" s="24" t="str">
        <x:v>Programa de Parcerias ZEISS — categoria Experts; Programa de Parcerias ZEISS</x:v>
      </x:c>
      <x:c r="W2077" s="24" t="n">
        <x:v>33</x:v>
      </x:c>
      <x:c r="X2077" s="24" t="str">
        <x:v>tabela_zeiss.pdf</x:v>
      </x:c>
      <x:c r="Y2077" s="24" t="str">
        <x:v>alta</x:v>
      </x:c>
      <x:c r="Z2077" s="24"/>
      <x:c r="AA2077" s="24" t="str">
        <x:v>ZEISS|Progressiva|Surfaçada|ClearMind Superb|PhotoFusion X Extra Dark Cinza|Poli||DuraVision Silver UV|-10.00 a +6.00|-6.00|0.75 a 3.00|70|||33</x:v>
      </x:c>
    </x:row>
    <x:row r="2078">
      <x:c r="A2078" s="24" t="str">
        <x:v>ZS-0D2DFFEB2A2D</x:v>
      </x:c>
      <x:c r="B2078" s="24" t="str">
        <x:v>SIM</x:v>
      </x:c>
      <x:c r="C2078" s="24" t="str">
        <x:v>DISPONÍVEL</x:v>
      </x:c>
      <x:c r="D2078" s="24" t="str">
        <x:v>ZEISS</x:v>
      </x:c>
      <x:c r="E2078" s="24" t="str">
        <x:v>Progressiva</x:v>
      </x:c>
      <x:c r="F2078" s="24" t="str">
        <x:v>Surfaçada</x:v>
      </x:c>
      <x:c r="G2078" s="24" t="str">
        <x:v>ClearMind Superb</x:v>
      </x:c>
      <x:c r="H2078" s="24" t="str">
        <x:v>PhotoFusion X Extra Dark Cinza</x:v>
      </x:c>
      <x:c r="I2078" s="24" t="str">
        <x:v>Poli</x:v>
      </x:c>
      <x:c r="J2078" s="24"/>
      <x:c r="K2078" s="24" t="str">
        <x:v>DuraVision Chrome UV</x:v>
      </x:c>
      <x:c r="L2078" s="40" t="n">
        <x:v>9229</x:v>
      </x:c>
      <x:c r="M2078" s="24" t="str">
        <x:v>-10.00 a +6.00</x:v>
      </x:c>
      <x:c r="N2078" s="24" t="str">
        <x:v>-6.00</x:v>
      </x:c>
      <x:c r="O2078" s="24" t="str">
        <x:v>0.75 a 3.00</x:v>
      </x:c>
      <x:c r="P2078" s="24" t="str">
        <x:v>70</x:v>
      </x:c>
      <x:c r="Q2078" s="24"/>
      <x:c r="R2078" s="24"/>
      <x:c r="S2078" s="26" t="n">
        <x:v>46113</x:v>
      </x:c>
      <x:c r="T2078" s="26"/>
      <x:c r="U2078" s="24" t="str">
        <x:v>ATIVA/SEM FIM INFORMADO</x:v>
      </x:c>
      <x:c r="V2078" s="24" t="str">
        <x:v>Programa de Parcerias ZEISS — categoria Experts; Programa de Parcerias ZEISS</x:v>
      </x:c>
      <x:c r="W2078" s="24" t="n">
        <x:v>33</x:v>
      </x:c>
      <x:c r="X2078" s="24" t="str">
        <x:v>tabela_zeiss.pdf</x:v>
      </x:c>
      <x:c r="Y2078" s="24" t="str">
        <x:v>alta</x:v>
      </x:c>
      <x:c r="Z2078" s="24"/>
      <x:c r="AA2078" s="24" t="str">
        <x:v>ZEISS|Progressiva|Surfaçada|ClearMind Superb|PhotoFusion X Extra Dark Cinza|Poli||DuraVision Chrome UV|-10.00 a +6.00|-6.00|0.75 a 3.00|70|||33</x:v>
      </x:c>
    </x:row>
    <x:row r="2079">
      <x:c r="A2079" s="24" t="str">
        <x:v>ZS-5793807028D2</x:v>
      </x:c>
      <x:c r="B2079" s="24" t="str">
        <x:v>SIM</x:v>
      </x:c>
      <x:c r="C2079" s="24" t="str">
        <x:v>DISPONÍVEL</x:v>
      </x:c>
      <x:c r="D2079" s="24" t="str">
        <x:v>ZEISS</x:v>
      </x:c>
      <x:c r="E2079" s="24" t="str">
        <x:v>Progressiva</x:v>
      </x:c>
      <x:c r="F2079" s="24" t="str">
        <x:v>Surfaçada</x:v>
      </x:c>
      <x:c r="G2079" s="24" t="str">
        <x:v>ClearMind Superb</x:v>
      </x:c>
      <x:c r="H2079" s="24" t="str">
        <x:v>PhotoFusion X Extra Dark Cinza</x:v>
      </x:c>
      <x:c r="I2079" s="24" t="str">
        <x:v>1.6</x:v>
      </x:c>
      <x:c r="J2079" s="24" t="str">
        <x:v>1.60</x:v>
      </x:c>
      <x:c r="K2079" s="24" t="str">
        <x:v>DuraVision Gold UV</x:v>
      </x:c>
      <x:c r="L2079" s="40" t="n">
        <x:v>10779</x:v>
      </x:c>
      <x:c r="M2079" s="24" t="str">
        <x:v>-7.25 a +6.00</x:v>
      </x:c>
      <x:c r="N2079" s="24" t="str">
        <x:v>-6.00</x:v>
      </x:c>
      <x:c r="O2079" s="24" t="str">
        <x:v>0.75 a 3.50</x:v>
      </x:c>
      <x:c r="P2079" s="24" t="str">
        <x:v>75</x:v>
      </x:c>
      <x:c r="Q2079" s="24"/>
      <x:c r="R2079" s="24"/>
      <x:c r="S2079" s="26" t="n">
        <x:v>46113</x:v>
      </x:c>
      <x:c r="T2079" s="26"/>
      <x:c r="U2079" s="24" t="str">
        <x:v>ATIVA/SEM FIM INFORMADO</x:v>
      </x:c>
      <x:c r="V2079" s="24" t="str">
        <x:v>Programa de Parcerias ZEISS — categoria Experts; Programa de Parcerias ZEISS</x:v>
      </x:c>
      <x:c r="W2079" s="24" t="n">
        <x:v>33</x:v>
      </x:c>
      <x:c r="X2079" s="24" t="str">
        <x:v>tabela_zeiss.pdf</x:v>
      </x:c>
      <x:c r="Y2079" s="24" t="str">
        <x:v>alta</x:v>
      </x:c>
      <x:c r="Z2079" s="24"/>
      <x:c r="AA2079" s="24" t="str">
        <x:v>ZEISS|Progressiva|Surfaçada|ClearMind Superb|PhotoFusion X Extra Dark Cinza|1.6|1.60|DuraVision Gold UV|-7.25 a +6.00|-6.00|0.75 a 3.50|75|||33</x:v>
      </x:c>
    </x:row>
    <x:row r="2080">
      <x:c r="A2080" s="24" t="str">
        <x:v>ZS-5BF9FD9AEAFC</x:v>
      </x:c>
      <x:c r="B2080" s="24" t="str">
        <x:v>SIM</x:v>
      </x:c>
      <x:c r="C2080" s="24" t="str">
        <x:v>DISPONÍVEL</x:v>
      </x:c>
      <x:c r="D2080" s="24" t="str">
        <x:v>ZEISS</x:v>
      </x:c>
      <x:c r="E2080" s="24" t="str">
        <x:v>Progressiva</x:v>
      </x:c>
      <x:c r="F2080" s="24" t="str">
        <x:v>Surfaçada</x:v>
      </x:c>
      <x:c r="G2080" s="24" t="str">
        <x:v>ClearMind Superb</x:v>
      </x:c>
      <x:c r="H2080" s="24" t="str">
        <x:v>PhotoFusion X Extra Dark Cinza</x:v>
      </x:c>
      <x:c r="I2080" s="24" t="str">
        <x:v>1.6</x:v>
      </x:c>
      <x:c r="J2080" s="24" t="str">
        <x:v>1.60</x:v>
      </x:c>
      <x:c r="K2080" s="24" t="str">
        <x:v>DURAVISION® ANTIVÍRUS PLATINUM UV</x:v>
      </x:c>
      <x:c r="L2080" s="40" t="n">
        <x:v>10639</x:v>
      </x:c>
      <x:c r="M2080" s="24" t="str">
        <x:v>-7.25 a +6.00</x:v>
      </x:c>
      <x:c r="N2080" s="24" t="str">
        <x:v>-6.00</x:v>
      </x:c>
      <x:c r="O2080" s="24" t="str">
        <x:v>0.75 a 3.50</x:v>
      </x:c>
      <x:c r="P2080" s="24" t="str">
        <x:v>75</x:v>
      </x:c>
      <x:c r="Q2080" s="24"/>
      <x:c r="R2080" s="24"/>
      <x:c r="S2080" s="26" t="n">
        <x:v>46113</x:v>
      </x:c>
      <x:c r="T2080" s="26"/>
      <x:c r="U2080" s="24" t="str">
        <x:v>ATIVA/SEM FIM INFORMADO</x:v>
      </x:c>
      <x:c r="V2080" s="24" t="str">
        <x:v>Programa de Parcerias ZEISS — categoria Experts; Programa de Parcerias ZEISS</x:v>
      </x:c>
      <x:c r="W2080" s="24" t="n">
        <x:v>33</x:v>
      </x:c>
      <x:c r="X2080" s="24" t="str">
        <x:v>tabela_zeiss.pdf</x:v>
      </x:c>
      <x:c r="Y2080" s="24" t="str">
        <x:v>alta</x:v>
      </x:c>
      <x:c r="Z2080" s="24"/>
      <x:c r="AA2080" s="24" t="str">
        <x:v>ZEISS|Progressiva|Surfaçada|ClearMind Superb|PhotoFusion X Extra Dark Cinza|1.6|1.60|DURAVISION® ANTIVÍRUS PLATINUM UV|-7.25 a +6.00|-6.00|0.75 a 3.50|75|||33</x:v>
      </x:c>
    </x:row>
    <x:row r="2081">
      <x:c r="A2081" s="24" t="str">
        <x:v>ZS-BDF67142140F</x:v>
      </x:c>
      <x:c r="B2081" s="24" t="str">
        <x:v>SIM</x:v>
      </x:c>
      <x:c r="C2081" s="24" t="str">
        <x:v>DISPONÍVEL</x:v>
      </x:c>
      <x:c r="D2081" s="24" t="str">
        <x:v>ZEISS</x:v>
      </x:c>
      <x:c r="E2081" s="24" t="str">
        <x:v>Progressiva</x:v>
      </x:c>
      <x:c r="F2081" s="24" t="str">
        <x:v>Surfaçada</x:v>
      </x:c>
      <x:c r="G2081" s="24" t="str">
        <x:v>ClearMind Superb</x:v>
      </x:c>
      <x:c r="H2081" s="24" t="str">
        <x:v>PhotoFusion X Extra Dark Cinza</x:v>
      </x:c>
      <x:c r="I2081" s="24" t="str">
        <x:v>1.6</x:v>
      </x:c>
      <x:c r="J2081" s="24" t="str">
        <x:v>1.60</x:v>
      </x:c>
      <x:c r="K2081" s="24" t="str">
        <x:v>DuraVision Platinum UV</x:v>
      </x:c>
      <x:c r="L2081" s="40" t="n">
        <x:v>10639</x:v>
      </x:c>
      <x:c r="M2081" s="24" t="str">
        <x:v>-7.25 a +6.00</x:v>
      </x:c>
      <x:c r="N2081" s="24" t="str">
        <x:v>-6.00</x:v>
      </x:c>
      <x:c r="O2081" s="24" t="str">
        <x:v>0.75 a 3.50</x:v>
      </x:c>
      <x:c r="P2081" s="24" t="str">
        <x:v>75</x:v>
      </x:c>
      <x:c r="Q2081" s="24"/>
      <x:c r="R2081" s="24"/>
      <x:c r="S2081" s="26" t="n">
        <x:v>46113</x:v>
      </x:c>
      <x:c r="T2081" s="26"/>
      <x:c r="U2081" s="24" t="str">
        <x:v>ATIVA/SEM FIM INFORMADO</x:v>
      </x:c>
      <x:c r="V2081" s="24" t="str">
        <x:v>Programa de Parcerias ZEISS — categoria Experts; Programa de Parcerias ZEISS</x:v>
      </x:c>
      <x:c r="W2081" s="24" t="n">
        <x:v>33</x:v>
      </x:c>
      <x:c r="X2081" s="24" t="str">
        <x:v>tabela_zeiss.pdf</x:v>
      </x:c>
      <x:c r="Y2081" s="24" t="str">
        <x:v>alta</x:v>
      </x:c>
      <x:c r="Z2081" s="24"/>
      <x:c r="AA2081" s="24" t="str">
        <x:v>ZEISS|Progressiva|Surfaçada|ClearMind Superb|PhotoFusion X Extra Dark Cinza|1.6|1.60|DuraVision Platinum UV|-7.25 a +6.00|-6.00|0.75 a 3.50|75|||33</x:v>
      </x:c>
    </x:row>
    <x:row r="2082">
      <x:c r="A2082" s="24" t="str">
        <x:v>ZS-E0A8C4A2A267</x:v>
      </x:c>
      <x:c r="B2082" s="24" t="str">
        <x:v>SIM</x:v>
      </x:c>
      <x:c r="C2082" s="24" t="str">
        <x:v>DISPONÍVEL</x:v>
      </x:c>
      <x:c r="D2082" s="24" t="str">
        <x:v>ZEISS</x:v>
      </x:c>
      <x:c r="E2082" s="24" t="str">
        <x:v>Progressiva</x:v>
      </x:c>
      <x:c r="F2082" s="24" t="str">
        <x:v>Surfaçada</x:v>
      </x:c>
      <x:c r="G2082" s="24" t="str">
        <x:v>ClearMind Superb</x:v>
      </x:c>
      <x:c r="H2082" s="24" t="str">
        <x:v>PhotoFusion X Extra Dark Cinza</x:v>
      </x:c>
      <x:c r="I2082" s="24" t="str">
        <x:v>1.6</x:v>
      </x:c>
      <x:c r="J2082" s="24" t="str">
        <x:v>1.60</x:v>
      </x:c>
      <x:c r="K2082" s="24" t="str">
        <x:v>DuraVision Silver UV</x:v>
      </x:c>
      <x:c r="L2082" s="40" t="n">
        <x:v>10379</x:v>
      </x:c>
      <x:c r="M2082" s="24" t="str">
        <x:v>-7.25 a +6.00</x:v>
      </x:c>
      <x:c r="N2082" s="24" t="str">
        <x:v>-6.00</x:v>
      </x:c>
      <x:c r="O2082" s="24" t="str">
        <x:v>0.75 a 3.50</x:v>
      </x:c>
      <x:c r="P2082" s="24" t="str">
        <x:v>75</x:v>
      </x:c>
      <x:c r="Q2082" s="24"/>
      <x:c r="R2082" s="24"/>
      <x:c r="S2082" s="26" t="n">
        <x:v>46113</x:v>
      </x:c>
      <x:c r="T2082" s="26"/>
      <x:c r="U2082" s="24" t="str">
        <x:v>ATIVA/SEM FIM INFORMADO</x:v>
      </x:c>
      <x:c r="V2082" s="24" t="str">
        <x:v>Programa de Parcerias ZEISS — categoria Experts; Programa de Parcerias ZEISS</x:v>
      </x:c>
      <x:c r="W2082" s="24" t="n">
        <x:v>33</x:v>
      </x:c>
      <x:c r="X2082" s="24" t="str">
        <x:v>tabela_zeiss.pdf</x:v>
      </x:c>
      <x:c r="Y2082" s="24" t="str">
        <x:v>alta</x:v>
      </x:c>
      <x:c r="Z2082" s="24"/>
      <x:c r="AA2082" s="24" t="str">
        <x:v>ZEISS|Progressiva|Surfaçada|ClearMind Superb|PhotoFusion X Extra Dark Cinza|1.6|1.60|DuraVision Silver UV|-7.25 a +6.00|-6.00|0.75 a 3.50|75|||33</x:v>
      </x:c>
    </x:row>
    <x:row r="2083">
      <x:c r="A2083" s="24" t="str">
        <x:v>ZS-F25F0E187E78</x:v>
      </x:c>
      <x:c r="B2083" s="24" t="str">
        <x:v>SIM</x:v>
      </x:c>
      <x:c r="C2083" s="24" t="str">
        <x:v>DISPONÍVEL</x:v>
      </x:c>
      <x:c r="D2083" s="24" t="str">
        <x:v>ZEISS</x:v>
      </x:c>
      <x:c r="E2083" s="24" t="str">
        <x:v>Progressiva</x:v>
      </x:c>
      <x:c r="F2083" s="24" t="str">
        <x:v>Surfaçada</x:v>
      </x:c>
      <x:c r="G2083" s="24" t="str">
        <x:v>ClearMind Superb</x:v>
      </x:c>
      <x:c r="H2083" s="24" t="str">
        <x:v>PhotoFusion X Extra Dark Cinza</x:v>
      </x:c>
      <x:c r="I2083" s="24" t="str">
        <x:v>1.6</x:v>
      </x:c>
      <x:c r="J2083" s="24" t="str">
        <x:v>1.60</x:v>
      </x:c>
      <x:c r="K2083" s="24" t="str">
        <x:v>DuraVision Chrome UV</x:v>
      </x:c>
      <x:c r="L2083" s="40" t="n">
        <x:v>9889</x:v>
      </x:c>
      <x:c r="M2083" s="24" t="str">
        <x:v>-7.25 a +6.00</x:v>
      </x:c>
      <x:c r="N2083" s="24" t="str">
        <x:v>-6.00</x:v>
      </x:c>
      <x:c r="O2083" s="24" t="str">
        <x:v>0.75 a 3.50</x:v>
      </x:c>
      <x:c r="P2083" s="24" t="str">
        <x:v>75</x:v>
      </x:c>
      <x:c r="Q2083" s="24"/>
      <x:c r="R2083" s="24"/>
      <x:c r="S2083" s="26" t="n">
        <x:v>46113</x:v>
      </x:c>
      <x:c r="T2083" s="26"/>
      <x:c r="U2083" s="24" t="str">
        <x:v>ATIVA/SEM FIM INFORMADO</x:v>
      </x:c>
      <x:c r="V2083" s="24" t="str">
        <x:v>Programa de Parcerias ZEISS — categoria Experts; Programa de Parcerias ZEISS</x:v>
      </x:c>
      <x:c r="W2083" s="24" t="n">
        <x:v>33</x:v>
      </x:c>
      <x:c r="X2083" s="24" t="str">
        <x:v>tabela_zeiss.pdf</x:v>
      </x:c>
      <x:c r="Y2083" s="24" t="str">
        <x:v>alta</x:v>
      </x:c>
      <x:c r="Z2083" s="24"/>
      <x:c r="AA2083" s="24" t="str">
        <x:v>ZEISS|Progressiva|Surfaçada|ClearMind Superb|PhotoFusion X Extra Dark Cinza|1.6|1.60|DuraVision Chrome UV|-7.25 a +6.00|-6.00|0.75 a 3.50|75|||33</x:v>
      </x:c>
    </x:row>
    <x:row r="2084">
      <x:c r="A2084" s="24" t="str">
        <x:v>ZS-EA709177D25C</x:v>
      </x:c>
      <x:c r="B2084" s="24" t="str">
        <x:v>SIM</x:v>
      </x:c>
      <x:c r="C2084" s="24" t="str">
        <x:v>DISPONÍVEL</x:v>
      </x:c>
      <x:c r="D2084" s="24" t="str">
        <x:v>ZEISS</x:v>
      </x:c>
      <x:c r="E2084" s="24" t="str">
        <x:v>Progressiva</x:v>
      </x:c>
      <x:c r="F2084" s="24" t="str">
        <x:v>Surfaçada</x:v>
      </x:c>
      <x:c r="G2084" s="24" t="str">
        <x:v>ClearMind Superb</x:v>
      </x:c>
      <x:c r="H2084" s="24" t="str">
        <x:v>PhotoFusion X Extra Dark Cinza</x:v>
      </x:c>
      <x:c r="I2084" s="24" t="str">
        <x:v>1.67</x:v>
      </x:c>
      <x:c r="J2084" s="24" t="str">
        <x:v>1.67</x:v>
      </x:c>
      <x:c r="K2084" s="24" t="str">
        <x:v>DuraVision Gold UV</x:v>
      </x:c>
      <x:c r="L2084" s="40" t="n">
        <x:v>12419</x:v>
      </x:c>
      <x:c r="M2084" s="24" t="str">
        <x:v>-8.00 a +8.00</x:v>
      </x:c>
      <x:c r="N2084" s="24" t="str">
        <x:v>-4.00</x:v>
      </x:c>
      <x:c r="O2084" s="24" t="str">
        <x:v>0.75 a 3.00</x:v>
      </x:c>
      <x:c r="P2084" s="24" t="str">
        <x:v>70</x:v>
      </x:c>
      <x:c r="Q2084" s="24"/>
      <x:c r="R2084" s="24"/>
      <x:c r="S2084" s="26" t="n">
        <x:v>46113</x:v>
      </x:c>
      <x:c r="T2084" s="26"/>
      <x:c r="U2084" s="24" t="str">
        <x:v>ATIVA/SEM FIM INFORMADO</x:v>
      </x:c>
      <x:c r="V2084" s="24" t="str">
        <x:v>Programa de Parcerias ZEISS — categoria Experts; Programa de Parcerias ZEISS</x:v>
      </x:c>
      <x:c r="W2084" s="24" t="n">
        <x:v>33</x:v>
      </x:c>
      <x:c r="X2084" s="24" t="str">
        <x:v>tabela_zeiss.pdf</x:v>
      </x:c>
      <x:c r="Y2084" s="24" t="str">
        <x:v>alta</x:v>
      </x:c>
      <x:c r="Z2084" s="24"/>
      <x:c r="AA2084" s="24" t="str">
        <x:v>ZEISS|Progressiva|Surfaçada|ClearMind Superb|PhotoFusion X Extra Dark Cinza|1.67|1.67|DuraVision Gold UV|-8.00 a +8.00|-4.00|0.75 a 3.00|70|||33</x:v>
      </x:c>
    </x:row>
    <x:row r="2085">
      <x:c r="A2085" s="24" t="str">
        <x:v>ZS-4CD0EF579278</x:v>
      </x:c>
      <x:c r="B2085" s="24" t="str">
        <x:v>SIM</x:v>
      </x:c>
      <x:c r="C2085" s="24" t="str">
        <x:v>DISPONÍVEL</x:v>
      </x:c>
      <x:c r="D2085" s="24" t="str">
        <x:v>ZEISS</x:v>
      </x:c>
      <x:c r="E2085" s="24" t="str">
        <x:v>Progressiva</x:v>
      </x:c>
      <x:c r="F2085" s="24" t="str">
        <x:v>Surfaçada</x:v>
      </x:c>
      <x:c r="G2085" s="24" t="str">
        <x:v>ClearMind Superb</x:v>
      </x:c>
      <x:c r="H2085" s="24" t="str">
        <x:v>PhotoFusion X Extra Dark Cinza</x:v>
      </x:c>
      <x:c r="I2085" s="24" t="str">
        <x:v>1.67</x:v>
      </x:c>
      <x:c r="J2085" s="24" t="str">
        <x:v>1.67</x:v>
      </x:c>
      <x:c r="K2085" s="24" t="str">
        <x:v>DURAVISION® ANTIVÍRUS PLATINUM UV</x:v>
      </x:c>
      <x:c r="L2085" s="40" t="n">
        <x:v>12279</x:v>
      </x:c>
      <x:c r="M2085" s="24" t="str">
        <x:v>-8.00 a +8.00</x:v>
      </x:c>
      <x:c r="N2085" s="24" t="str">
        <x:v>-4.00</x:v>
      </x:c>
      <x:c r="O2085" s="24" t="str">
        <x:v>0.75 a 3.00</x:v>
      </x:c>
      <x:c r="P2085" s="24" t="str">
        <x:v>70</x:v>
      </x:c>
      <x:c r="Q2085" s="24"/>
      <x:c r="R2085" s="24"/>
      <x:c r="S2085" s="26" t="n">
        <x:v>46113</x:v>
      </x:c>
      <x:c r="T2085" s="26"/>
      <x:c r="U2085" s="24" t="str">
        <x:v>ATIVA/SEM FIM INFORMADO</x:v>
      </x:c>
      <x:c r="V2085" s="24" t="str">
        <x:v>Programa de Parcerias ZEISS — categoria Experts; Programa de Parcerias ZEISS</x:v>
      </x:c>
      <x:c r="W2085" s="24" t="n">
        <x:v>33</x:v>
      </x:c>
      <x:c r="X2085" s="24" t="str">
        <x:v>tabela_zeiss.pdf</x:v>
      </x:c>
      <x:c r="Y2085" s="24" t="str">
        <x:v>alta</x:v>
      </x:c>
      <x:c r="Z2085" s="24"/>
      <x:c r="AA2085" s="24" t="str">
        <x:v>ZEISS|Progressiva|Surfaçada|ClearMind Superb|PhotoFusion X Extra Dark Cinza|1.67|1.67|DURAVISION® ANTIVÍRUS PLATINUM UV|-8.00 a +8.00|-4.00|0.75 a 3.00|70|||33</x:v>
      </x:c>
    </x:row>
    <x:row r="2086">
      <x:c r="A2086" s="24" t="str">
        <x:v>ZS-FA823D0BA587</x:v>
      </x:c>
      <x:c r="B2086" s="24" t="str">
        <x:v>SIM</x:v>
      </x:c>
      <x:c r="C2086" s="24" t="str">
        <x:v>DISPONÍVEL</x:v>
      </x:c>
      <x:c r="D2086" s="24" t="str">
        <x:v>ZEISS</x:v>
      </x:c>
      <x:c r="E2086" s="24" t="str">
        <x:v>Progressiva</x:v>
      </x:c>
      <x:c r="F2086" s="24" t="str">
        <x:v>Surfaçada</x:v>
      </x:c>
      <x:c r="G2086" s="24" t="str">
        <x:v>ClearMind Superb</x:v>
      </x:c>
      <x:c r="H2086" s="24" t="str">
        <x:v>PhotoFusion X Extra Dark Cinza</x:v>
      </x:c>
      <x:c r="I2086" s="24" t="str">
        <x:v>1.67</x:v>
      </x:c>
      <x:c r="J2086" s="24" t="str">
        <x:v>1.67</x:v>
      </x:c>
      <x:c r="K2086" s="24" t="str">
        <x:v>DuraVision Platinum UV</x:v>
      </x:c>
      <x:c r="L2086" s="40" t="n">
        <x:v>12279</x:v>
      </x:c>
      <x:c r="M2086" s="24" t="str">
        <x:v>-8.00 a +8.00</x:v>
      </x:c>
      <x:c r="N2086" s="24" t="str">
        <x:v>-4.00</x:v>
      </x:c>
      <x:c r="O2086" s="24" t="str">
        <x:v>0.75 a 3.00</x:v>
      </x:c>
      <x:c r="P2086" s="24" t="str">
        <x:v>70</x:v>
      </x:c>
      <x:c r="Q2086" s="24"/>
      <x:c r="R2086" s="24"/>
      <x:c r="S2086" s="26" t="n">
        <x:v>46113</x:v>
      </x:c>
      <x:c r="T2086" s="26"/>
      <x:c r="U2086" s="24" t="str">
        <x:v>ATIVA/SEM FIM INFORMADO</x:v>
      </x:c>
      <x:c r="V2086" s="24" t="str">
        <x:v>Programa de Parcerias ZEISS — categoria Experts; Programa de Parcerias ZEISS</x:v>
      </x:c>
      <x:c r="W2086" s="24" t="n">
        <x:v>33</x:v>
      </x:c>
      <x:c r="X2086" s="24" t="str">
        <x:v>tabela_zeiss.pdf</x:v>
      </x:c>
      <x:c r="Y2086" s="24" t="str">
        <x:v>alta</x:v>
      </x:c>
      <x:c r="Z2086" s="24"/>
      <x:c r="AA2086" s="24" t="str">
        <x:v>ZEISS|Progressiva|Surfaçada|ClearMind Superb|PhotoFusion X Extra Dark Cinza|1.67|1.67|DuraVision Platinum UV|-8.00 a +8.00|-4.00|0.75 a 3.00|70|||33</x:v>
      </x:c>
    </x:row>
    <x:row r="2087">
      <x:c r="A2087" s="24" t="str">
        <x:v>ZS-5FAB06E72646</x:v>
      </x:c>
      <x:c r="B2087" s="24" t="str">
        <x:v>SIM</x:v>
      </x:c>
      <x:c r="C2087" s="24" t="str">
        <x:v>DISPONÍVEL</x:v>
      </x:c>
      <x:c r="D2087" s="24" t="str">
        <x:v>ZEISS</x:v>
      </x:c>
      <x:c r="E2087" s="24" t="str">
        <x:v>Progressiva</x:v>
      </x:c>
      <x:c r="F2087" s="24" t="str">
        <x:v>Surfaçada</x:v>
      </x:c>
      <x:c r="G2087" s="24" t="str">
        <x:v>ClearMind Superb</x:v>
      </x:c>
      <x:c r="H2087" s="24" t="str">
        <x:v>PhotoFusion X Extra Dark Cinza</x:v>
      </x:c>
      <x:c r="I2087" s="24" t="str">
        <x:v>1.67</x:v>
      </x:c>
      <x:c r="J2087" s="24" t="str">
        <x:v>1.67</x:v>
      </x:c>
      <x:c r="K2087" s="24" t="str">
        <x:v>DuraVision Silver UV</x:v>
      </x:c>
      <x:c r="L2087" s="40" t="n">
        <x:v>12019</x:v>
      </x:c>
      <x:c r="M2087" s="24" t="str">
        <x:v>-8.00 a +8.00</x:v>
      </x:c>
      <x:c r="N2087" s="24" t="str">
        <x:v>-4.00</x:v>
      </x:c>
      <x:c r="O2087" s="24" t="str">
        <x:v>0.75 a 3.00</x:v>
      </x:c>
      <x:c r="P2087" s="24" t="str">
        <x:v>70</x:v>
      </x:c>
      <x:c r="Q2087" s="24"/>
      <x:c r="R2087" s="24"/>
      <x:c r="S2087" s="26" t="n">
        <x:v>46113</x:v>
      </x:c>
      <x:c r="T2087" s="26"/>
      <x:c r="U2087" s="24" t="str">
        <x:v>ATIVA/SEM FIM INFORMADO</x:v>
      </x:c>
      <x:c r="V2087" s="24" t="str">
        <x:v>Programa de Parcerias ZEISS — categoria Experts; Programa de Parcerias ZEISS</x:v>
      </x:c>
      <x:c r="W2087" s="24" t="n">
        <x:v>33</x:v>
      </x:c>
      <x:c r="X2087" s="24" t="str">
        <x:v>tabela_zeiss.pdf</x:v>
      </x:c>
      <x:c r="Y2087" s="24" t="str">
        <x:v>alta</x:v>
      </x:c>
      <x:c r="Z2087" s="24"/>
      <x:c r="AA2087" s="24" t="str">
        <x:v>ZEISS|Progressiva|Surfaçada|ClearMind Superb|PhotoFusion X Extra Dark Cinza|1.67|1.67|DuraVision Silver UV|-8.00 a +8.00|-4.00|0.75 a 3.00|70|||33</x:v>
      </x:c>
    </x:row>
    <x:row r="2088">
      <x:c r="A2088" s="24" t="str">
        <x:v>ZS-3034DB7002DD</x:v>
      </x:c>
      <x:c r="B2088" s="24" t="str">
        <x:v>SIM</x:v>
      </x:c>
      <x:c r="C2088" s="24" t="str">
        <x:v>DISPONÍVEL</x:v>
      </x:c>
      <x:c r="D2088" s="24" t="str">
        <x:v>ZEISS</x:v>
      </x:c>
      <x:c r="E2088" s="24" t="str">
        <x:v>Progressiva</x:v>
      </x:c>
      <x:c r="F2088" s="24" t="str">
        <x:v>Surfaçada</x:v>
      </x:c>
      <x:c r="G2088" s="24" t="str">
        <x:v>ClearMind Superb</x:v>
      </x:c>
      <x:c r="H2088" s="24" t="str">
        <x:v>PhotoFusion X Extra Dark Cinza</x:v>
      </x:c>
      <x:c r="I2088" s="24" t="str">
        <x:v>1.67</x:v>
      </x:c>
      <x:c r="J2088" s="24" t="str">
        <x:v>1.67</x:v>
      </x:c>
      <x:c r="K2088" s="24" t="str">
        <x:v>DuraVision Chrome UV</x:v>
      </x:c>
      <x:c r="L2088" s="40" t="n">
        <x:v>11529</x:v>
      </x:c>
      <x:c r="M2088" s="24" t="str">
        <x:v>-8.00 a +8.00</x:v>
      </x:c>
      <x:c r="N2088" s="24" t="str">
        <x:v>-4.00</x:v>
      </x:c>
      <x:c r="O2088" s="24" t="str">
        <x:v>0.75 a 3.00</x:v>
      </x:c>
      <x:c r="P2088" s="24" t="str">
        <x:v>70</x:v>
      </x:c>
      <x:c r="Q2088" s="24"/>
      <x:c r="R2088" s="24"/>
      <x:c r="S2088" s="26" t="n">
        <x:v>46113</x:v>
      </x:c>
      <x:c r="T2088" s="26"/>
      <x:c r="U2088" s="24" t="str">
        <x:v>ATIVA/SEM FIM INFORMADO</x:v>
      </x:c>
      <x:c r="V2088" s="24" t="str">
        <x:v>Programa de Parcerias ZEISS — categoria Experts; Programa de Parcerias ZEISS</x:v>
      </x:c>
      <x:c r="W2088" s="24" t="n">
        <x:v>33</x:v>
      </x:c>
      <x:c r="X2088" s="24" t="str">
        <x:v>tabela_zeiss.pdf</x:v>
      </x:c>
      <x:c r="Y2088" s="24" t="str">
        <x:v>alta</x:v>
      </x:c>
      <x:c r="Z2088" s="24"/>
      <x:c r="AA2088" s="24" t="str">
        <x:v>ZEISS|Progressiva|Surfaçada|ClearMind Superb|PhotoFusion X Extra Dark Cinza|1.67|1.67|DuraVision Chrome UV|-8.00 a +8.00|-4.00|0.75 a 3.00|70|||33</x:v>
      </x:c>
    </x:row>
    <x:row r="2089">
      <x:c r="A2089" s="24" t="str">
        <x:v>ZS-0A725DFD8121</x:v>
      </x:c>
      <x:c r="B2089" s="24" t="str">
        <x:v>SIM</x:v>
      </x:c>
      <x:c r="C2089" s="24" t="str">
        <x:v>DISPONÍVEL</x:v>
      </x:c>
      <x:c r="D2089" s="24" t="str">
        <x:v>ZEISS</x:v>
      </x:c>
      <x:c r="E2089" s="24" t="str">
        <x:v>Progressiva</x:v>
      </x:c>
      <x:c r="F2089" s="24" t="str">
        <x:v>Surfaçada</x:v>
      </x:c>
      <x:c r="G2089" s="24" t="str">
        <x:v>ClearMind Superb</x:v>
      </x:c>
      <x:c r="H2089" s="24" t="str">
        <x:v>Polarizada</x:v>
      </x:c>
      <x:c r="I2089" s="24" t="str">
        <x:v>1.5</x:v>
      </x:c>
      <x:c r="J2089" s="24" t="str">
        <x:v>1.50</x:v>
      </x:c>
      <x:c r="K2089" s="24" t="str">
        <x:v>DuraVision Gold UV</x:v>
      </x:c>
      <x:c r="L2089" s="40" t="n">
        <x:v>8899</x:v>
      </x:c>
      <x:c r="M2089" s="24" t="str">
        <x:v>-6.00 a +6.00</x:v>
      </x:c>
      <x:c r="N2089" s="24" t="str">
        <x:v>-4.00</x:v>
      </x:c>
      <x:c r="O2089" s="24" t="str">
        <x:v>0.75 a 3.50</x:v>
      </x:c>
      <x:c r="P2089" s="24" t="str">
        <x:v>70</x:v>
      </x:c>
      <x:c r="Q2089" s="24"/>
      <x:c r="R2089" s="24"/>
      <x:c r="S2089" s="26" t="n">
        <x:v>46113</x:v>
      </x:c>
      <x:c r="T2089" s="26"/>
      <x:c r="U2089" s="24" t="str">
        <x:v>ATIVA/SEM FIM INFORMADO</x:v>
      </x:c>
      <x:c r="V2089" s="24" t="str">
        <x:v>Programa de Parcerias ZEISS — categoria Experts</x:v>
      </x:c>
      <x:c r="W2089" s="24" t="n">
        <x:v>33</x:v>
      </x:c>
      <x:c r="X2089" s="24" t="str">
        <x:v>tabela_zeiss.pdf</x:v>
      </x:c>
      <x:c r="Y2089" s="24" t="str">
        <x:v>alta</x:v>
      </x:c>
      <x:c r="Z2089" s="24"/>
      <x:c r="AA2089" s="24" t="str">
        <x:v>ZEISS|Progressiva|Surfaçada|ClearMind Superb|Polarizada|1.5|1.50|DuraVision Gold UV|-6.00 a +6.00|-4.00|0.75 a 3.50|70|||33</x:v>
      </x:c>
    </x:row>
    <x:row r="2090">
      <x:c r="A2090" s="24" t="str">
        <x:v>ZS-7E5E1E0E8F55</x:v>
      </x:c>
      <x:c r="B2090" s="24" t="str">
        <x:v>SIM</x:v>
      </x:c>
      <x:c r="C2090" s="24" t="str">
        <x:v>DISPONÍVEL</x:v>
      </x:c>
      <x:c r="D2090" s="24" t="str">
        <x:v>ZEISS</x:v>
      </x:c>
      <x:c r="E2090" s="24" t="str">
        <x:v>Progressiva</x:v>
      </x:c>
      <x:c r="F2090" s="24" t="str">
        <x:v>Surfaçada</x:v>
      </x:c>
      <x:c r="G2090" s="24" t="str">
        <x:v>ClearMind Superb</x:v>
      </x:c>
      <x:c r="H2090" s="24" t="str">
        <x:v>Polarizada</x:v>
      </x:c>
      <x:c r="I2090" s="24" t="str">
        <x:v>1.5</x:v>
      </x:c>
      <x:c r="J2090" s="24" t="str">
        <x:v>1.50</x:v>
      </x:c>
      <x:c r="K2090" s="24" t="str">
        <x:v>DuraVision Platinum UV</x:v>
      </x:c>
      <x:c r="L2090" s="40" t="n">
        <x:v>8759</x:v>
      </x:c>
      <x:c r="M2090" s="24" t="str">
        <x:v>-6.00 a +6.00</x:v>
      </x:c>
      <x:c r="N2090" s="24" t="str">
        <x:v>-4.00</x:v>
      </x:c>
      <x:c r="O2090" s="24" t="str">
        <x:v>0.75 a 3.50</x:v>
      </x:c>
      <x:c r="P2090" s="24" t="str">
        <x:v>70</x:v>
      </x:c>
      <x:c r="Q2090" s="24"/>
      <x:c r="R2090" s="24"/>
      <x:c r="S2090" s="26" t="n">
        <x:v>46113</x:v>
      </x:c>
      <x:c r="T2090" s="26"/>
      <x:c r="U2090" s="24" t="str">
        <x:v>ATIVA/SEM FIM INFORMADO</x:v>
      </x:c>
      <x:c r="V2090" s="24" t="str">
        <x:v>Programa de Parcerias ZEISS — categoria Experts</x:v>
      </x:c>
      <x:c r="W2090" s="24" t="n">
        <x:v>33</x:v>
      </x:c>
      <x:c r="X2090" s="24" t="str">
        <x:v>tabela_zeiss.pdf</x:v>
      </x:c>
      <x:c r="Y2090" s="24" t="str">
        <x:v>alta</x:v>
      </x:c>
      <x:c r="Z2090" s="24"/>
      <x:c r="AA2090" s="24" t="str">
        <x:v>ZEISS|Progressiva|Surfaçada|ClearMind Superb|Polarizada|1.5|1.50|DuraVision Platinum UV|-6.00 a +6.00|-4.00|0.75 a 3.50|70|||33</x:v>
      </x:c>
    </x:row>
    <x:row r="2091">
      <x:c r="A2091" s="24" t="str">
        <x:v>ZS-EBB3D0298811</x:v>
      </x:c>
      <x:c r="B2091" s="24" t="str">
        <x:v>SIM</x:v>
      </x:c>
      <x:c r="C2091" s="24" t="str">
        <x:v>DISPONÍVEL</x:v>
      </x:c>
      <x:c r="D2091" s="24" t="str">
        <x:v>ZEISS</x:v>
      </x:c>
      <x:c r="E2091" s="24" t="str">
        <x:v>Progressiva</x:v>
      </x:c>
      <x:c r="F2091" s="24" t="str">
        <x:v>Surfaçada</x:v>
      </x:c>
      <x:c r="G2091" s="24" t="str">
        <x:v>ClearMind Superb</x:v>
      </x:c>
      <x:c r="H2091" s="24" t="str">
        <x:v>Polarizada</x:v>
      </x:c>
      <x:c r="I2091" s="24" t="str">
        <x:v>1.5</x:v>
      </x:c>
      <x:c r="J2091" s="24" t="str">
        <x:v>1.50</x:v>
      </x:c>
      <x:c r="K2091" s="24" t="str">
        <x:v>DuraVision Silver UV</x:v>
      </x:c>
      <x:c r="L2091" s="40" t="n">
        <x:v>8499</x:v>
      </x:c>
      <x:c r="M2091" s="24" t="str">
        <x:v>-6.00 a +6.00</x:v>
      </x:c>
      <x:c r="N2091" s="24" t="str">
        <x:v>-4.00</x:v>
      </x:c>
      <x:c r="O2091" s="24" t="str">
        <x:v>0.75 a 3.50</x:v>
      </x:c>
      <x:c r="P2091" s="24" t="str">
        <x:v>70</x:v>
      </x:c>
      <x:c r="Q2091" s="24"/>
      <x:c r="R2091" s="24"/>
      <x:c r="S2091" s="26" t="n">
        <x:v>46113</x:v>
      </x:c>
      <x:c r="T2091" s="26"/>
      <x:c r="U2091" s="24" t="str">
        <x:v>ATIVA/SEM FIM INFORMADO</x:v>
      </x:c>
      <x:c r="V2091" s="24" t="str">
        <x:v>Programa de Parcerias ZEISS — categoria Experts</x:v>
      </x:c>
      <x:c r="W2091" s="24" t="n">
        <x:v>33</x:v>
      </x:c>
      <x:c r="X2091" s="24" t="str">
        <x:v>tabela_zeiss.pdf</x:v>
      </x:c>
      <x:c r="Y2091" s="24" t="str">
        <x:v>alta</x:v>
      </x:c>
      <x:c r="Z2091" s="24"/>
      <x:c r="AA2091" s="24" t="str">
        <x:v>ZEISS|Progressiva|Surfaçada|ClearMind Superb|Polarizada|1.5|1.50|DuraVision Silver UV|-6.00 a +6.00|-4.00|0.75 a 3.50|70|||33</x:v>
      </x:c>
    </x:row>
    <x:row r="2092">
      <x:c r="A2092" s="24" t="str">
        <x:v>ZS-B57013011D11</x:v>
      </x:c>
      <x:c r="B2092" s="24" t="str">
        <x:v>SIM</x:v>
      </x:c>
      <x:c r="C2092" s="24" t="str">
        <x:v>DISPONÍVEL</x:v>
      </x:c>
      <x:c r="D2092" s="24" t="str">
        <x:v>ZEISS</x:v>
      </x:c>
      <x:c r="E2092" s="24" t="str">
        <x:v>Progressiva</x:v>
      </x:c>
      <x:c r="F2092" s="24" t="str">
        <x:v>Surfaçada</x:v>
      </x:c>
      <x:c r="G2092" s="24" t="str">
        <x:v>ClearMind Superb</x:v>
      </x:c>
      <x:c r="H2092" s="24" t="str">
        <x:v>Polarizada</x:v>
      </x:c>
      <x:c r="I2092" s="24" t="str">
        <x:v>1.5</x:v>
      </x:c>
      <x:c r="J2092" s="24" t="str">
        <x:v>1.50</x:v>
      </x:c>
      <x:c r="K2092" s="24" t="str">
        <x:v>DuraVision Chrome UV</x:v>
      </x:c>
      <x:c r="L2092" s="40" t="n">
        <x:v>8009</x:v>
      </x:c>
      <x:c r="M2092" s="24" t="str">
        <x:v>-6.00 a +6.00</x:v>
      </x:c>
      <x:c r="N2092" s="24" t="str">
        <x:v>-4.00</x:v>
      </x:c>
      <x:c r="O2092" s="24" t="str">
        <x:v>0.75 a 3.50</x:v>
      </x:c>
      <x:c r="P2092" s="24" t="str">
        <x:v>70</x:v>
      </x:c>
      <x:c r="Q2092" s="24"/>
      <x:c r="R2092" s="24"/>
      <x:c r="S2092" s="26" t="n">
        <x:v>46113</x:v>
      </x:c>
      <x:c r="T2092" s="26"/>
      <x:c r="U2092" s="24" t="str">
        <x:v>ATIVA/SEM FIM INFORMADO</x:v>
      </x:c>
      <x:c r="V2092" s="24" t="str">
        <x:v>Programa de Parcerias ZEISS — categoria Experts</x:v>
      </x:c>
      <x:c r="W2092" s="24" t="n">
        <x:v>33</x:v>
      </x:c>
      <x:c r="X2092" s="24" t="str">
        <x:v>tabela_zeiss.pdf</x:v>
      </x:c>
      <x:c r="Y2092" s="24" t="str">
        <x:v>alta</x:v>
      </x:c>
      <x:c r="Z2092" s="24"/>
      <x:c r="AA2092" s="24" t="str">
        <x:v>ZEISS|Progressiva|Surfaçada|ClearMind Superb|Polarizada|1.5|1.50|DuraVision Chrome UV|-6.00 a +6.00|-4.00|0.75 a 3.50|70|||33</x:v>
      </x:c>
    </x:row>
    <x:row r="2093">
      <x:c r="A2093" s="24" t="str">
        <x:v>ZS-DBEA51BBA106</x:v>
      </x:c>
      <x:c r="B2093" s="24" t="str">
        <x:v>SIM</x:v>
      </x:c>
      <x:c r="C2093" s="24" t="str">
        <x:v>DISPONÍVEL</x:v>
      </x:c>
      <x:c r="D2093" s="24" t="str">
        <x:v>ZEISS</x:v>
      </x:c>
      <x:c r="E2093" s="24" t="str">
        <x:v>Progressiva</x:v>
      </x:c>
      <x:c r="F2093" s="24" t="str">
        <x:v>Surfaçada</x:v>
      </x:c>
      <x:c r="G2093" s="24" t="str">
        <x:v>ClearMind Superb</x:v>
      </x:c>
      <x:c r="H2093" s="24" t="str">
        <x:v>Polarizada</x:v>
      </x:c>
      <x:c r="I2093" s="24" t="str">
        <x:v>1.5</x:v>
      </x:c>
      <x:c r="J2093" s="24" t="str">
        <x:v>1.50</x:v>
      </x:c>
      <x:c r="K2093" s="24" t="str">
        <x:v>Sem AR</x:v>
      </x:c>
      <x:c r="L2093" s="40" t="n">
        <x:v>7609</x:v>
      </x:c>
      <x:c r="M2093" s="24" t="str">
        <x:v>-6.00 a +6.00</x:v>
      </x:c>
      <x:c r="N2093" s="24" t="str">
        <x:v>-4.00</x:v>
      </x:c>
      <x:c r="O2093" s="24" t="str">
        <x:v>0.75 a 3.50</x:v>
      </x:c>
      <x:c r="P2093" s="24" t="str">
        <x:v>70</x:v>
      </x:c>
      <x:c r="Q2093" s="24"/>
      <x:c r="R2093" s="24"/>
      <x:c r="S2093" s="26" t="n">
        <x:v>46113</x:v>
      </x:c>
      <x:c r="T2093" s="26"/>
      <x:c r="U2093" s="24" t="str">
        <x:v>ATIVA/SEM FIM INFORMADO</x:v>
      </x:c>
      <x:c r="V2093" s="24" t="str">
        <x:v>Programa de Parcerias ZEISS — categoria Experts</x:v>
      </x:c>
      <x:c r="W2093" s="24" t="n">
        <x:v>33</x:v>
      </x:c>
      <x:c r="X2093" s="24" t="str">
        <x:v>tabela_zeiss.pdf</x:v>
      </x:c>
      <x:c r="Y2093" s="24" t="str">
        <x:v>alta</x:v>
      </x:c>
      <x:c r="Z2093" s="24"/>
      <x:c r="AA2093" s="24" t="str">
        <x:v>ZEISS|Progressiva|Surfaçada|ClearMind Superb|Polarizada|1.5|1.50|Sem AR|-6.00 a +6.00|-4.00|0.75 a 3.50|70|||33</x:v>
      </x:c>
    </x:row>
    <x:row r="2094">
      <x:c r="A2094" s="24" t="str">
        <x:v>ZS-79093794FD74</x:v>
      </x:c>
      <x:c r="B2094" s="24" t="str">
        <x:v>SIM</x:v>
      </x:c>
      <x:c r="C2094" s="24" t="str">
        <x:v>DISPONÍVEL</x:v>
      </x:c>
      <x:c r="D2094" s="24" t="str">
        <x:v>ZEISS</x:v>
      </x:c>
      <x:c r="E2094" s="24" t="str">
        <x:v>Progressiva</x:v>
      </x:c>
      <x:c r="F2094" s="24" t="str">
        <x:v>Surfaçada</x:v>
      </x:c>
      <x:c r="G2094" s="24" t="str">
        <x:v>ClearMind Superb</x:v>
      </x:c>
      <x:c r="H2094" s="24" t="str">
        <x:v>Polarizada</x:v>
      </x:c>
      <x:c r="I2094" s="24" t="str">
        <x:v>1.6</x:v>
      </x:c>
      <x:c r="J2094" s="24" t="str">
        <x:v>1.60</x:v>
      </x:c>
      <x:c r="K2094" s="24" t="str">
        <x:v>DuraVision Gold UV</x:v>
      </x:c>
      <x:c r="L2094" s="40" t="n">
        <x:v>10149</x:v>
      </x:c>
      <x:c r="M2094" s="24" t="str">
        <x:v>-8.50 a +6.00</x:v>
      </x:c>
      <x:c r="N2094" s="24" t="str">
        <x:v>-4.00</x:v>
      </x:c>
      <x:c r="O2094" s="24" t="str">
        <x:v>0.75 a 3.50</x:v>
      </x:c>
      <x:c r="P2094" s="24" t="str">
        <x:v>70</x:v>
      </x:c>
      <x:c r="Q2094" s="24"/>
      <x:c r="R2094" s="24"/>
      <x:c r="S2094" s="26" t="n">
        <x:v>46113</x:v>
      </x:c>
      <x:c r="T2094" s="26"/>
      <x:c r="U2094" s="24" t="str">
        <x:v>ATIVA/SEM FIM INFORMADO</x:v>
      </x:c>
      <x:c r="V2094" s="24" t="str">
        <x:v>Programa de Parcerias ZEISS — categoria Experts</x:v>
      </x:c>
      <x:c r="W2094" s="24" t="n">
        <x:v>33</x:v>
      </x:c>
      <x:c r="X2094" s="24" t="str">
        <x:v>tabela_zeiss.pdf</x:v>
      </x:c>
      <x:c r="Y2094" s="24" t="str">
        <x:v>alta</x:v>
      </x:c>
      <x:c r="Z2094" s="24"/>
      <x:c r="AA2094" s="24" t="str">
        <x:v>ZEISS|Progressiva|Surfaçada|ClearMind Superb|Polarizada|1.6|1.60|DuraVision Gold UV|-8.50 a +6.00|-4.00|0.75 a 3.50|70|||33</x:v>
      </x:c>
    </x:row>
    <x:row r="2095">
      <x:c r="A2095" s="24" t="str">
        <x:v>ZS-C5FEE6483CFA</x:v>
      </x:c>
      <x:c r="B2095" s="24" t="str">
        <x:v>SIM</x:v>
      </x:c>
      <x:c r="C2095" s="24" t="str">
        <x:v>DISPONÍVEL</x:v>
      </x:c>
      <x:c r="D2095" s="24" t="str">
        <x:v>ZEISS</x:v>
      </x:c>
      <x:c r="E2095" s="24" t="str">
        <x:v>Progressiva</x:v>
      </x:c>
      <x:c r="F2095" s="24" t="str">
        <x:v>Surfaçada</x:v>
      </x:c>
      <x:c r="G2095" s="24" t="str">
        <x:v>ClearMind Superb</x:v>
      </x:c>
      <x:c r="H2095" s="24" t="str">
        <x:v>Polarizada</x:v>
      </x:c>
      <x:c r="I2095" s="24" t="str">
        <x:v>1.6</x:v>
      </x:c>
      <x:c r="J2095" s="24" t="str">
        <x:v>1.60</x:v>
      </x:c>
      <x:c r="K2095" s="24" t="str">
        <x:v>DuraVision Platinum UV</x:v>
      </x:c>
      <x:c r="L2095" s="40" t="n">
        <x:v>10009</x:v>
      </x:c>
      <x:c r="M2095" s="24" t="str">
        <x:v>-8.50 a +6.00</x:v>
      </x:c>
      <x:c r="N2095" s="24" t="str">
        <x:v>-4.00</x:v>
      </x:c>
      <x:c r="O2095" s="24" t="str">
        <x:v>0.75 a 3.50</x:v>
      </x:c>
      <x:c r="P2095" s="24" t="str">
        <x:v>70</x:v>
      </x:c>
      <x:c r="Q2095" s="24"/>
      <x:c r="R2095" s="24"/>
      <x:c r="S2095" s="26" t="n">
        <x:v>46113</x:v>
      </x:c>
      <x:c r="T2095" s="26"/>
      <x:c r="U2095" s="24" t="str">
        <x:v>ATIVA/SEM FIM INFORMADO</x:v>
      </x:c>
      <x:c r="V2095" s="24" t="str">
        <x:v>Programa de Parcerias ZEISS — categoria Experts</x:v>
      </x:c>
      <x:c r="W2095" s="24" t="n">
        <x:v>33</x:v>
      </x:c>
      <x:c r="X2095" s="24" t="str">
        <x:v>tabela_zeiss.pdf</x:v>
      </x:c>
      <x:c r="Y2095" s="24" t="str">
        <x:v>alta</x:v>
      </x:c>
      <x:c r="Z2095" s="24"/>
      <x:c r="AA2095" s="24" t="str">
        <x:v>ZEISS|Progressiva|Surfaçada|ClearMind Superb|Polarizada|1.6|1.60|DuraVision Platinum UV|-8.50 a +6.00|-4.00|0.75 a 3.50|70|||33</x:v>
      </x:c>
    </x:row>
    <x:row r="2096">
      <x:c r="A2096" s="24" t="str">
        <x:v>ZS-D042EF717A0E</x:v>
      </x:c>
      <x:c r="B2096" s="24" t="str">
        <x:v>SIM</x:v>
      </x:c>
      <x:c r="C2096" s="24" t="str">
        <x:v>DISPONÍVEL</x:v>
      </x:c>
      <x:c r="D2096" s="24" t="str">
        <x:v>ZEISS</x:v>
      </x:c>
      <x:c r="E2096" s="24" t="str">
        <x:v>Progressiva</x:v>
      </x:c>
      <x:c r="F2096" s="24" t="str">
        <x:v>Surfaçada</x:v>
      </x:c>
      <x:c r="G2096" s="24" t="str">
        <x:v>ClearMind Superb</x:v>
      </x:c>
      <x:c r="H2096" s="24" t="str">
        <x:v>Polarizada</x:v>
      </x:c>
      <x:c r="I2096" s="24" t="str">
        <x:v>1.6</x:v>
      </x:c>
      <x:c r="J2096" s="24" t="str">
        <x:v>1.60</x:v>
      </x:c>
      <x:c r="K2096" s="24" t="str">
        <x:v>DuraVision Silver UV</x:v>
      </x:c>
      <x:c r="L2096" s="40" t="n">
        <x:v>9749</x:v>
      </x:c>
      <x:c r="M2096" s="24" t="str">
        <x:v>-8.50 a +6.00</x:v>
      </x:c>
      <x:c r="N2096" s="24" t="str">
        <x:v>-4.00</x:v>
      </x:c>
      <x:c r="O2096" s="24" t="str">
        <x:v>0.75 a 3.50</x:v>
      </x:c>
      <x:c r="P2096" s="24" t="str">
        <x:v>70</x:v>
      </x:c>
      <x:c r="Q2096" s="24"/>
      <x:c r="R2096" s="24"/>
      <x:c r="S2096" s="26" t="n">
        <x:v>46113</x:v>
      </x:c>
      <x:c r="T2096" s="26"/>
      <x:c r="U2096" s="24" t="str">
        <x:v>ATIVA/SEM FIM INFORMADO</x:v>
      </x:c>
      <x:c r="V2096" s="24" t="str">
        <x:v>Programa de Parcerias ZEISS — categoria Experts</x:v>
      </x:c>
      <x:c r="W2096" s="24" t="n">
        <x:v>33</x:v>
      </x:c>
      <x:c r="X2096" s="24" t="str">
        <x:v>tabela_zeiss.pdf</x:v>
      </x:c>
      <x:c r="Y2096" s="24" t="str">
        <x:v>alta</x:v>
      </x:c>
      <x:c r="Z2096" s="24"/>
      <x:c r="AA2096" s="24" t="str">
        <x:v>ZEISS|Progressiva|Surfaçada|ClearMind Superb|Polarizada|1.6|1.60|DuraVision Silver UV|-8.50 a +6.00|-4.00|0.75 a 3.50|70|||33</x:v>
      </x:c>
    </x:row>
    <x:row r="2097">
      <x:c r="A2097" s="24" t="str">
        <x:v>ZS-C01D0B7FE36A</x:v>
      </x:c>
      <x:c r="B2097" s="24" t="str">
        <x:v>SIM</x:v>
      </x:c>
      <x:c r="C2097" s="24" t="str">
        <x:v>DISPONÍVEL</x:v>
      </x:c>
      <x:c r="D2097" s="24" t="str">
        <x:v>ZEISS</x:v>
      </x:c>
      <x:c r="E2097" s="24" t="str">
        <x:v>Progressiva</x:v>
      </x:c>
      <x:c r="F2097" s="24" t="str">
        <x:v>Surfaçada</x:v>
      </x:c>
      <x:c r="G2097" s="24" t="str">
        <x:v>ClearMind Superb</x:v>
      </x:c>
      <x:c r="H2097" s="24" t="str">
        <x:v>Polarizada</x:v>
      </x:c>
      <x:c r="I2097" s="24" t="str">
        <x:v>1.6</x:v>
      </x:c>
      <x:c r="J2097" s="24" t="str">
        <x:v>1.60</x:v>
      </x:c>
      <x:c r="K2097" s="24" t="str">
        <x:v>DuraVision Chrome UV</x:v>
      </x:c>
      <x:c r="L2097" s="40" t="n">
        <x:v>9259</x:v>
      </x:c>
      <x:c r="M2097" s="24" t="str">
        <x:v>-8.50 a +6.00</x:v>
      </x:c>
      <x:c r="N2097" s="24" t="str">
        <x:v>-4.00</x:v>
      </x:c>
      <x:c r="O2097" s="24" t="str">
        <x:v>0.75 a 3.50</x:v>
      </x:c>
      <x:c r="P2097" s="24" t="str">
        <x:v>70</x:v>
      </x:c>
      <x:c r="Q2097" s="24"/>
      <x:c r="R2097" s="24"/>
      <x:c r="S2097" s="26" t="n">
        <x:v>46113</x:v>
      </x:c>
      <x:c r="T2097" s="26"/>
      <x:c r="U2097" s="24" t="str">
        <x:v>ATIVA/SEM FIM INFORMADO</x:v>
      </x:c>
      <x:c r="V2097" s="24" t="str">
        <x:v>Programa de Parcerias ZEISS — categoria Experts</x:v>
      </x:c>
      <x:c r="W2097" s="24" t="n">
        <x:v>33</x:v>
      </x:c>
      <x:c r="X2097" s="24" t="str">
        <x:v>tabela_zeiss.pdf</x:v>
      </x:c>
      <x:c r="Y2097" s="24" t="str">
        <x:v>alta</x:v>
      </x:c>
      <x:c r="Z2097" s="24"/>
      <x:c r="AA2097" s="24" t="str">
        <x:v>ZEISS|Progressiva|Surfaçada|ClearMind Superb|Polarizada|1.6|1.60|DuraVision Chrome UV|-8.50 a +6.00|-4.00|0.75 a 3.50|70|||33</x:v>
      </x:c>
    </x:row>
    <x:row r="2098">
      <x:c r="A2098" s="24" t="str">
        <x:v>ZS-C39D2C285894</x:v>
      </x:c>
      <x:c r="B2098" s="24" t="str">
        <x:v>SIM</x:v>
      </x:c>
      <x:c r="C2098" s="24" t="str">
        <x:v>DISPONÍVEL</x:v>
      </x:c>
      <x:c r="D2098" s="24" t="str">
        <x:v>ZEISS</x:v>
      </x:c>
      <x:c r="E2098" s="24" t="str">
        <x:v>Progressiva</x:v>
      </x:c>
      <x:c r="F2098" s="24" t="str">
        <x:v>Surfaçada</x:v>
      </x:c>
      <x:c r="G2098" s="24" t="str">
        <x:v>ClearMind Superb</x:v>
      </x:c>
      <x:c r="H2098" s="24" t="str">
        <x:v>Polarizada</x:v>
      </x:c>
      <x:c r="I2098" s="24" t="str">
        <x:v>1.6</x:v>
      </x:c>
      <x:c r="J2098" s="24" t="str">
        <x:v>1.60</x:v>
      </x:c>
      <x:c r="K2098" s="24" t="str">
        <x:v>Sem AR</x:v>
      </x:c>
      <x:c r="L2098" s="40" t="n">
        <x:v>8859</x:v>
      </x:c>
      <x:c r="M2098" s="24" t="str">
        <x:v>-8.50 a +6.00</x:v>
      </x:c>
      <x:c r="N2098" s="24" t="str">
        <x:v>-4.00</x:v>
      </x:c>
      <x:c r="O2098" s="24" t="str">
        <x:v>0.75 a 3.50</x:v>
      </x:c>
      <x:c r="P2098" s="24" t="str">
        <x:v>70</x:v>
      </x:c>
      <x:c r="Q2098" s="24"/>
      <x:c r="R2098" s="24"/>
      <x:c r="S2098" s="26" t="n">
        <x:v>46113</x:v>
      </x:c>
      <x:c r="T2098" s="26"/>
      <x:c r="U2098" s="24" t="str">
        <x:v>ATIVA/SEM FIM INFORMADO</x:v>
      </x:c>
      <x:c r="V2098" s="24" t="str">
        <x:v>Programa de Parcerias ZEISS — categoria Experts</x:v>
      </x:c>
      <x:c r="W2098" s="24" t="n">
        <x:v>33</x:v>
      </x:c>
      <x:c r="X2098" s="24" t="str">
        <x:v>tabela_zeiss.pdf</x:v>
      </x:c>
      <x:c r="Y2098" s="24" t="str">
        <x:v>alta</x:v>
      </x:c>
      <x:c r="Z2098" s="24"/>
      <x:c r="AA2098" s="24" t="str">
        <x:v>ZEISS|Progressiva|Surfaçada|ClearMind Superb|Polarizada|1.6|1.60|Sem AR|-8.50 a +6.00|-4.00|0.75 a 3.50|70|||33</x:v>
      </x:c>
    </x:row>
    <x:row r="2099">
      <x:c r="A2099" s="24" t="str">
        <x:v>ZS-5EF970BC7762</x:v>
      </x:c>
      <x:c r="B2099" s="24" t="str">
        <x:v>SIM</x:v>
      </x:c>
      <x:c r="C2099" s="24" t="str">
        <x:v>DISPONÍVEL</x:v>
      </x:c>
      <x:c r="D2099" s="24" t="str">
        <x:v>ZEISS</x:v>
      </x:c>
      <x:c r="E2099" s="24" t="str">
        <x:v>Progressiva</x:v>
      </x:c>
      <x:c r="F2099" s="24" t="str">
        <x:v>Surfaçada</x:v>
      </x:c>
      <x:c r="G2099" s="24" t="str">
        <x:v>ClearMind Plus</x:v>
      </x:c>
      <x:c r="H2099" s="24"/>
      <x:c r="I2099" s="24" t="str">
        <x:v>1.5</x:v>
      </x:c>
      <x:c r="J2099" s="24" t="str">
        <x:v>1.50</x:v>
      </x:c>
      <x:c r="K2099" s="24" t="str">
        <x:v>DuraVision Gold UV</x:v>
      </x:c>
      <x:c r="L2099" s="40" t="n">
        <x:v>6929</x:v>
      </x:c>
      <x:c r="M2099" s="24" t="str">
        <x:v>-6.00 a +4.00</x:v>
      </x:c>
      <x:c r="N2099" s="24" t="str">
        <x:v>-4.00</x:v>
      </x:c>
      <x:c r="O2099" s="24" t="str">
        <x:v>0.75 a 3.50</x:v>
      </x:c>
      <x:c r="P2099" s="24" t="str">
        <x:v>75</x:v>
      </x:c>
      <x:c r="Q2099" s="24"/>
      <x:c r="R2099" s="24"/>
      <x:c r="S2099" s="26" t="n">
        <x:v>46113</x:v>
      </x:c>
      <x:c r="T2099" s="26"/>
      <x:c r="U2099" s="24" t="str">
        <x:v>ATIVA/SEM FIM INFORMADO</x:v>
      </x:c>
      <x:c r="V2099" s="24" t="str">
        <x:v>Programa de Parcerias ZEISS — categoria Experts</x:v>
      </x:c>
      <x:c r="W2099" s="24" t="n">
        <x:v>34</x:v>
      </x:c>
      <x:c r="X2099" s="24" t="str">
        <x:v>tabela_zeiss.pdf</x:v>
      </x:c>
      <x:c r="Y2099" s="24" t="str">
        <x:v>alta</x:v>
      </x:c>
      <x:c r="Z2099" s="24"/>
      <x:c r="AA2099" s="24" t="str">
        <x:v>ZEISS|Progressiva|Surfaçada|ClearMind Plus||1.5|1.50|DuraVision Gold UV|-6.00 a +4.00|-4.00|0.75 a 3.50|75|||34</x:v>
      </x:c>
    </x:row>
    <x:row r="2100">
      <x:c r="A2100" s="24" t="str">
        <x:v>ZS-B875C74F62B8</x:v>
      </x:c>
      <x:c r="B2100" s="24" t="str">
        <x:v>SIM</x:v>
      </x:c>
      <x:c r="C2100" s="24" t="str">
        <x:v>DISPONÍVEL</x:v>
      </x:c>
      <x:c r="D2100" s="24" t="str">
        <x:v>ZEISS</x:v>
      </x:c>
      <x:c r="E2100" s="24" t="str">
        <x:v>Progressiva</x:v>
      </x:c>
      <x:c r="F2100" s="24" t="str">
        <x:v>Surfaçada</x:v>
      </x:c>
      <x:c r="G2100" s="24" t="str">
        <x:v>ClearMind Plus</x:v>
      </x:c>
      <x:c r="H2100" s="24"/>
      <x:c r="I2100" s="24" t="str">
        <x:v>1.5</x:v>
      </x:c>
      <x:c r="J2100" s="24" t="str">
        <x:v>1.50</x:v>
      </x:c>
      <x:c r="K2100" s="24" t="str">
        <x:v>DURAVISION® ANTIVÍRUS PLATINUM UV</x:v>
      </x:c>
      <x:c r="L2100" s="40" t="n">
        <x:v>6789</x:v>
      </x:c>
      <x:c r="M2100" s="24" t="str">
        <x:v>-6.00 a +4.00</x:v>
      </x:c>
      <x:c r="N2100" s="24" t="str">
        <x:v>-4.00</x:v>
      </x:c>
      <x:c r="O2100" s="24" t="str">
        <x:v>0.75 a 3.50</x:v>
      </x:c>
      <x:c r="P2100" s="24" t="str">
        <x:v>75</x:v>
      </x:c>
      <x:c r="Q2100" s="24"/>
      <x:c r="R2100" s="24"/>
      <x:c r="S2100" s="26" t="n">
        <x:v>46113</x:v>
      </x:c>
      <x:c r="T2100" s="26"/>
      <x:c r="U2100" s="24" t="str">
        <x:v>ATIVA/SEM FIM INFORMADO</x:v>
      </x:c>
      <x:c r="V2100" s="24" t="str">
        <x:v>Programa de Parcerias ZEISS — categoria Experts</x:v>
      </x:c>
      <x:c r="W2100" s="24" t="n">
        <x:v>34</x:v>
      </x:c>
      <x:c r="X2100" s="24" t="str">
        <x:v>tabela_zeiss.pdf</x:v>
      </x:c>
      <x:c r="Y2100" s="24" t="str">
        <x:v>alta</x:v>
      </x:c>
      <x:c r="Z2100" s="24"/>
      <x:c r="AA2100" s="24" t="str">
        <x:v>ZEISS|Progressiva|Surfaçada|ClearMind Plus||1.5|1.50|DURAVISION® ANTIVÍRUS PLATINUM UV|-6.00 a +4.00|-4.00|0.75 a 3.50|75|||34</x:v>
      </x:c>
    </x:row>
    <x:row r="2101">
      <x:c r="A2101" s="24" t="str">
        <x:v>ZS-0D8E35C1AF92</x:v>
      </x:c>
      <x:c r="B2101" s="24" t="str">
        <x:v>SIM</x:v>
      </x:c>
      <x:c r="C2101" s="24" t="str">
        <x:v>DISPONÍVEL</x:v>
      </x:c>
      <x:c r="D2101" s="24" t="str">
        <x:v>ZEISS</x:v>
      </x:c>
      <x:c r="E2101" s="24" t="str">
        <x:v>Progressiva</x:v>
      </x:c>
      <x:c r="F2101" s="24" t="str">
        <x:v>Surfaçada</x:v>
      </x:c>
      <x:c r="G2101" s="24" t="str">
        <x:v>ClearMind Plus</x:v>
      </x:c>
      <x:c r="H2101" s="24"/>
      <x:c r="I2101" s="24" t="str">
        <x:v>1.5</x:v>
      </x:c>
      <x:c r="J2101" s="24" t="str">
        <x:v>1.50</x:v>
      </x:c>
      <x:c r="K2101" s="24" t="str">
        <x:v>DuraVision Platinum UV</x:v>
      </x:c>
      <x:c r="L2101" s="40" t="n">
        <x:v>6789</x:v>
      </x:c>
      <x:c r="M2101" s="24" t="str">
        <x:v>-6.00 a +4.00</x:v>
      </x:c>
      <x:c r="N2101" s="24" t="str">
        <x:v>-4.00</x:v>
      </x:c>
      <x:c r="O2101" s="24" t="str">
        <x:v>0.75 a 3.50</x:v>
      </x:c>
      <x:c r="P2101" s="24" t="str">
        <x:v>75</x:v>
      </x:c>
      <x:c r="Q2101" s="24"/>
      <x:c r="R2101" s="24"/>
      <x:c r="S2101" s="26" t="n">
        <x:v>46113</x:v>
      </x:c>
      <x:c r="T2101" s="26"/>
      <x:c r="U2101" s="24" t="str">
        <x:v>ATIVA/SEM FIM INFORMADO</x:v>
      </x:c>
      <x:c r="V2101" s="24" t="str">
        <x:v>Programa de Parcerias ZEISS — categoria Experts</x:v>
      </x:c>
      <x:c r="W2101" s="24" t="n">
        <x:v>34</x:v>
      </x:c>
      <x:c r="X2101" s="24" t="str">
        <x:v>tabela_zeiss.pdf</x:v>
      </x:c>
      <x:c r="Y2101" s="24" t="str">
        <x:v>alta</x:v>
      </x:c>
      <x:c r="Z2101" s="24"/>
      <x:c r="AA2101" s="24" t="str">
        <x:v>ZEISS|Progressiva|Surfaçada|ClearMind Plus||1.5|1.50|DuraVision Platinum UV|-6.00 a +4.00|-4.00|0.75 a 3.50|75|||34</x:v>
      </x:c>
    </x:row>
    <x:row r="2102">
      <x:c r="A2102" s="24" t="str">
        <x:v>ZS-3F87C1FA89C4</x:v>
      </x:c>
      <x:c r="B2102" s="24" t="str">
        <x:v>SIM</x:v>
      </x:c>
      <x:c r="C2102" s="24" t="str">
        <x:v>DISPONÍVEL</x:v>
      </x:c>
      <x:c r="D2102" s="24" t="str">
        <x:v>ZEISS</x:v>
      </x:c>
      <x:c r="E2102" s="24" t="str">
        <x:v>Progressiva</x:v>
      </x:c>
      <x:c r="F2102" s="24" t="str">
        <x:v>Surfaçada</x:v>
      </x:c>
      <x:c r="G2102" s="24" t="str">
        <x:v>ClearMind Plus</x:v>
      </x:c>
      <x:c r="H2102" s="24"/>
      <x:c r="I2102" s="24" t="str">
        <x:v>1.5</x:v>
      </x:c>
      <x:c r="J2102" s="24" t="str">
        <x:v>1.50</x:v>
      </x:c>
      <x:c r="K2102" s="24" t="str">
        <x:v>DuraVision Silver UV</x:v>
      </x:c>
      <x:c r="L2102" s="40" t="n">
        <x:v>6529</x:v>
      </x:c>
      <x:c r="M2102" s="24" t="str">
        <x:v>-6.00 a +4.00</x:v>
      </x:c>
      <x:c r="N2102" s="24" t="str">
        <x:v>-4.00</x:v>
      </x:c>
      <x:c r="O2102" s="24" t="str">
        <x:v>0.75 a 3.50</x:v>
      </x:c>
      <x:c r="P2102" s="24" t="str">
        <x:v>75</x:v>
      </x:c>
      <x:c r="Q2102" s="24"/>
      <x:c r="R2102" s="24"/>
      <x:c r="S2102" s="26" t="n">
        <x:v>46113</x:v>
      </x:c>
      <x:c r="T2102" s="26"/>
      <x:c r="U2102" s="24" t="str">
        <x:v>ATIVA/SEM FIM INFORMADO</x:v>
      </x:c>
      <x:c r="V2102" s="24" t="str">
        <x:v>Programa de Parcerias ZEISS — categoria Experts</x:v>
      </x:c>
      <x:c r="W2102" s="24" t="n">
        <x:v>34</x:v>
      </x:c>
      <x:c r="X2102" s="24" t="str">
        <x:v>tabela_zeiss.pdf</x:v>
      </x:c>
      <x:c r="Y2102" s="24" t="str">
        <x:v>alta</x:v>
      </x:c>
      <x:c r="Z2102" s="24"/>
      <x:c r="AA2102" s="24" t="str">
        <x:v>ZEISS|Progressiva|Surfaçada|ClearMind Plus||1.5|1.50|DuraVision Silver UV|-6.00 a +4.00|-4.00|0.75 a 3.50|75|||34</x:v>
      </x:c>
    </x:row>
    <x:row r="2103">
      <x:c r="A2103" s="24" t="str">
        <x:v>ZS-0F95A20753E4</x:v>
      </x:c>
      <x:c r="B2103" s="24" t="str">
        <x:v>SIM</x:v>
      </x:c>
      <x:c r="C2103" s="24" t="str">
        <x:v>DISPONÍVEL</x:v>
      </x:c>
      <x:c r="D2103" s="24" t="str">
        <x:v>ZEISS</x:v>
      </x:c>
      <x:c r="E2103" s="24" t="str">
        <x:v>Progressiva</x:v>
      </x:c>
      <x:c r="F2103" s="24" t="str">
        <x:v>Surfaçada</x:v>
      </x:c>
      <x:c r="G2103" s="24" t="str">
        <x:v>ClearMind Plus</x:v>
      </x:c>
      <x:c r="H2103" s="24"/>
      <x:c r="I2103" s="24" t="str">
        <x:v>1.5</x:v>
      </x:c>
      <x:c r="J2103" s="24" t="str">
        <x:v>1.50</x:v>
      </x:c>
      <x:c r="K2103" s="24" t="str">
        <x:v>DuraVision Chrome UV</x:v>
      </x:c>
      <x:c r="L2103" s="40" t="n">
        <x:v>6039</x:v>
      </x:c>
      <x:c r="M2103" s="24" t="str">
        <x:v>-6.00 a +4.00</x:v>
      </x:c>
      <x:c r="N2103" s="24" t="str">
        <x:v>-4.00</x:v>
      </x:c>
      <x:c r="O2103" s="24" t="str">
        <x:v>0.75 a 3.50</x:v>
      </x:c>
      <x:c r="P2103" s="24" t="str">
        <x:v>75</x:v>
      </x:c>
      <x:c r="Q2103" s="24"/>
      <x:c r="R2103" s="24"/>
      <x:c r="S2103" s="26" t="n">
        <x:v>46113</x:v>
      </x:c>
      <x:c r="T2103" s="26"/>
      <x:c r="U2103" s="24" t="str">
        <x:v>ATIVA/SEM FIM INFORMADO</x:v>
      </x:c>
      <x:c r="V2103" s="24" t="str">
        <x:v>Programa de Parcerias ZEISS — categoria Experts</x:v>
      </x:c>
      <x:c r="W2103" s="24" t="n">
        <x:v>34</x:v>
      </x:c>
      <x:c r="X2103" s="24" t="str">
        <x:v>tabela_zeiss.pdf</x:v>
      </x:c>
      <x:c r="Y2103" s="24" t="str">
        <x:v>alta</x:v>
      </x:c>
      <x:c r="Z2103" s="24"/>
      <x:c r="AA2103" s="24" t="str">
        <x:v>ZEISS|Progressiva|Surfaçada|ClearMind Plus||1.5|1.50|DuraVision Chrome UV|-6.00 a +4.00|-4.00|0.75 a 3.50|75|||34</x:v>
      </x:c>
    </x:row>
    <x:row r="2104">
      <x:c r="A2104" s="24" t="str">
        <x:v>ZS-8CD84568EE7B</x:v>
      </x:c>
      <x:c r="B2104" s="24" t="str">
        <x:v>SIM</x:v>
      </x:c>
      <x:c r="C2104" s="24" t="str">
        <x:v>DISPONÍVEL</x:v>
      </x:c>
      <x:c r="D2104" s="24" t="str">
        <x:v>ZEISS</x:v>
      </x:c>
      <x:c r="E2104" s="24" t="str">
        <x:v>Progressiva</x:v>
      </x:c>
      <x:c r="F2104" s="24" t="str">
        <x:v>Surfaçada</x:v>
      </x:c>
      <x:c r="G2104" s="24" t="str">
        <x:v>ClearMind Plus</x:v>
      </x:c>
      <x:c r="H2104" s="24"/>
      <x:c r="I2104" s="24" t="str">
        <x:v>Poli</x:v>
      </x:c>
      <x:c r="J2104" s="24"/>
      <x:c r="K2104" s="24" t="str">
        <x:v>DuraVision Gold UV</x:v>
      </x:c>
      <x:c r="L2104" s="40" t="n">
        <x:v>7519</x:v>
      </x:c>
      <x:c r="M2104" s="24" t="str">
        <x:v>-10.00 a +6.00</x:v>
      </x:c>
      <x:c r="N2104" s="24" t="str">
        <x:v>-6.00</x:v>
      </x:c>
      <x:c r="O2104" s="24" t="str">
        <x:v>0.75 a 3.00</x:v>
      </x:c>
      <x:c r="P2104" s="24" t="str">
        <x:v>70</x:v>
      </x:c>
      <x:c r="Q2104" s="24"/>
      <x:c r="R2104" s="24"/>
      <x:c r="S2104" s="26" t="n">
        <x:v>46113</x:v>
      </x:c>
      <x:c r="T2104" s="26"/>
      <x:c r="U2104" s="24" t="str">
        <x:v>ATIVA/SEM FIM INFORMADO</x:v>
      </x:c>
      <x:c r="V2104" s="24" t="str">
        <x:v>Programa de Parcerias ZEISS — categoria Experts</x:v>
      </x:c>
      <x:c r="W2104" s="24" t="n">
        <x:v>34</x:v>
      </x:c>
      <x:c r="X2104" s="24" t="str">
        <x:v>tabela_zeiss.pdf</x:v>
      </x:c>
      <x:c r="Y2104" s="24" t="str">
        <x:v>alta</x:v>
      </x:c>
      <x:c r="Z2104" s="24"/>
      <x:c r="AA2104" s="24" t="str">
        <x:v>ZEISS|Progressiva|Surfaçada|ClearMind Plus||Poli||DuraVision Gold UV|-10.00 a +6.00|-6.00|0.75 a 3.00|70|||34</x:v>
      </x:c>
    </x:row>
    <x:row r="2105">
      <x:c r="A2105" s="24" t="str">
        <x:v>ZS-1323F6CBD9C9</x:v>
      </x:c>
      <x:c r="B2105" s="24" t="str">
        <x:v>SIM</x:v>
      </x:c>
      <x:c r="C2105" s="24" t="str">
        <x:v>DISPONÍVEL</x:v>
      </x:c>
      <x:c r="D2105" s="24" t="str">
        <x:v>ZEISS</x:v>
      </x:c>
      <x:c r="E2105" s="24" t="str">
        <x:v>Progressiva</x:v>
      </x:c>
      <x:c r="F2105" s="24" t="str">
        <x:v>Surfaçada</x:v>
      </x:c>
      <x:c r="G2105" s="24" t="str">
        <x:v>ClearMind Plus</x:v>
      </x:c>
      <x:c r="H2105" s="24"/>
      <x:c r="I2105" s="24" t="str">
        <x:v>Poli</x:v>
      </x:c>
      <x:c r="J2105" s="24"/>
      <x:c r="K2105" s="24" t="str">
        <x:v>DuraVision Platinum UV</x:v>
      </x:c>
      <x:c r="L2105" s="40" t="n">
        <x:v>7379</x:v>
      </x:c>
      <x:c r="M2105" s="24" t="str">
        <x:v>-10.00 a +6.00</x:v>
      </x:c>
      <x:c r="N2105" s="24" t="str">
        <x:v>-6.00</x:v>
      </x:c>
      <x:c r="O2105" s="24" t="str">
        <x:v>0.75 a 3.00</x:v>
      </x:c>
      <x:c r="P2105" s="24" t="str">
        <x:v>70</x:v>
      </x:c>
      <x:c r="Q2105" s="24"/>
      <x:c r="R2105" s="24"/>
      <x:c r="S2105" s="26" t="n">
        <x:v>46113</x:v>
      </x:c>
      <x:c r="T2105" s="26"/>
      <x:c r="U2105" s="24" t="str">
        <x:v>ATIVA/SEM FIM INFORMADO</x:v>
      </x:c>
      <x:c r="V2105" s="24" t="str">
        <x:v>Programa de Parcerias ZEISS — categoria Experts</x:v>
      </x:c>
      <x:c r="W2105" s="24" t="n">
        <x:v>34</x:v>
      </x:c>
      <x:c r="X2105" s="24" t="str">
        <x:v>tabela_zeiss.pdf</x:v>
      </x:c>
      <x:c r="Y2105" s="24" t="str">
        <x:v>alta</x:v>
      </x:c>
      <x:c r="Z2105" s="24"/>
      <x:c r="AA2105" s="24" t="str">
        <x:v>ZEISS|Progressiva|Surfaçada|ClearMind Plus||Poli||DuraVision Platinum UV|-10.00 a +6.00|-6.00|0.75 a 3.00|70|||34</x:v>
      </x:c>
    </x:row>
    <x:row r="2106">
      <x:c r="A2106" s="24" t="str">
        <x:v>ZS-B52AF0D8F3F4</x:v>
      </x:c>
      <x:c r="B2106" s="24" t="str">
        <x:v>SIM</x:v>
      </x:c>
      <x:c r="C2106" s="24" t="str">
        <x:v>DISPONÍVEL</x:v>
      </x:c>
      <x:c r="D2106" s="24" t="str">
        <x:v>ZEISS</x:v>
      </x:c>
      <x:c r="E2106" s="24" t="str">
        <x:v>Progressiva</x:v>
      </x:c>
      <x:c r="F2106" s="24" t="str">
        <x:v>Surfaçada</x:v>
      </x:c>
      <x:c r="G2106" s="24" t="str">
        <x:v>ClearMind Plus</x:v>
      </x:c>
      <x:c r="H2106" s="24"/>
      <x:c r="I2106" s="24" t="str">
        <x:v>Poli</x:v>
      </x:c>
      <x:c r="J2106" s="24"/>
      <x:c r="K2106" s="24" t="str">
        <x:v>DuraVision Silver UV</x:v>
      </x:c>
      <x:c r="L2106" s="40" t="n">
        <x:v>7119</x:v>
      </x:c>
      <x:c r="M2106" s="24" t="str">
        <x:v>-10.00 a +6.00</x:v>
      </x:c>
      <x:c r="N2106" s="24" t="str">
        <x:v>-6.00</x:v>
      </x:c>
      <x:c r="O2106" s="24" t="str">
        <x:v>0.75 a 3.00</x:v>
      </x:c>
      <x:c r="P2106" s="24" t="str">
        <x:v>70</x:v>
      </x:c>
      <x:c r="Q2106" s="24"/>
      <x:c r="R2106" s="24"/>
      <x:c r="S2106" s="26" t="n">
        <x:v>46113</x:v>
      </x:c>
      <x:c r="T2106" s="26"/>
      <x:c r="U2106" s="24" t="str">
        <x:v>ATIVA/SEM FIM INFORMADO</x:v>
      </x:c>
      <x:c r="V2106" s="24" t="str">
        <x:v>Programa de Parcerias ZEISS — categoria Experts</x:v>
      </x:c>
      <x:c r="W2106" s="24" t="n">
        <x:v>34</x:v>
      </x:c>
      <x:c r="X2106" s="24" t="str">
        <x:v>tabela_zeiss.pdf</x:v>
      </x:c>
      <x:c r="Y2106" s="24" t="str">
        <x:v>alta</x:v>
      </x:c>
      <x:c r="Z2106" s="24"/>
      <x:c r="AA2106" s="24" t="str">
        <x:v>ZEISS|Progressiva|Surfaçada|ClearMind Plus||Poli||DuraVision Silver UV|-10.00 a +6.00|-6.00|0.75 a 3.00|70|||34</x:v>
      </x:c>
    </x:row>
    <x:row r="2107">
      <x:c r="A2107" s="24" t="str">
        <x:v>ZS-E0B0DA23E655</x:v>
      </x:c>
      <x:c r="B2107" s="24" t="str">
        <x:v>SIM</x:v>
      </x:c>
      <x:c r="C2107" s="24" t="str">
        <x:v>DISPONÍVEL</x:v>
      </x:c>
      <x:c r="D2107" s="24" t="str">
        <x:v>ZEISS</x:v>
      </x:c>
      <x:c r="E2107" s="24" t="str">
        <x:v>Progressiva</x:v>
      </x:c>
      <x:c r="F2107" s="24" t="str">
        <x:v>Surfaçada</x:v>
      </x:c>
      <x:c r="G2107" s="24" t="str">
        <x:v>ClearMind Plus</x:v>
      </x:c>
      <x:c r="H2107" s="24"/>
      <x:c r="I2107" s="24" t="str">
        <x:v>Poli</x:v>
      </x:c>
      <x:c r="J2107" s="24"/>
      <x:c r="K2107" s="24" t="str">
        <x:v>DuraVision Chrome UV</x:v>
      </x:c>
      <x:c r="L2107" s="40" t="n">
        <x:v>6629</x:v>
      </x:c>
      <x:c r="M2107" s="24" t="str">
        <x:v>-10.00 a +6.00</x:v>
      </x:c>
      <x:c r="N2107" s="24" t="str">
        <x:v>-6.00</x:v>
      </x:c>
      <x:c r="O2107" s="24" t="str">
        <x:v>0.75 a 3.00</x:v>
      </x:c>
      <x:c r="P2107" s="24" t="str">
        <x:v>70</x:v>
      </x:c>
      <x:c r="Q2107" s="24"/>
      <x:c r="R2107" s="24"/>
      <x:c r="S2107" s="26" t="n">
        <x:v>46113</x:v>
      </x:c>
      <x:c r="T2107" s="26"/>
      <x:c r="U2107" s="24" t="str">
        <x:v>ATIVA/SEM FIM INFORMADO</x:v>
      </x:c>
      <x:c r="V2107" s="24" t="str">
        <x:v>Programa de Parcerias ZEISS — categoria Experts</x:v>
      </x:c>
      <x:c r="W2107" s="24" t="n">
        <x:v>34</x:v>
      </x:c>
      <x:c r="X2107" s="24" t="str">
        <x:v>tabela_zeiss.pdf</x:v>
      </x:c>
      <x:c r="Y2107" s="24" t="str">
        <x:v>alta</x:v>
      </x:c>
      <x:c r="Z2107" s="24"/>
      <x:c r="AA2107" s="24" t="str">
        <x:v>ZEISS|Progressiva|Surfaçada|ClearMind Plus||Poli||DuraVision Chrome UV|-10.00 a +6.00|-6.00|0.75 a 3.00|70|||34</x:v>
      </x:c>
    </x:row>
    <x:row r="2108">
      <x:c r="A2108" s="24" t="str">
        <x:v>ZS-97484F533F93</x:v>
      </x:c>
      <x:c r="B2108" s="24" t="str">
        <x:v>SIM</x:v>
      </x:c>
      <x:c r="C2108" s="24" t="str">
        <x:v>DISPONÍVEL</x:v>
      </x:c>
      <x:c r="D2108" s="24" t="str">
        <x:v>ZEISS</x:v>
      </x:c>
      <x:c r="E2108" s="24" t="str">
        <x:v>Progressiva</x:v>
      </x:c>
      <x:c r="F2108" s="24" t="str">
        <x:v>Surfaçada</x:v>
      </x:c>
      <x:c r="G2108" s="24" t="str">
        <x:v>ClearMind Plus</x:v>
      </x:c>
      <x:c r="H2108" s="24"/>
      <x:c r="I2108" s="24" t="str">
        <x:v>1.6</x:v>
      </x:c>
      <x:c r="J2108" s="24" t="str">
        <x:v>1.60</x:v>
      </x:c>
      <x:c r="K2108" s="24" t="str">
        <x:v>DuraVision Gold UV</x:v>
      </x:c>
      <x:c r="L2108" s="40" t="n">
        <x:v>8179</x:v>
      </x:c>
      <x:c r="M2108" s="24" t="str">
        <x:v>-7.25 a +6.00</x:v>
      </x:c>
      <x:c r="N2108" s="24" t="str">
        <x:v>-6.00</x:v>
      </x:c>
      <x:c r="O2108" s="24" t="str">
        <x:v>0.75 a 3.50</x:v>
      </x:c>
      <x:c r="P2108" s="24" t="str">
        <x:v>75</x:v>
      </x:c>
      <x:c r="Q2108" s="24"/>
      <x:c r="R2108" s="24"/>
      <x:c r="S2108" s="26" t="n">
        <x:v>46113</x:v>
      </x:c>
      <x:c r="T2108" s="26"/>
      <x:c r="U2108" s="24" t="str">
        <x:v>ATIVA/SEM FIM INFORMADO</x:v>
      </x:c>
      <x:c r="V2108" s="24" t="str">
        <x:v>Programa de Parcerias ZEISS — categoria Experts</x:v>
      </x:c>
      <x:c r="W2108" s="24" t="n">
        <x:v>34</x:v>
      </x:c>
      <x:c r="X2108" s="24" t="str">
        <x:v>tabela_zeiss.pdf</x:v>
      </x:c>
      <x:c r="Y2108" s="24" t="str">
        <x:v>alta</x:v>
      </x:c>
      <x:c r="Z2108" s="24"/>
      <x:c r="AA2108" s="24" t="str">
        <x:v>ZEISS|Progressiva|Surfaçada|ClearMind Plus||1.6|1.60|DuraVision Gold UV|-7.25 a +6.00|-6.00|0.75 a 3.50|75|||34</x:v>
      </x:c>
    </x:row>
    <x:row r="2109">
      <x:c r="A2109" s="24" t="str">
        <x:v>ZS-D27016FC5FA6</x:v>
      </x:c>
      <x:c r="B2109" s="24" t="str">
        <x:v>SIM</x:v>
      </x:c>
      <x:c r="C2109" s="24" t="str">
        <x:v>DISPONÍVEL</x:v>
      </x:c>
      <x:c r="D2109" s="24" t="str">
        <x:v>ZEISS</x:v>
      </x:c>
      <x:c r="E2109" s="24" t="str">
        <x:v>Progressiva</x:v>
      </x:c>
      <x:c r="F2109" s="24" t="str">
        <x:v>Surfaçada</x:v>
      </x:c>
      <x:c r="G2109" s="24" t="str">
        <x:v>ClearMind Plus</x:v>
      </x:c>
      <x:c r="H2109" s="24"/>
      <x:c r="I2109" s="24" t="str">
        <x:v>1.6</x:v>
      </x:c>
      <x:c r="J2109" s="24" t="str">
        <x:v>1.60</x:v>
      </x:c>
      <x:c r="K2109" s="24" t="str">
        <x:v>DURAVISION® ANTIVÍRUS PLATINUM UV</x:v>
      </x:c>
      <x:c r="L2109" s="40" t="n">
        <x:v>8039</x:v>
      </x:c>
      <x:c r="M2109" s="24" t="str">
        <x:v>-7.25 a +6.00</x:v>
      </x:c>
      <x:c r="N2109" s="24" t="str">
        <x:v>-6.00</x:v>
      </x:c>
      <x:c r="O2109" s="24" t="str">
        <x:v>0.75 a 3.50</x:v>
      </x:c>
      <x:c r="P2109" s="24" t="str">
        <x:v>75</x:v>
      </x:c>
      <x:c r="Q2109" s="24"/>
      <x:c r="R2109" s="24"/>
      <x:c r="S2109" s="26" t="n">
        <x:v>46113</x:v>
      </x:c>
      <x:c r="T2109" s="26"/>
      <x:c r="U2109" s="24" t="str">
        <x:v>ATIVA/SEM FIM INFORMADO</x:v>
      </x:c>
      <x:c r="V2109" s="24" t="str">
        <x:v>Programa de Parcerias ZEISS — categoria Experts</x:v>
      </x:c>
      <x:c r="W2109" s="24" t="n">
        <x:v>34</x:v>
      </x:c>
      <x:c r="X2109" s="24" t="str">
        <x:v>tabela_zeiss.pdf</x:v>
      </x:c>
      <x:c r="Y2109" s="24" t="str">
        <x:v>alta</x:v>
      </x:c>
      <x:c r="Z2109" s="24"/>
      <x:c r="AA2109" s="24" t="str">
        <x:v>ZEISS|Progressiva|Surfaçada|ClearMind Plus||1.6|1.60|DURAVISION® ANTIVÍRUS PLATINUM UV|-7.25 a +6.00|-6.00|0.75 a 3.50|75|||34</x:v>
      </x:c>
    </x:row>
    <x:row r="2110">
      <x:c r="A2110" s="24" t="str">
        <x:v>ZS-169EF28F1E60</x:v>
      </x:c>
      <x:c r="B2110" s="24" t="str">
        <x:v>SIM</x:v>
      </x:c>
      <x:c r="C2110" s="24" t="str">
        <x:v>DISPONÍVEL</x:v>
      </x:c>
      <x:c r="D2110" s="24" t="str">
        <x:v>ZEISS</x:v>
      </x:c>
      <x:c r="E2110" s="24" t="str">
        <x:v>Progressiva</x:v>
      </x:c>
      <x:c r="F2110" s="24" t="str">
        <x:v>Surfaçada</x:v>
      </x:c>
      <x:c r="G2110" s="24" t="str">
        <x:v>ClearMind Plus</x:v>
      </x:c>
      <x:c r="H2110" s="24"/>
      <x:c r="I2110" s="24" t="str">
        <x:v>1.6</x:v>
      </x:c>
      <x:c r="J2110" s="24" t="str">
        <x:v>1.60</x:v>
      </x:c>
      <x:c r="K2110" s="24" t="str">
        <x:v>DuraVision Platinum UV</x:v>
      </x:c>
      <x:c r="L2110" s="40" t="n">
        <x:v>8039</x:v>
      </x:c>
      <x:c r="M2110" s="24" t="str">
        <x:v>-7.25 a +6.00</x:v>
      </x:c>
      <x:c r="N2110" s="24" t="str">
        <x:v>-6.00</x:v>
      </x:c>
      <x:c r="O2110" s="24" t="str">
        <x:v>0.75 a 3.50</x:v>
      </x:c>
      <x:c r="P2110" s="24" t="str">
        <x:v>75</x:v>
      </x:c>
      <x:c r="Q2110" s="24"/>
      <x:c r="R2110" s="24"/>
      <x:c r="S2110" s="26" t="n">
        <x:v>46113</x:v>
      </x:c>
      <x:c r="T2110" s="26"/>
      <x:c r="U2110" s="24" t="str">
        <x:v>ATIVA/SEM FIM INFORMADO</x:v>
      </x:c>
      <x:c r="V2110" s="24" t="str">
        <x:v>Programa de Parcerias ZEISS — categoria Experts</x:v>
      </x:c>
      <x:c r="W2110" s="24" t="n">
        <x:v>34</x:v>
      </x:c>
      <x:c r="X2110" s="24" t="str">
        <x:v>tabela_zeiss.pdf</x:v>
      </x:c>
      <x:c r="Y2110" s="24" t="str">
        <x:v>alta</x:v>
      </x:c>
      <x:c r="Z2110" s="24"/>
      <x:c r="AA2110" s="24" t="str">
        <x:v>ZEISS|Progressiva|Surfaçada|ClearMind Plus||1.6|1.60|DuraVision Platinum UV|-7.25 a +6.00|-6.00|0.75 a 3.50|75|||34</x:v>
      </x:c>
    </x:row>
    <x:row r="2111">
      <x:c r="A2111" s="24" t="str">
        <x:v>ZS-00BCC5525CBE</x:v>
      </x:c>
      <x:c r="B2111" s="24" t="str">
        <x:v>SIM</x:v>
      </x:c>
      <x:c r="C2111" s="24" t="str">
        <x:v>DISPONÍVEL</x:v>
      </x:c>
      <x:c r="D2111" s="24" t="str">
        <x:v>ZEISS</x:v>
      </x:c>
      <x:c r="E2111" s="24" t="str">
        <x:v>Progressiva</x:v>
      </x:c>
      <x:c r="F2111" s="24" t="str">
        <x:v>Surfaçada</x:v>
      </x:c>
      <x:c r="G2111" s="24" t="str">
        <x:v>ClearMind Plus</x:v>
      </x:c>
      <x:c r="H2111" s="24"/>
      <x:c r="I2111" s="24" t="str">
        <x:v>1.6</x:v>
      </x:c>
      <x:c r="J2111" s="24" t="str">
        <x:v>1.60</x:v>
      </x:c>
      <x:c r="K2111" s="24" t="str">
        <x:v>DuraVision Silver UV</x:v>
      </x:c>
      <x:c r="L2111" s="40" t="n">
        <x:v>7779</x:v>
      </x:c>
      <x:c r="M2111" s="24" t="str">
        <x:v>-7.25 a +6.00</x:v>
      </x:c>
      <x:c r="N2111" s="24" t="str">
        <x:v>-6.00</x:v>
      </x:c>
      <x:c r="O2111" s="24" t="str">
        <x:v>0.75 a 3.50</x:v>
      </x:c>
      <x:c r="P2111" s="24" t="str">
        <x:v>75</x:v>
      </x:c>
      <x:c r="Q2111" s="24"/>
      <x:c r="R2111" s="24"/>
      <x:c r="S2111" s="26" t="n">
        <x:v>46113</x:v>
      </x:c>
      <x:c r="T2111" s="26"/>
      <x:c r="U2111" s="24" t="str">
        <x:v>ATIVA/SEM FIM INFORMADO</x:v>
      </x:c>
      <x:c r="V2111" s="24" t="str">
        <x:v>Programa de Parcerias ZEISS — categoria Experts</x:v>
      </x:c>
      <x:c r="W2111" s="24" t="n">
        <x:v>34</x:v>
      </x:c>
      <x:c r="X2111" s="24" t="str">
        <x:v>tabela_zeiss.pdf</x:v>
      </x:c>
      <x:c r="Y2111" s="24" t="str">
        <x:v>alta</x:v>
      </x:c>
      <x:c r="Z2111" s="24"/>
      <x:c r="AA2111" s="24" t="str">
        <x:v>ZEISS|Progressiva|Surfaçada|ClearMind Plus||1.6|1.60|DuraVision Silver UV|-7.25 a +6.00|-6.00|0.75 a 3.50|75|||34</x:v>
      </x:c>
    </x:row>
    <x:row r="2112">
      <x:c r="A2112" s="24" t="str">
        <x:v>ZS-D2EDA5C78B8E</x:v>
      </x:c>
      <x:c r="B2112" s="24" t="str">
        <x:v>SIM</x:v>
      </x:c>
      <x:c r="C2112" s="24" t="str">
        <x:v>DISPONÍVEL</x:v>
      </x:c>
      <x:c r="D2112" s="24" t="str">
        <x:v>ZEISS</x:v>
      </x:c>
      <x:c r="E2112" s="24" t="str">
        <x:v>Progressiva</x:v>
      </x:c>
      <x:c r="F2112" s="24" t="str">
        <x:v>Surfaçada</x:v>
      </x:c>
      <x:c r="G2112" s="24" t="str">
        <x:v>ClearMind Plus</x:v>
      </x:c>
      <x:c r="H2112" s="24"/>
      <x:c r="I2112" s="24" t="str">
        <x:v>1.6</x:v>
      </x:c>
      <x:c r="J2112" s="24" t="str">
        <x:v>1.60</x:v>
      </x:c>
      <x:c r="K2112" s="24" t="str">
        <x:v>DuraVision Chrome UV</x:v>
      </x:c>
      <x:c r="L2112" s="40" t="n">
        <x:v>7289</x:v>
      </x:c>
      <x:c r="M2112" s="24" t="str">
        <x:v>-7.25 a +6.00</x:v>
      </x:c>
      <x:c r="N2112" s="24" t="str">
        <x:v>-6.00</x:v>
      </x:c>
      <x:c r="O2112" s="24" t="str">
        <x:v>0.75 a 3.50</x:v>
      </x:c>
      <x:c r="P2112" s="24" t="str">
        <x:v>75</x:v>
      </x:c>
      <x:c r="Q2112" s="24"/>
      <x:c r="R2112" s="24"/>
      <x:c r="S2112" s="26" t="n">
        <x:v>46113</x:v>
      </x:c>
      <x:c r="T2112" s="26"/>
      <x:c r="U2112" s="24" t="str">
        <x:v>ATIVA/SEM FIM INFORMADO</x:v>
      </x:c>
      <x:c r="V2112" s="24" t="str">
        <x:v>Programa de Parcerias ZEISS — categoria Experts</x:v>
      </x:c>
      <x:c r="W2112" s="24" t="n">
        <x:v>34</x:v>
      </x:c>
      <x:c r="X2112" s="24" t="str">
        <x:v>tabela_zeiss.pdf</x:v>
      </x:c>
      <x:c r="Y2112" s="24" t="str">
        <x:v>alta</x:v>
      </x:c>
      <x:c r="Z2112" s="24"/>
      <x:c r="AA2112" s="24" t="str">
        <x:v>ZEISS|Progressiva|Surfaçada|ClearMind Plus||1.6|1.60|DuraVision Chrome UV|-7.25 a +6.00|-6.00|0.75 a 3.50|75|||34</x:v>
      </x:c>
    </x:row>
    <x:row r="2113">
      <x:c r="A2113" s="24" t="str">
        <x:v>ZS-0D75D9E34E72</x:v>
      </x:c>
      <x:c r="B2113" s="24" t="str">
        <x:v>SIM</x:v>
      </x:c>
      <x:c r="C2113" s="24" t="str">
        <x:v>DISPONÍVEL</x:v>
      </x:c>
      <x:c r="D2113" s="24" t="str">
        <x:v>ZEISS</x:v>
      </x:c>
      <x:c r="E2113" s="24" t="str">
        <x:v>Progressiva</x:v>
      </x:c>
      <x:c r="F2113" s="24" t="str">
        <x:v>Surfaçada</x:v>
      </x:c>
      <x:c r="G2113" s="24" t="str">
        <x:v>ClearMind Plus</x:v>
      </x:c>
      <x:c r="H2113" s="24"/>
      <x:c r="I2113" s="24" t="str">
        <x:v>1.67</x:v>
      </x:c>
      <x:c r="J2113" s="24" t="str">
        <x:v>1.67</x:v>
      </x:c>
      <x:c r="K2113" s="24" t="str">
        <x:v>DuraVision Gold UV</x:v>
      </x:c>
      <x:c r="L2113" s="40" t="n">
        <x:v>9819</x:v>
      </x:c>
      <x:c r="M2113" s="24" t="str">
        <x:v>-8.00 a +8.00</x:v>
      </x:c>
      <x:c r="N2113" s="24" t="str">
        <x:v>-6.00</x:v>
      </x:c>
      <x:c r="O2113" s="24" t="str">
        <x:v>0.75 a 3.00</x:v>
      </x:c>
      <x:c r="P2113" s="24" t="str">
        <x:v>70</x:v>
      </x:c>
      <x:c r="Q2113" s="24"/>
      <x:c r="R2113" s="24"/>
      <x:c r="S2113" s="26" t="n">
        <x:v>46113</x:v>
      </x:c>
      <x:c r="T2113" s="26"/>
      <x:c r="U2113" s="24" t="str">
        <x:v>ATIVA/SEM FIM INFORMADO</x:v>
      </x:c>
      <x:c r="V2113" s="24" t="str">
        <x:v>Programa de Parcerias ZEISS — categoria Experts</x:v>
      </x:c>
      <x:c r="W2113" s="24" t="n">
        <x:v>34</x:v>
      </x:c>
      <x:c r="X2113" s="24" t="str">
        <x:v>tabela_zeiss.pdf</x:v>
      </x:c>
      <x:c r="Y2113" s="24" t="str">
        <x:v>alta</x:v>
      </x:c>
      <x:c r="Z2113" s="24"/>
      <x:c r="AA2113" s="24" t="str">
        <x:v>ZEISS|Progressiva|Surfaçada|ClearMind Plus||1.67|1.67|DuraVision Gold UV|-8.00 a +8.00|-6.00|0.75 a 3.00|70|||34</x:v>
      </x:c>
    </x:row>
    <x:row r="2114">
      <x:c r="A2114" s="24" t="str">
        <x:v>ZS-F8B00EFDA1CF</x:v>
      </x:c>
      <x:c r="B2114" s="24" t="str">
        <x:v>SIM</x:v>
      </x:c>
      <x:c r="C2114" s="24" t="str">
        <x:v>DISPONÍVEL</x:v>
      </x:c>
      <x:c r="D2114" s="24" t="str">
        <x:v>ZEISS</x:v>
      </x:c>
      <x:c r="E2114" s="24" t="str">
        <x:v>Progressiva</x:v>
      </x:c>
      <x:c r="F2114" s="24" t="str">
        <x:v>Surfaçada</x:v>
      </x:c>
      <x:c r="G2114" s="24" t="str">
        <x:v>ClearMind Plus</x:v>
      </x:c>
      <x:c r="H2114" s="24"/>
      <x:c r="I2114" s="24" t="str">
        <x:v>1.67</x:v>
      </x:c>
      <x:c r="J2114" s="24" t="str">
        <x:v>1.67</x:v>
      </x:c>
      <x:c r="K2114" s="24" t="str">
        <x:v>DURAVISION® ANTIVÍRUS PLATINUM UV</x:v>
      </x:c>
      <x:c r="L2114" s="40" t="n">
        <x:v>9679</x:v>
      </x:c>
      <x:c r="M2114" s="24" t="str">
        <x:v>-8.00 a +8.00</x:v>
      </x:c>
      <x:c r="N2114" s="24" t="str">
        <x:v>-6.00</x:v>
      </x:c>
      <x:c r="O2114" s="24" t="str">
        <x:v>0.75 a 3.00</x:v>
      </x:c>
      <x:c r="P2114" s="24" t="str">
        <x:v>70</x:v>
      </x:c>
      <x:c r="Q2114" s="24"/>
      <x:c r="R2114" s="24"/>
      <x:c r="S2114" s="26" t="n">
        <x:v>46113</x:v>
      </x:c>
      <x:c r="T2114" s="26"/>
      <x:c r="U2114" s="24" t="str">
        <x:v>ATIVA/SEM FIM INFORMADO</x:v>
      </x:c>
      <x:c r="V2114" s="24" t="str">
        <x:v>Programa de Parcerias ZEISS — categoria Experts</x:v>
      </x:c>
      <x:c r="W2114" s="24" t="n">
        <x:v>34</x:v>
      </x:c>
      <x:c r="X2114" s="24" t="str">
        <x:v>tabela_zeiss.pdf</x:v>
      </x:c>
      <x:c r="Y2114" s="24" t="str">
        <x:v>alta</x:v>
      </x:c>
      <x:c r="Z2114" s="24"/>
      <x:c r="AA2114" s="24" t="str">
        <x:v>ZEISS|Progressiva|Surfaçada|ClearMind Plus||1.67|1.67|DURAVISION® ANTIVÍRUS PLATINUM UV|-8.00 a +8.00|-6.00|0.75 a 3.00|70|||34</x:v>
      </x:c>
    </x:row>
    <x:row r="2115">
      <x:c r="A2115" s="24" t="str">
        <x:v>ZS-BDF466D425AE</x:v>
      </x:c>
      <x:c r="B2115" s="24" t="str">
        <x:v>SIM</x:v>
      </x:c>
      <x:c r="C2115" s="24" t="str">
        <x:v>DISPONÍVEL</x:v>
      </x:c>
      <x:c r="D2115" s="24" t="str">
        <x:v>ZEISS</x:v>
      </x:c>
      <x:c r="E2115" s="24" t="str">
        <x:v>Progressiva</x:v>
      </x:c>
      <x:c r="F2115" s="24" t="str">
        <x:v>Surfaçada</x:v>
      </x:c>
      <x:c r="G2115" s="24" t="str">
        <x:v>ClearMind Plus</x:v>
      </x:c>
      <x:c r="H2115" s="24"/>
      <x:c r="I2115" s="24" t="str">
        <x:v>1.67</x:v>
      </x:c>
      <x:c r="J2115" s="24" t="str">
        <x:v>1.67</x:v>
      </x:c>
      <x:c r="K2115" s="24" t="str">
        <x:v>DuraVision Platinum UV</x:v>
      </x:c>
      <x:c r="L2115" s="40" t="n">
        <x:v>9679</x:v>
      </x:c>
      <x:c r="M2115" s="24" t="str">
        <x:v>-8.00 a +8.00</x:v>
      </x:c>
      <x:c r="N2115" s="24" t="str">
        <x:v>-6.00</x:v>
      </x:c>
      <x:c r="O2115" s="24" t="str">
        <x:v>0.75 a 3.00</x:v>
      </x:c>
      <x:c r="P2115" s="24" t="str">
        <x:v>70</x:v>
      </x:c>
      <x:c r="Q2115" s="24"/>
      <x:c r="R2115" s="24"/>
      <x:c r="S2115" s="26" t="n">
        <x:v>46113</x:v>
      </x:c>
      <x:c r="T2115" s="26"/>
      <x:c r="U2115" s="24" t="str">
        <x:v>ATIVA/SEM FIM INFORMADO</x:v>
      </x:c>
      <x:c r="V2115" s="24" t="str">
        <x:v>Programa de Parcerias ZEISS — categoria Experts</x:v>
      </x:c>
      <x:c r="W2115" s="24" t="n">
        <x:v>34</x:v>
      </x:c>
      <x:c r="X2115" s="24" t="str">
        <x:v>tabela_zeiss.pdf</x:v>
      </x:c>
      <x:c r="Y2115" s="24" t="str">
        <x:v>alta</x:v>
      </x:c>
      <x:c r="Z2115" s="24"/>
      <x:c r="AA2115" s="24" t="str">
        <x:v>ZEISS|Progressiva|Surfaçada|ClearMind Plus||1.67|1.67|DuraVision Platinum UV|-8.00 a +8.00|-6.00|0.75 a 3.00|70|||34</x:v>
      </x:c>
    </x:row>
    <x:row r="2116">
      <x:c r="A2116" s="24" t="str">
        <x:v>ZS-3FFB6B7C357F</x:v>
      </x:c>
      <x:c r="B2116" s="24" t="str">
        <x:v>SIM</x:v>
      </x:c>
      <x:c r="C2116" s="24" t="str">
        <x:v>DISPONÍVEL</x:v>
      </x:c>
      <x:c r="D2116" s="24" t="str">
        <x:v>ZEISS</x:v>
      </x:c>
      <x:c r="E2116" s="24" t="str">
        <x:v>Progressiva</x:v>
      </x:c>
      <x:c r="F2116" s="24" t="str">
        <x:v>Surfaçada</x:v>
      </x:c>
      <x:c r="G2116" s="24" t="str">
        <x:v>ClearMind Plus</x:v>
      </x:c>
      <x:c r="H2116" s="24"/>
      <x:c r="I2116" s="24" t="str">
        <x:v>1.67</x:v>
      </x:c>
      <x:c r="J2116" s="24" t="str">
        <x:v>1.67</x:v>
      </x:c>
      <x:c r="K2116" s="24" t="str">
        <x:v>DuraVision Silver UV</x:v>
      </x:c>
      <x:c r="L2116" s="40" t="n">
        <x:v>9419</x:v>
      </x:c>
      <x:c r="M2116" s="24" t="str">
        <x:v>-8.00 a +8.00</x:v>
      </x:c>
      <x:c r="N2116" s="24" t="str">
        <x:v>-6.00</x:v>
      </x:c>
      <x:c r="O2116" s="24" t="str">
        <x:v>0.75 a 3.00</x:v>
      </x:c>
      <x:c r="P2116" s="24" t="str">
        <x:v>70</x:v>
      </x:c>
      <x:c r="Q2116" s="24"/>
      <x:c r="R2116" s="24"/>
      <x:c r="S2116" s="26" t="n">
        <x:v>46113</x:v>
      </x:c>
      <x:c r="T2116" s="26"/>
      <x:c r="U2116" s="24" t="str">
        <x:v>ATIVA/SEM FIM INFORMADO</x:v>
      </x:c>
      <x:c r="V2116" s="24" t="str">
        <x:v>Programa de Parcerias ZEISS — categoria Experts</x:v>
      </x:c>
      <x:c r="W2116" s="24" t="n">
        <x:v>34</x:v>
      </x:c>
      <x:c r="X2116" s="24" t="str">
        <x:v>tabela_zeiss.pdf</x:v>
      </x:c>
      <x:c r="Y2116" s="24" t="str">
        <x:v>alta</x:v>
      </x:c>
      <x:c r="Z2116" s="24"/>
      <x:c r="AA2116" s="24" t="str">
        <x:v>ZEISS|Progressiva|Surfaçada|ClearMind Plus||1.67|1.67|DuraVision Silver UV|-8.00 a +8.00|-6.00|0.75 a 3.00|70|||34</x:v>
      </x:c>
    </x:row>
    <x:row r="2117">
      <x:c r="A2117" s="24" t="str">
        <x:v>ZS-92A1C5E60202</x:v>
      </x:c>
      <x:c r="B2117" s="24" t="str">
        <x:v>SIM</x:v>
      </x:c>
      <x:c r="C2117" s="24" t="str">
        <x:v>DISPONÍVEL</x:v>
      </x:c>
      <x:c r="D2117" s="24" t="str">
        <x:v>ZEISS</x:v>
      </x:c>
      <x:c r="E2117" s="24" t="str">
        <x:v>Progressiva</x:v>
      </x:c>
      <x:c r="F2117" s="24" t="str">
        <x:v>Surfaçada</x:v>
      </x:c>
      <x:c r="G2117" s="24" t="str">
        <x:v>ClearMind Plus</x:v>
      </x:c>
      <x:c r="H2117" s="24"/>
      <x:c r="I2117" s="24" t="str">
        <x:v>1.67</x:v>
      </x:c>
      <x:c r="J2117" s="24" t="str">
        <x:v>1.67</x:v>
      </x:c>
      <x:c r="K2117" s="24" t="str">
        <x:v>DuraVision Chrome UV</x:v>
      </x:c>
      <x:c r="L2117" s="40" t="n">
        <x:v>8929</x:v>
      </x:c>
      <x:c r="M2117" s="24" t="str">
        <x:v>-8.00 a +8.00</x:v>
      </x:c>
      <x:c r="N2117" s="24" t="str">
        <x:v>-6.00</x:v>
      </x:c>
      <x:c r="O2117" s="24" t="str">
        <x:v>0.75 a 3.00</x:v>
      </x:c>
      <x:c r="P2117" s="24" t="str">
        <x:v>70</x:v>
      </x:c>
      <x:c r="Q2117" s="24"/>
      <x:c r="R2117" s="24"/>
      <x:c r="S2117" s="26" t="n">
        <x:v>46113</x:v>
      </x:c>
      <x:c r="T2117" s="26"/>
      <x:c r="U2117" s="24" t="str">
        <x:v>ATIVA/SEM FIM INFORMADO</x:v>
      </x:c>
      <x:c r="V2117" s="24" t="str">
        <x:v>Programa de Parcerias ZEISS — categoria Experts</x:v>
      </x:c>
      <x:c r="W2117" s="24" t="n">
        <x:v>34</x:v>
      </x:c>
      <x:c r="X2117" s="24" t="str">
        <x:v>tabela_zeiss.pdf</x:v>
      </x:c>
      <x:c r="Y2117" s="24" t="str">
        <x:v>alta</x:v>
      </x:c>
      <x:c r="Z2117" s="24"/>
      <x:c r="AA2117" s="24" t="str">
        <x:v>ZEISS|Progressiva|Surfaçada|ClearMind Plus||1.67|1.67|DuraVision Chrome UV|-8.00 a +8.00|-6.00|0.75 a 3.00|70|||34</x:v>
      </x:c>
    </x:row>
    <x:row r="2118">
      <x:c r="A2118" s="24" t="str">
        <x:v>ZS-96453A1BC538</x:v>
      </x:c>
      <x:c r="B2118" s="24" t="str">
        <x:v>SIM</x:v>
      </x:c>
      <x:c r="C2118" s="24" t="str">
        <x:v>DISPONÍVEL</x:v>
      </x:c>
      <x:c r="D2118" s="24" t="str">
        <x:v>ZEISS</x:v>
      </x:c>
      <x:c r="E2118" s="24" t="str">
        <x:v>Progressiva</x:v>
      </x:c>
      <x:c r="F2118" s="24" t="str">
        <x:v>Surfaçada</x:v>
      </x:c>
      <x:c r="G2118" s="24" t="str">
        <x:v>ClearMind Plus</x:v>
      </x:c>
      <x:c r="H2118" s="24"/>
      <x:c r="I2118" s="24" t="str">
        <x:v>1.74</x:v>
      </x:c>
      <x:c r="J2118" s="24" t="str">
        <x:v>1.74</x:v>
      </x:c>
      <x:c r="K2118" s="24" t="str">
        <x:v>DuraVision Gold UV</x:v>
      </x:c>
      <x:c r="L2118" s="40" t="n">
        <x:v>11419</x:v>
      </x:c>
      <x:c r="M2118" s="24" t="str">
        <x:v>-10.00 a +7.00</x:v>
      </x:c>
      <x:c r="N2118" s="24" t="str">
        <x:v>-4.00</x:v>
      </x:c>
      <x:c r="O2118" s="24" t="str">
        <x:v>0.75 a 3.50</x:v>
      </x:c>
      <x:c r="P2118" s="24" t="str">
        <x:v>70 a 75</x:v>
      </x:c>
      <x:c r="Q2118" s="24"/>
      <x:c r="R2118" s="24"/>
      <x:c r="S2118" s="26" t="n">
        <x:v>46113</x:v>
      </x:c>
      <x:c r="T2118" s="26"/>
      <x:c r="U2118" s="24" t="str">
        <x:v>ATIVA/SEM FIM INFORMADO</x:v>
      </x:c>
      <x:c r="V2118" s="24" t="str">
        <x:v>Programa de Parcerias ZEISS — categoria Experts</x:v>
      </x:c>
      <x:c r="W2118" s="24" t="n">
        <x:v>34</x:v>
      </x:c>
      <x:c r="X2118" s="24" t="str">
        <x:v>tabela_zeiss.pdf</x:v>
      </x:c>
      <x:c r="Y2118" s="24" t="str">
        <x:v>alta</x:v>
      </x:c>
      <x:c r="Z2118" s="24"/>
      <x:c r="AA2118" s="24" t="str">
        <x:v>ZEISS|Progressiva|Surfaçada|ClearMind Plus||1.74|1.74|DuraVision Gold UV|-10.00 a +7.00|-4.00|0.75 a 3.50|70 a 75|||34</x:v>
      </x:c>
    </x:row>
    <x:row r="2119">
      <x:c r="A2119" s="24" t="str">
        <x:v>ZS-2277C19C87A7</x:v>
      </x:c>
      <x:c r="B2119" s="24" t="str">
        <x:v>SIM</x:v>
      </x:c>
      <x:c r="C2119" s="24" t="str">
        <x:v>DISPONÍVEL</x:v>
      </x:c>
      <x:c r="D2119" s="24" t="str">
        <x:v>ZEISS</x:v>
      </x:c>
      <x:c r="E2119" s="24" t="str">
        <x:v>Progressiva</x:v>
      </x:c>
      <x:c r="F2119" s="24" t="str">
        <x:v>Surfaçada</x:v>
      </x:c>
      <x:c r="G2119" s="24" t="str">
        <x:v>ClearMind Plus</x:v>
      </x:c>
      <x:c r="H2119" s="24"/>
      <x:c r="I2119" s="24" t="str">
        <x:v>1.74</x:v>
      </x:c>
      <x:c r="J2119" s="24" t="str">
        <x:v>1.74</x:v>
      </x:c>
      <x:c r="K2119" s="24" t="str">
        <x:v>DuraVision Platinum UV</x:v>
      </x:c>
      <x:c r="L2119" s="40" t="n">
        <x:v>11279</x:v>
      </x:c>
      <x:c r="M2119" s="24" t="str">
        <x:v>-10.00 a +7.00</x:v>
      </x:c>
      <x:c r="N2119" s="24" t="str">
        <x:v>-4.00</x:v>
      </x:c>
      <x:c r="O2119" s="24" t="str">
        <x:v>0.75 a 3.50</x:v>
      </x:c>
      <x:c r="P2119" s="24" t="str">
        <x:v>70 a 75</x:v>
      </x:c>
      <x:c r="Q2119" s="24"/>
      <x:c r="R2119" s="24"/>
      <x:c r="S2119" s="26" t="n">
        <x:v>46113</x:v>
      </x:c>
      <x:c r="T2119" s="26"/>
      <x:c r="U2119" s="24" t="str">
        <x:v>ATIVA/SEM FIM INFORMADO</x:v>
      </x:c>
      <x:c r="V2119" s="24" t="str">
        <x:v>Programa de Parcerias ZEISS — categoria Experts</x:v>
      </x:c>
      <x:c r="W2119" s="24" t="n">
        <x:v>34</x:v>
      </x:c>
      <x:c r="X2119" s="24" t="str">
        <x:v>tabela_zeiss.pdf</x:v>
      </x:c>
      <x:c r="Y2119" s="24" t="str">
        <x:v>alta</x:v>
      </x:c>
      <x:c r="Z2119" s="24"/>
      <x:c r="AA2119" s="24" t="str">
        <x:v>ZEISS|Progressiva|Surfaçada|ClearMind Plus||1.74|1.74|DuraVision Platinum UV|-10.00 a +7.00|-4.00|0.75 a 3.50|70 a 75|||34</x:v>
      </x:c>
    </x:row>
    <x:row r="2120">
      <x:c r="A2120" s="24" t="str">
        <x:v>ZS-4468C99F9834</x:v>
      </x:c>
      <x:c r="B2120" s="24" t="str">
        <x:v>SIM</x:v>
      </x:c>
      <x:c r="C2120" s="24" t="str">
        <x:v>DISPONÍVEL</x:v>
      </x:c>
      <x:c r="D2120" s="24" t="str">
        <x:v>ZEISS</x:v>
      </x:c>
      <x:c r="E2120" s="24" t="str">
        <x:v>Progressiva</x:v>
      </x:c>
      <x:c r="F2120" s="24" t="str">
        <x:v>Surfaçada</x:v>
      </x:c>
      <x:c r="G2120" s="24" t="str">
        <x:v>ClearMind Plus</x:v>
      </x:c>
      <x:c r="H2120" s="24"/>
      <x:c r="I2120" s="24" t="str">
        <x:v>1.74</x:v>
      </x:c>
      <x:c r="J2120" s="24" t="str">
        <x:v>1.74</x:v>
      </x:c>
      <x:c r="K2120" s="24" t="str">
        <x:v>DuraVision Silver UV</x:v>
      </x:c>
      <x:c r="L2120" s="40" t="n">
        <x:v>11019</x:v>
      </x:c>
      <x:c r="M2120" s="24" t="str">
        <x:v>-10.00 a +7.00</x:v>
      </x:c>
      <x:c r="N2120" s="24" t="str">
        <x:v>-4.00</x:v>
      </x:c>
      <x:c r="O2120" s="24" t="str">
        <x:v>0.75 a 3.50</x:v>
      </x:c>
      <x:c r="P2120" s="24" t="str">
        <x:v>70 a 75</x:v>
      </x:c>
      <x:c r="Q2120" s="24"/>
      <x:c r="R2120" s="24"/>
      <x:c r="S2120" s="26" t="n">
        <x:v>46113</x:v>
      </x:c>
      <x:c r="T2120" s="26"/>
      <x:c r="U2120" s="24" t="str">
        <x:v>ATIVA/SEM FIM INFORMADO</x:v>
      </x:c>
      <x:c r="V2120" s="24" t="str">
        <x:v>Programa de Parcerias ZEISS — categoria Experts</x:v>
      </x:c>
      <x:c r="W2120" s="24" t="n">
        <x:v>34</x:v>
      </x:c>
      <x:c r="X2120" s="24" t="str">
        <x:v>tabela_zeiss.pdf</x:v>
      </x:c>
      <x:c r="Y2120" s="24" t="str">
        <x:v>alta</x:v>
      </x:c>
      <x:c r="Z2120" s="24"/>
      <x:c r="AA2120" s="24" t="str">
        <x:v>ZEISS|Progressiva|Surfaçada|ClearMind Plus||1.74|1.74|DuraVision Silver UV|-10.00 a +7.00|-4.00|0.75 a 3.50|70 a 75|||34</x:v>
      </x:c>
    </x:row>
    <x:row r="2121">
      <x:c r="A2121" s="24" t="str">
        <x:v>ZS-BD9985F8A468</x:v>
      </x:c>
      <x:c r="B2121" s="24" t="str">
        <x:v>SIM</x:v>
      </x:c>
      <x:c r="C2121" s="24" t="str">
        <x:v>DISPONÍVEL</x:v>
      </x:c>
      <x:c r="D2121" s="24" t="str">
        <x:v>ZEISS</x:v>
      </x:c>
      <x:c r="E2121" s="24" t="str">
        <x:v>Progressiva</x:v>
      </x:c>
      <x:c r="F2121" s="24" t="str">
        <x:v>Surfaçada</x:v>
      </x:c>
      <x:c r="G2121" s="24" t="str">
        <x:v>ClearMind Plus</x:v>
      </x:c>
      <x:c r="H2121" s="24"/>
      <x:c r="I2121" s="24" t="str">
        <x:v>1.74</x:v>
      </x:c>
      <x:c r="J2121" s="24" t="str">
        <x:v>1.74</x:v>
      </x:c>
      <x:c r="K2121" s="24" t="str">
        <x:v>DuraVision Chrome UV</x:v>
      </x:c>
      <x:c r="L2121" s="40" t="n">
        <x:v>10529</x:v>
      </x:c>
      <x:c r="M2121" s="24" t="str">
        <x:v>-10.00 a +7.00</x:v>
      </x:c>
      <x:c r="N2121" s="24" t="str">
        <x:v>-4.00</x:v>
      </x:c>
      <x:c r="O2121" s="24" t="str">
        <x:v>0.75 a 3.50</x:v>
      </x:c>
      <x:c r="P2121" s="24" t="str">
        <x:v>70 a 75</x:v>
      </x:c>
      <x:c r="Q2121" s="24"/>
      <x:c r="R2121" s="24"/>
      <x:c r="S2121" s="26" t="n">
        <x:v>46113</x:v>
      </x:c>
      <x:c r="T2121" s="26"/>
      <x:c r="U2121" s="24" t="str">
        <x:v>ATIVA/SEM FIM INFORMADO</x:v>
      </x:c>
      <x:c r="V2121" s="24" t="str">
        <x:v>Programa de Parcerias ZEISS — categoria Experts</x:v>
      </x:c>
      <x:c r="W2121" s="24" t="n">
        <x:v>34</x:v>
      </x:c>
      <x:c r="X2121" s="24" t="str">
        <x:v>tabela_zeiss.pdf</x:v>
      </x:c>
      <x:c r="Y2121" s="24" t="str">
        <x:v>alta</x:v>
      </x:c>
      <x:c r="Z2121" s="24"/>
      <x:c r="AA2121" s="24" t="str">
        <x:v>ZEISS|Progressiva|Surfaçada|ClearMind Plus||1.74|1.74|DuraVision Chrome UV|-10.00 a +7.00|-4.00|0.75 a 3.50|70 a 75|||34</x:v>
      </x:c>
    </x:row>
    <x:row r="2122">
      <x:c r="A2122" s="24" t="str">
        <x:v>ZS-BBB2E418BE40</x:v>
      </x:c>
      <x:c r="B2122" s="24" t="str">
        <x:v>SIM</x:v>
      </x:c>
      <x:c r="C2122" s="24" t="str">
        <x:v>DISPONÍVEL</x:v>
      </x:c>
      <x:c r="D2122" s="24" t="str">
        <x:v>ZEISS</x:v>
      </x:c>
      <x:c r="E2122" s="24" t="str">
        <x:v>Progressiva</x:v>
      </x:c>
      <x:c r="F2122" s="24" t="str">
        <x:v>Surfaçada</x:v>
      </x:c>
      <x:c r="G2122" s="24" t="str">
        <x:v>ClearMind Plus</x:v>
      </x:c>
      <x:c r="H2122" s="24" t="str">
        <x:v>PhotoFusion X</x:v>
      </x:c>
      <x:c r="I2122" s="24" t="str">
        <x:v>1.5</x:v>
      </x:c>
      <x:c r="J2122" s="24" t="str">
        <x:v>1.50</x:v>
      </x:c>
      <x:c r="K2122" s="24" t="str">
        <x:v>DuraVision Gold UV</x:v>
      </x:c>
      <x:c r="L2122" s="40" t="n">
        <x:v>8349</x:v>
      </x:c>
      <x:c r="M2122" s="24" t="str">
        <x:v>-6.00 a +5.50</x:v>
      </x:c>
      <x:c r="N2122" s="24" t="str">
        <x:v>-4.00</x:v>
      </x:c>
      <x:c r="O2122" s="24" t="str">
        <x:v>0.75 a 3.00</x:v>
      </x:c>
      <x:c r="P2122" s="24" t="str">
        <x:v>75</x:v>
      </x:c>
      <x:c r="Q2122" s="24"/>
      <x:c r="R2122" s="24"/>
      <x:c r="S2122" s="26" t="n">
        <x:v>46113</x:v>
      </x:c>
      <x:c r="T2122" s="26"/>
      <x:c r="U2122" s="24" t="str">
        <x:v>ATIVA/SEM FIM INFORMADO</x:v>
      </x:c>
      <x:c r="V2122" s="24" t="str">
        <x:v>Programa de Parcerias ZEISS — categoria Experts; Programa de Parcerias ZEISS</x:v>
      </x:c>
      <x:c r="W2122" s="24" t="n">
        <x:v>34</x:v>
      </x:c>
      <x:c r="X2122" s="24" t="str">
        <x:v>tabela_zeiss.pdf</x:v>
      </x:c>
      <x:c r="Y2122" s="24" t="str">
        <x:v>alta</x:v>
      </x:c>
      <x:c r="Z2122" s="24"/>
      <x:c r="AA2122" s="24" t="str">
        <x:v>ZEISS|Progressiva|Surfaçada|ClearMind Plus|PhotoFusion X|1.5|1.50|DuraVision Gold UV|-6.00 a +5.50|-4.00|0.75 a 3.00|75|||34</x:v>
      </x:c>
    </x:row>
    <x:row r="2123">
      <x:c r="A2123" s="24" t="str">
        <x:v>ZS-20B58052B2BE</x:v>
      </x:c>
      <x:c r="B2123" s="24" t="str">
        <x:v>SIM</x:v>
      </x:c>
      <x:c r="C2123" s="24" t="str">
        <x:v>DISPONÍVEL</x:v>
      </x:c>
      <x:c r="D2123" s="24" t="str">
        <x:v>ZEISS</x:v>
      </x:c>
      <x:c r="E2123" s="24" t="str">
        <x:v>Progressiva</x:v>
      </x:c>
      <x:c r="F2123" s="24" t="str">
        <x:v>Surfaçada</x:v>
      </x:c>
      <x:c r="G2123" s="24" t="str">
        <x:v>ClearMind Plus</x:v>
      </x:c>
      <x:c r="H2123" s="24" t="str">
        <x:v>PhotoFusion X</x:v>
      </x:c>
      <x:c r="I2123" s="24" t="str">
        <x:v>1.5</x:v>
      </x:c>
      <x:c r="J2123" s="24" t="str">
        <x:v>1.50</x:v>
      </x:c>
      <x:c r="K2123" s="24" t="str">
        <x:v>DURAVISION® ANTIVÍRUS PLATINUM UV</x:v>
      </x:c>
      <x:c r="L2123" s="40" t="n">
        <x:v>8209</x:v>
      </x:c>
      <x:c r="M2123" s="24" t="str">
        <x:v>-6.00 a +5.50</x:v>
      </x:c>
      <x:c r="N2123" s="24" t="str">
        <x:v>-4.00</x:v>
      </x:c>
      <x:c r="O2123" s="24" t="str">
        <x:v>0.75 a 3.00</x:v>
      </x:c>
      <x:c r="P2123" s="24" t="str">
        <x:v>75</x:v>
      </x:c>
      <x:c r="Q2123" s="24"/>
      <x:c r="R2123" s="24"/>
      <x:c r="S2123" s="26" t="n">
        <x:v>46113</x:v>
      </x:c>
      <x:c r="T2123" s="26"/>
      <x:c r="U2123" s="24" t="str">
        <x:v>ATIVA/SEM FIM INFORMADO</x:v>
      </x:c>
      <x:c r="V2123" s="24" t="str">
        <x:v>Programa de Parcerias ZEISS — categoria Experts; Programa de Parcerias ZEISS</x:v>
      </x:c>
      <x:c r="W2123" s="24" t="n">
        <x:v>34</x:v>
      </x:c>
      <x:c r="X2123" s="24" t="str">
        <x:v>tabela_zeiss.pdf</x:v>
      </x:c>
      <x:c r="Y2123" s="24" t="str">
        <x:v>alta</x:v>
      </x:c>
      <x:c r="Z2123" s="24"/>
      <x:c r="AA2123" s="24" t="str">
        <x:v>ZEISS|Progressiva|Surfaçada|ClearMind Plus|PhotoFusion X|1.5|1.50|DURAVISION® ANTIVÍRUS PLATINUM UV|-6.00 a +5.50|-4.00|0.75 a 3.00|75|||34</x:v>
      </x:c>
    </x:row>
    <x:row r="2124">
      <x:c r="A2124" s="24" t="str">
        <x:v>ZS-06C8B3EE67CB</x:v>
      </x:c>
      <x:c r="B2124" s="24" t="str">
        <x:v>SIM</x:v>
      </x:c>
      <x:c r="C2124" s="24" t="str">
        <x:v>DISPONÍVEL</x:v>
      </x:c>
      <x:c r="D2124" s="24" t="str">
        <x:v>ZEISS</x:v>
      </x:c>
      <x:c r="E2124" s="24" t="str">
        <x:v>Progressiva</x:v>
      </x:c>
      <x:c r="F2124" s="24" t="str">
        <x:v>Surfaçada</x:v>
      </x:c>
      <x:c r="G2124" s="24" t="str">
        <x:v>ClearMind Plus</x:v>
      </x:c>
      <x:c r="H2124" s="24" t="str">
        <x:v>PhotoFusion X</x:v>
      </x:c>
      <x:c r="I2124" s="24" t="str">
        <x:v>1.5</x:v>
      </x:c>
      <x:c r="J2124" s="24" t="str">
        <x:v>1.50</x:v>
      </x:c>
      <x:c r="K2124" s="24" t="str">
        <x:v>DuraVision Platinum UV</x:v>
      </x:c>
      <x:c r="L2124" s="40" t="n">
        <x:v>8209</x:v>
      </x:c>
      <x:c r="M2124" s="24" t="str">
        <x:v>-6.00 a +5.50</x:v>
      </x:c>
      <x:c r="N2124" s="24" t="str">
        <x:v>-4.00</x:v>
      </x:c>
      <x:c r="O2124" s="24" t="str">
        <x:v>0.75 a 3.00</x:v>
      </x:c>
      <x:c r="P2124" s="24" t="str">
        <x:v>75</x:v>
      </x:c>
      <x:c r="Q2124" s="24"/>
      <x:c r="R2124" s="24"/>
      <x:c r="S2124" s="26" t="n">
        <x:v>46113</x:v>
      </x:c>
      <x:c r="T2124" s="26"/>
      <x:c r="U2124" s="24" t="str">
        <x:v>ATIVA/SEM FIM INFORMADO</x:v>
      </x:c>
      <x:c r="V2124" s="24" t="str">
        <x:v>Programa de Parcerias ZEISS — categoria Experts; Programa de Parcerias ZEISS</x:v>
      </x:c>
      <x:c r="W2124" s="24" t="n">
        <x:v>34</x:v>
      </x:c>
      <x:c r="X2124" s="24" t="str">
        <x:v>tabela_zeiss.pdf</x:v>
      </x:c>
      <x:c r="Y2124" s="24" t="str">
        <x:v>alta</x:v>
      </x:c>
      <x:c r="Z2124" s="24"/>
      <x:c r="AA2124" s="24" t="str">
        <x:v>ZEISS|Progressiva|Surfaçada|ClearMind Plus|PhotoFusion X|1.5|1.50|DuraVision Platinum UV|-6.00 a +5.50|-4.00|0.75 a 3.00|75|||34</x:v>
      </x:c>
    </x:row>
    <x:row r="2125">
      <x:c r="A2125" s="24" t="str">
        <x:v>ZS-2DBA38CBC3C9</x:v>
      </x:c>
      <x:c r="B2125" s="24" t="str">
        <x:v>SIM</x:v>
      </x:c>
      <x:c r="C2125" s="24" t="str">
        <x:v>DISPONÍVEL</x:v>
      </x:c>
      <x:c r="D2125" s="24" t="str">
        <x:v>ZEISS</x:v>
      </x:c>
      <x:c r="E2125" s="24" t="str">
        <x:v>Progressiva</x:v>
      </x:c>
      <x:c r="F2125" s="24" t="str">
        <x:v>Surfaçada</x:v>
      </x:c>
      <x:c r="G2125" s="24" t="str">
        <x:v>ClearMind Plus</x:v>
      </x:c>
      <x:c r="H2125" s="24" t="str">
        <x:v>PhotoFusion X</x:v>
      </x:c>
      <x:c r="I2125" s="24" t="str">
        <x:v>1.5</x:v>
      </x:c>
      <x:c r="J2125" s="24" t="str">
        <x:v>1.50</x:v>
      </x:c>
      <x:c r="K2125" s="24" t="str">
        <x:v>DuraVision Silver UV</x:v>
      </x:c>
      <x:c r="L2125" s="40" t="n">
        <x:v>7949</x:v>
      </x:c>
      <x:c r="M2125" s="24" t="str">
        <x:v>-6.00 a +5.50</x:v>
      </x:c>
      <x:c r="N2125" s="24" t="str">
        <x:v>-4.00</x:v>
      </x:c>
      <x:c r="O2125" s="24" t="str">
        <x:v>0.75 a 3.00</x:v>
      </x:c>
      <x:c r="P2125" s="24" t="str">
        <x:v>75</x:v>
      </x:c>
      <x:c r="Q2125" s="24"/>
      <x:c r="R2125" s="24"/>
      <x:c r="S2125" s="26" t="n">
        <x:v>46113</x:v>
      </x:c>
      <x:c r="T2125" s="26"/>
      <x:c r="U2125" s="24" t="str">
        <x:v>ATIVA/SEM FIM INFORMADO</x:v>
      </x:c>
      <x:c r="V2125" s="24" t="str">
        <x:v>Programa de Parcerias ZEISS — categoria Experts; Programa de Parcerias ZEISS</x:v>
      </x:c>
      <x:c r="W2125" s="24" t="n">
        <x:v>34</x:v>
      </x:c>
      <x:c r="X2125" s="24" t="str">
        <x:v>tabela_zeiss.pdf</x:v>
      </x:c>
      <x:c r="Y2125" s="24" t="str">
        <x:v>alta</x:v>
      </x:c>
      <x:c r="Z2125" s="24"/>
      <x:c r="AA2125" s="24" t="str">
        <x:v>ZEISS|Progressiva|Surfaçada|ClearMind Plus|PhotoFusion X|1.5|1.50|DuraVision Silver UV|-6.00 a +5.50|-4.00|0.75 a 3.00|75|||34</x:v>
      </x:c>
    </x:row>
    <x:row r="2126">
      <x:c r="A2126" s="24" t="str">
        <x:v>ZS-073EFA42E331</x:v>
      </x:c>
      <x:c r="B2126" s="24" t="str">
        <x:v>SIM</x:v>
      </x:c>
      <x:c r="C2126" s="24" t="str">
        <x:v>DISPONÍVEL</x:v>
      </x:c>
      <x:c r="D2126" s="24" t="str">
        <x:v>ZEISS</x:v>
      </x:c>
      <x:c r="E2126" s="24" t="str">
        <x:v>Progressiva</x:v>
      </x:c>
      <x:c r="F2126" s="24" t="str">
        <x:v>Surfaçada</x:v>
      </x:c>
      <x:c r="G2126" s="24" t="str">
        <x:v>ClearMind Plus</x:v>
      </x:c>
      <x:c r="H2126" s="24" t="str">
        <x:v>PhotoFusion X</x:v>
      </x:c>
      <x:c r="I2126" s="24" t="str">
        <x:v>1.5</x:v>
      </x:c>
      <x:c r="J2126" s="24" t="str">
        <x:v>1.50</x:v>
      </x:c>
      <x:c r="K2126" s="24" t="str">
        <x:v>DuraVision Chrome UV</x:v>
      </x:c>
      <x:c r="L2126" s="40" t="n">
        <x:v>7459</x:v>
      </x:c>
      <x:c r="M2126" s="24" t="str">
        <x:v>-6.00 a +5.50</x:v>
      </x:c>
      <x:c r="N2126" s="24" t="str">
        <x:v>-4.00</x:v>
      </x:c>
      <x:c r="O2126" s="24" t="str">
        <x:v>0.75 a 3.00</x:v>
      </x:c>
      <x:c r="P2126" s="24" t="str">
        <x:v>75</x:v>
      </x:c>
      <x:c r="Q2126" s="24"/>
      <x:c r="R2126" s="24"/>
      <x:c r="S2126" s="26" t="n">
        <x:v>46113</x:v>
      </x:c>
      <x:c r="T2126" s="26"/>
      <x:c r="U2126" s="24" t="str">
        <x:v>ATIVA/SEM FIM INFORMADO</x:v>
      </x:c>
      <x:c r="V2126" s="24" t="str">
        <x:v>Programa de Parcerias ZEISS — categoria Experts; Programa de Parcerias ZEISS</x:v>
      </x:c>
      <x:c r="W2126" s="24" t="n">
        <x:v>34</x:v>
      </x:c>
      <x:c r="X2126" s="24" t="str">
        <x:v>tabela_zeiss.pdf</x:v>
      </x:c>
      <x:c r="Y2126" s="24" t="str">
        <x:v>alta</x:v>
      </x:c>
      <x:c r="Z2126" s="24"/>
      <x:c r="AA2126" s="24" t="str">
        <x:v>ZEISS|Progressiva|Surfaçada|ClearMind Plus|PhotoFusion X|1.5|1.50|DuraVision Chrome UV|-6.00 a +5.50|-4.00|0.75 a 3.00|75|||34</x:v>
      </x:c>
    </x:row>
    <x:row r="2127">
      <x:c r="A2127" s="24" t="str">
        <x:v>ZS-07B5CD5294EA</x:v>
      </x:c>
      <x:c r="B2127" s="24" t="str">
        <x:v>SIM</x:v>
      </x:c>
      <x:c r="C2127" s="24" t="str">
        <x:v>DISPONÍVEL</x:v>
      </x:c>
      <x:c r="D2127" s="24" t="str">
        <x:v>ZEISS</x:v>
      </x:c>
      <x:c r="E2127" s="24" t="str">
        <x:v>Progressiva</x:v>
      </x:c>
      <x:c r="F2127" s="24" t="str">
        <x:v>Surfaçada</x:v>
      </x:c>
      <x:c r="G2127" s="24" t="str">
        <x:v>ClearMind Plus</x:v>
      </x:c>
      <x:c r="H2127" s="24" t="str">
        <x:v>PhotoFusion X</x:v>
      </x:c>
      <x:c r="I2127" s="24" t="str">
        <x:v>Poli</x:v>
      </x:c>
      <x:c r="J2127" s="24"/>
      <x:c r="K2127" s="24" t="str">
        <x:v>DuraVision Gold UV</x:v>
      </x:c>
      <x:c r="L2127" s="40" t="n">
        <x:v>8939</x:v>
      </x:c>
      <x:c r="M2127" s="24" t="str">
        <x:v>-10.00 a +6.00</x:v>
      </x:c>
      <x:c r="N2127" s="24" t="str">
        <x:v>-6.00</x:v>
      </x:c>
      <x:c r="O2127" s="24" t="str">
        <x:v>0.75 a 3.00</x:v>
      </x:c>
      <x:c r="P2127" s="24" t="str">
        <x:v>70</x:v>
      </x:c>
      <x:c r="Q2127" s="24"/>
      <x:c r="R2127" s="24"/>
      <x:c r="S2127" s="26" t="n">
        <x:v>46113</x:v>
      </x:c>
      <x:c r="T2127" s="26"/>
      <x:c r="U2127" s="24" t="str">
        <x:v>ATIVA/SEM FIM INFORMADO</x:v>
      </x:c>
      <x:c r="V2127" s="24" t="str">
        <x:v>Programa de Parcerias ZEISS — categoria Experts; Programa de Parcerias ZEISS</x:v>
      </x:c>
      <x:c r="W2127" s="24" t="n">
        <x:v>34</x:v>
      </x:c>
      <x:c r="X2127" s="24" t="str">
        <x:v>tabela_zeiss.pdf</x:v>
      </x:c>
      <x:c r="Y2127" s="24" t="str">
        <x:v>alta</x:v>
      </x:c>
      <x:c r="Z2127" s="24"/>
      <x:c r="AA2127" s="24" t="str">
        <x:v>ZEISS|Progressiva|Surfaçada|ClearMind Plus|PhotoFusion X|Poli||DuraVision Gold UV|-10.00 a +6.00|-6.00|0.75 a 3.00|70|||34</x:v>
      </x:c>
    </x:row>
    <x:row r="2128">
      <x:c r="A2128" s="24" t="str">
        <x:v>ZS-A2F7915203C4</x:v>
      </x:c>
      <x:c r="B2128" s="24" t="str">
        <x:v>SIM</x:v>
      </x:c>
      <x:c r="C2128" s="24" t="str">
        <x:v>DISPONÍVEL</x:v>
      </x:c>
      <x:c r="D2128" s="24" t="str">
        <x:v>ZEISS</x:v>
      </x:c>
      <x:c r="E2128" s="24" t="str">
        <x:v>Progressiva</x:v>
      </x:c>
      <x:c r="F2128" s="24" t="str">
        <x:v>Surfaçada</x:v>
      </x:c>
      <x:c r="G2128" s="24" t="str">
        <x:v>ClearMind Plus</x:v>
      </x:c>
      <x:c r="H2128" s="24" t="str">
        <x:v>PhotoFusion X</x:v>
      </x:c>
      <x:c r="I2128" s="24" t="str">
        <x:v>Poli</x:v>
      </x:c>
      <x:c r="J2128" s="24"/>
      <x:c r="K2128" s="24" t="str">
        <x:v>DuraVision Platinum UV</x:v>
      </x:c>
      <x:c r="L2128" s="40" t="n">
        <x:v>8799</x:v>
      </x:c>
      <x:c r="M2128" s="24" t="str">
        <x:v>-10.00 a +6.00</x:v>
      </x:c>
      <x:c r="N2128" s="24" t="str">
        <x:v>-6.00</x:v>
      </x:c>
      <x:c r="O2128" s="24" t="str">
        <x:v>0.75 a 3.00</x:v>
      </x:c>
      <x:c r="P2128" s="24" t="str">
        <x:v>70</x:v>
      </x:c>
      <x:c r="Q2128" s="24"/>
      <x:c r="R2128" s="24"/>
      <x:c r="S2128" s="26" t="n">
        <x:v>46113</x:v>
      </x:c>
      <x:c r="T2128" s="26"/>
      <x:c r="U2128" s="24" t="str">
        <x:v>ATIVA/SEM FIM INFORMADO</x:v>
      </x:c>
      <x:c r="V2128" s="24" t="str">
        <x:v>Programa de Parcerias ZEISS — categoria Experts; Programa de Parcerias ZEISS</x:v>
      </x:c>
      <x:c r="W2128" s="24" t="n">
        <x:v>34</x:v>
      </x:c>
      <x:c r="X2128" s="24" t="str">
        <x:v>tabela_zeiss.pdf</x:v>
      </x:c>
      <x:c r="Y2128" s="24" t="str">
        <x:v>alta</x:v>
      </x:c>
      <x:c r="Z2128" s="24"/>
      <x:c r="AA2128" s="24" t="str">
        <x:v>ZEISS|Progressiva|Surfaçada|ClearMind Plus|PhotoFusion X|Poli||DuraVision Platinum UV|-10.00 a +6.00|-6.00|0.75 a 3.00|70|||34</x:v>
      </x:c>
    </x:row>
    <x:row r="2129">
      <x:c r="A2129" s="24" t="str">
        <x:v>ZS-FFF921936FCC</x:v>
      </x:c>
      <x:c r="B2129" s="24" t="str">
        <x:v>SIM</x:v>
      </x:c>
      <x:c r="C2129" s="24" t="str">
        <x:v>DISPONÍVEL</x:v>
      </x:c>
      <x:c r="D2129" s="24" t="str">
        <x:v>ZEISS</x:v>
      </x:c>
      <x:c r="E2129" s="24" t="str">
        <x:v>Progressiva</x:v>
      </x:c>
      <x:c r="F2129" s="24" t="str">
        <x:v>Surfaçada</x:v>
      </x:c>
      <x:c r="G2129" s="24" t="str">
        <x:v>ClearMind Plus</x:v>
      </x:c>
      <x:c r="H2129" s="24" t="str">
        <x:v>PhotoFusion X</x:v>
      </x:c>
      <x:c r="I2129" s="24" t="str">
        <x:v>Poli</x:v>
      </x:c>
      <x:c r="J2129" s="24"/>
      <x:c r="K2129" s="24" t="str">
        <x:v>DuraVision Silver UV</x:v>
      </x:c>
      <x:c r="L2129" s="40" t="n">
        <x:v>8539</x:v>
      </x:c>
      <x:c r="M2129" s="24" t="str">
        <x:v>-10.00 a +6.00</x:v>
      </x:c>
      <x:c r="N2129" s="24" t="str">
        <x:v>-6.00</x:v>
      </x:c>
      <x:c r="O2129" s="24" t="str">
        <x:v>0.75 a 3.00</x:v>
      </x:c>
      <x:c r="P2129" s="24" t="str">
        <x:v>70</x:v>
      </x:c>
      <x:c r="Q2129" s="24"/>
      <x:c r="R2129" s="24"/>
      <x:c r="S2129" s="26" t="n">
        <x:v>46113</x:v>
      </x:c>
      <x:c r="T2129" s="26"/>
      <x:c r="U2129" s="24" t="str">
        <x:v>ATIVA/SEM FIM INFORMADO</x:v>
      </x:c>
      <x:c r="V2129" s="24" t="str">
        <x:v>Programa de Parcerias ZEISS — categoria Experts; Programa de Parcerias ZEISS</x:v>
      </x:c>
      <x:c r="W2129" s="24" t="n">
        <x:v>34</x:v>
      </x:c>
      <x:c r="X2129" s="24" t="str">
        <x:v>tabela_zeiss.pdf</x:v>
      </x:c>
      <x:c r="Y2129" s="24" t="str">
        <x:v>alta</x:v>
      </x:c>
      <x:c r="Z2129" s="24"/>
      <x:c r="AA2129" s="24" t="str">
        <x:v>ZEISS|Progressiva|Surfaçada|ClearMind Plus|PhotoFusion X|Poli||DuraVision Silver UV|-10.00 a +6.00|-6.00|0.75 a 3.00|70|||34</x:v>
      </x:c>
    </x:row>
    <x:row r="2130">
      <x:c r="A2130" s="24" t="str">
        <x:v>ZS-E6B8CA621C72</x:v>
      </x:c>
      <x:c r="B2130" s="24" t="str">
        <x:v>SIM</x:v>
      </x:c>
      <x:c r="C2130" s="24" t="str">
        <x:v>DISPONÍVEL</x:v>
      </x:c>
      <x:c r="D2130" s="24" t="str">
        <x:v>ZEISS</x:v>
      </x:c>
      <x:c r="E2130" s="24" t="str">
        <x:v>Progressiva</x:v>
      </x:c>
      <x:c r="F2130" s="24" t="str">
        <x:v>Surfaçada</x:v>
      </x:c>
      <x:c r="G2130" s="24" t="str">
        <x:v>ClearMind Plus</x:v>
      </x:c>
      <x:c r="H2130" s="24" t="str">
        <x:v>PhotoFusion X</x:v>
      </x:c>
      <x:c r="I2130" s="24" t="str">
        <x:v>Poli</x:v>
      </x:c>
      <x:c r="J2130" s="24"/>
      <x:c r="K2130" s="24" t="str">
        <x:v>DuraVision Chrome UV</x:v>
      </x:c>
      <x:c r="L2130" s="40" t="n">
        <x:v>8049</x:v>
      </x:c>
      <x:c r="M2130" s="24" t="str">
        <x:v>-10.00 a +6.00</x:v>
      </x:c>
      <x:c r="N2130" s="24" t="str">
        <x:v>-6.00</x:v>
      </x:c>
      <x:c r="O2130" s="24" t="str">
        <x:v>0.75 a 3.00</x:v>
      </x:c>
      <x:c r="P2130" s="24" t="str">
        <x:v>70</x:v>
      </x:c>
      <x:c r="Q2130" s="24"/>
      <x:c r="R2130" s="24"/>
      <x:c r="S2130" s="26" t="n">
        <x:v>46113</x:v>
      </x:c>
      <x:c r="T2130" s="26"/>
      <x:c r="U2130" s="24" t="str">
        <x:v>ATIVA/SEM FIM INFORMADO</x:v>
      </x:c>
      <x:c r="V2130" s="24" t="str">
        <x:v>Programa de Parcerias ZEISS — categoria Experts; Programa de Parcerias ZEISS</x:v>
      </x:c>
      <x:c r="W2130" s="24" t="n">
        <x:v>34</x:v>
      </x:c>
      <x:c r="X2130" s="24" t="str">
        <x:v>tabela_zeiss.pdf</x:v>
      </x:c>
      <x:c r="Y2130" s="24" t="str">
        <x:v>alta</x:v>
      </x:c>
      <x:c r="Z2130" s="24"/>
      <x:c r="AA2130" s="24" t="str">
        <x:v>ZEISS|Progressiva|Surfaçada|ClearMind Plus|PhotoFusion X|Poli||DuraVision Chrome UV|-10.00 a +6.00|-6.00|0.75 a 3.00|70|||34</x:v>
      </x:c>
    </x:row>
    <x:row r="2131">
      <x:c r="A2131" s="24" t="str">
        <x:v>ZS-B533AC4AB116</x:v>
      </x:c>
      <x:c r="B2131" s="24" t="str">
        <x:v>SIM</x:v>
      </x:c>
      <x:c r="C2131" s="24" t="str">
        <x:v>DISPONÍVEL</x:v>
      </x:c>
      <x:c r="D2131" s="24" t="str">
        <x:v>ZEISS</x:v>
      </x:c>
      <x:c r="E2131" s="24" t="str">
        <x:v>Progressiva</x:v>
      </x:c>
      <x:c r="F2131" s="24" t="str">
        <x:v>Surfaçada</x:v>
      </x:c>
      <x:c r="G2131" s="24" t="str">
        <x:v>ClearMind Plus</x:v>
      </x:c>
      <x:c r="H2131" s="24" t="str">
        <x:v>PhotoFusion X</x:v>
      </x:c>
      <x:c r="I2131" s="24" t="str">
        <x:v>1.6</x:v>
      </x:c>
      <x:c r="J2131" s="24" t="str">
        <x:v>1.60</x:v>
      </x:c>
      <x:c r="K2131" s="24" t="str">
        <x:v>DuraVision Gold UV</x:v>
      </x:c>
      <x:c r="L2131" s="40" t="n">
        <x:v>9599</x:v>
      </x:c>
      <x:c r="M2131" s="24" t="str">
        <x:v>-7.25 a +6.00</x:v>
      </x:c>
      <x:c r="N2131" s="24" t="str">
        <x:v>-6.00</x:v>
      </x:c>
      <x:c r="O2131" s="24" t="str">
        <x:v>0.75 a 3.50</x:v>
      </x:c>
      <x:c r="P2131" s="24" t="str">
        <x:v>75</x:v>
      </x:c>
      <x:c r="Q2131" s="24"/>
      <x:c r="R2131" s="24"/>
      <x:c r="S2131" s="26" t="n">
        <x:v>46113</x:v>
      </x:c>
      <x:c r="T2131" s="26"/>
      <x:c r="U2131" s="24" t="str">
        <x:v>ATIVA/SEM FIM INFORMADO</x:v>
      </x:c>
      <x:c r="V2131" s="24" t="str">
        <x:v>Programa de Parcerias ZEISS — categoria Experts; Programa de Parcerias ZEISS</x:v>
      </x:c>
      <x:c r="W2131" s="24" t="n">
        <x:v>34</x:v>
      </x:c>
      <x:c r="X2131" s="24" t="str">
        <x:v>tabela_zeiss.pdf</x:v>
      </x:c>
      <x:c r="Y2131" s="24" t="str">
        <x:v>alta</x:v>
      </x:c>
      <x:c r="Z2131" s="24"/>
      <x:c r="AA2131" s="24" t="str">
        <x:v>ZEISS|Progressiva|Surfaçada|ClearMind Plus|PhotoFusion X|1.6|1.60|DuraVision Gold UV|-7.25 a +6.00|-6.00|0.75 a 3.50|75|||34</x:v>
      </x:c>
    </x:row>
    <x:row r="2132">
      <x:c r="A2132" s="24" t="str">
        <x:v>ZS-1E9BD8E1C044</x:v>
      </x:c>
      <x:c r="B2132" s="24" t="str">
        <x:v>SIM</x:v>
      </x:c>
      <x:c r="C2132" s="24" t="str">
        <x:v>DISPONÍVEL</x:v>
      </x:c>
      <x:c r="D2132" s="24" t="str">
        <x:v>ZEISS</x:v>
      </x:c>
      <x:c r="E2132" s="24" t="str">
        <x:v>Progressiva</x:v>
      </x:c>
      <x:c r="F2132" s="24" t="str">
        <x:v>Surfaçada</x:v>
      </x:c>
      <x:c r="G2132" s="24" t="str">
        <x:v>ClearMind Plus</x:v>
      </x:c>
      <x:c r="H2132" s="24" t="str">
        <x:v>PhotoFusion X</x:v>
      </x:c>
      <x:c r="I2132" s="24" t="str">
        <x:v>1.6</x:v>
      </x:c>
      <x:c r="J2132" s="24" t="str">
        <x:v>1.60</x:v>
      </x:c>
      <x:c r="K2132" s="24" t="str">
        <x:v>DURAVISION® ANTIVÍRUS PLATINUM UV</x:v>
      </x:c>
      <x:c r="L2132" s="40" t="n">
        <x:v>9459</x:v>
      </x:c>
      <x:c r="M2132" s="24" t="str">
        <x:v>-7.25 a +6.00</x:v>
      </x:c>
      <x:c r="N2132" s="24" t="str">
        <x:v>-6.00</x:v>
      </x:c>
      <x:c r="O2132" s="24" t="str">
        <x:v>0.75 a 3.50</x:v>
      </x:c>
      <x:c r="P2132" s="24" t="str">
        <x:v>75</x:v>
      </x:c>
      <x:c r="Q2132" s="24"/>
      <x:c r="R2132" s="24"/>
      <x:c r="S2132" s="26" t="n">
        <x:v>46113</x:v>
      </x:c>
      <x:c r="T2132" s="26"/>
      <x:c r="U2132" s="24" t="str">
        <x:v>ATIVA/SEM FIM INFORMADO</x:v>
      </x:c>
      <x:c r="V2132" s="24" t="str">
        <x:v>Programa de Parcerias ZEISS — categoria Experts; Programa de Parcerias ZEISS</x:v>
      </x:c>
      <x:c r="W2132" s="24" t="n">
        <x:v>34</x:v>
      </x:c>
      <x:c r="X2132" s="24" t="str">
        <x:v>tabela_zeiss.pdf</x:v>
      </x:c>
      <x:c r="Y2132" s="24" t="str">
        <x:v>alta</x:v>
      </x:c>
      <x:c r="Z2132" s="24"/>
      <x:c r="AA2132" s="24" t="str">
        <x:v>ZEISS|Progressiva|Surfaçada|ClearMind Plus|PhotoFusion X|1.6|1.60|DURAVISION® ANTIVÍRUS PLATINUM UV|-7.25 a +6.00|-6.00|0.75 a 3.50|75|||34</x:v>
      </x:c>
    </x:row>
    <x:row r="2133">
      <x:c r="A2133" s="24" t="str">
        <x:v>ZS-B57B12D5FF2B</x:v>
      </x:c>
      <x:c r="B2133" s="24" t="str">
        <x:v>SIM</x:v>
      </x:c>
      <x:c r="C2133" s="24" t="str">
        <x:v>DISPONÍVEL</x:v>
      </x:c>
      <x:c r="D2133" s="24" t="str">
        <x:v>ZEISS</x:v>
      </x:c>
      <x:c r="E2133" s="24" t="str">
        <x:v>Progressiva</x:v>
      </x:c>
      <x:c r="F2133" s="24" t="str">
        <x:v>Surfaçada</x:v>
      </x:c>
      <x:c r="G2133" s="24" t="str">
        <x:v>ClearMind Plus</x:v>
      </x:c>
      <x:c r="H2133" s="24" t="str">
        <x:v>PhotoFusion X</x:v>
      </x:c>
      <x:c r="I2133" s="24" t="str">
        <x:v>1.6</x:v>
      </x:c>
      <x:c r="J2133" s="24" t="str">
        <x:v>1.60</x:v>
      </x:c>
      <x:c r="K2133" s="24" t="str">
        <x:v>DuraVision Platinum UV</x:v>
      </x:c>
      <x:c r="L2133" s="40" t="n">
        <x:v>9459</x:v>
      </x:c>
      <x:c r="M2133" s="24" t="str">
        <x:v>-7.25 a +6.00</x:v>
      </x:c>
      <x:c r="N2133" s="24" t="str">
        <x:v>-6.00</x:v>
      </x:c>
      <x:c r="O2133" s="24" t="str">
        <x:v>0.75 a 3.50</x:v>
      </x:c>
      <x:c r="P2133" s="24" t="str">
        <x:v>75</x:v>
      </x:c>
      <x:c r="Q2133" s="24"/>
      <x:c r="R2133" s="24"/>
      <x:c r="S2133" s="26" t="n">
        <x:v>46113</x:v>
      </x:c>
      <x:c r="T2133" s="26"/>
      <x:c r="U2133" s="24" t="str">
        <x:v>ATIVA/SEM FIM INFORMADO</x:v>
      </x:c>
      <x:c r="V2133" s="24" t="str">
        <x:v>Programa de Parcerias ZEISS — categoria Experts; Programa de Parcerias ZEISS</x:v>
      </x:c>
      <x:c r="W2133" s="24" t="n">
        <x:v>34</x:v>
      </x:c>
      <x:c r="X2133" s="24" t="str">
        <x:v>tabela_zeiss.pdf</x:v>
      </x:c>
      <x:c r="Y2133" s="24" t="str">
        <x:v>alta</x:v>
      </x:c>
      <x:c r="Z2133" s="24"/>
      <x:c r="AA2133" s="24" t="str">
        <x:v>ZEISS|Progressiva|Surfaçada|ClearMind Plus|PhotoFusion X|1.6|1.60|DuraVision Platinum UV|-7.25 a +6.00|-6.00|0.75 a 3.50|75|||34</x:v>
      </x:c>
    </x:row>
    <x:row r="2134">
      <x:c r="A2134" s="24" t="str">
        <x:v>ZS-F9EF0F37A459</x:v>
      </x:c>
      <x:c r="B2134" s="24" t="str">
        <x:v>SIM</x:v>
      </x:c>
      <x:c r="C2134" s="24" t="str">
        <x:v>DISPONÍVEL</x:v>
      </x:c>
      <x:c r="D2134" s="24" t="str">
        <x:v>ZEISS</x:v>
      </x:c>
      <x:c r="E2134" s="24" t="str">
        <x:v>Progressiva</x:v>
      </x:c>
      <x:c r="F2134" s="24" t="str">
        <x:v>Surfaçada</x:v>
      </x:c>
      <x:c r="G2134" s="24" t="str">
        <x:v>ClearMind Plus</x:v>
      </x:c>
      <x:c r="H2134" s="24" t="str">
        <x:v>PhotoFusion X</x:v>
      </x:c>
      <x:c r="I2134" s="24" t="str">
        <x:v>1.6</x:v>
      </x:c>
      <x:c r="J2134" s="24" t="str">
        <x:v>1.60</x:v>
      </x:c>
      <x:c r="K2134" s="24" t="str">
        <x:v>DuraVision Silver UV</x:v>
      </x:c>
      <x:c r="L2134" s="40" t="n">
        <x:v>9199</x:v>
      </x:c>
      <x:c r="M2134" s="24" t="str">
        <x:v>-7.25 a +6.00</x:v>
      </x:c>
      <x:c r="N2134" s="24" t="str">
        <x:v>-6.00</x:v>
      </x:c>
      <x:c r="O2134" s="24" t="str">
        <x:v>0.75 a 3.50</x:v>
      </x:c>
      <x:c r="P2134" s="24" t="str">
        <x:v>75</x:v>
      </x:c>
      <x:c r="Q2134" s="24"/>
      <x:c r="R2134" s="24"/>
      <x:c r="S2134" s="26" t="n">
        <x:v>46113</x:v>
      </x:c>
      <x:c r="T2134" s="26"/>
      <x:c r="U2134" s="24" t="str">
        <x:v>ATIVA/SEM FIM INFORMADO</x:v>
      </x:c>
      <x:c r="V2134" s="24" t="str">
        <x:v>Programa de Parcerias ZEISS — categoria Experts; Programa de Parcerias ZEISS</x:v>
      </x:c>
      <x:c r="W2134" s="24" t="n">
        <x:v>34</x:v>
      </x:c>
      <x:c r="X2134" s="24" t="str">
        <x:v>tabela_zeiss.pdf</x:v>
      </x:c>
      <x:c r="Y2134" s="24" t="str">
        <x:v>alta</x:v>
      </x:c>
      <x:c r="Z2134" s="24"/>
      <x:c r="AA2134" s="24" t="str">
        <x:v>ZEISS|Progressiva|Surfaçada|ClearMind Plus|PhotoFusion X|1.6|1.60|DuraVision Silver UV|-7.25 a +6.00|-6.00|0.75 a 3.50|75|||34</x:v>
      </x:c>
    </x:row>
    <x:row r="2135">
      <x:c r="A2135" s="24" t="str">
        <x:v>ZS-0AF66D24C272</x:v>
      </x:c>
      <x:c r="B2135" s="24" t="str">
        <x:v>SIM</x:v>
      </x:c>
      <x:c r="C2135" s="24" t="str">
        <x:v>DISPONÍVEL</x:v>
      </x:c>
      <x:c r="D2135" s="24" t="str">
        <x:v>ZEISS</x:v>
      </x:c>
      <x:c r="E2135" s="24" t="str">
        <x:v>Progressiva</x:v>
      </x:c>
      <x:c r="F2135" s="24" t="str">
        <x:v>Surfaçada</x:v>
      </x:c>
      <x:c r="G2135" s="24" t="str">
        <x:v>ClearMind Plus</x:v>
      </x:c>
      <x:c r="H2135" s="24" t="str">
        <x:v>PhotoFusion X</x:v>
      </x:c>
      <x:c r="I2135" s="24" t="str">
        <x:v>1.6</x:v>
      </x:c>
      <x:c r="J2135" s="24" t="str">
        <x:v>1.60</x:v>
      </x:c>
      <x:c r="K2135" s="24" t="str">
        <x:v>DuraVision Chrome UV</x:v>
      </x:c>
      <x:c r="L2135" s="40" t="n">
        <x:v>8709</x:v>
      </x:c>
      <x:c r="M2135" s="24" t="str">
        <x:v>-7.25 a +6.00</x:v>
      </x:c>
      <x:c r="N2135" s="24" t="str">
        <x:v>-6.00</x:v>
      </x:c>
      <x:c r="O2135" s="24" t="str">
        <x:v>0.75 a 3.50</x:v>
      </x:c>
      <x:c r="P2135" s="24" t="str">
        <x:v>75</x:v>
      </x:c>
      <x:c r="Q2135" s="24"/>
      <x:c r="R2135" s="24"/>
      <x:c r="S2135" s="26" t="n">
        <x:v>46113</x:v>
      </x:c>
      <x:c r="T2135" s="26"/>
      <x:c r="U2135" s="24" t="str">
        <x:v>ATIVA/SEM FIM INFORMADO</x:v>
      </x:c>
      <x:c r="V2135" s="24" t="str">
        <x:v>Programa de Parcerias ZEISS — categoria Experts; Programa de Parcerias ZEISS</x:v>
      </x:c>
      <x:c r="W2135" s="24" t="n">
        <x:v>34</x:v>
      </x:c>
      <x:c r="X2135" s="24" t="str">
        <x:v>tabela_zeiss.pdf</x:v>
      </x:c>
      <x:c r="Y2135" s="24" t="str">
        <x:v>alta</x:v>
      </x:c>
      <x:c r="Z2135" s="24"/>
      <x:c r="AA2135" s="24" t="str">
        <x:v>ZEISS|Progressiva|Surfaçada|ClearMind Plus|PhotoFusion X|1.6|1.60|DuraVision Chrome UV|-7.25 a +6.00|-6.00|0.75 a 3.50|75|||34</x:v>
      </x:c>
    </x:row>
    <x:row r="2136">
      <x:c r="A2136" s="24" t="str">
        <x:v>ZS-38BF7254BCAA</x:v>
      </x:c>
      <x:c r="B2136" s="24" t="str">
        <x:v>SIM</x:v>
      </x:c>
      <x:c r="C2136" s="24" t="str">
        <x:v>DISPONÍVEL</x:v>
      </x:c>
      <x:c r="D2136" s="24" t="str">
        <x:v>ZEISS</x:v>
      </x:c>
      <x:c r="E2136" s="24" t="str">
        <x:v>Progressiva</x:v>
      </x:c>
      <x:c r="F2136" s="24" t="str">
        <x:v>Surfaçada</x:v>
      </x:c>
      <x:c r="G2136" s="24" t="str">
        <x:v>ClearMind Plus</x:v>
      </x:c>
      <x:c r="H2136" s="24" t="str">
        <x:v>PhotoFusion X</x:v>
      </x:c>
      <x:c r="I2136" s="24" t="str">
        <x:v>1.67</x:v>
      </x:c>
      <x:c r="J2136" s="24" t="str">
        <x:v>1.67</x:v>
      </x:c>
      <x:c r="K2136" s="24" t="str">
        <x:v>DuraVision Gold UV</x:v>
      </x:c>
      <x:c r="L2136" s="40" t="n">
        <x:v>11239</x:v>
      </x:c>
      <x:c r="M2136" s="24" t="str">
        <x:v>-8.00 a +8.00</x:v>
      </x:c>
      <x:c r="N2136" s="24" t="str">
        <x:v>-4.00</x:v>
      </x:c>
      <x:c r="O2136" s="24" t="str">
        <x:v>0.75 a 3.00</x:v>
      </x:c>
      <x:c r="P2136" s="24" t="str">
        <x:v>70</x:v>
      </x:c>
      <x:c r="Q2136" s="24"/>
      <x:c r="R2136" s="24"/>
      <x:c r="S2136" s="26" t="n">
        <x:v>46113</x:v>
      </x:c>
      <x:c r="T2136" s="26"/>
      <x:c r="U2136" s="24" t="str">
        <x:v>ATIVA/SEM FIM INFORMADO</x:v>
      </x:c>
      <x:c r="V2136" s="24" t="str">
        <x:v>Programa de Parcerias ZEISS — categoria Experts; Programa de Parcerias ZEISS</x:v>
      </x:c>
      <x:c r="W2136" s="24" t="n">
        <x:v>34</x:v>
      </x:c>
      <x:c r="X2136" s="24" t="str">
        <x:v>tabela_zeiss.pdf</x:v>
      </x:c>
      <x:c r="Y2136" s="24" t="str">
        <x:v>alta</x:v>
      </x:c>
      <x:c r="Z2136" s="24"/>
      <x:c r="AA2136" s="24" t="str">
        <x:v>ZEISS|Progressiva|Surfaçada|ClearMind Plus|PhotoFusion X|1.67|1.67|DuraVision Gold UV|-8.00 a +8.00|-4.00|0.75 a 3.00|70|||34</x:v>
      </x:c>
    </x:row>
    <x:row r="2137">
      <x:c r="A2137" s="24" t="str">
        <x:v>ZS-EF1A07B5C9E0</x:v>
      </x:c>
      <x:c r="B2137" s="24" t="str">
        <x:v>SIM</x:v>
      </x:c>
      <x:c r="C2137" s="24" t="str">
        <x:v>DISPONÍVEL</x:v>
      </x:c>
      <x:c r="D2137" s="24" t="str">
        <x:v>ZEISS</x:v>
      </x:c>
      <x:c r="E2137" s="24" t="str">
        <x:v>Progressiva</x:v>
      </x:c>
      <x:c r="F2137" s="24" t="str">
        <x:v>Surfaçada</x:v>
      </x:c>
      <x:c r="G2137" s="24" t="str">
        <x:v>ClearMind Plus</x:v>
      </x:c>
      <x:c r="H2137" s="24" t="str">
        <x:v>PhotoFusion X</x:v>
      </x:c>
      <x:c r="I2137" s="24" t="str">
        <x:v>1.67</x:v>
      </x:c>
      <x:c r="J2137" s="24" t="str">
        <x:v>1.67</x:v>
      </x:c>
      <x:c r="K2137" s="24" t="str">
        <x:v>DURAVISION® ANTIVÍRUS PLATINUM UV</x:v>
      </x:c>
      <x:c r="L2137" s="40" t="n">
        <x:v>11099</x:v>
      </x:c>
      <x:c r="M2137" s="24" t="str">
        <x:v>-8.00 a +8.00</x:v>
      </x:c>
      <x:c r="N2137" s="24" t="str">
        <x:v>-4.00</x:v>
      </x:c>
      <x:c r="O2137" s="24" t="str">
        <x:v>0.75 a 3.00</x:v>
      </x:c>
      <x:c r="P2137" s="24" t="str">
        <x:v>70</x:v>
      </x:c>
      <x:c r="Q2137" s="24"/>
      <x:c r="R2137" s="24"/>
      <x:c r="S2137" s="26" t="n">
        <x:v>46113</x:v>
      </x:c>
      <x:c r="T2137" s="26"/>
      <x:c r="U2137" s="24" t="str">
        <x:v>ATIVA/SEM FIM INFORMADO</x:v>
      </x:c>
      <x:c r="V2137" s="24" t="str">
        <x:v>Programa de Parcerias ZEISS — categoria Experts; Programa de Parcerias ZEISS</x:v>
      </x:c>
      <x:c r="W2137" s="24" t="n">
        <x:v>34</x:v>
      </x:c>
      <x:c r="X2137" s="24" t="str">
        <x:v>tabela_zeiss.pdf</x:v>
      </x:c>
      <x:c r="Y2137" s="24" t="str">
        <x:v>alta</x:v>
      </x:c>
      <x:c r="Z2137" s="24"/>
      <x:c r="AA2137" s="24" t="str">
        <x:v>ZEISS|Progressiva|Surfaçada|ClearMind Plus|PhotoFusion X|1.67|1.67|DURAVISION® ANTIVÍRUS PLATINUM UV|-8.00 a +8.00|-4.00|0.75 a 3.00|70|||34</x:v>
      </x:c>
    </x:row>
    <x:row r="2138">
      <x:c r="A2138" s="24" t="str">
        <x:v>ZS-71F8223EC294</x:v>
      </x:c>
      <x:c r="B2138" s="24" t="str">
        <x:v>SIM</x:v>
      </x:c>
      <x:c r="C2138" s="24" t="str">
        <x:v>DISPONÍVEL</x:v>
      </x:c>
      <x:c r="D2138" s="24" t="str">
        <x:v>ZEISS</x:v>
      </x:c>
      <x:c r="E2138" s="24" t="str">
        <x:v>Progressiva</x:v>
      </x:c>
      <x:c r="F2138" s="24" t="str">
        <x:v>Surfaçada</x:v>
      </x:c>
      <x:c r="G2138" s="24" t="str">
        <x:v>ClearMind Plus</x:v>
      </x:c>
      <x:c r="H2138" s="24" t="str">
        <x:v>PhotoFusion X</x:v>
      </x:c>
      <x:c r="I2138" s="24" t="str">
        <x:v>1.67</x:v>
      </x:c>
      <x:c r="J2138" s="24" t="str">
        <x:v>1.67</x:v>
      </x:c>
      <x:c r="K2138" s="24" t="str">
        <x:v>DuraVision Platinum UV</x:v>
      </x:c>
      <x:c r="L2138" s="40" t="n">
        <x:v>11099</x:v>
      </x:c>
      <x:c r="M2138" s="24" t="str">
        <x:v>-8.00 a +8.00</x:v>
      </x:c>
      <x:c r="N2138" s="24" t="str">
        <x:v>-4.00</x:v>
      </x:c>
      <x:c r="O2138" s="24" t="str">
        <x:v>0.75 a 3.00</x:v>
      </x:c>
      <x:c r="P2138" s="24" t="str">
        <x:v>70</x:v>
      </x:c>
      <x:c r="Q2138" s="24"/>
      <x:c r="R2138" s="24"/>
      <x:c r="S2138" s="26" t="n">
        <x:v>46113</x:v>
      </x:c>
      <x:c r="T2138" s="26"/>
      <x:c r="U2138" s="24" t="str">
        <x:v>ATIVA/SEM FIM INFORMADO</x:v>
      </x:c>
      <x:c r="V2138" s="24" t="str">
        <x:v>Programa de Parcerias ZEISS — categoria Experts; Programa de Parcerias ZEISS</x:v>
      </x:c>
      <x:c r="W2138" s="24" t="n">
        <x:v>34</x:v>
      </x:c>
      <x:c r="X2138" s="24" t="str">
        <x:v>tabela_zeiss.pdf</x:v>
      </x:c>
      <x:c r="Y2138" s="24" t="str">
        <x:v>alta</x:v>
      </x:c>
      <x:c r="Z2138" s="24"/>
      <x:c r="AA2138" s="24" t="str">
        <x:v>ZEISS|Progressiva|Surfaçada|ClearMind Plus|PhotoFusion X|1.67|1.67|DuraVision Platinum UV|-8.00 a +8.00|-4.00|0.75 a 3.00|70|||34</x:v>
      </x:c>
    </x:row>
    <x:row r="2139">
      <x:c r="A2139" s="24" t="str">
        <x:v>ZS-D509AE4F1E19</x:v>
      </x:c>
      <x:c r="B2139" s="24" t="str">
        <x:v>SIM</x:v>
      </x:c>
      <x:c r="C2139" s="24" t="str">
        <x:v>DISPONÍVEL</x:v>
      </x:c>
      <x:c r="D2139" s="24" t="str">
        <x:v>ZEISS</x:v>
      </x:c>
      <x:c r="E2139" s="24" t="str">
        <x:v>Progressiva</x:v>
      </x:c>
      <x:c r="F2139" s="24" t="str">
        <x:v>Surfaçada</x:v>
      </x:c>
      <x:c r="G2139" s="24" t="str">
        <x:v>ClearMind Plus</x:v>
      </x:c>
      <x:c r="H2139" s="24" t="str">
        <x:v>PhotoFusion X</x:v>
      </x:c>
      <x:c r="I2139" s="24" t="str">
        <x:v>1.67</x:v>
      </x:c>
      <x:c r="J2139" s="24" t="str">
        <x:v>1.67</x:v>
      </x:c>
      <x:c r="K2139" s="24" t="str">
        <x:v>DuraVision Silver UV</x:v>
      </x:c>
      <x:c r="L2139" s="40" t="n">
        <x:v>10839</x:v>
      </x:c>
      <x:c r="M2139" s="24" t="str">
        <x:v>-8.00 a +8.00</x:v>
      </x:c>
      <x:c r="N2139" s="24" t="str">
        <x:v>-4.00</x:v>
      </x:c>
      <x:c r="O2139" s="24" t="str">
        <x:v>0.75 a 3.00</x:v>
      </x:c>
      <x:c r="P2139" s="24" t="str">
        <x:v>70</x:v>
      </x:c>
      <x:c r="Q2139" s="24"/>
      <x:c r="R2139" s="24"/>
      <x:c r="S2139" s="26" t="n">
        <x:v>46113</x:v>
      </x:c>
      <x:c r="T2139" s="26"/>
      <x:c r="U2139" s="24" t="str">
        <x:v>ATIVA/SEM FIM INFORMADO</x:v>
      </x:c>
      <x:c r="V2139" s="24" t="str">
        <x:v>Programa de Parcerias ZEISS — categoria Experts; Programa de Parcerias ZEISS</x:v>
      </x:c>
      <x:c r="W2139" s="24" t="n">
        <x:v>34</x:v>
      </x:c>
      <x:c r="X2139" s="24" t="str">
        <x:v>tabela_zeiss.pdf</x:v>
      </x:c>
      <x:c r="Y2139" s="24" t="str">
        <x:v>alta</x:v>
      </x:c>
      <x:c r="Z2139" s="24"/>
      <x:c r="AA2139" s="24" t="str">
        <x:v>ZEISS|Progressiva|Surfaçada|ClearMind Plus|PhotoFusion X|1.67|1.67|DuraVision Silver UV|-8.00 a +8.00|-4.00|0.75 a 3.00|70|||34</x:v>
      </x:c>
    </x:row>
    <x:row r="2140">
      <x:c r="A2140" s="24" t="str">
        <x:v>ZS-811ED928AFF9</x:v>
      </x:c>
      <x:c r="B2140" s="24" t="str">
        <x:v>SIM</x:v>
      </x:c>
      <x:c r="C2140" s="24" t="str">
        <x:v>DISPONÍVEL</x:v>
      </x:c>
      <x:c r="D2140" s="24" t="str">
        <x:v>ZEISS</x:v>
      </x:c>
      <x:c r="E2140" s="24" t="str">
        <x:v>Progressiva</x:v>
      </x:c>
      <x:c r="F2140" s="24" t="str">
        <x:v>Surfaçada</x:v>
      </x:c>
      <x:c r="G2140" s="24" t="str">
        <x:v>ClearMind Plus</x:v>
      </x:c>
      <x:c r="H2140" s="24" t="str">
        <x:v>PhotoFusion X</x:v>
      </x:c>
      <x:c r="I2140" s="24" t="str">
        <x:v>1.67</x:v>
      </x:c>
      <x:c r="J2140" s="24" t="str">
        <x:v>1.67</x:v>
      </x:c>
      <x:c r="K2140" s="24" t="str">
        <x:v>DuraVision Chrome UV</x:v>
      </x:c>
      <x:c r="L2140" s="40" t="n">
        <x:v>10349</x:v>
      </x:c>
      <x:c r="M2140" s="24" t="str">
        <x:v>-8.00 a +8.00</x:v>
      </x:c>
      <x:c r="N2140" s="24" t="str">
        <x:v>-4.00</x:v>
      </x:c>
      <x:c r="O2140" s="24" t="str">
        <x:v>0.75 a 3.00</x:v>
      </x:c>
      <x:c r="P2140" s="24" t="str">
        <x:v>70</x:v>
      </x:c>
      <x:c r="Q2140" s="24"/>
      <x:c r="R2140" s="24"/>
      <x:c r="S2140" s="26" t="n">
        <x:v>46113</x:v>
      </x:c>
      <x:c r="T2140" s="26"/>
      <x:c r="U2140" s="24" t="str">
        <x:v>ATIVA/SEM FIM INFORMADO</x:v>
      </x:c>
      <x:c r="V2140" s="24" t="str">
        <x:v>Programa de Parcerias ZEISS — categoria Experts; Programa de Parcerias ZEISS</x:v>
      </x:c>
      <x:c r="W2140" s="24" t="n">
        <x:v>34</x:v>
      </x:c>
      <x:c r="X2140" s="24" t="str">
        <x:v>tabela_zeiss.pdf</x:v>
      </x:c>
      <x:c r="Y2140" s="24" t="str">
        <x:v>alta</x:v>
      </x:c>
      <x:c r="Z2140" s="24"/>
      <x:c r="AA2140" s="24" t="str">
        <x:v>ZEISS|Progressiva|Surfaçada|ClearMind Plus|PhotoFusion X|1.67|1.67|DuraVision Chrome UV|-8.00 a +8.00|-4.00|0.75 a 3.00|70|||34</x:v>
      </x:c>
    </x:row>
    <x:row r="2141">
      <x:c r="A2141" s="24" t="str">
        <x:v>ZS-5230E881FBA4</x:v>
      </x:c>
      <x:c r="B2141" s="24" t="str">
        <x:v>SIM</x:v>
      </x:c>
      <x:c r="C2141" s="24" t="str">
        <x:v>DISPONÍVEL</x:v>
      </x:c>
      <x:c r="D2141" s="24" t="str">
        <x:v>ZEISS</x:v>
      </x:c>
      <x:c r="E2141" s="24" t="str">
        <x:v>Progressiva</x:v>
      </x:c>
      <x:c r="F2141" s="24" t="str">
        <x:v>Surfaçada</x:v>
      </x:c>
      <x:c r="G2141" s="24" t="str">
        <x:v>ClearMind Plus</x:v>
      </x:c>
      <x:c r="H2141" s="24" t="str">
        <x:v>PhotoFusion X Extra Dark Cinza</x:v>
      </x:c>
      <x:c r="I2141" s="24" t="str">
        <x:v>1.5</x:v>
      </x:c>
      <x:c r="J2141" s="24" t="str">
        <x:v>1.50</x:v>
      </x:c>
      <x:c r="K2141" s="24" t="str">
        <x:v>DuraVision Gold UV</x:v>
      </x:c>
      <x:c r="L2141" s="40" t="n">
        <x:v>8399</x:v>
      </x:c>
      <x:c r="M2141" s="24" t="str">
        <x:v>-6.00 a +5.50</x:v>
      </x:c>
      <x:c r="N2141" s="24" t="str">
        <x:v>-4.00</x:v>
      </x:c>
      <x:c r="O2141" s="24" t="str">
        <x:v>0.75 a 3.00</x:v>
      </x:c>
      <x:c r="P2141" s="24" t="str">
        <x:v>75</x:v>
      </x:c>
      <x:c r="Q2141" s="24"/>
      <x:c r="R2141" s="24"/>
      <x:c r="S2141" s="26" t="n">
        <x:v>46113</x:v>
      </x:c>
      <x:c r="T2141" s="26"/>
      <x:c r="U2141" s="24" t="str">
        <x:v>ATIVA/SEM FIM INFORMADO</x:v>
      </x:c>
      <x:c r="V2141" s="24" t="str">
        <x:v>Programa de Parcerias ZEISS — categoria Experts; Programa de Parcerias ZEISS</x:v>
      </x:c>
      <x:c r="W2141" s="24" t="n">
        <x:v>34</x:v>
      </x:c>
      <x:c r="X2141" s="24" t="str">
        <x:v>tabela_zeiss.pdf</x:v>
      </x:c>
      <x:c r="Y2141" s="24" t="str">
        <x:v>alta</x:v>
      </x:c>
      <x:c r="Z2141" s="24"/>
      <x:c r="AA2141" s="24" t="str">
        <x:v>ZEISS|Progressiva|Surfaçada|ClearMind Plus|PhotoFusion X Extra Dark Cinza|1.5|1.50|DuraVision Gold UV|-6.00 a +5.50|-4.00|0.75 a 3.00|75|||34</x:v>
      </x:c>
    </x:row>
    <x:row r="2142">
      <x:c r="A2142" s="24" t="str">
        <x:v>ZS-00720713A95E</x:v>
      </x:c>
      <x:c r="B2142" s="24" t="str">
        <x:v>SIM</x:v>
      </x:c>
      <x:c r="C2142" s="24" t="str">
        <x:v>DISPONÍVEL</x:v>
      </x:c>
      <x:c r="D2142" s="24" t="str">
        <x:v>ZEISS</x:v>
      </x:c>
      <x:c r="E2142" s="24" t="str">
        <x:v>Progressiva</x:v>
      </x:c>
      <x:c r="F2142" s="24" t="str">
        <x:v>Surfaçada</x:v>
      </x:c>
      <x:c r="G2142" s="24" t="str">
        <x:v>ClearMind Plus</x:v>
      </x:c>
      <x:c r="H2142" s="24" t="str">
        <x:v>PhotoFusion X Extra Dark Cinza</x:v>
      </x:c>
      <x:c r="I2142" s="24" t="str">
        <x:v>1.5</x:v>
      </x:c>
      <x:c r="J2142" s="24" t="str">
        <x:v>1.50</x:v>
      </x:c>
      <x:c r="K2142" s="24" t="str">
        <x:v>DURAVISION® ANTIVÍRUS PLATINUM UV</x:v>
      </x:c>
      <x:c r="L2142" s="40" t="n">
        <x:v>8259</x:v>
      </x:c>
      <x:c r="M2142" s="24" t="str">
        <x:v>-6.00 a +5.50</x:v>
      </x:c>
      <x:c r="N2142" s="24" t="str">
        <x:v>-4.00</x:v>
      </x:c>
      <x:c r="O2142" s="24" t="str">
        <x:v>0.75 a 3.00</x:v>
      </x:c>
      <x:c r="P2142" s="24" t="str">
        <x:v>75</x:v>
      </x:c>
      <x:c r="Q2142" s="24"/>
      <x:c r="R2142" s="24"/>
      <x:c r="S2142" s="26" t="n">
        <x:v>46113</x:v>
      </x:c>
      <x:c r="T2142" s="26"/>
      <x:c r="U2142" s="24" t="str">
        <x:v>ATIVA/SEM FIM INFORMADO</x:v>
      </x:c>
      <x:c r="V2142" s="24" t="str">
        <x:v>Programa de Parcerias ZEISS — categoria Experts; Programa de Parcerias ZEISS</x:v>
      </x:c>
      <x:c r="W2142" s="24" t="n">
        <x:v>34</x:v>
      </x:c>
      <x:c r="X2142" s="24" t="str">
        <x:v>tabela_zeiss.pdf</x:v>
      </x:c>
      <x:c r="Y2142" s="24" t="str">
        <x:v>alta</x:v>
      </x:c>
      <x:c r="Z2142" s="24"/>
      <x:c r="AA2142" s="24" t="str">
        <x:v>ZEISS|Progressiva|Surfaçada|ClearMind Plus|PhotoFusion X Extra Dark Cinza|1.5|1.50|DURAVISION® ANTIVÍRUS PLATINUM UV|-6.00 a +5.50|-4.00|0.75 a 3.00|75|||34</x:v>
      </x:c>
    </x:row>
    <x:row r="2143">
      <x:c r="A2143" s="24" t="str">
        <x:v>ZS-C9BCDD977652</x:v>
      </x:c>
      <x:c r="B2143" s="24" t="str">
        <x:v>SIM</x:v>
      </x:c>
      <x:c r="C2143" s="24" t="str">
        <x:v>DISPONÍVEL</x:v>
      </x:c>
      <x:c r="D2143" s="24" t="str">
        <x:v>ZEISS</x:v>
      </x:c>
      <x:c r="E2143" s="24" t="str">
        <x:v>Progressiva</x:v>
      </x:c>
      <x:c r="F2143" s="24" t="str">
        <x:v>Surfaçada</x:v>
      </x:c>
      <x:c r="G2143" s="24" t="str">
        <x:v>ClearMind Plus</x:v>
      </x:c>
      <x:c r="H2143" s="24" t="str">
        <x:v>PhotoFusion X Extra Dark Cinza</x:v>
      </x:c>
      <x:c r="I2143" s="24" t="str">
        <x:v>1.5</x:v>
      </x:c>
      <x:c r="J2143" s="24" t="str">
        <x:v>1.50</x:v>
      </x:c>
      <x:c r="K2143" s="24" t="str">
        <x:v>DuraVision Platinum UV</x:v>
      </x:c>
      <x:c r="L2143" s="40" t="n">
        <x:v>8259</x:v>
      </x:c>
      <x:c r="M2143" s="24" t="str">
        <x:v>-6.00 a +5.50</x:v>
      </x:c>
      <x:c r="N2143" s="24" t="str">
        <x:v>-4.00</x:v>
      </x:c>
      <x:c r="O2143" s="24" t="str">
        <x:v>0.75 a 3.00</x:v>
      </x:c>
      <x:c r="P2143" s="24" t="str">
        <x:v>75</x:v>
      </x:c>
      <x:c r="Q2143" s="24"/>
      <x:c r="R2143" s="24"/>
      <x:c r="S2143" s="26" t="n">
        <x:v>46113</x:v>
      </x:c>
      <x:c r="T2143" s="26"/>
      <x:c r="U2143" s="24" t="str">
        <x:v>ATIVA/SEM FIM INFORMADO</x:v>
      </x:c>
      <x:c r="V2143" s="24" t="str">
        <x:v>Programa de Parcerias ZEISS — categoria Experts; Programa de Parcerias ZEISS</x:v>
      </x:c>
      <x:c r="W2143" s="24" t="n">
        <x:v>34</x:v>
      </x:c>
      <x:c r="X2143" s="24" t="str">
        <x:v>tabela_zeiss.pdf</x:v>
      </x:c>
      <x:c r="Y2143" s="24" t="str">
        <x:v>alta</x:v>
      </x:c>
      <x:c r="Z2143" s="24"/>
      <x:c r="AA2143" s="24" t="str">
        <x:v>ZEISS|Progressiva|Surfaçada|ClearMind Plus|PhotoFusion X Extra Dark Cinza|1.5|1.50|DuraVision Platinum UV|-6.00 a +5.50|-4.00|0.75 a 3.00|75|||34</x:v>
      </x:c>
    </x:row>
    <x:row r="2144">
      <x:c r="A2144" s="24" t="str">
        <x:v>ZS-5975404661DE</x:v>
      </x:c>
      <x:c r="B2144" s="24" t="str">
        <x:v>SIM</x:v>
      </x:c>
      <x:c r="C2144" s="24" t="str">
        <x:v>DISPONÍVEL</x:v>
      </x:c>
      <x:c r="D2144" s="24" t="str">
        <x:v>ZEISS</x:v>
      </x:c>
      <x:c r="E2144" s="24" t="str">
        <x:v>Progressiva</x:v>
      </x:c>
      <x:c r="F2144" s="24" t="str">
        <x:v>Surfaçada</x:v>
      </x:c>
      <x:c r="G2144" s="24" t="str">
        <x:v>ClearMind Plus</x:v>
      </x:c>
      <x:c r="H2144" s="24" t="str">
        <x:v>PhotoFusion X Extra Dark Cinza</x:v>
      </x:c>
      <x:c r="I2144" s="24" t="str">
        <x:v>1.5</x:v>
      </x:c>
      <x:c r="J2144" s="24" t="str">
        <x:v>1.50</x:v>
      </x:c>
      <x:c r="K2144" s="24" t="str">
        <x:v>DuraVision Silver UV</x:v>
      </x:c>
      <x:c r="L2144" s="40" t="n">
        <x:v>7999</x:v>
      </x:c>
      <x:c r="M2144" s="24" t="str">
        <x:v>-6.00 a +5.50</x:v>
      </x:c>
      <x:c r="N2144" s="24" t="str">
        <x:v>-4.00</x:v>
      </x:c>
      <x:c r="O2144" s="24" t="str">
        <x:v>0.75 a 3.00</x:v>
      </x:c>
      <x:c r="P2144" s="24" t="str">
        <x:v>75</x:v>
      </x:c>
      <x:c r="Q2144" s="24"/>
      <x:c r="R2144" s="24"/>
      <x:c r="S2144" s="26" t="n">
        <x:v>46113</x:v>
      </x:c>
      <x:c r="T2144" s="26"/>
      <x:c r="U2144" s="24" t="str">
        <x:v>ATIVA/SEM FIM INFORMADO</x:v>
      </x:c>
      <x:c r="V2144" s="24" t="str">
        <x:v>Programa de Parcerias ZEISS — categoria Experts; Programa de Parcerias ZEISS</x:v>
      </x:c>
      <x:c r="W2144" s="24" t="n">
        <x:v>34</x:v>
      </x:c>
      <x:c r="X2144" s="24" t="str">
        <x:v>tabela_zeiss.pdf</x:v>
      </x:c>
      <x:c r="Y2144" s="24" t="str">
        <x:v>alta</x:v>
      </x:c>
      <x:c r="Z2144" s="24"/>
      <x:c r="AA2144" s="24" t="str">
        <x:v>ZEISS|Progressiva|Surfaçada|ClearMind Plus|PhotoFusion X Extra Dark Cinza|1.5|1.50|DuraVision Silver UV|-6.00 a +5.50|-4.00|0.75 a 3.00|75|||34</x:v>
      </x:c>
    </x:row>
    <x:row r="2145">
      <x:c r="A2145" s="24" t="str">
        <x:v>ZS-69619C8938E4</x:v>
      </x:c>
      <x:c r="B2145" s="24" t="str">
        <x:v>SIM</x:v>
      </x:c>
      <x:c r="C2145" s="24" t="str">
        <x:v>DISPONÍVEL</x:v>
      </x:c>
      <x:c r="D2145" s="24" t="str">
        <x:v>ZEISS</x:v>
      </x:c>
      <x:c r="E2145" s="24" t="str">
        <x:v>Progressiva</x:v>
      </x:c>
      <x:c r="F2145" s="24" t="str">
        <x:v>Surfaçada</x:v>
      </x:c>
      <x:c r="G2145" s="24" t="str">
        <x:v>ClearMind Plus</x:v>
      </x:c>
      <x:c r="H2145" s="24" t="str">
        <x:v>PhotoFusion X Extra Dark Cinza</x:v>
      </x:c>
      <x:c r="I2145" s="24" t="str">
        <x:v>1.5</x:v>
      </x:c>
      <x:c r="J2145" s="24" t="str">
        <x:v>1.50</x:v>
      </x:c>
      <x:c r="K2145" s="24" t="str">
        <x:v>DuraVision Chrome UV</x:v>
      </x:c>
      <x:c r="L2145" s="40" t="n">
        <x:v>7509</x:v>
      </x:c>
      <x:c r="M2145" s="24" t="str">
        <x:v>-6.00 a +5.50</x:v>
      </x:c>
      <x:c r="N2145" s="24" t="str">
        <x:v>-4.00</x:v>
      </x:c>
      <x:c r="O2145" s="24" t="str">
        <x:v>0.75 a 3.00</x:v>
      </x:c>
      <x:c r="P2145" s="24" t="str">
        <x:v>75</x:v>
      </x:c>
      <x:c r="Q2145" s="24"/>
      <x:c r="R2145" s="24"/>
      <x:c r="S2145" s="26" t="n">
        <x:v>46113</x:v>
      </x:c>
      <x:c r="T2145" s="26"/>
      <x:c r="U2145" s="24" t="str">
        <x:v>ATIVA/SEM FIM INFORMADO</x:v>
      </x:c>
      <x:c r="V2145" s="24" t="str">
        <x:v>Programa de Parcerias ZEISS — categoria Experts; Programa de Parcerias ZEISS</x:v>
      </x:c>
      <x:c r="W2145" s="24" t="n">
        <x:v>34</x:v>
      </x:c>
      <x:c r="X2145" s="24" t="str">
        <x:v>tabela_zeiss.pdf</x:v>
      </x:c>
      <x:c r="Y2145" s="24" t="str">
        <x:v>alta</x:v>
      </x:c>
      <x:c r="Z2145" s="24"/>
      <x:c r="AA2145" s="24" t="str">
        <x:v>ZEISS|Progressiva|Surfaçada|ClearMind Plus|PhotoFusion X Extra Dark Cinza|1.5|1.50|DuraVision Chrome UV|-6.00 a +5.50|-4.00|0.75 a 3.00|75|||34</x:v>
      </x:c>
    </x:row>
    <x:row r="2146">
      <x:c r="A2146" s="24" t="str">
        <x:v>ZS-78276B698F5B</x:v>
      </x:c>
      <x:c r="B2146" s="24" t="str">
        <x:v>SIM</x:v>
      </x:c>
      <x:c r="C2146" s="24" t="str">
        <x:v>DISPONÍVEL</x:v>
      </x:c>
      <x:c r="D2146" s="24" t="str">
        <x:v>ZEISS</x:v>
      </x:c>
      <x:c r="E2146" s="24" t="str">
        <x:v>Progressiva</x:v>
      </x:c>
      <x:c r="F2146" s="24" t="str">
        <x:v>Surfaçada</x:v>
      </x:c>
      <x:c r="G2146" s="24" t="str">
        <x:v>ClearMind Plus</x:v>
      </x:c>
      <x:c r="H2146" s="24" t="str">
        <x:v>PhotoFusion X Extra Dark Cinza</x:v>
      </x:c>
      <x:c r="I2146" s="24" t="str">
        <x:v>Poli</x:v>
      </x:c>
      <x:c r="J2146" s="24"/>
      <x:c r="K2146" s="24" t="str">
        <x:v>DuraVision Gold UV</x:v>
      </x:c>
      <x:c r="L2146" s="40" t="n">
        <x:v>8989</x:v>
      </x:c>
      <x:c r="M2146" s="24" t="str">
        <x:v>-10.00 a +6.00</x:v>
      </x:c>
      <x:c r="N2146" s="24" t="str">
        <x:v>-6.00</x:v>
      </x:c>
      <x:c r="O2146" s="24" t="str">
        <x:v>0.75 a 3.00</x:v>
      </x:c>
      <x:c r="P2146" s="24" t="str">
        <x:v>70</x:v>
      </x:c>
      <x:c r="Q2146" s="24"/>
      <x:c r="R2146" s="24"/>
      <x:c r="S2146" s="26" t="n">
        <x:v>46113</x:v>
      </x:c>
      <x:c r="T2146" s="26"/>
      <x:c r="U2146" s="24" t="str">
        <x:v>ATIVA/SEM FIM INFORMADO</x:v>
      </x:c>
      <x:c r="V2146" s="24" t="str">
        <x:v>Programa de Parcerias ZEISS — categoria Experts; Programa de Parcerias ZEISS</x:v>
      </x:c>
      <x:c r="W2146" s="24" t="n">
        <x:v>34</x:v>
      </x:c>
      <x:c r="X2146" s="24" t="str">
        <x:v>tabela_zeiss.pdf</x:v>
      </x:c>
      <x:c r="Y2146" s="24" t="str">
        <x:v>alta</x:v>
      </x:c>
      <x:c r="Z2146" s="24"/>
      <x:c r="AA2146" s="24" t="str">
        <x:v>ZEISS|Progressiva|Surfaçada|ClearMind Plus|PhotoFusion X Extra Dark Cinza|Poli||DuraVision Gold UV|-10.00 a +6.00|-6.00|0.75 a 3.00|70|||34</x:v>
      </x:c>
    </x:row>
    <x:row r="2147">
      <x:c r="A2147" s="24" t="str">
        <x:v>ZS-5F6C9B9220FF</x:v>
      </x:c>
      <x:c r="B2147" s="24" t="str">
        <x:v>SIM</x:v>
      </x:c>
      <x:c r="C2147" s="24" t="str">
        <x:v>DISPONÍVEL</x:v>
      </x:c>
      <x:c r="D2147" s="24" t="str">
        <x:v>ZEISS</x:v>
      </x:c>
      <x:c r="E2147" s="24" t="str">
        <x:v>Progressiva</x:v>
      </x:c>
      <x:c r="F2147" s="24" t="str">
        <x:v>Surfaçada</x:v>
      </x:c>
      <x:c r="G2147" s="24" t="str">
        <x:v>ClearMind Plus</x:v>
      </x:c>
      <x:c r="H2147" s="24" t="str">
        <x:v>PhotoFusion X Extra Dark Cinza</x:v>
      </x:c>
      <x:c r="I2147" s="24" t="str">
        <x:v>Poli</x:v>
      </x:c>
      <x:c r="J2147" s="24"/>
      <x:c r="K2147" s="24" t="str">
        <x:v>DuraVision Platinum UV</x:v>
      </x:c>
      <x:c r="L2147" s="40" t="n">
        <x:v>8849</x:v>
      </x:c>
      <x:c r="M2147" s="24" t="str">
        <x:v>-10.00 a +6.00</x:v>
      </x:c>
      <x:c r="N2147" s="24" t="str">
        <x:v>-6.00</x:v>
      </x:c>
      <x:c r="O2147" s="24" t="str">
        <x:v>0.75 a 3.00</x:v>
      </x:c>
      <x:c r="P2147" s="24" t="str">
        <x:v>70</x:v>
      </x:c>
      <x:c r="Q2147" s="24"/>
      <x:c r="R2147" s="24"/>
      <x:c r="S2147" s="26" t="n">
        <x:v>46113</x:v>
      </x:c>
      <x:c r="T2147" s="26"/>
      <x:c r="U2147" s="24" t="str">
        <x:v>ATIVA/SEM FIM INFORMADO</x:v>
      </x:c>
      <x:c r="V2147" s="24" t="str">
        <x:v>Programa de Parcerias ZEISS — categoria Experts; Programa de Parcerias ZEISS</x:v>
      </x:c>
      <x:c r="W2147" s="24" t="n">
        <x:v>34</x:v>
      </x:c>
      <x:c r="X2147" s="24" t="str">
        <x:v>tabela_zeiss.pdf</x:v>
      </x:c>
      <x:c r="Y2147" s="24" t="str">
        <x:v>alta</x:v>
      </x:c>
      <x:c r="Z2147" s="24"/>
      <x:c r="AA2147" s="24" t="str">
        <x:v>ZEISS|Progressiva|Surfaçada|ClearMind Plus|PhotoFusion X Extra Dark Cinza|Poli||DuraVision Platinum UV|-10.00 a +6.00|-6.00|0.75 a 3.00|70|||34</x:v>
      </x:c>
    </x:row>
    <x:row r="2148">
      <x:c r="A2148" s="24" t="str">
        <x:v>ZS-E9786B81E338</x:v>
      </x:c>
      <x:c r="B2148" s="24" t="str">
        <x:v>SIM</x:v>
      </x:c>
      <x:c r="C2148" s="24" t="str">
        <x:v>DISPONÍVEL</x:v>
      </x:c>
      <x:c r="D2148" s="24" t="str">
        <x:v>ZEISS</x:v>
      </x:c>
      <x:c r="E2148" s="24" t="str">
        <x:v>Progressiva</x:v>
      </x:c>
      <x:c r="F2148" s="24" t="str">
        <x:v>Surfaçada</x:v>
      </x:c>
      <x:c r="G2148" s="24" t="str">
        <x:v>ClearMind Plus</x:v>
      </x:c>
      <x:c r="H2148" s="24" t="str">
        <x:v>PhotoFusion X Extra Dark Cinza</x:v>
      </x:c>
      <x:c r="I2148" s="24" t="str">
        <x:v>Poli</x:v>
      </x:c>
      <x:c r="J2148" s="24"/>
      <x:c r="K2148" s="24" t="str">
        <x:v>DuraVision Silver UV</x:v>
      </x:c>
      <x:c r="L2148" s="40" t="n">
        <x:v>8589</x:v>
      </x:c>
      <x:c r="M2148" s="24" t="str">
        <x:v>-10.00 a +6.00</x:v>
      </x:c>
      <x:c r="N2148" s="24" t="str">
        <x:v>-6.00</x:v>
      </x:c>
      <x:c r="O2148" s="24" t="str">
        <x:v>0.75 a 3.00</x:v>
      </x:c>
      <x:c r="P2148" s="24" t="str">
        <x:v>70</x:v>
      </x:c>
      <x:c r="Q2148" s="24"/>
      <x:c r="R2148" s="24"/>
      <x:c r="S2148" s="26" t="n">
        <x:v>46113</x:v>
      </x:c>
      <x:c r="T2148" s="26"/>
      <x:c r="U2148" s="24" t="str">
        <x:v>ATIVA/SEM FIM INFORMADO</x:v>
      </x:c>
      <x:c r="V2148" s="24" t="str">
        <x:v>Programa de Parcerias ZEISS — categoria Experts; Programa de Parcerias ZEISS</x:v>
      </x:c>
      <x:c r="W2148" s="24" t="n">
        <x:v>34</x:v>
      </x:c>
      <x:c r="X2148" s="24" t="str">
        <x:v>tabela_zeiss.pdf</x:v>
      </x:c>
      <x:c r="Y2148" s="24" t="str">
        <x:v>alta</x:v>
      </x:c>
      <x:c r="Z2148" s="24"/>
      <x:c r="AA2148" s="24" t="str">
        <x:v>ZEISS|Progressiva|Surfaçada|ClearMind Plus|PhotoFusion X Extra Dark Cinza|Poli||DuraVision Silver UV|-10.00 a +6.00|-6.00|0.75 a 3.00|70|||34</x:v>
      </x:c>
    </x:row>
    <x:row r="2149">
      <x:c r="A2149" s="24" t="str">
        <x:v>ZS-79ACD4DB6535</x:v>
      </x:c>
      <x:c r="B2149" s="24" t="str">
        <x:v>SIM</x:v>
      </x:c>
      <x:c r="C2149" s="24" t="str">
        <x:v>DISPONÍVEL</x:v>
      </x:c>
      <x:c r="D2149" s="24" t="str">
        <x:v>ZEISS</x:v>
      </x:c>
      <x:c r="E2149" s="24" t="str">
        <x:v>Progressiva</x:v>
      </x:c>
      <x:c r="F2149" s="24" t="str">
        <x:v>Surfaçada</x:v>
      </x:c>
      <x:c r="G2149" s="24" t="str">
        <x:v>ClearMind Plus</x:v>
      </x:c>
      <x:c r="H2149" s="24" t="str">
        <x:v>PhotoFusion X Extra Dark Cinza</x:v>
      </x:c>
      <x:c r="I2149" s="24" t="str">
        <x:v>Poli</x:v>
      </x:c>
      <x:c r="J2149" s="24"/>
      <x:c r="K2149" s="24" t="str">
        <x:v>DuraVision Chrome UV</x:v>
      </x:c>
      <x:c r="L2149" s="40" t="n">
        <x:v>8099</x:v>
      </x:c>
      <x:c r="M2149" s="24" t="str">
        <x:v>-10.00 a +6.00</x:v>
      </x:c>
      <x:c r="N2149" s="24" t="str">
        <x:v>-6.00</x:v>
      </x:c>
      <x:c r="O2149" s="24" t="str">
        <x:v>0.75 a 3.00</x:v>
      </x:c>
      <x:c r="P2149" s="24" t="str">
        <x:v>70</x:v>
      </x:c>
      <x:c r="Q2149" s="24"/>
      <x:c r="R2149" s="24"/>
      <x:c r="S2149" s="26" t="n">
        <x:v>46113</x:v>
      </x:c>
      <x:c r="T2149" s="26"/>
      <x:c r="U2149" s="24" t="str">
        <x:v>ATIVA/SEM FIM INFORMADO</x:v>
      </x:c>
      <x:c r="V2149" s="24" t="str">
        <x:v>Programa de Parcerias ZEISS — categoria Experts; Programa de Parcerias ZEISS</x:v>
      </x:c>
      <x:c r="W2149" s="24" t="n">
        <x:v>34</x:v>
      </x:c>
      <x:c r="X2149" s="24" t="str">
        <x:v>tabela_zeiss.pdf</x:v>
      </x:c>
      <x:c r="Y2149" s="24" t="str">
        <x:v>alta</x:v>
      </x:c>
      <x:c r="Z2149" s="24"/>
      <x:c r="AA2149" s="24" t="str">
        <x:v>ZEISS|Progressiva|Surfaçada|ClearMind Plus|PhotoFusion X Extra Dark Cinza|Poli||DuraVision Chrome UV|-10.00 a +6.00|-6.00|0.75 a 3.00|70|||34</x:v>
      </x:c>
    </x:row>
    <x:row r="2150">
      <x:c r="A2150" s="24" t="str">
        <x:v>ZS-4A9E8835CF38</x:v>
      </x:c>
      <x:c r="B2150" s="24" t="str">
        <x:v>SIM</x:v>
      </x:c>
      <x:c r="C2150" s="24" t="str">
        <x:v>DISPONÍVEL</x:v>
      </x:c>
      <x:c r="D2150" s="24" t="str">
        <x:v>ZEISS</x:v>
      </x:c>
      <x:c r="E2150" s="24" t="str">
        <x:v>Progressiva</x:v>
      </x:c>
      <x:c r="F2150" s="24" t="str">
        <x:v>Surfaçada</x:v>
      </x:c>
      <x:c r="G2150" s="24" t="str">
        <x:v>ClearMind Plus</x:v>
      </x:c>
      <x:c r="H2150" s="24" t="str">
        <x:v>PhotoFusion X Extra Dark Cinza</x:v>
      </x:c>
      <x:c r="I2150" s="24" t="str">
        <x:v>1.6</x:v>
      </x:c>
      <x:c r="J2150" s="24" t="str">
        <x:v>1.60</x:v>
      </x:c>
      <x:c r="K2150" s="24" t="str">
        <x:v>DuraVision Gold UV</x:v>
      </x:c>
      <x:c r="L2150" s="40" t="n">
        <x:v>9649</x:v>
      </x:c>
      <x:c r="M2150" s="24" t="str">
        <x:v>-7.25 a +6.00</x:v>
      </x:c>
      <x:c r="N2150" s="24" t="str">
        <x:v>-6.00</x:v>
      </x:c>
      <x:c r="O2150" s="24" t="str">
        <x:v>0.75 a 3.50</x:v>
      </x:c>
      <x:c r="P2150" s="24" t="str">
        <x:v>75</x:v>
      </x:c>
      <x:c r="Q2150" s="24"/>
      <x:c r="R2150" s="24"/>
      <x:c r="S2150" s="26" t="n">
        <x:v>46113</x:v>
      </x:c>
      <x:c r="T2150" s="26"/>
      <x:c r="U2150" s="24" t="str">
        <x:v>ATIVA/SEM FIM INFORMADO</x:v>
      </x:c>
      <x:c r="V2150" s="24" t="str">
        <x:v>Programa de Parcerias ZEISS — categoria Experts; Programa de Parcerias ZEISS</x:v>
      </x:c>
      <x:c r="W2150" s="24" t="n">
        <x:v>34</x:v>
      </x:c>
      <x:c r="X2150" s="24" t="str">
        <x:v>tabela_zeiss.pdf</x:v>
      </x:c>
      <x:c r="Y2150" s="24" t="str">
        <x:v>alta</x:v>
      </x:c>
      <x:c r="Z2150" s="24"/>
      <x:c r="AA2150" s="24" t="str">
        <x:v>ZEISS|Progressiva|Surfaçada|ClearMind Plus|PhotoFusion X Extra Dark Cinza|1.6|1.60|DuraVision Gold UV|-7.25 a +6.00|-6.00|0.75 a 3.50|75|||34</x:v>
      </x:c>
    </x:row>
    <x:row r="2151">
      <x:c r="A2151" s="24" t="str">
        <x:v>ZS-237B1DF96A5E</x:v>
      </x:c>
      <x:c r="B2151" s="24" t="str">
        <x:v>SIM</x:v>
      </x:c>
      <x:c r="C2151" s="24" t="str">
        <x:v>DISPONÍVEL</x:v>
      </x:c>
      <x:c r="D2151" s="24" t="str">
        <x:v>ZEISS</x:v>
      </x:c>
      <x:c r="E2151" s="24" t="str">
        <x:v>Progressiva</x:v>
      </x:c>
      <x:c r="F2151" s="24" t="str">
        <x:v>Surfaçada</x:v>
      </x:c>
      <x:c r="G2151" s="24" t="str">
        <x:v>ClearMind Plus</x:v>
      </x:c>
      <x:c r="H2151" s="24" t="str">
        <x:v>PhotoFusion X Extra Dark Cinza</x:v>
      </x:c>
      <x:c r="I2151" s="24" t="str">
        <x:v>1.6</x:v>
      </x:c>
      <x:c r="J2151" s="24" t="str">
        <x:v>1.60</x:v>
      </x:c>
      <x:c r="K2151" s="24" t="str">
        <x:v>DURAVISION® ANTIVÍRUS PLATINUM UV</x:v>
      </x:c>
      <x:c r="L2151" s="40" t="n">
        <x:v>9509</x:v>
      </x:c>
      <x:c r="M2151" s="24" t="str">
        <x:v>-7.25 a +6.00</x:v>
      </x:c>
      <x:c r="N2151" s="24" t="str">
        <x:v>-6.00</x:v>
      </x:c>
      <x:c r="O2151" s="24" t="str">
        <x:v>0.75 a 3.50</x:v>
      </x:c>
      <x:c r="P2151" s="24" t="str">
        <x:v>75</x:v>
      </x:c>
      <x:c r="Q2151" s="24"/>
      <x:c r="R2151" s="24"/>
      <x:c r="S2151" s="26" t="n">
        <x:v>46113</x:v>
      </x:c>
      <x:c r="T2151" s="26"/>
      <x:c r="U2151" s="24" t="str">
        <x:v>ATIVA/SEM FIM INFORMADO</x:v>
      </x:c>
      <x:c r="V2151" s="24" t="str">
        <x:v>Programa de Parcerias ZEISS — categoria Experts; Programa de Parcerias ZEISS</x:v>
      </x:c>
      <x:c r="W2151" s="24" t="n">
        <x:v>34</x:v>
      </x:c>
      <x:c r="X2151" s="24" t="str">
        <x:v>tabela_zeiss.pdf</x:v>
      </x:c>
      <x:c r="Y2151" s="24" t="str">
        <x:v>alta</x:v>
      </x:c>
      <x:c r="Z2151" s="24"/>
      <x:c r="AA2151" s="24" t="str">
        <x:v>ZEISS|Progressiva|Surfaçada|ClearMind Plus|PhotoFusion X Extra Dark Cinza|1.6|1.60|DURAVISION® ANTIVÍRUS PLATINUM UV|-7.25 a +6.00|-6.00|0.75 a 3.50|75|||34</x:v>
      </x:c>
    </x:row>
    <x:row r="2152">
      <x:c r="A2152" s="24" t="str">
        <x:v>ZS-64574D1839B1</x:v>
      </x:c>
      <x:c r="B2152" s="24" t="str">
        <x:v>SIM</x:v>
      </x:c>
      <x:c r="C2152" s="24" t="str">
        <x:v>DISPONÍVEL</x:v>
      </x:c>
      <x:c r="D2152" s="24" t="str">
        <x:v>ZEISS</x:v>
      </x:c>
      <x:c r="E2152" s="24" t="str">
        <x:v>Progressiva</x:v>
      </x:c>
      <x:c r="F2152" s="24" t="str">
        <x:v>Surfaçada</x:v>
      </x:c>
      <x:c r="G2152" s="24" t="str">
        <x:v>ClearMind Plus</x:v>
      </x:c>
      <x:c r="H2152" s="24" t="str">
        <x:v>PhotoFusion X Extra Dark Cinza</x:v>
      </x:c>
      <x:c r="I2152" s="24" t="str">
        <x:v>1.6</x:v>
      </x:c>
      <x:c r="J2152" s="24" t="str">
        <x:v>1.60</x:v>
      </x:c>
      <x:c r="K2152" s="24" t="str">
        <x:v>DuraVision Platinum UV</x:v>
      </x:c>
      <x:c r="L2152" s="40" t="n">
        <x:v>9509</x:v>
      </x:c>
      <x:c r="M2152" s="24" t="str">
        <x:v>-7.25 a +6.00</x:v>
      </x:c>
      <x:c r="N2152" s="24" t="str">
        <x:v>-6.00</x:v>
      </x:c>
      <x:c r="O2152" s="24" t="str">
        <x:v>0.75 a 3.50</x:v>
      </x:c>
      <x:c r="P2152" s="24" t="str">
        <x:v>75</x:v>
      </x:c>
      <x:c r="Q2152" s="24"/>
      <x:c r="R2152" s="24"/>
      <x:c r="S2152" s="26" t="n">
        <x:v>46113</x:v>
      </x:c>
      <x:c r="T2152" s="26"/>
      <x:c r="U2152" s="24" t="str">
        <x:v>ATIVA/SEM FIM INFORMADO</x:v>
      </x:c>
      <x:c r="V2152" s="24" t="str">
        <x:v>Programa de Parcerias ZEISS — categoria Experts; Programa de Parcerias ZEISS</x:v>
      </x:c>
      <x:c r="W2152" s="24" t="n">
        <x:v>34</x:v>
      </x:c>
      <x:c r="X2152" s="24" t="str">
        <x:v>tabela_zeiss.pdf</x:v>
      </x:c>
      <x:c r="Y2152" s="24" t="str">
        <x:v>alta</x:v>
      </x:c>
      <x:c r="Z2152" s="24"/>
      <x:c r="AA2152" s="24" t="str">
        <x:v>ZEISS|Progressiva|Surfaçada|ClearMind Plus|PhotoFusion X Extra Dark Cinza|1.6|1.60|DuraVision Platinum UV|-7.25 a +6.00|-6.00|0.75 a 3.50|75|||34</x:v>
      </x:c>
    </x:row>
    <x:row r="2153">
      <x:c r="A2153" s="24" t="str">
        <x:v>ZS-EB6641EDA118</x:v>
      </x:c>
      <x:c r="B2153" s="24" t="str">
        <x:v>SIM</x:v>
      </x:c>
      <x:c r="C2153" s="24" t="str">
        <x:v>DISPONÍVEL</x:v>
      </x:c>
      <x:c r="D2153" s="24" t="str">
        <x:v>ZEISS</x:v>
      </x:c>
      <x:c r="E2153" s="24" t="str">
        <x:v>Progressiva</x:v>
      </x:c>
      <x:c r="F2153" s="24" t="str">
        <x:v>Surfaçada</x:v>
      </x:c>
      <x:c r="G2153" s="24" t="str">
        <x:v>ClearMind Plus</x:v>
      </x:c>
      <x:c r="H2153" s="24" t="str">
        <x:v>PhotoFusion X Extra Dark Cinza</x:v>
      </x:c>
      <x:c r="I2153" s="24" t="str">
        <x:v>1.6</x:v>
      </x:c>
      <x:c r="J2153" s="24" t="str">
        <x:v>1.60</x:v>
      </x:c>
      <x:c r="K2153" s="24" t="str">
        <x:v>DuraVision Silver UV</x:v>
      </x:c>
      <x:c r="L2153" s="40" t="n">
        <x:v>9249</x:v>
      </x:c>
      <x:c r="M2153" s="24" t="str">
        <x:v>-7.25 a +6.00</x:v>
      </x:c>
      <x:c r="N2153" s="24" t="str">
        <x:v>-6.00</x:v>
      </x:c>
      <x:c r="O2153" s="24" t="str">
        <x:v>0.75 a 3.50</x:v>
      </x:c>
      <x:c r="P2153" s="24" t="str">
        <x:v>75</x:v>
      </x:c>
      <x:c r="Q2153" s="24"/>
      <x:c r="R2153" s="24"/>
      <x:c r="S2153" s="26" t="n">
        <x:v>46113</x:v>
      </x:c>
      <x:c r="T2153" s="26"/>
      <x:c r="U2153" s="24" t="str">
        <x:v>ATIVA/SEM FIM INFORMADO</x:v>
      </x:c>
      <x:c r="V2153" s="24" t="str">
        <x:v>Programa de Parcerias ZEISS — categoria Experts; Programa de Parcerias ZEISS</x:v>
      </x:c>
      <x:c r="W2153" s="24" t="n">
        <x:v>34</x:v>
      </x:c>
      <x:c r="X2153" s="24" t="str">
        <x:v>tabela_zeiss.pdf</x:v>
      </x:c>
      <x:c r="Y2153" s="24" t="str">
        <x:v>alta</x:v>
      </x:c>
      <x:c r="Z2153" s="24"/>
      <x:c r="AA2153" s="24" t="str">
        <x:v>ZEISS|Progressiva|Surfaçada|ClearMind Plus|PhotoFusion X Extra Dark Cinza|1.6|1.60|DuraVision Silver UV|-7.25 a +6.00|-6.00|0.75 a 3.50|75|||34</x:v>
      </x:c>
    </x:row>
    <x:row r="2154">
      <x:c r="A2154" s="24" t="str">
        <x:v>ZS-91D400393AFF</x:v>
      </x:c>
      <x:c r="B2154" s="24" t="str">
        <x:v>SIM</x:v>
      </x:c>
      <x:c r="C2154" s="24" t="str">
        <x:v>DISPONÍVEL</x:v>
      </x:c>
      <x:c r="D2154" s="24" t="str">
        <x:v>ZEISS</x:v>
      </x:c>
      <x:c r="E2154" s="24" t="str">
        <x:v>Progressiva</x:v>
      </x:c>
      <x:c r="F2154" s="24" t="str">
        <x:v>Surfaçada</x:v>
      </x:c>
      <x:c r="G2154" s="24" t="str">
        <x:v>ClearMind Plus</x:v>
      </x:c>
      <x:c r="H2154" s="24" t="str">
        <x:v>PhotoFusion X Extra Dark Cinza</x:v>
      </x:c>
      <x:c r="I2154" s="24" t="str">
        <x:v>1.6</x:v>
      </x:c>
      <x:c r="J2154" s="24" t="str">
        <x:v>1.60</x:v>
      </x:c>
      <x:c r="K2154" s="24" t="str">
        <x:v>DuraVision Chrome UV</x:v>
      </x:c>
      <x:c r="L2154" s="40" t="n">
        <x:v>8759</x:v>
      </x:c>
      <x:c r="M2154" s="24" t="str">
        <x:v>-7.25 a +6.00</x:v>
      </x:c>
      <x:c r="N2154" s="24" t="str">
        <x:v>-6.00</x:v>
      </x:c>
      <x:c r="O2154" s="24" t="str">
        <x:v>0.75 a 3.50</x:v>
      </x:c>
      <x:c r="P2154" s="24" t="str">
        <x:v>75</x:v>
      </x:c>
      <x:c r="Q2154" s="24"/>
      <x:c r="R2154" s="24"/>
      <x:c r="S2154" s="26" t="n">
        <x:v>46113</x:v>
      </x:c>
      <x:c r="T2154" s="26"/>
      <x:c r="U2154" s="24" t="str">
        <x:v>ATIVA/SEM FIM INFORMADO</x:v>
      </x:c>
      <x:c r="V2154" s="24" t="str">
        <x:v>Programa de Parcerias ZEISS — categoria Experts; Programa de Parcerias ZEISS</x:v>
      </x:c>
      <x:c r="W2154" s="24" t="n">
        <x:v>34</x:v>
      </x:c>
      <x:c r="X2154" s="24" t="str">
        <x:v>tabela_zeiss.pdf</x:v>
      </x:c>
      <x:c r="Y2154" s="24" t="str">
        <x:v>alta</x:v>
      </x:c>
      <x:c r="Z2154" s="24"/>
      <x:c r="AA2154" s="24" t="str">
        <x:v>ZEISS|Progressiva|Surfaçada|ClearMind Plus|PhotoFusion X Extra Dark Cinza|1.6|1.60|DuraVision Chrome UV|-7.25 a +6.00|-6.00|0.75 a 3.50|75|||34</x:v>
      </x:c>
    </x:row>
    <x:row r="2155">
      <x:c r="A2155" s="24" t="str">
        <x:v>ZS-884650BA72B9</x:v>
      </x:c>
      <x:c r="B2155" s="24" t="str">
        <x:v>SIM</x:v>
      </x:c>
      <x:c r="C2155" s="24" t="str">
        <x:v>DISPONÍVEL</x:v>
      </x:c>
      <x:c r="D2155" s="24" t="str">
        <x:v>ZEISS</x:v>
      </x:c>
      <x:c r="E2155" s="24" t="str">
        <x:v>Progressiva</x:v>
      </x:c>
      <x:c r="F2155" s="24" t="str">
        <x:v>Surfaçada</x:v>
      </x:c>
      <x:c r="G2155" s="24" t="str">
        <x:v>ClearMind Plus</x:v>
      </x:c>
      <x:c r="H2155" s="24" t="str">
        <x:v>PhotoFusion X Extra Dark Cinza</x:v>
      </x:c>
      <x:c r="I2155" s="24" t="str">
        <x:v>1.67</x:v>
      </x:c>
      <x:c r="J2155" s="24" t="str">
        <x:v>1.67</x:v>
      </x:c>
      <x:c r="K2155" s="24" t="str">
        <x:v>DuraVision Gold UV</x:v>
      </x:c>
      <x:c r="L2155" s="40" t="n">
        <x:v>11289</x:v>
      </x:c>
      <x:c r="M2155" s="24" t="str">
        <x:v>-8.00 a +8.00</x:v>
      </x:c>
      <x:c r="N2155" s="24" t="str">
        <x:v>-4.00</x:v>
      </x:c>
      <x:c r="O2155" s="24" t="str">
        <x:v>0.75 a 3.00</x:v>
      </x:c>
      <x:c r="P2155" s="24" t="str">
        <x:v>70</x:v>
      </x:c>
      <x:c r="Q2155" s="24"/>
      <x:c r="R2155" s="24"/>
      <x:c r="S2155" s="26" t="n">
        <x:v>46113</x:v>
      </x:c>
      <x:c r="T2155" s="26"/>
      <x:c r="U2155" s="24" t="str">
        <x:v>ATIVA/SEM FIM INFORMADO</x:v>
      </x:c>
      <x:c r="V2155" s="24" t="str">
        <x:v>Programa de Parcerias ZEISS — categoria Experts; Programa de Parcerias ZEISS</x:v>
      </x:c>
      <x:c r="W2155" s="24" t="n">
        <x:v>34</x:v>
      </x:c>
      <x:c r="X2155" s="24" t="str">
        <x:v>tabela_zeiss.pdf</x:v>
      </x:c>
      <x:c r="Y2155" s="24" t="str">
        <x:v>alta</x:v>
      </x:c>
      <x:c r="Z2155" s="24"/>
      <x:c r="AA2155" s="24" t="str">
        <x:v>ZEISS|Progressiva|Surfaçada|ClearMind Plus|PhotoFusion X Extra Dark Cinza|1.67|1.67|DuraVision Gold UV|-8.00 a +8.00|-4.00|0.75 a 3.00|70|||34</x:v>
      </x:c>
    </x:row>
    <x:row r="2156">
      <x:c r="A2156" s="24" t="str">
        <x:v>ZS-ED7851E8FCA1</x:v>
      </x:c>
      <x:c r="B2156" s="24" t="str">
        <x:v>SIM</x:v>
      </x:c>
      <x:c r="C2156" s="24" t="str">
        <x:v>DISPONÍVEL</x:v>
      </x:c>
      <x:c r="D2156" s="24" t="str">
        <x:v>ZEISS</x:v>
      </x:c>
      <x:c r="E2156" s="24" t="str">
        <x:v>Progressiva</x:v>
      </x:c>
      <x:c r="F2156" s="24" t="str">
        <x:v>Surfaçada</x:v>
      </x:c>
      <x:c r="G2156" s="24" t="str">
        <x:v>ClearMind Plus</x:v>
      </x:c>
      <x:c r="H2156" s="24" t="str">
        <x:v>PhotoFusion X Extra Dark Cinza</x:v>
      </x:c>
      <x:c r="I2156" s="24" t="str">
        <x:v>1.67</x:v>
      </x:c>
      <x:c r="J2156" s="24" t="str">
        <x:v>1.67</x:v>
      </x:c>
      <x:c r="K2156" s="24" t="str">
        <x:v>DURAVISION® ANTIVÍRUS PLATINUM UV</x:v>
      </x:c>
      <x:c r="L2156" s="40" t="n">
        <x:v>11149</x:v>
      </x:c>
      <x:c r="M2156" s="24" t="str">
        <x:v>-8.00 a +8.00</x:v>
      </x:c>
      <x:c r="N2156" s="24" t="str">
        <x:v>-4.00</x:v>
      </x:c>
      <x:c r="O2156" s="24" t="str">
        <x:v>0.75 a 3.00</x:v>
      </x:c>
      <x:c r="P2156" s="24" t="str">
        <x:v>70</x:v>
      </x:c>
      <x:c r="Q2156" s="24"/>
      <x:c r="R2156" s="24"/>
      <x:c r="S2156" s="26" t="n">
        <x:v>46113</x:v>
      </x:c>
      <x:c r="T2156" s="26"/>
      <x:c r="U2156" s="24" t="str">
        <x:v>ATIVA/SEM FIM INFORMADO</x:v>
      </x:c>
      <x:c r="V2156" s="24" t="str">
        <x:v>Programa de Parcerias ZEISS — categoria Experts; Programa de Parcerias ZEISS</x:v>
      </x:c>
      <x:c r="W2156" s="24" t="n">
        <x:v>34</x:v>
      </x:c>
      <x:c r="X2156" s="24" t="str">
        <x:v>tabela_zeiss.pdf</x:v>
      </x:c>
      <x:c r="Y2156" s="24" t="str">
        <x:v>alta</x:v>
      </x:c>
      <x:c r="Z2156" s="24"/>
      <x:c r="AA2156" s="24" t="str">
        <x:v>ZEISS|Progressiva|Surfaçada|ClearMind Plus|PhotoFusion X Extra Dark Cinza|1.67|1.67|DURAVISION® ANTIVÍRUS PLATINUM UV|-8.00 a +8.00|-4.00|0.75 a 3.00|70|||34</x:v>
      </x:c>
    </x:row>
    <x:row r="2157">
      <x:c r="A2157" s="24" t="str">
        <x:v>ZS-73D97E25E00B</x:v>
      </x:c>
      <x:c r="B2157" s="24" t="str">
        <x:v>SIM</x:v>
      </x:c>
      <x:c r="C2157" s="24" t="str">
        <x:v>DISPONÍVEL</x:v>
      </x:c>
      <x:c r="D2157" s="24" t="str">
        <x:v>ZEISS</x:v>
      </x:c>
      <x:c r="E2157" s="24" t="str">
        <x:v>Progressiva</x:v>
      </x:c>
      <x:c r="F2157" s="24" t="str">
        <x:v>Surfaçada</x:v>
      </x:c>
      <x:c r="G2157" s="24" t="str">
        <x:v>ClearMind Plus</x:v>
      </x:c>
      <x:c r="H2157" s="24" t="str">
        <x:v>PhotoFusion X Extra Dark Cinza</x:v>
      </x:c>
      <x:c r="I2157" s="24" t="str">
        <x:v>1.67</x:v>
      </x:c>
      <x:c r="J2157" s="24" t="str">
        <x:v>1.67</x:v>
      </x:c>
      <x:c r="K2157" s="24" t="str">
        <x:v>DuraVision Platinum UV</x:v>
      </x:c>
      <x:c r="L2157" s="40" t="n">
        <x:v>11149</x:v>
      </x:c>
      <x:c r="M2157" s="24" t="str">
        <x:v>-8.00 a +8.00</x:v>
      </x:c>
      <x:c r="N2157" s="24" t="str">
        <x:v>-4.00</x:v>
      </x:c>
      <x:c r="O2157" s="24" t="str">
        <x:v>0.75 a 3.00</x:v>
      </x:c>
      <x:c r="P2157" s="24" t="str">
        <x:v>70</x:v>
      </x:c>
      <x:c r="Q2157" s="24"/>
      <x:c r="R2157" s="24"/>
      <x:c r="S2157" s="26" t="n">
        <x:v>46113</x:v>
      </x:c>
      <x:c r="T2157" s="26"/>
      <x:c r="U2157" s="24" t="str">
        <x:v>ATIVA/SEM FIM INFORMADO</x:v>
      </x:c>
      <x:c r="V2157" s="24" t="str">
        <x:v>Programa de Parcerias ZEISS — categoria Experts; Programa de Parcerias ZEISS</x:v>
      </x:c>
      <x:c r="W2157" s="24" t="n">
        <x:v>34</x:v>
      </x:c>
      <x:c r="X2157" s="24" t="str">
        <x:v>tabela_zeiss.pdf</x:v>
      </x:c>
      <x:c r="Y2157" s="24" t="str">
        <x:v>alta</x:v>
      </x:c>
      <x:c r="Z2157" s="24"/>
      <x:c r="AA2157" s="24" t="str">
        <x:v>ZEISS|Progressiva|Surfaçada|ClearMind Plus|PhotoFusion X Extra Dark Cinza|1.67|1.67|DuraVision Platinum UV|-8.00 a +8.00|-4.00|0.75 a 3.00|70|||34</x:v>
      </x:c>
    </x:row>
    <x:row r="2158">
      <x:c r="A2158" s="24" t="str">
        <x:v>ZS-0696A2CCC52A</x:v>
      </x:c>
      <x:c r="B2158" s="24" t="str">
        <x:v>SIM</x:v>
      </x:c>
      <x:c r="C2158" s="24" t="str">
        <x:v>DISPONÍVEL</x:v>
      </x:c>
      <x:c r="D2158" s="24" t="str">
        <x:v>ZEISS</x:v>
      </x:c>
      <x:c r="E2158" s="24" t="str">
        <x:v>Progressiva</x:v>
      </x:c>
      <x:c r="F2158" s="24" t="str">
        <x:v>Surfaçada</x:v>
      </x:c>
      <x:c r="G2158" s="24" t="str">
        <x:v>ClearMind Plus</x:v>
      </x:c>
      <x:c r="H2158" s="24" t="str">
        <x:v>PhotoFusion X Extra Dark Cinza</x:v>
      </x:c>
      <x:c r="I2158" s="24" t="str">
        <x:v>1.67</x:v>
      </x:c>
      <x:c r="J2158" s="24" t="str">
        <x:v>1.67</x:v>
      </x:c>
      <x:c r="K2158" s="24" t="str">
        <x:v>DuraVision Silver UV</x:v>
      </x:c>
      <x:c r="L2158" s="40" t="n">
        <x:v>10889</x:v>
      </x:c>
      <x:c r="M2158" s="24" t="str">
        <x:v>-8.00 a +8.00</x:v>
      </x:c>
      <x:c r="N2158" s="24" t="str">
        <x:v>-4.00</x:v>
      </x:c>
      <x:c r="O2158" s="24" t="str">
        <x:v>0.75 a 3.00</x:v>
      </x:c>
      <x:c r="P2158" s="24" t="str">
        <x:v>70</x:v>
      </x:c>
      <x:c r="Q2158" s="24"/>
      <x:c r="R2158" s="24"/>
      <x:c r="S2158" s="26" t="n">
        <x:v>46113</x:v>
      </x:c>
      <x:c r="T2158" s="26"/>
      <x:c r="U2158" s="24" t="str">
        <x:v>ATIVA/SEM FIM INFORMADO</x:v>
      </x:c>
      <x:c r="V2158" s="24" t="str">
        <x:v>Programa de Parcerias ZEISS — categoria Experts; Programa de Parcerias ZEISS</x:v>
      </x:c>
      <x:c r="W2158" s="24" t="n">
        <x:v>34</x:v>
      </x:c>
      <x:c r="X2158" s="24" t="str">
        <x:v>tabela_zeiss.pdf</x:v>
      </x:c>
      <x:c r="Y2158" s="24" t="str">
        <x:v>alta</x:v>
      </x:c>
      <x:c r="Z2158" s="24"/>
      <x:c r="AA2158" s="24" t="str">
        <x:v>ZEISS|Progressiva|Surfaçada|ClearMind Plus|PhotoFusion X Extra Dark Cinza|1.67|1.67|DuraVision Silver UV|-8.00 a +8.00|-4.00|0.75 a 3.00|70|||34</x:v>
      </x:c>
    </x:row>
    <x:row r="2159">
      <x:c r="A2159" s="24" t="str">
        <x:v>ZS-E26FA4BAFB94</x:v>
      </x:c>
      <x:c r="B2159" s="24" t="str">
        <x:v>SIM</x:v>
      </x:c>
      <x:c r="C2159" s="24" t="str">
        <x:v>DISPONÍVEL</x:v>
      </x:c>
      <x:c r="D2159" s="24" t="str">
        <x:v>ZEISS</x:v>
      </x:c>
      <x:c r="E2159" s="24" t="str">
        <x:v>Progressiva</x:v>
      </x:c>
      <x:c r="F2159" s="24" t="str">
        <x:v>Surfaçada</x:v>
      </x:c>
      <x:c r="G2159" s="24" t="str">
        <x:v>ClearMind Plus</x:v>
      </x:c>
      <x:c r="H2159" s="24" t="str">
        <x:v>PhotoFusion X Extra Dark Cinza</x:v>
      </x:c>
      <x:c r="I2159" s="24" t="str">
        <x:v>1.67</x:v>
      </x:c>
      <x:c r="J2159" s="24" t="str">
        <x:v>1.67</x:v>
      </x:c>
      <x:c r="K2159" s="24" t="str">
        <x:v>DuraVision Chrome UV</x:v>
      </x:c>
      <x:c r="L2159" s="40" t="n">
        <x:v>10399</x:v>
      </x:c>
      <x:c r="M2159" s="24" t="str">
        <x:v>-8.00 a +8.00</x:v>
      </x:c>
      <x:c r="N2159" s="24" t="str">
        <x:v>-4.00</x:v>
      </x:c>
      <x:c r="O2159" s="24" t="str">
        <x:v>0.75 a 3.00</x:v>
      </x:c>
      <x:c r="P2159" s="24" t="str">
        <x:v>70</x:v>
      </x:c>
      <x:c r="Q2159" s="24"/>
      <x:c r="R2159" s="24"/>
      <x:c r="S2159" s="26" t="n">
        <x:v>46113</x:v>
      </x:c>
      <x:c r="T2159" s="26"/>
      <x:c r="U2159" s="24" t="str">
        <x:v>ATIVA/SEM FIM INFORMADO</x:v>
      </x:c>
      <x:c r="V2159" s="24" t="str">
        <x:v>Programa de Parcerias ZEISS — categoria Experts; Programa de Parcerias ZEISS</x:v>
      </x:c>
      <x:c r="W2159" s="24" t="n">
        <x:v>34</x:v>
      </x:c>
      <x:c r="X2159" s="24" t="str">
        <x:v>tabela_zeiss.pdf</x:v>
      </x:c>
      <x:c r="Y2159" s="24" t="str">
        <x:v>alta</x:v>
      </x:c>
      <x:c r="Z2159" s="24"/>
      <x:c r="AA2159" s="24" t="str">
        <x:v>ZEISS|Progressiva|Surfaçada|ClearMind Plus|PhotoFusion X Extra Dark Cinza|1.67|1.67|DuraVision Chrome UV|-8.00 a +8.00|-4.00|0.75 a 3.00|70|||34</x:v>
      </x:c>
    </x:row>
    <x:row r="2160">
      <x:c r="A2160" s="24" t="str">
        <x:v>ZS-F8C8D65971E8</x:v>
      </x:c>
      <x:c r="B2160" s="24" t="str">
        <x:v>SIM</x:v>
      </x:c>
      <x:c r="C2160" s="24" t="str">
        <x:v>DISPONÍVEL</x:v>
      </x:c>
      <x:c r="D2160" s="24" t="str">
        <x:v>ZEISS</x:v>
      </x:c>
      <x:c r="E2160" s="24" t="str">
        <x:v>Progressiva</x:v>
      </x:c>
      <x:c r="F2160" s="24" t="str">
        <x:v>Surfaçada</x:v>
      </x:c>
      <x:c r="G2160" s="24" t="str">
        <x:v>ClearMind Plus</x:v>
      </x:c>
      <x:c r="H2160" s="24" t="str">
        <x:v>Polarizada</x:v>
      </x:c>
      <x:c r="I2160" s="24" t="str">
        <x:v>1.5</x:v>
      </x:c>
      <x:c r="J2160" s="24" t="str">
        <x:v>1.50</x:v>
      </x:c>
      <x:c r="K2160" s="24" t="str">
        <x:v>DuraVision Gold UV</x:v>
      </x:c>
      <x:c r="L2160" s="40" t="n">
        <x:v>7769</x:v>
      </x:c>
      <x:c r="M2160" s="24" t="str">
        <x:v>-6.00 a +6.00</x:v>
      </x:c>
      <x:c r="N2160" s="24" t="str">
        <x:v>-4.00</x:v>
      </x:c>
      <x:c r="O2160" s="24" t="str">
        <x:v>0.75 a 3.50</x:v>
      </x:c>
      <x:c r="P2160" s="24" t="str">
        <x:v>70</x:v>
      </x:c>
      <x:c r="Q2160" s="24"/>
      <x:c r="R2160" s="24"/>
      <x:c r="S2160" s="26" t="n">
        <x:v>46113</x:v>
      </x:c>
      <x:c r="T2160" s="26"/>
      <x:c r="U2160" s="24" t="str">
        <x:v>ATIVA/SEM FIM INFORMADO</x:v>
      </x:c>
      <x:c r="V2160" s="24" t="str">
        <x:v>Programa de Parcerias ZEISS — categoria Experts</x:v>
      </x:c>
      <x:c r="W2160" s="24" t="n">
        <x:v>34</x:v>
      </x:c>
      <x:c r="X2160" s="24" t="str">
        <x:v>tabela_zeiss.pdf</x:v>
      </x:c>
      <x:c r="Y2160" s="24" t="str">
        <x:v>alta</x:v>
      </x:c>
      <x:c r="Z2160" s="24"/>
      <x:c r="AA2160" s="24" t="str">
        <x:v>ZEISS|Progressiva|Surfaçada|ClearMind Plus|Polarizada|1.5|1.50|DuraVision Gold UV|-6.00 a +6.00|-4.00|0.75 a 3.50|70|||34</x:v>
      </x:c>
    </x:row>
    <x:row r="2161">
      <x:c r="A2161" s="24" t="str">
        <x:v>ZS-B5DEDDB0F3C7</x:v>
      </x:c>
      <x:c r="B2161" s="24" t="str">
        <x:v>SIM</x:v>
      </x:c>
      <x:c r="C2161" s="24" t="str">
        <x:v>DISPONÍVEL</x:v>
      </x:c>
      <x:c r="D2161" s="24" t="str">
        <x:v>ZEISS</x:v>
      </x:c>
      <x:c r="E2161" s="24" t="str">
        <x:v>Progressiva</x:v>
      </x:c>
      <x:c r="F2161" s="24" t="str">
        <x:v>Surfaçada</x:v>
      </x:c>
      <x:c r="G2161" s="24" t="str">
        <x:v>ClearMind Plus</x:v>
      </x:c>
      <x:c r="H2161" s="24" t="str">
        <x:v>Polarizada</x:v>
      </x:c>
      <x:c r="I2161" s="24" t="str">
        <x:v>1.5</x:v>
      </x:c>
      <x:c r="J2161" s="24" t="str">
        <x:v>1.50</x:v>
      </x:c>
      <x:c r="K2161" s="24" t="str">
        <x:v>DuraVision Platinum UV</x:v>
      </x:c>
      <x:c r="L2161" s="40" t="n">
        <x:v>7629</x:v>
      </x:c>
      <x:c r="M2161" s="24" t="str">
        <x:v>-6.00 a +6.00</x:v>
      </x:c>
      <x:c r="N2161" s="24" t="str">
        <x:v>-4.00</x:v>
      </x:c>
      <x:c r="O2161" s="24" t="str">
        <x:v>0.75 a 3.50</x:v>
      </x:c>
      <x:c r="P2161" s="24" t="str">
        <x:v>70</x:v>
      </x:c>
      <x:c r="Q2161" s="24"/>
      <x:c r="R2161" s="24"/>
      <x:c r="S2161" s="26" t="n">
        <x:v>46113</x:v>
      </x:c>
      <x:c r="T2161" s="26"/>
      <x:c r="U2161" s="24" t="str">
        <x:v>ATIVA/SEM FIM INFORMADO</x:v>
      </x:c>
      <x:c r="V2161" s="24" t="str">
        <x:v>Programa de Parcerias ZEISS — categoria Experts</x:v>
      </x:c>
      <x:c r="W2161" s="24" t="n">
        <x:v>34</x:v>
      </x:c>
      <x:c r="X2161" s="24" t="str">
        <x:v>tabela_zeiss.pdf</x:v>
      </x:c>
      <x:c r="Y2161" s="24" t="str">
        <x:v>alta</x:v>
      </x:c>
      <x:c r="Z2161" s="24"/>
      <x:c r="AA2161" s="24" t="str">
        <x:v>ZEISS|Progressiva|Surfaçada|ClearMind Plus|Polarizada|1.5|1.50|DuraVision Platinum UV|-6.00 a +6.00|-4.00|0.75 a 3.50|70|||34</x:v>
      </x:c>
    </x:row>
    <x:row r="2162">
      <x:c r="A2162" s="24" t="str">
        <x:v>ZS-2577185CDB00</x:v>
      </x:c>
      <x:c r="B2162" s="24" t="str">
        <x:v>SIM</x:v>
      </x:c>
      <x:c r="C2162" s="24" t="str">
        <x:v>DISPONÍVEL</x:v>
      </x:c>
      <x:c r="D2162" s="24" t="str">
        <x:v>ZEISS</x:v>
      </x:c>
      <x:c r="E2162" s="24" t="str">
        <x:v>Progressiva</x:v>
      </x:c>
      <x:c r="F2162" s="24" t="str">
        <x:v>Surfaçada</x:v>
      </x:c>
      <x:c r="G2162" s="24" t="str">
        <x:v>ClearMind Plus</x:v>
      </x:c>
      <x:c r="H2162" s="24" t="str">
        <x:v>Polarizada</x:v>
      </x:c>
      <x:c r="I2162" s="24" t="str">
        <x:v>1.5</x:v>
      </x:c>
      <x:c r="J2162" s="24" t="str">
        <x:v>1.50</x:v>
      </x:c>
      <x:c r="K2162" s="24" t="str">
        <x:v>DuraVision Silver UV</x:v>
      </x:c>
      <x:c r="L2162" s="40" t="n">
        <x:v>7369</x:v>
      </x:c>
      <x:c r="M2162" s="24" t="str">
        <x:v>-6.00 a +6.00</x:v>
      </x:c>
      <x:c r="N2162" s="24" t="str">
        <x:v>-4.00</x:v>
      </x:c>
      <x:c r="O2162" s="24" t="str">
        <x:v>0.75 a 3.50</x:v>
      </x:c>
      <x:c r="P2162" s="24" t="str">
        <x:v>70</x:v>
      </x:c>
      <x:c r="Q2162" s="24"/>
      <x:c r="R2162" s="24"/>
      <x:c r="S2162" s="26" t="n">
        <x:v>46113</x:v>
      </x:c>
      <x:c r="T2162" s="26"/>
      <x:c r="U2162" s="24" t="str">
        <x:v>ATIVA/SEM FIM INFORMADO</x:v>
      </x:c>
      <x:c r="V2162" s="24" t="str">
        <x:v>Programa de Parcerias ZEISS — categoria Experts</x:v>
      </x:c>
      <x:c r="W2162" s="24" t="n">
        <x:v>34</x:v>
      </x:c>
      <x:c r="X2162" s="24" t="str">
        <x:v>tabela_zeiss.pdf</x:v>
      </x:c>
      <x:c r="Y2162" s="24" t="str">
        <x:v>alta</x:v>
      </x:c>
      <x:c r="Z2162" s="24"/>
      <x:c r="AA2162" s="24" t="str">
        <x:v>ZEISS|Progressiva|Surfaçada|ClearMind Plus|Polarizada|1.5|1.50|DuraVision Silver UV|-6.00 a +6.00|-4.00|0.75 a 3.50|70|||34</x:v>
      </x:c>
    </x:row>
    <x:row r="2163">
      <x:c r="A2163" s="24" t="str">
        <x:v>ZS-53C163225127</x:v>
      </x:c>
      <x:c r="B2163" s="24" t="str">
        <x:v>SIM</x:v>
      </x:c>
      <x:c r="C2163" s="24" t="str">
        <x:v>DISPONÍVEL</x:v>
      </x:c>
      <x:c r="D2163" s="24" t="str">
        <x:v>ZEISS</x:v>
      </x:c>
      <x:c r="E2163" s="24" t="str">
        <x:v>Progressiva</x:v>
      </x:c>
      <x:c r="F2163" s="24" t="str">
        <x:v>Surfaçada</x:v>
      </x:c>
      <x:c r="G2163" s="24" t="str">
        <x:v>ClearMind Plus</x:v>
      </x:c>
      <x:c r="H2163" s="24" t="str">
        <x:v>Polarizada</x:v>
      </x:c>
      <x:c r="I2163" s="24" t="str">
        <x:v>1.5</x:v>
      </x:c>
      <x:c r="J2163" s="24" t="str">
        <x:v>1.50</x:v>
      </x:c>
      <x:c r="K2163" s="24" t="str">
        <x:v>DuraVision Chrome UV</x:v>
      </x:c>
      <x:c r="L2163" s="40" t="n">
        <x:v>6879</x:v>
      </x:c>
      <x:c r="M2163" s="24" t="str">
        <x:v>-6.00 a +6.00</x:v>
      </x:c>
      <x:c r="N2163" s="24" t="str">
        <x:v>-4.00</x:v>
      </x:c>
      <x:c r="O2163" s="24" t="str">
        <x:v>0.75 a 3.50</x:v>
      </x:c>
      <x:c r="P2163" s="24" t="str">
        <x:v>70</x:v>
      </x:c>
      <x:c r="Q2163" s="24"/>
      <x:c r="R2163" s="24"/>
      <x:c r="S2163" s="26" t="n">
        <x:v>46113</x:v>
      </x:c>
      <x:c r="T2163" s="26"/>
      <x:c r="U2163" s="24" t="str">
        <x:v>ATIVA/SEM FIM INFORMADO</x:v>
      </x:c>
      <x:c r="V2163" s="24" t="str">
        <x:v>Programa de Parcerias ZEISS — categoria Experts</x:v>
      </x:c>
      <x:c r="W2163" s="24" t="n">
        <x:v>34</x:v>
      </x:c>
      <x:c r="X2163" s="24" t="str">
        <x:v>tabela_zeiss.pdf</x:v>
      </x:c>
      <x:c r="Y2163" s="24" t="str">
        <x:v>alta</x:v>
      </x:c>
      <x:c r="Z2163" s="24"/>
      <x:c r="AA2163" s="24" t="str">
        <x:v>ZEISS|Progressiva|Surfaçada|ClearMind Plus|Polarizada|1.5|1.50|DuraVision Chrome UV|-6.00 a +6.00|-4.00|0.75 a 3.50|70|||34</x:v>
      </x:c>
    </x:row>
    <x:row r="2164">
      <x:c r="A2164" s="24" t="str">
        <x:v>ZS-DB23B53F2E7B</x:v>
      </x:c>
      <x:c r="B2164" s="24" t="str">
        <x:v>SIM</x:v>
      </x:c>
      <x:c r="C2164" s="24" t="str">
        <x:v>DISPONÍVEL</x:v>
      </x:c>
      <x:c r="D2164" s="24" t="str">
        <x:v>ZEISS</x:v>
      </x:c>
      <x:c r="E2164" s="24" t="str">
        <x:v>Progressiva</x:v>
      </x:c>
      <x:c r="F2164" s="24" t="str">
        <x:v>Surfaçada</x:v>
      </x:c>
      <x:c r="G2164" s="24" t="str">
        <x:v>ClearMind Plus</x:v>
      </x:c>
      <x:c r="H2164" s="24" t="str">
        <x:v>Polarizada</x:v>
      </x:c>
      <x:c r="I2164" s="24" t="str">
        <x:v>1.5</x:v>
      </x:c>
      <x:c r="J2164" s="24" t="str">
        <x:v>1.50</x:v>
      </x:c>
      <x:c r="K2164" s="24" t="str">
        <x:v>Sem AR</x:v>
      </x:c>
      <x:c r="L2164" s="40" t="n">
        <x:v>6479</x:v>
      </x:c>
      <x:c r="M2164" s="24" t="str">
        <x:v>-6.00 a +6.00</x:v>
      </x:c>
      <x:c r="N2164" s="24" t="str">
        <x:v>-4.00</x:v>
      </x:c>
      <x:c r="O2164" s="24" t="str">
        <x:v>0.75 a 3.50</x:v>
      </x:c>
      <x:c r="P2164" s="24" t="str">
        <x:v>70</x:v>
      </x:c>
      <x:c r="Q2164" s="24"/>
      <x:c r="R2164" s="24"/>
      <x:c r="S2164" s="26" t="n">
        <x:v>46113</x:v>
      </x:c>
      <x:c r="T2164" s="26"/>
      <x:c r="U2164" s="24" t="str">
        <x:v>ATIVA/SEM FIM INFORMADO</x:v>
      </x:c>
      <x:c r="V2164" s="24" t="str">
        <x:v>Programa de Parcerias ZEISS — categoria Experts</x:v>
      </x:c>
      <x:c r="W2164" s="24" t="n">
        <x:v>34</x:v>
      </x:c>
      <x:c r="X2164" s="24" t="str">
        <x:v>tabela_zeiss.pdf</x:v>
      </x:c>
      <x:c r="Y2164" s="24" t="str">
        <x:v>alta</x:v>
      </x:c>
      <x:c r="Z2164" s="24"/>
      <x:c r="AA2164" s="24" t="str">
        <x:v>ZEISS|Progressiva|Surfaçada|ClearMind Plus|Polarizada|1.5|1.50|Sem AR|-6.00 a +6.00|-4.00|0.75 a 3.50|70|||34</x:v>
      </x:c>
    </x:row>
    <x:row r="2165">
      <x:c r="A2165" s="24" t="str">
        <x:v>ZS-2687879272B6</x:v>
      </x:c>
      <x:c r="B2165" s="24" t="str">
        <x:v>SIM</x:v>
      </x:c>
      <x:c r="C2165" s="24" t="str">
        <x:v>DISPONÍVEL</x:v>
      </x:c>
      <x:c r="D2165" s="24" t="str">
        <x:v>ZEISS</x:v>
      </x:c>
      <x:c r="E2165" s="24" t="str">
        <x:v>Progressiva</x:v>
      </x:c>
      <x:c r="F2165" s="24" t="str">
        <x:v>Surfaçada</x:v>
      </x:c>
      <x:c r="G2165" s="24" t="str">
        <x:v>ClearMind Plus</x:v>
      </x:c>
      <x:c r="H2165" s="24" t="str">
        <x:v>Polarizada</x:v>
      </x:c>
      <x:c r="I2165" s="24" t="str">
        <x:v>1.6</x:v>
      </x:c>
      <x:c r="J2165" s="24" t="str">
        <x:v>1.60</x:v>
      </x:c>
      <x:c r="K2165" s="24" t="str">
        <x:v>DuraVision Gold UV</x:v>
      </x:c>
      <x:c r="L2165" s="40" t="n">
        <x:v>9019</x:v>
      </x:c>
      <x:c r="M2165" s="24" t="str">
        <x:v>-8.50 a +6.00</x:v>
      </x:c>
      <x:c r="N2165" s="24" t="str">
        <x:v>-4.00</x:v>
      </x:c>
      <x:c r="O2165" s="24" t="str">
        <x:v>0.75 a 3.50</x:v>
      </x:c>
      <x:c r="P2165" s="24" t="str">
        <x:v>70</x:v>
      </x:c>
      <x:c r="Q2165" s="24"/>
      <x:c r="R2165" s="24"/>
      <x:c r="S2165" s="26" t="n">
        <x:v>46113</x:v>
      </x:c>
      <x:c r="T2165" s="26"/>
      <x:c r="U2165" s="24" t="str">
        <x:v>ATIVA/SEM FIM INFORMADO</x:v>
      </x:c>
      <x:c r="V2165" s="24" t="str">
        <x:v>Programa de Parcerias ZEISS — categoria Experts</x:v>
      </x:c>
      <x:c r="W2165" s="24" t="n">
        <x:v>34</x:v>
      </x:c>
      <x:c r="X2165" s="24" t="str">
        <x:v>tabela_zeiss.pdf</x:v>
      </x:c>
      <x:c r="Y2165" s="24" t="str">
        <x:v>alta</x:v>
      </x:c>
      <x:c r="Z2165" s="24"/>
      <x:c r="AA2165" s="24" t="str">
        <x:v>ZEISS|Progressiva|Surfaçada|ClearMind Plus|Polarizada|1.6|1.60|DuraVision Gold UV|-8.50 a +6.00|-4.00|0.75 a 3.50|70|||34</x:v>
      </x:c>
    </x:row>
    <x:row r="2166">
      <x:c r="A2166" s="24" t="str">
        <x:v>ZS-C5825D62DBBD</x:v>
      </x:c>
      <x:c r="B2166" s="24" t="str">
        <x:v>SIM</x:v>
      </x:c>
      <x:c r="C2166" s="24" t="str">
        <x:v>DISPONÍVEL</x:v>
      </x:c>
      <x:c r="D2166" s="24" t="str">
        <x:v>ZEISS</x:v>
      </x:c>
      <x:c r="E2166" s="24" t="str">
        <x:v>Progressiva</x:v>
      </x:c>
      <x:c r="F2166" s="24" t="str">
        <x:v>Surfaçada</x:v>
      </x:c>
      <x:c r="G2166" s="24" t="str">
        <x:v>ClearMind Plus</x:v>
      </x:c>
      <x:c r="H2166" s="24" t="str">
        <x:v>Polarizada</x:v>
      </x:c>
      <x:c r="I2166" s="24" t="str">
        <x:v>1.6</x:v>
      </x:c>
      <x:c r="J2166" s="24" t="str">
        <x:v>1.60</x:v>
      </x:c>
      <x:c r="K2166" s="24" t="str">
        <x:v>DuraVision Platinum UV</x:v>
      </x:c>
      <x:c r="L2166" s="40" t="n">
        <x:v>8879</x:v>
      </x:c>
      <x:c r="M2166" s="24" t="str">
        <x:v>-8.50 a +6.00</x:v>
      </x:c>
      <x:c r="N2166" s="24" t="str">
        <x:v>-4.00</x:v>
      </x:c>
      <x:c r="O2166" s="24" t="str">
        <x:v>0.75 a 3.50</x:v>
      </x:c>
      <x:c r="P2166" s="24" t="str">
        <x:v>70</x:v>
      </x:c>
      <x:c r="Q2166" s="24"/>
      <x:c r="R2166" s="24"/>
      <x:c r="S2166" s="26" t="n">
        <x:v>46113</x:v>
      </x:c>
      <x:c r="T2166" s="26"/>
      <x:c r="U2166" s="24" t="str">
        <x:v>ATIVA/SEM FIM INFORMADO</x:v>
      </x:c>
      <x:c r="V2166" s="24" t="str">
        <x:v>Programa de Parcerias ZEISS — categoria Experts</x:v>
      </x:c>
      <x:c r="W2166" s="24" t="n">
        <x:v>34</x:v>
      </x:c>
      <x:c r="X2166" s="24" t="str">
        <x:v>tabela_zeiss.pdf</x:v>
      </x:c>
      <x:c r="Y2166" s="24" t="str">
        <x:v>alta</x:v>
      </x:c>
      <x:c r="Z2166" s="24"/>
      <x:c r="AA2166" s="24" t="str">
        <x:v>ZEISS|Progressiva|Surfaçada|ClearMind Plus|Polarizada|1.6|1.60|DuraVision Platinum UV|-8.50 a +6.00|-4.00|0.75 a 3.50|70|||34</x:v>
      </x:c>
    </x:row>
    <x:row r="2167">
      <x:c r="A2167" s="24" t="str">
        <x:v>ZS-4E40EABDE1BC</x:v>
      </x:c>
      <x:c r="B2167" s="24" t="str">
        <x:v>SIM</x:v>
      </x:c>
      <x:c r="C2167" s="24" t="str">
        <x:v>DISPONÍVEL</x:v>
      </x:c>
      <x:c r="D2167" s="24" t="str">
        <x:v>ZEISS</x:v>
      </x:c>
      <x:c r="E2167" s="24" t="str">
        <x:v>Progressiva</x:v>
      </x:c>
      <x:c r="F2167" s="24" t="str">
        <x:v>Surfaçada</x:v>
      </x:c>
      <x:c r="G2167" s="24" t="str">
        <x:v>ClearMind Plus</x:v>
      </x:c>
      <x:c r="H2167" s="24" t="str">
        <x:v>Polarizada</x:v>
      </x:c>
      <x:c r="I2167" s="24" t="str">
        <x:v>1.6</x:v>
      </x:c>
      <x:c r="J2167" s="24" t="str">
        <x:v>1.60</x:v>
      </x:c>
      <x:c r="K2167" s="24" t="str">
        <x:v>DuraVision Silver UV</x:v>
      </x:c>
      <x:c r="L2167" s="40" t="n">
        <x:v>8619</x:v>
      </x:c>
      <x:c r="M2167" s="24" t="str">
        <x:v>-8.50 a +6.00</x:v>
      </x:c>
      <x:c r="N2167" s="24" t="str">
        <x:v>-4.00</x:v>
      </x:c>
      <x:c r="O2167" s="24" t="str">
        <x:v>0.75 a 3.50</x:v>
      </x:c>
      <x:c r="P2167" s="24" t="str">
        <x:v>70</x:v>
      </x:c>
      <x:c r="Q2167" s="24"/>
      <x:c r="R2167" s="24"/>
      <x:c r="S2167" s="26" t="n">
        <x:v>46113</x:v>
      </x:c>
      <x:c r="T2167" s="26"/>
      <x:c r="U2167" s="24" t="str">
        <x:v>ATIVA/SEM FIM INFORMADO</x:v>
      </x:c>
      <x:c r="V2167" s="24" t="str">
        <x:v>Programa de Parcerias ZEISS — categoria Experts</x:v>
      </x:c>
      <x:c r="W2167" s="24" t="n">
        <x:v>34</x:v>
      </x:c>
      <x:c r="X2167" s="24" t="str">
        <x:v>tabela_zeiss.pdf</x:v>
      </x:c>
      <x:c r="Y2167" s="24" t="str">
        <x:v>alta</x:v>
      </x:c>
      <x:c r="Z2167" s="24"/>
      <x:c r="AA2167" s="24" t="str">
        <x:v>ZEISS|Progressiva|Surfaçada|ClearMind Plus|Polarizada|1.6|1.60|DuraVision Silver UV|-8.50 a +6.00|-4.00|0.75 a 3.50|70|||34</x:v>
      </x:c>
    </x:row>
    <x:row r="2168">
      <x:c r="A2168" s="24" t="str">
        <x:v>ZS-DEF95E30F7C2</x:v>
      </x:c>
      <x:c r="B2168" s="24" t="str">
        <x:v>SIM</x:v>
      </x:c>
      <x:c r="C2168" s="24" t="str">
        <x:v>DISPONÍVEL</x:v>
      </x:c>
      <x:c r="D2168" s="24" t="str">
        <x:v>ZEISS</x:v>
      </x:c>
      <x:c r="E2168" s="24" t="str">
        <x:v>Progressiva</x:v>
      </x:c>
      <x:c r="F2168" s="24" t="str">
        <x:v>Surfaçada</x:v>
      </x:c>
      <x:c r="G2168" s="24" t="str">
        <x:v>ClearMind Plus</x:v>
      </x:c>
      <x:c r="H2168" s="24" t="str">
        <x:v>Polarizada</x:v>
      </x:c>
      <x:c r="I2168" s="24" t="str">
        <x:v>1.6</x:v>
      </x:c>
      <x:c r="J2168" s="24" t="str">
        <x:v>1.60</x:v>
      </x:c>
      <x:c r="K2168" s="24" t="str">
        <x:v>DuraVision Chrome UV</x:v>
      </x:c>
      <x:c r="L2168" s="40" t="n">
        <x:v>8129</x:v>
      </x:c>
      <x:c r="M2168" s="24" t="str">
        <x:v>-8.50 a +6.00</x:v>
      </x:c>
      <x:c r="N2168" s="24" t="str">
        <x:v>-4.00</x:v>
      </x:c>
      <x:c r="O2168" s="24" t="str">
        <x:v>0.75 a 3.50</x:v>
      </x:c>
      <x:c r="P2168" s="24" t="str">
        <x:v>70</x:v>
      </x:c>
      <x:c r="Q2168" s="24"/>
      <x:c r="R2168" s="24"/>
      <x:c r="S2168" s="26" t="n">
        <x:v>46113</x:v>
      </x:c>
      <x:c r="T2168" s="26"/>
      <x:c r="U2168" s="24" t="str">
        <x:v>ATIVA/SEM FIM INFORMADO</x:v>
      </x:c>
      <x:c r="V2168" s="24" t="str">
        <x:v>Programa de Parcerias ZEISS — categoria Experts</x:v>
      </x:c>
      <x:c r="W2168" s="24" t="n">
        <x:v>34</x:v>
      </x:c>
      <x:c r="X2168" s="24" t="str">
        <x:v>tabela_zeiss.pdf</x:v>
      </x:c>
      <x:c r="Y2168" s="24" t="str">
        <x:v>alta</x:v>
      </x:c>
      <x:c r="Z2168" s="24"/>
      <x:c r="AA2168" s="24" t="str">
        <x:v>ZEISS|Progressiva|Surfaçada|ClearMind Plus|Polarizada|1.6|1.60|DuraVision Chrome UV|-8.50 a +6.00|-4.00|0.75 a 3.50|70|||34</x:v>
      </x:c>
    </x:row>
    <x:row r="2169">
      <x:c r="A2169" s="24" t="str">
        <x:v>ZS-D3547C7188BA</x:v>
      </x:c>
      <x:c r="B2169" s="24" t="str">
        <x:v>SIM</x:v>
      </x:c>
      <x:c r="C2169" s="24" t="str">
        <x:v>DISPONÍVEL</x:v>
      </x:c>
      <x:c r="D2169" s="24" t="str">
        <x:v>ZEISS</x:v>
      </x:c>
      <x:c r="E2169" s="24" t="str">
        <x:v>Progressiva</x:v>
      </x:c>
      <x:c r="F2169" s="24" t="str">
        <x:v>Surfaçada</x:v>
      </x:c>
      <x:c r="G2169" s="24" t="str">
        <x:v>ClearMind Plus</x:v>
      </x:c>
      <x:c r="H2169" s="24" t="str">
        <x:v>Polarizada</x:v>
      </x:c>
      <x:c r="I2169" s="24" t="str">
        <x:v>1.6</x:v>
      </x:c>
      <x:c r="J2169" s="24" t="str">
        <x:v>1.60</x:v>
      </x:c>
      <x:c r="K2169" s="24" t="str">
        <x:v>Sem AR</x:v>
      </x:c>
      <x:c r="L2169" s="40" t="n">
        <x:v>7729</x:v>
      </x:c>
      <x:c r="M2169" s="24" t="str">
        <x:v>-8.50 a +6.00</x:v>
      </x:c>
      <x:c r="N2169" s="24" t="str">
        <x:v>-4.00</x:v>
      </x:c>
      <x:c r="O2169" s="24" t="str">
        <x:v>0.75 a 3.50</x:v>
      </x:c>
      <x:c r="P2169" s="24" t="str">
        <x:v>70</x:v>
      </x:c>
      <x:c r="Q2169" s="24"/>
      <x:c r="R2169" s="24"/>
      <x:c r="S2169" s="26" t="n">
        <x:v>46113</x:v>
      </x:c>
      <x:c r="T2169" s="26"/>
      <x:c r="U2169" s="24" t="str">
        <x:v>ATIVA/SEM FIM INFORMADO</x:v>
      </x:c>
      <x:c r="V2169" s="24" t="str">
        <x:v>Programa de Parcerias ZEISS — categoria Experts</x:v>
      </x:c>
      <x:c r="W2169" s="24" t="n">
        <x:v>34</x:v>
      </x:c>
      <x:c r="X2169" s="24" t="str">
        <x:v>tabela_zeiss.pdf</x:v>
      </x:c>
      <x:c r="Y2169" s="24" t="str">
        <x:v>alta</x:v>
      </x:c>
      <x:c r="Z2169" s="24"/>
      <x:c r="AA2169" s="24" t="str">
        <x:v>ZEISS|Progressiva|Surfaçada|ClearMind Plus|Polarizada|1.6|1.60|Sem AR|-8.50 a +6.00|-4.00|0.75 a 3.50|70|||34</x:v>
      </x:c>
    </x:row>
    <x:row r="2170">
      <x:c r="A2170" s="24" t="str">
        <x:v>ZS-13AE7F7F7211</x:v>
      </x:c>
      <x:c r="B2170" s="24" t="str">
        <x:v>SIM</x:v>
      </x:c>
      <x:c r="C2170" s="24" t="str">
        <x:v>DISPONÍVEL</x:v>
      </x:c>
      <x:c r="D2170" s="24" t="str">
        <x:v>ZEISS</x:v>
      </x:c>
      <x:c r="E2170" s="24" t="str">
        <x:v>Progressiva</x:v>
      </x:c>
      <x:c r="F2170" s="24" t="str">
        <x:v>Surfaçada</x:v>
      </x:c>
      <x:c r="G2170" s="24" t="str">
        <x:v>ClearMind Pure</x:v>
      </x:c>
      <x:c r="H2170" s="24"/>
      <x:c r="I2170" s="24" t="str">
        <x:v>1.5</x:v>
      </x:c>
      <x:c r="J2170" s="24" t="str">
        <x:v>1.50</x:v>
      </x:c>
      <x:c r="K2170" s="24" t="str">
        <x:v>DuraVision Gold UV</x:v>
      </x:c>
      <x:c r="L2170" s="40" t="n">
        <x:v>5912</x:v>
      </x:c>
      <x:c r="M2170" s="24" t="str">
        <x:v>-6.00 a +4.00</x:v>
      </x:c>
      <x:c r="N2170" s="24" t="str">
        <x:v>-4.00</x:v>
      </x:c>
      <x:c r="O2170" s="24" t="str">
        <x:v>0.75 a 3.50</x:v>
      </x:c>
      <x:c r="P2170" s="24" t="str">
        <x:v>75</x:v>
      </x:c>
      <x:c r="Q2170" s="24"/>
      <x:c r="R2170" s="24"/>
      <x:c r="S2170" s="26" t="n">
        <x:v>46113</x:v>
      </x:c>
      <x:c r="T2170" s="26"/>
      <x:c r="U2170" s="24" t="str">
        <x:v>ATIVA/SEM FIM INFORMADO</x:v>
      </x:c>
      <x:c r="V2170" s="24" t="str">
        <x:v>Programa de Parcerias ZEISS — categoria Experts</x:v>
      </x:c>
      <x:c r="W2170" s="24" t="n">
        <x:v>35</x:v>
      </x:c>
      <x:c r="X2170" s="24" t="str">
        <x:v>tabela_zeiss.pdf</x:v>
      </x:c>
      <x:c r="Y2170" s="24" t="str">
        <x:v>alta</x:v>
      </x:c>
      <x:c r="Z2170" s="24"/>
      <x:c r="AA2170" s="24" t="str">
        <x:v>ZEISS|Progressiva|Surfaçada|ClearMind Pure||1.5|1.50|DuraVision Gold UV|-6.00 a +4.00|-4.00|0.75 a 3.50|75|||35</x:v>
      </x:c>
    </x:row>
    <x:row r="2171">
      <x:c r="A2171" s="24" t="str">
        <x:v>ZS-DB9FF3E23588</x:v>
      </x:c>
      <x:c r="B2171" s="24" t="str">
        <x:v>SIM</x:v>
      </x:c>
      <x:c r="C2171" s="24" t="str">
        <x:v>DISPONÍVEL</x:v>
      </x:c>
      <x:c r="D2171" s="24" t="str">
        <x:v>ZEISS</x:v>
      </x:c>
      <x:c r="E2171" s="24" t="str">
        <x:v>Progressiva</x:v>
      </x:c>
      <x:c r="F2171" s="24" t="str">
        <x:v>Surfaçada</x:v>
      </x:c>
      <x:c r="G2171" s="24" t="str">
        <x:v>ClearMind Pure</x:v>
      </x:c>
      <x:c r="H2171" s="24"/>
      <x:c r="I2171" s="24" t="str">
        <x:v>1.5</x:v>
      </x:c>
      <x:c r="J2171" s="24" t="str">
        <x:v>1.50</x:v>
      </x:c>
      <x:c r="K2171" s="24" t="str">
        <x:v>DURAVISION® ANTIVÍRUS PLATINUM UV</x:v>
      </x:c>
      <x:c r="L2171" s="40" t="n">
        <x:v>5772</x:v>
      </x:c>
      <x:c r="M2171" s="24" t="str">
        <x:v>-6.00 a +4.00</x:v>
      </x:c>
      <x:c r="N2171" s="24" t="str">
        <x:v>-4.00</x:v>
      </x:c>
      <x:c r="O2171" s="24" t="str">
        <x:v>0.75 a 3.50</x:v>
      </x:c>
      <x:c r="P2171" s="24" t="str">
        <x:v>75</x:v>
      </x:c>
      <x:c r="Q2171" s="24"/>
      <x:c r="R2171" s="24"/>
      <x:c r="S2171" s="26" t="n">
        <x:v>46113</x:v>
      </x:c>
      <x:c r="T2171" s="26"/>
      <x:c r="U2171" s="24" t="str">
        <x:v>ATIVA/SEM FIM INFORMADO</x:v>
      </x:c>
      <x:c r="V2171" s="24" t="str">
        <x:v>Programa de Parcerias ZEISS — categoria Experts</x:v>
      </x:c>
      <x:c r="W2171" s="24" t="n">
        <x:v>35</x:v>
      </x:c>
      <x:c r="X2171" s="24" t="str">
        <x:v>tabela_zeiss.pdf</x:v>
      </x:c>
      <x:c r="Y2171" s="24" t="str">
        <x:v>alta</x:v>
      </x:c>
      <x:c r="Z2171" s="24"/>
      <x:c r="AA2171" s="24" t="str">
        <x:v>ZEISS|Progressiva|Surfaçada|ClearMind Pure||1.5|1.50|DURAVISION® ANTIVÍRUS PLATINUM UV|-6.00 a +4.00|-4.00|0.75 a 3.50|75|||35</x:v>
      </x:c>
    </x:row>
    <x:row r="2172">
      <x:c r="A2172" s="24" t="str">
        <x:v>ZS-3BC1CCA4037F</x:v>
      </x:c>
      <x:c r="B2172" s="24" t="str">
        <x:v>SIM</x:v>
      </x:c>
      <x:c r="C2172" s="24" t="str">
        <x:v>DISPONÍVEL</x:v>
      </x:c>
      <x:c r="D2172" s="24" t="str">
        <x:v>ZEISS</x:v>
      </x:c>
      <x:c r="E2172" s="24" t="str">
        <x:v>Progressiva</x:v>
      </x:c>
      <x:c r="F2172" s="24" t="str">
        <x:v>Surfaçada</x:v>
      </x:c>
      <x:c r="G2172" s="24" t="str">
        <x:v>ClearMind Pure</x:v>
      </x:c>
      <x:c r="H2172" s="24"/>
      <x:c r="I2172" s="24" t="str">
        <x:v>1.5</x:v>
      </x:c>
      <x:c r="J2172" s="24" t="str">
        <x:v>1.50</x:v>
      </x:c>
      <x:c r="K2172" s="24" t="str">
        <x:v>DuraVision Platinum UV</x:v>
      </x:c>
      <x:c r="L2172" s="40" t="n">
        <x:v>5772</x:v>
      </x:c>
      <x:c r="M2172" s="24" t="str">
        <x:v>-6.00 a +4.00</x:v>
      </x:c>
      <x:c r="N2172" s="24" t="str">
        <x:v>-4.00</x:v>
      </x:c>
      <x:c r="O2172" s="24" t="str">
        <x:v>0.75 a 3.50</x:v>
      </x:c>
      <x:c r="P2172" s="24" t="str">
        <x:v>75</x:v>
      </x:c>
      <x:c r="Q2172" s="24"/>
      <x:c r="R2172" s="24"/>
      <x:c r="S2172" s="26" t="n">
        <x:v>46113</x:v>
      </x:c>
      <x:c r="T2172" s="26"/>
      <x:c r="U2172" s="24" t="str">
        <x:v>ATIVA/SEM FIM INFORMADO</x:v>
      </x:c>
      <x:c r="V2172" s="24" t="str">
        <x:v>Programa de Parcerias ZEISS — categoria Experts</x:v>
      </x:c>
      <x:c r="W2172" s="24" t="n">
        <x:v>35</x:v>
      </x:c>
      <x:c r="X2172" s="24" t="str">
        <x:v>tabela_zeiss.pdf</x:v>
      </x:c>
      <x:c r="Y2172" s="24" t="str">
        <x:v>alta</x:v>
      </x:c>
      <x:c r="Z2172" s="24"/>
      <x:c r="AA2172" s="24" t="str">
        <x:v>ZEISS|Progressiva|Surfaçada|ClearMind Pure||1.5|1.50|DuraVision Platinum UV|-6.00 a +4.00|-4.00|0.75 a 3.50|75|||35</x:v>
      </x:c>
    </x:row>
    <x:row r="2173">
      <x:c r="A2173" s="24" t="str">
        <x:v>ZS-E0A0EF63A6C8</x:v>
      </x:c>
      <x:c r="B2173" s="24" t="str">
        <x:v>SIM</x:v>
      </x:c>
      <x:c r="C2173" s="24" t="str">
        <x:v>DISPONÍVEL</x:v>
      </x:c>
      <x:c r="D2173" s="24" t="str">
        <x:v>ZEISS</x:v>
      </x:c>
      <x:c r="E2173" s="24" t="str">
        <x:v>Progressiva</x:v>
      </x:c>
      <x:c r="F2173" s="24" t="str">
        <x:v>Surfaçada</x:v>
      </x:c>
      <x:c r="G2173" s="24" t="str">
        <x:v>ClearMind Pure</x:v>
      </x:c>
      <x:c r="H2173" s="24"/>
      <x:c r="I2173" s="24" t="str">
        <x:v>1.5</x:v>
      </x:c>
      <x:c r="J2173" s="24" t="str">
        <x:v>1.50</x:v>
      </x:c>
      <x:c r="K2173" s="24" t="str">
        <x:v>DuraVision Silver UV</x:v>
      </x:c>
      <x:c r="L2173" s="40" t="n">
        <x:v>5512</x:v>
      </x:c>
      <x:c r="M2173" s="24" t="str">
        <x:v>-6.00 a +4.00</x:v>
      </x:c>
      <x:c r="N2173" s="24" t="str">
        <x:v>-4.00</x:v>
      </x:c>
      <x:c r="O2173" s="24" t="str">
        <x:v>0.75 a 3.50</x:v>
      </x:c>
      <x:c r="P2173" s="24" t="str">
        <x:v>75</x:v>
      </x:c>
      <x:c r="Q2173" s="24"/>
      <x:c r="R2173" s="24"/>
      <x:c r="S2173" s="26" t="n">
        <x:v>46113</x:v>
      </x:c>
      <x:c r="T2173" s="26"/>
      <x:c r="U2173" s="24" t="str">
        <x:v>ATIVA/SEM FIM INFORMADO</x:v>
      </x:c>
      <x:c r="V2173" s="24" t="str">
        <x:v>Programa de Parcerias ZEISS — categoria Experts</x:v>
      </x:c>
      <x:c r="W2173" s="24" t="n">
        <x:v>35</x:v>
      </x:c>
      <x:c r="X2173" s="24" t="str">
        <x:v>tabela_zeiss.pdf</x:v>
      </x:c>
      <x:c r="Y2173" s="24" t="str">
        <x:v>alta</x:v>
      </x:c>
      <x:c r="Z2173" s="24"/>
      <x:c r="AA2173" s="24" t="str">
        <x:v>ZEISS|Progressiva|Surfaçada|ClearMind Pure||1.5|1.50|DuraVision Silver UV|-6.00 a +4.00|-4.00|0.75 a 3.50|75|||35</x:v>
      </x:c>
    </x:row>
    <x:row r="2174">
      <x:c r="A2174" s="24" t="str">
        <x:v>ZS-C4659DE96092</x:v>
      </x:c>
      <x:c r="B2174" s="24" t="str">
        <x:v>SIM</x:v>
      </x:c>
      <x:c r="C2174" s="24" t="str">
        <x:v>DISPONÍVEL</x:v>
      </x:c>
      <x:c r="D2174" s="24" t="str">
        <x:v>ZEISS</x:v>
      </x:c>
      <x:c r="E2174" s="24" t="str">
        <x:v>Progressiva</x:v>
      </x:c>
      <x:c r="F2174" s="24" t="str">
        <x:v>Surfaçada</x:v>
      </x:c>
      <x:c r="G2174" s="24" t="str">
        <x:v>ClearMind Pure</x:v>
      </x:c>
      <x:c r="H2174" s="24"/>
      <x:c r="I2174" s="24" t="str">
        <x:v>1.5</x:v>
      </x:c>
      <x:c r="J2174" s="24" t="str">
        <x:v>1.50</x:v>
      </x:c>
      <x:c r="K2174" s="24" t="str">
        <x:v>DuraVision Chrome UV</x:v>
      </x:c>
      <x:c r="L2174" s="40" t="n">
        <x:v>5022</x:v>
      </x:c>
      <x:c r="M2174" s="24" t="str">
        <x:v>-6.00 a +4.00</x:v>
      </x:c>
      <x:c r="N2174" s="24" t="str">
        <x:v>-4.00</x:v>
      </x:c>
      <x:c r="O2174" s="24" t="str">
        <x:v>0.75 a 3.50</x:v>
      </x:c>
      <x:c r="P2174" s="24" t="str">
        <x:v>75</x:v>
      </x:c>
      <x:c r="Q2174" s="24"/>
      <x:c r="R2174" s="24"/>
      <x:c r="S2174" s="26" t="n">
        <x:v>46113</x:v>
      </x:c>
      <x:c r="T2174" s="26"/>
      <x:c r="U2174" s="24" t="str">
        <x:v>ATIVA/SEM FIM INFORMADO</x:v>
      </x:c>
      <x:c r="V2174" s="24" t="str">
        <x:v>Programa de Parcerias ZEISS — categoria Experts</x:v>
      </x:c>
      <x:c r="W2174" s="24" t="n">
        <x:v>35</x:v>
      </x:c>
      <x:c r="X2174" s="24" t="str">
        <x:v>tabela_zeiss.pdf</x:v>
      </x:c>
      <x:c r="Y2174" s="24" t="str">
        <x:v>alta</x:v>
      </x:c>
      <x:c r="Z2174" s="24"/>
      <x:c r="AA2174" s="24" t="str">
        <x:v>ZEISS|Progressiva|Surfaçada|ClearMind Pure||1.5|1.50|DuraVision Chrome UV|-6.00 a +4.00|-4.00|0.75 a 3.50|75|||35</x:v>
      </x:c>
    </x:row>
    <x:row r="2175">
      <x:c r="A2175" s="24" t="str">
        <x:v>ZS-833E54BEF3BF</x:v>
      </x:c>
      <x:c r="B2175" s="24" t="str">
        <x:v>SIM</x:v>
      </x:c>
      <x:c r="C2175" s="24" t="str">
        <x:v>DISPONÍVEL</x:v>
      </x:c>
      <x:c r="D2175" s="24" t="str">
        <x:v>ZEISS</x:v>
      </x:c>
      <x:c r="E2175" s="24" t="str">
        <x:v>Progressiva</x:v>
      </x:c>
      <x:c r="F2175" s="24" t="str">
        <x:v>Surfaçada</x:v>
      </x:c>
      <x:c r="G2175" s="24" t="str">
        <x:v>ClearMind Pure</x:v>
      </x:c>
      <x:c r="H2175" s="24"/>
      <x:c r="I2175" s="24" t="str">
        <x:v>Poli</x:v>
      </x:c>
      <x:c r="J2175" s="24"/>
      <x:c r="K2175" s="24" t="str">
        <x:v>DuraVision Gold UV</x:v>
      </x:c>
      <x:c r="L2175" s="40" t="n">
        <x:v>6502</x:v>
      </x:c>
      <x:c r="M2175" s="24" t="str">
        <x:v>-10.00 a +6.00</x:v>
      </x:c>
      <x:c r="N2175" s="24" t="str">
        <x:v>-6.00</x:v>
      </x:c>
      <x:c r="O2175" s="24" t="str">
        <x:v>0.75 a 3.00</x:v>
      </x:c>
      <x:c r="P2175" s="24" t="str">
        <x:v>70</x:v>
      </x:c>
      <x:c r="Q2175" s="24"/>
      <x:c r="R2175" s="24"/>
      <x:c r="S2175" s="26" t="n">
        <x:v>46113</x:v>
      </x:c>
      <x:c r="T2175" s="26"/>
      <x:c r="U2175" s="24" t="str">
        <x:v>ATIVA/SEM FIM INFORMADO</x:v>
      </x:c>
      <x:c r="V2175" s="24" t="str">
        <x:v>Programa de Parcerias ZEISS — categoria Experts</x:v>
      </x:c>
      <x:c r="W2175" s="24" t="n">
        <x:v>35</x:v>
      </x:c>
      <x:c r="X2175" s="24" t="str">
        <x:v>tabela_zeiss.pdf</x:v>
      </x:c>
      <x:c r="Y2175" s="24" t="str">
        <x:v>alta</x:v>
      </x:c>
      <x:c r="Z2175" s="24"/>
      <x:c r="AA2175" s="24" t="str">
        <x:v>ZEISS|Progressiva|Surfaçada|ClearMind Pure||Poli||DuraVision Gold UV|-10.00 a +6.00|-6.00|0.75 a 3.00|70|||35</x:v>
      </x:c>
    </x:row>
    <x:row r="2176">
      <x:c r="A2176" s="24" t="str">
        <x:v>ZS-79BEF1D4E855</x:v>
      </x:c>
      <x:c r="B2176" s="24" t="str">
        <x:v>SIM</x:v>
      </x:c>
      <x:c r="C2176" s="24" t="str">
        <x:v>DISPONÍVEL</x:v>
      </x:c>
      <x:c r="D2176" s="24" t="str">
        <x:v>ZEISS</x:v>
      </x:c>
      <x:c r="E2176" s="24" t="str">
        <x:v>Progressiva</x:v>
      </x:c>
      <x:c r="F2176" s="24" t="str">
        <x:v>Surfaçada</x:v>
      </x:c>
      <x:c r="G2176" s="24" t="str">
        <x:v>ClearMind Pure</x:v>
      </x:c>
      <x:c r="H2176" s="24"/>
      <x:c r="I2176" s="24" t="str">
        <x:v>Poli</x:v>
      </x:c>
      <x:c r="J2176" s="24"/>
      <x:c r="K2176" s="24" t="str">
        <x:v>DuraVision Platinum UV</x:v>
      </x:c>
      <x:c r="L2176" s="40" t="n">
        <x:v>6362</x:v>
      </x:c>
      <x:c r="M2176" s="24" t="str">
        <x:v>-10.00 a +6.00</x:v>
      </x:c>
      <x:c r="N2176" s="24" t="str">
        <x:v>-6.00</x:v>
      </x:c>
      <x:c r="O2176" s="24" t="str">
        <x:v>0.75 a 3.00</x:v>
      </x:c>
      <x:c r="P2176" s="24" t="str">
        <x:v>70</x:v>
      </x:c>
      <x:c r="Q2176" s="24"/>
      <x:c r="R2176" s="24"/>
      <x:c r="S2176" s="26" t="n">
        <x:v>46113</x:v>
      </x:c>
      <x:c r="T2176" s="26"/>
      <x:c r="U2176" s="24" t="str">
        <x:v>ATIVA/SEM FIM INFORMADO</x:v>
      </x:c>
      <x:c r="V2176" s="24" t="str">
        <x:v>Programa de Parcerias ZEISS — categoria Experts</x:v>
      </x:c>
      <x:c r="W2176" s="24" t="n">
        <x:v>35</x:v>
      </x:c>
      <x:c r="X2176" s="24" t="str">
        <x:v>tabela_zeiss.pdf</x:v>
      </x:c>
      <x:c r="Y2176" s="24" t="str">
        <x:v>alta</x:v>
      </x:c>
      <x:c r="Z2176" s="24"/>
      <x:c r="AA2176" s="24" t="str">
        <x:v>ZEISS|Progressiva|Surfaçada|ClearMind Pure||Poli||DuraVision Platinum UV|-10.00 a +6.00|-6.00|0.75 a 3.00|70|||35</x:v>
      </x:c>
    </x:row>
    <x:row r="2177">
      <x:c r="A2177" s="24" t="str">
        <x:v>ZS-D47AE1787376</x:v>
      </x:c>
      <x:c r="B2177" s="24" t="str">
        <x:v>SIM</x:v>
      </x:c>
      <x:c r="C2177" s="24" t="str">
        <x:v>DISPONÍVEL</x:v>
      </x:c>
      <x:c r="D2177" s="24" t="str">
        <x:v>ZEISS</x:v>
      </x:c>
      <x:c r="E2177" s="24" t="str">
        <x:v>Progressiva</x:v>
      </x:c>
      <x:c r="F2177" s="24" t="str">
        <x:v>Surfaçada</x:v>
      </x:c>
      <x:c r="G2177" s="24" t="str">
        <x:v>ClearMind Pure</x:v>
      </x:c>
      <x:c r="H2177" s="24"/>
      <x:c r="I2177" s="24" t="str">
        <x:v>Poli</x:v>
      </x:c>
      <x:c r="J2177" s="24"/>
      <x:c r="K2177" s="24" t="str">
        <x:v>DuraVision Silver UV</x:v>
      </x:c>
      <x:c r="L2177" s="40" t="n">
        <x:v>6102</x:v>
      </x:c>
      <x:c r="M2177" s="24" t="str">
        <x:v>-10.00 a +6.00</x:v>
      </x:c>
      <x:c r="N2177" s="24" t="str">
        <x:v>-6.00</x:v>
      </x:c>
      <x:c r="O2177" s="24" t="str">
        <x:v>0.75 a 3.00</x:v>
      </x:c>
      <x:c r="P2177" s="24" t="str">
        <x:v>70</x:v>
      </x:c>
      <x:c r="Q2177" s="24"/>
      <x:c r="R2177" s="24"/>
      <x:c r="S2177" s="26" t="n">
        <x:v>46113</x:v>
      </x:c>
      <x:c r="T2177" s="26"/>
      <x:c r="U2177" s="24" t="str">
        <x:v>ATIVA/SEM FIM INFORMADO</x:v>
      </x:c>
      <x:c r="V2177" s="24" t="str">
        <x:v>Programa de Parcerias ZEISS — categoria Experts</x:v>
      </x:c>
      <x:c r="W2177" s="24" t="n">
        <x:v>35</x:v>
      </x:c>
      <x:c r="X2177" s="24" t="str">
        <x:v>tabela_zeiss.pdf</x:v>
      </x:c>
      <x:c r="Y2177" s="24" t="str">
        <x:v>alta</x:v>
      </x:c>
      <x:c r="Z2177" s="24"/>
      <x:c r="AA2177" s="24" t="str">
        <x:v>ZEISS|Progressiva|Surfaçada|ClearMind Pure||Poli||DuraVision Silver UV|-10.00 a +6.00|-6.00|0.75 a 3.00|70|||35</x:v>
      </x:c>
    </x:row>
    <x:row r="2178">
      <x:c r="A2178" s="24" t="str">
        <x:v>ZS-522AF33BAF64</x:v>
      </x:c>
      <x:c r="B2178" s="24" t="str">
        <x:v>SIM</x:v>
      </x:c>
      <x:c r="C2178" s="24" t="str">
        <x:v>DISPONÍVEL</x:v>
      </x:c>
      <x:c r="D2178" s="24" t="str">
        <x:v>ZEISS</x:v>
      </x:c>
      <x:c r="E2178" s="24" t="str">
        <x:v>Progressiva</x:v>
      </x:c>
      <x:c r="F2178" s="24" t="str">
        <x:v>Surfaçada</x:v>
      </x:c>
      <x:c r="G2178" s="24" t="str">
        <x:v>ClearMind Pure</x:v>
      </x:c>
      <x:c r="H2178" s="24"/>
      <x:c r="I2178" s="24" t="str">
        <x:v>Poli</x:v>
      </x:c>
      <x:c r="J2178" s="24"/>
      <x:c r="K2178" s="24" t="str">
        <x:v>DuraVision Chrome UV</x:v>
      </x:c>
      <x:c r="L2178" s="40" t="n">
        <x:v>5612</x:v>
      </x:c>
      <x:c r="M2178" s="24" t="str">
        <x:v>-10.00 a +6.00</x:v>
      </x:c>
      <x:c r="N2178" s="24" t="str">
        <x:v>-6.00</x:v>
      </x:c>
      <x:c r="O2178" s="24" t="str">
        <x:v>0.75 a 3.00</x:v>
      </x:c>
      <x:c r="P2178" s="24" t="str">
        <x:v>70</x:v>
      </x:c>
      <x:c r="Q2178" s="24"/>
      <x:c r="R2178" s="24"/>
      <x:c r="S2178" s="26" t="n">
        <x:v>46113</x:v>
      </x:c>
      <x:c r="T2178" s="26"/>
      <x:c r="U2178" s="24" t="str">
        <x:v>ATIVA/SEM FIM INFORMADO</x:v>
      </x:c>
      <x:c r="V2178" s="24" t="str">
        <x:v>Programa de Parcerias ZEISS — categoria Experts</x:v>
      </x:c>
      <x:c r="W2178" s="24" t="n">
        <x:v>35</x:v>
      </x:c>
      <x:c r="X2178" s="24" t="str">
        <x:v>tabela_zeiss.pdf</x:v>
      </x:c>
      <x:c r="Y2178" s="24" t="str">
        <x:v>alta</x:v>
      </x:c>
      <x:c r="Z2178" s="24"/>
      <x:c r="AA2178" s="24" t="str">
        <x:v>ZEISS|Progressiva|Surfaçada|ClearMind Pure||Poli||DuraVision Chrome UV|-10.00 a +6.00|-6.00|0.75 a 3.00|70|||35</x:v>
      </x:c>
    </x:row>
    <x:row r="2179">
      <x:c r="A2179" s="24" t="str">
        <x:v>ZS-11BF5179CF33</x:v>
      </x:c>
      <x:c r="B2179" s="24" t="str">
        <x:v>SIM</x:v>
      </x:c>
      <x:c r="C2179" s="24" t="str">
        <x:v>DISPONÍVEL</x:v>
      </x:c>
      <x:c r="D2179" s="24" t="str">
        <x:v>ZEISS</x:v>
      </x:c>
      <x:c r="E2179" s="24" t="str">
        <x:v>Progressiva</x:v>
      </x:c>
      <x:c r="F2179" s="24" t="str">
        <x:v>Surfaçada</x:v>
      </x:c>
      <x:c r="G2179" s="24" t="str">
        <x:v>ClearMind Pure</x:v>
      </x:c>
      <x:c r="H2179" s="24"/>
      <x:c r="I2179" s="24" t="str">
        <x:v>1.6</x:v>
      </x:c>
      <x:c r="J2179" s="24" t="str">
        <x:v>1.60</x:v>
      </x:c>
      <x:c r="K2179" s="24" t="str">
        <x:v>DuraVision Gold UV</x:v>
      </x:c>
      <x:c r="L2179" s="40" t="n">
        <x:v>7162</x:v>
      </x:c>
      <x:c r="M2179" s="24" t="str">
        <x:v>-7.25 a +6.00</x:v>
      </x:c>
      <x:c r="N2179" s="24" t="str">
        <x:v>-6.00</x:v>
      </x:c>
      <x:c r="O2179" s="24" t="str">
        <x:v>0.75 a 3.50</x:v>
      </x:c>
      <x:c r="P2179" s="24" t="str">
        <x:v>75</x:v>
      </x:c>
      <x:c r="Q2179" s="24"/>
      <x:c r="R2179" s="24"/>
      <x:c r="S2179" s="26" t="n">
        <x:v>46113</x:v>
      </x:c>
      <x:c r="T2179" s="26"/>
      <x:c r="U2179" s="24" t="str">
        <x:v>ATIVA/SEM FIM INFORMADO</x:v>
      </x:c>
      <x:c r="V2179" s="24" t="str">
        <x:v>Programa de Parcerias ZEISS — categoria Experts</x:v>
      </x:c>
      <x:c r="W2179" s="24" t="n">
        <x:v>35</x:v>
      </x:c>
      <x:c r="X2179" s="24" t="str">
        <x:v>tabela_zeiss.pdf</x:v>
      </x:c>
      <x:c r="Y2179" s="24" t="str">
        <x:v>alta</x:v>
      </x:c>
      <x:c r="Z2179" s="24"/>
      <x:c r="AA2179" s="24" t="str">
        <x:v>ZEISS|Progressiva|Surfaçada|ClearMind Pure||1.6|1.60|DuraVision Gold UV|-7.25 a +6.00|-6.00|0.75 a 3.50|75|||35</x:v>
      </x:c>
    </x:row>
    <x:row r="2180">
      <x:c r="A2180" s="24" t="str">
        <x:v>ZS-BF31211A3163</x:v>
      </x:c>
      <x:c r="B2180" s="24" t="str">
        <x:v>SIM</x:v>
      </x:c>
      <x:c r="C2180" s="24" t="str">
        <x:v>DISPONÍVEL</x:v>
      </x:c>
      <x:c r="D2180" s="24" t="str">
        <x:v>ZEISS</x:v>
      </x:c>
      <x:c r="E2180" s="24" t="str">
        <x:v>Progressiva</x:v>
      </x:c>
      <x:c r="F2180" s="24" t="str">
        <x:v>Surfaçada</x:v>
      </x:c>
      <x:c r="G2180" s="24" t="str">
        <x:v>ClearMind Pure</x:v>
      </x:c>
      <x:c r="H2180" s="24"/>
      <x:c r="I2180" s="24" t="str">
        <x:v>1.6</x:v>
      </x:c>
      <x:c r="J2180" s="24" t="str">
        <x:v>1.60</x:v>
      </x:c>
      <x:c r="K2180" s="24" t="str">
        <x:v>DURAVISION® ANTIVÍRUS PLATINUM UV</x:v>
      </x:c>
      <x:c r="L2180" s="40" t="n">
        <x:v>7022</x:v>
      </x:c>
      <x:c r="M2180" s="24" t="str">
        <x:v>-7.25 a +6.00</x:v>
      </x:c>
      <x:c r="N2180" s="24" t="str">
        <x:v>-6.00</x:v>
      </x:c>
      <x:c r="O2180" s="24" t="str">
        <x:v>0.75 a 3.50</x:v>
      </x:c>
      <x:c r="P2180" s="24" t="str">
        <x:v>75</x:v>
      </x:c>
      <x:c r="Q2180" s="24"/>
      <x:c r="R2180" s="24"/>
      <x:c r="S2180" s="26" t="n">
        <x:v>46113</x:v>
      </x:c>
      <x:c r="T2180" s="26"/>
      <x:c r="U2180" s="24" t="str">
        <x:v>ATIVA/SEM FIM INFORMADO</x:v>
      </x:c>
      <x:c r="V2180" s="24" t="str">
        <x:v>Programa de Parcerias ZEISS — categoria Experts</x:v>
      </x:c>
      <x:c r="W2180" s="24" t="n">
        <x:v>35</x:v>
      </x:c>
      <x:c r="X2180" s="24" t="str">
        <x:v>tabela_zeiss.pdf</x:v>
      </x:c>
      <x:c r="Y2180" s="24" t="str">
        <x:v>alta</x:v>
      </x:c>
      <x:c r="Z2180" s="24"/>
      <x:c r="AA2180" s="24" t="str">
        <x:v>ZEISS|Progressiva|Surfaçada|ClearMind Pure||1.6|1.60|DURAVISION® ANTIVÍRUS PLATINUM UV|-7.25 a +6.00|-6.00|0.75 a 3.50|75|||35</x:v>
      </x:c>
    </x:row>
    <x:row r="2181">
      <x:c r="A2181" s="24" t="str">
        <x:v>ZS-D8635CAD16D7</x:v>
      </x:c>
      <x:c r="B2181" s="24" t="str">
        <x:v>SIM</x:v>
      </x:c>
      <x:c r="C2181" s="24" t="str">
        <x:v>DISPONÍVEL</x:v>
      </x:c>
      <x:c r="D2181" s="24" t="str">
        <x:v>ZEISS</x:v>
      </x:c>
      <x:c r="E2181" s="24" t="str">
        <x:v>Progressiva</x:v>
      </x:c>
      <x:c r="F2181" s="24" t="str">
        <x:v>Surfaçada</x:v>
      </x:c>
      <x:c r="G2181" s="24" t="str">
        <x:v>ClearMind Pure</x:v>
      </x:c>
      <x:c r="H2181" s="24"/>
      <x:c r="I2181" s="24" t="str">
        <x:v>1.6</x:v>
      </x:c>
      <x:c r="J2181" s="24" t="str">
        <x:v>1.60</x:v>
      </x:c>
      <x:c r="K2181" s="24" t="str">
        <x:v>DuraVision Platinum UV</x:v>
      </x:c>
      <x:c r="L2181" s="40" t="n">
        <x:v>7022</x:v>
      </x:c>
      <x:c r="M2181" s="24" t="str">
        <x:v>-7.25 a +6.00</x:v>
      </x:c>
      <x:c r="N2181" s="24" t="str">
        <x:v>-6.00</x:v>
      </x:c>
      <x:c r="O2181" s="24" t="str">
        <x:v>0.75 a 3.50</x:v>
      </x:c>
      <x:c r="P2181" s="24" t="str">
        <x:v>75</x:v>
      </x:c>
      <x:c r="Q2181" s="24"/>
      <x:c r="R2181" s="24"/>
      <x:c r="S2181" s="26" t="n">
        <x:v>46113</x:v>
      </x:c>
      <x:c r="T2181" s="26"/>
      <x:c r="U2181" s="24" t="str">
        <x:v>ATIVA/SEM FIM INFORMADO</x:v>
      </x:c>
      <x:c r="V2181" s="24" t="str">
        <x:v>Programa de Parcerias ZEISS — categoria Experts</x:v>
      </x:c>
      <x:c r="W2181" s="24" t="n">
        <x:v>35</x:v>
      </x:c>
      <x:c r="X2181" s="24" t="str">
        <x:v>tabela_zeiss.pdf</x:v>
      </x:c>
      <x:c r="Y2181" s="24" t="str">
        <x:v>alta</x:v>
      </x:c>
      <x:c r="Z2181" s="24"/>
      <x:c r="AA2181" s="24" t="str">
        <x:v>ZEISS|Progressiva|Surfaçada|ClearMind Pure||1.6|1.60|DuraVision Platinum UV|-7.25 a +6.00|-6.00|0.75 a 3.50|75|||35</x:v>
      </x:c>
    </x:row>
    <x:row r="2182">
      <x:c r="A2182" s="24" t="str">
        <x:v>ZS-6767DCBF357F</x:v>
      </x:c>
      <x:c r="B2182" s="24" t="str">
        <x:v>SIM</x:v>
      </x:c>
      <x:c r="C2182" s="24" t="str">
        <x:v>DISPONÍVEL</x:v>
      </x:c>
      <x:c r="D2182" s="24" t="str">
        <x:v>ZEISS</x:v>
      </x:c>
      <x:c r="E2182" s="24" t="str">
        <x:v>Progressiva</x:v>
      </x:c>
      <x:c r="F2182" s="24" t="str">
        <x:v>Surfaçada</x:v>
      </x:c>
      <x:c r="G2182" s="24" t="str">
        <x:v>ClearMind Pure</x:v>
      </x:c>
      <x:c r="H2182" s="24"/>
      <x:c r="I2182" s="24" t="str">
        <x:v>1.6</x:v>
      </x:c>
      <x:c r="J2182" s="24" t="str">
        <x:v>1.60</x:v>
      </x:c>
      <x:c r="K2182" s="24" t="str">
        <x:v>DuraVision Silver UV</x:v>
      </x:c>
      <x:c r="L2182" s="40" t="n">
        <x:v>6762</x:v>
      </x:c>
      <x:c r="M2182" s="24" t="str">
        <x:v>-7.25 a +6.00</x:v>
      </x:c>
      <x:c r="N2182" s="24" t="str">
        <x:v>-6.00</x:v>
      </x:c>
      <x:c r="O2182" s="24" t="str">
        <x:v>0.75 a 3.50</x:v>
      </x:c>
      <x:c r="P2182" s="24" t="str">
        <x:v>75</x:v>
      </x:c>
      <x:c r="Q2182" s="24"/>
      <x:c r="R2182" s="24"/>
      <x:c r="S2182" s="26" t="n">
        <x:v>46113</x:v>
      </x:c>
      <x:c r="T2182" s="26"/>
      <x:c r="U2182" s="24" t="str">
        <x:v>ATIVA/SEM FIM INFORMADO</x:v>
      </x:c>
      <x:c r="V2182" s="24" t="str">
        <x:v>Programa de Parcerias ZEISS — categoria Experts</x:v>
      </x:c>
      <x:c r="W2182" s="24" t="n">
        <x:v>35</x:v>
      </x:c>
      <x:c r="X2182" s="24" t="str">
        <x:v>tabela_zeiss.pdf</x:v>
      </x:c>
      <x:c r="Y2182" s="24" t="str">
        <x:v>alta</x:v>
      </x:c>
      <x:c r="Z2182" s="24"/>
      <x:c r="AA2182" s="24" t="str">
        <x:v>ZEISS|Progressiva|Surfaçada|ClearMind Pure||1.6|1.60|DuraVision Silver UV|-7.25 a +6.00|-6.00|0.75 a 3.50|75|||35</x:v>
      </x:c>
    </x:row>
    <x:row r="2183">
      <x:c r="A2183" s="24" t="str">
        <x:v>ZS-13F987D4DD6D</x:v>
      </x:c>
      <x:c r="B2183" s="24" t="str">
        <x:v>SIM</x:v>
      </x:c>
      <x:c r="C2183" s="24" t="str">
        <x:v>DISPONÍVEL</x:v>
      </x:c>
      <x:c r="D2183" s="24" t="str">
        <x:v>ZEISS</x:v>
      </x:c>
      <x:c r="E2183" s="24" t="str">
        <x:v>Progressiva</x:v>
      </x:c>
      <x:c r="F2183" s="24" t="str">
        <x:v>Surfaçada</x:v>
      </x:c>
      <x:c r="G2183" s="24" t="str">
        <x:v>ClearMind Pure</x:v>
      </x:c>
      <x:c r="H2183" s="24"/>
      <x:c r="I2183" s="24" t="str">
        <x:v>1.6</x:v>
      </x:c>
      <x:c r="J2183" s="24" t="str">
        <x:v>1.60</x:v>
      </x:c>
      <x:c r="K2183" s="24" t="str">
        <x:v>DuraVision Chrome UV</x:v>
      </x:c>
      <x:c r="L2183" s="40" t="n">
        <x:v>6272</x:v>
      </x:c>
      <x:c r="M2183" s="24" t="str">
        <x:v>-7.25 a +6.00</x:v>
      </x:c>
      <x:c r="N2183" s="24" t="str">
        <x:v>-6.00</x:v>
      </x:c>
      <x:c r="O2183" s="24" t="str">
        <x:v>0.75 a 3.50</x:v>
      </x:c>
      <x:c r="P2183" s="24" t="str">
        <x:v>75</x:v>
      </x:c>
      <x:c r="Q2183" s="24"/>
      <x:c r="R2183" s="24"/>
      <x:c r="S2183" s="26" t="n">
        <x:v>46113</x:v>
      </x:c>
      <x:c r="T2183" s="26"/>
      <x:c r="U2183" s="24" t="str">
        <x:v>ATIVA/SEM FIM INFORMADO</x:v>
      </x:c>
      <x:c r="V2183" s="24" t="str">
        <x:v>Programa de Parcerias ZEISS — categoria Experts</x:v>
      </x:c>
      <x:c r="W2183" s="24" t="n">
        <x:v>35</x:v>
      </x:c>
      <x:c r="X2183" s="24" t="str">
        <x:v>tabela_zeiss.pdf</x:v>
      </x:c>
      <x:c r="Y2183" s="24" t="str">
        <x:v>alta</x:v>
      </x:c>
      <x:c r="Z2183" s="24"/>
      <x:c r="AA2183" s="24" t="str">
        <x:v>ZEISS|Progressiva|Surfaçada|ClearMind Pure||1.6|1.60|DuraVision Chrome UV|-7.25 a +6.00|-6.00|0.75 a 3.50|75|||35</x:v>
      </x:c>
    </x:row>
    <x:row r="2184">
      <x:c r="A2184" s="24" t="str">
        <x:v>ZS-1B1EE6655942</x:v>
      </x:c>
      <x:c r="B2184" s="24" t="str">
        <x:v>SIM</x:v>
      </x:c>
      <x:c r="C2184" s="24" t="str">
        <x:v>DISPONÍVEL</x:v>
      </x:c>
      <x:c r="D2184" s="24" t="str">
        <x:v>ZEISS</x:v>
      </x:c>
      <x:c r="E2184" s="24" t="str">
        <x:v>Progressiva</x:v>
      </x:c>
      <x:c r="F2184" s="24" t="str">
        <x:v>Surfaçada</x:v>
      </x:c>
      <x:c r="G2184" s="24" t="str">
        <x:v>ClearMind Pure</x:v>
      </x:c>
      <x:c r="H2184" s="24"/>
      <x:c r="I2184" s="24" t="str">
        <x:v>1.67</x:v>
      </x:c>
      <x:c r="J2184" s="24" t="str">
        <x:v>1.67</x:v>
      </x:c>
      <x:c r="K2184" s="24" t="str">
        <x:v>DuraVision Gold UV</x:v>
      </x:c>
      <x:c r="L2184" s="40" t="n">
        <x:v>8802</x:v>
      </x:c>
      <x:c r="M2184" s="24" t="str">
        <x:v>-8.00 a +8.00</x:v>
      </x:c>
      <x:c r="N2184" s="24" t="str">
        <x:v>-6.00</x:v>
      </x:c>
      <x:c r="O2184" s="24" t="str">
        <x:v>0.75 a 3.00</x:v>
      </x:c>
      <x:c r="P2184" s="24" t="str">
        <x:v>70</x:v>
      </x:c>
      <x:c r="Q2184" s="24"/>
      <x:c r="R2184" s="24"/>
      <x:c r="S2184" s="26" t="n">
        <x:v>46113</x:v>
      </x:c>
      <x:c r="T2184" s="26"/>
      <x:c r="U2184" s="24" t="str">
        <x:v>ATIVA/SEM FIM INFORMADO</x:v>
      </x:c>
      <x:c r="V2184" s="24" t="str">
        <x:v>Programa de Parcerias ZEISS — categoria Experts</x:v>
      </x:c>
      <x:c r="W2184" s="24" t="n">
        <x:v>35</x:v>
      </x:c>
      <x:c r="X2184" s="24" t="str">
        <x:v>tabela_zeiss.pdf</x:v>
      </x:c>
      <x:c r="Y2184" s="24" t="str">
        <x:v>alta</x:v>
      </x:c>
      <x:c r="Z2184" s="24"/>
      <x:c r="AA2184" s="24" t="str">
        <x:v>ZEISS|Progressiva|Surfaçada|ClearMind Pure||1.67|1.67|DuraVision Gold UV|-8.00 a +8.00|-6.00|0.75 a 3.00|70|||35</x:v>
      </x:c>
    </x:row>
    <x:row r="2185">
      <x:c r="A2185" s="24" t="str">
        <x:v>ZS-9B5C48599403</x:v>
      </x:c>
      <x:c r="B2185" s="24" t="str">
        <x:v>SIM</x:v>
      </x:c>
      <x:c r="C2185" s="24" t="str">
        <x:v>DISPONÍVEL</x:v>
      </x:c>
      <x:c r="D2185" s="24" t="str">
        <x:v>ZEISS</x:v>
      </x:c>
      <x:c r="E2185" s="24" t="str">
        <x:v>Progressiva</x:v>
      </x:c>
      <x:c r="F2185" s="24" t="str">
        <x:v>Surfaçada</x:v>
      </x:c>
      <x:c r="G2185" s="24" t="str">
        <x:v>ClearMind Pure</x:v>
      </x:c>
      <x:c r="H2185" s="24"/>
      <x:c r="I2185" s="24" t="str">
        <x:v>1.67</x:v>
      </x:c>
      <x:c r="J2185" s="24" t="str">
        <x:v>1.67</x:v>
      </x:c>
      <x:c r="K2185" s="24" t="str">
        <x:v>DURAVISION® ANTIVÍRUS PLATINUM UV</x:v>
      </x:c>
      <x:c r="L2185" s="40" t="n">
        <x:v>8662</x:v>
      </x:c>
      <x:c r="M2185" s="24" t="str">
        <x:v>-8.00 a +8.00</x:v>
      </x:c>
      <x:c r="N2185" s="24" t="str">
        <x:v>-6.00</x:v>
      </x:c>
      <x:c r="O2185" s="24" t="str">
        <x:v>0.75 a 3.00</x:v>
      </x:c>
      <x:c r="P2185" s="24" t="str">
        <x:v>70</x:v>
      </x:c>
      <x:c r="Q2185" s="24"/>
      <x:c r="R2185" s="24"/>
      <x:c r="S2185" s="26" t="n">
        <x:v>46113</x:v>
      </x:c>
      <x:c r="T2185" s="26"/>
      <x:c r="U2185" s="24" t="str">
        <x:v>ATIVA/SEM FIM INFORMADO</x:v>
      </x:c>
      <x:c r="V2185" s="24" t="str">
        <x:v>Programa de Parcerias ZEISS — categoria Experts</x:v>
      </x:c>
      <x:c r="W2185" s="24" t="n">
        <x:v>35</x:v>
      </x:c>
      <x:c r="X2185" s="24" t="str">
        <x:v>tabela_zeiss.pdf</x:v>
      </x:c>
      <x:c r="Y2185" s="24" t="str">
        <x:v>alta</x:v>
      </x:c>
      <x:c r="Z2185" s="24"/>
      <x:c r="AA2185" s="24" t="str">
        <x:v>ZEISS|Progressiva|Surfaçada|ClearMind Pure||1.67|1.67|DURAVISION® ANTIVÍRUS PLATINUM UV|-8.00 a +8.00|-6.00|0.75 a 3.00|70|||35</x:v>
      </x:c>
    </x:row>
    <x:row r="2186">
      <x:c r="A2186" s="24" t="str">
        <x:v>ZS-5D56C0784575</x:v>
      </x:c>
      <x:c r="B2186" s="24" t="str">
        <x:v>SIM</x:v>
      </x:c>
      <x:c r="C2186" s="24" t="str">
        <x:v>DISPONÍVEL</x:v>
      </x:c>
      <x:c r="D2186" s="24" t="str">
        <x:v>ZEISS</x:v>
      </x:c>
      <x:c r="E2186" s="24" t="str">
        <x:v>Progressiva</x:v>
      </x:c>
      <x:c r="F2186" s="24" t="str">
        <x:v>Surfaçada</x:v>
      </x:c>
      <x:c r="G2186" s="24" t="str">
        <x:v>ClearMind Pure</x:v>
      </x:c>
      <x:c r="H2186" s="24"/>
      <x:c r="I2186" s="24" t="str">
        <x:v>1.67</x:v>
      </x:c>
      <x:c r="J2186" s="24" t="str">
        <x:v>1.67</x:v>
      </x:c>
      <x:c r="K2186" s="24" t="str">
        <x:v>DuraVision Platinum UV</x:v>
      </x:c>
      <x:c r="L2186" s="40" t="n">
        <x:v>8662</x:v>
      </x:c>
      <x:c r="M2186" s="24" t="str">
        <x:v>-8.00 a +8.00</x:v>
      </x:c>
      <x:c r="N2186" s="24" t="str">
        <x:v>-6.00</x:v>
      </x:c>
      <x:c r="O2186" s="24" t="str">
        <x:v>0.75 a 3.00</x:v>
      </x:c>
      <x:c r="P2186" s="24" t="str">
        <x:v>70</x:v>
      </x:c>
      <x:c r="Q2186" s="24"/>
      <x:c r="R2186" s="24"/>
      <x:c r="S2186" s="26" t="n">
        <x:v>46113</x:v>
      </x:c>
      <x:c r="T2186" s="26"/>
      <x:c r="U2186" s="24" t="str">
        <x:v>ATIVA/SEM FIM INFORMADO</x:v>
      </x:c>
      <x:c r="V2186" s="24" t="str">
        <x:v>Programa de Parcerias ZEISS — categoria Experts</x:v>
      </x:c>
      <x:c r="W2186" s="24" t="n">
        <x:v>35</x:v>
      </x:c>
      <x:c r="X2186" s="24" t="str">
        <x:v>tabela_zeiss.pdf</x:v>
      </x:c>
      <x:c r="Y2186" s="24" t="str">
        <x:v>alta</x:v>
      </x:c>
      <x:c r="Z2186" s="24"/>
      <x:c r="AA2186" s="24" t="str">
        <x:v>ZEISS|Progressiva|Surfaçada|ClearMind Pure||1.67|1.67|DuraVision Platinum UV|-8.00 a +8.00|-6.00|0.75 a 3.00|70|||35</x:v>
      </x:c>
    </x:row>
    <x:row r="2187">
      <x:c r="A2187" s="24" t="str">
        <x:v>ZS-6F8A392A14EA</x:v>
      </x:c>
      <x:c r="B2187" s="24" t="str">
        <x:v>SIM</x:v>
      </x:c>
      <x:c r="C2187" s="24" t="str">
        <x:v>DISPONÍVEL</x:v>
      </x:c>
      <x:c r="D2187" s="24" t="str">
        <x:v>ZEISS</x:v>
      </x:c>
      <x:c r="E2187" s="24" t="str">
        <x:v>Progressiva</x:v>
      </x:c>
      <x:c r="F2187" s="24" t="str">
        <x:v>Surfaçada</x:v>
      </x:c>
      <x:c r="G2187" s="24" t="str">
        <x:v>ClearMind Pure</x:v>
      </x:c>
      <x:c r="H2187" s="24"/>
      <x:c r="I2187" s="24" t="str">
        <x:v>1.67</x:v>
      </x:c>
      <x:c r="J2187" s="24" t="str">
        <x:v>1.67</x:v>
      </x:c>
      <x:c r="K2187" s="24" t="str">
        <x:v>DuraVision Silver UV</x:v>
      </x:c>
      <x:c r="L2187" s="40" t="n">
        <x:v>8402</x:v>
      </x:c>
      <x:c r="M2187" s="24" t="str">
        <x:v>-8.00 a +8.00</x:v>
      </x:c>
      <x:c r="N2187" s="24" t="str">
        <x:v>-6.00</x:v>
      </x:c>
      <x:c r="O2187" s="24" t="str">
        <x:v>0.75 a 3.00</x:v>
      </x:c>
      <x:c r="P2187" s="24" t="str">
        <x:v>70</x:v>
      </x:c>
      <x:c r="Q2187" s="24"/>
      <x:c r="R2187" s="24"/>
      <x:c r="S2187" s="26" t="n">
        <x:v>46113</x:v>
      </x:c>
      <x:c r="T2187" s="26"/>
      <x:c r="U2187" s="24" t="str">
        <x:v>ATIVA/SEM FIM INFORMADO</x:v>
      </x:c>
      <x:c r="V2187" s="24" t="str">
        <x:v>Programa de Parcerias ZEISS — categoria Experts</x:v>
      </x:c>
      <x:c r="W2187" s="24" t="n">
        <x:v>35</x:v>
      </x:c>
      <x:c r="X2187" s="24" t="str">
        <x:v>tabela_zeiss.pdf</x:v>
      </x:c>
      <x:c r="Y2187" s="24" t="str">
        <x:v>alta</x:v>
      </x:c>
      <x:c r="Z2187" s="24"/>
      <x:c r="AA2187" s="24" t="str">
        <x:v>ZEISS|Progressiva|Surfaçada|ClearMind Pure||1.67|1.67|DuraVision Silver UV|-8.00 a +8.00|-6.00|0.75 a 3.00|70|||35</x:v>
      </x:c>
    </x:row>
    <x:row r="2188">
      <x:c r="A2188" s="24" t="str">
        <x:v>ZS-204C5498FBEA</x:v>
      </x:c>
      <x:c r="B2188" s="24" t="str">
        <x:v>SIM</x:v>
      </x:c>
      <x:c r="C2188" s="24" t="str">
        <x:v>DISPONÍVEL</x:v>
      </x:c>
      <x:c r="D2188" s="24" t="str">
        <x:v>ZEISS</x:v>
      </x:c>
      <x:c r="E2188" s="24" t="str">
        <x:v>Progressiva</x:v>
      </x:c>
      <x:c r="F2188" s="24" t="str">
        <x:v>Surfaçada</x:v>
      </x:c>
      <x:c r="G2188" s="24" t="str">
        <x:v>ClearMind Pure</x:v>
      </x:c>
      <x:c r="H2188" s="24"/>
      <x:c r="I2188" s="24" t="str">
        <x:v>1.67</x:v>
      </x:c>
      <x:c r="J2188" s="24" t="str">
        <x:v>1.67</x:v>
      </x:c>
      <x:c r="K2188" s="24" t="str">
        <x:v>DuraVision Chrome UV</x:v>
      </x:c>
      <x:c r="L2188" s="40" t="n">
        <x:v>7912</x:v>
      </x:c>
      <x:c r="M2188" s="24" t="str">
        <x:v>-8.00 a +8.00</x:v>
      </x:c>
      <x:c r="N2188" s="24" t="str">
        <x:v>-6.00</x:v>
      </x:c>
      <x:c r="O2188" s="24" t="str">
        <x:v>0.75 a 3.00</x:v>
      </x:c>
      <x:c r="P2188" s="24" t="str">
        <x:v>70</x:v>
      </x:c>
      <x:c r="Q2188" s="24"/>
      <x:c r="R2188" s="24"/>
      <x:c r="S2188" s="26" t="n">
        <x:v>46113</x:v>
      </x:c>
      <x:c r="T2188" s="26"/>
      <x:c r="U2188" s="24" t="str">
        <x:v>ATIVA/SEM FIM INFORMADO</x:v>
      </x:c>
      <x:c r="V2188" s="24" t="str">
        <x:v>Programa de Parcerias ZEISS — categoria Experts</x:v>
      </x:c>
      <x:c r="W2188" s="24" t="n">
        <x:v>35</x:v>
      </x:c>
      <x:c r="X2188" s="24" t="str">
        <x:v>tabela_zeiss.pdf</x:v>
      </x:c>
      <x:c r="Y2188" s="24" t="str">
        <x:v>alta</x:v>
      </x:c>
      <x:c r="Z2188" s="24"/>
      <x:c r="AA2188" s="24" t="str">
        <x:v>ZEISS|Progressiva|Surfaçada|ClearMind Pure||1.67|1.67|DuraVision Chrome UV|-8.00 a +8.00|-6.00|0.75 a 3.00|70|||35</x:v>
      </x:c>
    </x:row>
    <x:row r="2189">
      <x:c r="A2189" s="24" t="str">
        <x:v>ZS-4E57646DD514</x:v>
      </x:c>
      <x:c r="B2189" s="24" t="str">
        <x:v>SIM</x:v>
      </x:c>
      <x:c r="C2189" s="24" t="str">
        <x:v>DISPONÍVEL</x:v>
      </x:c>
      <x:c r="D2189" s="24" t="str">
        <x:v>ZEISS</x:v>
      </x:c>
      <x:c r="E2189" s="24" t="str">
        <x:v>Progressiva</x:v>
      </x:c>
      <x:c r="F2189" s="24" t="str">
        <x:v>Surfaçada</x:v>
      </x:c>
      <x:c r="G2189" s="24" t="str">
        <x:v>ClearMind Pure</x:v>
      </x:c>
      <x:c r="H2189" s="24"/>
      <x:c r="I2189" s="24" t="str">
        <x:v>1.74</x:v>
      </x:c>
      <x:c r="J2189" s="24" t="str">
        <x:v>1.74</x:v>
      </x:c>
      <x:c r="K2189" s="24" t="str">
        <x:v>DuraVision Gold UV</x:v>
      </x:c>
      <x:c r="L2189" s="40" t="n">
        <x:v>10402</x:v>
      </x:c>
      <x:c r="M2189" s="24" t="str">
        <x:v>-10.00 a +7.00</x:v>
      </x:c>
      <x:c r="N2189" s="24" t="str">
        <x:v>-4.00</x:v>
      </x:c>
      <x:c r="O2189" s="24" t="str">
        <x:v>0.75 a 3.50</x:v>
      </x:c>
      <x:c r="P2189" s="24" t="str">
        <x:v>70 a 75</x:v>
      </x:c>
      <x:c r="Q2189" s="24"/>
      <x:c r="R2189" s="24"/>
      <x:c r="S2189" s="26" t="n">
        <x:v>46113</x:v>
      </x:c>
      <x:c r="T2189" s="26"/>
      <x:c r="U2189" s="24" t="str">
        <x:v>ATIVA/SEM FIM INFORMADO</x:v>
      </x:c>
      <x:c r="V2189" s="24" t="str">
        <x:v>Programa de Parcerias ZEISS — categoria Experts</x:v>
      </x:c>
      <x:c r="W2189" s="24" t="n">
        <x:v>35</x:v>
      </x:c>
      <x:c r="X2189" s="24" t="str">
        <x:v>tabela_zeiss.pdf</x:v>
      </x:c>
      <x:c r="Y2189" s="24" t="str">
        <x:v>alta</x:v>
      </x:c>
      <x:c r="Z2189" s="24"/>
      <x:c r="AA2189" s="24" t="str">
        <x:v>ZEISS|Progressiva|Surfaçada|ClearMind Pure||1.74|1.74|DuraVision Gold UV|-10.00 a +7.00|-4.00|0.75 a 3.50|70 a 75|||35</x:v>
      </x:c>
    </x:row>
    <x:row r="2190">
      <x:c r="A2190" s="24" t="str">
        <x:v>ZS-1FD7F7A02162</x:v>
      </x:c>
      <x:c r="B2190" s="24" t="str">
        <x:v>SIM</x:v>
      </x:c>
      <x:c r="C2190" s="24" t="str">
        <x:v>DISPONÍVEL</x:v>
      </x:c>
      <x:c r="D2190" s="24" t="str">
        <x:v>ZEISS</x:v>
      </x:c>
      <x:c r="E2190" s="24" t="str">
        <x:v>Progressiva</x:v>
      </x:c>
      <x:c r="F2190" s="24" t="str">
        <x:v>Surfaçada</x:v>
      </x:c>
      <x:c r="G2190" s="24" t="str">
        <x:v>ClearMind Pure</x:v>
      </x:c>
      <x:c r="H2190" s="24"/>
      <x:c r="I2190" s="24" t="str">
        <x:v>1.74</x:v>
      </x:c>
      <x:c r="J2190" s="24" t="str">
        <x:v>1.74</x:v>
      </x:c>
      <x:c r="K2190" s="24" t="str">
        <x:v>DuraVision Platinum UV</x:v>
      </x:c>
      <x:c r="L2190" s="40" t="n">
        <x:v>10262</x:v>
      </x:c>
      <x:c r="M2190" s="24" t="str">
        <x:v>-10.00 a +7.00</x:v>
      </x:c>
      <x:c r="N2190" s="24" t="str">
        <x:v>-4.00</x:v>
      </x:c>
      <x:c r="O2190" s="24" t="str">
        <x:v>0.75 a 3.50</x:v>
      </x:c>
      <x:c r="P2190" s="24" t="str">
        <x:v>70 a 75</x:v>
      </x:c>
      <x:c r="Q2190" s="24"/>
      <x:c r="R2190" s="24"/>
      <x:c r="S2190" s="26" t="n">
        <x:v>46113</x:v>
      </x:c>
      <x:c r="T2190" s="26"/>
      <x:c r="U2190" s="24" t="str">
        <x:v>ATIVA/SEM FIM INFORMADO</x:v>
      </x:c>
      <x:c r="V2190" s="24" t="str">
        <x:v>Programa de Parcerias ZEISS — categoria Experts</x:v>
      </x:c>
      <x:c r="W2190" s="24" t="n">
        <x:v>35</x:v>
      </x:c>
      <x:c r="X2190" s="24" t="str">
        <x:v>tabela_zeiss.pdf</x:v>
      </x:c>
      <x:c r="Y2190" s="24" t="str">
        <x:v>alta</x:v>
      </x:c>
      <x:c r="Z2190" s="24"/>
      <x:c r="AA2190" s="24" t="str">
        <x:v>ZEISS|Progressiva|Surfaçada|ClearMind Pure||1.74|1.74|DuraVision Platinum UV|-10.00 a +7.00|-4.00|0.75 a 3.50|70 a 75|||35</x:v>
      </x:c>
    </x:row>
    <x:row r="2191">
      <x:c r="A2191" s="24" t="str">
        <x:v>ZS-4B91B12E0C77</x:v>
      </x:c>
      <x:c r="B2191" s="24" t="str">
        <x:v>SIM</x:v>
      </x:c>
      <x:c r="C2191" s="24" t="str">
        <x:v>DISPONÍVEL</x:v>
      </x:c>
      <x:c r="D2191" s="24" t="str">
        <x:v>ZEISS</x:v>
      </x:c>
      <x:c r="E2191" s="24" t="str">
        <x:v>Progressiva</x:v>
      </x:c>
      <x:c r="F2191" s="24" t="str">
        <x:v>Surfaçada</x:v>
      </x:c>
      <x:c r="G2191" s="24" t="str">
        <x:v>ClearMind Pure</x:v>
      </x:c>
      <x:c r="H2191" s="24"/>
      <x:c r="I2191" s="24" t="str">
        <x:v>1.74</x:v>
      </x:c>
      <x:c r="J2191" s="24" t="str">
        <x:v>1.74</x:v>
      </x:c>
      <x:c r="K2191" s="24" t="str">
        <x:v>DuraVision Silver UV</x:v>
      </x:c>
      <x:c r="L2191" s="40" t="n">
        <x:v>10002</x:v>
      </x:c>
      <x:c r="M2191" s="24" t="str">
        <x:v>-10.00 a +7.00</x:v>
      </x:c>
      <x:c r="N2191" s="24" t="str">
        <x:v>-4.00</x:v>
      </x:c>
      <x:c r="O2191" s="24" t="str">
        <x:v>0.75 a 3.50</x:v>
      </x:c>
      <x:c r="P2191" s="24" t="str">
        <x:v>70 a 75</x:v>
      </x:c>
      <x:c r="Q2191" s="24"/>
      <x:c r="R2191" s="24"/>
      <x:c r="S2191" s="26" t="n">
        <x:v>46113</x:v>
      </x:c>
      <x:c r="T2191" s="26"/>
      <x:c r="U2191" s="24" t="str">
        <x:v>ATIVA/SEM FIM INFORMADO</x:v>
      </x:c>
      <x:c r="V2191" s="24" t="str">
        <x:v>Programa de Parcerias ZEISS — categoria Experts</x:v>
      </x:c>
      <x:c r="W2191" s="24" t="n">
        <x:v>35</x:v>
      </x:c>
      <x:c r="X2191" s="24" t="str">
        <x:v>tabela_zeiss.pdf</x:v>
      </x:c>
      <x:c r="Y2191" s="24" t="str">
        <x:v>alta</x:v>
      </x:c>
      <x:c r="Z2191" s="24"/>
      <x:c r="AA2191" s="24" t="str">
        <x:v>ZEISS|Progressiva|Surfaçada|ClearMind Pure||1.74|1.74|DuraVision Silver UV|-10.00 a +7.00|-4.00|0.75 a 3.50|70 a 75|||35</x:v>
      </x:c>
    </x:row>
    <x:row r="2192">
      <x:c r="A2192" s="24" t="str">
        <x:v>ZS-ABAF56A06B24</x:v>
      </x:c>
      <x:c r="B2192" s="24" t="str">
        <x:v>SIM</x:v>
      </x:c>
      <x:c r="C2192" s="24" t="str">
        <x:v>DISPONÍVEL</x:v>
      </x:c>
      <x:c r="D2192" s="24" t="str">
        <x:v>ZEISS</x:v>
      </x:c>
      <x:c r="E2192" s="24" t="str">
        <x:v>Progressiva</x:v>
      </x:c>
      <x:c r="F2192" s="24" t="str">
        <x:v>Surfaçada</x:v>
      </x:c>
      <x:c r="G2192" s="24" t="str">
        <x:v>ClearMind Pure</x:v>
      </x:c>
      <x:c r="H2192" s="24"/>
      <x:c r="I2192" s="24" t="str">
        <x:v>1.74</x:v>
      </x:c>
      <x:c r="J2192" s="24" t="str">
        <x:v>1.74</x:v>
      </x:c>
      <x:c r="K2192" s="24" t="str">
        <x:v>DuraVision Chrome UV</x:v>
      </x:c>
      <x:c r="L2192" s="40" t="n">
        <x:v>9512</x:v>
      </x:c>
      <x:c r="M2192" s="24" t="str">
        <x:v>-10.00 a +7.00</x:v>
      </x:c>
      <x:c r="N2192" s="24" t="str">
        <x:v>-4.00</x:v>
      </x:c>
      <x:c r="O2192" s="24" t="str">
        <x:v>0.75 a 3.50</x:v>
      </x:c>
      <x:c r="P2192" s="24" t="str">
        <x:v>70 a 75</x:v>
      </x:c>
      <x:c r="Q2192" s="24"/>
      <x:c r="R2192" s="24"/>
      <x:c r="S2192" s="26" t="n">
        <x:v>46113</x:v>
      </x:c>
      <x:c r="T2192" s="26"/>
      <x:c r="U2192" s="24" t="str">
        <x:v>ATIVA/SEM FIM INFORMADO</x:v>
      </x:c>
      <x:c r="V2192" s="24" t="str">
        <x:v>Programa de Parcerias ZEISS — categoria Experts</x:v>
      </x:c>
      <x:c r="W2192" s="24" t="n">
        <x:v>35</x:v>
      </x:c>
      <x:c r="X2192" s="24" t="str">
        <x:v>tabela_zeiss.pdf</x:v>
      </x:c>
      <x:c r="Y2192" s="24" t="str">
        <x:v>alta</x:v>
      </x:c>
      <x:c r="Z2192" s="24"/>
      <x:c r="AA2192" s="24" t="str">
        <x:v>ZEISS|Progressiva|Surfaçada|ClearMind Pure||1.74|1.74|DuraVision Chrome UV|-10.00 a +7.00|-4.00|0.75 a 3.50|70 a 75|||35</x:v>
      </x:c>
    </x:row>
    <x:row r="2193">
      <x:c r="A2193" s="24" t="str">
        <x:v>ZS-0A8F50B8EDC1</x:v>
      </x:c>
      <x:c r="B2193" s="24" t="str">
        <x:v>SIM</x:v>
      </x:c>
      <x:c r="C2193" s="24" t="str">
        <x:v>DISPONÍVEL</x:v>
      </x:c>
      <x:c r="D2193" s="24" t="str">
        <x:v>ZEISS</x:v>
      </x:c>
      <x:c r="E2193" s="24" t="str">
        <x:v>Progressiva</x:v>
      </x:c>
      <x:c r="F2193" s="24" t="str">
        <x:v>Surfaçada</x:v>
      </x:c>
      <x:c r="G2193" s="24" t="str">
        <x:v>ClearMind Pure</x:v>
      </x:c>
      <x:c r="H2193" s="24" t="str">
        <x:v>PhotoFusion X</x:v>
      </x:c>
      <x:c r="I2193" s="24" t="str">
        <x:v>1.5</x:v>
      </x:c>
      <x:c r="J2193" s="24" t="str">
        <x:v>1.50</x:v>
      </x:c>
      <x:c r="K2193" s="24" t="str">
        <x:v>DuraVision Gold UV</x:v>
      </x:c>
      <x:c r="L2193" s="40" t="n">
        <x:v>7332</x:v>
      </x:c>
      <x:c r="M2193" s="24" t="str">
        <x:v>-6.00 a +5.50</x:v>
      </x:c>
      <x:c r="N2193" s="24" t="str">
        <x:v>-4.00</x:v>
      </x:c>
      <x:c r="O2193" s="24" t="str">
        <x:v>0.75 a 3.00</x:v>
      </x:c>
      <x:c r="P2193" s="24" t="str">
        <x:v>75</x:v>
      </x:c>
      <x:c r="Q2193" s="24"/>
      <x:c r="R2193" s="24"/>
      <x:c r="S2193" s="26" t="n">
        <x:v>46113</x:v>
      </x:c>
      <x:c r="T2193" s="26"/>
      <x:c r="U2193" s="24" t="str">
        <x:v>ATIVA/SEM FIM INFORMADO</x:v>
      </x:c>
      <x:c r="V2193" s="24" t="str">
        <x:v>Programa de Parcerias ZEISS — categoria Experts; Programa de Parcerias ZEISS</x:v>
      </x:c>
      <x:c r="W2193" s="24" t="n">
        <x:v>35</x:v>
      </x:c>
      <x:c r="X2193" s="24" t="str">
        <x:v>tabela_zeiss.pdf</x:v>
      </x:c>
      <x:c r="Y2193" s="24" t="str">
        <x:v>alta</x:v>
      </x:c>
      <x:c r="Z2193" s="24"/>
      <x:c r="AA2193" s="24" t="str">
        <x:v>ZEISS|Progressiva|Surfaçada|ClearMind Pure|PhotoFusion X|1.5|1.50|DuraVision Gold UV|-6.00 a +5.50|-4.00|0.75 a 3.00|75|||35</x:v>
      </x:c>
    </x:row>
    <x:row r="2194">
      <x:c r="A2194" s="24" t="str">
        <x:v>ZS-DEFD52760985</x:v>
      </x:c>
      <x:c r="B2194" s="24" t="str">
        <x:v>SIM</x:v>
      </x:c>
      <x:c r="C2194" s="24" t="str">
        <x:v>DISPONÍVEL</x:v>
      </x:c>
      <x:c r="D2194" s="24" t="str">
        <x:v>ZEISS</x:v>
      </x:c>
      <x:c r="E2194" s="24" t="str">
        <x:v>Progressiva</x:v>
      </x:c>
      <x:c r="F2194" s="24" t="str">
        <x:v>Surfaçada</x:v>
      </x:c>
      <x:c r="G2194" s="24" t="str">
        <x:v>ClearMind Pure</x:v>
      </x:c>
      <x:c r="H2194" s="24" t="str">
        <x:v>PhotoFusion X</x:v>
      </x:c>
      <x:c r="I2194" s="24" t="str">
        <x:v>1.5</x:v>
      </x:c>
      <x:c r="J2194" s="24" t="str">
        <x:v>1.50</x:v>
      </x:c>
      <x:c r="K2194" s="24" t="str">
        <x:v>DURAVISION® ANTIVÍRUS PLATINUM UV</x:v>
      </x:c>
      <x:c r="L2194" s="40" t="n">
        <x:v>7192</x:v>
      </x:c>
      <x:c r="M2194" s="24" t="str">
        <x:v>-6.00 a +5.50</x:v>
      </x:c>
      <x:c r="N2194" s="24" t="str">
        <x:v>-4.00</x:v>
      </x:c>
      <x:c r="O2194" s="24" t="str">
        <x:v>0.75 a 3.00</x:v>
      </x:c>
      <x:c r="P2194" s="24" t="str">
        <x:v>75</x:v>
      </x:c>
      <x:c r="Q2194" s="24"/>
      <x:c r="R2194" s="24"/>
      <x:c r="S2194" s="26" t="n">
        <x:v>46113</x:v>
      </x:c>
      <x:c r="T2194" s="26"/>
      <x:c r="U2194" s="24" t="str">
        <x:v>ATIVA/SEM FIM INFORMADO</x:v>
      </x:c>
      <x:c r="V2194" s="24" t="str">
        <x:v>Programa de Parcerias ZEISS — categoria Experts; Programa de Parcerias ZEISS</x:v>
      </x:c>
      <x:c r="W2194" s="24" t="n">
        <x:v>35</x:v>
      </x:c>
      <x:c r="X2194" s="24" t="str">
        <x:v>tabela_zeiss.pdf</x:v>
      </x:c>
      <x:c r="Y2194" s="24" t="str">
        <x:v>alta</x:v>
      </x:c>
      <x:c r="Z2194" s="24"/>
      <x:c r="AA2194" s="24" t="str">
        <x:v>ZEISS|Progressiva|Surfaçada|ClearMind Pure|PhotoFusion X|1.5|1.50|DURAVISION® ANTIVÍRUS PLATINUM UV|-6.00 a +5.50|-4.00|0.75 a 3.00|75|||35</x:v>
      </x:c>
    </x:row>
    <x:row r="2195">
      <x:c r="A2195" s="24" t="str">
        <x:v>ZS-5DB2E7B20956</x:v>
      </x:c>
      <x:c r="B2195" s="24" t="str">
        <x:v>SIM</x:v>
      </x:c>
      <x:c r="C2195" s="24" t="str">
        <x:v>DISPONÍVEL</x:v>
      </x:c>
      <x:c r="D2195" s="24" t="str">
        <x:v>ZEISS</x:v>
      </x:c>
      <x:c r="E2195" s="24" t="str">
        <x:v>Progressiva</x:v>
      </x:c>
      <x:c r="F2195" s="24" t="str">
        <x:v>Surfaçada</x:v>
      </x:c>
      <x:c r="G2195" s="24" t="str">
        <x:v>ClearMind Pure</x:v>
      </x:c>
      <x:c r="H2195" s="24" t="str">
        <x:v>PhotoFusion X</x:v>
      </x:c>
      <x:c r="I2195" s="24" t="str">
        <x:v>1.5</x:v>
      </x:c>
      <x:c r="J2195" s="24" t="str">
        <x:v>1.50</x:v>
      </x:c>
      <x:c r="K2195" s="24" t="str">
        <x:v>DuraVision Platinum UV</x:v>
      </x:c>
      <x:c r="L2195" s="40" t="n">
        <x:v>7192</x:v>
      </x:c>
      <x:c r="M2195" s="24" t="str">
        <x:v>-6.00 a +5.50</x:v>
      </x:c>
      <x:c r="N2195" s="24" t="str">
        <x:v>-4.00</x:v>
      </x:c>
      <x:c r="O2195" s="24" t="str">
        <x:v>0.75 a 3.00</x:v>
      </x:c>
      <x:c r="P2195" s="24" t="str">
        <x:v>75</x:v>
      </x:c>
      <x:c r="Q2195" s="24"/>
      <x:c r="R2195" s="24"/>
      <x:c r="S2195" s="26" t="n">
        <x:v>46113</x:v>
      </x:c>
      <x:c r="T2195" s="26"/>
      <x:c r="U2195" s="24" t="str">
        <x:v>ATIVA/SEM FIM INFORMADO</x:v>
      </x:c>
      <x:c r="V2195" s="24" t="str">
        <x:v>Programa de Parcerias ZEISS — categoria Experts; Programa de Parcerias ZEISS</x:v>
      </x:c>
      <x:c r="W2195" s="24" t="n">
        <x:v>35</x:v>
      </x:c>
      <x:c r="X2195" s="24" t="str">
        <x:v>tabela_zeiss.pdf</x:v>
      </x:c>
      <x:c r="Y2195" s="24" t="str">
        <x:v>alta</x:v>
      </x:c>
      <x:c r="Z2195" s="24"/>
      <x:c r="AA2195" s="24" t="str">
        <x:v>ZEISS|Progressiva|Surfaçada|ClearMind Pure|PhotoFusion X|1.5|1.50|DuraVision Platinum UV|-6.00 a +5.50|-4.00|0.75 a 3.00|75|||35</x:v>
      </x:c>
    </x:row>
    <x:row r="2196">
      <x:c r="A2196" s="24" t="str">
        <x:v>ZS-9FC3E22EA13C</x:v>
      </x:c>
      <x:c r="B2196" s="24" t="str">
        <x:v>SIM</x:v>
      </x:c>
      <x:c r="C2196" s="24" t="str">
        <x:v>DISPONÍVEL</x:v>
      </x:c>
      <x:c r="D2196" s="24" t="str">
        <x:v>ZEISS</x:v>
      </x:c>
      <x:c r="E2196" s="24" t="str">
        <x:v>Progressiva</x:v>
      </x:c>
      <x:c r="F2196" s="24" t="str">
        <x:v>Surfaçada</x:v>
      </x:c>
      <x:c r="G2196" s="24" t="str">
        <x:v>ClearMind Pure</x:v>
      </x:c>
      <x:c r="H2196" s="24" t="str">
        <x:v>PhotoFusion X</x:v>
      </x:c>
      <x:c r="I2196" s="24" t="str">
        <x:v>1.5</x:v>
      </x:c>
      <x:c r="J2196" s="24" t="str">
        <x:v>1.50</x:v>
      </x:c>
      <x:c r="K2196" s="24" t="str">
        <x:v>DuraVision Silver UV</x:v>
      </x:c>
      <x:c r="L2196" s="40" t="n">
        <x:v>6932</x:v>
      </x:c>
      <x:c r="M2196" s="24" t="str">
        <x:v>-6.00 a +5.50</x:v>
      </x:c>
      <x:c r="N2196" s="24" t="str">
        <x:v>-4.00</x:v>
      </x:c>
      <x:c r="O2196" s="24" t="str">
        <x:v>0.75 a 3.00</x:v>
      </x:c>
      <x:c r="P2196" s="24" t="str">
        <x:v>75</x:v>
      </x:c>
      <x:c r="Q2196" s="24"/>
      <x:c r="R2196" s="24"/>
      <x:c r="S2196" s="26" t="n">
        <x:v>46113</x:v>
      </x:c>
      <x:c r="T2196" s="26"/>
      <x:c r="U2196" s="24" t="str">
        <x:v>ATIVA/SEM FIM INFORMADO</x:v>
      </x:c>
      <x:c r="V2196" s="24" t="str">
        <x:v>Programa de Parcerias ZEISS — categoria Experts; Programa de Parcerias ZEISS</x:v>
      </x:c>
      <x:c r="W2196" s="24" t="n">
        <x:v>35</x:v>
      </x:c>
      <x:c r="X2196" s="24" t="str">
        <x:v>tabela_zeiss.pdf</x:v>
      </x:c>
      <x:c r="Y2196" s="24" t="str">
        <x:v>alta</x:v>
      </x:c>
      <x:c r="Z2196" s="24"/>
      <x:c r="AA2196" s="24" t="str">
        <x:v>ZEISS|Progressiva|Surfaçada|ClearMind Pure|PhotoFusion X|1.5|1.50|DuraVision Silver UV|-6.00 a +5.50|-4.00|0.75 a 3.00|75|||35</x:v>
      </x:c>
    </x:row>
    <x:row r="2197">
      <x:c r="A2197" s="24" t="str">
        <x:v>ZS-377B4B1642AB</x:v>
      </x:c>
      <x:c r="B2197" s="24" t="str">
        <x:v>SIM</x:v>
      </x:c>
      <x:c r="C2197" s="24" t="str">
        <x:v>DISPONÍVEL</x:v>
      </x:c>
      <x:c r="D2197" s="24" t="str">
        <x:v>ZEISS</x:v>
      </x:c>
      <x:c r="E2197" s="24" t="str">
        <x:v>Progressiva</x:v>
      </x:c>
      <x:c r="F2197" s="24" t="str">
        <x:v>Surfaçada</x:v>
      </x:c>
      <x:c r="G2197" s="24" t="str">
        <x:v>ClearMind Pure</x:v>
      </x:c>
      <x:c r="H2197" s="24" t="str">
        <x:v>PhotoFusion X</x:v>
      </x:c>
      <x:c r="I2197" s="24" t="str">
        <x:v>1.5</x:v>
      </x:c>
      <x:c r="J2197" s="24" t="str">
        <x:v>1.50</x:v>
      </x:c>
      <x:c r="K2197" s="24" t="str">
        <x:v>DuraVision Chrome UV</x:v>
      </x:c>
      <x:c r="L2197" s="40" t="n">
        <x:v>6442</x:v>
      </x:c>
      <x:c r="M2197" s="24" t="str">
        <x:v>-6.00 a +5.50</x:v>
      </x:c>
      <x:c r="N2197" s="24" t="str">
        <x:v>-4.00</x:v>
      </x:c>
      <x:c r="O2197" s="24" t="str">
        <x:v>0.75 a 3.00</x:v>
      </x:c>
      <x:c r="P2197" s="24" t="str">
        <x:v>75</x:v>
      </x:c>
      <x:c r="Q2197" s="24"/>
      <x:c r="R2197" s="24"/>
      <x:c r="S2197" s="26" t="n">
        <x:v>46113</x:v>
      </x:c>
      <x:c r="T2197" s="26"/>
      <x:c r="U2197" s="24" t="str">
        <x:v>ATIVA/SEM FIM INFORMADO</x:v>
      </x:c>
      <x:c r="V2197" s="24" t="str">
        <x:v>Programa de Parcerias ZEISS — categoria Experts; Programa de Parcerias ZEISS</x:v>
      </x:c>
      <x:c r="W2197" s="24" t="n">
        <x:v>35</x:v>
      </x:c>
      <x:c r="X2197" s="24" t="str">
        <x:v>tabela_zeiss.pdf</x:v>
      </x:c>
      <x:c r="Y2197" s="24" t="str">
        <x:v>alta</x:v>
      </x:c>
      <x:c r="Z2197" s="24"/>
      <x:c r="AA2197" s="24" t="str">
        <x:v>ZEISS|Progressiva|Surfaçada|ClearMind Pure|PhotoFusion X|1.5|1.50|DuraVision Chrome UV|-6.00 a +5.50|-4.00|0.75 a 3.00|75|||35</x:v>
      </x:c>
    </x:row>
    <x:row r="2198">
      <x:c r="A2198" s="24" t="str">
        <x:v>ZS-AA914BC17034</x:v>
      </x:c>
      <x:c r="B2198" s="24" t="str">
        <x:v>SIM</x:v>
      </x:c>
      <x:c r="C2198" s="24" t="str">
        <x:v>DISPONÍVEL</x:v>
      </x:c>
      <x:c r="D2198" s="24" t="str">
        <x:v>ZEISS</x:v>
      </x:c>
      <x:c r="E2198" s="24" t="str">
        <x:v>Progressiva</x:v>
      </x:c>
      <x:c r="F2198" s="24" t="str">
        <x:v>Surfaçada</x:v>
      </x:c>
      <x:c r="G2198" s="24" t="str">
        <x:v>ClearMind Pure</x:v>
      </x:c>
      <x:c r="H2198" s="24" t="str">
        <x:v>PhotoFusion X</x:v>
      </x:c>
      <x:c r="I2198" s="24" t="str">
        <x:v>Poli</x:v>
      </x:c>
      <x:c r="J2198" s="24"/>
      <x:c r="K2198" s="24" t="str">
        <x:v>DuraVision Gold UV</x:v>
      </x:c>
      <x:c r="L2198" s="40" t="n">
        <x:v>7922</x:v>
      </x:c>
      <x:c r="M2198" s="24" t="str">
        <x:v>-10.00 a +6.00</x:v>
      </x:c>
      <x:c r="N2198" s="24" t="str">
        <x:v>-6.00</x:v>
      </x:c>
      <x:c r="O2198" s="24" t="str">
        <x:v>0.75 a 3.00</x:v>
      </x:c>
      <x:c r="P2198" s="24" t="str">
        <x:v>70</x:v>
      </x:c>
      <x:c r="Q2198" s="24"/>
      <x:c r="R2198" s="24"/>
      <x:c r="S2198" s="26" t="n">
        <x:v>46113</x:v>
      </x:c>
      <x:c r="T2198" s="26"/>
      <x:c r="U2198" s="24" t="str">
        <x:v>ATIVA/SEM FIM INFORMADO</x:v>
      </x:c>
      <x:c r="V2198" s="24" t="str">
        <x:v>Programa de Parcerias ZEISS — categoria Experts; Programa de Parcerias ZEISS</x:v>
      </x:c>
      <x:c r="W2198" s="24" t="n">
        <x:v>35</x:v>
      </x:c>
      <x:c r="X2198" s="24" t="str">
        <x:v>tabela_zeiss.pdf</x:v>
      </x:c>
      <x:c r="Y2198" s="24" t="str">
        <x:v>alta</x:v>
      </x:c>
      <x:c r="Z2198" s="24"/>
      <x:c r="AA2198" s="24" t="str">
        <x:v>ZEISS|Progressiva|Surfaçada|ClearMind Pure|PhotoFusion X|Poli||DuraVision Gold UV|-10.00 a +6.00|-6.00|0.75 a 3.00|70|||35</x:v>
      </x:c>
    </x:row>
    <x:row r="2199">
      <x:c r="A2199" s="24" t="str">
        <x:v>ZS-DEC8D502D71D</x:v>
      </x:c>
      <x:c r="B2199" s="24" t="str">
        <x:v>SIM</x:v>
      </x:c>
      <x:c r="C2199" s="24" t="str">
        <x:v>DISPONÍVEL</x:v>
      </x:c>
      <x:c r="D2199" s="24" t="str">
        <x:v>ZEISS</x:v>
      </x:c>
      <x:c r="E2199" s="24" t="str">
        <x:v>Progressiva</x:v>
      </x:c>
      <x:c r="F2199" s="24" t="str">
        <x:v>Surfaçada</x:v>
      </x:c>
      <x:c r="G2199" s="24" t="str">
        <x:v>ClearMind Pure</x:v>
      </x:c>
      <x:c r="H2199" s="24" t="str">
        <x:v>PhotoFusion X</x:v>
      </x:c>
      <x:c r="I2199" s="24" t="str">
        <x:v>Poli</x:v>
      </x:c>
      <x:c r="J2199" s="24"/>
      <x:c r="K2199" s="24" t="str">
        <x:v>DuraVision Platinum UV</x:v>
      </x:c>
      <x:c r="L2199" s="40" t="n">
        <x:v>7782</x:v>
      </x:c>
      <x:c r="M2199" s="24" t="str">
        <x:v>-10.00 a +6.00</x:v>
      </x:c>
      <x:c r="N2199" s="24" t="str">
        <x:v>-6.00</x:v>
      </x:c>
      <x:c r="O2199" s="24" t="str">
        <x:v>0.75 a 3.00</x:v>
      </x:c>
      <x:c r="P2199" s="24" t="str">
        <x:v>70</x:v>
      </x:c>
      <x:c r="Q2199" s="24"/>
      <x:c r="R2199" s="24"/>
      <x:c r="S2199" s="26" t="n">
        <x:v>46113</x:v>
      </x:c>
      <x:c r="T2199" s="26"/>
      <x:c r="U2199" s="24" t="str">
        <x:v>ATIVA/SEM FIM INFORMADO</x:v>
      </x:c>
      <x:c r="V2199" s="24" t="str">
        <x:v>Programa de Parcerias ZEISS — categoria Experts; Programa de Parcerias ZEISS</x:v>
      </x:c>
      <x:c r="W2199" s="24" t="n">
        <x:v>35</x:v>
      </x:c>
      <x:c r="X2199" s="24" t="str">
        <x:v>tabela_zeiss.pdf</x:v>
      </x:c>
      <x:c r="Y2199" s="24" t="str">
        <x:v>alta</x:v>
      </x:c>
      <x:c r="Z2199" s="24"/>
      <x:c r="AA2199" s="24" t="str">
        <x:v>ZEISS|Progressiva|Surfaçada|ClearMind Pure|PhotoFusion X|Poli||DuraVision Platinum UV|-10.00 a +6.00|-6.00|0.75 a 3.00|70|||35</x:v>
      </x:c>
    </x:row>
    <x:row r="2200">
      <x:c r="A2200" s="24" t="str">
        <x:v>ZS-A7F8EBF51972</x:v>
      </x:c>
      <x:c r="B2200" s="24" t="str">
        <x:v>SIM</x:v>
      </x:c>
      <x:c r="C2200" s="24" t="str">
        <x:v>DISPONÍVEL</x:v>
      </x:c>
      <x:c r="D2200" s="24" t="str">
        <x:v>ZEISS</x:v>
      </x:c>
      <x:c r="E2200" s="24" t="str">
        <x:v>Progressiva</x:v>
      </x:c>
      <x:c r="F2200" s="24" t="str">
        <x:v>Surfaçada</x:v>
      </x:c>
      <x:c r="G2200" s="24" t="str">
        <x:v>ClearMind Pure</x:v>
      </x:c>
      <x:c r="H2200" s="24" t="str">
        <x:v>PhotoFusion X</x:v>
      </x:c>
      <x:c r="I2200" s="24" t="str">
        <x:v>Poli</x:v>
      </x:c>
      <x:c r="J2200" s="24"/>
      <x:c r="K2200" s="24" t="str">
        <x:v>DuraVision Silver UV</x:v>
      </x:c>
      <x:c r="L2200" s="40" t="n">
        <x:v>7522</x:v>
      </x:c>
      <x:c r="M2200" s="24" t="str">
        <x:v>-10.00 a +6.00</x:v>
      </x:c>
      <x:c r="N2200" s="24" t="str">
        <x:v>-6.00</x:v>
      </x:c>
      <x:c r="O2200" s="24" t="str">
        <x:v>0.75 a 3.00</x:v>
      </x:c>
      <x:c r="P2200" s="24" t="str">
        <x:v>70</x:v>
      </x:c>
      <x:c r="Q2200" s="24"/>
      <x:c r="R2200" s="24"/>
      <x:c r="S2200" s="26" t="n">
        <x:v>46113</x:v>
      </x:c>
      <x:c r="T2200" s="26"/>
      <x:c r="U2200" s="24" t="str">
        <x:v>ATIVA/SEM FIM INFORMADO</x:v>
      </x:c>
      <x:c r="V2200" s="24" t="str">
        <x:v>Programa de Parcerias ZEISS — categoria Experts; Programa de Parcerias ZEISS</x:v>
      </x:c>
      <x:c r="W2200" s="24" t="n">
        <x:v>35</x:v>
      </x:c>
      <x:c r="X2200" s="24" t="str">
        <x:v>tabela_zeiss.pdf</x:v>
      </x:c>
      <x:c r="Y2200" s="24" t="str">
        <x:v>alta</x:v>
      </x:c>
      <x:c r="Z2200" s="24"/>
      <x:c r="AA2200" s="24" t="str">
        <x:v>ZEISS|Progressiva|Surfaçada|ClearMind Pure|PhotoFusion X|Poli||DuraVision Silver UV|-10.00 a +6.00|-6.00|0.75 a 3.00|70|||35</x:v>
      </x:c>
    </x:row>
    <x:row r="2201">
      <x:c r="A2201" s="24" t="str">
        <x:v>ZS-9F9189F5D519</x:v>
      </x:c>
      <x:c r="B2201" s="24" t="str">
        <x:v>SIM</x:v>
      </x:c>
      <x:c r="C2201" s="24" t="str">
        <x:v>DISPONÍVEL</x:v>
      </x:c>
      <x:c r="D2201" s="24" t="str">
        <x:v>ZEISS</x:v>
      </x:c>
      <x:c r="E2201" s="24" t="str">
        <x:v>Progressiva</x:v>
      </x:c>
      <x:c r="F2201" s="24" t="str">
        <x:v>Surfaçada</x:v>
      </x:c>
      <x:c r="G2201" s="24" t="str">
        <x:v>ClearMind Pure</x:v>
      </x:c>
      <x:c r="H2201" s="24" t="str">
        <x:v>PhotoFusion X</x:v>
      </x:c>
      <x:c r="I2201" s="24" t="str">
        <x:v>Poli</x:v>
      </x:c>
      <x:c r="J2201" s="24"/>
      <x:c r="K2201" s="24" t="str">
        <x:v>DuraVision Chrome UV</x:v>
      </x:c>
      <x:c r="L2201" s="40" t="n">
        <x:v>7032</x:v>
      </x:c>
      <x:c r="M2201" s="24" t="str">
        <x:v>-10.00 a +6.00</x:v>
      </x:c>
      <x:c r="N2201" s="24" t="str">
        <x:v>-6.00</x:v>
      </x:c>
      <x:c r="O2201" s="24" t="str">
        <x:v>0.75 a 3.00</x:v>
      </x:c>
      <x:c r="P2201" s="24" t="str">
        <x:v>70</x:v>
      </x:c>
      <x:c r="Q2201" s="24"/>
      <x:c r="R2201" s="24"/>
      <x:c r="S2201" s="26" t="n">
        <x:v>46113</x:v>
      </x:c>
      <x:c r="T2201" s="26"/>
      <x:c r="U2201" s="24" t="str">
        <x:v>ATIVA/SEM FIM INFORMADO</x:v>
      </x:c>
      <x:c r="V2201" s="24" t="str">
        <x:v>Programa de Parcerias ZEISS — categoria Experts; Programa de Parcerias ZEISS</x:v>
      </x:c>
      <x:c r="W2201" s="24" t="n">
        <x:v>35</x:v>
      </x:c>
      <x:c r="X2201" s="24" t="str">
        <x:v>tabela_zeiss.pdf</x:v>
      </x:c>
      <x:c r="Y2201" s="24" t="str">
        <x:v>alta</x:v>
      </x:c>
      <x:c r="Z2201" s="24"/>
      <x:c r="AA2201" s="24" t="str">
        <x:v>ZEISS|Progressiva|Surfaçada|ClearMind Pure|PhotoFusion X|Poli||DuraVision Chrome UV|-10.00 a +6.00|-6.00|0.75 a 3.00|70|||35</x:v>
      </x:c>
    </x:row>
    <x:row r="2202">
      <x:c r="A2202" s="24" t="str">
        <x:v>ZS-03D88E5333E3</x:v>
      </x:c>
      <x:c r="B2202" s="24" t="str">
        <x:v>SIM</x:v>
      </x:c>
      <x:c r="C2202" s="24" t="str">
        <x:v>DISPONÍVEL</x:v>
      </x:c>
      <x:c r="D2202" s="24" t="str">
        <x:v>ZEISS</x:v>
      </x:c>
      <x:c r="E2202" s="24" t="str">
        <x:v>Progressiva</x:v>
      </x:c>
      <x:c r="F2202" s="24" t="str">
        <x:v>Surfaçada</x:v>
      </x:c>
      <x:c r="G2202" s="24" t="str">
        <x:v>ClearMind Pure</x:v>
      </x:c>
      <x:c r="H2202" s="24" t="str">
        <x:v>PhotoFusion X</x:v>
      </x:c>
      <x:c r="I2202" s="24" t="str">
        <x:v>1.6</x:v>
      </x:c>
      <x:c r="J2202" s="24" t="str">
        <x:v>1.60</x:v>
      </x:c>
      <x:c r="K2202" s="24" t="str">
        <x:v>DuraVision Gold UV</x:v>
      </x:c>
      <x:c r="L2202" s="40" t="n">
        <x:v>8582</x:v>
      </x:c>
      <x:c r="M2202" s="24" t="str">
        <x:v>-7.25 a +6.00</x:v>
      </x:c>
      <x:c r="N2202" s="24" t="str">
        <x:v>-6.00</x:v>
      </x:c>
      <x:c r="O2202" s="24" t="str">
        <x:v>0.75 a 3.50</x:v>
      </x:c>
      <x:c r="P2202" s="24" t="str">
        <x:v>75</x:v>
      </x:c>
      <x:c r="Q2202" s="24"/>
      <x:c r="R2202" s="24"/>
      <x:c r="S2202" s="26" t="n">
        <x:v>46113</x:v>
      </x:c>
      <x:c r="T2202" s="26"/>
      <x:c r="U2202" s="24" t="str">
        <x:v>ATIVA/SEM FIM INFORMADO</x:v>
      </x:c>
      <x:c r="V2202" s="24" t="str">
        <x:v>Programa de Parcerias ZEISS — categoria Experts; Programa de Parcerias ZEISS</x:v>
      </x:c>
      <x:c r="W2202" s="24" t="n">
        <x:v>35</x:v>
      </x:c>
      <x:c r="X2202" s="24" t="str">
        <x:v>tabela_zeiss.pdf</x:v>
      </x:c>
      <x:c r="Y2202" s="24" t="str">
        <x:v>alta</x:v>
      </x:c>
      <x:c r="Z2202" s="24"/>
      <x:c r="AA2202" s="24" t="str">
        <x:v>ZEISS|Progressiva|Surfaçada|ClearMind Pure|PhotoFusion X|1.6|1.60|DuraVision Gold UV|-7.25 a +6.00|-6.00|0.75 a 3.50|75|||35</x:v>
      </x:c>
    </x:row>
    <x:row r="2203">
      <x:c r="A2203" s="24" t="str">
        <x:v>ZS-FA4B3E40216E</x:v>
      </x:c>
      <x:c r="B2203" s="24" t="str">
        <x:v>SIM</x:v>
      </x:c>
      <x:c r="C2203" s="24" t="str">
        <x:v>DISPONÍVEL</x:v>
      </x:c>
      <x:c r="D2203" s="24" t="str">
        <x:v>ZEISS</x:v>
      </x:c>
      <x:c r="E2203" s="24" t="str">
        <x:v>Progressiva</x:v>
      </x:c>
      <x:c r="F2203" s="24" t="str">
        <x:v>Surfaçada</x:v>
      </x:c>
      <x:c r="G2203" s="24" t="str">
        <x:v>ClearMind Pure</x:v>
      </x:c>
      <x:c r="H2203" s="24" t="str">
        <x:v>PhotoFusion X</x:v>
      </x:c>
      <x:c r="I2203" s="24" t="str">
        <x:v>1.6</x:v>
      </x:c>
      <x:c r="J2203" s="24" t="str">
        <x:v>1.60</x:v>
      </x:c>
      <x:c r="K2203" s="24" t="str">
        <x:v>DURAVISION® ANTIVÍRUS PLATINUM UV</x:v>
      </x:c>
      <x:c r="L2203" s="40" t="n">
        <x:v>8442</x:v>
      </x:c>
      <x:c r="M2203" s="24" t="str">
        <x:v>-7.25 a +6.00</x:v>
      </x:c>
      <x:c r="N2203" s="24" t="str">
        <x:v>-6.00</x:v>
      </x:c>
      <x:c r="O2203" s="24" t="str">
        <x:v>0.75 a 3.50</x:v>
      </x:c>
      <x:c r="P2203" s="24" t="str">
        <x:v>75</x:v>
      </x:c>
      <x:c r="Q2203" s="24"/>
      <x:c r="R2203" s="24"/>
      <x:c r="S2203" s="26" t="n">
        <x:v>46113</x:v>
      </x:c>
      <x:c r="T2203" s="26"/>
      <x:c r="U2203" s="24" t="str">
        <x:v>ATIVA/SEM FIM INFORMADO</x:v>
      </x:c>
      <x:c r="V2203" s="24" t="str">
        <x:v>Programa de Parcerias ZEISS — categoria Experts; Programa de Parcerias ZEISS</x:v>
      </x:c>
      <x:c r="W2203" s="24" t="n">
        <x:v>35</x:v>
      </x:c>
      <x:c r="X2203" s="24" t="str">
        <x:v>tabela_zeiss.pdf</x:v>
      </x:c>
      <x:c r="Y2203" s="24" t="str">
        <x:v>alta</x:v>
      </x:c>
      <x:c r="Z2203" s="24"/>
      <x:c r="AA2203" s="24" t="str">
        <x:v>ZEISS|Progressiva|Surfaçada|ClearMind Pure|PhotoFusion X|1.6|1.60|DURAVISION® ANTIVÍRUS PLATINUM UV|-7.25 a +6.00|-6.00|0.75 a 3.50|75|||35</x:v>
      </x:c>
    </x:row>
    <x:row r="2204">
      <x:c r="A2204" s="24" t="str">
        <x:v>ZS-1FE45683E831</x:v>
      </x:c>
      <x:c r="B2204" s="24" t="str">
        <x:v>SIM</x:v>
      </x:c>
      <x:c r="C2204" s="24" t="str">
        <x:v>DISPONÍVEL</x:v>
      </x:c>
      <x:c r="D2204" s="24" t="str">
        <x:v>ZEISS</x:v>
      </x:c>
      <x:c r="E2204" s="24" t="str">
        <x:v>Progressiva</x:v>
      </x:c>
      <x:c r="F2204" s="24" t="str">
        <x:v>Surfaçada</x:v>
      </x:c>
      <x:c r="G2204" s="24" t="str">
        <x:v>ClearMind Pure</x:v>
      </x:c>
      <x:c r="H2204" s="24" t="str">
        <x:v>PhotoFusion X</x:v>
      </x:c>
      <x:c r="I2204" s="24" t="str">
        <x:v>1.6</x:v>
      </x:c>
      <x:c r="J2204" s="24" t="str">
        <x:v>1.60</x:v>
      </x:c>
      <x:c r="K2204" s="24" t="str">
        <x:v>DuraVision Platinum UV</x:v>
      </x:c>
      <x:c r="L2204" s="40" t="n">
        <x:v>8442</x:v>
      </x:c>
      <x:c r="M2204" s="24" t="str">
        <x:v>-7.25 a +6.00</x:v>
      </x:c>
      <x:c r="N2204" s="24" t="str">
        <x:v>-6.00</x:v>
      </x:c>
      <x:c r="O2204" s="24" t="str">
        <x:v>0.75 a 3.50</x:v>
      </x:c>
      <x:c r="P2204" s="24" t="str">
        <x:v>75</x:v>
      </x:c>
      <x:c r="Q2204" s="24"/>
      <x:c r="R2204" s="24"/>
      <x:c r="S2204" s="26" t="n">
        <x:v>46113</x:v>
      </x:c>
      <x:c r="T2204" s="26"/>
      <x:c r="U2204" s="24" t="str">
        <x:v>ATIVA/SEM FIM INFORMADO</x:v>
      </x:c>
      <x:c r="V2204" s="24" t="str">
        <x:v>Programa de Parcerias ZEISS — categoria Experts; Programa de Parcerias ZEISS</x:v>
      </x:c>
      <x:c r="W2204" s="24" t="n">
        <x:v>35</x:v>
      </x:c>
      <x:c r="X2204" s="24" t="str">
        <x:v>tabela_zeiss.pdf</x:v>
      </x:c>
      <x:c r="Y2204" s="24" t="str">
        <x:v>alta</x:v>
      </x:c>
      <x:c r="Z2204" s="24"/>
      <x:c r="AA2204" s="24" t="str">
        <x:v>ZEISS|Progressiva|Surfaçada|ClearMind Pure|PhotoFusion X|1.6|1.60|DuraVision Platinum UV|-7.25 a +6.00|-6.00|0.75 a 3.50|75|||35</x:v>
      </x:c>
    </x:row>
    <x:row r="2205">
      <x:c r="A2205" s="24" t="str">
        <x:v>ZS-C2BB82178015</x:v>
      </x:c>
      <x:c r="B2205" s="24" t="str">
        <x:v>SIM</x:v>
      </x:c>
      <x:c r="C2205" s="24" t="str">
        <x:v>DISPONÍVEL</x:v>
      </x:c>
      <x:c r="D2205" s="24" t="str">
        <x:v>ZEISS</x:v>
      </x:c>
      <x:c r="E2205" s="24" t="str">
        <x:v>Progressiva</x:v>
      </x:c>
      <x:c r="F2205" s="24" t="str">
        <x:v>Surfaçada</x:v>
      </x:c>
      <x:c r="G2205" s="24" t="str">
        <x:v>ClearMind Pure</x:v>
      </x:c>
      <x:c r="H2205" s="24" t="str">
        <x:v>PhotoFusion X</x:v>
      </x:c>
      <x:c r="I2205" s="24" t="str">
        <x:v>1.6</x:v>
      </x:c>
      <x:c r="J2205" s="24" t="str">
        <x:v>1.60</x:v>
      </x:c>
      <x:c r="K2205" s="24" t="str">
        <x:v>DuraVision Silver UV</x:v>
      </x:c>
      <x:c r="L2205" s="40" t="n">
        <x:v>8182</x:v>
      </x:c>
      <x:c r="M2205" s="24" t="str">
        <x:v>-7.25 a +6.00</x:v>
      </x:c>
      <x:c r="N2205" s="24" t="str">
        <x:v>-6.00</x:v>
      </x:c>
      <x:c r="O2205" s="24" t="str">
        <x:v>0.75 a 3.50</x:v>
      </x:c>
      <x:c r="P2205" s="24" t="str">
        <x:v>75</x:v>
      </x:c>
      <x:c r="Q2205" s="24"/>
      <x:c r="R2205" s="24"/>
      <x:c r="S2205" s="26" t="n">
        <x:v>46113</x:v>
      </x:c>
      <x:c r="T2205" s="26"/>
      <x:c r="U2205" s="24" t="str">
        <x:v>ATIVA/SEM FIM INFORMADO</x:v>
      </x:c>
      <x:c r="V2205" s="24" t="str">
        <x:v>Programa de Parcerias ZEISS — categoria Experts; Programa de Parcerias ZEISS</x:v>
      </x:c>
      <x:c r="W2205" s="24" t="n">
        <x:v>35</x:v>
      </x:c>
      <x:c r="X2205" s="24" t="str">
        <x:v>tabela_zeiss.pdf</x:v>
      </x:c>
      <x:c r="Y2205" s="24" t="str">
        <x:v>alta</x:v>
      </x:c>
      <x:c r="Z2205" s="24"/>
      <x:c r="AA2205" s="24" t="str">
        <x:v>ZEISS|Progressiva|Surfaçada|ClearMind Pure|PhotoFusion X|1.6|1.60|DuraVision Silver UV|-7.25 a +6.00|-6.00|0.75 a 3.50|75|||35</x:v>
      </x:c>
    </x:row>
    <x:row r="2206">
      <x:c r="A2206" s="24" t="str">
        <x:v>ZS-7BF432FEAFA0</x:v>
      </x:c>
      <x:c r="B2206" s="24" t="str">
        <x:v>SIM</x:v>
      </x:c>
      <x:c r="C2206" s="24" t="str">
        <x:v>DISPONÍVEL</x:v>
      </x:c>
      <x:c r="D2206" s="24" t="str">
        <x:v>ZEISS</x:v>
      </x:c>
      <x:c r="E2206" s="24" t="str">
        <x:v>Progressiva</x:v>
      </x:c>
      <x:c r="F2206" s="24" t="str">
        <x:v>Surfaçada</x:v>
      </x:c>
      <x:c r="G2206" s="24" t="str">
        <x:v>ClearMind Pure</x:v>
      </x:c>
      <x:c r="H2206" s="24" t="str">
        <x:v>PhotoFusion X</x:v>
      </x:c>
      <x:c r="I2206" s="24" t="str">
        <x:v>1.6</x:v>
      </x:c>
      <x:c r="J2206" s="24" t="str">
        <x:v>1.60</x:v>
      </x:c>
      <x:c r="K2206" s="24" t="str">
        <x:v>DuraVision Chrome UV</x:v>
      </x:c>
      <x:c r="L2206" s="40" t="n">
        <x:v>7692</x:v>
      </x:c>
      <x:c r="M2206" s="24" t="str">
        <x:v>-7.25 a +6.00</x:v>
      </x:c>
      <x:c r="N2206" s="24" t="str">
        <x:v>-6.00</x:v>
      </x:c>
      <x:c r="O2206" s="24" t="str">
        <x:v>0.75 a 3.50</x:v>
      </x:c>
      <x:c r="P2206" s="24" t="str">
        <x:v>75</x:v>
      </x:c>
      <x:c r="Q2206" s="24"/>
      <x:c r="R2206" s="24"/>
      <x:c r="S2206" s="26" t="n">
        <x:v>46113</x:v>
      </x:c>
      <x:c r="T2206" s="26"/>
      <x:c r="U2206" s="24" t="str">
        <x:v>ATIVA/SEM FIM INFORMADO</x:v>
      </x:c>
      <x:c r="V2206" s="24" t="str">
        <x:v>Programa de Parcerias ZEISS — categoria Experts; Programa de Parcerias ZEISS</x:v>
      </x:c>
      <x:c r="W2206" s="24" t="n">
        <x:v>35</x:v>
      </x:c>
      <x:c r="X2206" s="24" t="str">
        <x:v>tabela_zeiss.pdf</x:v>
      </x:c>
      <x:c r="Y2206" s="24" t="str">
        <x:v>alta</x:v>
      </x:c>
      <x:c r="Z2206" s="24"/>
      <x:c r="AA2206" s="24" t="str">
        <x:v>ZEISS|Progressiva|Surfaçada|ClearMind Pure|PhotoFusion X|1.6|1.60|DuraVision Chrome UV|-7.25 a +6.00|-6.00|0.75 a 3.50|75|||35</x:v>
      </x:c>
    </x:row>
    <x:row r="2207">
      <x:c r="A2207" s="24" t="str">
        <x:v>ZS-6AD690A31F53</x:v>
      </x:c>
      <x:c r="B2207" s="24" t="str">
        <x:v>SIM</x:v>
      </x:c>
      <x:c r="C2207" s="24" t="str">
        <x:v>DISPONÍVEL</x:v>
      </x:c>
      <x:c r="D2207" s="24" t="str">
        <x:v>ZEISS</x:v>
      </x:c>
      <x:c r="E2207" s="24" t="str">
        <x:v>Progressiva</x:v>
      </x:c>
      <x:c r="F2207" s="24" t="str">
        <x:v>Surfaçada</x:v>
      </x:c>
      <x:c r="G2207" s="24" t="str">
        <x:v>ClearMind Pure</x:v>
      </x:c>
      <x:c r="H2207" s="24" t="str">
        <x:v>PhotoFusion X</x:v>
      </x:c>
      <x:c r="I2207" s="24" t="str">
        <x:v>1.67</x:v>
      </x:c>
      <x:c r="J2207" s="24" t="str">
        <x:v>1.67</x:v>
      </x:c>
      <x:c r="K2207" s="24" t="str">
        <x:v>DuraVision Gold UV</x:v>
      </x:c>
      <x:c r="L2207" s="40" t="n">
        <x:v>10222</x:v>
      </x:c>
      <x:c r="M2207" s="24" t="str">
        <x:v>-8.00 a +8.00</x:v>
      </x:c>
      <x:c r="N2207" s="24" t="str">
        <x:v>-4.00</x:v>
      </x:c>
      <x:c r="O2207" s="24" t="str">
        <x:v>0.75 a 3.00</x:v>
      </x:c>
      <x:c r="P2207" s="24" t="str">
        <x:v>70</x:v>
      </x:c>
      <x:c r="Q2207" s="24"/>
      <x:c r="R2207" s="24"/>
      <x:c r="S2207" s="26" t="n">
        <x:v>46113</x:v>
      </x:c>
      <x:c r="T2207" s="26"/>
      <x:c r="U2207" s="24" t="str">
        <x:v>ATIVA/SEM FIM INFORMADO</x:v>
      </x:c>
      <x:c r="V2207" s="24" t="str">
        <x:v>Programa de Parcerias ZEISS — categoria Experts; Programa de Parcerias ZEISS</x:v>
      </x:c>
      <x:c r="W2207" s="24" t="n">
        <x:v>35</x:v>
      </x:c>
      <x:c r="X2207" s="24" t="str">
        <x:v>tabela_zeiss.pdf</x:v>
      </x:c>
      <x:c r="Y2207" s="24" t="str">
        <x:v>alta</x:v>
      </x:c>
      <x:c r="Z2207" s="24"/>
      <x:c r="AA2207" s="24" t="str">
        <x:v>ZEISS|Progressiva|Surfaçada|ClearMind Pure|PhotoFusion X|1.67|1.67|DuraVision Gold UV|-8.00 a +8.00|-4.00|0.75 a 3.00|70|||35</x:v>
      </x:c>
    </x:row>
    <x:row r="2208">
      <x:c r="A2208" s="24" t="str">
        <x:v>ZS-FBD40C70846A</x:v>
      </x:c>
      <x:c r="B2208" s="24" t="str">
        <x:v>SIM</x:v>
      </x:c>
      <x:c r="C2208" s="24" t="str">
        <x:v>DISPONÍVEL</x:v>
      </x:c>
      <x:c r="D2208" s="24" t="str">
        <x:v>ZEISS</x:v>
      </x:c>
      <x:c r="E2208" s="24" t="str">
        <x:v>Progressiva</x:v>
      </x:c>
      <x:c r="F2208" s="24" t="str">
        <x:v>Surfaçada</x:v>
      </x:c>
      <x:c r="G2208" s="24" t="str">
        <x:v>ClearMind Pure</x:v>
      </x:c>
      <x:c r="H2208" s="24" t="str">
        <x:v>PhotoFusion X</x:v>
      </x:c>
      <x:c r="I2208" s="24" t="str">
        <x:v>1.67</x:v>
      </x:c>
      <x:c r="J2208" s="24" t="str">
        <x:v>1.67</x:v>
      </x:c>
      <x:c r="K2208" s="24" t="str">
        <x:v>DURAVISION® ANTIVÍRUS PLATINUM UV</x:v>
      </x:c>
      <x:c r="L2208" s="40" t="n">
        <x:v>10082</x:v>
      </x:c>
      <x:c r="M2208" s="24" t="str">
        <x:v>-8.00 a +8.00</x:v>
      </x:c>
      <x:c r="N2208" s="24" t="str">
        <x:v>-4.00</x:v>
      </x:c>
      <x:c r="O2208" s="24" t="str">
        <x:v>0.75 a 3.00</x:v>
      </x:c>
      <x:c r="P2208" s="24" t="str">
        <x:v>70</x:v>
      </x:c>
      <x:c r="Q2208" s="24"/>
      <x:c r="R2208" s="24"/>
      <x:c r="S2208" s="26" t="n">
        <x:v>46113</x:v>
      </x:c>
      <x:c r="T2208" s="26"/>
      <x:c r="U2208" s="24" t="str">
        <x:v>ATIVA/SEM FIM INFORMADO</x:v>
      </x:c>
      <x:c r="V2208" s="24" t="str">
        <x:v>Programa de Parcerias ZEISS — categoria Experts; Programa de Parcerias ZEISS</x:v>
      </x:c>
      <x:c r="W2208" s="24" t="n">
        <x:v>35</x:v>
      </x:c>
      <x:c r="X2208" s="24" t="str">
        <x:v>tabela_zeiss.pdf</x:v>
      </x:c>
      <x:c r="Y2208" s="24" t="str">
        <x:v>alta</x:v>
      </x:c>
      <x:c r="Z2208" s="24"/>
      <x:c r="AA2208" s="24" t="str">
        <x:v>ZEISS|Progressiva|Surfaçada|ClearMind Pure|PhotoFusion X|1.67|1.67|DURAVISION® ANTIVÍRUS PLATINUM UV|-8.00 a +8.00|-4.00|0.75 a 3.00|70|||35</x:v>
      </x:c>
    </x:row>
    <x:row r="2209">
      <x:c r="A2209" s="24" t="str">
        <x:v>ZS-7FC5E8753388</x:v>
      </x:c>
      <x:c r="B2209" s="24" t="str">
        <x:v>SIM</x:v>
      </x:c>
      <x:c r="C2209" s="24" t="str">
        <x:v>DISPONÍVEL</x:v>
      </x:c>
      <x:c r="D2209" s="24" t="str">
        <x:v>ZEISS</x:v>
      </x:c>
      <x:c r="E2209" s="24" t="str">
        <x:v>Progressiva</x:v>
      </x:c>
      <x:c r="F2209" s="24" t="str">
        <x:v>Surfaçada</x:v>
      </x:c>
      <x:c r="G2209" s="24" t="str">
        <x:v>ClearMind Pure</x:v>
      </x:c>
      <x:c r="H2209" s="24" t="str">
        <x:v>PhotoFusion X</x:v>
      </x:c>
      <x:c r="I2209" s="24" t="str">
        <x:v>1.67</x:v>
      </x:c>
      <x:c r="J2209" s="24" t="str">
        <x:v>1.67</x:v>
      </x:c>
      <x:c r="K2209" s="24" t="str">
        <x:v>DuraVision Platinum UV</x:v>
      </x:c>
      <x:c r="L2209" s="40" t="n">
        <x:v>10082</x:v>
      </x:c>
      <x:c r="M2209" s="24" t="str">
        <x:v>-8.00 a +8.00</x:v>
      </x:c>
      <x:c r="N2209" s="24" t="str">
        <x:v>-4.00</x:v>
      </x:c>
      <x:c r="O2209" s="24" t="str">
        <x:v>0.75 a 3.00</x:v>
      </x:c>
      <x:c r="P2209" s="24" t="str">
        <x:v>70</x:v>
      </x:c>
      <x:c r="Q2209" s="24"/>
      <x:c r="R2209" s="24"/>
      <x:c r="S2209" s="26" t="n">
        <x:v>46113</x:v>
      </x:c>
      <x:c r="T2209" s="26"/>
      <x:c r="U2209" s="24" t="str">
        <x:v>ATIVA/SEM FIM INFORMADO</x:v>
      </x:c>
      <x:c r="V2209" s="24" t="str">
        <x:v>Programa de Parcerias ZEISS — categoria Experts; Programa de Parcerias ZEISS</x:v>
      </x:c>
      <x:c r="W2209" s="24" t="n">
        <x:v>35</x:v>
      </x:c>
      <x:c r="X2209" s="24" t="str">
        <x:v>tabela_zeiss.pdf</x:v>
      </x:c>
      <x:c r="Y2209" s="24" t="str">
        <x:v>alta</x:v>
      </x:c>
      <x:c r="Z2209" s="24"/>
      <x:c r="AA2209" s="24" t="str">
        <x:v>ZEISS|Progressiva|Surfaçada|ClearMind Pure|PhotoFusion X|1.67|1.67|DuraVision Platinum UV|-8.00 a +8.00|-4.00|0.75 a 3.00|70|||35</x:v>
      </x:c>
    </x:row>
    <x:row r="2210">
      <x:c r="A2210" s="24" t="str">
        <x:v>ZS-4BE7DDFBD734</x:v>
      </x:c>
      <x:c r="B2210" s="24" t="str">
        <x:v>SIM</x:v>
      </x:c>
      <x:c r="C2210" s="24" t="str">
        <x:v>DISPONÍVEL</x:v>
      </x:c>
      <x:c r="D2210" s="24" t="str">
        <x:v>ZEISS</x:v>
      </x:c>
      <x:c r="E2210" s="24" t="str">
        <x:v>Progressiva</x:v>
      </x:c>
      <x:c r="F2210" s="24" t="str">
        <x:v>Surfaçada</x:v>
      </x:c>
      <x:c r="G2210" s="24" t="str">
        <x:v>ClearMind Pure</x:v>
      </x:c>
      <x:c r="H2210" s="24" t="str">
        <x:v>PhotoFusion X</x:v>
      </x:c>
      <x:c r="I2210" s="24" t="str">
        <x:v>1.67</x:v>
      </x:c>
      <x:c r="J2210" s="24" t="str">
        <x:v>1.67</x:v>
      </x:c>
      <x:c r="K2210" s="24" t="str">
        <x:v>DuraVision Silver UV</x:v>
      </x:c>
      <x:c r="L2210" s="40" t="n">
        <x:v>9822</x:v>
      </x:c>
      <x:c r="M2210" s="24" t="str">
        <x:v>-8.00 a +8.00</x:v>
      </x:c>
      <x:c r="N2210" s="24" t="str">
        <x:v>-4.00</x:v>
      </x:c>
      <x:c r="O2210" s="24" t="str">
        <x:v>0.75 a 3.00</x:v>
      </x:c>
      <x:c r="P2210" s="24" t="str">
        <x:v>70</x:v>
      </x:c>
      <x:c r="Q2210" s="24"/>
      <x:c r="R2210" s="24"/>
      <x:c r="S2210" s="26" t="n">
        <x:v>46113</x:v>
      </x:c>
      <x:c r="T2210" s="26"/>
      <x:c r="U2210" s="24" t="str">
        <x:v>ATIVA/SEM FIM INFORMADO</x:v>
      </x:c>
      <x:c r="V2210" s="24" t="str">
        <x:v>Programa de Parcerias ZEISS — categoria Experts; Programa de Parcerias ZEISS</x:v>
      </x:c>
      <x:c r="W2210" s="24" t="n">
        <x:v>35</x:v>
      </x:c>
      <x:c r="X2210" s="24" t="str">
        <x:v>tabela_zeiss.pdf</x:v>
      </x:c>
      <x:c r="Y2210" s="24" t="str">
        <x:v>alta</x:v>
      </x:c>
      <x:c r="Z2210" s="24"/>
      <x:c r="AA2210" s="24" t="str">
        <x:v>ZEISS|Progressiva|Surfaçada|ClearMind Pure|PhotoFusion X|1.67|1.67|DuraVision Silver UV|-8.00 a +8.00|-4.00|0.75 a 3.00|70|||35</x:v>
      </x:c>
    </x:row>
    <x:row r="2211">
      <x:c r="A2211" s="24" t="str">
        <x:v>ZS-3CBEAAD3395A</x:v>
      </x:c>
      <x:c r="B2211" s="24" t="str">
        <x:v>SIM</x:v>
      </x:c>
      <x:c r="C2211" s="24" t="str">
        <x:v>DISPONÍVEL</x:v>
      </x:c>
      <x:c r="D2211" s="24" t="str">
        <x:v>ZEISS</x:v>
      </x:c>
      <x:c r="E2211" s="24" t="str">
        <x:v>Progressiva</x:v>
      </x:c>
      <x:c r="F2211" s="24" t="str">
        <x:v>Surfaçada</x:v>
      </x:c>
      <x:c r="G2211" s="24" t="str">
        <x:v>ClearMind Pure</x:v>
      </x:c>
      <x:c r="H2211" s="24" t="str">
        <x:v>PhotoFusion X</x:v>
      </x:c>
      <x:c r="I2211" s="24" t="str">
        <x:v>1.67</x:v>
      </x:c>
      <x:c r="J2211" s="24" t="str">
        <x:v>1.67</x:v>
      </x:c>
      <x:c r="K2211" s="24" t="str">
        <x:v>DuraVision Chrome UV</x:v>
      </x:c>
      <x:c r="L2211" s="40" t="n">
        <x:v>9332</x:v>
      </x:c>
      <x:c r="M2211" s="24" t="str">
        <x:v>-8.00 a +8.00</x:v>
      </x:c>
      <x:c r="N2211" s="24" t="str">
        <x:v>-4.00</x:v>
      </x:c>
      <x:c r="O2211" s="24" t="str">
        <x:v>0.75 a 3.00</x:v>
      </x:c>
      <x:c r="P2211" s="24" t="str">
        <x:v>70</x:v>
      </x:c>
      <x:c r="Q2211" s="24"/>
      <x:c r="R2211" s="24"/>
      <x:c r="S2211" s="26" t="n">
        <x:v>46113</x:v>
      </x:c>
      <x:c r="T2211" s="26"/>
      <x:c r="U2211" s="24" t="str">
        <x:v>ATIVA/SEM FIM INFORMADO</x:v>
      </x:c>
      <x:c r="V2211" s="24" t="str">
        <x:v>Programa de Parcerias ZEISS — categoria Experts; Programa de Parcerias ZEISS</x:v>
      </x:c>
      <x:c r="W2211" s="24" t="n">
        <x:v>35</x:v>
      </x:c>
      <x:c r="X2211" s="24" t="str">
        <x:v>tabela_zeiss.pdf</x:v>
      </x:c>
      <x:c r="Y2211" s="24" t="str">
        <x:v>alta</x:v>
      </x:c>
      <x:c r="Z2211" s="24"/>
      <x:c r="AA2211" s="24" t="str">
        <x:v>ZEISS|Progressiva|Surfaçada|ClearMind Pure|PhotoFusion X|1.67|1.67|DuraVision Chrome UV|-8.00 a +8.00|-4.00|0.75 a 3.00|70|||35</x:v>
      </x:c>
    </x:row>
    <x:row r="2212">
      <x:c r="A2212" s="24" t="str">
        <x:v>ZS-E3D981CB9228</x:v>
      </x:c>
      <x:c r="B2212" s="24" t="str">
        <x:v>SIM</x:v>
      </x:c>
      <x:c r="C2212" s="24" t="str">
        <x:v>DISPONÍVEL</x:v>
      </x:c>
      <x:c r="D2212" s="24" t="str">
        <x:v>ZEISS</x:v>
      </x:c>
      <x:c r="E2212" s="24" t="str">
        <x:v>Progressiva</x:v>
      </x:c>
      <x:c r="F2212" s="24" t="str">
        <x:v>Surfaçada</x:v>
      </x:c>
      <x:c r="G2212" s="24" t="str">
        <x:v>ClearMind Pure</x:v>
      </x:c>
      <x:c r="H2212" s="24" t="str">
        <x:v>PhotoFusion X Extra Dark Cinza</x:v>
      </x:c>
      <x:c r="I2212" s="24" t="str">
        <x:v>1.5</x:v>
      </x:c>
      <x:c r="J2212" s="24" t="str">
        <x:v>1.50</x:v>
      </x:c>
      <x:c r="K2212" s="24" t="str">
        <x:v>DuraVision Gold UV</x:v>
      </x:c>
      <x:c r="L2212" s="40" t="n">
        <x:v>7382</x:v>
      </x:c>
      <x:c r="M2212" s="24" t="str">
        <x:v>-6.00 a +5.50</x:v>
      </x:c>
      <x:c r="N2212" s="24" t="str">
        <x:v>-4.00</x:v>
      </x:c>
      <x:c r="O2212" s="24" t="str">
        <x:v>0.75 a 3.00</x:v>
      </x:c>
      <x:c r="P2212" s="24" t="str">
        <x:v>75</x:v>
      </x:c>
      <x:c r="Q2212" s="24"/>
      <x:c r="R2212" s="24"/>
      <x:c r="S2212" s="26" t="n">
        <x:v>46113</x:v>
      </x:c>
      <x:c r="T2212" s="26"/>
      <x:c r="U2212" s="24" t="str">
        <x:v>ATIVA/SEM FIM INFORMADO</x:v>
      </x:c>
      <x:c r="V2212" s="24" t="str">
        <x:v>Programa de Parcerias ZEISS — categoria Experts; Programa de Parcerias ZEISS</x:v>
      </x:c>
      <x:c r="W2212" s="24" t="n">
        <x:v>35</x:v>
      </x:c>
      <x:c r="X2212" s="24" t="str">
        <x:v>tabela_zeiss.pdf</x:v>
      </x:c>
      <x:c r="Y2212" s="24" t="str">
        <x:v>alta</x:v>
      </x:c>
      <x:c r="Z2212" s="24"/>
      <x:c r="AA2212" s="24" t="str">
        <x:v>ZEISS|Progressiva|Surfaçada|ClearMind Pure|PhotoFusion X Extra Dark Cinza|1.5|1.50|DuraVision Gold UV|-6.00 a +5.50|-4.00|0.75 a 3.00|75|||35</x:v>
      </x:c>
    </x:row>
    <x:row r="2213">
      <x:c r="A2213" s="24" t="str">
        <x:v>ZS-32810D4A554F</x:v>
      </x:c>
      <x:c r="B2213" s="24" t="str">
        <x:v>SIM</x:v>
      </x:c>
      <x:c r="C2213" s="24" t="str">
        <x:v>DISPONÍVEL</x:v>
      </x:c>
      <x:c r="D2213" s="24" t="str">
        <x:v>ZEISS</x:v>
      </x:c>
      <x:c r="E2213" s="24" t="str">
        <x:v>Progressiva</x:v>
      </x:c>
      <x:c r="F2213" s="24" t="str">
        <x:v>Surfaçada</x:v>
      </x:c>
      <x:c r="G2213" s="24" t="str">
        <x:v>ClearMind Pure</x:v>
      </x:c>
      <x:c r="H2213" s="24" t="str">
        <x:v>PhotoFusion X Extra Dark Cinza</x:v>
      </x:c>
      <x:c r="I2213" s="24" t="str">
        <x:v>1.5</x:v>
      </x:c>
      <x:c r="J2213" s="24" t="str">
        <x:v>1.50</x:v>
      </x:c>
      <x:c r="K2213" s="24" t="str">
        <x:v>DURAVISION® ANTIVÍRUS PLATINUM UV</x:v>
      </x:c>
      <x:c r="L2213" s="40" t="n">
        <x:v>7242</x:v>
      </x:c>
      <x:c r="M2213" s="24" t="str">
        <x:v>-6.00 a +5.50</x:v>
      </x:c>
      <x:c r="N2213" s="24" t="str">
        <x:v>-4.00</x:v>
      </x:c>
      <x:c r="O2213" s="24" t="str">
        <x:v>0.75 a 3.00</x:v>
      </x:c>
      <x:c r="P2213" s="24" t="str">
        <x:v>75</x:v>
      </x:c>
      <x:c r="Q2213" s="24"/>
      <x:c r="R2213" s="24"/>
      <x:c r="S2213" s="26" t="n">
        <x:v>46113</x:v>
      </x:c>
      <x:c r="T2213" s="26"/>
      <x:c r="U2213" s="24" t="str">
        <x:v>ATIVA/SEM FIM INFORMADO</x:v>
      </x:c>
      <x:c r="V2213" s="24" t="str">
        <x:v>Programa de Parcerias ZEISS — categoria Experts; Programa de Parcerias ZEISS</x:v>
      </x:c>
      <x:c r="W2213" s="24" t="n">
        <x:v>35</x:v>
      </x:c>
      <x:c r="X2213" s="24" t="str">
        <x:v>tabela_zeiss.pdf</x:v>
      </x:c>
      <x:c r="Y2213" s="24" t="str">
        <x:v>alta</x:v>
      </x:c>
      <x:c r="Z2213" s="24"/>
      <x:c r="AA2213" s="24" t="str">
        <x:v>ZEISS|Progressiva|Surfaçada|ClearMind Pure|PhotoFusion X Extra Dark Cinza|1.5|1.50|DURAVISION® ANTIVÍRUS PLATINUM UV|-6.00 a +5.50|-4.00|0.75 a 3.00|75|||35</x:v>
      </x:c>
    </x:row>
    <x:row r="2214">
      <x:c r="A2214" s="24" t="str">
        <x:v>ZS-9906D0617756</x:v>
      </x:c>
      <x:c r="B2214" s="24" t="str">
        <x:v>SIM</x:v>
      </x:c>
      <x:c r="C2214" s="24" t="str">
        <x:v>DISPONÍVEL</x:v>
      </x:c>
      <x:c r="D2214" s="24" t="str">
        <x:v>ZEISS</x:v>
      </x:c>
      <x:c r="E2214" s="24" t="str">
        <x:v>Progressiva</x:v>
      </x:c>
      <x:c r="F2214" s="24" t="str">
        <x:v>Surfaçada</x:v>
      </x:c>
      <x:c r="G2214" s="24" t="str">
        <x:v>ClearMind Pure</x:v>
      </x:c>
      <x:c r="H2214" s="24" t="str">
        <x:v>PhotoFusion X Extra Dark Cinza</x:v>
      </x:c>
      <x:c r="I2214" s="24" t="str">
        <x:v>1.5</x:v>
      </x:c>
      <x:c r="J2214" s="24" t="str">
        <x:v>1.50</x:v>
      </x:c>
      <x:c r="K2214" s="24" t="str">
        <x:v>DuraVision Platinum UV</x:v>
      </x:c>
      <x:c r="L2214" s="40" t="n">
        <x:v>7242</x:v>
      </x:c>
      <x:c r="M2214" s="24" t="str">
        <x:v>-6.00 a +5.50</x:v>
      </x:c>
      <x:c r="N2214" s="24" t="str">
        <x:v>-4.00</x:v>
      </x:c>
      <x:c r="O2214" s="24" t="str">
        <x:v>0.75 a 3.00</x:v>
      </x:c>
      <x:c r="P2214" s="24" t="str">
        <x:v>75</x:v>
      </x:c>
      <x:c r="Q2214" s="24"/>
      <x:c r="R2214" s="24"/>
      <x:c r="S2214" s="26" t="n">
        <x:v>46113</x:v>
      </x:c>
      <x:c r="T2214" s="26"/>
      <x:c r="U2214" s="24" t="str">
        <x:v>ATIVA/SEM FIM INFORMADO</x:v>
      </x:c>
      <x:c r="V2214" s="24" t="str">
        <x:v>Programa de Parcerias ZEISS — categoria Experts; Programa de Parcerias ZEISS</x:v>
      </x:c>
      <x:c r="W2214" s="24" t="n">
        <x:v>35</x:v>
      </x:c>
      <x:c r="X2214" s="24" t="str">
        <x:v>tabela_zeiss.pdf</x:v>
      </x:c>
      <x:c r="Y2214" s="24" t="str">
        <x:v>alta</x:v>
      </x:c>
      <x:c r="Z2214" s="24"/>
      <x:c r="AA2214" s="24" t="str">
        <x:v>ZEISS|Progressiva|Surfaçada|ClearMind Pure|PhotoFusion X Extra Dark Cinza|1.5|1.50|DuraVision Platinum UV|-6.00 a +5.50|-4.00|0.75 a 3.00|75|||35</x:v>
      </x:c>
    </x:row>
    <x:row r="2215">
      <x:c r="A2215" s="24" t="str">
        <x:v>ZS-45041B575935</x:v>
      </x:c>
      <x:c r="B2215" s="24" t="str">
        <x:v>SIM</x:v>
      </x:c>
      <x:c r="C2215" s="24" t="str">
        <x:v>DISPONÍVEL</x:v>
      </x:c>
      <x:c r="D2215" s="24" t="str">
        <x:v>ZEISS</x:v>
      </x:c>
      <x:c r="E2215" s="24" t="str">
        <x:v>Progressiva</x:v>
      </x:c>
      <x:c r="F2215" s="24" t="str">
        <x:v>Surfaçada</x:v>
      </x:c>
      <x:c r="G2215" s="24" t="str">
        <x:v>ClearMind Pure</x:v>
      </x:c>
      <x:c r="H2215" s="24" t="str">
        <x:v>PhotoFusion X Extra Dark Cinza</x:v>
      </x:c>
      <x:c r="I2215" s="24" t="str">
        <x:v>1.5</x:v>
      </x:c>
      <x:c r="J2215" s="24" t="str">
        <x:v>1.50</x:v>
      </x:c>
      <x:c r="K2215" s="24" t="str">
        <x:v>DuraVision Silver UV</x:v>
      </x:c>
      <x:c r="L2215" s="40" t="n">
        <x:v>6982</x:v>
      </x:c>
      <x:c r="M2215" s="24" t="str">
        <x:v>-6.00 a +5.50</x:v>
      </x:c>
      <x:c r="N2215" s="24" t="str">
        <x:v>-4.00</x:v>
      </x:c>
      <x:c r="O2215" s="24" t="str">
        <x:v>0.75 a 3.00</x:v>
      </x:c>
      <x:c r="P2215" s="24" t="str">
        <x:v>75</x:v>
      </x:c>
      <x:c r="Q2215" s="24"/>
      <x:c r="R2215" s="24"/>
      <x:c r="S2215" s="26" t="n">
        <x:v>46113</x:v>
      </x:c>
      <x:c r="T2215" s="26"/>
      <x:c r="U2215" s="24" t="str">
        <x:v>ATIVA/SEM FIM INFORMADO</x:v>
      </x:c>
      <x:c r="V2215" s="24" t="str">
        <x:v>Programa de Parcerias ZEISS — categoria Experts; Programa de Parcerias ZEISS</x:v>
      </x:c>
      <x:c r="W2215" s="24" t="n">
        <x:v>35</x:v>
      </x:c>
      <x:c r="X2215" s="24" t="str">
        <x:v>tabela_zeiss.pdf</x:v>
      </x:c>
      <x:c r="Y2215" s="24" t="str">
        <x:v>alta</x:v>
      </x:c>
      <x:c r="Z2215" s="24"/>
      <x:c r="AA2215" s="24" t="str">
        <x:v>ZEISS|Progressiva|Surfaçada|ClearMind Pure|PhotoFusion X Extra Dark Cinza|1.5|1.50|DuraVision Silver UV|-6.00 a +5.50|-4.00|0.75 a 3.00|75|||35</x:v>
      </x:c>
    </x:row>
    <x:row r="2216">
      <x:c r="A2216" s="24" t="str">
        <x:v>ZS-0050CA338AE5</x:v>
      </x:c>
      <x:c r="B2216" s="24" t="str">
        <x:v>SIM</x:v>
      </x:c>
      <x:c r="C2216" s="24" t="str">
        <x:v>DISPONÍVEL</x:v>
      </x:c>
      <x:c r="D2216" s="24" t="str">
        <x:v>ZEISS</x:v>
      </x:c>
      <x:c r="E2216" s="24" t="str">
        <x:v>Progressiva</x:v>
      </x:c>
      <x:c r="F2216" s="24" t="str">
        <x:v>Surfaçada</x:v>
      </x:c>
      <x:c r="G2216" s="24" t="str">
        <x:v>ClearMind Pure</x:v>
      </x:c>
      <x:c r="H2216" s="24" t="str">
        <x:v>PhotoFusion X Extra Dark Cinza</x:v>
      </x:c>
      <x:c r="I2216" s="24" t="str">
        <x:v>1.5</x:v>
      </x:c>
      <x:c r="J2216" s="24" t="str">
        <x:v>1.50</x:v>
      </x:c>
      <x:c r="K2216" s="24" t="str">
        <x:v>DuraVision Chrome UV</x:v>
      </x:c>
      <x:c r="L2216" s="40" t="n">
        <x:v>6492</x:v>
      </x:c>
      <x:c r="M2216" s="24" t="str">
        <x:v>-6.00 a +5.50</x:v>
      </x:c>
      <x:c r="N2216" s="24" t="str">
        <x:v>-4.00</x:v>
      </x:c>
      <x:c r="O2216" s="24" t="str">
        <x:v>0.75 a 3.00</x:v>
      </x:c>
      <x:c r="P2216" s="24" t="str">
        <x:v>75</x:v>
      </x:c>
      <x:c r="Q2216" s="24"/>
      <x:c r="R2216" s="24"/>
      <x:c r="S2216" s="26" t="n">
        <x:v>46113</x:v>
      </x:c>
      <x:c r="T2216" s="26"/>
      <x:c r="U2216" s="24" t="str">
        <x:v>ATIVA/SEM FIM INFORMADO</x:v>
      </x:c>
      <x:c r="V2216" s="24" t="str">
        <x:v>Programa de Parcerias ZEISS — categoria Experts; Programa de Parcerias ZEISS</x:v>
      </x:c>
      <x:c r="W2216" s="24" t="n">
        <x:v>35</x:v>
      </x:c>
      <x:c r="X2216" s="24" t="str">
        <x:v>tabela_zeiss.pdf</x:v>
      </x:c>
      <x:c r="Y2216" s="24" t="str">
        <x:v>alta</x:v>
      </x:c>
      <x:c r="Z2216" s="24"/>
      <x:c r="AA2216" s="24" t="str">
        <x:v>ZEISS|Progressiva|Surfaçada|ClearMind Pure|PhotoFusion X Extra Dark Cinza|1.5|1.50|DuraVision Chrome UV|-6.00 a +5.50|-4.00|0.75 a 3.00|75|||35</x:v>
      </x:c>
    </x:row>
    <x:row r="2217">
      <x:c r="A2217" s="24" t="str">
        <x:v>ZS-910E5F047A31</x:v>
      </x:c>
      <x:c r="B2217" s="24" t="str">
        <x:v>SIM</x:v>
      </x:c>
      <x:c r="C2217" s="24" t="str">
        <x:v>DISPONÍVEL</x:v>
      </x:c>
      <x:c r="D2217" s="24" t="str">
        <x:v>ZEISS</x:v>
      </x:c>
      <x:c r="E2217" s="24" t="str">
        <x:v>Progressiva</x:v>
      </x:c>
      <x:c r="F2217" s="24" t="str">
        <x:v>Surfaçada</x:v>
      </x:c>
      <x:c r="G2217" s="24" t="str">
        <x:v>ClearMind Pure</x:v>
      </x:c>
      <x:c r="H2217" s="24" t="str">
        <x:v>PhotoFusion X Extra Dark Cinza</x:v>
      </x:c>
      <x:c r="I2217" s="24" t="str">
        <x:v>Poli</x:v>
      </x:c>
      <x:c r="J2217" s="24"/>
      <x:c r="K2217" s="24" t="str">
        <x:v>DuraVision Gold UV</x:v>
      </x:c>
      <x:c r="L2217" s="40" t="n">
        <x:v>7972</x:v>
      </x:c>
      <x:c r="M2217" s="24" t="str">
        <x:v>-10.00 a +6.00</x:v>
      </x:c>
      <x:c r="N2217" s="24" t="str">
        <x:v>-6.00</x:v>
      </x:c>
      <x:c r="O2217" s="24" t="str">
        <x:v>0.75 a 3.00</x:v>
      </x:c>
      <x:c r="P2217" s="24" t="str">
        <x:v>70</x:v>
      </x:c>
      <x:c r="Q2217" s="24"/>
      <x:c r="R2217" s="24"/>
      <x:c r="S2217" s="26" t="n">
        <x:v>46113</x:v>
      </x:c>
      <x:c r="T2217" s="26"/>
      <x:c r="U2217" s="24" t="str">
        <x:v>ATIVA/SEM FIM INFORMADO</x:v>
      </x:c>
      <x:c r="V2217" s="24" t="str">
        <x:v>Programa de Parcerias ZEISS — categoria Experts; Programa de Parcerias ZEISS</x:v>
      </x:c>
      <x:c r="W2217" s="24" t="n">
        <x:v>35</x:v>
      </x:c>
      <x:c r="X2217" s="24" t="str">
        <x:v>tabela_zeiss.pdf</x:v>
      </x:c>
      <x:c r="Y2217" s="24" t="str">
        <x:v>alta</x:v>
      </x:c>
      <x:c r="Z2217" s="24"/>
      <x:c r="AA2217" s="24" t="str">
        <x:v>ZEISS|Progressiva|Surfaçada|ClearMind Pure|PhotoFusion X Extra Dark Cinza|Poli||DuraVision Gold UV|-10.00 a +6.00|-6.00|0.75 a 3.00|70|||35</x:v>
      </x:c>
    </x:row>
    <x:row r="2218">
      <x:c r="A2218" s="24" t="str">
        <x:v>ZS-AF3F15983968</x:v>
      </x:c>
      <x:c r="B2218" s="24" t="str">
        <x:v>SIM</x:v>
      </x:c>
      <x:c r="C2218" s="24" t="str">
        <x:v>DISPONÍVEL</x:v>
      </x:c>
      <x:c r="D2218" s="24" t="str">
        <x:v>ZEISS</x:v>
      </x:c>
      <x:c r="E2218" s="24" t="str">
        <x:v>Progressiva</x:v>
      </x:c>
      <x:c r="F2218" s="24" t="str">
        <x:v>Surfaçada</x:v>
      </x:c>
      <x:c r="G2218" s="24" t="str">
        <x:v>ClearMind Pure</x:v>
      </x:c>
      <x:c r="H2218" s="24" t="str">
        <x:v>PhotoFusion X Extra Dark Cinza</x:v>
      </x:c>
      <x:c r="I2218" s="24" t="str">
        <x:v>Poli</x:v>
      </x:c>
      <x:c r="J2218" s="24"/>
      <x:c r="K2218" s="24" t="str">
        <x:v>DuraVision Platinum UV</x:v>
      </x:c>
      <x:c r="L2218" s="40" t="n">
        <x:v>7832</x:v>
      </x:c>
      <x:c r="M2218" s="24" t="str">
        <x:v>-10.00 a +6.00</x:v>
      </x:c>
      <x:c r="N2218" s="24" t="str">
        <x:v>-6.00</x:v>
      </x:c>
      <x:c r="O2218" s="24" t="str">
        <x:v>0.75 a 3.00</x:v>
      </x:c>
      <x:c r="P2218" s="24" t="str">
        <x:v>70</x:v>
      </x:c>
      <x:c r="Q2218" s="24"/>
      <x:c r="R2218" s="24"/>
      <x:c r="S2218" s="26" t="n">
        <x:v>46113</x:v>
      </x:c>
      <x:c r="T2218" s="26"/>
      <x:c r="U2218" s="24" t="str">
        <x:v>ATIVA/SEM FIM INFORMADO</x:v>
      </x:c>
      <x:c r="V2218" s="24" t="str">
        <x:v>Programa de Parcerias ZEISS — categoria Experts; Programa de Parcerias ZEISS</x:v>
      </x:c>
      <x:c r="W2218" s="24" t="n">
        <x:v>35</x:v>
      </x:c>
      <x:c r="X2218" s="24" t="str">
        <x:v>tabela_zeiss.pdf</x:v>
      </x:c>
      <x:c r="Y2218" s="24" t="str">
        <x:v>alta</x:v>
      </x:c>
      <x:c r="Z2218" s="24"/>
      <x:c r="AA2218" s="24" t="str">
        <x:v>ZEISS|Progressiva|Surfaçada|ClearMind Pure|PhotoFusion X Extra Dark Cinza|Poli||DuraVision Platinum UV|-10.00 a +6.00|-6.00|0.75 a 3.00|70|||35</x:v>
      </x:c>
    </x:row>
    <x:row r="2219">
      <x:c r="A2219" s="24" t="str">
        <x:v>ZS-15185514DD82</x:v>
      </x:c>
      <x:c r="B2219" s="24" t="str">
        <x:v>SIM</x:v>
      </x:c>
      <x:c r="C2219" s="24" t="str">
        <x:v>DISPONÍVEL</x:v>
      </x:c>
      <x:c r="D2219" s="24" t="str">
        <x:v>ZEISS</x:v>
      </x:c>
      <x:c r="E2219" s="24" t="str">
        <x:v>Progressiva</x:v>
      </x:c>
      <x:c r="F2219" s="24" t="str">
        <x:v>Surfaçada</x:v>
      </x:c>
      <x:c r="G2219" s="24" t="str">
        <x:v>ClearMind Pure</x:v>
      </x:c>
      <x:c r="H2219" s="24" t="str">
        <x:v>PhotoFusion X Extra Dark Cinza</x:v>
      </x:c>
      <x:c r="I2219" s="24" t="str">
        <x:v>Poli</x:v>
      </x:c>
      <x:c r="J2219" s="24"/>
      <x:c r="K2219" s="24" t="str">
        <x:v>DuraVision Silver UV</x:v>
      </x:c>
      <x:c r="L2219" s="40" t="n">
        <x:v>7572</x:v>
      </x:c>
      <x:c r="M2219" s="24" t="str">
        <x:v>-10.00 a +6.00</x:v>
      </x:c>
      <x:c r="N2219" s="24" t="str">
        <x:v>-6.00</x:v>
      </x:c>
      <x:c r="O2219" s="24" t="str">
        <x:v>0.75 a 3.00</x:v>
      </x:c>
      <x:c r="P2219" s="24" t="str">
        <x:v>70</x:v>
      </x:c>
      <x:c r="Q2219" s="24"/>
      <x:c r="R2219" s="24"/>
      <x:c r="S2219" s="26" t="n">
        <x:v>46113</x:v>
      </x:c>
      <x:c r="T2219" s="26"/>
      <x:c r="U2219" s="24" t="str">
        <x:v>ATIVA/SEM FIM INFORMADO</x:v>
      </x:c>
      <x:c r="V2219" s="24" t="str">
        <x:v>Programa de Parcerias ZEISS — categoria Experts; Programa de Parcerias ZEISS</x:v>
      </x:c>
      <x:c r="W2219" s="24" t="n">
        <x:v>35</x:v>
      </x:c>
      <x:c r="X2219" s="24" t="str">
        <x:v>tabela_zeiss.pdf</x:v>
      </x:c>
      <x:c r="Y2219" s="24" t="str">
        <x:v>alta</x:v>
      </x:c>
      <x:c r="Z2219" s="24"/>
      <x:c r="AA2219" s="24" t="str">
        <x:v>ZEISS|Progressiva|Surfaçada|ClearMind Pure|PhotoFusion X Extra Dark Cinza|Poli||DuraVision Silver UV|-10.00 a +6.00|-6.00|0.75 a 3.00|70|||35</x:v>
      </x:c>
    </x:row>
    <x:row r="2220">
      <x:c r="A2220" s="24" t="str">
        <x:v>ZS-C5CCCD169629</x:v>
      </x:c>
      <x:c r="B2220" s="24" t="str">
        <x:v>SIM</x:v>
      </x:c>
      <x:c r="C2220" s="24" t="str">
        <x:v>DISPONÍVEL</x:v>
      </x:c>
      <x:c r="D2220" s="24" t="str">
        <x:v>ZEISS</x:v>
      </x:c>
      <x:c r="E2220" s="24" t="str">
        <x:v>Progressiva</x:v>
      </x:c>
      <x:c r="F2220" s="24" t="str">
        <x:v>Surfaçada</x:v>
      </x:c>
      <x:c r="G2220" s="24" t="str">
        <x:v>ClearMind Pure</x:v>
      </x:c>
      <x:c r="H2220" s="24" t="str">
        <x:v>PhotoFusion X Extra Dark Cinza</x:v>
      </x:c>
      <x:c r="I2220" s="24" t="str">
        <x:v>Poli</x:v>
      </x:c>
      <x:c r="J2220" s="24"/>
      <x:c r="K2220" s="24" t="str">
        <x:v>DuraVision Chrome UV</x:v>
      </x:c>
      <x:c r="L2220" s="40" t="n">
        <x:v>7082</x:v>
      </x:c>
      <x:c r="M2220" s="24" t="str">
        <x:v>-10.00 a +6.00</x:v>
      </x:c>
      <x:c r="N2220" s="24" t="str">
        <x:v>-6.00</x:v>
      </x:c>
      <x:c r="O2220" s="24" t="str">
        <x:v>0.75 a 3.00</x:v>
      </x:c>
      <x:c r="P2220" s="24" t="str">
        <x:v>70</x:v>
      </x:c>
      <x:c r="Q2220" s="24"/>
      <x:c r="R2220" s="24"/>
      <x:c r="S2220" s="26" t="n">
        <x:v>46113</x:v>
      </x:c>
      <x:c r="T2220" s="26"/>
      <x:c r="U2220" s="24" t="str">
        <x:v>ATIVA/SEM FIM INFORMADO</x:v>
      </x:c>
      <x:c r="V2220" s="24" t="str">
        <x:v>Programa de Parcerias ZEISS — categoria Experts; Programa de Parcerias ZEISS</x:v>
      </x:c>
      <x:c r="W2220" s="24" t="n">
        <x:v>35</x:v>
      </x:c>
      <x:c r="X2220" s="24" t="str">
        <x:v>tabela_zeiss.pdf</x:v>
      </x:c>
      <x:c r="Y2220" s="24" t="str">
        <x:v>alta</x:v>
      </x:c>
      <x:c r="Z2220" s="24"/>
      <x:c r="AA2220" s="24" t="str">
        <x:v>ZEISS|Progressiva|Surfaçada|ClearMind Pure|PhotoFusion X Extra Dark Cinza|Poli||DuraVision Chrome UV|-10.00 a +6.00|-6.00|0.75 a 3.00|70|||35</x:v>
      </x:c>
    </x:row>
    <x:row r="2221">
      <x:c r="A2221" s="24" t="str">
        <x:v>ZS-AC2DF9045AC7</x:v>
      </x:c>
      <x:c r="B2221" s="24" t="str">
        <x:v>SIM</x:v>
      </x:c>
      <x:c r="C2221" s="24" t="str">
        <x:v>DISPONÍVEL</x:v>
      </x:c>
      <x:c r="D2221" s="24" t="str">
        <x:v>ZEISS</x:v>
      </x:c>
      <x:c r="E2221" s="24" t="str">
        <x:v>Progressiva</x:v>
      </x:c>
      <x:c r="F2221" s="24" t="str">
        <x:v>Surfaçada</x:v>
      </x:c>
      <x:c r="G2221" s="24" t="str">
        <x:v>ClearMind Pure</x:v>
      </x:c>
      <x:c r="H2221" s="24" t="str">
        <x:v>PhotoFusion X Extra Dark Cinza</x:v>
      </x:c>
      <x:c r="I2221" s="24" t="str">
        <x:v>1.6</x:v>
      </x:c>
      <x:c r="J2221" s="24" t="str">
        <x:v>1.60</x:v>
      </x:c>
      <x:c r="K2221" s="24" t="str">
        <x:v>DuraVision Gold UV</x:v>
      </x:c>
      <x:c r="L2221" s="40" t="n">
        <x:v>8632</x:v>
      </x:c>
      <x:c r="M2221" s="24" t="str">
        <x:v>-7.25 a +6.00</x:v>
      </x:c>
      <x:c r="N2221" s="24" t="str">
        <x:v>-6.00</x:v>
      </x:c>
      <x:c r="O2221" s="24" t="str">
        <x:v>0.75 a 3.50</x:v>
      </x:c>
      <x:c r="P2221" s="24" t="str">
        <x:v>75</x:v>
      </x:c>
      <x:c r="Q2221" s="24"/>
      <x:c r="R2221" s="24"/>
      <x:c r="S2221" s="26" t="n">
        <x:v>46113</x:v>
      </x:c>
      <x:c r="T2221" s="26"/>
      <x:c r="U2221" s="24" t="str">
        <x:v>ATIVA/SEM FIM INFORMADO</x:v>
      </x:c>
      <x:c r="V2221" s="24" t="str">
        <x:v>Programa de Parcerias ZEISS — categoria Experts; Programa de Parcerias ZEISS</x:v>
      </x:c>
      <x:c r="W2221" s="24" t="n">
        <x:v>35</x:v>
      </x:c>
      <x:c r="X2221" s="24" t="str">
        <x:v>tabela_zeiss.pdf</x:v>
      </x:c>
      <x:c r="Y2221" s="24" t="str">
        <x:v>alta</x:v>
      </x:c>
      <x:c r="Z2221" s="24"/>
      <x:c r="AA2221" s="24" t="str">
        <x:v>ZEISS|Progressiva|Surfaçada|ClearMind Pure|PhotoFusion X Extra Dark Cinza|1.6|1.60|DuraVision Gold UV|-7.25 a +6.00|-6.00|0.75 a 3.50|75|||35</x:v>
      </x:c>
    </x:row>
    <x:row r="2222">
      <x:c r="A2222" s="24" t="str">
        <x:v>ZS-CB90A7B154A6</x:v>
      </x:c>
      <x:c r="B2222" s="24" t="str">
        <x:v>SIM</x:v>
      </x:c>
      <x:c r="C2222" s="24" t="str">
        <x:v>DISPONÍVEL</x:v>
      </x:c>
      <x:c r="D2222" s="24" t="str">
        <x:v>ZEISS</x:v>
      </x:c>
      <x:c r="E2222" s="24" t="str">
        <x:v>Progressiva</x:v>
      </x:c>
      <x:c r="F2222" s="24" t="str">
        <x:v>Surfaçada</x:v>
      </x:c>
      <x:c r="G2222" s="24" t="str">
        <x:v>ClearMind Pure</x:v>
      </x:c>
      <x:c r="H2222" s="24" t="str">
        <x:v>PhotoFusion X Extra Dark Cinza</x:v>
      </x:c>
      <x:c r="I2222" s="24" t="str">
        <x:v>1.6</x:v>
      </x:c>
      <x:c r="J2222" s="24" t="str">
        <x:v>1.60</x:v>
      </x:c>
      <x:c r="K2222" s="24" t="str">
        <x:v>DURAVISION® ANTIVÍRUS PLATINUM UV</x:v>
      </x:c>
      <x:c r="L2222" s="40" t="n">
        <x:v>8492</x:v>
      </x:c>
      <x:c r="M2222" s="24" t="str">
        <x:v>-7.25 a +6.00</x:v>
      </x:c>
      <x:c r="N2222" s="24" t="str">
        <x:v>-6.00</x:v>
      </x:c>
      <x:c r="O2222" s="24" t="str">
        <x:v>0.75 a 3.50</x:v>
      </x:c>
      <x:c r="P2222" s="24" t="str">
        <x:v>75</x:v>
      </x:c>
      <x:c r="Q2222" s="24"/>
      <x:c r="R2222" s="24"/>
      <x:c r="S2222" s="26" t="n">
        <x:v>46113</x:v>
      </x:c>
      <x:c r="T2222" s="26"/>
      <x:c r="U2222" s="24" t="str">
        <x:v>ATIVA/SEM FIM INFORMADO</x:v>
      </x:c>
      <x:c r="V2222" s="24" t="str">
        <x:v>Programa de Parcerias ZEISS — categoria Experts; Programa de Parcerias ZEISS</x:v>
      </x:c>
      <x:c r="W2222" s="24" t="n">
        <x:v>35</x:v>
      </x:c>
      <x:c r="X2222" s="24" t="str">
        <x:v>tabela_zeiss.pdf</x:v>
      </x:c>
      <x:c r="Y2222" s="24" t="str">
        <x:v>alta</x:v>
      </x:c>
      <x:c r="Z2222" s="24"/>
      <x:c r="AA2222" s="24" t="str">
        <x:v>ZEISS|Progressiva|Surfaçada|ClearMind Pure|PhotoFusion X Extra Dark Cinza|1.6|1.60|DURAVISION® ANTIVÍRUS PLATINUM UV|-7.25 a +6.00|-6.00|0.75 a 3.50|75|||35</x:v>
      </x:c>
    </x:row>
    <x:row r="2223">
      <x:c r="A2223" s="24" t="str">
        <x:v>ZS-4F8C097929C4</x:v>
      </x:c>
      <x:c r="B2223" s="24" t="str">
        <x:v>SIM</x:v>
      </x:c>
      <x:c r="C2223" s="24" t="str">
        <x:v>DISPONÍVEL</x:v>
      </x:c>
      <x:c r="D2223" s="24" t="str">
        <x:v>ZEISS</x:v>
      </x:c>
      <x:c r="E2223" s="24" t="str">
        <x:v>Progressiva</x:v>
      </x:c>
      <x:c r="F2223" s="24" t="str">
        <x:v>Surfaçada</x:v>
      </x:c>
      <x:c r="G2223" s="24" t="str">
        <x:v>ClearMind Pure</x:v>
      </x:c>
      <x:c r="H2223" s="24" t="str">
        <x:v>PhotoFusion X Extra Dark Cinza</x:v>
      </x:c>
      <x:c r="I2223" s="24" t="str">
        <x:v>1.6</x:v>
      </x:c>
      <x:c r="J2223" s="24" t="str">
        <x:v>1.60</x:v>
      </x:c>
      <x:c r="K2223" s="24" t="str">
        <x:v>DuraVision Platinum UV</x:v>
      </x:c>
      <x:c r="L2223" s="40" t="n">
        <x:v>8492</x:v>
      </x:c>
      <x:c r="M2223" s="24" t="str">
        <x:v>-7.25 a +6.00</x:v>
      </x:c>
      <x:c r="N2223" s="24" t="str">
        <x:v>-6.00</x:v>
      </x:c>
      <x:c r="O2223" s="24" t="str">
        <x:v>0.75 a 3.50</x:v>
      </x:c>
      <x:c r="P2223" s="24" t="str">
        <x:v>75</x:v>
      </x:c>
      <x:c r="Q2223" s="24"/>
      <x:c r="R2223" s="24"/>
      <x:c r="S2223" s="26" t="n">
        <x:v>46113</x:v>
      </x:c>
      <x:c r="T2223" s="26"/>
      <x:c r="U2223" s="24" t="str">
        <x:v>ATIVA/SEM FIM INFORMADO</x:v>
      </x:c>
      <x:c r="V2223" s="24" t="str">
        <x:v>Programa de Parcerias ZEISS — categoria Experts; Programa de Parcerias ZEISS</x:v>
      </x:c>
      <x:c r="W2223" s="24" t="n">
        <x:v>35</x:v>
      </x:c>
      <x:c r="X2223" s="24" t="str">
        <x:v>tabela_zeiss.pdf</x:v>
      </x:c>
      <x:c r="Y2223" s="24" t="str">
        <x:v>alta</x:v>
      </x:c>
      <x:c r="Z2223" s="24"/>
      <x:c r="AA2223" s="24" t="str">
        <x:v>ZEISS|Progressiva|Surfaçada|ClearMind Pure|PhotoFusion X Extra Dark Cinza|1.6|1.60|DuraVision Platinum UV|-7.25 a +6.00|-6.00|0.75 a 3.50|75|||35</x:v>
      </x:c>
    </x:row>
    <x:row r="2224">
      <x:c r="A2224" s="24" t="str">
        <x:v>ZS-88BF4DB709A9</x:v>
      </x:c>
      <x:c r="B2224" s="24" t="str">
        <x:v>SIM</x:v>
      </x:c>
      <x:c r="C2224" s="24" t="str">
        <x:v>DISPONÍVEL</x:v>
      </x:c>
      <x:c r="D2224" s="24" t="str">
        <x:v>ZEISS</x:v>
      </x:c>
      <x:c r="E2224" s="24" t="str">
        <x:v>Progressiva</x:v>
      </x:c>
      <x:c r="F2224" s="24" t="str">
        <x:v>Surfaçada</x:v>
      </x:c>
      <x:c r="G2224" s="24" t="str">
        <x:v>ClearMind Pure</x:v>
      </x:c>
      <x:c r="H2224" s="24" t="str">
        <x:v>PhotoFusion X Extra Dark Cinza</x:v>
      </x:c>
      <x:c r="I2224" s="24" t="str">
        <x:v>1.6</x:v>
      </x:c>
      <x:c r="J2224" s="24" t="str">
        <x:v>1.60</x:v>
      </x:c>
      <x:c r="K2224" s="24" t="str">
        <x:v>DuraVision Silver UV</x:v>
      </x:c>
      <x:c r="L2224" s="40" t="n">
        <x:v>8232</x:v>
      </x:c>
      <x:c r="M2224" s="24" t="str">
        <x:v>-7.25 a +6.00</x:v>
      </x:c>
      <x:c r="N2224" s="24" t="str">
        <x:v>-6.00</x:v>
      </x:c>
      <x:c r="O2224" s="24" t="str">
        <x:v>0.75 a 3.50</x:v>
      </x:c>
      <x:c r="P2224" s="24" t="str">
        <x:v>75</x:v>
      </x:c>
      <x:c r="Q2224" s="24"/>
      <x:c r="R2224" s="24"/>
      <x:c r="S2224" s="26" t="n">
        <x:v>46113</x:v>
      </x:c>
      <x:c r="T2224" s="26"/>
      <x:c r="U2224" s="24" t="str">
        <x:v>ATIVA/SEM FIM INFORMADO</x:v>
      </x:c>
      <x:c r="V2224" s="24" t="str">
        <x:v>Programa de Parcerias ZEISS — categoria Experts; Programa de Parcerias ZEISS</x:v>
      </x:c>
      <x:c r="W2224" s="24" t="n">
        <x:v>35</x:v>
      </x:c>
      <x:c r="X2224" s="24" t="str">
        <x:v>tabela_zeiss.pdf</x:v>
      </x:c>
      <x:c r="Y2224" s="24" t="str">
        <x:v>alta</x:v>
      </x:c>
      <x:c r="Z2224" s="24"/>
      <x:c r="AA2224" s="24" t="str">
        <x:v>ZEISS|Progressiva|Surfaçada|ClearMind Pure|PhotoFusion X Extra Dark Cinza|1.6|1.60|DuraVision Silver UV|-7.25 a +6.00|-6.00|0.75 a 3.50|75|||35</x:v>
      </x:c>
    </x:row>
    <x:row r="2225">
      <x:c r="A2225" s="24" t="str">
        <x:v>ZS-6A7E6F647E55</x:v>
      </x:c>
      <x:c r="B2225" s="24" t="str">
        <x:v>SIM</x:v>
      </x:c>
      <x:c r="C2225" s="24" t="str">
        <x:v>DISPONÍVEL</x:v>
      </x:c>
      <x:c r="D2225" s="24" t="str">
        <x:v>ZEISS</x:v>
      </x:c>
      <x:c r="E2225" s="24" t="str">
        <x:v>Progressiva</x:v>
      </x:c>
      <x:c r="F2225" s="24" t="str">
        <x:v>Surfaçada</x:v>
      </x:c>
      <x:c r="G2225" s="24" t="str">
        <x:v>ClearMind Pure</x:v>
      </x:c>
      <x:c r="H2225" s="24" t="str">
        <x:v>PhotoFusion X Extra Dark Cinza</x:v>
      </x:c>
      <x:c r="I2225" s="24" t="str">
        <x:v>1.6</x:v>
      </x:c>
      <x:c r="J2225" s="24" t="str">
        <x:v>1.60</x:v>
      </x:c>
      <x:c r="K2225" s="24" t="str">
        <x:v>DuraVision Chrome UV</x:v>
      </x:c>
      <x:c r="L2225" s="40" t="n">
        <x:v>7742</x:v>
      </x:c>
      <x:c r="M2225" s="24" t="str">
        <x:v>-7.25 a +6.00</x:v>
      </x:c>
      <x:c r="N2225" s="24" t="str">
        <x:v>-6.00</x:v>
      </x:c>
      <x:c r="O2225" s="24" t="str">
        <x:v>0.75 a 3.50</x:v>
      </x:c>
      <x:c r="P2225" s="24" t="str">
        <x:v>75</x:v>
      </x:c>
      <x:c r="Q2225" s="24"/>
      <x:c r="R2225" s="24"/>
      <x:c r="S2225" s="26" t="n">
        <x:v>46113</x:v>
      </x:c>
      <x:c r="T2225" s="26"/>
      <x:c r="U2225" s="24" t="str">
        <x:v>ATIVA/SEM FIM INFORMADO</x:v>
      </x:c>
      <x:c r="V2225" s="24" t="str">
        <x:v>Programa de Parcerias ZEISS — categoria Experts; Programa de Parcerias ZEISS</x:v>
      </x:c>
      <x:c r="W2225" s="24" t="n">
        <x:v>35</x:v>
      </x:c>
      <x:c r="X2225" s="24" t="str">
        <x:v>tabela_zeiss.pdf</x:v>
      </x:c>
      <x:c r="Y2225" s="24" t="str">
        <x:v>alta</x:v>
      </x:c>
      <x:c r="Z2225" s="24"/>
      <x:c r="AA2225" s="24" t="str">
        <x:v>ZEISS|Progressiva|Surfaçada|ClearMind Pure|PhotoFusion X Extra Dark Cinza|1.6|1.60|DuraVision Chrome UV|-7.25 a +6.00|-6.00|0.75 a 3.50|75|||35</x:v>
      </x:c>
    </x:row>
    <x:row r="2226">
      <x:c r="A2226" s="24" t="str">
        <x:v>ZS-32DD3C4E37D8</x:v>
      </x:c>
      <x:c r="B2226" s="24" t="str">
        <x:v>SIM</x:v>
      </x:c>
      <x:c r="C2226" s="24" t="str">
        <x:v>DISPONÍVEL</x:v>
      </x:c>
      <x:c r="D2226" s="24" t="str">
        <x:v>ZEISS</x:v>
      </x:c>
      <x:c r="E2226" s="24" t="str">
        <x:v>Progressiva</x:v>
      </x:c>
      <x:c r="F2226" s="24" t="str">
        <x:v>Surfaçada</x:v>
      </x:c>
      <x:c r="G2226" s="24" t="str">
        <x:v>ClearMind Pure</x:v>
      </x:c>
      <x:c r="H2226" s="24" t="str">
        <x:v>PhotoFusion X Extra Dark Cinza</x:v>
      </x:c>
      <x:c r="I2226" s="24" t="str">
        <x:v>1.67</x:v>
      </x:c>
      <x:c r="J2226" s="24" t="str">
        <x:v>1.67</x:v>
      </x:c>
      <x:c r="K2226" s="24" t="str">
        <x:v>DuraVision Gold UV</x:v>
      </x:c>
      <x:c r="L2226" s="40" t="n">
        <x:v>10272</x:v>
      </x:c>
      <x:c r="M2226" s="24" t="str">
        <x:v>-8.00 a +8.00</x:v>
      </x:c>
      <x:c r="N2226" s="24" t="str">
        <x:v>-4.00</x:v>
      </x:c>
      <x:c r="O2226" s="24" t="str">
        <x:v>0.75 a 3.00</x:v>
      </x:c>
      <x:c r="P2226" s="24" t="str">
        <x:v>70</x:v>
      </x:c>
      <x:c r="Q2226" s="24"/>
      <x:c r="R2226" s="24"/>
      <x:c r="S2226" s="26" t="n">
        <x:v>46113</x:v>
      </x:c>
      <x:c r="T2226" s="26"/>
      <x:c r="U2226" s="24" t="str">
        <x:v>ATIVA/SEM FIM INFORMADO</x:v>
      </x:c>
      <x:c r="V2226" s="24" t="str">
        <x:v>Programa de Parcerias ZEISS — categoria Experts; Programa de Parcerias ZEISS</x:v>
      </x:c>
      <x:c r="W2226" s="24" t="n">
        <x:v>35</x:v>
      </x:c>
      <x:c r="X2226" s="24" t="str">
        <x:v>tabela_zeiss.pdf</x:v>
      </x:c>
      <x:c r="Y2226" s="24" t="str">
        <x:v>alta</x:v>
      </x:c>
      <x:c r="Z2226" s="24"/>
      <x:c r="AA2226" s="24" t="str">
        <x:v>ZEISS|Progressiva|Surfaçada|ClearMind Pure|PhotoFusion X Extra Dark Cinza|1.67|1.67|DuraVision Gold UV|-8.00 a +8.00|-4.00|0.75 a 3.00|70|||35</x:v>
      </x:c>
    </x:row>
    <x:row r="2227">
      <x:c r="A2227" s="24" t="str">
        <x:v>ZS-0106E8245FD6</x:v>
      </x:c>
      <x:c r="B2227" s="24" t="str">
        <x:v>SIM</x:v>
      </x:c>
      <x:c r="C2227" s="24" t="str">
        <x:v>DISPONÍVEL</x:v>
      </x:c>
      <x:c r="D2227" s="24" t="str">
        <x:v>ZEISS</x:v>
      </x:c>
      <x:c r="E2227" s="24" t="str">
        <x:v>Progressiva</x:v>
      </x:c>
      <x:c r="F2227" s="24" t="str">
        <x:v>Surfaçada</x:v>
      </x:c>
      <x:c r="G2227" s="24" t="str">
        <x:v>ClearMind Pure</x:v>
      </x:c>
      <x:c r="H2227" s="24" t="str">
        <x:v>PhotoFusion X Extra Dark Cinza</x:v>
      </x:c>
      <x:c r="I2227" s="24" t="str">
        <x:v>1.67</x:v>
      </x:c>
      <x:c r="J2227" s="24" t="str">
        <x:v>1.67</x:v>
      </x:c>
      <x:c r="K2227" s="24" t="str">
        <x:v>DURAVISION® ANTIVÍRUS PLATINUM UV</x:v>
      </x:c>
      <x:c r="L2227" s="40" t="n">
        <x:v>10132</x:v>
      </x:c>
      <x:c r="M2227" s="24" t="str">
        <x:v>-8.00 a +8.00</x:v>
      </x:c>
      <x:c r="N2227" s="24" t="str">
        <x:v>-4.00</x:v>
      </x:c>
      <x:c r="O2227" s="24" t="str">
        <x:v>0.75 a 3.00</x:v>
      </x:c>
      <x:c r="P2227" s="24" t="str">
        <x:v>70</x:v>
      </x:c>
      <x:c r="Q2227" s="24"/>
      <x:c r="R2227" s="24"/>
      <x:c r="S2227" s="26" t="n">
        <x:v>46113</x:v>
      </x:c>
      <x:c r="T2227" s="26"/>
      <x:c r="U2227" s="24" t="str">
        <x:v>ATIVA/SEM FIM INFORMADO</x:v>
      </x:c>
      <x:c r="V2227" s="24" t="str">
        <x:v>Programa de Parcerias ZEISS — categoria Experts; Programa de Parcerias ZEISS</x:v>
      </x:c>
      <x:c r="W2227" s="24" t="n">
        <x:v>35</x:v>
      </x:c>
      <x:c r="X2227" s="24" t="str">
        <x:v>tabela_zeiss.pdf</x:v>
      </x:c>
      <x:c r="Y2227" s="24" t="str">
        <x:v>alta</x:v>
      </x:c>
      <x:c r="Z2227" s="24"/>
      <x:c r="AA2227" s="24" t="str">
        <x:v>ZEISS|Progressiva|Surfaçada|ClearMind Pure|PhotoFusion X Extra Dark Cinza|1.67|1.67|DURAVISION® ANTIVÍRUS PLATINUM UV|-8.00 a +8.00|-4.00|0.75 a 3.00|70|||35</x:v>
      </x:c>
    </x:row>
    <x:row r="2228">
      <x:c r="A2228" s="24" t="str">
        <x:v>ZS-1611ECC305B9</x:v>
      </x:c>
      <x:c r="B2228" s="24" t="str">
        <x:v>SIM</x:v>
      </x:c>
      <x:c r="C2228" s="24" t="str">
        <x:v>DISPONÍVEL</x:v>
      </x:c>
      <x:c r="D2228" s="24" t="str">
        <x:v>ZEISS</x:v>
      </x:c>
      <x:c r="E2228" s="24" t="str">
        <x:v>Progressiva</x:v>
      </x:c>
      <x:c r="F2228" s="24" t="str">
        <x:v>Surfaçada</x:v>
      </x:c>
      <x:c r="G2228" s="24" t="str">
        <x:v>ClearMind Pure</x:v>
      </x:c>
      <x:c r="H2228" s="24" t="str">
        <x:v>PhotoFusion X Extra Dark Cinza</x:v>
      </x:c>
      <x:c r="I2228" s="24" t="str">
        <x:v>1.67</x:v>
      </x:c>
      <x:c r="J2228" s="24" t="str">
        <x:v>1.67</x:v>
      </x:c>
      <x:c r="K2228" s="24" t="str">
        <x:v>DuraVision Platinum UV</x:v>
      </x:c>
      <x:c r="L2228" s="40" t="n">
        <x:v>10132</x:v>
      </x:c>
      <x:c r="M2228" s="24" t="str">
        <x:v>-8.00 a +8.00</x:v>
      </x:c>
      <x:c r="N2228" s="24" t="str">
        <x:v>-4.00</x:v>
      </x:c>
      <x:c r="O2228" s="24" t="str">
        <x:v>0.75 a 3.00</x:v>
      </x:c>
      <x:c r="P2228" s="24" t="str">
        <x:v>70</x:v>
      </x:c>
      <x:c r="Q2228" s="24"/>
      <x:c r="R2228" s="24"/>
      <x:c r="S2228" s="26" t="n">
        <x:v>46113</x:v>
      </x:c>
      <x:c r="T2228" s="26"/>
      <x:c r="U2228" s="24" t="str">
        <x:v>ATIVA/SEM FIM INFORMADO</x:v>
      </x:c>
      <x:c r="V2228" s="24" t="str">
        <x:v>Programa de Parcerias ZEISS — categoria Experts; Programa de Parcerias ZEISS</x:v>
      </x:c>
      <x:c r="W2228" s="24" t="n">
        <x:v>35</x:v>
      </x:c>
      <x:c r="X2228" s="24" t="str">
        <x:v>tabela_zeiss.pdf</x:v>
      </x:c>
      <x:c r="Y2228" s="24" t="str">
        <x:v>alta</x:v>
      </x:c>
      <x:c r="Z2228" s="24"/>
      <x:c r="AA2228" s="24" t="str">
        <x:v>ZEISS|Progressiva|Surfaçada|ClearMind Pure|PhotoFusion X Extra Dark Cinza|1.67|1.67|DuraVision Platinum UV|-8.00 a +8.00|-4.00|0.75 a 3.00|70|||35</x:v>
      </x:c>
    </x:row>
    <x:row r="2229">
      <x:c r="A2229" s="24" t="str">
        <x:v>ZS-8666421ED909</x:v>
      </x:c>
      <x:c r="B2229" s="24" t="str">
        <x:v>SIM</x:v>
      </x:c>
      <x:c r="C2229" s="24" t="str">
        <x:v>DISPONÍVEL</x:v>
      </x:c>
      <x:c r="D2229" s="24" t="str">
        <x:v>ZEISS</x:v>
      </x:c>
      <x:c r="E2229" s="24" t="str">
        <x:v>Progressiva</x:v>
      </x:c>
      <x:c r="F2229" s="24" t="str">
        <x:v>Surfaçada</x:v>
      </x:c>
      <x:c r="G2229" s="24" t="str">
        <x:v>ClearMind Pure</x:v>
      </x:c>
      <x:c r="H2229" s="24" t="str">
        <x:v>PhotoFusion X Extra Dark Cinza</x:v>
      </x:c>
      <x:c r="I2229" s="24" t="str">
        <x:v>1.67</x:v>
      </x:c>
      <x:c r="J2229" s="24" t="str">
        <x:v>1.67</x:v>
      </x:c>
      <x:c r="K2229" s="24" t="str">
        <x:v>DuraVision Silver UV</x:v>
      </x:c>
      <x:c r="L2229" s="40" t="n">
        <x:v>9872</x:v>
      </x:c>
      <x:c r="M2229" s="24" t="str">
        <x:v>-8.00 a +8.00</x:v>
      </x:c>
      <x:c r="N2229" s="24" t="str">
        <x:v>-4.00</x:v>
      </x:c>
      <x:c r="O2229" s="24" t="str">
        <x:v>0.75 a 3.00</x:v>
      </x:c>
      <x:c r="P2229" s="24" t="str">
        <x:v>70</x:v>
      </x:c>
      <x:c r="Q2229" s="24"/>
      <x:c r="R2229" s="24"/>
      <x:c r="S2229" s="26" t="n">
        <x:v>46113</x:v>
      </x:c>
      <x:c r="T2229" s="26"/>
      <x:c r="U2229" s="24" t="str">
        <x:v>ATIVA/SEM FIM INFORMADO</x:v>
      </x:c>
      <x:c r="V2229" s="24" t="str">
        <x:v>Programa de Parcerias ZEISS — categoria Experts; Programa de Parcerias ZEISS</x:v>
      </x:c>
      <x:c r="W2229" s="24" t="n">
        <x:v>35</x:v>
      </x:c>
      <x:c r="X2229" s="24" t="str">
        <x:v>tabela_zeiss.pdf</x:v>
      </x:c>
      <x:c r="Y2229" s="24" t="str">
        <x:v>alta</x:v>
      </x:c>
      <x:c r="Z2229" s="24"/>
      <x:c r="AA2229" s="24" t="str">
        <x:v>ZEISS|Progressiva|Surfaçada|ClearMind Pure|PhotoFusion X Extra Dark Cinza|1.67|1.67|DuraVision Silver UV|-8.00 a +8.00|-4.00|0.75 a 3.00|70|||35</x:v>
      </x:c>
    </x:row>
    <x:row r="2230">
      <x:c r="A2230" s="24" t="str">
        <x:v>ZS-48428DA97084</x:v>
      </x:c>
      <x:c r="B2230" s="24" t="str">
        <x:v>SIM</x:v>
      </x:c>
      <x:c r="C2230" s="24" t="str">
        <x:v>DISPONÍVEL</x:v>
      </x:c>
      <x:c r="D2230" s="24" t="str">
        <x:v>ZEISS</x:v>
      </x:c>
      <x:c r="E2230" s="24" t="str">
        <x:v>Progressiva</x:v>
      </x:c>
      <x:c r="F2230" s="24" t="str">
        <x:v>Surfaçada</x:v>
      </x:c>
      <x:c r="G2230" s="24" t="str">
        <x:v>ClearMind Pure</x:v>
      </x:c>
      <x:c r="H2230" s="24" t="str">
        <x:v>PhotoFusion X Extra Dark Cinza</x:v>
      </x:c>
      <x:c r="I2230" s="24" t="str">
        <x:v>1.67</x:v>
      </x:c>
      <x:c r="J2230" s="24" t="str">
        <x:v>1.67</x:v>
      </x:c>
      <x:c r="K2230" s="24" t="str">
        <x:v>DuraVision Chrome UV</x:v>
      </x:c>
      <x:c r="L2230" s="40" t="n">
        <x:v>9382</x:v>
      </x:c>
      <x:c r="M2230" s="24" t="str">
        <x:v>-8.00 a +8.00</x:v>
      </x:c>
      <x:c r="N2230" s="24" t="str">
        <x:v>-4.00</x:v>
      </x:c>
      <x:c r="O2230" s="24" t="str">
        <x:v>0.75 a 3.00</x:v>
      </x:c>
      <x:c r="P2230" s="24" t="str">
        <x:v>70</x:v>
      </x:c>
      <x:c r="Q2230" s="24"/>
      <x:c r="R2230" s="24"/>
      <x:c r="S2230" s="26" t="n">
        <x:v>46113</x:v>
      </x:c>
      <x:c r="T2230" s="26"/>
      <x:c r="U2230" s="24" t="str">
        <x:v>ATIVA/SEM FIM INFORMADO</x:v>
      </x:c>
      <x:c r="V2230" s="24" t="str">
        <x:v>Programa de Parcerias ZEISS — categoria Experts; Programa de Parcerias ZEISS</x:v>
      </x:c>
      <x:c r="W2230" s="24" t="n">
        <x:v>35</x:v>
      </x:c>
      <x:c r="X2230" s="24" t="str">
        <x:v>tabela_zeiss.pdf</x:v>
      </x:c>
      <x:c r="Y2230" s="24" t="str">
        <x:v>alta</x:v>
      </x:c>
      <x:c r="Z2230" s="24"/>
      <x:c r="AA2230" s="24" t="str">
        <x:v>ZEISS|Progressiva|Surfaçada|ClearMind Pure|PhotoFusion X Extra Dark Cinza|1.67|1.67|DuraVision Chrome UV|-8.00 a +8.00|-4.00|0.75 a 3.00|70|||35</x:v>
      </x:c>
    </x:row>
    <x:row r="2231">
      <x:c r="A2231" s="24" t="str">
        <x:v>ZS-30D783228D5D</x:v>
      </x:c>
      <x:c r="B2231" s="24" t="str">
        <x:v>SIM</x:v>
      </x:c>
      <x:c r="C2231" s="24" t="str">
        <x:v>DISPONÍVEL</x:v>
      </x:c>
      <x:c r="D2231" s="24" t="str">
        <x:v>ZEISS</x:v>
      </x:c>
      <x:c r="E2231" s="24" t="str">
        <x:v>Progressiva</x:v>
      </x:c>
      <x:c r="F2231" s="24" t="str">
        <x:v>Surfaçada</x:v>
      </x:c>
      <x:c r="G2231" s="24" t="str">
        <x:v>ClearMind Pure</x:v>
      </x:c>
      <x:c r="H2231" s="24" t="str">
        <x:v>Polarizada</x:v>
      </x:c>
      <x:c r="I2231" s="24" t="str">
        <x:v>1.5</x:v>
      </x:c>
      <x:c r="J2231" s="24" t="str">
        <x:v>1.50</x:v>
      </x:c>
      <x:c r="K2231" s="24" t="str">
        <x:v>DuraVision Gold UV</x:v>
      </x:c>
      <x:c r="L2231" s="40" t="n">
        <x:v>6752</x:v>
      </x:c>
      <x:c r="M2231" s="24" t="str">
        <x:v>-6.00 a +6.00</x:v>
      </x:c>
      <x:c r="N2231" s="24" t="str">
        <x:v>-4.00</x:v>
      </x:c>
      <x:c r="O2231" s="24" t="str">
        <x:v>0.75 a 3.50</x:v>
      </x:c>
      <x:c r="P2231" s="24" t="str">
        <x:v>70</x:v>
      </x:c>
      <x:c r="Q2231" s="24"/>
      <x:c r="R2231" s="24"/>
      <x:c r="S2231" s="26" t="n">
        <x:v>46113</x:v>
      </x:c>
      <x:c r="T2231" s="26"/>
      <x:c r="U2231" s="24" t="str">
        <x:v>ATIVA/SEM FIM INFORMADO</x:v>
      </x:c>
      <x:c r="V2231" s="24" t="str">
        <x:v>Programa de Parcerias ZEISS — categoria Experts</x:v>
      </x:c>
      <x:c r="W2231" s="24" t="n">
        <x:v>35</x:v>
      </x:c>
      <x:c r="X2231" s="24" t="str">
        <x:v>tabela_zeiss.pdf</x:v>
      </x:c>
      <x:c r="Y2231" s="24" t="str">
        <x:v>alta</x:v>
      </x:c>
      <x:c r="Z2231" s="24"/>
      <x:c r="AA2231" s="24" t="str">
        <x:v>ZEISS|Progressiva|Surfaçada|ClearMind Pure|Polarizada|1.5|1.50|DuraVision Gold UV|-6.00 a +6.00|-4.00|0.75 a 3.50|70|||35</x:v>
      </x:c>
    </x:row>
    <x:row r="2232">
      <x:c r="A2232" s="24" t="str">
        <x:v>ZS-C77FA865AD68</x:v>
      </x:c>
      <x:c r="B2232" s="24" t="str">
        <x:v>SIM</x:v>
      </x:c>
      <x:c r="C2232" s="24" t="str">
        <x:v>DISPONÍVEL</x:v>
      </x:c>
      <x:c r="D2232" s="24" t="str">
        <x:v>ZEISS</x:v>
      </x:c>
      <x:c r="E2232" s="24" t="str">
        <x:v>Progressiva</x:v>
      </x:c>
      <x:c r="F2232" s="24" t="str">
        <x:v>Surfaçada</x:v>
      </x:c>
      <x:c r="G2232" s="24" t="str">
        <x:v>ClearMind Pure</x:v>
      </x:c>
      <x:c r="H2232" s="24" t="str">
        <x:v>Polarizada</x:v>
      </x:c>
      <x:c r="I2232" s="24" t="str">
        <x:v>1.5</x:v>
      </x:c>
      <x:c r="J2232" s="24" t="str">
        <x:v>1.50</x:v>
      </x:c>
      <x:c r="K2232" s="24" t="str">
        <x:v>DuraVision Platinum UV</x:v>
      </x:c>
      <x:c r="L2232" s="40" t="n">
        <x:v>6612</x:v>
      </x:c>
      <x:c r="M2232" s="24" t="str">
        <x:v>-6.00 a +6.00</x:v>
      </x:c>
      <x:c r="N2232" s="24" t="str">
        <x:v>-4.00</x:v>
      </x:c>
      <x:c r="O2232" s="24" t="str">
        <x:v>0.75 a 3.50</x:v>
      </x:c>
      <x:c r="P2232" s="24" t="str">
        <x:v>70</x:v>
      </x:c>
      <x:c r="Q2232" s="24"/>
      <x:c r="R2232" s="24"/>
      <x:c r="S2232" s="26" t="n">
        <x:v>46113</x:v>
      </x:c>
      <x:c r="T2232" s="26"/>
      <x:c r="U2232" s="24" t="str">
        <x:v>ATIVA/SEM FIM INFORMADO</x:v>
      </x:c>
      <x:c r="V2232" s="24" t="str">
        <x:v>Programa de Parcerias ZEISS — categoria Experts</x:v>
      </x:c>
      <x:c r="W2232" s="24" t="n">
        <x:v>35</x:v>
      </x:c>
      <x:c r="X2232" s="24" t="str">
        <x:v>tabela_zeiss.pdf</x:v>
      </x:c>
      <x:c r="Y2232" s="24" t="str">
        <x:v>alta</x:v>
      </x:c>
      <x:c r="Z2232" s="24"/>
      <x:c r="AA2232" s="24" t="str">
        <x:v>ZEISS|Progressiva|Surfaçada|ClearMind Pure|Polarizada|1.5|1.50|DuraVision Platinum UV|-6.00 a +6.00|-4.00|0.75 a 3.50|70|||35</x:v>
      </x:c>
    </x:row>
    <x:row r="2233">
      <x:c r="A2233" s="24" t="str">
        <x:v>ZS-2008A16C4006</x:v>
      </x:c>
      <x:c r="B2233" s="24" t="str">
        <x:v>SIM</x:v>
      </x:c>
      <x:c r="C2233" s="24" t="str">
        <x:v>DISPONÍVEL</x:v>
      </x:c>
      <x:c r="D2233" s="24" t="str">
        <x:v>ZEISS</x:v>
      </x:c>
      <x:c r="E2233" s="24" t="str">
        <x:v>Progressiva</x:v>
      </x:c>
      <x:c r="F2233" s="24" t="str">
        <x:v>Surfaçada</x:v>
      </x:c>
      <x:c r="G2233" s="24" t="str">
        <x:v>ClearMind Pure</x:v>
      </x:c>
      <x:c r="H2233" s="24" t="str">
        <x:v>Polarizada</x:v>
      </x:c>
      <x:c r="I2233" s="24" t="str">
        <x:v>1.5</x:v>
      </x:c>
      <x:c r="J2233" s="24" t="str">
        <x:v>1.50</x:v>
      </x:c>
      <x:c r="K2233" s="24" t="str">
        <x:v>DuraVision Silver UV</x:v>
      </x:c>
      <x:c r="L2233" s="40" t="n">
        <x:v>6352</x:v>
      </x:c>
      <x:c r="M2233" s="24" t="str">
        <x:v>-6.00 a +6.00</x:v>
      </x:c>
      <x:c r="N2233" s="24" t="str">
        <x:v>-4.00</x:v>
      </x:c>
      <x:c r="O2233" s="24" t="str">
        <x:v>0.75 a 3.50</x:v>
      </x:c>
      <x:c r="P2233" s="24" t="str">
        <x:v>70</x:v>
      </x:c>
      <x:c r="Q2233" s="24"/>
      <x:c r="R2233" s="24"/>
      <x:c r="S2233" s="26" t="n">
        <x:v>46113</x:v>
      </x:c>
      <x:c r="T2233" s="26"/>
      <x:c r="U2233" s="24" t="str">
        <x:v>ATIVA/SEM FIM INFORMADO</x:v>
      </x:c>
      <x:c r="V2233" s="24" t="str">
        <x:v>Programa de Parcerias ZEISS — categoria Experts</x:v>
      </x:c>
      <x:c r="W2233" s="24" t="n">
        <x:v>35</x:v>
      </x:c>
      <x:c r="X2233" s="24" t="str">
        <x:v>tabela_zeiss.pdf</x:v>
      </x:c>
      <x:c r="Y2233" s="24" t="str">
        <x:v>alta</x:v>
      </x:c>
      <x:c r="Z2233" s="24"/>
      <x:c r="AA2233" s="24" t="str">
        <x:v>ZEISS|Progressiva|Surfaçada|ClearMind Pure|Polarizada|1.5|1.50|DuraVision Silver UV|-6.00 a +6.00|-4.00|0.75 a 3.50|70|||35</x:v>
      </x:c>
    </x:row>
    <x:row r="2234">
      <x:c r="A2234" s="24" t="str">
        <x:v>ZS-8E985875C438</x:v>
      </x:c>
      <x:c r="B2234" s="24" t="str">
        <x:v>SIM</x:v>
      </x:c>
      <x:c r="C2234" s="24" t="str">
        <x:v>DISPONÍVEL</x:v>
      </x:c>
      <x:c r="D2234" s="24" t="str">
        <x:v>ZEISS</x:v>
      </x:c>
      <x:c r="E2234" s="24" t="str">
        <x:v>Progressiva</x:v>
      </x:c>
      <x:c r="F2234" s="24" t="str">
        <x:v>Surfaçada</x:v>
      </x:c>
      <x:c r="G2234" s="24" t="str">
        <x:v>ClearMind Pure</x:v>
      </x:c>
      <x:c r="H2234" s="24" t="str">
        <x:v>Polarizada</x:v>
      </x:c>
      <x:c r="I2234" s="24" t="str">
        <x:v>1.5</x:v>
      </x:c>
      <x:c r="J2234" s="24" t="str">
        <x:v>1.50</x:v>
      </x:c>
      <x:c r="K2234" s="24" t="str">
        <x:v>DuraVision Chrome UV</x:v>
      </x:c>
      <x:c r="L2234" s="40" t="n">
        <x:v>5862</x:v>
      </x:c>
      <x:c r="M2234" s="24" t="str">
        <x:v>-6.00 a +6.00</x:v>
      </x:c>
      <x:c r="N2234" s="24" t="str">
        <x:v>-4.00</x:v>
      </x:c>
      <x:c r="O2234" s="24" t="str">
        <x:v>0.75 a 3.50</x:v>
      </x:c>
      <x:c r="P2234" s="24" t="str">
        <x:v>70</x:v>
      </x:c>
      <x:c r="Q2234" s="24"/>
      <x:c r="R2234" s="24"/>
      <x:c r="S2234" s="26" t="n">
        <x:v>46113</x:v>
      </x:c>
      <x:c r="T2234" s="26"/>
      <x:c r="U2234" s="24" t="str">
        <x:v>ATIVA/SEM FIM INFORMADO</x:v>
      </x:c>
      <x:c r="V2234" s="24" t="str">
        <x:v>Programa de Parcerias ZEISS — categoria Experts</x:v>
      </x:c>
      <x:c r="W2234" s="24" t="n">
        <x:v>35</x:v>
      </x:c>
      <x:c r="X2234" s="24" t="str">
        <x:v>tabela_zeiss.pdf</x:v>
      </x:c>
      <x:c r="Y2234" s="24" t="str">
        <x:v>alta</x:v>
      </x:c>
      <x:c r="Z2234" s="24"/>
      <x:c r="AA2234" s="24" t="str">
        <x:v>ZEISS|Progressiva|Surfaçada|ClearMind Pure|Polarizada|1.5|1.50|DuraVision Chrome UV|-6.00 a +6.00|-4.00|0.75 a 3.50|70|||35</x:v>
      </x:c>
    </x:row>
    <x:row r="2235">
      <x:c r="A2235" s="24" t="str">
        <x:v>ZS-49B98317182A</x:v>
      </x:c>
      <x:c r="B2235" s="24" t="str">
        <x:v>SIM</x:v>
      </x:c>
      <x:c r="C2235" s="24" t="str">
        <x:v>DISPONÍVEL</x:v>
      </x:c>
      <x:c r="D2235" s="24" t="str">
        <x:v>ZEISS</x:v>
      </x:c>
      <x:c r="E2235" s="24" t="str">
        <x:v>Progressiva</x:v>
      </x:c>
      <x:c r="F2235" s="24" t="str">
        <x:v>Surfaçada</x:v>
      </x:c>
      <x:c r="G2235" s="24" t="str">
        <x:v>ClearMind Pure</x:v>
      </x:c>
      <x:c r="H2235" s="24" t="str">
        <x:v>Polarizada</x:v>
      </x:c>
      <x:c r="I2235" s="24" t="str">
        <x:v>1.5</x:v>
      </x:c>
      <x:c r="J2235" s="24" t="str">
        <x:v>1.50</x:v>
      </x:c>
      <x:c r="K2235" s="24" t="str">
        <x:v>Sem AR</x:v>
      </x:c>
      <x:c r="L2235" s="40" t="n">
        <x:v>5462</x:v>
      </x:c>
      <x:c r="M2235" s="24" t="str">
        <x:v>-6.00 a +6.00</x:v>
      </x:c>
      <x:c r="N2235" s="24" t="str">
        <x:v>-4.00</x:v>
      </x:c>
      <x:c r="O2235" s="24" t="str">
        <x:v>0.75 a 3.50</x:v>
      </x:c>
      <x:c r="P2235" s="24" t="str">
        <x:v>70</x:v>
      </x:c>
      <x:c r="Q2235" s="24"/>
      <x:c r="R2235" s="24"/>
      <x:c r="S2235" s="26" t="n">
        <x:v>46113</x:v>
      </x:c>
      <x:c r="T2235" s="26"/>
      <x:c r="U2235" s="24" t="str">
        <x:v>ATIVA/SEM FIM INFORMADO</x:v>
      </x:c>
      <x:c r="V2235" s="24" t="str">
        <x:v>Programa de Parcerias ZEISS — categoria Experts</x:v>
      </x:c>
      <x:c r="W2235" s="24" t="n">
        <x:v>35</x:v>
      </x:c>
      <x:c r="X2235" s="24" t="str">
        <x:v>tabela_zeiss.pdf</x:v>
      </x:c>
      <x:c r="Y2235" s="24" t="str">
        <x:v>alta</x:v>
      </x:c>
      <x:c r="Z2235" s="24"/>
      <x:c r="AA2235" s="24" t="str">
        <x:v>ZEISS|Progressiva|Surfaçada|ClearMind Pure|Polarizada|1.5|1.50|Sem AR|-6.00 a +6.00|-4.00|0.75 a 3.50|70|||35</x:v>
      </x:c>
    </x:row>
    <x:row r="2236">
      <x:c r="A2236" s="24" t="str">
        <x:v>ZS-EA465108E1D1</x:v>
      </x:c>
      <x:c r="B2236" s="24" t="str">
        <x:v>SIM</x:v>
      </x:c>
      <x:c r="C2236" s="24" t="str">
        <x:v>DISPONÍVEL</x:v>
      </x:c>
      <x:c r="D2236" s="24" t="str">
        <x:v>ZEISS</x:v>
      </x:c>
      <x:c r="E2236" s="24" t="str">
        <x:v>Progressiva</x:v>
      </x:c>
      <x:c r="F2236" s="24" t="str">
        <x:v>Surfaçada</x:v>
      </x:c>
      <x:c r="G2236" s="24" t="str">
        <x:v>ClearMind Pure</x:v>
      </x:c>
      <x:c r="H2236" s="24" t="str">
        <x:v>Polarizada</x:v>
      </x:c>
      <x:c r="I2236" s="24" t="str">
        <x:v>1.6</x:v>
      </x:c>
      <x:c r="J2236" s="24" t="str">
        <x:v>1.60</x:v>
      </x:c>
      <x:c r="K2236" s="24" t="str">
        <x:v>DuraVision Gold UV</x:v>
      </x:c>
      <x:c r="L2236" s="40" t="n">
        <x:v>8002</x:v>
      </x:c>
      <x:c r="M2236" s="24" t="str">
        <x:v>-8.50 a +6.00</x:v>
      </x:c>
      <x:c r="N2236" s="24" t="str">
        <x:v>-4.00</x:v>
      </x:c>
      <x:c r="O2236" s="24" t="str">
        <x:v>0.75 a 3.50</x:v>
      </x:c>
      <x:c r="P2236" s="24" t="str">
        <x:v>70</x:v>
      </x:c>
      <x:c r="Q2236" s="24"/>
      <x:c r="R2236" s="24"/>
      <x:c r="S2236" s="26" t="n">
        <x:v>46113</x:v>
      </x:c>
      <x:c r="T2236" s="26"/>
      <x:c r="U2236" s="24" t="str">
        <x:v>ATIVA/SEM FIM INFORMADO</x:v>
      </x:c>
      <x:c r="V2236" s="24" t="str">
        <x:v>Programa de Parcerias ZEISS — categoria Experts</x:v>
      </x:c>
      <x:c r="W2236" s="24" t="n">
        <x:v>35</x:v>
      </x:c>
      <x:c r="X2236" s="24" t="str">
        <x:v>tabela_zeiss.pdf</x:v>
      </x:c>
      <x:c r="Y2236" s="24" t="str">
        <x:v>alta</x:v>
      </x:c>
      <x:c r="Z2236" s="24"/>
      <x:c r="AA2236" s="24" t="str">
        <x:v>ZEISS|Progressiva|Surfaçada|ClearMind Pure|Polarizada|1.6|1.60|DuraVision Gold UV|-8.50 a +6.00|-4.00|0.75 a 3.50|70|||35</x:v>
      </x:c>
    </x:row>
    <x:row r="2237">
      <x:c r="A2237" s="24" t="str">
        <x:v>ZS-ECA2ADD53A0B</x:v>
      </x:c>
      <x:c r="B2237" s="24" t="str">
        <x:v>SIM</x:v>
      </x:c>
      <x:c r="C2237" s="24" t="str">
        <x:v>DISPONÍVEL</x:v>
      </x:c>
      <x:c r="D2237" s="24" t="str">
        <x:v>ZEISS</x:v>
      </x:c>
      <x:c r="E2237" s="24" t="str">
        <x:v>Progressiva</x:v>
      </x:c>
      <x:c r="F2237" s="24" t="str">
        <x:v>Surfaçada</x:v>
      </x:c>
      <x:c r="G2237" s="24" t="str">
        <x:v>ClearMind Pure</x:v>
      </x:c>
      <x:c r="H2237" s="24" t="str">
        <x:v>Polarizada</x:v>
      </x:c>
      <x:c r="I2237" s="24" t="str">
        <x:v>1.6</x:v>
      </x:c>
      <x:c r="J2237" s="24" t="str">
        <x:v>1.60</x:v>
      </x:c>
      <x:c r="K2237" s="24" t="str">
        <x:v>DuraVision Platinum UV</x:v>
      </x:c>
      <x:c r="L2237" s="40" t="n">
        <x:v>7862</x:v>
      </x:c>
      <x:c r="M2237" s="24" t="str">
        <x:v>-8.50 a +6.00</x:v>
      </x:c>
      <x:c r="N2237" s="24" t="str">
        <x:v>-4.00</x:v>
      </x:c>
      <x:c r="O2237" s="24" t="str">
        <x:v>0.75 a 3.50</x:v>
      </x:c>
      <x:c r="P2237" s="24" t="str">
        <x:v>70</x:v>
      </x:c>
      <x:c r="Q2237" s="24"/>
      <x:c r="R2237" s="24"/>
      <x:c r="S2237" s="26" t="n">
        <x:v>46113</x:v>
      </x:c>
      <x:c r="T2237" s="26"/>
      <x:c r="U2237" s="24" t="str">
        <x:v>ATIVA/SEM FIM INFORMADO</x:v>
      </x:c>
      <x:c r="V2237" s="24" t="str">
        <x:v>Programa de Parcerias ZEISS — categoria Experts</x:v>
      </x:c>
      <x:c r="W2237" s="24" t="n">
        <x:v>35</x:v>
      </x:c>
      <x:c r="X2237" s="24" t="str">
        <x:v>tabela_zeiss.pdf</x:v>
      </x:c>
      <x:c r="Y2237" s="24" t="str">
        <x:v>alta</x:v>
      </x:c>
      <x:c r="Z2237" s="24"/>
      <x:c r="AA2237" s="24" t="str">
        <x:v>ZEISS|Progressiva|Surfaçada|ClearMind Pure|Polarizada|1.6|1.60|DuraVision Platinum UV|-8.50 a +6.00|-4.00|0.75 a 3.50|70|||35</x:v>
      </x:c>
    </x:row>
    <x:row r="2238">
      <x:c r="A2238" s="24" t="str">
        <x:v>ZS-3FE98AB6768B</x:v>
      </x:c>
      <x:c r="B2238" s="24" t="str">
        <x:v>SIM</x:v>
      </x:c>
      <x:c r="C2238" s="24" t="str">
        <x:v>DISPONÍVEL</x:v>
      </x:c>
      <x:c r="D2238" s="24" t="str">
        <x:v>ZEISS</x:v>
      </x:c>
      <x:c r="E2238" s="24" t="str">
        <x:v>Progressiva</x:v>
      </x:c>
      <x:c r="F2238" s="24" t="str">
        <x:v>Surfaçada</x:v>
      </x:c>
      <x:c r="G2238" s="24" t="str">
        <x:v>ClearMind Pure</x:v>
      </x:c>
      <x:c r="H2238" s="24" t="str">
        <x:v>Polarizada</x:v>
      </x:c>
      <x:c r="I2238" s="24" t="str">
        <x:v>1.6</x:v>
      </x:c>
      <x:c r="J2238" s="24" t="str">
        <x:v>1.60</x:v>
      </x:c>
      <x:c r="K2238" s="24" t="str">
        <x:v>DuraVision Silver UV</x:v>
      </x:c>
      <x:c r="L2238" s="40" t="n">
        <x:v>7602</x:v>
      </x:c>
      <x:c r="M2238" s="24" t="str">
        <x:v>-8.50 a +6.00</x:v>
      </x:c>
      <x:c r="N2238" s="24" t="str">
        <x:v>-4.00</x:v>
      </x:c>
      <x:c r="O2238" s="24" t="str">
        <x:v>0.75 a 3.50</x:v>
      </x:c>
      <x:c r="P2238" s="24" t="str">
        <x:v>70</x:v>
      </x:c>
      <x:c r="Q2238" s="24"/>
      <x:c r="R2238" s="24"/>
      <x:c r="S2238" s="26" t="n">
        <x:v>46113</x:v>
      </x:c>
      <x:c r="T2238" s="26"/>
      <x:c r="U2238" s="24" t="str">
        <x:v>ATIVA/SEM FIM INFORMADO</x:v>
      </x:c>
      <x:c r="V2238" s="24" t="str">
        <x:v>Programa de Parcerias ZEISS — categoria Experts</x:v>
      </x:c>
      <x:c r="W2238" s="24" t="n">
        <x:v>35</x:v>
      </x:c>
      <x:c r="X2238" s="24" t="str">
        <x:v>tabela_zeiss.pdf</x:v>
      </x:c>
      <x:c r="Y2238" s="24" t="str">
        <x:v>alta</x:v>
      </x:c>
      <x:c r="Z2238" s="24"/>
      <x:c r="AA2238" s="24" t="str">
        <x:v>ZEISS|Progressiva|Surfaçada|ClearMind Pure|Polarizada|1.6|1.60|DuraVision Silver UV|-8.50 a +6.00|-4.00|0.75 a 3.50|70|||35</x:v>
      </x:c>
    </x:row>
    <x:row r="2239">
      <x:c r="A2239" s="24" t="str">
        <x:v>ZS-F2EB407960A5</x:v>
      </x:c>
      <x:c r="B2239" s="24" t="str">
        <x:v>SIM</x:v>
      </x:c>
      <x:c r="C2239" s="24" t="str">
        <x:v>DISPONÍVEL</x:v>
      </x:c>
      <x:c r="D2239" s="24" t="str">
        <x:v>ZEISS</x:v>
      </x:c>
      <x:c r="E2239" s="24" t="str">
        <x:v>Progressiva</x:v>
      </x:c>
      <x:c r="F2239" s="24" t="str">
        <x:v>Surfaçada</x:v>
      </x:c>
      <x:c r="G2239" s="24" t="str">
        <x:v>ClearMind Pure</x:v>
      </x:c>
      <x:c r="H2239" s="24" t="str">
        <x:v>Polarizada</x:v>
      </x:c>
      <x:c r="I2239" s="24" t="str">
        <x:v>1.6</x:v>
      </x:c>
      <x:c r="J2239" s="24" t="str">
        <x:v>1.60</x:v>
      </x:c>
      <x:c r="K2239" s="24" t="str">
        <x:v>DuraVision Chrome UV</x:v>
      </x:c>
      <x:c r="L2239" s="40" t="n">
        <x:v>7112</x:v>
      </x:c>
      <x:c r="M2239" s="24" t="str">
        <x:v>-8.50 a +6.00</x:v>
      </x:c>
      <x:c r="N2239" s="24" t="str">
        <x:v>-4.00</x:v>
      </x:c>
      <x:c r="O2239" s="24" t="str">
        <x:v>0.75 a 3.50</x:v>
      </x:c>
      <x:c r="P2239" s="24" t="str">
        <x:v>70</x:v>
      </x:c>
      <x:c r="Q2239" s="24"/>
      <x:c r="R2239" s="24"/>
      <x:c r="S2239" s="26" t="n">
        <x:v>46113</x:v>
      </x:c>
      <x:c r="T2239" s="26"/>
      <x:c r="U2239" s="24" t="str">
        <x:v>ATIVA/SEM FIM INFORMADO</x:v>
      </x:c>
      <x:c r="V2239" s="24" t="str">
        <x:v>Programa de Parcerias ZEISS — categoria Experts</x:v>
      </x:c>
      <x:c r="W2239" s="24" t="n">
        <x:v>35</x:v>
      </x:c>
      <x:c r="X2239" s="24" t="str">
        <x:v>tabela_zeiss.pdf</x:v>
      </x:c>
      <x:c r="Y2239" s="24" t="str">
        <x:v>alta</x:v>
      </x:c>
      <x:c r="Z2239" s="24"/>
      <x:c r="AA2239" s="24" t="str">
        <x:v>ZEISS|Progressiva|Surfaçada|ClearMind Pure|Polarizada|1.6|1.60|DuraVision Chrome UV|-8.50 a +6.00|-4.00|0.75 a 3.50|70|||35</x:v>
      </x:c>
    </x:row>
    <x:row r="2240">
      <x:c r="A2240" s="24" t="str">
        <x:v>ZS-2345B5EA1CC3</x:v>
      </x:c>
      <x:c r="B2240" s="24" t="str">
        <x:v>SIM</x:v>
      </x:c>
      <x:c r="C2240" s="24" t="str">
        <x:v>DISPONÍVEL</x:v>
      </x:c>
      <x:c r="D2240" s="24" t="str">
        <x:v>ZEISS</x:v>
      </x:c>
      <x:c r="E2240" s="24" t="str">
        <x:v>Progressiva</x:v>
      </x:c>
      <x:c r="F2240" s="24" t="str">
        <x:v>Surfaçada</x:v>
      </x:c>
      <x:c r="G2240" s="24" t="str">
        <x:v>ClearMind Pure</x:v>
      </x:c>
      <x:c r="H2240" s="24" t="str">
        <x:v>Polarizada</x:v>
      </x:c>
      <x:c r="I2240" s="24" t="str">
        <x:v>1.6</x:v>
      </x:c>
      <x:c r="J2240" s="24" t="str">
        <x:v>1.60</x:v>
      </x:c>
      <x:c r="K2240" s="24" t="str">
        <x:v>Sem AR</x:v>
      </x:c>
      <x:c r="L2240" s="40" t="n">
        <x:v>6712</x:v>
      </x:c>
      <x:c r="M2240" s="24" t="str">
        <x:v>-8.50 a +6.00</x:v>
      </x:c>
      <x:c r="N2240" s="24" t="str">
        <x:v>-4.00</x:v>
      </x:c>
      <x:c r="O2240" s="24" t="str">
        <x:v>0.75 a 3.50</x:v>
      </x:c>
      <x:c r="P2240" s="24" t="str">
        <x:v>70</x:v>
      </x:c>
      <x:c r="Q2240" s="24"/>
      <x:c r="R2240" s="24"/>
      <x:c r="S2240" s="26" t="n">
        <x:v>46113</x:v>
      </x:c>
      <x:c r="T2240" s="26"/>
      <x:c r="U2240" s="24" t="str">
        <x:v>ATIVA/SEM FIM INFORMADO</x:v>
      </x:c>
      <x:c r="V2240" s="24" t="str">
        <x:v>Programa de Parcerias ZEISS — categoria Experts</x:v>
      </x:c>
      <x:c r="W2240" s="24" t="n">
        <x:v>35</x:v>
      </x:c>
      <x:c r="X2240" s="24" t="str">
        <x:v>tabela_zeiss.pdf</x:v>
      </x:c>
      <x:c r="Y2240" s="24" t="str">
        <x:v>alta</x:v>
      </x:c>
      <x:c r="Z2240" s="24"/>
      <x:c r="AA2240" s="24" t="str">
        <x:v>ZEISS|Progressiva|Surfaçada|ClearMind Pure|Polarizada|1.6|1.60|Sem AR|-8.50 a +6.00|-4.00|0.75 a 3.50|70|||35</x:v>
      </x:c>
    </x:row>
    <x:row r="2241">
      <x:c r="A2241" s="24" t="str">
        <x:v>ZS-72D5841D36BE</x:v>
      </x:c>
      <x:c r="B2241" s="24" t="str">
        <x:v>SIM</x:v>
      </x:c>
      <x:c r="C2241" s="24" t="str">
        <x:v>DISPONÍVEL</x:v>
      </x:c>
      <x:c r="D2241" s="24" t="str">
        <x:v>ZEISS</x:v>
      </x:c>
      <x:c r="E2241" s="24" t="str">
        <x:v>Progressiva</x:v>
      </x:c>
      <x:c r="F2241" s="24" t="str">
        <x:v>Surfaçada</x:v>
      </x:c>
      <x:c r="G2241" s="24" t="str">
        <x:v>SmartLife Individual 3</x:v>
      </x:c>
      <x:c r="H2241" s="24"/>
      <x:c r="I2241" s="24" t="str">
        <x:v>1.5</x:v>
      </x:c>
      <x:c r="J2241" s="24" t="str">
        <x:v>1.50</x:v>
      </x:c>
      <x:c r="K2241" s="24" t="str">
        <x:v>DuraVision Gold UV</x:v>
      </x:c>
      <x:c r="L2241" s="40" t="n">
        <x:v>10989</x:v>
      </x:c>
      <x:c r="M2241" s="24" t="str">
        <x:v>-6.00 a +4.00</x:v>
      </x:c>
      <x:c r="N2241" s="24" t="str">
        <x:v>-4.00</x:v>
      </x:c>
      <x:c r="O2241" s="24" t="str">
        <x:v>0.75 a 3.50</x:v>
      </x:c>
      <x:c r="P2241" s="24" t="str">
        <x:v>75</x:v>
      </x:c>
      <x:c r="Q2241" s="24"/>
      <x:c r="R2241" s="24"/>
      <x:c r="S2241" s="26" t="n">
        <x:v>46113</x:v>
      </x:c>
      <x:c r="T2241" s="26"/>
      <x:c r="U2241" s="24" t="str">
        <x:v>ATIVA/SEM FIM INFORMADO</x:v>
      </x:c>
      <x:c r="V2241" s="24"/>
      <x:c r="W2241" s="24" t="n">
        <x:v>37</x:v>
      </x:c>
      <x:c r="X2241" s="24" t="str">
        <x:v>tabela_zeiss.pdf</x:v>
      </x:c>
      <x:c r="Y2241" s="24" t="str">
        <x:v>alta</x:v>
      </x:c>
      <x:c r="Z2241" s="24"/>
      <x:c r="AA2241" s="24" t="str">
        <x:v>ZEISS|Progressiva|Surfaçada|SmartLife Individual 3||1.5|1.50|DuraVision Gold UV|-6.00 a +4.00|-4.00|0.75 a 3.50|75|||37</x:v>
      </x:c>
    </x:row>
    <x:row r="2242">
      <x:c r="A2242" s="24" t="str">
        <x:v>ZS-A2FC5717EC69</x:v>
      </x:c>
      <x:c r="B2242" s="24" t="str">
        <x:v>SIM</x:v>
      </x:c>
      <x:c r="C2242" s="24" t="str">
        <x:v>DISPONÍVEL</x:v>
      </x:c>
      <x:c r="D2242" s="24" t="str">
        <x:v>ZEISS</x:v>
      </x:c>
      <x:c r="E2242" s="24" t="str">
        <x:v>Progressiva</x:v>
      </x:c>
      <x:c r="F2242" s="24" t="str">
        <x:v>Surfaçada</x:v>
      </x:c>
      <x:c r="G2242" s="24" t="str">
        <x:v>SmartLife Individual 3</x:v>
      </x:c>
      <x:c r="H2242" s="24"/>
      <x:c r="I2242" s="24" t="str">
        <x:v>1.5</x:v>
      </x:c>
      <x:c r="J2242" s="24" t="str">
        <x:v>1.50</x:v>
      </x:c>
      <x:c r="K2242" s="24" t="str">
        <x:v>DURAVISION® ANTIVÍRUS PLATINUM UV</x:v>
      </x:c>
      <x:c r="L2242" s="40" t="n">
        <x:v>10849</x:v>
      </x:c>
      <x:c r="M2242" s="24" t="str">
        <x:v>-6.00 a +4.00</x:v>
      </x:c>
      <x:c r="N2242" s="24" t="str">
        <x:v>-4.00</x:v>
      </x:c>
      <x:c r="O2242" s="24" t="str">
        <x:v>0.75 a 3.50</x:v>
      </x:c>
      <x:c r="P2242" s="24" t="str">
        <x:v>75</x:v>
      </x:c>
      <x:c r="Q2242" s="24"/>
      <x:c r="R2242" s="24"/>
      <x:c r="S2242" s="26" t="n">
        <x:v>46113</x:v>
      </x:c>
      <x:c r="T2242" s="26"/>
      <x:c r="U2242" s="24" t="str">
        <x:v>ATIVA/SEM FIM INFORMADO</x:v>
      </x:c>
      <x:c r="V2242" s="24"/>
      <x:c r="W2242" s="24" t="n">
        <x:v>37</x:v>
      </x:c>
      <x:c r="X2242" s="24" t="str">
        <x:v>tabela_zeiss.pdf</x:v>
      </x:c>
      <x:c r="Y2242" s="24" t="str">
        <x:v>alta</x:v>
      </x:c>
      <x:c r="Z2242" s="24"/>
      <x:c r="AA2242" s="24" t="str">
        <x:v>ZEISS|Progressiva|Surfaçada|SmartLife Individual 3||1.5|1.50|DURAVISION® ANTIVÍRUS PLATINUM UV|-6.00 a +4.00|-4.00|0.75 a 3.50|75|||37</x:v>
      </x:c>
    </x:row>
    <x:row r="2243">
      <x:c r="A2243" s="24" t="str">
        <x:v>ZS-48CA5574646E</x:v>
      </x:c>
      <x:c r="B2243" s="24" t="str">
        <x:v>SIM</x:v>
      </x:c>
      <x:c r="C2243" s="24" t="str">
        <x:v>DISPONÍVEL</x:v>
      </x:c>
      <x:c r="D2243" s="24" t="str">
        <x:v>ZEISS</x:v>
      </x:c>
      <x:c r="E2243" s="24" t="str">
        <x:v>Progressiva</x:v>
      </x:c>
      <x:c r="F2243" s="24" t="str">
        <x:v>Surfaçada</x:v>
      </x:c>
      <x:c r="G2243" s="24" t="str">
        <x:v>SmartLife Individual 3</x:v>
      </x:c>
      <x:c r="H2243" s="24"/>
      <x:c r="I2243" s="24" t="str">
        <x:v>1.5</x:v>
      </x:c>
      <x:c r="J2243" s="24" t="str">
        <x:v>1.50</x:v>
      </x:c>
      <x:c r="K2243" s="24" t="str">
        <x:v>DuraVision Platinum UV</x:v>
      </x:c>
      <x:c r="L2243" s="40" t="n">
        <x:v>10849</x:v>
      </x:c>
      <x:c r="M2243" s="24" t="str">
        <x:v>-6.00 a +4.00</x:v>
      </x:c>
      <x:c r="N2243" s="24" t="str">
        <x:v>-4.00</x:v>
      </x:c>
      <x:c r="O2243" s="24" t="str">
        <x:v>0.75 a 3.50</x:v>
      </x:c>
      <x:c r="P2243" s="24" t="str">
        <x:v>75</x:v>
      </x:c>
      <x:c r="Q2243" s="24"/>
      <x:c r="R2243" s="24"/>
      <x:c r="S2243" s="26" t="n">
        <x:v>46113</x:v>
      </x:c>
      <x:c r="T2243" s="26"/>
      <x:c r="U2243" s="24" t="str">
        <x:v>ATIVA/SEM FIM INFORMADO</x:v>
      </x:c>
      <x:c r="V2243" s="24"/>
      <x:c r="W2243" s="24" t="n">
        <x:v>37</x:v>
      </x:c>
      <x:c r="X2243" s="24" t="str">
        <x:v>tabela_zeiss.pdf</x:v>
      </x:c>
      <x:c r="Y2243" s="24" t="str">
        <x:v>alta</x:v>
      </x:c>
      <x:c r="Z2243" s="24"/>
      <x:c r="AA2243" s="24" t="str">
        <x:v>ZEISS|Progressiva|Surfaçada|SmartLife Individual 3||1.5|1.50|DuraVision Platinum UV|-6.00 a +4.00|-4.00|0.75 a 3.50|75|||37</x:v>
      </x:c>
    </x:row>
    <x:row r="2244">
      <x:c r="A2244" s="24" t="str">
        <x:v>ZS-0AE3AD14D378</x:v>
      </x:c>
      <x:c r="B2244" s="24" t="str">
        <x:v>SIM</x:v>
      </x:c>
      <x:c r="C2244" s="24" t="str">
        <x:v>DISPONÍVEL</x:v>
      </x:c>
      <x:c r="D2244" s="24" t="str">
        <x:v>ZEISS</x:v>
      </x:c>
      <x:c r="E2244" s="24" t="str">
        <x:v>Progressiva</x:v>
      </x:c>
      <x:c r="F2244" s="24" t="str">
        <x:v>Surfaçada</x:v>
      </x:c>
      <x:c r="G2244" s="24" t="str">
        <x:v>SmartLife Individual 3</x:v>
      </x:c>
      <x:c r="H2244" s="24"/>
      <x:c r="I2244" s="24" t="str">
        <x:v>1.5</x:v>
      </x:c>
      <x:c r="J2244" s="24" t="str">
        <x:v>1.50</x:v>
      </x:c>
      <x:c r="K2244" s="24" t="str">
        <x:v>DuraVision Silver UV</x:v>
      </x:c>
      <x:c r="L2244" s="40" t="n">
        <x:v>10589</x:v>
      </x:c>
      <x:c r="M2244" s="24" t="str">
        <x:v>-6.00 a +4.00</x:v>
      </x:c>
      <x:c r="N2244" s="24" t="str">
        <x:v>-4.00</x:v>
      </x:c>
      <x:c r="O2244" s="24" t="str">
        <x:v>0.75 a 3.50</x:v>
      </x:c>
      <x:c r="P2244" s="24" t="str">
        <x:v>75</x:v>
      </x:c>
      <x:c r="Q2244" s="24"/>
      <x:c r="R2244" s="24"/>
      <x:c r="S2244" s="26" t="n">
        <x:v>46113</x:v>
      </x:c>
      <x:c r="T2244" s="26"/>
      <x:c r="U2244" s="24" t="str">
        <x:v>ATIVA/SEM FIM INFORMADO</x:v>
      </x:c>
      <x:c r="V2244" s="24"/>
      <x:c r="W2244" s="24" t="n">
        <x:v>37</x:v>
      </x:c>
      <x:c r="X2244" s="24" t="str">
        <x:v>tabela_zeiss.pdf</x:v>
      </x:c>
      <x:c r="Y2244" s="24" t="str">
        <x:v>alta</x:v>
      </x:c>
      <x:c r="Z2244" s="24"/>
      <x:c r="AA2244" s="24" t="str">
        <x:v>ZEISS|Progressiva|Surfaçada|SmartLife Individual 3||1.5|1.50|DuraVision Silver UV|-6.00 a +4.00|-4.00|0.75 a 3.50|75|||37</x:v>
      </x:c>
    </x:row>
    <x:row r="2245">
      <x:c r="A2245" s="24" t="str">
        <x:v>ZS-1EACC9D2DCA9</x:v>
      </x:c>
      <x:c r="B2245" s="24" t="str">
        <x:v>SIM</x:v>
      </x:c>
      <x:c r="C2245" s="24" t="str">
        <x:v>DISPONÍVEL</x:v>
      </x:c>
      <x:c r="D2245" s="24" t="str">
        <x:v>ZEISS</x:v>
      </x:c>
      <x:c r="E2245" s="24" t="str">
        <x:v>Progressiva</x:v>
      </x:c>
      <x:c r="F2245" s="24" t="str">
        <x:v>Surfaçada</x:v>
      </x:c>
      <x:c r="G2245" s="24" t="str">
        <x:v>SmartLife Individual 3</x:v>
      </x:c>
      <x:c r="H2245" s="24"/>
      <x:c r="I2245" s="24" t="str">
        <x:v>1.5</x:v>
      </x:c>
      <x:c r="J2245" s="24" t="str">
        <x:v>1.50</x:v>
      </x:c>
      <x:c r="K2245" s="24" t="str">
        <x:v>DuraVision Chrome UV</x:v>
      </x:c>
      <x:c r="L2245" s="40" t="n">
        <x:v>10099</x:v>
      </x:c>
      <x:c r="M2245" s="24" t="str">
        <x:v>-6.00 a +4.00</x:v>
      </x:c>
      <x:c r="N2245" s="24" t="str">
        <x:v>-4.00</x:v>
      </x:c>
      <x:c r="O2245" s="24" t="str">
        <x:v>0.75 a 3.50</x:v>
      </x:c>
      <x:c r="P2245" s="24" t="str">
        <x:v>75</x:v>
      </x:c>
      <x:c r="Q2245" s="24"/>
      <x:c r="R2245" s="24"/>
      <x:c r="S2245" s="26" t="n">
        <x:v>46113</x:v>
      </x:c>
      <x:c r="T2245" s="26"/>
      <x:c r="U2245" s="24" t="str">
        <x:v>ATIVA/SEM FIM INFORMADO</x:v>
      </x:c>
      <x:c r="V2245" s="24"/>
      <x:c r="W2245" s="24" t="n">
        <x:v>37</x:v>
      </x:c>
      <x:c r="X2245" s="24" t="str">
        <x:v>tabela_zeiss.pdf</x:v>
      </x:c>
      <x:c r="Y2245" s="24" t="str">
        <x:v>alta</x:v>
      </x:c>
      <x:c r="Z2245" s="24"/>
      <x:c r="AA2245" s="24" t="str">
        <x:v>ZEISS|Progressiva|Surfaçada|SmartLife Individual 3||1.5|1.50|DuraVision Chrome UV|-6.00 a +4.00|-4.00|0.75 a 3.50|75|||37</x:v>
      </x:c>
    </x:row>
    <x:row r="2246">
      <x:c r="A2246" s="24" t="str">
        <x:v>ZS-6AB67AA82C4E</x:v>
      </x:c>
      <x:c r="B2246" s="24" t="str">
        <x:v>SIM</x:v>
      </x:c>
      <x:c r="C2246" s="24" t="str">
        <x:v>DISPONÍVEL</x:v>
      </x:c>
      <x:c r="D2246" s="24" t="str">
        <x:v>ZEISS</x:v>
      </x:c>
      <x:c r="E2246" s="24" t="str">
        <x:v>Progressiva</x:v>
      </x:c>
      <x:c r="F2246" s="24" t="str">
        <x:v>Surfaçada</x:v>
      </x:c>
      <x:c r="G2246" s="24" t="str">
        <x:v>SmartLife Individual 3</x:v>
      </x:c>
      <x:c r="H2246" s="24"/>
      <x:c r="I2246" s="24" t="str">
        <x:v>Poli</x:v>
      </x:c>
      <x:c r="J2246" s="24"/>
      <x:c r="K2246" s="24" t="str">
        <x:v>DuraVision Gold UV</x:v>
      </x:c>
      <x:c r="L2246" s="40" t="n">
        <x:v>11579</x:v>
      </x:c>
      <x:c r="M2246" s="24" t="str">
        <x:v>-10.00 a +6.00</x:v>
      </x:c>
      <x:c r="N2246" s="24" t="str">
        <x:v>-6.00</x:v>
      </x:c>
      <x:c r="O2246" s="24" t="str">
        <x:v>0.75 a 3.00</x:v>
      </x:c>
      <x:c r="P2246" s="24" t="str">
        <x:v>70</x:v>
      </x:c>
      <x:c r="Q2246" s="24"/>
      <x:c r="R2246" s="24"/>
      <x:c r="S2246" s="26" t="n">
        <x:v>46113</x:v>
      </x:c>
      <x:c r="T2246" s="26"/>
      <x:c r="U2246" s="24" t="str">
        <x:v>ATIVA/SEM FIM INFORMADO</x:v>
      </x:c>
      <x:c r="V2246" s="24"/>
      <x:c r="W2246" s="24" t="n">
        <x:v>37</x:v>
      </x:c>
      <x:c r="X2246" s="24" t="str">
        <x:v>tabela_zeiss.pdf</x:v>
      </x:c>
      <x:c r="Y2246" s="24" t="str">
        <x:v>alta</x:v>
      </x:c>
      <x:c r="Z2246" s="24"/>
      <x:c r="AA2246" s="24" t="str">
        <x:v>ZEISS|Progressiva|Surfaçada|SmartLife Individual 3||Poli||DuraVision Gold UV|-10.00 a +6.00|-6.00|0.75 a 3.00|70|||37</x:v>
      </x:c>
    </x:row>
    <x:row r="2247">
      <x:c r="A2247" s="24" t="str">
        <x:v>ZS-E440B50537A5</x:v>
      </x:c>
      <x:c r="B2247" s="24" t="str">
        <x:v>SIM</x:v>
      </x:c>
      <x:c r="C2247" s="24" t="str">
        <x:v>DISPONÍVEL</x:v>
      </x:c>
      <x:c r="D2247" s="24" t="str">
        <x:v>ZEISS</x:v>
      </x:c>
      <x:c r="E2247" s="24" t="str">
        <x:v>Progressiva</x:v>
      </x:c>
      <x:c r="F2247" s="24" t="str">
        <x:v>Surfaçada</x:v>
      </x:c>
      <x:c r="G2247" s="24" t="str">
        <x:v>SmartLife Individual 3</x:v>
      </x:c>
      <x:c r="H2247" s="24"/>
      <x:c r="I2247" s="24" t="str">
        <x:v>Poli</x:v>
      </x:c>
      <x:c r="J2247" s="24"/>
      <x:c r="K2247" s="24" t="str">
        <x:v>DuraVision Platinum UV</x:v>
      </x:c>
      <x:c r="L2247" s="40" t="n">
        <x:v>11439</x:v>
      </x:c>
      <x:c r="M2247" s="24" t="str">
        <x:v>-10.00 a +6.00</x:v>
      </x:c>
      <x:c r="N2247" s="24" t="str">
        <x:v>-6.00</x:v>
      </x:c>
      <x:c r="O2247" s="24" t="str">
        <x:v>0.75 a 3.00</x:v>
      </x:c>
      <x:c r="P2247" s="24" t="str">
        <x:v>70</x:v>
      </x:c>
      <x:c r="Q2247" s="24"/>
      <x:c r="R2247" s="24"/>
      <x:c r="S2247" s="26" t="n">
        <x:v>46113</x:v>
      </x:c>
      <x:c r="T2247" s="26"/>
      <x:c r="U2247" s="24" t="str">
        <x:v>ATIVA/SEM FIM INFORMADO</x:v>
      </x:c>
      <x:c r="V2247" s="24"/>
      <x:c r="W2247" s="24" t="n">
        <x:v>37</x:v>
      </x:c>
      <x:c r="X2247" s="24" t="str">
        <x:v>tabela_zeiss.pdf</x:v>
      </x:c>
      <x:c r="Y2247" s="24" t="str">
        <x:v>alta</x:v>
      </x:c>
      <x:c r="Z2247" s="24"/>
      <x:c r="AA2247" s="24" t="str">
        <x:v>ZEISS|Progressiva|Surfaçada|SmartLife Individual 3||Poli||DuraVision Platinum UV|-10.00 a +6.00|-6.00|0.75 a 3.00|70|||37</x:v>
      </x:c>
    </x:row>
    <x:row r="2248">
      <x:c r="A2248" s="24" t="str">
        <x:v>ZS-3CD37A2389DB</x:v>
      </x:c>
      <x:c r="B2248" s="24" t="str">
        <x:v>SIM</x:v>
      </x:c>
      <x:c r="C2248" s="24" t="str">
        <x:v>DISPONÍVEL</x:v>
      </x:c>
      <x:c r="D2248" s="24" t="str">
        <x:v>ZEISS</x:v>
      </x:c>
      <x:c r="E2248" s="24" t="str">
        <x:v>Progressiva</x:v>
      </x:c>
      <x:c r="F2248" s="24" t="str">
        <x:v>Surfaçada</x:v>
      </x:c>
      <x:c r="G2248" s="24" t="str">
        <x:v>SmartLife Individual 3</x:v>
      </x:c>
      <x:c r="H2248" s="24"/>
      <x:c r="I2248" s="24" t="str">
        <x:v>Poli</x:v>
      </x:c>
      <x:c r="J2248" s="24"/>
      <x:c r="K2248" s="24" t="str">
        <x:v>DuraVision Silver UV</x:v>
      </x:c>
      <x:c r="L2248" s="40" t="n">
        <x:v>11179</x:v>
      </x:c>
      <x:c r="M2248" s="24" t="str">
        <x:v>-10.00 a +6.00</x:v>
      </x:c>
      <x:c r="N2248" s="24" t="str">
        <x:v>-6.00</x:v>
      </x:c>
      <x:c r="O2248" s="24" t="str">
        <x:v>0.75 a 3.00</x:v>
      </x:c>
      <x:c r="P2248" s="24" t="str">
        <x:v>70</x:v>
      </x:c>
      <x:c r="Q2248" s="24"/>
      <x:c r="R2248" s="24"/>
      <x:c r="S2248" s="26" t="n">
        <x:v>46113</x:v>
      </x:c>
      <x:c r="T2248" s="26"/>
      <x:c r="U2248" s="24" t="str">
        <x:v>ATIVA/SEM FIM INFORMADO</x:v>
      </x:c>
      <x:c r="V2248" s="24"/>
      <x:c r="W2248" s="24" t="n">
        <x:v>37</x:v>
      </x:c>
      <x:c r="X2248" s="24" t="str">
        <x:v>tabela_zeiss.pdf</x:v>
      </x:c>
      <x:c r="Y2248" s="24" t="str">
        <x:v>alta</x:v>
      </x:c>
      <x:c r="Z2248" s="24"/>
      <x:c r="AA2248" s="24" t="str">
        <x:v>ZEISS|Progressiva|Surfaçada|SmartLife Individual 3||Poli||DuraVision Silver UV|-10.00 a +6.00|-6.00|0.75 a 3.00|70|||37</x:v>
      </x:c>
    </x:row>
    <x:row r="2249">
      <x:c r="A2249" s="24" t="str">
        <x:v>ZS-B7B75A3CD91B</x:v>
      </x:c>
      <x:c r="B2249" s="24" t="str">
        <x:v>SIM</x:v>
      </x:c>
      <x:c r="C2249" s="24" t="str">
        <x:v>DISPONÍVEL</x:v>
      </x:c>
      <x:c r="D2249" s="24" t="str">
        <x:v>ZEISS</x:v>
      </x:c>
      <x:c r="E2249" s="24" t="str">
        <x:v>Progressiva</x:v>
      </x:c>
      <x:c r="F2249" s="24" t="str">
        <x:v>Surfaçada</x:v>
      </x:c>
      <x:c r="G2249" s="24" t="str">
        <x:v>SmartLife Individual 3</x:v>
      </x:c>
      <x:c r="H2249" s="24"/>
      <x:c r="I2249" s="24" t="str">
        <x:v>Poli</x:v>
      </x:c>
      <x:c r="J2249" s="24"/>
      <x:c r="K2249" s="24" t="str">
        <x:v>DuraVision Chrome UV</x:v>
      </x:c>
      <x:c r="L2249" s="40" t="n">
        <x:v>10689</x:v>
      </x:c>
      <x:c r="M2249" s="24" t="str">
        <x:v>-10.00 a +6.00</x:v>
      </x:c>
      <x:c r="N2249" s="24" t="str">
        <x:v>-6.00</x:v>
      </x:c>
      <x:c r="O2249" s="24" t="str">
        <x:v>0.75 a 3.00</x:v>
      </x:c>
      <x:c r="P2249" s="24" t="str">
        <x:v>70</x:v>
      </x:c>
      <x:c r="Q2249" s="24"/>
      <x:c r="R2249" s="24"/>
      <x:c r="S2249" s="26" t="n">
        <x:v>46113</x:v>
      </x:c>
      <x:c r="T2249" s="26"/>
      <x:c r="U2249" s="24" t="str">
        <x:v>ATIVA/SEM FIM INFORMADO</x:v>
      </x:c>
      <x:c r="V2249" s="24"/>
      <x:c r="W2249" s="24" t="n">
        <x:v>37</x:v>
      </x:c>
      <x:c r="X2249" s="24" t="str">
        <x:v>tabela_zeiss.pdf</x:v>
      </x:c>
      <x:c r="Y2249" s="24" t="str">
        <x:v>alta</x:v>
      </x:c>
      <x:c r="Z2249" s="24"/>
      <x:c r="AA2249" s="24" t="str">
        <x:v>ZEISS|Progressiva|Surfaçada|SmartLife Individual 3||Poli||DuraVision Chrome UV|-10.00 a +6.00|-6.00|0.75 a 3.00|70|||37</x:v>
      </x:c>
    </x:row>
    <x:row r="2250">
      <x:c r="A2250" s="24" t="str">
        <x:v>ZS-818B5C6AEA7A</x:v>
      </x:c>
      <x:c r="B2250" s="24" t="str">
        <x:v>SIM</x:v>
      </x:c>
      <x:c r="C2250" s="24" t="str">
        <x:v>DISPONÍVEL</x:v>
      </x:c>
      <x:c r="D2250" s="24" t="str">
        <x:v>ZEISS</x:v>
      </x:c>
      <x:c r="E2250" s="24" t="str">
        <x:v>Progressiva</x:v>
      </x:c>
      <x:c r="F2250" s="24" t="str">
        <x:v>Surfaçada</x:v>
      </x:c>
      <x:c r="G2250" s="24" t="str">
        <x:v>SmartLife Individual 3</x:v>
      </x:c>
      <x:c r="H2250" s="24"/>
      <x:c r="I2250" s="24" t="str">
        <x:v>1.6</x:v>
      </x:c>
      <x:c r="J2250" s="24" t="str">
        <x:v>1.60</x:v>
      </x:c>
      <x:c r="K2250" s="24" t="str">
        <x:v>DuraVision Gold UV</x:v>
      </x:c>
      <x:c r="L2250" s="40" t="n">
        <x:v>12239</x:v>
      </x:c>
      <x:c r="M2250" s="24" t="str">
        <x:v>-7.25 a +6.00</x:v>
      </x:c>
      <x:c r="N2250" s="24" t="str">
        <x:v>-6.00</x:v>
      </x:c>
      <x:c r="O2250" s="24" t="str">
        <x:v>0.75 a 3.50</x:v>
      </x:c>
      <x:c r="P2250" s="24" t="str">
        <x:v>75</x:v>
      </x:c>
      <x:c r="Q2250" s="24"/>
      <x:c r="R2250" s="24"/>
      <x:c r="S2250" s="26" t="n">
        <x:v>46113</x:v>
      </x:c>
      <x:c r="T2250" s="26"/>
      <x:c r="U2250" s="24" t="str">
        <x:v>ATIVA/SEM FIM INFORMADO</x:v>
      </x:c>
      <x:c r="V2250" s="24"/>
      <x:c r="W2250" s="24" t="n">
        <x:v>37</x:v>
      </x:c>
      <x:c r="X2250" s="24" t="str">
        <x:v>tabela_zeiss.pdf</x:v>
      </x:c>
      <x:c r="Y2250" s="24" t="str">
        <x:v>alta</x:v>
      </x:c>
      <x:c r="Z2250" s="24"/>
      <x:c r="AA2250" s="24" t="str">
        <x:v>ZEISS|Progressiva|Surfaçada|SmartLife Individual 3||1.6|1.60|DuraVision Gold UV|-7.25 a +6.00|-6.00|0.75 a 3.50|75|||37</x:v>
      </x:c>
    </x:row>
    <x:row r="2251">
      <x:c r="A2251" s="24" t="str">
        <x:v>ZS-59B9B0BBB84D</x:v>
      </x:c>
      <x:c r="B2251" s="24" t="str">
        <x:v>SIM</x:v>
      </x:c>
      <x:c r="C2251" s="24" t="str">
        <x:v>DISPONÍVEL</x:v>
      </x:c>
      <x:c r="D2251" s="24" t="str">
        <x:v>ZEISS</x:v>
      </x:c>
      <x:c r="E2251" s="24" t="str">
        <x:v>Progressiva</x:v>
      </x:c>
      <x:c r="F2251" s="24" t="str">
        <x:v>Surfaçada</x:v>
      </x:c>
      <x:c r="G2251" s="24" t="str">
        <x:v>SmartLife Individual 3</x:v>
      </x:c>
      <x:c r="H2251" s="24"/>
      <x:c r="I2251" s="24" t="str">
        <x:v>1.6</x:v>
      </x:c>
      <x:c r="J2251" s="24" t="str">
        <x:v>1.60</x:v>
      </x:c>
      <x:c r="K2251" s="24" t="str">
        <x:v>DURAVISION® ANTIVÍRUS PLATINUM UV</x:v>
      </x:c>
      <x:c r="L2251" s="40" t="n">
        <x:v>12099</x:v>
      </x:c>
      <x:c r="M2251" s="24" t="str">
        <x:v>-7.25 a +6.00</x:v>
      </x:c>
      <x:c r="N2251" s="24" t="str">
        <x:v>-6.00</x:v>
      </x:c>
      <x:c r="O2251" s="24" t="str">
        <x:v>0.75 a 3.50</x:v>
      </x:c>
      <x:c r="P2251" s="24" t="str">
        <x:v>75</x:v>
      </x:c>
      <x:c r="Q2251" s="24"/>
      <x:c r="R2251" s="24"/>
      <x:c r="S2251" s="26" t="n">
        <x:v>46113</x:v>
      </x:c>
      <x:c r="T2251" s="26"/>
      <x:c r="U2251" s="24" t="str">
        <x:v>ATIVA/SEM FIM INFORMADO</x:v>
      </x:c>
      <x:c r="V2251" s="24"/>
      <x:c r="W2251" s="24" t="n">
        <x:v>37</x:v>
      </x:c>
      <x:c r="X2251" s="24" t="str">
        <x:v>tabela_zeiss.pdf</x:v>
      </x:c>
      <x:c r="Y2251" s="24" t="str">
        <x:v>alta</x:v>
      </x:c>
      <x:c r="Z2251" s="24"/>
      <x:c r="AA2251" s="24" t="str">
        <x:v>ZEISS|Progressiva|Surfaçada|SmartLife Individual 3||1.6|1.60|DURAVISION® ANTIVÍRUS PLATINUM UV|-7.25 a +6.00|-6.00|0.75 a 3.50|75|||37</x:v>
      </x:c>
    </x:row>
    <x:row r="2252">
      <x:c r="A2252" s="24" t="str">
        <x:v>ZS-B6D2B9900C48</x:v>
      </x:c>
      <x:c r="B2252" s="24" t="str">
        <x:v>SIM</x:v>
      </x:c>
      <x:c r="C2252" s="24" t="str">
        <x:v>DISPONÍVEL</x:v>
      </x:c>
      <x:c r="D2252" s="24" t="str">
        <x:v>ZEISS</x:v>
      </x:c>
      <x:c r="E2252" s="24" t="str">
        <x:v>Progressiva</x:v>
      </x:c>
      <x:c r="F2252" s="24" t="str">
        <x:v>Surfaçada</x:v>
      </x:c>
      <x:c r="G2252" s="24" t="str">
        <x:v>SmartLife Individual 3</x:v>
      </x:c>
      <x:c r="H2252" s="24"/>
      <x:c r="I2252" s="24" t="str">
        <x:v>1.6</x:v>
      </x:c>
      <x:c r="J2252" s="24" t="str">
        <x:v>1.60</x:v>
      </x:c>
      <x:c r="K2252" s="24" t="str">
        <x:v>DuraVision Platinum UV</x:v>
      </x:c>
      <x:c r="L2252" s="40" t="n">
        <x:v>12099</x:v>
      </x:c>
      <x:c r="M2252" s="24" t="str">
        <x:v>-7.25 a +6.00</x:v>
      </x:c>
      <x:c r="N2252" s="24" t="str">
        <x:v>-6.00</x:v>
      </x:c>
      <x:c r="O2252" s="24" t="str">
        <x:v>0.75 a 3.50</x:v>
      </x:c>
      <x:c r="P2252" s="24" t="str">
        <x:v>75</x:v>
      </x:c>
      <x:c r="Q2252" s="24"/>
      <x:c r="R2252" s="24"/>
      <x:c r="S2252" s="26" t="n">
        <x:v>46113</x:v>
      </x:c>
      <x:c r="T2252" s="26"/>
      <x:c r="U2252" s="24" t="str">
        <x:v>ATIVA/SEM FIM INFORMADO</x:v>
      </x:c>
      <x:c r="V2252" s="24"/>
      <x:c r="W2252" s="24" t="n">
        <x:v>37</x:v>
      </x:c>
      <x:c r="X2252" s="24" t="str">
        <x:v>tabela_zeiss.pdf</x:v>
      </x:c>
      <x:c r="Y2252" s="24" t="str">
        <x:v>alta</x:v>
      </x:c>
      <x:c r="Z2252" s="24"/>
      <x:c r="AA2252" s="24" t="str">
        <x:v>ZEISS|Progressiva|Surfaçada|SmartLife Individual 3||1.6|1.60|DuraVision Platinum UV|-7.25 a +6.00|-6.00|0.75 a 3.50|75|||37</x:v>
      </x:c>
    </x:row>
    <x:row r="2253">
      <x:c r="A2253" s="24" t="str">
        <x:v>ZS-87EAFC410AB9</x:v>
      </x:c>
      <x:c r="B2253" s="24" t="str">
        <x:v>SIM</x:v>
      </x:c>
      <x:c r="C2253" s="24" t="str">
        <x:v>DISPONÍVEL</x:v>
      </x:c>
      <x:c r="D2253" s="24" t="str">
        <x:v>ZEISS</x:v>
      </x:c>
      <x:c r="E2253" s="24" t="str">
        <x:v>Progressiva</x:v>
      </x:c>
      <x:c r="F2253" s="24" t="str">
        <x:v>Surfaçada</x:v>
      </x:c>
      <x:c r="G2253" s="24" t="str">
        <x:v>SmartLife Individual 3</x:v>
      </x:c>
      <x:c r="H2253" s="24"/>
      <x:c r="I2253" s="24" t="str">
        <x:v>1.6</x:v>
      </x:c>
      <x:c r="J2253" s="24" t="str">
        <x:v>1.60</x:v>
      </x:c>
      <x:c r="K2253" s="24" t="str">
        <x:v>DuraVision Silver UV</x:v>
      </x:c>
      <x:c r="L2253" s="40" t="n">
        <x:v>11839</x:v>
      </x:c>
      <x:c r="M2253" s="24" t="str">
        <x:v>-7.25 a +6.00</x:v>
      </x:c>
      <x:c r="N2253" s="24" t="str">
        <x:v>-6.00</x:v>
      </x:c>
      <x:c r="O2253" s="24" t="str">
        <x:v>0.75 a 3.50</x:v>
      </x:c>
      <x:c r="P2253" s="24" t="str">
        <x:v>75</x:v>
      </x:c>
      <x:c r="Q2253" s="24"/>
      <x:c r="R2253" s="24"/>
      <x:c r="S2253" s="26" t="n">
        <x:v>46113</x:v>
      </x:c>
      <x:c r="T2253" s="26"/>
      <x:c r="U2253" s="24" t="str">
        <x:v>ATIVA/SEM FIM INFORMADO</x:v>
      </x:c>
      <x:c r="V2253" s="24"/>
      <x:c r="W2253" s="24" t="n">
        <x:v>37</x:v>
      </x:c>
      <x:c r="X2253" s="24" t="str">
        <x:v>tabela_zeiss.pdf</x:v>
      </x:c>
      <x:c r="Y2253" s="24" t="str">
        <x:v>alta</x:v>
      </x:c>
      <x:c r="Z2253" s="24"/>
      <x:c r="AA2253" s="24" t="str">
        <x:v>ZEISS|Progressiva|Surfaçada|SmartLife Individual 3||1.6|1.60|DuraVision Silver UV|-7.25 a +6.00|-6.00|0.75 a 3.50|75|||37</x:v>
      </x:c>
    </x:row>
    <x:row r="2254">
      <x:c r="A2254" s="24" t="str">
        <x:v>ZS-2ACC6B684308</x:v>
      </x:c>
      <x:c r="B2254" s="24" t="str">
        <x:v>SIM</x:v>
      </x:c>
      <x:c r="C2254" s="24" t="str">
        <x:v>DISPONÍVEL</x:v>
      </x:c>
      <x:c r="D2254" s="24" t="str">
        <x:v>ZEISS</x:v>
      </x:c>
      <x:c r="E2254" s="24" t="str">
        <x:v>Progressiva</x:v>
      </x:c>
      <x:c r="F2254" s="24" t="str">
        <x:v>Surfaçada</x:v>
      </x:c>
      <x:c r="G2254" s="24" t="str">
        <x:v>SmartLife Individual 3</x:v>
      </x:c>
      <x:c r="H2254" s="24"/>
      <x:c r="I2254" s="24" t="str">
        <x:v>1.6</x:v>
      </x:c>
      <x:c r="J2254" s="24" t="str">
        <x:v>1.60</x:v>
      </x:c>
      <x:c r="K2254" s="24" t="str">
        <x:v>DuraVision Chrome UV</x:v>
      </x:c>
      <x:c r="L2254" s="40" t="n">
        <x:v>11349</x:v>
      </x:c>
      <x:c r="M2254" s="24" t="str">
        <x:v>-7.25 a +6.00</x:v>
      </x:c>
      <x:c r="N2254" s="24" t="str">
        <x:v>-6.00</x:v>
      </x:c>
      <x:c r="O2254" s="24" t="str">
        <x:v>0.75 a 3.50</x:v>
      </x:c>
      <x:c r="P2254" s="24" t="str">
        <x:v>75</x:v>
      </x:c>
      <x:c r="Q2254" s="24"/>
      <x:c r="R2254" s="24"/>
      <x:c r="S2254" s="26" t="n">
        <x:v>46113</x:v>
      </x:c>
      <x:c r="T2254" s="26"/>
      <x:c r="U2254" s="24" t="str">
        <x:v>ATIVA/SEM FIM INFORMADO</x:v>
      </x:c>
      <x:c r="V2254" s="24"/>
      <x:c r="W2254" s="24" t="n">
        <x:v>37</x:v>
      </x:c>
      <x:c r="X2254" s="24" t="str">
        <x:v>tabela_zeiss.pdf</x:v>
      </x:c>
      <x:c r="Y2254" s="24" t="str">
        <x:v>alta</x:v>
      </x:c>
      <x:c r="Z2254" s="24"/>
      <x:c r="AA2254" s="24" t="str">
        <x:v>ZEISS|Progressiva|Surfaçada|SmartLife Individual 3||1.6|1.60|DuraVision Chrome UV|-7.25 a +6.00|-6.00|0.75 a 3.50|75|||37</x:v>
      </x:c>
    </x:row>
    <x:row r="2255">
      <x:c r="A2255" s="24" t="str">
        <x:v>ZS-A9A5464911C1</x:v>
      </x:c>
      <x:c r="B2255" s="24" t="str">
        <x:v>SIM</x:v>
      </x:c>
      <x:c r="C2255" s="24" t="str">
        <x:v>DISPONÍVEL</x:v>
      </x:c>
      <x:c r="D2255" s="24" t="str">
        <x:v>ZEISS</x:v>
      </x:c>
      <x:c r="E2255" s="24" t="str">
        <x:v>Progressiva</x:v>
      </x:c>
      <x:c r="F2255" s="24" t="str">
        <x:v>Surfaçada</x:v>
      </x:c>
      <x:c r="G2255" s="24" t="str">
        <x:v>SmartLife Individual 3</x:v>
      </x:c>
      <x:c r="H2255" s="24"/>
      <x:c r="I2255" s="24" t="str">
        <x:v>1.67</x:v>
      </x:c>
      <x:c r="J2255" s="24" t="str">
        <x:v>1.67</x:v>
      </x:c>
      <x:c r="K2255" s="24" t="str">
        <x:v>DuraVision Gold UV</x:v>
      </x:c>
      <x:c r="L2255" s="40" t="n">
        <x:v>13879</x:v>
      </x:c>
      <x:c r="M2255" s="24" t="str">
        <x:v>-8.00 a +8.00</x:v>
      </x:c>
      <x:c r="N2255" s="24" t="str">
        <x:v>-6.00</x:v>
      </x:c>
      <x:c r="O2255" s="24" t="str">
        <x:v>0.75 a 3.00</x:v>
      </x:c>
      <x:c r="P2255" s="24" t="str">
        <x:v>70</x:v>
      </x:c>
      <x:c r="Q2255" s="24"/>
      <x:c r="R2255" s="24"/>
      <x:c r="S2255" s="26" t="n">
        <x:v>46113</x:v>
      </x:c>
      <x:c r="T2255" s="26"/>
      <x:c r="U2255" s="24" t="str">
        <x:v>ATIVA/SEM FIM INFORMADO</x:v>
      </x:c>
      <x:c r="V2255" s="24"/>
      <x:c r="W2255" s="24" t="n">
        <x:v>37</x:v>
      </x:c>
      <x:c r="X2255" s="24" t="str">
        <x:v>tabela_zeiss.pdf</x:v>
      </x:c>
      <x:c r="Y2255" s="24" t="str">
        <x:v>alta</x:v>
      </x:c>
      <x:c r="Z2255" s="24"/>
      <x:c r="AA2255" s="24" t="str">
        <x:v>ZEISS|Progressiva|Surfaçada|SmartLife Individual 3||1.67|1.67|DuraVision Gold UV|-8.00 a +8.00|-6.00|0.75 a 3.00|70|||37</x:v>
      </x:c>
    </x:row>
    <x:row r="2256">
      <x:c r="A2256" s="24" t="str">
        <x:v>ZS-090ECC7D4BFB</x:v>
      </x:c>
      <x:c r="B2256" s="24" t="str">
        <x:v>SIM</x:v>
      </x:c>
      <x:c r="C2256" s="24" t="str">
        <x:v>DISPONÍVEL</x:v>
      </x:c>
      <x:c r="D2256" s="24" t="str">
        <x:v>ZEISS</x:v>
      </x:c>
      <x:c r="E2256" s="24" t="str">
        <x:v>Progressiva</x:v>
      </x:c>
      <x:c r="F2256" s="24" t="str">
        <x:v>Surfaçada</x:v>
      </x:c>
      <x:c r="G2256" s="24" t="str">
        <x:v>SmartLife Individual 3</x:v>
      </x:c>
      <x:c r="H2256" s="24"/>
      <x:c r="I2256" s="24" t="str">
        <x:v>1.67</x:v>
      </x:c>
      <x:c r="J2256" s="24" t="str">
        <x:v>1.67</x:v>
      </x:c>
      <x:c r="K2256" s="24" t="str">
        <x:v>DURAVISION® ANTIVÍRUS PLATINUM UV</x:v>
      </x:c>
      <x:c r="L2256" s="40" t="n">
        <x:v>13739</x:v>
      </x:c>
      <x:c r="M2256" s="24" t="str">
        <x:v>-8.00 a +8.00</x:v>
      </x:c>
      <x:c r="N2256" s="24" t="str">
        <x:v>-6.00</x:v>
      </x:c>
      <x:c r="O2256" s="24" t="str">
        <x:v>0.75 a 3.00</x:v>
      </x:c>
      <x:c r="P2256" s="24" t="str">
        <x:v>70</x:v>
      </x:c>
      <x:c r="Q2256" s="24"/>
      <x:c r="R2256" s="24"/>
      <x:c r="S2256" s="26" t="n">
        <x:v>46113</x:v>
      </x:c>
      <x:c r="T2256" s="26"/>
      <x:c r="U2256" s="24" t="str">
        <x:v>ATIVA/SEM FIM INFORMADO</x:v>
      </x:c>
      <x:c r="V2256" s="24"/>
      <x:c r="W2256" s="24" t="n">
        <x:v>37</x:v>
      </x:c>
      <x:c r="X2256" s="24" t="str">
        <x:v>tabela_zeiss.pdf</x:v>
      </x:c>
      <x:c r="Y2256" s="24" t="str">
        <x:v>alta</x:v>
      </x:c>
      <x:c r="Z2256" s="24"/>
      <x:c r="AA2256" s="24" t="str">
        <x:v>ZEISS|Progressiva|Surfaçada|SmartLife Individual 3||1.67|1.67|DURAVISION® ANTIVÍRUS PLATINUM UV|-8.00 a +8.00|-6.00|0.75 a 3.00|70|||37</x:v>
      </x:c>
    </x:row>
    <x:row r="2257">
      <x:c r="A2257" s="24" t="str">
        <x:v>ZS-2DF009AC1845</x:v>
      </x:c>
      <x:c r="B2257" s="24" t="str">
        <x:v>SIM</x:v>
      </x:c>
      <x:c r="C2257" s="24" t="str">
        <x:v>DISPONÍVEL</x:v>
      </x:c>
      <x:c r="D2257" s="24" t="str">
        <x:v>ZEISS</x:v>
      </x:c>
      <x:c r="E2257" s="24" t="str">
        <x:v>Progressiva</x:v>
      </x:c>
      <x:c r="F2257" s="24" t="str">
        <x:v>Surfaçada</x:v>
      </x:c>
      <x:c r="G2257" s="24" t="str">
        <x:v>SmartLife Individual 3</x:v>
      </x:c>
      <x:c r="H2257" s="24"/>
      <x:c r="I2257" s="24" t="str">
        <x:v>1.67</x:v>
      </x:c>
      <x:c r="J2257" s="24" t="str">
        <x:v>1.67</x:v>
      </x:c>
      <x:c r="K2257" s="24" t="str">
        <x:v>DuraVision Platinum UV</x:v>
      </x:c>
      <x:c r="L2257" s="40" t="n">
        <x:v>13739</x:v>
      </x:c>
      <x:c r="M2257" s="24" t="str">
        <x:v>-8.00 a +8.00</x:v>
      </x:c>
      <x:c r="N2257" s="24" t="str">
        <x:v>-6.00</x:v>
      </x:c>
      <x:c r="O2257" s="24" t="str">
        <x:v>0.75 a 3.00</x:v>
      </x:c>
      <x:c r="P2257" s="24" t="str">
        <x:v>70</x:v>
      </x:c>
      <x:c r="Q2257" s="24"/>
      <x:c r="R2257" s="24"/>
      <x:c r="S2257" s="26" t="n">
        <x:v>46113</x:v>
      </x:c>
      <x:c r="T2257" s="26"/>
      <x:c r="U2257" s="24" t="str">
        <x:v>ATIVA/SEM FIM INFORMADO</x:v>
      </x:c>
      <x:c r="V2257" s="24"/>
      <x:c r="W2257" s="24" t="n">
        <x:v>37</x:v>
      </x:c>
      <x:c r="X2257" s="24" t="str">
        <x:v>tabela_zeiss.pdf</x:v>
      </x:c>
      <x:c r="Y2257" s="24" t="str">
        <x:v>alta</x:v>
      </x:c>
      <x:c r="Z2257" s="24"/>
      <x:c r="AA2257" s="24" t="str">
        <x:v>ZEISS|Progressiva|Surfaçada|SmartLife Individual 3||1.67|1.67|DuraVision Platinum UV|-8.00 a +8.00|-6.00|0.75 a 3.00|70|||37</x:v>
      </x:c>
    </x:row>
    <x:row r="2258">
      <x:c r="A2258" s="24" t="str">
        <x:v>ZS-5BA647271129</x:v>
      </x:c>
      <x:c r="B2258" s="24" t="str">
        <x:v>SIM</x:v>
      </x:c>
      <x:c r="C2258" s="24" t="str">
        <x:v>DISPONÍVEL</x:v>
      </x:c>
      <x:c r="D2258" s="24" t="str">
        <x:v>ZEISS</x:v>
      </x:c>
      <x:c r="E2258" s="24" t="str">
        <x:v>Progressiva</x:v>
      </x:c>
      <x:c r="F2258" s="24" t="str">
        <x:v>Surfaçada</x:v>
      </x:c>
      <x:c r="G2258" s="24" t="str">
        <x:v>SmartLife Individual 3</x:v>
      </x:c>
      <x:c r="H2258" s="24"/>
      <x:c r="I2258" s="24" t="str">
        <x:v>1.67</x:v>
      </x:c>
      <x:c r="J2258" s="24" t="str">
        <x:v>1.67</x:v>
      </x:c>
      <x:c r="K2258" s="24" t="str">
        <x:v>DuraVision Silver UV</x:v>
      </x:c>
      <x:c r="L2258" s="40" t="n">
        <x:v>13479</x:v>
      </x:c>
      <x:c r="M2258" s="24" t="str">
        <x:v>-8.00 a +8.00</x:v>
      </x:c>
      <x:c r="N2258" s="24" t="str">
        <x:v>-6.00</x:v>
      </x:c>
      <x:c r="O2258" s="24" t="str">
        <x:v>0.75 a 3.00</x:v>
      </x:c>
      <x:c r="P2258" s="24" t="str">
        <x:v>70</x:v>
      </x:c>
      <x:c r="Q2258" s="24"/>
      <x:c r="R2258" s="24"/>
      <x:c r="S2258" s="26" t="n">
        <x:v>46113</x:v>
      </x:c>
      <x:c r="T2258" s="26"/>
      <x:c r="U2258" s="24" t="str">
        <x:v>ATIVA/SEM FIM INFORMADO</x:v>
      </x:c>
      <x:c r="V2258" s="24"/>
      <x:c r="W2258" s="24" t="n">
        <x:v>37</x:v>
      </x:c>
      <x:c r="X2258" s="24" t="str">
        <x:v>tabela_zeiss.pdf</x:v>
      </x:c>
      <x:c r="Y2258" s="24" t="str">
        <x:v>alta</x:v>
      </x:c>
      <x:c r="Z2258" s="24"/>
      <x:c r="AA2258" s="24" t="str">
        <x:v>ZEISS|Progressiva|Surfaçada|SmartLife Individual 3||1.67|1.67|DuraVision Silver UV|-8.00 a +8.00|-6.00|0.75 a 3.00|70|||37</x:v>
      </x:c>
    </x:row>
    <x:row r="2259">
      <x:c r="A2259" s="24" t="str">
        <x:v>ZS-7C3D3DF38EFA</x:v>
      </x:c>
      <x:c r="B2259" s="24" t="str">
        <x:v>SIM</x:v>
      </x:c>
      <x:c r="C2259" s="24" t="str">
        <x:v>DISPONÍVEL</x:v>
      </x:c>
      <x:c r="D2259" s="24" t="str">
        <x:v>ZEISS</x:v>
      </x:c>
      <x:c r="E2259" s="24" t="str">
        <x:v>Progressiva</x:v>
      </x:c>
      <x:c r="F2259" s="24" t="str">
        <x:v>Surfaçada</x:v>
      </x:c>
      <x:c r="G2259" s="24" t="str">
        <x:v>SmartLife Individual 3</x:v>
      </x:c>
      <x:c r="H2259" s="24"/>
      <x:c r="I2259" s="24" t="str">
        <x:v>1.67</x:v>
      </x:c>
      <x:c r="J2259" s="24" t="str">
        <x:v>1.67</x:v>
      </x:c>
      <x:c r="K2259" s="24" t="str">
        <x:v>DuraVision Chrome UV</x:v>
      </x:c>
      <x:c r="L2259" s="40" t="n">
        <x:v>12989</x:v>
      </x:c>
      <x:c r="M2259" s="24" t="str">
        <x:v>-8.00 a +8.00</x:v>
      </x:c>
      <x:c r="N2259" s="24" t="str">
        <x:v>-6.00</x:v>
      </x:c>
      <x:c r="O2259" s="24" t="str">
        <x:v>0.75 a 3.00</x:v>
      </x:c>
      <x:c r="P2259" s="24" t="str">
        <x:v>70</x:v>
      </x:c>
      <x:c r="Q2259" s="24"/>
      <x:c r="R2259" s="24"/>
      <x:c r="S2259" s="26" t="n">
        <x:v>46113</x:v>
      </x:c>
      <x:c r="T2259" s="26"/>
      <x:c r="U2259" s="24" t="str">
        <x:v>ATIVA/SEM FIM INFORMADO</x:v>
      </x:c>
      <x:c r="V2259" s="24"/>
      <x:c r="W2259" s="24" t="n">
        <x:v>37</x:v>
      </x:c>
      <x:c r="X2259" s="24" t="str">
        <x:v>tabela_zeiss.pdf</x:v>
      </x:c>
      <x:c r="Y2259" s="24" t="str">
        <x:v>alta</x:v>
      </x:c>
      <x:c r="Z2259" s="24"/>
      <x:c r="AA2259" s="24" t="str">
        <x:v>ZEISS|Progressiva|Surfaçada|SmartLife Individual 3||1.67|1.67|DuraVision Chrome UV|-8.00 a +8.00|-6.00|0.75 a 3.00|70|||37</x:v>
      </x:c>
    </x:row>
    <x:row r="2260">
      <x:c r="A2260" s="24" t="str">
        <x:v>ZS-A434DB7C42A4</x:v>
      </x:c>
      <x:c r="B2260" s="24" t="str">
        <x:v>SIM</x:v>
      </x:c>
      <x:c r="C2260" s="24" t="str">
        <x:v>DISPONÍVEL</x:v>
      </x:c>
      <x:c r="D2260" s="24" t="str">
        <x:v>ZEISS</x:v>
      </x:c>
      <x:c r="E2260" s="24" t="str">
        <x:v>Progressiva</x:v>
      </x:c>
      <x:c r="F2260" s="24" t="str">
        <x:v>Surfaçada</x:v>
      </x:c>
      <x:c r="G2260" s="24" t="str">
        <x:v>SmartLife Individual 3</x:v>
      </x:c>
      <x:c r="H2260" s="24"/>
      <x:c r="I2260" s="24" t="str">
        <x:v>1.74</x:v>
      </x:c>
      <x:c r="J2260" s="24" t="str">
        <x:v>1.74</x:v>
      </x:c>
      <x:c r="K2260" s="24" t="str">
        <x:v>DuraVision Gold UV</x:v>
      </x:c>
      <x:c r="L2260" s="40" t="n">
        <x:v>15479</x:v>
      </x:c>
      <x:c r="M2260" s="24" t="str">
        <x:v>-10.00 a +7.00</x:v>
      </x:c>
      <x:c r="N2260" s="24" t="str">
        <x:v>-4.00</x:v>
      </x:c>
      <x:c r="O2260" s="24" t="str">
        <x:v>0.75 a 3.50</x:v>
      </x:c>
      <x:c r="P2260" s="24" t="str">
        <x:v>70 a 75</x:v>
      </x:c>
      <x:c r="Q2260" s="24"/>
      <x:c r="R2260" s="24"/>
      <x:c r="S2260" s="26" t="n">
        <x:v>46113</x:v>
      </x:c>
      <x:c r="T2260" s="26"/>
      <x:c r="U2260" s="24" t="str">
        <x:v>ATIVA/SEM FIM INFORMADO</x:v>
      </x:c>
      <x:c r="V2260" s="24"/>
      <x:c r="W2260" s="24" t="n">
        <x:v>37</x:v>
      </x:c>
      <x:c r="X2260" s="24" t="str">
        <x:v>tabela_zeiss.pdf</x:v>
      </x:c>
      <x:c r="Y2260" s="24" t="str">
        <x:v>alta</x:v>
      </x:c>
      <x:c r="Z2260" s="24"/>
      <x:c r="AA2260" s="24" t="str">
        <x:v>ZEISS|Progressiva|Surfaçada|SmartLife Individual 3||1.74|1.74|DuraVision Gold UV|-10.00 a +7.00|-4.00|0.75 a 3.50|70 a 75|||37</x:v>
      </x:c>
    </x:row>
    <x:row r="2261">
      <x:c r="A2261" s="24" t="str">
        <x:v>ZS-D7B1AEA59B09</x:v>
      </x:c>
      <x:c r="B2261" s="24" t="str">
        <x:v>SIM</x:v>
      </x:c>
      <x:c r="C2261" s="24" t="str">
        <x:v>DISPONÍVEL</x:v>
      </x:c>
      <x:c r="D2261" s="24" t="str">
        <x:v>ZEISS</x:v>
      </x:c>
      <x:c r="E2261" s="24" t="str">
        <x:v>Progressiva</x:v>
      </x:c>
      <x:c r="F2261" s="24" t="str">
        <x:v>Surfaçada</x:v>
      </x:c>
      <x:c r="G2261" s="24" t="str">
        <x:v>SmartLife Individual 3</x:v>
      </x:c>
      <x:c r="H2261" s="24"/>
      <x:c r="I2261" s="24" t="str">
        <x:v>1.74</x:v>
      </x:c>
      <x:c r="J2261" s="24" t="str">
        <x:v>1.74</x:v>
      </x:c>
      <x:c r="K2261" s="24" t="str">
        <x:v>DuraVision Platinum UV</x:v>
      </x:c>
      <x:c r="L2261" s="40" t="n">
        <x:v>15339</x:v>
      </x:c>
      <x:c r="M2261" s="24" t="str">
        <x:v>-10.00 a +7.00</x:v>
      </x:c>
      <x:c r="N2261" s="24" t="str">
        <x:v>-4.00</x:v>
      </x:c>
      <x:c r="O2261" s="24" t="str">
        <x:v>0.75 a 3.50</x:v>
      </x:c>
      <x:c r="P2261" s="24" t="str">
        <x:v>70 a 75</x:v>
      </x:c>
      <x:c r="Q2261" s="24"/>
      <x:c r="R2261" s="24"/>
      <x:c r="S2261" s="26" t="n">
        <x:v>46113</x:v>
      </x:c>
      <x:c r="T2261" s="26"/>
      <x:c r="U2261" s="24" t="str">
        <x:v>ATIVA/SEM FIM INFORMADO</x:v>
      </x:c>
      <x:c r="V2261" s="24"/>
      <x:c r="W2261" s="24" t="n">
        <x:v>37</x:v>
      </x:c>
      <x:c r="X2261" s="24" t="str">
        <x:v>tabela_zeiss.pdf</x:v>
      </x:c>
      <x:c r="Y2261" s="24" t="str">
        <x:v>alta</x:v>
      </x:c>
      <x:c r="Z2261" s="24"/>
      <x:c r="AA2261" s="24" t="str">
        <x:v>ZEISS|Progressiva|Surfaçada|SmartLife Individual 3||1.74|1.74|DuraVision Platinum UV|-10.00 a +7.00|-4.00|0.75 a 3.50|70 a 75|||37</x:v>
      </x:c>
    </x:row>
    <x:row r="2262">
      <x:c r="A2262" s="24" t="str">
        <x:v>ZS-CF7A576A9BCA</x:v>
      </x:c>
      <x:c r="B2262" s="24" t="str">
        <x:v>SIM</x:v>
      </x:c>
      <x:c r="C2262" s="24" t="str">
        <x:v>DISPONÍVEL</x:v>
      </x:c>
      <x:c r="D2262" s="24" t="str">
        <x:v>ZEISS</x:v>
      </x:c>
      <x:c r="E2262" s="24" t="str">
        <x:v>Progressiva</x:v>
      </x:c>
      <x:c r="F2262" s="24" t="str">
        <x:v>Surfaçada</x:v>
      </x:c>
      <x:c r="G2262" s="24" t="str">
        <x:v>SmartLife Individual 3</x:v>
      </x:c>
      <x:c r="H2262" s="24"/>
      <x:c r="I2262" s="24" t="str">
        <x:v>1.74</x:v>
      </x:c>
      <x:c r="J2262" s="24" t="str">
        <x:v>1.74</x:v>
      </x:c>
      <x:c r="K2262" s="24" t="str">
        <x:v>DuraVision Silver UV</x:v>
      </x:c>
      <x:c r="L2262" s="40" t="n">
        <x:v>15079</x:v>
      </x:c>
      <x:c r="M2262" s="24" t="str">
        <x:v>-10.00 a +7.00</x:v>
      </x:c>
      <x:c r="N2262" s="24" t="str">
        <x:v>-4.00</x:v>
      </x:c>
      <x:c r="O2262" s="24" t="str">
        <x:v>0.75 a 3.50</x:v>
      </x:c>
      <x:c r="P2262" s="24" t="str">
        <x:v>70 a 75</x:v>
      </x:c>
      <x:c r="Q2262" s="24"/>
      <x:c r="R2262" s="24"/>
      <x:c r="S2262" s="26" t="n">
        <x:v>46113</x:v>
      </x:c>
      <x:c r="T2262" s="26"/>
      <x:c r="U2262" s="24" t="str">
        <x:v>ATIVA/SEM FIM INFORMADO</x:v>
      </x:c>
      <x:c r="V2262" s="24"/>
      <x:c r="W2262" s="24" t="n">
        <x:v>37</x:v>
      </x:c>
      <x:c r="X2262" s="24" t="str">
        <x:v>tabela_zeiss.pdf</x:v>
      </x:c>
      <x:c r="Y2262" s="24" t="str">
        <x:v>alta</x:v>
      </x:c>
      <x:c r="Z2262" s="24"/>
      <x:c r="AA2262" s="24" t="str">
        <x:v>ZEISS|Progressiva|Surfaçada|SmartLife Individual 3||1.74|1.74|DuraVision Silver UV|-10.00 a +7.00|-4.00|0.75 a 3.50|70 a 75|||37</x:v>
      </x:c>
    </x:row>
    <x:row r="2263">
      <x:c r="A2263" s="24" t="str">
        <x:v>ZS-D0C357F82F6D</x:v>
      </x:c>
      <x:c r="B2263" s="24" t="str">
        <x:v>SIM</x:v>
      </x:c>
      <x:c r="C2263" s="24" t="str">
        <x:v>DISPONÍVEL</x:v>
      </x:c>
      <x:c r="D2263" s="24" t="str">
        <x:v>ZEISS</x:v>
      </x:c>
      <x:c r="E2263" s="24" t="str">
        <x:v>Progressiva</x:v>
      </x:c>
      <x:c r="F2263" s="24" t="str">
        <x:v>Surfaçada</x:v>
      </x:c>
      <x:c r="G2263" s="24" t="str">
        <x:v>SmartLife Individual 3</x:v>
      </x:c>
      <x:c r="H2263" s="24"/>
      <x:c r="I2263" s="24" t="str">
        <x:v>1.74</x:v>
      </x:c>
      <x:c r="J2263" s="24" t="str">
        <x:v>1.74</x:v>
      </x:c>
      <x:c r="K2263" s="24" t="str">
        <x:v>DuraVision Chrome UV</x:v>
      </x:c>
      <x:c r="L2263" s="40" t="n">
        <x:v>14589</x:v>
      </x:c>
      <x:c r="M2263" s="24" t="str">
        <x:v>-10.00 a +7.00</x:v>
      </x:c>
      <x:c r="N2263" s="24" t="str">
        <x:v>-4.00</x:v>
      </x:c>
      <x:c r="O2263" s="24" t="str">
        <x:v>0.75 a 3.50</x:v>
      </x:c>
      <x:c r="P2263" s="24" t="str">
        <x:v>70 a 75</x:v>
      </x:c>
      <x:c r="Q2263" s="24"/>
      <x:c r="R2263" s="24"/>
      <x:c r="S2263" s="26" t="n">
        <x:v>46113</x:v>
      </x:c>
      <x:c r="T2263" s="26"/>
      <x:c r="U2263" s="24" t="str">
        <x:v>ATIVA/SEM FIM INFORMADO</x:v>
      </x:c>
      <x:c r="V2263" s="24"/>
      <x:c r="W2263" s="24" t="n">
        <x:v>37</x:v>
      </x:c>
      <x:c r="X2263" s="24" t="str">
        <x:v>tabela_zeiss.pdf</x:v>
      </x:c>
      <x:c r="Y2263" s="24" t="str">
        <x:v>alta</x:v>
      </x:c>
      <x:c r="Z2263" s="24"/>
      <x:c r="AA2263" s="24" t="str">
        <x:v>ZEISS|Progressiva|Surfaçada|SmartLife Individual 3||1.74|1.74|DuraVision Chrome UV|-10.00 a +7.00|-4.00|0.75 a 3.50|70 a 75|||37</x:v>
      </x:c>
    </x:row>
    <x:row r="2264">
      <x:c r="A2264" s="24" t="str">
        <x:v>ZS-FA4C90E9A954</x:v>
      </x:c>
      <x:c r="B2264" s="24" t="str">
        <x:v>SIM</x:v>
      </x:c>
      <x:c r="C2264" s="24" t="str">
        <x:v>DISPONÍVEL</x:v>
      </x:c>
      <x:c r="D2264" s="24" t="str">
        <x:v>ZEISS</x:v>
      </x:c>
      <x:c r="E2264" s="24" t="str">
        <x:v>Progressiva</x:v>
      </x:c>
      <x:c r="F2264" s="24" t="str">
        <x:v>Surfaçada</x:v>
      </x:c>
      <x:c r="G2264" s="24" t="str">
        <x:v>SmartLife Individual 3</x:v>
      </x:c>
      <x:c r="H2264" s="24" t="str">
        <x:v>PhotoFusion X</x:v>
      </x:c>
      <x:c r="I2264" s="24" t="str">
        <x:v>1.5</x:v>
      </x:c>
      <x:c r="J2264" s="24" t="str">
        <x:v>1.50</x:v>
      </x:c>
      <x:c r="K2264" s="24" t="str">
        <x:v>DuraVision Gold UV</x:v>
      </x:c>
      <x:c r="L2264" s="40" t="n">
        <x:v>12409</x:v>
      </x:c>
      <x:c r="M2264" s="24" t="str">
        <x:v>-6.00 a +5.50</x:v>
      </x:c>
      <x:c r="N2264" s="24" t="str">
        <x:v>-4.00</x:v>
      </x:c>
      <x:c r="O2264" s="24" t="str">
        <x:v>0.75 a 3.00</x:v>
      </x:c>
      <x:c r="P2264" s="24" t="str">
        <x:v>75</x:v>
      </x:c>
      <x:c r="Q2264" s="24"/>
      <x:c r="R2264" s="24"/>
      <x:c r="S2264" s="26" t="n">
        <x:v>46113</x:v>
      </x:c>
      <x:c r="T2264" s="26"/>
      <x:c r="U2264" s="24" t="str">
        <x:v>ATIVA/SEM FIM INFORMADO</x:v>
      </x:c>
      <x:c r="V2264" s="24" t="str">
        <x:v>Programa de Parcerias ZEISS</x:v>
      </x:c>
      <x:c r="W2264" s="24" t="n">
        <x:v>37</x:v>
      </x:c>
      <x:c r="X2264" s="24" t="str">
        <x:v>tabela_zeiss.pdf</x:v>
      </x:c>
      <x:c r="Y2264" s="24" t="str">
        <x:v>alta</x:v>
      </x:c>
      <x:c r="Z2264" s="24"/>
      <x:c r="AA2264" s="24" t="str">
        <x:v>ZEISS|Progressiva|Surfaçada|SmartLife Individual 3|PhotoFusion X|1.5|1.50|DuraVision Gold UV|-6.00 a +5.50|-4.00|0.75 a 3.00|75|||37</x:v>
      </x:c>
    </x:row>
    <x:row r="2265">
      <x:c r="A2265" s="24" t="str">
        <x:v>ZS-7FF0AC033E11</x:v>
      </x:c>
      <x:c r="B2265" s="24" t="str">
        <x:v>SIM</x:v>
      </x:c>
      <x:c r="C2265" s="24" t="str">
        <x:v>DISPONÍVEL</x:v>
      </x:c>
      <x:c r="D2265" s="24" t="str">
        <x:v>ZEISS</x:v>
      </x:c>
      <x:c r="E2265" s="24" t="str">
        <x:v>Progressiva</x:v>
      </x:c>
      <x:c r="F2265" s="24" t="str">
        <x:v>Surfaçada</x:v>
      </x:c>
      <x:c r="G2265" s="24" t="str">
        <x:v>SmartLife Individual 3</x:v>
      </x:c>
      <x:c r="H2265" s="24" t="str">
        <x:v>PhotoFusion X</x:v>
      </x:c>
      <x:c r="I2265" s="24" t="str">
        <x:v>1.5</x:v>
      </x:c>
      <x:c r="J2265" s="24" t="str">
        <x:v>1.50</x:v>
      </x:c>
      <x:c r="K2265" s="24" t="str">
        <x:v>DURAVISION® ANTIVÍRUS PLATINUM UV</x:v>
      </x:c>
      <x:c r="L2265" s="40" t="n">
        <x:v>12269</x:v>
      </x:c>
      <x:c r="M2265" s="24" t="str">
        <x:v>-6.00 a +5.50</x:v>
      </x:c>
      <x:c r="N2265" s="24" t="str">
        <x:v>-4.00</x:v>
      </x:c>
      <x:c r="O2265" s="24" t="str">
        <x:v>0.75 a 3.00</x:v>
      </x:c>
      <x:c r="P2265" s="24" t="str">
        <x:v>75</x:v>
      </x:c>
      <x:c r="Q2265" s="24"/>
      <x:c r="R2265" s="24"/>
      <x:c r="S2265" s="26" t="n">
        <x:v>46113</x:v>
      </x:c>
      <x:c r="T2265" s="26"/>
      <x:c r="U2265" s="24" t="str">
        <x:v>ATIVA/SEM FIM INFORMADO</x:v>
      </x:c>
      <x:c r="V2265" s="24" t="str">
        <x:v>Programa de Parcerias ZEISS</x:v>
      </x:c>
      <x:c r="W2265" s="24" t="n">
        <x:v>37</x:v>
      </x:c>
      <x:c r="X2265" s="24" t="str">
        <x:v>tabela_zeiss.pdf</x:v>
      </x:c>
      <x:c r="Y2265" s="24" t="str">
        <x:v>alta</x:v>
      </x:c>
      <x:c r="Z2265" s="24"/>
      <x:c r="AA2265" s="24" t="str">
        <x:v>ZEISS|Progressiva|Surfaçada|SmartLife Individual 3|PhotoFusion X|1.5|1.50|DURAVISION® ANTIVÍRUS PLATINUM UV|-6.00 a +5.50|-4.00|0.75 a 3.00|75|||37</x:v>
      </x:c>
    </x:row>
    <x:row r="2266">
      <x:c r="A2266" s="24" t="str">
        <x:v>ZS-E054F2DEE285</x:v>
      </x:c>
      <x:c r="B2266" s="24" t="str">
        <x:v>SIM</x:v>
      </x:c>
      <x:c r="C2266" s="24" t="str">
        <x:v>DISPONÍVEL</x:v>
      </x:c>
      <x:c r="D2266" s="24" t="str">
        <x:v>ZEISS</x:v>
      </x:c>
      <x:c r="E2266" s="24" t="str">
        <x:v>Progressiva</x:v>
      </x:c>
      <x:c r="F2266" s="24" t="str">
        <x:v>Surfaçada</x:v>
      </x:c>
      <x:c r="G2266" s="24" t="str">
        <x:v>SmartLife Individual 3</x:v>
      </x:c>
      <x:c r="H2266" s="24" t="str">
        <x:v>PhotoFusion X</x:v>
      </x:c>
      <x:c r="I2266" s="24" t="str">
        <x:v>1.5</x:v>
      </x:c>
      <x:c r="J2266" s="24" t="str">
        <x:v>1.50</x:v>
      </x:c>
      <x:c r="K2266" s="24" t="str">
        <x:v>DuraVision Platinum UV</x:v>
      </x:c>
      <x:c r="L2266" s="40" t="n">
        <x:v>12269</x:v>
      </x:c>
      <x:c r="M2266" s="24" t="str">
        <x:v>-6.00 a +5.50</x:v>
      </x:c>
      <x:c r="N2266" s="24" t="str">
        <x:v>-4.00</x:v>
      </x:c>
      <x:c r="O2266" s="24" t="str">
        <x:v>0.75 a 3.00</x:v>
      </x:c>
      <x:c r="P2266" s="24" t="str">
        <x:v>75</x:v>
      </x:c>
      <x:c r="Q2266" s="24"/>
      <x:c r="R2266" s="24"/>
      <x:c r="S2266" s="26" t="n">
        <x:v>46113</x:v>
      </x:c>
      <x:c r="T2266" s="26"/>
      <x:c r="U2266" s="24" t="str">
        <x:v>ATIVA/SEM FIM INFORMADO</x:v>
      </x:c>
      <x:c r="V2266" s="24" t="str">
        <x:v>Programa de Parcerias ZEISS</x:v>
      </x:c>
      <x:c r="W2266" s="24" t="n">
        <x:v>37</x:v>
      </x:c>
      <x:c r="X2266" s="24" t="str">
        <x:v>tabela_zeiss.pdf</x:v>
      </x:c>
      <x:c r="Y2266" s="24" t="str">
        <x:v>alta</x:v>
      </x:c>
      <x:c r="Z2266" s="24"/>
      <x:c r="AA2266" s="24" t="str">
        <x:v>ZEISS|Progressiva|Surfaçada|SmartLife Individual 3|PhotoFusion X|1.5|1.50|DuraVision Platinum UV|-6.00 a +5.50|-4.00|0.75 a 3.00|75|||37</x:v>
      </x:c>
    </x:row>
    <x:row r="2267">
      <x:c r="A2267" s="24" t="str">
        <x:v>ZS-87CF753BBE15</x:v>
      </x:c>
      <x:c r="B2267" s="24" t="str">
        <x:v>SIM</x:v>
      </x:c>
      <x:c r="C2267" s="24" t="str">
        <x:v>DISPONÍVEL</x:v>
      </x:c>
      <x:c r="D2267" s="24" t="str">
        <x:v>ZEISS</x:v>
      </x:c>
      <x:c r="E2267" s="24" t="str">
        <x:v>Progressiva</x:v>
      </x:c>
      <x:c r="F2267" s="24" t="str">
        <x:v>Surfaçada</x:v>
      </x:c>
      <x:c r="G2267" s="24" t="str">
        <x:v>SmartLife Individual 3</x:v>
      </x:c>
      <x:c r="H2267" s="24" t="str">
        <x:v>PhotoFusion X</x:v>
      </x:c>
      <x:c r="I2267" s="24" t="str">
        <x:v>1.5</x:v>
      </x:c>
      <x:c r="J2267" s="24" t="str">
        <x:v>1.50</x:v>
      </x:c>
      <x:c r="K2267" s="24" t="str">
        <x:v>DuraVision Silver UV</x:v>
      </x:c>
      <x:c r="L2267" s="40" t="n">
        <x:v>12009</x:v>
      </x:c>
      <x:c r="M2267" s="24" t="str">
        <x:v>-6.00 a +5.50</x:v>
      </x:c>
      <x:c r="N2267" s="24" t="str">
        <x:v>-4.00</x:v>
      </x:c>
      <x:c r="O2267" s="24" t="str">
        <x:v>0.75 a 3.00</x:v>
      </x:c>
      <x:c r="P2267" s="24" t="str">
        <x:v>75</x:v>
      </x:c>
      <x:c r="Q2267" s="24"/>
      <x:c r="R2267" s="24"/>
      <x:c r="S2267" s="26" t="n">
        <x:v>46113</x:v>
      </x:c>
      <x:c r="T2267" s="26"/>
      <x:c r="U2267" s="24" t="str">
        <x:v>ATIVA/SEM FIM INFORMADO</x:v>
      </x:c>
      <x:c r="V2267" s="24" t="str">
        <x:v>Programa de Parcerias ZEISS</x:v>
      </x:c>
      <x:c r="W2267" s="24" t="n">
        <x:v>37</x:v>
      </x:c>
      <x:c r="X2267" s="24" t="str">
        <x:v>tabela_zeiss.pdf</x:v>
      </x:c>
      <x:c r="Y2267" s="24" t="str">
        <x:v>alta</x:v>
      </x:c>
      <x:c r="Z2267" s="24"/>
      <x:c r="AA2267" s="24" t="str">
        <x:v>ZEISS|Progressiva|Surfaçada|SmartLife Individual 3|PhotoFusion X|1.5|1.50|DuraVision Silver UV|-6.00 a +5.50|-4.00|0.75 a 3.00|75|||37</x:v>
      </x:c>
    </x:row>
    <x:row r="2268">
      <x:c r="A2268" s="24" t="str">
        <x:v>ZS-5E9886E5F6B2</x:v>
      </x:c>
      <x:c r="B2268" s="24" t="str">
        <x:v>SIM</x:v>
      </x:c>
      <x:c r="C2268" s="24" t="str">
        <x:v>DISPONÍVEL</x:v>
      </x:c>
      <x:c r="D2268" s="24" t="str">
        <x:v>ZEISS</x:v>
      </x:c>
      <x:c r="E2268" s="24" t="str">
        <x:v>Progressiva</x:v>
      </x:c>
      <x:c r="F2268" s="24" t="str">
        <x:v>Surfaçada</x:v>
      </x:c>
      <x:c r="G2268" s="24" t="str">
        <x:v>SmartLife Individual 3</x:v>
      </x:c>
      <x:c r="H2268" s="24" t="str">
        <x:v>PhotoFusion X</x:v>
      </x:c>
      <x:c r="I2268" s="24" t="str">
        <x:v>1.5</x:v>
      </x:c>
      <x:c r="J2268" s="24" t="str">
        <x:v>1.50</x:v>
      </x:c>
      <x:c r="K2268" s="24" t="str">
        <x:v>DuraVision Chrome UV</x:v>
      </x:c>
      <x:c r="L2268" s="40" t="n">
        <x:v>11519</x:v>
      </x:c>
      <x:c r="M2268" s="24" t="str">
        <x:v>-6.00 a +5.50</x:v>
      </x:c>
      <x:c r="N2268" s="24" t="str">
        <x:v>-4.00</x:v>
      </x:c>
      <x:c r="O2268" s="24" t="str">
        <x:v>0.75 a 3.00</x:v>
      </x:c>
      <x:c r="P2268" s="24" t="str">
        <x:v>75</x:v>
      </x:c>
      <x:c r="Q2268" s="24"/>
      <x:c r="R2268" s="24"/>
      <x:c r="S2268" s="26" t="n">
        <x:v>46113</x:v>
      </x:c>
      <x:c r="T2268" s="26"/>
      <x:c r="U2268" s="24" t="str">
        <x:v>ATIVA/SEM FIM INFORMADO</x:v>
      </x:c>
      <x:c r="V2268" s="24" t="str">
        <x:v>Programa de Parcerias ZEISS</x:v>
      </x:c>
      <x:c r="W2268" s="24" t="n">
        <x:v>37</x:v>
      </x:c>
      <x:c r="X2268" s="24" t="str">
        <x:v>tabela_zeiss.pdf</x:v>
      </x:c>
      <x:c r="Y2268" s="24" t="str">
        <x:v>alta</x:v>
      </x:c>
      <x:c r="Z2268" s="24"/>
      <x:c r="AA2268" s="24" t="str">
        <x:v>ZEISS|Progressiva|Surfaçada|SmartLife Individual 3|PhotoFusion X|1.5|1.50|DuraVision Chrome UV|-6.00 a +5.50|-4.00|0.75 a 3.00|75|||37</x:v>
      </x:c>
    </x:row>
    <x:row r="2269">
      <x:c r="A2269" s="24" t="str">
        <x:v>ZS-770450DDB0DC</x:v>
      </x:c>
      <x:c r="B2269" s="24" t="str">
        <x:v>SIM</x:v>
      </x:c>
      <x:c r="C2269" s="24" t="str">
        <x:v>DISPONÍVEL</x:v>
      </x:c>
      <x:c r="D2269" s="24" t="str">
        <x:v>ZEISS</x:v>
      </x:c>
      <x:c r="E2269" s="24" t="str">
        <x:v>Progressiva</x:v>
      </x:c>
      <x:c r="F2269" s="24" t="str">
        <x:v>Surfaçada</x:v>
      </x:c>
      <x:c r="G2269" s="24" t="str">
        <x:v>SmartLife Individual 3</x:v>
      </x:c>
      <x:c r="H2269" s="24" t="str">
        <x:v>PhotoFusion X</x:v>
      </x:c>
      <x:c r="I2269" s="24" t="str">
        <x:v>Poli</x:v>
      </x:c>
      <x:c r="J2269" s="24"/>
      <x:c r="K2269" s="24" t="str">
        <x:v>DuraVision Gold UV</x:v>
      </x:c>
      <x:c r="L2269" s="40" t="n">
        <x:v>12999</x:v>
      </x:c>
      <x:c r="M2269" s="24" t="str">
        <x:v>-10.00 a +6.00</x:v>
      </x:c>
      <x:c r="N2269" s="24" t="str">
        <x:v>-6.00</x:v>
      </x:c>
      <x:c r="O2269" s="24" t="str">
        <x:v>0.75 a 3.00</x:v>
      </x:c>
      <x:c r="P2269" s="24" t="str">
        <x:v>70</x:v>
      </x:c>
      <x:c r="Q2269" s="24"/>
      <x:c r="R2269" s="24"/>
      <x:c r="S2269" s="26" t="n">
        <x:v>46113</x:v>
      </x:c>
      <x:c r="T2269" s="26"/>
      <x:c r="U2269" s="24" t="str">
        <x:v>ATIVA/SEM FIM INFORMADO</x:v>
      </x:c>
      <x:c r="V2269" s="24" t="str">
        <x:v>Programa de Parcerias ZEISS</x:v>
      </x:c>
      <x:c r="W2269" s="24" t="n">
        <x:v>37</x:v>
      </x:c>
      <x:c r="X2269" s="24" t="str">
        <x:v>tabela_zeiss.pdf</x:v>
      </x:c>
      <x:c r="Y2269" s="24" t="str">
        <x:v>alta</x:v>
      </x:c>
      <x:c r="Z2269" s="24"/>
      <x:c r="AA2269" s="24" t="str">
        <x:v>ZEISS|Progressiva|Surfaçada|SmartLife Individual 3|PhotoFusion X|Poli||DuraVision Gold UV|-10.00 a +6.00|-6.00|0.75 a 3.00|70|||37</x:v>
      </x:c>
    </x:row>
    <x:row r="2270">
      <x:c r="A2270" s="24" t="str">
        <x:v>ZS-24FFB382BB73</x:v>
      </x:c>
      <x:c r="B2270" s="24" t="str">
        <x:v>SIM</x:v>
      </x:c>
      <x:c r="C2270" s="24" t="str">
        <x:v>DISPONÍVEL</x:v>
      </x:c>
      <x:c r="D2270" s="24" t="str">
        <x:v>ZEISS</x:v>
      </x:c>
      <x:c r="E2270" s="24" t="str">
        <x:v>Progressiva</x:v>
      </x:c>
      <x:c r="F2270" s="24" t="str">
        <x:v>Surfaçada</x:v>
      </x:c>
      <x:c r="G2270" s="24" t="str">
        <x:v>SmartLife Individual 3</x:v>
      </x:c>
      <x:c r="H2270" s="24" t="str">
        <x:v>PhotoFusion X</x:v>
      </x:c>
      <x:c r="I2270" s="24" t="str">
        <x:v>Poli</x:v>
      </x:c>
      <x:c r="J2270" s="24"/>
      <x:c r="K2270" s="24" t="str">
        <x:v>DuraVision Platinum UV</x:v>
      </x:c>
      <x:c r="L2270" s="40" t="n">
        <x:v>12859</x:v>
      </x:c>
      <x:c r="M2270" s="24" t="str">
        <x:v>-10.00 a +6.00</x:v>
      </x:c>
      <x:c r="N2270" s="24" t="str">
        <x:v>-6.00</x:v>
      </x:c>
      <x:c r="O2270" s="24" t="str">
        <x:v>0.75 a 3.00</x:v>
      </x:c>
      <x:c r="P2270" s="24" t="str">
        <x:v>70</x:v>
      </x:c>
      <x:c r="Q2270" s="24"/>
      <x:c r="R2270" s="24"/>
      <x:c r="S2270" s="26" t="n">
        <x:v>46113</x:v>
      </x:c>
      <x:c r="T2270" s="26"/>
      <x:c r="U2270" s="24" t="str">
        <x:v>ATIVA/SEM FIM INFORMADO</x:v>
      </x:c>
      <x:c r="V2270" s="24" t="str">
        <x:v>Programa de Parcerias ZEISS</x:v>
      </x:c>
      <x:c r="W2270" s="24" t="n">
        <x:v>37</x:v>
      </x:c>
      <x:c r="X2270" s="24" t="str">
        <x:v>tabela_zeiss.pdf</x:v>
      </x:c>
      <x:c r="Y2270" s="24" t="str">
        <x:v>alta</x:v>
      </x:c>
      <x:c r="Z2270" s="24"/>
      <x:c r="AA2270" s="24" t="str">
        <x:v>ZEISS|Progressiva|Surfaçada|SmartLife Individual 3|PhotoFusion X|Poli||DuraVision Platinum UV|-10.00 a +6.00|-6.00|0.75 a 3.00|70|||37</x:v>
      </x:c>
    </x:row>
    <x:row r="2271">
      <x:c r="A2271" s="24" t="str">
        <x:v>ZS-B7EC101E4CE5</x:v>
      </x:c>
      <x:c r="B2271" s="24" t="str">
        <x:v>SIM</x:v>
      </x:c>
      <x:c r="C2271" s="24" t="str">
        <x:v>DISPONÍVEL</x:v>
      </x:c>
      <x:c r="D2271" s="24" t="str">
        <x:v>ZEISS</x:v>
      </x:c>
      <x:c r="E2271" s="24" t="str">
        <x:v>Progressiva</x:v>
      </x:c>
      <x:c r="F2271" s="24" t="str">
        <x:v>Surfaçada</x:v>
      </x:c>
      <x:c r="G2271" s="24" t="str">
        <x:v>SmartLife Individual 3</x:v>
      </x:c>
      <x:c r="H2271" s="24" t="str">
        <x:v>PhotoFusion X</x:v>
      </x:c>
      <x:c r="I2271" s="24" t="str">
        <x:v>Poli</x:v>
      </x:c>
      <x:c r="J2271" s="24"/>
      <x:c r="K2271" s="24" t="str">
        <x:v>DuraVision Silver UV</x:v>
      </x:c>
      <x:c r="L2271" s="40" t="n">
        <x:v>12599</x:v>
      </x:c>
      <x:c r="M2271" s="24" t="str">
        <x:v>-10.00 a +6.00</x:v>
      </x:c>
      <x:c r="N2271" s="24" t="str">
        <x:v>-6.00</x:v>
      </x:c>
      <x:c r="O2271" s="24" t="str">
        <x:v>0.75 a 3.00</x:v>
      </x:c>
      <x:c r="P2271" s="24" t="str">
        <x:v>70</x:v>
      </x:c>
      <x:c r="Q2271" s="24"/>
      <x:c r="R2271" s="24"/>
      <x:c r="S2271" s="26" t="n">
        <x:v>46113</x:v>
      </x:c>
      <x:c r="T2271" s="26"/>
      <x:c r="U2271" s="24" t="str">
        <x:v>ATIVA/SEM FIM INFORMADO</x:v>
      </x:c>
      <x:c r="V2271" s="24" t="str">
        <x:v>Programa de Parcerias ZEISS</x:v>
      </x:c>
      <x:c r="W2271" s="24" t="n">
        <x:v>37</x:v>
      </x:c>
      <x:c r="X2271" s="24" t="str">
        <x:v>tabela_zeiss.pdf</x:v>
      </x:c>
      <x:c r="Y2271" s="24" t="str">
        <x:v>alta</x:v>
      </x:c>
      <x:c r="Z2271" s="24"/>
      <x:c r="AA2271" s="24" t="str">
        <x:v>ZEISS|Progressiva|Surfaçada|SmartLife Individual 3|PhotoFusion X|Poli||DuraVision Silver UV|-10.00 a +6.00|-6.00|0.75 a 3.00|70|||37</x:v>
      </x:c>
    </x:row>
    <x:row r="2272">
      <x:c r="A2272" s="24" t="str">
        <x:v>ZS-8F55ECE6DD03</x:v>
      </x:c>
      <x:c r="B2272" s="24" t="str">
        <x:v>SIM</x:v>
      </x:c>
      <x:c r="C2272" s="24" t="str">
        <x:v>DISPONÍVEL</x:v>
      </x:c>
      <x:c r="D2272" s="24" t="str">
        <x:v>ZEISS</x:v>
      </x:c>
      <x:c r="E2272" s="24" t="str">
        <x:v>Progressiva</x:v>
      </x:c>
      <x:c r="F2272" s="24" t="str">
        <x:v>Surfaçada</x:v>
      </x:c>
      <x:c r="G2272" s="24" t="str">
        <x:v>SmartLife Individual 3</x:v>
      </x:c>
      <x:c r="H2272" s="24" t="str">
        <x:v>PhotoFusion X</x:v>
      </x:c>
      <x:c r="I2272" s="24" t="str">
        <x:v>Poli</x:v>
      </x:c>
      <x:c r="J2272" s="24"/>
      <x:c r="K2272" s="24" t="str">
        <x:v>DuraVision Chrome UV</x:v>
      </x:c>
      <x:c r="L2272" s="40" t="n">
        <x:v>12109</x:v>
      </x:c>
      <x:c r="M2272" s="24" t="str">
        <x:v>-10.00 a +6.00</x:v>
      </x:c>
      <x:c r="N2272" s="24" t="str">
        <x:v>-6.00</x:v>
      </x:c>
      <x:c r="O2272" s="24" t="str">
        <x:v>0.75 a 3.00</x:v>
      </x:c>
      <x:c r="P2272" s="24" t="str">
        <x:v>70</x:v>
      </x:c>
      <x:c r="Q2272" s="24"/>
      <x:c r="R2272" s="24"/>
      <x:c r="S2272" s="26" t="n">
        <x:v>46113</x:v>
      </x:c>
      <x:c r="T2272" s="26"/>
      <x:c r="U2272" s="24" t="str">
        <x:v>ATIVA/SEM FIM INFORMADO</x:v>
      </x:c>
      <x:c r="V2272" s="24" t="str">
        <x:v>Programa de Parcerias ZEISS</x:v>
      </x:c>
      <x:c r="W2272" s="24" t="n">
        <x:v>37</x:v>
      </x:c>
      <x:c r="X2272" s="24" t="str">
        <x:v>tabela_zeiss.pdf</x:v>
      </x:c>
      <x:c r="Y2272" s="24" t="str">
        <x:v>alta</x:v>
      </x:c>
      <x:c r="Z2272" s="24"/>
      <x:c r="AA2272" s="24" t="str">
        <x:v>ZEISS|Progressiva|Surfaçada|SmartLife Individual 3|PhotoFusion X|Poli||DuraVision Chrome UV|-10.00 a +6.00|-6.00|0.75 a 3.00|70|||37</x:v>
      </x:c>
    </x:row>
    <x:row r="2273">
      <x:c r="A2273" s="24" t="str">
        <x:v>ZS-FB752BE8A2FE</x:v>
      </x:c>
      <x:c r="B2273" s="24" t="str">
        <x:v>SIM</x:v>
      </x:c>
      <x:c r="C2273" s="24" t="str">
        <x:v>DISPONÍVEL</x:v>
      </x:c>
      <x:c r="D2273" s="24" t="str">
        <x:v>ZEISS</x:v>
      </x:c>
      <x:c r="E2273" s="24" t="str">
        <x:v>Progressiva</x:v>
      </x:c>
      <x:c r="F2273" s="24" t="str">
        <x:v>Surfaçada</x:v>
      </x:c>
      <x:c r="G2273" s="24" t="str">
        <x:v>SmartLife Individual 3</x:v>
      </x:c>
      <x:c r="H2273" s="24" t="str">
        <x:v>PhotoFusion X</x:v>
      </x:c>
      <x:c r="I2273" s="24" t="str">
        <x:v>1.6</x:v>
      </x:c>
      <x:c r="J2273" s="24" t="str">
        <x:v>1.60</x:v>
      </x:c>
      <x:c r="K2273" s="24" t="str">
        <x:v>DuraVision Gold UV</x:v>
      </x:c>
      <x:c r="L2273" s="40" t="n">
        <x:v>13659</x:v>
      </x:c>
      <x:c r="M2273" s="24" t="str">
        <x:v>-7.25 a +6.00</x:v>
      </x:c>
      <x:c r="N2273" s="24" t="str">
        <x:v>-6.00</x:v>
      </x:c>
      <x:c r="O2273" s="24" t="str">
        <x:v>0.75 a 3.50</x:v>
      </x:c>
      <x:c r="P2273" s="24" t="str">
        <x:v>75</x:v>
      </x:c>
      <x:c r="Q2273" s="24"/>
      <x:c r="R2273" s="24"/>
      <x:c r="S2273" s="26" t="n">
        <x:v>46113</x:v>
      </x:c>
      <x:c r="T2273" s="26"/>
      <x:c r="U2273" s="24" t="str">
        <x:v>ATIVA/SEM FIM INFORMADO</x:v>
      </x:c>
      <x:c r="V2273" s="24" t="str">
        <x:v>Programa de Parcerias ZEISS</x:v>
      </x:c>
      <x:c r="W2273" s="24" t="n">
        <x:v>37</x:v>
      </x:c>
      <x:c r="X2273" s="24" t="str">
        <x:v>tabela_zeiss.pdf</x:v>
      </x:c>
      <x:c r="Y2273" s="24" t="str">
        <x:v>alta</x:v>
      </x:c>
      <x:c r="Z2273" s="24"/>
      <x:c r="AA2273" s="24" t="str">
        <x:v>ZEISS|Progressiva|Surfaçada|SmartLife Individual 3|PhotoFusion X|1.6|1.60|DuraVision Gold UV|-7.25 a +6.00|-6.00|0.75 a 3.50|75|||37</x:v>
      </x:c>
    </x:row>
    <x:row r="2274">
      <x:c r="A2274" s="24" t="str">
        <x:v>ZS-485DB5D499FE</x:v>
      </x:c>
      <x:c r="B2274" s="24" t="str">
        <x:v>SIM</x:v>
      </x:c>
      <x:c r="C2274" s="24" t="str">
        <x:v>DISPONÍVEL</x:v>
      </x:c>
      <x:c r="D2274" s="24" t="str">
        <x:v>ZEISS</x:v>
      </x:c>
      <x:c r="E2274" s="24" t="str">
        <x:v>Progressiva</x:v>
      </x:c>
      <x:c r="F2274" s="24" t="str">
        <x:v>Surfaçada</x:v>
      </x:c>
      <x:c r="G2274" s="24" t="str">
        <x:v>SmartLife Individual 3</x:v>
      </x:c>
      <x:c r="H2274" s="24" t="str">
        <x:v>PhotoFusion X</x:v>
      </x:c>
      <x:c r="I2274" s="24" t="str">
        <x:v>1.6</x:v>
      </x:c>
      <x:c r="J2274" s="24" t="str">
        <x:v>1.60</x:v>
      </x:c>
      <x:c r="K2274" s="24" t="str">
        <x:v>DURAVISION® ANTIVÍRUS PLATINUM UV</x:v>
      </x:c>
      <x:c r="L2274" s="40" t="n">
        <x:v>13519</x:v>
      </x:c>
      <x:c r="M2274" s="24" t="str">
        <x:v>-7.25 a +6.00</x:v>
      </x:c>
      <x:c r="N2274" s="24" t="str">
        <x:v>-6.00</x:v>
      </x:c>
      <x:c r="O2274" s="24" t="str">
        <x:v>0.75 a 3.50</x:v>
      </x:c>
      <x:c r="P2274" s="24" t="str">
        <x:v>75</x:v>
      </x:c>
      <x:c r="Q2274" s="24"/>
      <x:c r="R2274" s="24"/>
      <x:c r="S2274" s="26" t="n">
        <x:v>46113</x:v>
      </x:c>
      <x:c r="T2274" s="26"/>
      <x:c r="U2274" s="24" t="str">
        <x:v>ATIVA/SEM FIM INFORMADO</x:v>
      </x:c>
      <x:c r="V2274" s="24" t="str">
        <x:v>Programa de Parcerias ZEISS</x:v>
      </x:c>
      <x:c r="W2274" s="24" t="n">
        <x:v>37</x:v>
      </x:c>
      <x:c r="X2274" s="24" t="str">
        <x:v>tabela_zeiss.pdf</x:v>
      </x:c>
      <x:c r="Y2274" s="24" t="str">
        <x:v>alta</x:v>
      </x:c>
      <x:c r="Z2274" s="24"/>
      <x:c r="AA2274" s="24" t="str">
        <x:v>ZEISS|Progressiva|Surfaçada|SmartLife Individual 3|PhotoFusion X|1.6|1.60|DURAVISION® ANTIVÍRUS PLATINUM UV|-7.25 a +6.00|-6.00|0.75 a 3.50|75|||37</x:v>
      </x:c>
    </x:row>
    <x:row r="2275">
      <x:c r="A2275" s="24" t="str">
        <x:v>ZS-6B375E09AFFE</x:v>
      </x:c>
      <x:c r="B2275" s="24" t="str">
        <x:v>SIM</x:v>
      </x:c>
      <x:c r="C2275" s="24" t="str">
        <x:v>DISPONÍVEL</x:v>
      </x:c>
      <x:c r="D2275" s="24" t="str">
        <x:v>ZEISS</x:v>
      </x:c>
      <x:c r="E2275" s="24" t="str">
        <x:v>Progressiva</x:v>
      </x:c>
      <x:c r="F2275" s="24" t="str">
        <x:v>Surfaçada</x:v>
      </x:c>
      <x:c r="G2275" s="24" t="str">
        <x:v>SmartLife Individual 3</x:v>
      </x:c>
      <x:c r="H2275" s="24" t="str">
        <x:v>PhotoFusion X</x:v>
      </x:c>
      <x:c r="I2275" s="24" t="str">
        <x:v>1.6</x:v>
      </x:c>
      <x:c r="J2275" s="24" t="str">
        <x:v>1.60</x:v>
      </x:c>
      <x:c r="K2275" s="24" t="str">
        <x:v>DuraVision Platinum UV</x:v>
      </x:c>
      <x:c r="L2275" s="40" t="n">
        <x:v>13519</x:v>
      </x:c>
      <x:c r="M2275" s="24" t="str">
        <x:v>-7.25 a +6.00</x:v>
      </x:c>
      <x:c r="N2275" s="24" t="str">
        <x:v>-6.00</x:v>
      </x:c>
      <x:c r="O2275" s="24" t="str">
        <x:v>0.75 a 3.50</x:v>
      </x:c>
      <x:c r="P2275" s="24" t="str">
        <x:v>75</x:v>
      </x:c>
      <x:c r="Q2275" s="24"/>
      <x:c r="R2275" s="24"/>
      <x:c r="S2275" s="26" t="n">
        <x:v>46113</x:v>
      </x:c>
      <x:c r="T2275" s="26"/>
      <x:c r="U2275" s="24" t="str">
        <x:v>ATIVA/SEM FIM INFORMADO</x:v>
      </x:c>
      <x:c r="V2275" s="24" t="str">
        <x:v>Programa de Parcerias ZEISS</x:v>
      </x:c>
      <x:c r="W2275" s="24" t="n">
        <x:v>37</x:v>
      </x:c>
      <x:c r="X2275" s="24" t="str">
        <x:v>tabela_zeiss.pdf</x:v>
      </x:c>
      <x:c r="Y2275" s="24" t="str">
        <x:v>alta</x:v>
      </x:c>
      <x:c r="Z2275" s="24"/>
      <x:c r="AA2275" s="24" t="str">
        <x:v>ZEISS|Progressiva|Surfaçada|SmartLife Individual 3|PhotoFusion X|1.6|1.60|DuraVision Platinum UV|-7.25 a +6.00|-6.00|0.75 a 3.50|75|||37</x:v>
      </x:c>
    </x:row>
    <x:row r="2276">
      <x:c r="A2276" s="24" t="str">
        <x:v>ZS-33B5A386CC5B</x:v>
      </x:c>
      <x:c r="B2276" s="24" t="str">
        <x:v>SIM</x:v>
      </x:c>
      <x:c r="C2276" s="24" t="str">
        <x:v>DISPONÍVEL</x:v>
      </x:c>
      <x:c r="D2276" s="24" t="str">
        <x:v>ZEISS</x:v>
      </x:c>
      <x:c r="E2276" s="24" t="str">
        <x:v>Progressiva</x:v>
      </x:c>
      <x:c r="F2276" s="24" t="str">
        <x:v>Surfaçada</x:v>
      </x:c>
      <x:c r="G2276" s="24" t="str">
        <x:v>SmartLife Individual 3</x:v>
      </x:c>
      <x:c r="H2276" s="24" t="str">
        <x:v>PhotoFusion X</x:v>
      </x:c>
      <x:c r="I2276" s="24" t="str">
        <x:v>1.6</x:v>
      </x:c>
      <x:c r="J2276" s="24" t="str">
        <x:v>1.60</x:v>
      </x:c>
      <x:c r="K2276" s="24" t="str">
        <x:v>DuraVision Silver UV</x:v>
      </x:c>
      <x:c r="L2276" s="40" t="n">
        <x:v>13259</x:v>
      </x:c>
      <x:c r="M2276" s="24" t="str">
        <x:v>-7.25 a +6.00</x:v>
      </x:c>
      <x:c r="N2276" s="24" t="str">
        <x:v>-6.00</x:v>
      </x:c>
      <x:c r="O2276" s="24" t="str">
        <x:v>0.75 a 3.50</x:v>
      </x:c>
      <x:c r="P2276" s="24" t="str">
        <x:v>75</x:v>
      </x:c>
      <x:c r="Q2276" s="24"/>
      <x:c r="R2276" s="24"/>
      <x:c r="S2276" s="26" t="n">
        <x:v>46113</x:v>
      </x:c>
      <x:c r="T2276" s="26"/>
      <x:c r="U2276" s="24" t="str">
        <x:v>ATIVA/SEM FIM INFORMADO</x:v>
      </x:c>
      <x:c r="V2276" s="24" t="str">
        <x:v>Programa de Parcerias ZEISS</x:v>
      </x:c>
      <x:c r="W2276" s="24" t="n">
        <x:v>37</x:v>
      </x:c>
      <x:c r="X2276" s="24" t="str">
        <x:v>tabela_zeiss.pdf</x:v>
      </x:c>
      <x:c r="Y2276" s="24" t="str">
        <x:v>alta</x:v>
      </x:c>
      <x:c r="Z2276" s="24"/>
      <x:c r="AA2276" s="24" t="str">
        <x:v>ZEISS|Progressiva|Surfaçada|SmartLife Individual 3|PhotoFusion X|1.6|1.60|DuraVision Silver UV|-7.25 a +6.00|-6.00|0.75 a 3.50|75|||37</x:v>
      </x:c>
    </x:row>
    <x:row r="2277">
      <x:c r="A2277" s="24" t="str">
        <x:v>ZS-FCED23C15A83</x:v>
      </x:c>
      <x:c r="B2277" s="24" t="str">
        <x:v>SIM</x:v>
      </x:c>
      <x:c r="C2277" s="24" t="str">
        <x:v>DISPONÍVEL</x:v>
      </x:c>
      <x:c r="D2277" s="24" t="str">
        <x:v>ZEISS</x:v>
      </x:c>
      <x:c r="E2277" s="24" t="str">
        <x:v>Progressiva</x:v>
      </x:c>
      <x:c r="F2277" s="24" t="str">
        <x:v>Surfaçada</x:v>
      </x:c>
      <x:c r="G2277" s="24" t="str">
        <x:v>SmartLife Individual 3</x:v>
      </x:c>
      <x:c r="H2277" s="24" t="str">
        <x:v>PhotoFusion X</x:v>
      </x:c>
      <x:c r="I2277" s="24" t="str">
        <x:v>1.6</x:v>
      </x:c>
      <x:c r="J2277" s="24" t="str">
        <x:v>1.60</x:v>
      </x:c>
      <x:c r="K2277" s="24" t="str">
        <x:v>DuraVision Chrome UV</x:v>
      </x:c>
      <x:c r="L2277" s="40" t="n">
        <x:v>12769</x:v>
      </x:c>
      <x:c r="M2277" s="24" t="str">
        <x:v>-7.25 a +6.00</x:v>
      </x:c>
      <x:c r="N2277" s="24" t="str">
        <x:v>-6.00</x:v>
      </x:c>
      <x:c r="O2277" s="24" t="str">
        <x:v>0.75 a 3.50</x:v>
      </x:c>
      <x:c r="P2277" s="24" t="str">
        <x:v>75</x:v>
      </x:c>
      <x:c r="Q2277" s="24"/>
      <x:c r="R2277" s="24"/>
      <x:c r="S2277" s="26" t="n">
        <x:v>46113</x:v>
      </x:c>
      <x:c r="T2277" s="26"/>
      <x:c r="U2277" s="24" t="str">
        <x:v>ATIVA/SEM FIM INFORMADO</x:v>
      </x:c>
      <x:c r="V2277" s="24" t="str">
        <x:v>Programa de Parcerias ZEISS</x:v>
      </x:c>
      <x:c r="W2277" s="24" t="n">
        <x:v>37</x:v>
      </x:c>
      <x:c r="X2277" s="24" t="str">
        <x:v>tabela_zeiss.pdf</x:v>
      </x:c>
      <x:c r="Y2277" s="24" t="str">
        <x:v>alta</x:v>
      </x:c>
      <x:c r="Z2277" s="24"/>
      <x:c r="AA2277" s="24" t="str">
        <x:v>ZEISS|Progressiva|Surfaçada|SmartLife Individual 3|PhotoFusion X|1.6|1.60|DuraVision Chrome UV|-7.25 a +6.00|-6.00|0.75 a 3.50|75|||37</x:v>
      </x:c>
    </x:row>
    <x:row r="2278">
      <x:c r="A2278" s="24" t="str">
        <x:v>ZS-5548B2340B0D</x:v>
      </x:c>
      <x:c r="B2278" s="24" t="str">
        <x:v>SIM</x:v>
      </x:c>
      <x:c r="C2278" s="24" t="str">
        <x:v>DISPONÍVEL</x:v>
      </x:c>
      <x:c r="D2278" s="24" t="str">
        <x:v>ZEISS</x:v>
      </x:c>
      <x:c r="E2278" s="24" t="str">
        <x:v>Progressiva</x:v>
      </x:c>
      <x:c r="F2278" s="24" t="str">
        <x:v>Surfaçada</x:v>
      </x:c>
      <x:c r="G2278" s="24" t="str">
        <x:v>SmartLife Individual 3</x:v>
      </x:c>
      <x:c r="H2278" s="24" t="str">
        <x:v>PhotoFusion X</x:v>
      </x:c>
      <x:c r="I2278" s="24" t="str">
        <x:v>1.67</x:v>
      </x:c>
      <x:c r="J2278" s="24" t="str">
        <x:v>1.67</x:v>
      </x:c>
      <x:c r="K2278" s="24" t="str">
        <x:v>DuraVision Gold UV</x:v>
      </x:c>
      <x:c r="L2278" s="40" t="n">
        <x:v>15299</x:v>
      </x:c>
      <x:c r="M2278" s="24" t="str">
        <x:v>-8.00 a +8.00</x:v>
      </x:c>
      <x:c r="N2278" s="24" t="str">
        <x:v>-6.00</x:v>
      </x:c>
      <x:c r="O2278" s="24" t="str">
        <x:v>0.75 a 3.00</x:v>
      </x:c>
      <x:c r="P2278" s="24" t="str">
        <x:v>70</x:v>
      </x:c>
      <x:c r="Q2278" s="24"/>
      <x:c r="R2278" s="24"/>
      <x:c r="S2278" s="26" t="n">
        <x:v>46113</x:v>
      </x:c>
      <x:c r="T2278" s="26"/>
      <x:c r="U2278" s="24" t="str">
        <x:v>ATIVA/SEM FIM INFORMADO</x:v>
      </x:c>
      <x:c r="V2278" s="24" t="str">
        <x:v>Programa de Parcerias ZEISS</x:v>
      </x:c>
      <x:c r="W2278" s="24" t="n">
        <x:v>37</x:v>
      </x:c>
      <x:c r="X2278" s="24" t="str">
        <x:v>tabela_zeiss.pdf</x:v>
      </x:c>
      <x:c r="Y2278" s="24" t="str">
        <x:v>alta</x:v>
      </x:c>
      <x:c r="Z2278" s="24"/>
      <x:c r="AA2278" s="24" t="str">
        <x:v>ZEISS|Progressiva|Surfaçada|SmartLife Individual 3|PhotoFusion X|1.67|1.67|DuraVision Gold UV|-8.00 a +8.00|-6.00|0.75 a 3.00|70|||37</x:v>
      </x:c>
    </x:row>
    <x:row r="2279">
      <x:c r="A2279" s="24" t="str">
        <x:v>ZS-AF840D4B47DF</x:v>
      </x:c>
      <x:c r="B2279" s="24" t="str">
        <x:v>SIM</x:v>
      </x:c>
      <x:c r="C2279" s="24" t="str">
        <x:v>DISPONÍVEL</x:v>
      </x:c>
      <x:c r="D2279" s="24" t="str">
        <x:v>ZEISS</x:v>
      </x:c>
      <x:c r="E2279" s="24" t="str">
        <x:v>Progressiva</x:v>
      </x:c>
      <x:c r="F2279" s="24" t="str">
        <x:v>Surfaçada</x:v>
      </x:c>
      <x:c r="G2279" s="24" t="str">
        <x:v>SmartLife Individual 3</x:v>
      </x:c>
      <x:c r="H2279" s="24" t="str">
        <x:v>PhotoFusion X</x:v>
      </x:c>
      <x:c r="I2279" s="24" t="str">
        <x:v>1.67</x:v>
      </x:c>
      <x:c r="J2279" s="24" t="str">
        <x:v>1.67</x:v>
      </x:c>
      <x:c r="K2279" s="24" t="str">
        <x:v>DURAVISION® ANTIVÍRUS PLATINUM UV</x:v>
      </x:c>
      <x:c r="L2279" s="40" t="n">
        <x:v>15159</x:v>
      </x:c>
      <x:c r="M2279" s="24" t="str">
        <x:v>-8.00 a +8.00</x:v>
      </x:c>
      <x:c r="N2279" s="24" t="str">
        <x:v>-6.00</x:v>
      </x:c>
      <x:c r="O2279" s="24" t="str">
        <x:v>0.75 a 3.00</x:v>
      </x:c>
      <x:c r="P2279" s="24" t="str">
        <x:v>70</x:v>
      </x:c>
      <x:c r="Q2279" s="24"/>
      <x:c r="R2279" s="24"/>
      <x:c r="S2279" s="26" t="n">
        <x:v>46113</x:v>
      </x:c>
      <x:c r="T2279" s="26"/>
      <x:c r="U2279" s="24" t="str">
        <x:v>ATIVA/SEM FIM INFORMADO</x:v>
      </x:c>
      <x:c r="V2279" s="24" t="str">
        <x:v>Programa de Parcerias ZEISS</x:v>
      </x:c>
      <x:c r="W2279" s="24" t="n">
        <x:v>37</x:v>
      </x:c>
      <x:c r="X2279" s="24" t="str">
        <x:v>tabela_zeiss.pdf</x:v>
      </x:c>
      <x:c r="Y2279" s="24" t="str">
        <x:v>alta</x:v>
      </x:c>
      <x:c r="Z2279" s="24"/>
      <x:c r="AA2279" s="24" t="str">
        <x:v>ZEISS|Progressiva|Surfaçada|SmartLife Individual 3|PhotoFusion X|1.67|1.67|DURAVISION® ANTIVÍRUS PLATINUM UV|-8.00 a +8.00|-6.00|0.75 a 3.00|70|||37</x:v>
      </x:c>
    </x:row>
    <x:row r="2280">
      <x:c r="A2280" s="24" t="str">
        <x:v>ZS-0E6A7111073C</x:v>
      </x:c>
      <x:c r="B2280" s="24" t="str">
        <x:v>SIM</x:v>
      </x:c>
      <x:c r="C2280" s="24" t="str">
        <x:v>DISPONÍVEL</x:v>
      </x:c>
      <x:c r="D2280" s="24" t="str">
        <x:v>ZEISS</x:v>
      </x:c>
      <x:c r="E2280" s="24" t="str">
        <x:v>Progressiva</x:v>
      </x:c>
      <x:c r="F2280" s="24" t="str">
        <x:v>Surfaçada</x:v>
      </x:c>
      <x:c r="G2280" s="24" t="str">
        <x:v>SmartLife Individual 3</x:v>
      </x:c>
      <x:c r="H2280" s="24" t="str">
        <x:v>PhotoFusion X</x:v>
      </x:c>
      <x:c r="I2280" s="24" t="str">
        <x:v>1.67</x:v>
      </x:c>
      <x:c r="J2280" s="24" t="str">
        <x:v>1.67</x:v>
      </x:c>
      <x:c r="K2280" s="24" t="str">
        <x:v>DuraVision Platinum UV</x:v>
      </x:c>
      <x:c r="L2280" s="40" t="n">
        <x:v>15159</x:v>
      </x:c>
      <x:c r="M2280" s="24" t="str">
        <x:v>-8.00 a +8.00</x:v>
      </x:c>
      <x:c r="N2280" s="24" t="str">
        <x:v>-6.00</x:v>
      </x:c>
      <x:c r="O2280" s="24" t="str">
        <x:v>0.75 a 3.00</x:v>
      </x:c>
      <x:c r="P2280" s="24" t="str">
        <x:v>70</x:v>
      </x:c>
      <x:c r="Q2280" s="24"/>
      <x:c r="R2280" s="24"/>
      <x:c r="S2280" s="26" t="n">
        <x:v>46113</x:v>
      </x:c>
      <x:c r="T2280" s="26"/>
      <x:c r="U2280" s="24" t="str">
        <x:v>ATIVA/SEM FIM INFORMADO</x:v>
      </x:c>
      <x:c r="V2280" s="24" t="str">
        <x:v>Programa de Parcerias ZEISS</x:v>
      </x:c>
      <x:c r="W2280" s="24" t="n">
        <x:v>37</x:v>
      </x:c>
      <x:c r="X2280" s="24" t="str">
        <x:v>tabela_zeiss.pdf</x:v>
      </x:c>
      <x:c r="Y2280" s="24" t="str">
        <x:v>alta</x:v>
      </x:c>
      <x:c r="Z2280" s="24"/>
      <x:c r="AA2280" s="24" t="str">
        <x:v>ZEISS|Progressiva|Surfaçada|SmartLife Individual 3|PhotoFusion X|1.67|1.67|DuraVision Platinum UV|-8.00 a +8.00|-6.00|0.75 a 3.00|70|||37</x:v>
      </x:c>
    </x:row>
    <x:row r="2281">
      <x:c r="A2281" s="24" t="str">
        <x:v>ZS-54BBABE67BA6</x:v>
      </x:c>
      <x:c r="B2281" s="24" t="str">
        <x:v>SIM</x:v>
      </x:c>
      <x:c r="C2281" s="24" t="str">
        <x:v>DISPONÍVEL</x:v>
      </x:c>
      <x:c r="D2281" s="24" t="str">
        <x:v>ZEISS</x:v>
      </x:c>
      <x:c r="E2281" s="24" t="str">
        <x:v>Progressiva</x:v>
      </x:c>
      <x:c r="F2281" s="24" t="str">
        <x:v>Surfaçada</x:v>
      </x:c>
      <x:c r="G2281" s="24" t="str">
        <x:v>SmartLife Individual 3</x:v>
      </x:c>
      <x:c r="H2281" s="24" t="str">
        <x:v>PhotoFusion X</x:v>
      </x:c>
      <x:c r="I2281" s="24" t="str">
        <x:v>1.67</x:v>
      </x:c>
      <x:c r="J2281" s="24" t="str">
        <x:v>1.67</x:v>
      </x:c>
      <x:c r="K2281" s="24" t="str">
        <x:v>DuraVision Silver UV</x:v>
      </x:c>
      <x:c r="L2281" s="40" t="n">
        <x:v>14899</x:v>
      </x:c>
      <x:c r="M2281" s="24" t="str">
        <x:v>-8.00 a +8.00</x:v>
      </x:c>
      <x:c r="N2281" s="24" t="str">
        <x:v>-6.00</x:v>
      </x:c>
      <x:c r="O2281" s="24" t="str">
        <x:v>0.75 a 3.00</x:v>
      </x:c>
      <x:c r="P2281" s="24" t="str">
        <x:v>70</x:v>
      </x:c>
      <x:c r="Q2281" s="24"/>
      <x:c r="R2281" s="24"/>
      <x:c r="S2281" s="26" t="n">
        <x:v>46113</x:v>
      </x:c>
      <x:c r="T2281" s="26"/>
      <x:c r="U2281" s="24" t="str">
        <x:v>ATIVA/SEM FIM INFORMADO</x:v>
      </x:c>
      <x:c r="V2281" s="24" t="str">
        <x:v>Programa de Parcerias ZEISS</x:v>
      </x:c>
      <x:c r="W2281" s="24" t="n">
        <x:v>37</x:v>
      </x:c>
      <x:c r="X2281" s="24" t="str">
        <x:v>tabela_zeiss.pdf</x:v>
      </x:c>
      <x:c r="Y2281" s="24" t="str">
        <x:v>alta</x:v>
      </x:c>
      <x:c r="Z2281" s="24"/>
      <x:c r="AA2281" s="24" t="str">
        <x:v>ZEISS|Progressiva|Surfaçada|SmartLife Individual 3|PhotoFusion X|1.67|1.67|DuraVision Silver UV|-8.00 a +8.00|-6.00|0.75 a 3.00|70|||37</x:v>
      </x:c>
    </x:row>
    <x:row r="2282">
      <x:c r="A2282" s="24" t="str">
        <x:v>ZS-E5D91A79DCAE</x:v>
      </x:c>
      <x:c r="B2282" s="24" t="str">
        <x:v>SIM</x:v>
      </x:c>
      <x:c r="C2282" s="24" t="str">
        <x:v>DISPONÍVEL</x:v>
      </x:c>
      <x:c r="D2282" s="24" t="str">
        <x:v>ZEISS</x:v>
      </x:c>
      <x:c r="E2282" s="24" t="str">
        <x:v>Progressiva</x:v>
      </x:c>
      <x:c r="F2282" s="24" t="str">
        <x:v>Surfaçada</x:v>
      </x:c>
      <x:c r="G2282" s="24" t="str">
        <x:v>SmartLife Individual 3</x:v>
      </x:c>
      <x:c r="H2282" s="24" t="str">
        <x:v>PhotoFusion X</x:v>
      </x:c>
      <x:c r="I2282" s="24" t="str">
        <x:v>1.67</x:v>
      </x:c>
      <x:c r="J2282" s="24" t="str">
        <x:v>1.67</x:v>
      </x:c>
      <x:c r="K2282" s="24" t="str">
        <x:v>DuraVision Chrome UV</x:v>
      </x:c>
      <x:c r="L2282" s="40" t="n">
        <x:v>14409</x:v>
      </x:c>
      <x:c r="M2282" s="24" t="str">
        <x:v>-8.00 a +8.00</x:v>
      </x:c>
      <x:c r="N2282" s="24" t="str">
        <x:v>-6.00</x:v>
      </x:c>
      <x:c r="O2282" s="24" t="str">
        <x:v>0.75 a 3.00</x:v>
      </x:c>
      <x:c r="P2282" s="24" t="str">
        <x:v>70</x:v>
      </x:c>
      <x:c r="Q2282" s="24"/>
      <x:c r="R2282" s="24"/>
      <x:c r="S2282" s="26" t="n">
        <x:v>46113</x:v>
      </x:c>
      <x:c r="T2282" s="26"/>
      <x:c r="U2282" s="24" t="str">
        <x:v>ATIVA/SEM FIM INFORMADO</x:v>
      </x:c>
      <x:c r="V2282" s="24" t="str">
        <x:v>Programa de Parcerias ZEISS</x:v>
      </x:c>
      <x:c r="W2282" s="24" t="n">
        <x:v>37</x:v>
      </x:c>
      <x:c r="X2282" s="24" t="str">
        <x:v>tabela_zeiss.pdf</x:v>
      </x:c>
      <x:c r="Y2282" s="24" t="str">
        <x:v>alta</x:v>
      </x:c>
      <x:c r="Z2282" s="24"/>
      <x:c r="AA2282" s="24" t="str">
        <x:v>ZEISS|Progressiva|Surfaçada|SmartLife Individual 3|PhotoFusion X|1.67|1.67|DuraVision Chrome UV|-8.00 a +8.00|-6.00|0.75 a 3.00|70|||37</x:v>
      </x:c>
    </x:row>
    <x:row r="2283">
      <x:c r="A2283" s="24" t="str">
        <x:v>ZS-503EFEFD7271</x:v>
      </x:c>
      <x:c r="B2283" s="24" t="str">
        <x:v>SIM</x:v>
      </x:c>
      <x:c r="C2283" s="24" t="str">
        <x:v>DISPONÍVEL</x:v>
      </x:c>
      <x:c r="D2283" s="24" t="str">
        <x:v>ZEISS</x:v>
      </x:c>
      <x:c r="E2283" s="24" t="str">
        <x:v>Progressiva</x:v>
      </x:c>
      <x:c r="F2283" s="24" t="str">
        <x:v>Surfaçada</x:v>
      </x:c>
      <x:c r="G2283" s="24" t="str">
        <x:v>SmartLife Individual 3</x:v>
      </x:c>
      <x:c r="H2283" s="24" t="str">
        <x:v>PhotoFusion X Extra Dark Cinza</x:v>
      </x:c>
      <x:c r="I2283" s="24" t="str">
        <x:v>1.5</x:v>
      </x:c>
      <x:c r="J2283" s="24" t="str">
        <x:v>1.50</x:v>
      </x:c>
      <x:c r="K2283" s="24" t="str">
        <x:v>DuraVision Gold UV</x:v>
      </x:c>
      <x:c r="L2283" s="40" t="n">
        <x:v>12459</x:v>
      </x:c>
      <x:c r="M2283" s="24" t="str">
        <x:v>-6.00 a +5.50</x:v>
      </x:c>
      <x:c r="N2283" s="24" t="str">
        <x:v>-4.00</x:v>
      </x:c>
      <x:c r="O2283" s="24" t="str">
        <x:v>0.75 a 3.00</x:v>
      </x:c>
      <x:c r="P2283" s="24" t="str">
        <x:v>75</x:v>
      </x:c>
      <x:c r="Q2283" s="24"/>
      <x:c r="R2283" s="24"/>
      <x:c r="S2283" s="26" t="n">
        <x:v>46113</x:v>
      </x:c>
      <x:c r="T2283" s="26"/>
      <x:c r="U2283" s="24" t="str">
        <x:v>ATIVA/SEM FIM INFORMADO</x:v>
      </x:c>
      <x:c r="V2283" s="24" t="str">
        <x:v>Programa de Parcerias ZEISS</x:v>
      </x:c>
      <x:c r="W2283" s="24" t="n">
        <x:v>37</x:v>
      </x:c>
      <x:c r="X2283" s="24" t="str">
        <x:v>tabela_zeiss.pdf</x:v>
      </x:c>
      <x:c r="Y2283" s="24" t="str">
        <x:v>alta</x:v>
      </x:c>
      <x:c r="Z2283" s="24"/>
      <x:c r="AA2283" s="24" t="str">
        <x:v>ZEISS|Progressiva|Surfaçada|SmartLife Individual 3|PhotoFusion X Extra Dark Cinza|1.5|1.50|DuraVision Gold UV|-6.00 a +5.50|-4.00|0.75 a 3.00|75|||37</x:v>
      </x:c>
    </x:row>
    <x:row r="2284">
      <x:c r="A2284" s="24" t="str">
        <x:v>ZS-AC4377737D45</x:v>
      </x:c>
      <x:c r="B2284" s="24" t="str">
        <x:v>SIM</x:v>
      </x:c>
      <x:c r="C2284" s="24" t="str">
        <x:v>DISPONÍVEL</x:v>
      </x:c>
      <x:c r="D2284" s="24" t="str">
        <x:v>ZEISS</x:v>
      </x:c>
      <x:c r="E2284" s="24" t="str">
        <x:v>Progressiva</x:v>
      </x:c>
      <x:c r="F2284" s="24" t="str">
        <x:v>Surfaçada</x:v>
      </x:c>
      <x:c r="G2284" s="24" t="str">
        <x:v>SmartLife Individual 3</x:v>
      </x:c>
      <x:c r="H2284" s="24" t="str">
        <x:v>PhotoFusion X Extra Dark Cinza</x:v>
      </x:c>
      <x:c r="I2284" s="24" t="str">
        <x:v>1.5</x:v>
      </x:c>
      <x:c r="J2284" s="24" t="str">
        <x:v>1.50</x:v>
      </x:c>
      <x:c r="K2284" s="24" t="str">
        <x:v>DURAVISION® ANTIVÍRUS PLATINUM UV</x:v>
      </x:c>
      <x:c r="L2284" s="40" t="n">
        <x:v>12319</x:v>
      </x:c>
      <x:c r="M2284" s="24" t="str">
        <x:v>-6.00 a +5.50</x:v>
      </x:c>
      <x:c r="N2284" s="24" t="str">
        <x:v>-4.00</x:v>
      </x:c>
      <x:c r="O2284" s="24" t="str">
        <x:v>0.75 a 3.00</x:v>
      </x:c>
      <x:c r="P2284" s="24" t="str">
        <x:v>75</x:v>
      </x:c>
      <x:c r="Q2284" s="24"/>
      <x:c r="R2284" s="24"/>
      <x:c r="S2284" s="26" t="n">
        <x:v>46113</x:v>
      </x:c>
      <x:c r="T2284" s="26"/>
      <x:c r="U2284" s="24" t="str">
        <x:v>ATIVA/SEM FIM INFORMADO</x:v>
      </x:c>
      <x:c r="V2284" s="24" t="str">
        <x:v>Programa de Parcerias ZEISS</x:v>
      </x:c>
      <x:c r="W2284" s="24" t="n">
        <x:v>37</x:v>
      </x:c>
      <x:c r="X2284" s="24" t="str">
        <x:v>tabela_zeiss.pdf</x:v>
      </x:c>
      <x:c r="Y2284" s="24" t="str">
        <x:v>alta</x:v>
      </x:c>
      <x:c r="Z2284" s="24"/>
      <x:c r="AA2284" s="24" t="str">
        <x:v>ZEISS|Progressiva|Surfaçada|SmartLife Individual 3|PhotoFusion X Extra Dark Cinza|1.5|1.50|DURAVISION® ANTIVÍRUS PLATINUM UV|-6.00 a +5.50|-4.00|0.75 a 3.00|75|||37</x:v>
      </x:c>
    </x:row>
    <x:row r="2285">
      <x:c r="A2285" s="24" t="str">
        <x:v>ZS-4E920321ADED</x:v>
      </x:c>
      <x:c r="B2285" s="24" t="str">
        <x:v>SIM</x:v>
      </x:c>
      <x:c r="C2285" s="24" t="str">
        <x:v>DISPONÍVEL</x:v>
      </x:c>
      <x:c r="D2285" s="24" t="str">
        <x:v>ZEISS</x:v>
      </x:c>
      <x:c r="E2285" s="24" t="str">
        <x:v>Progressiva</x:v>
      </x:c>
      <x:c r="F2285" s="24" t="str">
        <x:v>Surfaçada</x:v>
      </x:c>
      <x:c r="G2285" s="24" t="str">
        <x:v>SmartLife Individual 3</x:v>
      </x:c>
      <x:c r="H2285" s="24" t="str">
        <x:v>PhotoFusion X Extra Dark Cinza</x:v>
      </x:c>
      <x:c r="I2285" s="24" t="str">
        <x:v>1.5</x:v>
      </x:c>
      <x:c r="J2285" s="24" t="str">
        <x:v>1.50</x:v>
      </x:c>
      <x:c r="K2285" s="24" t="str">
        <x:v>DuraVision Platinum UV</x:v>
      </x:c>
      <x:c r="L2285" s="40" t="n">
        <x:v>12319</x:v>
      </x:c>
      <x:c r="M2285" s="24" t="str">
        <x:v>-6.00 a +5.50</x:v>
      </x:c>
      <x:c r="N2285" s="24" t="str">
        <x:v>-4.00</x:v>
      </x:c>
      <x:c r="O2285" s="24" t="str">
        <x:v>0.75 a 3.00</x:v>
      </x:c>
      <x:c r="P2285" s="24" t="str">
        <x:v>75</x:v>
      </x:c>
      <x:c r="Q2285" s="24"/>
      <x:c r="R2285" s="24"/>
      <x:c r="S2285" s="26" t="n">
        <x:v>46113</x:v>
      </x:c>
      <x:c r="T2285" s="26"/>
      <x:c r="U2285" s="24" t="str">
        <x:v>ATIVA/SEM FIM INFORMADO</x:v>
      </x:c>
      <x:c r="V2285" s="24" t="str">
        <x:v>Programa de Parcerias ZEISS</x:v>
      </x:c>
      <x:c r="W2285" s="24" t="n">
        <x:v>37</x:v>
      </x:c>
      <x:c r="X2285" s="24" t="str">
        <x:v>tabela_zeiss.pdf</x:v>
      </x:c>
      <x:c r="Y2285" s="24" t="str">
        <x:v>alta</x:v>
      </x:c>
      <x:c r="Z2285" s="24"/>
      <x:c r="AA2285" s="24" t="str">
        <x:v>ZEISS|Progressiva|Surfaçada|SmartLife Individual 3|PhotoFusion X Extra Dark Cinza|1.5|1.50|DuraVision Platinum UV|-6.00 a +5.50|-4.00|0.75 a 3.00|75|||37</x:v>
      </x:c>
    </x:row>
    <x:row r="2286">
      <x:c r="A2286" s="24" t="str">
        <x:v>ZS-AD589C19DCAE</x:v>
      </x:c>
      <x:c r="B2286" s="24" t="str">
        <x:v>SIM</x:v>
      </x:c>
      <x:c r="C2286" s="24" t="str">
        <x:v>DISPONÍVEL</x:v>
      </x:c>
      <x:c r="D2286" s="24" t="str">
        <x:v>ZEISS</x:v>
      </x:c>
      <x:c r="E2286" s="24" t="str">
        <x:v>Progressiva</x:v>
      </x:c>
      <x:c r="F2286" s="24" t="str">
        <x:v>Surfaçada</x:v>
      </x:c>
      <x:c r="G2286" s="24" t="str">
        <x:v>SmartLife Individual 3</x:v>
      </x:c>
      <x:c r="H2286" s="24" t="str">
        <x:v>PhotoFusion X Extra Dark Cinza</x:v>
      </x:c>
      <x:c r="I2286" s="24" t="str">
        <x:v>1.5</x:v>
      </x:c>
      <x:c r="J2286" s="24" t="str">
        <x:v>1.50</x:v>
      </x:c>
      <x:c r="K2286" s="24" t="str">
        <x:v>DuraVision Silver UV</x:v>
      </x:c>
      <x:c r="L2286" s="40" t="n">
        <x:v>12059</x:v>
      </x:c>
      <x:c r="M2286" s="24" t="str">
        <x:v>-6.00 a +5.50</x:v>
      </x:c>
      <x:c r="N2286" s="24" t="str">
        <x:v>-4.00</x:v>
      </x:c>
      <x:c r="O2286" s="24" t="str">
        <x:v>0.75 a 3.00</x:v>
      </x:c>
      <x:c r="P2286" s="24" t="str">
        <x:v>75</x:v>
      </x:c>
      <x:c r="Q2286" s="24"/>
      <x:c r="R2286" s="24"/>
      <x:c r="S2286" s="26" t="n">
        <x:v>46113</x:v>
      </x:c>
      <x:c r="T2286" s="26"/>
      <x:c r="U2286" s="24" t="str">
        <x:v>ATIVA/SEM FIM INFORMADO</x:v>
      </x:c>
      <x:c r="V2286" s="24" t="str">
        <x:v>Programa de Parcerias ZEISS</x:v>
      </x:c>
      <x:c r="W2286" s="24" t="n">
        <x:v>37</x:v>
      </x:c>
      <x:c r="X2286" s="24" t="str">
        <x:v>tabela_zeiss.pdf</x:v>
      </x:c>
      <x:c r="Y2286" s="24" t="str">
        <x:v>alta</x:v>
      </x:c>
      <x:c r="Z2286" s="24"/>
      <x:c r="AA2286" s="24" t="str">
        <x:v>ZEISS|Progressiva|Surfaçada|SmartLife Individual 3|PhotoFusion X Extra Dark Cinza|1.5|1.50|DuraVision Silver UV|-6.00 a +5.50|-4.00|0.75 a 3.00|75|||37</x:v>
      </x:c>
    </x:row>
    <x:row r="2287">
      <x:c r="A2287" s="24" t="str">
        <x:v>ZS-127E0F78D543</x:v>
      </x:c>
      <x:c r="B2287" s="24" t="str">
        <x:v>SIM</x:v>
      </x:c>
      <x:c r="C2287" s="24" t="str">
        <x:v>DISPONÍVEL</x:v>
      </x:c>
      <x:c r="D2287" s="24" t="str">
        <x:v>ZEISS</x:v>
      </x:c>
      <x:c r="E2287" s="24" t="str">
        <x:v>Progressiva</x:v>
      </x:c>
      <x:c r="F2287" s="24" t="str">
        <x:v>Surfaçada</x:v>
      </x:c>
      <x:c r="G2287" s="24" t="str">
        <x:v>SmartLife Individual 3</x:v>
      </x:c>
      <x:c r="H2287" s="24" t="str">
        <x:v>PhotoFusion X Extra Dark Cinza</x:v>
      </x:c>
      <x:c r="I2287" s="24" t="str">
        <x:v>1.5</x:v>
      </x:c>
      <x:c r="J2287" s="24" t="str">
        <x:v>1.50</x:v>
      </x:c>
      <x:c r="K2287" s="24" t="str">
        <x:v>DuraVision Chrome UV</x:v>
      </x:c>
      <x:c r="L2287" s="40" t="n">
        <x:v>11569</x:v>
      </x:c>
      <x:c r="M2287" s="24" t="str">
        <x:v>-6.00 a +5.50</x:v>
      </x:c>
      <x:c r="N2287" s="24" t="str">
        <x:v>-4.00</x:v>
      </x:c>
      <x:c r="O2287" s="24" t="str">
        <x:v>0.75 a 3.00</x:v>
      </x:c>
      <x:c r="P2287" s="24" t="str">
        <x:v>75</x:v>
      </x:c>
      <x:c r="Q2287" s="24"/>
      <x:c r="R2287" s="24"/>
      <x:c r="S2287" s="26" t="n">
        <x:v>46113</x:v>
      </x:c>
      <x:c r="T2287" s="26"/>
      <x:c r="U2287" s="24" t="str">
        <x:v>ATIVA/SEM FIM INFORMADO</x:v>
      </x:c>
      <x:c r="V2287" s="24" t="str">
        <x:v>Programa de Parcerias ZEISS</x:v>
      </x:c>
      <x:c r="W2287" s="24" t="n">
        <x:v>37</x:v>
      </x:c>
      <x:c r="X2287" s="24" t="str">
        <x:v>tabela_zeiss.pdf</x:v>
      </x:c>
      <x:c r="Y2287" s="24" t="str">
        <x:v>alta</x:v>
      </x:c>
      <x:c r="Z2287" s="24"/>
      <x:c r="AA2287" s="24" t="str">
        <x:v>ZEISS|Progressiva|Surfaçada|SmartLife Individual 3|PhotoFusion X Extra Dark Cinza|1.5|1.50|DuraVision Chrome UV|-6.00 a +5.50|-4.00|0.75 a 3.00|75|||37</x:v>
      </x:c>
    </x:row>
    <x:row r="2288">
      <x:c r="A2288" s="24" t="str">
        <x:v>ZS-591252CB97E2</x:v>
      </x:c>
      <x:c r="B2288" s="24" t="str">
        <x:v>SIM</x:v>
      </x:c>
      <x:c r="C2288" s="24" t="str">
        <x:v>DISPONÍVEL</x:v>
      </x:c>
      <x:c r="D2288" s="24" t="str">
        <x:v>ZEISS</x:v>
      </x:c>
      <x:c r="E2288" s="24" t="str">
        <x:v>Progressiva</x:v>
      </x:c>
      <x:c r="F2288" s="24" t="str">
        <x:v>Surfaçada</x:v>
      </x:c>
      <x:c r="G2288" s="24" t="str">
        <x:v>SmartLife Individual 3</x:v>
      </x:c>
      <x:c r="H2288" s="24" t="str">
        <x:v>PhotoFusion X Extra Dark Cinza</x:v>
      </x:c>
      <x:c r="I2288" s="24" t="str">
        <x:v>Poli</x:v>
      </x:c>
      <x:c r="J2288" s="24"/>
      <x:c r="K2288" s="24" t="str">
        <x:v>DuraVision Gold UV</x:v>
      </x:c>
      <x:c r="L2288" s="40" t="n">
        <x:v>13049</x:v>
      </x:c>
      <x:c r="M2288" s="24" t="str">
        <x:v>-10.00 a +6.00</x:v>
      </x:c>
      <x:c r="N2288" s="24" t="str">
        <x:v>-6.00</x:v>
      </x:c>
      <x:c r="O2288" s="24" t="str">
        <x:v>0.75 a 3.00</x:v>
      </x:c>
      <x:c r="P2288" s="24" t="str">
        <x:v>70</x:v>
      </x:c>
      <x:c r="Q2288" s="24"/>
      <x:c r="R2288" s="24"/>
      <x:c r="S2288" s="26" t="n">
        <x:v>46113</x:v>
      </x:c>
      <x:c r="T2288" s="26"/>
      <x:c r="U2288" s="24" t="str">
        <x:v>ATIVA/SEM FIM INFORMADO</x:v>
      </x:c>
      <x:c r="V2288" s="24" t="str">
        <x:v>Programa de Parcerias ZEISS</x:v>
      </x:c>
      <x:c r="W2288" s="24" t="n">
        <x:v>37</x:v>
      </x:c>
      <x:c r="X2288" s="24" t="str">
        <x:v>tabela_zeiss.pdf</x:v>
      </x:c>
      <x:c r="Y2288" s="24" t="str">
        <x:v>alta</x:v>
      </x:c>
      <x:c r="Z2288" s="24"/>
      <x:c r="AA2288" s="24" t="str">
        <x:v>ZEISS|Progressiva|Surfaçada|SmartLife Individual 3|PhotoFusion X Extra Dark Cinza|Poli||DuraVision Gold UV|-10.00 a +6.00|-6.00|0.75 a 3.00|70|||37</x:v>
      </x:c>
    </x:row>
    <x:row r="2289">
      <x:c r="A2289" s="24" t="str">
        <x:v>ZS-461E37C6DE19</x:v>
      </x:c>
      <x:c r="B2289" s="24" t="str">
        <x:v>SIM</x:v>
      </x:c>
      <x:c r="C2289" s="24" t="str">
        <x:v>DISPONÍVEL</x:v>
      </x:c>
      <x:c r="D2289" s="24" t="str">
        <x:v>ZEISS</x:v>
      </x:c>
      <x:c r="E2289" s="24" t="str">
        <x:v>Progressiva</x:v>
      </x:c>
      <x:c r="F2289" s="24" t="str">
        <x:v>Surfaçada</x:v>
      </x:c>
      <x:c r="G2289" s="24" t="str">
        <x:v>SmartLife Individual 3</x:v>
      </x:c>
      <x:c r="H2289" s="24" t="str">
        <x:v>PhotoFusion X Extra Dark Cinza</x:v>
      </x:c>
      <x:c r="I2289" s="24" t="str">
        <x:v>Poli</x:v>
      </x:c>
      <x:c r="J2289" s="24"/>
      <x:c r="K2289" s="24" t="str">
        <x:v>DuraVision Platinum UV</x:v>
      </x:c>
      <x:c r="L2289" s="40" t="n">
        <x:v>12909</x:v>
      </x:c>
      <x:c r="M2289" s="24" t="str">
        <x:v>-10.00 a +6.00</x:v>
      </x:c>
      <x:c r="N2289" s="24" t="str">
        <x:v>-6.00</x:v>
      </x:c>
      <x:c r="O2289" s="24" t="str">
        <x:v>0.75 a 3.00</x:v>
      </x:c>
      <x:c r="P2289" s="24" t="str">
        <x:v>70</x:v>
      </x:c>
      <x:c r="Q2289" s="24"/>
      <x:c r="R2289" s="24"/>
      <x:c r="S2289" s="26" t="n">
        <x:v>46113</x:v>
      </x:c>
      <x:c r="T2289" s="26"/>
      <x:c r="U2289" s="24" t="str">
        <x:v>ATIVA/SEM FIM INFORMADO</x:v>
      </x:c>
      <x:c r="V2289" s="24" t="str">
        <x:v>Programa de Parcerias ZEISS</x:v>
      </x:c>
      <x:c r="W2289" s="24" t="n">
        <x:v>37</x:v>
      </x:c>
      <x:c r="X2289" s="24" t="str">
        <x:v>tabela_zeiss.pdf</x:v>
      </x:c>
      <x:c r="Y2289" s="24" t="str">
        <x:v>alta</x:v>
      </x:c>
      <x:c r="Z2289" s="24"/>
      <x:c r="AA2289" s="24" t="str">
        <x:v>ZEISS|Progressiva|Surfaçada|SmartLife Individual 3|PhotoFusion X Extra Dark Cinza|Poli||DuraVision Platinum UV|-10.00 a +6.00|-6.00|0.75 a 3.00|70|||37</x:v>
      </x:c>
    </x:row>
    <x:row r="2290">
      <x:c r="A2290" s="24" t="str">
        <x:v>ZS-C2BDC58ACDFF</x:v>
      </x:c>
      <x:c r="B2290" s="24" t="str">
        <x:v>SIM</x:v>
      </x:c>
      <x:c r="C2290" s="24" t="str">
        <x:v>DISPONÍVEL</x:v>
      </x:c>
      <x:c r="D2290" s="24" t="str">
        <x:v>ZEISS</x:v>
      </x:c>
      <x:c r="E2290" s="24" t="str">
        <x:v>Progressiva</x:v>
      </x:c>
      <x:c r="F2290" s="24" t="str">
        <x:v>Surfaçada</x:v>
      </x:c>
      <x:c r="G2290" s="24" t="str">
        <x:v>SmartLife Individual 3</x:v>
      </x:c>
      <x:c r="H2290" s="24" t="str">
        <x:v>PhotoFusion X Extra Dark Cinza</x:v>
      </x:c>
      <x:c r="I2290" s="24" t="str">
        <x:v>Poli</x:v>
      </x:c>
      <x:c r="J2290" s="24"/>
      <x:c r="K2290" s="24" t="str">
        <x:v>DuraVision Silver UV</x:v>
      </x:c>
      <x:c r="L2290" s="40" t="n">
        <x:v>12649</x:v>
      </x:c>
      <x:c r="M2290" s="24" t="str">
        <x:v>-10.00 a +6.00</x:v>
      </x:c>
      <x:c r="N2290" s="24" t="str">
        <x:v>-6.00</x:v>
      </x:c>
      <x:c r="O2290" s="24" t="str">
        <x:v>0.75 a 3.00</x:v>
      </x:c>
      <x:c r="P2290" s="24" t="str">
        <x:v>70</x:v>
      </x:c>
      <x:c r="Q2290" s="24"/>
      <x:c r="R2290" s="24"/>
      <x:c r="S2290" s="26" t="n">
        <x:v>46113</x:v>
      </x:c>
      <x:c r="T2290" s="26"/>
      <x:c r="U2290" s="24" t="str">
        <x:v>ATIVA/SEM FIM INFORMADO</x:v>
      </x:c>
      <x:c r="V2290" s="24" t="str">
        <x:v>Programa de Parcerias ZEISS</x:v>
      </x:c>
      <x:c r="W2290" s="24" t="n">
        <x:v>37</x:v>
      </x:c>
      <x:c r="X2290" s="24" t="str">
        <x:v>tabela_zeiss.pdf</x:v>
      </x:c>
      <x:c r="Y2290" s="24" t="str">
        <x:v>alta</x:v>
      </x:c>
      <x:c r="Z2290" s="24"/>
      <x:c r="AA2290" s="24" t="str">
        <x:v>ZEISS|Progressiva|Surfaçada|SmartLife Individual 3|PhotoFusion X Extra Dark Cinza|Poli||DuraVision Silver UV|-10.00 a +6.00|-6.00|0.75 a 3.00|70|||37</x:v>
      </x:c>
    </x:row>
    <x:row r="2291">
      <x:c r="A2291" s="24" t="str">
        <x:v>ZS-4A64B801A577</x:v>
      </x:c>
      <x:c r="B2291" s="24" t="str">
        <x:v>SIM</x:v>
      </x:c>
      <x:c r="C2291" s="24" t="str">
        <x:v>DISPONÍVEL</x:v>
      </x:c>
      <x:c r="D2291" s="24" t="str">
        <x:v>ZEISS</x:v>
      </x:c>
      <x:c r="E2291" s="24" t="str">
        <x:v>Progressiva</x:v>
      </x:c>
      <x:c r="F2291" s="24" t="str">
        <x:v>Surfaçada</x:v>
      </x:c>
      <x:c r="G2291" s="24" t="str">
        <x:v>SmartLife Individual 3</x:v>
      </x:c>
      <x:c r="H2291" s="24" t="str">
        <x:v>PhotoFusion X Extra Dark Cinza</x:v>
      </x:c>
      <x:c r="I2291" s="24" t="str">
        <x:v>Poli</x:v>
      </x:c>
      <x:c r="J2291" s="24"/>
      <x:c r="K2291" s="24" t="str">
        <x:v>DuraVision Chrome UV</x:v>
      </x:c>
      <x:c r="L2291" s="40" t="n">
        <x:v>12159</x:v>
      </x:c>
      <x:c r="M2291" s="24" t="str">
        <x:v>-10.00 a +6.00</x:v>
      </x:c>
      <x:c r="N2291" s="24" t="str">
        <x:v>-6.00</x:v>
      </x:c>
      <x:c r="O2291" s="24" t="str">
        <x:v>0.75 a 3.00</x:v>
      </x:c>
      <x:c r="P2291" s="24" t="str">
        <x:v>70</x:v>
      </x:c>
      <x:c r="Q2291" s="24"/>
      <x:c r="R2291" s="24"/>
      <x:c r="S2291" s="26" t="n">
        <x:v>46113</x:v>
      </x:c>
      <x:c r="T2291" s="26"/>
      <x:c r="U2291" s="24" t="str">
        <x:v>ATIVA/SEM FIM INFORMADO</x:v>
      </x:c>
      <x:c r="V2291" s="24" t="str">
        <x:v>Programa de Parcerias ZEISS</x:v>
      </x:c>
      <x:c r="W2291" s="24" t="n">
        <x:v>37</x:v>
      </x:c>
      <x:c r="X2291" s="24" t="str">
        <x:v>tabela_zeiss.pdf</x:v>
      </x:c>
      <x:c r="Y2291" s="24" t="str">
        <x:v>alta</x:v>
      </x:c>
      <x:c r="Z2291" s="24"/>
      <x:c r="AA2291" s="24" t="str">
        <x:v>ZEISS|Progressiva|Surfaçada|SmartLife Individual 3|PhotoFusion X Extra Dark Cinza|Poli||DuraVision Chrome UV|-10.00 a +6.00|-6.00|0.75 a 3.00|70|||37</x:v>
      </x:c>
    </x:row>
    <x:row r="2292">
      <x:c r="A2292" s="24" t="str">
        <x:v>ZS-D8CFC262FC0C</x:v>
      </x:c>
      <x:c r="B2292" s="24" t="str">
        <x:v>SIM</x:v>
      </x:c>
      <x:c r="C2292" s="24" t="str">
        <x:v>DISPONÍVEL</x:v>
      </x:c>
      <x:c r="D2292" s="24" t="str">
        <x:v>ZEISS</x:v>
      </x:c>
      <x:c r="E2292" s="24" t="str">
        <x:v>Progressiva</x:v>
      </x:c>
      <x:c r="F2292" s="24" t="str">
        <x:v>Surfaçada</x:v>
      </x:c>
      <x:c r="G2292" s="24" t="str">
        <x:v>SmartLife Individual 3</x:v>
      </x:c>
      <x:c r="H2292" s="24" t="str">
        <x:v>PhotoFusion X Extra Dark Cinza</x:v>
      </x:c>
      <x:c r="I2292" s="24" t="str">
        <x:v>1.6</x:v>
      </x:c>
      <x:c r="J2292" s="24" t="str">
        <x:v>1.60</x:v>
      </x:c>
      <x:c r="K2292" s="24" t="str">
        <x:v>DuraVision Gold UV</x:v>
      </x:c>
      <x:c r="L2292" s="40" t="n">
        <x:v>13709</x:v>
      </x:c>
      <x:c r="M2292" s="24" t="str">
        <x:v>-7.25 a +6.00</x:v>
      </x:c>
      <x:c r="N2292" s="24" t="str">
        <x:v>-6.00</x:v>
      </x:c>
      <x:c r="O2292" s="24" t="str">
        <x:v>0.75 a 3.50</x:v>
      </x:c>
      <x:c r="P2292" s="24" t="str">
        <x:v>75</x:v>
      </x:c>
      <x:c r="Q2292" s="24"/>
      <x:c r="R2292" s="24"/>
      <x:c r="S2292" s="26" t="n">
        <x:v>46113</x:v>
      </x:c>
      <x:c r="T2292" s="26"/>
      <x:c r="U2292" s="24" t="str">
        <x:v>ATIVA/SEM FIM INFORMADO</x:v>
      </x:c>
      <x:c r="V2292" s="24" t="str">
        <x:v>Programa de Parcerias ZEISS</x:v>
      </x:c>
      <x:c r="W2292" s="24" t="n">
        <x:v>37</x:v>
      </x:c>
      <x:c r="X2292" s="24" t="str">
        <x:v>tabela_zeiss.pdf</x:v>
      </x:c>
      <x:c r="Y2292" s="24" t="str">
        <x:v>alta</x:v>
      </x:c>
      <x:c r="Z2292" s="24"/>
      <x:c r="AA2292" s="24" t="str">
        <x:v>ZEISS|Progressiva|Surfaçada|SmartLife Individual 3|PhotoFusion X Extra Dark Cinza|1.6|1.60|DuraVision Gold UV|-7.25 a +6.00|-6.00|0.75 a 3.50|75|||37</x:v>
      </x:c>
    </x:row>
    <x:row r="2293">
      <x:c r="A2293" s="24" t="str">
        <x:v>ZS-9FF89E114B66</x:v>
      </x:c>
      <x:c r="B2293" s="24" t="str">
        <x:v>SIM</x:v>
      </x:c>
      <x:c r="C2293" s="24" t="str">
        <x:v>DISPONÍVEL</x:v>
      </x:c>
      <x:c r="D2293" s="24" t="str">
        <x:v>ZEISS</x:v>
      </x:c>
      <x:c r="E2293" s="24" t="str">
        <x:v>Progressiva</x:v>
      </x:c>
      <x:c r="F2293" s="24" t="str">
        <x:v>Surfaçada</x:v>
      </x:c>
      <x:c r="G2293" s="24" t="str">
        <x:v>SmartLife Individual 3</x:v>
      </x:c>
      <x:c r="H2293" s="24" t="str">
        <x:v>PhotoFusion X Extra Dark Cinza</x:v>
      </x:c>
      <x:c r="I2293" s="24" t="str">
        <x:v>1.6</x:v>
      </x:c>
      <x:c r="J2293" s="24" t="str">
        <x:v>1.60</x:v>
      </x:c>
      <x:c r="K2293" s="24" t="str">
        <x:v>DURAVISION® ANTIVÍRUS PLATINUM UV</x:v>
      </x:c>
      <x:c r="L2293" s="40" t="n">
        <x:v>13569</x:v>
      </x:c>
      <x:c r="M2293" s="24" t="str">
        <x:v>-7.25 a +6.00</x:v>
      </x:c>
      <x:c r="N2293" s="24" t="str">
        <x:v>-6.00</x:v>
      </x:c>
      <x:c r="O2293" s="24" t="str">
        <x:v>0.75 a 3.50</x:v>
      </x:c>
      <x:c r="P2293" s="24" t="str">
        <x:v>75</x:v>
      </x:c>
      <x:c r="Q2293" s="24"/>
      <x:c r="R2293" s="24"/>
      <x:c r="S2293" s="26" t="n">
        <x:v>46113</x:v>
      </x:c>
      <x:c r="T2293" s="26"/>
      <x:c r="U2293" s="24" t="str">
        <x:v>ATIVA/SEM FIM INFORMADO</x:v>
      </x:c>
      <x:c r="V2293" s="24" t="str">
        <x:v>Programa de Parcerias ZEISS</x:v>
      </x:c>
      <x:c r="W2293" s="24" t="n">
        <x:v>37</x:v>
      </x:c>
      <x:c r="X2293" s="24" t="str">
        <x:v>tabela_zeiss.pdf</x:v>
      </x:c>
      <x:c r="Y2293" s="24" t="str">
        <x:v>alta</x:v>
      </x:c>
      <x:c r="Z2293" s="24"/>
      <x:c r="AA2293" s="24" t="str">
        <x:v>ZEISS|Progressiva|Surfaçada|SmartLife Individual 3|PhotoFusion X Extra Dark Cinza|1.6|1.60|DURAVISION® ANTIVÍRUS PLATINUM UV|-7.25 a +6.00|-6.00|0.75 a 3.50|75|||37</x:v>
      </x:c>
    </x:row>
    <x:row r="2294">
      <x:c r="A2294" s="24" t="str">
        <x:v>ZS-9C00023080F6</x:v>
      </x:c>
      <x:c r="B2294" s="24" t="str">
        <x:v>SIM</x:v>
      </x:c>
      <x:c r="C2294" s="24" t="str">
        <x:v>DISPONÍVEL</x:v>
      </x:c>
      <x:c r="D2294" s="24" t="str">
        <x:v>ZEISS</x:v>
      </x:c>
      <x:c r="E2294" s="24" t="str">
        <x:v>Progressiva</x:v>
      </x:c>
      <x:c r="F2294" s="24" t="str">
        <x:v>Surfaçada</x:v>
      </x:c>
      <x:c r="G2294" s="24" t="str">
        <x:v>SmartLife Individual 3</x:v>
      </x:c>
      <x:c r="H2294" s="24" t="str">
        <x:v>PhotoFusion X Extra Dark Cinza</x:v>
      </x:c>
      <x:c r="I2294" s="24" t="str">
        <x:v>1.6</x:v>
      </x:c>
      <x:c r="J2294" s="24" t="str">
        <x:v>1.60</x:v>
      </x:c>
      <x:c r="K2294" s="24" t="str">
        <x:v>DuraVision Platinum UV</x:v>
      </x:c>
      <x:c r="L2294" s="40" t="n">
        <x:v>13569</x:v>
      </x:c>
      <x:c r="M2294" s="24" t="str">
        <x:v>-7.25 a +6.00</x:v>
      </x:c>
      <x:c r="N2294" s="24" t="str">
        <x:v>-6.00</x:v>
      </x:c>
      <x:c r="O2294" s="24" t="str">
        <x:v>0.75 a 3.50</x:v>
      </x:c>
      <x:c r="P2294" s="24" t="str">
        <x:v>75</x:v>
      </x:c>
      <x:c r="Q2294" s="24"/>
      <x:c r="R2294" s="24"/>
      <x:c r="S2294" s="26" t="n">
        <x:v>46113</x:v>
      </x:c>
      <x:c r="T2294" s="26"/>
      <x:c r="U2294" s="24" t="str">
        <x:v>ATIVA/SEM FIM INFORMADO</x:v>
      </x:c>
      <x:c r="V2294" s="24" t="str">
        <x:v>Programa de Parcerias ZEISS</x:v>
      </x:c>
      <x:c r="W2294" s="24" t="n">
        <x:v>37</x:v>
      </x:c>
      <x:c r="X2294" s="24" t="str">
        <x:v>tabela_zeiss.pdf</x:v>
      </x:c>
      <x:c r="Y2294" s="24" t="str">
        <x:v>alta</x:v>
      </x:c>
      <x:c r="Z2294" s="24"/>
      <x:c r="AA2294" s="24" t="str">
        <x:v>ZEISS|Progressiva|Surfaçada|SmartLife Individual 3|PhotoFusion X Extra Dark Cinza|1.6|1.60|DuraVision Platinum UV|-7.25 a +6.00|-6.00|0.75 a 3.50|75|||37</x:v>
      </x:c>
    </x:row>
    <x:row r="2295">
      <x:c r="A2295" s="24" t="str">
        <x:v>ZS-61653107B13E</x:v>
      </x:c>
      <x:c r="B2295" s="24" t="str">
        <x:v>SIM</x:v>
      </x:c>
      <x:c r="C2295" s="24" t="str">
        <x:v>DISPONÍVEL</x:v>
      </x:c>
      <x:c r="D2295" s="24" t="str">
        <x:v>ZEISS</x:v>
      </x:c>
      <x:c r="E2295" s="24" t="str">
        <x:v>Progressiva</x:v>
      </x:c>
      <x:c r="F2295" s="24" t="str">
        <x:v>Surfaçada</x:v>
      </x:c>
      <x:c r="G2295" s="24" t="str">
        <x:v>SmartLife Individual 3</x:v>
      </x:c>
      <x:c r="H2295" s="24" t="str">
        <x:v>PhotoFusion X Extra Dark Cinza</x:v>
      </x:c>
      <x:c r="I2295" s="24" t="str">
        <x:v>1.6</x:v>
      </x:c>
      <x:c r="J2295" s="24" t="str">
        <x:v>1.60</x:v>
      </x:c>
      <x:c r="K2295" s="24" t="str">
        <x:v>DuraVision Silver UV</x:v>
      </x:c>
      <x:c r="L2295" s="40" t="n">
        <x:v>13309</x:v>
      </x:c>
      <x:c r="M2295" s="24" t="str">
        <x:v>-7.25 a +6.00</x:v>
      </x:c>
      <x:c r="N2295" s="24" t="str">
        <x:v>-6.00</x:v>
      </x:c>
      <x:c r="O2295" s="24" t="str">
        <x:v>0.75 a 3.50</x:v>
      </x:c>
      <x:c r="P2295" s="24" t="str">
        <x:v>75</x:v>
      </x:c>
      <x:c r="Q2295" s="24"/>
      <x:c r="R2295" s="24"/>
      <x:c r="S2295" s="26" t="n">
        <x:v>46113</x:v>
      </x:c>
      <x:c r="T2295" s="26"/>
      <x:c r="U2295" s="24" t="str">
        <x:v>ATIVA/SEM FIM INFORMADO</x:v>
      </x:c>
      <x:c r="V2295" s="24" t="str">
        <x:v>Programa de Parcerias ZEISS</x:v>
      </x:c>
      <x:c r="W2295" s="24" t="n">
        <x:v>37</x:v>
      </x:c>
      <x:c r="X2295" s="24" t="str">
        <x:v>tabela_zeiss.pdf</x:v>
      </x:c>
      <x:c r="Y2295" s="24" t="str">
        <x:v>alta</x:v>
      </x:c>
      <x:c r="Z2295" s="24"/>
      <x:c r="AA2295" s="24" t="str">
        <x:v>ZEISS|Progressiva|Surfaçada|SmartLife Individual 3|PhotoFusion X Extra Dark Cinza|1.6|1.60|DuraVision Silver UV|-7.25 a +6.00|-6.00|0.75 a 3.50|75|||37</x:v>
      </x:c>
    </x:row>
    <x:row r="2296">
      <x:c r="A2296" s="24" t="str">
        <x:v>ZS-AAF35329A801</x:v>
      </x:c>
      <x:c r="B2296" s="24" t="str">
        <x:v>SIM</x:v>
      </x:c>
      <x:c r="C2296" s="24" t="str">
        <x:v>DISPONÍVEL</x:v>
      </x:c>
      <x:c r="D2296" s="24" t="str">
        <x:v>ZEISS</x:v>
      </x:c>
      <x:c r="E2296" s="24" t="str">
        <x:v>Progressiva</x:v>
      </x:c>
      <x:c r="F2296" s="24" t="str">
        <x:v>Surfaçada</x:v>
      </x:c>
      <x:c r="G2296" s="24" t="str">
        <x:v>SmartLife Individual 3</x:v>
      </x:c>
      <x:c r="H2296" s="24" t="str">
        <x:v>PhotoFusion X Extra Dark Cinza</x:v>
      </x:c>
      <x:c r="I2296" s="24" t="str">
        <x:v>1.6</x:v>
      </x:c>
      <x:c r="J2296" s="24" t="str">
        <x:v>1.60</x:v>
      </x:c>
      <x:c r="K2296" s="24" t="str">
        <x:v>DuraVision Chrome UV</x:v>
      </x:c>
      <x:c r="L2296" s="40" t="n">
        <x:v>12819</x:v>
      </x:c>
      <x:c r="M2296" s="24" t="str">
        <x:v>-7.25 a +6.00</x:v>
      </x:c>
      <x:c r="N2296" s="24" t="str">
        <x:v>-6.00</x:v>
      </x:c>
      <x:c r="O2296" s="24" t="str">
        <x:v>0.75 a 3.50</x:v>
      </x:c>
      <x:c r="P2296" s="24" t="str">
        <x:v>75</x:v>
      </x:c>
      <x:c r="Q2296" s="24"/>
      <x:c r="R2296" s="24"/>
      <x:c r="S2296" s="26" t="n">
        <x:v>46113</x:v>
      </x:c>
      <x:c r="T2296" s="26"/>
      <x:c r="U2296" s="24" t="str">
        <x:v>ATIVA/SEM FIM INFORMADO</x:v>
      </x:c>
      <x:c r="V2296" s="24" t="str">
        <x:v>Programa de Parcerias ZEISS</x:v>
      </x:c>
      <x:c r="W2296" s="24" t="n">
        <x:v>37</x:v>
      </x:c>
      <x:c r="X2296" s="24" t="str">
        <x:v>tabela_zeiss.pdf</x:v>
      </x:c>
      <x:c r="Y2296" s="24" t="str">
        <x:v>alta</x:v>
      </x:c>
      <x:c r="Z2296" s="24"/>
      <x:c r="AA2296" s="24" t="str">
        <x:v>ZEISS|Progressiva|Surfaçada|SmartLife Individual 3|PhotoFusion X Extra Dark Cinza|1.6|1.60|DuraVision Chrome UV|-7.25 a +6.00|-6.00|0.75 a 3.50|75|||37</x:v>
      </x:c>
    </x:row>
    <x:row r="2297">
      <x:c r="A2297" s="24" t="str">
        <x:v>ZS-F75D8F221F03</x:v>
      </x:c>
      <x:c r="B2297" s="24" t="str">
        <x:v>SIM</x:v>
      </x:c>
      <x:c r="C2297" s="24" t="str">
        <x:v>DISPONÍVEL</x:v>
      </x:c>
      <x:c r="D2297" s="24" t="str">
        <x:v>ZEISS</x:v>
      </x:c>
      <x:c r="E2297" s="24" t="str">
        <x:v>Progressiva</x:v>
      </x:c>
      <x:c r="F2297" s="24" t="str">
        <x:v>Surfaçada</x:v>
      </x:c>
      <x:c r="G2297" s="24" t="str">
        <x:v>SmartLife Individual 3</x:v>
      </x:c>
      <x:c r="H2297" s="24" t="str">
        <x:v>PhotoFusion X Extra Dark Cinza</x:v>
      </x:c>
      <x:c r="I2297" s="24" t="str">
        <x:v>1.67</x:v>
      </x:c>
      <x:c r="J2297" s="24" t="str">
        <x:v>1.67</x:v>
      </x:c>
      <x:c r="K2297" s="24" t="str">
        <x:v>DuraVision Gold UV</x:v>
      </x:c>
      <x:c r="L2297" s="40" t="n">
        <x:v>15349</x:v>
      </x:c>
      <x:c r="M2297" s="24" t="str">
        <x:v>-8.00 a +8.00</x:v>
      </x:c>
      <x:c r="N2297" s="24" t="str">
        <x:v>-6.00</x:v>
      </x:c>
      <x:c r="O2297" s="24" t="str">
        <x:v>0.75 a 3.00</x:v>
      </x:c>
      <x:c r="P2297" s="24" t="str">
        <x:v>70</x:v>
      </x:c>
      <x:c r="Q2297" s="24"/>
      <x:c r="R2297" s="24"/>
      <x:c r="S2297" s="26" t="n">
        <x:v>46113</x:v>
      </x:c>
      <x:c r="T2297" s="26"/>
      <x:c r="U2297" s="24" t="str">
        <x:v>ATIVA/SEM FIM INFORMADO</x:v>
      </x:c>
      <x:c r="V2297" s="24" t="str">
        <x:v>Programa de Parcerias ZEISS</x:v>
      </x:c>
      <x:c r="W2297" s="24" t="n">
        <x:v>37</x:v>
      </x:c>
      <x:c r="X2297" s="24" t="str">
        <x:v>tabela_zeiss.pdf</x:v>
      </x:c>
      <x:c r="Y2297" s="24" t="str">
        <x:v>alta</x:v>
      </x:c>
      <x:c r="Z2297" s="24"/>
      <x:c r="AA2297" s="24" t="str">
        <x:v>ZEISS|Progressiva|Surfaçada|SmartLife Individual 3|PhotoFusion X Extra Dark Cinza|1.67|1.67|DuraVision Gold UV|-8.00 a +8.00|-6.00|0.75 a 3.00|70|||37</x:v>
      </x:c>
    </x:row>
    <x:row r="2298">
      <x:c r="A2298" s="24" t="str">
        <x:v>ZS-569D91068480</x:v>
      </x:c>
      <x:c r="B2298" s="24" t="str">
        <x:v>SIM</x:v>
      </x:c>
      <x:c r="C2298" s="24" t="str">
        <x:v>DISPONÍVEL</x:v>
      </x:c>
      <x:c r="D2298" s="24" t="str">
        <x:v>ZEISS</x:v>
      </x:c>
      <x:c r="E2298" s="24" t="str">
        <x:v>Progressiva</x:v>
      </x:c>
      <x:c r="F2298" s="24" t="str">
        <x:v>Surfaçada</x:v>
      </x:c>
      <x:c r="G2298" s="24" t="str">
        <x:v>SmartLife Individual 3</x:v>
      </x:c>
      <x:c r="H2298" s="24" t="str">
        <x:v>PhotoFusion X Extra Dark Cinza</x:v>
      </x:c>
      <x:c r="I2298" s="24" t="str">
        <x:v>1.67</x:v>
      </x:c>
      <x:c r="J2298" s="24" t="str">
        <x:v>1.67</x:v>
      </x:c>
      <x:c r="K2298" s="24" t="str">
        <x:v>DURAVISION® ANTIVÍRUS PLATINUM UV</x:v>
      </x:c>
      <x:c r="L2298" s="40" t="n">
        <x:v>15209</x:v>
      </x:c>
      <x:c r="M2298" s="24" t="str">
        <x:v>-8.00 a +8.00</x:v>
      </x:c>
      <x:c r="N2298" s="24" t="str">
        <x:v>-6.00</x:v>
      </x:c>
      <x:c r="O2298" s="24" t="str">
        <x:v>0.75 a 3.00</x:v>
      </x:c>
      <x:c r="P2298" s="24" t="str">
        <x:v>70</x:v>
      </x:c>
      <x:c r="Q2298" s="24"/>
      <x:c r="R2298" s="24"/>
      <x:c r="S2298" s="26" t="n">
        <x:v>46113</x:v>
      </x:c>
      <x:c r="T2298" s="26"/>
      <x:c r="U2298" s="24" t="str">
        <x:v>ATIVA/SEM FIM INFORMADO</x:v>
      </x:c>
      <x:c r="V2298" s="24" t="str">
        <x:v>Programa de Parcerias ZEISS</x:v>
      </x:c>
      <x:c r="W2298" s="24" t="n">
        <x:v>37</x:v>
      </x:c>
      <x:c r="X2298" s="24" t="str">
        <x:v>tabela_zeiss.pdf</x:v>
      </x:c>
      <x:c r="Y2298" s="24" t="str">
        <x:v>alta</x:v>
      </x:c>
      <x:c r="Z2298" s="24"/>
      <x:c r="AA2298" s="24" t="str">
        <x:v>ZEISS|Progressiva|Surfaçada|SmartLife Individual 3|PhotoFusion X Extra Dark Cinza|1.67|1.67|DURAVISION® ANTIVÍRUS PLATINUM UV|-8.00 a +8.00|-6.00|0.75 a 3.00|70|||37</x:v>
      </x:c>
    </x:row>
    <x:row r="2299">
      <x:c r="A2299" s="24" t="str">
        <x:v>ZS-E7DB60980034</x:v>
      </x:c>
      <x:c r="B2299" s="24" t="str">
        <x:v>SIM</x:v>
      </x:c>
      <x:c r="C2299" s="24" t="str">
        <x:v>DISPONÍVEL</x:v>
      </x:c>
      <x:c r="D2299" s="24" t="str">
        <x:v>ZEISS</x:v>
      </x:c>
      <x:c r="E2299" s="24" t="str">
        <x:v>Progressiva</x:v>
      </x:c>
      <x:c r="F2299" s="24" t="str">
        <x:v>Surfaçada</x:v>
      </x:c>
      <x:c r="G2299" s="24" t="str">
        <x:v>SmartLife Individual 3</x:v>
      </x:c>
      <x:c r="H2299" s="24" t="str">
        <x:v>PhotoFusion X Extra Dark Cinza</x:v>
      </x:c>
      <x:c r="I2299" s="24" t="str">
        <x:v>1.67</x:v>
      </x:c>
      <x:c r="J2299" s="24" t="str">
        <x:v>1.67</x:v>
      </x:c>
      <x:c r="K2299" s="24" t="str">
        <x:v>DuraVision Platinum UV</x:v>
      </x:c>
      <x:c r="L2299" s="40" t="n">
        <x:v>15209</x:v>
      </x:c>
      <x:c r="M2299" s="24" t="str">
        <x:v>-8.00 a +8.00</x:v>
      </x:c>
      <x:c r="N2299" s="24" t="str">
        <x:v>-6.00</x:v>
      </x:c>
      <x:c r="O2299" s="24" t="str">
        <x:v>0.75 a 3.00</x:v>
      </x:c>
      <x:c r="P2299" s="24" t="str">
        <x:v>70</x:v>
      </x:c>
      <x:c r="Q2299" s="24"/>
      <x:c r="R2299" s="24"/>
      <x:c r="S2299" s="26" t="n">
        <x:v>46113</x:v>
      </x:c>
      <x:c r="T2299" s="26"/>
      <x:c r="U2299" s="24" t="str">
        <x:v>ATIVA/SEM FIM INFORMADO</x:v>
      </x:c>
      <x:c r="V2299" s="24" t="str">
        <x:v>Programa de Parcerias ZEISS</x:v>
      </x:c>
      <x:c r="W2299" s="24" t="n">
        <x:v>37</x:v>
      </x:c>
      <x:c r="X2299" s="24" t="str">
        <x:v>tabela_zeiss.pdf</x:v>
      </x:c>
      <x:c r="Y2299" s="24" t="str">
        <x:v>alta</x:v>
      </x:c>
      <x:c r="Z2299" s="24"/>
      <x:c r="AA2299" s="24" t="str">
        <x:v>ZEISS|Progressiva|Surfaçada|SmartLife Individual 3|PhotoFusion X Extra Dark Cinza|1.67|1.67|DuraVision Platinum UV|-8.00 a +8.00|-6.00|0.75 a 3.00|70|||37</x:v>
      </x:c>
    </x:row>
    <x:row r="2300">
      <x:c r="A2300" s="24" t="str">
        <x:v>ZS-7C8BA81EA8EB</x:v>
      </x:c>
      <x:c r="B2300" s="24" t="str">
        <x:v>SIM</x:v>
      </x:c>
      <x:c r="C2300" s="24" t="str">
        <x:v>DISPONÍVEL</x:v>
      </x:c>
      <x:c r="D2300" s="24" t="str">
        <x:v>ZEISS</x:v>
      </x:c>
      <x:c r="E2300" s="24" t="str">
        <x:v>Progressiva</x:v>
      </x:c>
      <x:c r="F2300" s="24" t="str">
        <x:v>Surfaçada</x:v>
      </x:c>
      <x:c r="G2300" s="24" t="str">
        <x:v>SmartLife Individual 3</x:v>
      </x:c>
      <x:c r="H2300" s="24" t="str">
        <x:v>PhotoFusion X Extra Dark Cinza</x:v>
      </x:c>
      <x:c r="I2300" s="24" t="str">
        <x:v>1.67</x:v>
      </x:c>
      <x:c r="J2300" s="24" t="str">
        <x:v>1.67</x:v>
      </x:c>
      <x:c r="K2300" s="24" t="str">
        <x:v>DuraVision Silver UV</x:v>
      </x:c>
      <x:c r="L2300" s="40" t="n">
        <x:v>14949</x:v>
      </x:c>
      <x:c r="M2300" s="24" t="str">
        <x:v>-8.00 a +8.00</x:v>
      </x:c>
      <x:c r="N2300" s="24" t="str">
        <x:v>-6.00</x:v>
      </x:c>
      <x:c r="O2300" s="24" t="str">
        <x:v>0.75 a 3.00</x:v>
      </x:c>
      <x:c r="P2300" s="24" t="str">
        <x:v>70</x:v>
      </x:c>
      <x:c r="Q2300" s="24"/>
      <x:c r="R2300" s="24"/>
      <x:c r="S2300" s="26" t="n">
        <x:v>46113</x:v>
      </x:c>
      <x:c r="T2300" s="26"/>
      <x:c r="U2300" s="24" t="str">
        <x:v>ATIVA/SEM FIM INFORMADO</x:v>
      </x:c>
      <x:c r="V2300" s="24" t="str">
        <x:v>Programa de Parcerias ZEISS</x:v>
      </x:c>
      <x:c r="W2300" s="24" t="n">
        <x:v>37</x:v>
      </x:c>
      <x:c r="X2300" s="24" t="str">
        <x:v>tabela_zeiss.pdf</x:v>
      </x:c>
      <x:c r="Y2300" s="24" t="str">
        <x:v>alta</x:v>
      </x:c>
      <x:c r="Z2300" s="24"/>
      <x:c r="AA2300" s="24" t="str">
        <x:v>ZEISS|Progressiva|Surfaçada|SmartLife Individual 3|PhotoFusion X Extra Dark Cinza|1.67|1.67|DuraVision Silver UV|-8.00 a +8.00|-6.00|0.75 a 3.00|70|||37</x:v>
      </x:c>
    </x:row>
    <x:row r="2301">
      <x:c r="A2301" s="24" t="str">
        <x:v>ZS-C5E3A4E3589C</x:v>
      </x:c>
      <x:c r="B2301" s="24" t="str">
        <x:v>SIM</x:v>
      </x:c>
      <x:c r="C2301" s="24" t="str">
        <x:v>DISPONÍVEL</x:v>
      </x:c>
      <x:c r="D2301" s="24" t="str">
        <x:v>ZEISS</x:v>
      </x:c>
      <x:c r="E2301" s="24" t="str">
        <x:v>Progressiva</x:v>
      </x:c>
      <x:c r="F2301" s="24" t="str">
        <x:v>Surfaçada</x:v>
      </x:c>
      <x:c r="G2301" s="24" t="str">
        <x:v>SmartLife Individual 3</x:v>
      </x:c>
      <x:c r="H2301" s="24" t="str">
        <x:v>PhotoFusion X Extra Dark Cinza</x:v>
      </x:c>
      <x:c r="I2301" s="24" t="str">
        <x:v>1.67</x:v>
      </x:c>
      <x:c r="J2301" s="24" t="str">
        <x:v>1.67</x:v>
      </x:c>
      <x:c r="K2301" s="24" t="str">
        <x:v>DuraVision Chrome UV</x:v>
      </x:c>
      <x:c r="L2301" s="40" t="n">
        <x:v>14459</x:v>
      </x:c>
      <x:c r="M2301" s="24" t="str">
        <x:v>-8.00 a +8.00</x:v>
      </x:c>
      <x:c r="N2301" s="24" t="str">
        <x:v>-6.00</x:v>
      </x:c>
      <x:c r="O2301" s="24" t="str">
        <x:v>0.75 a 3.00</x:v>
      </x:c>
      <x:c r="P2301" s="24" t="str">
        <x:v>70</x:v>
      </x:c>
      <x:c r="Q2301" s="24"/>
      <x:c r="R2301" s="24"/>
      <x:c r="S2301" s="26" t="n">
        <x:v>46113</x:v>
      </x:c>
      <x:c r="T2301" s="26"/>
      <x:c r="U2301" s="24" t="str">
        <x:v>ATIVA/SEM FIM INFORMADO</x:v>
      </x:c>
      <x:c r="V2301" s="24" t="str">
        <x:v>Programa de Parcerias ZEISS</x:v>
      </x:c>
      <x:c r="W2301" s="24" t="n">
        <x:v>37</x:v>
      </x:c>
      <x:c r="X2301" s="24" t="str">
        <x:v>tabela_zeiss.pdf</x:v>
      </x:c>
      <x:c r="Y2301" s="24" t="str">
        <x:v>alta</x:v>
      </x:c>
      <x:c r="Z2301" s="24"/>
      <x:c r="AA2301" s="24" t="str">
        <x:v>ZEISS|Progressiva|Surfaçada|SmartLife Individual 3|PhotoFusion X Extra Dark Cinza|1.67|1.67|DuraVision Chrome UV|-8.00 a +8.00|-6.00|0.75 a 3.00|70|||37</x:v>
      </x:c>
    </x:row>
    <x:row r="2302">
      <x:c r="A2302" s="24" t="str">
        <x:v>ZS-6FEE0AD76B12</x:v>
      </x:c>
      <x:c r="B2302" s="24" t="str">
        <x:v>SIM</x:v>
      </x:c>
      <x:c r="C2302" s="24" t="str">
        <x:v>DISPONÍVEL</x:v>
      </x:c>
      <x:c r="D2302" s="24" t="str">
        <x:v>ZEISS</x:v>
      </x:c>
      <x:c r="E2302" s="24" t="str">
        <x:v>Progressiva</x:v>
      </x:c>
      <x:c r="F2302" s="24" t="str">
        <x:v>Surfaçada</x:v>
      </x:c>
      <x:c r="G2302" s="24" t="str">
        <x:v>SmartLife Individual 3</x:v>
      </x:c>
      <x:c r="H2302" s="24" t="str">
        <x:v>Polarizada</x:v>
      </x:c>
      <x:c r="I2302" s="24" t="str">
        <x:v>1.5</x:v>
      </x:c>
      <x:c r="J2302" s="24" t="str">
        <x:v>1.50</x:v>
      </x:c>
      <x:c r="K2302" s="24" t="str">
        <x:v>DuraVision Gold UV</x:v>
      </x:c>
      <x:c r="L2302" s="40" t="n">
        <x:v>11829</x:v>
      </x:c>
      <x:c r="M2302" s="24" t="str">
        <x:v>-6.00 a +6.00</x:v>
      </x:c>
      <x:c r="N2302" s="24" t="str">
        <x:v>-4.00</x:v>
      </x:c>
      <x:c r="O2302" s="24" t="str">
        <x:v>0.75 a 3.50</x:v>
      </x:c>
      <x:c r="P2302" s="24" t="str">
        <x:v>70</x:v>
      </x:c>
      <x:c r="Q2302" s="24"/>
      <x:c r="R2302" s="24"/>
      <x:c r="S2302" s="26" t="n">
        <x:v>46113</x:v>
      </x:c>
      <x:c r="T2302" s="26"/>
      <x:c r="U2302" s="24" t="str">
        <x:v>ATIVA/SEM FIM INFORMADO</x:v>
      </x:c>
      <x:c r="V2302" s="24"/>
      <x:c r="W2302" s="24" t="n">
        <x:v>37</x:v>
      </x:c>
      <x:c r="X2302" s="24" t="str">
        <x:v>tabela_zeiss.pdf</x:v>
      </x:c>
      <x:c r="Y2302" s="24" t="str">
        <x:v>alta</x:v>
      </x:c>
      <x:c r="Z2302" s="24"/>
      <x:c r="AA2302" s="24" t="str">
        <x:v>ZEISS|Progressiva|Surfaçada|SmartLife Individual 3|Polarizada|1.5|1.50|DuraVision Gold UV|-6.00 a +6.00|-4.00|0.75 a 3.50|70|||37</x:v>
      </x:c>
    </x:row>
    <x:row r="2303">
      <x:c r="A2303" s="24" t="str">
        <x:v>ZS-5AFA9F7FC4F1</x:v>
      </x:c>
      <x:c r="B2303" s="24" t="str">
        <x:v>SIM</x:v>
      </x:c>
      <x:c r="C2303" s="24" t="str">
        <x:v>DISPONÍVEL</x:v>
      </x:c>
      <x:c r="D2303" s="24" t="str">
        <x:v>ZEISS</x:v>
      </x:c>
      <x:c r="E2303" s="24" t="str">
        <x:v>Progressiva</x:v>
      </x:c>
      <x:c r="F2303" s="24" t="str">
        <x:v>Surfaçada</x:v>
      </x:c>
      <x:c r="G2303" s="24" t="str">
        <x:v>SmartLife Individual 3</x:v>
      </x:c>
      <x:c r="H2303" s="24" t="str">
        <x:v>Polarizada</x:v>
      </x:c>
      <x:c r="I2303" s="24" t="str">
        <x:v>1.5</x:v>
      </x:c>
      <x:c r="J2303" s="24" t="str">
        <x:v>1.50</x:v>
      </x:c>
      <x:c r="K2303" s="24" t="str">
        <x:v>DuraVision Platinum UV</x:v>
      </x:c>
      <x:c r="L2303" s="40" t="n">
        <x:v>11689</x:v>
      </x:c>
      <x:c r="M2303" s="24" t="str">
        <x:v>-6.00 a +6.00</x:v>
      </x:c>
      <x:c r="N2303" s="24" t="str">
        <x:v>-4.00</x:v>
      </x:c>
      <x:c r="O2303" s="24" t="str">
        <x:v>0.75 a 3.50</x:v>
      </x:c>
      <x:c r="P2303" s="24" t="str">
        <x:v>70</x:v>
      </x:c>
      <x:c r="Q2303" s="24"/>
      <x:c r="R2303" s="24"/>
      <x:c r="S2303" s="26" t="n">
        <x:v>46113</x:v>
      </x:c>
      <x:c r="T2303" s="26"/>
      <x:c r="U2303" s="24" t="str">
        <x:v>ATIVA/SEM FIM INFORMADO</x:v>
      </x:c>
      <x:c r="V2303" s="24"/>
      <x:c r="W2303" s="24" t="n">
        <x:v>37</x:v>
      </x:c>
      <x:c r="X2303" s="24" t="str">
        <x:v>tabela_zeiss.pdf</x:v>
      </x:c>
      <x:c r="Y2303" s="24" t="str">
        <x:v>alta</x:v>
      </x:c>
      <x:c r="Z2303" s="24"/>
      <x:c r="AA2303" s="24" t="str">
        <x:v>ZEISS|Progressiva|Surfaçada|SmartLife Individual 3|Polarizada|1.5|1.50|DuraVision Platinum UV|-6.00 a +6.00|-4.00|0.75 a 3.50|70|||37</x:v>
      </x:c>
    </x:row>
    <x:row r="2304">
      <x:c r="A2304" s="24" t="str">
        <x:v>ZS-8E0A0BD2C539</x:v>
      </x:c>
      <x:c r="B2304" s="24" t="str">
        <x:v>SIM</x:v>
      </x:c>
      <x:c r="C2304" s="24" t="str">
        <x:v>DISPONÍVEL</x:v>
      </x:c>
      <x:c r="D2304" s="24" t="str">
        <x:v>ZEISS</x:v>
      </x:c>
      <x:c r="E2304" s="24" t="str">
        <x:v>Progressiva</x:v>
      </x:c>
      <x:c r="F2304" s="24" t="str">
        <x:v>Surfaçada</x:v>
      </x:c>
      <x:c r="G2304" s="24" t="str">
        <x:v>SmartLife Individual 3</x:v>
      </x:c>
      <x:c r="H2304" s="24" t="str">
        <x:v>Polarizada</x:v>
      </x:c>
      <x:c r="I2304" s="24" t="str">
        <x:v>1.5</x:v>
      </x:c>
      <x:c r="J2304" s="24" t="str">
        <x:v>1.50</x:v>
      </x:c>
      <x:c r="K2304" s="24" t="str">
        <x:v>DuraVision Silver UV</x:v>
      </x:c>
      <x:c r="L2304" s="40" t="n">
        <x:v>11429</x:v>
      </x:c>
      <x:c r="M2304" s="24" t="str">
        <x:v>-6.00 a +6.00</x:v>
      </x:c>
      <x:c r="N2304" s="24" t="str">
        <x:v>-4.00</x:v>
      </x:c>
      <x:c r="O2304" s="24" t="str">
        <x:v>0.75 a 3.50</x:v>
      </x:c>
      <x:c r="P2304" s="24" t="str">
        <x:v>70</x:v>
      </x:c>
      <x:c r="Q2304" s="24"/>
      <x:c r="R2304" s="24"/>
      <x:c r="S2304" s="26" t="n">
        <x:v>46113</x:v>
      </x:c>
      <x:c r="T2304" s="26"/>
      <x:c r="U2304" s="24" t="str">
        <x:v>ATIVA/SEM FIM INFORMADO</x:v>
      </x:c>
      <x:c r="V2304" s="24"/>
      <x:c r="W2304" s="24" t="n">
        <x:v>37</x:v>
      </x:c>
      <x:c r="X2304" s="24" t="str">
        <x:v>tabela_zeiss.pdf</x:v>
      </x:c>
      <x:c r="Y2304" s="24" t="str">
        <x:v>alta</x:v>
      </x:c>
      <x:c r="Z2304" s="24"/>
      <x:c r="AA2304" s="24" t="str">
        <x:v>ZEISS|Progressiva|Surfaçada|SmartLife Individual 3|Polarizada|1.5|1.50|DuraVision Silver UV|-6.00 a +6.00|-4.00|0.75 a 3.50|70|||37</x:v>
      </x:c>
    </x:row>
    <x:row r="2305">
      <x:c r="A2305" s="24" t="str">
        <x:v>ZS-1C97E44F26E4</x:v>
      </x:c>
      <x:c r="B2305" s="24" t="str">
        <x:v>SIM</x:v>
      </x:c>
      <x:c r="C2305" s="24" t="str">
        <x:v>DISPONÍVEL</x:v>
      </x:c>
      <x:c r="D2305" s="24" t="str">
        <x:v>ZEISS</x:v>
      </x:c>
      <x:c r="E2305" s="24" t="str">
        <x:v>Progressiva</x:v>
      </x:c>
      <x:c r="F2305" s="24" t="str">
        <x:v>Surfaçada</x:v>
      </x:c>
      <x:c r="G2305" s="24" t="str">
        <x:v>SmartLife Individual 3</x:v>
      </x:c>
      <x:c r="H2305" s="24" t="str">
        <x:v>Polarizada</x:v>
      </x:c>
      <x:c r="I2305" s="24" t="str">
        <x:v>1.5</x:v>
      </x:c>
      <x:c r="J2305" s="24" t="str">
        <x:v>1.50</x:v>
      </x:c>
      <x:c r="K2305" s="24" t="str">
        <x:v>DuraVision Chrome UV</x:v>
      </x:c>
      <x:c r="L2305" s="40" t="n">
        <x:v>10939</x:v>
      </x:c>
      <x:c r="M2305" s="24" t="str">
        <x:v>-6.00 a +6.00</x:v>
      </x:c>
      <x:c r="N2305" s="24" t="str">
        <x:v>-4.00</x:v>
      </x:c>
      <x:c r="O2305" s="24" t="str">
        <x:v>0.75 a 3.50</x:v>
      </x:c>
      <x:c r="P2305" s="24" t="str">
        <x:v>70</x:v>
      </x:c>
      <x:c r="Q2305" s="24"/>
      <x:c r="R2305" s="24"/>
      <x:c r="S2305" s="26" t="n">
        <x:v>46113</x:v>
      </x:c>
      <x:c r="T2305" s="26"/>
      <x:c r="U2305" s="24" t="str">
        <x:v>ATIVA/SEM FIM INFORMADO</x:v>
      </x:c>
      <x:c r="V2305" s="24"/>
      <x:c r="W2305" s="24" t="n">
        <x:v>37</x:v>
      </x:c>
      <x:c r="X2305" s="24" t="str">
        <x:v>tabela_zeiss.pdf</x:v>
      </x:c>
      <x:c r="Y2305" s="24" t="str">
        <x:v>alta</x:v>
      </x:c>
      <x:c r="Z2305" s="24"/>
      <x:c r="AA2305" s="24" t="str">
        <x:v>ZEISS|Progressiva|Surfaçada|SmartLife Individual 3|Polarizada|1.5|1.50|DuraVision Chrome UV|-6.00 a +6.00|-4.00|0.75 a 3.50|70|||37</x:v>
      </x:c>
    </x:row>
    <x:row r="2306">
      <x:c r="A2306" s="24" t="str">
        <x:v>ZS-932877930BBE</x:v>
      </x:c>
      <x:c r="B2306" s="24" t="str">
        <x:v>SIM</x:v>
      </x:c>
      <x:c r="C2306" s="24" t="str">
        <x:v>DISPONÍVEL</x:v>
      </x:c>
      <x:c r="D2306" s="24" t="str">
        <x:v>ZEISS</x:v>
      </x:c>
      <x:c r="E2306" s="24" t="str">
        <x:v>Progressiva</x:v>
      </x:c>
      <x:c r="F2306" s="24" t="str">
        <x:v>Surfaçada</x:v>
      </x:c>
      <x:c r="G2306" s="24" t="str">
        <x:v>SmartLife Individual 3</x:v>
      </x:c>
      <x:c r="H2306" s="24" t="str">
        <x:v>Polarizada</x:v>
      </x:c>
      <x:c r="I2306" s="24" t="str">
        <x:v>1.5</x:v>
      </x:c>
      <x:c r="J2306" s="24" t="str">
        <x:v>1.50</x:v>
      </x:c>
      <x:c r="K2306" s="24" t="str">
        <x:v>Sem AR</x:v>
      </x:c>
      <x:c r="L2306" s="40" t="n">
        <x:v>10539</x:v>
      </x:c>
      <x:c r="M2306" s="24" t="str">
        <x:v>-6.00 a +6.00</x:v>
      </x:c>
      <x:c r="N2306" s="24" t="str">
        <x:v>-4.00</x:v>
      </x:c>
      <x:c r="O2306" s="24" t="str">
        <x:v>0.75 a 3.50</x:v>
      </x:c>
      <x:c r="P2306" s="24" t="str">
        <x:v>70</x:v>
      </x:c>
      <x:c r="Q2306" s="24"/>
      <x:c r="R2306" s="24"/>
      <x:c r="S2306" s="26" t="n">
        <x:v>46113</x:v>
      </x:c>
      <x:c r="T2306" s="26"/>
      <x:c r="U2306" s="24" t="str">
        <x:v>ATIVA/SEM FIM INFORMADO</x:v>
      </x:c>
      <x:c r="V2306" s="24"/>
      <x:c r="W2306" s="24" t="n">
        <x:v>37</x:v>
      </x:c>
      <x:c r="X2306" s="24" t="str">
        <x:v>tabela_zeiss.pdf</x:v>
      </x:c>
      <x:c r="Y2306" s="24" t="str">
        <x:v>alta</x:v>
      </x:c>
      <x:c r="Z2306" s="24"/>
      <x:c r="AA2306" s="24" t="str">
        <x:v>ZEISS|Progressiva|Surfaçada|SmartLife Individual 3|Polarizada|1.5|1.50|Sem AR|-6.00 a +6.00|-4.00|0.75 a 3.50|70|||37</x:v>
      </x:c>
    </x:row>
    <x:row r="2307">
      <x:c r="A2307" s="24" t="str">
        <x:v>ZS-3BC170481567</x:v>
      </x:c>
      <x:c r="B2307" s="24" t="str">
        <x:v>SIM</x:v>
      </x:c>
      <x:c r="C2307" s="24" t="str">
        <x:v>DISPONÍVEL</x:v>
      </x:c>
      <x:c r="D2307" s="24" t="str">
        <x:v>ZEISS</x:v>
      </x:c>
      <x:c r="E2307" s="24" t="str">
        <x:v>Progressiva</x:v>
      </x:c>
      <x:c r="F2307" s="24" t="str">
        <x:v>Surfaçada</x:v>
      </x:c>
      <x:c r="G2307" s="24" t="str">
        <x:v>SmartLife Individual 3</x:v>
      </x:c>
      <x:c r="H2307" s="24" t="str">
        <x:v>Polarizada</x:v>
      </x:c>
      <x:c r="I2307" s="24" t="str">
        <x:v>1.6</x:v>
      </x:c>
      <x:c r="J2307" s="24" t="str">
        <x:v>1.60</x:v>
      </x:c>
      <x:c r="K2307" s="24" t="str">
        <x:v>DuraVision Gold UV</x:v>
      </x:c>
      <x:c r="L2307" s="40" t="n">
        <x:v>13079</x:v>
      </x:c>
      <x:c r="M2307" s="24" t="str">
        <x:v>-8.50 a +6.00</x:v>
      </x:c>
      <x:c r="N2307" s="24" t="str">
        <x:v>-4.00</x:v>
      </x:c>
      <x:c r="O2307" s="24" t="str">
        <x:v>0.75 a 3.50</x:v>
      </x:c>
      <x:c r="P2307" s="24" t="str">
        <x:v>70</x:v>
      </x:c>
      <x:c r="Q2307" s="24"/>
      <x:c r="R2307" s="24"/>
      <x:c r="S2307" s="26" t="n">
        <x:v>46113</x:v>
      </x:c>
      <x:c r="T2307" s="26"/>
      <x:c r="U2307" s="24" t="str">
        <x:v>ATIVA/SEM FIM INFORMADO</x:v>
      </x:c>
      <x:c r="V2307" s="24"/>
      <x:c r="W2307" s="24" t="n">
        <x:v>37</x:v>
      </x:c>
      <x:c r="X2307" s="24" t="str">
        <x:v>tabela_zeiss.pdf</x:v>
      </x:c>
      <x:c r="Y2307" s="24" t="str">
        <x:v>alta</x:v>
      </x:c>
      <x:c r="Z2307" s="24"/>
      <x:c r="AA2307" s="24" t="str">
        <x:v>ZEISS|Progressiva|Surfaçada|SmartLife Individual 3|Polarizada|1.6|1.60|DuraVision Gold UV|-8.50 a +6.00|-4.00|0.75 a 3.50|70|||37</x:v>
      </x:c>
    </x:row>
    <x:row r="2308">
      <x:c r="A2308" s="24" t="str">
        <x:v>ZS-ECAD24B667CD</x:v>
      </x:c>
      <x:c r="B2308" s="24" t="str">
        <x:v>SIM</x:v>
      </x:c>
      <x:c r="C2308" s="24" t="str">
        <x:v>DISPONÍVEL</x:v>
      </x:c>
      <x:c r="D2308" s="24" t="str">
        <x:v>ZEISS</x:v>
      </x:c>
      <x:c r="E2308" s="24" t="str">
        <x:v>Progressiva</x:v>
      </x:c>
      <x:c r="F2308" s="24" t="str">
        <x:v>Surfaçada</x:v>
      </x:c>
      <x:c r="G2308" s="24" t="str">
        <x:v>SmartLife Individual 3</x:v>
      </x:c>
      <x:c r="H2308" s="24" t="str">
        <x:v>Polarizada</x:v>
      </x:c>
      <x:c r="I2308" s="24" t="str">
        <x:v>1.6</x:v>
      </x:c>
      <x:c r="J2308" s="24" t="str">
        <x:v>1.60</x:v>
      </x:c>
      <x:c r="K2308" s="24" t="str">
        <x:v>DuraVision Platinum UV</x:v>
      </x:c>
      <x:c r="L2308" s="40" t="n">
        <x:v>12939</x:v>
      </x:c>
      <x:c r="M2308" s="24" t="str">
        <x:v>-8.50 a +6.00</x:v>
      </x:c>
      <x:c r="N2308" s="24" t="str">
        <x:v>-4.00</x:v>
      </x:c>
      <x:c r="O2308" s="24" t="str">
        <x:v>0.75 a 3.50</x:v>
      </x:c>
      <x:c r="P2308" s="24" t="str">
        <x:v>70</x:v>
      </x:c>
      <x:c r="Q2308" s="24"/>
      <x:c r="R2308" s="24"/>
      <x:c r="S2308" s="26" t="n">
        <x:v>46113</x:v>
      </x:c>
      <x:c r="T2308" s="26"/>
      <x:c r="U2308" s="24" t="str">
        <x:v>ATIVA/SEM FIM INFORMADO</x:v>
      </x:c>
      <x:c r="V2308" s="24"/>
      <x:c r="W2308" s="24" t="n">
        <x:v>37</x:v>
      </x:c>
      <x:c r="X2308" s="24" t="str">
        <x:v>tabela_zeiss.pdf</x:v>
      </x:c>
      <x:c r="Y2308" s="24" t="str">
        <x:v>alta</x:v>
      </x:c>
      <x:c r="Z2308" s="24"/>
      <x:c r="AA2308" s="24" t="str">
        <x:v>ZEISS|Progressiva|Surfaçada|SmartLife Individual 3|Polarizada|1.6|1.60|DuraVision Platinum UV|-8.50 a +6.00|-4.00|0.75 a 3.50|70|||37</x:v>
      </x:c>
    </x:row>
    <x:row r="2309">
      <x:c r="A2309" s="24" t="str">
        <x:v>ZS-BD60D3E855B4</x:v>
      </x:c>
      <x:c r="B2309" s="24" t="str">
        <x:v>SIM</x:v>
      </x:c>
      <x:c r="C2309" s="24" t="str">
        <x:v>DISPONÍVEL</x:v>
      </x:c>
      <x:c r="D2309" s="24" t="str">
        <x:v>ZEISS</x:v>
      </x:c>
      <x:c r="E2309" s="24" t="str">
        <x:v>Progressiva</x:v>
      </x:c>
      <x:c r="F2309" s="24" t="str">
        <x:v>Surfaçada</x:v>
      </x:c>
      <x:c r="G2309" s="24" t="str">
        <x:v>SmartLife Individual 3</x:v>
      </x:c>
      <x:c r="H2309" s="24" t="str">
        <x:v>Polarizada</x:v>
      </x:c>
      <x:c r="I2309" s="24" t="str">
        <x:v>1.6</x:v>
      </x:c>
      <x:c r="J2309" s="24" t="str">
        <x:v>1.60</x:v>
      </x:c>
      <x:c r="K2309" s="24" t="str">
        <x:v>DuraVision Silver UV</x:v>
      </x:c>
      <x:c r="L2309" s="40" t="n">
        <x:v>12679</x:v>
      </x:c>
      <x:c r="M2309" s="24" t="str">
        <x:v>-8.50 a +6.00</x:v>
      </x:c>
      <x:c r="N2309" s="24" t="str">
        <x:v>-4.00</x:v>
      </x:c>
      <x:c r="O2309" s="24" t="str">
        <x:v>0.75 a 3.50</x:v>
      </x:c>
      <x:c r="P2309" s="24" t="str">
        <x:v>70</x:v>
      </x:c>
      <x:c r="Q2309" s="24"/>
      <x:c r="R2309" s="24"/>
      <x:c r="S2309" s="26" t="n">
        <x:v>46113</x:v>
      </x:c>
      <x:c r="T2309" s="26"/>
      <x:c r="U2309" s="24" t="str">
        <x:v>ATIVA/SEM FIM INFORMADO</x:v>
      </x:c>
      <x:c r="V2309" s="24"/>
      <x:c r="W2309" s="24" t="n">
        <x:v>37</x:v>
      </x:c>
      <x:c r="X2309" s="24" t="str">
        <x:v>tabela_zeiss.pdf</x:v>
      </x:c>
      <x:c r="Y2309" s="24" t="str">
        <x:v>alta</x:v>
      </x:c>
      <x:c r="Z2309" s="24"/>
      <x:c r="AA2309" s="24" t="str">
        <x:v>ZEISS|Progressiva|Surfaçada|SmartLife Individual 3|Polarizada|1.6|1.60|DuraVision Silver UV|-8.50 a +6.00|-4.00|0.75 a 3.50|70|||37</x:v>
      </x:c>
    </x:row>
    <x:row r="2310">
      <x:c r="A2310" s="24" t="str">
        <x:v>ZS-FF9BF06FD1D7</x:v>
      </x:c>
      <x:c r="B2310" s="24" t="str">
        <x:v>SIM</x:v>
      </x:c>
      <x:c r="C2310" s="24" t="str">
        <x:v>DISPONÍVEL</x:v>
      </x:c>
      <x:c r="D2310" s="24" t="str">
        <x:v>ZEISS</x:v>
      </x:c>
      <x:c r="E2310" s="24" t="str">
        <x:v>Progressiva</x:v>
      </x:c>
      <x:c r="F2310" s="24" t="str">
        <x:v>Surfaçada</x:v>
      </x:c>
      <x:c r="G2310" s="24" t="str">
        <x:v>SmartLife Individual 3</x:v>
      </x:c>
      <x:c r="H2310" s="24" t="str">
        <x:v>Polarizada</x:v>
      </x:c>
      <x:c r="I2310" s="24" t="str">
        <x:v>1.6</x:v>
      </x:c>
      <x:c r="J2310" s="24" t="str">
        <x:v>1.60</x:v>
      </x:c>
      <x:c r="K2310" s="24" t="str">
        <x:v>DuraVision Chrome UV</x:v>
      </x:c>
      <x:c r="L2310" s="40" t="n">
        <x:v>12189</x:v>
      </x:c>
      <x:c r="M2310" s="24" t="str">
        <x:v>-8.50 a +6.00</x:v>
      </x:c>
      <x:c r="N2310" s="24" t="str">
        <x:v>-4.00</x:v>
      </x:c>
      <x:c r="O2310" s="24" t="str">
        <x:v>0.75 a 3.50</x:v>
      </x:c>
      <x:c r="P2310" s="24" t="str">
        <x:v>70</x:v>
      </x:c>
      <x:c r="Q2310" s="24"/>
      <x:c r="R2310" s="24"/>
      <x:c r="S2310" s="26" t="n">
        <x:v>46113</x:v>
      </x:c>
      <x:c r="T2310" s="26"/>
      <x:c r="U2310" s="24" t="str">
        <x:v>ATIVA/SEM FIM INFORMADO</x:v>
      </x:c>
      <x:c r="V2310" s="24"/>
      <x:c r="W2310" s="24" t="n">
        <x:v>37</x:v>
      </x:c>
      <x:c r="X2310" s="24" t="str">
        <x:v>tabela_zeiss.pdf</x:v>
      </x:c>
      <x:c r="Y2310" s="24" t="str">
        <x:v>alta</x:v>
      </x:c>
      <x:c r="Z2310" s="24"/>
      <x:c r="AA2310" s="24" t="str">
        <x:v>ZEISS|Progressiva|Surfaçada|SmartLife Individual 3|Polarizada|1.6|1.60|DuraVision Chrome UV|-8.50 a +6.00|-4.00|0.75 a 3.50|70|||37</x:v>
      </x:c>
    </x:row>
    <x:row r="2311">
      <x:c r="A2311" s="24" t="str">
        <x:v>ZS-F4B124FE3480</x:v>
      </x:c>
      <x:c r="B2311" s="24" t="str">
        <x:v>SIM</x:v>
      </x:c>
      <x:c r="C2311" s="24" t="str">
        <x:v>DISPONÍVEL</x:v>
      </x:c>
      <x:c r="D2311" s="24" t="str">
        <x:v>ZEISS</x:v>
      </x:c>
      <x:c r="E2311" s="24" t="str">
        <x:v>Progressiva</x:v>
      </x:c>
      <x:c r="F2311" s="24" t="str">
        <x:v>Surfaçada</x:v>
      </x:c>
      <x:c r="G2311" s="24" t="str">
        <x:v>SmartLife Individual 3</x:v>
      </x:c>
      <x:c r="H2311" s="24" t="str">
        <x:v>Polarizada</x:v>
      </x:c>
      <x:c r="I2311" s="24" t="str">
        <x:v>1.6</x:v>
      </x:c>
      <x:c r="J2311" s="24" t="str">
        <x:v>1.60</x:v>
      </x:c>
      <x:c r="K2311" s="24" t="str">
        <x:v>Sem AR</x:v>
      </x:c>
      <x:c r="L2311" s="40" t="n">
        <x:v>11789</x:v>
      </x:c>
      <x:c r="M2311" s="24" t="str">
        <x:v>-8.50 a +6.00</x:v>
      </x:c>
      <x:c r="N2311" s="24" t="str">
        <x:v>-4.00</x:v>
      </x:c>
      <x:c r="O2311" s="24" t="str">
        <x:v>0.75 a 3.50</x:v>
      </x:c>
      <x:c r="P2311" s="24" t="str">
        <x:v>70</x:v>
      </x:c>
      <x:c r="Q2311" s="24"/>
      <x:c r="R2311" s="24"/>
      <x:c r="S2311" s="26" t="n">
        <x:v>46113</x:v>
      </x:c>
      <x:c r="T2311" s="26"/>
      <x:c r="U2311" s="24" t="str">
        <x:v>ATIVA/SEM FIM INFORMADO</x:v>
      </x:c>
      <x:c r="V2311" s="24"/>
      <x:c r="W2311" s="24" t="n">
        <x:v>37</x:v>
      </x:c>
      <x:c r="X2311" s="24" t="str">
        <x:v>tabela_zeiss.pdf</x:v>
      </x:c>
      <x:c r="Y2311" s="24" t="str">
        <x:v>alta</x:v>
      </x:c>
      <x:c r="Z2311" s="24"/>
      <x:c r="AA2311" s="24" t="str">
        <x:v>ZEISS|Progressiva|Surfaçada|SmartLife Individual 3|Polarizada|1.6|1.60|Sem AR|-8.50 a +6.00|-4.00|0.75 a 3.50|70|||37</x:v>
      </x:c>
    </x:row>
    <x:row r="2312">
      <x:c r="A2312" s="24" t="str">
        <x:v>ZS-1C3B34A6EFD2</x:v>
      </x:c>
      <x:c r="B2312" s="24" t="str">
        <x:v>SIM</x:v>
      </x:c>
      <x:c r="C2312" s="24" t="str">
        <x:v>DISPONÍVEL</x:v>
      </x:c>
      <x:c r="D2312" s="24" t="str">
        <x:v>ZEISS</x:v>
      </x:c>
      <x:c r="E2312" s="24" t="str">
        <x:v>Progressiva</x:v>
      </x:c>
      <x:c r="F2312" s="24" t="str">
        <x:v>Surfaçada</x:v>
      </x:c>
      <x:c r="G2312" s="24" t="str">
        <x:v>SmartLife Superb</x:v>
      </x:c>
      <x:c r="H2312" s="24"/>
      <x:c r="I2312" s="24" t="str">
        <x:v>1.5</x:v>
      </x:c>
      <x:c r="J2312" s="24" t="str">
        <x:v>1.50</x:v>
      </x:c>
      <x:c r="K2312" s="24" t="str">
        <x:v>DuraVision Gold UV</x:v>
      </x:c>
      <x:c r="L2312" s="40" t="n">
        <x:v>7280</x:v>
      </x:c>
      <x:c r="M2312" s="24" t="str">
        <x:v>-6.00 a +4.00</x:v>
      </x:c>
      <x:c r="N2312" s="24" t="str">
        <x:v>-4.00</x:v>
      </x:c>
      <x:c r="O2312" s="24" t="str">
        <x:v>0.75 a 3.50</x:v>
      </x:c>
      <x:c r="P2312" s="24" t="str">
        <x:v>75</x:v>
      </x:c>
      <x:c r="Q2312" s="24"/>
      <x:c r="R2312" s="24"/>
      <x:c r="S2312" s="26" t="n">
        <x:v>46113</x:v>
      </x:c>
      <x:c r="T2312" s="26"/>
      <x:c r="U2312" s="24" t="str">
        <x:v>ATIVA/SEM FIM INFORMADO</x:v>
      </x:c>
      <x:c r="V2312" s="24"/>
      <x:c r="W2312" s="24" t="n">
        <x:v>38</x:v>
      </x:c>
      <x:c r="X2312" s="24" t="str">
        <x:v>tabela_zeiss.pdf</x:v>
      </x:c>
      <x:c r="Y2312" s="24" t="str">
        <x:v>alta</x:v>
      </x:c>
      <x:c r="Z2312" s="24"/>
      <x:c r="AA2312" s="24" t="str">
        <x:v>ZEISS|Progressiva|Surfaçada|SmartLife Superb||1.5|1.50|DuraVision Gold UV|-6.00 a +4.00|-4.00|0.75 a 3.50|75|||38</x:v>
      </x:c>
    </x:row>
    <x:row r="2313">
      <x:c r="A2313" s="24" t="str">
        <x:v>ZS-6C9169F9CF71</x:v>
      </x:c>
      <x:c r="B2313" s="24" t="str">
        <x:v>SIM</x:v>
      </x:c>
      <x:c r="C2313" s="24" t="str">
        <x:v>DISPONÍVEL</x:v>
      </x:c>
      <x:c r="D2313" s="24" t="str">
        <x:v>ZEISS</x:v>
      </x:c>
      <x:c r="E2313" s="24" t="str">
        <x:v>Progressiva</x:v>
      </x:c>
      <x:c r="F2313" s="24" t="str">
        <x:v>Surfaçada</x:v>
      </x:c>
      <x:c r="G2313" s="24" t="str">
        <x:v>SmartLife Superb</x:v>
      </x:c>
      <x:c r="H2313" s="24"/>
      <x:c r="I2313" s="24" t="str">
        <x:v>1.5</x:v>
      </x:c>
      <x:c r="J2313" s="24" t="str">
        <x:v>1.50</x:v>
      </x:c>
      <x:c r="K2313" s="24" t="str">
        <x:v>DURAVISION® ANTIVÍRUS PLATINUM UV</x:v>
      </x:c>
      <x:c r="L2313" s="40" t="n">
        <x:v>7140</x:v>
      </x:c>
      <x:c r="M2313" s="24" t="str">
        <x:v>-6.00 a +4.00</x:v>
      </x:c>
      <x:c r="N2313" s="24" t="str">
        <x:v>-4.00</x:v>
      </x:c>
      <x:c r="O2313" s="24" t="str">
        <x:v>0.75 a 3.50</x:v>
      </x:c>
      <x:c r="P2313" s="24" t="str">
        <x:v>75</x:v>
      </x:c>
      <x:c r="Q2313" s="24"/>
      <x:c r="R2313" s="24"/>
      <x:c r="S2313" s="26" t="n">
        <x:v>46113</x:v>
      </x:c>
      <x:c r="T2313" s="26"/>
      <x:c r="U2313" s="24" t="str">
        <x:v>ATIVA/SEM FIM INFORMADO</x:v>
      </x:c>
      <x:c r="V2313" s="24"/>
      <x:c r="W2313" s="24" t="n">
        <x:v>38</x:v>
      </x:c>
      <x:c r="X2313" s="24" t="str">
        <x:v>tabela_zeiss.pdf</x:v>
      </x:c>
      <x:c r="Y2313" s="24" t="str">
        <x:v>alta</x:v>
      </x:c>
      <x:c r="Z2313" s="24"/>
      <x:c r="AA2313" s="24" t="str">
        <x:v>ZEISS|Progressiva|Surfaçada|SmartLife Superb||1.5|1.50|DURAVISION® ANTIVÍRUS PLATINUM UV|-6.00 a +4.00|-4.00|0.75 a 3.50|75|||38</x:v>
      </x:c>
    </x:row>
    <x:row r="2314">
      <x:c r="A2314" s="24" t="str">
        <x:v>ZS-1893F41E9EB7</x:v>
      </x:c>
      <x:c r="B2314" s="24" t="str">
        <x:v>SIM</x:v>
      </x:c>
      <x:c r="C2314" s="24" t="str">
        <x:v>DISPONÍVEL</x:v>
      </x:c>
      <x:c r="D2314" s="24" t="str">
        <x:v>ZEISS</x:v>
      </x:c>
      <x:c r="E2314" s="24" t="str">
        <x:v>Progressiva</x:v>
      </x:c>
      <x:c r="F2314" s="24" t="str">
        <x:v>Surfaçada</x:v>
      </x:c>
      <x:c r="G2314" s="24" t="str">
        <x:v>SmartLife Superb</x:v>
      </x:c>
      <x:c r="H2314" s="24"/>
      <x:c r="I2314" s="24" t="str">
        <x:v>1.5</x:v>
      </x:c>
      <x:c r="J2314" s="24" t="str">
        <x:v>1.50</x:v>
      </x:c>
      <x:c r="K2314" s="24" t="str">
        <x:v>DuraVision Platinum UV</x:v>
      </x:c>
      <x:c r="L2314" s="40" t="n">
        <x:v>7140</x:v>
      </x:c>
      <x:c r="M2314" s="24" t="str">
        <x:v>-6.00 a +4.00</x:v>
      </x:c>
      <x:c r="N2314" s="24" t="str">
        <x:v>-4.00</x:v>
      </x:c>
      <x:c r="O2314" s="24" t="str">
        <x:v>0.75 a 3.50</x:v>
      </x:c>
      <x:c r="P2314" s="24" t="str">
        <x:v>75</x:v>
      </x:c>
      <x:c r="Q2314" s="24"/>
      <x:c r="R2314" s="24"/>
      <x:c r="S2314" s="26" t="n">
        <x:v>46113</x:v>
      </x:c>
      <x:c r="T2314" s="26"/>
      <x:c r="U2314" s="24" t="str">
        <x:v>ATIVA/SEM FIM INFORMADO</x:v>
      </x:c>
      <x:c r="V2314" s="24"/>
      <x:c r="W2314" s="24" t="n">
        <x:v>38</x:v>
      </x:c>
      <x:c r="X2314" s="24" t="str">
        <x:v>tabela_zeiss.pdf</x:v>
      </x:c>
      <x:c r="Y2314" s="24" t="str">
        <x:v>alta</x:v>
      </x:c>
      <x:c r="Z2314" s="24"/>
      <x:c r="AA2314" s="24" t="str">
        <x:v>ZEISS|Progressiva|Surfaçada|SmartLife Superb||1.5|1.50|DuraVision Platinum UV|-6.00 a +4.00|-4.00|0.75 a 3.50|75|||38</x:v>
      </x:c>
    </x:row>
    <x:row r="2315">
      <x:c r="A2315" s="24" t="str">
        <x:v>ZS-F52C1D482CE8</x:v>
      </x:c>
      <x:c r="B2315" s="24" t="str">
        <x:v>SIM</x:v>
      </x:c>
      <x:c r="C2315" s="24" t="str">
        <x:v>DISPONÍVEL</x:v>
      </x:c>
      <x:c r="D2315" s="24" t="str">
        <x:v>ZEISS</x:v>
      </x:c>
      <x:c r="E2315" s="24" t="str">
        <x:v>Progressiva</x:v>
      </x:c>
      <x:c r="F2315" s="24" t="str">
        <x:v>Surfaçada</x:v>
      </x:c>
      <x:c r="G2315" s="24" t="str">
        <x:v>SmartLife Superb</x:v>
      </x:c>
      <x:c r="H2315" s="24"/>
      <x:c r="I2315" s="24" t="str">
        <x:v>1.5</x:v>
      </x:c>
      <x:c r="J2315" s="24" t="str">
        <x:v>1.50</x:v>
      </x:c>
      <x:c r="K2315" s="24" t="str">
        <x:v>DuraVision Silver UV</x:v>
      </x:c>
      <x:c r="L2315" s="40" t="n">
        <x:v>6880</x:v>
      </x:c>
      <x:c r="M2315" s="24" t="str">
        <x:v>-6.00 a +4.00</x:v>
      </x:c>
      <x:c r="N2315" s="24" t="str">
        <x:v>-4.00</x:v>
      </x:c>
      <x:c r="O2315" s="24" t="str">
        <x:v>0.75 a 3.50</x:v>
      </x:c>
      <x:c r="P2315" s="24" t="str">
        <x:v>75</x:v>
      </x:c>
      <x:c r="Q2315" s="24"/>
      <x:c r="R2315" s="24"/>
      <x:c r="S2315" s="26" t="n">
        <x:v>46113</x:v>
      </x:c>
      <x:c r="T2315" s="26"/>
      <x:c r="U2315" s="24" t="str">
        <x:v>ATIVA/SEM FIM INFORMADO</x:v>
      </x:c>
      <x:c r="V2315" s="24"/>
      <x:c r="W2315" s="24" t="n">
        <x:v>38</x:v>
      </x:c>
      <x:c r="X2315" s="24" t="str">
        <x:v>tabela_zeiss.pdf</x:v>
      </x:c>
      <x:c r="Y2315" s="24" t="str">
        <x:v>alta</x:v>
      </x:c>
      <x:c r="Z2315" s="24"/>
      <x:c r="AA2315" s="24" t="str">
        <x:v>ZEISS|Progressiva|Surfaçada|SmartLife Superb||1.5|1.50|DuraVision Silver UV|-6.00 a +4.00|-4.00|0.75 a 3.50|75|||38</x:v>
      </x:c>
    </x:row>
    <x:row r="2316">
      <x:c r="A2316" s="24" t="str">
        <x:v>ZS-4A63423A1600</x:v>
      </x:c>
      <x:c r="B2316" s="24" t="str">
        <x:v>SIM</x:v>
      </x:c>
      <x:c r="C2316" s="24" t="str">
        <x:v>DISPONÍVEL</x:v>
      </x:c>
      <x:c r="D2316" s="24" t="str">
        <x:v>ZEISS</x:v>
      </x:c>
      <x:c r="E2316" s="24" t="str">
        <x:v>Progressiva</x:v>
      </x:c>
      <x:c r="F2316" s="24" t="str">
        <x:v>Surfaçada</x:v>
      </x:c>
      <x:c r="G2316" s="24" t="str">
        <x:v>SmartLife Superb</x:v>
      </x:c>
      <x:c r="H2316" s="24"/>
      <x:c r="I2316" s="24" t="str">
        <x:v>1.5</x:v>
      </x:c>
      <x:c r="J2316" s="24" t="str">
        <x:v>1.50</x:v>
      </x:c>
      <x:c r="K2316" s="24" t="str">
        <x:v>DuraVision Chrome UV</x:v>
      </x:c>
      <x:c r="L2316" s="40" t="n">
        <x:v>6390</x:v>
      </x:c>
      <x:c r="M2316" s="24" t="str">
        <x:v>-6.00 a +4.00</x:v>
      </x:c>
      <x:c r="N2316" s="24" t="str">
        <x:v>-4.00</x:v>
      </x:c>
      <x:c r="O2316" s="24" t="str">
        <x:v>0.75 a 3.50</x:v>
      </x:c>
      <x:c r="P2316" s="24" t="str">
        <x:v>75</x:v>
      </x:c>
      <x:c r="Q2316" s="24"/>
      <x:c r="R2316" s="24"/>
      <x:c r="S2316" s="26" t="n">
        <x:v>46113</x:v>
      </x:c>
      <x:c r="T2316" s="26"/>
      <x:c r="U2316" s="24" t="str">
        <x:v>ATIVA/SEM FIM INFORMADO</x:v>
      </x:c>
      <x:c r="V2316" s="24"/>
      <x:c r="W2316" s="24" t="n">
        <x:v>38</x:v>
      </x:c>
      <x:c r="X2316" s="24" t="str">
        <x:v>tabela_zeiss.pdf</x:v>
      </x:c>
      <x:c r="Y2316" s="24" t="str">
        <x:v>alta</x:v>
      </x:c>
      <x:c r="Z2316" s="24"/>
      <x:c r="AA2316" s="24" t="str">
        <x:v>ZEISS|Progressiva|Surfaçada|SmartLife Superb||1.5|1.50|DuraVision Chrome UV|-6.00 a +4.00|-4.00|0.75 a 3.50|75|||38</x:v>
      </x:c>
    </x:row>
    <x:row r="2317">
      <x:c r="A2317" s="24" t="str">
        <x:v>ZS-9EC227658F8A</x:v>
      </x:c>
      <x:c r="B2317" s="24" t="str">
        <x:v>SIM</x:v>
      </x:c>
      <x:c r="C2317" s="24" t="str">
        <x:v>DISPONÍVEL</x:v>
      </x:c>
      <x:c r="D2317" s="24" t="str">
        <x:v>ZEISS</x:v>
      </x:c>
      <x:c r="E2317" s="24" t="str">
        <x:v>Progressiva</x:v>
      </x:c>
      <x:c r="F2317" s="24" t="str">
        <x:v>Surfaçada</x:v>
      </x:c>
      <x:c r="G2317" s="24" t="str">
        <x:v>SmartLife Superb</x:v>
      </x:c>
      <x:c r="H2317" s="24"/>
      <x:c r="I2317" s="24" t="str">
        <x:v>Poli</x:v>
      </x:c>
      <x:c r="J2317" s="24"/>
      <x:c r="K2317" s="24" t="str">
        <x:v>DuraVision Gold UV</x:v>
      </x:c>
      <x:c r="L2317" s="40" t="n">
        <x:v>7870</x:v>
      </x:c>
      <x:c r="M2317" s="24" t="str">
        <x:v>-10.00 a +6.00</x:v>
      </x:c>
      <x:c r="N2317" s="24" t="str">
        <x:v>-6.00</x:v>
      </x:c>
      <x:c r="O2317" s="24" t="str">
        <x:v>0.75 a 3.00</x:v>
      </x:c>
      <x:c r="P2317" s="24" t="str">
        <x:v>70</x:v>
      </x:c>
      <x:c r="Q2317" s="24"/>
      <x:c r="R2317" s="24"/>
      <x:c r="S2317" s="26" t="n">
        <x:v>46113</x:v>
      </x:c>
      <x:c r="T2317" s="26"/>
      <x:c r="U2317" s="24" t="str">
        <x:v>ATIVA/SEM FIM INFORMADO</x:v>
      </x:c>
      <x:c r="V2317" s="24"/>
      <x:c r="W2317" s="24" t="n">
        <x:v>38</x:v>
      </x:c>
      <x:c r="X2317" s="24" t="str">
        <x:v>tabela_zeiss.pdf</x:v>
      </x:c>
      <x:c r="Y2317" s="24" t="str">
        <x:v>alta</x:v>
      </x:c>
      <x:c r="Z2317" s="24"/>
      <x:c r="AA2317" s="24" t="str">
        <x:v>ZEISS|Progressiva|Surfaçada|SmartLife Superb||Poli||DuraVision Gold UV|-10.00 a +6.00|-6.00|0.75 a 3.00|70|||38</x:v>
      </x:c>
    </x:row>
    <x:row r="2318">
      <x:c r="A2318" s="24" t="str">
        <x:v>ZS-24AA87EE347D</x:v>
      </x:c>
      <x:c r="B2318" s="24" t="str">
        <x:v>SIM</x:v>
      </x:c>
      <x:c r="C2318" s="24" t="str">
        <x:v>DISPONÍVEL</x:v>
      </x:c>
      <x:c r="D2318" s="24" t="str">
        <x:v>ZEISS</x:v>
      </x:c>
      <x:c r="E2318" s="24" t="str">
        <x:v>Progressiva</x:v>
      </x:c>
      <x:c r="F2318" s="24" t="str">
        <x:v>Surfaçada</x:v>
      </x:c>
      <x:c r="G2318" s="24" t="str">
        <x:v>SmartLife Superb</x:v>
      </x:c>
      <x:c r="H2318" s="24"/>
      <x:c r="I2318" s="24" t="str">
        <x:v>Poli</x:v>
      </x:c>
      <x:c r="J2318" s="24"/>
      <x:c r="K2318" s="24" t="str">
        <x:v>DuraVision Platinum UV</x:v>
      </x:c>
      <x:c r="L2318" s="40" t="n">
        <x:v>7730</x:v>
      </x:c>
      <x:c r="M2318" s="24" t="str">
        <x:v>-10.00 a +6.00</x:v>
      </x:c>
      <x:c r="N2318" s="24" t="str">
        <x:v>-6.00</x:v>
      </x:c>
      <x:c r="O2318" s="24" t="str">
        <x:v>0.75 a 3.00</x:v>
      </x:c>
      <x:c r="P2318" s="24" t="str">
        <x:v>70</x:v>
      </x:c>
      <x:c r="Q2318" s="24"/>
      <x:c r="R2318" s="24"/>
      <x:c r="S2318" s="26" t="n">
        <x:v>46113</x:v>
      </x:c>
      <x:c r="T2318" s="26"/>
      <x:c r="U2318" s="24" t="str">
        <x:v>ATIVA/SEM FIM INFORMADO</x:v>
      </x:c>
      <x:c r="V2318" s="24"/>
      <x:c r="W2318" s="24" t="n">
        <x:v>38</x:v>
      </x:c>
      <x:c r="X2318" s="24" t="str">
        <x:v>tabela_zeiss.pdf</x:v>
      </x:c>
      <x:c r="Y2318" s="24" t="str">
        <x:v>alta</x:v>
      </x:c>
      <x:c r="Z2318" s="24"/>
      <x:c r="AA2318" s="24" t="str">
        <x:v>ZEISS|Progressiva|Surfaçada|SmartLife Superb||Poli||DuraVision Platinum UV|-10.00 a +6.00|-6.00|0.75 a 3.00|70|||38</x:v>
      </x:c>
    </x:row>
    <x:row r="2319">
      <x:c r="A2319" s="24" t="str">
        <x:v>ZS-DAD369EC8EB3</x:v>
      </x:c>
      <x:c r="B2319" s="24" t="str">
        <x:v>SIM</x:v>
      </x:c>
      <x:c r="C2319" s="24" t="str">
        <x:v>DISPONÍVEL</x:v>
      </x:c>
      <x:c r="D2319" s="24" t="str">
        <x:v>ZEISS</x:v>
      </x:c>
      <x:c r="E2319" s="24" t="str">
        <x:v>Progressiva</x:v>
      </x:c>
      <x:c r="F2319" s="24" t="str">
        <x:v>Surfaçada</x:v>
      </x:c>
      <x:c r="G2319" s="24" t="str">
        <x:v>SmartLife Superb</x:v>
      </x:c>
      <x:c r="H2319" s="24"/>
      <x:c r="I2319" s="24" t="str">
        <x:v>Poli</x:v>
      </x:c>
      <x:c r="J2319" s="24"/>
      <x:c r="K2319" s="24" t="str">
        <x:v>DuraVision Silver UV</x:v>
      </x:c>
      <x:c r="L2319" s="40" t="n">
        <x:v>7470</x:v>
      </x:c>
      <x:c r="M2319" s="24" t="str">
        <x:v>-10.00 a +6.00</x:v>
      </x:c>
      <x:c r="N2319" s="24" t="str">
        <x:v>-6.00</x:v>
      </x:c>
      <x:c r="O2319" s="24" t="str">
        <x:v>0.75 a 3.00</x:v>
      </x:c>
      <x:c r="P2319" s="24" t="str">
        <x:v>70</x:v>
      </x:c>
      <x:c r="Q2319" s="24"/>
      <x:c r="R2319" s="24"/>
      <x:c r="S2319" s="26" t="n">
        <x:v>46113</x:v>
      </x:c>
      <x:c r="T2319" s="26"/>
      <x:c r="U2319" s="24" t="str">
        <x:v>ATIVA/SEM FIM INFORMADO</x:v>
      </x:c>
      <x:c r="V2319" s="24"/>
      <x:c r="W2319" s="24" t="n">
        <x:v>38</x:v>
      </x:c>
      <x:c r="X2319" s="24" t="str">
        <x:v>tabela_zeiss.pdf</x:v>
      </x:c>
      <x:c r="Y2319" s="24" t="str">
        <x:v>alta</x:v>
      </x:c>
      <x:c r="Z2319" s="24"/>
      <x:c r="AA2319" s="24" t="str">
        <x:v>ZEISS|Progressiva|Surfaçada|SmartLife Superb||Poli||DuraVision Silver UV|-10.00 a +6.00|-6.00|0.75 a 3.00|70|||38</x:v>
      </x:c>
    </x:row>
    <x:row r="2320">
      <x:c r="A2320" s="24" t="str">
        <x:v>ZS-864DFBCA971D</x:v>
      </x:c>
      <x:c r="B2320" s="24" t="str">
        <x:v>SIM</x:v>
      </x:c>
      <x:c r="C2320" s="24" t="str">
        <x:v>DISPONÍVEL</x:v>
      </x:c>
      <x:c r="D2320" s="24" t="str">
        <x:v>ZEISS</x:v>
      </x:c>
      <x:c r="E2320" s="24" t="str">
        <x:v>Progressiva</x:v>
      </x:c>
      <x:c r="F2320" s="24" t="str">
        <x:v>Surfaçada</x:v>
      </x:c>
      <x:c r="G2320" s="24" t="str">
        <x:v>SmartLife Superb</x:v>
      </x:c>
      <x:c r="H2320" s="24"/>
      <x:c r="I2320" s="24" t="str">
        <x:v>Poli</x:v>
      </x:c>
      <x:c r="J2320" s="24"/>
      <x:c r="K2320" s="24" t="str">
        <x:v>DuraVision Chrome UV</x:v>
      </x:c>
      <x:c r="L2320" s="40" t="n">
        <x:v>6980</x:v>
      </x:c>
      <x:c r="M2320" s="24" t="str">
        <x:v>-10.00 a +6.00</x:v>
      </x:c>
      <x:c r="N2320" s="24" t="str">
        <x:v>-6.00</x:v>
      </x:c>
      <x:c r="O2320" s="24" t="str">
        <x:v>0.75 a 3.00</x:v>
      </x:c>
      <x:c r="P2320" s="24" t="str">
        <x:v>70</x:v>
      </x:c>
      <x:c r="Q2320" s="24"/>
      <x:c r="R2320" s="24"/>
      <x:c r="S2320" s="26" t="n">
        <x:v>46113</x:v>
      </x:c>
      <x:c r="T2320" s="26"/>
      <x:c r="U2320" s="24" t="str">
        <x:v>ATIVA/SEM FIM INFORMADO</x:v>
      </x:c>
      <x:c r="V2320" s="24"/>
      <x:c r="W2320" s="24" t="n">
        <x:v>38</x:v>
      </x:c>
      <x:c r="X2320" s="24" t="str">
        <x:v>tabela_zeiss.pdf</x:v>
      </x:c>
      <x:c r="Y2320" s="24" t="str">
        <x:v>alta</x:v>
      </x:c>
      <x:c r="Z2320" s="24"/>
      <x:c r="AA2320" s="24" t="str">
        <x:v>ZEISS|Progressiva|Surfaçada|SmartLife Superb||Poli||DuraVision Chrome UV|-10.00 a +6.00|-6.00|0.75 a 3.00|70|||38</x:v>
      </x:c>
    </x:row>
    <x:row r="2321">
      <x:c r="A2321" s="24" t="str">
        <x:v>ZS-CC6280413287</x:v>
      </x:c>
      <x:c r="B2321" s="24" t="str">
        <x:v>SIM</x:v>
      </x:c>
      <x:c r="C2321" s="24" t="str">
        <x:v>DISPONÍVEL</x:v>
      </x:c>
      <x:c r="D2321" s="24" t="str">
        <x:v>ZEISS</x:v>
      </x:c>
      <x:c r="E2321" s="24" t="str">
        <x:v>Progressiva</x:v>
      </x:c>
      <x:c r="F2321" s="24" t="str">
        <x:v>Surfaçada</x:v>
      </x:c>
      <x:c r="G2321" s="24" t="str">
        <x:v>SmartLife Superb</x:v>
      </x:c>
      <x:c r="H2321" s="24"/>
      <x:c r="I2321" s="24" t="str">
        <x:v>1.6</x:v>
      </x:c>
      <x:c r="J2321" s="24" t="str">
        <x:v>1.60</x:v>
      </x:c>
      <x:c r="K2321" s="24" t="str">
        <x:v>DuraVision Gold UV</x:v>
      </x:c>
      <x:c r="L2321" s="40" t="n">
        <x:v>8530</x:v>
      </x:c>
      <x:c r="M2321" s="24" t="str">
        <x:v>-7.25 a +6.00</x:v>
      </x:c>
      <x:c r="N2321" s="24" t="str">
        <x:v>-6.00</x:v>
      </x:c>
      <x:c r="O2321" s="24" t="str">
        <x:v>0.75 a 3.50</x:v>
      </x:c>
      <x:c r="P2321" s="24" t="str">
        <x:v>75</x:v>
      </x:c>
      <x:c r="Q2321" s="24"/>
      <x:c r="R2321" s="24"/>
      <x:c r="S2321" s="26" t="n">
        <x:v>46113</x:v>
      </x:c>
      <x:c r="T2321" s="26"/>
      <x:c r="U2321" s="24" t="str">
        <x:v>ATIVA/SEM FIM INFORMADO</x:v>
      </x:c>
      <x:c r="V2321" s="24"/>
      <x:c r="W2321" s="24" t="n">
        <x:v>38</x:v>
      </x:c>
      <x:c r="X2321" s="24" t="str">
        <x:v>tabela_zeiss.pdf</x:v>
      </x:c>
      <x:c r="Y2321" s="24" t="str">
        <x:v>alta</x:v>
      </x:c>
      <x:c r="Z2321" s="24"/>
      <x:c r="AA2321" s="24" t="str">
        <x:v>ZEISS|Progressiva|Surfaçada|SmartLife Superb||1.6|1.60|DuraVision Gold UV|-7.25 a +6.00|-6.00|0.75 a 3.50|75|||38</x:v>
      </x:c>
    </x:row>
    <x:row r="2322">
      <x:c r="A2322" s="24" t="str">
        <x:v>ZS-229A28901E14</x:v>
      </x:c>
      <x:c r="B2322" s="24" t="str">
        <x:v>SIM</x:v>
      </x:c>
      <x:c r="C2322" s="24" t="str">
        <x:v>DISPONÍVEL</x:v>
      </x:c>
      <x:c r="D2322" s="24" t="str">
        <x:v>ZEISS</x:v>
      </x:c>
      <x:c r="E2322" s="24" t="str">
        <x:v>Progressiva</x:v>
      </x:c>
      <x:c r="F2322" s="24" t="str">
        <x:v>Surfaçada</x:v>
      </x:c>
      <x:c r="G2322" s="24" t="str">
        <x:v>SmartLife Superb</x:v>
      </x:c>
      <x:c r="H2322" s="24"/>
      <x:c r="I2322" s="24" t="str">
        <x:v>1.6</x:v>
      </x:c>
      <x:c r="J2322" s="24" t="str">
        <x:v>1.60</x:v>
      </x:c>
      <x:c r="K2322" s="24" t="str">
        <x:v>DURAVISION® ANTIVÍRUS PLATINUM UV</x:v>
      </x:c>
      <x:c r="L2322" s="40" t="n">
        <x:v>8390</x:v>
      </x:c>
      <x:c r="M2322" s="24" t="str">
        <x:v>-7.25 a +6.00</x:v>
      </x:c>
      <x:c r="N2322" s="24" t="str">
        <x:v>-6.00</x:v>
      </x:c>
      <x:c r="O2322" s="24" t="str">
        <x:v>0.75 a 3.50</x:v>
      </x:c>
      <x:c r="P2322" s="24" t="str">
        <x:v>75</x:v>
      </x:c>
      <x:c r="Q2322" s="24"/>
      <x:c r="R2322" s="24"/>
      <x:c r="S2322" s="26" t="n">
        <x:v>46113</x:v>
      </x:c>
      <x:c r="T2322" s="26"/>
      <x:c r="U2322" s="24" t="str">
        <x:v>ATIVA/SEM FIM INFORMADO</x:v>
      </x:c>
      <x:c r="V2322" s="24"/>
      <x:c r="W2322" s="24" t="n">
        <x:v>38</x:v>
      </x:c>
      <x:c r="X2322" s="24" t="str">
        <x:v>tabela_zeiss.pdf</x:v>
      </x:c>
      <x:c r="Y2322" s="24" t="str">
        <x:v>alta</x:v>
      </x:c>
      <x:c r="Z2322" s="24"/>
      <x:c r="AA2322" s="24" t="str">
        <x:v>ZEISS|Progressiva|Surfaçada|SmartLife Superb||1.6|1.60|DURAVISION® ANTIVÍRUS PLATINUM UV|-7.25 a +6.00|-6.00|0.75 a 3.50|75|||38</x:v>
      </x:c>
    </x:row>
    <x:row r="2323">
      <x:c r="A2323" s="24" t="str">
        <x:v>ZS-D7460ECC4895</x:v>
      </x:c>
      <x:c r="B2323" s="24" t="str">
        <x:v>SIM</x:v>
      </x:c>
      <x:c r="C2323" s="24" t="str">
        <x:v>DISPONÍVEL</x:v>
      </x:c>
      <x:c r="D2323" s="24" t="str">
        <x:v>ZEISS</x:v>
      </x:c>
      <x:c r="E2323" s="24" t="str">
        <x:v>Progressiva</x:v>
      </x:c>
      <x:c r="F2323" s="24" t="str">
        <x:v>Surfaçada</x:v>
      </x:c>
      <x:c r="G2323" s="24" t="str">
        <x:v>SmartLife Superb</x:v>
      </x:c>
      <x:c r="H2323" s="24"/>
      <x:c r="I2323" s="24" t="str">
        <x:v>1.6</x:v>
      </x:c>
      <x:c r="J2323" s="24" t="str">
        <x:v>1.60</x:v>
      </x:c>
      <x:c r="K2323" s="24" t="str">
        <x:v>DuraVision Platinum UV</x:v>
      </x:c>
      <x:c r="L2323" s="40" t="n">
        <x:v>8390</x:v>
      </x:c>
      <x:c r="M2323" s="24" t="str">
        <x:v>-7.25 a +6.00</x:v>
      </x:c>
      <x:c r="N2323" s="24" t="str">
        <x:v>-6.00</x:v>
      </x:c>
      <x:c r="O2323" s="24" t="str">
        <x:v>0.75 a 3.50</x:v>
      </x:c>
      <x:c r="P2323" s="24" t="str">
        <x:v>75</x:v>
      </x:c>
      <x:c r="Q2323" s="24"/>
      <x:c r="R2323" s="24"/>
      <x:c r="S2323" s="26" t="n">
        <x:v>46113</x:v>
      </x:c>
      <x:c r="T2323" s="26"/>
      <x:c r="U2323" s="24" t="str">
        <x:v>ATIVA/SEM FIM INFORMADO</x:v>
      </x:c>
      <x:c r="V2323" s="24"/>
      <x:c r="W2323" s="24" t="n">
        <x:v>38</x:v>
      </x:c>
      <x:c r="X2323" s="24" t="str">
        <x:v>tabela_zeiss.pdf</x:v>
      </x:c>
      <x:c r="Y2323" s="24" t="str">
        <x:v>alta</x:v>
      </x:c>
      <x:c r="Z2323" s="24"/>
      <x:c r="AA2323" s="24" t="str">
        <x:v>ZEISS|Progressiva|Surfaçada|SmartLife Superb||1.6|1.60|DuraVision Platinum UV|-7.25 a +6.00|-6.00|0.75 a 3.50|75|||38</x:v>
      </x:c>
    </x:row>
    <x:row r="2324">
      <x:c r="A2324" s="24" t="str">
        <x:v>ZS-D0DD2B320D4C</x:v>
      </x:c>
      <x:c r="B2324" s="24" t="str">
        <x:v>SIM</x:v>
      </x:c>
      <x:c r="C2324" s="24" t="str">
        <x:v>DISPONÍVEL</x:v>
      </x:c>
      <x:c r="D2324" s="24" t="str">
        <x:v>ZEISS</x:v>
      </x:c>
      <x:c r="E2324" s="24" t="str">
        <x:v>Progressiva</x:v>
      </x:c>
      <x:c r="F2324" s="24" t="str">
        <x:v>Surfaçada</x:v>
      </x:c>
      <x:c r="G2324" s="24" t="str">
        <x:v>SmartLife Superb</x:v>
      </x:c>
      <x:c r="H2324" s="24"/>
      <x:c r="I2324" s="24" t="str">
        <x:v>1.6</x:v>
      </x:c>
      <x:c r="J2324" s="24" t="str">
        <x:v>1.60</x:v>
      </x:c>
      <x:c r="K2324" s="24" t="str">
        <x:v>DuraVision Silver UV</x:v>
      </x:c>
      <x:c r="L2324" s="40" t="n">
        <x:v>8130</x:v>
      </x:c>
      <x:c r="M2324" s="24" t="str">
        <x:v>-7.25 a +6.00</x:v>
      </x:c>
      <x:c r="N2324" s="24" t="str">
        <x:v>-6.00</x:v>
      </x:c>
      <x:c r="O2324" s="24" t="str">
        <x:v>0.75 a 3.50</x:v>
      </x:c>
      <x:c r="P2324" s="24" t="str">
        <x:v>75</x:v>
      </x:c>
      <x:c r="Q2324" s="24"/>
      <x:c r="R2324" s="24"/>
      <x:c r="S2324" s="26" t="n">
        <x:v>46113</x:v>
      </x:c>
      <x:c r="T2324" s="26"/>
      <x:c r="U2324" s="24" t="str">
        <x:v>ATIVA/SEM FIM INFORMADO</x:v>
      </x:c>
      <x:c r="V2324" s="24"/>
      <x:c r="W2324" s="24" t="n">
        <x:v>38</x:v>
      </x:c>
      <x:c r="X2324" s="24" t="str">
        <x:v>tabela_zeiss.pdf</x:v>
      </x:c>
      <x:c r="Y2324" s="24" t="str">
        <x:v>alta</x:v>
      </x:c>
      <x:c r="Z2324" s="24"/>
      <x:c r="AA2324" s="24" t="str">
        <x:v>ZEISS|Progressiva|Surfaçada|SmartLife Superb||1.6|1.60|DuraVision Silver UV|-7.25 a +6.00|-6.00|0.75 a 3.50|75|||38</x:v>
      </x:c>
    </x:row>
    <x:row r="2325">
      <x:c r="A2325" s="24" t="str">
        <x:v>ZS-0C77F7314E3A</x:v>
      </x:c>
      <x:c r="B2325" s="24" t="str">
        <x:v>SIM</x:v>
      </x:c>
      <x:c r="C2325" s="24" t="str">
        <x:v>DISPONÍVEL</x:v>
      </x:c>
      <x:c r="D2325" s="24" t="str">
        <x:v>ZEISS</x:v>
      </x:c>
      <x:c r="E2325" s="24" t="str">
        <x:v>Progressiva</x:v>
      </x:c>
      <x:c r="F2325" s="24" t="str">
        <x:v>Surfaçada</x:v>
      </x:c>
      <x:c r="G2325" s="24" t="str">
        <x:v>SmartLife Superb</x:v>
      </x:c>
      <x:c r="H2325" s="24"/>
      <x:c r="I2325" s="24" t="str">
        <x:v>1.6</x:v>
      </x:c>
      <x:c r="J2325" s="24" t="str">
        <x:v>1.60</x:v>
      </x:c>
      <x:c r="K2325" s="24" t="str">
        <x:v>DuraVision Chrome UV</x:v>
      </x:c>
      <x:c r="L2325" s="40" t="n">
        <x:v>7640</x:v>
      </x:c>
      <x:c r="M2325" s="24" t="str">
        <x:v>-7.25 a +6.00</x:v>
      </x:c>
      <x:c r="N2325" s="24" t="str">
        <x:v>-6.00</x:v>
      </x:c>
      <x:c r="O2325" s="24" t="str">
        <x:v>0.75 a 3.50</x:v>
      </x:c>
      <x:c r="P2325" s="24" t="str">
        <x:v>75</x:v>
      </x:c>
      <x:c r="Q2325" s="24"/>
      <x:c r="R2325" s="24"/>
      <x:c r="S2325" s="26" t="n">
        <x:v>46113</x:v>
      </x:c>
      <x:c r="T2325" s="26"/>
      <x:c r="U2325" s="24" t="str">
        <x:v>ATIVA/SEM FIM INFORMADO</x:v>
      </x:c>
      <x:c r="V2325" s="24"/>
      <x:c r="W2325" s="24" t="n">
        <x:v>38</x:v>
      </x:c>
      <x:c r="X2325" s="24" t="str">
        <x:v>tabela_zeiss.pdf</x:v>
      </x:c>
      <x:c r="Y2325" s="24" t="str">
        <x:v>alta</x:v>
      </x:c>
      <x:c r="Z2325" s="24"/>
      <x:c r="AA2325" s="24" t="str">
        <x:v>ZEISS|Progressiva|Surfaçada|SmartLife Superb||1.6|1.60|DuraVision Chrome UV|-7.25 a +6.00|-6.00|0.75 a 3.50|75|||38</x:v>
      </x:c>
    </x:row>
    <x:row r="2326">
      <x:c r="A2326" s="24" t="str">
        <x:v>ZS-81938E618CC3</x:v>
      </x:c>
      <x:c r="B2326" s="24" t="str">
        <x:v>SIM</x:v>
      </x:c>
      <x:c r="C2326" s="24" t="str">
        <x:v>DISPONÍVEL</x:v>
      </x:c>
      <x:c r="D2326" s="24" t="str">
        <x:v>ZEISS</x:v>
      </x:c>
      <x:c r="E2326" s="24" t="str">
        <x:v>Progressiva</x:v>
      </x:c>
      <x:c r="F2326" s="24" t="str">
        <x:v>Surfaçada</x:v>
      </x:c>
      <x:c r="G2326" s="24" t="str">
        <x:v>SmartLife Superb</x:v>
      </x:c>
      <x:c r="H2326" s="24"/>
      <x:c r="I2326" s="24" t="str">
        <x:v>1.67</x:v>
      </x:c>
      <x:c r="J2326" s="24" t="str">
        <x:v>1.67</x:v>
      </x:c>
      <x:c r="K2326" s="24" t="str">
        <x:v>DuraVision Gold UV</x:v>
      </x:c>
      <x:c r="L2326" s="40" t="n">
        <x:v>10170</x:v>
      </x:c>
      <x:c r="M2326" s="24" t="str">
        <x:v>-8.00 a +8.00</x:v>
      </x:c>
      <x:c r="N2326" s="24" t="str">
        <x:v>-6.00</x:v>
      </x:c>
      <x:c r="O2326" s="24" t="str">
        <x:v>0.75 a 3.00</x:v>
      </x:c>
      <x:c r="P2326" s="24" t="str">
        <x:v>70</x:v>
      </x:c>
      <x:c r="Q2326" s="24"/>
      <x:c r="R2326" s="24"/>
      <x:c r="S2326" s="26" t="n">
        <x:v>46113</x:v>
      </x:c>
      <x:c r="T2326" s="26"/>
      <x:c r="U2326" s="24" t="str">
        <x:v>ATIVA/SEM FIM INFORMADO</x:v>
      </x:c>
      <x:c r="V2326" s="24"/>
      <x:c r="W2326" s="24" t="n">
        <x:v>38</x:v>
      </x:c>
      <x:c r="X2326" s="24" t="str">
        <x:v>tabela_zeiss.pdf</x:v>
      </x:c>
      <x:c r="Y2326" s="24" t="str">
        <x:v>alta</x:v>
      </x:c>
      <x:c r="Z2326" s="24"/>
      <x:c r="AA2326" s="24" t="str">
        <x:v>ZEISS|Progressiva|Surfaçada|SmartLife Superb||1.67|1.67|DuraVision Gold UV|-8.00 a +8.00|-6.00|0.75 a 3.00|70|||38</x:v>
      </x:c>
    </x:row>
    <x:row r="2327">
      <x:c r="A2327" s="24" t="str">
        <x:v>ZS-CEB0FECDB49D</x:v>
      </x:c>
      <x:c r="B2327" s="24" t="str">
        <x:v>SIM</x:v>
      </x:c>
      <x:c r="C2327" s="24" t="str">
        <x:v>DISPONÍVEL</x:v>
      </x:c>
      <x:c r="D2327" s="24" t="str">
        <x:v>ZEISS</x:v>
      </x:c>
      <x:c r="E2327" s="24" t="str">
        <x:v>Progressiva</x:v>
      </x:c>
      <x:c r="F2327" s="24" t="str">
        <x:v>Surfaçada</x:v>
      </x:c>
      <x:c r="G2327" s="24" t="str">
        <x:v>SmartLife Superb</x:v>
      </x:c>
      <x:c r="H2327" s="24"/>
      <x:c r="I2327" s="24" t="str">
        <x:v>1.67</x:v>
      </x:c>
      <x:c r="J2327" s="24" t="str">
        <x:v>1.67</x:v>
      </x:c>
      <x:c r="K2327" s="24" t="str">
        <x:v>DURAVISION® ANTIVÍRUS PLATINUM UV</x:v>
      </x:c>
      <x:c r="L2327" s="40" t="n">
        <x:v>10030</x:v>
      </x:c>
      <x:c r="M2327" s="24" t="str">
        <x:v>-8.00 a +8.00</x:v>
      </x:c>
      <x:c r="N2327" s="24" t="str">
        <x:v>-6.00</x:v>
      </x:c>
      <x:c r="O2327" s="24" t="str">
        <x:v>0.75 a 3.00</x:v>
      </x:c>
      <x:c r="P2327" s="24" t="str">
        <x:v>70</x:v>
      </x:c>
      <x:c r="Q2327" s="24"/>
      <x:c r="R2327" s="24"/>
      <x:c r="S2327" s="26" t="n">
        <x:v>46113</x:v>
      </x:c>
      <x:c r="T2327" s="26"/>
      <x:c r="U2327" s="24" t="str">
        <x:v>ATIVA/SEM FIM INFORMADO</x:v>
      </x:c>
      <x:c r="V2327" s="24"/>
      <x:c r="W2327" s="24" t="n">
        <x:v>38</x:v>
      </x:c>
      <x:c r="X2327" s="24" t="str">
        <x:v>tabela_zeiss.pdf</x:v>
      </x:c>
      <x:c r="Y2327" s="24" t="str">
        <x:v>alta</x:v>
      </x:c>
      <x:c r="Z2327" s="24"/>
      <x:c r="AA2327" s="24" t="str">
        <x:v>ZEISS|Progressiva|Surfaçada|SmartLife Superb||1.67|1.67|DURAVISION® ANTIVÍRUS PLATINUM UV|-8.00 a +8.00|-6.00|0.75 a 3.00|70|||38</x:v>
      </x:c>
    </x:row>
    <x:row r="2328">
      <x:c r="A2328" s="24" t="str">
        <x:v>ZS-10D49C1569BF</x:v>
      </x:c>
      <x:c r="B2328" s="24" t="str">
        <x:v>SIM</x:v>
      </x:c>
      <x:c r="C2328" s="24" t="str">
        <x:v>DISPONÍVEL</x:v>
      </x:c>
      <x:c r="D2328" s="24" t="str">
        <x:v>ZEISS</x:v>
      </x:c>
      <x:c r="E2328" s="24" t="str">
        <x:v>Progressiva</x:v>
      </x:c>
      <x:c r="F2328" s="24" t="str">
        <x:v>Surfaçada</x:v>
      </x:c>
      <x:c r="G2328" s="24" t="str">
        <x:v>SmartLife Superb</x:v>
      </x:c>
      <x:c r="H2328" s="24"/>
      <x:c r="I2328" s="24" t="str">
        <x:v>1.67</x:v>
      </x:c>
      <x:c r="J2328" s="24" t="str">
        <x:v>1.67</x:v>
      </x:c>
      <x:c r="K2328" s="24" t="str">
        <x:v>DuraVision Platinum UV</x:v>
      </x:c>
      <x:c r="L2328" s="40" t="n">
        <x:v>10030</x:v>
      </x:c>
      <x:c r="M2328" s="24" t="str">
        <x:v>-8.00 a +8.00</x:v>
      </x:c>
      <x:c r="N2328" s="24" t="str">
        <x:v>-6.00</x:v>
      </x:c>
      <x:c r="O2328" s="24" t="str">
        <x:v>0.75 a 3.00</x:v>
      </x:c>
      <x:c r="P2328" s="24" t="str">
        <x:v>70</x:v>
      </x:c>
      <x:c r="Q2328" s="24"/>
      <x:c r="R2328" s="24"/>
      <x:c r="S2328" s="26" t="n">
        <x:v>46113</x:v>
      </x:c>
      <x:c r="T2328" s="26"/>
      <x:c r="U2328" s="24" t="str">
        <x:v>ATIVA/SEM FIM INFORMADO</x:v>
      </x:c>
      <x:c r="V2328" s="24"/>
      <x:c r="W2328" s="24" t="n">
        <x:v>38</x:v>
      </x:c>
      <x:c r="X2328" s="24" t="str">
        <x:v>tabela_zeiss.pdf</x:v>
      </x:c>
      <x:c r="Y2328" s="24" t="str">
        <x:v>alta</x:v>
      </x:c>
      <x:c r="Z2328" s="24"/>
      <x:c r="AA2328" s="24" t="str">
        <x:v>ZEISS|Progressiva|Surfaçada|SmartLife Superb||1.67|1.67|DuraVision Platinum UV|-8.00 a +8.00|-6.00|0.75 a 3.00|70|||38</x:v>
      </x:c>
    </x:row>
    <x:row r="2329">
      <x:c r="A2329" s="24" t="str">
        <x:v>ZS-E31E0C1F1218</x:v>
      </x:c>
      <x:c r="B2329" s="24" t="str">
        <x:v>SIM</x:v>
      </x:c>
      <x:c r="C2329" s="24" t="str">
        <x:v>DISPONÍVEL</x:v>
      </x:c>
      <x:c r="D2329" s="24" t="str">
        <x:v>ZEISS</x:v>
      </x:c>
      <x:c r="E2329" s="24" t="str">
        <x:v>Progressiva</x:v>
      </x:c>
      <x:c r="F2329" s="24" t="str">
        <x:v>Surfaçada</x:v>
      </x:c>
      <x:c r="G2329" s="24" t="str">
        <x:v>SmartLife Superb</x:v>
      </x:c>
      <x:c r="H2329" s="24"/>
      <x:c r="I2329" s="24" t="str">
        <x:v>1.67</x:v>
      </x:c>
      <x:c r="J2329" s="24" t="str">
        <x:v>1.67</x:v>
      </x:c>
      <x:c r="K2329" s="24" t="str">
        <x:v>DuraVision Silver UV</x:v>
      </x:c>
      <x:c r="L2329" s="40" t="n">
        <x:v>9770</x:v>
      </x:c>
      <x:c r="M2329" s="24" t="str">
        <x:v>-8.00 a +8.00</x:v>
      </x:c>
      <x:c r="N2329" s="24" t="str">
        <x:v>-6.00</x:v>
      </x:c>
      <x:c r="O2329" s="24" t="str">
        <x:v>0.75 a 3.00</x:v>
      </x:c>
      <x:c r="P2329" s="24" t="str">
        <x:v>70</x:v>
      </x:c>
      <x:c r="Q2329" s="24"/>
      <x:c r="R2329" s="24"/>
      <x:c r="S2329" s="26" t="n">
        <x:v>46113</x:v>
      </x:c>
      <x:c r="T2329" s="26"/>
      <x:c r="U2329" s="24" t="str">
        <x:v>ATIVA/SEM FIM INFORMADO</x:v>
      </x:c>
      <x:c r="V2329" s="24"/>
      <x:c r="W2329" s="24" t="n">
        <x:v>38</x:v>
      </x:c>
      <x:c r="X2329" s="24" t="str">
        <x:v>tabela_zeiss.pdf</x:v>
      </x:c>
      <x:c r="Y2329" s="24" t="str">
        <x:v>alta</x:v>
      </x:c>
      <x:c r="Z2329" s="24"/>
      <x:c r="AA2329" s="24" t="str">
        <x:v>ZEISS|Progressiva|Surfaçada|SmartLife Superb||1.67|1.67|DuraVision Silver UV|-8.00 a +8.00|-6.00|0.75 a 3.00|70|||38</x:v>
      </x:c>
    </x:row>
    <x:row r="2330">
      <x:c r="A2330" s="24" t="str">
        <x:v>ZS-47C5E4BDECA4</x:v>
      </x:c>
      <x:c r="B2330" s="24" t="str">
        <x:v>SIM</x:v>
      </x:c>
      <x:c r="C2330" s="24" t="str">
        <x:v>DISPONÍVEL</x:v>
      </x:c>
      <x:c r="D2330" s="24" t="str">
        <x:v>ZEISS</x:v>
      </x:c>
      <x:c r="E2330" s="24" t="str">
        <x:v>Progressiva</x:v>
      </x:c>
      <x:c r="F2330" s="24" t="str">
        <x:v>Surfaçada</x:v>
      </x:c>
      <x:c r="G2330" s="24" t="str">
        <x:v>SmartLife Superb</x:v>
      </x:c>
      <x:c r="H2330" s="24"/>
      <x:c r="I2330" s="24" t="str">
        <x:v>1.67</x:v>
      </x:c>
      <x:c r="J2330" s="24" t="str">
        <x:v>1.67</x:v>
      </x:c>
      <x:c r="K2330" s="24" t="str">
        <x:v>DuraVision Chrome UV</x:v>
      </x:c>
      <x:c r="L2330" s="40" t="n">
        <x:v>9280</x:v>
      </x:c>
      <x:c r="M2330" s="24" t="str">
        <x:v>-8.00 a +8.00</x:v>
      </x:c>
      <x:c r="N2330" s="24" t="str">
        <x:v>-6.00</x:v>
      </x:c>
      <x:c r="O2330" s="24" t="str">
        <x:v>0.75 a 3.00</x:v>
      </x:c>
      <x:c r="P2330" s="24" t="str">
        <x:v>70</x:v>
      </x:c>
      <x:c r="Q2330" s="24"/>
      <x:c r="R2330" s="24"/>
      <x:c r="S2330" s="26" t="n">
        <x:v>46113</x:v>
      </x:c>
      <x:c r="T2330" s="26"/>
      <x:c r="U2330" s="24" t="str">
        <x:v>ATIVA/SEM FIM INFORMADO</x:v>
      </x:c>
      <x:c r="V2330" s="24"/>
      <x:c r="W2330" s="24" t="n">
        <x:v>38</x:v>
      </x:c>
      <x:c r="X2330" s="24" t="str">
        <x:v>tabela_zeiss.pdf</x:v>
      </x:c>
      <x:c r="Y2330" s="24" t="str">
        <x:v>alta</x:v>
      </x:c>
      <x:c r="Z2330" s="24"/>
      <x:c r="AA2330" s="24" t="str">
        <x:v>ZEISS|Progressiva|Surfaçada|SmartLife Superb||1.67|1.67|DuraVision Chrome UV|-8.00 a +8.00|-6.00|0.75 a 3.00|70|||38</x:v>
      </x:c>
    </x:row>
    <x:row r="2331">
      <x:c r="A2331" s="24" t="str">
        <x:v>ZS-DD5E8CB173EA</x:v>
      </x:c>
      <x:c r="B2331" s="24" t="str">
        <x:v>SIM</x:v>
      </x:c>
      <x:c r="C2331" s="24" t="str">
        <x:v>DISPONÍVEL</x:v>
      </x:c>
      <x:c r="D2331" s="24" t="str">
        <x:v>ZEISS</x:v>
      </x:c>
      <x:c r="E2331" s="24" t="str">
        <x:v>Progressiva</x:v>
      </x:c>
      <x:c r="F2331" s="24" t="str">
        <x:v>Surfaçada</x:v>
      </x:c>
      <x:c r="G2331" s="24" t="str">
        <x:v>SmartLife Superb</x:v>
      </x:c>
      <x:c r="H2331" s="24"/>
      <x:c r="I2331" s="24" t="str">
        <x:v>1.74</x:v>
      </x:c>
      <x:c r="J2331" s="24" t="str">
        <x:v>1.74</x:v>
      </x:c>
      <x:c r="K2331" s="24" t="str">
        <x:v>DuraVision Gold UV</x:v>
      </x:c>
      <x:c r="L2331" s="40" t="n">
        <x:v>11770</x:v>
      </x:c>
      <x:c r="M2331" s="24" t="str">
        <x:v>-10.00 a +7.00</x:v>
      </x:c>
      <x:c r="N2331" s="24" t="str">
        <x:v>-4.00</x:v>
      </x:c>
      <x:c r="O2331" s="24" t="str">
        <x:v>0.75 a 3.50</x:v>
      </x:c>
      <x:c r="P2331" s="24" t="str">
        <x:v>70 a 75</x:v>
      </x:c>
      <x:c r="Q2331" s="24"/>
      <x:c r="R2331" s="24"/>
      <x:c r="S2331" s="26" t="n">
        <x:v>46113</x:v>
      </x:c>
      <x:c r="T2331" s="26"/>
      <x:c r="U2331" s="24" t="str">
        <x:v>ATIVA/SEM FIM INFORMADO</x:v>
      </x:c>
      <x:c r="V2331" s="24"/>
      <x:c r="W2331" s="24" t="n">
        <x:v>38</x:v>
      </x:c>
      <x:c r="X2331" s="24" t="str">
        <x:v>tabela_zeiss.pdf</x:v>
      </x:c>
      <x:c r="Y2331" s="24" t="str">
        <x:v>alta</x:v>
      </x:c>
      <x:c r="Z2331" s="24"/>
      <x:c r="AA2331" s="24" t="str">
        <x:v>ZEISS|Progressiva|Surfaçada|SmartLife Superb||1.74|1.74|DuraVision Gold UV|-10.00 a +7.00|-4.00|0.75 a 3.50|70 a 75|||38</x:v>
      </x:c>
    </x:row>
    <x:row r="2332">
      <x:c r="A2332" s="24" t="str">
        <x:v>ZS-B7A1BB3CA2C5</x:v>
      </x:c>
      <x:c r="B2332" s="24" t="str">
        <x:v>SIM</x:v>
      </x:c>
      <x:c r="C2332" s="24" t="str">
        <x:v>DISPONÍVEL</x:v>
      </x:c>
      <x:c r="D2332" s="24" t="str">
        <x:v>ZEISS</x:v>
      </x:c>
      <x:c r="E2332" s="24" t="str">
        <x:v>Progressiva</x:v>
      </x:c>
      <x:c r="F2332" s="24" t="str">
        <x:v>Surfaçada</x:v>
      </x:c>
      <x:c r="G2332" s="24" t="str">
        <x:v>SmartLife Superb</x:v>
      </x:c>
      <x:c r="H2332" s="24"/>
      <x:c r="I2332" s="24" t="str">
        <x:v>1.74</x:v>
      </x:c>
      <x:c r="J2332" s="24" t="str">
        <x:v>1.74</x:v>
      </x:c>
      <x:c r="K2332" s="24" t="str">
        <x:v>DuraVision Platinum UV</x:v>
      </x:c>
      <x:c r="L2332" s="40" t="n">
        <x:v>11630</x:v>
      </x:c>
      <x:c r="M2332" s="24" t="str">
        <x:v>-10.00 a +7.00</x:v>
      </x:c>
      <x:c r="N2332" s="24" t="str">
        <x:v>-4.00</x:v>
      </x:c>
      <x:c r="O2332" s="24" t="str">
        <x:v>0.75 a 3.50</x:v>
      </x:c>
      <x:c r="P2332" s="24" t="str">
        <x:v>70 a 75</x:v>
      </x:c>
      <x:c r="Q2332" s="24"/>
      <x:c r="R2332" s="24"/>
      <x:c r="S2332" s="26" t="n">
        <x:v>46113</x:v>
      </x:c>
      <x:c r="T2332" s="26"/>
      <x:c r="U2332" s="24" t="str">
        <x:v>ATIVA/SEM FIM INFORMADO</x:v>
      </x:c>
      <x:c r="V2332" s="24"/>
      <x:c r="W2332" s="24" t="n">
        <x:v>38</x:v>
      </x:c>
      <x:c r="X2332" s="24" t="str">
        <x:v>tabela_zeiss.pdf</x:v>
      </x:c>
      <x:c r="Y2332" s="24" t="str">
        <x:v>alta</x:v>
      </x:c>
      <x:c r="Z2332" s="24"/>
      <x:c r="AA2332" s="24" t="str">
        <x:v>ZEISS|Progressiva|Surfaçada|SmartLife Superb||1.74|1.74|DuraVision Platinum UV|-10.00 a +7.00|-4.00|0.75 a 3.50|70 a 75|||38</x:v>
      </x:c>
    </x:row>
    <x:row r="2333">
      <x:c r="A2333" s="24" t="str">
        <x:v>ZS-619DA15248A3</x:v>
      </x:c>
      <x:c r="B2333" s="24" t="str">
        <x:v>SIM</x:v>
      </x:c>
      <x:c r="C2333" s="24" t="str">
        <x:v>DISPONÍVEL</x:v>
      </x:c>
      <x:c r="D2333" s="24" t="str">
        <x:v>ZEISS</x:v>
      </x:c>
      <x:c r="E2333" s="24" t="str">
        <x:v>Progressiva</x:v>
      </x:c>
      <x:c r="F2333" s="24" t="str">
        <x:v>Surfaçada</x:v>
      </x:c>
      <x:c r="G2333" s="24" t="str">
        <x:v>SmartLife Superb</x:v>
      </x:c>
      <x:c r="H2333" s="24"/>
      <x:c r="I2333" s="24" t="str">
        <x:v>1.74</x:v>
      </x:c>
      <x:c r="J2333" s="24" t="str">
        <x:v>1.74</x:v>
      </x:c>
      <x:c r="K2333" s="24" t="str">
        <x:v>DuraVision Silver UV</x:v>
      </x:c>
      <x:c r="L2333" s="40" t="n">
        <x:v>11370</x:v>
      </x:c>
      <x:c r="M2333" s="24" t="str">
        <x:v>-10.00 a +7.00</x:v>
      </x:c>
      <x:c r="N2333" s="24" t="str">
        <x:v>-4.00</x:v>
      </x:c>
      <x:c r="O2333" s="24" t="str">
        <x:v>0.75 a 3.50</x:v>
      </x:c>
      <x:c r="P2333" s="24" t="str">
        <x:v>70 a 75</x:v>
      </x:c>
      <x:c r="Q2333" s="24"/>
      <x:c r="R2333" s="24"/>
      <x:c r="S2333" s="26" t="n">
        <x:v>46113</x:v>
      </x:c>
      <x:c r="T2333" s="26"/>
      <x:c r="U2333" s="24" t="str">
        <x:v>ATIVA/SEM FIM INFORMADO</x:v>
      </x:c>
      <x:c r="V2333" s="24"/>
      <x:c r="W2333" s="24" t="n">
        <x:v>38</x:v>
      </x:c>
      <x:c r="X2333" s="24" t="str">
        <x:v>tabela_zeiss.pdf</x:v>
      </x:c>
      <x:c r="Y2333" s="24" t="str">
        <x:v>alta</x:v>
      </x:c>
      <x:c r="Z2333" s="24"/>
      <x:c r="AA2333" s="24" t="str">
        <x:v>ZEISS|Progressiva|Surfaçada|SmartLife Superb||1.74|1.74|DuraVision Silver UV|-10.00 a +7.00|-4.00|0.75 a 3.50|70 a 75|||38</x:v>
      </x:c>
    </x:row>
    <x:row r="2334">
      <x:c r="A2334" s="24" t="str">
        <x:v>ZS-B40C7DC885B5</x:v>
      </x:c>
      <x:c r="B2334" s="24" t="str">
        <x:v>SIM</x:v>
      </x:c>
      <x:c r="C2334" s="24" t="str">
        <x:v>DISPONÍVEL</x:v>
      </x:c>
      <x:c r="D2334" s="24" t="str">
        <x:v>ZEISS</x:v>
      </x:c>
      <x:c r="E2334" s="24" t="str">
        <x:v>Progressiva</x:v>
      </x:c>
      <x:c r="F2334" s="24" t="str">
        <x:v>Surfaçada</x:v>
      </x:c>
      <x:c r="G2334" s="24" t="str">
        <x:v>SmartLife Superb</x:v>
      </x:c>
      <x:c r="H2334" s="24"/>
      <x:c r="I2334" s="24" t="str">
        <x:v>1.74</x:v>
      </x:c>
      <x:c r="J2334" s="24" t="str">
        <x:v>1.74</x:v>
      </x:c>
      <x:c r="K2334" s="24" t="str">
        <x:v>DuraVision Chrome UV</x:v>
      </x:c>
      <x:c r="L2334" s="40" t="n">
        <x:v>10880</x:v>
      </x:c>
      <x:c r="M2334" s="24" t="str">
        <x:v>-10.00 a +7.00</x:v>
      </x:c>
      <x:c r="N2334" s="24" t="str">
        <x:v>-4.00</x:v>
      </x:c>
      <x:c r="O2334" s="24" t="str">
        <x:v>0.75 a 3.50</x:v>
      </x:c>
      <x:c r="P2334" s="24" t="str">
        <x:v>70 a 75</x:v>
      </x:c>
      <x:c r="Q2334" s="24"/>
      <x:c r="R2334" s="24"/>
      <x:c r="S2334" s="26" t="n">
        <x:v>46113</x:v>
      </x:c>
      <x:c r="T2334" s="26"/>
      <x:c r="U2334" s="24" t="str">
        <x:v>ATIVA/SEM FIM INFORMADO</x:v>
      </x:c>
      <x:c r="V2334" s="24"/>
      <x:c r="W2334" s="24" t="n">
        <x:v>38</x:v>
      </x:c>
      <x:c r="X2334" s="24" t="str">
        <x:v>tabela_zeiss.pdf</x:v>
      </x:c>
      <x:c r="Y2334" s="24" t="str">
        <x:v>alta</x:v>
      </x:c>
      <x:c r="Z2334" s="24"/>
      <x:c r="AA2334" s="24" t="str">
        <x:v>ZEISS|Progressiva|Surfaçada|SmartLife Superb||1.74|1.74|DuraVision Chrome UV|-10.00 a +7.00|-4.00|0.75 a 3.50|70 a 75|||38</x:v>
      </x:c>
    </x:row>
    <x:row r="2335">
      <x:c r="A2335" s="24" t="str">
        <x:v>ZS-12515106ABB5</x:v>
      </x:c>
      <x:c r="B2335" s="24" t="str">
        <x:v>SIM</x:v>
      </x:c>
      <x:c r="C2335" s="24" t="str">
        <x:v>DISPONÍVEL</x:v>
      </x:c>
      <x:c r="D2335" s="24" t="str">
        <x:v>ZEISS</x:v>
      </x:c>
      <x:c r="E2335" s="24" t="str">
        <x:v>Progressiva</x:v>
      </x:c>
      <x:c r="F2335" s="24" t="str">
        <x:v>Surfaçada</x:v>
      </x:c>
      <x:c r="G2335" s="24" t="str">
        <x:v>SmartLife Superb</x:v>
      </x:c>
      <x:c r="H2335" s="24" t="str">
        <x:v>PhotoFusion X</x:v>
      </x:c>
      <x:c r="I2335" s="24" t="str">
        <x:v>1.5</x:v>
      </x:c>
      <x:c r="J2335" s="24" t="str">
        <x:v>1.50</x:v>
      </x:c>
      <x:c r="K2335" s="24" t="str">
        <x:v>DuraVision Gold UV</x:v>
      </x:c>
      <x:c r="L2335" s="40" t="n">
        <x:v>8700</x:v>
      </x:c>
      <x:c r="M2335" s="24" t="str">
        <x:v>-6.00 a +5.50</x:v>
      </x:c>
      <x:c r="N2335" s="24" t="str">
        <x:v>-4.00</x:v>
      </x:c>
      <x:c r="O2335" s="24" t="str">
        <x:v>0.75 a 3.00</x:v>
      </x:c>
      <x:c r="P2335" s="24" t="str">
        <x:v>75</x:v>
      </x:c>
      <x:c r="Q2335" s="24"/>
      <x:c r="R2335" s="24"/>
      <x:c r="S2335" s="26" t="n">
        <x:v>46113</x:v>
      </x:c>
      <x:c r="T2335" s="26"/>
      <x:c r="U2335" s="24" t="str">
        <x:v>ATIVA/SEM FIM INFORMADO</x:v>
      </x:c>
      <x:c r="V2335" s="24" t="str">
        <x:v>Programa de Parcerias ZEISS</x:v>
      </x:c>
      <x:c r="W2335" s="24" t="n">
        <x:v>38</x:v>
      </x:c>
      <x:c r="X2335" s="24" t="str">
        <x:v>tabela_zeiss.pdf</x:v>
      </x:c>
      <x:c r="Y2335" s="24" t="str">
        <x:v>alta</x:v>
      </x:c>
      <x:c r="Z2335" s="24"/>
      <x:c r="AA2335" s="24" t="str">
        <x:v>ZEISS|Progressiva|Surfaçada|SmartLife Superb|PhotoFusion X|1.5|1.50|DuraVision Gold UV|-6.00 a +5.50|-4.00|0.75 a 3.00|75|||38</x:v>
      </x:c>
    </x:row>
    <x:row r="2336">
      <x:c r="A2336" s="24" t="str">
        <x:v>ZS-A76F709B5917</x:v>
      </x:c>
      <x:c r="B2336" s="24" t="str">
        <x:v>SIM</x:v>
      </x:c>
      <x:c r="C2336" s="24" t="str">
        <x:v>DISPONÍVEL</x:v>
      </x:c>
      <x:c r="D2336" s="24" t="str">
        <x:v>ZEISS</x:v>
      </x:c>
      <x:c r="E2336" s="24" t="str">
        <x:v>Progressiva</x:v>
      </x:c>
      <x:c r="F2336" s="24" t="str">
        <x:v>Surfaçada</x:v>
      </x:c>
      <x:c r="G2336" s="24" t="str">
        <x:v>SmartLife Superb</x:v>
      </x:c>
      <x:c r="H2336" s="24" t="str">
        <x:v>PhotoFusion X</x:v>
      </x:c>
      <x:c r="I2336" s="24" t="str">
        <x:v>1.5</x:v>
      </x:c>
      <x:c r="J2336" s="24" t="str">
        <x:v>1.50</x:v>
      </x:c>
      <x:c r="K2336" s="24" t="str">
        <x:v>DURAVISION® ANTIVÍRUS PLATINUM UV</x:v>
      </x:c>
      <x:c r="L2336" s="40" t="n">
        <x:v>8560</x:v>
      </x:c>
      <x:c r="M2336" s="24" t="str">
        <x:v>-6.00 a +5.50</x:v>
      </x:c>
      <x:c r="N2336" s="24" t="str">
        <x:v>-4.00</x:v>
      </x:c>
      <x:c r="O2336" s="24" t="str">
        <x:v>0.75 a 3.00</x:v>
      </x:c>
      <x:c r="P2336" s="24" t="str">
        <x:v>75</x:v>
      </x:c>
      <x:c r="Q2336" s="24"/>
      <x:c r="R2336" s="24"/>
      <x:c r="S2336" s="26" t="n">
        <x:v>46113</x:v>
      </x:c>
      <x:c r="T2336" s="26"/>
      <x:c r="U2336" s="24" t="str">
        <x:v>ATIVA/SEM FIM INFORMADO</x:v>
      </x:c>
      <x:c r="V2336" s="24" t="str">
        <x:v>Programa de Parcerias ZEISS</x:v>
      </x:c>
      <x:c r="W2336" s="24" t="n">
        <x:v>38</x:v>
      </x:c>
      <x:c r="X2336" s="24" t="str">
        <x:v>tabela_zeiss.pdf</x:v>
      </x:c>
      <x:c r="Y2336" s="24" t="str">
        <x:v>alta</x:v>
      </x:c>
      <x:c r="Z2336" s="24"/>
      <x:c r="AA2336" s="24" t="str">
        <x:v>ZEISS|Progressiva|Surfaçada|SmartLife Superb|PhotoFusion X|1.5|1.50|DURAVISION® ANTIVÍRUS PLATINUM UV|-6.00 a +5.50|-4.00|0.75 a 3.00|75|||38</x:v>
      </x:c>
    </x:row>
    <x:row r="2337">
      <x:c r="A2337" s="24" t="str">
        <x:v>ZS-5E7A203A80A7</x:v>
      </x:c>
      <x:c r="B2337" s="24" t="str">
        <x:v>SIM</x:v>
      </x:c>
      <x:c r="C2337" s="24" t="str">
        <x:v>DISPONÍVEL</x:v>
      </x:c>
      <x:c r="D2337" s="24" t="str">
        <x:v>ZEISS</x:v>
      </x:c>
      <x:c r="E2337" s="24" t="str">
        <x:v>Progressiva</x:v>
      </x:c>
      <x:c r="F2337" s="24" t="str">
        <x:v>Surfaçada</x:v>
      </x:c>
      <x:c r="G2337" s="24" t="str">
        <x:v>SmartLife Superb</x:v>
      </x:c>
      <x:c r="H2337" s="24" t="str">
        <x:v>PhotoFusion X</x:v>
      </x:c>
      <x:c r="I2337" s="24" t="str">
        <x:v>1.5</x:v>
      </x:c>
      <x:c r="J2337" s="24" t="str">
        <x:v>1.50</x:v>
      </x:c>
      <x:c r="K2337" s="24" t="str">
        <x:v>DuraVision Platinum UV</x:v>
      </x:c>
      <x:c r="L2337" s="40" t="n">
        <x:v>8560</x:v>
      </x:c>
      <x:c r="M2337" s="24" t="str">
        <x:v>-6.00 a +5.50</x:v>
      </x:c>
      <x:c r="N2337" s="24" t="str">
        <x:v>-4.00</x:v>
      </x:c>
      <x:c r="O2337" s="24" t="str">
        <x:v>0.75 a 3.00</x:v>
      </x:c>
      <x:c r="P2337" s="24" t="str">
        <x:v>75</x:v>
      </x:c>
      <x:c r="Q2337" s="24"/>
      <x:c r="R2337" s="24"/>
      <x:c r="S2337" s="26" t="n">
        <x:v>46113</x:v>
      </x:c>
      <x:c r="T2337" s="26"/>
      <x:c r="U2337" s="24" t="str">
        <x:v>ATIVA/SEM FIM INFORMADO</x:v>
      </x:c>
      <x:c r="V2337" s="24" t="str">
        <x:v>Programa de Parcerias ZEISS</x:v>
      </x:c>
      <x:c r="W2337" s="24" t="n">
        <x:v>38</x:v>
      </x:c>
      <x:c r="X2337" s="24" t="str">
        <x:v>tabela_zeiss.pdf</x:v>
      </x:c>
      <x:c r="Y2337" s="24" t="str">
        <x:v>alta</x:v>
      </x:c>
      <x:c r="Z2337" s="24"/>
      <x:c r="AA2337" s="24" t="str">
        <x:v>ZEISS|Progressiva|Surfaçada|SmartLife Superb|PhotoFusion X|1.5|1.50|DuraVision Platinum UV|-6.00 a +5.50|-4.00|0.75 a 3.00|75|||38</x:v>
      </x:c>
    </x:row>
    <x:row r="2338">
      <x:c r="A2338" s="24" t="str">
        <x:v>ZS-4E844372031B</x:v>
      </x:c>
      <x:c r="B2338" s="24" t="str">
        <x:v>SIM</x:v>
      </x:c>
      <x:c r="C2338" s="24" t="str">
        <x:v>DISPONÍVEL</x:v>
      </x:c>
      <x:c r="D2338" s="24" t="str">
        <x:v>ZEISS</x:v>
      </x:c>
      <x:c r="E2338" s="24" t="str">
        <x:v>Progressiva</x:v>
      </x:c>
      <x:c r="F2338" s="24" t="str">
        <x:v>Surfaçada</x:v>
      </x:c>
      <x:c r="G2338" s="24" t="str">
        <x:v>SmartLife Superb</x:v>
      </x:c>
      <x:c r="H2338" s="24" t="str">
        <x:v>PhotoFusion X</x:v>
      </x:c>
      <x:c r="I2338" s="24" t="str">
        <x:v>1.5</x:v>
      </x:c>
      <x:c r="J2338" s="24" t="str">
        <x:v>1.50</x:v>
      </x:c>
      <x:c r="K2338" s="24" t="str">
        <x:v>DuraVision Silver UV</x:v>
      </x:c>
      <x:c r="L2338" s="40" t="n">
        <x:v>8300</x:v>
      </x:c>
      <x:c r="M2338" s="24" t="str">
        <x:v>-6.00 a +5.50</x:v>
      </x:c>
      <x:c r="N2338" s="24" t="str">
        <x:v>-4.00</x:v>
      </x:c>
      <x:c r="O2338" s="24" t="str">
        <x:v>0.75 a 3.00</x:v>
      </x:c>
      <x:c r="P2338" s="24" t="str">
        <x:v>75</x:v>
      </x:c>
      <x:c r="Q2338" s="24"/>
      <x:c r="R2338" s="24"/>
      <x:c r="S2338" s="26" t="n">
        <x:v>46113</x:v>
      </x:c>
      <x:c r="T2338" s="26"/>
      <x:c r="U2338" s="24" t="str">
        <x:v>ATIVA/SEM FIM INFORMADO</x:v>
      </x:c>
      <x:c r="V2338" s="24" t="str">
        <x:v>Programa de Parcerias ZEISS</x:v>
      </x:c>
      <x:c r="W2338" s="24" t="n">
        <x:v>38</x:v>
      </x:c>
      <x:c r="X2338" s="24" t="str">
        <x:v>tabela_zeiss.pdf</x:v>
      </x:c>
      <x:c r="Y2338" s="24" t="str">
        <x:v>alta</x:v>
      </x:c>
      <x:c r="Z2338" s="24"/>
      <x:c r="AA2338" s="24" t="str">
        <x:v>ZEISS|Progressiva|Surfaçada|SmartLife Superb|PhotoFusion X|1.5|1.50|DuraVision Silver UV|-6.00 a +5.50|-4.00|0.75 a 3.00|75|||38</x:v>
      </x:c>
    </x:row>
    <x:row r="2339">
      <x:c r="A2339" s="24" t="str">
        <x:v>ZS-9645F4D8CC0E</x:v>
      </x:c>
      <x:c r="B2339" s="24" t="str">
        <x:v>SIM</x:v>
      </x:c>
      <x:c r="C2339" s="24" t="str">
        <x:v>DISPONÍVEL</x:v>
      </x:c>
      <x:c r="D2339" s="24" t="str">
        <x:v>ZEISS</x:v>
      </x:c>
      <x:c r="E2339" s="24" t="str">
        <x:v>Progressiva</x:v>
      </x:c>
      <x:c r="F2339" s="24" t="str">
        <x:v>Surfaçada</x:v>
      </x:c>
      <x:c r="G2339" s="24" t="str">
        <x:v>SmartLife Superb</x:v>
      </x:c>
      <x:c r="H2339" s="24" t="str">
        <x:v>PhotoFusion X</x:v>
      </x:c>
      <x:c r="I2339" s="24" t="str">
        <x:v>1.5</x:v>
      </x:c>
      <x:c r="J2339" s="24" t="str">
        <x:v>1.50</x:v>
      </x:c>
      <x:c r="K2339" s="24" t="str">
        <x:v>DuraVision Chrome UV</x:v>
      </x:c>
      <x:c r="L2339" s="40" t="n">
        <x:v>7810</x:v>
      </x:c>
      <x:c r="M2339" s="24" t="str">
        <x:v>-6.00 a +5.50</x:v>
      </x:c>
      <x:c r="N2339" s="24" t="str">
        <x:v>-4.00</x:v>
      </x:c>
      <x:c r="O2339" s="24" t="str">
        <x:v>0.75 a 3.00</x:v>
      </x:c>
      <x:c r="P2339" s="24" t="str">
        <x:v>75</x:v>
      </x:c>
      <x:c r="Q2339" s="24"/>
      <x:c r="R2339" s="24"/>
      <x:c r="S2339" s="26" t="n">
        <x:v>46113</x:v>
      </x:c>
      <x:c r="T2339" s="26"/>
      <x:c r="U2339" s="24" t="str">
        <x:v>ATIVA/SEM FIM INFORMADO</x:v>
      </x:c>
      <x:c r="V2339" s="24" t="str">
        <x:v>Programa de Parcerias ZEISS</x:v>
      </x:c>
      <x:c r="W2339" s="24" t="n">
        <x:v>38</x:v>
      </x:c>
      <x:c r="X2339" s="24" t="str">
        <x:v>tabela_zeiss.pdf</x:v>
      </x:c>
      <x:c r="Y2339" s="24" t="str">
        <x:v>alta</x:v>
      </x:c>
      <x:c r="Z2339" s="24"/>
      <x:c r="AA2339" s="24" t="str">
        <x:v>ZEISS|Progressiva|Surfaçada|SmartLife Superb|PhotoFusion X|1.5|1.50|DuraVision Chrome UV|-6.00 a +5.50|-4.00|0.75 a 3.00|75|||38</x:v>
      </x:c>
    </x:row>
    <x:row r="2340">
      <x:c r="A2340" s="24" t="str">
        <x:v>ZS-404CDE838BCA</x:v>
      </x:c>
      <x:c r="B2340" s="24" t="str">
        <x:v>SIM</x:v>
      </x:c>
      <x:c r="C2340" s="24" t="str">
        <x:v>DISPONÍVEL</x:v>
      </x:c>
      <x:c r="D2340" s="24" t="str">
        <x:v>ZEISS</x:v>
      </x:c>
      <x:c r="E2340" s="24" t="str">
        <x:v>Progressiva</x:v>
      </x:c>
      <x:c r="F2340" s="24" t="str">
        <x:v>Surfaçada</x:v>
      </x:c>
      <x:c r="G2340" s="24" t="str">
        <x:v>SmartLife Superb</x:v>
      </x:c>
      <x:c r="H2340" s="24" t="str">
        <x:v>PhotoFusion X</x:v>
      </x:c>
      <x:c r="I2340" s="24" t="str">
        <x:v>Poli</x:v>
      </x:c>
      <x:c r="J2340" s="24"/>
      <x:c r="K2340" s="24" t="str">
        <x:v>DuraVision Gold UV</x:v>
      </x:c>
      <x:c r="L2340" s="40" t="n">
        <x:v>9290</x:v>
      </x:c>
      <x:c r="M2340" s="24" t="str">
        <x:v>-10.00 a +6.00</x:v>
      </x:c>
      <x:c r="N2340" s="24" t="str">
        <x:v>-6.00</x:v>
      </x:c>
      <x:c r="O2340" s="24" t="str">
        <x:v>0.75 a 3.00</x:v>
      </x:c>
      <x:c r="P2340" s="24" t="str">
        <x:v>70</x:v>
      </x:c>
      <x:c r="Q2340" s="24"/>
      <x:c r="R2340" s="24"/>
      <x:c r="S2340" s="26" t="n">
        <x:v>46113</x:v>
      </x:c>
      <x:c r="T2340" s="26"/>
      <x:c r="U2340" s="24" t="str">
        <x:v>ATIVA/SEM FIM INFORMADO</x:v>
      </x:c>
      <x:c r="V2340" s="24" t="str">
        <x:v>Programa de Parcerias ZEISS</x:v>
      </x:c>
      <x:c r="W2340" s="24" t="n">
        <x:v>38</x:v>
      </x:c>
      <x:c r="X2340" s="24" t="str">
        <x:v>tabela_zeiss.pdf</x:v>
      </x:c>
      <x:c r="Y2340" s="24" t="str">
        <x:v>alta</x:v>
      </x:c>
      <x:c r="Z2340" s="24"/>
      <x:c r="AA2340" s="24" t="str">
        <x:v>ZEISS|Progressiva|Surfaçada|SmartLife Superb|PhotoFusion X|Poli||DuraVision Gold UV|-10.00 a +6.00|-6.00|0.75 a 3.00|70|||38</x:v>
      </x:c>
    </x:row>
    <x:row r="2341">
      <x:c r="A2341" s="24" t="str">
        <x:v>ZS-CA1C1BD03384</x:v>
      </x:c>
      <x:c r="B2341" s="24" t="str">
        <x:v>SIM</x:v>
      </x:c>
      <x:c r="C2341" s="24" t="str">
        <x:v>DISPONÍVEL</x:v>
      </x:c>
      <x:c r="D2341" s="24" t="str">
        <x:v>ZEISS</x:v>
      </x:c>
      <x:c r="E2341" s="24" t="str">
        <x:v>Progressiva</x:v>
      </x:c>
      <x:c r="F2341" s="24" t="str">
        <x:v>Surfaçada</x:v>
      </x:c>
      <x:c r="G2341" s="24" t="str">
        <x:v>SmartLife Superb</x:v>
      </x:c>
      <x:c r="H2341" s="24" t="str">
        <x:v>PhotoFusion X</x:v>
      </x:c>
      <x:c r="I2341" s="24" t="str">
        <x:v>Poli</x:v>
      </x:c>
      <x:c r="J2341" s="24"/>
      <x:c r="K2341" s="24" t="str">
        <x:v>DuraVision Platinum UV</x:v>
      </x:c>
      <x:c r="L2341" s="40" t="n">
        <x:v>9150</x:v>
      </x:c>
      <x:c r="M2341" s="24" t="str">
        <x:v>-10.00 a +6.00</x:v>
      </x:c>
      <x:c r="N2341" s="24" t="str">
        <x:v>-6.00</x:v>
      </x:c>
      <x:c r="O2341" s="24" t="str">
        <x:v>0.75 a 3.00</x:v>
      </x:c>
      <x:c r="P2341" s="24" t="str">
        <x:v>70</x:v>
      </x:c>
      <x:c r="Q2341" s="24"/>
      <x:c r="R2341" s="24"/>
      <x:c r="S2341" s="26" t="n">
        <x:v>46113</x:v>
      </x:c>
      <x:c r="T2341" s="26"/>
      <x:c r="U2341" s="24" t="str">
        <x:v>ATIVA/SEM FIM INFORMADO</x:v>
      </x:c>
      <x:c r="V2341" s="24" t="str">
        <x:v>Programa de Parcerias ZEISS</x:v>
      </x:c>
      <x:c r="W2341" s="24" t="n">
        <x:v>38</x:v>
      </x:c>
      <x:c r="X2341" s="24" t="str">
        <x:v>tabela_zeiss.pdf</x:v>
      </x:c>
      <x:c r="Y2341" s="24" t="str">
        <x:v>alta</x:v>
      </x:c>
      <x:c r="Z2341" s="24"/>
      <x:c r="AA2341" s="24" t="str">
        <x:v>ZEISS|Progressiva|Surfaçada|SmartLife Superb|PhotoFusion X|Poli||DuraVision Platinum UV|-10.00 a +6.00|-6.00|0.75 a 3.00|70|||38</x:v>
      </x:c>
    </x:row>
    <x:row r="2342">
      <x:c r="A2342" s="24" t="str">
        <x:v>ZS-A04A500902FD</x:v>
      </x:c>
      <x:c r="B2342" s="24" t="str">
        <x:v>SIM</x:v>
      </x:c>
      <x:c r="C2342" s="24" t="str">
        <x:v>DISPONÍVEL</x:v>
      </x:c>
      <x:c r="D2342" s="24" t="str">
        <x:v>ZEISS</x:v>
      </x:c>
      <x:c r="E2342" s="24" t="str">
        <x:v>Progressiva</x:v>
      </x:c>
      <x:c r="F2342" s="24" t="str">
        <x:v>Surfaçada</x:v>
      </x:c>
      <x:c r="G2342" s="24" t="str">
        <x:v>SmartLife Superb</x:v>
      </x:c>
      <x:c r="H2342" s="24" t="str">
        <x:v>PhotoFusion X</x:v>
      </x:c>
      <x:c r="I2342" s="24" t="str">
        <x:v>Poli</x:v>
      </x:c>
      <x:c r="J2342" s="24"/>
      <x:c r="K2342" s="24" t="str">
        <x:v>DuraVision Silver UV</x:v>
      </x:c>
      <x:c r="L2342" s="40" t="n">
        <x:v>8890</x:v>
      </x:c>
      <x:c r="M2342" s="24" t="str">
        <x:v>-10.00 a +6.00</x:v>
      </x:c>
      <x:c r="N2342" s="24" t="str">
        <x:v>-6.00</x:v>
      </x:c>
      <x:c r="O2342" s="24" t="str">
        <x:v>0.75 a 3.00</x:v>
      </x:c>
      <x:c r="P2342" s="24" t="str">
        <x:v>70</x:v>
      </x:c>
      <x:c r="Q2342" s="24"/>
      <x:c r="R2342" s="24"/>
      <x:c r="S2342" s="26" t="n">
        <x:v>46113</x:v>
      </x:c>
      <x:c r="T2342" s="26"/>
      <x:c r="U2342" s="24" t="str">
        <x:v>ATIVA/SEM FIM INFORMADO</x:v>
      </x:c>
      <x:c r="V2342" s="24" t="str">
        <x:v>Programa de Parcerias ZEISS</x:v>
      </x:c>
      <x:c r="W2342" s="24" t="n">
        <x:v>38</x:v>
      </x:c>
      <x:c r="X2342" s="24" t="str">
        <x:v>tabela_zeiss.pdf</x:v>
      </x:c>
      <x:c r="Y2342" s="24" t="str">
        <x:v>alta</x:v>
      </x:c>
      <x:c r="Z2342" s="24"/>
      <x:c r="AA2342" s="24" t="str">
        <x:v>ZEISS|Progressiva|Surfaçada|SmartLife Superb|PhotoFusion X|Poli||DuraVision Silver UV|-10.00 a +6.00|-6.00|0.75 a 3.00|70|||38</x:v>
      </x:c>
    </x:row>
    <x:row r="2343">
      <x:c r="A2343" s="24" t="str">
        <x:v>ZS-67DDF499FBF9</x:v>
      </x:c>
      <x:c r="B2343" s="24" t="str">
        <x:v>SIM</x:v>
      </x:c>
      <x:c r="C2343" s="24" t="str">
        <x:v>DISPONÍVEL</x:v>
      </x:c>
      <x:c r="D2343" s="24" t="str">
        <x:v>ZEISS</x:v>
      </x:c>
      <x:c r="E2343" s="24" t="str">
        <x:v>Progressiva</x:v>
      </x:c>
      <x:c r="F2343" s="24" t="str">
        <x:v>Surfaçada</x:v>
      </x:c>
      <x:c r="G2343" s="24" t="str">
        <x:v>SmartLife Superb</x:v>
      </x:c>
      <x:c r="H2343" s="24" t="str">
        <x:v>PhotoFusion X</x:v>
      </x:c>
      <x:c r="I2343" s="24" t="str">
        <x:v>Poli</x:v>
      </x:c>
      <x:c r="J2343" s="24"/>
      <x:c r="K2343" s="24" t="str">
        <x:v>DuraVision Chrome UV</x:v>
      </x:c>
      <x:c r="L2343" s="40" t="n">
        <x:v>8400</x:v>
      </x:c>
      <x:c r="M2343" s="24" t="str">
        <x:v>-10.00 a +6.00</x:v>
      </x:c>
      <x:c r="N2343" s="24" t="str">
        <x:v>-6.00</x:v>
      </x:c>
      <x:c r="O2343" s="24" t="str">
        <x:v>0.75 a 3.00</x:v>
      </x:c>
      <x:c r="P2343" s="24" t="str">
        <x:v>70</x:v>
      </x:c>
      <x:c r="Q2343" s="24"/>
      <x:c r="R2343" s="24"/>
      <x:c r="S2343" s="26" t="n">
        <x:v>46113</x:v>
      </x:c>
      <x:c r="T2343" s="26"/>
      <x:c r="U2343" s="24" t="str">
        <x:v>ATIVA/SEM FIM INFORMADO</x:v>
      </x:c>
      <x:c r="V2343" s="24" t="str">
        <x:v>Programa de Parcerias ZEISS</x:v>
      </x:c>
      <x:c r="W2343" s="24" t="n">
        <x:v>38</x:v>
      </x:c>
      <x:c r="X2343" s="24" t="str">
        <x:v>tabela_zeiss.pdf</x:v>
      </x:c>
      <x:c r="Y2343" s="24" t="str">
        <x:v>alta</x:v>
      </x:c>
      <x:c r="Z2343" s="24"/>
      <x:c r="AA2343" s="24" t="str">
        <x:v>ZEISS|Progressiva|Surfaçada|SmartLife Superb|PhotoFusion X|Poli||DuraVision Chrome UV|-10.00 a +6.00|-6.00|0.75 a 3.00|70|||38</x:v>
      </x:c>
    </x:row>
    <x:row r="2344">
      <x:c r="A2344" s="24" t="str">
        <x:v>ZS-BB7E00430B7D</x:v>
      </x:c>
      <x:c r="B2344" s="24" t="str">
        <x:v>SIM</x:v>
      </x:c>
      <x:c r="C2344" s="24" t="str">
        <x:v>DISPONÍVEL</x:v>
      </x:c>
      <x:c r="D2344" s="24" t="str">
        <x:v>ZEISS</x:v>
      </x:c>
      <x:c r="E2344" s="24" t="str">
        <x:v>Progressiva</x:v>
      </x:c>
      <x:c r="F2344" s="24" t="str">
        <x:v>Surfaçada</x:v>
      </x:c>
      <x:c r="G2344" s="24" t="str">
        <x:v>SmartLife Superb</x:v>
      </x:c>
      <x:c r="H2344" s="24" t="str">
        <x:v>PhotoFusion X</x:v>
      </x:c>
      <x:c r="I2344" s="24" t="str">
        <x:v>1.6</x:v>
      </x:c>
      <x:c r="J2344" s="24" t="str">
        <x:v>1.60</x:v>
      </x:c>
      <x:c r="K2344" s="24" t="str">
        <x:v>DuraVision Gold UV</x:v>
      </x:c>
      <x:c r="L2344" s="40" t="n">
        <x:v>9950</x:v>
      </x:c>
      <x:c r="M2344" s="24" t="str">
        <x:v>-7.25 a +6.00</x:v>
      </x:c>
      <x:c r="N2344" s="24" t="str">
        <x:v>-6.00</x:v>
      </x:c>
      <x:c r="O2344" s="24" t="str">
        <x:v>0.75 a 3.50</x:v>
      </x:c>
      <x:c r="P2344" s="24" t="str">
        <x:v>75</x:v>
      </x:c>
      <x:c r="Q2344" s="24"/>
      <x:c r="R2344" s="24"/>
      <x:c r="S2344" s="26" t="n">
        <x:v>46113</x:v>
      </x:c>
      <x:c r="T2344" s="26"/>
      <x:c r="U2344" s="24" t="str">
        <x:v>ATIVA/SEM FIM INFORMADO</x:v>
      </x:c>
      <x:c r="V2344" s="24" t="str">
        <x:v>Programa de Parcerias ZEISS</x:v>
      </x:c>
      <x:c r="W2344" s="24" t="n">
        <x:v>38</x:v>
      </x:c>
      <x:c r="X2344" s="24" t="str">
        <x:v>tabela_zeiss.pdf</x:v>
      </x:c>
      <x:c r="Y2344" s="24" t="str">
        <x:v>alta</x:v>
      </x:c>
      <x:c r="Z2344" s="24"/>
      <x:c r="AA2344" s="24" t="str">
        <x:v>ZEISS|Progressiva|Surfaçada|SmartLife Superb|PhotoFusion X|1.6|1.60|DuraVision Gold UV|-7.25 a +6.00|-6.00|0.75 a 3.50|75|||38</x:v>
      </x:c>
    </x:row>
    <x:row r="2345">
      <x:c r="A2345" s="24" t="str">
        <x:v>ZS-4822A848D8EA</x:v>
      </x:c>
      <x:c r="B2345" s="24" t="str">
        <x:v>SIM</x:v>
      </x:c>
      <x:c r="C2345" s="24" t="str">
        <x:v>DISPONÍVEL</x:v>
      </x:c>
      <x:c r="D2345" s="24" t="str">
        <x:v>ZEISS</x:v>
      </x:c>
      <x:c r="E2345" s="24" t="str">
        <x:v>Progressiva</x:v>
      </x:c>
      <x:c r="F2345" s="24" t="str">
        <x:v>Surfaçada</x:v>
      </x:c>
      <x:c r="G2345" s="24" t="str">
        <x:v>SmartLife Superb</x:v>
      </x:c>
      <x:c r="H2345" s="24" t="str">
        <x:v>PhotoFusion X</x:v>
      </x:c>
      <x:c r="I2345" s="24" t="str">
        <x:v>1.6</x:v>
      </x:c>
      <x:c r="J2345" s="24" t="str">
        <x:v>1.60</x:v>
      </x:c>
      <x:c r="K2345" s="24" t="str">
        <x:v>DURAVISION® ANTIVÍRUS PLATINUM UV</x:v>
      </x:c>
      <x:c r="L2345" s="40" t="n">
        <x:v>9810</x:v>
      </x:c>
      <x:c r="M2345" s="24" t="str">
        <x:v>-7.25 a +6.00</x:v>
      </x:c>
      <x:c r="N2345" s="24" t="str">
        <x:v>-6.00</x:v>
      </x:c>
      <x:c r="O2345" s="24" t="str">
        <x:v>0.75 a 3.50</x:v>
      </x:c>
      <x:c r="P2345" s="24" t="str">
        <x:v>75</x:v>
      </x:c>
      <x:c r="Q2345" s="24"/>
      <x:c r="R2345" s="24"/>
      <x:c r="S2345" s="26" t="n">
        <x:v>46113</x:v>
      </x:c>
      <x:c r="T2345" s="26"/>
      <x:c r="U2345" s="24" t="str">
        <x:v>ATIVA/SEM FIM INFORMADO</x:v>
      </x:c>
      <x:c r="V2345" s="24" t="str">
        <x:v>Programa de Parcerias ZEISS</x:v>
      </x:c>
      <x:c r="W2345" s="24" t="n">
        <x:v>38</x:v>
      </x:c>
      <x:c r="X2345" s="24" t="str">
        <x:v>tabela_zeiss.pdf</x:v>
      </x:c>
      <x:c r="Y2345" s="24" t="str">
        <x:v>alta</x:v>
      </x:c>
      <x:c r="Z2345" s="24"/>
      <x:c r="AA2345" s="24" t="str">
        <x:v>ZEISS|Progressiva|Surfaçada|SmartLife Superb|PhotoFusion X|1.6|1.60|DURAVISION® ANTIVÍRUS PLATINUM UV|-7.25 a +6.00|-6.00|0.75 a 3.50|75|||38</x:v>
      </x:c>
    </x:row>
    <x:row r="2346">
      <x:c r="A2346" s="24" t="str">
        <x:v>ZS-A2E0D1DE8118</x:v>
      </x:c>
      <x:c r="B2346" s="24" t="str">
        <x:v>SIM</x:v>
      </x:c>
      <x:c r="C2346" s="24" t="str">
        <x:v>DISPONÍVEL</x:v>
      </x:c>
      <x:c r="D2346" s="24" t="str">
        <x:v>ZEISS</x:v>
      </x:c>
      <x:c r="E2346" s="24" t="str">
        <x:v>Progressiva</x:v>
      </x:c>
      <x:c r="F2346" s="24" t="str">
        <x:v>Surfaçada</x:v>
      </x:c>
      <x:c r="G2346" s="24" t="str">
        <x:v>SmartLife Superb</x:v>
      </x:c>
      <x:c r="H2346" s="24" t="str">
        <x:v>PhotoFusion X</x:v>
      </x:c>
      <x:c r="I2346" s="24" t="str">
        <x:v>1.6</x:v>
      </x:c>
      <x:c r="J2346" s="24" t="str">
        <x:v>1.60</x:v>
      </x:c>
      <x:c r="K2346" s="24" t="str">
        <x:v>DuraVision Platinum UV</x:v>
      </x:c>
      <x:c r="L2346" s="40" t="n">
        <x:v>9810</x:v>
      </x:c>
      <x:c r="M2346" s="24" t="str">
        <x:v>-7.25 a +6.00</x:v>
      </x:c>
      <x:c r="N2346" s="24" t="str">
        <x:v>-6.00</x:v>
      </x:c>
      <x:c r="O2346" s="24" t="str">
        <x:v>0.75 a 3.50</x:v>
      </x:c>
      <x:c r="P2346" s="24" t="str">
        <x:v>75</x:v>
      </x:c>
      <x:c r="Q2346" s="24"/>
      <x:c r="R2346" s="24"/>
      <x:c r="S2346" s="26" t="n">
        <x:v>46113</x:v>
      </x:c>
      <x:c r="T2346" s="26"/>
      <x:c r="U2346" s="24" t="str">
        <x:v>ATIVA/SEM FIM INFORMADO</x:v>
      </x:c>
      <x:c r="V2346" s="24" t="str">
        <x:v>Programa de Parcerias ZEISS</x:v>
      </x:c>
      <x:c r="W2346" s="24" t="n">
        <x:v>38</x:v>
      </x:c>
      <x:c r="X2346" s="24" t="str">
        <x:v>tabela_zeiss.pdf</x:v>
      </x:c>
      <x:c r="Y2346" s="24" t="str">
        <x:v>alta</x:v>
      </x:c>
      <x:c r="Z2346" s="24"/>
      <x:c r="AA2346" s="24" t="str">
        <x:v>ZEISS|Progressiva|Surfaçada|SmartLife Superb|PhotoFusion X|1.6|1.60|DuraVision Platinum UV|-7.25 a +6.00|-6.00|0.75 a 3.50|75|||38</x:v>
      </x:c>
    </x:row>
    <x:row r="2347">
      <x:c r="A2347" s="24" t="str">
        <x:v>ZS-02EC59F8A640</x:v>
      </x:c>
      <x:c r="B2347" s="24" t="str">
        <x:v>SIM</x:v>
      </x:c>
      <x:c r="C2347" s="24" t="str">
        <x:v>DISPONÍVEL</x:v>
      </x:c>
      <x:c r="D2347" s="24" t="str">
        <x:v>ZEISS</x:v>
      </x:c>
      <x:c r="E2347" s="24" t="str">
        <x:v>Progressiva</x:v>
      </x:c>
      <x:c r="F2347" s="24" t="str">
        <x:v>Surfaçada</x:v>
      </x:c>
      <x:c r="G2347" s="24" t="str">
        <x:v>SmartLife Superb</x:v>
      </x:c>
      <x:c r="H2347" s="24" t="str">
        <x:v>PhotoFusion X</x:v>
      </x:c>
      <x:c r="I2347" s="24" t="str">
        <x:v>1.6</x:v>
      </x:c>
      <x:c r="J2347" s="24" t="str">
        <x:v>1.60</x:v>
      </x:c>
      <x:c r="K2347" s="24" t="str">
        <x:v>DuraVision Silver UV</x:v>
      </x:c>
      <x:c r="L2347" s="40" t="n">
        <x:v>9550</x:v>
      </x:c>
      <x:c r="M2347" s="24" t="str">
        <x:v>-7.25 a +6.00</x:v>
      </x:c>
      <x:c r="N2347" s="24" t="str">
        <x:v>-6.00</x:v>
      </x:c>
      <x:c r="O2347" s="24" t="str">
        <x:v>0.75 a 3.50</x:v>
      </x:c>
      <x:c r="P2347" s="24" t="str">
        <x:v>75</x:v>
      </x:c>
      <x:c r="Q2347" s="24"/>
      <x:c r="R2347" s="24"/>
      <x:c r="S2347" s="26" t="n">
        <x:v>46113</x:v>
      </x:c>
      <x:c r="T2347" s="26"/>
      <x:c r="U2347" s="24" t="str">
        <x:v>ATIVA/SEM FIM INFORMADO</x:v>
      </x:c>
      <x:c r="V2347" s="24" t="str">
        <x:v>Programa de Parcerias ZEISS</x:v>
      </x:c>
      <x:c r="W2347" s="24" t="n">
        <x:v>38</x:v>
      </x:c>
      <x:c r="X2347" s="24" t="str">
        <x:v>tabela_zeiss.pdf</x:v>
      </x:c>
      <x:c r="Y2347" s="24" t="str">
        <x:v>alta</x:v>
      </x:c>
      <x:c r="Z2347" s="24"/>
      <x:c r="AA2347" s="24" t="str">
        <x:v>ZEISS|Progressiva|Surfaçada|SmartLife Superb|PhotoFusion X|1.6|1.60|DuraVision Silver UV|-7.25 a +6.00|-6.00|0.75 a 3.50|75|||38</x:v>
      </x:c>
    </x:row>
    <x:row r="2348">
      <x:c r="A2348" s="24" t="str">
        <x:v>ZS-3BF7A882BFA2</x:v>
      </x:c>
      <x:c r="B2348" s="24" t="str">
        <x:v>SIM</x:v>
      </x:c>
      <x:c r="C2348" s="24" t="str">
        <x:v>DISPONÍVEL</x:v>
      </x:c>
      <x:c r="D2348" s="24" t="str">
        <x:v>ZEISS</x:v>
      </x:c>
      <x:c r="E2348" s="24" t="str">
        <x:v>Progressiva</x:v>
      </x:c>
      <x:c r="F2348" s="24" t="str">
        <x:v>Surfaçada</x:v>
      </x:c>
      <x:c r="G2348" s="24" t="str">
        <x:v>SmartLife Superb</x:v>
      </x:c>
      <x:c r="H2348" s="24" t="str">
        <x:v>PhotoFusion X</x:v>
      </x:c>
      <x:c r="I2348" s="24" t="str">
        <x:v>1.6</x:v>
      </x:c>
      <x:c r="J2348" s="24" t="str">
        <x:v>1.60</x:v>
      </x:c>
      <x:c r="K2348" s="24" t="str">
        <x:v>DuraVision Chrome UV</x:v>
      </x:c>
      <x:c r="L2348" s="40" t="n">
        <x:v>9060</x:v>
      </x:c>
      <x:c r="M2348" s="24" t="str">
        <x:v>-7.25 a +6.00</x:v>
      </x:c>
      <x:c r="N2348" s="24" t="str">
        <x:v>-6.00</x:v>
      </x:c>
      <x:c r="O2348" s="24" t="str">
        <x:v>0.75 a 3.50</x:v>
      </x:c>
      <x:c r="P2348" s="24" t="str">
        <x:v>75</x:v>
      </x:c>
      <x:c r="Q2348" s="24"/>
      <x:c r="R2348" s="24"/>
      <x:c r="S2348" s="26" t="n">
        <x:v>46113</x:v>
      </x:c>
      <x:c r="T2348" s="26"/>
      <x:c r="U2348" s="24" t="str">
        <x:v>ATIVA/SEM FIM INFORMADO</x:v>
      </x:c>
      <x:c r="V2348" s="24" t="str">
        <x:v>Programa de Parcerias ZEISS</x:v>
      </x:c>
      <x:c r="W2348" s="24" t="n">
        <x:v>38</x:v>
      </x:c>
      <x:c r="X2348" s="24" t="str">
        <x:v>tabela_zeiss.pdf</x:v>
      </x:c>
      <x:c r="Y2348" s="24" t="str">
        <x:v>alta</x:v>
      </x:c>
      <x:c r="Z2348" s="24"/>
      <x:c r="AA2348" s="24" t="str">
        <x:v>ZEISS|Progressiva|Surfaçada|SmartLife Superb|PhotoFusion X|1.6|1.60|DuraVision Chrome UV|-7.25 a +6.00|-6.00|0.75 a 3.50|75|||38</x:v>
      </x:c>
    </x:row>
    <x:row r="2349">
      <x:c r="A2349" s="24" t="str">
        <x:v>ZS-CF5C3FE3871E</x:v>
      </x:c>
      <x:c r="B2349" s="24" t="str">
        <x:v>SIM</x:v>
      </x:c>
      <x:c r="C2349" s="24" t="str">
        <x:v>DISPONÍVEL</x:v>
      </x:c>
      <x:c r="D2349" s="24" t="str">
        <x:v>ZEISS</x:v>
      </x:c>
      <x:c r="E2349" s="24" t="str">
        <x:v>Progressiva</x:v>
      </x:c>
      <x:c r="F2349" s="24" t="str">
        <x:v>Surfaçada</x:v>
      </x:c>
      <x:c r="G2349" s="24" t="str">
        <x:v>SmartLife Superb</x:v>
      </x:c>
      <x:c r="H2349" s="24" t="str">
        <x:v>PhotoFusion X</x:v>
      </x:c>
      <x:c r="I2349" s="24" t="str">
        <x:v>1.67</x:v>
      </x:c>
      <x:c r="J2349" s="24" t="str">
        <x:v>1.67</x:v>
      </x:c>
      <x:c r="K2349" s="24" t="str">
        <x:v>DuraVision Gold UV</x:v>
      </x:c>
      <x:c r="L2349" s="40" t="n">
        <x:v>11590</x:v>
      </x:c>
      <x:c r="M2349" s="24" t="str">
        <x:v>-8.00 a +8.00</x:v>
      </x:c>
      <x:c r="N2349" s="24" t="str">
        <x:v>-4.00</x:v>
      </x:c>
      <x:c r="O2349" s="24" t="str">
        <x:v>0.75 a 3.00</x:v>
      </x:c>
      <x:c r="P2349" s="24" t="str">
        <x:v>70</x:v>
      </x:c>
      <x:c r="Q2349" s="24"/>
      <x:c r="R2349" s="24"/>
      <x:c r="S2349" s="26" t="n">
        <x:v>46113</x:v>
      </x:c>
      <x:c r="T2349" s="26"/>
      <x:c r="U2349" s="24" t="str">
        <x:v>ATIVA/SEM FIM INFORMADO</x:v>
      </x:c>
      <x:c r="V2349" s="24" t="str">
        <x:v>Programa de Parcerias ZEISS</x:v>
      </x:c>
      <x:c r="W2349" s="24" t="n">
        <x:v>38</x:v>
      </x:c>
      <x:c r="X2349" s="24" t="str">
        <x:v>tabela_zeiss.pdf</x:v>
      </x:c>
      <x:c r="Y2349" s="24" t="str">
        <x:v>alta</x:v>
      </x:c>
      <x:c r="Z2349" s="24"/>
      <x:c r="AA2349" s="24" t="str">
        <x:v>ZEISS|Progressiva|Surfaçada|SmartLife Superb|PhotoFusion X|1.67|1.67|DuraVision Gold UV|-8.00 a +8.00|-4.00|0.75 a 3.00|70|||38</x:v>
      </x:c>
    </x:row>
    <x:row r="2350">
      <x:c r="A2350" s="24" t="str">
        <x:v>ZS-89BDC29AEA90</x:v>
      </x:c>
      <x:c r="B2350" s="24" t="str">
        <x:v>SIM</x:v>
      </x:c>
      <x:c r="C2350" s="24" t="str">
        <x:v>DISPONÍVEL</x:v>
      </x:c>
      <x:c r="D2350" s="24" t="str">
        <x:v>ZEISS</x:v>
      </x:c>
      <x:c r="E2350" s="24" t="str">
        <x:v>Progressiva</x:v>
      </x:c>
      <x:c r="F2350" s="24" t="str">
        <x:v>Surfaçada</x:v>
      </x:c>
      <x:c r="G2350" s="24" t="str">
        <x:v>SmartLife Superb</x:v>
      </x:c>
      <x:c r="H2350" s="24" t="str">
        <x:v>PhotoFusion X</x:v>
      </x:c>
      <x:c r="I2350" s="24" t="str">
        <x:v>1.67</x:v>
      </x:c>
      <x:c r="J2350" s="24" t="str">
        <x:v>1.67</x:v>
      </x:c>
      <x:c r="K2350" s="24" t="str">
        <x:v>DURAVISION® ANTIVÍRUS PLATINUM UV</x:v>
      </x:c>
      <x:c r="L2350" s="40" t="n">
        <x:v>11450</x:v>
      </x:c>
      <x:c r="M2350" s="24" t="str">
        <x:v>-8.00 a +8.00</x:v>
      </x:c>
      <x:c r="N2350" s="24" t="str">
        <x:v>-4.00</x:v>
      </x:c>
      <x:c r="O2350" s="24" t="str">
        <x:v>0.75 a 3.00</x:v>
      </x:c>
      <x:c r="P2350" s="24" t="str">
        <x:v>70</x:v>
      </x:c>
      <x:c r="Q2350" s="24"/>
      <x:c r="R2350" s="24"/>
      <x:c r="S2350" s="26" t="n">
        <x:v>46113</x:v>
      </x:c>
      <x:c r="T2350" s="26"/>
      <x:c r="U2350" s="24" t="str">
        <x:v>ATIVA/SEM FIM INFORMADO</x:v>
      </x:c>
      <x:c r="V2350" s="24" t="str">
        <x:v>Programa de Parcerias ZEISS</x:v>
      </x:c>
      <x:c r="W2350" s="24" t="n">
        <x:v>38</x:v>
      </x:c>
      <x:c r="X2350" s="24" t="str">
        <x:v>tabela_zeiss.pdf</x:v>
      </x:c>
      <x:c r="Y2350" s="24" t="str">
        <x:v>alta</x:v>
      </x:c>
      <x:c r="Z2350" s="24"/>
      <x:c r="AA2350" s="24" t="str">
        <x:v>ZEISS|Progressiva|Surfaçada|SmartLife Superb|PhotoFusion X|1.67|1.67|DURAVISION® ANTIVÍRUS PLATINUM UV|-8.00 a +8.00|-4.00|0.75 a 3.00|70|||38</x:v>
      </x:c>
    </x:row>
    <x:row r="2351">
      <x:c r="A2351" s="24" t="str">
        <x:v>ZS-F6258087A9E0</x:v>
      </x:c>
      <x:c r="B2351" s="24" t="str">
        <x:v>SIM</x:v>
      </x:c>
      <x:c r="C2351" s="24" t="str">
        <x:v>DISPONÍVEL</x:v>
      </x:c>
      <x:c r="D2351" s="24" t="str">
        <x:v>ZEISS</x:v>
      </x:c>
      <x:c r="E2351" s="24" t="str">
        <x:v>Progressiva</x:v>
      </x:c>
      <x:c r="F2351" s="24" t="str">
        <x:v>Surfaçada</x:v>
      </x:c>
      <x:c r="G2351" s="24" t="str">
        <x:v>SmartLife Superb</x:v>
      </x:c>
      <x:c r="H2351" s="24" t="str">
        <x:v>PhotoFusion X</x:v>
      </x:c>
      <x:c r="I2351" s="24" t="str">
        <x:v>1.67</x:v>
      </x:c>
      <x:c r="J2351" s="24" t="str">
        <x:v>1.67</x:v>
      </x:c>
      <x:c r="K2351" s="24" t="str">
        <x:v>DuraVision Platinum UV</x:v>
      </x:c>
      <x:c r="L2351" s="40" t="n">
        <x:v>11450</x:v>
      </x:c>
      <x:c r="M2351" s="24" t="str">
        <x:v>-8.00 a +8.00</x:v>
      </x:c>
      <x:c r="N2351" s="24" t="str">
        <x:v>-4.00</x:v>
      </x:c>
      <x:c r="O2351" s="24" t="str">
        <x:v>0.75 a 3.00</x:v>
      </x:c>
      <x:c r="P2351" s="24" t="str">
        <x:v>70</x:v>
      </x:c>
      <x:c r="Q2351" s="24"/>
      <x:c r="R2351" s="24"/>
      <x:c r="S2351" s="26" t="n">
        <x:v>46113</x:v>
      </x:c>
      <x:c r="T2351" s="26"/>
      <x:c r="U2351" s="24" t="str">
        <x:v>ATIVA/SEM FIM INFORMADO</x:v>
      </x:c>
      <x:c r="V2351" s="24" t="str">
        <x:v>Programa de Parcerias ZEISS</x:v>
      </x:c>
      <x:c r="W2351" s="24" t="n">
        <x:v>38</x:v>
      </x:c>
      <x:c r="X2351" s="24" t="str">
        <x:v>tabela_zeiss.pdf</x:v>
      </x:c>
      <x:c r="Y2351" s="24" t="str">
        <x:v>alta</x:v>
      </x:c>
      <x:c r="Z2351" s="24"/>
      <x:c r="AA2351" s="24" t="str">
        <x:v>ZEISS|Progressiva|Surfaçada|SmartLife Superb|PhotoFusion X|1.67|1.67|DuraVision Platinum UV|-8.00 a +8.00|-4.00|0.75 a 3.00|70|||38</x:v>
      </x:c>
    </x:row>
    <x:row r="2352">
      <x:c r="A2352" s="24" t="str">
        <x:v>ZS-FD522755C93C</x:v>
      </x:c>
      <x:c r="B2352" s="24" t="str">
        <x:v>SIM</x:v>
      </x:c>
      <x:c r="C2352" s="24" t="str">
        <x:v>DISPONÍVEL</x:v>
      </x:c>
      <x:c r="D2352" s="24" t="str">
        <x:v>ZEISS</x:v>
      </x:c>
      <x:c r="E2352" s="24" t="str">
        <x:v>Progressiva</x:v>
      </x:c>
      <x:c r="F2352" s="24" t="str">
        <x:v>Surfaçada</x:v>
      </x:c>
      <x:c r="G2352" s="24" t="str">
        <x:v>SmartLife Superb</x:v>
      </x:c>
      <x:c r="H2352" s="24" t="str">
        <x:v>PhotoFusion X</x:v>
      </x:c>
      <x:c r="I2352" s="24" t="str">
        <x:v>1.67</x:v>
      </x:c>
      <x:c r="J2352" s="24" t="str">
        <x:v>1.67</x:v>
      </x:c>
      <x:c r="K2352" s="24" t="str">
        <x:v>DuraVision Silver UV</x:v>
      </x:c>
      <x:c r="L2352" s="40" t="n">
        <x:v>11190</x:v>
      </x:c>
      <x:c r="M2352" s="24" t="str">
        <x:v>-8.00 a +8.00</x:v>
      </x:c>
      <x:c r="N2352" s="24" t="str">
        <x:v>-4.00</x:v>
      </x:c>
      <x:c r="O2352" s="24" t="str">
        <x:v>0.75 a 3.00</x:v>
      </x:c>
      <x:c r="P2352" s="24" t="str">
        <x:v>70</x:v>
      </x:c>
      <x:c r="Q2352" s="24"/>
      <x:c r="R2352" s="24"/>
      <x:c r="S2352" s="26" t="n">
        <x:v>46113</x:v>
      </x:c>
      <x:c r="T2352" s="26"/>
      <x:c r="U2352" s="24" t="str">
        <x:v>ATIVA/SEM FIM INFORMADO</x:v>
      </x:c>
      <x:c r="V2352" s="24" t="str">
        <x:v>Programa de Parcerias ZEISS</x:v>
      </x:c>
      <x:c r="W2352" s="24" t="n">
        <x:v>38</x:v>
      </x:c>
      <x:c r="X2352" s="24" t="str">
        <x:v>tabela_zeiss.pdf</x:v>
      </x:c>
      <x:c r="Y2352" s="24" t="str">
        <x:v>alta</x:v>
      </x:c>
      <x:c r="Z2352" s="24"/>
      <x:c r="AA2352" s="24" t="str">
        <x:v>ZEISS|Progressiva|Surfaçada|SmartLife Superb|PhotoFusion X|1.67|1.67|DuraVision Silver UV|-8.00 a +8.00|-4.00|0.75 a 3.00|70|||38</x:v>
      </x:c>
    </x:row>
    <x:row r="2353">
      <x:c r="A2353" s="24" t="str">
        <x:v>ZS-9C623E133FAC</x:v>
      </x:c>
      <x:c r="B2353" s="24" t="str">
        <x:v>SIM</x:v>
      </x:c>
      <x:c r="C2353" s="24" t="str">
        <x:v>DISPONÍVEL</x:v>
      </x:c>
      <x:c r="D2353" s="24" t="str">
        <x:v>ZEISS</x:v>
      </x:c>
      <x:c r="E2353" s="24" t="str">
        <x:v>Progressiva</x:v>
      </x:c>
      <x:c r="F2353" s="24" t="str">
        <x:v>Surfaçada</x:v>
      </x:c>
      <x:c r="G2353" s="24" t="str">
        <x:v>SmartLife Superb</x:v>
      </x:c>
      <x:c r="H2353" s="24" t="str">
        <x:v>PhotoFusion X</x:v>
      </x:c>
      <x:c r="I2353" s="24" t="str">
        <x:v>1.67</x:v>
      </x:c>
      <x:c r="J2353" s="24" t="str">
        <x:v>1.67</x:v>
      </x:c>
      <x:c r="K2353" s="24" t="str">
        <x:v>DuraVision Chrome UV</x:v>
      </x:c>
      <x:c r="L2353" s="40" t="n">
        <x:v>10700</x:v>
      </x:c>
      <x:c r="M2353" s="24" t="str">
        <x:v>-8.00 a +8.00</x:v>
      </x:c>
      <x:c r="N2353" s="24" t="str">
        <x:v>-4.00</x:v>
      </x:c>
      <x:c r="O2353" s="24" t="str">
        <x:v>0.75 a 3.00</x:v>
      </x:c>
      <x:c r="P2353" s="24" t="str">
        <x:v>70</x:v>
      </x:c>
      <x:c r="Q2353" s="24"/>
      <x:c r="R2353" s="24"/>
      <x:c r="S2353" s="26" t="n">
        <x:v>46113</x:v>
      </x:c>
      <x:c r="T2353" s="26"/>
      <x:c r="U2353" s="24" t="str">
        <x:v>ATIVA/SEM FIM INFORMADO</x:v>
      </x:c>
      <x:c r="V2353" s="24" t="str">
        <x:v>Programa de Parcerias ZEISS</x:v>
      </x:c>
      <x:c r="W2353" s="24" t="n">
        <x:v>38</x:v>
      </x:c>
      <x:c r="X2353" s="24" t="str">
        <x:v>tabela_zeiss.pdf</x:v>
      </x:c>
      <x:c r="Y2353" s="24" t="str">
        <x:v>alta</x:v>
      </x:c>
      <x:c r="Z2353" s="24"/>
      <x:c r="AA2353" s="24" t="str">
        <x:v>ZEISS|Progressiva|Surfaçada|SmartLife Superb|PhotoFusion X|1.67|1.67|DuraVision Chrome UV|-8.00 a +8.00|-4.00|0.75 a 3.00|70|||38</x:v>
      </x:c>
    </x:row>
    <x:row r="2354">
      <x:c r="A2354" s="24" t="str">
        <x:v>ZS-9A6F4D4F6B7B</x:v>
      </x:c>
      <x:c r="B2354" s="24" t="str">
        <x:v>SIM</x:v>
      </x:c>
      <x:c r="C2354" s="24" t="str">
        <x:v>DISPONÍVEL</x:v>
      </x:c>
      <x:c r="D2354" s="24" t="str">
        <x:v>ZEISS</x:v>
      </x:c>
      <x:c r="E2354" s="24" t="str">
        <x:v>Progressiva</x:v>
      </x:c>
      <x:c r="F2354" s="24" t="str">
        <x:v>Surfaçada</x:v>
      </x:c>
      <x:c r="G2354" s="24" t="str">
        <x:v>SmartLife Superb</x:v>
      </x:c>
      <x:c r="H2354" s="24" t="str">
        <x:v>PhotoFusion X Extra Dark Cinza</x:v>
      </x:c>
      <x:c r="I2354" s="24" t="str">
        <x:v>1.5</x:v>
      </x:c>
      <x:c r="J2354" s="24" t="str">
        <x:v>1.50</x:v>
      </x:c>
      <x:c r="K2354" s="24" t="str">
        <x:v>DuraVision Gold UV</x:v>
      </x:c>
      <x:c r="L2354" s="40" t="n">
        <x:v>8750</x:v>
      </x:c>
      <x:c r="M2354" s="24" t="str">
        <x:v>-6.00 a +5.50</x:v>
      </x:c>
      <x:c r="N2354" s="24" t="str">
        <x:v>-4.00</x:v>
      </x:c>
      <x:c r="O2354" s="24" t="str">
        <x:v>0.75 a 3.00</x:v>
      </x:c>
      <x:c r="P2354" s="24" t="str">
        <x:v>75</x:v>
      </x:c>
      <x:c r="Q2354" s="24"/>
      <x:c r="R2354" s="24"/>
      <x:c r="S2354" s="26" t="n">
        <x:v>46113</x:v>
      </x:c>
      <x:c r="T2354" s="26"/>
      <x:c r="U2354" s="24" t="str">
        <x:v>ATIVA/SEM FIM INFORMADO</x:v>
      </x:c>
      <x:c r="V2354" s="24" t="str">
        <x:v>Programa de Parcerias ZEISS</x:v>
      </x:c>
      <x:c r="W2354" s="24" t="n">
        <x:v>38</x:v>
      </x:c>
      <x:c r="X2354" s="24" t="str">
        <x:v>tabela_zeiss.pdf</x:v>
      </x:c>
      <x:c r="Y2354" s="24" t="str">
        <x:v>alta</x:v>
      </x:c>
      <x:c r="Z2354" s="24"/>
      <x:c r="AA2354" s="24" t="str">
        <x:v>ZEISS|Progressiva|Surfaçada|SmartLife Superb|PhotoFusion X Extra Dark Cinza|1.5|1.50|DuraVision Gold UV|-6.00 a +5.50|-4.00|0.75 a 3.00|75|||38</x:v>
      </x:c>
    </x:row>
    <x:row r="2355">
      <x:c r="A2355" s="24" t="str">
        <x:v>ZS-2B983D6D1017</x:v>
      </x:c>
      <x:c r="B2355" s="24" t="str">
        <x:v>SIM</x:v>
      </x:c>
      <x:c r="C2355" s="24" t="str">
        <x:v>DISPONÍVEL</x:v>
      </x:c>
      <x:c r="D2355" s="24" t="str">
        <x:v>ZEISS</x:v>
      </x:c>
      <x:c r="E2355" s="24" t="str">
        <x:v>Progressiva</x:v>
      </x:c>
      <x:c r="F2355" s="24" t="str">
        <x:v>Surfaçada</x:v>
      </x:c>
      <x:c r="G2355" s="24" t="str">
        <x:v>SmartLife Superb</x:v>
      </x:c>
      <x:c r="H2355" s="24" t="str">
        <x:v>PhotoFusion X Extra Dark Cinza</x:v>
      </x:c>
      <x:c r="I2355" s="24" t="str">
        <x:v>1.5</x:v>
      </x:c>
      <x:c r="J2355" s="24" t="str">
        <x:v>1.50</x:v>
      </x:c>
      <x:c r="K2355" s="24" t="str">
        <x:v>DURAVISION® ANTIVÍRUS PLATINUM UV</x:v>
      </x:c>
      <x:c r="L2355" s="40" t="n">
        <x:v>8560</x:v>
      </x:c>
      <x:c r="M2355" s="24" t="str">
        <x:v>-6.00 a +5.50</x:v>
      </x:c>
      <x:c r="N2355" s="24" t="str">
        <x:v>-4.00</x:v>
      </x:c>
      <x:c r="O2355" s="24" t="str">
        <x:v>0.75 a 3.00</x:v>
      </x:c>
      <x:c r="P2355" s="24" t="str">
        <x:v>75</x:v>
      </x:c>
      <x:c r="Q2355" s="24"/>
      <x:c r="R2355" s="24"/>
      <x:c r="S2355" s="26" t="n">
        <x:v>46113</x:v>
      </x:c>
      <x:c r="T2355" s="26"/>
      <x:c r="U2355" s="24" t="str">
        <x:v>ATIVA/SEM FIM INFORMADO</x:v>
      </x:c>
      <x:c r="V2355" s="24" t="str">
        <x:v>Programa de Parcerias ZEISS</x:v>
      </x:c>
      <x:c r="W2355" s="24" t="n">
        <x:v>38</x:v>
      </x:c>
      <x:c r="X2355" s="24" t="str">
        <x:v>tabela_zeiss.pdf</x:v>
      </x:c>
      <x:c r="Y2355" s="24" t="str">
        <x:v>alta</x:v>
      </x:c>
      <x:c r="Z2355" s="24"/>
      <x:c r="AA2355" s="24" t="str">
        <x:v>ZEISS|Progressiva|Surfaçada|SmartLife Superb|PhotoFusion X Extra Dark Cinza|1.5|1.50|DURAVISION® ANTIVÍRUS PLATINUM UV|-6.00 a +5.50|-4.00|0.75 a 3.00|75|||38</x:v>
      </x:c>
    </x:row>
    <x:row r="2356">
      <x:c r="A2356" s="24" t="str">
        <x:v>ZS-A9FD487D44F2</x:v>
      </x:c>
      <x:c r="B2356" s="24" t="str">
        <x:v>SIM</x:v>
      </x:c>
      <x:c r="C2356" s="24" t="str">
        <x:v>DISPONÍVEL</x:v>
      </x:c>
      <x:c r="D2356" s="24" t="str">
        <x:v>ZEISS</x:v>
      </x:c>
      <x:c r="E2356" s="24" t="str">
        <x:v>Progressiva</x:v>
      </x:c>
      <x:c r="F2356" s="24" t="str">
        <x:v>Surfaçada</x:v>
      </x:c>
      <x:c r="G2356" s="24" t="str">
        <x:v>SmartLife Superb</x:v>
      </x:c>
      <x:c r="H2356" s="24" t="str">
        <x:v>PhotoFusion X Extra Dark Cinza</x:v>
      </x:c>
      <x:c r="I2356" s="24" t="str">
        <x:v>1.5</x:v>
      </x:c>
      <x:c r="J2356" s="24" t="str">
        <x:v>1.50</x:v>
      </x:c>
      <x:c r="K2356" s="24" t="str">
        <x:v>DuraVision Platinum UV</x:v>
      </x:c>
      <x:c r="L2356" s="40" t="n">
        <x:v>8610</x:v>
      </x:c>
      <x:c r="M2356" s="24" t="str">
        <x:v>-6.00 a +5.50</x:v>
      </x:c>
      <x:c r="N2356" s="24" t="str">
        <x:v>-4.00</x:v>
      </x:c>
      <x:c r="O2356" s="24" t="str">
        <x:v>0.75 a 3.00</x:v>
      </x:c>
      <x:c r="P2356" s="24" t="str">
        <x:v>75</x:v>
      </x:c>
      <x:c r="Q2356" s="24"/>
      <x:c r="R2356" s="24"/>
      <x:c r="S2356" s="26" t="n">
        <x:v>46113</x:v>
      </x:c>
      <x:c r="T2356" s="26"/>
      <x:c r="U2356" s="24" t="str">
        <x:v>ATIVA/SEM FIM INFORMADO</x:v>
      </x:c>
      <x:c r="V2356" s="24" t="str">
        <x:v>Programa de Parcerias ZEISS</x:v>
      </x:c>
      <x:c r="W2356" s="24" t="n">
        <x:v>38</x:v>
      </x:c>
      <x:c r="X2356" s="24" t="str">
        <x:v>tabela_zeiss.pdf</x:v>
      </x:c>
      <x:c r="Y2356" s="24" t="str">
        <x:v>alta</x:v>
      </x:c>
      <x:c r="Z2356" s="24"/>
      <x:c r="AA2356" s="24" t="str">
        <x:v>ZEISS|Progressiva|Surfaçada|SmartLife Superb|PhotoFusion X Extra Dark Cinza|1.5|1.50|DuraVision Platinum UV|-6.00 a +5.50|-4.00|0.75 a 3.00|75|||38</x:v>
      </x:c>
    </x:row>
    <x:row r="2357">
      <x:c r="A2357" s="24" t="str">
        <x:v>ZS-04FBC5930D10</x:v>
      </x:c>
      <x:c r="B2357" s="24" t="str">
        <x:v>SIM</x:v>
      </x:c>
      <x:c r="C2357" s="24" t="str">
        <x:v>DISPONÍVEL</x:v>
      </x:c>
      <x:c r="D2357" s="24" t="str">
        <x:v>ZEISS</x:v>
      </x:c>
      <x:c r="E2357" s="24" t="str">
        <x:v>Progressiva</x:v>
      </x:c>
      <x:c r="F2357" s="24" t="str">
        <x:v>Surfaçada</x:v>
      </x:c>
      <x:c r="G2357" s="24" t="str">
        <x:v>SmartLife Superb</x:v>
      </x:c>
      <x:c r="H2357" s="24" t="str">
        <x:v>PhotoFusion X Extra Dark Cinza</x:v>
      </x:c>
      <x:c r="I2357" s="24" t="str">
        <x:v>1.5</x:v>
      </x:c>
      <x:c r="J2357" s="24" t="str">
        <x:v>1.50</x:v>
      </x:c>
      <x:c r="K2357" s="24" t="str">
        <x:v>DuraVision Silver UV</x:v>
      </x:c>
      <x:c r="L2357" s="40" t="n">
        <x:v>8350</x:v>
      </x:c>
      <x:c r="M2357" s="24" t="str">
        <x:v>-6.00 a +5.50</x:v>
      </x:c>
      <x:c r="N2357" s="24" t="str">
        <x:v>-4.00</x:v>
      </x:c>
      <x:c r="O2357" s="24" t="str">
        <x:v>0.75 a 3.00</x:v>
      </x:c>
      <x:c r="P2357" s="24" t="str">
        <x:v>75</x:v>
      </x:c>
      <x:c r="Q2357" s="24"/>
      <x:c r="R2357" s="24"/>
      <x:c r="S2357" s="26" t="n">
        <x:v>46113</x:v>
      </x:c>
      <x:c r="T2357" s="26"/>
      <x:c r="U2357" s="24" t="str">
        <x:v>ATIVA/SEM FIM INFORMADO</x:v>
      </x:c>
      <x:c r="V2357" s="24" t="str">
        <x:v>Programa de Parcerias ZEISS</x:v>
      </x:c>
      <x:c r="W2357" s="24" t="n">
        <x:v>38</x:v>
      </x:c>
      <x:c r="X2357" s="24" t="str">
        <x:v>tabela_zeiss.pdf</x:v>
      </x:c>
      <x:c r="Y2357" s="24" t="str">
        <x:v>alta</x:v>
      </x:c>
      <x:c r="Z2357" s="24"/>
      <x:c r="AA2357" s="24" t="str">
        <x:v>ZEISS|Progressiva|Surfaçada|SmartLife Superb|PhotoFusion X Extra Dark Cinza|1.5|1.50|DuraVision Silver UV|-6.00 a +5.50|-4.00|0.75 a 3.00|75|||38</x:v>
      </x:c>
    </x:row>
    <x:row r="2358">
      <x:c r="A2358" s="24" t="str">
        <x:v>ZS-C318B891369D</x:v>
      </x:c>
      <x:c r="B2358" s="24" t="str">
        <x:v>SIM</x:v>
      </x:c>
      <x:c r="C2358" s="24" t="str">
        <x:v>DISPONÍVEL</x:v>
      </x:c>
      <x:c r="D2358" s="24" t="str">
        <x:v>ZEISS</x:v>
      </x:c>
      <x:c r="E2358" s="24" t="str">
        <x:v>Progressiva</x:v>
      </x:c>
      <x:c r="F2358" s="24" t="str">
        <x:v>Surfaçada</x:v>
      </x:c>
      <x:c r="G2358" s="24" t="str">
        <x:v>SmartLife Superb</x:v>
      </x:c>
      <x:c r="H2358" s="24" t="str">
        <x:v>PhotoFusion X Extra Dark Cinza</x:v>
      </x:c>
      <x:c r="I2358" s="24" t="str">
        <x:v>1.5</x:v>
      </x:c>
      <x:c r="J2358" s="24" t="str">
        <x:v>1.50</x:v>
      </x:c>
      <x:c r="K2358" s="24" t="str">
        <x:v>DuraVision Chrome UV</x:v>
      </x:c>
      <x:c r="L2358" s="40" t="n">
        <x:v>7860</x:v>
      </x:c>
      <x:c r="M2358" s="24" t="str">
        <x:v>-6.00 a +5.50</x:v>
      </x:c>
      <x:c r="N2358" s="24" t="str">
        <x:v>-4.00</x:v>
      </x:c>
      <x:c r="O2358" s="24" t="str">
        <x:v>0.75 a 3.00</x:v>
      </x:c>
      <x:c r="P2358" s="24" t="str">
        <x:v>75</x:v>
      </x:c>
      <x:c r="Q2358" s="24"/>
      <x:c r="R2358" s="24"/>
      <x:c r="S2358" s="26" t="n">
        <x:v>46113</x:v>
      </x:c>
      <x:c r="T2358" s="26"/>
      <x:c r="U2358" s="24" t="str">
        <x:v>ATIVA/SEM FIM INFORMADO</x:v>
      </x:c>
      <x:c r="V2358" s="24" t="str">
        <x:v>Programa de Parcerias ZEISS</x:v>
      </x:c>
      <x:c r="W2358" s="24" t="n">
        <x:v>38</x:v>
      </x:c>
      <x:c r="X2358" s="24" t="str">
        <x:v>tabela_zeiss.pdf</x:v>
      </x:c>
      <x:c r="Y2358" s="24" t="str">
        <x:v>alta</x:v>
      </x:c>
      <x:c r="Z2358" s="24"/>
      <x:c r="AA2358" s="24" t="str">
        <x:v>ZEISS|Progressiva|Surfaçada|SmartLife Superb|PhotoFusion X Extra Dark Cinza|1.5|1.50|DuraVision Chrome UV|-6.00 a +5.50|-4.00|0.75 a 3.00|75|||38</x:v>
      </x:c>
    </x:row>
    <x:row r="2359">
      <x:c r="A2359" s="24" t="str">
        <x:v>ZS-8FE5FE9AB4C5</x:v>
      </x:c>
      <x:c r="B2359" s="24" t="str">
        <x:v>SIM</x:v>
      </x:c>
      <x:c r="C2359" s="24" t="str">
        <x:v>DISPONÍVEL</x:v>
      </x:c>
      <x:c r="D2359" s="24" t="str">
        <x:v>ZEISS</x:v>
      </x:c>
      <x:c r="E2359" s="24" t="str">
        <x:v>Progressiva</x:v>
      </x:c>
      <x:c r="F2359" s="24" t="str">
        <x:v>Surfaçada</x:v>
      </x:c>
      <x:c r="G2359" s="24" t="str">
        <x:v>SmartLife Superb</x:v>
      </x:c>
      <x:c r="H2359" s="24" t="str">
        <x:v>PhotoFusion X Extra Dark Cinza</x:v>
      </x:c>
      <x:c r="I2359" s="24" t="str">
        <x:v>Poli</x:v>
      </x:c>
      <x:c r="J2359" s="24"/>
      <x:c r="K2359" s="24" t="str">
        <x:v>DuraVision Gold UV</x:v>
      </x:c>
      <x:c r="L2359" s="40" t="n">
        <x:v>9340</x:v>
      </x:c>
      <x:c r="M2359" s="24" t="str">
        <x:v>-10.00 a +6.00</x:v>
      </x:c>
      <x:c r="N2359" s="24" t="str">
        <x:v>-6.00</x:v>
      </x:c>
      <x:c r="O2359" s="24" t="str">
        <x:v>0.75 a 3.00</x:v>
      </x:c>
      <x:c r="P2359" s="24" t="str">
        <x:v>70</x:v>
      </x:c>
      <x:c r="Q2359" s="24"/>
      <x:c r="R2359" s="24"/>
      <x:c r="S2359" s="26" t="n">
        <x:v>46113</x:v>
      </x:c>
      <x:c r="T2359" s="26"/>
      <x:c r="U2359" s="24" t="str">
        <x:v>ATIVA/SEM FIM INFORMADO</x:v>
      </x:c>
      <x:c r="V2359" s="24" t="str">
        <x:v>Programa de Parcerias ZEISS</x:v>
      </x:c>
      <x:c r="W2359" s="24" t="n">
        <x:v>38</x:v>
      </x:c>
      <x:c r="X2359" s="24" t="str">
        <x:v>tabela_zeiss.pdf</x:v>
      </x:c>
      <x:c r="Y2359" s="24" t="str">
        <x:v>alta</x:v>
      </x:c>
      <x:c r="Z2359" s="24"/>
      <x:c r="AA2359" s="24" t="str">
        <x:v>ZEISS|Progressiva|Surfaçada|SmartLife Superb|PhotoFusion X Extra Dark Cinza|Poli||DuraVision Gold UV|-10.00 a +6.00|-6.00|0.75 a 3.00|70|||38</x:v>
      </x:c>
    </x:row>
    <x:row r="2360">
      <x:c r="A2360" s="24" t="str">
        <x:v>ZS-8BDA83E86739</x:v>
      </x:c>
      <x:c r="B2360" s="24" t="str">
        <x:v>SIM</x:v>
      </x:c>
      <x:c r="C2360" s="24" t="str">
        <x:v>DISPONÍVEL</x:v>
      </x:c>
      <x:c r="D2360" s="24" t="str">
        <x:v>ZEISS</x:v>
      </x:c>
      <x:c r="E2360" s="24" t="str">
        <x:v>Progressiva</x:v>
      </x:c>
      <x:c r="F2360" s="24" t="str">
        <x:v>Surfaçada</x:v>
      </x:c>
      <x:c r="G2360" s="24" t="str">
        <x:v>SmartLife Superb</x:v>
      </x:c>
      <x:c r="H2360" s="24" t="str">
        <x:v>PhotoFusion X Extra Dark Cinza</x:v>
      </x:c>
      <x:c r="I2360" s="24" t="str">
        <x:v>Poli</x:v>
      </x:c>
      <x:c r="J2360" s="24"/>
      <x:c r="K2360" s="24" t="str">
        <x:v>DuraVision Platinum UV</x:v>
      </x:c>
      <x:c r="L2360" s="40" t="n">
        <x:v>9200</x:v>
      </x:c>
      <x:c r="M2360" s="24" t="str">
        <x:v>-10.00 a +6.00</x:v>
      </x:c>
      <x:c r="N2360" s="24" t="str">
        <x:v>-6.00</x:v>
      </x:c>
      <x:c r="O2360" s="24" t="str">
        <x:v>0.75 a 3.00</x:v>
      </x:c>
      <x:c r="P2360" s="24" t="str">
        <x:v>70</x:v>
      </x:c>
      <x:c r="Q2360" s="24"/>
      <x:c r="R2360" s="24"/>
      <x:c r="S2360" s="26" t="n">
        <x:v>46113</x:v>
      </x:c>
      <x:c r="T2360" s="26"/>
      <x:c r="U2360" s="24" t="str">
        <x:v>ATIVA/SEM FIM INFORMADO</x:v>
      </x:c>
      <x:c r="V2360" s="24" t="str">
        <x:v>Programa de Parcerias ZEISS</x:v>
      </x:c>
      <x:c r="W2360" s="24" t="n">
        <x:v>38</x:v>
      </x:c>
      <x:c r="X2360" s="24" t="str">
        <x:v>tabela_zeiss.pdf</x:v>
      </x:c>
      <x:c r="Y2360" s="24" t="str">
        <x:v>alta</x:v>
      </x:c>
      <x:c r="Z2360" s="24"/>
      <x:c r="AA2360" s="24" t="str">
        <x:v>ZEISS|Progressiva|Surfaçada|SmartLife Superb|PhotoFusion X Extra Dark Cinza|Poli||DuraVision Platinum UV|-10.00 a +6.00|-6.00|0.75 a 3.00|70|||38</x:v>
      </x:c>
    </x:row>
    <x:row r="2361">
      <x:c r="A2361" s="24" t="str">
        <x:v>ZS-E10BB6A99607</x:v>
      </x:c>
      <x:c r="B2361" s="24" t="str">
        <x:v>SIM</x:v>
      </x:c>
      <x:c r="C2361" s="24" t="str">
        <x:v>DISPONÍVEL</x:v>
      </x:c>
      <x:c r="D2361" s="24" t="str">
        <x:v>ZEISS</x:v>
      </x:c>
      <x:c r="E2361" s="24" t="str">
        <x:v>Progressiva</x:v>
      </x:c>
      <x:c r="F2361" s="24" t="str">
        <x:v>Surfaçada</x:v>
      </x:c>
      <x:c r="G2361" s="24" t="str">
        <x:v>SmartLife Superb</x:v>
      </x:c>
      <x:c r="H2361" s="24" t="str">
        <x:v>PhotoFusion X Extra Dark Cinza</x:v>
      </x:c>
      <x:c r="I2361" s="24" t="str">
        <x:v>Poli</x:v>
      </x:c>
      <x:c r="J2361" s="24"/>
      <x:c r="K2361" s="24" t="str">
        <x:v>DuraVision Silver UV</x:v>
      </x:c>
      <x:c r="L2361" s="40" t="n">
        <x:v>8940</x:v>
      </x:c>
      <x:c r="M2361" s="24" t="str">
        <x:v>-10.00 a +6.00</x:v>
      </x:c>
      <x:c r="N2361" s="24" t="str">
        <x:v>-6.00</x:v>
      </x:c>
      <x:c r="O2361" s="24" t="str">
        <x:v>0.75 a 3.00</x:v>
      </x:c>
      <x:c r="P2361" s="24" t="str">
        <x:v>70</x:v>
      </x:c>
      <x:c r="Q2361" s="24"/>
      <x:c r="R2361" s="24"/>
      <x:c r="S2361" s="26" t="n">
        <x:v>46113</x:v>
      </x:c>
      <x:c r="T2361" s="26"/>
      <x:c r="U2361" s="24" t="str">
        <x:v>ATIVA/SEM FIM INFORMADO</x:v>
      </x:c>
      <x:c r="V2361" s="24" t="str">
        <x:v>Programa de Parcerias ZEISS</x:v>
      </x:c>
      <x:c r="W2361" s="24" t="n">
        <x:v>38</x:v>
      </x:c>
      <x:c r="X2361" s="24" t="str">
        <x:v>tabela_zeiss.pdf</x:v>
      </x:c>
      <x:c r="Y2361" s="24" t="str">
        <x:v>alta</x:v>
      </x:c>
      <x:c r="Z2361" s="24"/>
      <x:c r="AA2361" s="24" t="str">
        <x:v>ZEISS|Progressiva|Surfaçada|SmartLife Superb|PhotoFusion X Extra Dark Cinza|Poli||DuraVision Silver UV|-10.00 a +6.00|-6.00|0.75 a 3.00|70|||38</x:v>
      </x:c>
    </x:row>
    <x:row r="2362">
      <x:c r="A2362" s="24" t="str">
        <x:v>ZS-6D63BBF07C1E</x:v>
      </x:c>
      <x:c r="B2362" s="24" t="str">
        <x:v>SIM</x:v>
      </x:c>
      <x:c r="C2362" s="24" t="str">
        <x:v>DISPONÍVEL</x:v>
      </x:c>
      <x:c r="D2362" s="24" t="str">
        <x:v>ZEISS</x:v>
      </x:c>
      <x:c r="E2362" s="24" t="str">
        <x:v>Progressiva</x:v>
      </x:c>
      <x:c r="F2362" s="24" t="str">
        <x:v>Surfaçada</x:v>
      </x:c>
      <x:c r="G2362" s="24" t="str">
        <x:v>SmartLife Superb</x:v>
      </x:c>
      <x:c r="H2362" s="24" t="str">
        <x:v>PhotoFusion X Extra Dark Cinza</x:v>
      </x:c>
      <x:c r="I2362" s="24" t="str">
        <x:v>Poli</x:v>
      </x:c>
      <x:c r="J2362" s="24"/>
      <x:c r="K2362" s="24" t="str">
        <x:v>DuraVision Chrome UV</x:v>
      </x:c>
      <x:c r="L2362" s="40" t="n">
        <x:v>8450</x:v>
      </x:c>
      <x:c r="M2362" s="24" t="str">
        <x:v>-10.00 a +6.00</x:v>
      </x:c>
      <x:c r="N2362" s="24" t="str">
        <x:v>-6.00</x:v>
      </x:c>
      <x:c r="O2362" s="24" t="str">
        <x:v>0.75 a 3.00</x:v>
      </x:c>
      <x:c r="P2362" s="24" t="str">
        <x:v>70</x:v>
      </x:c>
      <x:c r="Q2362" s="24"/>
      <x:c r="R2362" s="24"/>
      <x:c r="S2362" s="26" t="n">
        <x:v>46113</x:v>
      </x:c>
      <x:c r="T2362" s="26"/>
      <x:c r="U2362" s="24" t="str">
        <x:v>ATIVA/SEM FIM INFORMADO</x:v>
      </x:c>
      <x:c r="V2362" s="24" t="str">
        <x:v>Programa de Parcerias ZEISS</x:v>
      </x:c>
      <x:c r="W2362" s="24" t="n">
        <x:v>38</x:v>
      </x:c>
      <x:c r="X2362" s="24" t="str">
        <x:v>tabela_zeiss.pdf</x:v>
      </x:c>
      <x:c r="Y2362" s="24" t="str">
        <x:v>alta</x:v>
      </x:c>
      <x:c r="Z2362" s="24"/>
      <x:c r="AA2362" s="24" t="str">
        <x:v>ZEISS|Progressiva|Surfaçada|SmartLife Superb|PhotoFusion X Extra Dark Cinza|Poli||DuraVision Chrome UV|-10.00 a +6.00|-6.00|0.75 a 3.00|70|||38</x:v>
      </x:c>
    </x:row>
    <x:row r="2363">
      <x:c r="A2363" s="24" t="str">
        <x:v>ZS-22C70B16AD5F</x:v>
      </x:c>
      <x:c r="B2363" s="24" t="str">
        <x:v>SIM</x:v>
      </x:c>
      <x:c r="C2363" s="24" t="str">
        <x:v>DISPONÍVEL</x:v>
      </x:c>
      <x:c r="D2363" s="24" t="str">
        <x:v>ZEISS</x:v>
      </x:c>
      <x:c r="E2363" s="24" t="str">
        <x:v>Progressiva</x:v>
      </x:c>
      <x:c r="F2363" s="24" t="str">
        <x:v>Surfaçada</x:v>
      </x:c>
      <x:c r="G2363" s="24" t="str">
        <x:v>SmartLife Superb</x:v>
      </x:c>
      <x:c r="H2363" s="24" t="str">
        <x:v>PhotoFusion X Extra Dark Cinza</x:v>
      </x:c>
      <x:c r="I2363" s="24" t="str">
        <x:v>1.6</x:v>
      </x:c>
      <x:c r="J2363" s="24" t="str">
        <x:v>1.60</x:v>
      </x:c>
      <x:c r="K2363" s="24" t="str">
        <x:v>DuraVision Gold UV</x:v>
      </x:c>
      <x:c r="L2363" s="40" t="n">
        <x:v>10000</x:v>
      </x:c>
      <x:c r="M2363" s="24" t="str">
        <x:v>-7.25 a +6.00</x:v>
      </x:c>
      <x:c r="N2363" s="24" t="str">
        <x:v>-6.00</x:v>
      </x:c>
      <x:c r="O2363" s="24" t="str">
        <x:v>0.75 a 3.50</x:v>
      </x:c>
      <x:c r="P2363" s="24" t="str">
        <x:v>75</x:v>
      </x:c>
      <x:c r="Q2363" s="24"/>
      <x:c r="R2363" s="24"/>
      <x:c r="S2363" s="26" t="n">
        <x:v>46113</x:v>
      </x:c>
      <x:c r="T2363" s="26"/>
      <x:c r="U2363" s="24" t="str">
        <x:v>ATIVA/SEM FIM INFORMADO</x:v>
      </x:c>
      <x:c r="V2363" s="24" t="str">
        <x:v>Programa de Parcerias ZEISS</x:v>
      </x:c>
      <x:c r="W2363" s="24" t="n">
        <x:v>38</x:v>
      </x:c>
      <x:c r="X2363" s="24" t="str">
        <x:v>tabela_zeiss.pdf</x:v>
      </x:c>
      <x:c r="Y2363" s="24" t="str">
        <x:v>alta</x:v>
      </x:c>
      <x:c r="Z2363" s="24"/>
      <x:c r="AA2363" s="24" t="str">
        <x:v>ZEISS|Progressiva|Surfaçada|SmartLife Superb|PhotoFusion X Extra Dark Cinza|1.6|1.60|DuraVision Gold UV|-7.25 a +6.00|-6.00|0.75 a 3.50|75|||38</x:v>
      </x:c>
    </x:row>
    <x:row r="2364">
      <x:c r="A2364" s="24" t="str">
        <x:v>ZS-7D7CC957F38A</x:v>
      </x:c>
      <x:c r="B2364" s="24" t="str">
        <x:v>SIM</x:v>
      </x:c>
      <x:c r="C2364" s="24" t="str">
        <x:v>DISPONÍVEL</x:v>
      </x:c>
      <x:c r="D2364" s="24" t="str">
        <x:v>ZEISS</x:v>
      </x:c>
      <x:c r="E2364" s="24" t="str">
        <x:v>Progressiva</x:v>
      </x:c>
      <x:c r="F2364" s="24" t="str">
        <x:v>Surfaçada</x:v>
      </x:c>
      <x:c r="G2364" s="24" t="str">
        <x:v>SmartLife Superb</x:v>
      </x:c>
      <x:c r="H2364" s="24" t="str">
        <x:v>PhotoFusion X Extra Dark Cinza</x:v>
      </x:c>
      <x:c r="I2364" s="24" t="str">
        <x:v>1.6</x:v>
      </x:c>
      <x:c r="J2364" s="24" t="str">
        <x:v>1.60</x:v>
      </x:c>
      <x:c r="K2364" s="24" t="str">
        <x:v>DURAVISION® ANTIVÍRUS PLATINUM UV</x:v>
      </x:c>
      <x:c r="L2364" s="40" t="n">
        <x:v>9810</x:v>
      </x:c>
      <x:c r="M2364" s="24" t="str">
        <x:v>-7.25 a +6.00</x:v>
      </x:c>
      <x:c r="N2364" s="24" t="str">
        <x:v>-6.00</x:v>
      </x:c>
      <x:c r="O2364" s="24" t="str">
        <x:v>0.75 a 3.50</x:v>
      </x:c>
      <x:c r="P2364" s="24" t="str">
        <x:v>75</x:v>
      </x:c>
      <x:c r="Q2364" s="24"/>
      <x:c r="R2364" s="24"/>
      <x:c r="S2364" s="26" t="n">
        <x:v>46113</x:v>
      </x:c>
      <x:c r="T2364" s="26"/>
      <x:c r="U2364" s="24" t="str">
        <x:v>ATIVA/SEM FIM INFORMADO</x:v>
      </x:c>
      <x:c r="V2364" s="24" t="str">
        <x:v>Programa de Parcerias ZEISS</x:v>
      </x:c>
      <x:c r="W2364" s="24" t="n">
        <x:v>38</x:v>
      </x:c>
      <x:c r="X2364" s="24" t="str">
        <x:v>tabela_zeiss.pdf</x:v>
      </x:c>
      <x:c r="Y2364" s="24" t="str">
        <x:v>alta</x:v>
      </x:c>
      <x:c r="Z2364" s="24"/>
      <x:c r="AA2364" s="24" t="str">
        <x:v>ZEISS|Progressiva|Surfaçada|SmartLife Superb|PhotoFusion X Extra Dark Cinza|1.6|1.60|DURAVISION® ANTIVÍRUS PLATINUM UV|-7.25 a +6.00|-6.00|0.75 a 3.50|75|||38</x:v>
      </x:c>
    </x:row>
    <x:row r="2365">
      <x:c r="A2365" s="24" t="str">
        <x:v>ZS-6D0E2FAA59F3</x:v>
      </x:c>
      <x:c r="B2365" s="24" t="str">
        <x:v>SIM</x:v>
      </x:c>
      <x:c r="C2365" s="24" t="str">
        <x:v>DISPONÍVEL</x:v>
      </x:c>
      <x:c r="D2365" s="24" t="str">
        <x:v>ZEISS</x:v>
      </x:c>
      <x:c r="E2365" s="24" t="str">
        <x:v>Progressiva</x:v>
      </x:c>
      <x:c r="F2365" s="24" t="str">
        <x:v>Surfaçada</x:v>
      </x:c>
      <x:c r="G2365" s="24" t="str">
        <x:v>SmartLife Superb</x:v>
      </x:c>
      <x:c r="H2365" s="24" t="str">
        <x:v>PhotoFusion X Extra Dark Cinza</x:v>
      </x:c>
      <x:c r="I2365" s="24" t="str">
        <x:v>1.6</x:v>
      </x:c>
      <x:c r="J2365" s="24" t="str">
        <x:v>1.60</x:v>
      </x:c>
      <x:c r="K2365" s="24" t="str">
        <x:v>DuraVision Platinum UV</x:v>
      </x:c>
      <x:c r="L2365" s="40" t="n">
        <x:v>9860</x:v>
      </x:c>
      <x:c r="M2365" s="24" t="str">
        <x:v>-7.25 a +6.00</x:v>
      </x:c>
      <x:c r="N2365" s="24" t="str">
        <x:v>-6.00</x:v>
      </x:c>
      <x:c r="O2365" s="24" t="str">
        <x:v>0.75 a 3.50</x:v>
      </x:c>
      <x:c r="P2365" s="24" t="str">
        <x:v>75</x:v>
      </x:c>
      <x:c r="Q2365" s="24"/>
      <x:c r="R2365" s="24"/>
      <x:c r="S2365" s="26" t="n">
        <x:v>46113</x:v>
      </x:c>
      <x:c r="T2365" s="26"/>
      <x:c r="U2365" s="24" t="str">
        <x:v>ATIVA/SEM FIM INFORMADO</x:v>
      </x:c>
      <x:c r="V2365" s="24" t="str">
        <x:v>Programa de Parcerias ZEISS</x:v>
      </x:c>
      <x:c r="W2365" s="24" t="n">
        <x:v>38</x:v>
      </x:c>
      <x:c r="X2365" s="24" t="str">
        <x:v>tabela_zeiss.pdf</x:v>
      </x:c>
      <x:c r="Y2365" s="24" t="str">
        <x:v>alta</x:v>
      </x:c>
      <x:c r="Z2365" s="24"/>
      <x:c r="AA2365" s="24" t="str">
        <x:v>ZEISS|Progressiva|Surfaçada|SmartLife Superb|PhotoFusion X Extra Dark Cinza|1.6|1.60|DuraVision Platinum UV|-7.25 a +6.00|-6.00|0.75 a 3.50|75|||38</x:v>
      </x:c>
    </x:row>
    <x:row r="2366">
      <x:c r="A2366" s="24" t="str">
        <x:v>ZS-C66B5B5264A1</x:v>
      </x:c>
      <x:c r="B2366" s="24" t="str">
        <x:v>SIM</x:v>
      </x:c>
      <x:c r="C2366" s="24" t="str">
        <x:v>DISPONÍVEL</x:v>
      </x:c>
      <x:c r="D2366" s="24" t="str">
        <x:v>ZEISS</x:v>
      </x:c>
      <x:c r="E2366" s="24" t="str">
        <x:v>Progressiva</x:v>
      </x:c>
      <x:c r="F2366" s="24" t="str">
        <x:v>Surfaçada</x:v>
      </x:c>
      <x:c r="G2366" s="24" t="str">
        <x:v>SmartLife Superb</x:v>
      </x:c>
      <x:c r="H2366" s="24" t="str">
        <x:v>PhotoFusion X Extra Dark Cinza</x:v>
      </x:c>
      <x:c r="I2366" s="24" t="str">
        <x:v>1.6</x:v>
      </x:c>
      <x:c r="J2366" s="24" t="str">
        <x:v>1.60</x:v>
      </x:c>
      <x:c r="K2366" s="24" t="str">
        <x:v>DuraVision Silver UV</x:v>
      </x:c>
      <x:c r="L2366" s="40" t="n">
        <x:v>9600</x:v>
      </x:c>
      <x:c r="M2366" s="24" t="str">
        <x:v>-7.25 a +6.00</x:v>
      </x:c>
      <x:c r="N2366" s="24" t="str">
        <x:v>-6.00</x:v>
      </x:c>
      <x:c r="O2366" s="24" t="str">
        <x:v>0.75 a 3.50</x:v>
      </x:c>
      <x:c r="P2366" s="24" t="str">
        <x:v>75</x:v>
      </x:c>
      <x:c r="Q2366" s="24"/>
      <x:c r="R2366" s="24"/>
      <x:c r="S2366" s="26" t="n">
        <x:v>46113</x:v>
      </x:c>
      <x:c r="T2366" s="26"/>
      <x:c r="U2366" s="24" t="str">
        <x:v>ATIVA/SEM FIM INFORMADO</x:v>
      </x:c>
      <x:c r="V2366" s="24" t="str">
        <x:v>Programa de Parcerias ZEISS</x:v>
      </x:c>
      <x:c r="W2366" s="24" t="n">
        <x:v>38</x:v>
      </x:c>
      <x:c r="X2366" s="24" t="str">
        <x:v>tabela_zeiss.pdf</x:v>
      </x:c>
      <x:c r="Y2366" s="24" t="str">
        <x:v>alta</x:v>
      </x:c>
      <x:c r="Z2366" s="24"/>
      <x:c r="AA2366" s="24" t="str">
        <x:v>ZEISS|Progressiva|Surfaçada|SmartLife Superb|PhotoFusion X Extra Dark Cinza|1.6|1.60|DuraVision Silver UV|-7.25 a +6.00|-6.00|0.75 a 3.50|75|||38</x:v>
      </x:c>
    </x:row>
    <x:row r="2367">
      <x:c r="A2367" s="24" t="str">
        <x:v>ZS-819509D9E1E0</x:v>
      </x:c>
      <x:c r="B2367" s="24" t="str">
        <x:v>SIM</x:v>
      </x:c>
      <x:c r="C2367" s="24" t="str">
        <x:v>DISPONÍVEL</x:v>
      </x:c>
      <x:c r="D2367" s="24" t="str">
        <x:v>ZEISS</x:v>
      </x:c>
      <x:c r="E2367" s="24" t="str">
        <x:v>Progressiva</x:v>
      </x:c>
      <x:c r="F2367" s="24" t="str">
        <x:v>Surfaçada</x:v>
      </x:c>
      <x:c r="G2367" s="24" t="str">
        <x:v>SmartLife Superb</x:v>
      </x:c>
      <x:c r="H2367" s="24" t="str">
        <x:v>PhotoFusion X Extra Dark Cinza</x:v>
      </x:c>
      <x:c r="I2367" s="24" t="str">
        <x:v>1.6</x:v>
      </x:c>
      <x:c r="J2367" s="24" t="str">
        <x:v>1.60</x:v>
      </x:c>
      <x:c r="K2367" s="24" t="str">
        <x:v>DuraVision Chrome UV</x:v>
      </x:c>
      <x:c r="L2367" s="40" t="n">
        <x:v>9110</x:v>
      </x:c>
      <x:c r="M2367" s="24" t="str">
        <x:v>-7.25 a +6.00</x:v>
      </x:c>
      <x:c r="N2367" s="24" t="str">
        <x:v>-6.00</x:v>
      </x:c>
      <x:c r="O2367" s="24" t="str">
        <x:v>0.75 a 3.50</x:v>
      </x:c>
      <x:c r="P2367" s="24" t="str">
        <x:v>75</x:v>
      </x:c>
      <x:c r="Q2367" s="24"/>
      <x:c r="R2367" s="24"/>
      <x:c r="S2367" s="26" t="n">
        <x:v>46113</x:v>
      </x:c>
      <x:c r="T2367" s="26"/>
      <x:c r="U2367" s="24" t="str">
        <x:v>ATIVA/SEM FIM INFORMADO</x:v>
      </x:c>
      <x:c r="V2367" s="24" t="str">
        <x:v>Programa de Parcerias ZEISS</x:v>
      </x:c>
      <x:c r="W2367" s="24" t="n">
        <x:v>38</x:v>
      </x:c>
      <x:c r="X2367" s="24" t="str">
        <x:v>tabela_zeiss.pdf</x:v>
      </x:c>
      <x:c r="Y2367" s="24" t="str">
        <x:v>alta</x:v>
      </x:c>
      <x:c r="Z2367" s="24"/>
      <x:c r="AA2367" s="24" t="str">
        <x:v>ZEISS|Progressiva|Surfaçada|SmartLife Superb|PhotoFusion X Extra Dark Cinza|1.6|1.60|DuraVision Chrome UV|-7.25 a +6.00|-6.00|0.75 a 3.50|75|||38</x:v>
      </x:c>
    </x:row>
    <x:row r="2368">
      <x:c r="A2368" s="24" t="str">
        <x:v>ZS-8A8F53D21F5D</x:v>
      </x:c>
      <x:c r="B2368" s="24" t="str">
        <x:v>SIM</x:v>
      </x:c>
      <x:c r="C2368" s="24" t="str">
        <x:v>DISPONÍVEL</x:v>
      </x:c>
      <x:c r="D2368" s="24" t="str">
        <x:v>ZEISS</x:v>
      </x:c>
      <x:c r="E2368" s="24" t="str">
        <x:v>Progressiva</x:v>
      </x:c>
      <x:c r="F2368" s="24" t="str">
        <x:v>Surfaçada</x:v>
      </x:c>
      <x:c r="G2368" s="24" t="str">
        <x:v>SmartLife Superb</x:v>
      </x:c>
      <x:c r="H2368" s="24" t="str">
        <x:v>PhotoFusion X Extra Dark Cinza</x:v>
      </x:c>
      <x:c r="I2368" s="24" t="str">
        <x:v>1.67</x:v>
      </x:c>
      <x:c r="J2368" s="24" t="str">
        <x:v>1.67</x:v>
      </x:c>
      <x:c r="K2368" s="24" t="str">
        <x:v>DuraVision Gold UV</x:v>
      </x:c>
      <x:c r="L2368" s="40" t="n">
        <x:v>11640</x:v>
      </x:c>
      <x:c r="M2368" s="24" t="str">
        <x:v>-8.00 a +8.00</x:v>
      </x:c>
      <x:c r="N2368" s="24" t="str">
        <x:v>-4.00</x:v>
      </x:c>
      <x:c r="O2368" s="24" t="str">
        <x:v>0.75 a 3.00</x:v>
      </x:c>
      <x:c r="P2368" s="24" t="str">
        <x:v>70</x:v>
      </x:c>
      <x:c r="Q2368" s="24"/>
      <x:c r="R2368" s="24"/>
      <x:c r="S2368" s="26" t="n">
        <x:v>46113</x:v>
      </x:c>
      <x:c r="T2368" s="26"/>
      <x:c r="U2368" s="24" t="str">
        <x:v>ATIVA/SEM FIM INFORMADO</x:v>
      </x:c>
      <x:c r="V2368" s="24" t="str">
        <x:v>Programa de Parcerias ZEISS</x:v>
      </x:c>
      <x:c r="W2368" s="24" t="n">
        <x:v>38</x:v>
      </x:c>
      <x:c r="X2368" s="24" t="str">
        <x:v>tabela_zeiss.pdf</x:v>
      </x:c>
      <x:c r="Y2368" s="24" t="str">
        <x:v>alta</x:v>
      </x:c>
      <x:c r="Z2368" s="24"/>
      <x:c r="AA2368" s="24" t="str">
        <x:v>ZEISS|Progressiva|Surfaçada|SmartLife Superb|PhotoFusion X Extra Dark Cinza|1.67|1.67|DuraVision Gold UV|-8.00 a +8.00|-4.00|0.75 a 3.00|70|||38</x:v>
      </x:c>
    </x:row>
    <x:row r="2369">
      <x:c r="A2369" s="24" t="str">
        <x:v>ZS-0C065941FFB9</x:v>
      </x:c>
      <x:c r="B2369" s="24" t="str">
        <x:v>SIM</x:v>
      </x:c>
      <x:c r="C2369" s="24" t="str">
        <x:v>DISPONÍVEL</x:v>
      </x:c>
      <x:c r="D2369" s="24" t="str">
        <x:v>ZEISS</x:v>
      </x:c>
      <x:c r="E2369" s="24" t="str">
        <x:v>Progressiva</x:v>
      </x:c>
      <x:c r="F2369" s="24" t="str">
        <x:v>Surfaçada</x:v>
      </x:c>
      <x:c r="G2369" s="24" t="str">
        <x:v>SmartLife Superb</x:v>
      </x:c>
      <x:c r="H2369" s="24" t="str">
        <x:v>PhotoFusion X Extra Dark Cinza</x:v>
      </x:c>
      <x:c r="I2369" s="24" t="str">
        <x:v>1.67</x:v>
      </x:c>
      <x:c r="J2369" s="24" t="str">
        <x:v>1.67</x:v>
      </x:c>
      <x:c r="K2369" s="24" t="str">
        <x:v>DURAVISION® ANTIVÍRUS PLATINUM UV</x:v>
      </x:c>
      <x:c r="L2369" s="40" t="n">
        <x:v>11450</x:v>
      </x:c>
      <x:c r="M2369" s="24" t="str">
        <x:v>-8.00 a +8.00</x:v>
      </x:c>
      <x:c r="N2369" s="24" t="str">
        <x:v>-4.00</x:v>
      </x:c>
      <x:c r="O2369" s="24" t="str">
        <x:v>0.75 a 3.00</x:v>
      </x:c>
      <x:c r="P2369" s="24" t="str">
        <x:v>70</x:v>
      </x:c>
      <x:c r="Q2369" s="24"/>
      <x:c r="R2369" s="24"/>
      <x:c r="S2369" s="26" t="n">
        <x:v>46113</x:v>
      </x:c>
      <x:c r="T2369" s="26"/>
      <x:c r="U2369" s="24" t="str">
        <x:v>ATIVA/SEM FIM INFORMADO</x:v>
      </x:c>
      <x:c r="V2369" s="24" t="str">
        <x:v>Programa de Parcerias ZEISS</x:v>
      </x:c>
      <x:c r="W2369" s="24" t="n">
        <x:v>38</x:v>
      </x:c>
      <x:c r="X2369" s="24" t="str">
        <x:v>tabela_zeiss.pdf</x:v>
      </x:c>
      <x:c r="Y2369" s="24" t="str">
        <x:v>alta</x:v>
      </x:c>
      <x:c r="Z2369" s="24"/>
      <x:c r="AA2369" s="24" t="str">
        <x:v>ZEISS|Progressiva|Surfaçada|SmartLife Superb|PhotoFusion X Extra Dark Cinza|1.67|1.67|DURAVISION® ANTIVÍRUS PLATINUM UV|-8.00 a +8.00|-4.00|0.75 a 3.00|70|||38</x:v>
      </x:c>
    </x:row>
    <x:row r="2370">
      <x:c r="A2370" s="24" t="str">
        <x:v>ZS-2D94ADC7D14D</x:v>
      </x:c>
      <x:c r="B2370" s="24" t="str">
        <x:v>SIM</x:v>
      </x:c>
      <x:c r="C2370" s="24" t="str">
        <x:v>DISPONÍVEL</x:v>
      </x:c>
      <x:c r="D2370" s="24" t="str">
        <x:v>ZEISS</x:v>
      </x:c>
      <x:c r="E2370" s="24" t="str">
        <x:v>Progressiva</x:v>
      </x:c>
      <x:c r="F2370" s="24" t="str">
        <x:v>Surfaçada</x:v>
      </x:c>
      <x:c r="G2370" s="24" t="str">
        <x:v>SmartLife Superb</x:v>
      </x:c>
      <x:c r="H2370" s="24" t="str">
        <x:v>PhotoFusion X Extra Dark Cinza</x:v>
      </x:c>
      <x:c r="I2370" s="24" t="str">
        <x:v>1.67</x:v>
      </x:c>
      <x:c r="J2370" s="24" t="str">
        <x:v>1.67</x:v>
      </x:c>
      <x:c r="K2370" s="24" t="str">
        <x:v>DuraVision Platinum UV</x:v>
      </x:c>
      <x:c r="L2370" s="40" t="n">
        <x:v>11500</x:v>
      </x:c>
      <x:c r="M2370" s="24" t="str">
        <x:v>-8.00 a +8.00</x:v>
      </x:c>
      <x:c r="N2370" s="24" t="str">
        <x:v>-4.00</x:v>
      </x:c>
      <x:c r="O2370" s="24" t="str">
        <x:v>0.75 a 3.00</x:v>
      </x:c>
      <x:c r="P2370" s="24" t="str">
        <x:v>70</x:v>
      </x:c>
      <x:c r="Q2370" s="24"/>
      <x:c r="R2370" s="24"/>
      <x:c r="S2370" s="26" t="n">
        <x:v>46113</x:v>
      </x:c>
      <x:c r="T2370" s="26"/>
      <x:c r="U2370" s="24" t="str">
        <x:v>ATIVA/SEM FIM INFORMADO</x:v>
      </x:c>
      <x:c r="V2370" s="24" t="str">
        <x:v>Programa de Parcerias ZEISS</x:v>
      </x:c>
      <x:c r="W2370" s="24" t="n">
        <x:v>38</x:v>
      </x:c>
      <x:c r="X2370" s="24" t="str">
        <x:v>tabela_zeiss.pdf</x:v>
      </x:c>
      <x:c r="Y2370" s="24" t="str">
        <x:v>alta</x:v>
      </x:c>
      <x:c r="Z2370" s="24"/>
      <x:c r="AA2370" s="24" t="str">
        <x:v>ZEISS|Progressiva|Surfaçada|SmartLife Superb|PhotoFusion X Extra Dark Cinza|1.67|1.67|DuraVision Platinum UV|-8.00 a +8.00|-4.00|0.75 a 3.00|70|||38</x:v>
      </x:c>
    </x:row>
    <x:row r="2371">
      <x:c r="A2371" s="24" t="str">
        <x:v>ZS-DCF6AA7CA621</x:v>
      </x:c>
      <x:c r="B2371" s="24" t="str">
        <x:v>SIM</x:v>
      </x:c>
      <x:c r="C2371" s="24" t="str">
        <x:v>DISPONÍVEL</x:v>
      </x:c>
      <x:c r="D2371" s="24" t="str">
        <x:v>ZEISS</x:v>
      </x:c>
      <x:c r="E2371" s="24" t="str">
        <x:v>Progressiva</x:v>
      </x:c>
      <x:c r="F2371" s="24" t="str">
        <x:v>Surfaçada</x:v>
      </x:c>
      <x:c r="G2371" s="24" t="str">
        <x:v>SmartLife Superb</x:v>
      </x:c>
      <x:c r="H2371" s="24" t="str">
        <x:v>PhotoFusion X Extra Dark Cinza</x:v>
      </x:c>
      <x:c r="I2371" s="24" t="str">
        <x:v>1.67</x:v>
      </x:c>
      <x:c r="J2371" s="24" t="str">
        <x:v>1.67</x:v>
      </x:c>
      <x:c r="K2371" s="24" t="str">
        <x:v>DuraVision Silver UV</x:v>
      </x:c>
      <x:c r="L2371" s="40" t="n">
        <x:v>11240</x:v>
      </x:c>
      <x:c r="M2371" s="24" t="str">
        <x:v>-8.00 a +8.00</x:v>
      </x:c>
      <x:c r="N2371" s="24" t="str">
        <x:v>-4.00</x:v>
      </x:c>
      <x:c r="O2371" s="24" t="str">
        <x:v>0.75 a 3.00</x:v>
      </x:c>
      <x:c r="P2371" s="24" t="str">
        <x:v>70</x:v>
      </x:c>
      <x:c r="Q2371" s="24"/>
      <x:c r="R2371" s="24"/>
      <x:c r="S2371" s="26" t="n">
        <x:v>46113</x:v>
      </x:c>
      <x:c r="T2371" s="26"/>
      <x:c r="U2371" s="24" t="str">
        <x:v>ATIVA/SEM FIM INFORMADO</x:v>
      </x:c>
      <x:c r="V2371" s="24" t="str">
        <x:v>Programa de Parcerias ZEISS</x:v>
      </x:c>
      <x:c r="W2371" s="24" t="n">
        <x:v>38</x:v>
      </x:c>
      <x:c r="X2371" s="24" t="str">
        <x:v>tabela_zeiss.pdf</x:v>
      </x:c>
      <x:c r="Y2371" s="24" t="str">
        <x:v>alta</x:v>
      </x:c>
      <x:c r="Z2371" s="24"/>
      <x:c r="AA2371" s="24" t="str">
        <x:v>ZEISS|Progressiva|Surfaçada|SmartLife Superb|PhotoFusion X Extra Dark Cinza|1.67|1.67|DuraVision Silver UV|-8.00 a +8.00|-4.00|0.75 a 3.00|70|||38</x:v>
      </x:c>
    </x:row>
    <x:row r="2372">
      <x:c r="A2372" s="24" t="str">
        <x:v>ZS-37274184F4AB</x:v>
      </x:c>
      <x:c r="B2372" s="24" t="str">
        <x:v>SIM</x:v>
      </x:c>
      <x:c r="C2372" s="24" t="str">
        <x:v>DISPONÍVEL</x:v>
      </x:c>
      <x:c r="D2372" s="24" t="str">
        <x:v>ZEISS</x:v>
      </x:c>
      <x:c r="E2372" s="24" t="str">
        <x:v>Progressiva</x:v>
      </x:c>
      <x:c r="F2372" s="24" t="str">
        <x:v>Surfaçada</x:v>
      </x:c>
      <x:c r="G2372" s="24" t="str">
        <x:v>SmartLife Superb</x:v>
      </x:c>
      <x:c r="H2372" s="24" t="str">
        <x:v>PhotoFusion X Extra Dark Cinza</x:v>
      </x:c>
      <x:c r="I2372" s="24" t="str">
        <x:v>1.67</x:v>
      </x:c>
      <x:c r="J2372" s="24" t="str">
        <x:v>1.67</x:v>
      </x:c>
      <x:c r="K2372" s="24" t="str">
        <x:v>DuraVision Chrome UV</x:v>
      </x:c>
      <x:c r="L2372" s="40" t="n">
        <x:v>10750</x:v>
      </x:c>
      <x:c r="M2372" s="24" t="str">
        <x:v>-8.00 a +8.00</x:v>
      </x:c>
      <x:c r="N2372" s="24" t="str">
        <x:v>-4.00</x:v>
      </x:c>
      <x:c r="O2372" s="24" t="str">
        <x:v>0.75 a 3.00</x:v>
      </x:c>
      <x:c r="P2372" s="24" t="str">
        <x:v>70</x:v>
      </x:c>
      <x:c r="Q2372" s="24"/>
      <x:c r="R2372" s="24"/>
      <x:c r="S2372" s="26" t="n">
        <x:v>46113</x:v>
      </x:c>
      <x:c r="T2372" s="26"/>
      <x:c r="U2372" s="24" t="str">
        <x:v>ATIVA/SEM FIM INFORMADO</x:v>
      </x:c>
      <x:c r="V2372" s="24" t="str">
        <x:v>Programa de Parcerias ZEISS</x:v>
      </x:c>
      <x:c r="W2372" s="24" t="n">
        <x:v>38</x:v>
      </x:c>
      <x:c r="X2372" s="24" t="str">
        <x:v>tabela_zeiss.pdf</x:v>
      </x:c>
      <x:c r="Y2372" s="24" t="str">
        <x:v>alta</x:v>
      </x:c>
      <x:c r="Z2372" s="24"/>
      <x:c r="AA2372" s="24" t="str">
        <x:v>ZEISS|Progressiva|Surfaçada|SmartLife Superb|PhotoFusion X Extra Dark Cinza|1.67|1.67|DuraVision Chrome UV|-8.00 a +8.00|-4.00|0.75 a 3.00|70|||38</x:v>
      </x:c>
    </x:row>
    <x:row r="2373">
      <x:c r="A2373" s="24" t="str">
        <x:v>ZS-888ADC86C875</x:v>
      </x:c>
      <x:c r="B2373" s="24" t="str">
        <x:v>SIM</x:v>
      </x:c>
      <x:c r="C2373" s="24" t="str">
        <x:v>DISPONÍVEL</x:v>
      </x:c>
      <x:c r="D2373" s="24" t="str">
        <x:v>ZEISS</x:v>
      </x:c>
      <x:c r="E2373" s="24" t="str">
        <x:v>Progressiva</x:v>
      </x:c>
      <x:c r="F2373" s="24" t="str">
        <x:v>Surfaçada</x:v>
      </x:c>
      <x:c r="G2373" s="24" t="str">
        <x:v>SmartLife Superb</x:v>
      </x:c>
      <x:c r="H2373" s="24" t="str">
        <x:v>Polarizada</x:v>
      </x:c>
      <x:c r="I2373" s="24" t="str">
        <x:v>1.5</x:v>
      </x:c>
      <x:c r="J2373" s="24" t="str">
        <x:v>1.50</x:v>
      </x:c>
      <x:c r="K2373" s="24" t="str">
        <x:v>DuraVision Gold UV</x:v>
      </x:c>
      <x:c r="L2373" s="40" t="n">
        <x:v>8120</x:v>
      </x:c>
      <x:c r="M2373" s="24" t="str">
        <x:v>-6.00 a +6.00</x:v>
      </x:c>
      <x:c r="N2373" s="24" t="str">
        <x:v>-4.00</x:v>
      </x:c>
      <x:c r="O2373" s="24" t="str">
        <x:v>0.75 a 3.50</x:v>
      </x:c>
      <x:c r="P2373" s="24" t="str">
        <x:v>70</x:v>
      </x:c>
      <x:c r="Q2373" s="24"/>
      <x:c r="R2373" s="24"/>
      <x:c r="S2373" s="26" t="n">
        <x:v>46113</x:v>
      </x:c>
      <x:c r="T2373" s="26"/>
      <x:c r="U2373" s="24" t="str">
        <x:v>ATIVA/SEM FIM INFORMADO</x:v>
      </x:c>
      <x:c r="V2373" s="24"/>
      <x:c r="W2373" s="24" t="n">
        <x:v>38</x:v>
      </x:c>
      <x:c r="X2373" s="24" t="str">
        <x:v>tabela_zeiss.pdf</x:v>
      </x:c>
      <x:c r="Y2373" s="24" t="str">
        <x:v>alta</x:v>
      </x:c>
      <x:c r="Z2373" s="24"/>
      <x:c r="AA2373" s="24" t="str">
        <x:v>ZEISS|Progressiva|Surfaçada|SmartLife Superb|Polarizada|1.5|1.50|DuraVision Gold UV|-6.00 a +6.00|-4.00|0.75 a 3.50|70|||38</x:v>
      </x:c>
    </x:row>
    <x:row r="2374">
      <x:c r="A2374" s="24" t="str">
        <x:v>ZS-9325D0A9AD7B</x:v>
      </x:c>
      <x:c r="B2374" s="24" t="str">
        <x:v>SIM</x:v>
      </x:c>
      <x:c r="C2374" s="24" t="str">
        <x:v>DISPONÍVEL</x:v>
      </x:c>
      <x:c r="D2374" s="24" t="str">
        <x:v>ZEISS</x:v>
      </x:c>
      <x:c r="E2374" s="24" t="str">
        <x:v>Progressiva</x:v>
      </x:c>
      <x:c r="F2374" s="24" t="str">
        <x:v>Surfaçada</x:v>
      </x:c>
      <x:c r="G2374" s="24" t="str">
        <x:v>SmartLife Superb</x:v>
      </x:c>
      <x:c r="H2374" s="24" t="str">
        <x:v>Polarizada</x:v>
      </x:c>
      <x:c r="I2374" s="24" t="str">
        <x:v>1.5</x:v>
      </x:c>
      <x:c r="J2374" s="24" t="str">
        <x:v>1.50</x:v>
      </x:c>
      <x:c r="K2374" s="24" t="str">
        <x:v>DuraVision Platinum UV</x:v>
      </x:c>
      <x:c r="L2374" s="40" t="n">
        <x:v>7980</x:v>
      </x:c>
      <x:c r="M2374" s="24" t="str">
        <x:v>-6.00 a +6.00</x:v>
      </x:c>
      <x:c r="N2374" s="24" t="str">
        <x:v>-4.00</x:v>
      </x:c>
      <x:c r="O2374" s="24" t="str">
        <x:v>0.75 a 3.50</x:v>
      </x:c>
      <x:c r="P2374" s="24" t="str">
        <x:v>70</x:v>
      </x:c>
      <x:c r="Q2374" s="24"/>
      <x:c r="R2374" s="24"/>
      <x:c r="S2374" s="26" t="n">
        <x:v>46113</x:v>
      </x:c>
      <x:c r="T2374" s="26"/>
      <x:c r="U2374" s="24" t="str">
        <x:v>ATIVA/SEM FIM INFORMADO</x:v>
      </x:c>
      <x:c r="V2374" s="24"/>
      <x:c r="W2374" s="24" t="n">
        <x:v>38</x:v>
      </x:c>
      <x:c r="X2374" s="24" t="str">
        <x:v>tabela_zeiss.pdf</x:v>
      </x:c>
      <x:c r="Y2374" s="24" t="str">
        <x:v>alta</x:v>
      </x:c>
      <x:c r="Z2374" s="24"/>
      <x:c r="AA2374" s="24" t="str">
        <x:v>ZEISS|Progressiva|Surfaçada|SmartLife Superb|Polarizada|1.5|1.50|DuraVision Platinum UV|-6.00 a +6.00|-4.00|0.75 a 3.50|70|||38</x:v>
      </x:c>
    </x:row>
    <x:row r="2375">
      <x:c r="A2375" s="24" t="str">
        <x:v>ZS-83E9FE64FAF1</x:v>
      </x:c>
      <x:c r="B2375" s="24" t="str">
        <x:v>SIM</x:v>
      </x:c>
      <x:c r="C2375" s="24" t="str">
        <x:v>DISPONÍVEL</x:v>
      </x:c>
      <x:c r="D2375" s="24" t="str">
        <x:v>ZEISS</x:v>
      </x:c>
      <x:c r="E2375" s="24" t="str">
        <x:v>Progressiva</x:v>
      </x:c>
      <x:c r="F2375" s="24" t="str">
        <x:v>Surfaçada</x:v>
      </x:c>
      <x:c r="G2375" s="24" t="str">
        <x:v>SmartLife Superb</x:v>
      </x:c>
      <x:c r="H2375" s="24" t="str">
        <x:v>Polarizada</x:v>
      </x:c>
      <x:c r="I2375" s="24" t="str">
        <x:v>1.5</x:v>
      </x:c>
      <x:c r="J2375" s="24" t="str">
        <x:v>1.50</x:v>
      </x:c>
      <x:c r="K2375" s="24" t="str">
        <x:v>DuraVision Silver UV</x:v>
      </x:c>
      <x:c r="L2375" s="40" t="n">
        <x:v>7720</x:v>
      </x:c>
      <x:c r="M2375" s="24" t="str">
        <x:v>-6.00 a +6.00</x:v>
      </x:c>
      <x:c r="N2375" s="24" t="str">
        <x:v>-4.00</x:v>
      </x:c>
      <x:c r="O2375" s="24" t="str">
        <x:v>0.75 a 3.50</x:v>
      </x:c>
      <x:c r="P2375" s="24" t="str">
        <x:v>70</x:v>
      </x:c>
      <x:c r="Q2375" s="24"/>
      <x:c r="R2375" s="24"/>
      <x:c r="S2375" s="26" t="n">
        <x:v>46113</x:v>
      </x:c>
      <x:c r="T2375" s="26"/>
      <x:c r="U2375" s="24" t="str">
        <x:v>ATIVA/SEM FIM INFORMADO</x:v>
      </x:c>
      <x:c r="V2375" s="24"/>
      <x:c r="W2375" s="24" t="n">
        <x:v>38</x:v>
      </x:c>
      <x:c r="X2375" s="24" t="str">
        <x:v>tabela_zeiss.pdf</x:v>
      </x:c>
      <x:c r="Y2375" s="24" t="str">
        <x:v>alta</x:v>
      </x:c>
      <x:c r="Z2375" s="24"/>
      <x:c r="AA2375" s="24" t="str">
        <x:v>ZEISS|Progressiva|Surfaçada|SmartLife Superb|Polarizada|1.5|1.50|DuraVision Silver UV|-6.00 a +6.00|-4.00|0.75 a 3.50|70|||38</x:v>
      </x:c>
    </x:row>
    <x:row r="2376">
      <x:c r="A2376" s="24" t="str">
        <x:v>ZS-82EB4FA0A4B9</x:v>
      </x:c>
      <x:c r="B2376" s="24" t="str">
        <x:v>SIM</x:v>
      </x:c>
      <x:c r="C2376" s="24" t="str">
        <x:v>DISPONÍVEL</x:v>
      </x:c>
      <x:c r="D2376" s="24" t="str">
        <x:v>ZEISS</x:v>
      </x:c>
      <x:c r="E2376" s="24" t="str">
        <x:v>Progressiva</x:v>
      </x:c>
      <x:c r="F2376" s="24" t="str">
        <x:v>Surfaçada</x:v>
      </x:c>
      <x:c r="G2376" s="24" t="str">
        <x:v>SmartLife Superb</x:v>
      </x:c>
      <x:c r="H2376" s="24" t="str">
        <x:v>Polarizada</x:v>
      </x:c>
      <x:c r="I2376" s="24" t="str">
        <x:v>1.5</x:v>
      </x:c>
      <x:c r="J2376" s="24" t="str">
        <x:v>1.50</x:v>
      </x:c>
      <x:c r="K2376" s="24" t="str">
        <x:v>DuraVision Chrome UV</x:v>
      </x:c>
      <x:c r="L2376" s="40" t="n">
        <x:v>7230</x:v>
      </x:c>
      <x:c r="M2376" s="24" t="str">
        <x:v>-6.00 a +6.00</x:v>
      </x:c>
      <x:c r="N2376" s="24" t="str">
        <x:v>-4.00</x:v>
      </x:c>
      <x:c r="O2376" s="24" t="str">
        <x:v>0.75 a 3.50</x:v>
      </x:c>
      <x:c r="P2376" s="24" t="str">
        <x:v>70</x:v>
      </x:c>
      <x:c r="Q2376" s="24"/>
      <x:c r="R2376" s="24"/>
      <x:c r="S2376" s="26" t="n">
        <x:v>46113</x:v>
      </x:c>
      <x:c r="T2376" s="26"/>
      <x:c r="U2376" s="24" t="str">
        <x:v>ATIVA/SEM FIM INFORMADO</x:v>
      </x:c>
      <x:c r="V2376" s="24"/>
      <x:c r="W2376" s="24" t="n">
        <x:v>38</x:v>
      </x:c>
      <x:c r="X2376" s="24" t="str">
        <x:v>tabela_zeiss.pdf</x:v>
      </x:c>
      <x:c r="Y2376" s="24" t="str">
        <x:v>alta</x:v>
      </x:c>
      <x:c r="Z2376" s="24"/>
      <x:c r="AA2376" s="24" t="str">
        <x:v>ZEISS|Progressiva|Surfaçada|SmartLife Superb|Polarizada|1.5|1.50|DuraVision Chrome UV|-6.00 a +6.00|-4.00|0.75 a 3.50|70|||38</x:v>
      </x:c>
    </x:row>
    <x:row r="2377">
      <x:c r="A2377" s="24" t="str">
        <x:v>ZS-39CCAD8B606F</x:v>
      </x:c>
      <x:c r="B2377" s="24" t="str">
        <x:v>SIM</x:v>
      </x:c>
      <x:c r="C2377" s="24" t="str">
        <x:v>DISPONÍVEL</x:v>
      </x:c>
      <x:c r="D2377" s="24" t="str">
        <x:v>ZEISS</x:v>
      </x:c>
      <x:c r="E2377" s="24" t="str">
        <x:v>Progressiva</x:v>
      </x:c>
      <x:c r="F2377" s="24" t="str">
        <x:v>Surfaçada</x:v>
      </x:c>
      <x:c r="G2377" s="24" t="str">
        <x:v>SmartLife Superb</x:v>
      </x:c>
      <x:c r="H2377" s="24" t="str">
        <x:v>Polarizada</x:v>
      </x:c>
      <x:c r="I2377" s="24" t="str">
        <x:v>1.5</x:v>
      </x:c>
      <x:c r="J2377" s="24" t="str">
        <x:v>1.50</x:v>
      </x:c>
      <x:c r="K2377" s="24" t="str">
        <x:v>Sem AR</x:v>
      </x:c>
      <x:c r="L2377" s="40" t="n">
        <x:v>6830</x:v>
      </x:c>
      <x:c r="M2377" s="24" t="str">
        <x:v>-6.00 a +6.00</x:v>
      </x:c>
      <x:c r="N2377" s="24" t="str">
        <x:v>-4.00</x:v>
      </x:c>
      <x:c r="O2377" s="24" t="str">
        <x:v>0.75 a 3.50</x:v>
      </x:c>
      <x:c r="P2377" s="24" t="str">
        <x:v>70</x:v>
      </x:c>
      <x:c r="Q2377" s="24"/>
      <x:c r="R2377" s="24"/>
      <x:c r="S2377" s="26" t="n">
        <x:v>46113</x:v>
      </x:c>
      <x:c r="T2377" s="26"/>
      <x:c r="U2377" s="24" t="str">
        <x:v>ATIVA/SEM FIM INFORMADO</x:v>
      </x:c>
      <x:c r="V2377" s="24"/>
      <x:c r="W2377" s="24" t="n">
        <x:v>38</x:v>
      </x:c>
      <x:c r="X2377" s="24" t="str">
        <x:v>tabela_zeiss.pdf</x:v>
      </x:c>
      <x:c r="Y2377" s="24" t="str">
        <x:v>alta</x:v>
      </x:c>
      <x:c r="Z2377" s="24"/>
      <x:c r="AA2377" s="24" t="str">
        <x:v>ZEISS|Progressiva|Surfaçada|SmartLife Superb|Polarizada|1.5|1.50|Sem AR|-6.00 a +6.00|-4.00|0.75 a 3.50|70|||38</x:v>
      </x:c>
    </x:row>
    <x:row r="2378">
      <x:c r="A2378" s="24" t="str">
        <x:v>ZS-B6534A7B38D6</x:v>
      </x:c>
      <x:c r="B2378" s="24" t="str">
        <x:v>SIM</x:v>
      </x:c>
      <x:c r="C2378" s="24" t="str">
        <x:v>DISPONÍVEL</x:v>
      </x:c>
      <x:c r="D2378" s="24" t="str">
        <x:v>ZEISS</x:v>
      </x:c>
      <x:c r="E2378" s="24" t="str">
        <x:v>Progressiva</x:v>
      </x:c>
      <x:c r="F2378" s="24" t="str">
        <x:v>Surfaçada</x:v>
      </x:c>
      <x:c r="G2378" s="24" t="str">
        <x:v>SmartLife Superb</x:v>
      </x:c>
      <x:c r="H2378" s="24" t="str">
        <x:v>Polarizada</x:v>
      </x:c>
      <x:c r="I2378" s="24" t="str">
        <x:v>1.6</x:v>
      </x:c>
      <x:c r="J2378" s="24" t="str">
        <x:v>1.60</x:v>
      </x:c>
      <x:c r="K2378" s="24" t="str">
        <x:v>DuraVision Gold UV</x:v>
      </x:c>
      <x:c r="L2378" s="40" t="n">
        <x:v>9370</x:v>
      </x:c>
      <x:c r="M2378" s="24" t="str">
        <x:v>-8.50 a +6.00</x:v>
      </x:c>
      <x:c r="N2378" s="24" t="str">
        <x:v>-4.00</x:v>
      </x:c>
      <x:c r="O2378" s="24" t="str">
        <x:v>0.75 a 3.50</x:v>
      </x:c>
      <x:c r="P2378" s="24" t="str">
        <x:v>70</x:v>
      </x:c>
      <x:c r="Q2378" s="24"/>
      <x:c r="R2378" s="24"/>
      <x:c r="S2378" s="26" t="n">
        <x:v>46113</x:v>
      </x:c>
      <x:c r="T2378" s="26"/>
      <x:c r="U2378" s="24" t="str">
        <x:v>ATIVA/SEM FIM INFORMADO</x:v>
      </x:c>
      <x:c r="V2378" s="24"/>
      <x:c r="W2378" s="24" t="n">
        <x:v>38</x:v>
      </x:c>
      <x:c r="X2378" s="24" t="str">
        <x:v>tabela_zeiss.pdf</x:v>
      </x:c>
      <x:c r="Y2378" s="24" t="str">
        <x:v>alta</x:v>
      </x:c>
      <x:c r="Z2378" s="24"/>
      <x:c r="AA2378" s="24" t="str">
        <x:v>ZEISS|Progressiva|Surfaçada|SmartLife Superb|Polarizada|1.6|1.60|DuraVision Gold UV|-8.50 a +6.00|-4.00|0.75 a 3.50|70|||38</x:v>
      </x:c>
    </x:row>
    <x:row r="2379">
      <x:c r="A2379" s="24" t="str">
        <x:v>ZS-2E81E2C1DD48</x:v>
      </x:c>
      <x:c r="B2379" s="24" t="str">
        <x:v>SIM</x:v>
      </x:c>
      <x:c r="C2379" s="24" t="str">
        <x:v>DISPONÍVEL</x:v>
      </x:c>
      <x:c r="D2379" s="24" t="str">
        <x:v>ZEISS</x:v>
      </x:c>
      <x:c r="E2379" s="24" t="str">
        <x:v>Progressiva</x:v>
      </x:c>
      <x:c r="F2379" s="24" t="str">
        <x:v>Surfaçada</x:v>
      </x:c>
      <x:c r="G2379" s="24" t="str">
        <x:v>SmartLife Superb</x:v>
      </x:c>
      <x:c r="H2379" s="24" t="str">
        <x:v>Polarizada</x:v>
      </x:c>
      <x:c r="I2379" s="24" t="str">
        <x:v>1.6</x:v>
      </x:c>
      <x:c r="J2379" s="24" t="str">
        <x:v>1.60</x:v>
      </x:c>
      <x:c r="K2379" s="24" t="str">
        <x:v>DuraVision Platinum UV</x:v>
      </x:c>
      <x:c r="L2379" s="40" t="n">
        <x:v>9230</x:v>
      </x:c>
      <x:c r="M2379" s="24" t="str">
        <x:v>-8.50 a +6.00</x:v>
      </x:c>
      <x:c r="N2379" s="24" t="str">
        <x:v>-4.00</x:v>
      </x:c>
      <x:c r="O2379" s="24" t="str">
        <x:v>0.75 a 3.50</x:v>
      </x:c>
      <x:c r="P2379" s="24" t="str">
        <x:v>70</x:v>
      </x:c>
      <x:c r="Q2379" s="24"/>
      <x:c r="R2379" s="24"/>
      <x:c r="S2379" s="26" t="n">
        <x:v>46113</x:v>
      </x:c>
      <x:c r="T2379" s="26"/>
      <x:c r="U2379" s="24" t="str">
        <x:v>ATIVA/SEM FIM INFORMADO</x:v>
      </x:c>
      <x:c r="V2379" s="24"/>
      <x:c r="W2379" s="24" t="n">
        <x:v>38</x:v>
      </x:c>
      <x:c r="X2379" s="24" t="str">
        <x:v>tabela_zeiss.pdf</x:v>
      </x:c>
      <x:c r="Y2379" s="24" t="str">
        <x:v>alta</x:v>
      </x:c>
      <x:c r="Z2379" s="24"/>
      <x:c r="AA2379" s="24" t="str">
        <x:v>ZEISS|Progressiva|Surfaçada|SmartLife Superb|Polarizada|1.6|1.60|DuraVision Platinum UV|-8.50 a +6.00|-4.00|0.75 a 3.50|70|||38</x:v>
      </x:c>
    </x:row>
    <x:row r="2380">
      <x:c r="A2380" s="24" t="str">
        <x:v>ZS-4FF9CA844D61</x:v>
      </x:c>
      <x:c r="B2380" s="24" t="str">
        <x:v>SIM</x:v>
      </x:c>
      <x:c r="C2380" s="24" t="str">
        <x:v>DISPONÍVEL</x:v>
      </x:c>
      <x:c r="D2380" s="24" t="str">
        <x:v>ZEISS</x:v>
      </x:c>
      <x:c r="E2380" s="24" t="str">
        <x:v>Progressiva</x:v>
      </x:c>
      <x:c r="F2380" s="24" t="str">
        <x:v>Surfaçada</x:v>
      </x:c>
      <x:c r="G2380" s="24" t="str">
        <x:v>SmartLife Superb</x:v>
      </x:c>
      <x:c r="H2380" s="24" t="str">
        <x:v>Polarizada</x:v>
      </x:c>
      <x:c r="I2380" s="24" t="str">
        <x:v>1.6</x:v>
      </x:c>
      <x:c r="J2380" s="24" t="str">
        <x:v>1.60</x:v>
      </x:c>
      <x:c r="K2380" s="24" t="str">
        <x:v>DuraVision Silver UV</x:v>
      </x:c>
      <x:c r="L2380" s="40" t="n">
        <x:v>8970</x:v>
      </x:c>
      <x:c r="M2380" s="24" t="str">
        <x:v>-8.50 a +6.00</x:v>
      </x:c>
      <x:c r="N2380" s="24" t="str">
        <x:v>-4.00</x:v>
      </x:c>
      <x:c r="O2380" s="24" t="str">
        <x:v>0.75 a 3.50</x:v>
      </x:c>
      <x:c r="P2380" s="24" t="str">
        <x:v>70</x:v>
      </x:c>
      <x:c r="Q2380" s="24"/>
      <x:c r="R2380" s="24"/>
      <x:c r="S2380" s="26" t="n">
        <x:v>46113</x:v>
      </x:c>
      <x:c r="T2380" s="26"/>
      <x:c r="U2380" s="24" t="str">
        <x:v>ATIVA/SEM FIM INFORMADO</x:v>
      </x:c>
      <x:c r="V2380" s="24"/>
      <x:c r="W2380" s="24" t="n">
        <x:v>38</x:v>
      </x:c>
      <x:c r="X2380" s="24" t="str">
        <x:v>tabela_zeiss.pdf</x:v>
      </x:c>
      <x:c r="Y2380" s="24" t="str">
        <x:v>alta</x:v>
      </x:c>
      <x:c r="Z2380" s="24"/>
      <x:c r="AA2380" s="24" t="str">
        <x:v>ZEISS|Progressiva|Surfaçada|SmartLife Superb|Polarizada|1.6|1.60|DuraVision Silver UV|-8.50 a +6.00|-4.00|0.75 a 3.50|70|||38</x:v>
      </x:c>
    </x:row>
    <x:row r="2381">
      <x:c r="A2381" s="24" t="str">
        <x:v>ZS-615F90774ABA</x:v>
      </x:c>
      <x:c r="B2381" s="24" t="str">
        <x:v>SIM</x:v>
      </x:c>
      <x:c r="C2381" s="24" t="str">
        <x:v>DISPONÍVEL</x:v>
      </x:c>
      <x:c r="D2381" s="24" t="str">
        <x:v>ZEISS</x:v>
      </x:c>
      <x:c r="E2381" s="24" t="str">
        <x:v>Progressiva</x:v>
      </x:c>
      <x:c r="F2381" s="24" t="str">
        <x:v>Surfaçada</x:v>
      </x:c>
      <x:c r="G2381" s="24" t="str">
        <x:v>SmartLife Superb</x:v>
      </x:c>
      <x:c r="H2381" s="24" t="str">
        <x:v>Polarizada</x:v>
      </x:c>
      <x:c r="I2381" s="24" t="str">
        <x:v>1.6</x:v>
      </x:c>
      <x:c r="J2381" s="24" t="str">
        <x:v>1.60</x:v>
      </x:c>
      <x:c r="K2381" s="24" t="str">
        <x:v>DuraVision Chrome UV</x:v>
      </x:c>
      <x:c r="L2381" s="40" t="n">
        <x:v>8480</x:v>
      </x:c>
      <x:c r="M2381" s="24" t="str">
        <x:v>-8.50 a +6.00</x:v>
      </x:c>
      <x:c r="N2381" s="24" t="str">
        <x:v>-4.00</x:v>
      </x:c>
      <x:c r="O2381" s="24" t="str">
        <x:v>0.75 a 3.50</x:v>
      </x:c>
      <x:c r="P2381" s="24" t="str">
        <x:v>70</x:v>
      </x:c>
      <x:c r="Q2381" s="24"/>
      <x:c r="R2381" s="24"/>
      <x:c r="S2381" s="26" t="n">
        <x:v>46113</x:v>
      </x:c>
      <x:c r="T2381" s="26"/>
      <x:c r="U2381" s="24" t="str">
        <x:v>ATIVA/SEM FIM INFORMADO</x:v>
      </x:c>
      <x:c r="V2381" s="24"/>
      <x:c r="W2381" s="24" t="n">
        <x:v>38</x:v>
      </x:c>
      <x:c r="X2381" s="24" t="str">
        <x:v>tabela_zeiss.pdf</x:v>
      </x:c>
      <x:c r="Y2381" s="24" t="str">
        <x:v>alta</x:v>
      </x:c>
      <x:c r="Z2381" s="24"/>
      <x:c r="AA2381" s="24" t="str">
        <x:v>ZEISS|Progressiva|Surfaçada|SmartLife Superb|Polarizada|1.6|1.60|DuraVision Chrome UV|-8.50 a +6.00|-4.00|0.75 a 3.50|70|||38</x:v>
      </x:c>
    </x:row>
    <x:row r="2382">
      <x:c r="A2382" s="24" t="str">
        <x:v>ZS-9AC1EE92A28D</x:v>
      </x:c>
      <x:c r="B2382" s="24" t="str">
        <x:v>SIM</x:v>
      </x:c>
      <x:c r="C2382" s="24" t="str">
        <x:v>DISPONÍVEL</x:v>
      </x:c>
      <x:c r="D2382" s="24" t="str">
        <x:v>ZEISS</x:v>
      </x:c>
      <x:c r="E2382" s="24" t="str">
        <x:v>Progressiva</x:v>
      </x:c>
      <x:c r="F2382" s="24" t="str">
        <x:v>Surfaçada</x:v>
      </x:c>
      <x:c r="G2382" s="24" t="str">
        <x:v>SmartLife Superb</x:v>
      </x:c>
      <x:c r="H2382" s="24" t="str">
        <x:v>Polarizada</x:v>
      </x:c>
      <x:c r="I2382" s="24" t="str">
        <x:v>1.6</x:v>
      </x:c>
      <x:c r="J2382" s="24" t="str">
        <x:v>1.60</x:v>
      </x:c>
      <x:c r="K2382" s="24" t="str">
        <x:v>Sem AR</x:v>
      </x:c>
      <x:c r="L2382" s="40" t="n">
        <x:v>8080</x:v>
      </x:c>
      <x:c r="M2382" s="24" t="str">
        <x:v>-8.50 a +6.00</x:v>
      </x:c>
      <x:c r="N2382" s="24" t="str">
        <x:v>-4.00</x:v>
      </x:c>
      <x:c r="O2382" s="24" t="str">
        <x:v>0.75 a 3.50</x:v>
      </x:c>
      <x:c r="P2382" s="24" t="str">
        <x:v>70</x:v>
      </x:c>
      <x:c r="Q2382" s="24"/>
      <x:c r="R2382" s="24"/>
      <x:c r="S2382" s="26" t="n">
        <x:v>46113</x:v>
      </x:c>
      <x:c r="T2382" s="26"/>
      <x:c r="U2382" s="24" t="str">
        <x:v>ATIVA/SEM FIM INFORMADO</x:v>
      </x:c>
      <x:c r="V2382" s="24"/>
      <x:c r="W2382" s="24" t="n">
        <x:v>38</x:v>
      </x:c>
      <x:c r="X2382" s="24" t="str">
        <x:v>tabela_zeiss.pdf</x:v>
      </x:c>
      <x:c r="Y2382" s="24" t="str">
        <x:v>alta</x:v>
      </x:c>
      <x:c r="Z2382" s="24"/>
      <x:c r="AA2382" s="24" t="str">
        <x:v>ZEISS|Progressiva|Surfaçada|SmartLife Superb|Polarizada|1.6|1.60|Sem AR|-8.50 a +6.00|-4.00|0.75 a 3.50|70|||38</x:v>
      </x:c>
    </x:row>
    <x:row r="2383">
      <x:c r="A2383" s="24" t="str">
        <x:v>ZS-997A70CF4FFD</x:v>
      </x:c>
      <x:c r="B2383" s="24" t="str">
        <x:v>SIM</x:v>
      </x:c>
      <x:c r="C2383" s="24" t="str">
        <x:v>DISPONÍVEL</x:v>
      </x:c>
      <x:c r="D2383" s="24" t="str">
        <x:v>ZEISS</x:v>
      </x:c>
      <x:c r="E2383" s="24" t="str">
        <x:v>Progressiva</x:v>
      </x:c>
      <x:c r="F2383" s="24" t="str">
        <x:v>Surfaçada</x:v>
      </x:c>
      <x:c r="G2383" s="24" t="str">
        <x:v>SmartLife Plus</x:v>
      </x:c>
      <x:c r="H2383" s="24"/>
      <x:c r="I2383" s="24" t="str">
        <x:v>1.5</x:v>
      </x:c>
      <x:c r="J2383" s="24" t="str">
        <x:v>1.50</x:v>
      </x:c>
      <x:c r="K2383" s="24" t="str">
        <x:v>DuraVision Gold UV</x:v>
      </x:c>
      <x:c r="L2383" s="40" t="n">
        <x:v>6280</x:v>
      </x:c>
      <x:c r="M2383" s="24" t="str">
        <x:v>-6.00 a +4.00</x:v>
      </x:c>
      <x:c r="N2383" s="24" t="str">
        <x:v>-4.00</x:v>
      </x:c>
      <x:c r="O2383" s="24" t="str">
        <x:v>0.75 a 3.50</x:v>
      </x:c>
      <x:c r="P2383" s="24" t="str">
        <x:v>75</x:v>
      </x:c>
      <x:c r="Q2383" s="24"/>
      <x:c r="R2383" s="24"/>
      <x:c r="S2383" s="26" t="n">
        <x:v>46113</x:v>
      </x:c>
      <x:c r="T2383" s="26"/>
      <x:c r="U2383" s="24" t="str">
        <x:v>ATIVA/SEM FIM INFORMADO</x:v>
      </x:c>
      <x:c r="V2383" s="24"/>
      <x:c r="W2383" s="24" t="n">
        <x:v>39</x:v>
      </x:c>
      <x:c r="X2383" s="24" t="str">
        <x:v>tabela_zeiss.pdf</x:v>
      </x:c>
      <x:c r="Y2383" s="24" t="str">
        <x:v>alta</x:v>
      </x:c>
      <x:c r="Z2383" s="24"/>
      <x:c r="AA2383" s="24" t="str">
        <x:v>ZEISS|Progressiva|Surfaçada|SmartLife Plus||1.5|1.50|DuraVision Gold UV|-6.00 a +4.00|-4.00|0.75 a 3.50|75|||39</x:v>
      </x:c>
    </x:row>
    <x:row r="2384">
      <x:c r="A2384" s="24" t="str">
        <x:v>ZS-570029E8700D</x:v>
      </x:c>
      <x:c r="B2384" s="24" t="str">
        <x:v>SIM</x:v>
      </x:c>
      <x:c r="C2384" s="24" t="str">
        <x:v>DISPONÍVEL</x:v>
      </x:c>
      <x:c r="D2384" s="24" t="str">
        <x:v>ZEISS</x:v>
      </x:c>
      <x:c r="E2384" s="24" t="str">
        <x:v>Progressiva</x:v>
      </x:c>
      <x:c r="F2384" s="24" t="str">
        <x:v>Surfaçada</x:v>
      </x:c>
      <x:c r="G2384" s="24" t="str">
        <x:v>SmartLife Plus</x:v>
      </x:c>
      <x:c r="H2384" s="24"/>
      <x:c r="I2384" s="24" t="str">
        <x:v>1.5</x:v>
      </x:c>
      <x:c r="J2384" s="24" t="str">
        <x:v>1.50</x:v>
      </x:c>
      <x:c r="K2384" s="24" t="str">
        <x:v>DURAVISION® ANTIVÍRUS PLATINUM UV</x:v>
      </x:c>
      <x:c r="L2384" s="40" t="n">
        <x:v>6140</x:v>
      </x:c>
      <x:c r="M2384" s="24" t="str">
        <x:v>-6.00 a +4.00</x:v>
      </x:c>
      <x:c r="N2384" s="24" t="str">
        <x:v>-4.00</x:v>
      </x:c>
      <x:c r="O2384" s="24" t="str">
        <x:v>0.75 a 3.50</x:v>
      </x:c>
      <x:c r="P2384" s="24" t="str">
        <x:v>75</x:v>
      </x:c>
      <x:c r="Q2384" s="24"/>
      <x:c r="R2384" s="24"/>
      <x:c r="S2384" s="26" t="n">
        <x:v>46113</x:v>
      </x:c>
      <x:c r="T2384" s="26"/>
      <x:c r="U2384" s="24" t="str">
        <x:v>ATIVA/SEM FIM INFORMADO</x:v>
      </x:c>
      <x:c r="V2384" s="24"/>
      <x:c r="W2384" s="24" t="n">
        <x:v>39</x:v>
      </x:c>
      <x:c r="X2384" s="24" t="str">
        <x:v>tabela_zeiss.pdf</x:v>
      </x:c>
      <x:c r="Y2384" s="24" t="str">
        <x:v>alta</x:v>
      </x:c>
      <x:c r="Z2384" s="24"/>
      <x:c r="AA2384" s="24" t="str">
        <x:v>ZEISS|Progressiva|Surfaçada|SmartLife Plus||1.5|1.50|DURAVISION® ANTIVÍRUS PLATINUM UV|-6.00 a +4.00|-4.00|0.75 a 3.50|75|||39</x:v>
      </x:c>
    </x:row>
    <x:row r="2385">
      <x:c r="A2385" s="24" t="str">
        <x:v>ZS-0F8E7A0E8DD7</x:v>
      </x:c>
      <x:c r="B2385" s="24" t="str">
        <x:v>SIM</x:v>
      </x:c>
      <x:c r="C2385" s="24" t="str">
        <x:v>DISPONÍVEL</x:v>
      </x:c>
      <x:c r="D2385" s="24" t="str">
        <x:v>ZEISS</x:v>
      </x:c>
      <x:c r="E2385" s="24" t="str">
        <x:v>Progressiva</x:v>
      </x:c>
      <x:c r="F2385" s="24" t="str">
        <x:v>Surfaçada</x:v>
      </x:c>
      <x:c r="G2385" s="24" t="str">
        <x:v>SmartLife Plus</x:v>
      </x:c>
      <x:c r="H2385" s="24"/>
      <x:c r="I2385" s="24" t="str">
        <x:v>1.5</x:v>
      </x:c>
      <x:c r="J2385" s="24" t="str">
        <x:v>1.50</x:v>
      </x:c>
      <x:c r="K2385" s="24" t="str">
        <x:v>DuraVision Platinum UV</x:v>
      </x:c>
      <x:c r="L2385" s="40" t="n">
        <x:v>6140</x:v>
      </x:c>
      <x:c r="M2385" s="24" t="str">
        <x:v>-6.00 a +4.00</x:v>
      </x:c>
      <x:c r="N2385" s="24" t="str">
        <x:v>-4.00</x:v>
      </x:c>
      <x:c r="O2385" s="24" t="str">
        <x:v>0.75 a 3.50</x:v>
      </x:c>
      <x:c r="P2385" s="24" t="str">
        <x:v>75</x:v>
      </x:c>
      <x:c r="Q2385" s="24"/>
      <x:c r="R2385" s="24"/>
      <x:c r="S2385" s="26" t="n">
        <x:v>46113</x:v>
      </x:c>
      <x:c r="T2385" s="26"/>
      <x:c r="U2385" s="24" t="str">
        <x:v>ATIVA/SEM FIM INFORMADO</x:v>
      </x:c>
      <x:c r="V2385" s="24"/>
      <x:c r="W2385" s="24" t="n">
        <x:v>39</x:v>
      </x:c>
      <x:c r="X2385" s="24" t="str">
        <x:v>tabela_zeiss.pdf</x:v>
      </x:c>
      <x:c r="Y2385" s="24" t="str">
        <x:v>alta</x:v>
      </x:c>
      <x:c r="Z2385" s="24"/>
      <x:c r="AA2385" s="24" t="str">
        <x:v>ZEISS|Progressiva|Surfaçada|SmartLife Plus||1.5|1.50|DuraVision Platinum UV|-6.00 a +4.00|-4.00|0.75 a 3.50|75|||39</x:v>
      </x:c>
    </x:row>
    <x:row r="2386">
      <x:c r="A2386" s="24" t="str">
        <x:v>ZS-E6113BDA649F</x:v>
      </x:c>
      <x:c r="B2386" s="24" t="str">
        <x:v>SIM</x:v>
      </x:c>
      <x:c r="C2386" s="24" t="str">
        <x:v>DISPONÍVEL</x:v>
      </x:c>
      <x:c r="D2386" s="24" t="str">
        <x:v>ZEISS</x:v>
      </x:c>
      <x:c r="E2386" s="24" t="str">
        <x:v>Progressiva</x:v>
      </x:c>
      <x:c r="F2386" s="24" t="str">
        <x:v>Surfaçada</x:v>
      </x:c>
      <x:c r="G2386" s="24" t="str">
        <x:v>SmartLife Plus</x:v>
      </x:c>
      <x:c r="H2386" s="24"/>
      <x:c r="I2386" s="24" t="str">
        <x:v>1.5</x:v>
      </x:c>
      <x:c r="J2386" s="24" t="str">
        <x:v>1.50</x:v>
      </x:c>
      <x:c r="K2386" s="24" t="str">
        <x:v>DuraVision Silver UV</x:v>
      </x:c>
      <x:c r="L2386" s="40" t="n">
        <x:v>5880</x:v>
      </x:c>
      <x:c r="M2386" s="24" t="str">
        <x:v>-6.00 a +4.00</x:v>
      </x:c>
      <x:c r="N2386" s="24" t="str">
        <x:v>-4.00</x:v>
      </x:c>
      <x:c r="O2386" s="24" t="str">
        <x:v>0.75 a 3.50</x:v>
      </x:c>
      <x:c r="P2386" s="24" t="str">
        <x:v>75</x:v>
      </x:c>
      <x:c r="Q2386" s="24"/>
      <x:c r="R2386" s="24"/>
      <x:c r="S2386" s="26" t="n">
        <x:v>46113</x:v>
      </x:c>
      <x:c r="T2386" s="26"/>
      <x:c r="U2386" s="24" t="str">
        <x:v>ATIVA/SEM FIM INFORMADO</x:v>
      </x:c>
      <x:c r="V2386" s="24"/>
      <x:c r="W2386" s="24" t="n">
        <x:v>39</x:v>
      </x:c>
      <x:c r="X2386" s="24" t="str">
        <x:v>tabela_zeiss.pdf</x:v>
      </x:c>
      <x:c r="Y2386" s="24" t="str">
        <x:v>alta</x:v>
      </x:c>
      <x:c r="Z2386" s="24"/>
      <x:c r="AA2386" s="24" t="str">
        <x:v>ZEISS|Progressiva|Surfaçada|SmartLife Plus||1.5|1.50|DuraVision Silver UV|-6.00 a +4.00|-4.00|0.75 a 3.50|75|||39</x:v>
      </x:c>
    </x:row>
    <x:row r="2387">
      <x:c r="A2387" s="24" t="str">
        <x:v>ZS-6B1AF4C61DBB</x:v>
      </x:c>
      <x:c r="B2387" s="24" t="str">
        <x:v>SIM</x:v>
      </x:c>
      <x:c r="C2387" s="24" t="str">
        <x:v>DISPONÍVEL</x:v>
      </x:c>
      <x:c r="D2387" s="24" t="str">
        <x:v>ZEISS</x:v>
      </x:c>
      <x:c r="E2387" s="24" t="str">
        <x:v>Progressiva</x:v>
      </x:c>
      <x:c r="F2387" s="24" t="str">
        <x:v>Surfaçada</x:v>
      </x:c>
      <x:c r="G2387" s="24" t="str">
        <x:v>SmartLife Plus</x:v>
      </x:c>
      <x:c r="H2387" s="24"/>
      <x:c r="I2387" s="24" t="str">
        <x:v>1.5</x:v>
      </x:c>
      <x:c r="J2387" s="24" t="str">
        <x:v>1.50</x:v>
      </x:c>
      <x:c r="K2387" s="24" t="str">
        <x:v>DuraVision Chrome UV</x:v>
      </x:c>
      <x:c r="L2387" s="40" t="n">
        <x:v>5390</x:v>
      </x:c>
      <x:c r="M2387" s="24" t="str">
        <x:v>-6.00 a +4.00</x:v>
      </x:c>
      <x:c r="N2387" s="24" t="str">
        <x:v>-4.00</x:v>
      </x:c>
      <x:c r="O2387" s="24" t="str">
        <x:v>0.75 a 3.50</x:v>
      </x:c>
      <x:c r="P2387" s="24" t="str">
        <x:v>75</x:v>
      </x:c>
      <x:c r="Q2387" s="24"/>
      <x:c r="R2387" s="24"/>
      <x:c r="S2387" s="26" t="n">
        <x:v>46113</x:v>
      </x:c>
      <x:c r="T2387" s="26"/>
      <x:c r="U2387" s="24" t="str">
        <x:v>ATIVA/SEM FIM INFORMADO</x:v>
      </x:c>
      <x:c r="V2387" s="24"/>
      <x:c r="W2387" s="24" t="n">
        <x:v>39</x:v>
      </x:c>
      <x:c r="X2387" s="24" t="str">
        <x:v>tabela_zeiss.pdf</x:v>
      </x:c>
      <x:c r="Y2387" s="24" t="str">
        <x:v>alta</x:v>
      </x:c>
      <x:c r="Z2387" s="24"/>
      <x:c r="AA2387" s="24" t="str">
        <x:v>ZEISS|Progressiva|Surfaçada|SmartLife Plus||1.5|1.50|DuraVision Chrome UV|-6.00 a +4.00|-4.00|0.75 a 3.50|75|||39</x:v>
      </x:c>
    </x:row>
    <x:row r="2388">
      <x:c r="A2388" s="24" t="str">
        <x:v>ZS-64451BFC3B1D</x:v>
      </x:c>
      <x:c r="B2388" s="24" t="str">
        <x:v>SIM</x:v>
      </x:c>
      <x:c r="C2388" s="24" t="str">
        <x:v>DISPONÍVEL</x:v>
      </x:c>
      <x:c r="D2388" s="24" t="str">
        <x:v>ZEISS</x:v>
      </x:c>
      <x:c r="E2388" s="24" t="str">
        <x:v>Progressiva</x:v>
      </x:c>
      <x:c r="F2388" s="24" t="str">
        <x:v>Surfaçada</x:v>
      </x:c>
      <x:c r="G2388" s="24" t="str">
        <x:v>SmartLife Plus</x:v>
      </x:c>
      <x:c r="H2388" s="24"/>
      <x:c r="I2388" s="24" t="str">
        <x:v>Poli</x:v>
      </x:c>
      <x:c r="J2388" s="24"/>
      <x:c r="K2388" s="24" t="str">
        <x:v>DuraVision Gold UV</x:v>
      </x:c>
      <x:c r="L2388" s="40" t="n">
        <x:v>6870</x:v>
      </x:c>
      <x:c r="M2388" s="24" t="str">
        <x:v>-10.00 a +6.00</x:v>
      </x:c>
      <x:c r="N2388" s="24" t="str">
        <x:v>-6.00</x:v>
      </x:c>
      <x:c r="O2388" s="24" t="str">
        <x:v>0.75 a 3.00</x:v>
      </x:c>
      <x:c r="P2388" s="24" t="str">
        <x:v>70</x:v>
      </x:c>
      <x:c r="Q2388" s="24"/>
      <x:c r="R2388" s="24"/>
      <x:c r="S2388" s="26" t="n">
        <x:v>46113</x:v>
      </x:c>
      <x:c r="T2388" s="26"/>
      <x:c r="U2388" s="24" t="str">
        <x:v>ATIVA/SEM FIM INFORMADO</x:v>
      </x:c>
      <x:c r="V2388" s="24"/>
      <x:c r="W2388" s="24" t="n">
        <x:v>39</x:v>
      </x:c>
      <x:c r="X2388" s="24" t="str">
        <x:v>tabela_zeiss.pdf</x:v>
      </x:c>
      <x:c r="Y2388" s="24" t="str">
        <x:v>alta</x:v>
      </x:c>
      <x:c r="Z2388" s="24"/>
      <x:c r="AA2388" s="24" t="str">
        <x:v>ZEISS|Progressiva|Surfaçada|SmartLife Plus||Poli||DuraVision Gold UV|-10.00 a +6.00|-6.00|0.75 a 3.00|70|||39</x:v>
      </x:c>
    </x:row>
    <x:row r="2389">
      <x:c r="A2389" s="24" t="str">
        <x:v>ZS-FC3BD2DCACCD</x:v>
      </x:c>
      <x:c r="B2389" s="24" t="str">
        <x:v>SIM</x:v>
      </x:c>
      <x:c r="C2389" s="24" t="str">
        <x:v>DISPONÍVEL</x:v>
      </x:c>
      <x:c r="D2389" s="24" t="str">
        <x:v>ZEISS</x:v>
      </x:c>
      <x:c r="E2389" s="24" t="str">
        <x:v>Progressiva</x:v>
      </x:c>
      <x:c r="F2389" s="24" t="str">
        <x:v>Surfaçada</x:v>
      </x:c>
      <x:c r="G2389" s="24" t="str">
        <x:v>SmartLife Plus</x:v>
      </x:c>
      <x:c r="H2389" s="24"/>
      <x:c r="I2389" s="24" t="str">
        <x:v>Poli</x:v>
      </x:c>
      <x:c r="J2389" s="24"/>
      <x:c r="K2389" s="24" t="str">
        <x:v>DuraVision Platinum UV</x:v>
      </x:c>
      <x:c r="L2389" s="40" t="n">
        <x:v>6730</x:v>
      </x:c>
      <x:c r="M2389" s="24" t="str">
        <x:v>-10.00 a +6.00</x:v>
      </x:c>
      <x:c r="N2389" s="24" t="str">
        <x:v>-6.00</x:v>
      </x:c>
      <x:c r="O2389" s="24" t="str">
        <x:v>0.75 a 3.00</x:v>
      </x:c>
      <x:c r="P2389" s="24" t="str">
        <x:v>70</x:v>
      </x:c>
      <x:c r="Q2389" s="24"/>
      <x:c r="R2389" s="24"/>
      <x:c r="S2389" s="26" t="n">
        <x:v>46113</x:v>
      </x:c>
      <x:c r="T2389" s="26"/>
      <x:c r="U2389" s="24" t="str">
        <x:v>ATIVA/SEM FIM INFORMADO</x:v>
      </x:c>
      <x:c r="V2389" s="24"/>
      <x:c r="W2389" s="24" t="n">
        <x:v>39</x:v>
      </x:c>
      <x:c r="X2389" s="24" t="str">
        <x:v>tabela_zeiss.pdf</x:v>
      </x:c>
      <x:c r="Y2389" s="24" t="str">
        <x:v>alta</x:v>
      </x:c>
      <x:c r="Z2389" s="24"/>
      <x:c r="AA2389" s="24" t="str">
        <x:v>ZEISS|Progressiva|Surfaçada|SmartLife Plus||Poli||DuraVision Platinum UV|-10.00 a +6.00|-6.00|0.75 a 3.00|70|||39</x:v>
      </x:c>
    </x:row>
    <x:row r="2390">
      <x:c r="A2390" s="24" t="str">
        <x:v>ZS-1751B32ADFDF</x:v>
      </x:c>
      <x:c r="B2390" s="24" t="str">
        <x:v>SIM</x:v>
      </x:c>
      <x:c r="C2390" s="24" t="str">
        <x:v>DISPONÍVEL</x:v>
      </x:c>
      <x:c r="D2390" s="24" t="str">
        <x:v>ZEISS</x:v>
      </x:c>
      <x:c r="E2390" s="24" t="str">
        <x:v>Progressiva</x:v>
      </x:c>
      <x:c r="F2390" s="24" t="str">
        <x:v>Surfaçada</x:v>
      </x:c>
      <x:c r="G2390" s="24" t="str">
        <x:v>SmartLife Plus</x:v>
      </x:c>
      <x:c r="H2390" s="24"/>
      <x:c r="I2390" s="24" t="str">
        <x:v>Poli</x:v>
      </x:c>
      <x:c r="J2390" s="24"/>
      <x:c r="K2390" s="24" t="str">
        <x:v>DuraVision Silver UV</x:v>
      </x:c>
      <x:c r="L2390" s="40" t="n">
        <x:v>6470</x:v>
      </x:c>
      <x:c r="M2390" s="24" t="str">
        <x:v>-10.00 a +6.00</x:v>
      </x:c>
      <x:c r="N2390" s="24" t="str">
        <x:v>-6.00</x:v>
      </x:c>
      <x:c r="O2390" s="24" t="str">
        <x:v>0.75 a 3.00</x:v>
      </x:c>
      <x:c r="P2390" s="24" t="str">
        <x:v>70</x:v>
      </x:c>
      <x:c r="Q2390" s="24"/>
      <x:c r="R2390" s="24"/>
      <x:c r="S2390" s="26" t="n">
        <x:v>46113</x:v>
      </x:c>
      <x:c r="T2390" s="26"/>
      <x:c r="U2390" s="24" t="str">
        <x:v>ATIVA/SEM FIM INFORMADO</x:v>
      </x:c>
      <x:c r="V2390" s="24"/>
      <x:c r="W2390" s="24" t="n">
        <x:v>39</x:v>
      </x:c>
      <x:c r="X2390" s="24" t="str">
        <x:v>tabela_zeiss.pdf</x:v>
      </x:c>
      <x:c r="Y2390" s="24" t="str">
        <x:v>alta</x:v>
      </x:c>
      <x:c r="Z2390" s="24"/>
      <x:c r="AA2390" s="24" t="str">
        <x:v>ZEISS|Progressiva|Surfaçada|SmartLife Plus||Poli||DuraVision Silver UV|-10.00 a +6.00|-6.00|0.75 a 3.00|70|||39</x:v>
      </x:c>
    </x:row>
    <x:row r="2391">
      <x:c r="A2391" s="24" t="str">
        <x:v>ZS-245596AE0E76</x:v>
      </x:c>
      <x:c r="B2391" s="24" t="str">
        <x:v>SIM</x:v>
      </x:c>
      <x:c r="C2391" s="24" t="str">
        <x:v>DISPONÍVEL</x:v>
      </x:c>
      <x:c r="D2391" s="24" t="str">
        <x:v>ZEISS</x:v>
      </x:c>
      <x:c r="E2391" s="24" t="str">
        <x:v>Progressiva</x:v>
      </x:c>
      <x:c r="F2391" s="24" t="str">
        <x:v>Surfaçada</x:v>
      </x:c>
      <x:c r="G2391" s="24" t="str">
        <x:v>SmartLife Plus</x:v>
      </x:c>
      <x:c r="H2391" s="24"/>
      <x:c r="I2391" s="24" t="str">
        <x:v>Poli</x:v>
      </x:c>
      <x:c r="J2391" s="24"/>
      <x:c r="K2391" s="24" t="str">
        <x:v>DuraVision Chrome UV</x:v>
      </x:c>
      <x:c r="L2391" s="40" t="n">
        <x:v>5980</x:v>
      </x:c>
      <x:c r="M2391" s="24" t="str">
        <x:v>-10.00 a +6.00</x:v>
      </x:c>
      <x:c r="N2391" s="24" t="str">
        <x:v>-6.00</x:v>
      </x:c>
      <x:c r="O2391" s="24" t="str">
        <x:v>0.75 a 3.00</x:v>
      </x:c>
      <x:c r="P2391" s="24" t="str">
        <x:v>70</x:v>
      </x:c>
      <x:c r="Q2391" s="24"/>
      <x:c r="R2391" s="24"/>
      <x:c r="S2391" s="26" t="n">
        <x:v>46113</x:v>
      </x:c>
      <x:c r="T2391" s="26"/>
      <x:c r="U2391" s="24" t="str">
        <x:v>ATIVA/SEM FIM INFORMADO</x:v>
      </x:c>
      <x:c r="V2391" s="24"/>
      <x:c r="W2391" s="24" t="n">
        <x:v>39</x:v>
      </x:c>
      <x:c r="X2391" s="24" t="str">
        <x:v>tabela_zeiss.pdf</x:v>
      </x:c>
      <x:c r="Y2391" s="24" t="str">
        <x:v>alta</x:v>
      </x:c>
      <x:c r="Z2391" s="24"/>
      <x:c r="AA2391" s="24" t="str">
        <x:v>ZEISS|Progressiva|Surfaçada|SmartLife Plus||Poli||DuraVision Chrome UV|-10.00 a +6.00|-6.00|0.75 a 3.00|70|||39</x:v>
      </x:c>
    </x:row>
    <x:row r="2392">
      <x:c r="A2392" s="24" t="str">
        <x:v>ZS-28FC5770997A</x:v>
      </x:c>
      <x:c r="B2392" s="24" t="str">
        <x:v>SIM</x:v>
      </x:c>
      <x:c r="C2392" s="24" t="str">
        <x:v>DISPONÍVEL</x:v>
      </x:c>
      <x:c r="D2392" s="24" t="str">
        <x:v>ZEISS</x:v>
      </x:c>
      <x:c r="E2392" s="24" t="str">
        <x:v>Progressiva</x:v>
      </x:c>
      <x:c r="F2392" s="24" t="str">
        <x:v>Surfaçada</x:v>
      </x:c>
      <x:c r="G2392" s="24" t="str">
        <x:v>SmartLife Plus</x:v>
      </x:c>
      <x:c r="H2392" s="24"/>
      <x:c r="I2392" s="24" t="str">
        <x:v>1.6</x:v>
      </x:c>
      <x:c r="J2392" s="24" t="str">
        <x:v>1.60</x:v>
      </x:c>
      <x:c r="K2392" s="24" t="str">
        <x:v>DuraVision Gold UV</x:v>
      </x:c>
      <x:c r="L2392" s="40" t="n">
        <x:v>7530</x:v>
      </x:c>
      <x:c r="M2392" s="24" t="str">
        <x:v>-7.25 a +6.00</x:v>
      </x:c>
      <x:c r="N2392" s="24" t="str">
        <x:v>-6.00</x:v>
      </x:c>
      <x:c r="O2392" s="24" t="str">
        <x:v>0.75 a 3.50</x:v>
      </x:c>
      <x:c r="P2392" s="24" t="str">
        <x:v>75</x:v>
      </x:c>
      <x:c r="Q2392" s="24"/>
      <x:c r="R2392" s="24"/>
      <x:c r="S2392" s="26" t="n">
        <x:v>46113</x:v>
      </x:c>
      <x:c r="T2392" s="26"/>
      <x:c r="U2392" s="24" t="str">
        <x:v>ATIVA/SEM FIM INFORMADO</x:v>
      </x:c>
      <x:c r="V2392" s="24"/>
      <x:c r="W2392" s="24" t="n">
        <x:v>39</x:v>
      </x:c>
      <x:c r="X2392" s="24" t="str">
        <x:v>tabela_zeiss.pdf</x:v>
      </x:c>
      <x:c r="Y2392" s="24" t="str">
        <x:v>alta</x:v>
      </x:c>
      <x:c r="Z2392" s="24"/>
      <x:c r="AA2392" s="24" t="str">
        <x:v>ZEISS|Progressiva|Surfaçada|SmartLife Plus||1.6|1.60|DuraVision Gold UV|-7.25 a +6.00|-6.00|0.75 a 3.50|75|||39</x:v>
      </x:c>
    </x:row>
    <x:row r="2393">
      <x:c r="A2393" s="24" t="str">
        <x:v>ZS-BE9C8E58AEFB</x:v>
      </x:c>
      <x:c r="B2393" s="24" t="str">
        <x:v>SIM</x:v>
      </x:c>
      <x:c r="C2393" s="24" t="str">
        <x:v>DISPONÍVEL</x:v>
      </x:c>
      <x:c r="D2393" s="24" t="str">
        <x:v>ZEISS</x:v>
      </x:c>
      <x:c r="E2393" s="24" t="str">
        <x:v>Progressiva</x:v>
      </x:c>
      <x:c r="F2393" s="24" t="str">
        <x:v>Surfaçada</x:v>
      </x:c>
      <x:c r="G2393" s="24" t="str">
        <x:v>SmartLife Plus</x:v>
      </x:c>
      <x:c r="H2393" s="24"/>
      <x:c r="I2393" s="24" t="str">
        <x:v>1.6</x:v>
      </x:c>
      <x:c r="J2393" s="24" t="str">
        <x:v>1.60</x:v>
      </x:c>
      <x:c r="K2393" s="24" t="str">
        <x:v>DURAVISION® ANTIVÍRUS PLATINUM UV</x:v>
      </x:c>
      <x:c r="L2393" s="40" t="n">
        <x:v>7390</x:v>
      </x:c>
      <x:c r="M2393" s="24" t="str">
        <x:v>-7.25 a +6.00</x:v>
      </x:c>
      <x:c r="N2393" s="24" t="str">
        <x:v>-6.00</x:v>
      </x:c>
      <x:c r="O2393" s="24" t="str">
        <x:v>0.75 a 3.50</x:v>
      </x:c>
      <x:c r="P2393" s="24" t="str">
        <x:v>75</x:v>
      </x:c>
      <x:c r="Q2393" s="24"/>
      <x:c r="R2393" s="24"/>
      <x:c r="S2393" s="26" t="n">
        <x:v>46113</x:v>
      </x:c>
      <x:c r="T2393" s="26"/>
      <x:c r="U2393" s="24" t="str">
        <x:v>ATIVA/SEM FIM INFORMADO</x:v>
      </x:c>
      <x:c r="V2393" s="24"/>
      <x:c r="W2393" s="24" t="n">
        <x:v>39</x:v>
      </x:c>
      <x:c r="X2393" s="24" t="str">
        <x:v>tabela_zeiss.pdf</x:v>
      </x:c>
      <x:c r="Y2393" s="24" t="str">
        <x:v>alta</x:v>
      </x:c>
      <x:c r="Z2393" s="24"/>
      <x:c r="AA2393" s="24" t="str">
        <x:v>ZEISS|Progressiva|Surfaçada|SmartLife Plus||1.6|1.60|DURAVISION® ANTIVÍRUS PLATINUM UV|-7.25 a +6.00|-6.00|0.75 a 3.50|75|||39</x:v>
      </x:c>
    </x:row>
    <x:row r="2394">
      <x:c r="A2394" s="24" t="str">
        <x:v>ZS-1FFE10CE714B</x:v>
      </x:c>
      <x:c r="B2394" s="24" t="str">
        <x:v>SIM</x:v>
      </x:c>
      <x:c r="C2394" s="24" t="str">
        <x:v>DISPONÍVEL</x:v>
      </x:c>
      <x:c r="D2394" s="24" t="str">
        <x:v>ZEISS</x:v>
      </x:c>
      <x:c r="E2394" s="24" t="str">
        <x:v>Progressiva</x:v>
      </x:c>
      <x:c r="F2394" s="24" t="str">
        <x:v>Surfaçada</x:v>
      </x:c>
      <x:c r="G2394" s="24" t="str">
        <x:v>SmartLife Plus</x:v>
      </x:c>
      <x:c r="H2394" s="24"/>
      <x:c r="I2394" s="24" t="str">
        <x:v>1.6</x:v>
      </x:c>
      <x:c r="J2394" s="24" t="str">
        <x:v>1.60</x:v>
      </x:c>
      <x:c r="K2394" s="24" t="str">
        <x:v>DuraVision Platinum UV</x:v>
      </x:c>
      <x:c r="L2394" s="40" t="n">
        <x:v>7390</x:v>
      </x:c>
      <x:c r="M2394" s="24" t="str">
        <x:v>-7.25 a +6.00</x:v>
      </x:c>
      <x:c r="N2394" s="24" t="str">
        <x:v>-6.00</x:v>
      </x:c>
      <x:c r="O2394" s="24" t="str">
        <x:v>0.75 a 3.50</x:v>
      </x:c>
      <x:c r="P2394" s="24" t="str">
        <x:v>75</x:v>
      </x:c>
      <x:c r="Q2394" s="24"/>
      <x:c r="R2394" s="24"/>
      <x:c r="S2394" s="26" t="n">
        <x:v>46113</x:v>
      </x:c>
      <x:c r="T2394" s="26"/>
      <x:c r="U2394" s="24" t="str">
        <x:v>ATIVA/SEM FIM INFORMADO</x:v>
      </x:c>
      <x:c r="V2394" s="24"/>
      <x:c r="W2394" s="24" t="n">
        <x:v>39</x:v>
      </x:c>
      <x:c r="X2394" s="24" t="str">
        <x:v>tabela_zeiss.pdf</x:v>
      </x:c>
      <x:c r="Y2394" s="24" t="str">
        <x:v>alta</x:v>
      </x:c>
      <x:c r="Z2394" s="24"/>
      <x:c r="AA2394" s="24" t="str">
        <x:v>ZEISS|Progressiva|Surfaçada|SmartLife Plus||1.6|1.60|DuraVision Platinum UV|-7.25 a +6.00|-6.00|0.75 a 3.50|75|||39</x:v>
      </x:c>
    </x:row>
    <x:row r="2395">
      <x:c r="A2395" s="24" t="str">
        <x:v>ZS-68132C95F936</x:v>
      </x:c>
      <x:c r="B2395" s="24" t="str">
        <x:v>SIM</x:v>
      </x:c>
      <x:c r="C2395" s="24" t="str">
        <x:v>DISPONÍVEL</x:v>
      </x:c>
      <x:c r="D2395" s="24" t="str">
        <x:v>ZEISS</x:v>
      </x:c>
      <x:c r="E2395" s="24" t="str">
        <x:v>Progressiva</x:v>
      </x:c>
      <x:c r="F2395" s="24" t="str">
        <x:v>Surfaçada</x:v>
      </x:c>
      <x:c r="G2395" s="24" t="str">
        <x:v>SmartLife Plus</x:v>
      </x:c>
      <x:c r="H2395" s="24"/>
      <x:c r="I2395" s="24" t="str">
        <x:v>1.6</x:v>
      </x:c>
      <x:c r="J2395" s="24" t="str">
        <x:v>1.60</x:v>
      </x:c>
      <x:c r="K2395" s="24" t="str">
        <x:v>DuraVision Silver UV</x:v>
      </x:c>
      <x:c r="L2395" s="40" t="n">
        <x:v>7130</x:v>
      </x:c>
      <x:c r="M2395" s="24" t="str">
        <x:v>-7.25 a +6.00</x:v>
      </x:c>
      <x:c r="N2395" s="24" t="str">
        <x:v>-6.00</x:v>
      </x:c>
      <x:c r="O2395" s="24" t="str">
        <x:v>0.75 a 3.50</x:v>
      </x:c>
      <x:c r="P2395" s="24" t="str">
        <x:v>75</x:v>
      </x:c>
      <x:c r="Q2395" s="24"/>
      <x:c r="R2395" s="24"/>
      <x:c r="S2395" s="26" t="n">
        <x:v>46113</x:v>
      </x:c>
      <x:c r="T2395" s="26"/>
      <x:c r="U2395" s="24" t="str">
        <x:v>ATIVA/SEM FIM INFORMADO</x:v>
      </x:c>
      <x:c r="V2395" s="24"/>
      <x:c r="W2395" s="24" t="n">
        <x:v>39</x:v>
      </x:c>
      <x:c r="X2395" s="24" t="str">
        <x:v>tabela_zeiss.pdf</x:v>
      </x:c>
      <x:c r="Y2395" s="24" t="str">
        <x:v>alta</x:v>
      </x:c>
      <x:c r="Z2395" s="24"/>
      <x:c r="AA2395" s="24" t="str">
        <x:v>ZEISS|Progressiva|Surfaçada|SmartLife Plus||1.6|1.60|DuraVision Silver UV|-7.25 a +6.00|-6.00|0.75 a 3.50|75|||39</x:v>
      </x:c>
    </x:row>
    <x:row r="2396">
      <x:c r="A2396" s="24" t="str">
        <x:v>ZS-FB1B4C854B11</x:v>
      </x:c>
      <x:c r="B2396" s="24" t="str">
        <x:v>SIM</x:v>
      </x:c>
      <x:c r="C2396" s="24" t="str">
        <x:v>DISPONÍVEL</x:v>
      </x:c>
      <x:c r="D2396" s="24" t="str">
        <x:v>ZEISS</x:v>
      </x:c>
      <x:c r="E2396" s="24" t="str">
        <x:v>Progressiva</x:v>
      </x:c>
      <x:c r="F2396" s="24" t="str">
        <x:v>Surfaçada</x:v>
      </x:c>
      <x:c r="G2396" s="24" t="str">
        <x:v>SmartLife Plus</x:v>
      </x:c>
      <x:c r="H2396" s="24"/>
      <x:c r="I2396" s="24" t="str">
        <x:v>1.6</x:v>
      </x:c>
      <x:c r="J2396" s="24" t="str">
        <x:v>1.60</x:v>
      </x:c>
      <x:c r="K2396" s="24" t="str">
        <x:v>DuraVision Chrome UV</x:v>
      </x:c>
      <x:c r="L2396" s="40" t="n">
        <x:v>6640</x:v>
      </x:c>
      <x:c r="M2396" s="24" t="str">
        <x:v>-7.25 a +6.00</x:v>
      </x:c>
      <x:c r="N2396" s="24" t="str">
        <x:v>-6.00</x:v>
      </x:c>
      <x:c r="O2396" s="24" t="str">
        <x:v>0.75 a 3.50</x:v>
      </x:c>
      <x:c r="P2396" s="24" t="str">
        <x:v>75</x:v>
      </x:c>
      <x:c r="Q2396" s="24"/>
      <x:c r="R2396" s="24"/>
      <x:c r="S2396" s="26" t="n">
        <x:v>46113</x:v>
      </x:c>
      <x:c r="T2396" s="26"/>
      <x:c r="U2396" s="24" t="str">
        <x:v>ATIVA/SEM FIM INFORMADO</x:v>
      </x:c>
      <x:c r="V2396" s="24"/>
      <x:c r="W2396" s="24" t="n">
        <x:v>39</x:v>
      </x:c>
      <x:c r="X2396" s="24" t="str">
        <x:v>tabela_zeiss.pdf</x:v>
      </x:c>
      <x:c r="Y2396" s="24" t="str">
        <x:v>alta</x:v>
      </x:c>
      <x:c r="Z2396" s="24"/>
      <x:c r="AA2396" s="24" t="str">
        <x:v>ZEISS|Progressiva|Surfaçada|SmartLife Plus||1.6|1.60|DuraVision Chrome UV|-7.25 a +6.00|-6.00|0.75 a 3.50|75|||39</x:v>
      </x:c>
    </x:row>
    <x:row r="2397">
      <x:c r="A2397" s="24" t="str">
        <x:v>ZS-262EAD6E8ECD</x:v>
      </x:c>
      <x:c r="B2397" s="24" t="str">
        <x:v>SIM</x:v>
      </x:c>
      <x:c r="C2397" s="24" t="str">
        <x:v>DISPONÍVEL</x:v>
      </x:c>
      <x:c r="D2397" s="24" t="str">
        <x:v>ZEISS</x:v>
      </x:c>
      <x:c r="E2397" s="24" t="str">
        <x:v>Progressiva</x:v>
      </x:c>
      <x:c r="F2397" s="24" t="str">
        <x:v>Surfaçada</x:v>
      </x:c>
      <x:c r="G2397" s="24" t="str">
        <x:v>SmartLife Plus</x:v>
      </x:c>
      <x:c r="H2397" s="24"/>
      <x:c r="I2397" s="24" t="str">
        <x:v>1.67</x:v>
      </x:c>
      <x:c r="J2397" s="24" t="str">
        <x:v>1.67</x:v>
      </x:c>
      <x:c r="K2397" s="24" t="str">
        <x:v>DuraVision Gold UV</x:v>
      </x:c>
      <x:c r="L2397" s="40" t="n">
        <x:v>9170</x:v>
      </x:c>
      <x:c r="M2397" s="24" t="str">
        <x:v>-8.00 a +8.00</x:v>
      </x:c>
      <x:c r="N2397" s="24" t="str">
        <x:v>-6.00</x:v>
      </x:c>
      <x:c r="O2397" s="24" t="str">
        <x:v>0.75 a 3.00</x:v>
      </x:c>
      <x:c r="P2397" s="24" t="str">
        <x:v>70</x:v>
      </x:c>
      <x:c r="Q2397" s="24"/>
      <x:c r="R2397" s="24"/>
      <x:c r="S2397" s="26" t="n">
        <x:v>46113</x:v>
      </x:c>
      <x:c r="T2397" s="26"/>
      <x:c r="U2397" s="24" t="str">
        <x:v>ATIVA/SEM FIM INFORMADO</x:v>
      </x:c>
      <x:c r="V2397" s="24"/>
      <x:c r="W2397" s="24" t="n">
        <x:v>39</x:v>
      </x:c>
      <x:c r="X2397" s="24" t="str">
        <x:v>tabela_zeiss.pdf</x:v>
      </x:c>
      <x:c r="Y2397" s="24" t="str">
        <x:v>alta</x:v>
      </x:c>
      <x:c r="Z2397" s="24"/>
      <x:c r="AA2397" s="24" t="str">
        <x:v>ZEISS|Progressiva|Surfaçada|SmartLife Plus||1.67|1.67|DuraVision Gold UV|-8.00 a +8.00|-6.00|0.75 a 3.00|70|||39</x:v>
      </x:c>
    </x:row>
    <x:row r="2398">
      <x:c r="A2398" s="24" t="str">
        <x:v>ZS-30634119BE80</x:v>
      </x:c>
      <x:c r="B2398" s="24" t="str">
        <x:v>SIM</x:v>
      </x:c>
      <x:c r="C2398" s="24" t="str">
        <x:v>DISPONÍVEL</x:v>
      </x:c>
      <x:c r="D2398" s="24" t="str">
        <x:v>ZEISS</x:v>
      </x:c>
      <x:c r="E2398" s="24" t="str">
        <x:v>Progressiva</x:v>
      </x:c>
      <x:c r="F2398" s="24" t="str">
        <x:v>Surfaçada</x:v>
      </x:c>
      <x:c r="G2398" s="24" t="str">
        <x:v>SmartLife Plus</x:v>
      </x:c>
      <x:c r="H2398" s="24"/>
      <x:c r="I2398" s="24" t="str">
        <x:v>1.67</x:v>
      </x:c>
      <x:c r="J2398" s="24" t="str">
        <x:v>1.67</x:v>
      </x:c>
      <x:c r="K2398" s="24" t="str">
        <x:v>DURAVISION® ANTIVÍRUS PLATINUM UV</x:v>
      </x:c>
      <x:c r="L2398" s="40" t="n">
        <x:v>9030</x:v>
      </x:c>
      <x:c r="M2398" s="24" t="str">
        <x:v>-8.00 a +8.00</x:v>
      </x:c>
      <x:c r="N2398" s="24" t="str">
        <x:v>-6.00</x:v>
      </x:c>
      <x:c r="O2398" s="24" t="str">
        <x:v>0.75 a 3.00</x:v>
      </x:c>
      <x:c r="P2398" s="24" t="str">
        <x:v>70</x:v>
      </x:c>
      <x:c r="Q2398" s="24"/>
      <x:c r="R2398" s="24"/>
      <x:c r="S2398" s="26" t="n">
        <x:v>46113</x:v>
      </x:c>
      <x:c r="T2398" s="26"/>
      <x:c r="U2398" s="24" t="str">
        <x:v>ATIVA/SEM FIM INFORMADO</x:v>
      </x:c>
      <x:c r="V2398" s="24"/>
      <x:c r="W2398" s="24" t="n">
        <x:v>39</x:v>
      </x:c>
      <x:c r="X2398" s="24" t="str">
        <x:v>tabela_zeiss.pdf</x:v>
      </x:c>
      <x:c r="Y2398" s="24" t="str">
        <x:v>alta</x:v>
      </x:c>
      <x:c r="Z2398" s="24"/>
      <x:c r="AA2398" s="24" t="str">
        <x:v>ZEISS|Progressiva|Surfaçada|SmartLife Plus||1.67|1.67|DURAVISION® ANTIVÍRUS PLATINUM UV|-8.00 a +8.00|-6.00|0.75 a 3.00|70|||39</x:v>
      </x:c>
    </x:row>
    <x:row r="2399">
      <x:c r="A2399" s="24" t="str">
        <x:v>ZS-1257847E7B57</x:v>
      </x:c>
      <x:c r="B2399" s="24" t="str">
        <x:v>SIM</x:v>
      </x:c>
      <x:c r="C2399" s="24" t="str">
        <x:v>DISPONÍVEL</x:v>
      </x:c>
      <x:c r="D2399" s="24" t="str">
        <x:v>ZEISS</x:v>
      </x:c>
      <x:c r="E2399" s="24" t="str">
        <x:v>Progressiva</x:v>
      </x:c>
      <x:c r="F2399" s="24" t="str">
        <x:v>Surfaçada</x:v>
      </x:c>
      <x:c r="G2399" s="24" t="str">
        <x:v>SmartLife Plus</x:v>
      </x:c>
      <x:c r="H2399" s="24"/>
      <x:c r="I2399" s="24" t="str">
        <x:v>1.67</x:v>
      </x:c>
      <x:c r="J2399" s="24" t="str">
        <x:v>1.67</x:v>
      </x:c>
      <x:c r="K2399" s="24" t="str">
        <x:v>DuraVision Platinum UV</x:v>
      </x:c>
      <x:c r="L2399" s="40" t="n">
        <x:v>9030</x:v>
      </x:c>
      <x:c r="M2399" s="24" t="str">
        <x:v>-8.00 a +8.00</x:v>
      </x:c>
      <x:c r="N2399" s="24" t="str">
        <x:v>-6.00</x:v>
      </x:c>
      <x:c r="O2399" s="24" t="str">
        <x:v>0.75 a 3.00</x:v>
      </x:c>
      <x:c r="P2399" s="24" t="str">
        <x:v>70</x:v>
      </x:c>
      <x:c r="Q2399" s="24"/>
      <x:c r="R2399" s="24"/>
      <x:c r="S2399" s="26" t="n">
        <x:v>46113</x:v>
      </x:c>
      <x:c r="T2399" s="26"/>
      <x:c r="U2399" s="24" t="str">
        <x:v>ATIVA/SEM FIM INFORMADO</x:v>
      </x:c>
      <x:c r="V2399" s="24"/>
      <x:c r="W2399" s="24" t="n">
        <x:v>39</x:v>
      </x:c>
      <x:c r="X2399" s="24" t="str">
        <x:v>tabela_zeiss.pdf</x:v>
      </x:c>
      <x:c r="Y2399" s="24" t="str">
        <x:v>alta</x:v>
      </x:c>
      <x:c r="Z2399" s="24"/>
      <x:c r="AA2399" s="24" t="str">
        <x:v>ZEISS|Progressiva|Surfaçada|SmartLife Plus||1.67|1.67|DuraVision Platinum UV|-8.00 a +8.00|-6.00|0.75 a 3.00|70|||39</x:v>
      </x:c>
    </x:row>
    <x:row r="2400">
      <x:c r="A2400" s="24" t="str">
        <x:v>ZS-BA4BD3C3D834</x:v>
      </x:c>
      <x:c r="B2400" s="24" t="str">
        <x:v>SIM</x:v>
      </x:c>
      <x:c r="C2400" s="24" t="str">
        <x:v>DISPONÍVEL</x:v>
      </x:c>
      <x:c r="D2400" s="24" t="str">
        <x:v>ZEISS</x:v>
      </x:c>
      <x:c r="E2400" s="24" t="str">
        <x:v>Progressiva</x:v>
      </x:c>
      <x:c r="F2400" s="24" t="str">
        <x:v>Surfaçada</x:v>
      </x:c>
      <x:c r="G2400" s="24" t="str">
        <x:v>SmartLife Plus</x:v>
      </x:c>
      <x:c r="H2400" s="24"/>
      <x:c r="I2400" s="24" t="str">
        <x:v>1.67</x:v>
      </x:c>
      <x:c r="J2400" s="24" t="str">
        <x:v>1.67</x:v>
      </x:c>
      <x:c r="K2400" s="24" t="str">
        <x:v>DuraVision Silver UV</x:v>
      </x:c>
      <x:c r="L2400" s="40" t="n">
        <x:v>8770</x:v>
      </x:c>
      <x:c r="M2400" s="24" t="str">
        <x:v>-8.00 a +8.00</x:v>
      </x:c>
      <x:c r="N2400" s="24" t="str">
        <x:v>-6.00</x:v>
      </x:c>
      <x:c r="O2400" s="24" t="str">
        <x:v>0.75 a 3.00</x:v>
      </x:c>
      <x:c r="P2400" s="24" t="str">
        <x:v>70</x:v>
      </x:c>
      <x:c r="Q2400" s="24"/>
      <x:c r="R2400" s="24"/>
      <x:c r="S2400" s="26" t="n">
        <x:v>46113</x:v>
      </x:c>
      <x:c r="T2400" s="26"/>
      <x:c r="U2400" s="24" t="str">
        <x:v>ATIVA/SEM FIM INFORMADO</x:v>
      </x:c>
      <x:c r="V2400" s="24"/>
      <x:c r="W2400" s="24" t="n">
        <x:v>39</x:v>
      </x:c>
      <x:c r="X2400" s="24" t="str">
        <x:v>tabela_zeiss.pdf</x:v>
      </x:c>
      <x:c r="Y2400" s="24" t="str">
        <x:v>alta</x:v>
      </x:c>
      <x:c r="Z2400" s="24"/>
      <x:c r="AA2400" s="24" t="str">
        <x:v>ZEISS|Progressiva|Surfaçada|SmartLife Plus||1.67|1.67|DuraVision Silver UV|-8.00 a +8.00|-6.00|0.75 a 3.00|70|||39</x:v>
      </x:c>
    </x:row>
    <x:row r="2401">
      <x:c r="A2401" s="24" t="str">
        <x:v>ZS-1CEF3F332F22</x:v>
      </x:c>
      <x:c r="B2401" s="24" t="str">
        <x:v>SIM</x:v>
      </x:c>
      <x:c r="C2401" s="24" t="str">
        <x:v>DISPONÍVEL</x:v>
      </x:c>
      <x:c r="D2401" s="24" t="str">
        <x:v>ZEISS</x:v>
      </x:c>
      <x:c r="E2401" s="24" t="str">
        <x:v>Progressiva</x:v>
      </x:c>
      <x:c r="F2401" s="24" t="str">
        <x:v>Surfaçada</x:v>
      </x:c>
      <x:c r="G2401" s="24" t="str">
        <x:v>SmartLife Plus</x:v>
      </x:c>
      <x:c r="H2401" s="24"/>
      <x:c r="I2401" s="24" t="str">
        <x:v>1.67</x:v>
      </x:c>
      <x:c r="J2401" s="24" t="str">
        <x:v>1.67</x:v>
      </x:c>
      <x:c r="K2401" s="24" t="str">
        <x:v>DuraVision Chrome UV</x:v>
      </x:c>
      <x:c r="L2401" s="40" t="n">
        <x:v>8280</x:v>
      </x:c>
      <x:c r="M2401" s="24" t="str">
        <x:v>-8.00 a +8.00</x:v>
      </x:c>
      <x:c r="N2401" s="24" t="str">
        <x:v>-6.00</x:v>
      </x:c>
      <x:c r="O2401" s="24" t="str">
        <x:v>0.75 a 3.00</x:v>
      </x:c>
      <x:c r="P2401" s="24" t="str">
        <x:v>70</x:v>
      </x:c>
      <x:c r="Q2401" s="24"/>
      <x:c r="R2401" s="24"/>
      <x:c r="S2401" s="26" t="n">
        <x:v>46113</x:v>
      </x:c>
      <x:c r="T2401" s="26"/>
      <x:c r="U2401" s="24" t="str">
        <x:v>ATIVA/SEM FIM INFORMADO</x:v>
      </x:c>
      <x:c r="V2401" s="24"/>
      <x:c r="W2401" s="24" t="n">
        <x:v>39</x:v>
      </x:c>
      <x:c r="X2401" s="24" t="str">
        <x:v>tabela_zeiss.pdf</x:v>
      </x:c>
      <x:c r="Y2401" s="24" t="str">
        <x:v>alta</x:v>
      </x:c>
      <x:c r="Z2401" s="24"/>
      <x:c r="AA2401" s="24" t="str">
        <x:v>ZEISS|Progressiva|Surfaçada|SmartLife Plus||1.67|1.67|DuraVision Chrome UV|-8.00 a +8.00|-6.00|0.75 a 3.00|70|||39</x:v>
      </x:c>
    </x:row>
    <x:row r="2402">
      <x:c r="A2402" s="24" t="str">
        <x:v>ZS-C18ABFA8B435</x:v>
      </x:c>
      <x:c r="B2402" s="24" t="str">
        <x:v>SIM</x:v>
      </x:c>
      <x:c r="C2402" s="24" t="str">
        <x:v>DISPONÍVEL</x:v>
      </x:c>
      <x:c r="D2402" s="24" t="str">
        <x:v>ZEISS</x:v>
      </x:c>
      <x:c r="E2402" s="24" t="str">
        <x:v>Progressiva</x:v>
      </x:c>
      <x:c r="F2402" s="24" t="str">
        <x:v>Surfaçada</x:v>
      </x:c>
      <x:c r="G2402" s="24" t="str">
        <x:v>SmartLife Plus</x:v>
      </x:c>
      <x:c r="H2402" s="24"/>
      <x:c r="I2402" s="24" t="str">
        <x:v>1.74</x:v>
      </x:c>
      <x:c r="J2402" s="24" t="str">
        <x:v>1.74</x:v>
      </x:c>
      <x:c r="K2402" s="24" t="str">
        <x:v>DuraVision Gold UV</x:v>
      </x:c>
      <x:c r="L2402" s="40" t="n">
        <x:v>10770</x:v>
      </x:c>
      <x:c r="M2402" s="24" t="str">
        <x:v>-10.00 a +7.00</x:v>
      </x:c>
      <x:c r="N2402" s="24" t="str">
        <x:v>-4.00</x:v>
      </x:c>
      <x:c r="O2402" s="24" t="str">
        <x:v>0.75 a 3.50</x:v>
      </x:c>
      <x:c r="P2402" s="24" t="str">
        <x:v>70 a 75</x:v>
      </x:c>
      <x:c r="Q2402" s="24"/>
      <x:c r="R2402" s="24"/>
      <x:c r="S2402" s="26" t="n">
        <x:v>46113</x:v>
      </x:c>
      <x:c r="T2402" s="26"/>
      <x:c r="U2402" s="24" t="str">
        <x:v>ATIVA/SEM FIM INFORMADO</x:v>
      </x:c>
      <x:c r="V2402" s="24"/>
      <x:c r="W2402" s="24" t="n">
        <x:v>39</x:v>
      </x:c>
      <x:c r="X2402" s="24" t="str">
        <x:v>tabela_zeiss.pdf</x:v>
      </x:c>
      <x:c r="Y2402" s="24" t="str">
        <x:v>alta</x:v>
      </x:c>
      <x:c r="Z2402" s="24"/>
      <x:c r="AA2402" s="24" t="str">
        <x:v>ZEISS|Progressiva|Surfaçada|SmartLife Plus||1.74|1.74|DuraVision Gold UV|-10.00 a +7.00|-4.00|0.75 a 3.50|70 a 75|||39</x:v>
      </x:c>
    </x:row>
    <x:row r="2403">
      <x:c r="A2403" s="24" t="str">
        <x:v>ZS-8B2A3A8EB01D</x:v>
      </x:c>
      <x:c r="B2403" s="24" t="str">
        <x:v>SIM</x:v>
      </x:c>
      <x:c r="C2403" s="24" t="str">
        <x:v>DISPONÍVEL</x:v>
      </x:c>
      <x:c r="D2403" s="24" t="str">
        <x:v>ZEISS</x:v>
      </x:c>
      <x:c r="E2403" s="24" t="str">
        <x:v>Progressiva</x:v>
      </x:c>
      <x:c r="F2403" s="24" t="str">
        <x:v>Surfaçada</x:v>
      </x:c>
      <x:c r="G2403" s="24" t="str">
        <x:v>SmartLife Plus</x:v>
      </x:c>
      <x:c r="H2403" s="24"/>
      <x:c r="I2403" s="24" t="str">
        <x:v>1.74</x:v>
      </x:c>
      <x:c r="J2403" s="24" t="str">
        <x:v>1.74</x:v>
      </x:c>
      <x:c r="K2403" s="24" t="str">
        <x:v>DuraVision Platinum UV</x:v>
      </x:c>
      <x:c r="L2403" s="40" t="n">
        <x:v>10630</x:v>
      </x:c>
      <x:c r="M2403" s="24" t="str">
        <x:v>-10.00 a +7.00</x:v>
      </x:c>
      <x:c r="N2403" s="24" t="str">
        <x:v>-4.00</x:v>
      </x:c>
      <x:c r="O2403" s="24" t="str">
        <x:v>0.75 a 3.50</x:v>
      </x:c>
      <x:c r="P2403" s="24" t="str">
        <x:v>70 a 75</x:v>
      </x:c>
      <x:c r="Q2403" s="24"/>
      <x:c r="R2403" s="24"/>
      <x:c r="S2403" s="26" t="n">
        <x:v>46113</x:v>
      </x:c>
      <x:c r="T2403" s="26"/>
      <x:c r="U2403" s="24" t="str">
        <x:v>ATIVA/SEM FIM INFORMADO</x:v>
      </x:c>
      <x:c r="V2403" s="24"/>
      <x:c r="W2403" s="24" t="n">
        <x:v>39</x:v>
      </x:c>
      <x:c r="X2403" s="24" t="str">
        <x:v>tabela_zeiss.pdf</x:v>
      </x:c>
      <x:c r="Y2403" s="24" t="str">
        <x:v>alta</x:v>
      </x:c>
      <x:c r="Z2403" s="24"/>
      <x:c r="AA2403" s="24" t="str">
        <x:v>ZEISS|Progressiva|Surfaçada|SmartLife Plus||1.74|1.74|DuraVision Platinum UV|-10.00 a +7.00|-4.00|0.75 a 3.50|70 a 75|||39</x:v>
      </x:c>
    </x:row>
    <x:row r="2404">
      <x:c r="A2404" s="24" t="str">
        <x:v>ZS-B92575640FC4</x:v>
      </x:c>
      <x:c r="B2404" s="24" t="str">
        <x:v>SIM</x:v>
      </x:c>
      <x:c r="C2404" s="24" t="str">
        <x:v>DISPONÍVEL</x:v>
      </x:c>
      <x:c r="D2404" s="24" t="str">
        <x:v>ZEISS</x:v>
      </x:c>
      <x:c r="E2404" s="24" t="str">
        <x:v>Progressiva</x:v>
      </x:c>
      <x:c r="F2404" s="24" t="str">
        <x:v>Surfaçada</x:v>
      </x:c>
      <x:c r="G2404" s="24" t="str">
        <x:v>SmartLife Plus</x:v>
      </x:c>
      <x:c r="H2404" s="24"/>
      <x:c r="I2404" s="24" t="str">
        <x:v>1.74</x:v>
      </x:c>
      <x:c r="J2404" s="24" t="str">
        <x:v>1.74</x:v>
      </x:c>
      <x:c r="K2404" s="24" t="str">
        <x:v>DuraVision Silver UV</x:v>
      </x:c>
      <x:c r="L2404" s="40" t="n">
        <x:v>10370</x:v>
      </x:c>
      <x:c r="M2404" s="24" t="str">
        <x:v>-10.00 a +7.00</x:v>
      </x:c>
      <x:c r="N2404" s="24" t="str">
        <x:v>-4.00</x:v>
      </x:c>
      <x:c r="O2404" s="24" t="str">
        <x:v>0.75 a 3.50</x:v>
      </x:c>
      <x:c r="P2404" s="24" t="str">
        <x:v>70 a 75</x:v>
      </x:c>
      <x:c r="Q2404" s="24"/>
      <x:c r="R2404" s="24"/>
      <x:c r="S2404" s="26" t="n">
        <x:v>46113</x:v>
      </x:c>
      <x:c r="T2404" s="26"/>
      <x:c r="U2404" s="24" t="str">
        <x:v>ATIVA/SEM FIM INFORMADO</x:v>
      </x:c>
      <x:c r="V2404" s="24"/>
      <x:c r="W2404" s="24" t="n">
        <x:v>39</x:v>
      </x:c>
      <x:c r="X2404" s="24" t="str">
        <x:v>tabela_zeiss.pdf</x:v>
      </x:c>
      <x:c r="Y2404" s="24" t="str">
        <x:v>alta</x:v>
      </x:c>
      <x:c r="Z2404" s="24"/>
      <x:c r="AA2404" s="24" t="str">
        <x:v>ZEISS|Progressiva|Surfaçada|SmartLife Plus||1.74|1.74|DuraVision Silver UV|-10.00 a +7.00|-4.00|0.75 a 3.50|70 a 75|||39</x:v>
      </x:c>
    </x:row>
    <x:row r="2405">
      <x:c r="A2405" s="24" t="str">
        <x:v>ZS-72DB871D5C9E</x:v>
      </x:c>
      <x:c r="B2405" s="24" t="str">
        <x:v>SIM</x:v>
      </x:c>
      <x:c r="C2405" s="24" t="str">
        <x:v>DISPONÍVEL</x:v>
      </x:c>
      <x:c r="D2405" s="24" t="str">
        <x:v>ZEISS</x:v>
      </x:c>
      <x:c r="E2405" s="24" t="str">
        <x:v>Progressiva</x:v>
      </x:c>
      <x:c r="F2405" s="24" t="str">
        <x:v>Surfaçada</x:v>
      </x:c>
      <x:c r="G2405" s="24" t="str">
        <x:v>SmartLife Plus</x:v>
      </x:c>
      <x:c r="H2405" s="24"/>
      <x:c r="I2405" s="24" t="str">
        <x:v>1.74</x:v>
      </x:c>
      <x:c r="J2405" s="24" t="str">
        <x:v>1.74</x:v>
      </x:c>
      <x:c r="K2405" s="24" t="str">
        <x:v>DuraVision Chrome UV</x:v>
      </x:c>
      <x:c r="L2405" s="40" t="n">
        <x:v>9880</x:v>
      </x:c>
      <x:c r="M2405" s="24" t="str">
        <x:v>-10.00 a +7.00</x:v>
      </x:c>
      <x:c r="N2405" s="24" t="str">
        <x:v>-4.00</x:v>
      </x:c>
      <x:c r="O2405" s="24" t="str">
        <x:v>0.75 a 3.50</x:v>
      </x:c>
      <x:c r="P2405" s="24" t="str">
        <x:v>70 a 75</x:v>
      </x:c>
      <x:c r="Q2405" s="24"/>
      <x:c r="R2405" s="24"/>
      <x:c r="S2405" s="26" t="n">
        <x:v>46113</x:v>
      </x:c>
      <x:c r="T2405" s="26"/>
      <x:c r="U2405" s="24" t="str">
        <x:v>ATIVA/SEM FIM INFORMADO</x:v>
      </x:c>
      <x:c r="V2405" s="24"/>
      <x:c r="W2405" s="24" t="n">
        <x:v>39</x:v>
      </x:c>
      <x:c r="X2405" s="24" t="str">
        <x:v>tabela_zeiss.pdf</x:v>
      </x:c>
      <x:c r="Y2405" s="24" t="str">
        <x:v>alta</x:v>
      </x:c>
      <x:c r="Z2405" s="24"/>
      <x:c r="AA2405" s="24" t="str">
        <x:v>ZEISS|Progressiva|Surfaçada|SmartLife Plus||1.74|1.74|DuraVision Chrome UV|-10.00 a +7.00|-4.00|0.75 a 3.50|70 a 75|||39</x:v>
      </x:c>
    </x:row>
    <x:row r="2406">
      <x:c r="A2406" s="24" t="str">
        <x:v>ZS-D67106B2C14B</x:v>
      </x:c>
      <x:c r="B2406" s="24" t="str">
        <x:v>SIM</x:v>
      </x:c>
      <x:c r="C2406" s="24" t="str">
        <x:v>DISPONÍVEL</x:v>
      </x:c>
      <x:c r="D2406" s="24" t="str">
        <x:v>ZEISS</x:v>
      </x:c>
      <x:c r="E2406" s="24" t="str">
        <x:v>Progressiva</x:v>
      </x:c>
      <x:c r="F2406" s="24" t="str">
        <x:v>Surfaçada</x:v>
      </x:c>
      <x:c r="G2406" s="24" t="str">
        <x:v>SmartLife Plus</x:v>
      </x:c>
      <x:c r="H2406" s="24" t="str">
        <x:v>PhotoFusion X</x:v>
      </x:c>
      <x:c r="I2406" s="24" t="str">
        <x:v>1.5</x:v>
      </x:c>
      <x:c r="J2406" s="24" t="str">
        <x:v>1.50</x:v>
      </x:c>
      <x:c r="K2406" s="24" t="str">
        <x:v>DuraVision Gold UV</x:v>
      </x:c>
      <x:c r="L2406" s="40" t="n">
        <x:v>7700</x:v>
      </x:c>
      <x:c r="M2406" s="24" t="str">
        <x:v>-6.00 a +5.50</x:v>
      </x:c>
      <x:c r="N2406" s="24" t="str">
        <x:v>-4.00</x:v>
      </x:c>
      <x:c r="O2406" s="24" t="str">
        <x:v>0.75 a 3.00</x:v>
      </x:c>
      <x:c r="P2406" s="24" t="str">
        <x:v>75</x:v>
      </x:c>
      <x:c r="Q2406" s="24"/>
      <x:c r="R2406" s="24"/>
      <x:c r="S2406" s="26" t="n">
        <x:v>46113</x:v>
      </x:c>
      <x:c r="T2406" s="26"/>
      <x:c r="U2406" s="24" t="str">
        <x:v>ATIVA/SEM FIM INFORMADO</x:v>
      </x:c>
      <x:c r="V2406" s="24" t="str">
        <x:v>Programa de Parcerias ZEISS</x:v>
      </x:c>
      <x:c r="W2406" s="24" t="n">
        <x:v>39</x:v>
      </x:c>
      <x:c r="X2406" s="24" t="str">
        <x:v>tabela_zeiss.pdf</x:v>
      </x:c>
      <x:c r="Y2406" s="24" t="str">
        <x:v>alta</x:v>
      </x:c>
      <x:c r="Z2406" s="24"/>
      <x:c r="AA2406" s="24" t="str">
        <x:v>ZEISS|Progressiva|Surfaçada|SmartLife Plus|PhotoFusion X|1.5|1.50|DuraVision Gold UV|-6.00 a +5.50|-4.00|0.75 a 3.00|75|||39</x:v>
      </x:c>
    </x:row>
    <x:row r="2407">
      <x:c r="A2407" s="24" t="str">
        <x:v>ZS-B91EC4ABF156</x:v>
      </x:c>
      <x:c r="B2407" s="24" t="str">
        <x:v>SIM</x:v>
      </x:c>
      <x:c r="C2407" s="24" t="str">
        <x:v>DISPONÍVEL</x:v>
      </x:c>
      <x:c r="D2407" s="24" t="str">
        <x:v>ZEISS</x:v>
      </x:c>
      <x:c r="E2407" s="24" t="str">
        <x:v>Progressiva</x:v>
      </x:c>
      <x:c r="F2407" s="24" t="str">
        <x:v>Surfaçada</x:v>
      </x:c>
      <x:c r="G2407" s="24" t="str">
        <x:v>SmartLife Plus</x:v>
      </x:c>
      <x:c r="H2407" s="24" t="str">
        <x:v>PhotoFusion X</x:v>
      </x:c>
      <x:c r="I2407" s="24" t="str">
        <x:v>1.5</x:v>
      </x:c>
      <x:c r="J2407" s="24" t="str">
        <x:v>1.50</x:v>
      </x:c>
      <x:c r="K2407" s="24" t="str">
        <x:v>DURAVISION® ANTIVÍRUS PLATINUM UV</x:v>
      </x:c>
      <x:c r="L2407" s="40" t="n">
        <x:v>7560</x:v>
      </x:c>
      <x:c r="M2407" s="24" t="str">
        <x:v>-6.00 a +5.50</x:v>
      </x:c>
      <x:c r="N2407" s="24" t="str">
        <x:v>-4.00</x:v>
      </x:c>
      <x:c r="O2407" s="24" t="str">
        <x:v>0.75 a 3.00</x:v>
      </x:c>
      <x:c r="P2407" s="24" t="str">
        <x:v>75</x:v>
      </x:c>
      <x:c r="Q2407" s="24"/>
      <x:c r="R2407" s="24"/>
      <x:c r="S2407" s="26" t="n">
        <x:v>46113</x:v>
      </x:c>
      <x:c r="T2407" s="26"/>
      <x:c r="U2407" s="24" t="str">
        <x:v>ATIVA/SEM FIM INFORMADO</x:v>
      </x:c>
      <x:c r="V2407" s="24" t="str">
        <x:v>Programa de Parcerias ZEISS</x:v>
      </x:c>
      <x:c r="W2407" s="24" t="n">
        <x:v>39</x:v>
      </x:c>
      <x:c r="X2407" s="24" t="str">
        <x:v>tabela_zeiss.pdf</x:v>
      </x:c>
      <x:c r="Y2407" s="24" t="str">
        <x:v>alta</x:v>
      </x:c>
      <x:c r="Z2407" s="24"/>
      <x:c r="AA2407" s="24" t="str">
        <x:v>ZEISS|Progressiva|Surfaçada|SmartLife Plus|PhotoFusion X|1.5|1.50|DURAVISION® ANTIVÍRUS PLATINUM UV|-6.00 a +5.50|-4.00|0.75 a 3.00|75|||39</x:v>
      </x:c>
    </x:row>
    <x:row r="2408">
      <x:c r="A2408" s="24" t="str">
        <x:v>ZS-50C0A29FB86C</x:v>
      </x:c>
      <x:c r="B2408" s="24" t="str">
        <x:v>SIM</x:v>
      </x:c>
      <x:c r="C2408" s="24" t="str">
        <x:v>DISPONÍVEL</x:v>
      </x:c>
      <x:c r="D2408" s="24" t="str">
        <x:v>ZEISS</x:v>
      </x:c>
      <x:c r="E2408" s="24" t="str">
        <x:v>Progressiva</x:v>
      </x:c>
      <x:c r="F2408" s="24" t="str">
        <x:v>Surfaçada</x:v>
      </x:c>
      <x:c r="G2408" s="24" t="str">
        <x:v>SmartLife Plus</x:v>
      </x:c>
      <x:c r="H2408" s="24" t="str">
        <x:v>PhotoFusion X</x:v>
      </x:c>
      <x:c r="I2408" s="24" t="str">
        <x:v>1.5</x:v>
      </x:c>
      <x:c r="J2408" s="24" t="str">
        <x:v>1.50</x:v>
      </x:c>
      <x:c r="K2408" s="24" t="str">
        <x:v>DuraVision Platinum UV</x:v>
      </x:c>
      <x:c r="L2408" s="40" t="n">
        <x:v>7560</x:v>
      </x:c>
      <x:c r="M2408" s="24" t="str">
        <x:v>-6.00 a +5.50</x:v>
      </x:c>
      <x:c r="N2408" s="24" t="str">
        <x:v>-4.00</x:v>
      </x:c>
      <x:c r="O2408" s="24" t="str">
        <x:v>0.75 a 3.00</x:v>
      </x:c>
      <x:c r="P2408" s="24" t="str">
        <x:v>75</x:v>
      </x:c>
      <x:c r="Q2408" s="24"/>
      <x:c r="R2408" s="24"/>
      <x:c r="S2408" s="26" t="n">
        <x:v>46113</x:v>
      </x:c>
      <x:c r="T2408" s="26"/>
      <x:c r="U2408" s="24" t="str">
        <x:v>ATIVA/SEM FIM INFORMADO</x:v>
      </x:c>
      <x:c r="V2408" s="24" t="str">
        <x:v>Programa de Parcerias ZEISS</x:v>
      </x:c>
      <x:c r="W2408" s="24" t="n">
        <x:v>39</x:v>
      </x:c>
      <x:c r="X2408" s="24" t="str">
        <x:v>tabela_zeiss.pdf</x:v>
      </x:c>
      <x:c r="Y2408" s="24" t="str">
        <x:v>alta</x:v>
      </x:c>
      <x:c r="Z2408" s="24"/>
      <x:c r="AA2408" s="24" t="str">
        <x:v>ZEISS|Progressiva|Surfaçada|SmartLife Plus|PhotoFusion X|1.5|1.50|DuraVision Platinum UV|-6.00 a +5.50|-4.00|0.75 a 3.00|75|||39</x:v>
      </x:c>
    </x:row>
    <x:row r="2409">
      <x:c r="A2409" s="24" t="str">
        <x:v>ZS-19E117055294</x:v>
      </x:c>
      <x:c r="B2409" s="24" t="str">
        <x:v>SIM</x:v>
      </x:c>
      <x:c r="C2409" s="24" t="str">
        <x:v>DISPONÍVEL</x:v>
      </x:c>
      <x:c r="D2409" s="24" t="str">
        <x:v>ZEISS</x:v>
      </x:c>
      <x:c r="E2409" s="24" t="str">
        <x:v>Progressiva</x:v>
      </x:c>
      <x:c r="F2409" s="24" t="str">
        <x:v>Surfaçada</x:v>
      </x:c>
      <x:c r="G2409" s="24" t="str">
        <x:v>SmartLife Plus</x:v>
      </x:c>
      <x:c r="H2409" s="24" t="str">
        <x:v>PhotoFusion X</x:v>
      </x:c>
      <x:c r="I2409" s="24" t="str">
        <x:v>1.5</x:v>
      </x:c>
      <x:c r="J2409" s="24" t="str">
        <x:v>1.50</x:v>
      </x:c>
      <x:c r="K2409" s="24" t="str">
        <x:v>DuraVision Silver UV</x:v>
      </x:c>
      <x:c r="L2409" s="40" t="n">
        <x:v>7300</x:v>
      </x:c>
      <x:c r="M2409" s="24" t="str">
        <x:v>-6.00 a +5.50</x:v>
      </x:c>
      <x:c r="N2409" s="24" t="str">
        <x:v>-4.00</x:v>
      </x:c>
      <x:c r="O2409" s="24" t="str">
        <x:v>0.75 a 3.00</x:v>
      </x:c>
      <x:c r="P2409" s="24" t="str">
        <x:v>75</x:v>
      </x:c>
      <x:c r="Q2409" s="24"/>
      <x:c r="R2409" s="24"/>
      <x:c r="S2409" s="26" t="n">
        <x:v>46113</x:v>
      </x:c>
      <x:c r="T2409" s="26"/>
      <x:c r="U2409" s="24" t="str">
        <x:v>ATIVA/SEM FIM INFORMADO</x:v>
      </x:c>
      <x:c r="V2409" s="24" t="str">
        <x:v>Programa de Parcerias ZEISS</x:v>
      </x:c>
      <x:c r="W2409" s="24" t="n">
        <x:v>39</x:v>
      </x:c>
      <x:c r="X2409" s="24" t="str">
        <x:v>tabela_zeiss.pdf</x:v>
      </x:c>
      <x:c r="Y2409" s="24" t="str">
        <x:v>alta</x:v>
      </x:c>
      <x:c r="Z2409" s="24"/>
      <x:c r="AA2409" s="24" t="str">
        <x:v>ZEISS|Progressiva|Surfaçada|SmartLife Plus|PhotoFusion X|1.5|1.50|DuraVision Silver UV|-6.00 a +5.50|-4.00|0.75 a 3.00|75|||39</x:v>
      </x:c>
    </x:row>
    <x:row r="2410">
      <x:c r="A2410" s="24" t="str">
        <x:v>ZS-C813723936D4</x:v>
      </x:c>
      <x:c r="B2410" s="24" t="str">
        <x:v>SIM</x:v>
      </x:c>
      <x:c r="C2410" s="24" t="str">
        <x:v>DISPONÍVEL</x:v>
      </x:c>
      <x:c r="D2410" s="24" t="str">
        <x:v>ZEISS</x:v>
      </x:c>
      <x:c r="E2410" s="24" t="str">
        <x:v>Progressiva</x:v>
      </x:c>
      <x:c r="F2410" s="24" t="str">
        <x:v>Surfaçada</x:v>
      </x:c>
      <x:c r="G2410" s="24" t="str">
        <x:v>SmartLife Plus</x:v>
      </x:c>
      <x:c r="H2410" s="24" t="str">
        <x:v>PhotoFusion X</x:v>
      </x:c>
      <x:c r="I2410" s="24" t="str">
        <x:v>1.5</x:v>
      </x:c>
      <x:c r="J2410" s="24" t="str">
        <x:v>1.50</x:v>
      </x:c>
      <x:c r="K2410" s="24" t="str">
        <x:v>DuraVision Chrome UV</x:v>
      </x:c>
      <x:c r="L2410" s="40" t="n">
        <x:v>6810</x:v>
      </x:c>
      <x:c r="M2410" s="24" t="str">
        <x:v>-6.00 a +5.50</x:v>
      </x:c>
      <x:c r="N2410" s="24" t="str">
        <x:v>-4.00</x:v>
      </x:c>
      <x:c r="O2410" s="24" t="str">
        <x:v>0.75 a 3.00</x:v>
      </x:c>
      <x:c r="P2410" s="24" t="str">
        <x:v>75</x:v>
      </x:c>
      <x:c r="Q2410" s="24"/>
      <x:c r="R2410" s="24"/>
      <x:c r="S2410" s="26" t="n">
        <x:v>46113</x:v>
      </x:c>
      <x:c r="T2410" s="26"/>
      <x:c r="U2410" s="24" t="str">
        <x:v>ATIVA/SEM FIM INFORMADO</x:v>
      </x:c>
      <x:c r="V2410" s="24" t="str">
        <x:v>Programa de Parcerias ZEISS</x:v>
      </x:c>
      <x:c r="W2410" s="24" t="n">
        <x:v>39</x:v>
      </x:c>
      <x:c r="X2410" s="24" t="str">
        <x:v>tabela_zeiss.pdf</x:v>
      </x:c>
      <x:c r="Y2410" s="24" t="str">
        <x:v>alta</x:v>
      </x:c>
      <x:c r="Z2410" s="24"/>
      <x:c r="AA2410" s="24" t="str">
        <x:v>ZEISS|Progressiva|Surfaçada|SmartLife Plus|PhotoFusion X|1.5|1.50|DuraVision Chrome UV|-6.00 a +5.50|-4.00|0.75 a 3.00|75|||39</x:v>
      </x:c>
    </x:row>
    <x:row r="2411">
      <x:c r="A2411" s="24" t="str">
        <x:v>ZS-37A8F874DB9C</x:v>
      </x:c>
      <x:c r="B2411" s="24" t="str">
        <x:v>SIM</x:v>
      </x:c>
      <x:c r="C2411" s="24" t="str">
        <x:v>DISPONÍVEL</x:v>
      </x:c>
      <x:c r="D2411" s="24" t="str">
        <x:v>ZEISS</x:v>
      </x:c>
      <x:c r="E2411" s="24" t="str">
        <x:v>Progressiva</x:v>
      </x:c>
      <x:c r="F2411" s="24" t="str">
        <x:v>Surfaçada</x:v>
      </x:c>
      <x:c r="G2411" s="24" t="str">
        <x:v>SmartLife Plus</x:v>
      </x:c>
      <x:c r="H2411" s="24" t="str">
        <x:v>PhotoFusion X</x:v>
      </x:c>
      <x:c r="I2411" s="24" t="str">
        <x:v>Poli</x:v>
      </x:c>
      <x:c r="J2411" s="24"/>
      <x:c r="K2411" s="24" t="str">
        <x:v>DuraVision Gold UV</x:v>
      </x:c>
      <x:c r="L2411" s="40" t="n">
        <x:v>8290</x:v>
      </x:c>
      <x:c r="M2411" s="24" t="str">
        <x:v>-10.00 a +6.00</x:v>
      </x:c>
      <x:c r="N2411" s="24" t="str">
        <x:v>-6.00</x:v>
      </x:c>
      <x:c r="O2411" s="24" t="str">
        <x:v>0.75 a 3.00</x:v>
      </x:c>
      <x:c r="P2411" s="24" t="str">
        <x:v>70</x:v>
      </x:c>
      <x:c r="Q2411" s="24"/>
      <x:c r="R2411" s="24"/>
      <x:c r="S2411" s="26" t="n">
        <x:v>46113</x:v>
      </x:c>
      <x:c r="T2411" s="26"/>
      <x:c r="U2411" s="24" t="str">
        <x:v>ATIVA/SEM FIM INFORMADO</x:v>
      </x:c>
      <x:c r="V2411" s="24" t="str">
        <x:v>Programa de Parcerias ZEISS</x:v>
      </x:c>
      <x:c r="W2411" s="24" t="n">
        <x:v>39</x:v>
      </x:c>
      <x:c r="X2411" s="24" t="str">
        <x:v>tabela_zeiss.pdf</x:v>
      </x:c>
      <x:c r="Y2411" s="24" t="str">
        <x:v>alta</x:v>
      </x:c>
      <x:c r="Z2411" s="24"/>
      <x:c r="AA2411" s="24" t="str">
        <x:v>ZEISS|Progressiva|Surfaçada|SmartLife Plus|PhotoFusion X|Poli||DuraVision Gold UV|-10.00 a +6.00|-6.00|0.75 a 3.00|70|||39</x:v>
      </x:c>
    </x:row>
    <x:row r="2412">
      <x:c r="A2412" s="24" t="str">
        <x:v>ZS-F94153B5DC6C</x:v>
      </x:c>
      <x:c r="B2412" s="24" t="str">
        <x:v>SIM</x:v>
      </x:c>
      <x:c r="C2412" s="24" t="str">
        <x:v>DISPONÍVEL</x:v>
      </x:c>
      <x:c r="D2412" s="24" t="str">
        <x:v>ZEISS</x:v>
      </x:c>
      <x:c r="E2412" s="24" t="str">
        <x:v>Progressiva</x:v>
      </x:c>
      <x:c r="F2412" s="24" t="str">
        <x:v>Surfaçada</x:v>
      </x:c>
      <x:c r="G2412" s="24" t="str">
        <x:v>SmartLife Plus</x:v>
      </x:c>
      <x:c r="H2412" s="24" t="str">
        <x:v>PhotoFusion X</x:v>
      </x:c>
      <x:c r="I2412" s="24" t="str">
        <x:v>Poli</x:v>
      </x:c>
      <x:c r="J2412" s="24"/>
      <x:c r="K2412" s="24" t="str">
        <x:v>DuraVision Platinum UV</x:v>
      </x:c>
      <x:c r="L2412" s="40" t="n">
        <x:v>8150</x:v>
      </x:c>
      <x:c r="M2412" s="24" t="str">
        <x:v>-10.00 a +6.00</x:v>
      </x:c>
      <x:c r="N2412" s="24" t="str">
        <x:v>-6.00</x:v>
      </x:c>
      <x:c r="O2412" s="24" t="str">
        <x:v>0.75 a 3.00</x:v>
      </x:c>
      <x:c r="P2412" s="24" t="str">
        <x:v>70</x:v>
      </x:c>
      <x:c r="Q2412" s="24"/>
      <x:c r="R2412" s="24"/>
      <x:c r="S2412" s="26" t="n">
        <x:v>46113</x:v>
      </x:c>
      <x:c r="T2412" s="26"/>
      <x:c r="U2412" s="24" t="str">
        <x:v>ATIVA/SEM FIM INFORMADO</x:v>
      </x:c>
      <x:c r="V2412" s="24" t="str">
        <x:v>Programa de Parcerias ZEISS</x:v>
      </x:c>
      <x:c r="W2412" s="24" t="n">
        <x:v>39</x:v>
      </x:c>
      <x:c r="X2412" s="24" t="str">
        <x:v>tabela_zeiss.pdf</x:v>
      </x:c>
      <x:c r="Y2412" s="24" t="str">
        <x:v>alta</x:v>
      </x:c>
      <x:c r="Z2412" s="24"/>
      <x:c r="AA2412" s="24" t="str">
        <x:v>ZEISS|Progressiva|Surfaçada|SmartLife Plus|PhotoFusion X|Poli||DuraVision Platinum UV|-10.00 a +6.00|-6.00|0.75 a 3.00|70|||39</x:v>
      </x:c>
    </x:row>
    <x:row r="2413">
      <x:c r="A2413" s="24" t="str">
        <x:v>ZS-559EE3DF2E2C</x:v>
      </x:c>
      <x:c r="B2413" s="24" t="str">
        <x:v>SIM</x:v>
      </x:c>
      <x:c r="C2413" s="24" t="str">
        <x:v>DISPONÍVEL</x:v>
      </x:c>
      <x:c r="D2413" s="24" t="str">
        <x:v>ZEISS</x:v>
      </x:c>
      <x:c r="E2413" s="24" t="str">
        <x:v>Progressiva</x:v>
      </x:c>
      <x:c r="F2413" s="24" t="str">
        <x:v>Surfaçada</x:v>
      </x:c>
      <x:c r="G2413" s="24" t="str">
        <x:v>SmartLife Plus</x:v>
      </x:c>
      <x:c r="H2413" s="24" t="str">
        <x:v>PhotoFusion X</x:v>
      </x:c>
      <x:c r="I2413" s="24" t="str">
        <x:v>Poli</x:v>
      </x:c>
      <x:c r="J2413" s="24"/>
      <x:c r="K2413" s="24" t="str">
        <x:v>DuraVision Silver UV</x:v>
      </x:c>
      <x:c r="L2413" s="40" t="n">
        <x:v>7890</x:v>
      </x:c>
      <x:c r="M2413" s="24" t="str">
        <x:v>-10.00 a +6.00</x:v>
      </x:c>
      <x:c r="N2413" s="24" t="str">
        <x:v>-6.00</x:v>
      </x:c>
      <x:c r="O2413" s="24" t="str">
        <x:v>0.75 a 3.00</x:v>
      </x:c>
      <x:c r="P2413" s="24" t="str">
        <x:v>70</x:v>
      </x:c>
      <x:c r="Q2413" s="24"/>
      <x:c r="R2413" s="24"/>
      <x:c r="S2413" s="26" t="n">
        <x:v>46113</x:v>
      </x:c>
      <x:c r="T2413" s="26"/>
      <x:c r="U2413" s="24" t="str">
        <x:v>ATIVA/SEM FIM INFORMADO</x:v>
      </x:c>
      <x:c r="V2413" s="24" t="str">
        <x:v>Programa de Parcerias ZEISS</x:v>
      </x:c>
      <x:c r="W2413" s="24" t="n">
        <x:v>39</x:v>
      </x:c>
      <x:c r="X2413" s="24" t="str">
        <x:v>tabela_zeiss.pdf</x:v>
      </x:c>
      <x:c r="Y2413" s="24" t="str">
        <x:v>alta</x:v>
      </x:c>
      <x:c r="Z2413" s="24"/>
      <x:c r="AA2413" s="24" t="str">
        <x:v>ZEISS|Progressiva|Surfaçada|SmartLife Plus|PhotoFusion X|Poli||DuraVision Silver UV|-10.00 a +6.00|-6.00|0.75 a 3.00|70|||39</x:v>
      </x:c>
    </x:row>
    <x:row r="2414">
      <x:c r="A2414" s="24" t="str">
        <x:v>ZS-18B6814612F4</x:v>
      </x:c>
      <x:c r="B2414" s="24" t="str">
        <x:v>SIM</x:v>
      </x:c>
      <x:c r="C2414" s="24" t="str">
        <x:v>DISPONÍVEL</x:v>
      </x:c>
      <x:c r="D2414" s="24" t="str">
        <x:v>ZEISS</x:v>
      </x:c>
      <x:c r="E2414" s="24" t="str">
        <x:v>Progressiva</x:v>
      </x:c>
      <x:c r="F2414" s="24" t="str">
        <x:v>Surfaçada</x:v>
      </x:c>
      <x:c r="G2414" s="24" t="str">
        <x:v>SmartLife Plus</x:v>
      </x:c>
      <x:c r="H2414" s="24" t="str">
        <x:v>PhotoFusion X</x:v>
      </x:c>
      <x:c r="I2414" s="24" t="str">
        <x:v>Poli</x:v>
      </x:c>
      <x:c r="J2414" s="24"/>
      <x:c r="K2414" s="24" t="str">
        <x:v>DuraVision Chrome UV</x:v>
      </x:c>
      <x:c r="L2414" s="40" t="n">
        <x:v>7400</x:v>
      </x:c>
      <x:c r="M2414" s="24" t="str">
        <x:v>-10.00 a +6.00</x:v>
      </x:c>
      <x:c r="N2414" s="24" t="str">
        <x:v>-6.00</x:v>
      </x:c>
      <x:c r="O2414" s="24" t="str">
        <x:v>0.75 a 3.00</x:v>
      </x:c>
      <x:c r="P2414" s="24" t="str">
        <x:v>70</x:v>
      </x:c>
      <x:c r="Q2414" s="24"/>
      <x:c r="R2414" s="24"/>
      <x:c r="S2414" s="26" t="n">
        <x:v>46113</x:v>
      </x:c>
      <x:c r="T2414" s="26"/>
      <x:c r="U2414" s="24" t="str">
        <x:v>ATIVA/SEM FIM INFORMADO</x:v>
      </x:c>
      <x:c r="V2414" s="24" t="str">
        <x:v>Programa de Parcerias ZEISS</x:v>
      </x:c>
      <x:c r="W2414" s="24" t="n">
        <x:v>39</x:v>
      </x:c>
      <x:c r="X2414" s="24" t="str">
        <x:v>tabela_zeiss.pdf</x:v>
      </x:c>
      <x:c r="Y2414" s="24" t="str">
        <x:v>alta</x:v>
      </x:c>
      <x:c r="Z2414" s="24"/>
      <x:c r="AA2414" s="24" t="str">
        <x:v>ZEISS|Progressiva|Surfaçada|SmartLife Plus|PhotoFusion X|Poli||DuraVision Chrome UV|-10.00 a +6.00|-6.00|0.75 a 3.00|70|||39</x:v>
      </x:c>
    </x:row>
    <x:row r="2415">
      <x:c r="A2415" s="24" t="str">
        <x:v>ZS-6D27D76F005C</x:v>
      </x:c>
      <x:c r="B2415" s="24" t="str">
        <x:v>SIM</x:v>
      </x:c>
      <x:c r="C2415" s="24" t="str">
        <x:v>DISPONÍVEL</x:v>
      </x:c>
      <x:c r="D2415" s="24" t="str">
        <x:v>ZEISS</x:v>
      </x:c>
      <x:c r="E2415" s="24" t="str">
        <x:v>Progressiva</x:v>
      </x:c>
      <x:c r="F2415" s="24" t="str">
        <x:v>Surfaçada</x:v>
      </x:c>
      <x:c r="G2415" s="24" t="str">
        <x:v>SmartLife Plus</x:v>
      </x:c>
      <x:c r="H2415" s="24" t="str">
        <x:v>PhotoFusion X</x:v>
      </x:c>
      <x:c r="I2415" s="24" t="str">
        <x:v>1.6</x:v>
      </x:c>
      <x:c r="J2415" s="24" t="str">
        <x:v>1.60</x:v>
      </x:c>
      <x:c r="K2415" s="24" t="str">
        <x:v>DuraVision Gold UV</x:v>
      </x:c>
      <x:c r="L2415" s="40" t="n">
        <x:v>8950</x:v>
      </x:c>
      <x:c r="M2415" s="24" t="str">
        <x:v>-7.25 a +6.00</x:v>
      </x:c>
      <x:c r="N2415" s="24" t="str">
        <x:v>-6.00</x:v>
      </x:c>
      <x:c r="O2415" s="24" t="str">
        <x:v>0.75 a 3.50</x:v>
      </x:c>
      <x:c r="P2415" s="24" t="str">
        <x:v>75</x:v>
      </x:c>
      <x:c r="Q2415" s="24"/>
      <x:c r="R2415" s="24"/>
      <x:c r="S2415" s="26" t="n">
        <x:v>46113</x:v>
      </x:c>
      <x:c r="T2415" s="26"/>
      <x:c r="U2415" s="24" t="str">
        <x:v>ATIVA/SEM FIM INFORMADO</x:v>
      </x:c>
      <x:c r="V2415" s="24" t="str">
        <x:v>Programa de Parcerias ZEISS</x:v>
      </x:c>
      <x:c r="W2415" s="24" t="n">
        <x:v>39</x:v>
      </x:c>
      <x:c r="X2415" s="24" t="str">
        <x:v>tabela_zeiss.pdf</x:v>
      </x:c>
      <x:c r="Y2415" s="24" t="str">
        <x:v>alta</x:v>
      </x:c>
      <x:c r="Z2415" s="24"/>
      <x:c r="AA2415" s="24" t="str">
        <x:v>ZEISS|Progressiva|Surfaçada|SmartLife Plus|PhotoFusion X|1.6|1.60|DuraVision Gold UV|-7.25 a +6.00|-6.00|0.75 a 3.50|75|||39</x:v>
      </x:c>
    </x:row>
    <x:row r="2416">
      <x:c r="A2416" s="24" t="str">
        <x:v>ZS-97D322B049CF</x:v>
      </x:c>
      <x:c r="B2416" s="24" t="str">
        <x:v>SIM</x:v>
      </x:c>
      <x:c r="C2416" s="24" t="str">
        <x:v>DISPONÍVEL</x:v>
      </x:c>
      <x:c r="D2416" s="24" t="str">
        <x:v>ZEISS</x:v>
      </x:c>
      <x:c r="E2416" s="24" t="str">
        <x:v>Progressiva</x:v>
      </x:c>
      <x:c r="F2416" s="24" t="str">
        <x:v>Surfaçada</x:v>
      </x:c>
      <x:c r="G2416" s="24" t="str">
        <x:v>SmartLife Plus</x:v>
      </x:c>
      <x:c r="H2416" s="24" t="str">
        <x:v>PhotoFusion X</x:v>
      </x:c>
      <x:c r="I2416" s="24" t="str">
        <x:v>1.6</x:v>
      </x:c>
      <x:c r="J2416" s="24" t="str">
        <x:v>1.60</x:v>
      </x:c>
      <x:c r="K2416" s="24" t="str">
        <x:v>DURAVISION® ANTIVÍRUS PLATINUM UV</x:v>
      </x:c>
      <x:c r="L2416" s="40" t="n">
        <x:v>8810</x:v>
      </x:c>
      <x:c r="M2416" s="24" t="str">
        <x:v>-7.25 a +6.00</x:v>
      </x:c>
      <x:c r="N2416" s="24" t="str">
        <x:v>-6.00</x:v>
      </x:c>
      <x:c r="O2416" s="24" t="str">
        <x:v>0.75 a 3.50</x:v>
      </x:c>
      <x:c r="P2416" s="24" t="str">
        <x:v>75</x:v>
      </x:c>
      <x:c r="Q2416" s="24"/>
      <x:c r="R2416" s="24"/>
      <x:c r="S2416" s="26" t="n">
        <x:v>46113</x:v>
      </x:c>
      <x:c r="T2416" s="26"/>
      <x:c r="U2416" s="24" t="str">
        <x:v>ATIVA/SEM FIM INFORMADO</x:v>
      </x:c>
      <x:c r="V2416" s="24" t="str">
        <x:v>Programa de Parcerias ZEISS</x:v>
      </x:c>
      <x:c r="W2416" s="24" t="n">
        <x:v>39</x:v>
      </x:c>
      <x:c r="X2416" s="24" t="str">
        <x:v>tabela_zeiss.pdf</x:v>
      </x:c>
      <x:c r="Y2416" s="24" t="str">
        <x:v>alta</x:v>
      </x:c>
      <x:c r="Z2416" s="24"/>
      <x:c r="AA2416" s="24" t="str">
        <x:v>ZEISS|Progressiva|Surfaçada|SmartLife Plus|PhotoFusion X|1.6|1.60|DURAVISION® ANTIVÍRUS PLATINUM UV|-7.25 a +6.00|-6.00|0.75 a 3.50|75|||39</x:v>
      </x:c>
    </x:row>
    <x:row r="2417">
      <x:c r="A2417" s="24" t="str">
        <x:v>ZS-47A34FA18179</x:v>
      </x:c>
      <x:c r="B2417" s="24" t="str">
        <x:v>SIM</x:v>
      </x:c>
      <x:c r="C2417" s="24" t="str">
        <x:v>DISPONÍVEL</x:v>
      </x:c>
      <x:c r="D2417" s="24" t="str">
        <x:v>ZEISS</x:v>
      </x:c>
      <x:c r="E2417" s="24" t="str">
        <x:v>Progressiva</x:v>
      </x:c>
      <x:c r="F2417" s="24" t="str">
        <x:v>Surfaçada</x:v>
      </x:c>
      <x:c r="G2417" s="24" t="str">
        <x:v>SmartLife Plus</x:v>
      </x:c>
      <x:c r="H2417" s="24" t="str">
        <x:v>PhotoFusion X</x:v>
      </x:c>
      <x:c r="I2417" s="24" t="str">
        <x:v>1.6</x:v>
      </x:c>
      <x:c r="J2417" s="24" t="str">
        <x:v>1.60</x:v>
      </x:c>
      <x:c r="K2417" s="24" t="str">
        <x:v>DuraVision Platinum UV</x:v>
      </x:c>
      <x:c r="L2417" s="40" t="n">
        <x:v>8810</x:v>
      </x:c>
      <x:c r="M2417" s="24" t="str">
        <x:v>-7.25 a +6.00</x:v>
      </x:c>
      <x:c r="N2417" s="24" t="str">
        <x:v>-6.00</x:v>
      </x:c>
      <x:c r="O2417" s="24" t="str">
        <x:v>0.75 a 3.50</x:v>
      </x:c>
      <x:c r="P2417" s="24" t="str">
        <x:v>75</x:v>
      </x:c>
      <x:c r="Q2417" s="24"/>
      <x:c r="R2417" s="24"/>
      <x:c r="S2417" s="26" t="n">
        <x:v>46113</x:v>
      </x:c>
      <x:c r="T2417" s="26"/>
      <x:c r="U2417" s="24" t="str">
        <x:v>ATIVA/SEM FIM INFORMADO</x:v>
      </x:c>
      <x:c r="V2417" s="24" t="str">
        <x:v>Programa de Parcerias ZEISS</x:v>
      </x:c>
      <x:c r="W2417" s="24" t="n">
        <x:v>39</x:v>
      </x:c>
      <x:c r="X2417" s="24" t="str">
        <x:v>tabela_zeiss.pdf</x:v>
      </x:c>
      <x:c r="Y2417" s="24" t="str">
        <x:v>alta</x:v>
      </x:c>
      <x:c r="Z2417" s="24"/>
      <x:c r="AA2417" s="24" t="str">
        <x:v>ZEISS|Progressiva|Surfaçada|SmartLife Plus|PhotoFusion X|1.6|1.60|DuraVision Platinum UV|-7.25 a +6.00|-6.00|0.75 a 3.50|75|||39</x:v>
      </x:c>
    </x:row>
    <x:row r="2418">
      <x:c r="A2418" s="24" t="str">
        <x:v>ZS-107E8E9ACFCD</x:v>
      </x:c>
      <x:c r="B2418" s="24" t="str">
        <x:v>SIM</x:v>
      </x:c>
      <x:c r="C2418" s="24" t="str">
        <x:v>DISPONÍVEL</x:v>
      </x:c>
      <x:c r="D2418" s="24" t="str">
        <x:v>ZEISS</x:v>
      </x:c>
      <x:c r="E2418" s="24" t="str">
        <x:v>Progressiva</x:v>
      </x:c>
      <x:c r="F2418" s="24" t="str">
        <x:v>Surfaçada</x:v>
      </x:c>
      <x:c r="G2418" s="24" t="str">
        <x:v>SmartLife Plus</x:v>
      </x:c>
      <x:c r="H2418" s="24" t="str">
        <x:v>PhotoFusion X</x:v>
      </x:c>
      <x:c r="I2418" s="24" t="str">
        <x:v>1.6</x:v>
      </x:c>
      <x:c r="J2418" s="24" t="str">
        <x:v>1.60</x:v>
      </x:c>
      <x:c r="K2418" s="24" t="str">
        <x:v>DuraVision Silver UV</x:v>
      </x:c>
      <x:c r="L2418" s="40" t="n">
        <x:v>8550</x:v>
      </x:c>
      <x:c r="M2418" s="24" t="str">
        <x:v>-7.25 a +6.00</x:v>
      </x:c>
      <x:c r="N2418" s="24" t="str">
        <x:v>-6.00</x:v>
      </x:c>
      <x:c r="O2418" s="24" t="str">
        <x:v>0.75 a 3.50</x:v>
      </x:c>
      <x:c r="P2418" s="24" t="str">
        <x:v>75</x:v>
      </x:c>
      <x:c r="Q2418" s="24"/>
      <x:c r="R2418" s="24"/>
      <x:c r="S2418" s="26" t="n">
        <x:v>46113</x:v>
      </x:c>
      <x:c r="T2418" s="26"/>
      <x:c r="U2418" s="24" t="str">
        <x:v>ATIVA/SEM FIM INFORMADO</x:v>
      </x:c>
      <x:c r="V2418" s="24" t="str">
        <x:v>Programa de Parcerias ZEISS</x:v>
      </x:c>
      <x:c r="W2418" s="24" t="n">
        <x:v>39</x:v>
      </x:c>
      <x:c r="X2418" s="24" t="str">
        <x:v>tabela_zeiss.pdf</x:v>
      </x:c>
      <x:c r="Y2418" s="24" t="str">
        <x:v>alta</x:v>
      </x:c>
      <x:c r="Z2418" s="24"/>
      <x:c r="AA2418" s="24" t="str">
        <x:v>ZEISS|Progressiva|Surfaçada|SmartLife Plus|PhotoFusion X|1.6|1.60|DuraVision Silver UV|-7.25 a +6.00|-6.00|0.75 a 3.50|75|||39</x:v>
      </x:c>
    </x:row>
    <x:row r="2419">
      <x:c r="A2419" s="24" t="str">
        <x:v>ZS-05F4D5559745</x:v>
      </x:c>
      <x:c r="B2419" s="24" t="str">
        <x:v>SIM</x:v>
      </x:c>
      <x:c r="C2419" s="24" t="str">
        <x:v>DISPONÍVEL</x:v>
      </x:c>
      <x:c r="D2419" s="24" t="str">
        <x:v>ZEISS</x:v>
      </x:c>
      <x:c r="E2419" s="24" t="str">
        <x:v>Progressiva</x:v>
      </x:c>
      <x:c r="F2419" s="24" t="str">
        <x:v>Surfaçada</x:v>
      </x:c>
      <x:c r="G2419" s="24" t="str">
        <x:v>SmartLife Plus</x:v>
      </x:c>
      <x:c r="H2419" s="24" t="str">
        <x:v>PhotoFusion X</x:v>
      </x:c>
      <x:c r="I2419" s="24" t="str">
        <x:v>1.6</x:v>
      </x:c>
      <x:c r="J2419" s="24" t="str">
        <x:v>1.60</x:v>
      </x:c>
      <x:c r="K2419" s="24" t="str">
        <x:v>DuraVision Chrome UV</x:v>
      </x:c>
      <x:c r="L2419" s="40" t="n">
        <x:v>8060</x:v>
      </x:c>
      <x:c r="M2419" s="24" t="str">
        <x:v>-7.25 a +6.00</x:v>
      </x:c>
      <x:c r="N2419" s="24" t="str">
        <x:v>-6.00</x:v>
      </x:c>
      <x:c r="O2419" s="24" t="str">
        <x:v>0.75 a 3.50</x:v>
      </x:c>
      <x:c r="P2419" s="24" t="str">
        <x:v>75</x:v>
      </x:c>
      <x:c r="Q2419" s="24"/>
      <x:c r="R2419" s="24"/>
      <x:c r="S2419" s="26" t="n">
        <x:v>46113</x:v>
      </x:c>
      <x:c r="T2419" s="26"/>
      <x:c r="U2419" s="24" t="str">
        <x:v>ATIVA/SEM FIM INFORMADO</x:v>
      </x:c>
      <x:c r="V2419" s="24" t="str">
        <x:v>Programa de Parcerias ZEISS</x:v>
      </x:c>
      <x:c r="W2419" s="24" t="n">
        <x:v>39</x:v>
      </x:c>
      <x:c r="X2419" s="24" t="str">
        <x:v>tabela_zeiss.pdf</x:v>
      </x:c>
      <x:c r="Y2419" s="24" t="str">
        <x:v>alta</x:v>
      </x:c>
      <x:c r="Z2419" s="24"/>
      <x:c r="AA2419" s="24" t="str">
        <x:v>ZEISS|Progressiva|Surfaçada|SmartLife Plus|PhotoFusion X|1.6|1.60|DuraVision Chrome UV|-7.25 a +6.00|-6.00|0.75 a 3.50|75|||39</x:v>
      </x:c>
    </x:row>
    <x:row r="2420">
      <x:c r="A2420" s="24" t="str">
        <x:v>ZS-4C6F2B2E3012</x:v>
      </x:c>
      <x:c r="B2420" s="24" t="str">
        <x:v>SIM</x:v>
      </x:c>
      <x:c r="C2420" s="24" t="str">
        <x:v>DISPONÍVEL</x:v>
      </x:c>
      <x:c r="D2420" s="24" t="str">
        <x:v>ZEISS</x:v>
      </x:c>
      <x:c r="E2420" s="24" t="str">
        <x:v>Progressiva</x:v>
      </x:c>
      <x:c r="F2420" s="24" t="str">
        <x:v>Surfaçada</x:v>
      </x:c>
      <x:c r="G2420" s="24" t="str">
        <x:v>SmartLife Plus</x:v>
      </x:c>
      <x:c r="H2420" s="24" t="str">
        <x:v>PhotoFusion X</x:v>
      </x:c>
      <x:c r="I2420" s="24" t="str">
        <x:v>1.67</x:v>
      </x:c>
      <x:c r="J2420" s="24" t="str">
        <x:v>1.67</x:v>
      </x:c>
      <x:c r="K2420" s="24" t="str">
        <x:v>DuraVision Gold UV</x:v>
      </x:c>
      <x:c r="L2420" s="40" t="n">
        <x:v>10590</x:v>
      </x:c>
      <x:c r="M2420" s="24" t="str">
        <x:v>-8.00 a +8.00</x:v>
      </x:c>
      <x:c r="N2420" s="24" t="str">
        <x:v>-4.00</x:v>
      </x:c>
      <x:c r="O2420" s="24" t="str">
        <x:v>0.75 a 3.00</x:v>
      </x:c>
      <x:c r="P2420" s="24" t="str">
        <x:v>70</x:v>
      </x:c>
      <x:c r="Q2420" s="24"/>
      <x:c r="R2420" s="24"/>
      <x:c r="S2420" s="26" t="n">
        <x:v>46113</x:v>
      </x:c>
      <x:c r="T2420" s="26"/>
      <x:c r="U2420" s="24" t="str">
        <x:v>ATIVA/SEM FIM INFORMADO</x:v>
      </x:c>
      <x:c r="V2420" s="24" t="str">
        <x:v>Programa de Parcerias ZEISS</x:v>
      </x:c>
      <x:c r="W2420" s="24" t="n">
        <x:v>39</x:v>
      </x:c>
      <x:c r="X2420" s="24" t="str">
        <x:v>tabela_zeiss.pdf</x:v>
      </x:c>
      <x:c r="Y2420" s="24" t="str">
        <x:v>alta</x:v>
      </x:c>
      <x:c r="Z2420" s="24"/>
      <x:c r="AA2420" s="24" t="str">
        <x:v>ZEISS|Progressiva|Surfaçada|SmartLife Plus|PhotoFusion X|1.67|1.67|DuraVision Gold UV|-8.00 a +8.00|-4.00|0.75 a 3.00|70|||39</x:v>
      </x:c>
    </x:row>
    <x:row r="2421">
      <x:c r="A2421" s="24" t="str">
        <x:v>ZS-F428439B5BA4</x:v>
      </x:c>
      <x:c r="B2421" s="24" t="str">
        <x:v>SIM</x:v>
      </x:c>
      <x:c r="C2421" s="24" t="str">
        <x:v>DISPONÍVEL</x:v>
      </x:c>
      <x:c r="D2421" s="24" t="str">
        <x:v>ZEISS</x:v>
      </x:c>
      <x:c r="E2421" s="24" t="str">
        <x:v>Progressiva</x:v>
      </x:c>
      <x:c r="F2421" s="24" t="str">
        <x:v>Surfaçada</x:v>
      </x:c>
      <x:c r="G2421" s="24" t="str">
        <x:v>SmartLife Plus</x:v>
      </x:c>
      <x:c r="H2421" s="24" t="str">
        <x:v>PhotoFusion X</x:v>
      </x:c>
      <x:c r="I2421" s="24" t="str">
        <x:v>1.67</x:v>
      </x:c>
      <x:c r="J2421" s="24" t="str">
        <x:v>1.67</x:v>
      </x:c>
      <x:c r="K2421" s="24" t="str">
        <x:v>DURAVISION® ANTIVÍRUS PLATINUM UV</x:v>
      </x:c>
      <x:c r="L2421" s="40" t="n">
        <x:v>10450</x:v>
      </x:c>
      <x:c r="M2421" s="24" t="str">
        <x:v>-8.00 a +8.00</x:v>
      </x:c>
      <x:c r="N2421" s="24" t="str">
        <x:v>-4.00</x:v>
      </x:c>
      <x:c r="O2421" s="24" t="str">
        <x:v>0.75 a 3.00</x:v>
      </x:c>
      <x:c r="P2421" s="24" t="str">
        <x:v>70</x:v>
      </x:c>
      <x:c r="Q2421" s="24"/>
      <x:c r="R2421" s="24"/>
      <x:c r="S2421" s="26" t="n">
        <x:v>46113</x:v>
      </x:c>
      <x:c r="T2421" s="26"/>
      <x:c r="U2421" s="24" t="str">
        <x:v>ATIVA/SEM FIM INFORMADO</x:v>
      </x:c>
      <x:c r="V2421" s="24" t="str">
        <x:v>Programa de Parcerias ZEISS</x:v>
      </x:c>
      <x:c r="W2421" s="24" t="n">
        <x:v>39</x:v>
      </x:c>
      <x:c r="X2421" s="24" t="str">
        <x:v>tabela_zeiss.pdf</x:v>
      </x:c>
      <x:c r="Y2421" s="24" t="str">
        <x:v>alta</x:v>
      </x:c>
      <x:c r="Z2421" s="24"/>
      <x:c r="AA2421" s="24" t="str">
        <x:v>ZEISS|Progressiva|Surfaçada|SmartLife Plus|PhotoFusion X|1.67|1.67|DURAVISION® ANTIVÍRUS PLATINUM UV|-8.00 a +8.00|-4.00|0.75 a 3.00|70|||39</x:v>
      </x:c>
    </x:row>
    <x:row r="2422">
      <x:c r="A2422" s="24" t="str">
        <x:v>ZS-F83B37DC9971</x:v>
      </x:c>
      <x:c r="B2422" s="24" t="str">
        <x:v>SIM</x:v>
      </x:c>
      <x:c r="C2422" s="24" t="str">
        <x:v>DISPONÍVEL</x:v>
      </x:c>
      <x:c r="D2422" s="24" t="str">
        <x:v>ZEISS</x:v>
      </x:c>
      <x:c r="E2422" s="24" t="str">
        <x:v>Progressiva</x:v>
      </x:c>
      <x:c r="F2422" s="24" t="str">
        <x:v>Surfaçada</x:v>
      </x:c>
      <x:c r="G2422" s="24" t="str">
        <x:v>SmartLife Plus</x:v>
      </x:c>
      <x:c r="H2422" s="24" t="str">
        <x:v>PhotoFusion X</x:v>
      </x:c>
      <x:c r="I2422" s="24" t="str">
        <x:v>1.67</x:v>
      </x:c>
      <x:c r="J2422" s="24" t="str">
        <x:v>1.67</x:v>
      </x:c>
      <x:c r="K2422" s="24" t="str">
        <x:v>DuraVision Platinum UV</x:v>
      </x:c>
      <x:c r="L2422" s="40" t="n">
        <x:v>10450</x:v>
      </x:c>
      <x:c r="M2422" s="24" t="str">
        <x:v>-8.00 a +8.00</x:v>
      </x:c>
      <x:c r="N2422" s="24" t="str">
        <x:v>-4.00</x:v>
      </x:c>
      <x:c r="O2422" s="24" t="str">
        <x:v>0.75 a 3.00</x:v>
      </x:c>
      <x:c r="P2422" s="24" t="str">
        <x:v>70</x:v>
      </x:c>
      <x:c r="Q2422" s="24"/>
      <x:c r="R2422" s="24"/>
      <x:c r="S2422" s="26" t="n">
        <x:v>46113</x:v>
      </x:c>
      <x:c r="T2422" s="26"/>
      <x:c r="U2422" s="24" t="str">
        <x:v>ATIVA/SEM FIM INFORMADO</x:v>
      </x:c>
      <x:c r="V2422" s="24" t="str">
        <x:v>Programa de Parcerias ZEISS</x:v>
      </x:c>
      <x:c r="W2422" s="24" t="n">
        <x:v>39</x:v>
      </x:c>
      <x:c r="X2422" s="24" t="str">
        <x:v>tabela_zeiss.pdf</x:v>
      </x:c>
      <x:c r="Y2422" s="24" t="str">
        <x:v>alta</x:v>
      </x:c>
      <x:c r="Z2422" s="24"/>
      <x:c r="AA2422" s="24" t="str">
        <x:v>ZEISS|Progressiva|Surfaçada|SmartLife Plus|PhotoFusion X|1.67|1.67|DuraVision Platinum UV|-8.00 a +8.00|-4.00|0.75 a 3.00|70|||39</x:v>
      </x:c>
    </x:row>
    <x:row r="2423">
      <x:c r="A2423" s="24" t="str">
        <x:v>ZS-E2817B82BEAF</x:v>
      </x:c>
      <x:c r="B2423" s="24" t="str">
        <x:v>SIM</x:v>
      </x:c>
      <x:c r="C2423" s="24" t="str">
        <x:v>DISPONÍVEL</x:v>
      </x:c>
      <x:c r="D2423" s="24" t="str">
        <x:v>ZEISS</x:v>
      </x:c>
      <x:c r="E2423" s="24" t="str">
        <x:v>Progressiva</x:v>
      </x:c>
      <x:c r="F2423" s="24" t="str">
        <x:v>Surfaçada</x:v>
      </x:c>
      <x:c r="G2423" s="24" t="str">
        <x:v>SmartLife Plus</x:v>
      </x:c>
      <x:c r="H2423" s="24" t="str">
        <x:v>PhotoFusion X</x:v>
      </x:c>
      <x:c r="I2423" s="24" t="str">
        <x:v>1.67</x:v>
      </x:c>
      <x:c r="J2423" s="24" t="str">
        <x:v>1.67</x:v>
      </x:c>
      <x:c r="K2423" s="24" t="str">
        <x:v>DuraVision Silver UV</x:v>
      </x:c>
      <x:c r="L2423" s="40" t="n">
        <x:v>10190</x:v>
      </x:c>
      <x:c r="M2423" s="24" t="str">
        <x:v>-8.00 a +8.00</x:v>
      </x:c>
      <x:c r="N2423" s="24" t="str">
        <x:v>-4.00</x:v>
      </x:c>
      <x:c r="O2423" s="24" t="str">
        <x:v>0.75 a 3.00</x:v>
      </x:c>
      <x:c r="P2423" s="24" t="str">
        <x:v>70</x:v>
      </x:c>
      <x:c r="Q2423" s="24"/>
      <x:c r="R2423" s="24"/>
      <x:c r="S2423" s="26" t="n">
        <x:v>46113</x:v>
      </x:c>
      <x:c r="T2423" s="26"/>
      <x:c r="U2423" s="24" t="str">
        <x:v>ATIVA/SEM FIM INFORMADO</x:v>
      </x:c>
      <x:c r="V2423" s="24" t="str">
        <x:v>Programa de Parcerias ZEISS</x:v>
      </x:c>
      <x:c r="W2423" s="24" t="n">
        <x:v>39</x:v>
      </x:c>
      <x:c r="X2423" s="24" t="str">
        <x:v>tabela_zeiss.pdf</x:v>
      </x:c>
      <x:c r="Y2423" s="24" t="str">
        <x:v>alta</x:v>
      </x:c>
      <x:c r="Z2423" s="24"/>
      <x:c r="AA2423" s="24" t="str">
        <x:v>ZEISS|Progressiva|Surfaçada|SmartLife Plus|PhotoFusion X|1.67|1.67|DuraVision Silver UV|-8.00 a +8.00|-4.00|0.75 a 3.00|70|||39</x:v>
      </x:c>
    </x:row>
    <x:row r="2424">
      <x:c r="A2424" s="24" t="str">
        <x:v>ZS-DA409E3E1E4B</x:v>
      </x:c>
      <x:c r="B2424" s="24" t="str">
        <x:v>SIM</x:v>
      </x:c>
      <x:c r="C2424" s="24" t="str">
        <x:v>DISPONÍVEL</x:v>
      </x:c>
      <x:c r="D2424" s="24" t="str">
        <x:v>ZEISS</x:v>
      </x:c>
      <x:c r="E2424" s="24" t="str">
        <x:v>Progressiva</x:v>
      </x:c>
      <x:c r="F2424" s="24" t="str">
        <x:v>Surfaçada</x:v>
      </x:c>
      <x:c r="G2424" s="24" t="str">
        <x:v>SmartLife Plus</x:v>
      </x:c>
      <x:c r="H2424" s="24" t="str">
        <x:v>PhotoFusion X</x:v>
      </x:c>
      <x:c r="I2424" s="24" t="str">
        <x:v>1.67</x:v>
      </x:c>
      <x:c r="J2424" s="24" t="str">
        <x:v>1.67</x:v>
      </x:c>
      <x:c r="K2424" s="24" t="str">
        <x:v>DuraVision Chrome UV</x:v>
      </x:c>
      <x:c r="L2424" s="40" t="n">
        <x:v>9700</x:v>
      </x:c>
      <x:c r="M2424" s="24" t="str">
        <x:v>-8.00 a +8.00</x:v>
      </x:c>
      <x:c r="N2424" s="24" t="str">
        <x:v>-4.00</x:v>
      </x:c>
      <x:c r="O2424" s="24" t="str">
        <x:v>0.75 a 3.00</x:v>
      </x:c>
      <x:c r="P2424" s="24" t="str">
        <x:v>70</x:v>
      </x:c>
      <x:c r="Q2424" s="24"/>
      <x:c r="R2424" s="24"/>
      <x:c r="S2424" s="26" t="n">
        <x:v>46113</x:v>
      </x:c>
      <x:c r="T2424" s="26"/>
      <x:c r="U2424" s="24" t="str">
        <x:v>ATIVA/SEM FIM INFORMADO</x:v>
      </x:c>
      <x:c r="V2424" s="24" t="str">
        <x:v>Programa de Parcerias ZEISS</x:v>
      </x:c>
      <x:c r="W2424" s="24" t="n">
        <x:v>39</x:v>
      </x:c>
      <x:c r="X2424" s="24" t="str">
        <x:v>tabela_zeiss.pdf</x:v>
      </x:c>
      <x:c r="Y2424" s="24" t="str">
        <x:v>alta</x:v>
      </x:c>
      <x:c r="Z2424" s="24"/>
      <x:c r="AA2424" s="24" t="str">
        <x:v>ZEISS|Progressiva|Surfaçada|SmartLife Plus|PhotoFusion X|1.67|1.67|DuraVision Chrome UV|-8.00 a +8.00|-4.00|0.75 a 3.00|70|||39</x:v>
      </x:c>
    </x:row>
    <x:row r="2425">
      <x:c r="A2425" s="24" t="str">
        <x:v>ZS-86B373E38F04</x:v>
      </x:c>
      <x:c r="B2425" s="24" t="str">
        <x:v>SIM</x:v>
      </x:c>
      <x:c r="C2425" s="24" t="str">
        <x:v>DISPONÍVEL</x:v>
      </x:c>
      <x:c r="D2425" s="24" t="str">
        <x:v>ZEISS</x:v>
      </x:c>
      <x:c r="E2425" s="24" t="str">
        <x:v>Progressiva</x:v>
      </x:c>
      <x:c r="F2425" s="24" t="str">
        <x:v>Surfaçada</x:v>
      </x:c>
      <x:c r="G2425" s="24" t="str">
        <x:v>SmartLife Plus</x:v>
      </x:c>
      <x:c r="H2425" s="24" t="str">
        <x:v>PhotoFusion X Extra Dark Cinza</x:v>
      </x:c>
      <x:c r="I2425" s="24" t="str">
        <x:v>1.5</x:v>
      </x:c>
      <x:c r="J2425" s="24" t="str">
        <x:v>1.50</x:v>
      </x:c>
      <x:c r="K2425" s="24" t="str">
        <x:v>DuraVision Gold UV</x:v>
      </x:c>
      <x:c r="L2425" s="40" t="n">
        <x:v>7750</x:v>
      </x:c>
      <x:c r="M2425" s="24" t="str">
        <x:v>-6.00 a +5.50</x:v>
      </x:c>
      <x:c r="N2425" s="24" t="str">
        <x:v>-4.00</x:v>
      </x:c>
      <x:c r="O2425" s="24" t="str">
        <x:v>0.75 a 3.00</x:v>
      </x:c>
      <x:c r="P2425" s="24" t="str">
        <x:v>75</x:v>
      </x:c>
      <x:c r="Q2425" s="24"/>
      <x:c r="R2425" s="24"/>
      <x:c r="S2425" s="26" t="n">
        <x:v>46113</x:v>
      </x:c>
      <x:c r="T2425" s="26"/>
      <x:c r="U2425" s="24" t="str">
        <x:v>ATIVA/SEM FIM INFORMADO</x:v>
      </x:c>
      <x:c r="V2425" s="24" t="str">
        <x:v>Programa de Parcerias ZEISS</x:v>
      </x:c>
      <x:c r="W2425" s="24" t="n">
        <x:v>39</x:v>
      </x:c>
      <x:c r="X2425" s="24" t="str">
        <x:v>tabela_zeiss.pdf</x:v>
      </x:c>
      <x:c r="Y2425" s="24" t="str">
        <x:v>alta</x:v>
      </x:c>
      <x:c r="Z2425" s="24"/>
      <x:c r="AA2425" s="24" t="str">
        <x:v>ZEISS|Progressiva|Surfaçada|SmartLife Plus|PhotoFusion X Extra Dark Cinza|1.5|1.50|DuraVision Gold UV|-6.00 a +5.50|-4.00|0.75 a 3.00|75|||39</x:v>
      </x:c>
    </x:row>
    <x:row r="2426">
      <x:c r="A2426" s="24" t="str">
        <x:v>ZS-47BD69E6C2D3</x:v>
      </x:c>
      <x:c r="B2426" s="24" t="str">
        <x:v>SIM</x:v>
      </x:c>
      <x:c r="C2426" s="24" t="str">
        <x:v>DISPONÍVEL</x:v>
      </x:c>
      <x:c r="D2426" s="24" t="str">
        <x:v>ZEISS</x:v>
      </x:c>
      <x:c r="E2426" s="24" t="str">
        <x:v>Progressiva</x:v>
      </x:c>
      <x:c r="F2426" s="24" t="str">
        <x:v>Surfaçada</x:v>
      </x:c>
      <x:c r="G2426" s="24" t="str">
        <x:v>SmartLife Plus</x:v>
      </x:c>
      <x:c r="H2426" s="24" t="str">
        <x:v>PhotoFusion X Extra Dark Cinza</x:v>
      </x:c>
      <x:c r="I2426" s="24" t="str">
        <x:v>1.5</x:v>
      </x:c>
      <x:c r="J2426" s="24" t="str">
        <x:v>1.50</x:v>
      </x:c>
      <x:c r="K2426" s="24" t="str">
        <x:v>DURAVISION® ANTIVÍRUS PLATINUM UV</x:v>
      </x:c>
      <x:c r="L2426" s="40" t="n">
        <x:v>7610</x:v>
      </x:c>
      <x:c r="M2426" s="24" t="str">
        <x:v>-6.00 a +5.50</x:v>
      </x:c>
      <x:c r="N2426" s="24" t="str">
        <x:v>-4.00</x:v>
      </x:c>
      <x:c r="O2426" s="24" t="str">
        <x:v>0.75 a 3.00</x:v>
      </x:c>
      <x:c r="P2426" s="24" t="str">
        <x:v>75</x:v>
      </x:c>
      <x:c r="Q2426" s="24"/>
      <x:c r="R2426" s="24"/>
      <x:c r="S2426" s="26" t="n">
        <x:v>46113</x:v>
      </x:c>
      <x:c r="T2426" s="26"/>
      <x:c r="U2426" s="24" t="str">
        <x:v>ATIVA/SEM FIM INFORMADO</x:v>
      </x:c>
      <x:c r="V2426" s="24" t="str">
        <x:v>Programa de Parcerias ZEISS</x:v>
      </x:c>
      <x:c r="W2426" s="24" t="n">
        <x:v>39</x:v>
      </x:c>
      <x:c r="X2426" s="24" t="str">
        <x:v>tabela_zeiss.pdf</x:v>
      </x:c>
      <x:c r="Y2426" s="24" t="str">
        <x:v>alta</x:v>
      </x:c>
      <x:c r="Z2426" s="24"/>
      <x:c r="AA2426" s="24" t="str">
        <x:v>ZEISS|Progressiva|Surfaçada|SmartLife Plus|PhotoFusion X Extra Dark Cinza|1.5|1.50|DURAVISION® ANTIVÍRUS PLATINUM UV|-6.00 a +5.50|-4.00|0.75 a 3.00|75|||39</x:v>
      </x:c>
    </x:row>
    <x:row r="2427">
      <x:c r="A2427" s="24" t="str">
        <x:v>ZS-049260C8172E</x:v>
      </x:c>
      <x:c r="B2427" s="24" t="str">
        <x:v>SIM</x:v>
      </x:c>
      <x:c r="C2427" s="24" t="str">
        <x:v>DISPONÍVEL</x:v>
      </x:c>
      <x:c r="D2427" s="24" t="str">
        <x:v>ZEISS</x:v>
      </x:c>
      <x:c r="E2427" s="24" t="str">
        <x:v>Progressiva</x:v>
      </x:c>
      <x:c r="F2427" s="24" t="str">
        <x:v>Surfaçada</x:v>
      </x:c>
      <x:c r="G2427" s="24" t="str">
        <x:v>SmartLife Plus</x:v>
      </x:c>
      <x:c r="H2427" s="24" t="str">
        <x:v>PhotoFusion X Extra Dark Cinza</x:v>
      </x:c>
      <x:c r="I2427" s="24" t="str">
        <x:v>1.5</x:v>
      </x:c>
      <x:c r="J2427" s="24" t="str">
        <x:v>1.50</x:v>
      </x:c>
      <x:c r="K2427" s="24" t="str">
        <x:v>DuraVision Platinum UV</x:v>
      </x:c>
      <x:c r="L2427" s="40" t="n">
        <x:v>7610</x:v>
      </x:c>
      <x:c r="M2427" s="24" t="str">
        <x:v>-6.00 a +5.50</x:v>
      </x:c>
      <x:c r="N2427" s="24" t="str">
        <x:v>-4.00</x:v>
      </x:c>
      <x:c r="O2427" s="24" t="str">
        <x:v>0.75 a 3.00</x:v>
      </x:c>
      <x:c r="P2427" s="24" t="str">
        <x:v>75</x:v>
      </x:c>
      <x:c r="Q2427" s="24"/>
      <x:c r="R2427" s="24"/>
      <x:c r="S2427" s="26" t="n">
        <x:v>46113</x:v>
      </x:c>
      <x:c r="T2427" s="26"/>
      <x:c r="U2427" s="24" t="str">
        <x:v>ATIVA/SEM FIM INFORMADO</x:v>
      </x:c>
      <x:c r="V2427" s="24" t="str">
        <x:v>Programa de Parcerias ZEISS</x:v>
      </x:c>
      <x:c r="W2427" s="24" t="n">
        <x:v>39</x:v>
      </x:c>
      <x:c r="X2427" s="24" t="str">
        <x:v>tabela_zeiss.pdf</x:v>
      </x:c>
      <x:c r="Y2427" s="24" t="str">
        <x:v>alta</x:v>
      </x:c>
      <x:c r="Z2427" s="24"/>
      <x:c r="AA2427" s="24" t="str">
        <x:v>ZEISS|Progressiva|Surfaçada|SmartLife Plus|PhotoFusion X Extra Dark Cinza|1.5|1.50|DuraVision Platinum UV|-6.00 a +5.50|-4.00|0.75 a 3.00|75|||39</x:v>
      </x:c>
    </x:row>
    <x:row r="2428">
      <x:c r="A2428" s="24" t="str">
        <x:v>ZS-482AB52AB64D</x:v>
      </x:c>
      <x:c r="B2428" s="24" t="str">
        <x:v>SIM</x:v>
      </x:c>
      <x:c r="C2428" s="24" t="str">
        <x:v>DISPONÍVEL</x:v>
      </x:c>
      <x:c r="D2428" s="24" t="str">
        <x:v>ZEISS</x:v>
      </x:c>
      <x:c r="E2428" s="24" t="str">
        <x:v>Progressiva</x:v>
      </x:c>
      <x:c r="F2428" s="24" t="str">
        <x:v>Surfaçada</x:v>
      </x:c>
      <x:c r="G2428" s="24" t="str">
        <x:v>SmartLife Plus</x:v>
      </x:c>
      <x:c r="H2428" s="24" t="str">
        <x:v>PhotoFusion X Extra Dark Cinza</x:v>
      </x:c>
      <x:c r="I2428" s="24" t="str">
        <x:v>1.5</x:v>
      </x:c>
      <x:c r="J2428" s="24" t="str">
        <x:v>1.50</x:v>
      </x:c>
      <x:c r="K2428" s="24" t="str">
        <x:v>DuraVision Silver UV</x:v>
      </x:c>
      <x:c r="L2428" s="40" t="n">
        <x:v>7350</x:v>
      </x:c>
      <x:c r="M2428" s="24" t="str">
        <x:v>-6.00 a +5.50</x:v>
      </x:c>
      <x:c r="N2428" s="24" t="str">
        <x:v>-4.00</x:v>
      </x:c>
      <x:c r="O2428" s="24" t="str">
        <x:v>0.75 a 3.00</x:v>
      </x:c>
      <x:c r="P2428" s="24" t="str">
        <x:v>75</x:v>
      </x:c>
      <x:c r="Q2428" s="24"/>
      <x:c r="R2428" s="24"/>
      <x:c r="S2428" s="26" t="n">
        <x:v>46113</x:v>
      </x:c>
      <x:c r="T2428" s="26"/>
      <x:c r="U2428" s="24" t="str">
        <x:v>ATIVA/SEM FIM INFORMADO</x:v>
      </x:c>
      <x:c r="V2428" s="24" t="str">
        <x:v>Programa de Parcerias ZEISS</x:v>
      </x:c>
      <x:c r="W2428" s="24" t="n">
        <x:v>39</x:v>
      </x:c>
      <x:c r="X2428" s="24" t="str">
        <x:v>tabela_zeiss.pdf</x:v>
      </x:c>
      <x:c r="Y2428" s="24" t="str">
        <x:v>alta</x:v>
      </x:c>
      <x:c r="Z2428" s="24"/>
      <x:c r="AA2428" s="24" t="str">
        <x:v>ZEISS|Progressiva|Surfaçada|SmartLife Plus|PhotoFusion X Extra Dark Cinza|1.5|1.50|DuraVision Silver UV|-6.00 a +5.50|-4.00|0.75 a 3.00|75|||39</x:v>
      </x:c>
    </x:row>
    <x:row r="2429">
      <x:c r="A2429" s="24" t="str">
        <x:v>ZS-58E3916C0176</x:v>
      </x:c>
      <x:c r="B2429" s="24" t="str">
        <x:v>SIM</x:v>
      </x:c>
      <x:c r="C2429" s="24" t="str">
        <x:v>DISPONÍVEL</x:v>
      </x:c>
      <x:c r="D2429" s="24" t="str">
        <x:v>ZEISS</x:v>
      </x:c>
      <x:c r="E2429" s="24" t="str">
        <x:v>Progressiva</x:v>
      </x:c>
      <x:c r="F2429" s="24" t="str">
        <x:v>Surfaçada</x:v>
      </x:c>
      <x:c r="G2429" s="24" t="str">
        <x:v>SmartLife Plus</x:v>
      </x:c>
      <x:c r="H2429" s="24" t="str">
        <x:v>PhotoFusion X Extra Dark Cinza</x:v>
      </x:c>
      <x:c r="I2429" s="24" t="str">
        <x:v>1.5</x:v>
      </x:c>
      <x:c r="J2429" s="24" t="str">
        <x:v>1.50</x:v>
      </x:c>
      <x:c r="K2429" s="24" t="str">
        <x:v>DuraVision Chrome UV</x:v>
      </x:c>
      <x:c r="L2429" s="40" t="n">
        <x:v>6860</x:v>
      </x:c>
      <x:c r="M2429" s="24" t="str">
        <x:v>-6.00 a +5.50</x:v>
      </x:c>
      <x:c r="N2429" s="24" t="str">
        <x:v>-4.00</x:v>
      </x:c>
      <x:c r="O2429" s="24" t="str">
        <x:v>0.75 a 3.00</x:v>
      </x:c>
      <x:c r="P2429" s="24" t="str">
        <x:v>75</x:v>
      </x:c>
      <x:c r="Q2429" s="24"/>
      <x:c r="R2429" s="24"/>
      <x:c r="S2429" s="26" t="n">
        <x:v>46113</x:v>
      </x:c>
      <x:c r="T2429" s="26"/>
      <x:c r="U2429" s="24" t="str">
        <x:v>ATIVA/SEM FIM INFORMADO</x:v>
      </x:c>
      <x:c r="V2429" s="24" t="str">
        <x:v>Programa de Parcerias ZEISS</x:v>
      </x:c>
      <x:c r="W2429" s="24" t="n">
        <x:v>39</x:v>
      </x:c>
      <x:c r="X2429" s="24" t="str">
        <x:v>tabela_zeiss.pdf</x:v>
      </x:c>
      <x:c r="Y2429" s="24" t="str">
        <x:v>alta</x:v>
      </x:c>
      <x:c r="Z2429" s="24"/>
      <x:c r="AA2429" s="24" t="str">
        <x:v>ZEISS|Progressiva|Surfaçada|SmartLife Plus|PhotoFusion X Extra Dark Cinza|1.5|1.50|DuraVision Chrome UV|-6.00 a +5.50|-4.00|0.75 a 3.00|75|||39</x:v>
      </x:c>
    </x:row>
    <x:row r="2430">
      <x:c r="A2430" s="24" t="str">
        <x:v>ZS-A5F2BA893C6F</x:v>
      </x:c>
      <x:c r="B2430" s="24" t="str">
        <x:v>SIM</x:v>
      </x:c>
      <x:c r="C2430" s="24" t="str">
        <x:v>DISPONÍVEL</x:v>
      </x:c>
      <x:c r="D2430" s="24" t="str">
        <x:v>ZEISS</x:v>
      </x:c>
      <x:c r="E2430" s="24" t="str">
        <x:v>Progressiva</x:v>
      </x:c>
      <x:c r="F2430" s="24" t="str">
        <x:v>Surfaçada</x:v>
      </x:c>
      <x:c r="G2430" s="24" t="str">
        <x:v>SmartLife Plus</x:v>
      </x:c>
      <x:c r="H2430" s="24" t="str">
        <x:v>PhotoFusion X Extra Dark Cinza</x:v>
      </x:c>
      <x:c r="I2430" s="24" t="str">
        <x:v>Poli</x:v>
      </x:c>
      <x:c r="J2430" s="24"/>
      <x:c r="K2430" s="24" t="str">
        <x:v>DuraVision Gold UV</x:v>
      </x:c>
      <x:c r="L2430" s="40" t="n">
        <x:v>8340</x:v>
      </x:c>
      <x:c r="M2430" s="24" t="str">
        <x:v>-10.00 a +6.00</x:v>
      </x:c>
      <x:c r="N2430" s="24" t="str">
        <x:v>-6.00</x:v>
      </x:c>
      <x:c r="O2430" s="24" t="str">
        <x:v>0.75 a 3.00</x:v>
      </x:c>
      <x:c r="P2430" s="24" t="str">
        <x:v>70</x:v>
      </x:c>
      <x:c r="Q2430" s="24"/>
      <x:c r="R2430" s="24"/>
      <x:c r="S2430" s="26" t="n">
        <x:v>46113</x:v>
      </x:c>
      <x:c r="T2430" s="26"/>
      <x:c r="U2430" s="24" t="str">
        <x:v>ATIVA/SEM FIM INFORMADO</x:v>
      </x:c>
      <x:c r="V2430" s="24" t="str">
        <x:v>Programa de Parcerias ZEISS</x:v>
      </x:c>
      <x:c r="W2430" s="24" t="n">
        <x:v>39</x:v>
      </x:c>
      <x:c r="X2430" s="24" t="str">
        <x:v>tabela_zeiss.pdf</x:v>
      </x:c>
      <x:c r="Y2430" s="24" t="str">
        <x:v>alta</x:v>
      </x:c>
      <x:c r="Z2430" s="24"/>
      <x:c r="AA2430" s="24" t="str">
        <x:v>ZEISS|Progressiva|Surfaçada|SmartLife Plus|PhotoFusion X Extra Dark Cinza|Poli||DuraVision Gold UV|-10.00 a +6.00|-6.00|0.75 a 3.00|70|||39</x:v>
      </x:c>
    </x:row>
    <x:row r="2431">
      <x:c r="A2431" s="24" t="str">
        <x:v>ZS-AB740651CF40</x:v>
      </x:c>
      <x:c r="B2431" s="24" t="str">
        <x:v>SIM</x:v>
      </x:c>
      <x:c r="C2431" s="24" t="str">
        <x:v>DISPONÍVEL</x:v>
      </x:c>
      <x:c r="D2431" s="24" t="str">
        <x:v>ZEISS</x:v>
      </x:c>
      <x:c r="E2431" s="24" t="str">
        <x:v>Progressiva</x:v>
      </x:c>
      <x:c r="F2431" s="24" t="str">
        <x:v>Surfaçada</x:v>
      </x:c>
      <x:c r="G2431" s="24" t="str">
        <x:v>SmartLife Plus</x:v>
      </x:c>
      <x:c r="H2431" s="24" t="str">
        <x:v>PhotoFusion X Extra Dark Cinza</x:v>
      </x:c>
      <x:c r="I2431" s="24" t="str">
        <x:v>Poli</x:v>
      </x:c>
      <x:c r="J2431" s="24"/>
      <x:c r="K2431" s="24" t="str">
        <x:v>DuraVision Platinum UV</x:v>
      </x:c>
      <x:c r="L2431" s="40" t="n">
        <x:v>8200</x:v>
      </x:c>
      <x:c r="M2431" s="24" t="str">
        <x:v>-10.00 a +6.00</x:v>
      </x:c>
      <x:c r="N2431" s="24" t="str">
        <x:v>-6.00</x:v>
      </x:c>
      <x:c r="O2431" s="24" t="str">
        <x:v>0.75 a 3.00</x:v>
      </x:c>
      <x:c r="P2431" s="24" t="str">
        <x:v>70</x:v>
      </x:c>
      <x:c r="Q2431" s="24"/>
      <x:c r="R2431" s="24"/>
      <x:c r="S2431" s="26" t="n">
        <x:v>46113</x:v>
      </x:c>
      <x:c r="T2431" s="26"/>
      <x:c r="U2431" s="24" t="str">
        <x:v>ATIVA/SEM FIM INFORMADO</x:v>
      </x:c>
      <x:c r="V2431" s="24" t="str">
        <x:v>Programa de Parcerias ZEISS</x:v>
      </x:c>
      <x:c r="W2431" s="24" t="n">
        <x:v>39</x:v>
      </x:c>
      <x:c r="X2431" s="24" t="str">
        <x:v>tabela_zeiss.pdf</x:v>
      </x:c>
      <x:c r="Y2431" s="24" t="str">
        <x:v>alta</x:v>
      </x:c>
      <x:c r="Z2431" s="24"/>
      <x:c r="AA2431" s="24" t="str">
        <x:v>ZEISS|Progressiva|Surfaçada|SmartLife Plus|PhotoFusion X Extra Dark Cinza|Poli||DuraVision Platinum UV|-10.00 a +6.00|-6.00|0.75 a 3.00|70|||39</x:v>
      </x:c>
    </x:row>
    <x:row r="2432">
      <x:c r="A2432" s="24" t="str">
        <x:v>ZS-BE5C16C6EF43</x:v>
      </x:c>
      <x:c r="B2432" s="24" t="str">
        <x:v>SIM</x:v>
      </x:c>
      <x:c r="C2432" s="24" t="str">
        <x:v>DISPONÍVEL</x:v>
      </x:c>
      <x:c r="D2432" s="24" t="str">
        <x:v>ZEISS</x:v>
      </x:c>
      <x:c r="E2432" s="24" t="str">
        <x:v>Progressiva</x:v>
      </x:c>
      <x:c r="F2432" s="24" t="str">
        <x:v>Surfaçada</x:v>
      </x:c>
      <x:c r="G2432" s="24" t="str">
        <x:v>SmartLife Plus</x:v>
      </x:c>
      <x:c r="H2432" s="24" t="str">
        <x:v>PhotoFusion X Extra Dark Cinza</x:v>
      </x:c>
      <x:c r="I2432" s="24" t="str">
        <x:v>Poli</x:v>
      </x:c>
      <x:c r="J2432" s="24"/>
      <x:c r="K2432" s="24" t="str">
        <x:v>DuraVision Silver UV</x:v>
      </x:c>
      <x:c r="L2432" s="40" t="n">
        <x:v>7940</x:v>
      </x:c>
      <x:c r="M2432" s="24" t="str">
        <x:v>-10.00 a +6.00</x:v>
      </x:c>
      <x:c r="N2432" s="24" t="str">
        <x:v>-6.00</x:v>
      </x:c>
      <x:c r="O2432" s="24" t="str">
        <x:v>0.75 a 3.00</x:v>
      </x:c>
      <x:c r="P2432" s="24" t="str">
        <x:v>70</x:v>
      </x:c>
      <x:c r="Q2432" s="24"/>
      <x:c r="R2432" s="24"/>
      <x:c r="S2432" s="26" t="n">
        <x:v>46113</x:v>
      </x:c>
      <x:c r="T2432" s="26"/>
      <x:c r="U2432" s="24" t="str">
        <x:v>ATIVA/SEM FIM INFORMADO</x:v>
      </x:c>
      <x:c r="V2432" s="24" t="str">
        <x:v>Programa de Parcerias ZEISS</x:v>
      </x:c>
      <x:c r="W2432" s="24" t="n">
        <x:v>39</x:v>
      </x:c>
      <x:c r="X2432" s="24" t="str">
        <x:v>tabela_zeiss.pdf</x:v>
      </x:c>
      <x:c r="Y2432" s="24" t="str">
        <x:v>alta</x:v>
      </x:c>
      <x:c r="Z2432" s="24"/>
      <x:c r="AA2432" s="24" t="str">
        <x:v>ZEISS|Progressiva|Surfaçada|SmartLife Plus|PhotoFusion X Extra Dark Cinza|Poli||DuraVision Silver UV|-10.00 a +6.00|-6.00|0.75 a 3.00|70|||39</x:v>
      </x:c>
    </x:row>
    <x:row r="2433">
      <x:c r="A2433" s="24" t="str">
        <x:v>ZS-BE26456350A5</x:v>
      </x:c>
      <x:c r="B2433" s="24" t="str">
        <x:v>SIM</x:v>
      </x:c>
      <x:c r="C2433" s="24" t="str">
        <x:v>DISPONÍVEL</x:v>
      </x:c>
      <x:c r="D2433" s="24" t="str">
        <x:v>ZEISS</x:v>
      </x:c>
      <x:c r="E2433" s="24" t="str">
        <x:v>Progressiva</x:v>
      </x:c>
      <x:c r="F2433" s="24" t="str">
        <x:v>Surfaçada</x:v>
      </x:c>
      <x:c r="G2433" s="24" t="str">
        <x:v>SmartLife Plus</x:v>
      </x:c>
      <x:c r="H2433" s="24" t="str">
        <x:v>PhotoFusion X Extra Dark Cinza</x:v>
      </x:c>
      <x:c r="I2433" s="24" t="str">
        <x:v>Poli</x:v>
      </x:c>
      <x:c r="J2433" s="24"/>
      <x:c r="K2433" s="24" t="str">
        <x:v>DuraVision Chrome UV</x:v>
      </x:c>
      <x:c r="L2433" s="40" t="n">
        <x:v>7450</x:v>
      </x:c>
      <x:c r="M2433" s="24" t="str">
        <x:v>-10.00 a +6.00</x:v>
      </x:c>
      <x:c r="N2433" s="24" t="str">
        <x:v>-6.00</x:v>
      </x:c>
      <x:c r="O2433" s="24" t="str">
        <x:v>0.75 a 3.00</x:v>
      </x:c>
      <x:c r="P2433" s="24" t="str">
        <x:v>70</x:v>
      </x:c>
      <x:c r="Q2433" s="24"/>
      <x:c r="R2433" s="24"/>
      <x:c r="S2433" s="26" t="n">
        <x:v>46113</x:v>
      </x:c>
      <x:c r="T2433" s="26"/>
      <x:c r="U2433" s="24" t="str">
        <x:v>ATIVA/SEM FIM INFORMADO</x:v>
      </x:c>
      <x:c r="V2433" s="24" t="str">
        <x:v>Programa de Parcerias ZEISS</x:v>
      </x:c>
      <x:c r="W2433" s="24" t="n">
        <x:v>39</x:v>
      </x:c>
      <x:c r="X2433" s="24" t="str">
        <x:v>tabela_zeiss.pdf</x:v>
      </x:c>
      <x:c r="Y2433" s="24" t="str">
        <x:v>alta</x:v>
      </x:c>
      <x:c r="Z2433" s="24"/>
      <x:c r="AA2433" s="24" t="str">
        <x:v>ZEISS|Progressiva|Surfaçada|SmartLife Plus|PhotoFusion X Extra Dark Cinza|Poli||DuraVision Chrome UV|-10.00 a +6.00|-6.00|0.75 a 3.00|70|||39</x:v>
      </x:c>
    </x:row>
    <x:row r="2434">
      <x:c r="A2434" s="24" t="str">
        <x:v>ZS-7404F6E33041</x:v>
      </x:c>
      <x:c r="B2434" s="24" t="str">
        <x:v>SIM</x:v>
      </x:c>
      <x:c r="C2434" s="24" t="str">
        <x:v>DISPONÍVEL</x:v>
      </x:c>
      <x:c r="D2434" s="24" t="str">
        <x:v>ZEISS</x:v>
      </x:c>
      <x:c r="E2434" s="24" t="str">
        <x:v>Progressiva</x:v>
      </x:c>
      <x:c r="F2434" s="24" t="str">
        <x:v>Surfaçada</x:v>
      </x:c>
      <x:c r="G2434" s="24" t="str">
        <x:v>SmartLife Plus</x:v>
      </x:c>
      <x:c r="H2434" s="24" t="str">
        <x:v>PhotoFusion X Extra Dark Cinza</x:v>
      </x:c>
      <x:c r="I2434" s="24" t="str">
        <x:v>1.6</x:v>
      </x:c>
      <x:c r="J2434" s="24" t="str">
        <x:v>1.60</x:v>
      </x:c>
      <x:c r="K2434" s="24" t="str">
        <x:v>DuraVision Gold UV</x:v>
      </x:c>
      <x:c r="L2434" s="40" t="n">
        <x:v>9000</x:v>
      </x:c>
      <x:c r="M2434" s="24" t="str">
        <x:v>-7.25 a +6.00</x:v>
      </x:c>
      <x:c r="N2434" s="24" t="str">
        <x:v>-6.00</x:v>
      </x:c>
      <x:c r="O2434" s="24" t="str">
        <x:v>0.75 a 3.50</x:v>
      </x:c>
      <x:c r="P2434" s="24" t="str">
        <x:v>75</x:v>
      </x:c>
      <x:c r="Q2434" s="24"/>
      <x:c r="R2434" s="24"/>
      <x:c r="S2434" s="26" t="n">
        <x:v>46113</x:v>
      </x:c>
      <x:c r="T2434" s="26"/>
      <x:c r="U2434" s="24" t="str">
        <x:v>ATIVA/SEM FIM INFORMADO</x:v>
      </x:c>
      <x:c r="V2434" s="24" t="str">
        <x:v>Programa de Parcerias ZEISS</x:v>
      </x:c>
      <x:c r="W2434" s="24" t="n">
        <x:v>39</x:v>
      </x:c>
      <x:c r="X2434" s="24" t="str">
        <x:v>tabela_zeiss.pdf</x:v>
      </x:c>
      <x:c r="Y2434" s="24" t="str">
        <x:v>alta</x:v>
      </x:c>
      <x:c r="Z2434" s="24"/>
      <x:c r="AA2434" s="24" t="str">
        <x:v>ZEISS|Progressiva|Surfaçada|SmartLife Plus|PhotoFusion X Extra Dark Cinza|1.6|1.60|DuraVision Gold UV|-7.25 a +6.00|-6.00|0.75 a 3.50|75|||39</x:v>
      </x:c>
    </x:row>
    <x:row r="2435">
      <x:c r="A2435" s="24" t="str">
        <x:v>ZS-52DC73DC5CE6</x:v>
      </x:c>
      <x:c r="B2435" s="24" t="str">
        <x:v>SIM</x:v>
      </x:c>
      <x:c r="C2435" s="24" t="str">
        <x:v>DISPONÍVEL</x:v>
      </x:c>
      <x:c r="D2435" s="24" t="str">
        <x:v>ZEISS</x:v>
      </x:c>
      <x:c r="E2435" s="24" t="str">
        <x:v>Progressiva</x:v>
      </x:c>
      <x:c r="F2435" s="24" t="str">
        <x:v>Surfaçada</x:v>
      </x:c>
      <x:c r="G2435" s="24" t="str">
        <x:v>SmartLife Plus</x:v>
      </x:c>
      <x:c r="H2435" s="24" t="str">
        <x:v>PhotoFusion X Extra Dark Cinza</x:v>
      </x:c>
      <x:c r="I2435" s="24" t="str">
        <x:v>1.6</x:v>
      </x:c>
      <x:c r="J2435" s="24" t="str">
        <x:v>1.60</x:v>
      </x:c>
      <x:c r="K2435" s="24" t="str">
        <x:v>DURAVISION® ANTIVÍRUS PLATINUM UV</x:v>
      </x:c>
      <x:c r="L2435" s="40" t="n">
        <x:v>8860</x:v>
      </x:c>
      <x:c r="M2435" s="24" t="str">
        <x:v>-7.25 a +6.00</x:v>
      </x:c>
      <x:c r="N2435" s="24" t="str">
        <x:v>-6.00</x:v>
      </x:c>
      <x:c r="O2435" s="24" t="str">
        <x:v>0.75 a 3.50</x:v>
      </x:c>
      <x:c r="P2435" s="24" t="str">
        <x:v>75</x:v>
      </x:c>
      <x:c r="Q2435" s="24"/>
      <x:c r="R2435" s="24"/>
      <x:c r="S2435" s="26" t="n">
        <x:v>46113</x:v>
      </x:c>
      <x:c r="T2435" s="26"/>
      <x:c r="U2435" s="24" t="str">
        <x:v>ATIVA/SEM FIM INFORMADO</x:v>
      </x:c>
      <x:c r="V2435" s="24" t="str">
        <x:v>Programa de Parcerias ZEISS</x:v>
      </x:c>
      <x:c r="W2435" s="24" t="n">
        <x:v>39</x:v>
      </x:c>
      <x:c r="X2435" s="24" t="str">
        <x:v>tabela_zeiss.pdf</x:v>
      </x:c>
      <x:c r="Y2435" s="24" t="str">
        <x:v>alta</x:v>
      </x:c>
      <x:c r="Z2435" s="24"/>
      <x:c r="AA2435" s="24" t="str">
        <x:v>ZEISS|Progressiva|Surfaçada|SmartLife Plus|PhotoFusion X Extra Dark Cinza|1.6|1.60|DURAVISION® ANTIVÍRUS PLATINUM UV|-7.25 a +6.00|-6.00|0.75 a 3.50|75|||39</x:v>
      </x:c>
    </x:row>
    <x:row r="2436">
      <x:c r="A2436" s="24" t="str">
        <x:v>ZS-B914A8BF85DE</x:v>
      </x:c>
      <x:c r="B2436" s="24" t="str">
        <x:v>SIM</x:v>
      </x:c>
      <x:c r="C2436" s="24" t="str">
        <x:v>DISPONÍVEL</x:v>
      </x:c>
      <x:c r="D2436" s="24" t="str">
        <x:v>ZEISS</x:v>
      </x:c>
      <x:c r="E2436" s="24" t="str">
        <x:v>Progressiva</x:v>
      </x:c>
      <x:c r="F2436" s="24" t="str">
        <x:v>Surfaçada</x:v>
      </x:c>
      <x:c r="G2436" s="24" t="str">
        <x:v>SmartLife Plus</x:v>
      </x:c>
      <x:c r="H2436" s="24" t="str">
        <x:v>PhotoFusion X Extra Dark Cinza</x:v>
      </x:c>
      <x:c r="I2436" s="24" t="str">
        <x:v>1.6</x:v>
      </x:c>
      <x:c r="J2436" s="24" t="str">
        <x:v>1.60</x:v>
      </x:c>
      <x:c r="K2436" s="24" t="str">
        <x:v>DuraVision Platinum UV</x:v>
      </x:c>
      <x:c r="L2436" s="40" t="n">
        <x:v>8860</x:v>
      </x:c>
      <x:c r="M2436" s="24" t="str">
        <x:v>-7.25 a +6.00</x:v>
      </x:c>
      <x:c r="N2436" s="24" t="str">
        <x:v>-6.00</x:v>
      </x:c>
      <x:c r="O2436" s="24" t="str">
        <x:v>0.75 a 3.50</x:v>
      </x:c>
      <x:c r="P2436" s="24" t="str">
        <x:v>75</x:v>
      </x:c>
      <x:c r="Q2436" s="24"/>
      <x:c r="R2436" s="24"/>
      <x:c r="S2436" s="26" t="n">
        <x:v>46113</x:v>
      </x:c>
      <x:c r="T2436" s="26"/>
      <x:c r="U2436" s="24" t="str">
        <x:v>ATIVA/SEM FIM INFORMADO</x:v>
      </x:c>
      <x:c r="V2436" s="24" t="str">
        <x:v>Programa de Parcerias ZEISS</x:v>
      </x:c>
      <x:c r="W2436" s="24" t="n">
        <x:v>39</x:v>
      </x:c>
      <x:c r="X2436" s="24" t="str">
        <x:v>tabela_zeiss.pdf</x:v>
      </x:c>
      <x:c r="Y2436" s="24" t="str">
        <x:v>alta</x:v>
      </x:c>
      <x:c r="Z2436" s="24"/>
      <x:c r="AA2436" s="24" t="str">
        <x:v>ZEISS|Progressiva|Surfaçada|SmartLife Plus|PhotoFusion X Extra Dark Cinza|1.6|1.60|DuraVision Platinum UV|-7.25 a +6.00|-6.00|0.75 a 3.50|75|||39</x:v>
      </x:c>
    </x:row>
    <x:row r="2437">
      <x:c r="A2437" s="24" t="str">
        <x:v>ZS-70997A2A11DB</x:v>
      </x:c>
      <x:c r="B2437" s="24" t="str">
        <x:v>SIM</x:v>
      </x:c>
      <x:c r="C2437" s="24" t="str">
        <x:v>DISPONÍVEL</x:v>
      </x:c>
      <x:c r="D2437" s="24" t="str">
        <x:v>ZEISS</x:v>
      </x:c>
      <x:c r="E2437" s="24" t="str">
        <x:v>Progressiva</x:v>
      </x:c>
      <x:c r="F2437" s="24" t="str">
        <x:v>Surfaçada</x:v>
      </x:c>
      <x:c r="G2437" s="24" t="str">
        <x:v>SmartLife Plus</x:v>
      </x:c>
      <x:c r="H2437" s="24" t="str">
        <x:v>PhotoFusion X Extra Dark Cinza</x:v>
      </x:c>
      <x:c r="I2437" s="24" t="str">
        <x:v>1.6</x:v>
      </x:c>
      <x:c r="J2437" s="24" t="str">
        <x:v>1.60</x:v>
      </x:c>
      <x:c r="K2437" s="24" t="str">
        <x:v>DuraVision Silver UV</x:v>
      </x:c>
      <x:c r="L2437" s="40" t="n">
        <x:v>8600</x:v>
      </x:c>
      <x:c r="M2437" s="24" t="str">
        <x:v>-7.25 a +6.00</x:v>
      </x:c>
      <x:c r="N2437" s="24" t="str">
        <x:v>-6.00</x:v>
      </x:c>
      <x:c r="O2437" s="24" t="str">
        <x:v>0.75 a 3.50</x:v>
      </x:c>
      <x:c r="P2437" s="24" t="str">
        <x:v>75</x:v>
      </x:c>
      <x:c r="Q2437" s="24"/>
      <x:c r="R2437" s="24"/>
      <x:c r="S2437" s="26" t="n">
        <x:v>46113</x:v>
      </x:c>
      <x:c r="T2437" s="26"/>
      <x:c r="U2437" s="24" t="str">
        <x:v>ATIVA/SEM FIM INFORMADO</x:v>
      </x:c>
      <x:c r="V2437" s="24" t="str">
        <x:v>Programa de Parcerias ZEISS</x:v>
      </x:c>
      <x:c r="W2437" s="24" t="n">
        <x:v>39</x:v>
      </x:c>
      <x:c r="X2437" s="24" t="str">
        <x:v>tabela_zeiss.pdf</x:v>
      </x:c>
      <x:c r="Y2437" s="24" t="str">
        <x:v>alta</x:v>
      </x:c>
      <x:c r="Z2437" s="24"/>
      <x:c r="AA2437" s="24" t="str">
        <x:v>ZEISS|Progressiva|Surfaçada|SmartLife Plus|PhotoFusion X Extra Dark Cinza|1.6|1.60|DuraVision Silver UV|-7.25 a +6.00|-6.00|0.75 a 3.50|75|||39</x:v>
      </x:c>
    </x:row>
    <x:row r="2438">
      <x:c r="A2438" s="24" t="str">
        <x:v>ZS-D2C030ED0D1D</x:v>
      </x:c>
      <x:c r="B2438" s="24" t="str">
        <x:v>SIM</x:v>
      </x:c>
      <x:c r="C2438" s="24" t="str">
        <x:v>DISPONÍVEL</x:v>
      </x:c>
      <x:c r="D2438" s="24" t="str">
        <x:v>ZEISS</x:v>
      </x:c>
      <x:c r="E2438" s="24" t="str">
        <x:v>Progressiva</x:v>
      </x:c>
      <x:c r="F2438" s="24" t="str">
        <x:v>Surfaçada</x:v>
      </x:c>
      <x:c r="G2438" s="24" t="str">
        <x:v>SmartLife Plus</x:v>
      </x:c>
      <x:c r="H2438" s="24" t="str">
        <x:v>PhotoFusion X Extra Dark Cinza</x:v>
      </x:c>
      <x:c r="I2438" s="24" t="str">
        <x:v>1.6</x:v>
      </x:c>
      <x:c r="J2438" s="24" t="str">
        <x:v>1.60</x:v>
      </x:c>
      <x:c r="K2438" s="24" t="str">
        <x:v>DuraVision Chrome UV</x:v>
      </x:c>
      <x:c r="L2438" s="40" t="n">
        <x:v>8110</x:v>
      </x:c>
      <x:c r="M2438" s="24" t="str">
        <x:v>-7.25 a +6.00</x:v>
      </x:c>
      <x:c r="N2438" s="24" t="str">
        <x:v>-6.00</x:v>
      </x:c>
      <x:c r="O2438" s="24" t="str">
        <x:v>0.75 a 3.50</x:v>
      </x:c>
      <x:c r="P2438" s="24" t="str">
        <x:v>75</x:v>
      </x:c>
      <x:c r="Q2438" s="24"/>
      <x:c r="R2438" s="24"/>
      <x:c r="S2438" s="26" t="n">
        <x:v>46113</x:v>
      </x:c>
      <x:c r="T2438" s="26"/>
      <x:c r="U2438" s="24" t="str">
        <x:v>ATIVA/SEM FIM INFORMADO</x:v>
      </x:c>
      <x:c r="V2438" s="24" t="str">
        <x:v>Programa de Parcerias ZEISS</x:v>
      </x:c>
      <x:c r="W2438" s="24" t="n">
        <x:v>39</x:v>
      </x:c>
      <x:c r="X2438" s="24" t="str">
        <x:v>tabela_zeiss.pdf</x:v>
      </x:c>
      <x:c r="Y2438" s="24" t="str">
        <x:v>alta</x:v>
      </x:c>
      <x:c r="Z2438" s="24"/>
      <x:c r="AA2438" s="24" t="str">
        <x:v>ZEISS|Progressiva|Surfaçada|SmartLife Plus|PhotoFusion X Extra Dark Cinza|1.6|1.60|DuraVision Chrome UV|-7.25 a +6.00|-6.00|0.75 a 3.50|75|||39</x:v>
      </x:c>
    </x:row>
    <x:row r="2439">
      <x:c r="A2439" s="24" t="str">
        <x:v>ZS-DE10D10EE260</x:v>
      </x:c>
      <x:c r="B2439" s="24" t="str">
        <x:v>SIM</x:v>
      </x:c>
      <x:c r="C2439" s="24" t="str">
        <x:v>DISPONÍVEL</x:v>
      </x:c>
      <x:c r="D2439" s="24" t="str">
        <x:v>ZEISS</x:v>
      </x:c>
      <x:c r="E2439" s="24" t="str">
        <x:v>Progressiva</x:v>
      </x:c>
      <x:c r="F2439" s="24" t="str">
        <x:v>Surfaçada</x:v>
      </x:c>
      <x:c r="G2439" s="24" t="str">
        <x:v>SmartLife Plus</x:v>
      </x:c>
      <x:c r="H2439" s="24" t="str">
        <x:v>PhotoFusion X Extra Dark Cinza</x:v>
      </x:c>
      <x:c r="I2439" s="24" t="str">
        <x:v>1.67</x:v>
      </x:c>
      <x:c r="J2439" s="24" t="str">
        <x:v>1.67</x:v>
      </x:c>
      <x:c r="K2439" s="24" t="str">
        <x:v>DuraVision Gold UV</x:v>
      </x:c>
      <x:c r="L2439" s="40" t="n">
        <x:v>10640</x:v>
      </x:c>
      <x:c r="M2439" s="24" t="str">
        <x:v>-8.00 a +8.00</x:v>
      </x:c>
      <x:c r="N2439" s="24" t="str">
        <x:v>-4.00</x:v>
      </x:c>
      <x:c r="O2439" s="24" t="str">
        <x:v>0.75 a 3.00</x:v>
      </x:c>
      <x:c r="P2439" s="24" t="str">
        <x:v>70</x:v>
      </x:c>
      <x:c r="Q2439" s="24"/>
      <x:c r="R2439" s="24"/>
      <x:c r="S2439" s="26" t="n">
        <x:v>46113</x:v>
      </x:c>
      <x:c r="T2439" s="26"/>
      <x:c r="U2439" s="24" t="str">
        <x:v>ATIVA/SEM FIM INFORMADO</x:v>
      </x:c>
      <x:c r="V2439" s="24" t="str">
        <x:v>Programa de Parcerias ZEISS</x:v>
      </x:c>
      <x:c r="W2439" s="24" t="n">
        <x:v>39</x:v>
      </x:c>
      <x:c r="X2439" s="24" t="str">
        <x:v>tabela_zeiss.pdf</x:v>
      </x:c>
      <x:c r="Y2439" s="24" t="str">
        <x:v>alta</x:v>
      </x:c>
      <x:c r="Z2439" s="24"/>
      <x:c r="AA2439" s="24" t="str">
        <x:v>ZEISS|Progressiva|Surfaçada|SmartLife Plus|PhotoFusion X Extra Dark Cinza|1.67|1.67|DuraVision Gold UV|-8.00 a +8.00|-4.00|0.75 a 3.00|70|||39</x:v>
      </x:c>
    </x:row>
    <x:row r="2440">
      <x:c r="A2440" s="24" t="str">
        <x:v>ZS-C1406DE1A247</x:v>
      </x:c>
      <x:c r="B2440" s="24" t="str">
        <x:v>SIM</x:v>
      </x:c>
      <x:c r="C2440" s="24" t="str">
        <x:v>DISPONÍVEL</x:v>
      </x:c>
      <x:c r="D2440" s="24" t="str">
        <x:v>ZEISS</x:v>
      </x:c>
      <x:c r="E2440" s="24" t="str">
        <x:v>Progressiva</x:v>
      </x:c>
      <x:c r="F2440" s="24" t="str">
        <x:v>Surfaçada</x:v>
      </x:c>
      <x:c r="G2440" s="24" t="str">
        <x:v>SmartLife Plus</x:v>
      </x:c>
      <x:c r="H2440" s="24" t="str">
        <x:v>PhotoFusion X Extra Dark Cinza</x:v>
      </x:c>
      <x:c r="I2440" s="24" t="str">
        <x:v>1.67</x:v>
      </x:c>
      <x:c r="J2440" s="24" t="str">
        <x:v>1.67</x:v>
      </x:c>
      <x:c r="K2440" s="24" t="str">
        <x:v>DURAVISION® ANTIVÍRUS PLATINUM UV</x:v>
      </x:c>
      <x:c r="L2440" s="40" t="n">
        <x:v>10500</x:v>
      </x:c>
      <x:c r="M2440" s="24" t="str">
        <x:v>-8.00 a +8.00</x:v>
      </x:c>
      <x:c r="N2440" s="24" t="str">
        <x:v>-4.00</x:v>
      </x:c>
      <x:c r="O2440" s="24" t="str">
        <x:v>0.75 a 3.00</x:v>
      </x:c>
      <x:c r="P2440" s="24" t="str">
        <x:v>70</x:v>
      </x:c>
      <x:c r="Q2440" s="24"/>
      <x:c r="R2440" s="24"/>
      <x:c r="S2440" s="26" t="n">
        <x:v>46113</x:v>
      </x:c>
      <x:c r="T2440" s="26"/>
      <x:c r="U2440" s="24" t="str">
        <x:v>ATIVA/SEM FIM INFORMADO</x:v>
      </x:c>
      <x:c r="V2440" s="24" t="str">
        <x:v>Programa de Parcerias ZEISS</x:v>
      </x:c>
      <x:c r="W2440" s="24" t="n">
        <x:v>39</x:v>
      </x:c>
      <x:c r="X2440" s="24" t="str">
        <x:v>tabela_zeiss.pdf</x:v>
      </x:c>
      <x:c r="Y2440" s="24" t="str">
        <x:v>alta</x:v>
      </x:c>
      <x:c r="Z2440" s="24"/>
      <x:c r="AA2440" s="24" t="str">
        <x:v>ZEISS|Progressiva|Surfaçada|SmartLife Plus|PhotoFusion X Extra Dark Cinza|1.67|1.67|DURAVISION® ANTIVÍRUS PLATINUM UV|-8.00 a +8.00|-4.00|0.75 a 3.00|70|||39</x:v>
      </x:c>
    </x:row>
    <x:row r="2441">
      <x:c r="A2441" s="24" t="str">
        <x:v>ZS-00585974793A</x:v>
      </x:c>
      <x:c r="B2441" s="24" t="str">
        <x:v>SIM</x:v>
      </x:c>
      <x:c r="C2441" s="24" t="str">
        <x:v>DISPONÍVEL</x:v>
      </x:c>
      <x:c r="D2441" s="24" t="str">
        <x:v>ZEISS</x:v>
      </x:c>
      <x:c r="E2441" s="24" t="str">
        <x:v>Progressiva</x:v>
      </x:c>
      <x:c r="F2441" s="24" t="str">
        <x:v>Surfaçada</x:v>
      </x:c>
      <x:c r="G2441" s="24" t="str">
        <x:v>SmartLife Plus</x:v>
      </x:c>
      <x:c r="H2441" s="24" t="str">
        <x:v>PhotoFusion X Extra Dark Cinza</x:v>
      </x:c>
      <x:c r="I2441" s="24" t="str">
        <x:v>1.67</x:v>
      </x:c>
      <x:c r="J2441" s="24" t="str">
        <x:v>1.67</x:v>
      </x:c>
      <x:c r="K2441" s="24" t="str">
        <x:v>DuraVision Platinum UV</x:v>
      </x:c>
      <x:c r="L2441" s="40" t="n">
        <x:v>10500</x:v>
      </x:c>
      <x:c r="M2441" s="24" t="str">
        <x:v>-8.00 a +8.00</x:v>
      </x:c>
      <x:c r="N2441" s="24" t="str">
        <x:v>-4.00</x:v>
      </x:c>
      <x:c r="O2441" s="24" t="str">
        <x:v>0.75 a 3.00</x:v>
      </x:c>
      <x:c r="P2441" s="24" t="str">
        <x:v>70</x:v>
      </x:c>
      <x:c r="Q2441" s="24"/>
      <x:c r="R2441" s="24"/>
      <x:c r="S2441" s="26" t="n">
        <x:v>46113</x:v>
      </x:c>
      <x:c r="T2441" s="26"/>
      <x:c r="U2441" s="24" t="str">
        <x:v>ATIVA/SEM FIM INFORMADO</x:v>
      </x:c>
      <x:c r="V2441" s="24" t="str">
        <x:v>Programa de Parcerias ZEISS</x:v>
      </x:c>
      <x:c r="W2441" s="24" t="n">
        <x:v>39</x:v>
      </x:c>
      <x:c r="X2441" s="24" t="str">
        <x:v>tabela_zeiss.pdf</x:v>
      </x:c>
      <x:c r="Y2441" s="24" t="str">
        <x:v>alta</x:v>
      </x:c>
      <x:c r="Z2441" s="24"/>
      <x:c r="AA2441" s="24" t="str">
        <x:v>ZEISS|Progressiva|Surfaçada|SmartLife Plus|PhotoFusion X Extra Dark Cinza|1.67|1.67|DuraVision Platinum UV|-8.00 a +8.00|-4.00|0.75 a 3.00|70|||39</x:v>
      </x:c>
    </x:row>
    <x:row r="2442">
      <x:c r="A2442" s="24" t="str">
        <x:v>ZS-95B2021BD188</x:v>
      </x:c>
      <x:c r="B2442" s="24" t="str">
        <x:v>SIM</x:v>
      </x:c>
      <x:c r="C2442" s="24" t="str">
        <x:v>DISPONÍVEL</x:v>
      </x:c>
      <x:c r="D2442" s="24" t="str">
        <x:v>ZEISS</x:v>
      </x:c>
      <x:c r="E2442" s="24" t="str">
        <x:v>Progressiva</x:v>
      </x:c>
      <x:c r="F2442" s="24" t="str">
        <x:v>Surfaçada</x:v>
      </x:c>
      <x:c r="G2442" s="24" t="str">
        <x:v>SmartLife Plus</x:v>
      </x:c>
      <x:c r="H2442" s="24" t="str">
        <x:v>PhotoFusion X Extra Dark Cinza</x:v>
      </x:c>
      <x:c r="I2442" s="24" t="str">
        <x:v>1.67</x:v>
      </x:c>
      <x:c r="J2442" s="24" t="str">
        <x:v>1.67</x:v>
      </x:c>
      <x:c r="K2442" s="24" t="str">
        <x:v>DuraVision Silver UV</x:v>
      </x:c>
      <x:c r="L2442" s="40" t="n">
        <x:v>10240</x:v>
      </x:c>
      <x:c r="M2442" s="24" t="str">
        <x:v>-8.00 a +8.00</x:v>
      </x:c>
      <x:c r="N2442" s="24" t="str">
        <x:v>-4.00</x:v>
      </x:c>
      <x:c r="O2442" s="24" t="str">
        <x:v>0.75 a 3.00</x:v>
      </x:c>
      <x:c r="P2442" s="24" t="str">
        <x:v>70</x:v>
      </x:c>
      <x:c r="Q2442" s="24"/>
      <x:c r="R2442" s="24"/>
      <x:c r="S2442" s="26" t="n">
        <x:v>46113</x:v>
      </x:c>
      <x:c r="T2442" s="26"/>
      <x:c r="U2442" s="24" t="str">
        <x:v>ATIVA/SEM FIM INFORMADO</x:v>
      </x:c>
      <x:c r="V2442" s="24" t="str">
        <x:v>Programa de Parcerias ZEISS</x:v>
      </x:c>
      <x:c r="W2442" s="24" t="n">
        <x:v>39</x:v>
      </x:c>
      <x:c r="X2442" s="24" t="str">
        <x:v>tabela_zeiss.pdf</x:v>
      </x:c>
      <x:c r="Y2442" s="24" t="str">
        <x:v>alta</x:v>
      </x:c>
      <x:c r="Z2442" s="24"/>
      <x:c r="AA2442" s="24" t="str">
        <x:v>ZEISS|Progressiva|Surfaçada|SmartLife Plus|PhotoFusion X Extra Dark Cinza|1.67|1.67|DuraVision Silver UV|-8.00 a +8.00|-4.00|0.75 a 3.00|70|||39</x:v>
      </x:c>
    </x:row>
    <x:row r="2443">
      <x:c r="A2443" s="24" t="str">
        <x:v>ZS-15BE37F5F03B</x:v>
      </x:c>
      <x:c r="B2443" s="24" t="str">
        <x:v>SIM</x:v>
      </x:c>
      <x:c r="C2443" s="24" t="str">
        <x:v>DISPONÍVEL</x:v>
      </x:c>
      <x:c r="D2443" s="24" t="str">
        <x:v>ZEISS</x:v>
      </x:c>
      <x:c r="E2443" s="24" t="str">
        <x:v>Progressiva</x:v>
      </x:c>
      <x:c r="F2443" s="24" t="str">
        <x:v>Surfaçada</x:v>
      </x:c>
      <x:c r="G2443" s="24" t="str">
        <x:v>SmartLife Plus</x:v>
      </x:c>
      <x:c r="H2443" s="24" t="str">
        <x:v>PhotoFusion X Extra Dark Cinza</x:v>
      </x:c>
      <x:c r="I2443" s="24" t="str">
        <x:v>1.67</x:v>
      </x:c>
      <x:c r="J2443" s="24" t="str">
        <x:v>1.67</x:v>
      </x:c>
      <x:c r="K2443" s="24" t="str">
        <x:v>DuraVision Chrome UV</x:v>
      </x:c>
      <x:c r="L2443" s="40" t="n">
        <x:v>9750</x:v>
      </x:c>
      <x:c r="M2443" s="24" t="str">
        <x:v>-8.00 a +8.00</x:v>
      </x:c>
      <x:c r="N2443" s="24" t="str">
        <x:v>-4.00</x:v>
      </x:c>
      <x:c r="O2443" s="24" t="str">
        <x:v>0.75 a 3.00</x:v>
      </x:c>
      <x:c r="P2443" s="24" t="str">
        <x:v>70</x:v>
      </x:c>
      <x:c r="Q2443" s="24"/>
      <x:c r="R2443" s="24"/>
      <x:c r="S2443" s="26" t="n">
        <x:v>46113</x:v>
      </x:c>
      <x:c r="T2443" s="26"/>
      <x:c r="U2443" s="24" t="str">
        <x:v>ATIVA/SEM FIM INFORMADO</x:v>
      </x:c>
      <x:c r="V2443" s="24" t="str">
        <x:v>Programa de Parcerias ZEISS</x:v>
      </x:c>
      <x:c r="W2443" s="24" t="n">
        <x:v>39</x:v>
      </x:c>
      <x:c r="X2443" s="24" t="str">
        <x:v>tabela_zeiss.pdf</x:v>
      </x:c>
      <x:c r="Y2443" s="24" t="str">
        <x:v>alta</x:v>
      </x:c>
      <x:c r="Z2443" s="24"/>
      <x:c r="AA2443" s="24" t="str">
        <x:v>ZEISS|Progressiva|Surfaçada|SmartLife Plus|PhotoFusion X Extra Dark Cinza|1.67|1.67|DuraVision Chrome UV|-8.00 a +8.00|-4.00|0.75 a 3.00|70|||39</x:v>
      </x:c>
    </x:row>
    <x:row r="2444">
      <x:c r="A2444" s="24" t="str">
        <x:v>ZS-C97163705B5E</x:v>
      </x:c>
      <x:c r="B2444" s="24" t="str">
        <x:v>SIM</x:v>
      </x:c>
      <x:c r="C2444" s="24" t="str">
        <x:v>DISPONÍVEL</x:v>
      </x:c>
      <x:c r="D2444" s="24" t="str">
        <x:v>ZEISS</x:v>
      </x:c>
      <x:c r="E2444" s="24" t="str">
        <x:v>Progressiva</x:v>
      </x:c>
      <x:c r="F2444" s="24" t="str">
        <x:v>Surfaçada</x:v>
      </x:c>
      <x:c r="G2444" s="24" t="str">
        <x:v>SmartLife Plus</x:v>
      </x:c>
      <x:c r="H2444" s="24" t="str">
        <x:v>Polarizada</x:v>
      </x:c>
      <x:c r="I2444" s="24" t="str">
        <x:v>1.5</x:v>
      </x:c>
      <x:c r="J2444" s="24" t="str">
        <x:v>1.50</x:v>
      </x:c>
      <x:c r="K2444" s="24" t="str">
        <x:v>DuraVision Gold UV</x:v>
      </x:c>
      <x:c r="L2444" s="40" t="n">
        <x:v>7120</x:v>
      </x:c>
      <x:c r="M2444" s="24" t="str">
        <x:v>-6.00 a +6.00</x:v>
      </x:c>
      <x:c r="N2444" s="24" t="str">
        <x:v>-4.00</x:v>
      </x:c>
      <x:c r="O2444" s="24" t="str">
        <x:v>0.75 a 3.50</x:v>
      </x:c>
      <x:c r="P2444" s="24" t="str">
        <x:v>70</x:v>
      </x:c>
      <x:c r="Q2444" s="24"/>
      <x:c r="R2444" s="24"/>
      <x:c r="S2444" s="26" t="n">
        <x:v>46113</x:v>
      </x:c>
      <x:c r="T2444" s="26"/>
      <x:c r="U2444" s="24" t="str">
        <x:v>ATIVA/SEM FIM INFORMADO</x:v>
      </x:c>
      <x:c r="V2444" s="24"/>
      <x:c r="W2444" s="24" t="n">
        <x:v>39</x:v>
      </x:c>
      <x:c r="X2444" s="24" t="str">
        <x:v>tabela_zeiss.pdf</x:v>
      </x:c>
      <x:c r="Y2444" s="24" t="str">
        <x:v>alta</x:v>
      </x:c>
      <x:c r="Z2444" s="24"/>
      <x:c r="AA2444" s="24" t="str">
        <x:v>ZEISS|Progressiva|Surfaçada|SmartLife Plus|Polarizada|1.5|1.50|DuraVision Gold UV|-6.00 a +6.00|-4.00|0.75 a 3.50|70|||39</x:v>
      </x:c>
    </x:row>
    <x:row r="2445">
      <x:c r="A2445" s="24" t="str">
        <x:v>ZS-4AAA2EFC2666</x:v>
      </x:c>
      <x:c r="B2445" s="24" t="str">
        <x:v>SIM</x:v>
      </x:c>
      <x:c r="C2445" s="24" t="str">
        <x:v>DISPONÍVEL</x:v>
      </x:c>
      <x:c r="D2445" s="24" t="str">
        <x:v>ZEISS</x:v>
      </x:c>
      <x:c r="E2445" s="24" t="str">
        <x:v>Progressiva</x:v>
      </x:c>
      <x:c r="F2445" s="24" t="str">
        <x:v>Surfaçada</x:v>
      </x:c>
      <x:c r="G2445" s="24" t="str">
        <x:v>SmartLife Plus</x:v>
      </x:c>
      <x:c r="H2445" s="24" t="str">
        <x:v>Polarizada</x:v>
      </x:c>
      <x:c r="I2445" s="24" t="str">
        <x:v>1.5</x:v>
      </x:c>
      <x:c r="J2445" s="24" t="str">
        <x:v>1.50</x:v>
      </x:c>
      <x:c r="K2445" s="24" t="str">
        <x:v>DuraVision Platinum UV</x:v>
      </x:c>
      <x:c r="L2445" s="40" t="n">
        <x:v>6980</x:v>
      </x:c>
      <x:c r="M2445" s="24" t="str">
        <x:v>-6.00 a +6.00</x:v>
      </x:c>
      <x:c r="N2445" s="24" t="str">
        <x:v>-4.00</x:v>
      </x:c>
      <x:c r="O2445" s="24" t="str">
        <x:v>0.75 a 3.50</x:v>
      </x:c>
      <x:c r="P2445" s="24" t="str">
        <x:v>70</x:v>
      </x:c>
      <x:c r="Q2445" s="24"/>
      <x:c r="R2445" s="24"/>
      <x:c r="S2445" s="26" t="n">
        <x:v>46113</x:v>
      </x:c>
      <x:c r="T2445" s="26"/>
      <x:c r="U2445" s="24" t="str">
        <x:v>ATIVA/SEM FIM INFORMADO</x:v>
      </x:c>
      <x:c r="V2445" s="24"/>
      <x:c r="W2445" s="24" t="n">
        <x:v>39</x:v>
      </x:c>
      <x:c r="X2445" s="24" t="str">
        <x:v>tabela_zeiss.pdf</x:v>
      </x:c>
      <x:c r="Y2445" s="24" t="str">
        <x:v>alta</x:v>
      </x:c>
      <x:c r="Z2445" s="24"/>
      <x:c r="AA2445" s="24" t="str">
        <x:v>ZEISS|Progressiva|Surfaçada|SmartLife Plus|Polarizada|1.5|1.50|DuraVision Platinum UV|-6.00 a +6.00|-4.00|0.75 a 3.50|70|||39</x:v>
      </x:c>
    </x:row>
    <x:row r="2446">
      <x:c r="A2446" s="24" t="str">
        <x:v>ZS-9A0C7064D44D</x:v>
      </x:c>
      <x:c r="B2446" s="24" t="str">
        <x:v>SIM</x:v>
      </x:c>
      <x:c r="C2446" s="24" t="str">
        <x:v>DISPONÍVEL</x:v>
      </x:c>
      <x:c r="D2446" s="24" t="str">
        <x:v>ZEISS</x:v>
      </x:c>
      <x:c r="E2446" s="24" t="str">
        <x:v>Progressiva</x:v>
      </x:c>
      <x:c r="F2446" s="24" t="str">
        <x:v>Surfaçada</x:v>
      </x:c>
      <x:c r="G2446" s="24" t="str">
        <x:v>SmartLife Plus</x:v>
      </x:c>
      <x:c r="H2446" s="24" t="str">
        <x:v>Polarizada</x:v>
      </x:c>
      <x:c r="I2446" s="24" t="str">
        <x:v>1.5</x:v>
      </x:c>
      <x:c r="J2446" s="24" t="str">
        <x:v>1.50</x:v>
      </x:c>
      <x:c r="K2446" s="24" t="str">
        <x:v>DuraVision Silver UV</x:v>
      </x:c>
      <x:c r="L2446" s="40" t="n">
        <x:v>6720</x:v>
      </x:c>
      <x:c r="M2446" s="24" t="str">
        <x:v>-6.00 a +6.00</x:v>
      </x:c>
      <x:c r="N2446" s="24" t="str">
        <x:v>-4.00</x:v>
      </x:c>
      <x:c r="O2446" s="24" t="str">
        <x:v>0.75 a 3.50</x:v>
      </x:c>
      <x:c r="P2446" s="24" t="str">
        <x:v>70</x:v>
      </x:c>
      <x:c r="Q2446" s="24"/>
      <x:c r="R2446" s="24"/>
      <x:c r="S2446" s="26" t="n">
        <x:v>46113</x:v>
      </x:c>
      <x:c r="T2446" s="26"/>
      <x:c r="U2446" s="24" t="str">
        <x:v>ATIVA/SEM FIM INFORMADO</x:v>
      </x:c>
      <x:c r="V2446" s="24"/>
      <x:c r="W2446" s="24" t="n">
        <x:v>39</x:v>
      </x:c>
      <x:c r="X2446" s="24" t="str">
        <x:v>tabela_zeiss.pdf</x:v>
      </x:c>
      <x:c r="Y2446" s="24" t="str">
        <x:v>alta</x:v>
      </x:c>
      <x:c r="Z2446" s="24"/>
      <x:c r="AA2446" s="24" t="str">
        <x:v>ZEISS|Progressiva|Surfaçada|SmartLife Plus|Polarizada|1.5|1.50|DuraVision Silver UV|-6.00 a +6.00|-4.00|0.75 a 3.50|70|||39</x:v>
      </x:c>
    </x:row>
    <x:row r="2447">
      <x:c r="A2447" s="24" t="str">
        <x:v>ZS-DE92692C6DDE</x:v>
      </x:c>
      <x:c r="B2447" s="24" t="str">
        <x:v>SIM</x:v>
      </x:c>
      <x:c r="C2447" s="24" t="str">
        <x:v>DISPONÍVEL</x:v>
      </x:c>
      <x:c r="D2447" s="24" t="str">
        <x:v>ZEISS</x:v>
      </x:c>
      <x:c r="E2447" s="24" t="str">
        <x:v>Progressiva</x:v>
      </x:c>
      <x:c r="F2447" s="24" t="str">
        <x:v>Surfaçada</x:v>
      </x:c>
      <x:c r="G2447" s="24" t="str">
        <x:v>SmartLife Plus</x:v>
      </x:c>
      <x:c r="H2447" s="24" t="str">
        <x:v>Polarizada</x:v>
      </x:c>
      <x:c r="I2447" s="24" t="str">
        <x:v>1.5</x:v>
      </x:c>
      <x:c r="J2447" s="24" t="str">
        <x:v>1.50</x:v>
      </x:c>
      <x:c r="K2447" s="24" t="str">
        <x:v>DuraVision Chrome UV</x:v>
      </x:c>
      <x:c r="L2447" s="40" t="n">
        <x:v>6230</x:v>
      </x:c>
      <x:c r="M2447" s="24" t="str">
        <x:v>-6.00 a +6.00</x:v>
      </x:c>
      <x:c r="N2447" s="24" t="str">
        <x:v>-4.00</x:v>
      </x:c>
      <x:c r="O2447" s="24" t="str">
        <x:v>0.75 a 3.50</x:v>
      </x:c>
      <x:c r="P2447" s="24" t="str">
        <x:v>70</x:v>
      </x:c>
      <x:c r="Q2447" s="24"/>
      <x:c r="R2447" s="24"/>
      <x:c r="S2447" s="26" t="n">
        <x:v>46113</x:v>
      </x:c>
      <x:c r="T2447" s="26"/>
      <x:c r="U2447" s="24" t="str">
        <x:v>ATIVA/SEM FIM INFORMADO</x:v>
      </x:c>
      <x:c r="V2447" s="24"/>
      <x:c r="W2447" s="24" t="n">
        <x:v>39</x:v>
      </x:c>
      <x:c r="X2447" s="24" t="str">
        <x:v>tabela_zeiss.pdf</x:v>
      </x:c>
      <x:c r="Y2447" s="24" t="str">
        <x:v>alta</x:v>
      </x:c>
      <x:c r="Z2447" s="24"/>
      <x:c r="AA2447" s="24" t="str">
        <x:v>ZEISS|Progressiva|Surfaçada|SmartLife Plus|Polarizada|1.5|1.50|DuraVision Chrome UV|-6.00 a +6.00|-4.00|0.75 a 3.50|70|||39</x:v>
      </x:c>
    </x:row>
    <x:row r="2448">
      <x:c r="A2448" s="24" t="str">
        <x:v>ZS-A3834241DE70</x:v>
      </x:c>
      <x:c r="B2448" s="24" t="str">
        <x:v>SIM</x:v>
      </x:c>
      <x:c r="C2448" s="24" t="str">
        <x:v>DISPONÍVEL</x:v>
      </x:c>
      <x:c r="D2448" s="24" t="str">
        <x:v>ZEISS</x:v>
      </x:c>
      <x:c r="E2448" s="24" t="str">
        <x:v>Progressiva</x:v>
      </x:c>
      <x:c r="F2448" s="24" t="str">
        <x:v>Surfaçada</x:v>
      </x:c>
      <x:c r="G2448" s="24" t="str">
        <x:v>SmartLife Plus</x:v>
      </x:c>
      <x:c r="H2448" s="24" t="str">
        <x:v>Polarizada</x:v>
      </x:c>
      <x:c r="I2448" s="24" t="str">
        <x:v>1.5</x:v>
      </x:c>
      <x:c r="J2448" s="24" t="str">
        <x:v>1.50</x:v>
      </x:c>
      <x:c r="K2448" s="24" t="str">
        <x:v>Sem AR</x:v>
      </x:c>
      <x:c r="L2448" s="40" t="n">
        <x:v>5830</x:v>
      </x:c>
      <x:c r="M2448" s="24" t="str">
        <x:v>-6.00 a +6.00</x:v>
      </x:c>
      <x:c r="N2448" s="24" t="str">
        <x:v>-4.00</x:v>
      </x:c>
      <x:c r="O2448" s="24" t="str">
        <x:v>0.75 a 3.50</x:v>
      </x:c>
      <x:c r="P2448" s="24" t="str">
        <x:v>70</x:v>
      </x:c>
      <x:c r="Q2448" s="24"/>
      <x:c r="R2448" s="24"/>
      <x:c r="S2448" s="26" t="n">
        <x:v>46113</x:v>
      </x:c>
      <x:c r="T2448" s="26"/>
      <x:c r="U2448" s="24" t="str">
        <x:v>ATIVA/SEM FIM INFORMADO</x:v>
      </x:c>
      <x:c r="V2448" s="24"/>
      <x:c r="W2448" s="24" t="n">
        <x:v>39</x:v>
      </x:c>
      <x:c r="X2448" s="24" t="str">
        <x:v>tabela_zeiss.pdf</x:v>
      </x:c>
      <x:c r="Y2448" s="24" t="str">
        <x:v>alta</x:v>
      </x:c>
      <x:c r="Z2448" s="24"/>
      <x:c r="AA2448" s="24" t="str">
        <x:v>ZEISS|Progressiva|Surfaçada|SmartLife Plus|Polarizada|1.5|1.50|Sem AR|-6.00 a +6.00|-4.00|0.75 a 3.50|70|||39</x:v>
      </x:c>
    </x:row>
    <x:row r="2449">
      <x:c r="A2449" s="24" t="str">
        <x:v>ZS-A6451F157863</x:v>
      </x:c>
      <x:c r="B2449" s="24" t="str">
        <x:v>SIM</x:v>
      </x:c>
      <x:c r="C2449" s="24" t="str">
        <x:v>DISPONÍVEL</x:v>
      </x:c>
      <x:c r="D2449" s="24" t="str">
        <x:v>ZEISS</x:v>
      </x:c>
      <x:c r="E2449" s="24" t="str">
        <x:v>Progressiva</x:v>
      </x:c>
      <x:c r="F2449" s="24" t="str">
        <x:v>Surfaçada</x:v>
      </x:c>
      <x:c r="G2449" s="24" t="str">
        <x:v>SmartLife Plus</x:v>
      </x:c>
      <x:c r="H2449" s="24" t="str">
        <x:v>Polarizada</x:v>
      </x:c>
      <x:c r="I2449" s="24" t="str">
        <x:v>1.6</x:v>
      </x:c>
      <x:c r="J2449" s="24" t="str">
        <x:v>1.60</x:v>
      </x:c>
      <x:c r="K2449" s="24" t="str">
        <x:v>DuraVision Gold UV</x:v>
      </x:c>
      <x:c r="L2449" s="40" t="n">
        <x:v>8370</x:v>
      </x:c>
      <x:c r="M2449" s="24" t="str">
        <x:v>-8.50 a +6.00</x:v>
      </x:c>
      <x:c r="N2449" s="24" t="str">
        <x:v>-4.00</x:v>
      </x:c>
      <x:c r="O2449" s="24" t="str">
        <x:v>0.75 a 3.50</x:v>
      </x:c>
      <x:c r="P2449" s="24" t="str">
        <x:v>70</x:v>
      </x:c>
      <x:c r="Q2449" s="24"/>
      <x:c r="R2449" s="24"/>
      <x:c r="S2449" s="26" t="n">
        <x:v>46113</x:v>
      </x:c>
      <x:c r="T2449" s="26"/>
      <x:c r="U2449" s="24" t="str">
        <x:v>ATIVA/SEM FIM INFORMADO</x:v>
      </x:c>
      <x:c r="V2449" s="24"/>
      <x:c r="W2449" s="24" t="n">
        <x:v>39</x:v>
      </x:c>
      <x:c r="X2449" s="24" t="str">
        <x:v>tabela_zeiss.pdf</x:v>
      </x:c>
      <x:c r="Y2449" s="24" t="str">
        <x:v>alta</x:v>
      </x:c>
      <x:c r="Z2449" s="24"/>
      <x:c r="AA2449" s="24" t="str">
        <x:v>ZEISS|Progressiva|Surfaçada|SmartLife Plus|Polarizada|1.6|1.60|DuraVision Gold UV|-8.50 a +6.00|-4.00|0.75 a 3.50|70|||39</x:v>
      </x:c>
    </x:row>
    <x:row r="2450">
      <x:c r="A2450" s="24" t="str">
        <x:v>ZS-EDDC7736A211</x:v>
      </x:c>
      <x:c r="B2450" s="24" t="str">
        <x:v>SIM</x:v>
      </x:c>
      <x:c r="C2450" s="24" t="str">
        <x:v>DISPONÍVEL</x:v>
      </x:c>
      <x:c r="D2450" s="24" t="str">
        <x:v>ZEISS</x:v>
      </x:c>
      <x:c r="E2450" s="24" t="str">
        <x:v>Progressiva</x:v>
      </x:c>
      <x:c r="F2450" s="24" t="str">
        <x:v>Surfaçada</x:v>
      </x:c>
      <x:c r="G2450" s="24" t="str">
        <x:v>SmartLife Plus</x:v>
      </x:c>
      <x:c r="H2450" s="24" t="str">
        <x:v>Polarizada</x:v>
      </x:c>
      <x:c r="I2450" s="24" t="str">
        <x:v>1.6</x:v>
      </x:c>
      <x:c r="J2450" s="24" t="str">
        <x:v>1.60</x:v>
      </x:c>
      <x:c r="K2450" s="24" t="str">
        <x:v>DuraVision Platinum UV</x:v>
      </x:c>
      <x:c r="L2450" s="40" t="n">
        <x:v>8230</x:v>
      </x:c>
      <x:c r="M2450" s="24" t="str">
        <x:v>-8.50 a +6.00</x:v>
      </x:c>
      <x:c r="N2450" s="24" t="str">
        <x:v>-4.00</x:v>
      </x:c>
      <x:c r="O2450" s="24" t="str">
        <x:v>0.75 a 3.50</x:v>
      </x:c>
      <x:c r="P2450" s="24" t="str">
        <x:v>70</x:v>
      </x:c>
      <x:c r="Q2450" s="24"/>
      <x:c r="R2450" s="24"/>
      <x:c r="S2450" s="26" t="n">
        <x:v>46113</x:v>
      </x:c>
      <x:c r="T2450" s="26"/>
      <x:c r="U2450" s="24" t="str">
        <x:v>ATIVA/SEM FIM INFORMADO</x:v>
      </x:c>
      <x:c r="V2450" s="24"/>
      <x:c r="W2450" s="24" t="n">
        <x:v>39</x:v>
      </x:c>
      <x:c r="X2450" s="24" t="str">
        <x:v>tabela_zeiss.pdf</x:v>
      </x:c>
      <x:c r="Y2450" s="24" t="str">
        <x:v>alta</x:v>
      </x:c>
      <x:c r="Z2450" s="24"/>
      <x:c r="AA2450" s="24" t="str">
        <x:v>ZEISS|Progressiva|Surfaçada|SmartLife Plus|Polarizada|1.6|1.60|DuraVision Platinum UV|-8.50 a +6.00|-4.00|0.75 a 3.50|70|||39</x:v>
      </x:c>
    </x:row>
    <x:row r="2451">
      <x:c r="A2451" s="24" t="str">
        <x:v>ZS-E3700C154F05</x:v>
      </x:c>
      <x:c r="B2451" s="24" t="str">
        <x:v>SIM</x:v>
      </x:c>
      <x:c r="C2451" s="24" t="str">
        <x:v>DISPONÍVEL</x:v>
      </x:c>
      <x:c r="D2451" s="24" t="str">
        <x:v>ZEISS</x:v>
      </x:c>
      <x:c r="E2451" s="24" t="str">
        <x:v>Progressiva</x:v>
      </x:c>
      <x:c r="F2451" s="24" t="str">
        <x:v>Surfaçada</x:v>
      </x:c>
      <x:c r="G2451" s="24" t="str">
        <x:v>SmartLife Plus</x:v>
      </x:c>
      <x:c r="H2451" s="24" t="str">
        <x:v>Polarizada</x:v>
      </x:c>
      <x:c r="I2451" s="24" t="str">
        <x:v>1.6</x:v>
      </x:c>
      <x:c r="J2451" s="24" t="str">
        <x:v>1.60</x:v>
      </x:c>
      <x:c r="K2451" s="24" t="str">
        <x:v>DuraVision Silver UV</x:v>
      </x:c>
      <x:c r="L2451" s="40" t="n">
        <x:v>7970</x:v>
      </x:c>
      <x:c r="M2451" s="24" t="str">
        <x:v>-8.50 a +6.00</x:v>
      </x:c>
      <x:c r="N2451" s="24" t="str">
        <x:v>-4.00</x:v>
      </x:c>
      <x:c r="O2451" s="24" t="str">
        <x:v>0.75 a 3.50</x:v>
      </x:c>
      <x:c r="P2451" s="24" t="str">
        <x:v>70</x:v>
      </x:c>
      <x:c r="Q2451" s="24"/>
      <x:c r="R2451" s="24"/>
      <x:c r="S2451" s="26" t="n">
        <x:v>46113</x:v>
      </x:c>
      <x:c r="T2451" s="26"/>
      <x:c r="U2451" s="24" t="str">
        <x:v>ATIVA/SEM FIM INFORMADO</x:v>
      </x:c>
      <x:c r="V2451" s="24"/>
      <x:c r="W2451" s="24" t="n">
        <x:v>39</x:v>
      </x:c>
      <x:c r="X2451" s="24" t="str">
        <x:v>tabela_zeiss.pdf</x:v>
      </x:c>
      <x:c r="Y2451" s="24" t="str">
        <x:v>alta</x:v>
      </x:c>
      <x:c r="Z2451" s="24"/>
      <x:c r="AA2451" s="24" t="str">
        <x:v>ZEISS|Progressiva|Surfaçada|SmartLife Plus|Polarizada|1.6|1.60|DuraVision Silver UV|-8.50 a +6.00|-4.00|0.75 a 3.50|70|||39</x:v>
      </x:c>
    </x:row>
    <x:row r="2452">
      <x:c r="A2452" s="24" t="str">
        <x:v>ZS-EA539C8F67A6</x:v>
      </x:c>
      <x:c r="B2452" s="24" t="str">
        <x:v>SIM</x:v>
      </x:c>
      <x:c r="C2452" s="24" t="str">
        <x:v>DISPONÍVEL</x:v>
      </x:c>
      <x:c r="D2452" s="24" t="str">
        <x:v>ZEISS</x:v>
      </x:c>
      <x:c r="E2452" s="24" t="str">
        <x:v>Progressiva</x:v>
      </x:c>
      <x:c r="F2452" s="24" t="str">
        <x:v>Surfaçada</x:v>
      </x:c>
      <x:c r="G2452" s="24" t="str">
        <x:v>SmartLife Plus</x:v>
      </x:c>
      <x:c r="H2452" s="24" t="str">
        <x:v>Polarizada</x:v>
      </x:c>
      <x:c r="I2452" s="24" t="str">
        <x:v>1.6</x:v>
      </x:c>
      <x:c r="J2452" s="24" t="str">
        <x:v>1.60</x:v>
      </x:c>
      <x:c r="K2452" s="24" t="str">
        <x:v>DuraVision Chrome UV</x:v>
      </x:c>
      <x:c r="L2452" s="40" t="n">
        <x:v>7480</x:v>
      </x:c>
      <x:c r="M2452" s="24" t="str">
        <x:v>-8.50 a +6.00</x:v>
      </x:c>
      <x:c r="N2452" s="24" t="str">
        <x:v>-4.00</x:v>
      </x:c>
      <x:c r="O2452" s="24" t="str">
        <x:v>0.75 a 3.50</x:v>
      </x:c>
      <x:c r="P2452" s="24" t="str">
        <x:v>70</x:v>
      </x:c>
      <x:c r="Q2452" s="24"/>
      <x:c r="R2452" s="24"/>
      <x:c r="S2452" s="26" t="n">
        <x:v>46113</x:v>
      </x:c>
      <x:c r="T2452" s="26"/>
      <x:c r="U2452" s="24" t="str">
        <x:v>ATIVA/SEM FIM INFORMADO</x:v>
      </x:c>
      <x:c r="V2452" s="24"/>
      <x:c r="W2452" s="24" t="n">
        <x:v>39</x:v>
      </x:c>
      <x:c r="X2452" s="24" t="str">
        <x:v>tabela_zeiss.pdf</x:v>
      </x:c>
      <x:c r="Y2452" s="24" t="str">
        <x:v>alta</x:v>
      </x:c>
      <x:c r="Z2452" s="24"/>
      <x:c r="AA2452" s="24" t="str">
        <x:v>ZEISS|Progressiva|Surfaçada|SmartLife Plus|Polarizada|1.6|1.60|DuraVision Chrome UV|-8.50 a +6.00|-4.00|0.75 a 3.50|70|||39</x:v>
      </x:c>
    </x:row>
    <x:row r="2453">
      <x:c r="A2453" s="24" t="str">
        <x:v>ZS-92D89DAD2972</x:v>
      </x:c>
      <x:c r="B2453" s="24" t="str">
        <x:v>SIM</x:v>
      </x:c>
      <x:c r="C2453" s="24" t="str">
        <x:v>DISPONÍVEL</x:v>
      </x:c>
      <x:c r="D2453" s="24" t="str">
        <x:v>ZEISS</x:v>
      </x:c>
      <x:c r="E2453" s="24" t="str">
        <x:v>Progressiva</x:v>
      </x:c>
      <x:c r="F2453" s="24" t="str">
        <x:v>Surfaçada</x:v>
      </x:c>
      <x:c r="G2453" s="24" t="str">
        <x:v>SmartLife Plus</x:v>
      </x:c>
      <x:c r="H2453" s="24" t="str">
        <x:v>Polarizada</x:v>
      </x:c>
      <x:c r="I2453" s="24" t="str">
        <x:v>1.6</x:v>
      </x:c>
      <x:c r="J2453" s="24" t="str">
        <x:v>1.60</x:v>
      </x:c>
      <x:c r="K2453" s="24" t="str">
        <x:v>Sem AR</x:v>
      </x:c>
      <x:c r="L2453" s="40" t="n">
        <x:v>7080</x:v>
      </x:c>
      <x:c r="M2453" s="24" t="str">
        <x:v>-8.50 a +6.00</x:v>
      </x:c>
      <x:c r="N2453" s="24" t="str">
        <x:v>-4.00</x:v>
      </x:c>
      <x:c r="O2453" s="24" t="str">
        <x:v>0.75 a 3.50</x:v>
      </x:c>
      <x:c r="P2453" s="24" t="str">
        <x:v>70</x:v>
      </x:c>
      <x:c r="Q2453" s="24"/>
      <x:c r="R2453" s="24"/>
      <x:c r="S2453" s="26" t="n">
        <x:v>46113</x:v>
      </x:c>
      <x:c r="T2453" s="26"/>
      <x:c r="U2453" s="24" t="str">
        <x:v>ATIVA/SEM FIM INFORMADO</x:v>
      </x:c>
      <x:c r="V2453" s="24"/>
      <x:c r="W2453" s="24" t="n">
        <x:v>39</x:v>
      </x:c>
      <x:c r="X2453" s="24" t="str">
        <x:v>tabela_zeiss.pdf</x:v>
      </x:c>
      <x:c r="Y2453" s="24" t="str">
        <x:v>alta</x:v>
      </x:c>
      <x:c r="Z2453" s="24"/>
      <x:c r="AA2453" s="24" t="str">
        <x:v>ZEISS|Progressiva|Surfaçada|SmartLife Plus|Polarizada|1.6|1.60|Sem AR|-8.50 a +6.00|-4.00|0.75 a 3.50|70|||39</x:v>
      </x:c>
    </x:row>
    <x:row r="2454">
      <x:c r="A2454" s="24" t="str">
        <x:v>ZS-E0DB2B5F466D</x:v>
      </x:c>
      <x:c r="B2454" s="24" t="str">
        <x:v>SIM</x:v>
      </x:c>
      <x:c r="C2454" s="24" t="str">
        <x:v>DISPONÍVEL</x:v>
      </x:c>
      <x:c r="D2454" s="24" t="str">
        <x:v>ZEISS</x:v>
      </x:c>
      <x:c r="E2454" s="24" t="str">
        <x:v>Progressiva</x:v>
      </x:c>
      <x:c r="F2454" s="24" t="str">
        <x:v>Surfaçada</x:v>
      </x:c>
      <x:c r="G2454" s="24" t="str">
        <x:v>SmartLife Pure</x:v>
      </x:c>
      <x:c r="H2454" s="24"/>
      <x:c r="I2454" s="24" t="str">
        <x:v>1.5</x:v>
      </x:c>
      <x:c r="J2454" s="24" t="str">
        <x:v>1.50</x:v>
      </x:c>
      <x:c r="K2454" s="24" t="str">
        <x:v>DuraVision Gold UV</x:v>
      </x:c>
      <x:c r="L2454" s="40" t="n">
        <x:v>5380</x:v>
      </x:c>
      <x:c r="M2454" s="24" t="str">
        <x:v>-6.00 a +4.00</x:v>
      </x:c>
      <x:c r="N2454" s="24" t="str">
        <x:v>-4.00</x:v>
      </x:c>
      <x:c r="O2454" s="24" t="str">
        <x:v>0.75 a 3.50</x:v>
      </x:c>
      <x:c r="P2454" s="24" t="str">
        <x:v>75</x:v>
      </x:c>
      <x:c r="Q2454" s="24"/>
      <x:c r="R2454" s="24"/>
      <x:c r="S2454" s="26" t="n">
        <x:v>46113</x:v>
      </x:c>
      <x:c r="T2454" s="26"/>
      <x:c r="U2454" s="24" t="str">
        <x:v>ATIVA/SEM FIM INFORMADO</x:v>
      </x:c>
      <x:c r="V2454" s="24"/>
      <x:c r="W2454" s="24" t="n">
        <x:v>40</x:v>
      </x:c>
      <x:c r="X2454" s="24" t="str">
        <x:v>tabela_zeiss.pdf</x:v>
      </x:c>
      <x:c r="Y2454" s="24" t="str">
        <x:v>alta</x:v>
      </x:c>
      <x:c r="Z2454" s="24"/>
      <x:c r="AA2454" s="24" t="str">
        <x:v>ZEISS|Progressiva|Surfaçada|SmartLife Pure||1.5|1.50|DuraVision Gold UV|-6.00 a +4.00|-4.00|0.75 a 3.50|75|||40</x:v>
      </x:c>
    </x:row>
    <x:row r="2455">
      <x:c r="A2455" s="24" t="str">
        <x:v>ZS-0F1B0A37F09A</x:v>
      </x:c>
      <x:c r="B2455" s="24" t="str">
        <x:v>SIM</x:v>
      </x:c>
      <x:c r="C2455" s="24" t="str">
        <x:v>DISPONÍVEL</x:v>
      </x:c>
      <x:c r="D2455" s="24" t="str">
        <x:v>ZEISS</x:v>
      </x:c>
      <x:c r="E2455" s="24" t="str">
        <x:v>Progressiva</x:v>
      </x:c>
      <x:c r="F2455" s="24" t="str">
        <x:v>Surfaçada</x:v>
      </x:c>
      <x:c r="G2455" s="24" t="str">
        <x:v>SmartLife Pure</x:v>
      </x:c>
      <x:c r="H2455" s="24"/>
      <x:c r="I2455" s="24" t="str">
        <x:v>1.5</x:v>
      </x:c>
      <x:c r="J2455" s="24" t="str">
        <x:v>1.50</x:v>
      </x:c>
      <x:c r="K2455" s="24" t="str">
        <x:v>DURAVISION® ANTIVÍRUS PLATINUM UV</x:v>
      </x:c>
      <x:c r="L2455" s="40" t="n">
        <x:v>5240</x:v>
      </x:c>
      <x:c r="M2455" s="24" t="str">
        <x:v>-6.00 a +4.00</x:v>
      </x:c>
      <x:c r="N2455" s="24" t="str">
        <x:v>-4.00</x:v>
      </x:c>
      <x:c r="O2455" s="24" t="str">
        <x:v>0.75 a 3.50</x:v>
      </x:c>
      <x:c r="P2455" s="24" t="str">
        <x:v>75</x:v>
      </x:c>
      <x:c r="Q2455" s="24"/>
      <x:c r="R2455" s="24"/>
      <x:c r="S2455" s="26" t="n">
        <x:v>46113</x:v>
      </x:c>
      <x:c r="T2455" s="26"/>
      <x:c r="U2455" s="24" t="str">
        <x:v>ATIVA/SEM FIM INFORMADO</x:v>
      </x:c>
      <x:c r="V2455" s="24"/>
      <x:c r="W2455" s="24" t="n">
        <x:v>40</x:v>
      </x:c>
      <x:c r="X2455" s="24" t="str">
        <x:v>tabela_zeiss.pdf</x:v>
      </x:c>
      <x:c r="Y2455" s="24" t="str">
        <x:v>alta</x:v>
      </x:c>
      <x:c r="Z2455" s="24"/>
      <x:c r="AA2455" s="24" t="str">
        <x:v>ZEISS|Progressiva|Surfaçada|SmartLife Pure||1.5|1.50|DURAVISION® ANTIVÍRUS PLATINUM UV|-6.00 a +4.00|-4.00|0.75 a 3.50|75|||40</x:v>
      </x:c>
    </x:row>
    <x:row r="2456">
      <x:c r="A2456" s="24" t="str">
        <x:v>ZS-B80FED3BB446</x:v>
      </x:c>
      <x:c r="B2456" s="24" t="str">
        <x:v>SIM</x:v>
      </x:c>
      <x:c r="C2456" s="24" t="str">
        <x:v>DISPONÍVEL</x:v>
      </x:c>
      <x:c r="D2456" s="24" t="str">
        <x:v>ZEISS</x:v>
      </x:c>
      <x:c r="E2456" s="24" t="str">
        <x:v>Progressiva</x:v>
      </x:c>
      <x:c r="F2456" s="24" t="str">
        <x:v>Surfaçada</x:v>
      </x:c>
      <x:c r="G2456" s="24" t="str">
        <x:v>SmartLife Pure</x:v>
      </x:c>
      <x:c r="H2456" s="24"/>
      <x:c r="I2456" s="24" t="str">
        <x:v>1.5</x:v>
      </x:c>
      <x:c r="J2456" s="24" t="str">
        <x:v>1.50</x:v>
      </x:c>
      <x:c r="K2456" s="24" t="str">
        <x:v>DuraVision Platinum UV</x:v>
      </x:c>
      <x:c r="L2456" s="40" t="n">
        <x:v>5240</x:v>
      </x:c>
      <x:c r="M2456" s="24" t="str">
        <x:v>-6.00 a +4.00</x:v>
      </x:c>
      <x:c r="N2456" s="24" t="str">
        <x:v>-4.00</x:v>
      </x:c>
      <x:c r="O2456" s="24" t="str">
        <x:v>0.75 a 3.50</x:v>
      </x:c>
      <x:c r="P2456" s="24" t="str">
        <x:v>75</x:v>
      </x:c>
      <x:c r="Q2456" s="24"/>
      <x:c r="R2456" s="24"/>
      <x:c r="S2456" s="26" t="n">
        <x:v>46113</x:v>
      </x:c>
      <x:c r="T2456" s="26"/>
      <x:c r="U2456" s="24" t="str">
        <x:v>ATIVA/SEM FIM INFORMADO</x:v>
      </x:c>
      <x:c r="V2456" s="24"/>
      <x:c r="W2456" s="24" t="n">
        <x:v>40</x:v>
      </x:c>
      <x:c r="X2456" s="24" t="str">
        <x:v>tabela_zeiss.pdf</x:v>
      </x:c>
      <x:c r="Y2456" s="24" t="str">
        <x:v>alta</x:v>
      </x:c>
      <x:c r="Z2456" s="24"/>
      <x:c r="AA2456" s="24" t="str">
        <x:v>ZEISS|Progressiva|Surfaçada|SmartLife Pure||1.5|1.50|DuraVision Platinum UV|-6.00 a +4.00|-4.00|0.75 a 3.50|75|||40</x:v>
      </x:c>
    </x:row>
    <x:row r="2457">
      <x:c r="A2457" s="24" t="str">
        <x:v>ZS-85B406219D0B</x:v>
      </x:c>
      <x:c r="B2457" s="24" t="str">
        <x:v>SIM</x:v>
      </x:c>
      <x:c r="C2457" s="24" t="str">
        <x:v>DISPONÍVEL</x:v>
      </x:c>
      <x:c r="D2457" s="24" t="str">
        <x:v>ZEISS</x:v>
      </x:c>
      <x:c r="E2457" s="24" t="str">
        <x:v>Progressiva</x:v>
      </x:c>
      <x:c r="F2457" s="24" t="str">
        <x:v>Surfaçada</x:v>
      </x:c>
      <x:c r="G2457" s="24" t="str">
        <x:v>SmartLife Pure</x:v>
      </x:c>
      <x:c r="H2457" s="24"/>
      <x:c r="I2457" s="24" t="str">
        <x:v>1.5</x:v>
      </x:c>
      <x:c r="J2457" s="24" t="str">
        <x:v>1.50</x:v>
      </x:c>
      <x:c r="K2457" s="24" t="str">
        <x:v>DuraVision Silver UV</x:v>
      </x:c>
      <x:c r="L2457" s="40" t="n">
        <x:v>4980</x:v>
      </x:c>
      <x:c r="M2457" s="24" t="str">
        <x:v>-6.00 a +4.00</x:v>
      </x:c>
      <x:c r="N2457" s="24" t="str">
        <x:v>-4.00</x:v>
      </x:c>
      <x:c r="O2457" s="24" t="str">
        <x:v>0.75 a 3.50</x:v>
      </x:c>
      <x:c r="P2457" s="24" t="str">
        <x:v>75</x:v>
      </x:c>
      <x:c r="Q2457" s="24"/>
      <x:c r="R2457" s="24"/>
      <x:c r="S2457" s="26" t="n">
        <x:v>46113</x:v>
      </x:c>
      <x:c r="T2457" s="26"/>
      <x:c r="U2457" s="24" t="str">
        <x:v>ATIVA/SEM FIM INFORMADO</x:v>
      </x:c>
      <x:c r="V2457" s="24"/>
      <x:c r="W2457" s="24" t="n">
        <x:v>40</x:v>
      </x:c>
      <x:c r="X2457" s="24" t="str">
        <x:v>tabela_zeiss.pdf</x:v>
      </x:c>
      <x:c r="Y2457" s="24" t="str">
        <x:v>alta</x:v>
      </x:c>
      <x:c r="Z2457" s="24"/>
      <x:c r="AA2457" s="24" t="str">
        <x:v>ZEISS|Progressiva|Surfaçada|SmartLife Pure||1.5|1.50|DuraVision Silver UV|-6.00 a +4.00|-4.00|0.75 a 3.50|75|||40</x:v>
      </x:c>
    </x:row>
    <x:row r="2458">
      <x:c r="A2458" s="24" t="str">
        <x:v>ZS-517F1A1C86F8</x:v>
      </x:c>
      <x:c r="B2458" s="24" t="str">
        <x:v>SIM</x:v>
      </x:c>
      <x:c r="C2458" s="24" t="str">
        <x:v>DISPONÍVEL</x:v>
      </x:c>
      <x:c r="D2458" s="24" t="str">
        <x:v>ZEISS</x:v>
      </x:c>
      <x:c r="E2458" s="24" t="str">
        <x:v>Progressiva</x:v>
      </x:c>
      <x:c r="F2458" s="24" t="str">
        <x:v>Surfaçada</x:v>
      </x:c>
      <x:c r="G2458" s="24" t="str">
        <x:v>SmartLife Pure</x:v>
      </x:c>
      <x:c r="H2458" s="24"/>
      <x:c r="I2458" s="24" t="str">
        <x:v>1.5</x:v>
      </x:c>
      <x:c r="J2458" s="24" t="str">
        <x:v>1.50</x:v>
      </x:c>
      <x:c r="K2458" s="24" t="str">
        <x:v>DuraVision Chrome UV</x:v>
      </x:c>
      <x:c r="L2458" s="40" t="n">
        <x:v>4490</x:v>
      </x:c>
      <x:c r="M2458" s="24" t="str">
        <x:v>-6.00 a +4.00</x:v>
      </x:c>
      <x:c r="N2458" s="24" t="str">
        <x:v>-4.00</x:v>
      </x:c>
      <x:c r="O2458" s="24" t="str">
        <x:v>0.75 a 3.50</x:v>
      </x:c>
      <x:c r="P2458" s="24" t="str">
        <x:v>75</x:v>
      </x:c>
      <x:c r="Q2458" s="24"/>
      <x:c r="R2458" s="24"/>
      <x:c r="S2458" s="26" t="n">
        <x:v>46113</x:v>
      </x:c>
      <x:c r="T2458" s="26"/>
      <x:c r="U2458" s="24" t="str">
        <x:v>ATIVA/SEM FIM INFORMADO</x:v>
      </x:c>
      <x:c r="V2458" s="24"/>
      <x:c r="W2458" s="24" t="n">
        <x:v>40</x:v>
      </x:c>
      <x:c r="X2458" s="24" t="str">
        <x:v>tabela_zeiss.pdf</x:v>
      </x:c>
      <x:c r="Y2458" s="24" t="str">
        <x:v>alta</x:v>
      </x:c>
      <x:c r="Z2458" s="24"/>
      <x:c r="AA2458" s="24" t="str">
        <x:v>ZEISS|Progressiva|Surfaçada|SmartLife Pure||1.5|1.50|DuraVision Chrome UV|-6.00 a +4.00|-4.00|0.75 a 3.50|75|||40</x:v>
      </x:c>
    </x:row>
    <x:row r="2459">
      <x:c r="A2459" s="24" t="str">
        <x:v>ZS-FB3FC2939297</x:v>
      </x:c>
      <x:c r="B2459" s="24" t="str">
        <x:v>SIM</x:v>
      </x:c>
      <x:c r="C2459" s="24" t="str">
        <x:v>DISPONÍVEL</x:v>
      </x:c>
      <x:c r="D2459" s="24" t="str">
        <x:v>ZEISS</x:v>
      </x:c>
      <x:c r="E2459" s="24" t="str">
        <x:v>Progressiva</x:v>
      </x:c>
      <x:c r="F2459" s="24" t="str">
        <x:v>Surfaçada</x:v>
      </x:c>
      <x:c r="G2459" s="24" t="str">
        <x:v>SmartLife Pure</x:v>
      </x:c>
      <x:c r="H2459" s="24"/>
      <x:c r="I2459" s="24" t="str">
        <x:v>Poli</x:v>
      </x:c>
      <x:c r="J2459" s="24"/>
      <x:c r="K2459" s="24" t="str">
        <x:v>DuraVision Gold UV</x:v>
      </x:c>
      <x:c r="L2459" s="40" t="n">
        <x:v>5970</x:v>
      </x:c>
      <x:c r="M2459" s="24" t="str">
        <x:v>-10.00 a +6.00</x:v>
      </x:c>
      <x:c r="N2459" s="24" t="str">
        <x:v>-6.00</x:v>
      </x:c>
      <x:c r="O2459" s="24" t="str">
        <x:v>0.75 a 3.00</x:v>
      </x:c>
      <x:c r="P2459" s="24" t="str">
        <x:v>70</x:v>
      </x:c>
      <x:c r="Q2459" s="24"/>
      <x:c r="R2459" s="24"/>
      <x:c r="S2459" s="26" t="n">
        <x:v>46113</x:v>
      </x:c>
      <x:c r="T2459" s="26"/>
      <x:c r="U2459" s="24" t="str">
        <x:v>ATIVA/SEM FIM INFORMADO</x:v>
      </x:c>
      <x:c r="V2459" s="24"/>
      <x:c r="W2459" s="24" t="n">
        <x:v>40</x:v>
      </x:c>
      <x:c r="X2459" s="24" t="str">
        <x:v>tabela_zeiss.pdf</x:v>
      </x:c>
      <x:c r="Y2459" s="24" t="str">
        <x:v>alta</x:v>
      </x:c>
      <x:c r="Z2459" s="24"/>
      <x:c r="AA2459" s="24" t="str">
        <x:v>ZEISS|Progressiva|Surfaçada|SmartLife Pure||Poli||DuraVision Gold UV|-10.00 a +6.00|-6.00|0.75 a 3.00|70|||40</x:v>
      </x:c>
    </x:row>
    <x:row r="2460">
      <x:c r="A2460" s="24" t="str">
        <x:v>ZS-D617D69B718A</x:v>
      </x:c>
      <x:c r="B2460" s="24" t="str">
        <x:v>SIM</x:v>
      </x:c>
      <x:c r="C2460" s="24" t="str">
        <x:v>DISPONÍVEL</x:v>
      </x:c>
      <x:c r="D2460" s="24" t="str">
        <x:v>ZEISS</x:v>
      </x:c>
      <x:c r="E2460" s="24" t="str">
        <x:v>Progressiva</x:v>
      </x:c>
      <x:c r="F2460" s="24" t="str">
        <x:v>Surfaçada</x:v>
      </x:c>
      <x:c r="G2460" s="24" t="str">
        <x:v>SmartLife Pure</x:v>
      </x:c>
      <x:c r="H2460" s="24"/>
      <x:c r="I2460" s="24" t="str">
        <x:v>Poli</x:v>
      </x:c>
      <x:c r="J2460" s="24"/>
      <x:c r="K2460" s="24" t="str">
        <x:v>DuraVision Platinum UV</x:v>
      </x:c>
      <x:c r="L2460" s="40" t="n">
        <x:v>5830</x:v>
      </x:c>
      <x:c r="M2460" s="24" t="str">
        <x:v>-10.00 a +6.00</x:v>
      </x:c>
      <x:c r="N2460" s="24" t="str">
        <x:v>-6.00</x:v>
      </x:c>
      <x:c r="O2460" s="24" t="str">
        <x:v>0.75 a 3.00</x:v>
      </x:c>
      <x:c r="P2460" s="24" t="str">
        <x:v>70</x:v>
      </x:c>
      <x:c r="Q2460" s="24"/>
      <x:c r="R2460" s="24"/>
      <x:c r="S2460" s="26" t="n">
        <x:v>46113</x:v>
      </x:c>
      <x:c r="T2460" s="26"/>
      <x:c r="U2460" s="24" t="str">
        <x:v>ATIVA/SEM FIM INFORMADO</x:v>
      </x:c>
      <x:c r="V2460" s="24"/>
      <x:c r="W2460" s="24" t="n">
        <x:v>40</x:v>
      </x:c>
      <x:c r="X2460" s="24" t="str">
        <x:v>tabela_zeiss.pdf</x:v>
      </x:c>
      <x:c r="Y2460" s="24" t="str">
        <x:v>alta</x:v>
      </x:c>
      <x:c r="Z2460" s="24"/>
      <x:c r="AA2460" s="24" t="str">
        <x:v>ZEISS|Progressiva|Surfaçada|SmartLife Pure||Poli||DuraVision Platinum UV|-10.00 a +6.00|-6.00|0.75 a 3.00|70|||40</x:v>
      </x:c>
    </x:row>
    <x:row r="2461">
      <x:c r="A2461" s="24" t="str">
        <x:v>ZS-2D63E6A5118F</x:v>
      </x:c>
      <x:c r="B2461" s="24" t="str">
        <x:v>SIM</x:v>
      </x:c>
      <x:c r="C2461" s="24" t="str">
        <x:v>DISPONÍVEL</x:v>
      </x:c>
      <x:c r="D2461" s="24" t="str">
        <x:v>ZEISS</x:v>
      </x:c>
      <x:c r="E2461" s="24" t="str">
        <x:v>Progressiva</x:v>
      </x:c>
      <x:c r="F2461" s="24" t="str">
        <x:v>Surfaçada</x:v>
      </x:c>
      <x:c r="G2461" s="24" t="str">
        <x:v>SmartLife Pure</x:v>
      </x:c>
      <x:c r="H2461" s="24"/>
      <x:c r="I2461" s="24" t="str">
        <x:v>Poli</x:v>
      </x:c>
      <x:c r="J2461" s="24"/>
      <x:c r="K2461" s="24" t="str">
        <x:v>DuraVision Silver UV</x:v>
      </x:c>
      <x:c r="L2461" s="40" t="n">
        <x:v>5570</x:v>
      </x:c>
      <x:c r="M2461" s="24" t="str">
        <x:v>-10.00 a +6.00</x:v>
      </x:c>
      <x:c r="N2461" s="24" t="str">
        <x:v>-6.00</x:v>
      </x:c>
      <x:c r="O2461" s="24" t="str">
        <x:v>0.75 a 3.00</x:v>
      </x:c>
      <x:c r="P2461" s="24" t="str">
        <x:v>70</x:v>
      </x:c>
      <x:c r="Q2461" s="24"/>
      <x:c r="R2461" s="24"/>
      <x:c r="S2461" s="26" t="n">
        <x:v>46113</x:v>
      </x:c>
      <x:c r="T2461" s="26"/>
      <x:c r="U2461" s="24" t="str">
        <x:v>ATIVA/SEM FIM INFORMADO</x:v>
      </x:c>
      <x:c r="V2461" s="24"/>
      <x:c r="W2461" s="24" t="n">
        <x:v>40</x:v>
      </x:c>
      <x:c r="X2461" s="24" t="str">
        <x:v>tabela_zeiss.pdf</x:v>
      </x:c>
      <x:c r="Y2461" s="24" t="str">
        <x:v>alta</x:v>
      </x:c>
      <x:c r="Z2461" s="24"/>
      <x:c r="AA2461" s="24" t="str">
        <x:v>ZEISS|Progressiva|Surfaçada|SmartLife Pure||Poli||DuraVision Silver UV|-10.00 a +6.00|-6.00|0.75 a 3.00|70|||40</x:v>
      </x:c>
    </x:row>
    <x:row r="2462">
      <x:c r="A2462" s="24" t="str">
        <x:v>ZS-119147916F93</x:v>
      </x:c>
      <x:c r="B2462" s="24" t="str">
        <x:v>SIM</x:v>
      </x:c>
      <x:c r="C2462" s="24" t="str">
        <x:v>DISPONÍVEL</x:v>
      </x:c>
      <x:c r="D2462" s="24" t="str">
        <x:v>ZEISS</x:v>
      </x:c>
      <x:c r="E2462" s="24" t="str">
        <x:v>Progressiva</x:v>
      </x:c>
      <x:c r="F2462" s="24" t="str">
        <x:v>Surfaçada</x:v>
      </x:c>
      <x:c r="G2462" s="24" t="str">
        <x:v>SmartLife Pure</x:v>
      </x:c>
      <x:c r="H2462" s="24"/>
      <x:c r="I2462" s="24" t="str">
        <x:v>Poli</x:v>
      </x:c>
      <x:c r="J2462" s="24"/>
      <x:c r="K2462" s="24" t="str">
        <x:v>DuraVision Chrome UV</x:v>
      </x:c>
      <x:c r="L2462" s="40" t="n">
        <x:v>5080</x:v>
      </x:c>
      <x:c r="M2462" s="24" t="str">
        <x:v>-10.00 a +6.00</x:v>
      </x:c>
      <x:c r="N2462" s="24" t="str">
        <x:v>-6.00</x:v>
      </x:c>
      <x:c r="O2462" s="24" t="str">
        <x:v>0.75 a 3.00</x:v>
      </x:c>
      <x:c r="P2462" s="24" t="str">
        <x:v>70</x:v>
      </x:c>
      <x:c r="Q2462" s="24"/>
      <x:c r="R2462" s="24"/>
      <x:c r="S2462" s="26" t="n">
        <x:v>46113</x:v>
      </x:c>
      <x:c r="T2462" s="26"/>
      <x:c r="U2462" s="24" t="str">
        <x:v>ATIVA/SEM FIM INFORMADO</x:v>
      </x:c>
      <x:c r="V2462" s="24"/>
      <x:c r="W2462" s="24" t="n">
        <x:v>40</x:v>
      </x:c>
      <x:c r="X2462" s="24" t="str">
        <x:v>tabela_zeiss.pdf</x:v>
      </x:c>
      <x:c r="Y2462" s="24" t="str">
        <x:v>alta</x:v>
      </x:c>
      <x:c r="Z2462" s="24"/>
      <x:c r="AA2462" s="24" t="str">
        <x:v>ZEISS|Progressiva|Surfaçada|SmartLife Pure||Poli||DuraVision Chrome UV|-10.00 a +6.00|-6.00|0.75 a 3.00|70|||40</x:v>
      </x:c>
    </x:row>
    <x:row r="2463">
      <x:c r="A2463" s="24" t="str">
        <x:v>ZS-65A7BD20DDC4</x:v>
      </x:c>
      <x:c r="B2463" s="24" t="str">
        <x:v>SIM</x:v>
      </x:c>
      <x:c r="C2463" s="24" t="str">
        <x:v>DISPONÍVEL</x:v>
      </x:c>
      <x:c r="D2463" s="24" t="str">
        <x:v>ZEISS</x:v>
      </x:c>
      <x:c r="E2463" s="24" t="str">
        <x:v>Progressiva</x:v>
      </x:c>
      <x:c r="F2463" s="24" t="str">
        <x:v>Surfaçada</x:v>
      </x:c>
      <x:c r="G2463" s="24" t="str">
        <x:v>SmartLife Pure</x:v>
      </x:c>
      <x:c r="H2463" s="24"/>
      <x:c r="I2463" s="24" t="str">
        <x:v>1.6</x:v>
      </x:c>
      <x:c r="J2463" s="24" t="str">
        <x:v>1.60</x:v>
      </x:c>
      <x:c r="K2463" s="24" t="str">
        <x:v>DuraVision Gold UV</x:v>
      </x:c>
      <x:c r="L2463" s="40" t="n">
        <x:v>6630</x:v>
      </x:c>
      <x:c r="M2463" s="24" t="str">
        <x:v>-7.25 a +6.00</x:v>
      </x:c>
      <x:c r="N2463" s="24" t="str">
        <x:v>-6.00</x:v>
      </x:c>
      <x:c r="O2463" s="24" t="str">
        <x:v>0.75 a 3.50</x:v>
      </x:c>
      <x:c r="P2463" s="24" t="str">
        <x:v>75</x:v>
      </x:c>
      <x:c r="Q2463" s="24"/>
      <x:c r="R2463" s="24"/>
      <x:c r="S2463" s="26" t="n">
        <x:v>46113</x:v>
      </x:c>
      <x:c r="T2463" s="26"/>
      <x:c r="U2463" s="24" t="str">
        <x:v>ATIVA/SEM FIM INFORMADO</x:v>
      </x:c>
      <x:c r="V2463" s="24"/>
      <x:c r="W2463" s="24" t="n">
        <x:v>40</x:v>
      </x:c>
      <x:c r="X2463" s="24" t="str">
        <x:v>tabela_zeiss.pdf</x:v>
      </x:c>
      <x:c r="Y2463" s="24" t="str">
        <x:v>alta</x:v>
      </x:c>
      <x:c r="Z2463" s="24"/>
      <x:c r="AA2463" s="24" t="str">
        <x:v>ZEISS|Progressiva|Surfaçada|SmartLife Pure||1.6|1.60|DuraVision Gold UV|-7.25 a +6.00|-6.00|0.75 a 3.50|75|||40</x:v>
      </x:c>
    </x:row>
    <x:row r="2464">
      <x:c r="A2464" s="24" t="str">
        <x:v>ZS-14FF875DB6A6</x:v>
      </x:c>
      <x:c r="B2464" s="24" t="str">
        <x:v>SIM</x:v>
      </x:c>
      <x:c r="C2464" s="24" t="str">
        <x:v>DISPONÍVEL</x:v>
      </x:c>
      <x:c r="D2464" s="24" t="str">
        <x:v>ZEISS</x:v>
      </x:c>
      <x:c r="E2464" s="24" t="str">
        <x:v>Progressiva</x:v>
      </x:c>
      <x:c r="F2464" s="24" t="str">
        <x:v>Surfaçada</x:v>
      </x:c>
      <x:c r="G2464" s="24" t="str">
        <x:v>SmartLife Pure</x:v>
      </x:c>
      <x:c r="H2464" s="24"/>
      <x:c r="I2464" s="24" t="str">
        <x:v>1.6</x:v>
      </x:c>
      <x:c r="J2464" s="24" t="str">
        <x:v>1.60</x:v>
      </x:c>
      <x:c r="K2464" s="24" t="str">
        <x:v>DURAVISION® ANTIVÍRUS PLATINUM UV</x:v>
      </x:c>
      <x:c r="L2464" s="40" t="n">
        <x:v>6490</x:v>
      </x:c>
      <x:c r="M2464" s="24" t="str">
        <x:v>-7.25 a +6.00</x:v>
      </x:c>
      <x:c r="N2464" s="24" t="str">
        <x:v>-6.00</x:v>
      </x:c>
      <x:c r="O2464" s="24" t="str">
        <x:v>0.75 a 3.50</x:v>
      </x:c>
      <x:c r="P2464" s="24" t="str">
        <x:v>75</x:v>
      </x:c>
      <x:c r="Q2464" s="24"/>
      <x:c r="R2464" s="24"/>
      <x:c r="S2464" s="26" t="n">
        <x:v>46113</x:v>
      </x:c>
      <x:c r="T2464" s="26"/>
      <x:c r="U2464" s="24" t="str">
        <x:v>ATIVA/SEM FIM INFORMADO</x:v>
      </x:c>
      <x:c r="V2464" s="24"/>
      <x:c r="W2464" s="24" t="n">
        <x:v>40</x:v>
      </x:c>
      <x:c r="X2464" s="24" t="str">
        <x:v>tabela_zeiss.pdf</x:v>
      </x:c>
      <x:c r="Y2464" s="24" t="str">
        <x:v>alta</x:v>
      </x:c>
      <x:c r="Z2464" s="24"/>
      <x:c r="AA2464" s="24" t="str">
        <x:v>ZEISS|Progressiva|Surfaçada|SmartLife Pure||1.6|1.60|DURAVISION® ANTIVÍRUS PLATINUM UV|-7.25 a +6.00|-6.00|0.75 a 3.50|75|||40</x:v>
      </x:c>
    </x:row>
    <x:row r="2465">
      <x:c r="A2465" s="24" t="str">
        <x:v>ZS-8A3A50766147</x:v>
      </x:c>
      <x:c r="B2465" s="24" t="str">
        <x:v>SIM</x:v>
      </x:c>
      <x:c r="C2465" s="24" t="str">
        <x:v>DISPONÍVEL</x:v>
      </x:c>
      <x:c r="D2465" s="24" t="str">
        <x:v>ZEISS</x:v>
      </x:c>
      <x:c r="E2465" s="24" t="str">
        <x:v>Progressiva</x:v>
      </x:c>
      <x:c r="F2465" s="24" t="str">
        <x:v>Surfaçada</x:v>
      </x:c>
      <x:c r="G2465" s="24" t="str">
        <x:v>SmartLife Pure</x:v>
      </x:c>
      <x:c r="H2465" s="24"/>
      <x:c r="I2465" s="24" t="str">
        <x:v>1.6</x:v>
      </x:c>
      <x:c r="J2465" s="24" t="str">
        <x:v>1.60</x:v>
      </x:c>
      <x:c r="K2465" s="24" t="str">
        <x:v>DuraVision Platinum UV</x:v>
      </x:c>
      <x:c r="L2465" s="40" t="n">
        <x:v>6490</x:v>
      </x:c>
      <x:c r="M2465" s="24" t="str">
        <x:v>-7.25 a +6.00</x:v>
      </x:c>
      <x:c r="N2465" s="24" t="str">
        <x:v>-6.00</x:v>
      </x:c>
      <x:c r="O2465" s="24" t="str">
        <x:v>0.75 a 3.50</x:v>
      </x:c>
      <x:c r="P2465" s="24" t="str">
        <x:v>75</x:v>
      </x:c>
      <x:c r="Q2465" s="24"/>
      <x:c r="R2465" s="24"/>
      <x:c r="S2465" s="26" t="n">
        <x:v>46113</x:v>
      </x:c>
      <x:c r="T2465" s="26"/>
      <x:c r="U2465" s="24" t="str">
        <x:v>ATIVA/SEM FIM INFORMADO</x:v>
      </x:c>
      <x:c r="V2465" s="24"/>
      <x:c r="W2465" s="24" t="n">
        <x:v>40</x:v>
      </x:c>
      <x:c r="X2465" s="24" t="str">
        <x:v>tabela_zeiss.pdf</x:v>
      </x:c>
      <x:c r="Y2465" s="24" t="str">
        <x:v>alta</x:v>
      </x:c>
      <x:c r="Z2465" s="24"/>
      <x:c r="AA2465" s="24" t="str">
        <x:v>ZEISS|Progressiva|Surfaçada|SmartLife Pure||1.6|1.60|DuraVision Platinum UV|-7.25 a +6.00|-6.00|0.75 a 3.50|75|||40</x:v>
      </x:c>
    </x:row>
    <x:row r="2466">
      <x:c r="A2466" s="24" t="str">
        <x:v>ZS-03BC170239B6</x:v>
      </x:c>
      <x:c r="B2466" s="24" t="str">
        <x:v>SIM</x:v>
      </x:c>
      <x:c r="C2466" s="24" t="str">
        <x:v>DISPONÍVEL</x:v>
      </x:c>
      <x:c r="D2466" s="24" t="str">
        <x:v>ZEISS</x:v>
      </x:c>
      <x:c r="E2466" s="24" t="str">
        <x:v>Progressiva</x:v>
      </x:c>
      <x:c r="F2466" s="24" t="str">
        <x:v>Surfaçada</x:v>
      </x:c>
      <x:c r="G2466" s="24" t="str">
        <x:v>SmartLife Pure</x:v>
      </x:c>
      <x:c r="H2466" s="24"/>
      <x:c r="I2466" s="24" t="str">
        <x:v>1.6</x:v>
      </x:c>
      <x:c r="J2466" s="24" t="str">
        <x:v>1.60</x:v>
      </x:c>
      <x:c r="K2466" s="24" t="str">
        <x:v>DuraVision Silver UV</x:v>
      </x:c>
      <x:c r="L2466" s="40" t="n">
        <x:v>6230</x:v>
      </x:c>
      <x:c r="M2466" s="24" t="str">
        <x:v>-7.25 a +6.00</x:v>
      </x:c>
      <x:c r="N2466" s="24" t="str">
        <x:v>-6.00</x:v>
      </x:c>
      <x:c r="O2466" s="24" t="str">
        <x:v>0.75 a 3.50</x:v>
      </x:c>
      <x:c r="P2466" s="24" t="str">
        <x:v>75</x:v>
      </x:c>
      <x:c r="Q2466" s="24"/>
      <x:c r="R2466" s="24"/>
      <x:c r="S2466" s="26" t="n">
        <x:v>46113</x:v>
      </x:c>
      <x:c r="T2466" s="26"/>
      <x:c r="U2466" s="24" t="str">
        <x:v>ATIVA/SEM FIM INFORMADO</x:v>
      </x:c>
      <x:c r="V2466" s="24"/>
      <x:c r="W2466" s="24" t="n">
        <x:v>40</x:v>
      </x:c>
      <x:c r="X2466" s="24" t="str">
        <x:v>tabela_zeiss.pdf</x:v>
      </x:c>
      <x:c r="Y2466" s="24" t="str">
        <x:v>alta</x:v>
      </x:c>
      <x:c r="Z2466" s="24"/>
      <x:c r="AA2466" s="24" t="str">
        <x:v>ZEISS|Progressiva|Surfaçada|SmartLife Pure||1.6|1.60|DuraVision Silver UV|-7.25 a +6.00|-6.00|0.75 a 3.50|75|||40</x:v>
      </x:c>
    </x:row>
    <x:row r="2467">
      <x:c r="A2467" s="24" t="str">
        <x:v>ZS-CF9C73505D1B</x:v>
      </x:c>
      <x:c r="B2467" s="24" t="str">
        <x:v>SIM</x:v>
      </x:c>
      <x:c r="C2467" s="24" t="str">
        <x:v>DISPONÍVEL</x:v>
      </x:c>
      <x:c r="D2467" s="24" t="str">
        <x:v>ZEISS</x:v>
      </x:c>
      <x:c r="E2467" s="24" t="str">
        <x:v>Progressiva</x:v>
      </x:c>
      <x:c r="F2467" s="24" t="str">
        <x:v>Surfaçada</x:v>
      </x:c>
      <x:c r="G2467" s="24" t="str">
        <x:v>SmartLife Pure</x:v>
      </x:c>
      <x:c r="H2467" s="24"/>
      <x:c r="I2467" s="24" t="str">
        <x:v>1.6</x:v>
      </x:c>
      <x:c r="J2467" s="24" t="str">
        <x:v>1.60</x:v>
      </x:c>
      <x:c r="K2467" s="24" t="str">
        <x:v>DuraVision Chrome UV</x:v>
      </x:c>
      <x:c r="L2467" s="40" t="n">
        <x:v>5740</x:v>
      </x:c>
      <x:c r="M2467" s="24" t="str">
        <x:v>-7.25 a +6.00</x:v>
      </x:c>
      <x:c r="N2467" s="24" t="str">
        <x:v>-6.00</x:v>
      </x:c>
      <x:c r="O2467" s="24" t="str">
        <x:v>0.75 a 3.50</x:v>
      </x:c>
      <x:c r="P2467" s="24" t="str">
        <x:v>75</x:v>
      </x:c>
      <x:c r="Q2467" s="24"/>
      <x:c r="R2467" s="24"/>
      <x:c r="S2467" s="26" t="n">
        <x:v>46113</x:v>
      </x:c>
      <x:c r="T2467" s="26"/>
      <x:c r="U2467" s="24" t="str">
        <x:v>ATIVA/SEM FIM INFORMADO</x:v>
      </x:c>
      <x:c r="V2467" s="24"/>
      <x:c r="W2467" s="24" t="n">
        <x:v>40</x:v>
      </x:c>
      <x:c r="X2467" s="24" t="str">
        <x:v>tabela_zeiss.pdf</x:v>
      </x:c>
      <x:c r="Y2467" s="24" t="str">
        <x:v>alta</x:v>
      </x:c>
      <x:c r="Z2467" s="24"/>
      <x:c r="AA2467" s="24" t="str">
        <x:v>ZEISS|Progressiva|Surfaçada|SmartLife Pure||1.6|1.60|DuraVision Chrome UV|-7.25 a +6.00|-6.00|0.75 a 3.50|75|||40</x:v>
      </x:c>
    </x:row>
    <x:row r="2468">
      <x:c r="A2468" s="24" t="str">
        <x:v>ZS-73AA9752CEE0</x:v>
      </x:c>
      <x:c r="B2468" s="24" t="str">
        <x:v>SIM</x:v>
      </x:c>
      <x:c r="C2468" s="24" t="str">
        <x:v>DISPONÍVEL</x:v>
      </x:c>
      <x:c r="D2468" s="24" t="str">
        <x:v>ZEISS</x:v>
      </x:c>
      <x:c r="E2468" s="24" t="str">
        <x:v>Progressiva</x:v>
      </x:c>
      <x:c r="F2468" s="24" t="str">
        <x:v>Surfaçada</x:v>
      </x:c>
      <x:c r="G2468" s="24" t="str">
        <x:v>SmartLife Pure</x:v>
      </x:c>
      <x:c r="H2468" s="24"/>
      <x:c r="I2468" s="24" t="str">
        <x:v>1.67</x:v>
      </x:c>
      <x:c r="J2468" s="24" t="str">
        <x:v>1.67</x:v>
      </x:c>
      <x:c r="K2468" s="24" t="str">
        <x:v>DuraVision Gold UV</x:v>
      </x:c>
      <x:c r="L2468" s="40" t="n">
        <x:v>8270</x:v>
      </x:c>
      <x:c r="M2468" s="24" t="str">
        <x:v>-8.00 a +8.00</x:v>
      </x:c>
      <x:c r="N2468" s="24" t="str">
        <x:v>-6.00</x:v>
      </x:c>
      <x:c r="O2468" s="24" t="str">
        <x:v>0.75 a 3.00</x:v>
      </x:c>
      <x:c r="P2468" s="24" t="str">
        <x:v>70</x:v>
      </x:c>
      <x:c r="Q2468" s="24"/>
      <x:c r="R2468" s="24"/>
      <x:c r="S2468" s="26" t="n">
        <x:v>46113</x:v>
      </x:c>
      <x:c r="T2468" s="26"/>
      <x:c r="U2468" s="24" t="str">
        <x:v>ATIVA/SEM FIM INFORMADO</x:v>
      </x:c>
      <x:c r="V2468" s="24"/>
      <x:c r="W2468" s="24" t="n">
        <x:v>40</x:v>
      </x:c>
      <x:c r="X2468" s="24" t="str">
        <x:v>tabela_zeiss.pdf</x:v>
      </x:c>
      <x:c r="Y2468" s="24" t="str">
        <x:v>alta</x:v>
      </x:c>
      <x:c r="Z2468" s="24"/>
      <x:c r="AA2468" s="24" t="str">
        <x:v>ZEISS|Progressiva|Surfaçada|SmartLife Pure||1.67|1.67|DuraVision Gold UV|-8.00 a +8.00|-6.00|0.75 a 3.00|70|||40</x:v>
      </x:c>
    </x:row>
    <x:row r="2469">
      <x:c r="A2469" s="24" t="str">
        <x:v>ZS-E93396DEE214</x:v>
      </x:c>
      <x:c r="B2469" s="24" t="str">
        <x:v>SIM</x:v>
      </x:c>
      <x:c r="C2469" s="24" t="str">
        <x:v>DISPONÍVEL</x:v>
      </x:c>
      <x:c r="D2469" s="24" t="str">
        <x:v>ZEISS</x:v>
      </x:c>
      <x:c r="E2469" s="24" t="str">
        <x:v>Progressiva</x:v>
      </x:c>
      <x:c r="F2469" s="24" t="str">
        <x:v>Surfaçada</x:v>
      </x:c>
      <x:c r="G2469" s="24" t="str">
        <x:v>SmartLife Pure</x:v>
      </x:c>
      <x:c r="H2469" s="24"/>
      <x:c r="I2469" s="24" t="str">
        <x:v>1.67</x:v>
      </x:c>
      <x:c r="J2469" s="24" t="str">
        <x:v>1.67</x:v>
      </x:c>
      <x:c r="K2469" s="24" t="str">
        <x:v>DURAVISION® ANTIVÍRUS PLATINUM UV</x:v>
      </x:c>
      <x:c r="L2469" s="40" t="n">
        <x:v>8130</x:v>
      </x:c>
      <x:c r="M2469" s="24" t="str">
        <x:v>-8.00 a +8.00</x:v>
      </x:c>
      <x:c r="N2469" s="24" t="str">
        <x:v>-6.00</x:v>
      </x:c>
      <x:c r="O2469" s="24" t="str">
        <x:v>0.75 a 3.00</x:v>
      </x:c>
      <x:c r="P2469" s="24" t="str">
        <x:v>70</x:v>
      </x:c>
      <x:c r="Q2469" s="24"/>
      <x:c r="R2469" s="24"/>
      <x:c r="S2469" s="26" t="n">
        <x:v>46113</x:v>
      </x:c>
      <x:c r="T2469" s="26"/>
      <x:c r="U2469" s="24" t="str">
        <x:v>ATIVA/SEM FIM INFORMADO</x:v>
      </x:c>
      <x:c r="V2469" s="24"/>
      <x:c r="W2469" s="24" t="n">
        <x:v>40</x:v>
      </x:c>
      <x:c r="X2469" s="24" t="str">
        <x:v>tabela_zeiss.pdf</x:v>
      </x:c>
      <x:c r="Y2469" s="24" t="str">
        <x:v>alta</x:v>
      </x:c>
      <x:c r="Z2469" s="24"/>
      <x:c r="AA2469" s="24" t="str">
        <x:v>ZEISS|Progressiva|Surfaçada|SmartLife Pure||1.67|1.67|DURAVISION® ANTIVÍRUS PLATINUM UV|-8.00 a +8.00|-6.00|0.75 a 3.00|70|||40</x:v>
      </x:c>
    </x:row>
    <x:row r="2470">
      <x:c r="A2470" s="24" t="str">
        <x:v>ZS-DA31B0A110AF</x:v>
      </x:c>
      <x:c r="B2470" s="24" t="str">
        <x:v>SIM</x:v>
      </x:c>
      <x:c r="C2470" s="24" t="str">
        <x:v>DISPONÍVEL</x:v>
      </x:c>
      <x:c r="D2470" s="24" t="str">
        <x:v>ZEISS</x:v>
      </x:c>
      <x:c r="E2470" s="24" t="str">
        <x:v>Progressiva</x:v>
      </x:c>
      <x:c r="F2470" s="24" t="str">
        <x:v>Surfaçada</x:v>
      </x:c>
      <x:c r="G2470" s="24" t="str">
        <x:v>SmartLife Pure</x:v>
      </x:c>
      <x:c r="H2470" s="24"/>
      <x:c r="I2470" s="24" t="str">
        <x:v>1.67</x:v>
      </x:c>
      <x:c r="J2470" s="24" t="str">
        <x:v>1.67</x:v>
      </x:c>
      <x:c r="K2470" s="24" t="str">
        <x:v>DuraVision Platinum UV</x:v>
      </x:c>
      <x:c r="L2470" s="40" t="n">
        <x:v>8130</x:v>
      </x:c>
      <x:c r="M2470" s="24" t="str">
        <x:v>-8.00 a +8.00</x:v>
      </x:c>
      <x:c r="N2470" s="24" t="str">
        <x:v>-6.00</x:v>
      </x:c>
      <x:c r="O2470" s="24" t="str">
        <x:v>0.75 a 3.00</x:v>
      </x:c>
      <x:c r="P2470" s="24" t="str">
        <x:v>70</x:v>
      </x:c>
      <x:c r="Q2470" s="24"/>
      <x:c r="R2470" s="24"/>
      <x:c r="S2470" s="26" t="n">
        <x:v>46113</x:v>
      </x:c>
      <x:c r="T2470" s="26"/>
      <x:c r="U2470" s="24" t="str">
        <x:v>ATIVA/SEM FIM INFORMADO</x:v>
      </x:c>
      <x:c r="V2470" s="24"/>
      <x:c r="W2470" s="24" t="n">
        <x:v>40</x:v>
      </x:c>
      <x:c r="X2470" s="24" t="str">
        <x:v>tabela_zeiss.pdf</x:v>
      </x:c>
      <x:c r="Y2470" s="24" t="str">
        <x:v>alta</x:v>
      </x:c>
      <x:c r="Z2470" s="24"/>
      <x:c r="AA2470" s="24" t="str">
        <x:v>ZEISS|Progressiva|Surfaçada|SmartLife Pure||1.67|1.67|DuraVision Platinum UV|-8.00 a +8.00|-6.00|0.75 a 3.00|70|||40</x:v>
      </x:c>
    </x:row>
    <x:row r="2471">
      <x:c r="A2471" s="24" t="str">
        <x:v>ZS-BBC49A62CB53</x:v>
      </x:c>
      <x:c r="B2471" s="24" t="str">
        <x:v>SIM</x:v>
      </x:c>
      <x:c r="C2471" s="24" t="str">
        <x:v>DISPONÍVEL</x:v>
      </x:c>
      <x:c r="D2471" s="24" t="str">
        <x:v>ZEISS</x:v>
      </x:c>
      <x:c r="E2471" s="24" t="str">
        <x:v>Progressiva</x:v>
      </x:c>
      <x:c r="F2471" s="24" t="str">
        <x:v>Surfaçada</x:v>
      </x:c>
      <x:c r="G2471" s="24" t="str">
        <x:v>SmartLife Pure</x:v>
      </x:c>
      <x:c r="H2471" s="24"/>
      <x:c r="I2471" s="24" t="str">
        <x:v>1.67</x:v>
      </x:c>
      <x:c r="J2471" s="24" t="str">
        <x:v>1.67</x:v>
      </x:c>
      <x:c r="K2471" s="24" t="str">
        <x:v>DuraVision Silver UV</x:v>
      </x:c>
      <x:c r="L2471" s="40" t="n">
        <x:v>7870</x:v>
      </x:c>
      <x:c r="M2471" s="24" t="str">
        <x:v>-8.00 a +8.00</x:v>
      </x:c>
      <x:c r="N2471" s="24" t="str">
        <x:v>-6.00</x:v>
      </x:c>
      <x:c r="O2471" s="24" t="str">
        <x:v>0.75 a 3.00</x:v>
      </x:c>
      <x:c r="P2471" s="24" t="str">
        <x:v>70</x:v>
      </x:c>
      <x:c r="Q2471" s="24"/>
      <x:c r="R2471" s="24"/>
      <x:c r="S2471" s="26" t="n">
        <x:v>46113</x:v>
      </x:c>
      <x:c r="T2471" s="26"/>
      <x:c r="U2471" s="24" t="str">
        <x:v>ATIVA/SEM FIM INFORMADO</x:v>
      </x:c>
      <x:c r="V2471" s="24"/>
      <x:c r="W2471" s="24" t="n">
        <x:v>40</x:v>
      </x:c>
      <x:c r="X2471" s="24" t="str">
        <x:v>tabela_zeiss.pdf</x:v>
      </x:c>
      <x:c r="Y2471" s="24" t="str">
        <x:v>alta</x:v>
      </x:c>
      <x:c r="Z2471" s="24"/>
      <x:c r="AA2471" s="24" t="str">
        <x:v>ZEISS|Progressiva|Surfaçada|SmartLife Pure||1.67|1.67|DuraVision Silver UV|-8.00 a +8.00|-6.00|0.75 a 3.00|70|||40</x:v>
      </x:c>
    </x:row>
    <x:row r="2472">
      <x:c r="A2472" s="24" t="str">
        <x:v>ZS-380E994C8985</x:v>
      </x:c>
      <x:c r="B2472" s="24" t="str">
        <x:v>SIM</x:v>
      </x:c>
      <x:c r="C2472" s="24" t="str">
        <x:v>DISPONÍVEL</x:v>
      </x:c>
      <x:c r="D2472" s="24" t="str">
        <x:v>ZEISS</x:v>
      </x:c>
      <x:c r="E2472" s="24" t="str">
        <x:v>Progressiva</x:v>
      </x:c>
      <x:c r="F2472" s="24" t="str">
        <x:v>Surfaçada</x:v>
      </x:c>
      <x:c r="G2472" s="24" t="str">
        <x:v>SmartLife Pure</x:v>
      </x:c>
      <x:c r="H2472" s="24"/>
      <x:c r="I2472" s="24" t="str">
        <x:v>1.67</x:v>
      </x:c>
      <x:c r="J2472" s="24" t="str">
        <x:v>1.67</x:v>
      </x:c>
      <x:c r="K2472" s="24" t="str">
        <x:v>DuraVision Chrome UV</x:v>
      </x:c>
      <x:c r="L2472" s="40" t="n">
        <x:v>7380</x:v>
      </x:c>
      <x:c r="M2472" s="24" t="str">
        <x:v>-8.00 a +8.00</x:v>
      </x:c>
      <x:c r="N2472" s="24" t="str">
        <x:v>-6.00</x:v>
      </x:c>
      <x:c r="O2472" s="24" t="str">
        <x:v>0.75 a 3.00</x:v>
      </x:c>
      <x:c r="P2472" s="24" t="str">
        <x:v>70</x:v>
      </x:c>
      <x:c r="Q2472" s="24"/>
      <x:c r="R2472" s="24"/>
      <x:c r="S2472" s="26" t="n">
        <x:v>46113</x:v>
      </x:c>
      <x:c r="T2472" s="26"/>
      <x:c r="U2472" s="24" t="str">
        <x:v>ATIVA/SEM FIM INFORMADO</x:v>
      </x:c>
      <x:c r="V2472" s="24"/>
      <x:c r="W2472" s="24" t="n">
        <x:v>40</x:v>
      </x:c>
      <x:c r="X2472" s="24" t="str">
        <x:v>tabela_zeiss.pdf</x:v>
      </x:c>
      <x:c r="Y2472" s="24" t="str">
        <x:v>alta</x:v>
      </x:c>
      <x:c r="Z2472" s="24"/>
      <x:c r="AA2472" s="24" t="str">
        <x:v>ZEISS|Progressiva|Surfaçada|SmartLife Pure||1.67|1.67|DuraVision Chrome UV|-8.00 a +8.00|-6.00|0.75 a 3.00|70|||40</x:v>
      </x:c>
    </x:row>
    <x:row r="2473">
      <x:c r="A2473" s="24" t="str">
        <x:v>ZS-ED0234E65670</x:v>
      </x:c>
      <x:c r="B2473" s="24" t="str">
        <x:v>SIM</x:v>
      </x:c>
      <x:c r="C2473" s="24" t="str">
        <x:v>DISPONÍVEL</x:v>
      </x:c>
      <x:c r="D2473" s="24" t="str">
        <x:v>ZEISS</x:v>
      </x:c>
      <x:c r="E2473" s="24" t="str">
        <x:v>Progressiva</x:v>
      </x:c>
      <x:c r="F2473" s="24" t="str">
        <x:v>Surfaçada</x:v>
      </x:c>
      <x:c r="G2473" s="24" t="str">
        <x:v>SmartLife Pure</x:v>
      </x:c>
      <x:c r="H2473" s="24"/>
      <x:c r="I2473" s="24" t="str">
        <x:v>1.74</x:v>
      </x:c>
      <x:c r="J2473" s="24" t="str">
        <x:v>1.74</x:v>
      </x:c>
      <x:c r="K2473" s="24" t="str">
        <x:v>DuraVision Gold UV</x:v>
      </x:c>
      <x:c r="L2473" s="40" t="n">
        <x:v>9870</x:v>
      </x:c>
      <x:c r="M2473" s="24" t="str">
        <x:v>-10.00 a +7.00</x:v>
      </x:c>
      <x:c r="N2473" s="24" t="str">
        <x:v>-4.00</x:v>
      </x:c>
      <x:c r="O2473" s="24" t="str">
        <x:v>0.75 a 3.50</x:v>
      </x:c>
      <x:c r="P2473" s="24" t="str">
        <x:v>70 a 75</x:v>
      </x:c>
      <x:c r="Q2473" s="24"/>
      <x:c r="R2473" s="24"/>
      <x:c r="S2473" s="26" t="n">
        <x:v>46113</x:v>
      </x:c>
      <x:c r="T2473" s="26"/>
      <x:c r="U2473" s="24" t="str">
        <x:v>ATIVA/SEM FIM INFORMADO</x:v>
      </x:c>
      <x:c r="V2473" s="24"/>
      <x:c r="W2473" s="24" t="n">
        <x:v>40</x:v>
      </x:c>
      <x:c r="X2473" s="24" t="str">
        <x:v>tabela_zeiss.pdf</x:v>
      </x:c>
      <x:c r="Y2473" s="24" t="str">
        <x:v>alta</x:v>
      </x:c>
      <x:c r="Z2473" s="24"/>
      <x:c r="AA2473" s="24" t="str">
        <x:v>ZEISS|Progressiva|Surfaçada|SmartLife Pure||1.74|1.74|DuraVision Gold UV|-10.00 a +7.00|-4.00|0.75 a 3.50|70 a 75|||40</x:v>
      </x:c>
    </x:row>
    <x:row r="2474">
      <x:c r="A2474" s="24" t="str">
        <x:v>ZS-07BCC6DCBBEA</x:v>
      </x:c>
      <x:c r="B2474" s="24" t="str">
        <x:v>SIM</x:v>
      </x:c>
      <x:c r="C2474" s="24" t="str">
        <x:v>DISPONÍVEL</x:v>
      </x:c>
      <x:c r="D2474" s="24" t="str">
        <x:v>ZEISS</x:v>
      </x:c>
      <x:c r="E2474" s="24" t="str">
        <x:v>Progressiva</x:v>
      </x:c>
      <x:c r="F2474" s="24" t="str">
        <x:v>Surfaçada</x:v>
      </x:c>
      <x:c r="G2474" s="24" t="str">
        <x:v>SmartLife Pure</x:v>
      </x:c>
      <x:c r="H2474" s="24"/>
      <x:c r="I2474" s="24" t="str">
        <x:v>1.74</x:v>
      </x:c>
      <x:c r="J2474" s="24" t="str">
        <x:v>1.74</x:v>
      </x:c>
      <x:c r="K2474" s="24" t="str">
        <x:v>DuraVision Platinum UV</x:v>
      </x:c>
      <x:c r="L2474" s="40" t="n">
        <x:v>9730</x:v>
      </x:c>
      <x:c r="M2474" s="24" t="str">
        <x:v>-10.00 a +7.00</x:v>
      </x:c>
      <x:c r="N2474" s="24" t="str">
        <x:v>-4.00</x:v>
      </x:c>
      <x:c r="O2474" s="24" t="str">
        <x:v>0.75 a 3.50</x:v>
      </x:c>
      <x:c r="P2474" s="24" t="str">
        <x:v>70 a 75</x:v>
      </x:c>
      <x:c r="Q2474" s="24"/>
      <x:c r="R2474" s="24"/>
      <x:c r="S2474" s="26" t="n">
        <x:v>46113</x:v>
      </x:c>
      <x:c r="T2474" s="26"/>
      <x:c r="U2474" s="24" t="str">
        <x:v>ATIVA/SEM FIM INFORMADO</x:v>
      </x:c>
      <x:c r="V2474" s="24"/>
      <x:c r="W2474" s="24" t="n">
        <x:v>40</x:v>
      </x:c>
      <x:c r="X2474" s="24" t="str">
        <x:v>tabela_zeiss.pdf</x:v>
      </x:c>
      <x:c r="Y2474" s="24" t="str">
        <x:v>alta</x:v>
      </x:c>
      <x:c r="Z2474" s="24"/>
      <x:c r="AA2474" s="24" t="str">
        <x:v>ZEISS|Progressiva|Surfaçada|SmartLife Pure||1.74|1.74|DuraVision Platinum UV|-10.00 a +7.00|-4.00|0.75 a 3.50|70 a 75|||40</x:v>
      </x:c>
    </x:row>
    <x:row r="2475">
      <x:c r="A2475" s="24" t="str">
        <x:v>ZS-9907ACFDDEB1</x:v>
      </x:c>
      <x:c r="B2475" s="24" t="str">
        <x:v>SIM</x:v>
      </x:c>
      <x:c r="C2475" s="24" t="str">
        <x:v>DISPONÍVEL</x:v>
      </x:c>
      <x:c r="D2475" s="24" t="str">
        <x:v>ZEISS</x:v>
      </x:c>
      <x:c r="E2475" s="24" t="str">
        <x:v>Progressiva</x:v>
      </x:c>
      <x:c r="F2475" s="24" t="str">
        <x:v>Surfaçada</x:v>
      </x:c>
      <x:c r="G2475" s="24" t="str">
        <x:v>SmartLife Pure</x:v>
      </x:c>
      <x:c r="H2475" s="24"/>
      <x:c r="I2475" s="24" t="str">
        <x:v>1.74</x:v>
      </x:c>
      <x:c r="J2475" s="24" t="str">
        <x:v>1.74</x:v>
      </x:c>
      <x:c r="K2475" s="24" t="str">
        <x:v>DuraVision Silver UV</x:v>
      </x:c>
      <x:c r="L2475" s="40" t="n">
        <x:v>9470</x:v>
      </x:c>
      <x:c r="M2475" s="24" t="str">
        <x:v>-10.00 a +7.00</x:v>
      </x:c>
      <x:c r="N2475" s="24" t="str">
        <x:v>-4.00</x:v>
      </x:c>
      <x:c r="O2475" s="24" t="str">
        <x:v>0.75 a 3.50</x:v>
      </x:c>
      <x:c r="P2475" s="24" t="str">
        <x:v>70 a 75</x:v>
      </x:c>
      <x:c r="Q2475" s="24"/>
      <x:c r="R2475" s="24"/>
      <x:c r="S2475" s="26" t="n">
        <x:v>46113</x:v>
      </x:c>
      <x:c r="T2475" s="26"/>
      <x:c r="U2475" s="24" t="str">
        <x:v>ATIVA/SEM FIM INFORMADO</x:v>
      </x:c>
      <x:c r="V2475" s="24"/>
      <x:c r="W2475" s="24" t="n">
        <x:v>40</x:v>
      </x:c>
      <x:c r="X2475" s="24" t="str">
        <x:v>tabela_zeiss.pdf</x:v>
      </x:c>
      <x:c r="Y2475" s="24" t="str">
        <x:v>alta</x:v>
      </x:c>
      <x:c r="Z2475" s="24"/>
      <x:c r="AA2475" s="24" t="str">
        <x:v>ZEISS|Progressiva|Surfaçada|SmartLife Pure||1.74|1.74|DuraVision Silver UV|-10.00 a +7.00|-4.00|0.75 a 3.50|70 a 75|||40</x:v>
      </x:c>
    </x:row>
    <x:row r="2476">
      <x:c r="A2476" s="24" t="str">
        <x:v>ZS-E5BF898B8ABC</x:v>
      </x:c>
      <x:c r="B2476" s="24" t="str">
        <x:v>SIM</x:v>
      </x:c>
      <x:c r="C2476" s="24" t="str">
        <x:v>DISPONÍVEL</x:v>
      </x:c>
      <x:c r="D2476" s="24" t="str">
        <x:v>ZEISS</x:v>
      </x:c>
      <x:c r="E2476" s="24" t="str">
        <x:v>Progressiva</x:v>
      </x:c>
      <x:c r="F2476" s="24" t="str">
        <x:v>Surfaçada</x:v>
      </x:c>
      <x:c r="G2476" s="24" t="str">
        <x:v>SmartLife Pure</x:v>
      </x:c>
      <x:c r="H2476" s="24"/>
      <x:c r="I2476" s="24" t="str">
        <x:v>1.74</x:v>
      </x:c>
      <x:c r="J2476" s="24" t="str">
        <x:v>1.74</x:v>
      </x:c>
      <x:c r="K2476" s="24" t="str">
        <x:v>DuraVision Chrome UV</x:v>
      </x:c>
      <x:c r="L2476" s="40" t="n">
        <x:v>8980</x:v>
      </x:c>
      <x:c r="M2476" s="24" t="str">
        <x:v>-10.00 a +7.00</x:v>
      </x:c>
      <x:c r="N2476" s="24" t="str">
        <x:v>-4.00</x:v>
      </x:c>
      <x:c r="O2476" s="24" t="str">
        <x:v>0.75 a 3.50</x:v>
      </x:c>
      <x:c r="P2476" s="24" t="str">
        <x:v>70 a 75</x:v>
      </x:c>
      <x:c r="Q2476" s="24"/>
      <x:c r="R2476" s="24"/>
      <x:c r="S2476" s="26" t="n">
        <x:v>46113</x:v>
      </x:c>
      <x:c r="T2476" s="26"/>
      <x:c r="U2476" s="24" t="str">
        <x:v>ATIVA/SEM FIM INFORMADO</x:v>
      </x:c>
      <x:c r="V2476" s="24"/>
      <x:c r="W2476" s="24" t="n">
        <x:v>40</x:v>
      </x:c>
      <x:c r="X2476" s="24" t="str">
        <x:v>tabela_zeiss.pdf</x:v>
      </x:c>
      <x:c r="Y2476" s="24" t="str">
        <x:v>alta</x:v>
      </x:c>
      <x:c r="Z2476" s="24"/>
      <x:c r="AA2476" s="24" t="str">
        <x:v>ZEISS|Progressiva|Surfaçada|SmartLife Pure||1.74|1.74|DuraVision Chrome UV|-10.00 a +7.00|-4.00|0.75 a 3.50|70 a 75|||40</x:v>
      </x:c>
    </x:row>
    <x:row r="2477">
      <x:c r="A2477" s="24" t="str">
        <x:v>ZS-1147C19420DA</x:v>
      </x:c>
      <x:c r="B2477" s="24" t="str">
        <x:v>SIM</x:v>
      </x:c>
      <x:c r="C2477" s="24" t="str">
        <x:v>DISPONÍVEL</x:v>
      </x:c>
      <x:c r="D2477" s="24" t="str">
        <x:v>ZEISS</x:v>
      </x:c>
      <x:c r="E2477" s="24" t="str">
        <x:v>Progressiva</x:v>
      </x:c>
      <x:c r="F2477" s="24" t="str">
        <x:v>Surfaçada</x:v>
      </x:c>
      <x:c r="G2477" s="24" t="str">
        <x:v>SmartLife Pure</x:v>
      </x:c>
      <x:c r="H2477" s="24" t="str">
        <x:v>PhotoFusion X</x:v>
      </x:c>
      <x:c r="I2477" s="24" t="str">
        <x:v>1.5</x:v>
      </x:c>
      <x:c r="J2477" s="24" t="str">
        <x:v>1.50</x:v>
      </x:c>
      <x:c r="K2477" s="24" t="str">
        <x:v>DuraVision Gold UV</x:v>
      </x:c>
      <x:c r="L2477" s="40" t="n">
        <x:v>6800</x:v>
      </x:c>
      <x:c r="M2477" s="24" t="str">
        <x:v>-6.00 a +5.50</x:v>
      </x:c>
      <x:c r="N2477" s="24" t="str">
        <x:v>-4.00</x:v>
      </x:c>
      <x:c r="O2477" s="24" t="str">
        <x:v>0.75 a 3.00</x:v>
      </x:c>
      <x:c r="P2477" s="24" t="str">
        <x:v>75</x:v>
      </x:c>
      <x:c r="Q2477" s="24"/>
      <x:c r="R2477" s="24"/>
      <x:c r="S2477" s="26" t="n">
        <x:v>46113</x:v>
      </x:c>
      <x:c r="T2477" s="26"/>
      <x:c r="U2477" s="24" t="str">
        <x:v>ATIVA/SEM FIM INFORMADO</x:v>
      </x:c>
      <x:c r="V2477" s="24" t="str">
        <x:v>Programa de Parcerias ZEISS</x:v>
      </x:c>
      <x:c r="W2477" s="24" t="n">
        <x:v>40</x:v>
      </x:c>
      <x:c r="X2477" s="24" t="str">
        <x:v>tabela_zeiss.pdf</x:v>
      </x:c>
      <x:c r="Y2477" s="24" t="str">
        <x:v>alta</x:v>
      </x:c>
      <x:c r="Z2477" s="24"/>
      <x:c r="AA2477" s="24" t="str">
        <x:v>ZEISS|Progressiva|Surfaçada|SmartLife Pure|PhotoFusion X|1.5|1.50|DuraVision Gold UV|-6.00 a +5.50|-4.00|0.75 a 3.00|75|||40</x:v>
      </x:c>
    </x:row>
    <x:row r="2478">
      <x:c r="A2478" s="24" t="str">
        <x:v>ZS-9DA408680202</x:v>
      </x:c>
      <x:c r="B2478" s="24" t="str">
        <x:v>SIM</x:v>
      </x:c>
      <x:c r="C2478" s="24" t="str">
        <x:v>DISPONÍVEL</x:v>
      </x:c>
      <x:c r="D2478" s="24" t="str">
        <x:v>ZEISS</x:v>
      </x:c>
      <x:c r="E2478" s="24" t="str">
        <x:v>Progressiva</x:v>
      </x:c>
      <x:c r="F2478" s="24" t="str">
        <x:v>Surfaçada</x:v>
      </x:c>
      <x:c r="G2478" s="24" t="str">
        <x:v>SmartLife Pure</x:v>
      </x:c>
      <x:c r="H2478" s="24" t="str">
        <x:v>PhotoFusion X</x:v>
      </x:c>
      <x:c r="I2478" s="24" t="str">
        <x:v>1.5</x:v>
      </x:c>
      <x:c r="J2478" s="24" t="str">
        <x:v>1.50</x:v>
      </x:c>
      <x:c r="K2478" s="24" t="str">
        <x:v>DURAVISION® ANTIVÍRUS PLATINUM UV</x:v>
      </x:c>
      <x:c r="L2478" s="40" t="n">
        <x:v>6660</x:v>
      </x:c>
      <x:c r="M2478" s="24" t="str">
        <x:v>-6.00 a +5.50</x:v>
      </x:c>
      <x:c r="N2478" s="24" t="str">
        <x:v>-4.00</x:v>
      </x:c>
      <x:c r="O2478" s="24" t="str">
        <x:v>0.75 a 3.00</x:v>
      </x:c>
      <x:c r="P2478" s="24" t="str">
        <x:v>75</x:v>
      </x:c>
      <x:c r="Q2478" s="24"/>
      <x:c r="R2478" s="24"/>
      <x:c r="S2478" s="26" t="n">
        <x:v>46113</x:v>
      </x:c>
      <x:c r="T2478" s="26"/>
      <x:c r="U2478" s="24" t="str">
        <x:v>ATIVA/SEM FIM INFORMADO</x:v>
      </x:c>
      <x:c r="V2478" s="24" t="str">
        <x:v>Programa de Parcerias ZEISS</x:v>
      </x:c>
      <x:c r="W2478" s="24" t="n">
        <x:v>40</x:v>
      </x:c>
      <x:c r="X2478" s="24" t="str">
        <x:v>tabela_zeiss.pdf</x:v>
      </x:c>
      <x:c r="Y2478" s="24" t="str">
        <x:v>alta</x:v>
      </x:c>
      <x:c r="Z2478" s="24"/>
      <x:c r="AA2478" s="24" t="str">
        <x:v>ZEISS|Progressiva|Surfaçada|SmartLife Pure|PhotoFusion X|1.5|1.50|DURAVISION® ANTIVÍRUS PLATINUM UV|-6.00 a +5.50|-4.00|0.75 a 3.00|75|||40</x:v>
      </x:c>
    </x:row>
    <x:row r="2479">
      <x:c r="A2479" s="24" t="str">
        <x:v>ZS-9C35AD6FDFB3</x:v>
      </x:c>
      <x:c r="B2479" s="24" t="str">
        <x:v>SIM</x:v>
      </x:c>
      <x:c r="C2479" s="24" t="str">
        <x:v>DISPONÍVEL</x:v>
      </x:c>
      <x:c r="D2479" s="24" t="str">
        <x:v>ZEISS</x:v>
      </x:c>
      <x:c r="E2479" s="24" t="str">
        <x:v>Progressiva</x:v>
      </x:c>
      <x:c r="F2479" s="24" t="str">
        <x:v>Surfaçada</x:v>
      </x:c>
      <x:c r="G2479" s="24" t="str">
        <x:v>SmartLife Pure</x:v>
      </x:c>
      <x:c r="H2479" s="24" t="str">
        <x:v>PhotoFusion X</x:v>
      </x:c>
      <x:c r="I2479" s="24" t="str">
        <x:v>1.5</x:v>
      </x:c>
      <x:c r="J2479" s="24" t="str">
        <x:v>1.50</x:v>
      </x:c>
      <x:c r="K2479" s="24" t="str">
        <x:v>DuraVision Platinum UV</x:v>
      </x:c>
      <x:c r="L2479" s="40" t="n">
        <x:v>6660</x:v>
      </x:c>
      <x:c r="M2479" s="24" t="str">
        <x:v>-6.00 a +5.50</x:v>
      </x:c>
      <x:c r="N2479" s="24" t="str">
        <x:v>-4.00</x:v>
      </x:c>
      <x:c r="O2479" s="24" t="str">
        <x:v>0.75 a 3.00</x:v>
      </x:c>
      <x:c r="P2479" s="24" t="str">
        <x:v>75</x:v>
      </x:c>
      <x:c r="Q2479" s="24"/>
      <x:c r="R2479" s="24"/>
      <x:c r="S2479" s="26" t="n">
        <x:v>46113</x:v>
      </x:c>
      <x:c r="T2479" s="26"/>
      <x:c r="U2479" s="24" t="str">
        <x:v>ATIVA/SEM FIM INFORMADO</x:v>
      </x:c>
      <x:c r="V2479" s="24" t="str">
        <x:v>Programa de Parcerias ZEISS</x:v>
      </x:c>
      <x:c r="W2479" s="24" t="n">
        <x:v>40</x:v>
      </x:c>
      <x:c r="X2479" s="24" t="str">
        <x:v>tabela_zeiss.pdf</x:v>
      </x:c>
      <x:c r="Y2479" s="24" t="str">
        <x:v>alta</x:v>
      </x:c>
      <x:c r="Z2479" s="24"/>
      <x:c r="AA2479" s="24" t="str">
        <x:v>ZEISS|Progressiva|Surfaçada|SmartLife Pure|PhotoFusion X|1.5|1.50|DuraVision Platinum UV|-6.00 a +5.50|-4.00|0.75 a 3.00|75|||40</x:v>
      </x:c>
    </x:row>
    <x:row r="2480">
      <x:c r="A2480" s="24" t="str">
        <x:v>ZS-0CECB32A9105</x:v>
      </x:c>
      <x:c r="B2480" s="24" t="str">
        <x:v>SIM</x:v>
      </x:c>
      <x:c r="C2480" s="24" t="str">
        <x:v>DISPONÍVEL</x:v>
      </x:c>
      <x:c r="D2480" s="24" t="str">
        <x:v>ZEISS</x:v>
      </x:c>
      <x:c r="E2480" s="24" t="str">
        <x:v>Progressiva</x:v>
      </x:c>
      <x:c r="F2480" s="24" t="str">
        <x:v>Surfaçada</x:v>
      </x:c>
      <x:c r="G2480" s="24" t="str">
        <x:v>SmartLife Pure</x:v>
      </x:c>
      <x:c r="H2480" s="24" t="str">
        <x:v>PhotoFusion X</x:v>
      </x:c>
      <x:c r="I2480" s="24" t="str">
        <x:v>1.5</x:v>
      </x:c>
      <x:c r="J2480" s="24" t="str">
        <x:v>1.50</x:v>
      </x:c>
      <x:c r="K2480" s="24" t="str">
        <x:v>DuraVision Silver UV</x:v>
      </x:c>
      <x:c r="L2480" s="40" t="n">
        <x:v>6400</x:v>
      </x:c>
      <x:c r="M2480" s="24" t="str">
        <x:v>-6.00 a +5.50</x:v>
      </x:c>
      <x:c r="N2480" s="24" t="str">
        <x:v>-4.00</x:v>
      </x:c>
      <x:c r="O2480" s="24" t="str">
        <x:v>0.75 a 3.00</x:v>
      </x:c>
      <x:c r="P2480" s="24" t="str">
        <x:v>75</x:v>
      </x:c>
      <x:c r="Q2480" s="24"/>
      <x:c r="R2480" s="24"/>
      <x:c r="S2480" s="26" t="n">
        <x:v>46113</x:v>
      </x:c>
      <x:c r="T2480" s="26"/>
      <x:c r="U2480" s="24" t="str">
        <x:v>ATIVA/SEM FIM INFORMADO</x:v>
      </x:c>
      <x:c r="V2480" s="24" t="str">
        <x:v>Programa de Parcerias ZEISS</x:v>
      </x:c>
      <x:c r="W2480" s="24" t="n">
        <x:v>40</x:v>
      </x:c>
      <x:c r="X2480" s="24" t="str">
        <x:v>tabela_zeiss.pdf</x:v>
      </x:c>
      <x:c r="Y2480" s="24" t="str">
        <x:v>alta</x:v>
      </x:c>
      <x:c r="Z2480" s="24"/>
      <x:c r="AA2480" s="24" t="str">
        <x:v>ZEISS|Progressiva|Surfaçada|SmartLife Pure|PhotoFusion X|1.5|1.50|DuraVision Silver UV|-6.00 a +5.50|-4.00|0.75 a 3.00|75|||40</x:v>
      </x:c>
    </x:row>
    <x:row r="2481">
      <x:c r="A2481" s="24" t="str">
        <x:v>ZS-9EA6B0BD34F0</x:v>
      </x:c>
      <x:c r="B2481" s="24" t="str">
        <x:v>SIM</x:v>
      </x:c>
      <x:c r="C2481" s="24" t="str">
        <x:v>DISPONÍVEL</x:v>
      </x:c>
      <x:c r="D2481" s="24" t="str">
        <x:v>ZEISS</x:v>
      </x:c>
      <x:c r="E2481" s="24" t="str">
        <x:v>Progressiva</x:v>
      </x:c>
      <x:c r="F2481" s="24" t="str">
        <x:v>Surfaçada</x:v>
      </x:c>
      <x:c r="G2481" s="24" t="str">
        <x:v>SmartLife Pure</x:v>
      </x:c>
      <x:c r="H2481" s="24" t="str">
        <x:v>PhotoFusion X</x:v>
      </x:c>
      <x:c r="I2481" s="24" t="str">
        <x:v>1.5</x:v>
      </x:c>
      <x:c r="J2481" s="24" t="str">
        <x:v>1.50</x:v>
      </x:c>
      <x:c r="K2481" s="24" t="str">
        <x:v>DuraVision Chrome UV</x:v>
      </x:c>
      <x:c r="L2481" s="40" t="n">
        <x:v>5910</x:v>
      </x:c>
      <x:c r="M2481" s="24" t="str">
        <x:v>-6.00 a +5.50</x:v>
      </x:c>
      <x:c r="N2481" s="24" t="str">
        <x:v>-4.00</x:v>
      </x:c>
      <x:c r="O2481" s="24" t="str">
        <x:v>0.75 a 3.00</x:v>
      </x:c>
      <x:c r="P2481" s="24" t="str">
        <x:v>75</x:v>
      </x:c>
      <x:c r="Q2481" s="24"/>
      <x:c r="R2481" s="24"/>
      <x:c r="S2481" s="26" t="n">
        <x:v>46113</x:v>
      </x:c>
      <x:c r="T2481" s="26"/>
      <x:c r="U2481" s="24" t="str">
        <x:v>ATIVA/SEM FIM INFORMADO</x:v>
      </x:c>
      <x:c r="V2481" s="24" t="str">
        <x:v>Programa de Parcerias ZEISS</x:v>
      </x:c>
      <x:c r="W2481" s="24" t="n">
        <x:v>40</x:v>
      </x:c>
      <x:c r="X2481" s="24" t="str">
        <x:v>tabela_zeiss.pdf</x:v>
      </x:c>
      <x:c r="Y2481" s="24" t="str">
        <x:v>alta</x:v>
      </x:c>
      <x:c r="Z2481" s="24"/>
      <x:c r="AA2481" s="24" t="str">
        <x:v>ZEISS|Progressiva|Surfaçada|SmartLife Pure|PhotoFusion X|1.5|1.50|DuraVision Chrome UV|-6.00 a +5.50|-4.00|0.75 a 3.00|75|||40</x:v>
      </x:c>
    </x:row>
    <x:row r="2482">
      <x:c r="A2482" s="24" t="str">
        <x:v>ZS-0B0E98EE9F84</x:v>
      </x:c>
      <x:c r="B2482" s="24" t="str">
        <x:v>SIM</x:v>
      </x:c>
      <x:c r="C2482" s="24" t="str">
        <x:v>DISPONÍVEL</x:v>
      </x:c>
      <x:c r="D2482" s="24" t="str">
        <x:v>ZEISS</x:v>
      </x:c>
      <x:c r="E2482" s="24" t="str">
        <x:v>Progressiva</x:v>
      </x:c>
      <x:c r="F2482" s="24" t="str">
        <x:v>Surfaçada</x:v>
      </x:c>
      <x:c r="G2482" s="24" t="str">
        <x:v>SmartLife Pure</x:v>
      </x:c>
      <x:c r="H2482" s="24" t="str">
        <x:v>PhotoFusion X</x:v>
      </x:c>
      <x:c r="I2482" s="24" t="str">
        <x:v>Poli</x:v>
      </x:c>
      <x:c r="J2482" s="24"/>
      <x:c r="K2482" s="24" t="str">
        <x:v>DuraVision Gold UV</x:v>
      </x:c>
      <x:c r="L2482" s="40" t="n">
        <x:v>7390</x:v>
      </x:c>
      <x:c r="M2482" s="24" t="str">
        <x:v>-10.00 a +6.00</x:v>
      </x:c>
      <x:c r="N2482" s="24" t="str">
        <x:v>-6.00</x:v>
      </x:c>
      <x:c r="O2482" s="24" t="str">
        <x:v>0.75 a 3.00</x:v>
      </x:c>
      <x:c r="P2482" s="24" t="str">
        <x:v>70</x:v>
      </x:c>
      <x:c r="Q2482" s="24"/>
      <x:c r="R2482" s="24"/>
      <x:c r="S2482" s="26" t="n">
        <x:v>46113</x:v>
      </x:c>
      <x:c r="T2482" s="26"/>
      <x:c r="U2482" s="24" t="str">
        <x:v>ATIVA/SEM FIM INFORMADO</x:v>
      </x:c>
      <x:c r="V2482" s="24" t="str">
        <x:v>Programa de Parcerias ZEISS</x:v>
      </x:c>
      <x:c r="W2482" s="24" t="n">
        <x:v>40</x:v>
      </x:c>
      <x:c r="X2482" s="24" t="str">
        <x:v>tabela_zeiss.pdf</x:v>
      </x:c>
      <x:c r="Y2482" s="24" t="str">
        <x:v>alta</x:v>
      </x:c>
      <x:c r="Z2482" s="24"/>
      <x:c r="AA2482" s="24" t="str">
        <x:v>ZEISS|Progressiva|Surfaçada|SmartLife Pure|PhotoFusion X|Poli||DuraVision Gold UV|-10.00 a +6.00|-6.00|0.75 a 3.00|70|||40</x:v>
      </x:c>
    </x:row>
    <x:row r="2483">
      <x:c r="A2483" s="24" t="str">
        <x:v>ZS-C51934FD2683</x:v>
      </x:c>
      <x:c r="B2483" s="24" t="str">
        <x:v>SIM</x:v>
      </x:c>
      <x:c r="C2483" s="24" t="str">
        <x:v>DISPONÍVEL</x:v>
      </x:c>
      <x:c r="D2483" s="24" t="str">
        <x:v>ZEISS</x:v>
      </x:c>
      <x:c r="E2483" s="24" t="str">
        <x:v>Progressiva</x:v>
      </x:c>
      <x:c r="F2483" s="24" t="str">
        <x:v>Surfaçada</x:v>
      </x:c>
      <x:c r="G2483" s="24" t="str">
        <x:v>SmartLife Pure</x:v>
      </x:c>
      <x:c r="H2483" s="24" t="str">
        <x:v>PhotoFusion X</x:v>
      </x:c>
      <x:c r="I2483" s="24" t="str">
        <x:v>Poli</x:v>
      </x:c>
      <x:c r="J2483" s="24"/>
      <x:c r="K2483" s="24" t="str">
        <x:v>DuraVision Platinum UV</x:v>
      </x:c>
      <x:c r="L2483" s="40" t="n">
        <x:v>7250</x:v>
      </x:c>
      <x:c r="M2483" s="24" t="str">
        <x:v>-10.00 a +6.00</x:v>
      </x:c>
      <x:c r="N2483" s="24" t="str">
        <x:v>-6.00</x:v>
      </x:c>
      <x:c r="O2483" s="24" t="str">
        <x:v>0.75 a 3.00</x:v>
      </x:c>
      <x:c r="P2483" s="24" t="str">
        <x:v>70</x:v>
      </x:c>
      <x:c r="Q2483" s="24"/>
      <x:c r="R2483" s="24"/>
      <x:c r="S2483" s="26" t="n">
        <x:v>46113</x:v>
      </x:c>
      <x:c r="T2483" s="26"/>
      <x:c r="U2483" s="24" t="str">
        <x:v>ATIVA/SEM FIM INFORMADO</x:v>
      </x:c>
      <x:c r="V2483" s="24" t="str">
        <x:v>Programa de Parcerias ZEISS</x:v>
      </x:c>
      <x:c r="W2483" s="24" t="n">
        <x:v>40</x:v>
      </x:c>
      <x:c r="X2483" s="24" t="str">
        <x:v>tabela_zeiss.pdf</x:v>
      </x:c>
      <x:c r="Y2483" s="24" t="str">
        <x:v>alta</x:v>
      </x:c>
      <x:c r="Z2483" s="24"/>
      <x:c r="AA2483" s="24" t="str">
        <x:v>ZEISS|Progressiva|Surfaçada|SmartLife Pure|PhotoFusion X|Poli||DuraVision Platinum UV|-10.00 a +6.00|-6.00|0.75 a 3.00|70|||40</x:v>
      </x:c>
    </x:row>
    <x:row r="2484">
      <x:c r="A2484" s="24" t="str">
        <x:v>ZS-698941AD6570</x:v>
      </x:c>
      <x:c r="B2484" s="24" t="str">
        <x:v>SIM</x:v>
      </x:c>
      <x:c r="C2484" s="24" t="str">
        <x:v>DISPONÍVEL</x:v>
      </x:c>
      <x:c r="D2484" s="24" t="str">
        <x:v>ZEISS</x:v>
      </x:c>
      <x:c r="E2484" s="24" t="str">
        <x:v>Progressiva</x:v>
      </x:c>
      <x:c r="F2484" s="24" t="str">
        <x:v>Surfaçada</x:v>
      </x:c>
      <x:c r="G2484" s="24" t="str">
        <x:v>SmartLife Pure</x:v>
      </x:c>
      <x:c r="H2484" s="24" t="str">
        <x:v>PhotoFusion X</x:v>
      </x:c>
      <x:c r="I2484" s="24" t="str">
        <x:v>Poli</x:v>
      </x:c>
      <x:c r="J2484" s="24"/>
      <x:c r="K2484" s="24" t="str">
        <x:v>DuraVision Silver UV</x:v>
      </x:c>
      <x:c r="L2484" s="40" t="n">
        <x:v>6990</x:v>
      </x:c>
      <x:c r="M2484" s="24" t="str">
        <x:v>-10.00 a +6.00</x:v>
      </x:c>
      <x:c r="N2484" s="24" t="str">
        <x:v>-6.00</x:v>
      </x:c>
      <x:c r="O2484" s="24" t="str">
        <x:v>0.75 a 3.00</x:v>
      </x:c>
      <x:c r="P2484" s="24" t="str">
        <x:v>70</x:v>
      </x:c>
      <x:c r="Q2484" s="24"/>
      <x:c r="R2484" s="24"/>
      <x:c r="S2484" s="26" t="n">
        <x:v>46113</x:v>
      </x:c>
      <x:c r="T2484" s="26"/>
      <x:c r="U2484" s="24" t="str">
        <x:v>ATIVA/SEM FIM INFORMADO</x:v>
      </x:c>
      <x:c r="V2484" s="24" t="str">
        <x:v>Programa de Parcerias ZEISS</x:v>
      </x:c>
      <x:c r="W2484" s="24" t="n">
        <x:v>40</x:v>
      </x:c>
      <x:c r="X2484" s="24" t="str">
        <x:v>tabela_zeiss.pdf</x:v>
      </x:c>
      <x:c r="Y2484" s="24" t="str">
        <x:v>alta</x:v>
      </x:c>
      <x:c r="Z2484" s="24"/>
      <x:c r="AA2484" s="24" t="str">
        <x:v>ZEISS|Progressiva|Surfaçada|SmartLife Pure|PhotoFusion X|Poli||DuraVision Silver UV|-10.00 a +6.00|-6.00|0.75 a 3.00|70|||40</x:v>
      </x:c>
    </x:row>
    <x:row r="2485">
      <x:c r="A2485" s="24" t="str">
        <x:v>ZS-AF0D74AE3B38</x:v>
      </x:c>
      <x:c r="B2485" s="24" t="str">
        <x:v>SIM</x:v>
      </x:c>
      <x:c r="C2485" s="24" t="str">
        <x:v>DISPONÍVEL</x:v>
      </x:c>
      <x:c r="D2485" s="24" t="str">
        <x:v>ZEISS</x:v>
      </x:c>
      <x:c r="E2485" s="24" t="str">
        <x:v>Progressiva</x:v>
      </x:c>
      <x:c r="F2485" s="24" t="str">
        <x:v>Surfaçada</x:v>
      </x:c>
      <x:c r="G2485" s="24" t="str">
        <x:v>SmartLife Pure</x:v>
      </x:c>
      <x:c r="H2485" s="24" t="str">
        <x:v>PhotoFusion X</x:v>
      </x:c>
      <x:c r="I2485" s="24" t="str">
        <x:v>Poli</x:v>
      </x:c>
      <x:c r="J2485" s="24"/>
      <x:c r="K2485" s="24" t="str">
        <x:v>DuraVision Chrome UV</x:v>
      </x:c>
      <x:c r="L2485" s="40" t="n">
        <x:v>6500</x:v>
      </x:c>
      <x:c r="M2485" s="24" t="str">
        <x:v>-10.00 a +6.00</x:v>
      </x:c>
      <x:c r="N2485" s="24" t="str">
        <x:v>-6.00</x:v>
      </x:c>
      <x:c r="O2485" s="24" t="str">
        <x:v>0.75 a 3.00</x:v>
      </x:c>
      <x:c r="P2485" s="24" t="str">
        <x:v>70</x:v>
      </x:c>
      <x:c r="Q2485" s="24"/>
      <x:c r="R2485" s="24"/>
      <x:c r="S2485" s="26" t="n">
        <x:v>46113</x:v>
      </x:c>
      <x:c r="T2485" s="26"/>
      <x:c r="U2485" s="24" t="str">
        <x:v>ATIVA/SEM FIM INFORMADO</x:v>
      </x:c>
      <x:c r="V2485" s="24" t="str">
        <x:v>Programa de Parcerias ZEISS</x:v>
      </x:c>
      <x:c r="W2485" s="24" t="n">
        <x:v>40</x:v>
      </x:c>
      <x:c r="X2485" s="24" t="str">
        <x:v>tabela_zeiss.pdf</x:v>
      </x:c>
      <x:c r="Y2485" s="24" t="str">
        <x:v>alta</x:v>
      </x:c>
      <x:c r="Z2485" s="24"/>
      <x:c r="AA2485" s="24" t="str">
        <x:v>ZEISS|Progressiva|Surfaçada|SmartLife Pure|PhotoFusion X|Poli||DuraVision Chrome UV|-10.00 a +6.00|-6.00|0.75 a 3.00|70|||40</x:v>
      </x:c>
    </x:row>
    <x:row r="2486">
      <x:c r="A2486" s="24" t="str">
        <x:v>ZS-710D013D6368</x:v>
      </x:c>
      <x:c r="B2486" s="24" t="str">
        <x:v>SIM</x:v>
      </x:c>
      <x:c r="C2486" s="24" t="str">
        <x:v>DISPONÍVEL</x:v>
      </x:c>
      <x:c r="D2486" s="24" t="str">
        <x:v>ZEISS</x:v>
      </x:c>
      <x:c r="E2486" s="24" t="str">
        <x:v>Progressiva</x:v>
      </x:c>
      <x:c r="F2486" s="24" t="str">
        <x:v>Surfaçada</x:v>
      </x:c>
      <x:c r="G2486" s="24" t="str">
        <x:v>SmartLife Pure</x:v>
      </x:c>
      <x:c r="H2486" s="24" t="str">
        <x:v>PhotoFusion X</x:v>
      </x:c>
      <x:c r="I2486" s="24" t="str">
        <x:v>1.6</x:v>
      </x:c>
      <x:c r="J2486" s="24" t="str">
        <x:v>1.60</x:v>
      </x:c>
      <x:c r="K2486" s="24" t="str">
        <x:v>DuraVision Gold UV</x:v>
      </x:c>
      <x:c r="L2486" s="40" t="n">
        <x:v>8050</x:v>
      </x:c>
      <x:c r="M2486" s="24" t="str">
        <x:v>-7.25 a +6.00</x:v>
      </x:c>
      <x:c r="N2486" s="24" t="str">
        <x:v>-6.00</x:v>
      </x:c>
      <x:c r="O2486" s="24" t="str">
        <x:v>0.75 a 3.50</x:v>
      </x:c>
      <x:c r="P2486" s="24" t="str">
        <x:v>75</x:v>
      </x:c>
      <x:c r="Q2486" s="24"/>
      <x:c r="R2486" s="24"/>
      <x:c r="S2486" s="26" t="n">
        <x:v>46113</x:v>
      </x:c>
      <x:c r="T2486" s="26"/>
      <x:c r="U2486" s="24" t="str">
        <x:v>ATIVA/SEM FIM INFORMADO</x:v>
      </x:c>
      <x:c r="V2486" s="24" t="str">
        <x:v>Programa de Parcerias ZEISS</x:v>
      </x:c>
      <x:c r="W2486" s="24" t="n">
        <x:v>40</x:v>
      </x:c>
      <x:c r="X2486" s="24" t="str">
        <x:v>tabela_zeiss.pdf</x:v>
      </x:c>
      <x:c r="Y2486" s="24" t="str">
        <x:v>alta</x:v>
      </x:c>
      <x:c r="Z2486" s="24"/>
      <x:c r="AA2486" s="24" t="str">
        <x:v>ZEISS|Progressiva|Surfaçada|SmartLife Pure|PhotoFusion X|1.6|1.60|DuraVision Gold UV|-7.25 a +6.00|-6.00|0.75 a 3.50|75|||40</x:v>
      </x:c>
    </x:row>
    <x:row r="2487">
      <x:c r="A2487" s="24" t="str">
        <x:v>ZS-79E2A9EB96DE</x:v>
      </x:c>
      <x:c r="B2487" s="24" t="str">
        <x:v>SIM</x:v>
      </x:c>
      <x:c r="C2487" s="24" t="str">
        <x:v>DISPONÍVEL</x:v>
      </x:c>
      <x:c r="D2487" s="24" t="str">
        <x:v>ZEISS</x:v>
      </x:c>
      <x:c r="E2487" s="24" t="str">
        <x:v>Progressiva</x:v>
      </x:c>
      <x:c r="F2487" s="24" t="str">
        <x:v>Surfaçada</x:v>
      </x:c>
      <x:c r="G2487" s="24" t="str">
        <x:v>SmartLife Pure</x:v>
      </x:c>
      <x:c r="H2487" s="24" t="str">
        <x:v>PhotoFusion X</x:v>
      </x:c>
      <x:c r="I2487" s="24" t="str">
        <x:v>1.6</x:v>
      </x:c>
      <x:c r="J2487" s="24" t="str">
        <x:v>1.60</x:v>
      </x:c>
      <x:c r="K2487" s="24" t="str">
        <x:v>DURAVISION® ANTIVÍRUS PLATINUM UV</x:v>
      </x:c>
      <x:c r="L2487" s="40" t="n">
        <x:v>7910</x:v>
      </x:c>
      <x:c r="M2487" s="24" t="str">
        <x:v>-7.25 a +6.00</x:v>
      </x:c>
      <x:c r="N2487" s="24" t="str">
        <x:v>-6.00</x:v>
      </x:c>
      <x:c r="O2487" s="24" t="str">
        <x:v>0.75 a 3.50</x:v>
      </x:c>
      <x:c r="P2487" s="24" t="str">
        <x:v>75</x:v>
      </x:c>
      <x:c r="Q2487" s="24"/>
      <x:c r="R2487" s="24"/>
      <x:c r="S2487" s="26" t="n">
        <x:v>46113</x:v>
      </x:c>
      <x:c r="T2487" s="26"/>
      <x:c r="U2487" s="24" t="str">
        <x:v>ATIVA/SEM FIM INFORMADO</x:v>
      </x:c>
      <x:c r="V2487" s="24" t="str">
        <x:v>Programa de Parcerias ZEISS</x:v>
      </x:c>
      <x:c r="W2487" s="24" t="n">
        <x:v>40</x:v>
      </x:c>
      <x:c r="X2487" s="24" t="str">
        <x:v>tabela_zeiss.pdf</x:v>
      </x:c>
      <x:c r="Y2487" s="24" t="str">
        <x:v>alta</x:v>
      </x:c>
      <x:c r="Z2487" s="24"/>
      <x:c r="AA2487" s="24" t="str">
        <x:v>ZEISS|Progressiva|Surfaçada|SmartLife Pure|PhotoFusion X|1.6|1.60|DURAVISION® ANTIVÍRUS PLATINUM UV|-7.25 a +6.00|-6.00|0.75 a 3.50|75|||40</x:v>
      </x:c>
    </x:row>
    <x:row r="2488">
      <x:c r="A2488" s="24" t="str">
        <x:v>ZS-411B2F6C98C6</x:v>
      </x:c>
      <x:c r="B2488" s="24" t="str">
        <x:v>SIM</x:v>
      </x:c>
      <x:c r="C2488" s="24" t="str">
        <x:v>DISPONÍVEL</x:v>
      </x:c>
      <x:c r="D2488" s="24" t="str">
        <x:v>ZEISS</x:v>
      </x:c>
      <x:c r="E2488" s="24" t="str">
        <x:v>Progressiva</x:v>
      </x:c>
      <x:c r="F2488" s="24" t="str">
        <x:v>Surfaçada</x:v>
      </x:c>
      <x:c r="G2488" s="24" t="str">
        <x:v>SmartLife Pure</x:v>
      </x:c>
      <x:c r="H2488" s="24" t="str">
        <x:v>PhotoFusion X</x:v>
      </x:c>
      <x:c r="I2488" s="24" t="str">
        <x:v>1.6</x:v>
      </x:c>
      <x:c r="J2488" s="24" t="str">
        <x:v>1.60</x:v>
      </x:c>
      <x:c r="K2488" s="24" t="str">
        <x:v>DuraVision Platinum UV</x:v>
      </x:c>
      <x:c r="L2488" s="40" t="n">
        <x:v>7910</x:v>
      </x:c>
      <x:c r="M2488" s="24" t="str">
        <x:v>-7.25 a +6.00</x:v>
      </x:c>
      <x:c r="N2488" s="24" t="str">
        <x:v>-6.00</x:v>
      </x:c>
      <x:c r="O2488" s="24" t="str">
        <x:v>0.75 a 3.50</x:v>
      </x:c>
      <x:c r="P2488" s="24" t="str">
        <x:v>75</x:v>
      </x:c>
      <x:c r="Q2488" s="24"/>
      <x:c r="R2488" s="24"/>
      <x:c r="S2488" s="26" t="n">
        <x:v>46113</x:v>
      </x:c>
      <x:c r="T2488" s="26"/>
      <x:c r="U2488" s="24" t="str">
        <x:v>ATIVA/SEM FIM INFORMADO</x:v>
      </x:c>
      <x:c r="V2488" s="24" t="str">
        <x:v>Programa de Parcerias ZEISS</x:v>
      </x:c>
      <x:c r="W2488" s="24" t="n">
        <x:v>40</x:v>
      </x:c>
      <x:c r="X2488" s="24" t="str">
        <x:v>tabela_zeiss.pdf</x:v>
      </x:c>
      <x:c r="Y2488" s="24" t="str">
        <x:v>alta</x:v>
      </x:c>
      <x:c r="Z2488" s="24"/>
      <x:c r="AA2488" s="24" t="str">
        <x:v>ZEISS|Progressiva|Surfaçada|SmartLife Pure|PhotoFusion X|1.6|1.60|DuraVision Platinum UV|-7.25 a +6.00|-6.00|0.75 a 3.50|75|||40</x:v>
      </x:c>
    </x:row>
    <x:row r="2489">
      <x:c r="A2489" s="24" t="str">
        <x:v>ZS-52C20ECEFC58</x:v>
      </x:c>
      <x:c r="B2489" s="24" t="str">
        <x:v>SIM</x:v>
      </x:c>
      <x:c r="C2489" s="24" t="str">
        <x:v>DISPONÍVEL</x:v>
      </x:c>
      <x:c r="D2489" s="24" t="str">
        <x:v>ZEISS</x:v>
      </x:c>
      <x:c r="E2489" s="24" t="str">
        <x:v>Progressiva</x:v>
      </x:c>
      <x:c r="F2489" s="24" t="str">
        <x:v>Surfaçada</x:v>
      </x:c>
      <x:c r="G2489" s="24" t="str">
        <x:v>SmartLife Pure</x:v>
      </x:c>
      <x:c r="H2489" s="24" t="str">
        <x:v>PhotoFusion X</x:v>
      </x:c>
      <x:c r="I2489" s="24" t="str">
        <x:v>1.6</x:v>
      </x:c>
      <x:c r="J2489" s="24" t="str">
        <x:v>1.60</x:v>
      </x:c>
      <x:c r="K2489" s="24" t="str">
        <x:v>DuraVision Silver UV</x:v>
      </x:c>
      <x:c r="L2489" s="40" t="n">
        <x:v>7650</x:v>
      </x:c>
      <x:c r="M2489" s="24" t="str">
        <x:v>-7.25 a +6.00</x:v>
      </x:c>
      <x:c r="N2489" s="24" t="str">
        <x:v>-6.00</x:v>
      </x:c>
      <x:c r="O2489" s="24" t="str">
        <x:v>0.75 a 3.50</x:v>
      </x:c>
      <x:c r="P2489" s="24" t="str">
        <x:v>75</x:v>
      </x:c>
      <x:c r="Q2489" s="24"/>
      <x:c r="R2489" s="24"/>
      <x:c r="S2489" s="26" t="n">
        <x:v>46113</x:v>
      </x:c>
      <x:c r="T2489" s="26"/>
      <x:c r="U2489" s="24" t="str">
        <x:v>ATIVA/SEM FIM INFORMADO</x:v>
      </x:c>
      <x:c r="V2489" s="24" t="str">
        <x:v>Programa de Parcerias ZEISS</x:v>
      </x:c>
      <x:c r="W2489" s="24" t="n">
        <x:v>40</x:v>
      </x:c>
      <x:c r="X2489" s="24" t="str">
        <x:v>tabela_zeiss.pdf</x:v>
      </x:c>
      <x:c r="Y2489" s="24" t="str">
        <x:v>alta</x:v>
      </x:c>
      <x:c r="Z2489" s="24"/>
      <x:c r="AA2489" s="24" t="str">
        <x:v>ZEISS|Progressiva|Surfaçada|SmartLife Pure|PhotoFusion X|1.6|1.60|DuraVision Silver UV|-7.25 a +6.00|-6.00|0.75 a 3.50|75|||40</x:v>
      </x:c>
    </x:row>
    <x:row r="2490">
      <x:c r="A2490" s="24" t="str">
        <x:v>ZS-6E964E7FD6B6</x:v>
      </x:c>
      <x:c r="B2490" s="24" t="str">
        <x:v>SIM</x:v>
      </x:c>
      <x:c r="C2490" s="24" t="str">
        <x:v>DISPONÍVEL</x:v>
      </x:c>
      <x:c r="D2490" s="24" t="str">
        <x:v>ZEISS</x:v>
      </x:c>
      <x:c r="E2490" s="24" t="str">
        <x:v>Progressiva</x:v>
      </x:c>
      <x:c r="F2490" s="24" t="str">
        <x:v>Surfaçada</x:v>
      </x:c>
      <x:c r="G2490" s="24" t="str">
        <x:v>SmartLife Pure</x:v>
      </x:c>
      <x:c r="H2490" s="24" t="str">
        <x:v>PhotoFusion X</x:v>
      </x:c>
      <x:c r="I2490" s="24" t="str">
        <x:v>1.6</x:v>
      </x:c>
      <x:c r="J2490" s="24" t="str">
        <x:v>1.60</x:v>
      </x:c>
      <x:c r="K2490" s="24" t="str">
        <x:v>DuraVision Chrome UV</x:v>
      </x:c>
      <x:c r="L2490" s="40" t="n">
        <x:v>7160</x:v>
      </x:c>
      <x:c r="M2490" s="24" t="str">
        <x:v>-7.25 a +6.00</x:v>
      </x:c>
      <x:c r="N2490" s="24" t="str">
        <x:v>-6.00</x:v>
      </x:c>
      <x:c r="O2490" s="24" t="str">
        <x:v>0.75 a 3.50</x:v>
      </x:c>
      <x:c r="P2490" s="24" t="str">
        <x:v>75</x:v>
      </x:c>
      <x:c r="Q2490" s="24"/>
      <x:c r="R2490" s="24"/>
      <x:c r="S2490" s="26" t="n">
        <x:v>46113</x:v>
      </x:c>
      <x:c r="T2490" s="26"/>
      <x:c r="U2490" s="24" t="str">
        <x:v>ATIVA/SEM FIM INFORMADO</x:v>
      </x:c>
      <x:c r="V2490" s="24" t="str">
        <x:v>Programa de Parcerias ZEISS</x:v>
      </x:c>
      <x:c r="W2490" s="24" t="n">
        <x:v>40</x:v>
      </x:c>
      <x:c r="X2490" s="24" t="str">
        <x:v>tabela_zeiss.pdf</x:v>
      </x:c>
      <x:c r="Y2490" s="24" t="str">
        <x:v>alta</x:v>
      </x:c>
      <x:c r="Z2490" s="24"/>
      <x:c r="AA2490" s="24" t="str">
        <x:v>ZEISS|Progressiva|Surfaçada|SmartLife Pure|PhotoFusion X|1.6|1.60|DuraVision Chrome UV|-7.25 a +6.00|-6.00|0.75 a 3.50|75|||40</x:v>
      </x:c>
    </x:row>
    <x:row r="2491">
      <x:c r="A2491" s="24" t="str">
        <x:v>ZS-9F999BC49DA0</x:v>
      </x:c>
      <x:c r="B2491" s="24" t="str">
        <x:v>SIM</x:v>
      </x:c>
      <x:c r="C2491" s="24" t="str">
        <x:v>DISPONÍVEL</x:v>
      </x:c>
      <x:c r="D2491" s="24" t="str">
        <x:v>ZEISS</x:v>
      </x:c>
      <x:c r="E2491" s="24" t="str">
        <x:v>Progressiva</x:v>
      </x:c>
      <x:c r="F2491" s="24" t="str">
        <x:v>Surfaçada</x:v>
      </x:c>
      <x:c r="G2491" s="24" t="str">
        <x:v>SmartLife Pure</x:v>
      </x:c>
      <x:c r="H2491" s="24" t="str">
        <x:v>PhotoFusion X</x:v>
      </x:c>
      <x:c r="I2491" s="24" t="str">
        <x:v>1.67</x:v>
      </x:c>
      <x:c r="J2491" s="24" t="str">
        <x:v>1.67</x:v>
      </x:c>
      <x:c r="K2491" s="24" t="str">
        <x:v>DuraVision Gold UV</x:v>
      </x:c>
      <x:c r="L2491" s="40" t="n">
        <x:v>9690</x:v>
      </x:c>
      <x:c r="M2491" s="24" t="str">
        <x:v>-8.00 a +8.00</x:v>
      </x:c>
      <x:c r="N2491" s="24" t="str">
        <x:v>-4.00</x:v>
      </x:c>
      <x:c r="O2491" s="24" t="str">
        <x:v>0.75 a 3.00</x:v>
      </x:c>
      <x:c r="P2491" s="24" t="str">
        <x:v>70</x:v>
      </x:c>
      <x:c r="Q2491" s="24"/>
      <x:c r="R2491" s="24"/>
      <x:c r="S2491" s="26" t="n">
        <x:v>46113</x:v>
      </x:c>
      <x:c r="T2491" s="26"/>
      <x:c r="U2491" s="24" t="str">
        <x:v>ATIVA/SEM FIM INFORMADO</x:v>
      </x:c>
      <x:c r="V2491" s="24" t="str">
        <x:v>Programa de Parcerias ZEISS</x:v>
      </x:c>
      <x:c r="W2491" s="24" t="n">
        <x:v>40</x:v>
      </x:c>
      <x:c r="X2491" s="24" t="str">
        <x:v>tabela_zeiss.pdf</x:v>
      </x:c>
      <x:c r="Y2491" s="24" t="str">
        <x:v>alta</x:v>
      </x:c>
      <x:c r="Z2491" s="24"/>
      <x:c r="AA2491" s="24" t="str">
        <x:v>ZEISS|Progressiva|Surfaçada|SmartLife Pure|PhotoFusion X|1.67|1.67|DuraVision Gold UV|-8.00 a +8.00|-4.00|0.75 a 3.00|70|||40</x:v>
      </x:c>
    </x:row>
    <x:row r="2492">
      <x:c r="A2492" s="24" t="str">
        <x:v>ZS-9E0CC374B1A2</x:v>
      </x:c>
      <x:c r="B2492" s="24" t="str">
        <x:v>SIM</x:v>
      </x:c>
      <x:c r="C2492" s="24" t="str">
        <x:v>DISPONÍVEL</x:v>
      </x:c>
      <x:c r="D2492" s="24" t="str">
        <x:v>ZEISS</x:v>
      </x:c>
      <x:c r="E2492" s="24" t="str">
        <x:v>Progressiva</x:v>
      </x:c>
      <x:c r="F2492" s="24" t="str">
        <x:v>Surfaçada</x:v>
      </x:c>
      <x:c r="G2492" s="24" t="str">
        <x:v>SmartLife Pure</x:v>
      </x:c>
      <x:c r="H2492" s="24" t="str">
        <x:v>PhotoFusion X</x:v>
      </x:c>
      <x:c r="I2492" s="24" t="str">
        <x:v>1.67</x:v>
      </x:c>
      <x:c r="J2492" s="24" t="str">
        <x:v>1.67</x:v>
      </x:c>
      <x:c r="K2492" s="24" t="str">
        <x:v>DURAVISION® ANTIVÍRUS PLATINUM UV</x:v>
      </x:c>
      <x:c r="L2492" s="40" t="n">
        <x:v>9550</x:v>
      </x:c>
      <x:c r="M2492" s="24" t="str">
        <x:v>-8.00 a +8.00</x:v>
      </x:c>
      <x:c r="N2492" s="24" t="str">
        <x:v>-4.00</x:v>
      </x:c>
      <x:c r="O2492" s="24" t="str">
        <x:v>0.75 a 3.00</x:v>
      </x:c>
      <x:c r="P2492" s="24" t="str">
        <x:v>70</x:v>
      </x:c>
      <x:c r="Q2492" s="24"/>
      <x:c r="R2492" s="24"/>
      <x:c r="S2492" s="26" t="n">
        <x:v>46113</x:v>
      </x:c>
      <x:c r="T2492" s="26"/>
      <x:c r="U2492" s="24" t="str">
        <x:v>ATIVA/SEM FIM INFORMADO</x:v>
      </x:c>
      <x:c r="V2492" s="24" t="str">
        <x:v>Programa de Parcerias ZEISS</x:v>
      </x:c>
      <x:c r="W2492" s="24" t="n">
        <x:v>40</x:v>
      </x:c>
      <x:c r="X2492" s="24" t="str">
        <x:v>tabela_zeiss.pdf</x:v>
      </x:c>
      <x:c r="Y2492" s="24" t="str">
        <x:v>alta</x:v>
      </x:c>
      <x:c r="Z2492" s="24"/>
      <x:c r="AA2492" s="24" t="str">
        <x:v>ZEISS|Progressiva|Surfaçada|SmartLife Pure|PhotoFusion X|1.67|1.67|DURAVISION® ANTIVÍRUS PLATINUM UV|-8.00 a +8.00|-4.00|0.75 a 3.00|70|||40</x:v>
      </x:c>
    </x:row>
    <x:row r="2493">
      <x:c r="A2493" s="24" t="str">
        <x:v>ZS-DD12DE332BDA</x:v>
      </x:c>
      <x:c r="B2493" s="24" t="str">
        <x:v>SIM</x:v>
      </x:c>
      <x:c r="C2493" s="24" t="str">
        <x:v>DISPONÍVEL</x:v>
      </x:c>
      <x:c r="D2493" s="24" t="str">
        <x:v>ZEISS</x:v>
      </x:c>
      <x:c r="E2493" s="24" t="str">
        <x:v>Progressiva</x:v>
      </x:c>
      <x:c r="F2493" s="24" t="str">
        <x:v>Surfaçada</x:v>
      </x:c>
      <x:c r="G2493" s="24" t="str">
        <x:v>SmartLife Pure</x:v>
      </x:c>
      <x:c r="H2493" s="24" t="str">
        <x:v>PhotoFusion X</x:v>
      </x:c>
      <x:c r="I2493" s="24" t="str">
        <x:v>1.67</x:v>
      </x:c>
      <x:c r="J2493" s="24" t="str">
        <x:v>1.67</x:v>
      </x:c>
      <x:c r="K2493" s="24" t="str">
        <x:v>DuraVision Platinum UV</x:v>
      </x:c>
      <x:c r="L2493" s="40" t="n">
        <x:v>9550</x:v>
      </x:c>
      <x:c r="M2493" s="24" t="str">
        <x:v>-8.00 a +8.00</x:v>
      </x:c>
      <x:c r="N2493" s="24" t="str">
        <x:v>-4.00</x:v>
      </x:c>
      <x:c r="O2493" s="24" t="str">
        <x:v>0.75 a 3.00</x:v>
      </x:c>
      <x:c r="P2493" s="24" t="str">
        <x:v>70</x:v>
      </x:c>
      <x:c r="Q2493" s="24"/>
      <x:c r="R2493" s="24"/>
      <x:c r="S2493" s="26" t="n">
        <x:v>46113</x:v>
      </x:c>
      <x:c r="T2493" s="26"/>
      <x:c r="U2493" s="24" t="str">
        <x:v>ATIVA/SEM FIM INFORMADO</x:v>
      </x:c>
      <x:c r="V2493" s="24" t="str">
        <x:v>Programa de Parcerias ZEISS</x:v>
      </x:c>
      <x:c r="W2493" s="24" t="n">
        <x:v>40</x:v>
      </x:c>
      <x:c r="X2493" s="24" t="str">
        <x:v>tabela_zeiss.pdf</x:v>
      </x:c>
      <x:c r="Y2493" s="24" t="str">
        <x:v>alta</x:v>
      </x:c>
      <x:c r="Z2493" s="24"/>
      <x:c r="AA2493" s="24" t="str">
        <x:v>ZEISS|Progressiva|Surfaçada|SmartLife Pure|PhotoFusion X|1.67|1.67|DuraVision Platinum UV|-8.00 a +8.00|-4.00|0.75 a 3.00|70|||40</x:v>
      </x:c>
    </x:row>
    <x:row r="2494">
      <x:c r="A2494" s="24" t="str">
        <x:v>ZS-3A3833D64884</x:v>
      </x:c>
      <x:c r="B2494" s="24" t="str">
        <x:v>SIM</x:v>
      </x:c>
      <x:c r="C2494" s="24" t="str">
        <x:v>DISPONÍVEL</x:v>
      </x:c>
      <x:c r="D2494" s="24" t="str">
        <x:v>ZEISS</x:v>
      </x:c>
      <x:c r="E2494" s="24" t="str">
        <x:v>Progressiva</x:v>
      </x:c>
      <x:c r="F2494" s="24" t="str">
        <x:v>Surfaçada</x:v>
      </x:c>
      <x:c r="G2494" s="24" t="str">
        <x:v>SmartLife Pure</x:v>
      </x:c>
      <x:c r="H2494" s="24" t="str">
        <x:v>PhotoFusion X</x:v>
      </x:c>
      <x:c r="I2494" s="24" t="str">
        <x:v>1.67</x:v>
      </x:c>
      <x:c r="J2494" s="24" t="str">
        <x:v>1.67</x:v>
      </x:c>
      <x:c r="K2494" s="24" t="str">
        <x:v>DuraVision Silver UV</x:v>
      </x:c>
      <x:c r="L2494" s="40" t="n">
        <x:v>9290</x:v>
      </x:c>
      <x:c r="M2494" s="24" t="str">
        <x:v>-8.00 a +8.00</x:v>
      </x:c>
      <x:c r="N2494" s="24" t="str">
        <x:v>-4.00</x:v>
      </x:c>
      <x:c r="O2494" s="24" t="str">
        <x:v>0.75 a 3.00</x:v>
      </x:c>
      <x:c r="P2494" s="24" t="str">
        <x:v>70</x:v>
      </x:c>
      <x:c r="Q2494" s="24"/>
      <x:c r="R2494" s="24"/>
      <x:c r="S2494" s="26" t="n">
        <x:v>46113</x:v>
      </x:c>
      <x:c r="T2494" s="26"/>
      <x:c r="U2494" s="24" t="str">
        <x:v>ATIVA/SEM FIM INFORMADO</x:v>
      </x:c>
      <x:c r="V2494" s="24" t="str">
        <x:v>Programa de Parcerias ZEISS</x:v>
      </x:c>
      <x:c r="W2494" s="24" t="n">
        <x:v>40</x:v>
      </x:c>
      <x:c r="X2494" s="24" t="str">
        <x:v>tabela_zeiss.pdf</x:v>
      </x:c>
      <x:c r="Y2494" s="24" t="str">
        <x:v>alta</x:v>
      </x:c>
      <x:c r="Z2494" s="24"/>
      <x:c r="AA2494" s="24" t="str">
        <x:v>ZEISS|Progressiva|Surfaçada|SmartLife Pure|PhotoFusion X|1.67|1.67|DuraVision Silver UV|-8.00 a +8.00|-4.00|0.75 a 3.00|70|||40</x:v>
      </x:c>
    </x:row>
    <x:row r="2495">
      <x:c r="A2495" s="24" t="str">
        <x:v>ZS-CEB9C9DA20CB</x:v>
      </x:c>
      <x:c r="B2495" s="24" t="str">
        <x:v>SIM</x:v>
      </x:c>
      <x:c r="C2495" s="24" t="str">
        <x:v>DISPONÍVEL</x:v>
      </x:c>
      <x:c r="D2495" s="24" t="str">
        <x:v>ZEISS</x:v>
      </x:c>
      <x:c r="E2495" s="24" t="str">
        <x:v>Progressiva</x:v>
      </x:c>
      <x:c r="F2495" s="24" t="str">
        <x:v>Surfaçada</x:v>
      </x:c>
      <x:c r="G2495" s="24" t="str">
        <x:v>SmartLife Pure</x:v>
      </x:c>
      <x:c r="H2495" s="24" t="str">
        <x:v>PhotoFusion X</x:v>
      </x:c>
      <x:c r="I2495" s="24" t="str">
        <x:v>1.67</x:v>
      </x:c>
      <x:c r="J2495" s="24" t="str">
        <x:v>1.67</x:v>
      </x:c>
      <x:c r="K2495" s="24" t="str">
        <x:v>DuraVision Chrome UV</x:v>
      </x:c>
      <x:c r="L2495" s="40" t="n">
        <x:v>8800</x:v>
      </x:c>
      <x:c r="M2495" s="24" t="str">
        <x:v>-8.00 a +8.00</x:v>
      </x:c>
      <x:c r="N2495" s="24" t="str">
        <x:v>-4.00</x:v>
      </x:c>
      <x:c r="O2495" s="24" t="str">
        <x:v>0.75 a 3.00</x:v>
      </x:c>
      <x:c r="P2495" s="24" t="str">
        <x:v>70</x:v>
      </x:c>
      <x:c r="Q2495" s="24"/>
      <x:c r="R2495" s="24"/>
      <x:c r="S2495" s="26" t="n">
        <x:v>46113</x:v>
      </x:c>
      <x:c r="T2495" s="26"/>
      <x:c r="U2495" s="24" t="str">
        <x:v>ATIVA/SEM FIM INFORMADO</x:v>
      </x:c>
      <x:c r="V2495" s="24" t="str">
        <x:v>Programa de Parcerias ZEISS</x:v>
      </x:c>
      <x:c r="W2495" s="24" t="n">
        <x:v>40</x:v>
      </x:c>
      <x:c r="X2495" s="24" t="str">
        <x:v>tabela_zeiss.pdf</x:v>
      </x:c>
      <x:c r="Y2495" s="24" t="str">
        <x:v>alta</x:v>
      </x:c>
      <x:c r="Z2495" s="24"/>
      <x:c r="AA2495" s="24" t="str">
        <x:v>ZEISS|Progressiva|Surfaçada|SmartLife Pure|PhotoFusion X|1.67|1.67|DuraVision Chrome UV|-8.00 a +8.00|-4.00|0.75 a 3.00|70|||40</x:v>
      </x:c>
    </x:row>
    <x:row r="2496">
      <x:c r="A2496" s="24" t="str">
        <x:v>ZS-87BCDF984F85</x:v>
      </x:c>
      <x:c r="B2496" s="24" t="str">
        <x:v>SIM</x:v>
      </x:c>
      <x:c r="C2496" s="24" t="str">
        <x:v>DISPONÍVEL</x:v>
      </x:c>
      <x:c r="D2496" s="24" t="str">
        <x:v>ZEISS</x:v>
      </x:c>
      <x:c r="E2496" s="24" t="str">
        <x:v>Progressiva</x:v>
      </x:c>
      <x:c r="F2496" s="24" t="str">
        <x:v>Surfaçada</x:v>
      </x:c>
      <x:c r="G2496" s="24" t="str">
        <x:v>SmartLife Pure</x:v>
      </x:c>
      <x:c r="H2496" s="24" t="str">
        <x:v>PhotoFusion X Extra Dark Cinza</x:v>
      </x:c>
      <x:c r="I2496" s="24" t="str">
        <x:v>1.5</x:v>
      </x:c>
      <x:c r="J2496" s="24" t="str">
        <x:v>1.50</x:v>
      </x:c>
      <x:c r="K2496" s="24" t="str">
        <x:v>DuraVision Gold UV</x:v>
      </x:c>
      <x:c r="L2496" s="40" t="n">
        <x:v>6850</x:v>
      </x:c>
      <x:c r="M2496" s="24" t="str">
        <x:v>-6.00 a +5.50</x:v>
      </x:c>
      <x:c r="N2496" s="24" t="str">
        <x:v>-4.00</x:v>
      </x:c>
      <x:c r="O2496" s="24" t="str">
        <x:v>0.75 a 3.00</x:v>
      </x:c>
      <x:c r="P2496" s="24" t="str">
        <x:v>75</x:v>
      </x:c>
      <x:c r="Q2496" s="24"/>
      <x:c r="R2496" s="24"/>
      <x:c r="S2496" s="26" t="n">
        <x:v>46113</x:v>
      </x:c>
      <x:c r="T2496" s="26"/>
      <x:c r="U2496" s="24" t="str">
        <x:v>ATIVA/SEM FIM INFORMADO</x:v>
      </x:c>
      <x:c r="V2496" s="24" t="str">
        <x:v>Programa de Parcerias ZEISS</x:v>
      </x:c>
      <x:c r="W2496" s="24" t="n">
        <x:v>40</x:v>
      </x:c>
      <x:c r="X2496" s="24" t="str">
        <x:v>tabela_zeiss.pdf</x:v>
      </x:c>
      <x:c r="Y2496" s="24" t="str">
        <x:v>alta</x:v>
      </x:c>
      <x:c r="Z2496" s="24"/>
      <x:c r="AA2496" s="24" t="str">
        <x:v>ZEISS|Progressiva|Surfaçada|SmartLife Pure|PhotoFusion X Extra Dark Cinza|1.5|1.50|DuraVision Gold UV|-6.00 a +5.50|-4.00|0.75 a 3.00|75|||40</x:v>
      </x:c>
    </x:row>
    <x:row r="2497">
      <x:c r="A2497" s="24" t="str">
        <x:v>ZS-3040B22CBEC7</x:v>
      </x:c>
      <x:c r="B2497" s="24" t="str">
        <x:v>SIM</x:v>
      </x:c>
      <x:c r="C2497" s="24" t="str">
        <x:v>DISPONÍVEL</x:v>
      </x:c>
      <x:c r="D2497" s="24" t="str">
        <x:v>ZEISS</x:v>
      </x:c>
      <x:c r="E2497" s="24" t="str">
        <x:v>Progressiva</x:v>
      </x:c>
      <x:c r="F2497" s="24" t="str">
        <x:v>Surfaçada</x:v>
      </x:c>
      <x:c r="G2497" s="24" t="str">
        <x:v>SmartLife Pure</x:v>
      </x:c>
      <x:c r="H2497" s="24" t="str">
        <x:v>PhotoFusion X Extra Dark Cinza</x:v>
      </x:c>
      <x:c r="I2497" s="24" t="str">
        <x:v>1.5</x:v>
      </x:c>
      <x:c r="J2497" s="24" t="str">
        <x:v>1.50</x:v>
      </x:c>
      <x:c r="K2497" s="24" t="str">
        <x:v>DURAVISION® ANTIVÍRUS PLATINUM UV</x:v>
      </x:c>
      <x:c r="L2497" s="40" t="n">
        <x:v>6710</x:v>
      </x:c>
      <x:c r="M2497" s="24" t="str">
        <x:v>-6.00 a +5.50</x:v>
      </x:c>
      <x:c r="N2497" s="24" t="str">
        <x:v>-4.00</x:v>
      </x:c>
      <x:c r="O2497" s="24" t="str">
        <x:v>0.75 a 3.00</x:v>
      </x:c>
      <x:c r="P2497" s="24" t="str">
        <x:v>75</x:v>
      </x:c>
      <x:c r="Q2497" s="24"/>
      <x:c r="R2497" s="24"/>
      <x:c r="S2497" s="26" t="n">
        <x:v>46113</x:v>
      </x:c>
      <x:c r="T2497" s="26"/>
      <x:c r="U2497" s="24" t="str">
        <x:v>ATIVA/SEM FIM INFORMADO</x:v>
      </x:c>
      <x:c r="V2497" s="24" t="str">
        <x:v>Programa de Parcerias ZEISS</x:v>
      </x:c>
      <x:c r="W2497" s="24" t="n">
        <x:v>40</x:v>
      </x:c>
      <x:c r="X2497" s="24" t="str">
        <x:v>tabela_zeiss.pdf</x:v>
      </x:c>
      <x:c r="Y2497" s="24" t="str">
        <x:v>alta</x:v>
      </x:c>
      <x:c r="Z2497" s="24"/>
      <x:c r="AA2497" s="24" t="str">
        <x:v>ZEISS|Progressiva|Surfaçada|SmartLife Pure|PhotoFusion X Extra Dark Cinza|1.5|1.50|DURAVISION® ANTIVÍRUS PLATINUM UV|-6.00 a +5.50|-4.00|0.75 a 3.00|75|||40</x:v>
      </x:c>
    </x:row>
    <x:row r="2498">
      <x:c r="A2498" s="24" t="str">
        <x:v>ZS-98DB81D9CC35</x:v>
      </x:c>
      <x:c r="B2498" s="24" t="str">
        <x:v>SIM</x:v>
      </x:c>
      <x:c r="C2498" s="24" t="str">
        <x:v>DISPONÍVEL</x:v>
      </x:c>
      <x:c r="D2498" s="24" t="str">
        <x:v>ZEISS</x:v>
      </x:c>
      <x:c r="E2498" s="24" t="str">
        <x:v>Progressiva</x:v>
      </x:c>
      <x:c r="F2498" s="24" t="str">
        <x:v>Surfaçada</x:v>
      </x:c>
      <x:c r="G2498" s="24" t="str">
        <x:v>SmartLife Pure</x:v>
      </x:c>
      <x:c r="H2498" s="24" t="str">
        <x:v>PhotoFusion X Extra Dark Cinza</x:v>
      </x:c>
      <x:c r="I2498" s="24" t="str">
        <x:v>1.5</x:v>
      </x:c>
      <x:c r="J2498" s="24" t="str">
        <x:v>1.50</x:v>
      </x:c>
      <x:c r="K2498" s="24" t="str">
        <x:v>DuraVision Platinum UV</x:v>
      </x:c>
      <x:c r="L2498" s="40" t="n">
        <x:v>6710</x:v>
      </x:c>
      <x:c r="M2498" s="24" t="str">
        <x:v>-6.00 a +5.50</x:v>
      </x:c>
      <x:c r="N2498" s="24" t="str">
        <x:v>-4.00</x:v>
      </x:c>
      <x:c r="O2498" s="24" t="str">
        <x:v>0.75 a 3.00</x:v>
      </x:c>
      <x:c r="P2498" s="24" t="str">
        <x:v>75</x:v>
      </x:c>
      <x:c r="Q2498" s="24"/>
      <x:c r="R2498" s="24"/>
      <x:c r="S2498" s="26" t="n">
        <x:v>46113</x:v>
      </x:c>
      <x:c r="T2498" s="26"/>
      <x:c r="U2498" s="24" t="str">
        <x:v>ATIVA/SEM FIM INFORMADO</x:v>
      </x:c>
      <x:c r="V2498" s="24" t="str">
        <x:v>Programa de Parcerias ZEISS</x:v>
      </x:c>
      <x:c r="W2498" s="24" t="n">
        <x:v>40</x:v>
      </x:c>
      <x:c r="X2498" s="24" t="str">
        <x:v>tabela_zeiss.pdf</x:v>
      </x:c>
      <x:c r="Y2498" s="24" t="str">
        <x:v>alta</x:v>
      </x:c>
      <x:c r="Z2498" s="24"/>
      <x:c r="AA2498" s="24" t="str">
        <x:v>ZEISS|Progressiva|Surfaçada|SmartLife Pure|PhotoFusion X Extra Dark Cinza|1.5|1.50|DuraVision Platinum UV|-6.00 a +5.50|-4.00|0.75 a 3.00|75|||40</x:v>
      </x:c>
    </x:row>
    <x:row r="2499">
      <x:c r="A2499" s="24" t="str">
        <x:v>ZS-01C43CA409F8</x:v>
      </x:c>
      <x:c r="B2499" s="24" t="str">
        <x:v>SIM</x:v>
      </x:c>
      <x:c r="C2499" s="24" t="str">
        <x:v>DISPONÍVEL</x:v>
      </x:c>
      <x:c r="D2499" s="24" t="str">
        <x:v>ZEISS</x:v>
      </x:c>
      <x:c r="E2499" s="24" t="str">
        <x:v>Progressiva</x:v>
      </x:c>
      <x:c r="F2499" s="24" t="str">
        <x:v>Surfaçada</x:v>
      </x:c>
      <x:c r="G2499" s="24" t="str">
        <x:v>SmartLife Pure</x:v>
      </x:c>
      <x:c r="H2499" s="24" t="str">
        <x:v>PhotoFusion X Extra Dark Cinza</x:v>
      </x:c>
      <x:c r="I2499" s="24" t="str">
        <x:v>1.5</x:v>
      </x:c>
      <x:c r="J2499" s="24" t="str">
        <x:v>1.50</x:v>
      </x:c>
      <x:c r="K2499" s="24" t="str">
        <x:v>DuraVision Silver UV</x:v>
      </x:c>
      <x:c r="L2499" s="40" t="n">
        <x:v>6450</x:v>
      </x:c>
      <x:c r="M2499" s="24" t="str">
        <x:v>-6.00 a +5.50</x:v>
      </x:c>
      <x:c r="N2499" s="24" t="str">
        <x:v>-4.00</x:v>
      </x:c>
      <x:c r="O2499" s="24" t="str">
        <x:v>0.75 a 3.00</x:v>
      </x:c>
      <x:c r="P2499" s="24" t="str">
        <x:v>75</x:v>
      </x:c>
      <x:c r="Q2499" s="24"/>
      <x:c r="R2499" s="24"/>
      <x:c r="S2499" s="26" t="n">
        <x:v>46113</x:v>
      </x:c>
      <x:c r="T2499" s="26"/>
      <x:c r="U2499" s="24" t="str">
        <x:v>ATIVA/SEM FIM INFORMADO</x:v>
      </x:c>
      <x:c r="V2499" s="24" t="str">
        <x:v>Programa de Parcerias ZEISS</x:v>
      </x:c>
      <x:c r="W2499" s="24" t="n">
        <x:v>40</x:v>
      </x:c>
      <x:c r="X2499" s="24" t="str">
        <x:v>tabela_zeiss.pdf</x:v>
      </x:c>
      <x:c r="Y2499" s="24" t="str">
        <x:v>alta</x:v>
      </x:c>
      <x:c r="Z2499" s="24"/>
      <x:c r="AA2499" s="24" t="str">
        <x:v>ZEISS|Progressiva|Surfaçada|SmartLife Pure|PhotoFusion X Extra Dark Cinza|1.5|1.50|DuraVision Silver UV|-6.00 a +5.50|-4.00|0.75 a 3.00|75|||40</x:v>
      </x:c>
    </x:row>
    <x:row r="2500">
      <x:c r="A2500" s="24" t="str">
        <x:v>ZS-65F667B7E569</x:v>
      </x:c>
      <x:c r="B2500" s="24" t="str">
        <x:v>SIM</x:v>
      </x:c>
      <x:c r="C2500" s="24" t="str">
        <x:v>DISPONÍVEL</x:v>
      </x:c>
      <x:c r="D2500" s="24" t="str">
        <x:v>ZEISS</x:v>
      </x:c>
      <x:c r="E2500" s="24" t="str">
        <x:v>Progressiva</x:v>
      </x:c>
      <x:c r="F2500" s="24" t="str">
        <x:v>Surfaçada</x:v>
      </x:c>
      <x:c r="G2500" s="24" t="str">
        <x:v>SmartLife Pure</x:v>
      </x:c>
      <x:c r="H2500" s="24" t="str">
        <x:v>PhotoFusion X Extra Dark Cinza</x:v>
      </x:c>
      <x:c r="I2500" s="24" t="str">
        <x:v>1.5</x:v>
      </x:c>
      <x:c r="J2500" s="24" t="str">
        <x:v>1.50</x:v>
      </x:c>
      <x:c r="K2500" s="24" t="str">
        <x:v>DuraVision Chrome UV</x:v>
      </x:c>
      <x:c r="L2500" s="40" t="n">
        <x:v>5960</x:v>
      </x:c>
      <x:c r="M2500" s="24" t="str">
        <x:v>-6.00 a +5.50</x:v>
      </x:c>
      <x:c r="N2500" s="24" t="str">
        <x:v>-4.00</x:v>
      </x:c>
      <x:c r="O2500" s="24" t="str">
        <x:v>0.75 a 3.00</x:v>
      </x:c>
      <x:c r="P2500" s="24" t="str">
        <x:v>75</x:v>
      </x:c>
      <x:c r="Q2500" s="24"/>
      <x:c r="R2500" s="24"/>
      <x:c r="S2500" s="26" t="n">
        <x:v>46113</x:v>
      </x:c>
      <x:c r="T2500" s="26"/>
      <x:c r="U2500" s="24" t="str">
        <x:v>ATIVA/SEM FIM INFORMADO</x:v>
      </x:c>
      <x:c r="V2500" s="24" t="str">
        <x:v>Programa de Parcerias ZEISS</x:v>
      </x:c>
      <x:c r="W2500" s="24" t="n">
        <x:v>40</x:v>
      </x:c>
      <x:c r="X2500" s="24" t="str">
        <x:v>tabela_zeiss.pdf</x:v>
      </x:c>
      <x:c r="Y2500" s="24" t="str">
        <x:v>alta</x:v>
      </x:c>
      <x:c r="Z2500" s="24"/>
      <x:c r="AA2500" s="24" t="str">
        <x:v>ZEISS|Progressiva|Surfaçada|SmartLife Pure|PhotoFusion X Extra Dark Cinza|1.5|1.50|DuraVision Chrome UV|-6.00 a +5.50|-4.00|0.75 a 3.00|75|||40</x:v>
      </x:c>
    </x:row>
    <x:row r="2501">
      <x:c r="A2501" s="24" t="str">
        <x:v>ZS-3C5072616BF2</x:v>
      </x:c>
      <x:c r="B2501" s="24" t="str">
        <x:v>SIM</x:v>
      </x:c>
      <x:c r="C2501" s="24" t="str">
        <x:v>DISPONÍVEL</x:v>
      </x:c>
      <x:c r="D2501" s="24" t="str">
        <x:v>ZEISS</x:v>
      </x:c>
      <x:c r="E2501" s="24" t="str">
        <x:v>Progressiva</x:v>
      </x:c>
      <x:c r="F2501" s="24" t="str">
        <x:v>Surfaçada</x:v>
      </x:c>
      <x:c r="G2501" s="24" t="str">
        <x:v>SmartLife Pure</x:v>
      </x:c>
      <x:c r="H2501" s="24" t="str">
        <x:v>PhotoFusion X Extra Dark Cinza</x:v>
      </x:c>
      <x:c r="I2501" s="24" t="str">
        <x:v>Poli</x:v>
      </x:c>
      <x:c r="J2501" s="24"/>
      <x:c r="K2501" s="24" t="str">
        <x:v>DuraVision Gold UV</x:v>
      </x:c>
      <x:c r="L2501" s="40" t="n">
        <x:v>7440</x:v>
      </x:c>
      <x:c r="M2501" s="24" t="str">
        <x:v>-10.00 a +6.00</x:v>
      </x:c>
      <x:c r="N2501" s="24" t="str">
        <x:v>-6.00</x:v>
      </x:c>
      <x:c r="O2501" s="24" t="str">
        <x:v>0.75 a 3.00</x:v>
      </x:c>
      <x:c r="P2501" s="24" t="str">
        <x:v>70</x:v>
      </x:c>
      <x:c r="Q2501" s="24"/>
      <x:c r="R2501" s="24"/>
      <x:c r="S2501" s="26" t="n">
        <x:v>46113</x:v>
      </x:c>
      <x:c r="T2501" s="26"/>
      <x:c r="U2501" s="24" t="str">
        <x:v>ATIVA/SEM FIM INFORMADO</x:v>
      </x:c>
      <x:c r="V2501" s="24" t="str">
        <x:v>Programa de Parcerias ZEISS</x:v>
      </x:c>
      <x:c r="W2501" s="24" t="n">
        <x:v>40</x:v>
      </x:c>
      <x:c r="X2501" s="24" t="str">
        <x:v>tabela_zeiss.pdf</x:v>
      </x:c>
      <x:c r="Y2501" s="24" t="str">
        <x:v>alta</x:v>
      </x:c>
      <x:c r="Z2501" s="24"/>
      <x:c r="AA2501" s="24" t="str">
        <x:v>ZEISS|Progressiva|Surfaçada|SmartLife Pure|PhotoFusion X Extra Dark Cinza|Poli||DuraVision Gold UV|-10.00 a +6.00|-6.00|0.75 a 3.00|70|||40</x:v>
      </x:c>
    </x:row>
    <x:row r="2502">
      <x:c r="A2502" s="24" t="str">
        <x:v>ZS-2E4095091088</x:v>
      </x:c>
      <x:c r="B2502" s="24" t="str">
        <x:v>SIM</x:v>
      </x:c>
      <x:c r="C2502" s="24" t="str">
        <x:v>DISPONÍVEL</x:v>
      </x:c>
      <x:c r="D2502" s="24" t="str">
        <x:v>ZEISS</x:v>
      </x:c>
      <x:c r="E2502" s="24" t="str">
        <x:v>Progressiva</x:v>
      </x:c>
      <x:c r="F2502" s="24" t="str">
        <x:v>Surfaçada</x:v>
      </x:c>
      <x:c r="G2502" s="24" t="str">
        <x:v>SmartLife Pure</x:v>
      </x:c>
      <x:c r="H2502" s="24" t="str">
        <x:v>PhotoFusion X Extra Dark Cinza</x:v>
      </x:c>
      <x:c r="I2502" s="24" t="str">
        <x:v>Poli</x:v>
      </x:c>
      <x:c r="J2502" s="24"/>
      <x:c r="K2502" s="24" t="str">
        <x:v>DuraVision Platinum UV</x:v>
      </x:c>
      <x:c r="L2502" s="40" t="n">
        <x:v>7300</x:v>
      </x:c>
      <x:c r="M2502" s="24" t="str">
        <x:v>-10.00 a +6.00</x:v>
      </x:c>
      <x:c r="N2502" s="24" t="str">
        <x:v>-6.00</x:v>
      </x:c>
      <x:c r="O2502" s="24" t="str">
        <x:v>0.75 a 3.00</x:v>
      </x:c>
      <x:c r="P2502" s="24" t="str">
        <x:v>70</x:v>
      </x:c>
      <x:c r="Q2502" s="24"/>
      <x:c r="R2502" s="24"/>
      <x:c r="S2502" s="26" t="n">
        <x:v>46113</x:v>
      </x:c>
      <x:c r="T2502" s="26"/>
      <x:c r="U2502" s="24" t="str">
        <x:v>ATIVA/SEM FIM INFORMADO</x:v>
      </x:c>
      <x:c r="V2502" s="24" t="str">
        <x:v>Programa de Parcerias ZEISS</x:v>
      </x:c>
      <x:c r="W2502" s="24" t="n">
        <x:v>40</x:v>
      </x:c>
      <x:c r="X2502" s="24" t="str">
        <x:v>tabela_zeiss.pdf</x:v>
      </x:c>
      <x:c r="Y2502" s="24" t="str">
        <x:v>alta</x:v>
      </x:c>
      <x:c r="Z2502" s="24"/>
      <x:c r="AA2502" s="24" t="str">
        <x:v>ZEISS|Progressiva|Surfaçada|SmartLife Pure|PhotoFusion X Extra Dark Cinza|Poli||DuraVision Platinum UV|-10.00 a +6.00|-6.00|0.75 a 3.00|70|||40</x:v>
      </x:c>
    </x:row>
    <x:row r="2503">
      <x:c r="A2503" s="24" t="str">
        <x:v>ZS-927F063E3326</x:v>
      </x:c>
      <x:c r="B2503" s="24" t="str">
        <x:v>SIM</x:v>
      </x:c>
      <x:c r="C2503" s="24" t="str">
        <x:v>DISPONÍVEL</x:v>
      </x:c>
      <x:c r="D2503" s="24" t="str">
        <x:v>ZEISS</x:v>
      </x:c>
      <x:c r="E2503" s="24" t="str">
        <x:v>Progressiva</x:v>
      </x:c>
      <x:c r="F2503" s="24" t="str">
        <x:v>Surfaçada</x:v>
      </x:c>
      <x:c r="G2503" s="24" t="str">
        <x:v>SmartLife Pure</x:v>
      </x:c>
      <x:c r="H2503" s="24" t="str">
        <x:v>PhotoFusion X Extra Dark Cinza</x:v>
      </x:c>
      <x:c r="I2503" s="24" t="str">
        <x:v>Poli</x:v>
      </x:c>
      <x:c r="J2503" s="24"/>
      <x:c r="K2503" s="24" t="str">
        <x:v>DuraVision Silver UV</x:v>
      </x:c>
      <x:c r="L2503" s="40" t="n">
        <x:v>7040</x:v>
      </x:c>
      <x:c r="M2503" s="24" t="str">
        <x:v>-10.00 a +6.00</x:v>
      </x:c>
      <x:c r="N2503" s="24" t="str">
        <x:v>-6.00</x:v>
      </x:c>
      <x:c r="O2503" s="24" t="str">
        <x:v>0.75 a 3.00</x:v>
      </x:c>
      <x:c r="P2503" s="24" t="str">
        <x:v>70</x:v>
      </x:c>
      <x:c r="Q2503" s="24"/>
      <x:c r="R2503" s="24"/>
      <x:c r="S2503" s="26" t="n">
        <x:v>46113</x:v>
      </x:c>
      <x:c r="T2503" s="26"/>
      <x:c r="U2503" s="24" t="str">
        <x:v>ATIVA/SEM FIM INFORMADO</x:v>
      </x:c>
      <x:c r="V2503" s="24" t="str">
        <x:v>Programa de Parcerias ZEISS</x:v>
      </x:c>
      <x:c r="W2503" s="24" t="n">
        <x:v>40</x:v>
      </x:c>
      <x:c r="X2503" s="24" t="str">
        <x:v>tabela_zeiss.pdf</x:v>
      </x:c>
      <x:c r="Y2503" s="24" t="str">
        <x:v>alta</x:v>
      </x:c>
      <x:c r="Z2503" s="24"/>
      <x:c r="AA2503" s="24" t="str">
        <x:v>ZEISS|Progressiva|Surfaçada|SmartLife Pure|PhotoFusion X Extra Dark Cinza|Poli||DuraVision Silver UV|-10.00 a +6.00|-6.00|0.75 a 3.00|70|||40</x:v>
      </x:c>
    </x:row>
    <x:row r="2504">
      <x:c r="A2504" s="24" t="str">
        <x:v>ZS-59794DFD4D71</x:v>
      </x:c>
      <x:c r="B2504" s="24" t="str">
        <x:v>SIM</x:v>
      </x:c>
      <x:c r="C2504" s="24" t="str">
        <x:v>DISPONÍVEL</x:v>
      </x:c>
      <x:c r="D2504" s="24" t="str">
        <x:v>ZEISS</x:v>
      </x:c>
      <x:c r="E2504" s="24" t="str">
        <x:v>Progressiva</x:v>
      </x:c>
      <x:c r="F2504" s="24" t="str">
        <x:v>Surfaçada</x:v>
      </x:c>
      <x:c r="G2504" s="24" t="str">
        <x:v>SmartLife Pure</x:v>
      </x:c>
      <x:c r="H2504" s="24" t="str">
        <x:v>PhotoFusion X Extra Dark Cinza</x:v>
      </x:c>
      <x:c r="I2504" s="24" t="str">
        <x:v>Poli</x:v>
      </x:c>
      <x:c r="J2504" s="24"/>
      <x:c r="K2504" s="24" t="str">
        <x:v>DuraVision Chrome UV</x:v>
      </x:c>
      <x:c r="L2504" s="40" t="n">
        <x:v>6550</x:v>
      </x:c>
      <x:c r="M2504" s="24" t="str">
        <x:v>-10.00 a +6.00</x:v>
      </x:c>
      <x:c r="N2504" s="24" t="str">
        <x:v>-6.00</x:v>
      </x:c>
      <x:c r="O2504" s="24" t="str">
        <x:v>0.75 a 3.00</x:v>
      </x:c>
      <x:c r="P2504" s="24" t="str">
        <x:v>70</x:v>
      </x:c>
      <x:c r="Q2504" s="24"/>
      <x:c r="R2504" s="24"/>
      <x:c r="S2504" s="26" t="n">
        <x:v>46113</x:v>
      </x:c>
      <x:c r="T2504" s="26"/>
      <x:c r="U2504" s="24" t="str">
        <x:v>ATIVA/SEM FIM INFORMADO</x:v>
      </x:c>
      <x:c r="V2504" s="24" t="str">
        <x:v>Programa de Parcerias ZEISS</x:v>
      </x:c>
      <x:c r="W2504" s="24" t="n">
        <x:v>40</x:v>
      </x:c>
      <x:c r="X2504" s="24" t="str">
        <x:v>tabela_zeiss.pdf</x:v>
      </x:c>
      <x:c r="Y2504" s="24" t="str">
        <x:v>alta</x:v>
      </x:c>
      <x:c r="Z2504" s="24"/>
      <x:c r="AA2504" s="24" t="str">
        <x:v>ZEISS|Progressiva|Surfaçada|SmartLife Pure|PhotoFusion X Extra Dark Cinza|Poli||DuraVision Chrome UV|-10.00 a +6.00|-6.00|0.75 a 3.00|70|||40</x:v>
      </x:c>
    </x:row>
    <x:row r="2505">
      <x:c r="A2505" s="24" t="str">
        <x:v>ZS-3D81336B9E2B</x:v>
      </x:c>
      <x:c r="B2505" s="24" t="str">
        <x:v>SIM</x:v>
      </x:c>
      <x:c r="C2505" s="24" t="str">
        <x:v>DISPONÍVEL</x:v>
      </x:c>
      <x:c r="D2505" s="24" t="str">
        <x:v>ZEISS</x:v>
      </x:c>
      <x:c r="E2505" s="24" t="str">
        <x:v>Progressiva</x:v>
      </x:c>
      <x:c r="F2505" s="24" t="str">
        <x:v>Surfaçada</x:v>
      </x:c>
      <x:c r="G2505" s="24" t="str">
        <x:v>SmartLife Pure</x:v>
      </x:c>
      <x:c r="H2505" s="24" t="str">
        <x:v>PhotoFusion X Extra Dark Cinza</x:v>
      </x:c>
      <x:c r="I2505" s="24" t="str">
        <x:v>1.6</x:v>
      </x:c>
      <x:c r="J2505" s="24" t="str">
        <x:v>1.60</x:v>
      </x:c>
      <x:c r="K2505" s="24" t="str">
        <x:v>DuraVision Gold UV</x:v>
      </x:c>
      <x:c r="L2505" s="40" t="n">
        <x:v>8100</x:v>
      </x:c>
      <x:c r="M2505" s="24" t="str">
        <x:v>-7.25 a +6.00</x:v>
      </x:c>
      <x:c r="N2505" s="24" t="str">
        <x:v>-6.00</x:v>
      </x:c>
      <x:c r="O2505" s="24" t="str">
        <x:v>0.75 a 3.50</x:v>
      </x:c>
      <x:c r="P2505" s="24" t="str">
        <x:v>75</x:v>
      </x:c>
      <x:c r="Q2505" s="24"/>
      <x:c r="R2505" s="24"/>
      <x:c r="S2505" s="26" t="n">
        <x:v>46113</x:v>
      </x:c>
      <x:c r="T2505" s="26"/>
      <x:c r="U2505" s="24" t="str">
        <x:v>ATIVA/SEM FIM INFORMADO</x:v>
      </x:c>
      <x:c r="V2505" s="24" t="str">
        <x:v>Programa de Parcerias ZEISS</x:v>
      </x:c>
      <x:c r="W2505" s="24" t="n">
        <x:v>40</x:v>
      </x:c>
      <x:c r="X2505" s="24" t="str">
        <x:v>tabela_zeiss.pdf</x:v>
      </x:c>
      <x:c r="Y2505" s="24" t="str">
        <x:v>alta</x:v>
      </x:c>
      <x:c r="Z2505" s="24"/>
      <x:c r="AA2505" s="24" t="str">
        <x:v>ZEISS|Progressiva|Surfaçada|SmartLife Pure|PhotoFusion X Extra Dark Cinza|1.6|1.60|DuraVision Gold UV|-7.25 a +6.00|-6.00|0.75 a 3.50|75|||40</x:v>
      </x:c>
    </x:row>
    <x:row r="2506">
      <x:c r="A2506" s="24" t="str">
        <x:v>ZS-7D31FD3FE0D7</x:v>
      </x:c>
      <x:c r="B2506" s="24" t="str">
        <x:v>SIM</x:v>
      </x:c>
      <x:c r="C2506" s="24" t="str">
        <x:v>DISPONÍVEL</x:v>
      </x:c>
      <x:c r="D2506" s="24" t="str">
        <x:v>ZEISS</x:v>
      </x:c>
      <x:c r="E2506" s="24" t="str">
        <x:v>Progressiva</x:v>
      </x:c>
      <x:c r="F2506" s="24" t="str">
        <x:v>Surfaçada</x:v>
      </x:c>
      <x:c r="G2506" s="24" t="str">
        <x:v>SmartLife Pure</x:v>
      </x:c>
      <x:c r="H2506" s="24" t="str">
        <x:v>PhotoFusion X Extra Dark Cinza</x:v>
      </x:c>
      <x:c r="I2506" s="24" t="str">
        <x:v>1.6</x:v>
      </x:c>
      <x:c r="J2506" s="24" t="str">
        <x:v>1.60</x:v>
      </x:c>
      <x:c r="K2506" s="24" t="str">
        <x:v>DURAVISION® ANTIVÍRUS PLATINUM UV</x:v>
      </x:c>
      <x:c r="L2506" s="40" t="n">
        <x:v>7960</x:v>
      </x:c>
      <x:c r="M2506" s="24" t="str">
        <x:v>-7.25 a +6.00</x:v>
      </x:c>
      <x:c r="N2506" s="24" t="str">
        <x:v>-6.00</x:v>
      </x:c>
      <x:c r="O2506" s="24" t="str">
        <x:v>0.75 a 3.50</x:v>
      </x:c>
      <x:c r="P2506" s="24" t="str">
        <x:v>75</x:v>
      </x:c>
      <x:c r="Q2506" s="24"/>
      <x:c r="R2506" s="24"/>
      <x:c r="S2506" s="26" t="n">
        <x:v>46113</x:v>
      </x:c>
      <x:c r="T2506" s="26"/>
      <x:c r="U2506" s="24" t="str">
        <x:v>ATIVA/SEM FIM INFORMADO</x:v>
      </x:c>
      <x:c r="V2506" s="24" t="str">
        <x:v>Programa de Parcerias ZEISS</x:v>
      </x:c>
      <x:c r="W2506" s="24" t="n">
        <x:v>40</x:v>
      </x:c>
      <x:c r="X2506" s="24" t="str">
        <x:v>tabela_zeiss.pdf</x:v>
      </x:c>
      <x:c r="Y2506" s="24" t="str">
        <x:v>alta</x:v>
      </x:c>
      <x:c r="Z2506" s="24"/>
      <x:c r="AA2506" s="24" t="str">
        <x:v>ZEISS|Progressiva|Surfaçada|SmartLife Pure|PhotoFusion X Extra Dark Cinza|1.6|1.60|DURAVISION® ANTIVÍRUS PLATINUM UV|-7.25 a +6.00|-6.00|0.75 a 3.50|75|||40</x:v>
      </x:c>
    </x:row>
    <x:row r="2507">
      <x:c r="A2507" s="24" t="str">
        <x:v>ZS-6837D323142C</x:v>
      </x:c>
      <x:c r="B2507" s="24" t="str">
        <x:v>SIM</x:v>
      </x:c>
      <x:c r="C2507" s="24" t="str">
        <x:v>DISPONÍVEL</x:v>
      </x:c>
      <x:c r="D2507" s="24" t="str">
        <x:v>ZEISS</x:v>
      </x:c>
      <x:c r="E2507" s="24" t="str">
        <x:v>Progressiva</x:v>
      </x:c>
      <x:c r="F2507" s="24" t="str">
        <x:v>Surfaçada</x:v>
      </x:c>
      <x:c r="G2507" s="24" t="str">
        <x:v>SmartLife Pure</x:v>
      </x:c>
      <x:c r="H2507" s="24" t="str">
        <x:v>PhotoFusion X Extra Dark Cinza</x:v>
      </x:c>
      <x:c r="I2507" s="24" t="str">
        <x:v>1.6</x:v>
      </x:c>
      <x:c r="J2507" s="24" t="str">
        <x:v>1.60</x:v>
      </x:c>
      <x:c r="K2507" s="24" t="str">
        <x:v>DuraVision Platinum UV</x:v>
      </x:c>
      <x:c r="L2507" s="40" t="n">
        <x:v>7960</x:v>
      </x:c>
      <x:c r="M2507" s="24" t="str">
        <x:v>-7.25 a +6.00</x:v>
      </x:c>
      <x:c r="N2507" s="24" t="str">
        <x:v>-6.00</x:v>
      </x:c>
      <x:c r="O2507" s="24" t="str">
        <x:v>0.75 a 3.50</x:v>
      </x:c>
      <x:c r="P2507" s="24" t="str">
        <x:v>75</x:v>
      </x:c>
      <x:c r="Q2507" s="24"/>
      <x:c r="R2507" s="24"/>
      <x:c r="S2507" s="26" t="n">
        <x:v>46113</x:v>
      </x:c>
      <x:c r="T2507" s="26"/>
      <x:c r="U2507" s="24" t="str">
        <x:v>ATIVA/SEM FIM INFORMADO</x:v>
      </x:c>
      <x:c r="V2507" s="24" t="str">
        <x:v>Programa de Parcerias ZEISS</x:v>
      </x:c>
      <x:c r="W2507" s="24" t="n">
        <x:v>40</x:v>
      </x:c>
      <x:c r="X2507" s="24" t="str">
        <x:v>tabela_zeiss.pdf</x:v>
      </x:c>
      <x:c r="Y2507" s="24" t="str">
        <x:v>alta</x:v>
      </x:c>
      <x:c r="Z2507" s="24"/>
      <x:c r="AA2507" s="24" t="str">
        <x:v>ZEISS|Progressiva|Surfaçada|SmartLife Pure|PhotoFusion X Extra Dark Cinza|1.6|1.60|DuraVision Platinum UV|-7.25 a +6.00|-6.00|0.75 a 3.50|75|||40</x:v>
      </x:c>
    </x:row>
    <x:row r="2508">
      <x:c r="A2508" s="24" t="str">
        <x:v>ZS-75AA8CEBEA22</x:v>
      </x:c>
      <x:c r="B2508" s="24" t="str">
        <x:v>SIM</x:v>
      </x:c>
      <x:c r="C2508" s="24" t="str">
        <x:v>DISPONÍVEL</x:v>
      </x:c>
      <x:c r="D2508" s="24" t="str">
        <x:v>ZEISS</x:v>
      </x:c>
      <x:c r="E2508" s="24" t="str">
        <x:v>Progressiva</x:v>
      </x:c>
      <x:c r="F2508" s="24" t="str">
        <x:v>Surfaçada</x:v>
      </x:c>
      <x:c r="G2508" s="24" t="str">
        <x:v>SmartLife Pure</x:v>
      </x:c>
      <x:c r="H2508" s="24" t="str">
        <x:v>PhotoFusion X Extra Dark Cinza</x:v>
      </x:c>
      <x:c r="I2508" s="24" t="str">
        <x:v>1.6</x:v>
      </x:c>
      <x:c r="J2508" s="24" t="str">
        <x:v>1.60</x:v>
      </x:c>
      <x:c r="K2508" s="24" t="str">
        <x:v>DuraVision Silver UV</x:v>
      </x:c>
      <x:c r="L2508" s="40" t="n">
        <x:v>7700</x:v>
      </x:c>
      <x:c r="M2508" s="24" t="str">
        <x:v>-7.25 a +6.00</x:v>
      </x:c>
      <x:c r="N2508" s="24" t="str">
        <x:v>-6.00</x:v>
      </x:c>
      <x:c r="O2508" s="24" t="str">
        <x:v>0.75 a 3.50</x:v>
      </x:c>
      <x:c r="P2508" s="24" t="str">
        <x:v>75</x:v>
      </x:c>
      <x:c r="Q2508" s="24"/>
      <x:c r="R2508" s="24"/>
      <x:c r="S2508" s="26" t="n">
        <x:v>46113</x:v>
      </x:c>
      <x:c r="T2508" s="26"/>
      <x:c r="U2508" s="24" t="str">
        <x:v>ATIVA/SEM FIM INFORMADO</x:v>
      </x:c>
      <x:c r="V2508" s="24" t="str">
        <x:v>Programa de Parcerias ZEISS</x:v>
      </x:c>
      <x:c r="W2508" s="24" t="n">
        <x:v>40</x:v>
      </x:c>
      <x:c r="X2508" s="24" t="str">
        <x:v>tabela_zeiss.pdf</x:v>
      </x:c>
      <x:c r="Y2508" s="24" t="str">
        <x:v>alta</x:v>
      </x:c>
      <x:c r="Z2508" s="24"/>
      <x:c r="AA2508" s="24" t="str">
        <x:v>ZEISS|Progressiva|Surfaçada|SmartLife Pure|PhotoFusion X Extra Dark Cinza|1.6|1.60|DuraVision Silver UV|-7.25 a +6.00|-6.00|0.75 a 3.50|75|||40</x:v>
      </x:c>
    </x:row>
    <x:row r="2509">
      <x:c r="A2509" s="24" t="str">
        <x:v>ZS-C46C3B993FE2</x:v>
      </x:c>
      <x:c r="B2509" s="24" t="str">
        <x:v>SIM</x:v>
      </x:c>
      <x:c r="C2509" s="24" t="str">
        <x:v>DISPONÍVEL</x:v>
      </x:c>
      <x:c r="D2509" s="24" t="str">
        <x:v>ZEISS</x:v>
      </x:c>
      <x:c r="E2509" s="24" t="str">
        <x:v>Progressiva</x:v>
      </x:c>
      <x:c r="F2509" s="24" t="str">
        <x:v>Surfaçada</x:v>
      </x:c>
      <x:c r="G2509" s="24" t="str">
        <x:v>SmartLife Pure</x:v>
      </x:c>
      <x:c r="H2509" s="24" t="str">
        <x:v>PhotoFusion X Extra Dark Cinza</x:v>
      </x:c>
      <x:c r="I2509" s="24" t="str">
        <x:v>1.6</x:v>
      </x:c>
      <x:c r="J2509" s="24" t="str">
        <x:v>1.60</x:v>
      </x:c>
      <x:c r="K2509" s="24" t="str">
        <x:v>DuraVision Chrome UV</x:v>
      </x:c>
      <x:c r="L2509" s="40" t="n">
        <x:v>7210</x:v>
      </x:c>
      <x:c r="M2509" s="24" t="str">
        <x:v>-7.25 a +6.00</x:v>
      </x:c>
      <x:c r="N2509" s="24" t="str">
        <x:v>-6.00</x:v>
      </x:c>
      <x:c r="O2509" s="24" t="str">
        <x:v>0.75 a 3.50</x:v>
      </x:c>
      <x:c r="P2509" s="24" t="str">
        <x:v>75</x:v>
      </x:c>
      <x:c r="Q2509" s="24"/>
      <x:c r="R2509" s="24"/>
      <x:c r="S2509" s="26" t="n">
        <x:v>46113</x:v>
      </x:c>
      <x:c r="T2509" s="26"/>
      <x:c r="U2509" s="24" t="str">
        <x:v>ATIVA/SEM FIM INFORMADO</x:v>
      </x:c>
      <x:c r="V2509" s="24" t="str">
        <x:v>Programa de Parcerias ZEISS</x:v>
      </x:c>
      <x:c r="W2509" s="24" t="n">
        <x:v>40</x:v>
      </x:c>
      <x:c r="X2509" s="24" t="str">
        <x:v>tabela_zeiss.pdf</x:v>
      </x:c>
      <x:c r="Y2509" s="24" t="str">
        <x:v>alta</x:v>
      </x:c>
      <x:c r="Z2509" s="24"/>
      <x:c r="AA2509" s="24" t="str">
        <x:v>ZEISS|Progressiva|Surfaçada|SmartLife Pure|PhotoFusion X Extra Dark Cinza|1.6|1.60|DuraVision Chrome UV|-7.25 a +6.00|-6.00|0.75 a 3.50|75|||40</x:v>
      </x:c>
    </x:row>
    <x:row r="2510">
      <x:c r="A2510" s="24" t="str">
        <x:v>ZS-92BA6BDD4F1A</x:v>
      </x:c>
      <x:c r="B2510" s="24" t="str">
        <x:v>SIM</x:v>
      </x:c>
      <x:c r="C2510" s="24" t="str">
        <x:v>DISPONÍVEL</x:v>
      </x:c>
      <x:c r="D2510" s="24" t="str">
        <x:v>ZEISS</x:v>
      </x:c>
      <x:c r="E2510" s="24" t="str">
        <x:v>Progressiva</x:v>
      </x:c>
      <x:c r="F2510" s="24" t="str">
        <x:v>Surfaçada</x:v>
      </x:c>
      <x:c r="G2510" s="24" t="str">
        <x:v>SmartLife Pure</x:v>
      </x:c>
      <x:c r="H2510" s="24" t="str">
        <x:v>PhotoFusion X Extra Dark Cinza</x:v>
      </x:c>
      <x:c r="I2510" s="24" t="str">
        <x:v>1.67</x:v>
      </x:c>
      <x:c r="J2510" s="24" t="str">
        <x:v>1.67</x:v>
      </x:c>
      <x:c r="K2510" s="24" t="str">
        <x:v>DuraVision Gold UV</x:v>
      </x:c>
      <x:c r="L2510" s="40" t="n">
        <x:v>9740</x:v>
      </x:c>
      <x:c r="M2510" s="24" t="str">
        <x:v>-8.00 a +8.00</x:v>
      </x:c>
      <x:c r="N2510" s="24" t="str">
        <x:v>-4.00</x:v>
      </x:c>
      <x:c r="O2510" s="24" t="str">
        <x:v>0.75 a 3.00</x:v>
      </x:c>
      <x:c r="P2510" s="24" t="str">
        <x:v>70</x:v>
      </x:c>
      <x:c r="Q2510" s="24"/>
      <x:c r="R2510" s="24"/>
      <x:c r="S2510" s="26" t="n">
        <x:v>46113</x:v>
      </x:c>
      <x:c r="T2510" s="26"/>
      <x:c r="U2510" s="24" t="str">
        <x:v>ATIVA/SEM FIM INFORMADO</x:v>
      </x:c>
      <x:c r="V2510" s="24" t="str">
        <x:v>Programa de Parcerias ZEISS</x:v>
      </x:c>
      <x:c r="W2510" s="24" t="n">
        <x:v>40</x:v>
      </x:c>
      <x:c r="X2510" s="24" t="str">
        <x:v>tabela_zeiss.pdf</x:v>
      </x:c>
      <x:c r="Y2510" s="24" t="str">
        <x:v>alta</x:v>
      </x:c>
      <x:c r="Z2510" s="24"/>
      <x:c r="AA2510" s="24" t="str">
        <x:v>ZEISS|Progressiva|Surfaçada|SmartLife Pure|PhotoFusion X Extra Dark Cinza|1.67|1.67|DuraVision Gold UV|-8.00 a +8.00|-4.00|0.75 a 3.00|70|||40</x:v>
      </x:c>
    </x:row>
    <x:row r="2511">
      <x:c r="A2511" s="24" t="str">
        <x:v>ZS-5A29C77F3148</x:v>
      </x:c>
      <x:c r="B2511" s="24" t="str">
        <x:v>SIM</x:v>
      </x:c>
      <x:c r="C2511" s="24" t="str">
        <x:v>DISPONÍVEL</x:v>
      </x:c>
      <x:c r="D2511" s="24" t="str">
        <x:v>ZEISS</x:v>
      </x:c>
      <x:c r="E2511" s="24" t="str">
        <x:v>Progressiva</x:v>
      </x:c>
      <x:c r="F2511" s="24" t="str">
        <x:v>Surfaçada</x:v>
      </x:c>
      <x:c r="G2511" s="24" t="str">
        <x:v>SmartLife Pure</x:v>
      </x:c>
      <x:c r="H2511" s="24" t="str">
        <x:v>PhotoFusion X Extra Dark Cinza</x:v>
      </x:c>
      <x:c r="I2511" s="24" t="str">
        <x:v>1.67</x:v>
      </x:c>
      <x:c r="J2511" s="24" t="str">
        <x:v>1.67</x:v>
      </x:c>
      <x:c r="K2511" s="24" t="str">
        <x:v>DURAVISION® ANTIVÍRUS PLATINUM UV</x:v>
      </x:c>
      <x:c r="L2511" s="40" t="n">
        <x:v>9600</x:v>
      </x:c>
      <x:c r="M2511" s="24" t="str">
        <x:v>-8.00 a +8.00</x:v>
      </x:c>
      <x:c r="N2511" s="24" t="str">
        <x:v>-4.00</x:v>
      </x:c>
      <x:c r="O2511" s="24" t="str">
        <x:v>0.75 a 3.00</x:v>
      </x:c>
      <x:c r="P2511" s="24" t="str">
        <x:v>70</x:v>
      </x:c>
      <x:c r="Q2511" s="24"/>
      <x:c r="R2511" s="24"/>
      <x:c r="S2511" s="26" t="n">
        <x:v>46113</x:v>
      </x:c>
      <x:c r="T2511" s="26"/>
      <x:c r="U2511" s="24" t="str">
        <x:v>ATIVA/SEM FIM INFORMADO</x:v>
      </x:c>
      <x:c r="V2511" s="24" t="str">
        <x:v>Programa de Parcerias ZEISS</x:v>
      </x:c>
      <x:c r="W2511" s="24" t="n">
        <x:v>40</x:v>
      </x:c>
      <x:c r="X2511" s="24" t="str">
        <x:v>tabela_zeiss.pdf</x:v>
      </x:c>
      <x:c r="Y2511" s="24" t="str">
        <x:v>alta</x:v>
      </x:c>
      <x:c r="Z2511" s="24"/>
      <x:c r="AA2511" s="24" t="str">
        <x:v>ZEISS|Progressiva|Surfaçada|SmartLife Pure|PhotoFusion X Extra Dark Cinza|1.67|1.67|DURAVISION® ANTIVÍRUS PLATINUM UV|-8.00 a +8.00|-4.00|0.75 a 3.00|70|||40</x:v>
      </x:c>
    </x:row>
    <x:row r="2512">
      <x:c r="A2512" s="24" t="str">
        <x:v>ZS-13F676332B02</x:v>
      </x:c>
      <x:c r="B2512" s="24" t="str">
        <x:v>SIM</x:v>
      </x:c>
      <x:c r="C2512" s="24" t="str">
        <x:v>DISPONÍVEL</x:v>
      </x:c>
      <x:c r="D2512" s="24" t="str">
        <x:v>ZEISS</x:v>
      </x:c>
      <x:c r="E2512" s="24" t="str">
        <x:v>Progressiva</x:v>
      </x:c>
      <x:c r="F2512" s="24" t="str">
        <x:v>Surfaçada</x:v>
      </x:c>
      <x:c r="G2512" s="24" t="str">
        <x:v>SmartLife Pure</x:v>
      </x:c>
      <x:c r="H2512" s="24" t="str">
        <x:v>PhotoFusion X Extra Dark Cinza</x:v>
      </x:c>
      <x:c r="I2512" s="24" t="str">
        <x:v>1.67</x:v>
      </x:c>
      <x:c r="J2512" s="24" t="str">
        <x:v>1.67</x:v>
      </x:c>
      <x:c r="K2512" s="24" t="str">
        <x:v>DuraVision Platinum UV</x:v>
      </x:c>
      <x:c r="L2512" s="40" t="n">
        <x:v>9600</x:v>
      </x:c>
      <x:c r="M2512" s="24" t="str">
        <x:v>-8.00 a +8.00</x:v>
      </x:c>
      <x:c r="N2512" s="24" t="str">
        <x:v>-4.00</x:v>
      </x:c>
      <x:c r="O2512" s="24" t="str">
        <x:v>0.75 a 3.00</x:v>
      </x:c>
      <x:c r="P2512" s="24" t="str">
        <x:v>70</x:v>
      </x:c>
      <x:c r="Q2512" s="24"/>
      <x:c r="R2512" s="24"/>
      <x:c r="S2512" s="26" t="n">
        <x:v>46113</x:v>
      </x:c>
      <x:c r="T2512" s="26"/>
      <x:c r="U2512" s="24" t="str">
        <x:v>ATIVA/SEM FIM INFORMADO</x:v>
      </x:c>
      <x:c r="V2512" s="24" t="str">
        <x:v>Programa de Parcerias ZEISS</x:v>
      </x:c>
      <x:c r="W2512" s="24" t="n">
        <x:v>40</x:v>
      </x:c>
      <x:c r="X2512" s="24" t="str">
        <x:v>tabela_zeiss.pdf</x:v>
      </x:c>
      <x:c r="Y2512" s="24" t="str">
        <x:v>alta</x:v>
      </x:c>
      <x:c r="Z2512" s="24"/>
      <x:c r="AA2512" s="24" t="str">
        <x:v>ZEISS|Progressiva|Surfaçada|SmartLife Pure|PhotoFusion X Extra Dark Cinza|1.67|1.67|DuraVision Platinum UV|-8.00 a +8.00|-4.00|0.75 a 3.00|70|||40</x:v>
      </x:c>
    </x:row>
    <x:row r="2513">
      <x:c r="A2513" s="24" t="str">
        <x:v>ZS-61592F69E582</x:v>
      </x:c>
      <x:c r="B2513" s="24" t="str">
        <x:v>SIM</x:v>
      </x:c>
      <x:c r="C2513" s="24" t="str">
        <x:v>DISPONÍVEL</x:v>
      </x:c>
      <x:c r="D2513" s="24" t="str">
        <x:v>ZEISS</x:v>
      </x:c>
      <x:c r="E2513" s="24" t="str">
        <x:v>Progressiva</x:v>
      </x:c>
      <x:c r="F2513" s="24" t="str">
        <x:v>Surfaçada</x:v>
      </x:c>
      <x:c r="G2513" s="24" t="str">
        <x:v>SmartLife Pure</x:v>
      </x:c>
      <x:c r="H2513" s="24" t="str">
        <x:v>PhotoFusion X Extra Dark Cinza</x:v>
      </x:c>
      <x:c r="I2513" s="24" t="str">
        <x:v>1.67</x:v>
      </x:c>
      <x:c r="J2513" s="24" t="str">
        <x:v>1.67</x:v>
      </x:c>
      <x:c r="K2513" s="24" t="str">
        <x:v>DuraVision Silver UV</x:v>
      </x:c>
      <x:c r="L2513" s="40" t="n">
        <x:v>9340</x:v>
      </x:c>
      <x:c r="M2513" s="24" t="str">
        <x:v>-8.00 a +8.00</x:v>
      </x:c>
      <x:c r="N2513" s="24" t="str">
        <x:v>-4.00</x:v>
      </x:c>
      <x:c r="O2513" s="24" t="str">
        <x:v>0.75 a 3.00</x:v>
      </x:c>
      <x:c r="P2513" s="24" t="str">
        <x:v>70</x:v>
      </x:c>
      <x:c r="Q2513" s="24"/>
      <x:c r="R2513" s="24"/>
      <x:c r="S2513" s="26" t="n">
        <x:v>46113</x:v>
      </x:c>
      <x:c r="T2513" s="26"/>
      <x:c r="U2513" s="24" t="str">
        <x:v>ATIVA/SEM FIM INFORMADO</x:v>
      </x:c>
      <x:c r="V2513" s="24" t="str">
        <x:v>Programa de Parcerias ZEISS</x:v>
      </x:c>
      <x:c r="W2513" s="24" t="n">
        <x:v>40</x:v>
      </x:c>
      <x:c r="X2513" s="24" t="str">
        <x:v>tabela_zeiss.pdf</x:v>
      </x:c>
      <x:c r="Y2513" s="24" t="str">
        <x:v>alta</x:v>
      </x:c>
      <x:c r="Z2513" s="24"/>
      <x:c r="AA2513" s="24" t="str">
        <x:v>ZEISS|Progressiva|Surfaçada|SmartLife Pure|PhotoFusion X Extra Dark Cinza|1.67|1.67|DuraVision Silver UV|-8.00 a +8.00|-4.00|0.75 a 3.00|70|||40</x:v>
      </x:c>
    </x:row>
    <x:row r="2514">
      <x:c r="A2514" s="24" t="str">
        <x:v>ZS-489507DF53E8</x:v>
      </x:c>
      <x:c r="B2514" s="24" t="str">
        <x:v>SIM</x:v>
      </x:c>
      <x:c r="C2514" s="24" t="str">
        <x:v>DISPONÍVEL</x:v>
      </x:c>
      <x:c r="D2514" s="24" t="str">
        <x:v>ZEISS</x:v>
      </x:c>
      <x:c r="E2514" s="24" t="str">
        <x:v>Progressiva</x:v>
      </x:c>
      <x:c r="F2514" s="24" t="str">
        <x:v>Surfaçada</x:v>
      </x:c>
      <x:c r="G2514" s="24" t="str">
        <x:v>SmartLife Pure</x:v>
      </x:c>
      <x:c r="H2514" s="24" t="str">
        <x:v>PhotoFusion X Extra Dark Cinza</x:v>
      </x:c>
      <x:c r="I2514" s="24" t="str">
        <x:v>1.67</x:v>
      </x:c>
      <x:c r="J2514" s="24" t="str">
        <x:v>1.67</x:v>
      </x:c>
      <x:c r="K2514" s="24" t="str">
        <x:v>DuraVision Chrome UV</x:v>
      </x:c>
      <x:c r="L2514" s="40" t="n">
        <x:v>8850</x:v>
      </x:c>
      <x:c r="M2514" s="24" t="str">
        <x:v>-8.00 a +8.00</x:v>
      </x:c>
      <x:c r="N2514" s="24" t="str">
        <x:v>-4.00</x:v>
      </x:c>
      <x:c r="O2514" s="24" t="str">
        <x:v>0.75 a 3.00</x:v>
      </x:c>
      <x:c r="P2514" s="24" t="str">
        <x:v>70</x:v>
      </x:c>
      <x:c r="Q2514" s="24"/>
      <x:c r="R2514" s="24"/>
      <x:c r="S2514" s="26" t="n">
        <x:v>46113</x:v>
      </x:c>
      <x:c r="T2514" s="26"/>
      <x:c r="U2514" s="24" t="str">
        <x:v>ATIVA/SEM FIM INFORMADO</x:v>
      </x:c>
      <x:c r="V2514" s="24" t="str">
        <x:v>Programa de Parcerias ZEISS</x:v>
      </x:c>
      <x:c r="W2514" s="24" t="n">
        <x:v>40</x:v>
      </x:c>
      <x:c r="X2514" s="24" t="str">
        <x:v>tabela_zeiss.pdf</x:v>
      </x:c>
      <x:c r="Y2514" s="24" t="str">
        <x:v>alta</x:v>
      </x:c>
      <x:c r="Z2514" s="24"/>
      <x:c r="AA2514" s="24" t="str">
        <x:v>ZEISS|Progressiva|Surfaçada|SmartLife Pure|PhotoFusion X Extra Dark Cinza|1.67|1.67|DuraVision Chrome UV|-8.00 a +8.00|-4.00|0.75 a 3.00|70|||40</x:v>
      </x:c>
    </x:row>
    <x:row r="2515">
      <x:c r="A2515" s="24" t="str">
        <x:v>ZS-17878B2A26C7</x:v>
      </x:c>
      <x:c r="B2515" s="24" t="str">
        <x:v>SIM</x:v>
      </x:c>
      <x:c r="C2515" s="24" t="str">
        <x:v>DISPONÍVEL</x:v>
      </x:c>
      <x:c r="D2515" s="24" t="str">
        <x:v>ZEISS</x:v>
      </x:c>
      <x:c r="E2515" s="24" t="str">
        <x:v>Progressiva</x:v>
      </x:c>
      <x:c r="F2515" s="24" t="str">
        <x:v>Surfaçada</x:v>
      </x:c>
      <x:c r="G2515" s="24" t="str">
        <x:v>SmartLife Pure</x:v>
      </x:c>
      <x:c r="H2515" s="24" t="str">
        <x:v>Polarizada</x:v>
      </x:c>
      <x:c r="I2515" s="24" t="str">
        <x:v>1.5</x:v>
      </x:c>
      <x:c r="J2515" s="24" t="str">
        <x:v>1.50</x:v>
      </x:c>
      <x:c r="K2515" s="24" t="str">
        <x:v>DuraVision Gold UV</x:v>
      </x:c>
      <x:c r="L2515" s="40" t="n">
        <x:v>6220</x:v>
      </x:c>
      <x:c r="M2515" s="24" t="str">
        <x:v>-6.00 a +6.00</x:v>
      </x:c>
      <x:c r="N2515" s="24" t="str">
        <x:v>-4.00</x:v>
      </x:c>
      <x:c r="O2515" s="24" t="str">
        <x:v>0.75 a 3.50</x:v>
      </x:c>
      <x:c r="P2515" s="24" t="str">
        <x:v>70</x:v>
      </x:c>
      <x:c r="Q2515" s="24"/>
      <x:c r="R2515" s="24"/>
      <x:c r="S2515" s="26" t="n">
        <x:v>46113</x:v>
      </x:c>
      <x:c r="T2515" s="26"/>
      <x:c r="U2515" s="24" t="str">
        <x:v>ATIVA/SEM FIM INFORMADO</x:v>
      </x:c>
      <x:c r="V2515" s="24"/>
      <x:c r="W2515" s="24" t="n">
        <x:v>40</x:v>
      </x:c>
      <x:c r="X2515" s="24" t="str">
        <x:v>tabela_zeiss.pdf</x:v>
      </x:c>
      <x:c r="Y2515" s="24" t="str">
        <x:v>alta</x:v>
      </x:c>
      <x:c r="Z2515" s="24"/>
      <x:c r="AA2515" s="24" t="str">
        <x:v>ZEISS|Progressiva|Surfaçada|SmartLife Pure|Polarizada|1.5|1.50|DuraVision Gold UV|-6.00 a +6.00|-4.00|0.75 a 3.50|70|||40</x:v>
      </x:c>
    </x:row>
    <x:row r="2516">
      <x:c r="A2516" s="24" t="str">
        <x:v>ZS-2E703E5BCDFF</x:v>
      </x:c>
      <x:c r="B2516" s="24" t="str">
        <x:v>SIM</x:v>
      </x:c>
      <x:c r="C2516" s="24" t="str">
        <x:v>DISPONÍVEL</x:v>
      </x:c>
      <x:c r="D2516" s="24" t="str">
        <x:v>ZEISS</x:v>
      </x:c>
      <x:c r="E2516" s="24" t="str">
        <x:v>Progressiva</x:v>
      </x:c>
      <x:c r="F2516" s="24" t="str">
        <x:v>Surfaçada</x:v>
      </x:c>
      <x:c r="G2516" s="24" t="str">
        <x:v>SmartLife Pure</x:v>
      </x:c>
      <x:c r="H2516" s="24" t="str">
        <x:v>Polarizada</x:v>
      </x:c>
      <x:c r="I2516" s="24" t="str">
        <x:v>1.5</x:v>
      </x:c>
      <x:c r="J2516" s="24" t="str">
        <x:v>1.50</x:v>
      </x:c>
      <x:c r="K2516" s="24" t="str">
        <x:v>DuraVision Platinum UV</x:v>
      </x:c>
      <x:c r="L2516" s="40" t="n">
        <x:v>6080</x:v>
      </x:c>
      <x:c r="M2516" s="24" t="str">
        <x:v>-6.00 a +6.00</x:v>
      </x:c>
      <x:c r="N2516" s="24" t="str">
        <x:v>-4.00</x:v>
      </x:c>
      <x:c r="O2516" s="24" t="str">
        <x:v>0.75 a 3.50</x:v>
      </x:c>
      <x:c r="P2516" s="24" t="str">
        <x:v>70</x:v>
      </x:c>
      <x:c r="Q2516" s="24"/>
      <x:c r="R2516" s="24"/>
      <x:c r="S2516" s="26" t="n">
        <x:v>46113</x:v>
      </x:c>
      <x:c r="T2516" s="26"/>
      <x:c r="U2516" s="24" t="str">
        <x:v>ATIVA/SEM FIM INFORMADO</x:v>
      </x:c>
      <x:c r="V2516" s="24"/>
      <x:c r="W2516" s="24" t="n">
        <x:v>40</x:v>
      </x:c>
      <x:c r="X2516" s="24" t="str">
        <x:v>tabela_zeiss.pdf</x:v>
      </x:c>
      <x:c r="Y2516" s="24" t="str">
        <x:v>alta</x:v>
      </x:c>
      <x:c r="Z2516" s="24"/>
      <x:c r="AA2516" s="24" t="str">
        <x:v>ZEISS|Progressiva|Surfaçada|SmartLife Pure|Polarizada|1.5|1.50|DuraVision Platinum UV|-6.00 a +6.00|-4.00|0.75 a 3.50|70|||40</x:v>
      </x:c>
    </x:row>
    <x:row r="2517">
      <x:c r="A2517" s="24" t="str">
        <x:v>ZS-1A09E9089B22</x:v>
      </x:c>
      <x:c r="B2517" s="24" t="str">
        <x:v>SIM</x:v>
      </x:c>
      <x:c r="C2517" s="24" t="str">
        <x:v>DISPONÍVEL</x:v>
      </x:c>
      <x:c r="D2517" s="24" t="str">
        <x:v>ZEISS</x:v>
      </x:c>
      <x:c r="E2517" s="24" t="str">
        <x:v>Progressiva</x:v>
      </x:c>
      <x:c r="F2517" s="24" t="str">
        <x:v>Surfaçada</x:v>
      </x:c>
      <x:c r="G2517" s="24" t="str">
        <x:v>SmartLife Pure</x:v>
      </x:c>
      <x:c r="H2517" s="24" t="str">
        <x:v>Polarizada</x:v>
      </x:c>
      <x:c r="I2517" s="24" t="str">
        <x:v>1.5</x:v>
      </x:c>
      <x:c r="J2517" s="24" t="str">
        <x:v>1.50</x:v>
      </x:c>
      <x:c r="K2517" s="24" t="str">
        <x:v>DuraVision Silver UV</x:v>
      </x:c>
      <x:c r="L2517" s="40" t="n">
        <x:v>5820</x:v>
      </x:c>
      <x:c r="M2517" s="24" t="str">
        <x:v>-6.00 a +6.00</x:v>
      </x:c>
      <x:c r="N2517" s="24" t="str">
        <x:v>-4.00</x:v>
      </x:c>
      <x:c r="O2517" s="24" t="str">
        <x:v>0.75 a 3.50</x:v>
      </x:c>
      <x:c r="P2517" s="24" t="str">
        <x:v>70</x:v>
      </x:c>
      <x:c r="Q2517" s="24"/>
      <x:c r="R2517" s="24"/>
      <x:c r="S2517" s="26" t="n">
        <x:v>46113</x:v>
      </x:c>
      <x:c r="T2517" s="26"/>
      <x:c r="U2517" s="24" t="str">
        <x:v>ATIVA/SEM FIM INFORMADO</x:v>
      </x:c>
      <x:c r="V2517" s="24"/>
      <x:c r="W2517" s="24" t="n">
        <x:v>40</x:v>
      </x:c>
      <x:c r="X2517" s="24" t="str">
        <x:v>tabela_zeiss.pdf</x:v>
      </x:c>
      <x:c r="Y2517" s="24" t="str">
        <x:v>alta</x:v>
      </x:c>
      <x:c r="Z2517" s="24"/>
      <x:c r="AA2517" s="24" t="str">
        <x:v>ZEISS|Progressiva|Surfaçada|SmartLife Pure|Polarizada|1.5|1.50|DuraVision Silver UV|-6.00 a +6.00|-4.00|0.75 a 3.50|70|||40</x:v>
      </x:c>
    </x:row>
    <x:row r="2518">
      <x:c r="A2518" s="24" t="str">
        <x:v>ZS-B993355A04C4</x:v>
      </x:c>
      <x:c r="B2518" s="24" t="str">
        <x:v>SIM</x:v>
      </x:c>
      <x:c r="C2518" s="24" t="str">
        <x:v>DISPONÍVEL</x:v>
      </x:c>
      <x:c r="D2518" s="24" t="str">
        <x:v>ZEISS</x:v>
      </x:c>
      <x:c r="E2518" s="24" t="str">
        <x:v>Progressiva</x:v>
      </x:c>
      <x:c r="F2518" s="24" t="str">
        <x:v>Surfaçada</x:v>
      </x:c>
      <x:c r="G2518" s="24" t="str">
        <x:v>SmartLife Pure</x:v>
      </x:c>
      <x:c r="H2518" s="24" t="str">
        <x:v>Polarizada</x:v>
      </x:c>
      <x:c r="I2518" s="24" t="str">
        <x:v>1.5</x:v>
      </x:c>
      <x:c r="J2518" s="24" t="str">
        <x:v>1.50</x:v>
      </x:c>
      <x:c r="K2518" s="24" t="str">
        <x:v>DuraVision Chrome UV</x:v>
      </x:c>
      <x:c r="L2518" s="40" t="n">
        <x:v>5330</x:v>
      </x:c>
      <x:c r="M2518" s="24" t="str">
        <x:v>-6.00 a +6.00</x:v>
      </x:c>
      <x:c r="N2518" s="24" t="str">
        <x:v>-4.00</x:v>
      </x:c>
      <x:c r="O2518" s="24" t="str">
        <x:v>0.75 a 3.50</x:v>
      </x:c>
      <x:c r="P2518" s="24" t="str">
        <x:v>70</x:v>
      </x:c>
      <x:c r="Q2518" s="24"/>
      <x:c r="R2518" s="24"/>
      <x:c r="S2518" s="26" t="n">
        <x:v>46113</x:v>
      </x:c>
      <x:c r="T2518" s="26"/>
      <x:c r="U2518" s="24" t="str">
        <x:v>ATIVA/SEM FIM INFORMADO</x:v>
      </x:c>
      <x:c r="V2518" s="24"/>
      <x:c r="W2518" s="24" t="n">
        <x:v>40</x:v>
      </x:c>
      <x:c r="X2518" s="24" t="str">
        <x:v>tabela_zeiss.pdf</x:v>
      </x:c>
      <x:c r="Y2518" s="24" t="str">
        <x:v>alta</x:v>
      </x:c>
      <x:c r="Z2518" s="24"/>
      <x:c r="AA2518" s="24" t="str">
        <x:v>ZEISS|Progressiva|Surfaçada|SmartLife Pure|Polarizada|1.5|1.50|DuraVision Chrome UV|-6.00 a +6.00|-4.00|0.75 a 3.50|70|||40</x:v>
      </x:c>
    </x:row>
    <x:row r="2519">
      <x:c r="A2519" s="24" t="str">
        <x:v>ZS-1D7033A2513B</x:v>
      </x:c>
      <x:c r="B2519" s="24" t="str">
        <x:v>SIM</x:v>
      </x:c>
      <x:c r="C2519" s="24" t="str">
        <x:v>DISPONÍVEL</x:v>
      </x:c>
      <x:c r="D2519" s="24" t="str">
        <x:v>ZEISS</x:v>
      </x:c>
      <x:c r="E2519" s="24" t="str">
        <x:v>Progressiva</x:v>
      </x:c>
      <x:c r="F2519" s="24" t="str">
        <x:v>Surfaçada</x:v>
      </x:c>
      <x:c r="G2519" s="24" t="str">
        <x:v>SmartLife Pure</x:v>
      </x:c>
      <x:c r="H2519" s="24" t="str">
        <x:v>Polarizada</x:v>
      </x:c>
      <x:c r="I2519" s="24" t="str">
        <x:v>1.5</x:v>
      </x:c>
      <x:c r="J2519" s="24" t="str">
        <x:v>1.50</x:v>
      </x:c>
      <x:c r="K2519" s="24" t="str">
        <x:v>Sem AR</x:v>
      </x:c>
      <x:c r="L2519" s="40" t="n">
        <x:v>4930</x:v>
      </x:c>
      <x:c r="M2519" s="24" t="str">
        <x:v>-6.00 a +6.00</x:v>
      </x:c>
      <x:c r="N2519" s="24" t="str">
        <x:v>-4.00</x:v>
      </x:c>
      <x:c r="O2519" s="24" t="str">
        <x:v>0.75 a 3.50</x:v>
      </x:c>
      <x:c r="P2519" s="24" t="str">
        <x:v>70</x:v>
      </x:c>
      <x:c r="Q2519" s="24"/>
      <x:c r="R2519" s="24"/>
      <x:c r="S2519" s="26" t="n">
        <x:v>46113</x:v>
      </x:c>
      <x:c r="T2519" s="26"/>
      <x:c r="U2519" s="24" t="str">
        <x:v>ATIVA/SEM FIM INFORMADO</x:v>
      </x:c>
      <x:c r="V2519" s="24"/>
      <x:c r="W2519" s="24" t="n">
        <x:v>40</x:v>
      </x:c>
      <x:c r="X2519" s="24" t="str">
        <x:v>tabela_zeiss.pdf</x:v>
      </x:c>
      <x:c r="Y2519" s="24" t="str">
        <x:v>alta</x:v>
      </x:c>
      <x:c r="Z2519" s="24"/>
      <x:c r="AA2519" s="24" t="str">
        <x:v>ZEISS|Progressiva|Surfaçada|SmartLife Pure|Polarizada|1.5|1.50|Sem AR|-6.00 a +6.00|-4.00|0.75 a 3.50|70|||40</x:v>
      </x:c>
    </x:row>
    <x:row r="2520">
      <x:c r="A2520" s="24" t="str">
        <x:v>ZS-757F48C59E84</x:v>
      </x:c>
      <x:c r="B2520" s="24" t="str">
        <x:v>SIM</x:v>
      </x:c>
      <x:c r="C2520" s="24" t="str">
        <x:v>DISPONÍVEL</x:v>
      </x:c>
      <x:c r="D2520" s="24" t="str">
        <x:v>ZEISS</x:v>
      </x:c>
      <x:c r="E2520" s="24" t="str">
        <x:v>Progressiva</x:v>
      </x:c>
      <x:c r="F2520" s="24" t="str">
        <x:v>Surfaçada</x:v>
      </x:c>
      <x:c r="G2520" s="24" t="str">
        <x:v>SmartLife Pure</x:v>
      </x:c>
      <x:c r="H2520" s="24" t="str">
        <x:v>Polarizada</x:v>
      </x:c>
      <x:c r="I2520" s="24" t="str">
        <x:v>1.6</x:v>
      </x:c>
      <x:c r="J2520" s="24" t="str">
        <x:v>1.60</x:v>
      </x:c>
      <x:c r="K2520" s="24" t="str">
        <x:v>DuraVision Gold UV</x:v>
      </x:c>
      <x:c r="L2520" s="40" t="n">
        <x:v>7470</x:v>
      </x:c>
      <x:c r="M2520" s="24" t="str">
        <x:v>-8.50 a +6.00</x:v>
      </x:c>
      <x:c r="N2520" s="24" t="str">
        <x:v>-4.00</x:v>
      </x:c>
      <x:c r="O2520" s="24" t="str">
        <x:v>0.75 a 3.50</x:v>
      </x:c>
      <x:c r="P2520" s="24" t="str">
        <x:v>70</x:v>
      </x:c>
      <x:c r="Q2520" s="24"/>
      <x:c r="R2520" s="24"/>
      <x:c r="S2520" s="26" t="n">
        <x:v>46113</x:v>
      </x:c>
      <x:c r="T2520" s="26"/>
      <x:c r="U2520" s="24" t="str">
        <x:v>ATIVA/SEM FIM INFORMADO</x:v>
      </x:c>
      <x:c r="V2520" s="24"/>
      <x:c r="W2520" s="24" t="n">
        <x:v>40</x:v>
      </x:c>
      <x:c r="X2520" s="24" t="str">
        <x:v>tabela_zeiss.pdf</x:v>
      </x:c>
      <x:c r="Y2520" s="24" t="str">
        <x:v>alta</x:v>
      </x:c>
      <x:c r="Z2520" s="24"/>
      <x:c r="AA2520" s="24" t="str">
        <x:v>ZEISS|Progressiva|Surfaçada|SmartLife Pure|Polarizada|1.6|1.60|DuraVision Gold UV|-8.50 a +6.00|-4.00|0.75 a 3.50|70|||40</x:v>
      </x:c>
    </x:row>
    <x:row r="2521">
      <x:c r="A2521" s="24" t="str">
        <x:v>ZS-5A1D894814FE</x:v>
      </x:c>
      <x:c r="B2521" s="24" t="str">
        <x:v>SIM</x:v>
      </x:c>
      <x:c r="C2521" s="24" t="str">
        <x:v>DISPONÍVEL</x:v>
      </x:c>
      <x:c r="D2521" s="24" t="str">
        <x:v>ZEISS</x:v>
      </x:c>
      <x:c r="E2521" s="24" t="str">
        <x:v>Progressiva</x:v>
      </x:c>
      <x:c r="F2521" s="24" t="str">
        <x:v>Surfaçada</x:v>
      </x:c>
      <x:c r="G2521" s="24" t="str">
        <x:v>SmartLife Pure</x:v>
      </x:c>
      <x:c r="H2521" s="24" t="str">
        <x:v>Polarizada</x:v>
      </x:c>
      <x:c r="I2521" s="24" t="str">
        <x:v>1.6</x:v>
      </x:c>
      <x:c r="J2521" s="24" t="str">
        <x:v>1.60</x:v>
      </x:c>
      <x:c r="K2521" s="24" t="str">
        <x:v>DuraVision Platinum UV</x:v>
      </x:c>
      <x:c r="L2521" s="40" t="n">
        <x:v>7330</x:v>
      </x:c>
      <x:c r="M2521" s="24" t="str">
        <x:v>-8.50 a +6.00</x:v>
      </x:c>
      <x:c r="N2521" s="24" t="str">
        <x:v>-4.00</x:v>
      </x:c>
      <x:c r="O2521" s="24" t="str">
        <x:v>0.75 a 3.50</x:v>
      </x:c>
      <x:c r="P2521" s="24" t="str">
        <x:v>70</x:v>
      </x:c>
      <x:c r="Q2521" s="24"/>
      <x:c r="R2521" s="24"/>
      <x:c r="S2521" s="26" t="n">
        <x:v>46113</x:v>
      </x:c>
      <x:c r="T2521" s="26"/>
      <x:c r="U2521" s="24" t="str">
        <x:v>ATIVA/SEM FIM INFORMADO</x:v>
      </x:c>
      <x:c r="V2521" s="24"/>
      <x:c r="W2521" s="24" t="n">
        <x:v>40</x:v>
      </x:c>
      <x:c r="X2521" s="24" t="str">
        <x:v>tabela_zeiss.pdf</x:v>
      </x:c>
      <x:c r="Y2521" s="24" t="str">
        <x:v>alta</x:v>
      </x:c>
      <x:c r="Z2521" s="24"/>
      <x:c r="AA2521" s="24" t="str">
        <x:v>ZEISS|Progressiva|Surfaçada|SmartLife Pure|Polarizada|1.6|1.60|DuraVision Platinum UV|-8.50 a +6.00|-4.00|0.75 a 3.50|70|||40</x:v>
      </x:c>
    </x:row>
    <x:row r="2522">
      <x:c r="A2522" s="24" t="str">
        <x:v>ZS-CACA6655DC83</x:v>
      </x:c>
      <x:c r="B2522" s="24" t="str">
        <x:v>SIM</x:v>
      </x:c>
      <x:c r="C2522" s="24" t="str">
        <x:v>DISPONÍVEL</x:v>
      </x:c>
      <x:c r="D2522" s="24" t="str">
        <x:v>ZEISS</x:v>
      </x:c>
      <x:c r="E2522" s="24" t="str">
        <x:v>Progressiva</x:v>
      </x:c>
      <x:c r="F2522" s="24" t="str">
        <x:v>Surfaçada</x:v>
      </x:c>
      <x:c r="G2522" s="24" t="str">
        <x:v>SmartLife Pure</x:v>
      </x:c>
      <x:c r="H2522" s="24" t="str">
        <x:v>Polarizada</x:v>
      </x:c>
      <x:c r="I2522" s="24" t="str">
        <x:v>1.6</x:v>
      </x:c>
      <x:c r="J2522" s="24" t="str">
        <x:v>1.60</x:v>
      </x:c>
      <x:c r="K2522" s="24" t="str">
        <x:v>DuraVision Silver UV</x:v>
      </x:c>
      <x:c r="L2522" s="40" t="n">
        <x:v>7070</x:v>
      </x:c>
      <x:c r="M2522" s="24" t="str">
        <x:v>-8.50 a +6.00</x:v>
      </x:c>
      <x:c r="N2522" s="24" t="str">
        <x:v>-4.00</x:v>
      </x:c>
      <x:c r="O2522" s="24" t="str">
        <x:v>0.75 a 3.50</x:v>
      </x:c>
      <x:c r="P2522" s="24" t="str">
        <x:v>70</x:v>
      </x:c>
      <x:c r="Q2522" s="24"/>
      <x:c r="R2522" s="24"/>
      <x:c r="S2522" s="26" t="n">
        <x:v>46113</x:v>
      </x:c>
      <x:c r="T2522" s="26"/>
      <x:c r="U2522" s="24" t="str">
        <x:v>ATIVA/SEM FIM INFORMADO</x:v>
      </x:c>
      <x:c r="V2522" s="24"/>
      <x:c r="W2522" s="24" t="n">
        <x:v>40</x:v>
      </x:c>
      <x:c r="X2522" s="24" t="str">
        <x:v>tabela_zeiss.pdf</x:v>
      </x:c>
      <x:c r="Y2522" s="24" t="str">
        <x:v>alta</x:v>
      </x:c>
      <x:c r="Z2522" s="24"/>
      <x:c r="AA2522" s="24" t="str">
        <x:v>ZEISS|Progressiva|Surfaçada|SmartLife Pure|Polarizada|1.6|1.60|DuraVision Silver UV|-8.50 a +6.00|-4.00|0.75 a 3.50|70|||40</x:v>
      </x:c>
    </x:row>
    <x:row r="2523">
      <x:c r="A2523" s="24" t="str">
        <x:v>ZS-42AD2E6AA526</x:v>
      </x:c>
      <x:c r="B2523" s="24" t="str">
        <x:v>SIM</x:v>
      </x:c>
      <x:c r="C2523" s="24" t="str">
        <x:v>DISPONÍVEL</x:v>
      </x:c>
      <x:c r="D2523" s="24" t="str">
        <x:v>ZEISS</x:v>
      </x:c>
      <x:c r="E2523" s="24" t="str">
        <x:v>Progressiva</x:v>
      </x:c>
      <x:c r="F2523" s="24" t="str">
        <x:v>Surfaçada</x:v>
      </x:c>
      <x:c r="G2523" s="24" t="str">
        <x:v>SmartLife Pure</x:v>
      </x:c>
      <x:c r="H2523" s="24" t="str">
        <x:v>Polarizada</x:v>
      </x:c>
      <x:c r="I2523" s="24" t="str">
        <x:v>1.6</x:v>
      </x:c>
      <x:c r="J2523" s="24" t="str">
        <x:v>1.60</x:v>
      </x:c>
      <x:c r="K2523" s="24" t="str">
        <x:v>DuraVision Chrome UV</x:v>
      </x:c>
      <x:c r="L2523" s="40" t="n">
        <x:v>6580</x:v>
      </x:c>
      <x:c r="M2523" s="24" t="str">
        <x:v>-8.50 a +6.00</x:v>
      </x:c>
      <x:c r="N2523" s="24" t="str">
        <x:v>-4.00</x:v>
      </x:c>
      <x:c r="O2523" s="24" t="str">
        <x:v>0.75 a 3.50</x:v>
      </x:c>
      <x:c r="P2523" s="24" t="str">
        <x:v>70</x:v>
      </x:c>
      <x:c r="Q2523" s="24"/>
      <x:c r="R2523" s="24"/>
      <x:c r="S2523" s="26" t="n">
        <x:v>46113</x:v>
      </x:c>
      <x:c r="T2523" s="26"/>
      <x:c r="U2523" s="24" t="str">
        <x:v>ATIVA/SEM FIM INFORMADO</x:v>
      </x:c>
      <x:c r="V2523" s="24"/>
      <x:c r="W2523" s="24" t="n">
        <x:v>40</x:v>
      </x:c>
      <x:c r="X2523" s="24" t="str">
        <x:v>tabela_zeiss.pdf</x:v>
      </x:c>
      <x:c r="Y2523" s="24" t="str">
        <x:v>alta</x:v>
      </x:c>
      <x:c r="Z2523" s="24"/>
      <x:c r="AA2523" s="24" t="str">
        <x:v>ZEISS|Progressiva|Surfaçada|SmartLife Pure|Polarizada|1.6|1.60|DuraVision Chrome UV|-8.50 a +6.00|-4.00|0.75 a 3.50|70|||40</x:v>
      </x:c>
    </x:row>
    <x:row r="2524">
      <x:c r="A2524" s="24" t="str">
        <x:v>ZS-106C80768AC6</x:v>
      </x:c>
      <x:c r="B2524" s="24" t="str">
        <x:v>SIM</x:v>
      </x:c>
      <x:c r="C2524" s="24" t="str">
        <x:v>DISPONÍVEL</x:v>
      </x:c>
      <x:c r="D2524" s="24" t="str">
        <x:v>ZEISS</x:v>
      </x:c>
      <x:c r="E2524" s="24" t="str">
        <x:v>Progressiva</x:v>
      </x:c>
      <x:c r="F2524" s="24" t="str">
        <x:v>Surfaçada</x:v>
      </x:c>
      <x:c r="G2524" s="24" t="str">
        <x:v>SmartLife Pure</x:v>
      </x:c>
      <x:c r="H2524" s="24" t="str">
        <x:v>Polarizada</x:v>
      </x:c>
      <x:c r="I2524" s="24" t="str">
        <x:v>1.6</x:v>
      </x:c>
      <x:c r="J2524" s="24" t="str">
        <x:v>1.60</x:v>
      </x:c>
      <x:c r="K2524" s="24" t="str">
        <x:v>Sem AR</x:v>
      </x:c>
      <x:c r="L2524" s="40" t="n">
        <x:v>6180</x:v>
      </x:c>
      <x:c r="M2524" s="24" t="str">
        <x:v>-8.50 a +6.00</x:v>
      </x:c>
      <x:c r="N2524" s="24" t="str">
        <x:v>-4.00</x:v>
      </x:c>
      <x:c r="O2524" s="24" t="str">
        <x:v>0.75 a 3.50</x:v>
      </x:c>
      <x:c r="P2524" s="24" t="str">
        <x:v>70</x:v>
      </x:c>
      <x:c r="Q2524" s="24"/>
      <x:c r="R2524" s="24"/>
      <x:c r="S2524" s="26" t="n">
        <x:v>46113</x:v>
      </x:c>
      <x:c r="T2524" s="26"/>
      <x:c r="U2524" s="24" t="str">
        <x:v>ATIVA/SEM FIM INFORMADO</x:v>
      </x:c>
      <x:c r="V2524" s="24"/>
      <x:c r="W2524" s="24" t="n">
        <x:v>40</x:v>
      </x:c>
      <x:c r="X2524" s="24" t="str">
        <x:v>tabela_zeiss.pdf</x:v>
      </x:c>
      <x:c r="Y2524" s="24" t="str">
        <x:v>alta</x:v>
      </x:c>
      <x:c r="Z2524" s="24"/>
      <x:c r="AA2524" s="24" t="str">
        <x:v>ZEISS|Progressiva|Surfaçada|SmartLife Pure|Polarizada|1.6|1.60|Sem AR|-8.50 a +6.00|-4.00|0.75 a 3.50|70|||40</x:v>
      </x:c>
    </x:row>
    <x:row r="2525">
      <x:c r="A2525" s="24" t="str">
        <x:v>ZS-F8D148014D2A</x:v>
      </x:c>
      <x:c r="B2525" s="24" t="str">
        <x:v>SIM</x:v>
      </x:c>
      <x:c r="C2525" s="24" t="str">
        <x:v>DISPONÍVEL</x:v>
      </x:c>
      <x:c r="D2525" s="24" t="str">
        <x:v>ZEISS</x:v>
      </x:c>
      <x:c r="E2525" s="24" t="str">
        <x:v>Progressiva</x:v>
      </x:c>
      <x:c r="F2525" s="24" t="str">
        <x:v>Surfaçada</x:v>
      </x:c>
      <x:c r="G2525" s="24" t="str">
        <x:v>SmartLife Essential</x:v>
      </x:c>
      <x:c r="H2525" s="24"/>
      <x:c r="I2525" s="24" t="str">
        <x:v>1.5</x:v>
      </x:c>
      <x:c r="J2525" s="24" t="str">
        <x:v>1.50</x:v>
      </x:c>
      <x:c r="K2525" s="24" t="str">
        <x:v>DuraVision Gold UV</x:v>
      </x:c>
      <x:c r="L2525" s="40" t="n">
        <x:v>4480</x:v>
      </x:c>
      <x:c r="M2525" s="24" t="str">
        <x:v>-6.00 a +4.00</x:v>
      </x:c>
      <x:c r="N2525" s="24" t="str">
        <x:v>-4.00</x:v>
      </x:c>
      <x:c r="O2525" s="24" t="str">
        <x:v>0.75 a 3.50</x:v>
      </x:c>
      <x:c r="P2525" s="24" t="str">
        <x:v>75</x:v>
      </x:c>
      <x:c r="Q2525" s="24"/>
      <x:c r="R2525" s="24"/>
      <x:c r="S2525" s="26" t="n">
        <x:v>46113</x:v>
      </x:c>
      <x:c r="T2525" s="26"/>
      <x:c r="U2525" s="24" t="str">
        <x:v>ATIVA/SEM FIM INFORMADO</x:v>
      </x:c>
      <x:c r="V2525" s="24"/>
      <x:c r="W2525" s="24" t="n">
        <x:v>41</x:v>
      </x:c>
      <x:c r="X2525" s="24" t="str">
        <x:v>tabela_zeiss.pdf</x:v>
      </x:c>
      <x:c r="Y2525" s="24" t="str">
        <x:v>alta</x:v>
      </x:c>
      <x:c r="Z2525" s="24"/>
      <x:c r="AA2525" s="24" t="str">
        <x:v>ZEISS|Progressiva|Surfaçada|SmartLife Essential||1.5|1.50|DuraVision Gold UV|-6.00 a +4.00|-4.00|0.75 a 3.50|75|||41</x:v>
      </x:c>
    </x:row>
    <x:row r="2526">
      <x:c r="A2526" s="24" t="str">
        <x:v>ZS-2B8B10494D20</x:v>
      </x:c>
      <x:c r="B2526" s="24" t="str">
        <x:v>SIM</x:v>
      </x:c>
      <x:c r="C2526" s="24" t="str">
        <x:v>DISPONÍVEL</x:v>
      </x:c>
      <x:c r="D2526" s="24" t="str">
        <x:v>ZEISS</x:v>
      </x:c>
      <x:c r="E2526" s="24" t="str">
        <x:v>Progressiva</x:v>
      </x:c>
      <x:c r="F2526" s="24" t="str">
        <x:v>Surfaçada</x:v>
      </x:c>
      <x:c r="G2526" s="24" t="str">
        <x:v>SmartLife Essential</x:v>
      </x:c>
      <x:c r="H2526" s="24"/>
      <x:c r="I2526" s="24" t="str">
        <x:v>1.5</x:v>
      </x:c>
      <x:c r="J2526" s="24" t="str">
        <x:v>1.50</x:v>
      </x:c>
      <x:c r="K2526" s="24" t="str">
        <x:v>DuraVision Platinum UV</x:v>
      </x:c>
      <x:c r="L2526" s="40" t="n">
        <x:v>4340</x:v>
      </x:c>
      <x:c r="M2526" s="24" t="str">
        <x:v>-6.00 a +4.00</x:v>
      </x:c>
      <x:c r="N2526" s="24" t="str">
        <x:v>-4.00</x:v>
      </x:c>
      <x:c r="O2526" s="24" t="str">
        <x:v>0.75 a 3.50</x:v>
      </x:c>
      <x:c r="P2526" s="24" t="str">
        <x:v>75</x:v>
      </x:c>
      <x:c r="Q2526" s="24"/>
      <x:c r="R2526" s="24"/>
      <x:c r="S2526" s="26" t="n">
        <x:v>46113</x:v>
      </x:c>
      <x:c r="T2526" s="26"/>
      <x:c r="U2526" s="24" t="str">
        <x:v>ATIVA/SEM FIM INFORMADO</x:v>
      </x:c>
      <x:c r="V2526" s="24"/>
      <x:c r="W2526" s="24" t="n">
        <x:v>41</x:v>
      </x:c>
      <x:c r="X2526" s="24" t="str">
        <x:v>tabela_zeiss.pdf</x:v>
      </x:c>
      <x:c r="Y2526" s="24" t="str">
        <x:v>alta</x:v>
      </x:c>
      <x:c r="Z2526" s="24"/>
      <x:c r="AA2526" s="24" t="str">
        <x:v>ZEISS|Progressiva|Surfaçada|SmartLife Essential||1.5|1.50|DuraVision Platinum UV|-6.00 a +4.00|-4.00|0.75 a 3.50|75|||41</x:v>
      </x:c>
    </x:row>
    <x:row r="2527">
      <x:c r="A2527" s="24" t="str">
        <x:v>ZS-2BD8F35C0037</x:v>
      </x:c>
      <x:c r="B2527" s="24" t="str">
        <x:v>SIM</x:v>
      </x:c>
      <x:c r="C2527" s="24" t="str">
        <x:v>DISPONÍVEL</x:v>
      </x:c>
      <x:c r="D2527" s="24" t="str">
        <x:v>ZEISS</x:v>
      </x:c>
      <x:c r="E2527" s="24" t="str">
        <x:v>Progressiva</x:v>
      </x:c>
      <x:c r="F2527" s="24" t="str">
        <x:v>Surfaçada</x:v>
      </x:c>
      <x:c r="G2527" s="24" t="str">
        <x:v>SmartLife Essential</x:v>
      </x:c>
      <x:c r="H2527" s="24"/>
      <x:c r="I2527" s="24" t="str">
        <x:v>1.5</x:v>
      </x:c>
      <x:c r="J2527" s="24" t="str">
        <x:v>1.50</x:v>
      </x:c>
      <x:c r="K2527" s="24" t="str">
        <x:v>DuraVision Silver UV</x:v>
      </x:c>
      <x:c r="L2527" s="40" t="n">
        <x:v>4080</x:v>
      </x:c>
      <x:c r="M2527" s="24" t="str">
        <x:v>-6.00 a +4.00</x:v>
      </x:c>
      <x:c r="N2527" s="24" t="str">
        <x:v>-4.00</x:v>
      </x:c>
      <x:c r="O2527" s="24" t="str">
        <x:v>0.75 a 3.50</x:v>
      </x:c>
      <x:c r="P2527" s="24" t="str">
        <x:v>75</x:v>
      </x:c>
      <x:c r="Q2527" s="24"/>
      <x:c r="R2527" s="24"/>
      <x:c r="S2527" s="26" t="n">
        <x:v>46113</x:v>
      </x:c>
      <x:c r="T2527" s="26"/>
      <x:c r="U2527" s="24" t="str">
        <x:v>ATIVA/SEM FIM INFORMADO</x:v>
      </x:c>
      <x:c r="V2527" s="24"/>
      <x:c r="W2527" s="24" t="n">
        <x:v>41</x:v>
      </x:c>
      <x:c r="X2527" s="24" t="str">
        <x:v>tabela_zeiss.pdf</x:v>
      </x:c>
      <x:c r="Y2527" s="24" t="str">
        <x:v>alta</x:v>
      </x:c>
      <x:c r="Z2527" s="24"/>
      <x:c r="AA2527" s="24" t="str">
        <x:v>ZEISS|Progressiva|Surfaçada|SmartLife Essential||1.5|1.50|DuraVision Silver UV|-6.00 a +4.00|-4.00|0.75 a 3.50|75|||41</x:v>
      </x:c>
    </x:row>
    <x:row r="2528">
      <x:c r="A2528" s="24" t="str">
        <x:v>ZS-C64696F6009E</x:v>
      </x:c>
      <x:c r="B2528" s="24" t="str">
        <x:v>SIM</x:v>
      </x:c>
      <x:c r="C2528" s="24" t="str">
        <x:v>DISPONÍVEL</x:v>
      </x:c>
      <x:c r="D2528" s="24" t="str">
        <x:v>ZEISS</x:v>
      </x:c>
      <x:c r="E2528" s="24" t="str">
        <x:v>Progressiva</x:v>
      </x:c>
      <x:c r="F2528" s="24" t="str">
        <x:v>Surfaçada</x:v>
      </x:c>
      <x:c r="G2528" s="24" t="str">
        <x:v>SmartLife Essential</x:v>
      </x:c>
      <x:c r="H2528" s="24"/>
      <x:c r="I2528" s="24" t="str">
        <x:v>1.5</x:v>
      </x:c>
      <x:c r="J2528" s="24" t="str">
        <x:v>1.50</x:v>
      </x:c>
      <x:c r="K2528" s="24" t="str">
        <x:v>DuraVision Chrome UV</x:v>
      </x:c>
      <x:c r="L2528" s="40" t="n">
        <x:v>3590</x:v>
      </x:c>
      <x:c r="M2528" s="24" t="str">
        <x:v>-6.00 a +4.00</x:v>
      </x:c>
      <x:c r="N2528" s="24" t="str">
        <x:v>-4.00</x:v>
      </x:c>
      <x:c r="O2528" s="24" t="str">
        <x:v>0.75 a 3.50</x:v>
      </x:c>
      <x:c r="P2528" s="24" t="str">
        <x:v>75</x:v>
      </x:c>
      <x:c r="Q2528" s="24"/>
      <x:c r="R2528" s="24"/>
      <x:c r="S2528" s="26" t="n">
        <x:v>46113</x:v>
      </x:c>
      <x:c r="T2528" s="26"/>
      <x:c r="U2528" s="24" t="str">
        <x:v>ATIVA/SEM FIM INFORMADO</x:v>
      </x:c>
      <x:c r="V2528" s="24"/>
      <x:c r="W2528" s="24" t="n">
        <x:v>41</x:v>
      </x:c>
      <x:c r="X2528" s="24" t="str">
        <x:v>tabela_zeiss.pdf</x:v>
      </x:c>
      <x:c r="Y2528" s="24" t="str">
        <x:v>alta</x:v>
      </x:c>
      <x:c r="Z2528" s="24"/>
      <x:c r="AA2528" s="24" t="str">
        <x:v>ZEISS|Progressiva|Surfaçada|SmartLife Essential||1.5|1.50|DuraVision Chrome UV|-6.00 a +4.00|-4.00|0.75 a 3.50|75|||41</x:v>
      </x:c>
    </x:row>
    <x:row r="2529">
      <x:c r="A2529" s="24" t="str">
        <x:v>ZS-171B5AB5381E</x:v>
      </x:c>
      <x:c r="B2529" s="24" t="str">
        <x:v>SIM</x:v>
      </x:c>
      <x:c r="C2529" s="24" t="str">
        <x:v>DISPONÍVEL</x:v>
      </x:c>
      <x:c r="D2529" s="24" t="str">
        <x:v>ZEISS</x:v>
      </x:c>
      <x:c r="E2529" s="24" t="str">
        <x:v>Progressiva</x:v>
      </x:c>
      <x:c r="F2529" s="24" t="str">
        <x:v>Surfaçada</x:v>
      </x:c>
      <x:c r="G2529" s="24" t="str">
        <x:v>SmartLife Essential</x:v>
      </x:c>
      <x:c r="H2529" s="24"/>
      <x:c r="I2529" s="24" t="str">
        <x:v>Poli</x:v>
      </x:c>
      <x:c r="J2529" s="24"/>
      <x:c r="K2529" s="24" t="str">
        <x:v>DuraVision Gold UV</x:v>
      </x:c>
      <x:c r="L2529" s="40" t="n">
        <x:v>5070</x:v>
      </x:c>
      <x:c r="M2529" s="24" t="str">
        <x:v>-10.00 a +6.00</x:v>
      </x:c>
      <x:c r="N2529" s="24" t="str">
        <x:v>-6.00</x:v>
      </x:c>
      <x:c r="O2529" s="24" t="str">
        <x:v>0.75 a 3.00</x:v>
      </x:c>
      <x:c r="P2529" s="24" t="str">
        <x:v>75</x:v>
      </x:c>
      <x:c r="Q2529" s="24"/>
      <x:c r="R2529" s="24"/>
      <x:c r="S2529" s="26" t="n">
        <x:v>46113</x:v>
      </x:c>
      <x:c r="T2529" s="26"/>
      <x:c r="U2529" s="24" t="str">
        <x:v>ATIVA/SEM FIM INFORMADO</x:v>
      </x:c>
      <x:c r="V2529" s="24"/>
      <x:c r="W2529" s="24" t="n">
        <x:v>41</x:v>
      </x:c>
      <x:c r="X2529" s="24" t="str">
        <x:v>tabela_zeiss.pdf</x:v>
      </x:c>
      <x:c r="Y2529" s="24" t="str">
        <x:v>alta</x:v>
      </x:c>
      <x:c r="Z2529" s="24"/>
      <x:c r="AA2529" s="24" t="str">
        <x:v>ZEISS|Progressiva|Surfaçada|SmartLife Essential||Poli||DuraVision Gold UV|-10.00 a +6.00|-6.00|0.75 a 3.00|75|||41</x:v>
      </x:c>
    </x:row>
    <x:row r="2530">
      <x:c r="A2530" s="24" t="str">
        <x:v>ZS-1CD20E3A557B</x:v>
      </x:c>
      <x:c r="B2530" s="24" t="str">
        <x:v>SIM</x:v>
      </x:c>
      <x:c r="C2530" s="24" t="str">
        <x:v>DISPONÍVEL</x:v>
      </x:c>
      <x:c r="D2530" s="24" t="str">
        <x:v>ZEISS</x:v>
      </x:c>
      <x:c r="E2530" s="24" t="str">
        <x:v>Progressiva</x:v>
      </x:c>
      <x:c r="F2530" s="24" t="str">
        <x:v>Surfaçada</x:v>
      </x:c>
      <x:c r="G2530" s="24" t="str">
        <x:v>SmartLife Essential</x:v>
      </x:c>
      <x:c r="H2530" s="24"/>
      <x:c r="I2530" s="24" t="str">
        <x:v>Poli</x:v>
      </x:c>
      <x:c r="J2530" s="24"/>
      <x:c r="K2530" s="24" t="str">
        <x:v>DuraVision Platinum UV</x:v>
      </x:c>
      <x:c r="L2530" s="40" t="n">
        <x:v>4930</x:v>
      </x:c>
      <x:c r="M2530" s="24" t="str">
        <x:v>-10.00 a +6.00</x:v>
      </x:c>
      <x:c r="N2530" s="24" t="str">
        <x:v>-6.00</x:v>
      </x:c>
      <x:c r="O2530" s="24" t="str">
        <x:v>0.75 a 3.00</x:v>
      </x:c>
      <x:c r="P2530" s="24" t="str">
        <x:v>75</x:v>
      </x:c>
      <x:c r="Q2530" s="24"/>
      <x:c r="R2530" s="24"/>
      <x:c r="S2530" s="26" t="n">
        <x:v>46113</x:v>
      </x:c>
      <x:c r="T2530" s="26"/>
      <x:c r="U2530" s="24" t="str">
        <x:v>ATIVA/SEM FIM INFORMADO</x:v>
      </x:c>
      <x:c r="V2530" s="24"/>
      <x:c r="W2530" s="24" t="n">
        <x:v>41</x:v>
      </x:c>
      <x:c r="X2530" s="24" t="str">
        <x:v>tabela_zeiss.pdf</x:v>
      </x:c>
      <x:c r="Y2530" s="24" t="str">
        <x:v>alta</x:v>
      </x:c>
      <x:c r="Z2530" s="24"/>
      <x:c r="AA2530" s="24" t="str">
        <x:v>ZEISS|Progressiva|Surfaçada|SmartLife Essential||Poli||DuraVision Platinum UV|-10.00 a +6.00|-6.00|0.75 a 3.00|75|||41</x:v>
      </x:c>
    </x:row>
    <x:row r="2531">
      <x:c r="A2531" s="24" t="str">
        <x:v>ZS-6FEF41F6A4D2</x:v>
      </x:c>
      <x:c r="B2531" s="24" t="str">
        <x:v>SIM</x:v>
      </x:c>
      <x:c r="C2531" s="24" t="str">
        <x:v>DISPONÍVEL</x:v>
      </x:c>
      <x:c r="D2531" s="24" t="str">
        <x:v>ZEISS</x:v>
      </x:c>
      <x:c r="E2531" s="24" t="str">
        <x:v>Progressiva</x:v>
      </x:c>
      <x:c r="F2531" s="24" t="str">
        <x:v>Surfaçada</x:v>
      </x:c>
      <x:c r="G2531" s="24" t="str">
        <x:v>SmartLife Essential</x:v>
      </x:c>
      <x:c r="H2531" s="24"/>
      <x:c r="I2531" s="24" t="str">
        <x:v>Poli</x:v>
      </x:c>
      <x:c r="J2531" s="24"/>
      <x:c r="K2531" s="24" t="str">
        <x:v>DuraVision Silver UV</x:v>
      </x:c>
      <x:c r="L2531" s="40" t="n">
        <x:v>4670</x:v>
      </x:c>
      <x:c r="M2531" s="24" t="str">
        <x:v>-10.00 a +6.00</x:v>
      </x:c>
      <x:c r="N2531" s="24" t="str">
        <x:v>-6.00</x:v>
      </x:c>
      <x:c r="O2531" s="24" t="str">
        <x:v>0.75 a 3.00</x:v>
      </x:c>
      <x:c r="P2531" s="24" t="str">
        <x:v>75</x:v>
      </x:c>
      <x:c r="Q2531" s="24"/>
      <x:c r="R2531" s="24"/>
      <x:c r="S2531" s="26" t="n">
        <x:v>46113</x:v>
      </x:c>
      <x:c r="T2531" s="26"/>
      <x:c r="U2531" s="24" t="str">
        <x:v>ATIVA/SEM FIM INFORMADO</x:v>
      </x:c>
      <x:c r="V2531" s="24"/>
      <x:c r="W2531" s="24" t="n">
        <x:v>41</x:v>
      </x:c>
      <x:c r="X2531" s="24" t="str">
        <x:v>tabela_zeiss.pdf</x:v>
      </x:c>
      <x:c r="Y2531" s="24" t="str">
        <x:v>alta</x:v>
      </x:c>
      <x:c r="Z2531" s="24"/>
      <x:c r="AA2531" s="24" t="str">
        <x:v>ZEISS|Progressiva|Surfaçada|SmartLife Essential||Poli||DuraVision Silver UV|-10.00 a +6.00|-6.00|0.75 a 3.00|75|||41</x:v>
      </x:c>
    </x:row>
    <x:row r="2532">
      <x:c r="A2532" s="24" t="str">
        <x:v>ZS-FAE0E594CF28</x:v>
      </x:c>
      <x:c r="B2532" s="24" t="str">
        <x:v>SIM</x:v>
      </x:c>
      <x:c r="C2532" s="24" t="str">
        <x:v>DISPONÍVEL</x:v>
      </x:c>
      <x:c r="D2532" s="24" t="str">
        <x:v>ZEISS</x:v>
      </x:c>
      <x:c r="E2532" s="24" t="str">
        <x:v>Progressiva</x:v>
      </x:c>
      <x:c r="F2532" s="24" t="str">
        <x:v>Surfaçada</x:v>
      </x:c>
      <x:c r="G2532" s="24" t="str">
        <x:v>SmartLife Essential</x:v>
      </x:c>
      <x:c r="H2532" s="24"/>
      <x:c r="I2532" s="24" t="str">
        <x:v>Poli</x:v>
      </x:c>
      <x:c r="J2532" s="24"/>
      <x:c r="K2532" s="24" t="str">
        <x:v>DuraVision Chrome UV</x:v>
      </x:c>
      <x:c r="L2532" s="40" t="n">
        <x:v>4180</x:v>
      </x:c>
      <x:c r="M2532" s="24" t="str">
        <x:v>-10.00 a +6.00</x:v>
      </x:c>
      <x:c r="N2532" s="24" t="str">
        <x:v>-6.00</x:v>
      </x:c>
      <x:c r="O2532" s="24" t="str">
        <x:v>0.75 a 3.00</x:v>
      </x:c>
      <x:c r="P2532" s="24" t="str">
        <x:v>75</x:v>
      </x:c>
      <x:c r="Q2532" s="24"/>
      <x:c r="R2532" s="24"/>
      <x:c r="S2532" s="26" t="n">
        <x:v>46113</x:v>
      </x:c>
      <x:c r="T2532" s="26"/>
      <x:c r="U2532" s="24" t="str">
        <x:v>ATIVA/SEM FIM INFORMADO</x:v>
      </x:c>
      <x:c r="V2532" s="24"/>
      <x:c r="W2532" s="24" t="n">
        <x:v>41</x:v>
      </x:c>
      <x:c r="X2532" s="24" t="str">
        <x:v>tabela_zeiss.pdf</x:v>
      </x:c>
      <x:c r="Y2532" s="24" t="str">
        <x:v>alta</x:v>
      </x:c>
      <x:c r="Z2532" s="24"/>
      <x:c r="AA2532" s="24" t="str">
        <x:v>ZEISS|Progressiva|Surfaçada|SmartLife Essential||Poli||DuraVision Chrome UV|-10.00 a +6.00|-6.00|0.75 a 3.00|75|||41</x:v>
      </x:c>
    </x:row>
    <x:row r="2533">
      <x:c r="A2533" s="24" t="str">
        <x:v>ZS-830348AC9C42</x:v>
      </x:c>
      <x:c r="B2533" s="24" t="str">
        <x:v>SIM</x:v>
      </x:c>
      <x:c r="C2533" s="24" t="str">
        <x:v>DISPONÍVEL</x:v>
      </x:c>
      <x:c r="D2533" s="24" t="str">
        <x:v>ZEISS</x:v>
      </x:c>
      <x:c r="E2533" s="24" t="str">
        <x:v>Progressiva</x:v>
      </x:c>
      <x:c r="F2533" s="24" t="str">
        <x:v>Surfaçada</x:v>
      </x:c>
      <x:c r="G2533" s="24" t="str">
        <x:v>SmartLife Essential</x:v>
      </x:c>
      <x:c r="H2533" s="24"/>
      <x:c r="I2533" s="24" t="str">
        <x:v>1.6</x:v>
      </x:c>
      <x:c r="J2533" s="24" t="str">
        <x:v>1.60</x:v>
      </x:c>
      <x:c r="K2533" s="24" t="str">
        <x:v>DuraVision Gold UV</x:v>
      </x:c>
      <x:c r="L2533" s="40" t="n">
        <x:v>5730</x:v>
      </x:c>
      <x:c r="M2533" s="24" t="str">
        <x:v>-7.25 a +6.00</x:v>
      </x:c>
      <x:c r="N2533" s="24" t="str">
        <x:v>-6.00</x:v>
      </x:c>
      <x:c r="O2533" s="24" t="str">
        <x:v>0.75 a 3.50</x:v>
      </x:c>
      <x:c r="P2533" s="24" t="str">
        <x:v>75</x:v>
      </x:c>
      <x:c r="Q2533" s="24"/>
      <x:c r="R2533" s="24"/>
      <x:c r="S2533" s="26" t="n">
        <x:v>46113</x:v>
      </x:c>
      <x:c r="T2533" s="26"/>
      <x:c r="U2533" s="24" t="str">
        <x:v>ATIVA/SEM FIM INFORMADO</x:v>
      </x:c>
      <x:c r="V2533" s="24"/>
      <x:c r="W2533" s="24" t="n">
        <x:v>41</x:v>
      </x:c>
      <x:c r="X2533" s="24" t="str">
        <x:v>tabela_zeiss.pdf</x:v>
      </x:c>
      <x:c r="Y2533" s="24" t="str">
        <x:v>alta</x:v>
      </x:c>
      <x:c r="Z2533" s="24"/>
      <x:c r="AA2533" s="24" t="str">
        <x:v>ZEISS|Progressiva|Surfaçada|SmartLife Essential||1.6|1.60|DuraVision Gold UV|-7.25 a +6.00|-6.00|0.75 a 3.50|75|||41</x:v>
      </x:c>
    </x:row>
    <x:row r="2534">
      <x:c r="A2534" s="24" t="str">
        <x:v>ZS-D8B279241033</x:v>
      </x:c>
      <x:c r="B2534" s="24" t="str">
        <x:v>SIM</x:v>
      </x:c>
      <x:c r="C2534" s="24" t="str">
        <x:v>DISPONÍVEL</x:v>
      </x:c>
      <x:c r="D2534" s="24" t="str">
        <x:v>ZEISS</x:v>
      </x:c>
      <x:c r="E2534" s="24" t="str">
        <x:v>Progressiva</x:v>
      </x:c>
      <x:c r="F2534" s="24" t="str">
        <x:v>Surfaçada</x:v>
      </x:c>
      <x:c r="G2534" s="24" t="str">
        <x:v>SmartLife Essential</x:v>
      </x:c>
      <x:c r="H2534" s="24"/>
      <x:c r="I2534" s="24" t="str">
        <x:v>1.6</x:v>
      </x:c>
      <x:c r="J2534" s="24" t="str">
        <x:v>1.60</x:v>
      </x:c>
      <x:c r="K2534" s="24" t="str">
        <x:v>DuraVision Platinum UV</x:v>
      </x:c>
      <x:c r="L2534" s="40" t="n">
        <x:v>5590</x:v>
      </x:c>
      <x:c r="M2534" s="24" t="str">
        <x:v>-7.25 a +6.00</x:v>
      </x:c>
      <x:c r="N2534" s="24" t="str">
        <x:v>-6.00</x:v>
      </x:c>
      <x:c r="O2534" s="24" t="str">
        <x:v>0.75 a 3.50</x:v>
      </x:c>
      <x:c r="P2534" s="24" t="str">
        <x:v>75</x:v>
      </x:c>
      <x:c r="Q2534" s="24"/>
      <x:c r="R2534" s="24"/>
      <x:c r="S2534" s="26" t="n">
        <x:v>46113</x:v>
      </x:c>
      <x:c r="T2534" s="26"/>
      <x:c r="U2534" s="24" t="str">
        <x:v>ATIVA/SEM FIM INFORMADO</x:v>
      </x:c>
      <x:c r="V2534" s="24"/>
      <x:c r="W2534" s="24" t="n">
        <x:v>41</x:v>
      </x:c>
      <x:c r="X2534" s="24" t="str">
        <x:v>tabela_zeiss.pdf</x:v>
      </x:c>
      <x:c r="Y2534" s="24" t="str">
        <x:v>alta</x:v>
      </x:c>
      <x:c r="Z2534" s="24"/>
      <x:c r="AA2534" s="24" t="str">
        <x:v>ZEISS|Progressiva|Surfaçada|SmartLife Essential||1.6|1.60|DuraVision Platinum UV|-7.25 a +6.00|-6.00|0.75 a 3.50|75|||41</x:v>
      </x:c>
    </x:row>
    <x:row r="2535">
      <x:c r="A2535" s="24" t="str">
        <x:v>ZS-45DE1E4B7CD1</x:v>
      </x:c>
      <x:c r="B2535" s="24" t="str">
        <x:v>SIM</x:v>
      </x:c>
      <x:c r="C2535" s="24" t="str">
        <x:v>DISPONÍVEL</x:v>
      </x:c>
      <x:c r="D2535" s="24" t="str">
        <x:v>ZEISS</x:v>
      </x:c>
      <x:c r="E2535" s="24" t="str">
        <x:v>Progressiva</x:v>
      </x:c>
      <x:c r="F2535" s="24" t="str">
        <x:v>Surfaçada</x:v>
      </x:c>
      <x:c r="G2535" s="24" t="str">
        <x:v>SmartLife Essential</x:v>
      </x:c>
      <x:c r="H2535" s="24"/>
      <x:c r="I2535" s="24" t="str">
        <x:v>1.6</x:v>
      </x:c>
      <x:c r="J2535" s="24" t="str">
        <x:v>1.60</x:v>
      </x:c>
      <x:c r="K2535" s="24" t="str">
        <x:v>DuraVision Silver UV</x:v>
      </x:c>
      <x:c r="L2535" s="40" t="n">
        <x:v>5330</x:v>
      </x:c>
      <x:c r="M2535" s="24" t="str">
        <x:v>-7.25 a +6.00</x:v>
      </x:c>
      <x:c r="N2535" s="24" t="str">
        <x:v>-6.00</x:v>
      </x:c>
      <x:c r="O2535" s="24" t="str">
        <x:v>0.75 a 3.50</x:v>
      </x:c>
      <x:c r="P2535" s="24" t="str">
        <x:v>75</x:v>
      </x:c>
      <x:c r="Q2535" s="24"/>
      <x:c r="R2535" s="24"/>
      <x:c r="S2535" s="26" t="n">
        <x:v>46113</x:v>
      </x:c>
      <x:c r="T2535" s="26"/>
      <x:c r="U2535" s="24" t="str">
        <x:v>ATIVA/SEM FIM INFORMADO</x:v>
      </x:c>
      <x:c r="V2535" s="24"/>
      <x:c r="W2535" s="24" t="n">
        <x:v>41</x:v>
      </x:c>
      <x:c r="X2535" s="24" t="str">
        <x:v>tabela_zeiss.pdf</x:v>
      </x:c>
      <x:c r="Y2535" s="24" t="str">
        <x:v>alta</x:v>
      </x:c>
      <x:c r="Z2535" s="24"/>
      <x:c r="AA2535" s="24" t="str">
        <x:v>ZEISS|Progressiva|Surfaçada|SmartLife Essential||1.6|1.60|DuraVision Silver UV|-7.25 a +6.00|-6.00|0.75 a 3.50|75|||41</x:v>
      </x:c>
    </x:row>
    <x:row r="2536">
      <x:c r="A2536" s="24" t="str">
        <x:v>ZS-AB68426AAA2A</x:v>
      </x:c>
      <x:c r="B2536" s="24" t="str">
        <x:v>SIM</x:v>
      </x:c>
      <x:c r="C2536" s="24" t="str">
        <x:v>DISPONÍVEL</x:v>
      </x:c>
      <x:c r="D2536" s="24" t="str">
        <x:v>ZEISS</x:v>
      </x:c>
      <x:c r="E2536" s="24" t="str">
        <x:v>Progressiva</x:v>
      </x:c>
      <x:c r="F2536" s="24" t="str">
        <x:v>Surfaçada</x:v>
      </x:c>
      <x:c r="G2536" s="24" t="str">
        <x:v>SmartLife Essential</x:v>
      </x:c>
      <x:c r="H2536" s="24"/>
      <x:c r="I2536" s="24" t="str">
        <x:v>1.6</x:v>
      </x:c>
      <x:c r="J2536" s="24" t="str">
        <x:v>1.60</x:v>
      </x:c>
      <x:c r="K2536" s="24" t="str">
        <x:v>DuraVision Chrome UV</x:v>
      </x:c>
      <x:c r="L2536" s="40" t="n">
        <x:v>4840</x:v>
      </x:c>
      <x:c r="M2536" s="24" t="str">
        <x:v>-7.25 a +6.00</x:v>
      </x:c>
      <x:c r="N2536" s="24" t="str">
        <x:v>-6.00</x:v>
      </x:c>
      <x:c r="O2536" s="24" t="str">
        <x:v>0.75 a 3.50</x:v>
      </x:c>
      <x:c r="P2536" s="24" t="str">
        <x:v>75</x:v>
      </x:c>
      <x:c r="Q2536" s="24"/>
      <x:c r="R2536" s="24"/>
      <x:c r="S2536" s="26" t="n">
        <x:v>46113</x:v>
      </x:c>
      <x:c r="T2536" s="26"/>
      <x:c r="U2536" s="24" t="str">
        <x:v>ATIVA/SEM FIM INFORMADO</x:v>
      </x:c>
      <x:c r="V2536" s="24"/>
      <x:c r="W2536" s="24" t="n">
        <x:v>41</x:v>
      </x:c>
      <x:c r="X2536" s="24" t="str">
        <x:v>tabela_zeiss.pdf</x:v>
      </x:c>
      <x:c r="Y2536" s="24" t="str">
        <x:v>alta</x:v>
      </x:c>
      <x:c r="Z2536" s="24"/>
      <x:c r="AA2536" s="24" t="str">
        <x:v>ZEISS|Progressiva|Surfaçada|SmartLife Essential||1.6|1.60|DuraVision Chrome UV|-7.25 a +6.00|-6.00|0.75 a 3.50|75|||41</x:v>
      </x:c>
    </x:row>
    <x:row r="2537">
      <x:c r="A2537" s="24" t="str">
        <x:v>ZS-B65F5361EA69</x:v>
      </x:c>
      <x:c r="B2537" s="24" t="str">
        <x:v>SIM</x:v>
      </x:c>
      <x:c r="C2537" s="24" t="str">
        <x:v>DISPONÍVEL</x:v>
      </x:c>
      <x:c r="D2537" s="24" t="str">
        <x:v>ZEISS</x:v>
      </x:c>
      <x:c r="E2537" s="24" t="str">
        <x:v>Progressiva</x:v>
      </x:c>
      <x:c r="F2537" s="24" t="str">
        <x:v>Surfaçada</x:v>
      </x:c>
      <x:c r="G2537" s="24" t="str">
        <x:v>SmartLife Essential</x:v>
      </x:c>
      <x:c r="H2537" s="24"/>
      <x:c r="I2537" s="24" t="str">
        <x:v>1.67</x:v>
      </x:c>
      <x:c r="J2537" s="24" t="str">
        <x:v>1.67</x:v>
      </x:c>
      <x:c r="K2537" s="24" t="str">
        <x:v>DuraVision Gold UV</x:v>
      </x:c>
      <x:c r="L2537" s="40" t="n">
        <x:v>7370</x:v>
      </x:c>
      <x:c r="M2537" s="24" t="str">
        <x:v>-10.00 a +6.00</x:v>
      </x:c>
      <x:c r="N2537" s="24" t="str">
        <x:v>-6.00</x:v>
      </x:c>
      <x:c r="O2537" s="24" t="str">
        <x:v>0.75 a 3.00</x:v>
      </x:c>
      <x:c r="P2537" s="24" t="str">
        <x:v>70</x:v>
      </x:c>
      <x:c r="Q2537" s="24"/>
      <x:c r="R2537" s="24"/>
      <x:c r="S2537" s="26" t="n">
        <x:v>46113</x:v>
      </x:c>
      <x:c r="T2537" s="26"/>
      <x:c r="U2537" s="24" t="str">
        <x:v>ATIVA/SEM FIM INFORMADO</x:v>
      </x:c>
      <x:c r="V2537" s="24"/>
      <x:c r="W2537" s="24" t="n">
        <x:v>41</x:v>
      </x:c>
      <x:c r="X2537" s="24" t="str">
        <x:v>tabela_zeiss.pdf</x:v>
      </x:c>
      <x:c r="Y2537" s="24" t="str">
        <x:v>alta</x:v>
      </x:c>
      <x:c r="Z2537" s="24"/>
      <x:c r="AA2537" s="24" t="str">
        <x:v>ZEISS|Progressiva|Surfaçada|SmartLife Essential||1.67|1.67|DuraVision Gold UV|-10.00 a +6.00|-6.00|0.75 a 3.00|70|||41</x:v>
      </x:c>
    </x:row>
    <x:row r="2538">
      <x:c r="A2538" s="24" t="str">
        <x:v>ZS-DAE81FB5776D</x:v>
      </x:c>
      <x:c r="B2538" s="24" t="str">
        <x:v>SIM</x:v>
      </x:c>
      <x:c r="C2538" s="24" t="str">
        <x:v>DISPONÍVEL</x:v>
      </x:c>
      <x:c r="D2538" s="24" t="str">
        <x:v>ZEISS</x:v>
      </x:c>
      <x:c r="E2538" s="24" t="str">
        <x:v>Progressiva</x:v>
      </x:c>
      <x:c r="F2538" s="24" t="str">
        <x:v>Surfaçada</x:v>
      </x:c>
      <x:c r="G2538" s="24" t="str">
        <x:v>SmartLife Essential</x:v>
      </x:c>
      <x:c r="H2538" s="24"/>
      <x:c r="I2538" s="24" t="str">
        <x:v>1.67</x:v>
      </x:c>
      <x:c r="J2538" s="24" t="str">
        <x:v>1.67</x:v>
      </x:c>
      <x:c r="K2538" s="24" t="str">
        <x:v>DuraVision Platinum UV</x:v>
      </x:c>
      <x:c r="L2538" s="40" t="n">
        <x:v>7230</x:v>
      </x:c>
      <x:c r="M2538" s="24" t="str">
        <x:v>-10.00 a +6.00</x:v>
      </x:c>
      <x:c r="N2538" s="24" t="str">
        <x:v>-6.00</x:v>
      </x:c>
      <x:c r="O2538" s="24" t="str">
        <x:v>0.75 a 3.00</x:v>
      </x:c>
      <x:c r="P2538" s="24" t="str">
        <x:v>70</x:v>
      </x:c>
      <x:c r="Q2538" s="24"/>
      <x:c r="R2538" s="24"/>
      <x:c r="S2538" s="26" t="n">
        <x:v>46113</x:v>
      </x:c>
      <x:c r="T2538" s="26"/>
      <x:c r="U2538" s="24" t="str">
        <x:v>ATIVA/SEM FIM INFORMADO</x:v>
      </x:c>
      <x:c r="V2538" s="24"/>
      <x:c r="W2538" s="24" t="n">
        <x:v>41</x:v>
      </x:c>
      <x:c r="X2538" s="24" t="str">
        <x:v>tabela_zeiss.pdf</x:v>
      </x:c>
      <x:c r="Y2538" s="24" t="str">
        <x:v>alta</x:v>
      </x:c>
      <x:c r="Z2538" s="24"/>
      <x:c r="AA2538" s="24" t="str">
        <x:v>ZEISS|Progressiva|Surfaçada|SmartLife Essential||1.67|1.67|DuraVision Platinum UV|-10.00 a +6.00|-6.00|0.75 a 3.00|70|||41</x:v>
      </x:c>
    </x:row>
    <x:row r="2539">
      <x:c r="A2539" s="24" t="str">
        <x:v>ZS-B302CBA51448</x:v>
      </x:c>
      <x:c r="B2539" s="24" t="str">
        <x:v>SIM</x:v>
      </x:c>
      <x:c r="C2539" s="24" t="str">
        <x:v>DISPONÍVEL</x:v>
      </x:c>
      <x:c r="D2539" s="24" t="str">
        <x:v>ZEISS</x:v>
      </x:c>
      <x:c r="E2539" s="24" t="str">
        <x:v>Progressiva</x:v>
      </x:c>
      <x:c r="F2539" s="24" t="str">
        <x:v>Surfaçada</x:v>
      </x:c>
      <x:c r="G2539" s="24" t="str">
        <x:v>SmartLife Essential</x:v>
      </x:c>
      <x:c r="H2539" s="24"/>
      <x:c r="I2539" s="24" t="str">
        <x:v>1.67</x:v>
      </x:c>
      <x:c r="J2539" s="24" t="str">
        <x:v>1.67</x:v>
      </x:c>
      <x:c r="K2539" s="24" t="str">
        <x:v>DuraVision Silver UV</x:v>
      </x:c>
      <x:c r="L2539" s="40" t="n">
        <x:v>6970</x:v>
      </x:c>
      <x:c r="M2539" s="24" t="str">
        <x:v>-10.00 a +6.00</x:v>
      </x:c>
      <x:c r="N2539" s="24" t="str">
        <x:v>-6.00</x:v>
      </x:c>
      <x:c r="O2539" s="24" t="str">
        <x:v>0.75 a 3.00</x:v>
      </x:c>
      <x:c r="P2539" s="24" t="str">
        <x:v>70</x:v>
      </x:c>
      <x:c r="Q2539" s="24"/>
      <x:c r="R2539" s="24"/>
      <x:c r="S2539" s="26" t="n">
        <x:v>46113</x:v>
      </x:c>
      <x:c r="T2539" s="26"/>
      <x:c r="U2539" s="24" t="str">
        <x:v>ATIVA/SEM FIM INFORMADO</x:v>
      </x:c>
      <x:c r="V2539" s="24"/>
      <x:c r="W2539" s="24" t="n">
        <x:v>41</x:v>
      </x:c>
      <x:c r="X2539" s="24" t="str">
        <x:v>tabela_zeiss.pdf</x:v>
      </x:c>
      <x:c r="Y2539" s="24" t="str">
        <x:v>alta</x:v>
      </x:c>
      <x:c r="Z2539" s="24"/>
      <x:c r="AA2539" s="24" t="str">
        <x:v>ZEISS|Progressiva|Surfaçada|SmartLife Essential||1.67|1.67|DuraVision Silver UV|-10.00 a +6.00|-6.00|0.75 a 3.00|70|||41</x:v>
      </x:c>
    </x:row>
    <x:row r="2540">
      <x:c r="A2540" s="24" t="str">
        <x:v>ZS-61D4D6047A3E</x:v>
      </x:c>
      <x:c r="B2540" s="24" t="str">
        <x:v>SIM</x:v>
      </x:c>
      <x:c r="C2540" s="24" t="str">
        <x:v>DISPONÍVEL</x:v>
      </x:c>
      <x:c r="D2540" s="24" t="str">
        <x:v>ZEISS</x:v>
      </x:c>
      <x:c r="E2540" s="24" t="str">
        <x:v>Progressiva</x:v>
      </x:c>
      <x:c r="F2540" s="24" t="str">
        <x:v>Surfaçada</x:v>
      </x:c>
      <x:c r="G2540" s="24" t="str">
        <x:v>SmartLife Essential</x:v>
      </x:c>
      <x:c r="H2540" s="24"/>
      <x:c r="I2540" s="24" t="str">
        <x:v>1.67</x:v>
      </x:c>
      <x:c r="J2540" s="24" t="str">
        <x:v>1.67</x:v>
      </x:c>
      <x:c r="K2540" s="24" t="str">
        <x:v>DuraVision Chrome UV</x:v>
      </x:c>
      <x:c r="L2540" s="40" t="n">
        <x:v>6480</x:v>
      </x:c>
      <x:c r="M2540" s="24" t="str">
        <x:v>-10.00 a +6.00</x:v>
      </x:c>
      <x:c r="N2540" s="24" t="str">
        <x:v>-6.00</x:v>
      </x:c>
      <x:c r="O2540" s="24" t="str">
        <x:v>0.75 a 3.00</x:v>
      </x:c>
      <x:c r="P2540" s="24" t="str">
        <x:v>70</x:v>
      </x:c>
      <x:c r="Q2540" s="24"/>
      <x:c r="R2540" s="24"/>
      <x:c r="S2540" s="26" t="n">
        <x:v>46113</x:v>
      </x:c>
      <x:c r="T2540" s="26"/>
      <x:c r="U2540" s="24" t="str">
        <x:v>ATIVA/SEM FIM INFORMADO</x:v>
      </x:c>
      <x:c r="V2540" s="24"/>
      <x:c r="W2540" s="24" t="n">
        <x:v>41</x:v>
      </x:c>
      <x:c r="X2540" s="24" t="str">
        <x:v>tabela_zeiss.pdf</x:v>
      </x:c>
      <x:c r="Y2540" s="24" t="str">
        <x:v>alta</x:v>
      </x:c>
      <x:c r="Z2540" s="24"/>
      <x:c r="AA2540" s="24" t="str">
        <x:v>ZEISS|Progressiva|Surfaçada|SmartLife Essential||1.67|1.67|DuraVision Chrome UV|-10.00 a +6.00|-6.00|0.75 a 3.00|70|||41</x:v>
      </x:c>
    </x:row>
    <x:row r="2541">
      <x:c r="A2541" s="24" t="str">
        <x:v>ZS-D0B2EF62EFA8</x:v>
      </x:c>
      <x:c r="B2541" s="24" t="str">
        <x:v>SIM</x:v>
      </x:c>
      <x:c r="C2541" s="24" t="str">
        <x:v>DISPONÍVEL</x:v>
      </x:c>
      <x:c r="D2541" s="24" t="str">
        <x:v>ZEISS</x:v>
      </x:c>
      <x:c r="E2541" s="24" t="str">
        <x:v>Progressiva</x:v>
      </x:c>
      <x:c r="F2541" s="24" t="str">
        <x:v>Surfaçada</x:v>
      </x:c>
      <x:c r="G2541" s="24" t="str">
        <x:v>SmartLife Essential</x:v>
      </x:c>
      <x:c r="H2541" s="24"/>
      <x:c r="I2541" s="24" t="str">
        <x:v>1.74</x:v>
      </x:c>
      <x:c r="J2541" s="24" t="str">
        <x:v>1.74</x:v>
      </x:c>
      <x:c r="K2541" s="24" t="str">
        <x:v>DuraVision Gold UV</x:v>
      </x:c>
      <x:c r="L2541" s="40" t="n">
        <x:v>8970</x:v>
      </x:c>
      <x:c r="M2541" s="24" t="str">
        <x:v>-10.00 a +7.00</x:v>
      </x:c>
      <x:c r="N2541" s="24" t="str">
        <x:v>-4.00</x:v>
      </x:c>
      <x:c r="O2541" s="24" t="str">
        <x:v>0.75 a 3.50</x:v>
      </x:c>
      <x:c r="P2541" s="24" t="str">
        <x:v>70 a 75</x:v>
      </x:c>
      <x:c r="Q2541" s="24"/>
      <x:c r="R2541" s="24"/>
      <x:c r="S2541" s="26" t="n">
        <x:v>46113</x:v>
      </x:c>
      <x:c r="T2541" s="26"/>
      <x:c r="U2541" s="24" t="str">
        <x:v>ATIVA/SEM FIM INFORMADO</x:v>
      </x:c>
      <x:c r="V2541" s="24"/>
      <x:c r="W2541" s="24" t="n">
        <x:v>41</x:v>
      </x:c>
      <x:c r="X2541" s="24" t="str">
        <x:v>tabela_zeiss.pdf</x:v>
      </x:c>
      <x:c r="Y2541" s="24" t="str">
        <x:v>alta</x:v>
      </x:c>
      <x:c r="Z2541" s="24"/>
      <x:c r="AA2541" s="24" t="str">
        <x:v>ZEISS|Progressiva|Surfaçada|SmartLife Essential||1.74|1.74|DuraVision Gold UV|-10.00 a +7.00|-4.00|0.75 a 3.50|70 a 75|||41</x:v>
      </x:c>
    </x:row>
    <x:row r="2542">
      <x:c r="A2542" s="24" t="str">
        <x:v>ZS-09D80FA3FA2D</x:v>
      </x:c>
      <x:c r="B2542" s="24" t="str">
        <x:v>SIM</x:v>
      </x:c>
      <x:c r="C2542" s="24" t="str">
        <x:v>DISPONÍVEL</x:v>
      </x:c>
      <x:c r="D2542" s="24" t="str">
        <x:v>ZEISS</x:v>
      </x:c>
      <x:c r="E2542" s="24" t="str">
        <x:v>Progressiva</x:v>
      </x:c>
      <x:c r="F2542" s="24" t="str">
        <x:v>Surfaçada</x:v>
      </x:c>
      <x:c r="G2542" s="24" t="str">
        <x:v>SmartLife Essential</x:v>
      </x:c>
      <x:c r="H2542" s="24"/>
      <x:c r="I2542" s="24" t="str">
        <x:v>1.74</x:v>
      </x:c>
      <x:c r="J2542" s="24" t="str">
        <x:v>1.74</x:v>
      </x:c>
      <x:c r="K2542" s="24" t="str">
        <x:v>DuraVision Platinum UV</x:v>
      </x:c>
      <x:c r="L2542" s="40" t="n">
        <x:v>8830</x:v>
      </x:c>
      <x:c r="M2542" s="24" t="str">
        <x:v>-10.00 a +7.00</x:v>
      </x:c>
      <x:c r="N2542" s="24" t="str">
        <x:v>-4.00</x:v>
      </x:c>
      <x:c r="O2542" s="24" t="str">
        <x:v>0.75 a 3.50</x:v>
      </x:c>
      <x:c r="P2542" s="24" t="str">
        <x:v>70 a 75</x:v>
      </x:c>
      <x:c r="Q2542" s="24"/>
      <x:c r="R2542" s="24"/>
      <x:c r="S2542" s="26" t="n">
        <x:v>46113</x:v>
      </x:c>
      <x:c r="T2542" s="26"/>
      <x:c r="U2542" s="24" t="str">
        <x:v>ATIVA/SEM FIM INFORMADO</x:v>
      </x:c>
      <x:c r="V2542" s="24"/>
      <x:c r="W2542" s="24" t="n">
        <x:v>41</x:v>
      </x:c>
      <x:c r="X2542" s="24" t="str">
        <x:v>tabela_zeiss.pdf</x:v>
      </x:c>
      <x:c r="Y2542" s="24" t="str">
        <x:v>alta</x:v>
      </x:c>
      <x:c r="Z2542" s="24"/>
      <x:c r="AA2542" s="24" t="str">
        <x:v>ZEISS|Progressiva|Surfaçada|SmartLife Essential||1.74|1.74|DuraVision Platinum UV|-10.00 a +7.00|-4.00|0.75 a 3.50|70 a 75|||41</x:v>
      </x:c>
    </x:row>
    <x:row r="2543">
      <x:c r="A2543" s="24" t="str">
        <x:v>ZS-3B5C7CF2CF83</x:v>
      </x:c>
      <x:c r="B2543" s="24" t="str">
        <x:v>SIM</x:v>
      </x:c>
      <x:c r="C2543" s="24" t="str">
        <x:v>DISPONÍVEL</x:v>
      </x:c>
      <x:c r="D2543" s="24" t="str">
        <x:v>ZEISS</x:v>
      </x:c>
      <x:c r="E2543" s="24" t="str">
        <x:v>Progressiva</x:v>
      </x:c>
      <x:c r="F2543" s="24" t="str">
        <x:v>Surfaçada</x:v>
      </x:c>
      <x:c r="G2543" s="24" t="str">
        <x:v>SmartLife Essential</x:v>
      </x:c>
      <x:c r="H2543" s="24"/>
      <x:c r="I2543" s="24" t="str">
        <x:v>1.74</x:v>
      </x:c>
      <x:c r="J2543" s="24" t="str">
        <x:v>1.74</x:v>
      </x:c>
      <x:c r="K2543" s="24" t="str">
        <x:v>DuraVision Silver UV</x:v>
      </x:c>
      <x:c r="L2543" s="40" t="n">
        <x:v>8570</x:v>
      </x:c>
      <x:c r="M2543" s="24" t="str">
        <x:v>-10.00 a +7.00</x:v>
      </x:c>
      <x:c r="N2543" s="24" t="str">
        <x:v>-4.00</x:v>
      </x:c>
      <x:c r="O2543" s="24" t="str">
        <x:v>0.75 a 3.50</x:v>
      </x:c>
      <x:c r="P2543" s="24" t="str">
        <x:v>70 a 75</x:v>
      </x:c>
      <x:c r="Q2543" s="24"/>
      <x:c r="R2543" s="24"/>
      <x:c r="S2543" s="26" t="n">
        <x:v>46113</x:v>
      </x:c>
      <x:c r="T2543" s="26"/>
      <x:c r="U2543" s="24" t="str">
        <x:v>ATIVA/SEM FIM INFORMADO</x:v>
      </x:c>
      <x:c r="V2543" s="24"/>
      <x:c r="W2543" s="24" t="n">
        <x:v>41</x:v>
      </x:c>
      <x:c r="X2543" s="24" t="str">
        <x:v>tabela_zeiss.pdf</x:v>
      </x:c>
      <x:c r="Y2543" s="24" t="str">
        <x:v>alta</x:v>
      </x:c>
      <x:c r="Z2543" s="24"/>
      <x:c r="AA2543" s="24" t="str">
        <x:v>ZEISS|Progressiva|Surfaçada|SmartLife Essential||1.74|1.74|DuraVision Silver UV|-10.00 a +7.00|-4.00|0.75 a 3.50|70 a 75|||41</x:v>
      </x:c>
    </x:row>
    <x:row r="2544">
      <x:c r="A2544" s="24" t="str">
        <x:v>ZS-46373A4FC2EA</x:v>
      </x:c>
      <x:c r="B2544" s="24" t="str">
        <x:v>SIM</x:v>
      </x:c>
      <x:c r="C2544" s="24" t="str">
        <x:v>DISPONÍVEL</x:v>
      </x:c>
      <x:c r="D2544" s="24" t="str">
        <x:v>ZEISS</x:v>
      </x:c>
      <x:c r="E2544" s="24" t="str">
        <x:v>Progressiva</x:v>
      </x:c>
      <x:c r="F2544" s="24" t="str">
        <x:v>Surfaçada</x:v>
      </x:c>
      <x:c r="G2544" s="24" t="str">
        <x:v>SmartLife Essential</x:v>
      </x:c>
      <x:c r="H2544" s="24"/>
      <x:c r="I2544" s="24" t="str">
        <x:v>1.74</x:v>
      </x:c>
      <x:c r="J2544" s="24" t="str">
        <x:v>1.74</x:v>
      </x:c>
      <x:c r="K2544" s="24" t="str">
        <x:v>DuraVision Chrome UV</x:v>
      </x:c>
      <x:c r="L2544" s="40" t="n">
        <x:v>8080</x:v>
      </x:c>
      <x:c r="M2544" s="24" t="str">
        <x:v>-10.00 a +7.00</x:v>
      </x:c>
      <x:c r="N2544" s="24" t="str">
        <x:v>-4.00</x:v>
      </x:c>
      <x:c r="O2544" s="24" t="str">
        <x:v>0.75 a 3.50</x:v>
      </x:c>
      <x:c r="P2544" s="24" t="str">
        <x:v>70 a 75</x:v>
      </x:c>
      <x:c r="Q2544" s="24"/>
      <x:c r="R2544" s="24"/>
      <x:c r="S2544" s="26" t="n">
        <x:v>46113</x:v>
      </x:c>
      <x:c r="T2544" s="26"/>
      <x:c r="U2544" s="24" t="str">
        <x:v>ATIVA/SEM FIM INFORMADO</x:v>
      </x:c>
      <x:c r="V2544" s="24"/>
      <x:c r="W2544" s="24" t="n">
        <x:v>41</x:v>
      </x:c>
      <x:c r="X2544" s="24" t="str">
        <x:v>tabela_zeiss.pdf</x:v>
      </x:c>
      <x:c r="Y2544" s="24" t="str">
        <x:v>alta</x:v>
      </x:c>
      <x:c r="Z2544" s="24"/>
      <x:c r="AA2544" s="24" t="str">
        <x:v>ZEISS|Progressiva|Surfaçada|SmartLife Essential||1.74|1.74|DuraVision Chrome UV|-10.00 a +7.00|-4.00|0.75 a 3.50|70 a 75|||41</x:v>
      </x:c>
    </x:row>
    <x:row r="2545">
      <x:c r="A2545" s="24" t="str">
        <x:v>ZS-E59E35BD1D0C</x:v>
      </x:c>
      <x:c r="B2545" s="24" t="str">
        <x:v>SIM</x:v>
      </x:c>
      <x:c r="C2545" s="24" t="str">
        <x:v>DISPONÍVEL</x:v>
      </x:c>
      <x:c r="D2545" s="24" t="str">
        <x:v>ZEISS</x:v>
      </x:c>
      <x:c r="E2545" s="24" t="str">
        <x:v>Progressiva</x:v>
      </x:c>
      <x:c r="F2545" s="24" t="str">
        <x:v>Surfaçada</x:v>
      </x:c>
      <x:c r="G2545" s="24" t="str">
        <x:v>SmartLife Essential</x:v>
      </x:c>
      <x:c r="H2545" s="24" t="str">
        <x:v>PhotoFusion X</x:v>
      </x:c>
      <x:c r="I2545" s="24" t="str">
        <x:v>1.5</x:v>
      </x:c>
      <x:c r="J2545" s="24" t="str">
        <x:v>1.50</x:v>
      </x:c>
      <x:c r="K2545" s="24" t="str">
        <x:v>DuraVision Gold UV</x:v>
      </x:c>
      <x:c r="L2545" s="40" t="n">
        <x:v>5900</x:v>
      </x:c>
      <x:c r="M2545" s="24" t="str">
        <x:v>-6.00 a +5.00</x:v>
      </x:c>
      <x:c r="N2545" s="24" t="str">
        <x:v>-4.00</x:v>
      </x:c>
      <x:c r="O2545" s="24" t="str">
        <x:v>0.75 a 3.00</x:v>
      </x:c>
      <x:c r="P2545" s="24" t="str">
        <x:v>75</x:v>
      </x:c>
      <x:c r="Q2545" s="24"/>
      <x:c r="R2545" s="24"/>
      <x:c r="S2545" s="26" t="n">
        <x:v>46113</x:v>
      </x:c>
      <x:c r="T2545" s="26"/>
      <x:c r="U2545" s="24" t="str">
        <x:v>ATIVA/SEM FIM INFORMADO</x:v>
      </x:c>
      <x:c r="V2545" s="24" t="str">
        <x:v>Programa de Parcerias ZEISS</x:v>
      </x:c>
      <x:c r="W2545" s="24" t="n">
        <x:v>41</x:v>
      </x:c>
      <x:c r="X2545" s="24" t="str">
        <x:v>tabela_zeiss.pdf</x:v>
      </x:c>
      <x:c r="Y2545" s="24" t="str">
        <x:v>alta</x:v>
      </x:c>
      <x:c r="Z2545" s="24"/>
      <x:c r="AA2545" s="24" t="str">
        <x:v>ZEISS|Progressiva|Surfaçada|SmartLife Essential|PhotoFusion X|1.5|1.50|DuraVision Gold UV|-6.00 a +5.00|-4.00|0.75 a 3.00|75|||41</x:v>
      </x:c>
    </x:row>
    <x:row r="2546">
      <x:c r="A2546" s="24" t="str">
        <x:v>ZS-E5C42E978C42</x:v>
      </x:c>
      <x:c r="B2546" s="24" t="str">
        <x:v>SIM</x:v>
      </x:c>
      <x:c r="C2546" s="24" t="str">
        <x:v>DISPONÍVEL</x:v>
      </x:c>
      <x:c r="D2546" s="24" t="str">
        <x:v>ZEISS</x:v>
      </x:c>
      <x:c r="E2546" s="24" t="str">
        <x:v>Progressiva</x:v>
      </x:c>
      <x:c r="F2546" s="24" t="str">
        <x:v>Surfaçada</x:v>
      </x:c>
      <x:c r="G2546" s="24" t="str">
        <x:v>SmartLife Essential</x:v>
      </x:c>
      <x:c r="H2546" s="24" t="str">
        <x:v>PhotoFusion X</x:v>
      </x:c>
      <x:c r="I2546" s="24" t="str">
        <x:v>1.5</x:v>
      </x:c>
      <x:c r="J2546" s="24" t="str">
        <x:v>1.50</x:v>
      </x:c>
      <x:c r="K2546" s="24" t="str">
        <x:v>DuraVision Platinum UV</x:v>
      </x:c>
      <x:c r="L2546" s="40" t="n">
        <x:v>5760</x:v>
      </x:c>
      <x:c r="M2546" s="24" t="str">
        <x:v>-6.00 a +5.00</x:v>
      </x:c>
      <x:c r="N2546" s="24" t="str">
        <x:v>-4.00</x:v>
      </x:c>
      <x:c r="O2546" s="24" t="str">
        <x:v>0.75 a 3.00</x:v>
      </x:c>
      <x:c r="P2546" s="24" t="str">
        <x:v>75</x:v>
      </x:c>
      <x:c r="Q2546" s="24"/>
      <x:c r="R2546" s="24"/>
      <x:c r="S2546" s="26" t="n">
        <x:v>46113</x:v>
      </x:c>
      <x:c r="T2546" s="26"/>
      <x:c r="U2546" s="24" t="str">
        <x:v>ATIVA/SEM FIM INFORMADO</x:v>
      </x:c>
      <x:c r="V2546" s="24" t="str">
        <x:v>Programa de Parcerias ZEISS</x:v>
      </x:c>
      <x:c r="W2546" s="24" t="n">
        <x:v>41</x:v>
      </x:c>
      <x:c r="X2546" s="24" t="str">
        <x:v>tabela_zeiss.pdf</x:v>
      </x:c>
      <x:c r="Y2546" s="24" t="str">
        <x:v>alta</x:v>
      </x:c>
      <x:c r="Z2546" s="24"/>
      <x:c r="AA2546" s="24" t="str">
        <x:v>ZEISS|Progressiva|Surfaçada|SmartLife Essential|PhotoFusion X|1.5|1.50|DuraVision Platinum UV|-6.00 a +5.00|-4.00|0.75 a 3.00|75|||41</x:v>
      </x:c>
    </x:row>
    <x:row r="2547">
      <x:c r="A2547" s="24" t="str">
        <x:v>ZS-E378C3DC5F31</x:v>
      </x:c>
      <x:c r="B2547" s="24" t="str">
        <x:v>SIM</x:v>
      </x:c>
      <x:c r="C2547" s="24" t="str">
        <x:v>DISPONÍVEL</x:v>
      </x:c>
      <x:c r="D2547" s="24" t="str">
        <x:v>ZEISS</x:v>
      </x:c>
      <x:c r="E2547" s="24" t="str">
        <x:v>Progressiva</x:v>
      </x:c>
      <x:c r="F2547" s="24" t="str">
        <x:v>Surfaçada</x:v>
      </x:c>
      <x:c r="G2547" s="24" t="str">
        <x:v>SmartLife Essential</x:v>
      </x:c>
      <x:c r="H2547" s="24" t="str">
        <x:v>PhotoFusion X</x:v>
      </x:c>
      <x:c r="I2547" s="24" t="str">
        <x:v>1.5</x:v>
      </x:c>
      <x:c r="J2547" s="24" t="str">
        <x:v>1.50</x:v>
      </x:c>
      <x:c r="K2547" s="24" t="str">
        <x:v>DuraVision Silver UV</x:v>
      </x:c>
      <x:c r="L2547" s="40" t="n">
        <x:v>5500</x:v>
      </x:c>
      <x:c r="M2547" s="24" t="str">
        <x:v>-6.00 a +5.00</x:v>
      </x:c>
      <x:c r="N2547" s="24" t="str">
        <x:v>-4.00</x:v>
      </x:c>
      <x:c r="O2547" s="24" t="str">
        <x:v>0.75 a 3.00</x:v>
      </x:c>
      <x:c r="P2547" s="24" t="str">
        <x:v>75</x:v>
      </x:c>
      <x:c r="Q2547" s="24"/>
      <x:c r="R2547" s="24"/>
      <x:c r="S2547" s="26" t="n">
        <x:v>46113</x:v>
      </x:c>
      <x:c r="T2547" s="26"/>
      <x:c r="U2547" s="24" t="str">
        <x:v>ATIVA/SEM FIM INFORMADO</x:v>
      </x:c>
      <x:c r="V2547" s="24" t="str">
        <x:v>Programa de Parcerias ZEISS</x:v>
      </x:c>
      <x:c r="W2547" s="24" t="n">
        <x:v>41</x:v>
      </x:c>
      <x:c r="X2547" s="24" t="str">
        <x:v>tabela_zeiss.pdf</x:v>
      </x:c>
      <x:c r="Y2547" s="24" t="str">
        <x:v>alta</x:v>
      </x:c>
      <x:c r="Z2547" s="24"/>
      <x:c r="AA2547" s="24" t="str">
        <x:v>ZEISS|Progressiva|Surfaçada|SmartLife Essential|PhotoFusion X|1.5|1.50|DuraVision Silver UV|-6.00 a +5.00|-4.00|0.75 a 3.00|75|||41</x:v>
      </x:c>
    </x:row>
    <x:row r="2548">
      <x:c r="A2548" s="24" t="str">
        <x:v>ZS-A58A304A4EE7</x:v>
      </x:c>
      <x:c r="B2548" s="24" t="str">
        <x:v>SIM</x:v>
      </x:c>
      <x:c r="C2548" s="24" t="str">
        <x:v>DISPONÍVEL</x:v>
      </x:c>
      <x:c r="D2548" s="24" t="str">
        <x:v>ZEISS</x:v>
      </x:c>
      <x:c r="E2548" s="24" t="str">
        <x:v>Progressiva</x:v>
      </x:c>
      <x:c r="F2548" s="24" t="str">
        <x:v>Surfaçada</x:v>
      </x:c>
      <x:c r="G2548" s="24" t="str">
        <x:v>SmartLife Essential</x:v>
      </x:c>
      <x:c r="H2548" s="24" t="str">
        <x:v>PhotoFusion X</x:v>
      </x:c>
      <x:c r="I2548" s="24" t="str">
        <x:v>1.5</x:v>
      </x:c>
      <x:c r="J2548" s="24" t="str">
        <x:v>1.50</x:v>
      </x:c>
      <x:c r="K2548" s="24" t="str">
        <x:v>DuraVision Chrome UV</x:v>
      </x:c>
      <x:c r="L2548" s="40" t="n">
        <x:v>5010</x:v>
      </x:c>
      <x:c r="M2548" s="24" t="str">
        <x:v>-6.00 a +5.00</x:v>
      </x:c>
      <x:c r="N2548" s="24" t="str">
        <x:v>-4.00</x:v>
      </x:c>
      <x:c r="O2548" s="24" t="str">
        <x:v>0.75 a 3.00</x:v>
      </x:c>
      <x:c r="P2548" s="24" t="str">
        <x:v>75</x:v>
      </x:c>
      <x:c r="Q2548" s="24"/>
      <x:c r="R2548" s="24"/>
      <x:c r="S2548" s="26" t="n">
        <x:v>46113</x:v>
      </x:c>
      <x:c r="T2548" s="26"/>
      <x:c r="U2548" s="24" t="str">
        <x:v>ATIVA/SEM FIM INFORMADO</x:v>
      </x:c>
      <x:c r="V2548" s="24" t="str">
        <x:v>Programa de Parcerias ZEISS</x:v>
      </x:c>
      <x:c r="W2548" s="24" t="n">
        <x:v>41</x:v>
      </x:c>
      <x:c r="X2548" s="24" t="str">
        <x:v>tabela_zeiss.pdf</x:v>
      </x:c>
      <x:c r="Y2548" s="24" t="str">
        <x:v>alta</x:v>
      </x:c>
      <x:c r="Z2548" s="24"/>
      <x:c r="AA2548" s="24" t="str">
        <x:v>ZEISS|Progressiva|Surfaçada|SmartLife Essential|PhotoFusion X|1.5|1.50|DuraVision Chrome UV|-6.00 a +5.00|-4.00|0.75 a 3.00|75|||41</x:v>
      </x:c>
    </x:row>
    <x:row r="2549">
      <x:c r="A2549" s="24" t="str">
        <x:v>ZS-549581FDB17E</x:v>
      </x:c>
      <x:c r="B2549" s="24" t="str">
        <x:v>SIM</x:v>
      </x:c>
      <x:c r="C2549" s="24" t="str">
        <x:v>DISPONÍVEL</x:v>
      </x:c>
      <x:c r="D2549" s="24" t="str">
        <x:v>ZEISS</x:v>
      </x:c>
      <x:c r="E2549" s="24" t="str">
        <x:v>Progressiva</x:v>
      </x:c>
      <x:c r="F2549" s="24" t="str">
        <x:v>Surfaçada</x:v>
      </x:c>
      <x:c r="G2549" s="24" t="str">
        <x:v>SmartLife Essential</x:v>
      </x:c>
      <x:c r="H2549" s="24" t="str">
        <x:v>PhotoFusion X</x:v>
      </x:c>
      <x:c r="I2549" s="24" t="str">
        <x:v>Poli</x:v>
      </x:c>
      <x:c r="J2549" s="24"/>
      <x:c r="K2549" s="24" t="str">
        <x:v>DuraVision Gold UV</x:v>
      </x:c>
      <x:c r="L2549" s="40" t="n">
        <x:v>6490</x:v>
      </x:c>
      <x:c r="M2549" s="24" t="str">
        <x:v>-10.00 a +6.00</x:v>
      </x:c>
      <x:c r="N2549" s="24" t="str">
        <x:v>-6.00</x:v>
      </x:c>
      <x:c r="O2549" s="24" t="str">
        <x:v>0.75 a 3.00</x:v>
      </x:c>
      <x:c r="P2549" s="24" t="str">
        <x:v>72</x:v>
      </x:c>
      <x:c r="Q2549" s="24"/>
      <x:c r="R2549" s="24"/>
      <x:c r="S2549" s="26" t="n">
        <x:v>46113</x:v>
      </x:c>
      <x:c r="T2549" s="26"/>
      <x:c r="U2549" s="24" t="str">
        <x:v>ATIVA/SEM FIM INFORMADO</x:v>
      </x:c>
      <x:c r="V2549" s="24" t="str">
        <x:v>Programa de Parcerias ZEISS</x:v>
      </x:c>
      <x:c r="W2549" s="24" t="n">
        <x:v>41</x:v>
      </x:c>
      <x:c r="X2549" s="24" t="str">
        <x:v>tabela_zeiss.pdf</x:v>
      </x:c>
      <x:c r="Y2549" s="24" t="str">
        <x:v>alta</x:v>
      </x:c>
      <x:c r="Z2549" s="24"/>
      <x:c r="AA2549" s="24" t="str">
        <x:v>ZEISS|Progressiva|Surfaçada|SmartLife Essential|PhotoFusion X|Poli||DuraVision Gold UV|-10.00 a +6.00|-6.00|0.75 a 3.00|72|||41</x:v>
      </x:c>
    </x:row>
    <x:row r="2550">
      <x:c r="A2550" s="24" t="str">
        <x:v>ZS-FC639DF643C9</x:v>
      </x:c>
      <x:c r="B2550" s="24" t="str">
        <x:v>SIM</x:v>
      </x:c>
      <x:c r="C2550" s="24" t="str">
        <x:v>DISPONÍVEL</x:v>
      </x:c>
      <x:c r="D2550" s="24" t="str">
        <x:v>ZEISS</x:v>
      </x:c>
      <x:c r="E2550" s="24" t="str">
        <x:v>Progressiva</x:v>
      </x:c>
      <x:c r="F2550" s="24" t="str">
        <x:v>Surfaçada</x:v>
      </x:c>
      <x:c r="G2550" s="24" t="str">
        <x:v>SmartLife Essential</x:v>
      </x:c>
      <x:c r="H2550" s="24" t="str">
        <x:v>PhotoFusion X</x:v>
      </x:c>
      <x:c r="I2550" s="24" t="str">
        <x:v>Poli</x:v>
      </x:c>
      <x:c r="J2550" s="24"/>
      <x:c r="K2550" s="24" t="str">
        <x:v>DuraVision Platinum UV</x:v>
      </x:c>
      <x:c r="L2550" s="40" t="n">
        <x:v>6350</x:v>
      </x:c>
      <x:c r="M2550" s="24" t="str">
        <x:v>-10.00 a +6.00</x:v>
      </x:c>
      <x:c r="N2550" s="24" t="str">
        <x:v>-6.00</x:v>
      </x:c>
      <x:c r="O2550" s="24" t="str">
        <x:v>0.75 a 3.00</x:v>
      </x:c>
      <x:c r="P2550" s="24" t="str">
        <x:v>72</x:v>
      </x:c>
      <x:c r="Q2550" s="24"/>
      <x:c r="R2550" s="24"/>
      <x:c r="S2550" s="26" t="n">
        <x:v>46113</x:v>
      </x:c>
      <x:c r="T2550" s="26"/>
      <x:c r="U2550" s="24" t="str">
        <x:v>ATIVA/SEM FIM INFORMADO</x:v>
      </x:c>
      <x:c r="V2550" s="24" t="str">
        <x:v>Programa de Parcerias ZEISS</x:v>
      </x:c>
      <x:c r="W2550" s="24" t="n">
        <x:v>41</x:v>
      </x:c>
      <x:c r="X2550" s="24" t="str">
        <x:v>tabela_zeiss.pdf</x:v>
      </x:c>
      <x:c r="Y2550" s="24" t="str">
        <x:v>alta</x:v>
      </x:c>
      <x:c r="Z2550" s="24"/>
      <x:c r="AA2550" s="24" t="str">
        <x:v>ZEISS|Progressiva|Surfaçada|SmartLife Essential|PhotoFusion X|Poli||DuraVision Platinum UV|-10.00 a +6.00|-6.00|0.75 a 3.00|72|||41</x:v>
      </x:c>
    </x:row>
    <x:row r="2551">
      <x:c r="A2551" s="24" t="str">
        <x:v>ZS-6DEC38F1587C</x:v>
      </x:c>
      <x:c r="B2551" s="24" t="str">
        <x:v>SIM</x:v>
      </x:c>
      <x:c r="C2551" s="24" t="str">
        <x:v>DISPONÍVEL</x:v>
      </x:c>
      <x:c r="D2551" s="24" t="str">
        <x:v>ZEISS</x:v>
      </x:c>
      <x:c r="E2551" s="24" t="str">
        <x:v>Progressiva</x:v>
      </x:c>
      <x:c r="F2551" s="24" t="str">
        <x:v>Surfaçada</x:v>
      </x:c>
      <x:c r="G2551" s="24" t="str">
        <x:v>SmartLife Essential</x:v>
      </x:c>
      <x:c r="H2551" s="24" t="str">
        <x:v>PhotoFusion X</x:v>
      </x:c>
      <x:c r="I2551" s="24" t="str">
        <x:v>Poli</x:v>
      </x:c>
      <x:c r="J2551" s="24"/>
      <x:c r="K2551" s="24" t="str">
        <x:v>DuraVision Silver UV</x:v>
      </x:c>
      <x:c r="L2551" s="40" t="n">
        <x:v>6090</x:v>
      </x:c>
      <x:c r="M2551" s="24" t="str">
        <x:v>-10.00 a +6.00</x:v>
      </x:c>
      <x:c r="N2551" s="24" t="str">
        <x:v>-6.00</x:v>
      </x:c>
      <x:c r="O2551" s="24" t="str">
        <x:v>0.75 a 3.00</x:v>
      </x:c>
      <x:c r="P2551" s="24" t="str">
        <x:v>72</x:v>
      </x:c>
      <x:c r="Q2551" s="24"/>
      <x:c r="R2551" s="24"/>
      <x:c r="S2551" s="26" t="n">
        <x:v>46113</x:v>
      </x:c>
      <x:c r="T2551" s="26"/>
      <x:c r="U2551" s="24" t="str">
        <x:v>ATIVA/SEM FIM INFORMADO</x:v>
      </x:c>
      <x:c r="V2551" s="24" t="str">
        <x:v>Programa de Parcerias ZEISS</x:v>
      </x:c>
      <x:c r="W2551" s="24" t="n">
        <x:v>41</x:v>
      </x:c>
      <x:c r="X2551" s="24" t="str">
        <x:v>tabela_zeiss.pdf</x:v>
      </x:c>
      <x:c r="Y2551" s="24" t="str">
        <x:v>alta</x:v>
      </x:c>
      <x:c r="Z2551" s="24"/>
      <x:c r="AA2551" s="24" t="str">
        <x:v>ZEISS|Progressiva|Surfaçada|SmartLife Essential|PhotoFusion X|Poli||DuraVision Silver UV|-10.00 a +6.00|-6.00|0.75 a 3.00|72|||41</x:v>
      </x:c>
    </x:row>
    <x:row r="2552">
      <x:c r="A2552" s="24" t="str">
        <x:v>ZS-62C3AA841E47</x:v>
      </x:c>
      <x:c r="B2552" s="24" t="str">
        <x:v>SIM</x:v>
      </x:c>
      <x:c r="C2552" s="24" t="str">
        <x:v>DISPONÍVEL</x:v>
      </x:c>
      <x:c r="D2552" s="24" t="str">
        <x:v>ZEISS</x:v>
      </x:c>
      <x:c r="E2552" s="24" t="str">
        <x:v>Progressiva</x:v>
      </x:c>
      <x:c r="F2552" s="24" t="str">
        <x:v>Surfaçada</x:v>
      </x:c>
      <x:c r="G2552" s="24" t="str">
        <x:v>SmartLife Essential</x:v>
      </x:c>
      <x:c r="H2552" s="24" t="str">
        <x:v>PhotoFusion X</x:v>
      </x:c>
      <x:c r="I2552" s="24" t="str">
        <x:v>Poli</x:v>
      </x:c>
      <x:c r="J2552" s="24"/>
      <x:c r="K2552" s="24" t="str">
        <x:v>DuraVision Chrome UV</x:v>
      </x:c>
      <x:c r="L2552" s="40" t="n">
        <x:v>5600</x:v>
      </x:c>
      <x:c r="M2552" s="24" t="str">
        <x:v>-10.00 a +6.00</x:v>
      </x:c>
      <x:c r="N2552" s="24" t="str">
        <x:v>-6.00</x:v>
      </x:c>
      <x:c r="O2552" s="24" t="str">
        <x:v>0.75 a 3.00</x:v>
      </x:c>
      <x:c r="P2552" s="24" t="str">
        <x:v>72</x:v>
      </x:c>
      <x:c r="Q2552" s="24"/>
      <x:c r="R2552" s="24"/>
      <x:c r="S2552" s="26" t="n">
        <x:v>46113</x:v>
      </x:c>
      <x:c r="T2552" s="26"/>
      <x:c r="U2552" s="24" t="str">
        <x:v>ATIVA/SEM FIM INFORMADO</x:v>
      </x:c>
      <x:c r="V2552" s="24" t="str">
        <x:v>Programa de Parcerias ZEISS</x:v>
      </x:c>
      <x:c r="W2552" s="24" t="n">
        <x:v>41</x:v>
      </x:c>
      <x:c r="X2552" s="24" t="str">
        <x:v>tabela_zeiss.pdf</x:v>
      </x:c>
      <x:c r="Y2552" s="24" t="str">
        <x:v>alta</x:v>
      </x:c>
      <x:c r="Z2552" s="24"/>
      <x:c r="AA2552" s="24" t="str">
        <x:v>ZEISS|Progressiva|Surfaçada|SmartLife Essential|PhotoFusion X|Poli||DuraVision Chrome UV|-10.00 a +6.00|-6.00|0.75 a 3.00|72|||41</x:v>
      </x:c>
    </x:row>
    <x:row r="2553">
      <x:c r="A2553" s="24" t="str">
        <x:v>ZS-930CFBE6798B</x:v>
      </x:c>
      <x:c r="B2553" s="24" t="str">
        <x:v>SIM</x:v>
      </x:c>
      <x:c r="C2553" s="24" t="str">
        <x:v>DISPONÍVEL</x:v>
      </x:c>
      <x:c r="D2553" s="24" t="str">
        <x:v>ZEISS</x:v>
      </x:c>
      <x:c r="E2553" s="24" t="str">
        <x:v>Progressiva</x:v>
      </x:c>
      <x:c r="F2553" s="24" t="str">
        <x:v>Surfaçada</x:v>
      </x:c>
      <x:c r="G2553" s="24" t="str">
        <x:v>SmartLife Essential</x:v>
      </x:c>
      <x:c r="H2553" s="24" t="str">
        <x:v>PhotoFusion X</x:v>
      </x:c>
      <x:c r="I2553" s="24" t="str">
        <x:v>1.6</x:v>
      </x:c>
      <x:c r="J2553" s="24" t="str">
        <x:v>1.60</x:v>
      </x:c>
      <x:c r="K2553" s="24" t="str">
        <x:v>DuraVision Gold UV</x:v>
      </x:c>
      <x:c r="L2553" s="40" t="n">
        <x:v>7150</x:v>
      </x:c>
      <x:c r="M2553" s="24" t="str">
        <x:v>-7.25 a +6.00</x:v>
      </x:c>
      <x:c r="N2553" s="24" t="str">
        <x:v>-6.00</x:v>
      </x:c>
      <x:c r="O2553" s="24" t="str">
        <x:v>0.75 a 3.50</x:v>
      </x:c>
      <x:c r="P2553" s="24" t="str">
        <x:v>75</x:v>
      </x:c>
      <x:c r="Q2553" s="24"/>
      <x:c r="R2553" s="24"/>
      <x:c r="S2553" s="26" t="n">
        <x:v>46113</x:v>
      </x:c>
      <x:c r="T2553" s="26"/>
      <x:c r="U2553" s="24" t="str">
        <x:v>ATIVA/SEM FIM INFORMADO</x:v>
      </x:c>
      <x:c r="V2553" s="24" t="str">
        <x:v>Programa de Parcerias ZEISS</x:v>
      </x:c>
      <x:c r="W2553" s="24" t="n">
        <x:v>41</x:v>
      </x:c>
      <x:c r="X2553" s="24" t="str">
        <x:v>tabela_zeiss.pdf</x:v>
      </x:c>
      <x:c r="Y2553" s="24" t="str">
        <x:v>alta</x:v>
      </x:c>
      <x:c r="Z2553" s="24"/>
      <x:c r="AA2553" s="24" t="str">
        <x:v>ZEISS|Progressiva|Surfaçada|SmartLife Essential|PhotoFusion X|1.6|1.60|DuraVision Gold UV|-7.25 a +6.00|-6.00|0.75 a 3.50|75|||41</x:v>
      </x:c>
    </x:row>
    <x:row r="2554">
      <x:c r="A2554" s="24" t="str">
        <x:v>ZS-D216374F23E9</x:v>
      </x:c>
      <x:c r="B2554" s="24" t="str">
        <x:v>SIM</x:v>
      </x:c>
      <x:c r="C2554" s="24" t="str">
        <x:v>DISPONÍVEL</x:v>
      </x:c>
      <x:c r="D2554" s="24" t="str">
        <x:v>ZEISS</x:v>
      </x:c>
      <x:c r="E2554" s="24" t="str">
        <x:v>Progressiva</x:v>
      </x:c>
      <x:c r="F2554" s="24" t="str">
        <x:v>Surfaçada</x:v>
      </x:c>
      <x:c r="G2554" s="24" t="str">
        <x:v>SmartLife Essential</x:v>
      </x:c>
      <x:c r="H2554" s="24" t="str">
        <x:v>PhotoFusion X</x:v>
      </x:c>
      <x:c r="I2554" s="24" t="str">
        <x:v>1.6</x:v>
      </x:c>
      <x:c r="J2554" s="24" t="str">
        <x:v>1.60</x:v>
      </x:c>
      <x:c r="K2554" s="24" t="str">
        <x:v>DuraVision Platinum UV</x:v>
      </x:c>
      <x:c r="L2554" s="40" t="n">
        <x:v>7010</x:v>
      </x:c>
      <x:c r="M2554" s="24" t="str">
        <x:v>-7.25 a +6.00</x:v>
      </x:c>
      <x:c r="N2554" s="24" t="str">
        <x:v>-6.00</x:v>
      </x:c>
      <x:c r="O2554" s="24" t="str">
        <x:v>0.75 a 3.50</x:v>
      </x:c>
      <x:c r="P2554" s="24" t="str">
        <x:v>75</x:v>
      </x:c>
      <x:c r="Q2554" s="24"/>
      <x:c r="R2554" s="24"/>
      <x:c r="S2554" s="26" t="n">
        <x:v>46113</x:v>
      </x:c>
      <x:c r="T2554" s="26"/>
      <x:c r="U2554" s="24" t="str">
        <x:v>ATIVA/SEM FIM INFORMADO</x:v>
      </x:c>
      <x:c r="V2554" s="24" t="str">
        <x:v>Programa de Parcerias ZEISS</x:v>
      </x:c>
      <x:c r="W2554" s="24" t="n">
        <x:v>41</x:v>
      </x:c>
      <x:c r="X2554" s="24" t="str">
        <x:v>tabela_zeiss.pdf</x:v>
      </x:c>
      <x:c r="Y2554" s="24" t="str">
        <x:v>alta</x:v>
      </x:c>
      <x:c r="Z2554" s="24"/>
      <x:c r="AA2554" s="24" t="str">
        <x:v>ZEISS|Progressiva|Surfaçada|SmartLife Essential|PhotoFusion X|1.6|1.60|DuraVision Platinum UV|-7.25 a +6.00|-6.00|0.75 a 3.50|75|||41</x:v>
      </x:c>
    </x:row>
    <x:row r="2555">
      <x:c r="A2555" s="24" t="str">
        <x:v>ZS-A699900889E7</x:v>
      </x:c>
      <x:c r="B2555" s="24" t="str">
        <x:v>SIM</x:v>
      </x:c>
      <x:c r="C2555" s="24" t="str">
        <x:v>DISPONÍVEL</x:v>
      </x:c>
      <x:c r="D2555" s="24" t="str">
        <x:v>ZEISS</x:v>
      </x:c>
      <x:c r="E2555" s="24" t="str">
        <x:v>Progressiva</x:v>
      </x:c>
      <x:c r="F2555" s="24" t="str">
        <x:v>Surfaçada</x:v>
      </x:c>
      <x:c r="G2555" s="24" t="str">
        <x:v>SmartLife Essential</x:v>
      </x:c>
      <x:c r="H2555" s="24" t="str">
        <x:v>PhotoFusion X</x:v>
      </x:c>
      <x:c r="I2555" s="24" t="str">
        <x:v>1.6</x:v>
      </x:c>
      <x:c r="J2555" s="24" t="str">
        <x:v>1.60</x:v>
      </x:c>
      <x:c r="K2555" s="24" t="str">
        <x:v>DuraVision Silver UV</x:v>
      </x:c>
      <x:c r="L2555" s="40" t="n">
        <x:v>6750</x:v>
      </x:c>
      <x:c r="M2555" s="24" t="str">
        <x:v>-7.25 a +6.00</x:v>
      </x:c>
      <x:c r="N2555" s="24" t="str">
        <x:v>-6.00</x:v>
      </x:c>
      <x:c r="O2555" s="24" t="str">
        <x:v>0.75 a 3.50</x:v>
      </x:c>
      <x:c r="P2555" s="24" t="str">
        <x:v>75</x:v>
      </x:c>
      <x:c r="Q2555" s="24"/>
      <x:c r="R2555" s="24"/>
      <x:c r="S2555" s="26" t="n">
        <x:v>46113</x:v>
      </x:c>
      <x:c r="T2555" s="26"/>
      <x:c r="U2555" s="24" t="str">
        <x:v>ATIVA/SEM FIM INFORMADO</x:v>
      </x:c>
      <x:c r="V2555" s="24" t="str">
        <x:v>Programa de Parcerias ZEISS</x:v>
      </x:c>
      <x:c r="W2555" s="24" t="n">
        <x:v>41</x:v>
      </x:c>
      <x:c r="X2555" s="24" t="str">
        <x:v>tabela_zeiss.pdf</x:v>
      </x:c>
      <x:c r="Y2555" s="24" t="str">
        <x:v>alta</x:v>
      </x:c>
      <x:c r="Z2555" s="24"/>
      <x:c r="AA2555" s="24" t="str">
        <x:v>ZEISS|Progressiva|Surfaçada|SmartLife Essential|PhotoFusion X|1.6|1.60|DuraVision Silver UV|-7.25 a +6.00|-6.00|0.75 a 3.50|75|||41</x:v>
      </x:c>
    </x:row>
    <x:row r="2556">
      <x:c r="A2556" s="24" t="str">
        <x:v>ZS-B42A106377E2</x:v>
      </x:c>
      <x:c r="B2556" s="24" t="str">
        <x:v>SIM</x:v>
      </x:c>
      <x:c r="C2556" s="24" t="str">
        <x:v>DISPONÍVEL</x:v>
      </x:c>
      <x:c r="D2556" s="24" t="str">
        <x:v>ZEISS</x:v>
      </x:c>
      <x:c r="E2556" s="24" t="str">
        <x:v>Progressiva</x:v>
      </x:c>
      <x:c r="F2556" s="24" t="str">
        <x:v>Surfaçada</x:v>
      </x:c>
      <x:c r="G2556" s="24" t="str">
        <x:v>SmartLife Essential</x:v>
      </x:c>
      <x:c r="H2556" s="24" t="str">
        <x:v>PhotoFusion X</x:v>
      </x:c>
      <x:c r="I2556" s="24" t="str">
        <x:v>1.6</x:v>
      </x:c>
      <x:c r="J2556" s="24" t="str">
        <x:v>1.60</x:v>
      </x:c>
      <x:c r="K2556" s="24" t="str">
        <x:v>DuraVision Chrome UV</x:v>
      </x:c>
      <x:c r="L2556" s="40" t="n">
        <x:v>6260</x:v>
      </x:c>
      <x:c r="M2556" s="24" t="str">
        <x:v>-7.25 a +6.00</x:v>
      </x:c>
      <x:c r="N2556" s="24" t="str">
        <x:v>-6.00</x:v>
      </x:c>
      <x:c r="O2556" s="24" t="str">
        <x:v>0.75 a 3.50</x:v>
      </x:c>
      <x:c r="P2556" s="24" t="str">
        <x:v>75</x:v>
      </x:c>
      <x:c r="Q2556" s="24"/>
      <x:c r="R2556" s="24"/>
      <x:c r="S2556" s="26" t="n">
        <x:v>46113</x:v>
      </x:c>
      <x:c r="T2556" s="26"/>
      <x:c r="U2556" s="24" t="str">
        <x:v>ATIVA/SEM FIM INFORMADO</x:v>
      </x:c>
      <x:c r="V2556" s="24" t="str">
        <x:v>Programa de Parcerias ZEISS</x:v>
      </x:c>
      <x:c r="W2556" s="24" t="n">
        <x:v>41</x:v>
      </x:c>
      <x:c r="X2556" s="24" t="str">
        <x:v>tabela_zeiss.pdf</x:v>
      </x:c>
      <x:c r="Y2556" s="24" t="str">
        <x:v>alta</x:v>
      </x:c>
      <x:c r="Z2556" s="24"/>
      <x:c r="AA2556" s="24" t="str">
        <x:v>ZEISS|Progressiva|Surfaçada|SmartLife Essential|PhotoFusion X|1.6|1.60|DuraVision Chrome UV|-7.25 a +6.00|-6.00|0.75 a 3.50|75|||41</x:v>
      </x:c>
    </x:row>
    <x:row r="2557">
      <x:c r="A2557" s="24" t="str">
        <x:v>ZS-4A75EECB2FEC</x:v>
      </x:c>
      <x:c r="B2557" s="24" t="str">
        <x:v>SIM</x:v>
      </x:c>
      <x:c r="C2557" s="24" t="str">
        <x:v>DISPONÍVEL</x:v>
      </x:c>
      <x:c r="D2557" s="24" t="str">
        <x:v>ZEISS</x:v>
      </x:c>
      <x:c r="E2557" s="24" t="str">
        <x:v>Progressiva</x:v>
      </x:c>
      <x:c r="F2557" s="24" t="str">
        <x:v>Surfaçada</x:v>
      </x:c>
      <x:c r="G2557" s="24" t="str">
        <x:v>SmartLife Essential</x:v>
      </x:c>
      <x:c r="H2557" s="24" t="str">
        <x:v>PhotoFusion X</x:v>
      </x:c>
      <x:c r="I2557" s="24" t="str">
        <x:v>1.67</x:v>
      </x:c>
      <x:c r="J2557" s="24" t="str">
        <x:v>1.67</x:v>
      </x:c>
      <x:c r="K2557" s="24" t="str">
        <x:v>DuraVision Gold UV</x:v>
      </x:c>
      <x:c r="L2557" s="40" t="n">
        <x:v>8790</x:v>
      </x:c>
      <x:c r="M2557" s="24" t="str">
        <x:v>-10.00 a +6.00</x:v>
      </x:c>
      <x:c r="N2557" s="24" t="str">
        <x:v>-6.00</x:v>
      </x:c>
      <x:c r="O2557" s="24" t="str">
        <x:v>0.75 a 3.00</x:v>
      </x:c>
      <x:c r="P2557" s="24" t="str">
        <x:v>70</x:v>
      </x:c>
      <x:c r="Q2557" s="24"/>
      <x:c r="R2557" s="24"/>
      <x:c r="S2557" s="26" t="n">
        <x:v>46113</x:v>
      </x:c>
      <x:c r="T2557" s="26"/>
      <x:c r="U2557" s="24" t="str">
        <x:v>ATIVA/SEM FIM INFORMADO</x:v>
      </x:c>
      <x:c r="V2557" s="24" t="str">
        <x:v>Programa de Parcerias ZEISS</x:v>
      </x:c>
      <x:c r="W2557" s="24" t="n">
        <x:v>41</x:v>
      </x:c>
      <x:c r="X2557" s="24" t="str">
        <x:v>tabela_zeiss.pdf</x:v>
      </x:c>
      <x:c r="Y2557" s="24" t="str">
        <x:v>alta</x:v>
      </x:c>
      <x:c r="Z2557" s="24"/>
      <x:c r="AA2557" s="24" t="str">
        <x:v>ZEISS|Progressiva|Surfaçada|SmartLife Essential|PhotoFusion X|1.67|1.67|DuraVision Gold UV|-10.00 a +6.00|-6.00|0.75 a 3.00|70|||41</x:v>
      </x:c>
    </x:row>
    <x:row r="2558">
      <x:c r="A2558" s="24" t="str">
        <x:v>ZS-B0A9BD0FC928</x:v>
      </x:c>
      <x:c r="B2558" s="24" t="str">
        <x:v>SIM</x:v>
      </x:c>
      <x:c r="C2558" s="24" t="str">
        <x:v>DISPONÍVEL</x:v>
      </x:c>
      <x:c r="D2558" s="24" t="str">
        <x:v>ZEISS</x:v>
      </x:c>
      <x:c r="E2558" s="24" t="str">
        <x:v>Progressiva</x:v>
      </x:c>
      <x:c r="F2558" s="24" t="str">
        <x:v>Surfaçada</x:v>
      </x:c>
      <x:c r="G2558" s="24" t="str">
        <x:v>SmartLife Essential</x:v>
      </x:c>
      <x:c r="H2558" s="24" t="str">
        <x:v>PhotoFusion X</x:v>
      </x:c>
      <x:c r="I2558" s="24" t="str">
        <x:v>1.67</x:v>
      </x:c>
      <x:c r="J2558" s="24" t="str">
        <x:v>1.67</x:v>
      </x:c>
      <x:c r="K2558" s="24" t="str">
        <x:v>DuraVision Platinum UV</x:v>
      </x:c>
      <x:c r="L2558" s="40" t="n">
        <x:v>8650</x:v>
      </x:c>
      <x:c r="M2558" s="24" t="str">
        <x:v>-10.00 a +6.00</x:v>
      </x:c>
      <x:c r="N2558" s="24" t="str">
        <x:v>-6.00</x:v>
      </x:c>
      <x:c r="O2558" s="24" t="str">
        <x:v>0.75 a 3.00</x:v>
      </x:c>
      <x:c r="P2558" s="24" t="str">
        <x:v>70</x:v>
      </x:c>
      <x:c r="Q2558" s="24"/>
      <x:c r="R2558" s="24"/>
      <x:c r="S2558" s="26" t="n">
        <x:v>46113</x:v>
      </x:c>
      <x:c r="T2558" s="26"/>
      <x:c r="U2558" s="24" t="str">
        <x:v>ATIVA/SEM FIM INFORMADO</x:v>
      </x:c>
      <x:c r="V2558" s="24" t="str">
        <x:v>Programa de Parcerias ZEISS</x:v>
      </x:c>
      <x:c r="W2558" s="24" t="n">
        <x:v>41</x:v>
      </x:c>
      <x:c r="X2558" s="24" t="str">
        <x:v>tabela_zeiss.pdf</x:v>
      </x:c>
      <x:c r="Y2558" s="24" t="str">
        <x:v>alta</x:v>
      </x:c>
      <x:c r="Z2558" s="24"/>
      <x:c r="AA2558" s="24" t="str">
        <x:v>ZEISS|Progressiva|Surfaçada|SmartLife Essential|PhotoFusion X|1.67|1.67|DuraVision Platinum UV|-10.00 a +6.00|-6.00|0.75 a 3.00|70|||41</x:v>
      </x:c>
    </x:row>
    <x:row r="2559">
      <x:c r="A2559" s="24" t="str">
        <x:v>ZS-D58C0FFF85C0</x:v>
      </x:c>
      <x:c r="B2559" s="24" t="str">
        <x:v>SIM</x:v>
      </x:c>
      <x:c r="C2559" s="24" t="str">
        <x:v>DISPONÍVEL</x:v>
      </x:c>
      <x:c r="D2559" s="24" t="str">
        <x:v>ZEISS</x:v>
      </x:c>
      <x:c r="E2559" s="24" t="str">
        <x:v>Progressiva</x:v>
      </x:c>
      <x:c r="F2559" s="24" t="str">
        <x:v>Surfaçada</x:v>
      </x:c>
      <x:c r="G2559" s="24" t="str">
        <x:v>SmartLife Essential</x:v>
      </x:c>
      <x:c r="H2559" s="24" t="str">
        <x:v>PhotoFusion X</x:v>
      </x:c>
      <x:c r="I2559" s="24" t="str">
        <x:v>1.67</x:v>
      </x:c>
      <x:c r="J2559" s="24" t="str">
        <x:v>1.67</x:v>
      </x:c>
      <x:c r="K2559" s="24" t="str">
        <x:v>DuraVision Silver UV</x:v>
      </x:c>
      <x:c r="L2559" s="40" t="n">
        <x:v>8390</x:v>
      </x:c>
      <x:c r="M2559" s="24" t="str">
        <x:v>-10.00 a +6.00</x:v>
      </x:c>
      <x:c r="N2559" s="24" t="str">
        <x:v>-6.00</x:v>
      </x:c>
      <x:c r="O2559" s="24" t="str">
        <x:v>0.75 a 3.00</x:v>
      </x:c>
      <x:c r="P2559" s="24" t="str">
        <x:v>70</x:v>
      </x:c>
      <x:c r="Q2559" s="24"/>
      <x:c r="R2559" s="24"/>
      <x:c r="S2559" s="26" t="n">
        <x:v>46113</x:v>
      </x:c>
      <x:c r="T2559" s="26"/>
      <x:c r="U2559" s="24" t="str">
        <x:v>ATIVA/SEM FIM INFORMADO</x:v>
      </x:c>
      <x:c r="V2559" s="24" t="str">
        <x:v>Programa de Parcerias ZEISS</x:v>
      </x:c>
      <x:c r="W2559" s="24" t="n">
        <x:v>41</x:v>
      </x:c>
      <x:c r="X2559" s="24" t="str">
        <x:v>tabela_zeiss.pdf</x:v>
      </x:c>
      <x:c r="Y2559" s="24" t="str">
        <x:v>alta</x:v>
      </x:c>
      <x:c r="Z2559" s="24"/>
      <x:c r="AA2559" s="24" t="str">
        <x:v>ZEISS|Progressiva|Surfaçada|SmartLife Essential|PhotoFusion X|1.67|1.67|DuraVision Silver UV|-10.00 a +6.00|-6.00|0.75 a 3.00|70|||41</x:v>
      </x:c>
    </x:row>
    <x:row r="2560">
      <x:c r="A2560" s="24" t="str">
        <x:v>ZS-6CFBB727BD0F</x:v>
      </x:c>
      <x:c r="B2560" s="24" t="str">
        <x:v>SIM</x:v>
      </x:c>
      <x:c r="C2560" s="24" t="str">
        <x:v>DISPONÍVEL</x:v>
      </x:c>
      <x:c r="D2560" s="24" t="str">
        <x:v>ZEISS</x:v>
      </x:c>
      <x:c r="E2560" s="24" t="str">
        <x:v>Progressiva</x:v>
      </x:c>
      <x:c r="F2560" s="24" t="str">
        <x:v>Surfaçada</x:v>
      </x:c>
      <x:c r="G2560" s="24" t="str">
        <x:v>SmartLife Essential</x:v>
      </x:c>
      <x:c r="H2560" s="24" t="str">
        <x:v>PhotoFusion X</x:v>
      </x:c>
      <x:c r="I2560" s="24" t="str">
        <x:v>1.67</x:v>
      </x:c>
      <x:c r="J2560" s="24" t="str">
        <x:v>1.67</x:v>
      </x:c>
      <x:c r="K2560" s="24" t="str">
        <x:v>DuraVision Chrome UV</x:v>
      </x:c>
      <x:c r="L2560" s="40" t="n">
        <x:v>7900</x:v>
      </x:c>
      <x:c r="M2560" s="24" t="str">
        <x:v>-10.00 a +6.00</x:v>
      </x:c>
      <x:c r="N2560" s="24" t="str">
        <x:v>-6.00</x:v>
      </x:c>
      <x:c r="O2560" s="24" t="str">
        <x:v>0.75 a 3.00</x:v>
      </x:c>
      <x:c r="P2560" s="24" t="str">
        <x:v>70</x:v>
      </x:c>
      <x:c r="Q2560" s="24"/>
      <x:c r="R2560" s="24"/>
      <x:c r="S2560" s="26" t="n">
        <x:v>46113</x:v>
      </x:c>
      <x:c r="T2560" s="26"/>
      <x:c r="U2560" s="24" t="str">
        <x:v>ATIVA/SEM FIM INFORMADO</x:v>
      </x:c>
      <x:c r="V2560" s="24" t="str">
        <x:v>Programa de Parcerias ZEISS</x:v>
      </x:c>
      <x:c r="W2560" s="24" t="n">
        <x:v>41</x:v>
      </x:c>
      <x:c r="X2560" s="24" t="str">
        <x:v>tabela_zeiss.pdf</x:v>
      </x:c>
      <x:c r="Y2560" s="24" t="str">
        <x:v>alta</x:v>
      </x:c>
      <x:c r="Z2560" s="24"/>
      <x:c r="AA2560" s="24" t="str">
        <x:v>ZEISS|Progressiva|Surfaçada|SmartLife Essential|PhotoFusion X|1.67|1.67|DuraVision Chrome UV|-10.00 a +6.00|-6.00|0.75 a 3.00|70|||41</x:v>
      </x:c>
    </x:row>
    <x:row r="2561">
      <x:c r="A2561" s="24" t="str">
        <x:v>ZS-5D5DB47E4873</x:v>
      </x:c>
      <x:c r="B2561" s="24" t="str">
        <x:v>SIM</x:v>
      </x:c>
      <x:c r="C2561" s="24" t="str">
        <x:v>DISPONÍVEL</x:v>
      </x:c>
      <x:c r="D2561" s="24" t="str">
        <x:v>ZEISS</x:v>
      </x:c>
      <x:c r="E2561" s="24" t="str">
        <x:v>Progressiva</x:v>
      </x:c>
      <x:c r="F2561" s="24" t="str">
        <x:v>Surfaçada</x:v>
      </x:c>
      <x:c r="G2561" s="24" t="str">
        <x:v>SmartLife Essential</x:v>
      </x:c>
      <x:c r="H2561" s="24" t="str">
        <x:v>PhotoFusion X Extra Dark Cinza</x:v>
      </x:c>
      <x:c r="I2561" s="24" t="str">
        <x:v>1.5</x:v>
      </x:c>
      <x:c r="J2561" s="24" t="str">
        <x:v>1.50</x:v>
      </x:c>
      <x:c r="K2561" s="24" t="str">
        <x:v>DuraVision Gold UV</x:v>
      </x:c>
      <x:c r="L2561" s="40" t="n">
        <x:v>5950</x:v>
      </x:c>
      <x:c r="M2561" s="24" t="str">
        <x:v>-6.00 a +5.00</x:v>
      </x:c>
      <x:c r="N2561" s="24" t="str">
        <x:v>-4.00</x:v>
      </x:c>
      <x:c r="O2561" s="24" t="str">
        <x:v>0.75 a 3.00</x:v>
      </x:c>
      <x:c r="P2561" s="24" t="str">
        <x:v>75</x:v>
      </x:c>
      <x:c r="Q2561" s="24"/>
      <x:c r="R2561" s="24"/>
      <x:c r="S2561" s="26" t="n">
        <x:v>46113</x:v>
      </x:c>
      <x:c r="T2561" s="26"/>
      <x:c r="U2561" s="24" t="str">
        <x:v>ATIVA/SEM FIM INFORMADO</x:v>
      </x:c>
      <x:c r="V2561" s="24" t="str">
        <x:v>Programa de Parcerias ZEISS</x:v>
      </x:c>
      <x:c r="W2561" s="24" t="n">
        <x:v>41</x:v>
      </x:c>
      <x:c r="X2561" s="24" t="str">
        <x:v>tabela_zeiss.pdf</x:v>
      </x:c>
      <x:c r="Y2561" s="24" t="str">
        <x:v>alta</x:v>
      </x:c>
      <x:c r="Z2561" s="24"/>
      <x:c r="AA2561" s="24" t="str">
        <x:v>ZEISS|Progressiva|Surfaçada|SmartLife Essential|PhotoFusion X Extra Dark Cinza|1.5|1.50|DuraVision Gold UV|-6.00 a +5.00|-4.00|0.75 a 3.00|75|||41</x:v>
      </x:c>
    </x:row>
    <x:row r="2562">
      <x:c r="A2562" s="24" t="str">
        <x:v>ZS-DF78AF1E0DCF</x:v>
      </x:c>
      <x:c r="B2562" s="24" t="str">
        <x:v>SIM</x:v>
      </x:c>
      <x:c r="C2562" s="24" t="str">
        <x:v>DISPONÍVEL</x:v>
      </x:c>
      <x:c r="D2562" s="24" t="str">
        <x:v>ZEISS</x:v>
      </x:c>
      <x:c r="E2562" s="24" t="str">
        <x:v>Progressiva</x:v>
      </x:c>
      <x:c r="F2562" s="24" t="str">
        <x:v>Surfaçada</x:v>
      </x:c>
      <x:c r="G2562" s="24" t="str">
        <x:v>SmartLife Essential</x:v>
      </x:c>
      <x:c r="H2562" s="24" t="str">
        <x:v>PhotoFusion X Extra Dark Cinza</x:v>
      </x:c>
      <x:c r="I2562" s="24" t="str">
        <x:v>1.5</x:v>
      </x:c>
      <x:c r="J2562" s="24" t="str">
        <x:v>1.50</x:v>
      </x:c>
      <x:c r="K2562" s="24" t="str">
        <x:v>DuraVision Platinum UV</x:v>
      </x:c>
      <x:c r="L2562" s="40" t="n">
        <x:v>5810</x:v>
      </x:c>
      <x:c r="M2562" s="24" t="str">
        <x:v>-6.00 a +5.00</x:v>
      </x:c>
      <x:c r="N2562" s="24" t="str">
        <x:v>-4.00</x:v>
      </x:c>
      <x:c r="O2562" s="24" t="str">
        <x:v>0.75 a 3.00</x:v>
      </x:c>
      <x:c r="P2562" s="24" t="str">
        <x:v>75</x:v>
      </x:c>
      <x:c r="Q2562" s="24"/>
      <x:c r="R2562" s="24"/>
      <x:c r="S2562" s="26" t="n">
        <x:v>46113</x:v>
      </x:c>
      <x:c r="T2562" s="26"/>
      <x:c r="U2562" s="24" t="str">
        <x:v>ATIVA/SEM FIM INFORMADO</x:v>
      </x:c>
      <x:c r="V2562" s="24" t="str">
        <x:v>Programa de Parcerias ZEISS</x:v>
      </x:c>
      <x:c r="W2562" s="24" t="n">
        <x:v>41</x:v>
      </x:c>
      <x:c r="X2562" s="24" t="str">
        <x:v>tabela_zeiss.pdf</x:v>
      </x:c>
      <x:c r="Y2562" s="24" t="str">
        <x:v>alta</x:v>
      </x:c>
      <x:c r="Z2562" s="24"/>
      <x:c r="AA2562" s="24" t="str">
        <x:v>ZEISS|Progressiva|Surfaçada|SmartLife Essential|PhotoFusion X Extra Dark Cinza|1.5|1.50|DuraVision Platinum UV|-6.00 a +5.00|-4.00|0.75 a 3.00|75|||41</x:v>
      </x:c>
    </x:row>
    <x:row r="2563">
      <x:c r="A2563" s="24" t="str">
        <x:v>ZS-0C21C9996708</x:v>
      </x:c>
      <x:c r="B2563" s="24" t="str">
        <x:v>SIM</x:v>
      </x:c>
      <x:c r="C2563" s="24" t="str">
        <x:v>DISPONÍVEL</x:v>
      </x:c>
      <x:c r="D2563" s="24" t="str">
        <x:v>ZEISS</x:v>
      </x:c>
      <x:c r="E2563" s="24" t="str">
        <x:v>Progressiva</x:v>
      </x:c>
      <x:c r="F2563" s="24" t="str">
        <x:v>Surfaçada</x:v>
      </x:c>
      <x:c r="G2563" s="24" t="str">
        <x:v>SmartLife Essential</x:v>
      </x:c>
      <x:c r="H2563" s="24" t="str">
        <x:v>PhotoFusion X Extra Dark Cinza</x:v>
      </x:c>
      <x:c r="I2563" s="24" t="str">
        <x:v>1.5</x:v>
      </x:c>
      <x:c r="J2563" s="24" t="str">
        <x:v>1.50</x:v>
      </x:c>
      <x:c r="K2563" s="24" t="str">
        <x:v>DuraVision Silver UV</x:v>
      </x:c>
      <x:c r="L2563" s="40" t="n">
        <x:v>5550</x:v>
      </x:c>
      <x:c r="M2563" s="24" t="str">
        <x:v>-6.00 a +5.00</x:v>
      </x:c>
      <x:c r="N2563" s="24" t="str">
        <x:v>-4.00</x:v>
      </x:c>
      <x:c r="O2563" s="24" t="str">
        <x:v>0.75 a 3.00</x:v>
      </x:c>
      <x:c r="P2563" s="24" t="str">
        <x:v>75</x:v>
      </x:c>
      <x:c r="Q2563" s="24"/>
      <x:c r="R2563" s="24"/>
      <x:c r="S2563" s="26" t="n">
        <x:v>46113</x:v>
      </x:c>
      <x:c r="T2563" s="26"/>
      <x:c r="U2563" s="24" t="str">
        <x:v>ATIVA/SEM FIM INFORMADO</x:v>
      </x:c>
      <x:c r="V2563" s="24" t="str">
        <x:v>Programa de Parcerias ZEISS</x:v>
      </x:c>
      <x:c r="W2563" s="24" t="n">
        <x:v>41</x:v>
      </x:c>
      <x:c r="X2563" s="24" t="str">
        <x:v>tabela_zeiss.pdf</x:v>
      </x:c>
      <x:c r="Y2563" s="24" t="str">
        <x:v>alta</x:v>
      </x:c>
      <x:c r="Z2563" s="24"/>
      <x:c r="AA2563" s="24" t="str">
        <x:v>ZEISS|Progressiva|Surfaçada|SmartLife Essential|PhotoFusion X Extra Dark Cinza|1.5|1.50|DuraVision Silver UV|-6.00 a +5.00|-4.00|0.75 a 3.00|75|||41</x:v>
      </x:c>
    </x:row>
    <x:row r="2564">
      <x:c r="A2564" s="24" t="str">
        <x:v>ZS-A9E9A8F85DFD</x:v>
      </x:c>
      <x:c r="B2564" s="24" t="str">
        <x:v>SIM</x:v>
      </x:c>
      <x:c r="C2564" s="24" t="str">
        <x:v>DISPONÍVEL</x:v>
      </x:c>
      <x:c r="D2564" s="24" t="str">
        <x:v>ZEISS</x:v>
      </x:c>
      <x:c r="E2564" s="24" t="str">
        <x:v>Progressiva</x:v>
      </x:c>
      <x:c r="F2564" s="24" t="str">
        <x:v>Surfaçada</x:v>
      </x:c>
      <x:c r="G2564" s="24" t="str">
        <x:v>SmartLife Essential</x:v>
      </x:c>
      <x:c r="H2564" s="24" t="str">
        <x:v>PhotoFusion X Extra Dark Cinza</x:v>
      </x:c>
      <x:c r="I2564" s="24" t="str">
        <x:v>1.5</x:v>
      </x:c>
      <x:c r="J2564" s="24" t="str">
        <x:v>1.50</x:v>
      </x:c>
      <x:c r="K2564" s="24" t="str">
        <x:v>DuraVision Chrome UV</x:v>
      </x:c>
      <x:c r="L2564" s="40" t="n">
        <x:v>5060</x:v>
      </x:c>
      <x:c r="M2564" s="24" t="str">
        <x:v>-6.00 a +5.00</x:v>
      </x:c>
      <x:c r="N2564" s="24" t="str">
        <x:v>-4.00</x:v>
      </x:c>
      <x:c r="O2564" s="24" t="str">
        <x:v>0.75 a 3.00</x:v>
      </x:c>
      <x:c r="P2564" s="24" t="str">
        <x:v>75</x:v>
      </x:c>
      <x:c r="Q2564" s="24"/>
      <x:c r="R2564" s="24"/>
      <x:c r="S2564" s="26" t="n">
        <x:v>46113</x:v>
      </x:c>
      <x:c r="T2564" s="26"/>
      <x:c r="U2564" s="24" t="str">
        <x:v>ATIVA/SEM FIM INFORMADO</x:v>
      </x:c>
      <x:c r="V2564" s="24" t="str">
        <x:v>Programa de Parcerias ZEISS</x:v>
      </x:c>
      <x:c r="W2564" s="24" t="n">
        <x:v>41</x:v>
      </x:c>
      <x:c r="X2564" s="24" t="str">
        <x:v>tabela_zeiss.pdf</x:v>
      </x:c>
      <x:c r="Y2564" s="24" t="str">
        <x:v>alta</x:v>
      </x:c>
      <x:c r="Z2564" s="24"/>
      <x:c r="AA2564" s="24" t="str">
        <x:v>ZEISS|Progressiva|Surfaçada|SmartLife Essential|PhotoFusion X Extra Dark Cinza|1.5|1.50|DuraVision Chrome UV|-6.00 a +5.00|-4.00|0.75 a 3.00|75|||41</x:v>
      </x:c>
    </x:row>
    <x:row r="2565">
      <x:c r="A2565" s="24" t="str">
        <x:v>ZS-0FD9CE1050AF</x:v>
      </x:c>
      <x:c r="B2565" s="24" t="str">
        <x:v>SIM</x:v>
      </x:c>
      <x:c r="C2565" s="24" t="str">
        <x:v>DISPONÍVEL</x:v>
      </x:c>
      <x:c r="D2565" s="24" t="str">
        <x:v>ZEISS</x:v>
      </x:c>
      <x:c r="E2565" s="24" t="str">
        <x:v>Progressiva</x:v>
      </x:c>
      <x:c r="F2565" s="24" t="str">
        <x:v>Surfaçada</x:v>
      </x:c>
      <x:c r="G2565" s="24" t="str">
        <x:v>SmartLife Essential</x:v>
      </x:c>
      <x:c r="H2565" s="24" t="str">
        <x:v>PhotoFusion X Extra Dark Cinza</x:v>
      </x:c>
      <x:c r="I2565" s="24" t="str">
        <x:v>Poli</x:v>
      </x:c>
      <x:c r="J2565" s="24"/>
      <x:c r="K2565" s="24" t="str">
        <x:v>DuraVision Gold UV</x:v>
      </x:c>
      <x:c r="L2565" s="40" t="n">
        <x:v>6540</x:v>
      </x:c>
      <x:c r="M2565" s="24" t="str">
        <x:v>-10.00 a +6.00</x:v>
      </x:c>
      <x:c r="N2565" s="24" t="str">
        <x:v>-6.00</x:v>
      </x:c>
      <x:c r="O2565" s="24" t="str">
        <x:v>0.75 a 3.00</x:v>
      </x:c>
      <x:c r="P2565" s="24" t="str">
        <x:v>72</x:v>
      </x:c>
      <x:c r="Q2565" s="24"/>
      <x:c r="R2565" s="24"/>
      <x:c r="S2565" s="26" t="n">
        <x:v>46113</x:v>
      </x:c>
      <x:c r="T2565" s="26"/>
      <x:c r="U2565" s="24" t="str">
        <x:v>ATIVA/SEM FIM INFORMADO</x:v>
      </x:c>
      <x:c r="V2565" s="24" t="str">
        <x:v>Programa de Parcerias ZEISS</x:v>
      </x:c>
      <x:c r="W2565" s="24" t="n">
        <x:v>41</x:v>
      </x:c>
      <x:c r="X2565" s="24" t="str">
        <x:v>tabela_zeiss.pdf</x:v>
      </x:c>
      <x:c r="Y2565" s="24" t="str">
        <x:v>alta</x:v>
      </x:c>
      <x:c r="Z2565" s="24"/>
      <x:c r="AA2565" s="24" t="str">
        <x:v>ZEISS|Progressiva|Surfaçada|SmartLife Essential|PhotoFusion X Extra Dark Cinza|Poli||DuraVision Gold UV|-10.00 a +6.00|-6.00|0.75 a 3.00|72|||41</x:v>
      </x:c>
    </x:row>
    <x:row r="2566">
      <x:c r="A2566" s="24" t="str">
        <x:v>ZS-019D8AC743B7</x:v>
      </x:c>
      <x:c r="B2566" s="24" t="str">
        <x:v>SIM</x:v>
      </x:c>
      <x:c r="C2566" s="24" t="str">
        <x:v>DISPONÍVEL</x:v>
      </x:c>
      <x:c r="D2566" s="24" t="str">
        <x:v>ZEISS</x:v>
      </x:c>
      <x:c r="E2566" s="24" t="str">
        <x:v>Progressiva</x:v>
      </x:c>
      <x:c r="F2566" s="24" t="str">
        <x:v>Surfaçada</x:v>
      </x:c>
      <x:c r="G2566" s="24" t="str">
        <x:v>SmartLife Essential</x:v>
      </x:c>
      <x:c r="H2566" s="24" t="str">
        <x:v>PhotoFusion X Extra Dark Cinza</x:v>
      </x:c>
      <x:c r="I2566" s="24" t="str">
        <x:v>Poli</x:v>
      </x:c>
      <x:c r="J2566" s="24"/>
      <x:c r="K2566" s="24" t="str">
        <x:v>DuraVision Platinum UV</x:v>
      </x:c>
      <x:c r="L2566" s="40" t="n">
        <x:v>6400</x:v>
      </x:c>
      <x:c r="M2566" s="24" t="str">
        <x:v>-10.00 a +6.00</x:v>
      </x:c>
      <x:c r="N2566" s="24" t="str">
        <x:v>-6.00</x:v>
      </x:c>
      <x:c r="O2566" s="24" t="str">
        <x:v>0.75 a 3.00</x:v>
      </x:c>
      <x:c r="P2566" s="24" t="str">
        <x:v>72</x:v>
      </x:c>
      <x:c r="Q2566" s="24"/>
      <x:c r="R2566" s="24"/>
      <x:c r="S2566" s="26" t="n">
        <x:v>46113</x:v>
      </x:c>
      <x:c r="T2566" s="26"/>
      <x:c r="U2566" s="24" t="str">
        <x:v>ATIVA/SEM FIM INFORMADO</x:v>
      </x:c>
      <x:c r="V2566" s="24" t="str">
        <x:v>Programa de Parcerias ZEISS</x:v>
      </x:c>
      <x:c r="W2566" s="24" t="n">
        <x:v>41</x:v>
      </x:c>
      <x:c r="X2566" s="24" t="str">
        <x:v>tabela_zeiss.pdf</x:v>
      </x:c>
      <x:c r="Y2566" s="24" t="str">
        <x:v>alta</x:v>
      </x:c>
      <x:c r="Z2566" s="24"/>
      <x:c r="AA2566" s="24" t="str">
        <x:v>ZEISS|Progressiva|Surfaçada|SmartLife Essential|PhotoFusion X Extra Dark Cinza|Poli||DuraVision Platinum UV|-10.00 a +6.00|-6.00|0.75 a 3.00|72|||41</x:v>
      </x:c>
    </x:row>
    <x:row r="2567">
      <x:c r="A2567" s="24" t="str">
        <x:v>ZS-CE7BA02D663C</x:v>
      </x:c>
      <x:c r="B2567" s="24" t="str">
        <x:v>SIM</x:v>
      </x:c>
      <x:c r="C2567" s="24" t="str">
        <x:v>DISPONÍVEL</x:v>
      </x:c>
      <x:c r="D2567" s="24" t="str">
        <x:v>ZEISS</x:v>
      </x:c>
      <x:c r="E2567" s="24" t="str">
        <x:v>Progressiva</x:v>
      </x:c>
      <x:c r="F2567" s="24" t="str">
        <x:v>Surfaçada</x:v>
      </x:c>
      <x:c r="G2567" s="24" t="str">
        <x:v>SmartLife Essential</x:v>
      </x:c>
      <x:c r="H2567" s="24" t="str">
        <x:v>PhotoFusion X Extra Dark Cinza</x:v>
      </x:c>
      <x:c r="I2567" s="24" t="str">
        <x:v>Poli</x:v>
      </x:c>
      <x:c r="J2567" s="24"/>
      <x:c r="K2567" s="24" t="str">
        <x:v>DuraVision Silver UV</x:v>
      </x:c>
      <x:c r="L2567" s="40" t="n">
        <x:v>6140</x:v>
      </x:c>
      <x:c r="M2567" s="24" t="str">
        <x:v>-10.00 a +6.00</x:v>
      </x:c>
      <x:c r="N2567" s="24" t="str">
        <x:v>-6.00</x:v>
      </x:c>
      <x:c r="O2567" s="24" t="str">
        <x:v>0.75 a 3.00</x:v>
      </x:c>
      <x:c r="P2567" s="24" t="str">
        <x:v>72</x:v>
      </x:c>
      <x:c r="Q2567" s="24"/>
      <x:c r="R2567" s="24"/>
      <x:c r="S2567" s="26" t="n">
        <x:v>46113</x:v>
      </x:c>
      <x:c r="T2567" s="26"/>
      <x:c r="U2567" s="24" t="str">
        <x:v>ATIVA/SEM FIM INFORMADO</x:v>
      </x:c>
      <x:c r="V2567" s="24" t="str">
        <x:v>Programa de Parcerias ZEISS</x:v>
      </x:c>
      <x:c r="W2567" s="24" t="n">
        <x:v>41</x:v>
      </x:c>
      <x:c r="X2567" s="24" t="str">
        <x:v>tabela_zeiss.pdf</x:v>
      </x:c>
      <x:c r="Y2567" s="24" t="str">
        <x:v>alta</x:v>
      </x:c>
      <x:c r="Z2567" s="24"/>
      <x:c r="AA2567" s="24" t="str">
        <x:v>ZEISS|Progressiva|Surfaçada|SmartLife Essential|PhotoFusion X Extra Dark Cinza|Poli||DuraVision Silver UV|-10.00 a +6.00|-6.00|0.75 a 3.00|72|||41</x:v>
      </x:c>
    </x:row>
    <x:row r="2568">
      <x:c r="A2568" s="24" t="str">
        <x:v>ZS-D81FB3DF2BA9</x:v>
      </x:c>
      <x:c r="B2568" s="24" t="str">
        <x:v>SIM</x:v>
      </x:c>
      <x:c r="C2568" s="24" t="str">
        <x:v>DISPONÍVEL</x:v>
      </x:c>
      <x:c r="D2568" s="24" t="str">
        <x:v>ZEISS</x:v>
      </x:c>
      <x:c r="E2568" s="24" t="str">
        <x:v>Progressiva</x:v>
      </x:c>
      <x:c r="F2568" s="24" t="str">
        <x:v>Surfaçada</x:v>
      </x:c>
      <x:c r="G2568" s="24" t="str">
        <x:v>SmartLife Essential</x:v>
      </x:c>
      <x:c r="H2568" s="24" t="str">
        <x:v>PhotoFusion X Extra Dark Cinza</x:v>
      </x:c>
      <x:c r="I2568" s="24" t="str">
        <x:v>Poli</x:v>
      </x:c>
      <x:c r="J2568" s="24"/>
      <x:c r="K2568" s="24" t="str">
        <x:v>DuraVision Chrome UV</x:v>
      </x:c>
      <x:c r="L2568" s="40" t="n">
        <x:v>5650</x:v>
      </x:c>
      <x:c r="M2568" s="24" t="str">
        <x:v>-10.00 a +6.00</x:v>
      </x:c>
      <x:c r="N2568" s="24" t="str">
        <x:v>-6.00</x:v>
      </x:c>
      <x:c r="O2568" s="24" t="str">
        <x:v>0.75 a 3.00</x:v>
      </x:c>
      <x:c r="P2568" s="24" t="str">
        <x:v>72</x:v>
      </x:c>
      <x:c r="Q2568" s="24"/>
      <x:c r="R2568" s="24"/>
      <x:c r="S2568" s="26" t="n">
        <x:v>46113</x:v>
      </x:c>
      <x:c r="T2568" s="26"/>
      <x:c r="U2568" s="24" t="str">
        <x:v>ATIVA/SEM FIM INFORMADO</x:v>
      </x:c>
      <x:c r="V2568" s="24" t="str">
        <x:v>Programa de Parcerias ZEISS</x:v>
      </x:c>
      <x:c r="W2568" s="24" t="n">
        <x:v>41</x:v>
      </x:c>
      <x:c r="X2568" s="24" t="str">
        <x:v>tabela_zeiss.pdf</x:v>
      </x:c>
      <x:c r="Y2568" s="24" t="str">
        <x:v>alta</x:v>
      </x:c>
      <x:c r="Z2568" s="24"/>
      <x:c r="AA2568" s="24" t="str">
        <x:v>ZEISS|Progressiva|Surfaçada|SmartLife Essential|PhotoFusion X Extra Dark Cinza|Poli||DuraVision Chrome UV|-10.00 a +6.00|-6.00|0.75 a 3.00|72|||41</x:v>
      </x:c>
    </x:row>
    <x:row r="2569">
      <x:c r="A2569" s="24" t="str">
        <x:v>ZS-08E908EEBCBC</x:v>
      </x:c>
      <x:c r="B2569" s="24" t="str">
        <x:v>SIM</x:v>
      </x:c>
      <x:c r="C2569" s="24" t="str">
        <x:v>DISPONÍVEL</x:v>
      </x:c>
      <x:c r="D2569" s="24" t="str">
        <x:v>ZEISS</x:v>
      </x:c>
      <x:c r="E2569" s="24" t="str">
        <x:v>Progressiva</x:v>
      </x:c>
      <x:c r="F2569" s="24" t="str">
        <x:v>Surfaçada</x:v>
      </x:c>
      <x:c r="G2569" s="24" t="str">
        <x:v>SmartLife Essential</x:v>
      </x:c>
      <x:c r="H2569" s="24" t="str">
        <x:v>PhotoFusion X Extra Dark Cinza</x:v>
      </x:c>
      <x:c r="I2569" s="24" t="str">
        <x:v>1.6</x:v>
      </x:c>
      <x:c r="J2569" s="24" t="str">
        <x:v>1.60</x:v>
      </x:c>
      <x:c r="K2569" s="24" t="str">
        <x:v>DuraVision Gold UV</x:v>
      </x:c>
      <x:c r="L2569" s="40" t="n">
        <x:v>7200</x:v>
      </x:c>
      <x:c r="M2569" s="24" t="str">
        <x:v>-7.25 a +6.00</x:v>
      </x:c>
      <x:c r="N2569" s="24" t="str">
        <x:v>-6.00</x:v>
      </x:c>
      <x:c r="O2569" s="24" t="str">
        <x:v>0.75 a 3.50</x:v>
      </x:c>
      <x:c r="P2569" s="24" t="str">
        <x:v>75</x:v>
      </x:c>
      <x:c r="Q2569" s="24"/>
      <x:c r="R2569" s="24"/>
      <x:c r="S2569" s="26" t="n">
        <x:v>46113</x:v>
      </x:c>
      <x:c r="T2569" s="26"/>
      <x:c r="U2569" s="24" t="str">
        <x:v>ATIVA/SEM FIM INFORMADO</x:v>
      </x:c>
      <x:c r="V2569" s="24" t="str">
        <x:v>Programa de Parcerias ZEISS</x:v>
      </x:c>
      <x:c r="W2569" s="24" t="n">
        <x:v>41</x:v>
      </x:c>
      <x:c r="X2569" s="24" t="str">
        <x:v>tabela_zeiss.pdf</x:v>
      </x:c>
      <x:c r="Y2569" s="24" t="str">
        <x:v>alta</x:v>
      </x:c>
      <x:c r="Z2569" s="24"/>
      <x:c r="AA2569" s="24" t="str">
        <x:v>ZEISS|Progressiva|Surfaçada|SmartLife Essential|PhotoFusion X Extra Dark Cinza|1.6|1.60|DuraVision Gold UV|-7.25 a +6.00|-6.00|0.75 a 3.50|75|||41</x:v>
      </x:c>
    </x:row>
    <x:row r="2570">
      <x:c r="A2570" s="24" t="str">
        <x:v>ZS-4AA820841B8A</x:v>
      </x:c>
      <x:c r="B2570" s="24" t="str">
        <x:v>SIM</x:v>
      </x:c>
      <x:c r="C2570" s="24" t="str">
        <x:v>DISPONÍVEL</x:v>
      </x:c>
      <x:c r="D2570" s="24" t="str">
        <x:v>ZEISS</x:v>
      </x:c>
      <x:c r="E2570" s="24" t="str">
        <x:v>Progressiva</x:v>
      </x:c>
      <x:c r="F2570" s="24" t="str">
        <x:v>Surfaçada</x:v>
      </x:c>
      <x:c r="G2570" s="24" t="str">
        <x:v>SmartLife Essential</x:v>
      </x:c>
      <x:c r="H2570" s="24" t="str">
        <x:v>PhotoFusion X Extra Dark Cinza</x:v>
      </x:c>
      <x:c r="I2570" s="24" t="str">
        <x:v>1.6</x:v>
      </x:c>
      <x:c r="J2570" s="24" t="str">
        <x:v>1.60</x:v>
      </x:c>
      <x:c r="K2570" s="24" t="str">
        <x:v>DuraVision Platinum UV</x:v>
      </x:c>
      <x:c r="L2570" s="40" t="n">
        <x:v>7060</x:v>
      </x:c>
      <x:c r="M2570" s="24" t="str">
        <x:v>-7.25 a +6.00</x:v>
      </x:c>
      <x:c r="N2570" s="24" t="str">
        <x:v>-6.00</x:v>
      </x:c>
      <x:c r="O2570" s="24" t="str">
        <x:v>0.75 a 3.50</x:v>
      </x:c>
      <x:c r="P2570" s="24" t="str">
        <x:v>75</x:v>
      </x:c>
      <x:c r="Q2570" s="24"/>
      <x:c r="R2570" s="24"/>
      <x:c r="S2570" s="26" t="n">
        <x:v>46113</x:v>
      </x:c>
      <x:c r="T2570" s="26"/>
      <x:c r="U2570" s="24" t="str">
        <x:v>ATIVA/SEM FIM INFORMADO</x:v>
      </x:c>
      <x:c r="V2570" s="24" t="str">
        <x:v>Programa de Parcerias ZEISS</x:v>
      </x:c>
      <x:c r="W2570" s="24" t="n">
        <x:v>41</x:v>
      </x:c>
      <x:c r="X2570" s="24" t="str">
        <x:v>tabela_zeiss.pdf</x:v>
      </x:c>
      <x:c r="Y2570" s="24" t="str">
        <x:v>alta</x:v>
      </x:c>
      <x:c r="Z2570" s="24"/>
      <x:c r="AA2570" s="24" t="str">
        <x:v>ZEISS|Progressiva|Surfaçada|SmartLife Essential|PhotoFusion X Extra Dark Cinza|1.6|1.60|DuraVision Platinum UV|-7.25 a +6.00|-6.00|0.75 a 3.50|75|||41</x:v>
      </x:c>
    </x:row>
    <x:row r="2571">
      <x:c r="A2571" s="24" t="str">
        <x:v>ZS-4924D4EC1A87</x:v>
      </x:c>
      <x:c r="B2571" s="24" t="str">
        <x:v>SIM</x:v>
      </x:c>
      <x:c r="C2571" s="24" t="str">
        <x:v>DISPONÍVEL</x:v>
      </x:c>
      <x:c r="D2571" s="24" t="str">
        <x:v>ZEISS</x:v>
      </x:c>
      <x:c r="E2571" s="24" t="str">
        <x:v>Progressiva</x:v>
      </x:c>
      <x:c r="F2571" s="24" t="str">
        <x:v>Surfaçada</x:v>
      </x:c>
      <x:c r="G2571" s="24" t="str">
        <x:v>SmartLife Essential</x:v>
      </x:c>
      <x:c r="H2571" s="24" t="str">
        <x:v>PhotoFusion X Extra Dark Cinza</x:v>
      </x:c>
      <x:c r="I2571" s="24" t="str">
        <x:v>1.6</x:v>
      </x:c>
      <x:c r="J2571" s="24" t="str">
        <x:v>1.60</x:v>
      </x:c>
      <x:c r="K2571" s="24" t="str">
        <x:v>DuraVision Silver UV</x:v>
      </x:c>
      <x:c r="L2571" s="40" t="n">
        <x:v>6800</x:v>
      </x:c>
      <x:c r="M2571" s="24" t="str">
        <x:v>-7.25 a +6.00</x:v>
      </x:c>
      <x:c r="N2571" s="24" t="str">
        <x:v>-6.00</x:v>
      </x:c>
      <x:c r="O2571" s="24" t="str">
        <x:v>0.75 a 3.50</x:v>
      </x:c>
      <x:c r="P2571" s="24" t="str">
        <x:v>75</x:v>
      </x:c>
      <x:c r="Q2571" s="24"/>
      <x:c r="R2571" s="24"/>
      <x:c r="S2571" s="26" t="n">
        <x:v>46113</x:v>
      </x:c>
      <x:c r="T2571" s="26"/>
      <x:c r="U2571" s="24" t="str">
        <x:v>ATIVA/SEM FIM INFORMADO</x:v>
      </x:c>
      <x:c r="V2571" s="24" t="str">
        <x:v>Programa de Parcerias ZEISS</x:v>
      </x:c>
      <x:c r="W2571" s="24" t="n">
        <x:v>41</x:v>
      </x:c>
      <x:c r="X2571" s="24" t="str">
        <x:v>tabela_zeiss.pdf</x:v>
      </x:c>
      <x:c r="Y2571" s="24" t="str">
        <x:v>alta</x:v>
      </x:c>
      <x:c r="Z2571" s="24"/>
      <x:c r="AA2571" s="24" t="str">
        <x:v>ZEISS|Progressiva|Surfaçada|SmartLife Essential|PhotoFusion X Extra Dark Cinza|1.6|1.60|DuraVision Silver UV|-7.25 a +6.00|-6.00|0.75 a 3.50|75|||41</x:v>
      </x:c>
    </x:row>
    <x:row r="2572">
      <x:c r="A2572" s="24" t="str">
        <x:v>ZS-FC890E44AA65</x:v>
      </x:c>
      <x:c r="B2572" s="24" t="str">
        <x:v>SIM</x:v>
      </x:c>
      <x:c r="C2572" s="24" t="str">
        <x:v>DISPONÍVEL</x:v>
      </x:c>
      <x:c r="D2572" s="24" t="str">
        <x:v>ZEISS</x:v>
      </x:c>
      <x:c r="E2572" s="24" t="str">
        <x:v>Progressiva</x:v>
      </x:c>
      <x:c r="F2572" s="24" t="str">
        <x:v>Surfaçada</x:v>
      </x:c>
      <x:c r="G2572" s="24" t="str">
        <x:v>SmartLife Essential</x:v>
      </x:c>
      <x:c r="H2572" s="24" t="str">
        <x:v>PhotoFusion X Extra Dark Cinza</x:v>
      </x:c>
      <x:c r="I2572" s="24" t="str">
        <x:v>1.6</x:v>
      </x:c>
      <x:c r="J2572" s="24" t="str">
        <x:v>1.60</x:v>
      </x:c>
      <x:c r="K2572" s="24" t="str">
        <x:v>DuraVision Chrome UV</x:v>
      </x:c>
      <x:c r="L2572" s="40" t="n">
        <x:v>6310</x:v>
      </x:c>
      <x:c r="M2572" s="24" t="str">
        <x:v>-7.25 a +6.00</x:v>
      </x:c>
      <x:c r="N2572" s="24" t="str">
        <x:v>-6.00</x:v>
      </x:c>
      <x:c r="O2572" s="24" t="str">
        <x:v>0.75 a 3.50</x:v>
      </x:c>
      <x:c r="P2572" s="24" t="str">
        <x:v>75</x:v>
      </x:c>
      <x:c r="Q2572" s="24"/>
      <x:c r="R2572" s="24"/>
      <x:c r="S2572" s="26" t="n">
        <x:v>46113</x:v>
      </x:c>
      <x:c r="T2572" s="26"/>
      <x:c r="U2572" s="24" t="str">
        <x:v>ATIVA/SEM FIM INFORMADO</x:v>
      </x:c>
      <x:c r="V2572" s="24" t="str">
        <x:v>Programa de Parcerias ZEISS</x:v>
      </x:c>
      <x:c r="W2572" s="24" t="n">
        <x:v>41</x:v>
      </x:c>
      <x:c r="X2572" s="24" t="str">
        <x:v>tabela_zeiss.pdf</x:v>
      </x:c>
      <x:c r="Y2572" s="24" t="str">
        <x:v>alta</x:v>
      </x:c>
      <x:c r="Z2572" s="24"/>
      <x:c r="AA2572" s="24" t="str">
        <x:v>ZEISS|Progressiva|Surfaçada|SmartLife Essential|PhotoFusion X Extra Dark Cinza|1.6|1.60|DuraVision Chrome UV|-7.25 a +6.00|-6.00|0.75 a 3.50|75|||41</x:v>
      </x:c>
    </x:row>
    <x:row r="2573">
      <x:c r="A2573" s="24" t="str">
        <x:v>ZS-DB91AF0C6E87</x:v>
      </x:c>
      <x:c r="B2573" s="24" t="str">
        <x:v>SIM</x:v>
      </x:c>
      <x:c r="C2573" s="24" t="str">
        <x:v>DISPONÍVEL</x:v>
      </x:c>
      <x:c r="D2573" s="24" t="str">
        <x:v>ZEISS</x:v>
      </x:c>
      <x:c r="E2573" s="24" t="str">
        <x:v>Progressiva</x:v>
      </x:c>
      <x:c r="F2573" s="24" t="str">
        <x:v>Surfaçada</x:v>
      </x:c>
      <x:c r="G2573" s="24" t="str">
        <x:v>SmartLife Essential</x:v>
      </x:c>
      <x:c r="H2573" s="24" t="str">
        <x:v>PhotoFusion X Extra Dark Cinza</x:v>
      </x:c>
      <x:c r="I2573" s="24" t="str">
        <x:v>1.67</x:v>
      </x:c>
      <x:c r="J2573" s="24" t="str">
        <x:v>1.67</x:v>
      </x:c>
      <x:c r="K2573" s="24" t="str">
        <x:v>DuraVision Gold UV</x:v>
      </x:c>
      <x:c r="L2573" s="40" t="n">
        <x:v>8840</x:v>
      </x:c>
      <x:c r="M2573" s="24" t="str">
        <x:v>-10.00 a +6.00</x:v>
      </x:c>
      <x:c r="N2573" s="24" t="str">
        <x:v>-6.00</x:v>
      </x:c>
      <x:c r="O2573" s="24" t="str">
        <x:v>0.75 a 3.00</x:v>
      </x:c>
      <x:c r="P2573" s="24" t="str">
        <x:v>70</x:v>
      </x:c>
      <x:c r="Q2573" s="24"/>
      <x:c r="R2573" s="24"/>
      <x:c r="S2573" s="26" t="n">
        <x:v>46113</x:v>
      </x:c>
      <x:c r="T2573" s="26"/>
      <x:c r="U2573" s="24" t="str">
        <x:v>ATIVA/SEM FIM INFORMADO</x:v>
      </x:c>
      <x:c r="V2573" s="24" t="str">
        <x:v>Programa de Parcerias ZEISS</x:v>
      </x:c>
      <x:c r="W2573" s="24" t="n">
        <x:v>41</x:v>
      </x:c>
      <x:c r="X2573" s="24" t="str">
        <x:v>tabela_zeiss.pdf</x:v>
      </x:c>
      <x:c r="Y2573" s="24" t="str">
        <x:v>alta</x:v>
      </x:c>
      <x:c r="Z2573" s="24"/>
      <x:c r="AA2573" s="24" t="str">
        <x:v>ZEISS|Progressiva|Surfaçada|SmartLife Essential|PhotoFusion X Extra Dark Cinza|1.67|1.67|DuraVision Gold UV|-10.00 a +6.00|-6.00|0.75 a 3.00|70|||41</x:v>
      </x:c>
    </x:row>
    <x:row r="2574">
      <x:c r="A2574" s="24" t="str">
        <x:v>ZS-67D0A24606BF</x:v>
      </x:c>
      <x:c r="B2574" s="24" t="str">
        <x:v>SIM</x:v>
      </x:c>
      <x:c r="C2574" s="24" t="str">
        <x:v>DISPONÍVEL</x:v>
      </x:c>
      <x:c r="D2574" s="24" t="str">
        <x:v>ZEISS</x:v>
      </x:c>
      <x:c r="E2574" s="24" t="str">
        <x:v>Progressiva</x:v>
      </x:c>
      <x:c r="F2574" s="24" t="str">
        <x:v>Surfaçada</x:v>
      </x:c>
      <x:c r="G2574" s="24" t="str">
        <x:v>SmartLife Essential</x:v>
      </x:c>
      <x:c r="H2574" s="24" t="str">
        <x:v>PhotoFusion X Extra Dark Cinza</x:v>
      </x:c>
      <x:c r="I2574" s="24" t="str">
        <x:v>1.67</x:v>
      </x:c>
      <x:c r="J2574" s="24" t="str">
        <x:v>1.67</x:v>
      </x:c>
      <x:c r="K2574" s="24" t="str">
        <x:v>DuraVision Platinum UV</x:v>
      </x:c>
      <x:c r="L2574" s="40" t="n">
        <x:v>8700</x:v>
      </x:c>
      <x:c r="M2574" s="24" t="str">
        <x:v>-10.00 a +6.00</x:v>
      </x:c>
      <x:c r="N2574" s="24" t="str">
        <x:v>-6.00</x:v>
      </x:c>
      <x:c r="O2574" s="24" t="str">
        <x:v>0.75 a 3.00</x:v>
      </x:c>
      <x:c r="P2574" s="24" t="str">
        <x:v>70</x:v>
      </x:c>
      <x:c r="Q2574" s="24"/>
      <x:c r="R2574" s="24"/>
      <x:c r="S2574" s="26" t="n">
        <x:v>46113</x:v>
      </x:c>
      <x:c r="T2574" s="26"/>
      <x:c r="U2574" s="24" t="str">
        <x:v>ATIVA/SEM FIM INFORMADO</x:v>
      </x:c>
      <x:c r="V2574" s="24" t="str">
        <x:v>Programa de Parcerias ZEISS</x:v>
      </x:c>
      <x:c r="W2574" s="24" t="n">
        <x:v>41</x:v>
      </x:c>
      <x:c r="X2574" s="24" t="str">
        <x:v>tabela_zeiss.pdf</x:v>
      </x:c>
      <x:c r="Y2574" s="24" t="str">
        <x:v>alta</x:v>
      </x:c>
      <x:c r="Z2574" s="24"/>
      <x:c r="AA2574" s="24" t="str">
        <x:v>ZEISS|Progressiva|Surfaçada|SmartLife Essential|PhotoFusion X Extra Dark Cinza|1.67|1.67|DuraVision Platinum UV|-10.00 a +6.00|-6.00|0.75 a 3.00|70|||41</x:v>
      </x:c>
    </x:row>
    <x:row r="2575">
      <x:c r="A2575" s="24" t="str">
        <x:v>ZS-6B00125BE704</x:v>
      </x:c>
      <x:c r="B2575" s="24" t="str">
        <x:v>SIM</x:v>
      </x:c>
      <x:c r="C2575" s="24" t="str">
        <x:v>DISPONÍVEL</x:v>
      </x:c>
      <x:c r="D2575" s="24" t="str">
        <x:v>ZEISS</x:v>
      </x:c>
      <x:c r="E2575" s="24" t="str">
        <x:v>Progressiva</x:v>
      </x:c>
      <x:c r="F2575" s="24" t="str">
        <x:v>Surfaçada</x:v>
      </x:c>
      <x:c r="G2575" s="24" t="str">
        <x:v>SmartLife Essential</x:v>
      </x:c>
      <x:c r="H2575" s="24" t="str">
        <x:v>PhotoFusion X Extra Dark Cinza</x:v>
      </x:c>
      <x:c r="I2575" s="24" t="str">
        <x:v>1.67</x:v>
      </x:c>
      <x:c r="J2575" s="24" t="str">
        <x:v>1.67</x:v>
      </x:c>
      <x:c r="K2575" s="24" t="str">
        <x:v>DuraVision Silver UV</x:v>
      </x:c>
      <x:c r="L2575" s="40" t="n">
        <x:v>8440</x:v>
      </x:c>
      <x:c r="M2575" s="24" t="str">
        <x:v>-10.00 a +6.00</x:v>
      </x:c>
      <x:c r="N2575" s="24" t="str">
        <x:v>-6.00</x:v>
      </x:c>
      <x:c r="O2575" s="24" t="str">
        <x:v>0.75 a 3.00</x:v>
      </x:c>
      <x:c r="P2575" s="24" t="str">
        <x:v>70</x:v>
      </x:c>
      <x:c r="Q2575" s="24"/>
      <x:c r="R2575" s="24"/>
      <x:c r="S2575" s="26" t="n">
        <x:v>46113</x:v>
      </x:c>
      <x:c r="T2575" s="26"/>
      <x:c r="U2575" s="24" t="str">
        <x:v>ATIVA/SEM FIM INFORMADO</x:v>
      </x:c>
      <x:c r="V2575" s="24" t="str">
        <x:v>Programa de Parcerias ZEISS</x:v>
      </x:c>
      <x:c r="W2575" s="24" t="n">
        <x:v>41</x:v>
      </x:c>
      <x:c r="X2575" s="24" t="str">
        <x:v>tabela_zeiss.pdf</x:v>
      </x:c>
      <x:c r="Y2575" s="24" t="str">
        <x:v>alta</x:v>
      </x:c>
      <x:c r="Z2575" s="24"/>
      <x:c r="AA2575" s="24" t="str">
        <x:v>ZEISS|Progressiva|Surfaçada|SmartLife Essential|PhotoFusion X Extra Dark Cinza|1.67|1.67|DuraVision Silver UV|-10.00 a +6.00|-6.00|0.75 a 3.00|70|||41</x:v>
      </x:c>
    </x:row>
    <x:row r="2576">
      <x:c r="A2576" s="24" t="str">
        <x:v>ZS-99E7E8BE9283</x:v>
      </x:c>
      <x:c r="B2576" s="24" t="str">
        <x:v>SIM</x:v>
      </x:c>
      <x:c r="C2576" s="24" t="str">
        <x:v>DISPONÍVEL</x:v>
      </x:c>
      <x:c r="D2576" s="24" t="str">
        <x:v>ZEISS</x:v>
      </x:c>
      <x:c r="E2576" s="24" t="str">
        <x:v>Progressiva</x:v>
      </x:c>
      <x:c r="F2576" s="24" t="str">
        <x:v>Surfaçada</x:v>
      </x:c>
      <x:c r="G2576" s="24" t="str">
        <x:v>SmartLife Essential</x:v>
      </x:c>
      <x:c r="H2576" s="24" t="str">
        <x:v>PhotoFusion X Extra Dark Cinza</x:v>
      </x:c>
      <x:c r="I2576" s="24" t="str">
        <x:v>1.67</x:v>
      </x:c>
      <x:c r="J2576" s="24" t="str">
        <x:v>1.67</x:v>
      </x:c>
      <x:c r="K2576" s="24" t="str">
        <x:v>DuraVision Chrome UV</x:v>
      </x:c>
      <x:c r="L2576" s="40" t="n">
        <x:v>7950</x:v>
      </x:c>
      <x:c r="M2576" s="24" t="str">
        <x:v>-10.00 a +6.00</x:v>
      </x:c>
      <x:c r="N2576" s="24" t="str">
        <x:v>-6.00</x:v>
      </x:c>
      <x:c r="O2576" s="24" t="str">
        <x:v>0.75 a 3.00</x:v>
      </x:c>
      <x:c r="P2576" s="24" t="str">
        <x:v>70</x:v>
      </x:c>
      <x:c r="Q2576" s="24"/>
      <x:c r="R2576" s="24"/>
      <x:c r="S2576" s="26" t="n">
        <x:v>46113</x:v>
      </x:c>
      <x:c r="T2576" s="26"/>
      <x:c r="U2576" s="24" t="str">
        <x:v>ATIVA/SEM FIM INFORMADO</x:v>
      </x:c>
      <x:c r="V2576" s="24" t="str">
        <x:v>Programa de Parcerias ZEISS</x:v>
      </x:c>
      <x:c r="W2576" s="24" t="n">
        <x:v>41</x:v>
      </x:c>
      <x:c r="X2576" s="24" t="str">
        <x:v>tabela_zeiss.pdf</x:v>
      </x:c>
      <x:c r="Y2576" s="24" t="str">
        <x:v>alta</x:v>
      </x:c>
      <x:c r="Z2576" s="24"/>
      <x:c r="AA2576" s="24" t="str">
        <x:v>ZEISS|Progressiva|Surfaçada|SmartLife Essential|PhotoFusion X Extra Dark Cinza|1.67|1.67|DuraVision Chrome UV|-10.00 a +6.00|-6.00|0.75 a 3.00|70|||41</x:v>
      </x:c>
    </x:row>
    <x:row r="2577">
      <x:c r="A2577" s="24" t="str">
        <x:v>ZS-3A9C8DD0716C</x:v>
      </x:c>
      <x:c r="B2577" s="24" t="str">
        <x:v>SIM</x:v>
      </x:c>
      <x:c r="C2577" s="24" t="str">
        <x:v>DISPONÍVEL</x:v>
      </x:c>
      <x:c r="D2577" s="24" t="str">
        <x:v>ZEISS</x:v>
      </x:c>
      <x:c r="E2577" s="24" t="str">
        <x:v>Progressiva</x:v>
      </x:c>
      <x:c r="F2577" s="24" t="str">
        <x:v>Surfaçada</x:v>
      </x:c>
      <x:c r="G2577" s="24" t="str">
        <x:v>SmartLife Essential</x:v>
      </x:c>
      <x:c r="H2577" s="24" t="str">
        <x:v>Polarizada</x:v>
      </x:c>
      <x:c r="I2577" s="24" t="str">
        <x:v>1.5</x:v>
      </x:c>
      <x:c r="J2577" s="24" t="str">
        <x:v>1.50</x:v>
      </x:c>
      <x:c r="K2577" s="24" t="str">
        <x:v>DuraVision Gold UV</x:v>
      </x:c>
      <x:c r="L2577" s="40" t="n">
        <x:v>5320</x:v>
      </x:c>
      <x:c r="M2577" s="24" t="str">
        <x:v>-6.00 a +6.00</x:v>
      </x:c>
      <x:c r="N2577" s="24" t="str">
        <x:v>-4.00</x:v>
      </x:c>
      <x:c r="O2577" s="24" t="str">
        <x:v>0.75 a 3.50</x:v>
      </x:c>
      <x:c r="P2577" s="24" t="str">
        <x:v>75</x:v>
      </x:c>
      <x:c r="Q2577" s="24"/>
      <x:c r="R2577" s="24"/>
      <x:c r="S2577" s="26" t="n">
        <x:v>46113</x:v>
      </x:c>
      <x:c r="T2577" s="26"/>
      <x:c r="U2577" s="24" t="str">
        <x:v>ATIVA/SEM FIM INFORMADO</x:v>
      </x:c>
      <x:c r="V2577" s="24"/>
      <x:c r="W2577" s="24" t="n">
        <x:v>41</x:v>
      </x:c>
      <x:c r="X2577" s="24" t="str">
        <x:v>tabela_zeiss.pdf</x:v>
      </x:c>
      <x:c r="Y2577" s="24" t="str">
        <x:v>alta</x:v>
      </x:c>
      <x:c r="Z2577" s="24"/>
      <x:c r="AA2577" s="24" t="str">
        <x:v>ZEISS|Progressiva|Surfaçada|SmartLife Essential|Polarizada|1.5|1.50|DuraVision Gold UV|-6.00 a +6.00|-4.00|0.75 a 3.50|75|||41</x:v>
      </x:c>
    </x:row>
    <x:row r="2578">
      <x:c r="A2578" s="24" t="str">
        <x:v>ZS-7ACF376E14B1</x:v>
      </x:c>
      <x:c r="B2578" s="24" t="str">
        <x:v>SIM</x:v>
      </x:c>
      <x:c r="C2578" s="24" t="str">
        <x:v>DISPONÍVEL</x:v>
      </x:c>
      <x:c r="D2578" s="24" t="str">
        <x:v>ZEISS</x:v>
      </x:c>
      <x:c r="E2578" s="24" t="str">
        <x:v>Progressiva</x:v>
      </x:c>
      <x:c r="F2578" s="24" t="str">
        <x:v>Surfaçada</x:v>
      </x:c>
      <x:c r="G2578" s="24" t="str">
        <x:v>SmartLife Essential</x:v>
      </x:c>
      <x:c r="H2578" s="24" t="str">
        <x:v>Polarizada</x:v>
      </x:c>
      <x:c r="I2578" s="24" t="str">
        <x:v>1.5</x:v>
      </x:c>
      <x:c r="J2578" s="24" t="str">
        <x:v>1.50</x:v>
      </x:c>
      <x:c r="K2578" s="24" t="str">
        <x:v>DuraVision Platinum UV</x:v>
      </x:c>
      <x:c r="L2578" s="40" t="n">
        <x:v>5180</x:v>
      </x:c>
      <x:c r="M2578" s="24" t="str">
        <x:v>-6.00 a +6.00</x:v>
      </x:c>
      <x:c r="N2578" s="24" t="str">
        <x:v>-4.00</x:v>
      </x:c>
      <x:c r="O2578" s="24" t="str">
        <x:v>0.75 a 3.50</x:v>
      </x:c>
      <x:c r="P2578" s="24" t="str">
        <x:v>75</x:v>
      </x:c>
      <x:c r="Q2578" s="24"/>
      <x:c r="R2578" s="24"/>
      <x:c r="S2578" s="26" t="n">
        <x:v>46113</x:v>
      </x:c>
      <x:c r="T2578" s="26"/>
      <x:c r="U2578" s="24" t="str">
        <x:v>ATIVA/SEM FIM INFORMADO</x:v>
      </x:c>
      <x:c r="V2578" s="24"/>
      <x:c r="W2578" s="24" t="n">
        <x:v>41</x:v>
      </x:c>
      <x:c r="X2578" s="24" t="str">
        <x:v>tabela_zeiss.pdf</x:v>
      </x:c>
      <x:c r="Y2578" s="24" t="str">
        <x:v>alta</x:v>
      </x:c>
      <x:c r="Z2578" s="24"/>
      <x:c r="AA2578" s="24" t="str">
        <x:v>ZEISS|Progressiva|Surfaçada|SmartLife Essential|Polarizada|1.5|1.50|DuraVision Platinum UV|-6.00 a +6.00|-4.00|0.75 a 3.50|75|||41</x:v>
      </x:c>
    </x:row>
    <x:row r="2579">
      <x:c r="A2579" s="24" t="str">
        <x:v>ZS-3C5D6BEE0C03</x:v>
      </x:c>
      <x:c r="B2579" s="24" t="str">
        <x:v>SIM</x:v>
      </x:c>
      <x:c r="C2579" s="24" t="str">
        <x:v>DISPONÍVEL</x:v>
      </x:c>
      <x:c r="D2579" s="24" t="str">
        <x:v>ZEISS</x:v>
      </x:c>
      <x:c r="E2579" s="24" t="str">
        <x:v>Progressiva</x:v>
      </x:c>
      <x:c r="F2579" s="24" t="str">
        <x:v>Surfaçada</x:v>
      </x:c>
      <x:c r="G2579" s="24" t="str">
        <x:v>SmartLife Essential</x:v>
      </x:c>
      <x:c r="H2579" s="24" t="str">
        <x:v>Polarizada</x:v>
      </x:c>
      <x:c r="I2579" s="24" t="str">
        <x:v>1.5</x:v>
      </x:c>
      <x:c r="J2579" s="24" t="str">
        <x:v>1.50</x:v>
      </x:c>
      <x:c r="K2579" s="24" t="str">
        <x:v>DuraVision Silver UV</x:v>
      </x:c>
      <x:c r="L2579" s="40" t="n">
        <x:v>4920</x:v>
      </x:c>
      <x:c r="M2579" s="24" t="str">
        <x:v>-6.00 a +6.00</x:v>
      </x:c>
      <x:c r="N2579" s="24" t="str">
        <x:v>-4.00</x:v>
      </x:c>
      <x:c r="O2579" s="24" t="str">
        <x:v>0.75 a 3.50</x:v>
      </x:c>
      <x:c r="P2579" s="24" t="str">
        <x:v>75</x:v>
      </x:c>
      <x:c r="Q2579" s="24"/>
      <x:c r="R2579" s="24"/>
      <x:c r="S2579" s="26" t="n">
        <x:v>46113</x:v>
      </x:c>
      <x:c r="T2579" s="26"/>
      <x:c r="U2579" s="24" t="str">
        <x:v>ATIVA/SEM FIM INFORMADO</x:v>
      </x:c>
      <x:c r="V2579" s="24"/>
      <x:c r="W2579" s="24" t="n">
        <x:v>41</x:v>
      </x:c>
      <x:c r="X2579" s="24" t="str">
        <x:v>tabela_zeiss.pdf</x:v>
      </x:c>
      <x:c r="Y2579" s="24" t="str">
        <x:v>alta</x:v>
      </x:c>
      <x:c r="Z2579" s="24"/>
      <x:c r="AA2579" s="24" t="str">
        <x:v>ZEISS|Progressiva|Surfaçada|SmartLife Essential|Polarizada|1.5|1.50|DuraVision Silver UV|-6.00 a +6.00|-4.00|0.75 a 3.50|75|||41</x:v>
      </x:c>
    </x:row>
    <x:row r="2580">
      <x:c r="A2580" s="24" t="str">
        <x:v>ZS-E0127D17E935</x:v>
      </x:c>
      <x:c r="B2580" s="24" t="str">
        <x:v>SIM</x:v>
      </x:c>
      <x:c r="C2580" s="24" t="str">
        <x:v>DISPONÍVEL</x:v>
      </x:c>
      <x:c r="D2580" s="24" t="str">
        <x:v>ZEISS</x:v>
      </x:c>
      <x:c r="E2580" s="24" t="str">
        <x:v>Progressiva</x:v>
      </x:c>
      <x:c r="F2580" s="24" t="str">
        <x:v>Surfaçada</x:v>
      </x:c>
      <x:c r="G2580" s="24" t="str">
        <x:v>SmartLife Essential</x:v>
      </x:c>
      <x:c r="H2580" s="24" t="str">
        <x:v>Polarizada</x:v>
      </x:c>
      <x:c r="I2580" s="24" t="str">
        <x:v>1.5</x:v>
      </x:c>
      <x:c r="J2580" s="24" t="str">
        <x:v>1.50</x:v>
      </x:c>
      <x:c r="K2580" s="24" t="str">
        <x:v>DuraVision Chrome UV</x:v>
      </x:c>
      <x:c r="L2580" s="40" t="n">
        <x:v>4430</x:v>
      </x:c>
      <x:c r="M2580" s="24" t="str">
        <x:v>-6.00 a +6.00</x:v>
      </x:c>
      <x:c r="N2580" s="24" t="str">
        <x:v>-4.00</x:v>
      </x:c>
      <x:c r="O2580" s="24" t="str">
        <x:v>0.75 a 3.50</x:v>
      </x:c>
      <x:c r="P2580" s="24" t="str">
        <x:v>75</x:v>
      </x:c>
      <x:c r="Q2580" s="24"/>
      <x:c r="R2580" s="24"/>
      <x:c r="S2580" s="26" t="n">
        <x:v>46113</x:v>
      </x:c>
      <x:c r="T2580" s="26"/>
      <x:c r="U2580" s="24" t="str">
        <x:v>ATIVA/SEM FIM INFORMADO</x:v>
      </x:c>
      <x:c r="V2580" s="24"/>
      <x:c r="W2580" s="24" t="n">
        <x:v>41</x:v>
      </x:c>
      <x:c r="X2580" s="24" t="str">
        <x:v>tabela_zeiss.pdf</x:v>
      </x:c>
      <x:c r="Y2580" s="24" t="str">
        <x:v>alta</x:v>
      </x:c>
      <x:c r="Z2580" s="24"/>
      <x:c r="AA2580" s="24" t="str">
        <x:v>ZEISS|Progressiva|Surfaçada|SmartLife Essential|Polarizada|1.5|1.50|DuraVision Chrome UV|-6.00 a +6.00|-4.00|0.75 a 3.50|75|||41</x:v>
      </x:c>
    </x:row>
    <x:row r="2581">
      <x:c r="A2581" s="24" t="str">
        <x:v>ZS-835EF95E52B0</x:v>
      </x:c>
      <x:c r="B2581" s="24" t="str">
        <x:v>SIM</x:v>
      </x:c>
      <x:c r="C2581" s="24" t="str">
        <x:v>DISPONÍVEL</x:v>
      </x:c>
      <x:c r="D2581" s="24" t="str">
        <x:v>ZEISS</x:v>
      </x:c>
      <x:c r="E2581" s="24" t="str">
        <x:v>Progressiva</x:v>
      </x:c>
      <x:c r="F2581" s="24" t="str">
        <x:v>Surfaçada</x:v>
      </x:c>
      <x:c r="G2581" s="24" t="str">
        <x:v>SmartLife Essential</x:v>
      </x:c>
      <x:c r="H2581" s="24" t="str">
        <x:v>Polarizada</x:v>
      </x:c>
      <x:c r="I2581" s="24" t="str">
        <x:v>1.5</x:v>
      </x:c>
      <x:c r="J2581" s="24" t="str">
        <x:v>1.50</x:v>
      </x:c>
      <x:c r="K2581" s="24" t="str">
        <x:v>Sem AR</x:v>
      </x:c>
      <x:c r="L2581" s="40" t="n">
        <x:v>4030</x:v>
      </x:c>
      <x:c r="M2581" s="24" t="str">
        <x:v>-6.00 a +6.00</x:v>
      </x:c>
      <x:c r="N2581" s="24" t="str">
        <x:v>-4.00</x:v>
      </x:c>
      <x:c r="O2581" s="24" t="str">
        <x:v>0.75 a 3.50</x:v>
      </x:c>
      <x:c r="P2581" s="24" t="str">
        <x:v>75</x:v>
      </x:c>
      <x:c r="Q2581" s="24"/>
      <x:c r="R2581" s="24"/>
      <x:c r="S2581" s="26" t="n">
        <x:v>46113</x:v>
      </x:c>
      <x:c r="T2581" s="26"/>
      <x:c r="U2581" s="24" t="str">
        <x:v>ATIVA/SEM FIM INFORMADO</x:v>
      </x:c>
      <x:c r="V2581" s="24"/>
      <x:c r="W2581" s="24" t="n">
        <x:v>41</x:v>
      </x:c>
      <x:c r="X2581" s="24" t="str">
        <x:v>tabela_zeiss.pdf</x:v>
      </x:c>
      <x:c r="Y2581" s="24" t="str">
        <x:v>alta</x:v>
      </x:c>
      <x:c r="Z2581" s="24"/>
      <x:c r="AA2581" s="24" t="str">
        <x:v>ZEISS|Progressiva|Surfaçada|SmartLife Essential|Polarizada|1.5|1.50|Sem AR|-6.00 a +6.00|-4.00|0.75 a 3.50|75|||41</x:v>
      </x:c>
    </x:row>
    <x:row r="2582">
      <x:c r="A2582" s="24" t="str">
        <x:v>ZS-113936B0CBE4</x:v>
      </x:c>
      <x:c r="B2582" s="24" t="str">
        <x:v>SIM</x:v>
      </x:c>
      <x:c r="C2582" s="24" t="str">
        <x:v>DISPONÍVEL</x:v>
      </x:c>
      <x:c r="D2582" s="24" t="str">
        <x:v>ZEISS</x:v>
      </x:c>
      <x:c r="E2582" s="24" t="str">
        <x:v>Progressiva</x:v>
      </x:c>
      <x:c r="F2582" s="24" t="str">
        <x:v>Surfaçada</x:v>
      </x:c>
      <x:c r="G2582" s="24" t="str">
        <x:v>SmartLife Essential</x:v>
      </x:c>
      <x:c r="H2582" s="24" t="str">
        <x:v>Polarizada</x:v>
      </x:c>
      <x:c r="I2582" s="24" t="str">
        <x:v>1.6</x:v>
      </x:c>
      <x:c r="J2582" s="24" t="str">
        <x:v>1.60</x:v>
      </x:c>
      <x:c r="K2582" s="24" t="str">
        <x:v>DuraVision Gold UV</x:v>
      </x:c>
      <x:c r="L2582" s="40" t="n">
        <x:v>6570</x:v>
      </x:c>
      <x:c r="M2582" s="24" t="str">
        <x:v>-8.50 a +6.00</x:v>
      </x:c>
      <x:c r="N2582" s="24" t="str">
        <x:v>-4.00</x:v>
      </x:c>
      <x:c r="O2582" s="24" t="str">
        <x:v>0.75 a 3.50</x:v>
      </x:c>
      <x:c r="P2582" s="24" t="str">
        <x:v>70</x:v>
      </x:c>
      <x:c r="Q2582" s="24"/>
      <x:c r="R2582" s="24"/>
      <x:c r="S2582" s="26" t="n">
        <x:v>46113</x:v>
      </x:c>
      <x:c r="T2582" s="26"/>
      <x:c r="U2582" s="24" t="str">
        <x:v>ATIVA/SEM FIM INFORMADO</x:v>
      </x:c>
      <x:c r="V2582" s="24"/>
      <x:c r="W2582" s="24" t="n">
        <x:v>41</x:v>
      </x:c>
      <x:c r="X2582" s="24" t="str">
        <x:v>tabela_zeiss.pdf</x:v>
      </x:c>
      <x:c r="Y2582" s="24" t="str">
        <x:v>alta</x:v>
      </x:c>
      <x:c r="Z2582" s="24"/>
      <x:c r="AA2582" s="24" t="str">
        <x:v>ZEISS|Progressiva|Surfaçada|SmartLife Essential|Polarizada|1.6|1.60|DuraVision Gold UV|-8.50 a +6.00|-4.00|0.75 a 3.50|70|||41</x:v>
      </x:c>
    </x:row>
    <x:row r="2583">
      <x:c r="A2583" s="24" t="str">
        <x:v>ZS-4CC30DBCB56B</x:v>
      </x:c>
      <x:c r="B2583" s="24" t="str">
        <x:v>SIM</x:v>
      </x:c>
      <x:c r="C2583" s="24" t="str">
        <x:v>DISPONÍVEL</x:v>
      </x:c>
      <x:c r="D2583" s="24" t="str">
        <x:v>ZEISS</x:v>
      </x:c>
      <x:c r="E2583" s="24" t="str">
        <x:v>Progressiva</x:v>
      </x:c>
      <x:c r="F2583" s="24" t="str">
        <x:v>Surfaçada</x:v>
      </x:c>
      <x:c r="G2583" s="24" t="str">
        <x:v>SmartLife Essential</x:v>
      </x:c>
      <x:c r="H2583" s="24" t="str">
        <x:v>Polarizada</x:v>
      </x:c>
      <x:c r="I2583" s="24" t="str">
        <x:v>1.6</x:v>
      </x:c>
      <x:c r="J2583" s="24" t="str">
        <x:v>1.60</x:v>
      </x:c>
      <x:c r="K2583" s="24" t="str">
        <x:v>DuraVision Platinum UV</x:v>
      </x:c>
      <x:c r="L2583" s="40" t="n">
        <x:v>6430</x:v>
      </x:c>
      <x:c r="M2583" s="24" t="str">
        <x:v>-8.50 a +6.00</x:v>
      </x:c>
      <x:c r="N2583" s="24" t="str">
        <x:v>-4.00</x:v>
      </x:c>
      <x:c r="O2583" s="24" t="str">
        <x:v>0.75 a 3.50</x:v>
      </x:c>
      <x:c r="P2583" s="24" t="str">
        <x:v>70</x:v>
      </x:c>
      <x:c r="Q2583" s="24"/>
      <x:c r="R2583" s="24"/>
      <x:c r="S2583" s="26" t="n">
        <x:v>46113</x:v>
      </x:c>
      <x:c r="T2583" s="26"/>
      <x:c r="U2583" s="24" t="str">
        <x:v>ATIVA/SEM FIM INFORMADO</x:v>
      </x:c>
      <x:c r="V2583" s="24"/>
      <x:c r="W2583" s="24" t="n">
        <x:v>41</x:v>
      </x:c>
      <x:c r="X2583" s="24" t="str">
        <x:v>tabela_zeiss.pdf</x:v>
      </x:c>
      <x:c r="Y2583" s="24" t="str">
        <x:v>alta</x:v>
      </x:c>
      <x:c r="Z2583" s="24"/>
      <x:c r="AA2583" s="24" t="str">
        <x:v>ZEISS|Progressiva|Surfaçada|SmartLife Essential|Polarizada|1.6|1.60|DuraVision Platinum UV|-8.50 a +6.00|-4.00|0.75 a 3.50|70|||41</x:v>
      </x:c>
    </x:row>
    <x:row r="2584">
      <x:c r="A2584" s="24" t="str">
        <x:v>ZS-91B362B3D804</x:v>
      </x:c>
      <x:c r="B2584" s="24" t="str">
        <x:v>SIM</x:v>
      </x:c>
      <x:c r="C2584" s="24" t="str">
        <x:v>DISPONÍVEL</x:v>
      </x:c>
      <x:c r="D2584" s="24" t="str">
        <x:v>ZEISS</x:v>
      </x:c>
      <x:c r="E2584" s="24" t="str">
        <x:v>Progressiva</x:v>
      </x:c>
      <x:c r="F2584" s="24" t="str">
        <x:v>Surfaçada</x:v>
      </x:c>
      <x:c r="G2584" s="24" t="str">
        <x:v>SmartLife Essential</x:v>
      </x:c>
      <x:c r="H2584" s="24" t="str">
        <x:v>Polarizada</x:v>
      </x:c>
      <x:c r="I2584" s="24" t="str">
        <x:v>1.6</x:v>
      </x:c>
      <x:c r="J2584" s="24" t="str">
        <x:v>1.60</x:v>
      </x:c>
      <x:c r="K2584" s="24" t="str">
        <x:v>DuraVision Silver UV</x:v>
      </x:c>
      <x:c r="L2584" s="40" t="n">
        <x:v>6170</x:v>
      </x:c>
      <x:c r="M2584" s="24" t="str">
        <x:v>-8.50 a +6.00</x:v>
      </x:c>
      <x:c r="N2584" s="24" t="str">
        <x:v>-4.00</x:v>
      </x:c>
      <x:c r="O2584" s="24" t="str">
        <x:v>0.75 a 3.50</x:v>
      </x:c>
      <x:c r="P2584" s="24" t="str">
        <x:v>70</x:v>
      </x:c>
      <x:c r="Q2584" s="24"/>
      <x:c r="R2584" s="24"/>
      <x:c r="S2584" s="26" t="n">
        <x:v>46113</x:v>
      </x:c>
      <x:c r="T2584" s="26"/>
      <x:c r="U2584" s="24" t="str">
        <x:v>ATIVA/SEM FIM INFORMADO</x:v>
      </x:c>
      <x:c r="V2584" s="24"/>
      <x:c r="W2584" s="24" t="n">
        <x:v>41</x:v>
      </x:c>
      <x:c r="X2584" s="24" t="str">
        <x:v>tabela_zeiss.pdf</x:v>
      </x:c>
      <x:c r="Y2584" s="24" t="str">
        <x:v>alta</x:v>
      </x:c>
      <x:c r="Z2584" s="24"/>
      <x:c r="AA2584" s="24" t="str">
        <x:v>ZEISS|Progressiva|Surfaçada|SmartLife Essential|Polarizada|1.6|1.60|DuraVision Silver UV|-8.50 a +6.00|-4.00|0.75 a 3.50|70|||41</x:v>
      </x:c>
    </x:row>
    <x:row r="2585">
      <x:c r="A2585" s="24" t="str">
        <x:v>ZS-1E45F1D0C0D8</x:v>
      </x:c>
      <x:c r="B2585" s="24" t="str">
        <x:v>SIM</x:v>
      </x:c>
      <x:c r="C2585" s="24" t="str">
        <x:v>DISPONÍVEL</x:v>
      </x:c>
      <x:c r="D2585" s="24" t="str">
        <x:v>ZEISS</x:v>
      </x:c>
      <x:c r="E2585" s="24" t="str">
        <x:v>Progressiva</x:v>
      </x:c>
      <x:c r="F2585" s="24" t="str">
        <x:v>Surfaçada</x:v>
      </x:c>
      <x:c r="G2585" s="24" t="str">
        <x:v>SmartLife Essential</x:v>
      </x:c>
      <x:c r="H2585" s="24" t="str">
        <x:v>Polarizada</x:v>
      </x:c>
      <x:c r="I2585" s="24" t="str">
        <x:v>1.6</x:v>
      </x:c>
      <x:c r="J2585" s="24" t="str">
        <x:v>1.60</x:v>
      </x:c>
      <x:c r="K2585" s="24" t="str">
        <x:v>DuraVision Chrome UV</x:v>
      </x:c>
      <x:c r="L2585" s="40" t="n">
        <x:v>5680</x:v>
      </x:c>
      <x:c r="M2585" s="24" t="str">
        <x:v>-8.50 a +6.00</x:v>
      </x:c>
      <x:c r="N2585" s="24" t="str">
        <x:v>-4.00</x:v>
      </x:c>
      <x:c r="O2585" s="24" t="str">
        <x:v>0.75 a 3.50</x:v>
      </x:c>
      <x:c r="P2585" s="24" t="str">
        <x:v>70</x:v>
      </x:c>
      <x:c r="Q2585" s="24"/>
      <x:c r="R2585" s="24"/>
      <x:c r="S2585" s="26" t="n">
        <x:v>46113</x:v>
      </x:c>
      <x:c r="T2585" s="26"/>
      <x:c r="U2585" s="24" t="str">
        <x:v>ATIVA/SEM FIM INFORMADO</x:v>
      </x:c>
      <x:c r="V2585" s="24"/>
      <x:c r="W2585" s="24" t="n">
        <x:v>41</x:v>
      </x:c>
      <x:c r="X2585" s="24" t="str">
        <x:v>tabela_zeiss.pdf</x:v>
      </x:c>
      <x:c r="Y2585" s="24" t="str">
        <x:v>alta</x:v>
      </x:c>
      <x:c r="Z2585" s="24"/>
      <x:c r="AA2585" s="24" t="str">
        <x:v>ZEISS|Progressiva|Surfaçada|SmartLife Essential|Polarizada|1.6|1.60|DuraVision Chrome UV|-8.50 a +6.00|-4.00|0.75 a 3.50|70|||41</x:v>
      </x:c>
    </x:row>
    <x:row r="2586">
      <x:c r="A2586" s="24" t="str">
        <x:v>ZS-2A8B07ECD668</x:v>
      </x:c>
      <x:c r="B2586" s="24" t="str">
        <x:v>SIM</x:v>
      </x:c>
      <x:c r="C2586" s="24" t="str">
        <x:v>DISPONÍVEL</x:v>
      </x:c>
      <x:c r="D2586" s="24" t="str">
        <x:v>ZEISS</x:v>
      </x:c>
      <x:c r="E2586" s="24" t="str">
        <x:v>Progressiva</x:v>
      </x:c>
      <x:c r="F2586" s="24" t="str">
        <x:v>Surfaçada</x:v>
      </x:c>
      <x:c r="G2586" s="24" t="str">
        <x:v>SmartLife Essential</x:v>
      </x:c>
      <x:c r="H2586" s="24" t="str">
        <x:v>Polarizada</x:v>
      </x:c>
      <x:c r="I2586" s="24" t="str">
        <x:v>1.6</x:v>
      </x:c>
      <x:c r="J2586" s="24" t="str">
        <x:v>1.60</x:v>
      </x:c>
      <x:c r="K2586" s="24" t="str">
        <x:v>Sem AR</x:v>
      </x:c>
      <x:c r="L2586" s="40" t="n">
        <x:v>5280</x:v>
      </x:c>
      <x:c r="M2586" s="24" t="str">
        <x:v>-8.50 a +6.00</x:v>
      </x:c>
      <x:c r="N2586" s="24" t="str">
        <x:v>-4.00</x:v>
      </x:c>
      <x:c r="O2586" s="24" t="str">
        <x:v>0.75 a 3.50</x:v>
      </x:c>
      <x:c r="P2586" s="24" t="str">
        <x:v>70</x:v>
      </x:c>
      <x:c r="Q2586" s="24"/>
      <x:c r="R2586" s="24"/>
      <x:c r="S2586" s="26" t="n">
        <x:v>46113</x:v>
      </x:c>
      <x:c r="T2586" s="26"/>
      <x:c r="U2586" s="24" t="str">
        <x:v>ATIVA/SEM FIM INFORMADO</x:v>
      </x:c>
      <x:c r="V2586" s="24"/>
      <x:c r="W2586" s="24" t="n">
        <x:v>41</x:v>
      </x:c>
      <x:c r="X2586" s="24" t="str">
        <x:v>tabela_zeiss.pdf</x:v>
      </x:c>
      <x:c r="Y2586" s="24" t="str">
        <x:v>alta</x:v>
      </x:c>
      <x:c r="Z2586" s="24"/>
      <x:c r="AA2586" s="24" t="str">
        <x:v>ZEISS|Progressiva|Surfaçada|SmartLife Essential|Polarizada|1.6|1.60|Sem AR|-8.50 a +6.00|-4.00|0.75 a 3.50|70|||41</x:v>
      </x:c>
    </x:row>
    <x:row r="2587">
      <x:c r="A2587" s="24" t="str">
        <x:v>ZS-194651A71191</x:v>
      </x:c>
      <x:c r="B2587" s="24" t="str">
        <x:v>SIM</x:v>
      </x:c>
      <x:c r="C2587" s="24" t="str">
        <x:v>DISPONÍVEL</x:v>
      </x:c>
      <x:c r="D2587" s="24" t="str">
        <x:v>ZEISS</x:v>
      </x:c>
      <x:c r="E2587" s="24" t="str">
        <x:v>Progressiva</x:v>
      </x:c>
      <x:c r="F2587" s="24" t="str">
        <x:v>Surfaçada</x:v>
      </x:c>
      <x:c r="G2587" s="24" t="str">
        <x:v>Light 2 3Dv</x:v>
      </x:c>
      <x:c r="H2587" s="24"/>
      <x:c r="I2587" s="24" t="str">
        <x:v>1.5</x:v>
      </x:c>
      <x:c r="J2587" s="24" t="str">
        <x:v>1.50</x:v>
      </x:c>
      <x:c r="K2587" s="24" t="str">
        <x:v>DuraVision Gold UV</x:v>
      </x:c>
      <x:c r="L2587" s="40" t="n">
        <x:v>4089</x:v>
      </x:c>
      <x:c r="M2587" s="24" t="str">
        <x:v>-6.00 a +4.00</x:v>
      </x:c>
      <x:c r="N2587" s="24" t="str">
        <x:v>-4.00</x:v>
      </x:c>
      <x:c r="O2587" s="24" t="str">
        <x:v>0.75 a 3.50</x:v>
      </x:c>
      <x:c r="P2587" s="24" t="str">
        <x:v>75</x:v>
      </x:c>
      <x:c r="Q2587" s="24"/>
      <x:c r="R2587" s="24"/>
      <x:c r="S2587" s="26" t="n">
        <x:v>46113</x:v>
      </x:c>
      <x:c r="T2587" s="26"/>
      <x:c r="U2587" s="24" t="str">
        <x:v>ATIVA/SEM FIM INFORMADO</x:v>
      </x:c>
      <x:c r="V2587" s="24"/>
      <x:c r="W2587" s="24" t="n">
        <x:v>43</x:v>
      </x:c>
      <x:c r="X2587" s="24" t="str">
        <x:v>tabela_zeiss.pdf</x:v>
      </x:c>
      <x:c r="Y2587" s="24" t="str">
        <x:v>alta</x:v>
      </x:c>
      <x:c r="Z2587" s="24"/>
      <x:c r="AA2587" s="24" t="str">
        <x:v>ZEISS|Progressiva|Surfaçada|Light 2 3Dv||1.5|1.50|DuraVision Gold UV|-6.00 a +4.00|-4.00|0.75 a 3.50|75|||43</x:v>
      </x:c>
    </x:row>
    <x:row r="2588">
      <x:c r="A2588" s="24" t="str">
        <x:v>ZS-914EC0FD88ED</x:v>
      </x:c>
      <x:c r="B2588" s="24" t="str">
        <x:v>SIM</x:v>
      </x:c>
      <x:c r="C2588" s="24" t="str">
        <x:v>DISPONÍVEL</x:v>
      </x:c>
      <x:c r="D2588" s="24" t="str">
        <x:v>ZEISS</x:v>
      </x:c>
      <x:c r="E2588" s="24" t="str">
        <x:v>Progressiva</x:v>
      </x:c>
      <x:c r="F2588" s="24" t="str">
        <x:v>Surfaçada</x:v>
      </x:c>
      <x:c r="G2588" s="24" t="str">
        <x:v>Light 2 3Dv</x:v>
      </x:c>
      <x:c r="H2588" s="24"/>
      <x:c r="I2588" s="24" t="str">
        <x:v>1.5</x:v>
      </x:c>
      <x:c r="J2588" s="24" t="str">
        <x:v>1.50</x:v>
      </x:c>
      <x:c r="K2588" s="24" t="str">
        <x:v>DURAVISION® ANTIVÍRUS PLATINUM UV</x:v>
      </x:c>
      <x:c r="L2588" s="40" t="n">
        <x:v>3949</x:v>
      </x:c>
      <x:c r="M2588" s="24" t="str">
        <x:v>-6.00 a +4.00</x:v>
      </x:c>
      <x:c r="N2588" s="24" t="str">
        <x:v>-4.00</x:v>
      </x:c>
      <x:c r="O2588" s="24" t="str">
        <x:v>0.75 a 3.50</x:v>
      </x:c>
      <x:c r="P2588" s="24" t="str">
        <x:v>75</x:v>
      </x:c>
      <x:c r="Q2588" s="24"/>
      <x:c r="R2588" s="24"/>
      <x:c r="S2588" s="26" t="n">
        <x:v>46113</x:v>
      </x:c>
      <x:c r="T2588" s="26"/>
      <x:c r="U2588" s="24" t="str">
        <x:v>ATIVA/SEM FIM INFORMADO</x:v>
      </x:c>
      <x:c r="V2588" s="24"/>
      <x:c r="W2588" s="24" t="n">
        <x:v>43</x:v>
      </x:c>
      <x:c r="X2588" s="24" t="str">
        <x:v>tabela_zeiss.pdf</x:v>
      </x:c>
      <x:c r="Y2588" s="24" t="str">
        <x:v>alta</x:v>
      </x:c>
      <x:c r="Z2588" s="24"/>
      <x:c r="AA2588" s="24" t="str">
        <x:v>ZEISS|Progressiva|Surfaçada|Light 2 3Dv||1.5|1.50|DURAVISION® ANTIVÍRUS PLATINUM UV|-6.00 a +4.00|-4.00|0.75 a 3.50|75|||43</x:v>
      </x:c>
    </x:row>
    <x:row r="2589">
      <x:c r="A2589" s="24" t="str">
        <x:v>ZS-53E43C4467C6</x:v>
      </x:c>
      <x:c r="B2589" s="24" t="str">
        <x:v>SIM</x:v>
      </x:c>
      <x:c r="C2589" s="24" t="str">
        <x:v>DISPONÍVEL</x:v>
      </x:c>
      <x:c r="D2589" s="24" t="str">
        <x:v>ZEISS</x:v>
      </x:c>
      <x:c r="E2589" s="24" t="str">
        <x:v>Progressiva</x:v>
      </x:c>
      <x:c r="F2589" s="24" t="str">
        <x:v>Surfaçada</x:v>
      </x:c>
      <x:c r="G2589" s="24" t="str">
        <x:v>Light 2 3Dv</x:v>
      </x:c>
      <x:c r="H2589" s="24"/>
      <x:c r="I2589" s="24" t="str">
        <x:v>1.5</x:v>
      </x:c>
      <x:c r="J2589" s="24" t="str">
        <x:v>1.50</x:v>
      </x:c>
      <x:c r="K2589" s="24" t="str">
        <x:v>DuraVision Platinum UV</x:v>
      </x:c>
      <x:c r="L2589" s="40" t="n">
        <x:v>3949</x:v>
      </x:c>
      <x:c r="M2589" s="24" t="str">
        <x:v>-6.00 a +4.00</x:v>
      </x:c>
      <x:c r="N2589" s="24" t="str">
        <x:v>-4.00</x:v>
      </x:c>
      <x:c r="O2589" s="24" t="str">
        <x:v>0.75 a 3.50</x:v>
      </x:c>
      <x:c r="P2589" s="24" t="str">
        <x:v>75</x:v>
      </x:c>
      <x:c r="Q2589" s="24"/>
      <x:c r="R2589" s="24"/>
      <x:c r="S2589" s="26" t="n">
        <x:v>46113</x:v>
      </x:c>
      <x:c r="T2589" s="26"/>
      <x:c r="U2589" s="24" t="str">
        <x:v>ATIVA/SEM FIM INFORMADO</x:v>
      </x:c>
      <x:c r="V2589" s="24"/>
      <x:c r="W2589" s="24" t="n">
        <x:v>43</x:v>
      </x:c>
      <x:c r="X2589" s="24" t="str">
        <x:v>tabela_zeiss.pdf</x:v>
      </x:c>
      <x:c r="Y2589" s="24" t="str">
        <x:v>alta</x:v>
      </x:c>
      <x:c r="Z2589" s="24"/>
      <x:c r="AA2589" s="24" t="str">
        <x:v>ZEISS|Progressiva|Surfaçada|Light 2 3Dv||1.5|1.50|DuraVision Platinum UV|-6.00 a +4.00|-4.00|0.75 a 3.50|75|||43</x:v>
      </x:c>
    </x:row>
    <x:row r="2590">
      <x:c r="A2590" s="24" t="str">
        <x:v>ZS-22183864FB34</x:v>
      </x:c>
      <x:c r="B2590" s="24" t="str">
        <x:v>SIM</x:v>
      </x:c>
      <x:c r="C2590" s="24" t="str">
        <x:v>DISPONÍVEL</x:v>
      </x:c>
      <x:c r="D2590" s="24" t="str">
        <x:v>ZEISS</x:v>
      </x:c>
      <x:c r="E2590" s="24" t="str">
        <x:v>Progressiva</x:v>
      </x:c>
      <x:c r="F2590" s="24" t="str">
        <x:v>Surfaçada</x:v>
      </x:c>
      <x:c r="G2590" s="24" t="str">
        <x:v>Light 2 3Dv</x:v>
      </x:c>
      <x:c r="H2590" s="24"/>
      <x:c r="I2590" s="24" t="str">
        <x:v>1.5</x:v>
      </x:c>
      <x:c r="J2590" s="24" t="str">
        <x:v>1.50</x:v>
      </x:c>
      <x:c r="K2590" s="24" t="str">
        <x:v>DuraVision Silver UV</x:v>
      </x:c>
      <x:c r="L2590" s="40" t="n">
        <x:v>3689</x:v>
      </x:c>
      <x:c r="M2590" s="24" t="str">
        <x:v>-6.00 a +4.00</x:v>
      </x:c>
      <x:c r="N2590" s="24" t="str">
        <x:v>-4.00</x:v>
      </x:c>
      <x:c r="O2590" s="24" t="str">
        <x:v>0.75 a 3.50</x:v>
      </x:c>
      <x:c r="P2590" s="24" t="str">
        <x:v>75</x:v>
      </x:c>
      <x:c r="Q2590" s="24"/>
      <x:c r="R2590" s="24"/>
      <x:c r="S2590" s="26" t="n">
        <x:v>46113</x:v>
      </x:c>
      <x:c r="T2590" s="26"/>
      <x:c r="U2590" s="24" t="str">
        <x:v>ATIVA/SEM FIM INFORMADO</x:v>
      </x:c>
      <x:c r="V2590" s="24"/>
      <x:c r="W2590" s="24" t="n">
        <x:v>43</x:v>
      </x:c>
      <x:c r="X2590" s="24" t="str">
        <x:v>tabela_zeiss.pdf</x:v>
      </x:c>
      <x:c r="Y2590" s="24" t="str">
        <x:v>alta</x:v>
      </x:c>
      <x:c r="Z2590" s="24"/>
      <x:c r="AA2590" s="24" t="str">
        <x:v>ZEISS|Progressiva|Surfaçada|Light 2 3Dv||1.5|1.50|DuraVision Silver UV|-6.00 a +4.00|-4.00|0.75 a 3.50|75|||43</x:v>
      </x:c>
    </x:row>
    <x:row r="2591">
      <x:c r="A2591" s="24" t="str">
        <x:v>ZS-E61773CBA41B</x:v>
      </x:c>
      <x:c r="B2591" s="24" t="str">
        <x:v>SIM</x:v>
      </x:c>
      <x:c r="C2591" s="24" t="str">
        <x:v>DISPONÍVEL</x:v>
      </x:c>
      <x:c r="D2591" s="24" t="str">
        <x:v>ZEISS</x:v>
      </x:c>
      <x:c r="E2591" s="24" t="str">
        <x:v>Progressiva</x:v>
      </x:c>
      <x:c r="F2591" s="24" t="str">
        <x:v>Surfaçada</x:v>
      </x:c>
      <x:c r="G2591" s="24" t="str">
        <x:v>Light 2 3Dv</x:v>
      </x:c>
      <x:c r="H2591" s="24"/>
      <x:c r="I2591" s="24" t="str">
        <x:v>1.5</x:v>
      </x:c>
      <x:c r="J2591" s="24" t="str">
        <x:v>1.50</x:v>
      </x:c>
      <x:c r="K2591" s="24" t="str">
        <x:v>DuraVision Chrome UV</x:v>
      </x:c>
      <x:c r="L2591" s="40" t="n">
        <x:v>3199</x:v>
      </x:c>
      <x:c r="M2591" s="24" t="str">
        <x:v>-6.00 a +4.00</x:v>
      </x:c>
      <x:c r="N2591" s="24" t="str">
        <x:v>-4.00</x:v>
      </x:c>
      <x:c r="O2591" s="24" t="str">
        <x:v>0.75 a 3.50</x:v>
      </x:c>
      <x:c r="P2591" s="24" t="str">
        <x:v>75</x:v>
      </x:c>
      <x:c r="Q2591" s="24"/>
      <x:c r="R2591" s="24"/>
      <x:c r="S2591" s="26" t="n">
        <x:v>46113</x:v>
      </x:c>
      <x:c r="T2591" s="26"/>
      <x:c r="U2591" s="24" t="str">
        <x:v>ATIVA/SEM FIM INFORMADO</x:v>
      </x:c>
      <x:c r="V2591" s="24"/>
      <x:c r="W2591" s="24" t="n">
        <x:v>43</x:v>
      </x:c>
      <x:c r="X2591" s="24" t="str">
        <x:v>tabela_zeiss.pdf</x:v>
      </x:c>
      <x:c r="Y2591" s="24" t="str">
        <x:v>alta</x:v>
      </x:c>
      <x:c r="Z2591" s="24"/>
      <x:c r="AA2591" s="24" t="str">
        <x:v>ZEISS|Progressiva|Surfaçada|Light 2 3Dv||1.5|1.50|DuraVision Chrome UV|-6.00 a +4.00|-4.00|0.75 a 3.50|75|||43</x:v>
      </x:c>
    </x:row>
    <x:row r="2592">
      <x:c r="A2592" s="24" t="str">
        <x:v>ZS-9187D473411C</x:v>
      </x:c>
      <x:c r="B2592" s="24" t="str">
        <x:v>SIM</x:v>
      </x:c>
      <x:c r="C2592" s="24" t="str">
        <x:v>DISPONÍVEL</x:v>
      </x:c>
      <x:c r="D2592" s="24" t="str">
        <x:v>ZEISS</x:v>
      </x:c>
      <x:c r="E2592" s="24" t="str">
        <x:v>Progressiva</x:v>
      </x:c>
      <x:c r="F2592" s="24" t="str">
        <x:v>Surfaçada</x:v>
      </x:c>
      <x:c r="G2592" s="24" t="str">
        <x:v>Light 2 3Dv</x:v>
      </x:c>
      <x:c r="H2592" s="24"/>
      <x:c r="I2592" s="24" t="str">
        <x:v>1.5</x:v>
      </x:c>
      <x:c r="J2592" s="24" t="str">
        <x:v>1.50</x:v>
      </x:c>
      <x:c r="K2592" s="24" t="str">
        <x:v>Sem AR</x:v>
      </x:c>
      <x:c r="L2592" s="40" t="n">
        <x:v>2799</x:v>
      </x:c>
      <x:c r="M2592" s="24" t="str">
        <x:v>-6.00 a +4.00</x:v>
      </x:c>
      <x:c r="N2592" s="24" t="str">
        <x:v>-4.00</x:v>
      </x:c>
      <x:c r="O2592" s="24" t="str">
        <x:v>0.75 a 3.50</x:v>
      </x:c>
      <x:c r="P2592" s="24" t="str">
        <x:v>75</x:v>
      </x:c>
      <x:c r="Q2592" s="24"/>
      <x:c r="R2592" s="24"/>
      <x:c r="S2592" s="26" t="n">
        <x:v>46113</x:v>
      </x:c>
      <x:c r="T2592" s="26"/>
      <x:c r="U2592" s="24" t="str">
        <x:v>ATIVA/SEM FIM INFORMADO</x:v>
      </x:c>
      <x:c r="V2592" s="24"/>
      <x:c r="W2592" s="24" t="n">
        <x:v>43</x:v>
      </x:c>
      <x:c r="X2592" s="24" t="str">
        <x:v>tabela_zeiss.pdf</x:v>
      </x:c>
      <x:c r="Y2592" s="24" t="str">
        <x:v>alta</x:v>
      </x:c>
      <x:c r="Z2592" s="24"/>
      <x:c r="AA2592" s="24" t="str">
        <x:v>ZEISS|Progressiva|Surfaçada|Light 2 3Dv||1.5|1.50|Sem AR|-6.00 a +4.00|-4.00|0.75 a 3.50|75|||43</x:v>
      </x:c>
    </x:row>
    <x:row r="2593">
      <x:c r="A2593" s="24" t="str">
        <x:v>ZS-5F3016566BFC</x:v>
      </x:c>
      <x:c r="B2593" s="24" t="str">
        <x:v>SIM</x:v>
      </x:c>
      <x:c r="C2593" s="24" t="str">
        <x:v>DISPONÍVEL</x:v>
      </x:c>
      <x:c r="D2593" s="24" t="str">
        <x:v>ZEISS</x:v>
      </x:c>
      <x:c r="E2593" s="24" t="str">
        <x:v>Progressiva</x:v>
      </x:c>
      <x:c r="F2593" s="24" t="str">
        <x:v>Surfaçada</x:v>
      </x:c>
      <x:c r="G2593" s="24" t="str">
        <x:v>Light 2 3Dv</x:v>
      </x:c>
      <x:c r="H2593" s="24"/>
      <x:c r="I2593" s="24" t="str">
        <x:v>Poli</x:v>
      </x:c>
      <x:c r="J2593" s="24"/>
      <x:c r="K2593" s="24" t="str">
        <x:v>DuraVision Gold UV</x:v>
      </x:c>
      <x:c r="L2593" s="40" t="n">
        <x:v>4449</x:v>
      </x:c>
      <x:c r="M2593" s="24" t="str">
        <x:v>-10.00 a +6.00</x:v>
      </x:c>
      <x:c r="N2593" s="24" t="str">
        <x:v>-6.00</x:v>
      </x:c>
      <x:c r="O2593" s="24" t="str">
        <x:v>0.75 a 3.00</x:v>
      </x:c>
      <x:c r="P2593" s="24" t="str">
        <x:v>75</x:v>
      </x:c>
      <x:c r="Q2593" s="24"/>
      <x:c r="R2593" s="24"/>
      <x:c r="S2593" s="26" t="n">
        <x:v>46113</x:v>
      </x:c>
      <x:c r="T2593" s="26"/>
      <x:c r="U2593" s="24" t="str">
        <x:v>ATIVA/SEM FIM INFORMADO</x:v>
      </x:c>
      <x:c r="V2593" s="24"/>
      <x:c r="W2593" s="24" t="n">
        <x:v>43</x:v>
      </x:c>
      <x:c r="X2593" s="24" t="str">
        <x:v>tabela_zeiss.pdf</x:v>
      </x:c>
      <x:c r="Y2593" s="24" t="str">
        <x:v>alta</x:v>
      </x:c>
      <x:c r="Z2593" s="24"/>
      <x:c r="AA2593" s="24" t="str">
        <x:v>ZEISS|Progressiva|Surfaçada|Light 2 3Dv||Poli||DuraVision Gold UV|-10.00 a +6.00|-6.00|0.75 a 3.00|75|||43</x:v>
      </x:c>
    </x:row>
    <x:row r="2594">
      <x:c r="A2594" s="24" t="str">
        <x:v>ZS-580128DECFF9</x:v>
      </x:c>
      <x:c r="B2594" s="24" t="str">
        <x:v>SIM</x:v>
      </x:c>
      <x:c r="C2594" s="24" t="str">
        <x:v>DISPONÍVEL</x:v>
      </x:c>
      <x:c r="D2594" s="24" t="str">
        <x:v>ZEISS</x:v>
      </x:c>
      <x:c r="E2594" s="24" t="str">
        <x:v>Progressiva</x:v>
      </x:c>
      <x:c r="F2594" s="24" t="str">
        <x:v>Surfaçada</x:v>
      </x:c>
      <x:c r="G2594" s="24" t="str">
        <x:v>Light 2 3Dv</x:v>
      </x:c>
      <x:c r="H2594" s="24"/>
      <x:c r="I2594" s="24" t="str">
        <x:v>Poli</x:v>
      </x:c>
      <x:c r="J2594" s="24"/>
      <x:c r="K2594" s="24" t="str">
        <x:v>DuraVision Platinum UV</x:v>
      </x:c>
      <x:c r="L2594" s="40" t="n">
        <x:v>4309</x:v>
      </x:c>
      <x:c r="M2594" s="24" t="str">
        <x:v>-10.00 a +6.00</x:v>
      </x:c>
      <x:c r="N2594" s="24" t="str">
        <x:v>-6.00</x:v>
      </x:c>
      <x:c r="O2594" s="24" t="str">
        <x:v>0.75 a 3.00</x:v>
      </x:c>
      <x:c r="P2594" s="24" t="str">
        <x:v>75</x:v>
      </x:c>
      <x:c r="Q2594" s="24"/>
      <x:c r="R2594" s="24"/>
      <x:c r="S2594" s="26" t="n">
        <x:v>46113</x:v>
      </x:c>
      <x:c r="T2594" s="26"/>
      <x:c r="U2594" s="24" t="str">
        <x:v>ATIVA/SEM FIM INFORMADO</x:v>
      </x:c>
      <x:c r="V2594" s="24"/>
      <x:c r="W2594" s="24" t="n">
        <x:v>43</x:v>
      </x:c>
      <x:c r="X2594" s="24" t="str">
        <x:v>tabela_zeiss.pdf</x:v>
      </x:c>
      <x:c r="Y2594" s="24" t="str">
        <x:v>alta</x:v>
      </x:c>
      <x:c r="Z2594" s="24"/>
      <x:c r="AA2594" s="24" t="str">
        <x:v>ZEISS|Progressiva|Surfaçada|Light 2 3Dv||Poli||DuraVision Platinum UV|-10.00 a +6.00|-6.00|0.75 a 3.00|75|||43</x:v>
      </x:c>
    </x:row>
    <x:row r="2595">
      <x:c r="A2595" s="24" t="str">
        <x:v>ZS-4892F0A8A50C</x:v>
      </x:c>
      <x:c r="B2595" s="24" t="str">
        <x:v>SIM</x:v>
      </x:c>
      <x:c r="C2595" s="24" t="str">
        <x:v>DISPONÍVEL</x:v>
      </x:c>
      <x:c r="D2595" s="24" t="str">
        <x:v>ZEISS</x:v>
      </x:c>
      <x:c r="E2595" s="24" t="str">
        <x:v>Progressiva</x:v>
      </x:c>
      <x:c r="F2595" s="24" t="str">
        <x:v>Surfaçada</x:v>
      </x:c>
      <x:c r="G2595" s="24" t="str">
        <x:v>Light 2 3Dv</x:v>
      </x:c>
      <x:c r="H2595" s="24"/>
      <x:c r="I2595" s="24" t="str">
        <x:v>Poli</x:v>
      </x:c>
      <x:c r="J2595" s="24"/>
      <x:c r="K2595" s="24" t="str">
        <x:v>DuraVision Silver UV</x:v>
      </x:c>
      <x:c r="L2595" s="40" t="n">
        <x:v>4049</x:v>
      </x:c>
      <x:c r="M2595" s="24" t="str">
        <x:v>-10.00 a +6.00</x:v>
      </x:c>
      <x:c r="N2595" s="24" t="str">
        <x:v>-6.00</x:v>
      </x:c>
      <x:c r="O2595" s="24" t="str">
        <x:v>0.75 a 3.00</x:v>
      </x:c>
      <x:c r="P2595" s="24" t="str">
        <x:v>75</x:v>
      </x:c>
      <x:c r="Q2595" s="24"/>
      <x:c r="R2595" s="24"/>
      <x:c r="S2595" s="26" t="n">
        <x:v>46113</x:v>
      </x:c>
      <x:c r="T2595" s="26"/>
      <x:c r="U2595" s="24" t="str">
        <x:v>ATIVA/SEM FIM INFORMADO</x:v>
      </x:c>
      <x:c r="V2595" s="24"/>
      <x:c r="W2595" s="24" t="n">
        <x:v>43</x:v>
      </x:c>
      <x:c r="X2595" s="24" t="str">
        <x:v>tabela_zeiss.pdf</x:v>
      </x:c>
      <x:c r="Y2595" s="24" t="str">
        <x:v>alta</x:v>
      </x:c>
      <x:c r="Z2595" s="24"/>
      <x:c r="AA2595" s="24" t="str">
        <x:v>ZEISS|Progressiva|Surfaçada|Light 2 3Dv||Poli||DuraVision Silver UV|-10.00 a +6.00|-6.00|0.75 a 3.00|75|||43</x:v>
      </x:c>
    </x:row>
    <x:row r="2596">
      <x:c r="A2596" s="24" t="str">
        <x:v>ZS-2C54459781D2</x:v>
      </x:c>
      <x:c r="B2596" s="24" t="str">
        <x:v>SIM</x:v>
      </x:c>
      <x:c r="C2596" s="24" t="str">
        <x:v>DISPONÍVEL</x:v>
      </x:c>
      <x:c r="D2596" s="24" t="str">
        <x:v>ZEISS</x:v>
      </x:c>
      <x:c r="E2596" s="24" t="str">
        <x:v>Progressiva</x:v>
      </x:c>
      <x:c r="F2596" s="24" t="str">
        <x:v>Surfaçada</x:v>
      </x:c>
      <x:c r="G2596" s="24" t="str">
        <x:v>Light 2 3Dv</x:v>
      </x:c>
      <x:c r="H2596" s="24"/>
      <x:c r="I2596" s="24" t="str">
        <x:v>Poli</x:v>
      </x:c>
      <x:c r="J2596" s="24"/>
      <x:c r="K2596" s="24" t="str">
        <x:v>DuraVision Chrome UV</x:v>
      </x:c>
      <x:c r="L2596" s="40" t="n">
        <x:v>3559</x:v>
      </x:c>
      <x:c r="M2596" s="24" t="str">
        <x:v>-10.00 a +6.00</x:v>
      </x:c>
      <x:c r="N2596" s="24" t="str">
        <x:v>-6.00</x:v>
      </x:c>
      <x:c r="O2596" s="24" t="str">
        <x:v>0.75 a 3.00</x:v>
      </x:c>
      <x:c r="P2596" s="24" t="str">
        <x:v>75</x:v>
      </x:c>
      <x:c r="Q2596" s="24"/>
      <x:c r="R2596" s="24"/>
      <x:c r="S2596" s="26" t="n">
        <x:v>46113</x:v>
      </x:c>
      <x:c r="T2596" s="26"/>
      <x:c r="U2596" s="24" t="str">
        <x:v>ATIVA/SEM FIM INFORMADO</x:v>
      </x:c>
      <x:c r="V2596" s="24"/>
      <x:c r="W2596" s="24" t="n">
        <x:v>43</x:v>
      </x:c>
      <x:c r="X2596" s="24" t="str">
        <x:v>tabela_zeiss.pdf</x:v>
      </x:c>
      <x:c r="Y2596" s="24" t="str">
        <x:v>alta</x:v>
      </x:c>
      <x:c r="Z2596" s="24"/>
      <x:c r="AA2596" s="24" t="str">
        <x:v>ZEISS|Progressiva|Surfaçada|Light 2 3Dv||Poli||DuraVision Chrome UV|-10.00 a +6.00|-6.00|0.75 a 3.00|75|||43</x:v>
      </x:c>
    </x:row>
    <x:row r="2597">
      <x:c r="A2597" s="24" t="str">
        <x:v>ZS-E519F7739DDF</x:v>
      </x:c>
      <x:c r="B2597" s="24" t="str">
        <x:v>SIM</x:v>
      </x:c>
      <x:c r="C2597" s="24" t="str">
        <x:v>DISPONÍVEL</x:v>
      </x:c>
      <x:c r="D2597" s="24" t="str">
        <x:v>ZEISS</x:v>
      </x:c>
      <x:c r="E2597" s="24" t="str">
        <x:v>Progressiva</x:v>
      </x:c>
      <x:c r="F2597" s="24" t="str">
        <x:v>Surfaçada</x:v>
      </x:c>
      <x:c r="G2597" s="24" t="str">
        <x:v>Light 2 3Dv</x:v>
      </x:c>
      <x:c r="H2597" s="24"/>
      <x:c r="I2597" s="24" t="str">
        <x:v>Poli</x:v>
      </x:c>
      <x:c r="J2597" s="24"/>
      <x:c r="K2597" s="24" t="str">
        <x:v>Sem AR</x:v>
      </x:c>
      <x:c r="L2597" s="40" t="n">
        <x:v>3159</x:v>
      </x:c>
      <x:c r="M2597" s="24" t="str">
        <x:v>-10.00 a +6.00</x:v>
      </x:c>
      <x:c r="N2597" s="24" t="str">
        <x:v>-6.00</x:v>
      </x:c>
      <x:c r="O2597" s="24" t="str">
        <x:v>0.75 a 3.00</x:v>
      </x:c>
      <x:c r="P2597" s="24" t="str">
        <x:v>75</x:v>
      </x:c>
      <x:c r="Q2597" s="24"/>
      <x:c r="R2597" s="24"/>
      <x:c r="S2597" s="26" t="n">
        <x:v>46113</x:v>
      </x:c>
      <x:c r="T2597" s="26"/>
      <x:c r="U2597" s="24" t="str">
        <x:v>ATIVA/SEM FIM INFORMADO</x:v>
      </x:c>
      <x:c r="V2597" s="24"/>
      <x:c r="W2597" s="24" t="n">
        <x:v>43</x:v>
      </x:c>
      <x:c r="X2597" s="24" t="str">
        <x:v>tabela_zeiss.pdf</x:v>
      </x:c>
      <x:c r="Y2597" s="24" t="str">
        <x:v>alta</x:v>
      </x:c>
      <x:c r="Z2597" s="24"/>
      <x:c r="AA2597" s="24" t="str">
        <x:v>ZEISS|Progressiva|Surfaçada|Light 2 3Dv||Poli||Sem AR|-10.00 a +6.00|-6.00|0.75 a 3.00|75|||43</x:v>
      </x:c>
    </x:row>
    <x:row r="2598">
      <x:c r="A2598" s="24" t="str">
        <x:v>ZS-34C9E6BC1A36</x:v>
      </x:c>
      <x:c r="B2598" s="24" t="str">
        <x:v>SIM</x:v>
      </x:c>
      <x:c r="C2598" s="24" t="str">
        <x:v>DISPONÍVEL</x:v>
      </x:c>
      <x:c r="D2598" s="24" t="str">
        <x:v>ZEISS</x:v>
      </x:c>
      <x:c r="E2598" s="24" t="str">
        <x:v>Progressiva</x:v>
      </x:c>
      <x:c r="F2598" s="24" t="str">
        <x:v>Surfaçada</x:v>
      </x:c>
      <x:c r="G2598" s="24" t="str">
        <x:v>Light 2 3Dv</x:v>
      </x:c>
      <x:c r="H2598" s="24"/>
      <x:c r="I2598" s="24" t="str">
        <x:v>1.6</x:v>
      </x:c>
      <x:c r="J2598" s="24" t="str">
        <x:v>1.60</x:v>
      </x:c>
      <x:c r="K2598" s="24" t="str">
        <x:v>DuraVision Gold UV</x:v>
      </x:c>
      <x:c r="L2598" s="40" t="n">
        <x:v>4669</x:v>
      </x:c>
      <x:c r="M2598" s="24" t="str">
        <x:v>-7.25 a +6.00</x:v>
      </x:c>
      <x:c r="N2598" s="24" t="str">
        <x:v>-6.00</x:v>
      </x:c>
      <x:c r="O2598" s="24" t="str">
        <x:v>0.75 a 3.50</x:v>
      </x:c>
      <x:c r="P2598" s="24" t="str">
        <x:v>75</x:v>
      </x:c>
      <x:c r="Q2598" s="24"/>
      <x:c r="R2598" s="24"/>
      <x:c r="S2598" s="26" t="n">
        <x:v>46113</x:v>
      </x:c>
      <x:c r="T2598" s="26"/>
      <x:c r="U2598" s="24" t="str">
        <x:v>ATIVA/SEM FIM INFORMADO</x:v>
      </x:c>
      <x:c r="V2598" s="24"/>
      <x:c r="W2598" s="24" t="n">
        <x:v>43</x:v>
      </x:c>
      <x:c r="X2598" s="24" t="str">
        <x:v>tabela_zeiss.pdf</x:v>
      </x:c>
      <x:c r="Y2598" s="24" t="str">
        <x:v>alta</x:v>
      </x:c>
      <x:c r="Z2598" s="24"/>
      <x:c r="AA2598" s="24" t="str">
        <x:v>ZEISS|Progressiva|Surfaçada|Light 2 3Dv||1.6|1.60|DuraVision Gold UV|-7.25 a +6.00|-6.00|0.75 a 3.50|75|||43</x:v>
      </x:c>
    </x:row>
    <x:row r="2599">
      <x:c r="A2599" s="24" t="str">
        <x:v>ZS-E94A57065C44</x:v>
      </x:c>
      <x:c r="B2599" s="24" t="str">
        <x:v>SIM</x:v>
      </x:c>
      <x:c r="C2599" s="24" t="str">
        <x:v>DISPONÍVEL</x:v>
      </x:c>
      <x:c r="D2599" s="24" t="str">
        <x:v>ZEISS</x:v>
      </x:c>
      <x:c r="E2599" s="24" t="str">
        <x:v>Progressiva</x:v>
      </x:c>
      <x:c r="F2599" s="24" t="str">
        <x:v>Surfaçada</x:v>
      </x:c>
      <x:c r="G2599" s="24" t="str">
        <x:v>Light 2 3Dv</x:v>
      </x:c>
      <x:c r="H2599" s="24"/>
      <x:c r="I2599" s="24" t="str">
        <x:v>1.6</x:v>
      </x:c>
      <x:c r="J2599" s="24" t="str">
        <x:v>1.60</x:v>
      </x:c>
      <x:c r="K2599" s="24" t="str">
        <x:v>DURAVISION® ANTIVÍRUS PLATINUM UV</x:v>
      </x:c>
      <x:c r="L2599" s="40" t="n">
        <x:v>4529</x:v>
      </x:c>
      <x:c r="M2599" s="24" t="str">
        <x:v>-7.25 a +6.00</x:v>
      </x:c>
      <x:c r="N2599" s="24" t="str">
        <x:v>-6.00</x:v>
      </x:c>
      <x:c r="O2599" s="24" t="str">
        <x:v>0.75 a 3.50</x:v>
      </x:c>
      <x:c r="P2599" s="24" t="str">
        <x:v>75</x:v>
      </x:c>
      <x:c r="Q2599" s="24"/>
      <x:c r="R2599" s="24"/>
      <x:c r="S2599" s="26" t="n">
        <x:v>46113</x:v>
      </x:c>
      <x:c r="T2599" s="26"/>
      <x:c r="U2599" s="24" t="str">
        <x:v>ATIVA/SEM FIM INFORMADO</x:v>
      </x:c>
      <x:c r="V2599" s="24"/>
      <x:c r="W2599" s="24" t="n">
        <x:v>43</x:v>
      </x:c>
      <x:c r="X2599" s="24" t="str">
        <x:v>tabela_zeiss.pdf</x:v>
      </x:c>
      <x:c r="Y2599" s="24" t="str">
        <x:v>alta</x:v>
      </x:c>
      <x:c r="Z2599" s="24"/>
      <x:c r="AA2599" s="24" t="str">
        <x:v>ZEISS|Progressiva|Surfaçada|Light 2 3Dv||1.6|1.60|DURAVISION® ANTIVÍRUS PLATINUM UV|-7.25 a +6.00|-6.00|0.75 a 3.50|75|||43</x:v>
      </x:c>
    </x:row>
    <x:row r="2600">
      <x:c r="A2600" s="24" t="str">
        <x:v>ZS-DB5C0111F93A</x:v>
      </x:c>
      <x:c r="B2600" s="24" t="str">
        <x:v>SIM</x:v>
      </x:c>
      <x:c r="C2600" s="24" t="str">
        <x:v>DISPONÍVEL</x:v>
      </x:c>
      <x:c r="D2600" s="24" t="str">
        <x:v>ZEISS</x:v>
      </x:c>
      <x:c r="E2600" s="24" t="str">
        <x:v>Progressiva</x:v>
      </x:c>
      <x:c r="F2600" s="24" t="str">
        <x:v>Surfaçada</x:v>
      </x:c>
      <x:c r="G2600" s="24" t="str">
        <x:v>Light 2 3Dv</x:v>
      </x:c>
      <x:c r="H2600" s="24"/>
      <x:c r="I2600" s="24" t="str">
        <x:v>1.6</x:v>
      </x:c>
      <x:c r="J2600" s="24" t="str">
        <x:v>1.60</x:v>
      </x:c>
      <x:c r="K2600" s="24" t="str">
        <x:v>DuraVision Platinum UV</x:v>
      </x:c>
      <x:c r="L2600" s="40" t="n">
        <x:v>4529</x:v>
      </x:c>
      <x:c r="M2600" s="24" t="str">
        <x:v>-7.25 a +6.00</x:v>
      </x:c>
      <x:c r="N2600" s="24" t="str">
        <x:v>-6.00</x:v>
      </x:c>
      <x:c r="O2600" s="24" t="str">
        <x:v>0.75 a 3.50</x:v>
      </x:c>
      <x:c r="P2600" s="24" t="str">
        <x:v>75</x:v>
      </x:c>
      <x:c r="Q2600" s="24"/>
      <x:c r="R2600" s="24"/>
      <x:c r="S2600" s="26" t="n">
        <x:v>46113</x:v>
      </x:c>
      <x:c r="T2600" s="26"/>
      <x:c r="U2600" s="24" t="str">
        <x:v>ATIVA/SEM FIM INFORMADO</x:v>
      </x:c>
      <x:c r="V2600" s="24"/>
      <x:c r="W2600" s="24" t="n">
        <x:v>43</x:v>
      </x:c>
      <x:c r="X2600" s="24" t="str">
        <x:v>tabela_zeiss.pdf</x:v>
      </x:c>
      <x:c r="Y2600" s="24" t="str">
        <x:v>alta</x:v>
      </x:c>
      <x:c r="Z2600" s="24"/>
      <x:c r="AA2600" s="24" t="str">
        <x:v>ZEISS|Progressiva|Surfaçada|Light 2 3Dv||1.6|1.60|DuraVision Platinum UV|-7.25 a +6.00|-6.00|0.75 a 3.50|75|||43</x:v>
      </x:c>
    </x:row>
    <x:row r="2601">
      <x:c r="A2601" s="24" t="str">
        <x:v>ZS-3ADA4CB34086</x:v>
      </x:c>
      <x:c r="B2601" s="24" t="str">
        <x:v>SIM</x:v>
      </x:c>
      <x:c r="C2601" s="24" t="str">
        <x:v>DISPONÍVEL</x:v>
      </x:c>
      <x:c r="D2601" s="24" t="str">
        <x:v>ZEISS</x:v>
      </x:c>
      <x:c r="E2601" s="24" t="str">
        <x:v>Progressiva</x:v>
      </x:c>
      <x:c r="F2601" s="24" t="str">
        <x:v>Surfaçada</x:v>
      </x:c>
      <x:c r="G2601" s="24" t="str">
        <x:v>Light 2 3Dv</x:v>
      </x:c>
      <x:c r="H2601" s="24"/>
      <x:c r="I2601" s="24" t="str">
        <x:v>1.6</x:v>
      </x:c>
      <x:c r="J2601" s="24" t="str">
        <x:v>1.60</x:v>
      </x:c>
      <x:c r="K2601" s="24" t="str">
        <x:v>DuraVision Silver UV</x:v>
      </x:c>
      <x:c r="L2601" s="40" t="n">
        <x:v>4269</x:v>
      </x:c>
      <x:c r="M2601" s="24" t="str">
        <x:v>-7.25 a +6.00</x:v>
      </x:c>
      <x:c r="N2601" s="24" t="str">
        <x:v>-6.00</x:v>
      </x:c>
      <x:c r="O2601" s="24" t="str">
        <x:v>0.75 a 3.50</x:v>
      </x:c>
      <x:c r="P2601" s="24" t="str">
        <x:v>75</x:v>
      </x:c>
      <x:c r="Q2601" s="24"/>
      <x:c r="R2601" s="24"/>
      <x:c r="S2601" s="26" t="n">
        <x:v>46113</x:v>
      </x:c>
      <x:c r="T2601" s="26"/>
      <x:c r="U2601" s="24" t="str">
        <x:v>ATIVA/SEM FIM INFORMADO</x:v>
      </x:c>
      <x:c r="V2601" s="24"/>
      <x:c r="W2601" s="24" t="n">
        <x:v>43</x:v>
      </x:c>
      <x:c r="X2601" s="24" t="str">
        <x:v>tabela_zeiss.pdf</x:v>
      </x:c>
      <x:c r="Y2601" s="24" t="str">
        <x:v>alta</x:v>
      </x:c>
      <x:c r="Z2601" s="24"/>
      <x:c r="AA2601" s="24" t="str">
        <x:v>ZEISS|Progressiva|Surfaçada|Light 2 3Dv||1.6|1.60|DuraVision Silver UV|-7.25 a +6.00|-6.00|0.75 a 3.50|75|||43</x:v>
      </x:c>
    </x:row>
    <x:row r="2602">
      <x:c r="A2602" s="24" t="str">
        <x:v>ZS-BA693C191CE3</x:v>
      </x:c>
      <x:c r="B2602" s="24" t="str">
        <x:v>SIM</x:v>
      </x:c>
      <x:c r="C2602" s="24" t="str">
        <x:v>DISPONÍVEL</x:v>
      </x:c>
      <x:c r="D2602" s="24" t="str">
        <x:v>ZEISS</x:v>
      </x:c>
      <x:c r="E2602" s="24" t="str">
        <x:v>Progressiva</x:v>
      </x:c>
      <x:c r="F2602" s="24" t="str">
        <x:v>Surfaçada</x:v>
      </x:c>
      <x:c r="G2602" s="24" t="str">
        <x:v>Light 2 3Dv</x:v>
      </x:c>
      <x:c r="H2602" s="24"/>
      <x:c r="I2602" s="24" t="str">
        <x:v>1.6</x:v>
      </x:c>
      <x:c r="J2602" s="24" t="str">
        <x:v>1.60</x:v>
      </x:c>
      <x:c r="K2602" s="24" t="str">
        <x:v>DuraVision Chrome UV</x:v>
      </x:c>
      <x:c r="L2602" s="40" t="n">
        <x:v>3779</x:v>
      </x:c>
      <x:c r="M2602" s="24" t="str">
        <x:v>-7.25 a +6.00</x:v>
      </x:c>
      <x:c r="N2602" s="24" t="str">
        <x:v>-6.00</x:v>
      </x:c>
      <x:c r="O2602" s="24" t="str">
        <x:v>0.75 a 3.50</x:v>
      </x:c>
      <x:c r="P2602" s="24" t="str">
        <x:v>75</x:v>
      </x:c>
      <x:c r="Q2602" s="24"/>
      <x:c r="R2602" s="24"/>
      <x:c r="S2602" s="26" t="n">
        <x:v>46113</x:v>
      </x:c>
      <x:c r="T2602" s="26"/>
      <x:c r="U2602" s="24" t="str">
        <x:v>ATIVA/SEM FIM INFORMADO</x:v>
      </x:c>
      <x:c r="V2602" s="24"/>
      <x:c r="W2602" s="24" t="n">
        <x:v>43</x:v>
      </x:c>
      <x:c r="X2602" s="24" t="str">
        <x:v>tabela_zeiss.pdf</x:v>
      </x:c>
      <x:c r="Y2602" s="24" t="str">
        <x:v>alta</x:v>
      </x:c>
      <x:c r="Z2602" s="24"/>
      <x:c r="AA2602" s="24" t="str">
        <x:v>ZEISS|Progressiva|Surfaçada|Light 2 3Dv||1.6|1.60|DuraVision Chrome UV|-7.25 a +6.00|-6.00|0.75 a 3.50|75|||43</x:v>
      </x:c>
    </x:row>
    <x:row r="2603">
      <x:c r="A2603" s="24" t="str">
        <x:v>ZS-19663438AE05</x:v>
      </x:c>
      <x:c r="B2603" s="24" t="str">
        <x:v>SIM</x:v>
      </x:c>
      <x:c r="C2603" s="24" t="str">
        <x:v>DISPONÍVEL</x:v>
      </x:c>
      <x:c r="D2603" s="24" t="str">
        <x:v>ZEISS</x:v>
      </x:c>
      <x:c r="E2603" s="24" t="str">
        <x:v>Progressiva</x:v>
      </x:c>
      <x:c r="F2603" s="24" t="str">
        <x:v>Surfaçada</x:v>
      </x:c>
      <x:c r="G2603" s="24" t="str">
        <x:v>Light 2 3Dv</x:v>
      </x:c>
      <x:c r="H2603" s="24"/>
      <x:c r="I2603" s="24" t="str">
        <x:v>1.67</x:v>
      </x:c>
      <x:c r="J2603" s="24" t="str">
        <x:v>1.67</x:v>
      </x:c>
      <x:c r="K2603" s="24" t="str">
        <x:v>DuraVision Gold UV</x:v>
      </x:c>
      <x:c r="L2603" s="40" t="n">
        <x:v>5969</x:v>
      </x:c>
      <x:c r="M2603" s="24" t="str">
        <x:v>-10.00 a +6.00</x:v>
      </x:c>
      <x:c r="N2603" s="24" t="str">
        <x:v>-6.00</x:v>
      </x:c>
      <x:c r="O2603" s="24" t="str">
        <x:v>0.75 a 3.00</x:v>
      </x:c>
      <x:c r="P2603" s="24" t="str">
        <x:v>70</x:v>
      </x:c>
      <x:c r="Q2603" s="24"/>
      <x:c r="R2603" s="24"/>
      <x:c r="S2603" s="26" t="n">
        <x:v>46113</x:v>
      </x:c>
      <x:c r="T2603" s="26"/>
      <x:c r="U2603" s="24" t="str">
        <x:v>ATIVA/SEM FIM INFORMADO</x:v>
      </x:c>
      <x:c r="V2603" s="24"/>
      <x:c r="W2603" s="24" t="n">
        <x:v>43</x:v>
      </x:c>
      <x:c r="X2603" s="24" t="str">
        <x:v>tabela_zeiss.pdf</x:v>
      </x:c>
      <x:c r="Y2603" s="24" t="str">
        <x:v>alta</x:v>
      </x:c>
      <x:c r="Z2603" s="24"/>
      <x:c r="AA2603" s="24" t="str">
        <x:v>ZEISS|Progressiva|Surfaçada|Light 2 3Dv||1.67|1.67|DuraVision Gold UV|-10.00 a +6.00|-6.00|0.75 a 3.00|70|||43</x:v>
      </x:c>
    </x:row>
    <x:row r="2604">
      <x:c r="A2604" s="24" t="str">
        <x:v>ZS-C3083EC99704</x:v>
      </x:c>
      <x:c r="B2604" s="24" t="str">
        <x:v>SIM</x:v>
      </x:c>
      <x:c r="C2604" s="24" t="str">
        <x:v>DISPONÍVEL</x:v>
      </x:c>
      <x:c r="D2604" s="24" t="str">
        <x:v>ZEISS</x:v>
      </x:c>
      <x:c r="E2604" s="24" t="str">
        <x:v>Progressiva</x:v>
      </x:c>
      <x:c r="F2604" s="24" t="str">
        <x:v>Surfaçada</x:v>
      </x:c>
      <x:c r="G2604" s="24" t="str">
        <x:v>Light 2 3Dv</x:v>
      </x:c>
      <x:c r="H2604" s="24"/>
      <x:c r="I2604" s="24" t="str">
        <x:v>1.67</x:v>
      </x:c>
      <x:c r="J2604" s="24" t="str">
        <x:v>1.67</x:v>
      </x:c>
      <x:c r="K2604" s="24" t="str">
        <x:v>DURAVISION® ANTIVÍRUS PLATINUM UV</x:v>
      </x:c>
      <x:c r="L2604" s="40" t="n">
        <x:v>5829</x:v>
      </x:c>
      <x:c r="M2604" s="24" t="str">
        <x:v>-10.00 a +6.00</x:v>
      </x:c>
      <x:c r="N2604" s="24" t="str">
        <x:v>-6.00</x:v>
      </x:c>
      <x:c r="O2604" s="24" t="str">
        <x:v>0.75 a 3.00</x:v>
      </x:c>
      <x:c r="P2604" s="24" t="str">
        <x:v>70</x:v>
      </x:c>
      <x:c r="Q2604" s="24"/>
      <x:c r="R2604" s="24"/>
      <x:c r="S2604" s="26" t="n">
        <x:v>46113</x:v>
      </x:c>
      <x:c r="T2604" s="26"/>
      <x:c r="U2604" s="24" t="str">
        <x:v>ATIVA/SEM FIM INFORMADO</x:v>
      </x:c>
      <x:c r="V2604" s="24"/>
      <x:c r="W2604" s="24" t="n">
        <x:v>43</x:v>
      </x:c>
      <x:c r="X2604" s="24" t="str">
        <x:v>tabela_zeiss.pdf</x:v>
      </x:c>
      <x:c r="Y2604" s="24" t="str">
        <x:v>alta</x:v>
      </x:c>
      <x:c r="Z2604" s="24"/>
      <x:c r="AA2604" s="24" t="str">
        <x:v>ZEISS|Progressiva|Surfaçada|Light 2 3Dv||1.67|1.67|DURAVISION® ANTIVÍRUS PLATINUM UV|-10.00 a +6.00|-6.00|0.75 a 3.00|70|||43</x:v>
      </x:c>
    </x:row>
    <x:row r="2605">
      <x:c r="A2605" s="24" t="str">
        <x:v>ZS-51F7983DB372</x:v>
      </x:c>
      <x:c r="B2605" s="24" t="str">
        <x:v>SIM</x:v>
      </x:c>
      <x:c r="C2605" s="24" t="str">
        <x:v>DISPONÍVEL</x:v>
      </x:c>
      <x:c r="D2605" s="24" t="str">
        <x:v>ZEISS</x:v>
      </x:c>
      <x:c r="E2605" s="24" t="str">
        <x:v>Progressiva</x:v>
      </x:c>
      <x:c r="F2605" s="24" t="str">
        <x:v>Surfaçada</x:v>
      </x:c>
      <x:c r="G2605" s="24" t="str">
        <x:v>Light 2 3Dv</x:v>
      </x:c>
      <x:c r="H2605" s="24"/>
      <x:c r="I2605" s="24" t="str">
        <x:v>1.67</x:v>
      </x:c>
      <x:c r="J2605" s="24" t="str">
        <x:v>1.67</x:v>
      </x:c>
      <x:c r="K2605" s="24" t="str">
        <x:v>DuraVision Platinum UV</x:v>
      </x:c>
      <x:c r="L2605" s="40" t="n">
        <x:v>5829</x:v>
      </x:c>
      <x:c r="M2605" s="24" t="str">
        <x:v>-10.00 a +6.00</x:v>
      </x:c>
      <x:c r="N2605" s="24" t="str">
        <x:v>-6.00</x:v>
      </x:c>
      <x:c r="O2605" s="24" t="str">
        <x:v>0.75 a 3.00</x:v>
      </x:c>
      <x:c r="P2605" s="24" t="str">
        <x:v>70</x:v>
      </x:c>
      <x:c r="Q2605" s="24"/>
      <x:c r="R2605" s="24"/>
      <x:c r="S2605" s="26" t="n">
        <x:v>46113</x:v>
      </x:c>
      <x:c r="T2605" s="26"/>
      <x:c r="U2605" s="24" t="str">
        <x:v>ATIVA/SEM FIM INFORMADO</x:v>
      </x:c>
      <x:c r="V2605" s="24"/>
      <x:c r="W2605" s="24" t="n">
        <x:v>43</x:v>
      </x:c>
      <x:c r="X2605" s="24" t="str">
        <x:v>tabela_zeiss.pdf</x:v>
      </x:c>
      <x:c r="Y2605" s="24" t="str">
        <x:v>alta</x:v>
      </x:c>
      <x:c r="Z2605" s="24"/>
      <x:c r="AA2605" s="24" t="str">
        <x:v>ZEISS|Progressiva|Surfaçada|Light 2 3Dv||1.67|1.67|DuraVision Platinum UV|-10.00 a +6.00|-6.00|0.75 a 3.00|70|||43</x:v>
      </x:c>
    </x:row>
    <x:row r="2606">
      <x:c r="A2606" s="24" t="str">
        <x:v>ZS-9873B760102D</x:v>
      </x:c>
      <x:c r="B2606" s="24" t="str">
        <x:v>SIM</x:v>
      </x:c>
      <x:c r="C2606" s="24" t="str">
        <x:v>DISPONÍVEL</x:v>
      </x:c>
      <x:c r="D2606" s="24" t="str">
        <x:v>ZEISS</x:v>
      </x:c>
      <x:c r="E2606" s="24" t="str">
        <x:v>Progressiva</x:v>
      </x:c>
      <x:c r="F2606" s="24" t="str">
        <x:v>Surfaçada</x:v>
      </x:c>
      <x:c r="G2606" s="24" t="str">
        <x:v>Light 2 3Dv</x:v>
      </x:c>
      <x:c r="H2606" s="24"/>
      <x:c r="I2606" s="24" t="str">
        <x:v>1.67</x:v>
      </x:c>
      <x:c r="J2606" s="24" t="str">
        <x:v>1.67</x:v>
      </x:c>
      <x:c r="K2606" s="24" t="str">
        <x:v>DuraVision Silver UV</x:v>
      </x:c>
      <x:c r="L2606" s="40" t="n">
        <x:v>5569</x:v>
      </x:c>
      <x:c r="M2606" s="24" t="str">
        <x:v>-10.00 a +6.00</x:v>
      </x:c>
      <x:c r="N2606" s="24" t="str">
        <x:v>-6.00</x:v>
      </x:c>
      <x:c r="O2606" s="24" t="str">
        <x:v>0.75 a 3.00</x:v>
      </x:c>
      <x:c r="P2606" s="24" t="str">
        <x:v>70</x:v>
      </x:c>
      <x:c r="Q2606" s="24"/>
      <x:c r="R2606" s="24"/>
      <x:c r="S2606" s="26" t="n">
        <x:v>46113</x:v>
      </x:c>
      <x:c r="T2606" s="26"/>
      <x:c r="U2606" s="24" t="str">
        <x:v>ATIVA/SEM FIM INFORMADO</x:v>
      </x:c>
      <x:c r="V2606" s="24"/>
      <x:c r="W2606" s="24" t="n">
        <x:v>43</x:v>
      </x:c>
      <x:c r="X2606" s="24" t="str">
        <x:v>tabela_zeiss.pdf</x:v>
      </x:c>
      <x:c r="Y2606" s="24" t="str">
        <x:v>alta</x:v>
      </x:c>
      <x:c r="Z2606" s="24"/>
      <x:c r="AA2606" s="24" t="str">
        <x:v>ZEISS|Progressiva|Surfaçada|Light 2 3Dv||1.67|1.67|DuraVision Silver UV|-10.00 a +6.00|-6.00|0.75 a 3.00|70|||43</x:v>
      </x:c>
    </x:row>
    <x:row r="2607">
      <x:c r="A2607" s="24" t="str">
        <x:v>ZS-62B9D49CFC08</x:v>
      </x:c>
      <x:c r="B2607" s="24" t="str">
        <x:v>SIM</x:v>
      </x:c>
      <x:c r="C2607" s="24" t="str">
        <x:v>DISPONÍVEL</x:v>
      </x:c>
      <x:c r="D2607" s="24" t="str">
        <x:v>ZEISS</x:v>
      </x:c>
      <x:c r="E2607" s="24" t="str">
        <x:v>Progressiva</x:v>
      </x:c>
      <x:c r="F2607" s="24" t="str">
        <x:v>Surfaçada</x:v>
      </x:c>
      <x:c r="G2607" s="24" t="str">
        <x:v>Light 2 3Dv</x:v>
      </x:c>
      <x:c r="H2607" s="24"/>
      <x:c r="I2607" s="24" t="str">
        <x:v>1.67</x:v>
      </x:c>
      <x:c r="J2607" s="24" t="str">
        <x:v>1.67</x:v>
      </x:c>
      <x:c r="K2607" s="24" t="str">
        <x:v>DuraVision Chrome UV</x:v>
      </x:c>
      <x:c r="L2607" s="40" t="n">
        <x:v>5079</x:v>
      </x:c>
      <x:c r="M2607" s="24" t="str">
        <x:v>-10.00 a +6.00</x:v>
      </x:c>
      <x:c r="N2607" s="24" t="str">
        <x:v>-6.00</x:v>
      </x:c>
      <x:c r="O2607" s="24" t="str">
        <x:v>0.75 a 3.00</x:v>
      </x:c>
      <x:c r="P2607" s="24" t="str">
        <x:v>70</x:v>
      </x:c>
      <x:c r="Q2607" s="24"/>
      <x:c r="R2607" s="24"/>
      <x:c r="S2607" s="26" t="n">
        <x:v>46113</x:v>
      </x:c>
      <x:c r="T2607" s="26"/>
      <x:c r="U2607" s="24" t="str">
        <x:v>ATIVA/SEM FIM INFORMADO</x:v>
      </x:c>
      <x:c r="V2607" s="24"/>
      <x:c r="W2607" s="24" t="n">
        <x:v>43</x:v>
      </x:c>
      <x:c r="X2607" s="24" t="str">
        <x:v>tabela_zeiss.pdf</x:v>
      </x:c>
      <x:c r="Y2607" s="24" t="str">
        <x:v>alta</x:v>
      </x:c>
      <x:c r="Z2607" s="24"/>
      <x:c r="AA2607" s="24" t="str">
        <x:v>ZEISS|Progressiva|Surfaçada|Light 2 3Dv||1.67|1.67|DuraVision Chrome UV|-10.00 a +6.00|-6.00|0.75 a 3.00|70|||43</x:v>
      </x:c>
    </x:row>
    <x:row r="2608">
      <x:c r="A2608" s="24" t="str">
        <x:v>ZS-A7A770D18EB3</x:v>
      </x:c>
      <x:c r="B2608" s="24" t="str">
        <x:v>SIM</x:v>
      </x:c>
      <x:c r="C2608" s="24" t="str">
        <x:v>DISPONÍVEL</x:v>
      </x:c>
      <x:c r="D2608" s="24" t="str">
        <x:v>ZEISS</x:v>
      </x:c>
      <x:c r="E2608" s="24" t="str">
        <x:v>Progressiva</x:v>
      </x:c>
      <x:c r="F2608" s="24" t="str">
        <x:v>Surfaçada</x:v>
      </x:c>
      <x:c r="G2608" s="24" t="str">
        <x:v>Light 2 3Dv</x:v>
      </x:c>
      <x:c r="H2608" s="24"/>
      <x:c r="I2608" s="24" t="str">
        <x:v>1.74</x:v>
      </x:c>
      <x:c r="J2608" s="24" t="str">
        <x:v>1.74</x:v>
      </x:c>
      <x:c r="K2608" s="24" t="str">
        <x:v>DuraVision Gold UV</x:v>
      </x:c>
      <x:c r="L2608" s="40" t="n">
        <x:v>6279</x:v>
      </x:c>
      <x:c r="M2608" s="24" t="str">
        <x:v>-10.00 a +7.00</x:v>
      </x:c>
      <x:c r="N2608" s="24" t="str">
        <x:v>-4.00</x:v>
      </x:c>
      <x:c r="O2608" s="24" t="str">
        <x:v>0.75 a 3.50</x:v>
      </x:c>
      <x:c r="P2608" s="24" t="str">
        <x:v>70 a 75</x:v>
      </x:c>
      <x:c r="Q2608" s="24"/>
      <x:c r="R2608" s="24"/>
      <x:c r="S2608" s="26" t="n">
        <x:v>46113</x:v>
      </x:c>
      <x:c r="T2608" s="26"/>
      <x:c r="U2608" s="24" t="str">
        <x:v>ATIVA/SEM FIM INFORMADO</x:v>
      </x:c>
      <x:c r="V2608" s="24"/>
      <x:c r="W2608" s="24" t="n">
        <x:v>43</x:v>
      </x:c>
      <x:c r="X2608" s="24" t="str">
        <x:v>tabela_zeiss.pdf</x:v>
      </x:c>
      <x:c r="Y2608" s="24" t="str">
        <x:v>alta</x:v>
      </x:c>
      <x:c r="Z2608" s="24"/>
      <x:c r="AA2608" s="24" t="str">
        <x:v>ZEISS|Progressiva|Surfaçada|Light 2 3Dv||1.74|1.74|DuraVision Gold UV|-10.00 a +7.00|-4.00|0.75 a 3.50|70 a 75|||43</x:v>
      </x:c>
    </x:row>
    <x:row r="2609">
      <x:c r="A2609" s="24" t="str">
        <x:v>ZS-070363696B8B</x:v>
      </x:c>
      <x:c r="B2609" s="24" t="str">
        <x:v>SIM</x:v>
      </x:c>
      <x:c r="C2609" s="24" t="str">
        <x:v>DISPONÍVEL</x:v>
      </x:c>
      <x:c r="D2609" s="24" t="str">
        <x:v>ZEISS</x:v>
      </x:c>
      <x:c r="E2609" s="24" t="str">
        <x:v>Progressiva</x:v>
      </x:c>
      <x:c r="F2609" s="24" t="str">
        <x:v>Surfaçada</x:v>
      </x:c>
      <x:c r="G2609" s="24" t="str">
        <x:v>Light 2 3Dv</x:v>
      </x:c>
      <x:c r="H2609" s="24"/>
      <x:c r="I2609" s="24" t="str">
        <x:v>1.74</x:v>
      </x:c>
      <x:c r="J2609" s="24" t="str">
        <x:v>1.74</x:v>
      </x:c>
      <x:c r="K2609" s="24" t="str">
        <x:v>DuraVision Platinum UV</x:v>
      </x:c>
      <x:c r="L2609" s="40" t="n">
        <x:v>6139</x:v>
      </x:c>
      <x:c r="M2609" s="24" t="str">
        <x:v>-10.00 a +7.00</x:v>
      </x:c>
      <x:c r="N2609" s="24" t="str">
        <x:v>-4.00</x:v>
      </x:c>
      <x:c r="O2609" s="24" t="str">
        <x:v>0.75 a 3.50</x:v>
      </x:c>
      <x:c r="P2609" s="24" t="str">
        <x:v>70 a 75</x:v>
      </x:c>
      <x:c r="Q2609" s="24"/>
      <x:c r="R2609" s="24"/>
      <x:c r="S2609" s="26" t="n">
        <x:v>46113</x:v>
      </x:c>
      <x:c r="T2609" s="26"/>
      <x:c r="U2609" s="24" t="str">
        <x:v>ATIVA/SEM FIM INFORMADO</x:v>
      </x:c>
      <x:c r="V2609" s="24"/>
      <x:c r="W2609" s="24" t="n">
        <x:v>43</x:v>
      </x:c>
      <x:c r="X2609" s="24" t="str">
        <x:v>tabela_zeiss.pdf</x:v>
      </x:c>
      <x:c r="Y2609" s="24" t="str">
        <x:v>alta</x:v>
      </x:c>
      <x:c r="Z2609" s="24"/>
      <x:c r="AA2609" s="24" t="str">
        <x:v>ZEISS|Progressiva|Surfaçada|Light 2 3Dv||1.74|1.74|DuraVision Platinum UV|-10.00 a +7.00|-4.00|0.75 a 3.50|70 a 75|||43</x:v>
      </x:c>
    </x:row>
    <x:row r="2610">
      <x:c r="A2610" s="24" t="str">
        <x:v>ZS-F242CF13E3C5</x:v>
      </x:c>
      <x:c r="B2610" s="24" t="str">
        <x:v>SIM</x:v>
      </x:c>
      <x:c r="C2610" s="24" t="str">
        <x:v>DISPONÍVEL</x:v>
      </x:c>
      <x:c r="D2610" s="24" t="str">
        <x:v>ZEISS</x:v>
      </x:c>
      <x:c r="E2610" s="24" t="str">
        <x:v>Progressiva</x:v>
      </x:c>
      <x:c r="F2610" s="24" t="str">
        <x:v>Surfaçada</x:v>
      </x:c>
      <x:c r="G2610" s="24" t="str">
        <x:v>Light 2 3Dv</x:v>
      </x:c>
      <x:c r="H2610" s="24"/>
      <x:c r="I2610" s="24" t="str">
        <x:v>1.74</x:v>
      </x:c>
      <x:c r="J2610" s="24" t="str">
        <x:v>1.74</x:v>
      </x:c>
      <x:c r="K2610" s="24" t="str">
        <x:v>DuraVision Silver UV</x:v>
      </x:c>
      <x:c r="L2610" s="40" t="n">
        <x:v>5879</x:v>
      </x:c>
      <x:c r="M2610" s="24" t="str">
        <x:v>-10.00 a +7.00</x:v>
      </x:c>
      <x:c r="N2610" s="24" t="str">
        <x:v>-4.00</x:v>
      </x:c>
      <x:c r="O2610" s="24" t="str">
        <x:v>0.75 a 3.50</x:v>
      </x:c>
      <x:c r="P2610" s="24" t="str">
        <x:v>70 a 75</x:v>
      </x:c>
      <x:c r="Q2610" s="24"/>
      <x:c r="R2610" s="24"/>
      <x:c r="S2610" s="26" t="n">
        <x:v>46113</x:v>
      </x:c>
      <x:c r="T2610" s="26"/>
      <x:c r="U2610" s="24" t="str">
        <x:v>ATIVA/SEM FIM INFORMADO</x:v>
      </x:c>
      <x:c r="V2610" s="24"/>
      <x:c r="W2610" s="24" t="n">
        <x:v>43</x:v>
      </x:c>
      <x:c r="X2610" s="24" t="str">
        <x:v>tabela_zeiss.pdf</x:v>
      </x:c>
      <x:c r="Y2610" s="24" t="str">
        <x:v>alta</x:v>
      </x:c>
      <x:c r="Z2610" s="24"/>
      <x:c r="AA2610" s="24" t="str">
        <x:v>ZEISS|Progressiva|Surfaçada|Light 2 3Dv||1.74|1.74|DuraVision Silver UV|-10.00 a +7.00|-4.00|0.75 a 3.50|70 a 75|||43</x:v>
      </x:c>
    </x:row>
    <x:row r="2611">
      <x:c r="A2611" s="24" t="str">
        <x:v>ZS-16B2D6618A40</x:v>
      </x:c>
      <x:c r="B2611" s="24" t="str">
        <x:v>SIM</x:v>
      </x:c>
      <x:c r="C2611" s="24" t="str">
        <x:v>DISPONÍVEL</x:v>
      </x:c>
      <x:c r="D2611" s="24" t="str">
        <x:v>ZEISS</x:v>
      </x:c>
      <x:c r="E2611" s="24" t="str">
        <x:v>Progressiva</x:v>
      </x:c>
      <x:c r="F2611" s="24" t="str">
        <x:v>Surfaçada</x:v>
      </x:c>
      <x:c r="G2611" s="24" t="str">
        <x:v>Light 2 3Dv</x:v>
      </x:c>
      <x:c r="H2611" s="24"/>
      <x:c r="I2611" s="24" t="str">
        <x:v>1.74</x:v>
      </x:c>
      <x:c r="J2611" s="24" t="str">
        <x:v>1.74</x:v>
      </x:c>
      <x:c r="K2611" s="24" t="str">
        <x:v>DuraVision Chrome UV</x:v>
      </x:c>
      <x:c r="L2611" s="40" t="n">
        <x:v>5389</x:v>
      </x:c>
      <x:c r="M2611" s="24" t="str">
        <x:v>-10.00 a +7.00</x:v>
      </x:c>
      <x:c r="N2611" s="24" t="str">
        <x:v>-4.00</x:v>
      </x:c>
      <x:c r="O2611" s="24" t="str">
        <x:v>0.75 a 3.50</x:v>
      </x:c>
      <x:c r="P2611" s="24" t="str">
        <x:v>70 a 75</x:v>
      </x:c>
      <x:c r="Q2611" s="24"/>
      <x:c r="R2611" s="24"/>
      <x:c r="S2611" s="26" t="n">
        <x:v>46113</x:v>
      </x:c>
      <x:c r="T2611" s="26"/>
      <x:c r="U2611" s="24" t="str">
        <x:v>ATIVA/SEM FIM INFORMADO</x:v>
      </x:c>
      <x:c r="V2611" s="24"/>
      <x:c r="W2611" s="24" t="n">
        <x:v>43</x:v>
      </x:c>
      <x:c r="X2611" s="24" t="str">
        <x:v>tabela_zeiss.pdf</x:v>
      </x:c>
      <x:c r="Y2611" s="24" t="str">
        <x:v>alta</x:v>
      </x:c>
      <x:c r="Z2611" s="24"/>
      <x:c r="AA2611" s="24" t="str">
        <x:v>ZEISS|Progressiva|Surfaçada|Light 2 3Dv||1.74|1.74|DuraVision Chrome UV|-10.00 a +7.00|-4.00|0.75 a 3.50|70 a 75|||43</x:v>
      </x:c>
    </x:row>
    <x:row r="2612">
      <x:c r="A2612" s="24" t="str">
        <x:v>ZS-3A5F7282416E</x:v>
      </x:c>
      <x:c r="B2612" s="24" t="str">
        <x:v>SIM</x:v>
      </x:c>
      <x:c r="C2612" s="24" t="str">
        <x:v>DISPONÍVEL</x:v>
      </x:c>
      <x:c r="D2612" s="24" t="str">
        <x:v>ZEISS</x:v>
      </x:c>
      <x:c r="E2612" s="24" t="str">
        <x:v>Progressiva</x:v>
      </x:c>
      <x:c r="F2612" s="24" t="str">
        <x:v>Surfaçada</x:v>
      </x:c>
      <x:c r="G2612" s="24" t="str">
        <x:v>Light 2 3Dv</x:v>
      </x:c>
      <x:c r="H2612" s="24" t="str">
        <x:v>PhotoFusion X</x:v>
      </x:c>
      <x:c r="I2612" s="24" t="str">
        <x:v>1.5</x:v>
      </x:c>
      <x:c r="J2612" s="24" t="str">
        <x:v>1.50</x:v>
      </x:c>
      <x:c r="K2612" s="24" t="str">
        <x:v>DuraVision Gold UV</x:v>
      </x:c>
      <x:c r="L2612" s="40" t="n">
        <x:v>5509</x:v>
      </x:c>
      <x:c r="M2612" s="24" t="str">
        <x:v>-6.00 a +5.00</x:v>
      </x:c>
      <x:c r="N2612" s="24" t="str">
        <x:v>-4.00</x:v>
      </x:c>
      <x:c r="O2612" s="24" t="str">
        <x:v>0.75 a 3.00</x:v>
      </x:c>
      <x:c r="P2612" s="24" t="str">
        <x:v>75</x:v>
      </x:c>
      <x:c r="Q2612" s="24"/>
      <x:c r="R2612" s="24"/>
      <x:c r="S2612" s="26" t="n">
        <x:v>46113</x:v>
      </x:c>
      <x:c r="T2612" s="26"/>
      <x:c r="U2612" s="24" t="str">
        <x:v>ATIVA/SEM FIM INFORMADO</x:v>
      </x:c>
      <x:c r="V2612" s="24" t="str">
        <x:v>Programa de Parcerias ZEISS</x:v>
      </x:c>
      <x:c r="W2612" s="24" t="n">
        <x:v>43</x:v>
      </x:c>
      <x:c r="X2612" s="24" t="str">
        <x:v>tabela_zeiss.pdf</x:v>
      </x:c>
      <x:c r="Y2612" s="24" t="str">
        <x:v>alta</x:v>
      </x:c>
      <x:c r="Z2612" s="24"/>
      <x:c r="AA2612" s="24" t="str">
        <x:v>ZEISS|Progressiva|Surfaçada|Light 2 3Dv|PhotoFusion X|1.5|1.50|DuraVision Gold UV|-6.00 a +5.00|-4.00|0.75 a 3.00|75|||43</x:v>
      </x:c>
    </x:row>
    <x:row r="2613">
      <x:c r="A2613" s="24" t="str">
        <x:v>ZS-2CB5E013CF01</x:v>
      </x:c>
      <x:c r="B2613" s="24" t="str">
        <x:v>SIM</x:v>
      </x:c>
      <x:c r="C2613" s="24" t="str">
        <x:v>DISPONÍVEL</x:v>
      </x:c>
      <x:c r="D2613" s="24" t="str">
        <x:v>ZEISS</x:v>
      </x:c>
      <x:c r="E2613" s="24" t="str">
        <x:v>Progressiva</x:v>
      </x:c>
      <x:c r="F2613" s="24" t="str">
        <x:v>Surfaçada</x:v>
      </x:c>
      <x:c r="G2613" s="24" t="str">
        <x:v>Light 2 3Dv</x:v>
      </x:c>
      <x:c r="H2613" s="24" t="str">
        <x:v>PhotoFusion X</x:v>
      </x:c>
      <x:c r="I2613" s="24" t="str">
        <x:v>1.5</x:v>
      </x:c>
      <x:c r="J2613" s="24" t="str">
        <x:v>1.50</x:v>
      </x:c>
      <x:c r="K2613" s="24" t="str">
        <x:v>DURAVISION® ANTIVÍRUS PLATINUM UV</x:v>
      </x:c>
      <x:c r="L2613" s="40" t="n">
        <x:v>5369</x:v>
      </x:c>
      <x:c r="M2613" s="24" t="str">
        <x:v>-6.00 a +5.00</x:v>
      </x:c>
      <x:c r="N2613" s="24" t="str">
        <x:v>-4.00</x:v>
      </x:c>
      <x:c r="O2613" s="24" t="str">
        <x:v>0.75 a 3.00</x:v>
      </x:c>
      <x:c r="P2613" s="24" t="str">
        <x:v>75</x:v>
      </x:c>
      <x:c r="Q2613" s="24"/>
      <x:c r="R2613" s="24"/>
      <x:c r="S2613" s="26" t="n">
        <x:v>46113</x:v>
      </x:c>
      <x:c r="T2613" s="26"/>
      <x:c r="U2613" s="24" t="str">
        <x:v>ATIVA/SEM FIM INFORMADO</x:v>
      </x:c>
      <x:c r="V2613" s="24" t="str">
        <x:v>Programa de Parcerias ZEISS</x:v>
      </x:c>
      <x:c r="W2613" s="24" t="n">
        <x:v>43</x:v>
      </x:c>
      <x:c r="X2613" s="24" t="str">
        <x:v>tabela_zeiss.pdf</x:v>
      </x:c>
      <x:c r="Y2613" s="24" t="str">
        <x:v>alta</x:v>
      </x:c>
      <x:c r="Z2613" s="24"/>
      <x:c r="AA2613" s="24" t="str">
        <x:v>ZEISS|Progressiva|Surfaçada|Light 2 3Dv|PhotoFusion X|1.5|1.50|DURAVISION® ANTIVÍRUS PLATINUM UV|-6.00 a +5.00|-4.00|0.75 a 3.00|75|||43</x:v>
      </x:c>
    </x:row>
    <x:row r="2614">
      <x:c r="A2614" s="24" t="str">
        <x:v>ZS-520A8CD36762</x:v>
      </x:c>
      <x:c r="B2614" s="24" t="str">
        <x:v>SIM</x:v>
      </x:c>
      <x:c r="C2614" s="24" t="str">
        <x:v>DISPONÍVEL</x:v>
      </x:c>
      <x:c r="D2614" s="24" t="str">
        <x:v>ZEISS</x:v>
      </x:c>
      <x:c r="E2614" s="24" t="str">
        <x:v>Progressiva</x:v>
      </x:c>
      <x:c r="F2614" s="24" t="str">
        <x:v>Surfaçada</x:v>
      </x:c>
      <x:c r="G2614" s="24" t="str">
        <x:v>Light 2 3Dv</x:v>
      </x:c>
      <x:c r="H2614" s="24" t="str">
        <x:v>PhotoFusion X</x:v>
      </x:c>
      <x:c r="I2614" s="24" t="str">
        <x:v>1.5</x:v>
      </x:c>
      <x:c r="J2614" s="24" t="str">
        <x:v>1.50</x:v>
      </x:c>
      <x:c r="K2614" s="24" t="str">
        <x:v>DuraVision Platinum UV</x:v>
      </x:c>
      <x:c r="L2614" s="40" t="n">
        <x:v>5369</x:v>
      </x:c>
      <x:c r="M2614" s="24" t="str">
        <x:v>-6.00 a +5.00</x:v>
      </x:c>
      <x:c r="N2614" s="24" t="str">
        <x:v>-4.00</x:v>
      </x:c>
      <x:c r="O2614" s="24" t="str">
        <x:v>0.75 a 3.00</x:v>
      </x:c>
      <x:c r="P2614" s="24" t="str">
        <x:v>75</x:v>
      </x:c>
      <x:c r="Q2614" s="24"/>
      <x:c r="R2614" s="24"/>
      <x:c r="S2614" s="26" t="n">
        <x:v>46113</x:v>
      </x:c>
      <x:c r="T2614" s="26"/>
      <x:c r="U2614" s="24" t="str">
        <x:v>ATIVA/SEM FIM INFORMADO</x:v>
      </x:c>
      <x:c r="V2614" s="24" t="str">
        <x:v>Programa de Parcerias ZEISS</x:v>
      </x:c>
      <x:c r="W2614" s="24" t="n">
        <x:v>43</x:v>
      </x:c>
      <x:c r="X2614" s="24" t="str">
        <x:v>tabela_zeiss.pdf</x:v>
      </x:c>
      <x:c r="Y2614" s="24" t="str">
        <x:v>alta</x:v>
      </x:c>
      <x:c r="Z2614" s="24"/>
      <x:c r="AA2614" s="24" t="str">
        <x:v>ZEISS|Progressiva|Surfaçada|Light 2 3Dv|PhotoFusion X|1.5|1.50|DuraVision Platinum UV|-6.00 a +5.00|-4.00|0.75 a 3.00|75|||43</x:v>
      </x:c>
    </x:row>
    <x:row r="2615">
      <x:c r="A2615" s="24" t="str">
        <x:v>ZS-FCF2E01A8EC4</x:v>
      </x:c>
      <x:c r="B2615" s="24" t="str">
        <x:v>SIM</x:v>
      </x:c>
      <x:c r="C2615" s="24" t="str">
        <x:v>DISPONÍVEL</x:v>
      </x:c>
      <x:c r="D2615" s="24" t="str">
        <x:v>ZEISS</x:v>
      </x:c>
      <x:c r="E2615" s="24" t="str">
        <x:v>Progressiva</x:v>
      </x:c>
      <x:c r="F2615" s="24" t="str">
        <x:v>Surfaçada</x:v>
      </x:c>
      <x:c r="G2615" s="24" t="str">
        <x:v>Light 2 3Dv</x:v>
      </x:c>
      <x:c r="H2615" s="24" t="str">
        <x:v>PhotoFusion X</x:v>
      </x:c>
      <x:c r="I2615" s="24" t="str">
        <x:v>1.5</x:v>
      </x:c>
      <x:c r="J2615" s="24" t="str">
        <x:v>1.50</x:v>
      </x:c>
      <x:c r="K2615" s="24" t="str">
        <x:v>DuraVision Silver UV</x:v>
      </x:c>
      <x:c r="L2615" s="40" t="n">
        <x:v>5109</x:v>
      </x:c>
      <x:c r="M2615" s="24" t="str">
        <x:v>-6.00 a +5.00</x:v>
      </x:c>
      <x:c r="N2615" s="24" t="str">
        <x:v>-4.00</x:v>
      </x:c>
      <x:c r="O2615" s="24" t="str">
        <x:v>0.75 a 3.00</x:v>
      </x:c>
      <x:c r="P2615" s="24" t="str">
        <x:v>75</x:v>
      </x:c>
      <x:c r="Q2615" s="24"/>
      <x:c r="R2615" s="24"/>
      <x:c r="S2615" s="26" t="n">
        <x:v>46113</x:v>
      </x:c>
      <x:c r="T2615" s="26"/>
      <x:c r="U2615" s="24" t="str">
        <x:v>ATIVA/SEM FIM INFORMADO</x:v>
      </x:c>
      <x:c r="V2615" s="24" t="str">
        <x:v>Programa de Parcerias ZEISS</x:v>
      </x:c>
      <x:c r="W2615" s="24" t="n">
        <x:v>43</x:v>
      </x:c>
      <x:c r="X2615" s="24" t="str">
        <x:v>tabela_zeiss.pdf</x:v>
      </x:c>
      <x:c r="Y2615" s="24" t="str">
        <x:v>alta</x:v>
      </x:c>
      <x:c r="Z2615" s="24"/>
      <x:c r="AA2615" s="24" t="str">
        <x:v>ZEISS|Progressiva|Surfaçada|Light 2 3Dv|PhotoFusion X|1.5|1.50|DuraVision Silver UV|-6.00 a +5.00|-4.00|0.75 a 3.00|75|||43</x:v>
      </x:c>
    </x:row>
    <x:row r="2616">
      <x:c r="A2616" s="24" t="str">
        <x:v>ZS-45D6A9411367</x:v>
      </x:c>
      <x:c r="B2616" s="24" t="str">
        <x:v>SIM</x:v>
      </x:c>
      <x:c r="C2616" s="24" t="str">
        <x:v>DISPONÍVEL</x:v>
      </x:c>
      <x:c r="D2616" s="24" t="str">
        <x:v>ZEISS</x:v>
      </x:c>
      <x:c r="E2616" s="24" t="str">
        <x:v>Progressiva</x:v>
      </x:c>
      <x:c r="F2616" s="24" t="str">
        <x:v>Surfaçada</x:v>
      </x:c>
      <x:c r="G2616" s="24" t="str">
        <x:v>Light 2 3Dv</x:v>
      </x:c>
      <x:c r="H2616" s="24" t="str">
        <x:v>PhotoFusion X</x:v>
      </x:c>
      <x:c r="I2616" s="24" t="str">
        <x:v>1.5</x:v>
      </x:c>
      <x:c r="J2616" s="24" t="str">
        <x:v>1.50</x:v>
      </x:c>
      <x:c r="K2616" s="24" t="str">
        <x:v>DuraVision Chrome UV</x:v>
      </x:c>
      <x:c r="L2616" s="40" t="n">
        <x:v>4619</x:v>
      </x:c>
      <x:c r="M2616" s="24" t="str">
        <x:v>-6.00 a +5.00</x:v>
      </x:c>
      <x:c r="N2616" s="24" t="str">
        <x:v>-4.00</x:v>
      </x:c>
      <x:c r="O2616" s="24" t="str">
        <x:v>0.75 a 3.00</x:v>
      </x:c>
      <x:c r="P2616" s="24" t="str">
        <x:v>75</x:v>
      </x:c>
      <x:c r="Q2616" s="24"/>
      <x:c r="R2616" s="24"/>
      <x:c r="S2616" s="26" t="n">
        <x:v>46113</x:v>
      </x:c>
      <x:c r="T2616" s="26"/>
      <x:c r="U2616" s="24" t="str">
        <x:v>ATIVA/SEM FIM INFORMADO</x:v>
      </x:c>
      <x:c r="V2616" s="24" t="str">
        <x:v>Programa de Parcerias ZEISS</x:v>
      </x:c>
      <x:c r="W2616" s="24" t="n">
        <x:v>43</x:v>
      </x:c>
      <x:c r="X2616" s="24" t="str">
        <x:v>tabela_zeiss.pdf</x:v>
      </x:c>
      <x:c r="Y2616" s="24" t="str">
        <x:v>alta</x:v>
      </x:c>
      <x:c r="Z2616" s="24"/>
      <x:c r="AA2616" s="24" t="str">
        <x:v>ZEISS|Progressiva|Surfaçada|Light 2 3Dv|PhotoFusion X|1.5|1.50|DuraVision Chrome UV|-6.00 a +5.00|-4.00|0.75 a 3.00|75|||43</x:v>
      </x:c>
    </x:row>
    <x:row r="2617">
      <x:c r="A2617" s="24" t="str">
        <x:v>ZS-EBA42AB616C3</x:v>
      </x:c>
      <x:c r="B2617" s="24" t="str">
        <x:v>SIM</x:v>
      </x:c>
      <x:c r="C2617" s="24" t="str">
        <x:v>DISPONÍVEL</x:v>
      </x:c>
      <x:c r="D2617" s="24" t="str">
        <x:v>ZEISS</x:v>
      </x:c>
      <x:c r="E2617" s="24" t="str">
        <x:v>Progressiva</x:v>
      </x:c>
      <x:c r="F2617" s="24" t="str">
        <x:v>Surfaçada</x:v>
      </x:c>
      <x:c r="G2617" s="24" t="str">
        <x:v>Light 2 3Dv</x:v>
      </x:c>
      <x:c r="H2617" s="24" t="str">
        <x:v>PhotoFusion X</x:v>
      </x:c>
      <x:c r="I2617" s="24" t="str">
        <x:v>1.5</x:v>
      </x:c>
      <x:c r="J2617" s="24" t="str">
        <x:v>1.50</x:v>
      </x:c>
      <x:c r="K2617" s="24" t="str">
        <x:v>Sem AR</x:v>
      </x:c>
      <x:c r="L2617" s="40" t="n">
        <x:v>4219</x:v>
      </x:c>
      <x:c r="M2617" s="24" t="str">
        <x:v>-6.00 a +5.00</x:v>
      </x:c>
      <x:c r="N2617" s="24" t="str">
        <x:v>-4.00</x:v>
      </x:c>
      <x:c r="O2617" s="24" t="str">
        <x:v>0.75 a 3.00</x:v>
      </x:c>
      <x:c r="P2617" s="24" t="str">
        <x:v>75</x:v>
      </x:c>
      <x:c r="Q2617" s="24"/>
      <x:c r="R2617" s="24"/>
      <x:c r="S2617" s="26" t="n">
        <x:v>46113</x:v>
      </x:c>
      <x:c r="T2617" s="26"/>
      <x:c r="U2617" s="24" t="str">
        <x:v>ATIVA/SEM FIM INFORMADO</x:v>
      </x:c>
      <x:c r="V2617" s="24" t="str">
        <x:v>Programa de Parcerias ZEISS</x:v>
      </x:c>
      <x:c r="W2617" s="24" t="n">
        <x:v>43</x:v>
      </x:c>
      <x:c r="X2617" s="24" t="str">
        <x:v>tabela_zeiss.pdf</x:v>
      </x:c>
      <x:c r="Y2617" s="24" t="str">
        <x:v>alta</x:v>
      </x:c>
      <x:c r="Z2617" s="24"/>
      <x:c r="AA2617" s="24" t="str">
        <x:v>ZEISS|Progressiva|Surfaçada|Light 2 3Dv|PhotoFusion X|1.5|1.50|Sem AR|-6.00 a +5.00|-4.00|0.75 a 3.00|75|||43</x:v>
      </x:c>
    </x:row>
    <x:row r="2618">
      <x:c r="A2618" s="24" t="str">
        <x:v>ZS-61E29553B187</x:v>
      </x:c>
      <x:c r="B2618" s="24" t="str">
        <x:v>SIM</x:v>
      </x:c>
      <x:c r="C2618" s="24" t="str">
        <x:v>DISPONÍVEL</x:v>
      </x:c>
      <x:c r="D2618" s="24" t="str">
        <x:v>ZEISS</x:v>
      </x:c>
      <x:c r="E2618" s="24" t="str">
        <x:v>Progressiva</x:v>
      </x:c>
      <x:c r="F2618" s="24" t="str">
        <x:v>Surfaçada</x:v>
      </x:c>
      <x:c r="G2618" s="24" t="str">
        <x:v>Light 2 3Dv</x:v>
      </x:c>
      <x:c r="H2618" s="24" t="str">
        <x:v>PhotoFusion X</x:v>
      </x:c>
      <x:c r="I2618" s="24" t="str">
        <x:v>Poli</x:v>
      </x:c>
      <x:c r="J2618" s="24"/>
      <x:c r="K2618" s="24" t="str">
        <x:v>DuraVision Gold UV</x:v>
      </x:c>
      <x:c r="L2618" s="40" t="n">
        <x:v>5869</x:v>
      </x:c>
      <x:c r="M2618" s="24" t="str">
        <x:v>-10.00 a +6.00</x:v>
      </x:c>
      <x:c r="N2618" s="24" t="str">
        <x:v>-6.00</x:v>
      </x:c>
      <x:c r="O2618" s="24" t="str">
        <x:v>0.75 a 3.00</x:v>
      </x:c>
      <x:c r="P2618" s="24" t="str">
        <x:v>72</x:v>
      </x:c>
      <x:c r="Q2618" s="24"/>
      <x:c r="R2618" s="24"/>
      <x:c r="S2618" s="26" t="n">
        <x:v>46113</x:v>
      </x:c>
      <x:c r="T2618" s="26"/>
      <x:c r="U2618" s="24" t="str">
        <x:v>ATIVA/SEM FIM INFORMADO</x:v>
      </x:c>
      <x:c r="V2618" s="24" t="str">
        <x:v>Programa de Parcerias ZEISS</x:v>
      </x:c>
      <x:c r="W2618" s="24" t="n">
        <x:v>43</x:v>
      </x:c>
      <x:c r="X2618" s="24" t="str">
        <x:v>tabela_zeiss.pdf</x:v>
      </x:c>
      <x:c r="Y2618" s="24" t="str">
        <x:v>alta</x:v>
      </x:c>
      <x:c r="Z2618" s="24"/>
      <x:c r="AA2618" s="24" t="str">
        <x:v>ZEISS|Progressiva|Surfaçada|Light 2 3Dv|PhotoFusion X|Poli||DuraVision Gold UV|-10.00 a +6.00|-6.00|0.75 a 3.00|72|||43</x:v>
      </x:c>
    </x:row>
    <x:row r="2619">
      <x:c r="A2619" s="24" t="str">
        <x:v>ZS-D63AFB888B3A</x:v>
      </x:c>
      <x:c r="B2619" s="24" t="str">
        <x:v>SIM</x:v>
      </x:c>
      <x:c r="C2619" s="24" t="str">
        <x:v>DISPONÍVEL</x:v>
      </x:c>
      <x:c r="D2619" s="24" t="str">
        <x:v>ZEISS</x:v>
      </x:c>
      <x:c r="E2619" s="24" t="str">
        <x:v>Progressiva</x:v>
      </x:c>
      <x:c r="F2619" s="24" t="str">
        <x:v>Surfaçada</x:v>
      </x:c>
      <x:c r="G2619" s="24" t="str">
        <x:v>Light 2 3Dv</x:v>
      </x:c>
      <x:c r="H2619" s="24" t="str">
        <x:v>PhotoFusion X</x:v>
      </x:c>
      <x:c r="I2619" s="24" t="str">
        <x:v>Poli</x:v>
      </x:c>
      <x:c r="J2619" s="24"/>
      <x:c r="K2619" s="24" t="str">
        <x:v>DuraVision Platinum UV</x:v>
      </x:c>
      <x:c r="L2619" s="40" t="n">
        <x:v>5729</x:v>
      </x:c>
      <x:c r="M2619" s="24" t="str">
        <x:v>-10.00 a +6.00</x:v>
      </x:c>
      <x:c r="N2619" s="24" t="str">
        <x:v>-6.00</x:v>
      </x:c>
      <x:c r="O2619" s="24" t="str">
        <x:v>0.75 a 3.00</x:v>
      </x:c>
      <x:c r="P2619" s="24" t="str">
        <x:v>72</x:v>
      </x:c>
      <x:c r="Q2619" s="24"/>
      <x:c r="R2619" s="24"/>
      <x:c r="S2619" s="26" t="n">
        <x:v>46113</x:v>
      </x:c>
      <x:c r="T2619" s="26"/>
      <x:c r="U2619" s="24" t="str">
        <x:v>ATIVA/SEM FIM INFORMADO</x:v>
      </x:c>
      <x:c r="V2619" s="24" t="str">
        <x:v>Programa de Parcerias ZEISS</x:v>
      </x:c>
      <x:c r="W2619" s="24" t="n">
        <x:v>43</x:v>
      </x:c>
      <x:c r="X2619" s="24" t="str">
        <x:v>tabela_zeiss.pdf</x:v>
      </x:c>
      <x:c r="Y2619" s="24" t="str">
        <x:v>alta</x:v>
      </x:c>
      <x:c r="Z2619" s="24"/>
      <x:c r="AA2619" s="24" t="str">
        <x:v>ZEISS|Progressiva|Surfaçada|Light 2 3Dv|PhotoFusion X|Poli||DuraVision Platinum UV|-10.00 a +6.00|-6.00|0.75 a 3.00|72|||43</x:v>
      </x:c>
    </x:row>
    <x:row r="2620">
      <x:c r="A2620" s="24" t="str">
        <x:v>ZS-161682EE52E8</x:v>
      </x:c>
      <x:c r="B2620" s="24" t="str">
        <x:v>SIM</x:v>
      </x:c>
      <x:c r="C2620" s="24" t="str">
        <x:v>DISPONÍVEL</x:v>
      </x:c>
      <x:c r="D2620" s="24" t="str">
        <x:v>ZEISS</x:v>
      </x:c>
      <x:c r="E2620" s="24" t="str">
        <x:v>Progressiva</x:v>
      </x:c>
      <x:c r="F2620" s="24" t="str">
        <x:v>Surfaçada</x:v>
      </x:c>
      <x:c r="G2620" s="24" t="str">
        <x:v>Light 2 3Dv</x:v>
      </x:c>
      <x:c r="H2620" s="24" t="str">
        <x:v>PhotoFusion X</x:v>
      </x:c>
      <x:c r="I2620" s="24" t="str">
        <x:v>Poli</x:v>
      </x:c>
      <x:c r="J2620" s="24"/>
      <x:c r="K2620" s="24" t="str">
        <x:v>DuraVision Silver UV</x:v>
      </x:c>
      <x:c r="L2620" s="40" t="n">
        <x:v>5469</x:v>
      </x:c>
      <x:c r="M2620" s="24" t="str">
        <x:v>-10.00 a +6.00</x:v>
      </x:c>
      <x:c r="N2620" s="24" t="str">
        <x:v>-6.00</x:v>
      </x:c>
      <x:c r="O2620" s="24" t="str">
        <x:v>0.75 a 3.00</x:v>
      </x:c>
      <x:c r="P2620" s="24" t="str">
        <x:v>72</x:v>
      </x:c>
      <x:c r="Q2620" s="24"/>
      <x:c r="R2620" s="24"/>
      <x:c r="S2620" s="26" t="n">
        <x:v>46113</x:v>
      </x:c>
      <x:c r="T2620" s="26"/>
      <x:c r="U2620" s="24" t="str">
        <x:v>ATIVA/SEM FIM INFORMADO</x:v>
      </x:c>
      <x:c r="V2620" s="24" t="str">
        <x:v>Programa de Parcerias ZEISS</x:v>
      </x:c>
      <x:c r="W2620" s="24" t="n">
        <x:v>43</x:v>
      </x:c>
      <x:c r="X2620" s="24" t="str">
        <x:v>tabela_zeiss.pdf</x:v>
      </x:c>
      <x:c r="Y2620" s="24" t="str">
        <x:v>alta</x:v>
      </x:c>
      <x:c r="Z2620" s="24"/>
      <x:c r="AA2620" s="24" t="str">
        <x:v>ZEISS|Progressiva|Surfaçada|Light 2 3Dv|PhotoFusion X|Poli||DuraVision Silver UV|-10.00 a +6.00|-6.00|0.75 a 3.00|72|||43</x:v>
      </x:c>
    </x:row>
    <x:row r="2621">
      <x:c r="A2621" s="24" t="str">
        <x:v>ZS-13AD4908FD07</x:v>
      </x:c>
      <x:c r="B2621" s="24" t="str">
        <x:v>SIM</x:v>
      </x:c>
      <x:c r="C2621" s="24" t="str">
        <x:v>DISPONÍVEL</x:v>
      </x:c>
      <x:c r="D2621" s="24" t="str">
        <x:v>ZEISS</x:v>
      </x:c>
      <x:c r="E2621" s="24" t="str">
        <x:v>Progressiva</x:v>
      </x:c>
      <x:c r="F2621" s="24" t="str">
        <x:v>Surfaçada</x:v>
      </x:c>
      <x:c r="G2621" s="24" t="str">
        <x:v>Light 2 3Dv</x:v>
      </x:c>
      <x:c r="H2621" s="24" t="str">
        <x:v>PhotoFusion X</x:v>
      </x:c>
      <x:c r="I2621" s="24" t="str">
        <x:v>Poli</x:v>
      </x:c>
      <x:c r="J2621" s="24"/>
      <x:c r="K2621" s="24" t="str">
        <x:v>DuraVision Chrome UV</x:v>
      </x:c>
      <x:c r="L2621" s="40" t="n">
        <x:v>4979</x:v>
      </x:c>
      <x:c r="M2621" s="24" t="str">
        <x:v>-10.00 a +6.00</x:v>
      </x:c>
      <x:c r="N2621" s="24" t="str">
        <x:v>-6.00</x:v>
      </x:c>
      <x:c r="O2621" s="24" t="str">
        <x:v>0.75 a 3.00</x:v>
      </x:c>
      <x:c r="P2621" s="24" t="str">
        <x:v>72</x:v>
      </x:c>
      <x:c r="Q2621" s="24"/>
      <x:c r="R2621" s="24"/>
      <x:c r="S2621" s="26" t="n">
        <x:v>46113</x:v>
      </x:c>
      <x:c r="T2621" s="26"/>
      <x:c r="U2621" s="24" t="str">
        <x:v>ATIVA/SEM FIM INFORMADO</x:v>
      </x:c>
      <x:c r="V2621" s="24" t="str">
        <x:v>Programa de Parcerias ZEISS</x:v>
      </x:c>
      <x:c r="W2621" s="24" t="n">
        <x:v>43</x:v>
      </x:c>
      <x:c r="X2621" s="24" t="str">
        <x:v>tabela_zeiss.pdf</x:v>
      </x:c>
      <x:c r="Y2621" s="24" t="str">
        <x:v>alta</x:v>
      </x:c>
      <x:c r="Z2621" s="24"/>
      <x:c r="AA2621" s="24" t="str">
        <x:v>ZEISS|Progressiva|Surfaçada|Light 2 3Dv|PhotoFusion X|Poli||DuraVision Chrome UV|-10.00 a +6.00|-6.00|0.75 a 3.00|72|||43</x:v>
      </x:c>
    </x:row>
    <x:row r="2622">
      <x:c r="A2622" s="24" t="str">
        <x:v>ZS-D83D4B955A85</x:v>
      </x:c>
      <x:c r="B2622" s="24" t="str">
        <x:v>SIM</x:v>
      </x:c>
      <x:c r="C2622" s="24" t="str">
        <x:v>DISPONÍVEL</x:v>
      </x:c>
      <x:c r="D2622" s="24" t="str">
        <x:v>ZEISS</x:v>
      </x:c>
      <x:c r="E2622" s="24" t="str">
        <x:v>Progressiva</x:v>
      </x:c>
      <x:c r="F2622" s="24" t="str">
        <x:v>Surfaçada</x:v>
      </x:c>
      <x:c r="G2622" s="24" t="str">
        <x:v>Light 2 3Dv</x:v>
      </x:c>
      <x:c r="H2622" s="24" t="str">
        <x:v>PhotoFusion X</x:v>
      </x:c>
      <x:c r="I2622" s="24" t="str">
        <x:v>Poli</x:v>
      </x:c>
      <x:c r="J2622" s="24"/>
      <x:c r="K2622" s="24" t="str">
        <x:v>Sem AR</x:v>
      </x:c>
      <x:c r="L2622" s="40" t="n">
        <x:v>4579</x:v>
      </x:c>
      <x:c r="M2622" s="24" t="str">
        <x:v>-10.00 a +6.00</x:v>
      </x:c>
      <x:c r="N2622" s="24" t="str">
        <x:v>-6.00</x:v>
      </x:c>
      <x:c r="O2622" s="24" t="str">
        <x:v>0.75 a 3.00</x:v>
      </x:c>
      <x:c r="P2622" s="24" t="str">
        <x:v>72</x:v>
      </x:c>
      <x:c r="Q2622" s="24"/>
      <x:c r="R2622" s="24"/>
      <x:c r="S2622" s="26" t="n">
        <x:v>46113</x:v>
      </x:c>
      <x:c r="T2622" s="26"/>
      <x:c r="U2622" s="24" t="str">
        <x:v>ATIVA/SEM FIM INFORMADO</x:v>
      </x:c>
      <x:c r="V2622" s="24" t="str">
        <x:v>Programa de Parcerias ZEISS</x:v>
      </x:c>
      <x:c r="W2622" s="24" t="n">
        <x:v>43</x:v>
      </x:c>
      <x:c r="X2622" s="24" t="str">
        <x:v>tabela_zeiss.pdf</x:v>
      </x:c>
      <x:c r="Y2622" s="24" t="str">
        <x:v>alta</x:v>
      </x:c>
      <x:c r="Z2622" s="24"/>
      <x:c r="AA2622" s="24" t="str">
        <x:v>ZEISS|Progressiva|Surfaçada|Light 2 3Dv|PhotoFusion X|Poli||Sem AR|-10.00 a +6.00|-6.00|0.75 a 3.00|72|||43</x:v>
      </x:c>
    </x:row>
    <x:row r="2623">
      <x:c r="A2623" s="24" t="str">
        <x:v>ZS-6AFC93D61A40</x:v>
      </x:c>
      <x:c r="B2623" s="24" t="str">
        <x:v>SIM</x:v>
      </x:c>
      <x:c r="C2623" s="24" t="str">
        <x:v>DISPONÍVEL</x:v>
      </x:c>
      <x:c r="D2623" s="24" t="str">
        <x:v>ZEISS</x:v>
      </x:c>
      <x:c r="E2623" s="24" t="str">
        <x:v>Progressiva</x:v>
      </x:c>
      <x:c r="F2623" s="24" t="str">
        <x:v>Surfaçada</x:v>
      </x:c>
      <x:c r="G2623" s="24" t="str">
        <x:v>Light 2 3Dv</x:v>
      </x:c>
      <x:c r="H2623" s="24" t="str">
        <x:v>PhotoFusion X</x:v>
      </x:c>
      <x:c r="I2623" s="24" t="str">
        <x:v>1.6</x:v>
      </x:c>
      <x:c r="J2623" s="24" t="str">
        <x:v>1.60</x:v>
      </x:c>
      <x:c r="K2623" s="24" t="str">
        <x:v>DuraVision Gold UV</x:v>
      </x:c>
      <x:c r="L2623" s="40" t="n">
        <x:v>6089</x:v>
      </x:c>
      <x:c r="M2623" s="24" t="str">
        <x:v>-7.25 a +6.00</x:v>
      </x:c>
      <x:c r="N2623" s="24" t="str">
        <x:v>-6.00</x:v>
      </x:c>
      <x:c r="O2623" s="24" t="str">
        <x:v>0.75 a 3.50</x:v>
      </x:c>
      <x:c r="P2623" s="24" t="str">
        <x:v>75</x:v>
      </x:c>
      <x:c r="Q2623" s="24"/>
      <x:c r="R2623" s="24"/>
      <x:c r="S2623" s="26" t="n">
        <x:v>46113</x:v>
      </x:c>
      <x:c r="T2623" s="26"/>
      <x:c r="U2623" s="24" t="str">
        <x:v>ATIVA/SEM FIM INFORMADO</x:v>
      </x:c>
      <x:c r="V2623" s="24" t="str">
        <x:v>Programa de Parcerias ZEISS</x:v>
      </x:c>
      <x:c r="W2623" s="24" t="n">
        <x:v>43</x:v>
      </x:c>
      <x:c r="X2623" s="24" t="str">
        <x:v>tabela_zeiss.pdf</x:v>
      </x:c>
      <x:c r="Y2623" s="24" t="str">
        <x:v>alta</x:v>
      </x:c>
      <x:c r="Z2623" s="24"/>
      <x:c r="AA2623" s="24" t="str">
        <x:v>ZEISS|Progressiva|Surfaçada|Light 2 3Dv|PhotoFusion X|1.6|1.60|DuraVision Gold UV|-7.25 a +6.00|-6.00|0.75 a 3.50|75|||43</x:v>
      </x:c>
    </x:row>
    <x:row r="2624">
      <x:c r="A2624" s="24" t="str">
        <x:v>ZS-F3A00E68B6A8</x:v>
      </x:c>
      <x:c r="B2624" s="24" t="str">
        <x:v>SIM</x:v>
      </x:c>
      <x:c r="C2624" s="24" t="str">
        <x:v>DISPONÍVEL</x:v>
      </x:c>
      <x:c r="D2624" s="24" t="str">
        <x:v>ZEISS</x:v>
      </x:c>
      <x:c r="E2624" s="24" t="str">
        <x:v>Progressiva</x:v>
      </x:c>
      <x:c r="F2624" s="24" t="str">
        <x:v>Surfaçada</x:v>
      </x:c>
      <x:c r="G2624" s="24" t="str">
        <x:v>Light 2 3Dv</x:v>
      </x:c>
      <x:c r="H2624" s="24" t="str">
        <x:v>PhotoFusion X</x:v>
      </x:c>
      <x:c r="I2624" s="24" t="str">
        <x:v>1.6</x:v>
      </x:c>
      <x:c r="J2624" s="24" t="str">
        <x:v>1.60</x:v>
      </x:c>
      <x:c r="K2624" s="24" t="str">
        <x:v>DURAVISION® ANTIVÍRUS PLATINUM UV</x:v>
      </x:c>
      <x:c r="L2624" s="40" t="n">
        <x:v>5949</x:v>
      </x:c>
      <x:c r="M2624" s="24" t="str">
        <x:v>-7.25 a +6.00</x:v>
      </x:c>
      <x:c r="N2624" s="24" t="str">
        <x:v>-6.00</x:v>
      </x:c>
      <x:c r="O2624" s="24" t="str">
        <x:v>0.75 a 3.50</x:v>
      </x:c>
      <x:c r="P2624" s="24" t="str">
        <x:v>75</x:v>
      </x:c>
      <x:c r="Q2624" s="24"/>
      <x:c r="R2624" s="24"/>
      <x:c r="S2624" s="26" t="n">
        <x:v>46113</x:v>
      </x:c>
      <x:c r="T2624" s="26"/>
      <x:c r="U2624" s="24" t="str">
        <x:v>ATIVA/SEM FIM INFORMADO</x:v>
      </x:c>
      <x:c r="V2624" s="24" t="str">
        <x:v>Programa de Parcerias ZEISS</x:v>
      </x:c>
      <x:c r="W2624" s="24" t="n">
        <x:v>43</x:v>
      </x:c>
      <x:c r="X2624" s="24" t="str">
        <x:v>tabela_zeiss.pdf</x:v>
      </x:c>
      <x:c r="Y2624" s="24" t="str">
        <x:v>alta</x:v>
      </x:c>
      <x:c r="Z2624" s="24"/>
      <x:c r="AA2624" s="24" t="str">
        <x:v>ZEISS|Progressiva|Surfaçada|Light 2 3Dv|PhotoFusion X|1.6|1.60|DURAVISION® ANTIVÍRUS PLATINUM UV|-7.25 a +6.00|-6.00|0.75 a 3.50|75|||43</x:v>
      </x:c>
    </x:row>
    <x:row r="2625">
      <x:c r="A2625" s="24" t="str">
        <x:v>ZS-2BB5B0BB6FCB</x:v>
      </x:c>
      <x:c r="B2625" s="24" t="str">
        <x:v>SIM</x:v>
      </x:c>
      <x:c r="C2625" s="24" t="str">
        <x:v>DISPONÍVEL</x:v>
      </x:c>
      <x:c r="D2625" s="24" t="str">
        <x:v>ZEISS</x:v>
      </x:c>
      <x:c r="E2625" s="24" t="str">
        <x:v>Progressiva</x:v>
      </x:c>
      <x:c r="F2625" s="24" t="str">
        <x:v>Surfaçada</x:v>
      </x:c>
      <x:c r="G2625" s="24" t="str">
        <x:v>Light 2 3Dv</x:v>
      </x:c>
      <x:c r="H2625" s="24" t="str">
        <x:v>PhotoFusion X</x:v>
      </x:c>
      <x:c r="I2625" s="24" t="str">
        <x:v>1.6</x:v>
      </x:c>
      <x:c r="J2625" s="24" t="str">
        <x:v>1.60</x:v>
      </x:c>
      <x:c r="K2625" s="24" t="str">
        <x:v>DuraVision Platinum UV</x:v>
      </x:c>
      <x:c r="L2625" s="40" t="n">
        <x:v>5949</x:v>
      </x:c>
      <x:c r="M2625" s="24" t="str">
        <x:v>-7.25 a +6.00</x:v>
      </x:c>
      <x:c r="N2625" s="24" t="str">
        <x:v>-6.00</x:v>
      </x:c>
      <x:c r="O2625" s="24" t="str">
        <x:v>0.75 a 3.50</x:v>
      </x:c>
      <x:c r="P2625" s="24" t="str">
        <x:v>75</x:v>
      </x:c>
      <x:c r="Q2625" s="24"/>
      <x:c r="R2625" s="24"/>
      <x:c r="S2625" s="26" t="n">
        <x:v>46113</x:v>
      </x:c>
      <x:c r="T2625" s="26"/>
      <x:c r="U2625" s="24" t="str">
        <x:v>ATIVA/SEM FIM INFORMADO</x:v>
      </x:c>
      <x:c r="V2625" s="24" t="str">
        <x:v>Programa de Parcerias ZEISS</x:v>
      </x:c>
      <x:c r="W2625" s="24" t="n">
        <x:v>43</x:v>
      </x:c>
      <x:c r="X2625" s="24" t="str">
        <x:v>tabela_zeiss.pdf</x:v>
      </x:c>
      <x:c r="Y2625" s="24" t="str">
        <x:v>alta</x:v>
      </x:c>
      <x:c r="Z2625" s="24"/>
      <x:c r="AA2625" s="24" t="str">
        <x:v>ZEISS|Progressiva|Surfaçada|Light 2 3Dv|PhotoFusion X|1.6|1.60|DuraVision Platinum UV|-7.25 a +6.00|-6.00|0.75 a 3.50|75|||43</x:v>
      </x:c>
    </x:row>
    <x:row r="2626">
      <x:c r="A2626" s="24" t="str">
        <x:v>ZS-0D2DF93B1150</x:v>
      </x:c>
      <x:c r="B2626" s="24" t="str">
        <x:v>SIM</x:v>
      </x:c>
      <x:c r="C2626" s="24" t="str">
        <x:v>DISPONÍVEL</x:v>
      </x:c>
      <x:c r="D2626" s="24" t="str">
        <x:v>ZEISS</x:v>
      </x:c>
      <x:c r="E2626" s="24" t="str">
        <x:v>Progressiva</x:v>
      </x:c>
      <x:c r="F2626" s="24" t="str">
        <x:v>Surfaçada</x:v>
      </x:c>
      <x:c r="G2626" s="24" t="str">
        <x:v>Light 2 3Dv</x:v>
      </x:c>
      <x:c r="H2626" s="24" t="str">
        <x:v>PhotoFusion X</x:v>
      </x:c>
      <x:c r="I2626" s="24" t="str">
        <x:v>1.6</x:v>
      </x:c>
      <x:c r="J2626" s="24" t="str">
        <x:v>1.60</x:v>
      </x:c>
      <x:c r="K2626" s="24" t="str">
        <x:v>DuraVision Silver UV</x:v>
      </x:c>
      <x:c r="L2626" s="40" t="n">
        <x:v>5689</x:v>
      </x:c>
      <x:c r="M2626" s="24" t="str">
        <x:v>-7.25 a +6.00</x:v>
      </x:c>
      <x:c r="N2626" s="24" t="str">
        <x:v>-6.00</x:v>
      </x:c>
      <x:c r="O2626" s="24" t="str">
        <x:v>0.75 a 3.50</x:v>
      </x:c>
      <x:c r="P2626" s="24" t="str">
        <x:v>75</x:v>
      </x:c>
      <x:c r="Q2626" s="24"/>
      <x:c r="R2626" s="24"/>
      <x:c r="S2626" s="26" t="n">
        <x:v>46113</x:v>
      </x:c>
      <x:c r="T2626" s="26"/>
      <x:c r="U2626" s="24" t="str">
        <x:v>ATIVA/SEM FIM INFORMADO</x:v>
      </x:c>
      <x:c r="V2626" s="24" t="str">
        <x:v>Programa de Parcerias ZEISS</x:v>
      </x:c>
      <x:c r="W2626" s="24" t="n">
        <x:v>43</x:v>
      </x:c>
      <x:c r="X2626" s="24" t="str">
        <x:v>tabela_zeiss.pdf</x:v>
      </x:c>
      <x:c r="Y2626" s="24" t="str">
        <x:v>alta</x:v>
      </x:c>
      <x:c r="Z2626" s="24"/>
      <x:c r="AA2626" s="24" t="str">
        <x:v>ZEISS|Progressiva|Surfaçada|Light 2 3Dv|PhotoFusion X|1.6|1.60|DuraVision Silver UV|-7.25 a +6.00|-6.00|0.75 a 3.50|75|||43</x:v>
      </x:c>
    </x:row>
    <x:row r="2627">
      <x:c r="A2627" s="24" t="str">
        <x:v>ZS-B43D235822F0</x:v>
      </x:c>
      <x:c r="B2627" s="24" t="str">
        <x:v>SIM</x:v>
      </x:c>
      <x:c r="C2627" s="24" t="str">
        <x:v>DISPONÍVEL</x:v>
      </x:c>
      <x:c r="D2627" s="24" t="str">
        <x:v>ZEISS</x:v>
      </x:c>
      <x:c r="E2627" s="24" t="str">
        <x:v>Progressiva</x:v>
      </x:c>
      <x:c r="F2627" s="24" t="str">
        <x:v>Surfaçada</x:v>
      </x:c>
      <x:c r="G2627" s="24" t="str">
        <x:v>Light 2 3Dv</x:v>
      </x:c>
      <x:c r="H2627" s="24" t="str">
        <x:v>PhotoFusion X</x:v>
      </x:c>
      <x:c r="I2627" s="24" t="str">
        <x:v>1.6</x:v>
      </x:c>
      <x:c r="J2627" s="24" t="str">
        <x:v>1.60</x:v>
      </x:c>
      <x:c r="K2627" s="24" t="str">
        <x:v>DuraVision Chrome UV</x:v>
      </x:c>
      <x:c r="L2627" s="40" t="n">
        <x:v>5199</x:v>
      </x:c>
      <x:c r="M2627" s="24" t="str">
        <x:v>-7.25 a +6.00</x:v>
      </x:c>
      <x:c r="N2627" s="24" t="str">
        <x:v>-6.00</x:v>
      </x:c>
      <x:c r="O2627" s="24" t="str">
        <x:v>0.75 a 3.50</x:v>
      </x:c>
      <x:c r="P2627" s="24" t="str">
        <x:v>75</x:v>
      </x:c>
      <x:c r="Q2627" s="24"/>
      <x:c r="R2627" s="24"/>
      <x:c r="S2627" s="26" t="n">
        <x:v>46113</x:v>
      </x:c>
      <x:c r="T2627" s="26"/>
      <x:c r="U2627" s="24" t="str">
        <x:v>ATIVA/SEM FIM INFORMADO</x:v>
      </x:c>
      <x:c r="V2627" s="24" t="str">
        <x:v>Programa de Parcerias ZEISS</x:v>
      </x:c>
      <x:c r="W2627" s="24" t="n">
        <x:v>43</x:v>
      </x:c>
      <x:c r="X2627" s="24" t="str">
        <x:v>tabela_zeiss.pdf</x:v>
      </x:c>
      <x:c r="Y2627" s="24" t="str">
        <x:v>alta</x:v>
      </x:c>
      <x:c r="Z2627" s="24"/>
      <x:c r="AA2627" s="24" t="str">
        <x:v>ZEISS|Progressiva|Surfaçada|Light 2 3Dv|PhotoFusion X|1.6|1.60|DuraVision Chrome UV|-7.25 a +6.00|-6.00|0.75 a 3.50|75|||43</x:v>
      </x:c>
    </x:row>
    <x:row r="2628">
      <x:c r="A2628" s="24" t="str">
        <x:v>ZS-797E8C0390EF</x:v>
      </x:c>
      <x:c r="B2628" s="24" t="str">
        <x:v>SIM</x:v>
      </x:c>
      <x:c r="C2628" s="24" t="str">
        <x:v>DISPONÍVEL</x:v>
      </x:c>
      <x:c r="D2628" s="24" t="str">
        <x:v>ZEISS</x:v>
      </x:c>
      <x:c r="E2628" s="24" t="str">
        <x:v>Progressiva</x:v>
      </x:c>
      <x:c r="F2628" s="24" t="str">
        <x:v>Surfaçada</x:v>
      </x:c>
      <x:c r="G2628" s="24" t="str">
        <x:v>Light 2 3Dv</x:v>
      </x:c>
      <x:c r="H2628" s="24" t="str">
        <x:v>PhotoFusion X</x:v>
      </x:c>
      <x:c r="I2628" s="24" t="str">
        <x:v>1.67</x:v>
      </x:c>
      <x:c r="J2628" s="24" t="str">
        <x:v>1.67</x:v>
      </x:c>
      <x:c r="K2628" s="24" t="str">
        <x:v>DuraVision Gold UV</x:v>
      </x:c>
      <x:c r="L2628" s="40" t="n">
        <x:v>7389</x:v>
      </x:c>
      <x:c r="M2628" s="24" t="str">
        <x:v>-10.00 a +6.00</x:v>
      </x:c>
      <x:c r="N2628" s="24" t="str">
        <x:v>-6.00</x:v>
      </x:c>
      <x:c r="O2628" s="24" t="str">
        <x:v>0.75 a 3.00</x:v>
      </x:c>
      <x:c r="P2628" s="24" t="str">
        <x:v>70</x:v>
      </x:c>
      <x:c r="Q2628" s="24"/>
      <x:c r="R2628" s="24"/>
      <x:c r="S2628" s="26" t="n">
        <x:v>46113</x:v>
      </x:c>
      <x:c r="T2628" s="26"/>
      <x:c r="U2628" s="24" t="str">
        <x:v>ATIVA/SEM FIM INFORMADO</x:v>
      </x:c>
      <x:c r="V2628" s="24" t="str">
        <x:v>Programa de Parcerias ZEISS</x:v>
      </x:c>
      <x:c r="W2628" s="24" t="n">
        <x:v>43</x:v>
      </x:c>
      <x:c r="X2628" s="24" t="str">
        <x:v>tabela_zeiss.pdf</x:v>
      </x:c>
      <x:c r="Y2628" s="24" t="str">
        <x:v>alta</x:v>
      </x:c>
      <x:c r="Z2628" s="24"/>
      <x:c r="AA2628" s="24" t="str">
        <x:v>ZEISS|Progressiva|Surfaçada|Light 2 3Dv|PhotoFusion X|1.67|1.67|DuraVision Gold UV|-10.00 a +6.00|-6.00|0.75 a 3.00|70|||43</x:v>
      </x:c>
    </x:row>
    <x:row r="2629">
      <x:c r="A2629" s="24" t="str">
        <x:v>ZS-BDFDE0A1A58E</x:v>
      </x:c>
      <x:c r="B2629" s="24" t="str">
        <x:v>SIM</x:v>
      </x:c>
      <x:c r="C2629" s="24" t="str">
        <x:v>DISPONÍVEL</x:v>
      </x:c>
      <x:c r="D2629" s="24" t="str">
        <x:v>ZEISS</x:v>
      </x:c>
      <x:c r="E2629" s="24" t="str">
        <x:v>Progressiva</x:v>
      </x:c>
      <x:c r="F2629" s="24" t="str">
        <x:v>Surfaçada</x:v>
      </x:c>
      <x:c r="G2629" s="24" t="str">
        <x:v>Light 2 3Dv</x:v>
      </x:c>
      <x:c r="H2629" s="24" t="str">
        <x:v>PhotoFusion X</x:v>
      </x:c>
      <x:c r="I2629" s="24" t="str">
        <x:v>1.67</x:v>
      </x:c>
      <x:c r="J2629" s="24" t="str">
        <x:v>1.67</x:v>
      </x:c>
      <x:c r="K2629" s="24" t="str">
        <x:v>DURAVISION® ANTIVÍRUS PLATINUM UV</x:v>
      </x:c>
      <x:c r="L2629" s="40" t="n">
        <x:v>7249</x:v>
      </x:c>
      <x:c r="M2629" s="24" t="str">
        <x:v>-10.00 a +6.00</x:v>
      </x:c>
      <x:c r="N2629" s="24" t="str">
        <x:v>-6.00</x:v>
      </x:c>
      <x:c r="O2629" s="24" t="str">
        <x:v>0.75 a 3.00</x:v>
      </x:c>
      <x:c r="P2629" s="24" t="str">
        <x:v>70</x:v>
      </x:c>
      <x:c r="Q2629" s="24"/>
      <x:c r="R2629" s="24"/>
      <x:c r="S2629" s="26" t="n">
        <x:v>46113</x:v>
      </x:c>
      <x:c r="T2629" s="26"/>
      <x:c r="U2629" s="24" t="str">
        <x:v>ATIVA/SEM FIM INFORMADO</x:v>
      </x:c>
      <x:c r="V2629" s="24" t="str">
        <x:v>Programa de Parcerias ZEISS</x:v>
      </x:c>
      <x:c r="W2629" s="24" t="n">
        <x:v>43</x:v>
      </x:c>
      <x:c r="X2629" s="24" t="str">
        <x:v>tabela_zeiss.pdf</x:v>
      </x:c>
      <x:c r="Y2629" s="24" t="str">
        <x:v>alta</x:v>
      </x:c>
      <x:c r="Z2629" s="24"/>
      <x:c r="AA2629" s="24" t="str">
        <x:v>ZEISS|Progressiva|Surfaçada|Light 2 3Dv|PhotoFusion X|1.67|1.67|DURAVISION® ANTIVÍRUS PLATINUM UV|-10.00 a +6.00|-6.00|0.75 a 3.00|70|||43</x:v>
      </x:c>
    </x:row>
    <x:row r="2630">
      <x:c r="A2630" s="24" t="str">
        <x:v>ZS-E7363C877DD6</x:v>
      </x:c>
      <x:c r="B2630" s="24" t="str">
        <x:v>SIM</x:v>
      </x:c>
      <x:c r="C2630" s="24" t="str">
        <x:v>DISPONÍVEL</x:v>
      </x:c>
      <x:c r="D2630" s="24" t="str">
        <x:v>ZEISS</x:v>
      </x:c>
      <x:c r="E2630" s="24" t="str">
        <x:v>Progressiva</x:v>
      </x:c>
      <x:c r="F2630" s="24" t="str">
        <x:v>Surfaçada</x:v>
      </x:c>
      <x:c r="G2630" s="24" t="str">
        <x:v>Light 2 3Dv</x:v>
      </x:c>
      <x:c r="H2630" s="24" t="str">
        <x:v>PhotoFusion X</x:v>
      </x:c>
      <x:c r="I2630" s="24" t="str">
        <x:v>1.67</x:v>
      </x:c>
      <x:c r="J2630" s="24" t="str">
        <x:v>1.67</x:v>
      </x:c>
      <x:c r="K2630" s="24" t="str">
        <x:v>DuraVision Platinum UV</x:v>
      </x:c>
      <x:c r="L2630" s="40" t="n">
        <x:v>7249</x:v>
      </x:c>
      <x:c r="M2630" s="24" t="str">
        <x:v>-10.00 a +6.00</x:v>
      </x:c>
      <x:c r="N2630" s="24" t="str">
        <x:v>-6.00</x:v>
      </x:c>
      <x:c r="O2630" s="24" t="str">
        <x:v>0.75 a 3.00</x:v>
      </x:c>
      <x:c r="P2630" s="24" t="str">
        <x:v>70</x:v>
      </x:c>
      <x:c r="Q2630" s="24"/>
      <x:c r="R2630" s="24"/>
      <x:c r="S2630" s="26" t="n">
        <x:v>46113</x:v>
      </x:c>
      <x:c r="T2630" s="26"/>
      <x:c r="U2630" s="24" t="str">
        <x:v>ATIVA/SEM FIM INFORMADO</x:v>
      </x:c>
      <x:c r="V2630" s="24" t="str">
        <x:v>Programa de Parcerias ZEISS</x:v>
      </x:c>
      <x:c r="W2630" s="24" t="n">
        <x:v>43</x:v>
      </x:c>
      <x:c r="X2630" s="24" t="str">
        <x:v>tabela_zeiss.pdf</x:v>
      </x:c>
      <x:c r="Y2630" s="24" t="str">
        <x:v>alta</x:v>
      </x:c>
      <x:c r="Z2630" s="24"/>
      <x:c r="AA2630" s="24" t="str">
        <x:v>ZEISS|Progressiva|Surfaçada|Light 2 3Dv|PhotoFusion X|1.67|1.67|DuraVision Platinum UV|-10.00 a +6.00|-6.00|0.75 a 3.00|70|||43</x:v>
      </x:c>
    </x:row>
    <x:row r="2631">
      <x:c r="A2631" s="24" t="str">
        <x:v>ZS-CF152DA2D796</x:v>
      </x:c>
      <x:c r="B2631" s="24" t="str">
        <x:v>SIM</x:v>
      </x:c>
      <x:c r="C2631" s="24" t="str">
        <x:v>DISPONÍVEL</x:v>
      </x:c>
      <x:c r="D2631" s="24" t="str">
        <x:v>ZEISS</x:v>
      </x:c>
      <x:c r="E2631" s="24" t="str">
        <x:v>Progressiva</x:v>
      </x:c>
      <x:c r="F2631" s="24" t="str">
        <x:v>Surfaçada</x:v>
      </x:c>
      <x:c r="G2631" s="24" t="str">
        <x:v>Light 2 3Dv</x:v>
      </x:c>
      <x:c r="H2631" s="24" t="str">
        <x:v>PhotoFusion X</x:v>
      </x:c>
      <x:c r="I2631" s="24" t="str">
        <x:v>1.67</x:v>
      </x:c>
      <x:c r="J2631" s="24" t="str">
        <x:v>1.67</x:v>
      </x:c>
      <x:c r="K2631" s="24" t="str">
        <x:v>DuraVision Silver UV</x:v>
      </x:c>
      <x:c r="L2631" s="40" t="n">
        <x:v>6989</x:v>
      </x:c>
      <x:c r="M2631" s="24" t="str">
        <x:v>-10.00 a +6.00</x:v>
      </x:c>
      <x:c r="N2631" s="24" t="str">
        <x:v>-6.00</x:v>
      </x:c>
      <x:c r="O2631" s="24" t="str">
        <x:v>0.75 a 3.00</x:v>
      </x:c>
      <x:c r="P2631" s="24" t="str">
        <x:v>70</x:v>
      </x:c>
      <x:c r="Q2631" s="24"/>
      <x:c r="R2631" s="24"/>
      <x:c r="S2631" s="26" t="n">
        <x:v>46113</x:v>
      </x:c>
      <x:c r="T2631" s="26"/>
      <x:c r="U2631" s="24" t="str">
        <x:v>ATIVA/SEM FIM INFORMADO</x:v>
      </x:c>
      <x:c r="V2631" s="24" t="str">
        <x:v>Programa de Parcerias ZEISS</x:v>
      </x:c>
      <x:c r="W2631" s="24" t="n">
        <x:v>43</x:v>
      </x:c>
      <x:c r="X2631" s="24" t="str">
        <x:v>tabela_zeiss.pdf</x:v>
      </x:c>
      <x:c r="Y2631" s="24" t="str">
        <x:v>alta</x:v>
      </x:c>
      <x:c r="Z2631" s="24"/>
      <x:c r="AA2631" s="24" t="str">
        <x:v>ZEISS|Progressiva|Surfaçada|Light 2 3Dv|PhotoFusion X|1.67|1.67|DuraVision Silver UV|-10.00 a +6.00|-6.00|0.75 a 3.00|70|||43</x:v>
      </x:c>
    </x:row>
    <x:row r="2632">
      <x:c r="A2632" s="24" t="str">
        <x:v>ZS-E50A2BA4EFA6</x:v>
      </x:c>
      <x:c r="B2632" s="24" t="str">
        <x:v>SIM</x:v>
      </x:c>
      <x:c r="C2632" s="24" t="str">
        <x:v>DISPONÍVEL</x:v>
      </x:c>
      <x:c r="D2632" s="24" t="str">
        <x:v>ZEISS</x:v>
      </x:c>
      <x:c r="E2632" s="24" t="str">
        <x:v>Progressiva</x:v>
      </x:c>
      <x:c r="F2632" s="24" t="str">
        <x:v>Surfaçada</x:v>
      </x:c>
      <x:c r="G2632" s="24" t="str">
        <x:v>Light 2 3Dv</x:v>
      </x:c>
      <x:c r="H2632" s="24" t="str">
        <x:v>PhotoFusion X</x:v>
      </x:c>
      <x:c r="I2632" s="24" t="str">
        <x:v>1.67</x:v>
      </x:c>
      <x:c r="J2632" s="24" t="str">
        <x:v>1.67</x:v>
      </x:c>
      <x:c r="K2632" s="24" t="str">
        <x:v>DuraVision Chrome UV</x:v>
      </x:c>
      <x:c r="L2632" s="40" t="n">
        <x:v>6499</x:v>
      </x:c>
      <x:c r="M2632" s="24" t="str">
        <x:v>-10.00 a +6.00</x:v>
      </x:c>
      <x:c r="N2632" s="24" t="str">
        <x:v>-6.00</x:v>
      </x:c>
      <x:c r="O2632" s="24" t="str">
        <x:v>0.75 a 3.00</x:v>
      </x:c>
      <x:c r="P2632" s="24" t="str">
        <x:v>70</x:v>
      </x:c>
      <x:c r="Q2632" s="24"/>
      <x:c r="R2632" s="24"/>
      <x:c r="S2632" s="26" t="n">
        <x:v>46113</x:v>
      </x:c>
      <x:c r="T2632" s="26"/>
      <x:c r="U2632" s="24" t="str">
        <x:v>ATIVA/SEM FIM INFORMADO</x:v>
      </x:c>
      <x:c r="V2632" s="24" t="str">
        <x:v>Programa de Parcerias ZEISS</x:v>
      </x:c>
      <x:c r="W2632" s="24" t="n">
        <x:v>43</x:v>
      </x:c>
      <x:c r="X2632" s="24" t="str">
        <x:v>tabela_zeiss.pdf</x:v>
      </x:c>
      <x:c r="Y2632" s="24" t="str">
        <x:v>alta</x:v>
      </x:c>
      <x:c r="Z2632" s="24"/>
      <x:c r="AA2632" s="24" t="str">
        <x:v>ZEISS|Progressiva|Surfaçada|Light 2 3Dv|PhotoFusion X|1.67|1.67|DuraVision Chrome UV|-10.00 a +6.00|-6.00|0.75 a 3.00|70|||43</x:v>
      </x:c>
    </x:row>
    <x:row r="2633">
      <x:c r="A2633" s="24" t="str">
        <x:v>ZS-53368882DC17</x:v>
      </x:c>
      <x:c r="B2633" s="24" t="str">
        <x:v>SIM</x:v>
      </x:c>
      <x:c r="C2633" s="24" t="str">
        <x:v>DISPONÍVEL</x:v>
      </x:c>
      <x:c r="D2633" s="24" t="str">
        <x:v>ZEISS</x:v>
      </x:c>
      <x:c r="E2633" s="24" t="str">
        <x:v>Progressiva</x:v>
      </x:c>
      <x:c r="F2633" s="24" t="str">
        <x:v>Surfaçada</x:v>
      </x:c>
      <x:c r="G2633" s="24" t="str">
        <x:v>Light 2 3Dv</x:v>
      </x:c>
      <x:c r="H2633" s="24" t="str">
        <x:v>PhotoFusion X Extra Dark Cinza</x:v>
      </x:c>
      <x:c r="I2633" s="24" t="str">
        <x:v>1.5</x:v>
      </x:c>
      <x:c r="J2633" s="24" t="str">
        <x:v>1.50</x:v>
      </x:c>
      <x:c r="K2633" s="24" t="str">
        <x:v>DuraVision Gold UV</x:v>
      </x:c>
      <x:c r="L2633" s="40" t="n">
        <x:v>5559</x:v>
      </x:c>
      <x:c r="M2633" s="24" t="str">
        <x:v>-6.00 a +5.00</x:v>
      </x:c>
      <x:c r="N2633" s="24" t="str">
        <x:v>-4.00</x:v>
      </x:c>
      <x:c r="O2633" s="24" t="str">
        <x:v>0.75 a 3.00</x:v>
      </x:c>
      <x:c r="P2633" s="24" t="str">
        <x:v>75</x:v>
      </x:c>
      <x:c r="Q2633" s="24"/>
      <x:c r="R2633" s="24"/>
      <x:c r="S2633" s="26" t="n">
        <x:v>46113</x:v>
      </x:c>
      <x:c r="T2633" s="26"/>
      <x:c r="U2633" s="24" t="str">
        <x:v>ATIVA/SEM FIM INFORMADO</x:v>
      </x:c>
      <x:c r="V2633" s="24" t="str">
        <x:v>Programa de Parcerias ZEISS</x:v>
      </x:c>
      <x:c r="W2633" s="24" t="n">
        <x:v>43</x:v>
      </x:c>
      <x:c r="X2633" s="24" t="str">
        <x:v>tabela_zeiss.pdf</x:v>
      </x:c>
      <x:c r="Y2633" s="24" t="str">
        <x:v>alta</x:v>
      </x:c>
      <x:c r="Z2633" s="24"/>
      <x:c r="AA2633" s="24" t="str">
        <x:v>ZEISS|Progressiva|Surfaçada|Light 2 3Dv|PhotoFusion X Extra Dark Cinza|1.5|1.50|DuraVision Gold UV|-6.00 a +5.00|-4.00|0.75 a 3.00|75|||43</x:v>
      </x:c>
    </x:row>
    <x:row r="2634">
      <x:c r="A2634" s="24" t="str">
        <x:v>ZS-606AE1ACE1CE</x:v>
      </x:c>
      <x:c r="B2634" s="24" t="str">
        <x:v>SIM</x:v>
      </x:c>
      <x:c r="C2634" s="24" t="str">
        <x:v>DISPONÍVEL</x:v>
      </x:c>
      <x:c r="D2634" s="24" t="str">
        <x:v>ZEISS</x:v>
      </x:c>
      <x:c r="E2634" s="24" t="str">
        <x:v>Progressiva</x:v>
      </x:c>
      <x:c r="F2634" s="24" t="str">
        <x:v>Surfaçada</x:v>
      </x:c>
      <x:c r="G2634" s="24" t="str">
        <x:v>Light 2 3Dv</x:v>
      </x:c>
      <x:c r="H2634" s="24" t="str">
        <x:v>PhotoFusion X Extra Dark Cinza</x:v>
      </x:c>
      <x:c r="I2634" s="24" t="str">
        <x:v>1.5</x:v>
      </x:c>
      <x:c r="J2634" s="24" t="str">
        <x:v>1.50</x:v>
      </x:c>
      <x:c r="K2634" s="24" t="str">
        <x:v>DURAVISION® ANTIVÍRUS PLATINUM UV</x:v>
      </x:c>
      <x:c r="L2634" s="40" t="n">
        <x:v>5419</x:v>
      </x:c>
      <x:c r="M2634" s="24" t="str">
        <x:v>-6.00 a +5.00</x:v>
      </x:c>
      <x:c r="N2634" s="24" t="str">
        <x:v>-4.00</x:v>
      </x:c>
      <x:c r="O2634" s="24" t="str">
        <x:v>0.75 a 3.00</x:v>
      </x:c>
      <x:c r="P2634" s="24" t="str">
        <x:v>75</x:v>
      </x:c>
      <x:c r="Q2634" s="24"/>
      <x:c r="R2634" s="24"/>
      <x:c r="S2634" s="26" t="n">
        <x:v>46113</x:v>
      </x:c>
      <x:c r="T2634" s="26"/>
      <x:c r="U2634" s="24" t="str">
        <x:v>ATIVA/SEM FIM INFORMADO</x:v>
      </x:c>
      <x:c r="V2634" s="24" t="str">
        <x:v>Programa de Parcerias ZEISS</x:v>
      </x:c>
      <x:c r="W2634" s="24" t="n">
        <x:v>43</x:v>
      </x:c>
      <x:c r="X2634" s="24" t="str">
        <x:v>tabela_zeiss.pdf</x:v>
      </x:c>
      <x:c r="Y2634" s="24" t="str">
        <x:v>alta</x:v>
      </x:c>
      <x:c r="Z2634" s="24"/>
      <x:c r="AA2634" s="24" t="str">
        <x:v>ZEISS|Progressiva|Surfaçada|Light 2 3Dv|PhotoFusion X Extra Dark Cinza|1.5|1.50|DURAVISION® ANTIVÍRUS PLATINUM UV|-6.00 a +5.00|-4.00|0.75 a 3.00|75|||43</x:v>
      </x:c>
    </x:row>
    <x:row r="2635">
      <x:c r="A2635" s="24" t="str">
        <x:v>ZS-7A8BEF202970</x:v>
      </x:c>
      <x:c r="B2635" s="24" t="str">
        <x:v>SIM</x:v>
      </x:c>
      <x:c r="C2635" s="24" t="str">
        <x:v>DISPONÍVEL</x:v>
      </x:c>
      <x:c r="D2635" s="24" t="str">
        <x:v>ZEISS</x:v>
      </x:c>
      <x:c r="E2635" s="24" t="str">
        <x:v>Progressiva</x:v>
      </x:c>
      <x:c r="F2635" s="24" t="str">
        <x:v>Surfaçada</x:v>
      </x:c>
      <x:c r="G2635" s="24" t="str">
        <x:v>Light 2 3Dv</x:v>
      </x:c>
      <x:c r="H2635" s="24" t="str">
        <x:v>PhotoFusion X Extra Dark Cinza</x:v>
      </x:c>
      <x:c r="I2635" s="24" t="str">
        <x:v>1.5</x:v>
      </x:c>
      <x:c r="J2635" s="24" t="str">
        <x:v>1.50</x:v>
      </x:c>
      <x:c r="K2635" s="24" t="str">
        <x:v>DuraVision Platinum UV</x:v>
      </x:c>
      <x:c r="L2635" s="40" t="n">
        <x:v>5419</x:v>
      </x:c>
      <x:c r="M2635" s="24" t="str">
        <x:v>-6.00 a +5.00</x:v>
      </x:c>
      <x:c r="N2635" s="24" t="str">
        <x:v>-4.00</x:v>
      </x:c>
      <x:c r="O2635" s="24" t="str">
        <x:v>0.75 a 3.00</x:v>
      </x:c>
      <x:c r="P2635" s="24" t="str">
        <x:v>75</x:v>
      </x:c>
      <x:c r="Q2635" s="24"/>
      <x:c r="R2635" s="24"/>
      <x:c r="S2635" s="26" t="n">
        <x:v>46113</x:v>
      </x:c>
      <x:c r="T2635" s="26"/>
      <x:c r="U2635" s="24" t="str">
        <x:v>ATIVA/SEM FIM INFORMADO</x:v>
      </x:c>
      <x:c r="V2635" s="24" t="str">
        <x:v>Programa de Parcerias ZEISS</x:v>
      </x:c>
      <x:c r="W2635" s="24" t="n">
        <x:v>43</x:v>
      </x:c>
      <x:c r="X2635" s="24" t="str">
        <x:v>tabela_zeiss.pdf</x:v>
      </x:c>
      <x:c r="Y2635" s="24" t="str">
        <x:v>alta</x:v>
      </x:c>
      <x:c r="Z2635" s="24"/>
      <x:c r="AA2635" s="24" t="str">
        <x:v>ZEISS|Progressiva|Surfaçada|Light 2 3Dv|PhotoFusion X Extra Dark Cinza|1.5|1.50|DuraVision Platinum UV|-6.00 a +5.00|-4.00|0.75 a 3.00|75|||43</x:v>
      </x:c>
    </x:row>
    <x:row r="2636">
      <x:c r="A2636" s="24" t="str">
        <x:v>ZS-82862CC961FA</x:v>
      </x:c>
      <x:c r="B2636" s="24" t="str">
        <x:v>SIM</x:v>
      </x:c>
      <x:c r="C2636" s="24" t="str">
        <x:v>DISPONÍVEL</x:v>
      </x:c>
      <x:c r="D2636" s="24" t="str">
        <x:v>ZEISS</x:v>
      </x:c>
      <x:c r="E2636" s="24" t="str">
        <x:v>Progressiva</x:v>
      </x:c>
      <x:c r="F2636" s="24" t="str">
        <x:v>Surfaçada</x:v>
      </x:c>
      <x:c r="G2636" s="24" t="str">
        <x:v>Light 2 3Dv</x:v>
      </x:c>
      <x:c r="H2636" s="24" t="str">
        <x:v>PhotoFusion X Extra Dark Cinza</x:v>
      </x:c>
      <x:c r="I2636" s="24" t="str">
        <x:v>1.5</x:v>
      </x:c>
      <x:c r="J2636" s="24" t="str">
        <x:v>1.50</x:v>
      </x:c>
      <x:c r="K2636" s="24" t="str">
        <x:v>DuraVision Silver UV</x:v>
      </x:c>
      <x:c r="L2636" s="40" t="n">
        <x:v>5159</x:v>
      </x:c>
      <x:c r="M2636" s="24" t="str">
        <x:v>-6.00 a +5.00</x:v>
      </x:c>
      <x:c r="N2636" s="24" t="str">
        <x:v>-4.00</x:v>
      </x:c>
      <x:c r="O2636" s="24" t="str">
        <x:v>0.75 a 3.00</x:v>
      </x:c>
      <x:c r="P2636" s="24" t="str">
        <x:v>75</x:v>
      </x:c>
      <x:c r="Q2636" s="24"/>
      <x:c r="R2636" s="24"/>
      <x:c r="S2636" s="26" t="n">
        <x:v>46113</x:v>
      </x:c>
      <x:c r="T2636" s="26"/>
      <x:c r="U2636" s="24" t="str">
        <x:v>ATIVA/SEM FIM INFORMADO</x:v>
      </x:c>
      <x:c r="V2636" s="24" t="str">
        <x:v>Programa de Parcerias ZEISS</x:v>
      </x:c>
      <x:c r="W2636" s="24" t="n">
        <x:v>43</x:v>
      </x:c>
      <x:c r="X2636" s="24" t="str">
        <x:v>tabela_zeiss.pdf</x:v>
      </x:c>
      <x:c r="Y2636" s="24" t="str">
        <x:v>alta</x:v>
      </x:c>
      <x:c r="Z2636" s="24"/>
      <x:c r="AA2636" s="24" t="str">
        <x:v>ZEISS|Progressiva|Surfaçada|Light 2 3Dv|PhotoFusion X Extra Dark Cinza|1.5|1.50|DuraVision Silver UV|-6.00 a +5.00|-4.00|0.75 a 3.00|75|||43</x:v>
      </x:c>
    </x:row>
    <x:row r="2637">
      <x:c r="A2637" s="24" t="str">
        <x:v>ZS-DE42D344F5E1</x:v>
      </x:c>
      <x:c r="B2637" s="24" t="str">
        <x:v>SIM</x:v>
      </x:c>
      <x:c r="C2637" s="24" t="str">
        <x:v>DISPONÍVEL</x:v>
      </x:c>
      <x:c r="D2637" s="24" t="str">
        <x:v>ZEISS</x:v>
      </x:c>
      <x:c r="E2637" s="24" t="str">
        <x:v>Progressiva</x:v>
      </x:c>
      <x:c r="F2637" s="24" t="str">
        <x:v>Surfaçada</x:v>
      </x:c>
      <x:c r="G2637" s="24" t="str">
        <x:v>Light 2 3Dv</x:v>
      </x:c>
      <x:c r="H2637" s="24" t="str">
        <x:v>PhotoFusion X Extra Dark Cinza</x:v>
      </x:c>
      <x:c r="I2637" s="24" t="str">
        <x:v>1.5</x:v>
      </x:c>
      <x:c r="J2637" s="24" t="str">
        <x:v>1.50</x:v>
      </x:c>
      <x:c r="K2637" s="24" t="str">
        <x:v>DuraVision Chrome UV</x:v>
      </x:c>
      <x:c r="L2637" s="40" t="n">
        <x:v>4669</x:v>
      </x:c>
      <x:c r="M2637" s="24" t="str">
        <x:v>-6.00 a +5.00</x:v>
      </x:c>
      <x:c r="N2637" s="24" t="str">
        <x:v>-4.00</x:v>
      </x:c>
      <x:c r="O2637" s="24" t="str">
        <x:v>0.75 a 3.00</x:v>
      </x:c>
      <x:c r="P2637" s="24" t="str">
        <x:v>75</x:v>
      </x:c>
      <x:c r="Q2637" s="24"/>
      <x:c r="R2637" s="24"/>
      <x:c r="S2637" s="26" t="n">
        <x:v>46113</x:v>
      </x:c>
      <x:c r="T2637" s="26"/>
      <x:c r="U2637" s="24" t="str">
        <x:v>ATIVA/SEM FIM INFORMADO</x:v>
      </x:c>
      <x:c r="V2637" s="24" t="str">
        <x:v>Programa de Parcerias ZEISS</x:v>
      </x:c>
      <x:c r="W2637" s="24" t="n">
        <x:v>43</x:v>
      </x:c>
      <x:c r="X2637" s="24" t="str">
        <x:v>tabela_zeiss.pdf</x:v>
      </x:c>
      <x:c r="Y2637" s="24" t="str">
        <x:v>alta</x:v>
      </x:c>
      <x:c r="Z2637" s="24"/>
      <x:c r="AA2637" s="24" t="str">
        <x:v>ZEISS|Progressiva|Surfaçada|Light 2 3Dv|PhotoFusion X Extra Dark Cinza|1.5|1.50|DuraVision Chrome UV|-6.00 a +5.00|-4.00|0.75 a 3.00|75|||43</x:v>
      </x:c>
    </x:row>
    <x:row r="2638">
      <x:c r="A2638" s="24" t="str">
        <x:v>ZS-9701CBCAC9D1</x:v>
      </x:c>
      <x:c r="B2638" s="24" t="str">
        <x:v>SIM</x:v>
      </x:c>
      <x:c r="C2638" s="24" t="str">
        <x:v>DISPONÍVEL</x:v>
      </x:c>
      <x:c r="D2638" s="24" t="str">
        <x:v>ZEISS</x:v>
      </x:c>
      <x:c r="E2638" s="24" t="str">
        <x:v>Progressiva</x:v>
      </x:c>
      <x:c r="F2638" s="24" t="str">
        <x:v>Surfaçada</x:v>
      </x:c>
      <x:c r="G2638" s="24" t="str">
        <x:v>Light 2 3Dv</x:v>
      </x:c>
      <x:c r="H2638" s="24" t="str">
        <x:v>PhotoFusion X Extra Dark Cinza</x:v>
      </x:c>
      <x:c r="I2638" s="24" t="str">
        <x:v>1.5</x:v>
      </x:c>
      <x:c r="J2638" s="24" t="str">
        <x:v>1.50</x:v>
      </x:c>
      <x:c r="K2638" s="24" t="str">
        <x:v>Sem AR</x:v>
      </x:c>
      <x:c r="L2638" s="40" t="n">
        <x:v>4269</x:v>
      </x:c>
      <x:c r="M2638" s="24" t="str">
        <x:v>-6.00 a +5.00</x:v>
      </x:c>
      <x:c r="N2638" s="24" t="str">
        <x:v>-4.00</x:v>
      </x:c>
      <x:c r="O2638" s="24" t="str">
        <x:v>0.75 a 3.00</x:v>
      </x:c>
      <x:c r="P2638" s="24" t="str">
        <x:v>75</x:v>
      </x:c>
      <x:c r="Q2638" s="24"/>
      <x:c r="R2638" s="24"/>
      <x:c r="S2638" s="26" t="n">
        <x:v>46113</x:v>
      </x:c>
      <x:c r="T2638" s="26"/>
      <x:c r="U2638" s="24" t="str">
        <x:v>ATIVA/SEM FIM INFORMADO</x:v>
      </x:c>
      <x:c r="V2638" s="24" t="str">
        <x:v>Programa de Parcerias ZEISS</x:v>
      </x:c>
      <x:c r="W2638" s="24" t="n">
        <x:v>43</x:v>
      </x:c>
      <x:c r="X2638" s="24" t="str">
        <x:v>tabela_zeiss.pdf</x:v>
      </x:c>
      <x:c r="Y2638" s="24" t="str">
        <x:v>alta</x:v>
      </x:c>
      <x:c r="Z2638" s="24"/>
      <x:c r="AA2638" s="24" t="str">
        <x:v>ZEISS|Progressiva|Surfaçada|Light 2 3Dv|PhotoFusion X Extra Dark Cinza|1.5|1.50|Sem AR|-6.00 a +5.00|-4.00|0.75 a 3.00|75|||43</x:v>
      </x:c>
    </x:row>
    <x:row r="2639">
      <x:c r="A2639" s="24" t="str">
        <x:v>ZS-6B431C51BB0E</x:v>
      </x:c>
      <x:c r="B2639" s="24" t="str">
        <x:v>SIM</x:v>
      </x:c>
      <x:c r="C2639" s="24" t="str">
        <x:v>DISPONÍVEL</x:v>
      </x:c>
      <x:c r="D2639" s="24" t="str">
        <x:v>ZEISS</x:v>
      </x:c>
      <x:c r="E2639" s="24" t="str">
        <x:v>Progressiva</x:v>
      </x:c>
      <x:c r="F2639" s="24" t="str">
        <x:v>Surfaçada</x:v>
      </x:c>
      <x:c r="G2639" s="24" t="str">
        <x:v>Light 2 3Dv</x:v>
      </x:c>
      <x:c r="H2639" s="24" t="str">
        <x:v>PhotoFusion X Extra Dark Cinza</x:v>
      </x:c>
      <x:c r="I2639" s="24" t="str">
        <x:v>Poli</x:v>
      </x:c>
      <x:c r="J2639" s="24"/>
      <x:c r="K2639" s="24" t="str">
        <x:v>DuraVision Gold UV</x:v>
      </x:c>
      <x:c r="L2639" s="40" t="n">
        <x:v>5919</x:v>
      </x:c>
      <x:c r="M2639" s="24" t="str">
        <x:v>-10.00 a +6.00</x:v>
      </x:c>
      <x:c r="N2639" s="24" t="str">
        <x:v>-6.00</x:v>
      </x:c>
      <x:c r="O2639" s="24" t="str">
        <x:v>0.75 a 3.00</x:v>
      </x:c>
      <x:c r="P2639" s="24" t="str">
        <x:v>72</x:v>
      </x:c>
      <x:c r="Q2639" s="24"/>
      <x:c r="R2639" s="24"/>
      <x:c r="S2639" s="26" t="n">
        <x:v>46113</x:v>
      </x:c>
      <x:c r="T2639" s="26"/>
      <x:c r="U2639" s="24" t="str">
        <x:v>ATIVA/SEM FIM INFORMADO</x:v>
      </x:c>
      <x:c r="V2639" s="24" t="str">
        <x:v>Programa de Parcerias ZEISS</x:v>
      </x:c>
      <x:c r="W2639" s="24" t="n">
        <x:v>43</x:v>
      </x:c>
      <x:c r="X2639" s="24" t="str">
        <x:v>tabela_zeiss.pdf</x:v>
      </x:c>
      <x:c r="Y2639" s="24" t="str">
        <x:v>alta</x:v>
      </x:c>
      <x:c r="Z2639" s="24"/>
      <x:c r="AA2639" s="24" t="str">
        <x:v>ZEISS|Progressiva|Surfaçada|Light 2 3Dv|PhotoFusion X Extra Dark Cinza|Poli||DuraVision Gold UV|-10.00 a +6.00|-6.00|0.75 a 3.00|72|||43</x:v>
      </x:c>
    </x:row>
    <x:row r="2640">
      <x:c r="A2640" s="24" t="str">
        <x:v>ZS-9BE53E1A846C</x:v>
      </x:c>
      <x:c r="B2640" s="24" t="str">
        <x:v>SIM</x:v>
      </x:c>
      <x:c r="C2640" s="24" t="str">
        <x:v>DISPONÍVEL</x:v>
      </x:c>
      <x:c r="D2640" s="24" t="str">
        <x:v>ZEISS</x:v>
      </x:c>
      <x:c r="E2640" s="24" t="str">
        <x:v>Progressiva</x:v>
      </x:c>
      <x:c r="F2640" s="24" t="str">
        <x:v>Surfaçada</x:v>
      </x:c>
      <x:c r="G2640" s="24" t="str">
        <x:v>Light 2 3Dv</x:v>
      </x:c>
      <x:c r="H2640" s="24" t="str">
        <x:v>PhotoFusion X Extra Dark Cinza</x:v>
      </x:c>
      <x:c r="I2640" s="24" t="str">
        <x:v>Poli</x:v>
      </x:c>
      <x:c r="J2640" s="24"/>
      <x:c r="K2640" s="24" t="str">
        <x:v>DuraVision Platinum UV</x:v>
      </x:c>
      <x:c r="L2640" s="40" t="n">
        <x:v>5779</x:v>
      </x:c>
      <x:c r="M2640" s="24" t="str">
        <x:v>-10.00 a +6.00</x:v>
      </x:c>
      <x:c r="N2640" s="24" t="str">
        <x:v>-6.00</x:v>
      </x:c>
      <x:c r="O2640" s="24" t="str">
        <x:v>0.75 a 3.00</x:v>
      </x:c>
      <x:c r="P2640" s="24" t="str">
        <x:v>72</x:v>
      </x:c>
      <x:c r="Q2640" s="24"/>
      <x:c r="R2640" s="24"/>
      <x:c r="S2640" s="26" t="n">
        <x:v>46113</x:v>
      </x:c>
      <x:c r="T2640" s="26"/>
      <x:c r="U2640" s="24" t="str">
        <x:v>ATIVA/SEM FIM INFORMADO</x:v>
      </x:c>
      <x:c r="V2640" s="24" t="str">
        <x:v>Programa de Parcerias ZEISS</x:v>
      </x:c>
      <x:c r="W2640" s="24" t="n">
        <x:v>43</x:v>
      </x:c>
      <x:c r="X2640" s="24" t="str">
        <x:v>tabela_zeiss.pdf</x:v>
      </x:c>
      <x:c r="Y2640" s="24" t="str">
        <x:v>alta</x:v>
      </x:c>
      <x:c r="Z2640" s="24"/>
      <x:c r="AA2640" s="24" t="str">
        <x:v>ZEISS|Progressiva|Surfaçada|Light 2 3Dv|PhotoFusion X Extra Dark Cinza|Poli||DuraVision Platinum UV|-10.00 a +6.00|-6.00|0.75 a 3.00|72|||43</x:v>
      </x:c>
    </x:row>
    <x:row r="2641">
      <x:c r="A2641" s="24" t="str">
        <x:v>ZS-75D82A8BF7B9</x:v>
      </x:c>
      <x:c r="B2641" s="24" t="str">
        <x:v>SIM</x:v>
      </x:c>
      <x:c r="C2641" s="24" t="str">
        <x:v>DISPONÍVEL</x:v>
      </x:c>
      <x:c r="D2641" s="24" t="str">
        <x:v>ZEISS</x:v>
      </x:c>
      <x:c r="E2641" s="24" t="str">
        <x:v>Progressiva</x:v>
      </x:c>
      <x:c r="F2641" s="24" t="str">
        <x:v>Surfaçada</x:v>
      </x:c>
      <x:c r="G2641" s="24" t="str">
        <x:v>Light 2 3Dv</x:v>
      </x:c>
      <x:c r="H2641" s="24" t="str">
        <x:v>PhotoFusion X Extra Dark Cinza</x:v>
      </x:c>
      <x:c r="I2641" s="24" t="str">
        <x:v>Poli</x:v>
      </x:c>
      <x:c r="J2641" s="24"/>
      <x:c r="K2641" s="24" t="str">
        <x:v>DuraVision Silver UV</x:v>
      </x:c>
      <x:c r="L2641" s="40" t="n">
        <x:v>5519</x:v>
      </x:c>
      <x:c r="M2641" s="24" t="str">
        <x:v>-10.00 a +6.00</x:v>
      </x:c>
      <x:c r="N2641" s="24" t="str">
        <x:v>-6.00</x:v>
      </x:c>
      <x:c r="O2641" s="24" t="str">
        <x:v>0.75 a 3.00</x:v>
      </x:c>
      <x:c r="P2641" s="24" t="str">
        <x:v>72</x:v>
      </x:c>
      <x:c r="Q2641" s="24"/>
      <x:c r="R2641" s="24"/>
      <x:c r="S2641" s="26" t="n">
        <x:v>46113</x:v>
      </x:c>
      <x:c r="T2641" s="26"/>
      <x:c r="U2641" s="24" t="str">
        <x:v>ATIVA/SEM FIM INFORMADO</x:v>
      </x:c>
      <x:c r="V2641" s="24" t="str">
        <x:v>Programa de Parcerias ZEISS</x:v>
      </x:c>
      <x:c r="W2641" s="24" t="n">
        <x:v>43</x:v>
      </x:c>
      <x:c r="X2641" s="24" t="str">
        <x:v>tabela_zeiss.pdf</x:v>
      </x:c>
      <x:c r="Y2641" s="24" t="str">
        <x:v>alta</x:v>
      </x:c>
      <x:c r="Z2641" s="24"/>
      <x:c r="AA2641" s="24" t="str">
        <x:v>ZEISS|Progressiva|Surfaçada|Light 2 3Dv|PhotoFusion X Extra Dark Cinza|Poli||DuraVision Silver UV|-10.00 a +6.00|-6.00|0.75 a 3.00|72|||43</x:v>
      </x:c>
    </x:row>
    <x:row r="2642">
      <x:c r="A2642" s="24" t="str">
        <x:v>ZS-83777CA97CE3</x:v>
      </x:c>
      <x:c r="B2642" s="24" t="str">
        <x:v>SIM</x:v>
      </x:c>
      <x:c r="C2642" s="24" t="str">
        <x:v>DISPONÍVEL</x:v>
      </x:c>
      <x:c r="D2642" s="24" t="str">
        <x:v>ZEISS</x:v>
      </x:c>
      <x:c r="E2642" s="24" t="str">
        <x:v>Progressiva</x:v>
      </x:c>
      <x:c r="F2642" s="24" t="str">
        <x:v>Surfaçada</x:v>
      </x:c>
      <x:c r="G2642" s="24" t="str">
        <x:v>Light 2 3Dv</x:v>
      </x:c>
      <x:c r="H2642" s="24" t="str">
        <x:v>PhotoFusion X Extra Dark Cinza</x:v>
      </x:c>
      <x:c r="I2642" s="24" t="str">
        <x:v>Poli</x:v>
      </x:c>
      <x:c r="J2642" s="24"/>
      <x:c r="K2642" s="24" t="str">
        <x:v>DuraVision Chrome UV</x:v>
      </x:c>
      <x:c r="L2642" s="40" t="n">
        <x:v>5029</x:v>
      </x:c>
      <x:c r="M2642" s="24" t="str">
        <x:v>-10.00 a +6.00</x:v>
      </x:c>
      <x:c r="N2642" s="24" t="str">
        <x:v>-6.00</x:v>
      </x:c>
      <x:c r="O2642" s="24" t="str">
        <x:v>0.75 a 3.00</x:v>
      </x:c>
      <x:c r="P2642" s="24" t="str">
        <x:v>72</x:v>
      </x:c>
      <x:c r="Q2642" s="24"/>
      <x:c r="R2642" s="24"/>
      <x:c r="S2642" s="26" t="n">
        <x:v>46113</x:v>
      </x:c>
      <x:c r="T2642" s="26"/>
      <x:c r="U2642" s="24" t="str">
        <x:v>ATIVA/SEM FIM INFORMADO</x:v>
      </x:c>
      <x:c r="V2642" s="24" t="str">
        <x:v>Programa de Parcerias ZEISS</x:v>
      </x:c>
      <x:c r="W2642" s="24" t="n">
        <x:v>43</x:v>
      </x:c>
      <x:c r="X2642" s="24" t="str">
        <x:v>tabela_zeiss.pdf</x:v>
      </x:c>
      <x:c r="Y2642" s="24" t="str">
        <x:v>alta</x:v>
      </x:c>
      <x:c r="Z2642" s="24"/>
      <x:c r="AA2642" s="24" t="str">
        <x:v>ZEISS|Progressiva|Surfaçada|Light 2 3Dv|PhotoFusion X Extra Dark Cinza|Poli||DuraVision Chrome UV|-10.00 a +6.00|-6.00|0.75 a 3.00|72|||43</x:v>
      </x:c>
    </x:row>
    <x:row r="2643">
      <x:c r="A2643" s="24" t="str">
        <x:v>ZS-F2EA88F97B14</x:v>
      </x:c>
      <x:c r="B2643" s="24" t="str">
        <x:v>SIM</x:v>
      </x:c>
      <x:c r="C2643" s="24" t="str">
        <x:v>DISPONÍVEL</x:v>
      </x:c>
      <x:c r="D2643" s="24" t="str">
        <x:v>ZEISS</x:v>
      </x:c>
      <x:c r="E2643" s="24" t="str">
        <x:v>Progressiva</x:v>
      </x:c>
      <x:c r="F2643" s="24" t="str">
        <x:v>Surfaçada</x:v>
      </x:c>
      <x:c r="G2643" s="24" t="str">
        <x:v>Light 2 3Dv</x:v>
      </x:c>
      <x:c r="H2643" s="24" t="str">
        <x:v>PhotoFusion X Extra Dark Cinza</x:v>
      </x:c>
      <x:c r="I2643" s="24" t="str">
        <x:v>Poli</x:v>
      </x:c>
      <x:c r="J2643" s="24"/>
      <x:c r="K2643" s="24" t="str">
        <x:v>Sem AR</x:v>
      </x:c>
      <x:c r="L2643" s="40" t="n">
        <x:v>4629</x:v>
      </x:c>
      <x:c r="M2643" s="24" t="str">
        <x:v>-10.00 a +6.00</x:v>
      </x:c>
      <x:c r="N2643" s="24" t="str">
        <x:v>-6.00</x:v>
      </x:c>
      <x:c r="O2643" s="24" t="str">
        <x:v>0.75 a 3.00</x:v>
      </x:c>
      <x:c r="P2643" s="24" t="str">
        <x:v>72</x:v>
      </x:c>
      <x:c r="Q2643" s="24"/>
      <x:c r="R2643" s="24"/>
      <x:c r="S2643" s="26" t="n">
        <x:v>46113</x:v>
      </x:c>
      <x:c r="T2643" s="26"/>
      <x:c r="U2643" s="24" t="str">
        <x:v>ATIVA/SEM FIM INFORMADO</x:v>
      </x:c>
      <x:c r="V2643" s="24" t="str">
        <x:v>Programa de Parcerias ZEISS</x:v>
      </x:c>
      <x:c r="W2643" s="24" t="n">
        <x:v>43</x:v>
      </x:c>
      <x:c r="X2643" s="24" t="str">
        <x:v>tabela_zeiss.pdf</x:v>
      </x:c>
      <x:c r="Y2643" s="24" t="str">
        <x:v>alta</x:v>
      </x:c>
      <x:c r="Z2643" s="24"/>
      <x:c r="AA2643" s="24" t="str">
        <x:v>ZEISS|Progressiva|Surfaçada|Light 2 3Dv|PhotoFusion X Extra Dark Cinza|Poli||Sem AR|-10.00 a +6.00|-6.00|0.75 a 3.00|72|||43</x:v>
      </x:c>
    </x:row>
    <x:row r="2644">
      <x:c r="A2644" s="24" t="str">
        <x:v>ZS-550095C47790</x:v>
      </x:c>
      <x:c r="B2644" s="24" t="str">
        <x:v>SIM</x:v>
      </x:c>
      <x:c r="C2644" s="24" t="str">
        <x:v>DISPONÍVEL</x:v>
      </x:c>
      <x:c r="D2644" s="24" t="str">
        <x:v>ZEISS</x:v>
      </x:c>
      <x:c r="E2644" s="24" t="str">
        <x:v>Progressiva</x:v>
      </x:c>
      <x:c r="F2644" s="24" t="str">
        <x:v>Surfaçada</x:v>
      </x:c>
      <x:c r="G2644" s="24" t="str">
        <x:v>Light 2 3Dv</x:v>
      </x:c>
      <x:c r="H2644" s="24" t="str">
        <x:v>PhotoFusion X Extra Dark Cinza</x:v>
      </x:c>
      <x:c r="I2644" s="24" t="str">
        <x:v>1.6</x:v>
      </x:c>
      <x:c r="J2644" s="24" t="str">
        <x:v>1.60</x:v>
      </x:c>
      <x:c r="K2644" s="24" t="str">
        <x:v>DuraVision Gold UV</x:v>
      </x:c>
      <x:c r="L2644" s="40" t="n">
        <x:v>6139</x:v>
      </x:c>
      <x:c r="M2644" s="24" t="str">
        <x:v>-7.25 a +6.00</x:v>
      </x:c>
      <x:c r="N2644" s="24" t="str">
        <x:v>-6.00</x:v>
      </x:c>
      <x:c r="O2644" s="24" t="str">
        <x:v>0.75 a 3.50</x:v>
      </x:c>
      <x:c r="P2644" s="24" t="str">
        <x:v>75</x:v>
      </x:c>
      <x:c r="Q2644" s="24"/>
      <x:c r="R2644" s="24"/>
      <x:c r="S2644" s="26" t="n">
        <x:v>46113</x:v>
      </x:c>
      <x:c r="T2644" s="26"/>
      <x:c r="U2644" s="24" t="str">
        <x:v>ATIVA/SEM FIM INFORMADO</x:v>
      </x:c>
      <x:c r="V2644" s="24" t="str">
        <x:v>Programa de Parcerias ZEISS</x:v>
      </x:c>
      <x:c r="W2644" s="24" t="n">
        <x:v>43</x:v>
      </x:c>
      <x:c r="X2644" s="24" t="str">
        <x:v>tabela_zeiss.pdf</x:v>
      </x:c>
      <x:c r="Y2644" s="24" t="str">
        <x:v>alta</x:v>
      </x:c>
      <x:c r="Z2644" s="24"/>
      <x:c r="AA2644" s="24" t="str">
        <x:v>ZEISS|Progressiva|Surfaçada|Light 2 3Dv|PhotoFusion X Extra Dark Cinza|1.6|1.60|DuraVision Gold UV|-7.25 a +6.00|-6.00|0.75 a 3.50|75|||43</x:v>
      </x:c>
    </x:row>
    <x:row r="2645">
      <x:c r="A2645" s="24" t="str">
        <x:v>ZS-AA291113D032</x:v>
      </x:c>
      <x:c r="B2645" s="24" t="str">
        <x:v>SIM</x:v>
      </x:c>
      <x:c r="C2645" s="24" t="str">
        <x:v>DISPONÍVEL</x:v>
      </x:c>
      <x:c r="D2645" s="24" t="str">
        <x:v>ZEISS</x:v>
      </x:c>
      <x:c r="E2645" s="24" t="str">
        <x:v>Progressiva</x:v>
      </x:c>
      <x:c r="F2645" s="24" t="str">
        <x:v>Surfaçada</x:v>
      </x:c>
      <x:c r="G2645" s="24" t="str">
        <x:v>Light 2 3Dv</x:v>
      </x:c>
      <x:c r="H2645" s="24" t="str">
        <x:v>PhotoFusion X Extra Dark Cinza</x:v>
      </x:c>
      <x:c r="I2645" s="24" t="str">
        <x:v>1.6</x:v>
      </x:c>
      <x:c r="J2645" s="24" t="str">
        <x:v>1.60</x:v>
      </x:c>
      <x:c r="K2645" s="24" t="str">
        <x:v>DURAVISION® ANTIVÍRUS PLATINUM UV</x:v>
      </x:c>
      <x:c r="L2645" s="40" t="n">
        <x:v>5999</x:v>
      </x:c>
      <x:c r="M2645" s="24" t="str">
        <x:v>-7.25 a +6.00</x:v>
      </x:c>
      <x:c r="N2645" s="24" t="str">
        <x:v>-6.00</x:v>
      </x:c>
      <x:c r="O2645" s="24" t="str">
        <x:v>0.75 a 3.50</x:v>
      </x:c>
      <x:c r="P2645" s="24" t="str">
        <x:v>75</x:v>
      </x:c>
      <x:c r="Q2645" s="24"/>
      <x:c r="R2645" s="24"/>
      <x:c r="S2645" s="26" t="n">
        <x:v>46113</x:v>
      </x:c>
      <x:c r="T2645" s="26"/>
      <x:c r="U2645" s="24" t="str">
        <x:v>ATIVA/SEM FIM INFORMADO</x:v>
      </x:c>
      <x:c r="V2645" s="24" t="str">
        <x:v>Programa de Parcerias ZEISS</x:v>
      </x:c>
      <x:c r="W2645" s="24" t="n">
        <x:v>43</x:v>
      </x:c>
      <x:c r="X2645" s="24" t="str">
        <x:v>tabela_zeiss.pdf</x:v>
      </x:c>
      <x:c r="Y2645" s="24" t="str">
        <x:v>alta</x:v>
      </x:c>
      <x:c r="Z2645" s="24"/>
      <x:c r="AA2645" s="24" t="str">
        <x:v>ZEISS|Progressiva|Surfaçada|Light 2 3Dv|PhotoFusion X Extra Dark Cinza|1.6|1.60|DURAVISION® ANTIVÍRUS PLATINUM UV|-7.25 a +6.00|-6.00|0.75 a 3.50|75|||43</x:v>
      </x:c>
    </x:row>
    <x:row r="2646">
      <x:c r="A2646" s="24" t="str">
        <x:v>ZS-48AC1E934906</x:v>
      </x:c>
      <x:c r="B2646" s="24" t="str">
        <x:v>SIM</x:v>
      </x:c>
      <x:c r="C2646" s="24" t="str">
        <x:v>DISPONÍVEL</x:v>
      </x:c>
      <x:c r="D2646" s="24" t="str">
        <x:v>ZEISS</x:v>
      </x:c>
      <x:c r="E2646" s="24" t="str">
        <x:v>Progressiva</x:v>
      </x:c>
      <x:c r="F2646" s="24" t="str">
        <x:v>Surfaçada</x:v>
      </x:c>
      <x:c r="G2646" s="24" t="str">
        <x:v>Light 2 3Dv</x:v>
      </x:c>
      <x:c r="H2646" s="24" t="str">
        <x:v>PhotoFusion X Extra Dark Cinza</x:v>
      </x:c>
      <x:c r="I2646" s="24" t="str">
        <x:v>1.6</x:v>
      </x:c>
      <x:c r="J2646" s="24" t="str">
        <x:v>1.60</x:v>
      </x:c>
      <x:c r="K2646" s="24" t="str">
        <x:v>DuraVision Platinum UV</x:v>
      </x:c>
      <x:c r="L2646" s="40" t="n">
        <x:v>5999</x:v>
      </x:c>
      <x:c r="M2646" s="24" t="str">
        <x:v>-7.25 a +6.00</x:v>
      </x:c>
      <x:c r="N2646" s="24" t="str">
        <x:v>-6.00</x:v>
      </x:c>
      <x:c r="O2646" s="24" t="str">
        <x:v>0.75 a 3.50</x:v>
      </x:c>
      <x:c r="P2646" s="24" t="str">
        <x:v>75</x:v>
      </x:c>
      <x:c r="Q2646" s="24"/>
      <x:c r="R2646" s="24"/>
      <x:c r="S2646" s="26" t="n">
        <x:v>46113</x:v>
      </x:c>
      <x:c r="T2646" s="26"/>
      <x:c r="U2646" s="24" t="str">
        <x:v>ATIVA/SEM FIM INFORMADO</x:v>
      </x:c>
      <x:c r="V2646" s="24" t="str">
        <x:v>Programa de Parcerias ZEISS</x:v>
      </x:c>
      <x:c r="W2646" s="24" t="n">
        <x:v>43</x:v>
      </x:c>
      <x:c r="X2646" s="24" t="str">
        <x:v>tabela_zeiss.pdf</x:v>
      </x:c>
      <x:c r="Y2646" s="24" t="str">
        <x:v>alta</x:v>
      </x:c>
      <x:c r="Z2646" s="24"/>
      <x:c r="AA2646" s="24" t="str">
        <x:v>ZEISS|Progressiva|Surfaçada|Light 2 3Dv|PhotoFusion X Extra Dark Cinza|1.6|1.60|DuraVision Platinum UV|-7.25 a +6.00|-6.00|0.75 a 3.50|75|||43</x:v>
      </x:c>
    </x:row>
    <x:row r="2647">
      <x:c r="A2647" s="24" t="str">
        <x:v>ZS-A4A7F2624154</x:v>
      </x:c>
      <x:c r="B2647" s="24" t="str">
        <x:v>SIM</x:v>
      </x:c>
      <x:c r="C2647" s="24" t="str">
        <x:v>DISPONÍVEL</x:v>
      </x:c>
      <x:c r="D2647" s="24" t="str">
        <x:v>ZEISS</x:v>
      </x:c>
      <x:c r="E2647" s="24" t="str">
        <x:v>Progressiva</x:v>
      </x:c>
      <x:c r="F2647" s="24" t="str">
        <x:v>Surfaçada</x:v>
      </x:c>
      <x:c r="G2647" s="24" t="str">
        <x:v>Light 2 3Dv</x:v>
      </x:c>
      <x:c r="H2647" s="24" t="str">
        <x:v>PhotoFusion X Extra Dark Cinza</x:v>
      </x:c>
      <x:c r="I2647" s="24" t="str">
        <x:v>1.6</x:v>
      </x:c>
      <x:c r="J2647" s="24" t="str">
        <x:v>1.60</x:v>
      </x:c>
      <x:c r="K2647" s="24" t="str">
        <x:v>DuraVision Silver UV</x:v>
      </x:c>
      <x:c r="L2647" s="40" t="n">
        <x:v>5739</x:v>
      </x:c>
      <x:c r="M2647" s="24" t="str">
        <x:v>-7.25 a +6.00</x:v>
      </x:c>
      <x:c r="N2647" s="24" t="str">
        <x:v>-6.00</x:v>
      </x:c>
      <x:c r="O2647" s="24" t="str">
        <x:v>0.75 a 3.50</x:v>
      </x:c>
      <x:c r="P2647" s="24" t="str">
        <x:v>75</x:v>
      </x:c>
      <x:c r="Q2647" s="24"/>
      <x:c r="R2647" s="24"/>
      <x:c r="S2647" s="26" t="n">
        <x:v>46113</x:v>
      </x:c>
      <x:c r="T2647" s="26"/>
      <x:c r="U2647" s="24" t="str">
        <x:v>ATIVA/SEM FIM INFORMADO</x:v>
      </x:c>
      <x:c r="V2647" s="24" t="str">
        <x:v>Programa de Parcerias ZEISS</x:v>
      </x:c>
      <x:c r="W2647" s="24" t="n">
        <x:v>43</x:v>
      </x:c>
      <x:c r="X2647" s="24" t="str">
        <x:v>tabela_zeiss.pdf</x:v>
      </x:c>
      <x:c r="Y2647" s="24" t="str">
        <x:v>alta</x:v>
      </x:c>
      <x:c r="Z2647" s="24"/>
      <x:c r="AA2647" s="24" t="str">
        <x:v>ZEISS|Progressiva|Surfaçada|Light 2 3Dv|PhotoFusion X Extra Dark Cinza|1.6|1.60|DuraVision Silver UV|-7.25 a +6.00|-6.00|0.75 a 3.50|75|||43</x:v>
      </x:c>
    </x:row>
    <x:row r="2648">
      <x:c r="A2648" s="24" t="str">
        <x:v>ZS-980B3A89FD03</x:v>
      </x:c>
      <x:c r="B2648" s="24" t="str">
        <x:v>SIM</x:v>
      </x:c>
      <x:c r="C2648" s="24" t="str">
        <x:v>DISPONÍVEL</x:v>
      </x:c>
      <x:c r="D2648" s="24" t="str">
        <x:v>ZEISS</x:v>
      </x:c>
      <x:c r="E2648" s="24" t="str">
        <x:v>Progressiva</x:v>
      </x:c>
      <x:c r="F2648" s="24" t="str">
        <x:v>Surfaçada</x:v>
      </x:c>
      <x:c r="G2648" s="24" t="str">
        <x:v>Light 2 3Dv</x:v>
      </x:c>
      <x:c r="H2648" s="24" t="str">
        <x:v>PhotoFusion X Extra Dark Cinza</x:v>
      </x:c>
      <x:c r="I2648" s="24" t="str">
        <x:v>1.6</x:v>
      </x:c>
      <x:c r="J2648" s="24" t="str">
        <x:v>1.60</x:v>
      </x:c>
      <x:c r="K2648" s="24" t="str">
        <x:v>DuraVision Chrome UV</x:v>
      </x:c>
      <x:c r="L2648" s="40" t="n">
        <x:v>5249</x:v>
      </x:c>
      <x:c r="M2648" s="24" t="str">
        <x:v>-7.25 a +6.00</x:v>
      </x:c>
      <x:c r="N2648" s="24" t="str">
        <x:v>-6.00</x:v>
      </x:c>
      <x:c r="O2648" s="24" t="str">
        <x:v>0.75 a 3.50</x:v>
      </x:c>
      <x:c r="P2648" s="24" t="str">
        <x:v>75</x:v>
      </x:c>
      <x:c r="Q2648" s="24"/>
      <x:c r="R2648" s="24"/>
      <x:c r="S2648" s="26" t="n">
        <x:v>46113</x:v>
      </x:c>
      <x:c r="T2648" s="26"/>
      <x:c r="U2648" s="24" t="str">
        <x:v>ATIVA/SEM FIM INFORMADO</x:v>
      </x:c>
      <x:c r="V2648" s="24" t="str">
        <x:v>Programa de Parcerias ZEISS</x:v>
      </x:c>
      <x:c r="W2648" s="24" t="n">
        <x:v>43</x:v>
      </x:c>
      <x:c r="X2648" s="24" t="str">
        <x:v>tabela_zeiss.pdf</x:v>
      </x:c>
      <x:c r="Y2648" s="24" t="str">
        <x:v>alta</x:v>
      </x:c>
      <x:c r="Z2648" s="24"/>
      <x:c r="AA2648" s="24" t="str">
        <x:v>ZEISS|Progressiva|Surfaçada|Light 2 3Dv|PhotoFusion X Extra Dark Cinza|1.6|1.60|DuraVision Chrome UV|-7.25 a +6.00|-6.00|0.75 a 3.50|75|||43</x:v>
      </x:c>
    </x:row>
    <x:row r="2649">
      <x:c r="A2649" s="24" t="str">
        <x:v>ZS-D4B0D2A195BE</x:v>
      </x:c>
      <x:c r="B2649" s="24" t="str">
        <x:v>SIM</x:v>
      </x:c>
      <x:c r="C2649" s="24" t="str">
        <x:v>DISPONÍVEL</x:v>
      </x:c>
      <x:c r="D2649" s="24" t="str">
        <x:v>ZEISS</x:v>
      </x:c>
      <x:c r="E2649" s="24" t="str">
        <x:v>Progressiva</x:v>
      </x:c>
      <x:c r="F2649" s="24" t="str">
        <x:v>Surfaçada</x:v>
      </x:c>
      <x:c r="G2649" s="24" t="str">
        <x:v>Light 2 3Dv</x:v>
      </x:c>
      <x:c r="H2649" s="24" t="str">
        <x:v>PhotoFusion X Extra Dark Cinza</x:v>
      </x:c>
      <x:c r="I2649" s="24" t="str">
        <x:v>1.67</x:v>
      </x:c>
      <x:c r="J2649" s="24" t="str">
        <x:v>1.67</x:v>
      </x:c>
      <x:c r="K2649" s="24" t="str">
        <x:v>DuraVision Gold UV</x:v>
      </x:c>
      <x:c r="L2649" s="40" t="n">
        <x:v>7439</x:v>
      </x:c>
      <x:c r="M2649" s="24" t="str">
        <x:v>-10.00 a +6.00</x:v>
      </x:c>
      <x:c r="N2649" s="24" t="str">
        <x:v>-6.00</x:v>
      </x:c>
      <x:c r="O2649" s="24" t="str">
        <x:v>0.75 a 3.00</x:v>
      </x:c>
      <x:c r="P2649" s="24" t="str">
        <x:v>70</x:v>
      </x:c>
      <x:c r="Q2649" s="24"/>
      <x:c r="R2649" s="24"/>
      <x:c r="S2649" s="26" t="n">
        <x:v>46113</x:v>
      </x:c>
      <x:c r="T2649" s="26"/>
      <x:c r="U2649" s="24" t="str">
        <x:v>ATIVA/SEM FIM INFORMADO</x:v>
      </x:c>
      <x:c r="V2649" s="24" t="str">
        <x:v>Programa de Parcerias ZEISS</x:v>
      </x:c>
      <x:c r="W2649" s="24" t="n">
        <x:v>43</x:v>
      </x:c>
      <x:c r="X2649" s="24" t="str">
        <x:v>tabela_zeiss.pdf</x:v>
      </x:c>
      <x:c r="Y2649" s="24" t="str">
        <x:v>alta</x:v>
      </x:c>
      <x:c r="Z2649" s="24"/>
      <x:c r="AA2649" s="24" t="str">
        <x:v>ZEISS|Progressiva|Surfaçada|Light 2 3Dv|PhotoFusion X Extra Dark Cinza|1.67|1.67|DuraVision Gold UV|-10.00 a +6.00|-6.00|0.75 a 3.00|70|||43</x:v>
      </x:c>
    </x:row>
    <x:row r="2650">
      <x:c r="A2650" s="24" t="str">
        <x:v>ZS-D58FC9AB2CE9</x:v>
      </x:c>
      <x:c r="B2650" s="24" t="str">
        <x:v>SIM</x:v>
      </x:c>
      <x:c r="C2650" s="24" t="str">
        <x:v>DISPONÍVEL</x:v>
      </x:c>
      <x:c r="D2650" s="24" t="str">
        <x:v>ZEISS</x:v>
      </x:c>
      <x:c r="E2650" s="24" t="str">
        <x:v>Progressiva</x:v>
      </x:c>
      <x:c r="F2650" s="24" t="str">
        <x:v>Surfaçada</x:v>
      </x:c>
      <x:c r="G2650" s="24" t="str">
        <x:v>Light 2 3Dv</x:v>
      </x:c>
      <x:c r="H2650" s="24" t="str">
        <x:v>PhotoFusion X Extra Dark Cinza</x:v>
      </x:c>
      <x:c r="I2650" s="24" t="str">
        <x:v>1.67</x:v>
      </x:c>
      <x:c r="J2650" s="24" t="str">
        <x:v>1.67</x:v>
      </x:c>
      <x:c r="K2650" s="24" t="str">
        <x:v>DURAVISION® ANTIVÍRUS PLATINUM UV</x:v>
      </x:c>
      <x:c r="L2650" s="40" t="n">
        <x:v>7299</x:v>
      </x:c>
      <x:c r="M2650" s="24" t="str">
        <x:v>-10.00 a +6.00</x:v>
      </x:c>
      <x:c r="N2650" s="24" t="str">
        <x:v>-6.00</x:v>
      </x:c>
      <x:c r="O2650" s="24" t="str">
        <x:v>0.75 a 3.00</x:v>
      </x:c>
      <x:c r="P2650" s="24" t="str">
        <x:v>70</x:v>
      </x:c>
      <x:c r="Q2650" s="24"/>
      <x:c r="R2650" s="24"/>
      <x:c r="S2650" s="26" t="n">
        <x:v>46113</x:v>
      </x:c>
      <x:c r="T2650" s="26"/>
      <x:c r="U2650" s="24" t="str">
        <x:v>ATIVA/SEM FIM INFORMADO</x:v>
      </x:c>
      <x:c r="V2650" s="24" t="str">
        <x:v>Programa de Parcerias ZEISS</x:v>
      </x:c>
      <x:c r="W2650" s="24" t="n">
        <x:v>43</x:v>
      </x:c>
      <x:c r="X2650" s="24" t="str">
        <x:v>tabela_zeiss.pdf</x:v>
      </x:c>
      <x:c r="Y2650" s="24" t="str">
        <x:v>alta</x:v>
      </x:c>
      <x:c r="Z2650" s="24"/>
      <x:c r="AA2650" s="24" t="str">
        <x:v>ZEISS|Progressiva|Surfaçada|Light 2 3Dv|PhotoFusion X Extra Dark Cinza|1.67|1.67|DURAVISION® ANTIVÍRUS PLATINUM UV|-10.00 a +6.00|-6.00|0.75 a 3.00|70|||43</x:v>
      </x:c>
    </x:row>
    <x:row r="2651">
      <x:c r="A2651" s="24" t="str">
        <x:v>ZS-3AFE640DB01E</x:v>
      </x:c>
      <x:c r="B2651" s="24" t="str">
        <x:v>SIM</x:v>
      </x:c>
      <x:c r="C2651" s="24" t="str">
        <x:v>DISPONÍVEL</x:v>
      </x:c>
      <x:c r="D2651" s="24" t="str">
        <x:v>ZEISS</x:v>
      </x:c>
      <x:c r="E2651" s="24" t="str">
        <x:v>Progressiva</x:v>
      </x:c>
      <x:c r="F2651" s="24" t="str">
        <x:v>Surfaçada</x:v>
      </x:c>
      <x:c r="G2651" s="24" t="str">
        <x:v>Light 2 3Dv</x:v>
      </x:c>
      <x:c r="H2651" s="24" t="str">
        <x:v>PhotoFusion X Extra Dark Cinza</x:v>
      </x:c>
      <x:c r="I2651" s="24" t="str">
        <x:v>1.67</x:v>
      </x:c>
      <x:c r="J2651" s="24" t="str">
        <x:v>1.67</x:v>
      </x:c>
      <x:c r="K2651" s="24" t="str">
        <x:v>DuraVision Platinum UV</x:v>
      </x:c>
      <x:c r="L2651" s="40" t="n">
        <x:v>7299</x:v>
      </x:c>
      <x:c r="M2651" s="24" t="str">
        <x:v>-10.00 a +6.00</x:v>
      </x:c>
      <x:c r="N2651" s="24" t="str">
        <x:v>-6.00</x:v>
      </x:c>
      <x:c r="O2651" s="24" t="str">
        <x:v>0.75 a 3.00</x:v>
      </x:c>
      <x:c r="P2651" s="24" t="str">
        <x:v>70</x:v>
      </x:c>
      <x:c r="Q2651" s="24"/>
      <x:c r="R2651" s="24"/>
      <x:c r="S2651" s="26" t="n">
        <x:v>46113</x:v>
      </x:c>
      <x:c r="T2651" s="26"/>
      <x:c r="U2651" s="24" t="str">
        <x:v>ATIVA/SEM FIM INFORMADO</x:v>
      </x:c>
      <x:c r="V2651" s="24" t="str">
        <x:v>Programa de Parcerias ZEISS</x:v>
      </x:c>
      <x:c r="W2651" s="24" t="n">
        <x:v>43</x:v>
      </x:c>
      <x:c r="X2651" s="24" t="str">
        <x:v>tabela_zeiss.pdf</x:v>
      </x:c>
      <x:c r="Y2651" s="24" t="str">
        <x:v>alta</x:v>
      </x:c>
      <x:c r="Z2651" s="24"/>
      <x:c r="AA2651" s="24" t="str">
        <x:v>ZEISS|Progressiva|Surfaçada|Light 2 3Dv|PhotoFusion X Extra Dark Cinza|1.67|1.67|DuraVision Platinum UV|-10.00 a +6.00|-6.00|0.75 a 3.00|70|||43</x:v>
      </x:c>
    </x:row>
    <x:row r="2652">
      <x:c r="A2652" s="24" t="str">
        <x:v>ZS-E0F968B9341A</x:v>
      </x:c>
      <x:c r="B2652" s="24" t="str">
        <x:v>SIM</x:v>
      </x:c>
      <x:c r="C2652" s="24" t="str">
        <x:v>DISPONÍVEL</x:v>
      </x:c>
      <x:c r="D2652" s="24" t="str">
        <x:v>ZEISS</x:v>
      </x:c>
      <x:c r="E2652" s="24" t="str">
        <x:v>Progressiva</x:v>
      </x:c>
      <x:c r="F2652" s="24" t="str">
        <x:v>Surfaçada</x:v>
      </x:c>
      <x:c r="G2652" s="24" t="str">
        <x:v>Light 2 3Dv</x:v>
      </x:c>
      <x:c r="H2652" s="24" t="str">
        <x:v>PhotoFusion X Extra Dark Cinza</x:v>
      </x:c>
      <x:c r="I2652" s="24" t="str">
        <x:v>1.67</x:v>
      </x:c>
      <x:c r="J2652" s="24" t="str">
        <x:v>1.67</x:v>
      </x:c>
      <x:c r="K2652" s="24" t="str">
        <x:v>DuraVision Silver UV</x:v>
      </x:c>
      <x:c r="L2652" s="40" t="n">
        <x:v>7039</x:v>
      </x:c>
      <x:c r="M2652" s="24" t="str">
        <x:v>-10.00 a +6.00</x:v>
      </x:c>
      <x:c r="N2652" s="24" t="str">
        <x:v>-6.00</x:v>
      </x:c>
      <x:c r="O2652" s="24" t="str">
        <x:v>0.75 a 3.00</x:v>
      </x:c>
      <x:c r="P2652" s="24" t="str">
        <x:v>70</x:v>
      </x:c>
      <x:c r="Q2652" s="24"/>
      <x:c r="R2652" s="24"/>
      <x:c r="S2652" s="26" t="n">
        <x:v>46113</x:v>
      </x:c>
      <x:c r="T2652" s="26"/>
      <x:c r="U2652" s="24" t="str">
        <x:v>ATIVA/SEM FIM INFORMADO</x:v>
      </x:c>
      <x:c r="V2652" s="24" t="str">
        <x:v>Programa de Parcerias ZEISS</x:v>
      </x:c>
      <x:c r="W2652" s="24" t="n">
        <x:v>43</x:v>
      </x:c>
      <x:c r="X2652" s="24" t="str">
        <x:v>tabela_zeiss.pdf</x:v>
      </x:c>
      <x:c r="Y2652" s="24" t="str">
        <x:v>alta</x:v>
      </x:c>
      <x:c r="Z2652" s="24"/>
      <x:c r="AA2652" s="24" t="str">
        <x:v>ZEISS|Progressiva|Surfaçada|Light 2 3Dv|PhotoFusion X Extra Dark Cinza|1.67|1.67|DuraVision Silver UV|-10.00 a +6.00|-6.00|0.75 a 3.00|70|||43</x:v>
      </x:c>
    </x:row>
    <x:row r="2653">
      <x:c r="A2653" s="24" t="str">
        <x:v>ZS-AA97C1E3E753</x:v>
      </x:c>
      <x:c r="B2653" s="24" t="str">
        <x:v>SIM</x:v>
      </x:c>
      <x:c r="C2653" s="24" t="str">
        <x:v>DISPONÍVEL</x:v>
      </x:c>
      <x:c r="D2653" s="24" t="str">
        <x:v>ZEISS</x:v>
      </x:c>
      <x:c r="E2653" s="24" t="str">
        <x:v>Progressiva</x:v>
      </x:c>
      <x:c r="F2653" s="24" t="str">
        <x:v>Surfaçada</x:v>
      </x:c>
      <x:c r="G2653" s="24" t="str">
        <x:v>Light 2 3Dv</x:v>
      </x:c>
      <x:c r="H2653" s="24" t="str">
        <x:v>PhotoFusion X Extra Dark Cinza</x:v>
      </x:c>
      <x:c r="I2653" s="24" t="str">
        <x:v>1.67</x:v>
      </x:c>
      <x:c r="J2653" s="24" t="str">
        <x:v>1.67</x:v>
      </x:c>
      <x:c r="K2653" s="24" t="str">
        <x:v>DuraVision Chrome UV</x:v>
      </x:c>
      <x:c r="L2653" s="40" t="n">
        <x:v>6549</x:v>
      </x:c>
      <x:c r="M2653" s="24" t="str">
        <x:v>-10.00 a +6.00</x:v>
      </x:c>
      <x:c r="N2653" s="24" t="str">
        <x:v>-6.00</x:v>
      </x:c>
      <x:c r="O2653" s="24" t="str">
        <x:v>0.75 a 3.00</x:v>
      </x:c>
      <x:c r="P2653" s="24" t="str">
        <x:v>70</x:v>
      </x:c>
      <x:c r="Q2653" s="24"/>
      <x:c r="R2653" s="24"/>
      <x:c r="S2653" s="26" t="n">
        <x:v>46113</x:v>
      </x:c>
      <x:c r="T2653" s="26"/>
      <x:c r="U2653" s="24" t="str">
        <x:v>ATIVA/SEM FIM INFORMADO</x:v>
      </x:c>
      <x:c r="V2653" s="24" t="str">
        <x:v>Programa de Parcerias ZEISS</x:v>
      </x:c>
      <x:c r="W2653" s="24" t="n">
        <x:v>43</x:v>
      </x:c>
      <x:c r="X2653" s="24" t="str">
        <x:v>tabela_zeiss.pdf</x:v>
      </x:c>
      <x:c r="Y2653" s="24" t="str">
        <x:v>alta</x:v>
      </x:c>
      <x:c r="Z2653" s="24"/>
      <x:c r="AA2653" s="24" t="str">
        <x:v>ZEISS|Progressiva|Surfaçada|Light 2 3Dv|PhotoFusion X Extra Dark Cinza|1.67|1.67|DuraVision Chrome UV|-10.00 a +6.00|-6.00|0.75 a 3.00|70|||43</x:v>
      </x:c>
    </x:row>
    <x:row r="2654">
      <x:c r="A2654" s="24" t="str">
        <x:v>ZS-3343B27C564F</x:v>
      </x:c>
      <x:c r="B2654" s="24" t="str">
        <x:v>SIM</x:v>
      </x:c>
      <x:c r="C2654" s="24" t="str">
        <x:v>DISPONÍVEL</x:v>
      </x:c>
      <x:c r="D2654" s="24" t="str">
        <x:v>ZEISS</x:v>
      </x:c>
      <x:c r="E2654" s="24" t="str">
        <x:v>Progressiva</x:v>
      </x:c>
      <x:c r="F2654" s="24" t="str">
        <x:v>Surfaçada</x:v>
      </x:c>
      <x:c r="G2654" s="24" t="str">
        <x:v>Light 2 3Dv</x:v>
      </x:c>
      <x:c r="H2654" s="24" t="str">
        <x:v>Polarizada</x:v>
      </x:c>
      <x:c r="I2654" s="24" t="str">
        <x:v>1.5</x:v>
      </x:c>
      <x:c r="J2654" s="24" t="str">
        <x:v>1.50</x:v>
      </x:c>
      <x:c r="K2654" s="24" t="str">
        <x:v>DuraVision Gold UV</x:v>
      </x:c>
      <x:c r="L2654" s="40" t="n">
        <x:v>4929</x:v>
      </x:c>
      <x:c r="M2654" s="24" t="str">
        <x:v>-6.00 a +6.00</x:v>
      </x:c>
      <x:c r="N2654" s="24" t="str">
        <x:v>-4.00</x:v>
      </x:c>
      <x:c r="O2654" s="24" t="str">
        <x:v>0.75 a 3.50</x:v>
      </x:c>
      <x:c r="P2654" s="24" t="str">
        <x:v>75</x:v>
      </x:c>
      <x:c r="Q2654" s="24"/>
      <x:c r="R2654" s="24"/>
      <x:c r="S2654" s="26" t="n">
        <x:v>46113</x:v>
      </x:c>
      <x:c r="T2654" s="26"/>
      <x:c r="U2654" s="24" t="str">
        <x:v>ATIVA/SEM FIM INFORMADO</x:v>
      </x:c>
      <x:c r="V2654" s="24"/>
      <x:c r="W2654" s="24" t="n">
        <x:v>43</x:v>
      </x:c>
      <x:c r="X2654" s="24" t="str">
        <x:v>tabela_zeiss.pdf</x:v>
      </x:c>
      <x:c r="Y2654" s="24" t="str">
        <x:v>alta</x:v>
      </x:c>
      <x:c r="Z2654" s="24"/>
      <x:c r="AA2654" s="24" t="str">
        <x:v>ZEISS|Progressiva|Surfaçada|Light 2 3Dv|Polarizada|1.5|1.50|DuraVision Gold UV|-6.00 a +6.00|-4.00|0.75 a 3.50|75|||43</x:v>
      </x:c>
    </x:row>
    <x:row r="2655">
      <x:c r="A2655" s="24" t="str">
        <x:v>ZS-5EBFD0B431C9</x:v>
      </x:c>
      <x:c r="B2655" s="24" t="str">
        <x:v>SIM</x:v>
      </x:c>
      <x:c r="C2655" s="24" t="str">
        <x:v>DISPONÍVEL</x:v>
      </x:c>
      <x:c r="D2655" s="24" t="str">
        <x:v>ZEISS</x:v>
      </x:c>
      <x:c r="E2655" s="24" t="str">
        <x:v>Progressiva</x:v>
      </x:c>
      <x:c r="F2655" s="24" t="str">
        <x:v>Surfaçada</x:v>
      </x:c>
      <x:c r="G2655" s="24" t="str">
        <x:v>Light 2 3Dv</x:v>
      </x:c>
      <x:c r="H2655" s="24" t="str">
        <x:v>Polarizada</x:v>
      </x:c>
      <x:c r="I2655" s="24" t="str">
        <x:v>1.5</x:v>
      </x:c>
      <x:c r="J2655" s="24" t="str">
        <x:v>1.50</x:v>
      </x:c>
      <x:c r="K2655" s="24" t="str">
        <x:v>DuraVision Platinum UV</x:v>
      </x:c>
      <x:c r="L2655" s="40" t="n">
        <x:v>4789</x:v>
      </x:c>
      <x:c r="M2655" s="24" t="str">
        <x:v>-6.00 a +6.00</x:v>
      </x:c>
      <x:c r="N2655" s="24" t="str">
        <x:v>-4.00</x:v>
      </x:c>
      <x:c r="O2655" s="24" t="str">
        <x:v>0.75 a 3.50</x:v>
      </x:c>
      <x:c r="P2655" s="24" t="str">
        <x:v>75</x:v>
      </x:c>
      <x:c r="Q2655" s="24"/>
      <x:c r="R2655" s="24"/>
      <x:c r="S2655" s="26" t="n">
        <x:v>46113</x:v>
      </x:c>
      <x:c r="T2655" s="26"/>
      <x:c r="U2655" s="24" t="str">
        <x:v>ATIVA/SEM FIM INFORMADO</x:v>
      </x:c>
      <x:c r="V2655" s="24"/>
      <x:c r="W2655" s="24" t="n">
        <x:v>43</x:v>
      </x:c>
      <x:c r="X2655" s="24" t="str">
        <x:v>tabela_zeiss.pdf</x:v>
      </x:c>
      <x:c r="Y2655" s="24" t="str">
        <x:v>alta</x:v>
      </x:c>
      <x:c r="Z2655" s="24"/>
      <x:c r="AA2655" s="24" t="str">
        <x:v>ZEISS|Progressiva|Surfaçada|Light 2 3Dv|Polarizada|1.5|1.50|DuraVision Platinum UV|-6.00 a +6.00|-4.00|0.75 a 3.50|75|||43</x:v>
      </x:c>
    </x:row>
    <x:row r="2656">
      <x:c r="A2656" s="24" t="str">
        <x:v>ZS-128D98267CA4</x:v>
      </x:c>
      <x:c r="B2656" s="24" t="str">
        <x:v>SIM</x:v>
      </x:c>
      <x:c r="C2656" s="24" t="str">
        <x:v>DISPONÍVEL</x:v>
      </x:c>
      <x:c r="D2656" s="24" t="str">
        <x:v>ZEISS</x:v>
      </x:c>
      <x:c r="E2656" s="24" t="str">
        <x:v>Progressiva</x:v>
      </x:c>
      <x:c r="F2656" s="24" t="str">
        <x:v>Surfaçada</x:v>
      </x:c>
      <x:c r="G2656" s="24" t="str">
        <x:v>Light 2 3Dv</x:v>
      </x:c>
      <x:c r="H2656" s="24" t="str">
        <x:v>Polarizada</x:v>
      </x:c>
      <x:c r="I2656" s="24" t="str">
        <x:v>1.5</x:v>
      </x:c>
      <x:c r="J2656" s="24" t="str">
        <x:v>1.50</x:v>
      </x:c>
      <x:c r="K2656" s="24" t="str">
        <x:v>DuraVision Silver UV</x:v>
      </x:c>
      <x:c r="L2656" s="40" t="n">
        <x:v>4529</x:v>
      </x:c>
      <x:c r="M2656" s="24" t="str">
        <x:v>-6.00 a +6.00</x:v>
      </x:c>
      <x:c r="N2656" s="24" t="str">
        <x:v>-4.00</x:v>
      </x:c>
      <x:c r="O2656" s="24" t="str">
        <x:v>0.75 a 3.50</x:v>
      </x:c>
      <x:c r="P2656" s="24" t="str">
        <x:v>75</x:v>
      </x:c>
      <x:c r="Q2656" s="24"/>
      <x:c r="R2656" s="24"/>
      <x:c r="S2656" s="26" t="n">
        <x:v>46113</x:v>
      </x:c>
      <x:c r="T2656" s="26"/>
      <x:c r="U2656" s="24" t="str">
        <x:v>ATIVA/SEM FIM INFORMADO</x:v>
      </x:c>
      <x:c r="V2656" s="24"/>
      <x:c r="W2656" s="24" t="n">
        <x:v>43</x:v>
      </x:c>
      <x:c r="X2656" s="24" t="str">
        <x:v>tabela_zeiss.pdf</x:v>
      </x:c>
      <x:c r="Y2656" s="24" t="str">
        <x:v>alta</x:v>
      </x:c>
      <x:c r="Z2656" s="24"/>
      <x:c r="AA2656" s="24" t="str">
        <x:v>ZEISS|Progressiva|Surfaçada|Light 2 3Dv|Polarizada|1.5|1.50|DuraVision Silver UV|-6.00 a +6.00|-4.00|0.75 a 3.50|75|||43</x:v>
      </x:c>
    </x:row>
    <x:row r="2657">
      <x:c r="A2657" s="24" t="str">
        <x:v>ZS-7E111BCDCC36</x:v>
      </x:c>
      <x:c r="B2657" s="24" t="str">
        <x:v>SIM</x:v>
      </x:c>
      <x:c r="C2657" s="24" t="str">
        <x:v>DISPONÍVEL</x:v>
      </x:c>
      <x:c r="D2657" s="24" t="str">
        <x:v>ZEISS</x:v>
      </x:c>
      <x:c r="E2657" s="24" t="str">
        <x:v>Progressiva</x:v>
      </x:c>
      <x:c r="F2657" s="24" t="str">
        <x:v>Surfaçada</x:v>
      </x:c>
      <x:c r="G2657" s="24" t="str">
        <x:v>Light 2 3Dv</x:v>
      </x:c>
      <x:c r="H2657" s="24" t="str">
        <x:v>Polarizada</x:v>
      </x:c>
      <x:c r="I2657" s="24" t="str">
        <x:v>1.5</x:v>
      </x:c>
      <x:c r="J2657" s="24" t="str">
        <x:v>1.50</x:v>
      </x:c>
      <x:c r="K2657" s="24" t="str">
        <x:v>DuraVision Chrome UV</x:v>
      </x:c>
      <x:c r="L2657" s="40" t="n">
        <x:v>4039</x:v>
      </x:c>
      <x:c r="M2657" s="24" t="str">
        <x:v>-6.00 a +6.00</x:v>
      </x:c>
      <x:c r="N2657" s="24" t="str">
        <x:v>-4.00</x:v>
      </x:c>
      <x:c r="O2657" s="24" t="str">
        <x:v>0.75 a 3.50</x:v>
      </x:c>
      <x:c r="P2657" s="24" t="str">
        <x:v>75</x:v>
      </x:c>
      <x:c r="Q2657" s="24"/>
      <x:c r="R2657" s="24"/>
      <x:c r="S2657" s="26" t="n">
        <x:v>46113</x:v>
      </x:c>
      <x:c r="T2657" s="26"/>
      <x:c r="U2657" s="24" t="str">
        <x:v>ATIVA/SEM FIM INFORMADO</x:v>
      </x:c>
      <x:c r="V2657" s="24"/>
      <x:c r="W2657" s="24" t="n">
        <x:v>43</x:v>
      </x:c>
      <x:c r="X2657" s="24" t="str">
        <x:v>tabela_zeiss.pdf</x:v>
      </x:c>
      <x:c r="Y2657" s="24" t="str">
        <x:v>alta</x:v>
      </x:c>
      <x:c r="Z2657" s="24"/>
      <x:c r="AA2657" s="24" t="str">
        <x:v>ZEISS|Progressiva|Surfaçada|Light 2 3Dv|Polarizada|1.5|1.50|DuraVision Chrome UV|-6.00 a +6.00|-4.00|0.75 a 3.50|75|||43</x:v>
      </x:c>
    </x:row>
    <x:row r="2658">
      <x:c r="A2658" s="24" t="str">
        <x:v>ZS-2219A0390334</x:v>
      </x:c>
      <x:c r="B2658" s="24" t="str">
        <x:v>SIM</x:v>
      </x:c>
      <x:c r="C2658" s="24" t="str">
        <x:v>DISPONÍVEL</x:v>
      </x:c>
      <x:c r="D2658" s="24" t="str">
        <x:v>ZEISS</x:v>
      </x:c>
      <x:c r="E2658" s="24" t="str">
        <x:v>Progressiva</x:v>
      </x:c>
      <x:c r="F2658" s="24" t="str">
        <x:v>Surfaçada</x:v>
      </x:c>
      <x:c r="G2658" s="24" t="str">
        <x:v>Light 2 3Dv</x:v>
      </x:c>
      <x:c r="H2658" s="24" t="str">
        <x:v>Polarizada</x:v>
      </x:c>
      <x:c r="I2658" s="24" t="str">
        <x:v>1.5</x:v>
      </x:c>
      <x:c r="J2658" s="24" t="str">
        <x:v>1.50</x:v>
      </x:c>
      <x:c r="K2658" s="24" t="str">
        <x:v>Sem AR</x:v>
      </x:c>
      <x:c r="L2658" s="40" t="n">
        <x:v>3639</x:v>
      </x:c>
      <x:c r="M2658" s="24" t="str">
        <x:v>-6.00 a +6.00</x:v>
      </x:c>
      <x:c r="N2658" s="24" t="str">
        <x:v>-4.00</x:v>
      </x:c>
      <x:c r="O2658" s="24" t="str">
        <x:v>0.75 a 3.50</x:v>
      </x:c>
      <x:c r="P2658" s="24" t="str">
        <x:v>75</x:v>
      </x:c>
      <x:c r="Q2658" s="24"/>
      <x:c r="R2658" s="24"/>
      <x:c r="S2658" s="26" t="n">
        <x:v>46113</x:v>
      </x:c>
      <x:c r="T2658" s="26"/>
      <x:c r="U2658" s="24" t="str">
        <x:v>ATIVA/SEM FIM INFORMADO</x:v>
      </x:c>
      <x:c r="V2658" s="24"/>
      <x:c r="W2658" s="24" t="n">
        <x:v>43</x:v>
      </x:c>
      <x:c r="X2658" s="24" t="str">
        <x:v>tabela_zeiss.pdf</x:v>
      </x:c>
      <x:c r="Y2658" s="24" t="str">
        <x:v>alta</x:v>
      </x:c>
      <x:c r="Z2658" s="24"/>
      <x:c r="AA2658" s="24" t="str">
        <x:v>ZEISS|Progressiva|Surfaçada|Light 2 3Dv|Polarizada|1.5|1.50|Sem AR|-6.00 a +6.00|-4.00|0.75 a 3.50|75|||43</x:v>
      </x:c>
    </x:row>
    <x:row r="2659">
      <x:c r="A2659" s="24" t="str">
        <x:v>ZS-69C206F5AEA2</x:v>
      </x:c>
      <x:c r="B2659" s="24" t="str">
        <x:v>SIM</x:v>
      </x:c>
      <x:c r="C2659" s="24" t="str">
        <x:v>DISPONÍVEL</x:v>
      </x:c>
      <x:c r="D2659" s="24" t="str">
        <x:v>ZEISS</x:v>
      </x:c>
      <x:c r="E2659" s="24" t="str">
        <x:v>Progressiva</x:v>
      </x:c>
      <x:c r="F2659" s="24" t="str">
        <x:v>Surfaçada</x:v>
      </x:c>
      <x:c r="G2659" s="24" t="str">
        <x:v>Light 2 3Dv</x:v>
      </x:c>
      <x:c r="H2659" s="24" t="str">
        <x:v>Polarizada</x:v>
      </x:c>
      <x:c r="I2659" s="24" t="str">
        <x:v>1.6</x:v>
      </x:c>
      <x:c r="J2659" s="24" t="str">
        <x:v>1.60</x:v>
      </x:c>
      <x:c r="K2659" s="24" t="str">
        <x:v>DuraVision Gold UV</x:v>
      </x:c>
      <x:c r="L2659" s="40" t="n">
        <x:v>5509</x:v>
      </x:c>
      <x:c r="M2659" s="24" t="str">
        <x:v>-8.50 a +6.00</x:v>
      </x:c>
      <x:c r="N2659" s="24" t="str">
        <x:v>-4.00</x:v>
      </x:c>
      <x:c r="O2659" s="24" t="str">
        <x:v>0.75 a 3.50</x:v>
      </x:c>
      <x:c r="P2659" s="24" t="str">
        <x:v>70</x:v>
      </x:c>
      <x:c r="Q2659" s="24"/>
      <x:c r="R2659" s="24"/>
      <x:c r="S2659" s="26" t="n">
        <x:v>46113</x:v>
      </x:c>
      <x:c r="T2659" s="26"/>
      <x:c r="U2659" s="24" t="str">
        <x:v>ATIVA/SEM FIM INFORMADO</x:v>
      </x:c>
      <x:c r="V2659" s="24"/>
      <x:c r="W2659" s="24" t="n">
        <x:v>43</x:v>
      </x:c>
      <x:c r="X2659" s="24" t="str">
        <x:v>tabela_zeiss.pdf</x:v>
      </x:c>
      <x:c r="Y2659" s="24" t="str">
        <x:v>alta</x:v>
      </x:c>
      <x:c r="Z2659" s="24"/>
      <x:c r="AA2659" s="24" t="str">
        <x:v>ZEISS|Progressiva|Surfaçada|Light 2 3Dv|Polarizada|1.6|1.60|DuraVision Gold UV|-8.50 a +6.00|-4.00|0.75 a 3.50|70|||43</x:v>
      </x:c>
    </x:row>
    <x:row r="2660">
      <x:c r="A2660" s="24" t="str">
        <x:v>ZS-9DD748D3538D</x:v>
      </x:c>
      <x:c r="B2660" s="24" t="str">
        <x:v>SIM</x:v>
      </x:c>
      <x:c r="C2660" s="24" t="str">
        <x:v>DISPONÍVEL</x:v>
      </x:c>
      <x:c r="D2660" s="24" t="str">
        <x:v>ZEISS</x:v>
      </x:c>
      <x:c r="E2660" s="24" t="str">
        <x:v>Progressiva</x:v>
      </x:c>
      <x:c r="F2660" s="24" t="str">
        <x:v>Surfaçada</x:v>
      </x:c>
      <x:c r="G2660" s="24" t="str">
        <x:v>Light 2 3Dv</x:v>
      </x:c>
      <x:c r="H2660" s="24" t="str">
        <x:v>Polarizada</x:v>
      </x:c>
      <x:c r="I2660" s="24" t="str">
        <x:v>1.6</x:v>
      </x:c>
      <x:c r="J2660" s="24" t="str">
        <x:v>1.60</x:v>
      </x:c>
      <x:c r="K2660" s="24" t="str">
        <x:v>DuraVision Platinum UV</x:v>
      </x:c>
      <x:c r="L2660" s="40" t="n">
        <x:v>5369</x:v>
      </x:c>
      <x:c r="M2660" s="24" t="str">
        <x:v>-8.50 a +6.00</x:v>
      </x:c>
      <x:c r="N2660" s="24" t="str">
        <x:v>-4.00</x:v>
      </x:c>
      <x:c r="O2660" s="24" t="str">
        <x:v>0.75 a 3.50</x:v>
      </x:c>
      <x:c r="P2660" s="24" t="str">
        <x:v>70</x:v>
      </x:c>
      <x:c r="Q2660" s="24"/>
      <x:c r="R2660" s="24"/>
      <x:c r="S2660" s="26" t="n">
        <x:v>46113</x:v>
      </x:c>
      <x:c r="T2660" s="26"/>
      <x:c r="U2660" s="24" t="str">
        <x:v>ATIVA/SEM FIM INFORMADO</x:v>
      </x:c>
      <x:c r="V2660" s="24"/>
      <x:c r="W2660" s="24" t="n">
        <x:v>43</x:v>
      </x:c>
      <x:c r="X2660" s="24" t="str">
        <x:v>tabela_zeiss.pdf</x:v>
      </x:c>
      <x:c r="Y2660" s="24" t="str">
        <x:v>alta</x:v>
      </x:c>
      <x:c r="Z2660" s="24"/>
      <x:c r="AA2660" s="24" t="str">
        <x:v>ZEISS|Progressiva|Surfaçada|Light 2 3Dv|Polarizada|1.6|1.60|DuraVision Platinum UV|-8.50 a +6.00|-4.00|0.75 a 3.50|70|||43</x:v>
      </x:c>
    </x:row>
    <x:row r="2661">
      <x:c r="A2661" s="24" t="str">
        <x:v>ZS-66C6308170C9</x:v>
      </x:c>
      <x:c r="B2661" s="24" t="str">
        <x:v>SIM</x:v>
      </x:c>
      <x:c r="C2661" s="24" t="str">
        <x:v>DISPONÍVEL</x:v>
      </x:c>
      <x:c r="D2661" s="24" t="str">
        <x:v>ZEISS</x:v>
      </x:c>
      <x:c r="E2661" s="24" t="str">
        <x:v>Progressiva</x:v>
      </x:c>
      <x:c r="F2661" s="24" t="str">
        <x:v>Surfaçada</x:v>
      </x:c>
      <x:c r="G2661" s="24" t="str">
        <x:v>Light 2 3Dv</x:v>
      </x:c>
      <x:c r="H2661" s="24" t="str">
        <x:v>Polarizada</x:v>
      </x:c>
      <x:c r="I2661" s="24" t="str">
        <x:v>1.6</x:v>
      </x:c>
      <x:c r="J2661" s="24" t="str">
        <x:v>1.60</x:v>
      </x:c>
      <x:c r="K2661" s="24" t="str">
        <x:v>DuraVision Silver UV</x:v>
      </x:c>
      <x:c r="L2661" s="40" t="n">
        <x:v>5109</x:v>
      </x:c>
      <x:c r="M2661" s="24" t="str">
        <x:v>-8.50 a +6.00</x:v>
      </x:c>
      <x:c r="N2661" s="24" t="str">
        <x:v>-4.00</x:v>
      </x:c>
      <x:c r="O2661" s="24" t="str">
        <x:v>0.75 a 3.50</x:v>
      </x:c>
      <x:c r="P2661" s="24" t="str">
        <x:v>70</x:v>
      </x:c>
      <x:c r="Q2661" s="24"/>
      <x:c r="R2661" s="24"/>
      <x:c r="S2661" s="26" t="n">
        <x:v>46113</x:v>
      </x:c>
      <x:c r="T2661" s="26"/>
      <x:c r="U2661" s="24" t="str">
        <x:v>ATIVA/SEM FIM INFORMADO</x:v>
      </x:c>
      <x:c r="V2661" s="24"/>
      <x:c r="W2661" s="24" t="n">
        <x:v>43</x:v>
      </x:c>
      <x:c r="X2661" s="24" t="str">
        <x:v>tabela_zeiss.pdf</x:v>
      </x:c>
      <x:c r="Y2661" s="24" t="str">
        <x:v>alta</x:v>
      </x:c>
      <x:c r="Z2661" s="24"/>
      <x:c r="AA2661" s="24" t="str">
        <x:v>ZEISS|Progressiva|Surfaçada|Light 2 3Dv|Polarizada|1.6|1.60|DuraVision Silver UV|-8.50 a +6.00|-4.00|0.75 a 3.50|70|||43</x:v>
      </x:c>
    </x:row>
    <x:row r="2662">
      <x:c r="A2662" s="24" t="str">
        <x:v>ZS-A4662D3CF1BC</x:v>
      </x:c>
      <x:c r="B2662" s="24" t="str">
        <x:v>SIM</x:v>
      </x:c>
      <x:c r="C2662" s="24" t="str">
        <x:v>DISPONÍVEL</x:v>
      </x:c>
      <x:c r="D2662" s="24" t="str">
        <x:v>ZEISS</x:v>
      </x:c>
      <x:c r="E2662" s="24" t="str">
        <x:v>Progressiva</x:v>
      </x:c>
      <x:c r="F2662" s="24" t="str">
        <x:v>Surfaçada</x:v>
      </x:c>
      <x:c r="G2662" s="24" t="str">
        <x:v>Light 2 3Dv</x:v>
      </x:c>
      <x:c r="H2662" s="24" t="str">
        <x:v>Polarizada</x:v>
      </x:c>
      <x:c r="I2662" s="24" t="str">
        <x:v>1.6</x:v>
      </x:c>
      <x:c r="J2662" s="24" t="str">
        <x:v>1.60</x:v>
      </x:c>
      <x:c r="K2662" s="24" t="str">
        <x:v>DuraVision Chrome UV</x:v>
      </x:c>
      <x:c r="L2662" s="40" t="n">
        <x:v>4619</x:v>
      </x:c>
      <x:c r="M2662" s="24" t="str">
        <x:v>-8.50 a +6.00</x:v>
      </x:c>
      <x:c r="N2662" s="24" t="str">
        <x:v>-4.00</x:v>
      </x:c>
      <x:c r="O2662" s="24" t="str">
        <x:v>0.75 a 3.50</x:v>
      </x:c>
      <x:c r="P2662" s="24" t="str">
        <x:v>70</x:v>
      </x:c>
      <x:c r="Q2662" s="24"/>
      <x:c r="R2662" s="24"/>
      <x:c r="S2662" s="26" t="n">
        <x:v>46113</x:v>
      </x:c>
      <x:c r="T2662" s="26"/>
      <x:c r="U2662" s="24" t="str">
        <x:v>ATIVA/SEM FIM INFORMADO</x:v>
      </x:c>
      <x:c r="V2662" s="24"/>
      <x:c r="W2662" s="24" t="n">
        <x:v>43</x:v>
      </x:c>
      <x:c r="X2662" s="24" t="str">
        <x:v>tabela_zeiss.pdf</x:v>
      </x:c>
      <x:c r="Y2662" s="24" t="str">
        <x:v>alta</x:v>
      </x:c>
      <x:c r="Z2662" s="24"/>
      <x:c r="AA2662" s="24" t="str">
        <x:v>ZEISS|Progressiva|Surfaçada|Light 2 3Dv|Polarizada|1.6|1.60|DuraVision Chrome UV|-8.50 a +6.00|-4.00|0.75 a 3.50|70|||43</x:v>
      </x:c>
    </x:row>
    <x:row r="2663">
      <x:c r="A2663" s="24" t="str">
        <x:v>ZS-822BA9FC319E</x:v>
      </x:c>
      <x:c r="B2663" s="24" t="str">
        <x:v>SIM</x:v>
      </x:c>
      <x:c r="C2663" s="24" t="str">
        <x:v>DISPONÍVEL</x:v>
      </x:c>
      <x:c r="D2663" s="24" t="str">
        <x:v>ZEISS</x:v>
      </x:c>
      <x:c r="E2663" s="24" t="str">
        <x:v>Progressiva</x:v>
      </x:c>
      <x:c r="F2663" s="24" t="str">
        <x:v>Surfaçada</x:v>
      </x:c>
      <x:c r="G2663" s="24" t="str">
        <x:v>Light 2 3Dv</x:v>
      </x:c>
      <x:c r="H2663" s="24" t="str">
        <x:v>Polarizada</x:v>
      </x:c>
      <x:c r="I2663" s="24" t="str">
        <x:v>1.6</x:v>
      </x:c>
      <x:c r="J2663" s="24" t="str">
        <x:v>1.60</x:v>
      </x:c>
      <x:c r="K2663" s="24" t="str">
        <x:v>Sem AR</x:v>
      </x:c>
      <x:c r="L2663" s="40" t="n">
        <x:v>4219</x:v>
      </x:c>
      <x:c r="M2663" s="24" t="str">
        <x:v>-8.50 a +6.00</x:v>
      </x:c>
      <x:c r="N2663" s="24" t="str">
        <x:v>-4.00</x:v>
      </x:c>
      <x:c r="O2663" s="24" t="str">
        <x:v>0.75 a 3.50</x:v>
      </x:c>
      <x:c r="P2663" s="24" t="str">
        <x:v>70</x:v>
      </x:c>
      <x:c r="Q2663" s="24"/>
      <x:c r="R2663" s="24"/>
      <x:c r="S2663" s="26" t="n">
        <x:v>46113</x:v>
      </x:c>
      <x:c r="T2663" s="26"/>
      <x:c r="U2663" s="24" t="str">
        <x:v>ATIVA/SEM FIM INFORMADO</x:v>
      </x:c>
      <x:c r="V2663" s="24"/>
      <x:c r="W2663" s="24" t="n">
        <x:v>43</x:v>
      </x:c>
      <x:c r="X2663" s="24" t="str">
        <x:v>tabela_zeiss.pdf</x:v>
      </x:c>
      <x:c r="Y2663" s="24" t="str">
        <x:v>alta</x:v>
      </x:c>
      <x:c r="Z2663" s="24"/>
      <x:c r="AA2663" s="24" t="str">
        <x:v>ZEISS|Progressiva|Surfaçada|Light 2 3Dv|Polarizada|1.6|1.60|Sem AR|-8.50 a +6.00|-4.00|0.75 a 3.50|70|||43</x:v>
      </x:c>
    </x:row>
    <x:row r="2664">
      <x:c r="A2664" s="24" t="str">
        <x:v>ZS-CCBBCB782478</x:v>
      </x:c>
      <x:c r="B2664" s="24" t="str">
        <x:v>SIM</x:v>
      </x:c>
      <x:c r="C2664" s="24" t="str">
        <x:v>DISPONÍVEL</x:v>
      </x:c>
      <x:c r="D2664" s="24" t="str">
        <x:v>ZEISS</x:v>
      </x:c>
      <x:c r="E2664" s="24" t="str">
        <x:v>Progressiva</x:v>
      </x:c>
      <x:c r="F2664" s="24" t="str">
        <x:v>Surfaçada</x:v>
      </x:c>
      <x:c r="G2664" s="24" t="str">
        <x:v>Light 2 3D</x:v>
      </x:c>
      <x:c r="H2664" s="24"/>
      <x:c r="I2664" s="24" t="str">
        <x:v>1.5</x:v>
      </x:c>
      <x:c r="J2664" s="24" t="str">
        <x:v>1.50</x:v>
      </x:c>
      <x:c r="K2664" s="24" t="str">
        <x:v>DuraVision Gold UV</x:v>
      </x:c>
      <x:c r="L2664" s="40" t="n">
        <x:v>3339</x:v>
      </x:c>
      <x:c r="M2664" s="24" t="str">
        <x:v>-6.00 a +4.00</x:v>
      </x:c>
      <x:c r="N2664" s="24" t="str">
        <x:v>-4.00</x:v>
      </x:c>
      <x:c r="O2664" s="24" t="str">
        <x:v>0.75 a 3.50</x:v>
      </x:c>
      <x:c r="P2664" s="24" t="str">
        <x:v>75</x:v>
      </x:c>
      <x:c r="Q2664" s="24"/>
      <x:c r="R2664" s="24"/>
      <x:c r="S2664" s="26" t="n">
        <x:v>46113</x:v>
      </x:c>
      <x:c r="T2664" s="26"/>
      <x:c r="U2664" s="24" t="str">
        <x:v>ATIVA/SEM FIM INFORMADO</x:v>
      </x:c>
      <x:c r="V2664" s="24"/>
      <x:c r="W2664" s="24" t="n">
        <x:v>44</x:v>
      </x:c>
      <x:c r="X2664" s="24" t="str">
        <x:v>tabela_zeiss.pdf</x:v>
      </x:c>
      <x:c r="Y2664" s="24" t="str">
        <x:v>alta</x:v>
      </x:c>
      <x:c r="Z2664" s="24"/>
      <x:c r="AA2664" s="24" t="str">
        <x:v>ZEISS|Progressiva|Surfaçada|Light 2 3D||1.5|1.50|DuraVision Gold UV|-6.00 a +4.00|-4.00|0.75 a 3.50|75|||44</x:v>
      </x:c>
    </x:row>
    <x:row r="2665">
      <x:c r="A2665" s="24" t="str">
        <x:v>ZS-9892AF608B34</x:v>
      </x:c>
      <x:c r="B2665" s="24" t="str">
        <x:v>SIM</x:v>
      </x:c>
      <x:c r="C2665" s="24" t="str">
        <x:v>DISPONÍVEL</x:v>
      </x:c>
      <x:c r="D2665" s="24" t="str">
        <x:v>ZEISS</x:v>
      </x:c>
      <x:c r="E2665" s="24" t="str">
        <x:v>Progressiva</x:v>
      </x:c>
      <x:c r="F2665" s="24" t="str">
        <x:v>Surfaçada</x:v>
      </x:c>
      <x:c r="G2665" s="24" t="str">
        <x:v>Light 2 3D</x:v>
      </x:c>
      <x:c r="H2665" s="24"/>
      <x:c r="I2665" s="24" t="str">
        <x:v>1.5</x:v>
      </x:c>
      <x:c r="J2665" s="24" t="str">
        <x:v>1.50</x:v>
      </x:c>
      <x:c r="K2665" s="24" t="str">
        <x:v>DURAVISION® ANTIVÍRUS PLATINUM UV</x:v>
      </x:c>
      <x:c r="L2665" s="40" t="n">
        <x:v>3199</x:v>
      </x:c>
      <x:c r="M2665" s="24" t="str">
        <x:v>-6.00 a +4.00</x:v>
      </x:c>
      <x:c r="N2665" s="24" t="str">
        <x:v>-4.00</x:v>
      </x:c>
      <x:c r="O2665" s="24" t="str">
        <x:v>0.75 a 3.50</x:v>
      </x:c>
      <x:c r="P2665" s="24" t="str">
        <x:v>75</x:v>
      </x:c>
      <x:c r="Q2665" s="24"/>
      <x:c r="R2665" s="24"/>
      <x:c r="S2665" s="26" t="n">
        <x:v>46113</x:v>
      </x:c>
      <x:c r="T2665" s="26"/>
      <x:c r="U2665" s="24" t="str">
        <x:v>ATIVA/SEM FIM INFORMADO</x:v>
      </x:c>
      <x:c r="V2665" s="24"/>
      <x:c r="W2665" s="24" t="n">
        <x:v>44</x:v>
      </x:c>
      <x:c r="X2665" s="24" t="str">
        <x:v>tabela_zeiss.pdf</x:v>
      </x:c>
      <x:c r="Y2665" s="24" t="str">
        <x:v>alta</x:v>
      </x:c>
      <x:c r="Z2665" s="24"/>
      <x:c r="AA2665" s="24" t="str">
        <x:v>ZEISS|Progressiva|Surfaçada|Light 2 3D||1.5|1.50|DURAVISION® ANTIVÍRUS PLATINUM UV|-6.00 a +4.00|-4.00|0.75 a 3.50|75|||44</x:v>
      </x:c>
    </x:row>
    <x:row r="2666">
      <x:c r="A2666" s="24" t="str">
        <x:v>ZS-AB25D0F21261</x:v>
      </x:c>
      <x:c r="B2666" s="24" t="str">
        <x:v>SIM</x:v>
      </x:c>
      <x:c r="C2666" s="24" t="str">
        <x:v>DISPONÍVEL</x:v>
      </x:c>
      <x:c r="D2666" s="24" t="str">
        <x:v>ZEISS</x:v>
      </x:c>
      <x:c r="E2666" s="24" t="str">
        <x:v>Progressiva</x:v>
      </x:c>
      <x:c r="F2666" s="24" t="str">
        <x:v>Surfaçada</x:v>
      </x:c>
      <x:c r="G2666" s="24" t="str">
        <x:v>Light 2 3D</x:v>
      </x:c>
      <x:c r="H2666" s="24"/>
      <x:c r="I2666" s="24" t="str">
        <x:v>1.5</x:v>
      </x:c>
      <x:c r="J2666" s="24" t="str">
        <x:v>1.50</x:v>
      </x:c>
      <x:c r="K2666" s="24" t="str">
        <x:v>DuraVision Platinum UV</x:v>
      </x:c>
      <x:c r="L2666" s="40" t="n">
        <x:v>3199</x:v>
      </x:c>
      <x:c r="M2666" s="24" t="str">
        <x:v>-6.00 a +4.00</x:v>
      </x:c>
      <x:c r="N2666" s="24" t="str">
        <x:v>-4.00</x:v>
      </x:c>
      <x:c r="O2666" s="24" t="str">
        <x:v>0.75 a 3.50</x:v>
      </x:c>
      <x:c r="P2666" s="24" t="str">
        <x:v>75</x:v>
      </x:c>
      <x:c r="Q2666" s="24"/>
      <x:c r="R2666" s="24"/>
      <x:c r="S2666" s="26" t="n">
        <x:v>46113</x:v>
      </x:c>
      <x:c r="T2666" s="26"/>
      <x:c r="U2666" s="24" t="str">
        <x:v>ATIVA/SEM FIM INFORMADO</x:v>
      </x:c>
      <x:c r="V2666" s="24"/>
      <x:c r="W2666" s="24" t="n">
        <x:v>44</x:v>
      </x:c>
      <x:c r="X2666" s="24" t="str">
        <x:v>tabela_zeiss.pdf</x:v>
      </x:c>
      <x:c r="Y2666" s="24" t="str">
        <x:v>alta</x:v>
      </x:c>
      <x:c r="Z2666" s="24"/>
      <x:c r="AA2666" s="24" t="str">
        <x:v>ZEISS|Progressiva|Surfaçada|Light 2 3D||1.5|1.50|DuraVision Platinum UV|-6.00 a +4.00|-4.00|0.75 a 3.50|75|||44</x:v>
      </x:c>
    </x:row>
    <x:row r="2667">
      <x:c r="A2667" s="24" t="str">
        <x:v>ZS-53D09DF598A4</x:v>
      </x:c>
      <x:c r="B2667" s="24" t="str">
        <x:v>SIM</x:v>
      </x:c>
      <x:c r="C2667" s="24" t="str">
        <x:v>DISPONÍVEL</x:v>
      </x:c>
      <x:c r="D2667" s="24" t="str">
        <x:v>ZEISS</x:v>
      </x:c>
      <x:c r="E2667" s="24" t="str">
        <x:v>Progressiva</x:v>
      </x:c>
      <x:c r="F2667" s="24" t="str">
        <x:v>Surfaçada</x:v>
      </x:c>
      <x:c r="G2667" s="24" t="str">
        <x:v>Light 2 3D</x:v>
      </x:c>
      <x:c r="H2667" s="24"/>
      <x:c r="I2667" s="24" t="str">
        <x:v>1.5</x:v>
      </x:c>
      <x:c r="J2667" s="24" t="str">
        <x:v>1.50</x:v>
      </x:c>
      <x:c r="K2667" s="24" t="str">
        <x:v>DuraVision Silver UV</x:v>
      </x:c>
      <x:c r="L2667" s="40" t="n">
        <x:v>2939</x:v>
      </x:c>
      <x:c r="M2667" s="24" t="str">
        <x:v>-6.00 a +4.00</x:v>
      </x:c>
      <x:c r="N2667" s="24" t="str">
        <x:v>-4.00</x:v>
      </x:c>
      <x:c r="O2667" s="24" t="str">
        <x:v>0.75 a 3.50</x:v>
      </x:c>
      <x:c r="P2667" s="24" t="str">
        <x:v>75</x:v>
      </x:c>
      <x:c r="Q2667" s="24"/>
      <x:c r="R2667" s="24"/>
      <x:c r="S2667" s="26" t="n">
        <x:v>46113</x:v>
      </x:c>
      <x:c r="T2667" s="26"/>
      <x:c r="U2667" s="24" t="str">
        <x:v>ATIVA/SEM FIM INFORMADO</x:v>
      </x:c>
      <x:c r="V2667" s="24"/>
      <x:c r="W2667" s="24" t="n">
        <x:v>44</x:v>
      </x:c>
      <x:c r="X2667" s="24" t="str">
        <x:v>tabela_zeiss.pdf</x:v>
      </x:c>
      <x:c r="Y2667" s="24" t="str">
        <x:v>alta</x:v>
      </x:c>
      <x:c r="Z2667" s="24"/>
      <x:c r="AA2667" s="24" t="str">
        <x:v>ZEISS|Progressiva|Surfaçada|Light 2 3D||1.5|1.50|DuraVision Silver UV|-6.00 a +4.00|-4.00|0.75 a 3.50|75|||44</x:v>
      </x:c>
    </x:row>
    <x:row r="2668">
      <x:c r="A2668" s="24" t="str">
        <x:v>ZS-C888B7DF2D56</x:v>
      </x:c>
      <x:c r="B2668" s="24" t="str">
        <x:v>SIM</x:v>
      </x:c>
      <x:c r="C2668" s="24" t="str">
        <x:v>DISPONÍVEL</x:v>
      </x:c>
      <x:c r="D2668" s="24" t="str">
        <x:v>ZEISS</x:v>
      </x:c>
      <x:c r="E2668" s="24" t="str">
        <x:v>Progressiva</x:v>
      </x:c>
      <x:c r="F2668" s="24" t="str">
        <x:v>Surfaçada</x:v>
      </x:c>
      <x:c r="G2668" s="24" t="str">
        <x:v>Light 2 3D</x:v>
      </x:c>
      <x:c r="H2668" s="24"/>
      <x:c r="I2668" s="24" t="str">
        <x:v>1.5</x:v>
      </x:c>
      <x:c r="J2668" s="24" t="str">
        <x:v>1.50</x:v>
      </x:c>
      <x:c r="K2668" s="24" t="str">
        <x:v>DuraVision Chrome UV</x:v>
      </x:c>
      <x:c r="L2668" s="40" t="n">
        <x:v>2449</x:v>
      </x:c>
      <x:c r="M2668" s="24" t="str">
        <x:v>-6.00 a +4.00</x:v>
      </x:c>
      <x:c r="N2668" s="24" t="str">
        <x:v>-4.00</x:v>
      </x:c>
      <x:c r="O2668" s="24" t="str">
        <x:v>0.75 a 3.50</x:v>
      </x:c>
      <x:c r="P2668" s="24" t="str">
        <x:v>75</x:v>
      </x:c>
      <x:c r="Q2668" s="24"/>
      <x:c r="R2668" s="24"/>
      <x:c r="S2668" s="26" t="n">
        <x:v>46113</x:v>
      </x:c>
      <x:c r="T2668" s="26"/>
      <x:c r="U2668" s="24" t="str">
        <x:v>ATIVA/SEM FIM INFORMADO</x:v>
      </x:c>
      <x:c r="V2668" s="24"/>
      <x:c r="W2668" s="24" t="n">
        <x:v>44</x:v>
      </x:c>
      <x:c r="X2668" s="24" t="str">
        <x:v>tabela_zeiss.pdf</x:v>
      </x:c>
      <x:c r="Y2668" s="24" t="str">
        <x:v>alta</x:v>
      </x:c>
      <x:c r="Z2668" s="24"/>
      <x:c r="AA2668" s="24" t="str">
        <x:v>ZEISS|Progressiva|Surfaçada|Light 2 3D||1.5|1.50|DuraVision Chrome UV|-6.00 a +4.00|-4.00|0.75 a 3.50|75|||44</x:v>
      </x:c>
    </x:row>
    <x:row r="2669">
      <x:c r="A2669" s="24" t="str">
        <x:v>ZS-2E3EE4BA5D23</x:v>
      </x:c>
      <x:c r="B2669" s="24" t="str">
        <x:v>SIM</x:v>
      </x:c>
      <x:c r="C2669" s="24" t="str">
        <x:v>DISPONÍVEL</x:v>
      </x:c>
      <x:c r="D2669" s="24" t="str">
        <x:v>ZEISS</x:v>
      </x:c>
      <x:c r="E2669" s="24" t="str">
        <x:v>Progressiva</x:v>
      </x:c>
      <x:c r="F2669" s="24" t="str">
        <x:v>Surfaçada</x:v>
      </x:c>
      <x:c r="G2669" s="24" t="str">
        <x:v>Light 2 3D</x:v>
      </x:c>
      <x:c r="H2669" s="24"/>
      <x:c r="I2669" s="24" t="str">
        <x:v>1.5</x:v>
      </x:c>
      <x:c r="J2669" s="24" t="str">
        <x:v>1.50</x:v>
      </x:c>
      <x:c r="K2669" s="24" t="str">
        <x:v>Sem AR</x:v>
      </x:c>
      <x:c r="L2669" s="40" t="n">
        <x:v>2049</x:v>
      </x:c>
      <x:c r="M2669" s="24" t="str">
        <x:v>-6.00 a +4.00</x:v>
      </x:c>
      <x:c r="N2669" s="24" t="str">
        <x:v>-4.00</x:v>
      </x:c>
      <x:c r="O2669" s="24" t="str">
        <x:v>0.75 a 3.50</x:v>
      </x:c>
      <x:c r="P2669" s="24" t="str">
        <x:v>75</x:v>
      </x:c>
      <x:c r="Q2669" s="24"/>
      <x:c r="R2669" s="24"/>
      <x:c r="S2669" s="26" t="n">
        <x:v>46113</x:v>
      </x:c>
      <x:c r="T2669" s="26"/>
      <x:c r="U2669" s="24" t="str">
        <x:v>ATIVA/SEM FIM INFORMADO</x:v>
      </x:c>
      <x:c r="V2669" s="24"/>
      <x:c r="W2669" s="24" t="n">
        <x:v>44</x:v>
      </x:c>
      <x:c r="X2669" s="24" t="str">
        <x:v>tabela_zeiss.pdf</x:v>
      </x:c>
      <x:c r="Y2669" s="24" t="str">
        <x:v>alta</x:v>
      </x:c>
      <x:c r="Z2669" s="24"/>
      <x:c r="AA2669" s="24" t="str">
        <x:v>ZEISS|Progressiva|Surfaçada|Light 2 3D||1.5|1.50|Sem AR|-6.00 a +4.00|-4.00|0.75 a 3.50|75|||44</x:v>
      </x:c>
    </x:row>
    <x:row r="2670">
      <x:c r="A2670" s="24" t="str">
        <x:v>ZS-ACAB6E7F3BC8</x:v>
      </x:c>
      <x:c r="B2670" s="24" t="str">
        <x:v>SIM</x:v>
      </x:c>
      <x:c r="C2670" s="24" t="str">
        <x:v>DISPONÍVEL</x:v>
      </x:c>
      <x:c r="D2670" s="24" t="str">
        <x:v>ZEISS</x:v>
      </x:c>
      <x:c r="E2670" s="24" t="str">
        <x:v>Progressiva</x:v>
      </x:c>
      <x:c r="F2670" s="24" t="str">
        <x:v>Surfaçada</x:v>
      </x:c>
      <x:c r="G2670" s="24" t="str">
        <x:v>Light 2 3D</x:v>
      </x:c>
      <x:c r="H2670" s="24"/>
      <x:c r="I2670" s="24" t="str">
        <x:v>Poli</x:v>
      </x:c>
      <x:c r="J2670" s="24"/>
      <x:c r="K2670" s="24" t="str">
        <x:v>DuraVision Gold UV</x:v>
      </x:c>
      <x:c r="L2670" s="40" t="n">
        <x:v>3699</x:v>
      </x:c>
      <x:c r="M2670" s="24" t="str">
        <x:v>-10.00 a +6.00</x:v>
      </x:c>
      <x:c r="N2670" s="24" t="str">
        <x:v>-6.00</x:v>
      </x:c>
      <x:c r="O2670" s="24" t="str">
        <x:v>0.75 a 3.00</x:v>
      </x:c>
      <x:c r="P2670" s="24" t="str">
        <x:v>75</x:v>
      </x:c>
      <x:c r="Q2670" s="24"/>
      <x:c r="R2670" s="24"/>
      <x:c r="S2670" s="26" t="n">
        <x:v>46113</x:v>
      </x:c>
      <x:c r="T2670" s="26"/>
      <x:c r="U2670" s="24" t="str">
        <x:v>ATIVA/SEM FIM INFORMADO</x:v>
      </x:c>
      <x:c r="V2670" s="24"/>
      <x:c r="W2670" s="24" t="n">
        <x:v>44</x:v>
      </x:c>
      <x:c r="X2670" s="24" t="str">
        <x:v>tabela_zeiss.pdf</x:v>
      </x:c>
      <x:c r="Y2670" s="24" t="str">
        <x:v>alta</x:v>
      </x:c>
      <x:c r="Z2670" s="24"/>
      <x:c r="AA2670" s="24" t="str">
        <x:v>ZEISS|Progressiva|Surfaçada|Light 2 3D||Poli||DuraVision Gold UV|-10.00 a +6.00|-6.00|0.75 a 3.00|75|||44</x:v>
      </x:c>
    </x:row>
    <x:row r="2671">
      <x:c r="A2671" s="24" t="str">
        <x:v>ZS-E525EC0F4B66</x:v>
      </x:c>
      <x:c r="B2671" s="24" t="str">
        <x:v>SIM</x:v>
      </x:c>
      <x:c r="C2671" s="24" t="str">
        <x:v>DISPONÍVEL</x:v>
      </x:c>
      <x:c r="D2671" s="24" t="str">
        <x:v>ZEISS</x:v>
      </x:c>
      <x:c r="E2671" s="24" t="str">
        <x:v>Progressiva</x:v>
      </x:c>
      <x:c r="F2671" s="24" t="str">
        <x:v>Surfaçada</x:v>
      </x:c>
      <x:c r="G2671" s="24" t="str">
        <x:v>Light 2 3D</x:v>
      </x:c>
      <x:c r="H2671" s="24"/>
      <x:c r="I2671" s="24" t="str">
        <x:v>Poli</x:v>
      </x:c>
      <x:c r="J2671" s="24"/>
      <x:c r="K2671" s="24" t="str">
        <x:v>DuraVision Platinum UV</x:v>
      </x:c>
      <x:c r="L2671" s="40" t="n">
        <x:v>3559</x:v>
      </x:c>
      <x:c r="M2671" s="24" t="str">
        <x:v>-10.00 a +6.00</x:v>
      </x:c>
      <x:c r="N2671" s="24" t="str">
        <x:v>-6.00</x:v>
      </x:c>
      <x:c r="O2671" s="24" t="str">
        <x:v>0.75 a 3.00</x:v>
      </x:c>
      <x:c r="P2671" s="24" t="str">
        <x:v>75</x:v>
      </x:c>
      <x:c r="Q2671" s="24"/>
      <x:c r="R2671" s="24"/>
      <x:c r="S2671" s="26" t="n">
        <x:v>46113</x:v>
      </x:c>
      <x:c r="T2671" s="26"/>
      <x:c r="U2671" s="24" t="str">
        <x:v>ATIVA/SEM FIM INFORMADO</x:v>
      </x:c>
      <x:c r="V2671" s="24"/>
      <x:c r="W2671" s="24" t="n">
        <x:v>44</x:v>
      </x:c>
      <x:c r="X2671" s="24" t="str">
        <x:v>tabela_zeiss.pdf</x:v>
      </x:c>
      <x:c r="Y2671" s="24" t="str">
        <x:v>alta</x:v>
      </x:c>
      <x:c r="Z2671" s="24"/>
      <x:c r="AA2671" s="24" t="str">
        <x:v>ZEISS|Progressiva|Surfaçada|Light 2 3D||Poli||DuraVision Platinum UV|-10.00 a +6.00|-6.00|0.75 a 3.00|75|||44</x:v>
      </x:c>
    </x:row>
    <x:row r="2672">
      <x:c r="A2672" s="24" t="str">
        <x:v>ZS-9F00E3ABEB6D</x:v>
      </x:c>
      <x:c r="B2672" s="24" t="str">
        <x:v>SIM</x:v>
      </x:c>
      <x:c r="C2672" s="24" t="str">
        <x:v>DISPONÍVEL</x:v>
      </x:c>
      <x:c r="D2672" s="24" t="str">
        <x:v>ZEISS</x:v>
      </x:c>
      <x:c r="E2672" s="24" t="str">
        <x:v>Progressiva</x:v>
      </x:c>
      <x:c r="F2672" s="24" t="str">
        <x:v>Surfaçada</x:v>
      </x:c>
      <x:c r="G2672" s="24" t="str">
        <x:v>Light 2 3D</x:v>
      </x:c>
      <x:c r="H2672" s="24"/>
      <x:c r="I2672" s="24" t="str">
        <x:v>Poli</x:v>
      </x:c>
      <x:c r="J2672" s="24"/>
      <x:c r="K2672" s="24" t="str">
        <x:v>DuraVision Silver UV</x:v>
      </x:c>
      <x:c r="L2672" s="40" t="n">
        <x:v>3299</x:v>
      </x:c>
      <x:c r="M2672" s="24" t="str">
        <x:v>-10.00 a +6.00</x:v>
      </x:c>
      <x:c r="N2672" s="24" t="str">
        <x:v>-6.00</x:v>
      </x:c>
      <x:c r="O2672" s="24" t="str">
        <x:v>0.75 a 3.00</x:v>
      </x:c>
      <x:c r="P2672" s="24" t="str">
        <x:v>75</x:v>
      </x:c>
      <x:c r="Q2672" s="24"/>
      <x:c r="R2672" s="24"/>
      <x:c r="S2672" s="26" t="n">
        <x:v>46113</x:v>
      </x:c>
      <x:c r="T2672" s="26"/>
      <x:c r="U2672" s="24" t="str">
        <x:v>ATIVA/SEM FIM INFORMADO</x:v>
      </x:c>
      <x:c r="V2672" s="24"/>
      <x:c r="W2672" s="24" t="n">
        <x:v>44</x:v>
      </x:c>
      <x:c r="X2672" s="24" t="str">
        <x:v>tabela_zeiss.pdf</x:v>
      </x:c>
      <x:c r="Y2672" s="24" t="str">
        <x:v>alta</x:v>
      </x:c>
      <x:c r="Z2672" s="24"/>
      <x:c r="AA2672" s="24" t="str">
        <x:v>ZEISS|Progressiva|Surfaçada|Light 2 3D||Poli||DuraVision Silver UV|-10.00 a +6.00|-6.00|0.75 a 3.00|75|||44</x:v>
      </x:c>
    </x:row>
    <x:row r="2673">
      <x:c r="A2673" s="24" t="str">
        <x:v>ZS-B31784266C1F</x:v>
      </x:c>
      <x:c r="B2673" s="24" t="str">
        <x:v>SIM</x:v>
      </x:c>
      <x:c r="C2673" s="24" t="str">
        <x:v>DISPONÍVEL</x:v>
      </x:c>
      <x:c r="D2673" s="24" t="str">
        <x:v>ZEISS</x:v>
      </x:c>
      <x:c r="E2673" s="24" t="str">
        <x:v>Progressiva</x:v>
      </x:c>
      <x:c r="F2673" s="24" t="str">
        <x:v>Surfaçada</x:v>
      </x:c>
      <x:c r="G2673" s="24" t="str">
        <x:v>Light 2 3D</x:v>
      </x:c>
      <x:c r="H2673" s="24"/>
      <x:c r="I2673" s="24" t="str">
        <x:v>Poli</x:v>
      </x:c>
      <x:c r="J2673" s="24"/>
      <x:c r="K2673" s="24" t="str">
        <x:v>DuraVision Chrome UV</x:v>
      </x:c>
      <x:c r="L2673" s="40" t="n">
        <x:v>2809</x:v>
      </x:c>
      <x:c r="M2673" s="24" t="str">
        <x:v>-10.00 a +6.00</x:v>
      </x:c>
      <x:c r="N2673" s="24" t="str">
        <x:v>-6.00</x:v>
      </x:c>
      <x:c r="O2673" s="24" t="str">
        <x:v>0.75 a 3.00</x:v>
      </x:c>
      <x:c r="P2673" s="24" t="str">
        <x:v>75</x:v>
      </x:c>
      <x:c r="Q2673" s="24"/>
      <x:c r="R2673" s="24"/>
      <x:c r="S2673" s="26" t="n">
        <x:v>46113</x:v>
      </x:c>
      <x:c r="T2673" s="26"/>
      <x:c r="U2673" s="24" t="str">
        <x:v>ATIVA/SEM FIM INFORMADO</x:v>
      </x:c>
      <x:c r="V2673" s="24"/>
      <x:c r="W2673" s="24" t="n">
        <x:v>44</x:v>
      </x:c>
      <x:c r="X2673" s="24" t="str">
        <x:v>tabela_zeiss.pdf</x:v>
      </x:c>
      <x:c r="Y2673" s="24" t="str">
        <x:v>alta</x:v>
      </x:c>
      <x:c r="Z2673" s="24"/>
      <x:c r="AA2673" s="24" t="str">
        <x:v>ZEISS|Progressiva|Surfaçada|Light 2 3D||Poli||DuraVision Chrome UV|-10.00 a +6.00|-6.00|0.75 a 3.00|75|||44</x:v>
      </x:c>
    </x:row>
    <x:row r="2674">
      <x:c r="A2674" s="24" t="str">
        <x:v>ZS-B448C719AE80</x:v>
      </x:c>
      <x:c r="B2674" s="24" t="str">
        <x:v>SIM</x:v>
      </x:c>
      <x:c r="C2674" s="24" t="str">
        <x:v>DISPONÍVEL</x:v>
      </x:c>
      <x:c r="D2674" s="24" t="str">
        <x:v>ZEISS</x:v>
      </x:c>
      <x:c r="E2674" s="24" t="str">
        <x:v>Progressiva</x:v>
      </x:c>
      <x:c r="F2674" s="24" t="str">
        <x:v>Surfaçada</x:v>
      </x:c>
      <x:c r="G2674" s="24" t="str">
        <x:v>Light 2 3D</x:v>
      </x:c>
      <x:c r="H2674" s="24"/>
      <x:c r="I2674" s="24" t="str">
        <x:v>Poli</x:v>
      </x:c>
      <x:c r="J2674" s="24"/>
      <x:c r="K2674" s="24" t="str">
        <x:v>Sem AR</x:v>
      </x:c>
      <x:c r="L2674" s="40" t="n">
        <x:v>2409</x:v>
      </x:c>
      <x:c r="M2674" s="24" t="str">
        <x:v>-10.00 a +6.00</x:v>
      </x:c>
      <x:c r="N2674" s="24" t="str">
        <x:v>-6.00</x:v>
      </x:c>
      <x:c r="O2674" s="24" t="str">
        <x:v>0.75 a 3.00</x:v>
      </x:c>
      <x:c r="P2674" s="24" t="str">
        <x:v>75</x:v>
      </x:c>
      <x:c r="Q2674" s="24"/>
      <x:c r="R2674" s="24"/>
      <x:c r="S2674" s="26" t="n">
        <x:v>46113</x:v>
      </x:c>
      <x:c r="T2674" s="26"/>
      <x:c r="U2674" s="24" t="str">
        <x:v>ATIVA/SEM FIM INFORMADO</x:v>
      </x:c>
      <x:c r="V2674" s="24"/>
      <x:c r="W2674" s="24" t="n">
        <x:v>44</x:v>
      </x:c>
      <x:c r="X2674" s="24" t="str">
        <x:v>tabela_zeiss.pdf</x:v>
      </x:c>
      <x:c r="Y2674" s="24" t="str">
        <x:v>alta</x:v>
      </x:c>
      <x:c r="Z2674" s="24"/>
      <x:c r="AA2674" s="24" t="str">
        <x:v>ZEISS|Progressiva|Surfaçada|Light 2 3D||Poli||Sem AR|-10.00 a +6.00|-6.00|0.75 a 3.00|75|||44</x:v>
      </x:c>
    </x:row>
    <x:row r="2675">
      <x:c r="A2675" s="24" t="str">
        <x:v>ZS-88DD5AD397C6</x:v>
      </x:c>
      <x:c r="B2675" s="24" t="str">
        <x:v>SIM</x:v>
      </x:c>
      <x:c r="C2675" s="24" t="str">
        <x:v>DISPONÍVEL</x:v>
      </x:c>
      <x:c r="D2675" s="24" t="str">
        <x:v>ZEISS</x:v>
      </x:c>
      <x:c r="E2675" s="24" t="str">
        <x:v>Progressiva</x:v>
      </x:c>
      <x:c r="F2675" s="24" t="str">
        <x:v>Surfaçada</x:v>
      </x:c>
      <x:c r="G2675" s="24" t="str">
        <x:v>Light 2 3D</x:v>
      </x:c>
      <x:c r="H2675" s="24"/>
      <x:c r="I2675" s="24" t="str">
        <x:v>1.6</x:v>
      </x:c>
      <x:c r="J2675" s="24" t="str">
        <x:v>1.60</x:v>
      </x:c>
      <x:c r="K2675" s="24" t="str">
        <x:v>DuraVision Gold UV</x:v>
      </x:c>
      <x:c r="L2675" s="40" t="n">
        <x:v>3919</x:v>
      </x:c>
      <x:c r="M2675" s="24" t="str">
        <x:v>-7.25 a +6.00</x:v>
      </x:c>
      <x:c r="N2675" s="24" t="str">
        <x:v>-6.00</x:v>
      </x:c>
      <x:c r="O2675" s="24" t="str">
        <x:v>0.75 a 3.50</x:v>
      </x:c>
      <x:c r="P2675" s="24" t="str">
        <x:v>75</x:v>
      </x:c>
      <x:c r="Q2675" s="24"/>
      <x:c r="R2675" s="24"/>
      <x:c r="S2675" s="26" t="n">
        <x:v>46113</x:v>
      </x:c>
      <x:c r="T2675" s="26"/>
      <x:c r="U2675" s="24" t="str">
        <x:v>ATIVA/SEM FIM INFORMADO</x:v>
      </x:c>
      <x:c r="V2675" s="24"/>
      <x:c r="W2675" s="24" t="n">
        <x:v>44</x:v>
      </x:c>
      <x:c r="X2675" s="24" t="str">
        <x:v>tabela_zeiss.pdf</x:v>
      </x:c>
      <x:c r="Y2675" s="24" t="str">
        <x:v>alta</x:v>
      </x:c>
      <x:c r="Z2675" s="24"/>
      <x:c r="AA2675" s="24" t="str">
        <x:v>ZEISS|Progressiva|Surfaçada|Light 2 3D||1.6|1.60|DuraVision Gold UV|-7.25 a +6.00|-6.00|0.75 a 3.50|75|||44</x:v>
      </x:c>
    </x:row>
    <x:row r="2676">
      <x:c r="A2676" s="24" t="str">
        <x:v>ZS-904463FB4A28</x:v>
      </x:c>
      <x:c r="B2676" s="24" t="str">
        <x:v>SIM</x:v>
      </x:c>
      <x:c r="C2676" s="24" t="str">
        <x:v>DISPONÍVEL</x:v>
      </x:c>
      <x:c r="D2676" s="24" t="str">
        <x:v>ZEISS</x:v>
      </x:c>
      <x:c r="E2676" s="24" t="str">
        <x:v>Progressiva</x:v>
      </x:c>
      <x:c r="F2676" s="24" t="str">
        <x:v>Surfaçada</x:v>
      </x:c>
      <x:c r="G2676" s="24" t="str">
        <x:v>Light 2 3D</x:v>
      </x:c>
      <x:c r="H2676" s="24"/>
      <x:c r="I2676" s="24" t="str">
        <x:v>1.6</x:v>
      </x:c>
      <x:c r="J2676" s="24" t="str">
        <x:v>1.60</x:v>
      </x:c>
      <x:c r="K2676" s="24" t="str">
        <x:v>DURAVISION® ANTIVÍRUS PLATINUM UV</x:v>
      </x:c>
      <x:c r="L2676" s="40" t="n">
        <x:v>3779</x:v>
      </x:c>
      <x:c r="M2676" s="24" t="str">
        <x:v>-7.25 a +6.00</x:v>
      </x:c>
      <x:c r="N2676" s="24" t="str">
        <x:v>-6.00</x:v>
      </x:c>
      <x:c r="O2676" s="24" t="str">
        <x:v>0.75 a 3.50</x:v>
      </x:c>
      <x:c r="P2676" s="24" t="str">
        <x:v>75</x:v>
      </x:c>
      <x:c r="Q2676" s="24"/>
      <x:c r="R2676" s="24"/>
      <x:c r="S2676" s="26" t="n">
        <x:v>46113</x:v>
      </x:c>
      <x:c r="T2676" s="26"/>
      <x:c r="U2676" s="24" t="str">
        <x:v>ATIVA/SEM FIM INFORMADO</x:v>
      </x:c>
      <x:c r="V2676" s="24"/>
      <x:c r="W2676" s="24" t="n">
        <x:v>44</x:v>
      </x:c>
      <x:c r="X2676" s="24" t="str">
        <x:v>tabela_zeiss.pdf</x:v>
      </x:c>
      <x:c r="Y2676" s="24" t="str">
        <x:v>alta</x:v>
      </x:c>
      <x:c r="Z2676" s="24"/>
      <x:c r="AA2676" s="24" t="str">
        <x:v>ZEISS|Progressiva|Surfaçada|Light 2 3D||1.6|1.60|DURAVISION® ANTIVÍRUS PLATINUM UV|-7.25 a +6.00|-6.00|0.75 a 3.50|75|||44</x:v>
      </x:c>
    </x:row>
    <x:row r="2677">
      <x:c r="A2677" s="24" t="str">
        <x:v>ZS-6B403093AC81</x:v>
      </x:c>
      <x:c r="B2677" s="24" t="str">
        <x:v>SIM</x:v>
      </x:c>
      <x:c r="C2677" s="24" t="str">
        <x:v>DISPONÍVEL</x:v>
      </x:c>
      <x:c r="D2677" s="24" t="str">
        <x:v>ZEISS</x:v>
      </x:c>
      <x:c r="E2677" s="24" t="str">
        <x:v>Progressiva</x:v>
      </x:c>
      <x:c r="F2677" s="24" t="str">
        <x:v>Surfaçada</x:v>
      </x:c>
      <x:c r="G2677" s="24" t="str">
        <x:v>Light 2 3D</x:v>
      </x:c>
      <x:c r="H2677" s="24"/>
      <x:c r="I2677" s="24" t="str">
        <x:v>1.6</x:v>
      </x:c>
      <x:c r="J2677" s="24" t="str">
        <x:v>1.60</x:v>
      </x:c>
      <x:c r="K2677" s="24" t="str">
        <x:v>DuraVision Platinum UV</x:v>
      </x:c>
      <x:c r="L2677" s="40" t="n">
        <x:v>3779</x:v>
      </x:c>
      <x:c r="M2677" s="24" t="str">
        <x:v>-7.25 a +6.00</x:v>
      </x:c>
      <x:c r="N2677" s="24" t="str">
        <x:v>-6.00</x:v>
      </x:c>
      <x:c r="O2677" s="24" t="str">
        <x:v>0.75 a 3.50</x:v>
      </x:c>
      <x:c r="P2677" s="24" t="str">
        <x:v>75</x:v>
      </x:c>
      <x:c r="Q2677" s="24"/>
      <x:c r="R2677" s="24"/>
      <x:c r="S2677" s="26" t="n">
        <x:v>46113</x:v>
      </x:c>
      <x:c r="T2677" s="26"/>
      <x:c r="U2677" s="24" t="str">
        <x:v>ATIVA/SEM FIM INFORMADO</x:v>
      </x:c>
      <x:c r="V2677" s="24"/>
      <x:c r="W2677" s="24" t="n">
        <x:v>44</x:v>
      </x:c>
      <x:c r="X2677" s="24" t="str">
        <x:v>tabela_zeiss.pdf</x:v>
      </x:c>
      <x:c r="Y2677" s="24" t="str">
        <x:v>alta</x:v>
      </x:c>
      <x:c r="Z2677" s="24"/>
      <x:c r="AA2677" s="24" t="str">
        <x:v>ZEISS|Progressiva|Surfaçada|Light 2 3D||1.6|1.60|DuraVision Platinum UV|-7.25 a +6.00|-6.00|0.75 a 3.50|75|||44</x:v>
      </x:c>
    </x:row>
    <x:row r="2678">
      <x:c r="A2678" s="24" t="str">
        <x:v>ZS-590A9F0DB96A</x:v>
      </x:c>
      <x:c r="B2678" s="24" t="str">
        <x:v>SIM</x:v>
      </x:c>
      <x:c r="C2678" s="24" t="str">
        <x:v>DISPONÍVEL</x:v>
      </x:c>
      <x:c r="D2678" s="24" t="str">
        <x:v>ZEISS</x:v>
      </x:c>
      <x:c r="E2678" s="24" t="str">
        <x:v>Progressiva</x:v>
      </x:c>
      <x:c r="F2678" s="24" t="str">
        <x:v>Surfaçada</x:v>
      </x:c>
      <x:c r="G2678" s="24" t="str">
        <x:v>Light 2 3D</x:v>
      </x:c>
      <x:c r="H2678" s="24"/>
      <x:c r="I2678" s="24" t="str">
        <x:v>1.6</x:v>
      </x:c>
      <x:c r="J2678" s="24" t="str">
        <x:v>1.60</x:v>
      </x:c>
      <x:c r="K2678" s="24" t="str">
        <x:v>DuraVision Silver UV</x:v>
      </x:c>
      <x:c r="L2678" s="40" t="n">
        <x:v>3519</x:v>
      </x:c>
      <x:c r="M2678" s="24" t="str">
        <x:v>-7.25 a +6.00</x:v>
      </x:c>
      <x:c r="N2678" s="24" t="str">
        <x:v>-6.00</x:v>
      </x:c>
      <x:c r="O2678" s="24" t="str">
        <x:v>0.75 a 3.50</x:v>
      </x:c>
      <x:c r="P2678" s="24" t="str">
        <x:v>75</x:v>
      </x:c>
      <x:c r="Q2678" s="24"/>
      <x:c r="R2678" s="24"/>
      <x:c r="S2678" s="26" t="n">
        <x:v>46113</x:v>
      </x:c>
      <x:c r="T2678" s="26"/>
      <x:c r="U2678" s="24" t="str">
        <x:v>ATIVA/SEM FIM INFORMADO</x:v>
      </x:c>
      <x:c r="V2678" s="24"/>
      <x:c r="W2678" s="24" t="n">
        <x:v>44</x:v>
      </x:c>
      <x:c r="X2678" s="24" t="str">
        <x:v>tabela_zeiss.pdf</x:v>
      </x:c>
      <x:c r="Y2678" s="24" t="str">
        <x:v>alta</x:v>
      </x:c>
      <x:c r="Z2678" s="24"/>
      <x:c r="AA2678" s="24" t="str">
        <x:v>ZEISS|Progressiva|Surfaçada|Light 2 3D||1.6|1.60|DuraVision Silver UV|-7.25 a +6.00|-6.00|0.75 a 3.50|75|||44</x:v>
      </x:c>
    </x:row>
    <x:row r="2679">
      <x:c r="A2679" s="24" t="str">
        <x:v>ZS-D5838A864B90</x:v>
      </x:c>
      <x:c r="B2679" s="24" t="str">
        <x:v>SIM</x:v>
      </x:c>
      <x:c r="C2679" s="24" t="str">
        <x:v>DISPONÍVEL</x:v>
      </x:c>
      <x:c r="D2679" s="24" t="str">
        <x:v>ZEISS</x:v>
      </x:c>
      <x:c r="E2679" s="24" t="str">
        <x:v>Progressiva</x:v>
      </x:c>
      <x:c r="F2679" s="24" t="str">
        <x:v>Surfaçada</x:v>
      </x:c>
      <x:c r="G2679" s="24" t="str">
        <x:v>Light 2 3D</x:v>
      </x:c>
      <x:c r="H2679" s="24"/>
      <x:c r="I2679" s="24" t="str">
        <x:v>1.6</x:v>
      </x:c>
      <x:c r="J2679" s="24" t="str">
        <x:v>1.60</x:v>
      </x:c>
      <x:c r="K2679" s="24" t="str">
        <x:v>DuraVision Chrome UV</x:v>
      </x:c>
      <x:c r="L2679" s="40" t="n">
        <x:v>3029</x:v>
      </x:c>
      <x:c r="M2679" s="24" t="str">
        <x:v>-7.25 a +6.00</x:v>
      </x:c>
      <x:c r="N2679" s="24" t="str">
        <x:v>-6.00</x:v>
      </x:c>
      <x:c r="O2679" s="24" t="str">
        <x:v>0.75 a 3.50</x:v>
      </x:c>
      <x:c r="P2679" s="24" t="str">
        <x:v>75</x:v>
      </x:c>
      <x:c r="Q2679" s="24"/>
      <x:c r="R2679" s="24"/>
      <x:c r="S2679" s="26" t="n">
        <x:v>46113</x:v>
      </x:c>
      <x:c r="T2679" s="26"/>
      <x:c r="U2679" s="24" t="str">
        <x:v>ATIVA/SEM FIM INFORMADO</x:v>
      </x:c>
      <x:c r="V2679" s="24"/>
      <x:c r="W2679" s="24" t="n">
        <x:v>44</x:v>
      </x:c>
      <x:c r="X2679" s="24" t="str">
        <x:v>tabela_zeiss.pdf</x:v>
      </x:c>
      <x:c r="Y2679" s="24" t="str">
        <x:v>alta</x:v>
      </x:c>
      <x:c r="Z2679" s="24"/>
      <x:c r="AA2679" s="24" t="str">
        <x:v>ZEISS|Progressiva|Surfaçada|Light 2 3D||1.6|1.60|DuraVision Chrome UV|-7.25 a +6.00|-6.00|0.75 a 3.50|75|||44</x:v>
      </x:c>
    </x:row>
    <x:row r="2680">
      <x:c r="A2680" s="24" t="str">
        <x:v>ZS-D893550A5359</x:v>
      </x:c>
      <x:c r="B2680" s="24" t="str">
        <x:v>SIM</x:v>
      </x:c>
      <x:c r="C2680" s="24" t="str">
        <x:v>DISPONÍVEL</x:v>
      </x:c>
      <x:c r="D2680" s="24" t="str">
        <x:v>ZEISS</x:v>
      </x:c>
      <x:c r="E2680" s="24" t="str">
        <x:v>Progressiva</x:v>
      </x:c>
      <x:c r="F2680" s="24" t="str">
        <x:v>Surfaçada</x:v>
      </x:c>
      <x:c r="G2680" s="24" t="str">
        <x:v>Light 2 3D</x:v>
      </x:c>
      <x:c r="H2680" s="24"/>
      <x:c r="I2680" s="24" t="str">
        <x:v>1.67</x:v>
      </x:c>
      <x:c r="J2680" s="24" t="str">
        <x:v>1.67</x:v>
      </x:c>
      <x:c r="K2680" s="24" t="str">
        <x:v>DuraVision Gold UV</x:v>
      </x:c>
      <x:c r="L2680" s="40" t="n">
        <x:v>5219</x:v>
      </x:c>
      <x:c r="M2680" s="24" t="str">
        <x:v>-10.00 a +6.00</x:v>
      </x:c>
      <x:c r="N2680" s="24" t="str">
        <x:v>-6.00</x:v>
      </x:c>
      <x:c r="O2680" s="24" t="str">
        <x:v>0.75 a 3.00</x:v>
      </x:c>
      <x:c r="P2680" s="24" t="str">
        <x:v>70</x:v>
      </x:c>
      <x:c r="Q2680" s="24"/>
      <x:c r="R2680" s="24"/>
      <x:c r="S2680" s="26" t="n">
        <x:v>46113</x:v>
      </x:c>
      <x:c r="T2680" s="26"/>
      <x:c r="U2680" s="24" t="str">
        <x:v>ATIVA/SEM FIM INFORMADO</x:v>
      </x:c>
      <x:c r="V2680" s="24"/>
      <x:c r="W2680" s="24" t="n">
        <x:v>44</x:v>
      </x:c>
      <x:c r="X2680" s="24" t="str">
        <x:v>tabela_zeiss.pdf</x:v>
      </x:c>
      <x:c r="Y2680" s="24" t="str">
        <x:v>alta</x:v>
      </x:c>
      <x:c r="Z2680" s="24"/>
      <x:c r="AA2680" s="24" t="str">
        <x:v>ZEISS|Progressiva|Surfaçada|Light 2 3D||1.67|1.67|DuraVision Gold UV|-10.00 a +6.00|-6.00|0.75 a 3.00|70|||44</x:v>
      </x:c>
    </x:row>
    <x:row r="2681">
      <x:c r="A2681" s="24" t="str">
        <x:v>ZS-3669F7A4C341</x:v>
      </x:c>
      <x:c r="B2681" s="24" t="str">
        <x:v>SIM</x:v>
      </x:c>
      <x:c r="C2681" s="24" t="str">
        <x:v>DISPONÍVEL</x:v>
      </x:c>
      <x:c r="D2681" s="24" t="str">
        <x:v>ZEISS</x:v>
      </x:c>
      <x:c r="E2681" s="24" t="str">
        <x:v>Progressiva</x:v>
      </x:c>
      <x:c r="F2681" s="24" t="str">
        <x:v>Surfaçada</x:v>
      </x:c>
      <x:c r="G2681" s="24" t="str">
        <x:v>Light 2 3D</x:v>
      </x:c>
      <x:c r="H2681" s="24"/>
      <x:c r="I2681" s="24" t="str">
        <x:v>1.67</x:v>
      </x:c>
      <x:c r="J2681" s="24" t="str">
        <x:v>1.67</x:v>
      </x:c>
      <x:c r="K2681" s="24" t="str">
        <x:v>DURAVISION® ANTIVÍRUS PLATINUM UV</x:v>
      </x:c>
      <x:c r="L2681" s="40" t="n">
        <x:v>5079</x:v>
      </x:c>
      <x:c r="M2681" s="24" t="str">
        <x:v>-10.00 a +6.00</x:v>
      </x:c>
      <x:c r="N2681" s="24" t="str">
        <x:v>-6.00</x:v>
      </x:c>
      <x:c r="O2681" s="24" t="str">
        <x:v>0.75 a 3.00</x:v>
      </x:c>
      <x:c r="P2681" s="24" t="str">
        <x:v>70</x:v>
      </x:c>
      <x:c r="Q2681" s="24"/>
      <x:c r="R2681" s="24"/>
      <x:c r="S2681" s="26" t="n">
        <x:v>46113</x:v>
      </x:c>
      <x:c r="T2681" s="26"/>
      <x:c r="U2681" s="24" t="str">
        <x:v>ATIVA/SEM FIM INFORMADO</x:v>
      </x:c>
      <x:c r="V2681" s="24"/>
      <x:c r="W2681" s="24" t="n">
        <x:v>44</x:v>
      </x:c>
      <x:c r="X2681" s="24" t="str">
        <x:v>tabela_zeiss.pdf</x:v>
      </x:c>
      <x:c r="Y2681" s="24" t="str">
        <x:v>alta</x:v>
      </x:c>
      <x:c r="Z2681" s="24"/>
      <x:c r="AA2681" s="24" t="str">
        <x:v>ZEISS|Progressiva|Surfaçada|Light 2 3D||1.67|1.67|DURAVISION® ANTIVÍRUS PLATINUM UV|-10.00 a +6.00|-6.00|0.75 a 3.00|70|||44</x:v>
      </x:c>
    </x:row>
    <x:row r="2682">
      <x:c r="A2682" s="24" t="str">
        <x:v>ZS-EB1795FE52EE</x:v>
      </x:c>
      <x:c r="B2682" s="24" t="str">
        <x:v>SIM</x:v>
      </x:c>
      <x:c r="C2682" s="24" t="str">
        <x:v>DISPONÍVEL</x:v>
      </x:c>
      <x:c r="D2682" s="24" t="str">
        <x:v>ZEISS</x:v>
      </x:c>
      <x:c r="E2682" s="24" t="str">
        <x:v>Progressiva</x:v>
      </x:c>
      <x:c r="F2682" s="24" t="str">
        <x:v>Surfaçada</x:v>
      </x:c>
      <x:c r="G2682" s="24" t="str">
        <x:v>Light 2 3D</x:v>
      </x:c>
      <x:c r="H2682" s="24"/>
      <x:c r="I2682" s="24" t="str">
        <x:v>1.67</x:v>
      </x:c>
      <x:c r="J2682" s="24" t="str">
        <x:v>1.67</x:v>
      </x:c>
      <x:c r="K2682" s="24" t="str">
        <x:v>DuraVision Platinum UV</x:v>
      </x:c>
      <x:c r="L2682" s="40" t="n">
        <x:v>5079</x:v>
      </x:c>
      <x:c r="M2682" s="24" t="str">
        <x:v>-10.00 a +6.00</x:v>
      </x:c>
      <x:c r="N2682" s="24" t="str">
        <x:v>-6.00</x:v>
      </x:c>
      <x:c r="O2682" s="24" t="str">
        <x:v>0.75 a 3.00</x:v>
      </x:c>
      <x:c r="P2682" s="24" t="str">
        <x:v>70</x:v>
      </x:c>
      <x:c r="Q2682" s="24"/>
      <x:c r="R2682" s="24"/>
      <x:c r="S2682" s="26" t="n">
        <x:v>46113</x:v>
      </x:c>
      <x:c r="T2682" s="26"/>
      <x:c r="U2682" s="24" t="str">
        <x:v>ATIVA/SEM FIM INFORMADO</x:v>
      </x:c>
      <x:c r="V2682" s="24"/>
      <x:c r="W2682" s="24" t="n">
        <x:v>44</x:v>
      </x:c>
      <x:c r="X2682" s="24" t="str">
        <x:v>tabela_zeiss.pdf</x:v>
      </x:c>
      <x:c r="Y2682" s="24" t="str">
        <x:v>alta</x:v>
      </x:c>
      <x:c r="Z2682" s="24"/>
      <x:c r="AA2682" s="24" t="str">
        <x:v>ZEISS|Progressiva|Surfaçada|Light 2 3D||1.67|1.67|DuraVision Platinum UV|-10.00 a +6.00|-6.00|0.75 a 3.00|70|||44</x:v>
      </x:c>
    </x:row>
    <x:row r="2683">
      <x:c r="A2683" s="24" t="str">
        <x:v>ZS-551F10D830FA</x:v>
      </x:c>
      <x:c r="B2683" s="24" t="str">
        <x:v>SIM</x:v>
      </x:c>
      <x:c r="C2683" s="24" t="str">
        <x:v>DISPONÍVEL</x:v>
      </x:c>
      <x:c r="D2683" s="24" t="str">
        <x:v>ZEISS</x:v>
      </x:c>
      <x:c r="E2683" s="24" t="str">
        <x:v>Progressiva</x:v>
      </x:c>
      <x:c r="F2683" s="24" t="str">
        <x:v>Surfaçada</x:v>
      </x:c>
      <x:c r="G2683" s="24" t="str">
        <x:v>Light 2 3D</x:v>
      </x:c>
      <x:c r="H2683" s="24"/>
      <x:c r="I2683" s="24" t="str">
        <x:v>1.67</x:v>
      </x:c>
      <x:c r="J2683" s="24" t="str">
        <x:v>1.67</x:v>
      </x:c>
      <x:c r="K2683" s="24" t="str">
        <x:v>DuraVision Silver UV</x:v>
      </x:c>
      <x:c r="L2683" s="40" t="n">
        <x:v>4819</x:v>
      </x:c>
      <x:c r="M2683" s="24" t="str">
        <x:v>-10.00 a +6.00</x:v>
      </x:c>
      <x:c r="N2683" s="24" t="str">
        <x:v>-6.00</x:v>
      </x:c>
      <x:c r="O2683" s="24" t="str">
        <x:v>0.75 a 3.00</x:v>
      </x:c>
      <x:c r="P2683" s="24" t="str">
        <x:v>70</x:v>
      </x:c>
      <x:c r="Q2683" s="24"/>
      <x:c r="R2683" s="24"/>
      <x:c r="S2683" s="26" t="n">
        <x:v>46113</x:v>
      </x:c>
      <x:c r="T2683" s="26"/>
      <x:c r="U2683" s="24" t="str">
        <x:v>ATIVA/SEM FIM INFORMADO</x:v>
      </x:c>
      <x:c r="V2683" s="24"/>
      <x:c r="W2683" s="24" t="n">
        <x:v>44</x:v>
      </x:c>
      <x:c r="X2683" s="24" t="str">
        <x:v>tabela_zeiss.pdf</x:v>
      </x:c>
      <x:c r="Y2683" s="24" t="str">
        <x:v>alta</x:v>
      </x:c>
      <x:c r="Z2683" s="24"/>
      <x:c r="AA2683" s="24" t="str">
        <x:v>ZEISS|Progressiva|Surfaçada|Light 2 3D||1.67|1.67|DuraVision Silver UV|-10.00 a +6.00|-6.00|0.75 a 3.00|70|||44</x:v>
      </x:c>
    </x:row>
    <x:row r="2684">
      <x:c r="A2684" s="24" t="str">
        <x:v>ZS-9AD39E20825D</x:v>
      </x:c>
      <x:c r="B2684" s="24" t="str">
        <x:v>SIM</x:v>
      </x:c>
      <x:c r="C2684" s="24" t="str">
        <x:v>DISPONÍVEL</x:v>
      </x:c>
      <x:c r="D2684" s="24" t="str">
        <x:v>ZEISS</x:v>
      </x:c>
      <x:c r="E2684" s="24" t="str">
        <x:v>Progressiva</x:v>
      </x:c>
      <x:c r="F2684" s="24" t="str">
        <x:v>Surfaçada</x:v>
      </x:c>
      <x:c r="G2684" s="24" t="str">
        <x:v>Light 2 3D</x:v>
      </x:c>
      <x:c r="H2684" s="24"/>
      <x:c r="I2684" s="24" t="str">
        <x:v>1.67</x:v>
      </x:c>
      <x:c r="J2684" s="24" t="str">
        <x:v>1.67</x:v>
      </x:c>
      <x:c r="K2684" s="24" t="str">
        <x:v>DuraVision Chrome UV</x:v>
      </x:c>
      <x:c r="L2684" s="40" t="n">
        <x:v>4329</x:v>
      </x:c>
      <x:c r="M2684" s="24" t="str">
        <x:v>-10.00 a +6.00</x:v>
      </x:c>
      <x:c r="N2684" s="24" t="str">
        <x:v>-6.00</x:v>
      </x:c>
      <x:c r="O2684" s="24" t="str">
        <x:v>0.75 a 3.00</x:v>
      </x:c>
      <x:c r="P2684" s="24" t="str">
        <x:v>70</x:v>
      </x:c>
      <x:c r="Q2684" s="24"/>
      <x:c r="R2684" s="24"/>
      <x:c r="S2684" s="26" t="n">
        <x:v>46113</x:v>
      </x:c>
      <x:c r="T2684" s="26"/>
      <x:c r="U2684" s="24" t="str">
        <x:v>ATIVA/SEM FIM INFORMADO</x:v>
      </x:c>
      <x:c r="V2684" s="24"/>
      <x:c r="W2684" s="24" t="n">
        <x:v>44</x:v>
      </x:c>
      <x:c r="X2684" s="24" t="str">
        <x:v>tabela_zeiss.pdf</x:v>
      </x:c>
      <x:c r="Y2684" s="24" t="str">
        <x:v>alta</x:v>
      </x:c>
      <x:c r="Z2684" s="24"/>
      <x:c r="AA2684" s="24" t="str">
        <x:v>ZEISS|Progressiva|Surfaçada|Light 2 3D||1.67|1.67|DuraVision Chrome UV|-10.00 a +6.00|-6.00|0.75 a 3.00|70|||44</x:v>
      </x:c>
    </x:row>
    <x:row r="2685">
      <x:c r="A2685" s="24" t="str">
        <x:v>ZS-F0F24CEDC148</x:v>
      </x:c>
      <x:c r="B2685" s="24" t="str">
        <x:v>SIM</x:v>
      </x:c>
      <x:c r="C2685" s="24" t="str">
        <x:v>DISPONÍVEL</x:v>
      </x:c>
      <x:c r="D2685" s="24" t="str">
        <x:v>ZEISS</x:v>
      </x:c>
      <x:c r="E2685" s="24" t="str">
        <x:v>Progressiva</x:v>
      </x:c>
      <x:c r="F2685" s="24" t="str">
        <x:v>Surfaçada</x:v>
      </x:c>
      <x:c r="G2685" s="24" t="str">
        <x:v>Light 2 3D</x:v>
      </x:c>
      <x:c r="H2685" s="24"/>
      <x:c r="I2685" s="24" t="str">
        <x:v>1.74</x:v>
      </x:c>
      <x:c r="J2685" s="24" t="str">
        <x:v>1.74</x:v>
      </x:c>
      <x:c r="K2685" s="24" t="str">
        <x:v>DuraVision Gold UV</x:v>
      </x:c>
      <x:c r="L2685" s="40" t="n">
        <x:v>5529</x:v>
      </x:c>
      <x:c r="M2685" s="24" t="str">
        <x:v>-10.00 a +7.00</x:v>
      </x:c>
      <x:c r="N2685" s="24" t="str">
        <x:v>-4.00</x:v>
      </x:c>
      <x:c r="O2685" s="24" t="str">
        <x:v>0.75 a 3.50</x:v>
      </x:c>
      <x:c r="P2685" s="24" t="str">
        <x:v>70 a 75</x:v>
      </x:c>
      <x:c r="Q2685" s="24"/>
      <x:c r="R2685" s="24"/>
      <x:c r="S2685" s="26" t="n">
        <x:v>46113</x:v>
      </x:c>
      <x:c r="T2685" s="26"/>
      <x:c r="U2685" s="24" t="str">
        <x:v>ATIVA/SEM FIM INFORMADO</x:v>
      </x:c>
      <x:c r="V2685" s="24"/>
      <x:c r="W2685" s="24" t="n">
        <x:v>44</x:v>
      </x:c>
      <x:c r="X2685" s="24" t="str">
        <x:v>tabela_zeiss.pdf</x:v>
      </x:c>
      <x:c r="Y2685" s="24" t="str">
        <x:v>alta</x:v>
      </x:c>
      <x:c r="Z2685" s="24"/>
      <x:c r="AA2685" s="24" t="str">
        <x:v>ZEISS|Progressiva|Surfaçada|Light 2 3D||1.74|1.74|DuraVision Gold UV|-10.00 a +7.00|-4.00|0.75 a 3.50|70 a 75|||44</x:v>
      </x:c>
    </x:row>
    <x:row r="2686">
      <x:c r="A2686" s="24" t="str">
        <x:v>ZS-F1A13158E72A</x:v>
      </x:c>
      <x:c r="B2686" s="24" t="str">
        <x:v>SIM</x:v>
      </x:c>
      <x:c r="C2686" s="24" t="str">
        <x:v>DISPONÍVEL</x:v>
      </x:c>
      <x:c r="D2686" s="24" t="str">
        <x:v>ZEISS</x:v>
      </x:c>
      <x:c r="E2686" s="24" t="str">
        <x:v>Progressiva</x:v>
      </x:c>
      <x:c r="F2686" s="24" t="str">
        <x:v>Surfaçada</x:v>
      </x:c>
      <x:c r="G2686" s="24" t="str">
        <x:v>Light 2 3D</x:v>
      </x:c>
      <x:c r="H2686" s="24"/>
      <x:c r="I2686" s="24" t="str">
        <x:v>1.74</x:v>
      </x:c>
      <x:c r="J2686" s="24" t="str">
        <x:v>1.74</x:v>
      </x:c>
      <x:c r="K2686" s="24" t="str">
        <x:v>DuraVision Platinum UV</x:v>
      </x:c>
      <x:c r="L2686" s="40" t="n">
        <x:v>5389</x:v>
      </x:c>
      <x:c r="M2686" s="24" t="str">
        <x:v>-10.00 a +7.00</x:v>
      </x:c>
      <x:c r="N2686" s="24" t="str">
        <x:v>-4.00</x:v>
      </x:c>
      <x:c r="O2686" s="24" t="str">
        <x:v>0.75 a 3.50</x:v>
      </x:c>
      <x:c r="P2686" s="24" t="str">
        <x:v>70 a 75</x:v>
      </x:c>
      <x:c r="Q2686" s="24"/>
      <x:c r="R2686" s="24"/>
      <x:c r="S2686" s="26" t="n">
        <x:v>46113</x:v>
      </x:c>
      <x:c r="T2686" s="26"/>
      <x:c r="U2686" s="24" t="str">
        <x:v>ATIVA/SEM FIM INFORMADO</x:v>
      </x:c>
      <x:c r="V2686" s="24"/>
      <x:c r="W2686" s="24" t="n">
        <x:v>44</x:v>
      </x:c>
      <x:c r="X2686" s="24" t="str">
        <x:v>tabela_zeiss.pdf</x:v>
      </x:c>
      <x:c r="Y2686" s="24" t="str">
        <x:v>alta</x:v>
      </x:c>
      <x:c r="Z2686" s="24"/>
      <x:c r="AA2686" s="24" t="str">
        <x:v>ZEISS|Progressiva|Surfaçada|Light 2 3D||1.74|1.74|DuraVision Platinum UV|-10.00 a +7.00|-4.00|0.75 a 3.50|70 a 75|||44</x:v>
      </x:c>
    </x:row>
    <x:row r="2687">
      <x:c r="A2687" s="24" t="str">
        <x:v>ZS-073D39A62626</x:v>
      </x:c>
      <x:c r="B2687" s="24" t="str">
        <x:v>SIM</x:v>
      </x:c>
      <x:c r="C2687" s="24" t="str">
        <x:v>DISPONÍVEL</x:v>
      </x:c>
      <x:c r="D2687" s="24" t="str">
        <x:v>ZEISS</x:v>
      </x:c>
      <x:c r="E2687" s="24" t="str">
        <x:v>Progressiva</x:v>
      </x:c>
      <x:c r="F2687" s="24" t="str">
        <x:v>Surfaçada</x:v>
      </x:c>
      <x:c r="G2687" s="24" t="str">
        <x:v>Light 2 3D</x:v>
      </x:c>
      <x:c r="H2687" s="24"/>
      <x:c r="I2687" s="24" t="str">
        <x:v>1.74</x:v>
      </x:c>
      <x:c r="J2687" s="24" t="str">
        <x:v>1.74</x:v>
      </x:c>
      <x:c r="K2687" s="24" t="str">
        <x:v>DuraVision Silver UV</x:v>
      </x:c>
      <x:c r="L2687" s="40" t="n">
        <x:v>5129</x:v>
      </x:c>
      <x:c r="M2687" s="24" t="str">
        <x:v>-10.00 a +7.00</x:v>
      </x:c>
      <x:c r="N2687" s="24" t="str">
        <x:v>-4.00</x:v>
      </x:c>
      <x:c r="O2687" s="24" t="str">
        <x:v>0.75 a 3.50</x:v>
      </x:c>
      <x:c r="P2687" s="24" t="str">
        <x:v>70 a 75</x:v>
      </x:c>
      <x:c r="Q2687" s="24"/>
      <x:c r="R2687" s="24"/>
      <x:c r="S2687" s="26" t="n">
        <x:v>46113</x:v>
      </x:c>
      <x:c r="T2687" s="26"/>
      <x:c r="U2687" s="24" t="str">
        <x:v>ATIVA/SEM FIM INFORMADO</x:v>
      </x:c>
      <x:c r="V2687" s="24"/>
      <x:c r="W2687" s="24" t="n">
        <x:v>44</x:v>
      </x:c>
      <x:c r="X2687" s="24" t="str">
        <x:v>tabela_zeiss.pdf</x:v>
      </x:c>
      <x:c r="Y2687" s="24" t="str">
        <x:v>alta</x:v>
      </x:c>
      <x:c r="Z2687" s="24"/>
      <x:c r="AA2687" s="24" t="str">
        <x:v>ZEISS|Progressiva|Surfaçada|Light 2 3D||1.74|1.74|DuraVision Silver UV|-10.00 a +7.00|-4.00|0.75 a 3.50|70 a 75|||44</x:v>
      </x:c>
    </x:row>
    <x:row r="2688">
      <x:c r="A2688" s="24" t="str">
        <x:v>ZS-E757FA6A744F</x:v>
      </x:c>
      <x:c r="B2688" s="24" t="str">
        <x:v>SIM</x:v>
      </x:c>
      <x:c r="C2688" s="24" t="str">
        <x:v>DISPONÍVEL</x:v>
      </x:c>
      <x:c r="D2688" s="24" t="str">
        <x:v>ZEISS</x:v>
      </x:c>
      <x:c r="E2688" s="24" t="str">
        <x:v>Progressiva</x:v>
      </x:c>
      <x:c r="F2688" s="24" t="str">
        <x:v>Surfaçada</x:v>
      </x:c>
      <x:c r="G2688" s="24" t="str">
        <x:v>Light 2 3D</x:v>
      </x:c>
      <x:c r="H2688" s="24"/>
      <x:c r="I2688" s="24" t="str">
        <x:v>1.74</x:v>
      </x:c>
      <x:c r="J2688" s="24" t="str">
        <x:v>1.74</x:v>
      </x:c>
      <x:c r="K2688" s="24" t="str">
        <x:v>DuraVision Chrome UV</x:v>
      </x:c>
      <x:c r="L2688" s="40" t="n">
        <x:v>4639</x:v>
      </x:c>
      <x:c r="M2688" s="24" t="str">
        <x:v>-10.00 a +7.00</x:v>
      </x:c>
      <x:c r="N2688" s="24" t="str">
        <x:v>-4.00</x:v>
      </x:c>
      <x:c r="O2688" s="24" t="str">
        <x:v>0.75 a 3.50</x:v>
      </x:c>
      <x:c r="P2688" s="24" t="str">
        <x:v>70 a 75</x:v>
      </x:c>
      <x:c r="Q2688" s="24"/>
      <x:c r="R2688" s="24"/>
      <x:c r="S2688" s="26" t="n">
        <x:v>46113</x:v>
      </x:c>
      <x:c r="T2688" s="26"/>
      <x:c r="U2688" s="24" t="str">
        <x:v>ATIVA/SEM FIM INFORMADO</x:v>
      </x:c>
      <x:c r="V2688" s="24"/>
      <x:c r="W2688" s="24" t="n">
        <x:v>44</x:v>
      </x:c>
      <x:c r="X2688" s="24" t="str">
        <x:v>tabela_zeiss.pdf</x:v>
      </x:c>
      <x:c r="Y2688" s="24" t="str">
        <x:v>alta</x:v>
      </x:c>
      <x:c r="Z2688" s="24"/>
      <x:c r="AA2688" s="24" t="str">
        <x:v>ZEISS|Progressiva|Surfaçada|Light 2 3D||1.74|1.74|DuraVision Chrome UV|-10.00 a +7.00|-4.00|0.75 a 3.50|70 a 75|||44</x:v>
      </x:c>
    </x:row>
    <x:row r="2689">
      <x:c r="A2689" s="24" t="str">
        <x:v>ZS-F5847282AE5D</x:v>
      </x:c>
      <x:c r="B2689" s="24" t="str">
        <x:v>SIM</x:v>
      </x:c>
      <x:c r="C2689" s="24" t="str">
        <x:v>DISPONÍVEL</x:v>
      </x:c>
      <x:c r="D2689" s="24" t="str">
        <x:v>ZEISS</x:v>
      </x:c>
      <x:c r="E2689" s="24" t="str">
        <x:v>Progressiva</x:v>
      </x:c>
      <x:c r="F2689" s="24" t="str">
        <x:v>Surfaçada</x:v>
      </x:c>
      <x:c r="G2689" s="24" t="str">
        <x:v>Light 2 3D</x:v>
      </x:c>
      <x:c r="H2689" s="24" t="str">
        <x:v>PhotoFusion X</x:v>
      </x:c>
      <x:c r="I2689" s="24" t="str">
        <x:v>1.5</x:v>
      </x:c>
      <x:c r="J2689" s="24" t="str">
        <x:v>1.50</x:v>
      </x:c>
      <x:c r="K2689" s="24" t="str">
        <x:v>DuraVision Gold UV</x:v>
      </x:c>
      <x:c r="L2689" s="40" t="n">
        <x:v>4759</x:v>
      </x:c>
      <x:c r="M2689" s="24" t="str">
        <x:v>-6.00 a +5.00</x:v>
      </x:c>
      <x:c r="N2689" s="24" t="str">
        <x:v>-4.00</x:v>
      </x:c>
      <x:c r="O2689" s="24" t="str">
        <x:v>0.75 a 3.00</x:v>
      </x:c>
      <x:c r="P2689" s="24" t="str">
        <x:v>75</x:v>
      </x:c>
      <x:c r="Q2689" s="24"/>
      <x:c r="R2689" s="24"/>
      <x:c r="S2689" s="26" t="n">
        <x:v>46113</x:v>
      </x:c>
      <x:c r="T2689" s="26"/>
      <x:c r="U2689" s="24" t="str">
        <x:v>ATIVA/SEM FIM INFORMADO</x:v>
      </x:c>
      <x:c r="V2689" s="24" t="str">
        <x:v>Programa de Parcerias ZEISS</x:v>
      </x:c>
      <x:c r="W2689" s="24" t="n">
        <x:v>44</x:v>
      </x:c>
      <x:c r="X2689" s="24" t="str">
        <x:v>tabela_zeiss.pdf</x:v>
      </x:c>
      <x:c r="Y2689" s="24" t="str">
        <x:v>alta</x:v>
      </x:c>
      <x:c r="Z2689" s="24"/>
      <x:c r="AA2689" s="24" t="str">
        <x:v>ZEISS|Progressiva|Surfaçada|Light 2 3D|PhotoFusion X|1.5|1.50|DuraVision Gold UV|-6.00 a +5.00|-4.00|0.75 a 3.00|75|||44</x:v>
      </x:c>
    </x:row>
    <x:row r="2690">
      <x:c r="A2690" s="24" t="str">
        <x:v>ZS-ED807FABD742</x:v>
      </x:c>
      <x:c r="B2690" s="24" t="str">
        <x:v>SIM</x:v>
      </x:c>
      <x:c r="C2690" s="24" t="str">
        <x:v>DISPONÍVEL</x:v>
      </x:c>
      <x:c r="D2690" s="24" t="str">
        <x:v>ZEISS</x:v>
      </x:c>
      <x:c r="E2690" s="24" t="str">
        <x:v>Progressiva</x:v>
      </x:c>
      <x:c r="F2690" s="24" t="str">
        <x:v>Surfaçada</x:v>
      </x:c>
      <x:c r="G2690" s="24" t="str">
        <x:v>Light 2 3D</x:v>
      </x:c>
      <x:c r="H2690" s="24" t="str">
        <x:v>PhotoFusion X</x:v>
      </x:c>
      <x:c r="I2690" s="24" t="str">
        <x:v>1.5</x:v>
      </x:c>
      <x:c r="J2690" s="24" t="str">
        <x:v>1.50</x:v>
      </x:c>
      <x:c r="K2690" s="24" t="str">
        <x:v>DURAVISION® ANTIVÍRUS PLATINUM UV</x:v>
      </x:c>
      <x:c r="L2690" s="40" t="n">
        <x:v>4619</x:v>
      </x:c>
      <x:c r="M2690" s="24" t="str">
        <x:v>-6.00 a +5.00</x:v>
      </x:c>
      <x:c r="N2690" s="24" t="str">
        <x:v>-4.00</x:v>
      </x:c>
      <x:c r="O2690" s="24" t="str">
        <x:v>0.75 a 3.00</x:v>
      </x:c>
      <x:c r="P2690" s="24" t="str">
        <x:v>75</x:v>
      </x:c>
      <x:c r="Q2690" s="24"/>
      <x:c r="R2690" s="24"/>
      <x:c r="S2690" s="26" t="n">
        <x:v>46113</x:v>
      </x:c>
      <x:c r="T2690" s="26"/>
      <x:c r="U2690" s="24" t="str">
        <x:v>ATIVA/SEM FIM INFORMADO</x:v>
      </x:c>
      <x:c r="V2690" s="24" t="str">
        <x:v>Programa de Parcerias ZEISS</x:v>
      </x:c>
      <x:c r="W2690" s="24" t="n">
        <x:v>44</x:v>
      </x:c>
      <x:c r="X2690" s="24" t="str">
        <x:v>tabela_zeiss.pdf</x:v>
      </x:c>
      <x:c r="Y2690" s="24" t="str">
        <x:v>alta</x:v>
      </x:c>
      <x:c r="Z2690" s="24"/>
      <x:c r="AA2690" s="24" t="str">
        <x:v>ZEISS|Progressiva|Surfaçada|Light 2 3D|PhotoFusion X|1.5|1.50|DURAVISION® ANTIVÍRUS PLATINUM UV|-6.00 a +5.00|-4.00|0.75 a 3.00|75|||44</x:v>
      </x:c>
    </x:row>
    <x:row r="2691">
      <x:c r="A2691" s="24" t="str">
        <x:v>ZS-25D2CC2A9EC6</x:v>
      </x:c>
      <x:c r="B2691" s="24" t="str">
        <x:v>SIM</x:v>
      </x:c>
      <x:c r="C2691" s="24" t="str">
        <x:v>DISPONÍVEL</x:v>
      </x:c>
      <x:c r="D2691" s="24" t="str">
        <x:v>ZEISS</x:v>
      </x:c>
      <x:c r="E2691" s="24" t="str">
        <x:v>Progressiva</x:v>
      </x:c>
      <x:c r="F2691" s="24" t="str">
        <x:v>Surfaçada</x:v>
      </x:c>
      <x:c r="G2691" s="24" t="str">
        <x:v>Light 2 3D</x:v>
      </x:c>
      <x:c r="H2691" s="24" t="str">
        <x:v>PhotoFusion X</x:v>
      </x:c>
      <x:c r="I2691" s="24" t="str">
        <x:v>1.5</x:v>
      </x:c>
      <x:c r="J2691" s="24" t="str">
        <x:v>1.50</x:v>
      </x:c>
      <x:c r="K2691" s="24" t="str">
        <x:v>DuraVision Platinum UV</x:v>
      </x:c>
      <x:c r="L2691" s="40" t="n">
        <x:v>4619</x:v>
      </x:c>
      <x:c r="M2691" s="24" t="str">
        <x:v>-6.00 a +5.00</x:v>
      </x:c>
      <x:c r="N2691" s="24" t="str">
        <x:v>-4.00</x:v>
      </x:c>
      <x:c r="O2691" s="24" t="str">
        <x:v>0.75 a 3.00</x:v>
      </x:c>
      <x:c r="P2691" s="24" t="str">
        <x:v>75</x:v>
      </x:c>
      <x:c r="Q2691" s="24"/>
      <x:c r="R2691" s="24"/>
      <x:c r="S2691" s="26" t="n">
        <x:v>46113</x:v>
      </x:c>
      <x:c r="T2691" s="26"/>
      <x:c r="U2691" s="24" t="str">
        <x:v>ATIVA/SEM FIM INFORMADO</x:v>
      </x:c>
      <x:c r="V2691" s="24" t="str">
        <x:v>Programa de Parcerias ZEISS</x:v>
      </x:c>
      <x:c r="W2691" s="24" t="n">
        <x:v>44</x:v>
      </x:c>
      <x:c r="X2691" s="24" t="str">
        <x:v>tabela_zeiss.pdf</x:v>
      </x:c>
      <x:c r="Y2691" s="24" t="str">
        <x:v>alta</x:v>
      </x:c>
      <x:c r="Z2691" s="24"/>
      <x:c r="AA2691" s="24" t="str">
        <x:v>ZEISS|Progressiva|Surfaçada|Light 2 3D|PhotoFusion X|1.5|1.50|DuraVision Platinum UV|-6.00 a +5.00|-4.00|0.75 a 3.00|75|||44</x:v>
      </x:c>
    </x:row>
    <x:row r="2692">
      <x:c r="A2692" s="24" t="str">
        <x:v>ZS-209A35A5BFC6</x:v>
      </x:c>
      <x:c r="B2692" s="24" t="str">
        <x:v>SIM</x:v>
      </x:c>
      <x:c r="C2692" s="24" t="str">
        <x:v>DISPONÍVEL</x:v>
      </x:c>
      <x:c r="D2692" s="24" t="str">
        <x:v>ZEISS</x:v>
      </x:c>
      <x:c r="E2692" s="24" t="str">
        <x:v>Progressiva</x:v>
      </x:c>
      <x:c r="F2692" s="24" t="str">
        <x:v>Surfaçada</x:v>
      </x:c>
      <x:c r="G2692" s="24" t="str">
        <x:v>Light 2 3D</x:v>
      </x:c>
      <x:c r="H2692" s="24" t="str">
        <x:v>PhotoFusion X</x:v>
      </x:c>
      <x:c r="I2692" s="24" t="str">
        <x:v>1.5</x:v>
      </x:c>
      <x:c r="J2692" s="24" t="str">
        <x:v>1.50</x:v>
      </x:c>
      <x:c r="K2692" s="24" t="str">
        <x:v>DuraVision Silver UV</x:v>
      </x:c>
      <x:c r="L2692" s="40" t="n">
        <x:v>4359</x:v>
      </x:c>
      <x:c r="M2692" s="24" t="str">
        <x:v>-6.00 a +5.00</x:v>
      </x:c>
      <x:c r="N2692" s="24" t="str">
        <x:v>-4.00</x:v>
      </x:c>
      <x:c r="O2692" s="24" t="str">
        <x:v>0.75 a 3.00</x:v>
      </x:c>
      <x:c r="P2692" s="24" t="str">
        <x:v>75</x:v>
      </x:c>
      <x:c r="Q2692" s="24"/>
      <x:c r="R2692" s="24"/>
      <x:c r="S2692" s="26" t="n">
        <x:v>46113</x:v>
      </x:c>
      <x:c r="T2692" s="26"/>
      <x:c r="U2692" s="24" t="str">
        <x:v>ATIVA/SEM FIM INFORMADO</x:v>
      </x:c>
      <x:c r="V2692" s="24" t="str">
        <x:v>Programa de Parcerias ZEISS</x:v>
      </x:c>
      <x:c r="W2692" s="24" t="n">
        <x:v>44</x:v>
      </x:c>
      <x:c r="X2692" s="24" t="str">
        <x:v>tabela_zeiss.pdf</x:v>
      </x:c>
      <x:c r="Y2692" s="24" t="str">
        <x:v>alta</x:v>
      </x:c>
      <x:c r="Z2692" s="24"/>
      <x:c r="AA2692" s="24" t="str">
        <x:v>ZEISS|Progressiva|Surfaçada|Light 2 3D|PhotoFusion X|1.5|1.50|DuraVision Silver UV|-6.00 a +5.00|-4.00|0.75 a 3.00|75|||44</x:v>
      </x:c>
    </x:row>
    <x:row r="2693">
      <x:c r="A2693" s="24" t="str">
        <x:v>ZS-BC77941BACE0</x:v>
      </x:c>
      <x:c r="B2693" s="24" t="str">
        <x:v>SIM</x:v>
      </x:c>
      <x:c r="C2693" s="24" t="str">
        <x:v>DISPONÍVEL</x:v>
      </x:c>
      <x:c r="D2693" s="24" t="str">
        <x:v>ZEISS</x:v>
      </x:c>
      <x:c r="E2693" s="24" t="str">
        <x:v>Progressiva</x:v>
      </x:c>
      <x:c r="F2693" s="24" t="str">
        <x:v>Surfaçada</x:v>
      </x:c>
      <x:c r="G2693" s="24" t="str">
        <x:v>Light 2 3D</x:v>
      </x:c>
      <x:c r="H2693" s="24" t="str">
        <x:v>PhotoFusion X</x:v>
      </x:c>
      <x:c r="I2693" s="24" t="str">
        <x:v>1.5</x:v>
      </x:c>
      <x:c r="J2693" s="24" t="str">
        <x:v>1.50</x:v>
      </x:c>
      <x:c r="K2693" s="24" t="str">
        <x:v>DuraVision Chrome UV</x:v>
      </x:c>
      <x:c r="L2693" s="40" t="n">
        <x:v>3869</x:v>
      </x:c>
      <x:c r="M2693" s="24" t="str">
        <x:v>-6.00 a +5.00</x:v>
      </x:c>
      <x:c r="N2693" s="24" t="str">
        <x:v>-4.00</x:v>
      </x:c>
      <x:c r="O2693" s="24" t="str">
        <x:v>0.75 a 3.00</x:v>
      </x:c>
      <x:c r="P2693" s="24" t="str">
        <x:v>75</x:v>
      </x:c>
      <x:c r="Q2693" s="24"/>
      <x:c r="R2693" s="24"/>
      <x:c r="S2693" s="26" t="n">
        <x:v>46113</x:v>
      </x:c>
      <x:c r="T2693" s="26"/>
      <x:c r="U2693" s="24" t="str">
        <x:v>ATIVA/SEM FIM INFORMADO</x:v>
      </x:c>
      <x:c r="V2693" s="24" t="str">
        <x:v>Programa de Parcerias ZEISS</x:v>
      </x:c>
      <x:c r="W2693" s="24" t="n">
        <x:v>44</x:v>
      </x:c>
      <x:c r="X2693" s="24" t="str">
        <x:v>tabela_zeiss.pdf</x:v>
      </x:c>
      <x:c r="Y2693" s="24" t="str">
        <x:v>alta</x:v>
      </x:c>
      <x:c r="Z2693" s="24"/>
      <x:c r="AA2693" s="24" t="str">
        <x:v>ZEISS|Progressiva|Surfaçada|Light 2 3D|PhotoFusion X|1.5|1.50|DuraVision Chrome UV|-6.00 a +5.00|-4.00|0.75 a 3.00|75|||44</x:v>
      </x:c>
    </x:row>
    <x:row r="2694">
      <x:c r="A2694" s="24" t="str">
        <x:v>ZS-AF65A2872E53</x:v>
      </x:c>
      <x:c r="B2694" s="24" t="str">
        <x:v>SIM</x:v>
      </x:c>
      <x:c r="C2694" s="24" t="str">
        <x:v>DISPONÍVEL</x:v>
      </x:c>
      <x:c r="D2694" s="24" t="str">
        <x:v>ZEISS</x:v>
      </x:c>
      <x:c r="E2694" s="24" t="str">
        <x:v>Progressiva</x:v>
      </x:c>
      <x:c r="F2694" s="24" t="str">
        <x:v>Surfaçada</x:v>
      </x:c>
      <x:c r="G2694" s="24" t="str">
        <x:v>Light 2 3D</x:v>
      </x:c>
      <x:c r="H2694" s="24" t="str">
        <x:v>PhotoFusion X</x:v>
      </x:c>
      <x:c r="I2694" s="24" t="str">
        <x:v>1.5</x:v>
      </x:c>
      <x:c r="J2694" s="24" t="str">
        <x:v>1.50</x:v>
      </x:c>
      <x:c r="K2694" s="24" t="str">
        <x:v>Sem AR</x:v>
      </x:c>
      <x:c r="L2694" s="40" t="n">
        <x:v>3469</x:v>
      </x:c>
      <x:c r="M2694" s="24" t="str">
        <x:v>-6.00 a +5.00</x:v>
      </x:c>
      <x:c r="N2694" s="24" t="str">
        <x:v>-4.00</x:v>
      </x:c>
      <x:c r="O2694" s="24" t="str">
        <x:v>0.75 a 3.00</x:v>
      </x:c>
      <x:c r="P2694" s="24" t="str">
        <x:v>75</x:v>
      </x:c>
      <x:c r="Q2694" s="24"/>
      <x:c r="R2694" s="24"/>
      <x:c r="S2694" s="26" t="n">
        <x:v>46113</x:v>
      </x:c>
      <x:c r="T2694" s="26"/>
      <x:c r="U2694" s="24" t="str">
        <x:v>ATIVA/SEM FIM INFORMADO</x:v>
      </x:c>
      <x:c r="V2694" s="24" t="str">
        <x:v>Programa de Parcerias ZEISS</x:v>
      </x:c>
      <x:c r="W2694" s="24" t="n">
        <x:v>44</x:v>
      </x:c>
      <x:c r="X2694" s="24" t="str">
        <x:v>tabela_zeiss.pdf</x:v>
      </x:c>
      <x:c r="Y2694" s="24" t="str">
        <x:v>alta</x:v>
      </x:c>
      <x:c r="Z2694" s="24"/>
      <x:c r="AA2694" s="24" t="str">
        <x:v>ZEISS|Progressiva|Surfaçada|Light 2 3D|PhotoFusion X|1.5|1.50|Sem AR|-6.00 a +5.00|-4.00|0.75 a 3.00|75|||44</x:v>
      </x:c>
    </x:row>
    <x:row r="2695">
      <x:c r="A2695" s="24" t="str">
        <x:v>ZS-49317C5AA531</x:v>
      </x:c>
      <x:c r="B2695" s="24" t="str">
        <x:v>SIM</x:v>
      </x:c>
      <x:c r="C2695" s="24" t="str">
        <x:v>DISPONÍVEL</x:v>
      </x:c>
      <x:c r="D2695" s="24" t="str">
        <x:v>ZEISS</x:v>
      </x:c>
      <x:c r="E2695" s="24" t="str">
        <x:v>Progressiva</x:v>
      </x:c>
      <x:c r="F2695" s="24" t="str">
        <x:v>Surfaçada</x:v>
      </x:c>
      <x:c r="G2695" s="24" t="str">
        <x:v>Light 2 3D</x:v>
      </x:c>
      <x:c r="H2695" s="24" t="str">
        <x:v>PhotoFusion X</x:v>
      </x:c>
      <x:c r="I2695" s="24" t="str">
        <x:v>Poli</x:v>
      </x:c>
      <x:c r="J2695" s="24"/>
      <x:c r="K2695" s="24" t="str">
        <x:v>DuraVision Gold UV</x:v>
      </x:c>
      <x:c r="L2695" s="40" t="n">
        <x:v>5119</x:v>
      </x:c>
      <x:c r="M2695" s="24" t="str">
        <x:v>-10.00 a +6.00</x:v>
      </x:c>
      <x:c r="N2695" s="24" t="str">
        <x:v>-6.00</x:v>
      </x:c>
      <x:c r="O2695" s="24" t="str">
        <x:v>0.75 a 3.00</x:v>
      </x:c>
      <x:c r="P2695" s="24" t="str">
        <x:v>72</x:v>
      </x:c>
      <x:c r="Q2695" s="24"/>
      <x:c r="R2695" s="24"/>
      <x:c r="S2695" s="26" t="n">
        <x:v>46113</x:v>
      </x:c>
      <x:c r="T2695" s="26"/>
      <x:c r="U2695" s="24" t="str">
        <x:v>ATIVA/SEM FIM INFORMADO</x:v>
      </x:c>
      <x:c r="V2695" s="24" t="str">
        <x:v>Programa de Parcerias ZEISS</x:v>
      </x:c>
      <x:c r="W2695" s="24" t="n">
        <x:v>44</x:v>
      </x:c>
      <x:c r="X2695" s="24" t="str">
        <x:v>tabela_zeiss.pdf</x:v>
      </x:c>
      <x:c r="Y2695" s="24" t="str">
        <x:v>alta</x:v>
      </x:c>
      <x:c r="Z2695" s="24"/>
      <x:c r="AA2695" s="24" t="str">
        <x:v>ZEISS|Progressiva|Surfaçada|Light 2 3D|PhotoFusion X|Poli||DuraVision Gold UV|-10.00 a +6.00|-6.00|0.75 a 3.00|72|||44</x:v>
      </x:c>
    </x:row>
    <x:row r="2696">
      <x:c r="A2696" s="24" t="str">
        <x:v>ZS-47FAF600817E</x:v>
      </x:c>
      <x:c r="B2696" s="24" t="str">
        <x:v>SIM</x:v>
      </x:c>
      <x:c r="C2696" s="24" t="str">
        <x:v>DISPONÍVEL</x:v>
      </x:c>
      <x:c r="D2696" s="24" t="str">
        <x:v>ZEISS</x:v>
      </x:c>
      <x:c r="E2696" s="24" t="str">
        <x:v>Progressiva</x:v>
      </x:c>
      <x:c r="F2696" s="24" t="str">
        <x:v>Surfaçada</x:v>
      </x:c>
      <x:c r="G2696" s="24" t="str">
        <x:v>Light 2 3D</x:v>
      </x:c>
      <x:c r="H2696" s="24" t="str">
        <x:v>PhotoFusion X</x:v>
      </x:c>
      <x:c r="I2696" s="24" t="str">
        <x:v>Poli</x:v>
      </x:c>
      <x:c r="J2696" s="24"/>
      <x:c r="K2696" s="24" t="str">
        <x:v>DuraVision Platinum UV</x:v>
      </x:c>
      <x:c r="L2696" s="40" t="n">
        <x:v>4979</x:v>
      </x:c>
      <x:c r="M2696" s="24" t="str">
        <x:v>-10.00 a +6.00</x:v>
      </x:c>
      <x:c r="N2696" s="24" t="str">
        <x:v>-6.00</x:v>
      </x:c>
      <x:c r="O2696" s="24" t="str">
        <x:v>0.75 a 3.00</x:v>
      </x:c>
      <x:c r="P2696" s="24" t="str">
        <x:v>72</x:v>
      </x:c>
      <x:c r="Q2696" s="24"/>
      <x:c r="R2696" s="24"/>
      <x:c r="S2696" s="26" t="n">
        <x:v>46113</x:v>
      </x:c>
      <x:c r="T2696" s="26"/>
      <x:c r="U2696" s="24" t="str">
        <x:v>ATIVA/SEM FIM INFORMADO</x:v>
      </x:c>
      <x:c r="V2696" s="24" t="str">
        <x:v>Programa de Parcerias ZEISS</x:v>
      </x:c>
      <x:c r="W2696" s="24" t="n">
        <x:v>44</x:v>
      </x:c>
      <x:c r="X2696" s="24" t="str">
        <x:v>tabela_zeiss.pdf</x:v>
      </x:c>
      <x:c r="Y2696" s="24" t="str">
        <x:v>alta</x:v>
      </x:c>
      <x:c r="Z2696" s="24"/>
      <x:c r="AA2696" s="24" t="str">
        <x:v>ZEISS|Progressiva|Surfaçada|Light 2 3D|PhotoFusion X|Poli||DuraVision Platinum UV|-10.00 a +6.00|-6.00|0.75 a 3.00|72|||44</x:v>
      </x:c>
    </x:row>
    <x:row r="2697">
      <x:c r="A2697" s="24" t="str">
        <x:v>ZS-3F092526DAE5</x:v>
      </x:c>
      <x:c r="B2697" s="24" t="str">
        <x:v>SIM</x:v>
      </x:c>
      <x:c r="C2697" s="24" t="str">
        <x:v>DISPONÍVEL</x:v>
      </x:c>
      <x:c r="D2697" s="24" t="str">
        <x:v>ZEISS</x:v>
      </x:c>
      <x:c r="E2697" s="24" t="str">
        <x:v>Progressiva</x:v>
      </x:c>
      <x:c r="F2697" s="24" t="str">
        <x:v>Surfaçada</x:v>
      </x:c>
      <x:c r="G2697" s="24" t="str">
        <x:v>Light 2 3D</x:v>
      </x:c>
      <x:c r="H2697" s="24" t="str">
        <x:v>PhotoFusion X</x:v>
      </x:c>
      <x:c r="I2697" s="24" t="str">
        <x:v>Poli</x:v>
      </x:c>
      <x:c r="J2697" s="24"/>
      <x:c r="K2697" s="24" t="str">
        <x:v>DuraVision Silver UV</x:v>
      </x:c>
      <x:c r="L2697" s="40" t="n">
        <x:v>4719</x:v>
      </x:c>
      <x:c r="M2697" s="24" t="str">
        <x:v>-10.00 a +6.00</x:v>
      </x:c>
      <x:c r="N2697" s="24" t="str">
        <x:v>-6.00</x:v>
      </x:c>
      <x:c r="O2697" s="24" t="str">
        <x:v>0.75 a 3.00</x:v>
      </x:c>
      <x:c r="P2697" s="24" t="str">
        <x:v>72</x:v>
      </x:c>
      <x:c r="Q2697" s="24"/>
      <x:c r="R2697" s="24"/>
      <x:c r="S2697" s="26" t="n">
        <x:v>46113</x:v>
      </x:c>
      <x:c r="T2697" s="26"/>
      <x:c r="U2697" s="24" t="str">
        <x:v>ATIVA/SEM FIM INFORMADO</x:v>
      </x:c>
      <x:c r="V2697" s="24" t="str">
        <x:v>Programa de Parcerias ZEISS</x:v>
      </x:c>
      <x:c r="W2697" s="24" t="n">
        <x:v>44</x:v>
      </x:c>
      <x:c r="X2697" s="24" t="str">
        <x:v>tabela_zeiss.pdf</x:v>
      </x:c>
      <x:c r="Y2697" s="24" t="str">
        <x:v>alta</x:v>
      </x:c>
      <x:c r="Z2697" s="24"/>
      <x:c r="AA2697" s="24" t="str">
        <x:v>ZEISS|Progressiva|Surfaçada|Light 2 3D|PhotoFusion X|Poli||DuraVision Silver UV|-10.00 a +6.00|-6.00|0.75 a 3.00|72|||44</x:v>
      </x:c>
    </x:row>
    <x:row r="2698">
      <x:c r="A2698" s="24" t="str">
        <x:v>ZS-1AE123110C7E</x:v>
      </x:c>
      <x:c r="B2698" s="24" t="str">
        <x:v>SIM</x:v>
      </x:c>
      <x:c r="C2698" s="24" t="str">
        <x:v>DISPONÍVEL</x:v>
      </x:c>
      <x:c r="D2698" s="24" t="str">
        <x:v>ZEISS</x:v>
      </x:c>
      <x:c r="E2698" s="24" t="str">
        <x:v>Progressiva</x:v>
      </x:c>
      <x:c r="F2698" s="24" t="str">
        <x:v>Surfaçada</x:v>
      </x:c>
      <x:c r="G2698" s="24" t="str">
        <x:v>Light 2 3D</x:v>
      </x:c>
      <x:c r="H2698" s="24" t="str">
        <x:v>PhotoFusion X</x:v>
      </x:c>
      <x:c r="I2698" s="24" t="str">
        <x:v>Poli</x:v>
      </x:c>
      <x:c r="J2698" s="24"/>
      <x:c r="K2698" s="24" t="str">
        <x:v>DuraVision Chrome UV</x:v>
      </x:c>
      <x:c r="L2698" s="40" t="n">
        <x:v>4229</x:v>
      </x:c>
      <x:c r="M2698" s="24" t="str">
        <x:v>-10.00 a +6.00</x:v>
      </x:c>
      <x:c r="N2698" s="24" t="str">
        <x:v>-6.00</x:v>
      </x:c>
      <x:c r="O2698" s="24" t="str">
        <x:v>0.75 a 3.00</x:v>
      </x:c>
      <x:c r="P2698" s="24" t="str">
        <x:v>72</x:v>
      </x:c>
      <x:c r="Q2698" s="24"/>
      <x:c r="R2698" s="24"/>
      <x:c r="S2698" s="26" t="n">
        <x:v>46113</x:v>
      </x:c>
      <x:c r="T2698" s="26"/>
      <x:c r="U2698" s="24" t="str">
        <x:v>ATIVA/SEM FIM INFORMADO</x:v>
      </x:c>
      <x:c r="V2698" s="24" t="str">
        <x:v>Programa de Parcerias ZEISS</x:v>
      </x:c>
      <x:c r="W2698" s="24" t="n">
        <x:v>44</x:v>
      </x:c>
      <x:c r="X2698" s="24" t="str">
        <x:v>tabela_zeiss.pdf</x:v>
      </x:c>
      <x:c r="Y2698" s="24" t="str">
        <x:v>alta</x:v>
      </x:c>
      <x:c r="Z2698" s="24"/>
      <x:c r="AA2698" s="24" t="str">
        <x:v>ZEISS|Progressiva|Surfaçada|Light 2 3D|PhotoFusion X|Poli||DuraVision Chrome UV|-10.00 a +6.00|-6.00|0.75 a 3.00|72|||44</x:v>
      </x:c>
    </x:row>
    <x:row r="2699">
      <x:c r="A2699" s="24" t="str">
        <x:v>ZS-DF0126C08D9A</x:v>
      </x:c>
      <x:c r="B2699" s="24" t="str">
        <x:v>SIM</x:v>
      </x:c>
      <x:c r="C2699" s="24" t="str">
        <x:v>DISPONÍVEL</x:v>
      </x:c>
      <x:c r="D2699" s="24" t="str">
        <x:v>ZEISS</x:v>
      </x:c>
      <x:c r="E2699" s="24" t="str">
        <x:v>Progressiva</x:v>
      </x:c>
      <x:c r="F2699" s="24" t="str">
        <x:v>Surfaçada</x:v>
      </x:c>
      <x:c r="G2699" s="24" t="str">
        <x:v>Light 2 3D</x:v>
      </x:c>
      <x:c r="H2699" s="24" t="str">
        <x:v>PhotoFusion X</x:v>
      </x:c>
      <x:c r="I2699" s="24" t="str">
        <x:v>Poli</x:v>
      </x:c>
      <x:c r="J2699" s="24"/>
      <x:c r="K2699" s="24" t="str">
        <x:v>Sem AR</x:v>
      </x:c>
      <x:c r="L2699" s="40" t="n">
        <x:v>3829</x:v>
      </x:c>
      <x:c r="M2699" s="24" t="str">
        <x:v>-10.00 a +6.00</x:v>
      </x:c>
      <x:c r="N2699" s="24" t="str">
        <x:v>-6.00</x:v>
      </x:c>
      <x:c r="O2699" s="24" t="str">
        <x:v>0.75 a 3.00</x:v>
      </x:c>
      <x:c r="P2699" s="24" t="str">
        <x:v>72</x:v>
      </x:c>
      <x:c r="Q2699" s="24"/>
      <x:c r="R2699" s="24"/>
      <x:c r="S2699" s="26" t="n">
        <x:v>46113</x:v>
      </x:c>
      <x:c r="T2699" s="26"/>
      <x:c r="U2699" s="24" t="str">
        <x:v>ATIVA/SEM FIM INFORMADO</x:v>
      </x:c>
      <x:c r="V2699" s="24" t="str">
        <x:v>Programa de Parcerias ZEISS</x:v>
      </x:c>
      <x:c r="W2699" s="24" t="n">
        <x:v>44</x:v>
      </x:c>
      <x:c r="X2699" s="24" t="str">
        <x:v>tabela_zeiss.pdf</x:v>
      </x:c>
      <x:c r="Y2699" s="24" t="str">
        <x:v>alta</x:v>
      </x:c>
      <x:c r="Z2699" s="24"/>
      <x:c r="AA2699" s="24" t="str">
        <x:v>ZEISS|Progressiva|Surfaçada|Light 2 3D|PhotoFusion X|Poli||Sem AR|-10.00 a +6.00|-6.00|0.75 a 3.00|72|||44</x:v>
      </x:c>
    </x:row>
    <x:row r="2700">
      <x:c r="A2700" s="24" t="str">
        <x:v>ZS-43DD8A555654</x:v>
      </x:c>
      <x:c r="B2700" s="24" t="str">
        <x:v>SIM</x:v>
      </x:c>
      <x:c r="C2700" s="24" t="str">
        <x:v>DISPONÍVEL</x:v>
      </x:c>
      <x:c r="D2700" s="24" t="str">
        <x:v>ZEISS</x:v>
      </x:c>
      <x:c r="E2700" s="24" t="str">
        <x:v>Progressiva</x:v>
      </x:c>
      <x:c r="F2700" s="24" t="str">
        <x:v>Surfaçada</x:v>
      </x:c>
      <x:c r="G2700" s="24" t="str">
        <x:v>Light 2 3D</x:v>
      </x:c>
      <x:c r="H2700" s="24" t="str">
        <x:v>PhotoFusion X</x:v>
      </x:c>
      <x:c r="I2700" s="24" t="str">
        <x:v>1.6</x:v>
      </x:c>
      <x:c r="J2700" s="24" t="str">
        <x:v>1.60</x:v>
      </x:c>
      <x:c r="K2700" s="24" t="str">
        <x:v>DuraVision Gold UV</x:v>
      </x:c>
      <x:c r="L2700" s="40" t="n">
        <x:v>5339</x:v>
      </x:c>
      <x:c r="M2700" s="24" t="str">
        <x:v>-7.25 a +6.00</x:v>
      </x:c>
      <x:c r="N2700" s="24" t="str">
        <x:v>-6.00</x:v>
      </x:c>
      <x:c r="O2700" s="24" t="str">
        <x:v>0.75 a 3.50</x:v>
      </x:c>
      <x:c r="P2700" s="24" t="str">
        <x:v>75</x:v>
      </x:c>
      <x:c r="Q2700" s="24"/>
      <x:c r="R2700" s="24"/>
      <x:c r="S2700" s="26" t="n">
        <x:v>46113</x:v>
      </x:c>
      <x:c r="T2700" s="26"/>
      <x:c r="U2700" s="24" t="str">
        <x:v>ATIVA/SEM FIM INFORMADO</x:v>
      </x:c>
      <x:c r="V2700" s="24" t="str">
        <x:v>Programa de Parcerias ZEISS</x:v>
      </x:c>
      <x:c r="W2700" s="24" t="n">
        <x:v>44</x:v>
      </x:c>
      <x:c r="X2700" s="24" t="str">
        <x:v>tabela_zeiss.pdf</x:v>
      </x:c>
      <x:c r="Y2700" s="24" t="str">
        <x:v>alta</x:v>
      </x:c>
      <x:c r="Z2700" s="24"/>
      <x:c r="AA2700" s="24" t="str">
        <x:v>ZEISS|Progressiva|Surfaçada|Light 2 3D|PhotoFusion X|1.6|1.60|DuraVision Gold UV|-7.25 a +6.00|-6.00|0.75 a 3.50|75|||44</x:v>
      </x:c>
    </x:row>
    <x:row r="2701">
      <x:c r="A2701" s="24" t="str">
        <x:v>ZS-8BF46C889536</x:v>
      </x:c>
      <x:c r="B2701" s="24" t="str">
        <x:v>SIM</x:v>
      </x:c>
      <x:c r="C2701" s="24" t="str">
        <x:v>DISPONÍVEL</x:v>
      </x:c>
      <x:c r="D2701" s="24" t="str">
        <x:v>ZEISS</x:v>
      </x:c>
      <x:c r="E2701" s="24" t="str">
        <x:v>Progressiva</x:v>
      </x:c>
      <x:c r="F2701" s="24" t="str">
        <x:v>Surfaçada</x:v>
      </x:c>
      <x:c r="G2701" s="24" t="str">
        <x:v>Light 2 3D</x:v>
      </x:c>
      <x:c r="H2701" s="24" t="str">
        <x:v>PhotoFusion X</x:v>
      </x:c>
      <x:c r="I2701" s="24" t="str">
        <x:v>1.6</x:v>
      </x:c>
      <x:c r="J2701" s="24" t="str">
        <x:v>1.60</x:v>
      </x:c>
      <x:c r="K2701" s="24" t="str">
        <x:v>DURAVISION® ANTIVÍRUS PLATINUM UV</x:v>
      </x:c>
      <x:c r="L2701" s="40" t="n">
        <x:v>5199</x:v>
      </x:c>
      <x:c r="M2701" s="24" t="str">
        <x:v>-7.25 a +6.00</x:v>
      </x:c>
      <x:c r="N2701" s="24" t="str">
        <x:v>-6.00</x:v>
      </x:c>
      <x:c r="O2701" s="24" t="str">
        <x:v>0.75 a 3.50</x:v>
      </x:c>
      <x:c r="P2701" s="24" t="str">
        <x:v>75</x:v>
      </x:c>
      <x:c r="Q2701" s="24"/>
      <x:c r="R2701" s="24"/>
      <x:c r="S2701" s="26" t="n">
        <x:v>46113</x:v>
      </x:c>
      <x:c r="T2701" s="26"/>
      <x:c r="U2701" s="24" t="str">
        <x:v>ATIVA/SEM FIM INFORMADO</x:v>
      </x:c>
      <x:c r="V2701" s="24" t="str">
        <x:v>Programa de Parcerias ZEISS</x:v>
      </x:c>
      <x:c r="W2701" s="24" t="n">
        <x:v>44</x:v>
      </x:c>
      <x:c r="X2701" s="24" t="str">
        <x:v>tabela_zeiss.pdf</x:v>
      </x:c>
      <x:c r="Y2701" s="24" t="str">
        <x:v>alta</x:v>
      </x:c>
      <x:c r="Z2701" s="24"/>
      <x:c r="AA2701" s="24" t="str">
        <x:v>ZEISS|Progressiva|Surfaçada|Light 2 3D|PhotoFusion X|1.6|1.60|DURAVISION® ANTIVÍRUS PLATINUM UV|-7.25 a +6.00|-6.00|0.75 a 3.50|75|||44</x:v>
      </x:c>
    </x:row>
    <x:row r="2702">
      <x:c r="A2702" s="24" t="str">
        <x:v>ZS-FD31FAA8AFBE</x:v>
      </x:c>
      <x:c r="B2702" s="24" t="str">
        <x:v>SIM</x:v>
      </x:c>
      <x:c r="C2702" s="24" t="str">
        <x:v>DISPONÍVEL</x:v>
      </x:c>
      <x:c r="D2702" s="24" t="str">
        <x:v>ZEISS</x:v>
      </x:c>
      <x:c r="E2702" s="24" t="str">
        <x:v>Progressiva</x:v>
      </x:c>
      <x:c r="F2702" s="24" t="str">
        <x:v>Surfaçada</x:v>
      </x:c>
      <x:c r="G2702" s="24" t="str">
        <x:v>Light 2 3D</x:v>
      </x:c>
      <x:c r="H2702" s="24" t="str">
        <x:v>PhotoFusion X</x:v>
      </x:c>
      <x:c r="I2702" s="24" t="str">
        <x:v>1.6</x:v>
      </x:c>
      <x:c r="J2702" s="24" t="str">
        <x:v>1.60</x:v>
      </x:c>
      <x:c r="K2702" s="24" t="str">
        <x:v>DuraVision Platinum UV</x:v>
      </x:c>
      <x:c r="L2702" s="40" t="n">
        <x:v>5199</x:v>
      </x:c>
      <x:c r="M2702" s="24" t="str">
        <x:v>-7.25 a +6.00</x:v>
      </x:c>
      <x:c r="N2702" s="24" t="str">
        <x:v>-6.00</x:v>
      </x:c>
      <x:c r="O2702" s="24" t="str">
        <x:v>0.75 a 3.50</x:v>
      </x:c>
      <x:c r="P2702" s="24" t="str">
        <x:v>75</x:v>
      </x:c>
      <x:c r="Q2702" s="24"/>
      <x:c r="R2702" s="24"/>
      <x:c r="S2702" s="26" t="n">
        <x:v>46113</x:v>
      </x:c>
      <x:c r="T2702" s="26"/>
      <x:c r="U2702" s="24" t="str">
        <x:v>ATIVA/SEM FIM INFORMADO</x:v>
      </x:c>
      <x:c r="V2702" s="24" t="str">
        <x:v>Programa de Parcerias ZEISS</x:v>
      </x:c>
      <x:c r="W2702" s="24" t="n">
        <x:v>44</x:v>
      </x:c>
      <x:c r="X2702" s="24" t="str">
        <x:v>tabela_zeiss.pdf</x:v>
      </x:c>
      <x:c r="Y2702" s="24" t="str">
        <x:v>alta</x:v>
      </x:c>
      <x:c r="Z2702" s="24"/>
      <x:c r="AA2702" s="24" t="str">
        <x:v>ZEISS|Progressiva|Surfaçada|Light 2 3D|PhotoFusion X|1.6|1.60|DuraVision Platinum UV|-7.25 a +6.00|-6.00|0.75 a 3.50|75|||44</x:v>
      </x:c>
    </x:row>
    <x:row r="2703">
      <x:c r="A2703" s="24" t="str">
        <x:v>ZS-A26DA144FFAF</x:v>
      </x:c>
      <x:c r="B2703" s="24" t="str">
        <x:v>SIM</x:v>
      </x:c>
      <x:c r="C2703" s="24" t="str">
        <x:v>DISPONÍVEL</x:v>
      </x:c>
      <x:c r="D2703" s="24" t="str">
        <x:v>ZEISS</x:v>
      </x:c>
      <x:c r="E2703" s="24" t="str">
        <x:v>Progressiva</x:v>
      </x:c>
      <x:c r="F2703" s="24" t="str">
        <x:v>Surfaçada</x:v>
      </x:c>
      <x:c r="G2703" s="24" t="str">
        <x:v>Light 2 3D</x:v>
      </x:c>
      <x:c r="H2703" s="24" t="str">
        <x:v>PhotoFusion X</x:v>
      </x:c>
      <x:c r="I2703" s="24" t="str">
        <x:v>1.6</x:v>
      </x:c>
      <x:c r="J2703" s="24" t="str">
        <x:v>1.60</x:v>
      </x:c>
      <x:c r="K2703" s="24" t="str">
        <x:v>DuraVision Silver UV</x:v>
      </x:c>
      <x:c r="L2703" s="40" t="n">
        <x:v>4939</x:v>
      </x:c>
      <x:c r="M2703" s="24" t="str">
        <x:v>-7.25 a +6.00</x:v>
      </x:c>
      <x:c r="N2703" s="24" t="str">
        <x:v>-6.00</x:v>
      </x:c>
      <x:c r="O2703" s="24" t="str">
        <x:v>0.75 a 3.50</x:v>
      </x:c>
      <x:c r="P2703" s="24" t="str">
        <x:v>75</x:v>
      </x:c>
      <x:c r="Q2703" s="24"/>
      <x:c r="R2703" s="24"/>
      <x:c r="S2703" s="26" t="n">
        <x:v>46113</x:v>
      </x:c>
      <x:c r="T2703" s="26"/>
      <x:c r="U2703" s="24" t="str">
        <x:v>ATIVA/SEM FIM INFORMADO</x:v>
      </x:c>
      <x:c r="V2703" s="24" t="str">
        <x:v>Programa de Parcerias ZEISS</x:v>
      </x:c>
      <x:c r="W2703" s="24" t="n">
        <x:v>44</x:v>
      </x:c>
      <x:c r="X2703" s="24" t="str">
        <x:v>tabela_zeiss.pdf</x:v>
      </x:c>
      <x:c r="Y2703" s="24" t="str">
        <x:v>alta</x:v>
      </x:c>
      <x:c r="Z2703" s="24"/>
      <x:c r="AA2703" s="24" t="str">
        <x:v>ZEISS|Progressiva|Surfaçada|Light 2 3D|PhotoFusion X|1.6|1.60|DuraVision Silver UV|-7.25 a +6.00|-6.00|0.75 a 3.50|75|||44</x:v>
      </x:c>
    </x:row>
    <x:row r="2704">
      <x:c r="A2704" s="24" t="str">
        <x:v>ZS-AF5709A06685</x:v>
      </x:c>
      <x:c r="B2704" s="24" t="str">
        <x:v>SIM</x:v>
      </x:c>
      <x:c r="C2704" s="24" t="str">
        <x:v>DISPONÍVEL</x:v>
      </x:c>
      <x:c r="D2704" s="24" t="str">
        <x:v>ZEISS</x:v>
      </x:c>
      <x:c r="E2704" s="24" t="str">
        <x:v>Progressiva</x:v>
      </x:c>
      <x:c r="F2704" s="24" t="str">
        <x:v>Surfaçada</x:v>
      </x:c>
      <x:c r="G2704" s="24" t="str">
        <x:v>Light 2 3D</x:v>
      </x:c>
      <x:c r="H2704" s="24" t="str">
        <x:v>PhotoFusion X</x:v>
      </x:c>
      <x:c r="I2704" s="24" t="str">
        <x:v>1.6</x:v>
      </x:c>
      <x:c r="J2704" s="24" t="str">
        <x:v>1.60</x:v>
      </x:c>
      <x:c r="K2704" s="24" t="str">
        <x:v>DuraVision Chrome UV</x:v>
      </x:c>
      <x:c r="L2704" s="40" t="n">
        <x:v>4449</x:v>
      </x:c>
      <x:c r="M2704" s="24" t="str">
        <x:v>-7.25 a +6.00</x:v>
      </x:c>
      <x:c r="N2704" s="24" t="str">
        <x:v>-6.00</x:v>
      </x:c>
      <x:c r="O2704" s="24" t="str">
        <x:v>0.75 a 3.50</x:v>
      </x:c>
      <x:c r="P2704" s="24" t="str">
        <x:v>75</x:v>
      </x:c>
      <x:c r="Q2704" s="24"/>
      <x:c r="R2704" s="24"/>
      <x:c r="S2704" s="26" t="n">
        <x:v>46113</x:v>
      </x:c>
      <x:c r="T2704" s="26"/>
      <x:c r="U2704" s="24" t="str">
        <x:v>ATIVA/SEM FIM INFORMADO</x:v>
      </x:c>
      <x:c r="V2704" s="24" t="str">
        <x:v>Programa de Parcerias ZEISS</x:v>
      </x:c>
      <x:c r="W2704" s="24" t="n">
        <x:v>44</x:v>
      </x:c>
      <x:c r="X2704" s="24" t="str">
        <x:v>tabela_zeiss.pdf</x:v>
      </x:c>
      <x:c r="Y2704" s="24" t="str">
        <x:v>alta</x:v>
      </x:c>
      <x:c r="Z2704" s="24"/>
      <x:c r="AA2704" s="24" t="str">
        <x:v>ZEISS|Progressiva|Surfaçada|Light 2 3D|PhotoFusion X|1.6|1.60|DuraVision Chrome UV|-7.25 a +6.00|-6.00|0.75 a 3.50|75|||44</x:v>
      </x:c>
    </x:row>
    <x:row r="2705">
      <x:c r="A2705" s="24" t="str">
        <x:v>ZS-39F5F9DCAF3A</x:v>
      </x:c>
      <x:c r="B2705" s="24" t="str">
        <x:v>SIM</x:v>
      </x:c>
      <x:c r="C2705" s="24" t="str">
        <x:v>DISPONÍVEL</x:v>
      </x:c>
      <x:c r="D2705" s="24" t="str">
        <x:v>ZEISS</x:v>
      </x:c>
      <x:c r="E2705" s="24" t="str">
        <x:v>Progressiva</x:v>
      </x:c>
      <x:c r="F2705" s="24" t="str">
        <x:v>Surfaçada</x:v>
      </x:c>
      <x:c r="G2705" s="24" t="str">
        <x:v>Light 2 3D</x:v>
      </x:c>
      <x:c r="H2705" s="24" t="str">
        <x:v>PhotoFusion X</x:v>
      </x:c>
      <x:c r="I2705" s="24" t="str">
        <x:v>1.67</x:v>
      </x:c>
      <x:c r="J2705" s="24" t="str">
        <x:v>1.67</x:v>
      </x:c>
      <x:c r="K2705" s="24" t="str">
        <x:v>DuraVision Gold UV</x:v>
      </x:c>
      <x:c r="L2705" s="40" t="n">
        <x:v>6639</x:v>
      </x:c>
      <x:c r="M2705" s="24" t="str">
        <x:v>-10.00 a +6.00</x:v>
      </x:c>
      <x:c r="N2705" s="24" t="str">
        <x:v>-6.00</x:v>
      </x:c>
      <x:c r="O2705" s="24" t="str">
        <x:v>0.75 a 3.00</x:v>
      </x:c>
      <x:c r="P2705" s="24" t="str">
        <x:v>70</x:v>
      </x:c>
      <x:c r="Q2705" s="24"/>
      <x:c r="R2705" s="24"/>
      <x:c r="S2705" s="26" t="n">
        <x:v>46113</x:v>
      </x:c>
      <x:c r="T2705" s="26"/>
      <x:c r="U2705" s="24" t="str">
        <x:v>ATIVA/SEM FIM INFORMADO</x:v>
      </x:c>
      <x:c r="V2705" s="24" t="str">
        <x:v>Programa de Parcerias ZEISS</x:v>
      </x:c>
      <x:c r="W2705" s="24" t="n">
        <x:v>44</x:v>
      </x:c>
      <x:c r="X2705" s="24" t="str">
        <x:v>tabela_zeiss.pdf</x:v>
      </x:c>
      <x:c r="Y2705" s="24" t="str">
        <x:v>alta</x:v>
      </x:c>
      <x:c r="Z2705" s="24"/>
      <x:c r="AA2705" s="24" t="str">
        <x:v>ZEISS|Progressiva|Surfaçada|Light 2 3D|PhotoFusion X|1.67|1.67|DuraVision Gold UV|-10.00 a +6.00|-6.00|0.75 a 3.00|70|||44</x:v>
      </x:c>
    </x:row>
    <x:row r="2706">
      <x:c r="A2706" s="24" t="str">
        <x:v>ZS-C02E34ADFF02</x:v>
      </x:c>
      <x:c r="B2706" s="24" t="str">
        <x:v>SIM</x:v>
      </x:c>
      <x:c r="C2706" s="24" t="str">
        <x:v>DISPONÍVEL</x:v>
      </x:c>
      <x:c r="D2706" s="24" t="str">
        <x:v>ZEISS</x:v>
      </x:c>
      <x:c r="E2706" s="24" t="str">
        <x:v>Progressiva</x:v>
      </x:c>
      <x:c r="F2706" s="24" t="str">
        <x:v>Surfaçada</x:v>
      </x:c>
      <x:c r="G2706" s="24" t="str">
        <x:v>Light 2 3D</x:v>
      </x:c>
      <x:c r="H2706" s="24" t="str">
        <x:v>PhotoFusion X</x:v>
      </x:c>
      <x:c r="I2706" s="24" t="str">
        <x:v>1.67</x:v>
      </x:c>
      <x:c r="J2706" s="24" t="str">
        <x:v>1.67</x:v>
      </x:c>
      <x:c r="K2706" s="24" t="str">
        <x:v>DURAVISION® ANTIVÍRUS PLATINUM UV</x:v>
      </x:c>
      <x:c r="L2706" s="40" t="n">
        <x:v>6499</x:v>
      </x:c>
      <x:c r="M2706" s="24" t="str">
        <x:v>-10.00 a +6.00</x:v>
      </x:c>
      <x:c r="N2706" s="24" t="str">
        <x:v>-6.00</x:v>
      </x:c>
      <x:c r="O2706" s="24" t="str">
        <x:v>0.75 a 3.00</x:v>
      </x:c>
      <x:c r="P2706" s="24" t="str">
        <x:v>70</x:v>
      </x:c>
      <x:c r="Q2706" s="24"/>
      <x:c r="R2706" s="24"/>
      <x:c r="S2706" s="26" t="n">
        <x:v>46113</x:v>
      </x:c>
      <x:c r="T2706" s="26"/>
      <x:c r="U2706" s="24" t="str">
        <x:v>ATIVA/SEM FIM INFORMADO</x:v>
      </x:c>
      <x:c r="V2706" s="24" t="str">
        <x:v>Programa de Parcerias ZEISS</x:v>
      </x:c>
      <x:c r="W2706" s="24" t="n">
        <x:v>44</x:v>
      </x:c>
      <x:c r="X2706" s="24" t="str">
        <x:v>tabela_zeiss.pdf</x:v>
      </x:c>
      <x:c r="Y2706" s="24" t="str">
        <x:v>alta</x:v>
      </x:c>
      <x:c r="Z2706" s="24"/>
      <x:c r="AA2706" s="24" t="str">
        <x:v>ZEISS|Progressiva|Surfaçada|Light 2 3D|PhotoFusion X|1.67|1.67|DURAVISION® ANTIVÍRUS PLATINUM UV|-10.00 a +6.00|-6.00|0.75 a 3.00|70|||44</x:v>
      </x:c>
    </x:row>
    <x:row r="2707">
      <x:c r="A2707" s="24" t="str">
        <x:v>ZS-BDF47483D10D</x:v>
      </x:c>
      <x:c r="B2707" s="24" t="str">
        <x:v>SIM</x:v>
      </x:c>
      <x:c r="C2707" s="24" t="str">
        <x:v>DISPONÍVEL</x:v>
      </x:c>
      <x:c r="D2707" s="24" t="str">
        <x:v>ZEISS</x:v>
      </x:c>
      <x:c r="E2707" s="24" t="str">
        <x:v>Progressiva</x:v>
      </x:c>
      <x:c r="F2707" s="24" t="str">
        <x:v>Surfaçada</x:v>
      </x:c>
      <x:c r="G2707" s="24" t="str">
        <x:v>Light 2 3D</x:v>
      </x:c>
      <x:c r="H2707" s="24" t="str">
        <x:v>PhotoFusion X</x:v>
      </x:c>
      <x:c r="I2707" s="24" t="str">
        <x:v>1.67</x:v>
      </x:c>
      <x:c r="J2707" s="24" t="str">
        <x:v>1.67</x:v>
      </x:c>
      <x:c r="K2707" s="24" t="str">
        <x:v>DuraVision Platinum UV</x:v>
      </x:c>
      <x:c r="L2707" s="40" t="n">
        <x:v>6499</x:v>
      </x:c>
      <x:c r="M2707" s="24" t="str">
        <x:v>-10.00 a +6.00</x:v>
      </x:c>
      <x:c r="N2707" s="24" t="str">
        <x:v>-6.00</x:v>
      </x:c>
      <x:c r="O2707" s="24" t="str">
        <x:v>0.75 a 3.00</x:v>
      </x:c>
      <x:c r="P2707" s="24" t="str">
        <x:v>70</x:v>
      </x:c>
      <x:c r="Q2707" s="24"/>
      <x:c r="R2707" s="24"/>
      <x:c r="S2707" s="26" t="n">
        <x:v>46113</x:v>
      </x:c>
      <x:c r="T2707" s="26"/>
      <x:c r="U2707" s="24" t="str">
        <x:v>ATIVA/SEM FIM INFORMADO</x:v>
      </x:c>
      <x:c r="V2707" s="24" t="str">
        <x:v>Programa de Parcerias ZEISS</x:v>
      </x:c>
      <x:c r="W2707" s="24" t="n">
        <x:v>44</x:v>
      </x:c>
      <x:c r="X2707" s="24" t="str">
        <x:v>tabela_zeiss.pdf</x:v>
      </x:c>
      <x:c r="Y2707" s="24" t="str">
        <x:v>alta</x:v>
      </x:c>
      <x:c r="Z2707" s="24"/>
      <x:c r="AA2707" s="24" t="str">
        <x:v>ZEISS|Progressiva|Surfaçada|Light 2 3D|PhotoFusion X|1.67|1.67|DuraVision Platinum UV|-10.00 a +6.00|-6.00|0.75 a 3.00|70|||44</x:v>
      </x:c>
    </x:row>
    <x:row r="2708">
      <x:c r="A2708" s="24" t="str">
        <x:v>ZS-D3A44CB59D98</x:v>
      </x:c>
      <x:c r="B2708" s="24" t="str">
        <x:v>SIM</x:v>
      </x:c>
      <x:c r="C2708" s="24" t="str">
        <x:v>DISPONÍVEL</x:v>
      </x:c>
      <x:c r="D2708" s="24" t="str">
        <x:v>ZEISS</x:v>
      </x:c>
      <x:c r="E2708" s="24" t="str">
        <x:v>Progressiva</x:v>
      </x:c>
      <x:c r="F2708" s="24" t="str">
        <x:v>Surfaçada</x:v>
      </x:c>
      <x:c r="G2708" s="24" t="str">
        <x:v>Light 2 3D</x:v>
      </x:c>
      <x:c r="H2708" s="24" t="str">
        <x:v>PhotoFusion X</x:v>
      </x:c>
      <x:c r="I2708" s="24" t="str">
        <x:v>1.67</x:v>
      </x:c>
      <x:c r="J2708" s="24" t="str">
        <x:v>1.67</x:v>
      </x:c>
      <x:c r="K2708" s="24" t="str">
        <x:v>DuraVision Silver UV</x:v>
      </x:c>
      <x:c r="L2708" s="40" t="n">
        <x:v>6239</x:v>
      </x:c>
      <x:c r="M2708" s="24" t="str">
        <x:v>-10.00 a +6.00</x:v>
      </x:c>
      <x:c r="N2708" s="24" t="str">
        <x:v>-6.00</x:v>
      </x:c>
      <x:c r="O2708" s="24" t="str">
        <x:v>0.75 a 3.00</x:v>
      </x:c>
      <x:c r="P2708" s="24" t="str">
        <x:v>70</x:v>
      </x:c>
      <x:c r="Q2708" s="24"/>
      <x:c r="R2708" s="24"/>
      <x:c r="S2708" s="26" t="n">
        <x:v>46113</x:v>
      </x:c>
      <x:c r="T2708" s="26"/>
      <x:c r="U2708" s="24" t="str">
        <x:v>ATIVA/SEM FIM INFORMADO</x:v>
      </x:c>
      <x:c r="V2708" s="24" t="str">
        <x:v>Programa de Parcerias ZEISS</x:v>
      </x:c>
      <x:c r="W2708" s="24" t="n">
        <x:v>44</x:v>
      </x:c>
      <x:c r="X2708" s="24" t="str">
        <x:v>tabela_zeiss.pdf</x:v>
      </x:c>
      <x:c r="Y2708" s="24" t="str">
        <x:v>alta</x:v>
      </x:c>
      <x:c r="Z2708" s="24"/>
      <x:c r="AA2708" s="24" t="str">
        <x:v>ZEISS|Progressiva|Surfaçada|Light 2 3D|PhotoFusion X|1.67|1.67|DuraVision Silver UV|-10.00 a +6.00|-6.00|0.75 a 3.00|70|||44</x:v>
      </x:c>
    </x:row>
    <x:row r="2709">
      <x:c r="A2709" s="24" t="str">
        <x:v>ZS-2E67B2B7119F</x:v>
      </x:c>
      <x:c r="B2709" s="24" t="str">
        <x:v>SIM</x:v>
      </x:c>
      <x:c r="C2709" s="24" t="str">
        <x:v>DISPONÍVEL</x:v>
      </x:c>
      <x:c r="D2709" s="24" t="str">
        <x:v>ZEISS</x:v>
      </x:c>
      <x:c r="E2709" s="24" t="str">
        <x:v>Progressiva</x:v>
      </x:c>
      <x:c r="F2709" s="24" t="str">
        <x:v>Surfaçada</x:v>
      </x:c>
      <x:c r="G2709" s="24" t="str">
        <x:v>Light 2 3D</x:v>
      </x:c>
      <x:c r="H2709" s="24" t="str">
        <x:v>PhotoFusion X</x:v>
      </x:c>
      <x:c r="I2709" s="24" t="str">
        <x:v>1.67</x:v>
      </x:c>
      <x:c r="J2709" s="24" t="str">
        <x:v>1.67</x:v>
      </x:c>
      <x:c r="K2709" s="24" t="str">
        <x:v>DuraVision Chrome UV</x:v>
      </x:c>
      <x:c r="L2709" s="40" t="n">
        <x:v>5749</x:v>
      </x:c>
      <x:c r="M2709" s="24" t="str">
        <x:v>-10.00 a +6.00</x:v>
      </x:c>
      <x:c r="N2709" s="24" t="str">
        <x:v>-6.00</x:v>
      </x:c>
      <x:c r="O2709" s="24" t="str">
        <x:v>0.75 a 3.00</x:v>
      </x:c>
      <x:c r="P2709" s="24" t="str">
        <x:v>70</x:v>
      </x:c>
      <x:c r="Q2709" s="24"/>
      <x:c r="R2709" s="24"/>
      <x:c r="S2709" s="26" t="n">
        <x:v>46113</x:v>
      </x:c>
      <x:c r="T2709" s="26"/>
      <x:c r="U2709" s="24" t="str">
        <x:v>ATIVA/SEM FIM INFORMADO</x:v>
      </x:c>
      <x:c r="V2709" s="24" t="str">
        <x:v>Programa de Parcerias ZEISS</x:v>
      </x:c>
      <x:c r="W2709" s="24" t="n">
        <x:v>44</x:v>
      </x:c>
      <x:c r="X2709" s="24" t="str">
        <x:v>tabela_zeiss.pdf</x:v>
      </x:c>
      <x:c r="Y2709" s="24" t="str">
        <x:v>alta</x:v>
      </x:c>
      <x:c r="Z2709" s="24"/>
      <x:c r="AA2709" s="24" t="str">
        <x:v>ZEISS|Progressiva|Surfaçada|Light 2 3D|PhotoFusion X|1.67|1.67|DuraVision Chrome UV|-10.00 a +6.00|-6.00|0.75 a 3.00|70|||44</x:v>
      </x:c>
    </x:row>
    <x:row r="2710">
      <x:c r="A2710" s="24" t="str">
        <x:v>ZS-F3D69F275CBC</x:v>
      </x:c>
      <x:c r="B2710" s="24" t="str">
        <x:v>SIM</x:v>
      </x:c>
      <x:c r="C2710" s="24" t="str">
        <x:v>DISPONÍVEL</x:v>
      </x:c>
      <x:c r="D2710" s="24" t="str">
        <x:v>ZEISS</x:v>
      </x:c>
      <x:c r="E2710" s="24" t="str">
        <x:v>Progressiva</x:v>
      </x:c>
      <x:c r="F2710" s="24" t="str">
        <x:v>Surfaçada</x:v>
      </x:c>
      <x:c r="G2710" s="24" t="str">
        <x:v>Light 2 3D</x:v>
      </x:c>
      <x:c r="H2710" s="24" t="str">
        <x:v>PhotoFusion X Extra Dark Cinza</x:v>
      </x:c>
      <x:c r="I2710" s="24" t="str">
        <x:v>1.5</x:v>
      </x:c>
      <x:c r="J2710" s="24" t="str">
        <x:v>1.50</x:v>
      </x:c>
      <x:c r="K2710" s="24" t="str">
        <x:v>DuraVision Gold UV</x:v>
      </x:c>
      <x:c r="L2710" s="40" t="n">
        <x:v>4809</x:v>
      </x:c>
      <x:c r="M2710" s="24" t="str">
        <x:v>-6.00 a +5.00</x:v>
      </x:c>
      <x:c r="N2710" s="24" t="str">
        <x:v>-4.00</x:v>
      </x:c>
      <x:c r="O2710" s="24" t="str">
        <x:v>0.75 a 3.00</x:v>
      </x:c>
      <x:c r="P2710" s="24" t="str">
        <x:v>75</x:v>
      </x:c>
      <x:c r="Q2710" s="24"/>
      <x:c r="R2710" s="24"/>
      <x:c r="S2710" s="26" t="n">
        <x:v>46113</x:v>
      </x:c>
      <x:c r="T2710" s="26"/>
      <x:c r="U2710" s="24" t="str">
        <x:v>ATIVA/SEM FIM INFORMADO</x:v>
      </x:c>
      <x:c r="V2710" s="24" t="str">
        <x:v>Programa de Parcerias ZEISS</x:v>
      </x:c>
      <x:c r="W2710" s="24" t="n">
        <x:v>44</x:v>
      </x:c>
      <x:c r="X2710" s="24" t="str">
        <x:v>tabela_zeiss.pdf</x:v>
      </x:c>
      <x:c r="Y2710" s="24" t="str">
        <x:v>alta</x:v>
      </x:c>
      <x:c r="Z2710" s="24"/>
      <x:c r="AA2710" s="24" t="str">
        <x:v>ZEISS|Progressiva|Surfaçada|Light 2 3D|PhotoFusion X Extra Dark Cinza|1.5|1.50|DuraVision Gold UV|-6.00 a +5.00|-4.00|0.75 a 3.00|75|||44</x:v>
      </x:c>
    </x:row>
    <x:row r="2711">
      <x:c r="A2711" s="24" t="str">
        <x:v>ZS-C66AAC53A2F2</x:v>
      </x:c>
      <x:c r="B2711" s="24" t="str">
        <x:v>SIM</x:v>
      </x:c>
      <x:c r="C2711" s="24" t="str">
        <x:v>DISPONÍVEL</x:v>
      </x:c>
      <x:c r="D2711" s="24" t="str">
        <x:v>ZEISS</x:v>
      </x:c>
      <x:c r="E2711" s="24" t="str">
        <x:v>Progressiva</x:v>
      </x:c>
      <x:c r="F2711" s="24" t="str">
        <x:v>Surfaçada</x:v>
      </x:c>
      <x:c r="G2711" s="24" t="str">
        <x:v>Light 2 3D</x:v>
      </x:c>
      <x:c r="H2711" s="24" t="str">
        <x:v>PhotoFusion X Extra Dark Cinza</x:v>
      </x:c>
      <x:c r="I2711" s="24" t="str">
        <x:v>1.5</x:v>
      </x:c>
      <x:c r="J2711" s="24" t="str">
        <x:v>1.50</x:v>
      </x:c>
      <x:c r="K2711" s="24" t="str">
        <x:v>DURAVISION® ANTIVÍRUS PLATINUM UV</x:v>
      </x:c>
      <x:c r="L2711" s="40" t="n">
        <x:v>4669</x:v>
      </x:c>
      <x:c r="M2711" s="24" t="str">
        <x:v>-6.00 a +5.00</x:v>
      </x:c>
      <x:c r="N2711" s="24" t="str">
        <x:v>-4.00</x:v>
      </x:c>
      <x:c r="O2711" s="24" t="str">
        <x:v>0.75 a 3.00</x:v>
      </x:c>
      <x:c r="P2711" s="24" t="str">
        <x:v>75</x:v>
      </x:c>
      <x:c r="Q2711" s="24"/>
      <x:c r="R2711" s="24"/>
      <x:c r="S2711" s="26" t="n">
        <x:v>46113</x:v>
      </x:c>
      <x:c r="T2711" s="26"/>
      <x:c r="U2711" s="24" t="str">
        <x:v>ATIVA/SEM FIM INFORMADO</x:v>
      </x:c>
      <x:c r="V2711" s="24" t="str">
        <x:v>Programa de Parcerias ZEISS</x:v>
      </x:c>
      <x:c r="W2711" s="24" t="n">
        <x:v>44</x:v>
      </x:c>
      <x:c r="X2711" s="24" t="str">
        <x:v>tabela_zeiss.pdf</x:v>
      </x:c>
      <x:c r="Y2711" s="24" t="str">
        <x:v>alta</x:v>
      </x:c>
      <x:c r="Z2711" s="24"/>
      <x:c r="AA2711" s="24" t="str">
        <x:v>ZEISS|Progressiva|Surfaçada|Light 2 3D|PhotoFusion X Extra Dark Cinza|1.5|1.50|DURAVISION® ANTIVÍRUS PLATINUM UV|-6.00 a +5.00|-4.00|0.75 a 3.00|75|||44</x:v>
      </x:c>
    </x:row>
    <x:row r="2712">
      <x:c r="A2712" s="24" t="str">
        <x:v>ZS-1D58DDBB3579</x:v>
      </x:c>
      <x:c r="B2712" s="24" t="str">
        <x:v>SIM</x:v>
      </x:c>
      <x:c r="C2712" s="24" t="str">
        <x:v>DISPONÍVEL</x:v>
      </x:c>
      <x:c r="D2712" s="24" t="str">
        <x:v>ZEISS</x:v>
      </x:c>
      <x:c r="E2712" s="24" t="str">
        <x:v>Progressiva</x:v>
      </x:c>
      <x:c r="F2712" s="24" t="str">
        <x:v>Surfaçada</x:v>
      </x:c>
      <x:c r="G2712" s="24" t="str">
        <x:v>Light 2 3D</x:v>
      </x:c>
      <x:c r="H2712" s="24" t="str">
        <x:v>PhotoFusion X Extra Dark Cinza</x:v>
      </x:c>
      <x:c r="I2712" s="24" t="str">
        <x:v>1.5</x:v>
      </x:c>
      <x:c r="J2712" s="24" t="str">
        <x:v>1.50</x:v>
      </x:c>
      <x:c r="K2712" s="24" t="str">
        <x:v>DuraVision Platinum UV</x:v>
      </x:c>
      <x:c r="L2712" s="40" t="n">
        <x:v>4669</x:v>
      </x:c>
      <x:c r="M2712" s="24" t="str">
        <x:v>-6.00 a +5.00</x:v>
      </x:c>
      <x:c r="N2712" s="24" t="str">
        <x:v>-4.00</x:v>
      </x:c>
      <x:c r="O2712" s="24" t="str">
        <x:v>0.75 a 3.00</x:v>
      </x:c>
      <x:c r="P2712" s="24" t="str">
        <x:v>75</x:v>
      </x:c>
      <x:c r="Q2712" s="24"/>
      <x:c r="R2712" s="24"/>
      <x:c r="S2712" s="26" t="n">
        <x:v>46113</x:v>
      </x:c>
      <x:c r="T2712" s="26"/>
      <x:c r="U2712" s="24" t="str">
        <x:v>ATIVA/SEM FIM INFORMADO</x:v>
      </x:c>
      <x:c r="V2712" s="24" t="str">
        <x:v>Programa de Parcerias ZEISS</x:v>
      </x:c>
      <x:c r="W2712" s="24" t="n">
        <x:v>44</x:v>
      </x:c>
      <x:c r="X2712" s="24" t="str">
        <x:v>tabela_zeiss.pdf</x:v>
      </x:c>
      <x:c r="Y2712" s="24" t="str">
        <x:v>alta</x:v>
      </x:c>
      <x:c r="Z2712" s="24"/>
      <x:c r="AA2712" s="24" t="str">
        <x:v>ZEISS|Progressiva|Surfaçada|Light 2 3D|PhotoFusion X Extra Dark Cinza|1.5|1.50|DuraVision Platinum UV|-6.00 a +5.00|-4.00|0.75 a 3.00|75|||44</x:v>
      </x:c>
    </x:row>
    <x:row r="2713">
      <x:c r="A2713" s="24" t="str">
        <x:v>ZS-7BFBB05BCD83</x:v>
      </x:c>
      <x:c r="B2713" s="24" t="str">
        <x:v>SIM</x:v>
      </x:c>
      <x:c r="C2713" s="24" t="str">
        <x:v>DISPONÍVEL</x:v>
      </x:c>
      <x:c r="D2713" s="24" t="str">
        <x:v>ZEISS</x:v>
      </x:c>
      <x:c r="E2713" s="24" t="str">
        <x:v>Progressiva</x:v>
      </x:c>
      <x:c r="F2713" s="24" t="str">
        <x:v>Surfaçada</x:v>
      </x:c>
      <x:c r="G2713" s="24" t="str">
        <x:v>Light 2 3D</x:v>
      </x:c>
      <x:c r="H2713" s="24" t="str">
        <x:v>PhotoFusion X Extra Dark Cinza</x:v>
      </x:c>
      <x:c r="I2713" s="24" t="str">
        <x:v>1.5</x:v>
      </x:c>
      <x:c r="J2713" s="24" t="str">
        <x:v>1.50</x:v>
      </x:c>
      <x:c r="K2713" s="24" t="str">
        <x:v>DuraVision Silver UV</x:v>
      </x:c>
      <x:c r="L2713" s="40" t="n">
        <x:v>4409</x:v>
      </x:c>
      <x:c r="M2713" s="24" t="str">
        <x:v>-6.00 a +5.00</x:v>
      </x:c>
      <x:c r="N2713" s="24" t="str">
        <x:v>-4.00</x:v>
      </x:c>
      <x:c r="O2713" s="24" t="str">
        <x:v>0.75 a 3.00</x:v>
      </x:c>
      <x:c r="P2713" s="24" t="str">
        <x:v>75</x:v>
      </x:c>
      <x:c r="Q2713" s="24"/>
      <x:c r="R2713" s="24"/>
      <x:c r="S2713" s="26" t="n">
        <x:v>46113</x:v>
      </x:c>
      <x:c r="T2713" s="26"/>
      <x:c r="U2713" s="24" t="str">
        <x:v>ATIVA/SEM FIM INFORMADO</x:v>
      </x:c>
      <x:c r="V2713" s="24" t="str">
        <x:v>Programa de Parcerias ZEISS</x:v>
      </x:c>
      <x:c r="W2713" s="24" t="n">
        <x:v>44</x:v>
      </x:c>
      <x:c r="X2713" s="24" t="str">
        <x:v>tabela_zeiss.pdf</x:v>
      </x:c>
      <x:c r="Y2713" s="24" t="str">
        <x:v>alta</x:v>
      </x:c>
      <x:c r="Z2713" s="24"/>
      <x:c r="AA2713" s="24" t="str">
        <x:v>ZEISS|Progressiva|Surfaçada|Light 2 3D|PhotoFusion X Extra Dark Cinza|1.5|1.50|DuraVision Silver UV|-6.00 a +5.00|-4.00|0.75 a 3.00|75|||44</x:v>
      </x:c>
    </x:row>
    <x:row r="2714">
      <x:c r="A2714" s="24" t="str">
        <x:v>ZS-7529FDC7A90E</x:v>
      </x:c>
      <x:c r="B2714" s="24" t="str">
        <x:v>SIM</x:v>
      </x:c>
      <x:c r="C2714" s="24" t="str">
        <x:v>DISPONÍVEL</x:v>
      </x:c>
      <x:c r="D2714" s="24" t="str">
        <x:v>ZEISS</x:v>
      </x:c>
      <x:c r="E2714" s="24" t="str">
        <x:v>Progressiva</x:v>
      </x:c>
      <x:c r="F2714" s="24" t="str">
        <x:v>Surfaçada</x:v>
      </x:c>
      <x:c r="G2714" s="24" t="str">
        <x:v>Light 2 3D</x:v>
      </x:c>
      <x:c r="H2714" s="24" t="str">
        <x:v>PhotoFusion X Extra Dark Cinza</x:v>
      </x:c>
      <x:c r="I2714" s="24" t="str">
        <x:v>1.5</x:v>
      </x:c>
      <x:c r="J2714" s="24" t="str">
        <x:v>1.50</x:v>
      </x:c>
      <x:c r="K2714" s="24" t="str">
        <x:v>DuraVision Chrome UV</x:v>
      </x:c>
      <x:c r="L2714" s="40" t="n">
        <x:v>3919</x:v>
      </x:c>
      <x:c r="M2714" s="24" t="str">
        <x:v>-6.00 a +5.00</x:v>
      </x:c>
      <x:c r="N2714" s="24" t="str">
        <x:v>-4.00</x:v>
      </x:c>
      <x:c r="O2714" s="24" t="str">
        <x:v>0.75 a 3.00</x:v>
      </x:c>
      <x:c r="P2714" s="24" t="str">
        <x:v>75</x:v>
      </x:c>
      <x:c r="Q2714" s="24"/>
      <x:c r="R2714" s="24"/>
      <x:c r="S2714" s="26" t="n">
        <x:v>46113</x:v>
      </x:c>
      <x:c r="T2714" s="26"/>
      <x:c r="U2714" s="24" t="str">
        <x:v>ATIVA/SEM FIM INFORMADO</x:v>
      </x:c>
      <x:c r="V2714" s="24" t="str">
        <x:v>Programa de Parcerias ZEISS</x:v>
      </x:c>
      <x:c r="W2714" s="24" t="n">
        <x:v>44</x:v>
      </x:c>
      <x:c r="X2714" s="24" t="str">
        <x:v>tabela_zeiss.pdf</x:v>
      </x:c>
      <x:c r="Y2714" s="24" t="str">
        <x:v>alta</x:v>
      </x:c>
      <x:c r="Z2714" s="24"/>
      <x:c r="AA2714" s="24" t="str">
        <x:v>ZEISS|Progressiva|Surfaçada|Light 2 3D|PhotoFusion X Extra Dark Cinza|1.5|1.50|DuraVision Chrome UV|-6.00 a +5.00|-4.00|0.75 a 3.00|75|||44</x:v>
      </x:c>
    </x:row>
    <x:row r="2715">
      <x:c r="A2715" s="24" t="str">
        <x:v>ZS-D9C471AFDCE6</x:v>
      </x:c>
      <x:c r="B2715" s="24" t="str">
        <x:v>SIM</x:v>
      </x:c>
      <x:c r="C2715" s="24" t="str">
        <x:v>DISPONÍVEL</x:v>
      </x:c>
      <x:c r="D2715" s="24" t="str">
        <x:v>ZEISS</x:v>
      </x:c>
      <x:c r="E2715" s="24" t="str">
        <x:v>Progressiva</x:v>
      </x:c>
      <x:c r="F2715" s="24" t="str">
        <x:v>Surfaçada</x:v>
      </x:c>
      <x:c r="G2715" s="24" t="str">
        <x:v>Light 2 3D</x:v>
      </x:c>
      <x:c r="H2715" s="24" t="str">
        <x:v>PhotoFusion X Extra Dark Cinza</x:v>
      </x:c>
      <x:c r="I2715" s="24" t="str">
        <x:v>1.5</x:v>
      </x:c>
      <x:c r="J2715" s="24" t="str">
        <x:v>1.50</x:v>
      </x:c>
      <x:c r="K2715" s="24" t="str">
        <x:v>Sem AR</x:v>
      </x:c>
      <x:c r="L2715" s="40" t="n">
        <x:v>3519</x:v>
      </x:c>
      <x:c r="M2715" s="24" t="str">
        <x:v>-6.00 a +5.00</x:v>
      </x:c>
      <x:c r="N2715" s="24" t="str">
        <x:v>-4.00</x:v>
      </x:c>
      <x:c r="O2715" s="24" t="str">
        <x:v>0.75 a 3.00</x:v>
      </x:c>
      <x:c r="P2715" s="24" t="str">
        <x:v>75</x:v>
      </x:c>
      <x:c r="Q2715" s="24"/>
      <x:c r="R2715" s="24"/>
      <x:c r="S2715" s="26" t="n">
        <x:v>46113</x:v>
      </x:c>
      <x:c r="T2715" s="26"/>
      <x:c r="U2715" s="24" t="str">
        <x:v>ATIVA/SEM FIM INFORMADO</x:v>
      </x:c>
      <x:c r="V2715" s="24" t="str">
        <x:v>Programa de Parcerias ZEISS</x:v>
      </x:c>
      <x:c r="W2715" s="24" t="n">
        <x:v>44</x:v>
      </x:c>
      <x:c r="X2715" s="24" t="str">
        <x:v>tabela_zeiss.pdf</x:v>
      </x:c>
      <x:c r="Y2715" s="24" t="str">
        <x:v>alta</x:v>
      </x:c>
      <x:c r="Z2715" s="24"/>
      <x:c r="AA2715" s="24" t="str">
        <x:v>ZEISS|Progressiva|Surfaçada|Light 2 3D|PhotoFusion X Extra Dark Cinza|1.5|1.50|Sem AR|-6.00 a +5.00|-4.00|0.75 a 3.00|75|||44</x:v>
      </x:c>
    </x:row>
    <x:row r="2716">
      <x:c r="A2716" s="24" t="str">
        <x:v>ZS-83E11EB86EF6</x:v>
      </x:c>
      <x:c r="B2716" s="24" t="str">
        <x:v>SIM</x:v>
      </x:c>
      <x:c r="C2716" s="24" t="str">
        <x:v>DISPONÍVEL</x:v>
      </x:c>
      <x:c r="D2716" s="24" t="str">
        <x:v>ZEISS</x:v>
      </x:c>
      <x:c r="E2716" s="24" t="str">
        <x:v>Progressiva</x:v>
      </x:c>
      <x:c r="F2716" s="24" t="str">
        <x:v>Surfaçada</x:v>
      </x:c>
      <x:c r="G2716" s="24" t="str">
        <x:v>Light 2 3D</x:v>
      </x:c>
      <x:c r="H2716" s="24" t="str">
        <x:v>PhotoFusion X Extra Dark Cinza</x:v>
      </x:c>
      <x:c r="I2716" s="24" t="str">
        <x:v>Poli</x:v>
      </x:c>
      <x:c r="J2716" s="24"/>
      <x:c r="K2716" s="24" t="str">
        <x:v>DuraVision Gold UV</x:v>
      </x:c>
      <x:c r="L2716" s="40" t="n">
        <x:v>5169</x:v>
      </x:c>
      <x:c r="M2716" s="24" t="str">
        <x:v>-10.00 a +6.00</x:v>
      </x:c>
      <x:c r="N2716" s="24" t="str">
        <x:v>-6.00</x:v>
      </x:c>
      <x:c r="O2716" s="24" t="str">
        <x:v>0.75 a 3.00</x:v>
      </x:c>
      <x:c r="P2716" s="24" t="str">
        <x:v>72</x:v>
      </x:c>
      <x:c r="Q2716" s="24"/>
      <x:c r="R2716" s="24"/>
      <x:c r="S2716" s="26" t="n">
        <x:v>46113</x:v>
      </x:c>
      <x:c r="T2716" s="26"/>
      <x:c r="U2716" s="24" t="str">
        <x:v>ATIVA/SEM FIM INFORMADO</x:v>
      </x:c>
      <x:c r="V2716" s="24" t="str">
        <x:v>Programa de Parcerias ZEISS</x:v>
      </x:c>
      <x:c r="W2716" s="24" t="n">
        <x:v>44</x:v>
      </x:c>
      <x:c r="X2716" s="24" t="str">
        <x:v>tabela_zeiss.pdf</x:v>
      </x:c>
      <x:c r="Y2716" s="24" t="str">
        <x:v>alta</x:v>
      </x:c>
      <x:c r="Z2716" s="24"/>
      <x:c r="AA2716" s="24" t="str">
        <x:v>ZEISS|Progressiva|Surfaçada|Light 2 3D|PhotoFusion X Extra Dark Cinza|Poli||DuraVision Gold UV|-10.00 a +6.00|-6.00|0.75 a 3.00|72|||44</x:v>
      </x:c>
    </x:row>
    <x:row r="2717">
      <x:c r="A2717" s="24" t="str">
        <x:v>ZS-6344DE23FCDF</x:v>
      </x:c>
      <x:c r="B2717" s="24" t="str">
        <x:v>SIM</x:v>
      </x:c>
      <x:c r="C2717" s="24" t="str">
        <x:v>DISPONÍVEL</x:v>
      </x:c>
      <x:c r="D2717" s="24" t="str">
        <x:v>ZEISS</x:v>
      </x:c>
      <x:c r="E2717" s="24" t="str">
        <x:v>Progressiva</x:v>
      </x:c>
      <x:c r="F2717" s="24" t="str">
        <x:v>Surfaçada</x:v>
      </x:c>
      <x:c r="G2717" s="24" t="str">
        <x:v>Light 2 3D</x:v>
      </x:c>
      <x:c r="H2717" s="24" t="str">
        <x:v>PhotoFusion X Extra Dark Cinza</x:v>
      </x:c>
      <x:c r="I2717" s="24" t="str">
        <x:v>Poli</x:v>
      </x:c>
      <x:c r="J2717" s="24"/>
      <x:c r="K2717" s="24" t="str">
        <x:v>DuraVision Platinum UV</x:v>
      </x:c>
      <x:c r="L2717" s="40" t="n">
        <x:v>5029</x:v>
      </x:c>
      <x:c r="M2717" s="24" t="str">
        <x:v>-10.00 a +6.00</x:v>
      </x:c>
      <x:c r="N2717" s="24" t="str">
        <x:v>-6.00</x:v>
      </x:c>
      <x:c r="O2717" s="24" t="str">
        <x:v>0.75 a 3.00</x:v>
      </x:c>
      <x:c r="P2717" s="24" t="str">
        <x:v>72</x:v>
      </x:c>
      <x:c r="Q2717" s="24"/>
      <x:c r="R2717" s="24"/>
      <x:c r="S2717" s="26" t="n">
        <x:v>46113</x:v>
      </x:c>
      <x:c r="T2717" s="26"/>
      <x:c r="U2717" s="24" t="str">
        <x:v>ATIVA/SEM FIM INFORMADO</x:v>
      </x:c>
      <x:c r="V2717" s="24" t="str">
        <x:v>Programa de Parcerias ZEISS</x:v>
      </x:c>
      <x:c r="W2717" s="24" t="n">
        <x:v>44</x:v>
      </x:c>
      <x:c r="X2717" s="24" t="str">
        <x:v>tabela_zeiss.pdf</x:v>
      </x:c>
      <x:c r="Y2717" s="24" t="str">
        <x:v>alta</x:v>
      </x:c>
      <x:c r="Z2717" s="24"/>
      <x:c r="AA2717" s="24" t="str">
        <x:v>ZEISS|Progressiva|Surfaçada|Light 2 3D|PhotoFusion X Extra Dark Cinza|Poli||DuraVision Platinum UV|-10.00 a +6.00|-6.00|0.75 a 3.00|72|||44</x:v>
      </x:c>
    </x:row>
    <x:row r="2718">
      <x:c r="A2718" s="24" t="str">
        <x:v>ZS-626976CBAA68</x:v>
      </x:c>
      <x:c r="B2718" s="24" t="str">
        <x:v>SIM</x:v>
      </x:c>
      <x:c r="C2718" s="24" t="str">
        <x:v>DISPONÍVEL</x:v>
      </x:c>
      <x:c r="D2718" s="24" t="str">
        <x:v>ZEISS</x:v>
      </x:c>
      <x:c r="E2718" s="24" t="str">
        <x:v>Progressiva</x:v>
      </x:c>
      <x:c r="F2718" s="24" t="str">
        <x:v>Surfaçada</x:v>
      </x:c>
      <x:c r="G2718" s="24" t="str">
        <x:v>Light 2 3D</x:v>
      </x:c>
      <x:c r="H2718" s="24" t="str">
        <x:v>PhotoFusion X Extra Dark Cinza</x:v>
      </x:c>
      <x:c r="I2718" s="24" t="str">
        <x:v>Poli</x:v>
      </x:c>
      <x:c r="J2718" s="24"/>
      <x:c r="K2718" s="24" t="str">
        <x:v>DuraVision Silver UV</x:v>
      </x:c>
      <x:c r="L2718" s="40" t="n">
        <x:v>4769</x:v>
      </x:c>
      <x:c r="M2718" s="24" t="str">
        <x:v>-10.00 a +6.00</x:v>
      </x:c>
      <x:c r="N2718" s="24" t="str">
        <x:v>-6.00</x:v>
      </x:c>
      <x:c r="O2718" s="24" t="str">
        <x:v>0.75 a 3.00</x:v>
      </x:c>
      <x:c r="P2718" s="24" t="str">
        <x:v>72</x:v>
      </x:c>
      <x:c r="Q2718" s="24"/>
      <x:c r="R2718" s="24"/>
      <x:c r="S2718" s="26" t="n">
        <x:v>46113</x:v>
      </x:c>
      <x:c r="T2718" s="26"/>
      <x:c r="U2718" s="24" t="str">
        <x:v>ATIVA/SEM FIM INFORMADO</x:v>
      </x:c>
      <x:c r="V2718" s="24" t="str">
        <x:v>Programa de Parcerias ZEISS</x:v>
      </x:c>
      <x:c r="W2718" s="24" t="n">
        <x:v>44</x:v>
      </x:c>
      <x:c r="X2718" s="24" t="str">
        <x:v>tabela_zeiss.pdf</x:v>
      </x:c>
      <x:c r="Y2718" s="24" t="str">
        <x:v>alta</x:v>
      </x:c>
      <x:c r="Z2718" s="24"/>
      <x:c r="AA2718" s="24" t="str">
        <x:v>ZEISS|Progressiva|Surfaçada|Light 2 3D|PhotoFusion X Extra Dark Cinza|Poli||DuraVision Silver UV|-10.00 a +6.00|-6.00|0.75 a 3.00|72|||44</x:v>
      </x:c>
    </x:row>
    <x:row r="2719">
      <x:c r="A2719" s="24" t="str">
        <x:v>ZS-F0EB38FA767C</x:v>
      </x:c>
      <x:c r="B2719" s="24" t="str">
        <x:v>SIM</x:v>
      </x:c>
      <x:c r="C2719" s="24" t="str">
        <x:v>DISPONÍVEL</x:v>
      </x:c>
      <x:c r="D2719" s="24" t="str">
        <x:v>ZEISS</x:v>
      </x:c>
      <x:c r="E2719" s="24" t="str">
        <x:v>Progressiva</x:v>
      </x:c>
      <x:c r="F2719" s="24" t="str">
        <x:v>Surfaçada</x:v>
      </x:c>
      <x:c r="G2719" s="24" t="str">
        <x:v>Light 2 3D</x:v>
      </x:c>
      <x:c r="H2719" s="24" t="str">
        <x:v>PhotoFusion X Extra Dark Cinza</x:v>
      </x:c>
      <x:c r="I2719" s="24" t="str">
        <x:v>Poli</x:v>
      </x:c>
      <x:c r="J2719" s="24"/>
      <x:c r="K2719" s="24" t="str">
        <x:v>DuraVision Chrome UV</x:v>
      </x:c>
      <x:c r="L2719" s="40" t="n">
        <x:v>4279</x:v>
      </x:c>
      <x:c r="M2719" s="24" t="str">
        <x:v>-10.00 a +6.00</x:v>
      </x:c>
      <x:c r="N2719" s="24" t="str">
        <x:v>-6.00</x:v>
      </x:c>
      <x:c r="O2719" s="24" t="str">
        <x:v>0.75 a 3.00</x:v>
      </x:c>
      <x:c r="P2719" s="24" t="str">
        <x:v>72</x:v>
      </x:c>
      <x:c r="Q2719" s="24"/>
      <x:c r="R2719" s="24"/>
      <x:c r="S2719" s="26" t="n">
        <x:v>46113</x:v>
      </x:c>
      <x:c r="T2719" s="26"/>
      <x:c r="U2719" s="24" t="str">
        <x:v>ATIVA/SEM FIM INFORMADO</x:v>
      </x:c>
      <x:c r="V2719" s="24" t="str">
        <x:v>Programa de Parcerias ZEISS</x:v>
      </x:c>
      <x:c r="W2719" s="24" t="n">
        <x:v>44</x:v>
      </x:c>
      <x:c r="X2719" s="24" t="str">
        <x:v>tabela_zeiss.pdf</x:v>
      </x:c>
      <x:c r="Y2719" s="24" t="str">
        <x:v>alta</x:v>
      </x:c>
      <x:c r="Z2719" s="24"/>
      <x:c r="AA2719" s="24" t="str">
        <x:v>ZEISS|Progressiva|Surfaçada|Light 2 3D|PhotoFusion X Extra Dark Cinza|Poli||DuraVision Chrome UV|-10.00 a +6.00|-6.00|0.75 a 3.00|72|||44</x:v>
      </x:c>
    </x:row>
    <x:row r="2720">
      <x:c r="A2720" s="24" t="str">
        <x:v>ZS-9A25BF3CDC09</x:v>
      </x:c>
      <x:c r="B2720" s="24" t="str">
        <x:v>SIM</x:v>
      </x:c>
      <x:c r="C2720" s="24" t="str">
        <x:v>DISPONÍVEL</x:v>
      </x:c>
      <x:c r="D2720" s="24" t="str">
        <x:v>ZEISS</x:v>
      </x:c>
      <x:c r="E2720" s="24" t="str">
        <x:v>Progressiva</x:v>
      </x:c>
      <x:c r="F2720" s="24" t="str">
        <x:v>Surfaçada</x:v>
      </x:c>
      <x:c r="G2720" s="24" t="str">
        <x:v>Light 2 3D</x:v>
      </x:c>
      <x:c r="H2720" s="24" t="str">
        <x:v>PhotoFusion X Extra Dark Cinza</x:v>
      </x:c>
      <x:c r="I2720" s="24" t="str">
        <x:v>Poli</x:v>
      </x:c>
      <x:c r="J2720" s="24"/>
      <x:c r="K2720" s="24" t="str">
        <x:v>Sem AR</x:v>
      </x:c>
      <x:c r="L2720" s="40" t="n">
        <x:v>3879</x:v>
      </x:c>
      <x:c r="M2720" s="24" t="str">
        <x:v>-10.00 a +6.00</x:v>
      </x:c>
      <x:c r="N2720" s="24" t="str">
        <x:v>-6.00</x:v>
      </x:c>
      <x:c r="O2720" s="24" t="str">
        <x:v>0.75 a 3.00</x:v>
      </x:c>
      <x:c r="P2720" s="24" t="str">
        <x:v>72</x:v>
      </x:c>
      <x:c r="Q2720" s="24"/>
      <x:c r="R2720" s="24"/>
      <x:c r="S2720" s="26" t="n">
        <x:v>46113</x:v>
      </x:c>
      <x:c r="T2720" s="26"/>
      <x:c r="U2720" s="24" t="str">
        <x:v>ATIVA/SEM FIM INFORMADO</x:v>
      </x:c>
      <x:c r="V2720" s="24" t="str">
        <x:v>Programa de Parcerias ZEISS</x:v>
      </x:c>
      <x:c r="W2720" s="24" t="n">
        <x:v>44</x:v>
      </x:c>
      <x:c r="X2720" s="24" t="str">
        <x:v>tabela_zeiss.pdf</x:v>
      </x:c>
      <x:c r="Y2720" s="24" t="str">
        <x:v>alta</x:v>
      </x:c>
      <x:c r="Z2720" s="24"/>
      <x:c r="AA2720" s="24" t="str">
        <x:v>ZEISS|Progressiva|Surfaçada|Light 2 3D|PhotoFusion X Extra Dark Cinza|Poli||Sem AR|-10.00 a +6.00|-6.00|0.75 a 3.00|72|||44</x:v>
      </x:c>
    </x:row>
    <x:row r="2721">
      <x:c r="A2721" s="24" t="str">
        <x:v>ZS-C4F35F51D571</x:v>
      </x:c>
      <x:c r="B2721" s="24" t="str">
        <x:v>SIM</x:v>
      </x:c>
      <x:c r="C2721" s="24" t="str">
        <x:v>DISPONÍVEL</x:v>
      </x:c>
      <x:c r="D2721" s="24" t="str">
        <x:v>ZEISS</x:v>
      </x:c>
      <x:c r="E2721" s="24" t="str">
        <x:v>Progressiva</x:v>
      </x:c>
      <x:c r="F2721" s="24" t="str">
        <x:v>Surfaçada</x:v>
      </x:c>
      <x:c r="G2721" s="24" t="str">
        <x:v>Light 2 3D</x:v>
      </x:c>
      <x:c r="H2721" s="24" t="str">
        <x:v>PhotoFusion X Extra Dark Cinza</x:v>
      </x:c>
      <x:c r="I2721" s="24" t="str">
        <x:v>1.6</x:v>
      </x:c>
      <x:c r="J2721" s="24" t="str">
        <x:v>1.60</x:v>
      </x:c>
      <x:c r="K2721" s="24" t="str">
        <x:v>DuraVision Gold UV</x:v>
      </x:c>
      <x:c r="L2721" s="40" t="n">
        <x:v>5389</x:v>
      </x:c>
      <x:c r="M2721" s="24" t="str">
        <x:v>-7.25 a +6.00</x:v>
      </x:c>
      <x:c r="N2721" s="24" t="str">
        <x:v>-6.00</x:v>
      </x:c>
      <x:c r="O2721" s="24" t="str">
        <x:v>0.75 a 3.50</x:v>
      </x:c>
      <x:c r="P2721" s="24" t="str">
        <x:v>75</x:v>
      </x:c>
      <x:c r="Q2721" s="24"/>
      <x:c r="R2721" s="24"/>
      <x:c r="S2721" s="26" t="n">
        <x:v>46113</x:v>
      </x:c>
      <x:c r="T2721" s="26"/>
      <x:c r="U2721" s="24" t="str">
        <x:v>ATIVA/SEM FIM INFORMADO</x:v>
      </x:c>
      <x:c r="V2721" s="24" t="str">
        <x:v>Programa de Parcerias ZEISS</x:v>
      </x:c>
      <x:c r="W2721" s="24" t="n">
        <x:v>44</x:v>
      </x:c>
      <x:c r="X2721" s="24" t="str">
        <x:v>tabela_zeiss.pdf</x:v>
      </x:c>
      <x:c r="Y2721" s="24" t="str">
        <x:v>alta</x:v>
      </x:c>
      <x:c r="Z2721" s="24"/>
      <x:c r="AA2721" s="24" t="str">
        <x:v>ZEISS|Progressiva|Surfaçada|Light 2 3D|PhotoFusion X Extra Dark Cinza|1.6|1.60|DuraVision Gold UV|-7.25 a +6.00|-6.00|0.75 a 3.50|75|||44</x:v>
      </x:c>
    </x:row>
    <x:row r="2722">
      <x:c r="A2722" s="24" t="str">
        <x:v>ZS-28AA952FF26D</x:v>
      </x:c>
      <x:c r="B2722" s="24" t="str">
        <x:v>SIM</x:v>
      </x:c>
      <x:c r="C2722" s="24" t="str">
        <x:v>DISPONÍVEL</x:v>
      </x:c>
      <x:c r="D2722" s="24" t="str">
        <x:v>ZEISS</x:v>
      </x:c>
      <x:c r="E2722" s="24" t="str">
        <x:v>Progressiva</x:v>
      </x:c>
      <x:c r="F2722" s="24" t="str">
        <x:v>Surfaçada</x:v>
      </x:c>
      <x:c r="G2722" s="24" t="str">
        <x:v>Light 2 3D</x:v>
      </x:c>
      <x:c r="H2722" s="24" t="str">
        <x:v>PhotoFusion X Extra Dark Cinza</x:v>
      </x:c>
      <x:c r="I2722" s="24" t="str">
        <x:v>1.6</x:v>
      </x:c>
      <x:c r="J2722" s="24" t="str">
        <x:v>1.60</x:v>
      </x:c>
      <x:c r="K2722" s="24" t="str">
        <x:v>DURAVISION® ANTIVÍRUS PLATINUM UV</x:v>
      </x:c>
      <x:c r="L2722" s="40" t="n">
        <x:v>5249</x:v>
      </x:c>
      <x:c r="M2722" s="24" t="str">
        <x:v>-7.25 a +6.00</x:v>
      </x:c>
      <x:c r="N2722" s="24" t="str">
        <x:v>-6.00</x:v>
      </x:c>
      <x:c r="O2722" s="24" t="str">
        <x:v>0.75 a 3.50</x:v>
      </x:c>
      <x:c r="P2722" s="24" t="str">
        <x:v>75</x:v>
      </x:c>
      <x:c r="Q2722" s="24"/>
      <x:c r="R2722" s="24"/>
      <x:c r="S2722" s="26" t="n">
        <x:v>46113</x:v>
      </x:c>
      <x:c r="T2722" s="26"/>
      <x:c r="U2722" s="24" t="str">
        <x:v>ATIVA/SEM FIM INFORMADO</x:v>
      </x:c>
      <x:c r="V2722" s="24" t="str">
        <x:v>Programa de Parcerias ZEISS</x:v>
      </x:c>
      <x:c r="W2722" s="24" t="n">
        <x:v>44</x:v>
      </x:c>
      <x:c r="X2722" s="24" t="str">
        <x:v>tabela_zeiss.pdf</x:v>
      </x:c>
      <x:c r="Y2722" s="24" t="str">
        <x:v>alta</x:v>
      </x:c>
      <x:c r="Z2722" s="24"/>
      <x:c r="AA2722" s="24" t="str">
        <x:v>ZEISS|Progressiva|Surfaçada|Light 2 3D|PhotoFusion X Extra Dark Cinza|1.6|1.60|DURAVISION® ANTIVÍRUS PLATINUM UV|-7.25 a +6.00|-6.00|0.75 a 3.50|75|||44</x:v>
      </x:c>
    </x:row>
    <x:row r="2723">
      <x:c r="A2723" s="24" t="str">
        <x:v>ZS-6ACBDDB172F7</x:v>
      </x:c>
      <x:c r="B2723" s="24" t="str">
        <x:v>SIM</x:v>
      </x:c>
      <x:c r="C2723" s="24" t="str">
        <x:v>DISPONÍVEL</x:v>
      </x:c>
      <x:c r="D2723" s="24" t="str">
        <x:v>ZEISS</x:v>
      </x:c>
      <x:c r="E2723" s="24" t="str">
        <x:v>Progressiva</x:v>
      </x:c>
      <x:c r="F2723" s="24" t="str">
        <x:v>Surfaçada</x:v>
      </x:c>
      <x:c r="G2723" s="24" t="str">
        <x:v>Light 2 3D</x:v>
      </x:c>
      <x:c r="H2723" s="24" t="str">
        <x:v>PhotoFusion X Extra Dark Cinza</x:v>
      </x:c>
      <x:c r="I2723" s="24" t="str">
        <x:v>1.6</x:v>
      </x:c>
      <x:c r="J2723" s="24" t="str">
        <x:v>1.60</x:v>
      </x:c>
      <x:c r="K2723" s="24" t="str">
        <x:v>DuraVision Platinum UV</x:v>
      </x:c>
      <x:c r="L2723" s="40" t="n">
        <x:v>5249</x:v>
      </x:c>
      <x:c r="M2723" s="24" t="str">
        <x:v>-7.25 a +6.00</x:v>
      </x:c>
      <x:c r="N2723" s="24" t="str">
        <x:v>-6.00</x:v>
      </x:c>
      <x:c r="O2723" s="24" t="str">
        <x:v>0.75 a 3.50</x:v>
      </x:c>
      <x:c r="P2723" s="24" t="str">
        <x:v>75</x:v>
      </x:c>
      <x:c r="Q2723" s="24"/>
      <x:c r="R2723" s="24"/>
      <x:c r="S2723" s="26" t="n">
        <x:v>46113</x:v>
      </x:c>
      <x:c r="T2723" s="26"/>
      <x:c r="U2723" s="24" t="str">
        <x:v>ATIVA/SEM FIM INFORMADO</x:v>
      </x:c>
      <x:c r="V2723" s="24" t="str">
        <x:v>Programa de Parcerias ZEISS</x:v>
      </x:c>
      <x:c r="W2723" s="24" t="n">
        <x:v>44</x:v>
      </x:c>
      <x:c r="X2723" s="24" t="str">
        <x:v>tabela_zeiss.pdf</x:v>
      </x:c>
      <x:c r="Y2723" s="24" t="str">
        <x:v>alta</x:v>
      </x:c>
      <x:c r="Z2723" s="24"/>
      <x:c r="AA2723" s="24" t="str">
        <x:v>ZEISS|Progressiva|Surfaçada|Light 2 3D|PhotoFusion X Extra Dark Cinza|1.6|1.60|DuraVision Platinum UV|-7.25 a +6.00|-6.00|0.75 a 3.50|75|||44</x:v>
      </x:c>
    </x:row>
    <x:row r="2724">
      <x:c r="A2724" s="24" t="str">
        <x:v>ZS-8AE030E46E10</x:v>
      </x:c>
      <x:c r="B2724" s="24" t="str">
        <x:v>SIM</x:v>
      </x:c>
      <x:c r="C2724" s="24" t="str">
        <x:v>DISPONÍVEL</x:v>
      </x:c>
      <x:c r="D2724" s="24" t="str">
        <x:v>ZEISS</x:v>
      </x:c>
      <x:c r="E2724" s="24" t="str">
        <x:v>Progressiva</x:v>
      </x:c>
      <x:c r="F2724" s="24" t="str">
        <x:v>Surfaçada</x:v>
      </x:c>
      <x:c r="G2724" s="24" t="str">
        <x:v>Light 2 3D</x:v>
      </x:c>
      <x:c r="H2724" s="24" t="str">
        <x:v>PhotoFusion X Extra Dark Cinza</x:v>
      </x:c>
      <x:c r="I2724" s="24" t="str">
        <x:v>1.6</x:v>
      </x:c>
      <x:c r="J2724" s="24" t="str">
        <x:v>1.60</x:v>
      </x:c>
      <x:c r="K2724" s="24" t="str">
        <x:v>DuraVision Silver UV</x:v>
      </x:c>
      <x:c r="L2724" s="40" t="n">
        <x:v>4989</x:v>
      </x:c>
      <x:c r="M2724" s="24" t="str">
        <x:v>-7.25 a +6.00</x:v>
      </x:c>
      <x:c r="N2724" s="24" t="str">
        <x:v>-6.00</x:v>
      </x:c>
      <x:c r="O2724" s="24" t="str">
        <x:v>0.75 a 3.50</x:v>
      </x:c>
      <x:c r="P2724" s="24" t="str">
        <x:v>75</x:v>
      </x:c>
      <x:c r="Q2724" s="24"/>
      <x:c r="R2724" s="24"/>
      <x:c r="S2724" s="26" t="n">
        <x:v>46113</x:v>
      </x:c>
      <x:c r="T2724" s="26"/>
      <x:c r="U2724" s="24" t="str">
        <x:v>ATIVA/SEM FIM INFORMADO</x:v>
      </x:c>
      <x:c r="V2724" s="24" t="str">
        <x:v>Programa de Parcerias ZEISS</x:v>
      </x:c>
      <x:c r="W2724" s="24" t="n">
        <x:v>44</x:v>
      </x:c>
      <x:c r="X2724" s="24" t="str">
        <x:v>tabela_zeiss.pdf</x:v>
      </x:c>
      <x:c r="Y2724" s="24" t="str">
        <x:v>alta</x:v>
      </x:c>
      <x:c r="Z2724" s="24"/>
      <x:c r="AA2724" s="24" t="str">
        <x:v>ZEISS|Progressiva|Surfaçada|Light 2 3D|PhotoFusion X Extra Dark Cinza|1.6|1.60|DuraVision Silver UV|-7.25 a +6.00|-6.00|0.75 a 3.50|75|||44</x:v>
      </x:c>
    </x:row>
    <x:row r="2725">
      <x:c r="A2725" s="24" t="str">
        <x:v>ZS-759E64030B4B</x:v>
      </x:c>
      <x:c r="B2725" s="24" t="str">
        <x:v>SIM</x:v>
      </x:c>
      <x:c r="C2725" s="24" t="str">
        <x:v>DISPONÍVEL</x:v>
      </x:c>
      <x:c r="D2725" s="24" t="str">
        <x:v>ZEISS</x:v>
      </x:c>
      <x:c r="E2725" s="24" t="str">
        <x:v>Progressiva</x:v>
      </x:c>
      <x:c r="F2725" s="24" t="str">
        <x:v>Surfaçada</x:v>
      </x:c>
      <x:c r="G2725" s="24" t="str">
        <x:v>Light 2 3D</x:v>
      </x:c>
      <x:c r="H2725" s="24" t="str">
        <x:v>PhotoFusion X Extra Dark Cinza</x:v>
      </x:c>
      <x:c r="I2725" s="24" t="str">
        <x:v>1.6</x:v>
      </x:c>
      <x:c r="J2725" s="24" t="str">
        <x:v>1.60</x:v>
      </x:c>
      <x:c r="K2725" s="24" t="str">
        <x:v>DuraVision Chrome UV</x:v>
      </x:c>
      <x:c r="L2725" s="40" t="n">
        <x:v>4499</x:v>
      </x:c>
      <x:c r="M2725" s="24" t="str">
        <x:v>-7.25 a +6.00</x:v>
      </x:c>
      <x:c r="N2725" s="24" t="str">
        <x:v>-6.00</x:v>
      </x:c>
      <x:c r="O2725" s="24" t="str">
        <x:v>0.75 a 3.50</x:v>
      </x:c>
      <x:c r="P2725" s="24" t="str">
        <x:v>75</x:v>
      </x:c>
      <x:c r="Q2725" s="24"/>
      <x:c r="R2725" s="24"/>
      <x:c r="S2725" s="26" t="n">
        <x:v>46113</x:v>
      </x:c>
      <x:c r="T2725" s="26"/>
      <x:c r="U2725" s="24" t="str">
        <x:v>ATIVA/SEM FIM INFORMADO</x:v>
      </x:c>
      <x:c r="V2725" s="24" t="str">
        <x:v>Programa de Parcerias ZEISS</x:v>
      </x:c>
      <x:c r="W2725" s="24" t="n">
        <x:v>44</x:v>
      </x:c>
      <x:c r="X2725" s="24" t="str">
        <x:v>tabela_zeiss.pdf</x:v>
      </x:c>
      <x:c r="Y2725" s="24" t="str">
        <x:v>alta</x:v>
      </x:c>
      <x:c r="Z2725" s="24"/>
      <x:c r="AA2725" s="24" t="str">
        <x:v>ZEISS|Progressiva|Surfaçada|Light 2 3D|PhotoFusion X Extra Dark Cinza|1.6|1.60|DuraVision Chrome UV|-7.25 a +6.00|-6.00|0.75 a 3.50|75|||44</x:v>
      </x:c>
    </x:row>
    <x:row r="2726">
      <x:c r="A2726" s="24" t="str">
        <x:v>ZS-A2149B3575B0</x:v>
      </x:c>
      <x:c r="B2726" s="24" t="str">
        <x:v>SIM</x:v>
      </x:c>
      <x:c r="C2726" s="24" t="str">
        <x:v>DISPONÍVEL</x:v>
      </x:c>
      <x:c r="D2726" s="24" t="str">
        <x:v>ZEISS</x:v>
      </x:c>
      <x:c r="E2726" s="24" t="str">
        <x:v>Progressiva</x:v>
      </x:c>
      <x:c r="F2726" s="24" t="str">
        <x:v>Surfaçada</x:v>
      </x:c>
      <x:c r="G2726" s="24" t="str">
        <x:v>Light 2 3D</x:v>
      </x:c>
      <x:c r="H2726" s="24" t="str">
        <x:v>PhotoFusion X Extra Dark Cinza</x:v>
      </x:c>
      <x:c r="I2726" s="24" t="str">
        <x:v>1.67</x:v>
      </x:c>
      <x:c r="J2726" s="24" t="str">
        <x:v>1.67</x:v>
      </x:c>
      <x:c r="K2726" s="24" t="str">
        <x:v>DuraVision Gold UV</x:v>
      </x:c>
      <x:c r="L2726" s="40" t="n">
        <x:v>6689</x:v>
      </x:c>
      <x:c r="M2726" s="24" t="str">
        <x:v>-10.00 a +6.00</x:v>
      </x:c>
      <x:c r="N2726" s="24" t="str">
        <x:v>-6.00</x:v>
      </x:c>
      <x:c r="O2726" s="24" t="str">
        <x:v>0.75 a 3.00</x:v>
      </x:c>
      <x:c r="P2726" s="24" t="str">
        <x:v>70</x:v>
      </x:c>
      <x:c r="Q2726" s="24"/>
      <x:c r="R2726" s="24"/>
      <x:c r="S2726" s="26" t="n">
        <x:v>46113</x:v>
      </x:c>
      <x:c r="T2726" s="26"/>
      <x:c r="U2726" s="24" t="str">
        <x:v>ATIVA/SEM FIM INFORMADO</x:v>
      </x:c>
      <x:c r="V2726" s="24" t="str">
        <x:v>Programa de Parcerias ZEISS</x:v>
      </x:c>
      <x:c r="W2726" s="24" t="n">
        <x:v>44</x:v>
      </x:c>
      <x:c r="X2726" s="24" t="str">
        <x:v>tabela_zeiss.pdf</x:v>
      </x:c>
      <x:c r="Y2726" s="24" t="str">
        <x:v>alta</x:v>
      </x:c>
      <x:c r="Z2726" s="24"/>
      <x:c r="AA2726" s="24" t="str">
        <x:v>ZEISS|Progressiva|Surfaçada|Light 2 3D|PhotoFusion X Extra Dark Cinza|1.67|1.67|DuraVision Gold UV|-10.00 a +6.00|-6.00|0.75 a 3.00|70|||44</x:v>
      </x:c>
    </x:row>
    <x:row r="2727">
      <x:c r="A2727" s="24" t="str">
        <x:v>ZS-F15DE95D75AB</x:v>
      </x:c>
      <x:c r="B2727" s="24" t="str">
        <x:v>SIM</x:v>
      </x:c>
      <x:c r="C2727" s="24" t="str">
        <x:v>DISPONÍVEL</x:v>
      </x:c>
      <x:c r="D2727" s="24" t="str">
        <x:v>ZEISS</x:v>
      </x:c>
      <x:c r="E2727" s="24" t="str">
        <x:v>Progressiva</x:v>
      </x:c>
      <x:c r="F2727" s="24" t="str">
        <x:v>Surfaçada</x:v>
      </x:c>
      <x:c r="G2727" s="24" t="str">
        <x:v>Light 2 3D</x:v>
      </x:c>
      <x:c r="H2727" s="24" t="str">
        <x:v>PhotoFusion X Extra Dark Cinza</x:v>
      </x:c>
      <x:c r="I2727" s="24" t="str">
        <x:v>1.67</x:v>
      </x:c>
      <x:c r="J2727" s="24" t="str">
        <x:v>1.67</x:v>
      </x:c>
      <x:c r="K2727" s="24" t="str">
        <x:v>DURAVISION® ANTIVÍRUS PLATINUM UV</x:v>
      </x:c>
      <x:c r="L2727" s="40" t="n">
        <x:v>6549</x:v>
      </x:c>
      <x:c r="M2727" s="24" t="str">
        <x:v>-10.00 a +6.00</x:v>
      </x:c>
      <x:c r="N2727" s="24" t="str">
        <x:v>-6.00</x:v>
      </x:c>
      <x:c r="O2727" s="24" t="str">
        <x:v>0.75 a 3.00</x:v>
      </x:c>
      <x:c r="P2727" s="24" t="str">
        <x:v>70</x:v>
      </x:c>
      <x:c r="Q2727" s="24"/>
      <x:c r="R2727" s="24"/>
      <x:c r="S2727" s="26" t="n">
        <x:v>46113</x:v>
      </x:c>
      <x:c r="T2727" s="26"/>
      <x:c r="U2727" s="24" t="str">
        <x:v>ATIVA/SEM FIM INFORMADO</x:v>
      </x:c>
      <x:c r="V2727" s="24" t="str">
        <x:v>Programa de Parcerias ZEISS</x:v>
      </x:c>
      <x:c r="W2727" s="24" t="n">
        <x:v>44</x:v>
      </x:c>
      <x:c r="X2727" s="24" t="str">
        <x:v>tabela_zeiss.pdf</x:v>
      </x:c>
      <x:c r="Y2727" s="24" t="str">
        <x:v>alta</x:v>
      </x:c>
      <x:c r="Z2727" s="24"/>
      <x:c r="AA2727" s="24" t="str">
        <x:v>ZEISS|Progressiva|Surfaçada|Light 2 3D|PhotoFusion X Extra Dark Cinza|1.67|1.67|DURAVISION® ANTIVÍRUS PLATINUM UV|-10.00 a +6.00|-6.00|0.75 a 3.00|70|||44</x:v>
      </x:c>
    </x:row>
    <x:row r="2728">
      <x:c r="A2728" s="24" t="str">
        <x:v>ZS-0D58E8FDC3D1</x:v>
      </x:c>
      <x:c r="B2728" s="24" t="str">
        <x:v>SIM</x:v>
      </x:c>
      <x:c r="C2728" s="24" t="str">
        <x:v>DISPONÍVEL</x:v>
      </x:c>
      <x:c r="D2728" s="24" t="str">
        <x:v>ZEISS</x:v>
      </x:c>
      <x:c r="E2728" s="24" t="str">
        <x:v>Progressiva</x:v>
      </x:c>
      <x:c r="F2728" s="24" t="str">
        <x:v>Surfaçada</x:v>
      </x:c>
      <x:c r="G2728" s="24" t="str">
        <x:v>Light 2 3D</x:v>
      </x:c>
      <x:c r="H2728" s="24" t="str">
        <x:v>PhotoFusion X Extra Dark Cinza</x:v>
      </x:c>
      <x:c r="I2728" s="24" t="str">
        <x:v>1.67</x:v>
      </x:c>
      <x:c r="J2728" s="24" t="str">
        <x:v>1.67</x:v>
      </x:c>
      <x:c r="K2728" s="24" t="str">
        <x:v>DuraVision Platinum UV</x:v>
      </x:c>
      <x:c r="L2728" s="40" t="n">
        <x:v>6549</x:v>
      </x:c>
      <x:c r="M2728" s="24" t="str">
        <x:v>-10.00 a +6.00</x:v>
      </x:c>
      <x:c r="N2728" s="24" t="str">
        <x:v>-6.00</x:v>
      </x:c>
      <x:c r="O2728" s="24" t="str">
        <x:v>0.75 a 3.00</x:v>
      </x:c>
      <x:c r="P2728" s="24" t="str">
        <x:v>70</x:v>
      </x:c>
      <x:c r="Q2728" s="24"/>
      <x:c r="R2728" s="24"/>
      <x:c r="S2728" s="26" t="n">
        <x:v>46113</x:v>
      </x:c>
      <x:c r="T2728" s="26"/>
      <x:c r="U2728" s="24" t="str">
        <x:v>ATIVA/SEM FIM INFORMADO</x:v>
      </x:c>
      <x:c r="V2728" s="24" t="str">
        <x:v>Programa de Parcerias ZEISS</x:v>
      </x:c>
      <x:c r="W2728" s="24" t="n">
        <x:v>44</x:v>
      </x:c>
      <x:c r="X2728" s="24" t="str">
        <x:v>tabela_zeiss.pdf</x:v>
      </x:c>
      <x:c r="Y2728" s="24" t="str">
        <x:v>alta</x:v>
      </x:c>
      <x:c r="Z2728" s="24"/>
      <x:c r="AA2728" s="24" t="str">
        <x:v>ZEISS|Progressiva|Surfaçada|Light 2 3D|PhotoFusion X Extra Dark Cinza|1.67|1.67|DuraVision Platinum UV|-10.00 a +6.00|-6.00|0.75 a 3.00|70|||44</x:v>
      </x:c>
    </x:row>
    <x:row r="2729">
      <x:c r="A2729" s="24" t="str">
        <x:v>ZS-124EBFEF404B</x:v>
      </x:c>
      <x:c r="B2729" s="24" t="str">
        <x:v>SIM</x:v>
      </x:c>
      <x:c r="C2729" s="24" t="str">
        <x:v>DISPONÍVEL</x:v>
      </x:c>
      <x:c r="D2729" s="24" t="str">
        <x:v>ZEISS</x:v>
      </x:c>
      <x:c r="E2729" s="24" t="str">
        <x:v>Progressiva</x:v>
      </x:c>
      <x:c r="F2729" s="24" t="str">
        <x:v>Surfaçada</x:v>
      </x:c>
      <x:c r="G2729" s="24" t="str">
        <x:v>Light 2 3D</x:v>
      </x:c>
      <x:c r="H2729" s="24" t="str">
        <x:v>PhotoFusion X Extra Dark Cinza</x:v>
      </x:c>
      <x:c r="I2729" s="24" t="str">
        <x:v>1.67</x:v>
      </x:c>
      <x:c r="J2729" s="24" t="str">
        <x:v>1.67</x:v>
      </x:c>
      <x:c r="K2729" s="24" t="str">
        <x:v>DuraVision Silver UV</x:v>
      </x:c>
      <x:c r="L2729" s="40" t="n">
        <x:v>6289</x:v>
      </x:c>
      <x:c r="M2729" s="24" t="str">
        <x:v>-10.00 a +6.00</x:v>
      </x:c>
      <x:c r="N2729" s="24" t="str">
        <x:v>-6.00</x:v>
      </x:c>
      <x:c r="O2729" s="24" t="str">
        <x:v>0.75 a 3.00</x:v>
      </x:c>
      <x:c r="P2729" s="24" t="str">
        <x:v>70</x:v>
      </x:c>
      <x:c r="Q2729" s="24"/>
      <x:c r="R2729" s="24"/>
      <x:c r="S2729" s="26" t="n">
        <x:v>46113</x:v>
      </x:c>
      <x:c r="T2729" s="26"/>
      <x:c r="U2729" s="24" t="str">
        <x:v>ATIVA/SEM FIM INFORMADO</x:v>
      </x:c>
      <x:c r="V2729" s="24" t="str">
        <x:v>Programa de Parcerias ZEISS</x:v>
      </x:c>
      <x:c r="W2729" s="24" t="n">
        <x:v>44</x:v>
      </x:c>
      <x:c r="X2729" s="24" t="str">
        <x:v>tabela_zeiss.pdf</x:v>
      </x:c>
      <x:c r="Y2729" s="24" t="str">
        <x:v>alta</x:v>
      </x:c>
      <x:c r="Z2729" s="24"/>
      <x:c r="AA2729" s="24" t="str">
        <x:v>ZEISS|Progressiva|Surfaçada|Light 2 3D|PhotoFusion X Extra Dark Cinza|1.67|1.67|DuraVision Silver UV|-10.00 a +6.00|-6.00|0.75 a 3.00|70|||44</x:v>
      </x:c>
    </x:row>
    <x:row r="2730">
      <x:c r="A2730" s="24" t="str">
        <x:v>ZS-14A10F73718B</x:v>
      </x:c>
      <x:c r="B2730" s="24" t="str">
        <x:v>SIM</x:v>
      </x:c>
      <x:c r="C2730" s="24" t="str">
        <x:v>DISPONÍVEL</x:v>
      </x:c>
      <x:c r="D2730" s="24" t="str">
        <x:v>ZEISS</x:v>
      </x:c>
      <x:c r="E2730" s="24" t="str">
        <x:v>Progressiva</x:v>
      </x:c>
      <x:c r="F2730" s="24" t="str">
        <x:v>Surfaçada</x:v>
      </x:c>
      <x:c r="G2730" s="24" t="str">
        <x:v>Light 2 3D</x:v>
      </x:c>
      <x:c r="H2730" s="24" t="str">
        <x:v>PhotoFusion X Extra Dark Cinza</x:v>
      </x:c>
      <x:c r="I2730" s="24" t="str">
        <x:v>1.67</x:v>
      </x:c>
      <x:c r="J2730" s="24" t="str">
        <x:v>1.67</x:v>
      </x:c>
      <x:c r="K2730" s="24" t="str">
        <x:v>DuraVision Chrome UV</x:v>
      </x:c>
      <x:c r="L2730" s="40" t="n">
        <x:v>5799</x:v>
      </x:c>
      <x:c r="M2730" s="24" t="str">
        <x:v>-10.00 a +6.00</x:v>
      </x:c>
      <x:c r="N2730" s="24" t="str">
        <x:v>-6.00</x:v>
      </x:c>
      <x:c r="O2730" s="24" t="str">
        <x:v>0.75 a 3.00</x:v>
      </x:c>
      <x:c r="P2730" s="24" t="str">
        <x:v>70</x:v>
      </x:c>
      <x:c r="Q2730" s="24"/>
      <x:c r="R2730" s="24"/>
      <x:c r="S2730" s="26" t="n">
        <x:v>46113</x:v>
      </x:c>
      <x:c r="T2730" s="26"/>
      <x:c r="U2730" s="24" t="str">
        <x:v>ATIVA/SEM FIM INFORMADO</x:v>
      </x:c>
      <x:c r="V2730" s="24" t="str">
        <x:v>Programa de Parcerias ZEISS</x:v>
      </x:c>
      <x:c r="W2730" s="24" t="n">
        <x:v>44</x:v>
      </x:c>
      <x:c r="X2730" s="24" t="str">
        <x:v>tabela_zeiss.pdf</x:v>
      </x:c>
      <x:c r="Y2730" s="24" t="str">
        <x:v>alta</x:v>
      </x:c>
      <x:c r="Z2730" s="24"/>
      <x:c r="AA2730" s="24" t="str">
        <x:v>ZEISS|Progressiva|Surfaçada|Light 2 3D|PhotoFusion X Extra Dark Cinza|1.67|1.67|DuraVision Chrome UV|-10.00 a +6.00|-6.00|0.75 a 3.00|70|||44</x:v>
      </x:c>
    </x:row>
    <x:row r="2731">
      <x:c r="A2731" s="24" t="str">
        <x:v>ZS-DE63EC5B812D</x:v>
      </x:c>
      <x:c r="B2731" s="24" t="str">
        <x:v>SIM</x:v>
      </x:c>
      <x:c r="C2731" s="24" t="str">
        <x:v>DISPONÍVEL</x:v>
      </x:c>
      <x:c r="D2731" s="24" t="str">
        <x:v>ZEISS</x:v>
      </x:c>
      <x:c r="E2731" s="24" t="str">
        <x:v>Progressiva</x:v>
      </x:c>
      <x:c r="F2731" s="24" t="str">
        <x:v>Surfaçada</x:v>
      </x:c>
      <x:c r="G2731" s="24" t="str">
        <x:v>Light 2 3D</x:v>
      </x:c>
      <x:c r="H2731" s="24" t="str">
        <x:v>Polarizada</x:v>
      </x:c>
      <x:c r="I2731" s="24" t="str">
        <x:v>1.5</x:v>
      </x:c>
      <x:c r="J2731" s="24" t="str">
        <x:v>1.50</x:v>
      </x:c>
      <x:c r="K2731" s="24" t="str">
        <x:v>DuraVision Gold UV</x:v>
      </x:c>
      <x:c r="L2731" s="40" t="n">
        <x:v>4179</x:v>
      </x:c>
      <x:c r="M2731" s="24" t="str">
        <x:v>-6.00 a +6.00</x:v>
      </x:c>
      <x:c r="N2731" s="24" t="str">
        <x:v>-4.00</x:v>
      </x:c>
      <x:c r="O2731" s="24" t="str">
        <x:v>0.75 a 3.50</x:v>
      </x:c>
      <x:c r="P2731" s="24" t="str">
        <x:v>75</x:v>
      </x:c>
      <x:c r="Q2731" s="24"/>
      <x:c r="R2731" s="24"/>
      <x:c r="S2731" s="26" t="n">
        <x:v>46113</x:v>
      </x:c>
      <x:c r="T2731" s="26"/>
      <x:c r="U2731" s="24" t="str">
        <x:v>ATIVA/SEM FIM INFORMADO</x:v>
      </x:c>
      <x:c r="V2731" s="24"/>
      <x:c r="W2731" s="24" t="n">
        <x:v>44</x:v>
      </x:c>
      <x:c r="X2731" s="24" t="str">
        <x:v>tabela_zeiss.pdf</x:v>
      </x:c>
      <x:c r="Y2731" s="24" t="str">
        <x:v>alta</x:v>
      </x:c>
      <x:c r="Z2731" s="24"/>
      <x:c r="AA2731" s="24" t="str">
        <x:v>ZEISS|Progressiva|Surfaçada|Light 2 3D|Polarizada|1.5|1.50|DuraVision Gold UV|-6.00 a +6.00|-4.00|0.75 a 3.50|75|||44</x:v>
      </x:c>
    </x:row>
    <x:row r="2732">
      <x:c r="A2732" s="24" t="str">
        <x:v>ZS-A60DFF053ED8</x:v>
      </x:c>
      <x:c r="B2732" s="24" t="str">
        <x:v>SIM</x:v>
      </x:c>
      <x:c r="C2732" s="24" t="str">
        <x:v>DISPONÍVEL</x:v>
      </x:c>
      <x:c r="D2732" s="24" t="str">
        <x:v>ZEISS</x:v>
      </x:c>
      <x:c r="E2732" s="24" t="str">
        <x:v>Progressiva</x:v>
      </x:c>
      <x:c r="F2732" s="24" t="str">
        <x:v>Surfaçada</x:v>
      </x:c>
      <x:c r="G2732" s="24" t="str">
        <x:v>Light 2 3D</x:v>
      </x:c>
      <x:c r="H2732" s="24" t="str">
        <x:v>Polarizada</x:v>
      </x:c>
      <x:c r="I2732" s="24" t="str">
        <x:v>1.5</x:v>
      </x:c>
      <x:c r="J2732" s="24" t="str">
        <x:v>1.50</x:v>
      </x:c>
      <x:c r="K2732" s="24" t="str">
        <x:v>DuraVision Platinum UV</x:v>
      </x:c>
      <x:c r="L2732" s="40" t="n">
        <x:v>4039</x:v>
      </x:c>
      <x:c r="M2732" s="24" t="str">
        <x:v>-6.00 a +6.00</x:v>
      </x:c>
      <x:c r="N2732" s="24" t="str">
        <x:v>-4.00</x:v>
      </x:c>
      <x:c r="O2732" s="24" t="str">
        <x:v>0.75 a 3.50</x:v>
      </x:c>
      <x:c r="P2732" s="24" t="str">
        <x:v>75</x:v>
      </x:c>
      <x:c r="Q2732" s="24"/>
      <x:c r="R2732" s="24"/>
      <x:c r="S2732" s="26" t="n">
        <x:v>46113</x:v>
      </x:c>
      <x:c r="T2732" s="26"/>
      <x:c r="U2732" s="24" t="str">
        <x:v>ATIVA/SEM FIM INFORMADO</x:v>
      </x:c>
      <x:c r="V2732" s="24"/>
      <x:c r="W2732" s="24" t="n">
        <x:v>44</x:v>
      </x:c>
      <x:c r="X2732" s="24" t="str">
        <x:v>tabela_zeiss.pdf</x:v>
      </x:c>
      <x:c r="Y2732" s="24" t="str">
        <x:v>alta</x:v>
      </x:c>
      <x:c r="Z2732" s="24"/>
      <x:c r="AA2732" s="24" t="str">
        <x:v>ZEISS|Progressiva|Surfaçada|Light 2 3D|Polarizada|1.5|1.50|DuraVision Platinum UV|-6.00 a +6.00|-4.00|0.75 a 3.50|75|||44</x:v>
      </x:c>
    </x:row>
    <x:row r="2733">
      <x:c r="A2733" s="24" t="str">
        <x:v>ZS-6B6904238777</x:v>
      </x:c>
      <x:c r="B2733" s="24" t="str">
        <x:v>SIM</x:v>
      </x:c>
      <x:c r="C2733" s="24" t="str">
        <x:v>DISPONÍVEL</x:v>
      </x:c>
      <x:c r="D2733" s="24" t="str">
        <x:v>ZEISS</x:v>
      </x:c>
      <x:c r="E2733" s="24" t="str">
        <x:v>Progressiva</x:v>
      </x:c>
      <x:c r="F2733" s="24" t="str">
        <x:v>Surfaçada</x:v>
      </x:c>
      <x:c r="G2733" s="24" t="str">
        <x:v>Light 2 3D</x:v>
      </x:c>
      <x:c r="H2733" s="24" t="str">
        <x:v>Polarizada</x:v>
      </x:c>
      <x:c r="I2733" s="24" t="str">
        <x:v>1.5</x:v>
      </x:c>
      <x:c r="J2733" s="24" t="str">
        <x:v>1.50</x:v>
      </x:c>
      <x:c r="K2733" s="24" t="str">
        <x:v>DuraVision Silver UV</x:v>
      </x:c>
      <x:c r="L2733" s="40" t="n">
        <x:v>3779</x:v>
      </x:c>
      <x:c r="M2733" s="24" t="str">
        <x:v>-6.00 a +6.00</x:v>
      </x:c>
      <x:c r="N2733" s="24" t="str">
        <x:v>-4.00</x:v>
      </x:c>
      <x:c r="O2733" s="24" t="str">
        <x:v>0.75 a 3.50</x:v>
      </x:c>
      <x:c r="P2733" s="24" t="str">
        <x:v>75</x:v>
      </x:c>
      <x:c r="Q2733" s="24"/>
      <x:c r="R2733" s="24"/>
      <x:c r="S2733" s="26" t="n">
        <x:v>46113</x:v>
      </x:c>
      <x:c r="T2733" s="26"/>
      <x:c r="U2733" s="24" t="str">
        <x:v>ATIVA/SEM FIM INFORMADO</x:v>
      </x:c>
      <x:c r="V2733" s="24"/>
      <x:c r="W2733" s="24" t="n">
        <x:v>44</x:v>
      </x:c>
      <x:c r="X2733" s="24" t="str">
        <x:v>tabela_zeiss.pdf</x:v>
      </x:c>
      <x:c r="Y2733" s="24" t="str">
        <x:v>alta</x:v>
      </x:c>
      <x:c r="Z2733" s="24"/>
      <x:c r="AA2733" s="24" t="str">
        <x:v>ZEISS|Progressiva|Surfaçada|Light 2 3D|Polarizada|1.5|1.50|DuraVision Silver UV|-6.00 a +6.00|-4.00|0.75 a 3.50|75|||44</x:v>
      </x:c>
    </x:row>
    <x:row r="2734">
      <x:c r="A2734" s="24" t="str">
        <x:v>ZS-574C48EFCE6B</x:v>
      </x:c>
      <x:c r="B2734" s="24" t="str">
        <x:v>SIM</x:v>
      </x:c>
      <x:c r="C2734" s="24" t="str">
        <x:v>DISPONÍVEL</x:v>
      </x:c>
      <x:c r="D2734" s="24" t="str">
        <x:v>ZEISS</x:v>
      </x:c>
      <x:c r="E2734" s="24" t="str">
        <x:v>Progressiva</x:v>
      </x:c>
      <x:c r="F2734" s="24" t="str">
        <x:v>Surfaçada</x:v>
      </x:c>
      <x:c r="G2734" s="24" t="str">
        <x:v>Light 2 3D</x:v>
      </x:c>
      <x:c r="H2734" s="24" t="str">
        <x:v>Polarizada</x:v>
      </x:c>
      <x:c r="I2734" s="24" t="str">
        <x:v>1.5</x:v>
      </x:c>
      <x:c r="J2734" s="24" t="str">
        <x:v>1.50</x:v>
      </x:c>
      <x:c r="K2734" s="24" t="str">
        <x:v>DuraVision Chrome UV</x:v>
      </x:c>
      <x:c r="L2734" s="40" t="n">
        <x:v>3289</x:v>
      </x:c>
      <x:c r="M2734" s="24" t="str">
        <x:v>-6.00 a +6.00</x:v>
      </x:c>
      <x:c r="N2734" s="24" t="str">
        <x:v>-4.00</x:v>
      </x:c>
      <x:c r="O2734" s="24" t="str">
        <x:v>0.75 a 3.50</x:v>
      </x:c>
      <x:c r="P2734" s="24" t="str">
        <x:v>75</x:v>
      </x:c>
      <x:c r="Q2734" s="24"/>
      <x:c r="R2734" s="24"/>
      <x:c r="S2734" s="26" t="n">
        <x:v>46113</x:v>
      </x:c>
      <x:c r="T2734" s="26"/>
      <x:c r="U2734" s="24" t="str">
        <x:v>ATIVA/SEM FIM INFORMADO</x:v>
      </x:c>
      <x:c r="V2734" s="24"/>
      <x:c r="W2734" s="24" t="n">
        <x:v>44</x:v>
      </x:c>
      <x:c r="X2734" s="24" t="str">
        <x:v>tabela_zeiss.pdf</x:v>
      </x:c>
      <x:c r="Y2734" s="24" t="str">
        <x:v>alta</x:v>
      </x:c>
      <x:c r="Z2734" s="24"/>
      <x:c r="AA2734" s="24" t="str">
        <x:v>ZEISS|Progressiva|Surfaçada|Light 2 3D|Polarizada|1.5|1.50|DuraVision Chrome UV|-6.00 a +6.00|-4.00|0.75 a 3.50|75|||44</x:v>
      </x:c>
    </x:row>
    <x:row r="2735">
      <x:c r="A2735" s="24" t="str">
        <x:v>ZS-B7497F39248D</x:v>
      </x:c>
      <x:c r="B2735" s="24" t="str">
        <x:v>SIM</x:v>
      </x:c>
      <x:c r="C2735" s="24" t="str">
        <x:v>DISPONÍVEL</x:v>
      </x:c>
      <x:c r="D2735" s="24" t="str">
        <x:v>ZEISS</x:v>
      </x:c>
      <x:c r="E2735" s="24" t="str">
        <x:v>Progressiva</x:v>
      </x:c>
      <x:c r="F2735" s="24" t="str">
        <x:v>Surfaçada</x:v>
      </x:c>
      <x:c r="G2735" s="24" t="str">
        <x:v>Light 2 3D</x:v>
      </x:c>
      <x:c r="H2735" s="24" t="str">
        <x:v>Polarizada</x:v>
      </x:c>
      <x:c r="I2735" s="24" t="str">
        <x:v>1.5</x:v>
      </x:c>
      <x:c r="J2735" s="24" t="str">
        <x:v>1.50</x:v>
      </x:c>
      <x:c r="K2735" s="24" t="str">
        <x:v>Sem AR</x:v>
      </x:c>
      <x:c r="L2735" s="40" t="n">
        <x:v>2889</x:v>
      </x:c>
      <x:c r="M2735" s="24" t="str">
        <x:v>-6.00 a +6.00</x:v>
      </x:c>
      <x:c r="N2735" s="24" t="str">
        <x:v>-4.00</x:v>
      </x:c>
      <x:c r="O2735" s="24" t="str">
        <x:v>0.75 a 3.50</x:v>
      </x:c>
      <x:c r="P2735" s="24" t="str">
        <x:v>75</x:v>
      </x:c>
      <x:c r="Q2735" s="24"/>
      <x:c r="R2735" s="24"/>
      <x:c r="S2735" s="26" t="n">
        <x:v>46113</x:v>
      </x:c>
      <x:c r="T2735" s="26"/>
      <x:c r="U2735" s="24" t="str">
        <x:v>ATIVA/SEM FIM INFORMADO</x:v>
      </x:c>
      <x:c r="V2735" s="24"/>
      <x:c r="W2735" s="24" t="n">
        <x:v>44</x:v>
      </x:c>
      <x:c r="X2735" s="24" t="str">
        <x:v>tabela_zeiss.pdf</x:v>
      </x:c>
      <x:c r="Y2735" s="24" t="str">
        <x:v>alta</x:v>
      </x:c>
      <x:c r="Z2735" s="24"/>
      <x:c r="AA2735" s="24" t="str">
        <x:v>ZEISS|Progressiva|Surfaçada|Light 2 3D|Polarizada|1.5|1.50|Sem AR|-6.00 a +6.00|-4.00|0.75 a 3.50|75|||44</x:v>
      </x:c>
    </x:row>
    <x:row r="2736">
      <x:c r="A2736" s="24" t="str">
        <x:v>ZS-1C81CB263CB5</x:v>
      </x:c>
      <x:c r="B2736" s="24" t="str">
        <x:v>SIM</x:v>
      </x:c>
      <x:c r="C2736" s="24" t="str">
        <x:v>DISPONÍVEL</x:v>
      </x:c>
      <x:c r="D2736" s="24" t="str">
        <x:v>ZEISS</x:v>
      </x:c>
      <x:c r="E2736" s="24" t="str">
        <x:v>Progressiva</x:v>
      </x:c>
      <x:c r="F2736" s="24" t="str">
        <x:v>Surfaçada</x:v>
      </x:c>
      <x:c r="G2736" s="24" t="str">
        <x:v>Light 2 3D</x:v>
      </x:c>
      <x:c r="H2736" s="24" t="str">
        <x:v>Polarizada</x:v>
      </x:c>
      <x:c r="I2736" s="24" t="str">
        <x:v>1.6</x:v>
      </x:c>
      <x:c r="J2736" s="24" t="str">
        <x:v>1.60</x:v>
      </x:c>
      <x:c r="K2736" s="24" t="str">
        <x:v>DuraVision Gold UV</x:v>
      </x:c>
      <x:c r="L2736" s="40" t="n">
        <x:v>4759</x:v>
      </x:c>
      <x:c r="M2736" s="24" t="str">
        <x:v>-8.50 a +6.00</x:v>
      </x:c>
      <x:c r="N2736" s="24" t="str">
        <x:v>-4.00</x:v>
      </x:c>
      <x:c r="O2736" s="24" t="str">
        <x:v>0.75 a 3.50</x:v>
      </x:c>
      <x:c r="P2736" s="24" t="str">
        <x:v>70</x:v>
      </x:c>
      <x:c r="Q2736" s="24"/>
      <x:c r="R2736" s="24"/>
      <x:c r="S2736" s="26" t="n">
        <x:v>46113</x:v>
      </x:c>
      <x:c r="T2736" s="26"/>
      <x:c r="U2736" s="24" t="str">
        <x:v>ATIVA/SEM FIM INFORMADO</x:v>
      </x:c>
      <x:c r="V2736" s="24"/>
      <x:c r="W2736" s="24" t="n">
        <x:v>44</x:v>
      </x:c>
      <x:c r="X2736" s="24" t="str">
        <x:v>tabela_zeiss.pdf</x:v>
      </x:c>
      <x:c r="Y2736" s="24" t="str">
        <x:v>alta</x:v>
      </x:c>
      <x:c r="Z2736" s="24"/>
      <x:c r="AA2736" s="24" t="str">
        <x:v>ZEISS|Progressiva|Surfaçada|Light 2 3D|Polarizada|1.6|1.60|DuraVision Gold UV|-8.50 a +6.00|-4.00|0.75 a 3.50|70|||44</x:v>
      </x:c>
    </x:row>
    <x:row r="2737">
      <x:c r="A2737" s="24" t="str">
        <x:v>ZS-46F61C9D0D4E</x:v>
      </x:c>
      <x:c r="B2737" s="24" t="str">
        <x:v>SIM</x:v>
      </x:c>
      <x:c r="C2737" s="24" t="str">
        <x:v>DISPONÍVEL</x:v>
      </x:c>
      <x:c r="D2737" s="24" t="str">
        <x:v>ZEISS</x:v>
      </x:c>
      <x:c r="E2737" s="24" t="str">
        <x:v>Progressiva</x:v>
      </x:c>
      <x:c r="F2737" s="24" t="str">
        <x:v>Surfaçada</x:v>
      </x:c>
      <x:c r="G2737" s="24" t="str">
        <x:v>Light 2 3D</x:v>
      </x:c>
      <x:c r="H2737" s="24" t="str">
        <x:v>Polarizada</x:v>
      </x:c>
      <x:c r="I2737" s="24" t="str">
        <x:v>1.6</x:v>
      </x:c>
      <x:c r="J2737" s="24" t="str">
        <x:v>1.60</x:v>
      </x:c>
      <x:c r="K2737" s="24" t="str">
        <x:v>DuraVision Platinum UV</x:v>
      </x:c>
      <x:c r="L2737" s="40" t="n">
        <x:v>4619</x:v>
      </x:c>
      <x:c r="M2737" s="24" t="str">
        <x:v>-8.50 a +6.00</x:v>
      </x:c>
      <x:c r="N2737" s="24" t="str">
        <x:v>-4.00</x:v>
      </x:c>
      <x:c r="O2737" s="24" t="str">
        <x:v>0.75 a 3.50</x:v>
      </x:c>
      <x:c r="P2737" s="24" t="str">
        <x:v>70</x:v>
      </x:c>
      <x:c r="Q2737" s="24"/>
      <x:c r="R2737" s="24"/>
      <x:c r="S2737" s="26" t="n">
        <x:v>46113</x:v>
      </x:c>
      <x:c r="T2737" s="26"/>
      <x:c r="U2737" s="24" t="str">
        <x:v>ATIVA/SEM FIM INFORMADO</x:v>
      </x:c>
      <x:c r="V2737" s="24"/>
      <x:c r="W2737" s="24" t="n">
        <x:v>44</x:v>
      </x:c>
      <x:c r="X2737" s="24" t="str">
        <x:v>tabela_zeiss.pdf</x:v>
      </x:c>
      <x:c r="Y2737" s="24" t="str">
        <x:v>alta</x:v>
      </x:c>
      <x:c r="Z2737" s="24"/>
      <x:c r="AA2737" s="24" t="str">
        <x:v>ZEISS|Progressiva|Surfaçada|Light 2 3D|Polarizada|1.6|1.60|DuraVision Platinum UV|-8.50 a +6.00|-4.00|0.75 a 3.50|70|||44</x:v>
      </x:c>
    </x:row>
    <x:row r="2738">
      <x:c r="A2738" s="24" t="str">
        <x:v>ZS-8683954B662B</x:v>
      </x:c>
      <x:c r="B2738" s="24" t="str">
        <x:v>SIM</x:v>
      </x:c>
      <x:c r="C2738" s="24" t="str">
        <x:v>DISPONÍVEL</x:v>
      </x:c>
      <x:c r="D2738" s="24" t="str">
        <x:v>ZEISS</x:v>
      </x:c>
      <x:c r="E2738" s="24" t="str">
        <x:v>Progressiva</x:v>
      </x:c>
      <x:c r="F2738" s="24" t="str">
        <x:v>Surfaçada</x:v>
      </x:c>
      <x:c r="G2738" s="24" t="str">
        <x:v>Light 2 3D</x:v>
      </x:c>
      <x:c r="H2738" s="24" t="str">
        <x:v>Polarizada</x:v>
      </x:c>
      <x:c r="I2738" s="24" t="str">
        <x:v>1.6</x:v>
      </x:c>
      <x:c r="J2738" s="24" t="str">
        <x:v>1.60</x:v>
      </x:c>
      <x:c r="K2738" s="24" t="str">
        <x:v>DuraVision Silver UV</x:v>
      </x:c>
      <x:c r="L2738" s="40" t="n">
        <x:v>4359</x:v>
      </x:c>
      <x:c r="M2738" s="24" t="str">
        <x:v>-8.50 a +6.00</x:v>
      </x:c>
      <x:c r="N2738" s="24" t="str">
        <x:v>-4.00</x:v>
      </x:c>
      <x:c r="O2738" s="24" t="str">
        <x:v>0.75 a 3.50</x:v>
      </x:c>
      <x:c r="P2738" s="24" t="str">
        <x:v>70</x:v>
      </x:c>
      <x:c r="Q2738" s="24"/>
      <x:c r="R2738" s="24"/>
      <x:c r="S2738" s="26" t="n">
        <x:v>46113</x:v>
      </x:c>
      <x:c r="T2738" s="26"/>
      <x:c r="U2738" s="24" t="str">
        <x:v>ATIVA/SEM FIM INFORMADO</x:v>
      </x:c>
      <x:c r="V2738" s="24"/>
      <x:c r="W2738" s="24" t="n">
        <x:v>44</x:v>
      </x:c>
      <x:c r="X2738" s="24" t="str">
        <x:v>tabela_zeiss.pdf</x:v>
      </x:c>
      <x:c r="Y2738" s="24" t="str">
        <x:v>alta</x:v>
      </x:c>
      <x:c r="Z2738" s="24"/>
      <x:c r="AA2738" s="24" t="str">
        <x:v>ZEISS|Progressiva|Surfaçada|Light 2 3D|Polarizada|1.6|1.60|DuraVision Silver UV|-8.50 a +6.00|-4.00|0.75 a 3.50|70|||44</x:v>
      </x:c>
    </x:row>
    <x:row r="2739">
      <x:c r="A2739" s="24" t="str">
        <x:v>ZS-7DE7AC4DC286</x:v>
      </x:c>
      <x:c r="B2739" s="24" t="str">
        <x:v>SIM</x:v>
      </x:c>
      <x:c r="C2739" s="24" t="str">
        <x:v>DISPONÍVEL</x:v>
      </x:c>
      <x:c r="D2739" s="24" t="str">
        <x:v>ZEISS</x:v>
      </x:c>
      <x:c r="E2739" s="24" t="str">
        <x:v>Progressiva</x:v>
      </x:c>
      <x:c r="F2739" s="24" t="str">
        <x:v>Surfaçada</x:v>
      </x:c>
      <x:c r="G2739" s="24" t="str">
        <x:v>Light 2 3D</x:v>
      </x:c>
      <x:c r="H2739" s="24" t="str">
        <x:v>Polarizada</x:v>
      </x:c>
      <x:c r="I2739" s="24" t="str">
        <x:v>1.6</x:v>
      </x:c>
      <x:c r="J2739" s="24" t="str">
        <x:v>1.60</x:v>
      </x:c>
      <x:c r="K2739" s="24" t="str">
        <x:v>DuraVision Chrome UV</x:v>
      </x:c>
      <x:c r="L2739" s="40" t="n">
        <x:v>3869</x:v>
      </x:c>
      <x:c r="M2739" s="24" t="str">
        <x:v>-8.50 a +6.00</x:v>
      </x:c>
      <x:c r="N2739" s="24" t="str">
        <x:v>-4.00</x:v>
      </x:c>
      <x:c r="O2739" s="24" t="str">
        <x:v>0.75 a 3.50</x:v>
      </x:c>
      <x:c r="P2739" s="24" t="str">
        <x:v>70</x:v>
      </x:c>
      <x:c r="Q2739" s="24"/>
      <x:c r="R2739" s="24"/>
      <x:c r="S2739" s="26" t="n">
        <x:v>46113</x:v>
      </x:c>
      <x:c r="T2739" s="26"/>
      <x:c r="U2739" s="24" t="str">
        <x:v>ATIVA/SEM FIM INFORMADO</x:v>
      </x:c>
      <x:c r="V2739" s="24"/>
      <x:c r="W2739" s="24" t="n">
        <x:v>44</x:v>
      </x:c>
      <x:c r="X2739" s="24" t="str">
        <x:v>tabela_zeiss.pdf</x:v>
      </x:c>
      <x:c r="Y2739" s="24" t="str">
        <x:v>alta</x:v>
      </x:c>
      <x:c r="Z2739" s="24"/>
      <x:c r="AA2739" s="24" t="str">
        <x:v>ZEISS|Progressiva|Surfaçada|Light 2 3D|Polarizada|1.6|1.60|DuraVision Chrome UV|-8.50 a +6.00|-4.00|0.75 a 3.50|70|||44</x:v>
      </x:c>
    </x:row>
    <x:row r="2740">
      <x:c r="A2740" s="24" t="str">
        <x:v>ZS-5FD3FAF3DD89</x:v>
      </x:c>
      <x:c r="B2740" s="24" t="str">
        <x:v>SIM</x:v>
      </x:c>
      <x:c r="C2740" s="24" t="str">
        <x:v>DISPONÍVEL</x:v>
      </x:c>
      <x:c r="D2740" s="24" t="str">
        <x:v>ZEISS</x:v>
      </x:c>
      <x:c r="E2740" s="24" t="str">
        <x:v>Progressiva</x:v>
      </x:c>
      <x:c r="F2740" s="24" t="str">
        <x:v>Surfaçada</x:v>
      </x:c>
      <x:c r="G2740" s="24" t="str">
        <x:v>Light 2 3D</x:v>
      </x:c>
      <x:c r="H2740" s="24" t="str">
        <x:v>Polarizada</x:v>
      </x:c>
      <x:c r="I2740" s="24" t="str">
        <x:v>1.6</x:v>
      </x:c>
      <x:c r="J2740" s="24" t="str">
        <x:v>1.60</x:v>
      </x:c>
      <x:c r="K2740" s="24" t="str">
        <x:v>Sem AR</x:v>
      </x:c>
      <x:c r="L2740" s="40" t="n">
        <x:v>3469</x:v>
      </x:c>
      <x:c r="M2740" s="24" t="str">
        <x:v>-8.50 a +6.00</x:v>
      </x:c>
      <x:c r="N2740" s="24" t="str">
        <x:v>-4.00</x:v>
      </x:c>
      <x:c r="O2740" s="24" t="str">
        <x:v>0.75 a 3.50</x:v>
      </x:c>
      <x:c r="P2740" s="24" t="str">
        <x:v>70</x:v>
      </x:c>
      <x:c r="Q2740" s="24"/>
      <x:c r="R2740" s="24"/>
      <x:c r="S2740" s="26" t="n">
        <x:v>46113</x:v>
      </x:c>
      <x:c r="T2740" s="26"/>
      <x:c r="U2740" s="24" t="str">
        <x:v>ATIVA/SEM FIM INFORMADO</x:v>
      </x:c>
      <x:c r="V2740" s="24"/>
      <x:c r="W2740" s="24" t="n">
        <x:v>44</x:v>
      </x:c>
      <x:c r="X2740" s="24" t="str">
        <x:v>tabela_zeiss.pdf</x:v>
      </x:c>
      <x:c r="Y2740" s="24" t="str">
        <x:v>alta</x:v>
      </x:c>
      <x:c r="Z2740" s="24"/>
      <x:c r="AA2740" s="24" t="str">
        <x:v>ZEISS|Progressiva|Surfaçada|Light 2 3D|Polarizada|1.6|1.60|Sem AR|-8.50 a +6.00|-4.00|0.75 a 3.50|70|||44</x:v>
      </x:c>
    </x:row>
    <x:row r="2741">
      <x:c r="A2741" s="24" t="str">
        <x:v>ZS-04E8675C50E7</x:v>
      </x:c>
      <x:c r="B2741" s="24" t="str">
        <x:v>SIM</x:v>
      </x:c>
      <x:c r="C2741" s="24" t="str">
        <x:v>DISPONÍVEL</x:v>
      </x:c>
      <x:c r="D2741" s="24" t="str">
        <x:v>ZEISS</x:v>
      </x:c>
      <x:c r="E2741" s="24" t="str">
        <x:v>Progressiva</x:v>
      </x:c>
      <x:c r="F2741" s="24" t="str">
        <x:v>Surfaçada</x:v>
      </x:c>
      <x:c r="G2741" s="24" t="str">
        <x:v>Light 2 D</x:v>
      </x:c>
      <x:c r="H2741" s="24"/>
      <x:c r="I2741" s="24" t="str">
        <x:v>1.5</x:v>
      </x:c>
      <x:c r="J2741" s="24" t="str">
        <x:v>1.50</x:v>
      </x:c>
      <x:c r="K2741" s="24" t="str">
        <x:v>DuraVision Gold UV</x:v>
      </x:c>
      <x:c r="L2741" s="40" t="n">
        <x:v>2639</x:v>
      </x:c>
      <x:c r="M2741" s="24" t="str">
        <x:v>-9.00 a +6.00</x:v>
      </x:c>
      <x:c r="N2741" s="24" t="str">
        <x:v>-4.00</x:v>
      </x:c>
      <x:c r="O2741" s="24" t="str">
        <x:v>1.00 a 3.50</x:v>
      </x:c>
      <x:c r="P2741" s="24" t="str">
        <x:v>75</x:v>
      </x:c>
      <x:c r="Q2741" s="24"/>
      <x:c r="R2741" s="24"/>
      <x:c r="S2741" s="26" t="n">
        <x:v>46113</x:v>
      </x:c>
      <x:c r="T2741" s="26"/>
      <x:c r="U2741" s="24" t="str">
        <x:v>ATIVA/SEM FIM INFORMADO</x:v>
      </x:c>
      <x:c r="V2741" s="24"/>
      <x:c r="W2741" s="24" t="n">
        <x:v>45</x:v>
      </x:c>
      <x:c r="X2741" s="24" t="str">
        <x:v>tabela_zeiss.pdf</x:v>
      </x:c>
      <x:c r="Y2741" s="24" t="str">
        <x:v>alta</x:v>
      </x:c>
      <x:c r="Z2741" s="24"/>
      <x:c r="AA2741" s="24" t="str">
        <x:v>ZEISS|Progressiva|Surfaçada|Light 2 D||1.5|1.50|DuraVision Gold UV|-9.00 a +6.00|-4.00|1.00 a 3.50|75|||45</x:v>
      </x:c>
    </x:row>
    <x:row r="2742">
      <x:c r="A2742" s="24" t="str">
        <x:v>ZS-E12F7CFBE772</x:v>
      </x:c>
      <x:c r="B2742" s="24" t="str">
        <x:v>SIM</x:v>
      </x:c>
      <x:c r="C2742" s="24" t="str">
        <x:v>DISPONÍVEL</x:v>
      </x:c>
      <x:c r="D2742" s="24" t="str">
        <x:v>ZEISS</x:v>
      </x:c>
      <x:c r="E2742" s="24" t="str">
        <x:v>Progressiva</x:v>
      </x:c>
      <x:c r="F2742" s="24" t="str">
        <x:v>Surfaçada</x:v>
      </x:c>
      <x:c r="G2742" s="24" t="str">
        <x:v>Light 2 D</x:v>
      </x:c>
      <x:c r="H2742" s="24"/>
      <x:c r="I2742" s="24" t="str">
        <x:v>1.5</x:v>
      </x:c>
      <x:c r="J2742" s="24" t="str">
        <x:v>1.50</x:v>
      </x:c>
      <x:c r="K2742" s="24" t="str">
        <x:v>DURAVISION® ANTIVÍRUS PLATINUM UV</x:v>
      </x:c>
      <x:c r="L2742" s="40" t="n">
        <x:v>2499</x:v>
      </x:c>
      <x:c r="M2742" s="24" t="str">
        <x:v>-9.00 a +6.00</x:v>
      </x:c>
      <x:c r="N2742" s="24" t="str">
        <x:v>-4.00</x:v>
      </x:c>
      <x:c r="O2742" s="24" t="str">
        <x:v>1.00 a 3.50</x:v>
      </x:c>
      <x:c r="P2742" s="24" t="str">
        <x:v>75</x:v>
      </x:c>
      <x:c r="Q2742" s="24"/>
      <x:c r="R2742" s="24"/>
      <x:c r="S2742" s="26" t="n">
        <x:v>46113</x:v>
      </x:c>
      <x:c r="T2742" s="26"/>
      <x:c r="U2742" s="24" t="str">
        <x:v>ATIVA/SEM FIM INFORMADO</x:v>
      </x:c>
      <x:c r="V2742" s="24"/>
      <x:c r="W2742" s="24" t="n">
        <x:v>45</x:v>
      </x:c>
      <x:c r="X2742" s="24" t="str">
        <x:v>tabela_zeiss.pdf</x:v>
      </x:c>
      <x:c r="Y2742" s="24" t="str">
        <x:v>alta</x:v>
      </x:c>
      <x:c r="Z2742" s="24"/>
      <x:c r="AA2742" s="24" t="str">
        <x:v>ZEISS|Progressiva|Surfaçada|Light 2 D||1.5|1.50|DURAVISION® ANTIVÍRUS PLATINUM UV|-9.00 a +6.00|-4.00|1.00 a 3.50|75|||45</x:v>
      </x:c>
    </x:row>
    <x:row r="2743">
      <x:c r="A2743" s="24" t="str">
        <x:v>ZS-7E82036D9EB9</x:v>
      </x:c>
      <x:c r="B2743" s="24" t="str">
        <x:v>SIM</x:v>
      </x:c>
      <x:c r="C2743" s="24" t="str">
        <x:v>DISPONÍVEL</x:v>
      </x:c>
      <x:c r="D2743" s="24" t="str">
        <x:v>ZEISS</x:v>
      </x:c>
      <x:c r="E2743" s="24" t="str">
        <x:v>Progressiva</x:v>
      </x:c>
      <x:c r="F2743" s="24" t="str">
        <x:v>Surfaçada</x:v>
      </x:c>
      <x:c r="G2743" s="24" t="str">
        <x:v>Light 2 D</x:v>
      </x:c>
      <x:c r="H2743" s="24"/>
      <x:c r="I2743" s="24" t="str">
        <x:v>1.5</x:v>
      </x:c>
      <x:c r="J2743" s="24" t="str">
        <x:v>1.50</x:v>
      </x:c>
      <x:c r="K2743" s="24" t="str">
        <x:v>DuraVision Platinum UV</x:v>
      </x:c>
      <x:c r="L2743" s="40" t="n">
        <x:v>2499</x:v>
      </x:c>
      <x:c r="M2743" s="24" t="str">
        <x:v>-9.00 a +6.00</x:v>
      </x:c>
      <x:c r="N2743" s="24" t="str">
        <x:v>-4.00</x:v>
      </x:c>
      <x:c r="O2743" s="24" t="str">
        <x:v>1.00 a 3.50</x:v>
      </x:c>
      <x:c r="P2743" s="24" t="str">
        <x:v>75</x:v>
      </x:c>
      <x:c r="Q2743" s="24"/>
      <x:c r="R2743" s="24"/>
      <x:c r="S2743" s="26" t="n">
        <x:v>46113</x:v>
      </x:c>
      <x:c r="T2743" s="26"/>
      <x:c r="U2743" s="24" t="str">
        <x:v>ATIVA/SEM FIM INFORMADO</x:v>
      </x:c>
      <x:c r="V2743" s="24"/>
      <x:c r="W2743" s="24" t="n">
        <x:v>45</x:v>
      </x:c>
      <x:c r="X2743" s="24" t="str">
        <x:v>tabela_zeiss.pdf</x:v>
      </x:c>
      <x:c r="Y2743" s="24" t="str">
        <x:v>alta</x:v>
      </x:c>
      <x:c r="Z2743" s="24"/>
      <x:c r="AA2743" s="24" t="str">
        <x:v>ZEISS|Progressiva|Surfaçada|Light 2 D||1.5|1.50|DuraVision Platinum UV|-9.00 a +6.00|-4.00|1.00 a 3.50|75|||45</x:v>
      </x:c>
    </x:row>
    <x:row r="2744">
      <x:c r="A2744" s="24" t="str">
        <x:v>ZS-E4E3BF0EF2C5</x:v>
      </x:c>
      <x:c r="B2744" s="24" t="str">
        <x:v>SIM</x:v>
      </x:c>
      <x:c r="C2744" s="24" t="str">
        <x:v>DISPONÍVEL</x:v>
      </x:c>
      <x:c r="D2744" s="24" t="str">
        <x:v>ZEISS</x:v>
      </x:c>
      <x:c r="E2744" s="24" t="str">
        <x:v>Progressiva</x:v>
      </x:c>
      <x:c r="F2744" s="24" t="str">
        <x:v>Surfaçada</x:v>
      </x:c>
      <x:c r="G2744" s="24" t="str">
        <x:v>Light 2 D</x:v>
      </x:c>
      <x:c r="H2744" s="24"/>
      <x:c r="I2744" s="24" t="str">
        <x:v>1.5</x:v>
      </x:c>
      <x:c r="J2744" s="24" t="str">
        <x:v>1.50</x:v>
      </x:c>
      <x:c r="K2744" s="24" t="str">
        <x:v>DuraVision Silver UV</x:v>
      </x:c>
      <x:c r="L2744" s="40" t="n">
        <x:v>2239</x:v>
      </x:c>
      <x:c r="M2744" s="24" t="str">
        <x:v>-9.00 a +6.00</x:v>
      </x:c>
      <x:c r="N2744" s="24" t="str">
        <x:v>-4.00</x:v>
      </x:c>
      <x:c r="O2744" s="24" t="str">
        <x:v>1.00 a 3.50</x:v>
      </x:c>
      <x:c r="P2744" s="24" t="str">
        <x:v>75</x:v>
      </x:c>
      <x:c r="Q2744" s="24"/>
      <x:c r="R2744" s="24"/>
      <x:c r="S2744" s="26" t="n">
        <x:v>46113</x:v>
      </x:c>
      <x:c r="T2744" s="26"/>
      <x:c r="U2744" s="24" t="str">
        <x:v>ATIVA/SEM FIM INFORMADO</x:v>
      </x:c>
      <x:c r="V2744" s="24"/>
      <x:c r="W2744" s="24" t="n">
        <x:v>45</x:v>
      </x:c>
      <x:c r="X2744" s="24" t="str">
        <x:v>tabela_zeiss.pdf</x:v>
      </x:c>
      <x:c r="Y2744" s="24" t="str">
        <x:v>alta</x:v>
      </x:c>
      <x:c r="Z2744" s="24"/>
      <x:c r="AA2744" s="24" t="str">
        <x:v>ZEISS|Progressiva|Surfaçada|Light 2 D||1.5|1.50|DuraVision Silver UV|-9.00 a +6.00|-4.00|1.00 a 3.50|75|||45</x:v>
      </x:c>
    </x:row>
    <x:row r="2745">
      <x:c r="A2745" s="24" t="str">
        <x:v>ZS-F2EFBBC3D6A2</x:v>
      </x:c>
      <x:c r="B2745" s="24" t="str">
        <x:v>SIM</x:v>
      </x:c>
      <x:c r="C2745" s="24" t="str">
        <x:v>DISPONÍVEL</x:v>
      </x:c>
      <x:c r="D2745" s="24" t="str">
        <x:v>ZEISS</x:v>
      </x:c>
      <x:c r="E2745" s="24" t="str">
        <x:v>Progressiva</x:v>
      </x:c>
      <x:c r="F2745" s="24" t="str">
        <x:v>Surfaçada</x:v>
      </x:c>
      <x:c r="G2745" s="24" t="str">
        <x:v>Light 2 D</x:v>
      </x:c>
      <x:c r="H2745" s="24"/>
      <x:c r="I2745" s="24" t="str">
        <x:v>1.5</x:v>
      </x:c>
      <x:c r="J2745" s="24" t="str">
        <x:v>1.50</x:v>
      </x:c>
      <x:c r="K2745" s="24" t="str">
        <x:v>DuraVision Chrome UV</x:v>
      </x:c>
      <x:c r="L2745" s="40" t="n">
        <x:v>1749</x:v>
      </x:c>
      <x:c r="M2745" s="24" t="str">
        <x:v>-9.00 a +6.00</x:v>
      </x:c>
      <x:c r="N2745" s="24" t="str">
        <x:v>-4.00</x:v>
      </x:c>
      <x:c r="O2745" s="24" t="str">
        <x:v>1.00 a 3.50</x:v>
      </x:c>
      <x:c r="P2745" s="24" t="str">
        <x:v>75</x:v>
      </x:c>
      <x:c r="Q2745" s="24"/>
      <x:c r="R2745" s="24"/>
      <x:c r="S2745" s="26" t="n">
        <x:v>46113</x:v>
      </x:c>
      <x:c r="T2745" s="26"/>
      <x:c r="U2745" s="24" t="str">
        <x:v>ATIVA/SEM FIM INFORMADO</x:v>
      </x:c>
      <x:c r="V2745" s="24"/>
      <x:c r="W2745" s="24" t="n">
        <x:v>45</x:v>
      </x:c>
      <x:c r="X2745" s="24" t="str">
        <x:v>tabela_zeiss.pdf</x:v>
      </x:c>
      <x:c r="Y2745" s="24" t="str">
        <x:v>alta</x:v>
      </x:c>
      <x:c r="Z2745" s="24"/>
      <x:c r="AA2745" s="24" t="str">
        <x:v>ZEISS|Progressiva|Surfaçada|Light 2 D||1.5|1.50|DuraVision Chrome UV|-9.00 a +6.00|-4.00|1.00 a 3.50|75|||45</x:v>
      </x:c>
    </x:row>
    <x:row r="2746">
      <x:c r="A2746" s="24" t="str">
        <x:v>ZS-FB488611898E</x:v>
      </x:c>
      <x:c r="B2746" s="24" t="str">
        <x:v>SIM</x:v>
      </x:c>
      <x:c r="C2746" s="24" t="str">
        <x:v>DISPONÍVEL</x:v>
      </x:c>
      <x:c r="D2746" s="24" t="str">
        <x:v>ZEISS</x:v>
      </x:c>
      <x:c r="E2746" s="24" t="str">
        <x:v>Progressiva</x:v>
      </x:c>
      <x:c r="F2746" s="24" t="str">
        <x:v>Surfaçada</x:v>
      </x:c>
      <x:c r="G2746" s="24" t="str">
        <x:v>Light 2 D</x:v>
      </x:c>
      <x:c r="H2746" s="24"/>
      <x:c r="I2746" s="24" t="str">
        <x:v>1.5</x:v>
      </x:c>
      <x:c r="J2746" s="24" t="str">
        <x:v>1.50</x:v>
      </x:c>
      <x:c r="K2746" s="24" t="str">
        <x:v>Sem AR</x:v>
      </x:c>
      <x:c r="L2746" s="40" t="n">
        <x:v>1349</x:v>
      </x:c>
      <x:c r="M2746" s="24" t="str">
        <x:v>-9.00 a +6.00</x:v>
      </x:c>
      <x:c r="N2746" s="24" t="str">
        <x:v>-4.00</x:v>
      </x:c>
      <x:c r="O2746" s="24" t="str">
        <x:v>1.00 a 3.50</x:v>
      </x:c>
      <x:c r="P2746" s="24" t="str">
        <x:v>75</x:v>
      </x:c>
      <x:c r="Q2746" s="24"/>
      <x:c r="R2746" s="24"/>
      <x:c r="S2746" s="26" t="n">
        <x:v>46113</x:v>
      </x:c>
      <x:c r="T2746" s="26"/>
      <x:c r="U2746" s="24" t="str">
        <x:v>ATIVA/SEM FIM INFORMADO</x:v>
      </x:c>
      <x:c r="V2746" s="24"/>
      <x:c r="W2746" s="24" t="n">
        <x:v>45</x:v>
      </x:c>
      <x:c r="X2746" s="24" t="str">
        <x:v>tabela_zeiss.pdf</x:v>
      </x:c>
      <x:c r="Y2746" s="24" t="str">
        <x:v>alta</x:v>
      </x:c>
      <x:c r="Z2746" s="24"/>
      <x:c r="AA2746" s="24" t="str">
        <x:v>ZEISS|Progressiva|Surfaçada|Light 2 D||1.5|1.50|Sem AR|-9.00 a +6.00|-4.00|1.00 a 3.50|75|||45</x:v>
      </x:c>
    </x:row>
    <x:row r="2747">
      <x:c r="A2747" s="24" t="str">
        <x:v>ZS-66A50555C6C1</x:v>
      </x:c>
      <x:c r="B2747" s="24" t="str">
        <x:v>SIM</x:v>
      </x:c>
      <x:c r="C2747" s="24" t="str">
        <x:v>DISPONÍVEL</x:v>
      </x:c>
      <x:c r="D2747" s="24" t="str">
        <x:v>ZEISS</x:v>
      </x:c>
      <x:c r="E2747" s="24" t="str">
        <x:v>Progressiva</x:v>
      </x:c>
      <x:c r="F2747" s="24" t="str">
        <x:v>Surfaçada</x:v>
      </x:c>
      <x:c r="G2747" s="24" t="str">
        <x:v>Light 2 D</x:v>
      </x:c>
      <x:c r="H2747" s="24"/>
      <x:c r="I2747" s="24" t="str">
        <x:v>Poli</x:v>
      </x:c>
      <x:c r="J2747" s="24"/>
      <x:c r="K2747" s="24" t="str">
        <x:v>DuraVision Gold UV</x:v>
      </x:c>
      <x:c r="L2747" s="40" t="n">
        <x:v>2999</x:v>
      </x:c>
      <x:c r="M2747" s="24" t="str">
        <x:v>-10.00 a +6.00</x:v>
      </x:c>
      <x:c r="N2747" s="24" t="str">
        <x:v>-4.00</x:v>
      </x:c>
      <x:c r="O2747" s="24" t="str">
        <x:v>1.00 a 3.00</x:v>
      </x:c>
      <x:c r="P2747" s="24" t="str">
        <x:v>75</x:v>
      </x:c>
      <x:c r="Q2747" s="24"/>
      <x:c r="R2747" s="24"/>
      <x:c r="S2747" s="26" t="n">
        <x:v>46113</x:v>
      </x:c>
      <x:c r="T2747" s="26"/>
      <x:c r="U2747" s="24" t="str">
        <x:v>ATIVA/SEM FIM INFORMADO</x:v>
      </x:c>
      <x:c r="V2747" s="24"/>
      <x:c r="W2747" s="24" t="n">
        <x:v>45</x:v>
      </x:c>
      <x:c r="X2747" s="24" t="str">
        <x:v>tabela_zeiss.pdf</x:v>
      </x:c>
      <x:c r="Y2747" s="24" t="str">
        <x:v>alta</x:v>
      </x:c>
      <x:c r="Z2747" s="24"/>
      <x:c r="AA2747" s="24" t="str">
        <x:v>ZEISS|Progressiva|Surfaçada|Light 2 D||Poli||DuraVision Gold UV|-10.00 a +6.00|-4.00|1.00 a 3.00|75|||45</x:v>
      </x:c>
    </x:row>
    <x:row r="2748">
      <x:c r="A2748" s="24" t="str">
        <x:v>ZS-29B1B01BA633</x:v>
      </x:c>
      <x:c r="B2748" s="24" t="str">
        <x:v>SIM</x:v>
      </x:c>
      <x:c r="C2748" s="24" t="str">
        <x:v>DISPONÍVEL</x:v>
      </x:c>
      <x:c r="D2748" s="24" t="str">
        <x:v>ZEISS</x:v>
      </x:c>
      <x:c r="E2748" s="24" t="str">
        <x:v>Progressiva</x:v>
      </x:c>
      <x:c r="F2748" s="24" t="str">
        <x:v>Surfaçada</x:v>
      </x:c>
      <x:c r="G2748" s="24" t="str">
        <x:v>Light 2 D</x:v>
      </x:c>
      <x:c r="H2748" s="24"/>
      <x:c r="I2748" s="24" t="str">
        <x:v>Poli</x:v>
      </x:c>
      <x:c r="J2748" s="24"/>
      <x:c r="K2748" s="24" t="str">
        <x:v>DuraVision Platinum UV</x:v>
      </x:c>
      <x:c r="L2748" s="40" t="n">
        <x:v>2859</x:v>
      </x:c>
      <x:c r="M2748" s="24" t="str">
        <x:v>-10.00 a +6.00</x:v>
      </x:c>
      <x:c r="N2748" s="24" t="str">
        <x:v>-4.00</x:v>
      </x:c>
      <x:c r="O2748" s="24" t="str">
        <x:v>1.00 a 3.00</x:v>
      </x:c>
      <x:c r="P2748" s="24" t="str">
        <x:v>75</x:v>
      </x:c>
      <x:c r="Q2748" s="24"/>
      <x:c r="R2748" s="24"/>
      <x:c r="S2748" s="26" t="n">
        <x:v>46113</x:v>
      </x:c>
      <x:c r="T2748" s="26"/>
      <x:c r="U2748" s="24" t="str">
        <x:v>ATIVA/SEM FIM INFORMADO</x:v>
      </x:c>
      <x:c r="V2748" s="24"/>
      <x:c r="W2748" s="24" t="n">
        <x:v>45</x:v>
      </x:c>
      <x:c r="X2748" s="24" t="str">
        <x:v>tabela_zeiss.pdf</x:v>
      </x:c>
      <x:c r="Y2748" s="24" t="str">
        <x:v>alta</x:v>
      </x:c>
      <x:c r="Z2748" s="24"/>
      <x:c r="AA2748" s="24" t="str">
        <x:v>ZEISS|Progressiva|Surfaçada|Light 2 D||Poli||DuraVision Platinum UV|-10.00 a +6.00|-4.00|1.00 a 3.00|75|||45</x:v>
      </x:c>
    </x:row>
    <x:row r="2749">
      <x:c r="A2749" s="24" t="str">
        <x:v>ZS-8B2294DFCAC3</x:v>
      </x:c>
      <x:c r="B2749" s="24" t="str">
        <x:v>SIM</x:v>
      </x:c>
      <x:c r="C2749" s="24" t="str">
        <x:v>DISPONÍVEL</x:v>
      </x:c>
      <x:c r="D2749" s="24" t="str">
        <x:v>ZEISS</x:v>
      </x:c>
      <x:c r="E2749" s="24" t="str">
        <x:v>Progressiva</x:v>
      </x:c>
      <x:c r="F2749" s="24" t="str">
        <x:v>Surfaçada</x:v>
      </x:c>
      <x:c r="G2749" s="24" t="str">
        <x:v>Light 2 D</x:v>
      </x:c>
      <x:c r="H2749" s="24"/>
      <x:c r="I2749" s="24" t="str">
        <x:v>Poli</x:v>
      </x:c>
      <x:c r="J2749" s="24"/>
      <x:c r="K2749" s="24" t="str">
        <x:v>DuraVision Silver UV</x:v>
      </x:c>
      <x:c r="L2749" s="40" t="n">
        <x:v>2599</x:v>
      </x:c>
      <x:c r="M2749" s="24" t="str">
        <x:v>-10.00 a +6.00</x:v>
      </x:c>
      <x:c r="N2749" s="24" t="str">
        <x:v>-4.00</x:v>
      </x:c>
      <x:c r="O2749" s="24" t="str">
        <x:v>1.00 a 3.00</x:v>
      </x:c>
      <x:c r="P2749" s="24" t="str">
        <x:v>75</x:v>
      </x:c>
      <x:c r="Q2749" s="24"/>
      <x:c r="R2749" s="24"/>
      <x:c r="S2749" s="26" t="n">
        <x:v>46113</x:v>
      </x:c>
      <x:c r="T2749" s="26"/>
      <x:c r="U2749" s="24" t="str">
        <x:v>ATIVA/SEM FIM INFORMADO</x:v>
      </x:c>
      <x:c r="V2749" s="24"/>
      <x:c r="W2749" s="24" t="n">
        <x:v>45</x:v>
      </x:c>
      <x:c r="X2749" s="24" t="str">
        <x:v>tabela_zeiss.pdf</x:v>
      </x:c>
      <x:c r="Y2749" s="24" t="str">
        <x:v>alta</x:v>
      </x:c>
      <x:c r="Z2749" s="24"/>
      <x:c r="AA2749" s="24" t="str">
        <x:v>ZEISS|Progressiva|Surfaçada|Light 2 D||Poli||DuraVision Silver UV|-10.00 a +6.00|-4.00|1.00 a 3.00|75|||45</x:v>
      </x:c>
    </x:row>
    <x:row r="2750">
      <x:c r="A2750" s="24" t="str">
        <x:v>ZS-FABE31B043A6</x:v>
      </x:c>
      <x:c r="B2750" s="24" t="str">
        <x:v>SIM</x:v>
      </x:c>
      <x:c r="C2750" s="24" t="str">
        <x:v>DISPONÍVEL</x:v>
      </x:c>
      <x:c r="D2750" s="24" t="str">
        <x:v>ZEISS</x:v>
      </x:c>
      <x:c r="E2750" s="24" t="str">
        <x:v>Progressiva</x:v>
      </x:c>
      <x:c r="F2750" s="24" t="str">
        <x:v>Surfaçada</x:v>
      </x:c>
      <x:c r="G2750" s="24" t="str">
        <x:v>Light 2 D</x:v>
      </x:c>
      <x:c r="H2750" s="24"/>
      <x:c r="I2750" s="24" t="str">
        <x:v>Poli</x:v>
      </x:c>
      <x:c r="J2750" s="24"/>
      <x:c r="K2750" s="24" t="str">
        <x:v>DuraVision Chrome UV</x:v>
      </x:c>
      <x:c r="L2750" s="40" t="n">
        <x:v>2109</x:v>
      </x:c>
      <x:c r="M2750" s="24" t="str">
        <x:v>-10.00 a +6.00</x:v>
      </x:c>
      <x:c r="N2750" s="24" t="str">
        <x:v>-4.00</x:v>
      </x:c>
      <x:c r="O2750" s="24" t="str">
        <x:v>1.00 a 3.00</x:v>
      </x:c>
      <x:c r="P2750" s="24" t="str">
        <x:v>75</x:v>
      </x:c>
      <x:c r="Q2750" s="24"/>
      <x:c r="R2750" s="24"/>
      <x:c r="S2750" s="26" t="n">
        <x:v>46113</x:v>
      </x:c>
      <x:c r="T2750" s="26"/>
      <x:c r="U2750" s="24" t="str">
        <x:v>ATIVA/SEM FIM INFORMADO</x:v>
      </x:c>
      <x:c r="V2750" s="24"/>
      <x:c r="W2750" s="24" t="n">
        <x:v>45</x:v>
      </x:c>
      <x:c r="X2750" s="24" t="str">
        <x:v>tabela_zeiss.pdf</x:v>
      </x:c>
      <x:c r="Y2750" s="24" t="str">
        <x:v>alta</x:v>
      </x:c>
      <x:c r="Z2750" s="24"/>
      <x:c r="AA2750" s="24" t="str">
        <x:v>ZEISS|Progressiva|Surfaçada|Light 2 D||Poli||DuraVision Chrome UV|-10.00 a +6.00|-4.00|1.00 a 3.00|75|||45</x:v>
      </x:c>
    </x:row>
    <x:row r="2751">
      <x:c r="A2751" s="24" t="str">
        <x:v>ZS-0DC970849381</x:v>
      </x:c>
      <x:c r="B2751" s="24" t="str">
        <x:v>SIM</x:v>
      </x:c>
      <x:c r="C2751" s="24" t="str">
        <x:v>DISPONÍVEL</x:v>
      </x:c>
      <x:c r="D2751" s="24" t="str">
        <x:v>ZEISS</x:v>
      </x:c>
      <x:c r="E2751" s="24" t="str">
        <x:v>Progressiva</x:v>
      </x:c>
      <x:c r="F2751" s="24" t="str">
        <x:v>Surfaçada</x:v>
      </x:c>
      <x:c r="G2751" s="24" t="str">
        <x:v>Light 2 D</x:v>
      </x:c>
      <x:c r="H2751" s="24"/>
      <x:c r="I2751" s="24" t="str">
        <x:v>Poli</x:v>
      </x:c>
      <x:c r="J2751" s="24"/>
      <x:c r="K2751" s="24" t="str">
        <x:v>Sem AR</x:v>
      </x:c>
      <x:c r="L2751" s="40" t="n">
        <x:v>1709</x:v>
      </x:c>
      <x:c r="M2751" s="24" t="str">
        <x:v>-10.00 a +6.00</x:v>
      </x:c>
      <x:c r="N2751" s="24" t="str">
        <x:v>-4.00</x:v>
      </x:c>
      <x:c r="O2751" s="24" t="str">
        <x:v>1.00 a 3.00</x:v>
      </x:c>
      <x:c r="P2751" s="24" t="str">
        <x:v>75</x:v>
      </x:c>
      <x:c r="Q2751" s="24"/>
      <x:c r="R2751" s="24"/>
      <x:c r="S2751" s="26" t="n">
        <x:v>46113</x:v>
      </x:c>
      <x:c r="T2751" s="26"/>
      <x:c r="U2751" s="24" t="str">
        <x:v>ATIVA/SEM FIM INFORMADO</x:v>
      </x:c>
      <x:c r="V2751" s="24"/>
      <x:c r="W2751" s="24" t="n">
        <x:v>45</x:v>
      </x:c>
      <x:c r="X2751" s="24" t="str">
        <x:v>tabela_zeiss.pdf</x:v>
      </x:c>
      <x:c r="Y2751" s="24" t="str">
        <x:v>alta</x:v>
      </x:c>
      <x:c r="Z2751" s="24"/>
      <x:c r="AA2751" s="24" t="str">
        <x:v>ZEISS|Progressiva|Surfaçada|Light 2 D||Poli||Sem AR|-10.00 a +6.00|-4.00|1.00 a 3.00|75|||45</x:v>
      </x:c>
    </x:row>
    <x:row r="2752">
      <x:c r="A2752" s="24" t="str">
        <x:v>ZS-098EBE5E19E6</x:v>
      </x:c>
      <x:c r="B2752" s="24" t="str">
        <x:v>SIM</x:v>
      </x:c>
      <x:c r="C2752" s="24" t="str">
        <x:v>DISPONÍVEL</x:v>
      </x:c>
      <x:c r="D2752" s="24" t="str">
        <x:v>ZEISS</x:v>
      </x:c>
      <x:c r="E2752" s="24" t="str">
        <x:v>Progressiva</x:v>
      </x:c>
      <x:c r="F2752" s="24" t="str">
        <x:v>Surfaçada</x:v>
      </x:c>
      <x:c r="G2752" s="24" t="str">
        <x:v>Light 2 D</x:v>
      </x:c>
      <x:c r="H2752" s="24"/>
      <x:c r="I2752" s="24" t="str">
        <x:v>1.6</x:v>
      </x:c>
      <x:c r="J2752" s="24" t="str">
        <x:v>1.60</x:v>
      </x:c>
      <x:c r="K2752" s="24" t="str">
        <x:v>DuraVision Gold UV</x:v>
      </x:c>
      <x:c r="L2752" s="40" t="n">
        <x:v>3219</x:v>
      </x:c>
      <x:c r="M2752" s="24" t="str">
        <x:v>-9.00 a +6.00</x:v>
      </x:c>
      <x:c r="N2752" s="24" t="str">
        <x:v>-4.00</x:v>
      </x:c>
      <x:c r="O2752" s="24" t="str">
        <x:v>1.00 a 3.50</x:v>
      </x:c>
      <x:c r="P2752" s="24" t="str">
        <x:v>75</x:v>
      </x:c>
      <x:c r="Q2752" s="24"/>
      <x:c r="R2752" s="24"/>
      <x:c r="S2752" s="26" t="n">
        <x:v>46113</x:v>
      </x:c>
      <x:c r="T2752" s="26"/>
      <x:c r="U2752" s="24" t="str">
        <x:v>ATIVA/SEM FIM INFORMADO</x:v>
      </x:c>
      <x:c r="V2752" s="24"/>
      <x:c r="W2752" s="24" t="n">
        <x:v>45</x:v>
      </x:c>
      <x:c r="X2752" s="24" t="str">
        <x:v>tabela_zeiss.pdf</x:v>
      </x:c>
      <x:c r="Y2752" s="24" t="str">
        <x:v>alta</x:v>
      </x:c>
      <x:c r="Z2752" s="24"/>
      <x:c r="AA2752" s="24" t="str">
        <x:v>ZEISS|Progressiva|Surfaçada|Light 2 D||1.6|1.60|DuraVision Gold UV|-9.00 a +6.00|-4.00|1.00 a 3.50|75|||45</x:v>
      </x:c>
    </x:row>
    <x:row r="2753">
      <x:c r="A2753" s="24" t="str">
        <x:v>ZS-FCAD95C07E38</x:v>
      </x:c>
      <x:c r="B2753" s="24" t="str">
        <x:v>SIM</x:v>
      </x:c>
      <x:c r="C2753" s="24" t="str">
        <x:v>DISPONÍVEL</x:v>
      </x:c>
      <x:c r="D2753" s="24" t="str">
        <x:v>ZEISS</x:v>
      </x:c>
      <x:c r="E2753" s="24" t="str">
        <x:v>Progressiva</x:v>
      </x:c>
      <x:c r="F2753" s="24" t="str">
        <x:v>Surfaçada</x:v>
      </x:c>
      <x:c r="G2753" s="24" t="str">
        <x:v>Light 2 D</x:v>
      </x:c>
      <x:c r="H2753" s="24"/>
      <x:c r="I2753" s="24" t="str">
        <x:v>1.6</x:v>
      </x:c>
      <x:c r="J2753" s="24" t="str">
        <x:v>1.60</x:v>
      </x:c>
      <x:c r="K2753" s="24" t="str">
        <x:v>DURAVISION® ANTIVÍRUS PLATINUM UV</x:v>
      </x:c>
      <x:c r="L2753" s="40" t="n">
        <x:v>3079</x:v>
      </x:c>
      <x:c r="M2753" s="24" t="str">
        <x:v>-9.00 a +6.00</x:v>
      </x:c>
      <x:c r="N2753" s="24" t="str">
        <x:v>-4.00</x:v>
      </x:c>
      <x:c r="O2753" s="24" t="str">
        <x:v>1.00 a 3.50</x:v>
      </x:c>
      <x:c r="P2753" s="24" t="str">
        <x:v>75</x:v>
      </x:c>
      <x:c r="Q2753" s="24"/>
      <x:c r="R2753" s="24"/>
      <x:c r="S2753" s="26" t="n">
        <x:v>46113</x:v>
      </x:c>
      <x:c r="T2753" s="26"/>
      <x:c r="U2753" s="24" t="str">
        <x:v>ATIVA/SEM FIM INFORMADO</x:v>
      </x:c>
      <x:c r="V2753" s="24"/>
      <x:c r="W2753" s="24" t="n">
        <x:v>45</x:v>
      </x:c>
      <x:c r="X2753" s="24" t="str">
        <x:v>tabela_zeiss.pdf</x:v>
      </x:c>
      <x:c r="Y2753" s="24" t="str">
        <x:v>alta</x:v>
      </x:c>
      <x:c r="Z2753" s="24"/>
      <x:c r="AA2753" s="24" t="str">
        <x:v>ZEISS|Progressiva|Surfaçada|Light 2 D||1.6|1.60|DURAVISION® ANTIVÍRUS PLATINUM UV|-9.00 a +6.00|-4.00|1.00 a 3.50|75|||45</x:v>
      </x:c>
    </x:row>
    <x:row r="2754">
      <x:c r="A2754" s="24" t="str">
        <x:v>ZS-BB7FB24C0194</x:v>
      </x:c>
      <x:c r="B2754" s="24" t="str">
        <x:v>SIM</x:v>
      </x:c>
      <x:c r="C2754" s="24" t="str">
        <x:v>DISPONÍVEL</x:v>
      </x:c>
      <x:c r="D2754" s="24" t="str">
        <x:v>ZEISS</x:v>
      </x:c>
      <x:c r="E2754" s="24" t="str">
        <x:v>Progressiva</x:v>
      </x:c>
      <x:c r="F2754" s="24" t="str">
        <x:v>Surfaçada</x:v>
      </x:c>
      <x:c r="G2754" s="24" t="str">
        <x:v>Light 2 D</x:v>
      </x:c>
      <x:c r="H2754" s="24"/>
      <x:c r="I2754" s="24" t="str">
        <x:v>1.6</x:v>
      </x:c>
      <x:c r="J2754" s="24" t="str">
        <x:v>1.60</x:v>
      </x:c>
      <x:c r="K2754" s="24" t="str">
        <x:v>DuraVision Platinum UV</x:v>
      </x:c>
      <x:c r="L2754" s="40" t="n">
        <x:v>3079</x:v>
      </x:c>
      <x:c r="M2754" s="24" t="str">
        <x:v>-9.00 a +6.00</x:v>
      </x:c>
      <x:c r="N2754" s="24" t="str">
        <x:v>-4.00</x:v>
      </x:c>
      <x:c r="O2754" s="24" t="str">
        <x:v>1.00 a 3.50</x:v>
      </x:c>
      <x:c r="P2754" s="24" t="str">
        <x:v>75</x:v>
      </x:c>
      <x:c r="Q2754" s="24"/>
      <x:c r="R2754" s="24"/>
      <x:c r="S2754" s="26" t="n">
        <x:v>46113</x:v>
      </x:c>
      <x:c r="T2754" s="26"/>
      <x:c r="U2754" s="24" t="str">
        <x:v>ATIVA/SEM FIM INFORMADO</x:v>
      </x:c>
      <x:c r="V2754" s="24"/>
      <x:c r="W2754" s="24" t="n">
        <x:v>45</x:v>
      </x:c>
      <x:c r="X2754" s="24" t="str">
        <x:v>tabela_zeiss.pdf</x:v>
      </x:c>
      <x:c r="Y2754" s="24" t="str">
        <x:v>alta</x:v>
      </x:c>
      <x:c r="Z2754" s="24"/>
      <x:c r="AA2754" s="24" t="str">
        <x:v>ZEISS|Progressiva|Surfaçada|Light 2 D||1.6|1.60|DuraVision Platinum UV|-9.00 a +6.00|-4.00|1.00 a 3.50|75|||45</x:v>
      </x:c>
    </x:row>
    <x:row r="2755">
      <x:c r="A2755" s="24" t="str">
        <x:v>ZS-074DFFE81AB8</x:v>
      </x:c>
      <x:c r="B2755" s="24" t="str">
        <x:v>SIM</x:v>
      </x:c>
      <x:c r="C2755" s="24" t="str">
        <x:v>DISPONÍVEL</x:v>
      </x:c>
      <x:c r="D2755" s="24" t="str">
        <x:v>ZEISS</x:v>
      </x:c>
      <x:c r="E2755" s="24" t="str">
        <x:v>Progressiva</x:v>
      </x:c>
      <x:c r="F2755" s="24" t="str">
        <x:v>Surfaçada</x:v>
      </x:c>
      <x:c r="G2755" s="24" t="str">
        <x:v>Light 2 D</x:v>
      </x:c>
      <x:c r="H2755" s="24"/>
      <x:c r="I2755" s="24" t="str">
        <x:v>1.6</x:v>
      </x:c>
      <x:c r="J2755" s="24" t="str">
        <x:v>1.60</x:v>
      </x:c>
      <x:c r="K2755" s="24" t="str">
        <x:v>DuraVision Silver UV</x:v>
      </x:c>
      <x:c r="L2755" s="40" t="n">
        <x:v>2819</x:v>
      </x:c>
      <x:c r="M2755" s="24" t="str">
        <x:v>-9.00 a +6.00</x:v>
      </x:c>
      <x:c r="N2755" s="24" t="str">
        <x:v>-4.00</x:v>
      </x:c>
      <x:c r="O2755" s="24" t="str">
        <x:v>1.00 a 3.50</x:v>
      </x:c>
      <x:c r="P2755" s="24" t="str">
        <x:v>75</x:v>
      </x:c>
      <x:c r="Q2755" s="24"/>
      <x:c r="R2755" s="24"/>
      <x:c r="S2755" s="26" t="n">
        <x:v>46113</x:v>
      </x:c>
      <x:c r="T2755" s="26"/>
      <x:c r="U2755" s="24" t="str">
        <x:v>ATIVA/SEM FIM INFORMADO</x:v>
      </x:c>
      <x:c r="V2755" s="24"/>
      <x:c r="W2755" s="24" t="n">
        <x:v>45</x:v>
      </x:c>
      <x:c r="X2755" s="24" t="str">
        <x:v>tabela_zeiss.pdf</x:v>
      </x:c>
      <x:c r="Y2755" s="24" t="str">
        <x:v>alta</x:v>
      </x:c>
      <x:c r="Z2755" s="24"/>
      <x:c r="AA2755" s="24" t="str">
        <x:v>ZEISS|Progressiva|Surfaçada|Light 2 D||1.6|1.60|DuraVision Silver UV|-9.00 a +6.00|-4.00|1.00 a 3.50|75|||45</x:v>
      </x:c>
    </x:row>
    <x:row r="2756">
      <x:c r="A2756" s="24" t="str">
        <x:v>ZS-4994C3C9293F</x:v>
      </x:c>
      <x:c r="B2756" s="24" t="str">
        <x:v>SIM</x:v>
      </x:c>
      <x:c r="C2756" s="24" t="str">
        <x:v>DISPONÍVEL</x:v>
      </x:c>
      <x:c r="D2756" s="24" t="str">
        <x:v>ZEISS</x:v>
      </x:c>
      <x:c r="E2756" s="24" t="str">
        <x:v>Progressiva</x:v>
      </x:c>
      <x:c r="F2756" s="24" t="str">
        <x:v>Surfaçada</x:v>
      </x:c>
      <x:c r="G2756" s="24" t="str">
        <x:v>Light 2 D</x:v>
      </x:c>
      <x:c r="H2756" s="24"/>
      <x:c r="I2756" s="24" t="str">
        <x:v>1.6</x:v>
      </x:c>
      <x:c r="J2756" s="24" t="str">
        <x:v>1.60</x:v>
      </x:c>
      <x:c r="K2756" s="24" t="str">
        <x:v>DuraVision Chrome UV</x:v>
      </x:c>
      <x:c r="L2756" s="40" t="n">
        <x:v>2329</x:v>
      </x:c>
      <x:c r="M2756" s="24" t="str">
        <x:v>-9.00 a +6.00</x:v>
      </x:c>
      <x:c r="N2756" s="24" t="str">
        <x:v>-4.00</x:v>
      </x:c>
      <x:c r="O2756" s="24" t="str">
        <x:v>1.00 a 3.50</x:v>
      </x:c>
      <x:c r="P2756" s="24" t="str">
        <x:v>75</x:v>
      </x:c>
      <x:c r="Q2756" s="24"/>
      <x:c r="R2756" s="24"/>
      <x:c r="S2756" s="26" t="n">
        <x:v>46113</x:v>
      </x:c>
      <x:c r="T2756" s="26"/>
      <x:c r="U2756" s="24" t="str">
        <x:v>ATIVA/SEM FIM INFORMADO</x:v>
      </x:c>
      <x:c r="V2756" s="24"/>
      <x:c r="W2756" s="24" t="n">
        <x:v>45</x:v>
      </x:c>
      <x:c r="X2756" s="24" t="str">
        <x:v>tabela_zeiss.pdf</x:v>
      </x:c>
      <x:c r="Y2756" s="24" t="str">
        <x:v>alta</x:v>
      </x:c>
      <x:c r="Z2756" s="24"/>
      <x:c r="AA2756" s="24" t="str">
        <x:v>ZEISS|Progressiva|Surfaçada|Light 2 D||1.6|1.60|DuraVision Chrome UV|-9.00 a +6.00|-4.00|1.00 a 3.50|75|||45</x:v>
      </x:c>
    </x:row>
    <x:row r="2757">
      <x:c r="A2757" s="24" t="str">
        <x:v>ZS-8A533687E207</x:v>
      </x:c>
      <x:c r="B2757" s="24" t="str">
        <x:v>SIM</x:v>
      </x:c>
      <x:c r="C2757" s="24" t="str">
        <x:v>DISPONÍVEL</x:v>
      </x:c>
      <x:c r="D2757" s="24" t="str">
        <x:v>ZEISS</x:v>
      </x:c>
      <x:c r="E2757" s="24" t="str">
        <x:v>Progressiva</x:v>
      </x:c>
      <x:c r="F2757" s="24" t="str">
        <x:v>Surfaçada</x:v>
      </x:c>
      <x:c r="G2757" s="24" t="str">
        <x:v>Light 2 D</x:v>
      </x:c>
      <x:c r="H2757" s="24"/>
      <x:c r="I2757" s="24" t="str">
        <x:v>1.67</x:v>
      </x:c>
      <x:c r="J2757" s="24" t="str">
        <x:v>1.67</x:v>
      </x:c>
      <x:c r="K2757" s="24" t="str">
        <x:v>DuraVision Gold UV</x:v>
      </x:c>
      <x:c r="L2757" s="40" t="n">
        <x:v>4519</x:v>
      </x:c>
      <x:c r="M2757" s="24" t="str">
        <x:v>-10.00 a +6.00</x:v>
      </x:c>
      <x:c r="N2757" s="24" t="str">
        <x:v>-4.00</x:v>
      </x:c>
      <x:c r="O2757" s="24" t="str">
        <x:v>1.00 a 3.00</x:v>
      </x:c>
      <x:c r="P2757" s="24" t="str">
        <x:v>75</x:v>
      </x:c>
      <x:c r="Q2757" s="24"/>
      <x:c r="R2757" s="24"/>
      <x:c r="S2757" s="26" t="n">
        <x:v>46113</x:v>
      </x:c>
      <x:c r="T2757" s="26"/>
      <x:c r="U2757" s="24" t="str">
        <x:v>ATIVA/SEM FIM INFORMADO</x:v>
      </x:c>
      <x:c r="V2757" s="24"/>
      <x:c r="W2757" s="24" t="n">
        <x:v>45</x:v>
      </x:c>
      <x:c r="X2757" s="24" t="str">
        <x:v>tabela_zeiss.pdf</x:v>
      </x:c>
      <x:c r="Y2757" s="24" t="str">
        <x:v>alta</x:v>
      </x:c>
      <x:c r="Z2757" s="24"/>
      <x:c r="AA2757" s="24" t="str">
        <x:v>ZEISS|Progressiva|Surfaçada|Light 2 D||1.67|1.67|DuraVision Gold UV|-10.00 a +6.00|-4.00|1.00 a 3.00|75|||45</x:v>
      </x:c>
    </x:row>
    <x:row r="2758">
      <x:c r="A2758" s="24" t="str">
        <x:v>ZS-3FB073B2101D</x:v>
      </x:c>
      <x:c r="B2758" s="24" t="str">
        <x:v>SIM</x:v>
      </x:c>
      <x:c r="C2758" s="24" t="str">
        <x:v>DISPONÍVEL</x:v>
      </x:c>
      <x:c r="D2758" s="24" t="str">
        <x:v>ZEISS</x:v>
      </x:c>
      <x:c r="E2758" s="24" t="str">
        <x:v>Progressiva</x:v>
      </x:c>
      <x:c r="F2758" s="24" t="str">
        <x:v>Surfaçada</x:v>
      </x:c>
      <x:c r="G2758" s="24" t="str">
        <x:v>Light 2 D</x:v>
      </x:c>
      <x:c r="H2758" s="24"/>
      <x:c r="I2758" s="24" t="str">
        <x:v>1.67</x:v>
      </x:c>
      <x:c r="J2758" s="24" t="str">
        <x:v>1.67</x:v>
      </x:c>
      <x:c r="K2758" s="24" t="str">
        <x:v>DURAVISION® ANTIVÍRUS PLATINUM UV</x:v>
      </x:c>
      <x:c r="L2758" s="40" t="n">
        <x:v>4379</x:v>
      </x:c>
      <x:c r="M2758" s="24" t="str">
        <x:v>-10.00 a +6.00</x:v>
      </x:c>
      <x:c r="N2758" s="24" t="str">
        <x:v>-4.00</x:v>
      </x:c>
      <x:c r="O2758" s="24" t="str">
        <x:v>1.00 a 3.00</x:v>
      </x:c>
      <x:c r="P2758" s="24" t="str">
        <x:v>75</x:v>
      </x:c>
      <x:c r="Q2758" s="24"/>
      <x:c r="R2758" s="24"/>
      <x:c r="S2758" s="26" t="n">
        <x:v>46113</x:v>
      </x:c>
      <x:c r="T2758" s="26"/>
      <x:c r="U2758" s="24" t="str">
        <x:v>ATIVA/SEM FIM INFORMADO</x:v>
      </x:c>
      <x:c r="V2758" s="24"/>
      <x:c r="W2758" s="24" t="n">
        <x:v>45</x:v>
      </x:c>
      <x:c r="X2758" s="24" t="str">
        <x:v>tabela_zeiss.pdf</x:v>
      </x:c>
      <x:c r="Y2758" s="24" t="str">
        <x:v>alta</x:v>
      </x:c>
      <x:c r="Z2758" s="24"/>
      <x:c r="AA2758" s="24" t="str">
        <x:v>ZEISS|Progressiva|Surfaçada|Light 2 D||1.67|1.67|DURAVISION® ANTIVÍRUS PLATINUM UV|-10.00 a +6.00|-4.00|1.00 a 3.00|75|||45</x:v>
      </x:c>
    </x:row>
    <x:row r="2759">
      <x:c r="A2759" s="24" t="str">
        <x:v>ZS-67223AA7067A</x:v>
      </x:c>
      <x:c r="B2759" s="24" t="str">
        <x:v>SIM</x:v>
      </x:c>
      <x:c r="C2759" s="24" t="str">
        <x:v>DISPONÍVEL</x:v>
      </x:c>
      <x:c r="D2759" s="24" t="str">
        <x:v>ZEISS</x:v>
      </x:c>
      <x:c r="E2759" s="24" t="str">
        <x:v>Progressiva</x:v>
      </x:c>
      <x:c r="F2759" s="24" t="str">
        <x:v>Surfaçada</x:v>
      </x:c>
      <x:c r="G2759" s="24" t="str">
        <x:v>Light 2 D</x:v>
      </x:c>
      <x:c r="H2759" s="24"/>
      <x:c r="I2759" s="24" t="str">
        <x:v>1.67</x:v>
      </x:c>
      <x:c r="J2759" s="24" t="str">
        <x:v>1.67</x:v>
      </x:c>
      <x:c r="K2759" s="24" t="str">
        <x:v>DuraVision Platinum UV</x:v>
      </x:c>
      <x:c r="L2759" s="40" t="n">
        <x:v>4379</x:v>
      </x:c>
      <x:c r="M2759" s="24" t="str">
        <x:v>-10.00 a +6.00</x:v>
      </x:c>
      <x:c r="N2759" s="24" t="str">
        <x:v>-4.00</x:v>
      </x:c>
      <x:c r="O2759" s="24" t="str">
        <x:v>1.00 a 3.00</x:v>
      </x:c>
      <x:c r="P2759" s="24" t="str">
        <x:v>75</x:v>
      </x:c>
      <x:c r="Q2759" s="24"/>
      <x:c r="R2759" s="24"/>
      <x:c r="S2759" s="26" t="n">
        <x:v>46113</x:v>
      </x:c>
      <x:c r="T2759" s="26"/>
      <x:c r="U2759" s="24" t="str">
        <x:v>ATIVA/SEM FIM INFORMADO</x:v>
      </x:c>
      <x:c r="V2759" s="24"/>
      <x:c r="W2759" s="24" t="n">
        <x:v>45</x:v>
      </x:c>
      <x:c r="X2759" s="24" t="str">
        <x:v>tabela_zeiss.pdf</x:v>
      </x:c>
      <x:c r="Y2759" s="24" t="str">
        <x:v>alta</x:v>
      </x:c>
      <x:c r="Z2759" s="24"/>
      <x:c r="AA2759" s="24" t="str">
        <x:v>ZEISS|Progressiva|Surfaçada|Light 2 D||1.67|1.67|DuraVision Platinum UV|-10.00 a +6.00|-4.00|1.00 a 3.00|75|||45</x:v>
      </x:c>
    </x:row>
    <x:row r="2760">
      <x:c r="A2760" s="24" t="str">
        <x:v>ZS-7937B6FFA8D8</x:v>
      </x:c>
      <x:c r="B2760" s="24" t="str">
        <x:v>SIM</x:v>
      </x:c>
      <x:c r="C2760" s="24" t="str">
        <x:v>DISPONÍVEL</x:v>
      </x:c>
      <x:c r="D2760" s="24" t="str">
        <x:v>ZEISS</x:v>
      </x:c>
      <x:c r="E2760" s="24" t="str">
        <x:v>Progressiva</x:v>
      </x:c>
      <x:c r="F2760" s="24" t="str">
        <x:v>Surfaçada</x:v>
      </x:c>
      <x:c r="G2760" s="24" t="str">
        <x:v>Light 2 D</x:v>
      </x:c>
      <x:c r="H2760" s="24"/>
      <x:c r="I2760" s="24" t="str">
        <x:v>1.67</x:v>
      </x:c>
      <x:c r="J2760" s="24" t="str">
        <x:v>1.67</x:v>
      </x:c>
      <x:c r="K2760" s="24" t="str">
        <x:v>DuraVision Silver UV</x:v>
      </x:c>
      <x:c r="L2760" s="40" t="n">
        <x:v>4119</x:v>
      </x:c>
      <x:c r="M2760" s="24" t="str">
        <x:v>-10.00 a +6.00</x:v>
      </x:c>
      <x:c r="N2760" s="24" t="str">
        <x:v>-4.00</x:v>
      </x:c>
      <x:c r="O2760" s="24" t="str">
        <x:v>1.00 a 3.00</x:v>
      </x:c>
      <x:c r="P2760" s="24" t="str">
        <x:v>75</x:v>
      </x:c>
      <x:c r="Q2760" s="24"/>
      <x:c r="R2760" s="24"/>
      <x:c r="S2760" s="26" t="n">
        <x:v>46113</x:v>
      </x:c>
      <x:c r="T2760" s="26"/>
      <x:c r="U2760" s="24" t="str">
        <x:v>ATIVA/SEM FIM INFORMADO</x:v>
      </x:c>
      <x:c r="V2760" s="24"/>
      <x:c r="W2760" s="24" t="n">
        <x:v>45</x:v>
      </x:c>
      <x:c r="X2760" s="24" t="str">
        <x:v>tabela_zeiss.pdf</x:v>
      </x:c>
      <x:c r="Y2760" s="24" t="str">
        <x:v>alta</x:v>
      </x:c>
      <x:c r="Z2760" s="24"/>
      <x:c r="AA2760" s="24" t="str">
        <x:v>ZEISS|Progressiva|Surfaçada|Light 2 D||1.67|1.67|DuraVision Silver UV|-10.00 a +6.00|-4.00|1.00 a 3.00|75|||45</x:v>
      </x:c>
    </x:row>
    <x:row r="2761">
      <x:c r="A2761" s="24" t="str">
        <x:v>ZS-1755E250CFDB</x:v>
      </x:c>
      <x:c r="B2761" s="24" t="str">
        <x:v>SIM</x:v>
      </x:c>
      <x:c r="C2761" s="24" t="str">
        <x:v>DISPONÍVEL</x:v>
      </x:c>
      <x:c r="D2761" s="24" t="str">
        <x:v>ZEISS</x:v>
      </x:c>
      <x:c r="E2761" s="24" t="str">
        <x:v>Progressiva</x:v>
      </x:c>
      <x:c r="F2761" s="24" t="str">
        <x:v>Surfaçada</x:v>
      </x:c>
      <x:c r="G2761" s="24" t="str">
        <x:v>Light 2 D</x:v>
      </x:c>
      <x:c r="H2761" s="24"/>
      <x:c r="I2761" s="24" t="str">
        <x:v>1.67</x:v>
      </x:c>
      <x:c r="J2761" s="24" t="str">
        <x:v>1.67</x:v>
      </x:c>
      <x:c r="K2761" s="24" t="str">
        <x:v>DuraVision Chrome UV</x:v>
      </x:c>
      <x:c r="L2761" s="40" t="n">
        <x:v>3629</x:v>
      </x:c>
      <x:c r="M2761" s="24" t="str">
        <x:v>-10.00 a +6.00</x:v>
      </x:c>
      <x:c r="N2761" s="24" t="str">
        <x:v>-4.00</x:v>
      </x:c>
      <x:c r="O2761" s="24" t="str">
        <x:v>1.00 a 3.00</x:v>
      </x:c>
      <x:c r="P2761" s="24" t="str">
        <x:v>75</x:v>
      </x:c>
      <x:c r="Q2761" s="24"/>
      <x:c r="R2761" s="24"/>
      <x:c r="S2761" s="26" t="n">
        <x:v>46113</x:v>
      </x:c>
      <x:c r="T2761" s="26"/>
      <x:c r="U2761" s="24" t="str">
        <x:v>ATIVA/SEM FIM INFORMADO</x:v>
      </x:c>
      <x:c r="V2761" s="24"/>
      <x:c r="W2761" s="24" t="n">
        <x:v>45</x:v>
      </x:c>
      <x:c r="X2761" s="24" t="str">
        <x:v>tabela_zeiss.pdf</x:v>
      </x:c>
      <x:c r="Y2761" s="24" t="str">
        <x:v>alta</x:v>
      </x:c>
      <x:c r="Z2761" s="24"/>
      <x:c r="AA2761" s="24" t="str">
        <x:v>ZEISS|Progressiva|Surfaçada|Light 2 D||1.67|1.67|DuraVision Chrome UV|-10.00 a +6.00|-4.00|1.00 a 3.00|75|||45</x:v>
      </x:c>
    </x:row>
    <x:row r="2762">
      <x:c r="A2762" s="24" t="str">
        <x:v>ZS-F22EB4D7FB71</x:v>
      </x:c>
      <x:c r="B2762" s="24" t="str">
        <x:v>SIM</x:v>
      </x:c>
      <x:c r="C2762" s="24" t="str">
        <x:v>DISPONÍVEL</x:v>
      </x:c>
      <x:c r="D2762" s="24" t="str">
        <x:v>ZEISS</x:v>
      </x:c>
      <x:c r="E2762" s="24" t="str">
        <x:v>Progressiva</x:v>
      </x:c>
      <x:c r="F2762" s="24" t="str">
        <x:v>Surfaçada</x:v>
      </x:c>
      <x:c r="G2762" s="24" t="str">
        <x:v>Light 2 D</x:v>
      </x:c>
      <x:c r="H2762" s="24"/>
      <x:c r="I2762" s="24" t="str">
        <x:v>1.74</x:v>
      </x:c>
      <x:c r="J2762" s="24" t="str">
        <x:v>1.74</x:v>
      </x:c>
      <x:c r="K2762" s="24" t="str">
        <x:v>DuraVision Gold UV</x:v>
      </x:c>
      <x:c r="L2762" s="40" t="n">
        <x:v>4829</x:v>
      </x:c>
      <x:c r="M2762" s="24" t="str">
        <x:v>-10.00 a +7.00</x:v>
      </x:c>
      <x:c r="N2762" s="24" t="str">
        <x:v>-4.00</x:v>
      </x:c>
      <x:c r="O2762" s="24" t="str">
        <x:v>0.75 a 3.50</x:v>
      </x:c>
      <x:c r="P2762" s="24" t="str">
        <x:v>70 a 75</x:v>
      </x:c>
      <x:c r="Q2762" s="24"/>
      <x:c r="R2762" s="24"/>
      <x:c r="S2762" s="26" t="n">
        <x:v>46113</x:v>
      </x:c>
      <x:c r="T2762" s="26"/>
      <x:c r="U2762" s="24" t="str">
        <x:v>ATIVA/SEM FIM INFORMADO</x:v>
      </x:c>
      <x:c r="V2762" s="24"/>
      <x:c r="W2762" s="24" t="n">
        <x:v>45</x:v>
      </x:c>
      <x:c r="X2762" s="24" t="str">
        <x:v>tabela_zeiss.pdf</x:v>
      </x:c>
      <x:c r="Y2762" s="24" t="str">
        <x:v>alta</x:v>
      </x:c>
      <x:c r="Z2762" s="24"/>
      <x:c r="AA2762" s="24" t="str">
        <x:v>ZEISS|Progressiva|Surfaçada|Light 2 D||1.74|1.74|DuraVision Gold UV|-10.00 a +7.00|-4.00|0.75 a 3.50|70 a 75|||45</x:v>
      </x:c>
    </x:row>
    <x:row r="2763">
      <x:c r="A2763" s="24" t="str">
        <x:v>ZS-664CC8177EC8</x:v>
      </x:c>
      <x:c r="B2763" s="24" t="str">
        <x:v>SIM</x:v>
      </x:c>
      <x:c r="C2763" s="24" t="str">
        <x:v>DISPONÍVEL</x:v>
      </x:c>
      <x:c r="D2763" s="24" t="str">
        <x:v>ZEISS</x:v>
      </x:c>
      <x:c r="E2763" s="24" t="str">
        <x:v>Progressiva</x:v>
      </x:c>
      <x:c r="F2763" s="24" t="str">
        <x:v>Surfaçada</x:v>
      </x:c>
      <x:c r="G2763" s="24" t="str">
        <x:v>Light 2 D</x:v>
      </x:c>
      <x:c r="H2763" s="24"/>
      <x:c r="I2763" s="24" t="str">
        <x:v>1.74</x:v>
      </x:c>
      <x:c r="J2763" s="24" t="str">
        <x:v>1.74</x:v>
      </x:c>
      <x:c r="K2763" s="24" t="str">
        <x:v>DuraVision Platinum UV</x:v>
      </x:c>
      <x:c r="L2763" s="40" t="n">
        <x:v>4689</x:v>
      </x:c>
      <x:c r="M2763" s="24" t="str">
        <x:v>-10.00 a +7.00</x:v>
      </x:c>
      <x:c r="N2763" s="24" t="str">
        <x:v>-4.00</x:v>
      </x:c>
      <x:c r="O2763" s="24" t="str">
        <x:v>0.75 a 3.50</x:v>
      </x:c>
      <x:c r="P2763" s="24" t="str">
        <x:v>70 a 75</x:v>
      </x:c>
      <x:c r="Q2763" s="24"/>
      <x:c r="R2763" s="24"/>
      <x:c r="S2763" s="26" t="n">
        <x:v>46113</x:v>
      </x:c>
      <x:c r="T2763" s="26"/>
      <x:c r="U2763" s="24" t="str">
        <x:v>ATIVA/SEM FIM INFORMADO</x:v>
      </x:c>
      <x:c r="V2763" s="24"/>
      <x:c r="W2763" s="24" t="n">
        <x:v>45</x:v>
      </x:c>
      <x:c r="X2763" s="24" t="str">
        <x:v>tabela_zeiss.pdf</x:v>
      </x:c>
      <x:c r="Y2763" s="24" t="str">
        <x:v>alta</x:v>
      </x:c>
      <x:c r="Z2763" s="24"/>
      <x:c r="AA2763" s="24" t="str">
        <x:v>ZEISS|Progressiva|Surfaçada|Light 2 D||1.74|1.74|DuraVision Platinum UV|-10.00 a +7.00|-4.00|0.75 a 3.50|70 a 75|||45</x:v>
      </x:c>
    </x:row>
    <x:row r="2764">
      <x:c r="A2764" s="24" t="str">
        <x:v>ZS-E5673758A42A</x:v>
      </x:c>
      <x:c r="B2764" s="24" t="str">
        <x:v>SIM</x:v>
      </x:c>
      <x:c r="C2764" s="24" t="str">
        <x:v>DISPONÍVEL</x:v>
      </x:c>
      <x:c r="D2764" s="24" t="str">
        <x:v>ZEISS</x:v>
      </x:c>
      <x:c r="E2764" s="24" t="str">
        <x:v>Progressiva</x:v>
      </x:c>
      <x:c r="F2764" s="24" t="str">
        <x:v>Surfaçada</x:v>
      </x:c>
      <x:c r="G2764" s="24" t="str">
        <x:v>Light 2 D</x:v>
      </x:c>
      <x:c r="H2764" s="24"/>
      <x:c r="I2764" s="24" t="str">
        <x:v>1.74</x:v>
      </x:c>
      <x:c r="J2764" s="24" t="str">
        <x:v>1.74</x:v>
      </x:c>
      <x:c r="K2764" s="24" t="str">
        <x:v>DuraVision Silver UV</x:v>
      </x:c>
      <x:c r="L2764" s="40" t="n">
        <x:v>4429</x:v>
      </x:c>
      <x:c r="M2764" s="24" t="str">
        <x:v>-10.00 a +7.00</x:v>
      </x:c>
      <x:c r="N2764" s="24" t="str">
        <x:v>-4.00</x:v>
      </x:c>
      <x:c r="O2764" s="24" t="str">
        <x:v>0.75 a 3.50</x:v>
      </x:c>
      <x:c r="P2764" s="24" t="str">
        <x:v>70 a 75</x:v>
      </x:c>
      <x:c r="Q2764" s="24"/>
      <x:c r="R2764" s="24"/>
      <x:c r="S2764" s="26" t="n">
        <x:v>46113</x:v>
      </x:c>
      <x:c r="T2764" s="26"/>
      <x:c r="U2764" s="24" t="str">
        <x:v>ATIVA/SEM FIM INFORMADO</x:v>
      </x:c>
      <x:c r="V2764" s="24"/>
      <x:c r="W2764" s="24" t="n">
        <x:v>45</x:v>
      </x:c>
      <x:c r="X2764" s="24" t="str">
        <x:v>tabela_zeiss.pdf</x:v>
      </x:c>
      <x:c r="Y2764" s="24" t="str">
        <x:v>alta</x:v>
      </x:c>
      <x:c r="Z2764" s="24"/>
      <x:c r="AA2764" s="24" t="str">
        <x:v>ZEISS|Progressiva|Surfaçada|Light 2 D||1.74|1.74|DuraVision Silver UV|-10.00 a +7.00|-4.00|0.75 a 3.50|70 a 75|||45</x:v>
      </x:c>
    </x:row>
    <x:row r="2765">
      <x:c r="A2765" s="24" t="str">
        <x:v>ZS-958463913099</x:v>
      </x:c>
      <x:c r="B2765" s="24" t="str">
        <x:v>SIM</x:v>
      </x:c>
      <x:c r="C2765" s="24" t="str">
        <x:v>DISPONÍVEL</x:v>
      </x:c>
      <x:c r="D2765" s="24" t="str">
        <x:v>ZEISS</x:v>
      </x:c>
      <x:c r="E2765" s="24" t="str">
        <x:v>Progressiva</x:v>
      </x:c>
      <x:c r="F2765" s="24" t="str">
        <x:v>Surfaçada</x:v>
      </x:c>
      <x:c r="G2765" s="24" t="str">
        <x:v>Light 2 D</x:v>
      </x:c>
      <x:c r="H2765" s="24"/>
      <x:c r="I2765" s="24" t="str">
        <x:v>1.74</x:v>
      </x:c>
      <x:c r="J2765" s="24" t="str">
        <x:v>1.74</x:v>
      </x:c>
      <x:c r="K2765" s="24" t="str">
        <x:v>DuraVision Chrome UV</x:v>
      </x:c>
      <x:c r="L2765" s="40" t="n">
        <x:v>3939</x:v>
      </x:c>
      <x:c r="M2765" s="24" t="str">
        <x:v>-10.00 a +7.00</x:v>
      </x:c>
      <x:c r="N2765" s="24" t="str">
        <x:v>-4.00</x:v>
      </x:c>
      <x:c r="O2765" s="24" t="str">
        <x:v>0.75 a 3.50</x:v>
      </x:c>
      <x:c r="P2765" s="24" t="str">
        <x:v>70 a 75</x:v>
      </x:c>
      <x:c r="Q2765" s="24"/>
      <x:c r="R2765" s="24"/>
      <x:c r="S2765" s="26" t="n">
        <x:v>46113</x:v>
      </x:c>
      <x:c r="T2765" s="26"/>
      <x:c r="U2765" s="24" t="str">
        <x:v>ATIVA/SEM FIM INFORMADO</x:v>
      </x:c>
      <x:c r="V2765" s="24"/>
      <x:c r="W2765" s="24" t="n">
        <x:v>45</x:v>
      </x:c>
      <x:c r="X2765" s="24" t="str">
        <x:v>tabela_zeiss.pdf</x:v>
      </x:c>
      <x:c r="Y2765" s="24" t="str">
        <x:v>alta</x:v>
      </x:c>
      <x:c r="Z2765" s="24"/>
      <x:c r="AA2765" s="24" t="str">
        <x:v>ZEISS|Progressiva|Surfaçada|Light 2 D||1.74|1.74|DuraVision Chrome UV|-10.00 a +7.00|-4.00|0.75 a 3.50|70 a 75|||45</x:v>
      </x:c>
    </x:row>
    <x:row r="2766">
      <x:c r="A2766" s="24" t="str">
        <x:v>ZS-BB1F9C195433</x:v>
      </x:c>
      <x:c r="B2766" s="24" t="str">
        <x:v>SIM</x:v>
      </x:c>
      <x:c r="C2766" s="24" t="str">
        <x:v>DISPONÍVEL</x:v>
      </x:c>
      <x:c r="D2766" s="24" t="str">
        <x:v>ZEISS</x:v>
      </x:c>
      <x:c r="E2766" s="24" t="str">
        <x:v>Progressiva</x:v>
      </x:c>
      <x:c r="F2766" s="24" t="str">
        <x:v>Surfaçada</x:v>
      </x:c>
      <x:c r="G2766" s="24" t="str">
        <x:v>Light 2 D</x:v>
      </x:c>
      <x:c r="H2766" s="24" t="str">
        <x:v>PhotoFusion X</x:v>
      </x:c>
      <x:c r="I2766" s="24" t="str">
        <x:v>1.5</x:v>
      </x:c>
      <x:c r="J2766" s="24" t="str">
        <x:v>1.50</x:v>
      </x:c>
      <x:c r="K2766" s="24" t="str">
        <x:v>DuraVision Gold UV</x:v>
      </x:c>
      <x:c r="L2766" s="40" t="n">
        <x:v>4059</x:v>
      </x:c>
      <x:c r="M2766" s="24" t="str">
        <x:v>-9.00 a +6.00</x:v>
      </x:c>
      <x:c r="N2766" s="24" t="str">
        <x:v>-4.00</x:v>
      </x:c>
      <x:c r="O2766" s="24" t="str">
        <x:v>1.00 a 3.50</x:v>
      </x:c>
      <x:c r="P2766" s="24" t="str">
        <x:v>75</x:v>
      </x:c>
      <x:c r="Q2766" s="24"/>
      <x:c r="R2766" s="24"/>
      <x:c r="S2766" s="26" t="n">
        <x:v>46113</x:v>
      </x:c>
      <x:c r="T2766" s="26"/>
      <x:c r="U2766" s="24" t="str">
        <x:v>ATIVA/SEM FIM INFORMADO</x:v>
      </x:c>
      <x:c r="V2766" s="24" t="str">
        <x:v>Programa de Parcerias ZEISS</x:v>
      </x:c>
      <x:c r="W2766" s="24" t="n">
        <x:v>45</x:v>
      </x:c>
      <x:c r="X2766" s="24" t="str">
        <x:v>tabela_zeiss.pdf</x:v>
      </x:c>
      <x:c r="Y2766" s="24" t="str">
        <x:v>alta</x:v>
      </x:c>
      <x:c r="Z2766" s="24"/>
      <x:c r="AA2766" s="24" t="str">
        <x:v>ZEISS|Progressiva|Surfaçada|Light 2 D|PhotoFusion X|1.5|1.50|DuraVision Gold UV|-9.00 a +6.00|-4.00|1.00 a 3.50|75|||45</x:v>
      </x:c>
    </x:row>
    <x:row r="2767">
      <x:c r="A2767" s="24" t="str">
        <x:v>ZS-9650917A0C50</x:v>
      </x:c>
      <x:c r="B2767" s="24" t="str">
        <x:v>SIM</x:v>
      </x:c>
      <x:c r="C2767" s="24" t="str">
        <x:v>DISPONÍVEL</x:v>
      </x:c>
      <x:c r="D2767" s="24" t="str">
        <x:v>ZEISS</x:v>
      </x:c>
      <x:c r="E2767" s="24" t="str">
        <x:v>Progressiva</x:v>
      </x:c>
      <x:c r="F2767" s="24" t="str">
        <x:v>Surfaçada</x:v>
      </x:c>
      <x:c r="G2767" s="24" t="str">
        <x:v>Light 2 D</x:v>
      </x:c>
      <x:c r="H2767" s="24" t="str">
        <x:v>PhotoFusion X</x:v>
      </x:c>
      <x:c r="I2767" s="24" t="str">
        <x:v>1.5</x:v>
      </x:c>
      <x:c r="J2767" s="24" t="str">
        <x:v>1.50</x:v>
      </x:c>
      <x:c r="K2767" s="24" t="str">
        <x:v>DURAVISION® ANTIVÍRUS PLATINUM UV</x:v>
      </x:c>
      <x:c r="L2767" s="40" t="n">
        <x:v>3919</x:v>
      </x:c>
      <x:c r="M2767" s="24" t="str">
        <x:v>-9.00 a +6.00</x:v>
      </x:c>
      <x:c r="N2767" s="24" t="str">
        <x:v>-4.00</x:v>
      </x:c>
      <x:c r="O2767" s="24" t="str">
        <x:v>1.00 a 3.50</x:v>
      </x:c>
      <x:c r="P2767" s="24" t="str">
        <x:v>75</x:v>
      </x:c>
      <x:c r="Q2767" s="24"/>
      <x:c r="R2767" s="24"/>
      <x:c r="S2767" s="26" t="n">
        <x:v>46113</x:v>
      </x:c>
      <x:c r="T2767" s="26"/>
      <x:c r="U2767" s="24" t="str">
        <x:v>ATIVA/SEM FIM INFORMADO</x:v>
      </x:c>
      <x:c r="V2767" s="24" t="str">
        <x:v>Programa de Parcerias ZEISS</x:v>
      </x:c>
      <x:c r="W2767" s="24" t="n">
        <x:v>45</x:v>
      </x:c>
      <x:c r="X2767" s="24" t="str">
        <x:v>tabela_zeiss.pdf</x:v>
      </x:c>
      <x:c r="Y2767" s="24" t="str">
        <x:v>alta</x:v>
      </x:c>
      <x:c r="Z2767" s="24"/>
      <x:c r="AA2767" s="24" t="str">
        <x:v>ZEISS|Progressiva|Surfaçada|Light 2 D|PhotoFusion X|1.5|1.50|DURAVISION® ANTIVÍRUS PLATINUM UV|-9.00 a +6.00|-4.00|1.00 a 3.50|75|||45</x:v>
      </x:c>
    </x:row>
    <x:row r="2768">
      <x:c r="A2768" s="24" t="str">
        <x:v>ZS-E198A0B7BDD5</x:v>
      </x:c>
      <x:c r="B2768" s="24" t="str">
        <x:v>SIM</x:v>
      </x:c>
      <x:c r="C2768" s="24" t="str">
        <x:v>DISPONÍVEL</x:v>
      </x:c>
      <x:c r="D2768" s="24" t="str">
        <x:v>ZEISS</x:v>
      </x:c>
      <x:c r="E2768" s="24" t="str">
        <x:v>Progressiva</x:v>
      </x:c>
      <x:c r="F2768" s="24" t="str">
        <x:v>Surfaçada</x:v>
      </x:c>
      <x:c r="G2768" s="24" t="str">
        <x:v>Light 2 D</x:v>
      </x:c>
      <x:c r="H2768" s="24" t="str">
        <x:v>PhotoFusion X</x:v>
      </x:c>
      <x:c r="I2768" s="24" t="str">
        <x:v>1.5</x:v>
      </x:c>
      <x:c r="J2768" s="24" t="str">
        <x:v>1.50</x:v>
      </x:c>
      <x:c r="K2768" s="24" t="str">
        <x:v>DuraVision Platinum UV</x:v>
      </x:c>
      <x:c r="L2768" s="40" t="n">
        <x:v>3919</x:v>
      </x:c>
      <x:c r="M2768" s="24" t="str">
        <x:v>-9.00 a +6.00</x:v>
      </x:c>
      <x:c r="N2768" s="24" t="str">
        <x:v>-4.00</x:v>
      </x:c>
      <x:c r="O2768" s="24" t="str">
        <x:v>1.00 a 3.50</x:v>
      </x:c>
      <x:c r="P2768" s="24" t="str">
        <x:v>75</x:v>
      </x:c>
      <x:c r="Q2768" s="24"/>
      <x:c r="R2768" s="24"/>
      <x:c r="S2768" s="26" t="n">
        <x:v>46113</x:v>
      </x:c>
      <x:c r="T2768" s="26"/>
      <x:c r="U2768" s="24" t="str">
        <x:v>ATIVA/SEM FIM INFORMADO</x:v>
      </x:c>
      <x:c r="V2768" s="24" t="str">
        <x:v>Programa de Parcerias ZEISS</x:v>
      </x:c>
      <x:c r="W2768" s="24" t="n">
        <x:v>45</x:v>
      </x:c>
      <x:c r="X2768" s="24" t="str">
        <x:v>tabela_zeiss.pdf</x:v>
      </x:c>
      <x:c r="Y2768" s="24" t="str">
        <x:v>alta</x:v>
      </x:c>
      <x:c r="Z2768" s="24"/>
      <x:c r="AA2768" s="24" t="str">
        <x:v>ZEISS|Progressiva|Surfaçada|Light 2 D|PhotoFusion X|1.5|1.50|DuraVision Platinum UV|-9.00 a +6.00|-4.00|1.00 a 3.50|75|||45</x:v>
      </x:c>
    </x:row>
    <x:row r="2769">
      <x:c r="A2769" s="24" t="str">
        <x:v>ZS-9BAF91E8AE5D</x:v>
      </x:c>
      <x:c r="B2769" s="24" t="str">
        <x:v>SIM</x:v>
      </x:c>
      <x:c r="C2769" s="24" t="str">
        <x:v>DISPONÍVEL</x:v>
      </x:c>
      <x:c r="D2769" s="24" t="str">
        <x:v>ZEISS</x:v>
      </x:c>
      <x:c r="E2769" s="24" t="str">
        <x:v>Progressiva</x:v>
      </x:c>
      <x:c r="F2769" s="24" t="str">
        <x:v>Surfaçada</x:v>
      </x:c>
      <x:c r="G2769" s="24" t="str">
        <x:v>Light 2 D</x:v>
      </x:c>
      <x:c r="H2769" s="24" t="str">
        <x:v>PhotoFusion X</x:v>
      </x:c>
      <x:c r="I2769" s="24" t="str">
        <x:v>1.5</x:v>
      </x:c>
      <x:c r="J2769" s="24" t="str">
        <x:v>1.50</x:v>
      </x:c>
      <x:c r="K2769" s="24" t="str">
        <x:v>DuraVision Silver UV</x:v>
      </x:c>
      <x:c r="L2769" s="40" t="n">
        <x:v>3659</x:v>
      </x:c>
      <x:c r="M2769" s="24" t="str">
        <x:v>-9.00 a +6.00</x:v>
      </x:c>
      <x:c r="N2769" s="24" t="str">
        <x:v>-4.00</x:v>
      </x:c>
      <x:c r="O2769" s="24" t="str">
        <x:v>1.00 a 3.50</x:v>
      </x:c>
      <x:c r="P2769" s="24" t="str">
        <x:v>75</x:v>
      </x:c>
      <x:c r="Q2769" s="24"/>
      <x:c r="R2769" s="24"/>
      <x:c r="S2769" s="26" t="n">
        <x:v>46113</x:v>
      </x:c>
      <x:c r="T2769" s="26"/>
      <x:c r="U2769" s="24" t="str">
        <x:v>ATIVA/SEM FIM INFORMADO</x:v>
      </x:c>
      <x:c r="V2769" s="24" t="str">
        <x:v>Programa de Parcerias ZEISS</x:v>
      </x:c>
      <x:c r="W2769" s="24" t="n">
        <x:v>45</x:v>
      </x:c>
      <x:c r="X2769" s="24" t="str">
        <x:v>tabela_zeiss.pdf</x:v>
      </x:c>
      <x:c r="Y2769" s="24" t="str">
        <x:v>alta</x:v>
      </x:c>
      <x:c r="Z2769" s="24"/>
      <x:c r="AA2769" s="24" t="str">
        <x:v>ZEISS|Progressiva|Surfaçada|Light 2 D|PhotoFusion X|1.5|1.50|DuraVision Silver UV|-9.00 a +6.00|-4.00|1.00 a 3.50|75|||45</x:v>
      </x:c>
    </x:row>
    <x:row r="2770">
      <x:c r="A2770" s="24" t="str">
        <x:v>ZS-3FEE4688CEA7</x:v>
      </x:c>
      <x:c r="B2770" s="24" t="str">
        <x:v>SIM</x:v>
      </x:c>
      <x:c r="C2770" s="24" t="str">
        <x:v>DISPONÍVEL</x:v>
      </x:c>
      <x:c r="D2770" s="24" t="str">
        <x:v>ZEISS</x:v>
      </x:c>
      <x:c r="E2770" s="24" t="str">
        <x:v>Progressiva</x:v>
      </x:c>
      <x:c r="F2770" s="24" t="str">
        <x:v>Surfaçada</x:v>
      </x:c>
      <x:c r="G2770" s="24" t="str">
        <x:v>Light 2 D</x:v>
      </x:c>
      <x:c r="H2770" s="24" t="str">
        <x:v>PhotoFusion X</x:v>
      </x:c>
      <x:c r="I2770" s="24" t="str">
        <x:v>1.5</x:v>
      </x:c>
      <x:c r="J2770" s="24" t="str">
        <x:v>1.50</x:v>
      </x:c>
      <x:c r="K2770" s="24" t="str">
        <x:v>DuraVision Chrome UV</x:v>
      </x:c>
      <x:c r="L2770" s="40" t="n">
        <x:v>3169</x:v>
      </x:c>
      <x:c r="M2770" s="24" t="str">
        <x:v>-9.00 a +6.00</x:v>
      </x:c>
      <x:c r="N2770" s="24" t="str">
        <x:v>-4.00</x:v>
      </x:c>
      <x:c r="O2770" s="24" t="str">
        <x:v>1.00 a 3.50</x:v>
      </x:c>
      <x:c r="P2770" s="24" t="str">
        <x:v>75</x:v>
      </x:c>
      <x:c r="Q2770" s="24"/>
      <x:c r="R2770" s="24"/>
      <x:c r="S2770" s="26" t="n">
        <x:v>46113</x:v>
      </x:c>
      <x:c r="T2770" s="26"/>
      <x:c r="U2770" s="24" t="str">
        <x:v>ATIVA/SEM FIM INFORMADO</x:v>
      </x:c>
      <x:c r="V2770" s="24" t="str">
        <x:v>Programa de Parcerias ZEISS</x:v>
      </x:c>
      <x:c r="W2770" s="24" t="n">
        <x:v>45</x:v>
      </x:c>
      <x:c r="X2770" s="24" t="str">
        <x:v>tabela_zeiss.pdf</x:v>
      </x:c>
      <x:c r="Y2770" s="24" t="str">
        <x:v>alta</x:v>
      </x:c>
      <x:c r="Z2770" s="24"/>
      <x:c r="AA2770" s="24" t="str">
        <x:v>ZEISS|Progressiva|Surfaçada|Light 2 D|PhotoFusion X|1.5|1.50|DuraVision Chrome UV|-9.00 a +6.00|-4.00|1.00 a 3.50|75|||45</x:v>
      </x:c>
    </x:row>
    <x:row r="2771">
      <x:c r="A2771" s="24" t="str">
        <x:v>ZS-C41B76FE9232</x:v>
      </x:c>
      <x:c r="B2771" s="24" t="str">
        <x:v>SIM</x:v>
      </x:c>
      <x:c r="C2771" s="24" t="str">
        <x:v>DISPONÍVEL</x:v>
      </x:c>
      <x:c r="D2771" s="24" t="str">
        <x:v>ZEISS</x:v>
      </x:c>
      <x:c r="E2771" s="24" t="str">
        <x:v>Progressiva</x:v>
      </x:c>
      <x:c r="F2771" s="24" t="str">
        <x:v>Surfaçada</x:v>
      </x:c>
      <x:c r="G2771" s="24" t="str">
        <x:v>Light 2 D</x:v>
      </x:c>
      <x:c r="H2771" s="24" t="str">
        <x:v>PhotoFusion X</x:v>
      </x:c>
      <x:c r="I2771" s="24" t="str">
        <x:v>1.5</x:v>
      </x:c>
      <x:c r="J2771" s="24" t="str">
        <x:v>1.50</x:v>
      </x:c>
      <x:c r="K2771" s="24" t="str">
        <x:v>Sem AR</x:v>
      </x:c>
      <x:c r="L2771" s="40" t="n">
        <x:v>2769</x:v>
      </x:c>
      <x:c r="M2771" s="24" t="str">
        <x:v>-9.00 a +6.00</x:v>
      </x:c>
      <x:c r="N2771" s="24" t="str">
        <x:v>-4.00</x:v>
      </x:c>
      <x:c r="O2771" s="24" t="str">
        <x:v>1.00 a 3.50</x:v>
      </x:c>
      <x:c r="P2771" s="24" t="str">
        <x:v>75</x:v>
      </x:c>
      <x:c r="Q2771" s="24"/>
      <x:c r="R2771" s="24"/>
      <x:c r="S2771" s="26" t="n">
        <x:v>46113</x:v>
      </x:c>
      <x:c r="T2771" s="26"/>
      <x:c r="U2771" s="24" t="str">
        <x:v>ATIVA/SEM FIM INFORMADO</x:v>
      </x:c>
      <x:c r="V2771" s="24" t="str">
        <x:v>Programa de Parcerias ZEISS</x:v>
      </x:c>
      <x:c r="W2771" s="24" t="n">
        <x:v>45</x:v>
      </x:c>
      <x:c r="X2771" s="24" t="str">
        <x:v>tabela_zeiss.pdf</x:v>
      </x:c>
      <x:c r="Y2771" s="24" t="str">
        <x:v>alta</x:v>
      </x:c>
      <x:c r="Z2771" s="24"/>
      <x:c r="AA2771" s="24" t="str">
        <x:v>ZEISS|Progressiva|Surfaçada|Light 2 D|PhotoFusion X|1.5|1.50|Sem AR|-9.00 a +6.00|-4.00|1.00 a 3.50|75|||45</x:v>
      </x:c>
    </x:row>
    <x:row r="2772">
      <x:c r="A2772" s="24" t="str">
        <x:v>ZS-E24F73AFABDA</x:v>
      </x:c>
      <x:c r="B2772" s="24" t="str">
        <x:v>SIM</x:v>
      </x:c>
      <x:c r="C2772" s="24" t="str">
        <x:v>DISPONÍVEL</x:v>
      </x:c>
      <x:c r="D2772" s="24" t="str">
        <x:v>ZEISS</x:v>
      </x:c>
      <x:c r="E2772" s="24" t="str">
        <x:v>Progressiva</x:v>
      </x:c>
      <x:c r="F2772" s="24" t="str">
        <x:v>Surfaçada</x:v>
      </x:c>
      <x:c r="G2772" s="24" t="str">
        <x:v>Light 2 D</x:v>
      </x:c>
      <x:c r="H2772" s="24" t="str">
        <x:v>PhotoFusion X</x:v>
      </x:c>
      <x:c r="I2772" s="24" t="str">
        <x:v>Poli</x:v>
      </x:c>
      <x:c r="J2772" s="24"/>
      <x:c r="K2772" s="24" t="str">
        <x:v>DuraVision Gold UV</x:v>
      </x:c>
      <x:c r="L2772" s="40" t="n">
        <x:v>4419</x:v>
      </x:c>
      <x:c r="M2772" s="24" t="str">
        <x:v>-10.00 a +6.00</x:v>
      </x:c>
      <x:c r="N2772" s="24" t="str">
        <x:v>-4.00</x:v>
      </x:c>
      <x:c r="O2772" s="24" t="str">
        <x:v>1.00 a 3.00</x:v>
      </x:c>
      <x:c r="P2772" s="24" t="str">
        <x:v>72</x:v>
      </x:c>
      <x:c r="Q2772" s="24"/>
      <x:c r="R2772" s="24"/>
      <x:c r="S2772" s="26" t="n">
        <x:v>46113</x:v>
      </x:c>
      <x:c r="T2772" s="26"/>
      <x:c r="U2772" s="24" t="str">
        <x:v>ATIVA/SEM FIM INFORMADO</x:v>
      </x:c>
      <x:c r="V2772" s="24" t="str">
        <x:v>Programa de Parcerias ZEISS</x:v>
      </x:c>
      <x:c r="W2772" s="24" t="n">
        <x:v>45</x:v>
      </x:c>
      <x:c r="X2772" s="24" t="str">
        <x:v>tabela_zeiss.pdf</x:v>
      </x:c>
      <x:c r="Y2772" s="24" t="str">
        <x:v>alta</x:v>
      </x:c>
      <x:c r="Z2772" s="24"/>
      <x:c r="AA2772" s="24" t="str">
        <x:v>ZEISS|Progressiva|Surfaçada|Light 2 D|PhotoFusion X|Poli||DuraVision Gold UV|-10.00 a +6.00|-4.00|1.00 a 3.00|72|||45</x:v>
      </x:c>
    </x:row>
    <x:row r="2773">
      <x:c r="A2773" s="24" t="str">
        <x:v>ZS-28F6B75E21C4</x:v>
      </x:c>
      <x:c r="B2773" s="24" t="str">
        <x:v>SIM</x:v>
      </x:c>
      <x:c r="C2773" s="24" t="str">
        <x:v>DISPONÍVEL</x:v>
      </x:c>
      <x:c r="D2773" s="24" t="str">
        <x:v>ZEISS</x:v>
      </x:c>
      <x:c r="E2773" s="24" t="str">
        <x:v>Progressiva</x:v>
      </x:c>
      <x:c r="F2773" s="24" t="str">
        <x:v>Surfaçada</x:v>
      </x:c>
      <x:c r="G2773" s="24" t="str">
        <x:v>Light 2 D</x:v>
      </x:c>
      <x:c r="H2773" s="24" t="str">
        <x:v>PhotoFusion X</x:v>
      </x:c>
      <x:c r="I2773" s="24" t="str">
        <x:v>Poli</x:v>
      </x:c>
      <x:c r="J2773" s="24"/>
      <x:c r="K2773" s="24" t="str">
        <x:v>DuraVision Platinum UV</x:v>
      </x:c>
      <x:c r="L2773" s="40" t="n">
        <x:v>4279</x:v>
      </x:c>
      <x:c r="M2773" s="24" t="str">
        <x:v>-10.00 a +6.00</x:v>
      </x:c>
      <x:c r="N2773" s="24" t="str">
        <x:v>-4.00</x:v>
      </x:c>
      <x:c r="O2773" s="24" t="str">
        <x:v>1.00 a 3.00</x:v>
      </x:c>
      <x:c r="P2773" s="24" t="str">
        <x:v>72</x:v>
      </x:c>
      <x:c r="Q2773" s="24"/>
      <x:c r="R2773" s="24"/>
      <x:c r="S2773" s="26" t="n">
        <x:v>46113</x:v>
      </x:c>
      <x:c r="T2773" s="26"/>
      <x:c r="U2773" s="24" t="str">
        <x:v>ATIVA/SEM FIM INFORMADO</x:v>
      </x:c>
      <x:c r="V2773" s="24" t="str">
        <x:v>Programa de Parcerias ZEISS</x:v>
      </x:c>
      <x:c r="W2773" s="24" t="n">
        <x:v>45</x:v>
      </x:c>
      <x:c r="X2773" s="24" t="str">
        <x:v>tabela_zeiss.pdf</x:v>
      </x:c>
      <x:c r="Y2773" s="24" t="str">
        <x:v>alta</x:v>
      </x:c>
      <x:c r="Z2773" s="24"/>
      <x:c r="AA2773" s="24" t="str">
        <x:v>ZEISS|Progressiva|Surfaçada|Light 2 D|PhotoFusion X|Poli||DuraVision Platinum UV|-10.00 a +6.00|-4.00|1.00 a 3.00|72|||45</x:v>
      </x:c>
    </x:row>
    <x:row r="2774">
      <x:c r="A2774" s="24" t="str">
        <x:v>ZS-9EDADE7A3438</x:v>
      </x:c>
      <x:c r="B2774" s="24" t="str">
        <x:v>SIM</x:v>
      </x:c>
      <x:c r="C2774" s="24" t="str">
        <x:v>DISPONÍVEL</x:v>
      </x:c>
      <x:c r="D2774" s="24" t="str">
        <x:v>ZEISS</x:v>
      </x:c>
      <x:c r="E2774" s="24" t="str">
        <x:v>Progressiva</x:v>
      </x:c>
      <x:c r="F2774" s="24" t="str">
        <x:v>Surfaçada</x:v>
      </x:c>
      <x:c r="G2774" s="24" t="str">
        <x:v>Light 2 D</x:v>
      </x:c>
      <x:c r="H2774" s="24" t="str">
        <x:v>PhotoFusion X</x:v>
      </x:c>
      <x:c r="I2774" s="24" t="str">
        <x:v>Poli</x:v>
      </x:c>
      <x:c r="J2774" s="24"/>
      <x:c r="K2774" s="24" t="str">
        <x:v>DuraVision Silver UV</x:v>
      </x:c>
      <x:c r="L2774" s="40" t="n">
        <x:v>4019</x:v>
      </x:c>
      <x:c r="M2774" s="24" t="str">
        <x:v>-10.00 a +6.00</x:v>
      </x:c>
      <x:c r="N2774" s="24" t="str">
        <x:v>-4.00</x:v>
      </x:c>
      <x:c r="O2774" s="24" t="str">
        <x:v>1.00 a 3.00</x:v>
      </x:c>
      <x:c r="P2774" s="24" t="str">
        <x:v>72</x:v>
      </x:c>
      <x:c r="Q2774" s="24"/>
      <x:c r="R2774" s="24"/>
      <x:c r="S2774" s="26" t="n">
        <x:v>46113</x:v>
      </x:c>
      <x:c r="T2774" s="26"/>
      <x:c r="U2774" s="24" t="str">
        <x:v>ATIVA/SEM FIM INFORMADO</x:v>
      </x:c>
      <x:c r="V2774" s="24" t="str">
        <x:v>Programa de Parcerias ZEISS</x:v>
      </x:c>
      <x:c r="W2774" s="24" t="n">
        <x:v>45</x:v>
      </x:c>
      <x:c r="X2774" s="24" t="str">
        <x:v>tabela_zeiss.pdf</x:v>
      </x:c>
      <x:c r="Y2774" s="24" t="str">
        <x:v>alta</x:v>
      </x:c>
      <x:c r="Z2774" s="24"/>
      <x:c r="AA2774" s="24" t="str">
        <x:v>ZEISS|Progressiva|Surfaçada|Light 2 D|PhotoFusion X|Poli||DuraVision Silver UV|-10.00 a +6.00|-4.00|1.00 a 3.00|72|||45</x:v>
      </x:c>
    </x:row>
    <x:row r="2775">
      <x:c r="A2775" s="24" t="str">
        <x:v>ZS-9CAE11F09EAF</x:v>
      </x:c>
      <x:c r="B2775" s="24" t="str">
        <x:v>SIM</x:v>
      </x:c>
      <x:c r="C2775" s="24" t="str">
        <x:v>DISPONÍVEL</x:v>
      </x:c>
      <x:c r="D2775" s="24" t="str">
        <x:v>ZEISS</x:v>
      </x:c>
      <x:c r="E2775" s="24" t="str">
        <x:v>Progressiva</x:v>
      </x:c>
      <x:c r="F2775" s="24" t="str">
        <x:v>Surfaçada</x:v>
      </x:c>
      <x:c r="G2775" s="24" t="str">
        <x:v>Light 2 D</x:v>
      </x:c>
      <x:c r="H2775" s="24" t="str">
        <x:v>PhotoFusion X</x:v>
      </x:c>
      <x:c r="I2775" s="24" t="str">
        <x:v>Poli</x:v>
      </x:c>
      <x:c r="J2775" s="24"/>
      <x:c r="K2775" s="24" t="str">
        <x:v>DuraVision Chrome UV</x:v>
      </x:c>
      <x:c r="L2775" s="40" t="n">
        <x:v>3529</x:v>
      </x:c>
      <x:c r="M2775" s="24" t="str">
        <x:v>-10.00 a +6.00</x:v>
      </x:c>
      <x:c r="N2775" s="24" t="str">
        <x:v>-4.00</x:v>
      </x:c>
      <x:c r="O2775" s="24" t="str">
        <x:v>1.00 a 3.00</x:v>
      </x:c>
      <x:c r="P2775" s="24" t="str">
        <x:v>72</x:v>
      </x:c>
      <x:c r="Q2775" s="24"/>
      <x:c r="R2775" s="24"/>
      <x:c r="S2775" s="26" t="n">
        <x:v>46113</x:v>
      </x:c>
      <x:c r="T2775" s="26"/>
      <x:c r="U2775" s="24" t="str">
        <x:v>ATIVA/SEM FIM INFORMADO</x:v>
      </x:c>
      <x:c r="V2775" s="24" t="str">
        <x:v>Programa de Parcerias ZEISS</x:v>
      </x:c>
      <x:c r="W2775" s="24" t="n">
        <x:v>45</x:v>
      </x:c>
      <x:c r="X2775" s="24" t="str">
        <x:v>tabela_zeiss.pdf</x:v>
      </x:c>
      <x:c r="Y2775" s="24" t="str">
        <x:v>alta</x:v>
      </x:c>
      <x:c r="Z2775" s="24"/>
      <x:c r="AA2775" s="24" t="str">
        <x:v>ZEISS|Progressiva|Surfaçada|Light 2 D|PhotoFusion X|Poli||DuraVision Chrome UV|-10.00 a +6.00|-4.00|1.00 a 3.00|72|||45</x:v>
      </x:c>
    </x:row>
    <x:row r="2776">
      <x:c r="A2776" s="24" t="str">
        <x:v>ZS-B411D8D76BDE</x:v>
      </x:c>
      <x:c r="B2776" s="24" t="str">
        <x:v>SIM</x:v>
      </x:c>
      <x:c r="C2776" s="24" t="str">
        <x:v>DISPONÍVEL</x:v>
      </x:c>
      <x:c r="D2776" s="24" t="str">
        <x:v>ZEISS</x:v>
      </x:c>
      <x:c r="E2776" s="24" t="str">
        <x:v>Progressiva</x:v>
      </x:c>
      <x:c r="F2776" s="24" t="str">
        <x:v>Surfaçada</x:v>
      </x:c>
      <x:c r="G2776" s="24" t="str">
        <x:v>Light 2 D</x:v>
      </x:c>
      <x:c r="H2776" s="24" t="str">
        <x:v>PhotoFusion X</x:v>
      </x:c>
      <x:c r="I2776" s="24" t="str">
        <x:v>Poli</x:v>
      </x:c>
      <x:c r="J2776" s="24"/>
      <x:c r="K2776" s="24" t="str">
        <x:v>Sem AR</x:v>
      </x:c>
      <x:c r="L2776" s="40" t="n">
        <x:v>3129</x:v>
      </x:c>
      <x:c r="M2776" s="24" t="str">
        <x:v>-10.00 a +6.00</x:v>
      </x:c>
      <x:c r="N2776" s="24" t="str">
        <x:v>-4.00</x:v>
      </x:c>
      <x:c r="O2776" s="24" t="str">
        <x:v>1.00 a 3.00</x:v>
      </x:c>
      <x:c r="P2776" s="24" t="str">
        <x:v>72</x:v>
      </x:c>
      <x:c r="Q2776" s="24"/>
      <x:c r="R2776" s="24"/>
      <x:c r="S2776" s="26" t="n">
        <x:v>46113</x:v>
      </x:c>
      <x:c r="T2776" s="26"/>
      <x:c r="U2776" s="24" t="str">
        <x:v>ATIVA/SEM FIM INFORMADO</x:v>
      </x:c>
      <x:c r="V2776" s="24" t="str">
        <x:v>Programa de Parcerias ZEISS</x:v>
      </x:c>
      <x:c r="W2776" s="24" t="n">
        <x:v>45</x:v>
      </x:c>
      <x:c r="X2776" s="24" t="str">
        <x:v>tabela_zeiss.pdf</x:v>
      </x:c>
      <x:c r="Y2776" s="24" t="str">
        <x:v>alta</x:v>
      </x:c>
      <x:c r="Z2776" s="24"/>
      <x:c r="AA2776" s="24" t="str">
        <x:v>ZEISS|Progressiva|Surfaçada|Light 2 D|PhotoFusion X|Poli||Sem AR|-10.00 a +6.00|-4.00|1.00 a 3.00|72|||45</x:v>
      </x:c>
    </x:row>
    <x:row r="2777">
      <x:c r="A2777" s="24" t="str">
        <x:v>ZS-56496DD113C1</x:v>
      </x:c>
      <x:c r="B2777" s="24" t="str">
        <x:v>SIM</x:v>
      </x:c>
      <x:c r="C2777" s="24" t="str">
        <x:v>DISPONÍVEL</x:v>
      </x:c>
      <x:c r="D2777" s="24" t="str">
        <x:v>ZEISS</x:v>
      </x:c>
      <x:c r="E2777" s="24" t="str">
        <x:v>Progressiva</x:v>
      </x:c>
      <x:c r="F2777" s="24" t="str">
        <x:v>Surfaçada</x:v>
      </x:c>
      <x:c r="G2777" s="24" t="str">
        <x:v>Light 2 D</x:v>
      </x:c>
      <x:c r="H2777" s="24" t="str">
        <x:v>PhotoFusion X</x:v>
      </x:c>
      <x:c r="I2777" s="24" t="str">
        <x:v>1.6</x:v>
      </x:c>
      <x:c r="J2777" s="24" t="str">
        <x:v>1.60</x:v>
      </x:c>
      <x:c r="K2777" s="24" t="str">
        <x:v>DuraVision Gold UV</x:v>
      </x:c>
      <x:c r="L2777" s="40" t="n">
        <x:v>4639</x:v>
      </x:c>
      <x:c r="M2777" s="24" t="str">
        <x:v>-9.00 a +6.00</x:v>
      </x:c>
      <x:c r="N2777" s="24" t="str">
        <x:v>-4.00</x:v>
      </x:c>
      <x:c r="O2777" s="24" t="str">
        <x:v>1.00 a 3.50</x:v>
      </x:c>
      <x:c r="P2777" s="24" t="str">
        <x:v>75</x:v>
      </x:c>
      <x:c r="Q2777" s="24"/>
      <x:c r="R2777" s="24"/>
      <x:c r="S2777" s="26" t="n">
        <x:v>46113</x:v>
      </x:c>
      <x:c r="T2777" s="26"/>
      <x:c r="U2777" s="24" t="str">
        <x:v>ATIVA/SEM FIM INFORMADO</x:v>
      </x:c>
      <x:c r="V2777" s="24" t="str">
        <x:v>Programa de Parcerias ZEISS</x:v>
      </x:c>
      <x:c r="W2777" s="24" t="n">
        <x:v>45</x:v>
      </x:c>
      <x:c r="X2777" s="24" t="str">
        <x:v>tabela_zeiss.pdf</x:v>
      </x:c>
      <x:c r="Y2777" s="24" t="str">
        <x:v>alta</x:v>
      </x:c>
      <x:c r="Z2777" s="24"/>
      <x:c r="AA2777" s="24" t="str">
        <x:v>ZEISS|Progressiva|Surfaçada|Light 2 D|PhotoFusion X|1.6|1.60|DuraVision Gold UV|-9.00 a +6.00|-4.00|1.00 a 3.50|75|||45</x:v>
      </x:c>
    </x:row>
    <x:row r="2778">
      <x:c r="A2778" s="24" t="str">
        <x:v>ZS-E70AA6E4478C</x:v>
      </x:c>
      <x:c r="B2778" s="24" t="str">
        <x:v>SIM</x:v>
      </x:c>
      <x:c r="C2778" s="24" t="str">
        <x:v>DISPONÍVEL</x:v>
      </x:c>
      <x:c r="D2778" s="24" t="str">
        <x:v>ZEISS</x:v>
      </x:c>
      <x:c r="E2778" s="24" t="str">
        <x:v>Progressiva</x:v>
      </x:c>
      <x:c r="F2778" s="24" t="str">
        <x:v>Surfaçada</x:v>
      </x:c>
      <x:c r="G2778" s="24" t="str">
        <x:v>Light 2 D</x:v>
      </x:c>
      <x:c r="H2778" s="24" t="str">
        <x:v>PhotoFusion X</x:v>
      </x:c>
      <x:c r="I2778" s="24" t="str">
        <x:v>1.6</x:v>
      </x:c>
      <x:c r="J2778" s="24" t="str">
        <x:v>1.60</x:v>
      </x:c>
      <x:c r="K2778" s="24" t="str">
        <x:v>DURAVISION® ANTIVÍRUS PLATINUM UV</x:v>
      </x:c>
      <x:c r="L2778" s="40" t="n">
        <x:v>4499</x:v>
      </x:c>
      <x:c r="M2778" s="24" t="str">
        <x:v>-9.00 a +6.00</x:v>
      </x:c>
      <x:c r="N2778" s="24" t="str">
        <x:v>-4.00</x:v>
      </x:c>
      <x:c r="O2778" s="24" t="str">
        <x:v>1.00 a 3.50</x:v>
      </x:c>
      <x:c r="P2778" s="24" t="str">
        <x:v>75</x:v>
      </x:c>
      <x:c r="Q2778" s="24"/>
      <x:c r="R2778" s="24"/>
      <x:c r="S2778" s="26" t="n">
        <x:v>46113</x:v>
      </x:c>
      <x:c r="T2778" s="26"/>
      <x:c r="U2778" s="24" t="str">
        <x:v>ATIVA/SEM FIM INFORMADO</x:v>
      </x:c>
      <x:c r="V2778" s="24" t="str">
        <x:v>Programa de Parcerias ZEISS</x:v>
      </x:c>
      <x:c r="W2778" s="24" t="n">
        <x:v>45</x:v>
      </x:c>
      <x:c r="X2778" s="24" t="str">
        <x:v>tabela_zeiss.pdf</x:v>
      </x:c>
      <x:c r="Y2778" s="24" t="str">
        <x:v>alta</x:v>
      </x:c>
      <x:c r="Z2778" s="24"/>
      <x:c r="AA2778" s="24" t="str">
        <x:v>ZEISS|Progressiva|Surfaçada|Light 2 D|PhotoFusion X|1.6|1.60|DURAVISION® ANTIVÍRUS PLATINUM UV|-9.00 a +6.00|-4.00|1.00 a 3.50|75|||45</x:v>
      </x:c>
    </x:row>
    <x:row r="2779">
      <x:c r="A2779" s="24" t="str">
        <x:v>ZS-C12A36E5373B</x:v>
      </x:c>
      <x:c r="B2779" s="24" t="str">
        <x:v>SIM</x:v>
      </x:c>
      <x:c r="C2779" s="24" t="str">
        <x:v>DISPONÍVEL</x:v>
      </x:c>
      <x:c r="D2779" s="24" t="str">
        <x:v>ZEISS</x:v>
      </x:c>
      <x:c r="E2779" s="24" t="str">
        <x:v>Progressiva</x:v>
      </x:c>
      <x:c r="F2779" s="24" t="str">
        <x:v>Surfaçada</x:v>
      </x:c>
      <x:c r="G2779" s="24" t="str">
        <x:v>Light 2 D</x:v>
      </x:c>
      <x:c r="H2779" s="24" t="str">
        <x:v>PhotoFusion X</x:v>
      </x:c>
      <x:c r="I2779" s="24" t="str">
        <x:v>1.6</x:v>
      </x:c>
      <x:c r="J2779" s="24" t="str">
        <x:v>1.60</x:v>
      </x:c>
      <x:c r="K2779" s="24" t="str">
        <x:v>DuraVision Platinum UV</x:v>
      </x:c>
      <x:c r="L2779" s="40" t="n">
        <x:v>4499</x:v>
      </x:c>
      <x:c r="M2779" s="24" t="str">
        <x:v>-9.00 a +6.00</x:v>
      </x:c>
      <x:c r="N2779" s="24" t="str">
        <x:v>-4.00</x:v>
      </x:c>
      <x:c r="O2779" s="24" t="str">
        <x:v>1.00 a 3.50</x:v>
      </x:c>
      <x:c r="P2779" s="24" t="str">
        <x:v>75</x:v>
      </x:c>
      <x:c r="Q2779" s="24"/>
      <x:c r="R2779" s="24"/>
      <x:c r="S2779" s="26" t="n">
        <x:v>46113</x:v>
      </x:c>
      <x:c r="T2779" s="26"/>
      <x:c r="U2779" s="24" t="str">
        <x:v>ATIVA/SEM FIM INFORMADO</x:v>
      </x:c>
      <x:c r="V2779" s="24" t="str">
        <x:v>Programa de Parcerias ZEISS</x:v>
      </x:c>
      <x:c r="W2779" s="24" t="n">
        <x:v>45</x:v>
      </x:c>
      <x:c r="X2779" s="24" t="str">
        <x:v>tabela_zeiss.pdf</x:v>
      </x:c>
      <x:c r="Y2779" s="24" t="str">
        <x:v>alta</x:v>
      </x:c>
      <x:c r="Z2779" s="24"/>
      <x:c r="AA2779" s="24" t="str">
        <x:v>ZEISS|Progressiva|Surfaçada|Light 2 D|PhotoFusion X|1.6|1.60|DuraVision Platinum UV|-9.00 a +6.00|-4.00|1.00 a 3.50|75|||45</x:v>
      </x:c>
    </x:row>
    <x:row r="2780">
      <x:c r="A2780" s="24" t="str">
        <x:v>ZS-A2ED1A1BE8E2</x:v>
      </x:c>
      <x:c r="B2780" s="24" t="str">
        <x:v>SIM</x:v>
      </x:c>
      <x:c r="C2780" s="24" t="str">
        <x:v>DISPONÍVEL</x:v>
      </x:c>
      <x:c r="D2780" s="24" t="str">
        <x:v>ZEISS</x:v>
      </x:c>
      <x:c r="E2780" s="24" t="str">
        <x:v>Progressiva</x:v>
      </x:c>
      <x:c r="F2780" s="24" t="str">
        <x:v>Surfaçada</x:v>
      </x:c>
      <x:c r="G2780" s="24" t="str">
        <x:v>Light 2 D</x:v>
      </x:c>
      <x:c r="H2780" s="24" t="str">
        <x:v>PhotoFusion X</x:v>
      </x:c>
      <x:c r="I2780" s="24" t="str">
        <x:v>1.6</x:v>
      </x:c>
      <x:c r="J2780" s="24" t="str">
        <x:v>1.60</x:v>
      </x:c>
      <x:c r="K2780" s="24" t="str">
        <x:v>DuraVision Silver UV</x:v>
      </x:c>
      <x:c r="L2780" s="40" t="n">
        <x:v>4239</x:v>
      </x:c>
      <x:c r="M2780" s="24" t="str">
        <x:v>-9.00 a +6.00</x:v>
      </x:c>
      <x:c r="N2780" s="24" t="str">
        <x:v>-4.00</x:v>
      </x:c>
      <x:c r="O2780" s="24" t="str">
        <x:v>1.00 a 3.50</x:v>
      </x:c>
      <x:c r="P2780" s="24" t="str">
        <x:v>75</x:v>
      </x:c>
      <x:c r="Q2780" s="24"/>
      <x:c r="R2780" s="24"/>
      <x:c r="S2780" s="26" t="n">
        <x:v>46113</x:v>
      </x:c>
      <x:c r="T2780" s="26"/>
      <x:c r="U2780" s="24" t="str">
        <x:v>ATIVA/SEM FIM INFORMADO</x:v>
      </x:c>
      <x:c r="V2780" s="24" t="str">
        <x:v>Programa de Parcerias ZEISS</x:v>
      </x:c>
      <x:c r="W2780" s="24" t="n">
        <x:v>45</x:v>
      </x:c>
      <x:c r="X2780" s="24" t="str">
        <x:v>tabela_zeiss.pdf</x:v>
      </x:c>
      <x:c r="Y2780" s="24" t="str">
        <x:v>alta</x:v>
      </x:c>
      <x:c r="Z2780" s="24"/>
      <x:c r="AA2780" s="24" t="str">
        <x:v>ZEISS|Progressiva|Surfaçada|Light 2 D|PhotoFusion X|1.6|1.60|DuraVision Silver UV|-9.00 a +6.00|-4.00|1.00 a 3.50|75|||45</x:v>
      </x:c>
    </x:row>
    <x:row r="2781">
      <x:c r="A2781" s="24" t="str">
        <x:v>ZS-4B65CEBD126B</x:v>
      </x:c>
      <x:c r="B2781" s="24" t="str">
        <x:v>SIM</x:v>
      </x:c>
      <x:c r="C2781" s="24" t="str">
        <x:v>DISPONÍVEL</x:v>
      </x:c>
      <x:c r="D2781" s="24" t="str">
        <x:v>ZEISS</x:v>
      </x:c>
      <x:c r="E2781" s="24" t="str">
        <x:v>Progressiva</x:v>
      </x:c>
      <x:c r="F2781" s="24" t="str">
        <x:v>Surfaçada</x:v>
      </x:c>
      <x:c r="G2781" s="24" t="str">
        <x:v>Light 2 D</x:v>
      </x:c>
      <x:c r="H2781" s="24" t="str">
        <x:v>PhotoFusion X</x:v>
      </x:c>
      <x:c r="I2781" s="24" t="str">
        <x:v>1.6</x:v>
      </x:c>
      <x:c r="J2781" s="24" t="str">
        <x:v>1.60</x:v>
      </x:c>
      <x:c r="K2781" s="24" t="str">
        <x:v>DuraVision Chrome UV</x:v>
      </x:c>
      <x:c r="L2781" s="40" t="n">
        <x:v>3749</x:v>
      </x:c>
      <x:c r="M2781" s="24" t="str">
        <x:v>-9.00 a +6.00</x:v>
      </x:c>
      <x:c r="N2781" s="24" t="str">
        <x:v>-4.00</x:v>
      </x:c>
      <x:c r="O2781" s="24" t="str">
        <x:v>1.00 a 3.50</x:v>
      </x:c>
      <x:c r="P2781" s="24" t="str">
        <x:v>75</x:v>
      </x:c>
      <x:c r="Q2781" s="24"/>
      <x:c r="R2781" s="24"/>
      <x:c r="S2781" s="26" t="n">
        <x:v>46113</x:v>
      </x:c>
      <x:c r="T2781" s="26"/>
      <x:c r="U2781" s="24" t="str">
        <x:v>ATIVA/SEM FIM INFORMADO</x:v>
      </x:c>
      <x:c r="V2781" s="24" t="str">
        <x:v>Programa de Parcerias ZEISS</x:v>
      </x:c>
      <x:c r="W2781" s="24" t="n">
        <x:v>45</x:v>
      </x:c>
      <x:c r="X2781" s="24" t="str">
        <x:v>tabela_zeiss.pdf</x:v>
      </x:c>
      <x:c r="Y2781" s="24" t="str">
        <x:v>alta</x:v>
      </x:c>
      <x:c r="Z2781" s="24"/>
      <x:c r="AA2781" s="24" t="str">
        <x:v>ZEISS|Progressiva|Surfaçada|Light 2 D|PhotoFusion X|1.6|1.60|DuraVision Chrome UV|-9.00 a +6.00|-4.00|1.00 a 3.50|75|||45</x:v>
      </x:c>
    </x:row>
    <x:row r="2782">
      <x:c r="A2782" s="24" t="str">
        <x:v>ZS-36D5182CEE06</x:v>
      </x:c>
      <x:c r="B2782" s="24" t="str">
        <x:v>SIM</x:v>
      </x:c>
      <x:c r="C2782" s="24" t="str">
        <x:v>DISPONÍVEL</x:v>
      </x:c>
      <x:c r="D2782" s="24" t="str">
        <x:v>ZEISS</x:v>
      </x:c>
      <x:c r="E2782" s="24" t="str">
        <x:v>Progressiva</x:v>
      </x:c>
      <x:c r="F2782" s="24" t="str">
        <x:v>Surfaçada</x:v>
      </x:c>
      <x:c r="G2782" s="24" t="str">
        <x:v>Light 2 D</x:v>
      </x:c>
      <x:c r="H2782" s="24" t="str">
        <x:v>PhotoFusion X</x:v>
      </x:c>
      <x:c r="I2782" s="24" t="str">
        <x:v>1.67</x:v>
      </x:c>
      <x:c r="J2782" s="24" t="str">
        <x:v>1.67</x:v>
      </x:c>
      <x:c r="K2782" s="24" t="str">
        <x:v>DuraVision Gold UV</x:v>
      </x:c>
      <x:c r="L2782" s="40" t="n">
        <x:v>5939</x:v>
      </x:c>
      <x:c r="M2782" s="24" t="str">
        <x:v>-10.00 a +6.00</x:v>
      </x:c>
      <x:c r="N2782" s="24" t="str">
        <x:v>-4.00</x:v>
      </x:c>
      <x:c r="O2782" s="24" t="str">
        <x:v>1.00 a 3.00</x:v>
      </x:c>
      <x:c r="P2782" s="24" t="str">
        <x:v>75</x:v>
      </x:c>
      <x:c r="Q2782" s="24"/>
      <x:c r="R2782" s="24"/>
      <x:c r="S2782" s="26" t="n">
        <x:v>46113</x:v>
      </x:c>
      <x:c r="T2782" s="26"/>
      <x:c r="U2782" s="24" t="str">
        <x:v>ATIVA/SEM FIM INFORMADO</x:v>
      </x:c>
      <x:c r="V2782" s="24" t="str">
        <x:v>Programa de Parcerias ZEISS</x:v>
      </x:c>
      <x:c r="W2782" s="24" t="n">
        <x:v>45</x:v>
      </x:c>
      <x:c r="X2782" s="24" t="str">
        <x:v>tabela_zeiss.pdf</x:v>
      </x:c>
      <x:c r="Y2782" s="24" t="str">
        <x:v>alta</x:v>
      </x:c>
      <x:c r="Z2782" s="24"/>
      <x:c r="AA2782" s="24" t="str">
        <x:v>ZEISS|Progressiva|Surfaçada|Light 2 D|PhotoFusion X|1.67|1.67|DuraVision Gold UV|-10.00 a +6.00|-4.00|1.00 a 3.00|75|||45</x:v>
      </x:c>
    </x:row>
    <x:row r="2783">
      <x:c r="A2783" s="24" t="str">
        <x:v>ZS-9972B3D0F4D5</x:v>
      </x:c>
      <x:c r="B2783" s="24" t="str">
        <x:v>SIM</x:v>
      </x:c>
      <x:c r="C2783" s="24" t="str">
        <x:v>DISPONÍVEL</x:v>
      </x:c>
      <x:c r="D2783" s="24" t="str">
        <x:v>ZEISS</x:v>
      </x:c>
      <x:c r="E2783" s="24" t="str">
        <x:v>Progressiva</x:v>
      </x:c>
      <x:c r="F2783" s="24" t="str">
        <x:v>Surfaçada</x:v>
      </x:c>
      <x:c r="G2783" s="24" t="str">
        <x:v>Light 2 D</x:v>
      </x:c>
      <x:c r="H2783" s="24" t="str">
        <x:v>PhotoFusion X</x:v>
      </x:c>
      <x:c r="I2783" s="24" t="str">
        <x:v>1.67</x:v>
      </x:c>
      <x:c r="J2783" s="24" t="str">
        <x:v>1.67</x:v>
      </x:c>
      <x:c r="K2783" s="24" t="str">
        <x:v>DURAVISION® ANTIVÍRUS PLATINUM UV</x:v>
      </x:c>
      <x:c r="L2783" s="40" t="n">
        <x:v>5799</x:v>
      </x:c>
      <x:c r="M2783" s="24" t="str">
        <x:v>-10.00 a +6.00</x:v>
      </x:c>
      <x:c r="N2783" s="24" t="str">
        <x:v>-4.00</x:v>
      </x:c>
      <x:c r="O2783" s="24" t="str">
        <x:v>1.00 a 3.00</x:v>
      </x:c>
      <x:c r="P2783" s="24" t="str">
        <x:v>75</x:v>
      </x:c>
      <x:c r="Q2783" s="24"/>
      <x:c r="R2783" s="24"/>
      <x:c r="S2783" s="26" t="n">
        <x:v>46113</x:v>
      </x:c>
      <x:c r="T2783" s="26"/>
      <x:c r="U2783" s="24" t="str">
        <x:v>ATIVA/SEM FIM INFORMADO</x:v>
      </x:c>
      <x:c r="V2783" s="24" t="str">
        <x:v>Programa de Parcerias ZEISS</x:v>
      </x:c>
      <x:c r="W2783" s="24" t="n">
        <x:v>45</x:v>
      </x:c>
      <x:c r="X2783" s="24" t="str">
        <x:v>tabela_zeiss.pdf</x:v>
      </x:c>
      <x:c r="Y2783" s="24" t="str">
        <x:v>alta</x:v>
      </x:c>
      <x:c r="Z2783" s="24"/>
      <x:c r="AA2783" s="24" t="str">
        <x:v>ZEISS|Progressiva|Surfaçada|Light 2 D|PhotoFusion X|1.67|1.67|DURAVISION® ANTIVÍRUS PLATINUM UV|-10.00 a +6.00|-4.00|1.00 a 3.00|75|||45</x:v>
      </x:c>
    </x:row>
    <x:row r="2784">
      <x:c r="A2784" s="24" t="str">
        <x:v>ZS-03ACE45FA2CF</x:v>
      </x:c>
      <x:c r="B2784" s="24" t="str">
        <x:v>SIM</x:v>
      </x:c>
      <x:c r="C2784" s="24" t="str">
        <x:v>DISPONÍVEL</x:v>
      </x:c>
      <x:c r="D2784" s="24" t="str">
        <x:v>ZEISS</x:v>
      </x:c>
      <x:c r="E2784" s="24" t="str">
        <x:v>Progressiva</x:v>
      </x:c>
      <x:c r="F2784" s="24" t="str">
        <x:v>Surfaçada</x:v>
      </x:c>
      <x:c r="G2784" s="24" t="str">
        <x:v>Light 2 D</x:v>
      </x:c>
      <x:c r="H2784" s="24" t="str">
        <x:v>PhotoFusion X</x:v>
      </x:c>
      <x:c r="I2784" s="24" t="str">
        <x:v>1.67</x:v>
      </x:c>
      <x:c r="J2784" s="24" t="str">
        <x:v>1.67</x:v>
      </x:c>
      <x:c r="K2784" s="24" t="str">
        <x:v>DuraVision Platinum UV</x:v>
      </x:c>
      <x:c r="L2784" s="40" t="n">
        <x:v>5799</x:v>
      </x:c>
      <x:c r="M2784" s="24" t="str">
        <x:v>-10.00 a +6.00</x:v>
      </x:c>
      <x:c r="N2784" s="24" t="str">
        <x:v>-4.00</x:v>
      </x:c>
      <x:c r="O2784" s="24" t="str">
        <x:v>1.00 a 3.00</x:v>
      </x:c>
      <x:c r="P2784" s="24" t="str">
        <x:v>75</x:v>
      </x:c>
      <x:c r="Q2784" s="24"/>
      <x:c r="R2784" s="24"/>
      <x:c r="S2784" s="26" t="n">
        <x:v>46113</x:v>
      </x:c>
      <x:c r="T2784" s="26"/>
      <x:c r="U2784" s="24" t="str">
        <x:v>ATIVA/SEM FIM INFORMADO</x:v>
      </x:c>
      <x:c r="V2784" s="24" t="str">
        <x:v>Programa de Parcerias ZEISS</x:v>
      </x:c>
      <x:c r="W2784" s="24" t="n">
        <x:v>45</x:v>
      </x:c>
      <x:c r="X2784" s="24" t="str">
        <x:v>tabela_zeiss.pdf</x:v>
      </x:c>
      <x:c r="Y2784" s="24" t="str">
        <x:v>alta</x:v>
      </x:c>
      <x:c r="Z2784" s="24"/>
      <x:c r="AA2784" s="24" t="str">
        <x:v>ZEISS|Progressiva|Surfaçada|Light 2 D|PhotoFusion X|1.67|1.67|DuraVision Platinum UV|-10.00 a +6.00|-4.00|1.00 a 3.00|75|||45</x:v>
      </x:c>
    </x:row>
    <x:row r="2785">
      <x:c r="A2785" s="24" t="str">
        <x:v>ZS-481C49C33850</x:v>
      </x:c>
      <x:c r="B2785" s="24" t="str">
        <x:v>SIM</x:v>
      </x:c>
      <x:c r="C2785" s="24" t="str">
        <x:v>DISPONÍVEL</x:v>
      </x:c>
      <x:c r="D2785" s="24" t="str">
        <x:v>ZEISS</x:v>
      </x:c>
      <x:c r="E2785" s="24" t="str">
        <x:v>Progressiva</x:v>
      </x:c>
      <x:c r="F2785" s="24" t="str">
        <x:v>Surfaçada</x:v>
      </x:c>
      <x:c r="G2785" s="24" t="str">
        <x:v>Light 2 D</x:v>
      </x:c>
      <x:c r="H2785" s="24" t="str">
        <x:v>PhotoFusion X</x:v>
      </x:c>
      <x:c r="I2785" s="24" t="str">
        <x:v>1.67</x:v>
      </x:c>
      <x:c r="J2785" s="24" t="str">
        <x:v>1.67</x:v>
      </x:c>
      <x:c r="K2785" s="24" t="str">
        <x:v>DuraVision Silver UV</x:v>
      </x:c>
      <x:c r="L2785" s="40" t="n">
        <x:v>5539</x:v>
      </x:c>
      <x:c r="M2785" s="24" t="str">
        <x:v>-10.00 a +6.00</x:v>
      </x:c>
      <x:c r="N2785" s="24" t="str">
        <x:v>-4.00</x:v>
      </x:c>
      <x:c r="O2785" s="24" t="str">
        <x:v>1.00 a 3.00</x:v>
      </x:c>
      <x:c r="P2785" s="24" t="str">
        <x:v>75</x:v>
      </x:c>
      <x:c r="Q2785" s="24"/>
      <x:c r="R2785" s="24"/>
      <x:c r="S2785" s="26" t="n">
        <x:v>46113</x:v>
      </x:c>
      <x:c r="T2785" s="26"/>
      <x:c r="U2785" s="24" t="str">
        <x:v>ATIVA/SEM FIM INFORMADO</x:v>
      </x:c>
      <x:c r="V2785" s="24" t="str">
        <x:v>Programa de Parcerias ZEISS</x:v>
      </x:c>
      <x:c r="W2785" s="24" t="n">
        <x:v>45</x:v>
      </x:c>
      <x:c r="X2785" s="24" t="str">
        <x:v>tabela_zeiss.pdf</x:v>
      </x:c>
      <x:c r="Y2785" s="24" t="str">
        <x:v>alta</x:v>
      </x:c>
      <x:c r="Z2785" s="24"/>
      <x:c r="AA2785" s="24" t="str">
        <x:v>ZEISS|Progressiva|Surfaçada|Light 2 D|PhotoFusion X|1.67|1.67|DuraVision Silver UV|-10.00 a +6.00|-4.00|1.00 a 3.00|75|||45</x:v>
      </x:c>
    </x:row>
    <x:row r="2786">
      <x:c r="A2786" s="24" t="str">
        <x:v>ZS-C9B984C7C546</x:v>
      </x:c>
      <x:c r="B2786" s="24" t="str">
        <x:v>SIM</x:v>
      </x:c>
      <x:c r="C2786" s="24" t="str">
        <x:v>DISPONÍVEL</x:v>
      </x:c>
      <x:c r="D2786" s="24" t="str">
        <x:v>ZEISS</x:v>
      </x:c>
      <x:c r="E2786" s="24" t="str">
        <x:v>Progressiva</x:v>
      </x:c>
      <x:c r="F2786" s="24" t="str">
        <x:v>Surfaçada</x:v>
      </x:c>
      <x:c r="G2786" s="24" t="str">
        <x:v>Light 2 D</x:v>
      </x:c>
      <x:c r="H2786" s="24" t="str">
        <x:v>PhotoFusion X</x:v>
      </x:c>
      <x:c r="I2786" s="24" t="str">
        <x:v>1.67</x:v>
      </x:c>
      <x:c r="J2786" s="24" t="str">
        <x:v>1.67</x:v>
      </x:c>
      <x:c r="K2786" s="24" t="str">
        <x:v>DuraVision Chrome UV</x:v>
      </x:c>
      <x:c r="L2786" s="40" t="n">
        <x:v>5049</x:v>
      </x:c>
      <x:c r="M2786" s="24" t="str">
        <x:v>-10.00 a +6.00</x:v>
      </x:c>
      <x:c r="N2786" s="24" t="str">
        <x:v>-4.00</x:v>
      </x:c>
      <x:c r="O2786" s="24" t="str">
        <x:v>1.00 a 3.00</x:v>
      </x:c>
      <x:c r="P2786" s="24" t="str">
        <x:v>75</x:v>
      </x:c>
      <x:c r="Q2786" s="24"/>
      <x:c r="R2786" s="24"/>
      <x:c r="S2786" s="26" t="n">
        <x:v>46113</x:v>
      </x:c>
      <x:c r="T2786" s="26"/>
      <x:c r="U2786" s="24" t="str">
        <x:v>ATIVA/SEM FIM INFORMADO</x:v>
      </x:c>
      <x:c r="V2786" s="24" t="str">
        <x:v>Programa de Parcerias ZEISS</x:v>
      </x:c>
      <x:c r="W2786" s="24" t="n">
        <x:v>45</x:v>
      </x:c>
      <x:c r="X2786" s="24" t="str">
        <x:v>tabela_zeiss.pdf</x:v>
      </x:c>
      <x:c r="Y2786" s="24" t="str">
        <x:v>alta</x:v>
      </x:c>
      <x:c r="Z2786" s="24"/>
      <x:c r="AA2786" s="24" t="str">
        <x:v>ZEISS|Progressiva|Surfaçada|Light 2 D|PhotoFusion X|1.67|1.67|DuraVision Chrome UV|-10.00 a +6.00|-4.00|1.00 a 3.00|75|||45</x:v>
      </x:c>
    </x:row>
    <x:row r="2787">
      <x:c r="A2787" s="24" t="str">
        <x:v>ZS-5513D25E4622</x:v>
      </x:c>
      <x:c r="B2787" s="24" t="str">
        <x:v>SIM</x:v>
      </x:c>
      <x:c r="C2787" s="24" t="str">
        <x:v>DISPONÍVEL</x:v>
      </x:c>
      <x:c r="D2787" s="24" t="str">
        <x:v>ZEISS</x:v>
      </x:c>
      <x:c r="E2787" s="24" t="str">
        <x:v>Progressiva</x:v>
      </x:c>
      <x:c r="F2787" s="24" t="str">
        <x:v>Surfaçada</x:v>
      </x:c>
      <x:c r="G2787" s="24" t="str">
        <x:v>Light 2 D</x:v>
      </x:c>
      <x:c r="H2787" s="24" t="str">
        <x:v>PhotoFusion X Extra Dark Cinza</x:v>
      </x:c>
      <x:c r="I2787" s="24" t="str">
        <x:v>1.5</x:v>
      </x:c>
      <x:c r="J2787" s="24" t="str">
        <x:v>1.50</x:v>
      </x:c>
      <x:c r="K2787" s="24" t="str">
        <x:v>DuraVision Gold UV</x:v>
      </x:c>
      <x:c r="L2787" s="40" t="n">
        <x:v>4109</x:v>
      </x:c>
      <x:c r="M2787" s="24" t="str">
        <x:v>-9.00 a +6.00</x:v>
      </x:c>
      <x:c r="N2787" s="24" t="str">
        <x:v>-4.00</x:v>
      </x:c>
      <x:c r="O2787" s="24" t="str">
        <x:v>1.00 a 3.50</x:v>
      </x:c>
      <x:c r="P2787" s="24" t="str">
        <x:v>75</x:v>
      </x:c>
      <x:c r="Q2787" s="24"/>
      <x:c r="R2787" s="24"/>
      <x:c r="S2787" s="26" t="n">
        <x:v>46113</x:v>
      </x:c>
      <x:c r="T2787" s="26"/>
      <x:c r="U2787" s="24" t="str">
        <x:v>ATIVA/SEM FIM INFORMADO</x:v>
      </x:c>
      <x:c r="V2787" s="24" t="str">
        <x:v>Programa de Parcerias ZEISS</x:v>
      </x:c>
      <x:c r="W2787" s="24" t="n">
        <x:v>45</x:v>
      </x:c>
      <x:c r="X2787" s="24" t="str">
        <x:v>tabela_zeiss.pdf</x:v>
      </x:c>
      <x:c r="Y2787" s="24" t="str">
        <x:v>alta</x:v>
      </x:c>
      <x:c r="Z2787" s="24"/>
      <x:c r="AA2787" s="24" t="str">
        <x:v>ZEISS|Progressiva|Surfaçada|Light 2 D|PhotoFusion X Extra Dark Cinza|1.5|1.50|DuraVision Gold UV|-9.00 a +6.00|-4.00|1.00 a 3.50|75|||45</x:v>
      </x:c>
    </x:row>
    <x:row r="2788">
      <x:c r="A2788" s="24" t="str">
        <x:v>ZS-D909B53B04F1</x:v>
      </x:c>
      <x:c r="B2788" s="24" t="str">
        <x:v>SIM</x:v>
      </x:c>
      <x:c r="C2788" s="24" t="str">
        <x:v>DISPONÍVEL</x:v>
      </x:c>
      <x:c r="D2788" s="24" t="str">
        <x:v>ZEISS</x:v>
      </x:c>
      <x:c r="E2788" s="24" t="str">
        <x:v>Progressiva</x:v>
      </x:c>
      <x:c r="F2788" s="24" t="str">
        <x:v>Surfaçada</x:v>
      </x:c>
      <x:c r="G2788" s="24" t="str">
        <x:v>Light 2 D</x:v>
      </x:c>
      <x:c r="H2788" s="24" t="str">
        <x:v>PhotoFusion X Extra Dark Cinza</x:v>
      </x:c>
      <x:c r="I2788" s="24" t="str">
        <x:v>1.5</x:v>
      </x:c>
      <x:c r="J2788" s="24" t="str">
        <x:v>1.50</x:v>
      </x:c>
      <x:c r="K2788" s="24" t="str">
        <x:v>DURAVISION® ANTIVÍRUS PLATINUM UV</x:v>
      </x:c>
      <x:c r="L2788" s="40" t="n">
        <x:v>3699</x:v>
      </x:c>
      <x:c r="M2788" s="24" t="str">
        <x:v>-9.00 a +6.00</x:v>
      </x:c>
      <x:c r="N2788" s="24" t="str">
        <x:v>-4.00</x:v>
      </x:c>
      <x:c r="O2788" s="24" t="str">
        <x:v>1.00 a 3.50</x:v>
      </x:c>
      <x:c r="P2788" s="24" t="str">
        <x:v>75</x:v>
      </x:c>
      <x:c r="Q2788" s="24"/>
      <x:c r="R2788" s="24"/>
      <x:c r="S2788" s="26" t="n">
        <x:v>46113</x:v>
      </x:c>
      <x:c r="T2788" s="26"/>
      <x:c r="U2788" s="24" t="str">
        <x:v>ATIVA/SEM FIM INFORMADO</x:v>
      </x:c>
      <x:c r="V2788" s="24" t="str">
        <x:v>Programa de Parcerias ZEISS</x:v>
      </x:c>
      <x:c r="W2788" s="24" t="n">
        <x:v>45</x:v>
      </x:c>
      <x:c r="X2788" s="24" t="str">
        <x:v>tabela_zeiss.pdf</x:v>
      </x:c>
      <x:c r="Y2788" s="24" t="str">
        <x:v>alta</x:v>
      </x:c>
      <x:c r="Z2788" s="24"/>
      <x:c r="AA2788" s="24" t="str">
        <x:v>ZEISS|Progressiva|Surfaçada|Light 2 D|PhotoFusion X Extra Dark Cinza|1.5|1.50|DURAVISION® ANTIVÍRUS PLATINUM UV|-9.00 a +6.00|-4.00|1.00 a 3.50|75|||45</x:v>
      </x:c>
    </x:row>
    <x:row r="2789">
      <x:c r="A2789" s="24" t="str">
        <x:v>ZS-A6E77F858472</x:v>
      </x:c>
      <x:c r="B2789" s="24" t="str">
        <x:v>SIM</x:v>
      </x:c>
      <x:c r="C2789" s="24" t="str">
        <x:v>DISPONÍVEL</x:v>
      </x:c>
      <x:c r="D2789" s="24" t="str">
        <x:v>ZEISS</x:v>
      </x:c>
      <x:c r="E2789" s="24" t="str">
        <x:v>Progressiva</x:v>
      </x:c>
      <x:c r="F2789" s="24" t="str">
        <x:v>Surfaçada</x:v>
      </x:c>
      <x:c r="G2789" s="24" t="str">
        <x:v>Light 2 D</x:v>
      </x:c>
      <x:c r="H2789" s="24" t="str">
        <x:v>PhotoFusion X Extra Dark Cinza</x:v>
      </x:c>
      <x:c r="I2789" s="24" t="str">
        <x:v>1.5</x:v>
      </x:c>
      <x:c r="J2789" s="24" t="str">
        <x:v>1.50</x:v>
      </x:c>
      <x:c r="K2789" s="24" t="str">
        <x:v>DuraVision Platinum UV</x:v>
      </x:c>
      <x:c r="L2789" s="40" t="n">
        <x:v>3969</x:v>
      </x:c>
      <x:c r="M2789" s="24" t="str">
        <x:v>-9.00 a +6.00</x:v>
      </x:c>
      <x:c r="N2789" s="24" t="str">
        <x:v>-4.00</x:v>
      </x:c>
      <x:c r="O2789" s="24" t="str">
        <x:v>1.00 a 3.50</x:v>
      </x:c>
      <x:c r="P2789" s="24" t="str">
        <x:v>75</x:v>
      </x:c>
      <x:c r="Q2789" s="24"/>
      <x:c r="R2789" s="24"/>
      <x:c r="S2789" s="26" t="n">
        <x:v>46113</x:v>
      </x:c>
      <x:c r="T2789" s="26"/>
      <x:c r="U2789" s="24" t="str">
        <x:v>ATIVA/SEM FIM INFORMADO</x:v>
      </x:c>
      <x:c r="V2789" s="24" t="str">
        <x:v>Programa de Parcerias ZEISS</x:v>
      </x:c>
      <x:c r="W2789" s="24" t="n">
        <x:v>45</x:v>
      </x:c>
      <x:c r="X2789" s="24" t="str">
        <x:v>tabela_zeiss.pdf</x:v>
      </x:c>
      <x:c r="Y2789" s="24" t="str">
        <x:v>alta</x:v>
      </x:c>
      <x:c r="Z2789" s="24"/>
      <x:c r="AA2789" s="24" t="str">
        <x:v>ZEISS|Progressiva|Surfaçada|Light 2 D|PhotoFusion X Extra Dark Cinza|1.5|1.50|DuraVision Platinum UV|-9.00 a +6.00|-4.00|1.00 a 3.50|75|||45</x:v>
      </x:c>
    </x:row>
    <x:row r="2790">
      <x:c r="A2790" s="24" t="str">
        <x:v>ZS-0453DFA979FF</x:v>
      </x:c>
      <x:c r="B2790" s="24" t="str">
        <x:v>SIM</x:v>
      </x:c>
      <x:c r="C2790" s="24" t="str">
        <x:v>DISPONÍVEL</x:v>
      </x:c>
      <x:c r="D2790" s="24" t="str">
        <x:v>ZEISS</x:v>
      </x:c>
      <x:c r="E2790" s="24" t="str">
        <x:v>Progressiva</x:v>
      </x:c>
      <x:c r="F2790" s="24" t="str">
        <x:v>Surfaçada</x:v>
      </x:c>
      <x:c r="G2790" s="24" t="str">
        <x:v>Light 2 D</x:v>
      </x:c>
      <x:c r="H2790" s="24" t="str">
        <x:v>PhotoFusion X Extra Dark Cinza</x:v>
      </x:c>
      <x:c r="I2790" s="24" t="str">
        <x:v>1.5</x:v>
      </x:c>
      <x:c r="J2790" s="24" t="str">
        <x:v>1.50</x:v>
      </x:c>
      <x:c r="K2790" s="24" t="str">
        <x:v>DuraVision Silver UV</x:v>
      </x:c>
      <x:c r="L2790" s="40" t="n">
        <x:v>3709</x:v>
      </x:c>
      <x:c r="M2790" s="24" t="str">
        <x:v>-9.00 a +6.00</x:v>
      </x:c>
      <x:c r="N2790" s="24" t="str">
        <x:v>-4.00</x:v>
      </x:c>
      <x:c r="O2790" s="24" t="str">
        <x:v>1.00 a 3.50</x:v>
      </x:c>
      <x:c r="P2790" s="24" t="str">
        <x:v>75</x:v>
      </x:c>
      <x:c r="Q2790" s="24"/>
      <x:c r="R2790" s="24"/>
      <x:c r="S2790" s="26" t="n">
        <x:v>46113</x:v>
      </x:c>
      <x:c r="T2790" s="26"/>
      <x:c r="U2790" s="24" t="str">
        <x:v>ATIVA/SEM FIM INFORMADO</x:v>
      </x:c>
      <x:c r="V2790" s="24" t="str">
        <x:v>Programa de Parcerias ZEISS</x:v>
      </x:c>
      <x:c r="W2790" s="24" t="n">
        <x:v>45</x:v>
      </x:c>
      <x:c r="X2790" s="24" t="str">
        <x:v>tabela_zeiss.pdf</x:v>
      </x:c>
      <x:c r="Y2790" s="24" t="str">
        <x:v>alta</x:v>
      </x:c>
      <x:c r="Z2790" s="24"/>
      <x:c r="AA2790" s="24" t="str">
        <x:v>ZEISS|Progressiva|Surfaçada|Light 2 D|PhotoFusion X Extra Dark Cinza|1.5|1.50|DuraVision Silver UV|-9.00 a +6.00|-4.00|1.00 a 3.50|75|||45</x:v>
      </x:c>
    </x:row>
    <x:row r="2791">
      <x:c r="A2791" s="24" t="str">
        <x:v>ZS-578DFBE9FEDD</x:v>
      </x:c>
      <x:c r="B2791" s="24" t="str">
        <x:v>SIM</x:v>
      </x:c>
      <x:c r="C2791" s="24" t="str">
        <x:v>DISPONÍVEL</x:v>
      </x:c>
      <x:c r="D2791" s="24" t="str">
        <x:v>ZEISS</x:v>
      </x:c>
      <x:c r="E2791" s="24" t="str">
        <x:v>Progressiva</x:v>
      </x:c>
      <x:c r="F2791" s="24" t="str">
        <x:v>Surfaçada</x:v>
      </x:c>
      <x:c r="G2791" s="24" t="str">
        <x:v>Light 2 D</x:v>
      </x:c>
      <x:c r="H2791" s="24" t="str">
        <x:v>PhotoFusion X Extra Dark Cinza</x:v>
      </x:c>
      <x:c r="I2791" s="24" t="str">
        <x:v>1.5</x:v>
      </x:c>
      <x:c r="J2791" s="24" t="str">
        <x:v>1.50</x:v>
      </x:c>
      <x:c r="K2791" s="24" t="str">
        <x:v>DuraVision Chrome UV</x:v>
      </x:c>
      <x:c r="L2791" s="40" t="n">
        <x:v>3219</x:v>
      </x:c>
      <x:c r="M2791" s="24" t="str">
        <x:v>-9.00 a +6.00</x:v>
      </x:c>
      <x:c r="N2791" s="24" t="str">
        <x:v>-4.00</x:v>
      </x:c>
      <x:c r="O2791" s="24" t="str">
        <x:v>1.00 a 3.50</x:v>
      </x:c>
      <x:c r="P2791" s="24" t="str">
        <x:v>75</x:v>
      </x:c>
      <x:c r="Q2791" s="24"/>
      <x:c r="R2791" s="24"/>
      <x:c r="S2791" s="26" t="n">
        <x:v>46113</x:v>
      </x:c>
      <x:c r="T2791" s="26"/>
      <x:c r="U2791" s="24" t="str">
        <x:v>ATIVA/SEM FIM INFORMADO</x:v>
      </x:c>
      <x:c r="V2791" s="24" t="str">
        <x:v>Programa de Parcerias ZEISS</x:v>
      </x:c>
      <x:c r="W2791" s="24" t="n">
        <x:v>45</x:v>
      </x:c>
      <x:c r="X2791" s="24" t="str">
        <x:v>tabela_zeiss.pdf</x:v>
      </x:c>
      <x:c r="Y2791" s="24" t="str">
        <x:v>alta</x:v>
      </x:c>
      <x:c r="Z2791" s="24"/>
      <x:c r="AA2791" s="24" t="str">
        <x:v>ZEISS|Progressiva|Surfaçada|Light 2 D|PhotoFusion X Extra Dark Cinza|1.5|1.50|DuraVision Chrome UV|-9.00 a +6.00|-4.00|1.00 a 3.50|75|||45</x:v>
      </x:c>
    </x:row>
    <x:row r="2792">
      <x:c r="A2792" s="24" t="str">
        <x:v>ZS-80E74F2DE666</x:v>
      </x:c>
      <x:c r="B2792" s="24" t="str">
        <x:v>SIM</x:v>
      </x:c>
      <x:c r="C2792" s="24" t="str">
        <x:v>DISPONÍVEL</x:v>
      </x:c>
      <x:c r="D2792" s="24" t="str">
        <x:v>ZEISS</x:v>
      </x:c>
      <x:c r="E2792" s="24" t="str">
        <x:v>Progressiva</x:v>
      </x:c>
      <x:c r="F2792" s="24" t="str">
        <x:v>Surfaçada</x:v>
      </x:c>
      <x:c r="G2792" s="24" t="str">
        <x:v>Light 2 D</x:v>
      </x:c>
      <x:c r="H2792" s="24" t="str">
        <x:v>PhotoFusion X Extra Dark Cinza</x:v>
      </x:c>
      <x:c r="I2792" s="24" t="str">
        <x:v>1.5</x:v>
      </x:c>
      <x:c r="J2792" s="24" t="str">
        <x:v>1.50</x:v>
      </x:c>
      <x:c r="K2792" s="24" t="str">
        <x:v>Sem AR</x:v>
      </x:c>
      <x:c r="L2792" s="40" t="n">
        <x:v>2819</x:v>
      </x:c>
      <x:c r="M2792" s="24" t="str">
        <x:v>-9.00 a +6.00</x:v>
      </x:c>
      <x:c r="N2792" s="24" t="str">
        <x:v>-4.00</x:v>
      </x:c>
      <x:c r="O2792" s="24" t="str">
        <x:v>1.00 a 3.50</x:v>
      </x:c>
      <x:c r="P2792" s="24" t="str">
        <x:v>75</x:v>
      </x:c>
      <x:c r="Q2792" s="24"/>
      <x:c r="R2792" s="24"/>
      <x:c r="S2792" s="26" t="n">
        <x:v>46113</x:v>
      </x:c>
      <x:c r="T2792" s="26"/>
      <x:c r="U2792" s="24" t="str">
        <x:v>ATIVA/SEM FIM INFORMADO</x:v>
      </x:c>
      <x:c r="V2792" s="24" t="str">
        <x:v>Programa de Parcerias ZEISS</x:v>
      </x:c>
      <x:c r="W2792" s="24" t="n">
        <x:v>45</x:v>
      </x:c>
      <x:c r="X2792" s="24" t="str">
        <x:v>tabela_zeiss.pdf</x:v>
      </x:c>
      <x:c r="Y2792" s="24" t="str">
        <x:v>alta</x:v>
      </x:c>
      <x:c r="Z2792" s="24"/>
      <x:c r="AA2792" s="24" t="str">
        <x:v>ZEISS|Progressiva|Surfaçada|Light 2 D|PhotoFusion X Extra Dark Cinza|1.5|1.50|Sem AR|-9.00 a +6.00|-4.00|1.00 a 3.50|75|||45</x:v>
      </x:c>
    </x:row>
    <x:row r="2793">
      <x:c r="A2793" s="24" t="str">
        <x:v>ZS-12E168935315</x:v>
      </x:c>
      <x:c r="B2793" s="24" t="str">
        <x:v>SIM</x:v>
      </x:c>
      <x:c r="C2793" s="24" t="str">
        <x:v>DISPONÍVEL</x:v>
      </x:c>
      <x:c r="D2793" s="24" t="str">
        <x:v>ZEISS</x:v>
      </x:c>
      <x:c r="E2793" s="24" t="str">
        <x:v>Progressiva</x:v>
      </x:c>
      <x:c r="F2793" s="24" t="str">
        <x:v>Surfaçada</x:v>
      </x:c>
      <x:c r="G2793" s="24" t="str">
        <x:v>Light 2 D</x:v>
      </x:c>
      <x:c r="H2793" s="24" t="str">
        <x:v>PhotoFusion X Extra Dark Cinza</x:v>
      </x:c>
      <x:c r="I2793" s="24" t="str">
        <x:v>Poli</x:v>
      </x:c>
      <x:c r="J2793" s="24"/>
      <x:c r="K2793" s="24" t="str">
        <x:v>DuraVision Gold UV</x:v>
      </x:c>
      <x:c r="L2793" s="40" t="n">
        <x:v>4469</x:v>
      </x:c>
      <x:c r="M2793" s="24" t="str">
        <x:v>-10.00 a +6.00</x:v>
      </x:c>
      <x:c r="N2793" s="24" t="str">
        <x:v>-4.00</x:v>
      </x:c>
      <x:c r="O2793" s="24" t="str">
        <x:v>1.00 a 3.00</x:v>
      </x:c>
      <x:c r="P2793" s="24" t="str">
        <x:v>72</x:v>
      </x:c>
      <x:c r="Q2793" s="24"/>
      <x:c r="R2793" s="24"/>
      <x:c r="S2793" s="26" t="n">
        <x:v>46113</x:v>
      </x:c>
      <x:c r="T2793" s="26"/>
      <x:c r="U2793" s="24" t="str">
        <x:v>ATIVA/SEM FIM INFORMADO</x:v>
      </x:c>
      <x:c r="V2793" s="24" t="str">
        <x:v>Programa de Parcerias ZEISS</x:v>
      </x:c>
      <x:c r="W2793" s="24" t="n">
        <x:v>45</x:v>
      </x:c>
      <x:c r="X2793" s="24" t="str">
        <x:v>tabela_zeiss.pdf</x:v>
      </x:c>
      <x:c r="Y2793" s="24" t="str">
        <x:v>alta</x:v>
      </x:c>
      <x:c r="Z2793" s="24"/>
      <x:c r="AA2793" s="24" t="str">
        <x:v>ZEISS|Progressiva|Surfaçada|Light 2 D|PhotoFusion X Extra Dark Cinza|Poli||DuraVision Gold UV|-10.00 a +6.00|-4.00|1.00 a 3.00|72|||45</x:v>
      </x:c>
    </x:row>
    <x:row r="2794">
      <x:c r="A2794" s="24" t="str">
        <x:v>ZS-B5CE0D6C12C1</x:v>
      </x:c>
      <x:c r="B2794" s="24" t="str">
        <x:v>SIM</x:v>
      </x:c>
      <x:c r="C2794" s="24" t="str">
        <x:v>DISPONÍVEL</x:v>
      </x:c>
      <x:c r="D2794" s="24" t="str">
        <x:v>ZEISS</x:v>
      </x:c>
      <x:c r="E2794" s="24" t="str">
        <x:v>Progressiva</x:v>
      </x:c>
      <x:c r="F2794" s="24" t="str">
        <x:v>Surfaçada</x:v>
      </x:c>
      <x:c r="G2794" s="24" t="str">
        <x:v>Light 2 D</x:v>
      </x:c>
      <x:c r="H2794" s="24" t="str">
        <x:v>PhotoFusion X Extra Dark Cinza</x:v>
      </x:c>
      <x:c r="I2794" s="24" t="str">
        <x:v>Poli</x:v>
      </x:c>
      <x:c r="J2794" s="24"/>
      <x:c r="K2794" s="24" t="str">
        <x:v>DuraVision Platinum UV</x:v>
      </x:c>
      <x:c r="L2794" s="40" t="n">
        <x:v>4329</x:v>
      </x:c>
      <x:c r="M2794" s="24" t="str">
        <x:v>-10.00 a +6.00</x:v>
      </x:c>
      <x:c r="N2794" s="24" t="str">
        <x:v>-4.00</x:v>
      </x:c>
      <x:c r="O2794" s="24" t="str">
        <x:v>1.00 a 3.00</x:v>
      </x:c>
      <x:c r="P2794" s="24" t="str">
        <x:v>72</x:v>
      </x:c>
      <x:c r="Q2794" s="24"/>
      <x:c r="R2794" s="24"/>
      <x:c r="S2794" s="26" t="n">
        <x:v>46113</x:v>
      </x:c>
      <x:c r="T2794" s="26"/>
      <x:c r="U2794" s="24" t="str">
        <x:v>ATIVA/SEM FIM INFORMADO</x:v>
      </x:c>
      <x:c r="V2794" s="24" t="str">
        <x:v>Programa de Parcerias ZEISS</x:v>
      </x:c>
      <x:c r="W2794" s="24" t="n">
        <x:v>45</x:v>
      </x:c>
      <x:c r="X2794" s="24" t="str">
        <x:v>tabela_zeiss.pdf</x:v>
      </x:c>
      <x:c r="Y2794" s="24" t="str">
        <x:v>alta</x:v>
      </x:c>
      <x:c r="Z2794" s="24"/>
      <x:c r="AA2794" s="24" t="str">
        <x:v>ZEISS|Progressiva|Surfaçada|Light 2 D|PhotoFusion X Extra Dark Cinza|Poli||DuraVision Platinum UV|-10.00 a +6.00|-4.00|1.00 a 3.00|72|||45</x:v>
      </x:c>
    </x:row>
    <x:row r="2795">
      <x:c r="A2795" s="24" t="str">
        <x:v>ZS-B3C01508BC42</x:v>
      </x:c>
      <x:c r="B2795" s="24" t="str">
        <x:v>SIM</x:v>
      </x:c>
      <x:c r="C2795" s="24" t="str">
        <x:v>DISPONÍVEL</x:v>
      </x:c>
      <x:c r="D2795" s="24" t="str">
        <x:v>ZEISS</x:v>
      </x:c>
      <x:c r="E2795" s="24" t="str">
        <x:v>Progressiva</x:v>
      </x:c>
      <x:c r="F2795" s="24" t="str">
        <x:v>Surfaçada</x:v>
      </x:c>
      <x:c r="G2795" s="24" t="str">
        <x:v>Light 2 D</x:v>
      </x:c>
      <x:c r="H2795" s="24" t="str">
        <x:v>PhotoFusion X Extra Dark Cinza</x:v>
      </x:c>
      <x:c r="I2795" s="24" t="str">
        <x:v>Poli</x:v>
      </x:c>
      <x:c r="J2795" s="24"/>
      <x:c r="K2795" s="24" t="str">
        <x:v>DuraVision Silver UV</x:v>
      </x:c>
      <x:c r="L2795" s="40" t="n">
        <x:v>4069</x:v>
      </x:c>
      <x:c r="M2795" s="24" t="str">
        <x:v>-10.00 a +6.00</x:v>
      </x:c>
      <x:c r="N2795" s="24" t="str">
        <x:v>-4.00</x:v>
      </x:c>
      <x:c r="O2795" s="24" t="str">
        <x:v>1.00 a 3.00</x:v>
      </x:c>
      <x:c r="P2795" s="24" t="str">
        <x:v>72</x:v>
      </x:c>
      <x:c r="Q2795" s="24"/>
      <x:c r="R2795" s="24"/>
      <x:c r="S2795" s="26" t="n">
        <x:v>46113</x:v>
      </x:c>
      <x:c r="T2795" s="26"/>
      <x:c r="U2795" s="24" t="str">
        <x:v>ATIVA/SEM FIM INFORMADO</x:v>
      </x:c>
      <x:c r="V2795" s="24" t="str">
        <x:v>Programa de Parcerias ZEISS</x:v>
      </x:c>
      <x:c r="W2795" s="24" t="n">
        <x:v>45</x:v>
      </x:c>
      <x:c r="X2795" s="24" t="str">
        <x:v>tabela_zeiss.pdf</x:v>
      </x:c>
      <x:c r="Y2795" s="24" t="str">
        <x:v>alta</x:v>
      </x:c>
      <x:c r="Z2795" s="24"/>
      <x:c r="AA2795" s="24" t="str">
        <x:v>ZEISS|Progressiva|Surfaçada|Light 2 D|PhotoFusion X Extra Dark Cinza|Poli||DuraVision Silver UV|-10.00 a +6.00|-4.00|1.00 a 3.00|72|||45</x:v>
      </x:c>
    </x:row>
    <x:row r="2796">
      <x:c r="A2796" s="24" t="str">
        <x:v>ZS-A4639E29CE37</x:v>
      </x:c>
      <x:c r="B2796" s="24" t="str">
        <x:v>SIM</x:v>
      </x:c>
      <x:c r="C2796" s="24" t="str">
        <x:v>DISPONÍVEL</x:v>
      </x:c>
      <x:c r="D2796" s="24" t="str">
        <x:v>ZEISS</x:v>
      </x:c>
      <x:c r="E2796" s="24" t="str">
        <x:v>Progressiva</x:v>
      </x:c>
      <x:c r="F2796" s="24" t="str">
        <x:v>Surfaçada</x:v>
      </x:c>
      <x:c r="G2796" s="24" t="str">
        <x:v>Light 2 D</x:v>
      </x:c>
      <x:c r="H2796" s="24" t="str">
        <x:v>PhotoFusion X Extra Dark Cinza</x:v>
      </x:c>
      <x:c r="I2796" s="24" t="str">
        <x:v>Poli</x:v>
      </x:c>
      <x:c r="J2796" s="24"/>
      <x:c r="K2796" s="24" t="str">
        <x:v>DuraVision Chrome UV</x:v>
      </x:c>
      <x:c r="L2796" s="40" t="n">
        <x:v>3579</x:v>
      </x:c>
      <x:c r="M2796" s="24" t="str">
        <x:v>-10.00 a +6.00</x:v>
      </x:c>
      <x:c r="N2796" s="24" t="str">
        <x:v>-4.00</x:v>
      </x:c>
      <x:c r="O2796" s="24" t="str">
        <x:v>1.00 a 3.00</x:v>
      </x:c>
      <x:c r="P2796" s="24" t="str">
        <x:v>72</x:v>
      </x:c>
      <x:c r="Q2796" s="24"/>
      <x:c r="R2796" s="24"/>
      <x:c r="S2796" s="26" t="n">
        <x:v>46113</x:v>
      </x:c>
      <x:c r="T2796" s="26"/>
      <x:c r="U2796" s="24" t="str">
        <x:v>ATIVA/SEM FIM INFORMADO</x:v>
      </x:c>
      <x:c r="V2796" s="24" t="str">
        <x:v>Programa de Parcerias ZEISS</x:v>
      </x:c>
      <x:c r="W2796" s="24" t="n">
        <x:v>45</x:v>
      </x:c>
      <x:c r="X2796" s="24" t="str">
        <x:v>tabela_zeiss.pdf</x:v>
      </x:c>
      <x:c r="Y2796" s="24" t="str">
        <x:v>alta</x:v>
      </x:c>
      <x:c r="Z2796" s="24"/>
      <x:c r="AA2796" s="24" t="str">
        <x:v>ZEISS|Progressiva|Surfaçada|Light 2 D|PhotoFusion X Extra Dark Cinza|Poli||DuraVision Chrome UV|-10.00 a +6.00|-4.00|1.00 a 3.00|72|||45</x:v>
      </x:c>
    </x:row>
    <x:row r="2797">
      <x:c r="A2797" s="24" t="str">
        <x:v>ZS-19BC2D99C409</x:v>
      </x:c>
      <x:c r="B2797" s="24" t="str">
        <x:v>SIM</x:v>
      </x:c>
      <x:c r="C2797" s="24" t="str">
        <x:v>DISPONÍVEL</x:v>
      </x:c>
      <x:c r="D2797" s="24" t="str">
        <x:v>ZEISS</x:v>
      </x:c>
      <x:c r="E2797" s="24" t="str">
        <x:v>Progressiva</x:v>
      </x:c>
      <x:c r="F2797" s="24" t="str">
        <x:v>Surfaçada</x:v>
      </x:c>
      <x:c r="G2797" s="24" t="str">
        <x:v>Light 2 D</x:v>
      </x:c>
      <x:c r="H2797" s="24" t="str">
        <x:v>PhotoFusion X Extra Dark Cinza</x:v>
      </x:c>
      <x:c r="I2797" s="24" t="str">
        <x:v>Poli</x:v>
      </x:c>
      <x:c r="J2797" s="24"/>
      <x:c r="K2797" s="24" t="str">
        <x:v>Sem AR</x:v>
      </x:c>
      <x:c r="L2797" s="40" t="n">
        <x:v>3179</x:v>
      </x:c>
      <x:c r="M2797" s="24" t="str">
        <x:v>-10.00 a +6.00</x:v>
      </x:c>
      <x:c r="N2797" s="24" t="str">
        <x:v>-4.00</x:v>
      </x:c>
      <x:c r="O2797" s="24" t="str">
        <x:v>1.00 a 3.00</x:v>
      </x:c>
      <x:c r="P2797" s="24" t="str">
        <x:v>72</x:v>
      </x:c>
      <x:c r="Q2797" s="24"/>
      <x:c r="R2797" s="24"/>
      <x:c r="S2797" s="26" t="n">
        <x:v>46113</x:v>
      </x:c>
      <x:c r="T2797" s="26"/>
      <x:c r="U2797" s="24" t="str">
        <x:v>ATIVA/SEM FIM INFORMADO</x:v>
      </x:c>
      <x:c r="V2797" s="24" t="str">
        <x:v>Programa de Parcerias ZEISS</x:v>
      </x:c>
      <x:c r="W2797" s="24" t="n">
        <x:v>45</x:v>
      </x:c>
      <x:c r="X2797" s="24" t="str">
        <x:v>tabela_zeiss.pdf</x:v>
      </x:c>
      <x:c r="Y2797" s="24" t="str">
        <x:v>alta</x:v>
      </x:c>
      <x:c r="Z2797" s="24"/>
      <x:c r="AA2797" s="24" t="str">
        <x:v>ZEISS|Progressiva|Surfaçada|Light 2 D|PhotoFusion X Extra Dark Cinza|Poli||Sem AR|-10.00 a +6.00|-4.00|1.00 a 3.00|72|||45</x:v>
      </x:c>
    </x:row>
    <x:row r="2798">
      <x:c r="A2798" s="24" t="str">
        <x:v>ZS-6D1F9D52C503</x:v>
      </x:c>
      <x:c r="B2798" s="24" t="str">
        <x:v>SIM</x:v>
      </x:c>
      <x:c r="C2798" s="24" t="str">
        <x:v>DISPONÍVEL</x:v>
      </x:c>
      <x:c r="D2798" s="24" t="str">
        <x:v>ZEISS</x:v>
      </x:c>
      <x:c r="E2798" s="24" t="str">
        <x:v>Progressiva</x:v>
      </x:c>
      <x:c r="F2798" s="24" t="str">
        <x:v>Surfaçada</x:v>
      </x:c>
      <x:c r="G2798" s="24" t="str">
        <x:v>Light 2 D</x:v>
      </x:c>
      <x:c r="H2798" s="24" t="str">
        <x:v>PhotoFusion X Extra Dark Cinza</x:v>
      </x:c>
      <x:c r="I2798" s="24" t="str">
        <x:v>1.6</x:v>
      </x:c>
      <x:c r="J2798" s="24" t="str">
        <x:v>1.60</x:v>
      </x:c>
      <x:c r="K2798" s="24" t="str">
        <x:v>DuraVision Gold UV</x:v>
      </x:c>
      <x:c r="L2798" s="40" t="n">
        <x:v>4689</x:v>
      </x:c>
      <x:c r="M2798" s="24" t="str">
        <x:v>-9.00 a +6.00</x:v>
      </x:c>
      <x:c r="N2798" s="24" t="str">
        <x:v>-4.00</x:v>
      </x:c>
      <x:c r="O2798" s="24" t="str">
        <x:v>1.00 a 3.50</x:v>
      </x:c>
      <x:c r="P2798" s="24" t="str">
        <x:v>75</x:v>
      </x:c>
      <x:c r="Q2798" s="24"/>
      <x:c r="R2798" s="24"/>
      <x:c r="S2798" s="26" t="n">
        <x:v>46113</x:v>
      </x:c>
      <x:c r="T2798" s="26"/>
      <x:c r="U2798" s="24" t="str">
        <x:v>ATIVA/SEM FIM INFORMADO</x:v>
      </x:c>
      <x:c r="V2798" s="24" t="str">
        <x:v>Programa de Parcerias ZEISS</x:v>
      </x:c>
      <x:c r="W2798" s="24" t="n">
        <x:v>45</x:v>
      </x:c>
      <x:c r="X2798" s="24" t="str">
        <x:v>tabela_zeiss.pdf</x:v>
      </x:c>
      <x:c r="Y2798" s="24" t="str">
        <x:v>alta</x:v>
      </x:c>
      <x:c r="Z2798" s="24"/>
      <x:c r="AA2798" s="24" t="str">
        <x:v>ZEISS|Progressiva|Surfaçada|Light 2 D|PhotoFusion X Extra Dark Cinza|1.6|1.60|DuraVision Gold UV|-9.00 a +6.00|-4.00|1.00 a 3.50|75|||45</x:v>
      </x:c>
    </x:row>
    <x:row r="2799">
      <x:c r="A2799" s="24" t="str">
        <x:v>ZS-A12E1F6BEE1C</x:v>
      </x:c>
      <x:c r="B2799" s="24" t="str">
        <x:v>SIM</x:v>
      </x:c>
      <x:c r="C2799" s="24" t="str">
        <x:v>DISPONÍVEL</x:v>
      </x:c>
      <x:c r="D2799" s="24" t="str">
        <x:v>ZEISS</x:v>
      </x:c>
      <x:c r="E2799" s="24" t="str">
        <x:v>Progressiva</x:v>
      </x:c>
      <x:c r="F2799" s="24" t="str">
        <x:v>Surfaçada</x:v>
      </x:c>
      <x:c r="G2799" s="24" t="str">
        <x:v>Light 2 D</x:v>
      </x:c>
      <x:c r="H2799" s="24" t="str">
        <x:v>PhotoFusion X Extra Dark Cinza</x:v>
      </x:c>
      <x:c r="I2799" s="24" t="str">
        <x:v>1.6</x:v>
      </x:c>
      <x:c r="J2799" s="24" t="str">
        <x:v>1.60</x:v>
      </x:c>
      <x:c r="K2799" s="24" t="str">
        <x:v>DURAVISION® ANTIVÍRUS PLATINUM UV</x:v>
      </x:c>
      <x:c r="L2799" s="40" t="n">
        <x:v>4244</x:v>
      </x:c>
      <x:c r="M2799" s="24" t="str">
        <x:v>-9.00 a +6.00</x:v>
      </x:c>
      <x:c r="N2799" s="24" t="str">
        <x:v>-4.00</x:v>
      </x:c>
      <x:c r="O2799" s="24" t="str">
        <x:v>1.00 a 3.50</x:v>
      </x:c>
      <x:c r="P2799" s="24" t="str">
        <x:v>75</x:v>
      </x:c>
      <x:c r="Q2799" s="24"/>
      <x:c r="R2799" s="24"/>
      <x:c r="S2799" s="26" t="n">
        <x:v>46113</x:v>
      </x:c>
      <x:c r="T2799" s="26"/>
      <x:c r="U2799" s="24" t="str">
        <x:v>ATIVA/SEM FIM INFORMADO</x:v>
      </x:c>
      <x:c r="V2799" s="24" t="str">
        <x:v>Programa de Parcerias ZEISS</x:v>
      </x:c>
      <x:c r="W2799" s="24" t="n">
        <x:v>45</x:v>
      </x:c>
      <x:c r="X2799" s="24" t="str">
        <x:v>tabela_zeiss.pdf</x:v>
      </x:c>
      <x:c r="Y2799" s="24" t="str">
        <x:v>alta</x:v>
      </x:c>
      <x:c r="Z2799" s="24"/>
      <x:c r="AA2799" s="24" t="str">
        <x:v>ZEISS|Progressiva|Surfaçada|Light 2 D|PhotoFusion X Extra Dark Cinza|1.6|1.60|DURAVISION® ANTIVÍRUS PLATINUM UV|-9.00 a +6.00|-4.00|1.00 a 3.50|75|||45</x:v>
      </x:c>
    </x:row>
    <x:row r="2800">
      <x:c r="A2800" s="24" t="str">
        <x:v>ZS-88225F30EAD3</x:v>
      </x:c>
      <x:c r="B2800" s="24" t="str">
        <x:v>SIM</x:v>
      </x:c>
      <x:c r="C2800" s="24" t="str">
        <x:v>DISPONÍVEL</x:v>
      </x:c>
      <x:c r="D2800" s="24" t="str">
        <x:v>ZEISS</x:v>
      </x:c>
      <x:c r="E2800" s="24" t="str">
        <x:v>Progressiva</x:v>
      </x:c>
      <x:c r="F2800" s="24" t="str">
        <x:v>Surfaçada</x:v>
      </x:c>
      <x:c r="G2800" s="24" t="str">
        <x:v>Light 2 D</x:v>
      </x:c>
      <x:c r="H2800" s="24" t="str">
        <x:v>PhotoFusion X Extra Dark Cinza</x:v>
      </x:c>
      <x:c r="I2800" s="24" t="str">
        <x:v>1.6</x:v>
      </x:c>
      <x:c r="J2800" s="24" t="str">
        <x:v>1.60</x:v>
      </x:c>
      <x:c r="K2800" s="24" t="str">
        <x:v>DuraVision Platinum UV</x:v>
      </x:c>
      <x:c r="L2800" s="40" t="n">
        <x:v>4549</x:v>
      </x:c>
      <x:c r="M2800" s="24" t="str">
        <x:v>-9.00 a +6.00</x:v>
      </x:c>
      <x:c r="N2800" s="24" t="str">
        <x:v>-4.00</x:v>
      </x:c>
      <x:c r="O2800" s="24" t="str">
        <x:v>1.00 a 3.50</x:v>
      </x:c>
      <x:c r="P2800" s="24" t="str">
        <x:v>75</x:v>
      </x:c>
      <x:c r="Q2800" s="24"/>
      <x:c r="R2800" s="24"/>
      <x:c r="S2800" s="26" t="n">
        <x:v>46113</x:v>
      </x:c>
      <x:c r="T2800" s="26"/>
      <x:c r="U2800" s="24" t="str">
        <x:v>ATIVA/SEM FIM INFORMADO</x:v>
      </x:c>
      <x:c r="V2800" s="24" t="str">
        <x:v>Programa de Parcerias ZEISS</x:v>
      </x:c>
      <x:c r="W2800" s="24" t="n">
        <x:v>45</x:v>
      </x:c>
      <x:c r="X2800" s="24" t="str">
        <x:v>tabela_zeiss.pdf</x:v>
      </x:c>
      <x:c r="Y2800" s="24" t="str">
        <x:v>alta</x:v>
      </x:c>
      <x:c r="Z2800" s="24"/>
      <x:c r="AA2800" s="24" t="str">
        <x:v>ZEISS|Progressiva|Surfaçada|Light 2 D|PhotoFusion X Extra Dark Cinza|1.6|1.60|DuraVision Platinum UV|-9.00 a +6.00|-4.00|1.00 a 3.50|75|||45</x:v>
      </x:c>
    </x:row>
    <x:row r="2801">
      <x:c r="A2801" s="24" t="str">
        <x:v>ZS-B7AB5DD23C8E</x:v>
      </x:c>
      <x:c r="B2801" s="24" t="str">
        <x:v>SIM</x:v>
      </x:c>
      <x:c r="C2801" s="24" t="str">
        <x:v>DISPONÍVEL</x:v>
      </x:c>
      <x:c r="D2801" s="24" t="str">
        <x:v>ZEISS</x:v>
      </x:c>
      <x:c r="E2801" s="24" t="str">
        <x:v>Progressiva</x:v>
      </x:c>
      <x:c r="F2801" s="24" t="str">
        <x:v>Surfaçada</x:v>
      </x:c>
      <x:c r="G2801" s="24" t="str">
        <x:v>Light 2 D</x:v>
      </x:c>
      <x:c r="H2801" s="24" t="str">
        <x:v>PhotoFusion X Extra Dark Cinza</x:v>
      </x:c>
      <x:c r="I2801" s="24" t="str">
        <x:v>1.6</x:v>
      </x:c>
      <x:c r="J2801" s="24" t="str">
        <x:v>1.60</x:v>
      </x:c>
      <x:c r="K2801" s="24" t="str">
        <x:v>DuraVision Silver UV</x:v>
      </x:c>
      <x:c r="L2801" s="40" t="n">
        <x:v>4289</x:v>
      </x:c>
      <x:c r="M2801" s="24" t="str">
        <x:v>-9.00 a +6.00</x:v>
      </x:c>
      <x:c r="N2801" s="24" t="str">
        <x:v>-4.00</x:v>
      </x:c>
      <x:c r="O2801" s="24" t="str">
        <x:v>1.00 a 3.50</x:v>
      </x:c>
      <x:c r="P2801" s="24" t="str">
        <x:v>75</x:v>
      </x:c>
      <x:c r="Q2801" s="24"/>
      <x:c r="R2801" s="24"/>
      <x:c r="S2801" s="26" t="n">
        <x:v>46113</x:v>
      </x:c>
      <x:c r="T2801" s="26"/>
      <x:c r="U2801" s="24" t="str">
        <x:v>ATIVA/SEM FIM INFORMADO</x:v>
      </x:c>
      <x:c r="V2801" s="24" t="str">
        <x:v>Programa de Parcerias ZEISS</x:v>
      </x:c>
      <x:c r="W2801" s="24" t="n">
        <x:v>45</x:v>
      </x:c>
      <x:c r="X2801" s="24" t="str">
        <x:v>tabela_zeiss.pdf</x:v>
      </x:c>
      <x:c r="Y2801" s="24" t="str">
        <x:v>alta</x:v>
      </x:c>
      <x:c r="Z2801" s="24"/>
      <x:c r="AA2801" s="24" t="str">
        <x:v>ZEISS|Progressiva|Surfaçada|Light 2 D|PhotoFusion X Extra Dark Cinza|1.6|1.60|DuraVision Silver UV|-9.00 a +6.00|-4.00|1.00 a 3.50|75|||45</x:v>
      </x:c>
    </x:row>
    <x:row r="2802">
      <x:c r="A2802" s="24" t="str">
        <x:v>ZS-B3B6705A821D</x:v>
      </x:c>
      <x:c r="B2802" s="24" t="str">
        <x:v>SIM</x:v>
      </x:c>
      <x:c r="C2802" s="24" t="str">
        <x:v>DISPONÍVEL</x:v>
      </x:c>
      <x:c r="D2802" s="24" t="str">
        <x:v>ZEISS</x:v>
      </x:c>
      <x:c r="E2802" s="24" t="str">
        <x:v>Progressiva</x:v>
      </x:c>
      <x:c r="F2802" s="24" t="str">
        <x:v>Surfaçada</x:v>
      </x:c>
      <x:c r="G2802" s="24" t="str">
        <x:v>Light 2 D</x:v>
      </x:c>
      <x:c r="H2802" s="24" t="str">
        <x:v>PhotoFusion X Extra Dark Cinza</x:v>
      </x:c>
      <x:c r="I2802" s="24" t="str">
        <x:v>1.6</x:v>
      </x:c>
      <x:c r="J2802" s="24" t="str">
        <x:v>1.60</x:v>
      </x:c>
      <x:c r="K2802" s="24" t="str">
        <x:v>DuraVision Chrome UV</x:v>
      </x:c>
      <x:c r="L2802" s="40" t="n">
        <x:v>3799</x:v>
      </x:c>
      <x:c r="M2802" s="24" t="str">
        <x:v>-9.00 a +6.00</x:v>
      </x:c>
      <x:c r="N2802" s="24" t="str">
        <x:v>-4.00</x:v>
      </x:c>
      <x:c r="O2802" s="24" t="str">
        <x:v>1.00 a 3.50</x:v>
      </x:c>
      <x:c r="P2802" s="24" t="str">
        <x:v>75</x:v>
      </x:c>
      <x:c r="Q2802" s="24"/>
      <x:c r="R2802" s="24"/>
      <x:c r="S2802" s="26" t="n">
        <x:v>46113</x:v>
      </x:c>
      <x:c r="T2802" s="26"/>
      <x:c r="U2802" s="24" t="str">
        <x:v>ATIVA/SEM FIM INFORMADO</x:v>
      </x:c>
      <x:c r="V2802" s="24" t="str">
        <x:v>Programa de Parcerias ZEISS</x:v>
      </x:c>
      <x:c r="W2802" s="24" t="n">
        <x:v>45</x:v>
      </x:c>
      <x:c r="X2802" s="24" t="str">
        <x:v>tabela_zeiss.pdf</x:v>
      </x:c>
      <x:c r="Y2802" s="24" t="str">
        <x:v>alta</x:v>
      </x:c>
      <x:c r="Z2802" s="24"/>
      <x:c r="AA2802" s="24" t="str">
        <x:v>ZEISS|Progressiva|Surfaçada|Light 2 D|PhotoFusion X Extra Dark Cinza|1.6|1.60|DuraVision Chrome UV|-9.00 a +6.00|-4.00|1.00 a 3.50|75|||45</x:v>
      </x:c>
    </x:row>
    <x:row r="2803">
      <x:c r="A2803" s="24" t="str">
        <x:v>ZS-3B46EDD88653</x:v>
      </x:c>
      <x:c r="B2803" s="24" t="str">
        <x:v>SIM</x:v>
      </x:c>
      <x:c r="C2803" s="24" t="str">
        <x:v>DISPONÍVEL</x:v>
      </x:c>
      <x:c r="D2803" s="24" t="str">
        <x:v>ZEISS</x:v>
      </x:c>
      <x:c r="E2803" s="24" t="str">
        <x:v>Progressiva</x:v>
      </x:c>
      <x:c r="F2803" s="24" t="str">
        <x:v>Surfaçada</x:v>
      </x:c>
      <x:c r="G2803" s="24" t="str">
        <x:v>Light 2 D</x:v>
      </x:c>
      <x:c r="H2803" s="24" t="str">
        <x:v>PhotoFusion X Extra Dark Cinza</x:v>
      </x:c>
      <x:c r="I2803" s="24" t="str">
        <x:v>1.67</x:v>
      </x:c>
      <x:c r="J2803" s="24" t="str">
        <x:v>1.67</x:v>
      </x:c>
      <x:c r="K2803" s="24" t="str">
        <x:v>DuraVision Gold UV</x:v>
      </x:c>
      <x:c r="L2803" s="40" t="n">
        <x:v>5989</x:v>
      </x:c>
      <x:c r="M2803" s="24" t="str">
        <x:v>-10.00 a +6.00</x:v>
      </x:c>
      <x:c r="N2803" s="24" t="str">
        <x:v>-4.00</x:v>
      </x:c>
      <x:c r="O2803" s="24" t="str">
        <x:v>1.00 a 3.00</x:v>
      </x:c>
      <x:c r="P2803" s="24" t="str">
        <x:v>75</x:v>
      </x:c>
      <x:c r="Q2803" s="24"/>
      <x:c r="R2803" s="24"/>
      <x:c r="S2803" s="26" t="n">
        <x:v>46113</x:v>
      </x:c>
      <x:c r="T2803" s="26"/>
      <x:c r="U2803" s="24" t="str">
        <x:v>ATIVA/SEM FIM INFORMADO</x:v>
      </x:c>
      <x:c r="V2803" s="24" t="str">
        <x:v>Programa de Parcerias ZEISS</x:v>
      </x:c>
      <x:c r="W2803" s="24" t="n">
        <x:v>45</x:v>
      </x:c>
      <x:c r="X2803" s="24" t="str">
        <x:v>tabela_zeiss.pdf</x:v>
      </x:c>
      <x:c r="Y2803" s="24" t="str">
        <x:v>alta</x:v>
      </x:c>
      <x:c r="Z2803" s="24"/>
      <x:c r="AA2803" s="24" t="str">
        <x:v>ZEISS|Progressiva|Surfaçada|Light 2 D|PhotoFusion X Extra Dark Cinza|1.67|1.67|DuraVision Gold UV|-10.00 a +6.00|-4.00|1.00 a 3.00|75|||45</x:v>
      </x:c>
    </x:row>
    <x:row r="2804">
      <x:c r="A2804" s="24" t="str">
        <x:v>ZS-FB2CF779C4C8</x:v>
      </x:c>
      <x:c r="B2804" s="24" t="str">
        <x:v>SIM</x:v>
      </x:c>
      <x:c r="C2804" s="24" t="str">
        <x:v>DISPONÍVEL</x:v>
      </x:c>
      <x:c r="D2804" s="24" t="str">
        <x:v>ZEISS</x:v>
      </x:c>
      <x:c r="E2804" s="24" t="str">
        <x:v>Progressiva</x:v>
      </x:c>
      <x:c r="F2804" s="24" t="str">
        <x:v>Surfaçada</x:v>
      </x:c>
      <x:c r="G2804" s="24" t="str">
        <x:v>Light 2 D</x:v>
      </x:c>
      <x:c r="H2804" s="24" t="str">
        <x:v>PhotoFusion X Extra Dark Cinza</x:v>
      </x:c>
      <x:c r="I2804" s="24" t="str">
        <x:v>1.67</x:v>
      </x:c>
      <x:c r="J2804" s="24" t="str">
        <x:v>1.67</x:v>
      </x:c>
      <x:c r="K2804" s="24" t="str">
        <x:v>DURAVISION® ANTIVÍRUS PLATINUM UV</x:v>
      </x:c>
      <x:c r="L2804" s="40" t="n">
        <x:v>5429</x:v>
      </x:c>
      <x:c r="M2804" s="24" t="str">
        <x:v>-10.00 a +6.00</x:v>
      </x:c>
      <x:c r="N2804" s="24" t="str">
        <x:v>-4.00</x:v>
      </x:c>
      <x:c r="O2804" s="24" t="str">
        <x:v>1.00 a 3.00</x:v>
      </x:c>
      <x:c r="P2804" s="24" t="str">
        <x:v>75</x:v>
      </x:c>
      <x:c r="Q2804" s="24"/>
      <x:c r="R2804" s="24"/>
      <x:c r="S2804" s="26" t="n">
        <x:v>46113</x:v>
      </x:c>
      <x:c r="T2804" s="26"/>
      <x:c r="U2804" s="24" t="str">
        <x:v>ATIVA/SEM FIM INFORMADO</x:v>
      </x:c>
      <x:c r="V2804" s="24" t="str">
        <x:v>Programa de Parcerias ZEISS</x:v>
      </x:c>
      <x:c r="W2804" s="24" t="n">
        <x:v>45</x:v>
      </x:c>
      <x:c r="X2804" s="24" t="str">
        <x:v>tabela_zeiss.pdf</x:v>
      </x:c>
      <x:c r="Y2804" s="24" t="str">
        <x:v>alta</x:v>
      </x:c>
      <x:c r="Z2804" s="24"/>
      <x:c r="AA2804" s="24" t="str">
        <x:v>ZEISS|Progressiva|Surfaçada|Light 2 D|PhotoFusion X Extra Dark Cinza|1.67|1.67|DURAVISION® ANTIVÍRUS PLATINUM UV|-10.00 a +6.00|-4.00|1.00 a 3.00|75|||45</x:v>
      </x:c>
    </x:row>
    <x:row r="2805">
      <x:c r="A2805" s="24" t="str">
        <x:v>ZS-90EB61F6455A</x:v>
      </x:c>
      <x:c r="B2805" s="24" t="str">
        <x:v>SIM</x:v>
      </x:c>
      <x:c r="C2805" s="24" t="str">
        <x:v>DISPONÍVEL</x:v>
      </x:c>
      <x:c r="D2805" s="24" t="str">
        <x:v>ZEISS</x:v>
      </x:c>
      <x:c r="E2805" s="24" t="str">
        <x:v>Progressiva</x:v>
      </x:c>
      <x:c r="F2805" s="24" t="str">
        <x:v>Surfaçada</x:v>
      </x:c>
      <x:c r="G2805" s="24" t="str">
        <x:v>Light 2 D</x:v>
      </x:c>
      <x:c r="H2805" s="24" t="str">
        <x:v>PhotoFusion X Extra Dark Cinza</x:v>
      </x:c>
      <x:c r="I2805" s="24" t="str">
        <x:v>1.67</x:v>
      </x:c>
      <x:c r="J2805" s="24" t="str">
        <x:v>1.67</x:v>
      </x:c>
      <x:c r="K2805" s="24" t="str">
        <x:v>DuraVision Platinum UV</x:v>
      </x:c>
      <x:c r="L2805" s="40" t="n">
        <x:v>5849</x:v>
      </x:c>
      <x:c r="M2805" s="24" t="str">
        <x:v>-10.00 a +6.00</x:v>
      </x:c>
      <x:c r="N2805" s="24" t="str">
        <x:v>-4.00</x:v>
      </x:c>
      <x:c r="O2805" s="24" t="str">
        <x:v>1.00 a 3.00</x:v>
      </x:c>
      <x:c r="P2805" s="24" t="str">
        <x:v>75</x:v>
      </x:c>
      <x:c r="Q2805" s="24"/>
      <x:c r="R2805" s="24"/>
      <x:c r="S2805" s="26" t="n">
        <x:v>46113</x:v>
      </x:c>
      <x:c r="T2805" s="26"/>
      <x:c r="U2805" s="24" t="str">
        <x:v>ATIVA/SEM FIM INFORMADO</x:v>
      </x:c>
      <x:c r="V2805" s="24" t="str">
        <x:v>Programa de Parcerias ZEISS</x:v>
      </x:c>
      <x:c r="W2805" s="24" t="n">
        <x:v>45</x:v>
      </x:c>
      <x:c r="X2805" s="24" t="str">
        <x:v>tabela_zeiss.pdf</x:v>
      </x:c>
      <x:c r="Y2805" s="24" t="str">
        <x:v>alta</x:v>
      </x:c>
      <x:c r="Z2805" s="24"/>
      <x:c r="AA2805" s="24" t="str">
        <x:v>ZEISS|Progressiva|Surfaçada|Light 2 D|PhotoFusion X Extra Dark Cinza|1.67|1.67|DuraVision Platinum UV|-10.00 a +6.00|-4.00|1.00 a 3.00|75|||45</x:v>
      </x:c>
    </x:row>
    <x:row r="2806">
      <x:c r="A2806" s="24" t="str">
        <x:v>ZS-E6F4C52BB117</x:v>
      </x:c>
      <x:c r="B2806" s="24" t="str">
        <x:v>SIM</x:v>
      </x:c>
      <x:c r="C2806" s="24" t="str">
        <x:v>DISPONÍVEL</x:v>
      </x:c>
      <x:c r="D2806" s="24" t="str">
        <x:v>ZEISS</x:v>
      </x:c>
      <x:c r="E2806" s="24" t="str">
        <x:v>Progressiva</x:v>
      </x:c>
      <x:c r="F2806" s="24" t="str">
        <x:v>Surfaçada</x:v>
      </x:c>
      <x:c r="G2806" s="24" t="str">
        <x:v>Light 2 D</x:v>
      </x:c>
      <x:c r="H2806" s="24" t="str">
        <x:v>PhotoFusion X Extra Dark Cinza</x:v>
      </x:c>
      <x:c r="I2806" s="24" t="str">
        <x:v>1.67</x:v>
      </x:c>
      <x:c r="J2806" s="24" t="str">
        <x:v>1.67</x:v>
      </x:c>
      <x:c r="K2806" s="24" t="str">
        <x:v>DuraVision Silver UV</x:v>
      </x:c>
      <x:c r="L2806" s="40" t="n">
        <x:v>5589</x:v>
      </x:c>
      <x:c r="M2806" s="24" t="str">
        <x:v>-10.00 a +6.00</x:v>
      </x:c>
      <x:c r="N2806" s="24" t="str">
        <x:v>-4.00</x:v>
      </x:c>
      <x:c r="O2806" s="24" t="str">
        <x:v>1.00 a 3.00</x:v>
      </x:c>
      <x:c r="P2806" s="24" t="str">
        <x:v>75</x:v>
      </x:c>
      <x:c r="Q2806" s="24"/>
      <x:c r="R2806" s="24"/>
      <x:c r="S2806" s="26" t="n">
        <x:v>46113</x:v>
      </x:c>
      <x:c r="T2806" s="26"/>
      <x:c r="U2806" s="24" t="str">
        <x:v>ATIVA/SEM FIM INFORMADO</x:v>
      </x:c>
      <x:c r="V2806" s="24" t="str">
        <x:v>Programa de Parcerias ZEISS</x:v>
      </x:c>
      <x:c r="W2806" s="24" t="n">
        <x:v>45</x:v>
      </x:c>
      <x:c r="X2806" s="24" t="str">
        <x:v>tabela_zeiss.pdf</x:v>
      </x:c>
      <x:c r="Y2806" s="24" t="str">
        <x:v>alta</x:v>
      </x:c>
      <x:c r="Z2806" s="24"/>
      <x:c r="AA2806" s="24" t="str">
        <x:v>ZEISS|Progressiva|Surfaçada|Light 2 D|PhotoFusion X Extra Dark Cinza|1.67|1.67|DuraVision Silver UV|-10.00 a +6.00|-4.00|1.00 a 3.00|75|||45</x:v>
      </x:c>
    </x:row>
    <x:row r="2807">
      <x:c r="A2807" s="24" t="str">
        <x:v>ZS-5BDC1D3977A5</x:v>
      </x:c>
      <x:c r="B2807" s="24" t="str">
        <x:v>SIM</x:v>
      </x:c>
      <x:c r="C2807" s="24" t="str">
        <x:v>DISPONÍVEL</x:v>
      </x:c>
      <x:c r="D2807" s="24" t="str">
        <x:v>ZEISS</x:v>
      </x:c>
      <x:c r="E2807" s="24" t="str">
        <x:v>Progressiva</x:v>
      </x:c>
      <x:c r="F2807" s="24" t="str">
        <x:v>Surfaçada</x:v>
      </x:c>
      <x:c r="G2807" s="24" t="str">
        <x:v>Light 2 D</x:v>
      </x:c>
      <x:c r="H2807" s="24" t="str">
        <x:v>PhotoFusion X Extra Dark Cinza</x:v>
      </x:c>
      <x:c r="I2807" s="24" t="str">
        <x:v>1.67</x:v>
      </x:c>
      <x:c r="J2807" s="24" t="str">
        <x:v>1.67</x:v>
      </x:c>
      <x:c r="K2807" s="24" t="str">
        <x:v>DuraVision Chrome UV</x:v>
      </x:c>
      <x:c r="L2807" s="40" t="n">
        <x:v>5099</x:v>
      </x:c>
      <x:c r="M2807" s="24" t="str">
        <x:v>-10.00 a +6.00</x:v>
      </x:c>
      <x:c r="N2807" s="24" t="str">
        <x:v>-4.00</x:v>
      </x:c>
      <x:c r="O2807" s="24" t="str">
        <x:v>1.00 a 3.00</x:v>
      </x:c>
      <x:c r="P2807" s="24" t="str">
        <x:v>75</x:v>
      </x:c>
      <x:c r="Q2807" s="24"/>
      <x:c r="R2807" s="24"/>
      <x:c r="S2807" s="26" t="n">
        <x:v>46113</x:v>
      </x:c>
      <x:c r="T2807" s="26"/>
      <x:c r="U2807" s="24" t="str">
        <x:v>ATIVA/SEM FIM INFORMADO</x:v>
      </x:c>
      <x:c r="V2807" s="24" t="str">
        <x:v>Programa de Parcerias ZEISS</x:v>
      </x:c>
      <x:c r="W2807" s="24" t="n">
        <x:v>45</x:v>
      </x:c>
      <x:c r="X2807" s="24" t="str">
        <x:v>tabela_zeiss.pdf</x:v>
      </x:c>
      <x:c r="Y2807" s="24" t="str">
        <x:v>alta</x:v>
      </x:c>
      <x:c r="Z2807" s="24"/>
      <x:c r="AA2807" s="24" t="str">
        <x:v>ZEISS|Progressiva|Surfaçada|Light 2 D|PhotoFusion X Extra Dark Cinza|1.67|1.67|DuraVision Chrome UV|-10.00 a +6.00|-4.00|1.00 a 3.00|75|||45</x:v>
      </x:c>
    </x:row>
    <x:row r="2808">
      <x:c r="A2808" s="24" t="str">
        <x:v>ZS-D9B6B8FBF020</x:v>
      </x:c>
      <x:c r="B2808" s="24" t="str">
        <x:v>SIM</x:v>
      </x:c>
      <x:c r="C2808" s="24" t="str">
        <x:v>DISPONÍVEL</x:v>
      </x:c>
      <x:c r="D2808" s="24" t="str">
        <x:v>ZEISS</x:v>
      </x:c>
      <x:c r="E2808" s="24" t="str">
        <x:v>Progressiva</x:v>
      </x:c>
      <x:c r="F2808" s="24" t="str">
        <x:v>Surfaçada</x:v>
      </x:c>
      <x:c r="G2808" s="24" t="str">
        <x:v>Light 2 D</x:v>
      </x:c>
      <x:c r="H2808" s="24" t="str">
        <x:v>Polarizada</x:v>
      </x:c>
      <x:c r="I2808" s="24" t="str">
        <x:v>1.5</x:v>
      </x:c>
      <x:c r="J2808" s="24" t="str">
        <x:v>1.50</x:v>
      </x:c>
      <x:c r="K2808" s="24" t="str">
        <x:v>DuraVision Gold UV</x:v>
      </x:c>
      <x:c r="L2808" s="40" t="n">
        <x:v>3479</x:v>
      </x:c>
      <x:c r="M2808" s="24" t="str">
        <x:v>-9.00 a +6.00</x:v>
      </x:c>
      <x:c r="N2808" s="24" t="str">
        <x:v>-4.00</x:v>
      </x:c>
      <x:c r="O2808" s="24" t="str">
        <x:v>1.00 a 3.50</x:v>
      </x:c>
      <x:c r="P2808" s="24" t="str">
        <x:v>75</x:v>
      </x:c>
      <x:c r="Q2808" s="24"/>
      <x:c r="R2808" s="24"/>
      <x:c r="S2808" s="26" t="n">
        <x:v>46113</x:v>
      </x:c>
      <x:c r="T2808" s="26"/>
      <x:c r="U2808" s="24" t="str">
        <x:v>ATIVA/SEM FIM INFORMADO</x:v>
      </x:c>
      <x:c r="V2808" s="24"/>
      <x:c r="W2808" s="24" t="n">
        <x:v>45</x:v>
      </x:c>
      <x:c r="X2808" s="24" t="str">
        <x:v>tabela_zeiss.pdf</x:v>
      </x:c>
      <x:c r="Y2808" s="24" t="str">
        <x:v>alta</x:v>
      </x:c>
      <x:c r="Z2808" s="24"/>
      <x:c r="AA2808" s="24" t="str">
        <x:v>ZEISS|Progressiva|Surfaçada|Light 2 D|Polarizada|1.5|1.50|DuraVision Gold UV|-9.00 a +6.00|-4.00|1.00 a 3.50|75|||45</x:v>
      </x:c>
    </x:row>
    <x:row r="2809">
      <x:c r="A2809" s="24" t="str">
        <x:v>ZS-9896E26CCD40</x:v>
      </x:c>
      <x:c r="B2809" s="24" t="str">
        <x:v>SIM</x:v>
      </x:c>
      <x:c r="C2809" s="24" t="str">
        <x:v>DISPONÍVEL</x:v>
      </x:c>
      <x:c r="D2809" s="24" t="str">
        <x:v>ZEISS</x:v>
      </x:c>
      <x:c r="E2809" s="24" t="str">
        <x:v>Progressiva</x:v>
      </x:c>
      <x:c r="F2809" s="24" t="str">
        <x:v>Surfaçada</x:v>
      </x:c>
      <x:c r="G2809" s="24" t="str">
        <x:v>Light 2 D</x:v>
      </x:c>
      <x:c r="H2809" s="24" t="str">
        <x:v>Polarizada</x:v>
      </x:c>
      <x:c r="I2809" s="24" t="str">
        <x:v>1.5</x:v>
      </x:c>
      <x:c r="J2809" s="24" t="str">
        <x:v>1.50</x:v>
      </x:c>
      <x:c r="K2809" s="24" t="str">
        <x:v>DuraVision Platinum UV</x:v>
      </x:c>
      <x:c r="L2809" s="40" t="n">
        <x:v>3339</x:v>
      </x:c>
      <x:c r="M2809" s="24" t="str">
        <x:v>-9.00 a +6.00</x:v>
      </x:c>
      <x:c r="N2809" s="24" t="str">
        <x:v>-4.00</x:v>
      </x:c>
      <x:c r="O2809" s="24" t="str">
        <x:v>1.00 a 3.50</x:v>
      </x:c>
      <x:c r="P2809" s="24" t="str">
        <x:v>75</x:v>
      </x:c>
      <x:c r="Q2809" s="24"/>
      <x:c r="R2809" s="24"/>
      <x:c r="S2809" s="26" t="n">
        <x:v>46113</x:v>
      </x:c>
      <x:c r="T2809" s="26"/>
      <x:c r="U2809" s="24" t="str">
        <x:v>ATIVA/SEM FIM INFORMADO</x:v>
      </x:c>
      <x:c r="V2809" s="24"/>
      <x:c r="W2809" s="24" t="n">
        <x:v>45</x:v>
      </x:c>
      <x:c r="X2809" s="24" t="str">
        <x:v>tabela_zeiss.pdf</x:v>
      </x:c>
      <x:c r="Y2809" s="24" t="str">
        <x:v>alta</x:v>
      </x:c>
      <x:c r="Z2809" s="24"/>
      <x:c r="AA2809" s="24" t="str">
        <x:v>ZEISS|Progressiva|Surfaçada|Light 2 D|Polarizada|1.5|1.50|DuraVision Platinum UV|-9.00 a +6.00|-4.00|1.00 a 3.50|75|||45</x:v>
      </x:c>
    </x:row>
    <x:row r="2810">
      <x:c r="A2810" s="24" t="str">
        <x:v>ZS-0035B0080172</x:v>
      </x:c>
      <x:c r="B2810" s="24" t="str">
        <x:v>SIM</x:v>
      </x:c>
      <x:c r="C2810" s="24" t="str">
        <x:v>DISPONÍVEL</x:v>
      </x:c>
      <x:c r="D2810" s="24" t="str">
        <x:v>ZEISS</x:v>
      </x:c>
      <x:c r="E2810" s="24" t="str">
        <x:v>Progressiva</x:v>
      </x:c>
      <x:c r="F2810" s="24" t="str">
        <x:v>Surfaçada</x:v>
      </x:c>
      <x:c r="G2810" s="24" t="str">
        <x:v>Light 2 D</x:v>
      </x:c>
      <x:c r="H2810" s="24" t="str">
        <x:v>Polarizada</x:v>
      </x:c>
      <x:c r="I2810" s="24" t="str">
        <x:v>1.5</x:v>
      </x:c>
      <x:c r="J2810" s="24" t="str">
        <x:v>1.50</x:v>
      </x:c>
      <x:c r="K2810" s="24" t="str">
        <x:v>DuraVision Silver UV</x:v>
      </x:c>
      <x:c r="L2810" s="40" t="n">
        <x:v>3079</x:v>
      </x:c>
      <x:c r="M2810" s="24" t="str">
        <x:v>-9.00 a +6.00</x:v>
      </x:c>
      <x:c r="N2810" s="24" t="str">
        <x:v>-4.00</x:v>
      </x:c>
      <x:c r="O2810" s="24" t="str">
        <x:v>1.00 a 3.50</x:v>
      </x:c>
      <x:c r="P2810" s="24" t="str">
        <x:v>75</x:v>
      </x:c>
      <x:c r="Q2810" s="24"/>
      <x:c r="R2810" s="24"/>
      <x:c r="S2810" s="26" t="n">
        <x:v>46113</x:v>
      </x:c>
      <x:c r="T2810" s="26"/>
      <x:c r="U2810" s="24" t="str">
        <x:v>ATIVA/SEM FIM INFORMADO</x:v>
      </x:c>
      <x:c r="V2810" s="24"/>
      <x:c r="W2810" s="24" t="n">
        <x:v>45</x:v>
      </x:c>
      <x:c r="X2810" s="24" t="str">
        <x:v>tabela_zeiss.pdf</x:v>
      </x:c>
      <x:c r="Y2810" s="24" t="str">
        <x:v>alta</x:v>
      </x:c>
      <x:c r="Z2810" s="24"/>
      <x:c r="AA2810" s="24" t="str">
        <x:v>ZEISS|Progressiva|Surfaçada|Light 2 D|Polarizada|1.5|1.50|DuraVision Silver UV|-9.00 a +6.00|-4.00|1.00 a 3.50|75|||45</x:v>
      </x:c>
    </x:row>
    <x:row r="2811">
      <x:c r="A2811" s="24" t="str">
        <x:v>ZS-EDEBA44C434C</x:v>
      </x:c>
      <x:c r="B2811" s="24" t="str">
        <x:v>SIM</x:v>
      </x:c>
      <x:c r="C2811" s="24" t="str">
        <x:v>DISPONÍVEL</x:v>
      </x:c>
      <x:c r="D2811" s="24" t="str">
        <x:v>ZEISS</x:v>
      </x:c>
      <x:c r="E2811" s="24" t="str">
        <x:v>Progressiva</x:v>
      </x:c>
      <x:c r="F2811" s="24" t="str">
        <x:v>Surfaçada</x:v>
      </x:c>
      <x:c r="G2811" s="24" t="str">
        <x:v>Light 2 D</x:v>
      </x:c>
      <x:c r="H2811" s="24" t="str">
        <x:v>Polarizada</x:v>
      </x:c>
      <x:c r="I2811" s="24" t="str">
        <x:v>1.5</x:v>
      </x:c>
      <x:c r="J2811" s="24" t="str">
        <x:v>1.50</x:v>
      </x:c>
      <x:c r="K2811" s="24" t="str">
        <x:v>DuraVision Chrome UV</x:v>
      </x:c>
      <x:c r="L2811" s="40" t="n">
        <x:v>2589</x:v>
      </x:c>
      <x:c r="M2811" s="24" t="str">
        <x:v>-9.00 a +6.00</x:v>
      </x:c>
      <x:c r="N2811" s="24" t="str">
        <x:v>-4.00</x:v>
      </x:c>
      <x:c r="O2811" s="24" t="str">
        <x:v>1.00 a 3.50</x:v>
      </x:c>
      <x:c r="P2811" s="24" t="str">
        <x:v>75</x:v>
      </x:c>
      <x:c r="Q2811" s="24"/>
      <x:c r="R2811" s="24"/>
      <x:c r="S2811" s="26" t="n">
        <x:v>46113</x:v>
      </x:c>
      <x:c r="T2811" s="26"/>
      <x:c r="U2811" s="24" t="str">
        <x:v>ATIVA/SEM FIM INFORMADO</x:v>
      </x:c>
      <x:c r="V2811" s="24"/>
      <x:c r="W2811" s="24" t="n">
        <x:v>45</x:v>
      </x:c>
      <x:c r="X2811" s="24" t="str">
        <x:v>tabela_zeiss.pdf</x:v>
      </x:c>
      <x:c r="Y2811" s="24" t="str">
        <x:v>alta</x:v>
      </x:c>
      <x:c r="Z2811" s="24"/>
      <x:c r="AA2811" s="24" t="str">
        <x:v>ZEISS|Progressiva|Surfaçada|Light 2 D|Polarizada|1.5|1.50|DuraVision Chrome UV|-9.00 a +6.00|-4.00|1.00 a 3.50|75|||45</x:v>
      </x:c>
    </x:row>
    <x:row r="2812">
      <x:c r="A2812" s="24" t="str">
        <x:v>ZS-2E8B8EC688DB</x:v>
      </x:c>
      <x:c r="B2812" s="24" t="str">
        <x:v>SIM</x:v>
      </x:c>
      <x:c r="C2812" s="24" t="str">
        <x:v>DISPONÍVEL</x:v>
      </x:c>
      <x:c r="D2812" s="24" t="str">
        <x:v>ZEISS</x:v>
      </x:c>
      <x:c r="E2812" s="24" t="str">
        <x:v>Progressiva</x:v>
      </x:c>
      <x:c r="F2812" s="24" t="str">
        <x:v>Surfaçada</x:v>
      </x:c>
      <x:c r="G2812" s="24" t="str">
        <x:v>Light 2 D</x:v>
      </x:c>
      <x:c r="H2812" s="24" t="str">
        <x:v>Polarizada</x:v>
      </x:c>
      <x:c r="I2812" s="24" t="str">
        <x:v>1.5</x:v>
      </x:c>
      <x:c r="J2812" s="24" t="str">
        <x:v>1.50</x:v>
      </x:c>
      <x:c r="K2812" s="24" t="str">
        <x:v>Sem AR</x:v>
      </x:c>
      <x:c r="L2812" s="40" t="n">
        <x:v>2189</x:v>
      </x:c>
      <x:c r="M2812" s="24" t="str">
        <x:v>-9.00 a +6.00</x:v>
      </x:c>
      <x:c r="N2812" s="24" t="str">
        <x:v>-4.00</x:v>
      </x:c>
      <x:c r="O2812" s="24" t="str">
        <x:v>1.00 a 3.50</x:v>
      </x:c>
      <x:c r="P2812" s="24" t="str">
        <x:v>75</x:v>
      </x:c>
      <x:c r="Q2812" s="24"/>
      <x:c r="R2812" s="24"/>
      <x:c r="S2812" s="26" t="n">
        <x:v>46113</x:v>
      </x:c>
      <x:c r="T2812" s="26"/>
      <x:c r="U2812" s="24" t="str">
        <x:v>ATIVA/SEM FIM INFORMADO</x:v>
      </x:c>
      <x:c r="V2812" s="24"/>
      <x:c r="W2812" s="24" t="n">
        <x:v>45</x:v>
      </x:c>
      <x:c r="X2812" s="24" t="str">
        <x:v>tabela_zeiss.pdf</x:v>
      </x:c>
      <x:c r="Y2812" s="24" t="str">
        <x:v>alta</x:v>
      </x:c>
      <x:c r="Z2812" s="24"/>
      <x:c r="AA2812" s="24" t="str">
        <x:v>ZEISS|Progressiva|Surfaçada|Light 2 D|Polarizada|1.5|1.50|Sem AR|-9.00 a +6.00|-4.00|1.00 a 3.50|75|||45</x:v>
      </x:c>
    </x:row>
    <x:row r="2813">
      <x:c r="A2813" s="24" t="str">
        <x:v>ZS-A500F171AB95</x:v>
      </x:c>
      <x:c r="B2813" s="24" t="str">
        <x:v>SIM</x:v>
      </x:c>
      <x:c r="C2813" s="24" t="str">
        <x:v>DISPONÍVEL</x:v>
      </x:c>
      <x:c r="D2813" s="24" t="str">
        <x:v>ZEISS</x:v>
      </x:c>
      <x:c r="E2813" s="24" t="str">
        <x:v>Progressiva</x:v>
      </x:c>
      <x:c r="F2813" s="24" t="str">
        <x:v>Surfaçada</x:v>
      </x:c>
      <x:c r="G2813" s="24" t="str">
        <x:v>Light 2 D</x:v>
      </x:c>
      <x:c r="H2813" s="24" t="str">
        <x:v>Polarizada</x:v>
      </x:c>
      <x:c r="I2813" s="24" t="str">
        <x:v>1.6</x:v>
      </x:c>
      <x:c r="J2813" s="24" t="str">
        <x:v>1.60</x:v>
      </x:c>
      <x:c r="K2813" s="24" t="str">
        <x:v>DuraVision Gold UV</x:v>
      </x:c>
      <x:c r="L2813" s="40" t="n">
        <x:v>4059</x:v>
      </x:c>
      <x:c r="M2813" s="24" t="str">
        <x:v>-10.00 a +6.00</x:v>
      </x:c>
      <x:c r="N2813" s="24" t="str">
        <x:v>-4.00</x:v>
      </x:c>
      <x:c r="O2813" s="24" t="str">
        <x:v>1.00 a 3.00</x:v>
      </x:c>
      <x:c r="P2813" s="24" t="str">
        <x:v>75</x:v>
      </x:c>
      <x:c r="Q2813" s="24"/>
      <x:c r="R2813" s="24"/>
      <x:c r="S2813" s="26" t="n">
        <x:v>46113</x:v>
      </x:c>
      <x:c r="T2813" s="26"/>
      <x:c r="U2813" s="24" t="str">
        <x:v>ATIVA/SEM FIM INFORMADO</x:v>
      </x:c>
      <x:c r="V2813" s="24"/>
      <x:c r="W2813" s="24" t="n">
        <x:v>45</x:v>
      </x:c>
      <x:c r="X2813" s="24" t="str">
        <x:v>tabela_zeiss.pdf</x:v>
      </x:c>
      <x:c r="Y2813" s="24" t="str">
        <x:v>alta</x:v>
      </x:c>
      <x:c r="Z2813" s="24"/>
      <x:c r="AA2813" s="24" t="str">
        <x:v>ZEISS|Progressiva|Surfaçada|Light 2 D|Polarizada|1.6|1.60|DuraVision Gold UV|-10.00 a +6.00|-4.00|1.00 a 3.00|75|||45</x:v>
      </x:c>
    </x:row>
    <x:row r="2814">
      <x:c r="A2814" s="24" t="str">
        <x:v>ZS-33F0DCD196C3</x:v>
      </x:c>
      <x:c r="B2814" s="24" t="str">
        <x:v>SIM</x:v>
      </x:c>
      <x:c r="C2814" s="24" t="str">
        <x:v>DISPONÍVEL</x:v>
      </x:c>
      <x:c r="D2814" s="24" t="str">
        <x:v>ZEISS</x:v>
      </x:c>
      <x:c r="E2814" s="24" t="str">
        <x:v>Progressiva</x:v>
      </x:c>
      <x:c r="F2814" s="24" t="str">
        <x:v>Surfaçada</x:v>
      </x:c>
      <x:c r="G2814" s="24" t="str">
        <x:v>Light 2 D</x:v>
      </x:c>
      <x:c r="H2814" s="24" t="str">
        <x:v>Polarizada</x:v>
      </x:c>
      <x:c r="I2814" s="24" t="str">
        <x:v>1.6</x:v>
      </x:c>
      <x:c r="J2814" s="24" t="str">
        <x:v>1.60</x:v>
      </x:c>
      <x:c r="K2814" s="24" t="str">
        <x:v>DuraVision Platinum UV</x:v>
      </x:c>
      <x:c r="L2814" s="40" t="n">
        <x:v>3919</x:v>
      </x:c>
      <x:c r="M2814" s="24" t="str">
        <x:v>-10.00 a +6.00</x:v>
      </x:c>
      <x:c r="N2814" s="24" t="str">
        <x:v>-4.00</x:v>
      </x:c>
      <x:c r="O2814" s="24" t="str">
        <x:v>1.00 a 3.00</x:v>
      </x:c>
      <x:c r="P2814" s="24" t="str">
        <x:v>75</x:v>
      </x:c>
      <x:c r="Q2814" s="24"/>
      <x:c r="R2814" s="24"/>
      <x:c r="S2814" s="26" t="n">
        <x:v>46113</x:v>
      </x:c>
      <x:c r="T2814" s="26"/>
      <x:c r="U2814" s="24" t="str">
        <x:v>ATIVA/SEM FIM INFORMADO</x:v>
      </x:c>
      <x:c r="V2814" s="24"/>
      <x:c r="W2814" s="24" t="n">
        <x:v>45</x:v>
      </x:c>
      <x:c r="X2814" s="24" t="str">
        <x:v>tabela_zeiss.pdf</x:v>
      </x:c>
      <x:c r="Y2814" s="24" t="str">
        <x:v>alta</x:v>
      </x:c>
      <x:c r="Z2814" s="24"/>
      <x:c r="AA2814" s="24" t="str">
        <x:v>ZEISS|Progressiva|Surfaçada|Light 2 D|Polarizada|1.6|1.60|DuraVision Platinum UV|-10.00 a +6.00|-4.00|1.00 a 3.00|75|||45</x:v>
      </x:c>
    </x:row>
    <x:row r="2815">
      <x:c r="A2815" s="24" t="str">
        <x:v>ZS-9655C7F5F9BB</x:v>
      </x:c>
      <x:c r="B2815" s="24" t="str">
        <x:v>SIM</x:v>
      </x:c>
      <x:c r="C2815" s="24" t="str">
        <x:v>DISPONÍVEL</x:v>
      </x:c>
      <x:c r="D2815" s="24" t="str">
        <x:v>ZEISS</x:v>
      </x:c>
      <x:c r="E2815" s="24" t="str">
        <x:v>Progressiva</x:v>
      </x:c>
      <x:c r="F2815" s="24" t="str">
        <x:v>Surfaçada</x:v>
      </x:c>
      <x:c r="G2815" s="24" t="str">
        <x:v>Light 2 D</x:v>
      </x:c>
      <x:c r="H2815" s="24" t="str">
        <x:v>Polarizada</x:v>
      </x:c>
      <x:c r="I2815" s="24" t="str">
        <x:v>1.6</x:v>
      </x:c>
      <x:c r="J2815" s="24" t="str">
        <x:v>1.60</x:v>
      </x:c>
      <x:c r="K2815" s="24" t="str">
        <x:v>DuraVision Silver UV</x:v>
      </x:c>
      <x:c r="L2815" s="40" t="n">
        <x:v>3659</x:v>
      </x:c>
      <x:c r="M2815" s="24" t="str">
        <x:v>-10.00 a +6.00</x:v>
      </x:c>
      <x:c r="N2815" s="24" t="str">
        <x:v>-4.00</x:v>
      </x:c>
      <x:c r="O2815" s="24" t="str">
        <x:v>1.00 a 3.00</x:v>
      </x:c>
      <x:c r="P2815" s="24" t="str">
        <x:v>75</x:v>
      </x:c>
      <x:c r="Q2815" s="24"/>
      <x:c r="R2815" s="24"/>
      <x:c r="S2815" s="26" t="n">
        <x:v>46113</x:v>
      </x:c>
      <x:c r="T2815" s="26"/>
      <x:c r="U2815" s="24" t="str">
        <x:v>ATIVA/SEM FIM INFORMADO</x:v>
      </x:c>
      <x:c r="V2815" s="24"/>
      <x:c r="W2815" s="24" t="n">
        <x:v>45</x:v>
      </x:c>
      <x:c r="X2815" s="24" t="str">
        <x:v>tabela_zeiss.pdf</x:v>
      </x:c>
      <x:c r="Y2815" s="24" t="str">
        <x:v>alta</x:v>
      </x:c>
      <x:c r="Z2815" s="24"/>
      <x:c r="AA2815" s="24" t="str">
        <x:v>ZEISS|Progressiva|Surfaçada|Light 2 D|Polarizada|1.6|1.60|DuraVision Silver UV|-10.00 a +6.00|-4.00|1.00 a 3.00|75|||45</x:v>
      </x:c>
    </x:row>
    <x:row r="2816">
      <x:c r="A2816" s="24" t="str">
        <x:v>ZS-426C3E065608</x:v>
      </x:c>
      <x:c r="B2816" s="24" t="str">
        <x:v>SIM</x:v>
      </x:c>
      <x:c r="C2816" s="24" t="str">
        <x:v>DISPONÍVEL</x:v>
      </x:c>
      <x:c r="D2816" s="24" t="str">
        <x:v>ZEISS</x:v>
      </x:c>
      <x:c r="E2816" s="24" t="str">
        <x:v>Progressiva</x:v>
      </x:c>
      <x:c r="F2816" s="24" t="str">
        <x:v>Surfaçada</x:v>
      </x:c>
      <x:c r="G2816" s="24" t="str">
        <x:v>Light 2 D</x:v>
      </x:c>
      <x:c r="H2816" s="24" t="str">
        <x:v>Polarizada</x:v>
      </x:c>
      <x:c r="I2816" s="24" t="str">
        <x:v>1.6</x:v>
      </x:c>
      <x:c r="J2816" s="24" t="str">
        <x:v>1.60</x:v>
      </x:c>
      <x:c r="K2816" s="24" t="str">
        <x:v>DuraVision Chrome UV</x:v>
      </x:c>
      <x:c r="L2816" s="40" t="n">
        <x:v>3169</x:v>
      </x:c>
      <x:c r="M2816" s="24" t="str">
        <x:v>-10.00 a +6.00</x:v>
      </x:c>
      <x:c r="N2816" s="24" t="str">
        <x:v>-4.00</x:v>
      </x:c>
      <x:c r="O2816" s="24" t="str">
        <x:v>1.00 a 3.00</x:v>
      </x:c>
      <x:c r="P2816" s="24" t="str">
        <x:v>75</x:v>
      </x:c>
      <x:c r="Q2816" s="24"/>
      <x:c r="R2816" s="24"/>
      <x:c r="S2816" s="26" t="n">
        <x:v>46113</x:v>
      </x:c>
      <x:c r="T2816" s="26"/>
      <x:c r="U2816" s="24" t="str">
        <x:v>ATIVA/SEM FIM INFORMADO</x:v>
      </x:c>
      <x:c r="V2816" s="24"/>
      <x:c r="W2816" s="24" t="n">
        <x:v>45</x:v>
      </x:c>
      <x:c r="X2816" s="24" t="str">
        <x:v>tabela_zeiss.pdf</x:v>
      </x:c>
      <x:c r="Y2816" s="24" t="str">
        <x:v>alta</x:v>
      </x:c>
      <x:c r="Z2816" s="24"/>
      <x:c r="AA2816" s="24" t="str">
        <x:v>ZEISS|Progressiva|Surfaçada|Light 2 D|Polarizada|1.6|1.60|DuraVision Chrome UV|-10.00 a +6.00|-4.00|1.00 a 3.00|75|||45</x:v>
      </x:c>
    </x:row>
    <x:row r="2817">
      <x:c r="A2817" s="24" t="str">
        <x:v>ZS-2D43541B42D4</x:v>
      </x:c>
      <x:c r="B2817" s="24" t="str">
        <x:v>SIM</x:v>
      </x:c>
      <x:c r="C2817" s="24" t="str">
        <x:v>DISPONÍVEL</x:v>
      </x:c>
      <x:c r="D2817" s="24" t="str">
        <x:v>ZEISS</x:v>
      </x:c>
      <x:c r="E2817" s="24" t="str">
        <x:v>Progressiva</x:v>
      </x:c>
      <x:c r="F2817" s="24" t="str">
        <x:v>Surfaçada</x:v>
      </x:c>
      <x:c r="G2817" s="24" t="str">
        <x:v>Light 2 D</x:v>
      </x:c>
      <x:c r="H2817" s="24" t="str">
        <x:v>Polarizada</x:v>
      </x:c>
      <x:c r="I2817" s="24" t="str">
        <x:v>1.6</x:v>
      </x:c>
      <x:c r="J2817" s="24" t="str">
        <x:v>1.60</x:v>
      </x:c>
      <x:c r="K2817" s="24" t="str">
        <x:v>Sem AR</x:v>
      </x:c>
      <x:c r="L2817" s="40" t="n">
        <x:v>2769</x:v>
      </x:c>
      <x:c r="M2817" s="24" t="str">
        <x:v>-10.00 a +6.00</x:v>
      </x:c>
      <x:c r="N2817" s="24" t="str">
        <x:v>-4.00</x:v>
      </x:c>
      <x:c r="O2817" s="24" t="str">
        <x:v>1.00 a 3.00</x:v>
      </x:c>
      <x:c r="P2817" s="24" t="str">
        <x:v>75</x:v>
      </x:c>
      <x:c r="Q2817" s="24"/>
      <x:c r="R2817" s="24"/>
      <x:c r="S2817" s="26" t="n">
        <x:v>46113</x:v>
      </x:c>
      <x:c r="T2817" s="26"/>
      <x:c r="U2817" s="24" t="str">
        <x:v>ATIVA/SEM FIM INFORMADO</x:v>
      </x:c>
      <x:c r="V2817" s="24"/>
      <x:c r="W2817" s="24" t="n">
        <x:v>45</x:v>
      </x:c>
      <x:c r="X2817" s="24" t="str">
        <x:v>tabela_zeiss.pdf</x:v>
      </x:c>
      <x:c r="Y2817" s="24" t="str">
        <x:v>alta</x:v>
      </x:c>
      <x:c r="Z2817" s="24"/>
      <x:c r="AA2817" s="24" t="str">
        <x:v>ZEISS|Progressiva|Surfaçada|Light 2 D|Polarizada|1.6|1.60|Sem AR|-10.00 a +6.00|-4.00|1.00 a 3.00|75|||45</x:v>
      </x:c>
    </x:row>
    <x:row r="2818">
      <x:c r="A2818" s="24" t="str">
        <x:v>ZS-5AFDFBBED453</x:v>
      </x:c>
      <x:c r="B2818" s="24" t="str">
        <x:v>SIM</x:v>
      </x:c>
      <x:c r="C2818" s="24" t="str">
        <x:v>DISPONÍVEL</x:v>
      </x:c>
      <x:c r="D2818" s="24" t="str">
        <x:v>ZEISS</x:v>
      </x:c>
      <x:c r="E2818" s="24" t="str">
        <x:v>Progressiva</x:v>
      </x:c>
      <x:c r="F2818" s="24" t="str">
        <x:v>Surfaçada</x:v>
      </x:c>
      <x:c r="G2818" s="24" t="str">
        <x:v>GT2</x:v>
      </x:c>
      <x:c r="H2818" s="24"/>
      <x:c r="I2818" s="24" t="str">
        <x:v>1.5</x:v>
      </x:c>
      <x:c r="J2818" s="24" t="str">
        <x:v>1.50</x:v>
      </x:c>
      <x:c r="K2818" s="24" t="str">
        <x:v>DuraVision Gold UV</x:v>
      </x:c>
      <x:c r="L2818" s="40" t="n">
        <x:v>1989</x:v>
      </x:c>
      <x:c r="M2818" s="24" t="str">
        <x:v>-7.00 a +5.00</x:v>
      </x:c>
      <x:c r="N2818" s="24" t="str">
        <x:v>-4.00</x:v>
      </x:c>
      <x:c r="O2818" s="24" t="str">
        <x:v>1.00 a 3.50</x:v>
      </x:c>
      <x:c r="P2818" s="24" t="str">
        <x:v>75</x:v>
      </x:c>
      <x:c r="Q2818" s="24"/>
      <x:c r="R2818" s="24"/>
      <x:c r="S2818" s="26" t="n">
        <x:v>46113</x:v>
      </x:c>
      <x:c r="T2818" s="26"/>
      <x:c r="U2818" s="24" t="str">
        <x:v>ATIVA/SEM FIM INFORMADO</x:v>
      </x:c>
      <x:c r="V2818" s="24"/>
      <x:c r="W2818" s="24" t="n">
        <x:v>46</x:v>
      </x:c>
      <x:c r="X2818" s="24" t="str">
        <x:v>tabela_zeiss.pdf</x:v>
      </x:c>
      <x:c r="Y2818" s="24" t="str">
        <x:v>alta</x:v>
      </x:c>
      <x:c r="Z2818" s="24"/>
      <x:c r="AA2818" s="24" t="str">
        <x:v>ZEISS|Progressiva|Surfaçada|GT2||1.5|1.50|DuraVision Gold UV|-7.00 a +5.00|-4.00|1.00 a 3.50|75|||46</x:v>
      </x:c>
    </x:row>
    <x:row r="2819">
      <x:c r="A2819" s="24" t="str">
        <x:v>ZS-A0A7DE4CE7DE</x:v>
      </x:c>
      <x:c r="B2819" s="24" t="str">
        <x:v>SIM</x:v>
      </x:c>
      <x:c r="C2819" s="24" t="str">
        <x:v>DISPONÍVEL</x:v>
      </x:c>
      <x:c r="D2819" s="24" t="str">
        <x:v>ZEISS</x:v>
      </x:c>
      <x:c r="E2819" s="24" t="str">
        <x:v>Progressiva</x:v>
      </x:c>
      <x:c r="F2819" s="24" t="str">
        <x:v>Surfaçada</x:v>
      </x:c>
      <x:c r="G2819" s="24" t="str">
        <x:v>GT2</x:v>
      </x:c>
      <x:c r="H2819" s="24"/>
      <x:c r="I2819" s="24" t="str">
        <x:v>1.5</x:v>
      </x:c>
      <x:c r="J2819" s="24" t="str">
        <x:v>1.50</x:v>
      </x:c>
      <x:c r="K2819" s="24" t="str">
        <x:v>DuraVision Platinum UV</x:v>
      </x:c>
      <x:c r="L2819" s="40" t="n">
        <x:v>1849</x:v>
      </x:c>
      <x:c r="M2819" s="24" t="str">
        <x:v>-7.00 a +5.00</x:v>
      </x:c>
      <x:c r="N2819" s="24" t="str">
        <x:v>-4.00</x:v>
      </x:c>
      <x:c r="O2819" s="24" t="str">
        <x:v>1.00 a 3.50</x:v>
      </x:c>
      <x:c r="P2819" s="24" t="str">
        <x:v>75</x:v>
      </x:c>
      <x:c r="Q2819" s="24"/>
      <x:c r="R2819" s="24"/>
      <x:c r="S2819" s="26" t="n">
        <x:v>46113</x:v>
      </x:c>
      <x:c r="T2819" s="26"/>
      <x:c r="U2819" s="24" t="str">
        <x:v>ATIVA/SEM FIM INFORMADO</x:v>
      </x:c>
      <x:c r="V2819" s="24"/>
      <x:c r="W2819" s="24" t="n">
        <x:v>46</x:v>
      </x:c>
      <x:c r="X2819" s="24" t="str">
        <x:v>tabela_zeiss.pdf</x:v>
      </x:c>
      <x:c r="Y2819" s="24" t="str">
        <x:v>alta</x:v>
      </x:c>
      <x:c r="Z2819" s="24"/>
      <x:c r="AA2819" s="24" t="str">
        <x:v>ZEISS|Progressiva|Surfaçada|GT2||1.5|1.50|DuraVision Platinum UV|-7.00 a +5.00|-4.00|1.00 a 3.50|75|||46</x:v>
      </x:c>
    </x:row>
    <x:row r="2820">
      <x:c r="A2820" s="24" t="str">
        <x:v>ZS-87AD812FF176</x:v>
      </x:c>
      <x:c r="B2820" s="24" t="str">
        <x:v>SIM</x:v>
      </x:c>
      <x:c r="C2820" s="24" t="str">
        <x:v>DISPONÍVEL</x:v>
      </x:c>
      <x:c r="D2820" s="24" t="str">
        <x:v>ZEISS</x:v>
      </x:c>
      <x:c r="E2820" s="24" t="str">
        <x:v>Progressiva</x:v>
      </x:c>
      <x:c r="F2820" s="24" t="str">
        <x:v>Surfaçada</x:v>
      </x:c>
      <x:c r="G2820" s="24" t="str">
        <x:v>GT2</x:v>
      </x:c>
      <x:c r="H2820" s="24"/>
      <x:c r="I2820" s="24" t="str">
        <x:v>1.5</x:v>
      </x:c>
      <x:c r="J2820" s="24" t="str">
        <x:v>1.50</x:v>
      </x:c>
      <x:c r="K2820" s="24" t="str">
        <x:v>DuraVision Silver UV</x:v>
      </x:c>
      <x:c r="L2820" s="40" t="n">
        <x:v>1589</x:v>
      </x:c>
      <x:c r="M2820" s="24" t="str">
        <x:v>-7.00 a +5.00</x:v>
      </x:c>
      <x:c r="N2820" s="24" t="str">
        <x:v>-4.00</x:v>
      </x:c>
      <x:c r="O2820" s="24" t="str">
        <x:v>1.00 a 3.50</x:v>
      </x:c>
      <x:c r="P2820" s="24" t="str">
        <x:v>75</x:v>
      </x:c>
      <x:c r="Q2820" s="24"/>
      <x:c r="R2820" s="24"/>
      <x:c r="S2820" s="26" t="n">
        <x:v>46113</x:v>
      </x:c>
      <x:c r="T2820" s="26"/>
      <x:c r="U2820" s="24" t="str">
        <x:v>ATIVA/SEM FIM INFORMADO</x:v>
      </x:c>
      <x:c r="V2820" s="24"/>
      <x:c r="W2820" s="24" t="n">
        <x:v>46</x:v>
      </x:c>
      <x:c r="X2820" s="24" t="str">
        <x:v>tabela_zeiss.pdf</x:v>
      </x:c>
      <x:c r="Y2820" s="24" t="str">
        <x:v>alta</x:v>
      </x:c>
      <x:c r="Z2820" s="24"/>
      <x:c r="AA2820" s="24" t="str">
        <x:v>ZEISS|Progressiva|Surfaçada|GT2||1.5|1.50|DuraVision Silver UV|-7.00 a +5.00|-4.00|1.00 a 3.50|75|||46</x:v>
      </x:c>
    </x:row>
    <x:row r="2821">
      <x:c r="A2821" s="24" t="str">
        <x:v>ZS-B3185707B0FC</x:v>
      </x:c>
      <x:c r="B2821" s="24" t="str">
        <x:v>SIM</x:v>
      </x:c>
      <x:c r="C2821" s="24" t="str">
        <x:v>DISPONÍVEL</x:v>
      </x:c>
      <x:c r="D2821" s="24" t="str">
        <x:v>ZEISS</x:v>
      </x:c>
      <x:c r="E2821" s="24" t="str">
        <x:v>Progressiva</x:v>
      </x:c>
      <x:c r="F2821" s="24" t="str">
        <x:v>Surfaçada</x:v>
      </x:c>
      <x:c r="G2821" s="24" t="str">
        <x:v>GT2</x:v>
      </x:c>
      <x:c r="H2821" s="24"/>
      <x:c r="I2821" s="24" t="str">
        <x:v>1.5</x:v>
      </x:c>
      <x:c r="J2821" s="24" t="str">
        <x:v>1.50</x:v>
      </x:c>
      <x:c r="K2821" s="24" t="str">
        <x:v>DuraVision Chrome UV</x:v>
      </x:c>
      <x:c r="L2821" s="40" t="n">
        <x:v>1099</x:v>
      </x:c>
      <x:c r="M2821" s="24" t="str">
        <x:v>-7.00 a +5.00</x:v>
      </x:c>
      <x:c r="N2821" s="24" t="str">
        <x:v>-4.00</x:v>
      </x:c>
      <x:c r="O2821" s="24" t="str">
        <x:v>1.00 a 3.50</x:v>
      </x:c>
      <x:c r="P2821" s="24" t="str">
        <x:v>75</x:v>
      </x:c>
      <x:c r="Q2821" s="24"/>
      <x:c r="R2821" s="24"/>
      <x:c r="S2821" s="26" t="n">
        <x:v>46113</x:v>
      </x:c>
      <x:c r="T2821" s="26"/>
      <x:c r="U2821" s="24" t="str">
        <x:v>ATIVA/SEM FIM INFORMADO</x:v>
      </x:c>
      <x:c r="V2821" s="24"/>
      <x:c r="W2821" s="24" t="n">
        <x:v>46</x:v>
      </x:c>
      <x:c r="X2821" s="24" t="str">
        <x:v>tabela_zeiss.pdf</x:v>
      </x:c>
      <x:c r="Y2821" s="24" t="str">
        <x:v>alta</x:v>
      </x:c>
      <x:c r="Z2821" s="24"/>
      <x:c r="AA2821" s="24" t="str">
        <x:v>ZEISS|Progressiva|Surfaçada|GT2||1.5|1.50|DuraVision Chrome UV|-7.00 a +5.00|-4.00|1.00 a 3.50|75|||46</x:v>
      </x:c>
    </x:row>
    <x:row r="2822">
      <x:c r="A2822" s="24" t="str">
        <x:v>ZS-C464789F12B6</x:v>
      </x:c>
      <x:c r="B2822" s="24" t="str">
        <x:v>SIM</x:v>
      </x:c>
      <x:c r="C2822" s="24" t="str">
        <x:v>DISPONÍVEL</x:v>
      </x:c>
      <x:c r="D2822" s="24" t="str">
        <x:v>ZEISS</x:v>
      </x:c>
      <x:c r="E2822" s="24" t="str">
        <x:v>Progressiva</x:v>
      </x:c>
      <x:c r="F2822" s="24" t="str">
        <x:v>Surfaçada</x:v>
      </x:c>
      <x:c r="G2822" s="24" t="str">
        <x:v>GT2</x:v>
      </x:c>
      <x:c r="H2822" s="24"/>
      <x:c r="I2822" s="24" t="str">
        <x:v>1.5</x:v>
      </x:c>
      <x:c r="J2822" s="24" t="str">
        <x:v>1.50</x:v>
      </x:c>
      <x:c r="K2822" s="24" t="str">
        <x:v>Sem AR</x:v>
      </x:c>
      <x:c r="L2822" s="40" t="n">
        <x:v>699</x:v>
      </x:c>
      <x:c r="M2822" s="24" t="str">
        <x:v>-7.00 a +5.00</x:v>
      </x:c>
      <x:c r="N2822" s="24" t="str">
        <x:v>-4.00</x:v>
      </x:c>
      <x:c r="O2822" s="24" t="str">
        <x:v>1.00 a 3.50</x:v>
      </x:c>
      <x:c r="P2822" s="24" t="str">
        <x:v>75</x:v>
      </x:c>
      <x:c r="Q2822" s="24"/>
      <x:c r="R2822" s="24"/>
      <x:c r="S2822" s="26" t="n">
        <x:v>46113</x:v>
      </x:c>
      <x:c r="T2822" s="26"/>
      <x:c r="U2822" s="24" t="str">
        <x:v>ATIVA/SEM FIM INFORMADO</x:v>
      </x:c>
      <x:c r="V2822" s="24"/>
      <x:c r="W2822" s="24" t="n">
        <x:v>46</x:v>
      </x:c>
      <x:c r="X2822" s="24" t="str">
        <x:v>tabela_zeiss.pdf</x:v>
      </x:c>
      <x:c r="Y2822" s="24" t="str">
        <x:v>alta</x:v>
      </x:c>
      <x:c r="Z2822" s="24"/>
      <x:c r="AA2822" s="24" t="str">
        <x:v>ZEISS|Progressiva|Surfaçada|GT2||1.5|1.50|Sem AR|-7.00 a +5.00|-4.00|1.00 a 3.50|75|||46</x:v>
      </x:c>
    </x:row>
    <x:row r="2823">
      <x:c r="A2823" s="24" t="str">
        <x:v>ZS-11FDB2AFB58C</x:v>
      </x:c>
      <x:c r="B2823" s="24" t="str">
        <x:v>SIM</x:v>
      </x:c>
      <x:c r="C2823" s="24" t="str">
        <x:v>DISPONÍVEL</x:v>
      </x:c>
      <x:c r="D2823" s="24" t="str">
        <x:v>ZEISS</x:v>
      </x:c>
      <x:c r="E2823" s="24" t="str">
        <x:v>Progressiva</x:v>
      </x:c>
      <x:c r="F2823" s="24" t="str">
        <x:v>Surfaçada</x:v>
      </x:c>
      <x:c r="G2823" s="24" t="str">
        <x:v>GT2</x:v>
      </x:c>
      <x:c r="H2823" s="24"/>
      <x:c r="I2823" s="24" t="str">
        <x:v>Poli</x:v>
      </x:c>
      <x:c r="J2823" s="24"/>
      <x:c r="K2823" s="24" t="str">
        <x:v>DuraVision Gold UV</x:v>
      </x:c>
      <x:c r="L2823" s="40" t="n">
        <x:v>2349</x:v>
      </x:c>
      <x:c r="M2823" s="24" t="str">
        <x:v>-10.00 a +6.00</x:v>
      </x:c>
      <x:c r="N2823" s="24" t="str">
        <x:v>-6.00</x:v>
      </x:c>
      <x:c r="O2823" s="24" t="str">
        <x:v>1.00 a 3.00</x:v>
      </x:c>
      <x:c r="P2823" s="24" t="str">
        <x:v>75</x:v>
      </x:c>
      <x:c r="Q2823" s="24"/>
      <x:c r="R2823" s="24"/>
      <x:c r="S2823" s="26" t="n">
        <x:v>46113</x:v>
      </x:c>
      <x:c r="T2823" s="26"/>
      <x:c r="U2823" s="24" t="str">
        <x:v>ATIVA/SEM FIM INFORMADO</x:v>
      </x:c>
      <x:c r="V2823" s="24"/>
      <x:c r="W2823" s="24" t="n">
        <x:v>46</x:v>
      </x:c>
      <x:c r="X2823" s="24" t="str">
        <x:v>tabela_zeiss.pdf</x:v>
      </x:c>
      <x:c r="Y2823" s="24" t="str">
        <x:v>alta</x:v>
      </x:c>
      <x:c r="Z2823" s="24"/>
      <x:c r="AA2823" s="24" t="str">
        <x:v>ZEISS|Progressiva|Surfaçada|GT2||Poli||DuraVision Gold UV|-10.00 a +6.00|-6.00|1.00 a 3.00|75|||46</x:v>
      </x:c>
    </x:row>
    <x:row r="2824">
      <x:c r="A2824" s="24" t="str">
        <x:v>ZS-B8543CA26F07</x:v>
      </x:c>
      <x:c r="B2824" s="24" t="str">
        <x:v>SIM</x:v>
      </x:c>
      <x:c r="C2824" s="24" t="str">
        <x:v>DISPONÍVEL</x:v>
      </x:c>
      <x:c r="D2824" s="24" t="str">
        <x:v>ZEISS</x:v>
      </x:c>
      <x:c r="E2824" s="24" t="str">
        <x:v>Progressiva</x:v>
      </x:c>
      <x:c r="F2824" s="24" t="str">
        <x:v>Surfaçada</x:v>
      </x:c>
      <x:c r="G2824" s="24" t="str">
        <x:v>GT2</x:v>
      </x:c>
      <x:c r="H2824" s="24"/>
      <x:c r="I2824" s="24" t="str">
        <x:v>Poli</x:v>
      </x:c>
      <x:c r="J2824" s="24"/>
      <x:c r="K2824" s="24" t="str">
        <x:v>DuraVision Platinum UV</x:v>
      </x:c>
      <x:c r="L2824" s="40" t="n">
        <x:v>2209</x:v>
      </x:c>
      <x:c r="M2824" s="24" t="str">
        <x:v>-10.00 a +6.00</x:v>
      </x:c>
      <x:c r="N2824" s="24" t="str">
        <x:v>-6.00</x:v>
      </x:c>
      <x:c r="O2824" s="24" t="str">
        <x:v>1.00 a 3.00</x:v>
      </x:c>
      <x:c r="P2824" s="24" t="str">
        <x:v>75</x:v>
      </x:c>
      <x:c r="Q2824" s="24"/>
      <x:c r="R2824" s="24"/>
      <x:c r="S2824" s="26" t="n">
        <x:v>46113</x:v>
      </x:c>
      <x:c r="T2824" s="26"/>
      <x:c r="U2824" s="24" t="str">
        <x:v>ATIVA/SEM FIM INFORMADO</x:v>
      </x:c>
      <x:c r="V2824" s="24"/>
      <x:c r="W2824" s="24" t="n">
        <x:v>46</x:v>
      </x:c>
      <x:c r="X2824" s="24" t="str">
        <x:v>tabela_zeiss.pdf</x:v>
      </x:c>
      <x:c r="Y2824" s="24" t="str">
        <x:v>alta</x:v>
      </x:c>
      <x:c r="Z2824" s="24"/>
      <x:c r="AA2824" s="24" t="str">
        <x:v>ZEISS|Progressiva|Surfaçada|GT2||Poli||DuraVision Platinum UV|-10.00 a +6.00|-6.00|1.00 a 3.00|75|||46</x:v>
      </x:c>
    </x:row>
    <x:row r="2825">
      <x:c r="A2825" s="24" t="str">
        <x:v>ZS-36887A7B2186</x:v>
      </x:c>
      <x:c r="B2825" s="24" t="str">
        <x:v>SIM</x:v>
      </x:c>
      <x:c r="C2825" s="24" t="str">
        <x:v>DISPONÍVEL</x:v>
      </x:c>
      <x:c r="D2825" s="24" t="str">
        <x:v>ZEISS</x:v>
      </x:c>
      <x:c r="E2825" s="24" t="str">
        <x:v>Progressiva</x:v>
      </x:c>
      <x:c r="F2825" s="24" t="str">
        <x:v>Surfaçada</x:v>
      </x:c>
      <x:c r="G2825" s="24" t="str">
        <x:v>GT2</x:v>
      </x:c>
      <x:c r="H2825" s="24"/>
      <x:c r="I2825" s="24" t="str">
        <x:v>Poli</x:v>
      </x:c>
      <x:c r="J2825" s="24"/>
      <x:c r="K2825" s="24" t="str">
        <x:v>DuraVision Silver UV</x:v>
      </x:c>
      <x:c r="L2825" s="40" t="n">
        <x:v>1949</x:v>
      </x:c>
      <x:c r="M2825" s="24" t="str">
        <x:v>-10.00 a +6.00</x:v>
      </x:c>
      <x:c r="N2825" s="24" t="str">
        <x:v>-6.00</x:v>
      </x:c>
      <x:c r="O2825" s="24" t="str">
        <x:v>1.00 a 3.00</x:v>
      </x:c>
      <x:c r="P2825" s="24" t="str">
        <x:v>75</x:v>
      </x:c>
      <x:c r="Q2825" s="24"/>
      <x:c r="R2825" s="24"/>
      <x:c r="S2825" s="26" t="n">
        <x:v>46113</x:v>
      </x:c>
      <x:c r="T2825" s="26"/>
      <x:c r="U2825" s="24" t="str">
        <x:v>ATIVA/SEM FIM INFORMADO</x:v>
      </x:c>
      <x:c r="V2825" s="24"/>
      <x:c r="W2825" s="24" t="n">
        <x:v>46</x:v>
      </x:c>
      <x:c r="X2825" s="24" t="str">
        <x:v>tabela_zeiss.pdf</x:v>
      </x:c>
      <x:c r="Y2825" s="24" t="str">
        <x:v>alta</x:v>
      </x:c>
      <x:c r="Z2825" s="24"/>
      <x:c r="AA2825" s="24" t="str">
        <x:v>ZEISS|Progressiva|Surfaçada|GT2||Poli||DuraVision Silver UV|-10.00 a +6.00|-6.00|1.00 a 3.00|75|||46</x:v>
      </x:c>
    </x:row>
    <x:row r="2826">
      <x:c r="A2826" s="24" t="str">
        <x:v>ZS-0B97EC909231</x:v>
      </x:c>
      <x:c r="B2826" s="24" t="str">
        <x:v>SIM</x:v>
      </x:c>
      <x:c r="C2826" s="24" t="str">
        <x:v>DISPONÍVEL</x:v>
      </x:c>
      <x:c r="D2826" s="24" t="str">
        <x:v>ZEISS</x:v>
      </x:c>
      <x:c r="E2826" s="24" t="str">
        <x:v>Progressiva</x:v>
      </x:c>
      <x:c r="F2826" s="24" t="str">
        <x:v>Surfaçada</x:v>
      </x:c>
      <x:c r="G2826" s="24" t="str">
        <x:v>GT2</x:v>
      </x:c>
      <x:c r="H2826" s="24"/>
      <x:c r="I2826" s="24" t="str">
        <x:v>Poli</x:v>
      </x:c>
      <x:c r="J2826" s="24"/>
      <x:c r="K2826" s="24" t="str">
        <x:v>DuraVision Chrome UV</x:v>
      </x:c>
      <x:c r="L2826" s="40" t="n">
        <x:v>1459</x:v>
      </x:c>
      <x:c r="M2826" s="24" t="str">
        <x:v>-10.00 a +6.00</x:v>
      </x:c>
      <x:c r="N2826" s="24" t="str">
        <x:v>-6.00</x:v>
      </x:c>
      <x:c r="O2826" s="24" t="str">
        <x:v>1.00 a 3.00</x:v>
      </x:c>
      <x:c r="P2826" s="24" t="str">
        <x:v>75</x:v>
      </x:c>
      <x:c r="Q2826" s="24"/>
      <x:c r="R2826" s="24"/>
      <x:c r="S2826" s="26" t="n">
        <x:v>46113</x:v>
      </x:c>
      <x:c r="T2826" s="26"/>
      <x:c r="U2826" s="24" t="str">
        <x:v>ATIVA/SEM FIM INFORMADO</x:v>
      </x:c>
      <x:c r="V2826" s="24"/>
      <x:c r="W2826" s="24" t="n">
        <x:v>46</x:v>
      </x:c>
      <x:c r="X2826" s="24" t="str">
        <x:v>tabela_zeiss.pdf</x:v>
      </x:c>
      <x:c r="Y2826" s="24" t="str">
        <x:v>alta</x:v>
      </x:c>
      <x:c r="Z2826" s="24"/>
      <x:c r="AA2826" s="24" t="str">
        <x:v>ZEISS|Progressiva|Surfaçada|GT2||Poli||DuraVision Chrome UV|-10.00 a +6.00|-6.00|1.00 a 3.00|75|||46</x:v>
      </x:c>
    </x:row>
    <x:row r="2827">
      <x:c r="A2827" s="24" t="str">
        <x:v>ZS-84BB1C5BEE90</x:v>
      </x:c>
      <x:c r="B2827" s="24" t="str">
        <x:v>SIM</x:v>
      </x:c>
      <x:c r="C2827" s="24" t="str">
        <x:v>DISPONÍVEL</x:v>
      </x:c>
      <x:c r="D2827" s="24" t="str">
        <x:v>ZEISS</x:v>
      </x:c>
      <x:c r="E2827" s="24" t="str">
        <x:v>Progressiva</x:v>
      </x:c>
      <x:c r="F2827" s="24" t="str">
        <x:v>Surfaçada</x:v>
      </x:c>
      <x:c r="G2827" s="24" t="str">
        <x:v>GT2</x:v>
      </x:c>
      <x:c r="H2827" s="24"/>
      <x:c r="I2827" s="24" t="str">
        <x:v>Poli</x:v>
      </x:c>
      <x:c r="J2827" s="24"/>
      <x:c r="K2827" s="24" t="str">
        <x:v>Sem AR</x:v>
      </x:c>
      <x:c r="L2827" s="40" t="n">
        <x:v>1059</x:v>
      </x:c>
      <x:c r="M2827" s="24" t="str">
        <x:v>-10.00 a +6.00</x:v>
      </x:c>
      <x:c r="N2827" s="24" t="str">
        <x:v>-6.00</x:v>
      </x:c>
      <x:c r="O2827" s="24" t="str">
        <x:v>1.00 a 3.00</x:v>
      </x:c>
      <x:c r="P2827" s="24" t="str">
        <x:v>75</x:v>
      </x:c>
      <x:c r="Q2827" s="24"/>
      <x:c r="R2827" s="24"/>
      <x:c r="S2827" s="26" t="n">
        <x:v>46113</x:v>
      </x:c>
      <x:c r="T2827" s="26"/>
      <x:c r="U2827" s="24" t="str">
        <x:v>ATIVA/SEM FIM INFORMADO</x:v>
      </x:c>
      <x:c r="V2827" s="24"/>
      <x:c r="W2827" s="24" t="n">
        <x:v>46</x:v>
      </x:c>
      <x:c r="X2827" s="24" t="str">
        <x:v>tabela_zeiss.pdf</x:v>
      </x:c>
      <x:c r="Y2827" s="24" t="str">
        <x:v>alta</x:v>
      </x:c>
      <x:c r="Z2827" s="24"/>
      <x:c r="AA2827" s="24" t="str">
        <x:v>ZEISS|Progressiva|Surfaçada|GT2||Poli||Sem AR|-10.00 a +6.00|-6.00|1.00 a 3.00|75|||46</x:v>
      </x:c>
    </x:row>
    <x:row r="2828">
      <x:c r="A2828" s="24" t="str">
        <x:v>ZS-6D2C090CB7B8</x:v>
      </x:c>
      <x:c r="B2828" s="24" t="str">
        <x:v>SIM</x:v>
      </x:c>
      <x:c r="C2828" s="24" t="str">
        <x:v>DISPONÍVEL</x:v>
      </x:c>
      <x:c r="D2828" s="24" t="str">
        <x:v>ZEISS</x:v>
      </x:c>
      <x:c r="E2828" s="24" t="str">
        <x:v>Progressiva</x:v>
      </x:c>
      <x:c r="F2828" s="24" t="str">
        <x:v>Surfaçada</x:v>
      </x:c>
      <x:c r="G2828" s="24" t="str">
        <x:v>GT2</x:v>
      </x:c>
      <x:c r="H2828" s="24"/>
      <x:c r="I2828" s="24" t="str">
        <x:v>1.60</x:v>
      </x:c>
      <x:c r="J2828" s="24" t="str">
        <x:v>1.60</x:v>
      </x:c>
      <x:c r="K2828" s="24" t="str">
        <x:v>DuraVision Gold UV</x:v>
      </x:c>
      <x:c r="L2828" s="40" t="n">
        <x:v>2569</x:v>
      </x:c>
      <x:c r="M2828" s="24" t="str">
        <x:v>-12.00 a -7.50</x:v>
      </x:c>
      <x:c r="N2828" s="24" t="str">
        <x:v>-6.00</x:v>
      </x:c>
      <x:c r="O2828" s="24" t="str">
        <x:v>1.00 a 3.00</x:v>
      </x:c>
      <x:c r="P2828" s="24" t="str">
        <x:v>74</x:v>
      </x:c>
      <x:c r="Q2828" s="24"/>
      <x:c r="R2828" s="24"/>
      <x:c r="S2828" s="26" t="n">
        <x:v>46113</x:v>
      </x:c>
      <x:c r="T2828" s="26"/>
      <x:c r="U2828" s="24" t="str">
        <x:v>ATIVA/SEM FIM INFORMADO</x:v>
      </x:c>
      <x:c r="V2828" s="24"/>
      <x:c r="W2828" s="24" t="n">
        <x:v>46</x:v>
      </x:c>
      <x:c r="X2828" s="24" t="str">
        <x:v>tabela_zeiss.pdf</x:v>
      </x:c>
      <x:c r="Y2828" s="24" t="str">
        <x:v>alta</x:v>
      </x:c>
      <x:c r="Z2828" s="24"/>
      <x:c r="AA2828" s="24" t="str">
        <x:v>ZEISS|Progressiva|Surfaçada|GT2||1.60|1.60|DuraVision Gold UV|-12.00 a -7.50|-6.00|1.00 a 3.00|74|||46</x:v>
      </x:c>
    </x:row>
    <x:row r="2829">
      <x:c r="A2829" s="24" t="str">
        <x:v>ZS-21708C42D92C</x:v>
      </x:c>
      <x:c r="B2829" s="24" t="str">
        <x:v>SIM</x:v>
      </x:c>
      <x:c r="C2829" s="24" t="str">
        <x:v>DISPONÍVEL</x:v>
      </x:c>
      <x:c r="D2829" s="24" t="str">
        <x:v>ZEISS</x:v>
      </x:c>
      <x:c r="E2829" s="24" t="str">
        <x:v>Progressiva</x:v>
      </x:c>
      <x:c r="F2829" s="24" t="str">
        <x:v>Surfaçada</x:v>
      </x:c>
      <x:c r="G2829" s="24" t="str">
        <x:v>GT2</x:v>
      </x:c>
      <x:c r="H2829" s="24"/>
      <x:c r="I2829" s="24" t="str">
        <x:v>1.60</x:v>
      </x:c>
      <x:c r="J2829" s="24" t="str">
        <x:v>1.60</x:v>
      </x:c>
      <x:c r="K2829" s="24" t="str">
        <x:v>DuraVision Platinum UV</x:v>
      </x:c>
      <x:c r="L2829" s="40" t="n">
        <x:v>2429</x:v>
      </x:c>
      <x:c r="M2829" s="24" t="str">
        <x:v>-12.00 a -7.50</x:v>
      </x:c>
      <x:c r="N2829" s="24" t="str">
        <x:v>-6.00</x:v>
      </x:c>
      <x:c r="O2829" s="24" t="str">
        <x:v>1.00 a 3.00</x:v>
      </x:c>
      <x:c r="P2829" s="24" t="str">
        <x:v>74</x:v>
      </x:c>
      <x:c r="Q2829" s="24"/>
      <x:c r="R2829" s="24"/>
      <x:c r="S2829" s="26" t="n">
        <x:v>46113</x:v>
      </x:c>
      <x:c r="T2829" s="26"/>
      <x:c r="U2829" s="24" t="str">
        <x:v>ATIVA/SEM FIM INFORMADO</x:v>
      </x:c>
      <x:c r="V2829" s="24"/>
      <x:c r="W2829" s="24" t="n">
        <x:v>46</x:v>
      </x:c>
      <x:c r="X2829" s="24" t="str">
        <x:v>tabela_zeiss.pdf</x:v>
      </x:c>
      <x:c r="Y2829" s="24" t="str">
        <x:v>alta</x:v>
      </x:c>
      <x:c r="Z2829" s="24"/>
      <x:c r="AA2829" s="24" t="str">
        <x:v>ZEISS|Progressiva|Surfaçada|GT2||1.60|1.60|DuraVision Platinum UV|-12.00 a -7.50|-6.00|1.00 a 3.00|74|||46</x:v>
      </x:c>
    </x:row>
    <x:row r="2830">
      <x:c r="A2830" s="24" t="str">
        <x:v>ZS-804C0BF80BD6</x:v>
      </x:c>
      <x:c r="B2830" s="24" t="str">
        <x:v>SIM</x:v>
      </x:c>
      <x:c r="C2830" s="24" t="str">
        <x:v>DISPONÍVEL</x:v>
      </x:c>
      <x:c r="D2830" s="24" t="str">
        <x:v>ZEISS</x:v>
      </x:c>
      <x:c r="E2830" s="24" t="str">
        <x:v>Progressiva</x:v>
      </x:c>
      <x:c r="F2830" s="24" t="str">
        <x:v>Surfaçada</x:v>
      </x:c>
      <x:c r="G2830" s="24" t="str">
        <x:v>GT2</x:v>
      </x:c>
      <x:c r="H2830" s="24"/>
      <x:c r="I2830" s="24" t="str">
        <x:v>1.60</x:v>
      </x:c>
      <x:c r="J2830" s="24" t="str">
        <x:v>1.60</x:v>
      </x:c>
      <x:c r="K2830" s="24" t="str">
        <x:v>DuraVision Silver UV</x:v>
      </x:c>
      <x:c r="L2830" s="40" t="n">
        <x:v>2169</x:v>
      </x:c>
      <x:c r="M2830" s="24" t="str">
        <x:v>-12.00 a -7.50</x:v>
      </x:c>
      <x:c r="N2830" s="24" t="str">
        <x:v>-6.00</x:v>
      </x:c>
      <x:c r="O2830" s="24" t="str">
        <x:v>1.00 a 3.00</x:v>
      </x:c>
      <x:c r="P2830" s="24" t="str">
        <x:v>74</x:v>
      </x:c>
      <x:c r="Q2830" s="24"/>
      <x:c r="R2830" s="24"/>
      <x:c r="S2830" s="26" t="n">
        <x:v>46113</x:v>
      </x:c>
      <x:c r="T2830" s="26"/>
      <x:c r="U2830" s="24" t="str">
        <x:v>ATIVA/SEM FIM INFORMADO</x:v>
      </x:c>
      <x:c r="V2830" s="24"/>
      <x:c r="W2830" s="24" t="n">
        <x:v>46</x:v>
      </x:c>
      <x:c r="X2830" s="24" t="str">
        <x:v>tabela_zeiss.pdf</x:v>
      </x:c>
      <x:c r="Y2830" s="24" t="str">
        <x:v>alta</x:v>
      </x:c>
      <x:c r="Z2830" s="24"/>
      <x:c r="AA2830" s="24" t="str">
        <x:v>ZEISS|Progressiva|Surfaçada|GT2||1.60|1.60|DuraVision Silver UV|-12.00 a -7.50|-6.00|1.00 a 3.00|74|||46</x:v>
      </x:c>
    </x:row>
    <x:row r="2831">
      <x:c r="A2831" s="24" t="str">
        <x:v>ZS-69E1647B66F8</x:v>
      </x:c>
      <x:c r="B2831" s="24" t="str">
        <x:v>SIM</x:v>
      </x:c>
      <x:c r="C2831" s="24" t="str">
        <x:v>DISPONÍVEL</x:v>
      </x:c>
      <x:c r="D2831" s="24" t="str">
        <x:v>ZEISS</x:v>
      </x:c>
      <x:c r="E2831" s="24" t="str">
        <x:v>Progressiva</x:v>
      </x:c>
      <x:c r="F2831" s="24" t="str">
        <x:v>Surfaçada</x:v>
      </x:c>
      <x:c r="G2831" s="24" t="str">
        <x:v>GT2</x:v>
      </x:c>
      <x:c r="H2831" s="24"/>
      <x:c r="I2831" s="24" t="str">
        <x:v>1.60</x:v>
      </x:c>
      <x:c r="J2831" s="24" t="str">
        <x:v>1.60</x:v>
      </x:c>
      <x:c r="K2831" s="24" t="str">
        <x:v>DuraVision Chrome UV</x:v>
      </x:c>
      <x:c r="L2831" s="40" t="n">
        <x:v>1679</x:v>
      </x:c>
      <x:c r="M2831" s="24" t="str">
        <x:v>-12.00 a -7.50</x:v>
      </x:c>
      <x:c r="N2831" s="24" t="str">
        <x:v>-6.00</x:v>
      </x:c>
      <x:c r="O2831" s="24" t="str">
        <x:v>1.00 a 3.00</x:v>
      </x:c>
      <x:c r="P2831" s="24" t="str">
        <x:v>74</x:v>
      </x:c>
      <x:c r="Q2831" s="24"/>
      <x:c r="R2831" s="24"/>
      <x:c r="S2831" s="26" t="n">
        <x:v>46113</x:v>
      </x:c>
      <x:c r="T2831" s="26"/>
      <x:c r="U2831" s="24" t="str">
        <x:v>ATIVA/SEM FIM INFORMADO</x:v>
      </x:c>
      <x:c r="V2831" s="24"/>
      <x:c r="W2831" s="24" t="n">
        <x:v>46</x:v>
      </x:c>
      <x:c r="X2831" s="24" t="str">
        <x:v>tabela_zeiss.pdf</x:v>
      </x:c>
      <x:c r="Y2831" s="24" t="str">
        <x:v>alta</x:v>
      </x:c>
      <x:c r="Z2831" s="24"/>
      <x:c r="AA2831" s="24" t="str">
        <x:v>ZEISS|Progressiva|Surfaçada|GT2||1.60|1.60|DuraVision Chrome UV|-12.00 a -7.50|-6.00|1.00 a 3.00|74|||46</x:v>
      </x:c>
    </x:row>
    <x:row r="2832">
      <x:c r="A2832" s="24" t="str">
        <x:v>ZS-F3014365C662</x:v>
      </x:c>
      <x:c r="B2832" s="24" t="str">
        <x:v>SIM</x:v>
      </x:c>
      <x:c r="C2832" s="24" t="str">
        <x:v>DISPONÍVEL</x:v>
      </x:c>
      <x:c r="D2832" s="24" t="str">
        <x:v>ZEISS</x:v>
      </x:c>
      <x:c r="E2832" s="24" t="str">
        <x:v>Progressiva</x:v>
      </x:c>
      <x:c r="F2832" s="24" t="str">
        <x:v>Surfaçada</x:v>
      </x:c>
      <x:c r="G2832" s="24" t="str">
        <x:v>GT2</x:v>
      </x:c>
      <x:c r="H2832" s="24"/>
      <x:c r="I2832" s="24" t="str">
        <x:v>1.67</x:v>
      </x:c>
      <x:c r="J2832" s="24" t="str">
        <x:v>1.67</x:v>
      </x:c>
      <x:c r="K2832" s="24" t="str">
        <x:v>DuraVision Gold UV</x:v>
      </x:c>
      <x:c r="L2832" s="40" t="n">
        <x:v>3869</x:v>
      </x:c>
      <x:c r="M2832" s="24" t="str">
        <x:v>-12.00 a -7.50</x:v>
      </x:c>
      <x:c r="N2832" s="24" t="str">
        <x:v>-6.00</x:v>
      </x:c>
      <x:c r="O2832" s="24" t="str">
        <x:v>1.00 a 3.00</x:v>
      </x:c>
      <x:c r="P2832" s="24" t="str">
        <x:v>74</x:v>
      </x:c>
      <x:c r="Q2832" s="24"/>
      <x:c r="R2832" s="24"/>
      <x:c r="S2832" s="26" t="n">
        <x:v>46113</x:v>
      </x:c>
      <x:c r="T2832" s="26"/>
      <x:c r="U2832" s="24" t="str">
        <x:v>ATIVA/SEM FIM INFORMADO</x:v>
      </x:c>
      <x:c r="V2832" s="24"/>
      <x:c r="W2832" s="24" t="n">
        <x:v>46</x:v>
      </x:c>
      <x:c r="X2832" s="24" t="str">
        <x:v>tabela_zeiss.pdf</x:v>
      </x:c>
      <x:c r="Y2832" s="24" t="str">
        <x:v>alta</x:v>
      </x:c>
      <x:c r="Z2832" s="24"/>
      <x:c r="AA2832" s="24" t="str">
        <x:v>ZEISS|Progressiva|Surfaçada|GT2||1.67|1.67|DuraVision Gold UV|-12.00 a -7.50|-6.00|1.00 a 3.00|74|||46</x:v>
      </x:c>
    </x:row>
    <x:row r="2833">
      <x:c r="A2833" s="24" t="str">
        <x:v>ZS-CB3F2AD60CC2</x:v>
      </x:c>
      <x:c r="B2833" s="24" t="str">
        <x:v>SIM</x:v>
      </x:c>
      <x:c r="C2833" s="24" t="str">
        <x:v>DISPONÍVEL</x:v>
      </x:c>
      <x:c r="D2833" s="24" t="str">
        <x:v>ZEISS</x:v>
      </x:c>
      <x:c r="E2833" s="24" t="str">
        <x:v>Progressiva</x:v>
      </x:c>
      <x:c r="F2833" s="24" t="str">
        <x:v>Surfaçada</x:v>
      </x:c>
      <x:c r="G2833" s="24" t="str">
        <x:v>GT2</x:v>
      </x:c>
      <x:c r="H2833" s="24"/>
      <x:c r="I2833" s="24" t="str">
        <x:v>1.67</x:v>
      </x:c>
      <x:c r="J2833" s="24" t="str">
        <x:v>1.67</x:v>
      </x:c>
      <x:c r="K2833" s="24" t="str">
        <x:v>DuraVision Platinum UV</x:v>
      </x:c>
      <x:c r="L2833" s="40" t="n">
        <x:v>3729</x:v>
      </x:c>
      <x:c r="M2833" s="24" t="str">
        <x:v>-12.00 a -7.50</x:v>
      </x:c>
      <x:c r="N2833" s="24" t="str">
        <x:v>-6.00</x:v>
      </x:c>
      <x:c r="O2833" s="24" t="str">
        <x:v>1.00 a 3.00</x:v>
      </x:c>
      <x:c r="P2833" s="24" t="str">
        <x:v>74</x:v>
      </x:c>
      <x:c r="Q2833" s="24"/>
      <x:c r="R2833" s="24"/>
      <x:c r="S2833" s="26" t="n">
        <x:v>46113</x:v>
      </x:c>
      <x:c r="T2833" s="26"/>
      <x:c r="U2833" s="24" t="str">
        <x:v>ATIVA/SEM FIM INFORMADO</x:v>
      </x:c>
      <x:c r="V2833" s="24"/>
      <x:c r="W2833" s="24" t="n">
        <x:v>46</x:v>
      </x:c>
      <x:c r="X2833" s="24" t="str">
        <x:v>tabela_zeiss.pdf</x:v>
      </x:c>
      <x:c r="Y2833" s="24" t="str">
        <x:v>alta</x:v>
      </x:c>
      <x:c r="Z2833" s="24"/>
      <x:c r="AA2833" s="24" t="str">
        <x:v>ZEISS|Progressiva|Surfaçada|GT2||1.67|1.67|DuraVision Platinum UV|-12.00 a -7.50|-6.00|1.00 a 3.00|74|||46</x:v>
      </x:c>
    </x:row>
    <x:row r="2834">
      <x:c r="A2834" s="24" t="str">
        <x:v>ZS-336D8AA504CA</x:v>
      </x:c>
      <x:c r="B2834" s="24" t="str">
        <x:v>SIM</x:v>
      </x:c>
      <x:c r="C2834" s="24" t="str">
        <x:v>DISPONÍVEL</x:v>
      </x:c>
      <x:c r="D2834" s="24" t="str">
        <x:v>ZEISS</x:v>
      </x:c>
      <x:c r="E2834" s="24" t="str">
        <x:v>Progressiva</x:v>
      </x:c>
      <x:c r="F2834" s="24" t="str">
        <x:v>Surfaçada</x:v>
      </x:c>
      <x:c r="G2834" s="24" t="str">
        <x:v>GT2</x:v>
      </x:c>
      <x:c r="H2834" s="24"/>
      <x:c r="I2834" s="24" t="str">
        <x:v>1.67</x:v>
      </x:c>
      <x:c r="J2834" s="24" t="str">
        <x:v>1.67</x:v>
      </x:c>
      <x:c r="K2834" s="24" t="str">
        <x:v>DuraVision Silver UV</x:v>
      </x:c>
      <x:c r="L2834" s="40" t="n">
        <x:v>3469</x:v>
      </x:c>
      <x:c r="M2834" s="24" t="str">
        <x:v>-12.00 a -7.50</x:v>
      </x:c>
      <x:c r="N2834" s="24" t="str">
        <x:v>-6.00</x:v>
      </x:c>
      <x:c r="O2834" s="24" t="str">
        <x:v>1.00 a 3.00</x:v>
      </x:c>
      <x:c r="P2834" s="24" t="str">
        <x:v>74</x:v>
      </x:c>
      <x:c r="Q2834" s="24"/>
      <x:c r="R2834" s="24"/>
      <x:c r="S2834" s="26" t="n">
        <x:v>46113</x:v>
      </x:c>
      <x:c r="T2834" s="26"/>
      <x:c r="U2834" s="24" t="str">
        <x:v>ATIVA/SEM FIM INFORMADO</x:v>
      </x:c>
      <x:c r="V2834" s="24"/>
      <x:c r="W2834" s="24" t="n">
        <x:v>46</x:v>
      </x:c>
      <x:c r="X2834" s="24" t="str">
        <x:v>tabela_zeiss.pdf</x:v>
      </x:c>
      <x:c r="Y2834" s="24" t="str">
        <x:v>alta</x:v>
      </x:c>
      <x:c r="Z2834" s="24"/>
      <x:c r="AA2834" s="24" t="str">
        <x:v>ZEISS|Progressiva|Surfaçada|GT2||1.67|1.67|DuraVision Silver UV|-12.00 a -7.50|-6.00|1.00 a 3.00|74|||46</x:v>
      </x:c>
    </x:row>
    <x:row r="2835">
      <x:c r="A2835" s="24" t="str">
        <x:v>ZS-61DB2F9AD1B6</x:v>
      </x:c>
      <x:c r="B2835" s="24" t="str">
        <x:v>SIM</x:v>
      </x:c>
      <x:c r="C2835" s="24" t="str">
        <x:v>DISPONÍVEL</x:v>
      </x:c>
      <x:c r="D2835" s="24" t="str">
        <x:v>ZEISS</x:v>
      </x:c>
      <x:c r="E2835" s="24" t="str">
        <x:v>Progressiva</x:v>
      </x:c>
      <x:c r="F2835" s="24" t="str">
        <x:v>Surfaçada</x:v>
      </x:c>
      <x:c r="G2835" s="24" t="str">
        <x:v>GT2</x:v>
      </x:c>
      <x:c r="H2835" s="24"/>
      <x:c r="I2835" s="24" t="str">
        <x:v>1.67</x:v>
      </x:c>
      <x:c r="J2835" s="24" t="str">
        <x:v>1.67</x:v>
      </x:c>
      <x:c r="K2835" s="24" t="str">
        <x:v>DuraVision Chrome UV</x:v>
      </x:c>
      <x:c r="L2835" s="40" t="n">
        <x:v>2979</x:v>
      </x:c>
      <x:c r="M2835" s="24" t="str">
        <x:v>-12.00 a -7.50</x:v>
      </x:c>
      <x:c r="N2835" s="24" t="str">
        <x:v>-6.00</x:v>
      </x:c>
      <x:c r="O2835" s="24" t="str">
        <x:v>1.00 a 3.00</x:v>
      </x:c>
      <x:c r="P2835" s="24" t="str">
        <x:v>74</x:v>
      </x:c>
      <x:c r="Q2835" s="24"/>
      <x:c r="R2835" s="24"/>
      <x:c r="S2835" s="26" t="n">
        <x:v>46113</x:v>
      </x:c>
      <x:c r="T2835" s="26"/>
      <x:c r="U2835" s="24" t="str">
        <x:v>ATIVA/SEM FIM INFORMADO</x:v>
      </x:c>
      <x:c r="V2835" s="24"/>
      <x:c r="W2835" s="24" t="n">
        <x:v>46</x:v>
      </x:c>
      <x:c r="X2835" s="24" t="str">
        <x:v>tabela_zeiss.pdf</x:v>
      </x:c>
      <x:c r="Y2835" s="24" t="str">
        <x:v>alta</x:v>
      </x:c>
      <x:c r="Z2835" s="24"/>
      <x:c r="AA2835" s="24" t="str">
        <x:v>ZEISS|Progressiva|Surfaçada|GT2||1.67|1.67|DuraVision Chrome UV|-12.00 a -7.50|-6.00|1.00 a 3.00|74|||46</x:v>
      </x:c>
    </x:row>
    <x:row r="2836">
      <x:c r="A2836" s="24" t="str">
        <x:v>ZS-9885450B195B</x:v>
      </x:c>
      <x:c r="B2836" s="24" t="str">
        <x:v>SIM</x:v>
      </x:c>
      <x:c r="C2836" s="24" t="str">
        <x:v>DISPONÍVEL</x:v>
      </x:c>
      <x:c r="D2836" s="24" t="str">
        <x:v>ZEISS</x:v>
      </x:c>
      <x:c r="E2836" s="24" t="str">
        <x:v>Progressiva</x:v>
      </x:c>
      <x:c r="F2836" s="24" t="str">
        <x:v>Surfaçada</x:v>
      </x:c>
      <x:c r="G2836" s="24" t="str">
        <x:v>GT2</x:v>
      </x:c>
      <x:c r="H2836" s="24" t="str">
        <x:v>PhotoFusion X</x:v>
      </x:c>
      <x:c r="I2836" s="24" t="str">
        <x:v>1.5</x:v>
      </x:c>
      <x:c r="J2836" s="24" t="str">
        <x:v>1.50</x:v>
      </x:c>
      <x:c r="K2836" s="24" t="str">
        <x:v>DuraVision Gold UV</x:v>
      </x:c>
      <x:c r="L2836" s="40" t="n">
        <x:v>3409</x:v>
      </x:c>
      <x:c r="M2836" s="24" t="str">
        <x:v>-7.00 a +5.00</x:v>
      </x:c>
      <x:c r="N2836" s="24" t="str">
        <x:v>-4.00</x:v>
      </x:c>
      <x:c r="O2836" s="24" t="str">
        <x:v>1.00 a 3.00</x:v>
      </x:c>
      <x:c r="P2836" s="24" t="str">
        <x:v>72</x:v>
      </x:c>
      <x:c r="Q2836" s="24"/>
      <x:c r="R2836" s="24"/>
      <x:c r="S2836" s="26" t="n">
        <x:v>46113</x:v>
      </x:c>
      <x:c r="T2836" s="26"/>
      <x:c r="U2836" s="24" t="str">
        <x:v>ATIVA/SEM FIM INFORMADO</x:v>
      </x:c>
      <x:c r="V2836" s="24" t="str">
        <x:v>Programa de Parcerias ZEISS</x:v>
      </x:c>
      <x:c r="W2836" s="24" t="n">
        <x:v>46</x:v>
      </x:c>
      <x:c r="X2836" s="24" t="str">
        <x:v>tabela_zeiss.pdf</x:v>
      </x:c>
      <x:c r="Y2836" s="24" t="str">
        <x:v>alta</x:v>
      </x:c>
      <x:c r="Z2836" s="24"/>
      <x:c r="AA2836" s="24" t="str">
        <x:v>ZEISS|Progressiva|Surfaçada|GT2|PhotoFusion X|1.5|1.50|DuraVision Gold UV|-7.00 a +5.00|-4.00|1.00 a 3.00|72|||46</x:v>
      </x:c>
    </x:row>
    <x:row r="2837">
      <x:c r="A2837" s="24" t="str">
        <x:v>ZS-B1C2920024C3</x:v>
      </x:c>
      <x:c r="B2837" s="24" t="str">
        <x:v>SIM</x:v>
      </x:c>
      <x:c r="C2837" s="24" t="str">
        <x:v>DISPONÍVEL</x:v>
      </x:c>
      <x:c r="D2837" s="24" t="str">
        <x:v>ZEISS</x:v>
      </x:c>
      <x:c r="E2837" s="24" t="str">
        <x:v>Progressiva</x:v>
      </x:c>
      <x:c r="F2837" s="24" t="str">
        <x:v>Surfaçada</x:v>
      </x:c>
      <x:c r="G2837" s="24" t="str">
        <x:v>GT2</x:v>
      </x:c>
      <x:c r="H2837" s="24" t="str">
        <x:v>PhotoFusion X</x:v>
      </x:c>
      <x:c r="I2837" s="24" t="str">
        <x:v>1.5</x:v>
      </x:c>
      <x:c r="J2837" s="24" t="str">
        <x:v>1.50</x:v>
      </x:c>
      <x:c r="K2837" s="24" t="str">
        <x:v>DuraVision Platinum UV</x:v>
      </x:c>
      <x:c r="L2837" s="40" t="n">
        <x:v>3269</x:v>
      </x:c>
      <x:c r="M2837" s="24" t="str">
        <x:v>-7.00 a +5.00</x:v>
      </x:c>
      <x:c r="N2837" s="24" t="str">
        <x:v>-4.00</x:v>
      </x:c>
      <x:c r="O2837" s="24" t="str">
        <x:v>1.00 a 3.00</x:v>
      </x:c>
      <x:c r="P2837" s="24" t="str">
        <x:v>72</x:v>
      </x:c>
      <x:c r="Q2837" s="24"/>
      <x:c r="R2837" s="24"/>
      <x:c r="S2837" s="26" t="n">
        <x:v>46113</x:v>
      </x:c>
      <x:c r="T2837" s="26"/>
      <x:c r="U2837" s="24" t="str">
        <x:v>ATIVA/SEM FIM INFORMADO</x:v>
      </x:c>
      <x:c r="V2837" s="24" t="str">
        <x:v>Programa de Parcerias ZEISS</x:v>
      </x:c>
      <x:c r="W2837" s="24" t="n">
        <x:v>46</x:v>
      </x:c>
      <x:c r="X2837" s="24" t="str">
        <x:v>tabela_zeiss.pdf</x:v>
      </x:c>
      <x:c r="Y2837" s="24" t="str">
        <x:v>alta</x:v>
      </x:c>
      <x:c r="Z2837" s="24"/>
      <x:c r="AA2837" s="24" t="str">
        <x:v>ZEISS|Progressiva|Surfaçada|GT2|PhotoFusion X|1.5|1.50|DuraVision Platinum UV|-7.00 a +5.00|-4.00|1.00 a 3.00|72|||46</x:v>
      </x:c>
    </x:row>
    <x:row r="2838">
      <x:c r="A2838" s="24" t="str">
        <x:v>ZS-002942F122E8</x:v>
      </x:c>
      <x:c r="B2838" s="24" t="str">
        <x:v>SIM</x:v>
      </x:c>
      <x:c r="C2838" s="24" t="str">
        <x:v>DISPONÍVEL</x:v>
      </x:c>
      <x:c r="D2838" s="24" t="str">
        <x:v>ZEISS</x:v>
      </x:c>
      <x:c r="E2838" s="24" t="str">
        <x:v>Progressiva</x:v>
      </x:c>
      <x:c r="F2838" s="24" t="str">
        <x:v>Surfaçada</x:v>
      </x:c>
      <x:c r="G2838" s="24" t="str">
        <x:v>GT2</x:v>
      </x:c>
      <x:c r="H2838" s="24" t="str">
        <x:v>PhotoFusion X</x:v>
      </x:c>
      <x:c r="I2838" s="24" t="str">
        <x:v>1.5</x:v>
      </x:c>
      <x:c r="J2838" s="24" t="str">
        <x:v>1.50</x:v>
      </x:c>
      <x:c r="K2838" s="24" t="str">
        <x:v>DuraVision Silver UV</x:v>
      </x:c>
      <x:c r="L2838" s="40" t="n">
        <x:v>3009</x:v>
      </x:c>
      <x:c r="M2838" s="24" t="str">
        <x:v>-7.00 a +5.00</x:v>
      </x:c>
      <x:c r="N2838" s="24" t="str">
        <x:v>-4.00</x:v>
      </x:c>
      <x:c r="O2838" s="24" t="str">
        <x:v>1.00 a 3.00</x:v>
      </x:c>
      <x:c r="P2838" s="24" t="str">
        <x:v>72</x:v>
      </x:c>
      <x:c r="Q2838" s="24"/>
      <x:c r="R2838" s="24"/>
      <x:c r="S2838" s="26" t="n">
        <x:v>46113</x:v>
      </x:c>
      <x:c r="T2838" s="26"/>
      <x:c r="U2838" s="24" t="str">
        <x:v>ATIVA/SEM FIM INFORMADO</x:v>
      </x:c>
      <x:c r="V2838" s="24" t="str">
        <x:v>Programa de Parcerias ZEISS</x:v>
      </x:c>
      <x:c r="W2838" s="24" t="n">
        <x:v>46</x:v>
      </x:c>
      <x:c r="X2838" s="24" t="str">
        <x:v>tabela_zeiss.pdf</x:v>
      </x:c>
      <x:c r="Y2838" s="24" t="str">
        <x:v>alta</x:v>
      </x:c>
      <x:c r="Z2838" s="24"/>
      <x:c r="AA2838" s="24" t="str">
        <x:v>ZEISS|Progressiva|Surfaçada|GT2|PhotoFusion X|1.5|1.50|DuraVision Silver UV|-7.00 a +5.00|-4.00|1.00 a 3.00|72|||46</x:v>
      </x:c>
    </x:row>
    <x:row r="2839">
      <x:c r="A2839" s="24" t="str">
        <x:v>ZS-5956065BBECE</x:v>
      </x:c>
      <x:c r="B2839" s="24" t="str">
        <x:v>SIM</x:v>
      </x:c>
      <x:c r="C2839" s="24" t="str">
        <x:v>DISPONÍVEL</x:v>
      </x:c>
      <x:c r="D2839" s="24" t="str">
        <x:v>ZEISS</x:v>
      </x:c>
      <x:c r="E2839" s="24" t="str">
        <x:v>Progressiva</x:v>
      </x:c>
      <x:c r="F2839" s="24" t="str">
        <x:v>Surfaçada</x:v>
      </x:c>
      <x:c r="G2839" s="24" t="str">
        <x:v>GT2</x:v>
      </x:c>
      <x:c r="H2839" s="24" t="str">
        <x:v>PhotoFusion X</x:v>
      </x:c>
      <x:c r="I2839" s="24" t="str">
        <x:v>1.5</x:v>
      </x:c>
      <x:c r="J2839" s="24" t="str">
        <x:v>1.50</x:v>
      </x:c>
      <x:c r="K2839" s="24" t="str">
        <x:v>DuraVision Chrome UV</x:v>
      </x:c>
      <x:c r="L2839" s="40" t="n">
        <x:v>2519</x:v>
      </x:c>
      <x:c r="M2839" s="24" t="str">
        <x:v>-7.00 a +5.00</x:v>
      </x:c>
      <x:c r="N2839" s="24" t="str">
        <x:v>-4.00</x:v>
      </x:c>
      <x:c r="O2839" s="24" t="str">
        <x:v>1.00 a 3.00</x:v>
      </x:c>
      <x:c r="P2839" s="24" t="str">
        <x:v>72</x:v>
      </x:c>
      <x:c r="Q2839" s="24"/>
      <x:c r="R2839" s="24"/>
      <x:c r="S2839" s="26" t="n">
        <x:v>46113</x:v>
      </x:c>
      <x:c r="T2839" s="26"/>
      <x:c r="U2839" s="24" t="str">
        <x:v>ATIVA/SEM FIM INFORMADO</x:v>
      </x:c>
      <x:c r="V2839" s="24" t="str">
        <x:v>Programa de Parcerias ZEISS</x:v>
      </x:c>
      <x:c r="W2839" s="24" t="n">
        <x:v>46</x:v>
      </x:c>
      <x:c r="X2839" s="24" t="str">
        <x:v>tabela_zeiss.pdf</x:v>
      </x:c>
      <x:c r="Y2839" s="24" t="str">
        <x:v>alta</x:v>
      </x:c>
      <x:c r="Z2839" s="24"/>
      <x:c r="AA2839" s="24" t="str">
        <x:v>ZEISS|Progressiva|Surfaçada|GT2|PhotoFusion X|1.5|1.50|DuraVision Chrome UV|-7.00 a +5.00|-4.00|1.00 a 3.00|72|||46</x:v>
      </x:c>
    </x:row>
    <x:row r="2840">
      <x:c r="A2840" s="24" t="str">
        <x:v>ZS-7BE0BE1EAF4C</x:v>
      </x:c>
      <x:c r="B2840" s="24" t="str">
        <x:v>SIM</x:v>
      </x:c>
      <x:c r="C2840" s="24" t="str">
        <x:v>DISPONÍVEL</x:v>
      </x:c>
      <x:c r="D2840" s="24" t="str">
        <x:v>ZEISS</x:v>
      </x:c>
      <x:c r="E2840" s="24" t="str">
        <x:v>Progressiva</x:v>
      </x:c>
      <x:c r="F2840" s="24" t="str">
        <x:v>Surfaçada</x:v>
      </x:c>
      <x:c r="G2840" s="24" t="str">
        <x:v>GT2</x:v>
      </x:c>
      <x:c r="H2840" s="24" t="str">
        <x:v>PhotoFusion X</x:v>
      </x:c>
      <x:c r="I2840" s="24" t="str">
        <x:v>1.5</x:v>
      </x:c>
      <x:c r="J2840" s="24" t="str">
        <x:v>1.50</x:v>
      </x:c>
      <x:c r="K2840" s="24" t="str">
        <x:v>Sem AR</x:v>
      </x:c>
      <x:c r="L2840" s="40" t="n">
        <x:v>2119</x:v>
      </x:c>
      <x:c r="M2840" s="24" t="str">
        <x:v>-7.00 a +5.00</x:v>
      </x:c>
      <x:c r="N2840" s="24" t="str">
        <x:v>-4.00</x:v>
      </x:c>
      <x:c r="O2840" s="24" t="str">
        <x:v>1.00 a 3.00</x:v>
      </x:c>
      <x:c r="P2840" s="24" t="str">
        <x:v>72</x:v>
      </x:c>
      <x:c r="Q2840" s="24"/>
      <x:c r="R2840" s="24"/>
      <x:c r="S2840" s="26" t="n">
        <x:v>46113</x:v>
      </x:c>
      <x:c r="T2840" s="26"/>
      <x:c r="U2840" s="24" t="str">
        <x:v>ATIVA/SEM FIM INFORMADO</x:v>
      </x:c>
      <x:c r="V2840" s="24" t="str">
        <x:v>Programa de Parcerias ZEISS</x:v>
      </x:c>
      <x:c r="W2840" s="24" t="n">
        <x:v>46</x:v>
      </x:c>
      <x:c r="X2840" s="24" t="str">
        <x:v>tabela_zeiss.pdf</x:v>
      </x:c>
      <x:c r="Y2840" s="24" t="str">
        <x:v>alta</x:v>
      </x:c>
      <x:c r="Z2840" s="24"/>
      <x:c r="AA2840" s="24" t="str">
        <x:v>ZEISS|Progressiva|Surfaçada|GT2|PhotoFusion X|1.5|1.50|Sem AR|-7.00 a +5.00|-4.00|1.00 a 3.00|72|||46</x:v>
      </x:c>
    </x:row>
    <x:row r="2841">
      <x:c r="A2841" s="24" t="str">
        <x:v>ZS-80E34996EF45</x:v>
      </x:c>
      <x:c r="B2841" s="24" t="str">
        <x:v>SIM</x:v>
      </x:c>
      <x:c r="C2841" s="24" t="str">
        <x:v>DISPONÍVEL</x:v>
      </x:c>
      <x:c r="D2841" s="24" t="str">
        <x:v>ZEISS</x:v>
      </x:c>
      <x:c r="E2841" s="24" t="str">
        <x:v>Progressiva</x:v>
      </x:c>
      <x:c r="F2841" s="24" t="str">
        <x:v>Surfaçada</x:v>
      </x:c>
      <x:c r="G2841" s="24" t="str">
        <x:v>GT2</x:v>
      </x:c>
      <x:c r="H2841" s="24" t="str">
        <x:v>PhotoFusion X</x:v>
      </x:c>
      <x:c r="I2841" s="24" t="str">
        <x:v>Poli</x:v>
      </x:c>
      <x:c r="J2841" s="24"/>
      <x:c r="K2841" s="24" t="str">
        <x:v>DuraVision Gold UV</x:v>
      </x:c>
      <x:c r="L2841" s="40" t="n">
        <x:v>3769</x:v>
      </x:c>
      <x:c r="M2841" s="24" t="str">
        <x:v>-10.00 a +6.00</x:v>
      </x:c>
      <x:c r="N2841" s="24" t="str">
        <x:v>-6.00</x:v>
      </x:c>
      <x:c r="O2841" s="24" t="str">
        <x:v>1.00 a 3.00</x:v>
      </x:c>
      <x:c r="P2841" s="24" t="str">
        <x:v>72</x:v>
      </x:c>
      <x:c r="Q2841" s="24"/>
      <x:c r="R2841" s="24"/>
      <x:c r="S2841" s="26" t="n">
        <x:v>46113</x:v>
      </x:c>
      <x:c r="T2841" s="26"/>
      <x:c r="U2841" s="24" t="str">
        <x:v>ATIVA/SEM FIM INFORMADO</x:v>
      </x:c>
      <x:c r="V2841" s="24" t="str">
        <x:v>Programa de Parcerias ZEISS</x:v>
      </x:c>
      <x:c r="W2841" s="24" t="n">
        <x:v>46</x:v>
      </x:c>
      <x:c r="X2841" s="24" t="str">
        <x:v>tabela_zeiss.pdf</x:v>
      </x:c>
      <x:c r="Y2841" s="24" t="str">
        <x:v>alta</x:v>
      </x:c>
      <x:c r="Z2841" s="24"/>
      <x:c r="AA2841" s="24" t="str">
        <x:v>ZEISS|Progressiva|Surfaçada|GT2|PhotoFusion X|Poli||DuraVision Gold UV|-10.00 a +6.00|-6.00|1.00 a 3.00|72|||46</x:v>
      </x:c>
    </x:row>
    <x:row r="2842">
      <x:c r="A2842" s="24" t="str">
        <x:v>ZS-77965C419A71</x:v>
      </x:c>
      <x:c r="B2842" s="24" t="str">
        <x:v>SIM</x:v>
      </x:c>
      <x:c r="C2842" s="24" t="str">
        <x:v>DISPONÍVEL</x:v>
      </x:c>
      <x:c r="D2842" s="24" t="str">
        <x:v>ZEISS</x:v>
      </x:c>
      <x:c r="E2842" s="24" t="str">
        <x:v>Progressiva</x:v>
      </x:c>
      <x:c r="F2842" s="24" t="str">
        <x:v>Surfaçada</x:v>
      </x:c>
      <x:c r="G2842" s="24" t="str">
        <x:v>GT2</x:v>
      </x:c>
      <x:c r="H2842" s="24" t="str">
        <x:v>PhotoFusion X</x:v>
      </x:c>
      <x:c r="I2842" s="24" t="str">
        <x:v>Poli</x:v>
      </x:c>
      <x:c r="J2842" s="24"/>
      <x:c r="K2842" s="24" t="str">
        <x:v>DuraVision Platinum UV</x:v>
      </x:c>
      <x:c r="L2842" s="40" t="n">
        <x:v>3629</x:v>
      </x:c>
      <x:c r="M2842" s="24" t="str">
        <x:v>-10.00 a +6.00</x:v>
      </x:c>
      <x:c r="N2842" s="24" t="str">
        <x:v>-6.00</x:v>
      </x:c>
      <x:c r="O2842" s="24" t="str">
        <x:v>1.00 a 3.00</x:v>
      </x:c>
      <x:c r="P2842" s="24" t="str">
        <x:v>72</x:v>
      </x:c>
      <x:c r="Q2842" s="24"/>
      <x:c r="R2842" s="24"/>
      <x:c r="S2842" s="26" t="n">
        <x:v>46113</x:v>
      </x:c>
      <x:c r="T2842" s="26"/>
      <x:c r="U2842" s="24" t="str">
        <x:v>ATIVA/SEM FIM INFORMADO</x:v>
      </x:c>
      <x:c r="V2842" s="24" t="str">
        <x:v>Programa de Parcerias ZEISS</x:v>
      </x:c>
      <x:c r="W2842" s="24" t="n">
        <x:v>46</x:v>
      </x:c>
      <x:c r="X2842" s="24" t="str">
        <x:v>tabela_zeiss.pdf</x:v>
      </x:c>
      <x:c r="Y2842" s="24" t="str">
        <x:v>alta</x:v>
      </x:c>
      <x:c r="Z2842" s="24"/>
      <x:c r="AA2842" s="24" t="str">
        <x:v>ZEISS|Progressiva|Surfaçada|GT2|PhotoFusion X|Poli||DuraVision Platinum UV|-10.00 a +6.00|-6.00|1.00 a 3.00|72|||46</x:v>
      </x:c>
    </x:row>
    <x:row r="2843">
      <x:c r="A2843" s="24" t="str">
        <x:v>ZS-7FC01C8C6DFF</x:v>
      </x:c>
      <x:c r="B2843" s="24" t="str">
        <x:v>SIM</x:v>
      </x:c>
      <x:c r="C2843" s="24" t="str">
        <x:v>DISPONÍVEL</x:v>
      </x:c>
      <x:c r="D2843" s="24" t="str">
        <x:v>ZEISS</x:v>
      </x:c>
      <x:c r="E2843" s="24" t="str">
        <x:v>Progressiva</x:v>
      </x:c>
      <x:c r="F2843" s="24" t="str">
        <x:v>Surfaçada</x:v>
      </x:c>
      <x:c r="G2843" s="24" t="str">
        <x:v>GT2</x:v>
      </x:c>
      <x:c r="H2843" s="24" t="str">
        <x:v>PhotoFusion X</x:v>
      </x:c>
      <x:c r="I2843" s="24" t="str">
        <x:v>Poli</x:v>
      </x:c>
      <x:c r="J2843" s="24"/>
      <x:c r="K2843" s="24" t="str">
        <x:v>DuraVision Silver UV</x:v>
      </x:c>
      <x:c r="L2843" s="40" t="n">
        <x:v>3369</x:v>
      </x:c>
      <x:c r="M2843" s="24" t="str">
        <x:v>-10.00 a +6.00</x:v>
      </x:c>
      <x:c r="N2843" s="24" t="str">
        <x:v>-6.00</x:v>
      </x:c>
      <x:c r="O2843" s="24" t="str">
        <x:v>1.00 a 3.00</x:v>
      </x:c>
      <x:c r="P2843" s="24" t="str">
        <x:v>72</x:v>
      </x:c>
      <x:c r="Q2843" s="24"/>
      <x:c r="R2843" s="24"/>
      <x:c r="S2843" s="26" t="n">
        <x:v>46113</x:v>
      </x:c>
      <x:c r="T2843" s="26"/>
      <x:c r="U2843" s="24" t="str">
        <x:v>ATIVA/SEM FIM INFORMADO</x:v>
      </x:c>
      <x:c r="V2843" s="24" t="str">
        <x:v>Programa de Parcerias ZEISS</x:v>
      </x:c>
      <x:c r="W2843" s="24" t="n">
        <x:v>46</x:v>
      </x:c>
      <x:c r="X2843" s="24" t="str">
        <x:v>tabela_zeiss.pdf</x:v>
      </x:c>
      <x:c r="Y2843" s="24" t="str">
        <x:v>alta</x:v>
      </x:c>
      <x:c r="Z2843" s="24"/>
      <x:c r="AA2843" s="24" t="str">
        <x:v>ZEISS|Progressiva|Surfaçada|GT2|PhotoFusion X|Poli||DuraVision Silver UV|-10.00 a +6.00|-6.00|1.00 a 3.00|72|||46</x:v>
      </x:c>
    </x:row>
    <x:row r="2844">
      <x:c r="A2844" s="24" t="str">
        <x:v>ZS-855BB808D803</x:v>
      </x:c>
      <x:c r="B2844" s="24" t="str">
        <x:v>SIM</x:v>
      </x:c>
      <x:c r="C2844" s="24" t="str">
        <x:v>DISPONÍVEL</x:v>
      </x:c>
      <x:c r="D2844" s="24" t="str">
        <x:v>ZEISS</x:v>
      </x:c>
      <x:c r="E2844" s="24" t="str">
        <x:v>Progressiva</x:v>
      </x:c>
      <x:c r="F2844" s="24" t="str">
        <x:v>Surfaçada</x:v>
      </x:c>
      <x:c r="G2844" s="24" t="str">
        <x:v>GT2</x:v>
      </x:c>
      <x:c r="H2844" s="24" t="str">
        <x:v>PhotoFusion X</x:v>
      </x:c>
      <x:c r="I2844" s="24" t="str">
        <x:v>Poli</x:v>
      </x:c>
      <x:c r="J2844" s="24"/>
      <x:c r="K2844" s="24" t="str">
        <x:v>DuraVision Chrome UV</x:v>
      </x:c>
      <x:c r="L2844" s="40" t="n">
        <x:v>2879</x:v>
      </x:c>
      <x:c r="M2844" s="24" t="str">
        <x:v>-10.00 a +6.00</x:v>
      </x:c>
      <x:c r="N2844" s="24" t="str">
        <x:v>-6.00</x:v>
      </x:c>
      <x:c r="O2844" s="24" t="str">
        <x:v>1.00 a 3.00</x:v>
      </x:c>
      <x:c r="P2844" s="24" t="str">
        <x:v>72</x:v>
      </x:c>
      <x:c r="Q2844" s="24"/>
      <x:c r="R2844" s="24"/>
      <x:c r="S2844" s="26" t="n">
        <x:v>46113</x:v>
      </x:c>
      <x:c r="T2844" s="26"/>
      <x:c r="U2844" s="24" t="str">
        <x:v>ATIVA/SEM FIM INFORMADO</x:v>
      </x:c>
      <x:c r="V2844" s="24" t="str">
        <x:v>Programa de Parcerias ZEISS</x:v>
      </x:c>
      <x:c r="W2844" s="24" t="n">
        <x:v>46</x:v>
      </x:c>
      <x:c r="X2844" s="24" t="str">
        <x:v>tabela_zeiss.pdf</x:v>
      </x:c>
      <x:c r="Y2844" s="24" t="str">
        <x:v>alta</x:v>
      </x:c>
      <x:c r="Z2844" s="24"/>
      <x:c r="AA2844" s="24" t="str">
        <x:v>ZEISS|Progressiva|Surfaçada|GT2|PhotoFusion X|Poli||DuraVision Chrome UV|-10.00 a +6.00|-6.00|1.00 a 3.00|72|||46</x:v>
      </x:c>
    </x:row>
    <x:row r="2845">
      <x:c r="A2845" s="24" t="str">
        <x:v>ZS-8C066B3263CF</x:v>
      </x:c>
      <x:c r="B2845" s="24" t="str">
        <x:v>SIM</x:v>
      </x:c>
      <x:c r="C2845" s="24" t="str">
        <x:v>DISPONÍVEL</x:v>
      </x:c>
      <x:c r="D2845" s="24" t="str">
        <x:v>ZEISS</x:v>
      </x:c>
      <x:c r="E2845" s="24" t="str">
        <x:v>Progressiva</x:v>
      </x:c>
      <x:c r="F2845" s="24" t="str">
        <x:v>Surfaçada</x:v>
      </x:c>
      <x:c r="G2845" s="24" t="str">
        <x:v>GT2</x:v>
      </x:c>
      <x:c r="H2845" s="24" t="str">
        <x:v>PhotoFusion X</x:v>
      </x:c>
      <x:c r="I2845" s="24" t="str">
        <x:v>Poli</x:v>
      </x:c>
      <x:c r="J2845" s="24"/>
      <x:c r="K2845" s="24" t="str">
        <x:v>Sem AR</x:v>
      </x:c>
      <x:c r="L2845" s="40" t="n">
        <x:v>2479</x:v>
      </x:c>
      <x:c r="M2845" s="24" t="str">
        <x:v>-10.00 a +6.00</x:v>
      </x:c>
      <x:c r="N2845" s="24" t="str">
        <x:v>-6.00</x:v>
      </x:c>
      <x:c r="O2845" s="24" t="str">
        <x:v>1.00 a 3.00</x:v>
      </x:c>
      <x:c r="P2845" s="24" t="str">
        <x:v>72</x:v>
      </x:c>
      <x:c r="Q2845" s="24"/>
      <x:c r="R2845" s="24"/>
      <x:c r="S2845" s="26" t="n">
        <x:v>46113</x:v>
      </x:c>
      <x:c r="T2845" s="26"/>
      <x:c r="U2845" s="24" t="str">
        <x:v>ATIVA/SEM FIM INFORMADO</x:v>
      </x:c>
      <x:c r="V2845" s="24" t="str">
        <x:v>Programa de Parcerias ZEISS</x:v>
      </x:c>
      <x:c r="W2845" s="24" t="n">
        <x:v>46</x:v>
      </x:c>
      <x:c r="X2845" s="24" t="str">
        <x:v>tabela_zeiss.pdf</x:v>
      </x:c>
      <x:c r="Y2845" s="24" t="str">
        <x:v>alta</x:v>
      </x:c>
      <x:c r="Z2845" s="24"/>
      <x:c r="AA2845" s="24" t="str">
        <x:v>ZEISS|Progressiva|Surfaçada|GT2|PhotoFusion X|Poli||Sem AR|-10.00 a +6.00|-6.00|1.00 a 3.00|72|||46</x:v>
      </x:c>
    </x:row>
    <x:row r="2846">
      <x:c r="A2846" s="24" t="str">
        <x:v>ZS-0EC0B7EFEF37</x:v>
      </x:c>
      <x:c r="B2846" s="24" t="str">
        <x:v>SIM</x:v>
      </x:c>
      <x:c r="C2846" s="24" t="str">
        <x:v>DISPONÍVEL</x:v>
      </x:c>
      <x:c r="D2846" s="24" t="str">
        <x:v>ZEISS</x:v>
      </x:c>
      <x:c r="E2846" s="24" t="str">
        <x:v>Progressiva</x:v>
      </x:c>
      <x:c r="F2846" s="24" t="str">
        <x:v>Surfaçada</x:v>
      </x:c>
      <x:c r="G2846" s="24" t="str">
        <x:v>GT2</x:v>
      </x:c>
      <x:c r="H2846" s="24" t="str">
        <x:v>PhotoFusion X</x:v>
      </x:c>
      <x:c r="I2846" s="24" t="str">
        <x:v>1.60</x:v>
      </x:c>
      <x:c r="J2846" s="24" t="str">
        <x:v>1.60</x:v>
      </x:c>
      <x:c r="K2846" s="24" t="str">
        <x:v>DuraVision Gold UV</x:v>
      </x:c>
      <x:c r="L2846" s="40" t="n">
        <x:v>3989</x:v>
      </x:c>
      <x:c r="M2846" s="24" t="str">
        <x:v>-12.00 a -7.50</x:v>
      </x:c>
      <x:c r="N2846" s="24" t="str">
        <x:v>-6.00</x:v>
      </x:c>
      <x:c r="O2846" s="24" t="str">
        <x:v>1.00 a 3.00</x:v>
      </x:c>
      <x:c r="P2846" s="24" t="str">
        <x:v>74</x:v>
      </x:c>
      <x:c r="Q2846" s="24"/>
      <x:c r="R2846" s="24"/>
      <x:c r="S2846" s="26" t="n">
        <x:v>46113</x:v>
      </x:c>
      <x:c r="T2846" s="26"/>
      <x:c r="U2846" s="24" t="str">
        <x:v>ATIVA/SEM FIM INFORMADO</x:v>
      </x:c>
      <x:c r="V2846" s="24" t="str">
        <x:v>Programa de Parcerias ZEISS</x:v>
      </x:c>
      <x:c r="W2846" s="24" t="n">
        <x:v>46</x:v>
      </x:c>
      <x:c r="X2846" s="24" t="str">
        <x:v>tabela_zeiss.pdf</x:v>
      </x:c>
      <x:c r="Y2846" s="24" t="str">
        <x:v>alta</x:v>
      </x:c>
      <x:c r="Z2846" s="24"/>
      <x:c r="AA2846" s="24" t="str">
        <x:v>ZEISS|Progressiva|Surfaçada|GT2|PhotoFusion X|1.60|1.60|DuraVision Gold UV|-12.00 a -7.50|-6.00|1.00 a 3.00|74|||46</x:v>
      </x:c>
    </x:row>
    <x:row r="2847">
      <x:c r="A2847" s="24" t="str">
        <x:v>ZS-37833744A512</x:v>
      </x:c>
      <x:c r="B2847" s="24" t="str">
        <x:v>SIM</x:v>
      </x:c>
      <x:c r="C2847" s="24" t="str">
        <x:v>DISPONÍVEL</x:v>
      </x:c>
      <x:c r="D2847" s="24" t="str">
        <x:v>ZEISS</x:v>
      </x:c>
      <x:c r="E2847" s="24" t="str">
        <x:v>Progressiva</x:v>
      </x:c>
      <x:c r="F2847" s="24" t="str">
        <x:v>Surfaçada</x:v>
      </x:c>
      <x:c r="G2847" s="24" t="str">
        <x:v>GT2</x:v>
      </x:c>
      <x:c r="H2847" s="24" t="str">
        <x:v>PhotoFusion X</x:v>
      </x:c>
      <x:c r="I2847" s="24" t="str">
        <x:v>1.60</x:v>
      </x:c>
      <x:c r="J2847" s="24" t="str">
        <x:v>1.60</x:v>
      </x:c>
      <x:c r="K2847" s="24" t="str">
        <x:v>DuraVision Platinum UV</x:v>
      </x:c>
      <x:c r="L2847" s="40" t="n">
        <x:v>3849</x:v>
      </x:c>
      <x:c r="M2847" s="24" t="str">
        <x:v>-12.00 a -7.50</x:v>
      </x:c>
      <x:c r="N2847" s="24" t="str">
        <x:v>-6.00</x:v>
      </x:c>
      <x:c r="O2847" s="24" t="str">
        <x:v>1.00 a 3.00</x:v>
      </x:c>
      <x:c r="P2847" s="24" t="str">
        <x:v>74</x:v>
      </x:c>
      <x:c r="Q2847" s="24"/>
      <x:c r="R2847" s="24"/>
      <x:c r="S2847" s="26" t="n">
        <x:v>46113</x:v>
      </x:c>
      <x:c r="T2847" s="26"/>
      <x:c r="U2847" s="24" t="str">
        <x:v>ATIVA/SEM FIM INFORMADO</x:v>
      </x:c>
      <x:c r="V2847" s="24" t="str">
        <x:v>Programa de Parcerias ZEISS</x:v>
      </x:c>
      <x:c r="W2847" s="24" t="n">
        <x:v>46</x:v>
      </x:c>
      <x:c r="X2847" s="24" t="str">
        <x:v>tabela_zeiss.pdf</x:v>
      </x:c>
      <x:c r="Y2847" s="24" t="str">
        <x:v>alta</x:v>
      </x:c>
      <x:c r="Z2847" s="24"/>
      <x:c r="AA2847" s="24" t="str">
        <x:v>ZEISS|Progressiva|Surfaçada|GT2|PhotoFusion X|1.60|1.60|DuraVision Platinum UV|-12.00 a -7.50|-6.00|1.00 a 3.00|74|||46</x:v>
      </x:c>
    </x:row>
    <x:row r="2848">
      <x:c r="A2848" s="24" t="str">
        <x:v>ZS-FF7C868C93AD</x:v>
      </x:c>
      <x:c r="B2848" s="24" t="str">
        <x:v>SIM</x:v>
      </x:c>
      <x:c r="C2848" s="24" t="str">
        <x:v>DISPONÍVEL</x:v>
      </x:c>
      <x:c r="D2848" s="24" t="str">
        <x:v>ZEISS</x:v>
      </x:c>
      <x:c r="E2848" s="24" t="str">
        <x:v>Progressiva</x:v>
      </x:c>
      <x:c r="F2848" s="24" t="str">
        <x:v>Surfaçada</x:v>
      </x:c>
      <x:c r="G2848" s="24" t="str">
        <x:v>GT2</x:v>
      </x:c>
      <x:c r="H2848" s="24" t="str">
        <x:v>PhotoFusion X</x:v>
      </x:c>
      <x:c r="I2848" s="24" t="str">
        <x:v>1.60</x:v>
      </x:c>
      <x:c r="J2848" s="24" t="str">
        <x:v>1.60</x:v>
      </x:c>
      <x:c r="K2848" s="24" t="str">
        <x:v>DuraVision Silver UV</x:v>
      </x:c>
      <x:c r="L2848" s="40" t="n">
        <x:v>3589</x:v>
      </x:c>
      <x:c r="M2848" s="24" t="str">
        <x:v>-12.00 a -7.50</x:v>
      </x:c>
      <x:c r="N2848" s="24" t="str">
        <x:v>-6.00</x:v>
      </x:c>
      <x:c r="O2848" s="24" t="str">
        <x:v>1.00 a 3.00</x:v>
      </x:c>
      <x:c r="P2848" s="24" t="str">
        <x:v>74</x:v>
      </x:c>
      <x:c r="Q2848" s="24"/>
      <x:c r="R2848" s="24"/>
      <x:c r="S2848" s="26" t="n">
        <x:v>46113</x:v>
      </x:c>
      <x:c r="T2848" s="26"/>
      <x:c r="U2848" s="24" t="str">
        <x:v>ATIVA/SEM FIM INFORMADO</x:v>
      </x:c>
      <x:c r="V2848" s="24" t="str">
        <x:v>Programa de Parcerias ZEISS</x:v>
      </x:c>
      <x:c r="W2848" s="24" t="n">
        <x:v>46</x:v>
      </x:c>
      <x:c r="X2848" s="24" t="str">
        <x:v>tabela_zeiss.pdf</x:v>
      </x:c>
      <x:c r="Y2848" s="24" t="str">
        <x:v>alta</x:v>
      </x:c>
      <x:c r="Z2848" s="24"/>
      <x:c r="AA2848" s="24" t="str">
        <x:v>ZEISS|Progressiva|Surfaçada|GT2|PhotoFusion X|1.60|1.60|DuraVision Silver UV|-12.00 a -7.50|-6.00|1.00 a 3.00|74|||46</x:v>
      </x:c>
    </x:row>
    <x:row r="2849">
      <x:c r="A2849" s="24" t="str">
        <x:v>ZS-ADD11956A27A</x:v>
      </x:c>
      <x:c r="B2849" s="24" t="str">
        <x:v>SIM</x:v>
      </x:c>
      <x:c r="C2849" s="24" t="str">
        <x:v>DISPONÍVEL</x:v>
      </x:c>
      <x:c r="D2849" s="24" t="str">
        <x:v>ZEISS</x:v>
      </x:c>
      <x:c r="E2849" s="24" t="str">
        <x:v>Progressiva</x:v>
      </x:c>
      <x:c r="F2849" s="24" t="str">
        <x:v>Surfaçada</x:v>
      </x:c>
      <x:c r="G2849" s="24" t="str">
        <x:v>GT2</x:v>
      </x:c>
      <x:c r="H2849" s="24" t="str">
        <x:v>PhotoFusion X</x:v>
      </x:c>
      <x:c r="I2849" s="24" t="str">
        <x:v>1.60</x:v>
      </x:c>
      <x:c r="J2849" s="24" t="str">
        <x:v>1.60</x:v>
      </x:c>
      <x:c r="K2849" s="24" t="str">
        <x:v>DuraVision Chrome UV</x:v>
      </x:c>
      <x:c r="L2849" s="40" t="n">
        <x:v>3099</x:v>
      </x:c>
      <x:c r="M2849" s="24" t="str">
        <x:v>-12.00 a -7.50</x:v>
      </x:c>
      <x:c r="N2849" s="24" t="str">
        <x:v>-6.00</x:v>
      </x:c>
      <x:c r="O2849" s="24" t="str">
        <x:v>1.00 a 3.00</x:v>
      </x:c>
      <x:c r="P2849" s="24" t="str">
        <x:v>74</x:v>
      </x:c>
      <x:c r="Q2849" s="24"/>
      <x:c r="R2849" s="24"/>
      <x:c r="S2849" s="26" t="n">
        <x:v>46113</x:v>
      </x:c>
      <x:c r="T2849" s="26"/>
      <x:c r="U2849" s="24" t="str">
        <x:v>ATIVA/SEM FIM INFORMADO</x:v>
      </x:c>
      <x:c r="V2849" s="24" t="str">
        <x:v>Programa de Parcerias ZEISS</x:v>
      </x:c>
      <x:c r="W2849" s="24" t="n">
        <x:v>46</x:v>
      </x:c>
      <x:c r="X2849" s="24" t="str">
        <x:v>tabela_zeiss.pdf</x:v>
      </x:c>
      <x:c r="Y2849" s="24" t="str">
        <x:v>alta</x:v>
      </x:c>
      <x:c r="Z2849" s="24"/>
      <x:c r="AA2849" s="24" t="str">
        <x:v>ZEISS|Progressiva|Surfaçada|GT2|PhotoFusion X|1.60|1.60|DuraVision Chrome UV|-12.00 a -7.50|-6.00|1.00 a 3.00|74|||46</x:v>
      </x:c>
    </x:row>
    <x:row r="2850">
      <x:c r="A2850" s="24" t="str">
        <x:v>ZS-54045368A17C</x:v>
      </x:c>
      <x:c r="B2850" s="24" t="str">
        <x:v>SIM</x:v>
      </x:c>
      <x:c r="C2850" s="24" t="str">
        <x:v>DISPONÍVEL</x:v>
      </x:c>
      <x:c r="D2850" s="24" t="str">
        <x:v>ZEISS</x:v>
      </x:c>
      <x:c r="E2850" s="24" t="str">
        <x:v>Progressiva</x:v>
      </x:c>
      <x:c r="F2850" s="24" t="str">
        <x:v>Surfaçada</x:v>
      </x:c>
      <x:c r="G2850" s="24" t="str">
        <x:v>GT2</x:v>
      </x:c>
      <x:c r="H2850" s="24" t="str">
        <x:v>PhotoFusion X</x:v>
      </x:c>
      <x:c r="I2850" s="24" t="str">
        <x:v>1.67</x:v>
      </x:c>
      <x:c r="J2850" s="24" t="str">
        <x:v>1.67</x:v>
      </x:c>
      <x:c r="K2850" s="24" t="str">
        <x:v>DuraVision Gold UV</x:v>
      </x:c>
      <x:c r="L2850" s="40" t="n">
        <x:v>5289</x:v>
      </x:c>
      <x:c r="M2850" s="24" t="str">
        <x:v>-12.00 a -7.50</x:v>
      </x:c>
      <x:c r="N2850" s="24" t="str">
        <x:v>-6.00</x:v>
      </x:c>
      <x:c r="O2850" s="24" t="str">
        <x:v>1.00 a 3.00</x:v>
      </x:c>
      <x:c r="P2850" s="24" t="str">
        <x:v>74</x:v>
      </x:c>
      <x:c r="Q2850" s="24"/>
      <x:c r="R2850" s="24"/>
      <x:c r="S2850" s="26" t="n">
        <x:v>46113</x:v>
      </x:c>
      <x:c r="T2850" s="26"/>
      <x:c r="U2850" s="24" t="str">
        <x:v>ATIVA/SEM FIM INFORMADO</x:v>
      </x:c>
      <x:c r="V2850" s="24" t="str">
        <x:v>Programa de Parcerias ZEISS</x:v>
      </x:c>
      <x:c r="W2850" s="24" t="n">
        <x:v>46</x:v>
      </x:c>
      <x:c r="X2850" s="24" t="str">
        <x:v>tabela_zeiss.pdf</x:v>
      </x:c>
      <x:c r="Y2850" s="24" t="str">
        <x:v>alta</x:v>
      </x:c>
      <x:c r="Z2850" s="24"/>
      <x:c r="AA2850" s="24" t="str">
        <x:v>ZEISS|Progressiva|Surfaçada|GT2|PhotoFusion X|1.67|1.67|DuraVision Gold UV|-12.00 a -7.50|-6.00|1.00 a 3.00|74|||46</x:v>
      </x:c>
    </x:row>
    <x:row r="2851">
      <x:c r="A2851" s="24" t="str">
        <x:v>ZS-FBAE95784816</x:v>
      </x:c>
      <x:c r="B2851" s="24" t="str">
        <x:v>SIM</x:v>
      </x:c>
      <x:c r="C2851" s="24" t="str">
        <x:v>DISPONÍVEL</x:v>
      </x:c>
      <x:c r="D2851" s="24" t="str">
        <x:v>ZEISS</x:v>
      </x:c>
      <x:c r="E2851" s="24" t="str">
        <x:v>Progressiva</x:v>
      </x:c>
      <x:c r="F2851" s="24" t="str">
        <x:v>Surfaçada</x:v>
      </x:c>
      <x:c r="G2851" s="24" t="str">
        <x:v>GT2</x:v>
      </x:c>
      <x:c r="H2851" s="24" t="str">
        <x:v>PhotoFusion X</x:v>
      </x:c>
      <x:c r="I2851" s="24" t="str">
        <x:v>1.67</x:v>
      </x:c>
      <x:c r="J2851" s="24" t="str">
        <x:v>1.67</x:v>
      </x:c>
      <x:c r="K2851" s="24" t="str">
        <x:v>DuraVision Platinum UV</x:v>
      </x:c>
      <x:c r="L2851" s="40" t="n">
        <x:v>5149</x:v>
      </x:c>
      <x:c r="M2851" s="24" t="str">
        <x:v>-12.00 a -7.50</x:v>
      </x:c>
      <x:c r="N2851" s="24" t="str">
        <x:v>-6.00</x:v>
      </x:c>
      <x:c r="O2851" s="24" t="str">
        <x:v>1.00 a 3.00</x:v>
      </x:c>
      <x:c r="P2851" s="24" t="str">
        <x:v>74</x:v>
      </x:c>
      <x:c r="Q2851" s="24"/>
      <x:c r="R2851" s="24"/>
      <x:c r="S2851" s="26" t="n">
        <x:v>46113</x:v>
      </x:c>
      <x:c r="T2851" s="26"/>
      <x:c r="U2851" s="24" t="str">
        <x:v>ATIVA/SEM FIM INFORMADO</x:v>
      </x:c>
      <x:c r="V2851" s="24" t="str">
        <x:v>Programa de Parcerias ZEISS</x:v>
      </x:c>
      <x:c r="W2851" s="24" t="n">
        <x:v>46</x:v>
      </x:c>
      <x:c r="X2851" s="24" t="str">
        <x:v>tabela_zeiss.pdf</x:v>
      </x:c>
      <x:c r="Y2851" s="24" t="str">
        <x:v>alta</x:v>
      </x:c>
      <x:c r="Z2851" s="24"/>
      <x:c r="AA2851" s="24" t="str">
        <x:v>ZEISS|Progressiva|Surfaçada|GT2|PhotoFusion X|1.67|1.67|DuraVision Platinum UV|-12.00 a -7.50|-6.00|1.00 a 3.00|74|||46</x:v>
      </x:c>
    </x:row>
    <x:row r="2852">
      <x:c r="A2852" s="24" t="str">
        <x:v>ZS-DF56E0118F42</x:v>
      </x:c>
      <x:c r="B2852" s="24" t="str">
        <x:v>SIM</x:v>
      </x:c>
      <x:c r="C2852" s="24" t="str">
        <x:v>DISPONÍVEL</x:v>
      </x:c>
      <x:c r="D2852" s="24" t="str">
        <x:v>ZEISS</x:v>
      </x:c>
      <x:c r="E2852" s="24" t="str">
        <x:v>Progressiva</x:v>
      </x:c>
      <x:c r="F2852" s="24" t="str">
        <x:v>Surfaçada</x:v>
      </x:c>
      <x:c r="G2852" s="24" t="str">
        <x:v>GT2</x:v>
      </x:c>
      <x:c r="H2852" s="24" t="str">
        <x:v>PhotoFusion X</x:v>
      </x:c>
      <x:c r="I2852" s="24" t="str">
        <x:v>1.67</x:v>
      </x:c>
      <x:c r="J2852" s="24" t="str">
        <x:v>1.67</x:v>
      </x:c>
      <x:c r="K2852" s="24" t="str">
        <x:v>DuraVision Silver UV</x:v>
      </x:c>
      <x:c r="L2852" s="40" t="n">
        <x:v>4889</x:v>
      </x:c>
      <x:c r="M2852" s="24" t="str">
        <x:v>-12.00 a -7.50</x:v>
      </x:c>
      <x:c r="N2852" s="24" t="str">
        <x:v>-6.00</x:v>
      </x:c>
      <x:c r="O2852" s="24" t="str">
        <x:v>1.00 a 3.00</x:v>
      </x:c>
      <x:c r="P2852" s="24" t="str">
        <x:v>74</x:v>
      </x:c>
      <x:c r="Q2852" s="24"/>
      <x:c r="R2852" s="24"/>
      <x:c r="S2852" s="26" t="n">
        <x:v>46113</x:v>
      </x:c>
      <x:c r="T2852" s="26"/>
      <x:c r="U2852" s="24" t="str">
        <x:v>ATIVA/SEM FIM INFORMADO</x:v>
      </x:c>
      <x:c r="V2852" s="24" t="str">
        <x:v>Programa de Parcerias ZEISS</x:v>
      </x:c>
      <x:c r="W2852" s="24" t="n">
        <x:v>46</x:v>
      </x:c>
      <x:c r="X2852" s="24" t="str">
        <x:v>tabela_zeiss.pdf</x:v>
      </x:c>
      <x:c r="Y2852" s="24" t="str">
        <x:v>alta</x:v>
      </x:c>
      <x:c r="Z2852" s="24"/>
      <x:c r="AA2852" s="24" t="str">
        <x:v>ZEISS|Progressiva|Surfaçada|GT2|PhotoFusion X|1.67|1.67|DuraVision Silver UV|-12.00 a -7.50|-6.00|1.00 a 3.00|74|||46</x:v>
      </x:c>
    </x:row>
    <x:row r="2853">
      <x:c r="A2853" s="24" t="str">
        <x:v>ZS-222560D8DFC1</x:v>
      </x:c>
      <x:c r="B2853" s="24" t="str">
        <x:v>SIM</x:v>
      </x:c>
      <x:c r="C2853" s="24" t="str">
        <x:v>DISPONÍVEL</x:v>
      </x:c>
      <x:c r="D2853" s="24" t="str">
        <x:v>ZEISS</x:v>
      </x:c>
      <x:c r="E2853" s="24" t="str">
        <x:v>Progressiva</x:v>
      </x:c>
      <x:c r="F2853" s="24" t="str">
        <x:v>Surfaçada</x:v>
      </x:c>
      <x:c r="G2853" s="24" t="str">
        <x:v>GT2</x:v>
      </x:c>
      <x:c r="H2853" s="24" t="str">
        <x:v>PhotoFusion X</x:v>
      </x:c>
      <x:c r="I2853" s="24" t="str">
        <x:v>1.67</x:v>
      </x:c>
      <x:c r="J2853" s="24" t="str">
        <x:v>1.67</x:v>
      </x:c>
      <x:c r="K2853" s="24" t="str">
        <x:v>DuraVision Chrome UV</x:v>
      </x:c>
      <x:c r="L2853" s="40" t="n">
        <x:v>4399</x:v>
      </x:c>
      <x:c r="M2853" s="24" t="str">
        <x:v>-12.00 a -7.50</x:v>
      </x:c>
      <x:c r="N2853" s="24" t="str">
        <x:v>-6.00</x:v>
      </x:c>
      <x:c r="O2853" s="24" t="str">
        <x:v>1.00 a 3.00</x:v>
      </x:c>
      <x:c r="P2853" s="24" t="str">
        <x:v>74</x:v>
      </x:c>
      <x:c r="Q2853" s="24"/>
      <x:c r="R2853" s="24"/>
      <x:c r="S2853" s="26" t="n">
        <x:v>46113</x:v>
      </x:c>
      <x:c r="T2853" s="26"/>
      <x:c r="U2853" s="24" t="str">
        <x:v>ATIVA/SEM FIM INFORMADO</x:v>
      </x:c>
      <x:c r="V2853" s="24" t="str">
        <x:v>Programa de Parcerias ZEISS</x:v>
      </x:c>
      <x:c r="W2853" s="24" t="n">
        <x:v>46</x:v>
      </x:c>
      <x:c r="X2853" s="24" t="str">
        <x:v>tabela_zeiss.pdf</x:v>
      </x:c>
      <x:c r="Y2853" s="24" t="str">
        <x:v>alta</x:v>
      </x:c>
      <x:c r="Z2853" s="24"/>
      <x:c r="AA2853" s="24" t="str">
        <x:v>ZEISS|Progressiva|Surfaçada|GT2|PhotoFusion X|1.67|1.67|DuraVision Chrome UV|-12.00 a -7.50|-6.00|1.00 a 3.00|74|||46</x:v>
      </x:c>
    </x:row>
    <x:row r="2854">
      <x:c r="A2854" s="24" t="str">
        <x:v>ZS-DD2E35668B29</x:v>
      </x:c>
      <x:c r="B2854" s="24" t="str">
        <x:v>SIM</x:v>
      </x:c>
      <x:c r="C2854" s="24" t="str">
        <x:v>DISPONÍVEL</x:v>
      </x:c>
      <x:c r="D2854" s="24" t="str">
        <x:v>ZEISS</x:v>
      </x:c>
      <x:c r="E2854" s="24" t="str">
        <x:v>Progressiva</x:v>
      </x:c>
      <x:c r="F2854" s="24" t="str">
        <x:v>Surfaçada</x:v>
      </x:c>
      <x:c r="G2854" s="24" t="str">
        <x:v>GT2</x:v>
      </x:c>
      <x:c r="H2854" s="24" t="str">
        <x:v>PhotoFusion X Extra Dark Cinza</x:v>
      </x:c>
      <x:c r="I2854" s="24" t="str">
        <x:v>1.5</x:v>
      </x:c>
      <x:c r="J2854" s="24" t="str">
        <x:v>1.50</x:v>
      </x:c>
      <x:c r="K2854" s="24" t="str">
        <x:v>DuraVision Gold UV</x:v>
      </x:c>
      <x:c r="L2854" s="40" t="n">
        <x:v>3459</x:v>
      </x:c>
      <x:c r="M2854" s="24" t="str">
        <x:v>-7.00 a +5.00</x:v>
      </x:c>
      <x:c r="N2854" s="24" t="str">
        <x:v>-4.00</x:v>
      </x:c>
      <x:c r="O2854" s="24" t="str">
        <x:v>1.00 a 3.00</x:v>
      </x:c>
      <x:c r="P2854" s="24" t="str">
        <x:v>72</x:v>
      </x:c>
      <x:c r="Q2854" s="24"/>
      <x:c r="R2854" s="24"/>
      <x:c r="S2854" s="26" t="n">
        <x:v>46113</x:v>
      </x:c>
      <x:c r="T2854" s="26"/>
      <x:c r="U2854" s="24" t="str">
        <x:v>ATIVA/SEM FIM INFORMADO</x:v>
      </x:c>
      <x:c r="V2854" s="24" t="str">
        <x:v>Programa de Parcerias ZEISS</x:v>
      </x:c>
      <x:c r="W2854" s="24" t="n">
        <x:v>46</x:v>
      </x:c>
      <x:c r="X2854" s="24" t="str">
        <x:v>tabela_zeiss.pdf</x:v>
      </x:c>
      <x:c r="Y2854" s="24" t="str">
        <x:v>alta</x:v>
      </x:c>
      <x:c r="Z2854" s="24"/>
      <x:c r="AA2854" s="24" t="str">
        <x:v>ZEISS|Progressiva|Surfaçada|GT2|PhotoFusion X Extra Dark Cinza|1.5|1.50|DuraVision Gold UV|-7.00 a +5.00|-4.00|1.00 a 3.00|72|||46</x:v>
      </x:c>
    </x:row>
    <x:row r="2855">
      <x:c r="A2855" s="24" t="str">
        <x:v>ZS-FB30AC205D83</x:v>
      </x:c>
      <x:c r="B2855" s="24" t="str">
        <x:v>SIM</x:v>
      </x:c>
      <x:c r="C2855" s="24" t="str">
        <x:v>DISPONÍVEL</x:v>
      </x:c>
      <x:c r="D2855" s="24" t="str">
        <x:v>ZEISS</x:v>
      </x:c>
      <x:c r="E2855" s="24" t="str">
        <x:v>Progressiva</x:v>
      </x:c>
      <x:c r="F2855" s="24" t="str">
        <x:v>Surfaçada</x:v>
      </x:c>
      <x:c r="G2855" s="24" t="str">
        <x:v>GT2</x:v>
      </x:c>
      <x:c r="H2855" s="24" t="str">
        <x:v>PhotoFusion X Extra Dark Cinza</x:v>
      </x:c>
      <x:c r="I2855" s="24" t="str">
        <x:v>1.5</x:v>
      </x:c>
      <x:c r="J2855" s="24" t="str">
        <x:v>1.50</x:v>
      </x:c>
      <x:c r="K2855" s="24" t="str">
        <x:v>DuraVision Platinum UV</x:v>
      </x:c>
      <x:c r="L2855" s="40" t="n">
        <x:v>3319</x:v>
      </x:c>
      <x:c r="M2855" s="24" t="str">
        <x:v>-7.00 a +5.00</x:v>
      </x:c>
      <x:c r="N2855" s="24" t="str">
        <x:v>-4.00</x:v>
      </x:c>
      <x:c r="O2855" s="24" t="str">
        <x:v>1.00 a 3.00</x:v>
      </x:c>
      <x:c r="P2855" s="24" t="str">
        <x:v>72</x:v>
      </x:c>
      <x:c r="Q2855" s="24"/>
      <x:c r="R2855" s="24"/>
      <x:c r="S2855" s="26" t="n">
        <x:v>46113</x:v>
      </x:c>
      <x:c r="T2855" s="26"/>
      <x:c r="U2855" s="24" t="str">
        <x:v>ATIVA/SEM FIM INFORMADO</x:v>
      </x:c>
      <x:c r="V2855" s="24" t="str">
        <x:v>Programa de Parcerias ZEISS</x:v>
      </x:c>
      <x:c r="W2855" s="24" t="n">
        <x:v>46</x:v>
      </x:c>
      <x:c r="X2855" s="24" t="str">
        <x:v>tabela_zeiss.pdf</x:v>
      </x:c>
      <x:c r="Y2855" s="24" t="str">
        <x:v>alta</x:v>
      </x:c>
      <x:c r="Z2855" s="24"/>
      <x:c r="AA2855" s="24" t="str">
        <x:v>ZEISS|Progressiva|Surfaçada|GT2|PhotoFusion X Extra Dark Cinza|1.5|1.50|DuraVision Platinum UV|-7.00 a +5.00|-4.00|1.00 a 3.00|72|||46</x:v>
      </x:c>
    </x:row>
    <x:row r="2856">
      <x:c r="A2856" s="24" t="str">
        <x:v>ZS-2FC617B70B09</x:v>
      </x:c>
      <x:c r="B2856" s="24" t="str">
        <x:v>SIM</x:v>
      </x:c>
      <x:c r="C2856" s="24" t="str">
        <x:v>DISPONÍVEL</x:v>
      </x:c>
      <x:c r="D2856" s="24" t="str">
        <x:v>ZEISS</x:v>
      </x:c>
      <x:c r="E2856" s="24" t="str">
        <x:v>Progressiva</x:v>
      </x:c>
      <x:c r="F2856" s="24" t="str">
        <x:v>Surfaçada</x:v>
      </x:c>
      <x:c r="G2856" s="24" t="str">
        <x:v>GT2</x:v>
      </x:c>
      <x:c r="H2856" s="24" t="str">
        <x:v>PhotoFusion X Extra Dark Cinza</x:v>
      </x:c>
      <x:c r="I2856" s="24" t="str">
        <x:v>1.5</x:v>
      </x:c>
      <x:c r="J2856" s="24" t="str">
        <x:v>1.50</x:v>
      </x:c>
      <x:c r="K2856" s="24" t="str">
        <x:v>DuraVision Silver UV</x:v>
      </x:c>
      <x:c r="L2856" s="40" t="n">
        <x:v>3059</x:v>
      </x:c>
      <x:c r="M2856" s="24" t="str">
        <x:v>-7.00 a +5.00</x:v>
      </x:c>
      <x:c r="N2856" s="24" t="str">
        <x:v>-4.00</x:v>
      </x:c>
      <x:c r="O2856" s="24" t="str">
        <x:v>1.00 a 3.00</x:v>
      </x:c>
      <x:c r="P2856" s="24" t="str">
        <x:v>72</x:v>
      </x:c>
      <x:c r="Q2856" s="24"/>
      <x:c r="R2856" s="24"/>
      <x:c r="S2856" s="26" t="n">
        <x:v>46113</x:v>
      </x:c>
      <x:c r="T2856" s="26"/>
      <x:c r="U2856" s="24" t="str">
        <x:v>ATIVA/SEM FIM INFORMADO</x:v>
      </x:c>
      <x:c r="V2856" s="24" t="str">
        <x:v>Programa de Parcerias ZEISS</x:v>
      </x:c>
      <x:c r="W2856" s="24" t="n">
        <x:v>46</x:v>
      </x:c>
      <x:c r="X2856" s="24" t="str">
        <x:v>tabela_zeiss.pdf</x:v>
      </x:c>
      <x:c r="Y2856" s="24" t="str">
        <x:v>alta</x:v>
      </x:c>
      <x:c r="Z2856" s="24"/>
      <x:c r="AA2856" s="24" t="str">
        <x:v>ZEISS|Progressiva|Surfaçada|GT2|PhotoFusion X Extra Dark Cinza|1.5|1.50|DuraVision Silver UV|-7.00 a +5.00|-4.00|1.00 a 3.00|72|||46</x:v>
      </x:c>
    </x:row>
    <x:row r="2857">
      <x:c r="A2857" s="24" t="str">
        <x:v>ZS-72BD93C3EC6E</x:v>
      </x:c>
      <x:c r="B2857" s="24" t="str">
        <x:v>SIM</x:v>
      </x:c>
      <x:c r="C2857" s="24" t="str">
        <x:v>DISPONÍVEL</x:v>
      </x:c>
      <x:c r="D2857" s="24" t="str">
        <x:v>ZEISS</x:v>
      </x:c>
      <x:c r="E2857" s="24" t="str">
        <x:v>Progressiva</x:v>
      </x:c>
      <x:c r="F2857" s="24" t="str">
        <x:v>Surfaçada</x:v>
      </x:c>
      <x:c r="G2857" s="24" t="str">
        <x:v>GT2</x:v>
      </x:c>
      <x:c r="H2857" s="24" t="str">
        <x:v>PhotoFusion X Extra Dark Cinza</x:v>
      </x:c>
      <x:c r="I2857" s="24" t="str">
        <x:v>1.5</x:v>
      </x:c>
      <x:c r="J2857" s="24" t="str">
        <x:v>1.50</x:v>
      </x:c>
      <x:c r="K2857" s="24" t="str">
        <x:v>DuraVision Chrome UV</x:v>
      </x:c>
      <x:c r="L2857" s="40" t="n">
        <x:v>2569</x:v>
      </x:c>
      <x:c r="M2857" s="24" t="str">
        <x:v>-7.00 a +5.00</x:v>
      </x:c>
      <x:c r="N2857" s="24" t="str">
        <x:v>-4.00</x:v>
      </x:c>
      <x:c r="O2857" s="24" t="str">
        <x:v>1.00 a 3.00</x:v>
      </x:c>
      <x:c r="P2857" s="24" t="str">
        <x:v>72</x:v>
      </x:c>
      <x:c r="Q2857" s="24"/>
      <x:c r="R2857" s="24"/>
      <x:c r="S2857" s="26" t="n">
        <x:v>46113</x:v>
      </x:c>
      <x:c r="T2857" s="26"/>
      <x:c r="U2857" s="24" t="str">
        <x:v>ATIVA/SEM FIM INFORMADO</x:v>
      </x:c>
      <x:c r="V2857" s="24" t="str">
        <x:v>Programa de Parcerias ZEISS</x:v>
      </x:c>
      <x:c r="W2857" s="24" t="n">
        <x:v>46</x:v>
      </x:c>
      <x:c r="X2857" s="24" t="str">
        <x:v>tabela_zeiss.pdf</x:v>
      </x:c>
      <x:c r="Y2857" s="24" t="str">
        <x:v>alta</x:v>
      </x:c>
      <x:c r="Z2857" s="24"/>
      <x:c r="AA2857" s="24" t="str">
        <x:v>ZEISS|Progressiva|Surfaçada|GT2|PhotoFusion X Extra Dark Cinza|1.5|1.50|DuraVision Chrome UV|-7.00 a +5.00|-4.00|1.00 a 3.00|72|||46</x:v>
      </x:c>
    </x:row>
    <x:row r="2858">
      <x:c r="A2858" s="24" t="str">
        <x:v>ZS-EDDFE7FF2C84</x:v>
      </x:c>
      <x:c r="B2858" s="24" t="str">
        <x:v>SIM</x:v>
      </x:c>
      <x:c r="C2858" s="24" t="str">
        <x:v>DISPONÍVEL</x:v>
      </x:c>
      <x:c r="D2858" s="24" t="str">
        <x:v>ZEISS</x:v>
      </x:c>
      <x:c r="E2858" s="24" t="str">
        <x:v>Progressiva</x:v>
      </x:c>
      <x:c r="F2858" s="24" t="str">
        <x:v>Surfaçada</x:v>
      </x:c>
      <x:c r="G2858" s="24" t="str">
        <x:v>GT2</x:v>
      </x:c>
      <x:c r="H2858" s="24" t="str">
        <x:v>PhotoFusion X Extra Dark Cinza</x:v>
      </x:c>
      <x:c r="I2858" s="24" t="str">
        <x:v>1.5</x:v>
      </x:c>
      <x:c r="J2858" s="24" t="str">
        <x:v>1.50</x:v>
      </x:c>
      <x:c r="K2858" s="24" t="str">
        <x:v>Sem AR</x:v>
      </x:c>
      <x:c r="L2858" s="40" t="n">
        <x:v>2169</x:v>
      </x:c>
      <x:c r="M2858" s="24" t="str">
        <x:v>-7.00 a +5.00</x:v>
      </x:c>
      <x:c r="N2858" s="24" t="str">
        <x:v>-4.00</x:v>
      </x:c>
      <x:c r="O2858" s="24" t="str">
        <x:v>1.00 a 3.00</x:v>
      </x:c>
      <x:c r="P2858" s="24" t="str">
        <x:v>72</x:v>
      </x:c>
      <x:c r="Q2858" s="24"/>
      <x:c r="R2858" s="24"/>
      <x:c r="S2858" s="26" t="n">
        <x:v>46113</x:v>
      </x:c>
      <x:c r="T2858" s="26"/>
      <x:c r="U2858" s="24" t="str">
        <x:v>ATIVA/SEM FIM INFORMADO</x:v>
      </x:c>
      <x:c r="V2858" s="24" t="str">
        <x:v>Programa de Parcerias ZEISS</x:v>
      </x:c>
      <x:c r="W2858" s="24" t="n">
        <x:v>46</x:v>
      </x:c>
      <x:c r="X2858" s="24" t="str">
        <x:v>tabela_zeiss.pdf</x:v>
      </x:c>
      <x:c r="Y2858" s="24" t="str">
        <x:v>alta</x:v>
      </x:c>
      <x:c r="Z2858" s="24"/>
      <x:c r="AA2858" s="24" t="str">
        <x:v>ZEISS|Progressiva|Surfaçada|GT2|PhotoFusion X Extra Dark Cinza|1.5|1.50|Sem AR|-7.00 a +5.00|-4.00|1.00 a 3.00|72|||46</x:v>
      </x:c>
    </x:row>
    <x:row r="2859">
      <x:c r="A2859" s="24" t="str">
        <x:v>ZS-E80E78B72F94</x:v>
      </x:c>
      <x:c r="B2859" s="24" t="str">
        <x:v>SIM</x:v>
      </x:c>
      <x:c r="C2859" s="24" t="str">
        <x:v>DISPONÍVEL</x:v>
      </x:c>
      <x:c r="D2859" s="24" t="str">
        <x:v>ZEISS</x:v>
      </x:c>
      <x:c r="E2859" s="24" t="str">
        <x:v>Progressiva</x:v>
      </x:c>
      <x:c r="F2859" s="24" t="str">
        <x:v>Surfaçada</x:v>
      </x:c>
      <x:c r="G2859" s="24" t="str">
        <x:v>GT2</x:v>
      </x:c>
      <x:c r="H2859" s="24" t="str">
        <x:v>PhotoFusion X Extra Dark Cinza</x:v>
      </x:c>
      <x:c r="I2859" s="24" t="str">
        <x:v>Poli</x:v>
      </x:c>
      <x:c r="J2859" s="24"/>
      <x:c r="K2859" s="24" t="str">
        <x:v>DuraVision Gold UV</x:v>
      </x:c>
      <x:c r="L2859" s="40" t="n">
        <x:v>3819</x:v>
      </x:c>
      <x:c r="M2859" s="24" t="str">
        <x:v>-10.00 a +6.00</x:v>
      </x:c>
      <x:c r="N2859" s="24" t="str">
        <x:v>-6.00</x:v>
      </x:c>
      <x:c r="O2859" s="24" t="str">
        <x:v>1.00 a 3.00</x:v>
      </x:c>
      <x:c r="P2859" s="24" t="str">
        <x:v>72</x:v>
      </x:c>
      <x:c r="Q2859" s="24"/>
      <x:c r="R2859" s="24"/>
      <x:c r="S2859" s="26" t="n">
        <x:v>46113</x:v>
      </x:c>
      <x:c r="T2859" s="26"/>
      <x:c r="U2859" s="24" t="str">
        <x:v>ATIVA/SEM FIM INFORMADO</x:v>
      </x:c>
      <x:c r="V2859" s="24" t="str">
        <x:v>Programa de Parcerias ZEISS</x:v>
      </x:c>
      <x:c r="W2859" s="24" t="n">
        <x:v>46</x:v>
      </x:c>
      <x:c r="X2859" s="24" t="str">
        <x:v>tabela_zeiss.pdf</x:v>
      </x:c>
      <x:c r="Y2859" s="24" t="str">
        <x:v>alta</x:v>
      </x:c>
      <x:c r="Z2859" s="24"/>
      <x:c r="AA2859" s="24" t="str">
        <x:v>ZEISS|Progressiva|Surfaçada|GT2|PhotoFusion X Extra Dark Cinza|Poli||DuraVision Gold UV|-10.00 a +6.00|-6.00|1.00 a 3.00|72|||46</x:v>
      </x:c>
    </x:row>
    <x:row r="2860">
      <x:c r="A2860" s="24" t="str">
        <x:v>ZS-407F1BE032C5</x:v>
      </x:c>
      <x:c r="B2860" s="24" t="str">
        <x:v>SIM</x:v>
      </x:c>
      <x:c r="C2860" s="24" t="str">
        <x:v>DISPONÍVEL</x:v>
      </x:c>
      <x:c r="D2860" s="24" t="str">
        <x:v>ZEISS</x:v>
      </x:c>
      <x:c r="E2860" s="24" t="str">
        <x:v>Progressiva</x:v>
      </x:c>
      <x:c r="F2860" s="24" t="str">
        <x:v>Surfaçada</x:v>
      </x:c>
      <x:c r="G2860" s="24" t="str">
        <x:v>GT2</x:v>
      </x:c>
      <x:c r="H2860" s="24" t="str">
        <x:v>PhotoFusion X Extra Dark Cinza</x:v>
      </x:c>
      <x:c r="I2860" s="24" t="str">
        <x:v>Poli</x:v>
      </x:c>
      <x:c r="J2860" s="24"/>
      <x:c r="K2860" s="24" t="str">
        <x:v>DuraVision Platinum UV</x:v>
      </x:c>
      <x:c r="L2860" s="40" t="n">
        <x:v>3679</x:v>
      </x:c>
      <x:c r="M2860" s="24" t="str">
        <x:v>-10.00 a +6.00</x:v>
      </x:c>
      <x:c r="N2860" s="24" t="str">
        <x:v>-6.00</x:v>
      </x:c>
      <x:c r="O2860" s="24" t="str">
        <x:v>1.00 a 3.00</x:v>
      </x:c>
      <x:c r="P2860" s="24" t="str">
        <x:v>72</x:v>
      </x:c>
      <x:c r="Q2860" s="24"/>
      <x:c r="R2860" s="24"/>
      <x:c r="S2860" s="26" t="n">
        <x:v>46113</x:v>
      </x:c>
      <x:c r="T2860" s="26"/>
      <x:c r="U2860" s="24" t="str">
        <x:v>ATIVA/SEM FIM INFORMADO</x:v>
      </x:c>
      <x:c r="V2860" s="24" t="str">
        <x:v>Programa de Parcerias ZEISS</x:v>
      </x:c>
      <x:c r="W2860" s="24" t="n">
        <x:v>46</x:v>
      </x:c>
      <x:c r="X2860" s="24" t="str">
        <x:v>tabela_zeiss.pdf</x:v>
      </x:c>
      <x:c r="Y2860" s="24" t="str">
        <x:v>alta</x:v>
      </x:c>
      <x:c r="Z2860" s="24"/>
      <x:c r="AA2860" s="24" t="str">
        <x:v>ZEISS|Progressiva|Surfaçada|GT2|PhotoFusion X Extra Dark Cinza|Poli||DuraVision Platinum UV|-10.00 a +6.00|-6.00|1.00 a 3.00|72|||46</x:v>
      </x:c>
    </x:row>
    <x:row r="2861">
      <x:c r="A2861" s="24" t="str">
        <x:v>ZS-1DEABF66E2E5</x:v>
      </x:c>
      <x:c r="B2861" s="24" t="str">
        <x:v>SIM</x:v>
      </x:c>
      <x:c r="C2861" s="24" t="str">
        <x:v>DISPONÍVEL</x:v>
      </x:c>
      <x:c r="D2861" s="24" t="str">
        <x:v>ZEISS</x:v>
      </x:c>
      <x:c r="E2861" s="24" t="str">
        <x:v>Progressiva</x:v>
      </x:c>
      <x:c r="F2861" s="24" t="str">
        <x:v>Surfaçada</x:v>
      </x:c>
      <x:c r="G2861" s="24" t="str">
        <x:v>GT2</x:v>
      </x:c>
      <x:c r="H2861" s="24" t="str">
        <x:v>PhotoFusion X Extra Dark Cinza</x:v>
      </x:c>
      <x:c r="I2861" s="24" t="str">
        <x:v>Poli</x:v>
      </x:c>
      <x:c r="J2861" s="24"/>
      <x:c r="K2861" s="24" t="str">
        <x:v>DuraVision Silver UV</x:v>
      </x:c>
      <x:c r="L2861" s="40" t="n">
        <x:v>3419</x:v>
      </x:c>
      <x:c r="M2861" s="24" t="str">
        <x:v>-10.00 a +6.00</x:v>
      </x:c>
      <x:c r="N2861" s="24" t="str">
        <x:v>-6.00</x:v>
      </x:c>
      <x:c r="O2861" s="24" t="str">
        <x:v>1.00 a 3.00</x:v>
      </x:c>
      <x:c r="P2861" s="24" t="str">
        <x:v>72</x:v>
      </x:c>
      <x:c r="Q2861" s="24"/>
      <x:c r="R2861" s="24"/>
      <x:c r="S2861" s="26" t="n">
        <x:v>46113</x:v>
      </x:c>
      <x:c r="T2861" s="26"/>
      <x:c r="U2861" s="24" t="str">
        <x:v>ATIVA/SEM FIM INFORMADO</x:v>
      </x:c>
      <x:c r="V2861" s="24" t="str">
        <x:v>Programa de Parcerias ZEISS</x:v>
      </x:c>
      <x:c r="W2861" s="24" t="n">
        <x:v>46</x:v>
      </x:c>
      <x:c r="X2861" s="24" t="str">
        <x:v>tabela_zeiss.pdf</x:v>
      </x:c>
      <x:c r="Y2861" s="24" t="str">
        <x:v>alta</x:v>
      </x:c>
      <x:c r="Z2861" s="24"/>
      <x:c r="AA2861" s="24" t="str">
        <x:v>ZEISS|Progressiva|Surfaçada|GT2|PhotoFusion X Extra Dark Cinza|Poli||DuraVision Silver UV|-10.00 a +6.00|-6.00|1.00 a 3.00|72|||46</x:v>
      </x:c>
    </x:row>
    <x:row r="2862">
      <x:c r="A2862" s="24" t="str">
        <x:v>ZS-25B060BC2217</x:v>
      </x:c>
      <x:c r="B2862" s="24" t="str">
        <x:v>SIM</x:v>
      </x:c>
      <x:c r="C2862" s="24" t="str">
        <x:v>DISPONÍVEL</x:v>
      </x:c>
      <x:c r="D2862" s="24" t="str">
        <x:v>ZEISS</x:v>
      </x:c>
      <x:c r="E2862" s="24" t="str">
        <x:v>Progressiva</x:v>
      </x:c>
      <x:c r="F2862" s="24" t="str">
        <x:v>Surfaçada</x:v>
      </x:c>
      <x:c r="G2862" s="24" t="str">
        <x:v>GT2</x:v>
      </x:c>
      <x:c r="H2862" s="24" t="str">
        <x:v>PhotoFusion X Extra Dark Cinza</x:v>
      </x:c>
      <x:c r="I2862" s="24" t="str">
        <x:v>Poli</x:v>
      </x:c>
      <x:c r="J2862" s="24"/>
      <x:c r="K2862" s="24" t="str">
        <x:v>DuraVision Chrome UV</x:v>
      </x:c>
      <x:c r="L2862" s="40" t="n">
        <x:v>2929</x:v>
      </x:c>
      <x:c r="M2862" s="24" t="str">
        <x:v>-10.00 a +6.00</x:v>
      </x:c>
      <x:c r="N2862" s="24" t="str">
        <x:v>-6.00</x:v>
      </x:c>
      <x:c r="O2862" s="24" t="str">
        <x:v>1.00 a 3.00</x:v>
      </x:c>
      <x:c r="P2862" s="24" t="str">
        <x:v>72</x:v>
      </x:c>
      <x:c r="Q2862" s="24"/>
      <x:c r="R2862" s="24"/>
      <x:c r="S2862" s="26" t="n">
        <x:v>46113</x:v>
      </x:c>
      <x:c r="T2862" s="26"/>
      <x:c r="U2862" s="24" t="str">
        <x:v>ATIVA/SEM FIM INFORMADO</x:v>
      </x:c>
      <x:c r="V2862" s="24" t="str">
        <x:v>Programa de Parcerias ZEISS</x:v>
      </x:c>
      <x:c r="W2862" s="24" t="n">
        <x:v>46</x:v>
      </x:c>
      <x:c r="X2862" s="24" t="str">
        <x:v>tabela_zeiss.pdf</x:v>
      </x:c>
      <x:c r="Y2862" s="24" t="str">
        <x:v>alta</x:v>
      </x:c>
      <x:c r="Z2862" s="24"/>
      <x:c r="AA2862" s="24" t="str">
        <x:v>ZEISS|Progressiva|Surfaçada|GT2|PhotoFusion X Extra Dark Cinza|Poli||DuraVision Chrome UV|-10.00 a +6.00|-6.00|1.00 a 3.00|72|||46</x:v>
      </x:c>
    </x:row>
    <x:row r="2863">
      <x:c r="A2863" s="24" t="str">
        <x:v>ZS-F91A5E18C8D3</x:v>
      </x:c>
      <x:c r="B2863" s="24" t="str">
        <x:v>SIM</x:v>
      </x:c>
      <x:c r="C2863" s="24" t="str">
        <x:v>DISPONÍVEL</x:v>
      </x:c>
      <x:c r="D2863" s="24" t="str">
        <x:v>ZEISS</x:v>
      </x:c>
      <x:c r="E2863" s="24" t="str">
        <x:v>Progressiva</x:v>
      </x:c>
      <x:c r="F2863" s="24" t="str">
        <x:v>Surfaçada</x:v>
      </x:c>
      <x:c r="G2863" s="24" t="str">
        <x:v>GT2</x:v>
      </x:c>
      <x:c r="H2863" s="24" t="str">
        <x:v>PhotoFusion X Extra Dark Cinza</x:v>
      </x:c>
      <x:c r="I2863" s="24" t="str">
        <x:v>Poli</x:v>
      </x:c>
      <x:c r="J2863" s="24"/>
      <x:c r="K2863" s="24" t="str">
        <x:v>Sem AR</x:v>
      </x:c>
      <x:c r="L2863" s="40" t="n">
        <x:v>2529</x:v>
      </x:c>
      <x:c r="M2863" s="24" t="str">
        <x:v>-10.00 a +6.00</x:v>
      </x:c>
      <x:c r="N2863" s="24" t="str">
        <x:v>-6.00</x:v>
      </x:c>
      <x:c r="O2863" s="24" t="str">
        <x:v>1.00 a 3.00</x:v>
      </x:c>
      <x:c r="P2863" s="24" t="str">
        <x:v>72</x:v>
      </x:c>
      <x:c r="Q2863" s="24"/>
      <x:c r="R2863" s="24"/>
      <x:c r="S2863" s="26" t="n">
        <x:v>46113</x:v>
      </x:c>
      <x:c r="T2863" s="26"/>
      <x:c r="U2863" s="24" t="str">
        <x:v>ATIVA/SEM FIM INFORMADO</x:v>
      </x:c>
      <x:c r="V2863" s="24" t="str">
        <x:v>Programa de Parcerias ZEISS</x:v>
      </x:c>
      <x:c r="W2863" s="24" t="n">
        <x:v>46</x:v>
      </x:c>
      <x:c r="X2863" s="24" t="str">
        <x:v>tabela_zeiss.pdf</x:v>
      </x:c>
      <x:c r="Y2863" s="24" t="str">
        <x:v>alta</x:v>
      </x:c>
      <x:c r="Z2863" s="24"/>
      <x:c r="AA2863" s="24" t="str">
        <x:v>ZEISS|Progressiva|Surfaçada|GT2|PhotoFusion X Extra Dark Cinza|Poli||Sem AR|-10.00 a +6.00|-6.00|1.00 a 3.00|72|||46</x:v>
      </x:c>
    </x:row>
    <x:row r="2864">
      <x:c r="A2864" s="24" t="str">
        <x:v>ZS-D67D19C25FDE</x:v>
      </x:c>
      <x:c r="B2864" s="24" t="str">
        <x:v>SIM</x:v>
      </x:c>
      <x:c r="C2864" s="24" t="str">
        <x:v>DISPONÍVEL</x:v>
      </x:c>
      <x:c r="D2864" s="24" t="str">
        <x:v>ZEISS</x:v>
      </x:c>
      <x:c r="E2864" s="24" t="str">
        <x:v>Progressiva</x:v>
      </x:c>
      <x:c r="F2864" s="24" t="str">
        <x:v>Surfaçada</x:v>
      </x:c>
      <x:c r="G2864" s="24" t="str">
        <x:v>GT2</x:v>
      </x:c>
      <x:c r="H2864" s="24" t="str">
        <x:v>PhotoFusion X Extra Dark Cinza</x:v>
      </x:c>
      <x:c r="I2864" s="24" t="str">
        <x:v>1.60</x:v>
      </x:c>
      <x:c r="J2864" s="24" t="str">
        <x:v>1.60</x:v>
      </x:c>
      <x:c r="K2864" s="24" t="str">
        <x:v>DuraVision Gold UV</x:v>
      </x:c>
      <x:c r="L2864" s="40" t="n">
        <x:v>4039</x:v>
      </x:c>
      <x:c r="M2864" s="24" t="str">
        <x:v>-12.00 a -7.50</x:v>
      </x:c>
      <x:c r="N2864" s="24" t="str">
        <x:v>-6.00</x:v>
      </x:c>
      <x:c r="O2864" s="24" t="str">
        <x:v>1.00 a 3.00</x:v>
      </x:c>
      <x:c r="P2864" s="24" t="str">
        <x:v>74</x:v>
      </x:c>
      <x:c r="Q2864" s="24"/>
      <x:c r="R2864" s="24"/>
      <x:c r="S2864" s="26" t="n">
        <x:v>46113</x:v>
      </x:c>
      <x:c r="T2864" s="26"/>
      <x:c r="U2864" s="24" t="str">
        <x:v>ATIVA/SEM FIM INFORMADO</x:v>
      </x:c>
      <x:c r="V2864" s="24" t="str">
        <x:v>Programa de Parcerias ZEISS</x:v>
      </x:c>
      <x:c r="W2864" s="24" t="n">
        <x:v>46</x:v>
      </x:c>
      <x:c r="X2864" s="24" t="str">
        <x:v>tabela_zeiss.pdf</x:v>
      </x:c>
      <x:c r="Y2864" s="24" t="str">
        <x:v>alta</x:v>
      </x:c>
      <x:c r="Z2864" s="24"/>
      <x:c r="AA2864" s="24" t="str">
        <x:v>ZEISS|Progressiva|Surfaçada|GT2|PhotoFusion X Extra Dark Cinza|1.60|1.60|DuraVision Gold UV|-12.00 a -7.50|-6.00|1.00 a 3.00|74|||46</x:v>
      </x:c>
    </x:row>
    <x:row r="2865">
      <x:c r="A2865" s="24" t="str">
        <x:v>ZS-6D9766274D1D</x:v>
      </x:c>
      <x:c r="B2865" s="24" t="str">
        <x:v>SIM</x:v>
      </x:c>
      <x:c r="C2865" s="24" t="str">
        <x:v>DISPONÍVEL</x:v>
      </x:c>
      <x:c r="D2865" s="24" t="str">
        <x:v>ZEISS</x:v>
      </x:c>
      <x:c r="E2865" s="24" t="str">
        <x:v>Progressiva</x:v>
      </x:c>
      <x:c r="F2865" s="24" t="str">
        <x:v>Surfaçada</x:v>
      </x:c>
      <x:c r="G2865" s="24" t="str">
        <x:v>GT2</x:v>
      </x:c>
      <x:c r="H2865" s="24" t="str">
        <x:v>PhotoFusion X Extra Dark Cinza</x:v>
      </x:c>
      <x:c r="I2865" s="24" t="str">
        <x:v>1.60</x:v>
      </x:c>
      <x:c r="J2865" s="24" t="str">
        <x:v>1.60</x:v>
      </x:c>
      <x:c r="K2865" s="24" t="str">
        <x:v>DuraVision Platinum UV</x:v>
      </x:c>
      <x:c r="L2865" s="40" t="n">
        <x:v>3899</x:v>
      </x:c>
      <x:c r="M2865" s="24" t="str">
        <x:v>-12.00 a -7.50</x:v>
      </x:c>
      <x:c r="N2865" s="24" t="str">
        <x:v>-6.00</x:v>
      </x:c>
      <x:c r="O2865" s="24" t="str">
        <x:v>1.00 a 3.00</x:v>
      </x:c>
      <x:c r="P2865" s="24" t="str">
        <x:v>74</x:v>
      </x:c>
      <x:c r="Q2865" s="24"/>
      <x:c r="R2865" s="24"/>
      <x:c r="S2865" s="26" t="n">
        <x:v>46113</x:v>
      </x:c>
      <x:c r="T2865" s="26"/>
      <x:c r="U2865" s="24" t="str">
        <x:v>ATIVA/SEM FIM INFORMADO</x:v>
      </x:c>
      <x:c r="V2865" s="24" t="str">
        <x:v>Programa de Parcerias ZEISS</x:v>
      </x:c>
      <x:c r="W2865" s="24" t="n">
        <x:v>46</x:v>
      </x:c>
      <x:c r="X2865" s="24" t="str">
        <x:v>tabela_zeiss.pdf</x:v>
      </x:c>
      <x:c r="Y2865" s="24" t="str">
        <x:v>alta</x:v>
      </x:c>
      <x:c r="Z2865" s="24"/>
      <x:c r="AA2865" s="24" t="str">
        <x:v>ZEISS|Progressiva|Surfaçada|GT2|PhotoFusion X Extra Dark Cinza|1.60|1.60|DuraVision Platinum UV|-12.00 a -7.50|-6.00|1.00 a 3.00|74|||46</x:v>
      </x:c>
    </x:row>
    <x:row r="2866">
      <x:c r="A2866" s="24" t="str">
        <x:v>ZS-9DE1E7036874</x:v>
      </x:c>
      <x:c r="B2866" s="24" t="str">
        <x:v>SIM</x:v>
      </x:c>
      <x:c r="C2866" s="24" t="str">
        <x:v>DISPONÍVEL</x:v>
      </x:c>
      <x:c r="D2866" s="24" t="str">
        <x:v>ZEISS</x:v>
      </x:c>
      <x:c r="E2866" s="24" t="str">
        <x:v>Progressiva</x:v>
      </x:c>
      <x:c r="F2866" s="24" t="str">
        <x:v>Surfaçada</x:v>
      </x:c>
      <x:c r="G2866" s="24" t="str">
        <x:v>GT2</x:v>
      </x:c>
      <x:c r="H2866" s="24" t="str">
        <x:v>PhotoFusion X Extra Dark Cinza</x:v>
      </x:c>
      <x:c r="I2866" s="24" t="str">
        <x:v>1.60</x:v>
      </x:c>
      <x:c r="J2866" s="24" t="str">
        <x:v>1.60</x:v>
      </x:c>
      <x:c r="K2866" s="24" t="str">
        <x:v>DuraVision Silver UV</x:v>
      </x:c>
      <x:c r="L2866" s="40" t="n">
        <x:v>3639</x:v>
      </x:c>
      <x:c r="M2866" s="24" t="str">
        <x:v>-12.00 a -7.50</x:v>
      </x:c>
      <x:c r="N2866" s="24" t="str">
        <x:v>-6.00</x:v>
      </x:c>
      <x:c r="O2866" s="24" t="str">
        <x:v>1.00 a 3.00</x:v>
      </x:c>
      <x:c r="P2866" s="24" t="str">
        <x:v>74</x:v>
      </x:c>
      <x:c r="Q2866" s="24"/>
      <x:c r="R2866" s="24"/>
      <x:c r="S2866" s="26" t="n">
        <x:v>46113</x:v>
      </x:c>
      <x:c r="T2866" s="26"/>
      <x:c r="U2866" s="24" t="str">
        <x:v>ATIVA/SEM FIM INFORMADO</x:v>
      </x:c>
      <x:c r="V2866" s="24" t="str">
        <x:v>Programa de Parcerias ZEISS</x:v>
      </x:c>
      <x:c r="W2866" s="24" t="n">
        <x:v>46</x:v>
      </x:c>
      <x:c r="X2866" s="24" t="str">
        <x:v>tabela_zeiss.pdf</x:v>
      </x:c>
      <x:c r="Y2866" s="24" t="str">
        <x:v>alta</x:v>
      </x:c>
      <x:c r="Z2866" s="24"/>
      <x:c r="AA2866" s="24" t="str">
        <x:v>ZEISS|Progressiva|Surfaçada|GT2|PhotoFusion X Extra Dark Cinza|1.60|1.60|DuraVision Silver UV|-12.00 a -7.50|-6.00|1.00 a 3.00|74|||46</x:v>
      </x:c>
    </x:row>
    <x:row r="2867">
      <x:c r="A2867" s="24" t="str">
        <x:v>ZS-6390EA042DA5</x:v>
      </x:c>
      <x:c r="B2867" s="24" t="str">
        <x:v>SIM</x:v>
      </x:c>
      <x:c r="C2867" s="24" t="str">
        <x:v>DISPONÍVEL</x:v>
      </x:c>
      <x:c r="D2867" s="24" t="str">
        <x:v>ZEISS</x:v>
      </x:c>
      <x:c r="E2867" s="24" t="str">
        <x:v>Progressiva</x:v>
      </x:c>
      <x:c r="F2867" s="24" t="str">
        <x:v>Surfaçada</x:v>
      </x:c>
      <x:c r="G2867" s="24" t="str">
        <x:v>GT2</x:v>
      </x:c>
      <x:c r="H2867" s="24" t="str">
        <x:v>PhotoFusion X Extra Dark Cinza</x:v>
      </x:c>
      <x:c r="I2867" s="24" t="str">
        <x:v>1.60</x:v>
      </x:c>
      <x:c r="J2867" s="24" t="str">
        <x:v>1.60</x:v>
      </x:c>
      <x:c r="K2867" s="24" t="str">
        <x:v>DuraVision Chrome UV</x:v>
      </x:c>
      <x:c r="L2867" s="40" t="n">
        <x:v>3149</x:v>
      </x:c>
      <x:c r="M2867" s="24" t="str">
        <x:v>-12.00 a -7.50</x:v>
      </x:c>
      <x:c r="N2867" s="24" t="str">
        <x:v>-6.00</x:v>
      </x:c>
      <x:c r="O2867" s="24" t="str">
        <x:v>1.00 a 3.00</x:v>
      </x:c>
      <x:c r="P2867" s="24" t="str">
        <x:v>74</x:v>
      </x:c>
      <x:c r="Q2867" s="24"/>
      <x:c r="R2867" s="24"/>
      <x:c r="S2867" s="26" t="n">
        <x:v>46113</x:v>
      </x:c>
      <x:c r="T2867" s="26"/>
      <x:c r="U2867" s="24" t="str">
        <x:v>ATIVA/SEM FIM INFORMADO</x:v>
      </x:c>
      <x:c r="V2867" s="24" t="str">
        <x:v>Programa de Parcerias ZEISS</x:v>
      </x:c>
      <x:c r="W2867" s="24" t="n">
        <x:v>46</x:v>
      </x:c>
      <x:c r="X2867" s="24" t="str">
        <x:v>tabela_zeiss.pdf</x:v>
      </x:c>
      <x:c r="Y2867" s="24" t="str">
        <x:v>alta</x:v>
      </x:c>
      <x:c r="Z2867" s="24"/>
      <x:c r="AA2867" s="24" t="str">
        <x:v>ZEISS|Progressiva|Surfaçada|GT2|PhotoFusion X Extra Dark Cinza|1.60|1.60|DuraVision Chrome UV|-12.00 a -7.50|-6.00|1.00 a 3.00|74|||46</x:v>
      </x:c>
    </x:row>
    <x:row r="2868">
      <x:c r="A2868" s="24" t="str">
        <x:v>ZS-8D89DD184CB1</x:v>
      </x:c>
      <x:c r="B2868" s="24" t="str">
        <x:v>SIM</x:v>
      </x:c>
      <x:c r="C2868" s="24" t="str">
        <x:v>DISPONÍVEL</x:v>
      </x:c>
      <x:c r="D2868" s="24" t="str">
        <x:v>ZEISS</x:v>
      </x:c>
      <x:c r="E2868" s="24" t="str">
        <x:v>Progressiva</x:v>
      </x:c>
      <x:c r="F2868" s="24" t="str">
        <x:v>Surfaçada</x:v>
      </x:c>
      <x:c r="G2868" s="24" t="str">
        <x:v>GT2</x:v>
      </x:c>
      <x:c r="H2868" s="24" t="str">
        <x:v>PhotoFusion X Extra Dark Cinza</x:v>
      </x:c>
      <x:c r="I2868" s="24" t="str">
        <x:v>1.67</x:v>
      </x:c>
      <x:c r="J2868" s="24" t="str">
        <x:v>1.67</x:v>
      </x:c>
      <x:c r="K2868" s="24" t="str">
        <x:v>DuraVision Gold UV</x:v>
      </x:c>
      <x:c r="L2868" s="40" t="n">
        <x:v>5339</x:v>
      </x:c>
      <x:c r="M2868" s="24" t="str">
        <x:v>-12.00 a -7.50</x:v>
      </x:c>
      <x:c r="N2868" s="24" t="str">
        <x:v>-6.00</x:v>
      </x:c>
      <x:c r="O2868" s="24" t="str">
        <x:v>1.00 a 3.00</x:v>
      </x:c>
      <x:c r="P2868" s="24" t="str">
        <x:v>74</x:v>
      </x:c>
      <x:c r="Q2868" s="24"/>
      <x:c r="R2868" s="24"/>
      <x:c r="S2868" s="26" t="n">
        <x:v>46113</x:v>
      </x:c>
      <x:c r="T2868" s="26"/>
      <x:c r="U2868" s="24" t="str">
        <x:v>ATIVA/SEM FIM INFORMADO</x:v>
      </x:c>
      <x:c r="V2868" s="24" t="str">
        <x:v>Programa de Parcerias ZEISS</x:v>
      </x:c>
      <x:c r="W2868" s="24" t="n">
        <x:v>46</x:v>
      </x:c>
      <x:c r="X2868" s="24" t="str">
        <x:v>tabela_zeiss.pdf</x:v>
      </x:c>
      <x:c r="Y2868" s="24" t="str">
        <x:v>alta</x:v>
      </x:c>
      <x:c r="Z2868" s="24"/>
      <x:c r="AA2868" s="24" t="str">
        <x:v>ZEISS|Progressiva|Surfaçada|GT2|PhotoFusion X Extra Dark Cinza|1.67|1.67|DuraVision Gold UV|-12.00 a -7.50|-6.00|1.00 a 3.00|74|||46</x:v>
      </x:c>
    </x:row>
    <x:row r="2869">
      <x:c r="A2869" s="24" t="str">
        <x:v>ZS-17A4836E37E9</x:v>
      </x:c>
      <x:c r="B2869" s="24" t="str">
        <x:v>SIM</x:v>
      </x:c>
      <x:c r="C2869" s="24" t="str">
        <x:v>DISPONÍVEL</x:v>
      </x:c>
      <x:c r="D2869" s="24" t="str">
        <x:v>ZEISS</x:v>
      </x:c>
      <x:c r="E2869" s="24" t="str">
        <x:v>Progressiva</x:v>
      </x:c>
      <x:c r="F2869" s="24" t="str">
        <x:v>Surfaçada</x:v>
      </x:c>
      <x:c r="G2869" s="24" t="str">
        <x:v>GT2</x:v>
      </x:c>
      <x:c r="H2869" s="24" t="str">
        <x:v>PhotoFusion X Extra Dark Cinza</x:v>
      </x:c>
      <x:c r="I2869" s="24" t="str">
        <x:v>1.67</x:v>
      </x:c>
      <x:c r="J2869" s="24" t="str">
        <x:v>1.67</x:v>
      </x:c>
      <x:c r="K2869" s="24" t="str">
        <x:v>DuraVision Platinum UV</x:v>
      </x:c>
      <x:c r="L2869" s="40" t="n">
        <x:v>5199</x:v>
      </x:c>
      <x:c r="M2869" s="24" t="str">
        <x:v>-12.00 a -7.50</x:v>
      </x:c>
      <x:c r="N2869" s="24" t="str">
        <x:v>-6.00</x:v>
      </x:c>
      <x:c r="O2869" s="24" t="str">
        <x:v>1.00 a 3.00</x:v>
      </x:c>
      <x:c r="P2869" s="24" t="str">
        <x:v>74</x:v>
      </x:c>
      <x:c r="Q2869" s="24"/>
      <x:c r="R2869" s="24"/>
      <x:c r="S2869" s="26" t="n">
        <x:v>46113</x:v>
      </x:c>
      <x:c r="T2869" s="26"/>
      <x:c r="U2869" s="24" t="str">
        <x:v>ATIVA/SEM FIM INFORMADO</x:v>
      </x:c>
      <x:c r="V2869" s="24" t="str">
        <x:v>Programa de Parcerias ZEISS</x:v>
      </x:c>
      <x:c r="W2869" s="24" t="n">
        <x:v>46</x:v>
      </x:c>
      <x:c r="X2869" s="24" t="str">
        <x:v>tabela_zeiss.pdf</x:v>
      </x:c>
      <x:c r="Y2869" s="24" t="str">
        <x:v>alta</x:v>
      </x:c>
      <x:c r="Z2869" s="24"/>
      <x:c r="AA2869" s="24" t="str">
        <x:v>ZEISS|Progressiva|Surfaçada|GT2|PhotoFusion X Extra Dark Cinza|1.67|1.67|DuraVision Platinum UV|-12.00 a -7.50|-6.00|1.00 a 3.00|74|||46</x:v>
      </x:c>
    </x:row>
    <x:row r="2870">
      <x:c r="A2870" s="24" t="str">
        <x:v>ZS-96819DCC9D12</x:v>
      </x:c>
      <x:c r="B2870" s="24" t="str">
        <x:v>SIM</x:v>
      </x:c>
      <x:c r="C2870" s="24" t="str">
        <x:v>DISPONÍVEL</x:v>
      </x:c>
      <x:c r="D2870" s="24" t="str">
        <x:v>ZEISS</x:v>
      </x:c>
      <x:c r="E2870" s="24" t="str">
        <x:v>Progressiva</x:v>
      </x:c>
      <x:c r="F2870" s="24" t="str">
        <x:v>Surfaçada</x:v>
      </x:c>
      <x:c r="G2870" s="24" t="str">
        <x:v>GT2</x:v>
      </x:c>
      <x:c r="H2870" s="24" t="str">
        <x:v>PhotoFusion X Extra Dark Cinza</x:v>
      </x:c>
      <x:c r="I2870" s="24" t="str">
        <x:v>1.67</x:v>
      </x:c>
      <x:c r="J2870" s="24" t="str">
        <x:v>1.67</x:v>
      </x:c>
      <x:c r="K2870" s="24" t="str">
        <x:v>DuraVision Silver UV</x:v>
      </x:c>
      <x:c r="L2870" s="40" t="n">
        <x:v>4939</x:v>
      </x:c>
      <x:c r="M2870" s="24" t="str">
        <x:v>-12.00 a -7.50</x:v>
      </x:c>
      <x:c r="N2870" s="24" t="str">
        <x:v>-6.00</x:v>
      </x:c>
      <x:c r="O2870" s="24" t="str">
        <x:v>1.00 a 3.00</x:v>
      </x:c>
      <x:c r="P2870" s="24" t="str">
        <x:v>74</x:v>
      </x:c>
      <x:c r="Q2870" s="24"/>
      <x:c r="R2870" s="24"/>
      <x:c r="S2870" s="26" t="n">
        <x:v>46113</x:v>
      </x:c>
      <x:c r="T2870" s="26"/>
      <x:c r="U2870" s="24" t="str">
        <x:v>ATIVA/SEM FIM INFORMADO</x:v>
      </x:c>
      <x:c r="V2870" s="24" t="str">
        <x:v>Programa de Parcerias ZEISS</x:v>
      </x:c>
      <x:c r="W2870" s="24" t="n">
        <x:v>46</x:v>
      </x:c>
      <x:c r="X2870" s="24" t="str">
        <x:v>tabela_zeiss.pdf</x:v>
      </x:c>
      <x:c r="Y2870" s="24" t="str">
        <x:v>alta</x:v>
      </x:c>
      <x:c r="Z2870" s="24"/>
      <x:c r="AA2870" s="24" t="str">
        <x:v>ZEISS|Progressiva|Surfaçada|GT2|PhotoFusion X Extra Dark Cinza|1.67|1.67|DuraVision Silver UV|-12.00 a -7.50|-6.00|1.00 a 3.00|74|||46</x:v>
      </x:c>
    </x:row>
    <x:row r="2871">
      <x:c r="A2871" s="24" t="str">
        <x:v>ZS-E3A940978E63</x:v>
      </x:c>
      <x:c r="B2871" s="24" t="str">
        <x:v>SIM</x:v>
      </x:c>
      <x:c r="C2871" s="24" t="str">
        <x:v>DISPONÍVEL</x:v>
      </x:c>
      <x:c r="D2871" s="24" t="str">
        <x:v>ZEISS</x:v>
      </x:c>
      <x:c r="E2871" s="24" t="str">
        <x:v>Progressiva</x:v>
      </x:c>
      <x:c r="F2871" s="24" t="str">
        <x:v>Surfaçada</x:v>
      </x:c>
      <x:c r="G2871" s="24" t="str">
        <x:v>GT2</x:v>
      </x:c>
      <x:c r="H2871" s="24" t="str">
        <x:v>PhotoFusion X Extra Dark Cinza</x:v>
      </x:c>
      <x:c r="I2871" s="24" t="str">
        <x:v>1.67</x:v>
      </x:c>
      <x:c r="J2871" s="24" t="str">
        <x:v>1.67</x:v>
      </x:c>
      <x:c r="K2871" s="24" t="str">
        <x:v>DuraVision Chrome UV</x:v>
      </x:c>
      <x:c r="L2871" s="40" t="n">
        <x:v>4449</x:v>
      </x:c>
      <x:c r="M2871" s="24" t="str">
        <x:v>-12.00 a -7.50</x:v>
      </x:c>
      <x:c r="N2871" s="24" t="str">
        <x:v>-6.00</x:v>
      </x:c>
      <x:c r="O2871" s="24" t="str">
        <x:v>1.00 a 3.00</x:v>
      </x:c>
      <x:c r="P2871" s="24" t="str">
        <x:v>74</x:v>
      </x:c>
      <x:c r="Q2871" s="24"/>
      <x:c r="R2871" s="24"/>
      <x:c r="S2871" s="26" t="n">
        <x:v>46113</x:v>
      </x:c>
      <x:c r="T2871" s="26"/>
      <x:c r="U2871" s="24" t="str">
        <x:v>ATIVA/SEM FIM INFORMADO</x:v>
      </x:c>
      <x:c r="V2871" s="24" t="str">
        <x:v>Programa de Parcerias ZEISS</x:v>
      </x:c>
      <x:c r="W2871" s="24" t="n">
        <x:v>46</x:v>
      </x:c>
      <x:c r="X2871" s="24" t="str">
        <x:v>tabela_zeiss.pdf</x:v>
      </x:c>
      <x:c r="Y2871" s="24" t="str">
        <x:v>alta</x:v>
      </x:c>
      <x:c r="Z2871" s="24"/>
      <x:c r="AA2871" s="24" t="str">
        <x:v>ZEISS|Progressiva|Surfaçada|GT2|PhotoFusion X Extra Dark Cinza|1.67|1.67|DuraVision Chrome UV|-12.00 a -7.50|-6.00|1.00 a 3.00|74|||46</x:v>
      </x:c>
    </x:row>
    <x:row r="2872">
      <x:c r="A2872" s="24" t="str">
        <x:v>ZS-9E0F4F4EA396</x:v>
      </x:c>
      <x:c r="B2872" s="24" t="str">
        <x:v>SIM</x:v>
      </x:c>
      <x:c r="C2872" s="24" t="str">
        <x:v>DISPONÍVEL</x:v>
      </x:c>
      <x:c r="D2872" s="24" t="str">
        <x:v>ZEISS</x:v>
      </x:c>
      <x:c r="E2872" s="24" t="str">
        <x:v>Progressiva</x:v>
      </x:c>
      <x:c r="F2872" s="24" t="str">
        <x:v>Surfaçada</x:v>
      </x:c>
      <x:c r="G2872" s="24" t="str">
        <x:v>ClassicPlus</x:v>
      </x:c>
      <x:c r="H2872" s="24"/>
      <x:c r="I2872" s="24" t="str">
        <x:v>1.5</x:v>
      </x:c>
      <x:c r="J2872" s="24" t="str">
        <x:v>1.50</x:v>
      </x:c>
      <x:c r="K2872" s="24" t="str">
        <x:v>DuraVision Gold UV</x:v>
      </x:c>
      <x:c r="L2872" s="40" t="n">
        <x:v>1589</x:v>
      </x:c>
      <x:c r="M2872" s="24" t="str">
        <x:v>-7.00 a +5.00</x:v>
      </x:c>
      <x:c r="N2872" s="24" t="str">
        <x:v>-4.00</x:v>
      </x:c>
      <x:c r="O2872" s="24" t="str">
        <x:v>1.00 a 3.50</x:v>
      </x:c>
      <x:c r="P2872" s="24" t="str">
        <x:v>75</x:v>
      </x:c>
      <x:c r="Q2872" s="24"/>
      <x:c r="R2872" s="24"/>
      <x:c r="S2872" s="26" t="n">
        <x:v>46113</x:v>
      </x:c>
      <x:c r="T2872" s="26"/>
      <x:c r="U2872" s="24" t="str">
        <x:v>ATIVA/SEM FIM INFORMADO</x:v>
      </x:c>
      <x:c r="V2872" s="24"/>
      <x:c r="W2872" s="24" t="n">
        <x:v>47</x:v>
      </x:c>
      <x:c r="X2872" s="24" t="str">
        <x:v>tabela_zeiss.pdf</x:v>
      </x:c>
      <x:c r="Y2872" s="24" t="str">
        <x:v>alta</x:v>
      </x:c>
      <x:c r="Z2872" s="24"/>
      <x:c r="AA2872" s="24" t="str">
        <x:v>ZEISS|Progressiva|Surfaçada|ClassicPlus||1.5|1.50|DuraVision Gold UV|-7.00 a +5.00|-4.00|1.00 a 3.50|75|||47</x:v>
      </x:c>
    </x:row>
    <x:row r="2873">
      <x:c r="A2873" s="24" t="str">
        <x:v>ZS-3B79A8CF99C0</x:v>
      </x:c>
      <x:c r="B2873" s="24" t="str">
        <x:v>SIM</x:v>
      </x:c>
      <x:c r="C2873" s="24" t="str">
        <x:v>DISPONÍVEL</x:v>
      </x:c>
      <x:c r="D2873" s="24" t="str">
        <x:v>ZEISS</x:v>
      </x:c>
      <x:c r="E2873" s="24" t="str">
        <x:v>Progressiva</x:v>
      </x:c>
      <x:c r="F2873" s="24" t="str">
        <x:v>Surfaçada</x:v>
      </x:c>
      <x:c r="G2873" s="24" t="str">
        <x:v>ClassicPlus</x:v>
      </x:c>
      <x:c r="H2873" s="24"/>
      <x:c r="I2873" s="24" t="str">
        <x:v>1.5</x:v>
      </x:c>
      <x:c r="J2873" s="24" t="str">
        <x:v>1.50</x:v>
      </x:c>
      <x:c r="K2873" s="24" t="str">
        <x:v>DuraVision Platinum UV</x:v>
      </x:c>
      <x:c r="L2873" s="40" t="n">
        <x:v>1449</x:v>
      </x:c>
      <x:c r="M2873" s="24" t="str">
        <x:v>-7.00 a +5.00</x:v>
      </x:c>
      <x:c r="N2873" s="24" t="str">
        <x:v>-4.00</x:v>
      </x:c>
      <x:c r="O2873" s="24" t="str">
        <x:v>1.00 a 3.50</x:v>
      </x:c>
      <x:c r="P2873" s="24" t="str">
        <x:v>75</x:v>
      </x:c>
      <x:c r="Q2873" s="24"/>
      <x:c r="R2873" s="24"/>
      <x:c r="S2873" s="26" t="n">
        <x:v>46113</x:v>
      </x:c>
      <x:c r="T2873" s="26"/>
      <x:c r="U2873" s="24" t="str">
        <x:v>ATIVA/SEM FIM INFORMADO</x:v>
      </x:c>
      <x:c r="V2873" s="24"/>
      <x:c r="W2873" s="24" t="n">
        <x:v>47</x:v>
      </x:c>
      <x:c r="X2873" s="24" t="str">
        <x:v>tabela_zeiss.pdf</x:v>
      </x:c>
      <x:c r="Y2873" s="24" t="str">
        <x:v>alta</x:v>
      </x:c>
      <x:c r="Z2873" s="24"/>
      <x:c r="AA2873" s="24" t="str">
        <x:v>ZEISS|Progressiva|Surfaçada|ClassicPlus||1.5|1.50|DuraVision Platinum UV|-7.00 a +5.00|-4.00|1.00 a 3.50|75|||47</x:v>
      </x:c>
    </x:row>
    <x:row r="2874">
      <x:c r="A2874" s="24" t="str">
        <x:v>ZS-CE6849BE70DE</x:v>
      </x:c>
      <x:c r="B2874" s="24" t="str">
        <x:v>SIM</x:v>
      </x:c>
      <x:c r="C2874" s="24" t="str">
        <x:v>DISPONÍVEL</x:v>
      </x:c>
      <x:c r="D2874" s="24" t="str">
        <x:v>ZEISS</x:v>
      </x:c>
      <x:c r="E2874" s="24" t="str">
        <x:v>Progressiva</x:v>
      </x:c>
      <x:c r="F2874" s="24" t="str">
        <x:v>Surfaçada</x:v>
      </x:c>
      <x:c r="G2874" s="24" t="str">
        <x:v>ClassicPlus</x:v>
      </x:c>
      <x:c r="H2874" s="24"/>
      <x:c r="I2874" s="24" t="str">
        <x:v>1.5</x:v>
      </x:c>
      <x:c r="J2874" s="24" t="str">
        <x:v>1.50</x:v>
      </x:c>
      <x:c r="K2874" s="24" t="str">
        <x:v>DuraVision Silver UV</x:v>
      </x:c>
      <x:c r="L2874" s="40" t="n">
        <x:v>1189</x:v>
      </x:c>
      <x:c r="M2874" s="24" t="str">
        <x:v>-7.00 a +5.00</x:v>
      </x:c>
      <x:c r="N2874" s="24" t="str">
        <x:v>-4.00</x:v>
      </x:c>
      <x:c r="O2874" s="24" t="str">
        <x:v>1.00 a 3.50</x:v>
      </x:c>
      <x:c r="P2874" s="24" t="str">
        <x:v>75</x:v>
      </x:c>
      <x:c r="Q2874" s="24"/>
      <x:c r="R2874" s="24"/>
      <x:c r="S2874" s="26" t="n">
        <x:v>46113</x:v>
      </x:c>
      <x:c r="T2874" s="26"/>
      <x:c r="U2874" s="24" t="str">
        <x:v>ATIVA/SEM FIM INFORMADO</x:v>
      </x:c>
      <x:c r="V2874" s="24"/>
      <x:c r="W2874" s="24" t="n">
        <x:v>47</x:v>
      </x:c>
      <x:c r="X2874" s="24" t="str">
        <x:v>tabela_zeiss.pdf</x:v>
      </x:c>
      <x:c r="Y2874" s="24" t="str">
        <x:v>alta</x:v>
      </x:c>
      <x:c r="Z2874" s="24"/>
      <x:c r="AA2874" s="24" t="str">
        <x:v>ZEISS|Progressiva|Surfaçada|ClassicPlus||1.5|1.50|DuraVision Silver UV|-7.00 a +5.00|-4.00|1.00 a 3.50|75|||47</x:v>
      </x:c>
    </x:row>
    <x:row r="2875">
      <x:c r="A2875" s="24" t="str">
        <x:v>ZS-A8B58AF82DF4</x:v>
      </x:c>
      <x:c r="B2875" s="24" t="str">
        <x:v>SIM</x:v>
      </x:c>
      <x:c r="C2875" s="24" t="str">
        <x:v>DISPONÍVEL</x:v>
      </x:c>
      <x:c r="D2875" s="24" t="str">
        <x:v>ZEISS</x:v>
      </x:c>
      <x:c r="E2875" s="24" t="str">
        <x:v>Progressiva</x:v>
      </x:c>
      <x:c r="F2875" s="24" t="str">
        <x:v>Surfaçada</x:v>
      </x:c>
      <x:c r="G2875" s="24" t="str">
        <x:v>ClassicPlus</x:v>
      </x:c>
      <x:c r="H2875" s="24"/>
      <x:c r="I2875" s="24" t="str">
        <x:v>1.5</x:v>
      </x:c>
      <x:c r="J2875" s="24" t="str">
        <x:v>1.50</x:v>
      </x:c>
      <x:c r="K2875" s="24" t="str">
        <x:v>DuraVision Chrome UV</x:v>
      </x:c>
      <x:c r="L2875" s="40" t="n">
        <x:v>699</x:v>
      </x:c>
      <x:c r="M2875" s="24" t="str">
        <x:v>-7.00 a +5.00</x:v>
      </x:c>
      <x:c r="N2875" s="24" t="str">
        <x:v>-4.00</x:v>
      </x:c>
      <x:c r="O2875" s="24" t="str">
        <x:v>1.00 a 3.50</x:v>
      </x:c>
      <x:c r="P2875" s="24" t="str">
        <x:v>75</x:v>
      </x:c>
      <x:c r="Q2875" s="24"/>
      <x:c r="R2875" s="24"/>
      <x:c r="S2875" s="26" t="n">
        <x:v>46113</x:v>
      </x:c>
      <x:c r="T2875" s="26"/>
      <x:c r="U2875" s="24" t="str">
        <x:v>ATIVA/SEM FIM INFORMADO</x:v>
      </x:c>
      <x:c r="V2875" s="24"/>
      <x:c r="W2875" s="24" t="n">
        <x:v>47</x:v>
      </x:c>
      <x:c r="X2875" s="24" t="str">
        <x:v>tabela_zeiss.pdf</x:v>
      </x:c>
      <x:c r="Y2875" s="24" t="str">
        <x:v>alta</x:v>
      </x:c>
      <x:c r="Z2875" s="24"/>
      <x:c r="AA2875" s="24" t="str">
        <x:v>ZEISS|Progressiva|Surfaçada|ClassicPlus||1.5|1.50|DuraVision Chrome UV|-7.00 a +5.00|-4.00|1.00 a 3.50|75|||47</x:v>
      </x:c>
    </x:row>
    <x:row r="2876">
      <x:c r="A2876" s="24" t="str">
        <x:v>ZS-08C63EE05B04</x:v>
      </x:c>
      <x:c r="B2876" s="24" t="str">
        <x:v>SIM</x:v>
      </x:c>
      <x:c r="C2876" s="24" t="str">
        <x:v>DISPONÍVEL</x:v>
      </x:c>
      <x:c r="D2876" s="24" t="str">
        <x:v>ZEISS</x:v>
      </x:c>
      <x:c r="E2876" s="24" t="str">
        <x:v>Progressiva</x:v>
      </x:c>
      <x:c r="F2876" s="24" t="str">
        <x:v>Surfaçada</x:v>
      </x:c>
      <x:c r="G2876" s="24" t="str">
        <x:v>ClassicPlus</x:v>
      </x:c>
      <x:c r="H2876" s="24"/>
      <x:c r="I2876" s="24" t="str">
        <x:v>Poli</x:v>
      </x:c>
      <x:c r="J2876" s="24"/>
      <x:c r="K2876" s="24" t="str">
        <x:v>DuraVision Gold UV</x:v>
      </x:c>
      <x:c r="L2876" s="40" t="n">
        <x:v>1889</x:v>
      </x:c>
      <x:c r="M2876" s="24" t="str">
        <x:v>-10.00 a +6.00</x:v>
      </x:c>
      <x:c r="N2876" s="24" t="str">
        <x:v>-6.00</x:v>
      </x:c>
      <x:c r="O2876" s="24" t="str">
        <x:v>1.00 a 3.00</x:v>
      </x:c>
      <x:c r="P2876" s="24" t="str">
        <x:v>75</x:v>
      </x:c>
      <x:c r="Q2876" s="24"/>
      <x:c r="R2876" s="24"/>
      <x:c r="S2876" s="26" t="n">
        <x:v>46113</x:v>
      </x:c>
      <x:c r="T2876" s="26"/>
      <x:c r="U2876" s="24" t="str">
        <x:v>ATIVA/SEM FIM INFORMADO</x:v>
      </x:c>
      <x:c r="V2876" s="24"/>
      <x:c r="W2876" s="24" t="n">
        <x:v>47</x:v>
      </x:c>
      <x:c r="X2876" s="24" t="str">
        <x:v>tabela_zeiss.pdf</x:v>
      </x:c>
      <x:c r="Y2876" s="24" t="str">
        <x:v>alta</x:v>
      </x:c>
      <x:c r="Z2876" s="24"/>
      <x:c r="AA2876" s="24" t="str">
        <x:v>ZEISS|Progressiva|Surfaçada|ClassicPlus||Poli||DuraVision Gold UV|-10.00 a +6.00|-6.00|1.00 a 3.00|75|||47</x:v>
      </x:c>
    </x:row>
    <x:row r="2877">
      <x:c r="A2877" s="24" t="str">
        <x:v>ZS-4A15011639A0</x:v>
      </x:c>
      <x:c r="B2877" s="24" t="str">
        <x:v>SIM</x:v>
      </x:c>
      <x:c r="C2877" s="24" t="str">
        <x:v>DISPONÍVEL</x:v>
      </x:c>
      <x:c r="D2877" s="24" t="str">
        <x:v>ZEISS</x:v>
      </x:c>
      <x:c r="E2877" s="24" t="str">
        <x:v>Progressiva</x:v>
      </x:c>
      <x:c r="F2877" s="24" t="str">
        <x:v>Surfaçada</x:v>
      </x:c>
      <x:c r="G2877" s="24" t="str">
        <x:v>ClassicPlus</x:v>
      </x:c>
      <x:c r="H2877" s="24"/>
      <x:c r="I2877" s="24" t="str">
        <x:v>Poli</x:v>
      </x:c>
      <x:c r="J2877" s="24"/>
      <x:c r="K2877" s="24" t="str">
        <x:v>DuraVision Platinum UV</x:v>
      </x:c>
      <x:c r="L2877" s="40" t="n">
        <x:v>1749</x:v>
      </x:c>
      <x:c r="M2877" s="24" t="str">
        <x:v>-10.00 a +6.00</x:v>
      </x:c>
      <x:c r="N2877" s="24" t="str">
        <x:v>-6.00</x:v>
      </x:c>
      <x:c r="O2877" s="24" t="str">
        <x:v>1.00 a 3.00</x:v>
      </x:c>
      <x:c r="P2877" s="24" t="str">
        <x:v>75</x:v>
      </x:c>
      <x:c r="Q2877" s="24"/>
      <x:c r="R2877" s="24"/>
      <x:c r="S2877" s="26" t="n">
        <x:v>46113</x:v>
      </x:c>
      <x:c r="T2877" s="26"/>
      <x:c r="U2877" s="24" t="str">
        <x:v>ATIVA/SEM FIM INFORMADO</x:v>
      </x:c>
      <x:c r="V2877" s="24"/>
      <x:c r="W2877" s="24" t="n">
        <x:v>47</x:v>
      </x:c>
      <x:c r="X2877" s="24" t="str">
        <x:v>tabela_zeiss.pdf</x:v>
      </x:c>
      <x:c r="Y2877" s="24" t="str">
        <x:v>alta</x:v>
      </x:c>
      <x:c r="Z2877" s="24"/>
      <x:c r="AA2877" s="24" t="str">
        <x:v>ZEISS|Progressiva|Surfaçada|ClassicPlus||Poli||DuraVision Platinum UV|-10.00 a +6.00|-6.00|1.00 a 3.00|75|||47</x:v>
      </x:c>
    </x:row>
    <x:row r="2878">
      <x:c r="A2878" s="24" t="str">
        <x:v>ZS-21824A020A41</x:v>
      </x:c>
      <x:c r="B2878" s="24" t="str">
        <x:v>SIM</x:v>
      </x:c>
      <x:c r="C2878" s="24" t="str">
        <x:v>DISPONÍVEL</x:v>
      </x:c>
      <x:c r="D2878" s="24" t="str">
        <x:v>ZEISS</x:v>
      </x:c>
      <x:c r="E2878" s="24" t="str">
        <x:v>Progressiva</x:v>
      </x:c>
      <x:c r="F2878" s="24" t="str">
        <x:v>Surfaçada</x:v>
      </x:c>
      <x:c r="G2878" s="24" t="str">
        <x:v>ClassicPlus</x:v>
      </x:c>
      <x:c r="H2878" s="24"/>
      <x:c r="I2878" s="24" t="str">
        <x:v>Poli</x:v>
      </x:c>
      <x:c r="J2878" s="24"/>
      <x:c r="K2878" s="24" t="str">
        <x:v>DuraVision Silver UV</x:v>
      </x:c>
      <x:c r="L2878" s="40" t="n">
        <x:v>1489</x:v>
      </x:c>
      <x:c r="M2878" s="24" t="str">
        <x:v>-10.00 a +6.00</x:v>
      </x:c>
      <x:c r="N2878" s="24" t="str">
        <x:v>-6.00</x:v>
      </x:c>
      <x:c r="O2878" s="24" t="str">
        <x:v>1.00 a 3.00</x:v>
      </x:c>
      <x:c r="P2878" s="24" t="str">
        <x:v>75</x:v>
      </x:c>
      <x:c r="Q2878" s="24"/>
      <x:c r="R2878" s="24"/>
      <x:c r="S2878" s="26" t="n">
        <x:v>46113</x:v>
      </x:c>
      <x:c r="T2878" s="26"/>
      <x:c r="U2878" s="24" t="str">
        <x:v>ATIVA/SEM FIM INFORMADO</x:v>
      </x:c>
      <x:c r="V2878" s="24"/>
      <x:c r="W2878" s="24" t="n">
        <x:v>47</x:v>
      </x:c>
      <x:c r="X2878" s="24" t="str">
        <x:v>tabela_zeiss.pdf</x:v>
      </x:c>
      <x:c r="Y2878" s="24" t="str">
        <x:v>alta</x:v>
      </x:c>
      <x:c r="Z2878" s="24"/>
      <x:c r="AA2878" s="24" t="str">
        <x:v>ZEISS|Progressiva|Surfaçada|ClassicPlus||Poli||DuraVision Silver UV|-10.00 a +6.00|-6.00|1.00 a 3.00|75|||47</x:v>
      </x:c>
    </x:row>
    <x:row r="2879">
      <x:c r="A2879" s="24" t="str">
        <x:v>ZS-C1ECDDA52BB1</x:v>
      </x:c>
      <x:c r="B2879" s="24" t="str">
        <x:v>SIM</x:v>
      </x:c>
      <x:c r="C2879" s="24" t="str">
        <x:v>DISPONÍVEL</x:v>
      </x:c>
      <x:c r="D2879" s="24" t="str">
        <x:v>ZEISS</x:v>
      </x:c>
      <x:c r="E2879" s="24" t="str">
        <x:v>Progressiva</x:v>
      </x:c>
      <x:c r="F2879" s="24" t="str">
        <x:v>Surfaçada</x:v>
      </x:c>
      <x:c r="G2879" s="24" t="str">
        <x:v>ClassicPlus</x:v>
      </x:c>
      <x:c r="H2879" s="24"/>
      <x:c r="I2879" s="24" t="str">
        <x:v>Poli</x:v>
      </x:c>
      <x:c r="J2879" s="24"/>
      <x:c r="K2879" s="24" t="str">
        <x:v>DuraVision Chrome UV</x:v>
      </x:c>
      <x:c r="L2879" s="40" t="n">
        <x:v>999</x:v>
      </x:c>
      <x:c r="M2879" s="24" t="str">
        <x:v>-10.00 a +6.00</x:v>
      </x:c>
      <x:c r="N2879" s="24" t="str">
        <x:v>-6.00</x:v>
      </x:c>
      <x:c r="O2879" s="24" t="str">
        <x:v>1.00 a 3.00</x:v>
      </x:c>
      <x:c r="P2879" s="24" t="str">
        <x:v>75</x:v>
      </x:c>
      <x:c r="Q2879" s="24"/>
      <x:c r="R2879" s="24"/>
      <x:c r="S2879" s="26" t="n">
        <x:v>46113</x:v>
      </x:c>
      <x:c r="T2879" s="26"/>
      <x:c r="U2879" s="24" t="str">
        <x:v>ATIVA/SEM FIM INFORMADO</x:v>
      </x:c>
      <x:c r="V2879" s="24"/>
      <x:c r="W2879" s="24" t="n">
        <x:v>47</x:v>
      </x:c>
      <x:c r="X2879" s="24" t="str">
        <x:v>tabela_zeiss.pdf</x:v>
      </x:c>
      <x:c r="Y2879" s="24" t="str">
        <x:v>alta</x:v>
      </x:c>
      <x:c r="Z2879" s="24"/>
      <x:c r="AA2879" s="24" t="str">
        <x:v>ZEISS|Progressiva|Surfaçada|ClassicPlus||Poli||DuraVision Chrome UV|-10.00 a +6.00|-6.00|1.00 a 3.00|75|||47</x:v>
      </x:c>
    </x:row>
    <x:row r="2880">
      <x:c r="A2880" s="24" t="str">
        <x:v>ZS-C3342817D475</x:v>
      </x:c>
      <x:c r="B2880" s="24" t="str">
        <x:v>SIM</x:v>
      </x:c>
      <x:c r="C2880" s="24" t="str">
        <x:v>DISPONÍVEL</x:v>
      </x:c>
      <x:c r="D2880" s="24" t="str">
        <x:v>ZEISS</x:v>
      </x:c>
      <x:c r="E2880" s="24" t="str">
        <x:v>Progressiva</x:v>
      </x:c>
      <x:c r="F2880" s="24" t="str">
        <x:v>Surfaçada</x:v>
      </x:c>
      <x:c r="G2880" s="24" t="str">
        <x:v>ClassicPlus</x:v>
      </x:c>
      <x:c r="H2880" s="24"/>
      <x:c r="I2880" s="24" t="str">
        <x:v>1.60</x:v>
      </x:c>
      <x:c r="J2880" s="24" t="str">
        <x:v>1.60</x:v>
      </x:c>
      <x:c r="K2880" s="24" t="str">
        <x:v>DuraVision Gold UV</x:v>
      </x:c>
      <x:c r="L2880" s="40" t="n">
        <x:v>2169</x:v>
      </x:c>
      <x:c r="M2880" s="24" t="str">
        <x:v>-12.00 a -7.50</x:v>
      </x:c>
      <x:c r="N2880" s="24" t="str">
        <x:v>-6.00</x:v>
      </x:c>
      <x:c r="O2880" s="24" t="str">
        <x:v>1.00 a 3.00</x:v>
      </x:c>
      <x:c r="P2880" s="24" t="str">
        <x:v>74</x:v>
      </x:c>
      <x:c r="Q2880" s="24"/>
      <x:c r="R2880" s="24"/>
      <x:c r="S2880" s="26" t="n">
        <x:v>46113</x:v>
      </x:c>
      <x:c r="T2880" s="26"/>
      <x:c r="U2880" s="24" t="str">
        <x:v>ATIVA/SEM FIM INFORMADO</x:v>
      </x:c>
      <x:c r="V2880" s="24"/>
      <x:c r="W2880" s="24" t="n">
        <x:v>47</x:v>
      </x:c>
      <x:c r="X2880" s="24" t="str">
        <x:v>tabela_zeiss.pdf</x:v>
      </x:c>
      <x:c r="Y2880" s="24" t="str">
        <x:v>alta</x:v>
      </x:c>
      <x:c r="Z2880" s="24"/>
      <x:c r="AA2880" s="24" t="str">
        <x:v>ZEISS|Progressiva|Surfaçada|ClassicPlus||1.60|1.60|DuraVision Gold UV|-12.00 a -7.50|-6.00|1.00 a 3.00|74|||47</x:v>
      </x:c>
    </x:row>
    <x:row r="2881">
      <x:c r="A2881" s="24" t="str">
        <x:v>ZS-58B007396180</x:v>
      </x:c>
      <x:c r="B2881" s="24" t="str">
        <x:v>SIM</x:v>
      </x:c>
      <x:c r="C2881" s="24" t="str">
        <x:v>DISPONÍVEL</x:v>
      </x:c>
      <x:c r="D2881" s="24" t="str">
        <x:v>ZEISS</x:v>
      </x:c>
      <x:c r="E2881" s="24" t="str">
        <x:v>Progressiva</x:v>
      </x:c>
      <x:c r="F2881" s="24" t="str">
        <x:v>Surfaçada</x:v>
      </x:c>
      <x:c r="G2881" s="24" t="str">
        <x:v>ClassicPlus</x:v>
      </x:c>
      <x:c r="H2881" s="24"/>
      <x:c r="I2881" s="24" t="str">
        <x:v>1.60</x:v>
      </x:c>
      <x:c r="J2881" s="24" t="str">
        <x:v>1.60</x:v>
      </x:c>
      <x:c r="K2881" s="24" t="str">
        <x:v>DuraVision Platinum UV</x:v>
      </x:c>
      <x:c r="L2881" s="40" t="n">
        <x:v>2029</x:v>
      </x:c>
      <x:c r="M2881" s="24" t="str">
        <x:v>-12.00 a -7.50</x:v>
      </x:c>
      <x:c r="N2881" s="24" t="str">
        <x:v>-6.00</x:v>
      </x:c>
      <x:c r="O2881" s="24" t="str">
        <x:v>1.00 a 3.00</x:v>
      </x:c>
      <x:c r="P2881" s="24" t="str">
        <x:v>74</x:v>
      </x:c>
      <x:c r="Q2881" s="24"/>
      <x:c r="R2881" s="24"/>
      <x:c r="S2881" s="26" t="n">
        <x:v>46113</x:v>
      </x:c>
      <x:c r="T2881" s="26"/>
      <x:c r="U2881" s="24" t="str">
        <x:v>ATIVA/SEM FIM INFORMADO</x:v>
      </x:c>
      <x:c r="V2881" s="24"/>
      <x:c r="W2881" s="24" t="n">
        <x:v>47</x:v>
      </x:c>
      <x:c r="X2881" s="24" t="str">
        <x:v>tabela_zeiss.pdf</x:v>
      </x:c>
      <x:c r="Y2881" s="24" t="str">
        <x:v>alta</x:v>
      </x:c>
      <x:c r="Z2881" s="24"/>
      <x:c r="AA2881" s="24" t="str">
        <x:v>ZEISS|Progressiva|Surfaçada|ClassicPlus||1.60|1.60|DuraVision Platinum UV|-12.00 a -7.50|-6.00|1.00 a 3.00|74|||47</x:v>
      </x:c>
    </x:row>
    <x:row r="2882">
      <x:c r="A2882" s="24" t="str">
        <x:v>ZS-4F8CFCDD2FF3</x:v>
      </x:c>
      <x:c r="B2882" s="24" t="str">
        <x:v>SIM</x:v>
      </x:c>
      <x:c r="C2882" s="24" t="str">
        <x:v>DISPONÍVEL</x:v>
      </x:c>
      <x:c r="D2882" s="24" t="str">
        <x:v>ZEISS</x:v>
      </x:c>
      <x:c r="E2882" s="24" t="str">
        <x:v>Progressiva</x:v>
      </x:c>
      <x:c r="F2882" s="24" t="str">
        <x:v>Surfaçada</x:v>
      </x:c>
      <x:c r="G2882" s="24" t="str">
        <x:v>ClassicPlus</x:v>
      </x:c>
      <x:c r="H2882" s="24"/>
      <x:c r="I2882" s="24" t="str">
        <x:v>1.60</x:v>
      </x:c>
      <x:c r="J2882" s="24" t="str">
        <x:v>1.60</x:v>
      </x:c>
      <x:c r="K2882" s="24" t="str">
        <x:v>DuraVision Silver UV</x:v>
      </x:c>
      <x:c r="L2882" s="40" t="n">
        <x:v>1769</x:v>
      </x:c>
      <x:c r="M2882" s="24" t="str">
        <x:v>-12.00 a -7.50</x:v>
      </x:c>
      <x:c r="N2882" s="24" t="str">
        <x:v>-6.00</x:v>
      </x:c>
      <x:c r="O2882" s="24" t="str">
        <x:v>1.00 a 3.00</x:v>
      </x:c>
      <x:c r="P2882" s="24" t="str">
        <x:v>74</x:v>
      </x:c>
      <x:c r="Q2882" s="24"/>
      <x:c r="R2882" s="24"/>
      <x:c r="S2882" s="26" t="n">
        <x:v>46113</x:v>
      </x:c>
      <x:c r="T2882" s="26"/>
      <x:c r="U2882" s="24" t="str">
        <x:v>ATIVA/SEM FIM INFORMADO</x:v>
      </x:c>
      <x:c r="V2882" s="24"/>
      <x:c r="W2882" s="24" t="n">
        <x:v>47</x:v>
      </x:c>
      <x:c r="X2882" s="24" t="str">
        <x:v>tabela_zeiss.pdf</x:v>
      </x:c>
      <x:c r="Y2882" s="24" t="str">
        <x:v>alta</x:v>
      </x:c>
      <x:c r="Z2882" s="24"/>
      <x:c r="AA2882" s="24" t="str">
        <x:v>ZEISS|Progressiva|Surfaçada|ClassicPlus||1.60|1.60|DuraVision Silver UV|-12.00 a -7.50|-6.00|1.00 a 3.00|74|||47</x:v>
      </x:c>
    </x:row>
    <x:row r="2883">
      <x:c r="A2883" s="24" t="str">
        <x:v>ZS-D4BC03A67EB9</x:v>
      </x:c>
      <x:c r="B2883" s="24" t="str">
        <x:v>SIM</x:v>
      </x:c>
      <x:c r="C2883" s="24" t="str">
        <x:v>DISPONÍVEL</x:v>
      </x:c>
      <x:c r="D2883" s="24" t="str">
        <x:v>ZEISS</x:v>
      </x:c>
      <x:c r="E2883" s="24" t="str">
        <x:v>Progressiva</x:v>
      </x:c>
      <x:c r="F2883" s="24" t="str">
        <x:v>Surfaçada</x:v>
      </x:c>
      <x:c r="G2883" s="24" t="str">
        <x:v>ClassicPlus</x:v>
      </x:c>
      <x:c r="H2883" s="24"/>
      <x:c r="I2883" s="24" t="str">
        <x:v>1.60</x:v>
      </x:c>
      <x:c r="J2883" s="24" t="str">
        <x:v>1.60</x:v>
      </x:c>
      <x:c r="K2883" s="24" t="str">
        <x:v>DuraVision Chrome UV</x:v>
      </x:c>
      <x:c r="L2883" s="40" t="n">
        <x:v>1279</x:v>
      </x:c>
      <x:c r="M2883" s="24" t="str">
        <x:v>-12.00 a -7.50</x:v>
      </x:c>
      <x:c r="N2883" s="24" t="str">
        <x:v>-6.00</x:v>
      </x:c>
      <x:c r="O2883" s="24" t="str">
        <x:v>1.00 a 3.00</x:v>
      </x:c>
      <x:c r="P2883" s="24" t="str">
        <x:v>74</x:v>
      </x:c>
      <x:c r="Q2883" s="24"/>
      <x:c r="R2883" s="24"/>
      <x:c r="S2883" s="26" t="n">
        <x:v>46113</x:v>
      </x:c>
      <x:c r="T2883" s="26"/>
      <x:c r="U2883" s="24" t="str">
        <x:v>ATIVA/SEM FIM INFORMADO</x:v>
      </x:c>
      <x:c r="V2883" s="24"/>
      <x:c r="W2883" s="24" t="n">
        <x:v>47</x:v>
      </x:c>
      <x:c r="X2883" s="24" t="str">
        <x:v>tabela_zeiss.pdf</x:v>
      </x:c>
      <x:c r="Y2883" s="24" t="str">
        <x:v>alta</x:v>
      </x:c>
      <x:c r="Z2883" s="24"/>
      <x:c r="AA2883" s="24" t="str">
        <x:v>ZEISS|Progressiva|Surfaçada|ClassicPlus||1.60|1.60|DuraVision Chrome UV|-12.00 a -7.50|-6.00|1.00 a 3.00|74|||47</x:v>
      </x:c>
    </x:row>
    <x:row r="2884">
      <x:c r="A2884" s="24" t="str">
        <x:v>ZS-164813C003A4</x:v>
      </x:c>
      <x:c r="B2884" s="24" t="str">
        <x:v>SIM</x:v>
      </x:c>
      <x:c r="C2884" s="24" t="str">
        <x:v>DISPONÍVEL</x:v>
      </x:c>
      <x:c r="D2884" s="24" t="str">
        <x:v>ZEISS</x:v>
      </x:c>
      <x:c r="E2884" s="24" t="str">
        <x:v>Progressiva</x:v>
      </x:c>
      <x:c r="F2884" s="24" t="str">
        <x:v>Surfaçada</x:v>
      </x:c>
      <x:c r="G2884" s="24" t="str">
        <x:v>ClassicPlus</x:v>
      </x:c>
      <x:c r="H2884" s="24"/>
      <x:c r="I2884" s="24" t="str">
        <x:v>1.67</x:v>
      </x:c>
      <x:c r="J2884" s="24" t="str">
        <x:v>1.67</x:v>
      </x:c>
      <x:c r="K2884" s="24" t="str">
        <x:v>DuraVision Gold UV</x:v>
      </x:c>
      <x:c r="L2884" s="40" t="n">
        <x:v>3469</x:v>
      </x:c>
      <x:c r="M2884" s="24" t="str">
        <x:v>-12.00 a -7.50</x:v>
      </x:c>
      <x:c r="N2884" s="24" t="str">
        <x:v>-6.00</x:v>
      </x:c>
      <x:c r="O2884" s="24" t="str">
        <x:v>1.00 a 3.00</x:v>
      </x:c>
      <x:c r="P2884" s="24" t="str">
        <x:v>74</x:v>
      </x:c>
      <x:c r="Q2884" s="24"/>
      <x:c r="R2884" s="24"/>
      <x:c r="S2884" s="26" t="n">
        <x:v>46113</x:v>
      </x:c>
      <x:c r="T2884" s="26"/>
      <x:c r="U2884" s="24" t="str">
        <x:v>ATIVA/SEM FIM INFORMADO</x:v>
      </x:c>
      <x:c r="V2884" s="24"/>
      <x:c r="W2884" s="24" t="n">
        <x:v>47</x:v>
      </x:c>
      <x:c r="X2884" s="24" t="str">
        <x:v>tabela_zeiss.pdf</x:v>
      </x:c>
      <x:c r="Y2884" s="24" t="str">
        <x:v>alta</x:v>
      </x:c>
      <x:c r="Z2884" s="24"/>
      <x:c r="AA2884" s="24" t="str">
        <x:v>ZEISS|Progressiva|Surfaçada|ClassicPlus||1.67|1.67|DuraVision Gold UV|-12.00 a -7.50|-6.00|1.00 a 3.00|74|||47</x:v>
      </x:c>
    </x:row>
    <x:row r="2885">
      <x:c r="A2885" s="24" t="str">
        <x:v>ZS-300533FDF230</x:v>
      </x:c>
      <x:c r="B2885" s="24" t="str">
        <x:v>SIM</x:v>
      </x:c>
      <x:c r="C2885" s="24" t="str">
        <x:v>DISPONÍVEL</x:v>
      </x:c>
      <x:c r="D2885" s="24" t="str">
        <x:v>ZEISS</x:v>
      </x:c>
      <x:c r="E2885" s="24" t="str">
        <x:v>Progressiva</x:v>
      </x:c>
      <x:c r="F2885" s="24" t="str">
        <x:v>Surfaçada</x:v>
      </x:c>
      <x:c r="G2885" s="24" t="str">
        <x:v>ClassicPlus</x:v>
      </x:c>
      <x:c r="H2885" s="24"/>
      <x:c r="I2885" s="24" t="str">
        <x:v>1.67</x:v>
      </x:c>
      <x:c r="J2885" s="24" t="str">
        <x:v>1.67</x:v>
      </x:c>
      <x:c r="K2885" s="24" t="str">
        <x:v>DuraVision Platinum UV</x:v>
      </x:c>
      <x:c r="L2885" s="40" t="n">
        <x:v>3329</x:v>
      </x:c>
      <x:c r="M2885" s="24" t="str">
        <x:v>-12.00 a -7.50</x:v>
      </x:c>
      <x:c r="N2885" s="24" t="str">
        <x:v>-6.00</x:v>
      </x:c>
      <x:c r="O2885" s="24" t="str">
        <x:v>1.00 a 3.00</x:v>
      </x:c>
      <x:c r="P2885" s="24" t="str">
        <x:v>74</x:v>
      </x:c>
      <x:c r="Q2885" s="24"/>
      <x:c r="R2885" s="24"/>
      <x:c r="S2885" s="26" t="n">
        <x:v>46113</x:v>
      </x:c>
      <x:c r="T2885" s="26"/>
      <x:c r="U2885" s="24" t="str">
        <x:v>ATIVA/SEM FIM INFORMADO</x:v>
      </x:c>
      <x:c r="V2885" s="24"/>
      <x:c r="W2885" s="24" t="n">
        <x:v>47</x:v>
      </x:c>
      <x:c r="X2885" s="24" t="str">
        <x:v>tabela_zeiss.pdf</x:v>
      </x:c>
      <x:c r="Y2885" s="24" t="str">
        <x:v>alta</x:v>
      </x:c>
      <x:c r="Z2885" s="24"/>
      <x:c r="AA2885" s="24" t="str">
        <x:v>ZEISS|Progressiva|Surfaçada|ClassicPlus||1.67|1.67|DuraVision Platinum UV|-12.00 a -7.50|-6.00|1.00 a 3.00|74|||47</x:v>
      </x:c>
    </x:row>
    <x:row r="2886">
      <x:c r="A2886" s="24" t="str">
        <x:v>ZS-6F088E7A1926</x:v>
      </x:c>
      <x:c r="B2886" s="24" t="str">
        <x:v>SIM</x:v>
      </x:c>
      <x:c r="C2886" s="24" t="str">
        <x:v>DISPONÍVEL</x:v>
      </x:c>
      <x:c r="D2886" s="24" t="str">
        <x:v>ZEISS</x:v>
      </x:c>
      <x:c r="E2886" s="24" t="str">
        <x:v>Progressiva</x:v>
      </x:c>
      <x:c r="F2886" s="24" t="str">
        <x:v>Surfaçada</x:v>
      </x:c>
      <x:c r="G2886" s="24" t="str">
        <x:v>ClassicPlus</x:v>
      </x:c>
      <x:c r="H2886" s="24"/>
      <x:c r="I2886" s="24" t="str">
        <x:v>1.67</x:v>
      </x:c>
      <x:c r="J2886" s="24" t="str">
        <x:v>1.67</x:v>
      </x:c>
      <x:c r="K2886" s="24" t="str">
        <x:v>DuraVision Silver UV</x:v>
      </x:c>
      <x:c r="L2886" s="40" t="n">
        <x:v>3069</x:v>
      </x:c>
      <x:c r="M2886" s="24" t="str">
        <x:v>-12.00 a -7.50</x:v>
      </x:c>
      <x:c r="N2886" s="24" t="str">
        <x:v>-6.00</x:v>
      </x:c>
      <x:c r="O2886" s="24" t="str">
        <x:v>1.00 a 3.00</x:v>
      </x:c>
      <x:c r="P2886" s="24" t="str">
        <x:v>74</x:v>
      </x:c>
      <x:c r="Q2886" s="24"/>
      <x:c r="R2886" s="24"/>
      <x:c r="S2886" s="26" t="n">
        <x:v>46113</x:v>
      </x:c>
      <x:c r="T2886" s="26"/>
      <x:c r="U2886" s="24" t="str">
        <x:v>ATIVA/SEM FIM INFORMADO</x:v>
      </x:c>
      <x:c r="V2886" s="24"/>
      <x:c r="W2886" s="24" t="n">
        <x:v>47</x:v>
      </x:c>
      <x:c r="X2886" s="24" t="str">
        <x:v>tabela_zeiss.pdf</x:v>
      </x:c>
      <x:c r="Y2886" s="24" t="str">
        <x:v>alta</x:v>
      </x:c>
      <x:c r="Z2886" s="24"/>
      <x:c r="AA2886" s="24" t="str">
        <x:v>ZEISS|Progressiva|Surfaçada|ClassicPlus||1.67|1.67|DuraVision Silver UV|-12.00 a -7.50|-6.00|1.00 a 3.00|74|||47</x:v>
      </x:c>
    </x:row>
    <x:row r="2887">
      <x:c r="A2887" s="24" t="str">
        <x:v>ZS-C44D562DD2ED</x:v>
      </x:c>
      <x:c r="B2887" s="24" t="str">
        <x:v>SIM</x:v>
      </x:c>
      <x:c r="C2887" s="24" t="str">
        <x:v>DISPONÍVEL</x:v>
      </x:c>
      <x:c r="D2887" s="24" t="str">
        <x:v>ZEISS</x:v>
      </x:c>
      <x:c r="E2887" s="24" t="str">
        <x:v>Progressiva</x:v>
      </x:c>
      <x:c r="F2887" s="24" t="str">
        <x:v>Surfaçada</x:v>
      </x:c>
      <x:c r="G2887" s="24" t="str">
        <x:v>ClassicPlus</x:v>
      </x:c>
      <x:c r="H2887" s="24"/>
      <x:c r="I2887" s="24" t="str">
        <x:v>1.67</x:v>
      </x:c>
      <x:c r="J2887" s="24" t="str">
        <x:v>1.67</x:v>
      </x:c>
      <x:c r="K2887" s="24" t="str">
        <x:v>DuraVision Chrome UV</x:v>
      </x:c>
      <x:c r="L2887" s="40" t="n">
        <x:v>2579</x:v>
      </x:c>
      <x:c r="M2887" s="24" t="str">
        <x:v>-12.00 a -7.50</x:v>
      </x:c>
      <x:c r="N2887" s="24" t="str">
        <x:v>-6.00</x:v>
      </x:c>
      <x:c r="O2887" s="24" t="str">
        <x:v>1.00 a 3.00</x:v>
      </x:c>
      <x:c r="P2887" s="24" t="str">
        <x:v>74</x:v>
      </x:c>
      <x:c r="Q2887" s="24"/>
      <x:c r="R2887" s="24"/>
      <x:c r="S2887" s="26" t="n">
        <x:v>46113</x:v>
      </x:c>
      <x:c r="T2887" s="26"/>
      <x:c r="U2887" s="24" t="str">
        <x:v>ATIVA/SEM FIM INFORMADO</x:v>
      </x:c>
      <x:c r="V2887" s="24"/>
      <x:c r="W2887" s="24" t="n">
        <x:v>47</x:v>
      </x:c>
      <x:c r="X2887" s="24" t="str">
        <x:v>tabela_zeiss.pdf</x:v>
      </x:c>
      <x:c r="Y2887" s="24" t="str">
        <x:v>alta</x:v>
      </x:c>
      <x:c r="Z2887" s="24"/>
      <x:c r="AA2887" s="24" t="str">
        <x:v>ZEISS|Progressiva|Surfaçada|ClassicPlus||1.67|1.67|DuraVision Chrome UV|-12.00 a -7.50|-6.00|1.00 a 3.00|74|||47</x:v>
      </x:c>
    </x:row>
    <x:row r="2888">
      <x:c r="A2888" s="24" t="str">
        <x:v>ZS-F9C544E6B40E</x:v>
      </x:c>
      <x:c r="B2888" s="24" t="str">
        <x:v>SIM</x:v>
      </x:c>
      <x:c r="C2888" s="24" t="str">
        <x:v>DISPONÍVEL</x:v>
      </x:c>
      <x:c r="D2888" s="24" t="str">
        <x:v>ZEISS</x:v>
      </x:c>
      <x:c r="E2888" s="24" t="str">
        <x:v>Progressiva</x:v>
      </x:c>
      <x:c r="F2888" s="24" t="str">
        <x:v>Surfaçada</x:v>
      </x:c>
      <x:c r="G2888" s="24" t="str">
        <x:v>ClassicPlus</x:v>
      </x:c>
      <x:c r="H2888" s="24" t="str">
        <x:v>PhotoFusion X</x:v>
      </x:c>
      <x:c r="I2888" s="24" t="str">
        <x:v>1.5</x:v>
      </x:c>
      <x:c r="J2888" s="24" t="str">
        <x:v>1.50</x:v>
      </x:c>
      <x:c r="K2888" s="24" t="str">
        <x:v>DuraVision Gold UV</x:v>
      </x:c>
      <x:c r="L2888" s="40" t="n">
        <x:v>2679</x:v>
      </x:c>
      <x:c r="M2888" s="24" t="str">
        <x:v>-7.00 a +5.00</x:v>
      </x:c>
      <x:c r="N2888" s="24" t="str">
        <x:v>-4.00</x:v>
      </x:c>
      <x:c r="O2888" s="24" t="str">
        <x:v>1.00 a 3.00</x:v>
      </x:c>
      <x:c r="P2888" s="24" t="str">
        <x:v>72</x:v>
      </x:c>
      <x:c r="Q2888" s="24"/>
      <x:c r="R2888" s="24"/>
      <x:c r="S2888" s="26" t="n">
        <x:v>46113</x:v>
      </x:c>
      <x:c r="T2888" s="26"/>
      <x:c r="U2888" s="24" t="str">
        <x:v>ATIVA/SEM FIM INFORMADO</x:v>
      </x:c>
      <x:c r="V2888" s="24" t="str">
        <x:v>Programa de Parcerias ZEISS</x:v>
      </x:c>
      <x:c r="W2888" s="24" t="n">
        <x:v>47</x:v>
      </x:c>
      <x:c r="X2888" s="24" t="str">
        <x:v>tabela_zeiss.pdf</x:v>
      </x:c>
      <x:c r="Y2888" s="24" t="str">
        <x:v>alta</x:v>
      </x:c>
      <x:c r="Z2888" s="24"/>
      <x:c r="AA2888" s="24" t="str">
        <x:v>ZEISS|Progressiva|Surfaçada|ClassicPlus|PhotoFusion X|1.5|1.50|DuraVision Gold UV|-7.00 a +5.00|-4.00|1.00 a 3.00|72|||47</x:v>
      </x:c>
    </x:row>
    <x:row r="2889">
      <x:c r="A2889" s="24" t="str">
        <x:v>ZS-FE51CA86F54C</x:v>
      </x:c>
      <x:c r="B2889" s="24" t="str">
        <x:v>SIM</x:v>
      </x:c>
      <x:c r="C2889" s="24" t="str">
        <x:v>DISPONÍVEL</x:v>
      </x:c>
      <x:c r="D2889" s="24" t="str">
        <x:v>ZEISS</x:v>
      </x:c>
      <x:c r="E2889" s="24" t="str">
        <x:v>Progressiva</x:v>
      </x:c>
      <x:c r="F2889" s="24" t="str">
        <x:v>Surfaçada</x:v>
      </x:c>
      <x:c r="G2889" s="24" t="str">
        <x:v>ClassicPlus</x:v>
      </x:c>
      <x:c r="H2889" s="24" t="str">
        <x:v>PhotoFusion X</x:v>
      </x:c>
      <x:c r="I2889" s="24" t="str">
        <x:v>1.5</x:v>
      </x:c>
      <x:c r="J2889" s="24" t="str">
        <x:v>1.50</x:v>
      </x:c>
      <x:c r="K2889" s="24" t="str">
        <x:v>DuraVision Platinum UV</x:v>
      </x:c>
      <x:c r="L2889" s="40" t="n">
        <x:v>2539</x:v>
      </x:c>
      <x:c r="M2889" s="24" t="str">
        <x:v>-7.00 a +5.00</x:v>
      </x:c>
      <x:c r="N2889" s="24" t="str">
        <x:v>-4.00</x:v>
      </x:c>
      <x:c r="O2889" s="24" t="str">
        <x:v>1.00 a 3.00</x:v>
      </x:c>
      <x:c r="P2889" s="24" t="str">
        <x:v>72</x:v>
      </x:c>
      <x:c r="Q2889" s="24"/>
      <x:c r="R2889" s="24"/>
      <x:c r="S2889" s="26" t="n">
        <x:v>46113</x:v>
      </x:c>
      <x:c r="T2889" s="26"/>
      <x:c r="U2889" s="24" t="str">
        <x:v>ATIVA/SEM FIM INFORMADO</x:v>
      </x:c>
      <x:c r="V2889" s="24" t="str">
        <x:v>Programa de Parcerias ZEISS</x:v>
      </x:c>
      <x:c r="W2889" s="24" t="n">
        <x:v>47</x:v>
      </x:c>
      <x:c r="X2889" s="24" t="str">
        <x:v>tabela_zeiss.pdf</x:v>
      </x:c>
      <x:c r="Y2889" s="24" t="str">
        <x:v>alta</x:v>
      </x:c>
      <x:c r="Z2889" s="24"/>
      <x:c r="AA2889" s="24" t="str">
        <x:v>ZEISS|Progressiva|Surfaçada|ClassicPlus|PhotoFusion X|1.5|1.50|DuraVision Platinum UV|-7.00 a +5.00|-4.00|1.00 a 3.00|72|||47</x:v>
      </x:c>
    </x:row>
    <x:row r="2890">
      <x:c r="A2890" s="24" t="str">
        <x:v>ZS-EF72E4F3FC5B</x:v>
      </x:c>
      <x:c r="B2890" s="24" t="str">
        <x:v>SIM</x:v>
      </x:c>
      <x:c r="C2890" s="24" t="str">
        <x:v>DISPONÍVEL</x:v>
      </x:c>
      <x:c r="D2890" s="24" t="str">
        <x:v>ZEISS</x:v>
      </x:c>
      <x:c r="E2890" s="24" t="str">
        <x:v>Progressiva</x:v>
      </x:c>
      <x:c r="F2890" s="24" t="str">
        <x:v>Surfaçada</x:v>
      </x:c>
      <x:c r="G2890" s="24" t="str">
        <x:v>ClassicPlus</x:v>
      </x:c>
      <x:c r="H2890" s="24" t="str">
        <x:v>PhotoFusion X</x:v>
      </x:c>
      <x:c r="I2890" s="24" t="str">
        <x:v>1.5</x:v>
      </x:c>
      <x:c r="J2890" s="24" t="str">
        <x:v>1.50</x:v>
      </x:c>
      <x:c r="K2890" s="24" t="str">
        <x:v>DuraVision Silver UV</x:v>
      </x:c>
      <x:c r="L2890" s="40" t="n">
        <x:v>2279</x:v>
      </x:c>
      <x:c r="M2890" s="24" t="str">
        <x:v>-7.00 a +5.00</x:v>
      </x:c>
      <x:c r="N2890" s="24" t="str">
        <x:v>-4.00</x:v>
      </x:c>
      <x:c r="O2890" s="24" t="str">
        <x:v>1.00 a 3.00</x:v>
      </x:c>
      <x:c r="P2890" s="24" t="str">
        <x:v>72</x:v>
      </x:c>
      <x:c r="Q2890" s="24"/>
      <x:c r="R2890" s="24"/>
      <x:c r="S2890" s="26" t="n">
        <x:v>46113</x:v>
      </x:c>
      <x:c r="T2890" s="26"/>
      <x:c r="U2890" s="24" t="str">
        <x:v>ATIVA/SEM FIM INFORMADO</x:v>
      </x:c>
      <x:c r="V2890" s="24" t="str">
        <x:v>Programa de Parcerias ZEISS</x:v>
      </x:c>
      <x:c r="W2890" s="24" t="n">
        <x:v>47</x:v>
      </x:c>
      <x:c r="X2890" s="24" t="str">
        <x:v>tabela_zeiss.pdf</x:v>
      </x:c>
      <x:c r="Y2890" s="24" t="str">
        <x:v>alta</x:v>
      </x:c>
      <x:c r="Z2890" s="24"/>
      <x:c r="AA2890" s="24" t="str">
        <x:v>ZEISS|Progressiva|Surfaçada|ClassicPlus|PhotoFusion X|1.5|1.50|DuraVision Silver UV|-7.00 a +5.00|-4.00|1.00 a 3.00|72|||47</x:v>
      </x:c>
    </x:row>
    <x:row r="2891">
      <x:c r="A2891" s="24" t="str">
        <x:v>ZS-5611B2E9A828</x:v>
      </x:c>
      <x:c r="B2891" s="24" t="str">
        <x:v>SIM</x:v>
      </x:c>
      <x:c r="C2891" s="24" t="str">
        <x:v>DISPONÍVEL</x:v>
      </x:c>
      <x:c r="D2891" s="24" t="str">
        <x:v>ZEISS</x:v>
      </x:c>
      <x:c r="E2891" s="24" t="str">
        <x:v>Progressiva</x:v>
      </x:c>
      <x:c r="F2891" s="24" t="str">
        <x:v>Surfaçada</x:v>
      </x:c>
      <x:c r="G2891" s="24" t="str">
        <x:v>ClassicPlus</x:v>
      </x:c>
      <x:c r="H2891" s="24" t="str">
        <x:v>PhotoFusion X</x:v>
      </x:c>
      <x:c r="I2891" s="24" t="str">
        <x:v>1.5</x:v>
      </x:c>
      <x:c r="J2891" s="24" t="str">
        <x:v>1.50</x:v>
      </x:c>
      <x:c r="K2891" s="24" t="str">
        <x:v>DuraVision Chrome UV</x:v>
      </x:c>
      <x:c r="L2891" s="40" t="n">
        <x:v>1789</x:v>
      </x:c>
      <x:c r="M2891" s="24" t="str">
        <x:v>-7.00 a +5.00</x:v>
      </x:c>
      <x:c r="N2891" s="24" t="str">
        <x:v>-4.00</x:v>
      </x:c>
      <x:c r="O2891" s="24" t="str">
        <x:v>1.00 a 3.00</x:v>
      </x:c>
      <x:c r="P2891" s="24" t="str">
        <x:v>72</x:v>
      </x:c>
      <x:c r="Q2891" s="24"/>
      <x:c r="R2891" s="24"/>
      <x:c r="S2891" s="26" t="n">
        <x:v>46113</x:v>
      </x:c>
      <x:c r="T2891" s="26"/>
      <x:c r="U2891" s="24" t="str">
        <x:v>ATIVA/SEM FIM INFORMADO</x:v>
      </x:c>
      <x:c r="V2891" s="24" t="str">
        <x:v>Programa de Parcerias ZEISS</x:v>
      </x:c>
      <x:c r="W2891" s="24" t="n">
        <x:v>47</x:v>
      </x:c>
      <x:c r="X2891" s="24" t="str">
        <x:v>tabela_zeiss.pdf</x:v>
      </x:c>
      <x:c r="Y2891" s="24" t="str">
        <x:v>alta</x:v>
      </x:c>
      <x:c r="Z2891" s="24"/>
      <x:c r="AA2891" s="24" t="str">
        <x:v>ZEISS|Progressiva|Surfaçada|ClassicPlus|PhotoFusion X|1.5|1.50|DuraVision Chrome UV|-7.00 a +5.00|-4.00|1.00 a 3.00|72|||47</x:v>
      </x:c>
    </x:row>
    <x:row r="2892">
      <x:c r="A2892" s="24" t="str">
        <x:v>ZS-747DBA704D8B</x:v>
      </x:c>
      <x:c r="B2892" s="24" t="str">
        <x:v>SIM</x:v>
      </x:c>
      <x:c r="C2892" s="24" t="str">
        <x:v>DISPONÍVEL</x:v>
      </x:c>
      <x:c r="D2892" s="24" t="str">
        <x:v>ZEISS</x:v>
      </x:c>
      <x:c r="E2892" s="24" t="str">
        <x:v>Progressiva</x:v>
      </x:c>
      <x:c r="F2892" s="24" t="str">
        <x:v>Surfaçada</x:v>
      </x:c>
      <x:c r="G2892" s="24" t="str">
        <x:v>ClassicPlus</x:v>
      </x:c>
      <x:c r="H2892" s="24" t="str">
        <x:v>PhotoFusion X</x:v>
      </x:c>
      <x:c r="I2892" s="24" t="str">
        <x:v>Poli</x:v>
      </x:c>
      <x:c r="J2892" s="24"/>
      <x:c r="K2892" s="24" t="str">
        <x:v>DuraVision Gold UV</x:v>
      </x:c>
      <x:c r="L2892" s="40" t="n">
        <x:v>2979</x:v>
      </x:c>
      <x:c r="M2892" s="24" t="str">
        <x:v>-10.00 a +6.00</x:v>
      </x:c>
      <x:c r="N2892" s="24" t="str">
        <x:v>-6.00</x:v>
      </x:c>
      <x:c r="O2892" s="24" t="str">
        <x:v>1.00 a 3.00</x:v>
      </x:c>
      <x:c r="P2892" s="24" t="str">
        <x:v>72</x:v>
      </x:c>
      <x:c r="Q2892" s="24"/>
      <x:c r="R2892" s="24"/>
      <x:c r="S2892" s="26" t="n">
        <x:v>46113</x:v>
      </x:c>
      <x:c r="T2892" s="26"/>
      <x:c r="U2892" s="24" t="str">
        <x:v>ATIVA/SEM FIM INFORMADO</x:v>
      </x:c>
      <x:c r="V2892" s="24" t="str">
        <x:v>Programa de Parcerias ZEISS</x:v>
      </x:c>
      <x:c r="W2892" s="24" t="n">
        <x:v>47</x:v>
      </x:c>
      <x:c r="X2892" s="24" t="str">
        <x:v>tabela_zeiss.pdf</x:v>
      </x:c>
      <x:c r="Y2892" s="24" t="str">
        <x:v>alta</x:v>
      </x:c>
      <x:c r="Z2892" s="24"/>
      <x:c r="AA2892" s="24" t="str">
        <x:v>ZEISS|Progressiva|Surfaçada|ClassicPlus|PhotoFusion X|Poli||DuraVision Gold UV|-10.00 a +6.00|-6.00|1.00 a 3.00|72|||47</x:v>
      </x:c>
    </x:row>
    <x:row r="2893">
      <x:c r="A2893" s="24" t="str">
        <x:v>ZS-CB8C47D3AE1B</x:v>
      </x:c>
      <x:c r="B2893" s="24" t="str">
        <x:v>SIM</x:v>
      </x:c>
      <x:c r="C2893" s="24" t="str">
        <x:v>DISPONÍVEL</x:v>
      </x:c>
      <x:c r="D2893" s="24" t="str">
        <x:v>ZEISS</x:v>
      </x:c>
      <x:c r="E2893" s="24" t="str">
        <x:v>Progressiva</x:v>
      </x:c>
      <x:c r="F2893" s="24" t="str">
        <x:v>Surfaçada</x:v>
      </x:c>
      <x:c r="G2893" s="24" t="str">
        <x:v>ClassicPlus</x:v>
      </x:c>
      <x:c r="H2893" s="24" t="str">
        <x:v>PhotoFusion X</x:v>
      </x:c>
      <x:c r="I2893" s="24" t="str">
        <x:v>Poli</x:v>
      </x:c>
      <x:c r="J2893" s="24"/>
      <x:c r="K2893" s="24" t="str">
        <x:v>DuraVision Platinum UV</x:v>
      </x:c>
      <x:c r="L2893" s="40" t="n">
        <x:v>2839</x:v>
      </x:c>
      <x:c r="M2893" s="24" t="str">
        <x:v>-10.00 a +6.00</x:v>
      </x:c>
      <x:c r="N2893" s="24" t="str">
        <x:v>-6.00</x:v>
      </x:c>
      <x:c r="O2893" s="24" t="str">
        <x:v>1.00 a 3.00</x:v>
      </x:c>
      <x:c r="P2893" s="24" t="str">
        <x:v>72</x:v>
      </x:c>
      <x:c r="Q2893" s="24"/>
      <x:c r="R2893" s="24"/>
      <x:c r="S2893" s="26" t="n">
        <x:v>46113</x:v>
      </x:c>
      <x:c r="T2893" s="26"/>
      <x:c r="U2893" s="24" t="str">
        <x:v>ATIVA/SEM FIM INFORMADO</x:v>
      </x:c>
      <x:c r="V2893" s="24" t="str">
        <x:v>Programa de Parcerias ZEISS</x:v>
      </x:c>
      <x:c r="W2893" s="24" t="n">
        <x:v>47</x:v>
      </x:c>
      <x:c r="X2893" s="24" t="str">
        <x:v>tabela_zeiss.pdf</x:v>
      </x:c>
      <x:c r="Y2893" s="24" t="str">
        <x:v>alta</x:v>
      </x:c>
      <x:c r="Z2893" s="24"/>
      <x:c r="AA2893" s="24" t="str">
        <x:v>ZEISS|Progressiva|Surfaçada|ClassicPlus|PhotoFusion X|Poli||DuraVision Platinum UV|-10.00 a +6.00|-6.00|1.00 a 3.00|72|||47</x:v>
      </x:c>
    </x:row>
    <x:row r="2894">
      <x:c r="A2894" s="24" t="str">
        <x:v>ZS-FAA2A26D11DB</x:v>
      </x:c>
      <x:c r="B2894" s="24" t="str">
        <x:v>SIM</x:v>
      </x:c>
      <x:c r="C2894" s="24" t="str">
        <x:v>DISPONÍVEL</x:v>
      </x:c>
      <x:c r="D2894" s="24" t="str">
        <x:v>ZEISS</x:v>
      </x:c>
      <x:c r="E2894" s="24" t="str">
        <x:v>Progressiva</x:v>
      </x:c>
      <x:c r="F2894" s="24" t="str">
        <x:v>Surfaçada</x:v>
      </x:c>
      <x:c r="G2894" s="24" t="str">
        <x:v>ClassicPlus</x:v>
      </x:c>
      <x:c r="H2894" s="24" t="str">
        <x:v>PhotoFusion X</x:v>
      </x:c>
      <x:c r="I2894" s="24" t="str">
        <x:v>Poli</x:v>
      </x:c>
      <x:c r="J2894" s="24"/>
      <x:c r="K2894" s="24" t="str">
        <x:v>DuraVision Silver UV</x:v>
      </x:c>
      <x:c r="L2894" s="40" t="n">
        <x:v>2579</x:v>
      </x:c>
      <x:c r="M2894" s="24" t="str">
        <x:v>-10.00 a +6.00</x:v>
      </x:c>
      <x:c r="N2894" s="24" t="str">
        <x:v>-6.00</x:v>
      </x:c>
      <x:c r="O2894" s="24" t="str">
        <x:v>1.00 a 3.00</x:v>
      </x:c>
      <x:c r="P2894" s="24" t="str">
        <x:v>72</x:v>
      </x:c>
      <x:c r="Q2894" s="24"/>
      <x:c r="R2894" s="24"/>
      <x:c r="S2894" s="26" t="n">
        <x:v>46113</x:v>
      </x:c>
      <x:c r="T2894" s="26"/>
      <x:c r="U2894" s="24" t="str">
        <x:v>ATIVA/SEM FIM INFORMADO</x:v>
      </x:c>
      <x:c r="V2894" s="24" t="str">
        <x:v>Programa de Parcerias ZEISS</x:v>
      </x:c>
      <x:c r="W2894" s="24" t="n">
        <x:v>47</x:v>
      </x:c>
      <x:c r="X2894" s="24" t="str">
        <x:v>tabela_zeiss.pdf</x:v>
      </x:c>
      <x:c r="Y2894" s="24" t="str">
        <x:v>alta</x:v>
      </x:c>
      <x:c r="Z2894" s="24"/>
      <x:c r="AA2894" s="24" t="str">
        <x:v>ZEISS|Progressiva|Surfaçada|ClassicPlus|PhotoFusion X|Poli||DuraVision Silver UV|-10.00 a +6.00|-6.00|1.00 a 3.00|72|||47</x:v>
      </x:c>
    </x:row>
    <x:row r="2895">
      <x:c r="A2895" s="24" t="str">
        <x:v>ZS-3018243B4621</x:v>
      </x:c>
      <x:c r="B2895" s="24" t="str">
        <x:v>SIM</x:v>
      </x:c>
      <x:c r="C2895" s="24" t="str">
        <x:v>DISPONÍVEL</x:v>
      </x:c>
      <x:c r="D2895" s="24" t="str">
        <x:v>ZEISS</x:v>
      </x:c>
      <x:c r="E2895" s="24" t="str">
        <x:v>Progressiva</x:v>
      </x:c>
      <x:c r="F2895" s="24" t="str">
        <x:v>Surfaçada</x:v>
      </x:c>
      <x:c r="G2895" s="24" t="str">
        <x:v>ClassicPlus</x:v>
      </x:c>
      <x:c r="H2895" s="24" t="str">
        <x:v>PhotoFusion X</x:v>
      </x:c>
      <x:c r="I2895" s="24" t="str">
        <x:v>Poli</x:v>
      </x:c>
      <x:c r="J2895" s="24"/>
      <x:c r="K2895" s="24" t="str">
        <x:v>DuraVision Chrome UV</x:v>
      </x:c>
      <x:c r="L2895" s="40" t="n">
        <x:v>2089</x:v>
      </x:c>
      <x:c r="M2895" s="24" t="str">
        <x:v>-10.00 a +6.00</x:v>
      </x:c>
      <x:c r="N2895" s="24" t="str">
        <x:v>-6.00</x:v>
      </x:c>
      <x:c r="O2895" s="24" t="str">
        <x:v>1.00 a 3.00</x:v>
      </x:c>
      <x:c r="P2895" s="24" t="str">
        <x:v>72</x:v>
      </x:c>
      <x:c r="Q2895" s="24"/>
      <x:c r="R2895" s="24"/>
      <x:c r="S2895" s="26" t="n">
        <x:v>46113</x:v>
      </x:c>
      <x:c r="T2895" s="26"/>
      <x:c r="U2895" s="24" t="str">
        <x:v>ATIVA/SEM FIM INFORMADO</x:v>
      </x:c>
      <x:c r="V2895" s="24" t="str">
        <x:v>Programa de Parcerias ZEISS</x:v>
      </x:c>
      <x:c r="W2895" s="24" t="n">
        <x:v>47</x:v>
      </x:c>
      <x:c r="X2895" s="24" t="str">
        <x:v>tabela_zeiss.pdf</x:v>
      </x:c>
      <x:c r="Y2895" s="24" t="str">
        <x:v>alta</x:v>
      </x:c>
      <x:c r="Z2895" s="24"/>
      <x:c r="AA2895" s="24" t="str">
        <x:v>ZEISS|Progressiva|Surfaçada|ClassicPlus|PhotoFusion X|Poli||DuraVision Chrome UV|-10.00 a +6.00|-6.00|1.00 a 3.00|72|||47</x:v>
      </x:c>
    </x:row>
    <x:row r="2896">
      <x:c r="A2896" s="24" t="str">
        <x:v>ZS-EFECF43AABCD</x:v>
      </x:c>
      <x:c r="B2896" s="24" t="str">
        <x:v>SIM</x:v>
      </x:c>
      <x:c r="C2896" s="24" t="str">
        <x:v>DISPONÍVEL</x:v>
      </x:c>
      <x:c r="D2896" s="24" t="str">
        <x:v>ZEISS</x:v>
      </x:c>
      <x:c r="E2896" s="24" t="str">
        <x:v>Progressiva</x:v>
      </x:c>
      <x:c r="F2896" s="24" t="str">
        <x:v>Surfaçada</x:v>
      </x:c>
      <x:c r="G2896" s="24" t="str">
        <x:v>ClassicPlus</x:v>
      </x:c>
      <x:c r="H2896" s="24" t="str">
        <x:v>PhotoFusion X</x:v>
      </x:c>
      <x:c r="I2896" s="24" t="str">
        <x:v>1.60</x:v>
      </x:c>
      <x:c r="J2896" s="24" t="str">
        <x:v>1.60</x:v>
      </x:c>
      <x:c r="K2896" s="24" t="str">
        <x:v>DuraVision Gold UV</x:v>
      </x:c>
      <x:c r="L2896" s="40" t="n">
        <x:v>3259</x:v>
      </x:c>
      <x:c r="M2896" s="24" t="str">
        <x:v>-12.00 a -7.50</x:v>
      </x:c>
      <x:c r="N2896" s="24" t="str">
        <x:v>-6.00</x:v>
      </x:c>
      <x:c r="O2896" s="24" t="str">
        <x:v>1.00 a 3.00</x:v>
      </x:c>
      <x:c r="P2896" s="24" t="str">
        <x:v>74</x:v>
      </x:c>
      <x:c r="Q2896" s="24"/>
      <x:c r="R2896" s="24"/>
      <x:c r="S2896" s="26" t="n">
        <x:v>46113</x:v>
      </x:c>
      <x:c r="T2896" s="26"/>
      <x:c r="U2896" s="24" t="str">
        <x:v>ATIVA/SEM FIM INFORMADO</x:v>
      </x:c>
      <x:c r="V2896" s="24" t="str">
        <x:v>Programa de Parcerias ZEISS</x:v>
      </x:c>
      <x:c r="W2896" s="24" t="n">
        <x:v>47</x:v>
      </x:c>
      <x:c r="X2896" s="24" t="str">
        <x:v>tabela_zeiss.pdf</x:v>
      </x:c>
      <x:c r="Y2896" s="24" t="str">
        <x:v>alta</x:v>
      </x:c>
      <x:c r="Z2896" s="24"/>
      <x:c r="AA2896" s="24" t="str">
        <x:v>ZEISS|Progressiva|Surfaçada|ClassicPlus|PhotoFusion X|1.60|1.60|DuraVision Gold UV|-12.00 a -7.50|-6.00|1.00 a 3.00|74|||47</x:v>
      </x:c>
    </x:row>
    <x:row r="2897">
      <x:c r="A2897" s="24" t="str">
        <x:v>ZS-040C5A147C13</x:v>
      </x:c>
      <x:c r="B2897" s="24" t="str">
        <x:v>SIM</x:v>
      </x:c>
      <x:c r="C2897" s="24" t="str">
        <x:v>DISPONÍVEL</x:v>
      </x:c>
      <x:c r="D2897" s="24" t="str">
        <x:v>ZEISS</x:v>
      </x:c>
      <x:c r="E2897" s="24" t="str">
        <x:v>Progressiva</x:v>
      </x:c>
      <x:c r="F2897" s="24" t="str">
        <x:v>Surfaçada</x:v>
      </x:c>
      <x:c r="G2897" s="24" t="str">
        <x:v>ClassicPlus</x:v>
      </x:c>
      <x:c r="H2897" s="24" t="str">
        <x:v>PhotoFusion X</x:v>
      </x:c>
      <x:c r="I2897" s="24" t="str">
        <x:v>1.60</x:v>
      </x:c>
      <x:c r="J2897" s="24" t="str">
        <x:v>1.60</x:v>
      </x:c>
      <x:c r="K2897" s="24" t="str">
        <x:v>DuraVision Platinum UV</x:v>
      </x:c>
      <x:c r="L2897" s="40" t="n">
        <x:v>3119</x:v>
      </x:c>
      <x:c r="M2897" s="24" t="str">
        <x:v>-12.00 a -7.50</x:v>
      </x:c>
      <x:c r="N2897" s="24" t="str">
        <x:v>-6.00</x:v>
      </x:c>
      <x:c r="O2897" s="24" t="str">
        <x:v>1.00 a 3.00</x:v>
      </x:c>
      <x:c r="P2897" s="24" t="str">
        <x:v>74</x:v>
      </x:c>
      <x:c r="Q2897" s="24"/>
      <x:c r="R2897" s="24"/>
      <x:c r="S2897" s="26" t="n">
        <x:v>46113</x:v>
      </x:c>
      <x:c r="T2897" s="26"/>
      <x:c r="U2897" s="24" t="str">
        <x:v>ATIVA/SEM FIM INFORMADO</x:v>
      </x:c>
      <x:c r="V2897" s="24" t="str">
        <x:v>Programa de Parcerias ZEISS</x:v>
      </x:c>
      <x:c r="W2897" s="24" t="n">
        <x:v>47</x:v>
      </x:c>
      <x:c r="X2897" s="24" t="str">
        <x:v>tabela_zeiss.pdf</x:v>
      </x:c>
      <x:c r="Y2897" s="24" t="str">
        <x:v>alta</x:v>
      </x:c>
      <x:c r="Z2897" s="24"/>
      <x:c r="AA2897" s="24" t="str">
        <x:v>ZEISS|Progressiva|Surfaçada|ClassicPlus|PhotoFusion X|1.60|1.60|DuraVision Platinum UV|-12.00 a -7.50|-6.00|1.00 a 3.00|74|||47</x:v>
      </x:c>
    </x:row>
    <x:row r="2898">
      <x:c r="A2898" s="24" t="str">
        <x:v>ZS-B25252460996</x:v>
      </x:c>
      <x:c r="B2898" s="24" t="str">
        <x:v>SIM</x:v>
      </x:c>
      <x:c r="C2898" s="24" t="str">
        <x:v>DISPONÍVEL</x:v>
      </x:c>
      <x:c r="D2898" s="24" t="str">
        <x:v>ZEISS</x:v>
      </x:c>
      <x:c r="E2898" s="24" t="str">
        <x:v>Progressiva</x:v>
      </x:c>
      <x:c r="F2898" s="24" t="str">
        <x:v>Surfaçada</x:v>
      </x:c>
      <x:c r="G2898" s="24" t="str">
        <x:v>ClassicPlus</x:v>
      </x:c>
      <x:c r="H2898" s="24" t="str">
        <x:v>PhotoFusion X</x:v>
      </x:c>
      <x:c r="I2898" s="24" t="str">
        <x:v>1.60</x:v>
      </x:c>
      <x:c r="J2898" s="24" t="str">
        <x:v>1.60</x:v>
      </x:c>
      <x:c r="K2898" s="24" t="str">
        <x:v>DuraVision Silver UV</x:v>
      </x:c>
      <x:c r="L2898" s="40" t="n">
        <x:v>2859</x:v>
      </x:c>
      <x:c r="M2898" s="24" t="str">
        <x:v>-12.00 a -7.50</x:v>
      </x:c>
      <x:c r="N2898" s="24" t="str">
        <x:v>-6.00</x:v>
      </x:c>
      <x:c r="O2898" s="24" t="str">
        <x:v>1.00 a 3.00</x:v>
      </x:c>
      <x:c r="P2898" s="24" t="str">
        <x:v>74</x:v>
      </x:c>
      <x:c r="Q2898" s="24"/>
      <x:c r="R2898" s="24"/>
      <x:c r="S2898" s="26" t="n">
        <x:v>46113</x:v>
      </x:c>
      <x:c r="T2898" s="26"/>
      <x:c r="U2898" s="24" t="str">
        <x:v>ATIVA/SEM FIM INFORMADO</x:v>
      </x:c>
      <x:c r="V2898" s="24" t="str">
        <x:v>Programa de Parcerias ZEISS</x:v>
      </x:c>
      <x:c r="W2898" s="24" t="n">
        <x:v>47</x:v>
      </x:c>
      <x:c r="X2898" s="24" t="str">
        <x:v>tabela_zeiss.pdf</x:v>
      </x:c>
      <x:c r="Y2898" s="24" t="str">
        <x:v>alta</x:v>
      </x:c>
      <x:c r="Z2898" s="24"/>
      <x:c r="AA2898" s="24" t="str">
        <x:v>ZEISS|Progressiva|Surfaçada|ClassicPlus|PhotoFusion X|1.60|1.60|DuraVision Silver UV|-12.00 a -7.50|-6.00|1.00 a 3.00|74|||47</x:v>
      </x:c>
    </x:row>
    <x:row r="2899">
      <x:c r="A2899" s="24" t="str">
        <x:v>ZS-F40CF8042B33</x:v>
      </x:c>
      <x:c r="B2899" s="24" t="str">
        <x:v>SIM</x:v>
      </x:c>
      <x:c r="C2899" s="24" t="str">
        <x:v>DISPONÍVEL</x:v>
      </x:c>
      <x:c r="D2899" s="24" t="str">
        <x:v>ZEISS</x:v>
      </x:c>
      <x:c r="E2899" s="24" t="str">
        <x:v>Progressiva</x:v>
      </x:c>
      <x:c r="F2899" s="24" t="str">
        <x:v>Surfaçada</x:v>
      </x:c>
      <x:c r="G2899" s="24" t="str">
        <x:v>ClassicPlus</x:v>
      </x:c>
      <x:c r="H2899" s="24" t="str">
        <x:v>PhotoFusion X</x:v>
      </x:c>
      <x:c r="I2899" s="24" t="str">
        <x:v>1.60</x:v>
      </x:c>
      <x:c r="J2899" s="24" t="str">
        <x:v>1.60</x:v>
      </x:c>
      <x:c r="K2899" s="24" t="str">
        <x:v>DuraVision Chrome UV</x:v>
      </x:c>
      <x:c r="L2899" s="40" t="n">
        <x:v>2369</x:v>
      </x:c>
      <x:c r="M2899" s="24" t="str">
        <x:v>-12.00 a -7.50</x:v>
      </x:c>
      <x:c r="N2899" s="24" t="str">
        <x:v>-6.00</x:v>
      </x:c>
      <x:c r="O2899" s="24" t="str">
        <x:v>1.00 a 3.00</x:v>
      </x:c>
      <x:c r="P2899" s="24" t="str">
        <x:v>74</x:v>
      </x:c>
      <x:c r="Q2899" s="24"/>
      <x:c r="R2899" s="24"/>
      <x:c r="S2899" s="26" t="n">
        <x:v>46113</x:v>
      </x:c>
      <x:c r="T2899" s="26"/>
      <x:c r="U2899" s="24" t="str">
        <x:v>ATIVA/SEM FIM INFORMADO</x:v>
      </x:c>
      <x:c r="V2899" s="24" t="str">
        <x:v>Programa de Parcerias ZEISS</x:v>
      </x:c>
      <x:c r="W2899" s="24" t="n">
        <x:v>47</x:v>
      </x:c>
      <x:c r="X2899" s="24" t="str">
        <x:v>tabela_zeiss.pdf</x:v>
      </x:c>
      <x:c r="Y2899" s="24" t="str">
        <x:v>alta</x:v>
      </x:c>
      <x:c r="Z2899" s="24"/>
      <x:c r="AA2899" s="24" t="str">
        <x:v>ZEISS|Progressiva|Surfaçada|ClassicPlus|PhotoFusion X|1.60|1.60|DuraVision Chrome UV|-12.00 a -7.50|-6.00|1.00 a 3.00|74|||47</x:v>
      </x:c>
    </x:row>
    <x:row r="2900">
      <x:c r="A2900" s="24" t="str">
        <x:v>ZS-B1CEF29055E9</x:v>
      </x:c>
      <x:c r="B2900" s="24" t="str">
        <x:v>SIM</x:v>
      </x:c>
      <x:c r="C2900" s="24" t="str">
        <x:v>DISPONÍVEL</x:v>
      </x:c>
      <x:c r="D2900" s="24" t="str">
        <x:v>ZEISS</x:v>
      </x:c>
      <x:c r="E2900" s="24" t="str">
        <x:v>Progressiva</x:v>
      </x:c>
      <x:c r="F2900" s="24" t="str">
        <x:v>Surfaçada</x:v>
      </x:c>
      <x:c r="G2900" s="24" t="str">
        <x:v>ClassicPlus</x:v>
      </x:c>
      <x:c r="H2900" s="24" t="str">
        <x:v>PhotoFusion X</x:v>
      </x:c>
      <x:c r="I2900" s="24" t="str">
        <x:v>1.67</x:v>
      </x:c>
      <x:c r="J2900" s="24" t="str">
        <x:v>1.67</x:v>
      </x:c>
      <x:c r="K2900" s="24" t="str">
        <x:v>DuraVision Gold UV</x:v>
      </x:c>
      <x:c r="L2900" s="40" t="n">
        <x:v>4559</x:v>
      </x:c>
      <x:c r="M2900" s="24" t="str">
        <x:v>-12.00 a -7.50</x:v>
      </x:c>
      <x:c r="N2900" s="24" t="str">
        <x:v>-6.00</x:v>
      </x:c>
      <x:c r="O2900" s="24" t="str">
        <x:v>1.00 a 3.00</x:v>
      </x:c>
      <x:c r="P2900" s="24" t="str">
        <x:v>74</x:v>
      </x:c>
      <x:c r="Q2900" s="24"/>
      <x:c r="R2900" s="24"/>
      <x:c r="S2900" s="26" t="n">
        <x:v>46113</x:v>
      </x:c>
      <x:c r="T2900" s="26"/>
      <x:c r="U2900" s="24" t="str">
        <x:v>ATIVA/SEM FIM INFORMADO</x:v>
      </x:c>
      <x:c r="V2900" s="24" t="str">
        <x:v>Programa de Parcerias ZEISS</x:v>
      </x:c>
      <x:c r="W2900" s="24" t="n">
        <x:v>47</x:v>
      </x:c>
      <x:c r="X2900" s="24" t="str">
        <x:v>tabela_zeiss.pdf</x:v>
      </x:c>
      <x:c r="Y2900" s="24" t="str">
        <x:v>alta</x:v>
      </x:c>
      <x:c r="Z2900" s="24"/>
      <x:c r="AA2900" s="24" t="str">
        <x:v>ZEISS|Progressiva|Surfaçada|ClassicPlus|PhotoFusion X|1.67|1.67|DuraVision Gold UV|-12.00 a -7.50|-6.00|1.00 a 3.00|74|||47</x:v>
      </x:c>
    </x:row>
    <x:row r="2901">
      <x:c r="A2901" s="24" t="str">
        <x:v>ZS-677EF2024662</x:v>
      </x:c>
      <x:c r="B2901" s="24" t="str">
        <x:v>SIM</x:v>
      </x:c>
      <x:c r="C2901" s="24" t="str">
        <x:v>DISPONÍVEL</x:v>
      </x:c>
      <x:c r="D2901" s="24" t="str">
        <x:v>ZEISS</x:v>
      </x:c>
      <x:c r="E2901" s="24" t="str">
        <x:v>Progressiva</x:v>
      </x:c>
      <x:c r="F2901" s="24" t="str">
        <x:v>Surfaçada</x:v>
      </x:c>
      <x:c r="G2901" s="24" t="str">
        <x:v>ClassicPlus</x:v>
      </x:c>
      <x:c r="H2901" s="24" t="str">
        <x:v>PhotoFusion X</x:v>
      </x:c>
      <x:c r="I2901" s="24" t="str">
        <x:v>1.67</x:v>
      </x:c>
      <x:c r="J2901" s="24" t="str">
        <x:v>1.67</x:v>
      </x:c>
      <x:c r="K2901" s="24" t="str">
        <x:v>DuraVision Platinum UV</x:v>
      </x:c>
      <x:c r="L2901" s="40" t="n">
        <x:v>4419</x:v>
      </x:c>
      <x:c r="M2901" s="24" t="str">
        <x:v>-12.00 a -7.50</x:v>
      </x:c>
      <x:c r="N2901" s="24" t="str">
        <x:v>-6.00</x:v>
      </x:c>
      <x:c r="O2901" s="24" t="str">
        <x:v>1.00 a 3.00</x:v>
      </x:c>
      <x:c r="P2901" s="24" t="str">
        <x:v>74</x:v>
      </x:c>
      <x:c r="Q2901" s="24"/>
      <x:c r="R2901" s="24"/>
      <x:c r="S2901" s="26" t="n">
        <x:v>46113</x:v>
      </x:c>
      <x:c r="T2901" s="26"/>
      <x:c r="U2901" s="24" t="str">
        <x:v>ATIVA/SEM FIM INFORMADO</x:v>
      </x:c>
      <x:c r="V2901" s="24" t="str">
        <x:v>Programa de Parcerias ZEISS</x:v>
      </x:c>
      <x:c r="W2901" s="24" t="n">
        <x:v>47</x:v>
      </x:c>
      <x:c r="X2901" s="24" t="str">
        <x:v>tabela_zeiss.pdf</x:v>
      </x:c>
      <x:c r="Y2901" s="24" t="str">
        <x:v>alta</x:v>
      </x:c>
      <x:c r="Z2901" s="24"/>
      <x:c r="AA2901" s="24" t="str">
        <x:v>ZEISS|Progressiva|Surfaçada|ClassicPlus|PhotoFusion X|1.67|1.67|DuraVision Platinum UV|-12.00 a -7.50|-6.00|1.00 a 3.00|74|||47</x:v>
      </x:c>
    </x:row>
    <x:row r="2902">
      <x:c r="A2902" s="24" t="str">
        <x:v>ZS-661F26D6C584</x:v>
      </x:c>
      <x:c r="B2902" s="24" t="str">
        <x:v>SIM</x:v>
      </x:c>
      <x:c r="C2902" s="24" t="str">
        <x:v>DISPONÍVEL</x:v>
      </x:c>
      <x:c r="D2902" s="24" t="str">
        <x:v>ZEISS</x:v>
      </x:c>
      <x:c r="E2902" s="24" t="str">
        <x:v>Progressiva</x:v>
      </x:c>
      <x:c r="F2902" s="24" t="str">
        <x:v>Surfaçada</x:v>
      </x:c>
      <x:c r="G2902" s="24" t="str">
        <x:v>ClassicPlus</x:v>
      </x:c>
      <x:c r="H2902" s="24" t="str">
        <x:v>PhotoFusion X</x:v>
      </x:c>
      <x:c r="I2902" s="24" t="str">
        <x:v>1.67</x:v>
      </x:c>
      <x:c r="J2902" s="24" t="str">
        <x:v>1.67</x:v>
      </x:c>
      <x:c r="K2902" s="24" t="str">
        <x:v>DuraVision Silver UV</x:v>
      </x:c>
      <x:c r="L2902" s="40" t="n">
        <x:v>4159</x:v>
      </x:c>
      <x:c r="M2902" s="24" t="str">
        <x:v>-12.00 a -7.50</x:v>
      </x:c>
      <x:c r="N2902" s="24" t="str">
        <x:v>-6.00</x:v>
      </x:c>
      <x:c r="O2902" s="24" t="str">
        <x:v>1.00 a 3.00</x:v>
      </x:c>
      <x:c r="P2902" s="24" t="str">
        <x:v>74</x:v>
      </x:c>
      <x:c r="Q2902" s="24"/>
      <x:c r="R2902" s="24"/>
      <x:c r="S2902" s="26" t="n">
        <x:v>46113</x:v>
      </x:c>
      <x:c r="T2902" s="26"/>
      <x:c r="U2902" s="24" t="str">
        <x:v>ATIVA/SEM FIM INFORMADO</x:v>
      </x:c>
      <x:c r="V2902" s="24" t="str">
        <x:v>Programa de Parcerias ZEISS</x:v>
      </x:c>
      <x:c r="W2902" s="24" t="n">
        <x:v>47</x:v>
      </x:c>
      <x:c r="X2902" s="24" t="str">
        <x:v>tabela_zeiss.pdf</x:v>
      </x:c>
      <x:c r="Y2902" s="24" t="str">
        <x:v>alta</x:v>
      </x:c>
      <x:c r="Z2902" s="24"/>
      <x:c r="AA2902" s="24" t="str">
        <x:v>ZEISS|Progressiva|Surfaçada|ClassicPlus|PhotoFusion X|1.67|1.67|DuraVision Silver UV|-12.00 a -7.50|-6.00|1.00 a 3.00|74|||47</x:v>
      </x:c>
    </x:row>
    <x:row r="2903">
      <x:c r="A2903" s="24" t="str">
        <x:v>ZS-5D2072460C5D</x:v>
      </x:c>
      <x:c r="B2903" s="24" t="str">
        <x:v>SIM</x:v>
      </x:c>
      <x:c r="C2903" s="24" t="str">
        <x:v>DISPONÍVEL</x:v>
      </x:c>
      <x:c r="D2903" s="24" t="str">
        <x:v>ZEISS</x:v>
      </x:c>
      <x:c r="E2903" s="24" t="str">
        <x:v>Progressiva</x:v>
      </x:c>
      <x:c r="F2903" s="24" t="str">
        <x:v>Surfaçada</x:v>
      </x:c>
      <x:c r="G2903" s="24" t="str">
        <x:v>ClassicPlus</x:v>
      </x:c>
      <x:c r="H2903" s="24" t="str">
        <x:v>PhotoFusion X</x:v>
      </x:c>
      <x:c r="I2903" s="24" t="str">
        <x:v>1.67</x:v>
      </x:c>
      <x:c r="J2903" s="24" t="str">
        <x:v>1.67</x:v>
      </x:c>
      <x:c r="K2903" s="24" t="str">
        <x:v>DuraVision Chrome UV</x:v>
      </x:c>
      <x:c r="L2903" s="40" t="n">
        <x:v>3669</x:v>
      </x:c>
      <x:c r="M2903" s="24" t="str">
        <x:v>-12.00 a -7.50</x:v>
      </x:c>
      <x:c r="N2903" s="24" t="str">
        <x:v>-6.00</x:v>
      </x:c>
      <x:c r="O2903" s="24" t="str">
        <x:v>1.00 a 3.00</x:v>
      </x:c>
      <x:c r="P2903" s="24" t="str">
        <x:v>74</x:v>
      </x:c>
      <x:c r="Q2903" s="24"/>
      <x:c r="R2903" s="24"/>
      <x:c r="S2903" s="26" t="n">
        <x:v>46113</x:v>
      </x:c>
      <x:c r="T2903" s="26"/>
      <x:c r="U2903" s="24" t="str">
        <x:v>ATIVA/SEM FIM INFORMADO</x:v>
      </x:c>
      <x:c r="V2903" s="24" t="str">
        <x:v>Programa de Parcerias ZEISS</x:v>
      </x:c>
      <x:c r="W2903" s="24" t="n">
        <x:v>47</x:v>
      </x:c>
      <x:c r="X2903" s="24" t="str">
        <x:v>tabela_zeiss.pdf</x:v>
      </x:c>
      <x:c r="Y2903" s="24" t="str">
        <x:v>alta</x:v>
      </x:c>
      <x:c r="Z2903" s="24"/>
      <x:c r="AA2903" s="24" t="str">
        <x:v>ZEISS|Progressiva|Surfaçada|ClassicPlus|PhotoFusion X|1.67|1.67|DuraVision Chrome UV|-12.00 a -7.50|-6.00|1.00 a 3.00|74|||47</x:v>
      </x:c>
    </x:row>
    <x:row r="2904">
      <x:c r="A2904" s="24" t="str">
        <x:v>ZS-0A4A3DEEADCA</x:v>
      </x:c>
      <x:c r="B2904" s="24" t="str">
        <x:v>SIM</x:v>
      </x:c>
      <x:c r="C2904" s="24" t="str">
        <x:v>DISPONÍVEL</x:v>
      </x:c>
      <x:c r="D2904" s="24" t="str">
        <x:v>ZEISS</x:v>
      </x:c>
      <x:c r="E2904" s="24" t="str">
        <x:v>Progressiva</x:v>
      </x:c>
      <x:c r="F2904" s="24" t="str">
        <x:v>Surfaçada</x:v>
      </x:c>
      <x:c r="G2904" s="24" t="str">
        <x:v>ClassicPlus</x:v>
      </x:c>
      <x:c r="H2904" s="24" t="str">
        <x:v>PhotoFusion X Extra Dark Cinza</x:v>
      </x:c>
      <x:c r="I2904" s="24" t="str">
        <x:v>1.5</x:v>
      </x:c>
      <x:c r="J2904" s="24" t="str">
        <x:v>1.50</x:v>
      </x:c>
      <x:c r="K2904" s="24" t="str">
        <x:v>DuraVision Gold UV</x:v>
      </x:c>
      <x:c r="L2904" s="40" t="n">
        <x:v>2729</x:v>
      </x:c>
      <x:c r="M2904" s="24" t="str">
        <x:v>-7.00 a +5.00</x:v>
      </x:c>
      <x:c r="N2904" s="24" t="str">
        <x:v>-4.00</x:v>
      </x:c>
      <x:c r="O2904" s="24" t="str">
        <x:v>1.00 a 3.00</x:v>
      </x:c>
      <x:c r="P2904" s="24" t="str">
        <x:v>72</x:v>
      </x:c>
      <x:c r="Q2904" s="24"/>
      <x:c r="R2904" s="24"/>
      <x:c r="S2904" s="26" t="n">
        <x:v>46113</x:v>
      </x:c>
      <x:c r="T2904" s="26"/>
      <x:c r="U2904" s="24" t="str">
        <x:v>ATIVA/SEM FIM INFORMADO</x:v>
      </x:c>
      <x:c r="V2904" s="24" t="str">
        <x:v>Programa de Parcerias ZEISS</x:v>
      </x:c>
      <x:c r="W2904" s="24" t="n">
        <x:v>47</x:v>
      </x:c>
      <x:c r="X2904" s="24" t="str">
        <x:v>tabela_zeiss.pdf</x:v>
      </x:c>
      <x:c r="Y2904" s="24" t="str">
        <x:v>alta</x:v>
      </x:c>
      <x:c r="Z2904" s="24"/>
      <x:c r="AA2904" s="24" t="str">
        <x:v>ZEISS|Progressiva|Surfaçada|ClassicPlus|PhotoFusion X Extra Dark Cinza|1.5|1.50|DuraVision Gold UV|-7.00 a +5.00|-4.00|1.00 a 3.00|72|||47</x:v>
      </x:c>
    </x:row>
    <x:row r="2905">
      <x:c r="A2905" s="24" t="str">
        <x:v>ZS-196D32C65049</x:v>
      </x:c>
      <x:c r="B2905" s="24" t="str">
        <x:v>SIM</x:v>
      </x:c>
      <x:c r="C2905" s="24" t="str">
        <x:v>DISPONÍVEL</x:v>
      </x:c>
      <x:c r="D2905" s="24" t="str">
        <x:v>ZEISS</x:v>
      </x:c>
      <x:c r="E2905" s="24" t="str">
        <x:v>Progressiva</x:v>
      </x:c>
      <x:c r="F2905" s="24" t="str">
        <x:v>Surfaçada</x:v>
      </x:c>
      <x:c r="G2905" s="24" t="str">
        <x:v>ClassicPlus</x:v>
      </x:c>
      <x:c r="H2905" s="24" t="str">
        <x:v>PhotoFusion X Extra Dark Cinza</x:v>
      </x:c>
      <x:c r="I2905" s="24" t="str">
        <x:v>1.5</x:v>
      </x:c>
      <x:c r="J2905" s="24" t="str">
        <x:v>1.50</x:v>
      </x:c>
      <x:c r="K2905" s="24" t="str">
        <x:v>DuraVision Platinum UV</x:v>
      </x:c>
      <x:c r="L2905" s="40" t="n">
        <x:v>2589</x:v>
      </x:c>
      <x:c r="M2905" s="24" t="str">
        <x:v>-7.00 a +5.00</x:v>
      </x:c>
      <x:c r="N2905" s="24" t="str">
        <x:v>-4.00</x:v>
      </x:c>
      <x:c r="O2905" s="24" t="str">
        <x:v>1.00 a 3.00</x:v>
      </x:c>
      <x:c r="P2905" s="24" t="str">
        <x:v>72</x:v>
      </x:c>
      <x:c r="Q2905" s="24"/>
      <x:c r="R2905" s="24"/>
      <x:c r="S2905" s="26" t="n">
        <x:v>46113</x:v>
      </x:c>
      <x:c r="T2905" s="26"/>
      <x:c r="U2905" s="24" t="str">
        <x:v>ATIVA/SEM FIM INFORMADO</x:v>
      </x:c>
      <x:c r="V2905" s="24" t="str">
        <x:v>Programa de Parcerias ZEISS</x:v>
      </x:c>
      <x:c r="W2905" s="24" t="n">
        <x:v>47</x:v>
      </x:c>
      <x:c r="X2905" s="24" t="str">
        <x:v>tabela_zeiss.pdf</x:v>
      </x:c>
      <x:c r="Y2905" s="24" t="str">
        <x:v>alta</x:v>
      </x:c>
      <x:c r="Z2905" s="24"/>
      <x:c r="AA2905" s="24" t="str">
        <x:v>ZEISS|Progressiva|Surfaçada|ClassicPlus|PhotoFusion X Extra Dark Cinza|1.5|1.50|DuraVision Platinum UV|-7.00 a +5.00|-4.00|1.00 a 3.00|72|||47</x:v>
      </x:c>
    </x:row>
    <x:row r="2906">
      <x:c r="A2906" s="24" t="str">
        <x:v>ZS-CCCAB679E7CE</x:v>
      </x:c>
      <x:c r="B2906" s="24" t="str">
        <x:v>SIM</x:v>
      </x:c>
      <x:c r="C2906" s="24" t="str">
        <x:v>DISPONÍVEL</x:v>
      </x:c>
      <x:c r="D2906" s="24" t="str">
        <x:v>ZEISS</x:v>
      </x:c>
      <x:c r="E2906" s="24" t="str">
        <x:v>Progressiva</x:v>
      </x:c>
      <x:c r="F2906" s="24" t="str">
        <x:v>Surfaçada</x:v>
      </x:c>
      <x:c r="G2906" s="24" t="str">
        <x:v>ClassicPlus</x:v>
      </x:c>
      <x:c r="H2906" s="24" t="str">
        <x:v>PhotoFusion X Extra Dark Cinza</x:v>
      </x:c>
      <x:c r="I2906" s="24" t="str">
        <x:v>1.5</x:v>
      </x:c>
      <x:c r="J2906" s="24" t="str">
        <x:v>1.50</x:v>
      </x:c>
      <x:c r="K2906" s="24" t="str">
        <x:v>DuraVision Silver UV</x:v>
      </x:c>
      <x:c r="L2906" s="40" t="n">
        <x:v>2329</x:v>
      </x:c>
      <x:c r="M2906" s="24" t="str">
        <x:v>-7.00 a +5.00</x:v>
      </x:c>
      <x:c r="N2906" s="24" t="str">
        <x:v>-4.00</x:v>
      </x:c>
      <x:c r="O2906" s="24" t="str">
        <x:v>1.00 a 3.00</x:v>
      </x:c>
      <x:c r="P2906" s="24" t="str">
        <x:v>72</x:v>
      </x:c>
      <x:c r="Q2906" s="24"/>
      <x:c r="R2906" s="24"/>
      <x:c r="S2906" s="26" t="n">
        <x:v>46113</x:v>
      </x:c>
      <x:c r="T2906" s="26"/>
      <x:c r="U2906" s="24" t="str">
        <x:v>ATIVA/SEM FIM INFORMADO</x:v>
      </x:c>
      <x:c r="V2906" s="24" t="str">
        <x:v>Programa de Parcerias ZEISS</x:v>
      </x:c>
      <x:c r="W2906" s="24" t="n">
        <x:v>47</x:v>
      </x:c>
      <x:c r="X2906" s="24" t="str">
        <x:v>tabela_zeiss.pdf</x:v>
      </x:c>
      <x:c r="Y2906" s="24" t="str">
        <x:v>alta</x:v>
      </x:c>
      <x:c r="Z2906" s="24"/>
      <x:c r="AA2906" s="24" t="str">
        <x:v>ZEISS|Progressiva|Surfaçada|ClassicPlus|PhotoFusion X Extra Dark Cinza|1.5|1.50|DuraVision Silver UV|-7.00 a +5.00|-4.00|1.00 a 3.00|72|||47</x:v>
      </x:c>
    </x:row>
    <x:row r="2907">
      <x:c r="A2907" s="24" t="str">
        <x:v>ZS-BFF519FF7F48</x:v>
      </x:c>
      <x:c r="B2907" s="24" t="str">
        <x:v>SIM</x:v>
      </x:c>
      <x:c r="C2907" s="24" t="str">
        <x:v>DISPONÍVEL</x:v>
      </x:c>
      <x:c r="D2907" s="24" t="str">
        <x:v>ZEISS</x:v>
      </x:c>
      <x:c r="E2907" s="24" t="str">
        <x:v>Progressiva</x:v>
      </x:c>
      <x:c r="F2907" s="24" t="str">
        <x:v>Surfaçada</x:v>
      </x:c>
      <x:c r="G2907" s="24" t="str">
        <x:v>ClassicPlus</x:v>
      </x:c>
      <x:c r="H2907" s="24" t="str">
        <x:v>PhotoFusion X Extra Dark Cinza</x:v>
      </x:c>
      <x:c r="I2907" s="24" t="str">
        <x:v>1.5</x:v>
      </x:c>
      <x:c r="J2907" s="24" t="str">
        <x:v>1.50</x:v>
      </x:c>
      <x:c r="K2907" s="24" t="str">
        <x:v>DuraVision Chrome UV</x:v>
      </x:c>
      <x:c r="L2907" s="40" t="n">
        <x:v>1839</x:v>
      </x:c>
      <x:c r="M2907" s="24" t="str">
        <x:v>-7.00 a +5.00</x:v>
      </x:c>
      <x:c r="N2907" s="24" t="str">
        <x:v>-4.00</x:v>
      </x:c>
      <x:c r="O2907" s="24" t="str">
        <x:v>1.00 a 3.00</x:v>
      </x:c>
      <x:c r="P2907" s="24" t="str">
        <x:v>72</x:v>
      </x:c>
      <x:c r="Q2907" s="24"/>
      <x:c r="R2907" s="24"/>
      <x:c r="S2907" s="26" t="n">
        <x:v>46113</x:v>
      </x:c>
      <x:c r="T2907" s="26"/>
      <x:c r="U2907" s="24" t="str">
        <x:v>ATIVA/SEM FIM INFORMADO</x:v>
      </x:c>
      <x:c r="V2907" s="24" t="str">
        <x:v>Programa de Parcerias ZEISS</x:v>
      </x:c>
      <x:c r="W2907" s="24" t="n">
        <x:v>47</x:v>
      </x:c>
      <x:c r="X2907" s="24" t="str">
        <x:v>tabela_zeiss.pdf</x:v>
      </x:c>
      <x:c r="Y2907" s="24" t="str">
        <x:v>alta</x:v>
      </x:c>
      <x:c r="Z2907" s="24"/>
      <x:c r="AA2907" s="24" t="str">
        <x:v>ZEISS|Progressiva|Surfaçada|ClassicPlus|PhotoFusion X Extra Dark Cinza|1.5|1.50|DuraVision Chrome UV|-7.00 a +5.00|-4.00|1.00 a 3.00|72|||47</x:v>
      </x:c>
    </x:row>
    <x:row r="2908">
      <x:c r="A2908" s="24" t="str">
        <x:v>ZS-81B0E581B764</x:v>
      </x:c>
      <x:c r="B2908" s="24" t="str">
        <x:v>SIM</x:v>
      </x:c>
      <x:c r="C2908" s="24" t="str">
        <x:v>DISPONÍVEL</x:v>
      </x:c>
      <x:c r="D2908" s="24" t="str">
        <x:v>ZEISS</x:v>
      </x:c>
      <x:c r="E2908" s="24" t="str">
        <x:v>Progressiva</x:v>
      </x:c>
      <x:c r="F2908" s="24" t="str">
        <x:v>Surfaçada</x:v>
      </x:c>
      <x:c r="G2908" s="24" t="str">
        <x:v>ClassicPlus</x:v>
      </x:c>
      <x:c r="H2908" s="24" t="str">
        <x:v>PhotoFusion X Extra Dark Cinza</x:v>
      </x:c>
      <x:c r="I2908" s="24" t="str">
        <x:v>Poli</x:v>
      </x:c>
      <x:c r="J2908" s="24"/>
      <x:c r="K2908" s="24" t="str">
        <x:v>DuraVision Gold UV</x:v>
      </x:c>
      <x:c r="L2908" s="40" t="n">
        <x:v>3029</x:v>
      </x:c>
      <x:c r="M2908" s="24" t="str">
        <x:v>-10.00 a +6.00</x:v>
      </x:c>
      <x:c r="N2908" s="24" t="str">
        <x:v>-6.00</x:v>
      </x:c>
      <x:c r="O2908" s="24" t="str">
        <x:v>1.00 a 3.00</x:v>
      </x:c>
      <x:c r="P2908" s="24" t="str">
        <x:v>72</x:v>
      </x:c>
      <x:c r="Q2908" s="24"/>
      <x:c r="R2908" s="24"/>
      <x:c r="S2908" s="26" t="n">
        <x:v>46113</x:v>
      </x:c>
      <x:c r="T2908" s="26"/>
      <x:c r="U2908" s="24" t="str">
        <x:v>ATIVA/SEM FIM INFORMADO</x:v>
      </x:c>
      <x:c r="V2908" s="24" t="str">
        <x:v>Programa de Parcerias ZEISS</x:v>
      </x:c>
      <x:c r="W2908" s="24" t="n">
        <x:v>47</x:v>
      </x:c>
      <x:c r="X2908" s="24" t="str">
        <x:v>tabela_zeiss.pdf</x:v>
      </x:c>
      <x:c r="Y2908" s="24" t="str">
        <x:v>alta</x:v>
      </x:c>
      <x:c r="Z2908" s="24"/>
      <x:c r="AA2908" s="24" t="str">
        <x:v>ZEISS|Progressiva|Surfaçada|ClassicPlus|PhotoFusion X Extra Dark Cinza|Poli||DuraVision Gold UV|-10.00 a +6.00|-6.00|1.00 a 3.00|72|||47</x:v>
      </x:c>
    </x:row>
    <x:row r="2909">
      <x:c r="A2909" s="24" t="str">
        <x:v>ZS-CE6408426C51</x:v>
      </x:c>
      <x:c r="B2909" s="24" t="str">
        <x:v>SIM</x:v>
      </x:c>
      <x:c r="C2909" s="24" t="str">
        <x:v>DISPONÍVEL</x:v>
      </x:c>
      <x:c r="D2909" s="24" t="str">
        <x:v>ZEISS</x:v>
      </x:c>
      <x:c r="E2909" s="24" t="str">
        <x:v>Progressiva</x:v>
      </x:c>
      <x:c r="F2909" s="24" t="str">
        <x:v>Surfaçada</x:v>
      </x:c>
      <x:c r="G2909" s="24" t="str">
        <x:v>ClassicPlus</x:v>
      </x:c>
      <x:c r="H2909" s="24" t="str">
        <x:v>PhotoFusion X Extra Dark Cinza</x:v>
      </x:c>
      <x:c r="I2909" s="24" t="str">
        <x:v>Poli</x:v>
      </x:c>
      <x:c r="J2909" s="24"/>
      <x:c r="K2909" s="24" t="str">
        <x:v>DuraVision Platinum UV</x:v>
      </x:c>
      <x:c r="L2909" s="40" t="n">
        <x:v>2889</x:v>
      </x:c>
      <x:c r="M2909" s="24" t="str">
        <x:v>-10.00 a +6.00</x:v>
      </x:c>
      <x:c r="N2909" s="24" t="str">
        <x:v>-6.00</x:v>
      </x:c>
      <x:c r="O2909" s="24" t="str">
        <x:v>1.00 a 3.00</x:v>
      </x:c>
      <x:c r="P2909" s="24" t="str">
        <x:v>72</x:v>
      </x:c>
      <x:c r="Q2909" s="24"/>
      <x:c r="R2909" s="24"/>
      <x:c r="S2909" s="26" t="n">
        <x:v>46113</x:v>
      </x:c>
      <x:c r="T2909" s="26"/>
      <x:c r="U2909" s="24" t="str">
        <x:v>ATIVA/SEM FIM INFORMADO</x:v>
      </x:c>
      <x:c r="V2909" s="24" t="str">
        <x:v>Programa de Parcerias ZEISS</x:v>
      </x:c>
      <x:c r="W2909" s="24" t="n">
        <x:v>47</x:v>
      </x:c>
      <x:c r="X2909" s="24" t="str">
        <x:v>tabela_zeiss.pdf</x:v>
      </x:c>
      <x:c r="Y2909" s="24" t="str">
        <x:v>alta</x:v>
      </x:c>
      <x:c r="Z2909" s="24"/>
      <x:c r="AA2909" s="24" t="str">
        <x:v>ZEISS|Progressiva|Surfaçada|ClassicPlus|PhotoFusion X Extra Dark Cinza|Poli||DuraVision Platinum UV|-10.00 a +6.00|-6.00|1.00 a 3.00|72|||47</x:v>
      </x:c>
    </x:row>
    <x:row r="2910">
      <x:c r="A2910" s="24" t="str">
        <x:v>ZS-CB2AE1998EC3</x:v>
      </x:c>
      <x:c r="B2910" s="24" t="str">
        <x:v>SIM</x:v>
      </x:c>
      <x:c r="C2910" s="24" t="str">
        <x:v>DISPONÍVEL</x:v>
      </x:c>
      <x:c r="D2910" s="24" t="str">
        <x:v>ZEISS</x:v>
      </x:c>
      <x:c r="E2910" s="24" t="str">
        <x:v>Progressiva</x:v>
      </x:c>
      <x:c r="F2910" s="24" t="str">
        <x:v>Surfaçada</x:v>
      </x:c>
      <x:c r="G2910" s="24" t="str">
        <x:v>ClassicPlus</x:v>
      </x:c>
      <x:c r="H2910" s="24" t="str">
        <x:v>PhotoFusion X Extra Dark Cinza</x:v>
      </x:c>
      <x:c r="I2910" s="24" t="str">
        <x:v>Poli</x:v>
      </x:c>
      <x:c r="J2910" s="24"/>
      <x:c r="K2910" s="24" t="str">
        <x:v>DuraVision Silver UV</x:v>
      </x:c>
      <x:c r="L2910" s="40" t="n">
        <x:v>2629</x:v>
      </x:c>
      <x:c r="M2910" s="24" t="str">
        <x:v>-10.00 a +6.00</x:v>
      </x:c>
      <x:c r="N2910" s="24" t="str">
        <x:v>-6.00</x:v>
      </x:c>
      <x:c r="O2910" s="24" t="str">
        <x:v>1.00 a 3.00</x:v>
      </x:c>
      <x:c r="P2910" s="24" t="str">
        <x:v>72</x:v>
      </x:c>
      <x:c r="Q2910" s="24"/>
      <x:c r="R2910" s="24"/>
      <x:c r="S2910" s="26" t="n">
        <x:v>46113</x:v>
      </x:c>
      <x:c r="T2910" s="26"/>
      <x:c r="U2910" s="24" t="str">
        <x:v>ATIVA/SEM FIM INFORMADO</x:v>
      </x:c>
      <x:c r="V2910" s="24" t="str">
        <x:v>Programa de Parcerias ZEISS</x:v>
      </x:c>
      <x:c r="W2910" s="24" t="n">
        <x:v>47</x:v>
      </x:c>
      <x:c r="X2910" s="24" t="str">
        <x:v>tabela_zeiss.pdf</x:v>
      </x:c>
      <x:c r="Y2910" s="24" t="str">
        <x:v>alta</x:v>
      </x:c>
      <x:c r="Z2910" s="24"/>
      <x:c r="AA2910" s="24" t="str">
        <x:v>ZEISS|Progressiva|Surfaçada|ClassicPlus|PhotoFusion X Extra Dark Cinza|Poli||DuraVision Silver UV|-10.00 a +6.00|-6.00|1.00 a 3.00|72|||47</x:v>
      </x:c>
    </x:row>
    <x:row r="2911">
      <x:c r="A2911" s="24" t="str">
        <x:v>ZS-C48690564148</x:v>
      </x:c>
      <x:c r="B2911" s="24" t="str">
        <x:v>SIM</x:v>
      </x:c>
      <x:c r="C2911" s="24" t="str">
        <x:v>DISPONÍVEL</x:v>
      </x:c>
      <x:c r="D2911" s="24" t="str">
        <x:v>ZEISS</x:v>
      </x:c>
      <x:c r="E2911" s="24" t="str">
        <x:v>Progressiva</x:v>
      </x:c>
      <x:c r="F2911" s="24" t="str">
        <x:v>Surfaçada</x:v>
      </x:c>
      <x:c r="G2911" s="24" t="str">
        <x:v>ClassicPlus</x:v>
      </x:c>
      <x:c r="H2911" s="24" t="str">
        <x:v>PhotoFusion X Extra Dark Cinza</x:v>
      </x:c>
      <x:c r="I2911" s="24" t="str">
        <x:v>Poli</x:v>
      </x:c>
      <x:c r="J2911" s="24"/>
      <x:c r="K2911" s="24" t="str">
        <x:v>DuraVision Chrome UV</x:v>
      </x:c>
      <x:c r="L2911" s="40" t="n">
        <x:v>2139</x:v>
      </x:c>
      <x:c r="M2911" s="24" t="str">
        <x:v>-10.00 a +6.00</x:v>
      </x:c>
      <x:c r="N2911" s="24" t="str">
        <x:v>-6.00</x:v>
      </x:c>
      <x:c r="O2911" s="24" t="str">
        <x:v>1.00 a 3.00</x:v>
      </x:c>
      <x:c r="P2911" s="24" t="str">
        <x:v>72</x:v>
      </x:c>
      <x:c r="Q2911" s="24"/>
      <x:c r="R2911" s="24"/>
      <x:c r="S2911" s="26" t="n">
        <x:v>46113</x:v>
      </x:c>
      <x:c r="T2911" s="26"/>
      <x:c r="U2911" s="24" t="str">
        <x:v>ATIVA/SEM FIM INFORMADO</x:v>
      </x:c>
      <x:c r="V2911" s="24" t="str">
        <x:v>Programa de Parcerias ZEISS</x:v>
      </x:c>
      <x:c r="W2911" s="24" t="n">
        <x:v>47</x:v>
      </x:c>
      <x:c r="X2911" s="24" t="str">
        <x:v>tabela_zeiss.pdf</x:v>
      </x:c>
      <x:c r="Y2911" s="24" t="str">
        <x:v>alta</x:v>
      </x:c>
      <x:c r="Z2911" s="24"/>
      <x:c r="AA2911" s="24" t="str">
        <x:v>ZEISS|Progressiva|Surfaçada|ClassicPlus|PhotoFusion X Extra Dark Cinza|Poli||DuraVision Chrome UV|-10.00 a +6.00|-6.00|1.00 a 3.00|72|||47</x:v>
      </x:c>
    </x:row>
    <x:row r="2912">
      <x:c r="A2912" s="24" t="str">
        <x:v>ZS-4F74CB785E94</x:v>
      </x:c>
      <x:c r="B2912" s="24" t="str">
        <x:v>SIM</x:v>
      </x:c>
      <x:c r="C2912" s="24" t="str">
        <x:v>DISPONÍVEL</x:v>
      </x:c>
      <x:c r="D2912" s="24" t="str">
        <x:v>ZEISS</x:v>
      </x:c>
      <x:c r="E2912" s="24" t="str">
        <x:v>Progressiva</x:v>
      </x:c>
      <x:c r="F2912" s="24" t="str">
        <x:v>Surfaçada</x:v>
      </x:c>
      <x:c r="G2912" s="24" t="str">
        <x:v>ClassicPlus</x:v>
      </x:c>
      <x:c r="H2912" s="24" t="str">
        <x:v>PhotoFusion X Extra Dark Cinza</x:v>
      </x:c>
      <x:c r="I2912" s="24" t="str">
        <x:v>1.60</x:v>
      </x:c>
      <x:c r="J2912" s="24" t="str">
        <x:v>1.60</x:v>
      </x:c>
      <x:c r="K2912" s="24" t="str">
        <x:v>DuraVision Gold UV</x:v>
      </x:c>
      <x:c r="L2912" s="40" t="n">
        <x:v>3309</x:v>
      </x:c>
      <x:c r="M2912" s="24" t="str">
        <x:v>-12.00 a -7.50</x:v>
      </x:c>
      <x:c r="N2912" s="24" t="str">
        <x:v>-6.00</x:v>
      </x:c>
      <x:c r="O2912" s="24" t="str">
        <x:v>1.00 a 3.00</x:v>
      </x:c>
      <x:c r="P2912" s="24" t="str">
        <x:v>74</x:v>
      </x:c>
      <x:c r="Q2912" s="24"/>
      <x:c r="R2912" s="24"/>
      <x:c r="S2912" s="26" t="n">
        <x:v>46113</x:v>
      </x:c>
      <x:c r="T2912" s="26"/>
      <x:c r="U2912" s="24" t="str">
        <x:v>ATIVA/SEM FIM INFORMADO</x:v>
      </x:c>
      <x:c r="V2912" s="24" t="str">
        <x:v>Programa de Parcerias ZEISS</x:v>
      </x:c>
      <x:c r="W2912" s="24" t="n">
        <x:v>47</x:v>
      </x:c>
      <x:c r="X2912" s="24" t="str">
        <x:v>tabela_zeiss.pdf</x:v>
      </x:c>
      <x:c r="Y2912" s="24" t="str">
        <x:v>alta</x:v>
      </x:c>
      <x:c r="Z2912" s="24"/>
      <x:c r="AA2912" s="24" t="str">
        <x:v>ZEISS|Progressiva|Surfaçada|ClassicPlus|PhotoFusion X Extra Dark Cinza|1.60|1.60|DuraVision Gold UV|-12.00 a -7.50|-6.00|1.00 a 3.00|74|||47</x:v>
      </x:c>
    </x:row>
    <x:row r="2913">
      <x:c r="A2913" s="24" t="str">
        <x:v>ZS-3990AF86623D</x:v>
      </x:c>
      <x:c r="B2913" s="24" t="str">
        <x:v>SIM</x:v>
      </x:c>
      <x:c r="C2913" s="24" t="str">
        <x:v>DISPONÍVEL</x:v>
      </x:c>
      <x:c r="D2913" s="24" t="str">
        <x:v>ZEISS</x:v>
      </x:c>
      <x:c r="E2913" s="24" t="str">
        <x:v>Progressiva</x:v>
      </x:c>
      <x:c r="F2913" s="24" t="str">
        <x:v>Surfaçada</x:v>
      </x:c>
      <x:c r="G2913" s="24" t="str">
        <x:v>ClassicPlus</x:v>
      </x:c>
      <x:c r="H2913" s="24" t="str">
        <x:v>PhotoFusion X Extra Dark Cinza</x:v>
      </x:c>
      <x:c r="I2913" s="24" t="str">
        <x:v>1.60</x:v>
      </x:c>
      <x:c r="J2913" s="24" t="str">
        <x:v>1.60</x:v>
      </x:c>
      <x:c r="K2913" s="24" t="str">
        <x:v>DuraVision Platinum UV</x:v>
      </x:c>
      <x:c r="L2913" s="40" t="n">
        <x:v>3169</x:v>
      </x:c>
      <x:c r="M2913" s="24" t="str">
        <x:v>-12.00 a -7.50</x:v>
      </x:c>
      <x:c r="N2913" s="24" t="str">
        <x:v>-6.00</x:v>
      </x:c>
      <x:c r="O2913" s="24" t="str">
        <x:v>1.00 a 3.00</x:v>
      </x:c>
      <x:c r="P2913" s="24" t="str">
        <x:v>74</x:v>
      </x:c>
      <x:c r="Q2913" s="24"/>
      <x:c r="R2913" s="24"/>
      <x:c r="S2913" s="26" t="n">
        <x:v>46113</x:v>
      </x:c>
      <x:c r="T2913" s="26"/>
      <x:c r="U2913" s="24" t="str">
        <x:v>ATIVA/SEM FIM INFORMADO</x:v>
      </x:c>
      <x:c r="V2913" s="24" t="str">
        <x:v>Programa de Parcerias ZEISS</x:v>
      </x:c>
      <x:c r="W2913" s="24" t="n">
        <x:v>47</x:v>
      </x:c>
      <x:c r="X2913" s="24" t="str">
        <x:v>tabela_zeiss.pdf</x:v>
      </x:c>
      <x:c r="Y2913" s="24" t="str">
        <x:v>alta</x:v>
      </x:c>
      <x:c r="Z2913" s="24"/>
      <x:c r="AA2913" s="24" t="str">
        <x:v>ZEISS|Progressiva|Surfaçada|ClassicPlus|PhotoFusion X Extra Dark Cinza|1.60|1.60|DuraVision Platinum UV|-12.00 a -7.50|-6.00|1.00 a 3.00|74|||47</x:v>
      </x:c>
    </x:row>
    <x:row r="2914">
      <x:c r="A2914" s="24" t="str">
        <x:v>ZS-AB7862ABC082</x:v>
      </x:c>
      <x:c r="B2914" s="24" t="str">
        <x:v>SIM</x:v>
      </x:c>
      <x:c r="C2914" s="24" t="str">
        <x:v>DISPONÍVEL</x:v>
      </x:c>
      <x:c r="D2914" s="24" t="str">
        <x:v>ZEISS</x:v>
      </x:c>
      <x:c r="E2914" s="24" t="str">
        <x:v>Progressiva</x:v>
      </x:c>
      <x:c r="F2914" s="24" t="str">
        <x:v>Surfaçada</x:v>
      </x:c>
      <x:c r="G2914" s="24" t="str">
        <x:v>ClassicPlus</x:v>
      </x:c>
      <x:c r="H2914" s="24" t="str">
        <x:v>PhotoFusion X Extra Dark Cinza</x:v>
      </x:c>
      <x:c r="I2914" s="24" t="str">
        <x:v>1.60</x:v>
      </x:c>
      <x:c r="J2914" s="24" t="str">
        <x:v>1.60</x:v>
      </x:c>
      <x:c r="K2914" s="24" t="str">
        <x:v>DuraVision Silver UV</x:v>
      </x:c>
      <x:c r="L2914" s="40" t="n">
        <x:v>2909</x:v>
      </x:c>
      <x:c r="M2914" s="24" t="str">
        <x:v>-12.00 a -7.50</x:v>
      </x:c>
      <x:c r="N2914" s="24" t="str">
        <x:v>-6.00</x:v>
      </x:c>
      <x:c r="O2914" s="24" t="str">
        <x:v>1.00 a 3.00</x:v>
      </x:c>
      <x:c r="P2914" s="24" t="str">
        <x:v>74</x:v>
      </x:c>
      <x:c r="Q2914" s="24"/>
      <x:c r="R2914" s="24"/>
      <x:c r="S2914" s="26" t="n">
        <x:v>46113</x:v>
      </x:c>
      <x:c r="T2914" s="26"/>
      <x:c r="U2914" s="24" t="str">
        <x:v>ATIVA/SEM FIM INFORMADO</x:v>
      </x:c>
      <x:c r="V2914" s="24" t="str">
        <x:v>Programa de Parcerias ZEISS</x:v>
      </x:c>
      <x:c r="W2914" s="24" t="n">
        <x:v>47</x:v>
      </x:c>
      <x:c r="X2914" s="24" t="str">
        <x:v>tabela_zeiss.pdf</x:v>
      </x:c>
      <x:c r="Y2914" s="24" t="str">
        <x:v>alta</x:v>
      </x:c>
      <x:c r="Z2914" s="24"/>
      <x:c r="AA2914" s="24" t="str">
        <x:v>ZEISS|Progressiva|Surfaçada|ClassicPlus|PhotoFusion X Extra Dark Cinza|1.60|1.60|DuraVision Silver UV|-12.00 a -7.50|-6.00|1.00 a 3.00|74|||47</x:v>
      </x:c>
    </x:row>
    <x:row r="2915">
      <x:c r="A2915" s="24" t="str">
        <x:v>ZS-2605A1D7740F</x:v>
      </x:c>
      <x:c r="B2915" s="24" t="str">
        <x:v>SIM</x:v>
      </x:c>
      <x:c r="C2915" s="24" t="str">
        <x:v>DISPONÍVEL</x:v>
      </x:c>
      <x:c r="D2915" s="24" t="str">
        <x:v>ZEISS</x:v>
      </x:c>
      <x:c r="E2915" s="24" t="str">
        <x:v>Progressiva</x:v>
      </x:c>
      <x:c r="F2915" s="24" t="str">
        <x:v>Surfaçada</x:v>
      </x:c>
      <x:c r="G2915" s="24" t="str">
        <x:v>ClassicPlus</x:v>
      </x:c>
      <x:c r="H2915" s="24" t="str">
        <x:v>PhotoFusion X Extra Dark Cinza</x:v>
      </x:c>
      <x:c r="I2915" s="24" t="str">
        <x:v>1.60</x:v>
      </x:c>
      <x:c r="J2915" s="24" t="str">
        <x:v>1.60</x:v>
      </x:c>
      <x:c r="K2915" s="24" t="str">
        <x:v>DuraVision Chrome UV</x:v>
      </x:c>
      <x:c r="L2915" s="40" t="n">
        <x:v>2419</x:v>
      </x:c>
      <x:c r="M2915" s="24" t="str">
        <x:v>-12.00 a -7.50</x:v>
      </x:c>
      <x:c r="N2915" s="24" t="str">
        <x:v>-6.00</x:v>
      </x:c>
      <x:c r="O2915" s="24" t="str">
        <x:v>1.00 a 3.00</x:v>
      </x:c>
      <x:c r="P2915" s="24" t="str">
        <x:v>74</x:v>
      </x:c>
      <x:c r="Q2915" s="24"/>
      <x:c r="R2915" s="24"/>
      <x:c r="S2915" s="26" t="n">
        <x:v>46113</x:v>
      </x:c>
      <x:c r="T2915" s="26"/>
      <x:c r="U2915" s="24" t="str">
        <x:v>ATIVA/SEM FIM INFORMADO</x:v>
      </x:c>
      <x:c r="V2915" s="24" t="str">
        <x:v>Programa de Parcerias ZEISS</x:v>
      </x:c>
      <x:c r="W2915" s="24" t="n">
        <x:v>47</x:v>
      </x:c>
      <x:c r="X2915" s="24" t="str">
        <x:v>tabela_zeiss.pdf</x:v>
      </x:c>
      <x:c r="Y2915" s="24" t="str">
        <x:v>alta</x:v>
      </x:c>
      <x:c r="Z2915" s="24"/>
      <x:c r="AA2915" s="24" t="str">
        <x:v>ZEISS|Progressiva|Surfaçada|ClassicPlus|PhotoFusion X Extra Dark Cinza|1.60|1.60|DuraVision Chrome UV|-12.00 a -7.50|-6.00|1.00 a 3.00|74|||47</x:v>
      </x:c>
    </x:row>
    <x:row r="2916">
      <x:c r="A2916" s="24" t="str">
        <x:v>ZS-AF93D06AB9B7</x:v>
      </x:c>
      <x:c r="B2916" s="24" t="str">
        <x:v>SIM</x:v>
      </x:c>
      <x:c r="C2916" s="24" t="str">
        <x:v>DISPONÍVEL</x:v>
      </x:c>
      <x:c r="D2916" s="24" t="str">
        <x:v>ZEISS</x:v>
      </x:c>
      <x:c r="E2916" s="24" t="str">
        <x:v>Progressiva</x:v>
      </x:c>
      <x:c r="F2916" s="24" t="str">
        <x:v>Surfaçada</x:v>
      </x:c>
      <x:c r="G2916" s="24" t="str">
        <x:v>ClassicPlus</x:v>
      </x:c>
      <x:c r="H2916" s="24" t="str">
        <x:v>PhotoFusion X Extra Dark Cinza</x:v>
      </x:c>
      <x:c r="I2916" s="24" t="str">
        <x:v>1.67</x:v>
      </x:c>
      <x:c r="J2916" s="24" t="str">
        <x:v>1.67</x:v>
      </x:c>
      <x:c r="K2916" s="24" t="str">
        <x:v>DuraVision Gold UV</x:v>
      </x:c>
      <x:c r="L2916" s="40" t="n">
        <x:v>4609</x:v>
      </x:c>
      <x:c r="M2916" s="24" t="str">
        <x:v>-12.00 a -7.50</x:v>
      </x:c>
      <x:c r="N2916" s="24" t="str">
        <x:v>-6.00</x:v>
      </x:c>
      <x:c r="O2916" s="24" t="str">
        <x:v>1.00 a 3.00</x:v>
      </x:c>
      <x:c r="P2916" s="24" t="str">
        <x:v>74</x:v>
      </x:c>
      <x:c r="Q2916" s="24"/>
      <x:c r="R2916" s="24"/>
      <x:c r="S2916" s="26" t="n">
        <x:v>46113</x:v>
      </x:c>
      <x:c r="T2916" s="26"/>
      <x:c r="U2916" s="24" t="str">
        <x:v>ATIVA/SEM FIM INFORMADO</x:v>
      </x:c>
      <x:c r="V2916" s="24" t="str">
        <x:v>Programa de Parcerias ZEISS</x:v>
      </x:c>
      <x:c r="W2916" s="24" t="n">
        <x:v>47</x:v>
      </x:c>
      <x:c r="X2916" s="24" t="str">
        <x:v>tabela_zeiss.pdf</x:v>
      </x:c>
      <x:c r="Y2916" s="24" t="str">
        <x:v>alta</x:v>
      </x:c>
      <x:c r="Z2916" s="24"/>
      <x:c r="AA2916" s="24" t="str">
        <x:v>ZEISS|Progressiva|Surfaçada|ClassicPlus|PhotoFusion X Extra Dark Cinza|1.67|1.67|DuraVision Gold UV|-12.00 a -7.50|-6.00|1.00 a 3.00|74|||47</x:v>
      </x:c>
    </x:row>
    <x:row r="2917">
      <x:c r="A2917" s="24" t="str">
        <x:v>ZS-75F82D924654</x:v>
      </x:c>
      <x:c r="B2917" s="24" t="str">
        <x:v>SIM</x:v>
      </x:c>
      <x:c r="C2917" s="24" t="str">
        <x:v>DISPONÍVEL</x:v>
      </x:c>
      <x:c r="D2917" s="24" t="str">
        <x:v>ZEISS</x:v>
      </x:c>
      <x:c r="E2917" s="24" t="str">
        <x:v>Progressiva</x:v>
      </x:c>
      <x:c r="F2917" s="24" t="str">
        <x:v>Surfaçada</x:v>
      </x:c>
      <x:c r="G2917" s="24" t="str">
        <x:v>ClassicPlus</x:v>
      </x:c>
      <x:c r="H2917" s="24" t="str">
        <x:v>PhotoFusion X Extra Dark Cinza</x:v>
      </x:c>
      <x:c r="I2917" s="24" t="str">
        <x:v>1.67</x:v>
      </x:c>
      <x:c r="J2917" s="24" t="str">
        <x:v>1.67</x:v>
      </x:c>
      <x:c r="K2917" s="24" t="str">
        <x:v>DuraVision Platinum UV</x:v>
      </x:c>
      <x:c r="L2917" s="40" t="n">
        <x:v>4469</x:v>
      </x:c>
      <x:c r="M2917" s="24" t="str">
        <x:v>-12.00 a -7.50</x:v>
      </x:c>
      <x:c r="N2917" s="24" t="str">
        <x:v>-6.00</x:v>
      </x:c>
      <x:c r="O2917" s="24" t="str">
        <x:v>1.00 a 3.00</x:v>
      </x:c>
      <x:c r="P2917" s="24" t="str">
        <x:v>74</x:v>
      </x:c>
      <x:c r="Q2917" s="24"/>
      <x:c r="R2917" s="24"/>
      <x:c r="S2917" s="26" t="n">
        <x:v>46113</x:v>
      </x:c>
      <x:c r="T2917" s="26"/>
      <x:c r="U2917" s="24" t="str">
        <x:v>ATIVA/SEM FIM INFORMADO</x:v>
      </x:c>
      <x:c r="V2917" s="24" t="str">
        <x:v>Programa de Parcerias ZEISS</x:v>
      </x:c>
      <x:c r="W2917" s="24" t="n">
        <x:v>47</x:v>
      </x:c>
      <x:c r="X2917" s="24" t="str">
        <x:v>tabela_zeiss.pdf</x:v>
      </x:c>
      <x:c r="Y2917" s="24" t="str">
        <x:v>alta</x:v>
      </x:c>
      <x:c r="Z2917" s="24"/>
      <x:c r="AA2917" s="24" t="str">
        <x:v>ZEISS|Progressiva|Surfaçada|ClassicPlus|PhotoFusion X Extra Dark Cinza|1.67|1.67|DuraVision Platinum UV|-12.00 a -7.50|-6.00|1.00 a 3.00|74|||47</x:v>
      </x:c>
    </x:row>
    <x:row r="2918">
      <x:c r="A2918" s="24" t="str">
        <x:v>ZS-072B8217A97C</x:v>
      </x:c>
      <x:c r="B2918" s="24" t="str">
        <x:v>SIM</x:v>
      </x:c>
      <x:c r="C2918" s="24" t="str">
        <x:v>DISPONÍVEL</x:v>
      </x:c>
      <x:c r="D2918" s="24" t="str">
        <x:v>ZEISS</x:v>
      </x:c>
      <x:c r="E2918" s="24" t="str">
        <x:v>Progressiva</x:v>
      </x:c>
      <x:c r="F2918" s="24" t="str">
        <x:v>Surfaçada</x:v>
      </x:c>
      <x:c r="G2918" s="24" t="str">
        <x:v>ClassicPlus</x:v>
      </x:c>
      <x:c r="H2918" s="24" t="str">
        <x:v>PhotoFusion X Extra Dark Cinza</x:v>
      </x:c>
      <x:c r="I2918" s="24" t="str">
        <x:v>1.67</x:v>
      </x:c>
      <x:c r="J2918" s="24" t="str">
        <x:v>1.67</x:v>
      </x:c>
      <x:c r="K2918" s="24" t="str">
        <x:v>DuraVision Silver UV</x:v>
      </x:c>
      <x:c r="L2918" s="40" t="n">
        <x:v>4209</x:v>
      </x:c>
      <x:c r="M2918" s="24" t="str">
        <x:v>-12.00 a -7.50</x:v>
      </x:c>
      <x:c r="N2918" s="24" t="str">
        <x:v>-6.00</x:v>
      </x:c>
      <x:c r="O2918" s="24" t="str">
        <x:v>1.00 a 3.00</x:v>
      </x:c>
      <x:c r="P2918" s="24" t="str">
        <x:v>74</x:v>
      </x:c>
      <x:c r="Q2918" s="24"/>
      <x:c r="R2918" s="24"/>
      <x:c r="S2918" s="26" t="n">
        <x:v>46113</x:v>
      </x:c>
      <x:c r="T2918" s="26"/>
      <x:c r="U2918" s="24" t="str">
        <x:v>ATIVA/SEM FIM INFORMADO</x:v>
      </x:c>
      <x:c r="V2918" s="24" t="str">
        <x:v>Programa de Parcerias ZEISS</x:v>
      </x:c>
      <x:c r="W2918" s="24" t="n">
        <x:v>47</x:v>
      </x:c>
      <x:c r="X2918" s="24" t="str">
        <x:v>tabela_zeiss.pdf</x:v>
      </x:c>
      <x:c r="Y2918" s="24" t="str">
        <x:v>alta</x:v>
      </x:c>
      <x:c r="Z2918" s="24"/>
      <x:c r="AA2918" s="24" t="str">
        <x:v>ZEISS|Progressiva|Surfaçada|ClassicPlus|PhotoFusion X Extra Dark Cinza|1.67|1.67|DuraVision Silver UV|-12.00 a -7.50|-6.00|1.00 a 3.00|74|||47</x:v>
      </x:c>
    </x:row>
    <x:row r="2919">
      <x:c r="A2919" s="24" t="str">
        <x:v>ZS-612CC7983C3F</x:v>
      </x:c>
      <x:c r="B2919" s="24" t="str">
        <x:v>SIM</x:v>
      </x:c>
      <x:c r="C2919" s="24" t="str">
        <x:v>DISPONÍVEL</x:v>
      </x:c>
      <x:c r="D2919" s="24" t="str">
        <x:v>ZEISS</x:v>
      </x:c>
      <x:c r="E2919" s="24" t="str">
        <x:v>Progressiva</x:v>
      </x:c>
      <x:c r="F2919" s="24" t="str">
        <x:v>Surfaçada</x:v>
      </x:c>
      <x:c r="G2919" s="24" t="str">
        <x:v>ClassicPlus</x:v>
      </x:c>
      <x:c r="H2919" s="24" t="str">
        <x:v>PhotoFusion X Extra Dark Cinza</x:v>
      </x:c>
      <x:c r="I2919" s="24" t="str">
        <x:v>1.67</x:v>
      </x:c>
      <x:c r="J2919" s="24" t="str">
        <x:v>1.67</x:v>
      </x:c>
      <x:c r="K2919" s="24" t="str">
        <x:v>DuraVision Chrome UV</x:v>
      </x:c>
      <x:c r="L2919" s="40" t="n">
        <x:v>3719</x:v>
      </x:c>
      <x:c r="M2919" s="24" t="str">
        <x:v>-12.00 a -7.50</x:v>
      </x:c>
      <x:c r="N2919" s="24" t="str">
        <x:v>-6.00</x:v>
      </x:c>
      <x:c r="O2919" s="24" t="str">
        <x:v>1.00 a 3.00</x:v>
      </x:c>
      <x:c r="P2919" s="24" t="str">
        <x:v>74</x:v>
      </x:c>
      <x:c r="Q2919" s="24"/>
      <x:c r="R2919" s="24"/>
      <x:c r="S2919" s="26" t="n">
        <x:v>46113</x:v>
      </x:c>
      <x:c r="T2919" s="26"/>
      <x:c r="U2919" s="24" t="str">
        <x:v>ATIVA/SEM FIM INFORMADO</x:v>
      </x:c>
      <x:c r="V2919" s="24" t="str">
        <x:v>Programa de Parcerias ZEISS</x:v>
      </x:c>
      <x:c r="W2919" s="24" t="n">
        <x:v>47</x:v>
      </x:c>
      <x:c r="X2919" s="24" t="str">
        <x:v>tabela_zeiss.pdf</x:v>
      </x:c>
      <x:c r="Y2919" s="24" t="str">
        <x:v>alta</x:v>
      </x:c>
      <x:c r="Z2919" s="24"/>
      <x:c r="AA2919" s="24" t="str">
        <x:v>ZEISS|Progressiva|Surfaçada|ClassicPlus|PhotoFusion X Extra Dark Cinza|1.67|1.67|DuraVision Chrome UV|-12.00 a -7.50|-6.00|1.00 a 3.00|74|||47</x:v>
      </x:c>
    </x:row>
    <x:row r="2920">
      <x:c r="A2920" s="24" t="str">
        <x:v>ZS-AA08B8BFE1B0</x:v>
      </x:c>
      <x:c r="B2920" s="24" t="str">
        <x:v>SIM</x:v>
      </x:c>
      <x:c r="C2920" s="24" t="str">
        <x:v>DISPONÍVEL</x:v>
      </x:c>
      <x:c r="D2920" s="24" t="str">
        <x:v>ZEISS</x:v>
      </x:c>
      <x:c r="E2920" s="24" t="str">
        <x:v>Ocupacional</x:v>
      </x:c>
      <x:c r="F2920" s="24" t="str">
        <x:v>Surfaçada</x:v>
      </x:c>
      <x:c r="G2920" s="24" t="str">
        <x:v>OfficeLens Individual</x:v>
      </x:c>
      <x:c r="H2920" s="24"/>
      <x:c r="I2920" s="24" t="str">
        <x:v>1.5</x:v>
      </x:c>
      <x:c r="J2920" s="24" t="str">
        <x:v>1.50</x:v>
      </x:c>
      <x:c r="K2920" s="24" t="str">
        <x:v>DuraVision Gold UV</x:v>
      </x:c>
      <x:c r="L2920" s="40" t="n">
        <x:v>3880</x:v>
      </x:c>
      <x:c r="M2920" s="24" t="str">
        <x:v>-6.00 a +4.00</x:v>
      </x:c>
      <x:c r="N2920" s="24" t="str">
        <x:v>-4.00</x:v>
      </x:c>
      <x:c r="O2920" s="24" t="str">
        <x:v>0.75 a 3.50</x:v>
      </x:c>
      <x:c r="P2920" s="24" t="str">
        <x:v>75</x:v>
      </x:c>
      <x:c r="Q2920" s="24"/>
      <x:c r="R2920" s="24"/>
      <x:c r="S2920" s="26" t="n">
        <x:v>46113</x:v>
      </x:c>
      <x:c r="T2920" s="26"/>
      <x:c r="U2920" s="24" t="str">
        <x:v>ATIVA/SEM FIM INFORMADO</x:v>
      </x:c>
      <x:c r="V2920" s="24"/>
      <x:c r="W2920" s="24" t="n">
        <x:v>49</x:v>
      </x:c>
      <x:c r="X2920" s="24" t="str">
        <x:v>tabela_zeiss.pdf</x:v>
      </x:c>
      <x:c r="Y2920" s="24" t="str">
        <x:v>alta</x:v>
      </x:c>
      <x:c r="Z2920" s="24"/>
      <x:c r="AA2920" s="24" t="str">
        <x:v>ZEISS|Ocupacional|Surfaçada|OfficeLens Individual||1.5|1.50|DuraVision Gold UV|-6.00 a +4.00|-4.00|0.75 a 3.50|75|||49</x:v>
      </x:c>
    </x:row>
    <x:row r="2921">
      <x:c r="A2921" s="24" t="str">
        <x:v>ZS-C36638F1EFB2</x:v>
      </x:c>
      <x:c r="B2921" s="24" t="str">
        <x:v>SIM</x:v>
      </x:c>
      <x:c r="C2921" s="24" t="str">
        <x:v>DISPONÍVEL</x:v>
      </x:c>
      <x:c r="D2921" s="24" t="str">
        <x:v>ZEISS</x:v>
      </x:c>
      <x:c r="E2921" s="24" t="str">
        <x:v>Ocupacional</x:v>
      </x:c>
      <x:c r="F2921" s="24" t="str">
        <x:v>Surfaçada</x:v>
      </x:c>
      <x:c r="G2921" s="24" t="str">
        <x:v>OfficeLens Individual</x:v>
      </x:c>
      <x:c r="H2921" s="24"/>
      <x:c r="I2921" s="24" t="str">
        <x:v>1.5</x:v>
      </x:c>
      <x:c r="J2921" s="24" t="str">
        <x:v>1.50</x:v>
      </x:c>
      <x:c r="K2921" s="24" t="str">
        <x:v>DURAVISION® ANTIVÍRUS PLATINUM UV</x:v>
      </x:c>
      <x:c r="L2921" s="40" t="n">
        <x:v>3740</x:v>
      </x:c>
      <x:c r="M2921" s="24" t="str">
        <x:v>-6.00 a +4.00</x:v>
      </x:c>
      <x:c r="N2921" s="24" t="str">
        <x:v>-4.00</x:v>
      </x:c>
      <x:c r="O2921" s="24" t="str">
        <x:v>0.75 a 3.50</x:v>
      </x:c>
      <x:c r="P2921" s="24" t="str">
        <x:v>75</x:v>
      </x:c>
      <x:c r="Q2921" s="24"/>
      <x:c r="R2921" s="24"/>
      <x:c r="S2921" s="26" t="n">
        <x:v>46113</x:v>
      </x:c>
      <x:c r="T2921" s="26"/>
      <x:c r="U2921" s="24" t="str">
        <x:v>ATIVA/SEM FIM INFORMADO</x:v>
      </x:c>
      <x:c r="V2921" s="24"/>
      <x:c r="W2921" s="24" t="n">
        <x:v>49</x:v>
      </x:c>
      <x:c r="X2921" s="24" t="str">
        <x:v>tabela_zeiss.pdf</x:v>
      </x:c>
      <x:c r="Y2921" s="24" t="str">
        <x:v>alta</x:v>
      </x:c>
      <x:c r="Z2921" s="24"/>
      <x:c r="AA2921" s="24" t="str">
        <x:v>ZEISS|Ocupacional|Surfaçada|OfficeLens Individual||1.5|1.50|DURAVISION® ANTIVÍRUS PLATINUM UV|-6.00 a +4.00|-4.00|0.75 a 3.50|75|||49</x:v>
      </x:c>
    </x:row>
    <x:row r="2922">
      <x:c r="A2922" s="24" t="str">
        <x:v>ZS-F3AA3E164B02</x:v>
      </x:c>
      <x:c r="B2922" s="24" t="str">
        <x:v>SIM</x:v>
      </x:c>
      <x:c r="C2922" s="24" t="str">
        <x:v>DISPONÍVEL</x:v>
      </x:c>
      <x:c r="D2922" s="24" t="str">
        <x:v>ZEISS</x:v>
      </x:c>
      <x:c r="E2922" s="24" t="str">
        <x:v>Ocupacional</x:v>
      </x:c>
      <x:c r="F2922" s="24" t="str">
        <x:v>Surfaçada</x:v>
      </x:c>
      <x:c r="G2922" s="24" t="str">
        <x:v>OfficeLens Individual</x:v>
      </x:c>
      <x:c r="H2922" s="24"/>
      <x:c r="I2922" s="24" t="str">
        <x:v>1.5</x:v>
      </x:c>
      <x:c r="J2922" s="24" t="str">
        <x:v>1.50</x:v>
      </x:c>
      <x:c r="K2922" s="24" t="str">
        <x:v>DuraVision Platinum UV</x:v>
      </x:c>
      <x:c r="L2922" s="40" t="n">
        <x:v>3740</x:v>
      </x:c>
      <x:c r="M2922" s="24" t="str">
        <x:v>-6.00 a +4.00</x:v>
      </x:c>
      <x:c r="N2922" s="24" t="str">
        <x:v>-4.00</x:v>
      </x:c>
      <x:c r="O2922" s="24" t="str">
        <x:v>0.75 a 3.50</x:v>
      </x:c>
      <x:c r="P2922" s="24" t="str">
        <x:v>75</x:v>
      </x:c>
      <x:c r="Q2922" s="24"/>
      <x:c r="R2922" s="24"/>
      <x:c r="S2922" s="26" t="n">
        <x:v>46113</x:v>
      </x:c>
      <x:c r="T2922" s="26"/>
      <x:c r="U2922" s="24" t="str">
        <x:v>ATIVA/SEM FIM INFORMADO</x:v>
      </x:c>
      <x:c r="V2922" s="24"/>
      <x:c r="W2922" s="24" t="n">
        <x:v>49</x:v>
      </x:c>
      <x:c r="X2922" s="24" t="str">
        <x:v>tabela_zeiss.pdf</x:v>
      </x:c>
      <x:c r="Y2922" s="24" t="str">
        <x:v>alta</x:v>
      </x:c>
      <x:c r="Z2922" s="24"/>
      <x:c r="AA2922" s="24" t="str">
        <x:v>ZEISS|Ocupacional|Surfaçada|OfficeLens Individual||1.5|1.50|DuraVision Platinum UV|-6.00 a +4.00|-4.00|0.75 a 3.50|75|||49</x:v>
      </x:c>
    </x:row>
    <x:row r="2923">
      <x:c r="A2923" s="24" t="str">
        <x:v>ZS-0AE560B94002</x:v>
      </x:c>
      <x:c r="B2923" s="24" t="str">
        <x:v>SIM</x:v>
      </x:c>
      <x:c r="C2923" s="24" t="str">
        <x:v>DISPONÍVEL</x:v>
      </x:c>
      <x:c r="D2923" s="24" t="str">
        <x:v>ZEISS</x:v>
      </x:c>
      <x:c r="E2923" s="24" t="str">
        <x:v>Ocupacional</x:v>
      </x:c>
      <x:c r="F2923" s="24" t="str">
        <x:v>Surfaçada</x:v>
      </x:c>
      <x:c r="G2923" s="24" t="str">
        <x:v>OfficeLens Individual</x:v>
      </x:c>
      <x:c r="H2923" s="24"/>
      <x:c r="I2923" s="24" t="str">
        <x:v>1.5</x:v>
      </x:c>
      <x:c r="J2923" s="24" t="str">
        <x:v>1.50</x:v>
      </x:c>
      <x:c r="K2923" s="24" t="str">
        <x:v>DuraVision Silver UV</x:v>
      </x:c>
      <x:c r="L2923" s="40" t="n">
        <x:v>3480</x:v>
      </x:c>
      <x:c r="M2923" s="24" t="str">
        <x:v>-6.00 a +4.00</x:v>
      </x:c>
      <x:c r="N2923" s="24" t="str">
        <x:v>-4.00</x:v>
      </x:c>
      <x:c r="O2923" s="24" t="str">
        <x:v>0.75 a 3.50</x:v>
      </x:c>
      <x:c r="P2923" s="24" t="str">
        <x:v>75</x:v>
      </x:c>
      <x:c r="Q2923" s="24"/>
      <x:c r="R2923" s="24"/>
      <x:c r="S2923" s="26" t="n">
        <x:v>46113</x:v>
      </x:c>
      <x:c r="T2923" s="26"/>
      <x:c r="U2923" s="24" t="str">
        <x:v>ATIVA/SEM FIM INFORMADO</x:v>
      </x:c>
      <x:c r="V2923" s="24"/>
      <x:c r="W2923" s="24" t="n">
        <x:v>49</x:v>
      </x:c>
      <x:c r="X2923" s="24" t="str">
        <x:v>tabela_zeiss.pdf</x:v>
      </x:c>
      <x:c r="Y2923" s="24" t="str">
        <x:v>alta</x:v>
      </x:c>
      <x:c r="Z2923" s="24"/>
      <x:c r="AA2923" s="24" t="str">
        <x:v>ZEISS|Ocupacional|Surfaçada|OfficeLens Individual||1.5|1.50|DuraVision Silver UV|-6.00 a +4.00|-4.00|0.75 a 3.50|75|||49</x:v>
      </x:c>
    </x:row>
    <x:row r="2924">
      <x:c r="A2924" s="24" t="str">
        <x:v>ZS-7A6BC5D24E3C</x:v>
      </x:c>
      <x:c r="B2924" s="24" t="str">
        <x:v>SIM</x:v>
      </x:c>
      <x:c r="C2924" s="24" t="str">
        <x:v>DISPONÍVEL</x:v>
      </x:c>
      <x:c r="D2924" s="24" t="str">
        <x:v>ZEISS</x:v>
      </x:c>
      <x:c r="E2924" s="24" t="str">
        <x:v>Ocupacional</x:v>
      </x:c>
      <x:c r="F2924" s="24" t="str">
        <x:v>Surfaçada</x:v>
      </x:c>
      <x:c r="G2924" s="24" t="str">
        <x:v>OfficeLens Individual</x:v>
      </x:c>
      <x:c r="H2924" s="24"/>
      <x:c r="I2924" s="24" t="str">
        <x:v>1.5</x:v>
      </x:c>
      <x:c r="J2924" s="24" t="str">
        <x:v>1.50</x:v>
      </x:c>
      <x:c r="K2924" s="24" t="str">
        <x:v>DuraVision Chrome UV</x:v>
      </x:c>
      <x:c r="L2924" s="40" t="n">
        <x:v>2990</x:v>
      </x:c>
      <x:c r="M2924" s="24" t="str">
        <x:v>-6.00 a +4.00</x:v>
      </x:c>
      <x:c r="N2924" s="24" t="str">
        <x:v>-4.00</x:v>
      </x:c>
      <x:c r="O2924" s="24" t="str">
        <x:v>0.75 a 3.50</x:v>
      </x:c>
      <x:c r="P2924" s="24" t="str">
        <x:v>75</x:v>
      </x:c>
      <x:c r="Q2924" s="24"/>
      <x:c r="R2924" s="24"/>
      <x:c r="S2924" s="26" t="n">
        <x:v>46113</x:v>
      </x:c>
      <x:c r="T2924" s="26"/>
      <x:c r="U2924" s="24" t="str">
        <x:v>ATIVA/SEM FIM INFORMADO</x:v>
      </x:c>
      <x:c r="V2924" s="24"/>
      <x:c r="W2924" s="24" t="n">
        <x:v>49</x:v>
      </x:c>
      <x:c r="X2924" s="24" t="str">
        <x:v>tabela_zeiss.pdf</x:v>
      </x:c>
      <x:c r="Y2924" s="24" t="str">
        <x:v>alta</x:v>
      </x:c>
      <x:c r="Z2924" s="24"/>
      <x:c r="AA2924" s="24" t="str">
        <x:v>ZEISS|Ocupacional|Surfaçada|OfficeLens Individual||1.5|1.50|DuraVision Chrome UV|-6.00 a +4.00|-4.00|0.75 a 3.50|75|||49</x:v>
      </x:c>
    </x:row>
    <x:row r="2925">
      <x:c r="A2925" s="24" t="str">
        <x:v>ZS-82ED067DDCDA</x:v>
      </x:c>
      <x:c r="B2925" s="24" t="str">
        <x:v>SIM</x:v>
      </x:c>
      <x:c r="C2925" s="24" t="str">
        <x:v>DISPONÍVEL</x:v>
      </x:c>
      <x:c r="D2925" s="24" t="str">
        <x:v>ZEISS</x:v>
      </x:c>
      <x:c r="E2925" s="24" t="str">
        <x:v>Ocupacional</x:v>
      </x:c>
      <x:c r="F2925" s="24" t="str">
        <x:v>Surfaçada</x:v>
      </x:c>
      <x:c r="G2925" s="24" t="str">
        <x:v>OfficeLens Individual</x:v>
      </x:c>
      <x:c r="H2925" s="24"/>
      <x:c r="I2925" s="24" t="str">
        <x:v>Poli</x:v>
      </x:c>
      <x:c r="J2925" s="24"/>
      <x:c r="K2925" s="24" t="str">
        <x:v>DuraVision Gold UV</x:v>
      </x:c>
      <x:c r="L2925" s="40" t="n">
        <x:v>4470</x:v>
      </x:c>
      <x:c r="M2925" s="24" t="str">
        <x:v>-10.00 a +6.00</x:v>
      </x:c>
      <x:c r="N2925" s="24" t="str">
        <x:v>-4.00</x:v>
      </x:c>
      <x:c r="O2925" s="24" t="str">
        <x:v>0.75 a 4.00</x:v>
      </x:c>
      <x:c r="P2925" s="24" t="str">
        <x:v>75</x:v>
      </x:c>
      <x:c r="Q2925" s="24"/>
      <x:c r="R2925" s="24"/>
      <x:c r="S2925" s="26" t="n">
        <x:v>46113</x:v>
      </x:c>
      <x:c r="T2925" s="26"/>
      <x:c r="U2925" s="24" t="str">
        <x:v>ATIVA/SEM FIM INFORMADO</x:v>
      </x:c>
      <x:c r="V2925" s="24"/>
      <x:c r="W2925" s="24" t="n">
        <x:v>49</x:v>
      </x:c>
      <x:c r="X2925" s="24" t="str">
        <x:v>tabela_zeiss.pdf</x:v>
      </x:c>
      <x:c r="Y2925" s="24" t="str">
        <x:v>alta</x:v>
      </x:c>
      <x:c r="Z2925" s="24"/>
      <x:c r="AA2925" s="24" t="str">
        <x:v>ZEISS|Ocupacional|Surfaçada|OfficeLens Individual||Poli||DuraVision Gold UV|-10.00 a +6.00|-4.00|0.75 a 4.00|75|||49</x:v>
      </x:c>
    </x:row>
    <x:row r="2926">
      <x:c r="A2926" s="24" t="str">
        <x:v>ZS-452FA7D1E251</x:v>
      </x:c>
      <x:c r="B2926" s="24" t="str">
        <x:v>SIM</x:v>
      </x:c>
      <x:c r="C2926" s="24" t="str">
        <x:v>DISPONÍVEL</x:v>
      </x:c>
      <x:c r="D2926" s="24" t="str">
        <x:v>ZEISS</x:v>
      </x:c>
      <x:c r="E2926" s="24" t="str">
        <x:v>Ocupacional</x:v>
      </x:c>
      <x:c r="F2926" s="24" t="str">
        <x:v>Surfaçada</x:v>
      </x:c>
      <x:c r="G2926" s="24" t="str">
        <x:v>OfficeLens Individual</x:v>
      </x:c>
      <x:c r="H2926" s="24"/>
      <x:c r="I2926" s="24" t="str">
        <x:v>Poli</x:v>
      </x:c>
      <x:c r="J2926" s="24"/>
      <x:c r="K2926" s="24" t="str">
        <x:v>DuraVision Platinum UV</x:v>
      </x:c>
      <x:c r="L2926" s="40" t="n">
        <x:v>4330</x:v>
      </x:c>
      <x:c r="M2926" s="24" t="str">
        <x:v>-10.00 a +6.00</x:v>
      </x:c>
      <x:c r="N2926" s="24" t="str">
        <x:v>-4.00</x:v>
      </x:c>
      <x:c r="O2926" s="24" t="str">
        <x:v>0.75 a 4.00</x:v>
      </x:c>
      <x:c r="P2926" s="24" t="str">
        <x:v>75</x:v>
      </x:c>
      <x:c r="Q2926" s="24"/>
      <x:c r="R2926" s="24"/>
      <x:c r="S2926" s="26" t="n">
        <x:v>46113</x:v>
      </x:c>
      <x:c r="T2926" s="26"/>
      <x:c r="U2926" s="24" t="str">
        <x:v>ATIVA/SEM FIM INFORMADO</x:v>
      </x:c>
      <x:c r="V2926" s="24"/>
      <x:c r="W2926" s="24" t="n">
        <x:v>49</x:v>
      </x:c>
      <x:c r="X2926" s="24" t="str">
        <x:v>tabela_zeiss.pdf</x:v>
      </x:c>
      <x:c r="Y2926" s="24" t="str">
        <x:v>alta</x:v>
      </x:c>
      <x:c r="Z2926" s="24"/>
      <x:c r="AA2926" s="24" t="str">
        <x:v>ZEISS|Ocupacional|Surfaçada|OfficeLens Individual||Poli||DuraVision Platinum UV|-10.00 a +6.00|-4.00|0.75 a 4.00|75|||49</x:v>
      </x:c>
    </x:row>
    <x:row r="2927">
      <x:c r="A2927" s="24" t="str">
        <x:v>ZS-E059ECFAFD66</x:v>
      </x:c>
      <x:c r="B2927" s="24" t="str">
        <x:v>SIM</x:v>
      </x:c>
      <x:c r="C2927" s="24" t="str">
        <x:v>DISPONÍVEL</x:v>
      </x:c>
      <x:c r="D2927" s="24" t="str">
        <x:v>ZEISS</x:v>
      </x:c>
      <x:c r="E2927" s="24" t="str">
        <x:v>Ocupacional</x:v>
      </x:c>
      <x:c r="F2927" s="24" t="str">
        <x:v>Surfaçada</x:v>
      </x:c>
      <x:c r="G2927" s="24" t="str">
        <x:v>OfficeLens Individual</x:v>
      </x:c>
      <x:c r="H2927" s="24"/>
      <x:c r="I2927" s="24" t="str">
        <x:v>Poli</x:v>
      </x:c>
      <x:c r="J2927" s="24"/>
      <x:c r="K2927" s="24" t="str">
        <x:v>DuraVision Silver UV</x:v>
      </x:c>
      <x:c r="L2927" s="40" t="n">
        <x:v>4070</x:v>
      </x:c>
      <x:c r="M2927" s="24" t="str">
        <x:v>-10.00 a +6.00</x:v>
      </x:c>
      <x:c r="N2927" s="24" t="str">
        <x:v>-4.00</x:v>
      </x:c>
      <x:c r="O2927" s="24" t="str">
        <x:v>0.75 a 4.00</x:v>
      </x:c>
      <x:c r="P2927" s="24" t="str">
        <x:v>75</x:v>
      </x:c>
      <x:c r="Q2927" s="24"/>
      <x:c r="R2927" s="24"/>
      <x:c r="S2927" s="26" t="n">
        <x:v>46113</x:v>
      </x:c>
      <x:c r="T2927" s="26"/>
      <x:c r="U2927" s="24" t="str">
        <x:v>ATIVA/SEM FIM INFORMADO</x:v>
      </x:c>
      <x:c r="V2927" s="24"/>
      <x:c r="W2927" s="24" t="n">
        <x:v>49</x:v>
      </x:c>
      <x:c r="X2927" s="24" t="str">
        <x:v>tabela_zeiss.pdf</x:v>
      </x:c>
      <x:c r="Y2927" s="24" t="str">
        <x:v>alta</x:v>
      </x:c>
      <x:c r="Z2927" s="24"/>
      <x:c r="AA2927" s="24" t="str">
        <x:v>ZEISS|Ocupacional|Surfaçada|OfficeLens Individual||Poli||DuraVision Silver UV|-10.00 a +6.00|-4.00|0.75 a 4.00|75|||49</x:v>
      </x:c>
    </x:row>
    <x:row r="2928">
      <x:c r="A2928" s="24" t="str">
        <x:v>ZS-C8681C3C7908</x:v>
      </x:c>
      <x:c r="B2928" s="24" t="str">
        <x:v>SIM</x:v>
      </x:c>
      <x:c r="C2928" s="24" t="str">
        <x:v>DISPONÍVEL</x:v>
      </x:c>
      <x:c r="D2928" s="24" t="str">
        <x:v>ZEISS</x:v>
      </x:c>
      <x:c r="E2928" s="24" t="str">
        <x:v>Ocupacional</x:v>
      </x:c>
      <x:c r="F2928" s="24" t="str">
        <x:v>Surfaçada</x:v>
      </x:c>
      <x:c r="G2928" s="24" t="str">
        <x:v>OfficeLens Individual</x:v>
      </x:c>
      <x:c r="H2928" s="24"/>
      <x:c r="I2928" s="24" t="str">
        <x:v>Poli</x:v>
      </x:c>
      <x:c r="J2928" s="24"/>
      <x:c r="K2928" s="24" t="str">
        <x:v>DuraVision Chrome UV</x:v>
      </x:c>
      <x:c r="L2928" s="40" t="n">
        <x:v>3580</x:v>
      </x:c>
      <x:c r="M2928" s="24" t="str">
        <x:v>-10.00 a +6.00</x:v>
      </x:c>
      <x:c r="N2928" s="24" t="str">
        <x:v>-4.00</x:v>
      </x:c>
      <x:c r="O2928" s="24" t="str">
        <x:v>0.75 a 4.00</x:v>
      </x:c>
      <x:c r="P2928" s="24" t="str">
        <x:v>75</x:v>
      </x:c>
      <x:c r="Q2928" s="24"/>
      <x:c r="R2928" s="24"/>
      <x:c r="S2928" s="26" t="n">
        <x:v>46113</x:v>
      </x:c>
      <x:c r="T2928" s="26"/>
      <x:c r="U2928" s="24" t="str">
        <x:v>ATIVA/SEM FIM INFORMADO</x:v>
      </x:c>
      <x:c r="V2928" s="24"/>
      <x:c r="W2928" s="24" t="n">
        <x:v>49</x:v>
      </x:c>
      <x:c r="X2928" s="24" t="str">
        <x:v>tabela_zeiss.pdf</x:v>
      </x:c>
      <x:c r="Y2928" s="24" t="str">
        <x:v>alta</x:v>
      </x:c>
      <x:c r="Z2928" s="24"/>
      <x:c r="AA2928" s="24" t="str">
        <x:v>ZEISS|Ocupacional|Surfaçada|OfficeLens Individual||Poli||DuraVision Chrome UV|-10.00 a +6.00|-4.00|0.75 a 4.00|75|||49</x:v>
      </x:c>
    </x:row>
    <x:row r="2929">
      <x:c r="A2929" s="24" t="str">
        <x:v>ZS-6F904B3030A1</x:v>
      </x:c>
      <x:c r="B2929" s="24" t="str">
        <x:v>SIM</x:v>
      </x:c>
      <x:c r="C2929" s="24" t="str">
        <x:v>DISPONÍVEL</x:v>
      </x:c>
      <x:c r="D2929" s="24" t="str">
        <x:v>ZEISS</x:v>
      </x:c>
      <x:c r="E2929" s="24" t="str">
        <x:v>Ocupacional</x:v>
      </x:c>
      <x:c r="F2929" s="24" t="str">
        <x:v>Surfaçada</x:v>
      </x:c>
      <x:c r="G2929" s="24" t="str">
        <x:v>OfficeLens Individual</x:v>
      </x:c>
      <x:c r="H2929" s="24"/>
      <x:c r="I2929" s="24" t="str">
        <x:v>1.6</x:v>
      </x:c>
      <x:c r="J2929" s="24" t="str">
        <x:v>1.60</x:v>
      </x:c>
      <x:c r="K2929" s="24" t="str">
        <x:v>DuraVision Gold UV</x:v>
      </x:c>
      <x:c r="L2929" s="40" t="n">
        <x:v>5130</x:v>
      </x:c>
      <x:c r="M2929" s="24" t="str">
        <x:v>-5.00 a +6.00</x:v>
      </x:c>
      <x:c r="N2929" s="24" t="str">
        <x:v>-6.00</x:v>
      </x:c>
      <x:c r="O2929" s="24" t="str">
        <x:v>0.75 a 4.00</x:v>
      </x:c>
      <x:c r="P2929" s="24" t="str">
        <x:v>75</x:v>
      </x:c>
      <x:c r="Q2929" s="24"/>
      <x:c r="R2929" s="24"/>
      <x:c r="S2929" s="26" t="n">
        <x:v>46113</x:v>
      </x:c>
      <x:c r="T2929" s="26"/>
      <x:c r="U2929" s="24" t="str">
        <x:v>ATIVA/SEM FIM INFORMADO</x:v>
      </x:c>
      <x:c r="V2929" s="24"/>
      <x:c r="W2929" s="24" t="n">
        <x:v>49</x:v>
      </x:c>
      <x:c r="X2929" s="24" t="str">
        <x:v>tabela_zeiss.pdf</x:v>
      </x:c>
      <x:c r="Y2929" s="24" t="str">
        <x:v>alta</x:v>
      </x:c>
      <x:c r="Z2929" s="24"/>
      <x:c r="AA2929" s="24" t="str">
        <x:v>ZEISS|Ocupacional|Surfaçada|OfficeLens Individual||1.6|1.60|DuraVision Gold UV|-5.00 a +6.00|-6.00|0.75 a 4.00|75|||49</x:v>
      </x:c>
    </x:row>
    <x:row r="2930">
      <x:c r="A2930" s="24" t="str">
        <x:v>ZS-FE4F7EDF9CEE</x:v>
      </x:c>
      <x:c r="B2930" s="24" t="str">
        <x:v>SIM</x:v>
      </x:c>
      <x:c r="C2930" s="24" t="str">
        <x:v>DISPONÍVEL</x:v>
      </x:c>
      <x:c r="D2930" s="24" t="str">
        <x:v>ZEISS</x:v>
      </x:c>
      <x:c r="E2930" s="24" t="str">
        <x:v>Ocupacional</x:v>
      </x:c>
      <x:c r="F2930" s="24" t="str">
        <x:v>Surfaçada</x:v>
      </x:c>
      <x:c r="G2930" s="24" t="str">
        <x:v>OfficeLens Individual</x:v>
      </x:c>
      <x:c r="H2930" s="24"/>
      <x:c r="I2930" s="24" t="str">
        <x:v>1.6</x:v>
      </x:c>
      <x:c r="J2930" s="24" t="str">
        <x:v>1.60</x:v>
      </x:c>
      <x:c r="K2930" s="24" t="str">
        <x:v>DURAVISION® ANTIVÍRUS PLATINUM UV</x:v>
      </x:c>
      <x:c r="L2930" s="40" t="n">
        <x:v>4990</x:v>
      </x:c>
      <x:c r="M2930" s="24" t="str">
        <x:v>-5.00 a +6.00</x:v>
      </x:c>
      <x:c r="N2930" s="24" t="str">
        <x:v>-6.00</x:v>
      </x:c>
      <x:c r="O2930" s="24" t="str">
        <x:v>0.75 a 4.00</x:v>
      </x:c>
      <x:c r="P2930" s="24" t="str">
        <x:v>75</x:v>
      </x:c>
      <x:c r="Q2930" s="24"/>
      <x:c r="R2930" s="24"/>
      <x:c r="S2930" s="26" t="n">
        <x:v>46113</x:v>
      </x:c>
      <x:c r="T2930" s="26"/>
      <x:c r="U2930" s="24" t="str">
        <x:v>ATIVA/SEM FIM INFORMADO</x:v>
      </x:c>
      <x:c r="V2930" s="24"/>
      <x:c r="W2930" s="24" t="n">
        <x:v>49</x:v>
      </x:c>
      <x:c r="X2930" s="24" t="str">
        <x:v>tabela_zeiss.pdf</x:v>
      </x:c>
      <x:c r="Y2930" s="24" t="str">
        <x:v>alta</x:v>
      </x:c>
      <x:c r="Z2930" s="24"/>
      <x:c r="AA2930" s="24" t="str">
        <x:v>ZEISS|Ocupacional|Surfaçada|OfficeLens Individual||1.6|1.60|DURAVISION® ANTIVÍRUS PLATINUM UV|-5.00 a +6.00|-6.00|0.75 a 4.00|75|||49</x:v>
      </x:c>
    </x:row>
    <x:row r="2931">
      <x:c r="A2931" s="24" t="str">
        <x:v>ZS-BDC95BEF9907</x:v>
      </x:c>
      <x:c r="B2931" s="24" t="str">
        <x:v>SIM</x:v>
      </x:c>
      <x:c r="C2931" s="24" t="str">
        <x:v>DISPONÍVEL</x:v>
      </x:c>
      <x:c r="D2931" s="24" t="str">
        <x:v>ZEISS</x:v>
      </x:c>
      <x:c r="E2931" s="24" t="str">
        <x:v>Ocupacional</x:v>
      </x:c>
      <x:c r="F2931" s="24" t="str">
        <x:v>Surfaçada</x:v>
      </x:c>
      <x:c r="G2931" s="24" t="str">
        <x:v>OfficeLens Individual</x:v>
      </x:c>
      <x:c r="H2931" s="24"/>
      <x:c r="I2931" s="24" t="str">
        <x:v>1.6</x:v>
      </x:c>
      <x:c r="J2931" s="24" t="str">
        <x:v>1.60</x:v>
      </x:c>
      <x:c r="K2931" s="24" t="str">
        <x:v>DuraVision Platinum UV</x:v>
      </x:c>
      <x:c r="L2931" s="40" t="n">
        <x:v>4990</x:v>
      </x:c>
      <x:c r="M2931" s="24" t="str">
        <x:v>-5.00 a +6.00</x:v>
      </x:c>
      <x:c r="N2931" s="24" t="str">
        <x:v>-6.00</x:v>
      </x:c>
      <x:c r="O2931" s="24" t="str">
        <x:v>0.75 a 4.00</x:v>
      </x:c>
      <x:c r="P2931" s="24" t="str">
        <x:v>75</x:v>
      </x:c>
      <x:c r="Q2931" s="24"/>
      <x:c r="R2931" s="24"/>
      <x:c r="S2931" s="26" t="n">
        <x:v>46113</x:v>
      </x:c>
      <x:c r="T2931" s="26"/>
      <x:c r="U2931" s="24" t="str">
        <x:v>ATIVA/SEM FIM INFORMADO</x:v>
      </x:c>
      <x:c r="V2931" s="24"/>
      <x:c r="W2931" s="24" t="n">
        <x:v>49</x:v>
      </x:c>
      <x:c r="X2931" s="24" t="str">
        <x:v>tabela_zeiss.pdf</x:v>
      </x:c>
      <x:c r="Y2931" s="24" t="str">
        <x:v>alta</x:v>
      </x:c>
      <x:c r="Z2931" s="24"/>
      <x:c r="AA2931" s="24" t="str">
        <x:v>ZEISS|Ocupacional|Surfaçada|OfficeLens Individual||1.6|1.60|DuraVision Platinum UV|-5.00 a +6.00|-6.00|0.75 a 4.00|75|||49</x:v>
      </x:c>
    </x:row>
    <x:row r="2932">
      <x:c r="A2932" s="24" t="str">
        <x:v>ZS-77BD035A5664</x:v>
      </x:c>
      <x:c r="B2932" s="24" t="str">
        <x:v>SIM</x:v>
      </x:c>
      <x:c r="C2932" s="24" t="str">
        <x:v>DISPONÍVEL</x:v>
      </x:c>
      <x:c r="D2932" s="24" t="str">
        <x:v>ZEISS</x:v>
      </x:c>
      <x:c r="E2932" s="24" t="str">
        <x:v>Ocupacional</x:v>
      </x:c>
      <x:c r="F2932" s="24" t="str">
        <x:v>Surfaçada</x:v>
      </x:c>
      <x:c r="G2932" s="24" t="str">
        <x:v>OfficeLens Individual</x:v>
      </x:c>
      <x:c r="H2932" s="24"/>
      <x:c r="I2932" s="24" t="str">
        <x:v>1.6</x:v>
      </x:c>
      <x:c r="J2932" s="24" t="str">
        <x:v>1.60</x:v>
      </x:c>
      <x:c r="K2932" s="24" t="str">
        <x:v>DuraVision Silver UV</x:v>
      </x:c>
      <x:c r="L2932" s="40" t="n">
        <x:v>4730</x:v>
      </x:c>
      <x:c r="M2932" s="24" t="str">
        <x:v>-5.00 a +6.00</x:v>
      </x:c>
      <x:c r="N2932" s="24" t="str">
        <x:v>-6.00</x:v>
      </x:c>
      <x:c r="O2932" s="24" t="str">
        <x:v>0.75 a 4.00</x:v>
      </x:c>
      <x:c r="P2932" s="24" t="str">
        <x:v>75</x:v>
      </x:c>
      <x:c r="Q2932" s="24"/>
      <x:c r="R2932" s="24"/>
      <x:c r="S2932" s="26" t="n">
        <x:v>46113</x:v>
      </x:c>
      <x:c r="T2932" s="26"/>
      <x:c r="U2932" s="24" t="str">
        <x:v>ATIVA/SEM FIM INFORMADO</x:v>
      </x:c>
      <x:c r="V2932" s="24"/>
      <x:c r="W2932" s="24" t="n">
        <x:v>49</x:v>
      </x:c>
      <x:c r="X2932" s="24" t="str">
        <x:v>tabela_zeiss.pdf</x:v>
      </x:c>
      <x:c r="Y2932" s="24" t="str">
        <x:v>alta</x:v>
      </x:c>
      <x:c r="Z2932" s="24"/>
      <x:c r="AA2932" s="24" t="str">
        <x:v>ZEISS|Ocupacional|Surfaçada|OfficeLens Individual||1.6|1.60|DuraVision Silver UV|-5.00 a +6.00|-6.00|0.75 a 4.00|75|||49</x:v>
      </x:c>
    </x:row>
    <x:row r="2933">
      <x:c r="A2933" s="24" t="str">
        <x:v>ZS-F11DB36920E4</x:v>
      </x:c>
      <x:c r="B2933" s="24" t="str">
        <x:v>SIM</x:v>
      </x:c>
      <x:c r="C2933" s="24" t="str">
        <x:v>DISPONÍVEL</x:v>
      </x:c>
      <x:c r="D2933" s="24" t="str">
        <x:v>ZEISS</x:v>
      </x:c>
      <x:c r="E2933" s="24" t="str">
        <x:v>Ocupacional</x:v>
      </x:c>
      <x:c r="F2933" s="24" t="str">
        <x:v>Surfaçada</x:v>
      </x:c>
      <x:c r="G2933" s="24" t="str">
        <x:v>OfficeLens Individual</x:v>
      </x:c>
      <x:c r="H2933" s="24"/>
      <x:c r="I2933" s="24" t="str">
        <x:v>1.6</x:v>
      </x:c>
      <x:c r="J2933" s="24" t="str">
        <x:v>1.60</x:v>
      </x:c>
      <x:c r="K2933" s="24" t="str">
        <x:v>DuraVision Chrome UV</x:v>
      </x:c>
      <x:c r="L2933" s="40" t="n">
        <x:v>4240</x:v>
      </x:c>
      <x:c r="M2933" s="24" t="str">
        <x:v>-5.00 a +6.00</x:v>
      </x:c>
      <x:c r="N2933" s="24" t="str">
        <x:v>-6.00</x:v>
      </x:c>
      <x:c r="O2933" s="24" t="str">
        <x:v>0.75 a 4.00</x:v>
      </x:c>
      <x:c r="P2933" s="24" t="str">
        <x:v>75</x:v>
      </x:c>
      <x:c r="Q2933" s="24"/>
      <x:c r="R2933" s="24"/>
      <x:c r="S2933" s="26" t="n">
        <x:v>46113</x:v>
      </x:c>
      <x:c r="T2933" s="26"/>
      <x:c r="U2933" s="24" t="str">
        <x:v>ATIVA/SEM FIM INFORMADO</x:v>
      </x:c>
      <x:c r="V2933" s="24"/>
      <x:c r="W2933" s="24" t="n">
        <x:v>49</x:v>
      </x:c>
      <x:c r="X2933" s="24" t="str">
        <x:v>tabela_zeiss.pdf</x:v>
      </x:c>
      <x:c r="Y2933" s="24" t="str">
        <x:v>alta</x:v>
      </x:c>
      <x:c r="Z2933" s="24"/>
      <x:c r="AA2933" s="24" t="str">
        <x:v>ZEISS|Ocupacional|Surfaçada|OfficeLens Individual||1.6|1.60|DuraVision Chrome UV|-5.00 a +6.00|-6.00|0.75 a 4.00|75|||49</x:v>
      </x:c>
    </x:row>
    <x:row r="2934">
      <x:c r="A2934" s="24" t="str">
        <x:v>ZS-5BCC69AF4A67</x:v>
      </x:c>
      <x:c r="B2934" s="24" t="str">
        <x:v>SIM</x:v>
      </x:c>
      <x:c r="C2934" s="24" t="str">
        <x:v>DISPONÍVEL</x:v>
      </x:c>
      <x:c r="D2934" s="24" t="str">
        <x:v>ZEISS</x:v>
      </x:c>
      <x:c r="E2934" s="24" t="str">
        <x:v>Ocupacional</x:v>
      </x:c>
      <x:c r="F2934" s="24" t="str">
        <x:v>Surfaçada</x:v>
      </x:c>
      <x:c r="G2934" s="24" t="str">
        <x:v>OfficeLens Individual</x:v>
      </x:c>
      <x:c r="H2934" s="24"/>
      <x:c r="I2934" s="24" t="str">
        <x:v>1.67</x:v>
      </x:c>
      <x:c r="J2934" s="24" t="str">
        <x:v>1.67</x:v>
      </x:c>
      <x:c r="K2934" s="24" t="str">
        <x:v>DuraVision Gold UV</x:v>
      </x:c>
      <x:c r="L2934" s="40" t="n">
        <x:v>6770</x:v>
      </x:c>
      <x:c r="M2934" s="24" t="str">
        <x:v>-8.00 a +8.00</x:v>
      </x:c>
      <x:c r="N2934" s="24" t="str">
        <x:v>-6.00</x:v>
      </x:c>
      <x:c r="O2934" s="24" t="str">
        <x:v>0.75 a 3.50</x:v>
      </x:c>
      <x:c r="P2934" s="24" t="str">
        <x:v>70</x:v>
      </x:c>
      <x:c r="Q2934" s="24"/>
      <x:c r="R2934" s="24"/>
      <x:c r="S2934" s="26" t="n">
        <x:v>46113</x:v>
      </x:c>
      <x:c r="T2934" s="26"/>
      <x:c r="U2934" s="24" t="str">
        <x:v>ATIVA/SEM FIM INFORMADO</x:v>
      </x:c>
      <x:c r="V2934" s="24"/>
      <x:c r="W2934" s="24" t="n">
        <x:v>49</x:v>
      </x:c>
      <x:c r="X2934" s="24" t="str">
        <x:v>tabela_zeiss.pdf</x:v>
      </x:c>
      <x:c r="Y2934" s="24" t="str">
        <x:v>alta</x:v>
      </x:c>
      <x:c r="Z2934" s="24"/>
      <x:c r="AA2934" s="24" t="str">
        <x:v>ZEISS|Ocupacional|Surfaçada|OfficeLens Individual||1.67|1.67|DuraVision Gold UV|-8.00 a +8.00|-6.00|0.75 a 3.50|70|||49</x:v>
      </x:c>
    </x:row>
    <x:row r="2935">
      <x:c r="A2935" s="24" t="str">
        <x:v>ZS-FBA0A49A2606</x:v>
      </x:c>
      <x:c r="B2935" s="24" t="str">
        <x:v>SIM</x:v>
      </x:c>
      <x:c r="C2935" s="24" t="str">
        <x:v>DISPONÍVEL</x:v>
      </x:c>
      <x:c r="D2935" s="24" t="str">
        <x:v>ZEISS</x:v>
      </x:c>
      <x:c r="E2935" s="24" t="str">
        <x:v>Ocupacional</x:v>
      </x:c>
      <x:c r="F2935" s="24" t="str">
        <x:v>Surfaçada</x:v>
      </x:c>
      <x:c r="G2935" s="24" t="str">
        <x:v>OfficeLens Individual</x:v>
      </x:c>
      <x:c r="H2935" s="24"/>
      <x:c r="I2935" s="24" t="str">
        <x:v>1.67</x:v>
      </x:c>
      <x:c r="J2935" s="24" t="str">
        <x:v>1.67</x:v>
      </x:c>
      <x:c r="K2935" s="24" t="str">
        <x:v>DURAVISION® ANTIVÍRUS PLATINUM UV</x:v>
      </x:c>
      <x:c r="L2935" s="40" t="n">
        <x:v>6630</x:v>
      </x:c>
      <x:c r="M2935" s="24" t="str">
        <x:v>-8.00 a +8.00</x:v>
      </x:c>
      <x:c r="N2935" s="24" t="str">
        <x:v>-6.00</x:v>
      </x:c>
      <x:c r="O2935" s="24" t="str">
        <x:v>0.75 a 3.50</x:v>
      </x:c>
      <x:c r="P2935" s="24" t="str">
        <x:v>70</x:v>
      </x:c>
      <x:c r="Q2935" s="24"/>
      <x:c r="R2935" s="24"/>
      <x:c r="S2935" s="26" t="n">
        <x:v>46113</x:v>
      </x:c>
      <x:c r="T2935" s="26"/>
      <x:c r="U2935" s="24" t="str">
        <x:v>ATIVA/SEM FIM INFORMADO</x:v>
      </x:c>
      <x:c r="V2935" s="24"/>
      <x:c r="W2935" s="24" t="n">
        <x:v>49</x:v>
      </x:c>
      <x:c r="X2935" s="24" t="str">
        <x:v>tabela_zeiss.pdf</x:v>
      </x:c>
      <x:c r="Y2935" s="24" t="str">
        <x:v>alta</x:v>
      </x:c>
      <x:c r="Z2935" s="24"/>
      <x:c r="AA2935" s="24" t="str">
        <x:v>ZEISS|Ocupacional|Surfaçada|OfficeLens Individual||1.67|1.67|DURAVISION® ANTIVÍRUS PLATINUM UV|-8.00 a +8.00|-6.00|0.75 a 3.50|70|||49</x:v>
      </x:c>
    </x:row>
    <x:row r="2936">
      <x:c r="A2936" s="24" t="str">
        <x:v>ZS-C288003DF3BC</x:v>
      </x:c>
      <x:c r="B2936" s="24" t="str">
        <x:v>SIM</x:v>
      </x:c>
      <x:c r="C2936" s="24" t="str">
        <x:v>DISPONÍVEL</x:v>
      </x:c>
      <x:c r="D2936" s="24" t="str">
        <x:v>ZEISS</x:v>
      </x:c>
      <x:c r="E2936" s="24" t="str">
        <x:v>Ocupacional</x:v>
      </x:c>
      <x:c r="F2936" s="24" t="str">
        <x:v>Surfaçada</x:v>
      </x:c>
      <x:c r="G2936" s="24" t="str">
        <x:v>OfficeLens Individual</x:v>
      </x:c>
      <x:c r="H2936" s="24"/>
      <x:c r="I2936" s="24" t="str">
        <x:v>1.67</x:v>
      </x:c>
      <x:c r="J2936" s="24" t="str">
        <x:v>1.67</x:v>
      </x:c>
      <x:c r="K2936" s="24" t="str">
        <x:v>DuraVision Platinum UV</x:v>
      </x:c>
      <x:c r="L2936" s="40" t="n">
        <x:v>6630</x:v>
      </x:c>
      <x:c r="M2936" s="24" t="str">
        <x:v>-8.00 a +8.00</x:v>
      </x:c>
      <x:c r="N2936" s="24" t="str">
        <x:v>-6.00</x:v>
      </x:c>
      <x:c r="O2936" s="24" t="str">
        <x:v>0.75 a 3.50</x:v>
      </x:c>
      <x:c r="P2936" s="24" t="str">
        <x:v>70</x:v>
      </x:c>
      <x:c r="Q2936" s="24"/>
      <x:c r="R2936" s="24"/>
      <x:c r="S2936" s="26" t="n">
        <x:v>46113</x:v>
      </x:c>
      <x:c r="T2936" s="26"/>
      <x:c r="U2936" s="24" t="str">
        <x:v>ATIVA/SEM FIM INFORMADO</x:v>
      </x:c>
      <x:c r="V2936" s="24"/>
      <x:c r="W2936" s="24" t="n">
        <x:v>49</x:v>
      </x:c>
      <x:c r="X2936" s="24" t="str">
        <x:v>tabela_zeiss.pdf</x:v>
      </x:c>
      <x:c r="Y2936" s="24" t="str">
        <x:v>alta</x:v>
      </x:c>
      <x:c r="Z2936" s="24"/>
      <x:c r="AA2936" s="24" t="str">
        <x:v>ZEISS|Ocupacional|Surfaçada|OfficeLens Individual||1.67|1.67|DuraVision Platinum UV|-8.00 a +8.00|-6.00|0.75 a 3.50|70|||49</x:v>
      </x:c>
    </x:row>
    <x:row r="2937">
      <x:c r="A2937" s="24" t="str">
        <x:v>ZS-C81821820D1E</x:v>
      </x:c>
      <x:c r="B2937" s="24" t="str">
        <x:v>SIM</x:v>
      </x:c>
      <x:c r="C2937" s="24" t="str">
        <x:v>DISPONÍVEL</x:v>
      </x:c>
      <x:c r="D2937" s="24" t="str">
        <x:v>ZEISS</x:v>
      </x:c>
      <x:c r="E2937" s="24" t="str">
        <x:v>Ocupacional</x:v>
      </x:c>
      <x:c r="F2937" s="24" t="str">
        <x:v>Surfaçada</x:v>
      </x:c>
      <x:c r="G2937" s="24" t="str">
        <x:v>OfficeLens Individual</x:v>
      </x:c>
      <x:c r="H2937" s="24"/>
      <x:c r="I2937" s="24" t="str">
        <x:v>1.67</x:v>
      </x:c>
      <x:c r="J2937" s="24" t="str">
        <x:v>1.67</x:v>
      </x:c>
      <x:c r="K2937" s="24" t="str">
        <x:v>DuraVision Silver UV</x:v>
      </x:c>
      <x:c r="L2937" s="40" t="n">
        <x:v>6370</x:v>
      </x:c>
      <x:c r="M2937" s="24" t="str">
        <x:v>-8.00 a +8.00</x:v>
      </x:c>
      <x:c r="N2937" s="24" t="str">
        <x:v>-6.00</x:v>
      </x:c>
      <x:c r="O2937" s="24" t="str">
        <x:v>0.75 a 3.50</x:v>
      </x:c>
      <x:c r="P2937" s="24" t="str">
        <x:v>70</x:v>
      </x:c>
      <x:c r="Q2937" s="24"/>
      <x:c r="R2937" s="24"/>
      <x:c r="S2937" s="26" t="n">
        <x:v>46113</x:v>
      </x:c>
      <x:c r="T2937" s="26"/>
      <x:c r="U2937" s="24" t="str">
        <x:v>ATIVA/SEM FIM INFORMADO</x:v>
      </x:c>
      <x:c r="V2937" s="24"/>
      <x:c r="W2937" s="24" t="n">
        <x:v>49</x:v>
      </x:c>
      <x:c r="X2937" s="24" t="str">
        <x:v>tabela_zeiss.pdf</x:v>
      </x:c>
      <x:c r="Y2937" s="24" t="str">
        <x:v>alta</x:v>
      </x:c>
      <x:c r="Z2937" s="24"/>
      <x:c r="AA2937" s="24" t="str">
        <x:v>ZEISS|Ocupacional|Surfaçada|OfficeLens Individual||1.67|1.67|DuraVision Silver UV|-8.00 a +8.00|-6.00|0.75 a 3.50|70|||49</x:v>
      </x:c>
    </x:row>
    <x:row r="2938">
      <x:c r="A2938" s="24" t="str">
        <x:v>ZS-458F2DA3DC79</x:v>
      </x:c>
      <x:c r="B2938" s="24" t="str">
        <x:v>SIM</x:v>
      </x:c>
      <x:c r="C2938" s="24" t="str">
        <x:v>DISPONÍVEL</x:v>
      </x:c>
      <x:c r="D2938" s="24" t="str">
        <x:v>ZEISS</x:v>
      </x:c>
      <x:c r="E2938" s="24" t="str">
        <x:v>Ocupacional</x:v>
      </x:c>
      <x:c r="F2938" s="24" t="str">
        <x:v>Surfaçada</x:v>
      </x:c>
      <x:c r="G2938" s="24" t="str">
        <x:v>OfficeLens Individual</x:v>
      </x:c>
      <x:c r="H2938" s="24"/>
      <x:c r="I2938" s="24" t="str">
        <x:v>1.67</x:v>
      </x:c>
      <x:c r="J2938" s="24" t="str">
        <x:v>1.67</x:v>
      </x:c>
      <x:c r="K2938" s="24" t="str">
        <x:v>DuraVision Chrome UV</x:v>
      </x:c>
      <x:c r="L2938" s="40" t="n">
        <x:v>5880</x:v>
      </x:c>
      <x:c r="M2938" s="24" t="str">
        <x:v>-8.00 a +8.00</x:v>
      </x:c>
      <x:c r="N2938" s="24" t="str">
        <x:v>-6.00</x:v>
      </x:c>
      <x:c r="O2938" s="24" t="str">
        <x:v>0.75 a 3.50</x:v>
      </x:c>
      <x:c r="P2938" s="24" t="str">
        <x:v>70</x:v>
      </x:c>
      <x:c r="Q2938" s="24"/>
      <x:c r="R2938" s="24"/>
      <x:c r="S2938" s="26" t="n">
        <x:v>46113</x:v>
      </x:c>
      <x:c r="T2938" s="26"/>
      <x:c r="U2938" s="24" t="str">
        <x:v>ATIVA/SEM FIM INFORMADO</x:v>
      </x:c>
      <x:c r="V2938" s="24"/>
      <x:c r="W2938" s="24" t="n">
        <x:v>49</x:v>
      </x:c>
      <x:c r="X2938" s="24" t="str">
        <x:v>tabela_zeiss.pdf</x:v>
      </x:c>
      <x:c r="Y2938" s="24" t="str">
        <x:v>alta</x:v>
      </x:c>
      <x:c r="Z2938" s="24"/>
      <x:c r="AA2938" s="24" t="str">
        <x:v>ZEISS|Ocupacional|Surfaçada|OfficeLens Individual||1.67|1.67|DuraVision Chrome UV|-8.00 a +8.00|-6.00|0.75 a 3.50|70|||49</x:v>
      </x:c>
    </x:row>
    <x:row r="2939">
      <x:c r="A2939" s="24" t="str">
        <x:v>ZS-01B4C99BB609</x:v>
      </x:c>
      <x:c r="B2939" s="24" t="str">
        <x:v>SIM</x:v>
      </x:c>
      <x:c r="C2939" s="24" t="str">
        <x:v>DISPONÍVEL</x:v>
      </x:c>
      <x:c r="D2939" s="24" t="str">
        <x:v>ZEISS</x:v>
      </x:c>
      <x:c r="E2939" s="24" t="str">
        <x:v>Ocupacional</x:v>
      </x:c>
      <x:c r="F2939" s="24" t="str">
        <x:v>Surfaçada</x:v>
      </x:c>
      <x:c r="G2939" s="24" t="str">
        <x:v>OfficeLens Individual</x:v>
      </x:c>
      <x:c r="H2939" s="24"/>
      <x:c r="I2939" s="24" t="str">
        <x:v>1.74</x:v>
      </x:c>
      <x:c r="J2939" s="24" t="str">
        <x:v>1.74</x:v>
      </x:c>
      <x:c r="K2939" s="24" t="str">
        <x:v>DuraVision Gold UV</x:v>
      </x:c>
      <x:c r="L2939" s="40" t="n">
        <x:v>8370</x:v>
      </x:c>
      <x:c r="M2939" s="24" t="str">
        <x:v>-10.00 a +7.00</x:v>
      </x:c>
      <x:c r="N2939" s="24" t="str">
        <x:v>-4.00</x:v>
      </x:c>
      <x:c r="O2939" s="24" t="str">
        <x:v>0.75 a 3.50</x:v>
      </x:c>
      <x:c r="P2939" s="24" t="str">
        <x:v>70 a 75</x:v>
      </x:c>
      <x:c r="Q2939" s="24"/>
      <x:c r="R2939" s="24"/>
      <x:c r="S2939" s="26" t="n">
        <x:v>46113</x:v>
      </x:c>
      <x:c r="T2939" s="26"/>
      <x:c r="U2939" s="24" t="str">
        <x:v>ATIVA/SEM FIM INFORMADO</x:v>
      </x:c>
      <x:c r="V2939" s="24"/>
      <x:c r="W2939" s="24" t="n">
        <x:v>49</x:v>
      </x:c>
      <x:c r="X2939" s="24" t="str">
        <x:v>tabela_zeiss.pdf</x:v>
      </x:c>
      <x:c r="Y2939" s="24" t="str">
        <x:v>alta</x:v>
      </x:c>
      <x:c r="Z2939" s="24"/>
      <x:c r="AA2939" s="24" t="str">
        <x:v>ZEISS|Ocupacional|Surfaçada|OfficeLens Individual||1.74|1.74|DuraVision Gold UV|-10.00 a +7.00|-4.00|0.75 a 3.50|70 a 75|||49</x:v>
      </x:c>
    </x:row>
    <x:row r="2940">
      <x:c r="A2940" s="24" t="str">
        <x:v>ZS-C55DD5C2FDA8</x:v>
      </x:c>
      <x:c r="B2940" s="24" t="str">
        <x:v>SIM</x:v>
      </x:c>
      <x:c r="C2940" s="24" t="str">
        <x:v>DISPONÍVEL</x:v>
      </x:c>
      <x:c r="D2940" s="24" t="str">
        <x:v>ZEISS</x:v>
      </x:c>
      <x:c r="E2940" s="24" t="str">
        <x:v>Ocupacional</x:v>
      </x:c>
      <x:c r="F2940" s="24" t="str">
        <x:v>Surfaçada</x:v>
      </x:c>
      <x:c r="G2940" s="24" t="str">
        <x:v>OfficeLens Individual</x:v>
      </x:c>
      <x:c r="H2940" s="24"/>
      <x:c r="I2940" s="24" t="str">
        <x:v>1.74</x:v>
      </x:c>
      <x:c r="J2940" s="24" t="str">
        <x:v>1.74</x:v>
      </x:c>
      <x:c r="K2940" s="24" t="str">
        <x:v>DuraVision Platinum UV</x:v>
      </x:c>
      <x:c r="L2940" s="40" t="n">
        <x:v>8230</x:v>
      </x:c>
      <x:c r="M2940" s="24" t="str">
        <x:v>-10.00 a +7.00</x:v>
      </x:c>
      <x:c r="N2940" s="24" t="str">
        <x:v>-4.00</x:v>
      </x:c>
      <x:c r="O2940" s="24" t="str">
        <x:v>0.75 a 3.50</x:v>
      </x:c>
      <x:c r="P2940" s="24" t="str">
        <x:v>70 a 75</x:v>
      </x:c>
      <x:c r="Q2940" s="24"/>
      <x:c r="R2940" s="24"/>
      <x:c r="S2940" s="26" t="n">
        <x:v>46113</x:v>
      </x:c>
      <x:c r="T2940" s="26"/>
      <x:c r="U2940" s="24" t="str">
        <x:v>ATIVA/SEM FIM INFORMADO</x:v>
      </x:c>
      <x:c r="V2940" s="24"/>
      <x:c r="W2940" s="24" t="n">
        <x:v>49</x:v>
      </x:c>
      <x:c r="X2940" s="24" t="str">
        <x:v>tabela_zeiss.pdf</x:v>
      </x:c>
      <x:c r="Y2940" s="24" t="str">
        <x:v>alta</x:v>
      </x:c>
      <x:c r="Z2940" s="24"/>
      <x:c r="AA2940" s="24" t="str">
        <x:v>ZEISS|Ocupacional|Surfaçada|OfficeLens Individual||1.74|1.74|DuraVision Platinum UV|-10.00 a +7.00|-4.00|0.75 a 3.50|70 a 75|||49</x:v>
      </x:c>
    </x:row>
    <x:row r="2941">
      <x:c r="A2941" s="24" t="str">
        <x:v>ZS-8263CAFB7268</x:v>
      </x:c>
      <x:c r="B2941" s="24" t="str">
        <x:v>SIM</x:v>
      </x:c>
      <x:c r="C2941" s="24" t="str">
        <x:v>DISPONÍVEL</x:v>
      </x:c>
      <x:c r="D2941" s="24" t="str">
        <x:v>ZEISS</x:v>
      </x:c>
      <x:c r="E2941" s="24" t="str">
        <x:v>Ocupacional</x:v>
      </x:c>
      <x:c r="F2941" s="24" t="str">
        <x:v>Surfaçada</x:v>
      </x:c>
      <x:c r="G2941" s="24" t="str">
        <x:v>OfficeLens Individual</x:v>
      </x:c>
      <x:c r="H2941" s="24"/>
      <x:c r="I2941" s="24" t="str">
        <x:v>1.74</x:v>
      </x:c>
      <x:c r="J2941" s="24" t="str">
        <x:v>1.74</x:v>
      </x:c>
      <x:c r="K2941" s="24" t="str">
        <x:v>DuraVision Silver UV</x:v>
      </x:c>
      <x:c r="L2941" s="40" t="n">
        <x:v>7970</x:v>
      </x:c>
      <x:c r="M2941" s="24" t="str">
        <x:v>-10.00 a +7.00</x:v>
      </x:c>
      <x:c r="N2941" s="24" t="str">
        <x:v>-4.00</x:v>
      </x:c>
      <x:c r="O2941" s="24" t="str">
        <x:v>0.75 a 3.50</x:v>
      </x:c>
      <x:c r="P2941" s="24" t="str">
        <x:v>70 a 75</x:v>
      </x:c>
      <x:c r="Q2941" s="24"/>
      <x:c r="R2941" s="24"/>
      <x:c r="S2941" s="26" t="n">
        <x:v>46113</x:v>
      </x:c>
      <x:c r="T2941" s="26"/>
      <x:c r="U2941" s="24" t="str">
        <x:v>ATIVA/SEM FIM INFORMADO</x:v>
      </x:c>
      <x:c r="V2941" s="24"/>
      <x:c r="W2941" s="24" t="n">
        <x:v>49</x:v>
      </x:c>
      <x:c r="X2941" s="24" t="str">
        <x:v>tabela_zeiss.pdf</x:v>
      </x:c>
      <x:c r="Y2941" s="24" t="str">
        <x:v>alta</x:v>
      </x:c>
      <x:c r="Z2941" s="24"/>
      <x:c r="AA2941" s="24" t="str">
        <x:v>ZEISS|Ocupacional|Surfaçada|OfficeLens Individual||1.74|1.74|DuraVision Silver UV|-10.00 a +7.00|-4.00|0.75 a 3.50|70 a 75|||49</x:v>
      </x:c>
    </x:row>
    <x:row r="2942">
      <x:c r="A2942" s="24" t="str">
        <x:v>ZS-7EC49F97B5C1</x:v>
      </x:c>
      <x:c r="B2942" s="24" t="str">
        <x:v>SIM</x:v>
      </x:c>
      <x:c r="C2942" s="24" t="str">
        <x:v>DISPONÍVEL</x:v>
      </x:c>
      <x:c r="D2942" s="24" t="str">
        <x:v>ZEISS</x:v>
      </x:c>
      <x:c r="E2942" s="24" t="str">
        <x:v>Ocupacional</x:v>
      </x:c>
      <x:c r="F2942" s="24" t="str">
        <x:v>Surfaçada</x:v>
      </x:c>
      <x:c r="G2942" s="24" t="str">
        <x:v>OfficeLens Individual</x:v>
      </x:c>
      <x:c r="H2942" s="24"/>
      <x:c r="I2942" s="24" t="str">
        <x:v>1.74</x:v>
      </x:c>
      <x:c r="J2942" s="24" t="str">
        <x:v>1.74</x:v>
      </x:c>
      <x:c r="K2942" s="24" t="str">
        <x:v>DuraVision Chrome UV</x:v>
      </x:c>
      <x:c r="L2942" s="40" t="n">
        <x:v>7480</x:v>
      </x:c>
      <x:c r="M2942" s="24" t="str">
        <x:v>-10.00 a +7.00</x:v>
      </x:c>
      <x:c r="N2942" s="24" t="str">
        <x:v>-4.00</x:v>
      </x:c>
      <x:c r="O2942" s="24" t="str">
        <x:v>0.75 a 3.50</x:v>
      </x:c>
      <x:c r="P2942" s="24" t="str">
        <x:v>70 a 75</x:v>
      </x:c>
      <x:c r="Q2942" s="24"/>
      <x:c r="R2942" s="24"/>
      <x:c r="S2942" s="26" t="n">
        <x:v>46113</x:v>
      </x:c>
      <x:c r="T2942" s="26"/>
      <x:c r="U2942" s="24" t="str">
        <x:v>ATIVA/SEM FIM INFORMADO</x:v>
      </x:c>
      <x:c r="V2942" s="24"/>
      <x:c r="W2942" s="24" t="n">
        <x:v>49</x:v>
      </x:c>
      <x:c r="X2942" s="24" t="str">
        <x:v>tabela_zeiss.pdf</x:v>
      </x:c>
      <x:c r="Y2942" s="24" t="str">
        <x:v>alta</x:v>
      </x:c>
      <x:c r="Z2942" s="24"/>
      <x:c r="AA2942" s="24" t="str">
        <x:v>ZEISS|Ocupacional|Surfaçada|OfficeLens Individual||1.74|1.74|DuraVision Chrome UV|-10.00 a +7.00|-4.00|0.75 a 3.50|70 a 75|||49</x:v>
      </x:c>
    </x:row>
    <x:row r="2943">
      <x:c r="A2943" s="24" t="str">
        <x:v>ZS-0126C6BEE2D2</x:v>
      </x:c>
      <x:c r="B2943" s="24" t="str">
        <x:v>SIM</x:v>
      </x:c>
      <x:c r="C2943" s="24" t="str">
        <x:v>DISPONÍVEL</x:v>
      </x:c>
      <x:c r="D2943" s="24" t="str">
        <x:v>ZEISS</x:v>
      </x:c>
      <x:c r="E2943" s="24" t="str">
        <x:v>Ocupacional</x:v>
      </x:c>
      <x:c r="F2943" s="24" t="str">
        <x:v>Surfaçada</x:v>
      </x:c>
      <x:c r="G2943" s="24" t="str">
        <x:v>OfficeLens Superb Room/Near</x:v>
      </x:c>
      <x:c r="H2943" s="24"/>
      <x:c r="I2943" s="24" t="str">
        <x:v>1.5</x:v>
      </x:c>
      <x:c r="J2943" s="24" t="str">
        <x:v>1.50</x:v>
      </x:c>
      <x:c r="K2943" s="24" t="str">
        <x:v>DuraVision Gold UV</x:v>
      </x:c>
      <x:c r="L2943" s="40" t="n">
        <x:v>2700</x:v>
      </x:c>
      <x:c r="M2943" s="24" t="str">
        <x:v>-6.00 a +4.00</x:v>
      </x:c>
      <x:c r="N2943" s="24" t="str">
        <x:v>-4.00</x:v>
      </x:c>
      <x:c r="O2943" s="24" t="str">
        <x:v>0.75 a 3.50</x:v>
      </x:c>
      <x:c r="P2943" s="24" t="str">
        <x:v>75</x:v>
      </x:c>
      <x:c r="Q2943" s="24"/>
      <x:c r="R2943" s="24"/>
      <x:c r="S2943" s="26" t="n">
        <x:v>46113</x:v>
      </x:c>
      <x:c r="T2943" s="26"/>
      <x:c r="U2943" s="24" t="str">
        <x:v>ATIVA/SEM FIM INFORMADO</x:v>
      </x:c>
      <x:c r="V2943" s="24"/>
      <x:c r="W2943" s="24" t="n">
        <x:v>49</x:v>
      </x:c>
      <x:c r="X2943" s="24" t="str">
        <x:v>tabela_zeiss.pdf</x:v>
      </x:c>
      <x:c r="Y2943" s="24" t="str">
        <x:v>alta</x:v>
      </x:c>
      <x:c r="Z2943" s="24"/>
      <x:c r="AA2943" s="24" t="str">
        <x:v>ZEISS|Ocupacional|Surfaçada|OfficeLens Superb Room/Near||1.5|1.50|DuraVision Gold UV|-6.00 a +4.00|-4.00|0.75 a 3.50|75|||49</x:v>
      </x:c>
    </x:row>
    <x:row r="2944">
      <x:c r="A2944" s="24" t="str">
        <x:v>ZS-49E44B3F50AB</x:v>
      </x:c>
      <x:c r="B2944" s="24" t="str">
        <x:v>SIM</x:v>
      </x:c>
      <x:c r="C2944" s="24" t="str">
        <x:v>DISPONÍVEL</x:v>
      </x:c>
      <x:c r="D2944" s="24" t="str">
        <x:v>ZEISS</x:v>
      </x:c>
      <x:c r="E2944" s="24" t="str">
        <x:v>Ocupacional</x:v>
      </x:c>
      <x:c r="F2944" s="24" t="str">
        <x:v>Surfaçada</x:v>
      </x:c>
      <x:c r="G2944" s="24" t="str">
        <x:v>OfficeLens Superb Room/Near</x:v>
      </x:c>
      <x:c r="H2944" s="24"/>
      <x:c r="I2944" s="24" t="str">
        <x:v>1.5</x:v>
      </x:c>
      <x:c r="J2944" s="24" t="str">
        <x:v>1.50</x:v>
      </x:c>
      <x:c r="K2944" s="24" t="str">
        <x:v>DURAVISION® ANTIVÍRUS PLATINUM UV</x:v>
      </x:c>
      <x:c r="L2944" s="40" t="n">
        <x:v>2560</x:v>
      </x:c>
      <x:c r="M2944" s="24" t="str">
        <x:v>-6.00 a +4.00</x:v>
      </x:c>
      <x:c r="N2944" s="24" t="str">
        <x:v>-4.00</x:v>
      </x:c>
      <x:c r="O2944" s="24" t="str">
        <x:v>0.75 a 3.50</x:v>
      </x:c>
      <x:c r="P2944" s="24" t="str">
        <x:v>75</x:v>
      </x:c>
      <x:c r="Q2944" s="24"/>
      <x:c r="R2944" s="24"/>
      <x:c r="S2944" s="26" t="n">
        <x:v>46113</x:v>
      </x:c>
      <x:c r="T2944" s="26"/>
      <x:c r="U2944" s="24" t="str">
        <x:v>ATIVA/SEM FIM INFORMADO</x:v>
      </x:c>
      <x:c r="V2944" s="24"/>
      <x:c r="W2944" s="24" t="n">
        <x:v>49</x:v>
      </x:c>
      <x:c r="X2944" s="24" t="str">
        <x:v>tabela_zeiss.pdf</x:v>
      </x:c>
      <x:c r="Y2944" s="24" t="str">
        <x:v>alta</x:v>
      </x:c>
      <x:c r="Z2944" s="24"/>
      <x:c r="AA2944" s="24" t="str">
        <x:v>ZEISS|Ocupacional|Surfaçada|OfficeLens Superb Room/Near||1.5|1.50|DURAVISION® ANTIVÍRUS PLATINUM UV|-6.00 a +4.00|-4.00|0.75 a 3.50|75|||49</x:v>
      </x:c>
    </x:row>
    <x:row r="2945">
      <x:c r="A2945" s="24" t="str">
        <x:v>ZS-21EBAF9BECB1</x:v>
      </x:c>
      <x:c r="B2945" s="24" t="str">
        <x:v>SIM</x:v>
      </x:c>
      <x:c r="C2945" s="24" t="str">
        <x:v>DISPONÍVEL</x:v>
      </x:c>
      <x:c r="D2945" s="24" t="str">
        <x:v>ZEISS</x:v>
      </x:c>
      <x:c r="E2945" s="24" t="str">
        <x:v>Ocupacional</x:v>
      </x:c>
      <x:c r="F2945" s="24" t="str">
        <x:v>Surfaçada</x:v>
      </x:c>
      <x:c r="G2945" s="24" t="str">
        <x:v>OfficeLens Superb Room/Near</x:v>
      </x:c>
      <x:c r="H2945" s="24"/>
      <x:c r="I2945" s="24" t="str">
        <x:v>1.5</x:v>
      </x:c>
      <x:c r="J2945" s="24" t="str">
        <x:v>1.50</x:v>
      </x:c>
      <x:c r="K2945" s="24" t="str">
        <x:v>DuraVision Platinum UV</x:v>
      </x:c>
      <x:c r="L2945" s="40" t="n">
        <x:v>2560</x:v>
      </x:c>
      <x:c r="M2945" s="24" t="str">
        <x:v>-6.00 a +4.00</x:v>
      </x:c>
      <x:c r="N2945" s="24" t="str">
        <x:v>-4.00</x:v>
      </x:c>
      <x:c r="O2945" s="24" t="str">
        <x:v>0.75 a 3.50</x:v>
      </x:c>
      <x:c r="P2945" s="24" t="str">
        <x:v>75</x:v>
      </x:c>
      <x:c r="Q2945" s="24"/>
      <x:c r="R2945" s="24"/>
      <x:c r="S2945" s="26" t="n">
        <x:v>46113</x:v>
      </x:c>
      <x:c r="T2945" s="26"/>
      <x:c r="U2945" s="24" t="str">
        <x:v>ATIVA/SEM FIM INFORMADO</x:v>
      </x:c>
      <x:c r="V2945" s="24"/>
      <x:c r="W2945" s="24" t="n">
        <x:v>49</x:v>
      </x:c>
      <x:c r="X2945" s="24" t="str">
        <x:v>tabela_zeiss.pdf</x:v>
      </x:c>
      <x:c r="Y2945" s="24" t="str">
        <x:v>alta</x:v>
      </x:c>
      <x:c r="Z2945" s="24"/>
      <x:c r="AA2945" s="24" t="str">
        <x:v>ZEISS|Ocupacional|Surfaçada|OfficeLens Superb Room/Near||1.5|1.50|DuraVision Platinum UV|-6.00 a +4.00|-4.00|0.75 a 3.50|75|||49</x:v>
      </x:c>
    </x:row>
    <x:row r="2946">
      <x:c r="A2946" s="24" t="str">
        <x:v>ZS-1D509362627D</x:v>
      </x:c>
      <x:c r="B2946" s="24" t="str">
        <x:v>SIM</x:v>
      </x:c>
      <x:c r="C2946" s="24" t="str">
        <x:v>DISPONÍVEL</x:v>
      </x:c>
      <x:c r="D2946" s="24" t="str">
        <x:v>ZEISS</x:v>
      </x:c>
      <x:c r="E2946" s="24" t="str">
        <x:v>Ocupacional</x:v>
      </x:c>
      <x:c r="F2946" s="24" t="str">
        <x:v>Surfaçada</x:v>
      </x:c>
      <x:c r="G2946" s="24" t="str">
        <x:v>OfficeLens Superb Room/Near</x:v>
      </x:c>
      <x:c r="H2946" s="24"/>
      <x:c r="I2946" s="24" t="str">
        <x:v>1.5</x:v>
      </x:c>
      <x:c r="J2946" s="24" t="str">
        <x:v>1.50</x:v>
      </x:c>
      <x:c r="K2946" s="24" t="str">
        <x:v>DuraVision Silver UV</x:v>
      </x:c>
      <x:c r="L2946" s="40" t="n">
        <x:v>2300</x:v>
      </x:c>
      <x:c r="M2946" s="24" t="str">
        <x:v>-6.00 a +4.00</x:v>
      </x:c>
      <x:c r="N2946" s="24" t="str">
        <x:v>-4.00</x:v>
      </x:c>
      <x:c r="O2946" s="24" t="str">
        <x:v>0.75 a 3.50</x:v>
      </x:c>
      <x:c r="P2946" s="24" t="str">
        <x:v>75</x:v>
      </x:c>
      <x:c r="Q2946" s="24"/>
      <x:c r="R2946" s="24"/>
      <x:c r="S2946" s="26" t="n">
        <x:v>46113</x:v>
      </x:c>
      <x:c r="T2946" s="26"/>
      <x:c r="U2946" s="24" t="str">
        <x:v>ATIVA/SEM FIM INFORMADO</x:v>
      </x:c>
      <x:c r="V2946" s="24"/>
      <x:c r="W2946" s="24" t="n">
        <x:v>49</x:v>
      </x:c>
      <x:c r="X2946" s="24" t="str">
        <x:v>tabela_zeiss.pdf</x:v>
      </x:c>
      <x:c r="Y2946" s="24" t="str">
        <x:v>alta</x:v>
      </x:c>
      <x:c r="Z2946" s="24"/>
      <x:c r="AA2946" s="24" t="str">
        <x:v>ZEISS|Ocupacional|Surfaçada|OfficeLens Superb Room/Near||1.5|1.50|DuraVision Silver UV|-6.00 a +4.00|-4.00|0.75 a 3.50|75|||49</x:v>
      </x:c>
    </x:row>
    <x:row r="2947">
      <x:c r="A2947" s="24" t="str">
        <x:v>ZS-AB80E9AED5F8</x:v>
      </x:c>
      <x:c r="B2947" s="24" t="str">
        <x:v>SIM</x:v>
      </x:c>
      <x:c r="C2947" s="24" t="str">
        <x:v>DISPONÍVEL</x:v>
      </x:c>
      <x:c r="D2947" s="24" t="str">
        <x:v>ZEISS</x:v>
      </x:c>
      <x:c r="E2947" s="24" t="str">
        <x:v>Ocupacional</x:v>
      </x:c>
      <x:c r="F2947" s="24" t="str">
        <x:v>Surfaçada</x:v>
      </x:c>
      <x:c r="G2947" s="24" t="str">
        <x:v>OfficeLens Superb Room/Near</x:v>
      </x:c>
      <x:c r="H2947" s="24"/>
      <x:c r="I2947" s="24" t="str">
        <x:v>1.5</x:v>
      </x:c>
      <x:c r="J2947" s="24" t="str">
        <x:v>1.50</x:v>
      </x:c>
      <x:c r="K2947" s="24" t="str">
        <x:v>DuraVision Chrome UV</x:v>
      </x:c>
      <x:c r="L2947" s="40" t="n">
        <x:v>1810</x:v>
      </x:c>
      <x:c r="M2947" s="24" t="str">
        <x:v>-6.00 a +4.00</x:v>
      </x:c>
      <x:c r="N2947" s="24" t="str">
        <x:v>-4.00</x:v>
      </x:c>
      <x:c r="O2947" s="24" t="str">
        <x:v>0.75 a 3.50</x:v>
      </x:c>
      <x:c r="P2947" s="24" t="str">
        <x:v>75</x:v>
      </x:c>
      <x:c r="Q2947" s="24"/>
      <x:c r="R2947" s="24"/>
      <x:c r="S2947" s="26" t="n">
        <x:v>46113</x:v>
      </x:c>
      <x:c r="T2947" s="26"/>
      <x:c r="U2947" s="24" t="str">
        <x:v>ATIVA/SEM FIM INFORMADO</x:v>
      </x:c>
      <x:c r="V2947" s="24"/>
      <x:c r="W2947" s="24" t="n">
        <x:v>49</x:v>
      </x:c>
      <x:c r="X2947" s="24" t="str">
        <x:v>tabela_zeiss.pdf</x:v>
      </x:c>
      <x:c r="Y2947" s="24" t="str">
        <x:v>alta</x:v>
      </x:c>
      <x:c r="Z2947" s="24"/>
      <x:c r="AA2947" s="24" t="str">
        <x:v>ZEISS|Ocupacional|Surfaçada|OfficeLens Superb Room/Near||1.5|1.50|DuraVision Chrome UV|-6.00 a +4.00|-4.00|0.75 a 3.50|75|||49</x:v>
      </x:c>
    </x:row>
    <x:row r="2948">
      <x:c r="A2948" s="24" t="str">
        <x:v>ZS-144BAA2F78E4</x:v>
      </x:c>
      <x:c r="B2948" s="24" t="str">
        <x:v>SIM</x:v>
      </x:c>
      <x:c r="C2948" s="24" t="str">
        <x:v>DISPONÍVEL</x:v>
      </x:c>
      <x:c r="D2948" s="24" t="str">
        <x:v>ZEISS</x:v>
      </x:c>
      <x:c r="E2948" s="24" t="str">
        <x:v>Ocupacional</x:v>
      </x:c>
      <x:c r="F2948" s="24" t="str">
        <x:v>Surfaçada</x:v>
      </x:c>
      <x:c r="G2948" s="24" t="str">
        <x:v>OfficeLens Superb Room/Near</x:v>
      </x:c>
      <x:c r="H2948" s="24"/>
      <x:c r="I2948" s="24" t="str">
        <x:v>Poli</x:v>
      </x:c>
      <x:c r="J2948" s="24"/>
      <x:c r="K2948" s="24" t="str">
        <x:v>DuraVision Gold UV</x:v>
      </x:c>
      <x:c r="L2948" s="40" t="n">
        <x:v>3290</x:v>
      </x:c>
      <x:c r="M2948" s="24" t="str">
        <x:v>-10.00 a +6.00</x:v>
      </x:c>
      <x:c r="N2948" s="24" t="str">
        <x:v>-4.00</x:v>
      </x:c>
      <x:c r="O2948" s="24" t="str">
        <x:v>0.75 a 4.00</x:v>
      </x:c>
      <x:c r="P2948" s="24" t="str">
        <x:v>75</x:v>
      </x:c>
      <x:c r="Q2948" s="24"/>
      <x:c r="R2948" s="24"/>
      <x:c r="S2948" s="26" t="n">
        <x:v>46113</x:v>
      </x:c>
      <x:c r="T2948" s="26"/>
      <x:c r="U2948" s="24" t="str">
        <x:v>ATIVA/SEM FIM INFORMADO</x:v>
      </x:c>
      <x:c r="V2948" s="24"/>
      <x:c r="W2948" s="24" t="n">
        <x:v>49</x:v>
      </x:c>
      <x:c r="X2948" s="24" t="str">
        <x:v>tabela_zeiss.pdf</x:v>
      </x:c>
      <x:c r="Y2948" s="24" t="str">
        <x:v>alta</x:v>
      </x:c>
      <x:c r="Z2948" s="24"/>
      <x:c r="AA2948" s="24" t="str">
        <x:v>ZEISS|Ocupacional|Surfaçada|OfficeLens Superb Room/Near||Poli||DuraVision Gold UV|-10.00 a +6.00|-4.00|0.75 a 4.00|75|||49</x:v>
      </x:c>
    </x:row>
    <x:row r="2949">
      <x:c r="A2949" s="24" t="str">
        <x:v>ZS-C95D57D37E9A</x:v>
      </x:c>
      <x:c r="B2949" s="24" t="str">
        <x:v>SIM</x:v>
      </x:c>
      <x:c r="C2949" s="24" t="str">
        <x:v>DISPONÍVEL</x:v>
      </x:c>
      <x:c r="D2949" s="24" t="str">
        <x:v>ZEISS</x:v>
      </x:c>
      <x:c r="E2949" s="24" t="str">
        <x:v>Ocupacional</x:v>
      </x:c>
      <x:c r="F2949" s="24" t="str">
        <x:v>Surfaçada</x:v>
      </x:c>
      <x:c r="G2949" s="24" t="str">
        <x:v>OfficeLens Superb Room/Near</x:v>
      </x:c>
      <x:c r="H2949" s="24"/>
      <x:c r="I2949" s="24" t="str">
        <x:v>Poli</x:v>
      </x:c>
      <x:c r="J2949" s="24"/>
      <x:c r="K2949" s="24" t="str">
        <x:v>DuraVision Platinum UV</x:v>
      </x:c>
      <x:c r="L2949" s="40" t="n">
        <x:v>3150</x:v>
      </x:c>
      <x:c r="M2949" s="24" t="str">
        <x:v>-10.00 a +6.00</x:v>
      </x:c>
      <x:c r="N2949" s="24" t="str">
        <x:v>-4.00</x:v>
      </x:c>
      <x:c r="O2949" s="24" t="str">
        <x:v>0.75 a 4.00</x:v>
      </x:c>
      <x:c r="P2949" s="24" t="str">
        <x:v>75</x:v>
      </x:c>
      <x:c r="Q2949" s="24"/>
      <x:c r="R2949" s="24"/>
      <x:c r="S2949" s="26" t="n">
        <x:v>46113</x:v>
      </x:c>
      <x:c r="T2949" s="26"/>
      <x:c r="U2949" s="24" t="str">
        <x:v>ATIVA/SEM FIM INFORMADO</x:v>
      </x:c>
      <x:c r="V2949" s="24"/>
      <x:c r="W2949" s="24" t="n">
        <x:v>49</x:v>
      </x:c>
      <x:c r="X2949" s="24" t="str">
        <x:v>tabela_zeiss.pdf</x:v>
      </x:c>
      <x:c r="Y2949" s="24" t="str">
        <x:v>alta</x:v>
      </x:c>
      <x:c r="Z2949" s="24"/>
      <x:c r="AA2949" s="24" t="str">
        <x:v>ZEISS|Ocupacional|Surfaçada|OfficeLens Superb Room/Near||Poli||DuraVision Platinum UV|-10.00 a +6.00|-4.00|0.75 a 4.00|75|||49</x:v>
      </x:c>
    </x:row>
    <x:row r="2950">
      <x:c r="A2950" s="24" t="str">
        <x:v>ZS-7CD32D35BBEC</x:v>
      </x:c>
      <x:c r="B2950" s="24" t="str">
        <x:v>SIM</x:v>
      </x:c>
      <x:c r="C2950" s="24" t="str">
        <x:v>DISPONÍVEL</x:v>
      </x:c>
      <x:c r="D2950" s="24" t="str">
        <x:v>ZEISS</x:v>
      </x:c>
      <x:c r="E2950" s="24" t="str">
        <x:v>Ocupacional</x:v>
      </x:c>
      <x:c r="F2950" s="24" t="str">
        <x:v>Surfaçada</x:v>
      </x:c>
      <x:c r="G2950" s="24" t="str">
        <x:v>OfficeLens Superb Room/Near</x:v>
      </x:c>
      <x:c r="H2950" s="24"/>
      <x:c r="I2950" s="24" t="str">
        <x:v>Poli</x:v>
      </x:c>
      <x:c r="J2950" s="24"/>
      <x:c r="K2950" s="24" t="str">
        <x:v>DuraVision Silver UV</x:v>
      </x:c>
      <x:c r="L2950" s="40" t="n">
        <x:v>2890</x:v>
      </x:c>
      <x:c r="M2950" s="24" t="str">
        <x:v>-10.00 a +6.00</x:v>
      </x:c>
      <x:c r="N2950" s="24" t="str">
        <x:v>-4.00</x:v>
      </x:c>
      <x:c r="O2950" s="24" t="str">
        <x:v>0.75 a 4.00</x:v>
      </x:c>
      <x:c r="P2950" s="24" t="str">
        <x:v>75</x:v>
      </x:c>
      <x:c r="Q2950" s="24"/>
      <x:c r="R2950" s="24"/>
      <x:c r="S2950" s="26" t="n">
        <x:v>46113</x:v>
      </x:c>
      <x:c r="T2950" s="26"/>
      <x:c r="U2950" s="24" t="str">
        <x:v>ATIVA/SEM FIM INFORMADO</x:v>
      </x:c>
      <x:c r="V2950" s="24"/>
      <x:c r="W2950" s="24" t="n">
        <x:v>49</x:v>
      </x:c>
      <x:c r="X2950" s="24" t="str">
        <x:v>tabela_zeiss.pdf</x:v>
      </x:c>
      <x:c r="Y2950" s="24" t="str">
        <x:v>alta</x:v>
      </x:c>
      <x:c r="Z2950" s="24"/>
      <x:c r="AA2950" s="24" t="str">
        <x:v>ZEISS|Ocupacional|Surfaçada|OfficeLens Superb Room/Near||Poli||DuraVision Silver UV|-10.00 a +6.00|-4.00|0.75 a 4.00|75|||49</x:v>
      </x:c>
    </x:row>
    <x:row r="2951">
      <x:c r="A2951" s="24" t="str">
        <x:v>ZS-1E514E4E1488</x:v>
      </x:c>
      <x:c r="B2951" s="24" t="str">
        <x:v>SIM</x:v>
      </x:c>
      <x:c r="C2951" s="24" t="str">
        <x:v>DISPONÍVEL</x:v>
      </x:c>
      <x:c r="D2951" s="24" t="str">
        <x:v>ZEISS</x:v>
      </x:c>
      <x:c r="E2951" s="24" t="str">
        <x:v>Ocupacional</x:v>
      </x:c>
      <x:c r="F2951" s="24" t="str">
        <x:v>Surfaçada</x:v>
      </x:c>
      <x:c r="G2951" s="24" t="str">
        <x:v>OfficeLens Superb Room/Near</x:v>
      </x:c>
      <x:c r="H2951" s="24"/>
      <x:c r="I2951" s="24" t="str">
        <x:v>Poli</x:v>
      </x:c>
      <x:c r="J2951" s="24"/>
      <x:c r="K2951" s="24" t="str">
        <x:v>DuraVision Chrome UV</x:v>
      </x:c>
      <x:c r="L2951" s="40" t="n">
        <x:v>2400</x:v>
      </x:c>
      <x:c r="M2951" s="24" t="str">
        <x:v>-10.00 a +6.00</x:v>
      </x:c>
      <x:c r="N2951" s="24" t="str">
        <x:v>-4.00</x:v>
      </x:c>
      <x:c r="O2951" s="24" t="str">
        <x:v>0.75 a 4.00</x:v>
      </x:c>
      <x:c r="P2951" s="24" t="str">
        <x:v>75</x:v>
      </x:c>
      <x:c r="Q2951" s="24"/>
      <x:c r="R2951" s="24"/>
      <x:c r="S2951" s="26" t="n">
        <x:v>46113</x:v>
      </x:c>
      <x:c r="T2951" s="26"/>
      <x:c r="U2951" s="24" t="str">
        <x:v>ATIVA/SEM FIM INFORMADO</x:v>
      </x:c>
      <x:c r="V2951" s="24"/>
      <x:c r="W2951" s="24" t="n">
        <x:v>49</x:v>
      </x:c>
      <x:c r="X2951" s="24" t="str">
        <x:v>tabela_zeiss.pdf</x:v>
      </x:c>
      <x:c r="Y2951" s="24" t="str">
        <x:v>alta</x:v>
      </x:c>
      <x:c r="Z2951" s="24"/>
      <x:c r="AA2951" s="24" t="str">
        <x:v>ZEISS|Ocupacional|Surfaçada|OfficeLens Superb Room/Near||Poli||DuraVision Chrome UV|-10.00 a +6.00|-4.00|0.75 a 4.00|75|||49</x:v>
      </x:c>
    </x:row>
    <x:row r="2952">
      <x:c r="A2952" s="24" t="str">
        <x:v>ZS-E0B532CCF25E</x:v>
      </x:c>
      <x:c r="B2952" s="24" t="str">
        <x:v>SIM</x:v>
      </x:c>
      <x:c r="C2952" s="24" t="str">
        <x:v>DISPONÍVEL</x:v>
      </x:c>
      <x:c r="D2952" s="24" t="str">
        <x:v>ZEISS</x:v>
      </x:c>
      <x:c r="E2952" s="24" t="str">
        <x:v>Ocupacional</x:v>
      </x:c>
      <x:c r="F2952" s="24" t="str">
        <x:v>Surfaçada</x:v>
      </x:c>
      <x:c r="G2952" s="24" t="str">
        <x:v>OfficeLens Superb Room/Near</x:v>
      </x:c>
      <x:c r="H2952" s="24"/>
      <x:c r="I2952" s="24" t="str">
        <x:v>1.6</x:v>
      </x:c>
      <x:c r="J2952" s="24" t="str">
        <x:v>1.60</x:v>
      </x:c>
      <x:c r="K2952" s="24" t="str">
        <x:v>DuraVision Gold UV</x:v>
      </x:c>
      <x:c r="L2952" s="40" t="n">
        <x:v>3950</x:v>
      </x:c>
      <x:c r="M2952" s="24" t="str">
        <x:v>-5.00 a +6.00</x:v>
      </x:c>
      <x:c r="N2952" s="24" t="str">
        <x:v>-6.00</x:v>
      </x:c>
      <x:c r="O2952" s="24" t="str">
        <x:v>0.75 a 4.00</x:v>
      </x:c>
      <x:c r="P2952" s="24" t="str">
        <x:v>75</x:v>
      </x:c>
      <x:c r="Q2952" s="24"/>
      <x:c r="R2952" s="24"/>
      <x:c r="S2952" s="26" t="n">
        <x:v>46113</x:v>
      </x:c>
      <x:c r="T2952" s="26"/>
      <x:c r="U2952" s="24" t="str">
        <x:v>ATIVA/SEM FIM INFORMADO</x:v>
      </x:c>
      <x:c r="V2952" s="24"/>
      <x:c r="W2952" s="24" t="n">
        <x:v>49</x:v>
      </x:c>
      <x:c r="X2952" s="24" t="str">
        <x:v>tabela_zeiss.pdf</x:v>
      </x:c>
      <x:c r="Y2952" s="24" t="str">
        <x:v>alta</x:v>
      </x:c>
      <x:c r="Z2952" s="24"/>
      <x:c r="AA2952" s="24" t="str">
        <x:v>ZEISS|Ocupacional|Surfaçada|OfficeLens Superb Room/Near||1.6|1.60|DuraVision Gold UV|-5.00 a +6.00|-6.00|0.75 a 4.00|75|||49</x:v>
      </x:c>
    </x:row>
    <x:row r="2953">
      <x:c r="A2953" s="24" t="str">
        <x:v>ZS-5C6CD4686D1C</x:v>
      </x:c>
      <x:c r="B2953" s="24" t="str">
        <x:v>SIM</x:v>
      </x:c>
      <x:c r="C2953" s="24" t="str">
        <x:v>DISPONÍVEL</x:v>
      </x:c>
      <x:c r="D2953" s="24" t="str">
        <x:v>ZEISS</x:v>
      </x:c>
      <x:c r="E2953" s="24" t="str">
        <x:v>Ocupacional</x:v>
      </x:c>
      <x:c r="F2953" s="24" t="str">
        <x:v>Surfaçada</x:v>
      </x:c>
      <x:c r="G2953" s="24" t="str">
        <x:v>OfficeLens Superb Room/Near</x:v>
      </x:c>
      <x:c r="H2953" s="24"/>
      <x:c r="I2953" s="24" t="str">
        <x:v>1.6</x:v>
      </x:c>
      <x:c r="J2953" s="24" t="str">
        <x:v>1.60</x:v>
      </x:c>
      <x:c r="K2953" s="24" t="str">
        <x:v>DURAVISION® ANTIVÍRUS PLATINUM UV</x:v>
      </x:c>
      <x:c r="L2953" s="40" t="n">
        <x:v>3810</x:v>
      </x:c>
      <x:c r="M2953" s="24" t="str">
        <x:v>-5.00 a +6.00</x:v>
      </x:c>
      <x:c r="N2953" s="24" t="str">
        <x:v>-6.00</x:v>
      </x:c>
      <x:c r="O2953" s="24" t="str">
        <x:v>0.75 a 4.00</x:v>
      </x:c>
      <x:c r="P2953" s="24" t="str">
        <x:v>75</x:v>
      </x:c>
      <x:c r="Q2953" s="24"/>
      <x:c r="R2953" s="24"/>
      <x:c r="S2953" s="26" t="n">
        <x:v>46113</x:v>
      </x:c>
      <x:c r="T2953" s="26"/>
      <x:c r="U2953" s="24" t="str">
        <x:v>ATIVA/SEM FIM INFORMADO</x:v>
      </x:c>
      <x:c r="V2953" s="24"/>
      <x:c r="W2953" s="24" t="n">
        <x:v>49</x:v>
      </x:c>
      <x:c r="X2953" s="24" t="str">
        <x:v>tabela_zeiss.pdf</x:v>
      </x:c>
      <x:c r="Y2953" s="24" t="str">
        <x:v>alta</x:v>
      </x:c>
      <x:c r="Z2953" s="24"/>
      <x:c r="AA2953" s="24" t="str">
        <x:v>ZEISS|Ocupacional|Surfaçada|OfficeLens Superb Room/Near||1.6|1.60|DURAVISION® ANTIVÍRUS PLATINUM UV|-5.00 a +6.00|-6.00|0.75 a 4.00|75|||49</x:v>
      </x:c>
    </x:row>
    <x:row r="2954">
      <x:c r="A2954" s="24" t="str">
        <x:v>ZS-A8B23274FAF8</x:v>
      </x:c>
      <x:c r="B2954" s="24" t="str">
        <x:v>SIM</x:v>
      </x:c>
      <x:c r="C2954" s="24" t="str">
        <x:v>DISPONÍVEL</x:v>
      </x:c>
      <x:c r="D2954" s="24" t="str">
        <x:v>ZEISS</x:v>
      </x:c>
      <x:c r="E2954" s="24" t="str">
        <x:v>Ocupacional</x:v>
      </x:c>
      <x:c r="F2954" s="24" t="str">
        <x:v>Surfaçada</x:v>
      </x:c>
      <x:c r="G2954" s="24" t="str">
        <x:v>OfficeLens Superb Room/Near</x:v>
      </x:c>
      <x:c r="H2954" s="24"/>
      <x:c r="I2954" s="24" t="str">
        <x:v>1.6</x:v>
      </x:c>
      <x:c r="J2954" s="24" t="str">
        <x:v>1.60</x:v>
      </x:c>
      <x:c r="K2954" s="24" t="str">
        <x:v>DuraVision Platinum UV</x:v>
      </x:c>
      <x:c r="L2954" s="40" t="n">
        <x:v>3810</x:v>
      </x:c>
      <x:c r="M2954" s="24" t="str">
        <x:v>-5.00 a +6.00</x:v>
      </x:c>
      <x:c r="N2954" s="24" t="str">
        <x:v>-6.00</x:v>
      </x:c>
      <x:c r="O2954" s="24" t="str">
        <x:v>0.75 a 4.00</x:v>
      </x:c>
      <x:c r="P2954" s="24" t="str">
        <x:v>75</x:v>
      </x:c>
      <x:c r="Q2954" s="24"/>
      <x:c r="R2954" s="24"/>
      <x:c r="S2954" s="26" t="n">
        <x:v>46113</x:v>
      </x:c>
      <x:c r="T2954" s="26"/>
      <x:c r="U2954" s="24" t="str">
        <x:v>ATIVA/SEM FIM INFORMADO</x:v>
      </x:c>
      <x:c r="V2954" s="24"/>
      <x:c r="W2954" s="24" t="n">
        <x:v>49</x:v>
      </x:c>
      <x:c r="X2954" s="24" t="str">
        <x:v>tabela_zeiss.pdf</x:v>
      </x:c>
      <x:c r="Y2954" s="24" t="str">
        <x:v>alta</x:v>
      </x:c>
      <x:c r="Z2954" s="24"/>
      <x:c r="AA2954" s="24" t="str">
        <x:v>ZEISS|Ocupacional|Surfaçada|OfficeLens Superb Room/Near||1.6|1.60|DuraVision Platinum UV|-5.00 a +6.00|-6.00|0.75 a 4.00|75|||49</x:v>
      </x:c>
    </x:row>
    <x:row r="2955">
      <x:c r="A2955" s="24" t="str">
        <x:v>ZS-73F0E30663A5</x:v>
      </x:c>
      <x:c r="B2955" s="24" t="str">
        <x:v>SIM</x:v>
      </x:c>
      <x:c r="C2955" s="24" t="str">
        <x:v>DISPONÍVEL</x:v>
      </x:c>
      <x:c r="D2955" s="24" t="str">
        <x:v>ZEISS</x:v>
      </x:c>
      <x:c r="E2955" s="24" t="str">
        <x:v>Ocupacional</x:v>
      </x:c>
      <x:c r="F2955" s="24" t="str">
        <x:v>Surfaçada</x:v>
      </x:c>
      <x:c r="G2955" s="24" t="str">
        <x:v>OfficeLens Superb Room/Near</x:v>
      </x:c>
      <x:c r="H2955" s="24"/>
      <x:c r="I2955" s="24" t="str">
        <x:v>1.6</x:v>
      </x:c>
      <x:c r="J2955" s="24" t="str">
        <x:v>1.60</x:v>
      </x:c>
      <x:c r="K2955" s="24" t="str">
        <x:v>DuraVision Silver UV</x:v>
      </x:c>
      <x:c r="L2955" s="40" t="n">
        <x:v>3550</x:v>
      </x:c>
      <x:c r="M2955" s="24" t="str">
        <x:v>-5.00 a +6.00</x:v>
      </x:c>
      <x:c r="N2955" s="24" t="str">
        <x:v>-6.00</x:v>
      </x:c>
      <x:c r="O2955" s="24" t="str">
        <x:v>0.75 a 4.00</x:v>
      </x:c>
      <x:c r="P2955" s="24" t="str">
        <x:v>75</x:v>
      </x:c>
      <x:c r="Q2955" s="24"/>
      <x:c r="R2955" s="24"/>
      <x:c r="S2955" s="26" t="n">
        <x:v>46113</x:v>
      </x:c>
      <x:c r="T2955" s="26"/>
      <x:c r="U2955" s="24" t="str">
        <x:v>ATIVA/SEM FIM INFORMADO</x:v>
      </x:c>
      <x:c r="V2955" s="24"/>
      <x:c r="W2955" s="24" t="n">
        <x:v>49</x:v>
      </x:c>
      <x:c r="X2955" s="24" t="str">
        <x:v>tabela_zeiss.pdf</x:v>
      </x:c>
      <x:c r="Y2955" s="24" t="str">
        <x:v>alta</x:v>
      </x:c>
      <x:c r="Z2955" s="24"/>
      <x:c r="AA2955" s="24" t="str">
        <x:v>ZEISS|Ocupacional|Surfaçada|OfficeLens Superb Room/Near||1.6|1.60|DuraVision Silver UV|-5.00 a +6.00|-6.00|0.75 a 4.00|75|||49</x:v>
      </x:c>
    </x:row>
    <x:row r="2956">
      <x:c r="A2956" s="24" t="str">
        <x:v>ZS-BCE9D78811CC</x:v>
      </x:c>
      <x:c r="B2956" s="24" t="str">
        <x:v>SIM</x:v>
      </x:c>
      <x:c r="C2956" s="24" t="str">
        <x:v>DISPONÍVEL</x:v>
      </x:c>
      <x:c r="D2956" s="24" t="str">
        <x:v>ZEISS</x:v>
      </x:c>
      <x:c r="E2956" s="24" t="str">
        <x:v>Ocupacional</x:v>
      </x:c>
      <x:c r="F2956" s="24" t="str">
        <x:v>Surfaçada</x:v>
      </x:c>
      <x:c r="G2956" s="24" t="str">
        <x:v>OfficeLens Superb Room/Near</x:v>
      </x:c>
      <x:c r="H2956" s="24"/>
      <x:c r="I2956" s="24" t="str">
        <x:v>1.6</x:v>
      </x:c>
      <x:c r="J2956" s="24" t="str">
        <x:v>1.60</x:v>
      </x:c>
      <x:c r="K2956" s="24" t="str">
        <x:v>DuraVision Chrome UV</x:v>
      </x:c>
      <x:c r="L2956" s="40" t="n">
        <x:v>3060</x:v>
      </x:c>
      <x:c r="M2956" s="24" t="str">
        <x:v>-5.00 a +6.00</x:v>
      </x:c>
      <x:c r="N2956" s="24" t="str">
        <x:v>-6.00</x:v>
      </x:c>
      <x:c r="O2956" s="24" t="str">
        <x:v>0.75 a 4.00</x:v>
      </x:c>
      <x:c r="P2956" s="24" t="str">
        <x:v>75</x:v>
      </x:c>
      <x:c r="Q2956" s="24"/>
      <x:c r="R2956" s="24"/>
      <x:c r="S2956" s="26" t="n">
        <x:v>46113</x:v>
      </x:c>
      <x:c r="T2956" s="26"/>
      <x:c r="U2956" s="24" t="str">
        <x:v>ATIVA/SEM FIM INFORMADO</x:v>
      </x:c>
      <x:c r="V2956" s="24"/>
      <x:c r="W2956" s="24" t="n">
        <x:v>49</x:v>
      </x:c>
      <x:c r="X2956" s="24" t="str">
        <x:v>tabela_zeiss.pdf</x:v>
      </x:c>
      <x:c r="Y2956" s="24" t="str">
        <x:v>alta</x:v>
      </x:c>
      <x:c r="Z2956" s="24"/>
      <x:c r="AA2956" s="24" t="str">
        <x:v>ZEISS|Ocupacional|Surfaçada|OfficeLens Superb Room/Near||1.6|1.60|DuraVision Chrome UV|-5.00 a +6.00|-6.00|0.75 a 4.00|75|||49</x:v>
      </x:c>
    </x:row>
    <x:row r="2957">
      <x:c r="A2957" s="24" t="str">
        <x:v>ZS-A12C0E8ABFD8</x:v>
      </x:c>
      <x:c r="B2957" s="24" t="str">
        <x:v>SIM</x:v>
      </x:c>
      <x:c r="C2957" s="24" t="str">
        <x:v>DISPONÍVEL</x:v>
      </x:c>
      <x:c r="D2957" s="24" t="str">
        <x:v>ZEISS</x:v>
      </x:c>
      <x:c r="E2957" s="24" t="str">
        <x:v>Ocupacional</x:v>
      </x:c>
      <x:c r="F2957" s="24" t="str">
        <x:v>Surfaçada</x:v>
      </x:c>
      <x:c r="G2957" s="24" t="str">
        <x:v>OfficeLens Superb Room/Near</x:v>
      </x:c>
      <x:c r="H2957" s="24"/>
      <x:c r="I2957" s="24" t="str">
        <x:v>1.67</x:v>
      </x:c>
      <x:c r="J2957" s="24" t="str">
        <x:v>1.67</x:v>
      </x:c>
      <x:c r="K2957" s="24" t="str">
        <x:v>DuraVision Gold UV</x:v>
      </x:c>
      <x:c r="L2957" s="40" t="n">
        <x:v>5590</x:v>
      </x:c>
      <x:c r="M2957" s="24" t="str">
        <x:v>-8.00 a +8.00</x:v>
      </x:c>
      <x:c r="N2957" s="24" t="str">
        <x:v>-6.00</x:v>
      </x:c>
      <x:c r="O2957" s="24" t="str">
        <x:v>0.75 a 3.50</x:v>
      </x:c>
      <x:c r="P2957" s="24" t="str">
        <x:v>70</x:v>
      </x:c>
      <x:c r="Q2957" s="24"/>
      <x:c r="R2957" s="24"/>
      <x:c r="S2957" s="26" t="n">
        <x:v>46113</x:v>
      </x:c>
      <x:c r="T2957" s="26"/>
      <x:c r="U2957" s="24" t="str">
        <x:v>ATIVA/SEM FIM INFORMADO</x:v>
      </x:c>
      <x:c r="V2957" s="24"/>
      <x:c r="W2957" s="24" t="n">
        <x:v>49</x:v>
      </x:c>
      <x:c r="X2957" s="24" t="str">
        <x:v>tabela_zeiss.pdf</x:v>
      </x:c>
      <x:c r="Y2957" s="24" t="str">
        <x:v>alta</x:v>
      </x:c>
      <x:c r="Z2957" s="24"/>
      <x:c r="AA2957" s="24" t="str">
        <x:v>ZEISS|Ocupacional|Surfaçada|OfficeLens Superb Room/Near||1.67|1.67|DuraVision Gold UV|-8.00 a +8.00|-6.00|0.75 a 3.50|70|||49</x:v>
      </x:c>
    </x:row>
    <x:row r="2958">
      <x:c r="A2958" s="24" t="str">
        <x:v>ZS-6D608625062E</x:v>
      </x:c>
      <x:c r="B2958" s="24" t="str">
        <x:v>SIM</x:v>
      </x:c>
      <x:c r="C2958" s="24" t="str">
        <x:v>DISPONÍVEL</x:v>
      </x:c>
      <x:c r="D2958" s="24" t="str">
        <x:v>ZEISS</x:v>
      </x:c>
      <x:c r="E2958" s="24" t="str">
        <x:v>Ocupacional</x:v>
      </x:c>
      <x:c r="F2958" s="24" t="str">
        <x:v>Surfaçada</x:v>
      </x:c>
      <x:c r="G2958" s="24" t="str">
        <x:v>OfficeLens Superb Room/Near</x:v>
      </x:c>
      <x:c r="H2958" s="24"/>
      <x:c r="I2958" s="24" t="str">
        <x:v>1.67</x:v>
      </x:c>
      <x:c r="J2958" s="24" t="str">
        <x:v>1.67</x:v>
      </x:c>
      <x:c r="K2958" s="24" t="str">
        <x:v>DURAVISION® ANTIVÍRUS PLATINUM UV</x:v>
      </x:c>
      <x:c r="L2958" s="40" t="n">
        <x:v>5450</x:v>
      </x:c>
      <x:c r="M2958" s="24" t="str">
        <x:v>-8.00 a +8.00</x:v>
      </x:c>
      <x:c r="N2958" s="24" t="str">
        <x:v>-6.00</x:v>
      </x:c>
      <x:c r="O2958" s="24" t="str">
        <x:v>0.75 a 3.50</x:v>
      </x:c>
      <x:c r="P2958" s="24" t="str">
        <x:v>70</x:v>
      </x:c>
      <x:c r="Q2958" s="24"/>
      <x:c r="R2958" s="24"/>
      <x:c r="S2958" s="26" t="n">
        <x:v>46113</x:v>
      </x:c>
      <x:c r="T2958" s="26"/>
      <x:c r="U2958" s="24" t="str">
        <x:v>ATIVA/SEM FIM INFORMADO</x:v>
      </x:c>
      <x:c r="V2958" s="24"/>
      <x:c r="W2958" s="24" t="n">
        <x:v>49</x:v>
      </x:c>
      <x:c r="X2958" s="24" t="str">
        <x:v>tabela_zeiss.pdf</x:v>
      </x:c>
      <x:c r="Y2958" s="24" t="str">
        <x:v>alta</x:v>
      </x:c>
      <x:c r="Z2958" s="24"/>
      <x:c r="AA2958" s="24" t="str">
        <x:v>ZEISS|Ocupacional|Surfaçada|OfficeLens Superb Room/Near||1.67|1.67|DURAVISION® ANTIVÍRUS PLATINUM UV|-8.00 a +8.00|-6.00|0.75 a 3.50|70|||49</x:v>
      </x:c>
    </x:row>
    <x:row r="2959">
      <x:c r="A2959" s="24" t="str">
        <x:v>ZS-15F4F3B2C6B1</x:v>
      </x:c>
      <x:c r="B2959" s="24" t="str">
        <x:v>SIM</x:v>
      </x:c>
      <x:c r="C2959" s="24" t="str">
        <x:v>DISPONÍVEL</x:v>
      </x:c>
      <x:c r="D2959" s="24" t="str">
        <x:v>ZEISS</x:v>
      </x:c>
      <x:c r="E2959" s="24" t="str">
        <x:v>Ocupacional</x:v>
      </x:c>
      <x:c r="F2959" s="24" t="str">
        <x:v>Surfaçada</x:v>
      </x:c>
      <x:c r="G2959" s="24" t="str">
        <x:v>OfficeLens Superb Room/Near</x:v>
      </x:c>
      <x:c r="H2959" s="24"/>
      <x:c r="I2959" s="24" t="str">
        <x:v>1.67</x:v>
      </x:c>
      <x:c r="J2959" s="24" t="str">
        <x:v>1.67</x:v>
      </x:c>
      <x:c r="K2959" s="24" t="str">
        <x:v>DuraVision Platinum UV</x:v>
      </x:c>
      <x:c r="L2959" s="40" t="n">
        <x:v>5450</x:v>
      </x:c>
      <x:c r="M2959" s="24" t="str">
        <x:v>-8.00 a +8.00</x:v>
      </x:c>
      <x:c r="N2959" s="24" t="str">
        <x:v>-6.00</x:v>
      </x:c>
      <x:c r="O2959" s="24" t="str">
        <x:v>0.75 a 3.50</x:v>
      </x:c>
      <x:c r="P2959" s="24" t="str">
        <x:v>70</x:v>
      </x:c>
      <x:c r="Q2959" s="24"/>
      <x:c r="R2959" s="24"/>
      <x:c r="S2959" s="26" t="n">
        <x:v>46113</x:v>
      </x:c>
      <x:c r="T2959" s="26"/>
      <x:c r="U2959" s="24" t="str">
        <x:v>ATIVA/SEM FIM INFORMADO</x:v>
      </x:c>
      <x:c r="V2959" s="24"/>
      <x:c r="W2959" s="24" t="n">
        <x:v>49</x:v>
      </x:c>
      <x:c r="X2959" s="24" t="str">
        <x:v>tabela_zeiss.pdf</x:v>
      </x:c>
      <x:c r="Y2959" s="24" t="str">
        <x:v>alta</x:v>
      </x:c>
      <x:c r="Z2959" s="24"/>
      <x:c r="AA2959" s="24" t="str">
        <x:v>ZEISS|Ocupacional|Surfaçada|OfficeLens Superb Room/Near||1.67|1.67|DuraVision Platinum UV|-8.00 a +8.00|-6.00|0.75 a 3.50|70|||49</x:v>
      </x:c>
    </x:row>
    <x:row r="2960">
      <x:c r="A2960" s="24" t="str">
        <x:v>ZS-247B1AB7083C</x:v>
      </x:c>
      <x:c r="B2960" s="24" t="str">
        <x:v>SIM</x:v>
      </x:c>
      <x:c r="C2960" s="24" t="str">
        <x:v>DISPONÍVEL</x:v>
      </x:c>
      <x:c r="D2960" s="24" t="str">
        <x:v>ZEISS</x:v>
      </x:c>
      <x:c r="E2960" s="24" t="str">
        <x:v>Ocupacional</x:v>
      </x:c>
      <x:c r="F2960" s="24" t="str">
        <x:v>Surfaçada</x:v>
      </x:c>
      <x:c r="G2960" s="24" t="str">
        <x:v>OfficeLens Superb Room/Near</x:v>
      </x:c>
      <x:c r="H2960" s="24"/>
      <x:c r="I2960" s="24" t="str">
        <x:v>1.67</x:v>
      </x:c>
      <x:c r="J2960" s="24" t="str">
        <x:v>1.67</x:v>
      </x:c>
      <x:c r="K2960" s="24" t="str">
        <x:v>DuraVision Silver UV</x:v>
      </x:c>
      <x:c r="L2960" s="40" t="n">
        <x:v>5190</x:v>
      </x:c>
      <x:c r="M2960" s="24" t="str">
        <x:v>-8.00 a +8.00</x:v>
      </x:c>
      <x:c r="N2960" s="24" t="str">
        <x:v>-6.00</x:v>
      </x:c>
      <x:c r="O2960" s="24" t="str">
        <x:v>0.75 a 3.50</x:v>
      </x:c>
      <x:c r="P2960" s="24" t="str">
        <x:v>70</x:v>
      </x:c>
      <x:c r="Q2960" s="24"/>
      <x:c r="R2960" s="24"/>
      <x:c r="S2960" s="26" t="n">
        <x:v>46113</x:v>
      </x:c>
      <x:c r="T2960" s="26"/>
      <x:c r="U2960" s="24" t="str">
        <x:v>ATIVA/SEM FIM INFORMADO</x:v>
      </x:c>
      <x:c r="V2960" s="24"/>
      <x:c r="W2960" s="24" t="n">
        <x:v>49</x:v>
      </x:c>
      <x:c r="X2960" s="24" t="str">
        <x:v>tabela_zeiss.pdf</x:v>
      </x:c>
      <x:c r="Y2960" s="24" t="str">
        <x:v>alta</x:v>
      </x:c>
      <x:c r="Z2960" s="24"/>
      <x:c r="AA2960" s="24" t="str">
        <x:v>ZEISS|Ocupacional|Surfaçada|OfficeLens Superb Room/Near||1.67|1.67|DuraVision Silver UV|-8.00 a +8.00|-6.00|0.75 a 3.50|70|||49</x:v>
      </x:c>
    </x:row>
    <x:row r="2961">
      <x:c r="A2961" s="24" t="str">
        <x:v>ZS-D733E1E481B7</x:v>
      </x:c>
      <x:c r="B2961" s="24" t="str">
        <x:v>SIM</x:v>
      </x:c>
      <x:c r="C2961" s="24" t="str">
        <x:v>DISPONÍVEL</x:v>
      </x:c>
      <x:c r="D2961" s="24" t="str">
        <x:v>ZEISS</x:v>
      </x:c>
      <x:c r="E2961" s="24" t="str">
        <x:v>Ocupacional</x:v>
      </x:c>
      <x:c r="F2961" s="24" t="str">
        <x:v>Surfaçada</x:v>
      </x:c>
      <x:c r="G2961" s="24" t="str">
        <x:v>OfficeLens Superb Room/Near</x:v>
      </x:c>
      <x:c r="H2961" s="24"/>
      <x:c r="I2961" s="24" t="str">
        <x:v>1.67</x:v>
      </x:c>
      <x:c r="J2961" s="24" t="str">
        <x:v>1.67</x:v>
      </x:c>
      <x:c r="K2961" s="24" t="str">
        <x:v>DuraVision Chrome UV</x:v>
      </x:c>
      <x:c r="L2961" s="40" t="n">
        <x:v>4700</x:v>
      </x:c>
      <x:c r="M2961" s="24" t="str">
        <x:v>-8.00 a +8.00</x:v>
      </x:c>
      <x:c r="N2961" s="24" t="str">
        <x:v>-6.00</x:v>
      </x:c>
      <x:c r="O2961" s="24" t="str">
        <x:v>0.75 a 3.50</x:v>
      </x:c>
      <x:c r="P2961" s="24" t="str">
        <x:v>70</x:v>
      </x:c>
      <x:c r="Q2961" s="24"/>
      <x:c r="R2961" s="24"/>
      <x:c r="S2961" s="26" t="n">
        <x:v>46113</x:v>
      </x:c>
      <x:c r="T2961" s="26"/>
      <x:c r="U2961" s="24" t="str">
        <x:v>ATIVA/SEM FIM INFORMADO</x:v>
      </x:c>
      <x:c r="V2961" s="24"/>
      <x:c r="W2961" s="24" t="n">
        <x:v>49</x:v>
      </x:c>
      <x:c r="X2961" s="24" t="str">
        <x:v>tabela_zeiss.pdf</x:v>
      </x:c>
      <x:c r="Y2961" s="24" t="str">
        <x:v>alta</x:v>
      </x:c>
      <x:c r="Z2961" s="24"/>
      <x:c r="AA2961" s="24" t="str">
        <x:v>ZEISS|Ocupacional|Surfaçada|OfficeLens Superb Room/Near||1.67|1.67|DuraVision Chrome UV|-8.00 a +8.00|-6.00|0.75 a 3.50|70|||49</x:v>
      </x:c>
    </x:row>
    <x:row r="2962">
      <x:c r="A2962" s="24" t="str">
        <x:v>ZS-FF88EBD8004A</x:v>
      </x:c>
      <x:c r="B2962" s="24" t="str">
        <x:v>SIM</x:v>
      </x:c>
      <x:c r="C2962" s="24" t="str">
        <x:v>DISPONÍVEL</x:v>
      </x:c>
      <x:c r="D2962" s="24" t="str">
        <x:v>ZEISS</x:v>
      </x:c>
      <x:c r="E2962" s="24" t="str">
        <x:v>Ocupacional</x:v>
      </x:c>
      <x:c r="F2962" s="24" t="str">
        <x:v>Surfaçada</x:v>
      </x:c>
      <x:c r="G2962" s="24" t="str">
        <x:v>OfficeLens Superb Room/Near</x:v>
      </x:c>
      <x:c r="H2962" s="24"/>
      <x:c r="I2962" s="24" t="str">
        <x:v>1.74</x:v>
      </x:c>
      <x:c r="J2962" s="24" t="str">
        <x:v>1.74</x:v>
      </x:c>
      <x:c r="K2962" s="24" t="str">
        <x:v>DuraVision Gold UV</x:v>
      </x:c>
      <x:c r="L2962" s="40" t="n">
        <x:v>7190</x:v>
      </x:c>
      <x:c r="M2962" s="24" t="str">
        <x:v>-10.00 a +7.00</x:v>
      </x:c>
      <x:c r="N2962" s="24" t="str">
        <x:v>-4.00</x:v>
      </x:c>
      <x:c r="O2962" s="24" t="str">
        <x:v>0.75 a 3.50</x:v>
      </x:c>
      <x:c r="P2962" s="24" t="str">
        <x:v>70 a 75</x:v>
      </x:c>
      <x:c r="Q2962" s="24"/>
      <x:c r="R2962" s="24"/>
      <x:c r="S2962" s="26" t="n">
        <x:v>46113</x:v>
      </x:c>
      <x:c r="T2962" s="26"/>
      <x:c r="U2962" s="24" t="str">
        <x:v>ATIVA/SEM FIM INFORMADO</x:v>
      </x:c>
      <x:c r="V2962" s="24"/>
      <x:c r="W2962" s="24" t="n">
        <x:v>49</x:v>
      </x:c>
      <x:c r="X2962" s="24" t="str">
        <x:v>tabela_zeiss.pdf</x:v>
      </x:c>
      <x:c r="Y2962" s="24" t="str">
        <x:v>alta</x:v>
      </x:c>
      <x:c r="Z2962" s="24"/>
      <x:c r="AA2962" s="24" t="str">
        <x:v>ZEISS|Ocupacional|Surfaçada|OfficeLens Superb Room/Near||1.74|1.74|DuraVision Gold UV|-10.00 a +7.00|-4.00|0.75 a 3.50|70 a 75|||49</x:v>
      </x:c>
    </x:row>
    <x:row r="2963">
      <x:c r="A2963" s="24" t="str">
        <x:v>ZS-5175B387F7B0</x:v>
      </x:c>
      <x:c r="B2963" s="24" t="str">
        <x:v>SIM</x:v>
      </x:c>
      <x:c r="C2963" s="24" t="str">
        <x:v>DISPONÍVEL</x:v>
      </x:c>
      <x:c r="D2963" s="24" t="str">
        <x:v>ZEISS</x:v>
      </x:c>
      <x:c r="E2963" s="24" t="str">
        <x:v>Ocupacional</x:v>
      </x:c>
      <x:c r="F2963" s="24" t="str">
        <x:v>Surfaçada</x:v>
      </x:c>
      <x:c r="G2963" s="24" t="str">
        <x:v>OfficeLens Superb Room/Near</x:v>
      </x:c>
      <x:c r="H2963" s="24"/>
      <x:c r="I2963" s="24" t="str">
        <x:v>1.74</x:v>
      </x:c>
      <x:c r="J2963" s="24" t="str">
        <x:v>1.74</x:v>
      </x:c>
      <x:c r="K2963" s="24" t="str">
        <x:v>DuraVision Platinum UV</x:v>
      </x:c>
      <x:c r="L2963" s="40" t="n">
        <x:v>7050</x:v>
      </x:c>
      <x:c r="M2963" s="24" t="str">
        <x:v>-10.00 a +7.00</x:v>
      </x:c>
      <x:c r="N2963" s="24" t="str">
        <x:v>-4.00</x:v>
      </x:c>
      <x:c r="O2963" s="24" t="str">
        <x:v>0.75 a 3.50</x:v>
      </x:c>
      <x:c r="P2963" s="24" t="str">
        <x:v>70 a 75</x:v>
      </x:c>
      <x:c r="Q2963" s="24"/>
      <x:c r="R2963" s="24"/>
      <x:c r="S2963" s="26" t="n">
        <x:v>46113</x:v>
      </x:c>
      <x:c r="T2963" s="26"/>
      <x:c r="U2963" s="24" t="str">
        <x:v>ATIVA/SEM FIM INFORMADO</x:v>
      </x:c>
      <x:c r="V2963" s="24"/>
      <x:c r="W2963" s="24" t="n">
        <x:v>49</x:v>
      </x:c>
      <x:c r="X2963" s="24" t="str">
        <x:v>tabela_zeiss.pdf</x:v>
      </x:c>
      <x:c r="Y2963" s="24" t="str">
        <x:v>alta</x:v>
      </x:c>
      <x:c r="Z2963" s="24"/>
      <x:c r="AA2963" s="24" t="str">
        <x:v>ZEISS|Ocupacional|Surfaçada|OfficeLens Superb Room/Near||1.74|1.74|DuraVision Platinum UV|-10.00 a +7.00|-4.00|0.75 a 3.50|70 a 75|||49</x:v>
      </x:c>
    </x:row>
    <x:row r="2964">
      <x:c r="A2964" s="24" t="str">
        <x:v>ZS-BEF0E51FE647</x:v>
      </x:c>
      <x:c r="B2964" s="24" t="str">
        <x:v>SIM</x:v>
      </x:c>
      <x:c r="C2964" s="24" t="str">
        <x:v>DISPONÍVEL</x:v>
      </x:c>
      <x:c r="D2964" s="24" t="str">
        <x:v>ZEISS</x:v>
      </x:c>
      <x:c r="E2964" s="24" t="str">
        <x:v>Ocupacional</x:v>
      </x:c>
      <x:c r="F2964" s="24" t="str">
        <x:v>Surfaçada</x:v>
      </x:c>
      <x:c r="G2964" s="24" t="str">
        <x:v>OfficeLens Superb Room/Near</x:v>
      </x:c>
      <x:c r="H2964" s="24"/>
      <x:c r="I2964" s="24" t="str">
        <x:v>1.74</x:v>
      </x:c>
      <x:c r="J2964" s="24" t="str">
        <x:v>1.74</x:v>
      </x:c>
      <x:c r="K2964" s="24" t="str">
        <x:v>DuraVision Silver UV</x:v>
      </x:c>
      <x:c r="L2964" s="40" t="n">
        <x:v>6790</x:v>
      </x:c>
      <x:c r="M2964" s="24" t="str">
        <x:v>-10.00 a +7.00</x:v>
      </x:c>
      <x:c r="N2964" s="24" t="str">
        <x:v>-4.00</x:v>
      </x:c>
      <x:c r="O2964" s="24" t="str">
        <x:v>0.75 a 3.50</x:v>
      </x:c>
      <x:c r="P2964" s="24" t="str">
        <x:v>70 a 75</x:v>
      </x:c>
      <x:c r="Q2964" s="24"/>
      <x:c r="R2964" s="24"/>
      <x:c r="S2964" s="26" t="n">
        <x:v>46113</x:v>
      </x:c>
      <x:c r="T2964" s="26"/>
      <x:c r="U2964" s="24" t="str">
        <x:v>ATIVA/SEM FIM INFORMADO</x:v>
      </x:c>
      <x:c r="V2964" s="24"/>
      <x:c r="W2964" s="24" t="n">
        <x:v>49</x:v>
      </x:c>
      <x:c r="X2964" s="24" t="str">
        <x:v>tabela_zeiss.pdf</x:v>
      </x:c>
      <x:c r="Y2964" s="24" t="str">
        <x:v>alta</x:v>
      </x:c>
      <x:c r="Z2964" s="24"/>
      <x:c r="AA2964" s="24" t="str">
        <x:v>ZEISS|Ocupacional|Surfaçada|OfficeLens Superb Room/Near||1.74|1.74|DuraVision Silver UV|-10.00 a +7.00|-4.00|0.75 a 3.50|70 a 75|||49</x:v>
      </x:c>
    </x:row>
    <x:row r="2965">
      <x:c r="A2965" s="24" t="str">
        <x:v>ZS-A2DE5CE2B163</x:v>
      </x:c>
      <x:c r="B2965" s="24" t="str">
        <x:v>SIM</x:v>
      </x:c>
      <x:c r="C2965" s="24" t="str">
        <x:v>DISPONÍVEL</x:v>
      </x:c>
      <x:c r="D2965" s="24" t="str">
        <x:v>ZEISS</x:v>
      </x:c>
      <x:c r="E2965" s="24" t="str">
        <x:v>Ocupacional</x:v>
      </x:c>
      <x:c r="F2965" s="24" t="str">
        <x:v>Surfaçada</x:v>
      </x:c>
      <x:c r="G2965" s="24" t="str">
        <x:v>OfficeLens Superb Room/Near</x:v>
      </x:c>
      <x:c r="H2965" s="24"/>
      <x:c r="I2965" s="24" t="str">
        <x:v>1.74</x:v>
      </x:c>
      <x:c r="J2965" s="24" t="str">
        <x:v>1.74</x:v>
      </x:c>
      <x:c r="K2965" s="24" t="str">
        <x:v>DuraVision Chrome UV</x:v>
      </x:c>
      <x:c r="L2965" s="40" t="n">
        <x:v>6300</x:v>
      </x:c>
      <x:c r="M2965" s="24" t="str">
        <x:v>-10.00 a +7.00</x:v>
      </x:c>
      <x:c r="N2965" s="24" t="str">
        <x:v>-4.00</x:v>
      </x:c>
      <x:c r="O2965" s="24" t="str">
        <x:v>0.75 a 3.50</x:v>
      </x:c>
      <x:c r="P2965" s="24" t="str">
        <x:v>70 a 75</x:v>
      </x:c>
      <x:c r="Q2965" s="24"/>
      <x:c r="R2965" s="24"/>
      <x:c r="S2965" s="26" t="n">
        <x:v>46113</x:v>
      </x:c>
      <x:c r="T2965" s="26"/>
      <x:c r="U2965" s="24" t="str">
        <x:v>ATIVA/SEM FIM INFORMADO</x:v>
      </x:c>
      <x:c r="V2965" s="24"/>
      <x:c r="W2965" s="24" t="n">
        <x:v>49</x:v>
      </x:c>
      <x:c r="X2965" s="24" t="str">
        <x:v>tabela_zeiss.pdf</x:v>
      </x:c>
      <x:c r="Y2965" s="24" t="str">
        <x:v>alta</x:v>
      </x:c>
      <x:c r="Z2965" s="24"/>
      <x:c r="AA2965" s="24" t="str">
        <x:v>ZEISS|Ocupacional|Surfaçada|OfficeLens Superb Room/Near||1.74|1.74|DuraVision Chrome UV|-10.00 a +7.00|-4.00|0.75 a 3.50|70 a 75|||49</x:v>
      </x:c>
    </x:row>
    <x:row r="2966">
      <x:c r="A2966" s="24" t="str">
        <x:v>ZS-007F9D8A263D</x:v>
      </x:c>
      <x:c r="B2966" s="24" t="str">
        <x:v>SIM</x:v>
      </x:c>
      <x:c r="C2966" s="24" t="str">
        <x:v>DISPONÍVEL</x:v>
      </x:c>
      <x:c r="D2966" s="24" t="str">
        <x:v>ZEISS</x:v>
      </x:c>
      <x:c r="E2966" s="24" t="str">
        <x:v>Progressiva Especial</x:v>
      </x:c>
      <x:c r="F2966" s="24" t="str">
        <x:v>Surfaçada</x:v>
      </x:c>
      <x:c r="G2966" s="24" t="str">
        <x:v>Individual DriveSafe</x:v>
      </x:c>
      <x:c r="H2966" s="24"/>
      <x:c r="I2966" s="24" t="str">
        <x:v>1.5</x:v>
      </x:c>
      <x:c r="J2966" s="24" t="str">
        <x:v>1.50</x:v>
      </x:c>
      <x:c r="K2966" s="24" t="str">
        <x:v>DURAVISION® DRIVESAFE</x:v>
      </x:c>
      <x:c r="L2966" s="40" t="n">
        <x:v>4990</x:v>
      </x:c>
      <x:c r="M2966" s="24" t="str">
        <x:v>-6.00 a +4.00</x:v>
      </x:c>
      <x:c r="N2966" s="24" t="str">
        <x:v>-4.00</x:v>
      </x:c>
      <x:c r="O2966" s="24" t="str">
        <x:v>0.75 a 3.50</x:v>
      </x:c>
      <x:c r="P2966" s="24" t="str">
        <x:v>75</x:v>
      </x:c>
      <x:c r="Q2966" s="24"/>
      <x:c r="R2966" s="24"/>
      <x:c r="S2966" s="26" t="n">
        <x:v>46113</x:v>
      </x:c>
      <x:c r="T2966" s="26"/>
      <x:c r="U2966" s="24" t="str">
        <x:v>ATIVA/SEM FIM INFORMADO</x:v>
      </x:c>
      <x:c r="V2966" s="24"/>
      <x:c r="W2966" s="24" t="n">
        <x:v>50</x:v>
      </x:c>
      <x:c r="X2966" s="24" t="str">
        <x:v>tabela_zeiss.pdf</x:v>
      </x:c>
      <x:c r="Y2966" s="24" t="str">
        <x:v>alta</x:v>
      </x:c>
      <x:c r="Z2966" s="24"/>
      <x:c r="AA2966" s="24" t="str">
        <x:v>ZEISS|Progressiva Especial|Surfaçada|Individual DriveSafe||1.5|1.50|DURAVISION® DRIVESAFE|-6.00 a +4.00|-4.00|0.75 a 3.50|75|||50</x:v>
      </x:c>
    </x:row>
    <x:row r="2967">
      <x:c r="A2967" s="24" t="str">
        <x:v>ZS-A194CFE46EB1</x:v>
      </x:c>
      <x:c r="B2967" s="24" t="str">
        <x:v>SIM</x:v>
      </x:c>
      <x:c r="C2967" s="24" t="str">
        <x:v>DISPONÍVEL</x:v>
      </x:c>
      <x:c r="D2967" s="24" t="str">
        <x:v>ZEISS</x:v>
      </x:c>
      <x:c r="E2967" s="24" t="str">
        <x:v>Progressiva Especial</x:v>
      </x:c>
      <x:c r="F2967" s="24" t="str">
        <x:v>Surfaçada</x:v>
      </x:c>
      <x:c r="G2967" s="24" t="str">
        <x:v>Individual DriveSafe</x:v>
      </x:c>
      <x:c r="H2967" s="24"/>
      <x:c r="I2967" s="24" t="str">
        <x:v>Poli</x:v>
      </x:c>
      <x:c r="J2967" s="24"/>
      <x:c r="K2967" s="24" t="str">
        <x:v>DURAVISION® DRIVESAFE</x:v>
      </x:c>
      <x:c r="L2967" s="40" t="n">
        <x:v>5350</x:v>
      </x:c>
      <x:c r="M2967" s="24" t="str">
        <x:v>-10.00 a +6.00</x:v>
      </x:c>
      <x:c r="N2967" s="24" t="str">
        <x:v>-6.00</x:v>
      </x:c>
      <x:c r="O2967" s="24" t="str">
        <x:v>0.75 a 3.00</x:v>
      </x:c>
      <x:c r="P2967" s="24" t="str">
        <x:v>70</x:v>
      </x:c>
      <x:c r="Q2967" s="24"/>
      <x:c r="R2967" s="24"/>
      <x:c r="S2967" s="26" t="n">
        <x:v>46113</x:v>
      </x:c>
      <x:c r="T2967" s="26"/>
      <x:c r="U2967" s="24" t="str">
        <x:v>ATIVA/SEM FIM INFORMADO</x:v>
      </x:c>
      <x:c r="V2967" s="24"/>
      <x:c r="W2967" s="24" t="n">
        <x:v>50</x:v>
      </x:c>
      <x:c r="X2967" s="24" t="str">
        <x:v>tabela_zeiss.pdf</x:v>
      </x:c>
      <x:c r="Y2967" s="24" t="str">
        <x:v>alta</x:v>
      </x:c>
      <x:c r="Z2967" s="24"/>
      <x:c r="AA2967" s="24" t="str">
        <x:v>ZEISS|Progressiva Especial|Surfaçada|Individual DriveSafe||Poli||DURAVISION® DRIVESAFE|-10.00 a +6.00|-6.00|0.75 a 3.00|70|||50</x:v>
      </x:c>
    </x:row>
    <x:row r="2968">
      <x:c r="A2968" s="24" t="str">
        <x:v>ZS-29281E8AA372</x:v>
      </x:c>
      <x:c r="B2968" s="24" t="str">
        <x:v>SIM</x:v>
      </x:c>
      <x:c r="C2968" s="24" t="str">
        <x:v>DISPONÍVEL</x:v>
      </x:c>
      <x:c r="D2968" s="24" t="str">
        <x:v>ZEISS</x:v>
      </x:c>
      <x:c r="E2968" s="24" t="str">
        <x:v>Progressiva Especial</x:v>
      </x:c>
      <x:c r="F2968" s="24" t="str">
        <x:v>Surfaçada</x:v>
      </x:c>
      <x:c r="G2968" s="24" t="str">
        <x:v>Individual DriveSafe</x:v>
      </x:c>
      <x:c r="H2968" s="24"/>
      <x:c r="I2968" s="24" t="str">
        <x:v>1.6</x:v>
      </x:c>
      <x:c r="J2968" s="24" t="str">
        <x:v>1.60</x:v>
      </x:c>
      <x:c r="K2968" s="24" t="str">
        <x:v>DURAVISION® DRIVESAFE</x:v>
      </x:c>
      <x:c r="L2968" s="40" t="n">
        <x:v>5570</x:v>
      </x:c>
      <x:c r="M2968" s="24" t="str">
        <x:v>-7.25 a +6.00</x:v>
      </x:c>
      <x:c r="N2968" s="24" t="str">
        <x:v>-6.00</x:v>
      </x:c>
      <x:c r="O2968" s="24" t="str">
        <x:v>0.75 a 3.50</x:v>
      </x:c>
      <x:c r="P2968" s="24" t="str">
        <x:v>75</x:v>
      </x:c>
      <x:c r="Q2968" s="24"/>
      <x:c r="R2968" s="24"/>
      <x:c r="S2968" s="26" t="n">
        <x:v>46113</x:v>
      </x:c>
      <x:c r="T2968" s="26"/>
      <x:c r="U2968" s="24" t="str">
        <x:v>ATIVA/SEM FIM INFORMADO</x:v>
      </x:c>
      <x:c r="V2968" s="24"/>
      <x:c r="W2968" s="24" t="n">
        <x:v>50</x:v>
      </x:c>
      <x:c r="X2968" s="24" t="str">
        <x:v>tabela_zeiss.pdf</x:v>
      </x:c>
      <x:c r="Y2968" s="24" t="str">
        <x:v>alta</x:v>
      </x:c>
      <x:c r="Z2968" s="24"/>
      <x:c r="AA2968" s="24" t="str">
        <x:v>ZEISS|Progressiva Especial|Surfaçada|Individual DriveSafe||1.6|1.60|DURAVISION® DRIVESAFE|-7.25 a +6.00|-6.00|0.75 a 3.50|75|||50</x:v>
      </x:c>
    </x:row>
    <x:row r="2969">
      <x:c r="A2969" s="24" t="str">
        <x:v>ZS-630AACA5CFDD</x:v>
      </x:c>
      <x:c r="B2969" s="24" t="str">
        <x:v>SIM</x:v>
      </x:c>
      <x:c r="C2969" s="24" t="str">
        <x:v>DISPONÍVEL</x:v>
      </x:c>
      <x:c r="D2969" s="24" t="str">
        <x:v>ZEISS</x:v>
      </x:c>
      <x:c r="E2969" s="24" t="str">
        <x:v>Progressiva Especial</x:v>
      </x:c>
      <x:c r="F2969" s="24" t="str">
        <x:v>Surfaçada</x:v>
      </x:c>
      <x:c r="G2969" s="24" t="str">
        <x:v>Individual DriveSafe</x:v>
      </x:c>
      <x:c r="H2969" s="24"/>
      <x:c r="I2969" s="24" t="str">
        <x:v>1.67</x:v>
      </x:c>
      <x:c r="J2969" s="24" t="str">
        <x:v>1.67</x:v>
      </x:c>
      <x:c r="K2969" s="24" t="str">
        <x:v>DURAVISION® DRIVESAFE</x:v>
      </x:c>
      <x:c r="L2969" s="40" t="n">
        <x:v>6870</x:v>
      </x:c>
      <x:c r="M2969" s="24" t="str">
        <x:v>-8.00 a +8.00</x:v>
      </x:c>
      <x:c r="N2969" s="24" t="str">
        <x:v>-6.00</x:v>
      </x:c>
      <x:c r="O2969" s="24" t="str">
        <x:v>0.75 a 3.50</x:v>
      </x:c>
      <x:c r="P2969" s="24" t="str">
        <x:v>70</x:v>
      </x:c>
      <x:c r="Q2969" s="24"/>
      <x:c r="R2969" s="24"/>
      <x:c r="S2969" s="26" t="n">
        <x:v>46113</x:v>
      </x:c>
      <x:c r="T2969" s="26"/>
      <x:c r="U2969" s="24" t="str">
        <x:v>ATIVA/SEM FIM INFORMADO</x:v>
      </x:c>
      <x:c r="V2969" s="24"/>
      <x:c r="W2969" s="24" t="n">
        <x:v>50</x:v>
      </x:c>
      <x:c r="X2969" s="24" t="str">
        <x:v>tabela_zeiss.pdf</x:v>
      </x:c>
      <x:c r="Y2969" s="24" t="str">
        <x:v>alta</x:v>
      </x:c>
      <x:c r="Z2969" s="24"/>
      <x:c r="AA2969" s="24" t="str">
        <x:v>ZEISS|Progressiva Especial|Surfaçada|Individual DriveSafe||1.67|1.67|DURAVISION® DRIVESAFE|-8.00 a +8.00|-6.00|0.75 a 3.50|70|||50</x:v>
      </x:c>
    </x:row>
    <x:row r="2970">
      <x:c r="A2970" s="24" t="str">
        <x:v>ZS-6C7A00E0F3F5</x:v>
      </x:c>
      <x:c r="B2970" s="24" t="str">
        <x:v>SIM</x:v>
      </x:c>
      <x:c r="C2970" s="24" t="str">
        <x:v>DISPONÍVEL</x:v>
      </x:c>
      <x:c r="D2970" s="24" t="str">
        <x:v>ZEISS</x:v>
      </x:c>
      <x:c r="E2970" s="24" t="str">
        <x:v>Progressiva Especial</x:v>
      </x:c>
      <x:c r="F2970" s="24" t="str">
        <x:v>Surfaçada</x:v>
      </x:c>
      <x:c r="G2970" s="24" t="str">
        <x:v>Individual DriveSafe</x:v>
      </x:c>
      <x:c r="H2970" s="24"/>
      <x:c r="I2970" s="24" t="str">
        <x:v>1.74</x:v>
      </x:c>
      <x:c r="J2970" s="24" t="str">
        <x:v>1.74</x:v>
      </x:c>
      <x:c r="K2970" s="24" t="str">
        <x:v>DURAVISION® DRIVESAFE</x:v>
      </x:c>
      <x:c r="L2970" s="40" t="n">
        <x:v>7180</x:v>
      </x:c>
      <x:c r="M2970" s="24" t="str">
        <x:v>-10.00 a +7.00</x:v>
      </x:c>
      <x:c r="N2970" s="24" t="str">
        <x:v>-4.00</x:v>
      </x:c>
      <x:c r="O2970" s="24" t="str">
        <x:v>0.75 a 3.50</x:v>
      </x:c>
      <x:c r="P2970" s="24" t="str">
        <x:v>70 a 75</x:v>
      </x:c>
      <x:c r="Q2970" s="24"/>
      <x:c r="R2970" s="24"/>
      <x:c r="S2970" s="26" t="n">
        <x:v>46113</x:v>
      </x:c>
      <x:c r="T2970" s="26"/>
      <x:c r="U2970" s="24" t="str">
        <x:v>ATIVA/SEM FIM INFORMADO</x:v>
      </x:c>
      <x:c r="V2970" s="24"/>
      <x:c r="W2970" s="24" t="n">
        <x:v>50</x:v>
      </x:c>
      <x:c r="X2970" s="24" t="str">
        <x:v>tabela_zeiss.pdf</x:v>
      </x:c>
      <x:c r="Y2970" s="24" t="str">
        <x:v>alta</x:v>
      </x:c>
      <x:c r="Z2970" s="24"/>
      <x:c r="AA2970" s="24" t="str">
        <x:v>ZEISS|Progressiva Especial|Surfaçada|Individual DriveSafe||1.74|1.74|DURAVISION® DRIVESAFE|-10.00 a +7.00|-4.00|0.75 a 3.50|70 a 75|||50</x:v>
      </x:c>
    </x:row>
    <x:row r="2971">
      <x:c r="A2971" s="24" t="str">
        <x:v>ZS-1B7A90E13A28</x:v>
      </x:c>
      <x:c r="B2971" s="24" t="str">
        <x:v>SIM</x:v>
      </x:c>
      <x:c r="C2971" s="24" t="str">
        <x:v>DISPONÍVEL</x:v>
      </x:c>
      <x:c r="D2971" s="24" t="str">
        <x:v>ZEISS</x:v>
      </x:c>
      <x:c r="E2971" s="24" t="str">
        <x:v>Progressiva Especial</x:v>
      </x:c>
      <x:c r="F2971" s="24" t="str">
        <x:v>Surfaçada</x:v>
      </x:c>
      <x:c r="G2971" s="24" t="str">
        <x:v>Individual DriveSafe</x:v>
      </x:c>
      <x:c r="H2971" s="24" t="str">
        <x:v>PhotoFusion X</x:v>
      </x:c>
      <x:c r="I2971" s="24" t="str">
        <x:v>1.5</x:v>
      </x:c>
      <x:c r="J2971" s="24" t="str">
        <x:v>1.50</x:v>
      </x:c>
      <x:c r="K2971" s="24" t="str">
        <x:v>DURAVISION® DRIVESAFE</x:v>
      </x:c>
      <x:c r="L2971" s="40" t="n">
        <x:v>6410</x:v>
      </x:c>
      <x:c r="M2971" s="24" t="str">
        <x:v>-6.00 a +5.50</x:v>
      </x:c>
      <x:c r="N2971" s="24" t="str">
        <x:v>-4.00</x:v>
      </x:c>
      <x:c r="O2971" s="24" t="str">
        <x:v>0.75 a 3.00</x:v>
      </x:c>
      <x:c r="P2971" s="24" t="str">
        <x:v>75</x:v>
      </x:c>
      <x:c r="Q2971" s="24"/>
      <x:c r="R2971" s="24"/>
      <x:c r="S2971" s="26" t="n">
        <x:v>46113</x:v>
      </x:c>
      <x:c r="T2971" s="26"/>
      <x:c r="U2971" s="24" t="str">
        <x:v>ATIVA/SEM FIM INFORMADO</x:v>
      </x:c>
      <x:c r="V2971" s="24" t="str">
        <x:v>Programa de Parcerias ZEISS</x:v>
      </x:c>
      <x:c r="W2971" s="24" t="n">
        <x:v>50</x:v>
      </x:c>
      <x:c r="X2971" s="24" t="str">
        <x:v>tabela_zeiss.pdf</x:v>
      </x:c>
      <x:c r="Y2971" s="24" t="str">
        <x:v>alta</x:v>
      </x:c>
      <x:c r="Z2971" s="24"/>
      <x:c r="AA2971" s="24" t="str">
        <x:v>ZEISS|Progressiva Especial|Surfaçada|Individual DriveSafe|PhotoFusion X|1.5|1.50|DURAVISION® DRIVESAFE|-6.00 a +5.50|-4.00|0.75 a 3.00|75|||50</x:v>
      </x:c>
    </x:row>
    <x:row r="2972">
      <x:c r="A2972" s="24" t="str">
        <x:v>ZS-FD5F86C198BC</x:v>
      </x:c>
      <x:c r="B2972" s="24" t="str">
        <x:v>SIM</x:v>
      </x:c>
      <x:c r="C2972" s="24" t="str">
        <x:v>DISPONÍVEL</x:v>
      </x:c>
      <x:c r="D2972" s="24" t="str">
        <x:v>ZEISS</x:v>
      </x:c>
      <x:c r="E2972" s="24" t="str">
        <x:v>Progressiva Especial</x:v>
      </x:c>
      <x:c r="F2972" s="24" t="str">
        <x:v>Surfaçada</x:v>
      </x:c>
      <x:c r="G2972" s="24" t="str">
        <x:v>Individual DriveSafe</x:v>
      </x:c>
      <x:c r="H2972" s="24" t="str">
        <x:v>PhotoFusion X</x:v>
      </x:c>
      <x:c r="I2972" s="24" t="str">
        <x:v>Poli</x:v>
      </x:c>
      <x:c r="J2972" s="24"/>
      <x:c r="K2972" s="24" t="str">
        <x:v>DURAVISION® DRIVESAFE</x:v>
      </x:c>
      <x:c r="L2972" s="40" t="n">
        <x:v>6770</x:v>
      </x:c>
      <x:c r="M2972" s="24" t="str">
        <x:v>-10.00 a +6.00</x:v>
      </x:c>
      <x:c r="N2972" s="24" t="str">
        <x:v>-6.00</x:v>
      </x:c>
      <x:c r="O2972" s="24" t="str">
        <x:v>0.75 a 3.00</x:v>
      </x:c>
      <x:c r="P2972" s="24" t="str">
        <x:v>70</x:v>
      </x:c>
      <x:c r="Q2972" s="24"/>
      <x:c r="R2972" s="24"/>
      <x:c r="S2972" s="26" t="n">
        <x:v>46113</x:v>
      </x:c>
      <x:c r="T2972" s="26"/>
      <x:c r="U2972" s="24" t="str">
        <x:v>ATIVA/SEM FIM INFORMADO</x:v>
      </x:c>
      <x:c r="V2972" s="24" t="str">
        <x:v>Programa de Parcerias ZEISS</x:v>
      </x:c>
      <x:c r="W2972" s="24" t="n">
        <x:v>50</x:v>
      </x:c>
      <x:c r="X2972" s="24" t="str">
        <x:v>tabela_zeiss.pdf</x:v>
      </x:c>
      <x:c r="Y2972" s="24" t="str">
        <x:v>alta</x:v>
      </x:c>
      <x:c r="Z2972" s="24"/>
      <x:c r="AA2972" s="24" t="str">
        <x:v>ZEISS|Progressiva Especial|Surfaçada|Individual DriveSafe|PhotoFusion X|Poli||DURAVISION® DRIVESAFE|-10.00 a +6.00|-6.00|0.75 a 3.00|70|||50</x:v>
      </x:c>
    </x:row>
    <x:row r="2973">
      <x:c r="A2973" s="24" t="str">
        <x:v>ZS-BA8CDA368A1C</x:v>
      </x:c>
      <x:c r="B2973" s="24" t="str">
        <x:v>SIM</x:v>
      </x:c>
      <x:c r="C2973" s="24" t="str">
        <x:v>DISPONÍVEL</x:v>
      </x:c>
      <x:c r="D2973" s="24" t="str">
        <x:v>ZEISS</x:v>
      </x:c>
      <x:c r="E2973" s="24" t="str">
        <x:v>Progressiva Especial</x:v>
      </x:c>
      <x:c r="F2973" s="24" t="str">
        <x:v>Surfaçada</x:v>
      </x:c>
      <x:c r="G2973" s="24" t="str">
        <x:v>Individual DriveSafe</x:v>
      </x:c>
      <x:c r="H2973" s="24" t="str">
        <x:v>PhotoFusion X</x:v>
      </x:c>
      <x:c r="I2973" s="24" t="str">
        <x:v>1.6</x:v>
      </x:c>
      <x:c r="J2973" s="24" t="str">
        <x:v>1.60</x:v>
      </x:c>
      <x:c r="K2973" s="24" t="str">
        <x:v>DURAVISION® DRIVESAFE</x:v>
      </x:c>
      <x:c r="L2973" s="40" t="n">
        <x:v>6990</x:v>
      </x:c>
      <x:c r="M2973" s="24" t="str">
        <x:v>-7.25 a +6.00</x:v>
      </x:c>
      <x:c r="N2973" s="24" t="str">
        <x:v>-6.00</x:v>
      </x:c>
      <x:c r="O2973" s="24" t="str">
        <x:v>0.75 a 3.50</x:v>
      </x:c>
      <x:c r="P2973" s="24" t="str">
        <x:v>75</x:v>
      </x:c>
      <x:c r="Q2973" s="24"/>
      <x:c r="R2973" s="24"/>
      <x:c r="S2973" s="26" t="n">
        <x:v>46113</x:v>
      </x:c>
      <x:c r="T2973" s="26"/>
      <x:c r="U2973" s="24" t="str">
        <x:v>ATIVA/SEM FIM INFORMADO</x:v>
      </x:c>
      <x:c r="V2973" s="24" t="str">
        <x:v>Programa de Parcerias ZEISS</x:v>
      </x:c>
      <x:c r="W2973" s="24" t="n">
        <x:v>50</x:v>
      </x:c>
      <x:c r="X2973" s="24" t="str">
        <x:v>tabela_zeiss.pdf</x:v>
      </x:c>
      <x:c r="Y2973" s="24" t="str">
        <x:v>alta</x:v>
      </x:c>
      <x:c r="Z2973" s="24"/>
      <x:c r="AA2973" s="24" t="str">
        <x:v>ZEISS|Progressiva Especial|Surfaçada|Individual DriveSafe|PhotoFusion X|1.6|1.60|DURAVISION® DRIVESAFE|-7.25 a +6.00|-6.00|0.75 a 3.50|75|||50</x:v>
      </x:c>
    </x:row>
    <x:row r="2974">
      <x:c r="A2974" s="24" t="str">
        <x:v>ZS-8CA077E41201</x:v>
      </x:c>
      <x:c r="B2974" s="24" t="str">
        <x:v>SIM</x:v>
      </x:c>
      <x:c r="C2974" s="24" t="str">
        <x:v>DISPONÍVEL</x:v>
      </x:c>
      <x:c r="D2974" s="24" t="str">
        <x:v>ZEISS</x:v>
      </x:c>
      <x:c r="E2974" s="24" t="str">
        <x:v>Progressiva Especial</x:v>
      </x:c>
      <x:c r="F2974" s="24" t="str">
        <x:v>Surfaçada</x:v>
      </x:c>
      <x:c r="G2974" s="24" t="str">
        <x:v>Individual DriveSafe</x:v>
      </x:c>
      <x:c r="H2974" s="24" t="str">
        <x:v>PhotoFusion X</x:v>
      </x:c>
      <x:c r="I2974" s="24" t="str">
        <x:v>1.67</x:v>
      </x:c>
      <x:c r="J2974" s="24" t="str">
        <x:v>1.67</x:v>
      </x:c>
      <x:c r="K2974" s="24" t="str">
        <x:v>DURAVISION® DRIVESAFE</x:v>
      </x:c>
      <x:c r="L2974" s="40" t="n">
        <x:v>8290</x:v>
      </x:c>
      <x:c r="M2974" s="24" t="str">
        <x:v>-8.00 a +8.00</x:v>
      </x:c>
      <x:c r="N2974" s="24" t="str">
        <x:v>-6.00</x:v>
      </x:c>
      <x:c r="O2974" s="24" t="str">
        <x:v>0.75 a 3.50</x:v>
      </x:c>
      <x:c r="P2974" s="24" t="str">
        <x:v>70</x:v>
      </x:c>
      <x:c r="Q2974" s="24"/>
      <x:c r="R2974" s="24"/>
      <x:c r="S2974" s="26" t="n">
        <x:v>46113</x:v>
      </x:c>
      <x:c r="T2974" s="26"/>
      <x:c r="U2974" s="24" t="str">
        <x:v>ATIVA/SEM FIM INFORMADO</x:v>
      </x:c>
      <x:c r="V2974" s="24" t="str">
        <x:v>Programa de Parcerias ZEISS</x:v>
      </x:c>
      <x:c r="W2974" s="24" t="n">
        <x:v>50</x:v>
      </x:c>
      <x:c r="X2974" s="24" t="str">
        <x:v>tabela_zeiss.pdf</x:v>
      </x:c>
      <x:c r="Y2974" s="24" t="str">
        <x:v>alta</x:v>
      </x:c>
      <x:c r="Z2974" s="24"/>
      <x:c r="AA2974" s="24" t="str">
        <x:v>ZEISS|Progressiva Especial|Surfaçada|Individual DriveSafe|PhotoFusion X|1.67|1.67|DURAVISION® DRIVESAFE|-8.00 a +8.00|-6.00|0.75 a 3.50|70|||50</x:v>
      </x:c>
    </x:row>
    <x:row r="2975">
      <x:c r="A2975" s="24" t="str">
        <x:v>ZS-66CFE896E37D</x:v>
      </x:c>
      <x:c r="B2975" s="24" t="str">
        <x:v>SIM</x:v>
      </x:c>
      <x:c r="C2975" s="24" t="str">
        <x:v>DISPONÍVEL</x:v>
      </x:c>
      <x:c r="D2975" s="24" t="str">
        <x:v>ZEISS</x:v>
      </x:c>
      <x:c r="E2975" s="24" t="str">
        <x:v>Progressiva Especial</x:v>
      </x:c>
      <x:c r="F2975" s="24" t="str">
        <x:v>Surfaçada</x:v>
      </x:c>
      <x:c r="G2975" s="24" t="str">
        <x:v>Individual DriveSafe</x:v>
      </x:c>
      <x:c r="H2975" s="24" t="str">
        <x:v>PhotoFusion X Extra Dark Cinza</x:v>
      </x:c>
      <x:c r="I2975" s="24" t="str">
        <x:v>1.5</x:v>
      </x:c>
      <x:c r="J2975" s="24" t="str">
        <x:v>1.50</x:v>
      </x:c>
      <x:c r="K2975" s="24" t="str">
        <x:v>DURAVISION® DRIVESAFE</x:v>
      </x:c>
      <x:c r="L2975" s="40" t="n">
        <x:v>6460</x:v>
      </x:c>
      <x:c r="M2975" s="24" t="str">
        <x:v>-6.00 a +5.50</x:v>
      </x:c>
      <x:c r="N2975" s="24" t="str">
        <x:v>-4.00</x:v>
      </x:c>
      <x:c r="O2975" s="24" t="str">
        <x:v>0.75 a 3.00</x:v>
      </x:c>
      <x:c r="P2975" s="24" t="str">
        <x:v>75</x:v>
      </x:c>
      <x:c r="Q2975" s="24"/>
      <x:c r="R2975" s="24"/>
      <x:c r="S2975" s="26" t="n">
        <x:v>46113</x:v>
      </x:c>
      <x:c r="T2975" s="26"/>
      <x:c r="U2975" s="24" t="str">
        <x:v>ATIVA/SEM FIM INFORMADO</x:v>
      </x:c>
      <x:c r="V2975" s="24" t="str">
        <x:v>Programa de Parcerias ZEISS</x:v>
      </x:c>
      <x:c r="W2975" s="24" t="n">
        <x:v>50</x:v>
      </x:c>
      <x:c r="X2975" s="24" t="str">
        <x:v>tabela_zeiss.pdf</x:v>
      </x:c>
      <x:c r="Y2975" s="24" t="str">
        <x:v>alta</x:v>
      </x:c>
      <x:c r="Z2975" s="24"/>
      <x:c r="AA2975" s="24" t="str">
        <x:v>ZEISS|Progressiva Especial|Surfaçada|Individual DriveSafe|PhotoFusion X Extra Dark Cinza|1.5|1.50|DURAVISION® DRIVESAFE|-6.00 a +5.50|-4.00|0.75 a 3.00|75|||50</x:v>
      </x:c>
    </x:row>
    <x:row r="2976">
      <x:c r="A2976" s="24" t="str">
        <x:v>ZS-09B0D0F431C4</x:v>
      </x:c>
      <x:c r="B2976" s="24" t="str">
        <x:v>SIM</x:v>
      </x:c>
      <x:c r="C2976" s="24" t="str">
        <x:v>DISPONÍVEL</x:v>
      </x:c>
      <x:c r="D2976" s="24" t="str">
        <x:v>ZEISS</x:v>
      </x:c>
      <x:c r="E2976" s="24" t="str">
        <x:v>Progressiva Especial</x:v>
      </x:c>
      <x:c r="F2976" s="24" t="str">
        <x:v>Surfaçada</x:v>
      </x:c>
      <x:c r="G2976" s="24" t="str">
        <x:v>Individual DriveSafe</x:v>
      </x:c>
      <x:c r="H2976" s="24" t="str">
        <x:v>PhotoFusion X Extra Dark Cinza</x:v>
      </x:c>
      <x:c r="I2976" s="24" t="str">
        <x:v>Poli</x:v>
      </x:c>
      <x:c r="J2976" s="24"/>
      <x:c r="K2976" s="24" t="str">
        <x:v>DURAVISION® DRIVESAFE</x:v>
      </x:c>
      <x:c r="L2976" s="40" t="n">
        <x:v>6820</x:v>
      </x:c>
      <x:c r="M2976" s="24" t="str">
        <x:v>-10.00 a +6.00</x:v>
      </x:c>
      <x:c r="N2976" s="24" t="str">
        <x:v>-6.00</x:v>
      </x:c>
      <x:c r="O2976" s="24" t="str">
        <x:v>0.75 a 3.00</x:v>
      </x:c>
      <x:c r="P2976" s="24" t="str">
        <x:v>70</x:v>
      </x:c>
      <x:c r="Q2976" s="24"/>
      <x:c r="R2976" s="24"/>
      <x:c r="S2976" s="26" t="n">
        <x:v>46113</x:v>
      </x:c>
      <x:c r="T2976" s="26"/>
      <x:c r="U2976" s="24" t="str">
        <x:v>ATIVA/SEM FIM INFORMADO</x:v>
      </x:c>
      <x:c r="V2976" s="24" t="str">
        <x:v>Programa de Parcerias ZEISS</x:v>
      </x:c>
      <x:c r="W2976" s="24" t="n">
        <x:v>50</x:v>
      </x:c>
      <x:c r="X2976" s="24" t="str">
        <x:v>tabela_zeiss.pdf</x:v>
      </x:c>
      <x:c r="Y2976" s="24" t="str">
        <x:v>alta</x:v>
      </x:c>
      <x:c r="Z2976" s="24"/>
      <x:c r="AA2976" s="24" t="str">
        <x:v>ZEISS|Progressiva Especial|Surfaçada|Individual DriveSafe|PhotoFusion X Extra Dark Cinza|Poli||DURAVISION® DRIVESAFE|-10.00 a +6.00|-6.00|0.75 a 3.00|70|||50</x:v>
      </x:c>
    </x:row>
    <x:row r="2977">
      <x:c r="A2977" s="24" t="str">
        <x:v>ZS-0DABA7EF6BA3</x:v>
      </x:c>
      <x:c r="B2977" s="24" t="str">
        <x:v>SIM</x:v>
      </x:c>
      <x:c r="C2977" s="24" t="str">
        <x:v>DISPONÍVEL</x:v>
      </x:c>
      <x:c r="D2977" s="24" t="str">
        <x:v>ZEISS</x:v>
      </x:c>
      <x:c r="E2977" s="24" t="str">
        <x:v>Progressiva Especial</x:v>
      </x:c>
      <x:c r="F2977" s="24" t="str">
        <x:v>Surfaçada</x:v>
      </x:c>
      <x:c r="G2977" s="24" t="str">
        <x:v>Individual DriveSafe</x:v>
      </x:c>
      <x:c r="H2977" s="24" t="str">
        <x:v>PhotoFusion X Extra Dark Cinza</x:v>
      </x:c>
      <x:c r="I2977" s="24" t="str">
        <x:v>1.6</x:v>
      </x:c>
      <x:c r="J2977" s="24" t="str">
        <x:v>1.60</x:v>
      </x:c>
      <x:c r="K2977" s="24" t="str">
        <x:v>DURAVISION® DRIVESAFE</x:v>
      </x:c>
      <x:c r="L2977" s="40" t="n">
        <x:v>7040</x:v>
      </x:c>
      <x:c r="M2977" s="24" t="str">
        <x:v>-7.25 a +6.00</x:v>
      </x:c>
      <x:c r="N2977" s="24" t="str">
        <x:v>-6.00</x:v>
      </x:c>
      <x:c r="O2977" s="24" t="str">
        <x:v>0.75 a 3.50</x:v>
      </x:c>
      <x:c r="P2977" s="24" t="str">
        <x:v>75</x:v>
      </x:c>
      <x:c r="Q2977" s="24"/>
      <x:c r="R2977" s="24"/>
      <x:c r="S2977" s="26" t="n">
        <x:v>46113</x:v>
      </x:c>
      <x:c r="T2977" s="26"/>
      <x:c r="U2977" s="24" t="str">
        <x:v>ATIVA/SEM FIM INFORMADO</x:v>
      </x:c>
      <x:c r="V2977" s="24" t="str">
        <x:v>Programa de Parcerias ZEISS</x:v>
      </x:c>
      <x:c r="W2977" s="24" t="n">
        <x:v>50</x:v>
      </x:c>
      <x:c r="X2977" s="24" t="str">
        <x:v>tabela_zeiss.pdf</x:v>
      </x:c>
      <x:c r="Y2977" s="24" t="str">
        <x:v>alta</x:v>
      </x:c>
      <x:c r="Z2977" s="24"/>
      <x:c r="AA2977" s="24" t="str">
        <x:v>ZEISS|Progressiva Especial|Surfaçada|Individual DriveSafe|PhotoFusion X Extra Dark Cinza|1.6|1.60|DURAVISION® DRIVESAFE|-7.25 a +6.00|-6.00|0.75 a 3.50|75|||50</x:v>
      </x:c>
    </x:row>
    <x:row r="2978">
      <x:c r="A2978" s="24" t="str">
        <x:v>ZS-80865E360B6C</x:v>
      </x:c>
      <x:c r="B2978" s="24" t="str">
        <x:v>SIM</x:v>
      </x:c>
      <x:c r="C2978" s="24" t="str">
        <x:v>DISPONÍVEL</x:v>
      </x:c>
      <x:c r="D2978" s="24" t="str">
        <x:v>ZEISS</x:v>
      </x:c>
      <x:c r="E2978" s="24" t="str">
        <x:v>Progressiva Especial</x:v>
      </x:c>
      <x:c r="F2978" s="24" t="str">
        <x:v>Surfaçada</x:v>
      </x:c>
      <x:c r="G2978" s="24" t="str">
        <x:v>Individual DriveSafe</x:v>
      </x:c>
      <x:c r="H2978" s="24" t="str">
        <x:v>PhotoFusion X Extra Dark Cinza</x:v>
      </x:c>
      <x:c r="I2978" s="24" t="str">
        <x:v>1.67</x:v>
      </x:c>
      <x:c r="J2978" s="24" t="str">
        <x:v>1.67</x:v>
      </x:c>
      <x:c r="K2978" s="24" t="str">
        <x:v>DURAVISION® DRIVESAFE</x:v>
      </x:c>
      <x:c r="L2978" s="40" t="n">
        <x:v>8340</x:v>
      </x:c>
      <x:c r="M2978" s="24" t="str">
        <x:v>-8.00 a +8.00</x:v>
      </x:c>
      <x:c r="N2978" s="24" t="str">
        <x:v>-6.00</x:v>
      </x:c>
      <x:c r="O2978" s="24" t="str">
        <x:v>0.75 a 3.50</x:v>
      </x:c>
      <x:c r="P2978" s="24" t="str">
        <x:v>70</x:v>
      </x:c>
      <x:c r="Q2978" s="24"/>
      <x:c r="R2978" s="24"/>
      <x:c r="S2978" s="26" t="n">
        <x:v>46113</x:v>
      </x:c>
      <x:c r="T2978" s="26"/>
      <x:c r="U2978" s="24" t="str">
        <x:v>ATIVA/SEM FIM INFORMADO</x:v>
      </x:c>
      <x:c r="V2978" s="24" t="str">
        <x:v>Programa de Parcerias ZEISS</x:v>
      </x:c>
      <x:c r="W2978" s="24" t="n">
        <x:v>50</x:v>
      </x:c>
      <x:c r="X2978" s="24" t="str">
        <x:v>tabela_zeiss.pdf</x:v>
      </x:c>
      <x:c r="Y2978" s="24" t="str">
        <x:v>alta</x:v>
      </x:c>
      <x:c r="Z2978" s="24"/>
      <x:c r="AA2978" s="24" t="str">
        <x:v>ZEISS|Progressiva Especial|Surfaçada|Individual DriveSafe|PhotoFusion X Extra Dark Cinza|1.67|1.67|DURAVISION® DRIVESAFE|-8.00 a +8.00|-6.00|0.75 a 3.50|70|||50</x:v>
      </x:c>
    </x:row>
    <x:row r="2979">
      <x:c r="A2979" s="24" t="str">
        <x:v>ZS-1F9C5231A145</x:v>
      </x:c>
      <x:c r="B2979" s="24" t="str">
        <x:v>SIM</x:v>
      </x:c>
      <x:c r="C2979" s="24" t="str">
        <x:v>DISPONÍVEL</x:v>
      </x:c>
      <x:c r="D2979" s="24" t="str">
        <x:v>ZEISS</x:v>
      </x:c>
      <x:c r="E2979" s="24" t="str">
        <x:v>Progressiva Especial</x:v>
      </x:c>
      <x:c r="F2979" s="24" t="str">
        <x:v>Surfaçada</x:v>
      </x:c>
      <x:c r="G2979" s="24" t="str">
        <x:v>Individual DriveSafe</x:v>
      </x:c>
      <x:c r="H2979" s="24" t="str">
        <x:v>Polarizada</x:v>
      </x:c>
      <x:c r="I2979" s="24" t="str">
        <x:v>1.5</x:v>
      </x:c>
      <x:c r="J2979" s="24" t="str">
        <x:v>1.50</x:v>
      </x:c>
      <x:c r="K2979" s="24" t="str">
        <x:v>DURAVISION® DRIVESAFE</x:v>
      </x:c>
      <x:c r="L2979" s="40" t="n">
        <x:v>5830</x:v>
      </x:c>
      <x:c r="M2979" s="24" t="str">
        <x:v>-6.00 a +6.00</x:v>
      </x:c>
      <x:c r="N2979" s="24" t="str">
        <x:v>-4.00</x:v>
      </x:c>
      <x:c r="O2979" s="24" t="str">
        <x:v>0.75 a 3.50</x:v>
      </x:c>
      <x:c r="P2979" s="24" t="str">
        <x:v>70</x:v>
      </x:c>
      <x:c r="Q2979" s="24"/>
      <x:c r="R2979" s="24"/>
      <x:c r="S2979" s="26" t="n">
        <x:v>46113</x:v>
      </x:c>
      <x:c r="T2979" s="26"/>
      <x:c r="U2979" s="24" t="str">
        <x:v>ATIVA/SEM FIM INFORMADO</x:v>
      </x:c>
      <x:c r="V2979" s="24"/>
      <x:c r="W2979" s="24" t="n">
        <x:v>50</x:v>
      </x:c>
      <x:c r="X2979" s="24" t="str">
        <x:v>tabela_zeiss.pdf</x:v>
      </x:c>
      <x:c r="Y2979" s="24" t="str">
        <x:v>alta</x:v>
      </x:c>
      <x:c r="Z2979" s="24"/>
      <x:c r="AA2979" s="24" t="str">
        <x:v>ZEISS|Progressiva Especial|Surfaçada|Individual DriveSafe|Polarizada|1.5|1.50|DURAVISION® DRIVESAFE|-6.00 a +6.00|-4.00|0.75 a 3.50|70|||50</x:v>
      </x:c>
    </x:row>
    <x:row r="2980">
      <x:c r="A2980" s="24" t="str">
        <x:v>ZS-075176A5B5E5</x:v>
      </x:c>
      <x:c r="B2980" s="24" t="str">
        <x:v>SIM</x:v>
      </x:c>
      <x:c r="C2980" s="24" t="str">
        <x:v>DISPONÍVEL</x:v>
      </x:c>
      <x:c r="D2980" s="24" t="str">
        <x:v>ZEISS</x:v>
      </x:c>
      <x:c r="E2980" s="24" t="str">
        <x:v>Progressiva Especial</x:v>
      </x:c>
      <x:c r="F2980" s="24" t="str">
        <x:v>Surfaçada</x:v>
      </x:c>
      <x:c r="G2980" s="24" t="str">
        <x:v>Individual DriveSafe</x:v>
      </x:c>
      <x:c r="H2980" s="24" t="str">
        <x:v>Polarizada</x:v>
      </x:c>
      <x:c r="I2980" s="24" t="str">
        <x:v>1.6</x:v>
      </x:c>
      <x:c r="J2980" s="24" t="str">
        <x:v>1.60</x:v>
      </x:c>
      <x:c r="K2980" s="24" t="str">
        <x:v>DURAVISION® DRIVESAFE</x:v>
      </x:c>
      <x:c r="L2980" s="40" t="n">
        <x:v>6410</x:v>
      </x:c>
      <x:c r="M2980" s="24" t="str">
        <x:v>-8.50 a +6.00</x:v>
      </x:c>
      <x:c r="N2980" s="24" t="str">
        <x:v>-4.00</x:v>
      </x:c>
      <x:c r="O2980" s="24" t="str">
        <x:v>0.75 a 3.50</x:v>
      </x:c>
      <x:c r="P2980" s="24" t="str">
        <x:v>70</x:v>
      </x:c>
      <x:c r="Q2980" s="24"/>
      <x:c r="R2980" s="24"/>
      <x:c r="S2980" s="26" t="n">
        <x:v>46113</x:v>
      </x:c>
      <x:c r="T2980" s="26"/>
      <x:c r="U2980" s="24" t="str">
        <x:v>ATIVA/SEM FIM INFORMADO</x:v>
      </x:c>
      <x:c r="V2980" s="24"/>
      <x:c r="W2980" s="24" t="n">
        <x:v>50</x:v>
      </x:c>
      <x:c r="X2980" s="24" t="str">
        <x:v>tabela_zeiss.pdf</x:v>
      </x:c>
      <x:c r="Y2980" s="24" t="str">
        <x:v>alta</x:v>
      </x:c>
      <x:c r="Z2980" s="24"/>
      <x:c r="AA2980" s="24" t="str">
        <x:v>ZEISS|Progressiva Especial|Surfaçada|Individual DriveSafe|Polarizada|1.6|1.60|DURAVISION® DRIVESAFE|-8.50 a +6.00|-4.00|0.75 a 3.50|70|||50</x:v>
      </x:c>
    </x:row>
    <x:row r="2981">
      <x:c r="A2981" s="24" t="str">
        <x:v>ZS-569C0557AD5B</x:v>
      </x:c>
      <x:c r="B2981" s="24" t="str">
        <x:v>SIM</x:v>
      </x:c>
      <x:c r="C2981" s="24" t="str">
        <x:v>DISPONÍVEL</x:v>
      </x:c>
      <x:c r="D2981" s="24" t="str">
        <x:v>ZEISS</x:v>
      </x:c>
      <x:c r="E2981" s="24" t="str">
        <x:v>Progressiva Especial</x:v>
      </x:c>
      <x:c r="F2981" s="24" t="str">
        <x:v>Surfaçada</x:v>
      </x:c>
      <x:c r="G2981" s="24" t="str">
        <x:v>Individual Sport</x:v>
      </x:c>
      <x:c r="H2981" s="24"/>
      <x:c r="I2981" s="24" t="str">
        <x:v>1.5</x:v>
      </x:c>
      <x:c r="J2981" s="24" t="str">
        <x:v>1.50</x:v>
      </x:c>
      <x:c r="K2981" s="24" t="str">
        <x:v>DuraVision Gold UV</x:v>
      </x:c>
      <x:c r="L2981" s="40" t="n">
        <x:v>4754</x:v>
      </x:c>
      <x:c r="M2981" s="24" t="str">
        <x:v>-4.00 a +4.00</x:v>
      </x:c>
      <x:c r="N2981" s="24" t="str">
        <x:v>-4.00</x:v>
      </x:c>
      <x:c r="O2981" s="24" t="str">
        <x:v>1.00 a 3.50</x:v>
      </x:c>
      <x:c r="P2981" s="24" t="str">
        <x:v>80</x:v>
      </x:c>
      <x:c r="Q2981" s="24"/>
      <x:c r="R2981" s="24"/>
      <x:c r="S2981" s="26" t="n">
        <x:v>46113</x:v>
      </x:c>
      <x:c r="T2981" s="26"/>
      <x:c r="U2981" s="24" t="str">
        <x:v>ATIVA/SEM FIM INFORMADO</x:v>
      </x:c>
      <x:c r="V2981" s="24"/>
      <x:c r="W2981" s="24" t="n">
        <x:v>51</x:v>
      </x:c>
      <x:c r="X2981" s="24" t="str">
        <x:v>tabela_zeiss.pdf</x:v>
      </x:c>
      <x:c r="Y2981" s="24" t="str">
        <x:v>alta</x:v>
      </x:c>
      <x:c r="Z2981" s="24"/>
      <x:c r="AA2981" s="24" t="str">
        <x:v>ZEISS|Progressiva Especial|Surfaçada|Individual Sport||1.5|1.50|DuraVision Gold UV|-4.00 a +4.00|-4.00|1.00 a 3.50|80|||51</x:v>
      </x:c>
    </x:row>
    <x:row r="2982">
      <x:c r="A2982" s="24" t="str">
        <x:v>ZS-271D9DD8BF41</x:v>
      </x:c>
      <x:c r="B2982" s="24" t="str">
        <x:v>SIM</x:v>
      </x:c>
      <x:c r="C2982" s="24" t="str">
        <x:v>DISPONÍVEL</x:v>
      </x:c>
      <x:c r="D2982" s="24" t="str">
        <x:v>ZEISS</x:v>
      </x:c>
      <x:c r="E2982" s="24" t="str">
        <x:v>Progressiva Especial</x:v>
      </x:c>
      <x:c r="F2982" s="24" t="str">
        <x:v>Surfaçada</x:v>
      </x:c>
      <x:c r="G2982" s="24" t="str">
        <x:v>Individual Sport</x:v>
      </x:c>
      <x:c r="H2982" s="24"/>
      <x:c r="I2982" s="24" t="str">
        <x:v>1.5</x:v>
      </x:c>
      <x:c r="J2982" s="24" t="str">
        <x:v>1.50</x:v>
      </x:c>
      <x:c r="K2982" s="24" t="str">
        <x:v>DURAVISION® ANTIVÍRUS PLATINUM UV</x:v>
      </x:c>
      <x:c r="L2982" s="40" t="n">
        <x:v>4614</x:v>
      </x:c>
      <x:c r="M2982" s="24" t="str">
        <x:v>-4.00 a +4.00</x:v>
      </x:c>
      <x:c r="N2982" s="24" t="str">
        <x:v>-4.00</x:v>
      </x:c>
      <x:c r="O2982" s="24" t="str">
        <x:v>1.00 a 3.50</x:v>
      </x:c>
      <x:c r="P2982" s="24" t="str">
        <x:v>80</x:v>
      </x:c>
      <x:c r="Q2982" s="24"/>
      <x:c r="R2982" s="24"/>
      <x:c r="S2982" s="26" t="n">
        <x:v>46113</x:v>
      </x:c>
      <x:c r="T2982" s="26"/>
      <x:c r="U2982" s="24" t="str">
        <x:v>ATIVA/SEM FIM INFORMADO</x:v>
      </x:c>
      <x:c r="V2982" s="24"/>
      <x:c r="W2982" s="24" t="n">
        <x:v>51</x:v>
      </x:c>
      <x:c r="X2982" s="24" t="str">
        <x:v>tabela_zeiss.pdf</x:v>
      </x:c>
      <x:c r="Y2982" s="24" t="str">
        <x:v>alta</x:v>
      </x:c>
      <x:c r="Z2982" s="24"/>
      <x:c r="AA2982" s="24" t="str">
        <x:v>ZEISS|Progressiva Especial|Surfaçada|Individual Sport||1.5|1.50|DURAVISION® ANTIVÍRUS PLATINUM UV|-4.00 a +4.00|-4.00|1.00 a 3.50|80|||51</x:v>
      </x:c>
    </x:row>
    <x:row r="2983">
      <x:c r="A2983" s="24" t="str">
        <x:v>ZS-C5F78DEC131C</x:v>
      </x:c>
      <x:c r="B2983" s="24" t="str">
        <x:v>SIM</x:v>
      </x:c>
      <x:c r="C2983" s="24" t="str">
        <x:v>DISPONÍVEL</x:v>
      </x:c>
      <x:c r="D2983" s="24" t="str">
        <x:v>ZEISS</x:v>
      </x:c>
      <x:c r="E2983" s="24" t="str">
        <x:v>Progressiva Especial</x:v>
      </x:c>
      <x:c r="F2983" s="24" t="str">
        <x:v>Surfaçada</x:v>
      </x:c>
      <x:c r="G2983" s="24" t="str">
        <x:v>Individual Sport</x:v>
      </x:c>
      <x:c r="H2983" s="24"/>
      <x:c r="I2983" s="24" t="str">
        <x:v>1.5</x:v>
      </x:c>
      <x:c r="J2983" s="24" t="str">
        <x:v>1.50</x:v>
      </x:c>
      <x:c r="K2983" s="24" t="str">
        <x:v>DuraVision Platinum UV</x:v>
      </x:c>
      <x:c r="L2983" s="40" t="n">
        <x:v>4614</x:v>
      </x:c>
      <x:c r="M2983" s="24" t="str">
        <x:v>-4.00 a +4.00</x:v>
      </x:c>
      <x:c r="N2983" s="24" t="str">
        <x:v>-4.00</x:v>
      </x:c>
      <x:c r="O2983" s="24" t="str">
        <x:v>1.00 a 3.50</x:v>
      </x:c>
      <x:c r="P2983" s="24" t="str">
        <x:v>80</x:v>
      </x:c>
      <x:c r="Q2983" s="24"/>
      <x:c r="R2983" s="24"/>
      <x:c r="S2983" s="26" t="n">
        <x:v>46113</x:v>
      </x:c>
      <x:c r="T2983" s="26"/>
      <x:c r="U2983" s="24" t="str">
        <x:v>ATIVA/SEM FIM INFORMADO</x:v>
      </x:c>
      <x:c r="V2983" s="24"/>
      <x:c r="W2983" s="24" t="n">
        <x:v>51</x:v>
      </x:c>
      <x:c r="X2983" s="24" t="str">
        <x:v>tabela_zeiss.pdf</x:v>
      </x:c>
      <x:c r="Y2983" s="24" t="str">
        <x:v>alta</x:v>
      </x:c>
      <x:c r="Z2983" s="24"/>
      <x:c r="AA2983" s="24" t="str">
        <x:v>ZEISS|Progressiva Especial|Surfaçada|Individual Sport||1.5|1.50|DuraVision Platinum UV|-4.00 a +4.00|-4.00|1.00 a 3.50|80|||51</x:v>
      </x:c>
    </x:row>
    <x:row r="2984">
      <x:c r="A2984" s="24" t="str">
        <x:v>ZS-112C5AC6B0D2</x:v>
      </x:c>
      <x:c r="B2984" s="24" t="str">
        <x:v>SIM</x:v>
      </x:c>
      <x:c r="C2984" s="24" t="str">
        <x:v>DISPONÍVEL</x:v>
      </x:c>
      <x:c r="D2984" s="24" t="str">
        <x:v>ZEISS</x:v>
      </x:c>
      <x:c r="E2984" s="24" t="str">
        <x:v>Progressiva Especial</x:v>
      </x:c>
      <x:c r="F2984" s="24" t="str">
        <x:v>Surfaçada</x:v>
      </x:c>
      <x:c r="G2984" s="24" t="str">
        <x:v>Individual Sport</x:v>
      </x:c>
      <x:c r="H2984" s="24"/>
      <x:c r="I2984" s="24" t="str">
        <x:v>1.5</x:v>
      </x:c>
      <x:c r="J2984" s="24" t="str">
        <x:v>1.50</x:v>
      </x:c>
      <x:c r="K2984" s="24" t="str">
        <x:v>DuraVision Silver UV</x:v>
      </x:c>
      <x:c r="L2984" s="40" t="n">
        <x:v>4354</x:v>
      </x:c>
      <x:c r="M2984" s="24" t="str">
        <x:v>-4.00 a +4.00</x:v>
      </x:c>
      <x:c r="N2984" s="24" t="str">
        <x:v>-4.00</x:v>
      </x:c>
      <x:c r="O2984" s="24" t="str">
        <x:v>1.00 a 3.50</x:v>
      </x:c>
      <x:c r="P2984" s="24" t="str">
        <x:v>80</x:v>
      </x:c>
      <x:c r="Q2984" s="24"/>
      <x:c r="R2984" s="24"/>
      <x:c r="S2984" s="26" t="n">
        <x:v>46113</x:v>
      </x:c>
      <x:c r="T2984" s="26"/>
      <x:c r="U2984" s="24" t="str">
        <x:v>ATIVA/SEM FIM INFORMADO</x:v>
      </x:c>
      <x:c r="V2984" s="24"/>
      <x:c r="W2984" s="24" t="n">
        <x:v>51</x:v>
      </x:c>
      <x:c r="X2984" s="24" t="str">
        <x:v>tabela_zeiss.pdf</x:v>
      </x:c>
      <x:c r="Y2984" s="24" t="str">
        <x:v>alta</x:v>
      </x:c>
      <x:c r="Z2984" s="24"/>
      <x:c r="AA2984" s="24" t="str">
        <x:v>ZEISS|Progressiva Especial|Surfaçada|Individual Sport||1.5|1.50|DuraVision Silver UV|-4.00 a +4.00|-4.00|1.00 a 3.50|80|||51</x:v>
      </x:c>
    </x:row>
    <x:row r="2985">
      <x:c r="A2985" s="24" t="str">
        <x:v>ZS-D62A3AE90757</x:v>
      </x:c>
      <x:c r="B2985" s="24" t="str">
        <x:v>SIM</x:v>
      </x:c>
      <x:c r="C2985" s="24" t="str">
        <x:v>DISPONÍVEL</x:v>
      </x:c>
      <x:c r="D2985" s="24" t="str">
        <x:v>ZEISS</x:v>
      </x:c>
      <x:c r="E2985" s="24" t="str">
        <x:v>Progressiva Especial</x:v>
      </x:c>
      <x:c r="F2985" s="24" t="str">
        <x:v>Surfaçada</x:v>
      </x:c>
      <x:c r="G2985" s="24" t="str">
        <x:v>Individual Sport</x:v>
      </x:c>
      <x:c r="H2985" s="24"/>
      <x:c r="I2985" s="24" t="str">
        <x:v>1.5</x:v>
      </x:c>
      <x:c r="J2985" s="24" t="str">
        <x:v>1.50</x:v>
      </x:c>
      <x:c r="K2985" s="24" t="str">
        <x:v>DuraVision Chrome UV</x:v>
      </x:c>
      <x:c r="L2985" s="40" t="n">
        <x:v>3864</x:v>
      </x:c>
      <x:c r="M2985" s="24" t="str">
        <x:v>-4.00 a +4.00</x:v>
      </x:c>
      <x:c r="N2985" s="24" t="str">
        <x:v>-4.00</x:v>
      </x:c>
      <x:c r="O2985" s="24" t="str">
        <x:v>1.00 a 3.50</x:v>
      </x:c>
      <x:c r="P2985" s="24" t="str">
        <x:v>80</x:v>
      </x:c>
      <x:c r="Q2985" s="24"/>
      <x:c r="R2985" s="24"/>
      <x:c r="S2985" s="26" t="n">
        <x:v>46113</x:v>
      </x:c>
      <x:c r="T2985" s="26"/>
      <x:c r="U2985" s="24" t="str">
        <x:v>ATIVA/SEM FIM INFORMADO</x:v>
      </x:c>
      <x:c r="V2985" s="24"/>
      <x:c r="W2985" s="24" t="n">
        <x:v>51</x:v>
      </x:c>
      <x:c r="X2985" s="24" t="str">
        <x:v>tabela_zeiss.pdf</x:v>
      </x:c>
      <x:c r="Y2985" s="24" t="str">
        <x:v>alta</x:v>
      </x:c>
      <x:c r="Z2985" s="24"/>
      <x:c r="AA2985" s="24" t="str">
        <x:v>ZEISS|Progressiva Especial|Surfaçada|Individual Sport||1.5|1.50|DuraVision Chrome UV|-4.00 a +4.00|-4.00|1.00 a 3.50|80|||51</x:v>
      </x:c>
    </x:row>
    <x:row r="2986">
      <x:c r="A2986" s="24" t="str">
        <x:v>ZS-6B77C1306FA3</x:v>
      </x:c>
      <x:c r="B2986" s="24" t="str">
        <x:v>SIM</x:v>
      </x:c>
      <x:c r="C2986" s="24" t="str">
        <x:v>DISPONÍVEL</x:v>
      </x:c>
      <x:c r="D2986" s="24" t="str">
        <x:v>ZEISS</x:v>
      </x:c>
      <x:c r="E2986" s="24" t="str">
        <x:v>Progressiva Especial</x:v>
      </x:c>
      <x:c r="F2986" s="24" t="str">
        <x:v>Surfaçada</x:v>
      </x:c>
      <x:c r="G2986" s="24" t="str">
        <x:v>Individual Sport</x:v>
      </x:c>
      <x:c r="H2986" s="24"/>
      <x:c r="I2986" s="24" t="str">
        <x:v>Poli</x:v>
      </x:c>
      <x:c r="J2986" s="24"/>
      <x:c r="K2986" s="24" t="str">
        <x:v>DuraVision Gold UV</x:v>
      </x:c>
      <x:c r="L2986" s="40" t="n">
        <x:v>5344</x:v>
      </x:c>
      <x:c r="M2986" s="24" t="str">
        <x:v>-4.00 a +4.00</x:v>
      </x:c>
      <x:c r="N2986" s="24" t="str">
        <x:v>-4.00</x:v>
      </x:c>
      <x:c r="O2986" s="24" t="str">
        <x:v>1.00 a 3.50</x:v>
      </x:c>
      <x:c r="P2986" s="24" t="str">
        <x:v>82</x:v>
      </x:c>
      <x:c r="Q2986" s="24"/>
      <x:c r="R2986" s="24"/>
      <x:c r="S2986" s="26" t="n">
        <x:v>46113</x:v>
      </x:c>
      <x:c r="T2986" s="26"/>
      <x:c r="U2986" s="24" t="str">
        <x:v>ATIVA/SEM FIM INFORMADO</x:v>
      </x:c>
      <x:c r="V2986" s="24"/>
      <x:c r="W2986" s="24" t="n">
        <x:v>51</x:v>
      </x:c>
      <x:c r="X2986" s="24" t="str">
        <x:v>tabela_zeiss.pdf</x:v>
      </x:c>
      <x:c r="Y2986" s="24" t="str">
        <x:v>alta</x:v>
      </x:c>
      <x:c r="Z2986" s="24"/>
      <x:c r="AA2986" s="24" t="str">
        <x:v>ZEISS|Progressiva Especial|Surfaçada|Individual Sport||Poli||DuraVision Gold UV|-4.00 a +4.00|-4.00|1.00 a 3.50|82|||51</x:v>
      </x:c>
    </x:row>
    <x:row r="2987">
      <x:c r="A2987" s="24" t="str">
        <x:v>ZS-E6321ADE18C8</x:v>
      </x:c>
      <x:c r="B2987" s="24" t="str">
        <x:v>SIM</x:v>
      </x:c>
      <x:c r="C2987" s="24" t="str">
        <x:v>DISPONÍVEL</x:v>
      </x:c>
      <x:c r="D2987" s="24" t="str">
        <x:v>ZEISS</x:v>
      </x:c>
      <x:c r="E2987" s="24" t="str">
        <x:v>Progressiva Especial</x:v>
      </x:c>
      <x:c r="F2987" s="24" t="str">
        <x:v>Surfaçada</x:v>
      </x:c>
      <x:c r="G2987" s="24" t="str">
        <x:v>Individual Sport</x:v>
      </x:c>
      <x:c r="H2987" s="24"/>
      <x:c r="I2987" s="24" t="str">
        <x:v>Poli</x:v>
      </x:c>
      <x:c r="J2987" s="24"/>
      <x:c r="K2987" s="24" t="str">
        <x:v>DuraVision Platinum UV</x:v>
      </x:c>
      <x:c r="L2987" s="40" t="n">
        <x:v>5204</x:v>
      </x:c>
      <x:c r="M2987" s="24" t="str">
        <x:v>-4.00 a +4.00</x:v>
      </x:c>
      <x:c r="N2987" s="24" t="str">
        <x:v>-4.00</x:v>
      </x:c>
      <x:c r="O2987" s="24" t="str">
        <x:v>1.00 a 3.50</x:v>
      </x:c>
      <x:c r="P2987" s="24" t="str">
        <x:v>82</x:v>
      </x:c>
      <x:c r="Q2987" s="24"/>
      <x:c r="R2987" s="24"/>
      <x:c r="S2987" s="26" t="n">
        <x:v>46113</x:v>
      </x:c>
      <x:c r="T2987" s="26"/>
      <x:c r="U2987" s="24" t="str">
        <x:v>ATIVA/SEM FIM INFORMADO</x:v>
      </x:c>
      <x:c r="V2987" s="24"/>
      <x:c r="W2987" s="24" t="n">
        <x:v>51</x:v>
      </x:c>
      <x:c r="X2987" s="24" t="str">
        <x:v>tabela_zeiss.pdf</x:v>
      </x:c>
      <x:c r="Y2987" s="24" t="str">
        <x:v>alta</x:v>
      </x:c>
      <x:c r="Z2987" s="24"/>
      <x:c r="AA2987" s="24" t="str">
        <x:v>ZEISS|Progressiva Especial|Surfaçada|Individual Sport||Poli||DuraVision Platinum UV|-4.00 a +4.00|-4.00|1.00 a 3.50|82|||51</x:v>
      </x:c>
    </x:row>
    <x:row r="2988">
      <x:c r="A2988" s="24" t="str">
        <x:v>ZS-B204B705F0CA</x:v>
      </x:c>
      <x:c r="B2988" s="24" t="str">
        <x:v>SIM</x:v>
      </x:c>
      <x:c r="C2988" s="24" t="str">
        <x:v>DISPONÍVEL</x:v>
      </x:c>
      <x:c r="D2988" s="24" t="str">
        <x:v>ZEISS</x:v>
      </x:c>
      <x:c r="E2988" s="24" t="str">
        <x:v>Progressiva Especial</x:v>
      </x:c>
      <x:c r="F2988" s="24" t="str">
        <x:v>Surfaçada</x:v>
      </x:c>
      <x:c r="G2988" s="24" t="str">
        <x:v>Individual Sport</x:v>
      </x:c>
      <x:c r="H2988" s="24"/>
      <x:c r="I2988" s="24" t="str">
        <x:v>Poli</x:v>
      </x:c>
      <x:c r="J2988" s="24"/>
      <x:c r="K2988" s="24" t="str">
        <x:v>DuraVision Silver UV</x:v>
      </x:c>
      <x:c r="L2988" s="40" t="n">
        <x:v>4944</x:v>
      </x:c>
      <x:c r="M2988" s="24" t="str">
        <x:v>-4.00 a +4.00</x:v>
      </x:c>
      <x:c r="N2988" s="24" t="str">
        <x:v>-4.00</x:v>
      </x:c>
      <x:c r="O2988" s="24" t="str">
        <x:v>1.00 a 3.50</x:v>
      </x:c>
      <x:c r="P2988" s="24" t="str">
        <x:v>82</x:v>
      </x:c>
      <x:c r="Q2988" s="24"/>
      <x:c r="R2988" s="24"/>
      <x:c r="S2988" s="26" t="n">
        <x:v>46113</x:v>
      </x:c>
      <x:c r="T2988" s="26"/>
      <x:c r="U2988" s="24" t="str">
        <x:v>ATIVA/SEM FIM INFORMADO</x:v>
      </x:c>
      <x:c r="V2988" s="24"/>
      <x:c r="W2988" s="24" t="n">
        <x:v>51</x:v>
      </x:c>
      <x:c r="X2988" s="24" t="str">
        <x:v>tabela_zeiss.pdf</x:v>
      </x:c>
      <x:c r="Y2988" s="24" t="str">
        <x:v>alta</x:v>
      </x:c>
      <x:c r="Z2988" s="24"/>
      <x:c r="AA2988" s="24" t="str">
        <x:v>ZEISS|Progressiva Especial|Surfaçada|Individual Sport||Poli||DuraVision Silver UV|-4.00 a +4.00|-4.00|1.00 a 3.50|82|||51</x:v>
      </x:c>
    </x:row>
    <x:row r="2989">
      <x:c r="A2989" s="24" t="str">
        <x:v>ZS-760AF7A929C4</x:v>
      </x:c>
      <x:c r="B2989" s="24" t="str">
        <x:v>SIM</x:v>
      </x:c>
      <x:c r="C2989" s="24" t="str">
        <x:v>DISPONÍVEL</x:v>
      </x:c>
      <x:c r="D2989" s="24" t="str">
        <x:v>ZEISS</x:v>
      </x:c>
      <x:c r="E2989" s="24" t="str">
        <x:v>Progressiva Especial</x:v>
      </x:c>
      <x:c r="F2989" s="24" t="str">
        <x:v>Surfaçada</x:v>
      </x:c>
      <x:c r="G2989" s="24" t="str">
        <x:v>Individual Sport</x:v>
      </x:c>
      <x:c r="H2989" s="24"/>
      <x:c r="I2989" s="24" t="str">
        <x:v>Poli</x:v>
      </x:c>
      <x:c r="J2989" s="24"/>
      <x:c r="K2989" s="24" t="str">
        <x:v>DuraVision Chrome UV</x:v>
      </x:c>
      <x:c r="L2989" s="40" t="n">
        <x:v>4454</x:v>
      </x:c>
      <x:c r="M2989" s="24" t="str">
        <x:v>-4.00 a +4.00</x:v>
      </x:c>
      <x:c r="N2989" s="24" t="str">
        <x:v>-4.00</x:v>
      </x:c>
      <x:c r="O2989" s="24" t="str">
        <x:v>1.00 a 3.50</x:v>
      </x:c>
      <x:c r="P2989" s="24" t="str">
        <x:v>82</x:v>
      </x:c>
      <x:c r="Q2989" s="24"/>
      <x:c r="R2989" s="24"/>
      <x:c r="S2989" s="26" t="n">
        <x:v>46113</x:v>
      </x:c>
      <x:c r="T2989" s="26"/>
      <x:c r="U2989" s="24" t="str">
        <x:v>ATIVA/SEM FIM INFORMADO</x:v>
      </x:c>
      <x:c r="V2989" s="24"/>
      <x:c r="W2989" s="24" t="n">
        <x:v>51</x:v>
      </x:c>
      <x:c r="X2989" s="24" t="str">
        <x:v>tabela_zeiss.pdf</x:v>
      </x:c>
      <x:c r="Y2989" s="24" t="str">
        <x:v>alta</x:v>
      </x:c>
      <x:c r="Z2989" s="24"/>
      <x:c r="AA2989" s="24" t="str">
        <x:v>ZEISS|Progressiva Especial|Surfaçada|Individual Sport||Poli||DuraVision Chrome UV|-4.00 a +4.00|-4.00|1.00 a 3.50|82|||51</x:v>
      </x:c>
    </x:row>
    <x:row r="2990">
      <x:c r="A2990" s="24" t="str">
        <x:v>ZS-DB81EF2381C9</x:v>
      </x:c>
      <x:c r="B2990" s="24" t="str">
        <x:v>SIM</x:v>
      </x:c>
      <x:c r="C2990" s="24" t="str">
        <x:v>DISPONÍVEL</x:v>
      </x:c>
      <x:c r="D2990" s="24" t="str">
        <x:v>ZEISS</x:v>
      </x:c>
      <x:c r="E2990" s="24" t="str">
        <x:v>Progressiva Especial</x:v>
      </x:c>
      <x:c r="F2990" s="24" t="str">
        <x:v>Surfaçada</x:v>
      </x:c>
      <x:c r="G2990" s="24" t="str">
        <x:v>Individual Sport</x:v>
      </x:c>
      <x:c r="H2990" s="24"/>
      <x:c r="I2990" s="24" t="str">
        <x:v>1.6</x:v>
      </x:c>
      <x:c r="J2990" s="24" t="str">
        <x:v>1.60</x:v>
      </x:c>
      <x:c r="K2990" s="24" t="str">
        <x:v>DuraVision Gold UV</x:v>
      </x:c>
      <x:c r="L2990" s="40" t="n">
        <x:v>6004</x:v>
      </x:c>
      <x:c r="M2990" s="24" t="str">
        <x:v>-4.00 a +4.00</x:v>
      </x:c>
      <x:c r="N2990" s="24" t="str">
        <x:v>-4.00</x:v>
      </x:c>
      <x:c r="O2990" s="24" t="str">
        <x:v>1.00 a 3.50</x:v>
      </x:c>
      <x:c r="P2990" s="24" t="str">
        <x:v>83</x:v>
      </x:c>
      <x:c r="Q2990" s="24"/>
      <x:c r="R2990" s="24"/>
      <x:c r="S2990" s="26" t="n">
        <x:v>46113</x:v>
      </x:c>
      <x:c r="T2990" s="26"/>
      <x:c r="U2990" s="24" t="str">
        <x:v>ATIVA/SEM FIM INFORMADO</x:v>
      </x:c>
      <x:c r="V2990" s="24"/>
      <x:c r="W2990" s="24" t="n">
        <x:v>51</x:v>
      </x:c>
      <x:c r="X2990" s="24" t="str">
        <x:v>tabela_zeiss.pdf</x:v>
      </x:c>
      <x:c r="Y2990" s="24" t="str">
        <x:v>alta</x:v>
      </x:c>
      <x:c r="Z2990" s="24"/>
      <x:c r="AA2990" s="24" t="str">
        <x:v>ZEISS|Progressiva Especial|Surfaçada|Individual Sport||1.6|1.60|DuraVision Gold UV|-4.00 a +4.00|-4.00|1.00 a 3.50|83|||51</x:v>
      </x:c>
    </x:row>
    <x:row r="2991">
      <x:c r="A2991" s="24" t="str">
        <x:v>ZS-651A004C780D</x:v>
      </x:c>
      <x:c r="B2991" s="24" t="str">
        <x:v>SIM</x:v>
      </x:c>
      <x:c r="C2991" s="24" t="str">
        <x:v>DISPONÍVEL</x:v>
      </x:c>
      <x:c r="D2991" s="24" t="str">
        <x:v>ZEISS</x:v>
      </x:c>
      <x:c r="E2991" s="24" t="str">
        <x:v>Progressiva Especial</x:v>
      </x:c>
      <x:c r="F2991" s="24" t="str">
        <x:v>Surfaçada</x:v>
      </x:c>
      <x:c r="G2991" s="24" t="str">
        <x:v>Individual Sport</x:v>
      </x:c>
      <x:c r="H2991" s="24"/>
      <x:c r="I2991" s="24" t="str">
        <x:v>1.6</x:v>
      </x:c>
      <x:c r="J2991" s="24" t="str">
        <x:v>1.60</x:v>
      </x:c>
      <x:c r="K2991" s="24" t="str">
        <x:v>DURAVISION® ANTIVÍRUS PLATINUM UV</x:v>
      </x:c>
      <x:c r="L2991" s="40" t="n">
        <x:v>5864</x:v>
      </x:c>
      <x:c r="M2991" s="24" t="str">
        <x:v>-4.00 a +4.00</x:v>
      </x:c>
      <x:c r="N2991" s="24" t="str">
        <x:v>-4.00</x:v>
      </x:c>
      <x:c r="O2991" s="24" t="str">
        <x:v>1.00 a 3.50</x:v>
      </x:c>
      <x:c r="P2991" s="24" t="str">
        <x:v>83</x:v>
      </x:c>
      <x:c r="Q2991" s="24"/>
      <x:c r="R2991" s="24"/>
      <x:c r="S2991" s="26" t="n">
        <x:v>46113</x:v>
      </x:c>
      <x:c r="T2991" s="26"/>
      <x:c r="U2991" s="24" t="str">
        <x:v>ATIVA/SEM FIM INFORMADO</x:v>
      </x:c>
      <x:c r="V2991" s="24"/>
      <x:c r="W2991" s="24" t="n">
        <x:v>51</x:v>
      </x:c>
      <x:c r="X2991" s="24" t="str">
        <x:v>tabela_zeiss.pdf</x:v>
      </x:c>
      <x:c r="Y2991" s="24" t="str">
        <x:v>alta</x:v>
      </x:c>
      <x:c r="Z2991" s="24"/>
      <x:c r="AA2991" s="24" t="str">
        <x:v>ZEISS|Progressiva Especial|Surfaçada|Individual Sport||1.6|1.60|DURAVISION® ANTIVÍRUS PLATINUM UV|-4.00 a +4.00|-4.00|1.00 a 3.50|83|||51</x:v>
      </x:c>
    </x:row>
    <x:row r="2992">
      <x:c r="A2992" s="24" t="str">
        <x:v>ZS-29075F1268DA</x:v>
      </x:c>
      <x:c r="B2992" s="24" t="str">
        <x:v>SIM</x:v>
      </x:c>
      <x:c r="C2992" s="24" t="str">
        <x:v>DISPONÍVEL</x:v>
      </x:c>
      <x:c r="D2992" s="24" t="str">
        <x:v>ZEISS</x:v>
      </x:c>
      <x:c r="E2992" s="24" t="str">
        <x:v>Progressiva Especial</x:v>
      </x:c>
      <x:c r="F2992" s="24" t="str">
        <x:v>Surfaçada</x:v>
      </x:c>
      <x:c r="G2992" s="24" t="str">
        <x:v>Individual Sport</x:v>
      </x:c>
      <x:c r="H2992" s="24"/>
      <x:c r="I2992" s="24" t="str">
        <x:v>1.6</x:v>
      </x:c>
      <x:c r="J2992" s="24" t="str">
        <x:v>1.60</x:v>
      </x:c>
      <x:c r="K2992" s="24" t="str">
        <x:v>DuraVision Platinum UV</x:v>
      </x:c>
      <x:c r="L2992" s="40" t="n">
        <x:v>5864</x:v>
      </x:c>
      <x:c r="M2992" s="24" t="str">
        <x:v>-4.00 a +4.00</x:v>
      </x:c>
      <x:c r="N2992" s="24" t="str">
        <x:v>-4.00</x:v>
      </x:c>
      <x:c r="O2992" s="24" t="str">
        <x:v>1.00 a 3.50</x:v>
      </x:c>
      <x:c r="P2992" s="24" t="str">
        <x:v>83</x:v>
      </x:c>
      <x:c r="Q2992" s="24"/>
      <x:c r="R2992" s="24"/>
      <x:c r="S2992" s="26" t="n">
        <x:v>46113</x:v>
      </x:c>
      <x:c r="T2992" s="26"/>
      <x:c r="U2992" s="24" t="str">
        <x:v>ATIVA/SEM FIM INFORMADO</x:v>
      </x:c>
      <x:c r="V2992" s="24"/>
      <x:c r="W2992" s="24" t="n">
        <x:v>51</x:v>
      </x:c>
      <x:c r="X2992" s="24" t="str">
        <x:v>tabela_zeiss.pdf</x:v>
      </x:c>
      <x:c r="Y2992" s="24" t="str">
        <x:v>alta</x:v>
      </x:c>
      <x:c r="Z2992" s="24"/>
      <x:c r="AA2992" s="24" t="str">
        <x:v>ZEISS|Progressiva Especial|Surfaçada|Individual Sport||1.6|1.60|DuraVision Platinum UV|-4.00 a +4.00|-4.00|1.00 a 3.50|83|||51</x:v>
      </x:c>
    </x:row>
    <x:row r="2993">
      <x:c r="A2993" s="24" t="str">
        <x:v>ZS-590A72473E15</x:v>
      </x:c>
      <x:c r="B2993" s="24" t="str">
        <x:v>SIM</x:v>
      </x:c>
      <x:c r="C2993" s="24" t="str">
        <x:v>DISPONÍVEL</x:v>
      </x:c>
      <x:c r="D2993" s="24" t="str">
        <x:v>ZEISS</x:v>
      </x:c>
      <x:c r="E2993" s="24" t="str">
        <x:v>Progressiva Especial</x:v>
      </x:c>
      <x:c r="F2993" s="24" t="str">
        <x:v>Surfaçada</x:v>
      </x:c>
      <x:c r="G2993" s="24" t="str">
        <x:v>Individual Sport</x:v>
      </x:c>
      <x:c r="H2993" s="24"/>
      <x:c r="I2993" s="24" t="str">
        <x:v>1.6</x:v>
      </x:c>
      <x:c r="J2993" s="24" t="str">
        <x:v>1.60</x:v>
      </x:c>
      <x:c r="K2993" s="24" t="str">
        <x:v>DuraVision Silver UV</x:v>
      </x:c>
      <x:c r="L2993" s="40" t="n">
        <x:v>5604</x:v>
      </x:c>
      <x:c r="M2993" s="24" t="str">
        <x:v>-4.00 a +4.00</x:v>
      </x:c>
      <x:c r="N2993" s="24" t="str">
        <x:v>-4.00</x:v>
      </x:c>
      <x:c r="O2993" s="24" t="str">
        <x:v>1.00 a 3.50</x:v>
      </x:c>
      <x:c r="P2993" s="24" t="str">
        <x:v>83</x:v>
      </x:c>
      <x:c r="Q2993" s="24"/>
      <x:c r="R2993" s="24"/>
      <x:c r="S2993" s="26" t="n">
        <x:v>46113</x:v>
      </x:c>
      <x:c r="T2993" s="26"/>
      <x:c r="U2993" s="24" t="str">
        <x:v>ATIVA/SEM FIM INFORMADO</x:v>
      </x:c>
      <x:c r="V2993" s="24"/>
      <x:c r="W2993" s="24" t="n">
        <x:v>51</x:v>
      </x:c>
      <x:c r="X2993" s="24" t="str">
        <x:v>tabela_zeiss.pdf</x:v>
      </x:c>
      <x:c r="Y2993" s="24" t="str">
        <x:v>alta</x:v>
      </x:c>
      <x:c r="Z2993" s="24"/>
      <x:c r="AA2993" s="24" t="str">
        <x:v>ZEISS|Progressiva Especial|Surfaçada|Individual Sport||1.6|1.60|DuraVision Silver UV|-4.00 a +4.00|-4.00|1.00 a 3.50|83|||51</x:v>
      </x:c>
    </x:row>
    <x:row r="2994">
      <x:c r="A2994" s="24" t="str">
        <x:v>ZS-8F3C9332F638</x:v>
      </x:c>
      <x:c r="B2994" s="24" t="str">
        <x:v>SIM</x:v>
      </x:c>
      <x:c r="C2994" s="24" t="str">
        <x:v>DISPONÍVEL</x:v>
      </x:c>
      <x:c r="D2994" s="24" t="str">
        <x:v>ZEISS</x:v>
      </x:c>
      <x:c r="E2994" s="24" t="str">
        <x:v>Progressiva Especial</x:v>
      </x:c>
      <x:c r="F2994" s="24" t="str">
        <x:v>Surfaçada</x:v>
      </x:c>
      <x:c r="G2994" s="24" t="str">
        <x:v>Individual Sport</x:v>
      </x:c>
      <x:c r="H2994" s="24"/>
      <x:c r="I2994" s="24" t="str">
        <x:v>1.6</x:v>
      </x:c>
      <x:c r="J2994" s="24" t="str">
        <x:v>1.60</x:v>
      </x:c>
      <x:c r="K2994" s="24" t="str">
        <x:v>DuraVision Chrome UV</x:v>
      </x:c>
      <x:c r="L2994" s="40" t="n">
        <x:v>5114</x:v>
      </x:c>
      <x:c r="M2994" s="24" t="str">
        <x:v>-4.00 a +4.00</x:v>
      </x:c>
      <x:c r="N2994" s="24" t="str">
        <x:v>-4.00</x:v>
      </x:c>
      <x:c r="O2994" s="24" t="str">
        <x:v>1.00 a 3.50</x:v>
      </x:c>
      <x:c r="P2994" s="24" t="str">
        <x:v>83</x:v>
      </x:c>
      <x:c r="Q2994" s="24"/>
      <x:c r="R2994" s="24"/>
      <x:c r="S2994" s="26" t="n">
        <x:v>46113</x:v>
      </x:c>
      <x:c r="T2994" s="26"/>
      <x:c r="U2994" s="24" t="str">
        <x:v>ATIVA/SEM FIM INFORMADO</x:v>
      </x:c>
      <x:c r="V2994" s="24"/>
      <x:c r="W2994" s="24" t="n">
        <x:v>51</x:v>
      </x:c>
      <x:c r="X2994" s="24" t="str">
        <x:v>tabela_zeiss.pdf</x:v>
      </x:c>
      <x:c r="Y2994" s="24" t="str">
        <x:v>alta</x:v>
      </x:c>
      <x:c r="Z2994" s="24"/>
      <x:c r="AA2994" s="24" t="str">
        <x:v>ZEISS|Progressiva Especial|Surfaçada|Individual Sport||1.6|1.60|DuraVision Chrome UV|-4.00 a +4.00|-4.00|1.00 a 3.50|83|||51</x:v>
      </x:c>
    </x:row>
    <x:row r="2995">
      <x:c r="A2995" s="24" t="str">
        <x:v>ZS-CEDCF10DC278</x:v>
      </x:c>
      <x:c r="B2995" s="24" t="str">
        <x:v>SIM</x:v>
      </x:c>
      <x:c r="C2995" s="24" t="str">
        <x:v>DISPONÍVEL</x:v>
      </x:c>
      <x:c r="D2995" s="24" t="str">
        <x:v>ZEISS</x:v>
      </x:c>
      <x:c r="E2995" s="24" t="str">
        <x:v>Progressiva Especial</x:v>
      </x:c>
      <x:c r="F2995" s="24" t="str">
        <x:v>Surfaçada</x:v>
      </x:c>
      <x:c r="G2995" s="24" t="str">
        <x:v>Individual Sport</x:v>
      </x:c>
      <x:c r="H2995" s="24" t="str">
        <x:v>PhotoFusion X</x:v>
      </x:c>
      <x:c r="I2995" s="24" t="str">
        <x:v>1.5</x:v>
      </x:c>
      <x:c r="J2995" s="24" t="str">
        <x:v>1.50</x:v>
      </x:c>
      <x:c r="K2995" s="24" t="str">
        <x:v>DuraVision Gold UV</x:v>
      </x:c>
      <x:c r="L2995" s="40" t="n">
        <x:v>6174</x:v>
      </x:c>
      <x:c r="M2995" s="24" t="str">
        <x:v>-4.00 a +4.00</x:v>
      </x:c>
      <x:c r="N2995" s="24" t="str">
        <x:v>-4.00</x:v>
      </x:c>
      <x:c r="O2995" s="24" t="str">
        <x:v>1.00 a 3.50</x:v>
      </x:c>
      <x:c r="P2995" s="24" t="str">
        <x:v>80</x:v>
      </x:c>
      <x:c r="Q2995" s="24"/>
      <x:c r="R2995" s="24"/>
      <x:c r="S2995" s="26" t="n">
        <x:v>46113</x:v>
      </x:c>
      <x:c r="T2995" s="26"/>
      <x:c r="U2995" s="24" t="str">
        <x:v>ATIVA/SEM FIM INFORMADO</x:v>
      </x:c>
      <x:c r="V2995" s="24" t="str">
        <x:v>Programa de Parcerias ZEISS</x:v>
      </x:c>
      <x:c r="W2995" s="24" t="n">
        <x:v>51</x:v>
      </x:c>
      <x:c r="X2995" s="24" t="str">
        <x:v>tabela_zeiss.pdf</x:v>
      </x:c>
      <x:c r="Y2995" s="24" t="str">
        <x:v>alta</x:v>
      </x:c>
      <x:c r="Z2995" s="24"/>
      <x:c r="AA2995" s="24" t="str">
        <x:v>ZEISS|Progressiva Especial|Surfaçada|Individual Sport|PhotoFusion X|1.5|1.50|DuraVision Gold UV|-4.00 a +4.00|-4.00|1.00 a 3.50|80|||51</x:v>
      </x:c>
    </x:row>
    <x:row r="2996">
      <x:c r="A2996" s="24" t="str">
        <x:v>ZS-90769A6DD8D3</x:v>
      </x:c>
      <x:c r="B2996" s="24" t="str">
        <x:v>SIM</x:v>
      </x:c>
      <x:c r="C2996" s="24" t="str">
        <x:v>DISPONÍVEL</x:v>
      </x:c>
      <x:c r="D2996" s="24" t="str">
        <x:v>ZEISS</x:v>
      </x:c>
      <x:c r="E2996" s="24" t="str">
        <x:v>Progressiva Especial</x:v>
      </x:c>
      <x:c r="F2996" s="24" t="str">
        <x:v>Surfaçada</x:v>
      </x:c>
      <x:c r="G2996" s="24" t="str">
        <x:v>Individual Sport</x:v>
      </x:c>
      <x:c r="H2996" s="24" t="str">
        <x:v>PhotoFusion X</x:v>
      </x:c>
      <x:c r="I2996" s="24" t="str">
        <x:v>1.5</x:v>
      </x:c>
      <x:c r="J2996" s="24" t="str">
        <x:v>1.50</x:v>
      </x:c>
      <x:c r="K2996" s="24" t="str">
        <x:v>DURAVISION® ANTIVÍRUS PLATINUM UV</x:v>
      </x:c>
      <x:c r="L2996" s="40" t="n">
        <x:v>6034</x:v>
      </x:c>
      <x:c r="M2996" s="24" t="str">
        <x:v>-4.00 a +4.00</x:v>
      </x:c>
      <x:c r="N2996" s="24" t="str">
        <x:v>-4.00</x:v>
      </x:c>
      <x:c r="O2996" s="24" t="str">
        <x:v>1.00 a 3.50</x:v>
      </x:c>
      <x:c r="P2996" s="24" t="str">
        <x:v>80</x:v>
      </x:c>
      <x:c r="Q2996" s="24"/>
      <x:c r="R2996" s="24"/>
      <x:c r="S2996" s="26" t="n">
        <x:v>46113</x:v>
      </x:c>
      <x:c r="T2996" s="26"/>
      <x:c r="U2996" s="24" t="str">
        <x:v>ATIVA/SEM FIM INFORMADO</x:v>
      </x:c>
      <x:c r="V2996" s="24" t="str">
        <x:v>Programa de Parcerias ZEISS</x:v>
      </x:c>
      <x:c r="W2996" s="24" t="n">
        <x:v>51</x:v>
      </x:c>
      <x:c r="X2996" s="24" t="str">
        <x:v>tabela_zeiss.pdf</x:v>
      </x:c>
      <x:c r="Y2996" s="24" t="str">
        <x:v>alta</x:v>
      </x:c>
      <x:c r="Z2996" s="24"/>
      <x:c r="AA2996" s="24" t="str">
        <x:v>ZEISS|Progressiva Especial|Surfaçada|Individual Sport|PhotoFusion X|1.5|1.50|DURAVISION® ANTIVÍRUS PLATINUM UV|-4.00 a +4.00|-4.00|1.00 a 3.50|80|||51</x:v>
      </x:c>
    </x:row>
    <x:row r="2997">
      <x:c r="A2997" s="24" t="str">
        <x:v>ZS-0FEEDDDFEB4F</x:v>
      </x:c>
      <x:c r="B2997" s="24" t="str">
        <x:v>SIM</x:v>
      </x:c>
      <x:c r="C2997" s="24" t="str">
        <x:v>DISPONÍVEL</x:v>
      </x:c>
      <x:c r="D2997" s="24" t="str">
        <x:v>ZEISS</x:v>
      </x:c>
      <x:c r="E2997" s="24" t="str">
        <x:v>Progressiva Especial</x:v>
      </x:c>
      <x:c r="F2997" s="24" t="str">
        <x:v>Surfaçada</x:v>
      </x:c>
      <x:c r="G2997" s="24" t="str">
        <x:v>Individual Sport</x:v>
      </x:c>
      <x:c r="H2997" s="24" t="str">
        <x:v>PhotoFusion X</x:v>
      </x:c>
      <x:c r="I2997" s="24" t="str">
        <x:v>1.5</x:v>
      </x:c>
      <x:c r="J2997" s="24" t="str">
        <x:v>1.50</x:v>
      </x:c>
      <x:c r="K2997" s="24" t="str">
        <x:v>DuraVision Platinum UV</x:v>
      </x:c>
      <x:c r="L2997" s="40" t="n">
        <x:v>6034</x:v>
      </x:c>
      <x:c r="M2997" s="24" t="str">
        <x:v>-4.00 a +4.00</x:v>
      </x:c>
      <x:c r="N2997" s="24" t="str">
        <x:v>-4.00</x:v>
      </x:c>
      <x:c r="O2997" s="24" t="str">
        <x:v>1.00 a 3.50</x:v>
      </x:c>
      <x:c r="P2997" s="24" t="str">
        <x:v>80</x:v>
      </x:c>
      <x:c r="Q2997" s="24"/>
      <x:c r="R2997" s="24"/>
      <x:c r="S2997" s="26" t="n">
        <x:v>46113</x:v>
      </x:c>
      <x:c r="T2997" s="26"/>
      <x:c r="U2997" s="24" t="str">
        <x:v>ATIVA/SEM FIM INFORMADO</x:v>
      </x:c>
      <x:c r="V2997" s="24" t="str">
        <x:v>Programa de Parcerias ZEISS</x:v>
      </x:c>
      <x:c r="W2997" s="24" t="n">
        <x:v>51</x:v>
      </x:c>
      <x:c r="X2997" s="24" t="str">
        <x:v>tabela_zeiss.pdf</x:v>
      </x:c>
      <x:c r="Y2997" s="24" t="str">
        <x:v>alta</x:v>
      </x:c>
      <x:c r="Z2997" s="24"/>
      <x:c r="AA2997" s="24" t="str">
        <x:v>ZEISS|Progressiva Especial|Surfaçada|Individual Sport|PhotoFusion X|1.5|1.50|DuraVision Platinum UV|-4.00 a +4.00|-4.00|1.00 a 3.50|80|||51</x:v>
      </x:c>
    </x:row>
    <x:row r="2998">
      <x:c r="A2998" s="24" t="str">
        <x:v>ZS-4B936155F0A6</x:v>
      </x:c>
      <x:c r="B2998" s="24" t="str">
        <x:v>SIM</x:v>
      </x:c>
      <x:c r="C2998" s="24" t="str">
        <x:v>DISPONÍVEL</x:v>
      </x:c>
      <x:c r="D2998" s="24" t="str">
        <x:v>ZEISS</x:v>
      </x:c>
      <x:c r="E2998" s="24" t="str">
        <x:v>Progressiva Especial</x:v>
      </x:c>
      <x:c r="F2998" s="24" t="str">
        <x:v>Surfaçada</x:v>
      </x:c>
      <x:c r="G2998" s="24" t="str">
        <x:v>Individual Sport</x:v>
      </x:c>
      <x:c r="H2998" s="24" t="str">
        <x:v>PhotoFusion X</x:v>
      </x:c>
      <x:c r="I2998" s="24" t="str">
        <x:v>1.5</x:v>
      </x:c>
      <x:c r="J2998" s="24" t="str">
        <x:v>1.50</x:v>
      </x:c>
      <x:c r="K2998" s="24" t="str">
        <x:v>DuraVision Silver UV</x:v>
      </x:c>
      <x:c r="L2998" s="40" t="n">
        <x:v>5774</x:v>
      </x:c>
      <x:c r="M2998" s="24" t="str">
        <x:v>-4.00 a +4.00</x:v>
      </x:c>
      <x:c r="N2998" s="24" t="str">
        <x:v>-4.00</x:v>
      </x:c>
      <x:c r="O2998" s="24" t="str">
        <x:v>1.00 a 3.50</x:v>
      </x:c>
      <x:c r="P2998" s="24" t="str">
        <x:v>80</x:v>
      </x:c>
      <x:c r="Q2998" s="24"/>
      <x:c r="R2998" s="24"/>
      <x:c r="S2998" s="26" t="n">
        <x:v>46113</x:v>
      </x:c>
      <x:c r="T2998" s="26"/>
      <x:c r="U2998" s="24" t="str">
        <x:v>ATIVA/SEM FIM INFORMADO</x:v>
      </x:c>
      <x:c r="V2998" s="24" t="str">
        <x:v>Programa de Parcerias ZEISS</x:v>
      </x:c>
      <x:c r="W2998" s="24" t="n">
        <x:v>51</x:v>
      </x:c>
      <x:c r="X2998" s="24" t="str">
        <x:v>tabela_zeiss.pdf</x:v>
      </x:c>
      <x:c r="Y2998" s="24" t="str">
        <x:v>alta</x:v>
      </x:c>
      <x:c r="Z2998" s="24"/>
      <x:c r="AA2998" s="24" t="str">
        <x:v>ZEISS|Progressiva Especial|Surfaçada|Individual Sport|PhotoFusion X|1.5|1.50|DuraVision Silver UV|-4.00 a +4.00|-4.00|1.00 a 3.50|80|||51</x:v>
      </x:c>
    </x:row>
    <x:row r="2999">
      <x:c r="A2999" s="24" t="str">
        <x:v>ZS-7AB3A618A493</x:v>
      </x:c>
      <x:c r="B2999" s="24" t="str">
        <x:v>SIM</x:v>
      </x:c>
      <x:c r="C2999" s="24" t="str">
        <x:v>DISPONÍVEL</x:v>
      </x:c>
      <x:c r="D2999" s="24" t="str">
        <x:v>ZEISS</x:v>
      </x:c>
      <x:c r="E2999" s="24" t="str">
        <x:v>Progressiva Especial</x:v>
      </x:c>
      <x:c r="F2999" s="24" t="str">
        <x:v>Surfaçada</x:v>
      </x:c>
      <x:c r="G2999" s="24" t="str">
        <x:v>Individual Sport</x:v>
      </x:c>
      <x:c r="H2999" s="24" t="str">
        <x:v>PhotoFusion X</x:v>
      </x:c>
      <x:c r="I2999" s="24" t="str">
        <x:v>1.5</x:v>
      </x:c>
      <x:c r="J2999" s="24" t="str">
        <x:v>1.50</x:v>
      </x:c>
      <x:c r="K2999" s="24" t="str">
        <x:v>DuraVision Chrome UV</x:v>
      </x:c>
      <x:c r="L2999" s="40" t="n">
        <x:v>5284</x:v>
      </x:c>
      <x:c r="M2999" s="24" t="str">
        <x:v>-4.00 a +4.00</x:v>
      </x:c>
      <x:c r="N2999" s="24" t="str">
        <x:v>-4.00</x:v>
      </x:c>
      <x:c r="O2999" s="24" t="str">
        <x:v>1.00 a 3.50</x:v>
      </x:c>
      <x:c r="P2999" s="24" t="str">
        <x:v>80</x:v>
      </x:c>
      <x:c r="Q2999" s="24"/>
      <x:c r="R2999" s="24"/>
      <x:c r="S2999" s="26" t="n">
        <x:v>46113</x:v>
      </x:c>
      <x:c r="T2999" s="26"/>
      <x:c r="U2999" s="24" t="str">
        <x:v>ATIVA/SEM FIM INFORMADO</x:v>
      </x:c>
      <x:c r="V2999" s="24" t="str">
        <x:v>Programa de Parcerias ZEISS</x:v>
      </x:c>
      <x:c r="W2999" s="24" t="n">
        <x:v>51</x:v>
      </x:c>
      <x:c r="X2999" s="24" t="str">
        <x:v>tabela_zeiss.pdf</x:v>
      </x:c>
      <x:c r="Y2999" s="24" t="str">
        <x:v>alta</x:v>
      </x:c>
      <x:c r="Z2999" s="24"/>
      <x:c r="AA2999" s="24" t="str">
        <x:v>ZEISS|Progressiva Especial|Surfaçada|Individual Sport|PhotoFusion X|1.5|1.50|DuraVision Chrome UV|-4.00 a +4.00|-4.00|1.00 a 3.50|80|||51</x:v>
      </x:c>
    </x:row>
    <x:row r="3000">
      <x:c r="A3000" s="24" t="str">
        <x:v>ZS-ECBAFBB4C5E0</x:v>
      </x:c>
      <x:c r="B3000" s="24" t="str">
        <x:v>SIM</x:v>
      </x:c>
      <x:c r="C3000" s="24" t="str">
        <x:v>DISPONÍVEL</x:v>
      </x:c>
      <x:c r="D3000" s="24" t="str">
        <x:v>ZEISS</x:v>
      </x:c>
      <x:c r="E3000" s="24" t="str">
        <x:v>Progressiva Especial</x:v>
      </x:c>
      <x:c r="F3000" s="24" t="str">
        <x:v>Surfaçada</x:v>
      </x:c>
      <x:c r="G3000" s="24" t="str">
        <x:v>Individual Sport</x:v>
      </x:c>
      <x:c r="H3000" s="24" t="str">
        <x:v>PhotoFusion X</x:v>
      </x:c>
      <x:c r="I3000" s="24" t="str">
        <x:v>Poli</x:v>
      </x:c>
      <x:c r="J3000" s="24"/>
      <x:c r="K3000" s="24" t="str">
        <x:v>DuraVision Gold UV</x:v>
      </x:c>
      <x:c r="L3000" s="40" t="n">
        <x:v>6764</x:v>
      </x:c>
      <x:c r="M3000" s="24" t="str">
        <x:v>-4.00 a +4.00</x:v>
      </x:c>
      <x:c r="N3000" s="24" t="str">
        <x:v>-4.00</x:v>
      </x:c>
      <x:c r="O3000" s="24" t="str">
        <x:v>1.00 a 3.50</x:v>
      </x:c>
      <x:c r="P3000" s="24" t="str">
        <x:v>80</x:v>
      </x:c>
      <x:c r="Q3000" s="24"/>
      <x:c r="R3000" s="24"/>
      <x:c r="S3000" s="26" t="n">
        <x:v>46113</x:v>
      </x:c>
      <x:c r="T3000" s="26"/>
      <x:c r="U3000" s="24" t="str">
        <x:v>ATIVA/SEM FIM INFORMADO</x:v>
      </x:c>
      <x:c r="V3000" s="24" t="str">
        <x:v>Programa de Parcerias ZEISS</x:v>
      </x:c>
      <x:c r="W3000" s="24" t="n">
        <x:v>51</x:v>
      </x:c>
      <x:c r="X3000" s="24" t="str">
        <x:v>tabela_zeiss.pdf</x:v>
      </x:c>
      <x:c r="Y3000" s="24" t="str">
        <x:v>alta</x:v>
      </x:c>
      <x:c r="Z3000" s="24"/>
      <x:c r="AA3000" s="24" t="str">
        <x:v>ZEISS|Progressiva Especial|Surfaçada|Individual Sport|PhotoFusion X|Poli||DuraVision Gold UV|-4.00 a +4.00|-4.00|1.00 a 3.50|80|||51</x:v>
      </x:c>
    </x:row>
    <x:row r="3001">
      <x:c r="A3001" s="24" t="str">
        <x:v>ZS-64500D9A32E7</x:v>
      </x:c>
      <x:c r="B3001" s="24" t="str">
        <x:v>SIM</x:v>
      </x:c>
      <x:c r="C3001" s="24" t="str">
        <x:v>DISPONÍVEL</x:v>
      </x:c>
      <x:c r="D3001" s="24" t="str">
        <x:v>ZEISS</x:v>
      </x:c>
      <x:c r="E3001" s="24" t="str">
        <x:v>Progressiva Especial</x:v>
      </x:c>
      <x:c r="F3001" s="24" t="str">
        <x:v>Surfaçada</x:v>
      </x:c>
      <x:c r="G3001" s="24" t="str">
        <x:v>Individual Sport</x:v>
      </x:c>
      <x:c r="H3001" s="24" t="str">
        <x:v>PhotoFusion X</x:v>
      </x:c>
      <x:c r="I3001" s="24" t="str">
        <x:v>Poli</x:v>
      </x:c>
      <x:c r="J3001" s="24"/>
      <x:c r="K3001" s="24" t="str">
        <x:v>DuraVision Platinum UV</x:v>
      </x:c>
      <x:c r="L3001" s="40" t="n">
        <x:v>6624</x:v>
      </x:c>
      <x:c r="M3001" s="24" t="str">
        <x:v>-4.00 a +4.00</x:v>
      </x:c>
      <x:c r="N3001" s="24" t="str">
        <x:v>-4.00</x:v>
      </x:c>
      <x:c r="O3001" s="24" t="str">
        <x:v>1.00 a 3.50</x:v>
      </x:c>
      <x:c r="P3001" s="24" t="str">
        <x:v>80</x:v>
      </x:c>
      <x:c r="Q3001" s="24"/>
      <x:c r="R3001" s="24"/>
      <x:c r="S3001" s="26" t="n">
        <x:v>46113</x:v>
      </x:c>
      <x:c r="T3001" s="26"/>
      <x:c r="U3001" s="24" t="str">
        <x:v>ATIVA/SEM FIM INFORMADO</x:v>
      </x:c>
      <x:c r="V3001" s="24" t="str">
        <x:v>Programa de Parcerias ZEISS</x:v>
      </x:c>
      <x:c r="W3001" s="24" t="n">
        <x:v>51</x:v>
      </x:c>
      <x:c r="X3001" s="24" t="str">
        <x:v>tabela_zeiss.pdf</x:v>
      </x:c>
      <x:c r="Y3001" s="24" t="str">
        <x:v>alta</x:v>
      </x:c>
      <x:c r="Z3001" s="24"/>
      <x:c r="AA3001" s="24" t="str">
        <x:v>ZEISS|Progressiva Especial|Surfaçada|Individual Sport|PhotoFusion X|Poli||DuraVision Platinum UV|-4.00 a +4.00|-4.00|1.00 a 3.50|80|||51</x:v>
      </x:c>
    </x:row>
    <x:row r="3002">
      <x:c r="A3002" s="24" t="str">
        <x:v>ZS-4E1BE39E1F3F</x:v>
      </x:c>
      <x:c r="B3002" s="24" t="str">
        <x:v>SIM</x:v>
      </x:c>
      <x:c r="C3002" s="24" t="str">
        <x:v>DISPONÍVEL</x:v>
      </x:c>
      <x:c r="D3002" s="24" t="str">
        <x:v>ZEISS</x:v>
      </x:c>
      <x:c r="E3002" s="24" t="str">
        <x:v>Progressiva Especial</x:v>
      </x:c>
      <x:c r="F3002" s="24" t="str">
        <x:v>Surfaçada</x:v>
      </x:c>
      <x:c r="G3002" s="24" t="str">
        <x:v>Individual Sport</x:v>
      </x:c>
      <x:c r="H3002" s="24" t="str">
        <x:v>PhotoFusion X</x:v>
      </x:c>
      <x:c r="I3002" s="24" t="str">
        <x:v>Poli</x:v>
      </x:c>
      <x:c r="J3002" s="24"/>
      <x:c r="K3002" s="24" t="str">
        <x:v>DuraVision Silver UV</x:v>
      </x:c>
      <x:c r="L3002" s="40" t="n">
        <x:v>6364</x:v>
      </x:c>
      <x:c r="M3002" s="24" t="str">
        <x:v>-4.00 a +4.00</x:v>
      </x:c>
      <x:c r="N3002" s="24" t="str">
        <x:v>-4.00</x:v>
      </x:c>
      <x:c r="O3002" s="24" t="str">
        <x:v>1.00 a 3.50</x:v>
      </x:c>
      <x:c r="P3002" s="24" t="str">
        <x:v>80</x:v>
      </x:c>
      <x:c r="Q3002" s="24"/>
      <x:c r="R3002" s="24"/>
      <x:c r="S3002" s="26" t="n">
        <x:v>46113</x:v>
      </x:c>
      <x:c r="T3002" s="26"/>
      <x:c r="U3002" s="24" t="str">
        <x:v>ATIVA/SEM FIM INFORMADO</x:v>
      </x:c>
      <x:c r="V3002" s="24" t="str">
        <x:v>Programa de Parcerias ZEISS</x:v>
      </x:c>
      <x:c r="W3002" s="24" t="n">
        <x:v>51</x:v>
      </x:c>
      <x:c r="X3002" s="24" t="str">
        <x:v>tabela_zeiss.pdf</x:v>
      </x:c>
      <x:c r="Y3002" s="24" t="str">
        <x:v>alta</x:v>
      </x:c>
      <x:c r="Z3002" s="24"/>
      <x:c r="AA3002" s="24" t="str">
        <x:v>ZEISS|Progressiva Especial|Surfaçada|Individual Sport|PhotoFusion X|Poli||DuraVision Silver UV|-4.00 a +4.00|-4.00|1.00 a 3.50|80|||51</x:v>
      </x:c>
    </x:row>
    <x:row r="3003">
      <x:c r="A3003" s="24" t="str">
        <x:v>ZS-C60777F115EF</x:v>
      </x:c>
      <x:c r="B3003" s="24" t="str">
        <x:v>SIM</x:v>
      </x:c>
      <x:c r="C3003" s="24" t="str">
        <x:v>DISPONÍVEL</x:v>
      </x:c>
      <x:c r="D3003" s="24" t="str">
        <x:v>ZEISS</x:v>
      </x:c>
      <x:c r="E3003" s="24" t="str">
        <x:v>Progressiva Especial</x:v>
      </x:c>
      <x:c r="F3003" s="24" t="str">
        <x:v>Surfaçada</x:v>
      </x:c>
      <x:c r="G3003" s="24" t="str">
        <x:v>Individual Sport</x:v>
      </x:c>
      <x:c r="H3003" s="24" t="str">
        <x:v>PhotoFusion X</x:v>
      </x:c>
      <x:c r="I3003" s="24" t="str">
        <x:v>Poli</x:v>
      </x:c>
      <x:c r="J3003" s="24"/>
      <x:c r="K3003" s="24" t="str">
        <x:v>DuraVision Chrome UV</x:v>
      </x:c>
      <x:c r="L3003" s="40" t="n">
        <x:v>5874</x:v>
      </x:c>
      <x:c r="M3003" s="24" t="str">
        <x:v>-4.00 a +4.00</x:v>
      </x:c>
      <x:c r="N3003" s="24" t="str">
        <x:v>-4.00</x:v>
      </x:c>
      <x:c r="O3003" s="24" t="str">
        <x:v>1.00 a 3.50</x:v>
      </x:c>
      <x:c r="P3003" s="24" t="str">
        <x:v>80</x:v>
      </x:c>
      <x:c r="Q3003" s="24"/>
      <x:c r="R3003" s="24"/>
      <x:c r="S3003" s="26" t="n">
        <x:v>46113</x:v>
      </x:c>
      <x:c r="T3003" s="26"/>
      <x:c r="U3003" s="24" t="str">
        <x:v>ATIVA/SEM FIM INFORMADO</x:v>
      </x:c>
      <x:c r="V3003" s="24" t="str">
        <x:v>Programa de Parcerias ZEISS</x:v>
      </x:c>
      <x:c r="W3003" s="24" t="n">
        <x:v>51</x:v>
      </x:c>
      <x:c r="X3003" s="24" t="str">
        <x:v>tabela_zeiss.pdf</x:v>
      </x:c>
      <x:c r="Y3003" s="24" t="str">
        <x:v>alta</x:v>
      </x:c>
      <x:c r="Z3003" s="24"/>
      <x:c r="AA3003" s="24" t="str">
        <x:v>ZEISS|Progressiva Especial|Surfaçada|Individual Sport|PhotoFusion X|Poli||DuraVision Chrome UV|-4.00 a +4.00|-4.00|1.00 a 3.50|80|||51</x:v>
      </x:c>
    </x:row>
    <x:row r="3004">
      <x:c r="A3004" s="24" t="str">
        <x:v>ZS-C526C9DF6B30</x:v>
      </x:c>
      <x:c r="B3004" s="24" t="str">
        <x:v>SIM</x:v>
      </x:c>
      <x:c r="C3004" s="24" t="str">
        <x:v>DISPONÍVEL</x:v>
      </x:c>
      <x:c r="D3004" s="24" t="str">
        <x:v>ZEISS</x:v>
      </x:c>
      <x:c r="E3004" s="24" t="str">
        <x:v>Progressiva Especial</x:v>
      </x:c>
      <x:c r="F3004" s="24" t="str">
        <x:v>Surfaçada</x:v>
      </x:c>
      <x:c r="G3004" s="24" t="str">
        <x:v>Individual Sport</x:v>
      </x:c>
      <x:c r="H3004" s="24" t="str">
        <x:v>PhotoFusion X</x:v>
      </x:c>
      <x:c r="I3004" s="24" t="str">
        <x:v>1.6</x:v>
      </x:c>
      <x:c r="J3004" s="24" t="str">
        <x:v>1.60</x:v>
      </x:c>
      <x:c r="K3004" s="24" t="str">
        <x:v>DuraVision Gold UV</x:v>
      </x:c>
      <x:c r="L3004" s="40" t="n">
        <x:v>7424</x:v>
      </x:c>
      <x:c r="M3004" s="24" t="str">
        <x:v>-4.00 a +4.00</x:v>
      </x:c>
      <x:c r="N3004" s="24" t="str">
        <x:v>-4.00</x:v>
      </x:c>
      <x:c r="O3004" s="24" t="str">
        <x:v>1.00 a 3.50</x:v>
      </x:c>
      <x:c r="P3004" s="24" t="str">
        <x:v>83</x:v>
      </x:c>
      <x:c r="Q3004" s="24"/>
      <x:c r="R3004" s="24"/>
      <x:c r="S3004" s="26" t="n">
        <x:v>46113</x:v>
      </x:c>
      <x:c r="T3004" s="26"/>
      <x:c r="U3004" s="24" t="str">
        <x:v>ATIVA/SEM FIM INFORMADO</x:v>
      </x:c>
      <x:c r="V3004" s="24" t="str">
        <x:v>Programa de Parcerias ZEISS</x:v>
      </x:c>
      <x:c r="W3004" s="24" t="n">
        <x:v>51</x:v>
      </x:c>
      <x:c r="X3004" s="24" t="str">
        <x:v>tabela_zeiss.pdf</x:v>
      </x:c>
      <x:c r="Y3004" s="24" t="str">
        <x:v>alta</x:v>
      </x:c>
      <x:c r="Z3004" s="24"/>
      <x:c r="AA3004" s="24" t="str">
        <x:v>ZEISS|Progressiva Especial|Surfaçada|Individual Sport|PhotoFusion X|1.6|1.60|DuraVision Gold UV|-4.00 a +4.00|-4.00|1.00 a 3.50|83|||51</x:v>
      </x:c>
    </x:row>
    <x:row r="3005">
      <x:c r="A3005" s="24" t="str">
        <x:v>ZS-EE06A85ABA51</x:v>
      </x:c>
      <x:c r="B3005" s="24" t="str">
        <x:v>SIM</x:v>
      </x:c>
      <x:c r="C3005" s="24" t="str">
        <x:v>DISPONÍVEL</x:v>
      </x:c>
      <x:c r="D3005" s="24" t="str">
        <x:v>ZEISS</x:v>
      </x:c>
      <x:c r="E3005" s="24" t="str">
        <x:v>Progressiva Especial</x:v>
      </x:c>
      <x:c r="F3005" s="24" t="str">
        <x:v>Surfaçada</x:v>
      </x:c>
      <x:c r="G3005" s="24" t="str">
        <x:v>Individual Sport</x:v>
      </x:c>
      <x:c r="H3005" s="24" t="str">
        <x:v>PhotoFusion X</x:v>
      </x:c>
      <x:c r="I3005" s="24" t="str">
        <x:v>1.6</x:v>
      </x:c>
      <x:c r="J3005" s="24" t="str">
        <x:v>1.60</x:v>
      </x:c>
      <x:c r="K3005" s="24" t="str">
        <x:v>DURAVISION® ANTIVÍRUS PLATINUM UV</x:v>
      </x:c>
      <x:c r="L3005" s="40" t="n">
        <x:v>7284</x:v>
      </x:c>
      <x:c r="M3005" s="24" t="str">
        <x:v>-4.00 a +4.00</x:v>
      </x:c>
      <x:c r="N3005" s="24" t="str">
        <x:v>-4.00</x:v>
      </x:c>
      <x:c r="O3005" s="24" t="str">
        <x:v>1.00 a 3.50</x:v>
      </x:c>
      <x:c r="P3005" s="24" t="str">
        <x:v>83</x:v>
      </x:c>
      <x:c r="Q3005" s="24"/>
      <x:c r="R3005" s="24"/>
      <x:c r="S3005" s="26" t="n">
        <x:v>46113</x:v>
      </x:c>
      <x:c r="T3005" s="26"/>
      <x:c r="U3005" s="24" t="str">
        <x:v>ATIVA/SEM FIM INFORMADO</x:v>
      </x:c>
      <x:c r="V3005" s="24" t="str">
        <x:v>Programa de Parcerias ZEISS</x:v>
      </x:c>
      <x:c r="W3005" s="24" t="n">
        <x:v>51</x:v>
      </x:c>
      <x:c r="X3005" s="24" t="str">
        <x:v>tabela_zeiss.pdf</x:v>
      </x:c>
      <x:c r="Y3005" s="24" t="str">
        <x:v>alta</x:v>
      </x:c>
      <x:c r="Z3005" s="24"/>
      <x:c r="AA3005" s="24" t="str">
        <x:v>ZEISS|Progressiva Especial|Surfaçada|Individual Sport|PhotoFusion X|1.6|1.60|DURAVISION® ANTIVÍRUS PLATINUM UV|-4.00 a +4.00|-4.00|1.00 a 3.50|83|||51</x:v>
      </x:c>
    </x:row>
    <x:row r="3006">
      <x:c r="A3006" s="24" t="str">
        <x:v>ZS-834FBC8CA082</x:v>
      </x:c>
      <x:c r="B3006" s="24" t="str">
        <x:v>SIM</x:v>
      </x:c>
      <x:c r="C3006" s="24" t="str">
        <x:v>DISPONÍVEL</x:v>
      </x:c>
      <x:c r="D3006" s="24" t="str">
        <x:v>ZEISS</x:v>
      </x:c>
      <x:c r="E3006" s="24" t="str">
        <x:v>Progressiva Especial</x:v>
      </x:c>
      <x:c r="F3006" s="24" t="str">
        <x:v>Surfaçada</x:v>
      </x:c>
      <x:c r="G3006" s="24" t="str">
        <x:v>Individual Sport</x:v>
      </x:c>
      <x:c r="H3006" s="24" t="str">
        <x:v>PhotoFusion X</x:v>
      </x:c>
      <x:c r="I3006" s="24" t="str">
        <x:v>1.6</x:v>
      </x:c>
      <x:c r="J3006" s="24" t="str">
        <x:v>1.60</x:v>
      </x:c>
      <x:c r="K3006" s="24" t="str">
        <x:v>DuraVision Platinum UV</x:v>
      </x:c>
      <x:c r="L3006" s="40" t="n">
        <x:v>7284</x:v>
      </x:c>
      <x:c r="M3006" s="24" t="str">
        <x:v>-4.00 a +4.00</x:v>
      </x:c>
      <x:c r="N3006" s="24" t="str">
        <x:v>-4.00</x:v>
      </x:c>
      <x:c r="O3006" s="24" t="str">
        <x:v>1.00 a 3.50</x:v>
      </x:c>
      <x:c r="P3006" s="24" t="str">
        <x:v>83</x:v>
      </x:c>
      <x:c r="Q3006" s="24"/>
      <x:c r="R3006" s="24"/>
      <x:c r="S3006" s="26" t="n">
        <x:v>46113</x:v>
      </x:c>
      <x:c r="T3006" s="26"/>
      <x:c r="U3006" s="24" t="str">
        <x:v>ATIVA/SEM FIM INFORMADO</x:v>
      </x:c>
      <x:c r="V3006" s="24" t="str">
        <x:v>Programa de Parcerias ZEISS</x:v>
      </x:c>
      <x:c r="W3006" s="24" t="n">
        <x:v>51</x:v>
      </x:c>
      <x:c r="X3006" s="24" t="str">
        <x:v>tabela_zeiss.pdf</x:v>
      </x:c>
      <x:c r="Y3006" s="24" t="str">
        <x:v>alta</x:v>
      </x:c>
      <x:c r="Z3006" s="24"/>
      <x:c r="AA3006" s="24" t="str">
        <x:v>ZEISS|Progressiva Especial|Surfaçada|Individual Sport|PhotoFusion X|1.6|1.60|DuraVision Platinum UV|-4.00 a +4.00|-4.00|1.00 a 3.50|83|||51</x:v>
      </x:c>
    </x:row>
    <x:row r="3007">
      <x:c r="A3007" s="24" t="str">
        <x:v>ZS-CDC884F3D636</x:v>
      </x:c>
      <x:c r="B3007" s="24" t="str">
        <x:v>SIM</x:v>
      </x:c>
      <x:c r="C3007" s="24" t="str">
        <x:v>DISPONÍVEL</x:v>
      </x:c>
      <x:c r="D3007" s="24" t="str">
        <x:v>ZEISS</x:v>
      </x:c>
      <x:c r="E3007" s="24" t="str">
        <x:v>Progressiva Especial</x:v>
      </x:c>
      <x:c r="F3007" s="24" t="str">
        <x:v>Surfaçada</x:v>
      </x:c>
      <x:c r="G3007" s="24" t="str">
        <x:v>Individual Sport</x:v>
      </x:c>
      <x:c r="H3007" s="24" t="str">
        <x:v>PhotoFusion X</x:v>
      </x:c>
      <x:c r="I3007" s="24" t="str">
        <x:v>1.6</x:v>
      </x:c>
      <x:c r="J3007" s="24" t="str">
        <x:v>1.60</x:v>
      </x:c>
      <x:c r="K3007" s="24" t="str">
        <x:v>DuraVision Silver UV</x:v>
      </x:c>
      <x:c r="L3007" s="40" t="n">
        <x:v>7024</x:v>
      </x:c>
      <x:c r="M3007" s="24" t="str">
        <x:v>-4.00 a +4.00</x:v>
      </x:c>
      <x:c r="N3007" s="24" t="str">
        <x:v>-4.00</x:v>
      </x:c>
      <x:c r="O3007" s="24" t="str">
        <x:v>1.00 a 3.50</x:v>
      </x:c>
      <x:c r="P3007" s="24" t="str">
        <x:v>83</x:v>
      </x:c>
      <x:c r="Q3007" s="24"/>
      <x:c r="R3007" s="24"/>
      <x:c r="S3007" s="26" t="n">
        <x:v>46113</x:v>
      </x:c>
      <x:c r="T3007" s="26"/>
      <x:c r="U3007" s="24" t="str">
        <x:v>ATIVA/SEM FIM INFORMADO</x:v>
      </x:c>
      <x:c r="V3007" s="24" t="str">
        <x:v>Programa de Parcerias ZEISS</x:v>
      </x:c>
      <x:c r="W3007" s="24" t="n">
        <x:v>51</x:v>
      </x:c>
      <x:c r="X3007" s="24" t="str">
        <x:v>tabela_zeiss.pdf</x:v>
      </x:c>
      <x:c r="Y3007" s="24" t="str">
        <x:v>alta</x:v>
      </x:c>
      <x:c r="Z3007" s="24"/>
      <x:c r="AA3007" s="24" t="str">
        <x:v>ZEISS|Progressiva Especial|Surfaçada|Individual Sport|PhotoFusion X|1.6|1.60|DuraVision Silver UV|-4.00 a +4.00|-4.00|1.00 a 3.50|83|||51</x:v>
      </x:c>
    </x:row>
    <x:row r="3008">
      <x:c r="A3008" s="24" t="str">
        <x:v>ZS-BD7B4D0EEB97</x:v>
      </x:c>
      <x:c r="B3008" s="24" t="str">
        <x:v>SIM</x:v>
      </x:c>
      <x:c r="C3008" s="24" t="str">
        <x:v>DISPONÍVEL</x:v>
      </x:c>
      <x:c r="D3008" s="24" t="str">
        <x:v>ZEISS</x:v>
      </x:c>
      <x:c r="E3008" s="24" t="str">
        <x:v>Progressiva Especial</x:v>
      </x:c>
      <x:c r="F3008" s="24" t="str">
        <x:v>Surfaçada</x:v>
      </x:c>
      <x:c r="G3008" s="24" t="str">
        <x:v>Individual Sport</x:v>
      </x:c>
      <x:c r="H3008" s="24" t="str">
        <x:v>PhotoFusion X</x:v>
      </x:c>
      <x:c r="I3008" s="24" t="str">
        <x:v>1.6</x:v>
      </x:c>
      <x:c r="J3008" s="24" t="str">
        <x:v>1.60</x:v>
      </x:c>
      <x:c r="K3008" s="24" t="str">
        <x:v>DuraVision Chrome UV</x:v>
      </x:c>
      <x:c r="L3008" s="40" t="n">
        <x:v>6534</x:v>
      </x:c>
      <x:c r="M3008" s="24" t="str">
        <x:v>-4.00 a +4.00</x:v>
      </x:c>
      <x:c r="N3008" s="24" t="str">
        <x:v>-4.00</x:v>
      </x:c>
      <x:c r="O3008" s="24" t="str">
        <x:v>1.00 a 3.50</x:v>
      </x:c>
      <x:c r="P3008" s="24" t="str">
        <x:v>83</x:v>
      </x:c>
      <x:c r="Q3008" s="24"/>
      <x:c r="R3008" s="24"/>
      <x:c r="S3008" s="26" t="n">
        <x:v>46113</x:v>
      </x:c>
      <x:c r="T3008" s="26"/>
      <x:c r="U3008" s="24" t="str">
        <x:v>ATIVA/SEM FIM INFORMADO</x:v>
      </x:c>
      <x:c r="V3008" s="24" t="str">
        <x:v>Programa de Parcerias ZEISS</x:v>
      </x:c>
      <x:c r="W3008" s="24" t="n">
        <x:v>51</x:v>
      </x:c>
      <x:c r="X3008" s="24" t="str">
        <x:v>tabela_zeiss.pdf</x:v>
      </x:c>
      <x:c r="Y3008" s="24" t="str">
        <x:v>alta</x:v>
      </x:c>
      <x:c r="Z3008" s="24"/>
      <x:c r="AA3008" s="24" t="str">
        <x:v>ZEISS|Progressiva Especial|Surfaçada|Individual Sport|PhotoFusion X|1.6|1.60|DuraVision Chrome UV|-4.00 a +4.00|-4.00|1.00 a 3.50|83|||51</x:v>
      </x:c>
    </x:row>
    <x:row r="3009">
      <x:c r="A3009" s="24" t="str">
        <x:v>ZS-4B613A22CAE0</x:v>
      </x:c>
      <x:c r="B3009" s="24" t="str">
        <x:v>SIM</x:v>
      </x:c>
      <x:c r="C3009" s="24" t="str">
        <x:v>DISPONÍVEL</x:v>
      </x:c>
      <x:c r="D3009" s="24" t="str">
        <x:v>ZEISS</x:v>
      </x:c>
      <x:c r="E3009" s="24" t="str">
        <x:v>Progressiva Especial</x:v>
      </x:c>
      <x:c r="F3009" s="24" t="str">
        <x:v>Surfaçada</x:v>
      </x:c>
      <x:c r="G3009" s="24" t="str">
        <x:v>Individual Sport</x:v>
      </x:c>
      <x:c r="H3009" s="24" t="str">
        <x:v>PhotoFusion X Extra Dark Cinza</x:v>
      </x:c>
      <x:c r="I3009" s="24" t="str">
        <x:v>1.5</x:v>
      </x:c>
      <x:c r="J3009" s="24" t="str">
        <x:v>1.50</x:v>
      </x:c>
      <x:c r="K3009" s="24" t="str">
        <x:v>DuraVision Gold UV</x:v>
      </x:c>
      <x:c r="L3009" s="40" t="n">
        <x:v>6224</x:v>
      </x:c>
      <x:c r="M3009" s="24" t="str">
        <x:v>-4.00 a +4.00</x:v>
      </x:c>
      <x:c r="N3009" s="24" t="str">
        <x:v>-4.00</x:v>
      </x:c>
      <x:c r="O3009" s="24" t="str">
        <x:v>1.00 a 3.50</x:v>
      </x:c>
      <x:c r="P3009" s="24" t="str">
        <x:v>80</x:v>
      </x:c>
      <x:c r="Q3009" s="24"/>
      <x:c r="R3009" s="24"/>
      <x:c r="S3009" s="26" t="n">
        <x:v>46113</x:v>
      </x:c>
      <x:c r="T3009" s="26"/>
      <x:c r="U3009" s="24" t="str">
        <x:v>ATIVA/SEM FIM INFORMADO</x:v>
      </x:c>
      <x:c r="V3009" s="24" t="str">
        <x:v>Programa de Parcerias ZEISS</x:v>
      </x:c>
      <x:c r="W3009" s="24" t="n">
        <x:v>51</x:v>
      </x:c>
      <x:c r="X3009" s="24" t="str">
        <x:v>tabela_zeiss.pdf</x:v>
      </x:c>
      <x:c r="Y3009" s="24" t="str">
        <x:v>alta</x:v>
      </x:c>
      <x:c r="Z3009" s="24"/>
      <x:c r="AA3009" s="24" t="str">
        <x:v>ZEISS|Progressiva Especial|Surfaçada|Individual Sport|PhotoFusion X Extra Dark Cinza|1.5|1.50|DuraVision Gold UV|-4.00 a +4.00|-4.00|1.00 a 3.50|80|||51</x:v>
      </x:c>
    </x:row>
    <x:row r="3010">
      <x:c r="A3010" s="24" t="str">
        <x:v>ZS-03902EA64902</x:v>
      </x:c>
      <x:c r="B3010" s="24" t="str">
        <x:v>SIM</x:v>
      </x:c>
      <x:c r="C3010" s="24" t="str">
        <x:v>DISPONÍVEL</x:v>
      </x:c>
      <x:c r="D3010" s="24" t="str">
        <x:v>ZEISS</x:v>
      </x:c>
      <x:c r="E3010" s="24" t="str">
        <x:v>Progressiva Especial</x:v>
      </x:c>
      <x:c r="F3010" s="24" t="str">
        <x:v>Surfaçada</x:v>
      </x:c>
      <x:c r="G3010" s="24" t="str">
        <x:v>Individual Sport</x:v>
      </x:c>
      <x:c r="H3010" s="24" t="str">
        <x:v>PhotoFusion X Extra Dark Cinza</x:v>
      </x:c>
      <x:c r="I3010" s="24" t="str">
        <x:v>1.5</x:v>
      </x:c>
      <x:c r="J3010" s="24" t="str">
        <x:v>1.50</x:v>
      </x:c>
      <x:c r="K3010" s="24" t="str">
        <x:v>DURAVISION® ANTIVÍRUS PLATINUM UV</x:v>
      </x:c>
      <x:c r="L3010" s="40" t="n">
        <x:v>6084</x:v>
      </x:c>
      <x:c r="M3010" s="24" t="str">
        <x:v>-4.00 a +4.00</x:v>
      </x:c>
      <x:c r="N3010" s="24" t="str">
        <x:v>-4.00</x:v>
      </x:c>
      <x:c r="O3010" s="24" t="str">
        <x:v>1.00 a 3.50</x:v>
      </x:c>
      <x:c r="P3010" s="24" t="str">
        <x:v>80</x:v>
      </x:c>
      <x:c r="Q3010" s="24"/>
      <x:c r="R3010" s="24"/>
      <x:c r="S3010" s="26" t="n">
        <x:v>46113</x:v>
      </x:c>
      <x:c r="T3010" s="26"/>
      <x:c r="U3010" s="24" t="str">
        <x:v>ATIVA/SEM FIM INFORMADO</x:v>
      </x:c>
      <x:c r="V3010" s="24" t="str">
        <x:v>Programa de Parcerias ZEISS</x:v>
      </x:c>
      <x:c r="W3010" s="24" t="n">
        <x:v>51</x:v>
      </x:c>
      <x:c r="X3010" s="24" t="str">
        <x:v>tabela_zeiss.pdf</x:v>
      </x:c>
      <x:c r="Y3010" s="24" t="str">
        <x:v>alta</x:v>
      </x:c>
      <x:c r="Z3010" s="24"/>
      <x:c r="AA3010" s="24" t="str">
        <x:v>ZEISS|Progressiva Especial|Surfaçada|Individual Sport|PhotoFusion X Extra Dark Cinza|1.5|1.50|DURAVISION® ANTIVÍRUS PLATINUM UV|-4.00 a +4.00|-4.00|1.00 a 3.50|80|||51</x:v>
      </x:c>
    </x:row>
    <x:row r="3011">
      <x:c r="A3011" s="24" t="str">
        <x:v>ZS-55EA61BB3189</x:v>
      </x:c>
      <x:c r="B3011" s="24" t="str">
        <x:v>SIM</x:v>
      </x:c>
      <x:c r="C3011" s="24" t="str">
        <x:v>DISPONÍVEL</x:v>
      </x:c>
      <x:c r="D3011" s="24" t="str">
        <x:v>ZEISS</x:v>
      </x:c>
      <x:c r="E3011" s="24" t="str">
        <x:v>Progressiva Especial</x:v>
      </x:c>
      <x:c r="F3011" s="24" t="str">
        <x:v>Surfaçada</x:v>
      </x:c>
      <x:c r="G3011" s="24" t="str">
        <x:v>Individual Sport</x:v>
      </x:c>
      <x:c r="H3011" s="24" t="str">
        <x:v>PhotoFusion X Extra Dark Cinza</x:v>
      </x:c>
      <x:c r="I3011" s="24" t="str">
        <x:v>1.5</x:v>
      </x:c>
      <x:c r="J3011" s="24" t="str">
        <x:v>1.50</x:v>
      </x:c>
      <x:c r="K3011" s="24" t="str">
        <x:v>DuraVision Platinum UV</x:v>
      </x:c>
      <x:c r="L3011" s="40" t="n">
        <x:v>6084</x:v>
      </x:c>
      <x:c r="M3011" s="24" t="str">
        <x:v>-4.00 a +4.00</x:v>
      </x:c>
      <x:c r="N3011" s="24" t="str">
        <x:v>-4.00</x:v>
      </x:c>
      <x:c r="O3011" s="24" t="str">
        <x:v>1.00 a 3.50</x:v>
      </x:c>
      <x:c r="P3011" s="24" t="str">
        <x:v>80</x:v>
      </x:c>
      <x:c r="Q3011" s="24"/>
      <x:c r="R3011" s="24"/>
      <x:c r="S3011" s="26" t="n">
        <x:v>46113</x:v>
      </x:c>
      <x:c r="T3011" s="26"/>
      <x:c r="U3011" s="24" t="str">
        <x:v>ATIVA/SEM FIM INFORMADO</x:v>
      </x:c>
      <x:c r="V3011" s="24" t="str">
        <x:v>Programa de Parcerias ZEISS</x:v>
      </x:c>
      <x:c r="W3011" s="24" t="n">
        <x:v>51</x:v>
      </x:c>
      <x:c r="X3011" s="24" t="str">
        <x:v>tabela_zeiss.pdf</x:v>
      </x:c>
      <x:c r="Y3011" s="24" t="str">
        <x:v>alta</x:v>
      </x:c>
      <x:c r="Z3011" s="24"/>
      <x:c r="AA3011" s="24" t="str">
        <x:v>ZEISS|Progressiva Especial|Surfaçada|Individual Sport|PhotoFusion X Extra Dark Cinza|1.5|1.50|DuraVision Platinum UV|-4.00 a +4.00|-4.00|1.00 a 3.50|80|||51</x:v>
      </x:c>
    </x:row>
    <x:row r="3012">
      <x:c r="A3012" s="24" t="str">
        <x:v>ZS-A64307783D32</x:v>
      </x:c>
      <x:c r="B3012" s="24" t="str">
        <x:v>SIM</x:v>
      </x:c>
      <x:c r="C3012" s="24" t="str">
        <x:v>DISPONÍVEL</x:v>
      </x:c>
      <x:c r="D3012" s="24" t="str">
        <x:v>ZEISS</x:v>
      </x:c>
      <x:c r="E3012" s="24" t="str">
        <x:v>Progressiva Especial</x:v>
      </x:c>
      <x:c r="F3012" s="24" t="str">
        <x:v>Surfaçada</x:v>
      </x:c>
      <x:c r="G3012" s="24" t="str">
        <x:v>Individual Sport</x:v>
      </x:c>
      <x:c r="H3012" s="24" t="str">
        <x:v>PhotoFusion X Extra Dark Cinza</x:v>
      </x:c>
      <x:c r="I3012" s="24" t="str">
        <x:v>1.5</x:v>
      </x:c>
      <x:c r="J3012" s="24" t="str">
        <x:v>1.50</x:v>
      </x:c>
      <x:c r="K3012" s="24" t="str">
        <x:v>DuraVision Silver UV</x:v>
      </x:c>
      <x:c r="L3012" s="40" t="n">
        <x:v>5824</x:v>
      </x:c>
      <x:c r="M3012" s="24" t="str">
        <x:v>-4.00 a +4.00</x:v>
      </x:c>
      <x:c r="N3012" s="24" t="str">
        <x:v>-4.00</x:v>
      </x:c>
      <x:c r="O3012" s="24" t="str">
        <x:v>1.00 a 3.50</x:v>
      </x:c>
      <x:c r="P3012" s="24" t="str">
        <x:v>80</x:v>
      </x:c>
      <x:c r="Q3012" s="24"/>
      <x:c r="R3012" s="24"/>
      <x:c r="S3012" s="26" t="n">
        <x:v>46113</x:v>
      </x:c>
      <x:c r="T3012" s="26"/>
      <x:c r="U3012" s="24" t="str">
        <x:v>ATIVA/SEM FIM INFORMADO</x:v>
      </x:c>
      <x:c r="V3012" s="24" t="str">
        <x:v>Programa de Parcerias ZEISS</x:v>
      </x:c>
      <x:c r="W3012" s="24" t="n">
        <x:v>51</x:v>
      </x:c>
      <x:c r="X3012" s="24" t="str">
        <x:v>tabela_zeiss.pdf</x:v>
      </x:c>
      <x:c r="Y3012" s="24" t="str">
        <x:v>alta</x:v>
      </x:c>
      <x:c r="Z3012" s="24"/>
      <x:c r="AA3012" s="24" t="str">
        <x:v>ZEISS|Progressiva Especial|Surfaçada|Individual Sport|PhotoFusion X Extra Dark Cinza|1.5|1.50|DuraVision Silver UV|-4.00 a +4.00|-4.00|1.00 a 3.50|80|||51</x:v>
      </x:c>
    </x:row>
    <x:row r="3013">
      <x:c r="A3013" s="24" t="str">
        <x:v>ZS-F9E403469E50</x:v>
      </x:c>
      <x:c r="B3013" s="24" t="str">
        <x:v>SIM</x:v>
      </x:c>
      <x:c r="C3013" s="24" t="str">
        <x:v>DISPONÍVEL</x:v>
      </x:c>
      <x:c r="D3013" s="24" t="str">
        <x:v>ZEISS</x:v>
      </x:c>
      <x:c r="E3013" s="24" t="str">
        <x:v>Progressiva Especial</x:v>
      </x:c>
      <x:c r="F3013" s="24" t="str">
        <x:v>Surfaçada</x:v>
      </x:c>
      <x:c r="G3013" s="24" t="str">
        <x:v>Individual Sport</x:v>
      </x:c>
      <x:c r="H3013" s="24" t="str">
        <x:v>PhotoFusion X Extra Dark Cinza</x:v>
      </x:c>
      <x:c r="I3013" s="24" t="str">
        <x:v>1.5</x:v>
      </x:c>
      <x:c r="J3013" s="24" t="str">
        <x:v>1.50</x:v>
      </x:c>
      <x:c r="K3013" s="24" t="str">
        <x:v>DuraVision Chrome UV</x:v>
      </x:c>
      <x:c r="L3013" s="40" t="n">
        <x:v>5334</x:v>
      </x:c>
      <x:c r="M3013" s="24" t="str">
        <x:v>-4.00 a +4.00</x:v>
      </x:c>
      <x:c r="N3013" s="24" t="str">
        <x:v>-4.00</x:v>
      </x:c>
      <x:c r="O3013" s="24" t="str">
        <x:v>1.00 a 3.50</x:v>
      </x:c>
      <x:c r="P3013" s="24" t="str">
        <x:v>80</x:v>
      </x:c>
      <x:c r="Q3013" s="24"/>
      <x:c r="R3013" s="24"/>
      <x:c r="S3013" s="26" t="n">
        <x:v>46113</x:v>
      </x:c>
      <x:c r="T3013" s="26"/>
      <x:c r="U3013" s="24" t="str">
        <x:v>ATIVA/SEM FIM INFORMADO</x:v>
      </x:c>
      <x:c r="V3013" s="24" t="str">
        <x:v>Programa de Parcerias ZEISS</x:v>
      </x:c>
      <x:c r="W3013" s="24" t="n">
        <x:v>51</x:v>
      </x:c>
      <x:c r="X3013" s="24" t="str">
        <x:v>tabela_zeiss.pdf</x:v>
      </x:c>
      <x:c r="Y3013" s="24" t="str">
        <x:v>alta</x:v>
      </x:c>
      <x:c r="Z3013" s="24"/>
      <x:c r="AA3013" s="24" t="str">
        <x:v>ZEISS|Progressiva Especial|Surfaçada|Individual Sport|PhotoFusion X Extra Dark Cinza|1.5|1.50|DuraVision Chrome UV|-4.00 a +4.00|-4.00|1.00 a 3.50|80|||51</x:v>
      </x:c>
    </x:row>
    <x:row r="3014">
      <x:c r="A3014" s="24" t="str">
        <x:v>ZS-01001DFA3E6C</x:v>
      </x:c>
      <x:c r="B3014" s="24" t="str">
        <x:v>SIM</x:v>
      </x:c>
      <x:c r="C3014" s="24" t="str">
        <x:v>DISPONÍVEL</x:v>
      </x:c>
      <x:c r="D3014" s="24" t="str">
        <x:v>ZEISS</x:v>
      </x:c>
      <x:c r="E3014" s="24" t="str">
        <x:v>Progressiva Especial</x:v>
      </x:c>
      <x:c r="F3014" s="24" t="str">
        <x:v>Surfaçada</x:v>
      </x:c>
      <x:c r="G3014" s="24" t="str">
        <x:v>Individual Sport</x:v>
      </x:c>
      <x:c r="H3014" s="24" t="str">
        <x:v>PhotoFusion X Extra Dark Cinza</x:v>
      </x:c>
      <x:c r="I3014" s="24" t="str">
        <x:v>Poli</x:v>
      </x:c>
      <x:c r="J3014" s="24"/>
      <x:c r="K3014" s="24" t="str">
        <x:v>DuraVision Gold UV</x:v>
      </x:c>
      <x:c r="L3014" s="40" t="n">
        <x:v>6814</x:v>
      </x:c>
      <x:c r="M3014" s="24" t="str">
        <x:v>-4.00 a +4.00</x:v>
      </x:c>
      <x:c r="N3014" s="24" t="str">
        <x:v>-4.00</x:v>
      </x:c>
      <x:c r="O3014" s="24" t="str">
        <x:v>1.00 a 3.50</x:v>
      </x:c>
      <x:c r="P3014" s="24" t="str">
        <x:v>80</x:v>
      </x:c>
      <x:c r="Q3014" s="24"/>
      <x:c r="R3014" s="24"/>
      <x:c r="S3014" s="26" t="n">
        <x:v>46113</x:v>
      </x:c>
      <x:c r="T3014" s="26"/>
      <x:c r="U3014" s="24" t="str">
        <x:v>ATIVA/SEM FIM INFORMADO</x:v>
      </x:c>
      <x:c r="V3014" s="24" t="str">
        <x:v>Programa de Parcerias ZEISS</x:v>
      </x:c>
      <x:c r="W3014" s="24" t="n">
        <x:v>51</x:v>
      </x:c>
      <x:c r="X3014" s="24" t="str">
        <x:v>tabela_zeiss.pdf</x:v>
      </x:c>
      <x:c r="Y3014" s="24" t="str">
        <x:v>alta</x:v>
      </x:c>
      <x:c r="Z3014" s="24"/>
      <x:c r="AA3014" s="24" t="str">
        <x:v>ZEISS|Progressiva Especial|Surfaçada|Individual Sport|PhotoFusion X Extra Dark Cinza|Poli||DuraVision Gold UV|-4.00 a +4.00|-4.00|1.00 a 3.50|80|||51</x:v>
      </x:c>
    </x:row>
    <x:row r="3015">
      <x:c r="A3015" s="24" t="str">
        <x:v>ZS-BE413BEF5DDD</x:v>
      </x:c>
      <x:c r="B3015" s="24" t="str">
        <x:v>SIM</x:v>
      </x:c>
      <x:c r="C3015" s="24" t="str">
        <x:v>DISPONÍVEL</x:v>
      </x:c>
      <x:c r="D3015" s="24" t="str">
        <x:v>ZEISS</x:v>
      </x:c>
      <x:c r="E3015" s="24" t="str">
        <x:v>Progressiva Especial</x:v>
      </x:c>
      <x:c r="F3015" s="24" t="str">
        <x:v>Surfaçada</x:v>
      </x:c>
      <x:c r="G3015" s="24" t="str">
        <x:v>Individual Sport</x:v>
      </x:c>
      <x:c r="H3015" s="24" t="str">
        <x:v>PhotoFusion X Extra Dark Cinza</x:v>
      </x:c>
      <x:c r="I3015" s="24" t="str">
        <x:v>Poli</x:v>
      </x:c>
      <x:c r="J3015" s="24"/>
      <x:c r="K3015" s="24" t="str">
        <x:v>DuraVision Platinum UV</x:v>
      </x:c>
      <x:c r="L3015" s="40" t="n">
        <x:v>6674</x:v>
      </x:c>
      <x:c r="M3015" s="24" t="str">
        <x:v>-4.00 a +4.00</x:v>
      </x:c>
      <x:c r="N3015" s="24" t="str">
        <x:v>-4.00</x:v>
      </x:c>
      <x:c r="O3015" s="24" t="str">
        <x:v>1.00 a 3.50</x:v>
      </x:c>
      <x:c r="P3015" s="24" t="str">
        <x:v>80</x:v>
      </x:c>
      <x:c r="Q3015" s="24"/>
      <x:c r="R3015" s="24"/>
      <x:c r="S3015" s="26" t="n">
        <x:v>46113</x:v>
      </x:c>
      <x:c r="T3015" s="26"/>
      <x:c r="U3015" s="24" t="str">
        <x:v>ATIVA/SEM FIM INFORMADO</x:v>
      </x:c>
      <x:c r="V3015" s="24" t="str">
        <x:v>Programa de Parcerias ZEISS</x:v>
      </x:c>
      <x:c r="W3015" s="24" t="n">
        <x:v>51</x:v>
      </x:c>
      <x:c r="X3015" s="24" t="str">
        <x:v>tabela_zeiss.pdf</x:v>
      </x:c>
      <x:c r="Y3015" s="24" t="str">
        <x:v>alta</x:v>
      </x:c>
      <x:c r="Z3015" s="24"/>
      <x:c r="AA3015" s="24" t="str">
        <x:v>ZEISS|Progressiva Especial|Surfaçada|Individual Sport|PhotoFusion X Extra Dark Cinza|Poli||DuraVision Platinum UV|-4.00 a +4.00|-4.00|1.00 a 3.50|80|||51</x:v>
      </x:c>
    </x:row>
    <x:row r="3016">
      <x:c r="A3016" s="24" t="str">
        <x:v>ZS-6A39A093BEEE</x:v>
      </x:c>
      <x:c r="B3016" s="24" t="str">
        <x:v>SIM</x:v>
      </x:c>
      <x:c r="C3016" s="24" t="str">
        <x:v>DISPONÍVEL</x:v>
      </x:c>
      <x:c r="D3016" s="24" t="str">
        <x:v>ZEISS</x:v>
      </x:c>
      <x:c r="E3016" s="24" t="str">
        <x:v>Progressiva Especial</x:v>
      </x:c>
      <x:c r="F3016" s="24" t="str">
        <x:v>Surfaçada</x:v>
      </x:c>
      <x:c r="G3016" s="24" t="str">
        <x:v>Individual Sport</x:v>
      </x:c>
      <x:c r="H3016" s="24" t="str">
        <x:v>PhotoFusion X Extra Dark Cinza</x:v>
      </x:c>
      <x:c r="I3016" s="24" t="str">
        <x:v>Poli</x:v>
      </x:c>
      <x:c r="J3016" s="24"/>
      <x:c r="K3016" s="24" t="str">
        <x:v>DuraVision Silver UV</x:v>
      </x:c>
      <x:c r="L3016" s="40" t="n">
        <x:v>6414</x:v>
      </x:c>
      <x:c r="M3016" s="24" t="str">
        <x:v>-4.00 a +4.00</x:v>
      </x:c>
      <x:c r="N3016" s="24" t="str">
        <x:v>-4.00</x:v>
      </x:c>
      <x:c r="O3016" s="24" t="str">
        <x:v>1.00 a 3.50</x:v>
      </x:c>
      <x:c r="P3016" s="24" t="str">
        <x:v>80</x:v>
      </x:c>
      <x:c r="Q3016" s="24"/>
      <x:c r="R3016" s="24"/>
      <x:c r="S3016" s="26" t="n">
        <x:v>46113</x:v>
      </x:c>
      <x:c r="T3016" s="26"/>
      <x:c r="U3016" s="24" t="str">
        <x:v>ATIVA/SEM FIM INFORMADO</x:v>
      </x:c>
      <x:c r="V3016" s="24" t="str">
        <x:v>Programa de Parcerias ZEISS</x:v>
      </x:c>
      <x:c r="W3016" s="24" t="n">
        <x:v>51</x:v>
      </x:c>
      <x:c r="X3016" s="24" t="str">
        <x:v>tabela_zeiss.pdf</x:v>
      </x:c>
      <x:c r="Y3016" s="24" t="str">
        <x:v>alta</x:v>
      </x:c>
      <x:c r="Z3016" s="24"/>
      <x:c r="AA3016" s="24" t="str">
        <x:v>ZEISS|Progressiva Especial|Surfaçada|Individual Sport|PhotoFusion X Extra Dark Cinza|Poli||DuraVision Silver UV|-4.00 a +4.00|-4.00|1.00 a 3.50|80|||51</x:v>
      </x:c>
    </x:row>
    <x:row r="3017">
      <x:c r="A3017" s="24" t="str">
        <x:v>ZS-91B89EF69BF5</x:v>
      </x:c>
      <x:c r="B3017" s="24" t="str">
        <x:v>SIM</x:v>
      </x:c>
      <x:c r="C3017" s="24" t="str">
        <x:v>DISPONÍVEL</x:v>
      </x:c>
      <x:c r="D3017" s="24" t="str">
        <x:v>ZEISS</x:v>
      </x:c>
      <x:c r="E3017" s="24" t="str">
        <x:v>Progressiva Especial</x:v>
      </x:c>
      <x:c r="F3017" s="24" t="str">
        <x:v>Surfaçada</x:v>
      </x:c>
      <x:c r="G3017" s="24" t="str">
        <x:v>Individual Sport</x:v>
      </x:c>
      <x:c r="H3017" s="24" t="str">
        <x:v>PhotoFusion X Extra Dark Cinza</x:v>
      </x:c>
      <x:c r="I3017" s="24" t="str">
        <x:v>Poli</x:v>
      </x:c>
      <x:c r="J3017" s="24"/>
      <x:c r="K3017" s="24" t="str">
        <x:v>DuraVision Chrome UV</x:v>
      </x:c>
      <x:c r="L3017" s="40" t="n">
        <x:v>5924</x:v>
      </x:c>
      <x:c r="M3017" s="24" t="str">
        <x:v>-4.00 a +4.00</x:v>
      </x:c>
      <x:c r="N3017" s="24" t="str">
        <x:v>-4.00</x:v>
      </x:c>
      <x:c r="O3017" s="24" t="str">
        <x:v>1.00 a 3.50</x:v>
      </x:c>
      <x:c r="P3017" s="24" t="str">
        <x:v>80</x:v>
      </x:c>
      <x:c r="Q3017" s="24"/>
      <x:c r="R3017" s="24"/>
      <x:c r="S3017" s="26" t="n">
        <x:v>46113</x:v>
      </x:c>
      <x:c r="T3017" s="26"/>
      <x:c r="U3017" s="24" t="str">
        <x:v>ATIVA/SEM FIM INFORMADO</x:v>
      </x:c>
      <x:c r="V3017" s="24" t="str">
        <x:v>Programa de Parcerias ZEISS</x:v>
      </x:c>
      <x:c r="W3017" s="24" t="n">
        <x:v>51</x:v>
      </x:c>
      <x:c r="X3017" s="24" t="str">
        <x:v>tabela_zeiss.pdf</x:v>
      </x:c>
      <x:c r="Y3017" s="24" t="str">
        <x:v>alta</x:v>
      </x:c>
      <x:c r="Z3017" s="24"/>
      <x:c r="AA3017" s="24" t="str">
        <x:v>ZEISS|Progressiva Especial|Surfaçada|Individual Sport|PhotoFusion X Extra Dark Cinza|Poli||DuraVision Chrome UV|-4.00 a +4.00|-4.00|1.00 a 3.50|80|||51</x:v>
      </x:c>
    </x:row>
    <x:row r="3018">
      <x:c r="A3018" s="24" t="str">
        <x:v>ZS-6E1F348D30BD</x:v>
      </x:c>
      <x:c r="B3018" s="24" t="str">
        <x:v>SIM</x:v>
      </x:c>
      <x:c r="C3018" s="24" t="str">
        <x:v>DISPONÍVEL</x:v>
      </x:c>
      <x:c r="D3018" s="24" t="str">
        <x:v>ZEISS</x:v>
      </x:c>
      <x:c r="E3018" s="24" t="str">
        <x:v>Progressiva Especial</x:v>
      </x:c>
      <x:c r="F3018" s="24" t="str">
        <x:v>Surfaçada</x:v>
      </x:c>
      <x:c r="G3018" s="24" t="str">
        <x:v>Individual Sport</x:v>
      </x:c>
      <x:c r="H3018" s="24" t="str">
        <x:v>PhotoFusion X Extra Dark Cinza</x:v>
      </x:c>
      <x:c r="I3018" s="24" t="str">
        <x:v>1.6</x:v>
      </x:c>
      <x:c r="J3018" s="24" t="str">
        <x:v>1.60</x:v>
      </x:c>
      <x:c r="K3018" s="24" t="str">
        <x:v>DuraVision Gold UV</x:v>
      </x:c>
      <x:c r="L3018" s="40" t="n">
        <x:v>7474</x:v>
      </x:c>
      <x:c r="M3018" s="24" t="str">
        <x:v>-4.00 a +4.00</x:v>
      </x:c>
      <x:c r="N3018" s="24" t="str">
        <x:v>-4.00</x:v>
      </x:c>
      <x:c r="O3018" s="24" t="str">
        <x:v>1.00 a 3.50</x:v>
      </x:c>
      <x:c r="P3018" s="24" t="str">
        <x:v>83</x:v>
      </x:c>
      <x:c r="Q3018" s="24"/>
      <x:c r="R3018" s="24"/>
      <x:c r="S3018" s="26" t="n">
        <x:v>46113</x:v>
      </x:c>
      <x:c r="T3018" s="26"/>
      <x:c r="U3018" s="24" t="str">
        <x:v>ATIVA/SEM FIM INFORMADO</x:v>
      </x:c>
      <x:c r="V3018" s="24" t="str">
        <x:v>Programa de Parcerias ZEISS</x:v>
      </x:c>
      <x:c r="W3018" s="24" t="n">
        <x:v>51</x:v>
      </x:c>
      <x:c r="X3018" s="24" t="str">
        <x:v>tabela_zeiss.pdf</x:v>
      </x:c>
      <x:c r="Y3018" s="24" t="str">
        <x:v>alta</x:v>
      </x:c>
      <x:c r="Z3018" s="24"/>
      <x:c r="AA3018" s="24" t="str">
        <x:v>ZEISS|Progressiva Especial|Surfaçada|Individual Sport|PhotoFusion X Extra Dark Cinza|1.6|1.60|DuraVision Gold UV|-4.00 a +4.00|-4.00|1.00 a 3.50|83|||51</x:v>
      </x:c>
    </x:row>
    <x:row r="3019">
      <x:c r="A3019" s="24" t="str">
        <x:v>ZS-3D68826635B4</x:v>
      </x:c>
      <x:c r="B3019" s="24" t="str">
        <x:v>SIM</x:v>
      </x:c>
      <x:c r="C3019" s="24" t="str">
        <x:v>DISPONÍVEL</x:v>
      </x:c>
      <x:c r="D3019" s="24" t="str">
        <x:v>ZEISS</x:v>
      </x:c>
      <x:c r="E3019" s="24" t="str">
        <x:v>Progressiva Especial</x:v>
      </x:c>
      <x:c r="F3019" s="24" t="str">
        <x:v>Surfaçada</x:v>
      </x:c>
      <x:c r="G3019" s="24" t="str">
        <x:v>Individual Sport</x:v>
      </x:c>
      <x:c r="H3019" s="24" t="str">
        <x:v>PhotoFusion X Extra Dark Cinza</x:v>
      </x:c>
      <x:c r="I3019" s="24" t="str">
        <x:v>1.6</x:v>
      </x:c>
      <x:c r="J3019" s="24" t="str">
        <x:v>1.60</x:v>
      </x:c>
      <x:c r="K3019" s="24" t="str">
        <x:v>DURAVISION® ANTIVÍRUS PLATINUM UV</x:v>
      </x:c>
      <x:c r="L3019" s="40" t="n">
        <x:v>7334</x:v>
      </x:c>
      <x:c r="M3019" s="24" t="str">
        <x:v>-4.00 a +4.00</x:v>
      </x:c>
      <x:c r="N3019" s="24" t="str">
        <x:v>-4.00</x:v>
      </x:c>
      <x:c r="O3019" s="24" t="str">
        <x:v>1.00 a 3.50</x:v>
      </x:c>
      <x:c r="P3019" s="24" t="str">
        <x:v>83</x:v>
      </x:c>
      <x:c r="Q3019" s="24"/>
      <x:c r="R3019" s="24"/>
      <x:c r="S3019" s="26" t="n">
        <x:v>46113</x:v>
      </x:c>
      <x:c r="T3019" s="26"/>
      <x:c r="U3019" s="24" t="str">
        <x:v>ATIVA/SEM FIM INFORMADO</x:v>
      </x:c>
      <x:c r="V3019" s="24" t="str">
        <x:v>Programa de Parcerias ZEISS</x:v>
      </x:c>
      <x:c r="W3019" s="24" t="n">
        <x:v>51</x:v>
      </x:c>
      <x:c r="X3019" s="24" t="str">
        <x:v>tabela_zeiss.pdf</x:v>
      </x:c>
      <x:c r="Y3019" s="24" t="str">
        <x:v>alta</x:v>
      </x:c>
      <x:c r="Z3019" s="24"/>
      <x:c r="AA3019" s="24" t="str">
        <x:v>ZEISS|Progressiva Especial|Surfaçada|Individual Sport|PhotoFusion X Extra Dark Cinza|1.6|1.60|DURAVISION® ANTIVÍRUS PLATINUM UV|-4.00 a +4.00|-4.00|1.00 a 3.50|83|||51</x:v>
      </x:c>
    </x:row>
    <x:row r="3020">
      <x:c r="A3020" s="24" t="str">
        <x:v>ZS-96E2C5BB0F08</x:v>
      </x:c>
      <x:c r="B3020" s="24" t="str">
        <x:v>SIM</x:v>
      </x:c>
      <x:c r="C3020" s="24" t="str">
        <x:v>DISPONÍVEL</x:v>
      </x:c>
      <x:c r="D3020" s="24" t="str">
        <x:v>ZEISS</x:v>
      </x:c>
      <x:c r="E3020" s="24" t="str">
        <x:v>Progressiva Especial</x:v>
      </x:c>
      <x:c r="F3020" s="24" t="str">
        <x:v>Surfaçada</x:v>
      </x:c>
      <x:c r="G3020" s="24" t="str">
        <x:v>Individual Sport</x:v>
      </x:c>
      <x:c r="H3020" s="24" t="str">
        <x:v>PhotoFusion X Extra Dark Cinza</x:v>
      </x:c>
      <x:c r="I3020" s="24" t="str">
        <x:v>1.6</x:v>
      </x:c>
      <x:c r="J3020" s="24" t="str">
        <x:v>1.60</x:v>
      </x:c>
      <x:c r="K3020" s="24" t="str">
        <x:v>DuraVision Platinum UV</x:v>
      </x:c>
      <x:c r="L3020" s="40" t="n">
        <x:v>7334</x:v>
      </x:c>
      <x:c r="M3020" s="24" t="str">
        <x:v>-4.00 a +4.00</x:v>
      </x:c>
      <x:c r="N3020" s="24" t="str">
        <x:v>-4.00</x:v>
      </x:c>
      <x:c r="O3020" s="24" t="str">
        <x:v>1.00 a 3.50</x:v>
      </x:c>
      <x:c r="P3020" s="24" t="str">
        <x:v>83</x:v>
      </x:c>
      <x:c r="Q3020" s="24"/>
      <x:c r="R3020" s="24"/>
      <x:c r="S3020" s="26" t="n">
        <x:v>46113</x:v>
      </x:c>
      <x:c r="T3020" s="26"/>
      <x:c r="U3020" s="24" t="str">
        <x:v>ATIVA/SEM FIM INFORMADO</x:v>
      </x:c>
      <x:c r="V3020" s="24" t="str">
        <x:v>Programa de Parcerias ZEISS</x:v>
      </x:c>
      <x:c r="W3020" s="24" t="n">
        <x:v>51</x:v>
      </x:c>
      <x:c r="X3020" s="24" t="str">
        <x:v>tabela_zeiss.pdf</x:v>
      </x:c>
      <x:c r="Y3020" s="24" t="str">
        <x:v>alta</x:v>
      </x:c>
      <x:c r="Z3020" s="24"/>
      <x:c r="AA3020" s="24" t="str">
        <x:v>ZEISS|Progressiva Especial|Surfaçada|Individual Sport|PhotoFusion X Extra Dark Cinza|1.6|1.60|DuraVision Platinum UV|-4.00 a +4.00|-4.00|1.00 a 3.50|83|||51</x:v>
      </x:c>
    </x:row>
    <x:row r="3021">
      <x:c r="A3021" s="24" t="str">
        <x:v>ZS-D074A7139A01</x:v>
      </x:c>
      <x:c r="B3021" s="24" t="str">
        <x:v>SIM</x:v>
      </x:c>
      <x:c r="C3021" s="24" t="str">
        <x:v>DISPONÍVEL</x:v>
      </x:c>
      <x:c r="D3021" s="24" t="str">
        <x:v>ZEISS</x:v>
      </x:c>
      <x:c r="E3021" s="24" t="str">
        <x:v>Progressiva Especial</x:v>
      </x:c>
      <x:c r="F3021" s="24" t="str">
        <x:v>Surfaçada</x:v>
      </x:c>
      <x:c r="G3021" s="24" t="str">
        <x:v>Individual Sport</x:v>
      </x:c>
      <x:c r="H3021" s="24" t="str">
        <x:v>PhotoFusion X Extra Dark Cinza</x:v>
      </x:c>
      <x:c r="I3021" s="24" t="str">
        <x:v>1.6</x:v>
      </x:c>
      <x:c r="J3021" s="24" t="str">
        <x:v>1.60</x:v>
      </x:c>
      <x:c r="K3021" s="24" t="str">
        <x:v>DuraVision Silver UV</x:v>
      </x:c>
      <x:c r="L3021" s="40" t="n">
        <x:v>7074</x:v>
      </x:c>
      <x:c r="M3021" s="24" t="str">
        <x:v>-4.00 a +4.00</x:v>
      </x:c>
      <x:c r="N3021" s="24" t="str">
        <x:v>-4.00</x:v>
      </x:c>
      <x:c r="O3021" s="24" t="str">
        <x:v>1.00 a 3.50</x:v>
      </x:c>
      <x:c r="P3021" s="24" t="str">
        <x:v>83</x:v>
      </x:c>
      <x:c r="Q3021" s="24"/>
      <x:c r="R3021" s="24"/>
      <x:c r="S3021" s="26" t="n">
        <x:v>46113</x:v>
      </x:c>
      <x:c r="T3021" s="26"/>
      <x:c r="U3021" s="24" t="str">
        <x:v>ATIVA/SEM FIM INFORMADO</x:v>
      </x:c>
      <x:c r="V3021" s="24" t="str">
        <x:v>Programa de Parcerias ZEISS</x:v>
      </x:c>
      <x:c r="W3021" s="24" t="n">
        <x:v>51</x:v>
      </x:c>
      <x:c r="X3021" s="24" t="str">
        <x:v>tabela_zeiss.pdf</x:v>
      </x:c>
      <x:c r="Y3021" s="24" t="str">
        <x:v>alta</x:v>
      </x:c>
      <x:c r="Z3021" s="24"/>
      <x:c r="AA3021" s="24" t="str">
        <x:v>ZEISS|Progressiva Especial|Surfaçada|Individual Sport|PhotoFusion X Extra Dark Cinza|1.6|1.60|DuraVision Silver UV|-4.00 a +4.00|-4.00|1.00 a 3.50|83|||51</x:v>
      </x:c>
    </x:row>
    <x:row r="3022">
      <x:c r="A3022" s="24" t="str">
        <x:v>ZS-862F993C1D23</x:v>
      </x:c>
      <x:c r="B3022" s="24" t="str">
        <x:v>SIM</x:v>
      </x:c>
      <x:c r="C3022" s="24" t="str">
        <x:v>DISPONÍVEL</x:v>
      </x:c>
      <x:c r="D3022" s="24" t="str">
        <x:v>ZEISS</x:v>
      </x:c>
      <x:c r="E3022" s="24" t="str">
        <x:v>Progressiva Especial</x:v>
      </x:c>
      <x:c r="F3022" s="24" t="str">
        <x:v>Surfaçada</x:v>
      </x:c>
      <x:c r="G3022" s="24" t="str">
        <x:v>Individual Sport</x:v>
      </x:c>
      <x:c r="H3022" s="24" t="str">
        <x:v>PhotoFusion X Extra Dark Cinza</x:v>
      </x:c>
      <x:c r="I3022" s="24" t="str">
        <x:v>1.6</x:v>
      </x:c>
      <x:c r="J3022" s="24" t="str">
        <x:v>1.60</x:v>
      </x:c>
      <x:c r="K3022" s="24" t="str">
        <x:v>DuraVision Chrome UV</x:v>
      </x:c>
      <x:c r="L3022" s="40" t="n">
        <x:v>6584</x:v>
      </x:c>
      <x:c r="M3022" s="24" t="str">
        <x:v>-4.00 a +4.00</x:v>
      </x:c>
      <x:c r="N3022" s="24" t="str">
        <x:v>-4.00</x:v>
      </x:c>
      <x:c r="O3022" s="24" t="str">
        <x:v>1.00 a 3.50</x:v>
      </x:c>
      <x:c r="P3022" s="24" t="str">
        <x:v>83</x:v>
      </x:c>
      <x:c r="Q3022" s="24"/>
      <x:c r="R3022" s="24"/>
      <x:c r="S3022" s="26" t="n">
        <x:v>46113</x:v>
      </x:c>
      <x:c r="T3022" s="26"/>
      <x:c r="U3022" s="24" t="str">
        <x:v>ATIVA/SEM FIM INFORMADO</x:v>
      </x:c>
      <x:c r="V3022" s="24" t="str">
        <x:v>Programa de Parcerias ZEISS</x:v>
      </x:c>
      <x:c r="W3022" s="24" t="n">
        <x:v>51</x:v>
      </x:c>
      <x:c r="X3022" s="24" t="str">
        <x:v>tabela_zeiss.pdf</x:v>
      </x:c>
      <x:c r="Y3022" s="24" t="str">
        <x:v>alta</x:v>
      </x:c>
      <x:c r="Z3022" s="24"/>
      <x:c r="AA3022" s="24" t="str">
        <x:v>ZEISS|Progressiva Especial|Surfaçada|Individual Sport|PhotoFusion X Extra Dark Cinza|1.6|1.60|DuraVision Chrome UV|-4.00 a +4.00|-4.00|1.00 a 3.50|83|||51</x:v>
      </x:c>
    </x:row>
    <x:row r="3023">
      <x:c r="A3023" s="24" t="str">
        <x:v>ZS-25B794C583A9</x:v>
      </x:c>
      <x:c r="B3023" s="24" t="str">
        <x:v>SIM</x:v>
      </x:c>
      <x:c r="C3023" s="24" t="str">
        <x:v>DISPONÍVEL</x:v>
      </x:c>
      <x:c r="D3023" s="24" t="str">
        <x:v>ZEISS</x:v>
      </x:c>
      <x:c r="E3023" s="24" t="str">
        <x:v>Progressiva Especial</x:v>
      </x:c>
      <x:c r="F3023" s="24" t="str">
        <x:v>Surfaçada</x:v>
      </x:c>
      <x:c r="G3023" s="24" t="str">
        <x:v>Individual Sport</x:v>
      </x:c>
      <x:c r="H3023" s="24" t="str">
        <x:v>Polarizada</x:v>
      </x:c>
      <x:c r="I3023" s="24" t="str">
        <x:v>1.5</x:v>
      </x:c>
      <x:c r="J3023" s="24" t="str">
        <x:v>1.50</x:v>
      </x:c>
      <x:c r="K3023" s="24" t="str">
        <x:v>DuraVision Gold UV</x:v>
      </x:c>
      <x:c r="L3023" s="40" t="n">
        <x:v>5594</x:v>
      </x:c>
      <x:c r="M3023" s="24" t="str">
        <x:v>-4.00 a +4.00</x:v>
      </x:c>
      <x:c r="N3023" s="24" t="str">
        <x:v>-4.00</x:v>
      </x:c>
      <x:c r="O3023" s="24" t="str">
        <x:v>1.00 a 3.50</x:v>
      </x:c>
      <x:c r="P3023" s="24" t="str">
        <x:v>80</x:v>
      </x:c>
      <x:c r="Q3023" s="24"/>
      <x:c r="R3023" s="24"/>
      <x:c r="S3023" s="26" t="n">
        <x:v>46113</x:v>
      </x:c>
      <x:c r="T3023" s="26"/>
      <x:c r="U3023" s="24" t="str">
        <x:v>ATIVA/SEM FIM INFORMADO</x:v>
      </x:c>
      <x:c r="V3023" s="24"/>
      <x:c r="W3023" s="24" t="n">
        <x:v>51</x:v>
      </x:c>
      <x:c r="X3023" s="24" t="str">
        <x:v>tabela_zeiss.pdf</x:v>
      </x:c>
      <x:c r="Y3023" s="24" t="str">
        <x:v>alta</x:v>
      </x:c>
      <x:c r="Z3023" s="24"/>
      <x:c r="AA3023" s="24" t="str">
        <x:v>ZEISS|Progressiva Especial|Surfaçada|Individual Sport|Polarizada|1.5|1.50|DuraVision Gold UV|-4.00 a +4.00|-4.00|1.00 a 3.50|80|||51</x:v>
      </x:c>
    </x:row>
    <x:row r="3024">
      <x:c r="A3024" s="24" t="str">
        <x:v>ZS-F4E0B6450B71</x:v>
      </x:c>
      <x:c r="B3024" s="24" t="str">
        <x:v>SIM</x:v>
      </x:c>
      <x:c r="C3024" s="24" t="str">
        <x:v>DISPONÍVEL</x:v>
      </x:c>
      <x:c r="D3024" s="24" t="str">
        <x:v>ZEISS</x:v>
      </x:c>
      <x:c r="E3024" s="24" t="str">
        <x:v>Progressiva Especial</x:v>
      </x:c>
      <x:c r="F3024" s="24" t="str">
        <x:v>Surfaçada</x:v>
      </x:c>
      <x:c r="G3024" s="24" t="str">
        <x:v>Individual Sport</x:v>
      </x:c>
      <x:c r="H3024" s="24" t="str">
        <x:v>Polarizada</x:v>
      </x:c>
      <x:c r="I3024" s="24" t="str">
        <x:v>1.5</x:v>
      </x:c>
      <x:c r="J3024" s="24" t="str">
        <x:v>1.50</x:v>
      </x:c>
      <x:c r="K3024" s="24" t="str">
        <x:v>DuraVision Platinum UV</x:v>
      </x:c>
      <x:c r="L3024" s="40" t="n">
        <x:v>5454</x:v>
      </x:c>
      <x:c r="M3024" s="24" t="str">
        <x:v>-4.00 a +4.00</x:v>
      </x:c>
      <x:c r="N3024" s="24" t="str">
        <x:v>-4.00</x:v>
      </x:c>
      <x:c r="O3024" s="24" t="str">
        <x:v>1.00 a 3.50</x:v>
      </x:c>
      <x:c r="P3024" s="24" t="str">
        <x:v>80</x:v>
      </x:c>
      <x:c r="Q3024" s="24"/>
      <x:c r="R3024" s="24"/>
      <x:c r="S3024" s="26" t="n">
        <x:v>46113</x:v>
      </x:c>
      <x:c r="T3024" s="26"/>
      <x:c r="U3024" s="24" t="str">
        <x:v>ATIVA/SEM FIM INFORMADO</x:v>
      </x:c>
      <x:c r="V3024" s="24"/>
      <x:c r="W3024" s="24" t="n">
        <x:v>51</x:v>
      </x:c>
      <x:c r="X3024" s="24" t="str">
        <x:v>tabela_zeiss.pdf</x:v>
      </x:c>
      <x:c r="Y3024" s="24" t="str">
        <x:v>alta</x:v>
      </x:c>
      <x:c r="Z3024" s="24"/>
      <x:c r="AA3024" s="24" t="str">
        <x:v>ZEISS|Progressiva Especial|Surfaçada|Individual Sport|Polarizada|1.5|1.50|DuraVision Platinum UV|-4.00 a +4.00|-4.00|1.00 a 3.50|80|||51</x:v>
      </x:c>
    </x:row>
    <x:row r="3025">
      <x:c r="A3025" s="24" t="str">
        <x:v>ZS-DF48B6FEE184</x:v>
      </x:c>
      <x:c r="B3025" s="24" t="str">
        <x:v>SIM</x:v>
      </x:c>
      <x:c r="C3025" s="24" t="str">
        <x:v>DISPONÍVEL</x:v>
      </x:c>
      <x:c r="D3025" s="24" t="str">
        <x:v>ZEISS</x:v>
      </x:c>
      <x:c r="E3025" s="24" t="str">
        <x:v>Progressiva Especial</x:v>
      </x:c>
      <x:c r="F3025" s="24" t="str">
        <x:v>Surfaçada</x:v>
      </x:c>
      <x:c r="G3025" s="24" t="str">
        <x:v>Individual Sport</x:v>
      </x:c>
      <x:c r="H3025" s="24" t="str">
        <x:v>Polarizada</x:v>
      </x:c>
      <x:c r="I3025" s="24" t="str">
        <x:v>1.5</x:v>
      </x:c>
      <x:c r="J3025" s="24" t="str">
        <x:v>1.50</x:v>
      </x:c>
      <x:c r="K3025" s="24" t="str">
        <x:v>DuraVision Silver UV</x:v>
      </x:c>
      <x:c r="L3025" s="40" t="n">
        <x:v>5194</x:v>
      </x:c>
      <x:c r="M3025" s="24" t="str">
        <x:v>-4.00 a +4.00</x:v>
      </x:c>
      <x:c r="N3025" s="24" t="str">
        <x:v>-4.00</x:v>
      </x:c>
      <x:c r="O3025" s="24" t="str">
        <x:v>1.00 a 3.50</x:v>
      </x:c>
      <x:c r="P3025" s="24" t="str">
        <x:v>80</x:v>
      </x:c>
      <x:c r="Q3025" s="24"/>
      <x:c r="R3025" s="24"/>
      <x:c r="S3025" s="26" t="n">
        <x:v>46113</x:v>
      </x:c>
      <x:c r="T3025" s="26"/>
      <x:c r="U3025" s="24" t="str">
        <x:v>ATIVA/SEM FIM INFORMADO</x:v>
      </x:c>
      <x:c r="V3025" s="24"/>
      <x:c r="W3025" s="24" t="n">
        <x:v>51</x:v>
      </x:c>
      <x:c r="X3025" s="24" t="str">
        <x:v>tabela_zeiss.pdf</x:v>
      </x:c>
      <x:c r="Y3025" s="24" t="str">
        <x:v>alta</x:v>
      </x:c>
      <x:c r="Z3025" s="24"/>
      <x:c r="AA3025" s="24" t="str">
        <x:v>ZEISS|Progressiva Especial|Surfaçada|Individual Sport|Polarizada|1.5|1.50|DuraVision Silver UV|-4.00 a +4.00|-4.00|1.00 a 3.50|80|||51</x:v>
      </x:c>
    </x:row>
    <x:row r="3026">
      <x:c r="A3026" s="24" t="str">
        <x:v>ZS-9962E8E84EB9</x:v>
      </x:c>
      <x:c r="B3026" s="24" t="str">
        <x:v>SIM</x:v>
      </x:c>
      <x:c r="C3026" s="24" t="str">
        <x:v>DISPONÍVEL</x:v>
      </x:c>
      <x:c r="D3026" s="24" t="str">
        <x:v>ZEISS</x:v>
      </x:c>
      <x:c r="E3026" s="24" t="str">
        <x:v>Progressiva Especial</x:v>
      </x:c>
      <x:c r="F3026" s="24" t="str">
        <x:v>Surfaçada</x:v>
      </x:c>
      <x:c r="G3026" s="24" t="str">
        <x:v>Individual Sport</x:v>
      </x:c>
      <x:c r="H3026" s="24" t="str">
        <x:v>Polarizada</x:v>
      </x:c>
      <x:c r="I3026" s="24" t="str">
        <x:v>1.5</x:v>
      </x:c>
      <x:c r="J3026" s="24" t="str">
        <x:v>1.50</x:v>
      </x:c>
      <x:c r="K3026" s="24" t="str">
        <x:v>DuraVision Chrome UV</x:v>
      </x:c>
      <x:c r="L3026" s="40" t="n">
        <x:v>4704</x:v>
      </x:c>
      <x:c r="M3026" s="24" t="str">
        <x:v>-4.00 a +4.00</x:v>
      </x:c>
      <x:c r="N3026" s="24" t="str">
        <x:v>-4.00</x:v>
      </x:c>
      <x:c r="O3026" s="24" t="str">
        <x:v>1.00 a 3.50</x:v>
      </x:c>
      <x:c r="P3026" s="24" t="str">
        <x:v>80</x:v>
      </x:c>
      <x:c r="Q3026" s="24"/>
      <x:c r="R3026" s="24"/>
      <x:c r="S3026" s="26" t="n">
        <x:v>46113</x:v>
      </x:c>
      <x:c r="T3026" s="26"/>
      <x:c r="U3026" s="24" t="str">
        <x:v>ATIVA/SEM FIM INFORMADO</x:v>
      </x:c>
      <x:c r="V3026" s="24"/>
      <x:c r="W3026" s="24" t="n">
        <x:v>51</x:v>
      </x:c>
      <x:c r="X3026" s="24" t="str">
        <x:v>tabela_zeiss.pdf</x:v>
      </x:c>
      <x:c r="Y3026" s="24" t="str">
        <x:v>alta</x:v>
      </x:c>
      <x:c r="Z3026" s="24"/>
      <x:c r="AA3026" s="24" t="str">
        <x:v>ZEISS|Progressiva Especial|Surfaçada|Individual Sport|Polarizada|1.5|1.50|DuraVision Chrome UV|-4.00 a +4.00|-4.00|1.00 a 3.50|80|||51</x:v>
      </x:c>
    </x:row>
    <x:row r="3027">
      <x:c r="A3027" s="24" t="str">
        <x:v>ZS-F37E6F10079E</x:v>
      </x:c>
      <x:c r="B3027" s="24" t="str">
        <x:v>SIM</x:v>
      </x:c>
      <x:c r="C3027" s="24" t="str">
        <x:v>DISPONÍVEL</x:v>
      </x:c>
      <x:c r="D3027" s="24" t="str">
        <x:v>ZEISS</x:v>
      </x:c>
      <x:c r="E3027" s="24" t="str">
        <x:v>Progressiva Especial</x:v>
      </x:c>
      <x:c r="F3027" s="24" t="str">
        <x:v>Surfaçada</x:v>
      </x:c>
      <x:c r="G3027" s="24" t="str">
        <x:v>Individual Sport</x:v>
      </x:c>
      <x:c r="H3027" s="24" t="str">
        <x:v>Polarizada</x:v>
      </x:c>
      <x:c r="I3027" s="24" t="str">
        <x:v>1.6</x:v>
      </x:c>
      <x:c r="J3027" s="24" t="str">
        <x:v>1.60</x:v>
      </x:c>
      <x:c r="K3027" s="24" t="str">
        <x:v>DuraVision Gold UV</x:v>
      </x:c>
      <x:c r="L3027" s="40" t="n">
        <x:v>6844</x:v>
      </x:c>
      <x:c r="M3027" s="24" t="str">
        <x:v>-4.00 a +4.00</x:v>
      </x:c>
      <x:c r="N3027" s="24" t="str">
        <x:v>-4.00</x:v>
      </x:c>
      <x:c r="O3027" s="24" t="str">
        <x:v>1.00 a 3.50</x:v>
      </x:c>
      <x:c r="P3027" s="24" t="str">
        <x:v>82</x:v>
      </x:c>
      <x:c r="Q3027" s="24"/>
      <x:c r="R3027" s="24"/>
      <x:c r="S3027" s="26" t="n">
        <x:v>46113</x:v>
      </x:c>
      <x:c r="T3027" s="26"/>
      <x:c r="U3027" s="24" t="str">
        <x:v>ATIVA/SEM FIM INFORMADO</x:v>
      </x:c>
      <x:c r="V3027" s="24"/>
      <x:c r="W3027" s="24" t="n">
        <x:v>51</x:v>
      </x:c>
      <x:c r="X3027" s="24" t="str">
        <x:v>tabela_zeiss.pdf</x:v>
      </x:c>
      <x:c r="Y3027" s="24" t="str">
        <x:v>alta</x:v>
      </x:c>
      <x:c r="Z3027" s="24"/>
      <x:c r="AA3027" s="24" t="str">
        <x:v>ZEISS|Progressiva Especial|Surfaçada|Individual Sport|Polarizada|1.6|1.60|DuraVision Gold UV|-4.00 a +4.00|-4.00|1.00 a 3.50|82|||51</x:v>
      </x:c>
    </x:row>
    <x:row r="3028">
      <x:c r="A3028" s="24" t="str">
        <x:v>ZS-8907174FFDEC</x:v>
      </x:c>
      <x:c r="B3028" s="24" t="str">
        <x:v>SIM</x:v>
      </x:c>
      <x:c r="C3028" s="24" t="str">
        <x:v>DISPONÍVEL</x:v>
      </x:c>
      <x:c r="D3028" s="24" t="str">
        <x:v>ZEISS</x:v>
      </x:c>
      <x:c r="E3028" s="24" t="str">
        <x:v>Progressiva Especial</x:v>
      </x:c>
      <x:c r="F3028" s="24" t="str">
        <x:v>Surfaçada</x:v>
      </x:c>
      <x:c r="G3028" s="24" t="str">
        <x:v>Individual Sport</x:v>
      </x:c>
      <x:c r="H3028" s="24" t="str">
        <x:v>Polarizada</x:v>
      </x:c>
      <x:c r="I3028" s="24" t="str">
        <x:v>1.6</x:v>
      </x:c>
      <x:c r="J3028" s="24" t="str">
        <x:v>1.60</x:v>
      </x:c>
      <x:c r="K3028" s="24" t="str">
        <x:v>DuraVision Platinum UV</x:v>
      </x:c>
      <x:c r="L3028" s="40" t="n">
        <x:v>6704</x:v>
      </x:c>
      <x:c r="M3028" s="24" t="str">
        <x:v>-4.00 a +4.00</x:v>
      </x:c>
      <x:c r="N3028" s="24" t="str">
        <x:v>-4.00</x:v>
      </x:c>
      <x:c r="O3028" s="24" t="str">
        <x:v>1.00 a 3.50</x:v>
      </x:c>
      <x:c r="P3028" s="24" t="str">
        <x:v>82</x:v>
      </x:c>
      <x:c r="Q3028" s="24"/>
      <x:c r="R3028" s="24"/>
      <x:c r="S3028" s="26" t="n">
        <x:v>46113</x:v>
      </x:c>
      <x:c r="T3028" s="26"/>
      <x:c r="U3028" s="24" t="str">
        <x:v>ATIVA/SEM FIM INFORMADO</x:v>
      </x:c>
      <x:c r="V3028" s="24"/>
      <x:c r="W3028" s="24" t="n">
        <x:v>51</x:v>
      </x:c>
      <x:c r="X3028" s="24" t="str">
        <x:v>tabela_zeiss.pdf</x:v>
      </x:c>
      <x:c r="Y3028" s="24" t="str">
        <x:v>alta</x:v>
      </x:c>
      <x:c r="Z3028" s="24"/>
      <x:c r="AA3028" s="24" t="str">
        <x:v>ZEISS|Progressiva Especial|Surfaçada|Individual Sport|Polarizada|1.6|1.60|DuraVision Platinum UV|-4.00 a +4.00|-4.00|1.00 a 3.50|82|||51</x:v>
      </x:c>
    </x:row>
    <x:row r="3029">
      <x:c r="A3029" s="24" t="str">
        <x:v>ZS-1997E6B46F23</x:v>
      </x:c>
      <x:c r="B3029" s="24" t="str">
        <x:v>SIM</x:v>
      </x:c>
      <x:c r="C3029" s="24" t="str">
        <x:v>DISPONÍVEL</x:v>
      </x:c>
      <x:c r="D3029" s="24" t="str">
        <x:v>ZEISS</x:v>
      </x:c>
      <x:c r="E3029" s="24" t="str">
        <x:v>Progressiva Especial</x:v>
      </x:c>
      <x:c r="F3029" s="24" t="str">
        <x:v>Surfaçada</x:v>
      </x:c>
      <x:c r="G3029" s="24" t="str">
        <x:v>Individual Sport</x:v>
      </x:c>
      <x:c r="H3029" s="24" t="str">
        <x:v>Polarizada</x:v>
      </x:c>
      <x:c r="I3029" s="24" t="str">
        <x:v>1.6</x:v>
      </x:c>
      <x:c r="J3029" s="24" t="str">
        <x:v>1.60</x:v>
      </x:c>
      <x:c r="K3029" s="24" t="str">
        <x:v>DuraVision Silver UV</x:v>
      </x:c>
      <x:c r="L3029" s="40" t="n">
        <x:v>6444</x:v>
      </x:c>
      <x:c r="M3029" s="24" t="str">
        <x:v>-4.00 a +4.00</x:v>
      </x:c>
      <x:c r="N3029" s="24" t="str">
        <x:v>-4.00</x:v>
      </x:c>
      <x:c r="O3029" s="24" t="str">
        <x:v>1.00 a 3.50</x:v>
      </x:c>
      <x:c r="P3029" s="24" t="str">
        <x:v>82</x:v>
      </x:c>
      <x:c r="Q3029" s="24"/>
      <x:c r="R3029" s="24"/>
      <x:c r="S3029" s="26" t="n">
        <x:v>46113</x:v>
      </x:c>
      <x:c r="T3029" s="26"/>
      <x:c r="U3029" s="24" t="str">
        <x:v>ATIVA/SEM FIM INFORMADO</x:v>
      </x:c>
      <x:c r="V3029" s="24"/>
      <x:c r="W3029" s="24" t="n">
        <x:v>51</x:v>
      </x:c>
      <x:c r="X3029" s="24" t="str">
        <x:v>tabela_zeiss.pdf</x:v>
      </x:c>
      <x:c r="Y3029" s="24" t="str">
        <x:v>alta</x:v>
      </x:c>
      <x:c r="Z3029" s="24"/>
      <x:c r="AA3029" s="24" t="str">
        <x:v>ZEISS|Progressiva Especial|Surfaçada|Individual Sport|Polarizada|1.6|1.60|DuraVision Silver UV|-4.00 a +4.00|-4.00|1.00 a 3.50|82|||51</x:v>
      </x:c>
    </x:row>
    <x:row r="3030">
      <x:c r="A3030" s="24" t="str">
        <x:v>ZS-7D6FF12CB671</x:v>
      </x:c>
      <x:c r="B3030" s="24" t="str">
        <x:v>SIM</x:v>
      </x:c>
      <x:c r="C3030" s="24" t="str">
        <x:v>DISPONÍVEL</x:v>
      </x:c>
      <x:c r="D3030" s="24" t="str">
        <x:v>ZEISS</x:v>
      </x:c>
      <x:c r="E3030" s="24" t="str">
        <x:v>Progressiva Especial</x:v>
      </x:c>
      <x:c r="F3030" s="24" t="str">
        <x:v>Surfaçada</x:v>
      </x:c>
      <x:c r="G3030" s="24" t="str">
        <x:v>Individual Sport</x:v>
      </x:c>
      <x:c r="H3030" s="24" t="str">
        <x:v>Polarizada</x:v>
      </x:c>
      <x:c r="I3030" s="24" t="str">
        <x:v>1.6</x:v>
      </x:c>
      <x:c r="J3030" s="24" t="str">
        <x:v>1.60</x:v>
      </x:c>
      <x:c r="K3030" s="24" t="str">
        <x:v>DuraVision Chrome UV</x:v>
      </x:c>
      <x:c r="L3030" s="40" t="n">
        <x:v>5954</x:v>
      </x:c>
      <x:c r="M3030" s="24" t="str">
        <x:v>-4.00 a +4.00</x:v>
      </x:c>
      <x:c r="N3030" s="24" t="str">
        <x:v>-4.00</x:v>
      </x:c>
      <x:c r="O3030" s="24" t="str">
        <x:v>1.00 a 3.50</x:v>
      </x:c>
      <x:c r="P3030" s="24" t="str">
        <x:v>82</x:v>
      </x:c>
      <x:c r="Q3030" s="24"/>
      <x:c r="R3030" s="24"/>
      <x:c r="S3030" s="26" t="n">
        <x:v>46113</x:v>
      </x:c>
      <x:c r="T3030" s="26"/>
      <x:c r="U3030" s="24" t="str">
        <x:v>ATIVA/SEM FIM INFORMADO</x:v>
      </x:c>
      <x:c r="V3030" s="24"/>
      <x:c r="W3030" s="24" t="n">
        <x:v>51</x:v>
      </x:c>
      <x:c r="X3030" s="24" t="str">
        <x:v>tabela_zeiss.pdf</x:v>
      </x:c>
      <x:c r="Y3030" s="24" t="str">
        <x:v>alta</x:v>
      </x:c>
      <x:c r="Z3030" s="24"/>
      <x:c r="AA3030" s="24" t="str">
        <x:v>ZEISS|Progressiva Especial|Surfaçada|Individual Sport|Polarizada|1.6|1.60|DuraVision Chrome UV|-4.00 a +4.00|-4.00|1.00 a 3.50|82|||51</x:v>
      </x:c>
    </x:row>
    <x:row r="3031">
      <x:c r="A3031" s="24" t="str">
        <x:v>ZS-AC95D8E3C51E</x:v>
      </x:c>
      <x:c r="B3031" s="24" t="str">
        <x:v>SIM</x:v>
      </x:c>
      <x:c r="C3031" s="24" t="str">
        <x:v>DISPONÍVEL</x:v>
      </x:c>
      <x:c r="D3031" s="24" t="str">
        <x:v>ZEISS</x:v>
      </x:c>
      <x:c r="E3031" s="24" t="str">
        <x:v>AdaptiveSun</x:v>
      </x:c>
      <x:c r="F3031" s="24" t="str">
        <x:v>Surfaçada</x:v>
      </x:c>
      <x:c r="G3031" s="24" t="str">
        <x:v>SmartLife Visão Simples Individual AdaptiveSun</x:v>
      </x:c>
      <x:c r="H3031" s="24" t="str">
        <x:v>AdaptiveSun</x:v>
      </x:c>
      <x:c r="I3031" s="24" t="str">
        <x:v>1.5</x:v>
      </x:c>
      <x:c r="J3031" s="24" t="str">
        <x:v>1.50</x:v>
      </x:c>
      <x:c r="K3031" s="24" t="str">
        <x:v>DuraVision Platinum UV</x:v>
      </x:c>
      <x:c r="L3031" s="40" t="n">
        <x:v>3509</x:v>
      </x:c>
      <x:c r="M3031" s="24" t="str">
        <x:v>-4.00 a +4.00
-6.00 a +6.00</x:v>
      </x:c>
      <x:c r="N3031" s="24" t="str">
        <x:v>-4.00
-4.00</x:v>
      </x:c>
      <x:c r="O3031" s="24" t="str">
        <x:v>-</x:v>
      </x:c>
      <x:c r="P3031" s="24" t="str">
        <x:v>75/80
70/75</x:v>
      </x:c>
      <x:c r="Q3031" s="24"/>
      <x:c r="R3031" s="24"/>
      <x:c r="S3031" s="26" t="n">
        <x:v>46113</x:v>
      </x:c>
      <x:c r="T3031" s="26"/>
      <x:c r="U3031" s="24" t="str">
        <x:v>ATIVA/SEM FIM INFORMADO</x:v>
      </x:c>
      <x:c r="V3031" s="24" t="str">
        <x:v>Programa de Parcerias ZEISS — categoria Experts</x:v>
      </x:c>
      <x:c r="W3031" s="24" t="n">
        <x:v>52</x:v>
      </x:c>
      <x:c r="X3031" s="24" t="str">
        <x:v>tabela_zeiss.pdf</x:v>
      </x:c>
      <x:c r="Y3031" s="24" t="str">
        <x:v>alta</x:v>
      </x:c>
      <x:c r="Z3031" s="24"/>
      <x:c r="AA3031" s="24" t="str">
        <x:v>ZEISS|AdaptiveSun|Surfaçada|SmartLife Visão Simples Individual AdaptiveSun|AdaptiveSun|1.5|1.50|DuraVision Platinum UV|-4.00 a +4.00
-6.00 a +6.00|-4.00
-4.00|-|75/80
70/75|||52</x:v>
      </x:c>
    </x:row>
    <x:row r="3032">
      <x:c r="A3032" s="24" t="str">
        <x:v>ZS-2B9BC4B3D323</x:v>
      </x:c>
      <x:c r="B3032" s="24" t="str">
        <x:v>SIM</x:v>
      </x:c>
      <x:c r="C3032" s="24" t="str">
        <x:v>DISPONÍVEL</x:v>
      </x:c>
      <x:c r="D3032" s="24" t="str">
        <x:v>ZEISS</x:v>
      </x:c>
      <x:c r="E3032" s="24" t="str">
        <x:v>AdaptiveSun</x:v>
      </x:c>
      <x:c r="F3032" s="24" t="str">
        <x:v>Surfaçada</x:v>
      </x:c>
      <x:c r="G3032" s="24" t="str">
        <x:v>SmartLife Visão Simples Individual AdaptiveSun</x:v>
      </x:c>
      <x:c r="H3032" s="24" t="str">
        <x:v>AdaptiveSun</x:v>
      </x:c>
      <x:c r="I3032" s="24" t="str">
        <x:v>1.5</x:v>
      </x:c>
      <x:c r="J3032" s="24" t="str">
        <x:v>1.50</x:v>
      </x:c>
      <x:c r="K3032" s="24" t="str">
        <x:v>DuraVision Silver UV</x:v>
      </x:c>
      <x:c r="L3032" s="40" t="n">
        <x:v>3249</x:v>
      </x:c>
      <x:c r="M3032" s="24" t="str">
        <x:v>-4.00 a +4.00
-6.00 a +6.00</x:v>
      </x:c>
      <x:c r="N3032" s="24" t="str">
        <x:v>-4.00
-4.00</x:v>
      </x:c>
      <x:c r="O3032" s="24" t="str">
        <x:v>-</x:v>
      </x:c>
      <x:c r="P3032" s="24" t="str">
        <x:v>75/80
70/75</x:v>
      </x:c>
      <x:c r="Q3032" s="24"/>
      <x:c r="R3032" s="24"/>
      <x:c r="S3032" s="26" t="n">
        <x:v>46113</x:v>
      </x:c>
      <x:c r="T3032" s="26"/>
      <x:c r="U3032" s="24" t="str">
        <x:v>ATIVA/SEM FIM INFORMADO</x:v>
      </x:c>
      <x:c r="V3032" s="24" t="str">
        <x:v>Programa de Parcerias ZEISS — categoria Experts</x:v>
      </x:c>
      <x:c r="W3032" s="24" t="n">
        <x:v>52</x:v>
      </x:c>
      <x:c r="X3032" s="24" t="str">
        <x:v>tabela_zeiss.pdf</x:v>
      </x:c>
      <x:c r="Y3032" s="24" t="str">
        <x:v>alta</x:v>
      </x:c>
      <x:c r="Z3032" s="24"/>
      <x:c r="AA3032" s="24" t="str">
        <x:v>ZEISS|AdaptiveSun|Surfaçada|SmartLife Visão Simples Individual AdaptiveSun|AdaptiveSun|1.5|1.50|DuraVision Silver UV|-4.00 a +4.00
-6.00 a +6.00|-4.00
-4.00|-|75/80
70/75|||52</x:v>
      </x:c>
    </x:row>
    <x:row r="3033">
      <x:c r="A3033" s="24" t="str">
        <x:v>ZS-6AA06E242E1A</x:v>
      </x:c>
      <x:c r="B3033" s="24" t="str">
        <x:v>SIM</x:v>
      </x:c>
      <x:c r="C3033" s="24" t="str">
        <x:v>DISPONÍVEL</x:v>
      </x:c>
      <x:c r="D3033" s="24" t="str">
        <x:v>ZEISS</x:v>
      </x:c>
      <x:c r="E3033" s="24" t="str">
        <x:v>AdaptiveSun</x:v>
      </x:c>
      <x:c r="F3033" s="24" t="str">
        <x:v>Surfaçada</x:v>
      </x:c>
      <x:c r="G3033" s="24" t="str">
        <x:v>SmartLife Visão Simples Individual AdaptiveSun</x:v>
      </x:c>
      <x:c r="H3033" s="24" t="str">
        <x:v>AdaptiveSun</x:v>
      </x:c>
      <x:c r="I3033" s="24" t="str">
        <x:v>1.5</x:v>
      </x:c>
      <x:c r="J3033" s="24" t="str">
        <x:v>1.50</x:v>
      </x:c>
      <x:c r="K3033" s="24" t="str">
        <x:v>DuraVision Chrome UV</x:v>
      </x:c>
      <x:c r="L3033" s="40" t="n">
        <x:v>2759</x:v>
      </x:c>
      <x:c r="M3033" s="24" t="str">
        <x:v>-4.00 a +4.00
-6.00 a +6.00</x:v>
      </x:c>
      <x:c r="N3033" s="24" t="str">
        <x:v>-4.00
-4.00</x:v>
      </x:c>
      <x:c r="O3033" s="24" t="str">
        <x:v>-</x:v>
      </x:c>
      <x:c r="P3033" s="24" t="str">
        <x:v>75/80
70/75</x:v>
      </x:c>
      <x:c r="Q3033" s="24"/>
      <x:c r="R3033" s="24"/>
      <x:c r="S3033" s="26" t="n">
        <x:v>46113</x:v>
      </x:c>
      <x:c r="T3033" s="26"/>
      <x:c r="U3033" s="24" t="str">
        <x:v>ATIVA/SEM FIM INFORMADO</x:v>
      </x:c>
      <x:c r="V3033" s="24" t="str">
        <x:v>Programa de Parcerias ZEISS — categoria Experts</x:v>
      </x:c>
      <x:c r="W3033" s="24" t="n">
        <x:v>52</x:v>
      </x:c>
      <x:c r="X3033" s="24" t="str">
        <x:v>tabela_zeiss.pdf</x:v>
      </x:c>
      <x:c r="Y3033" s="24" t="str">
        <x:v>alta</x:v>
      </x:c>
      <x:c r="Z3033" s="24"/>
      <x:c r="AA3033" s="24" t="str">
        <x:v>ZEISS|AdaptiveSun|Surfaçada|SmartLife Visão Simples Individual AdaptiveSun|AdaptiveSun|1.5|1.50|DuraVision Chrome UV|-4.00 a +4.00
-6.00 a +6.00|-4.00
-4.00|-|75/80
70/75|||52</x:v>
      </x:c>
    </x:row>
    <x:row r="3034">
      <x:c r="A3034" s="24" t="str">
        <x:v>ZS-E9A86684005D</x:v>
      </x:c>
      <x:c r="B3034" s="24" t="str">
        <x:v>SIM</x:v>
      </x:c>
      <x:c r="C3034" s="24" t="str">
        <x:v>DISPONÍVEL</x:v>
      </x:c>
      <x:c r="D3034" s="24" t="str">
        <x:v>ZEISS</x:v>
      </x:c>
      <x:c r="E3034" s="24" t="str">
        <x:v>AdaptiveSun</x:v>
      </x:c>
      <x:c r="F3034" s="24" t="str">
        <x:v>Surfaçada</x:v>
      </x:c>
      <x:c r="G3034" s="24" t="str">
        <x:v>SmartLife Visão Simples Individual AdaptiveSun</x:v>
      </x:c>
      <x:c r="H3034" s="24" t="str">
        <x:v>AdaptiveSun</x:v>
      </x:c>
      <x:c r="I3034" s="24" t="str">
        <x:v>1.5</x:v>
      </x:c>
      <x:c r="J3034" s="24" t="str">
        <x:v>1.50</x:v>
      </x:c>
      <x:c r="K3034" s="24" t="str">
        <x:v>Sem AR</x:v>
      </x:c>
      <x:c r="L3034" s="40" t="n">
        <x:v>2359</x:v>
      </x:c>
      <x:c r="M3034" s="24" t="str">
        <x:v>-4.00 a +4.00
-6.00 a +6.00</x:v>
      </x:c>
      <x:c r="N3034" s="24" t="str">
        <x:v>-4.00
-4.00</x:v>
      </x:c>
      <x:c r="O3034" s="24" t="str">
        <x:v>-</x:v>
      </x:c>
      <x:c r="P3034" s="24" t="str">
        <x:v>75/80
70/75</x:v>
      </x:c>
      <x:c r="Q3034" s="24"/>
      <x:c r="R3034" s="24"/>
      <x:c r="S3034" s="26" t="n">
        <x:v>46113</x:v>
      </x:c>
      <x:c r="T3034" s="26"/>
      <x:c r="U3034" s="24" t="str">
        <x:v>ATIVA/SEM FIM INFORMADO</x:v>
      </x:c>
      <x:c r="V3034" s="24" t="str">
        <x:v>Programa de Parcerias ZEISS — categoria Experts</x:v>
      </x:c>
      <x:c r="W3034" s="24" t="n">
        <x:v>52</x:v>
      </x:c>
      <x:c r="X3034" s="24" t="str">
        <x:v>tabela_zeiss.pdf</x:v>
      </x:c>
      <x:c r="Y3034" s="24" t="str">
        <x:v>alta</x:v>
      </x:c>
      <x:c r="Z3034" s="24"/>
      <x:c r="AA3034" s="24" t="str">
        <x:v>ZEISS|AdaptiveSun|Surfaçada|SmartLife Visão Simples Individual AdaptiveSun|AdaptiveSun|1.5|1.50|Sem AR|-4.00 a +4.00
-6.00 a +6.00|-4.00
-4.00|-|75/80
70/75|||52</x:v>
      </x:c>
    </x:row>
    <x:row r="3035">
      <x:c r="A3035" s="24" t="str">
        <x:v>ZS-B4C9055F89BE</x:v>
      </x:c>
      <x:c r="B3035" s="24" t="str">
        <x:v>SIM</x:v>
      </x:c>
      <x:c r="C3035" s="24" t="str">
        <x:v>DISPONÍVEL</x:v>
      </x:c>
      <x:c r="D3035" s="24" t="str">
        <x:v>ZEISS</x:v>
      </x:c>
      <x:c r="E3035" s="24" t="str">
        <x:v>AdaptiveSun</x:v>
      </x:c>
      <x:c r="F3035" s="24" t="str">
        <x:v>Surfaçada</x:v>
      </x:c>
      <x:c r="G3035" s="24" t="str">
        <x:v>SmartLife Visão Simples Individual AdaptiveSun</x:v>
      </x:c>
      <x:c r="H3035" s="24" t="str">
        <x:v>AdaptiveSun</x:v>
      </x:c>
      <x:c r="I3035" s="24" t="str">
        <x:v>1.6</x:v>
      </x:c>
      <x:c r="J3035" s="24" t="str">
        <x:v>1.60</x:v>
      </x:c>
      <x:c r="K3035" s="24" t="str">
        <x:v>DuraVision Platinum UV</x:v>
      </x:c>
      <x:c r="L3035" s="40" t="n">
        <x:v>4089</x:v>
      </x:c>
      <x:c r="M3035" s="24" t="str">
        <x:v>-6.00 a +6.00
-10.00 a +8.00</x:v>
      </x:c>
      <x:c r="N3035" s="24" t="str">
        <x:v>-4.00
-6.00</x:v>
      </x:c>
      <x:c r="O3035" s="24" t="str">
        <x:v>-</x:v>
      </x:c>
      <x:c r="P3035" s="24" t="str">
        <x:v>75/80
70/75</x:v>
      </x:c>
      <x:c r="Q3035" s="24"/>
      <x:c r="R3035" s="24"/>
      <x:c r="S3035" s="26" t="n">
        <x:v>46113</x:v>
      </x:c>
      <x:c r="T3035" s="26"/>
      <x:c r="U3035" s="24" t="str">
        <x:v>ATIVA/SEM FIM INFORMADO</x:v>
      </x:c>
      <x:c r="V3035" s="24" t="str">
        <x:v>Programa de Parcerias ZEISS — categoria Experts</x:v>
      </x:c>
      <x:c r="W3035" s="24" t="n">
        <x:v>52</x:v>
      </x:c>
      <x:c r="X3035" s="24" t="str">
        <x:v>tabela_zeiss.pdf</x:v>
      </x:c>
      <x:c r="Y3035" s="24" t="str">
        <x:v>alta</x:v>
      </x:c>
      <x:c r="Z3035" s="24"/>
      <x:c r="AA3035" s="24" t="str">
        <x:v>ZEISS|AdaptiveSun|Surfaçada|SmartLife Visão Simples Individual AdaptiveSun|AdaptiveSun|1.6|1.60|DuraVision Platinum UV|-6.00 a +6.00
-10.00 a +8.00|-4.00
-6.00|-|75/80
70/75|||52</x:v>
      </x:c>
    </x:row>
    <x:row r="3036">
      <x:c r="A3036" s="24" t="str">
        <x:v>ZS-218940280AA0</x:v>
      </x:c>
      <x:c r="B3036" s="24" t="str">
        <x:v>SIM</x:v>
      </x:c>
      <x:c r="C3036" s="24" t="str">
        <x:v>DISPONÍVEL</x:v>
      </x:c>
      <x:c r="D3036" s="24" t="str">
        <x:v>ZEISS</x:v>
      </x:c>
      <x:c r="E3036" s="24" t="str">
        <x:v>AdaptiveSun</x:v>
      </x:c>
      <x:c r="F3036" s="24" t="str">
        <x:v>Surfaçada</x:v>
      </x:c>
      <x:c r="G3036" s="24" t="str">
        <x:v>SmartLife Visão Simples Individual AdaptiveSun</x:v>
      </x:c>
      <x:c r="H3036" s="24" t="str">
        <x:v>AdaptiveSun</x:v>
      </x:c>
      <x:c r="I3036" s="24" t="str">
        <x:v>1.6</x:v>
      </x:c>
      <x:c r="J3036" s="24" t="str">
        <x:v>1.60</x:v>
      </x:c>
      <x:c r="K3036" s="24" t="str">
        <x:v>DuraVision Silver UV</x:v>
      </x:c>
      <x:c r="L3036" s="40" t="n">
        <x:v>3829</x:v>
      </x:c>
      <x:c r="M3036" s="24" t="str">
        <x:v>-6.00 a +6.00
-10.00 a +8.00</x:v>
      </x:c>
      <x:c r="N3036" s="24" t="str">
        <x:v>-4.00
-6.00</x:v>
      </x:c>
      <x:c r="O3036" s="24" t="str">
        <x:v>-</x:v>
      </x:c>
      <x:c r="P3036" s="24" t="str">
        <x:v>75/80
70/75</x:v>
      </x:c>
      <x:c r="Q3036" s="24"/>
      <x:c r="R3036" s="24"/>
      <x:c r="S3036" s="26" t="n">
        <x:v>46113</x:v>
      </x:c>
      <x:c r="T3036" s="26"/>
      <x:c r="U3036" s="24" t="str">
        <x:v>ATIVA/SEM FIM INFORMADO</x:v>
      </x:c>
      <x:c r="V3036" s="24" t="str">
        <x:v>Programa de Parcerias ZEISS — categoria Experts</x:v>
      </x:c>
      <x:c r="W3036" s="24" t="n">
        <x:v>52</x:v>
      </x:c>
      <x:c r="X3036" s="24" t="str">
        <x:v>tabela_zeiss.pdf</x:v>
      </x:c>
      <x:c r="Y3036" s="24" t="str">
        <x:v>alta</x:v>
      </x:c>
      <x:c r="Z3036" s="24"/>
      <x:c r="AA3036" s="24" t="str">
        <x:v>ZEISS|AdaptiveSun|Surfaçada|SmartLife Visão Simples Individual AdaptiveSun|AdaptiveSun|1.6|1.60|DuraVision Silver UV|-6.00 a +6.00
-10.00 a +8.00|-4.00
-6.00|-|75/80
70/75|||52</x:v>
      </x:c>
    </x:row>
    <x:row r="3037">
      <x:c r="A3037" s="24" t="str">
        <x:v>ZS-732C2BEC48D4</x:v>
      </x:c>
      <x:c r="B3037" s="24" t="str">
        <x:v>SIM</x:v>
      </x:c>
      <x:c r="C3037" s="24" t="str">
        <x:v>DISPONÍVEL</x:v>
      </x:c>
      <x:c r="D3037" s="24" t="str">
        <x:v>ZEISS</x:v>
      </x:c>
      <x:c r="E3037" s="24" t="str">
        <x:v>AdaptiveSun</x:v>
      </x:c>
      <x:c r="F3037" s="24" t="str">
        <x:v>Surfaçada</x:v>
      </x:c>
      <x:c r="G3037" s="24" t="str">
        <x:v>SmartLife Visão Simples Individual AdaptiveSun</x:v>
      </x:c>
      <x:c r="H3037" s="24" t="str">
        <x:v>AdaptiveSun</x:v>
      </x:c>
      <x:c r="I3037" s="24" t="str">
        <x:v>1.6</x:v>
      </x:c>
      <x:c r="J3037" s="24" t="str">
        <x:v>1.60</x:v>
      </x:c>
      <x:c r="K3037" s="24" t="str">
        <x:v>DuraVision Chrome UV</x:v>
      </x:c>
      <x:c r="L3037" s="40" t="n">
        <x:v>3339</x:v>
      </x:c>
      <x:c r="M3037" s="24" t="str">
        <x:v>-6.00 a +6.00
-10.00 a +8.00</x:v>
      </x:c>
      <x:c r="N3037" s="24" t="str">
        <x:v>-4.00
-6.00</x:v>
      </x:c>
      <x:c r="O3037" s="24" t="str">
        <x:v>-</x:v>
      </x:c>
      <x:c r="P3037" s="24" t="str">
        <x:v>75/80
70/75</x:v>
      </x:c>
      <x:c r="Q3037" s="24"/>
      <x:c r="R3037" s="24"/>
      <x:c r="S3037" s="26" t="n">
        <x:v>46113</x:v>
      </x:c>
      <x:c r="T3037" s="26"/>
      <x:c r="U3037" s="24" t="str">
        <x:v>ATIVA/SEM FIM INFORMADO</x:v>
      </x:c>
      <x:c r="V3037" s="24" t="str">
        <x:v>Programa de Parcerias ZEISS — categoria Experts</x:v>
      </x:c>
      <x:c r="W3037" s="24" t="n">
        <x:v>52</x:v>
      </x:c>
      <x:c r="X3037" s="24" t="str">
        <x:v>tabela_zeiss.pdf</x:v>
      </x:c>
      <x:c r="Y3037" s="24" t="str">
        <x:v>alta</x:v>
      </x:c>
      <x:c r="Z3037" s="24"/>
      <x:c r="AA3037" s="24" t="str">
        <x:v>ZEISS|AdaptiveSun|Surfaçada|SmartLife Visão Simples Individual AdaptiveSun|AdaptiveSun|1.6|1.60|DuraVision Chrome UV|-6.00 a +6.00
-10.00 a +8.00|-4.00
-6.00|-|75/80
70/75|||52</x:v>
      </x:c>
    </x:row>
    <x:row r="3038">
      <x:c r="A3038" s="24" t="str">
        <x:v>ZS-0663B7A7E825</x:v>
      </x:c>
      <x:c r="B3038" s="24" t="str">
        <x:v>SIM</x:v>
      </x:c>
      <x:c r="C3038" s="24" t="str">
        <x:v>DISPONÍVEL</x:v>
      </x:c>
      <x:c r="D3038" s="24" t="str">
        <x:v>ZEISS</x:v>
      </x:c>
      <x:c r="E3038" s="24" t="str">
        <x:v>AdaptiveSun</x:v>
      </x:c>
      <x:c r="F3038" s="24" t="str">
        <x:v>Surfaçada</x:v>
      </x:c>
      <x:c r="G3038" s="24" t="str">
        <x:v>SmartLife Visão Simples Individual AdaptiveSun</x:v>
      </x:c>
      <x:c r="H3038" s="24" t="str">
        <x:v>AdaptiveSun</x:v>
      </x:c>
      <x:c r="I3038" s="24" t="str">
        <x:v>1.6</x:v>
      </x:c>
      <x:c r="J3038" s="24" t="str">
        <x:v>1.60</x:v>
      </x:c>
      <x:c r="K3038" s="24" t="str">
        <x:v>Sem AR</x:v>
      </x:c>
      <x:c r="L3038" s="40" t="n">
        <x:v>2939</x:v>
      </x:c>
      <x:c r="M3038" s="24" t="str">
        <x:v>-6.00 a +6.00
-10.00 a +8.00</x:v>
      </x:c>
      <x:c r="N3038" s="24" t="str">
        <x:v>-4.00
-6.00</x:v>
      </x:c>
      <x:c r="O3038" s="24" t="str">
        <x:v>-</x:v>
      </x:c>
      <x:c r="P3038" s="24" t="str">
        <x:v>75/80
70/75</x:v>
      </x:c>
      <x:c r="Q3038" s="24"/>
      <x:c r="R3038" s="24"/>
      <x:c r="S3038" s="26" t="n">
        <x:v>46113</x:v>
      </x:c>
      <x:c r="T3038" s="26"/>
      <x:c r="U3038" s="24" t="str">
        <x:v>ATIVA/SEM FIM INFORMADO</x:v>
      </x:c>
      <x:c r="V3038" s="24" t="str">
        <x:v>Programa de Parcerias ZEISS — categoria Experts</x:v>
      </x:c>
      <x:c r="W3038" s="24" t="n">
        <x:v>52</x:v>
      </x:c>
      <x:c r="X3038" s="24" t="str">
        <x:v>tabela_zeiss.pdf</x:v>
      </x:c>
      <x:c r="Y3038" s="24" t="str">
        <x:v>alta</x:v>
      </x:c>
      <x:c r="Z3038" s="24"/>
      <x:c r="AA3038" s="24" t="str">
        <x:v>ZEISS|AdaptiveSun|Surfaçada|SmartLife Visão Simples Individual AdaptiveSun|AdaptiveSun|1.6|1.60|Sem AR|-6.00 a +6.00
-10.00 a +8.00|-4.00
-6.00|-|75/80
70/75|||52</x:v>
      </x:c>
    </x:row>
    <x:row r="3039">
      <x:c r="A3039" s="24" t="str">
        <x:v>ZS-27661ABE1A3C</x:v>
      </x:c>
      <x:c r="B3039" s="24" t="str">
        <x:v>SIM</x:v>
      </x:c>
      <x:c r="C3039" s="24" t="str">
        <x:v>DISPONÍVEL</x:v>
      </x:c>
      <x:c r="D3039" s="24" t="str">
        <x:v>ZEISS</x:v>
      </x:c>
      <x:c r="E3039" s="24" t="str">
        <x:v>AdaptiveSun</x:v>
      </x:c>
      <x:c r="F3039" s="24" t="str">
        <x:v>Surfaçada</x:v>
      </x:c>
      <x:c r="G3039" s="24" t="str">
        <x:v>SmartLife Visão Simples Individual AdaptiveSun</x:v>
      </x:c>
      <x:c r="H3039" s="24" t="str">
        <x:v>AdaptiveSun</x:v>
      </x:c>
      <x:c r="I3039" s="24" t="str">
        <x:v>1.67</x:v>
      </x:c>
      <x:c r="J3039" s="24" t="str">
        <x:v>1.67</x:v>
      </x:c>
      <x:c r="K3039" s="24" t="str">
        <x:v>DuraVision Platinum UV</x:v>
      </x:c>
      <x:c r="L3039" s="40" t="n">
        <x:v>5389</x:v>
      </x:c>
      <x:c r="M3039" s="24" t="str">
        <x:v>-10.00 a +8.00
-12.00 a +8.00</x:v>
      </x:c>
      <x:c r="N3039" s="24" t="str">
        <x:v>-4.00
-6.00</x:v>
      </x:c>
      <x:c r="O3039" s="24" t="str">
        <x:v>-</x:v>
      </x:c>
      <x:c r="P3039" s="24" t="str">
        <x:v>70/75
65/70</x:v>
      </x:c>
      <x:c r="Q3039" s="24"/>
      <x:c r="R3039" s="24"/>
      <x:c r="S3039" s="26" t="n">
        <x:v>46113</x:v>
      </x:c>
      <x:c r="T3039" s="26"/>
      <x:c r="U3039" s="24" t="str">
        <x:v>ATIVA/SEM FIM INFORMADO</x:v>
      </x:c>
      <x:c r="V3039" s="24" t="str">
        <x:v>Programa de Parcerias ZEISS — categoria Experts</x:v>
      </x:c>
      <x:c r="W3039" s="24" t="n">
        <x:v>52</x:v>
      </x:c>
      <x:c r="X3039" s="24" t="str">
        <x:v>tabela_zeiss.pdf</x:v>
      </x:c>
      <x:c r="Y3039" s="24" t="str">
        <x:v>alta</x:v>
      </x:c>
      <x:c r="Z3039" s="24"/>
      <x:c r="AA3039" s="24" t="str">
        <x:v>ZEISS|AdaptiveSun|Surfaçada|SmartLife Visão Simples Individual AdaptiveSun|AdaptiveSun|1.67|1.67|DuraVision Platinum UV|-10.00 a +8.00
-12.00 a +8.00|-4.00
-6.00|-|70/75
65/70|||52</x:v>
      </x:c>
    </x:row>
    <x:row r="3040">
      <x:c r="A3040" s="24" t="str">
        <x:v>ZS-6AA5A292B76F</x:v>
      </x:c>
      <x:c r="B3040" s="24" t="str">
        <x:v>SIM</x:v>
      </x:c>
      <x:c r="C3040" s="24" t="str">
        <x:v>DISPONÍVEL</x:v>
      </x:c>
      <x:c r="D3040" s="24" t="str">
        <x:v>ZEISS</x:v>
      </x:c>
      <x:c r="E3040" s="24" t="str">
        <x:v>AdaptiveSun</x:v>
      </x:c>
      <x:c r="F3040" s="24" t="str">
        <x:v>Surfaçada</x:v>
      </x:c>
      <x:c r="G3040" s="24" t="str">
        <x:v>SmartLife Visão Simples Individual AdaptiveSun</x:v>
      </x:c>
      <x:c r="H3040" s="24" t="str">
        <x:v>AdaptiveSun</x:v>
      </x:c>
      <x:c r="I3040" s="24" t="str">
        <x:v>1.67</x:v>
      </x:c>
      <x:c r="J3040" s="24" t="str">
        <x:v>1.67</x:v>
      </x:c>
      <x:c r="K3040" s="24" t="str">
        <x:v>DuraVision Silver UV</x:v>
      </x:c>
      <x:c r="L3040" s="40" t="n">
        <x:v>5129</x:v>
      </x:c>
      <x:c r="M3040" s="24" t="str">
        <x:v>-10.00 a +8.00
-12.00 a +8.00</x:v>
      </x:c>
      <x:c r="N3040" s="24" t="str">
        <x:v>-4.00
-6.00</x:v>
      </x:c>
      <x:c r="O3040" s="24" t="str">
        <x:v>-</x:v>
      </x:c>
      <x:c r="P3040" s="24" t="str">
        <x:v>70/75
65/70</x:v>
      </x:c>
      <x:c r="Q3040" s="24"/>
      <x:c r="R3040" s="24"/>
      <x:c r="S3040" s="26" t="n">
        <x:v>46113</x:v>
      </x:c>
      <x:c r="T3040" s="26"/>
      <x:c r="U3040" s="24" t="str">
        <x:v>ATIVA/SEM FIM INFORMADO</x:v>
      </x:c>
      <x:c r="V3040" s="24" t="str">
        <x:v>Programa de Parcerias ZEISS — categoria Experts</x:v>
      </x:c>
      <x:c r="W3040" s="24" t="n">
        <x:v>52</x:v>
      </x:c>
      <x:c r="X3040" s="24" t="str">
        <x:v>tabela_zeiss.pdf</x:v>
      </x:c>
      <x:c r="Y3040" s="24" t="str">
        <x:v>alta</x:v>
      </x:c>
      <x:c r="Z3040" s="24"/>
      <x:c r="AA3040" s="24" t="str">
        <x:v>ZEISS|AdaptiveSun|Surfaçada|SmartLife Visão Simples Individual AdaptiveSun|AdaptiveSun|1.67|1.67|DuraVision Silver UV|-10.00 a +8.00
-12.00 a +8.00|-4.00
-6.00|-|70/75
65/70|||52</x:v>
      </x:c>
    </x:row>
    <x:row r="3041">
      <x:c r="A3041" s="24" t="str">
        <x:v>ZS-06FB72ACD681</x:v>
      </x:c>
      <x:c r="B3041" s="24" t="str">
        <x:v>SIM</x:v>
      </x:c>
      <x:c r="C3041" s="24" t="str">
        <x:v>DISPONÍVEL</x:v>
      </x:c>
      <x:c r="D3041" s="24" t="str">
        <x:v>ZEISS</x:v>
      </x:c>
      <x:c r="E3041" s="24" t="str">
        <x:v>AdaptiveSun</x:v>
      </x:c>
      <x:c r="F3041" s="24" t="str">
        <x:v>Surfaçada</x:v>
      </x:c>
      <x:c r="G3041" s="24" t="str">
        <x:v>SmartLife Visão Simples Individual AdaptiveSun</x:v>
      </x:c>
      <x:c r="H3041" s="24" t="str">
        <x:v>AdaptiveSun</x:v>
      </x:c>
      <x:c r="I3041" s="24" t="str">
        <x:v>1.67</x:v>
      </x:c>
      <x:c r="J3041" s="24" t="str">
        <x:v>1.67</x:v>
      </x:c>
      <x:c r="K3041" s="24" t="str">
        <x:v>DuraVision Chrome UV</x:v>
      </x:c>
      <x:c r="L3041" s="40" t="n">
        <x:v>4639</x:v>
      </x:c>
      <x:c r="M3041" s="24" t="str">
        <x:v>-10.00 a +8.00
-12.00 a +8.00</x:v>
      </x:c>
      <x:c r="N3041" s="24" t="str">
        <x:v>-4.00
-6.00</x:v>
      </x:c>
      <x:c r="O3041" s="24" t="str">
        <x:v>-</x:v>
      </x:c>
      <x:c r="P3041" s="24" t="str">
        <x:v>70/75
65/70</x:v>
      </x:c>
      <x:c r="Q3041" s="24"/>
      <x:c r="R3041" s="24"/>
      <x:c r="S3041" s="26" t="n">
        <x:v>46113</x:v>
      </x:c>
      <x:c r="T3041" s="26"/>
      <x:c r="U3041" s="24" t="str">
        <x:v>ATIVA/SEM FIM INFORMADO</x:v>
      </x:c>
      <x:c r="V3041" s="24" t="str">
        <x:v>Programa de Parcerias ZEISS — categoria Experts</x:v>
      </x:c>
      <x:c r="W3041" s="24" t="n">
        <x:v>52</x:v>
      </x:c>
      <x:c r="X3041" s="24" t="str">
        <x:v>tabela_zeiss.pdf</x:v>
      </x:c>
      <x:c r="Y3041" s="24" t="str">
        <x:v>alta</x:v>
      </x:c>
      <x:c r="Z3041" s="24"/>
      <x:c r="AA3041" s="24" t="str">
        <x:v>ZEISS|AdaptiveSun|Surfaçada|SmartLife Visão Simples Individual AdaptiveSun|AdaptiveSun|1.67|1.67|DuraVision Chrome UV|-10.00 a +8.00
-12.00 a +8.00|-4.00
-6.00|-|70/75
65/70|||52</x:v>
      </x:c>
    </x:row>
    <x:row r="3042">
      <x:c r="A3042" s="24" t="str">
        <x:v>ZS-D1F00CE854BB</x:v>
      </x:c>
      <x:c r="B3042" s="24" t="str">
        <x:v>SIM</x:v>
      </x:c>
      <x:c r="C3042" s="24" t="str">
        <x:v>DISPONÍVEL</x:v>
      </x:c>
      <x:c r="D3042" s="24" t="str">
        <x:v>ZEISS</x:v>
      </x:c>
      <x:c r="E3042" s="24" t="str">
        <x:v>AdaptiveSun</x:v>
      </x:c>
      <x:c r="F3042" s="24" t="str">
        <x:v>Surfaçada</x:v>
      </x:c>
      <x:c r="G3042" s="24" t="str">
        <x:v>SmartLife Visão Simples Individual AdaptiveSun</x:v>
      </x:c>
      <x:c r="H3042" s="24" t="str">
        <x:v>AdaptiveSun</x:v>
      </x:c>
      <x:c r="I3042" s="24" t="str">
        <x:v>1.67</x:v>
      </x:c>
      <x:c r="J3042" s="24" t="str">
        <x:v>1.67</x:v>
      </x:c>
      <x:c r="K3042" s="24" t="str">
        <x:v>Sem AR</x:v>
      </x:c>
      <x:c r="L3042" s="40" t="n">
        <x:v>4239</x:v>
      </x:c>
      <x:c r="M3042" s="24" t="str">
        <x:v>-10.00 a +8.00
-12.00 a +8.00</x:v>
      </x:c>
      <x:c r="N3042" s="24" t="str">
        <x:v>-4.00
-6.00</x:v>
      </x:c>
      <x:c r="O3042" s="24" t="str">
        <x:v>-</x:v>
      </x:c>
      <x:c r="P3042" s="24" t="str">
        <x:v>70/75
65/70</x:v>
      </x:c>
      <x:c r="Q3042" s="24"/>
      <x:c r="R3042" s="24"/>
      <x:c r="S3042" s="26" t="n">
        <x:v>46113</x:v>
      </x:c>
      <x:c r="T3042" s="26"/>
      <x:c r="U3042" s="24" t="str">
        <x:v>ATIVA/SEM FIM INFORMADO</x:v>
      </x:c>
      <x:c r="V3042" s="24" t="str">
        <x:v>Programa de Parcerias ZEISS — categoria Experts</x:v>
      </x:c>
      <x:c r="W3042" s="24" t="n">
        <x:v>52</x:v>
      </x:c>
      <x:c r="X3042" s="24" t="str">
        <x:v>tabela_zeiss.pdf</x:v>
      </x:c>
      <x:c r="Y3042" s="24" t="str">
        <x:v>alta</x:v>
      </x:c>
      <x:c r="Z3042" s="24"/>
      <x:c r="AA3042" s="24" t="str">
        <x:v>ZEISS|AdaptiveSun|Surfaçada|SmartLife Visão Simples Individual AdaptiveSun|AdaptiveSun|1.67|1.67|Sem AR|-10.00 a +8.00
-12.00 a +8.00|-4.00
-6.00|-|70/75
65/70|||52</x:v>
      </x:c>
    </x:row>
    <x:row r="3043">
      <x:c r="A3043" s="24" t="str">
        <x:v>ZS-384A3215808C</x:v>
      </x:c>
      <x:c r="B3043" s="24" t="str">
        <x:v>SIM</x:v>
      </x:c>
      <x:c r="C3043" s="24" t="str">
        <x:v>DISPONÍVEL</x:v>
      </x:c>
      <x:c r="D3043" s="24" t="str">
        <x:v>ZEISS</x:v>
      </x:c>
      <x:c r="E3043" s="24" t="str">
        <x:v>AdaptiveSun</x:v>
      </x:c>
      <x:c r="F3043" s="24" t="str">
        <x:v>Surfaçada</x:v>
      </x:c>
      <x:c r="G3043" s="24" t="str">
        <x:v>SmartLife Visão Simples AdaptiveSun</x:v>
      </x:c>
      <x:c r="H3043" s="24" t="str">
        <x:v>AdaptiveSun</x:v>
      </x:c>
      <x:c r="I3043" s="24" t="str">
        <x:v>1.5</x:v>
      </x:c>
      <x:c r="J3043" s="24" t="str">
        <x:v>1.50</x:v>
      </x:c>
      <x:c r="K3043" s="24" t="str">
        <x:v>DuraVision Platinum UV</x:v>
      </x:c>
      <x:c r="L3043" s="40" t="n">
        <x:v>3359</x:v>
      </x:c>
      <x:c r="M3043" s="24" t="str">
        <x:v>-4.00 a +4.00
-6.00 a +6.00</x:v>
      </x:c>
      <x:c r="N3043" s="24" t="str">
        <x:v>-4.00
-4.00</x:v>
      </x:c>
      <x:c r="O3043" s="24" t="str">
        <x:v>-</x:v>
      </x:c>
      <x:c r="P3043" s="24" t="str">
        <x:v>75/80
70/75</x:v>
      </x:c>
      <x:c r="Q3043" s="24"/>
      <x:c r="R3043" s="24"/>
      <x:c r="S3043" s="26" t="n">
        <x:v>46113</x:v>
      </x:c>
      <x:c r="T3043" s="26"/>
      <x:c r="U3043" s="24" t="str">
        <x:v>ATIVA/SEM FIM INFORMADO</x:v>
      </x:c>
      <x:c r="V3043" s="24" t="str">
        <x:v>Programa de Parcerias ZEISS — categoria Experts</x:v>
      </x:c>
      <x:c r="W3043" s="24" t="n">
        <x:v>52</x:v>
      </x:c>
      <x:c r="X3043" s="24" t="str">
        <x:v>tabela_zeiss.pdf</x:v>
      </x:c>
      <x:c r="Y3043" s="24" t="str">
        <x:v>alta</x:v>
      </x:c>
      <x:c r="Z3043" s="24"/>
      <x:c r="AA3043" s="24" t="str">
        <x:v>ZEISS|AdaptiveSun|Surfaçada|SmartLife Visão Simples AdaptiveSun|AdaptiveSun|1.5|1.50|DuraVision Platinum UV|-4.00 a +4.00
-6.00 a +6.00|-4.00
-4.00|-|75/80
70/75|||52</x:v>
      </x:c>
    </x:row>
    <x:row r="3044">
      <x:c r="A3044" s="24" t="str">
        <x:v>ZS-865C4EA215C3</x:v>
      </x:c>
      <x:c r="B3044" s="24" t="str">
        <x:v>SIM</x:v>
      </x:c>
      <x:c r="C3044" s="24" t="str">
        <x:v>DISPONÍVEL</x:v>
      </x:c>
      <x:c r="D3044" s="24" t="str">
        <x:v>ZEISS</x:v>
      </x:c>
      <x:c r="E3044" s="24" t="str">
        <x:v>AdaptiveSun</x:v>
      </x:c>
      <x:c r="F3044" s="24" t="str">
        <x:v>Surfaçada</x:v>
      </x:c>
      <x:c r="G3044" s="24" t="str">
        <x:v>SmartLife Visão Simples AdaptiveSun</x:v>
      </x:c>
      <x:c r="H3044" s="24" t="str">
        <x:v>AdaptiveSun</x:v>
      </x:c>
      <x:c r="I3044" s="24" t="str">
        <x:v>1.5</x:v>
      </x:c>
      <x:c r="J3044" s="24" t="str">
        <x:v>1.50</x:v>
      </x:c>
      <x:c r="K3044" s="24" t="str">
        <x:v>DuraVision Silver UV</x:v>
      </x:c>
      <x:c r="L3044" s="40" t="n">
        <x:v>3219</x:v>
      </x:c>
      <x:c r="M3044" s="24" t="str">
        <x:v>-4.00 a +4.00
-6.00 a +6.00</x:v>
      </x:c>
      <x:c r="N3044" s="24" t="str">
        <x:v>-4.00
-4.00</x:v>
      </x:c>
      <x:c r="O3044" s="24" t="str">
        <x:v>-</x:v>
      </x:c>
      <x:c r="P3044" s="24" t="str">
        <x:v>75/80
70/75</x:v>
      </x:c>
      <x:c r="Q3044" s="24"/>
      <x:c r="R3044" s="24"/>
      <x:c r="S3044" s="26" t="n">
        <x:v>46113</x:v>
      </x:c>
      <x:c r="T3044" s="26"/>
      <x:c r="U3044" s="24" t="str">
        <x:v>ATIVA/SEM FIM INFORMADO</x:v>
      </x:c>
      <x:c r="V3044" s="24" t="str">
        <x:v>Programa de Parcerias ZEISS — categoria Experts</x:v>
      </x:c>
      <x:c r="W3044" s="24" t="n">
        <x:v>52</x:v>
      </x:c>
      <x:c r="X3044" s="24" t="str">
        <x:v>tabela_zeiss.pdf</x:v>
      </x:c>
      <x:c r="Y3044" s="24" t="str">
        <x:v>alta</x:v>
      </x:c>
      <x:c r="Z3044" s="24"/>
      <x:c r="AA3044" s="24" t="str">
        <x:v>ZEISS|AdaptiveSun|Surfaçada|SmartLife Visão Simples AdaptiveSun|AdaptiveSun|1.5|1.50|DuraVision Silver UV|-4.00 a +4.00
-6.00 a +6.00|-4.00
-4.00|-|75/80
70/75|||52</x:v>
      </x:c>
    </x:row>
    <x:row r="3045">
      <x:c r="A3045" s="24" t="str">
        <x:v>ZS-A9842BD7C876</x:v>
      </x:c>
      <x:c r="B3045" s="24" t="str">
        <x:v>SIM</x:v>
      </x:c>
      <x:c r="C3045" s="24" t="str">
        <x:v>DISPONÍVEL</x:v>
      </x:c>
      <x:c r="D3045" s="24" t="str">
        <x:v>ZEISS</x:v>
      </x:c>
      <x:c r="E3045" s="24" t="str">
        <x:v>AdaptiveSun</x:v>
      </x:c>
      <x:c r="F3045" s="24" t="str">
        <x:v>Surfaçada</x:v>
      </x:c>
      <x:c r="G3045" s="24" t="str">
        <x:v>SmartLife Visão Simples AdaptiveSun</x:v>
      </x:c>
      <x:c r="H3045" s="24" t="str">
        <x:v>AdaptiveSun</x:v>
      </x:c>
      <x:c r="I3045" s="24" t="str">
        <x:v>1.5</x:v>
      </x:c>
      <x:c r="J3045" s="24" t="str">
        <x:v>1.50</x:v>
      </x:c>
      <x:c r="K3045" s="24" t="str">
        <x:v>DuraVision Chrome UV</x:v>
      </x:c>
      <x:c r="L3045" s="40" t="n">
        <x:v>2959</x:v>
      </x:c>
      <x:c r="M3045" s="24" t="str">
        <x:v>-4.00 a +4.00
-6.00 a +6.00</x:v>
      </x:c>
      <x:c r="N3045" s="24" t="str">
        <x:v>-4.00
-4.00</x:v>
      </x:c>
      <x:c r="O3045" s="24" t="str">
        <x:v>-</x:v>
      </x:c>
      <x:c r="P3045" s="24" t="str">
        <x:v>75/80
70/75</x:v>
      </x:c>
      <x:c r="Q3045" s="24"/>
      <x:c r="R3045" s="24"/>
      <x:c r="S3045" s="26" t="n">
        <x:v>46113</x:v>
      </x:c>
      <x:c r="T3045" s="26"/>
      <x:c r="U3045" s="24" t="str">
        <x:v>ATIVA/SEM FIM INFORMADO</x:v>
      </x:c>
      <x:c r="V3045" s="24" t="str">
        <x:v>Programa de Parcerias ZEISS — categoria Experts</x:v>
      </x:c>
      <x:c r="W3045" s="24" t="n">
        <x:v>52</x:v>
      </x:c>
      <x:c r="X3045" s="24" t="str">
        <x:v>tabela_zeiss.pdf</x:v>
      </x:c>
      <x:c r="Y3045" s="24" t="str">
        <x:v>alta</x:v>
      </x:c>
      <x:c r="Z3045" s="24"/>
      <x:c r="AA3045" s="24" t="str">
        <x:v>ZEISS|AdaptiveSun|Surfaçada|SmartLife Visão Simples AdaptiveSun|AdaptiveSun|1.5|1.50|DuraVision Chrome UV|-4.00 a +4.00
-6.00 a +6.00|-4.00
-4.00|-|75/80
70/75|||52</x:v>
      </x:c>
    </x:row>
    <x:row r="3046">
      <x:c r="A3046" s="24" t="str">
        <x:v>ZS-35F4679EE405</x:v>
      </x:c>
      <x:c r="B3046" s="24" t="str">
        <x:v>SIM</x:v>
      </x:c>
      <x:c r="C3046" s="24" t="str">
        <x:v>DISPONÍVEL</x:v>
      </x:c>
      <x:c r="D3046" s="24" t="str">
        <x:v>ZEISS</x:v>
      </x:c>
      <x:c r="E3046" s="24" t="str">
        <x:v>AdaptiveSun</x:v>
      </x:c>
      <x:c r="F3046" s="24" t="str">
        <x:v>Surfaçada</x:v>
      </x:c>
      <x:c r="G3046" s="24" t="str">
        <x:v>SmartLife Visão Simples AdaptiveSun</x:v>
      </x:c>
      <x:c r="H3046" s="24" t="str">
        <x:v>AdaptiveSun</x:v>
      </x:c>
      <x:c r="I3046" s="24" t="str">
        <x:v>1.5</x:v>
      </x:c>
      <x:c r="J3046" s="24" t="str">
        <x:v>1.50</x:v>
      </x:c>
      <x:c r="K3046" s="24" t="str">
        <x:v>Sem AR</x:v>
      </x:c>
      <x:c r="L3046" s="40" t="n">
        <x:v>2069</x:v>
      </x:c>
      <x:c r="M3046" s="24" t="str">
        <x:v>-4.00 a +4.00
-6.00 a +6.00</x:v>
      </x:c>
      <x:c r="N3046" s="24" t="str">
        <x:v>-4.00
-4.00</x:v>
      </x:c>
      <x:c r="O3046" s="24" t="str">
        <x:v>-</x:v>
      </x:c>
      <x:c r="P3046" s="24" t="str">
        <x:v>75/80
70/75</x:v>
      </x:c>
      <x:c r="Q3046" s="24"/>
      <x:c r="R3046" s="24"/>
      <x:c r="S3046" s="26" t="n">
        <x:v>46113</x:v>
      </x:c>
      <x:c r="T3046" s="26"/>
      <x:c r="U3046" s="24" t="str">
        <x:v>ATIVA/SEM FIM INFORMADO</x:v>
      </x:c>
      <x:c r="V3046" s="24" t="str">
        <x:v>Programa de Parcerias ZEISS — categoria Experts</x:v>
      </x:c>
      <x:c r="W3046" s="24" t="n">
        <x:v>52</x:v>
      </x:c>
      <x:c r="X3046" s="24" t="str">
        <x:v>tabela_zeiss.pdf</x:v>
      </x:c>
      <x:c r="Y3046" s="24" t="str">
        <x:v>alta</x:v>
      </x:c>
      <x:c r="Z3046" s="24"/>
      <x:c r="AA3046" s="24" t="str">
        <x:v>ZEISS|AdaptiveSun|Surfaçada|SmartLife Visão Simples AdaptiveSun|AdaptiveSun|1.5|1.50|Sem AR|-4.00 a +4.00
-6.00 a +6.00|-4.00
-4.00|-|75/80
70/75|||52</x:v>
      </x:c>
    </x:row>
    <x:row r="3047">
      <x:c r="A3047" s="24" t="str">
        <x:v>ZS-9B2680CA1140</x:v>
      </x:c>
      <x:c r="B3047" s="24" t="str">
        <x:v>SIM</x:v>
      </x:c>
      <x:c r="C3047" s="24" t="str">
        <x:v>DISPONÍVEL</x:v>
      </x:c>
      <x:c r="D3047" s="24" t="str">
        <x:v>ZEISS</x:v>
      </x:c>
      <x:c r="E3047" s="24" t="str">
        <x:v>AdaptiveSun</x:v>
      </x:c>
      <x:c r="F3047" s="24" t="str">
        <x:v>Surfaçada</x:v>
      </x:c>
      <x:c r="G3047" s="24" t="str">
        <x:v>SmartLife Visão Simples AdaptiveSun</x:v>
      </x:c>
      <x:c r="H3047" s="24" t="str">
        <x:v>AdaptiveSun</x:v>
      </x:c>
      <x:c r="I3047" s="24" t="str">
        <x:v>1.6</x:v>
      </x:c>
      <x:c r="J3047" s="24" t="str">
        <x:v>1.60</x:v>
      </x:c>
      <x:c r="K3047" s="24" t="str">
        <x:v>DuraVision Platinum UV</x:v>
      </x:c>
      <x:c r="L3047" s="40" t="n">
        <x:v>3939</x:v>
      </x:c>
      <x:c r="M3047" s="24" t="str">
        <x:v>-6.00 a +6.00
-10.00 a +8.00</x:v>
      </x:c>
      <x:c r="N3047" s="24" t="str">
        <x:v>-4.00
-6.00</x:v>
      </x:c>
      <x:c r="O3047" s="24" t="str">
        <x:v>-</x:v>
      </x:c>
      <x:c r="P3047" s="24" t="str">
        <x:v>75/80
70/75</x:v>
      </x:c>
      <x:c r="Q3047" s="24"/>
      <x:c r="R3047" s="24"/>
      <x:c r="S3047" s="26" t="n">
        <x:v>46113</x:v>
      </x:c>
      <x:c r="T3047" s="26"/>
      <x:c r="U3047" s="24" t="str">
        <x:v>ATIVA/SEM FIM INFORMADO</x:v>
      </x:c>
      <x:c r="V3047" s="24" t="str">
        <x:v>Programa de Parcerias ZEISS — categoria Experts</x:v>
      </x:c>
      <x:c r="W3047" s="24" t="n">
        <x:v>52</x:v>
      </x:c>
      <x:c r="X3047" s="24" t="str">
        <x:v>tabela_zeiss.pdf</x:v>
      </x:c>
      <x:c r="Y3047" s="24" t="str">
        <x:v>alta</x:v>
      </x:c>
      <x:c r="Z3047" s="24"/>
      <x:c r="AA3047" s="24" t="str">
        <x:v>ZEISS|AdaptiveSun|Surfaçada|SmartLife Visão Simples AdaptiveSun|AdaptiveSun|1.6|1.60|DuraVision Platinum UV|-6.00 a +6.00
-10.00 a +8.00|-4.00
-6.00|-|75/80
70/75|||52</x:v>
      </x:c>
    </x:row>
    <x:row r="3048">
      <x:c r="A3048" s="24" t="str">
        <x:v>ZS-D0F45FE94E05</x:v>
      </x:c>
      <x:c r="B3048" s="24" t="str">
        <x:v>SIM</x:v>
      </x:c>
      <x:c r="C3048" s="24" t="str">
        <x:v>DISPONÍVEL</x:v>
      </x:c>
      <x:c r="D3048" s="24" t="str">
        <x:v>ZEISS</x:v>
      </x:c>
      <x:c r="E3048" s="24" t="str">
        <x:v>AdaptiveSun</x:v>
      </x:c>
      <x:c r="F3048" s="24" t="str">
        <x:v>Surfaçada</x:v>
      </x:c>
      <x:c r="G3048" s="24" t="str">
        <x:v>SmartLife Visão Simples AdaptiveSun</x:v>
      </x:c>
      <x:c r="H3048" s="24" t="str">
        <x:v>AdaptiveSun</x:v>
      </x:c>
      <x:c r="I3048" s="24" t="str">
        <x:v>1.6</x:v>
      </x:c>
      <x:c r="J3048" s="24" t="str">
        <x:v>1.60</x:v>
      </x:c>
      <x:c r="K3048" s="24" t="str">
        <x:v>DuraVision Silver UV</x:v>
      </x:c>
      <x:c r="L3048" s="40" t="n">
        <x:v>3799</x:v>
      </x:c>
      <x:c r="M3048" s="24" t="str">
        <x:v>-6.00 a +6.00
-10.00 a +8.00</x:v>
      </x:c>
      <x:c r="N3048" s="24" t="str">
        <x:v>-4.00
-6.00</x:v>
      </x:c>
      <x:c r="O3048" s="24" t="str">
        <x:v>-</x:v>
      </x:c>
      <x:c r="P3048" s="24" t="str">
        <x:v>75/80
70/75</x:v>
      </x:c>
      <x:c r="Q3048" s="24"/>
      <x:c r="R3048" s="24"/>
      <x:c r="S3048" s="26" t="n">
        <x:v>46113</x:v>
      </x:c>
      <x:c r="T3048" s="26"/>
      <x:c r="U3048" s="24" t="str">
        <x:v>ATIVA/SEM FIM INFORMADO</x:v>
      </x:c>
      <x:c r="V3048" s="24" t="str">
        <x:v>Programa de Parcerias ZEISS — categoria Experts</x:v>
      </x:c>
      <x:c r="W3048" s="24" t="n">
        <x:v>52</x:v>
      </x:c>
      <x:c r="X3048" s="24" t="str">
        <x:v>tabela_zeiss.pdf</x:v>
      </x:c>
      <x:c r="Y3048" s="24" t="str">
        <x:v>alta</x:v>
      </x:c>
      <x:c r="Z3048" s="24"/>
      <x:c r="AA3048" s="24" t="str">
        <x:v>ZEISS|AdaptiveSun|Surfaçada|SmartLife Visão Simples AdaptiveSun|AdaptiveSun|1.6|1.60|DuraVision Silver UV|-6.00 a +6.00
-10.00 a +8.00|-4.00
-6.00|-|75/80
70/75|||52</x:v>
      </x:c>
    </x:row>
    <x:row r="3049">
      <x:c r="A3049" s="24" t="str">
        <x:v>ZS-AA59B1AD2A76</x:v>
      </x:c>
      <x:c r="B3049" s="24" t="str">
        <x:v>SIM</x:v>
      </x:c>
      <x:c r="C3049" s="24" t="str">
        <x:v>DISPONÍVEL</x:v>
      </x:c>
      <x:c r="D3049" s="24" t="str">
        <x:v>ZEISS</x:v>
      </x:c>
      <x:c r="E3049" s="24" t="str">
        <x:v>AdaptiveSun</x:v>
      </x:c>
      <x:c r="F3049" s="24" t="str">
        <x:v>Surfaçada</x:v>
      </x:c>
      <x:c r="G3049" s="24" t="str">
        <x:v>SmartLife Visão Simples AdaptiveSun</x:v>
      </x:c>
      <x:c r="H3049" s="24" t="str">
        <x:v>AdaptiveSun</x:v>
      </x:c>
      <x:c r="I3049" s="24" t="str">
        <x:v>1.6</x:v>
      </x:c>
      <x:c r="J3049" s="24" t="str">
        <x:v>1.60</x:v>
      </x:c>
      <x:c r="K3049" s="24" t="str">
        <x:v>DuraVision Chrome UV</x:v>
      </x:c>
      <x:c r="L3049" s="40" t="n">
        <x:v>3539</x:v>
      </x:c>
      <x:c r="M3049" s="24" t="str">
        <x:v>-6.00 a +6.00
-10.00 a +8.00</x:v>
      </x:c>
      <x:c r="N3049" s="24" t="str">
        <x:v>-4.00
-6.00</x:v>
      </x:c>
      <x:c r="O3049" s="24" t="str">
        <x:v>-</x:v>
      </x:c>
      <x:c r="P3049" s="24" t="str">
        <x:v>75/80
70/75</x:v>
      </x:c>
      <x:c r="Q3049" s="24"/>
      <x:c r="R3049" s="24"/>
      <x:c r="S3049" s="26" t="n">
        <x:v>46113</x:v>
      </x:c>
      <x:c r="T3049" s="26"/>
      <x:c r="U3049" s="24" t="str">
        <x:v>ATIVA/SEM FIM INFORMADO</x:v>
      </x:c>
      <x:c r="V3049" s="24" t="str">
        <x:v>Programa de Parcerias ZEISS — categoria Experts</x:v>
      </x:c>
      <x:c r="W3049" s="24" t="n">
        <x:v>52</x:v>
      </x:c>
      <x:c r="X3049" s="24" t="str">
        <x:v>tabela_zeiss.pdf</x:v>
      </x:c>
      <x:c r="Y3049" s="24" t="str">
        <x:v>alta</x:v>
      </x:c>
      <x:c r="Z3049" s="24"/>
      <x:c r="AA3049" s="24" t="str">
        <x:v>ZEISS|AdaptiveSun|Surfaçada|SmartLife Visão Simples AdaptiveSun|AdaptiveSun|1.6|1.60|DuraVision Chrome UV|-6.00 a +6.00
-10.00 a +8.00|-4.00
-6.00|-|75/80
70/75|||52</x:v>
      </x:c>
    </x:row>
    <x:row r="3050">
      <x:c r="A3050" s="24" t="str">
        <x:v>ZS-9BECE20FBC56</x:v>
      </x:c>
      <x:c r="B3050" s="24" t="str">
        <x:v>SIM</x:v>
      </x:c>
      <x:c r="C3050" s="24" t="str">
        <x:v>DISPONÍVEL</x:v>
      </x:c>
      <x:c r="D3050" s="24" t="str">
        <x:v>ZEISS</x:v>
      </x:c>
      <x:c r="E3050" s="24" t="str">
        <x:v>AdaptiveSun</x:v>
      </x:c>
      <x:c r="F3050" s="24" t="str">
        <x:v>Surfaçada</x:v>
      </x:c>
      <x:c r="G3050" s="24" t="str">
        <x:v>SmartLife Visão Simples AdaptiveSun</x:v>
      </x:c>
      <x:c r="H3050" s="24" t="str">
        <x:v>AdaptiveSun</x:v>
      </x:c>
      <x:c r="I3050" s="24" t="str">
        <x:v>1.6</x:v>
      </x:c>
      <x:c r="J3050" s="24" t="str">
        <x:v>1.60</x:v>
      </x:c>
      <x:c r="K3050" s="24" t="str">
        <x:v>Sem AR</x:v>
      </x:c>
      <x:c r="L3050" s="40" t="n">
        <x:v>2649</x:v>
      </x:c>
      <x:c r="M3050" s="24" t="str">
        <x:v>-6.00 a +6.00
-10.00 a +8.00</x:v>
      </x:c>
      <x:c r="N3050" s="24" t="str">
        <x:v>-4.00
-6.00</x:v>
      </x:c>
      <x:c r="O3050" s="24" t="str">
        <x:v>-</x:v>
      </x:c>
      <x:c r="P3050" s="24" t="str">
        <x:v>75/80
70/75</x:v>
      </x:c>
      <x:c r="Q3050" s="24"/>
      <x:c r="R3050" s="24"/>
      <x:c r="S3050" s="26" t="n">
        <x:v>46113</x:v>
      </x:c>
      <x:c r="T3050" s="26"/>
      <x:c r="U3050" s="24" t="str">
        <x:v>ATIVA/SEM FIM INFORMADO</x:v>
      </x:c>
      <x:c r="V3050" s="24" t="str">
        <x:v>Programa de Parcerias ZEISS — categoria Experts</x:v>
      </x:c>
      <x:c r="W3050" s="24" t="n">
        <x:v>52</x:v>
      </x:c>
      <x:c r="X3050" s="24" t="str">
        <x:v>tabela_zeiss.pdf</x:v>
      </x:c>
      <x:c r="Y3050" s="24" t="str">
        <x:v>alta</x:v>
      </x:c>
      <x:c r="Z3050" s="24"/>
      <x:c r="AA3050" s="24" t="str">
        <x:v>ZEISS|AdaptiveSun|Surfaçada|SmartLife Visão Simples AdaptiveSun|AdaptiveSun|1.6|1.60|Sem AR|-6.00 a +6.00
-10.00 a +8.00|-4.00
-6.00|-|75/80
70/75|||52</x:v>
      </x:c>
    </x:row>
    <x:row r="3051">
      <x:c r="A3051" s="24" t="str">
        <x:v>ZS-40695468F327</x:v>
      </x:c>
      <x:c r="B3051" s="24" t="str">
        <x:v>SIM</x:v>
      </x:c>
      <x:c r="C3051" s="24" t="str">
        <x:v>DISPONÍVEL</x:v>
      </x:c>
      <x:c r="D3051" s="24" t="str">
        <x:v>ZEISS</x:v>
      </x:c>
      <x:c r="E3051" s="24" t="str">
        <x:v>AdaptiveSun</x:v>
      </x:c>
      <x:c r="F3051" s="24" t="str">
        <x:v>Surfaçada</x:v>
      </x:c>
      <x:c r="G3051" s="24" t="str">
        <x:v>SmartLife Visão Simples AdaptiveSun</x:v>
      </x:c>
      <x:c r="H3051" s="24" t="str">
        <x:v>AdaptiveSun</x:v>
      </x:c>
      <x:c r="I3051" s="24" t="str">
        <x:v>1.67</x:v>
      </x:c>
      <x:c r="J3051" s="24" t="str">
        <x:v>1.67</x:v>
      </x:c>
      <x:c r="K3051" s="24" t="str">
        <x:v>DuraVision Platinum UV</x:v>
      </x:c>
      <x:c r="L3051" s="40" t="n">
        <x:v>5239</x:v>
      </x:c>
      <x:c r="M3051" s="24" t="str">
        <x:v>-10.00 a +8.00
-12.00 a +8.00</x:v>
      </x:c>
      <x:c r="N3051" s="24" t="str">
        <x:v>-4.00
-6.00</x:v>
      </x:c>
      <x:c r="O3051" s="24" t="str">
        <x:v>-</x:v>
      </x:c>
      <x:c r="P3051" s="24" t="str">
        <x:v>70/75
65/70</x:v>
      </x:c>
      <x:c r="Q3051" s="24"/>
      <x:c r="R3051" s="24"/>
      <x:c r="S3051" s="26" t="n">
        <x:v>46113</x:v>
      </x:c>
      <x:c r="T3051" s="26"/>
      <x:c r="U3051" s="24" t="str">
        <x:v>ATIVA/SEM FIM INFORMADO</x:v>
      </x:c>
      <x:c r="V3051" s="24" t="str">
        <x:v>Programa de Parcerias ZEISS — categoria Experts</x:v>
      </x:c>
      <x:c r="W3051" s="24" t="n">
        <x:v>52</x:v>
      </x:c>
      <x:c r="X3051" s="24" t="str">
        <x:v>tabela_zeiss.pdf</x:v>
      </x:c>
      <x:c r="Y3051" s="24" t="str">
        <x:v>alta</x:v>
      </x:c>
      <x:c r="Z3051" s="24"/>
      <x:c r="AA3051" s="24" t="str">
        <x:v>ZEISS|AdaptiveSun|Surfaçada|SmartLife Visão Simples AdaptiveSun|AdaptiveSun|1.67|1.67|DuraVision Platinum UV|-10.00 a +8.00
-12.00 a +8.00|-4.00
-6.00|-|70/75
65/70|||52</x:v>
      </x:c>
    </x:row>
    <x:row r="3052">
      <x:c r="A3052" s="24" t="str">
        <x:v>ZS-8B4C864F1CC5</x:v>
      </x:c>
      <x:c r="B3052" s="24" t="str">
        <x:v>SIM</x:v>
      </x:c>
      <x:c r="C3052" s="24" t="str">
        <x:v>DISPONÍVEL</x:v>
      </x:c>
      <x:c r="D3052" s="24" t="str">
        <x:v>ZEISS</x:v>
      </x:c>
      <x:c r="E3052" s="24" t="str">
        <x:v>AdaptiveSun</x:v>
      </x:c>
      <x:c r="F3052" s="24" t="str">
        <x:v>Surfaçada</x:v>
      </x:c>
      <x:c r="G3052" s="24" t="str">
        <x:v>SmartLife Visão Simples AdaptiveSun</x:v>
      </x:c>
      <x:c r="H3052" s="24" t="str">
        <x:v>AdaptiveSun</x:v>
      </x:c>
      <x:c r="I3052" s="24" t="str">
        <x:v>1.67</x:v>
      </x:c>
      <x:c r="J3052" s="24" t="str">
        <x:v>1.67</x:v>
      </x:c>
      <x:c r="K3052" s="24" t="str">
        <x:v>DuraVision Silver UV</x:v>
      </x:c>
      <x:c r="L3052" s="40" t="n">
        <x:v>5099</x:v>
      </x:c>
      <x:c r="M3052" s="24" t="str">
        <x:v>-10.00 a +8.00
-12.00 a +8.00</x:v>
      </x:c>
      <x:c r="N3052" s="24" t="str">
        <x:v>-4.00
-6.00</x:v>
      </x:c>
      <x:c r="O3052" s="24" t="str">
        <x:v>-</x:v>
      </x:c>
      <x:c r="P3052" s="24" t="str">
        <x:v>70/75
65/70</x:v>
      </x:c>
      <x:c r="Q3052" s="24"/>
      <x:c r="R3052" s="24"/>
      <x:c r="S3052" s="26" t="n">
        <x:v>46113</x:v>
      </x:c>
      <x:c r="T3052" s="26"/>
      <x:c r="U3052" s="24" t="str">
        <x:v>ATIVA/SEM FIM INFORMADO</x:v>
      </x:c>
      <x:c r="V3052" s="24" t="str">
        <x:v>Programa de Parcerias ZEISS — categoria Experts</x:v>
      </x:c>
      <x:c r="W3052" s="24" t="n">
        <x:v>52</x:v>
      </x:c>
      <x:c r="X3052" s="24" t="str">
        <x:v>tabela_zeiss.pdf</x:v>
      </x:c>
      <x:c r="Y3052" s="24" t="str">
        <x:v>alta</x:v>
      </x:c>
      <x:c r="Z3052" s="24"/>
      <x:c r="AA3052" s="24" t="str">
        <x:v>ZEISS|AdaptiveSun|Surfaçada|SmartLife Visão Simples AdaptiveSun|AdaptiveSun|1.67|1.67|DuraVision Silver UV|-10.00 a +8.00
-12.00 a +8.00|-4.00
-6.00|-|70/75
65/70|||52</x:v>
      </x:c>
    </x:row>
    <x:row r="3053">
      <x:c r="A3053" s="24" t="str">
        <x:v>ZS-5D28CED30A16</x:v>
      </x:c>
      <x:c r="B3053" s="24" t="str">
        <x:v>SIM</x:v>
      </x:c>
      <x:c r="C3053" s="24" t="str">
        <x:v>DISPONÍVEL</x:v>
      </x:c>
      <x:c r="D3053" s="24" t="str">
        <x:v>ZEISS</x:v>
      </x:c>
      <x:c r="E3053" s="24" t="str">
        <x:v>AdaptiveSun</x:v>
      </x:c>
      <x:c r="F3053" s="24" t="str">
        <x:v>Surfaçada</x:v>
      </x:c>
      <x:c r="G3053" s="24" t="str">
        <x:v>SmartLife Visão Simples AdaptiveSun</x:v>
      </x:c>
      <x:c r="H3053" s="24" t="str">
        <x:v>AdaptiveSun</x:v>
      </x:c>
      <x:c r="I3053" s="24" t="str">
        <x:v>1.67</x:v>
      </x:c>
      <x:c r="J3053" s="24" t="str">
        <x:v>1.67</x:v>
      </x:c>
      <x:c r="K3053" s="24" t="str">
        <x:v>DuraVision Chrome UV</x:v>
      </x:c>
      <x:c r="L3053" s="40" t="n">
        <x:v>4839</x:v>
      </x:c>
      <x:c r="M3053" s="24" t="str">
        <x:v>-10.00 a +8.00
-12.00 a +8.00</x:v>
      </x:c>
      <x:c r="N3053" s="24" t="str">
        <x:v>-4.00
-6.00</x:v>
      </x:c>
      <x:c r="O3053" s="24" t="str">
        <x:v>-</x:v>
      </x:c>
      <x:c r="P3053" s="24" t="str">
        <x:v>70/75
65/70</x:v>
      </x:c>
      <x:c r="Q3053" s="24"/>
      <x:c r="R3053" s="24"/>
      <x:c r="S3053" s="26" t="n">
        <x:v>46113</x:v>
      </x:c>
      <x:c r="T3053" s="26"/>
      <x:c r="U3053" s="24" t="str">
        <x:v>ATIVA/SEM FIM INFORMADO</x:v>
      </x:c>
      <x:c r="V3053" s="24" t="str">
        <x:v>Programa de Parcerias ZEISS — categoria Experts</x:v>
      </x:c>
      <x:c r="W3053" s="24" t="n">
        <x:v>52</x:v>
      </x:c>
      <x:c r="X3053" s="24" t="str">
        <x:v>tabela_zeiss.pdf</x:v>
      </x:c>
      <x:c r="Y3053" s="24" t="str">
        <x:v>alta</x:v>
      </x:c>
      <x:c r="Z3053" s="24"/>
      <x:c r="AA3053" s="24" t="str">
        <x:v>ZEISS|AdaptiveSun|Surfaçada|SmartLife Visão Simples AdaptiveSun|AdaptiveSun|1.67|1.67|DuraVision Chrome UV|-10.00 a +8.00
-12.00 a +8.00|-4.00
-6.00|-|70/75
65/70|||52</x:v>
      </x:c>
    </x:row>
    <x:row r="3054">
      <x:c r="A3054" s="24" t="str">
        <x:v>ZS-352F478C7ABD</x:v>
      </x:c>
      <x:c r="B3054" s="24" t="str">
        <x:v>SIM</x:v>
      </x:c>
      <x:c r="C3054" s="24" t="str">
        <x:v>DISPONÍVEL</x:v>
      </x:c>
      <x:c r="D3054" s="24" t="str">
        <x:v>ZEISS</x:v>
      </x:c>
      <x:c r="E3054" s="24" t="str">
        <x:v>AdaptiveSun</x:v>
      </x:c>
      <x:c r="F3054" s="24" t="str">
        <x:v>Surfaçada</x:v>
      </x:c>
      <x:c r="G3054" s="24" t="str">
        <x:v>SmartLife Visão Simples AdaptiveSun</x:v>
      </x:c>
      <x:c r="H3054" s="24" t="str">
        <x:v>AdaptiveSun</x:v>
      </x:c>
      <x:c r="I3054" s="24" t="str">
        <x:v>1.67</x:v>
      </x:c>
      <x:c r="J3054" s="24" t="str">
        <x:v>1.67</x:v>
      </x:c>
      <x:c r="K3054" s="24" t="str">
        <x:v>Sem AR</x:v>
      </x:c>
      <x:c r="L3054" s="40" t="n">
        <x:v>3949</x:v>
      </x:c>
      <x:c r="M3054" s="24" t="str">
        <x:v>-10.00 a +8.00
-12.00 a +8.00</x:v>
      </x:c>
      <x:c r="N3054" s="24" t="str">
        <x:v>-4.00
-6.00</x:v>
      </x:c>
      <x:c r="O3054" s="24" t="str">
        <x:v>-</x:v>
      </x:c>
      <x:c r="P3054" s="24" t="str">
        <x:v>70/75
65/70</x:v>
      </x:c>
      <x:c r="Q3054" s="24"/>
      <x:c r="R3054" s="24"/>
      <x:c r="S3054" s="26" t="n">
        <x:v>46113</x:v>
      </x:c>
      <x:c r="T3054" s="26"/>
      <x:c r="U3054" s="24" t="str">
        <x:v>ATIVA/SEM FIM INFORMADO</x:v>
      </x:c>
      <x:c r="V3054" s="24" t="str">
        <x:v>Programa de Parcerias ZEISS — categoria Experts</x:v>
      </x:c>
      <x:c r="W3054" s="24" t="n">
        <x:v>52</x:v>
      </x:c>
      <x:c r="X3054" s="24" t="str">
        <x:v>tabela_zeiss.pdf</x:v>
      </x:c>
      <x:c r="Y3054" s="24" t="str">
        <x:v>alta</x:v>
      </x:c>
      <x:c r="Z3054" s="24"/>
      <x:c r="AA3054" s="24" t="str">
        <x:v>ZEISS|AdaptiveSun|Surfaçada|SmartLife Visão Simples AdaptiveSun|AdaptiveSun|1.67|1.67|Sem AR|-10.00 a +8.00
-12.00 a +8.00|-4.00
-6.00|-|70/75
65/70|||52</x:v>
      </x:c>
    </x:row>
    <x:row r="3055">
      <x:c r="A3055" s="24" t="str">
        <x:v>ZS-06B7971397BE</x:v>
      </x:c>
      <x:c r="B3055" s="24" t="str">
        <x:v>SIM</x:v>
      </x:c>
      <x:c r="C3055" s="24" t="str">
        <x:v>DISPONÍVEL</x:v>
      </x:c>
      <x:c r="D3055" s="24" t="str">
        <x:v>ZEISS</x:v>
      </x:c>
      <x:c r="E3055" s="24" t="str">
        <x:v>AdaptiveSun</x:v>
      </x:c>
      <x:c r="F3055" s="24" t="str">
        <x:v>Surfaçada</x:v>
      </x:c>
      <x:c r="G3055" s="24" t="str">
        <x:v>EnergizeMe Visão Simples AdaptiveSun</x:v>
      </x:c>
      <x:c r="H3055" s="24" t="str">
        <x:v>AdaptiveSun</x:v>
      </x:c>
      <x:c r="I3055" s="24" t="str">
        <x:v>1.5</x:v>
      </x:c>
      <x:c r="J3055" s="24" t="str">
        <x:v>1.50</x:v>
      </x:c>
      <x:c r="K3055" s="24" t="str">
        <x:v>DuraVision Platinum UV</x:v>
      </x:c>
      <x:c r="L3055" s="40" t="n">
        <x:v>2874</x:v>
      </x:c>
      <x:c r="M3055" s="24" t="str">
        <x:v>-6.00 a +4.00
-7.00 a +5.00</x:v>
      </x:c>
      <x:c r="N3055" s="24" t="str">
        <x:v>-4.00</x:v>
      </x:c>
      <x:c r="O3055" s="24" t="str">
        <x:v>-</x:v>
      </x:c>
      <x:c r="P3055" s="24" t="str">
        <x:v>75/80
70/75</x:v>
      </x:c>
      <x:c r="Q3055" s="24"/>
      <x:c r="R3055" s="24"/>
      <x:c r="S3055" s="26" t="n">
        <x:v>46113</x:v>
      </x:c>
      <x:c r="T3055" s="26"/>
      <x:c r="U3055" s="24" t="str">
        <x:v>ATIVA/SEM FIM INFORMADO</x:v>
      </x:c>
      <x:c r="V3055" s="24" t="str">
        <x:v>Programa de Parcerias ZEISS — categoria Experts</x:v>
      </x:c>
      <x:c r="W3055" s="24" t="n">
        <x:v>52</x:v>
      </x:c>
      <x:c r="X3055" s="24" t="str">
        <x:v>tabela_zeiss.pdf</x:v>
      </x:c>
      <x:c r="Y3055" s="24" t="str">
        <x:v>alta</x:v>
      </x:c>
      <x:c r="Z3055" s="24"/>
      <x:c r="AA3055" s="24" t="str">
        <x:v>ZEISS|AdaptiveSun|Surfaçada|EnergizeMe Visão Simples AdaptiveSun|AdaptiveSun|1.5|1.50|DuraVision Platinum UV|-6.00 a +4.00
-7.00 a +5.00|-4.00|-|75/80
70/75|||52</x:v>
      </x:c>
    </x:row>
    <x:row r="3056">
      <x:c r="A3056" s="24" t="str">
        <x:v>ZS-0305EEECCB61</x:v>
      </x:c>
      <x:c r="B3056" s="24" t="str">
        <x:v>SIM</x:v>
      </x:c>
      <x:c r="C3056" s="24" t="str">
        <x:v>DISPONÍVEL</x:v>
      </x:c>
      <x:c r="D3056" s="24" t="str">
        <x:v>ZEISS</x:v>
      </x:c>
      <x:c r="E3056" s="24" t="str">
        <x:v>AdaptiveSun</x:v>
      </x:c>
      <x:c r="F3056" s="24" t="str">
        <x:v>Surfaçada</x:v>
      </x:c>
      <x:c r="G3056" s="24" t="str">
        <x:v>EnergizeMe Visão Simples AdaptiveSun</x:v>
      </x:c>
      <x:c r="H3056" s="24" t="str">
        <x:v>AdaptiveSun</x:v>
      </x:c>
      <x:c r="I3056" s="24" t="str">
        <x:v>1.6</x:v>
      </x:c>
      <x:c r="J3056" s="24" t="str">
        <x:v>1.60</x:v>
      </x:c>
      <x:c r="K3056" s="24" t="str">
        <x:v>DuraVision Platinum UV</x:v>
      </x:c>
      <x:c r="L3056" s="40" t="n">
        <x:v>3454</x:v>
      </x:c>
      <x:c r="M3056" s="24" t="str">
        <x:v>-5.00 a +6.00
-10.00 a +6.00</x:v>
      </x:c>
      <x:c r="N3056" s="24" t="str">
        <x:v>-4.00
-6.00</x:v>
      </x:c>
      <x:c r="O3056" s="24" t="str">
        <x:v>-</x:v>
      </x:c>
      <x:c r="P3056" s="24" t="str">
        <x:v>75/80
70/75</x:v>
      </x:c>
      <x:c r="Q3056" s="24"/>
      <x:c r="R3056" s="24"/>
      <x:c r="S3056" s="26" t="n">
        <x:v>46113</x:v>
      </x:c>
      <x:c r="T3056" s="26"/>
      <x:c r="U3056" s="24" t="str">
        <x:v>ATIVA/SEM FIM INFORMADO</x:v>
      </x:c>
      <x:c r="V3056" s="24" t="str">
        <x:v>Programa de Parcerias ZEISS — categoria Experts</x:v>
      </x:c>
      <x:c r="W3056" s="24" t="n">
        <x:v>52</x:v>
      </x:c>
      <x:c r="X3056" s="24" t="str">
        <x:v>tabela_zeiss.pdf</x:v>
      </x:c>
      <x:c r="Y3056" s="24" t="str">
        <x:v>alta</x:v>
      </x:c>
      <x:c r="Z3056" s="24"/>
      <x:c r="AA3056" s="24" t="str">
        <x:v>ZEISS|AdaptiveSun|Surfaçada|EnergizeMe Visão Simples AdaptiveSun|AdaptiveSun|1.6|1.60|DuraVision Platinum UV|-5.00 a +6.00
-10.00 a +6.00|-4.00
-6.00|-|75/80
70/75|||52</x:v>
      </x:c>
    </x:row>
    <x:row r="3057">
      <x:c r="A3057" s="24" t="str">
        <x:v>ZS-1C22AE1AC255</x:v>
      </x:c>
      <x:c r="B3057" s="24" t="str">
        <x:v>SIM</x:v>
      </x:c>
      <x:c r="C3057" s="24" t="str">
        <x:v>DISPONÍVEL</x:v>
      </x:c>
      <x:c r="D3057" s="24" t="str">
        <x:v>ZEISS</x:v>
      </x:c>
      <x:c r="E3057" s="24" t="str">
        <x:v>AdaptiveSun</x:v>
      </x:c>
      <x:c r="F3057" s="24" t="str">
        <x:v>Surfaçada</x:v>
      </x:c>
      <x:c r="G3057" s="24" t="str">
        <x:v>EnergizeMe Visão Simples AdaptiveSun</x:v>
      </x:c>
      <x:c r="H3057" s="24" t="str">
        <x:v>AdaptiveSun</x:v>
      </x:c>
      <x:c r="I3057" s="24" t="str">
        <x:v>1.67</x:v>
      </x:c>
      <x:c r="J3057" s="24" t="str">
        <x:v>1.67</x:v>
      </x:c>
      <x:c r="K3057" s="24" t="str">
        <x:v>DuraVision Platinum UV</x:v>
      </x:c>
      <x:c r="L3057" s="40" t="n">
        <x:v>4754</x:v>
      </x:c>
      <x:c r="M3057" s="24" t="str">
        <x:v>-10.00 a +8.00
-12.00 a +8.00</x:v>
      </x:c>
      <x:c r="N3057" s="24" t="str">
        <x:v>-4.00
-6.00</x:v>
      </x:c>
      <x:c r="O3057" s="24" t="str">
        <x:v>-</x:v>
      </x:c>
      <x:c r="P3057" s="24" t="str">
        <x:v>70/75
65/70</x:v>
      </x:c>
      <x:c r="Q3057" s="24"/>
      <x:c r="R3057" s="24"/>
      <x:c r="S3057" s="26" t="n">
        <x:v>46113</x:v>
      </x:c>
      <x:c r="T3057" s="26"/>
      <x:c r="U3057" s="24" t="str">
        <x:v>ATIVA/SEM FIM INFORMADO</x:v>
      </x:c>
      <x:c r="V3057" s="24" t="str">
        <x:v>Programa de Parcerias ZEISS — categoria Experts</x:v>
      </x:c>
      <x:c r="W3057" s="24" t="n">
        <x:v>52</x:v>
      </x:c>
      <x:c r="X3057" s="24" t="str">
        <x:v>tabela_zeiss.pdf</x:v>
      </x:c>
      <x:c r="Y3057" s="24" t="str">
        <x:v>alta</x:v>
      </x:c>
      <x:c r="Z3057" s="24"/>
      <x:c r="AA3057" s="24" t="str">
        <x:v>ZEISS|AdaptiveSun|Surfaçada|EnergizeMe Visão Simples AdaptiveSun|AdaptiveSun|1.67|1.67|DuraVision Platinum UV|-10.00 a +8.00
-12.00 a +8.00|-4.00
-6.00|-|70/75
65/70|||52</x:v>
      </x:c>
    </x:row>
    <x:row r="3058">
      <x:c r="A3058" s="24" t="str">
        <x:v>ZS-B25209BD4B56</x:v>
      </x:c>
      <x:c r="B3058" s="24" t="str">
        <x:v>SIM</x:v>
      </x:c>
      <x:c r="C3058" s="24" t="str">
        <x:v>DISPONÍVEL</x:v>
      </x:c>
      <x:c r="D3058" s="24" t="str">
        <x:v>ZEISS</x:v>
      </x:c>
      <x:c r="E3058" s="24" t="str">
        <x:v>AdaptiveSun</x:v>
      </x:c>
      <x:c r="F3058" s="24" t="str">
        <x:v>Surfaçada</x:v>
      </x:c>
      <x:c r="G3058" s="24" t="str">
        <x:v>Individual Sport Visão Simples AdaptiveSun</x:v>
      </x:c>
      <x:c r="H3058" s="24" t="str">
        <x:v>AdaptiveSun PhotoFusion Cinza</x:v>
      </x:c>
      <x:c r="I3058" s="24" t="str">
        <x:v>1.5</x:v>
      </x:c>
      <x:c r="J3058" s="24" t="str">
        <x:v>1.50</x:v>
      </x:c>
      <x:c r="K3058" s="24" t="str">
        <x:v>DuraVision Platinum UV</x:v>
      </x:c>
      <x:c r="L3058" s="40" t="n">
        <x:v>3790</x:v>
      </x:c>
      <x:c r="M3058" s="24" t="str">
        <x:v>-5.00 a +5.00</x:v>
      </x:c>
      <x:c r="N3058" s="24" t="str">
        <x:v>-4.00</x:v>
      </x:c>
      <x:c r="O3058" s="24" t="str">
        <x:v>-</x:v>
      </x:c>
      <x:c r="P3058" s="24" t="str">
        <x:v>80/90</x:v>
      </x:c>
      <x:c r="Q3058" s="24"/>
      <x:c r="R3058" s="24"/>
      <x:c r="S3058" s="26" t="n">
        <x:v>46113</x:v>
      </x:c>
      <x:c r="T3058" s="26"/>
      <x:c r="U3058" s="24" t="str">
        <x:v>ATIVA/SEM FIM INFORMADO</x:v>
      </x:c>
      <x:c r="V3058" s="24" t="str">
        <x:v>Programa de Parcerias ZEISS — categoria Experts</x:v>
      </x:c>
      <x:c r="W3058" s="24" t="n">
        <x:v>52</x:v>
      </x:c>
      <x:c r="X3058" s="24" t="str">
        <x:v>tabela_zeiss.pdf</x:v>
      </x:c>
      <x:c r="Y3058" s="24" t="str">
        <x:v>alta</x:v>
      </x:c>
      <x:c r="Z3058" s="24"/>
      <x:c r="AA3058" s="24" t="str">
        <x:v>ZEISS|AdaptiveSun|Surfaçada|Individual Sport Visão Simples AdaptiveSun|AdaptiveSun PhotoFusion Cinza|1.5|1.50|DuraVision Platinum UV|-5.00 a +5.00|-4.00|-|80/90|||52</x:v>
      </x:c>
    </x:row>
    <x:row r="3059">
      <x:c r="A3059" s="24" t="str">
        <x:v>ZS-72F52C4DC74E</x:v>
      </x:c>
      <x:c r="B3059" s="24" t="str">
        <x:v>SIM</x:v>
      </x:c>
      <x:c r="C3059" s="24" t="str">
        <x:v>DISPONÍVEL</x:v>
      </x:c>
      <x:c r="D3059" s="24" t="str">
        <x:v>ZEISS</x:v>
      </x:c>
      <x:c r="E3059" s="24" t="str">
        <x:v>AdaptiveSun</x:v>
      </x:c>
      <x:c r="F3059" s="24" t="str">
        <x:v>Surfaçada</x:v>
      </x:c>
      <x:c r="G3059" s="24" t="str">
        <x:v>Individual Sport Visão Simples AdaptiveSun</x:v>
      </x:c>
      <x:c r="H3059" s="24" t="str">
        <x:v>AdaptiveSun PhotoFusion Cinza</x:v>
      </x:c>
      <x:c r="I3059" s="24" t="str">
        <x:v>1.5</x:v>
      </x:c>
      <x:c r="J3059" s="24" t="str">
        <x:v>1.50</x:v>
      </x:c>
      <x:c r="K3059" s="24" t="str">
        <x:v>DuraVision Silver UV</x:v>
      </x:c>
      <x:c r="L3059" s="40" t="n">
        <x:v>3530</x:v>
      </x:c>
      <x:c r="M3059" s="24" t="str">
        <x:v>-5.00 a +5.00</x:v>
      </x:c>
      <x:c r="N3059" s="24" t="str">
        <x:v>-4.00</x:v>
      </x:c>
      <x:c r="O3059" s="24" t="str">
        <x:v>-</x:v>
      </x:c>
      <x:c r="P3059" s="24" t="str">
        <x:v>80/90</x:v>
      </x:c>
      <x:c r="Q3059" s="24"/>
      <x:c r="R3059" s="24"/>
      <x:c r="S3059" s="26" t="n">
        <x:v>46113</x:v>
      </x:c>
      <x:c r="T3059" s="26"/>
      <x:c r="U3059" s="24" t="str">
        <x:v>ATIVA/SEM FIM INFORMADO</x:v>
      </x:c>
      <x:c r="V3059" s="24" t="str">
        <x:v>Programa de Parcerias ZEISS — categoria Experts</x:v>
      </x:c>
      <x:c r="W3059" s="24" t="n">
        <x:v>52</x:v>
      </x:c>
      <x:c r="X3059" s="24" t="str">
        <x:v>tabela_zeiss.pdf</x:v>
      </x:c>
      <x:c r="Y3059" s="24" t="str">
        <x:v>alta</x:v>
      </x:c>
      <x:c r="Z3059" s="24"/>
      <x:c r="AA3059" s="24" t="str">
        <x:v>ZEISS|AdaptiveSun|Surfaçada|Individual Sport Visão Simples AdaptiveSun|AdaptiveSun PhotoFusion Cinza|1.5|1.50|DuraVision Silver UV|-5.00 a +5.00|-4.00|-|80/90|||52</x:v>
      </x:c>
    </x:row>
    <x:row r="3060">
      <x:c r="A3060" s="24" t="str">
        <x:v>ZS-E1295F0FA714</x:v>
      </x:c>
      <x:c r="B3060" s="24" t="str">
        <x:v>SIM</x:v>
      </x:c>
      <x:c r="C3060" s="24" t="str">
        <x:v>DISPONÍVEL</x:v>
      </x:c>
      <x:c r="D3060" s="24" t="str">
        <x:v>ZEISS</x:v>
      </x:c>
      <x:c r="E3060" s="24" t="str">
        <x:v>AdaptiveSun</x:v>
      </x:c>
      <x:c r="F3060" s="24" t="str">
        <x:v>Surfaçada</x:v>
      </x:c>
      <x:c r="G3060" s="24" t="str">
        <x:v>Individual Sport Visão Simples AdaptiveSun</x:v>
      </x:c>
      <x:c r="H3060" s="24" t="str">
        <x:v>AdaptiveSun PhotoFusion Cinza</x:v>
      </x:c>
      <x:c r="I3060" s="24" t="str">
        <x:v>1.5</x:v>
      </x:c>
      <x:c r="J3060" s="24" t="str">
        <x:v>1.50</x:v>
      </x:c>
      <x:c r="K3060" s="24" t="str">
        <x:v>DuraVision Chrome UV</x:v>
      </x:c>
      <x:c r="L3060" s="40" t="n">
        <x:v>3040</x:v>
      </x:c>
      <x:c r="M3060" s="24" t="str">
        <x:v>-5.00 a +5.00</x:v>
      </x:c>
      <x:c r="N3060" s="24" t="str">
        <x:v>-4.00</x:v>
      </x:c>
      <x:c r="O3060" s="24" t="str">
        <x:v>-</x:v>
      </x:c>
      <x:c r="P3060" s="24" t="str">
        <x:v>80/90</x:v>
      </x:c>
      <x:c r="Q3060" s="24"/>
      <x:c r="R3060" s="24"/>
      <x:c r="S3060" s="26" t="n">
        <x:v>46113</x:v>
      </x:c>
      <x:c r="T3060" s="26"/>
      <x:c r="U3060" s="24" t="str">
        <x:v>ATIVA/SEM FIM INFORMADO</x:v>
      </x:c>
      <x:c r="V3060" s="24" t="str">
        <x:v>Programa de Parcerias ZEISS — categoria Experts</x:v>
      </x:c>
      <x:c r="W3060" s="24" t="n">
        <x:v>52</x:v>
      </x:c>
      <x:c r="X3060" s="24" t="str">
        <x:v>tabela_zeiss.pdf</x:v>
      </x:c>
      <x:c r="Y3060" s="24" t="str">
        <x:v>alta</x:v>
      </x:c>
      <x:c r="Z3060" s="24"/>
      <x:c r="AA3060" s="24" t="str">
        <x:v>ZEISS|AdaptiveSun|Surfaçada|Individual Sport Visão Simples AdaptiveSun|AdaptiveSun PhotoFusion Cinza|1.5|1.50|DuraVision Chrome UV|-5.00 a +5.00|-4.00|-|80/90|||52</x:v>
      </x:c>
    </x:row>
    <x:row r="3061">
      <x:c r="A3061" s="24" t="str">
        <x:v>ZS-D2E2077755FD</x:v>
      </x:c>
      <x:c r="B3061" s="24" t="str">
        <x:v>SIM</x:v>
      </x:c>
      <x:c r="C3061" s="24" t="str">
        <x:v>DISPONÍVEL</x:v>
      </x:c>
      <x:c r="D3061" s="24" t="str">
        <x:v>ZEISS</x:v>
      </x:c>
      <x:c r="E3061" s="24" t="str">
        <x:v>AdaptiveSun</x:v>
      </x:c>
      <x:c r="F3061" s="24" t="str">
        <x:v>Surfaçada</x:v>
      </x:c>
      <x:c r="G3061" s="24" t="str">
        <x:v>Individual Sport Visão Simples AdaptiveSun</x:v>
      </x:c>
      <x:c r="H3061" s="24" t="str">
        <x:v>AdaptiveSun PhotoFusion Cinza</x:v>
      </x:c>
      <x:c r="I3061" s="24" t="str">
        <x:v>1.5</x:v>
      </x:c>
      <x:c r="J3061" s="24" t="str">
        <x:v>1.50</x:v>
      </x:c>
      <x:c r="K3061" s="24" t="str">
        <x:v>Sem AR</x:v>
      </x:c>
      <x:c r="L3061" s="40" t="n">
        <x:v>2640</x:v>
      </x:c>
      <x:c r="M3061" s="24" t="str">
        <x:v>-5.00 a +5.00</x:v>
      </x:c>
      <x:c r="N3061" s="24" t="str">
        <x:v>-4.00</x:v>
      </x:c>
      <x:c r="O3061" s="24" t="str">
        <x:v>-</x:v>
      </x:c>
      <x:c r="P3061" s="24" t="str">
        <x:v>80/90</x:v>
      </x:c>
      <x:c r="Q3061" s="24"/>
      <x:c r="R3061" s="24"/>
      <x:c r="S3061" s="26" t="n">
        <x:v>46113</x:v>
      </x:c>
      <x:c r="T3061" s="26"/>
      <x:c r="U3061" s="24" t="str">
        <x:v>ATIVA/SEM FIM INFORMADO</x:v>
      </x:c>
      <x:c r="V3061" s="24" t="str">
        <x:v>Programa de Parcerias ZEISS — categoria Experts</x:v>
      </x:c>
      <x:c r="W3061" s="24" t="n">
        <x:v>52</x:v>
      </x:c>
      <x:c r="X3061" s="24" t="str">
        <x:v>tabela_zeiss.pdf</x:v>
      </x:c>
      <x:c r="Y3061" s="24" t="str">
        <x:v>alta</x:v>
      </x:c>
      <x:c r="Z3061" s="24"/>
      <x:c r="AA3061" s="24" t="str">
        <x:v>ZEISS|AdaptiveSun|Surfaçada|Individual Sport Visão Simples AdaptiveSun|AdaptiveSun PhotoFusion Cinza|1.5|1.50|Sem AR|-5.00 a +5.00|-4.00|-|80/90|||52</x:v>
      </x:c>
    </x:row>
    <x:row r="3062">
      <x:c r="A3062" s="24" t="str">
        <x:v>ZS-AAEE58592363</x:v>
      </x:c>
      <x:c r="B3062" s="24" t="str">
        <x:v>SIM</x:v>
      </x:c>
      <x:c r="C3062" s="24" t="str">
        <x:v>DISPONÍVEL</x:v>
      </x:c>
      <x:c r="D3062" s="24" t="str">
        <x:v>ZEISS</x:v>
      </x:c>
      <x:c r="E3062" s="24" t="str">
        <x:v>AdaptiveSun</x:v>
      </x:c>
      <x:c r="F3062" s="24" t="str">
        <x:v>Surfaçada</x:v>
      </x:c>
      <x:c r="G3062" s="24" t="str">
        <x:v>Individual Sport Visão Simples AdaptiveSun</x:v>
      </x:c>
      <x:c r="H3062" s="24" t="str">
        <x:v>AdaptiveSun PhotoFusion Cinza</x:v>
      </x:c>
      <x:c r="I3062" s="24" t="str">
        <x:v>1.6</x:v>
      </x:c>
      <x:c r="J3062" s="24" t="str">
        <x:v>1.60</x:v>
      </x:c>
      <x:c r="K3062" s="24" t="str">
        <x:v>DuraVision Platinum UV</x:v>
      </x:c>
      <x:c r="L3062" s="40" t="n">
        <x:v>4370</x:v>
      </x:c>
      <x:c r="M3062" s="24" t="str">
        <x:v>-6.00 a +6.00</x:v>
      </x:c>
      <x:c r="N3062" s="24" t="str">
        <x:v>-6.00</x:v>
      </x:c>
      <x:c r="O3062" s="24" t="str">
        <x:v>-</x:v>
      </x:c>
      <x:c r="P3062" s="24" t="str">
        <x:v>80/90</x:v>
      </x:c>
      <x:c r="Q3062" s="24"/>
      <x:c r="R3062" s="24"/>
      <x:c r="S3062" s="26" t="n">
        <x:v>46113</x:v>
      </x:c>
      <x:c r="T3062" s="26"/>
      <x:c r="U3062" s="24" t="str">
        <x:v>ATIVA/SEM FIM INFORMADO</x:v>
      </x:c>
      <x:c r="V3062" s="24" t="str">
        <x:v>Programa de Parcerias ZEISS — categoria Experts</x:v>
      </x:c>
      <x:c r="W3062" s="24" t="n">
        <x:v>52</x:v>
      </x:c>
      <x:c r="X3062" s="24" t="str">
        <x:v>tabela_zeiss.pdf</x:v>
      </x:c>
      <x:c r="Y3062" s="24" t="str">
        <x:v>alta</x:v>
      </x:c>
      <x:c r="Z3062" s="24"/>
      <x:c r="AA3062" s="24" t="str">
        <x:v>ZEISS|AdaptiveSun|Surfaçada|Individual Sport Visão Simples AdaptiveSun|AdaptiveSun PhotoFusion Cinza|1.6|1.60|DuraVision Platinum UV|-6.00 a +6.00|-6.00|-|80/90|||52</x:v>
      </x:c>
    </x:row>
    <x:row r="3063">
      <x:c r="A3063" s="24" t="str">
        <x:v>ZS-2E8C7749C975</x:v>
      </x:c>
      <x:c r="B3063" s="24" t="str">
        <x:v>SIM</x:v>
      </x:c>
      <x:c r="C3063" s="24" t="str">
        <x:v>DISPONÍVEL</x:v>
      </x:c>
      <x:c r="D3063" s="24" t="str">
        <x:v>ZEISS</x:v>
      </x:c>
      <x:c r="E3063" s="24" t="str">
        <x:v>AdaptiveSun</x:v>
      </x:c>
      <x:c r="F3063" s="24" t="str">
        <x:v>Surfaçada</x:v>
      </x:c>
      <x:c r="G3063" s="24" t="str">
        <x:v>Individual Sport Visão Simples AdaptiveSun</x:v>
      </x:c>
      <x:c r="H3063" s="24" t="str">
        <x:v>AdaptiveSun PhotoFusion Cinza</x:v>
      </x:c>
      <x:c r="I3063" s="24" t="str">
        <x:v>1.6</x:v>
      </x:c>
      <x:c r="J3063" s="24" t="str">
        <x:v>1.60</x:v>
      </x:c>
      <x:c r="K3063" s="24" t="str">
        <x:v>DuraVision Silver UV</x:v>
      </x:c>
      <x:c r="L3063" s="40" t="n">
        <x:v>4110</x:v>
      </x:c>
      <x:c r="M3063" s="24" t="str">
        <x:v>-6.00 a +6.00</x:v>
      </x:c>
      <x:c r="N3063" s="24" t="str">
        <x:v>-6.00</x:v>
      </x:c>
      <x:c r="O3063" s="24" t="str">
        <x:v>-</x:v>
      </x:c>
      <x:c r="P3063" s="24" t="str">
        <x:v>80/90</x:v>
      </x:c>
      <x:c r="Q3063" s="24"/>
      <x:c r="R3063" s="24"/>
      <x:c r="S3063" s="26" t="n">
        <x:v>46113</x:v>
      </x:c>
      <x:c r="T3063" s="26"/>
      <x:c r="U3063" s="24" t="str">
        <x:v>ATIVA/SEM FIM INFORMADO</x:v>
      </x:c>
      <x:c r="V3063" s="24" t="str">
        <x:v>Programa de Parcerias ZEISS — categoria Experts</x:v>
      </x:c>
      <x:c r="W3063" s="24" t="n">
        <x:v>52</x:v>
      </x:c>
      <x:c r="X3063" s="24" t="str">
        <x:v>tabela_zeiss.pdf</x:v>
      </x:c>
      <x:c r="Y3063" s="24" t="str">
        <x:v>alta</x:v>
      </x:c>
      <x:c r="Z3063" s="24"/>
      <x:c r="AA3063" s="24" t="str">
        <x:v>ZEISS|AdaptiveSun|Surfaçada|Individual Sport Visão Simples AdaptiveSun|AdaptiveSun PhotoFusion Cinza|1.6|1.60|DuraVision Silver UV|-6.00 a +6.00|-6.00|-|80/90|||52</x:v>
      </x:c>
    </x:row>
    <x:row r="3064">
      <x:c r="A3064" s="24" t="str">
        <x:v>ZS-6844D7F69AB6</x:v>
      </x:c>
      <x:c r="B3064" s="24" t="str">
        <x:v>SIM</x:v>
      </x:c>
      <x:c r="C3064" s="24" t="str">
        <x:v>DISPONÍVEL</x:v>
      </x:c>
      <x:c r="D3064" s="24" t="str">
        <x:v>ZEISS</x:v>
      </x:c>
      <x:c r="E3064" s="24" t="str">
        <x:v>AdaptiveSun</x:v>
      </x:c>
      <x:c r="F3064" s="24" t="str">
        <x:v>Surfaçada</x:v>
      </x:c>
      <x:c r="G3064" s="24" t="str">
        <x:v>Individual Sport Visão Simples AdaptiveSun</x:v>
      </x:c>
      <x:c r="H3064" s="24" t="str">
        <x:v>AdaptiveSun PhotoFusion Cinza</x:v>
      </x:c>
      <x:c r="I3064" s="24" t="str">
        <x:v>1.6</x:v>
      </x:c>
      <x:c r="J3064" s="24" t="str">
        <x:v>1.60</x:v>
      </x:c>
      <x:c r="K3064" s="24" t="str">
        <x:v>DuraVision Chrome UV</x:v>
      </x:c>
      <x:c r="L3064" s="40" t="n">
        <x:v>3620</x:v>
      </x:c>
      <x:c r="M3064" s="24" t="str">
        <x:v>-6.00 a +6.00</x:v>
      </x:c>
      <x:c r="N3064" s="24" t="str">
        <x:v>-6.00</x:v>
      </x:c>
      <x:c r="O3064" s="24" t="str">
        <x:v>-</x:v>
      </x:c>
      <x:c r="P3064" s="24" t="str">
        <x:v>80/90</x:v>
      </x:c>
      <x:c r="Q3064" s="24"/>
      <x:c r="R3064" s="24"/>
      <x:c r="S3064" s="26" t="n">
        <x:v>46113</x:v>
      </x:c>
      <x:c r="T3064" s="26"/>
      <x:c r="U3064" s="24" t="str">
        <x:v>ATIVA/SEM FIM INFORMADO</x:v>
      </x:c>
      <x:c r="V3064" s="24" t="str">
        <x:v>Programa de Parcerias ZEISS — categoria Experts</x:v>
      </x:c>
      <x:c r="W3064" s="24" t="n">
        <x:v>52</x:v>
      </x:c>
      <x:c r="X3064" s="24" t="str">
        <x:v>tabela_zeiss.pdf</x:v>
      </x:c>
      <x:c r="Y3064" s="24" t="str">
        <x:v>alta</x:v>
      </x:c>
      <x:c r="Z3064" s="24"/>
      <x:c r="AA3064" s="24" t="str">
        <x:v>ZEISS|AdaptiveSun|Surfaçada|Individual Sport Visão Simples AdaptiveSun|AdaptiveSun PhotoFusion Cinza|1.6|1.60|DuraVision Chrome UV|-6.00 a +6.00|-6.00|-|80/90|||52</x:v>
      </x:c>
    </x:row>
    <x:row r="3065">
      <x:c r="A3065" s="24" t="str">
        <x:v>ZS-76BD5E6B8E81</x:v>
      </x:c>
      <x:c r="B3065" s="24" t="str">
        <x:v>SIM</x:v>
      </x:c>
      <x:c r="C3065" s="24" t="str">
        <x:v>DISPONÍVEL</x:v>
      </x:c>
      <x:c r="D3065" s="24" t="str">
        <x:v>ZEISS</x:v>
      </x:c>
      <x:c r="E3065" s="24" t="str">
        <x:v>AdaptiveSun</x:v>
      </x:c>
      <x:c r="F3065" s="24" t="str">
        <x:v>Surfaçada</x:v>
      </x:c>
      <x:c r="G3065" s="24" t="str">
        <x:v>Individual Sport Visão Simples AdaptiveSun</x:v>
      </x:c>
      <x:c r="H3065" s="24" t="str">
        <x:v>AdaptiveSun PhotoFusion Cinza</x:v>
      </x:c>
      <x:c r="I3065" s="24" t="str">
        <x:v>1.6</x:v>
      </x:c>
      <x:c r="J3065" s="24" t="str">
        <x:v>1.60</x:v>
      </x:c>
      <x:c r="K3065" s="24" t="str">
        <x:v>Sem AR</x:v>
      </x:c>
      <x:c r="L3065" s="40" t="n">
        <x:v>3220</x:v>
      </x:c>
      <x:c r="M3065" s="24" t="str">
        <x:v>-6.00 a +6.00</x:v>
      </x:c>
      <x:c r="N3065" s="24" t="str">
        <x:v>-6.00</x:v>
      </x:c>
      <x:c r="O3065" s="24" t="str">
        <x:v>-</x:v>
      </x:c>
      <x:c r="P3065" s="24" t="str">
        <x:v>80/90</x:v>
      </x:c>
      <x:c r="Q3065" s="24"/>
      <x:c r="R3065" s="24"/>
      <x:c r="S3065" s="26" t="n">
        <x:v>46113</x:v>
      </x:c>
      <x:c r="T3065" s="26"/>
      <x:c r="U3065" s="24" t="str">
        <x:v>ATIVA/SEM FIM INFORMADO</x:v>
      </x:c>
      <x:c r="V3065" s="24" t="str">
        <x:v>Programa de Parcerias ZEISS — categoria Experts</x:v>
      </x:c>
      <x:c r="W3065" s="24" t="n">
        <x:v>52</x:v>
      </x:c>
      <x:c r="X3065" s="24" t="str">
        <x:v>tabela_zeiss.pdf</x:v>
      </x:c>
      <x:c r="Y3065" s="24" t="str">
        <x:v>alta</x:v>
      </x:c>
      <x:c r="Z3065" s="24"/>
      <x:c r="AA3065" s="24" t="str">
        <x:v>ZEISS|AdaptiveSun|Surfaçada|Individual Sport Visão Simples AdaptiveSun|AdaptiveSun PhotoFusion Cinza|1.6|1.60|Sem AR|-6.00 a +6.00|-6.00|-|80/90|||52</x:v>
      </x:c>
    </x:row>
    <x:row r="3066">
      <x:c r="A3066" s="24" t="str">
        <x:v>ZS-D62292190AF9</x:v>
      </x:c>
      <x:c r="B3066" s="24" t="str">
        <x:v>SIM</x:v>
      </x:c>
      <x:c r="C3066" s="24" t="str">
        <x:v>DISPONÍVEL</x:v>
      </x:c>
      <x:c r="D3066" s="24" t="str">
        <x:v>ZEISS</x:v>
      </x:c>
      <x:c r="E3066" s="24" t="str">
        <x:v>AdaptiveSun</x:v>
      </x:c>
      <x:c r="F3066" s="24" t="str">
        <x:v>Surfaçada</x:v>
      </x:c>
      <x:c r="G3066" s="24" t="str">
        <x:v>Individual Sport Progressiva AdaptiveSun</x:v>
      </x:c>
      <x:c r="H3066" s="24" t="str">
        <x:v>AdaptiveSun PhotoFusion Cinza</x:v>
      </x:c>
      <x:c r="I3066" s="24" t="str">
        <x:v>1.5</x:v>
      </x:c>
      <x:c r="J3066" s="24" t="str">
        <x:v>1.50</x:v>
      </x:c>
      <x:c r="K3066" s="24" t="str">
        <x:v>DuraVision Platinum UV</x:v>
      </x:c>
      <x:c r="L3066" s="40" t="n">
        <x:v>6034</x:v>
      </x:c>
      <x:c r="M3066" s="24" t="str">
        <x:v>-5.00 a +5.00
-5.00 a +5.00</x:v>
      </x:c>
      <x:c r="N3066" s="24" t="str">
        <x:v>-4.00</x:v>
      </x:c>
      <x:c r="O3066" s="24" t="str">
        <x:v>0.75 a 3.50</x:v>
      </x:c>
      <x:c r="P3066" s="24" t="str">
        <x:v>80/90
75/85</x:v>
      </x:c>
      <x:c r="Q3066" s="24"/>
      <x:c r="R3066" s="24"/>
      <x:c r="S3066" s="26" t="n">
        <x:v>46113</x:v>
      </x:c>
      <x:c r="T3066" s="26"/>
      <x:c r="U3066" s="24" t="str">
        <x:v>ATIVA/SEM FIM INFORMADO</x:v>
      </x:c>
      <x:c r="V3066" s="24" t="str">
        <x:v>Programa de Parcerias ZEISS — categoria Experts</x:v>
      </x:c>
      <x:c r="W3066" s="24" t="n">
        <x:v>52</x:v>
      </x:c>
      <x:c r="X3066" s="24" t="str">
        <x:v>tabela_zeiss.pdf</x:v>
      </x:c>
      <x:c r="Y3066" s="24" t="str">
        <x:v>alta</x:v>
      </x:c>
      <x:c r="Z3066" s="24"/>
      <x:c r="AA3066" s="24" t="str">
        <x:v>ZEISS|AdaptiveSun|Surfaçada|Individual Sport Progressiva AdaptiveSun|AdaptiveSun PhotoFusion Cinza|1.5|1.50|DuraVision Platinum UV|-5.00 a +5.00
-5.00 a +5.00|-4.00|0.75 a 3.50|80/90
75/85|||52</x:v>
      </x:c>
    </x:row>
    <x:row r="3067">
      <x:c r="A3067" s="24" t="str">
        <x:v>ZS-4E0556132599</x:v>
      </x:c>
      <x:c r="B3067" s="24" t="str">
        <x:v>SIM</x:v>
      </x:c>
      <x:c r="C3067" s="24" t="str">
        <x:v>DISPONÍVEL</x:v>
      </x:c>
      <x:c r="D3067" s="24" t="str">
        <x:v>ZEISS</x:v>
      </x:c>
      <x:c r="E3067" s="24" t="str">
        <x:v>AdaptiveSun</x:v>
      </x:c>
      <x:c r="F3067" s="24" t="str">
        <x:v>Surfaçada</x:v>
      </x:c>
      <x:c r="G3067" s="24" t="str">
        <x:v>Individual Sport Progressiva AdaptiveSun</x:v>
      </x:c>
      <x:c r="H3067" s="24" t="str">
        <x:v>AdaptiveSun PhotoFusion Cinza</x:v>
      </x:c>
      <x:c r="I3067" s="24" t="str">
        <x:v>1.5</x:v>
      </x:c>
      <x:c r="J3067" s="24" t="str">
        <x:v>1.50</x:v>
      </x:c>
      <x:c r="K3067" s="24" t="str">
        <x:v>DuraVision Silver UV</x:v>
      </x:c>
      <x:c r="L3067" s="40" t="n">
        <x:v>5774</x:v>
      </x:c>
      <x:c r="M3067" s="24" t="str">
        <x:v>-5.00 a +5.00
-5.00 a +5.00</x:v>
      </x:c>
      <x:c r="N3067" s="24" t="str">
        <x:v>-4.00</x:v>
      </x:c>
      <x:c r="O3067" s="24" t="str">
        <x:v>0.75 a 3.50</x:v>
      </x:c>
      <x:c r="P3067" s="24" t="str">
        <x:v>80/90
75/85</x:v>
      </x:c>
      <x:c r="Q3067" s="24"/>
      <x:c r="R3067" s="24"/>
      <x:c r="S3067" s="26" t="n">
        <x:v>46113</x:v>
      </x:c>
      <x:c r="T3067" s="26"/>
      <x:c r="U3067" s="24" t="str">
        <x:v>ATIVA/SEM FIM INFORMADO</x:v>
      </x:c>
      <x:c r="V3067" s="24" t="str">
        <x:v>Programa de Parcerias ZEISS — categoria Experts</x:v>
      </x:c>
      <x:c r="W3067" s="24" t="n">
        <x:v>52</x:v>
      </x:c>
      <x:c r="X3067" s="24" t="str">
        <x:v>tabela_zeiss.pdf</x:v>
      </x:c>
      <x:c r="Y3067" s="24" t="str">
        <x:v>alta</x:v>
      </x:c>
      <x:c r="Z3067" s="24"/>
      <x:c r="AA3067" s="24" t="str">
        <x:v>ZEISS|AdaptiveSun|Surfaçada|Individual Sport Progressiva AdaptiveSun|AdaptiveSun PhotoFusion Cinza|1.5|1.50|DuraVision Silver UV|-5.00 a +5.00
-5.00 a +5.00|-4.00|0.75 a 3.50|80/90
75/85|||52</x:v>
      </x:c>
    </x:row>
    <x:row r="3068">
      <x:c r="A3068" s="24" t="str">
        <x:v>ZS-6082130970CA</x:v>
      </x:c>
      <x:c r="B3068" s="24" t="str">
        <x:v>SIM</x:v>
      </x:c>
      <x:c r="C3068" s="24" t="str">
        <x:v>DISPONÍVEL</x:v>
      </x:c>
      <x:c r="D3068" s="24" t="str">
        <x:v>ZEISS</x:v>
      </x:c>
      <x:c r="E3068" s="24" t="str">
        <x:v>AdaptiveSun</x:v>
      </x:c>
      <x:c r="F3068" s="24" t="str">
        <x:v>Surfaçada</x:v>
      </x:c>
      <x:c r="G3068" s="24" t="str">
        <x:v>Individual Sport Progressiva AdaptiveSun</x:v>
      </x:c>
      <x:c r="H3068" s="24" t="str">
        <x:v>AdaptiveSun PhotoFusion Cinza</x:v>
      </x:c>
      <x:c r="I3068" s="24" t="str">
        <x:v>1.5</x:v>
      </x:c>
      <x:c r="J3068" s="24" t="str">
        <x:v>1.50</x:v>
      </x:c>
      <x:c r="K3068" s="24" t="str">
        <x:v>DuraVision Chrome UV</x:v>
      </x:c>
      <x:c r="L3068" s="40" t="n">
        <x:v>5284</x:v>
      </x:c>
      <x:c r="M3068" s="24" t="str">
        <x:v>-5.00 a +5.00
-5.00 a +5.00</x:v>
      </x:c>
      <x:c r="N3068" s="24" t="str">
        <x:v>-4.00</x:v>
      </x:c>
      <x:c r="O3068" s="24" t="str">
        <x:v>0.75 a 3.50</x:v>
      </x:c>
      <x:c r="P3068" s="24" t="str">
        <x:v>80/90
75/85</x:v>
      </x:c>
      <x:c r="Q3068" s="24"/>
      <x:c r="R3068" s="24"/>
      <x:c r="S3068" s="26" t="n">
        <x:v>46113</x:v>
      </x:c>
      <x:c r="T3068" s="26"/>
      <x:c r="U3068" s="24" t="str">
        <x:v>ATIVA/SEM FIM INFORMADO</x:v>
      </x:c>
      <x:c r="V3068" s="24" t="str">
        <x:v>Programa de Parcerias ZEISS — categoria Experts</x:v>
      </x:c>
      <x:c r="W3068" s="24" t="n">
        <x:v>52</x:v>
      </x:c>
      <x:c r="X3068" s="24" t="str">
        <x:v>tabela_zeiss.pdf</x:v>
      </x:c>
      <x:c r="Y3068" s="24" t="str">
        <x:v>alta</x:v>
      </x:c>
      <x:c r="Z3068" s="24"/>
      <x:c r="AA3068" s="24" t="str">
        <x:v>ZEISS|AdaptiveSun|Surfaçada|Individual Sport Progressiva AdaptiveSun|AdaptiveSun PhotoFusion Cinza|1.5|1.50|DuraVision Chrome UV|-5.00 a +5.00
-5.00 a +5.00|-4.00|0.75 a 3.50|80/90
75/85|||52</x:v>
      </x:c>
    </x:row>
    <x:row r="3069">
      <x:c r="A3069" s="24" t="str">
        <x:v>ZS-5E1BCEAA98A7</x:v>
      </x:c>
      <x:c r="B3069" s="24" t="str">
        <x:v>SIM</x:v>
      </x:c>
      <x:c r="C3069" s="24" t="str">
        <x:v>DISPONÍVEL</x:v>
      </x:c>
      <x:c r="D3069" s="24" t="str">
        <x:v>ZEISS</x:v>
      </x:c>
      <x:c r="E3069" s="24" t="str">
        <x:v>AdaptiveSun</x:v>
      </x:c>
      <x:c r="F3069" s="24" t="str">
        <x:v>Surfaçada</x:v>
      </x:c>
      <x:c r="G3069" s="24" t="str">
        <x:v>Individual Sport Progressiva AdaptiveSun</x:v>
      </x:c>
      <x:c r="H3069" s="24" t="str">
        <x:v>AdaptiveSun PhotoFusion Cinza</x:v>
      </x:c>
      <x:c r="I3069" s="24" t="str">
        <x:v>1.5</x:v>
      </x:c>
      <x:c r="J3069" s="24" t="str">
        <x:v>1.50</x:v>
      </x:c>
      <x:c r="K3069" s="24" t="str">
        <x:v>Sem AR</x:v>
      </x:c>
      <x:c r="L3069" s="40" t="n">
        <x:v>4884</x:v>
      </x:c>
      <x:c r="M3069" s="24" t="str">
        <x:v>-5.00 a +5.00
-5.00 a +5.00</x:v>
      </x:c>
      <x:c r="N3069" s="24" t="str">
        <x:v>-4.00</x:v>
      </x:c>
      <x:c r="O3069" s="24" t="str">
        <x:v>0.75 a 3.50</x:v>
      </x:c>
      <x:c r="P3069" s="24" t="str">
        <x:v>80/90
75/85</x:v>
      </x:c>
      <x:c r="Q3069" s="24"/>
      <x:c r="R3069" s="24"/>
      <x:c r="S3069" s="26" t="n">
        <x:v>46113</x:v>
      </x:c>
      <x:c r="T3069" s="26"/>
      <x:c r="U3069" s="24" t="str">
        <x:v>ATIVA/SEM FIM INFORMADO</x:v>
      </x:c>
      <x:c r="V3069" s="24" t="str">
        <x:v>Programa de Parcerias ZEISS — categoria Experts</x:v>
      </x:c>
      <x:c r="W3069" s="24" t="n">
        <x:v>52</x:v>
      </x:c>
      <x:c r="X3069" s="24" t="str">
        <x:v>tabela_zeiss.pdf</x:v>
      </x:c>
      <x:c r="Y3069" s="24" t="str">
        <x:v>alta</x:v>
      </x:c>
      <x:c r="Z3069" s="24"/>
      <x:c r="AA3069" s="24" t="str">
        <x:v>ZEISS|AdaptiveSun|Surfaçada|Individual Sport Progressiva AdaptiveSun|AdaptiveSun PhotoFusion Cinza|1.5|1.50|Sem AR|-5.00 a +5.00
-5.00 a +5.00|-4.00|0.75 a 3.50|80/90
75/85|||52</x:v>
      </x:c>
    </x:row>
    <x:row r="3070">
      <x:c r="A3070" s="24" t="str">
        <x:v>ZS-41D4F8BB3550</x:v>
      </x:c>
      <x:c r="B3070" s="24" t="str">
        <x:v>SIM</x:v>
      </x:c>
      <x:c r="C3070" s="24" t="str">
        <x:v>DISPONÍVEL</x:v>
      </x:c>
      <x:c r="D3070" s="24" t="str">
        <x:v>ZEISS</x:v>
      </x:c>
      <x:c r="E3070" s="24" t="str">
        <x:v>AdaptiveSun</x:v>
      </x:c>
      <x:c r="F3070" s="24" t="str">
        <x:v>Surfaçada</x:v>
      </x:c>
      <x:c r="G3070" s="24" t="str">
        <x:v>Individual Sport Progressiva AdaptiveSun</x:v>
      </x:c>
      <x:c r="H3070" s="24" t="str">
        <x:v>AdaptiveSun PhotoFusion Cinza</x:v>
      </x:c>
      <x:c r="I3070" s="24" t="str">
        <x:v>1.6</x:v>
      </x:c>
      <x:c r="J3070" s="24" t="str">
        <x:v>1.60</x:v>
      </x:c>
      <x:c r="K3070" s="24" t="str">
        <x:v>DuraVision Platinum UV</x:v>
      </x:c>
      <x:c r="L3070" s="40" t="n">
        <x:v>7284</x:v>
      </x:c>
      <x:c r="M3070" s="24" t="str">
        <x:v>-6.00 a +6.00
-5.00 a +5.00</x:v>
      </x:c>
      <x:c r="N3070" s="24" t="str">
        <x:v>-6.00</x:v>
      </x:c>
      <x:c r="O3070" s="24" t="str">
        <x:v>0.75 a 3.50</x:v>
      </x:c>
      <x:c r="P3070" s="24" t="str">
        <x:v>80/90
75/85</x:v>
      </x:c>
      <x:c r="Q3070" s="24"/>
      <x:c r="R3070" s="24"/>
      <x:c r="S3070" s="26" t="n">
        <x:v>46113</x:v>
      </x:c>
      <x:c r="T3070" s="26"/>
      <x:c r="U3070" s="24" t="str">
        <x:v>ATIVA/SEM FIM INFORMADO</x:v>
      </x:c>
      <x:c r="V3070" s="24" t="str">
        <x:v>Programa de Parcerias ZEISS — categoria Experts</x:v>
      </x:c>
      <x:c r="W3070" s="24" t="n">
        <x:v>52</x:v>
      </x:c>
      <x:c r="X3070" s="24" t="str">
        <x:v>tabela_zeiss.pdf</x:v>
      </x:c>
      <x:c r="Y3070" s="24" t="str">
        <x:v>alta</x:v>
      </x:c>
      <x:c r="Z3070" s="24"/>
      <x:c r="AA3070" s="24" t="str">
        <x:v>ZEISS|AdaptiveSun|Surfaçada|Individual Sport Progressiva AdaptiveSun|AdaptiveSun PhotoFusion Cinza|1.6|1.60|DuraVision Platinum UV|-6.00 a +6.00
-5.00 a +5.00|-6.00|0.75 a 3.50|80/90
75/85|||52</x:v>
      </x:c>
    </x:row>
    <x:row r="3071">
      <x:c r="A3071" s="24" t="str">
        <x:v>ZS-E9BE86B538D3</x:v>
      </x:c>
      <x:c r="B3071" s="24" t="str">
        <x:v>SIM</x:v>
      </x:c>
      <x:c r="C3071" s="24" t="str">
        <x:v>DISPONÍVEL</x:v>
      </x:c>
      <x:c r="D3071" s="24" t="str">
        <x:v>ZEISS</x:v>
      </x:c>
      <x:c r="E3071" s="24" t="str">
        <x:v>AdaptiveSun</x:v>
      </x:c>
      <x:c r="F3071" s="24" t="str">
        <x:v>Surfaçada</x:v>
      </x:c>
      <x:c r="G3071" s="24" t="str">
        <x:v>Individual Sport Progressiva AdaptiveSun</x:v>
      </x:c>
      <x:c r="H3071" s="24" t="str">
        <x:v>AdaptiveSun PhotoFusion Cinza</x:v>
      </x:c>
      <x:c r="I3071" s="24" t="str">
        <x:v>1.6</x:v>
      </x:c>
      <x:c r="J3071" s="24" t="str">
        <x:v>1.60</x:v>
      </x:c>
      <x:c r="K3071" s="24" t="str">
        <x:v>DuraVision Silver UV</x:v>
      </x:c>
      <x:c r="L3071" s="40" t="n">
        <x:v>7024</x:v>
      </x:c>
      <x:c r="M3071" s="24" t="str">
        <x:v>-6.00 a +6.00
-5.00 a +5.00</x:v>
      </x:c>
      <x:c r="N3071" s="24" t="str">
        <x:v>-6.00</x:v>
      </x:c>
      <x:c r="O3071" s="24" t="str">
        <x:v>0.75 a 3.50</x:v>
      </x:c>
      <x:c r="P3071" s="24" t="str">
        <x:v>80/90
75/85</x:v>
      </x:c>
      <x:c r="Q3071" s="24"/>
      <x:c r="R3071" s="24"/>
      <x:c r="S3071" s="26" t="n">
        <x:v>46113</x:v>
      </x:c>
      <x:c r="T3071" s="26"/>
      <x:c r="U3071" s="24" t="str">
        <x:v>ATIVA/SEM FIM INFORMADO</x:v>
      </x:c>
      <x:c r="V3071" s="24" t="str">
        <x:v>Programa de Parcerias ZEISS — categoria Experts</x:v>
      </x:c>
      <x:c r="W3071" s="24" t="n">
        <x:v>52</x:v>
      </x:c>
      <x:c r="X3071" s="24" t="str">
        <x:v>tabela_zeiss.pdf</x:v>
      </x:c>
      <x:c r="Y3071" s="24" t="str">
        <x:v>alta</x:v>
      </x:c>
      <x:c r="Z3071" s="24"/>
      <x:c r="AA3071" s="24" t="str">
        <x:v>ZEISS|AdaptiveSun|Surfaçada|Individual Sport Progressiva AdaptiveSun|AdaptiveSun PhotoFusion Cinza|1.6|1.60|DuraVision Silver UV|-6.00 a +6.00
-5.00 a +5.00|-6.00|0.75 a 3.50|80/90
75/85|||52</x:v>
      </x:c>
    </x:row>
    <x:row r="3072">
      <x:c r="A3072" s="24" t="str">
        <x:v>ZS-BF46D0A4A12D</x:v>
      </x:c>
      <x:c r="B3072" s="24" t="str">
        <x:v>SIM</x:v>
      </x:c>
      <x:c r="C3072" s="24" t="str">
        <x:v>DISPONÍVEL</x:v>
      </x:c>
      <x:c r="D3072" s="24" t="str">
        <x:v>ZEISS</x:v>
      </x:c>
      <x:c r="E3072" s="24" t="str">
        <x:v>AdaptiveSun</x:v>
      </x:c>
      <x:c r="F3072" s="24" t="str">
        <x:v>Surfaçada</x:v>
      </x:c>
      <x:c r="G3072" s="24" t="str">
        <x:v>Individual Sport Progressiva AdaptiveSun</x:v>
      </x:c>
      <x:c r="H3072" s="24" t="str">
        <x:v>AdaptiveSun PhotoFusion Cinza</x:v>
      </x:c>
      <x:c r="I3072" s="24" t="str">
        <x:v>1.6</x:v>
      </x:c>
      <x:c r="J3072" s="24" t="str">
        <x:v>1.60</x:v>
      </x:c>
      <x:c r="K3072" s="24" t="str">
        <x:v>DuraVision Chrome UV</x:v>
      </x:c>
      <x:c r="L3072" s="40" t="n">
        <x:v>6534</x:v>
      </x:c>
      <x:c r="M3072" s="24" t="str">
        <x:v>-6.00 a +6.00
-5.00 a +5.00</x:v>
      </x:c>
      <x:c r="N3072" s="24" t="str">
        <x:v>-6.00</x:v>
      </x:c>
      <x:c r="O3072" s="24" t="str">
        <x:v>0.75 a 3.50</x:v>
      </x:c>
      <x:c r="P3072" s="24" t="str">
        <x:v>80/90
75/85</x:v>
      </x:c>
      <x:c r="Q3072" s="24"/>
      <x:c r="R3072" s="24"/>
      <x:c r="S3072" s="26" t="n">
        <x:v>46113</x:v>
      </x:c>
      <x:c r="T3072" s="26"/>
      <x:c r="U3072" s="24" t="str">
        <x:v>ATIVA/SEM FIM INFORMADO</x:v>
      </x:c>
      <x:c r="V3072" s="24" t="str">
        <x:v>Programa de Parcerias ZEISS — categoria Experts</x:v>
      </x:c>
      <x:c r="W3072" s="24" t="n">
        <x:v>52</x:v>
      </x:c>
      <x:c r="X3072" s="24" t="str">
        <x:v>tabela_zeiss.pdf</x:v>
      </x:c>
      <x:c r="Y3072" s="24" t="str">
        <x:v>alta</x:v>
      </x:c>
      <x:c r="Z3072" s="24"/>
      <x:c r="AA3072" s="24" t="str">
        <x:v>ZEISS|AdaptiveSun|Surfaçada|Individual Sport Progressiva AdaptiveSun|AdaptiveSun PhotoFusion Cinza|1.6|1.60|DuraVision Chrome UV|-6.00 a +6.00
-5.00 a +5.00|-6.00|0.75 a 3.50|80/90
75/85|||52</x:v>
      </x:c>
    </x:row>
    <x:row r="3073">
      <x:c r="A3073" s="24" t="str">
        <x:v>ZS-F56974AE4D88</x:v>
      </x:c>
      <x:c r="B3073" s="24" t="str">
        <x:v>SIM</x:v>
      </x:c>
      <x:c r="C3073" s="24" t="str">
        <x:v>DISPONÍVEL</x:v>
      </x:c>
      <x:c r="D3073" s="24" t="str">
        <x:v>ZEISS</x:v>
      </x:c>
      <x:c r="E3073" s="24" t="str">
        <x:v>AdaptiveSun</x:v>
      </x:c>
      <x:c r="F3073" s="24" t="str">
        <x:v>Surfaçada</x:v>
      </x:c>
      <x:c r="G3073" s="24" t="str">
        <x:v>Individual Sport Progressiva AdaptiveSun</x:v>
      </x:c>
      <x:c r="H3073" s="24" t="str">
        <x:v>AdaptiveSun PhotoFusion Cinza</x:v>
      </x:c>
      <x:c r="I3073" s="24" t="str">
        <x:v>1.6</x:v>
      </x:c>
      <x:c r="J3073" s="24" t="str">
        <x:v>1.60</x:v>
      </x:c>
      <x:c r="K3073" s="24" t="str">
        <x:v>Sem AR</x:v>
      </x:c>
      <x:c r="L3073" s="40" t="n">
        <x:v>6134</x:v>
      </x:c>
      <x:c r="M3073" s="24" t="str">
        <x:v>-6.00 a +6.00
-5.00 a +5.00</x:v>
      </x:c>
      <x:c r="N3073" s="24" t="str">
        <x:v>-6.00</x:v>
      </x:c>
      <x:c r="O3073" s="24" t="str">
        <x:v>0.75 a 3.50</x:v>
      </x:c>
      <x:c r="P3073" s="24" t="str">
        <x:v>80/90
75/85</x:v>
      </x:c>
      <x:c r="Q3073" s="24"/>
      <x:c r="R3073" s="24"/>
      <x:c r="S3073" s="26" t="n">
        <x:v>46113</x:v>
      </x:c>
      <x:c r="T3073" s="26"/>
      <x:c r="U3073" s="24" t="str">
        <x:v>ATIVA/SEM FIM INFORMADO</x:v>
      </x:c>
      <x:c r="V3073" s="24" t="str">
        <x:v>Programa de Parcerias ZEISS — categoria Experts</x:v>
      </x:c>
      <x:c r="W3073" s="24" t="n">
        <x:v>52</x:v>
      </x:c>
      <x:c r="X3073" s="24" t="str">
        <x:v>tabela_zeiss.pdf</x:v>
      </x:c>
      <x:c r="Y3073" s="24" t="str">
        <x:v>alta</x:v>
      </x:c>
      <x:c r="Z3073" s="24"/>
      <x:c r="AA3073" s="24" t="str">
        <x:v>ZEISS|AdaptiveSun|Surfaçada|Individual Sport Progressiva AdaptiveSun|AdaptiveSun PhotoFusion Cinza|1.6|1.60|Sem AR|-6.00 a +6.00
-5.00 a +5.00|-6.00|0.75 a 3.50|80/90
75/85|||52</x:v>
      </x:c>
    </x:row>
    <x:row r="3074">
      <x:c r="A3074" s="24" t="str">
        <x:v>ZS-251FF924FCC4</x:v>
      </x:c>
      <x:c r="B3074" s="24" t="str">
        <x:v>SIM</x:v>
      </x:c>
      <x:c r="C3074" s="24" t="str">
        <x:v>DISPONÍVEL</x:v>
      </x:c>
      <x:c r="D3074" s="24" t="str">
        <x:v>ZEISS</x:v>
      </x:c>
      <x:c r="E3074" s="24" t="str">
        <x:v>Progressiva AdaptiveSun</x:v>
      </x:c>
      <x:c r="F3074" s="24" t="str">
        <x:v>Surfaçada</x:v>
      </x:c>
      <x:c r="G3074" s="24" t="str">
        <x:v>SmartLife Individual AdaptiveSun</x:v>
      </x:c>
      <x:c r="H3074" s="24" t="str">
        <x:v>AdaptiveSun</x:v>
      </x:c>
      <x:c r="I3074" s="24" t="str">
        <x:v>1.5</x:v>
      </x:c>
      <x:c r="J3074" s="24" t="str">
        <x:v>1.50</x:v>
      </x:c>
      <x:c r="K3074" s="24" t="str">
        <x:v>DuraVision Platinum UV</x:v>
      </x:c>
      <x:c r="L3074" s="40" t="n">
        <x:v>12269</x:v>
      </x:c>
      <x:c r="M3074" s="24" t="str">
        <x:v>-6.00 a +4.00
-7.00 a +5.00</x:v>
      </x:c>
      <x:c r="N3074" s="24" t="str">
        <x:v>-4.00</x:v>
      </x:c>
      <x:c r="O3074" s="24" t="str">
        <x:v>0.75 a 3.50</x:v>
      </x:c>
      <x:c r="P3074" s="24" t="str">
        <x:v>75/80
70/75</x:v>
      </x:c>
      <x:c r="Q3074" s="24"/>
      <x:c r="R3074" s="24"/>
      <x:c r="S3074" s="26" t="n">
        <x:v>46113</x:v>
      </x:c>
      <x:c r="T3074" s="26"/>
      <x:c r="U3074" s="24" t="str">
        <x:v>ATIVA/SEM FIM INFORMADO</x:v>
      </x:c>
      <x:c r="V3074" s="24" t="str">
        <x:v>Programa de Parcerias ZEISS — categoria Experts</x:v>
      </x:c>
      <x:c r="W3074" s="24" t="n">
        <x:v>53</x:v>
      </x:c>
      <x:c r="X3074" s="24" t="str">
        <x:v>tabela_zeiss.pdf</x:v>
      </x:c>
      <x:c r="Y3074" s="24" t="str">
        <x:v>alta</x:v>
      </x:c>
      <x:c r="Z3074" s="24"/>
      <x:c r="AA3074" s="24" t="str">
        <x:v>ZEISS|Progressiva AdaptiveSun|Surfaçada|SmartLife Individual AdaptiveSun|AdaptiveSun|1.5|1.50|DuraVision Platinum UV|-6.00 a +4.00
-7.00 a +5.00|-4.00|0.75 a 3.50|75/80
70/75|||53</x:v>
      </x:c>
    </x:row>
    <x:row r="3075">
      <x:c r="A3075" s="24" t="str">
        <x:v>ZS-2155A00DDDE2</x:v>
      </x:c>
      <x:c r="B3075" s="24" t="str">
        <x:v>SIM</x:v>
      </x:c>
      <x:c r="C3075" s="24" t="str">
        <x:v>DISPONÍVEL</x:v>
      </x:c>
      <x:c r="D3075" s="24" t="str">
        <x:v>ZEISS</x:v>
      </x:c>
      <x:c r="E3075" s="24" t="str">
        <x:v>Progressiva AdaptiveSun</x:v>
      </x:c>
      <x:c r="F3075" s="24" t="str">
        <x:v>Surfaçada</x:v>
      </x:c>
      <x:c r="G3075" s="24" t="str">
        <x:v>SmartLife Individual AdaptiveSun</x:v>
      </x:c>
      <x:c r="H3075" s="24" t="str">
        <x:v>AdaptiveSun</x:v>
      </x:c>
      <x:c r="I3075" s="24" t="str">
        <x:v>1.5</x:v>
      </x:c>
      <x:c r="J3075" s="24" t="str">
        <x:v>1.50</x:v>
      </x:c>
      <x:c r="K3075" s="24" t="str">
        <x:v>DuraVision Silver UV</x:v>
      </x:c>
      <x:c r="L3075" s="40" t="n">
        <x:v>12009</x:v>
      </x:c>
      <x:c r="M3075" s="24" t="str">
        <x:v>-6.00 a +4.00
-7.00 a +5.00</x:v>
      </x:c>
      <x:c r="N3075" s="24" t="str">
        <x:v>-4.00</x:v>
      </x:c>
      <x:c r="O3075" s="24" t="str">
        <x:v>0.75 a 3.50</x:v>
      </x:c>
      <x:c r="P3075" s="24" t="str">
        <x:v>75/80
70/75</x:v>
      </x:c>
      <x:c r="Q3075" s="24"/>
      <x:c r="R3075" s="24"/>
      <x:c r="S3075" s="26" t="n">
        <x:v>46113</x:v>
      </x:c>
      <x:c r="T3075" s="26"/>
      <x:c r="U3075" s="24" t="str">
        <x:v>ATIVA/SEM FIM INFORMADO</x:v>
      </x:c>
      <x:c r="V3075" s="24" t="str">
        <x:v>Programa de Parcerias ZEISS — categoria Experts</x:v>
      </x:c>
      <x:c r="W3075" s="24" t="n">
        <x:v>53</x:v>
      </x:c>
      <x:c r="X3075" s="24" t="str">
        <x:v>tabela_zeiss.pdf</x:v>
      </x:c>
      <x:c r="Y3075" s="24" t="str">
        <x:v>alta</x:v>
      </x:c>
      <x:c r="Z3075" s="24"/>
      <x:c r="AA3075" s="24" t="str">
        <x:v>ZEISS|Progressiva AdaptiveSun|Surfaçada|SmartLife Individual AdaptiveSun|AdaptiveSun|1.5|1.50|DuraVision Silver UV|-6.00 a +4.00
-7.00 a +5.00|-4.00|0.75 a 3.50|75/80
70/75|||53</x:v>
      </x:c>
    </x:row>
    <x:row r="3076">
      <x:c r="A3076" s="24" t="str">
        <x:v>ZS-F671F530DDAE</x:v>
      </x:c>
      <x:c r="B3076" s="24" t="str">
        <x:v>SIM</x:v>
      </x:c>
      <x:c r="C3076" s="24" t="str">
        <x:v>DISPONÍVEL</x:v>
      </x:c>
      <x:c r="D3076" s="24" t="str">
        <x:v>ZEISS</x:v>
      </x:c>
      <x:c r="E3076" s="24" t="str">
        <x:v>Progressiva AdaptiveSun</x:v>
      </x:c>
      <x:c r="F3076" s="24" t="str">
        <x:v>Surfaçada</x:v>
      </x:c>
      <x:c r="G3076" s="24" t="str">
        <x:v>SmartLife Individual AdaptiveSun</x:v>
      </x:c>
      <x:c r="H3076" s="24" t="str">
        <x:v>AdaptiveSun</x:v>
      </x:c>
      <x:c r="I3076" s="24" t="str">
        <x:v>1.5</x:v>
      </x:c>
      <x:c r="J3076" s="24" t="str">
        <x:v>1.50</x:v>
      </x:c>
      <x:c r="K3076" s="24" t="str">
        <x:v>DuraVision Chrome UV</x:v>
      </x:c>
      <x:c r="L3076" s="40" t="n">
        <x:v>11519</x:v>
      </x:c>
      <x:c r="M3076" s="24" t="str">
        <x:v>-6.00 a +4.00
-7.00 a +5.00</x:v>
      </x:c>
      <x:c r="N3076" s="24" t="str">
        <x:v>-4.00</x:v>
      </x:c>
      <x:c r="O3076" s="24" t="str">
        <x:v>0.75 a 3.50</x:v>
      </x:c>
      <x:c r="P3076" s="24" t="str">
        <x:v>75/80
70/75</x:v>
      </x:c>
      <x:c r="Q3076" s="24"/>
      <x:c r="R3076" s="24"/>
      <x:c r="S3076" s="26" t="n">
        <x:v>46113</x:v>
      </x:c>
      <x:c r="T3076" s="26"/>
      <x:c r="U3076" s="24" t="str">
        <x:v>ATIVA/SEM FIM INFORMADO</x:v>
      </x:c>
      <x:c r="V3076" s="24" t="str">
        <x:v>Programa de Parcerias ZEISS — categoria Experts</x:v>
      </x:c>
      <x:c r="W3076" s="24" t="n">
        <x:v>53</x:v>
      </x:c>
      <x:c r="X3076" s="24" t="str">
        <x:v>tabela_zeiss.pdf</x:v>
      </x:c>
      <x:c r="Y3076" s="24" t="str">
        <x:v>alta</x:v>
      </x:c>
      <x:c r="Z3076" s="24"/>
      <x:c r="AA3076" s="24" t="str">
        <x:v>ZEISS|Progressiva AdaptiveSun|Surfaçada|SmartLife Individual AdaptiveSun|AdaptiveSun|1.5|1.50|DuraVision Chrome UV|-6.00 a +4.00
-7.00 a +5.00|-4.00|0.75 a 3.50|75/80
70/75|||53</x:v>
      </x:c>
    </x:row>
    <x:row r="3077">
      <x:c r="A3077" s="24" t="str">
        <x:v>ZS-FBF760F5D6B1</x:v>
      </x:c>
      <x:c r="B3077" s="24" t="str">
        <x:v>SIM</x:v>
      </x:c>
      <x:c r="C3077" s="24" t="str">
        <x:v>DISPONÍVEL</x:v>
      </x:c>
      <x:c r="D3077" s="24" t="str">
        <x:v>ZEISS</x:v>
      </x:c>
      <x:c r="E3077" s="24" t="str">
        <x:v>Progressiva AdaptiveSun</x:v>
      </x:c>
      <x:c r="F3077" s="24" t="str">
        <x:v>Surfaçada</x:v>
      </x:c>
      <x:c r="G3077" s="24" t="str">
        <x:v>SmartLife Individual AdaptiveSun</x:v>
      </x:c>
      <x:c r="H3077" s="24" t="str">
        <x:v>AdaptiveSun</x:v>
      </x:c>
      <x:c r="I3077" s="24" t="str">
        <x:v>1.5</x:v>
      </x:c>
      <x:c r="J3077" s="24" t="str">
        <x:v>1.50</x:v>
      </x:c>
      <x:c r="K3077" s="24" t="str">
        <x:v>Sem AR</x:v>
      </x:c>
      <x:c r="L3077" s="40" t="n">
        <x:v>11119</x:v>
      </x:c>
      <x:c r="M3077" s="24" t="str">
        <x:v>-6.00 a +4.00
-7.00 a +5.00</x:v>
      </x:c>
      <x:c r="N3077" s="24" t="str">
        <x:v>-4.00</x:v>
      </x:c>
      <x:c r="O3077" s="24" t="str">
        <x:v>0.75 a 3.50</x:v>
      </x:c>
      <x:c r="P3077" s="24" t="str">
        <x:v>75/80
70/75</x:v>
      </x:c>
      <x:c r="Q3077" s="24"/>
      <x:c r="R3077" s="24"/>
      <x:c r="S3077" s="26" t="n">
        <x:v>46113</x:v>
      </x:c>
      <x:c r="T3077" s="26"/>
      <x:c r="U3077" s="24" t="str">
        <x:v>ATIVA/SEM FIM INFORMADO</x:v>
      </x:c>
      <x:c r="V3077" s="24" t="str">
        <x:v>Programa de Parcerias ZEISS — categoria Experts</x:v>
      </x:c>
      <x:c r="W3077" s="24" t="n">
        <x:v>53</x:v>
      </x:c>
      <x:c r="X3077" s="24" t="str">
        <x:v>tabela_zeiss.pdf</x:v>
      </x:c>
      <x:c r="Y3077" s="24" t="str">
        <x:v>alta</x:v>
      </x:c>
      <x:c r="Z3077" s="24"/>
      <x:c r="AA3077" s="24" t="str">
        <x:v>ZEISS|Progressiva AdaptiveSun|Surfaçada|SmartLife Individual AdaptiveSun|AdaptiveSun|1.5|1.50|Sem AR|-6.00 a +4.00
-7.00 a +5.00|-4.00|0.75 a 3.50|75/80
70/75|||53</x:v>
      </x:c>
    </x:row>
    <x:row r="3078">
      <x:c r="A3078" s="24" t="str">
        <x:v>ZS-388D7A061692</x:v>
      </x:c>
      <x:c r="B3078" s="24" t="str">
        <x:v>SIM</x:v>
      </x:c>
      <x:c r="C3078" s="24" t="str">
        <x:v>DISPONÍVEL</x:v>
      </x:c>
      <x:c r="D3078" s="24" t="str">
        <x:v>ZEISS</x:v>
      </x:c>
      <x:c r="E3078" s="24" t="str">
        <x:v>Progressiva AdaptiveSun</x:v>
      </x:c>
      <x:c r="F3078" s="24" t="str">
        <x:v>Surfaçada</x:v>
      </x:c>
      <x:c r="G3078" s="24" t="str">
        <x:v>SmartLife Individual AdaptiveSun</x:v>
      </x:c>
      <x:c r="H3078" s="24" t="str">
        <x:v>AdaptiveSun</x:v>
      </x:c>
      <x:c r="I3078" s="24" t="str">
        <x:v>1.6</x:v>
      </x:c>
      <x:c r="J3078" s="24" t="str">
        <x:v>1.60</x:v>
      </x:c>
      <x:c r="K3078" s="24" t="str">
        <x:v>DuraVision Platinum UV</x:v>
      </x:c>
      <x:c r="L3078" s="40" t="n">
        <x:v>13519</x:v>
      </x:c>
      <x:c r="M3078" s="24" t="str">
        <x:v>-5.00 a +6.00
-10.00 a +6.00</x:v>
      </x:c>
      <x:c r="N3078" s="24" t="str">
        <x:v>-4.00
-6.00</x:v>
      </x:c>
      <x:c r="O3078" s="24" t="str">
        <x:v>0.75 a 4.00</x:v>
      </x:c>
      <x:c r="P3078" s="24" t="str">
        <x:v>75/80
70/75</x:v>
      </x:c>
      <x:c r="Q3078" s="24"/>
      <x:c r="R3078" s="24"/>
      <x:c r="S3078" s="26" t="n">
        <x:v>46113</x:v>
      </x:c>
      <x:c r="T3078" s="26"/>
      <x:c r="U3078" s="24" t="str">
        <x:v>ATIVA/SEM FIM INFORMADO</x:v>
      </x:c>
      <x:c r="V3078" s="24" t="str">
        <x:v>Programa de Parcerias ZEISS — categoria Experts</x:v>
      </x:c>
      <x:c r="W3078" s="24" t="n">
        <x:v>53</x:v>
      </x:c>
      <x:c r="X3078" s="24" t="str">
        <x:v>tabela_zeiss.pdf</x:v>
      </x:c>
      <x:c r="Y3078" s="24" t="str">
        <x:v>alta</x:v>
      </x:c>
      <x:c r="Z3078" s="24"/>
      <x:c r="AA3078" s="24" t="str">
        <x:v>ZEISS|Progressiva AdaptiveSun|Surfaçada|SmartLife Individual AdaptiveSun|AdaptiveSun|1.6|1.60|DuraVision Platinum UV|-5.00 a +6.00
-10.00 a +6.00|-4.00
-6.00|0.75 a 4.00|75/80
70/75|||53</x:v>
      </x:c>
    </x:row>
    <x:row r="3079">
      <x:c r="A3079" s="24" t="str">
        <x:v>ZS-A25CA781E740</x:v>
      </x:c>
      <x:c r="B3079" s="24" t="str">
        <x:v>SIM</x:v>
      </x:c>
      <x:c r="C3079" s="24" t="str">
        <x:v>DISPONÍVEL</x:v>
      </x:c>
      <x:c r="D3079" s="24" t="str">
        <x:v>ZEISS</x:v>
      </x:c>
      <x:c r="E3079" s="24" t="str">
        <x:v>Progressiva AdaptiveSun</x:v>
      </x:c>
      <x:c r="F3079" s="24" t="str">
        <x:v>Surfaçada</x:v>
      </x:c>
      <x:c r="G3079" s="24" t="str">
        <x:v>SmartLife Individual AdaptiveSun</x:v>
      </x:c>
      <x:c r="H3079" s="24" t="str">
        <x:v>AdaptiveSun</x:v>
      </x:c>
      <x:c r="I3079" s="24" t="str">
        <x:v>1.6</x:v>
      </x:c>
      <x:c r="J3079" s="24" t="str">
        <x:v>1.60</x:v>
      </x:c>
      <x:c r="K3079" s="24" t="str">
        <x:v>DuraVision Silver UV</x:v>
      </x:c>
      <x:c r="L3079" s="40" t="n">
        <x:v>13259</x:v>
      </x:c>
      <x:c r="M3079" s="24" t="str">
        <x:v>-5.00 a +6.00
-10.00 a +6.00</x:v>
      </x:c>
      <x:c r="N3079" s="24" t="str">
        <x:v>-4.00
-6.00</x:v>
      </x:c>
      <x:c r="O3079" s="24" t="str">
        <x:v>0.75 a 4.00</x:v>
      </x:c>
      <x:c r="P3079" s="24" t="str">
        <x:v>75/80
70/75</x:v>
      </x:c>
      <x:c r="Q3079" s="24"/>
      <x:c r="R3079" s="24"/>
      <x:c r="S3079" s="26" t="n">
        <x:v>46113</x:v>
      </x:c>
      <x:c r="T3079" s="26"/>
      <x:c r="U3079" s="24" t="str">
        <x:v>ATIVA/SEM FIM INFORMADO</x:v>
      </x:c>
      <x:c r="V3079" s="24" t="str">
        <x:v>Programa de Parcerias ZEISS — categoria Experts</x:v>
      </x:c>
      <x:c r="W3079" s="24" t="n">
        <x:v>53</x:v>
      </x:c>
      <x:c r="X3079" s="24" t="str">
        <x:v>tabela_zeiss.pdf</x:v>
      </x:c>
      <x:c r="Y3079" s="24" t="str">
        <x:v>alta</x:v>
      </x:c>
      <x:c r="Z3079" s="24"/>
      <x:c r="AA3079" s="24" t="str">
        <x:v>ZEISS|Progressiva AdaptiveSun|Surfaçada|SmartLife Individual AdaptiveSun|AdaptiveSun|1.6|1.60|DuraVision Silver UV|-5.00 a +6.00
-10.00 a +6.00|-4.00
-6.00|0.75 a 4.00|75/80
70/75|||53</x:v>
      </x:c>
    </x:row>
    <x:row r="3080">
      <x:c r="A3080" s="24" t="str">
        <x:v>ZS-15045A46CD8B</x:v>
      </x:c>
      <x:c r="B3080" s="24" t="str">
        <x:v>SIM</x:v>
      </x:c>
      <x:c r="C3080" s="24" t="str">
        <x:v>DISPONÍVEL</x:v>
      </x:c>
      <x:c r="D3080" s="24" t="str">
        <x:v>ZEISS</x:v>
      </x:c>
      <x:c r="E3080" s="24" t="str">
        <x:v>Progressiva AdaptiveSun</x:v>
      </x:c>
      <x:c r="F3080" s="24" t="str">
        <x:v>Surfaçada</x:v>
      </x:c>
      <x:c r="G3080" s="24" t="str">
        <x:v>SmartLife Individual AdaptiveSun</x:v>
      </x:c>
      <x:c r="H3080" s="24" t="str">
        <x:v>AdaptiveSun</x:v>
      </x:c>
      <x:c r="I3080" s="24" t="str">
        <x:v>1.6</x:v>
      </x:c>
      <x:c r="J3080" s="24" t="str">
        <x:v>1.60</x:v>
      </x:c>
      <x:c r="K3080" s="24" t="str">
        <x:v>DuraVision Chrome UV</x:v>
      </x:c>
      <x:c r="L3080" s="40" t="n">
        <x:v>12769</x:v>
      </x:c>
      <x:c r="M3080" s="24" t="str">
        <x:v>-5.00 a +6.00
-10.00 a +6.00</x:v>
      </x:c>
      <x:c r="N3080" s="24" t="str">
        <x:v>-4.00
-6.00</x:v>
      </x:c>
      <x:c r="O3080" s="24" t="str">
        <x:v>0.75 a 4.00</x:v>
      </x:c>
      <x:c r="P3080" s="24" t="str">
        <x:v>75/80
70/75</x:v>
      </x:c>
      <x:c r="Q3080" s="24"/>
      <x:c r="R3080" s="24"/>
      <x:c r="S3080" s="26" t="n">
        <x:v>46113</x:v>
      </x:c>
      <x:c r="T3080" s="26"/>
      <x:c r="U3080" s="24" t="str">
        <x:v>ATIVA/SEM FIM INFORMADO</x:v>
      </x:c>
      <x:c r="V3080" s="24" t="str">
        <x:v>Programa de Parcerias ZEISS — categoria Experts</x:v>
      </x:c>
      <x:c r="W3080" s="24" t="n">
        <x:v>53</x:v>
      </x:c>
      <x:c r="X3080" s="24" t="str">
        <x:v>tabela_zeiss.pdf</x:v>
      </x:c>
      <x:c r="Y3080" s="24" t="str">
        <x:v>alta</x:v>
      </x:c>
      <x:c r="Z3080" s="24"/>
      <x:c r="AA3080" s="24" t="str">
        <x:v>ZEISS|Progressiva AdaptiveSun|Surfaçada|SmartLife Individual AdaptiveSun|AdaptiveSun|1.6|1.60|DuraVision Chrome UV|-5.00 a +6.00
-10.00 a +6.00|-4.00
-6.00|0.75 a 4.00|75/80
70/75|||53</x:v>
      </x:c>
    </x:row>
    <x:row r="3081">
      <x:c r="A3081" s="24" t="str">
        <x:v>ZS-E24144D8C161</x:v>
      </x:c>
      <x:c r="B3081" s="24" t="str">
        <x:v>SIM</x:v>
      </x:c>
      <x:c r="C3081" s="24" t="str">
        <x:v>DISPONÍVEL</x:v>
      </x:c>
      <x:c r="D3081" s="24" t="str">
        <x:v>ZEISS</x:v>
      </x:c>
      <x:c r="E3081" s="24" t="str">
        <x:v>Progressiva AdaptiveSun</x:v>
      </x:c>
      <x:c r="F3081" s="24" t="str">
        <x:v>Surfaçada</x:v>
      </x:c>
      <x:c r="G3081" s="24" t="str">
        <x:v>SmartLife Individual AdaptiveSun</x:v>
      </x:c>
      <x:c r="H3081" s="24" t="str">
        <x:v>AdaptiveSun</x:v>
      </x:c>
      <x:c r="I3081" s="24" t="str">
        <x:v>1.6</x:v>
      </x:c>
      <x:c r="J3081" s="24" t="str">
        <x:v>1.60</x:v>
      </x:c>
      <x:c r="K3081" s="24" t="str">
        <x:v>Sem AR</x:v>
      </x:c>
      <x:c r="L3081" s="40" t="n">
        <x:v>12369</x:v>
      </x:c>
      <x:c r="M3081" s="24" t="str">
        <x:v>-5.00 a +6.00
-10.00 a +6.00</x:v>
      </x:c>
      <x:c r="N3081" s="24" t="str">
        <x:v>-4.00
-6.00</x:v>
      </x:c>
      <x:c r="O3081" s="24" t="str">
        <x:v>0.75 a 4.00</x:v>
      </x:c>
      <x:c r="P3081" s="24" t="str">
        <x:v>75/80
70/75</x:v>
      </x:c>
      <x:c r="Q3081" s="24"/>
      <x:c r="R3081" s="24"/>
      <x:c r="S3081" s="26" t="n">
        <x:v>46113</x:v>
      </x:c>
      <x:c r="T3081" s="26"/>
      <x:c r="U3081" s="24" t="str">
        <x:v>ATIVA/SEM FIM INFORMADO</x:v>
      </x:c>
      <x:c r="V3081" s="24" t="str">
        <x:v>Programa de Parcerias ZEISS — categoria Experts</x:v>
      </x:c>
      <x:c r="W3081" s="24" t="n">
        <x:v>53</x:v>
      </x:c>
      <x:c r="X3081" s="24" t="str">
        <x:v>tabela_zeiss.pdf</x:v>
      </x:c>
      <x:c r="Y3081" s="24" t="str">
        <x:v>alta</x:v>
      </x:c>
      <x:c r="Z3081" s="24"/>
      <x:c r="AA3081" s="24" t="str">
        <x:v>ZEISS|Progressiva AdaptiveSun|Surfaçada|SmartLife Individual AdaptiveSun|AdaptiveSun|1.6|1.60|Sem AR|-5.00 a +6.00
-10.00 a +6.00|-4.00
-6.00|0.75 a 4.00|75/80
70/75|||53</x:v>
      </x:c>
    </x:row>
    <x:row r="3082">
      <x:c r="A3082" s="24" t="str">
        <x:v>ZS-FE77D59FFFD3</x:v>
      </x:c>
      <x:c r="B3082" s="24" t="str">
        <x:v>SIM</x:v>
      </x:c>
      <x:c r="C3082" s="24" t="str">
        <x:v>DISPONÍVEL</x:v>
      </x:c>
      <x:c r="D3082" s="24" t="str">
        <x:v>ZEISS</x:v>
      </x:c>
      <x:c r="E3082" s="24" t="str">
        <x:v>Progressiva AdaptiveSun</x:v>
      </x:c>
      <x:c r="F3082" s="24" t="str">
        <x:v>Surfaçada</x:v>
      </x:c>
      <x:c r="G3082" s="24" t="str">
        <x:v>SmartLife Individual AdaptiveSun</x:v>
      </x:c>
      <x:c r="H3082" s="24" t="str">
        <x:v>AdaptiveSun</x:v>
      </x:c>
      <x:c r="I3082" s="24" t="str">
        <x:v>1.67</x:v>
      </x:c>
      <x:c r="J3082" s="24" t="str">
        <x:v>1.67</x:v>
      </x:c>
      <x:c r="K3082" s="24" t="str">
        <x:v>DuraVision Platinum UV</x:v>
      </x:c>
      <x:c r="L3082" s="40" t="n">
        <x:v>15159</x:v>
      </x:c>
      <x:c r="M3082" s="24" t="str">
        <x:v>-10.00 a +8.00
-12.00 a +8.00</x:v>
      </x:c>
      <x:c r="N3082" s="24" t="str">
        <x:v>-4.00
-6.00</x:v>
      </x:c>
      <x:c r="O3082" s="24" t="str">
        <x:v>0.75 a 3.50</x:v>
      </x:c>
      <x:c r="P3082" s="24" t="str">
        <x:v>70/75
65/70</x:v>
      </x:c>
      <x:c r="Q3082" s="24"/>
      <x:c r="R3082" s="24"/>
      <x:c r="S3082" s="26" t="n">
        <x:v>46113</x:v>
      </x:c>
      <x:c r="T3082" s="26"/>
      <x:c r="U3082" s="24" t="str">
        <x:v>ATIVA/SEM FIM INFORMADO</x:v>
      </x:c>
      <x:c r="V3082" s="24" t="str">
        <x:v>Programa de Parcerias ZEISS — categoria Experts</x:v>
      </x:c>
      <x:c r="W3082" s="24" t="n">
        <x:v>53</x:v>
      </x:c>
      <x:c r="X3082" s="24" t="str">
        <x:v>tabela_zeiss.pdf</x:v>
      </x:c>
      <x:c r="Y3082" s="24" t="str">
        <x:v>alta</x:v>
      </x:c>
      <x:c r="Z3082" s="24"/>
      <x:c r="AA3082" s="24" t="str">
        <x:v>ZEISS|Progressiva AdaptiveSun|Surfaçada|SmartLife Individual AdaptiveSun|AdaptiveSun|1.67|1.67|DuraVision Platinum UV|-10.00 a +8.00
-12.00 a +8.00|-4.00
-6.00|0.75 a 3.50|70/75
65/70|||53</x:v>
      </x:c>
    </x:row>
    <x:row r="3083">
      <x:c r="A3083" s="24" t="str">
        <x:v>ZS-B6E1E98B6100</x:v>
      </x:c>
      <x:c r="B3083" s="24" t="str">
        <x:v>SIM</x:v>
      </x:c>
      <x:c r="C3083" s="24" t="str">
        <x:v>DISPONÍVEL</x:v>
      </x:c>
      <x:c r="D3083" s="24" t="str">
        <x:v>ZEISS</x:v>
      </x:c>
      <x:c r="E3083" s="24" t="str">
        <x:v>Progressiva AdaptiveSun</x:v>
      </x:c>
      <x:c r="F3083" s="24" t="str">
        <x:v>Surfaçada</x:v>
      </x:c>
      <x:c r="G3083" s="24" t="str">
        <x:v>SmartLife Individual AdaptiveSun</x:v>
      </x:c>
      <x:c r="H3083" s="24" t="str">
        <x:v>AdaptiveSun</x:v>
      </x:c>
      <x:c r="I3083" s="24" t="str">
        <x:v>1.67</x:v>
      </x:c>
      <x:c r="J3083" s="24" t="str">
        <x:v>1.67</x:v>
      </x:c>
      <x:c r="K3083" s="24" t="str">
        <x:v>DuraVision Silver UV</x:v>
      </x:c>
      <x:c r="L3083" s="40" t="n">
        <x:v>14899</x:v>
      </x:c>
      <x:c r="M3083" s="24" t="str">
        <x:v>-10.00 a +8.00
-12.00 a +8.00</x:v>
      </x:c>
      <x:c r="N3083" s="24" t="str">
        <x:v>-4.00
-6.00</x:v>
      </x:c>
      <x:c r="O3083" s="24" t="str">
        <x:v>0.75 a 3.50</x:v>
      </x:c>
      <x:c r="P3083" s="24" t="str">
        <x:v>70/75
65/70</x:v>
      </x:c>
      <x:c r="Q3083" s="24"/>
      <x:c r="R3083" s="24"/>
      <x:c r="S3083" s="26" t="n">
        <x:v>46113</x:v>
      </x:c>
      <x:c r="T3083" s="26"/>
      <x:c r="U3083" s="24" t="str">
        <x:v>ATIVA/SEM FIM INFORMADO</x:v>
      </x:c>
      <x:c r="V3083" s="24" t="str">
        <x:v>Programa de Parcerias ZEISS — categoria Experts</x:v>
      </x:c>
      <x:c r="W3083" s="24" t="n">
        <x:v>53</x:v>
      </x:c>
      <x:c r="X3083" s="24" t="str">
        <x:v>tabela_zeiss.pdf</x:v>
      </x:c>
      <x:c r="Y3083" s="24" t="str">
        <x:v>alta</x:v>
      </x:c>
      <x:c r="Z3083" s="24"/>
      <x:c r="AA3083" s="24" t="str">
        <x:v>ZEISS|Progressiva AdaptiveSun|Surfaçada|SmartLife Individual AdaptiveSun|AdaptiveSun|1.67|1.67|DuraVision Silver UV|-10.00 a +8.00
-12.00 a +8.00|-4.00
-6.00|0.75 a 3.50|70/75
65/70|||53</x:v>
      </x:c>
    </x:row>
    <x:row r="3084">
      <x:c r="A3084" s="24" t="str">
        <x:v>ZS-5899D21FD48E</x:v>
      </x:c>
      <x:c r="B3084" s="24" t="str">
        <x:v>SIM</x:v>
      </x:c>
      <x:c r="C3084" s="24" t="str">
        <x:v>DISPONÍVEL</x:v>
      </x:c>
      <x:c r="D3084" s="24" t="str">
        <x:v>ZEISS</x:v>
      </x:c>
      <x:c r="E3084" s="24" t="str">
        <x:v>Progressiva AdaptiveSun</x:v>
      </x:c>
      <x:c r="F3084" s="24" t="str">
        <x:v>Surfaçada</x:v>
      </x:c>
      <x:c r="G3084" s="24" t="str">
        <x:v>SmartLife Individual AdaptiveSun</x:v>
      </x:c>
      <x:c r="H3084" s="24" t="str">
        <x:v>AdaptiveSun</x:v>
      </x:c>
      <x:c r="I3084" s="24" t="str">
        <x:v>1.67</x:v>
      </x:c>
      <x:c r="J3084" s="24" t="str">
        <x:v>1.67</x:v>
      </x:c>
      <x:c r="K3084" s="24" t="str">
        <x:v>DuraVision Chrome UV</x:v>
      </x:c>
      <x:c r="L3084" s="40" t="n">
        <x:v>14409</x:v>
      </x:c>
      <x:c r="M3084" s="24" t="str">
        <x:v>-10.00 a +8.00
-12.00 a +8.00</x:v>
      </x:c>
      <x:c r="N3084" s="24" t="str">
        <x:v>-4.00
-6.00</x:v>
      </x:c>
      <x:c r="O3084" s="24" t="str">
        <x:v>0.75 a 3.50</x:v>
      </x:c>
      <x:c r="P3084" s="24" t="str">
        <x:v>70/75
65/70</x:v>
      </x:c>
      <x:c r="Q3084" s="24"/>
      <x:c r="R3084" s="24"/>
      <x:c r="S3084" s="26" t="n">
        <x:v>46113</x:v>
      </x:c>
      <x:c r="T3084" s="26"/>
      <x:c r="U3084" s="24" t="str">
        <x:v>ATIVA/SEM FIM INFORMADO</x:v>
      </x:c>
      <x:c r="V3084" s="24" t="str">
        <x:v>Programa de Parcerias ZEISS — categoria Experts</x:v>
      </x:c>
      <x:c r="W3084" s="24" t="n">
        <x:v>53</x:v>
      </x:c>
      <x:c r="X3084" s="24" t="str">
        <x:v>tabela_zeiss.pdf</x:v>
      </x:c>
      <x:c r="Y3084" s="24" t="str">
        <x:v>alta</x:v>
      </x:c>
      <x:c r="Z3084" s="24"/>
      <x:c r="AA3084" s="24" t="str">
        <x:v>ZEISS|Progressiva AdaptiveSun|Surfaçada|SmartLife Individual AdaptiveSun|AdaptiveSun|1.67|1.67|DuraVision Chrome UV|-10.00 a +8.00
-12.00 a +8.00|-4.00
-6.00|0.75 a 3.50|70/75
65/70|||53</x:v>
      </x:c>
    </x:row>
    <x:row r="3085">
      <x:c r="A3085" s="24" t="str">
        <x:v>ZS-299360A12BC6</x:v>
      </x:c>
      <x:c r="B3085" s="24" t="str">
        <x:v>SIM</x:v>
      </x:c>
      <x:c r="C3085" s="24" t="str">
        <x:v>DISPONÍVEL</x:v>
      </x:c>
      <x:c r="D3085" s="24" t="str">
        <x:v>ZEISS</x:v>
      </x:c>
      <x:c r="E3085" s="24" t="str">
        <x:v>Progressiva AdaptiveSun</x:v>
      </x:c>
      <x:c r="F3085" s="24" t="str">
        <x:v>Surfaçada</x:v>
      </x:c>
      <x:c r="G3085" s="24" t="str">
        <x:v>SmartLife Individual AdaptiveSun</x:v>
      </x:c>
      <x:c r="H3085" s="24" t="str">
        <x:v>AdaptiveSun</x:v>
      </x:c>
      <x:c r="I3085" s="24" t="str">
        <x:v>1.67</x:v>
      </x:c>
      <x:c r="J3085" s="24" t="str">
        <x:v>1.67</x:v>
      </x:c>
      <x:c r="K3085" s="24" t="str">
        <x:v>Sem AR</x:v>
      </x:c>
      <x:c r="L3085" s="40" t="n">
        <x:v>14009</x:v>
      </x:c>
      <x:c r="M3085" s="24" t="str">
        <x:v>-10.00 a +8.00
-12.00 a +8.00</x:v>
      </x:c>
      <x:c r="N3085" s="24" t="str">
        <x:v>-4.00
-6.00</x:v>
      </x:c>
      <x:c r="O3085" s="24" t="str">
        <x:v>0.75 a 3.50</x:v>
      </x:c>
      <x:c r="P3085" s="24" t="str">
        <x:v>70/75
65/70</x:v>
      </x:c>
      <x:c r="Q3085" s="24"/>
      <x:c r="R3085" s="24"/>
      <x:c r="S3085" s="26" t="n">
        <x:v>46113</x:v>
      </x:c>
      <x:c r="T3085" s="26"/>
      <x:c r="U3085" s="24" t="str">
        <x:v>ATIVA/SEM FIM INFORMADO</x:v>
      </x:c>
      <x:c r="V3085" s="24" t="str">
        <x:v>Programa de Parcerias ZEISS — categoria Experts</x:v>
      </x:c>
      <x:c r="W3085" s="24" t="n">
        <x:v>53</x:v>
      </x:c>
      <x:c r="X3085" s="24" t="str">
        <x:v>tabela_zeiss.pdf</x:v>
      </x:c>
      <x:c r="Y3085" s="24" t="str">
        <x:v>alta</x:v>
      </x:c>
      <x:c r="Z3085" s="24"/>
      <x:c r="AA3085" s="24" t="str">
        <x:v>ZEISS|Progressiva AdaptiveSun|Surfaçada|SmartLife Individual AdaptiveSun|AdaptiveSun|1.67|1.67|Sem AR|-10.00 a +8.00
-12.00 a +8.00|-4.00
-6.00|0.75 a 3.50|70/75
65/70|||53</x:v>
      </x:c>
    </x:row>
    <x:row r="3086">
      <x:c r="A3086" s="24" t="str">
        <x:v>ZS-B5E373FFFE8E</x:v>
      </x:c>
      <x:c r="B3086" s="24" t="str">
        <x:v>SIM</x:v>
      </x:c>
      <x:c r="C3086" s="24" t="str">
        <x:v>DISPONÍVEL</x:v>
      </x:c>
      <x:c r="D3086" s="24" t="str">
        <x:v>ZEISS</x:v>
      </x:c>
      <x:c r="E3086" s="24" t="str">
        <x:v>Progressiva AdaptiveSun</x:v>
      </x:c>
      <x:c r="F3086" s="24" t="str">
        <x:v>Surfaçada</x:v>
      </x:c>
      <x:c r="G3086" s="24" t="str">
        <x:v>SmartLife Superb AdaptiveSun</x:v>
      </x:c>
      <x:c r="H3086" s="24" t="str">
        <x:v>AdaptiveSun</x:v>
      </x:c>
      <x:c r="I3086" s="24" t="str">
        <x:v>1.5</x:v>
      </x:c>
      <x:c r="J3086" s="24" t="str">
        <x:v>1.50</x:v>
      </x:c>
      <x:c r="K3086" s="24" t="str">
        <x:v>DuraVision Platinum UV</x:v>
      </x:c>
      <x:c r="L3086" s="40" t="n">
        <x:v>8560</x:v>
      </x:c>
      <x:c r="M3086" s="24" t="str">
        <x:v>-6.00 a +4.00
-7.00 a +5.00</x:v>
      </x:c>
      <x:c r="N3086" s="24" t="str">
        <x:v>-4.00</x:v>
      </x:c>
      <x:c r="O3086" s="24" t="str">
        <x:v>0.75 a 3.50</x:v>
      </x:c>
      <x:c r="P3086" s="24" t="str">
        <x:v>75/80
70/75</x:v>
      </x:c>
      <x:c r="Q3086" s="24"/>
      <x:c r="R3086" s="24"/>
      <x:c r="S3086" s="26" t="n">
        <x:v>46113</x:v>
      </x:c>
      <x:c r="T3086" s="26"/>
      <x:c r="U3086" s="24" t="str">
        <x:v>ATIVA/SEM FIM INFORMADO</x:v>
      </x:c>
      <x:c r="V3086" s="24" t="str">
        <x:v>Programa de Parcerias ZEISS — categoria Experts</x:v>
      </x:c>
      <x:c r="W3086" s="24" t="n">
        <x:v>53</x:v>
      </x:c>
      <x:c r="X3086" s="24" t="str">
        <x:v>tabela_zeiss.pdf</x:v>
      </x:c>
      <x:c r="Y3086" s="24" t="str">
        <x:v>alta</x:v>
      </x:c>
      <x:c r="Z3086" s="24"/>
      <x:c r="AA3086" s="24" t="str">
        <x:v>ZEISS|Progressiva AdaptiveSun|Surfaçada|SmartLife Superb AdaptiveSun|AdaptiveSun|1.5|1.50|DuraVision Platinum UV|-6.00 a +4.00
-7.00 a +5.00|-4.00|0.75 a 3.50|75/80
70/75|||53</x:v>
      </x:c>
    </x:row>
    <x:row r="3087">
      <x:c r="A3087" s="24" t="str">
        <x:v>ZS-587167E7F11F</x:v>
      </x:c>
      <x:c r="B3087" s="24" t="str">
        <x:v>SIM</x:v>
      </x:c>
      <x:c r="C3087" s="24" t="str">
        <x:v>DISPONÍVEL</x:v>
      </x:c>
      <x:c r="D3087" s="24" t="str">
        <x:v>ZEISS</x:v>
      </x:c>
      <x:c r="E3087" s="24" t="str">
        <x:v>Progressiva AdaptiveSun</x:v>
      </x:c>
      <x:c r="F3087" s="24" t="str">
        <x:v>Surfaçada</x:v>
      </x:c>
      <x:c r="G3087" s="24" t="str">
        <x:v>SmartLife Superb AdaptiveSun</x:v>
      </x:c>
      <x:c r="H3087" s="24" t="str">
        <x:v>AdaptiveSun</x:v>
      </x:c>
      <x:c r="I3087" s="24" t="str">
        <x:v>1.5</x:v>
      </x:c>
      <x:c r="J3087" s="24" t="str">
        <x:v>1.50</x:v>
      </x:c>
      <x:c r="K3087" s="24" t="str">
        <x:v>DuraVision Silver UV</x:v>
      </x:c>
      <x:c r="L3087" s="40" t="n">
        <x:v>8300</x:v>
      </x:c>
      <x:c r="M3087" s="24" t="str">
        <x:v>-6.00 a +4.00
-7.00 a +5.00</x:v>
      </x:c>
      <x:c r="N3087" s="24" t="str">
        <x:v>-4.00</x:v>
      </x:c>
      <x:c r="O3087" s="24" t="str">
        <x:v>0.75 a 3.50</x:v>
      </x:c>
      <x:c r="P3087" s="24" t="str">
        <x:v>75/80
70/75</x:v>
      </x:c>
      <x:c r="Q3087" s="24"/>
      <x:c r="R3087" s="24"/>
      <x:c r="S3087" s="26" t="n">
        <x:v>46113</x:v>
      </x:c>
      <x:c r="T3087" s="26"/>
      <x:c r="U3087" s="24" t="str">
        <x:v>ATIVA/SEM FIM INFORMADO</x:v>
      </x:c>
      <x:c r="V3087" s="24" t="str">
        <x:v>Programa de Parcerias ZEISS — categoria Experts</x:v>
      </x:c>
      <x:c r="W3087" s="24" t="n">
        <x:v>53</x:v>
      </x:c>
      <x:c r="X3087" s="24" t="str">
        <x:v>tabela_zeiss.pdf</x:v>
      </x:c>
      <x:c r="Y3087" s="24" t="str">
        <x:v>alta</x:v>
      </x:c>
      <x:c r="Z3087" s="24"/>
      <x:c r="AA3087" s="24" t="str">
        <x:v>ZEISS|Progressiva AdaptiveSun|Surfaçada|SmartLife Superb AdaptiveSun|AdaptiveSun|1.5|1.50|DuraVision Silver UV|-6.00 a +4.00
-7.00 a +5.00|-4.00|0.75 a 3.50|75/80
70/75|||53</x:v>
      </x:c>
    </x:row>
    <x:row r="3088">
      <x:c r="A3088" s="24" t="str">
        <x:v>ZS-63AADE311F95</x:v>
      </x:c>
      <x:c r="B3088" s="24" t="str">
        <x:v>SIM</x:v>
      </x:c>
      <x:c r="C3088" s="24" t="str">
        <x:v>DISPONÍVEL</x:v>
      </x:c>
      <x:c r="D3088" s="24" t="str">
        <x:v>ZEISS</x:v>
      </x:c>
      <x:c r="E3088" s="24" t="str">
        <x:v>Progressiva AdaptiveSun</x:v>
      </x:c>
      <x:c r="F3088" s="24" t="str">
        <x:v>Surfaçada</x:v>
      </x:c>
      <x:c r="G3088" s="24" t="str">
        <x:v>SmartLife Superb AdaptiveSun</x:v>
      </x:c>
      <x:c r="H3088" s="24" t="str">
        <x:v>AdaptiveSun</x:v>
      </x:c>
      <x:c r="I3088" s="24" t="str">
        <x:v>1.5</x:v>
      </x:c>
      <x:c r="J3088" s="24" t="str">
        <x:v>1.50</x:v>
      </x:c>
      <x:c r="K3088" s="24" t="str">
        <x:v>DuraVision Chrome UV</x:v>
      </x:c>
      <x:c r="L3088" s="40" t="n">
        <x:v>7810</x:v>
      </x:c>
      <x:c r="M3088" s="24" t="str">
        <x:v>-6.00 a +4.00
-7.00 a +5.00</x:v>
      </x:c>
      <x:c r="N3088" s="24" t="str">
        <x:v>-4.00</x:v>
      </x:c>
      <x:c r="O3088" s="24" t="str">
        <x:v>0.75 a 3.50</x:v>
      </x:c>
      <x:c r="P3088" s="24" t="str">
        <x:v>75/80
70/75</x:v>
      </x:c>
      <x:c r="Q3088" s="24"/>
      <x:c r="R3088" s="24"/>
      <x:c r="S3088" s="26" t="n">
        <x:v>46113</x:v>
      </x:c>
      <x:c r="T3088" s="26"/>
      <x:c r="U3088" s="24" t="str">
        <x:v>ATIVA/SEM FIM INFORMADO</x:v>
      </x:c>
      <x:c r="V3088" s="24" t="str">
        <x:v>Programa de Parcerias ZEISS — categoria Experts</x:v>
      </x:c>
      <x:c r="W3088" s="24" t="n">
        <x:v>53</x:v>
      </x:c>
      <x:c r="X3088" s="24" t="str">
        <x:v>tabela_zeiss.pdf</x:v>
      </x:c>
      <x:c r="Y3088" s="24" t="str">
        <x:v>alta</x:v>
      </x:c>
      <x:c r="Z3088" s="24"/>
      <x:c r="AA3088" s="24" t="str">
        <x:v>ZEISS|Progressiva AdaptiveSun|Surfaçada|SmartLife Superb AdaptiveSun|AdaptiveSun|1.5|1.50|DuraVision Chrome UV|-6.00 a +4.00
-7.00 a +5.00|-4.00|0.75 a 3.50|75/80
70/75|||53</x:v>
      </x:c>
    </x:row>
    <x:row r="3089">
      <x:c r="A3089" s="24" t="str">
        <x:v>ZS-B9157E332BE1</x:v>
      </x:c>
      <x:c r="B3089" s="24" t="str">
        <x:v>SIM</x:v>
      </x:c>
      <x:c r="C3089" s="24" t="str">
        <x:v>DISPONÍVEL</x:v>
      </x:c>
      <x:c r="D3089" s="24" t="str">
        <x:v>ZEISS</x:v>
      </x:c>
      <x:c r="E3089" s="24" t="str">
        <x:v>Progressiva AdaptiveSun</x:v>
      </x:c>
      <x:c r="F3089" s="24" t="str">
        <x:v>Surfaçada</x:v>
      </x:c>
      <x:c r="G3089" s="24" t="str">
        <x:v>SmartLife Superb AdaptiveSun</x:v>
      </x:c>
      <x:c r="H3089" s="24" t="str">
        <x:v>AdaptiveSun</x:v>
      </x:c>
      <x:c r="I3089" s="24" t="str">
        <x:v>1.5</x:v>
      </x:c>
      <x:c r="J3089" s="24" t="str">
        <x:v>1.50</x:v>
      </x:c>
      <x:c r="K3089" s="24" t="str">
        <x:v>Sem AR</x:v>
      </x:c>
      <x:c r="L3089" s="40" t="n">
        <x:v>7410</x:v>
      </x:c>
      <x:c r="M3089" s="24" t="str">
        <x:v>-6.00 a +4.00
-7.00 a +5.00</x:v>
      </x:c>
      <x:c r="N3089" s="24" t="str">
        <x:v>-4.00</x:v>
      </x:c>
      <x:c r="O3089" s="24" t="str">
        <x:v>0.75 a 3.50</x:v>
      </x:c>
      <x:c r="P3089" s="24" t="str">
        <x:v>75/80
70/75</x:v>
      </x:c>
      <x:c r="Q3089" s="24"/>
      <x:c r="R3089" s="24"/>
      <x:c r="S3089" s="26" t="n">
        <x:v>46113</x:v>
      </x:c>
      <x:c r="T3089" s="26"/>
      <x:c r="U3089" s="24" t="str">
        <x:v>ATIVA/SEM FIM INFORMADO</x:v>
      </x:c>
      <x:c r="V3089" s="24" t="str">
        <x:v>Programa de Parcerias ZEISS — categoria Experts</x:v>
      </x:c>
      <x:c r="W3089" s="24" t="n">
        <x:v>53</x:v>
      </x:c>
      <x:c r="X3089" s="24" t="str">
        <x:v>tabela_zeiss.pdf</x:v>
      </x:c>
      <x:c r="Y3089" s="24" t="str">
        <x:v>alta</x:v>
      </x:c>
      <x:c r="Z3089" s="24"/>
      <x:c r="AA3089" s="24" t="str">
        <x:v>ZEISS|Progressiva AdaptiveSun|Surfaçada|SmartLife Superb AdaptiveSun|AdaptiveSun|1.5|1.50|Sem AR|-6.00 a +4.00
-7.00 a +5.00|-4.00|0.75 a 3.50|75/80
70/75|||53</x:v>
      </x:c>
    </x:row>
    <x:row r="3090">
      <x:c r="A3090" s="24" t="str">
        <x:v>ZS-E91325E38AF4</x:v>
      </x:c>
      <x:c r="B3090" s="24" t="str">
        <x:v>SIM</x:v>
      </x:c>
      <x:c r="C3090" s="24" t="str">
        <x:v>DISPONÍVEL</x:v>
      </x:c>
      <x:c r="D3090" s="24" t="str">
        <x:v>ZEISS</x:v>
      </x:c>
      <x:c r="E3090" s="24" t="str">
        <x:v>Progressiva AdaptiveSun</x:v>
      </x:c>
      <x:c r="F3090" s="24" t="str">
        <x:v>Surfaçada</x:v>
      </x:c>
      <x:c r="G3090" s="24" t="str">
        <x:v>SmartLife Superb AdaptiveSun</x:v>
      </x:c>
      <x:c r="H3090" s="24" t="str">
        <x:v>AdaptiveSun</x:v>
      </x:c>
      <x:c r="I3090" s="24" t="str">
        <x:v>1.6</x:v>
      </x:c>
      <x:c r="J3090" s="24" t="str">
        <x:v>1.60</x:v>
      </x:c>
      <x:c r="K3090" s="24" t="str">
        <x:v>DuraVision Platinum UV</x:v>
      </x:c>
      <x:c r="L3090" s="40" t="n">
        <x:v>9810</x:v>
      </x:c>
      <x:c r="M3090" s="24" t="str">
        <x:v>-5.00 a +6.00
-10.00 a +6.00</x:v>
      </x:c>
      <x:c r="N3090" s="24" t="str">
        <x:v>-4.00
-6.00</x:v>
      </x:c>
      <x:c r="O3090" s="24" t="str">
        <x:v>0.75 a 4.00</x:v>
      </x:c>
      <x:c r="P3090" s="24" t="str">
        <x:v>75/80
70/75</x:v>
      </x:c>
      <x:c r="Q3090" s="24"/>
      <x:c r="R3090" s="24"/>
      <x:c r="S3090" s="26" t="n">
        <x:v>46113</x:v>
      </x:c>
      <x:c r="T3090" s="26"/>
      <x:c r="U3090" s="24" t="str">
        <x:v>ATIVA/SEM FIM INFORMADO</x:v>
      </x:c>
      <x:c r="V3090" s="24" t="str">
        <x:v>Programa de Parcerias ZEISS — categoria Experts</x:v>
      </x:c>
      <x:c r="W3090" s="24" t="n">
        <x:v>53</x:v>
      </x:c>
      <x:c r="X3090" s="24" t="str">
        <x:v>tabela_zeiss.pdf</x:v>
      </x:c>
      <x:c r="Y3090" s="24" t="str">
        <x:v>alta</x:v>
      </x:c>
      <x:c r="Z3090" s="24"/>
      <x:c r="AA3090" s="24" t="str">
        <x:v>ZEISS|Progressiva AdaptiveSun|Surfaçada|SmartLife Superb AdaptiveSun|AdaptiveSun|1.6|1.60|DuraVision Platinum UV|-5.00 a +6.00
-10.00 a +6.00|-4.00
-6.00|0.75 a 4.00|75/80
70/75|||53</x:v>
      </x:c>
    </x:row>
    <x:row r="3091">
      <x:c r="A3091" s="24" t="str">
        <x:v>ZS-8737DD0F3943</x:v>
      </x:c>
      <x:c r="B3091" s="24" t="str">
        <x:v>SIM</x:v>
      </x:c>
      <x:c r="C3091" s="24" t="str">
        <x:v>DISPONÍVEL</x:v>
      </x:c>
      <x:c r="D3091" s="24" t="str">
        <x:v>ZEISS</x:v>
      </x:c>
      <x:c r="E3091" s="24" t="str">
        <x:v>Progressiva AdaptiveSun</x:v>
      </x:c>
      <x:c r="F3091" s="24" t="str">
        <x:v>Surfaçada</x:v>
      </x:c>
      <x:c r="G3091" s="24" t="str">
        <x:v>SmartLife Superb AdaptiveSun</x:v>
      </x:c>
      <x:c r="H3091" s="24" t="str">
        <x:v>AdaptiveSun</x:v>
      </x:c>
      <x:c r="I3091" s="24" t="str">
        <x:v>1.6</x:v>
      </x:c>
      <x:c r="J3091" s="24" t="str">
        <x:v>1.60</x:v>
      </x:c>
      <x:c r="K3091" s="24" t="str">
        <x:v>DuraVision Silver UV</x:v>
      </x:c>
      <x:c r="L3091" s="40" t="n">
        <x:v>9550</x:v>
      </x:c>
      <x:c r="M3091" s="24" t="str">
        <x:v>-5.00 a +6.00
-10.00 a +6.00</x:v>
      </x:c>
      <x:c r="N3091" s="24" t="str">
        <x:v>-4.00
-6.00</x:v>
      </x:c>
      <x:c r="O3091" s="24" t="str">
        <x:v>0.75 a 4.00</x:v>
      </x:c>
      <x:c r="P3091" s="24" t="str">
        <x:v>75/80
70/75</x:v>
      </x:c>
      <x:c r="Q3091" s="24"/>
      <x:c r="R3091" s="24"/>
      <x:c r="S3091" s="26" t="n">
        <x:v>46113</x:v>
      </x:c>
      <x:c r="T3091" s="26"/>
      <x:c r="U3091" s="24" t="str">
        <x:v>ATIVA/SEM FIM INFORMADO</x:v>
      </x:c>
      <x:c r="V3091" s="24" t="str">
        <x:v>Programa de Parcerias ZEISS — categoria Experts</x:v>
      </x:c>
      <x:c r="W3091" s="24" t="n">
        <x:v>53</x:v>
      </x:c>
      <x:c r="X3091" s="24" t="str">
        <x:v>tabela_zeiss.pdf</x:v>
      </x:c>
      <x:c r="Y3091" s="24" t="str">
        <x:v>alta</x:v>
      </x:c>
      <x:c r="Z3091" s="24"/>
      <x:c r="AA3091" s="24" t="str">
        <x:v>ZEISS|Progressiva AdaptiveSun|Surfaçada|SmartLife Superb AdaptiveSun|AdaptiveSun|1.6|1.60|DuraVision Silver UV|-5.00 a +6.00
-10.00 a +6.00|-4.00
-6.00|0.75 a 4.00|75/80
70/75|||53</x:v>
      </x:c>
    </x:row>
    <x:row r="3092">
      <x:c r="A3092" s="24" t="str">
        <x:v>ZS-DA2F71127424</x:v>
      </x:c>
      <x:c r="B3092" s="24" t="str">
        <x:v>SIM</x:v>
      </x:c>
      <x:c r="C3092" s="24" t="str">
        <x:v>DISPONÍVEL</x:v>
      </x:c>
      <x:c r="D3092" s="24" t="str">
        <x:v>ZEISS</x:v>
      </x:c>
      <x:c r="E3092" s="24" t="str">
        <x:v>Progressiva AdaptiveSun</x:v>
      </x:c>
      <x:c r="F3092" s="24" t="str">
        <x:v>Surfaçada</x:v>
      </x:c>
      <x:c r="G3092" s="24" t="str">
        <x:v>SmartLife Superb AdaptiveSun</x:v>
      </x:c>
      <x:c r="H3092" s="24" t="str">
        <x:v>AdaptiveSun</x:v>
      </x:c>
      <x:c r="I3092" s="24" t="str">
        <x:v>1.6</x:v>
      </x:c>
      <x:c r="J3092" s="24" t="str">
        <x:v>1.60</x:v>
      </x:c>
      <x:c r="K3092" s="24" t="str">
        <x:v>DuraVision Chrome UV</x:v>
      </x:c>
      <x:c r="L3092" s="40" t="n">
        <x:v>9060</x:v>
      </x:c>
      <x:c r="M3092" s="24" t="str">
        <x:v>-5.00 a +6.00
-10.00 a +6.00</x:v>
      </x:c>
      <x:c r="N3092" s="24" t="str">
        <x:v>-4.00
-6.00</x:v>
      </x:c>
      <x:c r="O3092" s="24" t="str">
        <x:v>0.75 a 4.00</x:v>
      </x:c>
      <x:c r="P3092" s="24" t="str">
        <x:v>75/80
70/75</x:v>
      </x:c>
      <x:c r="Q3092" s="24"/>
      <x:c r="R3092" s="24"/>
      <x:c r="S3092" s="26" t="n">
        <x:v>46113</x:v>
      </x:c>
      <x:c r="T3092" s="26"/>
      <x:c r="U3092" s="24" t="str">
        <x:v>ATIVA/SEM FIM INFORMADO</x:v>
      </x:c>
      <x:c r="V3092" s="24" t="str">
        <x:v>Programa de Parcerias ZEISS — categoria Experts</x:v>
      </x:c>
      <x:c r="W3092" s="24" t="n">
        <x:v>53</x:v>
      </x:c>
      <x:c r="X3092" s="24" t="str">
        <x:v>tabela_zeiss.pdf</x:v>
      </x:c>
      <x:c r="Y3092" s="24" t="str">
        <x:v>alta</x:v>
      </x:c>
      <x:c r="Z3092" s="24"/>
      <x:c r="AA3092" s="24" t="str">
        <x:v>ZEISS|Progressiva AdaptiveSun|Surfaçada|SmartLife Superb AdaptiveSun|AdaptiveSun|1.6|1.60|DuraVision Chrome UV|-5.00 a +6.00
-10.00 a +6.00|-4.00
-6.00|0.75 a 4.00|75/80
70/75|||53</x:v>
      </x:c>
    </x:row>
    <x:row r="3093">
      <x:c r="A3093" s="24" t="str">
        <x:v>ZS-5F28BA31A4FF</x:v>
      </x:c>
      <x:c r="B3093" s="24" t="str">
        <x:v>SIM</x:v>
      </x:c>
      <x:c r="C3093" s="24" t="str">
        <x:v>DISPONÍVEL</x:v>
      </x:c>
      <x:c r="D3093" s="24" t="str">
        <x:v>ZEISS</x:v>
      </x:c>
      <x:c r="E3093" s="24" t="str">
        <x:v>Progressiva AdaptiveSun</x:v>
      </x:c>
      <x:c r="F3093" s="24" t="str">
        <x:v>Surfaçada</x:v>
      </x:c>
      <x:c r="G3093" s="24" t="str">
        <x:v>SmartLife Superb AdaptiveSun</x:v>
      </x:c>
      <x:c r="H3093" s="24" t="str">
        <x:v>AdaptiveSun</x:v>
      </x:c>
      <x:c r="I3093" s="24" t="str">
        <x:v>1.6</x:v>
      </x:c>
      <x:c r="J3093" s="24" t="str">
        <x:v>1.60</x:v>
      </x:c>
      <x:c r="K3093" s="24" t="str">
        <x:v>Sem AR</x:v>
      </x:c>
      <x:c r="L3093" s="40" t="n">
        <x:v>8660</x:v>
      </x:c>
      <x:c r="M3093" s="24" t="str">
        <x:v>-5.00 a +6.00
-10.00 a +6.00</x:v>
      </x:c>
      <x:c r="N3093" s="24" t="str">
        <x:v>-4.00
-6.00</x:v>
      </x:c>
      <x:c r="O3093" s="24" t="str">
        <x:v>0.75 a 4.00</x:v>
      </x:c>
      <x:c r="P3093" s="24" t="str">
        <x:v>75/80
70/75</x:v>
      </x:c>
      <x:c r="Q3093" s="24"/>
      <x:c r="R3093" s="24"/>
      <x:c r="S3093" s="26" t="n">
        <x:v>46113</x:v>
      </x:c>
      <x:c r="T3093" s="26"/>
      <x:c r="U3093" s="24" t="str">
        <x:v>ATIVA/SEM FIM INFORMADO</x:v>
      </x:c>
      <x:c r="V3093" s="24" t="str">
        <x:v>Programa de Parcerias ZEISS — categoria Experts</x:v>
      </x:c>
      <x:c r="W3093" s="24" t="n">
        <x:v>53</x:v>
      </x:c>
      <x:c r="X3093" s="24" t="str">
        <x:v>tabela_zeiss.pdf</x:v>
      </x:c>
      <x:c r="Y3093" s="24" t="str">
        <x:v>alta</x:v>
      </x:c>
      <x:c r="Z3093" s="24"/>
      <x:c r="AA3093" s="24" t="str">
        <x:v>ZEISS|Progressiva AdaptiveSun|Surfaçada|SmartLife Superb AdaptiveSun|AdaptiveSun|1.6|1.60|Sem AR|-5.00 a +6.00
-10.00 a +6.00|-4.00
-6.00|0.75 a 4.00|75/80
70/75|||53</x:v>
      </x:c>
    </x:row>
    <x:row r="3094">
      <x:c r="A3094" s="24" t="str">
        <x:v>ZS-FB8A3578EE2B</x:v>
      </x:c>
      <x:c r="B3094" s="24" t="str">
        <x:v>SIM</x:v>
      </x:c>
      <x:c r="C3094" s="24" t="str">
        <x:v>DISPONÍVEL</x:v>
      </x:c>
      <x:c r="D3094" s="24" t="str">
        <x:v>ZEISS</x:v>
      </x:c>
      <x:c r="E3094" s="24" t="str">
        <x:v>Progressiva AdaptiveSun</x:v>
      </x:c>
      <x:c r="F3094" s="24" t="str">
        <x:v>Surfaçada</x:v>
      </x:c>
      <x:c r="G3094" s="24" t="str">
        <x:v>SmartLife Superb AdaptiveSun</x:v>
      </x:c>
      <x:c r="H3094" s="24" t="str">
        <x:v>AdaptiveSun</x:v>
      </x:c>
      <x:c r="I3094" s="24" t="str">
        <x:v>1.67</x:v>
      </x:c>
      <x:c r="J3094" s="24" t="str">
        <x:v>1.67</x:v>
      </x:c>
      <x:c r="K3094" s="24" t="str">
        <x:v>DuraVision Platinum UV</x:v>
      </x:c>
      <x:c r="L3094" s="40" t="n">
        <x:v>11450</x:v>
      </x:c>
      <x:c r="M3094" s="24" t="str">
        <x:v>-10.00 a +8.00
-12.00 a +8.00</x:v>
      </x:c>
      <x:c r="N3094" s="24" t="str">
        <x:v>-4.00
-6.00</x:v>
      </x:c>
      <x:c r="O3094" s="24" t="str">
        <x:v>0.75 a 3.50</x:v>
      </x:c>
      <x:c r="P3094" s="24" t="str">
        <x:v>70/75
65/70</x:v>
      </x:c>
      <x:c r="Q3094" s="24"/>
      <x:c r="R3094" s="24"/>
      <x:c r="S3094" s="26" t="n">
        <x:v>46113</x:v>
      </x:c>
      <x:c r="T3094" s="26"/>
      <x:c r="U3094" s="24" t="str">
        <x:v>ATIVA/SEM FIM INFORMADO</x:v>
      </x:c>
      <x:c r="V3094" s="24" t="str">
        <x:v>Programa de Parcerias ZEISS — categoria Experts</x:v>
      </x:c>
      <x:c r="W3094" s="24" t="n">
        <x:v>53</x:v>
      </x:c>
      <x:c r="X3094" s="24" t="str">
        <x:v>tabela_zeiss.pdf</x:v>
      </x:c>
      <x:c r="Y3094" s="24" t="str">
        <x:v>alta</x:v>
      </x:c>
      <x:c r="Z3094" s="24"/>
      <x:c r="AA3094" s="24" t="str">
        <x:v>ZEISS|Progressiva AdaptiveSun|Surfaçada|SmartLife Superb AdaptiveSun|AdaptiveSun|1.67|1.67|DuraVision Platinum UV|-10.00 a +8.00
-12.00 a +8.00|-4.00
-6.00|0.75 a 3.50|70/75
65/70|||53</x:v>
      </x:c>
    </x:row>
    <x:row r="3095">
      <x:c r="A3095" s="24" t="str">
        <x:v>ZS-A21EFC92AC01</x:v>
      </x:c>
      <x:c r="B3095" s="24" t="str">
        <x:v>SIM</x:v>
      </x:c>
      <x:c r="C3095" s="24" t="str">
        <x:v>DISPONÍVEL</x:v>
      </x:c>
      <x:c r="D3095" s="24" t="str">
        <x:v>ZEISS</x:v>
      </x:c>
      <x:c r="E3095" s="24" t="str">
        <x:v>Progressiva AdaptiveSun</x:v>
      </x:c>
      <x:c r="F3095" s="24" t="str">
        <x:v>Surfaçada</x:v>
      </x:c>
      <x:c r="G3095" s="24" t="str">
        <x:v>SmartLife Superb AdaptiveSun</x:v>
      </x:c>
      <x:c r="H3095" s="24" t="str">
        <x:v>AdaptiveSun</x:v>
      </x:c>
      <x:c r="I3095" s="24" t="str">
        <x:v>1.67</x:v>
      </x:c>
      <x:c r="J3095" s="24" t="str">
        <x:v>1.67</x:v>
      </x:c>
      <x:c r="K3095" s="24" t="str">
        <x:v>DuraVision Silver UV</x:v>
      </x:c>
      <x:c r="L3095" s="40" t="n">
        <x:v>11190</x:v>
      </x:c>
      <x:c r="M3095" s="24" t="str">
        <x:v>-10.00 a +8.00
-12.00 a +8.00</x:v>
      </x:c>
      <x:c r="N3095" s="24" t="str">
        <x:v>-4.00
-6.00</x:v>
      </x:c>
      <x:c r="O3095" s="24" t="str">
        <x:v>0.75 a 3.50</x:v>
      </x:c>
      <x:c r="P3095" s="24" t="str">
        <x:v>70/75
65/70</x:v>
      </x:c>
      <x:c r="Q3095" s="24"/>
      <x:c r="R3095" s="24"/>
      <x:c r="S3095" s="26" t="n">
        <x:v>46113</x:v>
      </x:c>
      <x:c r="T3095" s="26"/>
      <x:c r="U3095" s="24" t="str">
        <x:v>ATIVA/SEM FIM INFORMADO</x:v>
      </x:c>
      <x:c r="V3095" s="24" t="str">
        <x:v>Programa de Parcerias ZEISS — categoria Experts</x:v>
      </x:c>
      <x:c r="W3095" s="24" t="n">
        <x:v>53</x:v>
      </x:c>
      <x:c r="X3095" s="24" t="str">
        <x:v>tabela_zeiss.pdf</x:v>
      </x:c>
      <x:c r="Y3095" s="24" t="str">
        <x:v>alta</x:v>
      </x:c>
      <x:c r="Z3095" s="24"/>
      <x:c r="AA3095" s="24" t="str">
        <x:v>ZEISS|Progressiva AdaptiveSun|Surfaçada|SmartLife Superb AdaptiveSun|AdaptiveSun|1.67|1.67|DuraVision Silver UV|-10.00 a +8.00
-12.00 a +8.00|-4.00
-6.00|0.75 a 3.50|70/75
65/70|||53</x:v>
      </x:c>
    </x:row>
    <x:row r="3096">
      <x:c r="A3096" s="24" t="str">
        <x:v>ZS-C3FFFDE84793</x:v>
      </x:c>
      <x:c r="B3096" s="24" t="str">
        <x:v>SIM</x:v>
      </x:c>
      <x:c r="C3096" s="24" t="str">
        <x:v>DISPONÍVEL</x:v>
      </x:c>
      <x:c r="D3096" s="24" t="str">
        <x:v>ZEISS</x:v>
      </x:c>
      <x:c r="E3096" s="24" t="str">
        <x:v>Progressiva AdaptiveSun</x:v>
      </x:c>
      <x:c r="F3096" s="24" t="str">
        <x:v>Surfaçada</x:v>
      </x:c>
      <x:c r="G3096" s="24" t="str">
        <x:v>SmartLife Superb AdaptiveSun</x:v>
      </x:c>
      <x:c r="H3096" s="24" t="str">
        <x:v>AdaptiveSun</x:v>
      </x:c>
      <x:c r="I3096" s="24" t="str">
        <x:v>1.67</x:v>
      </x:c>
      <x:c r="J3096" s="24" t="str">
        <x:v>1.67</x:v>
      </x:c>
      <x:c r="K3096" s="24" t="str">
        <x:v>DuraVision Chrome UV</x:v>
      </x:c>
      <x:c r="L3096" s="40" t="n">
        <x:v>10700</x:v>
      </x:c>
      <x:c r="M3096" s="24" t="str">
        <x:v>-10.00 a +8.00
-12.00 a +8.00</x:v>
      </x:c>
      <x:c r="N3096" s="24" t="str">
        <x:v>-4.00
-6.00</x:v>
      </x:c>
      <x:c r="O3096" s="24" t="str">
        <x:v>0.75 a 3.50</x:v>
      </x:c>
      <x:c r="P3096" s="24" t="str">
        <x:v>70/75
65/70</x:v>
      </x:c>
      <x:c r="Q3096" s="24"/>
      <x:c r="R3096" s="24"/>
      <x:c r="S3096" s="26" t="n">
        <x:v>46113</x:v>
      </x:c>
      <x:c r="T3096" s="26"/>
      <x:c r="U3096" s="24" t="str">
        <x:v>ATIVA/SEM FIM INFORMADO</x:v>
      </x:c>
      <x:c r="V3096" s="24" t="str">
        <x:v>Programa de Parcerias ZEISS — categoria Experts</x:v>
      </x:c>
      <x:c r="W3096" s="24" t="n">
        <x:v>53</x:v>
      </x:c>
      <x:c r="X3096" s="24" t="str">
        <x:v>tabela_zeiss.pdf</x:v>
      </x:c>
      <x:c r="Y3096" s="24" t="str">
        <x:v>alta</x:v>
      </x:c>
      <x:c r="Z3096" s="24"/>
      <x:c r="AA3096" s="24" t="str">
        <x:v>ZEISS|Progressiva AdaptiveSun|Surfaçada|SmartLife Superb AdaptiveSun|AdaptiveSun|1.67|1.67|DuraVision Chrome UV|-10.00 a +8.00
-12.00 a +8.00|-4.00
-6.00|0.75 a 3.50|70/75
65/70|||53</x:v>
      </x:c>
    </x:row>
    <x:row r="3097">
      <x:c r="A3097" s="24" t="str">
        <x:v>ZS-C0F66964E778</x:v>
      </x:c>
      <x:c r="B3097" s="24" t="str">
        <x:v>SIM</x:v>
      </x:c>
      <x:c r="C3097" s="24" t="str">
        <x:v>DISPONÍVEL</x:v>
      </x:c>
      <x:c r="D3097" s="24" t="str">
        <x:v>ZEISS</x:v>
      </x:c>
      <x:c r="E3097" s="24" t="str">
        <x:v>Progressiva AdaptiveSun</x:v>
      </x:c>
      <x:c r="F3097" s="24" t="str">
        <x:v>Surfaçada</x:v>
      </x:c>
      <x:c r="G3097" s="24" t="str">
        <x:v>SmartLife Superb AdaptiveSun</x:v>
      </x:c>
      <x:c r="H3097" s="24" t="str">
        <x:v>AdaptiveSun</x:v>
      </x:c>
      <x:c r="I3097" s="24" t="str">
        <x:v>1.67</x:v>
      </x:c>
      <x:c r="J3097" s="24" t="str">
        <x:v>1.67</x:v>
      </x:c>
      <x:c r="K3097" s="24" t="str">
        <x:v>Sem AR</x:v>
      </x:c>
      <x:c r="L3097" s="40" t="n">
        <x:v>10300</x:v>
      </x:c>
      <x:c r="M3097" s="24" t="str">
        <x:v>-10.00 a +8.00
-12.00 a +8.00</x:v>
      </x:c>
      <x:c r="N3097" s="24" t="str">
        <x:v>-4.00
-6.00</x:v>
      </x:c>
      <x:c r="O3097" s="24" t="str">
        <x:v>0.75 a 3.50</x:v>
      </x:c>
      <x:c r="P3097" s="24" t="str">
        <x:v>70/75
65/70</x:v>
      </x:c>
      <x:c r="Q3097" s="24"/>
      <x:c r="R3097" s="24"/>
      <x:c r="S3097" s="26" t="n">
        <x:v>46113</x:v>
      </x:c>
      <x:c r="T3097" s="26"/>
      <x:c r="U3097" s="24" t="str">
        <x:v>ATIVA/SEM FIM INFORMADO</x:v>
      </x:c>
      <x:c r="V3097" s="24" t="str">
        <x:v>Programa de Parcerias ZEISS — categoria Experts</x:v>
      </x:c>
      <x:c r="W3097" s="24" t="n">
        <x:v>53</x:v>
      </x:c>
      <x:c r="X3097" s="24" t="str">
        <x:v>tabela_zeiss.pdf</x:v>
      </x:c>
      <x:c r="Y3097" s="24" t="str">
        <x:v>alta</x:v>
      </x:c>
      <x:c r="Z3097" s="24"/>
      <x:c r="AA3097" s="24" t="str">
        <x:v>ZEISS|Progressiva AdaptiveSun|Surfaçada|SmartLife Superb AdaptiveSun|AdaptiveSun|1.67|1.67|Sem AR|-10.00 a +8.00
-12.00 a +8.00|-4.00
-6.00|0.75 a 3.50|70/75
65/70|||53</x:v>
      </x:c>
    </x:row>
    <x:row r="3098">
      <x:c r="A3098" s="24" t="str">
        <x:v>ZS-E0E8FDBD40BF</x:v>
      </x:c>
      <x:c r="B3098" s="24" t="str">
        <x:v>SIM</x:v>
      </x:c>
      <x:c r="C3098" s="24" t="str">
        <x:v>DISPONÍVEL</x:v>
      </x:c>
      <x:c r="D3098" s="24" t="str">
        <x:v>ZEISS</x:v>
      </x:c>
      <x:c r="E3098" s="24" t="str">
        <x:v>Progressiva AdaptiveSun</x:v>
      </x:c>
      <x:c r="F3098" s="24" t="str">
        <x:v>Surfaçada</x:v>
      </x:c>
      <x:c r="G3098" s="24" t="str">
        <x:v>SmartLife Plus AdaptiveSun</x:v>
      </x:c>
      <x:c r="H3098" s="24" t="str">
        <x:v>AdaptiveSun</x:v>
      </x:c>
      <x:c r="I3098" s="24" t="str">
        <x:v>1.5</x:v>
      </x:c>
      <x:c r="J3098" s="24" t="str">
        <x:v>1.50</x:v>
      </x:c>
      <x:c r="K3098" s="24" t="str">
        <x:v>DuraVision Platinum UV</x:v>
      </x:c>
      <x:c r="L3098" s="40" t="n">
        <x:v>7560</x:v>
      </x:c>
      <x:c r="M3098" s="24" t="str">
        <x:v>-6.00 a +4.00
-7.00 a +5.00</x:v>
      </x:c>
      <x:c r="N3098" s="24" t="str">
        <x:v>-4.00</x:v>
      </x:c>
      <x:c r="O3098" s="24" t="str">
        <x:v>0.75 a 3.50</x:v>
      </x:c>
      <x:c r="P3098" s="24" t="str">
        <x:v>75/80
70/75</x:v>
      </x:c>
      <x:c r="Q3098" s="24"/>
      <x:c r="R3098" s="24"/>
      <x:c r="S3098" s="26" t="n">
        <x:v>46113</x:v>
      </x:c>
      <x:c r="T3098" s="26"/>
      <x:c r="U3098" s="24" t="str">
        <x:v>ATIVA/SEM FIM INFORMADO</x:v>
      </x:c>
      <x:c r="V3098" s="24" t="str">
        <x:v>Programa de Parcerias ZEISS — categoria Experts</x:v>
      </x:c>
      <x:c r="W3098" s="24" t="n">
        <x:v>53</x:v>
      </x:c>
      <x:c r="X3098" s="24" t="str">
        <x:v>tabela_zeiss.pdf</x:v>
      </x:c>
      <x:c r="Y3098" s="24" t="str">
        <x:v>alta</x:v>
      </x:c>
      <x:c r="Z3098" s="24"/>
      <x:c r="AA3098" s="24" t="str">
        <x:v>ZEISS|Progressiva AdaptiveSun|Surfaçada|SmartLife Plus AdaptiveSun|AdaptiveSun|1.5|1.50|DuraVision Platinum UV|-6.00 a +4.00
-7.00 a +5.00|-4.00|0.75 a 3.50|75/80
70/75|||53</x:v>
      </x:c>
    </x:row>
    <x:row r="3099">
      <x:c r="A3099" s="24" t="str">
        <x:v>ZS-77DF213516BB</x:v>
      </x:c>
      <x:c r="B3099" s="24" t="str">
        <x:v>SIM</x:v>
      </x:c>
      <x:c r="C3099" s="24" t="str">
        <x:v>DISPONÍVEL</x:v>
      </x:c>
      <x:c r="D3099" s="24" t="str">
        <x:v>ZEISS</x:v>
      </x:c>
      <x:c r="E3099" s="24" t="str">
        <x:v>Progressiva AdaptiveSun</x:v>
      </x:c>
      <x:c r="F3099" s="24" t="str">
        <x:v>Surfaçada</x:v>
      </x:c>
      <x:c r="G3099" s="24" t="str">
        <x:v>SmartLife Plus AdaptiveSun</x:v>
      </x:c>
      <x:c r="H3099" s="24" t="str">
        <x:v>AdaptiveSun</x:v>
      </x:c>
      <x:c r="I3099" s="24" t="str">
        <x:v>1.5</x:v>
      </x:c>
      <x:c r="J3099" s="24" t="str">
        <x:v>1.50</x:v>
      </x:c>
      <x:c r="K3099" s="24" t="str">
        <x:v>DuraVision Silver UV</x:v>
      </x:c>
      <x:c r="L3099" s="40" t="n">
        <x:v>7300</x:v>
      </x:c>
      <x:c r="M3099" s="24" t="str">
        <x:v>-6.00 a +4.00
-7.00 a +5.00</x:v>
      </x:c>
      <x:c r="N3099" s="24" t="str">
        <x:v>-4.00</x:v>
      </x:c>
      <x:c r="O3099" s="24" t="str">
        <x:v>0.75 a 3.50</x:v>
      </x:c>
      <x:c r="P3099" s="24" t="str">
        <x:v>75/80
70/75</x:v>
      </x:c>
      <x:c r="Q3099" s="24"/>
      <x:c r="R3099" s="24"/>
      <x:c r="S3099" s="26" t="n">
        <x:v>46113</x:v>
      </x:c>
      <x:c r="T3099" s="26"/>
      <x:c r="U3099" s="24" t="str">
        <x:v>ATIVA/SEM FIM INFORMADO</x:v>
      </x:c>
      <x:c r="V3099" s="24" t="str">
        <x:v>Programa de Parcerias ZEISS — categoria Experts</x:v>
      </x:c>
      <x:c r="W3099" s="24" t="n">
        <x:v>53</x:v>
      </x:c>
      <x:c r="X3099" s="24" t="str">
        <x:v>tabela_zeiss.pdf</x:v>
      </x:c>
      <x:c r="Y3099" s="24" t="str">
        <x:v>alta</x:v>
      </x:c>
      <x:c r="Z3099" s="24"/>
      <x:c r="AA3099" s="24" t="str">
        <x:v>ZEISS|Progressiva AdaptiveSun|Surfaçada|SmartLife Plus AdaptiveSun|AdaptiveSun|1.5|1.50|DuraVision Silver UV|-6.00 a +4.00
-7.00 a +5.00|-4.00|0.75 a 3.50|75/80
70/75|||53</x:v>
      </x:c>
    </x:row>
    <x:row r="3100">
      <x:c r="A3100" s="24" t="str">
        <x:v>ZS-6B92D9AE8ACE</x:v>
      </x:c>
      <x:c r="B3100" s="24" t="str">
        <x:v>SIM</x:v>
      </x:c>
      <x:c r="C3100" s="24" t="str">
        <x:v>DISPONÍVEL</x:v>
      </x:c>
      <x:c r="D3100" s="24" t="str">
        <x:v>ZEISS</x:v>
      </x:c>
      <x:c r="E3100" s="24" t="str">
        <x:v>Progressiva AdaptiveSun</x:v>
      </x:c>
      <x:c r="F3100" s="24" t="str">
        <x:v>Surfaçada</x:v>
      </x:c>
      <x:c r="G3100" s="24" t="str">
        <x:v>SmartLife Plus AdaptiveSun</x:v>
      </x:c>
      <x:c r="H3100" s="24" t="str">
        <x:v>AdaptiveSun</x:v>
      </x:c>
      <x:c r="I3100" s="24" t="str">
        <x:v>1.5</x:v>
      </x:c>
      <x:c r="J3100" s="24" t="str">
        <x:v>1.50</x:v>
      </x:c>
      <x:c r="K3100" s="24" t="str">
        <x:v>DuraVision Chrome UV</x:v>
      </x:c>
      <x:c r="L3100" s="40" t="n">
        <x:v>6810</x:v>
      </x:c>
      <x:c r="M3100" s="24" t="str">
        <x:v>-6.00 a +4.00
-7.00 a +5.00</x:v>
      </x:c>
      <x:c r="N3100" s="24" t="str">
        <x:v>-4.00</x:v>
      </x:c>
      <x:c r="O3100" s="24" t="str">
        <x:v>0.75 a 3.50</x:v>
      </x:c>
      <x:c r="P3100" s="24" t="str">
        <x:v>75/80
70/75</x:v>
      </x:c>
      <x:c r="Q3100" s="24"/>
      <x:c r="R3100" s="24"/>
      <x:c r="S3100" s="26" t="n">
        <x:v>46113</x:v>
      </x:c>
      <x:c r="T3100" s="26"/>
      <x:c r="U3100" s="24" t="str">
        <x:v>ATIVA/SEM FIM INFORMADO</x:v>
      </x:c>
      <x:c r="V3100" s="24" t="str">
        <x:v>Programa de Parcerias ZEISS — categoria Experts</x:v>
      </x:c>
      <x:c r="W3100" s="24" t="n">
        <x:v>53</x:v>
      </x:c>
      <x:c r="X3100" s="24" t="str">
        <x:v>tabela_zeiss.pdf</x:v>
      </x:c>
      <x:c r="Y3100" s="24" t="str">
        <x:v>alta</x:v>
      </x:c>
      <x:c r="Z3100" s="24"/>
      <x:c r="AA3100" s="24" t="str">
        <x:v>ZEISS|Progressiva AdaptiveSun|Surfaçada|SmartLife Plus AdaptiveSun|AdaptiveSun|1.5|1.50|DuraVision Chrome UV|-6.00 a +4.00
-7.00 a +5.00|-4.00|0.75 a 3.50|75/80
70/75|||53</x:v>
      </x:c>
    </x:row>
    <x:row r="3101">
      <x:c r="A3101" s="24" t="str">
        <x:v>ZS-14B6EA7B5130</x:v>
      </x:c>
      <x:c r="B3101" s="24" t="str">
        <x:v>SIM</x:v>
      </x:c>
      <x:c r="C3101" s="24" t="str">
        <x:v>DISPONÍVEL</x:v>
      </x:c>
      <x:c r="D3101" s="24" t="str">
        <x:v>ZEISS</x:v>
      </x:c>
      <x:c r="E3101" s="24" t="str">
        <x:v>Progressiva AdaptiveSun</x:v>
      </x:c>
      <x:c r="F3101" s="24" t="str">
        <x:v>Surfaçada</x:v>
      </x:c>
      <x:c r="G3101" s="24" t="str">
        <x:v>SmartLife Plus AdaptiveSun</x:v>
      </x:c>
      <x:c r="H3101" s="24" t="str">
        <x:v>AdaptiveSun</x:v>
      </x:c>
      <x:c r="I3101" s="24" t="str">
        <x:v>1.5</x:v>
      </x:c>
      <x:c r="J3101" s="24" t="str">
        <x:v>1.50</x:v>
      </x:c>
      <x:c r="K3101" s="24" t="str">
        <x:v>Sem AR</x:v>
      </x:c>
      <x:c r="L3101" s="40" t="n">
        <x:v>6410</x:v>
      </x:c>
      <x:c r="M3101" s="24" t="str">
        <x:v>-6.00 a +4.00
-7.00 a +5.00</x:v>
      </x:c>
      <x:c r="N3101" s="24" t="str">
        <x:v>-4.00</x:v>
      </x:c>
      <x:c r="O3101" s="24" t="str">
        <x:v>0.75 a 3.50</x:v>
      </x:c>
      <x:c r="P3101" s="24" t="str">
        <x:v>75/80
70/75</x:v>
      </x:c>
      <x:c r="Q3101" s="24"/>
      <x:c r="R3101" s="24"/>
      <x:c r="S3101" s="26" t="n">
        <x:v>46113</x:v>
      </x:c>
      <x:c r="T3101" s="26"/>
      <x:c r="U3101" s="24" t="str">
        <x:v>ATIVA/SEM FIM INFORMADO</x:v>
      </x:c>
      <x:c r="V3101" s="24" t="str">
        <x:v>Programa de Parcerias ZEISS — categoria Experts</x:v>
      </x:c>
      <x:c r="W3101" s="24" t="n">
        <x:v>53</x:v>
      </x:c>
      <x:c r="X3101" s="24" t="str">
        <x:v>tabela_zeiss.pdf</x:v>
      </x:c>
      <x:c r="Y3101" s="24" t="str">
        <x:v>alta</x:v>
      </x:c>
      <x:c r="Z3101" s="24"/>
      <x:c r="AA3101" s="24" t="str">
        <x:v>ZEISS|Progressiva AdaptiveSun|Surfaçada|SmartLife Plus AdaptiveSun|AdaptiveSun|1.5|1.50|Sem AR|-6.00 a +4.00
-7.00 a +5.00|-4.00|0.75 a 3.50|75/80
70/75|||53</x:v>
      </x:c>
    </x:row>
    <x:row r="3102">
      <x:c r="A3102" s="24" t="str">
        <x:v>ZS-3338B4853634</x:v>
      </x:c>
      <x:c r="B3102" s="24" t="str">
        <x:v>SIM</x:v>
      </x:c>
      <x:c r="C3102" s="24" t="str">
        <x:v>DISPONÍVEL</x:v>
      </x:c>
      <x:c r="D3102" s="24" t="str">
        <x:v>ZEISS</x:v>
      </x:c>
      <x:c r="E3102" s="24" t="str">
        <x:v>Progressiva AdaptiveSun</x:v>
      </x:c>
      <x:c r="F3102" s="24" t="str">
        <x:v>Surfaçada</x:v>
      </x:c>
      <x:c r="G3102" s="24" t="str">
        <x:v>SmartLife Plus AdaptiveSun</x:v>
      </x:c>
      <x:c r="H3102" s="24" t="str">
        <x:v>AdaptiveSun</x:v>
      </x:c>
      <x:c r="I3102" s="24" t="str">
        <x:v>1.6</x:v>
      </x:c>
      <x:c r="J3102" s="24" t="str">
        <x:v>1.60</x:v>
      </x:c>
      <x:c r="K3102" s="24" t="str">
        <x:v>DuraVision Platinum UV</x:v>
      </x:c>
      <x:c r="L3102" s="40" t="n">
        <x:v>8810</x:v>
      </x:c>
      <x:c r="M3102" s="24" t="str">
        <x:v>-5.00 a +6.00
-10.00 a +6.00</x:v>
      </x:c>
      <x:c r="N3102" s="24" t="str">
        <x:v>-4.00
-6.00</x:v>
      </x:c>
      <x:c r="O3102" s="24" t="str">
        <x:v>0.75 a 4.00</x:v>
      </x:c>
      <x:c r="P3102" s="24" t="str">
        <x:v>75/80
70/75</x:v>
      </x:c>
      <x:c r="Q3102" s="24"/>
      <x:c r="R3102" s="24"/>
      <x:c r="S3102" s="26" t="n">
        <x:v>46113</x:v>
      </x:c>
      <x:c r="T3102" s="26"/>
      <x:c r="U3102" s="24" t="str">
        <x:v>ATIVA/SEM FIM INFORMADO</x:v>
      </x:c>
      <x:c r="V3102" s="24" t="str">
        <x:v>Programa de Parcerias ZEISS — categoria Experts</x:v>
      </x:c>
      <x:c r="W3102" s="24" t="n">
        <x:v>53</x:v>
      </x:c>
      <x:c r="X3102" s="24" t="str">
        <x:v>tabela_zeiss.pdf</x:v>
      </x:c>
      <x:c r="Y3102" s="24" t="str">
        <x:v>alta</x:v>
      </x:c>
      <x:c r="Z3102" s="24"/>
      <x:c r="AA3102" s="24" t="str">
        <x:v>ZEISS|Progressiva AdaptiveSun|Surfaçada|SmartLife Plus AdaptiveSun|AdaptiveSun|1.6|1.60|DuraVision Platinum UV|-5.00 a +6.00
-10.00 a +6.00|-4.00
-6.00|0.75 a 4.00|75/80
70/75|||53</x:v>
      </x:c>
    </x:row>
    <x:row r="3103">
      <x:c r="A3103" s="24" t="str">
        <x:v>ZS-B8560BEDEC72</x:v>
      </x:c>
      <x:c r="B3103" s="24" t="str">
        <x:v>SIM</x:v>
      </x:c>
      <x:c r="C3103" s="24" t="str">
        <x:v>DISPONÍVEL</x:v>
      </x:c>
      <x:c r="D3103" s="24" t="str">
        <x:v>ZEISS</x:v>
      </x:c>
      <x:c r="E3103" s="24" t="str">
        <x:v>Progressiva AdaptiveSun</x:v>
      </x:c>
      <x:c r="F3103" s="24" t="str">
        <x:v>Surfaçada</x:v>
      </x:c>
      <x:c r="G3103" s="24" t="str">
        <x:v>SmartLife Plus AdaptiveSun</x:v>
      </x:c>
      <x:c r="H3103" s="24" t="str">
        <x:v>AdaptiveSun</x:v>
      </x:c>
      <x:c r="I3103" s="24" t="str">
        <x:v>1.6</x:v>
      </x:c>
      <x:c r="J3103" s="24" t="str">
        <x:v>1.60</x:v>
      </x:c>
      <x:c r="K3103" s="24" t="str">
        <x:v>DuraVision Silver UV</x:v>
      </x:c>
      <x:c r="L3103" s="40" t="n">
        <x:v>8550</x:v>
      </x:c>
      <x:c r="M3103" s="24" t="str">
        <x:v>-5.00 a +6.00
-10.00 a +6.00</x:v>
      </x:c>
      <x:c r="N3103" s="24" t="str">
        <x:v>-4.00
-6.00</x:v>
      </x:c>
      <x:c r="O3103" s="24" t="str">
        <x:v>0.75 a 4.00</x:v>
      </x:c>
      <x:c r="P3103" s="24" t="str">
        <x:v>75/80
70/75</x:v>
      </x:c>
      <x:c r="Q3103" s="24"/>
      <x:c r="R3103" s="24"/>
      <x:c r="S3103" s="26" t="n">
        <x:v>46113</x:v>
      </x:c>
      <x:c r="T3103" s="26"/>
      <x:c r="U3103" s="24" t="str">
        <x:v>ATIVA/SEM FIM INFORMADO</x:v>
      </x:c>
      <x:c r="V3103" s="24" t="str">
        <x:v>Programa de Parcerias ZEISS — categoria Experts</x:v>
      </x:c>
      <x:c r="W3103" s="24" t="n">
        <x:v>53</x:v>
      </x:c>
      <x:c r="X3103" s="24" t="str">
        <x:v>tabela_zeiss.pdf</x:v>
      </x:c>
      <x:c r="Y3103" s="24" t="str">
        <x:v>alta</x:v>
      </x:c>
      <x:c r="Z3103" s="24"/>
      <x:c r="AA3103" s="24" t="str">
        <x:v>ZEISS|Progressiva AdaptiveSun|Surfaçada|SmartLife Plus AdaptiveSun|AdaptiveSun|1.6|1.60|DuraVision Silver UV|-5.00 a +6.00
-10.00 a +6.00|-4.00
-6.00|0.75 a 4.00|75/80
70/75|||53</x:v>
      </x:c>
    </x:row>
    <x:row r="3104">
      <x:c r="A3104" s="24" t="str">
        <x:v>ZS-2F5704632CA4</x:v>
      </x:c>
      <x:c r="B3104" s="24" t="str">
        <x:v>SIM</x:v>
      </x:c>
      <x:c r="C3104" s="24" t="str">
        <x:v>DISPONÍVEL</x:v>
      </x:c>
      <x:c r="D3104" s="24" t="str">
        <x:v>ZEISS</x:v>
      </x:c>
      <x:c r="E3104" s="24" t="str">
        <x:v>Progressiva AdaptiveSun</x:v>
      </x:c>
      <x:c r="F3104" s="24" t="str">
        <x:v>Surfaçada</x:v>
      </x:c>
      <x:c r="G3104" s="24" t="str">
        <x:v>SmartLife Plus AdaptiveSun</x:v>
      </x:c>
      <x:c r="H3104" s="24" t="str">
        <x:v>AdaptiveSun</x:v>
      </x:c>
      <x:c r="I3104" s="24" t="str">
        <x:v>1.6</x:v>
      </x:c>
      <x:c r="J3104" s="24" t="str">
        <x:v>1.60</x:v>
      </x:c>
      <x:c r="K3104" s="24" t="str">
        <x:v>DuraVision Chrome UV</x:v>
      </x:c>
      <x:c r="L3104" s="40" t="n">
        <x:v>8060</x:v>
      </x:c>
      <x:c r="M3104" s="24" t="str">
        <x:v>-5.00 a +6.00
-10.00 a +6.00</x:v>
      </x:c>
      <x:c r="N3104" s="24" t="str">
        <x:v>-4.00
-6.00</x:v>
      </x:c>
      <x:c r="O3104" s="24" t="str">
        <x:v>0.75 a 4.00</x:v>
      </x:c>
      <x:c r="P3104" s="24" t="str">
        <x:v>75/80
70/75</x:v>
      </x:c>
      <x:c r="Q3104" s="24"/>
      <x:c r="R3104" s="24"/>
      <x:c r="S3104" s="26" t="n">
        <x:v>46113</x:v>
      </x:c>
      <x:c r="T3104" s="26"/>
      <x:c r="U3104" s="24" t="str">
        <x:v>ATIVA/SEM FIM INFORMADO</x:v>
      </x:c>
      <x:c r="V3104" s="24" t="str">
        <x:v>Programa de Parcerias ZEISS — categoria Experts</x:v>
      </x:c>
      <x:c r="W3104" s="24" t="n">
        <x:v>53</x:v>
      </x:c>
      <x:c r="X3104" s="24" t="str">
        <x:v>tabela_zeiss.pdf</x:v>
      </x:c>
      <x:c r="Y3104" s="24" t="str">
        <x:v>alta</x:v>
      </x:c>
      <x:c r="Z3104" s="24"/>
      <x:c r="AA3104" s="24" t="str">
        <x:v>ZEISS|Progressiva AdaptiveSun|Surfaçada|SmartLife Plus AdaptiveSun|AdaptiveSun|1.6|1.60|DuraVision Chrome UV|-5.00 a +6.00
-10.00 a +6.00|-4.00
-6.00|0.75 a 4.00|75/80
70/75|||53</x:v>
      </x:c>
    </x:row>
    <x:row r="3105">
      <x:c r="A3105" s="24" t="str">
        <x:v>ZS-82EFBC6DD646</x:v>
      </x:c>
      <x:c r="B3105" s="24" t="str">
        <x:v>SIM</x:v>
      </x:c>
      <x:c r="C3105" s="24" t="str">
        <x:v>DISPONÍVEL</x:v>
      </x:c>
      <x:c r="D3105" s="24" t="str">
        <x:v>ZEISS</x:v>
      </x:c>
      <x:c r="E3105" s="24" t="str">
        <x:v>Progressiva AdaptiveSun</x:v>
      </x:c>
      <x:c r="F3105" s="24" t="str">
        <x:v>Surfaçada</x:v>
      </x:c>
      <x:c r="G3105" s="24" t="str">
        <x:v>SmartLife Plus AdaptiveSun</x:v>
      </x:c>
      <x:c r="H3105" s="24" t="str">
        <x:v>AdaptiveSun</x:v>
      </x:c>
      <x:c r="I3105" s="24" t="str">
        <x:v>1.6</x:v>
      </x:c>
      <x:c r="J3105" s="24" t="str">
        <x:v>1.60</x:v>
      </x:c>
      <x:c r="K3105" s="24" t="str">
        <x:v>Sem AR</x:v>
      </x:c>
      <x:c r="L3105" s="40" t="n">
        <x:v>7660</x:v>
      </x:c>
      <x:c r="M3105" s="24" t="str">
        <x:v>-5.00 a +6.00
-10.00 a +6.00</x:v>
      </x:c>
      <x:c r="N3105" s="24" t="str">
        <x:v>-4.00
-6.00</x:v>
      </x:c>
      <x:c r="O3105" s="24" t="str">
        <x:v>0.75 a 4.00</x:v>
      </x:c>
      <x:c r="P3105" s="24" t="str">
        <x:v>75/80
70/75</x:v>
      </x:c>
      <x:c r="Q3105" s="24"/>
      <x:c r="R3105" s="24"/>
      <x:c r="S3105" s="26" t="n">
        <x:v>46113</x:v>
      </x:c>
      <x:c r="T3105" s="26"/>
      <x:c r="U3105" s="24" t="str">
        <x:v>ATIVA/SEM FIM INFORMADO</x:v>
      </x:c>
      <x:c r="V3105" s="24" t="str">
        <x:v>Programa de Parcerias ZEISS — categoria Experts</x:v>
      </x:c>
      <x:c r="W3105" s="24" t="n">
        <x:v>53</x:v>
      </x:c>
      <x:c r="X3105" s="24" t="str">
        <x:v>tabela_zeiss.pdf</x:v>
      </x:c>
      <x:c r="Y3105" s="24" t="str">
        <x:v>alta</x:v>
      </x:c>
      <x:c r="Z3105" s="24"/>
      <x:c r="AA3105" s="24" t="str">
        <x:v>ZEISS|Progressiva AdaptiveSun|Surfaçada|SmartLife Plus AdaptiveSun|AdaptiveSun|1.6|1.60|Sem AR|-5.00 a +6.00
-10.00 a +6.00|-4.00
-6.00|0.75 a 4.00|75/80
70/75|||53</x:v>
      </x:c>
    </x:row>
    <x:row r="3106">
      <x:c r="A3106" s="24" t="str">
        <x:v>ZS-7EF57954C6FE</x:v>
      </x:c>
      <x:c r="B3106" s="24" t="str">
        <x:v>SIM</x:v>
      </x:c>
      <x:c r="C3106" s="24" t="str">
        <x:v>DISPONÍVEL</x:v>
      </x:c>
      <x:c r="D3106" s="24" t="str">
        <x:v>ZEISS</x:v>
      </x:c>
      <x:c r="E3106" s="24" t="str">
        <x:v>Progressiva AdaptiveSun</x:v>
      </x:c>
      <x:c r="F3106" s="24" t="str">
        <x:v>Surfaçada</x:v>
      </x:c>
      <x:c r="G3106" s="24" t="str">
        <x:v>SmartLife Plus AdaptiveSun</x:v>
      </x:c>
      <x:c r="H3106" s="24" t="str">
        <x:v>AdaptiveSun</x:v>
      </x:c>
      <x:c r="I3106" s="24" t="str">
        <x:v>1.67</x:v>
      </x:c>
      <x:c r="J3106" s="24" t="str">
        <x:v>1.67</x:v>
      </x:c>
      <x:c r="K3106" s="24" t="str">
        <x:v>DuraVision Platinum UV</x:v>
      </x:c>
      <x:c r="L3106" s="40" t="n">
        <x:v>10450</x:v>
      </x:c>
      <x:c r="M3106" s="24" t="str">
        <x:v>-10.00 a +8.00
-12.00 a +8.00</x:v>
      </x:c>
      <x:c r="N3106" s="24" t="str">
        <x:v>-4.00
-6.00</x:v>
      </x:c>
      <x:c r="O3106" s="24" t="str">
        <x:v>0.75 a 3.50</x:v>
      </x:c>
      <x:c r="P3106" s="24" t="str">
        <x:v>70/75
65/70</x:v>
      </x:c>
      <x:c r="Q3106" s="24"/>
      <x:c r="R3106" s="24"/>
      <x:c r="S3106" s="26" t="n">
        <x:v>46113</x:v>
      </x:c>
      <x:c r="T3106" s="26"/>
      <x:c r="U3106" s="24" t="str">
        <x:v>ATIVA/SEM FIM INFORMADO</x:v>
      </x:c>
      <x:c r="V3106" s="24" t="str">
        <x:v>Programa de Parcerias ZEISS — categoria Experts</x:v>
      </x:c>
      <x:c r="W3106" s="24" t="n">
        <x:v>53</x:v>
      </x:c>
      <x:c r="X3106" s="24" t="str">
        <x:v>tabela_zeiss.pdf</x:v>
      </x:c>
      <x:c r="Y3106" s="24" t="str">
        <x:v>alta</x:v>
      </x:c>
      <x:c r="Z3106" s="24"/>
      <x:c r="AA3106" s="24" t="str">
        <x:v>ZEISS|Progressiva AdaptiveSun|Surfaçada|SmartLife Plus AdaptiveSun|AdaptiveSun|1.67|1.67|DuraVision Platinum UV|-10.00 a +8.00
-12.00 a +8.00|-4.00
-6.00|0.75 a 3.50|70/75
65/70|||53</x:v>
      </x:c>
    </x:row>
    <x:row r="3107">
      <x:c r="A3107" s="24" t="str">
        <x:v>ZS-F51C65C94C32</x:v>
      </x:c>
      <x:c r="B3107" s="24" t="str">
        <x:v>SIM</x:v>
      </x:c>
      <x:c r="C3107" s="24" t="str">
        <x:v>DISPONÍVEL</x:v>
      </x:c>
      <x:c r="D3107" s="24" t="str">
        <x:v>ZEISS</x:v>
      </x:c>
      <x:c r="E3107" s="24" t="str">
        <x:v>Progressiva AdaptiveSun</x:v>
      </x:c>
      <x:c r="F3107" s="24" t="str">
        <x:v>Surfaçada</x:v>
      </x:c>
      <x:c r="G3107" s="24" t="str">
        <x:v>SmartLife Plus AdaptiveSun</x:v>
      </x:c>
      <x:c r="H3107" s="24" t="str">
        <x:v>AdaptiveSun</x:v>
      </x:c>
      <x:c r="I3107" s="24" t="str">
        <x:v>1.67</x:v>
      </x:c>
      <x:c r="J3107" s="24" t="str">
        <x:v>1.67</x:v>
      </x:c>
      <x:c r="K3107" s="24" t="str">
        <x:v>DuraVision Silver UV</x:v>
      </x:c>
      <x:c r="L3107" s="40" t="n">
        <x:v>10190</x:v>
      </x:c>
      <x:c r="M3107" s="24" t="str">
        <x:v>-10.00 a +8.00
-12.00 a +8.00</x:v>
      </x:c>
      <x:c r="N3107" s="24" t="str">
        <x:v>-4.00
-6.00</x:v>
      </x:c>
      <x:c r="O3107" s="24" t="str">
        <x:v>0.75 a 3.50</x:v>
      </x:c>
      <x:c r="P3107" s="24" t="str">
        <x:v>70/75
65/70</x:v>
      </x:c>
      <x:c r="Q3107" s="24"/>
      <x:c r="R3107" s="24"/>
      <x:c r="S3107" s="26" t="n">
        <x:v>46113</x:v>
      </x:c>
      <x:c r="T3107" s="26"/>
      <x:c r="U3107" s="24" t="str">
        <x:v>ATIVA/SEM FIM INFORMADO</x:v>
      </x:c>
      <x:c r="V3107" s="24" t="str">
        <x:v>Programa de Parcerias ZEISS — categoria Experts</x:v>
      </x:c>
      <x:c r="W3107" s="24" t="n">
        <x:v>53</x:v>
      </x:c>
      <x:c r="X3107" s="24" t="str">
        <x:v>tabela_zeiss.pdf</x:v>
      </x:c>
      <x:c r="Y3107" s="24" t="str">
        <x:v>alta</x:v>
      </x:c>
      <x:c r="Z3107" s="24"/>
      <x:c r="AA3107" s="24" t="str">
        <x:v>ZEISS|Progressiva AdaptiveSun|Surfaçada|SmartLife Plus AdaptiveSun|AdaptiveSun|1.67|1.67|DuraVision Silver UV|-10.00 a +8.00
-12.00 a +8.00|-4.00
-6.00|0.75 a 3.50|70/75
65/70|||53</x:v>
      </x:c>
    </x:row>
    <x:row r="3108">
      <x:c r="A3108" s="24" t="str">
        <x:v>ZS-385481975AE8</x:v>
      </x:c>
      <x:c r="B3108" s="24" t="str">
        <x:v>SIM</x:v>
      </x:c>
      <x:c r="C3108" s="24" t="str">
        <x:v>DISPONÍVEL</x:v>
      </x:c>
      <x:c r="D3108" s="24" t="str">
        <x:v>ZEISS</x:v>
      </x:c>
      <x:c r="E3108" s="24" t="str">
        <x:v>Progressiva AdaptiveSun</x:v>
      </x:c>
      <x:c r="F3108" s="24" t="str">
        <x:v>Surfaçada</x:v>
      </x:c>
      <x:c r="G3108" s="24" t="str">
        <x:v>SmartLife Plus AdaptiveSun</x:v>
      </x:c>
      <x:c r="H3108" s="24" t="str">
        <x:v>AdaptiveSun</x:v>
      </x:c>
      <x:c r="I3108" s="24" t="str">
        <x:v>1.67</x:v>
      </x:c>
      <x:c r="J3108" s="24" t="str">
        <x:v>1.67</x:v>
      </x:c>
      <x:c r="K3108" s="24" t="str">
        <x:v>DuraVision Chrome UV</x:v>
      </x:c>
      <x:c r="L3108" s="40" t="n">
        <x:v>9700</x:v>
      </x:c>
      <x:c r="M3108" s="24" t="str">
        <x:v>-10.00 a +8.00
-12.00 a +8.00</x:v>
      </x:c>
      <x:c r="N3108" s="24" t="str">
        <x:v>-4.00
-6.00</x:v>
      </x:c>
      <x:c r="O3108" s="24" t="str">
        <x:v>0.75 a 3.50</x:v>
      </x:c>
      <x:c r="P3108" s="24" t="str">
        <x:v>70/75
65/70</x:v>
      </x:c>
      <x:c r="Q3108" s="24"/>
      <x:c r="R3108" s="24"/>
      <x:c r="S3108" s="26" t="n">
        <x:v>46113</x:v>
      </x:c>
      <x:c r="T3108" s="26"/>
      <x:c r="U3108" s="24" t="str">
        <x:v>ATIVA/SEM FIM INFORMADO</x:v>
      </x:c>
      <x:c r="V3108" s="24" t="str">
        <x:v>Programa de Parcerias ZEISS — categoria Experts</x:v>
      </x:c>
      <x:c r="W3108" s="24" t="n">
        <x:v>53</x:v>
      </x:c>
      <x:c r="X3108" s="24" t="str">
        <x:v>tabela_zeiss.pdf</x:v>
      </x:c>
      <x:c r="Y3108" s="24" t="str">
        <x:v>alta</x:v>
      </x:c>
      <x:c r="Z3108" s="24"/>
      <x:c r="AA3108" s="24" t="str">
        <x:v>ZEISS|Progressiva AdaptiveSun|Surfaçada|SmartLife Plus AdaptiveSun|AdaptiveSun|1.67|1.67|DuraVision Chrome UV|-10.00 a +8.00
-12.00 a +8.00|-4.00
-6.00|0.75 a 3.50|70/75
65/70|||53</x:v>
      </x:c>
    </x:row>
    <x:row r="3109">
      <x:c r="A3109" s="24" t="str">
        <x:v>ZS-BE67EECF66EF</x:v>
      </x:c>
      <x:c r="B3109" s="24" t="str">
        <x:v>SIM</x:v>
      </x:c>
      <x:c r="C3109" s="24" t="str">
        <x:v>DISPONÍVEL</x:v>
      </x:c>
      <x:c r="D3109" s="24" t="str">
        <x:v>ZEISS</x:v>
      </x:c>
      <x:c r="E3109" s="24" t="str">
        <x:v>Progressiva AdaptiveSun</x:v>
      </x:c>
      <x:c r="F3109" s="24" t="str">
        <x:v>Surfaçada</x:v>
      </x:c>
      <x:c r="G3109" s="24" t="str">
        <x:v>SmartLife Plus AdaptiveSun</x:v>
      </x:c>
      <x:c r="H3109" s="24" t="str">
        <x:v>AdaptiveSun</x:v>
      </x:c>
      <x:c r="I3109" s="24" t="str">
        <x:v>1.67</x:v>
      </x:c>
      <x:c r="J3109" s="24" t="str">
        <x:v>1.67</x:v>
      </x:c>
      <x:c r="K3109" s="24" t="str">
        <x:v>Sem AR</x:v>
      </x:c>
      <x:c r="L3109" s="40" t="n">
        <x:v>9300</x:v>
      </x:c>
      <x:c r="M3109" s="24" t="str">
        <x:v>-10.00 a +8.00
-12.00 a +8.00</x:v>
      </x:c>
      <x:c r="N3109" s="24" t="str">
        <x:v>-4.00
-6.00</x:v>
      </x:c>
      <x:c r="O3109" s="24" t="str">
        <x:v>0.75 a 3.50</x:v>
      </x:c>
      <x:c r="P3109" s="24" t="str">
        <x:v>70/75
65/70</x:v>
      </x:c>
      <x:c r="Q3109" s="24"/>
      <x:c r="R3109" s="24"/>
      <x:c r="S3109" s="26" t="n">
        <x:v>46113</x:v>
      </x:c>
      <x:c r="T3109" s="26"/>
      <x:c r="U3109" s="24" t="str">
        <x:v>ATIVA/SEM FIM INFORMADO</x:v>
      </x:c>
      <x:c r="V3109" s="24" t="str">
        <x:v>Programa de Parcerias ZEISS — categoria Experts</x:v>
      </x:c>
      <x:c r="W3109" s="24" t="n">
        <x:v>53</x:v>
      </x:c>
      <x:c r="X3109" s="24" t="str">
        <x:v>tabela_zeiss.pdf</x:v>
      </x:c>
      <x:c r="Y3109" s="24" t="str">
        <x:v>alta</x:v>
      </x:c>
      <x:c r="Z3109" s="24"/>
      <x:c r="AA3109" s="24" t="str">
        <x:v>ZEISS|Progressiva AdaptiveSun|Surfaçada|SmartLife Plus AdaptiveSun|AdaptiveSun|1.67|1.67|Sem AR|-10.00 a +8.00
-12.00 a +8.00|-4.00
-6.00|0.75 a 3.50|70/75
65/70|||53</x:v>
      </x:c>
    </x:row>
    <x:row r="3110">
      <x:c r="A3110" s="24" t="str">
        <x:v>ZS-179196A6BA97</x:v>
      </x:c>
      <x:c r="B3110" s="24" t="str">
        <x:v>SIM</x:v>
      </x:c>
      <x:c r="C3110" s="24" t="str">
        <x:v>DISPONÍVEL</x:v>
      </x:c>
      <x:c r="D3110" s="24" t="str">
        <x:v>ZEISS</x:v>
      </x:c>
      <x:c r="E3110" s="24" t="str">
        <x:v>Progressiva AdaptiveSun</x:v>
      </x:c>
      <x:c r="F3110" s="24" t="str">
        <x:v>Surfaçada</x:v>
      </x:c>
      <x:c r="G3110" s="24" t="str">
        <x:v>SmartLife Pure AdaptiveSun</x:v>
      </x:c>
      <x:c r="H3110" s="24" t="str">
        <x:v>AdaptiveSun</x:v>
      </x:c>
      <x:c r="I3110" s="24" t="str">
        <x:v>1.5</x:v>
      </x:c>
      <x:c r="J3110" s="24" t="str">
        <x:v>1.50</x:v>
      </x:c>
      <x:c r="K3110" s="24" t="str">
        <x:v>DuraVision Platinum UV</x:v>
      </x:c>
      <x:c r="L3110" s="40" t="n">
        <x:v>6660</x:v>
      </x:c>
      <x:c r="M3110" s="24" t="str">
        <x:v>-6.00 a +4.00
-7.00 a +5.00</x:v>
      </x:c>
      <x:c r="N3110" s="24" t="str">
        <x:v>-4.00</x:v>
      </x:c>
      <x:c r="O3110" s="24" t="str">
        <x:v>0.75 a 3.50</x:v>
      </x:c>
      <x:c r="P3110" s="24" t="str">
        <x:v>75/80
70/75</x:v>
      </x:c>
      <x:c r="Q3110" s="24"/>
      <x:c r="R3110" s="24"/>
      <x:c r="S3110" s="26" t="n">
        <x:v>46113</x:v>
      </x:c>
      <x:c r="T3110" s="26"/>
      <x:c r="U3110" s="24" t="str">
        <x:v>ATIVA/SEM FIM INFORMADO</x:v>
      </x:c>
      <x:c r="V3110" s="24" t="str">
        <x:v>Programa de Parcerias ZEISS — categoria Experts</x:v>
      </x:c>
      <x:c r="W3110" s="24" t="n">
        <x:v>53</x:v>
      </x:c>
      <x:c r="X3110" s="24" t="str">
        <x:v>tabela_zeiss.pdf</x:v>
      </x:c>
      <x:c r="Y3110" s="24" t="str">
        <x:v>alta</x:v>
      </x:c>
      <x:c r="Z3110" s="24"/>
      <x:c r="AA3110" s="24" t="str">
        <x:v>ZEISS|Progressiva AdaptiveSun|Surfaçada|SmartLife Pure AdaptiveSun|AdaptiveSun|1.5|1.50|DuraVision Platinum UV|-6.00 a +4.00
-7.00 a +5.00|-4.00|0.75 a 3.50|75/80
70/75|||53</x:v>
      </x:c>
    </x:row>
    <x:row r="3111">
      <x:c r="A3111" s="24" t="str">
        <x:v>ZS-8D1C13B3D339</x:v>
      </x:c>
      <x:c r="B3111" s="24" t="str">
        <x:v>SIM</x:v>
      </x:c>
      <x:c r="C3111" s="24" t="str">
        <x:v>DISPONÍVEL</x:v>
      </x:c>
      <x:c r="D3111" s="24" t="str">
        <x:v>ZEISS</x:v>
      </x:c>
      <x:c r="E3111" s="24" t="str">
        <x:v>Progressiva AdaptiveSun</x:v>
      </x:c>
      <x:c r="F3111" s="24" t="str">
        <x:v>Surfaçada</x:v>
      </x:c>
      <x:c r="G3111" s="24" t="str">
        <x:v>SmartLife Pure AdaptiveSun</x:v>
      </x:c>
      <x:c r="H3111" s="24" t="str">
        <x:v>AdaptiveSun</x:v>
      </x:c>
      <x:c r="I3111" s="24" t="str">
        <x:v>1.5</x:v>
      </x:c>
      <x:c r="J3111" s="24" t="str">
        <x:v>1.50</x:v>
      </x:c>
      <x:c r="K3111" s="24" t="str">
        <x:v>DuraVision Silver UV</x:v>
      </x:c>
      <x:c r="L3111" s="40" t="n">
        <x:v>6400</x:v>
      </x:c>
      <x:c r="M3111" s="24" t="str">
        <x:v>-6.00 a +4.00
-7.00 a +5.00</x:v>
      </x:c>
      <x:c r="N3111" s="24" t="str">
        <x:v>-4.00</x:v>
      </x:c>
      <x:c r="O3111" s="24" t="str">
        <x:v>0.75 a 3.50</x:v>
      </x:c>
      <x:c r="P3111" s="24" t="str">
        <x:v>75/80
70/75</x:v>
      </x:c>
      <x:c r="Q3111" s="24"/>
      <x:c r="R3111" s="24"/>
      <x:c r="S3111" s="26" t="n">
        <x:v>46113</x:v>
      </x:c>
      <x:c r="T3111" s="26"/>
      <x:c r="U3111" s="24" t="str">
        <x:v>ATIVA/SEM FIM INFORMADO</x:v>
      </x:c>
      <x:c r="V3111" s="24" t="str">
        <x:v>Programa de Parcerias ZEISS — categoria Experts</x:v>
      </x:c>
      <x:c r="W3111" s="24" t="n">
        <x:v>53</x:v>
      </x:c>
      <x:c r="X3111" s="24" t="str">
        <x:v>tabela_zeiss.pdf</x:v>
      </x:c>
      <x:c r="Y3111" s="24" t="str">
        <x:v>alta</x:v>
      </x:c>
      <x:c r="Z3111" s="24"/>
      <x:c r="AA3111" s="24" t="str">
        <x:v>ZEISS|Progressiva AdaptiveSun|Surfaçada|SmartLife Pure AdaptiveSun|AdaptiveSun|1.5|1.50|DuraVision Silver UV|-6.00 a +4.00
-7.00 a +5.00|-4.00|0.75 a 3.50|75/80
70/75|||53</x:v>
      </x:c>
    </x:row>
    <x:row r="3112">
      <x:c r="A3112" s="24" t="str">
        <x:v>ZS-DF76D40EEF4A</x:v>
      </x:c>
      <x:c r="B3112" s="24" t="str">
        <x:v>SIM</x:v>
      </x:c>
      <x:c r="C3112" s="24" t="str">
        <x:v>DISPONÍVEL</x:v>
      </x:c>
      <x:c r="D3112" s="24" t="str">
        <x:v>ZEISS</x:v>
      </x:c>
      <x:c r="E3112" s="24" t="str">
        <x:v>Progressiva AdaptiveSun</x:v>
      </x:c>
      <x:c r="F3112" s="24" t="str">
        <x:v>Surfaçada</x:v>
      </x:c>
      <x:c r="G3112" s="24" t="str">
        <x:v>SmartLife Pure AdaptiveSun</x:v>
      </x:c>
      <x:c r="H3112" s="24" t="str">
        <x:v>AdaptiveSun</x:v>
      </x:c>
      <x:c r="I3112" s="24" t="str">
        <x:v>1.5</x:v>
      </x:c>
      <x:c r="J3112" s="24" t="str">
        <x:v>1.50</x:v>
      </x:c>
      <x:c r="K3112" s="24" t="str">
        <x:v>DuraVision Chrome UV</x:v>
      </x:c>
      <x:c r="L3112" s="40" t="n">
        <x:v>5910</x:v>
      </x:c>
      <x:c r="M3112" s="24" t="str">
        <x:v>-6.00 a +4.00
-7.00 a +5.00</x:v>
      </x:c>
      <x:c r="N3112" s="24" t="str">
        <x:v>-4.00</x:v>
      </x:c>
      <x:c r="O3112" s="24" t="str">
        <x:v>0.75 a 3.50</x:v>
      </x:c>
      <x:c r="P3112" s="24" t="str">
        <x:v>75/80
70/75</x:v>
      </x:c>
      <x:c r="Q3112" s="24"/>
      <x:c r="R3112" s="24"/>
      <x:c r="S3112" s="26" t="n">
        <x:v>46113</x:v>
      </x:c>
      <x:c r="T3112" s="26"/>
      <x:c r="U3112" s="24" t="str">
        <x:v>ATIVA/SEM FIM INFORMADO</x:v>
      </x:c>
      <x:c r="V3112" s="24" t="str">
        <x:v>Programa de Parcerias ZEISS — categoria Experts</x:v>
      </x:c>
      <x:c r="W3112" s="24" t="n">
        <x:v>53</x:v>
      </x:c>
      <x:c r="X3112" s="24" t="str">
        <x:v>tabela_zeiss.pdf</x:v>
      </x:c>
      <x:c r="Y3112" s="24" t="str">
        <x:v>alta</x:v>
      </x:c>
      <x:c r="Z3112" s="24"/>
      <x:c r="AA3112" s="24" t="str">
        <x:v>ZEISS|Progressiva AdaptiveSun|Surfaçada|SmartLife Pure AdaptiveSun|AdaptiveSun|1.5|1.50|DuraVision Chrome UV|-6.00 a +4.00
-7.00 a +5.00|-4.00|0.75 a 3.50|75/80
70/75|||53</x:v>
      </x:c>
    </x:row>
    <x:row r="3113">
      <x:c r="A3113" s="24" t="str">
        <x:v>ZS-B4334B574F0C</x:v>
      </x:c>
      <x:c r="B3113" s="24" t="str">
        <x:v>SIM</x:v>
      </x:c>
      <x:c r="C3113" s="24" t="str">
        <x:v>DISPONÍVEL</x:v>
      </x:c>
      <x:c r="D3113" s="24" t="str">
        <x:v>ZEISS</x:v>
      </x:c>
      <x:c r="E3113" s="24" t="str">
        <x:v>Progressiva AdaptiveSun</x:v>
      </x:c>
      <x:c r="F3113" s="24" t="str">
        <x:v>Surfaçada</x:v>
      </x:c>
      <x:c r="G3113" s="24" t="str">
        <x:v>SmartLife Pure AdaptiveSun</x:v>
      </x:c>
      <x:c r="H3113" s="24" t="str">
        <x:v>AdaptiveSun</x:v>
      </x:c>
      <x:c r="I3113" s="24" t="str">
        <x:v>1.5</x:v>
      </x:c>
      <x:c r="J3113" s="24" t="str">
        <x:v>1.50</x:v>
      </x:c>
      <x:c r="K3113" s="24" t="str">
        <x:v>Sem AR</x:v>
      </x:c>
      <x:c r="L3113" s="40" t="n">
        <x:v>5510</x:v>
      </x:c>
      <x:c r="M3113" s="24" t="str">
        <x:v>-6.00 a +4.00
-7.00 a +5.00</x:v>
      </x:c>
      <x:c r="N3113" s="24" t="str">
        <x:v>-4.00</x:v>
      </x:c>
      <x:c r="O3113" s="24" t="str">
        <x:v>0.75 a 3.50</x:v>
      </x:c>
      <x:c r="P3113" s="24" t="str">
        <x:v>75/80
70/75</x:v>
      </x:c>
      <x:c r="Q3113" s="24"/>
      <x:c r="R3113" s="24"/>
      <x:c r="S3113" s="26" t="n">
        <x:v>46113</x:v>
      </x:c>
      <x:c r="T3113" s="26"/>
      <x:c r="U3113" s="24" t="str">
        <x:v>ATIVA/SEM FIM INFORMADO</x:v>
      </x:c>
      <x:c r="V3113" s="24" t="str">
        <x:v>Programa de Parcerias ZEISS — categoria Experts</x:v>
      </x:c>
      <x:c r="W3113" s="24" t="n">
        <x:v>53</x:v>
      </x:c>
      <x:c r="X3113" s="24" t="str">
        <x:v>tabela_zeiss.pdf</x:v>
      </x:c>
      <x:c r="Y3113" s="24" t="str">
        <x:v>alta</x:v>
      </x:c>
      <x:c r="Z3113" s="24"/>
      <x:c r="AA3113" s="24" t="str">
        <x:v>ZEISS|Progressiva AdaptiveSun|Surfaçada|SmartLife Pure AdaptiveSun|AdaptiveSun|1.5|1.50|Sem AR|-6.00 a +4.00
-7.00 a +5.00|-4.00|0.75 a 3.50|75/80
70/75|||53</x:v>
      </x:c>
    </x:row>
    <x:row r="3114">
      <x:c r="A3114" s="24" t="str">
        <x:v>ZS-E7983B35B9EC</x:v>
      </x:c>
      <x:c r="B3114" s="24" t="str">
        <x:v>SIM</x:v>
      </x:c>
      <x:c r="C3114" s="24" t="str">
        <x:v>DISPONÍVEL</x:v>
      </x:c>
      <x:c r="D3114" s="24" t="str">
        <x:v>ZEISS</x:v>
      </x:c>
      <x:c r="E3114" s="24" t="str">
        <x:v>Progressiva AdaptiveSun</x:v>
      </x:c>
      <x:c r="F3114" s="24" t="str">
        <x:v>Surfaçada</x:v>
      </x:c>
      <x:c r="G3114" s="24" t="str">
        <x:v>SmartLife Pure AdaptiveSun</x:v>
      </x:c>
      <x:c r="H3114" s="24" t="str">
        <x:v>AdaptiveSun</x:v>
      </x:c>
      <x:c r="I3114" s="24" t="str">
        <x:v>1.6</x:v>
      </x:c>
      <x:c r="J3114" s="24" t="str">
        <x:v>1.60</x:v>
      </x:c>
      <x:c r="K3114" s="24" t="str">
        <x:v>DuraVision Platinum UV</x:v>
      </x:c>
      <x:c r="L3114" s="40" t="n">
        <x:v>7910</x:v>
      </x:c>
      <x:c r="M3114" s="24" t="str">
        <x:v>-5.00 a +6.00
-10.00 a +6.00</x:v>
      </x:c>
      <x:c r="N3114" s="24" t="str">
        <x:v>-4.00
-6.00</x:v>
      </x:c>
      <x:c r="O3114" s="24" t="str">
        <x:v>0.75 a 4.00</x:v>
      </x:c>
      <x:c r="P3114" s="24" t="str">
        <x:v>75/80
70/75</x:v>
      </x:c>
      <x:c r="Q3114" s="24"/>
      <x:c r="R3114" s="24"/>
      <x:c r="S3114" s="26" t="n">
        <x:v>46113</x:v>
      </x:c>
      <x:c r="T3114" s="26"/>
      <x:c r="U3114" s="24" t="str">
        <x:v>ATIVA/SEM FIM INFORMADO</x:v>
      </x:c>
      <x:c r="V3114" s="24" t="str">
        <x:v>Programa de Parcerias ZEISS — categoria Experts</x:v>
      </x:c>
      <x:c r="W3114" s="24" t="n">
        <x:v>53</x:v>
      </x:c>
      <x:c r="X3114" s="24" t="str">
        <x:v>tabela_zeiss.pdf</x:v>
      </x:c>
      <x:c r="Y3114" s="24" t="str">
        <x:v>alta</x:v>
      </x:c>
      <x:c r="Z3114" s="24"/>
      <x:c r="AA3114" s="24" t="str">
        <x:v>ZEISS|Progressiva AdaptiveSun|Surfaçada|SmartLife Pure AdaptiveSun|AdaptiveSun|1.6|1.60|DuraVision Platinum UV|-5.00 a +6.00
-10.00 a +6.00|-4.00
-6.00|0.75 a 4.00|75/80
70/75|||53</x:v>
      </x:c>
    </x:row>
    <x:row r="3115">
      <x:c r="A3115" s="24" t="str">
        <x:v>ZS-2520B9FDED03</x:v>
      </x:c>
      <x:c r="B3115" s="24" t="str">
        <x:v>SIM</x:v>
      </x:c>
      <x:c r="C3115" s="24" t="str">
        <x:v>DISPONÍVEL</x:v>
      </x:c>
      <x:c r="D3115" s="24" t="str">
        <x:v>ZEISS</x:v>
      </x:c>
      <x:c r="E3115" s="24" t="str">
        <x:v>Progressiva AdaptiveSun</x:v>
      </x:c>
      <x:c r="F3115" s="24" t="str">
        <x:v>Surfaçada</x:v>
      </x:c>
      <x:c r="G3115" s="24" t="str">
        <x:v>SmartLife Pure AdaptiveSun</x:v>
      </x:c>
      <x:c r="H3115" s="24" t="str">
        <x:v>AdaptiveSun</x:v>
      </x:c>
      <x:c r="I3115" s="24" t="str">
        <x:v>1.6</x:v>
      </x:c>
      <x:c r="J3115" s="24" t="str">
        <x:v>1.60</x:v>
      </x:c>
      <x:c r="K3115" s="24" t="str">
        <x:v>DuraVision Silver UV</x:v>
      </x:c>
      <x:c r="L3115" s="40" t="n">
        <x:v>7650</x:v>
      </x:c>
      <x:c r="M3115" s="24" t="str">
        <x:v>-5.00 a +6.00
-10.00 a +6.00</x:v>
      </x:c>
      <x:c r="N3115" s="24" t="str">
        <x:v>-4.00
-6.00</x:v>
      </x:c>
      <x:c r="O3115" s="24" t="str">
        <x:v>0.75 a 4.00</x:v>
      </x:c>
      <x:c r="P3115" s="24" t="str">
        <x:v>75/80
70/75</x:v>
      </x:c>
      <x:c r="Q3115" s="24"/>
      <x:c r="R3115" s="24"/>
      <x:c r="S3115" s="26" t="n">
        <x:v>46113</x:v>
      </x:c>
      <x:c r="T3115" s="26"/>
      <x:c r="U3115" s="24" t="str">
        <x:v>ATIVA/SEM FIM INFORMADO</x:v>
      </x:c>
      <x:c r="V3115" s="24" t="str">
        <x:v>Programa de Parcerias ZEISS — categoria Experts</x:v>
      </x:c>
      <x:c r="W3115" s="24" t="n">
        <x:v>53</x:v>
      </x:c>
      <x:c r="X3115" s="24" t="str">
        <x:v>tabela_zeiss.pdf</x:v>
      </x:c>
      <x:c r="Y3115" s="24" t="str">
        <x:v>alta</x:v>
      </x:c>
      <x:c r="Z3115" s="24"/>
      <x:c r="AA3115" s="24" t="str">
        <x:v>ZEISS|Progressiva AdaptiveSun|Surfaçada|SmartLife Pure AdaptiveSun|AdaptiveSun|1.6|1.60|DuraVision Silver UV|-5.00 a +6.00
-10.00 a +6.00|-4.00
-6.00|0.75 a 4.00|75/80
70/75|||53</x:v>
      </x:c>
    </x:row>
    <x:row r="3116">
      <x:c r="A3116" s="24" t="str">
        <x:v>ZS-5D8CD628FB28</x:v>
      </x:c>
      <x:c r="B3116" s="24" t="str">
        <x:v>SIM</x:v>
      </x:c>
      <x:c r="C3116" s="24" t="str">
        <x:v>DISPONÍVEL</x:v>
      </x:c>
      <x:c r="D3116" s="24" t="str">
        <x:v>ZEISS</x:v>
      </x:c>
      <x:c r="E3116" s="24" t="str">
        <x:v>Progressiva AdaptiveSun</x:v>
      </x:c>
      <x:c r="F3116" s="24" t="str">
        <x:v>Surfaçada</x:v>
      </x:c>
      <x:c r="G3116" s="24" t="str">
        <x:v>SmartLife Pure AdaptiveSun</x:v>
      </x:c>
      <x:c r="H3116" s="24" t="str">
        <x:v>AdaptiveSun</x:v>
      </x:c>
      <x:c r="I3116" s="24" t="str">
        <x:v>1.6</x:v>
      </x:c>
      <x:c r="J3116" s="24" t="str">
        <x:v>1.60</x:v>
      </x:c>
      <x:c r="K3116" s="24" t="str">
        <x:v>DuraVision Chrome UV</x:v>
      </x:c>
      <x:c r="L3116" s="40" t="n">
        <x:v>7160</x:v>
      </x:c>
      <x:c r="M3116" s="24" t="str">
        <x:v>-5.00 a +6.00
-10.00 a +6.00</x:v>
      </x:c>
      <x:c r="N3116" s="24" t="str">
        <x:v>-4.00
-6.00</x:v>
      </x:c>
      <x:c r="O3116" s="24" t="str">
        <x:v>0.75 a 4.00</x:v>
      </x:c>
      <x:c r="P3116" s="24" t="str">
        <x:v>75/80
70/75</x:v>
      </x:c>
      <x:c r="Q3116" s="24"/>
      <x:c r="R3116" s="24"/>
      <x:c r="S3116" s="26" t="n">
        <x:v>46113</x:v>
      </x:c>
      <x:c r="T3116" s="26"/>
      <x:c r="U3116" s="24" t="str">
        <x:v>ATIVA/SEM FIM INFORMADO</x:v>
      </x:c>
      <x:c r="V3116" s="24" t="str">
        <x:v>Programa de Parcerias ZEISS — categoria Experts</x:v>
      </x:c>
      <x:c r="W3116" s="24" t="n">
        <x:v>53</x:v>
      </x:c>
      <x:c r="X3116" s="24" t="str">
        <x:v>tabela_zeiss.pdf</x:v>
      </x:c>
      <x:c r="Y3116" s="24" t="str">
        <x:v>alta</x:v>
      </x:c>
      <x:c r="Z3116" s="24"/>
      <x:c r="AA3116" s="24" t="str">
        <x:v>ZEISS|Progressiva AdaptiveSun|Surfaçada|SmartLife Pure AdaptiveSun|AdaptiveSun|1.6|1.60|DuraVision Chrome UV|-5.00 a +6.00
-10.00 a +6.00|-4.00
-6.00|0.75 a 4.00|75/80
70/75|||53</x:v>
      </x:c>
    </x:row>
    <x:row r="3117">
      <x:c r="A3117" s="24" t="str">
        <x:v>ZS-E6C762D9AE2D</x:v>
      </x:c>
      <x:c r="B3117" s="24" t="str">
        <x:v>SIM</x:v>
      </x:c>
      <x:c r="C3117" s="24" t="str">
        <x:v>DISPONÍVEL</x:v>
      </x:c>
      <x:c r="D3117" s="24" t="str">
        <x:v>ZEISS</x:v>
      </x:c>
      <x:c r="E3117" s="24" t="str">
        <x:v>Progressiva AdaptiveSun</x:v>
      </x:c>
      <x:c r="F3117" s="24" t="str">
        <x:v>Surfaçada</x:v>
      </x:c>
      <x:c r="G3117" s="24" t="str">
        <x:v>SmartLife Pure AdaptiveSun</x:v>
      </x:c>
      <x:c r="H3117" s="24" t="str">
        <x:v>AdaptiveSun</x:v>
      </x:c>
      <x:c r="I3117" s="24" t="str">
        <x:v>1.6</x:v>
      </x:c>
      <x:c r="J3117" s="24" t="str">
        <x:v>1.60</x:v>
      </x:c>
      <x:c r="K3117" s="24" t="str">
        <x:v>Sem AR</x:v>
      </x:c>
      <x:c r="L3117" s="40" t="n">
        <x:v>6760</x:v>
      </x:c>
      <x:c r="M3117" s="24" t="str">
        <x:v>-5.00 a +6.00
-10.00 a +6.00</x:v>
      </x:c>
      <x:c r="N3117" s="24" t="str">
        <x:v>-4.00
-6.00</x:v>
      </x:c>
      <x:c r="O3117" s="24" t="str">
        <x:v>0.75 a 4.00</x:v>
      </x:c>
      <x:c r="P3117" s="24" t="str">
        <x:v>75/80
70/75</x:v>
      </x:c>
      <x:c r="Q3117" s="24"/>
      <x:c r="R3117" s="24"/>
      <x:c r="S3117" s="26" t="n">
        <x:v>46113</x:v>
      </x:c>
      <x:c r="T3117" s="26"/>
      <x:c r="U3117" s="24" t="str">
        <x:v>ATIVA/SEM FIM INFORMADO</x:v>
      </x:c>
      <x:c r="V3117" s="24" t="str">
        <x:v>Programa de Parcerias ZEISS — categoria Experts</x:v>
      </x:c>
      <x:c r="W3117" s="24" t="n">
        <x:v>53</x:v>
      </x:c>
      <x:c r="X3117" s="24" t="str">
        <x:v>tabela_zeiss.pdf</x:v>
      </x:c>
      <x:c r="Y3117" s="24" t="str">
        <x:v>alta</x:v>
      </x:c>
      <x:c r="Z3117" s="24"/>
      <x:c r="AA3117" s="24" t="str">
        <x:v>ZEISS|Progressiva AdaptiveSun|Surfaçada|SmartLife Pure AdaptiveSun|AdaptiveSun|1.6|1.60|Sem AR|-5.00 a +6.00
-10.00 a +6.00|-4.00
-6.00|0.75 a 4.00|75/80
70/75|||53</x:v>
      </x:c>
    </x:row>
    <x:row r="3118">
      <x:c r="A3118" s="24" t="str">
        <x:v>ZS-ABEC996DB75B</x:v>
      </x:c>
      <x:c r="B3118" s="24" t="str">
        <x:v>SIM</x:v>
      </x:c>
      <x:c r="C3118" s="24" t="str">
        <x:v>DISPONÍVEL</x:v>
      </x:c>
      <x:c r="D3118" s="24" t="str">
        <x:v>ZEISS</x:v>
      </x:c>
      <x:c r="E3118" s="24" t="str">
        <x:v>Progressiva AdaptiveSun</x:v>
      </x:c>
      <x:c r="F3118" s="24" t="str">
        <x:v>Surfaçada</x:v>
      </x:c>
      <x:c r="G3118" s="24" t="str">
        <x:v>SmartLife Pure AdaptiveSun</x:v>
      </x:c>
      <x:c r="H3118" s="24" t="str">
        <x:v>AdaptiveSun</x:v>
      </x:c>
      <x:c r="I3118" s="24" t="str">
        <x:v>1.67</x:v>
      </x:c>
      <x:c r="J3118" s="24" t="str">
        <x:v>1.67</x:v>
      </x:c>
      <x:c r="K3118" s="24" t="str">
        <x:v>DuraVision Platinum UV</x:v>
      </x:c>
      <x:c r="L3118" s="40" t="n">
        <x:v>9550</x:v>
      </x:c>
      <x:c r="M3118" s="24" t="str">
        <x:v>-10.00 a +8.00
-12.00 a +8.00</x:v>
      </x:c>
      <x:c r="N3118" s="24" t="str">
        <x:v>-4.00
-6.00</x:v>
      </x:c>
      <x:c r="O3118" s="24" t="str">
        <x:v>0.75 a 3.50</x:v>
      </x:c>
      <x:c r="P3118" s="24" t="str">
        <x:v>70/75
65/70</x:v>
      </x:c>
      <x:c r="Q3118" s="24"/>
      <x:c r="R3118" s="24"/>
      <x:c r="S3118" s="26" t="n">
        <x:v>46113</x:v>
      </x:c>
      <x:c r="T3118" s="26"/>
      <x:c r="U3118" s="24" t="str">
        <x:v>ATIVA/SEM FIM INFORMADO</x:v>
      </x:c>
      <x:c r="V3118" s="24" t="str">
        <x:v>Programa de Parcerias ZEISS — categoria Experts</x:v>
      </x:c>
      <x:c r="W3118" s="24" t="n">
        <x:v>53</x:v>
      </x:c>
      <x:c r="X3118" s="24" t="str">
        <x:v>tabela_zeiss.pdf</x:v>
      </x:c>
      <x:c r="Y3118" s="24" t="str">
        <x:v>alta</x:v>
      </x:c>
      <x:c r="Z3118" s="24"/>
      <x:c r="AA3118" s="24" t="str">
        <x:v>ZEISS|Progressiva AdaptiveSun|Surfaçada|SmartLife Pure AdaptiveSun|AdaptiveSun|1.67|1.67|DuraVision Platinum UV|-10.00 a +8.00
-12.00 a +8.00|-4.00
-6.00|0.75 a 3.50|70/75
65/70|||53</x:v>
      </x:c>
    </x:row>
    <x:row r="3119">
      <x:c r="A3119" s="24" t="str">
        <x:v>ZS-E60E536383C6</x:v>
      </x:c>
      <x:c r="B3119" s="24" t="str">
        <x:v>SIM</x:v>
      </x:c>
      <x:c r="C3119" s="24" t="str">
        <x:v>DISPONÍVEL</x:v>
      </x:c>
      <x:c r="D3119" s="24" t="str">
        <x:v>ZEISS</x:v>
      </x:c>
      <x:c r="E3119" s="24" t="str">
        <x:v>Progressiva AdaptiveSun</x:v>
      </x:c>
      <x:c r="F3119" s="24" t="str">
        <x:v>Surfaçada</x:v>
      </x:c>
      <x:c r="G3119" s="24" t="str">
        <x:v>SmartLife Pure AdaptiveSun</x:v>
      </x:c>
      <x:c r="H3119" s="24" t="str">
        <x:v>AdaptiveSun</x:v>
      </x:c>
      <x:c r="I3119" s="24" t="str">
        <x:v>1.67</x:v>
      </x:c>
      <x:c r="J3119" s="24" t="str">
        <x:v>1.67</x:v>
      </x:c>
      <x:c r="K3119" s="24" t="str">
        <x:v>DuraVision Silver UV</x:v>
      </x:c>
      <x:c r="L3119" s="40" t="n">
        <x:v>9290</x:v>
      </x:c>
      <x:c r="M3119" s="24" t="str">
        <x:v>-10.00 a +8.00
-12.00 a +8.00</x:v>
      </x:c>
      <x:c r="N3119" s="24" t="str">
        <x:v>-4.00
-6.00</x:v>
      </x:c>
      <x:c r="O3119" s="24" t="str">
        <x:v>0.75 a 3.50</x:v>
      </x:c>
      <x:c r="P3119" s="24" t="str">
        <x:v>70/75
65/70</x:v>
      </x:c>
      <x:c r="Q3119" s="24"/>
      <x:c r="R3119" s="24"/>
      <x:c r="S3119" s="26" t="n">
        <x:v>46113</x:v>
      </x:c>
      <x:c r="T3119" s="26"/>
      <x:c r="U3119" s="24" t="str">
        <x:v>ATIVA/SEM FIM INFORMADO</x:v>
      </x:c>
      <x:c r="V3119" s="24" t="str">
        <x:v>Programa de Parcerias ZEISS — categoria Experts</x:v>
      </x:c>
      <x:c r="W3119" s="24" t="n">
        <x:v>53</x:v>
      </x:c>
      <x:c r="X3119" s="24" t="str">
        <x:v>tabela_zeiss.pdf</x:v>
      </x:c>
      <x:c r="Y3119" s="24" t="str">
        <x:v>alta</x:v>
      </x:c>
      <x:c r="Z3119" s="24"/>
      <x:c r="AA3119" s="24" t="str">
        <x:v>ZEISS|Progressiva AdaptiveSun|Surfaçada|SmartLife Pure AdaptiveSun|AdaptiveSun|1.67|1.67|DuraVision Silver UV|-10.00 a +8.00
-12.00 a +8.00|-4.00
-6.00|0.75 a 3.50|70/75
65/70|||53</x:v>
      </x:c>
    </x:row>
    <x:row r="3120">
      <x:c r="A3120" s="24" t="str">
        <x:v>ZS-123A23B44B28</x:v>
      </x:c>
      <x:c r="B3120" s="24" t="str">
        <x:v>SIM</x:v>
      </x:c>
      <x:c r="C3120" s="24" t="str">
        <x:v>DISPONÍVEL</x:v>
      </x:c>
      <x:c r="D3120" s="24" t="str">
        <x:v>ZEISS</x:v>
      </x:c>
      <x:c r="E3120" s="24" t="str">
        <x:v>Progressiva AdaptiveSun</x:v>
      </x:c>
      <x:c r="F3120" s="24" t="str">
        <x:v>Surfaçada</x:v>
      </x:c>
      <x:c r="G3120" s="24" t="str">
        <x:v>SmartLife Pure AdaptiveSun</x:v>
      </x:c>
      <x:c r="H3120" s="24" t="str">
        <x:v>AdaptiveSun</x:v>
      </x:c>
      <x:c r="I3120" s="24" t="str">
        <x:v>1.67</x:v>
      </x:c>
      <x:c r="J3120" s="24" t="str">
        <x:v>1.67</x:v>
      </x:c>
      <x:c r="K3120" s="24" t="str">
        <x:v>DuraVision Chrome UV</x:v>
      </x:c>
      <x:c r="L3120" s="40" t="n">
        <x:v>8800</x:v>
      </x:c>
      <x:c r="M3120" s="24" t="str">
        <x:v>-10.00 a +8.00
-12.00 a +8.00</x:v>
      </x:c>
      <x:c r="N3120" s="24" t="str">
        <x:v>-4.00
-6.00</x:v>
      </x:c>
      <x:c r="O3120" s="24" t="str">
        <x:v>0.75 a 3.50</x:v>
      </x:c>
      <x:c r="P3120" s="24" t="str">
        <x:v>70/75
65/70</x:v>
      </x:c>
      <x:c r="Q3120" s="24"/>
      <x:c r="R3120" s="24"/>
      <x:c r="S3120" s="26" t="n">
        <x:v>46113</x:v>
      </x:c>
      <x:c r="T3120" s="26"/>
      <x:c r="U3120" s="24" t="str">
        <x:v>ATIVA/SEM FIM INFORMADO</x:v>
      </x:c>
      <x:c r="V3120" s="24" t="str">
        <x:v>Programa de Parcerias ZEISS — categoria Experts</x:v>
      </x:c>
      <x:c r="W3120" s="24" t="n">
        <x:v>53</x:v>
      </x:c>
      <x:c r="X3120" s="24" t="str">
        <x:v>tabela_zeiss.pdf</x:v>
      </x:c>
      <x:c r="Y3120" s="24" t="str">
        <x:v>alta</x:v>
      </x:c>
      <x:c r="Z3120" s="24"/>
      <x:c r="AA3120" s="24" t="str">
        <x:v>ZEISS|Progressiva AdaptiveSun|Surfaçada|SmartLife Pure AdaptiveSun|AdaptiveSun|1.67|1.67|DuraVision Chrome UV|-10.00 a +8.00
-12.00 a +8.00|-4.00
-6.00|0.75 a 3.50|70/75
65/70|||53</x:v>
      </x:c>
    </x:row>
    <x:row r="3121">
      <x:c r="A3121" s="24" t="str">
        <x:v>ZS-C37757C5F421</x:v>
      </x:c>
      <x:c r="B3121" s="24" t="str">
        <x:v>SIM</x:v>
      </x:c>
      <x:c r="C3121" s="24" t="str">
        <x:v>DISPONÍVEL</x:v>
      </x:c>
      <x:c r="D3121" s="24" t="str">
        <x:v>ZEISS</x:v>
      </x:c>
      <x:c r="E3121" s="24" t="str">
        <x:v>Progressiva AdaptiveSun</x:v>
      </x:c>
      <x:c r="F3121" s="24" t="str">
        <x:v>Surfaçada</x:v>
      </x:c>
      <x:c r="G3121" s="24" t="str">
        <x:v>SmartLife Pure AdaptiveSun</x:v>
      </x:c>
      <x:c r="H3121" s="24" t="str">
        <x:v>AdaptiveSun</x:v>
      </x:c>
      <x:c r="I3121" s="24" t="str">
        <x:v>1.67</x:v>
      </x:c>
      <x:c r="J3121" s="24" t="str">
        <x:v>1.67</x:v>
      </x:c>
      <x:c r="K3121" s="24" t="str">
        <x:v>Sem AR</x:v>
      </x:c>
      <x:c r="L3121" s="40" t="n">
        <x:v>8400</x:v>
      </x:c>
      <x:c r="M3121" s="24" t="str">
        <x:v>-10.00 a +8.00
-12.00 a +8.00</x:v>
      </x:c>
      <x:c r="N3121" s="24" t="str">
        <x:v>-4.00
-6.00</x:v>
      </x:c>
      <x:c r="O3121" s="24" t="str">
        <x:v>0.75 a 3.50</x:v>
      </x:c>
      <x:c r="P3121" s="24" t="str">
        <x:v>70/75
65/70</x:v>
      </x:c>
      <x:c r="Q3121" s="24"/>
      <x:c r="R3121" s="24"/>
      <x:c r="S3121" s="26" t="n">
        <x:v>46113</x:v>
      </x:c>
      <x:c r="T3121" s="26"/>
      <x:c r="U3121" s="24" t="str">
        <x:v>ATIVA/SEM FIM INFORMADO</x:v>
      </x:c>
      <x:c r="V3121" s="24" t="str">
        <x:v>Programa de Parcerias ZEISS — categoria Experts</x:v>
      </x:c>
      <x:c r="W3121" s="24" t="n">
        <x:v>53</x:v>
      </x:c>
      <x:c r="X3121" s="24" t="str">
        <x:v>tabela_zeiss.pdf</x:v>
      </x:c>
      <x:c r="Y3121" s="24" t="str">
        <x:v>alta</x:v>
      </x:c>
      <x:c r="Z3121" s="24"/>
      <x:c r="AA3121" s="24" t="str">
        <x:v>ZEISS|Progressiva AdaptiveSun|Surfaçada|SmartLife Pure AdaptiveSun|AdaptiveSun|1.67|1.67|Sem AR|-10.00 a +8.00
-12.00 a +8.00|-4.00
-6.00|0.75 a 3.50|70/75
65/70|||53</x:v>
      </x:c>
    </x:row>
    <x:row r="3122">
      <x:c r="A3122" s="24" t="str">
        <x:v>ZS-33A06BD61C7D</x:v>
      </x:c>
      <x:c r="B3122" s="24" t="str">
        <x:v>SIM</x:v>
      </x:c>
      <x:c r="C3122" s="24" t="str">
        <x:v>DISPONÍVEL</x:v>
      </x:c>
      <x:c r="D3122" s="24" t="str">
        <x:v>ZEISS</x:v>
      </x:c>
      <x:c r="E3122" s="24" t="str">
        <x:v>Asiana</x:v>
      </x:c>
      <x:c r="F3122" s="24" t="str">
        <x:v>Surfaçada</x:v>
      </x:c>
      <x:c r="G3122" s="24" t="str">
        <x:v>Asiana</x:v>
      </x:c>
      <x:c r="H3122" s="24" t="str">
        <x:v>Asiana</x:v>
      </x:c>
      <x:c r="I3122" s="24" t="str">
        <x:v>1.5</x:v>
      </x:c>
      <x:c r="J3122" s="24" t="str">
        <x:v>1.50</x:v>
      </x:c>
      <x:c r="K3122" s="24" t="str">
        <x:v>DuraVision Gold UV</x:v>
      </x:c>
      <x:c r="L3122" s="40" t="n">
        <x:v>2270</x:v>
      </x:c>
      <x:c r="M3122" s="24" t="str">
        <x:v>-6.00 a +6.00</x:v>
      </x:c>
      <x:c r="N3122" s="24" t="str">
        <x:v>6.00</x:v>
      </x:c>
      <x:c r="O3122" s="24" t="str">
        <x:v>0.50</x:v>
      </x:c>
      <x:c r="P3122" s="24" t="str">
        <x:v>75/80</x:v>
      </x:c>
      <x:c r="Q3122" s="24"/>
      <x:c r="R3122" s="24"/>
      <x:c r="S3122" s="26" t="n">
        <x:v>46113</x:v>
      </x:c>
      <x:c r="T3122" s="26"/>
      <x:c r="U3122" s="24" t="str">
        <x:v>ATIVA/SEM FIM INFORMADO</x:v>
      </x:c>
      <x:c r="V3122" s="24"/>
      <x:c r="W3122" s="24" t="n">
        <x:v>54</x:v>
      </x:c>
      <x:c r="X3122" s="24" t="str">
        <x:v>tabela_zeiss.pdf</x:v>
      </x:c>
      <x:c r="Y3122" s="24" t="str">
        <x:v>alta</x:v>
      </x:c>
      <x:c r="Z3122" s="24"/>
      <x:c r="AA3122" s="24" t="str">
        <x:v>ZEISS|Asiana|Surfaçada|Asiana|Asiana|1.5|1.50|DuraVision Gold UV|-6.00 a +6.00|6.00|0.50|75/80|||54</x:v>
      </x:c>
    </x:row>
    <x:row r="3123">
      <x:c r="A3123" s="24" t="str">
        <x:v>ZS-3C322D7F0B1F</x:v>
      </x:c>
      <x:c r="B3123" s="24" t="str">
        <x:v>SIM</x:v>
      </x:c>
      <x:c r="C3123" s="24" t="str">
        <x:v>DISPONÍVEL</x:v>
      </x:c>
      <x:c r="D3123" s="24" t="str">
        <x:v>ZEISS</x:v>
      </x:c>
      <x:c r="E3123" s="24" t="str">
        <x:v>Asiana</x:v>
      </x:c>
      <x:c r="F3123" s="24" t="str">
        <x:v>Surfaçada</x:v>
      </x:c>
      <x:c r="G3123" s="24" t="str">
        <x:v>Asiana</x:v>
      </x:c>
      <x:c r="H3123" s="24" t="str">
        <x:v>Asiana</x:v>
      </x:c>
      <x:c r="I3123" s="24" t="str">
        <x:v>1.5</x:v>
      </x:c>
      <x:c r="J3123" s="24" t="str">
        <x:v>1.50</x:v>
      </x:c>
      <x:c r="K3123" s="24" t="str">
        <x:v>DURAVISION® ANTIVÍRUS PLATINUM UV</x:v>
      </x:c>
      <x:c r="L3123" s="40" t="n">
        <x:v>2130</x:v>
      </x:c>
      <x:c r="M3123" s="24" t="str">
        <x:v>-6.00 a +6.00</x:v>
      </x:c>
      <x:c r="N3123" s="24" t="str">
        <x:v>6.00</x:v>
      </x:c>
      <x:c r="O3123" s="24" t="str">
        <x:v>0.50</x:v>
      </x:c>
      <x:c r="P3123" s="24" t="str">
        <x:v>75/80</x:v>
      </x:c>
      <x:c r="Q3123" s="24"/>
      <x:c r="R3123" s="24"/>
      <x:c r="S3123" s="26" t="n">
        <x:v>46113</x:v>
      </x:c>
      <x:c r="T3123" s="26"/>
      <x:c r="U3123" s="24" t="str">
        <x:v>ATIVA/SEM FIM INFORMADO</x:v>
      </x:c>
      <x:c r="V3123" s="24"/>
      <x:c r="W3123" s="24" t="n">
        <x:v>54</x:v>
      </x:c>
      <x:c r="X3123" s="24" t="str">
        <x:v>tabela_zeiss.pdf</x:v>
      </x:c>
      <x:c r="Y3123" s="24" t="str">
        <x:v>alta</x:v>
      </x:c>
      <x:c r="Z3123" s="24"/>
      <x:c r="AA3123" s="24" t="str">
        <x:v>ZEISS|Asiana|Surfaçada|Asiana|Asiana|1.5|1.50|DURAVISION® ANTIVÍRUS PLATINUM UV|-6.00 a +6.00|6.00|0.50|75/80|||54</x:v>
      </x:c>
    </x:row>
    <x:row r="3124">
      <x:c r="A3124" s="24" t="str">
        <x:v>ZS-015D03893AF2</x:v>
      </x:c>
      <x:c r="B3124" s="24" t="str">
        <x:v>SIM</x:v>
      </x:c>
      <x:c r="C3124" s="24" t="str">
        <x:v>DISPONÍVEL</x:v>
      </x:c>
      <x:c r="D3124" s="24" t="str">
        <x:v>ZEISS</x:v>
      </x:c>
      <x:c r="E3124" s="24" t="str">
        <x:v>Asiana</x:v>
      </x:c>
      <x:c r="F3124" s="24" t="str">
        <x:v>Surfaçada</x:v>
      </x:c>
      <x:c r="G3124" s="24" t="str">
        <x:v>Asiana</x:v>
      </x:c>
      <x:c r="H3124" s="24" t="str">
        <x:v>Asiana</x:v>
      </x:c>
      <x:c r="I3124" s="24" t="str">
        <x:v>1.5</x:v>
      </x:c>
      <x:c r="J3124" s="24" t="str">
        <x:v>1.50</x:v>
      </x:c>
      <x:c r="K3124" s="24" t="str">
        <x:v>DuraVision Platinum UV</x:v>
      </x:c>
      <x:c r="L3124" s="40" t="n">
        <x:v>2130</x:v>
      </x:c>
      <x:c r="M3124" s="24" t="str">
        <x:v>-6.00 a +6.00</x:v>
      </x:c>
      <x:c r="N3124" s="24" t="str">
        <x:v>6.00</x:v>
      </x:c>
      <x:c r="O3124" s="24" t="str">
        <x:v>0.50</x:v>
      </x:c>
      <x:c r="P3124" s="24" t="str">
        <x:v>75/80</x:v>
      </x:c>
      <x:c r="Q3124" s="24"/>
      <x:c r="R3124" s="24"/>
      <x:c r="S3124" s="26" t="n">
        <x:v>46113</x:v>
      </x:c>
      <x:c r="T3124" s="26"/>
      <x:c r="U3124" s="24" t="str">
        <x:v>ATIVA/SEM FIM INFORMADO</x:v>
      </x:c>
      <x:c r="V3124" s="24"/>
      <x:c r="W3124" s="24" t="n">
        <x:v>54</x:v>
      </x:c>
      <x:c r="X3124" s="24" t="str">
        <x:v>tabela_zeiss.pdf</x:v>
      </x:c>
      <x:c r="Y3124" s="24" t="str">
        <x:v>alta</x:v>
      </x:c>
      <x:c r="Z3124" s="24"/>
      <x:c r="AA3124" s="24" t="str">
        <x:v>ZEISS|Asiana|Surfaçada|Asiana|Asiana|1.5|1.50|DuraVision Platinum UV|-6.00 a +6.00|6.00|0.50|75/80|||54</x:v>
      </x:c>
    </x:row>
    <x:row r="3125">
      <x:c r="A3125" s="24" t="str">
        <x:v>ZS-862731A0CECC</x:v>
      </x:c>
      <x:c r="B3125" s="24" t="str">
        <x:v>SIM</x:v>
      </x:c>
      <x:c r="C3125" s="24" t="str">
        <x:v>DISPONÍVEL</x:v>
      </x:c>
      <x:c r="D3125" s="24" t="str">
        <x:v>ZEISS</x:v>
      </x:c>
      <x:c r="E3125" s="24" t="str">
        <x:v>Asiana</x:v>
      </x:c>
      <x:c r="F3125" s="24" t="str">
        <x:v>Surfaçada</x:v>
      </x:c>
      <x:c r="G3125" s="24" t="str">
        <x:v>Asiana</x:v>
      </x:c>
      <x:c r="H3125" s="24" t="str">
        <x:v>Asiana</x:v>
      </x:c>
      <x:c r="I3125" s="24" t="str">
        <x:v>1.5</x:v>
      </x:c>
      <x:c r="J3125" s="24" t="str">
        <x:v>1.50</x:v>
      </x:c>
      <x:c r="K3125" s="24" t="str">
        <x:v>DuraVision Silver UV</x:v>
      </x:c>
      <x:c r="L3125" s="40" t="n">
        <x:v>1870</x:v>
      </x:c>
      <x:c r="M3125" s="24" t="str">
        <x:v>-6.00 a +6.00</x:v>
      </x:c>
      <x:c r="N3125" s="24" t="str">
        <x:v>6.00</x:v>
      </x:c>
      <x:c r="O3125" s="24" t="str">
        <x:v>0.50</x:v>
      </x:c>
      <x:c r="P3125" s="24" t="str">
        <x:v>75/80</x:v>
      </x:c>
      <x:c r="Q3125" s="24"/>
      <x:c r="R3125" s="24"/>
      <x:c r="S3125" s="26" t="n">
        <x:v>46113</x:v>
      </x:c>
      <x:c r="T3125" s="26"/>
      <x:c r="U3125" s="24" t="str">
        <x:v>ATIVA/SEM FIM INFORMADO</x:v>
      </x:c>
      <x:c r="V3125" s="24"/>
      <x:c r="W3125" s="24" t="n">
        <x:v>54</x:v>
      </x:c>
      <x:c r="X3125" s="24" t="str">
        <x:v>tabela_zeiss.pdf</x:v>
      </x:c>
      <x:c r="Y3125" s="24" t="str">
        <x:v>alta</x:v>
      </x:c>
      <x:c r="Z3125" s="24"/>
      <x:c r="AA3125" s="24" t="str">
        <x:v>ZEISS|Asiana|Surfaçada|Asiana|Asiana|1.5|1.50|DuraVision Silver UV|-6.00 a +6.00|6.00|0.50|75/80|||54</x:v>
      </x:c>
    </x:row>
    <x:row r="3126">
      <x:c r="A3126" s="24" t="str">
        <x:v>ZS-08D974C73044</x:v>
      </x:c>
      <x:c r="B3126" s="24" t="str">
        <x:v>SIM</x:v>
      </x:c>
      <x:c r="C3126" s="24" t="str">
        <x:v>DISPONÍVEL</x:v>
      </x:c>
      <x:c r="D3126" s="24" t="str">
        <x:v>ZEISS</x:v>
      </x:c>
      <x:c r="E3126" s="24" t="str">
        <x:v>Asiana</x:v>
      </x:c>
      <x:c r="F3126" s="24" t="str">
        <x:v>Surfaçada</x:v>
      </x:c>
      <x:c r="G3126" s="24" t="str">
        <x:v>Asiana</x:v>
      </x:c>
      <x:c r="H3126" s="24" t="str">
        <x:v>Asiana</x:v>
      </x:c>
      <x:c r="I3126" s="24" t="str">
        <x:v>1.5</x:v>
      </x:c>
      <x:c r="J3126" s="24" t="str">
        <x:v>1.50</x:v>
      </x:c>
      <x:c r="K3126" s="24" t="str">
        <x:v>DuraVision Chrome UV</x:v>
      </x:c>
      <x:c r="L3126" s="40" t="n">
        <x:v>1380</x:v>
      </x:c>
      <x:c r="M3126" s="24" t="str">
        <x:v>-6.00 a +6.00</x:v>
      </x:c>
      <x:c r="N3126" s="24" t="str">
        <x:v>6.00</x:v>
      </x:c>
      <x:c r="O3126" s="24" t="str">
        <x:v>0.50</x:v>
      </x:c>
      <x:c r="P3126" s="24" t="str">
        <x:v>75/80</x:v>
      </x:c>
      <x:c r="Q3126" s="24"/>
      <x:c r="R3126" s="24"/>
      <x:c r="S3126" s="26" t="n">
        <x:v>46113</x:v>
      </x:c>
      <x:c r="T3126" s="26"/>
      <x:c r="U3126" s="24" t="str">
        <x:v>ATIVA/SEM FIM INFORMADO</x:v>
      </x:c>
      <x:c r="V3126" s="24"/>
      <x:c r="W3126" s="24" t="n">
        <x:v>54</x:v>
      </x:c>
      <x:c r="X3126" s="24" t="str">
        <x:v>tabela_zeiss.pdf</x:v>
      </x:c>
      <x:c r="Y3126" s="24" t="str">
        <x:v>alta</x:v>
      </x:c>
      <x:c r="Z3126" s="24"/>
      <x:c r="AA3126" s="24" t="str">
        <x:v>ZEISS|Asiana|Surfaçada|Asiana|Asiana|1.5|1.50|DuraVision Chrome UV|-6.00 a +6.00|6.00|0.50|75/80|||54</x:v>
      </x:c>
    </x:row>
    <x:row r="3127">
      <x:c r="A3127" s="24" t="str">
        <x:v>ZS-A0FEAC5A3516</x:v>
      </x:c>
      <x:c r="B3127" s="24" t="str">
        <x:v>SIM</x:v>
      </x:c>
      <x:c r="C3127" s="24" t="str">
        <x:v>DISPONÍVEL</x:v>
      </x:c>
      <x:c r="D3127" s="24" t="str">
        <x:v>ZEISS</x:v>
      </x:c>
      <x:c r="E3127" s="24" t="str">
        <x:v>Asiana</x:v>
      </x:c>
      <x:c r="F3127" s="24" t="str">
        <x:v>Surfaçada</x:v>
      </x:c>
      <x:c r="G3127" s="24" t="str">
        <x:v>Asiana</x:v>
      </x:c>
      <x:c r="H3127" s="24" t="str">
        <x:v>Asiana</x:v>
      </x:c>
      <x:c r="I3127" s="24" t="str">
        <x:v>1.6</x:v>
      </x:c>
      <x:c r="J3127" s="24" t="str">
        <x:v>1.60</x:v>
      </x:c>
      <x:c r="K3127" s="24" t="str">
        <x:v>DuraVision Gold UV</x:v>
      </x:c>
      <x:c r="L3127" s="40" t="n">
        <x:v>3520</x:v>
      </x:c>
      <x:c r="M3127" s="24" t="str">
        <x:v>-10.00 a +8.00</x:v>
      </x:c>
      <x:c r="N3127" s="24" t="str">
        <x:v>6.00</x:v>
      </x:c>
      <x:c r="O3127" s="24" t="str">
        <x:v>0.50</x:v>
      </x:c>
      <x:c r="P3127" s="24" t="str">
        <x:v>70/75</x:v>
      </x:c>
      <x:c r="Q3127" s="24"/>
      <x:c r="R3127" s="24"/>
      <x:c r="S3127" s="26" t="n">
        <x:v>46113</x:v>
      </x:c>
      <x:c r="T3127" s="26"/>
      <x:c r="U3127" s="24" t="str">
        <x:v>ATIVA/SEM FIM INFORMADO</x:v>
      </x:c>
      <x:c r="V3127" s="24"/>
      <x:c r="W3127" s="24" t="n">
        <x:v>54</x:v>
      </x:c>
      <x:c r="X3127" s="24" t="str">
        <x:v>tabela_zeiss.pdf</x:v>
      </x:c>
      <x:c r="Y3127" s="24" t="str">
        <x:v>alta</x:v>
      </x:c>
      <x:c r="Z3127" s="24"/>
      <x:c r="AA3127" s="24" t="str">
        <x:v>ZEISS|Asiana|Surfaçada|Asiana|Asiana|1.6|1.60|DuraVision Gold UV|-10.00 a +8.00|6.00|0.50|70/75|||54</x:v>
      </x:c>
    </x:row>
    <x:row r="3128">
      <x:c r="A3128" s="24" t="str">
        <x:v>ZS-7DA07ABC757C</x:v>
      </x:c>
      <x:c r="B3128" s="24" t="str">
        <x:v>SIM</x:v>
      </x:c>
      <x:c r="C3128" s="24" t="str">
        <x:v>DISPONÍVEL</x:v>
      </x:c>
      <x:c r="D3128" s="24" t="str">
        <x:v>ZEISS</x:v>
      </x:c>
      <x:c r="E3128" s="24" t="str">
        <x:v>Asiana</x:v>
      </x:c>
      <x:c r="F3128" s="24" t="str">
        <x:v>Surfaçada</x:v>
      </x:c>
      <x:c r="G3128" s="24" t="str">
        <x:v>Asiana</x:v>
      </x:c>
      <x:c r="H3128" s="24" t="str">
        <x:v>Asiana</x:v>
      </x:c>
      <x:c r="I3128" s="24" t="str">
        <x:v>1.6</x:v>
      </x:c>
      <x:c r="J3128" s="24" t="str">
        <x:v>1.60</x:v>
      </x:c>
      <x:c r="K3128" s="24" t="str">
        <x:v>DURAVISION® ANTIVÍRUS PLATINUM UV</x:v>
      </x:c>
      <x:c r="L3128" s="40" t="n">
        <x:v>3380</x:v>
      </x:c>
      <x:c r="M3128" s="24" t="str">
        <x:v>-10.00 a +8.00</x:v>
      </x:c>
      <x:c r="N3128" s="24" t="str">
        <x:v>6.00</x:v>
      </x:c>
      <x:c r="O3128" s="24" t="str">
        <x:v>0.50</x:v>
      </x:c>
      <x:c r="P3128" s="24" t="str">
        <x:v>70/75</x:v>
      </x:c>
      <x:c r="Q3128" s="24"/>
      <x:c r="R3128" s="24"/>
      <x:c r="S3128" s="26" t="n">
        <x:v>46113</x:v>
      </x:c>
      <x:c r="T3128" s="26"/>
      <x:c r="U3128" s="24" t="str">
        <x:v>ATIVA/SEM FIM INFORMADO</x:v>
      </x:c>
      <x:c r="V3128" s="24"/>
      <x:c r="W3128" s="24" t="n">
        <x:v>54</x:v>
      </x:c>
      <x:c r="X3128" s="24" t="str">
        <x:v>tabela_zeiss.pdf</x:v>
      </x:c>
      <x:c r="Y3128" s="24" t="str">
        <x:v>alta</x:v>
      </x:c>
      <x:c r="Z3128" s="24"/>
      <x:c r="AA3128" s="24" t="str">
        <x:v>ZEISS|Asiana|Surfaçada|Asiana|Asiana|1.6|1.60|DURAVISION® ANTIVÍRUS PLATINUM UV|-10.00 a +8.00|6.00|0.50|70/75|||54</x:v>
      </x:c>
    </x:row>
    <x:row r="3129">
      <x:c r="A3129" s="24" t="str">
        <x:v>ZS-1A28C70CC81C</x:v>
      </x:c>
      <x:c r="B3129" s="24" t="str">
        <x:v>SIM</x:v>
      </x:c>
      <x:c r="C3129" s="24" t="str">
        <x:v>DISPONÍVEL</x:v>
      </x:c>
      <x:c r="D3129" s="24" t="str">
        <x:v>ZEISS</x:v>
      </x:c>
      <x:c r="E3129" s="24" t="str">
        <x:v>Asiana</x:v>
      </x:c>
      <x:c r="F3129" s="24" t="str">
        <x:v>Surfaçada</x:v>
      </x:c>
      <x:c r="G3129" s="24" t="str">
        <x:v>Asiana</x:v>
      </x:c>
      <x:c r="H3129" s="24" t="str">
        <x:v>Asiana</x:v>
      </x:c>
      <x:c r="I3129" s="24" t="str">
        <x:v>1.6</x:v>
      </x:c>
      <x:c r="J3129" s="24" t="str">
        <x:v>1.60</x:v>
      </x:c>
      <x:c r="K3129" s="24" t="str">
        <x:v>DuraVision Platinum UV</x:v>
      </x:c>
      <x:c r="L3129" s="40" t="n">
        <x:v>3380</x:v>
      </x:c>
      <x:c r="M3129" s="24" t="str">
        <x:v>-10.00 a +8.00</x:v>
      </x:c>
      <x:c r="N3129" s="24" t="str">
        <x:v>6.00</x:v>
      </x:c>
      <x:c r="O3129" s="24" t="str">
        <x:v>0.50</x:v>
      </x:c>
      <x:c r="P3129" s="24" t="str">
        <x:v>70/75</x:v>
      </x:c>
      <x:c r="Q3129" s="24"/>
      <x:c r="R3129" s="24"/>
      <x:c r="S3129" s="26" t="n">
        <x:v>46113</x:v>
      </x:c>
      <x:c r="T3129" s="26"/>
      <x:c r="U3129" s="24" t="str">
        <x:v>ATIVA/SEM FIM INFORMADO</x:v>
      </x:c>
      <x:c r="V3129" s="24"/>
      <x:c r="W3129" s="24" t="n">
        <x:v>54</x:v>
      </x:c>
      <x:c r="X3129" s="24" t="str">
        <x:v>tabela_zeiss.pdf</x:v>
      </x:c>
      <x:c r="Y3129" s="24" t="str">
        <x:v>alta</x:v>
      </x:c>
      <x:c r="Z3129" s="24"/>
      <x:c r="AA3129" s="24" t="str">
        <x:v>ZEISS|Asiana|Surfaçada|Asiana|Asiana|1.6|1.60|DuraVision Platinum UV|-10.00 a +8.00|6.00|0.50|70/75|||54</x:v>
      </x:c>
    </x:row>
    <x:row r="3130">
      <x:c r="A3130" s="24" t="str">
        <x:v>ZS-BBB5FD44420F</x:v>
      </x:c>
      <x:c r="B3130" s="24" t="str">
        <x:v>SIM</x:v>
      </x:c>
      <x:c r="C3130" s="24" t="str">
        <x:v>DISPONÍVEL</x:v>
      </x:c>
      <x:c r="D3130" s="24" t="str">
        <x:v>ZEISS</x:v>
      </x:c>
      <x:c r="E3130" s="24" t="str">
        <x:v>Asiana</x:v>
      </x:c>
      <x:c r="F3130" s="24" t="str">
        <x:v>Surfaçada</x:v>
      </x:c>
      <x:c r="G3130" s="24" t="str">
        <x:v>Asiana</x:v>
      </x:c>
      <x:c r="H3130" s="24" t="str">
        <x:v>Asiana</x:v>
      </x:c>
      <x:c r="I3130" s="24" t="str">
        <x:v>1.6</x:v>
      </x:c>
      <x:c r="J3130" s="24" t="str">
        <x:v>1.60</x:v>
      </x:c>
      <x:c r="K3130" s="24" t="str">
        <x:v>DuraVision Silver UV</x:v>
      </x:c>
      <x:c r="L3130" s="40" t="n">
        <x:v>3120</x:v>
      </x:c>
      <x:c r="M3130" s="24" t="str">
        <x:v>-10.00 a +8.00</x:v>
      </x:c>
      <x:c r="N3130" s="24" t="str">
        <x:v>6.00</x:v>
      </x:c>
      <x:c r="O3130" s="24" t="str">
        <x:v>0.50</x:v>
      </x:c>
      <x:c r="P3130" s="24" t="str">
        <x:v>70/75</x:v>
      </x:c>
      <x:c r="Q3130" s="24"/>
      <x:c r="R3130" s="24"/>
      <x:c r="S3130" s="26" t="n">
        <x:v>46113</x:v>
      </x:c>
      <x:c r="T3130" s="26"/>
      <x:c r="U3130" s="24" t="str">
        <x:v>ATIVA/SEM FIM INFORMADO</x:v>
      </x:c>
      <x:c r="V3130" s="24"/>
      <x:c r="W3130" s="24" t="n">
        <x:v>54</x:v>
      </x:c>
      <x:c r="X3130" s="24" t="str">
        <x:v>tabela_zeiss.pdf</x:v>
      </x:c>
      <x:c r="Y3130" s="24" t="str">
        <x:v>alta</x:v>
      </x:c>
      <x:c r="Z3130" s="24"/>
      <x:c r="AA3130" s="24" t="str">
        <x:v>ZEISS|Asiana|Surfaçada|Asiana|Asiana|1.6|1.60|DuraVision Silver UV|-10.00 a +8.00|6.00|0.50|70/75|||54</x:v>
      </x:c>
    </x:row>
    <x:row r="3131">
      <x:c r="A3131" s="24" t="str">
        <x:v>ZS-D9E01F06D059</x:v>
      </x:c>
      <x:c r="B3131" s="24" t="str">
        <x:v>SIM</x:v>
      </x:c>
      <x:c r="C3131" s="24" t="str">
        <x:v>DISPONÍVEL</x:v>
      </x:c>
      <x:c r="D3131" s="24" t="str">
        <x:v>ZEISS</x:v>
      </x:c>
      <x:c r="E3131" s="24" t="str">
        <x:v>Asiana</x:v>
      </x:c>
      <x:c r="F3131" s="24" t="str">
        <x:v>Surfaçada</x:v>
      </x:c>
      <x:c r="G3131" s="24" t="str">
        <x:v>Asiana</x:v>
      </x:c>
      <x:c r="H3131" s="24" t="str">
        <x:v>Asiana</x:v>
      </x:c>
      <x:c r="I3131" s="24" t="str">
        <x:v>1.6</x:v>
      </x:c>
      <x:c r="J3131" s="24" t="str">
        <x:v>1.60</x:v>
      </x:c>
      <x:c r="K3131" s="24" t="str">
        <x:v>DuraVision Chrome UV</x:v>
      </x:c>
      <x:c r="L3131" s="40" t="n">
        <x:v>2630</x:v>
      </x:c>
      <x:c r="M3131" s="24" t="str">
        <x:v>-10.00 a +8.00</x:v>
      </x:c>
      <x:c r="N3131" s="24" t="str">
        <x:v>6.00</x:v>
      </x:c>
      <x:c r="O3131" s="24" t="str">
        <x:v>0.50</x:v>
      </x:c>
      <x:c r="P3131" s="24" t="str">
        <x:v>70/75</x:v>
      </x:c>
      <x:c r="Q3131" s="24"/>
      <x:c r="R3131" s="24"/>
      <x:c r="S3131" s="26" t="n">
        <x:v>46113</x:v>
      </x:c>
      <x:c r="T3131" s="26"/>
      <x:c r="U3131" s="24" t="str">
        <x:v>ATIVA/SEM FIM INFORMADO</x:v>
      </x:c>
      <x:c r="V3131" s="24"/>
      <x:c r="W3131" s="24" t="n">
        <x:v>54</x:v>
      </x:c>
      <x:c r="X3131" s="24" t="str">
        <x:v>tabela_zeiss.pdf</x:v>
      </x:c>
      <x:c r="Y3131" s="24" t="str">
        <x:v>alta</x:v>
      </x:c>
      <x:c r="Z3131" s="24"/>
      <x:c r="AA3131" s="24" t="str">
        <x:v>ZEISS|Asiana|Surfaçada|Asiana|Asiana|1.6|1.60|DuraVision Chrome UV|-10.00 a +8.00|6.00|0.50|70/75|||54</x:v>
      </x:c>
    </x:row>
    <x:row r="3132">
      <x:c r="A3132" s="24" t="str">
        <x:v>ZS-411C28557A8B</x:v>
      </x:c>
      <x:c r="B3132" s="24" t="str">
        <x:v>SIM</x:v>
      </x:c>
      <x:c r="C3132" s="24" t="str">
        <x:v>DISPONÍVEL</x:v>
      </x:c>
      <x:c r="D3132" s="24" t="str">
        <x:v>ZEISS</x:v>
      </x:c>
      <x:c r="E3132" s="24" t="str">
        <x:v>Asiana</x:v>
      </x:c>
      <x:c r="F3132" s="24" t="str">
        <x:v>Surfaçada</x:v>
      </x:c>
      <x:c r="G3132" s="24" t="str">
        <x:v>Asiana</x:v>
      </x:c>
      <x:c r="H3132" s="24" t="str">
        <x:v>Asiana</x:v>
      </x:c>
      <x:c r="I3132" s="24" t="str">
        <x:v>1.67</x:v>
      </x:c>
      <x:c r="J3132" s="24" t="str">
        <x:v>1.67</x:v>
      </x:c>
      <x:c r="K3132" s="24" t="str">
        <x:v>DuraVision Gold UV</x:v>
      </x:c>
      <x:c r="L3132" s="40" t="n">
        <x:v>5160</x:v>
      </x:c>
      <x:c r="M3132" s="24" t="str">
        <x:v>-10.00 a +8.00</x:v>
      </x:c>
      <x:c r="N3132" s="24" t="str">
        <x:v>6.00</x:v>
      </x:c>
      <x:c r="O3132" s="24" t="str">
        <x:v>0.50</x:v>
      </x:c>
      <x:c r="P3132" s="24" t="str">
        <x:v>70/75</x:v>
      </x:c>
      <x:c r="Q3132" s="24"/>
      <x:c r="R3132" s="24"/>
      <x:c r="S3132" s="26" t="n">
        <x:v>46113</x:v>
      </x:c>
      <x:c r="T3132" s="26"/>
      <x:c r="U3132" s="24" t="str">
        <x:v>ATIVA/SEM FIM INFORMADO</x:v>
      </x:c>
      <x:c r="V3132" s="24"/>
      <x:c r="W3132" s="24" t="n">
        <x:v>54</x:v>
      </x:c>
      <x:c r="X3132" s="24" t="str">
        <x:v>tabela_zeiss.pdf</x:v>
      </x:c>
      <x:c r="Y3132" s="24" t="str">
        <x:v>alta</x:v>
      </x:c>
      <x:c r="Z3132" s="24"/>
      <x:c r="AA3132" s="24" t="str">
        <x:v>ZEISS|Asiana|Surfaçada|Asiana|Asiana|1.67|1.67|DuraVision Gold UV|-10.00 a +8.00|6.00|0.50|70/75|||54</x:v>
      </x:c>
    </x:row>
    <x:row r="3133">
      <x:c r="A3133" s="24" t="str">
        <x:v>ZS-5ED56E1E0FA9</x:v>
      </x:c>
      <x:c r="B3133" s="24" t="str">
        <x:v>SIM</x:v>
      </x:c>
      <x:c r="C3133" s="24" t="str">
        <x:v>DISPONÍVEL</x:v>
      </x:c>
      <x:c r="D3133" s="24" t="str">
        <x:v>ZEISS</x:v>
      </x:c>
      <x:c r="E3133" s="24" t="str">
        <x:v>Asiana</x:v>
      </x:c>
      <x:c r="F3133" s="24" t="str">
        <x:v>Surfaçada</x:v>
      </x:c>
      <x:c r="G3133" s="24" t="str">
        <x:v>Asiana</x:v>
      </x:c>
      <x:c r="H3133" s="24" t="str">
        <x:v>Asiana</x:v>
      </x:c>
      <x:c r="I3133" s="24" t="str">
        <x:v>1.67</x:v>
      </x:c>
      <x:c r="J3133" s="24" t="str">
        <x:v>1.67</x:v>
      </x:c>
      <x:c r="K3133" s="24" t="str">
        <x:v>DURAVISION® ANTIVÍRUS PLATINUM UV</x:v>
      </x:c>
      <x:c r="L3133" s="40" t="n">
        <x:v>5020</x:v>
      </x:c>
      <x:c r="M3133" s="24" t="str">
        <x:v>-10.00 a +8.00</x:v>
      </x:c>
      <x:c r="N3133" s="24" t="str">
        <x:v>6.00</x:v>
      </x:c>
      <x:c r="O3133" s="24" t="str">
        <x:v>0.50</x:v>
      </x:c>
      <x:c r="P3133" s="24" t="str">
        <x:v>70/75</x:v>
      </x:c>
      <x:c r="Q3133" s="24"/>
      <x:c r="R3133" s="24"/>
      <x:c r="S3133" s="26" t="n">
        <x:v>46113</x:v>
      </x:c>
      <x:c r="T3133" s="26"/>
      <x:c r="U3133" s="24" t="str">
        <x:v>ATIVA/SEM FIM INFORMADO</x:v>
      </x:c>
      <x:c r="V3133" s="24"/>
      <x:c r="W3133" s="24" t="n">
        <x:v>54</x:v>
      </x:c>
      <x:c r="X3133" s="24" t="str">
        <x:v>tabela_zeiss.pdf</x:v>
      </x:c>
      <x:c r="Y3133" s="24" t="str">
        <x:v>alta</x:v>
      </x:c>
      <x:c r="Z3133" s="24"/>
      <x:c r="AA3133" s="24" t="str">
        <x:v>ZEISS|Asiana|Surfaçada|Asiana|Asiana|1.67|1.67|DURAVISION® ANTIVÍRUS PLATINUM UV|-10.00 a +8.00|6.00|0.50|70/75|||54</x:v>
      </x:c>
    </x:row>
    <x:row r="3134">
      <x:c r="A3134" s="24" t="str">
        <x:v>ZS-302E856EDE56</x:v>
      </x:c>
      <x:c r="B3134" s="24" t="str">
        <x:v>SIM</x:v>
      </x:c>
      <x:c r="C3134" s="24" t="str">
        <x:v>DISPONÍVEL</x:v>
      </x:c>
      <x:c r="D3134" s="24" t="str">
        <x:v>ZEISS</x:v>
      </x:c>
      <x:c r="E3134" s="24" t="str">
        <x:v>Asiana</x:v>
      </x:c>
      <x:c r="F3134" s="24" t="str">
        <x:v>Surfaçada</x:v>
      </x:c>
      <x:c r="G3134" s="24" t="str">
        <x:v>Asiana</x:v>
      </x:c>
      <x:c r="H3134" s="24" t="str">
        <x:v>Asiana</x:v>
      </x:c>
      <x:c r="I3134" s="24" t="str">
        <x:v>1.67</x:v>
      </x:c>
      <x:c r="J3134" s="24" t="str">
        <x:v>1.67</x:v>
      </x:c>
      <x:c r="K3134" s="24" t="str">
        <x:v>DuraVision Platinum UV</x:v>
      </x:c>
      <x:c r="L3134" s="40" t="n">
        <x:v>5020</x:v>
      </x:c>
      <x:c r="M3134" s="24" t="str">
        <x:v>-10.00 a +8.00</x:v>
      </x:c>
      <x:c r="N3134" s="24" t="str">
        <x:v>6.00</x:v>
      </x:c>
      <x:c r="O3134" s="24" t="str">
        <x:v>0.50</x:v>
      </x:c>
      <x:c r="P3134" s="24" t="str">
        <x:v>70/75</x:v>
      </x:c>
      <x:c r="Q3134" s="24"/>
      <x:c r="R3134" s="24"/>
      <x:c r="S3134" s="26" t="n">
        <x:v>46113</x:v>
      </x:c>
      <x:c r="T3134" s="26"/>
      <x:c r="U3134" s="24" t="str">
        <x:v>ATIVA/SEM FIM INFORMADO</x:v>
      </x:c>
      <x:c r="V3134" s="24"/>
      <x:c r="W3134" s="24" t="n">
        <x:v>54</x:v>
      </x:c>
      <x:c r="X3134" s="24" t="str">
        <x:v>tabela_zeiss.pdf</x:v>
      </x:c>
      <x:c r="Y3134" s="24" t="str">
        <x:v>alta</x:v>
      </x:c>
      <x:c r="Z3134" s="24"/>
      <x:c r="AA3134" s="24" t="str">
        <x:v>ZEISS|Asiana|Surfaçada|Asiana|Asiana|1.67|1.67|DuraVision Platinum UV|-10.00 a +8.00|6.00|0.50|70/75|||54</x:v>
      </x:c>
    </x:row>
    <x:row r="3135">
      <x:c r="A3135" s="24" t="str">
        <x:v>ZS-1DA261B1D7B1</x:v>
      </x:c>
      <x:c r="B3135" s="24" t="str">
        <x:v>SIM</x:v>
      </x:c>
      <x:c r="C3135" s="24" t="str">
        <x:v>DISPONÍVEL</x:v>
      </x:c>
      <x:c r="D3135" s="24" t="str">
        <x:v>ZEISS</x:v>
      </x:c>
      <x:c r="E3135" s="24" t="str">
        <x:v>Asiana</x:v>
      </x:c>
      <x:c r="F3135" s="24" t="str">
        <x:v>Surfaçada</x:v>
      </x:c>
      <x:c r="G3135" s="24" t="str">
        <x:v>Asiana</x:v>
      </x:c>
      <x:c r="H3135" s="24" t="str">
        <x:v>Asiana</x:v>
      </x:c>
      <x:c r="I3135" s="24" t="str">
        <x:v>1.67</x:v>
      </x:c>
      <x:c r="J3135" s="24" t="str">
        <x:v>1.67</x:v>
      </x:c>
      <x:c r="K3135" s="24" t="str">
        <x:v>DuraVision Silver UV</x:v>
      </x:c>
      <x:c r="L3135" s="40" t="n">
        <x:v>4760</x:v>
      </x:c>
      <x:c r="M3135" s="24" t="str">
        <x:v>-10.00 a +8.00</x:v>
      </x:c>
      <x:c r="N3135" s="24" t="str">
        <x:v>6.00</x:v>
      </x:c>
      <x:c r="O3135" s="24" t="str">
        <x:v>0.50</x:v>
      </x:c>
      <x:c r="P3135" s="24" t="str">
        <x:v>70/75</x:v>
      </x:c>
      <x:c r="Q3135" s="24"/>
      <x:c r="R3135" s="24"/>
      <x:c r="S3135" s="26" t="n">
        <x:v>46113</x:v>
      </x:c>
      <x:c r="T3135" s="26"/>
      <x:c r="U3135" s="24" t="str">
        <x:v>ATIVA/SEM FIM INFORMADO</x:v>
      </x:c>
      <x:c r="V3135" s="24"/>
      <x:c r="W3135" s="24" t="n">
        <x:v>54</x:v>
      </x:c>
      <x:c r="X3135" s="24" t="str">
        <x:v>tabela_zeiss.pdf</x:v>
      </x:c>
      <x:c r="Y3135" s="24" t="str">
        <x:v>alta</x:v>
      </x:c>
      <x:c r="Z3135" s="24"/>
      <x:c r="AA3135" s="24" t="str">
        <x:v>ZEISS|Asiana|Surfaçada|Asiana|Asiana|1.67|1.67|DuraVision Silver UV|-10.00 a +8.00|6.00|0.50|70/75|||54</x:v>
      </x:c>
    </x:row>
    <x:row r="3136">
      <x:c r="A3136" s="24" t="str">
        <x:v>ZS-4950DB4A1CC2</x:v>
      </x:c>
      <x:c r="B3136" s="24" t="str">
        <x:v>SIM</x:v>
      </x:c>
      <x:c r="C3136" s="24" t="str">
        <x:v>DISPONÍVEL</x:v>
      </x:c>
      <x:c r="D3136" s="24" t="str">
        <x:v>ZEISS</x:v>
      </x:c>
      <x:c r="E3136" s="24" t="str">
        <x:v>Asiana</x:v>
      </x:c>
      <x:c r="F3136" s="24" t="str">
        <x:v>Surfaçada</x:v>
      </x:c>
      <x:c r="G3136" s="24" t="str">
        <x:v>Asiana</x:v>
      </x:c>
      <x:c r="H3136" s="24" t="str">
        <x:v>Asiana</x:v>
      </x:c>
      <x:c r="I3136" s="24" t="str">
        <x:v>1.67</x:v>
      </x:c>
      <x:c r="J3136" s="24" t="str">
        <x:v>1.67</x:v>
      </x:c>
      <x:c r="K3136" s="24" t="str">
        <x:v>DuraVision Chrome UV</x:v>
      </x:c>
      <x:c r="L3136" s="40" t="n">
        <x:v>4270</x:v>
      </x:c>
      <x:c r="M3136" s="24" t="str">
        <x:v>-10.00 a +8.00</x:v>
      </x:c>
      <x:c r="N3136" s="24" t="str">
        <x:v>6.00</x:v>
      </x:c>
      <x:c r="O3136" s="24" t="str">
        <x:v>0.50</x:v>
      </x:c>
      <x:c r="P3136" s="24" t="str">
        <x:v>70/75</x:v>
      </x:c>
      <x:c r="Q3136" s="24"/>
      <x:c r="R3136" s="24"/>
      <x:c r="S3136" s="26" t="n">
        <x:v>46113</x:v>
      </x:c>
      <x:c r="T3136" s="26"/>
      <x:c r="U3136" s="24" t="str">
        <x:v>ATIVA/SEM FIM INFORMADO</x:v>
      </x:c>
      <x:c r="V3136" s="24"/>
      <x:c r="W3136" s="24" t="n">
        <x:v>54</x:v>
      </x:c>
      <x:c r="X3136" s="24" t="str">
        <x:v>tabela_zeiss.pdf</x:v>
      </x:c>
      <x:c r="Y3136" s="24" t="str">
        <x:v>alta</x:v>
      </x:c>
      <x:c r="Z3136" s="24"/>
      <x:c r="AA3136" s="24" t="str">
        <x:v>ZEISS|Asiana|Surfaçada|Asiana|Asiana|1.67|1.67|DuraVision Chrome UV|-10.00 a +8.00|6.00|0.50|70/75|||54</x:v>
      </x:c>
    </x:row>
    <x:row r="3137">
      <x:c r="A3137" s="24" t="str">
        <x:v>ZS-0AD7381DBED4</x:v>
      </x:c>
      <x:c r="B3137" s="24" t="str">
        <x:v>SIM</x:v>
      </x:c>
      <x:c r="C3137" s="24" t="str">
        <x:v>DISPONÍVEL</x:v>
      </x:c>
      <x:c r="D3137" s="24" t="str">
        <x:v>ZEISS</x:v>
      </x:c>
      <x:c r="E3137" s="24" t="str">
        <x:v>Asiana</x:v>
      </x:c>
      <x:c r="F3137" s="24" t="str">
        <x:v>Surfaçada</x:v>
      </x:c>
      <x:c r="G3137" s="24" t="str">
        <x:v>Asiana</x:v>
      </x:c>
      <x:c r="H3137" s="24" t="str">
        <x:v>Asiana</x:v>
      </x:c>
      <x:c r="I3137" s="24" t="str">
        <x:v>1.74</x:v>
      </x:c>
      <x:c r="J3137" s="24" t="str">
        <x:v>1.74</x:v>
      </x:c>
      <x:c r="K3137" s="24" t="str">
        <x:v>DuraVision Gold UV</x:v>
      </x:c>
      <x:c r="L3137" s="40" t="n">
        <x:v>6760</x:v>
      </x:c>
      <x:c r="M3137" s="24" t="str">
        <x:v>-10.00 a +7.00</x:v>
      </x:c>
      <x:c r="N3137" s="24" t="str">
        <x:v>6.00</x:v>
      </x:c>
      <x:c r="O3137" s="24" t="str">
        <x:v>0.50</x:v>
      </x:c>
      <x:c r="P3137" s="24" t="str">
        <x:v>70/75</x:v>
      </x:c>
      <x:c r="Q3137" s="24"/>
      <x:c r="R3137" s="24"/>
      <x:c r="S3137" s="26" t="n">
        <x:v>46113</x:v>
      </x:c>
      <x:c r="T3137" s="26"/>
      <x:c r="U3137" s="24" t="str">
        <x:v>ATIVA/SEM FIM INFORMADO</x:v>
      </x:c>
      <x:c r="V3137" s="24"/>
      <x:c r="W3137" s="24" t="n">
        <x:v>54</x:v>
      </x:c>
      <x:c r="X3137" s="24" t="str">
        <x:v>tabela_zeiss.pdf</x:v>
      </x:c>
      <x:c r="Y3137" s="24" t="str">
        <x:v>alta</x:v>
      </x:c>
      <x:c r="Z3137" s="24"/>
      <x:c r="AA3137" s="24" t="str">
        <x:v>ZEISS|Asiana|Surfaçada|Asiana|Asiana|1.74|1.74|DuraVision Gold UV|-10.00 a +7.00|6.00|0.50|70/75|||54</x:v>
      </x:c>
    </x:row>
    <x:row r="3138">
      <x:c r="A3138" s="24" t="str">
        <x:v>ZS-EEA12A2FBE7C</x:v>
      </x:c>
      <x:c r="B3138" s="24" t="str">
        <x:v>SIM</x:v>
      </x:c>
      <x:c r="C3138" s="24" t="str">
        <x:v>DISPONÍVEL</x:v>
      </x:c>
      <x:c r="D3138" s="24" t="str">
        <x:v>ZEISS</x:v>
      </x:c>
      <x:c r="E3138" s="24" t="str">
        <x:v>Asiana</x:v>
      </x:c>
      <x:c r="F3138" s="24" t="str">
        <x:v>Surfaçada</x:v>
      </x:c>
      <x:c r="G3138" s="24" t="str">
        <x:v>Asiana</x:v>
      </x:c>
      <x:c r="H3138" s="24" t="str">
        <x:v>Asiana</x:v>
      </x:c>
      <x:c r="I3138" s="24" t="str">
        <x:v>1.74</x:v>
      </x:c>
      <x:c r="J3138" s="24" t="str">
        <x:v>1.74</x:v>
      </x:c>
      <x:c r="K3138" s="24" t="str">
        <x:v>DuraVision Platinum UV</x:v>
      </x:c>
      <x:c r="L3138" s="40" t="n">
        <x:v>6620</x:v>
      </x:c>
      <x:c r="M3138" s="24" t="str">
        <x:v>-10.00 a +7.00</x:v>
      </x:c>
      <x:c r="N3138" s="24" t="str">
        <x:v>6.00</x:v>
      </x:c>
      <x:c r="O3138" s="24" t="str">
        <x:v>0.50</x:v>
      </x:c>
      <x:c r="P3138" s="24" t="str">
        <x:v>70/75</x:v>
      </x:c>
      <x:c r="Q3138" s="24"/>
      <x:c r="R3138" s="24"/>
      <x:c r="S3138" s="26" t="n">
        <x:v>46113</x:v>
      </x:c>
      <x:c r="T3138" s="26"/>
      <x:c r="U3138" s="24" t="str">
        <x:v>ATIVA/SEM FIM INFORMADO</x:v>
      </x:c>
      <x:c r="V3138" s="24"/>
      <x:c r="W3138" s="24" t="n">
        <x:v>54</x:v>
      </x:c>
      <x:c r="X3138" s="24" t="str">
        <x:v>tabela_zeiss.pdf</x:v>
      </x:c>
      <x:c r="Y3138" s="24" t="str">
        <x:v>alta</x:v>
      </x:c>
      <x:c r="Z3138" s="24"/>
      <x:c r="AA3138" s="24" t="str">
        <x:v>ZEISS|Asiana|Surfaçada|Asiana|Asiana|1.74|1.74|DuraVision Platinum UV|-10.00 a +7.00|6.00|0.50|70/75|||54</x:v>
      </x:c>
    </x:row>
    <x:row r="3139">
      <x:c r="A3139" s="24" t="str">
        <x:v>ZS-A1D78EE9021E</x:v>
      </x:c>
      <x:c r="B3139" s="24" t="str">
        <x:v>SIM</x:v>
      </x:c>
      <x:c r="C3139" s="24" t="str">
        <x:v>DISPONÍVEL</x:v>
      </x:c>
      <x:c r="D3139" s="24" t="str">
        <x:v>ZEISS</x:v>
      </x:c>
      <x:c r="E3139" s="24" t="str">
        <x:v>Asiana</x:v>
      </x:c>
      <x:c r="F3139" s="24" t="str">
        <x:v>Surfaçada</x:v>
      </x:c>
      <x:c r="G3139" s="24" t="str">
        <x:v>Asiana</x:v>
      </x:c>
      <x:c r="H3139" s="24" t="str">
        <x:v>Asiana</x:v>
      </x:c>
      <x:c r="I3139" s="24" t="str">
        <x:v>1.74</x:v>
      </x:c>
      <x:c r="J3139" s="24" t="str">
        <x:v>1.74</x:v>
      </x:c>
      <x:c r="K3139" s="24" t="str">
        <x:v>DuraVision Silver UV</x:v>
      </x:c>
      <x:c r="L3139" s="40" t="n">
        <x:v>6360</x:v>
      </x:c>
      <x:c r="M3139" s="24" t="str">
        <x:v>-10.00 a +7.00</x:v>
      </x:c>
      <x:c r="N3139" s="24" t="str">
        <x:v>6.00</x:v>
      </x:c>
      <x:c r="O3139" s="24" t="str">
        <x:v>0.50</x:v>
      </x:c>
      <x:c r="P3139" s="24" t="str">
        <x:v>70/75</x:v>
      </x:c>
      <x:c r="Q3139" s="24"/>
      <x:c r="R3139" s="24"/>
      <x:c r="S3139" s="26" t="n">
        <x:v>46113</x:v>
      </x:c>
      <x:c r="T3139" s="26"/>
      <x:c r="U3139" s="24" t="str">
        <x:v>ATIVA/SEM FIM INFORMADO</x:v>
      </x:c>
      <x:c r="V3139" s="24"/>
      <x:c r="W3139" s="24" t="n">
        <x:v>54</x:v>
      </x:c>
      <x:c r="X3139" s="24" t="str">
        <x:v>tabela_zeiss.pdf</x:v>
      </x:c>
      <x:c r="Y3139" s="24" t="str">
        <x:v>alta</x:v>
      </x:c>
      <x:c r="Z3139" s="24"/>
      <x:c r="AA3139" s="24" t="str">
        <x:v>ZEISS|Asiana|Surfaçada|Asiana|Asiana|1.74|1.74|DuraVision Silver UV|-10.00 a +7.00|6.00|0.50|70/75|||54</x:v>
      </x:c>
    </x:row>
    <x:row r="3140">
      <x:c r="A3140" s="24" t="str">
        <x:v>ZS-E8549928FA05</x:v>
      </x:c>
      <x:c r="B3140" s="24" t="str">
        <x:v>SIM</x:v>
      </x:c>
      <x:c r="C3140" s="24" t="str">
        <x:v>DISPONÍVEL</x:v>
      </x:c>
      <x:c r="D3140" s="24" t="str">
        <x:v>ZEISS</x:v>
      </x:c>
      <x:c r="E3140" s="24" t="str">
        <x:v>Asiana</x:v>
      </x:c>
      <x:c r="F3140" s="24" t="str">
        <x:v>Surfaçada</x:v>
      </x:c>
      <x:c r="G3140" s="24" t="str">
        <x:v>Asiana</x:v>
      </x:c>
      <x:c r="H3140" s="24" t="str">
        <x:v>Asiana</x:v>
      </x:c>
      <x:c r="I3140" s="24" t="str">
        <x:v>1.74</x:v>
      </x:c>
      <x:c r="J3140" s="24" t="str">
        <x:v>1.74</x:v>
      </x:c>
      <x:c r="K3140" s="24" t="str">
        <x:v>DuraVision Chrome UV</x:v>
      </x:c>
      <x:c r="L3140" s="40" t="n">
        <x:v>5870</x:v>
      </x:c>
      <x:c r="M3140" s="24" t="str">
        <x:v>-10.00 a +7.00</x:v>
      </x:c>
      <x:c r="N3140" s="24" t="str">
        <x:v>6.00</x:v>
      </x:c>
      <x:c r="O3140" s="24" t="str">
        <x:v>0.50</x:v>
      </x:c>
      <x:c r="P3140" s="24" t="str">
        <x:v>70/75</x:v>
      </x:c>
      <x:c r="Q3140" s="24"/>
      <x:c r="R3140" s="24"/>
      <x:c r="S3140" s="26" t="n">
        <x:v>46113</x:v>
      </x:c>
      <x:c r="T3140" s="26"/>
      <x:c r="U3140" s="24" t="str">
        <x:v>ATIVA/SEM FIM INFORMADO</x:v>
      </x:c>
      <x:c r="V3140" s="24"/>
      <x:c r="W3140" s="24" t="n">
        <x:v>54</x:v>
      </x:c>
      <x:c r="X3140" s="24" t="str">
        <x:v>tabela_zeiss.pdf</x:v>
      </x:c>
      <x:c r="Y3140" s="24" t="str">
        <x:v>alta</x:v>
      </x:c>
      <x:c r="Z3140" s="24"/>
      <x:c r="AA3140" s="24" t="str">
        <x:v>ZEISS|Asiana|Surfaçada|Asiana|Asiana|1.74|1.74|DuraVision Chrome UV|-10.00 a +7.00|6.00|0.50|70/75|||54</x:v>
      </x:c>
    </x:row>
    <x:row r="3141">
      <x:c r="A3141" s="24" t="str">
        <x:v>ZS-F0F1378C2000</x:v>
      </x:c>
      <x:c r="B3141" s="24" t="str">
        <x:v>SIM</x:v>
      </x:c>
      <x:c r="C3141" s="24" t="str">
        <x:v>DISPONÍVEL</x:v>
      </x:c>
      <x:c r="D3141" s="24" t="str">
        <x:v>ZEISS</x:v>
      </x:c>
      <x:c r="E3141" s="24" t="str">
        <x:v>Asiana</x:v>
      </x:c>
      <x:c r="F3141" s="24" t="str">
        <x:v>Surfaçada</x:v>
      </x:c>
      <x:c r="G3141" s="24" t="str">
        <x:v>Asiana</x:v>
      </x:c>
      <x:c r="H3141" s="24" t="str">
        <x:v>PhotoFusion X</x:v>
      </x:c>
      <x:c r="I3141" s="24" t="str">
        <x:v>1.5</x:v>
      </x:c>
      <x:c r="J3141" s="24" t="str">
        <x:v>1.50</x:v>
      </x:c>
      <x:c r="K3141" s="24" t="str">
        <x:v>DuraVision Gold UV</x:v>
      </x:c>
      <x:c r="L3141" s="40" t="n">
        <x:v>3690</x:v>
      </x:c>
      <x:c r="M3141" s="24" t="str">
        <x:v>-6.00 a +4.00</x:v>
      </x:c>
      <x:c r="N3141" s="24" t="str">
        <x:v>4.00</x:v>
      </x:c>
      <x:c r="O3141" s="24" t="str">
        <x:v>0.50</x:v>
      </x:c>
      <x:c r="P3141" s="24" t="str">
        <x:v>75/80</x:v>
      </x:c>
      <x:c r="Q3141" s="24"/>
      <x:c r="R3141" s="24"/>
      <x:c r="S3141" s="26" t="n">
        <x:v>46113</x:v>
      </x:c>
      <x:c r="T3141" s="26"/>
      <x:c r="U3141" s="24" t="str">
        <x:v>ATIVA/SEM FIM INFORMADO</x:v>
      </x:c>
      <x:c r="V3141" s="24" t="str">
        <x:v>Programa de Parcerias ZEISS</x:v>
      </x:c>
      <x:c r="W3141" s="24" t="n">
        <x:v>54</x:v>
      </x:c>
      <x:c r="X3141" s="24" t="str">
        <x:v>tabela_zeiss.pdf</x:v>
      </x:c>
      <x:c r="Y3141" s="24" t="str">
        <x:v>alta</x:v>
      </x:c>
      <x:c r="Z3141" s="24"/>
      <x:c r="AA3141" s="24" t="str">
        <x:v>ZEISS|Asiana|Surfaçada|Asiana|PhotoFusion X|1.5|1.50|DuraVision Gold UV|-6.00 a +4.00|4.00|0.50|75/80|||54</x:v>
      </x:c>
    </x:row>
    <x:row r="3142">
      <x:c r="A3142" s="24" t="str">
        <x:v>ZS-C6A5EEF3866D</x:v>
      </x:c>
      <x:c r="B3142" s="24" t="str">
        <x:v>SIM</x:v>
      </x:c>
      <x:c r="C3142" s="24" t="str">
        <x:v>DISPONÍVEL</x:v>
      </x:c>
      <x:c r="D3142" s="24" t="str">
        <x:v>ZEISS</x:v>
      </x:c>
      <x:c r="E3142" s="24" t="str">
        <x:v>Asiana</x:v>
      </x:c>
      <x:c r="F3142" s="24" t="str">
        <x:v>Surfaçada</x:v>
      </x:c>
      <x:c r="G3142" s="24" t="str">
        <x:v>Asiana</x:v>
      </x:c>
      <x:c r="H3142" s="24" t="str">
        <x:v>PhotoFusion X</x:v>
      </x:c>
      <x:c r="I3142" s="24" t="str">
        <x:v>1.5</x:v>
      </x:c>
      <x:c r="J3142" s="24" t="str">
        <x:v>1.50</x:v>
      </x:c>
      <x:c r="K3142" s="24" t="str">
        <x:v>DURAVISION® ANTIVÍRUS PLATINUM UV</x:v>
      </x:c>
      <x:c r="L3142" s="40" t="n">
        <x:v>3550</x:v>
      </x:c>
      <x:c r="M3142" s="24" t="str">
        <x:v>-6.00 a +4.00</x:v>
      </x:c>
      <x:c r="N3142" s="24" t="str">
        <x:v>4.00</x:v>
      </x:c>
      <x:c r="O3142" s="24" t="str">
        <x:v>0.50</x:v>
      </x:c>
      <x:c r="P3142" s="24" t="str">
        <x:v>75/80</x:v>
      </x:c>
      <x:c r="Q3142" s="24"/>
      <x:c r="R3142" s="24"/>
      <x:c r="S3142" s="26" t="n">
        <x:v>46113</x:v>
      </x:c>
      <x:c r="T3142" s="26"/>
      <x:c r="U3142" s="24" t="str">
        <x:v>ATIVA/SEM FIM INFORMADO</x:v>
      </x:c>
      <x:c r="V3142" s="24" t="str">
        <x:v>Programa de Parcerias ZEISS</x:v>
      </x:c>
      <x:c r="W3142" s="24" t="n">
        <x:v>54</x:v>
      </x:c>
      <x:c r="X3142" s="24" t="str">
        <x:v>tabela_zeiss.pdf</x:v>
      </x:c>
      <x:c r="Y3142" s="24" t="str">
        <x:v>alta</x:v>
      </x:c>
      <x:c r="Z3142" s="24"/>
      <x:c r="AA3142" s="24" t="str">
        <x:v>ZEISS|Asiana|Surfaçada|Asiana|PhotoFusion X|1.5|1.50|DURAVISION® ANTIVÍRUS PLATINUM UV|-6.00 a +4.00|4.00|0.50|75/80|||54</x:v>
      </x:c>
    </x:row>
    <x:row r="3143">
      <x:c r="A3143" s="24" t="str">
        <x:v>ZS-9D0ED91B81FA</x:v>
      </x:c>
      <x:c r="B3143" s="24" t="str">
        <x:v>SIM</x:v>
      </x:c>
      <x:c r="C3143" s="24" t="str">
        <x:v>DISPONÍVEL</x:v>
      </x:c>
      <x:c r="D3143" s="24" t="str">
        <x:v>ZEISS</x:v>
      </x:c>
      <x:c r="E3143" s="24" t="str">
        <x:v>Asiana</x:v>
      </x:c>
      <x:c r="F3143" s="24" t="str">
        <x:v>Surfaçada</x:v>
      </x:c>
      <x:c r="G3143" s="24" t="str">
        <x:v>Asiana</x:v>
      </x:c>
      <x:c r="H3143" s="24" t="str">
        <x:v>PhotoFusion X</x:v>
      </x:c>
      <x:c r="I3143" s="24" t="str">
        <x:v>1.5</x:v>
      </x:c>
      <x:c r="J3143" s="24" t="str">
        <x:v>1.50</x:v>
      </x:c>
      <x:c r="K3143" s="24" t="str">
        <x:v>DuraVision Platinum UV</x:v>
      </x:c>
      <x:c r="L3143" s="40" t="n">
        <x:v>3550</x:v>
      </x:c>
      <x:c r="M3143" s="24" t="str">
        <x:v>-6.00 a +4.00</x:v>
      </x:c>
      <x:c r="N3143" s="24" t="str">
        <x:v>4.00</x:v>
      </x:c>
      <x:c r="O3143" s="24" t="str">
        <x:v>0.50</x:v>
      </x:c>
      <x:c r="P3143" s="24" t="str">
        <x:v>75/80</x:v>
      </x:c>
      <x:c r="Q3143" s="24"/>
      <x:c r="R3143" s="24"/>
      <x:c r="S3143" s="26" t="n">
        <x:v>46113</x:v>
      </x:c>
      <x:c r="T3143" s="26"/>
      <x:c r="U3143" s="24" t="str">
        <x:v>ATIVA/SEM FIM INFORMADO</x:v>
      </x:c>
      <x:c r="V3143" s="24" t="str">
        <x:v>Programa de Parcerias ZEISS</x:v>
      </x:c>
      <x:c r="W3143" s="24" t="n">
        <x:v>54</x:v>
      </x:c>
      <x:c r="X3143" s="24" t="str">
        <x:v>tabela_zeiss.pdf</x:v>
      </x:c>
      <x:c r="Y3143" s="24" t="str">
        <x:v>alta</x:v>
      </x:c>
      <x:c r="Z3143" s="24"/>
      <x:c r="AA3143" s="24" t="str">
        <x:v>ZEISS|Asiana|Surfaçada|Asiana|PhotoFusion X|1.5|1.50|DuraVision Platinum UV|-6.00 a +4.00|4.00|0.50|75/80|||54</x:v>
      </x:c>
    </x:row>
    <x:row r="3144">
      <x:c r="A3144" s="24" t="str">
        <x:v>ZS-3AA073148044</x:v>
      </x:c>
      <x:c r="B3144" s="24" t="str">
        <x:v>SIM</x:v>
      </x:c>
      <x:c r="C3144" s="24" t="str">
        <x:v>DISPONÍVEL</x:v>
      </x:c>
      <x:c r="D3144" s="24" t="str">
        <x:v>ZEISS</x:v>
      </x:c>
      <x:c r="E3144" s="24" t="str">
        <x:v>Asiana</x:v>
      </x:c>
      <x:c r="F3144" s="24" t="str">
        <x:v>Surfaçada</x:v>
      </x:c>
      <x:c r="G3144" s="24" t="str">
        <x:v>Asiana</x:v>
      </x:c>
      <x:c r="H3144" s="24" t="str">
        <x:v>PhotoFusion X</x:v>
      </x:c>
      <x:c r="I3144" s="24" t="str">
        <x:v>1.5</x:v>
      </x:c>
      <x:c r="J3144" s="24" t="str">
        <x:v>1.50</x:v>
      </x:c>
      <x:c r="K3144" s="24" t="str">
        <x:v>DuraVision Silver UV</x:v>
      </x:c>
      <x:c r="L3144" s="40" t="n">
        <x:v>3290</x:v>
      </x:c>
      <x:c r="M3144" s="24" t="str">
        <x:v>-6.00 a +4.00</x:v>
      </x:c>
      <x:c r="N3144" s="24" t="str">
        <x:v>4.00</x:v>
      </x:c>
      <x:c r="O3144" s="24" t="str">
        <x:v>0.50</x:v>
      </x:c>
      <x:c r="P3144" s="24" t="str">
        <x:v>75/80</x:v>
      </x:c>
      <x:c r="Q3144" s="24"/>
      <x:c r="R3144" s="24"/>
      <x:c r="S3144" s="26" t="n">
        <x:v>46113</x:v>
      </x:c>
      <x:c r="T3144" s="26"/>
      <x:c r="U3144" s="24" t="str">
        <x:v>ATIVA/SEM FIM INFORMADO</x:v>
      </x:c>
      <x:c r="V3144" s="24" t="str">
        <x:v>Programa de Parcerias ZEISS</x:v>
      </x:c>
      <x:c r="W3144" s="24" t="n">
        <x:v>54</x:v>
      </x:c>
      <x:c r="X3144" s="24" t="str">
        <x:v>tabela_zeiss.pdf</x:v>
      </x:c>
      <x:c r="Y3144" s="24" t="str">
        <x:v>alta</x:v>
      </x:c>
      <x:c r="Z3144" s="24"/>
      <x:c r="AA3144" s="24" t="str">
        <x:v>ZEISS|Asiana|Surfaçada|Asiana|PhotoFusion X|1.5|1.50|DuraVision Silver UV|-6.00 a +4.00|4.00|0.50|75/80|||54</x:v>
      </x:c>
    </x:row>
    <x:row r="3145">
      <x:c r="A3145" s="24" t="str">
        <x:v>ZS-EB5DBD79D79E</x:v>
      </x:c>
      <x:c r="B3145" s="24" t="str">
        <x:v>SIM</x:v>
      </x:c>
      <x:c r="C3145" s="24" t="str">
        <x:v>DISPONÍVEL</x:v>
      </x:c>
      <x:c r="D3145" s="24" t="str">
        <x:v>ZEISS</x:v>
      </x:c>
      <x:c r="E3145" s="24" t="str">
        <x:v>Asiana</x:v>
      </x:c>
      <x:c r="F3145" s="24" t="str">
        <x:v>Surfaçada</x:v>
      </x:c>
      <x:c r="G3145" s="24" t="str">
        <x:v>Asiana</x:v>
      </x:c>
      <x:c r="H3145" s="24" t="str">
        <x:v>PhotoFusion X</x:v>
      </x:c>
      <x:c r="I3145" s="24" t="str">
        <x:v>1.5</x:v>
      </x:c>
      <x:c r="J3145" s="24" t="str">
        <x:v>1.50</x:v>
      </x:c>
      <x:c r="K3145" s="24" t="str">
        <x:v>DuraVision Chrome UV</x:v>
      </x:c>
      <x:c r="L3145" s="40" t="n">
        <x:v>2800</x:v>
      </x:c>
      <x:c r="M3145" s="24" t="str">
        <x:v>-6.00 a +4.00</x:v>
      </x:c>
      <x:c r="N3145" s="24" t="str">
        <x:v>4.00</x:v>
      </x:c>
      <x:c r="O3145" s="24" t="str">
        <x:v>0.50</x:v>
      </x:c>
      <x:c r="P3145" s="24" t="str">
        <x:v>75/80</x:v>
      </x:c>
      <x:c r="Q3145" s="24"/>
      <x:c r="R3145" s="24"/>
      <x:c r="S3145" s="26" t="n">
        <x:v>46113</x:v>
      </x:c>
      <x:c r="T3145" s="26"/>
      <x:c r="U3145" s="24" t="str">
        <x:v>ATIVA/SEM FIM INFORMADO</x:v>
      </x:c>
      <x:c r="V3145" s="24" t="str">
        <x:v>Programa de Parcerias ZEISS</x:v>
      </x:c>
      <x:c r="W3145" s="24" t="n">
        <x:v>54</x:v>
      </x:c>
      <x:c r="X3145" s="24" t="str">
        <x:v>tabela_zeiss.pdf</x:v>
      </x:c>
      <x:c r="Y3145" s="24" t="str">
        <x:v>alta</x:v>
      </x:c>
      <x:c r="Z3145" s="24"/>
      <x:c r="AA3145" s="24" t="str">
        <x:v>ZEISS|Asiana|Surfaçada|Asiana|PhotoFusion X|1.5|1.50|DuraVision Chrome UV|-6.00 a +4.00|4.00|0.50|75/80|||54</x:v>
      </x:c>
    </x:row>
    <x:row r="3146">
      <x:c r="A3146" s="24" t="str">
        <x:v>ZS-920360A7C90A</x:v>
      </x:c>
      <x:c r="B3146" s="24" t="str">
        <x:v>SIM</x:v>
      </x:c>
      <x:c r="C3146" s="24" t="str">
        <x:v>DISPONÍVEL</x:v>
      </x:c>
      <x:c r="D3146" s="24" t="str">
        <x:v>ZEISS</x:v>
      </x:c>
      <x:c r="E3146" s="24" t="str">
        <x:v>Asiana</x:v>
      </x:c>
      <x:c r="F3146" s="24" t="str">
        <x:v>Surfaçada</x:v>
      </x:c>
      <x:c r="G3146" s="24" t="str">
        <x:v>Asiana</x:v>
      </x:c>
      <x:c r="H3146" s="24" t="str">
        <x:v>PhotoFusion X</x:v>
      </x:c>
      <x:c r="I3146" s="24" t="str">
        <x:v>1.6</x:v>
      </x:c>
      <x:c r="J3146" s="24" t="str">
        <x:v>1.60</x:v>
      </x:c>
      <x:c r="K3146" s="24" t="str">
        <x:v>DuraVision Gold UV</x:v>
      </x:c>
      <x:c r="L3146" s="40" t="n">
        <x:v>4940</x:v>
      </x:c>
      <x:c r="M3146" s="24" t="str">
        <x:v>-10.00 a +6.00</x:v>
      </x:c>
      <x:c r="N3146" s="24" t="str">
        <x:v>6.00</x:v>
      </x:c>
      <x:c r="O3146" s="24" t="str">
        <x:v>0.50</x:v>
      </x:c>
      <x:c r="P3146" s="24" t="str">
        <x:v>70/75</x:v>
      </x:c>
      <x:c r="Q3146" s="24"/>
      <x:c r="R3146" s="24"/>
      <x:c r="S3146" s="26" t="n">
        <x:v>46113</x:v>
      </x:c>
      <x:c r="T3146" s="26"/>
      <x:c r="U3146" s="24" t="str">
        <x:v>ATIVA/SEM FIM INFORMADO</x:v>
      </x:c>
      <x:c r="V3146" s="24" t="str">
        <x:v>Programa de Parcerias ZEISS</x:v>
      </x:c>
      <x:c r="W3146" s="24" t="n">
        <x:v>54</x:v>
      </x:c>
      <x:c r="X3146" s="24" t="str">
        <x:v>tabela_zeiss.pdf</x:v>
      </x:c>
      <x:c r="Y3146" s="24" t="str">
        <x:v>alta</x:v>
      </x:c>
      <x:c r="Z3146" s="24"/>
      <x:c r="AA3146" s="24" t="str">
        <x:v>ZEISS|Asiana|Surfaçada|Asiana|PhotoFusion X|1.6|1.60|DuraVision Gold UV|-10.00 a +6.00|6.00|0.50|70/75|||54</x:v>
      </x:c>
    </x:row>
    <x:row r="3147">
      <x:c r="A3147" s="24" t="str">
        <x:v>ZS-A69DCFE7C428</x:v>
      </x:c>
      <x:c r="B3147" s="24" t="str">
        <x:v>SIM</x:v>
      </x:c>
      <x:c r="C3147" s="24" t="str">
        <x:v>DISPONÍVEL</x:v>
      </x:c>
      <x:c r="D3147" s="24" t="str">
        <x:v>ZEISS</x:v>
      </x:c>
      <x:c r="E3147" s="24" t="str">
        <x:v>Asiana</x:v>
      </x:c>
      <x:c r="F3147" s="24" t="str">
        <x:v>Surfaçada</x:v>
      </x:c>
      <x:c r="G3147" s="24" t="str">
        <x:v>Asiana</x:v>
      </x:c>
      <x:c r="H3147" s="24" t="str">
        <x:v>PhotoFusion X</x:v>
      </x:c>
      <x:c r="I3147" s="24" t="str">
        <x:v>1.6</x:v>
      </x:c>
      <x:c r="J3147" s="24" t="str">
        <x:v>1.60</x:v>
      </x:c>
      <x:c r="K3147" s="24" t="str">
        <x:v>DURAVISION® ANTIVÍRUS PLATINUM UV</x:v>
      </x:c>
      <x:c r="L3147" s="40" t="n">
        <x:v>4800</x:v>
      </x:c>
      <x:c r="M3147" s="24" t="str">
        <x:v>-10.00 a +6.00</x:v>
      </x:c>
      <x:c r="N3147" s="24" t="str">
        <x:v>6.00</x:v>
      </x:c>
      <x:c r="O3147" s="24" t="str">
        <x:v>0.50</x:v>
      </x:c>
      <x:c r="P3147" s="24" t="str">
        <x:v>70/75</x:v>
      </x:c>
      <x:c r="Q3147" s="24"/>
      <x:c r="R3147" s="24"/>
      <x:c r="S3147" s="26" t="n">
        <x:v>46113</x:v>
      </x:c>
      <x:c r="T3147" s="26"/>
      <x:c r="U3147" s="24" t="str">
        <x:v>ATIVA/SEM FIM INFORMADO</x:v>
      </x:c>
      <x:c r="V3147" s="24" t="str">
        <x:v>Programa de Parcerias ZEISS</x:v>
      </x:c>
      <x:c r="W3147" s="24" t="n">
        <x:v>54</x:v>
      </x:c>
      <x:c r="X3147" s="24" t="str">
        <x:v>tabela_zeiss.pdf</x:v>
      </x:c>
      <x:c r="Y3147" s="24" t="str">
        <x:v>alta</x:v>
      </x:c>
      <x:c r="Z3147" s="24"/>
      <x:c r="AA3147" s="24" t="str">
        <x:v>ZEISS|Asiana|Surfaçada|Asiana|PhotoFusion X|1.6|1.60|DURAVISION® ANTIVÍRUS PLATINUM UV|-10.00 a +6.00|6.00|0.50|70/75|||54</x:v>
      </x:c>
    </x:row>
    <x:row r="3148">
      <x:c r="A3148" s="24" t="str">
        <x:v>ZS-9CFD2477EEBC</x:v>
      </x:c>
      <x:c r="B3148" s="24" t="str">
        <x:v>SIM</x:v>
      </x:c>
      <x:c r="C3148" s="24" t="str">
        <x:v>DISPONÍVEL</x:v>
      </x:c>
      <x:c r="D3148" s="24" t="str">
        <x:v>ZEISS</x:v>
      </x:c>
      <x:c r="E3148" s="24" t="str">
        <x:v>Asiana</x:v>
      </x:c>
      <x:c r="F3148" s="24" t="str">
        <x:v>Surfaçada</x:v>
      </x:c>
      <x:c r="G3148" s="24" t="str">
        <x:v>Asiana</x:v>
      </x:c>
      <x:c r="H3148" s="24" t="str">
        <x:v>PhotoFusion X</x:v>
      </x:c>
      <x:c r="I3148" s="24" t="str">
        <x:v>1.6</x:v>
      </x:c>
      <x:c r="J3148" s="24" t="str">
        <x:v>1.60</x:v>
      </x:c>
      <x:c r="K3148" s="24" t="str">
        <x:v>DuraVision Platinum UV</x:v>
      </x:c>
      <x:c r="L3148" s="40" t="n">
        <x:v>4800</x:v>
      </x:c>
      <x:c r="M3148" s="24" t="str">
        <x:v>-10.00 a +6.00</x:v>
      </x:c>
      <x:c r="N3148" s="24" t="str">
        <x:v>6.00</x:v>
      </x:c>
      <x:c r="O3148" s="24" t="str">
        <x:v>0.50</x:v>
      </x:c>
      <x:c r="P3148" s="24" t="str">
        <x:v>70/75</x:v>
      </x:c>
      <x:c r="Q3148" s="24"/>
      <x:c r="R3148" s="24"/>
      <x:c r="S3148" s="26" t="n">
        <x:v>46113</x:v>
      </x:c>
      <x:c r="T3148" s="26"/>
      <x:c r="U3148" s="24" t="str">
        <x:v>ATIVA/SEM FIM INFORMADO</x:v>
      </x:c>
      <x:c r="V3148" s="24" t="str">
        <x:v>Programa de Parcerias ZEISS</x:v>
      </x:c>
      <x:c r="W3148" s="24" t="n">
        <x:v>54</x:v>
      </x:c>
      <x:c r="X3148" s="24" t="str">
        <x:v>tabela_zeiss.pdf</x:v>
      </x:c>
      <x:c r="Y3148" s="24" t="str">
        <x:v>alta</x:v>
      </x:c>
      <x:c r="Z3148" s="24"/>
      <x:c r="AA3148" s="24" t="str">
        <x:v>ZEISS|Asiana|Surfaçada|Asiana|PhotoFusion X|1.6|1.60|DuraVision Platinum UV|-10.00 a +6.00|6.00|0.50|70/75|||54</x:v>
      </x:c>
    </x:row>
    <x:row r="3149">
      <x:c r="A3149" s="24" t="str">
        <x:v>ZS-656D0151BAAD</x:v>
      </x:c>
      <x:c r="B3149" s="24" t="str">
        <x:v>SIM</x:v>
      </x:c>
      <x:c r="C3149" s="24" t="str">
        <x:v>DISPONÍVEL</x:v>
      </x:c>
      <x:c r="D3149" s="24" t="str">
        <x:v>ZEISS</x:v>
      </x:c>
      <x:c r="E3149" s="24" t="str">
        <x:v>Asiana</x:v>
      </x:c>
      <x:c r="F3149" s="24" t="str">
        <x:v>Surfaçada</x:v>
      </x:c>
      <x:c r="G3149" s="24" t="str">
        <x:v>Asiana</x:v>
      </x:c>
      <x:c r="H3149" s="24" t="str">
        <x:v>PhotoFusion X</x:v>
      </x:c>
      <x:c r="I3149" s="24" t="str">
        <x:v>1.6</x:v>
      </x:c>
      <x:c r="J3149" s="24" t="str">
        <x:v>1.60</x:v>
      </x:c>
      <x:c r="K3149" s="24" t="str">
        <x:v>DuraVision Silver UV</x:v>
      </x:c>
      <x:c r="L3149" s="40" t="n">
        <x:v>4540</x:v>
      </x:c>
      <x:c r="M3149" s="24" t="str">
        <x:v>-10.00 a +6.00</x:v>
      </x:c>
      <x:c r="N3149" s="24" t="str">
        <x:v>6.00</x:v>
      </x:c>
      <x:c r="O3149" s="24" t="str">
        <x:v>0.50</x:v>
      </x:c>
      <x:c r="P3149" s="24" t="str">
        <x:v>70/75</x:v>
      </x:c>
      <x:c r="Q3149" s="24"/>
      <x:c r="R3149" s="24"/>
      <x:c r="S3149" s="26" t="n">
        <x:v>46113</x:v>
      </x:c>
      <x:c r="T3149" s="26"/>
      <x:c r="U3149" s="24" t="str">
        <x:v>ATIVA/SEM FIM INFORMADO</x:v>
      </x:c>
      <x:c r="V3149" s="24" t="str">
        <x:v>Programa de Parcerias ZEISS</x:v>
      </x:c>
      <x:c r="W3149" s="24" t="n">
        <x:v>54</x:v>
      </x:c>
      <x:c r="X3149" s="24" t="str">
        <x:v>tabela_zeiss.pdf</x:v>
      </x:c>
      <x:c r="Y3149" s="24" t="str">
        <x:v>alta</x:v>
      </x:c>
      <x:c r="Z3149" s="24"/>
      <x:c r="AA3149" s="24" t="str">
        <x:v>ZEISS|Asiana|Surfaçada|Asiana|PhotoFusion X|1.6|1.60|DuraVision Silver UV|-10.00 a +6.00|6.00|0.50|70/75|||54</x:v>
      </x:c>
    </x:row>
    <x:row r="3150">
      <x:c r="A3150" s="24" t="str">
        <x:v>ZS-6FF2D32EFA91</x:v>
      </x:c>
      <x:c r="B3150" s="24" t="str">
        <x:v>SIM</x:v>
      </x:c>
      <x:c r="C3150" s="24" t="str">
        <x:v>DISPONÍVEL</x:v>
      </x:c>
      <x:c r="D3150" s="24" t="str">
        <x:v>ZEISS</x:v>
      </x:c>
      <x:c r="E3150" s="24" t="str">
        <x:v>Asiana</x:v>
      </x:c>
      <x:c r="F3150" s="24" t="str">
        <x:v>Surfaçada</x:v>
      </x:c>
      <x:c r="G3150" s="24" t="str">
        <x:v>Asiana</x:v>
      </x:c>
      <x:c r="H3150" s="24" t="str">
        <x:v>PhotoFusion X</x:v>
      </x:c>
      <x:c r="I3150" s="24" t="str">
        <x:v>1.6</x:v>
      </x:c>
      <x:c r="J3150" s="24" t="str">
        <x:v>1.60</x:v>
      </x:c>
      <x:c r="K3150" s="24" t="str">
        <x:v>DuraVision Chrome UV</x:v>
      </x:c>
      <x:c r="L3150" s="40" t="n">
        <x:v>4050</x:v>
      </x:c>
      <x:c r="M3150" s="24" t="str">
        <x:v>-10.00 a +6.00</x:v>
      </x:c>
      <x:c r="N3150" s="24" t="str">
        <x:v>6.00</x:v>
      </x:c>
      <x:c r="O3150" s="24" t="str">
        <x:v>0.50</x:v>
      </x:c>
      <x:c r="P3150" s="24" t="str">
        <x:v>70/75</x:v>
      </x:c>
      <x:c r="Q3150" s="24"/>
      <x:c r="R3150" s="24"/>
      <x:c r="S3150" s="26" t="n">
        <x:v>46113</x:v>
      </x:c>
      <x:c r="T3150" s="26"/>
      <x:c r="U3150" s="24" t="str">
        <x:v>ATIVA/SEM FIM INFORMADO</x:v>
      </x:c>
      <x:c r="V3150" s="24" t="str">
        <x:v>Programa de Parcerias ZEISS</x:v>
      </x:c>
      <x:c r="W3150" s="24" t="n">
        <x:v>54</x:v>
      </x:c>
      <x:c r="X3150" s="24" t="str">
        <x:v>tabela_zeiss.pdf</x:v>
      </x:c>
      <x:c r="Y3150" s="24" t="str">
        <x:v>alta</x:v>
      </x:c>
      <x:c r="Z3150" s="24"/>
      <x:c r="AA3150" s="24" t="str">
        <x:v>ZEISS|Asiana|Surfaçada|Asiana|PhotoFusion X|1.6|1.60|DuraVision Chrome UV|-10.00 a +6.00|6.00|0.50|70/75|||54</x:v>
      </x:c>
    </x:row>
    <x:row r="3151">
      <x:c r="A3151" s="24" t="str">
        <x:v>ZS-3043F0503E4E</x:v>
      </x:c>
      <x:c r="B3151" s="24" t="str">
        <x:v>SIM</x:v>
      </x:c>
      <x:c r="C3151" s="24" t="str">
        <x:v>DISPONÍVEL</x:v>
      </x:c>
      <x:c r="D3151" s="24" t="str">
        <x:v>ZEISS</x:v>
      </x:c>
      <x:c r="E3151" s="24" t="str">
        <x:v>Asiana</x:v>
      </x:c>
      <x:c r="F3151" s="24" t="str">
        <x:v>Surfaçada</x:v>
      </x:c>
      <x:c r="G3151" s="24" t="str">
        <x:v>Asiana</x:v>
      </x:c>
      <x:c r="H3151" s="24" t="str">
        <x:v>PhotoFusion X</x:v>
      </x:c>
      <x:c r="I3151" s="24" t="str">
        <x:v>1.67</x:v>
      </x:c>
      <x:c r="J3151" s="24" t="str">
        <x:v>1.67</x:v>
      </x:c>
      <x:c r="K3151" s="24" t="str">
        <x:v>DuraVision Gold UV</x:v>
      </x:c>
      <x:c r="L3151" s="40" t="n">
        <x:v>6580</x:v>
      </x:c>
      <x:c r="M3151" s="24" t="str">
        <x:v>-10.00 a +8.00</x:v>
      </x:c>
      <x:c r="N3151" s="24" t="str">
        <x:v>4.00</x:v>
      </x:c>
      <x:c r="O3151" s="24" t="str">
        <x:v>0.50</x:v>
      </x:c>
      <x:c r="P3151" s="24" t="str">
        <x:v>70/75</x:v>
      </x:c>
      <x:c r="Q3151" s="24"/>
      <x:c r="R3151" s="24"/>
      <x:c r="S3151" s="26" t="n">
        <x:v>46113</x:v>
      </x:c>
      <x:c r="T3151" s="26"/>
      <x:c r="U3151" s="24" t="str">
        <x:v>ATIVA/SEM FIM INFORMADO</x:v>
      </x:c>
      <x:c r="V3151" s="24" t="str">
        <x:v>Programa de Parcerias ZEISS</x:v>
      </x:c>
      <x:c r="W3151" s="24" t="n">
        <x:v>54</x:v>
      </x:c>
      <x:c r="X3151" s="24" t="str">
        <x:v>tabela_zeiss.pdf</x:v>
      </x:c>
      <x:c r="Y3151" s="24" t="str">
        <x:v>alta</x:v>
      </x:c>
      <x:c r="Z3151" s="24"/>
      <x:c r="AA3151" s="24" t="str">
        <x:v>ZEISS|Asiana|Surfaçada|Asiana|PhotoFusion X|1.67|1.67|DuraVision Gold UV|-10.00 a +8.00|4.00|0.50|70/75|||54</x:v>
      </x:c>
    </x:row>
    <x:row r="3152">
      <x:c r="A3152" s="24" t="str">
        <x:v>ZS-EA43EE8E192A</x:v>
      </x:c>
      <x:c r="B3152" s="24" t="str">
        <x:v>SIM</x:v>
      </x:c>
      <x:c r="C3152" s="24" t="str">
        <x:v>DISPONÍVEL</x:v>
      </x:c>
      <x:c r="D3152" s="24" t="str">
        <x:v>ZEISS</x:v>
      </x:c>
      <x:c r="E3152" s="24" t="str">
        <x:v>Asiana</x:v>
      </x:c>
      <x:c r="F3152" s="24" t="str">
        <x:v>Surfaçada</x:v>
      </x:c>
      <x:c r="G3152" s="24" t="str">
        <x:v>Asiana</x:v>
      </x:c>
      <x:c r="H3152" s="24" t="str">
        <x:v>PhotoFusion X</x:v>
      </x:c>
      <x:c r="I3152" s="24" t="str">
        <x:v>1.67</x:v>
      </x:c>
      <x:c r="J3152" s="24" t="str">
        <x:v>1.67</x:v>
      </x:c>
      <x:c r="K3152" s="24" t="str">
        <x:v>DURAVISION® ANTIVÍRUS PLATINUM UV</x:v>
      </x:c>
      <x:c r="L3152" s="40" t="n">
        <x:v>6440</x:v>
      </x:c>
      <x:c r="M3152" s="24" t="str">
        <x:v>-10.00 a +8.00</x:v>
      </x:c>
      <x:c r="N3152" s="24" t="str">
        <x:v>4.00</x:v>
      </x:c>
      <x:c r="O3152" s="24" t="str">
        <x:v>0.50</x:v>
      </x:c>
      <x:c r="P3152" s="24" t="str">
        <x:v>70/75</x:v>
      </x:c>
      <x:c r="Q3152" s="24"/>
      <x:c r="R3152" s="24"/>
      <x:c r="S3152" s="26" t="n">
        <x:v>46113</x:v>
      </x:c>
      <x:c r="T3152" s="26"/>
      <x:c r="U3152" s="24" t="str">
        <x:v>ATIVA/SEM FIM INFORMADO</x:v>
      </x:c>
      <x:c r="V3152" s="24" t="str">
        <x:v>Programa de Parcerias ZEISS</x:v>
      </x:c>
      <x:c r="W3152" s="24" t="n">
        <x:v>54</x:v>
      </x:c>
      <x:c r="X3152" s="24" t="str">
        <x:v>tabela_zeiss.pdf</x:v>
      </x:c>
      <x:c r="Y3152" s="24" t="str">
        <x:v>alta</x:v>
      </x:c>
      <x:c r="Z3152" s="24"/>
      <x:c r="AA3152" s="24" t="str">
        <x:v>ZEISS|Asiana|Surfaçada|Asiana|PhotoFusion X|1.67|1.67|DURAVISION® ANTIVÍRUS PLATINUM UV|-10.00 a +8.00|4.00|0.50|70/75|||54</x:v>
      </x:c>
    </x:row>
    <x:row r="3153">
      <x:c r="A3153" s="24" t="str">
        <x:v>ZS-5DE321FCADB7</x:v>
      </x:c>
      <x:c r="B3153" s="24" t="str">
        <x:v>SIM</x:v>
      </x:c>
      <x:c r="C3153" s="24" t="str">
        <x:v>DISPONÍVEL</x:v>
      </x:c>
      <x:c r="D3153" s="24" t="str">
        <x:v>ZEISS</x:v>
      </x:c>
      <x:c r="E3153" s="24" t="str">
        <x:v>Asiana</x:v>
      </x:c>
      <x:c r="F3153" s="24" t="str">
        <x:v>Surfaçada</x:v>
      </x:c>
      <x:c r="G3153" s="24" t="str">
        <x:v>Asiana</x:v>
      </x:c>
      <x:c r="H3153" s="24" t="str">
        <x:v>PhotoFusion X</x:v>
      </x:c>
      <x:c r="I3153" s="24" t="str">
        <x:v>1.67</x:v>
      </x:c>
      <x:c r="J3153" s="24" t="str">
        <x:v>1.67</x:v>
      </x:c>
      <x:c r="K3153" s="24" t="str">
        <x:v>DuraVision Platinum UV</x:v>
      </x:c>
      <x:c r="L3153" s="40" t="n">
        <x:v>6440</x:v>
      </x:c>
      <x:c r="M3153" s="24" t="str">
        <x:v>-10.00 a +8.00</x:v>
      </x:c>
      <x:c r="N3153" s="24" t="str">
        <x:v>4.00</x:v>
      </x:c>
      <x:c r="O3153" s="24" t="str">
        <x:v>0.50</x:v>
      </x:c>
      <x:c r="P3153" s="24" t="str">
        <x:v>70/75</x:v>
      </x:c>
      <x:c r="Q3153" s="24"/>
      <x:c r="R3153" s="24"/>
      <x:c r="S3153" s="26" t="n">
        <x:v>46113</x:v>
      </x:c>
      <x:c r="T3153" s="26"/>
      <x:c r="U3153" s="24" t="str">
        <x:v>ATIVA/SEM FIM INFORMADO</x:v>
      </x:c>
      <x:c r="V3153" s="24" t="str">
        <x:v>Programa de Parcerias ZEISS</x:v>
      </x:c>
      <x:c r="W3153" s="24" t="n">
        <x:v>54</x:v>
      </x:c>
      <x:c r="X3153" s="24" t="str">
        <x:v>tabela_zeiss.pdf</x:v>
      </x:c>
      <x:c r="Y3153" s="24" t="str">
        <x:v>alta</x:v>
      </x:c>
      <x:c r="Z3153" s="24"/>
      <x:c r="AA3153" s="24" t="str">
        <x:v>ZEISS|Asiana|Surfaçada|Asiana|PhotoFusion X|1.67|1.67|DuraVision Platinum UV|-10.00 a +8.00|4.00|0.50|70/75|||54</x:v>
      </x:c>
    </x:row>
    <x:row r="3154">
      <x:c r="A3154" s="24" t="str">
        <x:v>ZS-05597484F032</x:v>
      </x:c>
      <x:c r="B3154" s="24" t="str">
        <x:v>SIM</x:v>
      </x:c>
      <x:c r="C3154" s="24" t="str">
        <x:v>DISPONÍVEL</x:v>
      </x:c>
      <x:c r="D3154" s="24" t="str">
        <x:v>ZEISS</x:v>
      </x:c>
      <x:c r="E3154" s="24" t="str">
        <x:v>Asiana</x:v>
      </x:c>
      <x:c r="F3154" s="24" t="str">
        <x:v>Surfaçada</x:v>
      </x:c>
      <x:c r="G3154" s="24" t="str">
        <x:v>Asiana</x:v>
      </x:c>
      <x:c r="H3154" s="24" t="str">
        <x:v>PhotoFusion X</x:v>
      </x:c>
      <x:c r="I3154" s="24" t="str">
        <x:v>1.67</x:v>
      </x:c>
      <x:c r="J3154" s="24" t="str">
        <x:v>1.67</x:v>
      </x:c>
      <x:c r="K3154" s="24" t="str">
        <x:v>DuraVision Silver UV</x:v>
      </x:c>
      <x:c r="L3154" s="40" t="n">
        <x:v>6180</x:v>
      </x:c>
      <x:c r="M3154" s="24" t="str">
        <x:v>-10.00 a +8.00</x:v>
      </x:c>
      <x:c r="N3154" s="24" t="str">
        <x:v>4.00</x:v>
      </x:c>
      <x:c r="O3154" s="24" t="str">
        <x:v>0.50</x:v>
      </x:c>
      <x:c r="P3154" s="24" t="str">
        <x:v>70/75</x:v>
      </x:c>
      <x:c r="Q3154" s="24"/>
      <x:c r="R3154" s="24"/>
      <x:c r="S3154" s="26" t="n">
        <x:v>46113</x:v>
      </x:c>
      <x:c r="T3154" s="26"/>
      <x:c r="U3154" s="24" t="str">
        <x:v>ATIVA/SEM FIM INFORMADO</x:v>
      </x:c>
      <x:c r="V3154" s="24" t="str">
        <x:v>Programa de Parcerias ZEISS</x:v>
      </x:c>
      <x:c r="W3154" s="24" t="n">
        <x:v>54</x:v>
      </x:c>
      <x:c r="X3154" s="24" t="str">
        <x:v>tabela_zeiss.pdf</x:v>
      </x:c>
      <x:c r="Y3154" s="24" t="str">
        <x:v>alta</x:v>
      </x:c>
      <x:c r="Z3154" s="24"/>
      <x:c r="AA3154" s="24" t="str">
        <x:v>ZEISS|Asiana|Surfaçada|Asiana|PhotoFusion X|1.67|1.67|DuraVision Silver UV|-10.00 a +8.00|4.00|0.50|70/75|||54</x:v>
      </x:c>
    </x:row>
    <x:row r="3155">
      <x:c r="A3155" s="24" t="str">
        <x:v>ZS-5BDA8DBCFA26</x:v>
      </x:c>
      <x:c r="B3155" s="24" t="str">
        <x:v>SIM</x:v>
      </x:c>
      <x:c r="C3155" s="24" t="str">
        <x:v>DISPONÍVEL</x:v>
      </x:c>
      <x:c r="D3155" s="24" t="str">
        <x:v>ZEISS</x:v>
      </x:c>
      <x:c r="E3155" s="24" t="str">
        <x:v>Asiana</x:v>
      </x:c>
      <x:c r="F3155" s="24" t="str">
        <x:v>Surfaçada</x:v>
      </x:c>
      <x:c r="G3155" s="24" t="str">
        <x:v>Asiana</x:v>
      </x:c>
      <x:c r="H3155" s="24" t="str">
        <x:v>PhotoFusion X</x:v>
      </x:c>
      <x:c r="I3155" s="24" t="str">
        <x:v>1.67</x:v>
      </x:c>
      <x:c r="J3155" s="24" t="str">
        <x:v>1.67</x:v>
      </x:c>
      <x:c r="K3155" s="24" t="str">
        <x:v>DuraVision Chrome UV</x:v>
      </x:c>
      <x:c r="L3155" s="40" t="n">
        <x:v>5690</x:v>
      </x:c>
      <x:c r="M3155" s="24" t="str">
        <x:v>-10.00 a +8.00</x:v>
      </x:c>
      <x:c r="N3155" s="24" t="str">
        <x:v>4.00</x:v>
      </x:c>
      <x:c r="O3155" s="24" t="str">
        <x:v>0.50</x:v>
      </x:c>
      <x:c r="P3155" s="24" t="str">
        <x:v>70/75</x:v>
      </x:c>
      <x:c r="Q3155" s="24"/>
      <x:c r="R3155" s="24"/>
      <x:c r="S3155" s="26" t="n">
        <x:v>46113</x:v>
      </x:c>
      <x:c r="T3155" s="26"/>
      <x:c r="U3155" s="24" t="str">
        <x:v>ATIVA/SEM FIM INFORMADO</x:v>
      </x:c>
      <x:c r="V3155" s="24" t="str">
        <x:v>Programa de Parcerias ZEISS</x:v>
      </x:c>
      <x:c r="W3155" s="24" t="n">
        <x:v>54</x:v>
      </x:c>
      <x:c r="X3155" s="24" t="str">
        <x:v>tabela_zeiss.pdf</x:v>
      </x:c>
      <x:c r="Y3155" s="24" t="str">
        <x:v>alta</x:v>
      </x:c>
      <x:c r="Z3155" s="24"/>
      <x:c r="AA3155" s="24" t="str">
        <x:v>ZEISS|Asiana|Surfaçada|Asiana|PhotoFusion X|1.67|1.67|DuraVision Chrome UV|-10.00 a +8.00|4.00|0.50|70/75|||54</x:v>
      </x:c>
    </x:row>
    <x:row r="3156">
      <x:c r="A3156" s="24" t="str">
        <x:v>ZS-3F21D99F881D</x:v>
      </x:c>
      <x:c r="B3156" s="24" t="str">
        <x:v>SIM</x:v>
      </x:c>
      <x:c r="C3156" s="24" t="str">
        <x:v>DISPONÍVEL</x:v>
      </x:c>
      <x:c r="D3156" s="24" t="str">
        <x:v>ZEISS</x:v>
      </x:c>
      <x:c r="E3156" s="24" t="str">
        <x:v>Asiana</x:v>
      </x:c>
      <x:c r="F3156" s="24" t="str">
        <x:v>Surfaçada</x:v>
      </x:c>
      <x:c r="G3156" s="24" t="str">
        <x:v>Asiana</x:v>
      </x:c>
      <x:c r="H3156" s="24" t="str">
        <x:v>PhotoFusion X Extra Dark Cinza</x:v>
      </x:c>
      <x:c r="I3156" s="24" t="str">
        <x:v>1.5</x:v>
      </x:c>
      <x:c r="J3156" s="24" t="str">
        <x:v>1.50</x:v>
      </x:c>
      <x:c r="K3156" s="24" t="str">
        <x:v>DuraVision Gold UV</x:v>
      </x:c>
      <x:c r="L3156" s="40" t="n">
        <x:v>3740</x:v>
      </x:c>
      <x:c r="M3156" s="24" t="str">
        <x:v>-6.00 a +4.00</x:v>
      </x:c>
      <x:c r="N3156" s="24" t="str">
        <x:v>4.00</x:v>
      </x:c>
      <x:c r="O3156" s="24" t="str">
        <x:v>0.50</x:v>
      </x:c>
      <x:c r="P3156" s="24" t="str">
        <x:v>75/80</x:v>
      </x:c>
      <x:c r="Q3156" s="24"/>
      <x:c r="R3156" s="24"/>
      <x:c r="S3156" s="26" t="n">
        <x:v>46113</x:v>
      </x:c>
      <x:c r="T3156" s="26"/>
      <x:c r="U3156" s="24" t="str">
        <x:v>ATIVA/SEM FIM INFORMADO</x:v>
      </x:c>
      <x:c r="V3156" s="24" t="str">
        <x:v>Programa de Parcerias ZEISS</x:v>
      </x:c>
      <x:c r="W3156" s="24" t="n">
        <x:v>54</x:v>
      </x:c>
      <x:c r="X3156" s="24" t="str">
        <x:v>tabela_zeiss.pdf</x:v>
      </x:c>
      <x:c r="Y3156" s="24" t="str">
        <x:v>alta</x:v>
      </x:c>
      <x:c r="Z3156" s="24"/>
      <x:c r="AA3156" s="24" t="str">
        <x:v>ZEISS|Asiana|Surfaçada|Asiana|PhotoFusion X Extra Dark Cinza|1.5|1.50|DuraVision Gold UV|-6.00 a +4.00|4.00|0.50|75/80|||54</x:v>
      </x:c>
    </x:row>
    <x:row r="3157">
      <x:c r="A3157" s="24" t="str">
        <x:v>ZS-F63D8E3C245C</x:v>
      </x:c>
      <x:c r="B3157" s="24" t="str">
        <x:v>SIM</x:v>
      </x:c>
      <x:c r="C3157" s="24" t="str">
        <x:v>DISPONÍVEL</x:v>
      </x:c>
      <x:c r="D3157" s="24" t="str">
        <x:v>ZEISS</x:v>
      </x:c>
      <x:c r="E3157" s="24" t="str">
        <x:v>Asiana</x:v>
      </x:c>
      <x:c r="F3157" s="24" t="str">
        <x:v>Surfaçada</x:v>
      </x:c>
      <x:c r="G3157" s="24" t="str">
        <x:v>Asiana</x:v>
      </x:c>
      <x:c r="H3157" s="24" t="str">
        <x:v>PhotoFusion X Extra Dark Cinza</x:v>
      </x:c>
      <x:c r="I3157" s="24" t="str">
        <x:v>1.5</x:v>
      </x:c>
      <x:c r="J3157" s="24" t="str">
        <x:v>1.50</x:v>
      </x:c>
      <x:c r="K3157" s="24" t="str">
        <x:v>DURAVISION® ANTIVÍRUS PLATINUM UV</x:v>
      </x:c>
      <x:c r="L3157" s="40" t="n">
        <x:v>3600</x:v>
      </x:c>
      <x:c r="M3157" s="24" t="str">
        <x:v>-6.00 a +4.00</x:v>
      </x:c>
      <x:c r="N3157" s="24" t="str">
        <x:v>4.00</x:v>
      </x:c>
      <x:c r="O3157" s="24" t="str">
        <x:v>0.50</x:v>
      </x:c>
      <x:c r="P3157" s="24" t="str">
        <x:v>75/80</x:v>
      </x:c>
      <x:c r="Q3157" s="24"/>
      <x:c r="R3157" s="24"/>
      <x:c r="S3157" s="26" t="n">
        <x:v>46113</x:v>
      </x:c>
      <x:c r="T3157" s="26"/>
      <x:c r="U3157" s="24" t="str">
        <x:v>ATIVA/SEM FIM INFORMADO</x:v>
      </x:c>
      <x:c r="V3157" s="24" t="str">
        <x:v>Programa de Parcerias ZEISS</x:v>
      </x:c>
      <x:c r="W3157" s="24" t="n">
        <x:v>54</x:v>
      </x:c>
      <x:c r="X3157" s="24" t="str">
        <x:v>tabela_zeiss.pdf</x:v>
      </x:c>
      <x:c r="Y3157" s="24" t="str">
        <x:v>alta</x:v>
      </x:c>
      <x:c r="Z3157" s="24"/>
      <x:c r="AA3157" s="24" t="str">
        <x:v>ZEISS|Asiana|Surfaçada|Asiana|PhotoFusion X Extra Dark Cinza|1.5|1.50|DURAVISION® ANTIVÍRUS PLATINUM UV|-6.00 a +4.00|4.00|0.50|75/80|||54</x:v>
      </x:c>
    </x:row>
    <x:row r="3158">
      <x:c r="A3158" s="24" t="str">
        <x:v>ZS-BD3ABE720AFE</x:v>
      </x:c>
      <x:c r="B3158" s="24" t="str">
        <x:v>SIM</x:v>
      </x:c>
      <x:c r="C3158" s="24" t="str">
        <x:v>DISPONÍVEL</x:v>
      </x:c>
      <x:c r="D3158" s="24" t="str">
        <x:v>ZEISS</x:v>
      </x:c>
      <x:c r="E3158" s="24" t="str">
        <x:v>Asiana</x:v>
      </x:c>
      <x:c r="F3158" s="24" t="str">
        <x:v>Surfaçada</x:v>
      </x:c>
      <x:c r="G3158" s="24" t="str">
        <x:v>Asiana</x:v>
      </x:c>
      <x:c r="H3158" s="24" t="str">
        <x:v>PhotoFusion X Extra Dark Cinza</x:v>
      </x:c>
      <x:c r="I3158" s="24" t="str">
        <x:v>1.5</x:v>
      </x:c>
      <x:c r="J3158" s="24" t="str">
        <x:v>1.50</x:v>
      </x:c>
      <x:c r="K3158" s="24" t="str">
        <x:v>DuraVision Platinum UV</x:v>
      </x:c>
      <x:c r="L3158" s="40" t="n">
        <x:v>3600</x:v>
      </x:c>
      <x:c r="M3158" s="24" t="str">
        <x:v>-6.00 a +4.00</x:v>
      </x:c>
      <x:c r="N3158" s="24" t="str">
        <x:v>4.00</x:v>
      </x:c>
      <x:c r="O3158" s="24" t="str">
        <x:v>0.50</x:v>
      </x:c>
      <x:c r="P3158" s="24" t="str">
        <x:v>75/80</x:v>
      </x:c>
      <x:c r="Q3158" s="24"/>
      <x:c r="R3158" s="24"/>
      <x:c r="S3158" s="26" t="n">
        <x:v>46113</x:v>
      </x:c>
      <x:c r="T3158" s="26"/>
      <x:c r="U3158" s="24" t="str">
        <x:v>ATIVA/SEM FIM INFORMADO</x:v>
      </x:c>
      <x:c r="V3158" s="24" t="str">
        <x:v>Programa de Parcerias ZEISS</x:v>
      </x:c>
      <x:c r="W3158" s="24" t="n">
        <x:v>54</x:v>
      </x:c>
      <x:c r="X3158" s="24" t="str">
        <x:v>tabela_zeiss.pdf</x:v>
      </x:c>
      <x:c r="Y3158" s="24" t="str">
        <x:v>alta</x:v>
      </x:c>
      <x:c r="Z3158" s="24"/>
      <x:c r="AA3158" s="24" t="str">
        <x:v>ZEISS|Asiana|Surfaçada|Asiana|PhotoFusion X Extra Dark Cinza|1.5|1.50|DuraVision Platinum UV|-6.00 a +4.00|4.00|0.50|75/80|||54</x:v>
      </x:c>
    </x:row>
    <x:row r="3159">
      <x:c r="A3159" s="24" t="str">
        <x:v>ZS-41893299CB7B</x:v>
      </x:c>
      <x:c r="B3159" s="24" t="str">
        <x:v>SIM</x:v>
      </x:c>
      <x:c r="C3159" s="24" t="str">
        <x:v>DISPONÍVEL</x:v>
      </x:c>
      <x:c r="D3159" s="24" t="str">
        <x:v>ZEISS</x:v>
      </x:c>
      <x:c r="E3159" s="24" t="str">
        <x:v>Asiana</x:v>
      </x:c>
      <x:c r="F3159" s="24" t="str">
        <x:v>Surfaçada</x:v>
      </x:c>
      <x:c r="G3159" s="24" t="str">
        <x:v>Asiana</x:v>
      </x:c>
      <x:c r="H3159" s="24" t="str">
        <x:v>PhotoFusion X Extra Dark Cinza</x:v>
      </x:c>
      <x:c r="I3159" s="24" t="str">
        <x:v>1.5</x:v>
      </x:c>
      <x:c r="J3159" s="24" t="str">
        <x:v>1.50</x:v>
      </x:c>
      <x:c r="K3159" s="24" t="str">
        <x:v>DuraVision Silver UV</x:v>
      </x:c>
      <x:c r="L3159" s="40" t="n">
        <x:v>3340</x:v>
      </x:c>
      <x:c r="M3159" s="24" t="str">
        <x:v>-6.00 a +4.00</x:v>
      </x:c>
      <x:c r="N3159" s="24" t="str">
        <x:v>4.00</x:v>
      </x:c>
      <x:c r="O3159" s="24" t="str">
        <x:v>0.50</x:v>
      </x:c>
      <x:c r="P3159" s="24" t="str">
        <x:v>75/80</x:v>
      </x:c>
      <x:c r="Q3159" s="24"/>
      <x:c r="R3159" s="24"/>
      <x:c r="S3159" s="26" t="n">
        <x:v>46113</x:v>
      </x:c>
      <x:c r="T3159" s="26"/>
      <x:c r="U3159" s="24" t="str">
        <x:v>ATIVA/SEM FIM INFORMADO</x:v>
      </x:c>
      <x:c r="V3159" s="24" t="str">
        <x:v>Programa de Parcerias ZEISS</x:v>
      </x:c>
      <x:c r="W3159" s="24" t="n">
        <x:v>54</x:v>
      </x:c>
      <x:c r="X3159" s="24" t="str">
        <x:v>tabela_zeiss.pdf</x:v>
      </x:c>
      <x:c r="Y3159" s="24" t="str">
        <x:v>alta</x:v>
      </x:c>
      <x:c r="Z3159" s="24"/>
      <x:c r="AA3159" s="24" t="str">
        <x:v>ZEISS|Asiana|Surfaçada|Asiana|PhotoFusion X Extra Dark Cinza|1.5|1.50|DuraVision Silver UV|-6.00 a +4.00|4.00|0.50|75/80|||54</x:v>
      </x:c>
    </x:row>
    <x:row r="3160">
      <x:c r="A3160" s="24" t="str">
        <x:v>ZS-4DABB9CCDFE3</x:v>
      </x:c>
      <x:c r="B3160" s="24" t="str">
        <x:v>SIM</x:v>
      </x:c>
      <x:c r="C3160" s="24" t="str">
        <x:v>DISPONÍVEL</x:v>
      </x:c>
      <x:c r="D3160" s="24" t="str">
        <x:v>ZEISS</x:v>
      </x:c>
      <x:c r="E3160" s="24" t="str">
        <x:v>Asiana</x:v>
      </x:c>
      <x:c r="F3160" s="24" t="str">
        <x:v>Surfaçada</x:v>
      </x:c>
      <x:c r="G3160" s="24" t="str">
        <x:v>Asiana</x:v>
      </x:c>
      <x:c r="H3160" s="24" t="str">
        <x:v>PhotoFusion X Extra Dark Cinza</x:v>
      </x:c>
      <x:c r="I3160" s="24" t="str">
        <x:v>1.5</x:v>
      </x:c>
      <x:c r="J3160" s="24" t="str">
        <x:v>1.50</x:v>
      </x:c>
      <x:c r="K3160" s="24" t="str">
        <x:v>DuraVision Chrome UV</x:v>
      </x:c>
      <x:c r="L3160" s="40" t="n">
        <x:v>2850</x:v>
      </x:c>
      <x:c r="M3160" s="24" t="str">
        <x:v>-6.00 a +4.00</x:v>
      </x:c>
      <x:c r="N3160" s="24" t="str">
        <x:v>4.00</x:v>
      </x:c>
      <x:c r="O3160" s="24" t="str">
        <x:v>0.50</x:v>
      </x:c>
      <x:c r="P3160" s="24" t="str">
        <x:v>75/80</x:v>
      </x:c>
      <x:c r="Q3160" s="24"/>
      <x:c r="R3160" s="24"/>
      <x:c r="S3160" s="26" t="n">
        <x:v>46113</x:v>
      </x:c>
      <x:c r="T3160" s="26"/>
      <x:c r="U3160" s="24" t="str">
        <x:v>ATIVA/SEM FIM INFORMADO</x:v>
      </x:c>
      <x:c r="V3160" s="24" t="str">
        <x:v>Programa de Parcerias ZEISS</x:v>
      </x:c>
      <x:c r="W3160" s="24" t="n">
        <x:v>54</x:v>
      </x:c>
      <x:c r="X3160" s="24" t="str">
        <x:v>tabela_zeiss.pdf</x:v>
      </x:c>
      <x:c r="Y3160" s="24" t="str">
        <x:v>alta</x:v>
      </x:c>
      <x:c r="Z3160" s="24"/>
      <x:c r="AA3160" s="24" t="str">
        <x:v>ZEISS|Asiana|Surfaçada|Asiana|PhotoFusion X Extra Dark Cinza|1.5|1.50|DuraVision Chrome UV|-6.00 a +4.00|4.00|0.50|75/80|||54</x:v>
      </x:c>
    </x:row>
    <x:row r="3161">
      <x:c r="A3161" s="24" t="str">
        <x:v>ZS-16166D963021</x:v>
      </x:c>
      <x:c r="B3161" s="24" t="str">
        <x:v>SIM</x:v>
      </x:c>
      <x:c r="C3161" s="24" t="str">
        <x:v>DISPONÍVEL</x:v>
      </x:c>
      <x:c r="D3161" s="24" t="str">
        <x:v>ZEISS</x:v>
      </x:c>
      <x:c r="E3161" s="24" t="str">
        <x:v>Asiana</x:v>
      </x:c>
      <x:c r="F3161" s="24" t="str">
        <x:v>Surfaçada</x:v>
      </x:c>
      <x:c r="G3161" s="24" t="str">
        <x:v>Asiana</x:v>
      </x:c>
      <x:c r="H3161" s="24" t="str">
        <x:v>PhotoFusion X Extra Dark Cinza</x:v>
      </x:c>
      <x:c r="I3161" s="24" t="str">
        <x:v>1.6</x:v>
      </x:c>
      <x:c r="J3161" s="24" t="str">
        <x:v>1.60</x:v>
      </x:c>
      <x:c r="K3161" s="24" t="str">
        <x:v>DuraVision Gold UV</x:v>
      </x:c>
      <x:c r="L3161" s="40" t="n">
        <x:v>4990</x:v>
      </x:c>
      <x:c r="M3161" s="24" t="str">
        <x:v>-10.00 a +6.00</x:v>
      </x:c>
      <x:c r="N3161" s="24" t="str">
        <x:v>6.00</x:v>
      </x:c>
      <x:c r="O3161" s="24" t="str">
        <x:v>0.50</x:v>
      </x:c>
      <x:c r="P3161" s="24" t="str">
        <x:v>70/75</x:v>
      </x:c>
      <x:c r="Q3161" s="24"/>
      <x:c r="R3161" s="24"/>
      <x:c r="S3161" s="26" t="n">
        <x:v>46113</x:v>
      </x:c>
      <x:c r="T3161" s="26"/>
      <x:c r="U3161" s="24" t="str">
        <x:v>ATIVA/SEM FIM INFORMADO</x:v>
      </x:c>
      <x:c r="V3161" s="24" t="str">
        <x:v>Programa de Parcerias ZEISS</x:v>
      </x:c>
      <x:c r="W3161" s="24" t="n">
        <x:v>54</x:v>
      </x:c>
      <x:c r="X3161" s="24" t="str">
        <x:v>tabela_zeiss.pdf</x:v>
      </x:c>
      <x:c r="Y3161" s="24" t="str">
        <x:v>alta</x:v>
      </x:c>
      <x:c r="Z3161" s="24"/>
      <x:c r="AA3161" s="24" t="str">
        <x:v>ZEISS|Asiana|Surfaçada|Asiana|PhotoFusion X Extra Dark Cinza|1.6|1.60|DuraVision Gold UV|-10.00 a +6.00|6.00|0.50|70/75|||54</x:v>
      </x:c>
    </x:row>
    <x:row r="3162">
      <x:c r="A3162" s="24" t="str">
        <x:v>ZS-CC63755FF206</x:v>
      </x:c>
      <x:c r="B3162" s="24" t="str">
        <x:v>SIM</x:v>
      </x:c>
      <x:c r="C3162" s="24" t="str">
        <x:v>DISPONÍVEL</x:v>
      </x:c>
      <x:c r="D3162" s="24" t="str">
        <x:v>ZEISS</x:v>
      </x:c>
      <x:c r="E3162" s="24" t="str">
        <x:v>Asiana</x:v>
      </x:c>
      <x:c r="F3162" s="24" t="str">
        <x:v>Surfaçada</x:v>
      </x:c>
      <x:c r="G3162" s="24" t="str">
        <x:v>Asiana</x:v>
      </x:c>
      <x:c r="H3162" s="24" t="str">
        <x:v>PhotoFusion X Extra Dark Cinza</x:v>
      </x:c>
      <x:c r="I3162" s="24" t="str">
        <x:v>1.6</x:v>
      </x:c>
      <x:c r="J3162" s="24" t="str">
        <x:v>1.60</x:v>
      </x:c>
      <x:c r="K3162" s="24" t="str">
        <x:v>DURAVISION® ANTIVÍRUS PLATINUM UV</x:v>
      </x:c>
      <x:c r="L3162" s="40" t="n">
        <x:v>4850</x:v>
      </x:c>
      <x:c r="M3162" s="24" t="str">
        <x:v>-10.00 a +6.00</x:v>
      </x:c>
      <x:c r="N3162" s="24" t="str">
        <x:v>6.00</x:v>
      </x:c>
      <x:c r="O3162" s="24" t="str">
        <x:v>0.50</x:v>
      </x:c>
      <x:c r="P3162" s="24" t="str">
        <x:v>70/75</x:v>
      </x:c>
      <x:c r="Q3162" s="24"/>
      <x:c r="R3162" s="24"/>
      <x:c r="S3162" s="26" t="n">
        <x:v>46113</x:v>
      </x:c>
      <x:c r="T3162" s="26"/>
      <x:c r="U3162" s="24" t="str">
        <x:v>ATIVA/SEM FIM INFORMADO</x:v>
      </x:c>
      <x:c r="V3162" s="24" t="str">
        <x:v>Programa de Parcerias ZEISS</x:v>
      </x:c>
      <x:c r="W3162" s="24" t="n">
        <x:v>54</x:v>
      </x:c>
      <x:c r="X3162" s="24" t="str">
        <x:v>tabela_zeiss.pdf</x:v>
      </x:c>
      <x:c r="Y3162" s="24" t="str">
        <x:v>alta</x:v>
      </x:c>
      <x:c r="Z3162" s="24"/>
      <x:c r="AA3162" s="24" t="str">
        <x:v>ZEISS|Asiana|Surfaçada|Asiana|PhotoFusion X Extra Dark Cinza|1.6|1.60|DURAVISION® ANTIVÍRUS PLATINUM UV|-10.00 a +6.00|6.00|0.50|70/75|||54</x:v>
      </x:c>
    </x:row>
    <x:row r="3163">
      <x:c r="A3163" s="24" t="str">
        <x:v>ZS-6F2ED394458F</x:v>
      </x:c>
      <x:c r="B3163" s="24" t="str">
        <x:v>SIM</x:v>
      </x:c>
      <x:c r="C3163" s="24" t="str">
        <x:v>DISPONÍVEL</x:v>
      </x:c>
      <x:c r="D3163" s="24" t="str">
        <x:v>ZEISS</x:v>
      </x:c>
      <x:c r="E3163" s="24" t="str">
        <x:v>Asiana</x:v>
      </x:c>
      <x:c r="F3163" s="24" t="str">
        <x:v>Surfaçada</x:v>
      </x:c>
      <x:c r="G3163" s="24" t="str">
        <x:v>Asiana</x:v>
      </x:c>
      <x:c r="H3163" s="24" t="str">
        <x:v>PhotoFusion X Extra Dark Cinza</x:v>
      </x:c>
      <x:c r="I3163" s="24" t="str">
        <x:v>1.6</x:v>
      </x:c>
      <x:c r="J3163" s="24" t="str">
        <x:v>1.60</x:v>
      </x:c>
      <x:c r="K3163" s="24" t="str">
        <x:v>DuraVision Platinum UV</x:v>
      </x:c>
      <x:c r="L3163" s="40" t="n">
        <x:v>4850</x:v>
      </x:c>
      <x:c r="M3163" s="24" t="str">
        <x:v>-10.00 a +6.00</x:v>
      </x:c>
      <x:c r="N3163" s="24" t="str">
        <x:v>6.00</x:v>
      </x:c>
      <x:c r="O3163" s="24" t="str">
        <x:v>0.50</x:v>
      </x:c>
      <x:c r="P3163" s="24" t="str">
        <x:v>70/75</x:v>
      </x:c>
      <x:c r="Q3163" s="24"/>
      <x:c r="R3163" s="24"/>
      <x:c r="S3163" s="26" t="n">
        <x:v>46113</x:v>
      </x:c>
      <x:c r="T3163" s="26"/>
      <x:c r="U3163" s="24" t="str">
        <x:v>ATIVA/SEM FIM INFORMADO</x:v>
      </x:c>
      <x:c r="V3163" s="24" t="str">
        <x:v>Programa de Parcerias ZEISS</x:v>
      </x:c>
      <x:c r="W3163" s="24" t="n">
        <x:v>54</x:v>
      </x:c>
      <x:c r="X3163" s="24" t="str">
        <x:v>tabela_zeiss.pdf</x:v>
      </x:c>
      <x:c r="Y3163" s="24" t="str">
        <x:v>alta</x:v>
      </x:c>
      <x:c r="Z3163" s="24"/>
      <x:c r="AA3163" s="24" t="str">
        <x:v>ZEISS|Asiana|Surfaçada|Asiana|PhotoFusion X Extra Dark Cinza|1.6|1.60|DuraVision Platinum UV|-10.00 a +6.00|6.00|0.50|70/75|||54</x:v>
      </x:c>
    </x:row>
    <x:row r="3164">
      <x:c r="A3164" s="24" t="str">
        <x:v>ZS-E627DF1CD662</x:v>
      </x:c>
      <x:c r="B3164" s="24" t="str">
        <x:v>SIM</x:v>
      </x:c>
      <x:c r="C3164" s="24" t="str">
        <x:v>DISPONÍVEL</x:v>
      </x:c>
      <x:c r="D3164" s="24" t="str">
        <x:v>ZEISS</x:v>
      </x:c>
      <x:c r="E3164" s="24" t="str">
        <x:v>Asiana</x:v>
      </x:c>
      <x:c r="F3164" s="24" t="str">
        <x:v>Surfaçada</x:v>
      </x:c>
      <x:c r="G3164" s="24" t="str">
        <x:v>Asiana</x:v>
      </x:c>
      <x:c r="H3164" s="24" t="str">
        <x:v>PhotoFusion X Extra Dark Cinza</x:v>
      </x:c>
      <x:c r="I3164" s="24" t="str">
        <x:v>1.6</x:v>
      </x:c>
      <x:c r="J3164" s="24" t="str">
        <x:v>1.60</x:v>
      </x:c>
      <x:c r="K3164" s="24" t="str">
        <x:v>DuraVision Silver UV</x:v>
      </x:c>
      <x:c r="L3164" s="40" t="n">
        <x:v>4590</x:v>
      </x:c>
      <x:c r="M3164" s="24" t="str">
        <x:v>-10.00 a +6.00</x:v>
      </x:c>
      <x:c r="N3164" s="24" t="str">
        <x:v>6.00</x:v>
      </x:c>
      <x:c r="O3164" s="24" t="str">
        <x:v>0.50</x:v>
      </x:c>
      <x:c r="P3164" s="24" t="str">
        <x:v>70/75</x:v>
      </x:c>
      <x:c r="Q3164" s="24"/>
      <x:c r="R3164" s="24"/>
      <x:c r="S3164" s="26" t="n">
        <x:v>46113</x:v>
      </x:c>
      <x:c r="T3164" s="26"/>
      <x:c r="U3164" s="24" t="str">
        <x:v>ATIVA/SEM FIM INFORMADO</x:v>
      </x:c>
      <x:c r="V3164" s="24" t="str">
        <x:v>Programa de Parcerias ZEISS</x:v>
      </x:c>
      <x:c r="W3164" s="24" t="n">
        <x:v>54</x:v>
      </x:c>
      <x:c r="X3164" s="24" t="str">
        <x:v>tabela_zeiss.pdf</x:v>
      </x:c>
      <x:c r="Y3164" s="24" t="str">
        <x:v>alta</x:v>
      </x:c>
      <x:c r="Z3164" s="24"/>
      <x:c r="AA3164" s="24" t="str">
        <x:v>ZEISS|Asiana|Surfaçada|Asiana|PhotoFusion X Extra Dark Cinza|1.6|1.60|DuraVision Silver UV|-10.00 a +6.00|6.00|0.50|70/75|||54</x:v>
      </x:c>
    </x:row>
    <x:row r="3165">
      <x:c r="A3165" s="24" t="str">
        <x:v>ZS-00508C87F461</x:v>
      </x:c>
      <x:c r="B3165" s="24" t="str">
        <x:v>SIM</x:v>
      </x:c>
      <x:c r="C3165" s="24" t="str">
        <x:v>DISPONÍVEL</x:v>
      </x:c>
      <x:c r="D3165" s="24" t="str">
        <x:v>ZEISS</x:v>
      </x:c>
      <x:c r="E3165" s="24" t="str">
        <x:v>Asiana</x:v>
      </x:c>
      <x:c r="F3165" s="24" t="str">
        <x:v>Surfaçada</x:v>
      </x:c>
      <x:c r="G3165" s="24" t="str">
        <x:v>Asiana</x:v>
      </x:c>
      <x:c r="H3165" s="24" t="str">
        <x:v>PhotoFusion X Extra Dark Cinza</x:v>
      </x:c>
      <x:c r="I3165" s="24" t="str">
        <x:v>1.6</x:v>
      </x:c>
      <x:c r="J3165" s="24" t="str">
        <x:v>1.60</x:v>
      </x:c>
      <x:c r="K3165" s="24" t="str">
        <x:v>DuraVision Chrome UV</x:v>
      </x:c>
      <x:c r="L3165" s="40" t="n">
        <x:v>4100</x:v>
      </x:c>
      <x:c r="M3165" s="24" t="str">
        <x:v>-10.00 a +6.00</x:v>
      </x:c>
      <x:c r="N3165" s="24" t="str">
        <x:v>6.00</x:v>
      </x:c>
      <x:c r="O3165" s="24" t="str">
        <x:v>0.50</x:v>
      </x:c>
      <x:c r="P3165" s="24" t="str">
        <x:v>70/75</x:v>
      </x:c>
      <x:c r="Q3165" s="24"/>
      <x:c r="R3165" s="24"/>
      <x:c r="S3165" s="26" t="n">
        <x:v>46113</x:v>
      </x:c>
      <x:c r="T3165" s="26"/>
      <x:c r="U3165" s="24" t="str">
        <x:v>ATIVA/SEM FIM INFORMADO</x:v>
      </x:c>
      <x:c r="V3165" s="24" t="str">
        <x:v>Programa de Parcerias ZEISS</x:v>
      </x:c>
      <x:c r="W3165" s="24" t="n">
        <x:v>54</x:v>
      </x:c>
      <x:c r="X3165" s="24" t="str">
        <x:v>tabela_zeiss.pdf</x:v>
      </x:c>
      <x:c r="Y3165" s="24" t="str">
        <x:v>alta</x:v>
      </x:c>
      <x:c r="Z3165" s="24"/>
      <x:c r="AA3165" s="24" t="str">
        <x:v>ZEISS|Asiana|Surfaçada|Asiana|PhotoFusion X Extra Dark Cinza|1.6|1.60|DuraVision Chrome UV|-10.00 a +6.00|6.00|0.50|70/75|||54</x:v>
      </x:c>
    </x:row>
    <x:row r="3166">
      <x:c r="A3166" s="24" t="str">
        <x:v>ZS-A4AA50F5B19E</x:v>
      </x:c>
      <x:c r="B3166" s="24" t="str">
        <x:v>SIM</x:v>
      </x:c>
      <x:c r="C3166" s="24" t="str">
        <x:v>DISPONÍVEL</x:v>
      </x:c>
      <x:c r="D3166" s="24" t="str">
        <x:v>ZEISS</x:v>
      </x:c>
      <x:c r="E3166" s="24" t="str">
        <x:v>Asiana</x:v>
      </x:c>
      <x:c r="F3166" s="24" t="str">
        <x:v>Surfaçada</x:v>
      </x:c>
      <x:c r="G3166" s="24" t="str">
        <x:v>Asiana</x:v>
      </x:c>
      <x:c r="H3166" s="24" t="str">
        <x:v>PhotoFusion X Extra Dark Cinza</x:v>
      </x:c>
      <x:c r="I3166" s="24" t="str">
        <x:v>1.67</x:v>
      </x:c>
      <x:c r="J3166" s="24" t="str">
        <x:v>1.67</x:v>
      </x:c>
      <x:c r="K3166" s="24" t="str">
        <x:v>DuraVision Gold UV</x:v>
      </x:c>
      <x:c r="L3166" s="40" t="n">
        <x:v>6630</x:v>
      </x:c>
      <x:c r="M3166" s="24" t="str">
        <x:v>-10.00 a +8.00</x:v>
      </x:c>
      <x:c r="N3166" s="24" t="str">
        <x:v>4.00</x:v>
      </x:c>
      <x:c r="O3166" s="24" t="str">
        <x:v>0.50</x:v>
      </x:c>
      <x:c r="P3166" s="24" t="str">
        <x:v>70/75</x:v>
      </x:c>
      <x:c r="Q3166" s="24"/>
      <x:c r="R3166" s="24"/>
      <x:c r="S3166" s="26" t="n">
        <x:v>46113</x:v>
      </x:c>
      <x:c r="T3166" s="26"/>
      <x:c r="U3166" s="24" t="str">
        <x:v>ATIVA/SEM FIM INFORMADO</x:v>
      </x:c>
      <x:c r="V3166" s="24" t="str">
        <x:v>Programa de Parcerias ZEISS</x:v>
      </x:c>
      <x:c r="W3166" s="24" t="n">
        <x:v>54</x:v>
      </x:c>
      <x:c r="X3166" s="24" t="str">
        <x:v>tabela_zeiss.pdf</x:v>
      </x:c>
      <x:c r="Y3166" s="24" t="str">
        <x:v>alta</x:v>
      </x:c>
      <x:c r="Z3166" s="24"/>
      <x:c r="AA3166" s="24" t="str">
        <x:v>ZEISS|Asiana|Surfaçada|Asiana|PhotoFusion X Extra Dark Cinza|1.67|1.67|DuraVision Gold UV|-10.00 a +8.00|4.00|0.50|70/75|||54</x:v>
      </x:c>
    </x:row>
    <x:row r="3167">
      <x:c r="A3167" s="24" t="str">
        <x:v>ZS-DC3566D157B6</x:v>
      </x:c>
      <x:c r="B3167" s="24" t="str">
        <x:v>SIM</x:v>
      </x:c>
      <x:c r="C3167" s="24" t="str">
        <x:v>DISPONÍVEL</x:v>
      </x:c>
      <x:c r="D3167" s="24" t="str">
        <x:v>ZEISS</x:v>
      </x:c>
      <x:c r="E3167" s="24" t="str">
        <x:v>Asiana</x:v>
      </x:c>
      <x:c r="F3167" s="24" t="str">
        <x:v>Surfaçada</x:v>
      </x:c>
      <x:c r="G3167" s="24" t="str">
        <x:v>Asiana</x:v>
      </x:c>
      <x:c r="H3167" s="24" t="str">
        <x:v>PhotoFusion X Extra Dark Cinza</x:v>
      </x:c>
      <x:c r="I3167" s="24" t="str">
        <x:v>1.67</x:v>
      </x:c>
      <x:c r="J3167" s="24" t="str">
        <x:v>1.67</x:v>
      </x:c>
      <x:c r="K3167" s="24" t="str">
        <x:v>DURAVISION® ANTIVÍRUS PLATINUM UV</x:v>
      </x:c>
      <x:c r="L3167" s="40" t="n">
        <x:v>6490</x:v>
      </x:c>
      <x:c r="M3167" s="24" t="str">
        <x:v>-10.00 a +8.00</x:v>
      </x:c>
      <x:c r="N3167" s="24" t="str">
        <x:v>4.00</x:v>
      </x:c>
      <x:c r="O3167" s="24" t="str">
        <x:v>0.50</x:v>
      </x:c>
      <x:c r="P3167" s="24" t="str">
        <x:v>70/75</x:v>
      </x:c>
      <x:c r="Q3167" s="24"/>
      <x:c r="R3167" s="24"/>
      <x:c r="S3167" s="26" t="n">
        <x:v>46113</x:v>
      </x:c>
      <x:c r="T3167" s="26"/>
      <x:c r="U3167" s="24" t="str">
        <x:v>ATIVA/SEM FIM INFORMADO</x:v>
      </x:c>
      <x:c r="V3167" s="24" t="str">
        <x:v>Programa de Parcerias ZEISS</x:v>
      </x:c>
      <x:c r="W3167" s="24" t="n">
        <x:v>54</x:v>
      </x:c>
      <x:c r="X3167" s="24" t="str">
        <x:v>tabela_zeiss.pdf</x:v>
      </x:c>
      <x:c r="Y3167" s="24" t="str">
        <x:v>alta</x:v>
      </x:c>
      <x:c r="Z3167" s="24"/>
      <x:c r="AA3167" s="24" t="str">
        <x:v>ZEISS|Asiana|Surfaçada|Asiana|PhotoFusion X Extra Dark Cinza|1.67|1.67|DURAVISION® ANTIVÍRUS PLATINUM UV|-10.00 a +8.00|4.00|0.50|70/75|||54</x:v>
      </x:c>
    </x:row>
    <x:row r="3168">
      <x:c r="A3168" s="24" t="str">
        <x:v>ZS-64459089CCA5</x:v>
      </x:c>
      <x:c r="B3168" s="24" t="str">
        <x:v>SIM</x:v>
      </x:c>
      <x:c r="C3168" s="24" t="str">
        <x:v>DISPONÍVEL</x:v>
      </x:c>
      <x:c r="D3168" s="24" t="str">
        <x:v>ZEISS</x:v>
      </x:c>
      <x:c r="E3168" s="24" t="str">
        <x:v>Asiana</x:v>
      </x:c>
      <x:c r="F3168" s="24" t="str">
        <x:v>Surfaçada</x:v>
      </x:c>
      <x:c r="G3168" s="24" t="str">
        <x:v>Asiana</x:v>
      </x:c>
      <x:c r="H3168" s="24" t="str">
        <x:v>PhotoFusion X Extra Dark Cinza</x:v>
      </x:c>
      <x:c r="I3168" s="24" t="str">
        <x:v>1.67</x:v>
      </x:c>
      <x:c r="J3168" s="24" t="str">
        <x:v>1.67</x:v>
      </x:c>
      <x:c r="K3168" s="24" t="str">
        <x:v>DuraVision Platinum UV</x:v>
      </x:c>
      <x:c r="L3168" s="40" t="n">
        <x:v>6490</x:v>
      </x:c>
      <x:c r="M3168" s="24" t="str">
        <x:v>-10.00 a +8.00</x:v>
      </x:c>
      <x:c r="N3168" s="24" t="str">
        <x:v>4.00</x:v>
      </x:c>
      <x:c r="O3168" s="24" t="str">
        <x:v>0.50</x:v>
      </x:c>
      <x:c r="P3168" s="24" t="str">
        <x:v>70/75</x:v>
      </x:c>
      <x:c r="Q3168" s="24"/>
      <x:c r="R3168" s="24"/>
      <x:c r="S3168" s="26" t="n">
        <x:v>46113</x:v>
      </x:c>
      <x:c r="T3168" s="26"/>
      <x:c r="U3168" s="24" t="str">
        <x:v>ATIVA/SEM FIM INFORMADO</x:v>
      </x:c>
      <x:c r="V3168" s="24" t="str">
        <x:v>Programa de Parcerias ZEISS</x:v>
      </x:c>
      <x:c r="W3168" s="24" t="n">
        <x:v>54</x:v>
      </x:c>
      <x:c r="X3168" s="24" t="str">
        <x:v>tabela_zeiss.pdf</x:v>
      </x:c>
      <x:c r="Y3168" s="24" t="str">
        <x:v>alta</x:v>
      </x:c>
      <x:c r="Z3168" s="24"/>
      <x:c r="AA3168" s="24" t="str">
        <x:v>ZEISS|Asiana|Surfaçada|Asiana|PhotoFusion X Extra Dark Cinza|1.67|1.67|DuraVision Platinum UV|-10.00 a +8.00|4.00|0.50|70/75|||54</x:v>
      </x:c>
    </x:row>
    <x:row r="3169">
      <x:c r="A3169" s="24" t="str">
        <x:v>ZS-6D0283EB8965</x:v>
      </x:c>
      <x:c r="B3169" s="24" t="str">
        <x:v>SIM</x:v>
      </x:c>
      <x:c r="C3169" s="24" t="str">
        <x:v>DISPONÍVEL</x:v>
      </x:c>
      <x:c r="D3169" s="24" t="str">
        <x:v>ZEISS</x:v>
      </x:c>
      <x:c r="E3169" s="24" t="str">
        <x:v>Asiana</x:v>
      </x:c>
      <x:c r="F3169" s="24" t="str">
        <x:v>Surfaçada</x:v>
      </x:c>
      <x:c r="G3169" s="24" t="str">
        <x:v>Asiana</x:v>
      </x:c>
      <x:c r="H3169" s="24" t="str">
        <x:v>PhotoFusion X Extra Dark Cinza</x:v>
      </x:c>
      <x:c r="I3169" s="24" t="str">
        <x:v>1.67</x:v>
      </x:c>
      <x:c r="J3169" s="24" t="str">
        <x:v>1.67</x:v>
      </x:c>
      <x:c r="K3169" s="24" t="str">
        <x:v>DuraVision Silver UV</x:v>
      </x:c>
      <x:c r="L3169" s="40" t="n">
        <x:v>6230</x:v>
      </x:c>
      <x:c r="M3169" s="24" t="str">
        <x:v>-10.00 a +8.00</x:v>
      </x:c>
      <x:c r="N3169" s="24" t="str">
        <x:v>4.00</x:v>
      </x:c>
      <x:c r="O3169" s="24" t="str">
        <x:v>0.50</x:v>
      </x:c>
      <x:c r="P3169" s="24" t="str">
        <x:v>70/75</x:v>
      </x:c>
      <x:c r="Q3169" s="24"/>
      <x:c r="R3169" s="24"/>
      <x:c r="S3169" s="26" t="n">
        <x:v>46113</x:v>
      </x:c>
      <x:c r="T3169" s="26"/>
      <x:c r="U3169" s="24" t="str">
        <x:v>ATIVA/SEM FIM INFORMADO</x:v>
      </x:c>
      <x:c r="V3169" s="24" t="str">
        <x:v>Programa de Parcerias ZEISS</x:v>
      </x:c>
      <x:c r="W3169" s="24" t="n">
        <x:v>54</x:v>
      </x:c>
      <x:c r="X3169" s="24" t="str">
        <x:v>tabela_zeiss.pdf</x:v>
      </x:c>
      <x:c r="Y3169" s="24" t="str">
        <x:v>alta</x:v>
      </x:c>
      <x:c r="Z3169" s="24"/>
      <x:c r="AA3169" s="24" t="str">
        <x:v>ZEISS|Asiana|Surfaçada|Asiana|PhotoFusion X Extra Dark Cinza|1.67|1.67|DuraVision Silver UV|-10.00 a +8.00|4.00|0.50|70/75|||54</x:v>
      </x:c>
    </x:row>
    <x:row r="3170">
      <x:c r="A3170" s="24" t="str">
        <x:v>ZS-F16B88714F05</x:v>
      </x:c>
      <x:c r="B3170" s="24" t="str">
        <x:v>SIM</x:v>
      </x:c>
      <x:c r="C3170" s="24" t="str">
        <x:v>DISPONÍVEL</x:v>
      </x:c>
      <x:c r="D3170" s="24" t="str">
        <x:v>ZEISS</x:v>
      </x:c>
      <x:c r="E3170" s="24" t="str">
        <x:v>Asiana</x:v>
      </x:c>
      <x:c r="F3170" s="24" t="str">
        <x:v>Surfaçada</x:v>
      </x:c>
      <x:c r="G3170" s="24" t="str">
        <x:v>Asiana</x:v>
      </x:c>
      <x:c r="H3170" s="24" t="str">
        <x:v>PhotoFusion X Extra Dark Cinza</x:v>
      </x:c>
      <x:c r="I3170" s="24" t="str">
        <x:v>1.67</x:v>
      </x:c>
      <x:c r="J3170" s="24" t="str">
        <x:v>1.67</x:v>
      </x:c>
      <x:c r="K3170" s="24" t="str">
        <x:v>DuraVision Chrome UV</x:v>
      </x:c>
      <x:c r="L3170" s="40" t="n">
        <x:v>5740</x:v>
      </x:c>
      <x:c r="M3170" s="24" t="str">
        <x:v>-10.00 a +8.00</x:v>
      </x:c>
      <x:c r="N3170" s="24" t="str">
        <x:v>4.00</x:v>
      </x:c>
      <x:c r="O3170" s="24" t="str">
        <x:v>0.50</x:v>
      </x:c>
      <x:c r="P3170" s="24" t="str">
        <x:v>70/75</x:v>
      </x:c>
      <x:c r="Q3170" s="24"/>
      <x:c r="R3170" s="24"/>
      <x:c r="S3170" s="26" t="n">
        <x:v>46113</x:v>
      </x:c>
      <x:c r="T3170" s="26"/>
      <x:c r="U3170" s="24" t="str">
        <x:v>ATIVA/SEM FIM INFORMADO</x:v>
      </x:c>
      <x:c r="V3170" s="24" t="str">
        <x:v>Programa de Parcerias ZEISS</x:v>
      </x:c>
      <x:c r="W3170" s="24" t="n">
        <x:v>54</x:v>
      </x:c>
      <x:c r="X3170" s="24" t="str">
        <x:v>tabela_zeiss.pdf</x:v>
      </x:c>
      <x:c r="Y3170" s="24" t="str">
        <x:v>alta</x:v>
      </x:c>
      <x:c r="Z3170" s="24"/>
      <x:c r="AA3170" s="24" t="str">
        <x:v>ZEISS|Asiana|Surfaçada|Asiana|PhotoFusion X Extra Dark Cinza|1.67|1.67|DuraVision Chrome UV|-10.00 a +8.00|4.00|0.50|70/75|||54</x:v>
      </x:c>
    </x:row>
    <x:row r="3171">
      <x:c r="A3171" s="24" t="str">
        <x:v>ZS-110A232B41EC</x:v>
      </x:c>
      <x:c r="B3171" s="24" t="str">
        <x:v>SIM</x:v>
      </x:c>
      <x:c r="C3171" s="24" t="str">
        <x:v>DISPONÍVEL</x:v>
      </x:c>
      <x:c r="D3171" s="24" t="str">
        <x:v>ZEISS</x:v>
      </x:c>
      <x:c r="E3171" s="24" t="str">
        <x:v>Asiana</x:v>
      </x:c>
      <x:c r="F3171" s="24" t="str">
        <x:v>Surfaçada</x:v>
      </x:c>
      <x:c r="G3171" s="24" t="str">
        <x:v>Asiana</x:v>
      </x:c>
      <x:c r="H3171" s="24" t="str">
        <x:v>Asiana</x:v>
      </x:c>
      <x:c r="I3171" s="24" t="str">
        <x:v>1.5</x:v>
      </x:c>
      <x:c r="J3171" s="24" t="str">
        <x:v>1.50</x:v>
      </x:c>
      <x:c r="K3171" s="24" t="str">
        <x:v>DuraVision Gold UV</x:v>
      </x:c>
      <x:c r="L3171" s="40" t="n">
        <x:v>6070</x:v>
      </x:c>
      <x:c r="M3171" s="24" t="str">
        <x:v>-6.00 a +6.00</x:v>
      </x:c>
      <x:c r="N3171" s="24" t="str">
        <x:v>6.00</x:v>
      </x:c>
      <x:c r="O3171" s="24" t="str">
        <x:v>3.50</x:v>
      </x:c>
      <x:c r="P3171" s="24" t="str">
        <x:v>75/80</x:v>
      </x:c>
      <x:c r="Q3171" s="24"/>
      <x:c r="R3171" s="24"/>
      <x:c r="S3171" s="26" t="n">
        <x:v>46113</x:v>
      </x:c>
      <x:c r="T3171" s="26"/>
      <x:c r="U3171" s="24" t="str">
        <x:v>ATIVA/SEM FIM INFORMADO</x:v>
      </x:c>
      <x:c r="V3171" s="24"/>
      <x:c r="W3171" s="24" t="n">
        <x:v>55</x:v>
      </x:c>
      <x:c r="X3171" s="24" t="str">
        <x:v>tabela_zeiss.pdf</x:v>
      </x:c>
      <x:c r="Y3171" s="24" t="str">
        <x:v>alta</x:v>
      </x:c>
      <x:c r="Z3171" s="24"/>
      <x:c r="AA3171" s="24" t="str">
        <x:v>ZEISS|Asiana|Surfaçada|Asiana|Asiana|1.5|1.50|DuraVision Gold UV|-6.00 a +6.00|6.00|3.50|75/80|||55</x:v>
      </x:c>
    </x:row>
    <x:row r="3172">
      <x:c r="A3172" s="24" t="str">
        <x:v>ZS-FA78B05B41EC</x:v>
      </x:c>
      <x:c r="B3172" s="24" t="str">
        <x:v>SIM</x:v>
      </x:c>
      <x:c r="C3172" s="24" t="str">
        <x:v>DISPONÍVEL</x:v>
      </x:c>
      <x:c r="D3172" s="24" t="str">
        <x:v>ZEISS</x:v>
      </x:c>
      <x:c r="E3172" s="24" t="str">
        <x:v>Asiana</x:v>
      </x:c>
      <x:c r="F3172" s="24" t="str">
        <x:v>Surfaçada</x:v>
      </x:c>
      <x:c r="G3172" s="24" t="str">
        <x:v>Asiana</x:v>
      </x:c>
      <x:c r="H3172" s="24" t="str">
        <x:v>Asiana</x:v>
      </x:c>
      <x:c r="I3172" s="24" t="str">
        <x:v>1.5</x:v>
      </x:c>
      <x:c r="J3172" s="24" t="str">
        <x:v>1.50</x:v>
      </x:c>
      <x:c r="K3172" s="24" t="str">
        <x:v>DURAVISION® ANTIVÍRUS PLATINUM UV</x:v>
      </x:c>
      <x:c r="L3172" s="40" t="n">
        <x:v>5930</x:v>
      </x:c>
      <x:c r="M3172" s="24" t="str">
        <x:v>-6.00 a +6.00</x:v>
      </x:c>
      <x:c r="N3172" s="24" t="str">
        <x:v>6.00</x:v>
      </x:c>
      <x:c r="O3172" s="24" t="str">
        <x:v>3.50</x:v>
      </x:c>
      <x:c r="P3172" s="24" t="str">
        <x:v>75/80</x:v>
      </x:c>
      <x:c r="Q3172" s="24"/>
      <x:c r="R3172" s="24"/>
      <x:c r="S3172" s="26" t="n">
        <x:v>46113</x:v>
      </x:c>
      <x:c r="T3172" s="26"/>
      <x:c r="U3172" s="24" t="str">
        <x:v>ATIVA/SEM FIM INFORMADO</x:v>
      </x:c>
      <x:c r="V3172" s="24"/>
      <x:c r="W3172" s="24" t="n">
        <x:v>55</x:v>
      </x:c>
      <x:c r="X3172" s="24" t="str">
        <x:v>tabela_zeiss.pdf</x:v>
      </x:c>
      <x:c r="Y3172" s="24" t="str">
        <x:v>alta</x:v>
      </x:c>
      <x:c r="Z3172" s="24"/>
      <x:c r="AA3172" s="24" t="str">
        <x:v>ZEISS|Asiana|Surfaçada|Asiana|Asiana|1.5|1.50|DURAVISION® ANTIVÍRUS PLATINUM UV|-6.00 a +6.00|6.00|3.50|75/80|||55</x:v>
      </x:c>
    </x:row>
    <x:row r="3173">
      <x:c r="A3173" s="24" t="str">
        <x:v>ZS-30CF2E6FE257</x:v>
      </x:c>
      <x:c r="B3173" s="24" t="str">
        <x:v>SIM</x:v>
      </x:c>
      <x:c r="C3173" s="24" t="str">
        <x:v>DISPONÍVEL</x:v>
      </x:c>
      <x:c r="D3173" s="24" t="str">
        <x:v>ZEISS</x:v>
      </x:c>
      <x:c r="E3173" s="24" t="str">
        <x:v>Asiana</x:v>
      </x:c>
      <x:c r="F3173" s="24" t="str">
        <x:v>Surfaçada</x:v>
      </x:c>
      <x:c r="G3173" s="24" t="str">
        <x:v>Asiana</x:v>
      </x:c>
      <x:c r="H3173" s="24" t="str">
        <x:v>Asiana</x:v>
      </x:c>
      <x:c r="I3173" s="24" t="str">
        <x:v>1.5</x:v>
      </x:c>
      <x:c r="J3173" s="24" t="str">
        <x:v>1.50</x:v>
      </x:c>
      <x:c r="K3173" s="24" t="str">
        <x:v>DuraVision Platinum UV</x:v>
      </x:c>
      <x:c r="L3173" s="40" t="n">
        <x:v>5930</x:v>
      </x:c>
      <x:c r="M3173" s="24" t="str">
        <x:v>-6.00 a +6.00</x:v>
      </x:c>
      <x:c r="N3173" s="24" t="str">
        <x:v>6.00</x:v>
      </x:c>
      <x:c r="O3173" s="24" t="str">
        <x:v>3.50</x:v>
      </x:c>
      <x:c r="P3173" s="24" t="str">
        <x:v>75/80</x:v>
      </x:c>
      <x:c r="Q3173" s="24"/>
      <x:c r="R3173" s="24"/>
      <x:c r="S3173" s="26" t="n">
        <x:v>46113</x:v>
      </x:c>
      <x:c r="T3173" s="26"/>
      <x:c r="U3173" s="24" t="str">
        <x:v>ATIVA/SEM FIM INFORMADO</x:v>
      </x:c>
      <x:c r="V3173" s="24"/>
      <x:c r="W3173" s="24" t="n">
        <x:v>55</x:v>
      </x:c>
      <x:c r="X3173" s="24" t="str">
        <x:v>tabela_zeiss.pdf</x:v>
      </x:c>
      <x:c r="Y3173" s="24" t="str">
        <x:v>alta</x:v>
      </x:c>
      <x:c r="Z3173" s="24"/>
      <x:c r="AA3173" s="24" t="str">
        <x:v>ZEISS|Asiana|Surfaçada|Asiana|Asiana|1.5|1.50|DuraVision Platinum UV|-6.00 a +6.00|6.00|3.50|75/80|||55</x:v>
      </x:c>
    </x:row>
    <x:row r="3174">
      <x:c r="A3174" s="24" t="str">
        <x:v>ZS-1C469864C5AE</x:v>
      </x:c>
      <x:c r="B3174" s="24" t="str">
        <x:v>SIM</x:v>
      </x:c>
      <x:c r="C3174" s="24" t="str">
        <x:v>DISPONÍVEL</x:v>
      </x:c>
      <x:c r="D3174" s="24" t="str">
        <x:v>ZEISS</x:v>
      </x:c>
      <x:c r="E3174" s="24" t="str">
        <x:v>Asiana</x:v>
      </x:c>
      <x:c r="F3174" s="24" t="str">
        <x:v>Surfaçada</x:v>
      </x:c>
      <x:c r="G3174" s="24" t="str">
        <x:v>Asiana</x:v>
      </x:c>
      <x:c r="H3174" s="24" t="str">
        <x:v>Asiana</x:v>
      </x:c>
      <x:c r="I3174" s="24" t="str">
        <x:v>1.5</x:v>
      </x:c>
      <x:c r="J3174" s="24" t="str">
        <x:v>1.50</x:v>
      </x:c>
      <x:c r="K3174" s="24" t="str">
        <x:v>DuraVision Silver UV</x:v>
      </x:c>
      <x:c r="L3174" s="40" t="n">
        <x:v>5670</x:v>
      </x:c>
      <x:c r="M3174" s="24" t="str">
        <x:v>-6.00 a +6.00</x:v>
      </x:c>
      <x:c r="N3174" s="24" t="str">
        <x:v>6.00</x:v>
      </x:c>
      <x:c r="O3174" s="24" t="str">
        <x:v>3.50</x:v>
      </x:c>
      <x:c r="P3174" s="24" t="str">
        <x:v>75/80</x:v>
      </x:c>
      <x:c r="Q3174" s="24"/>
      <x:c r="R3174" s="24"/>
      <x:c r="S3174" s="26" t="n">
        <x:v>46113</x:v>
      </x:c>
      <x:c r="T3174" s="26"/>
      <x:c r="U3174" s="24" t="str">
        <x:v>ATIVA/SEM FIM INFORMADO</x:v>
      </x:c>
      <x:c r="V3174" s="24"/>
      <x:c r="W3174" s="24" t="n">
        <x:v>55</x:v>
      </x:c>
      <x:c r="X3174" s="24" t="str">
        <x:v>tabela_zeiss.pdf</x:v>
      </x:c>
      <x:c r="Y3174" s="24" t="str">
        <x:v>alta</x:v>
      </x:c>
      <x:c r="Z3174" s="24"/>
      <x:c r="AA3174" s="24" t="str">
        <x:v>ZEISS|Asiana|Surfaçada|Asiana|Asiana|1.5|1.50|DuraVision Silver UV|-6.00 a +6.00|6.00|3.50|75/80|||55</x:v>
      </x:c>
    </x:row>
    <x:row r="3175">
      <x:c r="A3175" s="24" t="str">
        <x:v>ZS-AE237FE0BE3D</x:v>
      </x:c>
      <x:c r="B3175" s="24" t="str">
        <x:v>SIM</x:v>
      </x:c>
      <x:c r="C3175" s="24" t="str">
        <x:v>DISPONÍVEL</x:v>
      </x:c>
      <x:c r="D3175" s="24" t="str">
        <x:v>ZEISS</x:v>
      </x:c>
      <x:c r="E3175" s="24" t="str">
        <x:v>Asiana</x:v>
      </x:c>
      <x:c r="F3175" s="24" t="str">
        <x:v>Surfaçada</x:v>
      </x:c>
      <x:c r="G3175" s="24" t="str">
        <x:v>Asiana</x:v>
      </x:c>
      <x:c r="H3175" s="24" t="str">
        <x:v>Asiana</x:v>
      </x:c>
      <x:c r="I3175" s="24" t="str">
        <x:v>1.5</x:v>
      </x:c>
      <x:c r="J3175" s="24" t="str">
        <x:v>1.50</x:v>
      </x:c>
      <x:c r="K3175" s="24" t="str">
        <x:v>DuraVision Chrome UV</x:v>
      </x:c>
      <x:c r="L3175" s="40" t="n">
        <x:v>5180</x:v>
      </x:c>
      <x:c r="M3175" s="24" t="str">
        <x:v>-6.00 a +6.00</x:v>
      </x:c>
      <x:c r="N3175" s="24" t="str">
        <x:v>6.00</x:v>
      </x:c>
      <x:c r="O3175" s="24" t="str">
        <x:v>3.50</x:v>
      </x:c>
      <x:c r="P3175" s="24" t="str">
        <x:v>75/80</x:v>
      </x:c>
      <x:c r="Q3175" s="24"/>
      <x:c r="R3175" s="24"/>
      <x:c r="S3175" s="26" t="n">
        <x:v>46113</x:v>
      </x:c>
      <x:c r="T3175" s="26"/>
      <x:c r="U3175" s="24" t="str">
        <x:v>ATIVA/SEM FIM INFORMADO</x:v>
      </x:c>
      <x:c r="V3175" s="24"/>
      <x:c r="W3175" s="24" t="n">
        <x:v>55</x:v>
      </x:c>
      <x:c r="X3175" s="24" t="str">
        <x:v>tabela_zeiss.pdf</x:v>
      </x:c>
      <x:c r="Y3175" s="24" t="str">
        <x:v>alta</x:v>
      </x:c>
      <x:c r="Z3175" s="24"/>
      <x:c r="AA3175" s="24" t="str">
        <x:v>ZEISS|Asiana|Surfaçada|Asiana|Asiana|1.5|1.50|DuraVision Chrome UV|-6.00 a +6.00|6.00|3.50|75/80|||55</x:v>
      </x:c>
    </x:row>
    <x:row r="3176">
      <x:c r="A3176" s="24" t="str">
        <x:v>ZS-E7337D33433F</x:v>
      </x:c>
      <x:c r="B3176" s="24" t="str">
        <x:v>SIM</x:v>
      </x:c>
      <x:c r="C3176" s="24" t="str">
        <x:v>DISPONÍVEL</x:v>
      </x:c>
      <x:c r="D3176" s="24" t="str">
        <x:v>ZEISS</x:v>
      </x:c>
      <x:c r="E3176" s="24" t="str">
        <x:v>Asiana</x:v>
      </x:c>
      <x:c r="F3176" s="24" t="str">
        <x:v>Surfaçada</x:v>
      </x:c>
      <x:c r="G3176" s="24" t="str">
        <x:v>Asiana</x:v>
      </x:c>
      <x:c r="H3176" s="24" t="str">
        <x:v>Asiana</x:v>
      </x:c>
      <x:c r="I3176" s="24" t="str">
        <x:v>1.6</x:v>
      </x:c>
      <x:c r="J3176" s="24" t="str">
        <x:v>1.60</x:v>
      </x:c>
      <x:c r="K3176" s="24" t="str">
        <x:v>DuraVision Gold UV</x:v>
      </x:c>
      <x:c r="L3176" s="40" t="n">
        <x:v>7320</x:v>
      </x:c>
      <x:c r="M3176" s="24" t="str">
        <x:v>-10.00 a +8.00</x:v>
      </x:c>
      <x:c r="N3176" s="24" t="str">
        <x:v>6.00</x:v>
      </x:c>
      <x:c r="O3176" s="24" t="str">
        <x:v>4.00</x:v>
      </x:c>
      <x:c r="P3176" s="24" t="str">
        <x:v>70/75</x:v>
      </x:c>
      <x:c r="Q3176" s="24"/>
      <x:c r="R3176" s="24"/>
      <x:c r="S3176" s="26" t="n">
        <x:v>46113</x:v>
      </x:c>
      <x:c r="T3176" s="26"/>
      <x:c r="U3176" s="24" t="str">
        <x:v>ATIVA/SEM FIM INFORMADO</x:v>
      </x:c>
      <x:c r="V3176" s="24"/>
      <x:c r="W3176" s="24" t="n">
        <x:v>55</x:v>
      </x:c>
      <x:c r="X3176" s="24" t="str">
        <x:v>tabela_zeiss.pdf</x:v>
      </x:c>
      <x:c r="Y3176" s="24" t="str">
        <x:v>alta</x:v>
      </x:c>
      <x:c r="Z3176" s="24"/>
      <x:c r="AA3176" s="24" t="str">
        <x:v>ZEISS|Asiana|Surfaçada|Asiana|Asiana|1.6|1.60|DuraVision Gold UV|-10.00 a +8.00|6.00|4.00|70/75|||55</x:v>
      </x:c>
    </x:row>
    <x:row r="3177">
      <x:c r="A3177" s="24" t="str">
        <x:v>ZS-9E43F6A9C177</x:v>
      </x:c>
      <x:c r="B3177" s="24" t="str">
        <x:v>SIM</x:v>
      </x:c>
      <x:c r="C3177" s="24" t="str">
        <x:v>DISPONÍVEL</x:v>
      </x:c>
      <x:c r="D3177" s="24" t="str">
        <x:v>ZEISS</x:v>
      </x:c>
      <x:c r="E3177" s="24" t="str">
        <x:v>Asiana</x:v>
      </x:c>
      <x:c r="F3177" s="24" t="str">
        <x:v>Surfaçada</x:v>
      </x:c>
      <x:c r="G3177" s="24" t="str">
        <x:v>Asiana</x:v>
      </x:c>
      <x:c r="H3177" s="24" t="str">
        <x:v>Asiana</x:v>
      </x:c>
      <x:c r="I3177" s="24" t="str">
        <x:v>1.6</x:v>
      </x:c>
      <x:c r="J3177" s="24" t="str">
        <x:v>1.60</x:v>
      </x:c>
      <x:c r="K3177" s="24" t="str">
        <x:v>DURAVISION® ANTIVÍRUS PLATINUM UV</x:v>
      </x:c>
      <x:c r="L3177" s="40" t="n">
        <x:v>7180</x:v>
      </x:c>
      <x:c r="M3177" s="24" t="str">
        <x:v>-10.00 a +8.00</x:v>
      </x:c>
      <x:c r="N3177" s="24" t="str">
        <x:v>6.00</x:v>
      </x:c>
      <x:c r="O3177" s="24" t="str">
        <x:v>4.00</x:v>
      </x:c>
      <x:c r="P3177" s="24" t="str">
        <x:v>70/75</x:v>
      </x:c>
      <x:c r="Q3177" s="24"/>
      <x:c r="R3177" s="24"/>
      <x:c r="S3177" s="26" t="n">
        <x:v>46113</x:v>
      </x:c>
      <x:c r="T3177" s="26"/>
      <x:c r="U3177" s="24" t="str">
        <x:v>ATIVA/SEM FIM INFORMADO</x:v>
      </x:c>
      <x:c r="V3177" s="24"/>
      <x:c r="W3177" s="24" t="n">
        <x:v>55</x:v>
      </x:c>
      <x:c r="X3177" s="24" t="str">
        <x:v>tabela_zeiss.pdf</x:v>
      </x:c>
      <x:c r="Y3177" s="24" t="str">
        <x:v>alta</x:v>
      </x:c>
      <x:c r="Z3177" s="24"/>
      <x:c r="AA3177" s="24" t="str">
        <x:v>ZEISS|Asiana|Surfaçada|Asiana|Asiana|1.6|1.60|DURAVISION® ANTIVÍRUS PLATINUM UV|-10.00 a +8.00|6.00|4.00|70/75|||55</x:v>
      </x:c>
    </x:row>
    <x:row r="3178">
      <x:c r="A3178" s="24" t="str">
        <x:v>ZS-E3AD54E87DCE</x:v>
      </x:c>
      <x:c r="B3178" s="24" t="str">
        <x:v>SIM</x:v>
      </x:c>
      <x:c r="C3178" s="24" t="str">
        <x:v>DISPONÍVEL</x:v>
      </x:c>
      <x:c r="D3178" s="24" t="str">
        <x:v>ZEISS</x:v>
      </x:c>
      <x:c r="E3178" s="24" t="str">
        <x:v>Asiana</x:v>
      </x:c>
      <x:c r="F3178" s="24" t="str">
        <x:v>Surfaçada</x:v>
      </x:c>
      <x:c r="G3178" s="24" t="str">
        <x:v>Asiana</x:v>
      </x:c>
      <x:c r="H3178" s="24" t="str">
        <x:v>Asiana</x:v>
      </x:c>
      <x:c r="I3178" s="24" t="str">
        <x:v>1.6</x:v>
      </x:c>
      <x:c r="J3178" s="24" t="str">
        <x:v>1.60</x:v>
      </x:c>
      <x:c r="K3178" s="24" t="str">
        <x:v>DuraVision Platinum UV</x:v>
      </x:c>
      <x:c r="L3178" s="40" t="n">
        <x:v>7180</x:v>
      </x:c>
      <x:c r="M3178" s="24" t="str">
        <x:v>-10.00 a +8.00</x:v>
      </x:c>
      <x:c r="N3178" s="24" t="str">
        <x:v>6.00</x:v>
      </x:c>
      <x:c r="O3178" s="24" t="str">
        <x:v>4.00</x:v>
      </x:c>
      <x:c r="P3178" s="24" t="str">
        <x:v>70/75</x:v>
      </x:c>
      <x:c r="Q3178" s="24"/>
      <x:c r="R3178" s="24"/>
      <x:c r="S3178" s="26" t="n">
        <x:v>46113</x:v>
      </x:c>
      <x:c r="T3178" s="26"/>
      <x:c r="U3178" s="24" t="str">
        <x:v>ATIVA/SEM FIM INFORMADO</x:v>
      </x:c>
      <x:c r="V3178" s="24"/>
      <x:c r="W3178" s="24" t="n">
        <x:v>55</x:v>
      </x:c>
      <x:c r="X3178" s="24" t="str">
        <x:v>tabela_zeiss.pdf</x:v>
      </x:c>
      <x:c r="Y3178" s="24" t="str">
        <x:v>alta</x:v>
      </x:c>
      <x:c r="Z3178" s="24"/>
      <x:c r="AA3178" s="24" t="str">
        <x:v>ZEISS|Asiana|Surfaçada|Asiana|Asiana|1.6|1.60|DuraVision Platinum UV|-10.00 a +8.00|6.00|4.00|70/75|||55</x:v>
      </x:c>
    </x:row>
    <x:row r="3179">
      <x:c r="A3179" s="24" t="str">
        <x:v>ZS-FB1D2EEF9CA6</x:v>
      </x:c>
      <x:c r="B3179" s="24" t="str">
        <x:v>SIM</x:v>
      </x:c>
      <x:c r="C3179" s="24" t="str">
        <x:v>DISPONÍVEL</x:v>
      </x:c>
      <x:c r="D3179" s="24" t="str">
        <x:v>ZEISS</x:v>
      </x:c>
      <x:c r="E3179" s="24" t="str">
        <x:v>Asiana</x:v>
      </x:c>
      <x:c r="F3179" s="24" t="str">
        <x:v>Surfaçada</x:v>
      </x:c>
      <x:c r="G3179" s="24" t="str">
        <x:v>Asiana</x:v>
      </x:c>
      <x:c r="H3179" s="24" t="str">
        <x:v>Asiana</x:v>
      </x:c>
      <x:c r="I3179" s="24" t="str">
        <x:v>1.6</x:v>
      </x:c>
      <x:c r="J3179" s="24" t="str">
        <x:v>1.60</x:v>
      </x:c>
      <x:c r="K3179" s="24" t="str">
        <x:v>DuraVision Silver UV</x:v>
      </x:c>
      <x:c r="L3179" s="40" t="n">
        <x:v>6920</x:v>
      </x:c>
      <x:c r="M3179" s="24" t="str">
        <x:v>-10.00 a +8.00</x:v>
      </x:c>
      <x:c r="N3179" s="24" t="str">
        <x:v>6.00</x:v>
      </x:c>
      <x:c r="O3179" s="24" t="str">
        <x:v>4.00</x:v>
      </x:c>
      <x:c r="P3179" s="24" t="str">
        <x:v>70/75</x:v>
      </x:c>
      <x:c r="Q3179" s="24"/>
      <x:c r="R3179" s="24"/>
      <x:c r="S3179" s="26" t="n">
        <x:v>46113</x:v>
      </x:c>
      <x:c r="T3179" s="26"/>
      <x:c r="U3179" s="24" t="str">
        <x:v>ATIVA/SEM FIM INFORMADO</x:v>
      </x:c>
      <x:c r="V3179" s="24"/>
      <x:c r="W3179" s="24" t="n">
        <x:v>55</x:v>
      </x:c>
      <x:c r="X3179" s="24" t="str">
        <x:v>tabela_zeiss.pdf</x:v>
      </x:c>
      <x:c r="Y3179" s="24" t="str">
        <x:v>alta</x:v>
      </x:c>
      <x:c r="Z3179" s="24"/>
      <x:c r="AA3179" s="24" t="str">
        <x:v>ZEISS|Asiana|Surfaçada|Asiana|Asiana|1.6|1.60|DuraVision Silver UV|-10.00 a +8.00|6.00|4.00|70/75|||55</x:v>
      </x:c>
    </x:row>
    <x:row r="3180">
      <x:c r="A3180" s="24" t="str">
        <x:v>ZS-5BB49FB18500</x:v>
      </x:c>
      <x:c r="B3180" s="24" t="str">
        <x:v>SIM</x:v>
      </x:c>
      <x:c r="C3180" s="24" t="str">
        <x:v>DISPONÍVEL</x:v>
      </x:c>
      <x:c r="D3180" s="24" t="str">
        <x:v>ZEISS</x:v>
      </x:c>
      <x:c r="E3180" s="24" t="str">
        <x:v>Asiana</x:v>
      </x:c>
      <x:c r="F3180" s="24" t="str">
        <x:v>Surfaçada</x:v>
      </x:c>
      <x:c r="G3180" s="24" t="str">
        <x:v>Asiana</x:v>
      </x:c>
      <x:c r="H3180" s="24" t="str">
        <x:v>Asiana</x:v>
      </x:c>
      <x:c r="I3180" s="24" t="str">
        <x:v>1.6</x:v>
      </x:c>
      <x:c r="J3180" s="24" t="str">
        <x:v>1.60</x:v>
      </x:c>
      <x:c r="K3180" s="24" t="str">
        <x:v>DuraVision Chrome UV</x:v>
      </x:c>
      <x:c r="L3180" s="40" t="n">
        <x:v>6430</x:v>
      </x:c>
      <x:c r="M3180" s="24" t="str">
        <x:v>-10.00 a +8.00</x:v>
      </x:c>
      <x:c r="N3180" s="24" t="str">
        <x:v>6.00</x:v>
      </x:c>
      <x:c r="O3180" s="24" t="str">
        <x:v>4.00</x:v>
      </x:c>
      <x:c r="P3180" s="24" t="str">
        <x:v>70/75</x:v>
      </x:c>
      <x:c r="Q3180" s="24"/>
      <x:c r="R3180" s="24"/>
      <x:c r="S3180" s="26" t="n">
        <x:v>46113</x:v>
      </x:c>
      <x:c r="T3180" s="26"/>
      <x:c r="U3180" s="24" t="str">
        <x:v>ATIVA/SEM FIM INFORMADO</x:v>
      </x:c>
      <x:c r="V3180" s="24"/>
      <x:c r="W3180" s="24" t="n">
        <x:v>55</x:v>
      </x:c>
      <x:c r="X3180" s="24" t="str">
        <x:v>tabela_zeiss.pdf</x:v>
      </x:c>
      <x:c r="Y3180" s="24" t="str">
        <x:v>alta</x:v>
      </x:c>
      <x:c r="Z3180" s="24"/>
      <x:c r="AA3180" s="24" t="str">
        <x:v>ZEISS|Asiana|Surfaçada|Asiana|Asiana|1.6|1.60|DuraVision Chrome UV|-10.00 a +8.00|6.00|4.00|70/75|||55</x:v>
      </x:c>
    </x:row>
    <x:row r="3181">
      <x:c r="A3181" s="24" t="str">
        <x:v>ZS-0650E192E44F</x:v>
      </x:c>
      <x:c r="B3181" s="24" t="str">
        <x:v>SIM</x:v>
      </x:c>
      <x:c r="C3181" s="24" t="str">
        <x:v>DISPONÍVEL</x:v>
      </x:c>
      <x:c r="D3181" s="24" t="str">
        <x:v>ZEISS</x:v>
      </x:c>
      <x:c r="E3181" s="24" t="str">
        <x:v>Asiana</x:v>
      </x:c>
      <x:c r="F3181" s="24" t="str">
        <x:v>Surfaçada</x:v>
      </x:c>
      <x:c r="G3181" s="24" t="str">
        <x:v>Asiana</x:v>
      </x:c>
      <x:c r="H3181" s="24" t="str">
        <x:v>Asiana</x:v>
      </x:c>
      <x:c r="I3181" s="24" t="str">
        <x:v>1.67</x:v>
      </x:c>
      <x:c r="J3181" s="24" t="str">
        <x:v>1.67</x:v>
      </x:c>
      <x:c r="K3181" s="24" t="str">
        <x:v>DuraVision Gold UV</x:v>
      </x:c>
      <x:c r="L3181" s="40" t="n">
        <x:v>8960</x:v>
      </x:c>
      <x:c r="M3181" s="24" t="str">
        <x:v>-10.00 a +8.00</x:v>
      </x:c>
      <x:c r="N3181" s="24" t="str">
        <x:v>6.00</x:v>
      </x:c>
      <x:c r="O3181" s="24" t="str">
        <x:v>3.50</x:v>
      </x:c>
      <x:c r="P3181" s="24" t="str">
        <x:v>70/75</x:v>
      </x:c>
      <x:c r="Q3181" s="24"/>
      <x:c r="R3181" s="24"/>
      <x:c r="S3181" s="26" t="n">
        <x:v>46113</x:v>
      </x:c>
      <x:c r="T3181" s="26"/>
      <x:c r="U3181" s="24" t="str">
        <x:v>ATIVA/SEM FIM INFORMADO</x:v>
      </x:c>
      <x:c r="V3181" s="24"/>
      <x:c r="W3181" s="24" t="n">
        <x:v>55</x:v>
      </x:c>
      <x:c r="X3181" s="24" t="str">
        <x:v>tabela_zeiss.pdf</x:v>
      </x:c>
      <x:c r="Y3181" s="24" t="str">
        <x:v>alta</x:v>
      </x:c>
      <x:c r="Z3181" s="24"/>
      <x:c r="AA3181" s="24" t="str">
        <x:v>ZEISS|Asiana|Surfaçada|Asiana|Asiana|1.67|1.67|DuraVision Gold UV|-10.00 a +8.00|6.00|3.50|70/75|||55</x:v>
      </x:c>
    </x:row>
    <x:row r="3182">
      <x:c r="A3182" s="24" t="str">
        <x:v>ZS-3A8EEA5E7000</x:v>
      </x:c>
      <x:c r="B3182" s="24" t="str">
        <x:v>SIM</x:v>
      </x:c>
      <x:c r="C3182" s="24" t="str">
        <x:v>DISPONÍVEL</x:v>
      </x:c>
      <x:c r="D3182" s="24" t="str">
        <x:v>ZEISS</x:v>
      </x:c>
      <x:c r="E3182" s="24" t="str">
        <x:v>Asiana</x:v>
      </x:c>
      <x:c r="F3182" s="24" t="str">
        <x:v>Surfaçada</x:v>
      </x:c>
      <x:c r="G3182" s="24" t="str">
        <x:v>Asiana</x:v>
      </x:c>
      <x:c r="H3182" s="24" t="str">
        <x:v>Asiana</x:v>
      </x:c>
      <x:c r="I3182" s="24" t="str">
        <x:v>1.67</x:v>
      </x:c>
      <x:c r="J3182" s="24" t="str">
        <x:v>1.67</x:v>
      </x:c>
      <x:c r="K3182" s="24" t="str">
        <x:v>DURAVISION® ANTIVÍRUS PLATINUM UV</x:v>
      </x:c>
      <x:c r="L3182" s="40" t="n">
        <x:v>8820</x:v>
      </x:c>
      <x:c r="M3182" s="24" t="str">
        <x:v>-10.00 a +8.00</x:v>
      </x:c>
      <x:c r="N3182" s="24" t="str">
        <x:v>6.00</x:v>
      </x:c>
      <x:c r="O3182" s="24" t="str">
        <x:v>3.50</x:v>
      </x:c>
      <x:c r="P3182" s="24" t="str">
        <x:v>70/75</x:v>
      </x:c>
      <x:c r="Q3182" s="24"/>
      <x:c r="R3182" s="24"/>
      <x:c r="S3182" s="26" t="n">
        <x:v>46113</x:v>
      </x:c>
      <x:c r="T3182" s="26"/>
      <x:c r="U3182" s="24" t="str">
        <x:v>ATIVA/SEM FIM INFORMADO</x:v>
      </x:c>
      <x:c r="V3182" s="24"/>
      <x:c r="W3182" s="24" t="n">
        <x:v>55</x:v>
      </x:c>
      <x:c r="X3182" s="24" t="str">
        <x:v>tabela_zeiss.pdf</x:v>
      </x:c>
      <x:c r="Y3182" s="24" t="str">
        <x:v>alta</x:v>
      </x:c>
      <x:c r="Z3182" s="24"/>
      <x:c r="AA3182" s="24" t="str">
        <x:v>ZEISS|Asiana|Surfaçada|Asiana|Asiana|1.67|1.67|DURAVISION® ANTIVÍRUS PLATINUM UV|-10.00 a +8.00|6.00|3.50|70/75|||55</x:v>
      </x:c>
    </x:row>
    <x:row r="3183">
      <x:c r="A3183" s="24" t="str">
        <x:v>ZS-8FAEBEDFF2A7</x:v>
      </x:c>
      <x:c r="B3183" s="24" t="str">
        <x:v>SIM</x:v>
      </x:c>
      <x:c r="C3183" s="24" t="str">
        <x:v>DISPONÍVEL</x:v>
      </x:c>
      <x:c r="D3183" s="24" t="str">
        <x:v>ZEISS</x:v>
      </x:c>
      <x:c r="E3183" s="24" t="str">
        <x:v>Asiana</x:v>
      </x:c>
      <x:c r="F3183" s="24" t="str">
        <x:v>Surfaçada</x:v>
      </x:c>
      <x:c r="G3183" s="24" t="str">
        <x:v>Asiana</x:v>
      </x:c>
      <x:c r="H3183" s="24" t="str">
        <x:v>Asiana</x:v>
      </x:c>
      <x:c r="I3183" s="24" t="str">
        <x:v>1.67</x:v>
      </x:c>
      <x:c r="J3183" s="24" t="str">
        <x:v>1.67</x:v>
      </x:c>
      <x:c r="K3183" s="24" t="str">
        <x:v>DuraVision Platinum UV</x:v>
      </x:c>
      <x:c r="L3183" s="40" t="n">
        <x:v>8820</x:v>
      </x:c>
      <x:c r="M3183" s="24" t="str">
        <x:v>-10.00 a +8.00</x:v>
      </x:c>
      <x:c r="N3183" s="24" t="str">
        <x:v>6.00</x:v>
      </x:c>
      <x:c r="O3183" s="24" t="str">
        <x:v>3.50</x:v>
      </x:c>
      <x:c r="P3183" s="24" t="str">
        <x:v>70/75</x:v>
      </x:c>
      <x:c r="Q3183" s="24"/>
      <x:c r="R3183" s="24"/>
      <x:c r="S3183" s="26" t="n">
        <x:v>46113</x:v>
      </x:c>
      <x:c r="T3183" s="26"/>
      <x:c r="U3183" s="24" t="str">
        <x:v>ATIVA/SEM FIM INFORMADO</x:v>
      </x:c>
      <x:c r="V3183" s="24"/>
      <x:c r="W3183" s="24" t="n">
        <x:v>55</x:v>
      </x:c>
      <x:c r="X3183" s="24" t="str">
        <x:v>tabela_zeiss.pdf</x:v>
      </x:c>
      <x:c r="Y3183" s="24" t="str">
        <x:v>alta</x:v>
      </x:c>
      <x:c r="Z3183" s="24"/>
      <x:c r="AA3183" s="24" t="str">
        <x:v>ZEISS|Asiana|Surfaçada|Asiana|Asiana|1.67|1.67|DuraVision Platinum UV|-10.00 a +8.00|6.00|3.50|70/75|||55</x:v>
      </x:c>
    </x:row>
    <x:row r="3184">
      <x:c r="A3184" s="24" t="str">
        <x:v>ZS-56D86C8CF4CB</x:v>
      </x:c>
      <x:c r="B3184" s="24" t="str">
        <x:v>SIM</x:v>
      </x:c>
      <x:c r="C3184" s="24" t="str">
        <x:v>DISPONÍVEL</x:v>
      </x:c>
      <x:c r="D3184" s="24" t="str">
        <x:v>ZEISS</x:v>
      </x:c>
      <x:c r="E3184" s="24" t="str">
        <x:v>Asiana</x:v>
      </x:c>
      <x:c r="F3184" s="24" t="str">
        <x:v>Surfaçada</x:v>
      </x:c>
      <x:c r="G3184" s="24" t="str">
        <x:v>Asiana</x:v>
      </x:c>
      <x:c r="H3184" s="24" t="str">
        <x:v>Asiana</x:v>
      </x:c>
      <x:c r="I3184" s="24" t="str">
        <x:v>1.67</x:v>
      </x:c>
      <x:c r="J3184" s="24" t="str">
        <x:v>1.67</x:v>
      </x:c>
      <x:c r="K3184" s="24" t="str">
        <x:v>DuraVision Silver UV</x:v>
      </x:c>
      <x:c r="L3184" s="40" t="n">
        <x:v>8560</x:v>
      </x:c>
      <x:c r="M3184" s="24" t="str">
        <x:v>-10.00 a +8.00</x:v>
      </x:c>
      <x:c r="N3184" s="24" t="str">
        <x:v>6.00</x:v>
      </x:c>
      <x:c r="O3184" s="24" t="str">
        <x:v>3.50</x:v>
      </x:c>
      <x:c r="P3184" s="24" t="str">
        <x:v>70/75</x:v>
      </x:c>
      <x:c r="Q3184" s="24"/>
      <x:c r="R3184" s="24"/>
      <x:c r="S3184" s="26" t="n">
        <x:v>46113</x:v>
      </x:c>
      <x:c r="T3184" s="26"/>
      <x:c r="U3184" s="24" t="str">
        <x:v>ATIVA/SEM FIM INFORMADO</x:v>
      </x:c>
      <x:c r="V3184" s="24"/>
      <x:c r="W3184" s="24" t="n">
        <x:v>55</x:v>
      </x:c>
      <x:c r="X3184" s="24" t="str">
        <x:v>tabela_zeiss.pdf</x:v>
      </x:c>
      <x:c r="Y3184" s="24" t="str">
        <x:v>alta</x:v>
      </x:c>
      <x:c r="Z3184" s="24"/>
      <x:c r="AA3184" s="24" t="str">
        <x:v>ZEISS|Asiana|Surfaçada|Asiana|Asiana|1.67|1.67|DuraVision Silver UV|-10.00 a +8.00|6.00|3.50|70/75|||55</x:v>
      </x:c>
    </x:row>
    <x:row r="3185">
      <x:c r="A3185" s="24" t="str">
        <x:v>ZS-596A5F3B9BD8</x:v>
      </x:c>
      <x:c r="B3185" s="24" t="str">
        <x:v>SIM</x:v>
      </x:c>
      <x:c r="C3185" s="24" t="str">
        <x:v>DISPONÍVEL</x:v>
      </x:c>
      <x:c r="D3185" s="24" t="str">
        <x:v>ZEISS</x:v>
      </x:c>
      <x:c r="E3185" s="24" t="str">
        <x:v>Asiana</x:v>
      </x:c>
      <x:c r="F3185" s="24" t="str">
        <x:v>Surfaçada</x:v>
      </x:c>
      <x:c r="G3185" s="24" t="str">
        <x:v>Asiana</x:v>
      </x:c>
      <x:c r="H3185" s="24" t="str">
        <x:v>Asiana</x:v>
      </x:c>
      <x:c r="I3185" s="24" t="str">
        <x:v>1.67</x:v>
      </x:c>
      <x:c r="J3185" s="24" t="str">
        <x:v>1.67</x:v>
      </x:c>
      <x:c r="K3185" s="24" t="str">
        <x:v>DuraVision Chrome UV</x:v>
      </x:c>
      <x:c r="L3185" s="40" t="n">
        <x:v>8070</x:v>
      </x:c>
      <x:c r="M3185" s="24" t="str">
        <x:v>-10.00 a +8.00</x:v>
      </x:c>
      <x:c r="N3185" s="24" t="str">
        <x:v>6.00</x:v>
      </x:c>
      <x:c r="O3185" s="24" t="str">
        <x:v>3.50</x:v>
      </x:c>
      <x:c r="P3185" s="24" t="str">
        <x:v>70/75</x:v>
      </x:c>
      <x:c r="Q3185" s="24"/>
      <x:c r="R3185" s="24"/>
      <x:c r="S3185" s="26" t="n">
        <x:v>46113</x:v>
      </x:c>
      <x:c r="T3185" s="26"/>
      <x:c r="U3185" s="24" t="str">
        <x:v>ATIVA/SEM FIM INFORMADO</x:v>
      </x:c>
      <x:c r="V3185" s="24"/>
      <x:c r="W3185" s="24" t="n">
        <x:v>55</x:v>
      </x:c>
      <x:c r="X3185" s="24" t="str">
        <x:v>tabela_zeiss.pdf</x:v>
      </x:c>
      <x:c r="Y3185" s="24" t="str">
        <x:v>alta</x:v>
      </x:c>
      <x:c r="Z3185" s="24"/>
      <x:c r="AA3185" s="24" t="str">
        <x:v>ZEISS|Asiana|Surfaçada|Asiana|Asiana|1.67|1.67|DuraVision Chrome UV|-10.00 a +8.00|6.00|3.50|70/75|||55</x:v>
      </x:c>
    </x:row>
    <x:row r="3186">
      <x:c r="A3186" s="24" t="str">
        <x:v>ZS-AAA84DF89569</x:v>
      </x:c>
      <x:c r="B3186" s="24" t="str">
        <x:v>SIM</x:v>
      </x:c>
      <x:c r="C3186" s="24" t="str">
        <x:v>DISPONÍVEL</x:v>
      </x:c>
      <x:c r="D3186" s="24" t="str">
        <x:v>ZEISS</x:v>
      </x:c>
      <x:c r="E3186" s="24" t="str">
        <x:v>Asiana</x:v>
      </x:c>
      <x:c r="F3186" s="24" t="str">
        <x:v>Surfaçada</x:v>
      </x:c>
      <x:c r="G3186" s="24" t="str">
        <x:v>Asiana</x:v>
      </x:c>
      <x:c r="H3186" s="24" t="str">
        <x:v>PhotoFusion X</x:v>
      </x:c>
      <x:c r="I3186" s="24" t="str">
        <x:v>1.5</x:v>
      </x:c>
      <x:c r="J3186" s="24" t="str">
        <x:v>1.50</x:v>
      </x:c>
      <x:c r="K3186" s="24" t="str">
        <x:v>DuraVision Gold UV</x:v>
      </x:c>
      <x:c r="L3186" s="40" t="n">
        <x:v>7490</x:v>
      </x:c>
      <x:c r="M3186" s="24" t="str">
        <x:v>-6.00 a +4.00</x:v>
      </x:c>
      <x:c r="N3186" s="24" t="str">
        <x:v>4.00</x:v>
      </x:c>
      <x:c r="O3186" s="24" t="str">
        <x:v>3.50</x:v>
      </x:c>
      <x:c r="P3186" s="24" t="str">
        <x:v>75/80</x:v>
      </x:c>
      <x:c r="Q3186" s="24"/>
      <x:c r="R3186" s="24"/>
      <x:c r="S3186" s="26" t="n">
        <x:v>46113</x:v>
      </x:c>
      <x:c r="T3186" s="26"/>
      <x:c r="U3186" s="24" t="str">
        <x:v>ATIVA/SEM FIM INFORMADO</x:v>
      </x:c>
      <x:c r="V3186" s="24" t="str">
        <x:v>Programa de Parcerias ZEISS</x:v>
      </x:c>
      <x:c r="W3186" s="24" t="n">
        <x:v>55</x:v>
      </x:c>
      <x:c r="X3186" s="24" t="str">
        <x:v>tabela_zeiss.pdf</x:v>
      </x:c>
      <x:c r="Y3186" s="24" t="str">
        <x:v>alta</x:v>
      </x:c>
      <x:c r="Z3186" s="24"/>
      <x:c r="AA3186" s="24" t="str">
        <x:v>ZEISS|Asiana|Surfaçada|Asiana|PhotoFusion X|1.5|1.50|DuraVision Gold UV|-6.00 a +4.00|4.00|3.50|75/80|||55</x:v>
      </x:c>
    </x:row>
    <x:row r="3187">
      <x:c r="A3187" s="24" t="str">
        <x:v>ZS-B280432CD913</x:v>
      </x:c>
      <x:c r="B3187" s="24" t="str">
        <x:v>SIM</x:v>
      </x:c>
      <x:c r="C3187" s="24" t="str">
        <x:v>DISPONÍVEL</x:v>
      </x:c>
      <x:c r="D3187" s="24" t="str">
        <x:v>ZEISS</x:v>
      </x:c>
      <x:c r="E3187" s="24" t="str">
        <x:v>Asiana</x:v>
      </x:c>
      <x:c r="F3187" s="24" t="str">
        <x:v>Surfaçada</x:v>
      </x:c>
      <x:c r="G3187" s="24" t="str">
        <x:v>Asiana</x:v>
      </x:c>
      <x:c r="H3187" s="24" t="str">
        <x:v>PhotoFusion X</x:v>
      </x:c>
      <x:c r="I3187" s="24" t="str">
        <x:v>1.5</x:v>
      </x:c>
      <x:c r="J3187" s="24" t="str">
        <x:v>1.50</x:v>
      </x:c>
      <x:c r="K3187" s="24" t="str">
        <x:v>DURAVISION® ANTIVÍRUS PLATINUM UV</x:v>
      </x:c>
      <x:c r="L3187" s="40" t="n">
        <x:v>7350</x:v>
      </x:c>
      <x:c r="M3187" s="24" t="str">
        <x:v>-6.00 a +4.00</x:v>
      </x:c>
      <x:c r="N3187" s="24" t="str">
        <x:v>4.00</x:v>
      </x:c>
      <x:c r="O3187" s="24" t="str">
        <x:v>3.50</x:v>
      </x:c>
      <x:c r="P3187" s="24" t="str">
        <x:v>75/80</x:v>
      </x:c>
      <x:c r="Q3187" s="24"/>
      <x:c r="R3187" s="24"/>
      <x:c r="S3187" s="26" t="n">
        <x:v>46113</x:v>
      </x:c>
      <x:c r="T3187" s="26"/>
      <x:c r="U3187" s="24" t="str">
        <x:v>ATIVA/SEM FIM INFORMADO</x:v>
      </x:c>
      <x:c r="V3187" s="24" t="str">
        <x:v>Programa de Parcerias ZEISS</x:v>
      </x:c>
      <x:c r="W3187" s="24" t="n">
        <x:v>55</x:v>
      </x:c>
      <x:c r="X3187" s="24" t="str">
        <x:v>tabela_zeiss.pdf</x:v>
      </x:c>
      <x:c r="Y3187" s="24" t="str">
        <x:v>alta</x:v>
      </x:c>
      <x:c r="Z3187" s="24"/>
      <x:c r="AA3187" s="24" t="str">
        <x:v>ZEISS|Asiana|Surfaçada|Asiana|PhotoFusion X|1.5|1.50|DURAVISION® ANTIVÍRUS PLATINUM UV|-6.00 a +4.00|4.00|3.50|75/80|||55</x:v>
      </x:c>
    </x:row>
    <x:row r="3188">
      <x:c r="A3188" s="24" t="str">
        <x:v>ZS-44834186638C</x:v>
      </x:c>
      <x:c r="B3188" s="24" t="str">
        <x:v>SIM</x:v>
      </x:c>
      <x:c r="C3188" s="24" t="str">
        <x:v>DISPONÍVEL</x:v>
      </x:c>
      <x:c r="D3188" s="24" t="str">
        <x:v>ZEISS</x:v>
      </x:c>
      <x:c r="E3188" s="24" t="str">
        <x:v>Asiana</x:v>
      </x:c>
      <x:c r="F3188" s="24" t="str">
        <x:v>Surfaçada</x:v>
      </x:c>
      <x:c r="G3188" s="24" t="str">
        <x:v>Asiana</x:v>
      </x:c>
      <x:c r="H3188" s="24" t="str">
        <x:v>PhotoFusion X</x:v>
      </x:c>
      <x:c r="I3188" s="24" t="str">
        <x:v>1.5</x:v>
      </x:c>
      <x:c r="J3188" s="24" t="str">
        <x:v>1.50</x:v>
      </x:c>
      <x:c r="K3188" s="24" t="str">
        <x:v>DuraVision Platinum UV</x:v>
      </x:c>
      <x:c r="L3188" s="40" t="n">
        <x:v>7350</x:v>
      </x:c>
      <x:c r="M3188" s="24" t="str">
        <x:v>-6.00 a +4.00</x:v>
      </x:c>
      <x:c r="N3188" s="24" t="str">
        <x:v>4.00</x:v>
      </x:c>
      <x:c r="O3188" s="24" t="str">
        <x:v>3.50</x:v>
      </x:c>
      <x:c r="P3188" s="24" t="str">
        <x:v>75/80</x:v>
      </x:c>
      <x:c r="Q3188" s="24"/>
      <x:c r="R3188" s="24"/>
      <x:c r="S3188" s="26" t="n">
        <x:v>46113</x:v>
      </x:c>
      <x:c r="T3188" s="26"/>
      <x:c r="U3188" s="24" t="str">
        <x:v>ATIVA/SEM FIM INFORMADO</x:v>
      </x:c>
      <x:c r="V3188" s="24" t="str">
        <x:v>Programa de Parcerias ZEISS</x:v>
      </x:c>
      <x:c r="W3188" s="24" t="n">
        <x:v>55</x:v>
      </x:c>
      <x:c r="X3188" s="24" t="str">
        <x:v>tabela_zeiss.pdf</x:v>
      </x:c>
      <x:c r="Y3188" s="24" t="str">
        <x:v>alta</x:v>
      </x:c>
      <x:c r="Z3188" s="24"/>
      <x:c r="AA3188" s="24" t="str">
        <x:v>ZEISS|Asiana|Surfaçada|Asiana|PhotoFusion X|1.5|1.50|DuraVision Platinum UV|-6.00 a +4.00|4.00|3.50|75/80|||55</x:v>
      </x:c>
    </x:row>
    <x:row r="3189">
      <x:c r="A3189" s="24" t="str">
        <x:v>ZS-B8D080BFE6E5</x:v>
      </x:c>
      <x:c r="B3189" s="24" t="str">
        <x:v>SIM</x:v>
      </x:c>
      <x:c r="C3189" s="24" t="str">
        <x:v>DISPONÍVEL</x:v>
      </x:c>
      <x:c r="D3189" s="24" t="str">
        <x:v>ZEISS</x:v>
      </x:c>
      <x:c r="E3189" s="24" t="str">
        <x:v>Asiana</x:v>
      </x:c>
      <x:c r="F3189" s="24" t="str">
        <x:v>Surfaçada</x:v>
      </x:c>
      <x:c r="G3189" s="24" t="str">
        <x:v>Asiana</x:v>
      </x:c>
      <x:c r="H3189" s="24" t="str">
        <x:v>PhotoFusion X</x:v>
      </x:c>
      <x:c r="I3189" s="24" t="str">
        <x:v>1.5</x:v>
      </x:c>
      <x:c r="J3189" s="24" t="str">
        <x:v>1.50</x:v>
      </x:c>
      <x:c r="K3189" s="24" t="str">
        <x:v>DuraVision Silver UV</x:v>
      </x:c>
      <x:c r="L3189" s="40" t="n">
        <x:v>7090</x:v>
      </x:c>
      <x:c r="M3189" s="24" t="str">
        <x:v>-6.00 a +4.00</x:v>
      </x:c>
      <x:c r="N3189" s="24" t="str">
        <x:v>4.00</x:v>
      </x:c>
      <x:c r="O3189" s="24" t="str">
        <x:v>3.50</x:v>
      </x:c>
      <x:c r="P3189" s="24" t="str">
        <x:v>75/80</x:v>
      </x:c>
      <x:c r="Q3189" s="24"/>
      <x:c r="R3189" s="24"/>
      <x:c r="S3189" s="26" t="n">
        <x:v>46113</x:v>
      </x:c>
      <x:c r="T3189" s="26"/>
      <x:c r="U3189" s="24" t="str">
        <x:v>ATIVA/SEM FIM INFORMADO</x:v>
      </x:c>
      <x:c r="V3189" s="24" t="str">
        <x:v>Programa de Parcerias ZEISS</x:v>
      </x:c>
      <x:c r="W3189" s="24" t="n">
        <x:v>55</x:v>
      </x:c>
      <x:c r="X3189" s="24" t="str">
        <x:v>tabela_zeiss.pdf</x:v>
      </x:c>
      <x:c r="Y3189" s="24" t="str">
        <x:v>alta</x:v>
      </x:c>
      <x:c r="Z3189" s="24"/>
      <x:c r="AA3189" s="24" t="str">
        <x:v>ZEISS|Asiana|Surfaçada|Asiana|PhotoFusion X|1.5|1.50|DuraVision Silver UV|-6.00 a +4.00|4.00|3.50|75/80|||55</x:v>
      </x:c>
    </x:row>
    <x:row r="3190">
      <x:c r="A3190" s="24" t="str">
        <x:v>ZS-2381853DA45A</x:v>
      </x:c>
      <x:c r="B3190" s="24" t="str">
        <x:v>SIM</x:v>
      </x:c>
      <x:c r="C3190" s="24" t="str">
        <x:v>DISPONÍVEL</x:v>
      </x:c>
      <x:c r="D3190" s="24" t="str">
        <x:v>ZEISS</x:v>
      </x:c>
      <x:c r="E3190" s="24" t="str">
        <x:v>Asiana</x:v>
      </x:c>
      <x:c r="F3190" s="24" t="str">
        <x:v>Surfaçada</x:v>
      </x:c>
      <x:c r="G3190" s="24" t="str">
        <x:v>Asiana</x:v>
      </x:c>
      <x:c r="H3190" s="24" t="str">
        <x:v>PhotoFusion X</x:v>
      </x:c>
      <x:c r="I3190" s="24" t="str">
        <x:v>1.5</x:v>
      </x:c>
      <x:c r="J3190" s="24" t="str">
        <x:v>1.50</x:v>
      </x:c>
      <x:c r="K3190" s="24" t="str">
        <x:v>DuraVision Chrome UV</x:v>
      </x:c>
      <x:c r="L3190" s="40" t="n">
        <x:v>6600</x:v>
      </x:c>
      <x:c r="M3190" s="24" t="str">
        <x:v>-6.00 a +4.00</x:v>
      </x:c>
      <x:c r="N3190" s="24" t="str">
        <x:v>4.00</x:v>
      </x:c>
      <x:c r="O3190" s="24" t="str">
        <x:v>3.50</x:v>
      </x:c>
      <x:c r="P3190" s="24" t="str">
        <x:v>75/80</x:v>
      </x:c>
      <x:c r="Q3190" s="24"/>
      <x:c r="R3190" s="24"/>
      <x:c r="S3190" s="26" t="n">
        <x:v>46113</x:v>
      </x:c>
      <x:c r="T3190" s="26"/>
      <x:c r="U3190" s="24" t="str">
        <x:v>ATIVA/SEM FIM INFORMADO</x:v>
      </x:c>
      <x:c r="V3190" s="24" t="str">
        <x:v>Programa de Parcerias ZEISS</x:v>
      </x:c>
      <x:c r="W3190" s="24" t="n">
        <x:v>55</x:v>
      </x:c>
      <x:c r="X3190" s="24" t="str">
        <x:v>tabela_zeiss.pdf</x:v>
      </x:c>
      <x:c r="Y3190" s="24" t="str">
        <x:v>alta</x:v>
      </x:c>
      <x:c r="Z3190" s="24"/>
      <x:c r="AA3190" s="24" t="str">
        <x:v>ZEISS|Asiana|Surfaçada|Asiana|PhotoFusion X|1.5|1.50|DuraVision Chrome UV|-6.00 a +4.00|4.00|3.50|75/80|||55</x:v>
      </x:c>
    </x:row>
    <x:row r="3191">
      <x:c r="A3191" s="24" t="str">
        <x:v>ZS-3577649CD069</x:v>
      </x:c>
      <x:c r="B3191" s="24" t="str">
        <x:v>SIM</x:v>
      </x:c>
      <x:c r="C3191" s="24" t="str">
        <x:v>DISPONÍVEL</x:v>
      </x:c>
      <x:c r="D3191" s="24" t="str">
        <x:v>ZEISS</x:v>
      </x:c>
      <x:c r="E3191" s="24" t="str">
        <x:v>Asiana</x:v>
      </x:c>
      <x:c r="F3191" s="24" t="str">
        <x:v>Surfaçada</x:v>
      </x:c>
      <x:c r="G3191" s="24" t="str">
        <x:v>Asiana</x:v>
      </x:c>
      <x:c r="H3191" s="24" t="str">
        <x:v>PhotoFusion X</x:v>
      </x:c>
      <x:c r="I3191" s="24" t="str">
        <x:v>1.6</x:v>
      </x:c>
      <x:c r="J3191" s="24" t="str">
        <x:v>1.60</x:v>
      </x:c>
      <x:c r="K3191" s="24" t="str">
        <x:v>DuraVision Gold UV</x:v>
      </x:c>
      <x:c r="L3191" s="40" t="n">
        <x:v>8740</x:v>
      </x:c>
      <x:c r="M3191" s="24" t="str">
        <x:v>-10.00 a +6.00</x:v>
      </x:c>
      <x:c r="N3191" s="24" t="str">
        <x:v>6.00</x:v>
      </x:c>
      <x:c r="O3191" s="24" t="str">
        <x:v>4.00</x:v>
      </x:c>
      <x:c r="P3191" s="24" t="str">
        <x:v>70/75</x:v>
      </x:c>
      <x:c r="Q3191" s="24"/>
      <x:c r="R3191" s="24"/>
      <x:c r="S3191" s="26" t="n">
        <x:v>46113</x:v>
      </x:c>
      <x:c r="T3191" s="26"/>
      <x:c r="U3191" s="24" t="str">
        <x:v>ATIVA/SEM FIM INFORMADO</x:v>
      </x:c>
      <x:c r="V3191" s="24" t="str">
        <x:v>Programa de Parcerias ZEISS</x:v>
      </x:c>
      <x:c r="W3191" s="24" t="n">
        <x:v>55</x:v>
      </x:c>
      <x:c r="X3191" s="24" t="str">
        <x:v>tabela_zeiss.pdf</x:v>
      </x:c>
      <x:c r="Y3191" s="24" t="str">
        <x:v>alta</x:v>
      </x:c>
      <x:c r="Z3191" s="24"/>
      <x:c r="AA3191" s="24" t="str">
        <x:v>ZEISS|Asiana|Surfaçada|Asiana|PhotoFusion X|1.6|1.60|DuraVision Gold UV|-10.00 a +6.00|6.00|4.00|70/75|||55</x:v>
      </x:c>
    </x:row>
    <x:row r="3192">
      <x:c r="A3192" s="24" t="str">
        <x:v>ZS-1AE701C1A7AE</x:v>
      </x:c>
      <x:c r="B3192" s="24" t="str">
        <x:v>SIM</x:v>
      </x:c>
      <x:c r="C3192" s="24" t="str">
        <x:v>DISPONÍVEL</x:v>
      </x:c>
      <x:c r="D3192" s="24" t="str">
        <x:v>ZEISS</x:v>
      </x:c>
      <x:c r="E3192" s="24" t="str">
        <x:v>Asiana</x:v>
      </x:c>
      <x:c r="F3192" s="24" t="str">
        <x:v>Surfaçada</x:v>
      </x:c>
      <x:c r="G3192" s="24" t="str">
        <x:v>Asiana</x:v>
      </x:c>
      <x:c r="H3192" s="24" t="str">
        <x:v>PhotoFusion X</x:v>
      </x:c>
      <x:c r="I3192" s="24" t="str">
        <x:v>1.6</x:v>
      </x:c>
      <x:c r="J3192" s="24" t="str">
        <x:v>1.60</x:v>
      </x:c>
      <x:c r="K3192" s="24" t="str">
        <x:v>DURAVISION® ANTIVÍRUS PLATINUM UV</x:v>
      </x:c>
      <x:c r="L3192" s="40" t="n">
        <x:v>8600</x:v>
      </x:c>
      <x:c r="M3192" s="24" t="str">
        <x:v>-10.00 a +6.00</x:v>
      </x:c>
      <x:c r="N3192" s="24" t="str">
        <x:v>6.00</x:v>
      </x:c>
      <x:c r="O3192" s="24" t="str">
        <x:v>4.00</x:v>
      </x:c>
      <x:c r="P3192" s="24" t="str">
        <x:v>70/75</x:v>
      </x:c>
      <x:c r="Q3192" s="24"/>
      <x:c r="R3192" s="24"/>
      <x:c r="S3192" s="26" t="n">
        <x:v>46113</x:v>
      </x:c>
      <x:c r="T3192" s="26"/>
      <x:c r="U3192" s="24" t="str">
        <x:v>ATIVA/SEM FIM INFORMADO</x:v>
      </x:c>
      <x:c r="V3192" s="24" t="str">
        <x:v>Programa de Parcerias ZEISS</x:v>
      </x:c>
      <x:c r="W3192" s="24" t="n">
        <x:v>55</x:v>
      </x:c>
      <x:c r="X3192" s="24" t="str">
        <x:v>tabela_zeiss.pdf</x:v>
      </x:c>
      <x:c r="Y3192" s="24" t="str">
        <x:v>alta</x:v>
      </x:c>
      <x:c r="Z3192" s="24"/>
      <x:c r="AA3192" s="24" t="str">
        <x:v>ZEISS|Asiana|Surfaçada|Asiana|PhotoFusion X|1.6|1.60|DURAVISION® ANTIVÍRUS PLATINUM UV|-10.00 a +6.00|6.00|4.00|70/75|||55</x:v>
      </x:c>
    </x:row>
    <x:row r="3193">
      <x:c r="A3193" s="24" t="str">
        <x:v>ZS-F88F0236C9F3</x:v>
      </x:c>
      <x:c r="B3193" s="24" t="str">
        <x:v>SIM</x:v>
      </x:c>
      <x:c r="C3193" s="24" t="str">
        <x:v>DISPONÍVEL</x:v>
      </x:c>
      <x:c r="D3193" s="24" t="str">
        <x:v>ZEISS</x:v>
      </x:c>
      <x:c r="E3193" s="24" t="str">
        <x:v>Asiana</x:v>
      </x:c>
      <x:c r="F3193" s="24" t="str">
        <x:v>Surfaçada</x:v>
      </x:c>
      <x:c r="G3193" s="24" t="str">
        <x:v>Asiana</x:v>
      </x:c>
      <x:c r="H3193" s="24" t="str">
        <x:v>PhotoFusion X</x:v>
      </x:c>
      <x:c r="I3193" s="24" t="str">
        <x:v>1.6</x:v>
      </x:c>
      <x:c r="J3193" s="24" t="str">
        <x:v>1.60</x:v>
      </x:c>
      <x:c r="K3193" s="24" t="str">
        <x:v>DuraVision Platinum UV</x:v>
      </x:c>
      <x:c r="L3193" s="40" t="n">
        <x:v>8600</x:v>
      </x:c>
      <x:c r="M3193" s="24" t="str">
        <x:v>-10.00 a +6.00</x:v>
      </x:c>
      <x:c r="N3193" s="24" t="str">
        <x:v>6.00</x:v>
      </x:c>
      <x:c r="O3193" s="24" t="str">
        <x:v>4.00</x:v>
      </x:c>
      <x:c r="P3193" s="24" t="str">
        <x:v>70/75</x:v>
      </x:c>
      <x:c r="Q3193" s="24"/>
      <x:c r="R3193" s="24"/>
      <x:c r="S3193" s="26" t="n">
        <x:v>46113</x:v>
      </x:c>
      <x:c r="T3193" s="26"/>
      <x:c r="U3193" s="24" t="str">
        <x:v>ATIVA/SEM FIM INFORMADO</x:v>
      </x:c>
      <x:c r="V3193" s="24" t="str">
        <x:v>Programa de Parcerias ZEISS</x:v>
      </x:c>
      <x:c r="W3193" s="24" t="n">
        <x:v>55</x:v>
      </x:c>
      <x:c r="X3193" s="24" t="str">
        <x:v>tabela_zeiss.pdf</x:v>
      </x:c>
      <x:c r="Y3193" s="24" t="str">
        <x:v>alta</x:v>
      </x:c>
      <x:c r="Z3193" s="24"/>
      <x:c r="AA3193" s="24" t="str">
        <x:v>ZEISS|Asiana|Surfaçada|Asiana|PhotoFusion X|1.6|1.60|DuraVision Platinum UV|-10.00 a +6.00|6.00|4.00|70/75|||55</x:v>
      </x:c>
    </x:row>
    <x:row r="3194">
      <x:c r="A3194" s="24" t="str">
        <x:v>ZS-A43ACA8AD62E</x:v>
      </x:c>
      <x:c r="B3194" s="24" t="str">
        <x:v>SIM</x:v>
      </x:c>
      <x:c r="C3194" s="24" t="str">
        <x:v>DISPONÍVEL</x:v>
      </x:c>
      <x:c r="D3194" s="24" t="str">
        <x:v>ZEISS</x:v>
      </x:c>
      <x:c r="E3194" s="24" t="str">
        <x:v>Asiana</x:v>
      </x:c>
      <x:c r="F3194" s="24" t="str">
        <x:v>Surfaçada</x:v>
      </x:c>
      <x:c r="G3194" s="24" t="str">
        <x:v>Asiana</x:v>
      </x:c>
      <x:c r="H3194" s="24" t="str">
        <x:v>PhotoFusion X</x:v>
      </x:c>
      <x:c r="I3194" s="24" t="str">
        <x:v>1.6</x:v>
      </x:c>
      <x:c r="J3194" s="24" t="str">
        <x:v>1.60</x:v>
      </x:c>
      <x:c r="K3194" s="24" t="str">
        <x:v>DuraVision Silver UV</x:v>
      </x:c>
      <x:c r="L3194" s="40" t="n">
        <x:v>8340</x:v>
      </x:c>
      <x:c r="M3194" s="24" t="str">
        <x:v>-10.00 a +6.00</x:v>
      </x:c>
      <x:c r="N3194" s="24" t="str">
        <x:v>6.00</x:v>
      </x:c>
      <x:c r="O3194" s="24" t="str">
        <x:v>4.00</x:v>
      </x:c>
      <x:c r="P3194" s="24" t="str">
        <x:v>70/75</x:v>
      </x:c>
      <x:c r="Q3194" s="24"/>
      <x:c r="R3194" s="24"/>
      <x:c r="S3194" s="26" t="n">
        <x:v>46113</x:v>
      </x:c>
      <x:c r="T3194" s="26"/>
      <x:c r="U3194" s="24" t="str">
        <x:v>ATIVA/SEM FIM INFORMADO</x:v>
      </x:c>
      <x:c r="V3194" s="24" t="str">
        <x:v>Programa de Parcerias ZEISS</x:v>
      </x:c>
      <x:c r="W3194" s="24" t="n">
        <x:v>55</x:v>
      </x:c>
      <x:c r="X3194" s="24" t="str">
        <x:v>tabela_zeiss.pdf</x:v>
      </x:c>
      <x:c r="Y3194" s="24" t="str">
        <x:v>alta</x:v>
      </x:c>
      <x:c r="Z3194" s="24"/>
      <x:c r="AA3194" s="24" t="str">
        <x:v>ZEISS|Asiana|Surfaçada|Asiana|PhotoFusion X|1.6|1.60|DuraVision Silver UV|-10.00 a +6.00|6.00|4.00|70/75|||55</x:v>
      </x:c>
    </x:row>
    <x:row r="3195">
      <x:c r="A3195" s="24" t="str">
        <x:v>ZS-54A4C4F80433</x:v>
      </x:c>
      <x:c r="B3195" s="24" t="str">
        <x:v>SIM</x:v>
      </x:c>
      <x:c r="C3195" s="24" t="str">
        <x:v>DISPONÍVEL</x:v>
      </x:c>
      <x:c r="D3195" s="24" t="str">
        <x:v>ZEISS</x:v>
      </x:c>
      <x:c r="E3195" s="24" t="str">
        <x:v>Asiana</x:v>
      </x:c>
      <x:c r="F3195" s="24" t="str">
        <x:v>Surfaçada</x:v>
      </x:c>
      <x:c r="G3195" s="24" t="str">
        <x:v>Asiana</x:v>
      </x:c>
      <x:c r="H3195" s="24" t="str">
        <x:v>PhotoFusion X</x:v>
      </x:c>
      <x:c r="I3195" s="24" t="str">
        <x:v>1.6</x:v>
      </x:c>
      <x:c r="J3195" s="24" t="str">
        <x:v>1.60</x:v>
      </x:c>
      <x:c r="K3195" s="24" t="str">
        <x:v>DuraVision Chrome UV</x:v>
      </x:c>
      <x:c r="L3195" s="40" t="n">
        <x:v>7850</x:v>
      </x:c>
      <x:c r="M3195" s="24" t="str">
        <x:v>-10.00 a +6.00</x:v>
      </x:c>
      <x:c r="N3195" s="24" t="str">
        <x:v>6.00</x:v>
      </x:c>
      <x:c r="O3195" s="24" t="str">
        <x:v>4.00</x:v>
      </x:c>
      <x:c r="P3195" s="24" t="str">
        <x:v>70/75</x:v>
      </x:c>
      <x:c r="Q3195" s="24"/>
      <x:c r="R3195" s="24"/>
      <x:c r="S3195" s="26" t="n">
        <x:v>46113</x:v>
      </x:c>
      <x:c r="T3195" s="26"/>
      <x:c r="U3195" s="24" t="str">
        <x:v>ATIVA/SEM FIM INFORMADO</x:v>
      </x:c>
      <x:c r="V3195" s="24" t="str">
        <x:v>Programa de Parcerias ZEISS</x:v>
      </x:c>
      <x:c r="W3195" s="24" t="n">
        <x:v>55</x:v>
      </x:c>
      <x:c r="X3195" s="24" t="str">
        <x:v>tabela_zeiss.pdf</x:v>
      </x:c>
      <x:c r="Y3195" s="24" t="str">
        <x:v>alta</x:v>
      </x:c>
      <x:c r="Z3195" s="24"/>
      <x:c r="AA3195" s="24" t="str">
        <x:v>ZEISS|Asiana|Surfaçada|Asiana|PhotoFusion X|1.6|1.60|DuraVision Chrome UV|-10.00 a +6.00|6.00|4.00|70/75|||55</x:v>
      </x:c>
    </x:row>
    <x:row r="3196">
      <x:c r="A3196" s="24" t="str">
        <x:v>ZS-F88BD48EBE57</x:v>
      </x:c>
      <x:c r="B3196" s="24" t="str">
        <x:v>SIM</x:v>
      </x:c>
      <x:c r="C3196" s="24" t="str">
        <x:v>DISPONÍVEL</x:v>
      </x:c>
      <x:c r="D3196" s="24" t="str">
        <x:v>ZEISS</x:v>
      </x:c>
      <x:c r="E3196" s="24" t="str">
        <x:v>Asiana</x:v>
      </x:c>
      <x:c r="F3196" s="24" t="str">
        <x:v>Surfaçada</x:v>
      </x:c>
      <x:c r="G3196" s="24" t="str">
        <x:v>Asiana</x:v>
      </x:c>
      <x:c r="H3196" s="24" t="str">
        <x:v>PhotoFusion X</x:v>
      </x:c>
      <x:c r="I3196" s="24" t="str">
        <x:v>1.67</x:v>
      </x:c>
      <x:c r="J3196" s="24" t="str">
        <x:v>1.67</x:v>
      </x:c>
      <x:c r="K3196" s="24" t="str">
        <x:v>DuraVision Gold UV</x:v>
      </x:c>
      <x:c r="L3196" s="40" t="n">
        <x:v>10380</x:v>
      </x:c>
      <x:c r="M3196" s="24" t="str">
        <x:v>-10.00 a +8.00</x:v>
      </x:c>
      <x:c r="N3196" s="24" t="str">
        <x:v>4.00</x:v>
      </x:c>
      <x:c r="O3196" s="24" t="str">
        <x:v>3.50</x:v>
      </x:c>
      <x:c r="P3196" s="24" t="str">
        <x:v>70/75</x:v>
      </x:c>
      <x:c r="Q3196" s="24"/>
      <x:c r="R3196" s="24"/>
      <x:c r="S3196" s="26" t="n">
        <x:v>46113</x:v>
      </x:c>
      <x:c r="T3196" s="26"/>
      <x:c r="U3196" s="24" t="str">
        <x:v>ATIVA/SEM FIM INFORMADO</x:v>
      </x:c>
      <x:c r="V3196" s="24" t="str">
        <x:v>Programa de Parcerias ZEISS</x:v>
      </x:c>
      <x:c r="W3196" s="24" t="n">
        <x:v>55</x:v>
      </x:c>
      <x:c r="X3196" s="24" t="str">
        <x:v>tabela_zeiss.pdf</x:v>
      </x:c>
      <x:c r="Y3196" s="24" t="str">
        <x:v>alta</x:v>
      </x:c>
      <x:c r="Z3196" s="24"/>
      <x:c r="AA3196" s="24" t="str">
        <x:v>ZEISS|Asiana|Surfaçada|Asiana|PhotoFusion X|1.67|1.67|DuraVision Gold UV|-10.00 a +8.00|4.00|3.50|70/75|||55</x:v>
      </x:c>
    </x:row>
    <x:row r="3197">
      <x:c r="A3197" s="24" t="str">
        <x:v>ZS-5352009BAF67</x:v>
      </x:c>
      <x:c r="B3197" s="24" t="str">
        <x:v>SIM</x:v>
      </x:c>
      <x:c r="C3197" s="24" t="str">
        <x:v>DISPONÍVEL</x:v>
      </x:c>
      <x:c r="D3197" s="24" t="str">
        <x:v>ZEISS</x:v>
      </x:c>
      <x:c r="E3197" s="24" t="str">
        <x:v>Asiana</x:v>
      </x:c>
      <x:c r="F3197" s="24" t="str">
        <x:v>Surfaçada</x:v>
      </x:c>
      <x:c r="G3197" s="24" t="str">
        <x:v>Asiana</x:v>
      </x:c>
      <x:c r="H3197" s="24" t="str">
        <x:v>PhotoFusion X</x:v>
      </x:c>
      <x:c r="I3197" s="24" t="str">
        <x:v>1.67</x:v>
      </x:c>
      <x:c r="J3197" s="24" t="str">
        <x:v>1.67</x:v>
      </x:c>
      <x:c r="K3197" s="24" t="str">
        <x:v>DURAVISION® ANTIVÍRUS PLATINUM UV</x:v>
      </x:c>
      <x:c r="L3197" s="40" t="n">
        <x:v>10240</x:v>
      </x:c>
      <x:c r="M3197" s="24" t="str">
        <x:v>-10.00 a +8.00</x:v>
      </x:c>
      <x:c r="N3197" s="24" t="str">
        <x:v>4.00</x:v>
      </x:c>
      <x:c r="O3197" s="24" t="str">
        <x:v>3.50</x:v>
      </x:c>
      <x:c r="P3197" s="24" t="str">
        <x:v>70/75</x:v>
      </x:c>
      <x:c r="Q3197" s="24"/>
      <x:c r="R3197" s="24"/>
      <x:c r="S3197" s="26" t="n">
        <x:v>46113</x:v>
      </x:c>
      <x:c r="T3197" s="26"/>
      <x:c r="U3197" s="24" t="str">
        <x:v>ATIVA/SEM FIM INFORMADO</x:v>
      </x:c>
      <x:c r="V3197" s="24" t="str">
        <x:v>Programa de Parcerias ZEISS</x:v>
      </x:c>
      <x:c r="W3197" s="24" t="n">
        <x:v>55</x:v>
      </x:c>
      <x:c r="X3197" s="24" t="str">
        <x:v>tabela_zeiss.pdf</x:v>
      </x:c>
      <x:c r="Y3197" s="24" t="str">
        <x:v>alta</x:v>
      </x:c>
      <x:c r="Z3197" s="24"/>
      <x:c r="AA3197" s="24" t="str">
        <x:v>ZEISS|Asiana|Surfaçada|Asiana|PhotoFusion X|1.67|1.67|DURAVISION® ANTIVÍRUS PLATINUM UV|-10.00 a +8.00|4.00|3.50|70/75|||55</x:v>
      </x:c>
    </x:row>
    <x:row r="3198">
      <x:c r="A3198" s="24" t="str">
        <x:v>ZS-69ED1AD931EC</x:v>
      </x:c>
      <x:c r="B3198" s="24" t="str">
        <x:v>SIM</x:v>
      </x:c>
      <x:c r="C3198" s="24" t="str">
        <x:v>DISPONÍVEL</x:v>
      </x:c>
      <x:c r="D3198" s="24" t="str">
        <x:v>ZEISS</x:v>
      </x:c>
      <x:c r="E3198" s="24" t="str">
        <x:v>Asiana</x:v>
      </x:c>
      <x:c r="F3198" s="24" t="str">
        <x:v>Surfaçada</x:v>
      </x:c>
      <x:c r="G3198" s="24" t="str">
        <x:v>Asiana</x:v>
      </x:c>
      <x:c r="H3198" s="24" t="str">
        <x:v>PhotoFusion X</x:v>
      </x:c>
      <x:c r="I3198" s="24" t="str">
        <x:v>1.67</x:v>
      </x:c>
      <x:c r="J3198" s="24" t="str">
        <x:v>1.67</x:v>
      </x:c>
      <x:c r="K3198" s="24" t="str">
        <x:v>DuraVision Platinum UV</x:v>
      </x:c>
      <x:c r="L3198" s="40" t="n">
        <x:v>10240</x:v>
      </x:c>
      <x:c r="M3198" s="24" t="str">
        <x:v>-10.00 a +8.00</x:v>
      </x:c>
      <x:c r="N3198" s="24" t="str">
        <x:v>4.00</x:v>
      </x:c>
      <x:c r="O3198" s="24" t="str">
        <x:v>3.50</x:v>
      </x:c>
      <x:c r="P3198" s="24" t="str">
        <x:v>70/75</x:v>
      </x:c>
      <x:c r="Q3198" s="24"/>
      <x:c r="R3198" s="24"/>
      <x:c r="S3198" s="26" t="n">
        <x:v>46113</x:v>
      </x:c>
      <x:c r="T3198" s="26"/>
      <x:c r="U3198" s="24" t="str">
        <x:v>ATIVA/SEM FIM INFORMADO</x:v>
      </x:c>
      <x:c r="V3198" s="24" t="str">
        <x:v>Programa de Parcerias ZEISS</x:v>
      </x:c>
      <x:c r="W3198" s="24" t="n">
        <x:v>55</x:v>
      </x:c>
      <x:c r="X3198" s="24" t="str">
        <x:v>tabela_zeiss.pdf</x:v>
      </x:c>
      <x:c r="Y3198" s="24" t="str">
        <x:v>alta</x:v>
      </x:c>
      <x:c r="Z3198" s="24"/>
      <x:c r="AA3198" s="24" t="str">
        <x:v>ZEISS|Asiana|Surfaçada|Asiana|PhotoFusion X|1.67|1.67|DuraVision Platinum UV|-10.00 a +8.00|4.00|3.50|70/75|||55</x:v>
      </x:c>
    </x:row>
    <x:row r="3199">
      <x:c r="A3199" s="24" t="str">
        <x:v>ZS-662F187F1877</x:v>
      </x:c>
      <x:c r="B3199" s="24" t="str">
        <x:v>SIM</x:v>
      </x:c>
      <x:c r="C3199" s="24" t="str">
        <x:v>DISPONÍVEL</x:v>
      </x:c>
      <x:c r="D3199" s="24" t="str">
        <x:v>ZEISS</x:v>
      </x:c>
      <x:c r="E3199" s="24" t="str">
        <x:v>Asiana</x:v>
      </x:c>
      <x:c r="F3199" s="24" t="str">
        <x:v>Surfaçada</x:v>
      </x:c>
      <x:c r="G3199" s="24" t="str">
        <x:v>Asiana</x:v>
      </x:c>
      <x:c r="H3199" s="24" t="str">
        <x:v>PhotoFusion X</x:v>
      </x:c>
      <x:c r="I3199" s="24" t="str">
        <x:v>1.67</x:v>
      </x:c>
      <x:c r="J3199" s="24" t="str">
        <x:v>1.67</x:v>
      </x:c>
      <x:c r="K3199" s="24" t="str">
        <x:v>DuraVision Silver UV</x:v>
      </x:c>
      <x:c r="L3199" s="40" t="n">
        <x:v>9980</x:v>
      </x:c>
      <x:c r="M3199" s="24" t="str">
        <x:v>-10.00 a +8.00</x:v>
      </x:c>
      <x:c r="N3199" s="24" t="str">
        <x:v>4.00</x:v>
      </x:c>
      <x:c r="O3199" s="24" t="str">
        <x:v>3.50</x:v>
      </x:c>
      <x:c r="P3199" s="24" t="str">
        <x:v>70/75</x:v>
      </x:c>
      <x:c r="Q3199" s="24"/>
      <x:c r="R3199" s="24"/>
      <x:c r="S3199" s="26" t="n">
        <x:v>46113</x:v>
      </x:c>
      <x:c r="T3199" s="26"/>
      <x:c r="U3199" s="24" t="str">
        <x:v>ATIVA/SEM FIM INFORMADO</x:v>
      </x:c>
      <x:c r="V3199" s="24" t="str">
        <x:v>Programa de Parcerias ZEISS</x:v>
      </x:c>
      <x:c r="W3199" s="24" t="n">
        <x:v>55</x:v>
      </x:c>
      <x:c r="X3199" s="24" t="str">
        <x:v>tabela_zeiss.pdf</x:v>
      </x:c>
      <x:c r="Y3199" s="24" t="str">
        <x:v>alta</x:v>
      </x:c>
      <x:c r="Z3199" s="24"/>
      <x:c r="AA3199" s="24" t="str">
        <x:v>ZEISS|Asiana|Surfaçada|Asiana|PhotoFusion X|1.67|1.67|DuraVision Silver UV|-10.00 a +8.00|4.00|3.50|70/75|||55</x:v>
      </x:c>
    </x:row>
    <x:row r="3200">
      <x:c r="A3200" s="24" t="str">
        <x:v>ZS-68C39215EFAA</x:v>
      </x:c>
      <x:c r="B3200" s="24" t="str">
        <x:v>SIM</x:v>
      </x:c>
      <x:c r="C3200" s="24" t="str">
        <x:v>DISPONÍVEL</x:v>
      </x:c>
      <x:c r="D3200" s="24" t="str">
        <x:v>ZEISS</x:v>
      </x:c>
      <x:c r="E3200" s="24" t="str">
        <x:v>Asiana</x:v>
      </x:c>
      <x:c r="F3200" s="24" t="str">
        <x:v>Surfaçada</x:v>
      </x:c>
      <x:c r="G3200" s="24" t="str">
        <x:v>Asiana</x:v>
      </x:c>
      <x:c r="H3200" s="24" t="str">
        <x:v>PhotoFusion X</x:v>
      </x:c>
      <x:c r="I3200" s="24" t="str">
        <x:v>1.67</x:v>
      </x:c>
      <x:c r="J3200" s="24" t="str">
        <x:v>1.67</x:v>
      </x:c>
      <x:c r="K3200" s="24" t="str">
        <x:v>DuraVision Chrome UV</x:v>
      </x:c>
      <x:c r="L3200" s="40" t="n">
        <x:v>9490</x:v>
      </x:c>
      <x:c r="M3200" s="24" t="str">
        <x:v>-10.00 a +8.00</x:v>
      </x:c>
      <x:c r="N3200" s="24" t="str">
        <x:v>4.00</x:v>
      </x:c>
      <x:c r="O3200" s="24" t="str">
        <x:v>3.50</x:v>
      </x:c>
      <x:c r="P3200" s="24" t="str">
        <x:v>70/75</x:v>
      </x:c>
      <x:c r="Q3200" s="24"/>
      <x:c r="R3200" s="24"/>
      <x:c r="S3200" s="26" t="n">
        <x:v>46113</x:v>
      </x:c>
      <x:c r="T3200" s="26"/>
      <x:c r="U3200" s="24" t="str">
        <x:v>ATIVA/SEM FIM INFORMADO</x:v>
      </x:c>
      <x:c r="V3200" s="24" t="str">
        <x:v>Programa de Parcerias ZEISS</x:v>
      </x:c>
      <x:c r="W3200" s="24" t="n">
        <x:v>55</x:v>
      </x:c>
      <x:c r="X3200" s="24" t="str">
        <x:v>tabela_zeiss.pdf</x:v>
      </x:c>
      <x:c r="Y3200" s="24" t="str">
        <x:v>alta</x:v>
      </x:c>
      <x:c r="Z3200" s="24"/>
      <x:c r="AA3200" s="24" t="str">
        <x:v>ZEISS|Asiana|Surfaçada|Asiana|PhotoFusion X|1.67|1.67|DuraVision Chrome UV|-10.00 a +8.00|4.00|3.50|70/75|||55</x:v>
      </x:c>
    </x:row>
    <x:row r="3201">
      <x:c r="A3201" s="24" t="str">
        <x:v>ZS-D8956AA81436</x:v>
      </x:c>
      <x:c r="B3201" s="24" t="str">
        <x:v>SIM</x:v>
      </x:c>
      <x:c r="C3201" s="24" t="str">
        <x:v>DISPONÍVEL</x:v>
      </x:c>
      <x:c r="D3201" s="24" t="str">
        <x:v>ZEISS</x:v>
      </x:c>
      <x:c r="E3201" s="24" t="str">
        <x:v>Asiana</x:v>
      </x:c>
      <x:c r="F3201" s="24" t="str">
        <x:v>Surfaçada</x:v>
      </x:c>
      <x:c r="G3201" s="24" t="str">
        <x:v>Asiana</x:v>
      </x:c>
      <x:c r="H3201" s="24" t="str">
        <x:v>PhotoFusion X Extra Dark Cinza</x:v>
      </x:c>
      <x:c r="I3201" s="24" t="str">
        <x:v>1.5</x:v>
      </x:c>
      <x:c r="J3201" s="24" t="str">
        <x:v>1.50</x:v>
      </x:c>
      <x:c r="K3201" s="24" t="str">
        <x:v>DuraVision Gold UV</x:v>
      </x:c>
      <x:c r="L3201" s="40" t="n">
        <x:v>7540</x:v>
      </x:c>
      <x:c r="M3201" s="24" t="str">
        <x:v>-6.00 a +4.00</x:v>
      </x:c>
      <x:c r="N3201" s="24" t="str">
        <x:v>4.00</x:v>
      </x:c>
      <x:c r="O3201" s="24" t="str">
        <x:v>3.50</x:v>
      </x:c>
      <x:c r="P3201" s="24" t="str">
        <x:v>75/80</x:v>
      </x:c>
      <x:c r="Q3201" s="24"/>
      <x:c r="R3201" s="24"/>
      <x:c r="S3201" s="26" t="n">
        <x:v>46113</x:v>
      </x:c>
      <x:c r="T3201" s="26"/>
      <x:c r="U3201" s="24" t="str">
        <x:v>ATIVA/SEM FIM INFORMADO</x:v>
      </x:c>
      <x:c r="V3201" s="24" t="str">
        <x:v>Programa de Parcerias ZEISS</x:v>
      </x:c>
      <x:c r="W3201" s="24" t="n">
        <x:v>55</x:v>
      </x:c>
      <x:c r="X3201" s="24" t="str">
        <x:v>tabela_zeiss.pdf</x:v>
      </x:c>
      <x:c r="Y3201" s="24" t="str">
        <x:v>alta</x:v>
      </x:c>
      <x:c r="Z3201" s="24"/>
      <x:c r="AA3201" s="24" t="str">
        <x:v>ZEISS|Asiana|Surfaçada|Asiana|PhotoFusion X Extra Dark Cinza|1.5|1.50|DuraVision Gold UV|-6.00 a +4.00|4.00|3.50|75/80|||55</x:v>
      </x:c>
    </x:row>
    <x:row r="3202">
      <x:c r="A3202" s="24" t="str">
        <x:v>ZS-F45E81EF89DA</x:v>
      </x:c>
      <x:c r="B3202" s="24" t="str">
        <x:v>SIM</x:v>
      </x:c>
      <x:c r="C3202" s="24" t="str">
        <x:v>DISPONÍVEL</x:v>
      </x:c>
      <x:c r="D3202" s="24" t="str">
        <x:v>ZEISS</x:v>
      </x:c>
      <x:c r="E3202" s="24" t="str">
        <x:v>Asiana</x:v>
      </x:c>
      <x:c r="F3202" s="24" t="str">
        <x:v>Surfaçada</x:v>
      </x:c>
      <x:c r="G3202" s="24" t="str">
        <x:v>Asiana</x:v>
      </x:c>
      <x:c r="H3202" s="24" t="str">
        <x:v>PhotoFusion X Extra Dark Cinza</x:v>
      </x:c>
      <x:c r="I3202" s="24" t="str">
        <x:v>1.5</x:v>
      </x:c>
      <x:c r="J3202" s="24" t="str">
        <x:v>1.50</x:v>
      </x:c>
      <x:c r="K3202" s="24" t="str">
        <x:v>DURAVISION® ANTIVÍRUS PLATINUM UV</x:v>
      </x:c>
      <x:c r="L3202" s="40" t="n">
        <x:v>7400</x:v>
      </x:c>
      <x:c r="M3202" s="24" t="str">
        <x:v>-6.00 a +4.00</x:v>
      </x:c>
      <x:c r="N3202" s="24" t="str">
        <x:v>4.00</x:v>
      </x:c>
      <x:c r="O3202" s="24" t="str">
        <x:v>3.50</x:v>
      </x:c>
      <x:c r="P3202" s="24" t="str">
        <x:v>75/80</x:v>
      </x:c>
      <x:c r="Q3202" s="24"/>
      <x:c r="R3202" s="24"/>
      <x:c r="S3202" s="26" t="n">
        <x:v>46113</x:v>
      </x:c>
      <x:c r="T3202" s="26"/>
      <x:c r="U3202" s="24" t="str">
        <x:v>ATIVA/SEM FIM INFORMADO</x:v>
      </x:c>
      <x:c r="V3202" s="24" t="str">
        <x:v>Programa de Parcerias ZEISS</x:v>
      </x:c>
      <x:c r="W3202" s="24" t="n">
        <x:v>55</x:v>
      </x:c>
      <x:c r="X3202" s="24" t="str">
        <x:v>tabela_zeiss.pdf</x:v>
      </x:c>
      <x:c r="Y3202" s="24" t="str">
        <x:v>alta</x:v>
      </x:c>
      <x:c r="Z3202" s="24"/>
      <x:c r="AA3202" s="24" t="str">
        <x:v>ZEISS|Asiana|Surfaçada|Asiana|PhotoFusion X Extra Dark Cinza|1.5|1.50|DURAVISION® ANTIVÍRUS PLATINUM UV|-6.00 a +4.00|4.00|3.50|75/80|||55</x:v>
      </x:c>
    </x:row>
    <x:row r="3203">
      <x:c r="A3203" s="24" t="str">
        <x:v>ZS-8EA479FFB19C</x:v>
      </x:c>
      <x:c r="B3203" s="24" t="str">
        <x:v>SIM</x:v>
      </x:c>
      <x:c r="C3203" s="24" t="str">
        <x:v>DISPONÍVEL</x:v>
      </x:c>
      <x:c r="D3203" s="24" t="str">
        <x:v>ZEISS</x:v>
      </x:c>
      <x:c r="E3203" s="24" t="str">
        <x:v>Asiana</x:v>
      </x:c>
      <x:c r="F3203" s="24" t="str">
        <x:v>Surfaçada</x:v>
      </x:c>
      <x:c r="G3203" s="24" t="str">
        <x:v>Asiana</x:v>
      </x:c>
      <x:c r="H3203" s="24" t="str">
        <x:v>PhotoFusion X Extra Dark Cinza</x:v>
      </x:c>
      <x:c r="I3203" s="24" t="str">
        <x:v>1.5</x:v>
      </x:c>
      <x:c r="J3203" s="24" t="str">
        <x:v>1.50</x:v>
      </x:c>
      <x:c r="K3203" s="24" t="str">
        <x:v>DuraVision Platinum UV</x:v>
      </x:c>
      <x:c r="L3203" s="40" t="n">
        <x:v>7400</x:v>
      </x:c>
      <x:c r="M3203" s="24" t="str">
        <x:v>-6.00 a +4.00</x:v>
      </x:c>
      <x:c r="N3203" s="24" t="str">
        <x:v>4.00</x:v>
      </x:c>
      <x:c r="O3203" s="24" t="str">
        <x:v>3.50</x:v>
      </x:c>
      <x:c r="P3203" s="24" t="str">
        <x:v>75/80</x:v>
      </x:c>
      <x:c r="Q3203" s="24"/>
      <x:c r="R3203" s="24"/>
      <x:c r="S3203" s="26" t="n">
        <x:v>46113</x:v>
      </x:c>
      <x:c r="T3203" s="26"/>
      <x:c r="U3203" s="24" t="str">
        <x:v>ATIVA/SEM FIM INFORMADO</x:v>
      </x:c>
      <x:c r="V3203" s="24" t="str">
        <x:v>Programa de Parcerias ZEISS</x:v>
      </x:c>
      <x:c r="W3203" s="24" t="n">
        <x:v>55</x:v>
      </x:c>
      <x:c r="X3203" s="24" t="str">
        <x:v>tabela_zeiss.pdf</x:v>
      </x:c>
      <x:c r="Y3203" s="24" t="str">
        <x:v>alta</x:v>
      </x:c>
      <x:c r="Z3203" s="24"/>
      <x:c r="AA3203" s="24" t="str">
        <x:v>ZEISS|Asiana|Surfaçada|Asiana|PhotoFusion X Extra Dark Cinza|1.5|1.50|DuraVision Platinum UV|-6.00 a +4.00|4.00|3.50|75/80|||55</x:v>
      </x:c>
    </x:row>
    <x:row r="3204">
      <x:c r="A3204" s="24" t="str">
        <x:v>ZS-AFE7C0486137</x:v>
      </x:c>
      <x:c r="B3204" s="24" t="str">
        <x:v>SIM</x:v>
      </x:c>
      <x:c r="C3204" s="24" t="str">
        <x:v>DISPONÍVEL</x:v>
      </x:c>
      <x:c r="D3204" s="24" t="str">
        <x:v>ZEISS</x:v>
      </x:c>
      <x:c r="E3204" s="24" t="str">
        <x:v>Asiana</x:v>
      </x:c>
      <x:c r="F3204" s="24" t="str">
        <x:v>Surfaçada</x:v>
      </x:c>
      <x:c r="G3204" s="24" t="str">
        <x:v>Asiana</x:v>
      </x:c>
      <x:c r="H3204" s="24" t="str">
        <x:v>PhotoFusion X Extra Dark Cinza</x:v>
      </x:c>
      <x:c r="I3204" s="24" t="str">
        <x:v>1.5</x:v>
      </x:c>
      <x:c r="J3204" s="24" t="str">
        <x:v>1.50</x:v>
      </x:c>
      <x:c r="K3204" s="24" t="str">
        <x:v>DuraVision Silver UV</x:v>
      </x:c>
      <x:c r="L3204" s="40" t="n">
        <x:v>7140</x:v>
      </x:c>
      <x:c r="M3204" s="24" t="str">
        <x:v>-6.00 a +4.00</x:v>
      </x:c>
      <x:c r="N3204" s="24" t="str">
        <x:v>4.00</x:v>
      </x:c>
      <x:c r="O3204" s="24" t="str">
        <x:v>3.50</x:v>
      </x:c>
      <x:c r="P3204" s="24" t="str">
        <x:v>75/80</x:v>
      </x:c>
      <x:c r="Q3204" s="24"/>
      <x:c r="R3204" s="24"/>
      <x:c r="S3204" s="26" t="n">
        <x:v>46113</x:v>
      </x:c>
      <x:c r="T3204" s="26"/>
      <x:c r="U3204" s="24" t="str">
        <x:v>ATIVA/SEM FIM INFORMADO</x:v>
      </x:c>
      <x:c r="V3204" s="24" t="str">
        <x:v>Programa de Parcerias ZEISS</x:v>
      </x:c>
      <x:c r="W3204" s="24" t="n">
        <x:v>55</x:v>
      </x:c>
      <x:c r="X3204" s="24" t="str">
        <x:v>tabela_zeiss.pdf</x:v>
      </x:c>
      <x:c r="Y3204" s="24" t="str">
        <x:v>alta</x:v>
      </x:c>
      <x:c r="Z3204" s="24"/>
      <x:c r="AA3204" s="24" t="str">
        <x:v>ZEISS|Asiana|Surfaçada|Asiana|PhotoFusion X Extra Dark Cinza|1.5|1.50|DuraVision Silver UV|-6.00 a +4.00|4.00|3.50|75/80|||55</x:v>
      </x:c>
    </x:row>
    <x:row r="3205">
      <x:c r="A3205" s="24" t="str">
        <x:v>ZS-84F03754809E</x:v>
      </x:c>
      <x:c r="B3205" s="24" t="str">
        <x:v>SIM</x:v>
      </x:c>
      <x:c r="C3205" s="24" t="str">
        <x:v>DISPONÍVEL</x:v>
      </x:c>
      <x:c r="D3205" s="24" t="str">
        <x:v>ZEISS</x:v>
      </x:c>
      <x:c r="E3205" s="24" t="str">
        <x:v>Asiana</x:v>
      </x:c>
      <x:c r="F3205" s="24" t="str">
        <x:v>Surfaçada</x:v>
      </x:c>
      <x:c r="G3205" s="24" t="str">
        <x:v>Asiana</x:v>
      </x:c>
      <x:c r="H3205" s="24" t="str">
        <x:v>PhotoFusion X Extra Dark Cinza</x:v>
      </x:c>
      <x:c r="I3205" s="24" t="str">
        <x:v>1.5</x:v>
      </x:c>
      <x:c r="J3205" s="24" t="str">
        <x:v>1.50</x:v>
      </x:c>
      <x:c r="K3205" s="24" t="str">
        <x:v>DuraVision Chrome UV</x:v>
      </x:c>
      <x:c r="L3205" s="40" t="n">
        <x:v>6650</x:v>
      </x:c>
      <x:c r="M3205" s="24" t="str">
        <x:v>-6.00 a +4.00</x:v>
      </x:c>
      <x:c r="N3205" s="24" t="str">
        <x:v>4.00</x:v>
      </x:c>
      <x:c r="O3205" s="24" t="str">
        <x:v>3.50</x:v>
      </x:c>
      <x:c r="P3205" s="24" t="str">
        <x:v>75/80</x:v>
      </x:c>
      <x:c r="Q3205" s="24"/>
      <x:c r="R3205" s="24"/>
      <x:c r="S3205" s="26" t="n">
        <x:v>46113</x:v>
      </x:c>
      <x:c r="T3205" s="26"/>
      <x:c r="U3205" s="24" t="str">
        <x:v>ATIVA/SEM FIM INFORMADO</x:v>
      </x:c>
      <x:c r="V3205" s="24" t="str">
        <x:v>Programa de Parcerias ZEISS</x:v>
      </x:c>
      <x:c r="W3205" s="24" t="n">
        <x:v>55</x:v>
      </x:c>
      <x:c r="X3205" s="24" t="str">
        <x:v>tabela_zeiss.pdf</x:v>
      </x:c>
      <x:c r="Y3205" s="24" t="str">
        <x:v>alta</x:v>
      </x:c>
      <x:c r="Z3205" s="24"/>
      <x:c r="AA3205" s="24" t="str">
        <x:v>ZEISS|Asiana|Surfaçada|Asiana|PhotoFusion X Extra Dark Cinza|1.5|1.50|DuraVision Chrome UV|-6.00 a +4.00|4.00|3.50|75/80|||55</x:v>
      </x:c>
    </x:row>
    <x:row r="3206">
      <x:c r="A3206" s="24" t="str">
        <x:v>ZS-52E2CEB2526B</x:v>
      </x:c>
      <x:c r="B3206" s="24" t="str">
        <x:v>SIM</x:v>
      </x:c>
      <x:c r="C3206" s="24" t="str">
        <x:v>DISPONÍVEL</x:v>
      </x:c>
      <x:c r="D3206" s="24" t="str">
        <x:v>ZEISS</x:v>
      </x:c>
      <x:c r="E3206" s="24" t="str">
        <x:v>Asiana</x:v>
      </x:c>
      <x:c r="F3206" s="24" t="str">
        <x:v>Surfaçada</x:v>
      </x:c>
      <x:c r="G3206" s="24" t="str">
        <x:v>Asiana</x:v>
      </x:c>
      <x:c r="H3206" s="24" t="str">
        <x:v>PhotoFusion X Extra Dark Cinza</x:v>
      </x:c>
      <x:c r="I3206" s="24" t="str">
        <x:v>1.6</x:v>
      </x:c>
      <x:c r="J3206" s="24" t="str">
        <x:v>1.60</x:v>
      </x:c>
      <x:c r="K3206" s="24" t="str">
        <x:v>DuraVision Gold UV</x:v>
      </x:c>
      <x:c r="L3206" s="40" t="n">
        <x:v>8790</x:v>
      </x:c>
      <x:c r="M3206" s="24" t="str">
        <x:v>-10.00 a +6.00</x:v>
      </x:c>
      <x:c r="N3206" s="24" t="str">
        <x:v>6.00</x:v>
      </x:c>
      <x:c r="O3206" s="24" t="str">
        <x:v>4.00</x:v>
      </x:c>
      <x:c r="P3206" s="24" t="str">
        <x:v>70/75</x:v>
      </x:c>
      <x:c r="Q3206" s="24"/>
      <x:c r="R3206" s="24"/>
      <x:c r="S3206" s="26" t="n">
        <x:v>46113</x:v>
      </x:c>
      <x:c r="T3206" s="26"/>
      <x:c r="U3206" s="24" t="str">
        <x:v>ATIVA/SEM FIM INFORMADO</x:v>
      </x:c>
      <x:c r="V3206" s="24" t="str">
        <x:v>Programa de Parcerias ZEISS</x:v>
      </x:c>
      <x:c r="W3206" s="24" t="n">
        <x:v>55</x:v>
      </x:c>
      <x:c r="X3206" s="24" t="str">
        <x:v>tabela_zeiss.pdf</x:v>
      </x:c>
      <x:c r="Y3206" s="24" t="str">
        <x:v>alta</x:v>
      </x:c>
      <x:c r="Z3206" s="24"/>
      <x:c r="AA3206" s="24" t="str">
        <x:v>ZEISS|Asiana|Surfaçada|Asiana|PhotoFusion X Extra Dark Cinza|1.6|1.60|DuraVision Gold UV|-10.00 a +6.00|6.00|4.00|70/75|||55</x:v>
      </x:c>
    </x:row>
    <x:row r="3207">
      <x:c r="A3207" s="24" t="str">
        <x:v>ZS-C8D804162E1E</x:v>
      </x:c>
      <x:c r="B3207" s="24" t="str">
        <x:v>SIM</x:v>
      </x:c>
      <x:c r="C3207" s="24" t="str">
        <x:v>DISPONÍVEL</x:v>
      </x:c>
      <x:c r="D3207" s="24" t="str">
        <x:v>ZEISS</x:v>
      </x:c>
      <x:c r="E3207" s="24" t="str">
        <x:v>Asiana</x:v>
      </x:c>
      <x:c r="F3207" s="24" t="str">
        <x:v>Surfaçada</x:v>
      </x:c>
      <x:c r="G3207" s="24" t="str">
        <x:v>Asiana</x:v>
      </x:c>
      <x:c r="H3207" s="24" t="str">
        <x:v>PhotoFusion X Extra Dark Cinza</x:v>
      </x:c>
      <x:c r="I3207" s="24" t="str">
        <x:v>1.6</x:v>
      </x:c>
      <x:c r="J3207" s="24" t="str">
        <x:v>1.60</x:v>
      </x:c>
      <x:c r="K3207" s="24" t="str">
        <x:v>DURAVISION® ANTIVÍRUS PLATINUM UV</x:v>
      </x:c>
      <x:c r="L3207" s="40" t="n">
        <x:v>8650</x:v>
      </x:c>
      <x:c r="M3207" s="24" t="str">
        <x:v>-10.00 a +6.00</x:v>
      </x:c>
      <x:c r="N3207" s="24" t="str">
        <x:v>6.00</x:v>
      </x:c>
      <x:c r="O3207" s="24" t="str">
        <x:v>4.00</x:v>
      </x:c>
      <x:c r="P3207" s="24" t="str">
        <x:v>70/75</x:v>
      </x:c>
      <x:c r="Q3207" s="24"/>
      <x:c r="R3207" s="24"/>
      <x:c r="S3207" s="26" t="n">
        <x:v>46113</x:v>
      </x:c>
      <x:c r="T3207" s="26"/>
      <x:c r="U3207" s="24" t="str">
        <x:v>ATIVA/SEM FIM INFORMADO</x:v>
      </x:c>
      <x:c r="V3207" s="24" t="str">
        <x:v>Programa de Parcerias ZEISS</x:v>
      </x:c>
      <x:c r="W3207" s="24" t="n">
        <x:v>55</x:v>
      </x:c>
      <x:c r="X3207" s="24" t="str">
        <x:v>tabela_zeiss.pdf</x:v>
      </x:c>
      <x:c r="Y3207" s="24" t="str">
        <x:v>alta</x:v>
      </x:c>
      <x:c r="Z3207" s="24"/>
      <x:c r="AA3207" s="24" t="str">
        <x:v>ZEISS|Asiana|Surfaçada|Asiana|PhotoFusion X Extra Dark Cinza|1.6|1.60|DURAVISION® ANTIVÍRUS PLATINUM UV|-10.00 a +6.00|6.00|4.00|70/75|||55</x:v>
      </x:c>
    </x:row>
    <x:row r="3208">
      <x:c r="A3208" s="24" t="str">
        <x:v>ZS-550B49BE4E93</x:v>
      </x:c>
      <x:c r="B3208" s="24" t="str">
        <x:v>SIM</x:v>
      </x:c>
      <x:c r="C3208" s="24" t="str">
        <x:v>DISPONÍVEL</x:v>
      </x:c>
      <x:c r="D3208" s="24" t="str">
        <x:v>ZEISS</x:v>
      </x:c>
      <x:c r="E3208" s="24" t="str">
        <x:v>Asiana</x:v>
      </x:c>
      <x:c r="F3208" s="24" t="str">
        <x:v>Surfaçada</x:v>
      </x:c>
      <x:c r="G3208" s="24" t="str">
        <x:v>Asiana</x:v>
      </x:c>
      <x:c r="H3208" s="24" t="str">
        <x:v>PhotoFusion X Extra Dark Cinza</x:v>
      </x:c>
      <x:c r="I3208" s="24" t="str">
        <x:v>1.6</x:v>
      </x:c>
      <x:c r="J3208" s="24" t="str">
        <x:v>1.60</x:v>
      </x:c>
      <x:c r="K3208" s="24" t="str">
        <x:v>DuraVision Platinum UV</x:v>
      </x:c>
      <x:c r="L3208" s="40" t="n">
        <x:v>8650</x:v>
      </x:c>
      <x:c r="M3208" s="24" t="str">
        <x:v>-10.00 a +6.00</x:v>
      </x:c>
      <x:c r="N3208" s="24" t="str">
        <x:v>6.00</x:v>
      </x:c>
      <x:c r="O3208" s="24" t="str">
        <x:v>4.00</x:v>
      </x:c>
      <x:c r="P3208" s="24" t="str">
        <x:v>70/75</x:v>
      </x:c>
      <x:c r="Q3208" s="24"/>
      <x:c r="R3208" s="24"/>
      <x:c r="S3208" s="26" t="n">
        <x:v>46113</x:v>
      </x:c>
      <x:c r="T3208" s="26"/>
      <x:c r="U3208" s="24" t="str">
        <x:v>ATIVA/SEM FIM INFORMADO</x:v>
      </x:c>
      <x:c r="V3208" s="24" t="str">
        <x:v>Programa de Parcerias ZEISS</x:v>
      </x:c>
      <x:c r="W3208" s="24" t="n">
        <x:v>55</x:v>
      </x:c>
      <x:c r="X3208" s="24" t="str">
        <x:v>tabela_zeiss.pdf</x:v>
      </x:c>
      <x:c r="Y3208" s="24" t="str">
        <x:v>alta</x:v>
      </x:c>
      <x:c r="Z3208" s="24"/>
      <x:c r="AA3208" s="24" t="str">
        <x:v>ZEISS|Asiana|Surfaçada|Asiana|PhotoFusion X Extra Dark Cinza|1.6|1.60|DuraVision Platinum UV|-10.00 a +6.00|6.00|4.00|70/75|||55</x:v>
      </x:c>
    </x:row>
    <x:row r="3209">
      <x:c r="A3209" s="24" t="str">
        <x:v>ZS-20678FD3D4B7</x:v>
      </x:c>
      <x:c r="B3209" s="24" t="str">
        <x:v>SIM</x:v>
      </x:c>
      <x:c r="C3209" s="24" t="str">
        <x:v>DISPONÍVEL</x:v>
      </x:c>
      <x:c r="D3209" s="24" t="str">
        <x:v>ZEISS</x:v>
      </x:c>
      <x:c r="E3209" s="24" t="str">
        <x:v>Asiana</x:v>
      </x:c>
      <x:c r="F3209" s="24" t="str">
        <x:v>Surfaçada</x:v>
      </x:c>
      <x:c r="G3209" s="24" t="str">
        <x:v>Asiana</x:v>
      </x:c>
      <x:c r="H3209" s="24" t="str">
        <x:v>PhotoFusion X Extra Dark Cinza</x:v>
      </x:c>
      <x:c r="I3209" s="24" t="str">
        <x:v>1.6</x:v>
      </x:c>
      <x:c r="J3209" s="24" t="str">
        <x:v>1.60</x:v>
      </x:c>
      <x:c r="K3209" s="24" t="str">
        <x:v>DuraVision Silver UV</x:v>
      </x:c>
      <x:c r="L3209" s="40" t="n">
        <x:v>8390</x:v>
      </x:c>
      <x:c r="M3209" s="24" t="str">
        <x:v>-10.00 a +6.00</x:v>
      </x:c>
      <x:c r="N3209" s="24" t="str">
        <x:v>6.00</x:v>
      </x:c>
      <x:c r="O3209" s="24" t="str">
        <x:v>4.00</x:v>
      </x:c>
      <x:c r="P3209" s="24" t="str">
        <x:v>70/75</x:v>
      </x:c>
      <x:c r="Q3209" s="24"/>
      <x:c r="R3209" s="24"/>
      <x:c r="S3209" s="26" t="n">
        <x:v>46113</x:v>
      </x:c>
      <x:c r="T3209" s="26"/>
      <x:c r="U3209" s="24" t="str">
        <x:v>ATIVA/SEM FIM INFORMADO</x:v>
      </x:c>
      <x:c r="V3209" s="24" t="str">
        <x:v>Programa de Parcerias ZEISS</x:v>
      </x:c>
      <x:c r="W3209" s="24" t="n">
        <x:v>55</x:v>
      </x:c>
      <x:c r="X3209" s="24" t="str">
        <x:v>tabela_zeiss.pdf</x:v>
      </x:c>
      <x:c r="Y3209" s="24" t="str">
        <x:v>alta</x:v>
      </x:c>
      <x:c r="Z3209" s="24"/>
      <x:c r="AA3209" s="24" t="str">
        <x:v>ZEISS|Asiana|Surfaçada|Asiana|PhotoFusion X Extra Dark Cinza|1.6|1.60|DuraVision Silver UV|-10.00 a +6.00|6.00|4.00|70/75|||55</x:v>
      </x:c>
    </x:row>
    <x:row r="3210">
      <x:c r="A3210" s="24" t="str">
        <x:v>ZS-976654DD0F46</x:v>
      </x:c>
      <x:c r="B3210" s="24" t="str">
        <x:v>SIM</x:v>
      </x:c>
      <x:c r="C3210" s="24" t="str">
        <x:v>DISPONÍVEL</x:v>
      </x:c>
      <x:c r="D3210" s="24" t="str">
        <x:v>ZEISS</x:v>
      </x:c>
      <x:c r="E3210" s="24" t="str">
        <x:v>Asiana</x:v>
      </x:c>
      <x:c r="F3210" s="24" t="str">
        <x:v>Surfaçada</x:v>
      </x:c>
      <x:c r="G3210" s="24" t="str">
        <x:v>Asiana</x:v>
      </x:c>
      <x:c r="H3210" s="24" t="str">
        <x:v>PhotoFusion X Extra Dark Cinza</x:v>
      </x:c>
      <x:c r="I3210" s="24" t="str">
        <x:v>1.6</x:v>
      </x:c>
      <x:c r="J3210" s="24" t="str">
        <x:v>1.60</x:v>
      </x:c>
      <x:c r="K3210" s="24" t="str">
        <x:v>DuraVision Chrome UV</x:v>
      </x:c>
      <x:c r="L3210" s="40" t="n">
        <x:v>7900</x:v>
      </x:c>
      <x:c r="M3210" s="24" t="str">
        <x:v>-10.00 a +6.00</x:v>
      </x:c>
      <x:c r="N3210" s="24" t="str">
        <x:v>6.00</x:v>
      </x:c>
      <x:c r="O3210" s="24" t="str">
        <x:v>4.00</x:v>
      </x:c>
      <x:c r="P3210" s="24" t="str">
        <x:v>70/75</x:v>
      </x:c>
      <x:c r="Q3210" s="24"/>
      <x:c r="R3210" s="24"/>
      <x:c r="S3210" s="26" t="n">
        <x:v>46113</x:v>
      </x:c>
      <x:c r="T3210" s="26"/>
      <x:c r="U3210" s="24" t="str">
        <x:v>ATIVA/SEM FIM INFORMADO</x:v>
      </x:c>
      <x:c r="V3210" s="24" t="str">
        <x:v>Programa de Parcerias ZEISS</x:v>
      </x:c>
      <x:c r="W3210" s="24" t="n">
        <x:v>55</x:v>
      </x:c>
      <x:c r="X3210" s="24" t="str">
        <x:v>tabela_zeiss.pdf</x:v>
      </x:c>
      <x:c r="Y3210" s="24" t="str">
        <x:v>alta</x:v>
      </x:c>
      <x:c r="Z3210" s="24"/>
      <x:c r="AA3210" s="24" t="str">
        <x:v>ZEISS|Asiana|Surfaçada|Asiana|PhotoFusion X Extra Dark Cinza|1.6|1.60|DuraVision Chrome UV|-10.00 a +6.00|6.00|4.00|70/75|||55</x:v>
      </x:c>
    </x:row>
    <x:row r="3211">
      <x:c r="A3211" s="24" t="str">
        <x:v>ZS-850DE9787F6A</x:v>
      </x:c>
      <x:c r="B3211" s="24" t="str">
        <x:v>SIM</x:v>
      </x:c>
      <x:c r="C3211" s="24" t="str">
        <x:v>DISPONÍVEL</x:v>
      </x:c>
      <x:c r="D3211" s="24" t="str">
        <x:v>ZEISS</x:v>
      </x:c>
      <x:c r="E3211" s="24" t="str">
        <x:v>Asiana</x:v>
      </x:c>
      <x:c r="F3211" s="24" t="str">
        <x:v>Surfaçada</x:v>
      </x:c>
      <x:c r="G3211" s="24" t="str">
        <x:v>Asiana</x:v>
      </x:c>
      <x:c r="H3211" s="24" t="str">
        <x:v>PhotoFusion X Extra Dark Cinza</x:v>
      </x:c>
      <x:c r="I3211" s="24" t="str">
        <x:v>1.67</x:v>
      </x:c>
      <x:c r="J3211" s="24" t="str">
        <x:v>1.67</x:v>
      </x:c>
      <x:c r="K3211" s="24" t="str">
        <x:v>DuraVision Gold UV</x:v>
      </x:c>
      <x:c r="L3211" s="40" t="n">
        <x:v>10430</x:v>
      </x:c>
      <x:c r="M3211" s="24" t="str">
        <x:v>-10.00 a +8.00</x:v>
      </x:c>
      <x:c r="N3211" s="24" t="str">
        <x:v>4.00</x:v>
      </x:c>
      <x:c r="O3211" s="24" t="str">
        <x:v>3.50</x:v>
      </x:c>
      <x:c r="P3211" s="24" t="str">
        <x:v>70/75</x:v>
      </x:c>
      <x:c r="Q3211" s="24"/>
      <x:c r="R3211" s="24"/>
      <x:c r="S3211" s="26" t="n">
        <x:v>46113</x:v>
      </x:c>
      <x:c r="T3211" s="26"/>
      <x:c r="U3211" s="24" t="str">
        <x:v>ATIVA/SEM FIM INFORMADO</x:v>
      </x:c>
      <x:c r="V3211" s="24" t="str">
        <x:v>Programa de Parcerias ZEISS</x:v>
      </x:c>
      <x:c r="W3211" s="24" t="n">
        <x:v>55</x:v>
      </x:c>
      <x:c r="X3211" s="24" t="str">
        <x:v>tabela_zeiss.pdf</x:v>
      </x:c>
      <x:c r="Y3211" s="24" t="str">
        <x:v>alta</x:v>
      </x:c>
      <x:c r="Z3211" s="24"/>
      <x:c r="AA3211" s="24" t="str">
        <x:v>ZEISS|Asiana|Surfaçada|Asiana|PhotoFusion X Extra Dark Cinza|1.67|1.67|DuraVision Gold UV|-10.00 a +8.00|4.00|3.50|70/75|||55</x:v>
      </x:c>
    </x:row>
    <x:row r="3212">
      <x:c r="A3212" s="24" t="str">
        <x:v>ZS-EDB7232C4E95</x:v>
      </x:c>
      <x:c r="B3212" s="24" t="str">
        <x:v>SIM</x:v>
      </x:c>
      <x:c r="C3212" s="24" t="str">
        <x:v>DISPONÍVEL</x:v>
      </x:c>
      <x:c r="D3212" s="24" t="str">
        <x:v>ZEISS</x:v>
      </x:c>
      <x:c r="E3212" s="24" t="str">
        <x:v>Asiana</x:v>
      </x:c>
      <x:c r="F3212" s="24" t="str">
        <x:v>Surfaçada</x:v>
      </x:c>
      <x:c r="G3212" s="24" t="str">
        <x:v>Asiana</x:v>
      </x:c>
      <x:c r="H3212" s="24" t="str">
        <x:v>PhotoFusion X Extra Dark Cinza</x:v>
      </x:c>
      <x:c r="I3212" s="24" t="str">
        <x:v>1.67</x:v>
      </x:c>
      <x:c r="J3212" s="24" t="str">
        <x:v>1.67</x:v>
      </x:c>
      <x:c r="K3212" s="24" t="str">
        <x:v>DURAVISION® ANTIVÍRUS PLATINUM UV</x:v>
      </x:c>
      <x:c r="L3212" s="40" t="n">
        <x:v>10290</x:v>
      </x:c>
      <x:c r="M3212" s="24" t="str">
        <x:v>-10.00 a +8.00</x:v>
      </x:c>
      <x:c r="N3212" s="24" t="str">
        <x:v>4.00</x:v>
      </x:c>
      <x:c r="O3212" s="24" t="str">
        <x:v>3.50</x:v>
      </x:c>
      <x:c r="P3212" s="24" t="str">
        <x:v>70/75</x:v>
      </x:c>
      <x:c r="Q3212" s="24"/>
      <x:c r="R3212" s="24"/>
      <x:c r="S3212" s="26" t="n">
        <x:v>46113</x:v>
      </x:c>
      <x:c r="T3212" s="26"/>
      <x:c r="U3212" s="24" t="str">
        <x:v>ATIVA/SEM FIM INFORMADO</x:v>
      </x:c>
      <x:c r="V3212" s="24" t="str">
        <x:v>Programa de Parcerias ZEISS</x:v>
      </x:c>
      <x:c r="W3212" s="24" t="n">
        <x:v>55</x:v>
      </x:c>
      <x:c r="X3212" s="24" t="str">
        <x:v>tabela_zeiss.pdf</x:v>
      </x:c>
      <x:c r="Y3212" s="24" t="str">
        <x:v>alta</x:v>
      </x:c>
      <x:c r="Z3212" s="24"/>
      <x:c r="AA3212" s="24" t="str">
        <x:v>ZEISS|Asiana|Surfaçada|Asiana|PhotoFusion X Extra Dark Cinza|1.67|1.67|DURAVISION® ANTIVÍRUS PLATINUM UV|-10.00 a +8.00|4.00|3.50|70/75|||55</x:v>
      </x:c>
    </x:row>
    <x:row r="3213">
      <x:c r="A3213" s="24" t="str">
        <x:v>ZS-D9049A0B2403</x:v>
      </x:c>
      <x:c r="B3213" s="24" t="str">
        <x:v>SIM</x:v>
      </x:c>
      <x:c r="C3213" s="24" t="str">
        <x:v>DISPONÍVEL</x:v>
      </x:c>
      <x:c r="D3213" s="24" t="str">
        <x:v>ZEISS</x:v>
      </x:c>
      <x:c r="E3213" s="24" t="str">
        <x:v>Asiana</x:v>
      </x:c>
      <x:c r="F3213" s="24" t="str">
        <x:v>Surfaçada</x:v>
      </x:c>
      <x:c r="G3213" s="24" t="str">
        <x:v>Asiana</x:v>
      </x:c>
      <x:c r="H3213" s="24" t="str">
        <x:v>PhotoFusion X Extra Dark Cinza</x:v>
      </x:c>
      <x:c r="I3213" s="24" t="str">
        <x:v>1.67</x:v>
      </x:c>
      <x:c r="J3213" s="24" t="str">
        <x:v>1.67</x:v>
      </x:c>
      <x:c r="K3213" s="24" t="str">
        <x:v>DuraVision Platinum UV</x:v>
      </x:c>
      <x:c r="L3213" s="40" t="n">
        <x:v>10290</x:v>
      </x:c>
      <x:c r="M3213" s="24" t="str">
        <x:v>-10.00 a +8.00</x:v>
      </x:c>
      <x:c r="N3213" s="24" t="str">
        <x:v>4.00</x:v>
      </x:c>
      <x:c r="O3213" s="24" t="str">
        <x:v>3.50</x:v>
      </x:c>
      <x:c r="P3213" s="24" t="str">
        <x:v>70/75</x:v>
      </x:c>
      <x:c r="Q3213" s="24"/>
      <x:c r="R3213" s="24"/>
      <x:c r="S3213" s="26" t="n">
        <x:v>46113</x:v>
      </x:c>
      <x:c r="T3213" s="26"/>
      <x:c r="U3213" s="24" t="str">
        <x:v>ATIVA/SEM FIM INFORMADO</x:v>
      </x:c>
      <x:c r="V3213" s="24" t="str">
        <x:v>Programa de Parcerias ZEISS</x:v>
      </x:c>
      <x:c r="W3213" s="24" t="n">
        <x:v>55</x:v>
      </x:c>
      <x:c r="X3213" s="24" t="str">
        <x:v>tabela_zeiss.pdf</x:v>
      </x:c>
      <x:c r="Y3213" s="24" t="str">
        <x:v>alta</x:v>
      </x:c>
      <x:c r="Z3213" s="24"/>
      <x:c r="AA3213" s="24" t="str">
        <x:v>ZEISS|Asiana|Surfaçada|Asiana|PhotoFusion X Extra Dark Cinza|1.67|1.67|DuraVision Platinum UV|-10.00 a +8.00|4.00|3.50|70/75|||55</x:v>
      </x:c>
    </x:row>
    <x:row r="3214">
      <x:c r="A3214" s="24" t="str">
        <x:v>ZS-48DCE69EBA05</x:v>
      </x:c>
      <x:c r="B3214" s="24" t="str">
        <x:v>SIM</x:v>
      </x:c>
      <x:c r="C3214" s="24" t="str">
        <x:v>DISPONÍVEL</x:v>
      </x:c>
      <x:c r="D3214" s="24" t="str">
        <x:v>ZEISS</x:v>
      </x:c>
      <x:c r="E3214" s="24" t="str">
        <x:v>Asiana</x:v>
      </x:c>
      <x:c r="F3214" s="24" t="str">
        <x:v>Surfaçada</x:v>
      </x:c>
      <x:c r="G3214" s="24" t="str">
        <x:v>Asiana</x:v>
      </x:c>
      <x:c r="H3214" s="24" t="str">
        <x:v>PhotoFusion X Extra Dark Cinza</x:v>
      </x:c>
      <x:c r="I3214" s="24" t="str">
        <x:v>1.67</x:v>
      </x:c>
      <x:c r="J3214" s="24" t="str">
        <x:v>1.67</x:v>
      </x:c>
      <x:c r="K3214" s="24" t="str">
        <x:v>DuraVision Silver UV</x:v>
      </x:c>
      <x:c r="L3214" s="40" t="n">
        <x:v>10030</x:v>
      </x:c>
      <x:c r="M3214" s="24" t="str">
        <x:v>-10.00 a +8.00</x:v>
      </x:c>
      <x:c r="N3214" s="24" t="str">
        <x:v>4.00</x:v>
      </x:c>
      <x:c r="O3214" s="24" t="str">
        <x:v>3.50</x:v>
      </x:c>
      <x:c r="P3214" s="24" t="str">
        <x:v>70/75</x:v>
      </x:c>
      <x:c r="Q3214" s="24"/>
      <x:c r="R3214" s="24"/>
      <x:c r="S3214" s="26" t="n">
        <x:v>46113</x:v>
      </x:c>
      <x:c r="T3214" s="26"/>
      <x:c r="U3214" s="24" t="str">
        <x:v>ATIVA/SEM FIM INFORMADO</x:v>
      </x:c>
      <x:c r="V3214" s="24" t="str">
        <x:v>Programa de Parcerias ZEISS</x:v>
      </x:c>
      <x:c r="W3214" s="24" t="n">
        <x:v>55</x:v>
      </x:c>
      <x:c r="X3214" s="24" t="str">
        <x:v>tabela_zeiss.pdf</x:v>
      </x:c>
      <x:c r="Y3214" s="24" t="str">
        <x:v>alta</x:v>
      </x:c>
      <x:c r="Z3214" s="24"/>
      <x:c r="AA3214" s="24" t="str">
        <x:v>ZEISS|Asiana|Surfaçada|Asiana|PhotoFusion X Extra Dark Cinza|1.67|1.67|DuraVision Silver UV|-10.00 a +8.00|4.00|3.50|70/75|||55</x:v>
      </x:c>
    </x:row>
    <x:row r="3215">
      <x:c r="A3215" s="24" t="str">
        <x:v>ZS-A901DD61E27E</x:v>
      </x:c>
      <x:c r="B3215" s="24" t="str">
        <x:v>SIM</x:v>
      </x:c>
      <x:c r="C3215" s="24" t="str">
        <x:v>DISPONÍVEL</x:v>
      </x:c>
      <x:c r="D3215" s="24" t="str">
        <x:v>ZEISS</x:v>
      </x:c>
      <x:c r="E3215" s="24" t="str">
        <x:v>Asiana</x:v>
      </x:c>
      <x:c r="F3215" s="24" t="str">
        <x:v>Surfaçada</x:v>
      </x:c>
      <x:c r="G3215" s="24" t="str">
        <x:v>Asiana</x:v>
      </x:c>
      <x:c r="H3215" s="24" t="str">
        <x:v>PhotoFusion X Extra Dark Cinza</x:v>
      </x:c>
      <x:c r="I3215" s="24" t="str">
        <x:v>1.67</x:v>
      </x:c>
      <x:c r="J3215" s="24" t="str">
        <x:v>1.67</x:v>
      </x:c>
      <x:c r="K3215" s="24" t="str">
        <x:v>DuraVision Chrome UV</x:v>
      </x:c>
      <x:c r="L3215" s="40" t="n">
        <x:v>9540</x:v>
      </x:c>
      <x:c r="M3215" s="24" t="str">
        <x:v>-10.00 a +8.00</x:v>
      </x:c>
      <x:c r="N3215" s="24" t="str">
        <x:v>4.00</x:v>
      </x:c>
      <x:c r="O3215" s="24" t="str">
        <x:v>3.50</x:v>
      </x:c>
      <x:c r="P3215" s="24" t="str">
        <x:v>70/75</x:v>
      </x:c>
      <x:c r="Q3215" s="24"/>
      <x:c r="R3215" s="24"/>
      <x:c r="S3215" s="26" t="n">
        <x:v>46113</x:v>
      </x:c>
      <x:c r="T3215" s="26"/>
      <x:c r="U3215" s="24" t="str">
        <x:v>ATIVA/SEM FIM INFORMADO</x:v>
      </x:c>
      <x:c r="V3215" s="24" t="str">
        <x:v>Programa de Parcerias ZEISS</x:v>
      </x:c>
      <x:c r="W3215" s="24" t="n">
        <x:v>55</x:v>
      </x:c>
      <x:c r="X3215" s="24" t="str">
        <x:v>tabela_zeiss.pdf</x:v>
      </x:c>
      <x:c r="Y3215" s="24" t="str">
        <x:v>alta</x:v>
      </x:c>
      <x:c r="Z3215" s="24"/>
      <x:c r="AA3215" s="24" t="str">
        <x:v>ZEISS|Asiana|Surfaçada|Asiana|PhotoFusion X Extra Dark Cinza|1.67|1.67|DuraVision Chrome UV|-10.00 a +8.00|4.00|3.50|70/75|||55</x:v>
      </x:c>
    </x:row>
    <x:row r="3216">
      <x:c r="A3216" s="24" t="str">
        <x:v>ZS-B3952E87C202</x:v>
      </x:c>
      <x:c r="B3216" s="24" t="str">
        <x:v>SIM</x:v>
      </x:c>
      <x:c r="C3216" s="24" t="str">
        <x:v>DISPONÍVEL</x:v>
      </x:c>
      <x:c r="D3216" s="24" t="str">
        <x:v>ZEISS</x:v>
      </x:c>
      <x:c r="E3216" s="24" t="str">
        <x:v>Asiana</x:v>
      </x:c>
      <x:c r="F3216" s="24" t="str">
        <x:v>Surfaçada</x:v>
      </x:c>
      <x:c r="G3216" s="24" t="str">
        <x:v>Asiana</x:v>
      </x:c>
      <x:c r="H3216" s="24" t="str">
        <x:v>Asiana</x:v>
      </x:c>
      <x:c r="I3216" s="24" t="str">
        <x:v>1.5</x:v>
      </x:c>
      <x:c r="J3216" s="24" t="str">
        <x:v>1.50</x:v>
      </x:c>
      <x:c r="K3216" s="24" t="str">
        <x:v>DURAVISION® ANTIVÍRUS PLATINUM UV</x:v>
      </x:c>
      <x:c r="L3216" s="40" t="n">
        <x:v>1260</x:v>
      </x:c>
      <x:c r="M3216" s="24" t="str">
        <x:v>-6.00 a +6.00</x:v>
      </x:c>
      <x:c r="N3216" s="24" t="str">
        <x:v>6.00</x:v>
      </x:c>
      <x:c r="O3216" s="24" t="str">
        <x:v>0.50</x:v>
      </x:c>
      <x:c r="P3216" s="24" t="str">
        <x:v>75/80</x:v>
      </x:c>
      <x:c r="Q3216" s="24"/>
      <x:c r="R3216" s="24"/>
      <x:c r="S3216" s="26" t="n">
        <x:v>46113</x:v>
      </x:c>
      <x:c r="T3216" s="26"/>
      <x:c r="U3216" s="24" t="str">
        <x:v>ATIVA/SEM FIM INFORMADO</x:v>
      </x:c>
      <x:c r="V3216" s="24"/>
      <x:c r="W3216" s="24" t="n">
        <x:v>55</x:v>
      </x:c>
      <x:c r="X3216" s="24" t="str">
        <x:v>tabela_zeiss.pdf</x:v>
      </x:c>
      <x:c r="Y3216" s="24" t="str">
        <x:v>alta</x:v>
      </x:c>
      <x:c r="Z3216" s="24"/>
      <x:c r="AA3216" s="24" t="str">
        <x:v>ZEISS|Asiana|Surfaçada|Asiana|Asiana|1.5|1.50|DURAVISION® ANTIVÍRUS PLATINUM UV|-6.00 a +6.00|6.00|0.50|75/80|||55</x:v>
      </x:c>
    </x:row>
    <x:row r="3217">
      <x:c r="A3217" s="24" t="str">
        <x:v>ZS-A6A1C030867E</x:v>
      </x:c>
      <x:c r="B3217" s="24" t="str">
        <x:v>SIM</x:v>
      </x:c>
      <x:c r="C3217" s="24" t="str">
        <x:v>DISPONÍVEL</x:v>
      </x:c>
      <x:c r="D3217" s="24" t="str">
        <x:v>ZEISS</x:v>
      </x:c>
      <x:c r="E3217" s="24" t="str">
        <x:v>Asiana</x:v>
      </x:c>
      <x:c r="F3217" s="24" t="str">
        <x:v>Surfaçada</x:v>
      </x:c>
      <x:c r="G3217" s="24" t="str">
        <x:v>Asiana</x:v>
      </x:c>
      <x:c r="H3217" s="24" t="str">
        <x:v>Asiana</x:v>
      </x:c>
      <x:c r="I3217" s="24" t="str">
        <x:v>1.6</x:v>
      </x:c>
      <x:c r="J3217" s="24" t="str">
        <x:v>1.60</x:v>
      </x:c>
      <x:c r="K3217" s="24" t="str">
        <x:v>DURAVISION® ANTIVÍRUS PLATINUM UV</x:v>
      </x:c>
      <x:c r="L3217" s="40" t="n">
        <x:v>2510</x:v>
      </x:c>
      <x:c r="M3217" s="24" t="str">
        <x:v>-10.00 a +8.00</x:v>
      </x:c>
      <x:c r="N3217" s="24" t="str">
        <x:v>6.00</x:v>
      </x:c>
      <x:c r="O3217" s="24" t="str">
        <x:v>0.50</x:v>
      </x:c>
      <x:c r="P3217" s="24" t="str">
        <x:v>70/75</x:v>
      </x:c>
      <x:c r="Q3217" s="24"/>
      <x:c r="R3217" s="24"/>
      <x:c r="S3217" s="26" t="n">
        <x:v>46113</x:v>
      </x:c>
      <x:c r="T3217" s="26"/>
      <x:c r="U3217" s="24" t="str">
        <x:v>ATIVA/SEM FIM INFORMADO</x:v>
      </x:c>
      <x:c r="V3217" s="24"/>
      <x:c r="W3217" s="24" t="n">
        <x:v>55</x:v>
      </x:c>
      <x:c r="X3217" s="24" t="str">
        <x:v>tabela_zeiss.pdf</x:v>
      </x:c>
      <x:c r="Y3217" s="24" t="str">
        <x:v>alta</x:v>
      </x:c>
      <x:c r="Z3217" s="24"/>
      <x:c r="AA3217" s="24" t="str">
        <x:v>ZEISS|Asiana|Surfaçada|Asiana|Asiana|1.6|1.60|DURAVISION® ANTIVÍRUS PLATINUM UV|-10.00 a +8.00|6.00|0.50|70/75|||55</x:v>
      </x:c>
    </x:row>
    <x:row r="3218">
      <x:c r="A3218" s="24" t="str">
        <x:v>ZS-FA367702E637</x:v>
      </x:c>
      <x:c r="B3218" s="24" t="str">
        <x:v>SIM</x:v>
      </x:c>
      <x:c r="C3218" s="24" t="str">
        <x:v>DISPONÍVEL</x:v>
      </x:c>
      <x:c r="D3218" s="24" t="str">
        <x:v>ZEISS</x:v>
      </x:c>
      <x:c r="E3218" s="24" t="str">
        <x:v>Asiana</x:v>
      </x:c>
      <x:c r="F3218" s="24" t="str">
        <x:v>Surfaçada</x:v>
      </x:c>
      <x:c r="G3218" s="24" t="str">
        <x:v>Asiana</x:v>
      </x:c>
      <x:c r="H3218" s="24" t="str">
        <x:v>Asiana</x:v>
      </x:c>
      <x:c r="I3218" s="24" t="str">
        <x:v>1.67</x:v>
      </x:c>
      <x:c r="J3218" s="24" t="str">
        <x:v>1.67</x:v>
      </x:c>
      <x:c r="K3218" s="24" t="str">
        <x:v>DURAVISION® ANTIVÍRUS PLATINUM UV</x:v>
      </x:c>
      <x:c r="L3218" s="40" t="n">
        <x:v>4150</x:v>
      </x:c>
      <x:c r="M3218" s="24" t="str">
        <x:v>-10.00 a +8.00</x:v>
      </x:c>
      <x:c r="N3218" s="24" t="str">
        <x:v>6.00</x:v>
      </x:c>
      <x:c r="O3218" s="24" t="str">
        <x:v>0.50</x:v>
      </x:c>
      <x:c r="P3218" s="24" t="str">
        <x:v>70/75</x:v>
      </x:c>
      <x:c r="Q3218" s="24"/>
      <x:c r="R3218" s="24"/>
      <x:c r="S3218" s="26" t="n">
        <x:v>46113</x:v>
      </x:c>
      <x:c r="T3218" s="26"/>
      <x:c r="U3218" s="24" t="str">
        <x:v>ATIVA/SEM FIM INFORMADO</x:v>
      </x:c>
      <x:c r="V3218" s="24"/>
      <x:c r="W3218" s="24" t="n">
        <x:v>55</x:v>
      </x:c>
      <x:c r="X3218" s="24" t="str">
        <x:v>tabela_zeiss.pdf</x:v>
      </x:c>
      <x:c r="Y3218" s="24" t="str">
        <x:v>alta</x:v>
      </x:c>
      <x:c r="Z3218" s="24"/>
      <x:c r="AA3218" s="24" t="str">
        <x:v>ZEISS|Asiana|Surfaçada|Asiana|Asiana|1.67|1.67|DURAVISION® ANTIVÍRUS PLATINUM UV|-10.00 a +8.00|6.00|0.50|70/75|||55</x:v>
      </x:c>
    </x:row>
    <x:row r="3219">
      <x:c r="A3219" s="24" t="str">
        <x:v>ZS-5D6DB296F3D1</x:v>
      </x:c>
      <x:c r="B3219" s="24" t="str">
        <x:v>SIM</x:v>
      </x:c>
      <x:c r="C3219" s="24" t="str">
        <x:v>DISPONÍVEL</x:v>
      </x:c>
      <x:c r="D3219" s="24" t="str">
        <x:v>ZEISS</x:v>
      </x:c>
      <x:c r="E3219" s="24" t="str">
        <x:v>Asiana</x:v>
      </x:c>
      <x:c r="F3219" s="24" t="str">
        <x:v>Surfaçada</x:v>
      </x:c>
      <x:c r="G3219" s="24" t="str">
        <x:v>Asiana</x:v>
      </x:c>
      <x:c r="H3219" s="24" t="str">
        <x:v>Asiana</x:v>
      </x:c>
      <x:c r="I3219" s="24" t="str">
        <x:v>1.74</x:v>
      </x:c>
      <x:c r="J3219" s="24" t="str">
        <x:v>1.74</x:v>
      </x:c>
      <x:c r="K3219" s="24" t="str">
        <x:v>DURAVISION® ANTIVÍRUS PLATINUM UV</x:v>
      </x:c>
      <x:c r="L3219" s="40" t="n">
        <x:v>5750</x:v>
      </x:c>
      <x:c r="M3219" s="24" t="str">
        <x:v>-10.00 a +7.00</x:v>
      </x:c>
      <x:c r="N3219" s="24" t="str">
        <x:v>6.00</x:v>
      </x:c>
      <x:c r="O3219" s="24" t="str">
        <x:v>0.50</x:v>
      </x:c>
      <x:c r="P3219" s="24" t="str">
        <x:v>70/75</x:v>
      </x:c>
      <x:c r="Q3219" s="24"/>
      <x:c r="R3219" s="24"/>
      <x:c r="S3219" s="26" t="n">
        <x:v>46113</x:v>
      </x:c>
      <x:c r="T3219" s="26"/>
      <x:c r="U3219" s="24" t="str">
        <x:v>ATIVA/SEM FIM INFORMADO</x:v>
      </x:c>
      <x:c r="V3219" s="24"/>
      <x:c r="W3219" s="24" t="n">
        <x:v>55</x:v>
      </x:c>
      <x:c r="X3219" s="24" t="str">
        <x:v>tabela_zeiss.pdf</x:v>
      </x:c>
      <x:c r="Y3219" s="24" t="str">
        <x:v>alta</x:v>
      </x:c>
      <x:c r="Z3219" s="24"/>
      <x:c r="AA3219" s="24" t="str">
        <x:v>ZEISS|Asiana|Surfaçada|Asiana|Asiana|1.74|1.74|DURAVISION® ANTIVÍRUS PLATINUM UV|-10.00 a +7.00|6.00|0.50|70/75|||55</x:v>
      </x:c>
    </x:row>
    <x:row r="3220">
      <x:c r="A3220" s="24" t="str">
        <x:v>ZS-392A34BE2CDC</x:v>
      </x:c>
      <x:c r="B3220" s="24" t="str">
        <x:v>SIM</x:v>
      </x:c>
      <x:c r="C3220" s="24" t="str">
        <x:v>DISPONÍVEL</x:v>
      </x:c>
      <x:c r="D3220" s="24" t="str">
        <x:v>ZEISS</x:v>
      </x:c>
      <x:c r="E3220" s="24" t="str">
        <x:v>Asiana</x:v>
      </x:c>
      <x:c r="F3220" s="24" t="str">
        <x:v>Surfaçada</x:v>
      </x:c>
      <x:c r="G3220" s="24" t="str">
        <x:v>Asiana</x:v>
      </x:c>
      <x:c r="H3220" s="24" t="str">
        <x:v>PhotoFusion X</x:v>
      </x:c>
      <x:c r="I3220" s="24" t="str">
        <x:v>1.5</x:v>
      </x:c>
      <x:c r="J3220" s="24" t="str">
        <x:v>1.50</x:v>
      </x:c>
      <x:c r="K3220" s="24" t="str">
        <x:v>DURAVISION® ANTIVÍRUS PLATINUM UV</x:v>
      </x:c>
      <x:c r="L3220" s="40" t="n">
        <x:v>2680</x:v>
      </x:c>
      <x:c r="M3220" s="24" t="str">
        <x:v>-6.00 a +4.00</x:v>
      </x:c>
      <x:c r="N3220" s="24" t="str">
        <x:v>4.00</x:v>
      </x:c>
      <x:c r="O3220" s="24" t="str">
        <x:v>0.50</x:v>
      </x:c>
      <x:c r="P3220" s="24" t="str">
        <x:v>75/80</x:v>
      </x:c>
      <x:c r="Q3220" s="24"/>
      <x:c r="R3220" s="24"/>
      <x:c r="S3220" s="26" t="n">
        <x:v>46113</x:v>
      </x:c>
      <x:c r="T3220" s="26"/>
      <x:c r="U3220" s="24" t="str">
        <x:v>ATIVA/SEM FIM INFORMADO</x:v>
      </x:c>
      <x:c r="V3220" s="24" t="str">
        <x:v>Programa de Parcerias ZEISS</x:v>
      </x:c>
      <x:c r="W3220" s="24" t="n">
        <x:v>55</x:v>
      </x:c>
      <x:c r="X3220" s="24" t="str">
        <x:v>tabela_zeiss.pdf</x:v>
      </x:c>
      <x:c r="Y3220" s="24" t="str">
        <x:v>alta</x:v>
      </x:c>
      <x:c r="Z3220" s="24"/>
      <x:c r="AA3220" s="24" t="str">
        <x:v>ZEISS|Asiana|Surfaçada|Asiana|PhotoFusion X|1.5|1.50|DURAVISION® ANTIVÍRUS PLATINUM UV|-6.00 a +4.00|4.00|0.50|75/80|||55</x:v>
      </x:c>
    </x:row>
    <x:row r="3221">
      <x:c r="A3221" s="24" t="str">
        <x:v>ZS-C295CC88FA7C</x:v>
      </x:c>
      <x:c r="B3221" s="24" t="str">
        <x:v>SIM</x:v>
      </x:c>
      <x:c r="C3221" s="24" t="str">
        <x:v>DISPONÍVEL</x:v>
      </x:c>
      <x:c r="D3221" s="24" t="str">
        <x:v>ZEISS</x:v>
      </x:c>
      <x:c r="E3221" s="24" t="str">
        <x:v>Asiana</x:v>
      </x:c>
      <x:c r="F3221" s="24" t="str">
        <x:v>Surfaçada</x:v>
      </x:c>
      <x:c r="G3221" s="24" t="str">
        <x:v>Asiana</x:v>
      </x:c>
      <x:c r="H3221" s="24" t="str">
        <x:v>PhotoFusion X</x:v>
      </x:c>
      <x:c r="I3221" s="24" t="str">
        <x:v>1.6</x:v>
      </x:c>
      <x:c r="J3221" s="24" t="str">
        <x:v>1.60</x:v>
      </x:c>
      <x:c r="K3221" s="24" t="str">
        <x:v>DURAVISION® ANTIVÍRUS PLATINUM UV</x:v>
      </x:c>
      <x:c r="L3221" s="40" t="n">
        <x:v>3930</x:v>
      </x:c>
      <x:c r="M3221" s="24" t="str">
        <x:v>-10.00 a +6.00</x:v>
      </x:c>
      <x:c r="N3221" s="24" t="str">
        <x:v>6.00</x:v>
      </x:c>
      <x:c r="O3221" s="24" t="str">
        <x:v>0.50</x:v>
      </x:c>
      <x:c r="P3221" s="24" t="str">
        <x:v>70/75</x:v>
      </x:c>
      <x:c r="Q3221" s="24"/>
      <x:c r="R3221" s="24"/>
      <x:c r="S3221" s="26" t="n">
        <x:v>46113</x:v>
      </x:c>
      <x:c r="T3221" s="26"/>
      <x:c r="U3221" s="24" t="str">
        <x:v>ATIVA/SEM FIM INFORMADO</x:v>
      </x:c>
      <x:c r="V3221" s="24" t="str">
        <x:v>Programa de Parcerias ZEISS</x:v>
      </x:c>
      <x:c r="W3221" s="24" t="n">
        <x:v>55</x:v>
      </x:c>
      <x:c r="X3221" s="24" t="str">
        <x:v>tabela_zeiss.pdf</x:v>
      </x:c>
      <x:c r="Y3221" s="24" t="str">
        <x:v>alta</x:v>
      </x:c>
      <x:c r="Z3221" s="24"/>
      <x:c r="AA3221" s="24" t="str">
        <x:v>ZEISS|Asiana|Surfaçada|Asiana|PhotoFusion X|1.6|1.60|DURAVISION® ANTIVÍRUS PLATINUM UV|-10.00 a +6.00|6.00|0.50|70/75|||55</x:v>
      </x:c>
    </x:row>
    <x:row r="3222">
      <x:c r="A3222" s="24" t="str">
        <x:v>ZS-16F80D230214</x:v>
      </x:c>
      <x:c r="B3222" s="24" t="str">
        <x:v>SIM</x:v>
      </x:c>
      <x:c r="C3222" s="24" t="str">
        <x:v>DISPONÍVEL</x:v>
      </x:c>
      <x:c r="D3222" s="24" t="str">
        <x:v>ZEISS</x:v>
      </x:c>
      <x:c r="E3222" s="24" t="str">
        <x:v>Asiana</x:v>
      </x:c>
      <x:c r="F3222" s="24" t="str">
        <x:v>Surfaçada</x:v>
      </x:c>
      <x:c r="G3222" s="24" t="str">
        <x:v>Asiana</x:v>
      </x:c>
      <x:c r="H3222" s="24" t="str">
        <x:v>PhotoFusion X</x:v>
      </x:c>
      <x:c r="I3222" s="24" t="str">
        <x:v>1.67</x:v>
      </x:c>
      <x:c r="J3222" s="24" t="str">
        <x:v>1.67</x:v>
      </x:c>
      <x:c r="K3222" s="24" t="str">
        <x:v>DURAVISION® ANTIVÍRUS PLATINUM UV</x:v>
      </x:c>
      <x:c r="L3222" s="40" t="n">
        <x:v>5570</x:v>
      </x:c>
      <x:c r="M3222" s="24" t="str">
        <x:v>-10.00 a +8.00</x:v>
      </x:c>
      <x:c r="N3222" s="24" t="str">
        <x:v>4.00</x:v>
      </x:c>
      <x:c r="O3222" s="24" t="str">
        <x:v>0.50</x:v>
      </x:c>
      <x:c r="P3222" s="24" t="str">
        <x:v>70/75</x:v>
      </x:c>
      <x:c r="Q3222" s="24"/>
      <x:c r="R3222" s="24"/>
      <x:c r="S3222" s="26" t="n">
        <x:v>46113</x:v>
      </x:c>
      <x:c r="T3222" s="26"/>
      <x:c r="U3222" s="24" t="str">
        <x:v>ATIVA/SEM FIM INFORMADO</x:v>
      </x:c>
      <x:c r="V3222" s="24" t="str">
        <x:v>Programa de Parcerias ZEISS</x:v>
      </x:c>
      <x:c r="W3222" s="24" t="n">
        <x:v>55</x:v>
      </x:c>
      <x:c r="X3222" s="24" t="str">
        <x:v>tabela_zeiss.pdf</x:v>
      </x:c>
      <x:c r="Y3222" s="24" t="str">
        <x:v>alta</x:v>
      </x:c>
      <x:c r="Z3222" s="24"/>
      <x:c r="AA3222" s="24" t="str">
        <x:v>ZEISS|Asiana|Surfaçada|Asiana|PhotoFusion X|1.67|1.67|DURAVISION® ANTIVÍRUS PLATINUM UV|-10.00 a +8.00|4.00|0.50|70/75|||55</x:v>
      </x:c>
    </x:row>
    <x:row r="3223">
      <x:c r="A3223" s="24" t="str">
        <x:v>ZS-94FC7FE75210</x:v>
      </x:c>
      <x:c r="B3223" s="24" t="str">
        <x:v>SIM</x:v>
      </x:c>
      <x:c r="C3223" s="24" t="str">
        <x:v>DISPONÍVEL</x:v>
      </x:c>
      <x:c r="D3223" s="24" t="str">
        <x:v>ZEISS</x:v>
      </x:c>
      <x:c r="E3223" s="24" t="str">
        <x:v>Asiana</x:v>
      </x:c>
      <x:c r="F3223" s="24" t="str">
        <x:v>Surfaçada</x:v>
      </x:c>
      <x:c r="G3223" s="24" t="str">
        <x:v>Asiana</x:v>
      </x:c>
      <x:c r="H3223" s="24" t="str">
        <x:v>PhotoFusion X Extra Dark Cinza</x:v>
      </x:c>
      <x:c r="I3223" s="24" t="str">
        <x:v>1.5</x:v>
      </x:c>
      <x:c r="J3223" s="24" t="str">
        <x:v>1.50</x:v>
      </x:c>
      <x:c r="K3223" s="24" t="str">
        <x:v>DURAVISION® ANTIVÍRUS PLATINUM UV</x:v>
      </x:c>
      <x:c r="L3223" s="40" t="n">
        <x:v>2730</x:v>
      </x:c>
      <x:c r="M3223" s="24" t="str">
        <x:v>-6.00 a +4.00</x:v>
      </x:c>
      <x:c r="N3223" s="24" t="str">
        <x:v>4.00</x:v>
      </x:c>
      <x:c r="O3223" s="24" t="str">
        <x:v>0.50</x:v>
      </x:c>
      <x:c r="P3223" s="24" t="str">
        <x:v>75/80</x:v>
      </x:c>
      <x:c r="Q3223" s="24"/>
      <x:c r="R3223" s="24"/>
      <x:c r="S3223" s="26" t="n">
        <x:v>46113</x:v>
      </x:c>
      <x:c r="T3223" s="26"/>
      <x:c r="U3223" s="24" t="str">
        <x:v>ATIVA/SEM FIM INFORMADO</x:v>
      </x:c>
      <x:c r="V3223" s="24" t="str">
        <x:v>Programa de Parcerias ZEISS</x:v>
      </x:c>
      <x:c r="W3223" s="24" t="n">
        <x:v>55</x:v>
      </x:c>
      <x:c r="X3223" s="24" t="str">
        <x:v>tabela_zeiss.pdf</x:v>
      </x:c>
      <x:c r="Y3223" s="24" t="str">
        <x:v>alta</x:v>
      </x:c>
      <x:c r="Z3223" s="24"/>
      <x:c r="AA3223" s="24" t="str">
        <x:v>ZEISS|Asiana|Surfaçada|Asiana|PhotoFusion X Extra Dark Cinza|1.5|1.50|DURAVISION® ANTIVÍRUS PLATINUM UV|-6.00 a +4.00|4.00|0.50|75/80|||55</x:v>
      </x:c>
    </x:row>
    <x:row r="3224">
      <x:c r="A3224" s="24" t="str">
        <x:v>ZS-3EEBFF79B9CE</x:v>
      </x:c>
      <x:c r="B3224" s="24" t="str">
        <x:v>SIM</x:v>
      </x:c>
      <x:c r="C3224" s="24" t="str">
        <x:v>DISPONÍVEL</x:v>
      </x:c>
      <x:c r="D3224" s="24" t="str">
        <x:v>ZEISS</x:v>
      </x:c>
      <x:c r="E3224" s="24" t="str">
        <x:v>Asiana</x:v>
      </x:c>
      <x:c r="F3224" s="24" t="str">
        <x:v>Surfaçada</x:v>
      </x:c>
      <x:c r="G3224" s="24" t="str">
        <x:v>Asiana</x:v>
      </x:c>
      <x:c r="H3224" s="24" t="str">
        <x:v>PhotoFusion X Extra Dark Cinza</x:v>
      </x:c>
      <x:c r="I3224" s="24" t="str">
        <x:v>1.6</x:v>
      </x:c>
      <x:c r="J3224" s="24" t="str">
        <x:v>1.60</x:v>
      </x:c>
      <x:c r="K3224" s="24" t="str">
        <x:v>DURAVISION® ANTIVÍRUS PLATINUM UV</x:v>
      </x:c>
      <x:c r="L3224" s="40" t="n">
        <x:v>3980</x:v>
      </x:c>
      <x:c r="M3224" s="24" t="str">
        <x:v>-10.00 a +6.00</x:v>
      </x:c>
      <x:c r="N3224" s="24" t="str">
        <x:v>6.00</x:v>
      </x:c>
      <x:c r="O3224" s="24" t="str">
        <x:v>0.50</x:v>
      </x:c>
      <x:c r="P3224" s="24" t="str">
        <x:v>70/75</x:v>
      </x:c>
      <x:c r="Q3224" s="24"/>
      <x:c r="R3224" s="24"/>
      <x:c r="S3224" s="26" t="n">
        <x:v>46113</x:v>
      </x:c>
      <x:c r="T3224" s="26"/>
      <x:c r="U3224" s="24" t="str">
        <x:v>ATIVA/SEM FIM INFORMADO</x:v>
      </x:c>
      <x:c r="V3224" s="24" t="str">
        <x:v>Programa de Parcerias ZEISS</x:v>
      </x:c>
      <x:c r="W3224" s="24" t="n">
        <x:v>55</x:v>
      </x:c>
      <x:c r="X3224" s="24" t="str">
        <x:v>tabela_zeiss.pdf</x:v>
      </x:c>
      <x:c r="Y3224" s="24" t="str">
        <x:v>alta</x:v>
      </x:c>
      <x:c r="Z3224" s="24"/>
      <x:c r="AA3224" s="24" t="str">
        <x:v>ZEISS|Asiana|Surfaçada|Asiana|PhotoFusion X Extra Dark Cinza|1.6|1.60|DURAVISION® ANTIVÍRUS PLATINUM UV|-10.00 a +6.00|6.00|0.50|70/75|||55</x:v>
      </x:c>
    </x:row>
    <x:row r="3225">
      <x:c r="A3225" s="24" t="str">
        <x:v>ZS-77057EA18A95</x:v>
      </x:c>
      <x:c r="B3225" s="24" t="str">
        <x:v>SIM</x:v>
      </x:c>
      <x:c r="C3225" s="24" t="str">
        <x:v>DISPONÍVEL</x:v>
      </x:c>
      <x:c r="D3225" s="24" t="str">
        <x:v>ZEISS</x:v>
      </x:c>
      <x:c r="E3225" s="24" t="str">
        <x:v>Asiana</x:v>
      </x:c>
      <x:c r="F3225" s="24" t="str">
        <x:v>Surfaçada</x:v>
      </x:c>
      <x:c r="G3225" s="24" t="str">
        <x:v>Asiana</x:v>
      </x:c>
      <x:c r="H3225" s="24" t="str">
        <x:v>PhotoFusion X Extra Dark Cinza</x:v>
      </x:c>
      <x:c r="I3225" s="24" t="str">
        <x:v>1.67</x:v>
      </x:c>
      <x:c r="J3225" s="24" t="str">
        <x:v>1.67</x:v>
      </x:c>
      <x:c r="K3225" s="24" t="str">
        <x:v>DURAVISION® ANTIVÍRUS PLATINUM UV</x:v>
      </x:c>
      <x:c r="L3225" s="40" t="n">
        <x:v>5620</x:v>
      </x:c>
      <x:c r="M3225" s="24" t="str">
        <x:v>-10.00 a +8.00</x:v>
      </x:c>
      <x:c r="N3225" s="24" t="str">
        <x:v>4.00</x:v>
      </x:c>
      <x:c r="O3225" s="24" t="str">
        <x:v>0.50</x:v>
      </x:c>
      <x:c r="P3225" s="24" t="str">
        <x:v>70/75</x:v>
      </x:c>
      <x:c r="Q3225" s="24"/>
      <x:c r="R3225" s="24"/>
      <x:c r="S3225" s="26" t="n">
        <x:v>46113</x:v>
      </x:c>
      <x:c r="T3225" s="26"/>
      <x:c r="U3225" s="24" t="str">
        <x:v>ATIVA/SEM FIM INFORMADO</x:v>
      </x:c>
      <x:c r="V3225" s="24" t="str">
        <x:v>Programa de Parcerias ZEISS</x:v>
      </x:c>
      <x:c r="W3225" s="24" t="n">
        <x:v>55</x:v>
      </x:c>
      <x:c r="X3225" s="24" t="str">
        <x:v>tabela_zeiss.pdf</x:v>
      </x:c>
      <x:c r="Y3225" s="24" t="str">
        <x:v>alta</x:v>
      </x:c>
      <x:c r="Z3225" s="24"/>
      <x:c r="AA3225" s="24" t="str">
        <x:v>ZEISS|Asiana|Surfaçada|Asiana|PhotoFusion X Extra Dark Cinza|1.67|1.67|DURAVISION® ANTIVÍRUS PLATINUM UV|-10.00 a +8.00|4.00|0.50|70/75|||55</x:v>
      </x:c>
    </x:row>
    <x:row r="3226">
      <x:c r="A3226" s="24" t="str">
        <x:v>ZS-3D8358AFFD40</x:v>
      </x:c>
      <x:c r="B3226" s="24" t="str">
        <x:v>SIM</x:v>
      </x:c>
      <x:c r="C3226" s="24" t="str">
        <x:v>DISPONÍVEL</x:v>
      </x:c>
      <x:c r="D3226" s="24" t="str">
        <x:v>ZEISS</x:v>
      </x:c>
      <x:c r="E3226" s="24" t="str">
        <x:v>Controle de Miopia</x:v>
      </x:c>
      <x:c r="F3226" s="24" t="str">
        <x:v>Surfaçada</x:v>
      </x:c>
      <x:c r="G3226" s="24" t="str">
        <x:v>MyoCare</x:v>
      </x:c>
      <x:c r="H3226" s="24"/>
      <x:c r="I3226" s="24" t="str">
        <x:v>Poli</x:v>
      </x:c>
      <x:c r="J3226" s="24"/>
      <x:c r="K3226" s="24" t="str">
        <x:v>DuraVision Platinum UV</x:v>
      </x:c>
      <x:c r="L3226" s="40" t="n">
        <x:v>1999</x:v>
      </x:c>
      <x:c r="M3226" s="24" t="str">
        <x:v>0.00 a -9.00</x:v>
      </x:c>
      <x:c r="N3226" s="24" t="str">
        <x:v>-6.00</x:v>
      </x:c>
      <x:c r="O3226" s="24"/>
      <x:c r="P3226" s="24" t="str">
        <x:v>65/70/75</x:v>
      </x:c>
      <x:c r="Q3226" s="24"/>
      <x:c r="R3226" s="24"/>
      <x:c r="S3226" s="26" t="n">
        <x:v>46113</x:v>
      </x:c>
      <x:c r="T3226" s="26"/>
      <x:c r="U3226" s="24" t="str">
        <x:v>ATIVA/SEM FIM INFORMADO</x:v>
      </x:c>
      <x:c r="V3226" s="24"/>
      <x:c r="W3226" s="24" t="n">
        <x:v>19</x:v>
      </x:c>
      <x:c r="X3226" s="24" t="str">
        <x:v>tabela_zeiss.pdf</x:v>
      </x:c>
      <x:c r="Y3226" s="24" t="str">
        <x:v>alta</x:v>
      </x:c>
      <x:c r="Z3226" s="24"/>
      <x:c r="AA3226" s="24" t="str">
        <x:v>ZEISS|Controle de Miopia|Surfaçada|MyoCare||Poli||DuraVision Platinum UV|0.00 a -9.00|-6.00||65/70/75|||19</x:v>
      </x:c>
    </x:row>
    <x:row r="3227">
      <x:c r="A3227" s="24" t="str">
        <x:v>ZS-6198AE307DC8</x:v>
      </x:c>
      <x:c r="B3227" s="24" t="str">
        <x:v>SIM</x:v>
      </x:c>
      <x:c r="C3227" s="24" t="str">
        <x:v>DISPONÍVEL</x:v>
      </x:c>
      <x:c r="D3227" s="24" t="str">
        <x:v>ZEISS</x:v>
      </x:c>
      <x:c r="E3227" s="24" t="str">
        <x:v>Controle de Miopia</x:v>
      </x:c>
      <x:c r="F3227" s="24" t="str">
        <x:v>Surfaçada</x:v>
      </x:c>
      <x:c r="G3227" s="24" t="str">
        <x:v>MyoCare</x:v>
      </x:c>
      <x:c r="H3227" s="24"/>
      <x:c r="I3227" s="24" t="str">
        <x:v>1.6</x:v>
      </x:c>
      <x:c r="J3227" s="24" t="str">
        <x:v>1.60</x:v>
      </x:c>
      <x:c r="K3227" s="24" t="str">
        <x:v>DuraVision Platinum UV</x:v>
      </x:c>
      <x:c r="L3227" s="40" t="n">
        <x:v>2399</x:v>
      </x:c>
      <x:c r="M3227" s="24" t="str">
        <x:v>0.00 a -9.00</x:v>
      </x:c>
      <x:c r="N3227" s="24" t="str">
        <x:v>-6.00</x:v>
      </x:c>
      <x:c r="O3227" s="24"/>
      <x:c r="P3227" s="24" t="str">
        <x:v>65/70/73</x:v>
      </x:c>
      <x:c r="Q3227" s="24"/>
      <x:c r="R3227" s="24"/>
      <x:c r="S3227" s="26" t="n">
        <x:v>46113</x:v>
      </x:c>
      <x:c r="T3227" s="26"/>
      <x:c r="U3227" s="24" t="str">
        <x:v>ATIVA/SEM FIM INFORMADO</x:v>
      </x:c>
      <x:c r="V3227" s="24"/>
      <x:c r="W3227" s="24" t="n">
        <x:v>19</x:v>
      </x:c>
      <x:c r="X3227" s="24" t="str">
        <x:v>tabela_zeiss.pdf</x:v>
      </x:c>
      <x:c r="Y3227" s="24" t="str">
        <x:v>alta</x:v>
      </x:c>
      <x:c r="Z3227" s="24"/>
      <x:c r="AA3227" s="24" t="str">
        <x:v>ZEISS|Controle de Miopia|Surfaçada|MyoCare||1.6|1.60|DuraVision Platinum UV|0.00 a -9.00|-6.00||65/70/73|||19</x:v>
      </x:c>
    </x:row>
    <x:row r="3228">
      <x:c r="A3228" s="24" t="str">
        <x:v>ZS-585E91894C39</x:v>
      </x:c>
      <x:c r="B3228" s="24" t="str">
        <x:v>SIM</x:v>
      </x:c>
      <x:c r="C3228" s="24" t="str">
        <x:v>DISPONÍVEL</x:v>
      </x:c>
      <x:c r="D3228" s="24" t="str">
        <x:v>ZEISS</x:v>
      </x:c>
      <x:c r="E3228" s="24" t="str">
        <x:v>Controle de Miopia</x:v>
      </x:c>
      <x:c r="F3228" s="24" t="str">
        <x:v>Surfaçada</x:v>
      </x:c>
      <x:c r="G3228" s="24" t="str">
        <x:v>MyoCare</x:v>
      </x:c>
      <x:c r="H3228" s="24"/>
      <x:c r="I3228" s="24" t="str">
        <x:v>1.67</x:v>
      </x:c>
      <x:c r="J3228" s="24" t="str">
        <x:v>1.67</x:v>
      </x:c>
      <x:c r="K3228" s="24" t="str">
        <x:v>DuraVision Platinum UV</x:v>
      </x:c>
      <x:c r="L3228" s="40" t="n">
        <x:v>2699</x:v>
      </x:c>
      <x:c r="M3228" s="24" t="str">
        <x:v>-2.00 a -10.00</x:v>
      </x:c>
      <x:c r="N3228" s="24" t="str">
        <x:v>-6.00</x:v>
      </x:c>
      <x:c r="O3228" s="24"/>
      <x:c r="P3228" s="24" t="str">
        <x:v>65/70/73</x:v>
      </x:c>
      <x:c r="Q3228" s="24"/>
      <x:c r="R3228" s="24"/>
      <x:c r="S3228" s="26" t="n">
        <x:v>46113</x:v>
      </x:c>
      <x:c r="T3228" s="26"/>
      <x:c r="U3228" s="24" t="str">
        <x:v>ATIVA/SEM FIM INFORMADO</x:v>
      </x:c>
      <x:c r="V3228" s="24"/>
      <x:c r="W3228" s="24" t="n">
        <x:v>19</x:v>
      </x:c>
      <x:c r="X3228" s="24" t="str">
        <x:v>tabela_zeiss.pdf</x:v>
      </x:c>
      <x:c r="Y3228" s="24" t="str">
        <x:v>alta</x:v>
      </x:c>
      <x:c r="Z3228" s="24"/>
      <x:c r="AA3228" s="24" t="str">
        <x:v>ZEISS|Controle de Miopia|Surfaçada|MyoCare||1.67|1.67|DuraVision Platinum UV|-2.00 a -10.00|-6.00||65/70/73|||19</x:v>
      </x:c>
    </x:row>
    <x:row r="3229">
      <x:c r="A3229" s="24" t="str">
        <x:v>ZS-E12759829DA8</x:v>
      </x:c>
      <x:c r="B3229" s="24" t="str">
        <x:v>SIM</x:v>
      </x:c>
      <x:c r="C3229" s="24" t="str">
        <x:v>DISPONÍVEL</x:v>
      </x:c>
      <x:c r="D3229" s="24" t="str">
        <x:v>ZEISS</x:v>
      </x:c>
      <x:c r="E3229" s="24" t="str">
        <x:v>Controle de Miopia</x:v>
      </x:c>
      <x:c r="F3229" s="24" t="str">
        <x:v>Surfaçada</x:v>
      </x:c>
      <x:c r="G3229" s="24" t="str">
        <x:v>MyoCare S</x:v>
      </x:c>
      <x:c r="H3229" s="24"/>
      <x:c r="I3229" s="24" t="str">
        <x:v>Poli</x:v>
      </x:c>
      <x:c r="J3229" s="24"/>
      <x:c r="K3229" s="24" t="str">
        <x:v>DuraVision Platinum UV</x:v>
      </x:c>
      <x:c r="L3229" s="40" t="n">
        <x:v>1999</x:v>
      </x:c>
      <x:c r="M3229" s="24" t="str">
        <x:v>0.00 a -9.00</x:v>
      </x:c>
      <x:c r="N3229" s="24" t="str">
        <x:v>-6.00</x:v>
      </x:c>
      <x:c r="O3229" s="24"/>
      <x:c r="P3229" s="24" t="str">
        <x:v>65/70/75</x:v>
      </x:c>
      <x:c r="Q3229" s="24"/>
      <x:c r="R3229" s="24"/>
      <x:c r="S3229" s="26" t="n">
        <x:v>46113</x:v>
      </x:c>
      <x:c r="T3229" s="26"/>
      <x:c r="U3229" s="24" t="str">
        <x:v>ATIVA/SEM FIM INFORMADO</x:v>
      </x:c>
      <x:c r="V3229" s="24"/>
      <x:c r="W3229" s="24" t="n">
        <x:v>19</x:v>
      </x:c>
      <x:c r="X3229" s="24" t="str">
        <x:v>tabela_zeiss.pdf</x:v>
      </x:c>
      <x:c r="Y3229" s="24" t="str">
        <x:v>alta</x:v>
      </x:c>
      <x:c r="Z3229" s="24"/>
      <x:c r="AA3229" s="24" t="str">
        <x:v>ZEISS|Controle de Miopia|Surfaçada|MyoCare S||Poli||DuraVision Platinum UV|0.00 a -9.00|-6.00||65/70/75|||19</x:v>
      </x:c>
    </x:row>
    <x:row r="3230">
      <x:c r="A3230" s="24" t="str">
        <x:v>ZS-B66CCE75157B</x:v>
      </x:c>
      <x:c r="B3230" s="24" t="str">
        <x:v>SIM</x:v>
      </x:c>
      <x:c r="C3230" s="24" t="str">
        <x:v>DISPONÍVEL</x:v>
      </x:c>
      <x:c r="D3230" s="24" t="str">
        <x:v>ZEISS</x:v>
      </x:c>
      <x:c r="E3230" s="24" t="str">
        <x:v>Controle de Miopia</x:v>
      </x:c>
      <x:c r="F3230" s="24" t="str">
        <x:v>Surfaçada</x:v>
      </x:c>
      <x:c r="G3230" s="24" t="str">
        <x:v>MyoCare S</x:v>
      </x:c>
      <x:c r="H3230" s="24"/>
      <x:c r="I3230" s="24" t="str">
        <x:v>1.6</x:v>
      </x:c>
      <x:c r="J3230" s="24" t="str">
        <x:v>1.60</x:v>
      </x:c>
      <x:c r="K3230" s="24" t="str">
        <x:v>DuraVision Platinum UV</x:v>
      </x:c>
      <x:c r="L3230" s="40" t="n">
        <x:v>2399</x:v>
      </x:c>
      <x:c r="M3230" s="24" t="str">
        <x:v>0.00 a -9.00</x:v>
      </x:c>
      <x:c r="N3230" s="24" t="str">
        <x:v>-6.00</x:v>
      </x:c>
      <x:c r="O3230" s="24"/>
      <x:c r="P3230" s="24" t="str">
        <x:v>65/70/73</x:v>
      </x:c>
      <x:c r="Q3230" s="24"/>
      <x:c r="R3230" s="24"/>
      <x:c r="S3230" s="26" t="n">
        <x:v>46113</x:v>
      </x:c>
      <x:c r="T3230" s="26"/>
      <x:c r="U3230" s="24" t="str">
        <x:v>ATIVA/SEM FIM INFORMADO</x:v>
      </x:c>
      <x:c r="V3230" s="24"/>
      <x:c r="W3230" s="24" t="n">
        <x:v>19</x:v>
      </x:c>
      <x:c r="X3230" s="24" t="str">
        <x:v>tabela_zeiss.pdf</x:v>
      </x:c>
      <x:c r="Y3230" s="24" t="str">
        <x:v>alta</x:v>
      </x:c>
      <x:c r="Z3230" s="24"/>
      <x:c r="AA3230" s="24" t="str">
        <x:v>ZEISS|Controle de Miopia|Surfaçada|MyoCare S||1.6|1.60|DuraVision Platinum UV|0.00 a -9.00|-6.00||65/70/73|||19</x:v>
      </x:c>
    </x:row>
    <x:row r="3231">
      <x:c r="A3231" s="24" t="str">
        <x:v>ZS-30518C809DC1</x:v>
      </x:c>
      <x:c r="B3231" s="24" t="str">
        <x:v>SIM</x:v>
      </x:c>
      <x:c r="C3231" s="24" t="str">
        <x:v>DISPONÍVEL</x:v>
      </x:c>
      <x:c r="D3231" s="24" t="str">
        <x:v>ZEISS</x:v>
      </x:c>
      <x:c r="E3231" s="24" t="str">
        <x:v>Controle de Miopia</x:v>
      </x:c>
      <x:c r="F3231" s="24" t="str">
        <x:v>Surfaçada</x:v>
      </x:c>
      <x:c r="G3231" s="24" t="str">
        <x:v>MyoCare S</x:v>
      </x:c>
      <x:c r="H3231" s="24"/>
      <x:c r="I3231" s="24" t="str">
        <x:v>1.67</x:v>
      </x:c>
      <x:c r="J3231" s="24" t="str">
        <x:v>1.67</x:v>
      </x:c>
      <x:c r="K3231" s="24" t="str">
        <x:v>DuraVision Platinum UV</x:v>
      </x:c>
      <x:c r="L3231" s="40" t="n">
        <x:v>2699</x:v>
      </x:c>
      <x:c r="M3231" s="24" t="str">
        <x:v>-2.00 a -10.00</x:v>
      </x:c>
      <x:c r="N3231" s="24" t="str">
        <x:v>-6.00</x:v>
      </x:c>
      <x:c r="O3231" s="24"/>
      <x:c r="P3231" s="24" t="str">
        <x:v>65/70/73</x:v>
      </x:c>
      <x:c r="Q3231" s="24"/>
      <x:c r="R3231" s="24"/>
      <x:c r="S3231" s="26" t="n">
        <x:v>46113</x:v>
      </x:c>
      <x:c r="T3231" s="26"/>
      <x:c r="U3231" s="24" t="str">
        <x:v>ATIVA/SEM FIM INFORMADO</x:v>
      </x:c>
      <x:c r="V3231" s="24"/>
      <x:c r="W3231" s="24" t="n">
        <x:v>19</x:v>
      </x:c>
      <x:c r="X3231" s="24" t="str">
        <x:v>tabela_zeiss.pdf</x:v>
      </x:c>
      <x:c r="Y3231" s="24" t="str">
        <x:v>alta</x:v>
      </x:c>
      <x:c r="Z3231" s="24"/>
      <x:c r="AA3231" s="24" t="str">
        <x:v>ZEISS|Controle de Miopia|Surfaçada|MyoCare S||1.67|1.67|DuraVision Platinum UV|-2.00 a -10.00|-6.00||65/70/73|||19</x:v>
      </x:c>
    </x:row>
    <x:row r="3232">
      <x:c r="A3232" s="24" t="str">
        <x:v>ZS-BCE2072EA295</x:v>
      </x:c>
      <x:c r="B3232" s="24" t="str">
        <x:v>SIM</x:v>
      </x:c>
      <x:c r="C3232" s="24" t="str">
        <x:v>DISPONÍVEL</x:v>
      </x:c>
      <x:c r="D3232" s="24" t="str">
        <x:v>ZEISS</x:v>
      </x:c>
      <x:c r="E3232" s="24" t="str">
        <x:v>Lentes Prontas</x:v>
      </x:c>
      <x:c r="F3232" s="24" t="str">
        <x:v>Pronta</x:v>
      </x:c>
      <x:c r="G3232" s="24" t="str">
        <x:v>MyoCare Pronta</x:v>
      </x:c>
      <x:c r="H3232" s="24" t="str">
        <x:v>MyoCare &amp; MyoCare S</x:v>
      </x:c>
      <x:c r="I3232" s="24" t="str">
        <x:v>Poli</x:v>
      </x:c>
      <x:c r="J3232" s="24"/>
      <x:c r="K3232" s="24" t="str">
        <x:v>Padrão</x:v>
      </x:c>
      <x:c r="L3232" s="40" t="n">
        <x:v>1300</x:v>
      </x:c>
      <x:c r="M3232" s="24"/>
      <x:c r="N3232" s="24"/>
      <x:c r="O3232" s="24"/>
      <x:c r="P3232" s="24"/>
      <x:c r="Q3232" s="24"/>
      <x:c r="R3232" s="24"/>
      <x:c r="S3232" s="26" t="n">
        <x:v>46113</x:v>
      </x:c>
      <x:c r="T3232" s="26"/>
      <x:c r="U3232" s="24" t="str">
        <x:v>ATIVA/SEM FIM INFORMADO</x:v>
      </x:c>
      <x:c r="V3232" s="24"/>
      <x:c r="W3232" s="24" t="n">
        <x:v>19</x:v>
      </x:c>
      <x:c r="X3232" s="24" t="str">
        <x:v>tabela_zeiss.pdf</x:v>
      </x:c>
      <x:c r="Y3232" s="24" t="str">
        <x:v>alta</x:v>
      </x:c>
      <x:c r="Z3232" s="24"/>
      <x:c r="AA3232" s="24" t="str">
        <x:v>ZEISS|Lentes Prontas|Pronta|MyoCare Pronta|MyoCare &amp; MyoCare S|Poli||Padrão|||||||19</x:v>
      </x:c>
    </x:row>
    <x:row r="3233">
      <x:c r="A3233" s="24" t="str">
        <x:v>ZS-171EE231D898</x:v>
      </x:c>
      <x:c r="B3233" s="24" t="str">
        <x:v>SIM</x:v>
      </x:c>
      <x:c r="C3233" s="24" t="str">
        <x:v>DISPONÍVEL</x:v>
      </x:c>
      <x:c r="D3233" s="24" t="str">
        <x:v>ZEISS</x:v>
      </x:c>
      <x:c r="E3233" s="24" t="str">
        <x:v>Lentes Prontas</x:v>
      </x:c>
      <x:c r="F3233" s="24" t="str">
        <x:v>Pronta</x:v>
      </x:c>
      <x:c r="G3233" s="24" t="str">
        <x:v>ClearView</x:v>
      </x:c>
      <x:c r="H3233" s="24"/>
      <x:c r="I3233" s="24" t="str">
        <x:v>1.5</x:v>
      </x:c>
      <x:c r="J3233" s="24" t="str">
        <x:v>1.50</x:v>
      </x:c>
      <x:c r="K3233" s="24" t="str">
        <x:v>DuraVision Gold UV</x:v>
      </x:c>
      <x:c r="L3233" s="40" t="n">
        <x:v>990</x:v>
      </x:c>
      <x:c r="M3233" s="24"/>
      <x:c r="N3233" s="24"/>
      <x:c r="O3233" s="24"/>
      <x:c r="P3233" s="24"/>
      <x:c r="Q3233" s="24"/>
      <x:c r="R3233" s="24"/>
      <x:c r="S3233" s="26" t="n">
        <x:v>46113</x:v>
      </x:c>
      <x:c r="T3233" s="26"/>
      <x:c r="U3233" s="24" t="str">
        <x:v>ATIVA/SEM FIM INFORMADO</x:v>
      </x:c>
      <x:c r="V3233" s="24"/>
      <x:c r="W3233" s="24" t="n">
        <x:v>21</x:v>
      </x:c>
      <x:c r="X3233" s="24" t="str">
        <x:v>tabela_zeiss.pdf</x:v>
      </x:c>
      <x:c r="Y3233" s="24" t="str">
        <x:v>alta</x:v>
      </x:c>
      <x:c r="Z3233" s="24"/>
      <x:c r="AA3233" s="24" t="str">
        <x:v>ZEISS|Lentes Prontas|Pronta|ClearView||1.5|1.50|DuraVision Gold UV|||||||21</x:v>
      </x:c>
    </x:row>
    <x:row r="3234">
      <x:c r="A3234" s="24" t="str">
        <x:v>ZS-958248D9B7ED</x:v>
      </x:c>
      <x:c r="B3234" s="24" t="str">
        <x:v>SIM</x:v>
      </x:c>
      <x:c r="C3234" s="24" t="str">
        <x:v>DISPONÍVEL</x:v>
      </x:c>
      <x:c r="D3234" s="24" t="str">
        <x:v>ZEISS</x:v>
      </x:c>
      <x:c r="E3234" s="24" t="str">
        <x:v>Lentes Prontas</x:v>
      </x:c>
      <x:c r="F3234" s="24" t="str">
        <x:v>Pronta</x:v>
      </x:c>
      <x:c r="G3234" s="24" t="str">
        <x:v>ClearView</x:v>
      </x:c>
      <x:c r="H3234" s="24"/>
      <x:c r="I3234" s="24" t="str">
        <x:v>1.5</x:v>
      </x:c>
      <x:c r="J3234" s="24" t="str">
        <x:v>1.50</x:v>
      </x:c>
      <x:c r="K3234" s="24" t="str">
        <x:v>DuraVision Platinum UV</x:v>
      </x:c>
      <x:c r="L3234" s="40" t="n">
        <x:v>890</x:v>
      </x:c>
      <x:c r="M3234" s="24"/>
      <x:c r="N3234" s="24"/>
      <x:c r="O3234" s="24"/>
      <x:c r="P3234" s="24"/>
      <x:c r="Q3234" s="24"/>
      <x:c r="R3234" s="24"/>
      <x:c r="S3234" s="26" t="n">
        <x:v>46113</x:v>
      </x:c>
      <x:c r="T3234" s="26"/>
      <x:c r="U3234" s="24" t="str">
        <x:v>ATIVA/SEM FIM INFORMADO</x:v>
      </x:c>
      <x:c r="V3234" s="24"/>
      <x:c r="W3234" s="24" t="n">
        <x:v>21</x:v>
      </x:c>
      <x:c r="X3234" s="24" t="str">
        <x:v>tabela_zeiss.pdf</x:v>
      </x:c>
      <x:c r="Y3234" s="24" t="str">
        <x:v>alta</x:v>
      </x:c>
      <x:c r="Z3234" s="24"/>
      <x:c r="AA3234" s="24" t="str">
        <x:v>ZEISS|Lentes Prontas|Pronta|ClearView||1.5|1.50|DuraVision Platinum UV|||||||21</x:v>
      </x:c>
    </x:row>
    <x:row r="3235">
      <x:c r="A3235" s="24" t="str">
        <x:v>ZS-13E37A8D965C</x:v>
      </x:c>
      <x:c r="B3235" s="24" t="str">
        <x:v>SIM</x:v>
      </x:c>
      <x:c r="C3235" s="24" t="str">
        <x:v>DISPONÍVEL</x:v>
      </x:c>
      <x:c r="D3235" s="24" t="str">
        <x:v>ZEISS</x:v>
      </x:c>
      <x:c r="E3235" s="24" t="str">
        <x:v>Lentes Prontas</x:v>
      </x:c>
      <x:c r="F3235" s="24" t="str">
        <x:v>Pronta</x:v>
      </x:c>
      <x:c r="G3235" s="24" t="str">
        <x:v>ClearView</x:v>
      </x:c>
      <x:c r="H3235" s="24"/>
      <x:c r="I3235" s="24" t="str">
        <x:v>1.5</x:v>
      </x:c>
      <x:c r="J3235" s="24" t="str">
        <x:v>1.50</x:v>
      </x:c>
      <x:c r="K3235" s="24" t="str">
        <x:v>DuraVision Silver UV</x:v>
      </x:c>
      <x:c r="L3235" s="40" t="n">
        <x:v>699</x:v>
      </x:c>
      <x:c r="M3235" s="24"/>
      <x:c r="N3235" s="24"/>
      <x:c r="O3235" s="24"/>
      <x:c r="P3235" s="24"/>
      <x:c r="Q3235" s="24"/>
      <x:c r="R3235" s="24"/>
      <x:c r="S3235" s="26" t="n">
        <x:v>46113</x:v>
      </x:c>
      <x:c r="T3235" s="26"/>
      <x:c r="U3235" s="24" t="str">
        <x:v>ATIVA/SEM FIM INFORMADO</x:v>
      </x:c>
      <x:c r="V3235" s="24"/>
      <x:c r="W3235" s="24" t="n">
        <x:v>21</x:v>
      </x:c>
      <x:c r="X3235" s="24" t="str">
        <x:v>tabela_zeiss.pdf</x:v>
      </x:c>
      <x:c r="Y3235" s="24" t="str">
        <x:v>alta</x:v>
      </x:c>
      <x:c r="Z3235" s="24"/>
      <x:c r="AA3235" s="24" t="str">
        <x:v>ZEISS|Lentes Prontas|Pronta|ClearView||1.5|1.50|DuraVision Silver UV|||||||21</x:v>
      </x:c>
    </x:row>
    <x:row r="3236">
      <x:c r="A3236" s="24" t="str">
        <x:v>ZS-4EE4E116F1B5</x:v>
      </x:c>
      <x:c r="B3236" s="24" t="str">
        <x:v>SIM</x:v>
      </x:c>
      <x:c r="C3236" s="24" t="str">
        <x:v>DISPONÍVEL</x:v>
      </x:c>
      <x:c r="D3236" s="24" t="str">
        <x:v>ZEISS</x:v>
      </x:c>
      <x:c r="E3236" s="24" t="str">
        <x:v>Lentes Prontas</x:v>
      </x:c>
      <x:c r="F3236" s="24" t="str">
        <x:v>Pronta</x:v>
      </x:c>
      <x:c r="G3236" s="24" t="str">
        <x:v>ClearView</x:v>
      </x:c>
      <x:c r="H3236" s="24"/>
      <x:c r="I3236" s="24" t="str">
        <x:v>1.5</x:v>
      </x:c>
      <x:c r="J3236" s="24" t="str">
        <x:v>1.50</x:v>
      </x:c>
      <x:c r="K3236" s="24" t="str">
        <x:v>DuraVision Chrome UV</x:v>
      </x:c>
      <x:c r="L3236" s="40" t="n">
        <x:v>489</x:v>
      </x:c>
      <x:c r="M3236" s="24"/>
      <x:c r="N3236" s="24"/>
      <x:c r="O3236" s="24"/>
      <x:c r="P3236" s="24"/>
      <x:c r="Q3236" s="24"/>
      <x:c r="R3236" s="24"/>
      <x:c r="S3236" s="26" t="n">
        <x:v>46113</x:v>
      </x:c>
      <x:c r="T3236" s="26"/>
      <x:c r="U3236" s="24" t="str">
        <x:v>ATIVA/SEM FIM INFORMADO</x:v>
      </x:c>
      <x:c r="V3236" s="24"/>
      <x:c r="W3236" s="24" t="n">
        <x:v>21</x:v>
      </x:c>
      <x:c r="X3236" s="24" t="str">
        <x:v>tabela_zeiss.pdf</x:v>
      </x:c>
      <x:c r="Y3236" s="24" t="str">
        <x:v>alta</x:v>
      </x:c>
      <x:c r="Z3236" s="24"/>
      <x:c r="AA3236" s="24" t="str">
        <x:v>ZEISS|Lentes Prontas|Pronta|ClearView||1.5|1.50|DuraVision Chrome UV|||||||21</x:v>
      </x:c>
    </x:row>
    <x:row r="3237">
      <x:c r="A3237" s="24" t="str">
        <x:v>ZS-2A98E3C391C6</x:v>
      </x:c>
      <x:c r="B3237" s="24" t="str">
        <x:v>SIM</x:v>
      </x:c>
      <x:c r="C3237" s="24" t="str">
        <x:v>DISPONÍVEL</x:v>
      </x:c>
      <x:c r="D3237" s="24" t="str">
        <x:v>ZEISS</x:v>
      </x:c>
      <x:c r="E3237" s="24" t="str">
        <x:v>Lentes Prontas</x:v>
      </x:c>
      <x:c r="F3237" s="24" t="str">
        <x:v>Pronta</x:v>
      </x:c>
      <x:c r="G3237" s="24" t="str">
        <x:v>ClearView</x:v>
      </x:c>
      <x:c r="H3237" s="24"/>
      <x:c r="I3237" s="24" t="str">
        <x:v>Poli</x:v>
      </x:c>
      <x:c r="J3237" s="24"/>
      <x:c r="K3237" s="24" t="str">
        <x:v>DuraVision Gold UV</x:v>
      </x:c>
      <x:c r="L3237" s="40" t="n">
        <x:v>1252</x:v>
      </x:c>
      <x:c r="M3237" s="24"/>
      <x:c r="N3237" s="24"/>
      <x:c r="O3237" s="24"/>
      <x:c r="P3237" s="24"/>
      <x:c r="Q3237" s="24"/>
      <x:c r="R3237" s="24"/>
      <x:c r="S3237" s="26" t="n">
        <x:v>46113</x:v>
      </x:c>
      <x:c r="T3237" s="26"/>
      <x:c r="U3237" s="24" t="str">
        <x:v>ATIVA/SEM FIM INFORMADO</x:v>
      </x:c>
      <x:c r="V3237" s="24"/>
      <x:c r="W3237" s="24" t="n">
        <x:v>21</x:v>
      </x:c>
      <x:c r="X3237" s="24" t="str">
        <x:v>tabela_zeiss.pdf</x:v>
      </x:c>
      <x:c r="Y3237" s="24" t="str">
        <x:v>alta</x:v>
      </x:c>
      <x:c r="Z3237" s="24"/>
      <x:c r="AA3237" s="24" t="str">
        <x:v>ZEISS|Lentes Prontas|Pronta|ClearView||Poli||DuraVision Gold UV|||||||21</x:v>
      </x:c>
    </x:row>
    <x:row r="3238">
      <x:c r="A3238" s="24" t="str">
        <x:v>ZS-C3F4B205114D</x:v>
      </x:c>
      <x:c r="B3238" s="24" t="str">
        <x:v>SIM</x:v>
      </x:c>
      <x:c r="C3238" s="24" t="str">
        <x:v>DISPONÍVEL</x:v>
      </x:c>
      <x:c r="D3238" s="24" t="str">
        <x:v>ZEISS</x:v>
      </x:c>
      <x:c r="E3238" s="24" t="str">
        <x:v>Lentes Prontas</x:v>
      </x:c>
      <x:c r="F3238" s="24" t="str">
        <x:v>Pronta</x:v>
      </x:c>
      <x:c r="G3238" s="24" t="str">
        <x:v>ClearView</x:v>
      </x:c>
      <x:c r="H3238" s="24"/>
      <x:c r="I3238" s="24" t="str">
        <x:v>Poli</x:v>
      </x:c>
      <x:c r="J3238" s="24"/>
      <x:c r="K3238" s="24" t="str">
        <x:v>DuraVision Platinum UV</x:v>
      </x:c>
      <x:c r="L3238" s="40" t="n">
        <x:v>1149</x:v>
      </x:c>
      <x:c r="M3238" s="24"/>
      <x:c r="N3238" s="24"/>
      <x:c r="O3238" s="24"/>
      <x:c r="P3238" s="24"/>
      <x:c r="Q3238" s="24"/>
      <x:c r="R3238" s="24"/>
      <x:c r="S3238" s="26" t="n">
        <x:v>46113</x:v>
      </x:c>
      <x:c r="T3238" s="26"/>
      <x:c r="U3238" s="24" t="str">
        <x:v>ATIVA/SEM FIM INFORMADO</x:v>
      </x:c>
      <x:c r="V3238" s="24"/>
      <x:c r="W3238" s="24" t="n">
        <x:v>21</x:v>
      </x:c>
      <x:c r="X3238" s="24" t="str">
        <x:v>tabela_zeiss.pdf</x:v>
      </x:c>
      <x:c r="Y3238" s="24" t="str">
        <x:v>alta</x:v>
      </x:c>
      <x:c r="Z3238" s="24"/>
      <x:c r="AA3238" s="24" t="str">
        <x:v>ZEISS|Lentes Prontas|Pronta|ClearView||Poli||DuraVision Platinum UV|||||||21</x:v>
      </x:c>
    </x:row>
    <x:row r="3239">
      <x:c r="A3239" s="24" t="str">
        <x:v>ZS-6960D43BB1A2</x:v>
      </x:c>
      <x:c r="B3239" s="24" t="str">
        <x:v>SIM</x:v>
      </x:c>
      <x:c r="C3239" s="24" t="str">
        <x:v>DISPONÍVEL</x:v>
      </x:c>
      <x:c r="D3239" s="24" t="str">
        <x:v>ZEISS</x:v>
      </x:c>
      <x:c r="E3239" s="24" t="str">
        <x:v>Lentes Prontas</x:v>
      </x:c>
      <x:c r="F3239" s="24" t="str">
        <x:v>Pronta</x:v>
      </x:c>
      <x:c r="G3239" s="24" t="str">
        <x:v>ClearView</x:v>
      </x:c>
      <x:c r="H3239" s="24"/>
      <x:c r="I3239" s="24" t="str">
        <x:v>Poli</x:v>
      </x:c>
      <x:c r="J3239" s="24"/>
      <x:c r="K3239" s="24" t="str">
        <x:v>DuraVision Silver UV</x:v>
      </x:c>
      <x:c r="L3239" s="40" t="n">
        <x:v>886</x:v>
      </x:c>
      <x:c r="M3239" s="24"/>
      <x:c r="N3239" s="24"/>
      <x:c r="O3239" s="24"/>
      <x:c r="P3239" s="24"/>
      <x:c r="Q3239" s="24"/>
      <x:c r="R3239" s="24"/>
      <x:c r="S3239" s="26" t="n">
        <x:v>46113</x:v>
      </x:c>
      <x:c r="T3239" s="26"/>
      <x:c r="U3239" s="24" t="str">
        <x:v>ATIVA/SEM FIM INFORMADO</x:v>
      </x:c>
      <x:c r="V3239" s="24"/>
      <x:c r="W3239" s="24" t="n">
        <x:v>21</x:v>
      </x:c>
      <x:c r="X3239" s="24" t="str">
        <x:v>tabela_zeiss.pdf</x:v>
      </x:c>
      <x:c r="Y3239" s="24" t="str">
        <x:v>alta</x:v>
      </x:c>
      <x:c r="Z3239" s="24"/>
      <x:c r="AA3239" s="24" t="str">
        <x:v>ZEISS|Lentes Prontas|Pronta|ClearView||Poli||DuraVision Silver UV|||||||21</x:v>
      </x:c>
    </x:row>
    <x:row r="3240">
      <x:c r="A3240" s="24" t="str">
        <x:v>ZS-F1521651F4E3</x:v>
      </x:c>
      <x:c r="B3240" s="24" t="str">
        <x:v>SIM</x:v>
      </x:c>
      <x:c r="C3240" s="24" t="str">
        <x:v>DISPONÍVEL</x:v>
      </x:c>
      <x:c r="D3240" s="24" t="str">
        <x:v>ZEISS</x:v>
      </x:c>
      <x:c r="E3240" s="24" t="str">
        <x:v>Lentes Prontas</x:v>
      </x:c>
      <x:c r="F3240" s="24" t="str">
        <x:v>Pronta</x:v>
      </x:c>
      <x:c r="G3240" s="24" t="str">
        <x:v>ClearView</x:v>
      </x:c>
      <x:c r="H3240" s="24"/>
      <x:c r="I3240" s="24" t="str">
        <x:v>Poli</x:v>
      </x:c>
      <x:c r="J3240" s="24"/>
      <x:c r="K3240" s="24" t="str">
        <x:v>DuraVision Chrome UV</x:v>
      </x:c>
      <x:c r="L3240" s="40" t="n">
        <x:v>699</x:v>
      </x:c>
      <x:c r="M3240" s="24"/>
      <x:c r="N3240" s="24"/>
      <x:c r="O3240" s="24"/>
      <x:c r="P3240" s="24"/>
      <x:c r="Q3240" s="24"/>
      <x:c r="R3240" s="24"/>
      <x:c r="S3240" s="26" t="n">
        <x:v>46113</x:v>
      </x:c>
      <x:c r="T3240" s="26"/>
      <x:c r="U3240" s="24" t="str">
        <x:v>ATIVA/SEM FIM INFORMADO</x:v>
      </x:c>
      <x:c r="V3240" s="24"/>
      <x:c r="W3240" s="24" t="n">
        <x:v>21</x:v>
      </x:c>
      <x:c r="X3240" s="24" t="str">
        <x:v>tabela_zeiss.pdf</x:v>
      </x:c>
      <x:c r="Y3240" s="24" t="str">
        <x:v>alta</x:v>
      </x:c>
      <x:c r="Z3240" s="24"/>
      <x:c r="AA3240" s="24" t="str">
        <x:v>ZEISS|Lentes Prontas|Pronta|ClearView||Poli||DuraVision Chrome UV|||||||21</x:v>
      </x:c>
    </x:row>
    <x:row r="3241">
      <x:c r="A3241" s="24" t="str">
        <x:v>ZS-D815AC80E79C</x:v>
      </x:c>
      <x:c r="B3241" s="24" t="str">
        <x:v>SIM</x:v>
      </x:c>
      <x:c r="C3241" s="24" t="str">
        <x:v>DISPONÍVEL</x:v>
      </x:c>
      <x:c r="D3241" s="24" t="str">
        <x:v>ZEISS</x:v>
      </x:c>
      <x:c r="E3241" s="24" t="str">
        <x:v>Lentes Prontas</x:v>
      </x:c>
      <x:c r="F3241" s="24" t="str">
        <x:v>Pronta</x:v>
      </x:c>
      <x:c r="G3241" s="24" t="str">
        <x:v>ClearView</x:v>
      </x:c>
      <x:c r="H3241" s="24"/>
      <x:c r="I3241" s="24" t="str">
        <x:v>1.6</x:v>
      </x:c>
      <x:c r="J3241" s="24" t="str">
        <x:v>1.60</x:v>
      </x:c>
      <x:c r="K3241" s="24" t="str">
        <x:v>DuraVision Gold UV</x:v>
      </x:c>
      <x:c r="L3241" s="40" t="n">
        <x:v>1357</x:v>
      </x:c>
      <x:c r="M3241" s="24"/>
      <x:c r="N3241" s="24"/>
      <x:c r="O3241" s="24"/>
      <x:c r="P3241" s="24"/>
      <x:c r="Q3241" s="24"/>
      <x:c r="R3241" s="24"/>
      <x:c r="S3241" s="26" t="n">
        <x:v>46113</x:v>
      </x:c>
      <x:c r="T3241" s="26"/>
      <x:c r="U3241" s="24" t="str">
        <x:v>ATIVA/SEM FIM INFORMADO</x:v>
      </x:c>
      <x:c r="V3241" s="24"/>
      <x:c r="W3241" s="24" t="n">
        <x:v>21</x:v>
      </x:c>
      <x:c r="X3241" s="24" t="str">
        <x:v>tabela_zeiss.pdf</x:v>
      </x:c>
      <x:c r="Y3241" s="24" t="str">
        <x:v>alta</x:v>
      </x:c>
      <x:c r="Z3241" s="24"/>
      <x:c r="AA3241" s="24" t="str">
        <x:v>ZEISS|Lentes Prontas|Pronta|ClearView||1.6|1.60|DuraVision Gold UV|||||||21</x:v>
      </x:c>
    </x:row>
    <x:row r="3242">
      <x:c r="A3242" s="24" t="str">
        <x:v>ZS-6DE8D0102FAD</x:v>
      </x:c>
      <x:c r="B3242" s="24" t="str">
        <x:v>SIM</x:v>
      </x:c>
      <x:c r="C3242" s="24" t="str">
        <x:v>DISPONÍVEL</x:v>
      </x:c>
      <x:c r="D3242" s="24" t="str">
        <x:v>ZEISS</x:v>
      </x:c>
      <x:c r="E3242" s="24" t="str">
        <x:v>Lentes Prontas</x:v>
      </x:c>
      <x:c r="F3242" s="24" t="str">
        <x:v>Pronta</x:v>
      </x:c>
      <x:c r="G3242" s="24" t="str">
        <x:v>ClearView</x:v>
      </x:c>
      <x:c r="H3242" s="24"/>
      <x:c r="I3242" s="24" t="str">
        <x:v>1.6</x:v>
      </x:c>
      <x:c r="J3242" s="24" t="str">
        <x:v>1.60</x:v>
      </x:c>
      <x:c r="K3242" s="24" t="str">
        <x:v>DuraVision Platinum UV</x:v>
      </x:c>
      <x:c r="L3242" s="40" t="n">
        <x:v>1269</x:v>
      </x:c>
      <x:c r="M3242" s="24"/>
      <x:c r="N3242" s="24"/>
      <x:c r="O3242" s="24"/>
      <x:c r="P3242" s="24"/>
      <x:c r="Q3242" s="24"/>
      <x:c r="R3242" s="24"/>
      <x:c r="S3242" s="26" t="n">
        <x:v>46113</x:v>
      </x:c>
      <x:c r="T3242" s="26"/>
      <x:c r="U3242" s="24" t="str">
        <x:v>ATIVA/SEM FIM INFORMADO</x:v>
      </x:c>
      <x:c r="V3242" s="24"/>
      <x:c r="W3242" s="24" t="n">
        <x:v>21</x:v>
      </x:c>
      <x:c r="X3242" s="24" t="str">
        <x:v>tabela_zeiss.pdf</x:v>
      </x:c>
      <x:c r="Y3242" s="24" t="str">
        <x:v>alta</x:v>
      </x:c>
      <x:c r="Z3242" s="24"/>
      <x:c r="AA3242" s="24" t="str">
        <x:v>ZEISS|Lentes Prontas|Pronta|ClearView||1.6|1.60|DuraVision Platinum UV|||||||21</x:v>
      </x:c>
    </x:row>
    <x:row r="3243">
      <x:c r="A3243" s="24" t="str">
        <x:v>ZS-D25C192F9AA3</x:v>
      </x:c>
      <x:c r="B3243" s="24" t="str">
        <x:v>SIM</x:v>
      </x:c>
      <x:c r="C3243" s="24" t="str">
        <x:v>DISPONÍVEL</x:v>
      </x:c>
      <x:c r="D3243" s="24" t="str">
        <x:v>ZEISS</x:v>
      </x:c>
      <x:c r="E3243" s="24" t="str">
        <x:v>Lentes Prontas</x:v>
      </x:c>
      <x:c r="F3243" s="24" t="str">
        <x:v>Pronta</x:v>
      </x:c>
      <x:c r="G3243" s="24" t="str">
        <x:v>ClearView</x:v>
      </x:c>
      <x:c r="H3243" s="24"/>
      <x:c r="I3243" s="24" t="str">
        <x:v>1.6</x:v>
      </x:c>
      <x:c r="J3243" s="24" t="str">
        <x:v>1.60</x:v>
      </x:c>
      <x:c r="K3243" s="24" t="str">
        <x:v>DuraVision Silver UV</x:v>
      </x:c>
      <x:c r="L3243" s="40" t="n">
        <x:v>1090</x:v>
      </x:c>
      <x:c r="M3243" s="24"/>
      <x:c r="N3243" s="24"/>
      <x:c r="O3243" s="24"/>
      <x:c r="P3243" s="24"/>
      <x:c r="Q3243" s="24"/>
      <x:c r="R3243" s="24"/>
      <x:c r="S3243" s="26" t="n">
        <x:v>46113</x:v>
      </x:c>
      <x:c r="T3243" s="26"/>
      <x:c r="U3243" s="24" t="str">
        <x:v>ATIVA/SEM FIM INFORMADO</x:v>
      </x:c>
      <x:c r="V3243" s="24"/>
      <x:c r="W3243" s="24" t="n">
        <x:v>21</x:v>
      </x:c>
      <x:c r="X3243" s="24" t="str">
        <x:v>tabela_zeiss.pdf</x:v>
      </x:c>
      <x:c r="Y3243" s="24" t="str">
        <x:v>alta</x:v>
      </x:c>
      <x:c r="Z3243" s="24"/>
      <x:c r="AA3243" s="24" t="str">
        <x:v>ZEISS|Lentes Prontas|Pronta|ClearView||1.6|1.60|DuraVision Silver UV|||||||21</x:v>
      </x:c>
    </x:row>
    <x:row r="3244">
      <x:c r="A3244" s="24" t="str">
        <x:v>ZS-95FE91FCECA9</x:v>
      </x:c>
      <x:c r="B3244" s="24" t="str">
        <x:v>SIM</x:v>
      </x:c>
      <x:c r="C3244" s="24" t="str">
        <x:v>DISPONÍVEL</x:v>
      </x:c>
      <x:c r="D3244" s="24" t="str">
        <x:v>ZEISS</x:v>
      </x:c>
      <x:c r="E3244" s="24" t="str">
        <x:v>Lentes Prontas</x:v>
      </x:c>
      <x:c r="F3244" s="24" t="str">
        <x:v>Pronta</x:v>
      </x:c>
      <x:c r="G3244" s="24" t="str">
        <x:v>ClearView</x:v>
      </x:c>
      <x:c r="H3244" s="24"/>
      <x:c r="I3244" s="24" t="str">
        <x:v>1.6</x:v>
      </x:c>
      <x:c r="J3244" s="24" t="str">
        <x:v>1.60</x:v>
      </x:c>
      <x:c r="K3244" s="24" t="str">
        <x:v>DuraVision Chrome UV</x:v>
      </x:c>
      <x:c r="L3244" s="40" t="n">
        <x:v>899</x:v>
      </x:c>
      <x:c r="M3244" s="24"/>
      <x:c r="N3244" s="24"/>
      <x:c r="O3244" s="24"/>
      <x:c r="P3244" s="24"/>
      <x:c r="Q3244" s="24"/>
      <x:c r="R3244" s="24"/>
      <x:c r="S3244" s="26" t="n">
        <x:v>46113</x:v>
      </x:c>
      <x:c r="T3244" s="26"/>
      <x:c r="U3244" s="24" t="str">
        <x:v>ATIVA/SEM FIM INFORMADO</x:v>
      </x:c>
      <x:c r="V3244" s="24"/>
      <x:c r="W3244" s="24" t="n">
        <x:v>21</x:v>
      </x:c>
      <x:c r="X3244" s="24" t="str">
        <x:v>tabela_zeiss.pdf</x:v>
      </x:c>
      <x:c r="Y3244" s="24" t="str">
        <x:v>alta</x:v>
      </x:c>
      <x:c r="Z3244" s="24"/>
      <x:c r="AA3244" s="24" t="str">
        <x:v>ZEISS|Lentes Prontas|Pronta|ClearView||1.6|1.60|DuraVision Chrome UV|||||||21</x:v>
      </x:c>
    </x:row>
    <x:row r="3245">
      <x:c r="A3245" s="24" t="str">
        <x:v>ZS-D9E36F616E63</x:v>
      </x:c>
      <x:c r="B3245" s="24" t="str">
        <x:v>SIM</x:v>
      </x:c>
      <x:c r="C3245" s="24" t="str">
        <x:v>DISPONÍVEL</x:v>
      </x:c>
      <x:c r="D3245" s="24" t="str">
        <x:v>ZEISS</x:v>
      </x:c>
      <x:c r="E3245" s="24" t="str">
        <x:v>Lentes Prontas</x:v>
      </x:c>
      <x:c r="F3245" s="24" t="str">
        <x:v>Pronta</x:v>
      </x:c>
      <x:c r="G3245" s="24" t="str">
        <x:v>ClearView</x:v>
      </x:c>
      <x:c r="H3245" s="24"/>
      <x:c r="I3245" s="24" t="str">
        <x:v>1.67</x:v>
      </x:c>
      <x:c r="J3245" s="24" t="str">
        <x:v>1.67</x:v>
      </x:c>
      <x:c r="K3245" s="24" t="str">
        <x:v>DuraVision Gold UV</x:v>
      </x:c>
      <x:c r="L3245" s="40" t="n">
        <x:v>1672</x:v>
      </x:c>
      <x:c r="M3245" s="24"/>
      <x:c r="N3245" s="24"/>
      <x:c r="O3245" s="24"/>
      <x:c r="P3245" s="24"/>
      <x:c r="Q3245" s="24"/>
      <x:c r="R3245" s="24"/>
      <x:c r="S3245" s="26" t="n">
        <x:v>46113</x:v>
      </x:c>
      <x:c r="T3245" s="26"/>
      <x:c r="U3245" s="24" t="str">
        <x:v>ATIVA/SEM FIM INFORMADO</x:v>
      </x:c>
      <x:c r="V3245" s="24"/>
      <x:c r="W3245" s="24" t="n">
        <x:v>21</x:v>
      </x:c>
      <x:c r="X3245" s="24" t="str">
        <x:v>tabela_zeiss.pdf</x:v>
      </x:c>
      <x:c r="Y3245" s="24" t="str">
        <x:v>alta</x:v>
      </x:c>
      <x:c r="Z3245" s="24"/>
      <x:c r="AA3245" s="24" t="str">
        <x:v>ZEISS|Lentes Prontas|Pronta|ClearView||1.67|1.67|DuraVision Gold UV|||||||21</x:v>
      </x:c>
    </x:row>
    <x:row r="3246">
      <x:c r="A3246" s="24" t="str">
        <x:v>ZS-95B57D901DB6</x:v>
      </x:c>
      <x:c r="B3246" s="24" t="str">
        <x:v>SIM</x:v>
      </x:c>
      <x:c r="C3246" s="24" t="str">
        <x:v>DISPONÍVEL</x:v>
      </x:c>
      <x:c r="D3246" s="24" t="str">
        <x:v>ZEISS</x:v>
      </x:c>
      <x:c r="E3246" s="24" t="str">
        <x:v>Lentes Prontas</x:v>
      </x:c>
      <x:c r="F3246" s="24" t="str">
        <x:v>Pronta</x:v>
      </x:c>
      <x:c r="G3246" s="24" t="str">
        <x:v>ClearView</x:v>
      </x:c>
      <x:c r="H3246" s="24"/>
      <x:c r="I3246" s="24" t="str">
        <x:v>1.67</x:v>
      </x:c>
      <x:c r="J3246" s="24" t="str">
        <x:v>1.67</x:v>
      </x:c>
      <x:c r="K3246" s="24" t="str">
        <x:v>DuraVision Platinum UV</x:v>
      </x:c>
      <x:c r="L3246" s="40" t="n">
        <x:v>1605</x:v>
      </x:c>
      <x:c r="M3246" s="24"/>
      <x:c r="N3246" s="24"/>
      <x:c r="O3246" s="24"/>
      <x:c r="P3246" s="24"/>
      <x:c r="Q3246" s="24"/>
      <x:c r="R3246" s="24"/>
      <x:c r="S3246" s="26" t="n">
        <x:v>46113</x:v>
      </x:c>
      <x:c r="T3246" s="26"/>
      <x:c r="U3246" s="24" t="str">
        <x:v>ATIVA/SEM FIM INFORMADO</x:v>
      </x:c>
      <x:c r="V3246" s="24"/>
      <x:c r="W3246" s="24" t="n">
        <x:v>21</x:v>
      </x:c>
      <x:c r="X3246" s="24" t="str">
        <x:v>tabela_zeiss.pdf</x:v>
      </x:c>
      <x:c r="Y3246" s="24" t="str">
        <x:v>alta</x:v>
      </x:c>
      <x:c r="Z3246" s="24"/>
      <x:c r="AA3246" s="24" t="str">
        <x:v>ZEISS|Lentes Prontas|Pronta|ClearView||1.67|1.67|DuraVision Platinum UV|||||||21</x:v>
      </x:c>
    </x:row>
    <x:row r="3247">
      <x:c r="A3247" s="24" t="str">
        <x:v>ZS-AE7441DD1930</x:v>
      </x:c>
      <x:c r="B3247" s="24" t="str">
        <x:v>SIM</x:v>
      </x:c>
      <x:c r="C3247" s="24" t="str">
        <x:v>DISPONÍVEL</x:v>
      </x:c>
      <x:c r="D3247" s="24" t="str">
        <x:v>ZEISS</x:v>
      </x:c>
      <x:c r="E3247" s="24" t="str">
        <x:v>Lentes Prontas</x:v>
      </x:c>
      <x:c r="F3247" s="24" t="str">
        <x:v>Pronta</x:v>
      </x:c>
      <x:c r="G3247" s="24" t="str">
        <x:v>ClearView</x:v>
      </x:c>
      <x:c r="H3247" s="24"/>
      <x:c r="I3247" s="24" t="str">
        <x:v>1.67</x:v>
      </x:c>
      <x:c r="J3247" s="24" t="str">
        <x:v>1.67</x:v>
      </x:c>
      <x:c r="K3247" s="24" t="str">
        <x:v>DuraVision Silver UV</x:v>
      </x:c>
      <x:c r="L3247" s="40" t="n">
        <x:v>1420</x:v>
      </x:c>
      <x:c r="M3247" s="24"/>
      <x:c r="N3247" s="24"/>
      <x:c r="O3247" s="24"/>
      <x:c r="P3247" s="24"/>
      <x:c r="Q3247" s="24"/>
      <x:c r="R3247" s="24"/>
      <x:c r="S3247" s="26" t="n">
        <x:v>46113</x:v>
      </x:c>
      <x:c r="T3247" s="26"/>
      <x:c r="U3247" s="24" t="str">
        <x:v>ATIVA/SEM FIM INFORMADO</x:v>
      </x:c>
      <x:c r="V3247" s="24"/>
      <x:c r="W3247" s="24" t="n">
        <x:v>21</x:v>
      </x:c>
      <x:c r="X3247" s="24" t="str">
        <x:v>tabela_zeiss.pdf</x:v>
      </x:c>
      <x:c r="Y3247" s="24" t="str">
        <x:v>alta</x:v>
      </x:c>
      <x:c r="Z3247" s="24"/>
      <x:c r="AA3247" s="24" t="str">
        <x:v>ZEISS|Lentes Prontas|Pronta|ClearView||1.67|1.67|DuraVision Silver UV|||||||21</x:v>
      </x:c>
    </x:row>
    <x:row r="3248">
      <x:c r="A3248" s="24" t="str">
        <x:v>ZS-CE150AAA205B</x:v>
      </x:c>
      <x:c r="B3248" s="24" t="str">
        <x:v>SIM</x:v>
      </x:c>
      <x:c r="C3248" s="24" t="str">
        <x:v>DISPONÍVEL</x:v>
      </x:c>
      <x:c r="D3248" s="24" t="str">
        <x:v>ZEISS</x:v>
      </x:c>
      <x:c r="E3248" s="24" t="str">
        <x:v>Lentes Prontas</x:v>
      </x:c>
      <x:c r="F3248" s="24" t="str">
        <x:v>Pronta</x:v>
      </x:c>
      <x:c r="G3248" s="24" t="str">
        <x:v>ClearView</x:v>
      </x:c>
      <x:c r="H3248" s="24"/>
      <x:c r="I3248" s="24" t="str">
        <x:v>1.74</x:v>
      </x:c>
      <x:c r="J3248" s="24" t="str">
        <x:v>1.74</x:v>
      </x:c>
      <x:c r="K3248" s="24" t="str">
        <x:v>DuraVision Gold UV</x:v>
      </x:c>
      <x:c r="L3248" s="40" t="n">
        <x:v>2292</x:v>
      </x:c>
      <x:c r="M3248" s="24"/>
      <x:c r="N3248" s="24"/>
      <x:c r="O3248" s="24"/>
      <x:c r="P3248" s="24"/>
      <x:c r="Q3248" s="24"/>
      <x:c r="R3248" s="24"/>
      <x:c r="S3248" s="26" t="n">
        <x:v>46113</x:v>
      </x:c>
      <x:c r="T3248" s="26"/>
      <x:c r="U3248" s="24" t="str">
        <x:v>ATIVA/SEM FIM INFORMADO</x:v>
      </x:c>
      <x:c r="V3248" s="24"/>
      <x:c r="W3248" s="24" t="n">
        <x:v>21</x:v>
      </x:c>
      <x:c r="X3248" s="24" t="str">
        <x:v>tabela_zeiss.pdf</x:v>
      </x:c>
      <x:c r="Y3248" s="24" t="str">
        <x:v>alta</x:v>
      </x:c>
      <x:c r="Z3248" s="24"/>
      <x:c r="AA3248" s="24" t="str">
        <x:v>ZEISS|Lentes Prontas|Pronta|ClearView||1.74|1.74|DuraVision Gold UV|||||||21</x:v>
      </x:c>
    </x:row>
    <x:row r="3249">
      <x:c r="A3249" s="24" t="str">
        <x:v>ZS-1228EA4734C7</x:v>
      </x:c>
      <x:c r="B3249" s="24" t="str">
        <x:v>SIM</x:v>
      </x:c>
      <x:c r="C3249" s="24" t="str">
        <x:v>DISPONÍVEL</x:v>
      </x:c>
      <x:c r="D3249" s="24" t="str">
        <x:v>ZEISS</x:v>
      </x:c>
      <x:c r="E3249" s="24" t="str">
        <x:v>Lentes Prontas</x:v>
      </x:c>
      <x:c r="F3249" s="24" t="str">
        <x:v>Pronta</x:v>
      </x:c>
      <x:c r="G3249" s="24" t="str">
        <x:v>ClearView</x:v>
      </x:c>
      <x:c r="H3249" s="24"/>
      <x:c r="I3249" s="24" t="str">
        <x:v>1.74</x:v>
      </x:c>
      <x:c r="J3249" s="24" t="str">
        <x:v>1.74</x:v>
      </x:c>
      <x:c r="K3249" s="24" t="str">
        <x:v>DuraVision Platinum UV</x:v>
      </x:c>
      <x:c r="L3249" s="40" t="n">
        <x:v>2255</x:v>
      </x:c>
      <x:c r="M3249" s="24"/>
      <x:c r="N3249" s="24"/>
      <x:c r="O3249" s="24"/>
      <x:c r="P3249" s="24"/>
      <x:c r="Q3249" s="24"/>
      <x:c r="R3249" s="24"/>
      <x:c r="S3249" s="26" t="n">
        <x:v>46113</x:v>
      </x:c>
      <x:c r="T3249" s="26"/>
      <x:c r="U3249" s="24" t="str">
        <x:v>ATIVA/SEM FIM INFORMADO</x:v>
      </x:c>
      <x:c r="V3249" s="24"/>
      <x:c r="W3249" s="24" t="n">
        <x:v>21</x:v>
      </x:c>
      <x:c r="X3249" s="24" t="str">
        <x:v>tabela_zeiss.pdf</x:v>
      </x:c>
      <x:c r="Y3249" s="24" t="str">
        <x:v>alta</x:v>
      </x:c>
      <x:c r="Z3249" s="24"/>
      <x:c r="AA3249" s="24" t="str">
        <x:v>ZEISS|Lentes Prontas|Pronta|ClearView||1.74|1.74|DuraVision Platinum UV|||||||21</x:v>
      </x:c>
    </x:row>
    <x:row r="3250">
      <x:c r="A3250" s="24" t="str">
        <x:v>ZS-3240A3CD3954</x:v>
      </x:c>
      <x:c r="B3250" s="24" t="str">
        <x:v>SIM</x:v>
      </x:c>
      <x:c r="C3250" s="24" t="str">
        <x:v>DISPONÍVEL</x:v>
      </x:c>
      <x:c r="D3250" s="24" t="str">
        <x:v>ZEISS</x:v>
      </x:c>
      <x:c r="E3250" s="24" t="str">
        <x:v>Lentes Prontas</x:v>
      </x:c>
      <x:c r="F3250" s="24" t="str">
        <x:v>Pronta</x:v>
      </x:c>
      <x:c r="G3250" s="24" t="str">
        <x:v>ClearView</x:v>
      </x:c>
      <x:c r="H3250" s="24" t="str">
        <x:v>PhotoFusion X Extra Dark Cinza</x:v>
      </x:c>
      <x:c r="I3250" s="24" t="str">
        <x:v>1.5</x:v>
      </x:c>
      <x:c r="J3250" s="24" t="str">
        <x:v>1.50</x:v>
      </x:c>
      <x:c r="K3250" s="24" t="str">
        <x:v>DuraVision Platinum UV</x:v>
      </x:c>
      <x:c r="L3250" s="40" t="n">
        <x:v>1340</x:v>
      </x:c>
      <x:c r="M3250" s="24"/>
      <x:c r="N3250" s="24"/>
      <x:c r="O3250" s="24"/>
      <x:c r="P3250" s="24"/>
      <x:c r="Q3250" s="24"/>
      <x:c r="R3250" s="24"/>
      <x:c r="S3250" s="26" t="n">
        <x:v>46113</x:v>
      </x:c>
      <x:c r="T3250" s="26"/>
      <x:c r="U3250" s="24" t="str">
        <x:v>ATIVA/SEM FIM INFORMADO</x:v>
      </x:c>
      <x:c r="V3250" s="24" t="str">
        <x:v>Programa de Parcerias ZEISS</x:v>
      </x:c>
      <x:c r="W3250" s="24" t="n">
        <x:v>21</x:v>
      </x:c>
      <x:c r="X3250" s="24" t="str">
        <x:v>tabela_zeiss.pdf</x:v>
      </x:c>
      <x:c r="Y3250" s="24" t="str">
        <x:v>alta</x:v>
      </x:c>
      <x:c r="Z3250" s="24"/>
      <x:c r="AA3250" s="24" t="str">
        <x:v>ZEISS|Lentes Prontas|Pronta|ClearView|PhotoFusion X Extra Dark Cinza|1.5|1.50|DuraVision Platinum UV|||||||21</x:v>
      </x:c>
    </x:row>
    <x:row r="3251">
      <x:c r="A3251" s="24" t="str">
        <x:v>ZS-B48C8933CF5B</x:v>
      </x:c>
      <x:c r="B3251" s="24" t="str">
        <x:v>SIM</x:v>
      </x:c>
      <x:c r="C3251" s="24" t="str">
        <x:v>DISPONÍVEL</x:v>
      </x:c>
      <x:c r="D3251" s="24" t="str">
        <x:v>ZEISS</x:v>
      </x:c>
      <x:c r="E3251" s="24" t="str">
        <x:v>Lentes Prontas</x:v>
      </x:c>
      <x:c r="F3251" s="24" t="str">
        <x:v>Pronta</x:v>
      </x:c>
      <x:c r="G3251" s="24" t="str">
        <x:v>ClearView</x:v>
      </x:c>
      <x:c r="H3251" s="24" t="str">
        <x:v>PhotoFusion X</x:v>
      </x:c>
      <x:c r="I3251" s="24" t="str">
        <x:v>1.5</x:v>
      </x:c>
      <x:c r="J3251" s="24" t="str">
        <x:v>1.50</x:v>
      </x:c>
      <x:c r="K3251" s="24" t="str">
        <x:v>DuraVision Chrome UV</x:v>
      </x:c>
      <x:c r="L3251" s="40" t="n">
        <x:v>1049</x:v>
      </x:c>
      <x:c r="M3251" s="24"/>
      <x:c r="N3251" s="24"/>
      <x:c r="O3251" s="24"/>
      <x:c r="P3251" s="24"/>
      <x:c r="Q3251" s="24"/>
      <x:c r="R3251" s="24"/>
      <x:c r="S3251" s="26" t="n">
        <x:v>46113</x:v>
      </x:c>
      <x:c r="T3251" s="26"/>
      <x:c r="U3251" s="24" t="str">
        <x:v>ATIVA/SEM FIM INFORMADO</x:v>
      </x:c>
      <x:c r="V3251" s="24" t="str">
        <x:v>Programa de Parcerias ZEISS</x:v>
      </x:c>
      <x:c r="W3251" s="24" t="n">
        <x:v>21</x:v>
      </x:c>
      <x:c r="X3251" s="24" t="str">
        <x:v>tabela_zeiss.pdf</x:v>
      </x:c>
      <x:c r="Y3251" s="24" t="str">
        <x:v>alta</x:v>
      </x:c>
      <x:c r="Z3251" s="24"/>
      <x:c r="AA3251" s="24" t="str">
        <x:v>ZEISS|Lentes Prontas|Pronta|ClearView|PhotoFusion X|1.5|1.50|DuraVision Chrome UV|||||||21</x:v>
      </x:c>
    </x:row>
    <x:row r="3252">
      <x:c r="A3252" s="24" t="str">
        <x:v>ZS-5DDE1722D79F</x:v>
      </x:c>
      <x:c r="B3252" s="24" t="str">
        <x:v>SIM</x:v>
      </x:c>
      <x:c r="C3252" s="24" t="str">
        <x:v>DISPONÍVEL</x:v>
      </x:c>
      <x:c r="D3252" s="24" t="str">
        <x:v>ZEISS</x:v>
      </x:c>
      <x:c r="E3252" s="24" t="str">
        <x:v>Lentes Prontas</x:v>
      </x:c>
      <x:c r="F3252" s="24" t="str">
        <x:v>Pronta</x:v>
      </x:c>
      <x:c r="G3252" s="24" t="str">
        <x:v>ClearView</x:v>
      </x:c>
      <x:c r="H3252" s="24" t="str">
        <x:v>PhotoFusion X Extra Dark Cinza</x:v>
      </x:c>
      <x:c r="I3252" s="24" t="str">
        <x:v>1.60</x:v>
      </x:c>
      <x:c r="J3252" s="24" t="str">
        <x:v>1.60</x:v>
      </x:c>
      <x:c r="K3252" s="24" t="str">
        <x:v>DuraVision Platinum UV</x:v>
      </x:c>
      <x:c r="L3252" s="40" t="n">
        <x:v>1539</x:v>
      </x:c>
      <x:c r="M3252" s="24"/>
      <x:c r="N3252" s="24"/>
      <x:c r="O3252" s="24"/>
      <x:c r="P3252" s="24"/>
      <x:c r="Q3252" s="24"/>
      <x:c r="R3252" s="24"/>
      <x:c r="S3252" s="26" t="n">
        <x:v>46113</x:v>
      </x:c>
      <x:c r="T3252" s="26"/>
      <x:c r="U3252" s="24" t="str">
        <x:v>ATIVA/SEM FIM INFORMADO</x:v>
      </x:c>
      <x:c r="V3252" s="24" t="str">
        <x:v>Programa de Parcerias ZEISS</x:v>
      </x:c>
      <x:c r="W3252" s="24" t="n">
        <x:v>21</x:v>
      </x:c>
      <x:c r="X3252" s="24" t="str">
        <x:v>tabela_zeiss.pdf</x:v>
      </x:c>
      <x:c r="Y3252" s="24" t="str">
        <x:v>alta</x:v>
      </x:c>
      <x:c r="Z3252" s="24"/>
      <x:c r="AA3252" s="24" t="str">
        <x:v>ZEISS|Lentes Prontas|Pronta|ClearView|PhotoFusion X Extra Dark Cinza|1.60|1.60|DuraVision Platinum UV|||||||21</x:v>
      </x:c>
    </x:row>
    <x:row r="3253">
      <x:c r="A3253" s="24" t="str">
        <x:v>ZS-023423772D3C</x:v>
      </x:c>
      <x:c r="B3253" s="24" t="str">
        <x:v>SIM</x:v>
      </x:c>
      <x:c r="C3253" s="24" t="str">
        <x:v>DISPONÍVEL</x:v>
      </x:c>
      <x:c r="D3253" s="24" t="str">
        <x:v>ZEISS</x:v>
      </x:c>
      <x:c r="E3253" s="24" t="str">
        <x:v>Lentes Prontas</x:v>
      </x:c>
      <x:c r="F3253" s="24" t="str">
        <x:v>Pronta</x:v>
      </x:c>
      <x:c r="G3253" s="24" t="str">
        <x:v>ClassicPlus</x:v>
      </x:c>
      <x:c r="H3253" s="24"/>
      <x:c r="I3253" s="24" t="str">
        <x:v>1.5</x:v>
      </x:c>
      <x:c r="J3253" s="24" t="str">
        <x:v>1.50</x:v>
      </x:c>
      <x:c r="K3253" s="24" t="str">
        <x:v>DuraVision Chrome UV</x:v>
      </x:c>
      <x:c r="L3253" s="40" t="n">
        <x:v>279</x:v>
      </x:c>
      <x:c r="M3253" s="24" t="str">
        <x:v>+0.25 a +4.00 / 0.00 a -4.00</x:v>
      </x:c>
      <x:c r="N3253" s="24" t="str">
        <x:v>-2.00</x:v>
      </x:c>
      <x:c r="O3253" s="24"/>
      <x:c r="P3253" s="24" t="str">
        <x:v>65/75mm</x:v>
      </x:c>
      <x:c r="Q3253" s="24"/>
      <x:c r="R3253" s="24"/>
      <x:c r="S3253" s="26" t="n">
        <x:v>46113</x:v>
      </x:c>
      <x:c r="T3253" s="26"/>
      <x:c r="U3253" s="24" t="str">
        <x:v>ATIVA/SEM FIM INFORMADO</x:v>
      </x:c>
      <x:c r="V3253" s="24"/>
      <x:c r="W3253" s="24" t="n">
        <x:v>25</x:v>
      </x:c>
      <x:c r="X3253" s="24" t="str">
        <x:v>tabela_zeiss.pdf</x:v>
      </x:c>
      <x:c r="Y3253" s="24" t="str">
        <x:v>alta</x:v>
      </x:c>
      <x:c r="Z3253" s="24"/>
      <x:c r="AA3253" s="24" t="str">
        <x:v>ZEISS|Lentes Prontas|Pronta|ClassicPlus||1.5|1.50|DuraVision Chrome UV|+0.25 a +4.00 / 0.00 a -4.00|-2.00||65/75mm|||25</x:v>
      </x:c>
    </x:row>
    <x:row r="3254">
      <x:c r="A3254" s="24" t="str">
        <x:v>ZS-50C641763D78</x:v>
      </x:c>
      <x:c r="B3254" s="24" t="str">
        <x:v>SIM</x:v>
      </x:c>
      <x:c r="C3254" s="24" t="str">
        <x:v>DISPONÍVEL</x:v>
      </x:c>
      <x:c r="D3254" s="24" t="str">
        <x:v>ZEISS</x:v>
      </x:c>
      <x:c r="E3254" s="24" t="str">
        <x:v>Lentes Prontas</x:v>
      </x:c>
      <x:c r="F3254" s="24" t="str">
        <x:v>Pronta</x:v>
      </x:c>
      <x:c r="G3254" s="24" t="str">
        <x:v>ClassicPlus</x:v>
      </x:c>
      <x:c r="H3254" s="24"/>
      <x:c r="I3254" s="24" t="str">
        <x:v>Poli</x:v>
      </x:c>
      <x:c r="J3254" s="24"/>
      <x:c r="K3254" s="24" t="str">
        <x:v>DuraVision Chrome UV</x:v>
      </x:c>
      <x:c r="L3254" s="40" t="n">
        <x:v>399</x:v>
      </x:c>
      <x:c r="M3254" s="24" t="str">
        <x:v>+0.25 a +4.00 / 0.00 a -6.00</x:v>
      </x:c>
      <x:c r="N3254" s="24" t="str">
        <x:v>-2.00</x:v>
      </x:c>
      <x:c r="O3254" s="24"/>
      <x:c r="P3254" s="24" t="str">
        <x:v>65/75mm</x:v>
      </x:c>
      <x:c r="Q3254" s="24"/>
      <x:c r="R3254" s="24"/>
      <x:c r="S3254" s="26" t="n">
        <x:v>46113</x:v>
      </x:c>
      <x:c r="T3254" s="26"/>
      <x:c r="U3254" s="24" t="str">
        <x:v>ATIVA/SEM FIM INFORMADO</x:v>
      </x:c>
      <x:c r="V3254" s="24"/>
      <x:c r="W3254" s="24" t="n">
        <x:v>25</x:v>
      </x:c>
      <x:c r="X3254" s="24" t="str">
        <x:v>tabela_zeiss.pdf</x:v>
      </x:c>
      <x:c r="Y3254" s="24" t="str">
        <x:v>alta</x:v>
      </x:c>
      <x:c r="Z3254" s="24"/>
      <x:c r="AA3254" s="24" t="str">
        <x:v>ZEISS|Lentes Prontas|Pronta|ClassicPlus||Poli||DuraVision Chrome UV|+0.25 a +4.00 / 0.00 a -6.00|-2.00||65/75mm|||25</x:v>
      </x:c>
    </x:row>
  </x:sheetData>
  <x:conditionalFormatting sqref="B2:B3254">
    <x:cfRule type="expression" dxfId="3" priority="1">
      <x:formula>B2="NÃO"</x:formula>
    </x:cfRule>
    <x:cfRule type="expression" dxfId="4" priority="2">
      <x:formula>B2="SIM"</x:formula>
    </x:cfRule>
  </x:conditionalFormatting>
  <x:conditionalFormatting sqref="C2:C3254">
    <x:cfRule type="expression" dxfId="5" priority="3">
      <x:formula>C2="EM BREVE"</x:formula>
    </x:cfRule>
    <x:cfRule type="expression" dxfId="6" priority="4">
      <x:formula>C2="ESTOQUE LIMITADO"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0b64e00eda2434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6" hidden="0" customWidth="1"/>
    <x:col min="5" max="5" width="38" hidden="0" customWidth="1"/>
    <x:col min="6" max="6" width="28" hidden="0" customWidth="1"/>
    <x:col min="7" max="7" width="24" hidden="0" customWidth="1"/>
    <x:col min="8" max="8" width="10" hidden="0" customWidth="1"/>
    <x:col min="9" max="9" width="34" hidden="0" customWidth="1"/>
    <x:col min="10" max="10" width="15" hidden="0" customWidth="1"/>
    <x:col min="11" max="11" width="22" hidden="0" customWidth="1"/>
    <x:col min="12" max="12" width="16" hidden="0" customWidth="1"/>
    <x:col min="13" max="13" width="17" hidden="0" customWidth="1"/>
    <x:col min="14" max="14" width="16" hidden="0" customWidth="1"/>
    <x:col min="15" max="15" width="14" hidden="0" customWidth="1"/>
    <x:col min="16" max="16" width="12" hidden="0" customWidth="1"/>
    <x:col min="17" max="17" width="20" hidden="0" customWidth="1"/>
    <x:col min="18" max="18" width="38" hidden="0" customWidth="1"/>
    <x:col min="19" max="19" width="12" hidden="0" customWidth="1"/>
    <x:col min="20" max="20" width="26" hidden="0" customWidth="1"/>
    <x:col min="21" max="21" width="75" hidden="0" customWidth="1"/>
  </x:cols>
  <x:sheetData>
    <x:row r="1" ht="30" customHeight="1">
      <x:c r="A1" s="31" t="str">
        <x:v>SKU_ID</x:v>
      </x:c>
      <x:c r="B1" s="31" t="str">
        <x:v>Marca</x:v>
      </x:c>
      <x:c r="C1" s="31" t="str">
        <x:v>Categoria</x:v>
      </x:c>
      <x:c r="D1" s="31" t="str">
        <x:v>Tipo_Lente</x:v>
      </x:c>
      <x:c r="E1" s="31" t="str">
        <x:v>Produto</x:v>
      </x:c>
      <x:c r="F1" s="31" t="str">
        <x:v>Opcao</x:v>
      </x:c>
      <x:c r="G1" s="31" t="str">
        <x:v>Material</x:v>
      </x:c>
      <x:c r="H1" s="31" t="str">
        <x:v>Indice</x:v>
      </x:c>
      <x:c r="I1" s="31" t="str">
        <x:v>Tratamento</x:v>
      </x:c>
      <x:c r="J1" s="31" t="str">
        <x:v>Preco_Par_R$</x:v>
      </x:c>
      <x:c r="K1" s="31" t="str">
        <x:v>Esferico</x:v>
      </x:c>
      <x:c r="L1" s="31" t="str">
        <x:v>Cilindro</x:v>
      </x:c>
      <x:c r="M1" s="31" t="str">
        <x:v>Adicao</x:v>
      </x:c>
      <x:c r="N1" s="31" t="str">
        <x:v>Diametro</x:v>
      </x:c>
      <x:c r="O1" s="31" t="str">
        <x:v>Altura_Min</x:v>
      </x:c>
      <x:c r="P1" s="31" t="str">
        <x:v>Curva</x:v>
      </x:c>
      <x:c r="Q1" s="31" t="str">
        <x:v>Status_Disponibilidade</x:v>
      </x:c>
      <x:c r="R1" s="31" t="str">
        <x:v>Restricao_Comercial</x:v>
      </x:c>
      <x:c r="S1" s="31" t="str">
        <x:v>Pagina_Fonte</x:v>
      </x:c>
      <x:c r="T1" s="31" t="str">
        <x:v>Arquivo_Fonte</x:v>
      </x:c>
      <x:c r="U1" s="31" t="str">
        <x:v>Chave_Configuracao</x:v>
      </x:c>
    </x:row>
    <x:row r="2">
      <x:c r="A2" s="24" t="str">
        <x:v>HY-3AE6539B67D4</x:v>
      </x:c>
      <x:c r="B2" s="24" t="str">
        <x:v>HOYA</x:v>
      </x:c>
      <x:c r="C2" s="24" t="str">
        <x:v>Visão Simples</x:v>
      </x:c>
      <x:c r="D2" s="24" t="str">
        <x:v>Surfaçada</x:v>
      </x:c>
      <x:c r="E2" s="24" t="str">
        <x:v>Nulux iDentity V+</x:v>
      </x:c>
      <x:c r="F2" s="24" t="str">
        <x:v>INCOLOR</x:v>
      </x:c>
      <x:c r="G2" s="24" t="str">
        <x:v>EYVIA</x:v>
      </x:c>
      <x:c r="H2" s="24" t="str">
        <x:v>1.74</x:v>
      </x:c>
      <x:c r="I2" s="24" t="str">
        <x:v>Hi-Vision Meiryo</x:v>
      </x:c>
      <x:c r="J2" s="40" t="n">
        <x:v>4549</x:v>
      </x:c>
      <x:c r="K2" s="24" t="str">
        <x:v>-20.00 até +12.00</x:v>
      </x:c>
      <x:c r="L2" s="24"/>
      <x:c r="M2" s="24"/>
      <x:c r="N2" s="24"/>
      <x:c r="O2" s="24"/>
      <x:c r="P2" s="24"/>
      <x:c r="Q2" s="24" t="str">
        <x:v>DISPONÍVEL</x:v>
      </x:c>
      <x:c r="R2" s="24"/>
      <x:c r="S2" s="24" t="n">
        <x:v>12</x:v>
      </x:c>
      <x:c r="T2" s="24" t="str">
        <x:v>tabela_hoya(1).pdf</x:v>
      </x:c>
      <x:c r="U2" s="24" t="str">
        <x:v>HOYA|Visão Simples|Surfaçada|Nulux iDentity V+|INCOLOR|EYVIA|1.74|Hi-Vision Meiryo|-20.00 até +12.00||||||12</x:v>
      </x:c>
    </x:row>
    <x:row r="3">
      <x:c r="A3" s="24" t="str">
        <x:v>HY-5E6600382789</x:v>
      </x:c>
      <x:c r="B3" s="24" t="str">
        <x:v>HOYA</x:v>
      </x:c>
      <x:c r="C3" s="24" t="str">
        <x:v>Visão Simples</x:v>
      </x:c>
      <x:c r="D3" s="24" t="str">
        <x:v>Surfaçada</x:v>
      </x:c>
      <x:c r="E3" s="24" t="str">
        <x:v>Nulux iDentity V+</x:v>
      </x:c>
      <x:c r="F3" s="24" t="str">
        <x:v>INCOLOR</x:v>
      </x:c>
      <x:c r="G3" s="24" t="str">
        <x:v>EYNOA</x:v>
      </x:c>
      <x:c r="H3" s="24" t="str">
        <x:v>1.67</x:v>
      </x:c>
      <x:c r="I3" s="24" t="str">
        <x:v>Hi-Vision Meiryo</x:v>
      </x:c>
      <x:c r="J3" s="40" t="n">
        <x:v>4049</x:v>
      </x:c>
      <x:c r="K3" s="24" t="str">
        <x:v>-15.00 até +10.00</x:v>
      </x:c>
      <x:c r="L3" s="24"/>
      <x:c r="M3" s="24"/>
      <x:c r="N3" s="24"/>
      <x:c r="O3" s="24"/>
      <x:c r="P3" s="24"/>
      <x:c r="Q3" s="24" t="str">
        <x:v>DISPONÍVEL</x:v>
      </x:c>
      <x:c r="R3" s="24"/>
      <x:c r="S3" s="24" t="n">
        <x:v>12</x:v>
      </x:c>
      <x:c r="T3" s="24" t="str">
        <x:v>tabela_hoya(1).pdf</x:v>
      </x:c>
      <x:c r="U3" s="24" t="str">
        <x:v>HOYA|Visão Simples|Surfaçada|Nulux iDentity V+|INCOLOR|EYNOA|1.67|Hi-Vision Meiryo|-15.00 até +10.00||||||12</x:v>
      </x:c>
    </x:row>
    <x:row r="4">
      <x:c r="A4" s="24" t="str">
        <x:v>HY-02D9A50491FD</x:v>
      </x:c>
      <x:c r="B4" s="24" t="str">
        <x:v>HOYA</x:v>
      </x:c>
      <x:c r="C4" s="24" t="str">
        <x:v>Visão Simples</x:v>
      </x:c>
      <x:c r="D4" s="24" t="str">
        <x:v>Surfaçada</x:v>
      </x:c>
      <x:c r="E4" s="24" t="str">
        <x:v>Nulux iDentity V+</x:v>
      </x:c>
      <x:c r="F4" s="24" t="str">
        <x:v>INCOLOR</x:v>
      </x:c>
      <x:c r="G4" s="24" t="str">
        <x:v>EYAS 2.0</x:v>
      </x:c>
      <x:c r="H4" s="24" t="str">
        <x:v>1.60</x:v>
      </x:c>
      <x:c r="I4" s="24" t="str">
        <x:v>Hi-Vision Meiryo</x:v>
      </x:c>
      <x:c r="J4" s="40" t="n">
        <x:v>3159</x:v>
      </x:c>
      <x:c r="K4" s="24" t="str">
        <x:v>-13.00 até +8.00</x:v>
      </x:c>
      <x:c r="L4" s="24"/>
      <x:c r="M4" s="24"/>
      <x:c r="N4" s="24"/>
      <x:c r="O4" s="24"/>
      <x:c r="P4" s="24"/>
      <x:c r="Q4" s="24" t="str">
        <x:v>DISPONÍVEL</x:v>
      </x:c>
      <x:c r="R4" s="24"/>
      <x:c r="S4" s="24" t="n">
        <x:v>12</x:v>
      </x:c>
      <x:c r="T4" s="24" t="str">
        <x:v>tabela_hoya(1).pdf</x:v>
      </x:c>
      <x:c r="U4" s="24" t="str">
        <x:v>HOYA|Visão Simples|Surfaçada|Nulux iDentity V+|INCOLOR|EYAS 2.0|1.60|Hi-Vision Meiryo|-13.00 até +8.00||||||12</x:v>
      </x:c>
    </x:row>
    <x:row r="5">
      <x:c r="A5" s="24" t="str">
        <x:v>HY-7CC3AF0CECB8</x:v>
      </x:c>
      <x:c r="B5" s="24" t="str">
        <x:v>HOYA</x:v>
      </x:c>
      <x:c r="C5" s="24" t="str">
        <x:v>Visão Simples</x:v>
      </x:c>
      <x:c r="D5" s="24" t="str">
        <x:v>Surfaçada</x:v>
      </x:c>
      <x:c r="E5" s="24" t="str">
        <x:v>Nulux iDentity V+</x:v>
      </x:c>
      <x:c r="F5" s="24" t="str">
        <x:v>INCOLOR</x:v>
      </x:c>
      <x:c r="G5" s="24" t="str">
        <x:v>PNX</x:v>
      </x:c>
      <x:c r="H5" s="24" t="str">
        <x:v>1.53</x:v>
      </x:c>
      <x:c r="I5" s="24" t="str">
        <x:v>Hi-Vision Meiryo</x:v>
      </x:c>
      <x:c r="J5" s="40" t="n">
        <x:v>2699</x:v>
      </x:c>
      <x:c r="K5" s="24" t="str">
        <x:v>-13.00 até +9.00</x:v>
      </x:c>
      <x:c r="L5" s="24"/>
      <x:c r="M5" s="24"/>
      <x:c r="N5" s="24"/>
      <x:c r="O5" s="24"/>
      <x:c r="P5" s="24"/>
      <x:c r="Q5" s="24" t="str">
        <x:v>DISPONÍVEL</x:v>
      </x:c>
      <x:c r="R5" s="24"/>
      <x:c r="S5" s="24" t="n">
        <x:v>12</x:v>
      </x:c>
      <x:c r="T5" s="24" t="str">
        <x:v>tabela_hoya(1).pdf</x:v>
      </x:c>
      <x:c r="U5" s="24" t="str">
        <x:v>HOYA|Visão Simples|Surfaçada|Nulux iDentity V+|INCOLOR|PNX|1.53|Hi-Vision Meiryo|-13.00 até +9.00||||||12</x:v>
      </x:c>
    </x:row>
    <x:row r="6">
      <x:c r="A6" s="24" t="str">
        <x:v>HY-6CB7A47790F2</x:v>
      </x:c>
      <x:c r="B6" s="24" t="str">
        <x:v>HOYA</x:v>
      </x:c>
      <x:c r="C6" s="24" t="str">
        <x:v>Visão Simples</x:v>
      </x:c>
      <x:c r="D6" s="24" t="str">
        <x:v>Surfaçada</x:v>
      </x:c>
      <x:c r="E6" s="24" t="str">
        <x:v>Nulux iDentity V+</x:v>
      </x:c>
      <x:c r="F6" s="24" t="str">
        <x:v>INCOLOR</x:v>
      </x:c>
      <x:c r="G6" s="24" t="str">
        <x:v>EYVIA</x:v>
      </x:c>
      <x:c r="H6" s="24" t="str">
        <x:v>1.74</x:v>
      </x:c>
      <x:c r="I6" s="24" t="str">
        <x:v>Hi-Vision LongLife BlueControl</x:v>
      </x:c>
      <x:c r="J6" s="40" t="n">
        <x:v>4349</x:v>
      </x:c>
      <x:c r="K6" s="24" t="str">
        <x:v>-20.00 até +12.00</x:v>
      </x:c>
      <x:c r="L6" s="24"/>
      <x:c r="M6" s="24"/>
      <x:c r="N6" s="24"/>
      <x:c r="O6" s="24"/>
      <x:c r="P6" s="24"/>
      <x:c r="Q6" s="24" t="str">
        <x:v>DISPONÍVEL</x:v>
      </x:c>
      <x:c r="R6" s="24"/>
      <x:c r="S6" s="24" t="n">
        <x:v>12</x:v>
      </x:c>
      <x:c r="T6" s="24" t="str">
        <x:v>tabela_hoya(1).pdf</x:v>
      </x:c>
      <x:c r="U6" s="24" t="str">
        <x:v>HOYA|Visão Simples|Surfaçada|Nulux iDentity V+|INCOLOR|EYVIA|1.74|Hi-Vision LongLife BlueControl|-20.00 até +12.00||||||12</x:v>
      </x:c>
    </x:row>
    <x:row r="7">
      <x:c r="A7" s="24" t="str">
        <x:v>HY-211160319A4D</x:v>
      </x:c>
      <x:c r="B7" s="24" t="str">
        <x:v>HOYA</x:v>
      </x:c>
      <x:c r="C7" s="24" t="str">
        <x:v>Visão Simples</x:v>
      </x:c>
      <x:c r="D7" s="24" t="str">
        <x:v>Surfaçada</x:v>
      </x:c>
      <x:c r="E7" s="24" t="str">
        <x:v>Nulux iDentity V+</x:v>
      </x:c>
      <x:c r="F7" s="24" t="str">
        <x:v>INCOLOR</x:v>
      </x:c>
      <x:c r="G7" s="24" t="str">
        <x:v>EYNOA</x:v>
      </x:c>
      <x:c r="H7" s="24" t="str">
        <x:v>1.67</x:v>
      </x:c>
      <x:c r="I7" s="24" t="str">
        <x:v>Hi-Vision LongLife BlueControl</x:v>
      </x:c>
      <x:c r="J7" s="40" t="n">
        <x:v>3849</x:v>
      </x:c>
      <x:c r="K7" s="24" t="str">
        <x:v>-15.00 até +10.00</x:v>
      </x:c>
      <x:c r="L7" s="24"/>
      <x:c r="M7" s="24"/>
      <x:c r="N7" s="24"/>
      <x:c r="O7" s="24"/>
      <x:c r="P7" s="24"/>
      <x:c r="Q7" s="24" t="str">
        <x:v>DISPONÍVEL</x:v>
      </x:c>
      <x:c r="R7" s="24"/>
      <x:c r="S7" s="24" t="n">
        <x:v>12</x:v>
      </x:c>
      <x:c r="T7" s="24" t="str">
        <x:v>tabela_hoya(1).pdf</x:v>
      </x:c>
      <x:c r="U7" s="24" t="str">
        <x:v>HOYA|Visão Simples|Surfaçada|Nulux iDentity V+|INCOLOR|EYNOA|1.67|Hi-Vision LongLife BlueControl|-15.00 até +10.00||||||12</x:v>
      </x:c>
    </x:row>
    <x:row r="8">
      <x:c r="A8" s="24" t="str">
        <x:v>HY-14A26D62E732</x:v>
      </x:c>
      <x:c r="B8" s="24" t="str">
        <x:v>HOYA</x:v>
      </x:c>
      <x:c r="C8" s="24" t="str">
        <x:v>Visão Simples</x:v>
      </x:c>
      <x:c r="D8" s="24" t="str">
        <x:v>Surfaçada</x:v>
      </x:c>
      <x:c r="E8" s="24" t="str">
        <x:v>Nulux iDentity V+</x:v>
      </x:c>
      <x:c r="F8" s="24" t="str">
        <x:v>INCOLOR</x:v>
      </x:c>
      <x:c r="G8" s="24" t="str">
        <x:v>EYAS 2.0</x:v>
      </x:c>
      <x:c r="H8" s="24" t="str">
        <x:v>1.60</x:v>
      </x:c>
      <x:c r="I8" s="24" t="str">
        <x:v>Hi-Vision LongLife BlueControl</x:v>
      </x:c>
      <x:c r="J8" s="40" t="n">
        <x:v>2959</x:v>
      </x:c>
      <x:c r="K8" s="24" t="str">
        <x:v>-13.00 até +8.00</x:v>
      </x:c>
      <x:c r="L8" s="24"/>
      <x:c r="M8" s="24"/>
      <x:c r="N8" s="24"/>
      <x:c r="O8" s="24"/>
      <x:c r="P8" s="24"/>
      <x:c r="Q8" s="24" t="str">
        <x:v>DISPONÍVEL</x:v>
      </x:c>
      <x:c r="R8" s="24"/>
      <x:c r="S8" s="24" t="n">
        <x:v>12</x:v>
      </x:c>
      <x:c r="T8" s="24" t="str">
        <x:v>tabela_hoya(1).pdf</x:v>
      </x:c>
      <x:c r="U8" s="24" t="str">
        <x:v>HOYA|Visão Simples|Surfaçada|Nulux iDentity V+|INCOLOR|EYAS 2.0|1.60|Hi-Vision LongLife BlueControl|-13.00 até +8.00||||||12</x:v>
      </x:c>
    </x:row>
    <x:row r="9">
      <x:c r="A9" s="24" t="str">
        <x:v>HY-02BA43DD7BD1</x:v>
      </x:c>
      <x:c r="B9" s="24" t="str">
        <x:v>HOYA</x:v>
      </x:c>
      <x:c r="C9" s="24" t="str">
        <x:v>Visão Simples</x:v>
      </x:c>
      <x:c r="D9" s="24" t="str">
        <x:v>Surfaçada</x:v>
      </x:c>
      <x:c r="E9" s="24" t="str">
        <x:v>Nulux iDentity V+</x:v>
      </x:c>
      <x:c r="F9" s="24" t="str">
        <x:v>INCOLOR</x:v>
      </x:c>
      <x:c r="G9" s="24" t="str">
        <x:v>PNX</x:v>
      </x:c>
      <x:c r="H9" s="24" t="str">
        <x:v>1.53</x:v>
      </x:c>
      <x:c r="I9" s="24" t="str">
        <x:v>Hi-Vision LongLife BlueControl</x:v>
      </x:c>
      <x:c r="J9" s="40" t="n">
        <x:v>2499</x:v>
      </x:c>
      <x:c r="K9" s="24" t="str">
        <x:v>-13.00 até +9.00</x:v>
      </x:c>
      <x:c r="L9" s="24"/>
      <x:c r="M9" s="24"/>
      <x:c r="N9" s="24"/>
      <x:c r="O9" s="24"/>
      <x:c r="P9" s="24"/>
      <x:c r="Q9" s="24" t="str">
        <x:v>DISPONÍVEL</x:v>
      </x:c>
      <x:c r="R9" s="24"/>
      <x:c r="S9" s="24" t="n">
        <x:v>12</x:v>
      </x:c>
      <x:c r="T9" s="24" t="str">
        <x:v>tabela_hoya(1).pdf</x:v>
      </x:c>
      <x:c r="U9" s="24" t="str">
        <x:v>HOYA|Visão Simples|Surfaçada|Nulux iDentity V+|INCOLOR|PNX|1.53|Hi-Vision LongLife BlueControl|-13.00 até +9.00||||||12</x:v>
      </x:c>
    </x:row>
    <x:row r="10">
      <x:c r="A10" s="24" t="str">
        <x:v>HY-94AA9390BFDA</x:v>
      </x:c>
      <x:c r="B10" s="24" t="str">
        <x:v>HOYA</x:v>
      </x:c>
      <x:c r="C10" s="24" t="str">
        <x:v>Visão Simples</x:v>
      </x:c>
      <x:c r="D10" s="24" t="str">
        <x:v>Surfaçada</x:v>
      </x:c>
      <x:c r="E10" s="24" t="str">
        <x:v>Nulux iDentity V+</x:v>
      </x:c>
      <x:c r="F10" s="24" t="str">
        <x:v>INCOLOR</x:v>
      </x:c>
      <x:c r="G10" s="24" t="str">
        <x:v>ORGANIC</x:v>
      </x:c>
      <x:c r="H10" s="24" t="str">
        <x:v>1.50</x:v>
      </x:c>
      <x:c r="I10" s="24" t="str">
        <x:v>Hi-Vision LongLife BlueControl</x:v>
      </x:c>
      <x:c r="J10" s="40" t="n">
        <x:v>2149</x:v>
      </x:c>
      <x:c r="K10" s="24" t="str">
        <x:v>-10.00 até +10.00</x:v>
      </x:c>
      <x:c r="L10" s="24"/>
      <x:c r="M10" s="24"/>
      <x:c r="N10" s="24"/>
      <x:c r="O10" s="24"/>
      <x:c r="P10" s="24"/>
      <x:c r="Q10" s="24" t="str">
        <x:v>DISPONÍVEL</x:v>
      </x:c>
      <x:c r="R10" s="24"/>
      <x:c r="S10" s="24" t="n">
        <x:v>12</x:v>
      </x:c>
      <x:c r="T10" s="24" t="str">
        <x:v>tabela_hoya(1).pdf</x:v>
      </x:c>
      <x:c r="U10" s="24" t="str">
        <x:v>HOYA|Visão Simples|Surfaçada|Nulux iDentity V+|INCOLOR|ORGANIC|1.50|Hi-Vision LongLife BlueControl|-10.00 até +10.00||||||12</x:v>
      </x:c>
    </x:row>
    <x:row r="11">
      <x:c r="A11" s="24" t="str">
        <x:v>HY-75F279478FAA</x:v>
      </x:c>
      <x:c r="B11" s="24" t="str">
        <x:v>HOYA</x:v>
      </x:c>
      <x:c r="C11" s="24" t="str">
        <x:v>Visão Simples</x:v>
      </x:c>
      <x:c r="D11" s="24" t="str">
        <x:v>Surfaçada</x:v>
      </x:c>
      <x:c r="E11" s="24" t="str">
        <x:v>Nulux iDentity V+</x:v>
      </x:c>
      <x:c r="F11" s="24" t="str">
        <x:v>INCOLOR</x:v>
      </x:c>
      <x:c r="G11" s="24" t="str">
        <x:v>EYNOA</x:v>
      </x:c>
      <x:c r="H11" s="24" t="str">
        <x:v>1.67</x:v>
      </x:c>
      <x:c r="I11" s="24" t="str">
        <x:v>No-Risk BlueControl</x:v>
      </x:c>
      <x:c r="J11" s="40" t="n">
        <x:v>3599</x:v>
      </x:c>
      <x:c r="K11" s="24" t="str">
        <x:v>-15.00 até +10.00</x:v>
      </x:c>
      <x:c r="L11" s="24"/>
      <x:c r="M11" s="24"/>
      <x:c r="N11" s="24"/>
      <x:c r="O11" s="24"/>
      <x:c r="P11" s="24"/>
      <x:c r="Q11" s="24" t="str">
        <x:v>DISPONÍVEL</x:v>
      </x:c>
      <x:c r="R11" s="24"/>
      <x:c r="S11" s="24" t="n">
        <x:v>12</x:v>
      </x:c>
      <x:c r="T11" s="24" t="str">
        <x:v>tabela_hoya(1).pdf</x:v>
      </x:c>
      <x:c r="U11" s="24" t="str">
        <x:v>HOYA|Visão Simples|Surfaçada|Nulux iDentity V+|INCOLOR|EYNOA|1.67|No-Risk BlueControl|-15.00 até +10.00||||||12</x:v>
      </x:c>
    </x:row>
    <x:row r="12">
      <x:c r="A12" s="24" t="str">
        <x:v>HY-F90296F8E0B0</x:v>
      </x:c>
      <x:c r="B12" s="24" t="str">
        <x:v>HOYA</x:v>
      </x:c>
      <x:c r="C12" s="24" t="str">
        <x:v>Visão Simples</x:v>
      </x:c>
      <x:c r="D12" s="24" t="str">
        <x:v>Surfaçada</x:v>
      </x:c>
      <x:c r="E12" s="24" t="str">
        <x:v>Nulux iDentity V+</x:v>
      </x:c>
      <x:c r="F12" s="24" t="str">
        <x:v>INCOLOR</x:v>
      </x:c>
      <x:c r="G12" s="24" t="str">
        <x:v>EYAS 2.0</x:v>
      </x:c>
      <x:c r="H12" s="24" t="str">
        <x:v>1.60</x:v>
      </x:c>
      <x:c r="I12" s="24" t="str">
        <x:v>No-Risk BlueControl</x:v>
      </x:c>
      <x:c r="J12" s="40" t="n">
        <x:v>2709</x:v>
      </x:c>
      <x:c r="K12" s="24" t="str">
        <x:v>-13.00 até +8.00</x:v>
      </x:c>
      <x:c r="L12" s="24"/>
      <x:c r="M12" s="24"/>
      <x:c r="N12" s="24"/>
      <x:c r="O12" s="24"/>
      <x:c r="P12" s="24"/>
      <x:c r="Q12" s="24" t="str">
        <x:v>DISPONÍVEL</x:v>
      </x:c>
      <x:c r="R12" s="24"/>
      <x:c r="S12" s="24" t="n">
        <x:v>12</x:v>
      </x:c>
      <x:c r="T12" s="24" t="str">
        <x:v>tabela_hoya(1).pdf</x:v>
      </x:c>
      <x:c r="U12" s="24" t="str">
        <x:v>HOYA|Visão Simples|Surfaçada|Nulux iDentity V+|INCOLOR|EYAS 2.0|1.60|No-Risk BlueControl|-13.00 até +8.00||||||12</x:v>
      </x:c>
    </x:row>
    <x:row r="13">
      <x:c r="A13" s="24" t="str">
        <x:v>HY-C074A9F561F4</x:v>
      </x:c>
      <x:c r="B13" s="24" t="str">
        <x:v>HOYA</x:v>
      </x:c>
      <x:c r="C13" s="24" t="str">
        <x:v>Visão Simples</x:v>
      </x:c>
      <x:c r="D13" s="24" t="str">
        <x:v>Surfaçada</x:v>
      </x:c>
      <x:c r="E13" s="24" t="str">
        <x:v>Nulux iDentity V+</x:v>
      </x:c>
      <x:c r="F13" s="24" t="str">
        <x:v>INCOLOR</x:v>
      </x:c>
      <x:c r="G13" s="24" t="str">
        <x:v>PNX</x:v>
      </x:c>
      <x:c r="H13" s="24" t="str">
        <x:v>1.53</x:v>
      </x:c>
      <x:c r="I13" s="24" t="str">
        <x:v>No-Risk BlueControl</x:v>
      </x:c>
      <x:c r="J13" s="40" t="n">
        <x:v>2249</x:v>
      </x:c>
      <x:c r="K13" s="24" t="str">
        <x:v>-13.00 até +9.00</x:v>
      </x:c>
      <x:c r="L13" s="24"/>
      <x:c r="M13" s="24"/>
      <x:c r="N13" s="24"/>
      <x:c r="O13" s="24"/>
      <x:c r="P13" s="24"/>
      <x:c r="Q13" s="24" t="str">
        <x:v>DISPONÍVEL</x:v>
      </x:c>
      <x:c r="R13" s="24"/>
      <x:c r="S13" s="24" t="n">
        <x:v>12</x:v>
      </x:c>
      <x:c r="T13" s="24" t="str">
        <x:v>tabela_hoya(1).pdf</x:v>
      </x:c>
      <x:c r="U13" s="24" t="str">
        <x:v>HOYA|Visão Simples|Surfaçada|Nulux iDentity V+|INCOLOR|PNX|1.53|No-Risk BlueControl|-13.00 até +9.00||||||12</x:v>
      </x:c>
    </x:row>
    <x:row r="14">
      <x:c r="A14" s="24" t="str">
        <x:v>HY-6D6DE8790A37</x:v>
      </x:c>
      <x:c r="B14" s="24" t="str">
        <x:v>HOYA</x:v>
      </x:c>
      <x:c r="C14" s="24" t="str">
        <x:v>Visão Simples</x:v>
      </x:c>
      <x:c r="D14" s="24" t="str">
        <x:v>Surfaçada</x:v>
      </x:c>
      <x:c r="E14" s="24" t="str">
        <x:v>Nulux iDentity V+</x:v>
      </x:c>
      <x:c r="F14" s="24" t="str">
        <x:v>INCOLOR</x:v>
      </x:c>
      <x:c r="G14" s="24" t="str">
        <x:v>ORGANIC</x:v>
      </x:c>
      <x:c r="H14" s="24" t="str">
        <x:v>1.50</x:v>
      </x:c>
      <x:c r="I14" s="24" t="str">
        <x:v>No-Risk BlueControl</x:v>
      </x:c>
      <x:c r="J14" s="40" t="n">
        <x:v>1899</x:v>
      </x:c>
      <x:c r="K14" s="24" t="str">
        <x:v>-10.00 até +10.00</x:v>
      </x:c>
      <x:c r="L14" s="24"/>
      <x:c r="M14" s="24"/>
      <x:c r="N14" s="24"/>
      <x:c r="O14" s="24"/>
      <x:c r="P14" s="24"/>
      <x:c r="Q14" s="24" t="str">
        <x:v>DISPONÍVEL</x:v>
      </x:c>
      <x:c r="R14" s="24"/>
      <x:c r="S14" s="24" t="n">
        <x:v>12</x:v>
      </x:c>
      <x:c r="T14" s="24" t="str">
        <x:v>tabela_hoya(1).pdf</x:v>
      </x:c>
      <x:c r="U14" s="24" t="str">
        <x:v>HOYA|Visão Simples|Surfaçada|Nulux iDentity V+|INCOLOR|ORGANIC|1.50|No-Risk BlueControl|-10.00 até +10.00||||||12</x:v>
      </x:c>
    </x:row>
    <x:row r="15">
      <x:c r="A15" s="24" t="str">
        <x:v>HY-E9BFEEEC3820</x:v>
      </x:c>
      <x:c r="B15" s="24" t="str">
        <x:v>HOYA</x:v>
      </x:c>
      <x:c r="C15" s="24" t="str">
        <x:v>Visão Simples</x:v>
      </x:c>
      <x:c r="D15" s="24" t="str">
        <x:v>Surfaçada</x:v>
      </x:c>
      <x:c r="E15" s="24" t="str">
        <x:v>Nulux iDentity V+</x:v>
      </x:c>
      <x:c r="F15" s="24" t="str">
        <x:v>SENSITY 2</x:v>
      </x:c>
      <x:c r="G15" s="24" t="str">
        <x:v>EYNOA</x:v>
      </x:c>
      <x:c r="H15" s="24" t="str">
        <x:v>1.67</x:v>
      </x:c>
      <x:c r="I15" s="24" t="str">
        <x:v>Hi-Vision LongLife BlueControl</x:v>
      </x:c>
      <x:c r="J15" s="40" t="n">
        <x:v>5049</x:v>
      </x:c>
      <x:c r="K15" s="24" t="str">
        <x:v>-15.00 até +10.00</x:v>
      </x:c>
      <x:c r="L15" s="24"/>
      <x:c r="M15" s="24"/>
      <x:c r="N15" s="24"/>
      <x:c r="O15" s="24"/>
      <x:c r="P15" s="24"/>
      <x:c r="Q15" s="24" t="str">
        <x:v>DISPONÍVEL</x:v>
      </x:c>
      <x:c r="R15" s="24"/>
      <x:c r="S15" s="24" t="n">
        <x:v>12</x:v>
      </x:c>
      <x:c r="T15" s="24" t="str">
        <x:v>tabela_hoya(1).pdf</x:v>
      </x:c>
      <x:c r="U15" s="24" t="str">
        <x:v>HOYA|Visão Simples|Surfaçada|Nulux iDentity V+|SENSITY 2|EYNOA|1.67|Hi-Vision LongLife BlueControl|-15.00 até +10.00||||||12</x:v>
      </x:c>
    </x:row>
    <x:row r="16">
      <x:c r="A16" s="24" t="str">
        <x:v>HY-26A23FE49031</x:v>
      </x:c>
      <x:c r="B16" s="24" t="str">
        <x:v>HOYA</x:v>
      </x:c>
      <x:c r="C16" s="24" t="str">
        <x:v>Visão Simples</x:v>
      </x:c>
      <x:c r="D16" s="24" t="str">
        <x:v>Surfaçada</x:v>
      </x:c>
      <x:c r="E16" s="24" t="str">
        <x:v>Nulux iDentity V+</x:v>
      </x:c>
      <x:c r="F16" s="24" t="str">
        <x:v>SENSITY 2</x:v>
      </x:c>
      <x:c r="G16" s="24" t="str">
        <x:v>PNX</x:v>
      </x:c>
      <x:c r="H16" s="24" t="str">
        <x:v>1.53</x:v>
      </x:c>
      <x:c r="I16" s="24" t="str">
        <x:v>Hi-Vision LongLife BlueControl</x:v>
      </x:c>
      <x:c r="J16" s="40" t="n">
        <x:v>3699</x:v>
      </x:c>
      <x:c r="K16" s="24" t="str">
        <x:v>-13.00 até +9.00</x:v>
      </x:c>
      <x:c r="L16" s="24"/>
      <x:c r="M16" s="24"/>
      <x:c r="N16" s="24"/>
      <x:c r="O16" s="24"/>
      <x:c r="P16" s="24"/>
      <x:c r="Q16" s="24" t="str">
        <x:v>DISPONÍVEL</x:v>
      </x:c>
      <x:c r="R16" s="24"/>
      <x:c r="S16" s="24" t="n">
        <x:v>12</x:v>
      </x:c>
      <x:c r="T16" s="24" t="str">
        <x:v>tabela_hoya(1).pdf</x:v>
      </x:c>
      <x:c r="U16" s="24" t="str">
        <x:v>HOYA|Visão Simples|Surfaçada|Nulux iDentity V+|SENSITY 2|PNX|1.53|Hi-Vision LongLife BlueControl|-13.00 até +9.00||||||12</x:v>
      </x:c>
    </x:row>
    <x:row r="17">
      <x:c r="A17" s="24" t="str">
        <x:v>HY-9751785BED83</x:v>
      </x:c>
      <x:c r="B17" s="24" t="str">
        <x:v>HOYA</x:v>
      </x:c>
      <x:c r="C17" s="24" t="str">
        <x:v>Visão Simples</x:v>
      </x:c>
      <x:c r="D17" s="24" t="str">
        <x:v>Surfaçada</x:v>
      </x:c>
      <x:c r="E17" s="24" t="str">
        <x:v>Nulux iDentity V+</x:v>
      </x:c>
      <x:c r="F17" s="24" t="str">
        <x:v>SENSITY 2</x:v>
      </x:c>
      <x:c r="G17" s="24" t="str">
        <x:v>ORGANIC</x:v>
      </x:c>
      <x:c r="H17" s="24" t="str">
        <x:v>1.50</x:v>
      </x:c>
      <x:c r="I17" s="24" t="str">
        <x:v>Hi-Vision LongLife BlueControl</x:v>
      </x:c>
      <x:c r="J17" s="40" t="n">
        <x:v>3349</x:v>
      </x:c>
      <x:c r="K17" s="24" t="str">
        <x:v>-10.00 até +10.00</x:v>
      </x:c>
      <x:c r="L17" s="24"/>
      <x:c r="M17" s="24"/>
      <x:c r="N17" s="24"/>
      <x:c r="O17" s="24"/>
      <x:c r="P17" s="24"/>
      <x:c r="Q17" s="24" t="str">
        <x:v>DISPONÍVEL</x:v>
      </x:c>
      <x:c r="R17" s="24"/>
      <x:c r="S17" s="24" t="n">
        <x:v>12</x:v>
      </x:c>
      <x:c r="T17" s="24" t="str">
        <x:v>tabela_hoya(1).pdf</x:v>
      </x:c>
      <x:c r="U17" s="24" t="str">
        <x:v>HOYA|Visão Simples|Surfaçada|Nulux iDentity V+|SENSITY 2|ORGANIC|1.50|Hi-Vision LongLife BlueControl|-10.00 até +10.00||||||12</x:v>
      </x:c>
    </x:row>
    <x:row r="18">
      <x:c r="A18" s="24" t="str">
        <x:v>HY-C0C613FF5EF0</x:v>
      </x:c>
      <x:c r="B18" s="24" t="str">
        <x:v>HOYA</x:v>
      </x:c>
      <x:c r="C18" s="24" t="str">
        <x:v>Visão Simples</x:v>
      </x:c>
      <x:c r="D18" s="24" t="str">
        <x:v>Surfaçada</x:v>
      </x:c>
      <x:c r="E18" s="24" t="str">
        <x:v>Nulux iDentity V+</x:v>
      </x:c>
      <x:c r="F18" s="24" t="str">
        <x:v>SENSITY 2</x:v>
      </x:c>
      <x:c r="G18" s="24" t="str">
        <x:v>EYNOA</x:v>
      </x:c>
      <x:c r="H18" s="24" t="str">
        <x:v>1.67</x:v>
      </x:c>
      <x:c r="I18" s="24" t="str">
        <x:v>No-Risk BlueControl</x:v>
      </x:c>
      <x:c r="J18" s="40" t="n">
        <x:v>4799</x:v>
      </x:c>
      <x:c r="K18" s="24" t="str">
        <x:v>-15.00 até +10.00</x:v>
      </x:c>
      <x:c r="L18" s="24"/>
      <x:c r="M18" s="24"/>
      <x:c r="N18" s="24"/>
      <x:c r="O18" s="24"/>
      <x:c r="P18" s="24"/>
      <x:c r="Q18" s="24" t="str">
        <x:v>DISPONÍVEL</x:v>
      </x:c>
      <x:c r="R18" s="24"/>
      <x:c r="S18" s="24" t="n">
        <x:v>12</x:v>
      </x:c>
      <x:c r="T18" s="24" t="str">
        <x:v>tabela_hoya(1).pdf</x:v>
      </x:c>
      <x:c r="U18" s="24" t="str">
        <x:v>HOYA|Visão Simples|Surfaçada|Nulux iDentity V+|SENSITY 2|EYNOA|1.67|No-Risk BlueControl|-15.00 até +10.00||||||12</x:v>
      </x:c>
    </x:row>
    <x:row r="19">
      <x:c r="A19" s="24" t="str">
        <x:v>HY-B830E7ED744F</x:v>
      </x:c>
      <x:c r="B19" s="24" t="str">
        <x:v>HOYA</x:v>
      </x:c>
      <x:c r="C19" s="24" t="str">
        <x:v>Visão Simples</x:v>
      </x:c>
      <x:c r="D19" s="24" t="str">
        <x:v>Surfaçada</x:v>
      </x:c>
      <x:c r="E19" s="24" t="str">
        <x:v>Nulux iDentity V+</x:v>
      </x:c>
      <x:c r="F19" s="24" t="str">
        <x:v>SENSITY 2</x:v>
      </x:c>
      <x:c r="G19" s="24" t="str">
        <x:v>PNX</x:v>
      </x:c>
      <x:c r="H19" s="24" t="str">
        <x:v>1.53</x:v>
      </x:c>
      <x:c r="I19" s="24" t="str">
        <x:v>No-Risk BlueControl</x:v>
      </x:c>
      <x:c r="J19" s="40" t="n">
        <x:v>3449</x:v>
      </x:c>
      <x:c r="K19" s="24" t="str">
        <x:v>-13.00 até +9.00</x:v>
      </x:c>
      <x:c r="L19" s="24"/>
      <x:c r="M19" s="24"/>
      <x:c r="N19" s="24"/>
      <x:c r="O19" s="24"/>
      <x:c r="P19" s="24"/>
      <x:c r="Q19" s="24" t="str">
        <x:v>DISPONÍVEL</x:v>
      </x:c>
      <x:c r="R19" s="24"/>
      <x:c r="S19" s="24" t="n">
        <x:v>12</x:v>
      </x:c>
      <x:c r="T19" s="24" t="str">
        <x:v>tabela_hoya(1).pdf</x:v>
      </x:c>
      <x:c r="U19" s="24" t="str">
        <x:v>HOYA|Visão Simples|Surfaçada|Nulux iDentity V+|SENSITY 2|PNX|1.53|No-Risk BlueControl|-13.00 até +9.00||||||12</x:v>
      </x:c>
    </x:row>
    <x:row r="20">
      <x:c r="A20" s="24" t="str">
        <x:v>HY-EAD0D4B7BC2A</x:v>
      </x:c>
      <x:c r="B20" s="24" t="str">
        <x:v>HOYA</x:v>
      </x:c>
      <x:c r="C20" s="24" t="str">
        <x:v>Visão Simples</x:v>
      </x:c>
      <x:c r="D20" s="24" t="str">
        <x:v>Surfaçada</x:v>
      </x:c>
      <x:c r="E20" s="24" t="str">
        <x:v>Nulux iDentity V+</x:v>
      </x:c>
      <x:c r="F20" s="24" t="str">
        <x:v>SENSITY 2</x:v>
      </x:c>
      <x:c r="G20" s="24" t="str">
        <x:v>ORGANIC</x:v>
      </x:c>
      <x:c r="H20" s="24" t="str">
        <x:v>1.50</x:v>
      </x:c>
      <x:c r="I20" s="24" t="str">
        <x:v>No-Risk BlueControl</x:v>
      </x:c>
      <x:c r="J20" s="40" t="n">
        <x:v>3099</x:v>
      </x:c>
      <x:c r="K20" s="24" t="str">
        <x:v>-10.00 até +10.00</x:v>
      </x:c>
      <x:c r="L20" s="24"/>
      <x:c r="M20" s="24"/>
      <x:c r="N20" s="24"/>
      <x:c r="O20" s="24"/>
      <x:c r="P20" s="24"/>
      <x:c r="Q20" s="24" t="str">
        <x:v>DISPONÍVEL</x:v>
      </x:c>
      <x:c r="R20" s="24"/>
      <x:c r="S20" s="24" t="n">
        <x:v>12</x:v>
      </x:c>
      <x:c r="T20" s="24" t="str">
        <x:v>tabela_hoya(1).pdf</x:v>
      </x:c>
      <x:c r="U20" s="24" t="str">
        <x:v>HOYA|Visão Simples|Surfaçada|Nulux iDentity V+|SENSITY 2|ORGANIC|1.50|No-Risk BlueControl|-10.00 até +10.00||||||12</x:v>
      </x:c>
    </x:row>
    <x:row r="21">
      <x:c r="A21" s="24" t="str">
        <x:v>HY-A52EAE418881</x:v>
      </x:c>
      <x:c r="B21" s="24" t="str">
        <x:v>HOYA</x:v>
      </x:c>
      <x:c r="C21" s="24" t="str">
        <x:v>Visão Simples</x:v>
      </x:c>
      <x:c r="D21" s="24" t="str">
        <x:v>Surfaçada</x:v>
      </x:c>
      <x:c r="E21" s="24" t="str">
        <x:v>Nulux iDentity V+</x:v>
      </x:c>
      <x:c r="F21" s="24" t="str">
        <x:v>COLORIDAS</x:v>
      </x:c>
      <x:c r="G21" s="24" t="str">
        <x:v>EYVIA</x:v>
      </x:c>
      <x:c r="H21" s="24" t="str">
        <x:v>1.74</x:v>
      </x:c>
      <x:c r="I21" s="24" t="str">
        <x:v>Hi-Vision Sun Pro</x:v>
      </x:c>
      <x:c r="J21" s="40" t="n">
        <x:v>4639</x:v>
      </x:c>
      <x:c r="K21" s="24" t="str">
        <x:v>-20.00 até +12.00</x:v>
      </x:c>
      <x:c r="L21" s="24"/>
      <x:c r="M21" s="24"/>
      <x:c r="N21" s="24"/>
      <x:c r="O21" s="24"/>
      <x:c r="P21" s="24"/>
      <x:c r="Q21" s="24" t="str">
        <x:v>DISPONÍVEL</x:v>
      </x:c>
      <x:c r="R21" s="24"/>
      <x:c r="S21" s="24" t="n">
        <x:v>12</x:v>
      </x:c>
      <x:c r="T21" s="24" t="str">
        <x:v>tabela_hoya(1).pdf</x:v>
      </x:c>
      <x:c r="U21" s="24" t="str">
        <x:v>HOYA|Visão Simples|Surfaçada|Nulux iDentity V+|COLORIDAS|EYVIA|1.74|Hi-Vision Sun Pro|-20.00 até +12.00||||||12</x:v>
      </x:c>
    </x:row>
    <x:row r="22">
      <x:c r="A22" s="24" t="str">
        <x:v>HY-8361FD09E4B6</x:v>
      </x:c>
      <x:c r="B22" s="24" t="str">
        <x:v>HOYA</x:v>
      </x:c>
      <x:c r="C22" s="24" t="str">
        <x:v>Visão Simples</x:v>
      </x:c>
      <x:c r="D22" s="24" t="str">
        <x:v>Surfaçada</x:v>
      </x:c>
      <x:c r="E22" s="24" t="str">
        <x:v>Nulux iDentity V+</x:v>
      </x:c>
      <x:c r="F22" s="24" t="str">
        <x:v>COLORIDAS</x:v>
      </x:c>
      <x:c r="G22" s="24" t="str">
        <x:v>EYNOA</x:v>
      </x:c>
      <x:c r="H22" s="24" t="str">
        <x:v>1.67</x:v>
      </x:c>
      <x:c r="I22" s="24" t="str">
        <x:v>Hi-Vision Sun Pro</x:v>
      </x:c>
      <x:c r="J22" s="40" t="n">
        <x:v>3889</x:v>
      </x:c>
      <x:c r="K22" s="24" t="str">
        <x:v>-15.00 até +10.00</x:v>
      </x:c>
      <x:c r="L22" s="24"/>
      <x:c r="M22" s="24"/>
      <x:c r="N22" s="24"/>
      <x:c r="O22" s="24"/>
      <x:c r="P22" s="24"/>
      <x:c r="Q22" s="24" t="str">
        <x:v>DISPONÍVEL</x:v>
      </x:c>
      <x:c r="R22" s="24"/>
      <x:c r="S22" s="24" t="n">
        <x:v>12</x:v>
      </x:c>
      <x:c r="T22" s="24" t="str">
        <x:v>tabela_hoya(1).pdf</x:v>
      </x:c>
      <x:c r="U22" s="24" t="str">
        <x:v>HOYA|Visão Simples|Surfaçada|Nulux iDentity V+|COLORIDAS|EYNOA|1.67|Hi-Vision Sun Pro|-15.00 até +10.00||||||12</x:v>
      </x:c>
    </x:row>
    <x:row r="23">
      <x:c r="A23" s="24" t="str">
        <x:v>HY-1352CD65917E</x:v>
      </x:c>
      <x:c r="B23" s="24" t="str">
        <x:v>HOYA</x:v>
      </x:c>
      <x:c r="C23" s="24" t="str">
        <x:v>Visão Simples</x:v>
      </x:c>
      <x:c r="D23" s="24" t="str">
        <x:v>Surfaçada</x:v>
      </x:c>
      <x:c r="E23" s="24" t="str">
        <x:v>Nulux iDentity V+</x:v>
      </x:c>
      <x:c r="F23" s="24" t="str">
        <x:v>COLORIDAS</x:v>
      </x:c>
      <x:c r="G23" s="24" t="str">
        <x:v>EYAS 2.0</x:v>
      </x:c>
      <x:c r="H23" s="24" t="str">
        <x:v>1.60</x:v>
      </x:c>
      <x:c r="I23" s="24" t="str">
        <x:v>Hi-Vision Sun Pro</x:v>
      </x:c>
      <x:c r="J23" s="40" t="n">
        <x:v>2999</x:v>
      </x:c>
      <x:c r="K23" s="24" t="str">
        <x:v>-13.00 até +8.00</x:v>
      </x:c>
      <x:c r="L23" s="24"/>
      <x:c r="M23" s="24"/>
      <x:c r="N23" s="24"/>
      <x:c r="O23" s="24"/>
      <x:c r="P23" s="24"/>
      <x:c r="Q23" s="24" t="str">
        <x:v>DISPONÍVEL</x:v>
      </x:c>
      <x:c r="R23" s="24"/>
      <x:c r="S23" s="24" t="n">
        <x:v>12</x:v>
      </x:c>
      <x:c r="T23" s="24" t="str">
        <x:v>tabela_hoya(1).pdf</x:v>
      </x:c>
      <x:c r="U23" s="24" t="str">
        <x:v>HOYA|Visão Simples|Surfaçada|Nulux iDentity V+|COLORIDAS|EYAS 2.0|1.60|Hi-Vision Sun Pro|-13.00 até +8.00||||||12</x:v>
      </x:c>
    </x:row>
    <x:row r="24">
      <x:c r="A24" s="24" t="str">
        <x:v>HY-72877F8748FF</x:v>
      </x:c>
      <x:c r="B24" s="24" t="str">
        <x:v>HOYA</x:v>
      </x:c>
      <x:c r="C24" s="24" t="str">
        <x:v>Visão Simples</x:v>
      </x:c>
      <x:c r="D24" s="24" t="str">
        <x:v>Surfaçada</x:v>
      </x:c>
      <x:c r="E24" s="24" t="str">
        <x:v>Nulux iDentity V+</x:v>
      </x:c>
      <x:c r="F24" s="24" t="str">
        <x:v>COLORIDAS</x:v>
      </x:c>
      <x:c r="G24" s="24" t="str">
        <x:v>PNX</x:v>
      </x:c>
      <x:c r="H24" s="24" t="str">
        <x:v>1.53</x:v>
      </x:c>
      <x:c r="I24" s="24" t="str">
        <x:v>Hi-Vision Sun Pro</x:v>
      </x:c>
      <x:c r="J24" s="40" t="n">
        <x:v>2539</x:v>
      </x:c>
      <x:c r="K24" s="24" t="str">
        <x:v>-13.00 até +9.00</x:v>
      </x:c>
      <x:c r="L24" s="24"/>
      <x:c r="M24" s="24"/>
      <x:c r="N24" s="24"/>
      <x:c r="O24" s="24"/>
      <x:c r="P24" s="24"/>
      <x:c r="Q24" s="24" t="str">
        <x:v>DISPONÍVEL</x:v>
      </x:c>
      <x:c r="R24" s="24"/>
      <x:c r="S24" s="24" t="n">
        <x:v>12</x:v>
      </x:c>
      <x:c r="T24" s="24" t="str">
        <x:v>tabela_hoya(1).pdf</x:v>
      </x:c>
      <x:c r="U24" s="24" t="str">
        <x:v>HOYA|Visão Simples|Surfaçada|Nulux iDentity V+|COLORIDAS|PNX|1.53|Hi-Vision Sun Pro|-13.00 até +9.00||||||12</x:v>
      </x:c>
    </x:row>
    <x:row r="25">
      <x:c r="A25" s="24" t="str">
        <x:v>HY-BB883D9FD7EA</x:v>
      </x:c>
      <x:c r="B25" s="24" t="str">
        <x:v>HOYA</x:v>
      </x:c>
      <x:c r="C25" s="24" t="str">
        <x:v>Visão Simples</x:v>
      </x:c>
      <x:c r="D25" s="24" t="str">
        <x:v>Surfaçada</x:v>
      </x:c>
      <x:c r="E25" s="24" t="str">
        <x:v>Nulux iDentity V+</x:v>
      </x:c>
      <x:c r="F25" s="24" t="str">
        <x:v>COLORIDAS</x:v>
      </x:c>
      <x:c r="G25" s="24" t="str">
        <x:v>ORGANIC</x:v>
      </x:c>
      <x:c r="H25" s="24" t="str">
        <x:v>1.50</x:v>
      </x:c>
      <x:c r="I25" s="24" t="str">
        <x:v>Hi-Vision Sun Pro</x:v>
      </x:c>
      <x:c r="J25" s="40" t="n">
        <x:v>2189</x:v>
      </x:c>
      <x:c r="K25" s="24" t="str">
        <x:v>-10.00 até +10.00</x:v>
      </x:c>
      <x:c r="L25" s="24"/>
      <x:c r="M25" s="24"/>
      <x:c r="N25" s="24"/>
      <x:c r="O25" s="24"/>
      <x:c r="P25" s="24"/>
      <x:c r="Q25" s="24" t="str">
        <x:v>DISPONÍVEL</x:v>
      </x:c>
      <x:c r="R25" s="24"/>
      <x:c r="S25" s="24" t="n">
        <x:v>12</x:v>
      </x:c>
      <x:c r="T25" s="24" t="str">
        <x:v>tabela_hoya(1).pdf</x:v>
      </x:c>
      <x:c r="U25" s="24" t="str">
        <x:v>HOYA|Visão Simples|Surfaçada|Nulux iDentity V+|COLORIDAS|ORGANIC|1.50|Hi-Vision Sun Pro|-10.00 até +10.00||||||12</x:v>
      </x:c>
    </x:row>
    <x:row r="26">
      <x:c r="A26" s="24" t="str">
        <x:v>HY-8167C2D63F1B</x:v>
      </x:c>
      <x:c r="B26" s="24" t="str">
        <x:v>HOYA</x:v>
      </x:c>
      <x:c r="C26" s="24" t="str">
        <x:v>Visão Simples</x:v>
      </x:c>
      <x:c r="D26" s="24" t="str">
        <x:v>Surfaçada</x:v>
      </x:c>
      <x:c r="E26" s="24" t="str">
        <x:v>Nulux iDentity V+</x:v>
      </x:c>
      <x:c r="F26" s="24" t="str">
        <x:v>SENSITY SHINE</x:v>
      </x:c>
      <x:c r="G26" s="24" t="str">
        <x:v>EYNOA</x:v>
      </x:c>
      <x:c r="H26" s="24" t="str">
        <x:v>1.67</x:v>
      </x:c>
      <x:c r="I26" s="24" t="str">
        <x:v>Light Mirror</x:v>
      </x:c>
      <x:c r="J26" s="40" t="n">
        <x:v>5449</x:v>
      </x:c>
      <x:c r="K26" s="24" t="str">
        <x:v>-15.00 até +10.00</x:v>
      </x:c>
      <x:c r="L26" s="24"/>
      <x:c r="M26" s="24"/>
      <x:c r="N26" s="24"/>
      <x:c r="O26" s="24"/>
      <x:c r="P26" s="24"/>
      <x:c r="Q26" s="24" t="str">
        <x:v>DISPONÍVEL</x:v>
      </x:c>
      <x:c r="R26" s="24"/>
      <x:c r="S26" s="24" t="n">
        <x:v>12</x:v>
      </x:c>
      <x:c r="T26" s="24" t="str">
        <x:v>tabela_hoya(1).pdf</x:v>
      </x:c>
      <x:c r="U26" s="24" t="str">
        <x:v>HOYA|Visão Simples|Surfaçada|Nulux iDentity V+|SENSITY SHINE|EYNOA|1.67|Light Mirror|-15.00 até +10.00||||||12</x:v>
      </x:c>
    </x:row>
    <x:row r="27">
      <x:c r="A27" s="24" t="str">
        <x:v>HY-D3ACAA74FE62</x:v>
      </x:c>
      <x:c r="B27" s="24" t="str">
        <x:v>HOYA</x:v>
      </x:c>
      <x:c r="C27" s="24" t="str">
        <x:v>Visão Simples</x:v>
      </x:c>
      <x:c r="D27" s="24" t="str">
        <x:v>Surfaçada</x:v>
      </x:c>
      <x:c r="E27" s="24" t="str">
        <x:v>Nulux iDentity V+</x:v>
      </x:c>
      <x:c r="F27" s="24" t="str">
        <x:v>SENSITY SHINE</x:v>
      </x:c>
      <x:c r="G27" s="24" t="str">
        <x:v>PNX</x:v>
      </x:c>
      <x:c r="H27" s="24" t="str">
        <x:v>1.53</x:v>
      </x:c>
      <x:c r="I27" s="24" t="str">
        <x:v>Light Mirror</x:v>
      </x:c>
      <x:c r="J27" s="40" t="n">
        <x:v>4099</x:v>
      </x:c>
      <x:c r="K27" s="24" t="str">
        <x:v>-13.00 até +9.00</x:v>
      </x:c>
      <x:c r="L27" s="24"/>
      <x:c r="M27" s="24"/>
      <x:c r="N27" s="24"/>
      <x:c r="O27" s="24"/>
      <x:c r="P27" s="24"/>
      <x:c r="Q27" s="24" t="str">
        <x:v>DISPONÍVEL</x:v>
      </x:c>
      <x:c r="R27" s="24"/>
      <x:c r="S27" s="24" t="n">
        <x:v>12</x:v>
      </x:c>
      <x:c r="T27" s="24" t="str">
        <x:v>tabela_hoya(1).pdf</x:v>
      </x:c>
      <x:c r="U27" s="24" t="str">
        <x:v>HOYA|Visão Simples|Surfaçada|Nulux iDentity V+|SENSITY SHINE|PNX|1.53|Light Mirror|-13.00 até +9.00||||||12</x:v>
      </x:c>
    </x:row>
    <x:row r="28">
      <x:c r="A28" s="24" t="str">
        <x:v>HY-A551C2327900</x:v>
      </x:c>
      <x:c r="B28" s="24" t="str">
        <x:v>HOYA</x:v>
      </x:c>
      <x:c r="C28" s="24" t="str">
        <x:v>Visão Simples</x:v>
      </x:c>
      <x:c r="D28" s="24" t="str">
        <x:v>Surfaçada</x:v>
      </x:c>
      <x:c r="E28" s="24" t="str">
        <x:v>Nulux iDentity V+</x:v>
      </x:c>
      <x:c r="F28" s="24" t="str">
        <x:v>SENSITY SHINE</x:v>
      </x:c>
      <x:c r="G28" s="24" t="str">
        <x:v>ORGANIC</x:v>
      </x:c>
      <x:c r="H28" s="24" t="str">
        <x:v>1.50</x:v>
      </x:c>
      <x:c r="I28" s="24" t="str">
        <x:v>Light Mirror</x:v>
      </x:c>
      <x:c r="J28" s="40" t="n">
        <x:v>3749</x:v>
      </x:c>
      <x:c r="K28" s="24" t="str">
        <x:v>-10.00 até +10.00</x:v>
      </x:c>
      <x:c r="L28" s="24"/>
      <x:c r="M28" s="24"/>
      <x:c r="N28" s="24"/>
      <x:c r="O28" s="24"/>
      <x:c r="P28" s="24"/>
      <x:c r="Q28" s="24" t="str">
        <x:v>DISPONÍVEL</x:v>
      </x:c>
      <x:c r="R28" s="24"/>
      <x:c r="S28" s="24" t="n">
        <x:v>12</x:v>
      </x:c>
      <x:c r="T28" s="24" t="str">
        <x:v>tabela_hoya(1).pdf</x:v>
      </x:c>
      <x:c r="U28" s="24" t="str">
        <x:v>HOYA|Visão Simples|Surfaçada|Nulux iDentity V+|SENSITY SHINE|ORGANIC|1.50|Light Mirror|-10.00 até +10.00||||||12</x:v>
      </x:c>
    </x:row>
    <x:row r="29">
      <x:c r="A29" s="24" t="str">
        <x:v>HY-D9FC250B6153</x:v>
      </x:c>
      <x:c r="B29" s="24" t="str">
        <x:v>HOYA</x:v>
      </x:c>
      <x:c r="C29" s="24" t="str">
        <x:v>Visão Simples</x:v>
      </x:c>
      <x:c r="D29" s="24" t="str">
        <x:v>Surfaçada</x:v>
      </x:c>
      <x:c r="E29" s="24" t="str">
        <x:v>Nulux TrueForm</x:v>
      </x:c>
      <x:c r="F29" s="24" t="str">
        <x:v>INCOLOR</x:v>
      </x:c>
      <x:c r="G29" s="24" t="str">
        <x:v>EYNOA</x:v>
      </x:c>
      <x:c r="H29" s="24" t="str">
        <x:v>1.67</x:v>
      </x:c>
      <x:c r="I29" s="24" t="str">
        <x:v>Hi-Vision LongLife BlueControl</x:v>
      </x:c>
      <x:c r="J29" s="40" t="n">
        <x:v>3309</x:v>
      </x:c>
      <x:c r="K29" s="24" t="str">
        <x:v>-10.00 até +8.00</x:v>
      </x:c>
      <x:c r="L29" s="24"/>
      <x:c r="M29" s="24"/>
      <x:c r="N29" s="24"/>
      <x:c r="O29" s="24"/>
      <x:c r="P29" s="24"/>
      <x:c r="Q29" s="24" t="str">
        <x:v>DISPONÍVEL</x:v>
      </x:c>
      <x:c r="R29" s="24"/>
      <x:c r="S29" s="24" t="n">
        <x:v>13</x:v>
      </x:c>
      <x:c r="T29" s="24" t="str">
        <x:v>tabela_hoya(1).pdf</x:v>
      </x:c>
      <x:c r="U29" s="24" t="str">
        <x:v>HOYA|Visão Simples|Surfaçada|Nulux TrueForm|INCOLOR|EYNOA|1.67|Hi-Vision LongLife BlueControl|-10.00 até +8.00||||||13</x:v>
      </x:c>
    </x:row>
    <x:row r="30">
      <x:c r="A30" s="24" t="str">
        <x:v>HY-A30A2367B56C</x:v>
      </x:c>
      <x:c r="B30" s="24" t="str">
        <x:v>HOYA</x:v>
      </x:c>
      <x:c r="C30" s="24" t="str">
        <x:v>Visão Simples</x:v>
      </x:c>
      <x:c r="D30" s="24" t="str">
        <x:v>Surfaçada</x:v>
      </x:c>
      <x:c r="E30" s="24" t="str">
        <x:v>Nulux TrueForm</x:v>
      </x:c>
      <x:c r="F30" s="24" t="str">
        <x:v>INCOLOR</x:v>
      </x:c>
      <x:c r="G30" s="24" t="str">
        <x:v>EYAS 2.0</x:v>
      </x:c>
      <x:c r="H30" s="24" t="str">
        <x:v>1.60</x:v>
      </x:c>
      <x:c r="I30" s="24" t="str">
        <x:v>Hi-Vision LongLife BlueControl</x:v>
      </x:c>
      <x:c r="J30" s="40" t="n">
        <x:v>2509</x:v>
      </x:c>
      <x:c r="K30" s="24" t="str">
        <x:v>-10.00 até +8.00</x:v>
      </x:c>
      <x:c r="L30" s="24"/>
      <x:c r="M30" s="24"/>
      <x:c r="N30" s="24"/>
      <x:c r="O30" s="24"/>
      <x:c r="P30" s="24"/>
      <x:c r="Q30" s="24" t="str">
        <x:v>DISPONÍVEL</x:v>
      </x:c>
      <x:c r="R30" s="24"/>
      <x:c r="S30" s="24" t="n">
        <x:v>13</x:v>
      </x:c>
      <x:c r="T30" s="24" t="str">
        <x:v>tabela_hoya(1).pdf</x:v>
      </x:c>
      <x:c r="U30" s="24" t="str">
        <x:v>HOYA|Visão Simples|Surfaçada|Nulux TrueForm|INCOLOR|EYAS 2.0|1.60|Hi-Vision LongLife BlueControl|-10.00 até +8.00||||||13</x:v>
      </x:c>
    </x:row>
    <x:row r="31">
      <x:c r="A31" s="24" t="str">
        <x:v>HY-9B9E249A582B</x:v>
      </x:c>
      <x:c r="B31" s="24" t="str">
        <x:v>HOYA</x:v>
      </x:c>
      <x:c r="C31" s="24" t="str">
        <x:v>Visão Simples</x:v>
      </x:c>
      <x:c r="D31" s="24" t="str">
        <x:v>Surfaçada</x:v>
      </x:c>
      <x:c r="E31" s="24" t="str">
        <x:v>Nulux TrueForm</x:v>
      </x:c>
      <x:c r="F31" s="24" t="str">
        <x:v>INCOLOR</x:v>
      </x:c>
      <x:c r="G31" s="24" t="str">
        <x:v>PNX</x:v>
      </x:c>
      <x:c r="H31" s="24" t="str">
        <x:v>1.53</x:v>
      </x:c>
      <x:c r="I31" s="24" t="str">
        <x:v>Hi-Vision LongLife BlueControl</x:v>
      </x:c>
      <x:c r="J31" s="40" t="n">
        <x:v>2049</x:v>
      </x:c>
      <x:c r="K31" s="24" t="str">
        <x:v>-10.00 até +8.00</x:v>
      </x:c>
      <x:c r="L31" s="24"/>
      <x:c r="M31" s="24"/>
      <x:c r="N31" s="24"/>
      <x:c r="O31" s="24"/>
      <x:c r="P31" s="24"/>
      <x:c r="Q31" s="24" t="str">
        <x:v>DISPONÍVEL</x:v>
      </x:c>
      <x:c r="R31" s="24"/>
      <x:c r="S31" s="24" t="n">
        <x:v>13</x:v>
      </x:c>
      <x:c r="T31" s="24" t="str">
        <x:v>tabela_hoya(1).pdf</x:v>
      </x:c>
      <x:c r="U31" s="24" t="str">
        <x:v>HOYA|Visão Simples|Surfaçada|Nulux TrueForm|INCOLOR|PNX|1.53|Hi-Vision LongLife BlueControl|-10.00 até +8.00||||||13</x:v>
      </x:c>
    </x:row>
    <x:row r="32">
      <x:c r="A32" s="24" t="str">
        <x:v>HY-951429034C3A</x:v>
      </x:c>
      <x:c r="B32" s="24" t="str">
        <x:v>HOYA</x:v>
      </x:c>
      <x:c r="C32" s="24" t="str">
        <x:v>Visão Simples</x:v>
      </x:c>
      <x:c r="D32" s="24" t="str">
        <x:v>Surfaçada</x:v>
      </x:c>
      <x:c r="E32" s="24" t="str">
        <x:v>Nulux TrueForm</x:v>
      </x:c>
      <x:c r="F32" s="24" t="str">
        <x:v>INCOLOR</x:v>
      </x:c>
      <x:c r="G32" s="24" t="str">
        <x:v>ORGANIC</x:v>
      </x:c>
      <x:c r="H32" s="24" t="str">
        <x:v>1.50</x:v>
      </x:c>
      <x:c r="I32" s="24" t="str">
        <x:v>Hi-Vision LongLife BlueControl</x:v>
      </x:c>
      <x:c r="J32" s="40" t="n">
        <x:v>1699</x:v>
      </x:c>
      <x:c r="K32" s="24" t="str">
        <x:v>-10.00 até +8.00</x:v>
      </x:c>
      <x:c r="L32" s="24"/>
      <x:c r="M32" s="24"/>
      <x:c r="N32" s="24"/>
      <x:c r="O32" s="24"/>
      <x:c r="P32" s="24"/>
      <x:c r="Q32" s="24" t="str">
        <x:v>DISPONÍVEL</x:v>
      </x:c>
      <x:c r="R32" s="24"/>
      <x:c r="S32" s="24" t="n">
        <x:v>13</x:v>
      </x:c>
      <x:c r="T32" s="24" t="str">
        <x:v>tabela_hoya(1).pdf</x:v>
      </x:c>
      <x:c r="U32" s="24" t="str">
        <x:v>HOYA|Visão Simples|Surfaçada|Nulux TrueForm|INCOLOR|ORGANIC|1.50|Hi-Vision LongLife BlueControl|-10.00 até +8.00||||||13</x:v>
      </x:c>
    </x:row>
    <x:row r="33">
      <x:c r="A33" s="24" t="str">
        <x:v>HY-22BE9469D16B</x:v>
      </x:c>
      <x:c r="B33" s="24" t="str">
        <x:v>HOYA</x:v>
      </x:c>
      <x:c r="C33" s="24" t="str">
        <x:v>Visão Simples</x:v>
      </x:c>
      <x:c r="D33" s="24" t="str">
        <x:v>Surfaçada</x:v>
      </x:c>
      <x:c r="E33" s="24" t="str">
        <x:v>Nulux TrueForm</x:v>
      </x:c>
      <x:c r="F33" s="24" t="str">
        <x:v>INCOLOR</x:v>
      </x:c>
      <x:c r="G33" s="24" t="str">
        <x:v>EYNOA</x:v>
      </x:c>
      <x:c r="H33" s="24" t="str">
        <x:v>1.67</x:v>
      </x:c>
      <x:c r="I33" s="24" t="str">
        <x:v>No-Risk BlueControl</x:v>
      </x:c>
      <x:c r="J33" s="40" t="n">
        <x:v>3059</x:v>
      </x:c>
      <x:c r="K33" s="24" t="str">
        <x:v>-10.00 até +8.00</x:v>
      </x:c>
      <x:c r="L33" s="24"/>
      <x:c r="M33" s="24"/>
      <x:c r="N33" s="24"/>
      <x:c r="O33" s="24"/>
      <x:c r="P33" s="24"/>
      <x:c r="Q33" s="24" t="str">
        <x:v>DISPONÍVEL</x:v>
      </x:c>
      <x:c r="R33" s="24"/>
      <x:c r="S33" s="24" t="n">
        <x:v>13</x:v>
      </x:c>
      <x:c r="T33" s="24" t="str">
        <x:v>tabela_hoya(1).pdf</x:v>
      </x:c>
      <x:c r="U33" s="24" t="str">
        <x:v>HOYA|Visão Simples|Surfaçada|Nulux TrueForm|INCOLOR|EYNOA|1.67|No-Risk BlueControl|-10.00 até +8.00||||||13</x:v>
      </x:c>
    </x:row>
    <x:row r="34">
      <x:c r="A34" s="24" t="str">
        <x:v>HY-68DC5C1332C2</x:v>
      </x:c>
      <x:c r="B34" s="24" t="str">
        <x:v>HOYA</x:v>
      </x:c>
      <x:c r="C34" s="24" t="str">
        <x:v>Visão Simples</x:v>
      </x:c>
      <x:c r="D34" s="24" t="str">
        <x:v>Surfaçada</x:v>
      </x:c>
      <x:c r="E34" s="24" t="str">
        <x:v>Nulux TrueForm</x:v>
      </x:c>
      <x:c r="F34" s="24" t="str">
        <x:v>INCOLOR</x:v>
      </x:c>
      <x:c r="G34" s="24" t="str">
        <x:v>EYAS 2.0</x:v>
      </x:c>
      <x:c r="H34" s="24" t="str">
        <x:v>1.60</x:v>
      </x:c>
      <x:c r="I34" s="24" t="str">
        <x:v>No-Risk BlueControl</x:v>
      </x:c>
      <x:c r="J34" s="40" t="n">
        <x:v>2259</x:v>
      </x:c>
      <x:c r="K34" s="24" t="str">
        <x:v>-10.00 até +8.00</x:v>
      </x:c>
      <x:c r="L34" s="24"/>
      <x:c r="M34" s="24"/>
      <x:c r="N34" s="24"/>
      <x:c r="O34" s="24"/>
      <x:c r="P34" s="24"/>
      <x:c r="Q34" s="24" t="str">
        <x:v>DISPONÍVEL</x:v>
      </x:c>
      <x:c r="R34" s="24"/>
      <x:c r="S34" s="24" t="n">
        <x:v>13</x:v>
      </x:c>
      <x:c r="T34" s="24" t="str">
        <x:v>tabela_hoya(1).pdf</x:v>
      </x:c>
      <x:c r="U34" s="24" t="str">
        <x:v>HOYA|Visão Simples|Surfaçada|Nulux TrueForm|INCOLOR|EYAS 2.0|1.60|No-Risk BlueControl|-10.00 até +8.00||||||13</x:v>
      </x:c>
    </x:row>
    <x:row r="35">
      <x:c r="A35" s="24" t="str">
        <x:v>HY-9D9DF9DB45CA</x:v>
      </x:c>
      <x:c r="B35" s="24" t="str">
        <x:v>HOYA</x:v>
      </x:c>
      <x:c r="C35" s="24" t="str">
        <x:v>Visão Simples</x:v>
      </x:c>
      <x:c r="D35" s="24" t="str">
        <x:v>Surfaçada</x:v>
      </x:c>
      <x:c r="E35" s="24" t="str">
        <x:v>Nulux TrueForm</x:v>
      </x:c>
      <x:c r="F35" s="24" t="str">
        <x:v>INCOLOR</x:v>
      </x:c>
      <x:c r="G35" s="24" t="str">
        <x:v>POLI</x:v>
      </x:c>
      <x:c r="H35" s="24" t="str">
        <x:v>1.59</x:v>
      </x:c>
      <x:c r="I35" s="24" t="str">
        <x:v>No-Risk BlueControl</x:v>
      </x:c>
      <x:c r="J35" s="40" t="n">
        <x:v>1799</x:v>
      </x:c>
      <x:c r="K35" s="24" t="str">
        <x:v>-10.00 até +6.00</x:v>
      </x:c>
      <x:c r="L35" s="24"/>
      <x:c r="M35" s="24"/>
      <x:c r="N35" s="24"/>
      <x:c r="O35" s="24"/>
      <x:c r="P35" s="24"/>
      <x:c r="Q35" s="24" t="str">
        <x:v>DISPONÍVEL</x:v>
      </x:c>
      <x:c r="R35" s="24"/>
      <x:c r="S35" s="24" t="n">
        <x:v>13</x:v>
      </x:c>
      <x:c r="T35" s="24" t="str">
        <x:v>tabela_hoya(1).pdf</x:v>
      </x:c>
      <x:c r="U35" s="24" t="str">
        <x:v>HOYA|Visão Simples|Surfaçada|Nulux TrueForm|INCOLOR|POLI|1.59|No-Risk BlueControl|-10.00 até +6.00||||||13</x:v>
      </x:c>
    </x:row>
    <x:row r="36">
      <x:c r="A36" s="24" t="str">
        <x:v>HY-52D936C9EC30</x:v>
      </x:c>
      <x:c r="B36" s="24" t="str">
        <x:v>HOYA</x:v>
      </x:c>
      <x:c r="C36" s="24" t="str">
        <x:v>Visão Simples</x:v>
      </x:c>
      <x:c r="D36" s="24" t="str">
        <x:v>Surfaçada</x:v>
      </x:c>
      <x:c r="E36" s="24" t="str">
        <x:v>Nulux TrueForm</x:v>
      </x:c>
      <x:c r="F36" s="24" t="str">
        <x:v>INCOLOR</x:v>
      </x:c>
      <x:c r="G36" s="24" t="str">
        <x:v>PNX</x:v>
      </x:c>
      <x:c r="H36" s="24" t="str">
        <x:v>1.53</x:v>
      </x:c>
      <x:c r="I36" s="24" t="str">
        <x:v>No-Risk BlueControl</x:v>
      </x:c>
      <x:c r="J36" s="40" t="n">
        <x:v>1799</x:v>
      </x:c>
      <x:c r="K36" s="24" t="str">
        <x:v>-10.00 até +8.00</x:v>
      </x:c>
      <x:c r="L36" s="24"/>
      <x:c r="M36" s="24"/>
      <x:c r="N36" s="24"/>
      <x:c r="O36" s="24"/>
      <x:c r="P36" s="24"/>
      <x:c r="Q36" s="24" t="str">
        <x:v>DISPONÍVEL</x:v>
      </x:c>
      <x:c r="R36" s="24"/>
      <x:c r="S36" s="24" t="n">
        <x:v>13</x:v>
      </x:c>
      <x:c r="T36" s="24" t="str">
        <x:v>tabela_hoya(1).pdf</x:v>
      </x:c>
      <x:c r="U36" s="24" t="str">
        <x:v>HOYA|Visão Simples|Surfaçada|Nulux TrueForm|INCOLOR|PNX|1.53|No-Risk BlueControl|-10.00 até +8.00||||||13</x:v>
      </x:c>
    </x:row>
    <x:row r="37">
      <x:c r="A37" s="24" t="str">
        <x:v>HY-E7C8028C1865</x:v>
      </x:c>
      <x:c r="B37" s="24" t="str">
        <x:v>HOYA</x:v>
      </x:c>
      <x:c r="C37" s="24" t="str">
        <x:v>Visão Simples</x:v>
      </x:c>
      <x:c r="D37" s="24" t="str">
        <x:v>Surfaçada</x:v>
      </x:c>
      <x:c r="E37" s="24" t="str">
        <x:v>Nulux TrueForm</x:v>
      </x:c>
      <x:c r="F37" s="24" t="str">
        <x:v>INCOLOR</x:v>
      </x:c>
      <x:c r="G37" s="24" t="str">
        <x:v>ORGANIC</x:v>
      </x:c>
      <x:c r="H37" s="24" t="str">
        <x:v>1.50</x:v>
      </x:c>
      <x:c r="I37" s="24" t="str">
        <x:v>No-Risk BlueControl</x:v>
      </x:c>
      <x:c r="J37" s="40" t="n">
        <x:v>1449</x:v>
      </x:c>
      <x:c r="K37" s="24" t="str">
        <x:v>-10.00 até +8.00</x:v>
      </x:c>
      <x:c r="L37" s="24"/>
      <x:c r="M37" s="24"/>
      <x:c r="N37" s="24"/>
      <x:c r="O37" s="24"/>
      <x:c r="P37" s="24"/>
      <x:c r="Q37" s="24" t="str">
        <x:v>DISPONÍVEL</x:v>
      </x:c>
      <x:c r="R37" s="24"/>
      <x:c r="S37" s="24" t="n">
        <x:v>13</x:v>
      </x:c>
      <x:c r="T37" s="24" t="str">
        <x:v>tabela_hoya(1).pdf</x:v>
      </x:c>
      <x:c r="U37" s="24" t="str">
        <x:v>HOYA|Visão Simples|Surfaçada|Nulux TrueForm|INCOLOR|ORGANIC|1.50|No-Risk BlueControl|-10.00 até +8.00||||||13</x:v>
      </x:c>
    </x:row>
    <x:row r="38">
      <x:c r="A38" s="24" t="str">
        <x:v>HY-0B23B5BB6FF0</x:v>
      </x:c>
      <x:c r="B38" s="24" t="str">
        <x:v>HOYA</x:v>
      </x:c>
      <x:c r="C38" s="24" t="str">
        <x:v>Visão Simples</x:v>
      </x:c>
      <x:c r="D38" s="24" t="str">
        <x:v>Surfaçada</x:v>
      </x:c>
      <x:c r="E38" s="24" t="str">
        <x:v>Nulux TrueForm</x:v>
      </x:c>
      <x:c r="F38" s="24" t="str">
        <x:v>INCOLOR</x:v>
      </x:c>
      <x:c r="G38" s="24" t="str">
        <x:v>EYNOA</x:v>
      </x:c>
      <x:c r="H38" s="24" t="str">
        <x:v>1.67</x:v>
      </x:c>
      <x:c r="I38" s="24" t="str">
        <x:v>Hi-Vision Hard</x:v>
      </x:c>
      <x:c r="J38" s="40" t="n">
        <x:v>2439</x:v>
      </x:c>
      <x:c r="K38" s="24" t="str">
        <x:v>-10.00 até +8.00</x:v>
      </x:c>
      <x:c r="L38" s="24"/>
      <x:c r="M38" s="24"/>
      <x:c r="N38" s="24"/>
      <x:c r="O38" s="24"/>
      <x:c r="P38" s="24"/>
      <x:c r="Q38" s="24" t="str">
        <x:v>DISPONÍVEL</x:v>
      </x:c>
      <x:c r="R38" s="24"/>
      <x:c r="S38" s="24" t="n">
        <x:v>13</x:v>
      </x:c>
      <x:c r="T38" s="24" t="str">
        <x:v>tabela_hoya(1).pdf</x:v>
      </x:c>
      <x:c r="U38" s="24" t="str">
        <x:v>HOYA|Visão Simples|Surfaçada|Nulux TrueForm|INCOLOR|EYNOA|1.67|Hi-Vision Hard|-10.00 até +8.00||||||13</x:v>
      </x:c>
    </x:row>
    <x:row r="39">
      <x:c r="A39" s="24" t="str">
        <x:v>HY-F0D3433CE6FF</x:v>
      </x:c>
      <x:c r="B39" s="24" t="str">
        <x:v>HOYA</x:v>
      </x:c>
      <x:c r="C39" s="24" t="str">
        <x:v>Visão Simples</x:v>
      </x:c>
      <x:c r="D39" s="24" t="str">
        <x:v>Surfaçada</x:v>
      </x:c>
      <x:c r="E39" s="24" t="str">
        <x:v>Nulux TrueForm</x:v>
      </x:c>
      <x:c r="F39" s="24" t="str">
        <x:v>INCOLOR</x:v>
      </x:c>
      <x:c r="G39" s="24" t="str">
        <x:v>EYAS 2.0</x:v>
      </x:c>
      <x:c r="H39" s="24" t="str">
        <x:v>1.60</x:v>
      </x:c>
      <x:c r="I39" s="24" t="str">
        <x:v>Hi-Vision Hard</x:v>
      </x:c>
      <x:c r="J39" s="40" t="n">
        <x:v>1639</x:v>
      </x:c>
      <x:c r="K39" s="24" t="str">
        <x:v>-10.00 até +8.00</x:v>
      </x:c>
      <x:c r="L39" s="24"/>
      <x:c r="M39" s="24"/>
      <x:c r="N39" s="24"/>
      <x:c r="O39" s="24"/>
      <x:c r="P39" s="24"/>
      <x:c r="Q39" s="24" t="str">
        <x:v>DISPONÍVEL</x:v>
      </x:c>
      <x:c r="R39" s="24"/>
      <x:c r="S39" s="24" t="n">
        <x:v>13</x:v>
      </x:c>
      <x:c r="T39" s="24" t="str">
        <x:v>tabela_hoya(1).pdf</x:v>
      </x:c>
      <x:c r="U39" s="24" t="str">
        <x:v>HOYA|Visão Simples|Surfaçada|Nulux TrueForm|INCOLOR|EYAS 2.0|1.60|Hi-Vision Hard|-10.00 até +8.00||||||13</x:v>
      </x:c>
    </x:row>
    <x:row r="40">
      <x:c r="A40" s="24" t="str">
        <x:v>HY-DA4BDFAD3A6A</x:v>
      </x:c>
      <x:c r="B40" s="24" t="str">
        <x:v>HOYA</x:v>
      </x:c>
      <x:c r="C40" s="24" t="str">
        <x:v>Visão Simples</x:v>
      </x:c>
      <x:c r="D40" s="24" t="str">
        <x:v>Surfaçada</x:v>
      </x:c>
      <x:c r="E40" s="24" t="str">
        <x:v>Nulux TrueForm</x:v>
      </x:c>
      <x:c r="F40" s="24" t="str">
        <x:v>INCOLOR</x:v>
      </x:c>
      <x:c r="G40" s="24" t="str">
        <x:v>POLI</x:v>
      </x:c>
      <x:c r="H40" s="24" t="str">
        <x:v>1.59</x:v>
      </x:c>
      <x:c r="I40" s="24" t="str">
        <x:v>Hi-Vision Hard</x:v>
      </x:c>
      <x:c r="J40" s="40" t="n">
        <x:v>1179</x:v>
      </x:c>
      <x:c r="K40" s="24" t="str">
        <x:v>-10.00 até +6.00</x:v>
      </x:c>
      <x:c r="L40" s="24"/>
      <x:c r="M40" s="24"/>
      <x:c r="N40" s="24"/>
      <x:c r="O40" s="24"/>
      <x:c r="P40" s="24"/>
      <x:c r="Q40" s="24" t="str">
        <x:v>DISPONÍVEL</x:v>
      </x:c>
      <x:c r="R40" s="24"/>
      <x:c r="S40" s="24" t="n">
        <x:v>13</x:v>
      </x:c>
      <x:c r="T40" s="24" t="str">
        <x:v>tabela_hoya(1).pdf</x:v>
      </x:c>
      <x:c r="U40" s="24" t="str">
        <x:v>HOYA|Visão Simples|Surfaçada|Nulux TrueForm|INCOLOR|POLI|1.59|Hi-Vision Hard|-10.00 até +6.00||||||13</x:v>
      </x:c>
    </x:row>
    <x:row r="41">
      <x:c r="A41" s="24" t="str">
        <x:v>HY-C01D0826B42B</x:v>
      </x:c>
      <x:c r="B41" s="24" t="str">
        <x:v>HOYA</x:v>
      </x:c>
      <x:c r="C41" s="24" t="str">
        <x:v>Visão Simples</x:v>
      </x:c>
      <x:c r="D41" s="24" t="str">
        <x:v>Surfaçada</x:v>
      </x:c>
      <x:c r="E41" s="24" t="str">
        <x:v>Nulux TrueForm</x:v>
      </x:c>
      <x:c r="F41" s="24" t="str">
        <x:v>INCOLOR</x:v>
      </x:c>
      <x:c r="G41" s="24" t="str">
        <x:v>PNX</x:v>
      </x:c>
      <x:c r="H41" s="24" t="str">
        <x:v>1.53</x:v>
      </x:c>
      <x:c r="I41" s="24" t="str">
        <x:v>Hi-Vision Hard</x:v>
      </x:c>
      <x:c r="J41" s="40" t="n">
        <x:v>1179</x:v>
      </x:c>
      <x:c r="K41" s="24" t="str">
        <x:v>-10.00 até +8.00</x:v>
      </x:c>
      <x:c r="L41" s="24"/>
      <x:c r="M41" s="24"/>
      <x:c r="N41" s="24"/>
      <x:c r="O41" s="24"/>
      <x:c r="P41" s="24"/>
      <x:c r="Q41" s="24" t="str">
        <x:v>DISPONÍVEL</x:v>
      </x:c>
      <x:c r="R41" s="24"/>
      <x:c r="S41" s="24" t="n">
        <x:v>13</x:v>
      </x:c>
      <x:c r="T41" s="24" t="str">
        <x:v>tabela_hoya(1).pdf</x:v>
      </x:c>
      <x:c r="U41" s="24" t="str">
        <x:v>HOYA|Visão Simples|Surfaçada|Nulux TrueForm|INCOLOR|PNX|1.53|Hi-Vision Hard|-10.00 até +8.00||||||13</x:v>
      </x:c>
    </x:row>
    <x:row r="42">
      <x:c r="A42" s="24" t="str">
        <x:v>HY-60F03D7487C0</x:v>
      </x:c>
      <x:c r="B42" s="24" t="str">
        <x:v>HOYA</x:v>
      </x:c>
      <x:c r="C42" s="24" t="str">
        <x:v>Visão Simples</x:v>
      </x:c>
      <x:c r="D42" s="24" t="str">
        <x:v>Surfaçada</x:v>
      </x:c>
      <x:c r="E42" s="24" t="str">
        <x:v>Nulux TrueForm</x:v>
      </x:c>
      <x:c r="F42" s="24" t="str">
        <x:v>INCOLOR</x:v>
      </x:c>
      <x:c r="G42" s="24" t="str">
        <x:v>ORGANIC</x:v>
      </x:c>
      <x:c r="H42" s="24" t="str">
        <x:v>1.50</x:v>
      </x:c>
      <x:c r="I42" s="24" t="str">
        <x:v>Hi-Vision Hard</x:v>
      </x:c>
      <x:c r="J42" s="40" t="n">
        <x:v>829</x:v>
      </x:c>
      <x:c r="K42" s="24" t="str">
        <x:v>-10.00 até +8.00</x:v>
      </x:c>
      <x:c r="L42" s="24"/>
      <x:c r="M42" s="24"/>
      <x:c r="N42" s="24"/>
      <x:c r="O42" s="24"/>
      <x:c r="P42" s="24"/>
      <x:c r="Q42" s="24" t="str">
        <x:v>DISPONÍVEL</x:v>
      </x:c>
      <x:c r="R42" s="24"/>
      <x:c r="S42" s="24" t="n">
        <x:v>13</x:v>
      </x:c>
      <x:c r="T42" s="24" t="str">
        <x:v>tabela_hoya(1).pdf</x:v>
      </x:c>
      <x:c r="U42" s="24" t="str">
        <x:v>HOYA|Visão Simples|Surfaçada|Nulux TrueForm|INCOLOR|ORGANIC|1.50|Hi-Vision Hard|-10.00 até +8.00||||||13</x:v>
      </x:c>
    </x:row>
    <x:row r="43">
      <x:c r="A43" s="24" t="str">
        <x:v>HY-2EE50E26A147</x:v>
      </x:c>
      <x:c r="B43" s="24" t="str">
        <x:v>HOYA</x:v>
      </x:c>
      <x:c r="C43" s="24" t="str">
        <x:v>Visão Simples</x:v>
      </x:c>
      <x:c r="D43" s="24" t="str">
        <x:v>Surfaçada</x:v>
      </x:c>
      <x:c r="E43" s="24" t="str">
        <x:v>Nulux TrueForm</x:v>
      </x:c>
      <x:c r="F43" s="24" t="str">
        <x:v>SENSITY 2</x:v>
      </x:c>
      <x:c r="G43" s="24" t="str">
        <x:v>EYNOA</x:v>
      </x:c>
      <x:c r="H43" s="24" t="str">
        <x:v>1.67</x:v>
      </x:c>
      <x:c r="I43" s="24" t="str">
        <x:v>Hi-Vision LongLife BlueControl</x:v>
      </x:c>
      <x:c r="J43" s="40" t="n">
        <x:v>4509</x:v>
      </x:c>
      <x:c r="K43" s="24" t="str">
        <x:v>-10.00 até +8.00</x:v>
      </x:c>
      <x:c r="L43" s="24"/>
      <x:c r="M43" s="24"/>
      <x:c r="N43" s="24"/>
      <x:c r="O43" s="24"/>
      <x:c r="P43" s="24"/>
      <x:c r="Q43" s="24" t="str">
        <x:v>DISPONÍVEL</x:v>
      </x:c>
      <x:c r="R43" s="24"/>
      <x:c r="S43" s="24" t="n">
        <x:v>13</x:v>
      </x:c>
      <x:c r="T43" s="24" t="str">
        <x:v>tabela_hoya(1).pdf</x:v>
      </x:c>
      <x:c r="U43" s="24" t="str">
        <x:v>HOYA|Visão Simples|Surfaçada|Nulux TrueForm|SENSITY 2|EYNOA|1.67|Hi-Vision LongLife BlueControl|-10.00 até +8.00||||||13</x:v>
      </x:c>
    </x:row>
    <x:row r="44">
      <x:c r="A44" s="24" t="str">
        <x:v>HY-8597CED7AE34</x:v>
      </x:c>
      <x:c r="B44" s="24" t="str">
        <x:v>HOYA</x:v>
      </x:c>
      <x:c r="C44" s="24" t="str">
        <x:v>Visão Simples</x:v>
      </x:c>
      <x:c r="D44" s="24" t="str">
        <x:v>Surfaçada</x:v>
      </x:c>
      <x:c r="E44" s="24" t="str">
        <x:v>Nulux TrueForm</x:v>
      </x:c>
      <x:c r="F44" s="24" t="str">
        <x:v>SENSITY 2</x:v>
      </x:c>
      <x:c r="G44" s="24" t="str">
        <x:v>PNX</x:v>
      </x:c>
      <x:c r="H44" s="24" t="str">
        <x:v>1.53</x:v>
      </x:c>
      <x:c r="I44" s="24" t="str">
        <x:v>Hi-Vision LongLife BlueControl</x:v>
      </x:c>
      <x:c r="J44" s="40" t="n">
        <x:v>3249</x:v>
      </x:c>
      <x:c r="K44" s="24" t="str">
        <x:v>-10.00 até +8.00</x:v>
      </x:c>
      <x:c r="L44" s="24"/>
      <x:c r="M44" s="24"/>
      <x:c r="N44" s="24"/>
      <x:c r="O44" s="24"/>
      <x:c r="P44" s="24"/>
      <x:c r="Q44" s="24" t="str">
        <x:v>DISPONÍVEL</x:v>
      </x:c>
      <x:c r="R44" s="24"/>
      <x:c r="S44" s="24" t="n">
        <x:v>13</x:v>
      </x:c>
      <x:c r="T44" s="24" t="str">
        <x:v>tabela_hoya(1).pdf</x:v>
      </x:c>
      <x:c r="U44" s="24" t="str">
        <x:v>HOYA|Visão Simples|Surfaçada|Nulux TrueForm|SENSITY 2|PNX|1.53|Hi-Vision LongLife BlueControl|-10.00 até +8.00||||||13</x:v>
      </x:c>
    </x:row>
    <x:row r="45">
      <x:c r="A45" s="24" t="str">
        <x:v>HY-09A29B2D7032</x:v>
      </x:c>
      <x:c r="B45" s="24" t="str">
        <x:v>HOYA</x:v>
      </x:c>
      <x:c r="C45" s="24" t="str">
        <x:v>Visão Simples</x:v>
      </x:c>
      <x:c r="D45" s="24" t="str">
        <x:v>Surfaçada</x:v>
      </x:c>
      <x:c r="E45" s="24" t="str">
        <x:v>Nulux TrueForm</x:v>
      </x:c>
      <x:c r="F45" s="24" t="str">
        <x:v>SENSITY 2</x:v>
      </x:c>
      <x:c r="G45" s="24" t="str">
        <x:v>ORGANIC</x:v>
      </x:c>
      <x:c r="H45" s="24" t="str">
        <x:v>1.50</x:v>
      </x:c>
      <x:c r="I45" s="24" t="str">
        <x:v>Hi-Vision LongLife BlueControl</x:v>
      </x:c>
      <x:c r="J45" s="40" t="n">
        <x:v>2899</x:v>
      </x:c>
      <x:c r="K45" s="24" t="str">
        <x:v>-10.00 até +8.00</x:v>
      </x:c>
      <x:c r="L45" s="24"/>
      <x:c r="M45" s="24"/>
      <x:c r="N45" s="24"/>
      <x:c r="O45" s="24"/>
      <x:c r="P45" s="24"/>
      <x:c r="Q45" s="24" t="str">
        <x:v>DISPONÍVEL</x:v>
      </x:c>
      <x:c r="R45" s="24"/>
      <x:c r="S45" s="24" t="n">
        <x:v>13</x:v>
      </x:c>
      <x:c r="T45" s="24" t="str">
        <x:v>tabela_hoya(1).pdf</x:v>
      </x:c>
      <x:c r="U45" s="24" t="str">
        <x:v>HOYA|Visão Simples|Surfaçada|Nulux TrueForm|SENSITY 2|ORGANIC|1.50|Hi-Vision LongLife BlueControl|-10.00 até +8.00||||||13</x:v>
      </x:c>
    </x:row>
    <x:row r="46">
      <x:c r="A46" s="24" t="str">
        <x:v>HY-C6EC803D6E46</x:v>
      </x:c>
      <x:c r="B46" s="24" t="str">
        <x:v>HOYA</x:v>
      </x:c>
      <x:c r="C46" s="24" t="str">
        <x:v>Visão Simples</x:v>
      </x:c>
      <x:c r="D46" s="24" t="str">
        <x:v>Surfaçada</x:v>
      </x:c>
      <x:c r="E46" s="24" t="str">
        <x:v>Nulux TrueForm</x:v>
      </x:c>
      <x:c r="F46" s="24" t="str">
        <x:v>SENSITY 2</x:v>
      </x:c>
      <x:c r="G46" s="24" t="str">
        <x:v>EYNOA</x:v>
      </x:c>
      <x:c r="H46" s="24" t="str">
        <x:v>1.67</x:v>
      </x:c>
      <x:c r="I46" s="24" t="str">
        <x:v>No-Risk BlueControl</x:v>
      </x:c>
      <x:c r="J46" s="40" t="n">
        <x:v>4259</x:v>
      </x:c>
      <x:c r="K46" s="24" t="str">
        <x:v>-10.00 até +8.00</x:v>
      </x:c>
      <x:c r="L46" s="24"/>
      <x:c r="M46" s="24"/>
      <x:c r="N46" s="24"/>
      <x:c r="O46" s="24"/>
      <x:c r="P46" s="24"/>
      <x:c r="Q46" s="24" t="str">
        <x:v>DISPONÍVEL</x:v>
      </x:c>
      <x:c r="R46" s="24"/>
      <x:c r="S46" s="24" t="n">
        <x:v>13</x:v>
      </x:c>
      <x:c r="T46" s="24" t="str">
        <x:v>tabela_hoya(1).pdf</x:v>
      </x:c>
      <x:c r="U46" s="24" t="str">
        <x:v>HOYA|Visão Simples|Surfaçada|Nulux TrueForm|SENSITY 2|EYNOA|1.67|No-Risk BlueControl|-10.00 até +8.00||||||13</x:v>
      </x:c>
    </x:row>
    <x:row r="47">
      <x:c r="A47" s="24" t="str">
        <x:v>HY-6314A168864B</x:v>
      </x:c>
      <x:c r="B47" s="24" t="str">
        <x:v>HOYA</x:v>
      </x:c>
      <x:c r="C47" s="24" t="str">
        <x:v>Visão Simples</x:v>
      </x:c>
      <x:c r="D47" s="24" t="str">
        <x:v>Surfaçada</x:v>
      </x:c>
      <x:c r="E47" s="24" t="str">
        <x:v>Nulux TrueForm</x:v>
      </x:c>
      <x:c r="F47" s="24" t="str">
        <x:v>SENSITY 2</x:v>
      </x:c>
      <x:c r="G47" s="24" t="str">
        <x:v>PNX</x:v>
      </x:c>
      <x:c r="H47" s="24" t="str">
        <x:v>1.53</x:v>
      </x:c>
      <x:c r="I47" s="24" t="str">
        <x:v>No-Risk BlueControl</x:v>
      </x:c>
      <x:c r="J47" s="40" t="n">
        <x:v>2999</x:v>
      </x:c>
      <x:c r="K47" s="24" t="str">
        <x:v>-10.00 até +8.00</x:v>
      </x:c>
      <x:c r="L47" s="24"/>
      <x:c r="M47" s="24"/>
      <x:c r="N47" s="24"/>
      <x:c r="O47" s="24"/>
      <x:c r="P47" s="24"/>
      <x:c r="Q47" s="24" t="str">
        <x:v>DISPONÍVEL</x:v>
      </x:c>
      <x:c r="R47" s="24"/>
      <x:c r="S47" s="24" t="n">
        <x:v>13</x:v>
      </x:c>
      <x:c r="T47" s="24" t="str">
        <x:v>tabela_hoya(1).pdf</x:v>
      </x:c>
      <x:c r="U47" s="24" t="str">
        <x:v>HOYA|Visão Simples|Surfaçada|Nulux TrueForm|SENSITY 2|PNX|1.53|No-Risk BlueControl|-10.00 até +8.00||||||13</x:v>
      </x:c>
    </x:row>
    <x:row r="48">
      <x:c r="A48" s="24" t="str">
        <x:v>HY-37D807599C4F</x:v>
      </x:c>
      <x:c r="B48" s="24" t="str">
        <x:v>HOYA</x:v>
      </x:c>
      <x:c r="C48" s="24" t="str">
        <x:v>Visão Simples</x:v>
      </x:c>
      <x:c r="D48" s="24" t="str">
        <x:v>Surfaçada</x:v>
      </x:c>
      <x:c r="E48" s="24" t="str">
        <x:v>Nulux TrueForm</x:v>
      </x:c>
      <x:c r="F48" s="24" t="str">
        <x:v>SENSITY 2</x:v>
      </x:c>
      <x:c r="G48" s="24" t="str">
        <x:v>ORGANIC</x:v>
      </x:c>
      <x:c r="H48" s="24" t="str">
        <x:v>1.50</x:v>
      </x:c>
      <x:c r="I48" s="24" t="str">
        <x:v>No-Risk BlueControl</x:v>
      </x:c>
      <x:c r="J48" s="40" t="n">
        <x:v>2649</x:v>
      </x:c>
      <x:c r="K48" s="24" t="str">
        <x:v>-10.00 até +8.00</x:v>
      </x:c>
      <x:c r="L48" s="24"/>
      <x:c r="M48" s="24"/>
      <x:c r="N48" s="24"/>
      <x:c r="O48" s="24"/>
      <x:c r="P48" s="24"/>
      <x:c r="Q48" s="24" t="str">
        <x:v>DISPONÍVEL</x:v>
      </x:c>
      <x:c r="R48" s="24"/>
      <x:c r="S48" s="24" t="n">
        <x:v>13</x:v>
      </x:c>
      <x:c r="T48" s="24" t="str">
        <x:v>tabela_hoya(1).pdf</x:v>
      </x:c>
      <x:c r="U48" s="24" t="str">
        <x:v>HOYA|Visão Simples|Surfaçada|Nulux TrueForm|SENSITY 2|ORGANIC|1.50|No-Risk BlueControl|-10.00 até +8.00||||||13</x:v>
      </x:c>
    </x:row>
    <x:row r="49">
      <x:c r="A49" s="24" t="str">
        <x:v>HY-4740A10D9B30</x:v>
      </x:c>
      <x:c r="B49" s="24" t="str">
        <x:v>HOYA</x:v>
      </x:c>
      <x:c r="C49" s="24" t="str">
        <x:v>Visão Simples</x:v>
      </x:c>
      <x:c r="D49" s="24" t="str">
        <x:v>Surfaçada</x:v>
      </x:c>
      <x:c r="E49" s="24" t="str">
        <x:v>Nulux TrueForm</x:v>
      </x:c>
      <x:c r="F49" s="24" t="str">
        <x:v>SENSITY 2</x:v>
      </x:c>
      <x:c r="G49" s="24" t="str">
        <x:v>EYNOA</x:v>
      </x:c>
      <x:c r="H49" s="24" t="str">
        <x:v>1.67</x:v>
      </x:c>
      <x:c r="I49" s="24" t="str">
        <x:v>Hi-Vision Hard</x:v>
      </x:c>
      <x:c r="J49" s="40" t="n">
        <x:v>3639</x:v>
      </x:c>
      <x:c r="K49" s="24" t="str">
        <x:v>-10.00 até +8.00</x:v>
      </x:c>
      <x:c r="L49" s="24"/>
      <x:c r="M49" s="24"/>
      <x:c r="N49" s="24"/>
      <x:c r="O49" s="24"/>
      <x:c r="P49" s="24"/>
      <x:c r="Q49" s="24" t="str">
        <x:v>DISPONÍVEL</x:v>
      </x:c>
      <x:c r="R49" s="24"/>
      <x:c r="S49" s="24" t="n">
        <x:v>13</x:v>
      </x:c>
      <x:c r="T49" s="24" t="str">
        <x:v>tabela_hoya(1).pdf</x:v>
      </x:c>
      <x:c r="U49" s="24" t="str">
        <x:v>HOYA|Visão Simples|Surfaçada|Nulux TrueForm|SENSITY 2|EYNOA|1.67|Hi-Vision Hard|-10.00 até +8.00||||||13</x:v>
      </x:c>
    </x:row>
    <x:row r="50">
      <x:c r="A50" s="24" t="str">
        <x:v>HY-29FA67945225</x:v>
      </x:c>
      <x:c r="B50" s="24" t="str">
        <x:v>HOYA</x:v>
      </x:c>
      <x:c r="C50" s="24" t="str">
        <x:v>Visão Simples</x:v>
      </x:c>
      <x:c r="D50" s="24" t="str">
        <x:v>Surfaçada</x:v>
      </x:c>
      <x:c r="E50" s="24" t="str">
        <x:v>Nulux TrueForm</x:v>
      </x:c>
      <x:c r="F50" s="24" t="str">
        <x:v>SENSITY 2</x:v>
      </x:c>
      <x:c r="G50" s="24" t="str">
        <x:v>PNX</x:v>
      </x:c>
      <x:c r="H50" s="24" t="str">
        <x:v>1.53</x:v>
      </x:c>
      <x:c r="I50" s="24" t="str">
        <x:v>Hi-Vision Hard</x:v>
      </x:c>
      <x:c r="J50" s="40" t="n">
        <x:v>2379</x:v>
      </x:c>
      <x:c r="K50" s="24" t="str">
        <x:v>-10.00 até +8.00</x:v>
      </x:c>
      <x:c r="L50" s="24"/>
      <x:c r="M50" s="24"/>
      <x:c r="N50" s="24"/>
      <x:c r="O50" s="24"/>
      <x:c r="P50" s="24"/>
      <x:c r="Q50" s="24" t="str">
        <x:v>DISPONÍVEL</x:v>
      </x:c>
      <x:c r="R50" s="24"/>
      <x:c r="S50" s="24" t="n">
        <x:v>13</x:v>
      </x:c>
      <x:c r="T50" s="24" t="str">
        <x:v>tabela_hoya(1).pdf</x:v>
      </x:c>
      <x:c r="U50" s="24" t="str">
        <x:v>HOYA|Visão Simples|Surfaçada|Nulux TrueForm|SENSITY 2|PNX|1.53|Hi-Vision Hard|-10.00 até +8.00||||||13</x:v>
      </x:c>
    </x:row>
    <x:row r="51">
      <x:c r="A51" s="24" t="str">
        <x:v>HY-71DCA2020CCE</x:v>
      </x:c>
      <x:c r="B51" s="24" t="str">
        <x:v>HOYA</x:v>
      </x:c>
      <x:c r="C51" s="24" t="str">
        <x:v>Visão Simples</x:v>
      </x:c>
      <x:c r="D51" s="24" t="str">
        <x:v>Surfaçada</x:v>
      </x:c>
      <x:c r="E51" s="24" t="str">
        <x:v>Nulux TrueForm</x:v>
      </x:c>
      <x:c r="F51" s="24" t="str">
        <x:v>SENSITY 2</x:v>
      </x:c>
      <x:c r="G51" s="24" t="str">
        <x:v>ORGANIC</x:v>
      </x:c>
      <x:c r="H51" s="24" t="str">
        <x:v>1.50</x:v>
      </x:c>
      <x:c r="I51" s="24" t="str">
        <x:v>Hi-Vision Hard</x:v>
      </x:c>
      <x:c r="J51" s="40" t="n">
        <x:v>2029</x:v>
      </x:c>
      <x:c r="K51" s="24" t="str">
        <x:v>-10.00 até +8.00</x:v>
      </x:c>
      <x:c r="L51" s="24"/>
      <x:c r="M51" s="24"/>
      <x:c r="N51" s="24"/>
      <x:c r="O51" s="24"/>
      <x:c r="P51" s="24"/>
      <x:c r="Q51" s="24" t="str">
        <x:v>DISPONÍVEL</x:v>
      </x:c>
      <x:c r="R51" s="24"/>
      <x:c r="S51" s="24" t="n">
        <x:v>13</x:v>
      </x:c>
      <x:c r="T51" s="24" t="str">
        <x:v>tabela_hoya(1).pdf</x:v>
      </x:c>
      <x:c r="U51" s="24" t="str">
        <x:v>HOYA|Visão Simples|Surfaçada|Nulux TrueForm|SENSITY 2|ORGANIC|1.50|Hi-Vision Hard|-10.00 até +8.00||||||13</x:v>
      </x:c>
    </x:row>
    <x:row r="52">
      <x:c r="A52" s="24" t="str">
        <x:v>HY-372DA71A6A62</x:v>
      </x:c>
      <x:c r="B52" s="24" t="str">
        <x:v>HOYA</x:v>
      </x:c>
      <x:c r="C52" s="24" t="str">
        <x:v>Visão Simples</x:v>
      </x:c>
      <x:c r="D52" s="24" t="str">
        <x:v>Surfaçada</x:v>
      </x:c>
      <x:c r="E52" s="24" t="str">
        <x:v>Nulux TrueForm</x:v>
      </x:c>
      <x:c r="F52" s="24" t="str">
        <x:v>COLORIDAS</x:v>
      </x:c>
      <x:c r="G52" s="24" t="str">
        <x:v>EYNOA</x:v>
      </x:c>
      <x:c r="H52" s="24" t="str">
        <x:v>1.67</x:v>
      </x:c>
      <x:c r="I52" s="24" t="str">
        <x:v>Hi-Vision Sun Pro</x:v>
      </x:c>
      <x:c r="J52" s="40" t="n">
        <x:v>3349</x:v>
      </x:c>
      <x:c r="K52" s="24" t="str">
        <x:v>-10.00 até +8.00</x:v>
      </x:c>
      <x:c r="L52" s="24"/>
      <x:c r="M52" s="24"/>
      <x:c r="N52" s="24"/>
      <x:c r="O52" s="24"/>
      <x:c r="P52" s="24"/>
      <x:c r="Q52" s="24" t="str">
        <x:v>DISPONÍVEL</x:v>
      </x:c>
      <x:c r="R52" s="24"/>
      <x:c r="S52" s="24" t="n">
        <x:v>13</x:v>
      </x:c>
      <x:c r="T52" s="24" t="str">
        <x:v>tabela_hoya(1).pdf</x:v>
      </x:c>
      <x:c r="U52" s="24" t="str">
        <x:v>HOYA|Visão Simples|Surfaçada|Nulux TrueForm|COLORIDAS|EYNOA|1.67|Hi-Vision Sun Pro|-10.00 até +8.00||||||13</x:v>
      </x:c>
    </x:row>
    <x:row r="53">
      <x:c r="A53" s="24" t="str">
        <x:v>HY-BEBB6CE66041</x:v>
      </x:c>
      <x:c r="B53" s="24" t="str">
        <x:v>HOYA</x:v>
      </x:c>
      <x:c r="C53" s="24" t="str">
        <x:v>Visão Simples</x:v>
      </x:c>
      <x:c r="D53" s="24" t="str">
        <x:v>Surfaçada</x:v>
      </x:c>
      <x:c r="E53" s="24" t="str">
        <x:v>Nulux TrueForm</x:v>
      </x:c>
      <x:c r="F53" s="24" t="str">
        <x:v>COLORIDAS</x:v>
      </x:c>
      <x:c r="G53" s="24" t="str">
        <x:v>EYAS 2.0</x:v>
      </x:c>
      <x:c r="H53" s="24" t="str">
        <x:v>1.60</x:v>
      </x:c>
      <x:c r="I53" s="24" t="str">
        <x:v>Hi-Vision Sun Pro</x:v>
      </x:c>
      <x:c r="J53" s="40" t="n">
        <x:v>2549</x:v>
      </x:c>
      <x:c r="K53" s="24" t="str">
        <x:v>-10.00 até +8.00</x:v>
      </x:c>
      <x:c r="L53" s="24"/>
      <x:c r="M53" s="24"/>
      <x:c r="N53" s="24"/>
      <x:c r="O53" s="24"/>
      <x:c r="P53" s="24"/>
      <x:c r="Q53" s="24" t="str">
        <x:v>DISPONÍVEL</x:v>
      </x:c>
      <x:c r="R53" s="24"/>
      <x:c r="S53" s="24" t="n">
        <x:v>13</x:v>
      </x:c>
      <x:c r="T53" s="24" t="str">
        <x:v>tabela_hoya(1).pdf</x:v>
      </x:c>
      <x:c r="U53" s="24" t="str">
        <x:v>HOYA|Visão Simples|Surfaçada|Nulux TrueForm|COLORIDAS|EYAS 2.0|1.60|Hi-Vision Sun Pro|-10.00 até +8.00||||||13</x:v>
      </x:c>
    </x:row>
    <x:row r="54">
      <x:c r="A54" s="24" t="str">
        <x:v>HY-2D2B0E6EE983</x:v>
      </x:c>
      <x:c r="B54" s="24" t="str">
        <x:v>HOYA</x:v>
      </x:c>
      <x:c r="C54" s="24" t="str">
        <x:v>Visão Simples</x:v>
      </x:c>
      <x:c r="D54" s="24" t="str">
        <x:v>Surfaçada</x:v>
      </x:c>
      <x:c r="E54" s="24" t="str">
        <x:v>Nulux TrueForm</x:v>
      </x:c>
      <x:c r="F54" s="24" t="str">
        <x:v>COLORIDAS</x:v>
      </x:c>
      <x:c r="G54" s="24" t="str">
        <x:v>PNX</x:v>
      </x:c>
      <x:c r="H54" s="24" t="str">
        <x:v>1.53</x:v>
      </x:c>
      <x:c r="I54" s="24" t="str">
        <x:v>Hi-Vision Sun Pro</x:v>
      </x:c>
      <x:c r="J54" s="40" t="n">
        <x:v>2089</x:v>
      </x:c>
      <x:c r="K54" s="24" t="str">
        <x:v>-10.00 até +8.00</x:v>
      </x:c>
      <x:c r="L54" s="24"/>
      <x:c r="M54" s="24"/>
      <x:c r="N54" s="24"/>
      <x:c r="O54" s="24"/>
      <x:c r="P54" s="24"/>
      <x:c r="Q54" s="24" t="str">
        <x:v>DISPONÍVEL</x:v>
      </x:c>
      <x:c r="R54" s="24"/>
      <x:c r="S54" s="24" t="n">
        <x:v>13</x:v>
      </x:c>
      <x:c r="T54" s="24" t="str">
        <x:v>tabela_hoya(1).pdf</x:v>
      </x:c>
      <x:c r="U54" s="24" t="str">
        <x:v>HOYA|Visão Simples|Surfaçada|Nulux TrueForm|COLORIDAS|PNX|1.53|Hi-Vision Sun Pro|-10.00 até +8.00||||||13</x:v>
      </x:c>
    </x:row>
    <x:row r="55">
      <x:c r="A55" s="24" t="str">
        <x:v>HY-5511C93B23CB</x:v>
      </x:c>
      <x:c r="B55" s="24" t="str">
        <x:v>HOYA</x:v>
      </x:c>
      <x:c r="C55" s="24" t="str">
        <x:v>Visão Simples</x:v>
      </x:c>
      <x:c r="D55" s="24" t="str">
        <x:v>Surfaçada</x:v>
      </x:c>
      <x:c r="E55" s="24" t="str">
        <x:v>Nulux TrueForm</x:v>
      </x:c>
      <x:c r="F55" s="24" t="str">
        <x:v>COLORIDAS</x:v>
      </x:c>
      <x:c r="G55" s="24" t="str">
        <x:v>ORGANIC</x:v>
      </x:c>
      <x:c r="H55" s="24" t="str">
        <x:v>1.50</x:v>
      </x:c>
      <x:c r="I55" s="24" t="str">
        <x:v>Hi-Vision Sun Pro</x:v>
      </x:c>
      <x:c r="J55" s="40" t="n">
        <x:v>1739</x:v>
      </x:c>
      <x:c r="K55" s="24" t="str">
        <x:v>-10.00 até +8.00</x:v>
      </x:c>
      <x:c r="L55" s="24"/>
      <x:c r="M55" s="24"/>
      <x:c r="N55" s="24"/>
      <x:c r="O55" s="24"/>
      <x:c r="P55" s="24"/>
      <x:c r="Q55" s="24" t="str">
        <x:v>DISPONÍVEL</x:v>
      </x:c>
      <x:c r="R55" s="24"/>
      <x:c r="S55" s="24" t="n">
        <x:v>13</x:v>
      </x:c>
      <x:c r="T55" s="24" t="str">
        <x:v>tabela_hoya(1).pdf</x:v>
      </x:c>
      <x:c r="U55" s="24" t="str">
        <x:v>HOYA|Visão Simples|Surfaçada|Nulux TrueForm|COLORIDAS|ORGANIC|1.50|Hi-Vision Sun Pro|-10.00 até +8.00||||||13</x:v>
      </x:c>
    </x:row>
    <x:row r="56">
      <x:c r="A56" s="24" t="str">
        <x:v>HY-8E7C2A7ED7BE</x:v>
      </x:c>
      <x:c r="B56" s="24" t="str">
        <x:v>HOYA</x:v>
      </x:c>
      <x:c r="C56" s="24" t="str">
        <x:v>Visão Simples</x:v>
      </x:c>
      <x:c r="D56" s="24" t="str">
        <x:v>Surfaçada</x:v>
      </x:c>
      <x:c r="E56" s="24" t="str">
        <x:v>Hilux</x:v>
      </x:c>
      <x:c r="F56" s="24" t="str">
        <x:v>INCOLOR</x:v>
      </x:c>
      <x:c r="G56" s="24" t="str">
        <x:v>PNX</x:v>
      </x:c>
      <x:c r="H56" s="24" t="str">
        <x:v>1.53</x:v>
      </x:c>
      <x:c r="I56" s="24" t="str">
        <x:v>Hi-Vision LongLife BlueControl</x:v>
      </x:c>
      <x:c r="J56" s="40" t="n">
        <x:v>1749</x:v>
      </x:c>
      <x:c r="K56" s="24" t="str">
        <x:v>-10.00 até +8.00</x:v>
      </x:c>
      <x:c r="L56" s="24"/>
      <x:c r="M56" s="24"/>
      <x:c r="N56" s="24"/>
      <x:c r="O56" s="24"/>
      <x:c r="P56" s="24"/>
      <x:c r="Q56" s="24" t="str">
        <x:v>DISPONÍVEL</x:v>
      </x:c>
      <x:c r="R56" s="24"/>
      <x:c r="S56" s="24" t="n">
        <x:v>14</x:v>
      </x:c>
      <x:c r="T56" s="24" t="str">
        <x:v>tabela_hoya(1).pdf</x:v>
      </x:c>
      <x:c r="U56" s="24" t="str">
        <x:v>HOYA|Visão Simples|Surfaçada|Hilux|INCOLOR|PNX|1.53|Hi-Vision LongLife BlueControl|-10.00 até +8.00||||||14</x:v>
      </x:c>
    </x:row>
    <x:row r="57">
      <x:c r="A57" s="24" t="str">
        <x:v>HY-2D93EDCB58AD</x:v>
      </x:c>
      <x:c r="B57" s="24" t="str">
        <x:v>HOYA</x:v>
      </x:c>
      <x:c r="C57" s="24" t="str">
        <x:v>Visão Simples</x:v>
      </x:c>
      <x:c r="D57" s="24" t="str">
        <x:v>Surfaçada</x:v>
      </x:c>
      <x:c r="E57" s="24" t="str">
        <x:v>Hilux</x:v>
      </x:c>
      <x:c r="F57" s="24" t="str">
        <x:v>INCOLOR</x:v>
      </x:c>
      <x:c r="G57" s="24" t="str">
        <x:v>ORGANIC</x:v>
      </x:c>
      <x:c r="H57" s="24" t="str">
        <x:v>1.50</x:v>
      </x:c>
      <x:c r="I57" s="24" t="str">
        <x:v>Hi-Vision LongLife BlueControl</x:v>
      </x:c>
      <x:c r="J57" s="40" t="n">
        <x:v>1399</x:v>
      </x:c>
      <x:c r="K57" s="24" t="str">
        <x:v>-10.00 até +8.00</x:v>
      </x:c>
      <x:c r="L57" s="24"/>
      <x:c r="M57" s="24"/>
      <x:c r="N57" s="24"/>
      <x:c r="O57" s="24"/>
      <x:c r="P57" s="24"/>
      <x:c r="Q57" s="24" t="str">
        <x:v>DISPONÍVEL</x:v>
      </x:c>
      <x:c r="R57" s="24"/>
      <x:c r="S57" s="24" t="n">
        <x:v>14</x:v>
      </x:c>
      <x:c r="T57" s="24" t="str">
        <x:v>tabela_hoya(1).pdf</x:v>
      </x:c>
      <x:c r="U57" s="24" t="str">
        <x:v>HOYA|Visão Simples|Surfaçada|Hilux|INCOLOR|ORGANIC|1.50|Hi-Vision LongLife BlueControl|-10.00 até +8.00||||||14</x:v>
      </x:c>
    </x:row>
    <x:row r="58">
      <x:c r="A58" s="24" t="str">
        <x:v>HY-994FF6116814</x:v>
      </x:c>
      <x:c r="B58" s="24" t="str">
        <x:v>HOYA</x:v>
      </x:c>
      <x:c r="C58" s="24" t="str">
        <x:v>Visão Simples</x:v>
      </x:c>
      <x:c r="D58" s="24" t="str">
        <x:v>Surfaçada</x:v>
      </x:c>
      <x:c r="E58" s="24" t="str">
        <x:v>Hilux</x:v>
      </x:c>
      <x:c r="F58" s="24" t="str">
        <x:v>INCOLOR</x:v>
      </x:c>
      <x:c r="G58" s="24" t="str">
        <x:v>POLI</x:v>
      </x:c>
      <x:c r="H58" s="24" t="str">
        <x:v>1.59</x:v>
      </x:c>
      <x:c r="I58" s="24" t="str">
        <x:v>No-Risk BlueControl</x:v>
      </x:c>
      <x:c r="J58" s="40" t="n">
        <x:v>1499</x:v>
      </x:c>
      <x:c r="K58" s="24" t="str">
        <x:v>-10.00 até +6.00</x:v>
      </x:c>
      <x:c r="L58" s="24"/>
      <x:c r="M58" s="24"/>
      <x:c r="N58" s="24"/>
      <x:c r="O58" s="24"/>
      <x:c r="P58" s="24"/>
      <x:c r="Q58" s="24" t="str">
        <x:v>DISPONÍVEL</x:v>
      </x:c>
      <x:c r="R58" s="24"/>
      <x:c r="S58" s="24" t="n">
        <x:v>14</x:v>
      </x:c>
      <x:c r="T58" s="24" t="str">
        <x:v>tabela_hoya(1).pdf</x:v>
      </x:c>
      <x:c r="U58" s="24" t="str">
        <x:v>HOYA|Visão Simples|Surfaçada|Hilux|INCOLOR|POLI|1.59|No-Risk BlueControl|-10.00 até +6.00||||||14</x:v>
      </x:c>
    </x:row>
    <x:row r="59">
      <x:c r="A59" s="24" t="str">
        <x:v>HY-D84BF6C21DD2</x:v>
      </x:c>
      <x:c r="B59" s="24" t="str">
        <x:v>HOYA</x:v>
      </x:c>
      <x:c r="C59" s="24" t="str">
        <x:v>Visão Simples</x:v>
      </x:c>
      <x:c r="D59" s="24" t="str">
        <x:v>Surfaçada</x:v>
      </x:c>
      <x:c r="E59" s="24" t="str">
        <x:v>Hilux</x:v>
      </x:c>
      <x:c r="F59" s="24" t="str">
        <x:v>INCOLOR</x:v>
      </x:c>
      <x:c r="G59" s="24" t="str">
        <x:v>PNX</x:v>
      </x:c>
      <x:c r="H59" s="24" t="str">
        <x:v>1.53</x:v>
      </x:c>
      <x:c r="I59" s="24" t="str">
        <x:v>No-Risk BlueControl</x:v>
      </x:c>
      <x:c r="J59" s="40" t="n">
        <x:v>1499</x:v>
      </x:c>
      <x:c r="K59" s="24" t="str">
        <x:v>-10.00 até +8.00</x:v>
      </x:c>
      <x:c r="L59" s="24"/>
      <x:c r="M59" s="24"/>
      <x:c r="N59" s="24"/>
      <x:c r="O59" s="24"/>
      <x:c r="P59" s="24"/>
      <x:c r="Q59" s="24" t="str">
        <x:v>DISPONÍVEL</x:v>
      </x:c>
      <x:c r="R59" s="24"/>
      <x:c r="S59" s="24" t="n">
        <x:v>14</x:v>
      </x:c>
      <x:c r="T59" s="24" t="str">
        <x:v>tabela_hoya(1).pdf</x:v>
      </x:c>
      <x:c r="U59" s="24" t="str">
        <x:v>HOYA|Visão Simples|Surfaçada|Hilux|INCOLOR|PNX|1.53|No-Risk BlueControl|-10.00 até +8.00||||||14</x:v>
      </x:c>
    </x:row>
    <x:row r="60">
      <x:c r="A60" s="24" t="str">
        <x:v>HY-342166FB604E</x:v>
      </x:c>
      <x:c r="B60" s="24" t="str">
        <x:v>HOYA</x:v>
      </x:c>
      <x:c r="C60" s="24" t="str">
        <x:v>Visão Simples</x:v>
      </x:c>
      <x:c r="D60" s="24" t="str">
        <x:v>Surfaçada</x:v>
      </x:c>
      <x:c r="E60" s="24" t="str">
        <x:v>Hilux</x:v>
      </x:c>
      <x:c r="F60" s="24" t="str">
        <x:v>INCOLOR</x:v>
      </x:c>
      <x:c r="G60" s="24" t="str">
        <x:v>ORGANIC</x:v>
      </x:c>
      <x:c r="H60" s="24" t="str">
        <x:v>1.50</x:v>
      </x:c>
      <x:c r="I60" s="24" t="str">
        <x:v>No-Risk BlueControl</x:v>
      </x:c>
      <x:c r="J60" s="40" t="n">
        <x:v>1149</x:v>
      </x:c>
      <x:c r="K60" s="24" t="str">
        <x:v>-10.00 até +8.00</x:v>
      </x:c>
      <x:c r="L60" s="24"/>
      <x:c r="M60" s="24"/>
      <x:c r="N60" s="24"/>
      <x:c r="O60" s="24"/>
      <x:c r="P60" s="24"/>
      <x:c r="Q60" s="24" t="str">
        <x:v>DISPONÍVEL</x:v>
      </x:c>
      <x:c r="R60" s="24"/>
      <x:c r="S60" s="24" t="n">
        <x:v>14</x:v>
      </x:c>
      <x:c r="T60" s="24" t="str">
        <x:v>tabela_hoya(1).pdf</x:v>
      </x:c>
      <x:c r="U60" s="24" t="str">
        <x:v>HOYA|Visão Simples|Surfaçada|Hilux|INCOLOR|ORGANIC|1.50|No-Risk BlueControl|-10.00 até +8.00||||||14</x:v>
      </x:c>
    </x:row>
    <x:row r="61">
      <x:c r="A61" s="24" t="str">
        <x:v>HY-013F740A8725</x:v>
      </x:c>
      <x:c r="B61" s="24" t="str">
        <x:v>HOYA</x:v>
      </x:c>
      <x:c r="C61" s="24" t="str">
        <x:v>Visão Simples</x:v>
      </x:c>
      <x:c r="D61" s="24" t="str">
        <x:v>Surfaçada</x:v>
      </x:c>
      <x:c r="E61" s="24" t="str">
        <x:v>Hilux</x:v>
      </x:c>
      <x:c r="F61" s="24" t="str">
        <x:v>INCOLOR</x:v>
      </x:c>
      <x:c r="G61" s="24" t="str">
        <x:v>POLI</x:v>
      </x:c>
      <x:c r="H61" s="24" t="str">
        <x:v>1.59</x:v>
      </x:c>
      <x:c r="I61" s="24" t="str">
        <x:v>Hi-Vision Hard</x:v>
      </x:c>
      <x:c r="J61" s="40" t="n">
        <x:v>849</x:v>
      </x:c>
      <x:c r="K61" s="24" t="str">
        <x:v>-10.00 até +6.00</x:v>
      </x:c>
      <x:c r="L61" s="24"/>
      <x:c r="M61" s="24"/>
      <x:c r="N61" s="24"/>
      <x:c r="O61" s="24"/>
      <x:c r="P61" s="24"/>
      <x:c r="Q61" s="24" t="str">
        <x:v>DISPONÍVEL</x:v>
      </x:c>
      <x:c r="R61" s="24"/>
      <x:c r="S61" s="24" t="n">
        <x:v>14</x:v>
      </x:c>
      <x:c r="T61" s="24" t="str">
        <x:v>tabela_hoya(1).pdf</x:v>
      </x:c>
      <x:c r="U61" s="24" t="str">
        <x:v>HOYA|Visão Simples|Surfaçada|Hilux|INCOLOR|POLI|1.59|Hi-Vision Hard|-10.00 até +6.00||||||14</x:v>
      </x:c>
    </x:row>
    <x:row r="62">
      <x:c r="A62" s="24" t="str">
        <x:v>HY-C543FD31A418</x:v>
      </x:c>
      <x:c r="B62" s="24" t="str">
        <x:v>HOYA</x:v>
      </x:c>
      <x:c r="C62" s="24" t="str">
        <x:v>Visão Simples</x:v>
      </x:c>
      <x:c r="D62" s="24" t="str">
        <x:v>Surfaçada</x:v>
      </x:c>
      <x:c r="E62" s="24" t="str">
        <x:v>Hilux</x:v>
      </x:c>
      <x:c r="F62" s="24" t="str">
        <x:v>INCOLOR</x:v>
      </x:c>
      <x:c r="G62" s="24" t="str">
        <x:v>PNX</x:v>
      </x:c>
      <x:c r="H62" s="24" t="str">
        <x:v>1.53</x:v>
      </x:c>
      <x:c r="I62" s="24" t="str">
        <x:v>Hi-Vision Hard</x:v>
      </x:c>
      <x:c r="J62" s="40" t="n">
        <x:v>849</x:v>
      </x:c>
      <x:c r="K62" s="24" t="str">
        <x:v>-10.00 até +8.00</x:v>
      </x:c>
      <x:c r="L62" s="24"/>
      <x:c r="M62" s="24"/>
      <x:c r="N62" s="24"/>
      <x:c r="O62" s="24"/>
      <x:c r="P62" s="24"/>
      <x:c r="Q62" s="24" t="str">
        <x:v>DISPONÍVEL</x:v>
      </x:c>
      <x:c r="R62" s="24"/>
      <x:c r="S62" s="24" t="n">
        <x:v>14</x:v>
      </x:c>
      <x:c r="T62" s="24" t="str">
        <x:v>tabela_hoya(1).pdf</x:v>
      </x:c>
      <x:c r="U62" s="24" t="str">
        <x:v>HOYA|Visão Simples|Surfaçada|Hilux|INCOLOR|PNX|1.53|Hi-Vision Hard|-10.00 até +8.00||||||14</x:v>
      </x:c>
    </x:row>
    <x:row r="63">
      <x:c r="A63" s="24" t="str">
        <x:v>HY-B73E628C0F84</x:v>
      </x:c>
      <x:c r="B63" s="24" t="str">
        <x:v>HOYA</x:v>
      </x:c>
      <x:c r="C63" s="24" t="str">
        <x:v>Visão Simples</x:v>
      </x:c>
      <x:c r="D63" s="24" t="str">
        <x:v>Surfaçada</x:v>
      </x:c>
      <x:c r="E63" s="24" t="str">
        <x:v>Hilux</x:v>
      </x:c>
      <x:c r="F63" s="24" t="str">
        <x:v>INCOLOR</x:v>
      </x:c>
      <x:c r="G63" s="24" t="str">
        <x:v>ORGANIC</x:v>
      </x:c>
      <x:c r="H63" s="24" t="str">
        <x:v>1.50</x:v>
      </x:c>
      <x:c r="I63" s="24" t="str">
        <x:v>Hi-Vision Hard</x:v>
      </x:c>
      <x:c r="J63" s="40" t="n">
        <x:v>499</x:v>
      </x:c>
      <x:c r="K63" s="24" t="str">
        <x:v>-10.00 até +8.00</x:v>
      </x:c>
      <x:c r="L63" s="24"/>
      <x:c r="M63" s="24"/>
      <x:c r="N63" s="24"/>
      <x:c r="O63" s="24"/>
      <x:c r="P63" s="24"/>
      <x:c r="Q63" s="24" t="str">
        <x:v>DISPONÍVEL</x:v>
      </x:c>
      <x:c r="R63" s="24"/>
      <x:c r="S63" s="24" t="n">
        <x:v>14</x:v>
      </x:c>
      <x:c r="T63" s="24" t="str">
        <x:v>tabela_hoya(1).pdf</x:v>
      </x:c>
      <x:c r="U63" s="24" t="str">
        <x:v>HOYA|Visão Simples|Surfaçada|Hilux|INCOLOR|ORGANIC|1.50|Hi-Vision Hard|-10.00 até +8.00||||||14</x:v>
      </x:c>
    </x:row>
    <x:row r="64">
      <x:c r="A64" s="24" t="str">
        <x:v>HY-5EF1EC205B4F</x:v>
      </x:c>
      <x:c r="B64" s="24" t="str">
        <x:v>HOYA</x:v>
      </x:c>
      <x:c r="C64" s="24" t="str">
        <x:v>Visão Simples</x:v>
      </x:c>
      <x:c r="D64" s="24" t="str">
        <x:v>Surfaçada</x:v>
      </x:c>
      <x:c r="E64" s="24" t="str">
        <x:v>Hilux</x:v>
      </x:c>
      <x:c r="F64" s="24" t="str">
        <x:v>SENSITY 2</x:v>
      </x:c>
      <x:c r="G64" s="24" t="str">
        <x:v>PNX</x:v>
      </x:c>
      <x:c r="H64" s="24" t="str">
        <x:v>1.53</x:v>
      </x:c>
      <x:c r="I64" s="24" t="str">
        <x:v>Hi-Vision LongLife BlueControl</x:v>
      </x:c>
      <x:c r="J64" s="40" t="n">
        <x:v>2749</x:v>
      </x:c>
      <x:c r="K64" s="24" t="str">
        <x:v>-10.00 até +8.00</x:v>
      </x:c>
      <x:c r="L64" s="24"/>
      <x:c r="M64" s="24"/>
      <x:c r="N64" s="24"/>
      <x:c r="O64" s="24"/>
      <x:c r="P64" s="24"/>
      <x:c r="Q64" s="24" t="str">
        <x:v>DISPONÍVEL</x:v>
      </x:c>
      <x:c r="R64" s="24"/>
      <x:c r="S64" s="24" t="n">
        <x:v>14</x:v>
      </x:c>
      <x:c r="T64" s="24" t="str">
        <x:v>tabela_hoya(1).pdf</x:v>
      </x:c>
      <x:c r="U64" s="24" t="str">
        <x:v>HOYA|Visão Simples|Surfaçada|Hilux|SENSITY 2|PNX|1.53|Hi-Vision LongLife BlueControl|-10.00 até +8.00||||||14</x:v>
      </x:c>
    </x:row>
    <x:row r="65">
      <x:c r="A65" s="24" t="str">
        <x:v>HY-F171ABBEAAB1</x:v>
      </x:c>
      <x:c r="B65" s="24" t="str">
        <x:v>HOYA</x:v>
      </x:c>
      <x:c r="C65" s="24" t="str">
        <x:v>Visão Simples</x:v>
      </x:c>
      <x:c r="D65" s="24" t="str">
        <x:v>Surfaçada</x:v>
      </x:c>
      <x:c r="E65" s="24" t="str">
        <x:v>Hilux</x:v>
      </x:c>
      <x:c r="F65" s="24" t="str">
        <x:v>SENSITY 2</x:v>
      </x:c>
      <x:c r="G65" s="24" t="str">
        <x:v>ORGANIC</x:v>
      </x:c>
      <x:c r="H65" s="24" t="str">
        <x:v>1.50</x:v>
      </x:c>
      <x:c r="I65" s="24" t="str">
        <x:v>Hi-Vision LongLife BlueControl</x:v>
      </x:c>
      <x:c r="J65" s="40" t="n">
        <x:v>2399</x:v>
      </x:c>
      <x:c r="K65" s="24" t="str">
        <x:v>-10.00 até +8.00</x:v>
      </x:c>
      <x:c r="L65" s="24"/>
      <x:c r="M65" s="24"/>
      <x:c r="N65" s="24"/>
      <x:c r="O65" s="24"/>
      <x:c r="P65" s="24"/>
      <x:c r="Q65" s="24" t="str">
        <x:v>DISPONÍVEL</x:v>
      </x:c>
      <x:c r="R65" s="24"/>
      <x:c r="S65" s="24" t="n">
        <x:v>14</x:v>
      </x:c>
      <x:c r="T65" s="24" t="str">
        <x:v>tabela_hoya(1).pdf</x:v>
      </x:c>
      <x:c r="U65" s="24" t="str">
        <x:v>HOYA|Visão Simples|Surfaçada|Hilux|SENSITY 2|ORGANIC|1.50|Hi-Vision LongLife BlueControl|-10.00 até +8.00||||||14</x:v>
      </x:c>
    </x:row>
    <x:row r="66">
      <x:c r="A66" s="24" t="str">
        <x:v>HY-96C5C5B4AB5D</x:v>
      </x:c>
      <x:c r="B66" s="24" t="str">
        <x:v>HOYA</x:v>
      </x:c>
      <x:c r="C66" s="24" t="str">
        <x:v>Visão Simples</x:v>
      </x:c>
      <x:c r="D66" s="24" t="str">
        <x:v>Surfaçada</x:v>
      </x:c>
      <x:c r="E66" s="24" t="str">
        <x:v>Hilux</x:v>
      </x:c>
      <x:c r="F66" s="24" t="str">
        <x:v>SENSITY 2</x:v>
      </x:c>
      <x:c r="G66" s="24" t="str">
        <x:v>PNX</x:v>
      </x:c>
      <x:c r="H66" s="24" t="str">
        <x:v>1.53</x:v>
      </x:c>
      <x:c r="I66" s="24" t="str">
        <x:v>No-Risk BlueControl</x:v>
      </x:c>
      <x:c r="J66" s="40" t="n">
        <x:v>2499</x:v>
      </x:c>
      <x:c r="K66" s="24" t="str">
        <x:v>-10.00 até +8.00</x:v>
      </x:c>
      <x:c r="L66" s="24"/>
      <x:c r="M66" s="24"/>
      <x:c r="N66" s="24"/>
      <x:c r="O66" s="24"/>
      <x:c r="P66" s="24"/>
      <x:c r="Q66" s="24" t="str">
        <x:v>DISPONÍVEL</x:v>
      </x:c>
      <x:c r="R66" s="24"/>
      <x:c r="S66" s="24" t="n">
        <x:v>14</x:v>
      </x:c>
      <x:c r="T66" s="24" t="str">
        <x:v>tabela_hoya(1).pdf</x:v>
      </x:c>
      <x:c r="U66" s="24" t="str">
        <x:v>HOYA|Visão Simples|Surfaçada|Hilux|SENSITY 2|PNX|1.53|No-Risk BlueControl|-10.00 até +8.00||||||14</x:v>
      </x:c>
    </x:row>
    <x:row r="67">
      <x:c r="A67" s="24" t="str">
        <x:v>HY-2782FFAFEEEE</x:v>
      </x:c>
      <x:c r="B67" s="24" t="str">
        <x:v>HOYA</x:v>
      </x:c>
      <x:c r="C67" s="24" t="str">
        <x:v>Visão Simples</x:v>
      </x:c>
      <x:c r="D67" s="24" t="str">
        <x:v>Surfaçada</x:v>
      </x:c>
      <x:c r="E67" s="24" t="str">
        <x:v>Hilux</x:v>
      </x:c>
      <x:c r="F67" s="24" t="str">
        <x:v>SENSITY 2</x:v>
      </x:c>
      <x:c r="G67" s="24" t="str">
        <x:v>ORGANIC</x:v>
      </x:c>
      <x:c r="H67" s="24" t="str">
        <x:v>1.50</x:v>
      </x:c>
      <x:c r="I67" s="24" t="str">
        <x:v>No-Risk BlueControl</x:v>
      </x:c>
      <x:c r="J67" s="40" t="n">
        <x:v>2149</x:v>
      </x:c>
      <x:c r="K67" s="24" t="str">
        <x:v>-10.00 até +8.00</x:v>
      </x:c>
      <x:c r="L67" s="24"/>
      <x:c r="M67" s="24"/>
      <x:c r="N67" s="24"/>
      <x:c r="O67" s="24"/>
      <x:c r="P67" s="24"/>
      <x:c r="Q67" s="24" t="str">
        <x:v>DISPONÍVEL</x:v>
      </x:c>
      <x:c r="R67" s="24"/>
      <x:c r="S67" s="24" t="n">
        <x:v>14</x:v>
      </x:c>
      <x:c r="T67" s="24" t="str">
        <x:v>tabela_hoya(1).pdf</x:v>
      </x:c>
      <x:c r="U67" s="24" t="str">
        <x:v>HOYA|Visão Simples|Surfaçada|Hilux|SENSITY 2|ORGANIC|1.50|No-Risk BlueControl|-10.00 até +8.00||||||14</x:v>
      </x:c>
    </x:row>
    <x:row r="68">
      <x:c r="A68" s="24" t="str">
        <x:v>HY-24293285E9BC</x:v>
      </x:c>
      <x:c r="B68" s="24" t="str">
        <x:v>HOYA</x:v>
      </x:c>
      <x:c r="C68" s="24" t="str">
        <x:v>Visão Simples</x:v>
      </x:c>
      <x:c r="D68" s="24" t="str">
        <x:v>Surfaçada</x:v>
      </x:c>
      <x:c r="E68" s="24" t="str">
        <x:v>Hilux</x:v>
      </x:c>
      <x:c r="F68" s="24" t="str">
        <x:v>SENSITY 2</x:v>
      </x:c>
      <x:c r="G68" s="24" t="str">
        <x:v>PNX</x:v>
      </x:c>
      <x:c r="H68" s="24" t="str">
        <x:v>1.53</x:v>
      </x:c>
      <x:c r="I68" s="24" t="str">
        <x:v>Hi-Vision Hard</x:v>
      </x:c>
      <x:c r="J68" s="40" t="n">
        <x:v>1849</x:v>
      </x:c>
      <x:c r="K68" s="24" t="str">
        <x:v>-10.00 até +8.00</x:v>
      </x:c>
      <x:c r="L68" s="24"/>
      <x:c r="M68" s="24"/>
      <x:c r="N68" s="24"/>
      <x:c r="O68" s="24"/>
      <x:c r="P68" s="24"/>
      <x:c r="Q68" s="24" t="str">
        <x:v>DISPONÍVEL</x:v>
      </x:c>
      <x:c r="R68" s="24"/>
      <x:c r="S68" s="24" t="n">
        <x:v>14</x:v>
      </x:c>
      <x:c r="T68" s="24" t="str">
        <x:v>tabela_hoya(1).pdf</x:v>
      </x:c>
      <x:c r="U68" s="24" t="str">
        <x:v>HOYA|Visão Simples|Surfaçada|Hilux|SENSITY 2|PNX|1.53|Hi-Vision Hard|-10.00 até +8.00||||||14</x:v>
      </x:c>
    </x:row>
    <x:row r="69">
      <x:c r="A69" s="24" t="str">
        <x:v>HY-A63B61A40E43</x:v>
      </x:c>
      <x:c r="B69" s="24" t="str">
        <x:v>HOYA</x:v>
      </x:c>
      <x:c r="C69" s="24" t="str">
        <x:v>Visão Simples</x:v>
      </x:c>
      <x:c r="D69" s="24" t="str">
        <x:v>Surfaçada</x:v>
      </x:c>
      <x:c r="E69" s="24" t="str">
        <x:v>Hilux</x:v>
      </x:c>
      <x:c r="F69" s="24" t="str">
        <x:v>SENSITY 2</x:v>
      </x:c>
      <x:c r="G69" s="24" t="str">
        <x:v>ORGANIC</x:v>
      </x:c>
      <x:c r="H69" s="24" t="str">
        <x:v>1.50</x:v>
      </x:c>
      <x:c r="I69" s="24" t="str">
        <x:v>Hi-Vision Hard</x:v>
      </x:c>
      <x:c r="J69" s="40" t="n">
        <x:v>1499</x:v>
      </x:c>
      <x:c r="K69" s="24" t="str">
        <x:v>-10.00 até +8.00</x:v>
      </x:c>
      <x:c r="L69" s="24"/>
      <x:c r="M69" s="24"/>
      <x:c r="N69" s="24"/>
      <x:c r="O69" s="24"/>
      <x:c r="P69" s="24"/>
      <x:c r="Q69" s="24" t="str">
        <x:v>DISPONÍVEL</x:v>
      </x:c>
      <x:c r="R69" s="24"/>
      <x:c r="S69" s="24" t="n">
        <x:v>14</x:v>
      </x:c>
      <x:c r="T69" s="24" t="str">
        <x:v>tabela_hoya(1).pdf</x:v>
      </x:c>
      <x:c r="U69" s="24" t="str">
        <x:v>HOYA|Visão Simples|Surfaçada|Hilux|SENSITY 2|ORGANIC|1.50|Hi-Vision Hard|-10.00 até +8.00||||||14</x:v>
      </x:c>
    </x:row>
    <x:row r="70">
      <x:c r="A70" s="24" t="str">
        <x:v>HY-610EC71297E2</x:v>
      </x:c>
      <x:c r="B70" s="24" t="str">
        <x:v>HOYA</x:v>
      </x:c>
      <x:c r="C70" s="24" t="str">
        <x:v>Visão Simples</x:v>
      </x:c>
      <x:c r="D70" s="24" t="str">
        <x:v>Surfaçada</x:v>
      </x:c>
      <x:c r="E70" s="24" t="str">
        <x:v>Hilux</x:v>
      </x:c>
      <x:c r="F70" s="24" t="str">
        <x:v>SENSITY ORIGINAL</x:v>
      </x:c>
      <x:c r="G70" s="24" t="str">
        <x:v>PNX</x:v>
      </x:c>
      <x:c r="H70" s="24" t="str">
        <x:v>1.53</x:v>
      </x:c>
      <x:c r="I70" s="24" t="str">
        <x:v>Hi-Vision LongLife BlueControl</x:v>
      </x:c>
      <x:c r="J70" s="40" t="n">
        <x:v>2549</x:v>
      </x:c>
      <x:c r="K70" s="24" t="str">
        <x:v>-10.00 até +8.00</x:v>
      </x:c>
      <x:c r="L70" s="24"/>
      <x:c r="M70" s="24"/>
      <x:c r="N70" s="24"/>
      <x:c r="O70" s="24"/>
      <x:c r="P70" s="24"/>
      <x:c r="Q70" s="24" t="str">
        <x:v>ESTOQUE LIMITADO</x:v>
      </x:c>
      <x:c r="R70" s="24"/>
      <x:c r="S70" s="24" t="n">
        <x:v>14</x:v>
      </x:c>
      <x:c r="T70" s="24" t="str">
        <x:v>tabela_hoya(1).pdf</x:v>
      </x:c>
      <x:c r="U70" s="24" t="str">
        <x:v>HOYA|Visão Simples|Surfaçada|Hilux|SENSITY ORIGINAL|PNX|1.53|Hi-Vision LongLife BlueControl|-10.00 até +8.00||||||14</x:v>
      </x:c>
    </x:row>
    <x:row r="71">
      <x:c r="A71" s="24" t="str">
        <x:v>HY-99C0D2EE9D8A</x:v>
      </x:c>
      <x:c r="B71" s="24" t="str">
        <x:v>HOYA</x:v>
      </x:c>
      <x:c r="C71" s="24" t="str">
        <x:v>Visão Simples</x:v>
      </x:c>
      <x:c r="D71" s="24" t="str">
        <x:v>Surfaçada</x:v>
      </x:c>
      <x:c r="E71" s="24" t="str">
        <x:v>Hilux</x:v>
      </x:c>
      <x:c r="F71" s="24" t="str">
        <x:v>SENSITY ORIGINAL</x:v>
      </x:c>
      <x:c r="G71" s="24" t="str">
        <x:v>ORGANIC</x:v>
      </x:c>
      <x:c r="H71" s="24" t="str">
        <x:v>1.50</x:v>
      </x:c>
      <x:c r="I71" s="24" t="str">
        <x:v>Hi-Vision LongLife BlueControl</x:v>
      </x:c>
      <x:c r="J71" s="40" t="n">
        <x:v>2199</x:v>
      </x:c>
      <x:c r="K71" s="24" t="str">
        <x:v>-10.00 até +8.00</x:v>
      </x:c>
      <x:c r="L71" s="24"/>
      <x:c r="M71" s="24"/>
      <x:c r="N71" s="24"/>
      <x:c r="O71" s="24"/>
      <x:c r="P71" s="24"/>
      <x:c r="Q71" s="24" t="str">
        <x:v>ESTOQUE LIMITADO</x:v>
      </x:c>
      <x:c r="R71" s="24"/>
      <x:c r="S71" s="24" t="n">
        <x:v>14</x:v>
      </x:c>
      <x:c r="T71" s="24" t="str">
        <x:v>tabela_hoya(1).pdf</x:v>
      </x:c>
      <x:c r="U71" s="24" t="str">
        <x:v>HOYA|Visão Simples|Surfaçada|Hilux|SENSITY ORIGINAL|ORGANIC|1.50|Hi-Vision LongLife BlueControl|-10.00 até +8.00||||||14</x:v>
      </x:c>
    </x:row>
    <x:row r="72">
      <x:c r="A72" s="24" t="str">
        <x:v>HY-BCDBF8DB9D16</x:v>
      </x:c>
      <x:c r="B72" s="24" t="str">
        <x:v>HOYA</x:v>
      </x:c>
      <x:c r="C72" s="24" t="str">
        <x:v>Visão Simples</x:v>
      </x:c>
      <x:c r="D72" s="24" t="str">
        <x:v>Surfaçada</x:v>
      </x:c>
      <x:c r="E72" s="24" t="str">
        <x:v>Hilux</x:v>
      </x:c>
      <x:c r="F72" s="24" t="str">
        <x:v>SENSITY ORIGINAL</x:v>
      </x:c>
      <x:c r="G72" s="24" t="str">
        <x:v>PNX</x:v>
      </x:c>
      <x:c r="H72" s="24" t="str">
        <x:v>1.53</x:v>
      </x:c>
      <x:c r="I72" s="24" t="str">
        <x:v>No-Risk BlueControl</x:v>
      </x:c>
      <x:c r="J72" s="40" t="n">
        <x:v>2299</x:v>
      </x:c>
      <x:c r="K72" s="24" t="str">
        <x:v>-10.00 até +8.00</x:v>
      </x:c>
      <x:c r="L72" s="24"/>
      <x:c r="M72" s="24"/>
      <x:c r="N72" s="24"/>
      <x:c r="O72" s="24"/>
      <x:c r="P72" s="24"/>
      <x:c r="Q72" s="24" t="str">
        <x:v>ESTOQUE LIMITADO</x:v>
      </x:c>
      <x:c r="R72" s="24"/>
      <x:c r="S72" s="24" t="n">
        <x:v>14</x:v>
      </x:c>
      <x:c r="T72" s="24" t="str">
        <x:v>tabela_hoya(1).pdf</x:v>
      </x:c>
      <x:c r="U72" s="24" t="str">
        <x:v>HOYA|Visão Simples|Surfaçada|Hilux|SENSITY ORIGINAL|PNX|1.53|No-Risk BlueControl|-10.00 até +8.00||||||14</x:v>
      </x:c>
    </x:row>
    <x:row r="73">
      <x:c r="A73" s="24" t="str">
        <x:v>HY-C3C70D60BB85</x:v>
      </x:c>
      <x:c r="B73" s="24" t="str">
        <x:v>HOYA</x:v>
      </x:c>
      <x:c r="C73" s="24" t="str">
        <x:v>Visão Simples</x:v>
      </x:c>
      <x:c r="D73" s="24" t="str">
        <x:v>Surfaçada</x:v>
      </x:c>
      <x:c r="E73" s="24" t="str">
        <x:v>Hilux</x:v>
      </x:c>
      <x:c r="F73" s="24" t="str">
        <x:v>SENSITY ORIGINAL</x:v>
      </x:c>
      <x:c r="G73" s="24" t="str">
        <x:v>ORGANIC</x:v>
      </x:c>
      <x:c r="H73" s="24" t="str">
        <x:v>1.50</x:v>
      </x:c>
      <x:c r="I73" s="24" t="str">
        <x:v>No-Risk BlueControl</x:v>
      </x:c>
      <x:c r="J73" s="40" t="n">
        <x:v>1949</x:v>
      </x:c>
      <x:c r="K73" s="24" t="str">
        <x:v>-10.00 até +8.00</x:v>
      </x:c>
      <x:c r="L73" s="24"/>
      <x:c r="M73" s="24"/>
      <x:c r="N73" s="24"/>
      <x:c r="O73" s="24"/>
      <x:c r="P73" s="24"/>
      <x:c r="Q73" s="24" t="str">
        <x:v>ESTOQUE LIMITADO</x:v>
      </x:c>
      <x:c r="R73" s="24"/>
      <x:c r="S73" s="24" t="n">
        <x:v>14</x:v>
      </x:c>
      <x:c r="T73" s="24" t="str">
        <x:v>tabela_hoya(1).pdf</x:v>
      </x:c>
      <x:c r="U73" s="24" t="str">
        <x:v>HOYA|Visão Simples|Surfaçada|Hilux|SENSITY ORIGINAL|ORGANIC|1.50|No-Risk BlueControl|-10.00 até +8.00||||||14</x:v>
      </x:c>
    </x:row>
    <x:row r="74">
      <x:c r="A74" s="24" t="str">
        <x:v>HY-D761BEB8BEB2</x:v>
      </x:c>
      <x:c r="B74" s="24" t="str">
        <x:v>HOYA</x:v>
      </x:c>
      <x:c r="C74" s="24" t="str">
        <x:v>Visão Simples</x:v>
      </x:c>
      <x:c r="D74" s="24" t="str">
        <x:v>Surfaçada</x:v>
      </x:c>
      <x:c r="E74" s="24" t="str">
        <x:v>Hilux</x:v>
      </x:c>
      <x:c r="F74" s="24" t="str">
        <x:v>SENSITY ORIGINAL</x:v>
      </x:c>
      <x:c r="G74" s="24" t="str">
        <x:v>PNX</x:v>
      </x:c>
      <x:c r="H74" s="24" t="str">
        <x:v>1.53</x:v>
      </x:c>
      <x:c r="I74" s="24" t="str">
        <x:v>Hi-Vision Hard</x:v>
      </x:c>
      <x:c r="J74" s="40" t="n">
        <x:v>1649</x:v>
      </x:c>
      <x:c r="K74" s="24" t="str">
        <x:v>-10.00 até +8.00</x:v>
      </x:c>
      <x:c r="L74" s="24"/>
      <x:c r="M74" s="24"/>
      <x:c r="N74" s="24"/>
      <x:c r="O74" s="24"/>
      <x:c r="P74" s="24"/>
      <x:c r="Q74" s="24" t="str">
        <x:v>ESTOQUE LIMITADO</x:v>
      </x:c>
      <x:c r="R74" s="24"/>
      <x:c r="S74" s="24" t="n">
        <x:v>14</x:v>
      </x:c>
      <x:c r="T74" s="24" t="str">
        <x:v>tabela_hoya(1).pdf</x:v>
      </x:c>
      <x:c r="U74" s="24" t="str">
        <x:v>HOYA|Visão Simples|Surfaçada|Hilux|SENSITY ORIGINAL|PNX|1.53|Hi-Vision Hard|-10.00 até +8.00||||||14</x:v>
      </x:c>
    </x:row>
    <x:row r="75">
      <x:c r="A75" s="24" t="str">
        <x:v>HY-E3112E425769</x:v>
      </x:c>
      <x:c r="B75" s="24" t="str">
        <x:v>HOYA</x:v>
      </x:c>
      <x:c r="C75" s="24" t="str">
        <x:v>Visão Simples</x:v>
      </x:c>
      <x:c r="D75" s="24" t="str">
        <x:v>Surfaçada</x:v>
      </x:c>
      <x:c r="E75" s="24" t="str">
        <x:v>Hilux</x:v>
      </x:c>
      <x:c r="F75" s="24" t="str">
        <x:v>SENSITY ORIGINAL</x:v>
      </x:c>
      <x:c r="G75" s="24" t="str">
        <x:v>ORGANIC</x:v>
      </x:c>
      <x:c r="H75" s="24" t="str">
        <x:v>1.50</x:v>
      </x:c>
      <x:c r="I75" s="24" t="str">
        <x:v>Hi-Vision Hard</x:v>
      </x:c>
      <x:c r="J75" s="40" t="n">
        <x:v>1299</x:v>
      </x:c>
      <x:c r="K75" s="24" t="str">
        <x:v>-10.00 até +8.00</x:v>
      </x:c>
      <x:c r="L75" s="24"/>
      <x:c r="M75" s="24"/>
      <x:c r="N75" s="24"/>
      <x:c r="O75" s="24"/>
      <x:c r="P75" s="24"/>
      <x:c r="Q75" s="24" t="str">
        <x:v>ESTOQUE LIMITADO</x:v>
      </x:c>
      <x:c r="R75" s="24"/>
      <x:c r="S75" s="24" t="n">
        <x:v>14</x:v>
      </x:c>
      <x:c r="T75" s="24" t="str">
        <x:v>tabela_hoya(1).pdf</x:v>
      </x:c>
      <x:c r="U75" s="24" t="str">
        <x:v>HOYA|Visão Simples|Surfaçada|Hilux|SENSITY ORIGINAL|ORGANIC|1.50|Hi-Vision Hard|-10.00 até +8.00||||||14</x:v>
      </x:c>
    </x:row>
    <x:row r="76">
      <x:c r="A76" s="24" t="str">
        <x:v>HY-EFC5306EB71D</x:v>
      </x:c>
      <x:c r="B76" s="24" t="str">
        <x:v>HOYA</x:v>
      </x:c>
      <x:c r="C76" s="24" t="str">
        <x:v>Visão Simples</x:v>
      </x:c>
      <x:c r="D76" s="24" t="str">
        <x:v>Surfaçada</x:v>
      </x:c>
      <x:c r="E76" s="24" t="str">
        <x:v>Hilux</x:v>
      </x:c>
      <x:c r="F76" s="24" t="str">
        <x:v>COLORIDAS</x:v>
      </x:c>
      <x:c r="G76" s="24" t="str">
        <x:v>PNX</x:v>
      </x:c>
      <x:c r="H76" s="24" t="str">
        <x:v>1.53</x:v>
      </x:c>
      <x:c r="I76" s="24" t="str">
        <x:v>Hi-Vision Sun Pro</x:v>
      </x:c>
      <x:c r="J76" s="40" t="n">
        <x:v>1789</x:v>
      </x:c>
      <x:c r="K76" s="24" t="str">
        <x:v>-10.00 até +8.00</x:v>
      </x:c>
      <x:c r="L76" s="24"/>
      <x:c r="M76" s="24"/>
      <x:c r="N76" s="24"/>
      <x:c r="O76" s="24"/>
      <x:c r="P76" s="24"/>
      <x:c r="Q76" s="24" t="str">
        <x:v>DISPONÍVEL</x:v>
      </x:c>
      <x:c r="R76" s="24"/>
      <x:c r="S76" s="24" t="n">
        <x:v>14</x:v>
      </x:c>
      <x:c r="T76" s="24" t="str">
        <x:v>tabela_hoya(1).pdf</x:v>
      </x:c>
      <x:c r="U76" s="24" t="str">
        <x:v>HOYA|Visão Simples|Surfaçada|Hilux|COLORIDAS|PNX|1.53|Hi-Vision Sun Pro|-10.00 até +8.00||||||14</x:v>
      </x:c>
    </x:row>
    <x:row r="77">
      <x:c r="A77" s="24" t="str">
        <x:v>HY-6D62E1E5847C</x:v>
      </x:c>
      <x:c r="B77" s="24" t="str">
        <x:v>HOYA</x:v>
      </x:c>
      <x:c r="C77" s="24" t="str">
        <x:v>Visão Simples</x:v>
      </x:c>
      <x:c r="D77" s="24" t="str">
        <x:v>Surfaçada</x:v>
      </x:c>
      <x:c r="E77" s="24" t="str">
        <x:v>Hilux</x:v>
      </x:c>
      <x:c r="F77" s="24" t="str">
        <x:v>COLORIDAS</x:v>
      </x:c>
      <x:c r="G77" s="24" t="str">
        <x:v>ORGANIC</x:v>
      </x:c>
      <x:c r="H77" s="24" t="str">
        <x:v>1.50</x:v>
      </x:c>
      <x:c r="I77" s="24" t="str">
        <x:v>Hi-Vision Sun Pro</x:v>
      </x:c>
      <x:c r="J77" s="40" t="n">
        <x:v>1439</x:v>
      </x:c>
      <x:c r="K77" s="24" t="str">
        <x:v>-10.00 até +8.00</x:v>
      </x:c>
      <x:c r="L77" s="24"/>
      <x:c r="M77" s="24"/>
      <x:c r="N77" s="24"/>
      <x:c r="O77" s="24"/>
      <x:c r="P77" s="24"/>
      <x:c r="Q77" s="24" t="str">
        <x:v>DISPONÍVEL</x:v>
      </x:c>
      <x:c r="R77" s="24"/>
      <x:c r="S77" s="24" t="n">
        <x:v>14</x:v>
      </x:c>
      <x:c r="T77" s="24" t="str">
        <x:v>tabela_hoya(1).pdf</x:v>
      </x:c>
      <x:c r="U77" s="24" t="str">
        <x:v>HOYA|Visão Simples|Surfaçada|Hilux|COLORIDAS|ORGANIC|1.50|Hi-Vision Sun Pro|-10.00 até +8.00||||||14</x:v>
      </x:c>
    </x:row>
    <x:row r="78">
      <x:c r="A78" s="24" t="str">
        <x:v>HY-D9960925CDB4</x:v>
      </x:c>
      <x:c r="B78" s="24" t="str">
        <x:v>HOYA</x:v>
      </x:c>
      <x:c r="C78" s="24" t="str">
        <x:v>Visão Simples</x:v>
      </x:c>
      <x:c r="D78" s="24" t="str">
        <x:v>Pronta</x:v>
      </x:c>
      <x:c r="E78" s="24" t="str">
        <x:v>Nulux</x:v>
      </x:c>
      <x:c r="F78" s="24" t="str">
        <x:v>INCOLOR</x:v>
      </x:c>
      <x:c r="G78" s="24" t="str">
        <x:v>EYVIA</x:v>
      </x:c>
      <x:c r="H78" s="24" t="str">
        <x:v>1.74</x:v>
      </x:c>
      <x:c r="I78" s="24" t="str">
        <x:v>Hi-Vision Meiryo</x:v>
      </x:c>
      <x:c r="J78" s="40" t="n">
        <x:v>2199</x:v>
      </x:c>
      <x:c r="K78" s="24" t="str">
        <x:v>-12.00 até -2.00</x:v>
      </x:c>
      <x:c r="L78" s="24"/>
      <x:c r="M78" s="24"/>
      <x:c r="N78" s="24"/>
      <x:c r="O78" s="24"/>
      <x:c r="P78" s="24"/>
      <x:c r="Q78" s="24" t="str">
        <x:v>DISPONÍVEL</x:v>
      </x:c>
      <x:c r="R78" s="24"/>
      <x:c r="S78" s="24" t="n">
        <x:v>16</x:v>
      </x:c>
      <x:c r="T78" s="24" t="str">
        <x:v>tabela_hoya(1).pdf</x:v>
      </x:c>
      <x:c r="U78" s="24" t="str">
        <x:v>HOYA|Visão Simples|Pronta|Nulux|INCOLOR|EYVIA|1.74|Hi-Vision Meiryo|-12.00 até -2.00||||||16</x:v>
      </x:c>
    </x:row>
    <x:row r="79">
      <x:c r="A79" s="24" t="str">
        <x:v>HY-02CFB38F93C1</x:v>
      </x:c>
      <x:c r="B79" s="24" t="str">
        <x:v>HOYA</x:v>
      </x:c>
      <x:c r="C79" s="24" t="str">
        <x:v>Visão Simples</x:v>
      </x:c>
      <x:c r="D79" s="24" t="str">
        <x:v>Pronta</x:v>
      </x:c>
      <x:c r="E79" s="24" t="str">
        <x:v>Nulux</x:v>
      </x:c>
      <x:c r="F79" s="24" t="str">
        <x:v>INCOLOR</x:v>
      </x:c>
      <x:c r="G79" s="24" t="str">
        <x:v>EYNOA</x:v>
      </x:c>
      <x:c r="H79" s="24" t="str">
        <x:v>1.67</x:v>
      </x:c>
      <x:c r="I79" s="24" t="str">
        <x:v>Hi-Vision Meiryo</x:v>
      </x:c>
      <x:c r="J79" s="40" t="n">
        <x:v>1599</x:v>
      </x:c>
      <x:c r="K79" s="24" t="str">
        <x:v>-8.00 até +6.00</x:v>
      </x:c>
      <x:c r="L79" s="24"/>
      <x:c r="M79" s="24"/>
      <x:c r="N79" s="24"/>
      <x:c r="O79" s="24"/>
      <x:c r="P79" s="24"/>
      <x:c r="Q79" s="24" t="str">
        <x:v>DISPONÍVEL</x:v>
      </x:c>
      <x:c r="R79" s="24"/>
      <x:c r="S79" s="24" t="n">
        <x:v>16</x:v>
      </x:c>
      <x:c r="T79" s="24" t="str">
        <x:v>tabela_hoya(1).pdf</x:v>
      </x:c>
      <x:c r="U79" s="24" t="str">
        <x:v>HOYA|Visão Simples|Pronta|Nulux|INCOLOR|EYNOA|1.67|Hi-Vision Meiryo|-8.00 até +6.00||||||16</x:v>
      </x:c>
    </x:row>
    <x:row r="80">
      <x:c r="A80" s="24" t="str">
        <x:v>HY-E53B240580B6</x:v>
      </x:c>
      <x:c r="B80" s="24" t="str">
        <x:v>HOYA</x:v>
      </x:c>
      <x:c r="C80" s="24" t="str">
        <x:v>Visão Simples</x:v>
      </x:c>
      <x:c r="D80" s="24" t="str">
        <x:v>Pronta</x:v>
      </x:c>
      <x:c r="E80" s="24" t="str">
        <x:v>Nulux</x:v>
      </x:c>
      <x:c r="F80" s="24" t="str">
        <x:v>INCOLOR</x:v>
      </x:c>
      <x:c r="G80" s="24" t="str">
        <x:v>EYAS 2.0</x:v>
      </x:c>
      <x:c r="H80" s="24" t="str">
        <x:v>1.60</x:v>
      </x:c>
      <x:c r="I80" s="24" t="str">
        <x:v>Hi-Vision Meiryo</x:v>
      </x:c>
      <x:c r="J80" s="40" t="n">
        <x:v>1379</x:v>
      </x:c>
      <x:c r="K80" s="24" t="str">
        <x:v>-6.00 até +6.00</x:v>
      </x:c>
      <x:c r="L80" s="24"/>
      <x:c r="M80" s="24"/>
      <x:c r="N80" s="24"/>
      <x:c r="O80" s="24"/>
      <x:c r="P80" s="24"/>
      <x:c r="Q80" s="24" t="str">
        <x:v>DISPONÍVEL</x:v>
      </x:c>
      <x:c r="R80" s="24"/>
      <x:c r="S80" s="24" t="n">
        <x:v>16</x:v>
      </x:c>
      <x:c r="T80" s="24" t="str">
        <x:v>tabela_hoya(1).pdf</x:v>
      </x:c>
      <x:c r="U80" s="24" t="str">
        <x:v>HOYA|Visão Simples|Pronta|Nulux|INCOLOR|EYAS 2.0|1.60|Hi-Vision Meiryo|-6.00 até +6.00||||||16</x:v>
      </x:c>
    </x:row>
    <x:row r="81">
      <x:c r="A81" s="24" t="str">
        <x:v>HY-B5006109A8F7</x:v>
      </x:c>
      <x:c r="B81" s="24" t="str">
        <x:v>HOYA</x:v>
      </x:c>
      <x:c r="C81" s="24" t="str">
        <x:v>Visão Simples</x:v>
      </x:c>
      <x:c r="D81" s="24" t="str">
        <x:v>Pronta</x:v>
      </x:c>
      <x:c r="E81" s="24" t="str">
        <x:v>Nulux</x:v>
      </x:c>
      <x:c r="F81" s="24" t="str">
        <x:v>INCOLOR</x:v>
      </x:c>
      <x:c r="G81" s="24" t="str">
        <x:v>EYNOA</x:v>
      </x:c>
      <x:c r="H81" s="24" t="str">
        <x:v>1.67</x:v>
      </x:c>
      <x:c r="I81" s="24" t="str">
        <x:v>Hi-Vision LongLife BlueControl</x:v>
      </x:c>
      <x:c r="J81" s="40" t="n">
        <x:v>1499</x:v>
      </x:c>
      <x:c r="K81" s="24" t="str">
        <x:v>-8.00 até +6.00</x:v>
      </x:c>
      <x:c r="L81" s="24"/>
      <x:c r="M81" s="24"/>
      <x:c r="N81" s="24"/>
      <x:c r="O81" s="24"/>
      <x:c r="P81" s="24"/>
      <x:c r="Q81" s="24" t="str">
        <x:v>DISPONÍVEL</x:v>
      </x:c>
      <x:c r="R81" s="24"/>
      <x:c r="S81" s="24" t="n">
        <x:v>16</x:v>
      </x:c>
      <x:c r="T81" s="24" t="str">
        <x:v>tabela_hoya(1).pdf</x:v>
      </x:c>
      <x:c r="U81" s="24" t="str">
        <x:v>HOYA|Visão Simples|Pronta|Nulux|INCOLOR|EYNOA|1.67|Hi-Vision LongLife BlueControl|-8.00 até +6.00||||||16</x:v>
      </x:c>
    </x:row>
    <x:row r="82">
      <x:c r="A82" s="24" t="str">
        <x:v>HY-34C350A7F42A</x:v>
      </x:c>
      <x:c r="B82" s="24" t="str">
        <x:v>HOYA</x:v>
      </x:c>
      <x:c r="C82" s="24" t="str">
        <x:v>Visão Simples</x:v>
      </x:c>
      <x:c r="D82" s="24" t="str">
        <x:v>Pronta</x:v>
      </x:c>
      <x:c r="E82" s="24" t="str">
        <x:v>Nulux</x:v>
      </x:c>
      <x:c r="F82" s="24" t="str">
        <x:v>INCOLOR</x:v>
      </x:c>
      <x:c r="G82" s="24" t="str">
        <x:v>EYNOA</x:v>
      </x:c>
      <x:c r="H82" s="24" t="str">
        <x:v>1.67</x:v>
      </x:c>
      <x:c r="I82" s="24" t="str">
        <x:v>Hi-Vision LongLife UVControl</x:v>
      </x:c>
      <x:c r="J82" s="40" t="n">
        <x:v>1499</x:v>
      </x:c>
      <x:c r="K82" s="24" t="str">
        <x:v>-8.00 até +6.00</x:v>
      </x:c>
      <x:c r="L82" s="24"/>
      <x:c r="M82" s="24"/>
      <x:c r="N82" s="24"/>
      <x:c r="O82" s="24"/>
      <x:c r="P82" s="24"/>
      <x:c r="Q82" s="24" t="str">
        <x:v>DISPONÍVEL</x:v>
      </x:c>
      <x:c r="R82" s="24"/>
      <x:c r="S82" s="24" t="n">
        <x:v>16</x:v>
      </x:c>
      <x:c r="T82" s="24" t="str">
        <x:v>tabela_hoya(1).pdf</x:v>
      </x:c>
      <x:c r="U82" s="24" t="str">
        <x:v>HOYA|Visão Simples|Pronta|Nulux|INCOLOR|EYNOA|1.67|Hi-Vision LongLife UVControl|-8.00 até +6.00||||||16</x:v>
      </x:c>
    </x:row>
    <x:row r="83">
      <x:c r="A83" s="24" t="str">
        <x:v>HY-C47AB8999993</x:v>
      </x:c>
      <x:c r="B83" s="24" t="str">
        <x:v>HOYA</x:v>
      </x:c>
      <x:c r="C83" s="24" t="str">
        <x:v>Visão Simples</x:v>
      </x:c>
      <x:c r="D83" s="24" t="str">
        <x:v>Pronta</x:v>
      </x:c>
      <x:c r="E83" s="24" t="str">
        <x:v>Nulux</x:v>
      </x:c>
      <x:c r="F83" s="24" t="str">
        <x:v>INCOLOR</x:v>
      </x:c>
      <x:c r="G83" s="24" t="str">
        <x:v>EYAS 2.0</x:v>
      </x:c>
      <x:c r="H83" s="24" t="str">
        <x:v>1.60</x:v>
      </x:c>
      <x:c r="I83" s="24" t="str">
        <x:v>Hi-Vision LongLife UVControl</x:v>
      </x:c>
      <x:c r="J83" s="40" t="n">
        <x:v>1199</x:v>
      </x:c>
      <x:c r="K83" s="24" t="str">
        <x:v>-6.00 até +6.00</x:v>
      </x:c>
      <x:c r="L83" s="24"/>
      <x:c r="M83" s="24"/>
      <x:c r="N83" s="24"/>
      <x:c r="O83" s="24"/>
      <x:c r="P83" s="24"/>
      <x:c r="Q83" s="24" t="str">
        <x:v>DISPONÍVEL</x:v>
      </x:c>
      <x:c r="R83" s="24"/>
      <x:c r="S83" s="24" t="n">
        <x:v>16</x:v>
      </x:c>
      <x:c r="T83" s="24" t="str">
        <x:v>tabela_hoya(1).pdf</x:v>
      </x:c>
      <x:c r="U83" s="24" t="str">
        <x:v>HOYA|Visão Simples|Pronta|Nulux|INCOLOR|EYAS 2.0|1.60|Hi-Vision LongLife UVControl|-6.00 até +6.00||||||16</x:v>
      </x:c>
    </x:row>
    <x:row r="84">
      <x:c r="A84" s="24" t="str">
        <x:v>HY-6FA2C8D693FB</x:v>
      </x:c>
      <x:c r="B84" s="24" t="str">
        <x:v>HOYA</x:v>
      </x:c>
      <x:c r="C84" s="24" t="str">
        <x:v>Visão Simples</x:v>
      </x:c>
      <x:c r="D84" s="24" t="str">
        <x:v>Pronta</x:v>
      </x:c>
      <x:c r="E84" s="24" t="str">
        <x:v>Nulux</x:v>
      </x:c>
      <x:c r="F84" s="24" t="str">
        <x:v>INCOLOR</x:v>
      </x:c>
      <x:c r="G84" s="24" t="str">
        <x:v>EYVIA</x:v>
      </x:c>
      <x:c r="H84" s="24" t="str">
        <x:v>1.74</x:v>
      </x:c>
      <x:c r="I84" s="24" t="str">
        <x:v>Hi-Vision LongLife</x:v>
      </x:c>
      <x:c r="J84" s="40" t="n">
        <x:v>1979</x:v>
      </x:c>
      <x:c r="K84" s="24" t="str">
        <x:v>-12.00 até -2.00</x:v>
      </x:c>
      <x:c r="L84" s="24"/>
      <x:c r="M84" s="24"/>
      <x:c r="N84" s="24"/>
      <x:c r="O84" s="24"/>
      <x:c r="P84" s="24"/>
      <x:c r="Q84" s="24" t="str">
        <x:v>DISPONÍVEL</x:v>
      </x:c>
      <x:c r="R84" s="24"/>
      <x:c r="S84" s="24" t="n">
        <x:v>16</x:v>
      </x:c>
      <x:c r="T84" s="24" t="str">
        <x:v>tabela_hoya(1).pdf</x:v>
      </x:c>
      <x:c r="U84" s="24" t="str">
        <x:v>HOYA|Visão Simples|Pronta|Nulux|INCOLOR|EYVIA|1.74|Hi-Vision LongLife|-12.00 até -2.00||||||16</x:v>
      </x:c>
    </x:row>
    <x:row r="85">
      <x:c r="A85" s="24" t="str">
        <x:v>HY-C92D908ECF4A</x:v>
      </x:c>
      <x:c r="B85" s="24" t="str">
        <x:v>HOYA</x:v>
      </x:c>
      <x:c r="C85" s="24" t="str">
        <x:v>Visão Simples</x:v>
      </x:c>
      <x:c r="D85" s="24" t="str">
        <x:v>Pronta</x:v>
      </x:c>
      <x:c r="E85" s="24" t="str">
        <x:v>Nulux</x:v>
      </x:c>
      <x:c r="F85" s="24" t="str">
        <x:v>INCOLOR</x:v>
      </x:c>
      <x:c r="G85" s="24" t="str">
        <x:v>PNX</x:v>
      </x:c>
      <x:c r="H85" s="24" t="str">
        <x:v>1.53</x:v>
      </x:c>
      <x:c r="I85" s="24" t="str">
        <x:v>CleanExtra</x:v>
      </x:c>
      <x:c r="J85" s="40" t="n">
        <x:v>679</x:v>
      </x:c>
      <x:c r="K85" s="24" t="str">
        <x:v>-6.00 até +6.00</x:v>
      </x:c>
      <x:c r="L85" s="24"/>
      <x:c r="M85" s="24"/>
      <x:c r="N85" s="24"/>
      <x:c r="O85" s="24"/>
      <x:c r="P85" s="24"/>
      <x:c r="Q85" s="24" t="str">
        <x:v>DISPONÍVEL</x:v>
      </x:c>
      <x:c r="R85" s="24"/>
      <x:c r="S85" s="24" t="n">
        <x:v>16</x:v>
      </x:c>
      <x:c r="T85" s="24" t="str">
        <x:v>tabela_hoya(1).pdf</x:v>
      </x:c>
      <x:c r="U85" s="24" t="str">
        <x:v>HOYA|Visão Simples|Pronta|Nulux|INCOLOR|PNX|1.53|CleanExtra|-6.00 até +6.00||||||16</x:v>
      </x:c>
    </x:row>
    <x:row r="86">
      <x:c r="A86" s="24" t="str">
        <x:v>HY-294C1D32E2B2</x:v>
      </x:c>
      <x:c r="B86" s="24" t="str">
        <x:v>HOYA</x:v>
      </x:c>
      <x:c r="C86" s="24" t="str">
        <x:v>Visão Simples</x:v>
      </x:c>
      <x:c r="D86" s="24" t="str">
        <x:v>Pronta</x:v>
      </x:c>
      <x:c r="E86" s="24" t="str">
        <x:v>Nulux</x:v>
      </x:c>
      <x:c r="F86" s="24" t="str">
        <x:v>SENSITY 2</x:v>
      </x:c>
      <x:c r="G86" s="24" t="str">
        <x:v>EYNOA</x:v>
      </x:c>
      <x:c r="H86" s="24" t="str">
        <x:v>1.67</x:v>
      </x:c>
      <x:c r="I86" s="24" t="str">
        <x:v>Hi-Vision LongLife UVControl</x:v>
      </x:c>
      <x:c r="J86" s="40" t="n">
        <x:v>2079</x:v>
      </x:c>
      <x:c r="K86" s="24" t="str">
        <x:v>-8.00 até +6.00</x:v>
      </x:c>
      <x:c r="L86" s="24"/>
      <x:c r="M86" s="24"/>
      <x:c r="N86" s="24"/>
      <x:c r="O86" s="24"/>
      <x:c r="P86" s="24"/>
      <x:c r="Q86" s="24" t="str">
        <x:v>DISPONÍVEL</x:v>
      </x:c>
      <x:c r="R86" s="24"/>
      <x:c r="S86" s="24" t="n">
        <x:v>16</x:v>
      </x:c>
      <x:c r="T86" s="24" t="str">
        <x:v>tabela_hoya(1).pdf</x:v>
      </x:c>
      <x:c r="U86" s="24" t="str">
        <x:v>HOYA|Visão Simples|Pronta|Nulux|SENSITY 2|EYNOA|1.67|Hi-Vision LongLife UVControl|-8.00 até +6.00||||||16</x:v>
      </x:c>
    </x:row>
    <x:row r="87">
      <x:c r="A87" s="24" t="str">
        <x:v>HY-EC1BFA9C0556</x:v>
      </x:c>
      <x:c r="B87" s="24" t="str">
        <x:v>HOYA</x:v>
      </x:c>
      <x:c r="C87" s="24" t="str">
        <x:v>Visão Simples</x:v>
      </x:c>
      <x:c r="D87" s="24" t="str">
        <x:v>Pronta</x:v>
      </x:c>
      <x:c r="E87" s="24" t="str">
        <x:v>Hilux</x:v>
      </x:c>
      <x:c r="F87" s="24" t="str">
        <x:v>INCOLOR</x:v>
      </x:c>
      <x:c r="G87" s="24" t="str">
        <x:v>PNX</x:v>
      </x:c>
      <x:c r="H87" s="24" t="str">
        <x:v>1.53</x:v>
      </x:c>
      <x:c r="I87" s="24" t="str">
        <x:v>Hi-Vision Meiryo</x:v>
      </x:c>
      <x:c r="J87" s="40" t="n">
        <x:v>1099</x:v>
      </x:c>
      <x:c r="K87" s="24" t="str">
        <x:v>-3.00 até +2.00</x:v>
      </x:c>
      <x:c r="L87" s="24"/>
      <x:c r="M87" s="24"/>
      <x:c r="N87" s="24"/>
      <x:c r="O87" s="24"/>
      <x:c r="P87" s="24"/>
      <x:c r="Q87" s="24" t="str">
        <x:v>DISPONÍVEL</x:v>
      </x:c>
      <x:c r="R87" s="24"/>
      <x:c r="S87" s="24" t="n">
        <x:v>17</x:v>
      </x:c>
      <x:c r="T87" s="24" t="str">
        <x:v>tabela_hoya(1).pdf</x:v>
      </x:c>
      <x:c r="U87" s="24" t="str">
        <x:v>HOYA|Visão Simples|Pronta|Hilux|INCOLOR|PNX|1.53|Hi-Vision Meiryo|-3.00 até +2.00||||||17</x:v>
      </x:c>
    </x:row>
    <x:row r="88">
      <x:c r="A88" s="24" t="str">
        <x:v>HY-B1F812E676A5</x:v>
      </x:c>
      <x:c r="B88" s="24" t="str">
        <x:v>HOYA</x:v>
      </x:c>
      <x:c r="C88" s="24" t="str">
        <x:v>Visão Simples</x:v>
      </x:c>
      <x:c r="D88" s="24" t="str">
        <x:v>Pronta</x:v>
      </x:c>
      <x:c r="E88" s="24" t="str">
        <x:v>Hilux</x:v>
      </x:c>
      <x:c r="F88" s="24" t="str">
        <x:v>INCOLOR</x:v>
      </x:c>
      <x:c r="G88" s="24" t="str">
        <x:v>ORGANIC</x:v>
      </x:c>
      <x:c r="H88" s="24" t="str">
        <x:v>1.50</x:v>
      </x:c>
      <x:c r="I88" s="24" t="str">
        <x:v>Hi-Vision Meiryo</x:v>
      </x:c>
      <x:c r="J88" s="40" t="n">
        <x:v>899</x:v>
      </x:c>
      <x:c r="K88" s="24" t="str">
        <x:v>-4.00 até +4.00</x:v>
      </x:c>
      <x:c r="L88" s="24"/>
      <x:c r="M88" s="24"/>
      <x:c r="N88" s="24"/>
      <x:c r="O88" s="24"/>
      <x:c r="P88" s="24"/>
      <x:c r="Q88" s="24" t="str">
        <x:v>DISPONÍVEL</x:v>
      </x:c>
      <x:c r="R88" s="24"/>
      <x:c r="S88" s="24" t="n">
        <x:v>17</x:v>
      </x:c>
      <x:c r="T88" s="24" t="str">
        <x:v>tabela_hoya(1).pdf</x:v>
      </x:c>
      <x:c r="U88" s="24" t="str">
        <x:v>HOYA|Visão Simples|Pronta|Hilux|INCOLOR|ORGANIC|1.50|Hi-Vision Meiryo|-4.00 até +4.00||||||17</x:v>
      </x:c>
    </x:row>
    <x:row r="89">
      <x:c r="A89" s="24" t="str">
        <x:v>HY-4C4FC71F27E0</x:v>
      </x:c>
      <x:c r="B89" s="24" t="str">
        <x:v>HOYA</x:v>
      </x:c>
      <x:c r="C89" s="24" t="str">
        <x:v>Visão Simples</x:v>
      </x:c>
      <x:c r="D89" s="24" t="str">
        <x:v>Pronta</x:v>
      </x:c>
      <x:c r="E89" s="24" t="str">
        <x:v>Hilux</x:v>
      </x:c>
      <x:c r="F89" s="24" t="str">
        <x:v>INCOLOR</x:v>
      </x:c>
      <x:c r="G89" s="24" t="str">
        <x:v>PNX</x:v>
      </x:c>
      <x:c r="H89" s="24" t="str">
        <x:v>1.53</x:v>
      </x:c>
      <x:c r="I89" s="24" t="str">
        <x:v>Hi-Vision LongLife BlueControl</x:v>
      </x:c>
      <x:c r="J89" s="40" t="n">
        <x:v>999</x:v>
      </x:c>
      <x:c r="K89" s="24" t="str">
        <x:v>-3.00 até +2.00</x:v>
      </x:c>
      <x:c r="L89" s="24"/>
      <x:c r="M89" s="24"/>
      <x:c r="N89" s="24"/>
      <x:c r="O89" s="24"/>
      <x:c r="P89" s="24"/>
      <x:c r="Q89" s="24" t="str">
        <x:v>DISPONÍVEL</x:v>
      </x:c>
      <x:c r="R89" s="24"/>
      <x:c r="S89" s="24" t="n">
        <x:v>17</x:v>
      </x:c>
      <x:c r="T89" s="24" t="str">
        <x:v>tabela_hoya(1).pdf</x:v>
      </x:c>
      <x:c r="U89" s="24" t="str">
        <x:v>HOYA|Visão Simples|Pronta|Hilux|INCOLOR|PNX|1.53|Hi-Vision LongLife BlueControl|-3.00 até +2.00||||||17</x:v>
      </x:c>
    </x:row>
    <x:row r="90">
      <x:c r="A90" s="24" t="str">
        <x:v>HY-B5CE6F871E9C</x:v>
      </x:c>
      <x:c r="B90" s="24" t="str">
        <x:v>HOYA</x:v>
      </x:c>
      <x:c r="C90" s="24" t="str">
        <x:v>Visão Simples</x:v>
      </x:c>
      <x:c r="D90" s="24" t="str">
        <x:v>Pronta</x:v>
      </x:c>
      <x:c r="E90" s="24" t="str">
        <x:v>Hilux</x:v>
      </x:c>
      <x:c r="F90" s="24" t="str">
        <x:v>INCOLOR</x:v>
      </x:c>
      <x:c r="G90" s="24" t="str">
        <x:v>ORGANIC</x:v>
      </x:c>
      <x:c r="H90" s="24" t="str">
        <x:v>1.50</x:v>
      </x:c>
      <x:c r="I90" s="24" t="str">
        <x:v>Hi-Vision LongLife BlueControl</x:v>
      </x:c>
      <x:c r="J90" s="40" t="n">
        <x:v>799</x:v>
      </x:c>
      <x:c r="K90" s="24" t="str">
        <x:v>-4.00 até +4.00</x:v>
      </x:c>
      <x:c r="L90" s="24"/>
      <x:c r="M90" s="24"/>
      <x:c r="N90" s="24"/>
      <x:c r="O90" s="24"/>
      <x:c r="P90" s="24"/>
      <x:c r="Q90" s="24" t="str">
        <x:v>DISPONÍVEL</x:v>
      </x:c>
      <x:c r="R90" s="24"/>
      <x:c r="S90" s="24" t="n">
        <x:v>17</x:v>
      </x:c>
      <x:c r="T90" s="24" t="str">
        <x:v>tabela_hoya(1).pdf</x:v>
      </x:c>
      <x:c r="U90" s="24" t="str">
        <x:v>HOYA|Visão Simples|Pronta|Hilux|INCOLOR|ORGANIC|1.50|Hi-Vision LongLife BlueControl|-4.00 até +4.00||||||17</x:v>
      </x:c>
    </x:row>
    <x:row r="91">
      <x:c r="A91" s="24" t="str">
        <x:v>HY-61306230377B</x:v>
      </x:c>
      <x:c r="B91" s="24" t="str">
        <x:v>HOYA</x:v>
      </x:c>
      <x:c r="C91" s="24" t="str">
        <x:v>Visão Simples</x:v>
      </x:c>
      <x:c r="D91" s="24" t="str">
        <x:v>Pronta</x:v>
      </x:c>
      <x:c r="E91" s="24" t="str">
        <x:v>Hilux</x:v>
      </x:c>
      <x:c r="F91" s="24" t="str">
        <x:v>INCOLOR</x:v>
      </x:c>
      <x:c r="G91" s="24" t="str">
        <x:v>PNX</x:v>
      </x:c>
      <x:c r="H91" s="24" t="str">
        <x:v>1.53</x:v>
      </x:c>
      <x:c r="I91" s="24" t="str">
        <x:v>Hi-Vision LongLife UVControl</x:v>
      </x:c>
      <x:c r="J91" s="40" t="n">
        <x:v>999</x:v>
      </x:c>
      <x:c r="K91" s="24" t="str">
        <x:v>-3.00 até +2.00</x:v>
      </x:c>
      <x:c r="L91" s="24"/>
      <x:c r="M91" s="24"/>
      <x:c r="N91" s="24"/>
      <x:c r="O91" s="24"/>
      <x:c r="P91" s="24"/>
      <x:c r="Q91" s="24" t="str">
        <x:v>DISPONÍVEL</x:v>
      </x:c>
      <x:c r="R91" s="24"/>
      <x:c r="S91" s="24" t="n">
        <x:v>17</x:v>
      </x:c>
      <x:c r="T91" s="24" t="str">
        <x:v>tabela_hoya(1).pdf</x:v>
      </x:c>
      <x:c r="U91" s="24" t="str">
        <x:v>HOYA|Visão Simples|Pronta|Hilux|INCOLOR|PNX|1.53|Hi-Vision LongLife UVControl|-3.00 até +2.00||||||17</x:v>
      </x:c>
    </x:row>
    <x:row r="92">
      <x:c r="A92" s="24" t="str">
        <x:v>HY-42FB0AD1A55F</x:v>
      </x:c>
      <x:c r="B92" s="24" t="str">
        <x:v>HOYA</x:v>
      </x:c>
      <x:c r="C92" s="24" t="str">
        <x:v>Visão Simples</x:v>
      </x:c>
      <x:c r="D92" s="24" t="str">
        <x:v>Pronta</x:v>
      </x:c>
      <x:c r="E92" s="24" t="str">
        <x:v>Hilux</x:v>
      </x:c>
      <x:c r="F92" s="24" t="str">
        <x:v>INCOLOR</x:v>
      </x:c>
      <x:c r="G92" s="24" t="str">
        <x:v>ORGANIC</x:v>
      </x:c>
      <x:c r="H92" s="24" t="str">
        <x:v>1.50</x:v>
      </x:c>
      <x:c r="I92" s="24" t="str">
        <x:v>Hi-Vision LongLife UVControl</x:v>
      </x:c>
      <x:c r="J92" s="40" t="n">
        <x:v>799</x:v>
      </x:c>
      <x:c r="K92" s="24" t="str">
        <x:v>-4.00 até +4.00</x:v>
      </x:c>
      <x:c r="L92" s="24"/>
      <x:c r="M92" s="24"/>
      <x:c r="N92" s="24"/>
      <x:c r="O92" s="24"/>
      <x:c r="P92" s="24"/>
      <x:c r="Q92" s="24" t="str">
        <x:v>DISPONÍVEL</x:v>
      </x:c>
      <x:c r="R92" s="24"/>
      <x:c r="S92" s="24" t="n">
        <x:v>17</x:v>
      </x:c>
      <x:c r="T92" s="24" t="str">
        <x:v>tabela_hoya(1).pdf</x:v>
      </x:c>
      <x:c r="U92" s="24" t="str">
        <x:v>HOYA|Visão Simples|Pronta|Hilux|INCOLOR|ORGANIC|1.50|Hi-Vision LongLife UVControl|-4.00 até +4.00||||||17</x:v>
      </x:c>
    </x:row>
    <x:row r="93">
      <x:c r="A93" s="24" t="str">
        <x:v>HY-8DF7FF6AF816</x:v>
      </x:c>
      <x:c r="B93" s="24" t="str">
        <x:v>HOYA</x:v>
      </x:c>
      <x:c r="C93" s="24" t="str">
        <x:v>Visão Simples</x:v>
      </x:c>
      <x:c r="D93" s="24" t="str">
        <x:v>Pronta</x:v>
      </x:c>
      <x:c r="E93" s="24" t="str">
        <x:v>Hilux</x:v>
      </x:c>
      <x:c r="F93" s="24" t="str">
        <x:v>INCOLOR</x:v>
      </x:c>
      <x:c r="G93" s="24" t="str">
        <x:v>ORGANIC</x:v>
      </x:c>
      <x:c r="H93" s="24" t="str">
        <x:v>1.50</x:v>
      </x:c>
      <x:c r="I93" s="24" t="str">
        <x:v>Hi-Vision LongLife</x:v>
      </x:c>
      <x:c r="J93" s="40" t="n">
        <x:v>799</x:v>
      </x:c>
      <x:c r="K93" s="24" t="str">
        <x:v>-4.00 até +4.00</x:v>
      </x:c>
      <x:c r="L93" s="24"/>
      <x:c r="M93" s="24"/>
      <x:c r="N93" s="24"/>
      <x:c r="O93" s="24"/>
      <x:c r="P93" s="24"/>
      <x:c r="Q93" s="24" t="str">
        <x:v>DISPONÍVEL</x:v>
      </x:c>
      <x:c r="R93" s="24"/>
      <x:c r="S93" s="24" t="n">
        <x:v>17</x:v>
      </x:c>
      <x:c r="T93" s="24" t="str">
        <x:v>tabela_hoya(1).pdf</x:v>
      </x:c>
      <x:c r="U93" s="24" t="str">
        <x:v>HOYA|Visão Simples|Pronta|Hilux|INCOLOR|ORGANIC|1.50|Hi-Vision LongLife|-4.00 até +4.00||||||17</x:v>
      </x:c>
    </x:row>
    <x:row r="94">
      <x:c r="A94" s="24" t="str">
        <x:v>HY-15E399460B86</x:v>
      </x:c>
      <x:c r="B94" s="24" t="str">
        <x:v>HOYA</x:v>
      </x:c>
      <x:c r="C94" s="24" t="str">
        <x:v>Visão Simples</x:v>
      </x:c>
      <x:c r="D94" s="24" t="str">
        <x:v>Pronta</x:v>
      </x:c>
      <x:c r="E94" s="24" t="str">
        <x:v>Hilux</x:v>
      </x:c>
      <x:c r="F94" s="24" t="str">
        <x:v>INCOLOR</x:v>
      </x:c>
      <x:c r="G94" s="24" t="str">
        <x:v>ORGANIC</x:v>
      </x:c>
      <x:c r="H94" s="24" t="str">
        <x:v>1.50</x:v>
      </x:c>
      <x:c r="I94" s="24" t="str">
        <x:v>CleanExtra</x:v>
      </x:c>
      <x:c r="J94" s="40" t="n">
        <x:v>439</x:v>
      </x:c>
      <x:c r="K94" s="24" t="str">
        <x:v>-4.00 até +4.00</x:v>
      </x:c>
      <x:c r="L94" s="24"/>
      <x:c r="M94" s="24"/>
      <x:c r="N94" s="24"/>
      <x:c r="O94" s="24"/>
      <x:c r="P94" s="24"/>
      <x:c r="Q94" s="24" t="str">
        <x:v>DISPONÍVEL</x:v>
      </x:c>
      <x:c r="R94" s="24"/>
      <x:c r="S94" s="24" t="n">
        <x:v>17</x:v>
      </x:c>
      <x:c r="T94" s="24" t="str">
        <x:v>tabela_hoya(1).pdf</x:v>
      </x:c>
      <x:c r="U94" s="24" t="str">
        <x:v>HOYA|Visão Simples|Pronta|Hilux|INCOLOR|ORGANIC|1.50|CleanExtra|-4.00 até +4.00||||||17</x:v>
      </x:c>
    </x:row>
    <x:row r="95">
      <x:c r="A95" s="24" t="str">
        <x:v>HY-03579A830B77</x:v>
      </x:c>
      <x:c r="B95" s="24" t="str">
        <x:v>HOYA</x:v>
      </x:c>
      <x:c r="C95" s="24" t="str">
        <x:v>Visão Simples</x:v>
      </x:c>
      <x:c r="D95" s="24" t="str">
        <x:v>Pronta</x:v>
      </x:c>
      <x:c r="E95" s="24" t="str">
        <x:v>Hilux</x:v>
      </x:c>
      <x:c r="F95" s="24" t="str">
        <x:v>INCOLOR</x:v>
      </x:c>
      <x:c r="G95" s="24" t="str">
        <x:v>POLI</x:v>
      </x:c>
      <x:c r="H95" s="24" t="str">
        <x:v>1.59</x:v>
      </x:c>
      <x:c r="I95" s="24" t="str">
        <x:v>Hi-Vision Aqua</x:v>
      </x:c>
      <x:c r="J95" s="40" t="n">
        <x:v>349</x:v>
      </x:c>
      <x:c r="K95" s="24" t="str">
        <x:v>-4.00 até +4.00</x:v>
      </x:c>
      <x:c r="L95" s="24"/>
      <x:c r="M95" s="24"/>
      <x:c r="N95" s="24"/>
      <x:c r="O95" s="24"/>
      <x:c r="P95" s="24"/>
      <x:c r="Q95" s="24" t="str">
        <x:v>DISPONÍVEL</x:v>
      </x:c>
      <x:c r="R95" s="24"/>
      <x:c r="S95" s="24" t="n">
        <x:v>17</x:v>
      </x:c>
      <x:c r="T95" s="24" t="str">
        <x:v>tabela_hoya(1).pdf</x:v>
      </x:c>
      <x:c r="U95" s="24" t="str">
        <x:v>HOYA|Visão Simples|Pronta|Hilux|INCOLOR|POLI|1.59|Hi-Vision Aqua|-4.00 até +4.00||||||17</x:v>
      </x:c>
    </x:row>
    <x:row r="96">
      <x:c r="A96" s="24" t="str">
        <x:v>HY-5089DD0A742B</x:v>
      </x:c>
      <x:c r="B96" s="24" t="str">
        <x:v>HOYA</x:v>
      </x:c>
      <x:c r="C96" s="24" t="str">
        <x:v>Visão Simples</x:v>
      </x:c>
      <x:c r="D96" s="24" t="str">
        <x:v>Pronta</x:v>
      </x:c>
      <x:c r="E96" s="24" t="str">
        <x:v>Hilux</x:v>
      </x:c>
      <x:c r="F96" s="24" t="str">
        <x:v>INCOLOR</x:v>
      </x:c>
      <x:c r="G96" s="24" t="str">
        <x:v>PNX</x:v>
      </x:c>
      <x:c r="H96" s="24" t="str">
        <x:v>1.53</x:v>
      </x:c>
      <x:c r="I96" s="24" t="str">
        <x:v>Hi-Vision Aqua</x:v>
      </x:c>
      <x:c r="J96" s="40" t="n">
        <x:v>349</x:v>
      </x:c>
      <x:c r="K96" s="24" t="str">
        <x:v>-3.00 até +2.00</x:v>
      </x:c>
      <x:c r="L96" s="24"/>
      <x:c r="M96" s="24"/>
      <x:c r="N96" s="24"/>
      <x:c r="O96" s="24"/>
      <x:c r="P96" s="24"/>
      <x:c r="Q96" s="24" t="str">
        <x:v>DISPONÍVEL</x:v>
      </x:c>
      <x:c r="R96" s="24"/>
      <x:c r="S96" s="24" t="n">
        <x:v>17</x:v>
      </x:c>
      <x:c r="T96" s="24" t="str">
        <x:v>tabela_hoya(1).pdf</x:v>
      </x:c>
      <x:c r="U96" s="24" t="str">
        <x:v>HOYA|Visão Simples|Pronta|Hilux|INCOLOR|PNX|1.53|Hi-Vision Aqua|-3.00 até +2.00||||||17</x:v>
      </x:c>
    </x:row>
    <x:row r="97">
      <x:c r="A97" s="24" t="str">
        <x:v>HY-E50EA9D6B3C9</x:v>
      </x:c>
      <x:c r="B97" s="24" t="str">
        <x:v>HOYA</x:v>
      </x:c>
      <x:c r="C97" s="24" t="str">
        <x:v>Visão Simples</x:v>
      </x:c>
      <x:c r="D97" s="24" t="str">
        <x:v>Pronta</x:v>
      </x:c>
      <x:c r="E97" s="24" t="str">
        <x:v>Hilux</x:v>
      </x:c>
      <x:c r="F97" s="24" t="str">
        <x:v>INCOLOR</x:v>
      </x:c>
      <x:c r="G97" s="24" t="str">
        <x:v>ORGANIC</x:v>
      </x:c>
      <x:c r="H97" s="24" t="str">
        <x:v>1.50</x:v>
      </x:c>
      <x:c r="I97" s="24" t="str">
        <x:v>Hi-Vision Aqua</x:v>
      </x:c>
      <x:c r="J97" s="40" t="n">
        <x:v>219</x:v>
      </x:c>
      <x:c r="K97" s="24" t="str">
        <x:v>-4.00 até +4.00</x:v>
      </x:c>
      <x:c r="L97" s="24"/>
      <x:c r="M97" s="24"/>
      <x:c r="N97" s="24"/>
      <x:c r="O97" s="24"/>
      <x:c r="P97" s="24"/>
      <x:c r="Q97" s="24" t="str">
        <x:v>DISPONÍVEL</x:v>
      </x:c>
      <x:c r="R97" s="24"/>
      <x:c r="S97" s="24" t="n">
        <x:v>17</x:v>
      </x:c>
      <x:c r="T97" s="24" t="str">
        <x:v>tabela_hoya(1).pdf</x:v>
      </x:c>
      <x:c r="U97" s="24" t="str">
        <x:v>HOYA|Visão Simples|Pronta|Hilux|INCOLOR|ORGANIC|1.50|Hi-Vision Aqua|-4.00 até +4.00||||||17</x:v>
      </x:c>
    </x:row>
    <x:row r="98">
      <x:c r="A98" s="24" t="str">
        <x:v>HY-EC8B3F2C6C4B</x:v>
      </x:c>
      <x:c r="B98" s="24" t="str">
        <x:v>HOYA</x:v>
      </x:c>
      <x:c r="C98" s="24" t="str">
        <x:v>Visão Simples</x:v>
      </x:c>
      <x:c r="D98" s="24" t="str">
        <x:v>Pronta</x:v>
      </x:c>
      <x:c r="E98" s="24" t="str">
        <x:v>Hilux</x:v>
      </x:c>
      <x:c r="F98" s="24" t="str">
        <x:v>SENSITY 2</x:v>
      </x:c>
      <x:c r="G98" s="24" t="str">
        <x:v>PNX</x:v>
      </x:c>
      <x:c r="H98" s="24" t="str">
        <x:v>1.53</x:v>
      </x:c>
      <x:c r="I98" s="24" t="str">
        <x:v>Hi-Vision LongLife UVControl</x:v>
      </x:c>
      <x:c r="J98" s="40" t="n">
        <x:v>1699</x:v>
      </x:c>
      <x:c r="K98" s="24" t="str">
        <x:v>-3.00 até +2.00</x:v>
      </x:c>
      <x:c r="L98" s="24"/>
      <x:c r="M98" s="24"/>
      <x:c r="N98" s="24"/>
      <x:c r="O98" s="24"/>
      <x:c r="P98" s="24"/>
      <x:c r="Q98" s="24" t="str">
        <x:v>DISPONÍVEL</x:v>
      </x:c>
      <x:c r="R98" s="24"/>
      <x:c r="S98" s="24" t="n">
        <x:v>17</x:v>
      </x:c>
      <x:c r="T98" s="24" t="str">
        <x:v>tabela_hoya(1).pdf</x:v>
      </x:c>
      <x:c r="U98" s="24" t="str">
        <x:v>HOYA|Visão Simples|Pronta|Hilux|SENSITY 2|PNX|1.53|Hi-Vision LongLife UVControl|-3.00 até +2.00||||||17</x:v>
      </x:c>
    </x:row>
    <x:row r="99">
      <x:c r="A99" s="24" t="str">
        <x:v>HY-FE69512AA580</x:v>
      </x:c>
      <x:c r="B99" s="24" t="str">
        <x:v>HOYA</x:v>
      </x:c>
      <x:c r="C99" s="24" t="str">
        <x:v>Visão Simples</x:v>
      </x:c>
      <x:c r="D99" s="24" t="str">
        <x:v>Pronta</x:v>
      </x:c>
      <x:c r="E99" s="24" t="str">
        <x:v>Hilux</x:v>
      </x:c>
      <x:c r="F99" s="24" t="str">
        <x:v>SENSITY 2</x:v>
      </x:c>
      <x:c r="G99" s="24" t="str">
        <x:v>ORGANIC</x:v>
      </x:c>
      <x:c r="H99" s="24" t="str">
        <x:v>1.50</x:v>
      </x:c>
      <x:c r="I99" s="24" t="str">
        <x:v>Hi-Vision LongLife UVControl</x:v>
      </x:c>
      <x:c r="J99" s="40" t="n">
        <x:v>1099</x:v>
      </x:c>
      <x:c r="K99" s="24" t="str">
        <x:v>-4.00 até +4.00</x:v>
      </x:c>
      <x:c r="L99" s="24"/>
      <x:c r="M99" s="24"/>
      <x:c r="N99" s="24"/>
      <x:c r="O99" s="24"/>
      <x:c r="P99" s="24"/>
      <x:c r="Q99" s="24" t="str">
        <x:v>DISPONÍVEL</x:v>
      </x:c>
      <x:c r="R99" s="24"/>
      <x:c r="S99" s="24" t="n">
        <x:v>17</x:v>
      </x:c>
      <x:c r="T99" s="24" t="str">
        <x:v>tabela_hoya(1).pdf</x:v>
      </x:c>
      <x:c r="U99" s="24" t="str">
        <x:v>HOYA|Visão Simples|Pronta|Hilux|SENSITY 2|ORGANIC|1.50|Hi-Vision LongLife UVControl|-4.00 até +4.00||||||17</x:v>
      </x:c>
    </x:row>
    <x:row r="100">
      <x:c r="A100" s="24" t="str">
        <x:v>HY-A1F6557127D4</x:v>
      </x:c>
      <x:c r="B100" s="24" t="str">
        <x:v>HOYA</x:v>
      </x:c>
      <x:c r="C100" s="24" t="str">
        <x:v>Visão Simples</x:v>
      </x:c>
      <x:c r="D100" s="24" t="str">
        <x:v>Pronta</x:v>
      </x:c>
      <x:c r="E100" s="24" t="str">
        <x:v>Hilux</x:v>
      </x:c>
      <x:c r="F100" s="24" t="str">
        <x:v>SENSITY ORIGINAL</x:v>
      </x:c>
      <x:c r="G100" s="24" t="str">
        <x:v>ORGANIC</x:v>
      </x:c>
      <x:c r="H100" s="24" t="str">
        <x:v>1.50</x:v>
      </x:c>
      <x:c r="I100" s="24" t="str">
        <x:v>CleanExtra</x:v>
      </x:c>
      <x:c r="J100" s="40" t="n">
        <x:v>599</x:v>
      </x:c>
      <x:c r="K100" s="24" t="str">
        <x:v>-4.00 até +4.00</x:v>
      </x:c>
      <x:c r="L100" s="24"/>
      <x:c r="M100" s="24"/>
      <x:c r="N100" s="24"/>
      <x:c r="O100" s="24"/>
      <x:c r="P100" s="24"/>
      <x:c r="Q100" s="24" t="str">
        <x:v>ESTOQUE LIMITADO</x:v>
      </x:c>
      <x:c r="R100" s="24"/>
      <x:c r="S100" s="24" t="n">
        <x:v>17</x:v>
      </x:c>
      <x:c r="T100" s="24" t="str">
        <x:v>tabela_hoya(1).pdf</x:v>
      </x:c>
      <x:c r="U100" s="24" t="str">
        <x:v>HOYA|Visão Simples|Pronta|Hilux|SENSITY ORIGINAL|ORGANIC|1.50|CleanExtra|-4.00 até +4.00||||||17</x:v>
      </x:c>
    </x:row>
    <x:row r="101">
      <x:c r="A101" s="24" t="str">
        <x:v>HY-A5CCAAB26183</x:v>
      </x:c>
      <x:c r="B101" s="24" t="str">
        <x:v>HOYA</x:v>
      </x:c>
      <x:c r="C101" s="24" t="str">
        <x:v>Progressiva</x:v>
      </x:c>
      <x:c r="D101" s="24" t="str">
        <x:v>Surfaçada</x:v>
      </x:c>
      <x:c r="E101" s="24" t="str">
        <x:v>Hoyalux iD MySelf</x:v>
      </x:c>
      <x:c r="F101" s="24" t="str">
        <x:v>INCOLOR</x:v>
      </x:c>
      <x:c r="G101" s="24" t="str">
        <x:v>EYVIA</x:v>
      </x:c>
      <x:c r="H101" s="24" t="str">
        <x:v>1.74</x:v>
      </x:c>
      <x:c r="I101" s="24" t="str">
        <x:v>Hi-Vision Meiryo</x:v>
      </x:c>
      <x:c r="J101" s="40" t="n">
        <x:v>14509</x:v>
      </x:c>
      <x:c r="K101" s="24" t="str">
        <x:v>-15.00 até +10.00</x:v>
      </x:c>
      <x:c r="L101" s="24"/>
      <x:c r="M101" s="24"/>
      <x:c r="N101" s="24"/>
      <x:c r="O101" s="24"/>
      <x:c r="P101" s="24"/>
      <x:c r="Q101" s="24" t="str">
        <x:v>DISPONÍVEL</x:v>
      </x:c>
      <x:c r="R101" s="24"/>
      <x:c r="S101" s="24" t="n">
        <x:v>22</x:v>
      </x:c>
      <x:c r="T101" s="24" t="str">
        <x:v>tabela_hoya(1).pdf</x:v>
      </x:c>
      <x:c r="U101" s="24" t="str">
        <x:v>HOYA|Progressiva|Surfaçada|Hoyalux iD MySelf|INCOLOR|EYVIA|1.74|Hi-Vision Meiryo|-15.00 até +10.00||||||22</x:v>
      </x:c>
    </x:row>
    <x:row r="102">
      <x:c r="A102" s="24" t="str">
        <x:v>HY-4115229838D1</x:v>
      </x:c>
      <x:c r="B102" s="24" t="str">
        <x:v>HOYA</x:v>
      </x:c>
      <x:c r="C102" s="24" t="str">
        <x:v>Progressiva</x:v>
      </x:c>
      <x:c r="D102" s="24" t="str">
        <x:v>Surfaçada</x:v>
      </x:c>
      <x:c r="E102" s="24" t="str">
        <x:v>Hoyalux iD MySelf</x:v>
      </x:c>
      <x:c r="F102" s="24" t="str">
        <x:v>INCOLOR</x:v>
      </x:c>
      <x:c r="G102" s="24" t="str">
        <x:v>EYNOA</x:v>
      </x:c>
      <x:c r="H102" s="24" t="str">
        <x:v>1.67</x:v>
      </x:c>
      <x:c r="I102" s="24" t="str">
        <x:v>Hi-Vision Meiryo</x:v>
      </x:c>
      <x:c r="J102" s="40" t="n">
        <x:v>13009</x:v>
      </x:c>
      <x:c r="K102" s="24" t="str">
        <x:v>-13.00 até +8.00</x:v>
      </x:c>
      <x:c r="L102" s="24"/>
      <x:c r="M102" s="24"/>
      <x:c r="N102" s="24"/>
      <x:c r="O102" s="24"/>
      <x:c r="P102" s="24"/>
      <x:c r="Q102" s="24" t="str">
        <x:v>DISPONÍVEL</x:v>
      </x:c>
      <x:c r="R102" s="24"/>
      <x:c r="S102" s="24" t="n">
        <x:v>22</x:v>
      </x:c>
      <x:c r="T102" s="24" t="str">
        <x:v>tabela_hoya(1).pdf</x:v>
      </x:c>
      <x:c r="U102" s="24" t="str">
        <x:v>HOYA|Progressiva|Surfaçada|Hoyalux iD MySelf|INCOLOR|EYNOA|1.67|Hi-Vision Meiryo|-13.00 até +8.00||||||22</x:v>
      </x:c>
    </x:row>
    <x:row r="103">
      <x:c r="A103" s="24" t="str">
        <x:v>HY-6E9940BFB20A</x:v>
      </x:c>
      <x:c r="B103" s="24" t="str">
        <x:v>HOYA</x:v>
      </x:c>
      <x:c r="C103" s="24" t="str">
        <x:v>Progressiva</x:v>
      </x:c>
      <x:c r="D103" s="24" t="str">
        <x:v>Surfaçada</x:v>
      </x:c>
      <x:c r="E103" s="24" t="str">
        <x:v>Hoyalux iD MySelf</x:v>
      </x:c>
      <x:c r="F103" s="24" t="str">
        <x:v>INCOLOR</x:v>
      </x:c>
      <x:c r="G103" s="24" t="str">
        <x:v>EYAS 2.0</x:v>
      </x:c>
      <x:c r="H103" s="24" t="str">
        <x:v>1.60</x:v>
      </x:c>
      <x:c r="I103" s="24" t="str">
        <x:v>Hi-Vision Meiryo</x:v>
      </x:c>
      <x:c r="J103" s="40" t="n">
        <x:v>11209</x:v>
      </x:c>
      <x:c r="K103" s="24" t="str">
        <x:v>-11.00 até +8.00</x:v>
      </x:c>
      <x:c r="L103" s="24"/>
      <x:c r="M103" s="24"/>
      <x:c r="N103" s="24"/>
      <x:c r="O103" s="24"/>
      <x:c r="P103" s="24"/>
      <x:c r="Q103" s="24" t="str">
        <x:v>DISPONÍVEL</x:v>
      </x:c>
      <x:c r="R103" s="24"/>
      <x:c r="S103" s="24" t="n">
        <x:v>22</x:v>
      </x:c>
      <x:c r="T103" s="24" t="str">
        <x:v>tabela_hoya(1).pdf</x:v>
      </x:c>
      <x:c r="U103" s="24" t="str">
        <x:v>HOYA|Progressiva|Surfaçada|Hoyalux iD MySelf|INCOLOR|EYAS 2.0|1.60|Hi-Vision Meiryo|-11.00 até +8.00||||||22</x:v>
      </x:c>
    </x:row>
    <x:row r="104">
      <x:c r="A104" s="24" t="str">
        <x:v>HY-BC359C45DB08</x:v>
      </x:c>
      <x:c r="B104" s="24" t="str">
        <x:v>HOYA</x:v>
      </x:c>
      <x:c r="C104" s="24" t="str">
        <x:v>Progressiva</x:v>
      </x:c>
      <x:c r="D104" s="24" t="str">
        <x:v>Surfaçada</x:v>
      </x:c>
      <x:c r="E104" s="24" t="str">
        <x:v>Hoyalux iD MySelf</x:v>
      </x:c>
      <x:c r="F104" s="24" t="str">
        <x:v>INCOLOR</x:v>
      </x:c>
      <x:c r="G104" s="24" t="str">
        <x:v>PNX</x:v>
      </x:c>
      <x:c r="H104" s="24" t="str">
        <x:v>1.53</x:v>
      </x:c>
      <x:c r="I104" s="24" t="str">
        <x:v>Hi-Vision Meiryo</x:v>
      </x:c>
      <x:c r="J104" s="40" t="n">
        <x:v>10749</x:v>
      </x:c>
      <x:c r="K104" s="24" t="str">
        <x:v>-8.00 até +6.00</x:v>
      </x:c>
      <x:c r="L104" s="24"/>
      <x:c r="M104" s="24"/>
      <x:c r="N104" s="24"/>
      <x:c r="O104" s="24"/>
      <x:c r="P104" s="24"/>
      <x:c r="Q104" s="24" t="str">
        <x:v>DISPONÍVEL</x:v>
      </x:c>
      <x:c r="R104" s="24"/>
      <x:c r="S104" s="24" t="n">
        <x:v>22</x:v>
      </x:c>
      <x:c r="T104" s="24" t="str">
        <x:v>tabela_hoya(1).pdf</x:v>
      </x:c>
      <x:c r="U104" s="24" t="str">
        <x:v>HOYA|Progressiva|Surfaçada|Hoyalux iD MySelf|INCOLOR|PNX|1.53|Hi-Vision Meiryo|-8.00 até +6.00||||||22</x:v>
      </x:c>
    </x:row>
    <x:row r="105">
      <x:c r="A105" s="24" t="str">
        <x:v>HY-636D60561B42</x:v>
      </x:c>
      <x:c r="B105" s="24" t="str">
        <x:v>HOYA</x:v>
      </x:c>
      <x:c r="C105" s="24" t="str">
        <x:v>Progressiva</x:v>
      </x:c>
      <x:c r="D105" s="24" t="str">
        <x:v>Surfaçada</x:v>
      </x:c>
      <x:c r="E105" s="24" t="str">
        <x:v>Hoyalux iD MySelf</x:v>
      </x:c>
      <x:c r="F105" s="24" t="str">
        <x:v>INCOLOR</x:v>
      </x:c>
      <x:c r="G105" s="24" t="str">
        <x:v>ORGANIC</x:v>
      </x:c>
      <x:c r="H105" s="24" t="str">
        <x:v>1.50</x:v>
      </x:c>
      <x:c r="I105" s="24" t="str">
        <x:v>Hi-Vision Meiryo</x:v>
      </x:c>
      <x:c r="J105" s="40" t="n">
        <x:v>10399</x:v>
      </x:c>
      <x:c r="K105" s="24" t="str">
        <x:v>-8.00 até +6.00</x:v>
      </x:c>
      <x:c r="L105" s="24"/>
      <x:c r="M105" s="24"/>
      <x:c r="N105" s="24"/>
      <x:c r="O105" s="24"/>
      <x:c r="P105" s="24"/>
      <x:c r="Q105" s="24" t="str">
        <x:v>DISPONÍVEL</x:v>
      </x:c>
      <x:c r="R105" s="24"/>
      <x:c r="S105" s="24" t="n">
        <x:v>22</x:v>
      </x:c>
      <x:c r="T105" s="24" t="str">
        <x:v>tabela_hoya(1).pdf</x:v>
      </x:c>
      <x:c r="U105" s="24" t="str">
        <x:v>HOYA|Progressiva|Surfaçada|Hoyalux iD MySelf|INCOLOR|ORGANIC|1.50|Hi-Vision Meiryo|-8.00 até +6.00||||||22</x:v>
      </x:c>
    </x:row>
    <x:row r="106">
      <x:c r="A106" s="24" t="str">
        <x:v>HY-EB21E6999D4C</x:v>
      </x:c>
      <x:c r="B106" s="24" t="str">
        <x:v>HOYA</x:v>
      </x:c>
      <x:c r="C106" s="24" t="str">
        <x:v>Progressiva</x:v>
      </x:c>
      <x:c r="D106" s="24" t="str">
        <x:v>Surfaçada</x:v>
      </x:c>
      <x:c r="E106" s="24" t="str">
        <x:v>Hoyalux iD MySelf</x:v>
      </x:c>
      <x:c r="F106" s="24" t="str">
        <x:v>INCOLOR</x:v>
      </x:c>
      <x:c r="G106" s="24" t="str">
        <x:v>EYVIA</x:v>
      </x:c>
      <x:c r="H106" s="24" t="str">
        <x:v>1.74</x:v>
      </x:c>
      <x:c r="I106" s="24" t="str">
        <x:v>Hi-Vision LongLife BlueControl</x:v>
      </x:c>
      <x:c r="J106" s="40" t="n">
        <x:v>14309</x:v>
      </x:c>
      <x:c r="K106" s="24" t="str">
        <x:v>-15.00 até +10.00</x:v>
      </x:c>
      <x:c r="L106" s="24"/>
      <x:c r="M106" s="24"/>
      <x:c r="N106" s="24"/>
      <x:c r="O106" s="24"/>
      <x:c r="P106" s="24"/>
      <x:c r="Q106" s="24" t="str">
        <x:v>DISPONÍVEL</x:v>
      </x:c>
      <x:c r="R106" s="24"/>
      <x:c r="S106" s="24" t="n">
        <x:v>22</x:v>
      </x:c>
      <x:c r="T106" s="24" t="str">
        <x:v>tabela_hoya(1).pdf</x:v>
      </x:c>
      <x:c r="U106" s="24" t="str">
        <x:v>HOYA|Progressiva|Surfaçada|Hoyalux iD MySelf|INCOLOR|EYVIA|1.74|Hi-Vision LongLife BlueControl|-15.00 até +10.00||||||22</x:v>
      </x:c>
    </x:row>
    <x:row r="107">
      <x:c r="A107" s="24" t="str">
        <x:v>HY-270ECE18D7CA</x:v>
      </x:c>
      <x:c r="B107" s="24" t="str">
        <x:v>HOYA</x:v>
      </x:c>
      <x:c r="C107" s="24" t="str">
        <x:v>Progressiva</x:v>
      </x:c>
      <x:c r="D107" s="24" t="str">
        <x:v>Surfaçada</x:v>
      </x:c>
      <x:c r="E107" s="24" t="str">
        <x:v>Hoyalux iD MySelf</x:v>
      </x:c>
      <x:c r="F107" s="24" t="str">
        <x:v>INCOLOR</x:v>
      </x:c>
      <x:c r="G107" s="24" t="str">
        <x:v>EYNOA</x:v>
      </x:c>
      <x:c r="H107" s="24" t="str">
        <x:v>1.67</x:v>
      </x:c>
      <x:c r="I107" s="24" t="str">
        <x:v>Hi-Vision LongLife BlueControl</x:v>
      </x:c>
      <x:c r="J107" s="40" t="n">
        <x:v>12809</x:v>
      </x:c>
      <x:c r="K107" s="24" t="str">
        <x:v>-13.00 até +8.00</x:v>
      </x:c>
      <x:c r="L107" s="24"/>
      <x:c r="M107" s="24"/>
      <x:c r="N107" s="24"/>
      <x:c r="O107" s="24"/>
      <x:c r="P107" s="24"/>
      <x:c r="Q107" s="24" t="str">
        <x:v>DISPONÍVEL</x:v>
      </x:c>
      <x:c r="R107" s="24"/>
      <x:c r="S107" s="24" t="n">
        <x:v>22</x:v>
      </x:c>
      <x:c r="T107" s="24" t="str">
        <x:v>tabela_hoya(1).pdf</x:v>
      </x:c>
      <x:c r="U107" s="24" t="str">
        <x:v>HOYA|Progressiva|Surfaçada|Hoyalux iD MySelf|INCOLOR|EYNOA|1.67|Hi-Vision LongLife BlueControl|-13.00 até +8.00||||||22</x:v>
      </x:c>
    </x:row>
    <x:row r="108">
      <x:c r="A108" s="24" t="str">
        <x:v>HY-1EA0850CDC5C</x:v>
      </x:c>
      <x:c r="B108" s="24" t="str">
        <x:v>HOYA</x:v>
      </x:c>
      <x:c r="C108" s="24" t="str">
        <x:v>Progressiva</x:v>
      </x:c>
      <x:c r="D108" s="24" t="str">
        <x:v>Surfaçada</x:v>
      </x:c>
      <x:c r="E108" s="24" t="str">
        <x:v>Hoyalux iD MySelf</x:v>
      </x:c>
      <x:c r="F108" s="24" t="str">
        <x:v>INCOLOR</x:v>
      </x:c>
      <x:c r="G108" s="24" t="str">
        <x:v>EYAS 2.0</x:v>
      </x:c>
      <x:c r="H108" s="24" t="str">
        <x:v>1.60</x:v>
      </x:c>
      <x:c r="I108" s="24" t="str">
        <x:v>Hi-Vision LongLife BlueControl</x:v>
      </x:c>
      <x:c r="J108" s="40" t="n">
        <x:v>11009</x:v>
      </x:c>
      <x:c r="K108" s="24" t="str">
        <x:v>-11.00 até +8.00</x:v>
      </x:c>
      <x:c r="L108" s="24"/>
      <x:c r="M108" s="24"/>
      <x:c r="N108" s="24"/>
      <x:c r="O108" s="24"/>
      <x:c r="P108" s="24"/>
      <x:c r="Q108" s="24" t="str">
        <x:v>DISPONÍVEL</x:v>
      </x:c>
      <x:c r="R108" s="24"/>
      <x:c r="S108" s="24" t="n">
        <x:v>22</x:v>
      </x:c>
      <x:c r="T108" s="24" t="str">
        <x:v>tabela_hoya(1).pdf</x:v>
      </x:c>
      <x:c r="U108" s="24" t="str">
        <x:v>HOYA|Progressiva|Surfaçada|Hoyalux iD MySelf|INCOLOR|EYAS 2.0|1.60|Hi-Vision LongLife BlueControl|-11.00 até +8.00||||||22</x:v>
      </x:c>
    </x:row>
    <x:row r="109">
      <x:c r="A109" s="24" t="str">
        <x:v>HY-64E8085CB3C9</x:v>
      </x:c>
      <x:c r="B109" s="24" t="str">
        <x:v>HOYA</x:v>
      </x:c>
      <x:c r="C109" s="24" t="str">
        <x:v>Progressiva</x:v>
      </x:c>
      <x:c r="D109" s="24" t="str">
        <x:v>Surfaçada</x:v>
      </x:c>
      <x:c r="E109" s="24" t="str">
        <x:v>Hoyalux iD MySelf</x:v>
      </x:c>
      <x:c r="F109" s="24" t="str">
        <x:v>INCOLOR</x:v>
      </x:c>
      <x:c r="G109" s="24" t="str">
        <x:v>PNX</x:v>
      </x:c>
      <x:c r="H109" s="24" t="str">
        <x:v>1.53</x:v>
      </x:c>
      <x:c r="I109" s="24" t="str">
        <x:v>Hi-Vision LongLife BlueControl</x:v>
      </x:c>
      <x:c r="J109" s="40" t="n">
        <x:v>10549</x:v>
      </x:c>
      <x:c r="K109" s="24" t="str">
        <x:v>-8.00 até +6.00</x:v>
      </x:c>
      <x:c r="L109" s="24"/>
      <x:c r="M109" s="24"/>
      <x:c r="N109" s="24"/>
      <x:c r="O109" s="24"/>
      <x:c r="P109" s="24"/>
      <x:c r="Q109" s="24" t="str">
        <x:v>DISPONÍVEL</x:v>
      </x:c>
      <x:c r="R109" s="24"/>
      <x:c r="S109" s="24" t="n">
        <x:v>22</x:v>
      </x:c>
      <x:c r="T109" s="24" t="str">
        <x:v>tabela_hoya(1).pdf</x:v>
      </x:c>
      <x:c r="U109" s="24" t="str">
        <x:v>HOYA|Progressiva|Surfaçada|Hoyalux iD MySelf|INCOLOR|PNX|1.53|Hi-Vision LongLife BlueControl|-8.00 até +6.00||||||22</x:v>
      </x:c>
    </x:row>
    <x:row r="110">
      <x:c r="A110" s="24" t="str">
        <x:v>HY-82F8729AC302</x:v>
      </x:c>
      <x:c r="B110" s="24" t="str">
        <x:v>HOYA</x:v>
      </x:c>
      <x:c r="C110" s="24" t="str">
        <x:v>Progressiva</x:v>
      </x:c>
      <x:c r="D110" s="24" t="str">
        <x:v>Surfaçada</x:v>
      </x:c>
      <x:c r="E110" s="24" t="str">
        <x:v>Hoyalux iD MySelf</x:v>
      </x:c>
      <x:c r="F110" s="24" t="str">
        <x:v>INCOLOR</x:v>
      </x:c>
      <x:c r="G110" s="24" t="str">
        <x:v>ORGANIC</x:v>
      </x:c>
      <x:c r="H110" s="24" t="str">
        <x:v>1.50</x:v>
      </x:c>
      <x:c r="I110" s="24" t="str">
        <x:v>Hi-Vision LongLife BlueControl</x:v>
      </x:c>
      <x:c r="J110" s="40" t="n">
        <x:v>10199</x:v>
      </x:c>
      <x:c r="K110" s="24" t="str">
        <x:v>-8.00 até +6.00</x:v>
      </x:c>
      <x:c r="L110" s="24"/>
      <x:c r="M110" s="24"/>
      <x:c r="N110" s="24"/>
      <x:c r="O110" s="24"/>
      <x:c r="P110" s="24"/>
      <x:c r="Q110" s="24" t="str">
        <x:v>DISPONÍVEL</x:v>
      </x:c>
      <x:c r="R110" s="24"/>
      <x:c r="S110" s="24" t="n">
        <x:v>22</x:v>
      </x:c>
      <x:c r="T110" s="24" t="str">
        <x:v>tabela_hoya(1).pdf</x:v>
      </x:c>
      <x:c r="U110" s="24" t="str">
        <x:v>HOYA|Progressiva|Surfaçada|Hoyalux iD MySelf|INCOLOR|ORGANIC|1.50|Hi-Vision LongLife BlueControl|-8.00 até +6.00||||||22</x:v>
      </x:c>
    </x:row>
    <x:row r="111">
      <x:c r="A111" s="24" t="str">
        <x:v>HY-F66135D1D7B3</x:v>
      </x:c>
      <x:c r="B111" s="24" t="str">
        <x:v>HOYA</x:v>
      </x:c>
      <x:c r="C111" s="24" t="str">
        <x:v>Progressiva</x:v>
      </x:c>
      <x:c r="D111" s="24" t="str">
        <x:v>Surfaçada</x:v>
      </x:c>
      <x:c r="E111" s="24" t="str">
        <x:v>Hoyalux iD MySelf</x:v>
      </x:c>
      <x:c r="F111" s="24" t="str">
        <x:v>SENSITY 2</x:v>
      </x:c>
      <x:c r="G111" s="24" t="str">
        <x:v>EYNOA</x:v>
      </x:c>
      <x:c r="H111" s="24" t="str">
        <x:v>1.67</x:v>
      </x:c>
      <x:c r="I111" s="24" t="str">
        <x:v>Hi-Vision Meiryo</x:v>
      </x:c>
      <x:c r="J111" s="40" t="n">
        <x:v>14409</x:v>
      </x:c>
      <x:c r="K111" s="24" t="str">
        <x:v>-13.00 até +8.00</x:v>
      </x:c>
      <x:c r="L111" s="24"/>
      <x:c r="M111" s="24"/>
      <x:c r="N111" s="24"/>
      <x:c r="O111" s="24"/>
      <x:c r="P111" s="24"/>
      <x:c r="Q111" s="24" t="str">
        <x:v>DISPONÍVEL</x:v>
      </x:c>
      <x:c r="R111" s="24"/>
      <x:c r="S111" s="24" t="n">
        <x:v>22</x:v>
      </x:c>
      <x:c r="T111" s="24" t="str">
        <x:v>tabela_hoya(1).pdf</x:v>
      </x:c>
      <x:c r="U111" s="24" t="str">
        <x:v>HOYA|Progressiva|Surfaçada|Hoyalux iD MySelf|SENSITY 2|EYNOA|1.67|Hi-Vision Meiryo|-13.00 até +8.00||||||22</x:v>
      </x:c>
    </x:row>
    <x:row r="112">
      <x:c r="A112" s="24" t="str">
        <x:v>HY-FDCA0F2289EC</x:v>
      </x:c>
      <x:c r="B112" s="24" t="str">
        <x:v>HOYA</x:v>
      </x:c>
      <x:c r="C112" s="24" t="str">
        <x:v>Progressiva</x:v>
      </x:c>
      <x:c r="D112" s="24" t="str">
        <x:v>Surfaçada</x:v>
      </x:c>
      <x:c r="E112" s="24" t="str">
        <x:v>Hoyalux iD MySelf</x:v>
      </x:c>
      <x:c r="F112" s="24" t="str">
        <x:v>SENSITY 2</x:v>
      </x:c>
      <x:c r="G112" s="24" t="str">
        <x:v>EYAS 2.0</x:v>
      </x:c>
      <x:c r="H112" s="24" t="str">
        <x:v>1.60</x:v>
      </x:c>
      <x:c r="I112" s="24" t="str">
        <x:v>Hi-Vision Meiryo</x:v>
      </x:c>
      <x:c r="J112" s="40" t="n">
        <x:v>12609</x:v>
      </x:c>
      <x:c r="K112" s="24" t="str">
        <x:v>-11.00 até +8.00</x:v>
      </x:c>
      <x:c r="L112" s="24"/>
      <x:c r="M112" s="24"/>
      <x:c r="N112" s="24"/>
      <x:c r="O112" s="24"/>
      <x:c r="P112" s="24"/>
      <x:c r="Q112" s="24" t="str">
        <x:v>DISPONÍVEL</x:v>
      </x:c>
      <x:c r="R112" s="24"/>
      <x:c r="S112" s="24" t="n">
        <x:v>22</x:v>
      </x:c>
      <x:c r="T112" s="24" t="str">
        <x:v>tabela_hoya(1).pdf</x:v>
      </x:c>
      <x:c r="U112" s="24" t="str">
        <x:v>HOYA|Progressiva|Surfaçada|Hoyalux iD MySelf|SENSITY 2|EYAS 2.0|1.60|Hi-Vision Meiryo|-11.00 até +8.00||||||22</x:v>
      </x:c>
    </x:row>
    <x:row r="113">
      <x:c r="A113" s="24" t="str">
        <x:v>HY-8622B660DCAB</x:v>
      </x:c>
      <x:c r="B113" s="24" t="str">
        <x:v>HOYA</x:v>
      </x:c>
      <x:c r="C113" s="24" t="str">
        <x:v>Progressiva</x:v>
      </x:c>
      <x:c r="D113" s="24" t="str">
        <x:v>Surfaçada</x:v>
      </x:c>
      <x:c r="E113" s="24" t="str">
        <x:v>Hoyalux iD MySelf</x:v>
      </x:c>
      <x:c r="F113" s="24" t="str">
        <x:v>SENSITY 2</x:v>
      </x:c>
      <x:c r="G113" s="24" t="str">
        <x:v>PNX</x:v>
      </x:c>
      <x:c r="H113" s="24" t="str">
        <x:v>1.53</x:v>
      </x:c>
      <x:c r="I113" s="24" t="str">
        <x:v>Hi-Vision Meiryo</x:v>
      </x:c>
      <x:c r="J113" s="40" t="n">
        <x:v>12149</x:v>
      </x:c>
      <x:c r="K113" s="24" t="str">
        <x:v>-8.00 até +6.00</x:v>
      </x:c>
      <x:c r="L113" s="24"/>
      <x:c r="M113" s="24"/>
      <x:c r="N113" s="24"/>
      <x:c r="O113" s="24"/>
      <x:c r="P113" s="24"/>
      <x:c r="Q113" s="24" t="str">
        <x:v>DISPONÍVEL</x:v>
      </x:c>
      <x:c r="R113" s="24"/>
      <x:c r="S113" s="24" t="n">
        <x:v>22</x:v>
      </x:c>
      <x:c r="T113" s="24" t="str">
        <x:v>tabela_hoya(1).pdf</x:v>
      </x:c>
      <x:c r="U113" s="24" t="str">
        <x:v>HOYA|Progressiva|Surfaçada|Hoyalux iD MySelf|SENSITY 2|PNX|1.53|Hi-Vision Meiryo|-8.00 até +6.00||||||22</x:v>
      </x:c>
    </x:row>
    <x:row r="114">
      <x:c r="A114" s="24" t="str">
        <x:v>HY-E6FAB0F5CF7A</x:v>
      </x:c>
      <x:c r="B114" s="24" t="str">
        <x:v>HOYA</x:v>
      </x:c>
      <x:c r="C114" s="24" t="str">
        <x:v>Progressiva</x:v>
      </x:c>
      <x:c r="D114" s="24" t="str">
        <x:v>Surfaçada</x:v>
      </x:c>
      <x:c r="E114" s="24" t="str">
        <x:v>Hoyalux iD MySelf</x:v>
      </x:c>
      <x:c r="F114" s="24" t="str">
        <x:v>SENSITY 2</x:v>
      </x:c>
      <x:c r="G114" s="24" t="str">
        <x:v>ORGANIC</x:v>
      </x:c>
      <x:c r="H114" s="24" t="str">
        <x:v>1.50</x:v>
      </x:c>
      <x:c r="I114" s="24" t="str">
        <x:v>Hi-Vision Meiryo</x:v>
      </x:c>
      <x:c r="J114" s="40" t="n">
        <x:v>11799</x:v>
      </x:c>
      <x:c r="K114" s="24" t="str">
        <x:v>-8.00 até +6.00</x:v>
      </x:c>
      <x:c r="L114" s="24"/>
      <x:c r="M114" s="24"/>
      <x:c r="N114" s="24"/>
      <x:c r="O114" s="24"/>
      <x:c r="P114" s="24"/>
      <x:c r="Q114" s="24" t="str">
        <x:v>DISPONÍVEL</x:v>
      </x:c>
      <x:c r="R114" s="24"/>
      <x:c r="S114" s="24" t="n">
        <x:v>22</x:v>
      </x:c>
      <x:c r="T114" s="24" t="str">
        <x:v>tabela_hoya(1).pdf</x:v>
      </x:c>
      <x:c r="U114" s="24" t="str">
        <x:v>HOYA|Progressiva|Surfaçada|Hoyalux iD MySelf|SENSITY 2|ORGANIC|1.50|Hi-Vision Meiryo|-8.00 até +6.00||||||22</x:v>
      </x:c>
    </x:row>
    <x:row r="115">
      <x:c r="A115" s="24" t="str">
        <x:v>HY-9EB6D4C2E384</x:v>
      </x:c>
      <x:c r="B115" s="24" t="str">
        <x:v>HOYA</x:v>
      </x:c>
      <x:c r="C115" s="24" t="str">
        <x:v>Progressiva</x:v>
      </x:c>
      <x:c r="D115" s="24" t="str">
        <x:v>Surfaçada</x:v>
      </x:c>
      <x:c r="E115" s="24" t="str">
        <x:v>Hoyalux iD MySelf</x:v>
      </x:c>
      <x:c r="F115" s="24" t="str">
        <x:v>SENSITY 2</x:v>
      </x:c>
      <x:c r="G115" s="24" t="str">
        <x:v>EYNOA</x:v>
      </x:c>
      <x:c r="H115" s="24" t="str">
        <x:v>1.67</x:v>
      </x:c>
      <x:c r="I115" s="24" t="str">
        <x:v>Hi-Vision LongLife BlueControl</x:v>
      </x:c>
      <x:c r="J115" s="40" t="n">
        <x:v>14209</x:v>
      </x:c>
      <x:c r="K115" s="24" t="str">
        <x:v>-13.00 até +8.00</x:v>
      </x:c>
      <x:c r="L115" s="24"/>
      <x:c r="M115" s="24"/>
      <x:c r="N115" s="24"/>
      <x:c r="O115" s="24"/>
      <x:c r="P115" s="24"/>
      <x:c r="Q115" s="24" t="str">
        <x:v>DISPONÍVEL</x:v>
      </x:c>
      <x:c r="R115" s="24"/>
      <x:c r="S115" s="24" t="n">
        <x:v>22</x:v>
      </x:c>
      <x:c r="T115" s="24" t="str">
        <x:v>tabela_hoya(1).pdf</x:v>
      </x:c>
      <x:c r="U115" s="24" t="str">
        <x:v>HOYA|Progressiva|Surfaçada|Hoyalux iD MySelf|SENSITY 2|EYNOA|1.67|Hi-Vision LongLife BlueControl|-13.00 até +8.00||||||22</x:v>
      </x:c>
    </x:row>
    <x:row r="116">
      <x:c r="A116" s="24" t="str">
        <x:v>HY-533C0598A2D2</x:v>
      </x:c>
      <x:c r="B116" s="24" t="str">
        <x:v>HOYA</x:v>
      </x:c>
      <x:c r="C116" s="24" t="str">
        <x:v>Progressiva</x:v>
      </x:c>
      <x:c r="D116" s="24" t="str">
        <x:v>Surfaçada</x:v>
      </x:c>
      <x:c r="E116" s="24" t="str">
        <x:v>Hoyalux iD MySelf</x:v>
      </x:c>
      <x:c r="F116" s="24" t="str">
        <x:v>SENSITY 2</x:v>
      </x:c>
      <x:c r="G116" s="24" t="str">
        <x:v>EYAS 2.0</x:v>
      </x:c>
      <x:c r="H116" s="24" t="str">
        <x:v>1.60</x:v>
      </x:c>
      <x:c r="I116" s="24" t="str">
        <x:v>Hi-Vision LongLife BlueControl</x:v>
      </x:c>
      <x:c r="J116" s="40" t="n">
        <x:v>12409</x:v>
      </x:c>
      <x:c r="K116" s="24" t="str">
        <x:v>-11.00 até +8.00</x:v>
      </x:c>
      <x:c r="L116" s="24"/>
      <x:c r="M116" s="24"/>
      <x:c r="N116" s="24"/>
      <x:c r="O116" s="24"/>
      <x:c r="P116" s="24"/>
      <x:c r="Q116" s="24" t="str">
        <x:v>DISPONÍVEL</x:v>
      </x:c>
      <x:c r="R116" s="24"/>
      <x:c r="S116" s="24" t="n">
        <x:v>22</x:v>
      </x:c>
      <x:c r="T116" s="24" t="str">
        <x:v>tabela_hoya(1).pdf</x:v>
      </x:c>
      <x:c r="U116" s="24" t="str">
        <x:v>HOYA|Progressiva|Surfaçada|Hoyalux iD MySelf|SENSITY 2|EYAS 2.0|1.60|Hi-Vision LongLife BlueControl|-11.00 até +8.00||||||22</x:v>
      </x:c>
    </x:row>
    <x:row r="117">
      <x:c r="A117" s="24" t="str">
        <x:v>HY-9322DC80C2FC</x:v>
      </x:c>
      <x:c r="B117" s="24" t="str">
        <x:v>HOYA</x:v>
      </x:c>
      <x:c r="C117" s="24" t="str">
        <x:v>Progressiva</x:v>
      </x:c>
      <x:c r="D117" s="24" t="str">
        <x:v>Surfaçada</x:v>
      </x:c>
      <x:c r="E117" s="24" t="str">
        <x:v>Hoyalux iD MySelf</x:v>
      </x:c>
      <x:c r="F117" s="24" t="str">
        <x:v>SENSITY 2</x:v>
      </x:c>
      <x:c r="G117" s="24" t="str">
        <x:v>PNX</x:v>
      </x:c>
      <x:c r="H117" s="24" t="str">
        <x:v>1.53</x:v>
      </x:c>
      <x:c r="I117" s="24" t="str">
        <x:v>Hi-Vision LongLife BlueControl</x:v>
      </x:c>
      <x:c r="J117" s="40" t="n">
        <x:v>11949</x:v>
      </x:c>
      <x:c r="K117" s="24" t="str">
        <x:v>-8.00 até +6.00</x:v>
      </x:c>
      <x:c r="L117" s="24"/>
      <x:c r="M117" s="24"/>
      <x:c r="N117" s="24"/>
      <x:c r="O117" s="24"/>
      <x:c r="P117" s="24"/>
      <x:c r="Q117" s="24" t="str">
        <x:v>DISPONÍVEL</x:v>
      </x:c>
      <x:c r="R117" s="24"/>
      <x:c r="S117" s="24" t="n">
        <x:v>22</x:v>
      </x:c>
      <x:c r="T117" s="24" t="str">
        <x:v>tabela_hoya(1).pdf</x:v>
      </x:c>
      <x:c r="U117" s="24" t="str">
        <x:v>HOYA|Progressiva|Surfaçada|Hoyalux iD MySelf|SENSITY 2|PNX|1.53|Hi-Vision LongLife BlueControl|-8.00 até +6.00||||||22</x:v>
      </x:c>
    </x:row>
    <x:row r="118">
      <x:c r="A118" s="24" t="str">
        <x:v>HY-FBFD7ACD16CB</x:v>
      </x:c>
      <x:c r="B118" s="24" t="str">
        <x:v>HOYA</x:v>
      </x:c>
      <x:c r="C118" s="24" t="str">
        <x:v>Progressiva</x:v>
      </x:c>
      <x:c r="D118" s="24" t="str">
        <x:v>Surfaçada</x:v>
      </x:c>
      <x:c r="E118" s="24" t="str">
        <x:v>Hoyalux iD MySelf</x:v>
      </x:c>
      <x:c r="F118" s="24" t="str">
        <x:v>SENSITY 2</x:v>
      </x:c>
      <x:c r="G118" s="24" t="str">
        <x:v>ORGANIC</x:v>
      </x:c>
      <x:c r="H118" s="24" t="str">
        <x:v>1.50</x:v>
      </x:c>
      <x:c r="I118" s="24" t="str">
        <x:v>Hi-Vision LongLife BlueControl</x:v>
      </x:c>
      <x:c r="J118" s="40" t="n">
        <x:v>11599</x:v>
      </x:c>
      <x:c r="K118" s="24" t="str">
        <x:v>-8.00 até +6.00</x:v>
      </x:c>
      <x:c r="L118" s="24"/>
      <x:c r="M118" s="24"/>
      <x:c r="N118" s="24"/>
      <x:c r="O118" s="24"/>
      <x:c r="P118" s="24"/>
      <x:c r="Q118" s="24" t="str">
        <x:v>DISPONÍVEL</x:v>
      </x:c>
      <x:c r="R118" s="24"/>
      <x:c r="S118" s="24" t="n">
        <x:v>22</x:v>
      </x:c>
      <x:c r="T118" s="24" t="str">
        <x:v>tabela_hoya(1).pdf</x:v>
      </x:c>
      <x:c r="U118" s="24" t="str">
        <x:v>HOYA|Progressiva|Surfaçada|Hoyalux iD MySelf|SENSITY 2|ORGANIC|1.50|Hi-Vision LongLife BlueControl|-8.00 até +6.00||||||22</x:v>
      </x:c>
    </x:row>
    <x:row r="119">
      <x:c r="A119" s="24" t="str">
        <x:v>HY-06C1F15E0FD9</x:v>
      </x:c>
      <x:c r="B119" s="24" t="str">
        <x:v>HOYA</x:v>
      </x:c>
      <x:c r="C119" s="24" t="str">
        <x:v>Progressiva</x:v>
      </x:c>
      <x:c r="D119" s="24" t="str">
        <x:v>Surfaçada</x:v>
      </x:c>
      <x:c r="E119" s="24" t="str">
        <x:v>Hoyalux iD MySelf</x:v>
      </x:c>
      <x:c r="F119" s="24" t="str">
        <x:v>COLORIDAS</x:v>
      </x:c>
      <x:c r="G119" s="24" t="str">
        <x:v>EYVIA</x:v>
      </x:c>
      <x:c r="H119" s="24" t="str">
        <x:v>1.74</x:v>
      </x:c>
      <x:c r="I119" s="24" t="str">
        <x:v>Hi-Vision Sun Pro</x:v>
      </x:c>
      <x:c r="J119" s="40" t="n">
        <x:v>14599</x:v>
      </x:c>
      <x:c r="K119" s="24" t="str">
        <x:v>-15.00 até +10.00</x:v>
      </x:c>
      <x:c r="L119" s="24"/>
      <x:c r="M119" s="24"/>
      <x:c r="N119" s="24"/>
      <x:c r="O119" s="24"/>
      <x:c r="P119" s="24"/>
      <x:c r="Q119" s="24" t="str">
        <x:v>DISPONÍVEL</x:v>
      </x:c>
      <x:c r="R119" s="24"/>
      <x:c r="S119" s="24" t="n">
        <x:v>22</x:v>
      </x:c>
      <x:c r="T119" s="24" t="str">
        <x:v>tabela_hoya(1).pdf</x:v>
      </x:c>
      <x:c r="U119" s="24" t="str">
        <x:v>HOYA|Progressiva|Surfaçada|Hoyalux iD MySelf|COLORIDAS|EYVIA|1.74|Hi-Vision Sun Pro|-15.00 até +10.00||||||22</x:v>
      </x:c>
    </x:row>
    <x:row r="120">
      <x:c r="A120" s="24" t="str">
        <x:v>HY-375B1848B6D3</x:v>
      </x:c>
      <x:c r="B120" s="24" t="str">
        <x:v>HOYA</x:v>
      </x:c>
      <x:c r="C120" s="24" t="str">
        <x:v>Progressiva</x:v>
      </x:c>
      <x:c r="D120" s="24" t="str">
        <x:v>Surfaçada</x:v>
      </x:c>
      <x:c r="E120" s="24" t="str">
        <x:v>Hoyalux iD MySelf</x:v>
      </x:c>
      <x:c r="F120" s="24" t="str">
        <x:v>COLORIDAS</x:v>
      </x:c>
      <x:c r="G120" s="24" t="str">
        <x:v>EYNOA</x:v>
      </x:c>
      <x:c r="H120" s="24" t="str">
        <x:v>1.67</x:v>
      </x:c>
      <x:c r="I120" s="24" t="str">
        <x:v>Hi-Vision Sun Pro</x:v>
      </x:c>
      <x:c r="J120" s="40" t="n">
        <x:v>13099</x:v>
      </x:c>
      <x:c r="K120" s="24" t="str">
        <x:v>-13.00 até +8.00</x:v>
      </x:c>
      <x:c r="L120" s="24"/>
      <x:c r="M120" s="24"/>
      <x:c r="N120" s="24"/>
      <x:c r="O120" s="24"/>
      <x:c r="P120" s="24"/>
      <x:c r="Q120" s="24" t="str">
        <x:v>DISPONÍVEL</x:v>
      </x:c>
      <x:c r="R120" s="24"/>
      <x:c r="S120" s="24" t="n">
        <x:v>22</x:v>
      </x:c>
      <x:c r="T120" s="24" t="str">
        <x:v>tabela_hoya(1).pdf</x:v>
      </x:c>
      <x:c r="U120" s="24" t="str">
        <x:v>HOYA|Progressiva|Surfaçada|Hoyalux iD MySelf|COLORIDAS|EYNOA|1.67|Hi-Vision Sun Pro|-13.00 até +8.00||||||22</x:v>
      </x:c>
    </x:row>
    <x:row r="121">
      <x:c r="A121" s="24" t="str">
        <x:v>HY-561504A136BB</x:v>
      </x:c>
      <x:c r="B121" s="24" t="str">
        <x:v>HOYA</x:v>
      </x:c>
      <x:c r="C121" s="24" t="str">
        <x:v>Progressiva</x:v>
      </x:c>
      <x:c r="D121" s="24" t="str">
        <x:v>Surfaçada</x:v>
      </x:c>
      <x:c r="E121" s="24" t="str">
        <x:v>Hoyalux iD MySelf</x:v>
      </x:c>
      <x:c r="F121" s="24" t="str">
        <x:v>COLORIDAS</x:v>
      </x:c>
      <x:c r="G121" s="24" t="str">
        <x:v>EYAS 2.0</x:v>
      </x:c>
      <x:c r="H121" s="24" t="str">
        <x:v>1.60</x:v>
      </x:c>
      <x:c r="I121" s="24" t="str">
        <x:v>Hi-Vision Sun Pro</x:v>
      </x:c>
      <x:c r="J121" s="40" t="n">
        <x:v>11299</x:v>
      </x:c>
      <x:c r="K121" s="24" t="str">
        <x:v>-11.00 até +8.00</x:v>
      </x:c>
      <x:c r="L121" s="24"/>
      <x:c r="M121" s="24"/>
      <x:c r="N121" s="24"/>
      <x:c r="O121" s="24"/>
      <x:c r="P121" s="24"/>
      <x:c r="Q121" s="24" t="str">
        <x:v>DISPONÍVEL</x:v>
      </x:c>
      <x:c r="R121" s="24"/>
      <x:c r="S121" s="24" t="n">
        <x:v>22</x:v>
      </x:c>
      <x:c r="T121" s="24" t="str">
        <x:v>tabela_hoya(1).pdf</x:v>
      </x:c>
      <x:c r="U121" s="24" t="str">
        <x:v>HOYA|Progressiva|Surfaçada|Hoyalux iD MySelf|COLORIDAS|EYAS 2.0|1.60|Hi-Vision Sun Pro|-11.00 até +8.00||||||22</x:v>
      </x:c>
    </x:row>
    <x:row r="122">
      <x:c r="A122" s="24" t="str">
        <x:v>HY-3ADC487789CA</x:v>
      </x:c>
      <x:c r="B122" s="24" t="str">
        <x:v>HOYA</x:v>
      </x:c>
      <x:c r="C122" s="24" t="str">
        <x:v>Progressiva</x:v>
      </x:c>
      <x:c r="D122" s="24" t="str">
        <x:v>Surfaçada</x:v>
      </x:c>
      <x:c r="E122" s="24" t="str">
        <x:v>Hoyalux iD MySelf</x:v>
      </x:c>
      <x:c r="F122" s="24" t="str">
        <x:v>COLORIDAS</x:v>
      </x:c>
      <x:c r="G122" s="24" t="str">
        <x:v>PNX</x:v>
      </x:c>
      <x:c r="H122" s="24" t="str">
        <x:v>1.53</x:v>
      </x:c>
      <x:c r="I122" s="24" t="str">
        <x:v>Hi-Vision Sun Pro</x:v>
      </x:c>
      <x:c r="J122" s="40" t="n">
        <x:v>10839</x:v>
      </x:c>
      <x:c r="K122" s="24" t="str">
        <x:v>-8.00 até +6.00</x:v>
      </x:c>
      <x:c r="L122" s="24"/>
      <x:c r="M122" s="24"/>
      <x:c r="N122" s="24"/>
      <x:c r="O122" s="24"/>
      <x:c r="P122" s="24"/>
      <x:c r="Q122" s="24" t="str">
        <x:v>DISPONÍVEL</x:v>
      </x:c>
      <x:c r="R122" s="24"/>
      <x:c r="S122" s="24" t="n">
        <x:v>22</x:v>
      </x:c>
      <x:c r="T122" s="24" t="str">
        <x:v>tabela_hoya(1).pdf</x:v>
      </x:c>
      <x:c r="U122" s="24" t="str">
        <x:v>HOYA|Progressiva|Surfaçada|Hoyalux iD MySelf|COLORIDAS|PNX|1.53|Hi-Vision Sun Pro|-8.00 até +6.00||||||22</x:v>
      </x:c>
    </x:row>
    <x:row r="123">
      <x:c r="A123" s="24" t="str">
        <x:v>HY-A9DA77E14E0C</x:v>
      </x:c>
      <x:c r="B123" s="24" t="str">
        <x:v>HOYA</x:v>
      </x:c>
      <x:c r="C123" s="24" t="str">
        <x:v>Progressiva</x:v>
      </x:c>
      <x:c r="D123" s="24" t="str">
        <x:v>Surfaçada</x:v>
      </x:c>
      <x:c r="E123" s="24" t="str">
        <x:v>Hoyalux iD MySelf</x:v>
      </x:c>
      <x:c r="F123" s="24" t="str">
        <x:v>COLORIDAS</x:v>
      </x:c>
      <x:c r="G123" s="24" t="str">
        <x:v>ORGANIC</x:v>
      </x:c>
      <x:c r="H123" s="24" t="str">
        <x:v>1.50</x:v>
      </x:c>
      <x:c r="I123" s="24" t="str">
        <x:v>Hi-Vision Sun Pro</x:v>
      </x:c>
      <x:c r="J123" s="40" t="n">
        <x:v>10489</x:v>
      </x:c>
      <x:c r="K123" s="24" t="str">
        <x:v>-8.00 até +6.00</x:v>
      </x:c>
      <x:c r="L123" s="24"/>
      <x:c r="M123" s="24"/>
      <x:c r="N123" s="24"/>
      <x:c r="O123" s="24"/>
      <x:c r="P123" s="24"/>
      <x:c r="Q123" s="24" t="str">
        <x:v>DISPONÍVEL</x:v>
      </x:c>
      <x:c r="R123" s="24"/>
      <x:c r="S123" s="24" t="n">
        <x:v>22</x:v>
      </x:c>
      <x:c r="T123" s="24" t="str">
        <x:v>tabela_hoya(1).pdf</x:v>
      </x:c>
      <x:c r="U123" s="24" t="str">
        <x:v>HOYA|Progressiva|Surfaçada|Hoyalux iD MySelf|COLORIDAS|ORGANIC|1.50|Hi-Vision Sun Pro|-8.00 até +6.00||||||22</x:v>
      </x:c>
    </x:row>
    <x:row r="124">
      <x:c r="A124" s="24" t="str">
        <x:v>HY-A1146E354454</x:v>
      </x:c>
      <x:c r="B124" s="24" t="str">
        <x:v>HOYA</x:v>
      </x:c>
      <x:c r="C124" s="24" t="str">
        <x:v>Progressiva</x:v>
      </x:c>
      <x:c r="D124" s="24" t="str">
        <x:v>Surfaçada</x:v>
      </x:c>
      <x:c r="E124" s="24" t="str">
        <x:v>Hoyalux iD MyStyle V+</x:v>
      </x:c>
      <x:c r="F124" s="24" t="str">
        <x:v>INCOLOR</x:v>
      </x:c>
      <x:c r="G124" s="24" t="str">
        <x:v>EYVIA</x:v>
      </x:c>
      <x:c r="H124" s="24" t="str">
        <x:v>1.74</x:v>
      </x:c>
      <x:c r="I124" s="24" t="str">
        <x:v>Hi-Vision Meiryo</x:v>
      </x:c>
      <x:c r="J124" s="40" t="n">
        <x:v>14099</x:v>
      </x:c>
      <x:c r="K124" s="24" t="str">
        <x:v>-15.00 até +10.00</x:v>
      </x:c>
      <x:c r="L124" s="24"/>
      <x:c r="M124" s="24"/>
      <x:c r="N124" s="24"/>
      <x:c r="O124" s="24"/>
      <x:c r="P124" s="24"/>
      <x:c r="Q124" s="24" t="str">
        <x:v>DISPONÍVEL</x:v>
      </x:c>
      <x:c r="R124" s="24"/>
      <x:c r="S124" s="24" t="n">
        <x:v>23</x:v>
      </x:c>
      <x:c r="T124" s="24" t="str">
        <x:v>tabela_hoya(1).pdf</x:v>
      </x:c>
      <x:c r="U124" s="24" t="str">
        <x:v>HOYA|Progressiva|Surfaçada|Hoyalux iD MyStyle V+|INCOLOR|EYVIA|1.74|Hi-Vision Meiryo|-15.00 até +10.00||||||23</x:v>
      </x:c>
    </x:row>
    <x:row r="125">
      <x:c r="A125" s="24" t="str">
        <x:v>HY-8BD8CCAC7D67</x:v>
      </x:c>
      <x:c r="B125" s="24" t="str">
        <x:v>HOYA</x:v>
      </x:c>
      <x:c r="C125" s="24" t="str">
        <x:v>Progressiva</x:v>
      </x:c>
      <x:c r="D125" s="24" t="str">
        <x:v>Surfaçada</x:v>
      </x:c>
      <x:c r="E125" s="24" t="str">
        <x:v>Hoyalux iD MyStyle V+</x:v>
      </x:c>
      <x:c r="F125" s="24" t="str">
        <x:v>INCOLOR</x:v>
      </x:c>
      <x:c r="G125" s="24" t="str">
        <x:v>EYNOA</x:v>
      </x:c>
      <x:c r="H125" s="24" t="str">
        <x:v>1.67</x:v>
      </x:c>
      <x:c r="I125" s="24" t="str">
        <x:v>Hi-Vision Meiryo</x:v>
      </x:c>
      <x:c r="J125" s="40" t="n">
        <x:v>12599</x:v>
      </x:c>
      <x:c r="K125" s="24" t="str">
        <x:v>-13.00 até +8.00</x:v>
      </x:c>
      <x:c r="L125" s="24"/>
      <x:c r="M125" s="24"/>
      <x:c r="N125" s="24"/>
      <x:c r="O125" s="24"/>
      <x:c r="P125" s="24"/>
      <x:c r="Q125" s="24" t="str">
        <x:v>DISPONÍVEL</x:v>
      </x:c>
      <x:c r="R125" s="24"/>
      <x:c r="S125" s="24" t="n">
        <x:v>23</x:v>
      </x:c>
      <x:c r="T125" s="24" t="str">
        <x:v>tabela_hoya(1).pdf</x:v>
      </x:c>
      <x:c r="U125" s="24" t="str">
        <x:v>HOYA|Progressiva|Surfaçada|Hoyalux iD MyStyle V+|INCOLOR|EYNOA|1.67|Hi-Vision Meiryo|-13.00 até +8.00||||||23</x:v>
      </x:c>
    </x:row>
    <x:row r="126">
      <x:c r="A126" s="24" t="str">
        <x:v>HY-90266500DFC9</x:v>
      </x:c>
      <x:c r="B126" s="24" t="str">
        <x:v>HOYA</x:v>
      </x:c>
      <x:c r="C126" s="24" t="str">
        <x:v>Progressiva</x:v>
      </x:c>
      <x:c r="D126" s="24" t="str">
        <x:v>Surfaçada</x:v>
      </x:c>
      <x:c r="E126" s="24" t="str">
        <x:v>Hoyalux iD MyStyle V+</x:v>
      </x:c>
      <x:c r="F126" s="24" t="str">
        <x:v>INCOLOR</x:v>
      </x:c>
      <x:c r="G126" s="24" t="str">
        <x:v>EYAS 2.0</x:v>
      </x:c>
      <x:c r="H126" s="24" t="str">
        <x:v>1.60</x:v>
      </x:c>
      <x:c r="I126" s="24" t="str">
        <x:v>Hi-Vision Meiryo</x:v>
      </x:c>
      <x:c r="J126" s="40" t="n">
        <x:v>10799</x:v>
      </x:c>
      <x:c r="K126" s="24" t="str">
        <x:v>-11.00 até +8.00</x:v>
      </x:c>
      <x:c r="L126" s="24"/>
      <x:c r="M126" s="24"/>
      <x:c r="N126" s="24"/>
      <x:c r="O126" s="24"/>
      <x:c r="P126" s="24"/>
      <x:c r="Q126" s="24" t="str">
        <x:v>DISPONÍVEL</x:v>
      </x:c>
      <x:c r="R126" s="24"/>
      <x:c r="S126" s="24" t="n">
        <x:v>23</x:v>
      </x:c>
      <x:c r="T126" s="24" t="str">
        <x:v>tabela_hoya(1).pdf</x:v>
      </x:c>
      <x:c r="U126" s="24" t="str">
        <x:v>HOYA|Progressiva|Surfaçada|Hoyalux iD MyStyle V+|INCOLOR|EYAS 2.0|1.60|Hi-Vision Meiryo|-11.00 até +8.00||||||23</x:v>
      </x:c>
    </x:row>
    <x:row r="127">
      <x:c r="A127" s="24" t="str">
        <x:v>HY-179137F448AE</x:v>
      </x:c>
      <x:c r="B127" s="24" t="str">
        <x:v>HOYA</x:v>
      </x:c>
      <x:c r="C127" s="24" t="str">
        <x:v>Progressiva</x:v>
      </x:c>
      <x:c r="D127" s="24" t="str">
        <x:v>Surfaçada</x:v>
      </x:c>
      <x:c r="E127" s="24" t="str">
        <x:v>Hoyalux iD MyStyle V+</x:v>
      </x:c>
      <x:c r="F127" s="24" t="str">
        <x:v>INCOLOR</x:v>
      </x:c>
      <x:c r="G127" s="24" t="str">
        <x:v>PNX</x:v>
      </x:c>
      <x:c r="H127" s="24" t="str">
        <x:v>1.53</x:v>
      </x:c>
      <x:c r="I127" s="24" t="str">
        <x:v>Hi-Vision Meiryo</x:v>
      </x:c>
      <x:c r="J127" s="40" t="n">
        <x:v>10339</x:v>
      </x:c>
      <x:c r="K127" s="24" t="str">
        <x:v>-8.00 até +6.00</x:v>
      </x:c>
      <x:c r="L127" s="24"/>
      <x:c r="M127" s="24"/>
      <x:c r="N127" s="24"/>
      <x:c r="O127" s="24"/>
      <x:c r="P127" s="24"/>
      <x:c r="Q127" s="24" t="str">
        <x:v>DISPONÍVEL</x:v>
      </x:c>
      <x:c r="R127" s="24"/>
      <x:c r="S127" s="24" t="n">
        <x:v>23</x:v>
      </x:c>
      <x:c r="T127" s="24" t="str">
        <x:v>tabela_hoya(1).pdf</x:v>
      </x:c>
      <x:c r="U127" s="24" t="str">
        <x:v>HOYA|Progressiva|Surfaçada|Hoyalux iD MyStyle V+|INCOLOR|PNX|1.53|Hi-Vision Meiryo|-8.00 até +6.00||||||23</x:v>
      </x:c>
    </x:row>
    <x:row r="128">
      <x:c r="A128" s="24" t="str">
        <x:v>HY-B837A86EBB85</x:v>
      </x:c>
      <x:c r="B128" s="24" t="str">
        <x:v>HOYA</x:v>
      </x:c>
      <x:c r="C128" s="24" t="str">
        <x:v>Progressiva</x:v>
      </x:c>
      <x:c r="D128" s="24" t="str">
        <x:v>Surfaçada</x:v>
      </x:c>
      <x:c r="E128" s="24" t="str">
        <x:v>Hoyalux iD MyStyle V+</x:v>
      </x:c>
      <x:c r="F128" s="24" t="str">
        <x:v>INCOLOR</x:v>
      </x:c>
      <x:c r="G128" s="24" t="str">
        <x:v>ORGANIC</x:v>
      </x:c>
      <x:c r="H128" s="24" t="str">
        <x:v>1.50</x:v>
      </x:c>
      <x:c r="I128" s="24" t="str">
        <x:v>Hi-Vision Meiryo</x:v>
      </x:c>
      <x:c r="J128" s="40" t="n">
        <x:v>9989</x:v>
      </x:c>
      <x:c r="K128" s="24" t="str">
        <x:v>-8.00 até +6.00</x:v>
      </x:c>
      <x:c r="L128" s="24"/>
      <x:c r="M128" s="24"/>
      <x:c r="N128" s="24"/>
      <x:c r="O128" s="24"/>
      <x:c r="P128" s="24"/>
      <x:c r="Q128" s="24" t="str">
        <x:v>DISPONÍVEL</x:v>
      </x:c>
      <x:c r="R128" s="24"/>
      <x:c r="S128" s="24" t="n">
        <x:v>23</x:v>
      </x:c>
      <x:c r="T128" s="24" t="str">
        <x:v>tabela_hoya(1).pdf</x:v>
      </x:c>
      <x:c r="U128" s="24" t="str">
        <x:v>HOYA|Progressiva|Surfaçada|Hoyalux iD MyStyle V+|INCOLOR|ORGANIC|1.50|Hi-Vision Meiryo|-8.00 até +6.00||||||23</x:v>
      </x:c>
    </x:row>
    <x:row r="129">
      <x:c r="A129" s="24" t="str">
        <x:v>HY-1B9E10655B76</x:v>
      </x:c>
      <x:c r="B129" s="24" t="str">
        <x:v>HOYA</x:v>
      </x:c>
      <x:c r="C129" s="24" t="str">
        <x:v>Progressiva</x:v>
      </x:c>
      <x:c r="D129" s="24" t="str">
        <x:v>Surfaçada</x:v>
      </x:c>
      <x:c r="E129" s="24" t="str">
        <x:v>Hoyalux iD MyStyle V+</x:v>
      </x:c>
      <x:c r="F129" s="24" t="str">
        <x:v>INCOLOR</x:v>
      </x:c>
      <x:c r="G129" s="24" t="str">
        <x:v>EYVIA</x:v>
      </x:c>
      <x:c r="H129" s="24" t="str">
        <x:v>1.74</x:v>
      </x:c>
      <x:c r="I129" s="24" t="str">
        <x:v>Hi-Vision LongLife BlueControl</x:v>
      </x:c>
      <x:c r="J129" s="40" t="n">
        <x:v>13899</x:v>
      </x:c>
      <x:c r="K129" s="24" t="str">
        <x:v>-15.00 até +10.00</x:v>
      </x:c>
      <x:c r="L129" s="24"/>
      <x:c r="M129" s="24"/>
      <x:c r="N129" s="24"/>
      <x:c r="O129" s="24"/>
      <x:c r="P129" s="24"/>
      <x:c r="Q129" s="24" t="str">
        <x:v>DISPONÍVEL</x:v>
      </x:c>
      <x:c r="R129" s="24"/>
      <x:c r="S129" s="24" t="n">
        <x:v>23</x:v>
      </x:c>
      <x:c r="T129" s="24" t="str">
        <x:v>tabela_hoya(1).pdf</x:v>
      </x:c>
      <x:c r="U129" s="24" t="str">
        <x:v>HOYA|Progressiva|Surfaçada|Hoyalux iD MyStyle V+|INCOLOR|EYVIA|1.74|Hi-Vision LongLife BlueControl|-15.00 até +10.00||||||23</x:v>
      </x:c>
    </x:row>
    <x:row r="130">
      <x:c r="A130" s="24" t="str">
        <x:v>HY-374F58B27136</x:v>
      </x:c>
      <x:c r="B130" s="24" t="str">
        <x:v>HOYA</x:v>
      </x:c>
      <x:c r="C130" s="24" t="str">
        <x:v>Progressiva</x:v>
      </x:c>
      <x:c r="D130" s="24" t="str">
        <x:v>Surfaçada</x:v>
      </x:c>
      <x:c r="E130" s="24" t="str">
        <x:v>Hoyalux iD MyStyle V+</x:v>
      </x:c>
      <x:c r="F130" s="24" t="str">
        <x:v>INCOLOR</x:v>
      </x:c>
      <x:c r="G130" s="24" t="str">
        <x:v>EYNOA</x:v>
      </x:c>
      <x:c r="H130" s="24" t="str">
        <x:v>1.67</x:v>
      </x:c>
      <x:c r="I130" s="24" t="str">
        <x:v>Hi-Vision LongLife BlueControl</x:v>
      </x:c>
      <x:c r="J130" s="40" t="n">
        <x:v>12399</x:v>
      </x:c>
      <x:c r="K130" s="24" t="str">
        <x:v>-13.00 até +8.00</x:v>
      </x:c>
      <x:c r="L130" s="24"/>
      <x:c r="M130" s="24"/>
      <x:c r="N130" s="24"/>
      <x:c r="O130" s="24"/>
      <x:c r="P130" s="24"/>
      <x:c r="Q130" s="24" t="str">
        <x:v>DISPONÍVEL</x:v>
      </x:c>
      <x:c r="R130" s="24"/>
      <x:c r="S130" s="24" t="n">
        <x:v>23</x:v>
      </x:c>
      <x:c r="T130" s="24" t="str">
        <x:v>tabela_hoya(1).pdf</x:v>
      </x:c>
      <x:c r="U130" s="24" t="str">
        <x:v>HOYA|Progressiva|Surfaçada|Hoyalux iD MyStyle V+|INCOLOR|EYNOA|1.67|Hi-Vision LongLife BlueControl|-13.00 até +8.00||||||23</x:v>
      </x:c>
    </x:row>
    <x:row r="131">
      <x:c r="A131" s="24" t="str">
        <x:v>HY-87DB1A1B10FC</x:v>
      </x:c>
      <x:c r="B131" s="24" t="str">
        <x:v>HOYA</x:v>
      </x:c>
      <x:c r="C131" s="24" t="str">
        <x:v>Progressiva</x:v>
      </x:c>
      <x:c r="D131" s="24" t="str">
        <x:v>Surfaçada</x:v>
      </x:c>
      <x:c r="E131" s="24" t="str">
        <x:v>Hoyalux iD MyStyle V+</x:v>
      </x:c>
      <x:c r="F131" s="24" t="str">
        <x:v>INCOLOR</x:v>
      </x:c>
      <x:c r="G131" s="24" t="str">
        <x:v>EYAS 2.0</x:v>
      </x:c>
      <x:c r="H131" s="24" t="str">
        <x:v>1.60</x:v>
      </x:c>
      <x:c r="I131" s="24" t="str">
        <x:v>Hi-Vision LongLife BlueControl</x:v>
      </x:c>
      <x:c r="J131" s="40" t="n">
        <x:v>10599</x:v>
      </x:c>
      <x:c r="K131" s="24" t="str">
        <x:v>-11.00 até +8.00</x:v>
      </x:c>
      <x:c r="L131" s="24"/>
      <x:c r="M131" s="24"/>
      <x:c r="N131" s="24"/>
      <x:c r="O131" s="24"/>
      <x:c r="P131" s="24"/>
      <x:c r="Q131" s="24" t="str">
        <x:v>DISPONÍVEL</x:v>
      </x:c>
      <x:c r="R131" s="24"/>
      <x:c r="S131" s="24" t="n">
        <x:v>23</x:v>
      </x:c>
      <x:c r="T131" s="24" t="str">
        <x:v>tabela_hoya(1).pdf</x:v>
      </x:c>
      <x:c r="U131" s="24" t="str">
        <x:v>HOYA|Progressiva|Surfaçada|Hoyalux iD MyStyle V+|INCOLOR|EYAS 2.0|1.60|Hi-Vision LongLife BlueControl|-11.00 até +8.00||||||23</x:v>
      </x:c>
    </x:row>
    <x:row r="132">
      <x:c r="A132" s="24" t="str">
        <x:v>HY-5B391C4468BF</x:v>
      </x:c>
      <x:c r="B132" s="24" t="str">
        <x:v>HOYA</x:v>
      </x:c>
      <x:c r="C132" s="24" t="str">
        <x:v>Progressiva</x:v>
      </x:c>
      <x:c r="D132" s="24" t="str">
        <x:v>Surfaçada</x:v>
      </x:c>
      <x:c r="E132" s="24" t="str">
        <x:v>Hoyalux iD MyStyle V+</x:v>
      </x:c>
      <x:c r="F132" s="24" t="str">
        <x:v>INCOLOR</x:v>
      </x:c>
      <x:c r="G132" s="24" t="str">
        <x:v>PNX</x:v>
      </x:c>
      <x:c r="H132" s="24" t="str">
        <x:v>1.53</x:v>
      </x:c>
      <x:c r="I132" s="24" t="str">
        <x:v>Hi-Vision LongLife BlueControl</x:v>
      </x:c>
      <x:c r="J132" s="40" t="n">
        <x:v>10139</x:v>
      </x:c>
      <x:c r="K132" s="24" t="str">
        <x:v>-8.00 até +6.00</x:v>
      </x:c>
      <x:c r="L132" s="24"/>
      <x:c r="M132" s="24"/>
      <x:c r="N132" s="24"/>
      <x:c r="O132" s="24"/>
      <x:c r="P132" s="24"/>
      <x:c r="Q132" s="24" t="str">
        <x:v>DISPONÍVEL</x:v>
      </x:c>
      <x:c r="R132" s="24"/>
      <x:c r="S132" s="24" t="n">
        <x:v>23</x:v>
      </x:c>
      <x:c r="T132" s="24" t="str">
        <x:v>tabela_hoya(1).pdf</x:v>
      </x:c>
      <x:c r="U132" s="24" t="str">
        <x:v>HOYA|Progressiva|Surfaçada|Hoyalux iD MyStyle V+|INCOLOR|PNX|1.53|Hi-Vision LongLife BlueControl|-8.00 até +6.00||||||23</x:v>
      </x:c>
    </x:row>
    <x:row r="133">
      <x:c r="A133" s="24" t="str">
        <x:v>HY-B637009C3D6B</x:v>
      </x:c>
      <x:c r="B133" s="24" t="str">
        <x:v>HOYA</x:v>
      </x:c>
      <x:c r="C133" s="24" t="str">
        <x:v>Progressiva</x:v>
      </x:c>
      <x:c r="D133" s="24" t="str">
        <x:v>Surfaçada</x:v>
      </x:c>
      <x:c r="E133" s="24" t="str">
        <x:v>Hoyalux iD MyStyle V+</x:v>
      </x:c>
      <x:c r="F133" s="24" t="str">
        <x:v>INCOLOR</x:v>
      </x:c>
      <x:c r="G133" s="24" t="str">
        <x:v>ORGANIC</x:v>
      </x:c>
      <x:c r="H133" s="24" t="str">
        <x:v>1.50</x:v>
      </x:c>
      <x:c r="I133" s="24" t="str">
        <x:v>Hi-Vision LongLife BlueControl</x:v>
      </x:c>
      <x:c r="J133" s="40" t="n">
        <x:v>9789</x:v>
      </x:c>
      <x:c r="K133" s="24" t="str">
        <x:v>-8.00 até +6.00</x:v>
      </x:c>
      <x:c r="L133" s="24"/>
      <x:c r="M133" s="24"/>
      <x:c r="N133" s="24"/>
      <x:c r="O133" s="24"/>
      <x:c r="P133" s="24"/>
      <x:c r="Q133" s="24" t="str">
        <x:v>DISPONÍVEL</x:v>
      </x:c>
      <x:c r="R133" s="24"/>
      <x:c r="S133" s="24" t="n">
        <x:v>23</x:v>
      </x:c>
      <x:c r="T133" s="24" t="str">
        <x:v>tabela_hoya(1).pdf</x:v>
      </x:c>
      <x:c r="U133" s="24" t="str">
        <x:v>HOYA|Progressiva|Surfaçada|Hoyalux iD MyStyle V+|INCOLOR|ORGANIC|1.50|Hi-Vision LongLife BlueControl|-8.00 até +6.00||||||23</x:v>
      </x:c>
    </x:row>
    <x:row r="134">
      <x:c r="A134" s="24" t="str">
        <x:v>HY-F40160D49D36</x:v>
      </x:c>
      <x:c r="B134" s="24" t="str">
        <x:v>HOYA</x:v>
      </x:c>
      <x:c r="C134" s="24" t="str">
        <x:v>Progressiva</x:v>
      </x:c>
      <x:c r="D134" s="24" t="str">
        <x:v>Surfaçada</x:v>
      </x:c>
      <x:c r="E134" s="24" t="str">
        <x:v>Hoyalux iD MyStyle V+</x:v>
      </x:c>
      <x:c r="F134" s="24" t="str">
        <x:v>COLORIDAS</x:v>
      </x:c>
      <x:c r="G134" s="24" t="str">
        <x:v>EYVIA</x:v>
      </x:c>
      <x:c r="H134" s="24" t="str">
        <x:v>1.74</x:v>
      </x:c>
      <x:c r="I134" s="24" t="str">
        <x:v>Hi-Vision Sun Pro</x:v>
      </x:c>
      <x:c r="J134" s="40" t="n">
        <x:v>14189</x:v>
      </x:c>
      <x:c r="K134" s="24" t="str">
        <x:v>-15.00 até +10.00</x:v>
      </x:c>
      <x:c r="L134" s="24"/>
      <x:c r="M134" s="24"/>
      <x:c r="N134" s="24"/>
      <x:c r="O134" s="24"/>
      <x:c r="P134" s="24"/>
      <x:c r="Q134" s="24" t="str">
        <x:v>DISPONÍVEL</x:v>
      </x:c>
      <x:c r="R134" s="24"/>
      <x:c r="S134" s="24" t="n">
        <x:v>23</x:v>
      </x:c>
      <x:c r="T134" s="24" t="str">
        <x:v>tabela_hoya(1).pdf</x:v>
      </x:c>
      <x:c r="U134" s="24" t="str">
        <x:v>HOYA|Progressiva|Surfaçada|Hoyalux iD MyStyle V+|COLORIDAS|EYVIA|1.74|Hi-Vision Sun Pro|-15.00 até +10.00||||||23</x:v>
      </x:c>
    </x:row>
    <x:row r="135">
      <x:c r="A135" s="24" t="str">
        <x:v>HY-7B16675E17F0</x:v>
      </x:c>
      <x:c r="B135" s="24" t="str">
        <x:v>HOYA</x:v>
      </x:c>
      <x:c r="C135" s="24" t="str">
        <x:v>Progressiva</x:v>
      </x:c>
      <x:c r="D135" s="24" t="str">
        <x:v>Surfaçada</x:v>
      </x:c>
      <x:c r="E135" s="24" t="str">
        <x:v>Hoyalux iD MyStyle V+</x:v>
      </x:c>
      <x:c r="F135" s="24" t="str">
        <x:v>COLORIDAS</x:v>
      </x:c>
      <x:c r="G135" s="24" t="str">
        <x:v>EYNOA</x:v>
      </x:c>
      <x:c r="H135" s="24" t="str">
        <x:v>1.67</x:v>
      </x:c>
      <x:c r="I135" s="24" t="str">
        <x:v>Hi-Vision Sun Pro</x:v>
      </x:c>
      <x:c r="J135" s="40" t="n">
        <x:v>12689</x:v>
      </x:c>
      <x:c r="K135" s="24" t="str">
        <x:v>-13.00 até +8.00</x:v>
      </x:c>
      <x:c r="L135" s="24"/>
      <x:c r="M135" s="24"/>
      <x:c r="N135" s="24"/>
      <x:c r="O135" s="24"/>
      <x:c r="P135" s="24"/>
      <x:c r="Q135" s="24" t="str">
        <x:v>DISPONÍVEL</x:v>
      </x:c>
      <x:c r="R135" s="24"/>
      <x:c r="S135" s="24" t="n">
        <x:v>23</x:v>
      </x:c>
      <x:c r="T135" s="24" t="str">
        <x:v>tabela_hoya(1).pdf</x:v>
      </x:c>
      <x:c r="U135" s="24" t="str">
        <x:v>HOYA|Progressiva|Surfaçada|Hoyalux iD MyStyle V+|COLORIDAS|EYNOA|1.67|Hi-Vision Sun Pro|-13.00 até +8.00||||||23</x:v>
      </x:c>
    </x:row>
    <x:row r="136">
      <x:c r="A136" s="24" t="str">
        <x:v>HY-80CAAD7F3AFB</x:v>
      </x:c>
      <x:c r="B136" s="24" t="str">
        <x:v>HOYA</x:v>
      </x:c>
      <x:c r="C136" s="24" t="str">
        <x:v>Progressiva</x:v>
      </x:c>
      <x:c r="D136" s="24" t="str">
        <x:v>Surfaçada</x:v>
      </x:c>
      <x:c r="E136" s="24" t="str">
        <x:v>Hoyalux iD MyStyle V+</x:v>
      </x:c>
      <x:c r="F136" s="24" t="str">
        <x:v>COLORIDAS</x:v>
      </x:c>
      <x:c r="G136" s="24" t="str">
        <x:v>EYAS 2.0</x:v>
      </x:c>
      <x:c r="H136" s="24" t="str">
        <x:v>1.60</x:v>
      </x:c>
      <x:c r="I136" s="24" t="str">
        <x:v>Hi-Vision Sun Pro</x:v>
      </x:c>
      <x:c r="J136" s="40" t="n">
        <x:v>10889</x:v>
      </x:c>
      <x:c r="K136" s="24" t="str">
        <x:v>-11.00 até +8.00</x:v>
      </x:c>
      <x:c r="L136" s="24"/>
      <x:c r="M136" s="24"/>
      <x:c r="N136" s="24"/>
      <x:c r="O136" s="24"/>
      <x:c r="P136" s="24"/>
      <x:c r="Q136" s="24" t="str">
        <x:v>DISPONÍVEL</x:v>
      </x:c>
      <x:c r="R136" s="24"/>
      <x:c r="S136" s="24" t="n">
        <x:v>23</x:v>
      </x:c>
      <x:c r="T136" s="24" t="str">
        <x:v>tabela_hoya(1).pdf</x:v>
      </x:c>
      <x:c r="U136" s="24" t="str">
        <x:v>HOYA|Progressiva|Surfaçada|Hoyalux iD MyStyle V+|COLORIDAS|EYAS 2.0|1.60|Hi-Vision Sun Pro|-11.00 até +8.00||||||23</x:v>
      </x:c>
    </x:row>
    <x:row r="137">
      <x:c r="A137" s="24" t="str">
        <x:v>HY-72493AF6B973</x:v>
      </x:c>
      <x:c r="B137" s="24" t="str">
        <x:v>HOYA</x:v>
      </x:c>
      <x:c r="C137" s="24" t="str">
        <x:v>Progressiva</x:v>
      </x:c>
      <x:c r="D137" s="24" t="str">
        <x:v>Surfaçada</x:v>
      </x:c>
      <x:c r="E137" s="24" t="str">
        <x:v>Hoyalux iD MyStyle V+</x:v>
      </x:c>
      <x:c r="F137" s="24" t="str">
        <x:v>COLORIDAS</x:v>
      </x:c>
      <x:c r="G137" s="24" t="str">
        <x:v>PNX</x:v>
      </x:c>
      <x:c r="H137" s="24" t="str">
        <x:v>1.53</x:v>
      </x:c>
      <x:c r="I137" s="24" t="str">
        <x:v>Hi-Vision Sun Pro</x:v>
      </x:c>
      <x:c r="J137" s="40" t="n">
        <x:v>10429</x:v>
      </x:c>
      <x:c r="K137" s="24" t="str">
        <x:v>-8.00 até +6.00</x:v>
      </x:c>
      <x:c r="L137" s="24"/>
      <x:c r="M137" s="24"/>
      <x:c r="N137" s="24"/>
      <x:c r="O137" s="24"/>
      <x:c r="P137" s="24"/>
      <x:c r="Q137" s="24" t="str">
        <x:v>DISPONÍVEL</x:v>
      </x:c>
      <x:c r="R137" s="24"/>
      <x:c r="S137" s="24" t="n">
        <x:v>23</x:v>
      </x:c>
      <x:c r="T137" s="24" t="str">
        <x:v>tabela_hoya(1).pdf</x:v>
      </x:c>
      <x:c r="U137" s="24" t="str">
        <x:v>HOYA|Progressiva|Surfaçada|Hoyalux iD MyStyle V+|COLORIDAS|PNX|1.53|Hi-Vision Sun Pro|-8.00 até +6.00||||||23</x:v>
      </x:c>
    </x:row>
    <x:row r="138">
      <x:c r="A138" s="24" t="str">
        <x:v>HY-CB090762B745</x:v>
      </x:c>
      <x:c r="B138" s="24" t="str">
        <x:v>HOYA</x:v>
      </x:c>
      <x:c r="C138" s="24" t="str">
        <x:v>Progressiva</x:v>
      </x:c>
      <x:c r="D138" s="24" t="str">
        <x:v>Surfaçada</x:v>
      </x:c>
      <x:c r="E138" s="24" t="str">
        <x:v>Hoyalux iD MyStyle V+</x:v>
      </x:c>
      <x:c r="F138" s="24" t="str">
        <x:v>COLORIDAS</x:v>
      </x:c>
      <x:c r="G138" s="24" t="str">
        <x:v>ORGANIC</x:v>
      </x:c>
      <x:c r="H138" s="24" t="str">
        <x:v>1.50</x:v>
      </x:c>
      <x:c r="I138" s="24" t="str">
        <x:v>Hi-Vision Sun Pro</x:v>
      </x:c>
      <x:c r="J138" s="40" t="n">
        <x:v>10079</x:v>
      </x:c>
      <x:c r="K138" s="24" t="str">
        <x:v>-8.00 até +6.00</x:v>
      </x:c>
      <x:c r="L138" s="24"/>
      <x:c r="M138" s="24"/>
      <x:c r="N138" s="24"/>
      <x:c r="O138" s="24"/>
      <x:c r="P138" s="24"/>
      <x:c r="Q138" s="24" t="str">
        <x:v>DISPONÍVEL</x:v>
      </x:c>
      <x:c r="R138" s="24"/>
      <x:c r="S138" s="24" t="n">
        <x:v>23</x:v>
      </x:c>
      <x:c r="T138" s="24" t="str">
        <x:v>tabela_hoya(1).pdf</x:v>
      </x:c>
      <x:c r="U138" s="24" t="str">
        <x:v>HOYA|Progressiva|Surfaçada|Hoyalux iD MyStyle V+|COLORIDAS|ORGANIC|1.50|Hi-Vision Sun Pro|-8.00 até +6.00||||||23</x:v>
      </x:c>
    </x:row>
    <x:row r="139">
      <x:c r="A139" s="24" t="str">
        <x:v>HY-B068943CD10B</x:v>
      </x:c>
      <x:c r="B139" s="24" t="str">
        <x:v>HOYA</x:v>
      </x:c>
      <x:c r="C139" s="24" t="str">
        <x:v>Progressiva</x:v>
      </x:c>
      <x:c r="D139" s="24" t="str">
        <x:v>Surfaçada</x:v>
      </x:c>
      <x:c r="E139" s="24" t="str">
        <x:v>Hoyalux iD MyStyle V+</x:v>
      </x:c>
      <x:c r="F139" s="24" t="str">
        <x:v>SENSITY 2</x:v>
      </x:c>
      <x:c r="G139" s="24" t="str">
        <x:v>EYNOA</x:v>
      </x:c>
      <x:c r="H139" s="24" t="str">
        <x:v>1.67</x:v>
      </x:c>
      <x:c r="I139" s="24" t="str">
        <x:v>Hi-Vision Meiryo</x:v>
      </x:c>
      <x:c r="J139" s="40" t="n">
        <x:v>13999</x:v>
      </x:c>
      <x:c r="K139" s="24" t="str">
        <x:v>-13.00 até +8.00</x:v>
      </x:c>
      <x:c r="L139" s="24"/>
      <x:c r="M139" s="24"/>
      <x:c r="N139" s="24"/>
      <x:c r="O139" s="24"/>
      <x:c r="P139" s="24"/>
      <x:c r="Q139" s="24" t="str">
        <x:v>DISPONÍVEL</x:v>
      </x:c>
      <x:c r="R139" s="24"/>
      <x:c r="S139" s="24" t="n">
        <x:v>23</x:v>
      </x:c>
      <x:c r="T139" s="24" t="str">
        <x:v>tabela_hoya(1).pdf</x:v>
      </x:c>
      <x:c r="U139" s="24" t="str">
        <x:v>HOYA|Progressiva|Surfaçada|Hoyalux iD MyStyle V+|SENSITY 2|EYNOA|1.67|Hi-Vision Meiryo|-13.00 até +8.00||||||23</x:v>
      </x:c>
    </x:row>
    <x:row r="140">
      <x:c r="A140" s="24" t="str">
        <x:v>HY-DF32F511F558</x:v>
      </x:c>
      <x:c r="B140" s="24" t="str">
        <x:v>HOYA</x:v>
      </x:c>
      <x:c r="C140" s="24" t="str">
        <x:v>Progressiva</x:v>
      </x:c>
      <x:c r="D140" s="24" t="str">
        <x:v>Surfaçada</x:v>
      </x:c>
      <x:c r="E140" s="24" t="str">
        <x:v>Hoyalux iD MyStyle V+</x:v>
      </x:c>
      <x:c r="F140" s="24" t="str">
        <x:v>SENSITY 2</x:v>
      </x:c>
      <x:c r="G140" s="24" t="str">
        <x:v>EYAS 2.0</x:v>
      </x:c>
      <x:c r="H140" s="24" t="str">
        <x:v>1.60</x:v>
      </x:c>
      <x:c r="I140" s="24" t="str">
        <x:v>Hi-Vision Meiryo</x:v>
      </x:c>
      <x:c r="J140" s="40" t="n">
        <x:v>12199</x:v>
      </x:c>
      <x:c r="K140" s="24" t="str">
        <x:v>-11.00 até +8.00</x:v>
      </x:c>
      <x:c r="L140" s="24"/>
      <x:c r="M140" s="24"/>
      <x:c r="N140" s="24"/>
      <x:c r="O140" s="24"/>
      <x:c r="P140" s="24"/>
      <x:c r="Q140" s="24" t="str">
        <x:v>DISPONÍVEL</x:v>
      </x:c>
      <x:c r="R140" s="24"/>
      <x:c r="S140" s="24" t="n">
        <x:v>23</x:v>
      </x:c>
      <x:c r="T140" s="24" t="str">
        <x:v>tabela_hoya(1).pdf</x:v>
      </x:c>
      <x:c r="U140" s="24" t="str">
        <x:v>HOYA|Progressiva|Surfaçada|Hoyalux iD MyStyle V+|SENSITY 2|EYAS 2.0|1.60|Hi-Vision Meiryo|-11.00 até +8.00||||||23</x:v>
      </x:c>
    </x:row>
    <x:row r="141">
      <x:c r="A141" s="24" t="str">
        <x:v>HY-5FC1BF2D6B31</x:v>
      </x:c>
      <x:c r="B141" s="24" t="str">
        <x:v>HOYA</x:v>
      </x:c>
      <x:c r="C141" s="24" t="str">
        <x:v>Progressiva</x:v>
      </x:c>
      <x:c r="D141" s="24" t="str">
        <x:v>Surfaçada</x:v>
      </x:c>
      <x:c r="E141" s="24" t="str">
        <x:v>Hoyalux iD MyStyle V+</x:v>
      </x:c>
      <x:c r="F141" s="24" t="str">
        <x:v>SENSITY 2</x:v>
      </x:c>
      <x:c r="G141" s="24" t="str">
        <x:v>PNX</x:v>
      </x:c>
      <x:c r="H141" s="24" t="str">
        <x:v>1.53</x:v>
      </x:c>
      <x:c r="I141" s="24" t="str">
        <x:v>Hi-Vision Meiryo</x:v>
      </x:c>
      <x:c r="J141" s="40" t="n">
        <x:v>11739</x:v>
      </x:c>
      <x:c r="K141" s="24" t="str">
        <x:v>-8.00 até +6.00</x:v>
      </x:c>
      <x:c r="L141" s="24"/>
      <x:c r="M141" s="24"/>
      <x:c r="N141" s="24"/>
      <x:c r="O141" s="24"/>
      <x:c r="P141" s="24"/>
      <x:c r="Q141" s="24" t="str">
        <x:v>DISPONÍVEL</x:v>
      </x:c>
      <x:c r="R141" s="24"/>
      <x:c r="S141" s="24" t="n">
        <x:v>23</x:v>
      </x:c>
      <x:c r="T141" s="24" t="str">
        <x:v>tabela_hoya(1).pdf</x:v>
      </x:c>
      <x:c r="U141" s="24" t="str">
        <x:v>HOYA|Progressiva|Surfaçada|Hoyalux iD MyStyle V+|SENSITY 2|PNX|1.53|Hi-Vision Meiryo|-8.00 até +6.00||||||23</x:v>
      </x:c>
    </x:row>
    <x:row r="142">
      <x:c r="A142" s="24" t="str">
        <x:v>HY-A2C2664F6056</x:v>
      </x:c>
      <x:c r="B142" s="24" t="str">
        <x:v>HOYA</x:v>
      </x:c>
      <x:c r="C142" s="24" t="str">
        <x:v>Progressiva</x:v>
      </x:c>
      <x:c r="D142" s="24" t="str">
        <x:v>Surfaçada</x:v>
      </x:c>
      <x:c r="E142" s="24" t="str">
        <x:v>Hoyalux iD MyStyle V+</x:v>
      </x:c>
      <x:c r="F142" s="24" t="str">
        <x:v>SENSITY 2</x:v>
      </x:c>
      <x:c r="G142" s="24" t="str">
        <x:v>ORGANIC</x:v>
      </x:c>
      <x:c r="H142" s="24" t="str">
        <x:v>1.50</x:v>
      </x:c>
      <x:c r="I142" s="24" t="str">
        <x:v>Hi-Vision Meiryo</x:v>
      </x:c>
      <x:c r="J142" s="40" t="n">
        <x:v>11389</x:v>
      </x:c>
      <x:c r="K142" s="24" t="str">
        <x:v>-8.00 até +6.00</x:v>
      </x:c>
      <x:c r="L142" s="24"/>
      <x:c r="M142" s="24"/>
      <x:c r="N142" s="24"/>
      <x:c r="O142" s="24"/>
      <x:c r="P142" s="24"/>
      <x:c r="Q142" s="24" t="str">
        <x:v>DISPONÍVEL</x:v>
      </x:c>
      <x:c r="R142" s="24"/>
      <x:c r="S142" s="24" t="n">
        <x:v>23</x:v>
      </x:c>
      <x:c r="T142" s="24" t="str">
        <x:v>tabela_hoya(1).pdf</x:v>
      </x:c>
      <x:c r="U142" s="24" t="str">
        <x:v>HOYA|Progressiva|Surfaçada|Hoyalux iD MyStyle V+|SENSITY 2|ORGANIC|1.50|Hi-Vision Meiryo|-8.00 até +6.00||||||23</x:v>
      </x:c>
    </x:row>
    <x:row r="143">
      <x:c r="A143" s="24" t="str">
        <x:v>HY-B16C2807AF2B</x:v>
      </x:c>
      <x:c r="B143" s="24" t="str">
        <x:v>HOYA</x:v>
      </x:c>
      <x:c r="C143" s="24" t="str">
        <x:v>Progressiva</x:v>
      </x:c>
      <x:c r="D143" s="24" t="str">
        <x:v>Surfaçada</x:v>
      </x:c>
      <x:c r="E143" s="24" t="str">
        <x:v>Hoyalux iD MyStyle V+</x:v>
      </x:c>
      <x:c r="F143" s="24" t="str">
        <x:v>SENSITY 2</x:v>
      </x:c>
      <x:c r="G143" s="24" t="str">
        <x:v>EYNOA</x:v>
      </x:c>
      <x:c r="H143" s="24" t="str">
        <x:v>1.67</x:v>
      </x:c>
      <x:c r="I143" s="24" t="str">
        <x:v>Hi-Vision LongLife BlueControl</x:v>
      </x:c>
      <x:c r="J143" s="40" t="n">
        <x:v>13799</x:v>
      </x:c>
      <x:c r="K143" s="24" t="str">
        <x:v>-13.00 até +8.00</x:v>
      </x:c>
      <x:c r="L143" s="24"/>
      <x:c r="M143" s="24"/>
      <x:c r="N143" s="24"/>
      <x:c r="O143" s="24"/>
      <x:c r="P143" s="24"/>
      <x:c r="Q143" s="24" t="str">
        <x:v>DISPONÍVEL</x:v>
      </x:c>
      <x:c r="R143" s="24"/>
      <x:c r="S143" s="24" t="n">
        <x:v>23</x:v>
      </x:c>
      <x:c r="T143" s="24" t="str">
        <x:v>tabela_hoya(1).pdf</x:v>
      </x:c>
      <x:c r="U143" s="24" t="str">
        <x:v>HOYA|Progressiva|Surfaçada|Hoyalux iD MyStyle V+|SENSITY 2|EYNOA|1.67|Hi-Vision LongLife BlueControl|-13.00 até +8.00||||||23</x:v>
      </x:c>
    </x:row>
    <x:row r="144">
      <x:c r="A144" s="24" t="str">
        <x:v>HY-0FE811AD093C</x:v>
      </x:c>
      <x:c r="B144" s="24" t="str">
        <x:v>HOYA</x:v>
      </x:c>
      <x:c r="C144" s="24" t="str">
        <x:v>Progressiva</x:v>
      </x:c>
      <x:c r="D144" s="24" t="str">
        <x:v>Surfaçada</x:v>
      </x:c>
      <x:c r="E144" s="24" t="str">
        <x:v>Hoyalux iD MyStyle V+</x:v>
      </x:c>
      <x:c r="F144" s="24" t="str">
        <x:v>SENSITY 2</x:v>
      </x:c>
      <x:c r="G144" s="24" t="str">
        <x:v>EYAS 2.0</x:v>
      </x:c>
      <x:c r="H144" s="24" t="str">
        <x:v>1.60</x:v>
      </x:c>
      <x:c r="I144" s="24" t="str">
        <x:v>Hi-Vision LongLife BlueControl</x:v>
      </x:c>
      <x:c r="J144" s="40" t="n">
        <x:v>11999</x:v>
      </x:c>
      <x:c r="K144" s="24" t="str">
        <x:v>-11.00 até +8.00</x:v>
      </x:c>
      <x:c r="L144" s="24"/>
      <x:c r="M144" s="24"/>
      <x:c r="N144" s="24"/>
      <x:c r="O144" s="24"/>
      <x:c r="P144" s="24"/>
      <x:c r="Q144" s="24" t="str">
        <x:v>DISPONÍVEL</x:v>
      </x:c>
      <x:c r="R144" s="24"/>
      <x:c r="S144" s="24" t="n">
        <x:v>23</x:v>
      </x:c>
      <x:c r="T144" s="24" t="str">
        <x:v>tabela_hoya(1).pdf</x:v>
      </x:c>
      <x:c r="U144" s="24" t="str">
        <x:v>HOYA|Progressiva|Surfaçada|Hoyalux iD MyStyle V+|SENSITY 2|EYAS 2.0|1.60|Hi-Vision LongLife BlueControl|-11.00 até +8.00||||||23</x:v>
      </x:c>
    </x:row>
    <x:row r="145">
      <x:c r="A145" s="24" t="str">
        <x:v>HY-FDEBCFF03017</x:v>
      </x:c>
      <x:c r="B145" s="24" t="str">
        <x:v>HOYA</x:v>
      </x:c>
      <x:c r="C145" s="24" t="str">
        <x:v>Progressiva</x:v>
      </x:c>
      <x:c r="D145" s="24" t="str">
        <x:v>Surfaçada</x:v>
      </x:c>
      <x:c r="E145" s="24" t="str">
        <x:v>Hoyalux iD MyStyle V+</x:v>
      </x:c>
      <x:c r="F145" s="24" t="str">
        <x:v>SENSITY 2</x:v>
      </x:c>
      <x:c r="G145" s="24" t="str">
        <x:v>PNX</x:v>
      </x:c>
      <x:c r="H145" s="24" t="str">
        <x:v>1.53</x:v>
      </x:c>
      <x:c r="I145" s="24" t="str">
        <x:v>Hi-Vision LongLife BlueControl</x:v>
      </x:c>
      <x:c r="J145" s="40" t="n">
        <x:v>11539</x:v>
      </x:c>
      <x:c r="K145" s="24" t="str">
        <x:v>-8.00 até +6.00</x:v>
      </x:c>
      <x:c r="L145" s="24"/>
      <x:c r="M145" s="24"/>
      <x:c r="N145" s="24"/>
      <x:c r="O145" s="24"/>
      <x:c r="P145" s="24"/>
      <x:c r="Q145" s="24" t="str">
        <x:v>DISPONÍVEL</x:v>
      </x:c>
      <x:c r="R145" s="24"/>
      <x:c r="S145" s="24" t="n">
        <x:v>23</x:v>
      </x:c>
      <x:c r="T145" s="24" t="str">
        <x:v>tabela_hoya(1).pdf</x:v>
      </x:c>
      <x:c r="U145" s="24" t="str">
        <x:v>HOYA|Progressiva|Surfaçada|Hoyalux iD MyStyle V+|SENSITY 2|PNX|1.53|Hi-Vision LongLife BlueControl|-8.00 até +6.00||||||23</x:v>
      </x:c>
    </x:row>
    <x:row r="146">
      <x:c r="A146" s="24" t="str">
        <x:v>HY-89709D40AD09</x:v>
      </x:c>
      <x:c r="B146" s="24" t="str">
        <x:v>HOYA</x:v>
      </x:c>
      <x:c r="C146" s="24" t="str">
        <x:v>Progressiva</x:v>
      </x:c>
      <x:c r="D146" s="24" t="str">
        <x:v>Surfaçada</x:v>
      </x:c>
      <x:c r="E146" s="24" t="str">
        <x:v>Hoyalux iD MyStyle V+</x:v>
      </x:c>
      <x:c r="F146" s="24" t="str">
        <x:v>SENSITY 2</x:v>
      </x:c>
      <x:c r="G146" s="24" t="str">
        <x:v>ORGANIC</x:v>
      </x:c>
      <x:c r="H146" s="24" t="str">
        <x:v>1.50</x:v>
      </x:c>
      <x:c r="I146" s="24" t="str">
        <x:v>Hi-Vision LongLife BlueControl</x:v>
      </x:c>
      <x:c r="J146" s="40" t="n">
        <x:v>11189</x:v>
      </x:c>
      <x:c r="K146" s="24" t="str">
        <x:v>-8.00 até +6.00</x:v>
      </x:c>
      <x:c r="L146" s="24"/>
      <x:c r="M146" s="24"/>
      <x:c r="N146" s="24"/>
      <x:c r="O146" s="24"/>
      <x:c r="P146" s="24"/>
      <x:c r="Q146" s="24" t="str">
        <x:v>DISPONÍVEL</x:v>
      </x:c>
      <x:c r="R146" s="24"/>
      <x:c r="S146" s="24" t="n">
        <x:v>23</x:v>
      </x:c>
      <x:c r="T146" s="24" t="str">
        <x:v>tabela_hoya(1).pdf</x:v>
      </x:c>
      <x:c r="U146" s="24" t="str">
        <x:v>HOYA|Progressiva|Surfaçada|Hoyalux iD MyStyle V+|SENSITY 2|ORGANIC|1.50|Hi-Vision LongLife BlueControl|-8.00 até +6.00||||||23</x:v>
      </x:c>
    </x:row>
    <x:row r="147">
      <x:c r="A147" s="24" t="str">
        <x:v>HY-3F59BDE62E7C</x:v>
      </x:c>
      <x:c r="B147" s="24" t="str">
        <x:v>HOYA</x:v>
      </x:c>
      <x:c r="C147" s="24" t="str">
        <x:v>Progressiva</x:v>
      </x:c>
      <x:c r="D147" s="24" t="str">
        <x:v>Surfaçada</x:v>
      </x:c>
      <x:c r="E147" s="24" t="str">
        <x:v>Hoyalux iD LifeStyle 4i</x:v>
      </x:c>
      <x:c r="F147" s="24" t="str">
        <x:v>INCOLOR</x:v>
      </x:c>
      <x:c r="G147" s="24" t="str">
        <x:v>EYVIA</x:v>
      </x:c>
      <x:c r="H147" s="24" t="str">
        <x:v>1.74</x:v>
      </x:c>
      <x:c r="I147" s="24" t="str">
        <x:v>Hi-Vision Meiryo</x:v>
      </x:c>
      <x:c r="J147" s="40" t="n">
        <x:v>9659</x:v>
      </x:c>
      <x:c r="K147" s="24" t="str">
        <x:v>-13.00 até +8.00</x:v>
      </x:c>
      <x:c r="L147" s="24"/>
      <x:c r="M147" s="24"/>
      <x:c r="N147" s="24"/>
      <x:c r="O147" s="24"/>
      <x:c r="P147" s="24"/>
      <x:c r="Q147" s="24" t="str">
        <x:v>DISPONÍVEL</x:v>
      </x:c>
      <x:c r="R147" s="24"/>
      <x:c r="S147" s="24" t="n">
        <x:v>24</x:v>
      </x:c>
      <x:c r="T147" s="24" t="str">
        <x:v>tabela_hoya(1).pdf</x:v>
      </x:c>
      <x:c r="U147" s="24" t="str">
        <x:v>HOYA|Progressiva|Surfaçada|Hoyalux iD LifeStyle 4i|INCOLOR|EYVIA|1.74|Hi-Vision Meiryo|-13.00 até +8.00||||||24</x:v>
      </x:c>
    </x:row>
    <x:row r="148">
      <x:c r="A148" s="24" t="str">
        <x:v>HY-F8C1E6B86B27</x:v>
      </x:c>
      <x:c r="B148" s="24" t="str">
        <x:v>HOYA</x:v>
      </x:c>
      <x:c r="C148" s="24" t="str">
        <x:v>Progressiva</x:v>
      </x:c>
      <x:c r="D148" s="24" t="str">
        <x:v>Surfaçada</x:v>
      </x:c>
      <x:c r="E148" s="24" t="str">
        <x:v>Hoyalux iD LifeStyle 4i</x:v>
      </x:c>
      <x:c r="F148" s="24" t="str">
        <x:v>INCOLOR</x:v>
      </x:c>
      <x:c r="G148" s="24" t="str">
        <x:v>EYNOA</x:v>
      </x:c>
      <x:c r="H148" s="24" t="str">
        <x:v>1.67</x:v>
      </x:c>
      <x:c r="I148" s="24" t="str">
        <x:v>Hi-Vision Meiryo</x:v>
      </x:c>
      <x:c r="J148" s="40" t="n">
        <x:v>8159</x:v>
      </x:c>
      <x:c r="K148" s="24" t="str">
        <x:v>-12.00 até +8.00</x:v>
      </x:c>
      <x:c r="L148" s="24"/>
      <x:c r="M148" s="24"/>
      <x:c r="N148" s="24"/>
      <x:c r="O148" s="24"/>
      <x:c r="P148" s="24"/>
      <x:c r="Q148" s="24" t="str">
        <x:v>DISPONÍVEL</x:v>
      </x:c>
      <x:c r="R148" s="24"/>
      <x:c r="S148" s="24" t="n">
        <x:v>24</x:v>
      </x:c>
      <x:c r="T148" s="24" t="str">
        <x:v>tabela_hoya(1).pdf</x:v>
      </x:c>
      <x:c r="U148" s="24" t="str">
        <x:v>HOYA|Progressiva|Surfaçada|Hoyalux iD LifeStyle 4i|INCOLOR|EYNOA|1.67|Hi-Vision Meiryo|-12.00 até +8.00||||||24</x:v>
      </x:c>
    </x:row>
    <x:row r="149">
      <x:c r="A149" s="24" t="str">
        <x:v>HY-FAEA52003EEA</x:v>
      </x:c>
      <x:c r="B149" s="24" t="str">
        <x:v>HOYA</x:v>
      </x:c>
      <x:c r="C149" s="24" t="str">
        <x:v>Progressiva</x:v>
      </x:c>
      <x:c r="D149" s="24" t="str">
        <x:v>Surfaçada</x:v>
      </x:c>
      <x:c r="E149" s="24" t="str">
        <x:v>Hoyalux iD LifeStyle 4i</x:v>
      </x:c>
      <x:c r="F149" s="24" t="str">
        <x:v>INCOLOR</x:v>
      </x:c>
      <x:c r="G149" s="24" t="str">
        <x:v>EYAS 2.0</x:v>
      </x:c>
      <x:c r="H149" s="24" t="str">
        <x:v>1.60</x:v>
      </x:c>
      <x:c r="I149" s="24" t="str">
        <x:v>Hi-Vision Meiryo</x:v>
      </x:c>
      <x:c r="J149" s="40" t="n">
        <x:v>6359</x:v>
      </x:c>
      <x:c r="K149" s="24" t="str">
        <x:v>-10.00 até +8.00</x:v>
      </x:c>
      <x:c r="L149" s="24"/>
      <x:c r="M149" s="24"/>
      <x:c r="N149" s="24"/>
      <x:c r="O149" s="24"/>
      <x:c r="P149" s="24"/>
      <x:c r="Q149" s="24" t="str">
        <x:v>DISPONÍVEL</x:v>
      </x:c>
      <x:c r="R149" s="24"/>
      <x:c r="S149" s="24" t="n">
        <x:v>24</x:v>
      </x:c>
      <x:c r="T149" s="24" t="str">
        <x:v>tabela_hoya(1).pdf</x:v>
      </x:c>
      <x:c r="U149" s="24" t="str">
        <x:v>HOYA|Progressiva|Surfaçada|Hoyalux iD LifeStyle 4i|INCOLOR|EYAS 2.0|1.60|Hi-Vision Meiryo|-10.00 até +8.00||||||24</x:v>
      </x:c>
    </x:row>
    <x:row r="150">
      <x:c r="A150" s="24" t="str">
        <x:v>HY-74C0547529B2</x:v>
      </x:c>
      <x:c r="B150" s="24" t="str">
        <x:v>HOYA</x:v>
      </x:c>
      <x:c r="C150" s="24" t="str">
        <x:v>Progressiva</x:v>
      </x:c>
      <x:c r="D150" s="24" t="str">
        <x:v>Surfaçada</x:v>
      </x:c>
      <x:c r="E150" s="24" t="str">
        <x:v>Hoyalux iD LifeStyle 4i</x:v>
      </x:c>
      <x:c r="F150" s="24" t="str">
        <x:v>INCOLOR</x:v>
      </x:c>
      <x:c r="G150" s="24" t="str">
        <x:v>PNX</x:v>
      </x:c>
      <x:c r="H150" s="24" t="str">
        <x:v>1.53</x:v>
      </x:c>
      <x:c r="I150" s="24" t="str">
        <x:v>Hi-Vision Meiryo</x:v>
      </x:c>
      <x:c r="J150" s="40" t="n">
        <x:v>5899</x:v>
      </x:c>
      <x:c r="K150" s="24" t="str">
        <x:v>-8.00 até +6.00</x:v>
      </x:c>
      <x:c r="L150" s="24"/>
      <x:c r="M150" s="24"/>
      <x:c r="N150" s="24"/>
      <x:c r="O150" s="24"/>
      <x:c r="P150" s="24"/>
      <x:c r="Q150" s="24" t="str">
        <x:v>DISPONÍVEL</x:v>
      </x:c>
      <x:c r="R150" s="24"/>
      <x:c r="S150" s="24" t="n">
        <x:v>24</x:v>
      </x:c>
      <x:c r="T150" s="24" t="str">
        <x:v>tabela_hoya(1).pdf</x:v>
      </x:c>
      <x:c r="U150" s="24" t="str">
        <x:v>HOYA|Progressiva|Surfaçada|Hoyalux iD LifeStyle 4i|INCOLOR|PNX|1.53|Hi-Vision Meiryo|-8.00 até +6.00||||||24</x:v>
      </x:c>
    </x:row>
    <x:row r="151">
      <x:c r="A151" s="24" t="str">
        <x:v>HY-6567462B5EAB</x:v>
      </x:c>
      <x:c r="B151" s="24" t="str">
        <x:v>HOYA</x:v>
      </x:c>
      <x:c r="C151" s="24" t="str">
        <x:v>Progressiva</x:v>
      </x:c>
      <x:c r="D151" s="24" t="str">
        <x:v>Surfaçada</x:v>
      </x:c>
      <x:c r="E151" s="24" t="str">
        <x:v>Hoyalux iD LifeStyle 4i</x:v>
      </x:c>
      <x:c r="F151" s="24" t="str">
        <x:v>INCOLOR</x:v>
      </x:c>
      <x:c r="G151" s="24" t="str">
        <x:v>ORGANIC</x:v>
      </x:c>
      <x:c r="H151" s="24" t="str">
        <x:v>1.50</x:v>
      </x:c>
      <x:c r="I151" s="24" t="str">
        <x:v>Hi-Vision Meiryo</x:v>
      </x:c>
      <x:c r="J151" s="40" t="n">
        <x:v>5549</x:v>
      </x:c>
      <x:c r="K151" s="24" t="str">
        <x:v>-8.00 até +6.00</x:v>
      </x:c>
      <x:c r="L151" s="24"/>
      <x:c r="M151" s="24"/>
      <x:c r="N151" s="24"/>
      <x:c r="O151" s="24"/>
      <x:c r="P151" s="24"/>
      <x:c r="Q151" s="24" t="str">
        <x:v>DISPONÍVEL</x:v>
      </x:c>
      <x:c r="R151" s="24"/>
      <x:c r="S151" s="24" t="n">
        <x:v>24</x:v>
      </x:c>
      <x:c r="T151" s="24" t="str">
        <x:v>tabela_hoya(1).pdf</x:v>
      </x:c>
      <x:c r="U151" s="24" t="str">
        <x:v>HOYA|Progressiva|Surfaçada|Hoyalux iD LifeStyle 4i|INCOLOR|ORGANIC|1.50|Hi-Vision Meiryo|-8.00 até +6.00||||||24</x:v>
      </x:c>
    </x:row>
    <x:row r="152">
      <x:c r="A152" s="24" t="str">
        <x:v>HY-C679FC27E5E9</x:v>
      </x:c>
      <x:c r="B152" s="24" t="str">
        <x:v>HOYA</x:v>
      </x:c>
      <x:c r="C152" s="24" t="str">
        <x:v>Progressiva</x:v>
      </x:c>
      <x:c r="D152" s="24" t="str">
        <x:v>Surfaçada</x:v>
      </x:c>
      <x:c r="E152" s="24" t="str">
        <x:v>Hoyalux iD LifeStyle 4i</x:v>
      </x:c>
      <x:c r="F152" s="24" t="str">
        <x:v>INCOLOR</x:v>
      </x:c>
      <x:c r="G152" s="24" t="str">
        <x:v>EYVIA</x:v>
      </x:c>
      <x:c r="H152" s="24" t="str">
        <x:v>1.74</x:v>
      </x:c>
      <x:c r="I152" s="24" t="str">
        <x:v>Hi-Vision LongLife BlueControl</x:v>
      </x:c>
      <x:c r="J152" s="40" t="n">
        <x:v>9459</x:v>
      </x:c>
      <x:c r="K152" s="24" t="str">
        <x:v>-13.00 até +8.00</x:v>
      </x:c>
      <x:c r="L152" s="24"/>
      <x:c r="M152" s="24"/>
      <x:c r="N152" s="24"/>
      <x:c r="O152" s="24"/>
      <x:c r="P152" s="24"/>
      <x:c r="Q152" s="24" t="str">
        <x:v>DISPONÍVEL</x:v>
      </x:c>
      <x:c r="R152" s="24"/>
      <x:c r="S152" s="24" t="n">
        <x:v>24</x:v>
      </x:c>
      <x:c r="T152" s="24" t="str">
        <x:v>tabela_hoya(1).pdf</x:v>
      </x:c>
      <x:c r="U152" s="24" t="str">
        <x:v>HOYA|Progressiva|Surfaçada|Hoyalux iD LifeStyle 4i|INCOLOR|EYVIA|1.74|Hi-Vision LongLife BlueControl|-13.00 até +8.00||||||24</x:v>
      </x:c>
    </x:row>
    <x:row r="153">
      <x:c r="A153" s="24" t="str">
        <x:v>HY-A6D7DD12F44C</x:v>
      </x:c>
      <x:c r="B153" s="24" t="str">
        <x:v>HOYA</x:v>
      </x:c>
      <x:c r="C153" s="24" t="str">
        <x:v>Progressiva</x:v>
      </x:c>
      <x:c r="D153" s="24" t="str">
        <x:v>Surfaçada</x:v>
      </x:c>
      <x:c r="E153" s="24" t="str">
        <x:v>Hoyalux iD LifeStyle 4i</x:v>
      </x:c>
      <x:c r="F153" s="24" t="str">
        <x:v>INCOLOR</x:v>
      </x:c>
      <x:c r="G153" s="24" t="str">
        <x:v>EYNOA</x:v>
      </x:c>
      <x:c r="H153" s="24" t="str">
        <x:v>1.67</x:v>
      </x:c>
      <x:c r="I153" s="24" t="str">
        <x:v>Hi-Vision LongLife BlueControl</x:v>
      </x:c>
      <x:c r="J153" s="40" t="n">
        <x:v>7959</x:v>
      </x:c>
      <x:c r="K153" s="24" t="str">
        <x:v>-12.00 até +8.00</x:v>
      </x:c>
      <x:c r="L153" s="24"/>
      <x:c r="M153" s="24"/>
      <x:c r="N153" s="24"/>
      <x:c r="O153" s="24"/>
      <x:c r="P153" s="24"/>
      <x:c r="Q153" s="24" t="str">
        <x:v>DISPONÍVEL</x:v>
      </x:c>
      <x:c r="R153" s="24"/>
      <x:c r="S153" s="24" t="n">
        <x:v>24</x:v>
      </x:c>
      <x:c r="T153" s="24" t="str">
        <x:v>tabela_hoya(1).pdf</x:v>
      </x:c>
      <x:c r="U153" s="24" t="str">
        <x:v>HOYA|Progressiva|Surfaçada|Hoyalux iD LifeStyle 4i|INCOLOR|EYNOA|1.67|Hi-Vision LongLife BlueControl|-12.00 até +8.00||||||24</x:v>
      </x:c>
    </x:row>
    <x:row r="154">
      <x:c r="A154" s="24" t="str">
        <x:v>HY-2A8F60D44724</x:v>
      </x:c>
      <x:c r="B154" s="24" t="str">
        <x:v>HOYA</x:v>
      </x:c>
      <x:c r="C154" s="24" t="str">
        <x:v>Progressiva</x:v>
      </x:c>
      <x:c r="D154" s="24" t="str">
        <x:v>Surfaçada</x:v>
      </x:c>
      <x:c r="E154" s="24" t="str">
        <x:v>Hoyalux iD LifeStyle 4i</x:v>
      </x:c>
      <x:c r="F154" s="24" t="str">
        <x:v>INCOLOR</x:v>
      </x:c>
      <x:c r="G154" s="24" t="str">
        <x:v>EYAS 2.0</x:v>
      </x:c>
      <x:c r="H154" s="24" t="str">
        <x:v>1.60</x:v>
      </x:c>
      <x:c r="I154" s="24" t="str">
        <x:v>Hi-Vision LongLife BlueControl</x:v>
      </x:c>
      <x:c r="J154" s="40" t="n">
        <x:v>6159</x:v>
      </x:c>
      <x:c r="K154" s="24" t="str">
        <x:v>-10.00 até +8.00</x:v>
      </x:c>
      <x:c r="L154" s="24"/>
      <x:c r="M154" s="24"/>
      <x:c r="N154" s="24"/>
      <x:c r="O154" s="24"/>
      <x:c r="P154" s="24"/>
      <x:c r="Q154" s="24" t="str">
        <x:v>DISPONÍVEL</x:v>
      </x:c>
      <x:c r="R154" s="24"/>
      <x:c r="S154" s="24" t="n">
        <x:v>24</x:v>
      </x:c>
      <x:c r="T154" s="24" t="str">
        <x:v>tabela_hoya(1).pdf</x:v>
      </x:c>
      <x:c r="U154" s="24" t="str">
        <x:v>HOYA|Progressiva|Surfaçada|Hoyalux iD LifeStyle 4i|INCOLOR|EYAS 2.0|1.60|Hi-Vision LongLife BlueControl|-10.00 até +8.00||||||24</x:v>
      </x:c>
    </x:row>
    <x:row r="155">
      <x:c r="A155" s="24" t="str">
        <x:v>HY-93C9B11F9DE0</x:v>
      </x:c>
      <x:c r="B155" s="24" t="str">
        <x:v>HOYA</x:v>
      </x:c>
      <x:c r="C155" s="24" t="str">
        <x:v>Progressiva</x:v>
      </x:c>
      <x:c r="D155" s="24" t="str">
        <x:v>Surfaçada</x:v>
      </x:c>
      <x:c r="E155" s="24" t="str">
        <x:v>Hoyalux iD LifeStyle 4i</x:v>
      </x:c>
      <x:c r="F155" s="24" t="str">
        <x:v>INCOLOR</x:v>
      </x:c>
      <x:c r="G155" s="24" t="str">
        <x:v>PNX</x:v>
      </x:c>
      <x:c r="H155" s="24" t="str">
        <x:v>1.53</x:v>
      </x:c>
      <x:c r="I155" s="24" t="str">
        <x:v>Hi-Vision LongLife BlueControl</x:v>
      </x:c>
      <x:c r="J155" s="40" t="n">
        <x:v>5699</x:v>
      </x:c>
      <x:c r="K155" s="24" t="str">
        <x:v>-8.00 até +6.00</x:v>
      </x:c>
      <x:c r="L155" s="24"/>
      <x:c r="M155" s="24"/>
      <x:c r="N155" s="24"/>
      <x:c r="O155" s="24"/>
      <x:c r="P155" s="24"/>
      <x:c r="Q155" s="24" t="str">
        <x:v>DISPONÍVEL</x:v>
      </x:c>
      <x:c r="R155" s="24"/>
      <x:c r="S155" s="24" t="n">
        <x:v>24</x:v>
      </x:c>
      <x:c r="T155" s="24" t="str">
        <x:v>tabela_hoya(1).pdf</x:v>
      </x:c>
      <x:c r="U155" s="24" t="str">
        <x:v>HOYA|Progressiva|Surfaçada|Hoyalux iD LifeStyle 4i|INCOLOR|PNX|1.53|Hi-Vision LongLife BlueControl|-8.00 até +6.00||||||24</x:v>
      </x:c>
    </x:row>
    <x:row r="156">
      <x:c r="A156" s="24" t="str">
        <x:v>HY-FCA3D7165830</x:v>
      </x:c>
      <x:c r="B156" s="24" t="str">
        <x:v>HOYA</x:v>
      </x:c>
      <x:c r="C156" s="24" t="str">
        <x:v>Progressiva</x:v>
      </x:c>
      <x:c r="D156" s="24" t="str">
        <x:v>Surfaçada</x:v>
      </x:c>
      <x:c r="E156" s="24" t="str">
        <x:v>Hoyalux iD LifeStyle 4i</x:v>
      </x:c>
      <x:c r="F156" s="24" t="str">
        <x:v>INCOLOR</x:v>
      </x:c>
      <x:c r="G156" s="24" t="str">
        <x:v>ORGANIC</x:v>
      </x:c>
      <x:c r="H156" s="24" t="str">
        <x:v>1.50</x:v>
      </x:c>
      <x:c r="I156" s="24" t="str">
        <x:v>Hi-Vision LongLife BlueControl</x:v>
      </x:c>
      <x:c r="J156" s="40" t="n">
        <x:v>5349</x:v>
      </x:c>
      <x:c r="K156" s="24" t="str">
        <x:v>-8.00 até +6.00</x:v>
      </x:c>
      <x:c r="L156" s="24"/>
      <x:c r="M156" s="24"/>
      <x:c r="N156" s="24"/>
      <x:c r="O156" s="24"/>
      <x:c r="P156" s="24"/>
      <x:c r="Q156" s="24" t="str">
        <x:v>DISPONÍVEL</x:v>
      </x:c>
      <x:c r="R156" s="24"/>
      <x:c r="S156" s="24" t="n">
        <x:v>24</x:v>
      </x:c>
      <x:c r="T156" s="24" t="str">
        <x:v>tabela_hoya(1).pdf</x:v>
      </x:c>
      <x:c r="U156" s="24" t="str">
        <x:v>HOYA|Progressiva|Surfaçada|Hoyalux iD LifeStyle 4i|INCOLOR|ORGANIC|1.50|Hi-Vision LongLife BlueControl|-8.00 até +6.00||||||24</x:v>
      </x:c>
    </x:row>
    <x:row r="157">
      <x:c r="A157" s="24" t="str">
        <x:v>HY-32EA7E661AA6</x:v>
      </x:c>
      <x:c r="B157" s="24" t="str">
        <x:v>HOYA</x:v>
      </x:c>
      <x:c r="C157" s="24" t="str">
        <x:v>Progressiva</x:v>
      </x:c>
      <x:c r="D157" s="24" t="str">
        <x:v>Surfaçada</x:v>
      </x:c>
      <x:c r="E157" s="24" t="str">
        <x:v>Hoyalux iD LifeStyle 4i</x:v>
      </x:c>
      <x:c r="F157" s="24" t="str">
        <x:v>INCOLOR</x:v>
      </x:c>
      <x:c r="G157" s="24" t="str">
        <x:v>EYNOA</x:v>
      </x:c>
      <x:c r="H157" s="24" t="str">
        <x:v>1.67</x:v>
      </x:c>
      <x:c r="I157" s="24" t="str">
        <x:v>No-Risk BlueControl</x:v>
      </x:c>
      <x:c r="J157" s="40" t="n">
        <x:v>7709</x:v>
      </x:c>
      <x:c r="K157" s="24" t="str">
        <x:v>-12.00 até +8.00</x:v>
      </x:c>
      <x:c r="L157" s="24"/>
      <x:c r="M157" s="24"/>
      <x:c r="N157" s="24"/>
      <x:c r="O157" s="24"/>
      <x:c r="P157" s="24"/>
      <x:c r="Q157" s="24" t="str">
        <x:v>DISPONÍVEL</x:v>
      </x:c>
      <x:c r="R157" s="24"/>
      <x:c r="S157" s="24" t="n">
        <x:v>24</x:v>
      </x:c>
      <x:c r="T157" s="24" t="str">
        <x:v>tabela_hoya(1).pdf</x:v>
      </x:c>
      <x:c r="U157" s="24" t="str">
        <x:v>HOYA|Progressiva|Surfaçada|Hoyalux iD LifeStyle 4i|INCOLOR|EYNOA|1.67|No-Risk BlueControl|-12.00 até +8.00||||||24</x:v>
      </x:c>
    </x:row>
    <x:row r="158">
      <x:c r="A158" s="24" t="str">
        <x:v>HY-61CE9666296B</x:v>
      </x:c>
      <x:c r="B158" s="24" t="str">
        <x:v>HOYA</x:v>
      </x:c>
      <x:c r="C158" s="24" t="str">
        <x:v>Progressiva</x:v>
      </x:c>
      <x:c r="D158" s="24" t="str">
        <x:v>Surfaçada</x:v>
      </x:c>
      <x:c r="E158" s="24" t="str">
        <x:v>Hoyalux iD LifeStyle 4i</x:v>
      </x:c>
      <x:c r="F158" s="24" t="str">
        <x:v>INCOLOR</x:v>
      </x:c>
      <x:c r="G158" s="24" t="str">
        <x:v>EYAS 2.0</x:v>
      </x:c>
      <x:c r="H158" s="24" t="str">
        <x:v>1.60</x:v>
      </x:c>
      <x:c r="I158" s="24" t="str">
        <x:v>No-Risk BlueControl</x:v>
      </x:c>
      <x:c r="J158" s="40" t="n">
        <x:v>5909</x:v>
      </x:c>
      <x:c r="K158" s="24" t="str">
        <x:v>-10.00 até +8.00</x:v>
      </x:c>
      <x:c r="L158" s="24"/>
      <x:c r="M158" s="24"/>
      <x:c r="N158" s="24"/>
      <x:c r="O158" s="24"/>
      <x:c r="P158" s="24"/>
      <x:c r="Q158" s="24" t="str">
        <x:v>DISPONÍVEL</x:v>
      </x:c>
      <x:c r="R158" s="24"/>
      <x:c r="S158" s="24" t="n">
        <x:v>24</x:v>
      </x:c>
      <x:c r="T158" s="24" t="str">
        <x:v>tabela_hoya(1).pdf</x:v>
      </x:c>
      <x:c r="U158" s="24" t="str">
        <x:v>HOYA|Progressiva|Surfaçada|Hoyalux iD LifeStyle 4i|INCOLOR|EYAS 2.0|1.60|No-Risk BlueControl|-10.00 até +8.00||||||24</x:v>
      </x:c>
    </x:row>
    <x:row r="159">
      <x:c r="A159" s="24" t="str">
        <x:v>HY-CB4C8A84CFE1</x:v>
      </x:c>
      <x:c r="B159" s="24" t="str">
        <x:v>HOYA</x:v>
      </x:c>
      <x:c r="C159" s="24" t="str">
        <x:v>Progressiva</x:v>
      </x:c>
      <x:c r="D159" s="24" t="str">
        <x:v>Surfaçada</x:v>
      </x:c>
      <x:c r="E159" s="24" t="str">
        <x:v>Hoyalux iD LifeStyle 4i</x:v>
      </x:c>
      <x:c r="F159" s="24" t="str">
        <x:v>INCOLOR</x:v>
      </x:c>
      <x:c r="G159" s="24" t="str">
        <x:v>PNX</x:v>
      </x:c>
      <x:c r="H159" s="24" t="str">
        <x:v>1.53</x:v>
      </x:c>
      <x:c r="I159" s="24" t="str">
        <x:v>No-Risk BlueControl</x:v>
      </x:c>
      <x:c r="J159" s="40" t="n">
        <x:v>5449</x:v>
      </x:c>
      <x:c r="K159" s="24" t="str">
        <x:v>-8.00 até +6.00</x:v>
      </x:c>
      <x:c r="L159" s="24"/>
      <x:c r="M159" s="24"/>
      <x:c r="N159" s="24"/>
      <x:c r="O159" s="24"/>
      <x:c r="P159" s="24"/>
      <x:c r="Q159" s="24" t="str">
        <x:v>DISPONÍVEL</x:v>
      </x:c>
      <x:c r="R159" s="24"/>
      <x:c r="S159" s="24" t="n">
        <x:v>24</x:v>
      </x:c>
      <x:c r="T159" s="24" t="str">
        <x:v>tabela_hoya(1).pdf</x:v>
      </x:c>
      <x:c r="U159" s="24" t="str">
        <x:v>HOYA|Progressiva|Surfaçada|Hoyalux iD LifeStyle 4i|INCOLOR|PNX|1.53|No-Risk BlueControl|-8.00 até +6.00||||||24</x:v>
      </x:c>
    </x:row>
    <x:row r="160">
      <x:c r="A160" s="24" t="str">
        <x:v>HY-B7F85DD15CC0</x:v>
      </x:c>
      <x:c r="B160" s="24" t="str">
        <x:v>HOYA</x:v>
      </x:c>
      <x:c r="C160" s="24" t="str">
        <x:v>Progressiva</x:v>
      </x:c>
      <x:c r="D160" s="24" t="str">
        <x:v>Surfaçada</x:v>
      </x:c>
      <x:c r="E160" s="24" t="str">
        <x:v>Hoyalux iD LifeStyle 4i</x:v>
      </x:c>
      <x:c r="F160" s="24" t="str">
        <x:v>INCOLOR</x:v>
      </x:c>
      <x:c r="G160" s="24" t="str">
        <x:v>ORGANIC</x:v>
      </x:c>
      <x:c r="H160" s="24" t="str">
        <x:v>1.50</x:v>
      </x:c>
      <x:c r="I160" s="24" t="str">
        <x:v>No-Risk BlueControl</x:v>
      </x:c>
      <x:c r="J160" s="40" t="n">
        <x:v>5099</x:v>
      </x:c>
      <x:c r="K160" s="24" t="str">
        <x:v>-8.00 até +6.00</x:v>
      </x:c>
      <x:c r="L160" s="24"/>
      <x:c r="M160" s="24"/>
      <x:c r="N160" s="24"/>
      <x:c r="O160" s="24"/>
      <x:c r="P160" s="24"/>
      <x:c r="Q160" s="24" t="str">
        <x:v>DISPONÍVEL</x:v>
      </x:c>
      <x:c r="R160" s="24"/>
      <x:c r="S160" s="24" t="n">
        <x:v>24</x:v>
      </x:c>
      <x:c r="T160" s="24" t="str">
        <x:v>tabela_hoya(1).pdf</x:v>
      </x:c>
      <x:c r="U160" s="24" t="str">
        <x:v>HOYA|Progressiva|Surfaçada|Hoyalux iD LifeStyle 4i|INCOLOR|ORGANIC|1.50|No-Risk BlueControl|-8.00 até +6.00||||||24</x:v>
      </x:c>
    </x:row>
    <x:row r="161">
      <x:c r="A161" s="24" t="str">
        <x:v>HY-3F5D6A6431CA</x:v>
      </x:c>
      <x:c r="B161" s="24" t="str">
        <x:v>HOYA</x:v>
      </x:c>
      <x:c r="C161" s="24" t="str">
        <x:v>Progressiva</x:v>
      </x:c>
      <x:c r="D161" s="24" t="str">
        <x:v>Surfaçada</x:v>
      </x:c>
      <x:c r="E161" s="24" t="str">
        <x:v>Hoyalux iD LifeStyle 4i</x:v>
      </x:c>
      <x:c r="F161" s="24" t="str">
        <x:v>COLORIDAS</x:v>
      </x:c>
      <x:c r="G161" s="24" t="str">
        <x:v>EYVIA</x:v>
      </x:c>
      <x:c r="H161" s="24" t="str">
        <x:v>1.74</x:v>
      </x:c>
      <x:c r="I161" s="24" t="str">
        <x:v>Hi-Vision Sun Pro</x:v>
      </x:c>
      <x:c r="J161" s="40" t="n">
        <x:v>9749</x:v>
      </x:c>
      <x:c r="K161" s="24" t="str">
        <x:v>-13.00 até +8.00</x:v>
      </x:c>
      <x:c r="L161" s="24"/>
      <x:c r="M161" s="24"/>
      <x:c r="N161" s="24"/>
      <x:c r="O161" s="24"/>
      <x:c r="P161" s="24"/>
      <x:c r="Q161" s="24" t="str">
        <x:v>DISPONÍVEL</x:v>
      </x:c>
      <x:c r="R161" s="24"/>
      <x:c r="S161" s="24" t="n">
        <x:v>24</x:v>
      </x:c>
      <x:c r="T161" s="24" t="str">
        <x:v>tabela_hoya(1).pdf</x:v>
      </x:c>
      <x:c r="U161" s="24" t="str">
        <x:v>HOYA|Progressiva|Surfaçada|Hoyalux iD LifeStyle 4i|COLORIDAS|EYVIA|1.74|Hi-Vision Sun Pro|-13.00 até +8.00||||||24</x:v>
      </x:c>
    </x:row>
    <x:row r="162">
      <x:c r="A162" s="24" t="str">
        <x:v>HY-DBD40170F9FA</x:v>
      </x:c>
      <x:c r="B162" s="24" t="str">
        <x:v>HOYA</x:v>
      </x:c>
      <x:c r="C162" s="24" t="str">
        <x:v>Progressiva</x:v>
      </x:c>
      <x:c r="D162" s="24" t="str">
        <x:v>Surfaçada</x:v>
      </x:c>
      <x:c r="E162" s="24" t="str">
        <x:v>Hoyalux iD LifeStyle 4i</x:v>
      </x:c>
      <x:c r="F162" s="24" t="str">
        <x:v>COLORIDAS</x:v>
      </x:c>
      <x:c r="G162" s="24" t="str">
        <x:v>EYNOA</x:v>
      </x:c>
      <x:c r="H162" s="24" t="str">
        <x:v>1.67</x:v>
      </x:c>
      <x:c r="I162" s="24" t="str">
        <x:v>Hi-Vision Sun Pro</x:v>
      </x:c>
      <x:c r="J162" s="40" t="n">
        <x:v>7999</x:v>
      </x:c>
      <x:c r="K162" s="24" t="str">
        <x:v>-12.00 até +8.00</x:v>
      </x:c>
      <x:c r="L162" s="24"/>
      <x:c r="M162" s="24"/>
      <x:c r="N162" s="24"/>
      <x:c r="O162" s="24"/>
      <x:c r="P162" s="24"/>
      <x:c r="Q162" s="24" t="str">
        <x:v>DISPONÍVEL</x:v>
      </x:c>
      <x:c r="R162" s="24"/>
      <x:c r="S162" s="24" t="n">
        <x:v>24</x:v>
      </x:c>
      <x:c r="T162" s="24" t="str">
        <x:v>tabela_hoya(1).pdf</x:v>
      </x:c>
      <x:c r="U162" s="24" t="str">
        <x:v>HOYA|Progressiva|Surfaçada|Hoyalux iD LifeStyle 4i|COLORIDAS|EYNOA|1.67|Hi-Vision Sun Pro|-12.00 até +8.00||||||24</x:v>
      </x:c>
    </x:row>
    <x:row r="163">
      <x:c r="A163" s="24" t="str">
        <x:v>HY-75C8B46630F9</x:v>
      </x:c>
      <x:c r="B163" s="24" t="str">
        <x:v>HOYA</x:v>
      </x:c>
      <x:c r="C163" s="24" t="str">
        <x:v>Progressiva</x:v>
      </x:c>
      <x:c r="D163" s="24" t="str">
        <x:v>Surfaçada</x:v>
      </x:c>
      <x:c r="E163" s="24" t="str">
        <x:v>Hoyalux iD LifeStyle 4i</x:v>
      </x:c>
      <x:c r="F163" s="24" t="str">
        <x:v>COLORIDAS</x:v>
      </x:c>
      <x:c r="G163" s="24" t="str">
        <x:v>EYAS 2.0</x:v>
      </x:c>
      <x:c r="H163" s="24" t="str">
        <x:v>1.60</x:v>
      </x:c>
      <x:c r="I163" s="24" t="str">
        <x:v>Hi-Vision Sun Pro</x:v>
      </x:c>
      <x:c r="J163" s="40" t="n">
        <x:v>6199</x:v>
      </x:c>
      <x:c r="K163" s="24" t="str">
        <x:v>-10.00 até +8.00</x:v>
      </x:c>
      <x:c r="L163" s="24"/>
      <x:c r="M163" s="24"/>
      <x:c r="N163" s="24"/>
      <x:c r="O163" s="24"/>
      <x:c r="P163" s="24"/>
      <x:c r="Q163" s="24" t="str">
        <x:v>DISPONÍVEL</x:v>
      </x:c>
      <x:c r="R163" s="24"/>
      <x:c r="S163" s="24" t="n">
        <x:v>24</x:v>
      </x:c>
      <x:c r="T163" s="24" t="str">
        <x:v>tabela_hoya(1).pdf</x:v>
      </x:c>
      <x:c r="U163" s="24" t="str">
        <x:v>HOYA|Progressiva|Surfaçada|Hoyalux iD LifeStyle 4i|COLORIDAS|EYAS 2.0|1.60|Hi-Vision Sun Pro|-10.00 até +8.00||||||24</x:v>
      </x:c>
    </x:row>
    <x:row r="164">
      <x:c r="A164" s="24" t="str">
        <x:v>HY-E629DEE648B0</x:v>
      </x:c>
      <x:c r="B164" s="24" t="str">
        <x:v>HOYA</x:v>
      </x:c>
      <x:c r="C164" s="24" t="str">
        <x:v>Progressiva</x:v>
      </x:c>
      <x:c r="D164" s="24" t="str">
        <x:v>Surfaçada</x:v>
      </x:c>
      <x:c r="E164" s="24" t="str">
        <x:v>Hoyalux iD LifeStyle 4i</x:v>
      </x:c>
      <x:c r="F164" s="24" t="str">
        <x:v>COLORIDAS</x:v>
      </x:c>
      <x:c r="G164" s="24" t="str">
        <x:v>PNX</x:v>
      </x:c>
      <x:c r="H164" s="24" t="str">
        <x:v>1.53</x:v>
      </x:c>
      <x:c r="I164" s="24" t="str">
        <x:v>Hi-Vision Sun Pro</x:v>
      </x:c>
      <x:c r="J164" s="40" t="n">
        <x:v>5739</x:v>
      </x:c>
      <x:c r="K164" s="24" t="str">
        <x:v>-8.00 até +6.00</x:v>
      </x:c>
      <x:c r="L164" s="24"/>
      <x:c r="M164" s="24"/>
      <x:c r="N164" s="24"/>
      <x:c r="O164" s="24"/>
      <x:c r="P164" s="24"/>
      <x:c r="Q164" s="24" t="str">
        <x:v>DISPONÍVEL</x:v>
      </x:c>
      <x:c r="R164" s="24"/>
      <x:c r="S164" s="24" t="n">
        <x:v>24</x:v>
      </x:c>
      <x:c r="T164" s="24" t="str">
        <x:v>tabela_hoya(1).pdf</x:v>
      </x:c>
      <x:c r="U164" s="24" t="str">
        <x:v>HOYA|Progressiva|Surfaçada|Hoyalux iD LifeStyle 4i|COLORIDAS|PNX|1.53|Hi-Vision Sun Pro|-8.00 até +6.00||||||24</x:v>
      </x:c>
    </x:row>
    <x:row r="165">
      <x:c r="A165" s="24" t="str">
        <x:v>HY-210BC718039C</x:v>
      </x:c>
      <x:c r="B165" s="24" t="str">
        <x:v>HOYA</x:v>
      </x:c>
      <x:c r="C165" s="24" t="str">
        <x:v>Progressiva</x:v>
      </x:c>
      <x:c r="D165" s="24" t="str">
        <x:v>Surfaçada</x:v>
      </x:c>
      <x:c r="E165" s="24" t="str">
        <x:v>Hoyalux iD LifeStyle 4i</x:v>
      </x:c>
      <x:c r="F165" s="24" t="str">
        <x:v>COLORIDAS</x:v>
      </x:c>
      <x:c r="G165" s="24" t="str">
        <x:v>ORGANIC</x:v>
      </x:c>
      <x:c r="H165" s="24" t="str">
        <x:v>1.50</x:v>
      </x:c>
      <x:c r="I165" s="24" t="str">
        <x:v>Hi-Vision Sun Pro</x:v>
      </x:c>
      <x:c r="J165" s="40" t="n">
        <x:v>5389</x:v>
      </x:c>
      <x:c r="K165" s="24" t="str">
        <x:v>-8.00 até +6.00</x:v>
      </x:c>
      <x:c r="L165" s="24"/>
      <x:c r="M165" s="24"/>
      <x:c r="N165" s="24"/>
      <x:c r="O165" s="24"/>
      <x:c r="P165" s="24"/>
      <x:c r="Q165" s="24" t="str">
        <x:v>DISPONÍVEL</x:v>
      </x:c>
      <x:c r="R165" s="24"/>
      <x:c r="S165" s="24" t="n">
        <x:v>24</x:v>
      </x:c>
      <x:c r="T165" s="24" t="str">
        <x:v>tabela_hoya(1).pdf</x:v>
      </x:c>
      <x:c r="U165" s="24" t="str">
        <x:v>HOYA|Progressiva|Surfaçada|Hoyalux iD LifeStyle 4i|COLORIDAS|ORGANIC|1.50|Hi-Vision Sun Pro|-8.00 até +6.00||||||24</x:v>
      </x:c>
    </x:row>
    <x:row r="166">
      <x:c r="A166" s="24" t="str">
        <x:v>HY-BA46E420C433</x:v>
      </x:c>
      <x:c r="B166" s="24" t="str">
        <x:v>HOYA</x:v>
      </x:c>
      <x:c r="C166" s="24" t="str">
        <x:v>Progressiva</x:v>
      </x:c>
      <x:c r="D166" s="24" t="str">
        <x:v>Surfaçada</x:v>
      </x:c>
      <x:c r="E166" s="24" t="str">
        <x:v>Hoyalux iD LifeStyle 4i</x:v>
      </x:c>
      <x:c r="F166" s="24" t="str">
        <x:v>SENSITY 2</x:v>
      </x:c>
      <x:c r="G166" s="24" t="str">
        <x:v>EYNOA</x:v>
      </x:c>
      <x:c r="H166" s="24" t="str">
        <x:v>1.67</x:v>
      </x:c>
      <x:c r="I166" s="24" t="str">
        <x:v>Hi-Vision Meiryo</x:v>
      </x:c>
      <x:c r="J166" s="40" t="n">
        <x:v>9559</x:v>
      </x:c>
      <x:c r="K166" s="24" t="str">
        <x:v>-12.00 até +8.00</x:v>
      </x:c>
      <x:c r="L166" s="24"/>
      <x:c r="M166" s="24"/>
      <x:c r="N166" s="24"/>
      <x:c r="O166" s="24"/>
      <x:c r="P166" s="24"/>
      <x:c r="Q166" s="24" t="str">
        <x:v>DISPONÍVEL</x:v>
      </x:c>
      <x:c r="R166" s="24"/>
      <x:c r="S166" s="24" t="n">
        <x:v>24</x:v>
      </x:c>
      <x:c r="T166" s="24" t="str">
        <x:v>tabela_hoya(1).pdf</x:v>
      </x:c>
      <x:c r="U166" s="24" t="str">
        <x:v>HOYA|Progressiva|Surfaçada|Hoyalux iD LifeStyle 4i|SENSITY 2|EYNOA|1.67|Hi-Vision Meiryo|-12.00 até +8.00||||||24</x:v>
      </x:c>
    </x:row>
    <x:row r="167">
      <x:c r="A167" s="24" t="str">
        <x:v>HY-71D5BF3E5CEA</x:v>
      </x:c>
      <x:c r="B167" s="24" t="str">
        <x:v>HOYA</x:v>
      </x:c>
      <x:c r="C167" s="24" t="str">
        <x:v>Progressiva</x:v>
      </x:c>
      <x:c r="D167" s="24" t="str">
        <x:v>Surfaçada</x:v>
      </x:c>
      <x:c r="E167" s="24" t="str">
        <x:v>Hoyalux iD LifeStyle 4i</x:v>
      </x:c>
      <x:c r="F167" s="24" t="str">
        <x:v>SENSITY 2</x:v>
      </x:c>
      <x:c r="G167" s="24" t="str">
        <x:v>EYAS 2.0</x:v>
      </x:c>
      <x:c r="H167" s="24" t="str">
        <x:v>1.60</x:v>
      </x:c>
      <x:c r="I167" s="24" t="str">
        <x:v>Hi-Vision Meiryo</x:v>
      </x:c>
      <x:c r="J167" s="40" t="n">
        <x:v>7759</x:v>
      </x:c>
      <x:c r="K167" s="24" t="str">
        <x:v>-10.00 até +8.00</x:v>
      </x:c>
      <x:c r="L167" s="24"/>
      <x:c r="M167" s="24"/>
      <x:c r="N167" s="24"/>
      <x:c r="O167" s="24"/>
      <x:c r="P167" s="24"/>
      <x:c r="Q167" s="24" t="str">
        <x:v>DISPONÍVEL</x:v>
      </x:c>
      <x:c r="R167" s="24"/>
      <x:c r="S167" s="24" t="n">
        <x:v>24</x:v>
      </x:c>
      <x:c r="T167" s="24" t="str">
        <x:v>tabela_hoya(1).pdf</x:v>
      </x:c>
      <x:c r="U167" s="24" t="str">
        <x:v>HOYA|Progressiva|Surfaçada|Hoyalux iD LifeStyle 4i|SENSITY 2|EYAS 2.0|1.60|Hi-Vision Meiryo|-10.00 até +8.00||||||24</x:v>
      </x:c>
    </x:row>
    <x:row r="168">
      <x:c r="A168" s="24" t="str">
        <x:v>HY-7BF2F36EED85</x:v>
      </x:c>
      <x:c r="B168" s="24" t="str">
        <x:v>HOYA</x:v>
      </x:c>
      <x:c r="C168" s="24" t="str">
        <x:v>Progressiva</x:v>
      </x:c>
      <x:c r="D168" s="24" t="str">
        <x:v>Surfaçada</x:v>
      </x:c>
      <x:c r="E168" s="24" t="str">
        <x:v>Hoyalux iD LifeStyle 4i</x:v>
      </x:c>
      <x:c r="F168" s="24" t="str">
        <x:v>SENSITY 2</x:v>
      </x:c>
      <x:c r="G168" s="24" t="str">
        <x:v>PNX</x:v>
      </x:c>
      <x:c r="H168" s="24" t="str">
        <x:v>1.53</x:v>
      </x:c>
      <x:c r="I168" s="24" t="str">
        <x:v>Hi-Vision Meiryo</x:v>
      </x:c>
      <x:c r="J168" s="40" t="n">
        <x:v>7299</x:v>
      </x:c>
      <x:c r="K168" s="24" t="str">
        <x:v>-8.00 até +6.00</x:v>
      </x:c>
      <x:c r="L168" s="24"/>
      <x:c r="M168" s="24"/>
      <x:c r="N168" s="24"/>
      <x:c r="O168" s="24"/>
      <x:c r="P168" s="24"/>
      <x:c r="Q168" s="24" t="str">
        <x:v>DISPONÍVEL</x:v>
      </x:c>
      <x:c r="R168" s="24"/>
      <x:c r="S168" s="24" t="n">
        <x:v>24</x:v>
      </x:c>
      <x:c r="T168" s="24" t="str">
        <x:v>tabela_hoya(1).pdf</x:v>
      </x:c>
      <x:c r="U168" s="24" t="str">
        <x:v>HOYA|Progressiva|Surfaçada|Hoyalux iD LifeStyle 4i|SENSITY 2|PNX|1.53|Hi-Vision Meiryo|-8.00 até +6.00||||||24</x:v>
      </x:c>
    </x:row>
    <x:row r="169">
      <x:c r="A169" s="24" t="str">
        <x:v>HY-6A3D1C1ADD40</x:v>
      </x:c>
      <x:c r="B169" s="24" t="str">
        <x:v>HOYA</x:v>
      </x:c>
      <x:c r="C169" s="24" t="str">
        <x:v>Progressiva</x:v>
      </x:c>
      <x:c r="D169" s="24" t="str">
        <x:v>Surfaçada</x:v>
      </x:c>
      <x:c r="E169" s="24" t="str">
        <x:v>Hoyalux iD LifeStyle 4i</x:v>
      </x:c>
      <x:c r="F169" s="24" t="str">
        <x:v>SENSITY 2</x:v>
      </x:c>
      <x:c r="G169" s="24" t="str">
        <x:v>ORGANIC</x:v>
      </x:c>
      <x:c r="H169" s="24" t="str">
        <x:v>1.50</x:v>
      </x:c>
      <x:c r="I169" s="24" t="str">
        <x:v>Hi-Vision Meiryo</x:v>
      </x:c>
      <x:c r="J169" s="40" t="n">
        <x:v>6949</x:v>
      </x:c>
      <x:c r="K169" s="24" t="str">
        <x:v>-8.00 até +6.00</x:v>
      </x:c>
      <x:c r="L169" s="24"/>
      <x:c r="M169" s="24"/>
      <x:c r="N169" s="24"/>
      <x:c r="O169" s="24"/>
      <x:c r="P169" s="24"/>
      <x:c r="Q169" s="24" t="str">
        <x:v>DISPONÍVEL</x:v>
      </x:c>
      <x:c r="R169" s="24"/>
      <x:c r="S169" s="24" t="n">
        <x:v>24</x:v>
      </x:c>
      <x:c r="T169" s="24" t="str">
        <x:v>tabela_hoya(1).pdf</x:v>
      </x:c>
      <x:c r="U169" s="24" t="str">
        <x:v>HOYA|Progressiva|Surfaçada|Hoyalux iD LifeStyle 4i|SENSITY 2|ORGANIC|1.50|Hi-Vision Meiryo|-8.00 até +6.00||||||24</x:v>
      </x:c>
    </x:row>
    <x:row r="170">
      <x:c r="A170" s="24" t="str">
        <x:v>HY-35A602E6E5E5</x:v>
      </x:c>
      <x:c r="B170" s="24" t="str">
        <x:v>HOYA</x:v>
      </x:c>
      <x:c r="C170" s="24" t="str">
        <x:v>Progressiva</x:v>
      </x:c>
      <x:c r="D170" s="24" t="str">
        <x:v>Surfaçada</x:v>
      </x:c>
      <x:c r="E170" s="24" t="str">
        <x:v>Hoyalux iD LifeStyle 4i</x:v>
      </x:c>
      <x:c r="F170" s="24" t="str">
        <x:v>SENSITY 2</x:v>
      </x:c>
      <x:c r="G170" s="24" t="str">
        <x:v>EYNOA</x:v>
      </x:c>
      <x:c r="H170" s="24" t="str">
        <x:v>1.67</x:v>
      </x:c>
      <x:c r="I170" s="24" t="str">
        <x:v>Hi-Vision LongLife BlueControl</x:v>
      </x:c>
      <x:c r="J170" s="40" t="n">
        <x:v>9359</x:v>
      </x:c>
      <x:c r="K170" s="24" t="str">
        <x:v>-12.00 até +8.00</x:v>
      </x:c>
      <x:c r="L170" s="24"/>
      <x:c r="M170" s="24"/>
      <x:c r="N170" s="24"/>
      <x:c r="O170" s="24"/>
      <x:c r="P170" s="24"/>
      <x:c r="Q170" s="24" t="str">
        <x:v>DISPONÍVEL</x:v>
      </x:c>
      <x:c r="R170" s="24"/>
      <x:c r="S170" s="24" t="n">
        <x:v>24</x:v>
      </x:c>
      <x:c r="T170" s="24" t="str">
        <x:v>tabela_hoya(1).pdf</x:v>
      </x:c>
      <x:c r="U170" s="24" t="str">
        <x:v>HOYA|Progressiva|Surfaçada|Hoyalux iD LifeStyle 4i|SENSITY 2|EYNOA|1.67|Hi-Vision LongLife BlueControl|-12.00 até +8.00||||||24</x:v>
      </x:c>
    </x:row>
    <x:row r="171">
      <x:c r="A171" s="24" t="str">
        <x:v>HY-4D877D6AB47B</x:v>
      </x:c>
      <x:c r="B171" s="24" t="str">
        <x:v>HOYA</x:v>
      </x:c>
      <x:c r="C171" s="24" t="str">
        <x:v>Progressiva</x:v>
      </x:c>
      <x:c r="D171" s="24" t="str">
        <x:v>Surfaçada</x:v>
      </x:c>
      <x:c r="E171" s="24" t="str">
        <x:v>Hoyalux iD LifeStyle 4i</x:v>
      </x:c>
      <x:c r="F171" s="24" t="str">
        <x:v>SENSITY 2</x:v>
      </x:c>
      <x:c r="G171" s="24" t="str">
        <x:v>EYAS 2.0</x:v>
      </x:c>
      <x:c r="H171" s="24" t="str">
        <x:v>1.60</x:v>
      </x:c>
      <x:c r="I171" s="24" t="str">
        <x:v>Hi-Vision LongLife BlueControl</x:v>
      </x:c>
      <x:c r="J171" s="40" t="n">
        <x:v>7559</x:v>
      </x:c>
      <x:c r="K171" s="24" t="str">
        <x:v>-10.00 até +8.00</x:v>
      </x:c>
      <x:c r="L171" s="24"/>
      <x:c r="M171" s="24"/>
      <x:c r="N171" s="24"/>
      <x:c r="O171" s="24"/>
      <x:c r="P171" s="24"/>
      <x:c r="Q171" s="24" t="str">
        <x:v>DISPONÍVEL</x:v>
      </x:c>
      <x:c r="R171" s="24"/>
      <x:c r="S171" s="24" t="n">
        <x:v>24</x:v>
      </x:c>
      <x:c r="T171" s="24" t="str">
        <x:v>tabela_hoya(1).pdf</x:v>
      </x:c>
      <x:c r="U171" s="24" t="str">
        <x:v>HOYA|Progressiva|Surfaçada|Hoyalux iD LifeStyle 4i|SENSITY 2|EYAS 2.0|1.60|Hi-Vision LongLife BlueControl|-10.00 até +8.00||||||24</x:v>
      </x:c>
    </x:row>
    <x:row r="172">
      <x:c r="A172" s="24" t="str">
        <x:v>HY-821E7D096EDE</x:v>
      </x:c>
      <x:c r="B172" s="24" t="str">
        <x:v>HOYA</x:v>
      </x:c>
      <x:c r="C172" s="24" t="str">
        <x:v>Progressiva</x:v>
      </x:c>
      <x:c r="D172" s="24" t="str">
        <x:v>Surfaçada</x:v>
      </x:c>
      <x:c r="E172" s="24" t="str">
        <x:v>Hoyalux iD LifeStyle 4i</x:v>
      </x:c>
      <x:c r="F172" s="24" t="str">
        <x:v>SENSITY 2</x:v>
      </x:c>
      <x:c r="G172" s="24" t="str">
        <x:v>PNX</x:v>
      </x:c>
      <x:c r="H172" s="24" t="str">
        <x:v>1.53</x:v>
      </x:c>
      <x:c r="I172" s="24" t="str">
        <x:v>Hi-Vision LongLife BlueControl</x:v>
      </x:c>
      <x:c r="J172" s="40" t="n">
        <x:v>7099</x:v>
      </x:c>
      <x:c r="K172" s="24" t="str">
        <x:v>-8.00 até +6.00</x:v>
      </x:c>
      <x:c r="L172" s="24"/>
      <x:c r="M172" s="24"/>
      <x:c r="N172" s="24"/>
      <x:c r="O172" s="24"/>
      <x:c r="P172" s="24"/>
      <x:c r="Q172" s="24" t="str">
        <x:v>DISPONÍVEL</x:v>
      </x:c>
      <x:c r="R172" s="24"/>
      <x:c r="S172" s="24" t="n">
        <x:v>24</x:v>
      </x:c>
      <x:c r="T172" s="24" t="str">
        <x:v>tabela_hoya(1).pdf</x:v>
      </x:c>
      <x:c r="U172" s="24" t="str">
        <x:v>HOYA|Progressiva|Surfaçada|Hoyalux iD LifeStyle 4i|SENSITY 2|PNX|1.53|Hi-Vision LongLife BlueControl|-8.00 até +6.00||||||24</x:v>
      </x:c>
    </x:row>
    <x:row r="173">
      <x:c r="A173" s="24" t="str">
        <x:v>HY-56435222B01A</x:v>
      </x:c>
      <x:c r="B173" s="24" t="str">
        <x:v>HOYA</x:v>
      </x:c>
      <x:c r="C173" s="24" t="str">
        <x:v>Progressiva</x:v>
      </x:c>
      <x:c r="D173" s="24" t="str">
        <x:v>Surfaçada</x:v>
      </x:c>
      <x:c r="E173" s="24" t="str">
        <x:v>Hoyalux iD LifeStyle 4i</x:v>
      </x:c>
      <x:c r="F173" s="24" t="str">
        <x:v>SENSITY 2</x:v>
      </x:c>
      <x:c r="G173" s="24" t="str">
        <x:v>ORGANIC</x:v>
      </x:c>
      <x:c r="H173" s="24" t="str">
        <x:v>1.50</x:v>
      </x:c>
      <x:c r="I173" s="24" t="str">
        <x:v>Hi-Vision LongLife BlueControl</x:v>
      </x:c>
      <x:c r="J173" s="40" t="n">
        <x:v>6749</x:v>
      </x:c>
      <x:c r="K173" s="24" t="str">
        <x:v>-8.00 até +6.00</x:v>
      </x:c>
      <x:c r="L173" s="24"/>
      <x:c r="M173" s="24"/>
      <x:c r="N173" s="24"/>
      <x:c r="O173" s="24"/>
      <x:c r="P173" s="24"/>
      <x:c r="Q173" s="24" t="str">
        <x:v>DISPONÍVEL</x:v>
      </x:c>
      <x:c r="R173" s="24"/>
      <x:c r="S173" s="24" t="n">
        <x:v>24</x:v>
      </x:c>
      <x:c r="T173" s="24" t="str">
        <x:v>tabela_hoya(1).pdf</x:v>
      </x:c>
      <x:c r="U173" s="24" t="str">
        <x:v>HOYA|Progressiva|Surfaçada|Hoyalux iD LifeStyle 4i|SENSITY 2|ORGANIC|1.50|Hi-Vision LongLife BlueControl|-8.00 até +6.00||||||24</x:v>
      </x:c>
    </x:row>
    <x:row r="174">
      <x:c r="A174" s="24" t="str">
        <x:v>HY-9E5B3DD2840A</x:v>
      </x:c>
      <x:c r="B174" s="24" t="str">
        <x:v>HOYA</x:v>
      </x:c>
      <x:c r="C174" s="24" t="str">
        <x:v>Progressiva</x:v>
      </x:c>
      <x:c r="D174" s="24" t="str">
        <x:v>Surfaçada</x:v>
      </x:c>
      <x:c r="E174" s="24" t="str">
        <x:v>Hoyalux iD LifeStyle 4i</x:v>
      </x:c>
      <x:c r="F174" s="24" t="str">
        <x:v>SENSITY 2</x:v>
      </x:c>
      <x:c r="G174" s="24" t="str">
        <x:v>EYNOA</x:v>
      </x:c>
      <x:c r="H174" s="24" t="str">
        <x:v>1.67</x:v>
      </x:c>
      <x:c r="I174" s="24" t="str">
        <x:v>No-Risk BlueControl</x:v>
      </x:c>
      <x:c r="J174" s="40" t="n">
        <x:v>9109</x:v>
      </x:c>
      <x:c r="K174" s="24" t="str">
        <x:v>-12.00 até +8.00</x:v>
      </x:c>
      <x:c r="L174" s="24"/>
      <x:c r="M174" s="24"/>
      <x:c r="N174" s="24"/>
      <x:c r="O174" s="24"/>
      <x:c r="P174" s="24"/>
      <x:c r="Q174" s="24" t="str">
        <x:v>DISPONÍVEL</x:v>
      </x:c>
      <x:c r="R174" s="24"/>
      <x:c r="S174" s="24" t="n">
        <x:v>24</x:v>
      </x:c>
      <x:c r="T174" s="24" t="str">
        <x:v>tabela_hoya(1).pdf</x:v>
      </x:c>
      <x:c r="U174" s="24" t="str">
        <x:v>HOYA|Progressiva|Surfaçada|Hoyalux iD LifeStyle 4i|SENSITY 2|EYNOA|1.67|No-Risk BlueControl|-12.00 até +8.00||||||24</x:v>
      </x:c>
    </x:row>
    <x:row r="175">
      <x:c r="A175" s="24" t="str">
        <x:v>HY-D6D4EDDBA13E</x:v>
      </x:c>
      <x:c r="B175" s="24" t="str">
        <x:v>HOYA</x:v>
      </x:c>
      <x:c r="C175" s="24" t="str">
        <x:v>Progressiva</x:v>
      </x:c>
      <x:c r="D175" s="24" t="str">
        <x:v>Surfaçada</x:v>
      </x:c>
      <x:c r="E175" s="24" t="str">
        <x:v>Hoyalux iD LifeStyle 4i</x:v>
      </x:c>
      <x:c r="F175" s="24" t="str">
        <x:v>SENSITY 2</x:v>
      </x:c>
      <x:c r="G175" s="24" t="str">
        <x:v>EYAS 2.0</x:v>
      </x:c>
      <x:c r="H175" s="24" t="str">
        <x:v>1.60</x:v>
      </x:c>
      <x:c r="I175" s="24" t="str">
        <x:v>No-Risk BlueControl</x:v>
      </x:c>
      <x:c r="J175" s="40" t="n">
        <x:v>7309</x:v>
      </x:c>
      <x:c r="K175" s="24" t="str">
        <x:v>-10.00 até +8.00</x:v>
      </x:c>
      <x:c r="L175" s="24"/>
      <x:c r="M175" s="24"/>
      <x:c r="N175" s="24"/>
      <x:c r="O175" s="24"/>
      <x:c r="P175" s="24"/>
      <x:c r="Q175" s="24" t="str">
        <x:v>DISPONÍVEL</x:v>
      </x:c>
      <x:c r="R175" s="24"/>
      <x:c r="S175" s="24" t="n">
        <x:v>24</x:v>
      </x:c>
      <x:c r="T175" s="24" t="str">
        <x:v>tabela_hoya(1).pdf</x:v>
      </x:c>
      <x:c r="U175" s="24" t="str">
        <x:v>HOYA|Progressiva|Surfaçada|Hoyalux iD LifeStyle 4i|SENSITY 2|EYAS 2.0|1.60|No-Risk BlueControl|-10.00 até +8.00||||||24</x:v>
      </x:c>
    </x:row>
    <x:row r="176">
      <x:c r="A176" s="24" t="str">
        <x:v>HY-1D8B94EE2638</x:v>
      </x:c>
      <x:c r="B176" s="24" t="str">
        <x:v>HOYA</x:v>
      </x:c>
      <x:c r="C176" s="24" t="str">
        <x:v>Progressiva</x:v>
      </x:c>
      <x:c r="D176" s="24" t="str">
        <x:v>Surfaçada</x:v>
      </x:c>
      <x:c r="E176" s="24" t="str">
        <x:v>Hoyalux iD LifeStyle 4i</x:v>
      </x:c>
      <x:c r="F176" s="24" t="str">
        <x:v>SENSITY 2</x:v>
      </x:c>
      <x:c r="G176" s="24" t="str">
        <x:v>PNX</x:v>
      </x:c>
      <x:c r="H176" s="24" t="str">
        <x:v>1.53</x:v>
      </x:c>
      <x:c r="I176" s="24" t="str">
        <x:v>No-Risk BlueControl</x:v>
      </x:c>
      <x:c r="J176" s="40" t="n">
        <x:v>6849</x:v>
      </x:c>
      <x:c r="K176" s="24" t="str">
        <x:v>-8.00 até +6.00</x:v>
      </x:c>
      <x:c r="L176" s="24"/>
      <x:c r="M176" s="24"/>
      <x:c r="N176" s="24"/>
      <x:c r="O176" s="24"/>
      <x:c r="P176" s="24"/>
      <x:c r="Q176" s="24" t="str">
        <x:v>DISPONÍVEL</x:v>
      </x:c>
      <x:c r="R176" s="24"/>
      <x:c r="S176" s="24" t="n">
        <x:v>24</x:v>
      </x:c>
      <x:c r="T176" s="24" t="str">
        <x:v>tabela_hoya(1).pdf</x:v>
      </x:c>
      <x:c r="U176" s="24" t="str">
        <x:v>HOYA|Progressiva|Surfaçada|Hoyalux iD LifeStyle 4i|SENSITY 2|PNX|1.53|No-Risk BlueControl|-8.00 até +6.00||||||24</x:v>
      </x:c>
    </x:row>
    <x:row r="177">
      <x:c r="A177" s="24" t="str">
        <x:v>HY-F6B49AADB1BD</x:v>
      </x:c>
      <x:c r="B177" s="24" t="str">
        <x:v>HOYA</x:v>
      </x:c>
      <x:c r="C177" s="24" t="str">
        <x:v>Progressiva</x:v>
      </x:c>
      <x:c r="D177" s="24" t="str">
        <x:v>Surfaçada</x:v>
      </x:c>
      <x:c r="E177" s="24" t="str">
        <x:v>Hoyalux iD LifeStyle 4i</x:v>
      </x:c>
      <x:c r="F177" s="24" t="str">
        <x:v>SENSITY 2</x:v>
      </x:c>
      <x:c r="G177" s="24" t="str">
        <x:v>ORGANIC</x:v>
      </x:c>
      <x:c r="H177" s="24" t="str">
        <x:v>1.50</x:v>
      </x:c>
      <x:c r="I177" s="24" t="str">
        <x:v>No-Risk BlueControl</x:v>
      </x:c>
      <x:c r="J177" s="40" t="n">
        <x:v>6499</x:v>
      </x:c>
      <x:c r="K177" s="24" t="str">
        <x:v>-8.00 até +6.00</x:v>
      </x:c>
      <x:c r="L177" s="24"/>
      <x:c r="M177" s="24"/>
      <x:c r="N177" s="24"/>
      <x:c r="O177" s="24"/>
      <x:c r="P177" s="24"/>
      <x:c r="Q177" s="24" t="str">
        <x:v>DISPONÍVEL</x:v>
      </x:c>
      <x:c r="R177" s="24"/>
      <x:c r="S177" s="24" t="n">
        <x:v>24</x:v>
      </x:c>
      <x:c r="T177" s="24" t="str">
        <x:v>tabela_hoya(1).pdf</x:v>
      </x:c>
      <x:c r="U177" s="24" t="str">
        <x:v>HOYA|Progressiva|Surfaçada|Hoyalux iD LifeStyle 4i|SENSITY 2|ORGANIC|1.50|No-Risk BlueControl|-8.00 até +6.00||||||24</x:v>
      </x:c>
    </x:row>
    <x:row r="178">
      <x:c r="A178" s="24" t="str">
        <x:v>HY-7B540893BDC1</x:v>
      </x:c>
      <x:c r="B178" s="24" t="str">
        <x:v>HOYA</x:v>
      </x:c>
      <x:c r="C178" s="24" t="str">
        <x:v>Progressiva</x:v>
      </x:c>
      <x:c r="D178" s="24" t="str">
        <x:v>Surfaçada</x:v>
      </x:c>
      <x:c r="E178" s="24" t="str">
        <x:v>Hoyalux iD LifeStyle 4i</x:v>
      </x:c>
      <x:c r="F178" s="24" t="str">
        <x:v>POLARIZADO</x:v>
      </x:c>
      <x:c r="G178" s="24" t="str">
        <x:v>EYNOA</x:v>
      </x:c>
      <x:c r="H178" s="24" t="str">
        <x:v>1.67</x:v>
      </x:c>
      <x:c r="I178" s="24" t="str">
        <x:v>Hi-Vision Sun Pro</x:v>
      </x:c>
      <x:c r="J178" s="40" t="n">
        <x:v>8859</x:v>
      </x:c>
      <x:c r="K178" s="24" t="str">
        <x:v>-12.00 até +8.00</x:v>
      </x:c>
      <x:c r="L178" s="24"/>
      <x:c r="M178" s="24"/>
      <x:c r="N178" s="24"/>
      <x:c r="O178" s="24"/>
      <x:c r="P178" s="24"/>
      <x:c r="Q178" s="24" t="str">
        <x:v>DISPONÍVEL</x:v>
      </x:c>
      <x:c r="R178" s="24"/>
      <x:c r="S178" s="24" t="n">
        <x:v>24</x:v>
      </x:c>
      <x:c r="T178" s="24" t="str">
        <x:v>tabela_hoya(1).pdf</x:v>
      </x:c>
      <x:c r="U178" s="24" t="str">
        <x:v>HOYA|Progressiva|Surfaçada|Hoyalux iD LifeStyle 4i|POLARIZADO|EYNOA|1.67|Hi-Vision Sun Pro|-12.00 até +8.00||||||24</x:v>
      </x:c>
    </x:row>
    <x:row r="179">
      <x:c r="A179" s="24" t="str">
        <x:v>HY-F3FB57125ED4</x:v>
      </x:c>
      <x:c r="B179" s="24" t="str">
        <x:v>HOYA</x:v>
      </x:c>
      <x:c r="C179" s="24" t="str">
        <x:v>Progressiva</x:v>
      </x:c>
      <x:c r="D179" s="24" t="str">
        <x:v>Surfaçada</x:v>
      </x:c>
      <x:c r="E179" s="24" t="str">
        <x:v>Hoyalux iD LifeStyle 4i</x:v>
      </x:c>
      <x:c r="F179" s="24" t="str">
        <x:v>POLARIZADO</x:v>
      </x:c>
      <x:c r="G179" s="24" t="str">
        <x:v>EYAS 2.0</x:v>
      </x:c>
      <x:c r="H179" s="24" t="str">
        <x:v>1.60</x:v>
      </x:c>
      <x:c r="I179" s="24" t="str">
        <x:v>Hi-Vision Sun Pro</x:v>
      </x:c>
      <x:c r="J179" s="40" t="n">
        <x:v>7059</x:v>
      </x:c>
      <x:c r="K179" s="24" t="str">
        <x:v>-10.00 até +8.00</x:v>
      </x:c>
      <x:c r="L179" s="24"/>
      <x:c r="M179" s="24"/>
      <x:c r="N179" s="24"/>
      <x:c r="O179" s="24"/>
      <x:c r="P179" s="24"/>
      <x:c r="Q179" s="24" t="str">
        <x:v>DISPONÍVEL</x:v>
      </x:c>
      <x:c r="R179" s="24"/>
      <x:c r="S179" s="24" t="n">
        <x:v>24</x:v>
      </x:c>
      <x:c r="T179" s="24" t="str">
        <x:v>tabela_hoya(1).pdf</x:v>
      </x:c>
      <x:c r="U179" s="24" t="str">
        <x:v>HOYA|Progressiva|Surfaçada|Hoyalux iD LifeStyle 4i|POLARIZADO|EYAS 2.0|1.60|Hi-Vision Sun Pro|-10.00 até +8.00||||||24</x:v>
      </x:c>
    </x:row>
    <x:row r="180">
      <x:c r="A180" s="24" t="str">
        <x:v>HY-1FDAABFEF3F7</x:v>
      </x:c>
      <x:c r="B180" s="24" t="str">
        <x:v>HOYA</x:v>
      </x:c>
      <x:c r="C180" s="24" t="str">
        <x:v>Progressiva</x:v>
      </x:c>
      <x:c r="D180" s="24" t="str">
        <x:v>Surfaçada</x:v>
      </x:c>
      <x:c r="E180" s="24" t="str">
        <x:v>Hoyalux iD LifeStyle 4i</x:v>
      </x:c>
      <x:c r="F180" s="24" t="str">
        <x:v>POLARIZADO</x:v>
      </x:c>
      <x:c r="G180" s="24" t="str">
        <x:v>PNX</x:v>
      </x:c>
      <x:c r="H180" s="24" t="str">
        <x:v>1.53</x:v>
      </x:c>
      <x:c r="I180" s="24" t="str">
        <x:v>Hi-Vision Sun Pro</x:v>
      </x:c>
      <x:c r="J180" s="40" t="n">
        <x:v>6599</x:v>
      </x:c>
      <x:c r="K180" s="24" t="str">
        <x:v>-8.00 até +6.00</x:v>
      </x:c>
      <x:c r="L180" s="24"/>
      <x:c r="M180" s="24"/>
      <x:c r="N180" s="24"/>
      <x:c r="O180" s="24"/>
      <x:c r="P180" s="24"/>
      <x:c r="Q180" s="24" t="str">
        <x:v>DISPONÍVEL</x:v>
      </x:c>
      <x:c r="R180" s="24"/>
      <x:c r="S180" s="24" t="n">
        <x:v>24</x:v>
      </x:c>
      <x:c r="T180" s="24" t="str">
        <x:v>tabela_hoya(1).pdf</x:v>
      </x:c>
      <x:c r="U180" s="24" t="str">
        <x:v>HOYA|Progressiva|Surfaçada|Hoyalux iD LifeStyle 4i|POLARIZADO|PNX|1.53|Hi-Vision Sun Pro|-8.00 até +6.00||||||24</x:v>
      </x:c>
    </x:row>
    <x:row r="181">
      <x:c r="A181" s="24" t="str">
        <x:v>HY-782A65D23D19</x:v>
      </x:c>
      <x:c r="B181" s="24" t="str">
        <x:v>HOYA</x:v>
      </x:c>
      <x:c r="C181" s="24" t="str">
        <x:v>Progressiva</x:v>
      </x:c>
      <x:c r="D181" s="24" t="str">
        <x:v>Surfaçada</x:v>
      </x:c>
      <x:c r="E181" s="24" t="str">
        <x:v>Hoyalux iD LifeStyle 4i</x:v>
      </x:c>
      <x:c r="F181" s="24" t="str">
        <x:v>POLARIZADO</x:v>
      </x:c>
      <x:c r="G181" s="24" t="str">
        <x:v>ORGANIC</x:v>
      </x:c>
      <x:c r="H181" s="24" t="str">
        <x:v>1.50</x:v>
      </x:c>
      <x:c r="I181" s="24" t="str">
        <x:v>Hi-Vision Sun Pro</x:v>
      </x:c>
      <x:c r="J181" s="40" t="n">
        <x:v>6249</x:v>
      </x:c>
      <x:c r="K181" s="24" t="str">
        <x:v>-8.00 até +6.00</x:v>
      </x:c>
      <x:c r="L181" s="24"/>
      <x:c r="M181" s="24"/>
      <x:c r="N181" s="24"/>
      <x:c r="O181" s="24"/>
      <x:c r="P181" s="24"/>
      <x:c r="Q181" s="24" t="str">
        <x:v>DISPONÍVEL</x:v>
      </x:c>
      <x:c r="R181" s="24"/>
      <x:c r="S181" s="24" t="n">
        <x:v>24</x:v>
      </x:c>
      <x:c r="T181" s="24" t="str">
        <x:v>tabela_hoya(1).pdf</x:v>
      </x:c>
      <x:c r="U181" s="24" t="str">
        <x:v>HOYA|Progressiva|Surfaçada|Hoyalux iD LifeStyle 4i|POLARIZADO|ORGANIC|1.50|Hi-Vision Sun Pro|-8.00 até +6.00||||||24</x:v>
      </x:c>
    </x:row>
    <x:row r="182">
      <x:c r="A182" s="24" t="str">
        <x:v>HY-A301553D5147</x:v>
      </x:c>
      <x:c r="B182" s="24" t="str">
        <x:v>HOYA</x:v>
      </x:c>
      <x:c r="C182" s="24" t="str">
        <x:v>Progressiva</x:v>
      </x:c>
      <x:c r="D182" s="24" t="str">
        <x:v>Surfaçada</x:v>
      </x:c>
      <x:c r="E182" s="24" t="str">
        <x:v>Hoyalux iD LifeStyle 4</x:v>
      </x:c>
      <x:c r="F182" s="24" t="str">
        <x:v>INCOLOR</x:v>
      </x:c>
      <x:c r="G182" s="24" t="str">
        <x:v>EYVIA</x:v>
      </x:c>
      <x:c r="H182" s="24" t="str">
        <x:v>1.74</x:v>
      </x:c>
      <x:c r="I182" s="24" t="str">
        <x:v>Hi-Vision Meiryo</x:v>
      </x:c>
      <x:c r="J182" s="40" t="n">
        <x:v>9509</x:v>
      </x:c>
      <x:c r="K182" s="24" t="str">
        <x:v>-13.00 até +8.00</x:v>
      </x:c>
      <x:c r="L182" s="24"/>
      <x:c r="M182" s="24"/>
      <x:c r="N182" s="24"/>
      <x:c r="O182" s="24"/>
      <x:c r="P182" s="24"/>
      <x:c r="Q182" s="24" t="str">
        <x:v>DISPONÍVEL</x:v>
      </x:c>
      <x:c r="R182" s="24"/>
      <x:c r="S182" s="24" t="n">
        <x:v>25</x:v>
      </x:c>
      <x:c r="T182" s="24" t="str">
        <x:v>tabela_hoya(1).pdf</x:v>
      </x:c>
      <x:c r="U182" s="24" t="str">
        <x:v>HOYA|Progressiva|Surfaçada|Hoyalux iD LifeStyle 4|INCOLOR|EYVIA|1.74|Hi-Vision Meiryo|-13.00 até +8.00||||||25</x:v>
      </x:c>
    </x:row>
    <x:row r="183">
      <x:c r="A183" s="24" t="str">
        <x:v>HY-C11A187787BE</x:v>
      </x:c>
      <x:c r="B183" s="24" t="str">
        <x:v>HOYA</x:v>
      </x:c>
      <x:c r="C183" s="24" t="str">
        <x:v>Progressiva</x:v>
      </x:c>
      <x:c r="D183" s="24" t="str">
        <x:v>Surfaçada</x:v>
      </x:c>
      <x:c r="E183" s="24" t="str">
        <x:v>Hoyalux iD LifeStyle 4</x:v>
      </x:c>
      <x:c r="F183" s="24" t="str">
        <x:v>INCOLOR</x:v>
      </x:c>
      <x:c r="G183" s="24" t="str">
        <x:v>EYNOA</x:v>
      </x:c>
      <x:c r="H183" s="24" t="str">
        <x:v>1.67</x:v>
      </x:c>
      <x:c r="I183" s="24" t="str">
        <x:v>Hi-Vision Meiryo</x:v>
      </x:c>
      <x:c r="J183" s="40" t="n">
        <x:v>8009</x:v>
      </x:c>
      <x:c r="K183" s="24" t="str">
        <x:v>-12.00 até +8.00</x:v>
      </x:c>
      <x:c r="L183" s="24"/>
      <x:c r="M183" s="24"/>
      <x:c r="N183" s="24"/>
      <x:c r="O183" s="24"/>
      <x:c r="P183" s="24"/>
      <x:c r="Q183" s="24" t="str">
        <x:v>DISPONÍVEL</x:v>
      </x:c>
      <x:c r="R183" s="24"/>
      <x:c r="S183" s="24" t="n">
        <x:v>25</x:v>
      </x:c>
      <x:c r="T183" s="24" t="str">
        <x:v>tabela_hoya(1).pdf</x:v>
      </x:c>
      <x:c r="U183" s="24" t="str">
        <x:v>HOYA|Progressiva|Surfaçada|Hoyalux iD LifeStyle 4|INCOLOR|EYNOA|1.67|Hi-Vision Meiryo|-12.00 até +8.00||||||25</x:v>
      </x:c>
    </x:row>
    <x:row r="184">
      <x:c r="A184" s="24" t="str">
        <x:v>HY-A822B2706385</x:v>
      </x:c>
      <x:c r="B184" s="24" t="str">
        <x:v>HOYA</x:v>
      </x:c>
      <x:c r="C184" s="24" t="str">
        <x:v>Progressiva</x:v>
      </x:c>
      <x:c r="D184" s="24" t="str">
        <x:v>Surfaçada</x:v>
      </x:c>
      <x:c r="E184" s="24" t="str">
        <x:v>Hoyalux iD LifeStyle 4</x:v>
      </x:c>
      <x:c r="F184" s="24" t="str">
        <x:v>INCOLOR</x:v>
      </x:c>
      <x:c r="G184" s="24" t="str">
        <x:v>EYAS 2.0</x:v>
      </x:c>
      <x:c r="H184" s="24" t="str">
        <x:v>1.60</x:v>
      </x:c>
      <x:c r="I184" s="24" t="str">
        <x:v>Hi-Vision Meiryo</x:v>
      </x:c>
      <x:c r="J184" s="40" t="n">
        <x:v>6209</x:v>
      </x:c>
      <x:c r="K184" s="24" t="str">
        <x:v>-10.00 até +8.00</x:v>
      </x:c>
      <x:c r="L184" s="24"/>
      <x:c r="M184" s="24"/>
      <x:c r="N184" s="24"/>
      <x:c r="O184" s="24"/>
      <x:c r="P184" s="24"/>
      <x:c r="Q184" s="24" t="str">
        <x:v>DISPONÍVEL</x:v>
      </x:c>
      <x:c r="R184" s="24"/>
      <x:c r="S184" s="24" t="n">
        <x:v>25</x:v>
      </x:c>
      <x:c r="T184" s="24" t="str">
        <x:v>tabela_hoya(1).pdf</x:v>
      </x:c>
      <x:c r="U184" s="24" t="str">
        <x:v>HOYA|Progressiva|Surfaçada|Hoyalux iD LifeStyle 4|INCOLOR|EYAS 2.0|1.60|Hi-Vision Meiryo|-10.00 até +8.00||||||25</x:v>
      </x:c>
    </x:row>
    <x:row r="185">
      <x:c r="A185" s="24" t="str">
        <x:v>HY-7D7C54CB0C2E</x:v>
      </x:c>
      <x:c r="B185" s="24" t="str">
        <x:v>HOYA</x:v>
      </x:c>
      <x:c r="C185" s="24" t="str">
        <x:v>Progressiva</x:v>
      </x:c>
      <x:c r="D185" s="24" t="str">
        <x:v>Surfaçada</x:v>
      </x:c>
      <x:c r="E185" s="24" t="str">
        <x:v>Hoyalux iD LifeStyle 4</x:v>
      </x:c>
      <x:c r="F185" s="24" t="str">
        <x:v>INCOLOR</x:v>
      </x:c>
      <x:c r="G185" s="24" t="str">
        <x:v>PNX</x:v>
      </x:c>
      <x:c r="H185" s="24" t="str">
        <x:v>1.53</x:v>
      </x:c>
      <x:c r="I185" s="24" t="str">
        <x:v>Hi-Vision Meiryo</x:v>
      </x:c>
      <x:c r="J185" s="40" t="n">
        <x:v>5749</x:v>
      </x:c>
      <x:c r="K185" s="24" t="str">
        <x:v>-8.00 até +6.00</x:v>
      </x:c>
      <x:c r="L185" s="24"/>
      <x:c r="M185" s="24"/>
      <x:c r="N185" s="24"/>
      <x:c r="O185" s="24"/>
      <x:c r="P185" s="24"/>
      <x:c r="Q185" s="24" t="str">
        <x:v>DISPONÍVEL</x:v>
      </x:c>
      <x:c r="R185" s="24"/>
      <x:c r="S185" s="24" t="n">
        <x:v>25</x:v>
      </x:c>
      <x:c r="T185" s="24" t="str">
        <x:v>tabela_hoya(1).pdf</x:v>
      </x:c>
      <x:c r="U185" s="24" t="str">
        <x:v>HOYA|Progressiva|Surfaçada|Hoyalux iD LifeStyle 4|INCOLOR|PNX|1.53|Hi-Vision Meiryo|-8.00 até +6.00||||||25</x:v>
      </x:c>
    </x:row>
    <x:row r="186">
      <x:c r="A186" s="24" t="str">
        <x:v>HY-883A383E28FA</x:v>
      </x:c>
      <x:c r="B186" s="24" t="str">
        <x:v>HOYA</x:v>
      </x:c>
      <x:c r="C186" s="24" t="str">
        <x:v>Progressiva</x:v>
      </x:c>
      <x:c r="D186" s="24" t="str">
        <x:v>Surfaçada</x:v>
      </x:c>
      <x:c r="E186" s="24" t="str">
        <x:v>Hoyalux iD LifeStyle 4</x:v>
      </x:c>
      <x:c r="F186" s="24" t="str">
        <x:v>INCOLOR</x:v>
      </x:c>
      <x:c r="G186" s="24" t="str">
        <x:v>ORGANIC</x:v>
      </x:c>
      <x:c r="H186" s="24" t="str">
        <x:v>1.50</x:v>
      </x:c>
      <x:c r="I186" s="24" t="str">
        <x:v>Hi-Vision Meiryo</x:v>
      </x:c>
      <x:c r="J186" s="40" t="n">
        <x:v>5399</x:v>
      </x:c>
      <x:c r="K186" s="24" t="str">
        <x:v>-8.00 até +6.00</x:v>
      </x:c>
      <x:c r="L186" s="24"/>
      <x:c r="M186" s="24"/>
      <x:c r="N186" s="24"/>
      <x:c r="O186" s="24"/>
      <x:c r="P186" s="24"/>
      <x:c r="Q186" s="24" t="str">
        <x:v>DISPONÍVEL</x:v>
      </x:c>
      <x:c r="R186" s="24"/>
      <x:c r="S186" s="24" t="n">
        <x:v>25</x:v>
      </x:c>
      <x:c r="T186" s="24" t="str">
        <x:v>tabela_hoya(1).pdf</x:v>
      </x:c>
      <x:c r="U186" s="24" t="str">
        <x:v>HOYA|Progressiva|Surfaçada|Hoyalux iD LifeStyle 4|INCOLOR|ORGANIC|1.50|Hi-Vision Meiryo|-8.00 até +6.00||||||25</x:v>
      </x:c>
    </x:row>
    <x:row r="187">
      <x:c r="A187" s="24" t="str">
        <x:v>HY-30425E3BD48D</x:v>
      </x:c>
      <x:c r="B187" s="24" t="str">
        <x:v>HOYA</x:v>
      </x:c>
      <x:c r="C187" s="24" t="str">
        <x:v>Progressiva</x:v>
      </x:c>
      <x:c r="D187" s="24" t="str">
        <x:v>Surfaçada</x:v>
      </x:c>
      <x:c r="E187" s="24" t="str">
        <x:v>Hoyalux iD LifeStyle 4</x:v>
      </x:c>
      <x:c r="F187" s="24" t="str">
        <x:v>INCOLOR</x:v>
      </x:c>
      <x:c r="G187" s="24" t="str">
        <x:v>EYVIA</x:v>
      </x:c>
      <x:c r="H187" s="24" t="str">
        <x:v>1.74</x:v>
      </x:c>
      <x:c r="I187" s="24" t="str">
        <x:v>Hi-Vision LongLife BlueControl</x:v>
      </x:c>
      <x:c r="J187" s="40" t="n">
        <x:v>9309</x:v>
      </x:c>
      <x:c r="K187" s="24" t="str">
        <x:v>-13.00 até +8.00</x:v>
      </x:c>
      <x:c r="L187" s="24"/>
      <x:c r="M187" s="24"/>
      <x:c r="N187" s="24"/>
      <x:c r="O187" s="24"/>
      <x:c r="P187" s="24"/>
      <x:c r="Q187" s="24" t="str">
        <x:v>DISPONÍVEL</x:v>
      </x:c>
      <x:c r="R187" s="24"/>
      <x:c r="S187" s="24" t="n">
        <x:v>25</x:v>
      </x:c>
      <x:c r="T187" s="24" t="str">
        <x:v>tabela_hoya(1).pdf</x:v>
      </x:c>
      <x:c r="U187" s="24" t="str">
        <x:v>HOYA|Progressiva|Surfaçada|Hoyalux iD LifeStyle 4|INCOLOR|EYVIA|1.74|Hi-Vision LongLife BlueControl|-13.00 até +8.00||||||25</x:v>
      </x:c>
    </x:row>
    <x:row r="188">
      <x:c r="A188" s="24" t="str">
        <x:v>HY-A49676D00852</x:v>
      </x:c>
      <x:c r="B188" s="24" t="str">
        <x:v>HOYA</x:v>
      </x:c>
      <x:c r="C188" s="24" t="str">
        <x:v>Progressiva</x:v>
      </x:c>
      <x:c r="D188" s="24" t="str">
        <x:v>Surfaçada</x:v>
      </x:c>
      <x:c r="E188" s="24" t="str">
        <x:v>Hoyalux iD LifeStyle 4</x:v>
      </x:c>
      <x:c r="F188" s="24" t="str">
        <x:v>INCOLOR</x:v>
      </x:c>
      <x:c r="G188" s="24" t="str">
        <x:v>EYNOA</x:v>
      </x:c>
      <x:c r="H188" s="24" t="str">
        <x:v>1.67</x:v>
      </x:c>
      <x:c r="I188" s="24" t="str">
        <x:v>Hi-Vision LongLife BlueControl</x:v>
      </x:c>
      <x:c r="J188" s="40" t="n">
        <x:v>7809</x:v>
      </x:c>
      <x:c r="K188" s="24" t="str">
        <x:v>-12.00 até +8.00</x:v>
      </x:c>
      <x:c r="L188" s="24"/>
      <x:c r="M188" s="24"/>
      <x:c r="N188" s="24"/>
      <x:c r="O188" s="24"/>
      <x:c r="P188" s="24"/>
      <x:c r="Q188" s="24" t="str">
        <x:v>DISPONÍVEL</x:v>
      </x:c>
      <x:c r="R188" s="24"/>
      <x:c r="S188" s="24" t="n">
        <x:v>25</x:v>
      </x:c>
      <x:c r="T188" s="24" t="str">
        <x:v>tabela_hoya(1).pdf</x:v>
      </x:c>
      <x:c r="U188" s="24" t="str">
        <x:v>HOYA|Progressiva|Surfaçada|Hoyalux iD LifeStyle 4|INCOLOR|EYNOA|1.67|Hi-Vision LongLife BlueControl|-12.00 até +8.00||||||25</x:v>
      </x:c>
    </x:row>
    <x:row r="189">
      <x:c r="A189" s="24" t="str">
        <x:v>HY-4EFC98E4D979</x:v>
      </x:c>
      <x:c r="B189" s="24" t="str">
        <x:v>HOYA</x:v>
      </x:c>
      <x:c r="C189" s="24" t="str">
        <x:v>Progressiva</x:v>
      </x:c>
      <x:c r="D189" s="24" t="str">
        <x:v>Surfaçada</x:v>
      </x:c>
      <x:c r="E189" s="24" t="str">
        <x:v>Hoyalux iD LifeStyle 4</x:v>
      </x:c>
      <x:c r="F189" s="24" t="str">
        <x:v>INCOLOR</x:v>
      </x:c>
      <x:c r="G189" s="24" t="str">
        <x:v>EYAS 2.0</x:v>
      </x:c>
      <x:c r="H189" s="24" t="str">
        <x:v>1.60</x:v>
      </x:c>
      <x:c r="I189" s="24" t="str">
        <x:v>Hi-Vision LongLife BlueControl</x:v>
      </x:c>
      <x:c r="J189" s="40" t="n">
        <x:v>6009</x:v>
      </x:c>
      <x:c r="K189" s="24" t="str">
        <x:v>-10.00 até +8.00</x:v>
      </x:c>
      <x:c r="L189" s="24"/>
      <x:c r="M189" s="24"/>
      <x:c r="N189" s="24"/>
      <x:c r="O189" s="24"/>
      <x:c r="P189" s="24"/>
      <x:c r="Q189" s="24" t="str">
        <x:v>DISPONÍVEL</x:v>
      </x:c>
      <x:c r="R189" s="24"/>
      <x:c r="S189" s="24" t="n">
        <x:v>25</x:v>
      </x:c>
      <x:c r="T189" s="24" t="str">
        <x:v>tabela_hoya(1).pdf</x:v>
      </x:c>
      <x:c r="U189" s="24" t="str">
        <x:v>HOYA|Progressiva|Surfaçada|Hoyalux iD LifeStyle 4|INCOLOR|EYAS 2.0|1.60|Hi-Vision LongLife BlueControl|-10.00 até +8.00||||||25</x:v>
      </x:c>
    </x:row>
    <x:row r="190">
      <x:c r="A190" s="24" t="str">
        <x:v>HY-A9EC5DC040AB</x:v>
      </x:c>
      <x:c r="B190" s="24" t="str">
        <x:v>HOYA</x:v>
      </x:c>
      <x:c r="C190" s="24" t="str">
        <x:v>Progressiva</x:v>
      </x:c>
      <x:c r="D190" s="24" t="str">
        <x:v>Surfaçada</x:v>
      </x:c>
      <x:c r="E190" s="24" t="str">
        <x:v>Hoyalux iD LifeStyle 4</x:v>
      </x:c>
      <x:c r="F190" s="24" t="str">
        <x:v>INCOLOR</x:v>
      </x:c>
      <x:c r="G190" s="24" t="str">
        <x:v>PNX</x:v>
      </x:c>
      <x:c r="H190" s="24" t="str">
        <x:v>1.53</x:v>
      </x:c>
      <x:c r="I190" s="24" t="str">
        <x:v>Hi-Vision LongLife BlueControl</x:v>
      </x:c>
      <x:c r="J190" s="40" t="n">
        <x:v>5549</x:v>
      </x:c>
      <x:c r="K190" s="24" t="str">
        <x:v>-8.00 até +6.00</x:v>
      </x:c>
      <x:c r="L190" s="24"/>
      <x:c r="M190" s="24"/>
      <x:c r="N190" s="24"/>
      <x:c r="O190" s="24"/>
      <x:c r="P190" s="24"/>
      <x:c r="Q190" s="24" t="str">
        <x:v>DISPONÍVEL</x:v>
      </x:c>
      <x:c r="R190" s="24"/>
      <x:c r="S190" s="24" t="n">
        <x:v>25</x:v>
      </x:c>
      <x:c r="T190" s="24" t="str">
        <x:v>tabela_hoya(1).pdf</x:v>
      </x:c>
      <x:c r="U190" s="24" t="str">
        <x:v>HOYA|Progressiva|Surfaçada|Hoyalux iD LifeStyle 4|INCOLOR|PNX|1.53|Hi-Vision LongLife BlueControl|-8.00 até +6.00||||||25</x:v>
      </x:c>
    </x:row>
    <x:row r="191">
      <x:c r="A191" s="24" t="str">
        <x:v>HY-7510FF781AF0</x:v>
      </x:c>
      <x:c r="B191" s="24" t="str">
        <x:v>HOYA</x:v>
      </x:c>
      <x:c r="C191" s="24" t="str">
        <x:v>Progressiva</x:v>
      </x:c>
      <x:c r="D191" s="24" t="str">
        <x:v>Surfaçada</x:v>
      </x:c>
      <x:c r="E191" s="24" t="str">
        <x:v>Hoyalux iD LifeStyle 4</x:v>
      </x:c>
      <x:c r="F191" s="24" t="str">
        <x:v>INCOLOR</x:v>
      </x:c>
      <x:c r="G191" s="24" t="str">
        <x:v>ORGANIC</x:v>
      </x:c>
      <x:c r="H191" s="24" t="str">
        <x:v>1.50</x:v>
      </x:c>
      <x:c r="I191" s="24" t="str">
        <x:v>Hi-Vision LongLife BlueControl</x:v>
      </x:c>
      <x:c r="J191" s="40" t="n">
        <x:v>5199</x:v>
      </x:c>
      <x:c r="K191" s="24" t="str">
        <x:v>-8.00 até +6.00</x:v>
      </x:c>
      <x:c r="L191" s="24"/>
      <x:c r="M191" s="24"/>
      <x:c r="N191" s="24"/>
      <x:c r="O191" s="24"/>
      <x:c r="P191" s="24"/>
      <x:c r="Q191" s="24" t="str">
        <x:v>DISPONÍVEL</x:v>
      </x:c>
      <x:c r="R191" s="24"/>
      <x:c r="S191" s="24" t="n">
        <x:v>25</x:v>
      </x:c>
      <x:c r="T191" s="24" t="str">
        <x:v>tabela_hoya(1).pdf</x:v>
      </x:c>
      <x:c r="U191" s="24" t="str">
        <x:v>HOYA|Progressiva|Surfaçada|Hoyalux iD LifeStyle 4|INCOLOR|ORGANIC|1.50|Hi-Vision LongLife BlueControl|-8.00 até +6.00||||||25</x:v>
      </x:c>
    </x:row>
    <x:row r="192">
      <x:c r="A192" s="24" t="str">
        <x:v>HY-02699BE0B624</x:v>
      </x:c>
      <x:c r="B192" s="24" t="str">
        <x:v>HOYA</x:v>
      </x:c>
      <x:c r="C192" s="24" t="str">
        <x:v>Progressiva</x:v>
      </x:c>
      <x:c r="D192" s="24" t="str">
        <x:v>Surfaçada</x:v>
      </x:c>
      <x:c r="E192" s="24" t="str">
        <x:v>Hoyalux iD LifeStyle 4</x:v>
      </x:c>
      <x:c r="F192" s="24" t="str">
        <x:v>INCOLOR</x:v>
      </x:c>
      <x:c r="G192" s="24" t="str">
        <x:v>EYNOA</x:v>
      </x:c>
      <x:c r="H192" s="24" t="str">
        <x:v>1.67</x:v>
      </x:c>
      <x:c r="I192" s="24" t="str">
        <x:v>No-Risk BlueControl</x:v>
      </x:c>
      <x:c r="J192" s="40" t="n">
        <x:v>7559</x:v>
      </x:c>
      <x:c r="K192" s="24" t="str">
        <x:v>-12.00 até +8.00</x:v>
      </x:c>
      <x:c r="L192" s="24"/>
      <x:c r="M192" s="24"/>
      <x:c r="N192" s="24"/>
      <x:c r="O192" s="24"/>
      <x:c r="P192" s="24"/>
      <x:c r="Q192" s="24" t="str">
        <x:v>DISPONÍVEL</x:v>
      </x:c>
      <x:c r="R192" s="24"/>
      <x:c r="S192" s="24" t="n">
        <x:v>25</x:v>
      </x:c>
      <x:c r="T192" s="24" t="str">
        <x:v>tabela_hoya(1).pdf</x:v>
      </x:c>
      <x:c r="U192" s="24" t="str">
        <x:v>HOYA|Progressiva|Surfaçada|Hoyalux iD LifeStyle 4|INCOLOR|EYNOA|1.67|No-Risk BlueControl|-12.00 até +8.00||||||25</x:v>
      </x:c>
    </x:row>
    <x:row r="193">
      <x:c r="A193" s="24" t="str">
        <x:v>HY-FDDAEB3D66EF</x:v>
      </x:c>
      <x:c r="B193" s="24" t="str">
        <x:v>HOYA</x:v>
      </x:c>
      <x:c r="C193" s="24" t="str">
        <x:v>Progressiva</x:v>
      </x:c>
      <x:c r="D193" s="24" t="str">
        <x:v>Surfaçada</x:v>
      </x:c>
      <x:c r="E193" s="24" t="str">
        <x:v>Hoyalux iD LifeStyle 4</x:v>
      </x:c>
      <x:c r="F193" s="24" t="str">
        <x:v>INCOLOR</x:v>
      </x:c>
      <x:c r="G193" s="24" t="str">
        <x:v>EYAS 2.0</x:v>
      </x:c>
      <x:c r="H193" s="24" t="str">
        <x:v>1.60</x:v>
      </x:c>
      <x:c r="I193" s="24" t="str">
        <x:v>No-Risk BlueControl</x:v>
      </x:c>
      <x:c r="J193" s="40" t="n">
        <x:v>5759</x:v>
      </x:c>
      <x:c r="K193" s="24" t="str">
        <x:v>-10.00 até +8.00</x:v>
      </x:c>
      <x:c r="L193" s="24"/>
      <x:c r="M193" s="24"/>
      <x:c r="N193" s="24"/>
      <x:c r="O193" s="24"/>
      <x:c r="P193" s="24"/>
      <x:c r="Q193" s="24" t="str">
        <x:v>DISPONÍVEL</x:v>
      </x:c>
      <x:c r="R193" s="24"/>
      <x:c r="S193" s="24" t="n">
        <x:v>25</x:v>
      </x:c>
      <x:c r="T193" s="24" t="str">
        <x:v>tabela_hoya(1).pdf</x:v>
      </x:c>
      <x:c r="U193" s="24" t="str">
        <x:v>HOYA|Progressiva|Surfaçada|Hoyalux iD LifeStyle 4|INCOLOR|EYAS 2.0|1.60|No-Risk BlueControl|-10.00 até +8.00||||||25</x:v>
      </x:c>
    </x:row>
    <x:row r="194">
      <x:c r="A194" s="24" t="str">
        <x:v>HY-2FDE96AB68EE</x:v>
      </x:c>
      <x:c r="B194" s="24" t="str">
        <x:v>HOYA</x:v>
      </x:c>
      <x:c r="C194" s="24" t="str">
        <x:v>Progressiva</x:v>
      </x:c>
      <x:c r="D194" s="24" t="str">
        <x:v>Surfaçada</x:v>
      </x:c>
      <x:c r="E194" s="24" t="str">
        <x:v>Hoyalux iD LifeStyle 4</x:v>
      </x:c>
      <x:c r="F194" s="24" t="str">
        <x:v>INCOLOR</x:v>
      </x:c>
      <x:c r="G194" s="24" t="str">
        <x:v>PNX</x:v>
      </x:c>
      <x:c r="H194" s="24" t="str">
        <x:v>1.53</x:v>
      </x:c>
      <x:c r="I194" s="24" t="str">
        <x:v>No-Risk BlueControl</x:v>
      </x:c>
      <x:c r="J194" s="40" t="n">
        <x:v>5299</x:v>
      </x:c>
      <x:c r="K194" s="24" t="str">
        <x:v>-8.00 até +6.00</x:v>
      </x:c>
      <x:c r="L194" s="24"/>
      <x:c r="M194" s="24"/>
      <x:c r="N194" s="24"/>
      <x:c r="O194" s="24"/>
      <x:c r="P194" s="24"/>
      <x:c r="Q194" s="24" t="str">
        <x:v>DISPONÍVEL</x:v>
      </x:c>
      <x:c r="R194" s="24"/>
      <x:c r="S194" s="24" t="n">
        <x:v>25</x:v>
      </x:c>
      <x:c r="T194" s="24" t="str">
        <x:v>tabela_hoya(1).pdf</x:v>
      </x:c>
      <x:c r="U194" s="24" t="str">
        <x:v>HOYA|Progressiva|Surfaçada|Hoyalux iD LifeStyle 4|INCOLOR|PNX|1.53|No-Risk BlueControl|-8.00 até +6.00||||||25</x:v>
      </x:c>
    </x:row>
    <x:row r="195">
      <x:c r="A195" s="24" t="str">
        <x:v>HY-7301BC2CDC20</x:v>
      </x:c>
      <x:c r="B195" s="24" t="str">
        <x:v>HOYA</x:v>
      </x:c>
      <x:c r="C195" s="24" t="str">
        <x:v>Progressiva</x:v>
      </x:c>
      <x:c r="D195" s="24" t="str">
        <x:v>Surfaçada</x:v>
      </x:c>
      <x:c r="E195" s="24" t="str">
        <x:v>Hoyalux iD LifeStyle 4</x:v>
      </x:c>
      <x:c r="F195" s="24" t="str">
        <x:v>INCOLOR</x:v>
      </x:c>
      <x:c r="G195" s="24" t="str">
        <x:v>ORGANIC</x:v>
      </x:c>
      <x:c r="H195" s="24" t="str">
        <x:v>1.50</x:v>
      </x:c>
      <x:c r="I195" s="24" t="str">
        <x:v>No-Risk BlueControl</x:v>
      </x:c>
      <x:c r="J195" s="40" t="n">
        <x:v>4949</x:v>
      </x:c>
      <x:c r="K195" s="24" t="str">
        <x:v>-8.00 até +6.00</x:v>
      </x:c>
      <x:c r="L195" s="24"/>
      <x:c r="M195" s="24"/>
      <x:c r="N195" s="24"/>
      <x:c r="O195" s="24"/>
      <x:c r="P195" s="24"/>
      <x:c r="Q195" s="24" t="str">
        <x:v>DISPONÍVEL</x:v>
      </x:c>
      <x:c r="R195" s="24"/>
      <x:c r="S195" s="24" t="n">
        <x:v>25</x:v>
      </x:c>
      <x:c r="T195" s="24" t="str">
        <x:v>tabela_hoya(1).pdf</x:v>
      </x:c>
      <x:c r="U195" s="24" t="str">
        <x:v>HOYA|Progressiva|Surfaçada|Hoyalux iD LifeStyle 4|INCOLOR|ORGANIC|1.50|No-Risk BlueControl|-8.00 até +6.00||||||25</x:v>
      </x:c>
    </x:row>
    <x:row r="196">
      <x:c r="A196" s="24" t="str">
        <x:v>HY-C9546653DF14</x:v>
      </x:c>
      <x:c r="B196" s="24" t="str">
        <x:v>HOYA</x:v>
      </x:c>
      <x:c r="C196" s="24" t="str">
        <x:v>Progressiva</x:v>
      </x:c>
      <x:c r="D196" s="24" t="str">
        <x:v>Surfaçada</x:v>
      </x:c>
      <x:c r="E196" s="24" t="str">
        <x:v>Hoyalux iD LifeStyle 4</x:v>
      </x:c>
      <x:c r="F196" s="24" t="str">
        <x:v>COLORIDAS</x:v>
      </x:c>
      <x:c r="G196" s="24" t="str">
        <x:v>EYVIA</x:v>
      </x:c>
      <x:c r="H196" s="24" t="str">
        <x:v>1.74</x:v>
      </x:c>
      <x:c r="I196" s="24" t="str">
        <x:v>Hi-Vision Sun Pro</x:v>
      </x:c>
      <x:c r="J196" s="40" t="n">
        <x:v>9599</x:v>
      </x:c>
      <x:c r="K196" s="24" t="str">
        <x:v>-13.00 até +8.00</x:v>
      </x:c>
      <x:c r="L196" s="24"/>
      <x:c r="M196" s="24"/>
      <x:c r="N196" s="24"/>
      <x:c r="O196" s="24"/>
      <x:c r="P196" s="24"/>
      <x:c r="Q196" s="24" t="str">
        <x:v>DISPONÍVEL</x:v>
      </x:c>
      <x:c r="R196" s="24"/>
      <x:c r="S196" s="24" t="n">
        <x:v>25</x:v>
      </x:c>
      <x:c r="T196" s="24" t="str">
        <x:v>tabela_hoya(1).pdf</x:v>
      </x:c>
      <x:c r="U196" s="24" t="str">
        <x:v>HOYA|Progressiva|Surfaçada|Hoyalux iD LifeStyle 4|COLORIDAS|EYVIA|1.74|Hi-Vision Sun Pro|-13.00 até +8.00||||||25</x:v>
      </x:c>
    </x:row>
    <x:row r="197">
      <x:c r="A197" s="24" t="str">
        <x:v>HY-AEB890C93E60</x:v>
      </x:c>
      <x:c r="B197" s="24" t="str">
        <x:v>HOYA</x:v>
      </x:c>
      <x:c r="C197" s="24" t="str">
        <x:v>Progressiva</x:v>
      </x:c>
      <x:c r="D197" s="24" t="str">
        <x:v>Surfaçada</x:v>
      </x:c>
      <x:c r="E197" s="24" t="str">
        <x:v>Hoyalux iD LifeStyle 4</x:v>
      </x:c>
      <x:c r="F197" s="24" t="str">
        <x:v>COLORIDAS</x:v>
      </x:c>
      <x:c r="G197" s="24" t="str">
        <x:v>EYNOA</x:v>
      </x:c>
      <x:c r="H197" s="24" t="str">
        <x:v>1.67</x:v>
      </x:c>
      <x:c r="I197" s="24" t="str">
        <x:v>Hi-Vision Sun Pro</x:v>
      </x:c>
      <x:c r="J197" s="40" t="n">
        <x:v>7849</x:v>
      </x:c>
      <x:c r="K197" s="24" t="str">
        <x:v>-12.00 até +8.00</x:v>
      </x:c>
      <x:c r="L197" s="24"/>
      <x:c r="M197" s="24"/>
      <x:c r="N197" s="24"/>
      <x:c r="O197" s="24"/>
      <x:c r="P197" s="24"/>
      <x:c r="Q197" s="24" t="str">
        <x:v>DISPONÍVEL</x:v>
      </x:c>
      <x:c r="R197" s="24"/>
      <x:c r="S197" s="24" t="n">
        <x:v>25</x:v>
      </x:c>
      <x:c r="T197" s="24" t="str">
        <x:v>tabela_hoya(1).pdf</x:v>
      </x:c>
      <x:c r="U197" s="24" t="str">
        <x:v>HOYA|Progressiva|Surfaçada|Hoyalux iD LifeStyle 4|COLORIDAS|EYNOA|1.67|Hi-Vision Sun Pro|-12.00 até +8.00||||||25</x:v>
      </x:c>
    </x:row>
    <x:row r="198">
      <x:c r="A198" s="24" t="str">
        <x:v>HY-472FE3EFFE2B</x:v>
      </x:c>
      <x:c r="B198" s="24" t="str">
        <x:v>HOYA</x:v>
      </x:c>
      <x:c r="C198" s="24" t="str">
        <x:v>Progressiva</x:v>
      </x:c>
      <x:c r="D198" s="24" t="str">
        <x:v>Surfaçada</x:v>
      </x:c>
      <x:c r="E198" s="24" t="str">
        <x:v>Hoyalux iD LifeStyle 4</x:v>
      </x:c>
      <x:c r="F198" s="24" t="str">
        <x:v>COLORIDAS</x:v>
      </x:c>
      <x:c r="G198" s="24" t="str">
        <x:v>EYAS 2.0</x:v>
      </x:c>
      <x:c r="H198" s="24" t="str">
        <x:v>1.60</x:v>
      </x:c>
      <x:c r="I198" s="24" t="str">
        <x:v>Hi-Vision Sun Pro</x:v>
      </x:c>
      <x:c r="J198" s="40" t="n">
        <x:v>6049</x:v>
      </x:c>
      <x:c r="K198" s="24" t="str">
        <x:v>-10.00 até +8.00</x:v>
      </x:c>
      <x:c r="L198" s="24"/>
      <x:c r="M198" s="24"/>
      <x:c r="N198" s="24"/>
      <x:c r="O198" s="24"/>
      <x:c r="P198" s="24"/>
      <x:c r="Q198" s="24" t="str">
        <x:v>DISPONÍVEL</x:v>
      </x:c>
      <x:c r="R198" s="24"/>
      <x:c r="S198" s="24" t="n">
        <x:v>25</x:v>
      </x:c>
      <x:c r="T198" s="24" t="str">
        <x:v>tabela_hoya(1).pdf</x:v>
      </x:c>
      <x:c r="U198" s="24" t="str">
        <x:v>HOYA|Progressiva|Surfaçada|Hoyalux iD LifeStyle 4|COLORIDAS|EYAS 2.0|1.60|Hi-Vision Sun Pro|-10.00 até +8.00||||||25</x:v>
      </x:c>
    </x:row>
    <x:row r="199">
      <x:c r="A199" s="24" t="str">
        <x:v>HY-951C6B4F5037</x:v>
      </x:c>
      <x:c r="B199" s="24" t="str">
        <x:v>HOYA</x:v>
      </x:c>
      <x:c r="C199" s="24" t="str">
        <x:v>Progressiva</x:v>
      </x:c>
      <x:c r="D199" s="24" t="str">
        <x:v>Surfaçada</x:v>
      </x:c>
      <x:c r="E199" s="24" t="str">
        <x:v>Hoyalux iD LifeStyle 4</x:v>
      </x:c>
      <x:c r="F199" s="24" t="str">
        <x:v>COLORIDAS</x:v>
      </x:c>
      <x:c r="G199" s="24" t="str">
        <x:v>PNX</x:v>
      </x:c>
      <x:c r="H199" s="24" t="str">
        <x:v>1.53</x:v>
      </x:c>
      <x:c r="I199" s="24" t="str">
        <x:v>Hi-Vision Sun Pro</x:v>
      </x:c>
      <x:c r="J199" s="40" t="n">
        <x:v>5589</x:v>
      </x:c>
      <x:c r="K199" s="24" t="str">
        <x:v>-8.00 até +6.00</x:v>
      </x:c>
      <x:c r="L199" s="24"/>
      <x:c r="M199" s="24"/>
      <x:c r="N199" s="24"/>
      <x:c r="O199" s="24"/>
      <x:c r="P199" s="24"/>
      <x:c r="Q199" s="24" t="str">
        <x:v>DISPONÍVEL</x:v>
      </x:c>
      <x:c r="R199" s="24"/>
      <x:c r="S199" s="24" t="n">
        <x:v>25</x:v>
      </x:c>
      <x:c r="T199" s="24" t="str">
        <x:v>tabela_hoya(1).pdf</x:v>
      </x:c>
      <x:c r="U199" s="24" t="str">
        <x:v>HOYA|Progressiva|Surfaçada|Hoyalux iD LifeStyle 4|COLORIDAS|PNX|1.53|Hi-Vision Sun Pro|-8.00 até +6.00||||||25</x:v>
      </x:c>
    </x:row>
    <x:row r="200">
      <x:c r="A200" s="24" t="str">
        <x:v>HY-EA648382A861</x:v>
      </x:c>
      <x:c r="B200" s="24" t="str">
        <x:v>HOYA</x:v>
      </x:c>
      <x:c r="C200" s="24" t="str">
        <x:v>Progressiva</x:v>
      </x:c>
      <x:c r="D200" s="24" t="str">
        <x:v>Surfaçada</x:v>
      </x:c>
      <x:c r="E200" s="24" t="str">
        <x:v>Hoyalux iD LifeStyle 4</x:v>
      </x:c>
      <x:c r="F200" s="24" t="str">
        <x:v>COLORIDAS</x:v>
      </x:c>
      <x:c r="G200" s="24" t="str">
        <x:v>ORGANIC</x:v>
      </x:c>
      <x:c r="H200" s="24" t="str">
        <x:v>1.50</x:v>
      </x:c>
      <x:c r="I200" s="24" t="str">
        <x:v>Hi-Vision Sun Pro</x:v>
      </x:c>
      <x:c r="J200" s="40" t="n">
        <x:v>5239</x:v>
      </x:c>
      <x:c r="K200" s="24" t="str">
        <x:v>-8.00 até +6.00</x:v>
      </x:c>
      <x:c r="L200" s="24"/>
      <x:c r="M200" s="24"/>
      <x:c r="N200" s="24"/>
      <x:c r="O200" s="24"/>
      <x:c r="P200" s="24"/>
      <x:c r="Q200" s="24" t="str">
        <x:v>DISPONÍVEL</x:v>
      </x:c>
      <x:c r="R200" s="24"/>
      <x:c r="S200" s="24" t="n">
        <x:v>25</x:v>
      </x:c>
      <x:c r="T200" s="24" t="str">
        <x:v>tabela_hoya(1).pdf</x:v>
      </x:c>
      <x:c r="U200" s="24" t="str">
        <x:v>HOYA|Progressiva|Surfaçada|Hoyalux iD LifeStyle 4|COLORIDAS|ORGANIC|1.50|Hi-Vision Sun Pro|-8.00 até +6.00||||||25</x:v>
      </x:c>
    </x:row>
    <x:row r="201">
      <x:c r="A201" s="24" t="str">
        <x:v>HY-1D31EE28C2EB</x:v>
      </x:c>
      <x:c r="B201" s="24" t="str">
        <x:v>HOYA</x:v>
      </x:c>
      <x:c r="C201" s="24" t="str">
        <x:v>Progressiva</x:v>
      </x:c>
      <x:c r="D201" s="24" t="str">
        <x:v>Surfaçada</x:v>
      </x:c>
      <x:c r="E201" s="24" t="str">
        <x:v>Hoyalux iD LifeStyle 4</x:v>
      </x:c>
      <x:c r="F201" s="24" t="str">
        <x:v>SENSITY 2</x:v>
      </x:c>
      <x:c r="G201" s="24" t="str">
        <x:v>EYNOA</x:v>
      </x:c>
      <x:c r="H201" s="24" t="str">
        <x:v>1.67</x:v>
      </x:c>
      <x:c r="I201" s="24" t="str">
        <x:v>Hi-Vision Meiryo</x:v>
      </x:c>
      <x:c r="J201" s="40" t="n">
        <x:v>9409</x:v>
      </x:c>
      <x:c r="K201" s="24" t="str">
        <x:v>-12.00 até +8.00</x:v>
      </x:c>
      <x:c r="L201" s="24"/>
      <x:c r="M201" s="24"/>
      <x:c r="N201" s="24"/>
      <x:c r="O201" s="24"/>
      <x:c r="P201" s="24"/>
      <x:c r="Q201" s="24" t="str">
        <x:v>DISPONÍVEL</x:v>
      </x:c>
      <x:c r="R201" s="24"/>
      <x:c r="S201" s="24" t="n">
        <x:v>25</x:v>
      </x:c>
      <x:c r="T201" s="24" t="str">
        <x:v>tabela_hoya(1).pdf</x:v>
      </x:c>
      <x:c r="U201" s="24" t="str">
        <x:v>HOYA|Progressiva|Surfaçada|Hoyalux iD LifeStyle 4|SENSITY 2|EYNOA|1.67|Hi-Vision Meiryo|-12.00 até +8.00||||||25</x:v>
      </x:c>
    </x:row>
    <x:row r="202">
      <x:c r="A202" s="24" t="str">
        <x:v>HY-85C51CF3E8CA</x:v>
      </x:c>
      <x:c r="B202" s="24" t="str">
        <x:v>HOYA</x:v>
      </x:c>
      <x:c r="C202" s="24" t="str">
        <x:v>Progressiva</x:v>
      </x:c>
      <x:c r="D202" s="24" t="str">
        <x:v>Surfaçada</x:v>
      </x:c>
      <x:c r="E202" s="24" t="str">
        <x:v>Hoyalux iD LifeStyle 4</x:v>
      </x:c>
      <x:c r="F202" s="24" t="str">
        <x:v>SENSITY 2</x:v>
      </x:c>
      <x:c r="G202" s="24" t="str">
        <x:v>EYAS 2.0</x:v>
      </x:c>
      <x:c r="H202" s="24" t="str">
        <x:v>1.60</x:v>
      </x:c>
      <x:c r="I202" s="24" t="str">
        <x:v>Hi-Vision Meiryo</x:v>
      </x:c>
      <x:c r="J202" s="40" t="n">
        <x:v>7609</x:v>
      </x:c>
      <x:c r="K202" s="24" t="str">
        <x:v>-10.00 até +8.00</x:v>
      </x:c>
      <x:c r="L202" s="24"/>
      <x:c r="M202" s="24"/>
      <x:c r="N202" s="24"/>
      <x:c r="O202" s="24"/>
      <x:c r="P202" s="24"/>
      <x:c r="Q202" s="24" t="str">
        <x:v>DISPONÍVEL</x:v>
      </x:c>
      <x:c r="R202" s="24"/>
      <x:c r="S202" s="24" t="n">
        <x:v>25</x:v>
      </x:c>
      <x:c r="T202" s="24" t="str">
        <x:v>tabela_hoya(1).pdf</x:v>
      </x:c>
      <x:c r="U202" s="24" t="str">
        <x:v>HOYA|Progressiva|Surfaçada|Hoyalux iD LifeStyle 4|SENSITY 2|EYAS 2.0|1.60|Hi-Vision Meiryo|-10.00 até +8.00||||||25</x:v>
      </x:c>
    </x:row>
    <x:row r="203">
      <x:c r="A203" s="24" t="str">
        <x:v>HY-3FBA392B611D</x:v>
      </x:c>
      <x:c r="B203" s="24" t="str">
        <x:v>HOYA</x:v>
      </x:c>
      <x:c r="C203" s="24" t="str">
        <x:v>Progressiva</x:v>
      </x:c>
      <x:c r="D203" s="24" t="str">
        <x:v>Surfaçada</x:v>
      </x:c>
      <x:c r="E203" s="24" t="str">
        <x:v>Hoyalux iD LifeStyle 4</x:v>
      </x:c>
      <x:c r="F203" s="24" t="str">
        <x:v>SENSITY 2</x:v>
      </x:c>
      <x:c r="G203" s="24" t="str">
        <x:v>PNX</x:v>
      </x:c>
      <x:c r="H203" s="24" t="str">
        <x:v>1.53</x:v>
      </x:c>
      <x:c r="I203" s="24" t="str">
        <x:v>Hi-Vision Meiryo</x:v>
      </x:c>
      <x:c r="J203" s="40" t="n">
        <x:v>7149</x:v>
      </x:c>
      <x:c r="K203" s="24" t="str">
        <x:v>-8.00 até +6.00</x:v>
      </x:c>
      <x:c r="L203" s="24"/>
      <x:c r="M203" s="24"/>
      <x:c r="N203" s="24"/>
      <x:c r="O203" s="24"/>
      <x:c r="P203" s="24"/>
      <x:c r="Q203" s="24" t="str">
        <x:v>DISPONÍVEL</x:v>
      </x:c>
      <x:c r="R203" s="24"/>
      <x:c r="S203" s="24" t="n">
        <x:v>25</x:v>
      </x:c>
      <x:c r="T203" s="24" t="str">
        <x:v>tabela_hoya(1).pdf</x:v>
      </x:c>
      <x:c r="U203" s="24" t="str">
        <x:v>HOYA|Progressiva|Surfaçada|Hoyalux iD LifeStyle 4|SENSITY 2|PNX|1.53|Hi-Vision Meiryo|-8.00 até +6.00||||||25</x:v>
      </x:c>
    </x:row>
    <x:row r="204">
      <x:c r="A204" s="24" t="str">
        <x:v>HY-87374C2607F7</x:v>
      </x:c>
      <x:c r="B204" s="24" t="str">
        <x:v>HOYA</x:v>
      </x:c>
      <x:c r="C204" s="24" t="str">
        <x:v>Progressiva</x:v>
      </x:c>
      <x:c r="D204" s="24" t="str">
        <x:v>Surfaçada</x:v>
      </x:c>
      <x:c r="E204" s="24" t="str">
        <x:v>Hoyalux iD LifeStyle 4</x:v>
      </x:c>
      <x:c r="F204" s="24" t="str">
        <x:v>SENSITY 2</x:v>
      </x:c>
      <x:c r="G204" s="24" t="str">
        <x:v>ORGANIC</x:v>
      </x:c>
      <x:c r="H204" s="24" t="str">
        <x:v>1.50</x:v>
      </x:c>
      <x:c r="I204" s="24" t="str">
        <x:v>Hi-Vision Meiryo</x:v>
      </x:c>
      <x:c r="J204" s="40" t="n">
        <x:v>6799</x:v>
      </x:c>
      <x:c r="K204" s="24" t="str">
        <x:v>-8.00 até +6.00</x:v>
      </x:c>
      <x:c r="L204" s="24"/>
      <x:c r="M204" s="24"/>
      <x:c r="N204" s="24"/>
      <x:c r="O204" s="24"/>
      <x:c r="P204" s="24"/>
      <x:c r="Q204" s="24" t="str">
        <x:v>DISPONÍVEL</x:v>
      </x:c>
      <x:c r="R204" s="24"/>
      <x:c r="S204" s="24" t="n">
        <x:v>25</x:v>
      </x:c>
      <x:c r="T204" s="24" t="str">
        <x:v>tabela_hoya(1).pdf</x:v>
      </x:c>
      <x:c r="U204" s="24" t="str">
        <x:v>HOYA|Progressiva|Surfaçada|Hoyalux iD LifeStyle 4|SENSITY 2|ORGANIC|1.50|Hi-Vision Meiryo|-8.00 até +6.00||||||25</x:v>
      </x:c>
    </x:row>
    <x:row r="205">
      <x:c r="A205" s="24" t="str">
        <x:v>HY-4DF7C1E83F14</x:v>
      </x:c>
      <x:c r="B205" s="24" t="str">
        <x:v>HOYA</x:v>
      </x:c>
      <x:c r="C205" s="24" t="str">
        <x:v>Progressiva</x:v>
      </x:c>
      <x:c r="D205" s="24" t="str">
        <x:v>Surfaçada</x:v>
      </x:c>
      <x:c r="E205" s="24" t="str">
        <x:v>Hoyalux iD LifeStyle 4</x:v>
      </x:c>
      <x:c r="F205" s="24" t="str">
        <x:v>SENSITY 2</x:v>
      </x:c>
      <x:c r="G205" s="24" t="str">
        <x:v>EYNOA</x:v>
      </x:c>
      <x:c r="H205" s="24" t="str">
        <x:v>1.67</x:v>
      </x:c>
      <x:c r="I205" s="24" t="str">
        <x:v>Hi-Vision LongLife BlueControl</x:v>
      </x:c>
      <x:c r="J205" s="40" t="n">
        <x:v>9209</x:v>
      </x:c>
      <x:c r="K205" s="24" t="str">
        <x:v>-12.00 até +8.00</x:v>
      </x:c>
      <x:c r="L205" s="24"/>
      <x:c r="M205" s="24"/>
      <x:c r="N205" s="24"/>
      <x:c r="O205" s="24"/>
      <x:c r="P205" s="24"/>
      <x:c r="Q205" s="24" t="str">
        <x:v>DISPONÍVEL</x:v>
      </x:c>
      <x:c r="R205" s="24"/>
      <x:c r="S205" s="24" t="n">
        <x:v>25</x:v>
      </x:c>
      <x:c r="T205" s="24" t="str">
        <x:v>tabela_hoya(1).pdf</x:v>
      </x:c>
      <x:c r="U205" s="24" t="str">
        <x:v>HOYA|Progressiva|Surfaçada|Hoyalux iD LifeStyle 4|SENSITY 2|EYNOA|1.67|Hi-Vision LongLife BlueControl|-12.00 até +8.00||||||25</x:v>
      </x:c>
    </x:row>
    <x:row r="206">
      <x:c r="A206" s="24" t="str">
        <x:v>HY-159CFFEDA717</x:v>
      </x:c>
      <x:c r="B206" s="24" t="str">
        <x:v>HOYA</x:v>
      </x:c>
      <x:c r="C206" s="24" t="str">
        <x:v>Progressiva</x:v>
      </x:c>
      <x:c r="D206" s="24" t="str">
        <x:v>Surfaçada</x:v>
      </x:c>
      <x:c r="E206" s="24" t="str">
        <x:v>Hoyalux iD LifeStyle 4</x:v>
      </x:c>
      <x:c r="F206" s="24" t="str">
        <x:v>SENSITY 2</x:v>
      </x:c>
      <x:c r="G206" s="24" t="str">
        <x:v>EYAS 2.0</x:v>
      </x:c>
      <x:c r="H206" s="24" t="str">
        <x:v>1.60</x:v>
      </x:c>
      <x:c r="I206" s="24" t="str">
        <x:v>Hi-Vision LongLife BlueControl</x:v>
      </x:c>
      <x:c r="J206" s="40" t="n">
        <x:v>7409</x:v>
      </x:c>
      <x:c r="K206" s="24" t="str">
        <x:v>-10.00 até +8.00</x:v>
      </x:c>
      <x:c r="L206" s="24"/>
      <x:c r="M206" s="24"/>
      <x:c r="N206" s="24"/>
      <x:c r="O206" s="24"/>
      <x:c r="P206" s="24"/>
      <x:c r="Q206" s="24" t="str">
        <x:v>DISPONÍVEL</x:v>
      </x:c>
      <x:c r="R206" s="24"/>
      <x:c r="S206" s="24" t="n">
        <x:v>25</x:v>
      </x:c>
      <x:c r="T206" s="24" t="str">
        <x:v>tabela_hoya(1).pdf</x:v>
      </x:c>
      <x:c r="U206" s="24" t="str">
        <x:v>HOYA|Progressiva|Surfaçada|Hoyalux iD LifeStyle 4|SENSITY 2|EYAS 2.0|1.60|Hi-Vision LongLife BlueControl|-10.00 até +8.00||||||25</x:v>
      </x:c>
    </x:row>
    <x:row r="207">
      <x:c r="A207" s="24" t="str">
        <x:v>HY-46B63248A348</x:v>
      </x:c>
      <x:c r="B207" s="24" t="str">
        <x:v>HOYA</x:v>
      </x:c>
      <x:c r="C207" s="24" t="str">
        <x:v>Progressiva</x:v>
      </x:c>
      <x:c r="D207" s="24" t="str">
        <x:v>Surfaçada</x:v>
      </x:c>
      <x:c r="E207" s="24" t="str">
        <x:v>Hoyalux iD LifeStyle 4</x:v>
      </x:c>
      <x:c r="F207" s="24" t="str">
        <x:v>SENSITY 2</x:v>
      </x:c>
      <x:c r="G207" s="24" t="str">
        <x:v>PNX</x:v>
      </x:c>
      <x:c r="H207" s="24" t="str">
        <x:v>1.53</x:v>
      </x:c>
      <x:c r="I207" s="24" t="str">
        <x:v>Hi-Vision LongLife BlueControl</x:v>
      </x:c>
      <x:c r="J207" s="40" t="n">
        <x:v>6949</x:v>
      </x:c>
      <x:c r="K207" s="24" t="str">
        <x:v>-8.00 até +6.00</x:v>
      </x:c>
      <x:c r="L207" s="24"/>
      <x:c r="M207" s="24"/>
      <x:c r="N207" s="24"/>
      <x:c r="O207" s="24"/>
      <x:c r="P207" s="24"/>
      <x:c r="Q207" s="24" t="str">
        <x:v>DISPONÍVEL</x:v>
      </x:c>
      <x:c r="R207" s="24"/>
      <x:c r="S207" s="24" t="n">
        <x:v>25</x:v>
      </x:c>
      <x:c r="T207" s="24" t="str">
        <x:v>tabela_hoya(1).pdf</x:v>
      </x:c>
      <x:c r="U207" s="24" t="str">
        <x:v>HOYA|Progressiva|Surfaçada|Hoyalux iD LifeStyle 4|SENSITY 2|PNX|1.53|Hi-Vision LongLife BlueControl|-8.00 até +6.00||||||25</x:v>
      </x:c>
    </x:row>
    <x:row r="208">
      <x:c r="A208" s="24" t="str">
        <x:v>HY-CD7D59E98C7A</x:v>
      </x:c>
      <x:c r="B208" s="24" t="str">
        <x:v>HOYA</x:v>
      </x:c>
      <x:c r="C208" s="24" t="str">
        <x:v>Progressiva</x:v>
      </x:c>
      <x:c r="D208" s="24" t="str">
        <x:v>Surfaçada</x:v>
      </x:c>
      <x:c r="E208" s="24" t="str">
        <x:v>Hoyalux iD LifeStyle 4</x:v>
      </x:c>
      <x:c r="F208" s="24" t="str">
        <x:v>SENSITY 2</x:v>
      </x:c>
      <x:c r="G208" s="24" t="str">
        <x:v>ORGANIC</x:v>
      </x:c>
      <x:c r="H208" s="24" t="str">
        <x:v>1.50</x:v>
      </x:c>
      <x:c r="I208" s="24" t="str">
        <x:v>Hi-Vision LongLife BlueControl</x:v>
      </x:c>
      <x:c r="J208" s="40" t="n">
        <x:v>6599</x:v>
      </x:c>
      <x:c r="K208" s="24" t="str">
        <x:v>-8.00 até +6.00</x:v>
      </x:c>
      <x:c r="L208" s="24"/>
      <x:c r="M208" s="24"/>
      <x:c r="N208" s="24"/>
      <x:c r="O208" s="24"/>
      <x:c r="P208" s="24"/>
      <x:c r="Q208" s="24" t="str">
        <x:v>DISPONÍVEL</x:v>
      </x:c>
      <x:c r="R208" s="24"/>
      <x:c r="S208" s="24" t="n">
        <x:v>25</x:v>
      </x:c>
      <x:c r="T208" s="24" t="str">
        <x:v>tabela_hoya(1).pdf</x:v>
      </x:c>
      <x:c r="U208" s="24" t="str">
        <x:v>HOYA|Progressiva|Surfaçada|Hoyalux iD LifeStyle 4|SENSITY 2|ORGANIC|1.50|Hi-Vision LongLife BlueControl|-8.00 até +6.00||||||25</x:v>
      </x:c>
    </x:row>
    <x:row r="209">
      <x:c r="A209" s="24" t="str">
        <x:v>HY-715BEB365538</x:v>
      </x:c>
      <x:c r="B209" s="24" t="str">
        <x:v>HOYA</x:v>
      </x:c>
      <x:c r="C209" s="24" t="str">
        <x:v>Progressiva</x:v>
      </x:c>
      <x:c r="D209" s="24" t="str">
        <x:v>Surfaçada</x:v>
      </x:c>
      <x:c r="E209" s="24" t="str">
        <x:v>Hoyalux iD LifeStyle 4</x:v>
      </x:c>
      <x:c r="F209" s="24" t="str">
        <x:v>SENSITY 2</x:v>
      </x:c>
      <x:c r="G209" s="24" t="str">
        <x:v>EYNOA</x:v>
      </x:c>
      <x:c r="H209" s="24" t="str">
        <x:v>1.67</x:v>
      </x:c>
      <x:c r="I209" s="24" t="str">
        <x:v>No-Risk BlueControl</x:v>
      </x:c>
      <x:c r="J209" s="40" t="n">
        <x:v>8959</x:v>
      </x:c>
      <x:c r="K209" s="24" t="str">
        <x:v>-12.00 até +8.00</x:v>
      </x:c>
      <x:c r="L209" s="24"/>
      <x:c r="M209" s="24"/>
      <x:c r="N209" s="24"/>
      <x:c r="O209" s="24"/>
      <x:c r="P209" s="24"/>
      <x:c r="Q209" s="24" t="str">
        <x:v>DISPONÍVEL</x:v>
      </x:c>
      <x:c r="R209" s="24"/>
      <x:c r="S209" s="24" t="n">
        <x:v>25</x:v>
      </x:c>
      <x:c r="T209" s="24" t="str">
        <x:v>tabela_hoya(1).pdf</x:v>
      </x:c>
      <x:c r="U209" s="24" t="str">
        <x:v>HOYA|Progressiva|Surfaçada|Hoyalux iD LifeStyle 4|SENSITY 2|EYNOA|1.67|No-Risk BlueControl|-12.00 até +8.00||||||25</x:v>
      </x:c>
    </x:row>
    <x:row r="210">
      <x:c r="A210" s="24" t="str">
        <x:v>HY-AC9229292C7E</x:v>
      </x:c>
      <x:c r="B210" s="24" t="str">
        <x:v>HOYA</x:v>
      </x:c>
      <x:c r="C210" s="24" t="str">
        <x:v>Progressiva</x:v>
      </x:c>
      <x:c r="D210" s="24" t="str">
        <x:v>Surfaçada</x:v>
      </x:c>
      <x:c r="E210" s="24" t="str">
        <x:v>Hoyalux iD LifeStyle 4</x:v>
      </x:c>
      <x:c r="F210" s="24" t="str">
        <x:v>SENSITY 2</x:v>
      </x:c>
      <x:c r="G210" s="24" t="str">
        <x:v>EYAS 2.0</x:v>
      </x:c>
      <x:c r="H210" s="24" t="str">
        <x:v>1.60</x:v>
      </x:c>
      <x:c r="I210" s="24" t="str">
        <x:v>No-Risk BlueControl</x:v>
      </x:c>
      <x:c r="J210" s="40" t="n">
        <x:v>7159</x:v>
      </x:c>
      <x:c r="K210" s="24" t="str">
        <x:v>-10.00 até +8.00</x:v>
      </x:c>
      <x:c r="L210" s="24"/>
      <x:c r="M210" s="24"/>
      <x:c r="N210" s="24"/>
      <x:c r="O210" s="24"/>
      <x:c r="P210" s="24"/>
      <x:c r="Q210" s="24" t="str">
        <x:v>DISPONÍVEL</x:v>
      </x:c>
      <x:c r="R210" s="24"/>
      <x:c r="S210" s="24" t="n">
        <x:v>25</x:v>
      </x:c>
      <x:c r="T210" s="24" t="str">
        <x:v>tabela_hoya(1).pdf</x:v>
      </x:c>
      <x:c r="U210" s="24" t="str">
        <x:v>HOYA|Progressiva|Surfaçada|Hoyalux iD LifeStyle 4|SENSITY 2|EYAS 2.0|1.60|No-Risk BlueControl|-10.00 até +8.00||||||25</x:v>
      </x:c>
    </x:row>
    <x:row r="211">
      <x:c r="A211" s="24" t="str">
        <x:v>HY-282C96173A8A</x:v>
      </x:c>
      <x:c r="B211" s="24" t="str">
        <x:v>HOYA</x:v>
      </x:c>
      <x:c r="C211" s="24" t="str">
        <x:v>Progressiva</x:v>
      </x:c>
      <x:c r="D211" s="24" t="str">
        <x:v>Surfaçada</x:v>
      </x:c>
      <x:c r="E211" s="24" t="str">
        <x:v>Hoyalux iD LifeStyle 4</x:v>
      </x:c>
      <x:c r="F211" s="24" t="str">
        <x:v>SENSITY 2</x:v>
      </x:c>
      <x:c r="G211" s="24" t="str">
        <x:v>PNX</x:v>
      </x:c>
      <x:c r="H211" s="24" t="str">
        <x:v>1.53</x:v>
      </x:c>
      <x:c r="I211" s="24" t="str">
        <x:v>No-Risk BlueControl</x:v>
      </x:c>
      <x:c r="J211" s="40" t="n">
        <x:v>6699</x:v>
      </x:c>
      <x:c r="K211" s="24" t="str">
        <x:v>-8.00 até +6.00</x:v>
      </x:c>
      <x:c r="L211" s="24"/>
      <x:c r="M211" s="24"/>
      <x:c r="N211" s="24"/>
      <x:c r="O211" s="24"/>
      <x:c r="P211" s="24"/>
      <x:c r="Q211" s="24" t="str">
        <x:v>DISPONÍVEL</x:v>
      </x:c>
      <x:c r="R211" s="24"/>
      <x:c r="S211" s="24" t="n">
        <x:v>25</x:v>
      </x:c>
      <x:c r="T211" s="24" t="str">
        <x:v>tabela_hoya(1).pdf</x:v>
      </x:c>
      <x:c r="U211" s="24" t="str">
        <x:v>HOYA|Progressiva|Surfaçada|Hoyalux iD LifeStyle 4|SENSITY 2|PNX|1.53|No-Risk BlueControl|-8.00 até +6.00||||||25</x:v>
      </x:c>
    </x:row>
    <x:row r="212">
      <x:c r="A212" s="24" t="str">
        <x:v>HY-135E6805C6DF</x:v>
      </x:c>
      <x:c r="B212" s="24" t="str">
        <x:v>HOYA</x:v>
      </x:c>
      <x:c r="C212" s="24" t="str">
        <x:v>Progressiva</x:v>
      </x:c>
      <x:c r="D212" s="24" t="str">
        <x:v>Surfaçada</x:v>
      </x:c>
      <x:c r="E212" s="24" t="str">
        <x:v>Hoyalux iD LifeStyle 4</x:v>
      </x:c>
      <x:c r="F212" s="24" t="str">
        <x:v>SENSITY 2</x:v>
      </x:c>
      <x:c r="G212" s="24" t="str">
        <x:v>ORGANIC</x:v>
      </x:c>
      <x:c r="H212" s="24" t="str">
        <x:v>1.50</x:v>
      </x:c>
      <x:c r="I212" s="24" t="str">
        <x:v>No-Risk BlueControl</x:v>
      </x:c>
      <x:c r="J212" s="40" t="n">
        <x:v>6349</x:v>
      </x:c>
      <x:c r="K212" s="24" t="str">
        <x:v>-8.00 até +6.00</x:v>
      </x:c>
      <x:c r="L212" s="24"/>
      <x:c r="M212" s="24"/>
      <x:c r="N212" s="24"/>
      <x:c r="O212" s="24"/>
      <x:c r="P212" s="24"/>
      <x:c r="Q212" s="24" t="str">
        <x:v>DISPONÍVEL</x:v>
      </x:c>
      <x:c r="R212" s="24"/>
      <x:c r="S212" s="24" t="n">
        <x:v>25</x:v>
      </x:c>
      <x:c r="T212" s="24" t="str">
        <x:v>tabela_hoya(1).pdf</x:v>
      </x:c>
      <x:c r="U212" s="24" t="str">
        <x:v>HOYA|Progressiva|Surfaçada|Hoyalux iD LifeStyle 4|SENSITY 2|ORGANIC|1.50|No-Risk BlueControl|-8.00 até +6.00||||||25</x:v>
      </x:c>
    </x:row>
    <x:row r="213">
      <x:c r="A213" s="24" t="str">
        <x:v>HY-3BEEB8A785B4</x:v>
      </x:c>
      <x:c r="B213" s="24" t="str">
        <x:v>HOYA</x:v>
      </x:c>
      <x:c r="C213" s="24" t="str">
        <x:v>Progressiva</x:v>
      </x:c>
      <x:c r="D213" s="24" t="str">
        <x:v>Surfaçada</x:v>
      </x:c>
      <x:c r="E213" s="24" t="str">
        <x:v>Hoyalux iD LifeStyle 4</x:v>
      </x:c>
      <x:c r="F213" s="24" t="str">
        <x:v>POLARIZADO</x:v>
      </x:c>
      <x:c r="G213" s="24" t="str">
        <x:v>EYNOA</x:v>
      </x:c>
      <x:c r="H213" s="24" t="str">
        <x:v>1.67</x:v>
      </x:c>
      <x:c r="I213" s="24" t="str">
        <x:v>Hi-Vision Sun Pro</x:v>
      </x:c>
      <x:c r="J213" s="40" t="n">
        <x:v>8709</x:v>
      </x:c>
      <x:c r="K213" s="24" t="str">
        <x:v>-12.00 até +8.00</x:v>
      </x:c>
      <x:c r="L213" s="24"/>
      <x:c r="M213" s="24"/>
      <x:c r="N213" s="24"/>
      <x:c r="O213" s="24"/>
      <x:c r="P213" s="24"/>
      <x:c r="Q213" s="24" t="str">
        <x:v>DISPONÍVEL</x:v>
      </x:c>
      <x:c r="R213" s="24"/>
      <x:c r="S213" s="24" t="n">
        <x:v>25</x:v>
      </x:c>
      <x:c r="T213" s="24" t="str">
        <x:v>tabela_hoya(1).pdf</x:v>
      </x:c>
      <x:c r="U213" s="24" t="str">
        <x:v>HOYA|Progressiva|Surfaçada|Hoyalux iD LifeStyle 4|POLARIZADO|EYNOA|1.67|Hi-Vision Sun Pro|-12.00 até +8.00||||||25</x:v>
      </x:c>
    </x:row>
    <x:row r="214">
      <x:c r="A214" s="24" t="str">
        <x:v>HY-E6283F3C6031</x:v>
      </x:c>
      <x:c r="B214" s="24" t="str">
        <x:v>HOYA</x:v>
      </x:c>
      <x:c r="C214" s="24" t="str">
        <x:v>Progressiva</x:v>
      </x:c>
      <x:c r="D214" s="24" t="str">
        <x:v>Surfaçada</x:v>
      </x:c>
      <x:c r="E214" s="24" t="str">
        <x:v>Hoyalux iD LifeStyle 4</x:v>
      </x:c>
      <x:c r="F214" s="24" t="str">
        <x:v>POLARIZADO</x:v>
      </x:c>
      <x:c r="G214" s="24" t="str">
        <x:v>EYAS 2.0</x:v>
      </x:c>
      <x:c r="H214" s="24" t="str">
        <x:v>1.60</x:v>
      </x:c>
      <x:c r="I214" s="24" t="str">
        <x:v>Hi-Vision Sun Pro</x:v>
      </x:c>
      <x:c r="J214" s="40" t="n">
        <x:v>6909</x:v>
      </x:c>
      <x:c r="K214" s="24" t="str">
        <x:v>-10.00 até +8.00</x:v>
      </x:c>
      <x:c r="L214" s="24"/>
      <x:c r="M214" s="24"/>
      <x:c r="N214" s="24"/>
      <x:c r="O214" s="24"/>
      <x:c r="P214" s="24"/>
      <x:c r="Q214" s="24" t="str">
        <x:v>DISPONÍVEL</x:v>
      </x:c>
      <x:c r="R214" s="24"/>
      <x:c r="S214" s="24" t="n">
        <x:v>25</x:v>
      </x:c>
      <x:c r="T214" s="24" t="str">
        <x:v>tabela_hoya(1).pdf</x:v>
      </x:c>
      <x:c r="U214" s="24" t="str">
        <x:v>HOYA|Progressiva|Surfaçada|Hoyalux iD LifeStyle 4|POLARIZADO|EYAS 2.0|1.60|Hi-Vision Sun Pro|-10.00 até +8.00||||||25</x:v>
      </x:c>
    </x:row>
    <x:row r="215">
      <x:c r="A215" s="24" t="str">
        <x:v>HY-303C4280409E</x:v>
      </x:c>
      <x:c r="B215" s="24" t="str">
        <x:v>HOYA</x:v>
      </x:c>
      <x:c r="C215" s="24" t="str">
        <x:v>Progressiva</x:v>
      </x:c>
      <x:c r="D215" s="24" t="str">
        <x:v>Surfaçada</x:v>
      </x:c>
      <x:c r="E215" s="24" t="str">
        <x:v>Hoyalux iD LifeStyle 4</x:v>
      </x:c>
      <x:c r="F215" s="24" t="str">
        <x:v>POLARIZADO</x:v>
      </x:c>
      <x:c r="G215" s="24" t="str">
        <x:v>PNX</x:v>
      </x:c>
      <x:c r="H215" s="24" t="str">
        <x:v>1.53</x:v>
      </x:c>
      <x:c r="I215" s="24" t="str">
        <x:v>Hi-Vision Sun Pro</x:v>
      </x:c>
      <x:c r="J215" s="40" t="n">
        <x:v>6449</x:v>
      </x:c>
      <x:c r="K215" s="24" t="str">
        <x:v>-8.00 até +6.00</x:v>
      </x:c>
      <x:c r="L215" s="24"/>
      <x:c r="M215" s="24"/>
      <x:c r="N215" s="24"/>
      <x:c r="O215" s="24"/>
      <x:c r="P215" s="24"/>
      <x:c r="Q215" s="24" t="str">
        <x:v>DISPONÍVEL</x:v>
      </x:c>
      <x:c r="R215" s="24"/>
      <x:c r="S215" s="24" t="n">
        <x:v>25</x:v>
      </x:c>
      <x:c r="T215" s="24" t="str">
        <x:v>tabela_hoya(1).pdf</x:v>
      </x:c>
      <x:c r="U215" s="24" t="str">
        <x:v>HOYA|Progressiva|Surfaçada|Hoyalux iD LifeStyle 4|POLARIZADO|PNX|1.53|Hi-Vision Sun Pro|-8.00 até +6.00||||||25</x:v>
      </x:c>
    </x:row>
    <x:row r="216">
      <x:c r="A216" s="24" t="str">
        <x:v>HY-5730A64F4433</x:v>
      </x:c>
      <x:c r="B216" s="24" t="str">
        <x:v>HOYA</x:v>
      </x:c>
      <x:c r="C216" s="24" t="str">
        <x:v>Progressiva</x:v>
      </x:c>
      <x:c r="D216" s="24" t="str">
        <x:v>Surfaçada</x:v>
      </x:c>
      <x:c r="E216" s="24" t="str">
        <x:v>Hoyalux iD LifeStyle 4</x:v>
      </x:c>
      <x:c r="F216" s="24" t="str">
        <x:v>POLARIZADO</x:v>
      </x:c>
      <x:c r="G216" s="24" t="str">
        <x:v>ORGANIC</x:v>
      </x:c>
      <x:c r="H216" s="24" t="str">
        <x:v>1.50</x:v>
      </x:c>
      <x:c r="I216" s="24" t="str">
        <x:v>Hi-Vision Sun Pro</x:v>
      </x:c>
      <x:c r="J216" s="40" t="n">
        <x:v>6099</x:v>
      </x:c>
      <x:c r="K216" s="24" t="str">
        <x:v>-8.00 até +6.00</x:v>
      </x:c>
      <x:c r="L216" s="24"/>
      <x:c r="M216" s="24"/>
      <x:c r="N216" s="24"/>
      <x:c r="O216" s="24"/>
      <x:c r="P216" s="24"/>
      <x:c r="Q216" s="24" t="str">
        <x:v>DISPONÍVEL</x:v>
      </x:c>
      <x:c r="R216" s="24"/>
      <x:c r="S216" s="24" t="n">
        <x:v>25</x:v>
      </x:c>
      <x:c r="T216" s="24" t="str">
        <x:v>tabela_hoya(1).pdf</x:v>
      </x:c>
      <x:c r="U216" s="24" t="str">
        <x:v>HOYA|Progressiva|Surfaçada|Hoyalux iD LifeStyle 4|POLARIZADO|ORGANIC|1.50|Hi-Vision Sun Pro|-8.00 até +6.00||||||25</x:v>
      </x:c>
    </x:row>
    <x:row r="217">
      <x:c r="A217" s="24" t="str">
        <x:v>HY-0526B573DE35</x:v>
      </x:c>
      <x:c r="B217" s="24" t="str">
        <x:v>HOYA</x:v>
      </x:c>
      <x:c r="C217" s="24" t="str">
        <x:v>Progressiva</x:v>
      </x:c>
      <x:c r="D217" s="24" t="str">
        <x:v>Surfaçada</x:v>
      </x:c>
      <x:c r="E217" s="24" t="str">
        <x:v>Hoyalux Balansis</x:v>
      </x:c>
      <x:c r="F217" s="24" t="str">
        <x:v>INCOLOR</x:v>
      </x:c>
      <x:c r="G217" s="24" t="str">
        <x:v>EYNOA</x:v>
      </x:c>
      <x:c r="H217" s="24" t="str">
        <x:v>1.67</x:v>
      </x:c>
      <x:c r="I217" s="24" t="str">
        <x:v>Hi-Vision LongLife BlueControl</x:v>
      </x:c>
      <x:c r="J217" s="40" t="n">
        <x:v>6959</x:v>
      </x:c>
      <x:c r="K217" s="24" t="str">
        <x:v>-12.00 até +8.00</x:v>
      </x:c>
      <x:c r="L217" s="24"/>
      <x:c r="M217" s="24"/>
      <x:c r="N217" s="24"/>
      <x:c r="O217" s="24"/>
      <x:c r="P217" s="24"/>
      <x:c r="Q217" s="24" t="str">
        <x:v>DISPONÍVEL</x:v>
      </x:c>
      <x:c r="R217" s="24"/>
      <x:c r="S217" s="24" t="n">
        <x:v>26</x:v>
      </x:c>
      <x:c r="T217" s="24" t="str">
        <x:v>tabela_hoya(1).pdf</x:v>
      </x:c>
      <x:c r="U217" s="24" t="str">
        <x:v>HOYA|Progressiva|Surfaçada|Hoyalux Balansis|INCOLOR|EYNOA|1.67|Hi-Vision LongLife BlueControl|-12.00 até +8.00||||||26</x:v>
      </x:c>
    </x:row>
    <x:row r="218">
      <x:c r="A218" s="24" t="str">
        <x:v>HY-BBC930FBA5E1</x:v>
      </x:c>
      <x:c r="B218" s="24" t="str">
        <x:v>HOYA</x:v>
      </x:c>
      <x:c r="C218" s="24" t="str">
        <x:v>Progressiva</x:v>
      </x:c>
      <x:c r="D218" s="24" t="str">
        <x:v>Surfaçada</x:v>
      </x:c>
      <x:c r="E218" s="24" t="str">
        <x:v>Hoyalux Balansis</x:v>
      </x:c>
      <x:c r="F218" s="24" t="str">
        <x:v>INCOLOR</x:v>
      </x:c>
      <x:c r="G218" s="24" t="str">
        <x:v>EYAS 2.0</x:v>
      </x:c>
      <x:c r="H218" s="24" t="str">
        <x:v>1.60</x:v>
      </x:c>
      <x:c r="I218" s="24" t="str">
        <x:v>Hi-Vision LongLife BlueControl</x:v>
      </x:c>
      <x:c r="J218" s="40" t="n">
        <x:v>5159</x:v>
      </x:c>
      <x:c r="K218" s="24"/>
      <x:c r="L218" s="24"/>
      <x:c r="M218" s="24"/>
      <x:c r="N218" s="24"/>
      <x:c r="O218" s="24"/>
      <x:c r="P218" s="24"/>
      <x:c r="Q218" s="24" t="str">
        <x:v>DISPONÍVEL</x:v>
      </x:c>
      <x:c r="R218" s="24"/>
      <x:c r="S218" s="24" t="n">
        <x:v>26</x:v>
      </x:c>
      <x:c r="T218" s="24" t="str">
        <x:v>tabela_hoya(1).pdf</x:v>
      </x:c>
      <x:c r="U218" s="24" t="str">
        <x:v>HOYA|Progressiva|Surfaçada|Hoyalux Balansis|INCOLOR|EYAS 2.0|1.60|Hi-Vision LongLife BlueControl|||||||26</x:v>
      </x:c>
    </x:row>
    <x:row r="219">
      <x:c r="A219" s="24" t="str">
        <x:v>HY-5E39D08E9439</x:v>
      </x:c>
      <x:c r="B219" s="24" t="str">
        <x:v>HOYA</x:v>
      </x:c>
      <x:c r="C219" s="24" t="str">
        <x:v>Progressiva</x:v>
      </x:c>
      <x:c r="D219" s="24" t="str">
        <x:v>Surfaçada</x:v>
      </x:c>
      <x:c r="E219" s="24" t="str">
        <x:v>Hoyalux Balansis</x:v>
      </x:c>
      <x:c r="F219" s="24" t="str">
        <x:v>INCOLOR</x:v>
      </x:c>
      <x:c r="G219" s="24" t="str">
        <x:v>PNX</x:v>
      </x:c>
      <x:c r="H219" s="24" t="str">
        <x:v>1.53</x:v>
      </x:c>
      <x:c r="I219" s="24" t="str">
        <x:v>Hi-Vision LongLife BlueControl</x:v>
      </x:c>
      <x:c r="J219" s="40" t="n">
        <x:v>4699</x:v>
      </x:c>
      <x:c r="K219" s="24" t="str">
        <x:v>-8.00 até +6.00</x:v>
      </x:c>
      <x:c r="L219" s="24"/>
      <x:c r="M219" s="24"/>
      <x:c r="N219" s="24"/>
      <x:c r="O219" s="24"/>
      <x:c r="P219" s="24"/>
      <x:c r="Q219" s="24" t="str">
        <x:v>DISPONÍVEL</x:v>
      </x:c>
      <x:c r="R219" s="24"/>
      <x:c r="S219" s="24" t="n">
        <x:v>26</x:v>
      </x:c>
      <x:c r="T219" s="24" t="str">
        <x:v>tabela_hoya(1).pdf</x:v>
      </x:c>
      <x:c r="U219" s="24" t="str">
        <x:v>HOYA|Progressiva|Surfaçada|Hoyalux Balansis|INCOLOR|PNX|1.53|Hi-Vision LongLife BlueControl|-8.00 até +6.00||||||26</x:v>
      </x:c>
    </x:row>
    <x:row r="220">
      <x:c r="A220" s="24" t="str">
        <x:v>HY-39557AC4D7B7</x:v>
      </x:c>
      <x:c r="B220" s="24" t="str">
        <x:v>HOYA</x:v>
      </x:c>
      <x:c r="C220" s="24" t="str">
        <x:v>Progressiva</x:v>
      </x:c>
      <x:c r="D220" s="24" t="str">
        <x:v>Surfaçada</x:v>
      </x:c>
      <x:c r="E220" s="24" t="str">
        <x:v>Hoyalux Balansis</x:v>
      </x:c>
      <x:c r="F220" s="24" t="str">
        <x:v>INCOLOR</x:v>
      </x:c>
      <x:c r="G220" s="24" t="str">
        <x:v>ORGANIC</x:v>
      </x:c>
      <x:c r="H220" s="24" t="str">
        <x:v>1.50</x:v>
      </x:c>
      <x:c r="I220" s="24" t="str">
        <x:v>Hi-Vision LongLife BlueControl</x:v>
      </x:c>
      <x:c r="J220" s="40" t="n">
        <x:v>4349</x:v>
      </x:c>
      <x:c r="K220" s="24" t="str">
        <x:v>-8.00 até +6.00</x:v>
      </x:c>
      <x:c r="L220" s="24"/>
      <x:c r="M220" s="24"/>
      <x:c r="N220" s="24"/>
      <x:c r="O220" s="24"/>
      <x:c r="P220" s="24"/>
      <x:c r="Q220" s="24" t="str">
        <x:v>DISPONÍVEL</x:v>
      </x:c>
      <x:c r="R220" s="24"/>
      <x:c r="S220" s="24" t="n">
        <x:v>26</x:v>
      </x:c>
      <x:c r="T220" s="24" t="str">
        <x:v>tabela_hoya(1).pdf</x:v>
      </x:c>
      <x:c r="U220" s="24" t="str">
        <x:v>HOYA|Progressiva|Surfaçada|Hoyalux Balansis|INCOLOR|ORGANIC|1.50|Hi-Vision LongLife BlueControl|-8.00 até +6.00||||||26</x:v>
      </x:c>
    </x:row>
    <x:row r="221">
      <x:c r="A221" s="24" t="str">
        <x:v>HY-DA25F6DC7234</x:v>
      </x:c>
      <x:c r="B221" s="24" t="str">
        <x:v>HOYA</x:v>
      </x:c>
      <x:c r="C221" s="24" t="str">
        <x:v>Progressiva</x:v>
      </x:c>
      <x:c r="D221" s="24" t="str">
        <x:v>Surfaçada</x:v>
      </x:c>
      <x:c r="E221" s="24" t="str">
        <x:v>Hoyalux Balansis</x:v>
      </x:c>
      <x:c r="F221" s="24" t="str">
        <x:v>INCOLOR</x:v>
      </x:c>
      <x:c r="G221" s="24" t="str">
        <x:v>EYNOA</x:v>
      </x:c>
      <x:c r="H221" s="24" t="str">
        <x:v>1.67</x:v>
      </x:c>
      <x:c r="I221" s="24" t="str">
        <x:v>No-Risk BlueControl</x:v>
      </x:c>
      <x:c r="J221" s="40" t="n">
        <x:v>6709</x:v>
      </x:c>
      <x:c r="K221" s="24" t="str">
        <x:v>-12.00 até +8.00</x:v>
      </x:c>
      <x:c r="L221" s="24"/>
      <x:c r="M221" s="24"/>
      <x:c r="N221" s="24"/>
      <x:c r="O221" s="24"/>
      <x:c r="P221" s="24"/>
      <x:c r="Q221" s="24" t="str">
        <x:v>DISPONÍVEL</x:v>
      </x:c>
      <x:c r="R221" s="24"/>
      <x:c r="S221" s="24" t="n">
        <x:v>26</x:v>
      </x:c>
      <x:c r="T221" s="24" t="str">
        <x:v>tabela_hoya(1).pdf</x:v>
      </x:c>
      <x:c r="U221" s="24" t="str">
        <x:v>HOYA|Progressiva|Surfaçada|Hoyalux Balansis|INCOLOR|EYNOA|1.67|No-Risk BlueControl|-12.00 até +8.00||||||26</x:v>
      </x:c>
    </x:row>
    <x:row r="222">
      <x:c r="A222" s="24" t="str">
        <x:v>HY-65F2509C6BF1</x:v>
      </x:c>
      <x:c r="B222" s="24" t="str">
        <x:v>HOYA</x:v>
      </x:c>
      <x:c r="C222" s="24" t="str">
        <x:v>Progressiva</x:v>
      </x:c>
      <x:c r="D222" s="24" t="str">
        <x:v>Surfaçada</x:v>
      </x:c>
      <x:c r="E222" s="24" t="str">
        <x:v>Hoyalux Balansis</x:v>
      </x:c>
      <x:c r="F222" s="24" t="str">
        <x:v>INCOLOR</x:v>
      </x:c>
      <x:c r="G222" s="24" t="str">
        <x:v>EYAS 2.0</x:v>
      </x:c>
      <x:c r="H222" s="24" t="str">
        <x:v>1.60</x:v>
      </x:c>
      <x:c r="I222" s="24" t="str">
        <x:v>No-Risk BlueControl</x:v>
      </x:c>
      <x:c r="J222" s="40" t="n">
        <x:v>4909</x:v>
      </x:c>
      <x:c r="K222" s="24"/>
      <x:c r="L222" s="24"/>
      <x:c r="M222" s="24"/>
      <x:c r="N222" s="24"/>
      <x:c r="O222" s="24"/>
      <x:c r="P222" s="24"/>
      <x:c r="Q222" s="24" t="str">
        <x:v>DISPONÍVEL</x:v>
      </x:c>
      <x:c r="R222" s="24"/>
      <x:c r="S222" s="24" t="n">
        <x:v>26</x:v>
      </x:c>
      <x:c r="T222" s="24" t="str">
        <x:v>tabela_hoya(1).pdf</x:v>
      </x:c>
      <x:c r="U222" s="24" t="str">
        <x:v>HOYA|Progressiva|Surfaçada|Hoyalux Balansis|INCOLOR|EYAS 2.0|1.60|No-Risk BlueControl|||||||26</x:v>
      </x:c>
    </x:row>
    <x:row r="223">
      <x:c r="A223" s="24" t="str">
        <x:v>HY-9BA487390DA1</x:v>
      </x:c>
      <x:c r="B223" s="24" t="str">
        <x:v>HOYA</x:v>
      </x:c>
      <x:c r="C223" s="24" t="str">
        <x:v>Progressiva</x:v>
      </x:c>
      <x:c r="D223" s="24" t="str">
        <x:v>Surfaçada</x:v>
      </x:c>
      <x:c r="E223" s="24" t="str">
        <x:v>Hoyalux Balansis</x:v>
      </x:c>
      <x:c r="F223" s="24" t="str">
        <x:v>INCOLOR</x:v>
      </x:c>
      <x:c r="G223" s="24" t="str">
        <x:v>PNX</x:v>
      </x:c>
      <x:c r="H223" s="24" t="str">
        <x:v>1.53</x:v>
      </x:c>
      <x:c r="I223" s="24" t="str">
        <x:v>No-Risk BlueControl</x:v>
      </x:c>
      <x:c r="J223" s="40" t="n">
        <x:v>4449</x:v>
      </x:c>
      <x:c r="K223" s="24" t="str">
        <x:v>-8.00 até +6.00</x:v>
      </x:c>
      <x:c r="L223" s="24"/>
      <x:c r="M223" s="24"/>
      <x:c r="N223" s="24"/>
      <x:c r="O223" s="24"/>
      <x:c r="P223" s="24"/>
      <x:c r="Q223" s="24" t="str">
        <x:v>DISPONÍVEL</x:v>
      </x:c>
      <x:c r="R223" s="24"/>
      <x:c r="S223" s="24" t="n">
        <x:v>26</x:v>
      </x:c>
      <x:c r="T223" s="24" t="str">
        <x:v>tabela_hoya(1).pdf</x:v>
      </x:c>
      <x:c r="U223" s="24" t="str">
        <x:v>HOYA|Progressiva|Surfaçada|Hoyalux Balansis|INCOLOR|PNX|1.53|No-Risk BlueControl|-8.00 até +6.00||||||26</x:v>
      </x:c>
    </x:row>
    <x:row r="224">
      <x:c r="A224" s="24" t="str">
        <x:v>HY-F15D3A0C1E39</x:v>
      </x:c>
      <x:c r="B224" s="24" t="str">
        <x:v>HOYA</x:v>
      </x:c>
      <x:c r="C224" s="24" t="str">
        <x:v>Progressiva</x:v>
      </x:c>
      <x:c r="D224" s="24" t="str">
        <x:v>Surfaçada</x:v>
      </x:c>
      <x:c r="E224" s="24" t="str">
        <x:v>Hoyalux Balansis</x:v>
      </x:c>
      <x:c r="F224" s="24" t="str">
        <x:v>INCOLOR</x:v>
      </x:c>
      <x:c r="G224" s="24" t="str">
        <x:v>ORGANIC</x:v>
      </x:c>
      <x:c r="H224" s="24" t="str">
        <x:v>1.50</x:v>
      </x:c>
      <x:c r="I224" s="24" t="str">
        <x:v>No-Risk BlueControl</x:v>
      </x:c>
      <x:c r="J224" s="40" t="n">
        <x:v>4099</x:v>
      </x:c>
      <x:c r="K224" s="24" t="str">
        <x:v>-8.00 até +6.00</x:v>
      </x:c>
      <x:c r="L224" s="24"/>
      <x:c r="M224" s="24"/>
      <x:c r="N224" s="24"/>
      <x:c r="O224" s="24"/>
      <x:c r="P224" s="24"/>
      <x:c r="Q224" s="24" t="str">
        <x:v>DISPONÍVEL</x:v>
      </x:c>
      <x:c r="R224" s="24"/>
      <x:c r="S224" s="24" t="n">
        <x:v>26</x:v>
      </x:c>
      <x:c r="T224" s="24" t="str">
        <x:v>tabela_hoya(1).pdf</x:v>
      </x:c>
      <x:c r="U224" s="24" t="str">
        <x:v>HOYA|Progressiva|Surfaçada|Hoyalux Balansis|INCOLOR|ORGANIC|1.50|No-Risk BlueControl|-8.00 até +6.00||||||26</x:v>
      </x:c>
    </x:row>
    <x:row r="225">
      <x:c r="A225" s="24" t="str">
        <x:v>HY-F43D2902DF88</x:v>
      </x:c>
      <x:c r="B225" s="24" t="str">
        <x:v>HOYA</x:v>
      </x:c>
      <x:c r="C225" s="24" t="str">
        <x:v>Progressiva</x:v>
      </x:c>
      <x:c r="D225" s="24" t="str">
        <x:v>Surfaçada</x:v>
      </x:c>
      <x:c r="E225" s="24" t="str">
        <x:v>Hoyalux Balansis</x:v>
      </x:c>
      <x:c r="F225" s="24" t="str">
        <x:v>SENSITY 2</x:v>
      </x:c>
      <x:c r="G225" s="24" t="str">
        <x:v>EYNOA</x:v>
      </x:c>
      <x:c r="H225" s="24" t="str">
        <x:v>1.67</x:v>
      </x:c>
      <x:c r="I225" s="24" t="str">
        <x:v>Hi-Vision LongLife BlueControl</x:v>
      </x:c>
      <x:c r="J225" s="40" t="n">
        <x:v>8359</x:v>
      </x:c>
      <x:c r="K225" s="24" t="str">
        <x:v>-12.00 até +8.00</x:v>
      </x:c>
      <x:c r="L225" s="24"/>
      <x:c r="M225" s="24"/>
      <x:c r="N225" s="24"/>
      <x:c r="O225" s="24"/>
      <x:c r="P225" s="24"/>
      <x:c r="Q225" s="24" t="str">
        <x:v>DISPONÍVEL</x:v>
      </x:c>
      <x:c r="R225" s="24"/>
      <x:c r="S225" s="24" t="n">
        <x:v>26</x:v>
      </x:c>
      <x:c r="T225" s="24" t="str">
        <x:v>tabela_hoya(1).pdf</x:v>
      </x:c>
      <x:c r="U225" s="24" t="str">
        <x:v>HOYA|Progressiva|Surfaçada|Hoyalux Balansis|SENSITY 2|EYNOA|1.67|Hi-Vision LongLife BlueControl|-12.00 até +8.00||||||26</x:v>
      </x:c>
    </x:row>
    <x:row r="226">
      <x:c r="A226" s="24" t="str">
        <x:v>HY-39261DA82349</x:v>
      </x:c>
      <x:c r="B226" s="24" t="str">
        <x:v>HOYA</x:v>
      </x:c>
      <x:c r="C226" s="24" t="str">
        <x:v>Progressiva</x:v>
      </x:c>
      <x:c r="D226" s="24" t="str">
        <x:v>Surfaçada</x:v>
      </x:c>
      <x:c r="E226" s="24" t="str">
        <x:v>Hoyalux Balansis</x:v>
      </x:c>
      <x:c r="F226" s="24" t="str">
        <x:v>SENSITY 2</x:v>
      </x:c>
      <x:c r="G226" s="24" t="str">
        <x:v>PNX</x:v>
      </x:c>
      <x:c r="H226" s="24" t="str">
        <x:v>1.53</x:v>
      </x:c>
      <x:c r="I226" s="24" t="str">
        <x:v>Hi-Vision LongLife BlueControl</x:v>
      </x:c>
      <x:c r="J226" s="40" t="n">
        <x:v>6099</x:v>
      </x:c>
      <x:c r="K226" s="24" t="str">
        <x:v>-8.00 até +6.00</x:v>
      </x:c>
      <x:c r="L226" s="24"/>
      <x:c r="M226" s="24"/>
      <x:c r="N226" s="24"/>
      <x:c r="O226" s="24"/>
      <x:c r="P226" s="24"/>
      <x:c r="Q226" s="24" t="str">
        <x:v>DISPONÍVEL</x:v>
      </x:c>
      <x:c r="R226" s="24"/>
      <x:c r="S226" s="24" t="n">
        <x:v>26</x:v>
      </x:c>
      <x:c r="T226" s="24" t="str">
        <x:v>tabela_hoya(1).pdf</x:v>
      </x:c>
      <x:c r="U226" s="24" t="str">
        <x:v>HOYA|Progressiva|Surfaçada|Hoyalux Balansis|SENSITY 2|PNX|1.53|Hi-Vision LongLife BlueControl|-8.00 até +6.00||||||26</x:v>
      </x:c>
    </x:row>
    <x:row r="227">
      <x:c r="A227" s="24" t="str">
        <x:v>HY-7168F29DCAB3</x:v>
      </x:c>
      <x:c r="B227" s="24" t="str">
        <x:v>HOYA</x:v>
      </x:c>
      <x:c r="C227" s="24" t="str">
        <x:v>Progressiva</x:v>
      </x:c>
      <x:c r="D227" s="24" t="str">
        <x:v>Surfaçada</x:v>
      </x:c>
      <x:c r="E227" s="24" t="str">
        <x:v>Hoyalux Balansis</x:v>
      </x:c>
      <x:c r="F227" s="24" t="str">
        <x:v>SENSITY 2</x:v>
      </x:c>
      <x:c r="G227" s="24" t="str">
        <x:v>ORGANIC</x:v>
      </x:c>
      <x:c r="H227" s="24" t="str">
        <x:v>1.50</x:v>
      </x:c>
      <x:c r="I227" s="24" t="str">
        <x:v>Hi-Vision LongLife BlueControl</x:v>
      </x:c>
      <x:c r="J227" s="40" t="n">
        <x:v>5749</x:v>
      </x:c>
      <x:c r="K227" s="24" t="str">
        <x:v>-8.00 até +6.00</x:v>
      </x:c>
      <x:c r="L227" s="24"/>
      <x:c r="M227" s="24"/>
      <x:c r="N227" s="24"/>
      <x:c r="O227" s="24"/>
      <x:c r="P227" s="24"/>
      <x:c r="Q227" s="24" t="str">
        <x:v>DISPONÍVEL</x:v>
      </x:c>
      <x:c r="R227" s="24"/>
      <x:c r="S227" s="24" t="n">
        <x:v>26</x:v>
      </x:c>
      <x:c r="T227" s="24" t="str">
        <x:v>tabela_hoya(1).pdf</x:v>
      </x:c>
      <x:c r="U227" s="24" t="str">
        <x:v>HOYA|Progressiva|Surfaçada|Hoyalux Balansis|SENSITY 2|ORGANIC|1.50|Hi-Vision LongLife BlueControl|-8.00 até +6.00||||||26</x:v>
      </x:c>
    </x:row>
    <x:row r="228">
      <x:c r="A228" s="24" t="str">
        <x:v>HY-C3B5765DF92B</x:v>
      </x:c>
      <x:c r="B228" s="24" t="str">
        <x:v>HOYA</x:v>
      </x:c>
      <x:c r="C228" s="24" t="str">
        <x:v>Progressiva</x:v>
      </x:c>
      <x:c r="D228" s="24" t="str">
        <x:v>Surfaçada</x:v>
      </x:c>
      <x:c r="E228" s="24" t="str">
        <x:v>Hoyalux Balansis</x:v>
      </x:c>
      <x:c r="F228" s="24" t="str">
        <x:v>SENSITY 2</x:v>
      </x:c>
      <x:c r="G228" s="24" t="str">
        <x:v>EYNOA</x:v>
      </x:c>
      <x:c r="H228" s="24" t="str">
        <x:v>1.67</x:v>
      </x:c>
      <x:c r="I228" s="24" t="str">
        <x:v>No-Risk BlueControl</x:v>
      </x:c>
      <x:c r="J228" s="40" t="n">
        <x:v>8109</x:v>
      </x:c>
      <x:c r="K228" s="24" t="str">
        <x:v>-12.00 até +8.00</x:v>
      </x:c>
      <x:c r="L228" s="24"/>
      <x:c r="M228" s="24"/>
      <x:c r="N228" s="24"/>
      <x:c r="O228" s="24"/>
      <x:c r="P228" s="24"/>
      <x:c r="Q228" s="24" t="str">
        <x:v>DISPONÍVEL</x:v>
      </x:c>
      <x:c r="R228" s="24"/>
      <x:c r="S228" s="24" t="n">
        <x:v>26</x:v>
      </x:c>
      <x:c r="T228" s="24" t="str">
        <x:v>tabela_hoya(1).pdf</x:v>
      </x:c>
      <x:c r="U228" s="24" t="str">
        <x:v>HOYA|Progressiva|Surfaçada|Hoyalux Balansis|SENSITY 2|EYNOA|1.67|No-Risk BlueControl|-12.00 até +8.00||||||26</x:v>
      </x:c>
    </x:row>
    <x:row r="229">
      <x:c r="A229" s="24" t="str">
        <x:v>HY-56E45ABE51CD</x:v>
      </x:c>
      <x:c r="B229" s="24" t="str">
        <x:v>HOYA</x:v>
      </x:c>
      <x:c r="C229" s="24" t="str">
        <x:v>Progressiva</x:v>
      </x:c>
      <x:c r="D229" s="24" t="str">
        <x:v>Surfaçada</x:v>
      </x:c>
      <x:c r="E229" s="24" t="str">
        <x:v>Hoyalux Balansis</x:v>
      </x:c>
      <x:c r="F229" s="24" t="str">
        <x:v>SENSITY 2</x:v>
      </x:c>
      <x:c r="G229" s="24" t="str">
        <x:v>PNX</x:v>
      </x:c>
      <x:c r="H229" s="24" t="str">
        <x:v>1.53</x:v>
      </x:c>
      <x:c r="I229" s="24" t="str">
        <x:v>No-Risk BlueControl</x:v>
      </x:c>
      <x:c r="J229" s="40" t="n">
        <x:v>5849</x:v>
      </x:c>
      <x:c r="K229" s="24" t="str">
        <x:v>-8.00 até +6.00</x:v>
      </x:c>
      <x:c r="L229" s="24"/>
      <x:c r="M229" s="24"/>
      <x:c r="N229" s="24"/>
      <x:c r="O229" s="24"/>
      <x:c r="P229" s="24"/>
      <x:c r="Q229" s="24" t="str">
        <x:v>DISPONÍVEL</x:v>
      </x:c>
      <x:c r="R229" s="24"/>
      <x:c r="S229" s="24" t="n">
        <x:v>26</x:v>
      </x:c>
      <x:c r="T229" s="24" t="str">
        <x:v>tabela_hoya(1).pdf</x:v>
      </x:c>
      <x:c r="U229" s="24" t="str">
        <x:v>HOYA|Progressiva|Surfaçada|Hoyalux Balansis|SENSITY 2|PNX|1.53|No-Risk BlueControl|-8.00 até +6.00||||||26</x:v>
      </x:c>
    </x:row>
    <x:row r="230">
      <x:c r="A230" s="24" t="str">
        <x:v>HY-4A628CF7C450</x:v>
      </x:c>
      <x:c r="B230" s="24" t="str">
        <x:v>HOYA</x:v>
      </x:c>
      <x:c r="C230" s="24" t="str">
        <x:v>Progressiva</x:v>
      </x:c>
      <x:c r="D230" s="24" t="str">
        <x:v>Surfaçada</x:v>
      </x:c>
      <x:c r="E230" s="24" t="str">
        <x:v>Hoyalux Balansis</x:v>
      </x:c>
      <x:c r="F230" s="24" t="str">
        <x:v>SENSITY 2</x:v>
      </x:c>
      <x:c r="G230" s="24" t="str">
        <x:v>ORGANIC</x:v>
      </x:c>
      <x:c r="H230" s="24" t="str">
        <x:v>1.50</x:v>
      </x:c>
      <x:c r="I230" s="24" t="str">
        <x:v>No-Risk BlueControl</x:v>
      </x:c>
      <x:c r="J230" s="40" t="n">
        <x:v>5499</x:v>
      </x:c>
      <x:c r="K230" s="24" t="str">
        <x:v>-8.00 até +6.00</x:v>
      </x:c>
      <x:c r="L230" s="24"/>
      <x:c r="M230" s="24"/>
      <x:c r="N230" s="24"/>
      <x:c r="O230" s="24"/>
      <x:c r="P230" s="24"/>
      <x:c r="Q230" s="24" t="str">
        <x:v>DISPONÍVEL</x:v>
      </x:c>
      <x:c r="R230" s="24"/>
      <x:c r="S230" s="24" t="n">
        <x:v>26</x:v>
      </x:c>
      <x:c r="T230" s="24" t="str">
        <x:v>tabela_hoya(1).pdf</x:v>
      </x:c>
      <x:c r="U230" s="24" t="str">
        <x:v>HOYA|Progressiva|Surfaçada|Hoyalux Balansis|SENSITY 2|ORGANIC|1.50|No-Risk BlueControl|-8.00 até +6.00||||||26</x:v>
      </x:c>
    </x:row>
    <x:row r="231">
      <x:c r="A231" s="24" t="str">
        <x:v>HY-B132D8AC1273</x:v>
      </x:c>
      <x:c r="B231" s="24" t="str">
        <x:v>HOYA</x:v>
      </x:c>
      <x:c r="C231" s="24" t="str">
        <x:v>Progressiva</x:v>
      </x:c>
      <x:c r="D231" s="24" t="str">
        <x:v>Surfaçada</x:v>
      </x:c>
      <x:c r="E231" s="24" t="str">
        <x:v>Hoyalux Balansis</x:v>
      </x:c>
      <x:c r="F231" s="24" t="str">
        <x:v>COLORIDAS</x:v>
      </x:c>
      <x:c r="G231" s="24" t="str">
        <x:v>EYNOA</x:v>
      </x:c>
      <x:c r="H231" s="24" t="str">
        <x:v>1.67</x:v>
      </x:c>
      <x:c r="I231" s="24" t="str">
        <x:v>Hi-Vision Sun Pro</x:v>
      </x:c>
      <x:c r="J231" s="40" t="n">
        <x:v>6999</x:v>
      </x:c>
      <x:c r="K231" s="24" t="str">
        <x:v>-12.00 até +8.00</x:v>
      </x:c>
      <x:c r="L231" s="24"/>
      <x:c r="M231" s="24"/>
      <x:c r="N231" s="24"/>
      <x:c r="O231" s="24"/>
      <x:c r="P231" s="24"/>
      <x:c r="Q231" s="24" t="str">
        <x:v>DISPONÍVEL</x:v>
      </x:c>
      <x:c r="R231" s="24"/>
      <x:c r="S231" s="24" t="n">
        <x:v>26</x:v>
      </x:c>
      <x:c r="T231" s="24" t="str">
        <x:v>tabela_hoya(1).pdf</x:v>
      </x:c>
      <x:c r="U231" s="24" t="str">
        <x:v>HOYA|Progressiva|Surfaçada|Hoyalux Balansis|COLORIDAS|EYNOA|1.67|Hi-Vision Sun Pro|-12.00 até +8.00||||||26</x:v>
      </x:c>
    </x:row>
    <x:row r="232">
      <x:c r="A232" s="24" t="str">
        <x:v>HY-A9B328DF79F9</x:v>
      </x:c>
      <x:c r="B232" s="24" t="str">
        <x:v>HOYA</x:v>
      </x:c>
      <x:c r="C232" s="24" t="str">
        <x:v>Progressiva</x:v>
      </x:c>
      <x:c r="D232" s="24" t="str">
        <x:v>Surfaçada</x:v>
      </x:c>
      <x:c r="E232" s="24" t="str">
        <x:v>Hoyalux Balansis</x:v>
      </x:c>
      <x:c r="F232" s="24" t="str">
        <x:v>COLORIDAS</x:v>
      </x:c>
      <x:c r="G232" s="24" t="str">
        <x:v>EYAS 2.0</x:v>
      </x:c>
      <x:c r="H232" s="24" t="str">
        <x:v>1.60</x:v>
      </x:c>
      <x:c r="I232" s="24" t="str">
        <x:v>Hi-Vision Sun Pro</x:v>
      </x:c>
      <x:c r="J232" s="40" t="n">
        <x:v>5199</x:v>
      </x:c>
      <x:c r="K232" s="24"/>
      <x:c r="L232" s="24"/>
      <x:c r="M232" s="24"/>
      <x:c r="N232" s="24"/>
      <x:c r="O232" s="24"/>
      <x:c r="P232" s="24"/>
      <x:c r="Q232" s="24" t="str">
        <x:v>DISPONÍVEL</x:v>
      </x:c>
      <x:c r="R232" s="24"/>
      <x:c r="S232" s="24" t="n">
        <x:v>26</x:v>
      </x:c>
      <x:c r="T232" s="24" t="str">
        <x:v>tabela_hoya(1).pdf</x:v>
      </x:c>
      <x:c r="U232" s="24" t="str">
        <x:v>HOYA|Progressiva|Surfaçada|Hoyalux Balansis|COLORIDAS|EYAS 2.0|1.60|Hi-Vision Sun Pro|||||||26</x:v>
      </x:c>
    </x:row>
    <x:row r="233">
      <x:c r="A233" s="24" t="str">
        <x:v>HY-C3DC66B7B424</x:v>
      </x:c>
      <x:c r="B233" s="24" t="str">
        <x:v>HOYA</x:v>
      </x:c>
      <x:c r="C233" s="24" t="str">
        <x:v>Progressiva</x:v>
      </x:c>
      <x:c r="D233" s="24" t="str">
        <x:v>Surfaçada</x:v>
      </x:c>
      <x:c r="E233" s="24" t="str">
        <x:v>Hoyalux Balansis</x:v>
      </x:c>
      <x:c r="F233" s="24" t="str">
        <x:v>COLORIDAS</x:v>
      </x:c>
      <x:c r="G233" s="24" t="str">
        <x:v>PNX</x:v>
      </x:c>
      <x:c r="H233" s="24" t="str">
        <x:v>1.53</x:v>
      </x:c>
      <x:c r="I233" s="24" t="str">
        <x:v>Hi-Vision Sun Pro</x:v>
      </x:c>
      <x:c r="J233" s="40" t="n">
        <x:v>4739</x:v>
      </x:c>
      <x:c r="K233" s="24" t="str">
        <x:v>-8.00 até +6.00</x:v>
      </x:c>
      <x:c r="L233" s="24"/>
      <x:c r="M233" s="24"/>
      <x:c r="N233" s="24"/>
      <x:c r="O233" s="24"/>
      <x:c r="P233" s="24"/>
      <x:c r="Q233" s="24" t="str">
        <x:v>DISPONÍVEL</x:v>
      </x:c>
      <x:c r="R233" s="24"/>
      <x:c r="S233" s="24" t="n">
        <x:v>26</x:v>
      </x:c>
      <x:c r="T233" s="24" t="str">
        <x:v>tabela_hoya(1).pdf</x:v>
      </x:c>
      <x:c r="U233" s="24" t="str">
        <x:v>HOYA|Progressiva|Surfaçada|Hoyalux Balansis|COLORIDAS|PNX|1.53|Hi-Vision Sun Pro|-8.00 até +6.00||||||26</x:v>
      </x:c>
    </x:row>
    <x:row r="234">
      <x:c r="A234" s="24" t="str">
        <x:v>HY-A42A061ECF9A</x:v>
      </x:c>
      <x:c r="B234" s="24" t="str">
        <x:v>HOYA</x:v>
      </x:c>
      <x:c r="C234" s="24" t="str">
        <x:v>Progressiva</x:v>
      </x:c>
      <x:c r="D234" s="24" t="str">
        <x:v>Surfaçada</x:v>
      </x:c>
      <x:c r="E234" s="24" t="str">
        <x:v>Hoyalux Balansis</x:v>
      </x:c>
      <x:c r="F234" s="24" t="str">
        <x:v>COLORIDAS</x:v>
      </x:c>
      <x:c r="G234" s="24" t="str">
        <x:v>ORGANIC</x:v>
      </x:c>
      <x:c r="H234" s="24" t="str">
        <x:v>1.50</x:v>
      </x:c>
      <x:c r="I234" s="24" t="str">
        <x:v>Hi-Vision Sun Pro</x:v>
      </x:c>
      <x:c r="J234" s="40" t="n">
        <x:v>4389</x:v>
      </x:c>
      <x:c r="K234" s="24" t="str">
        <x:v>-8.00 até +6.00</x:v>
      </x:c>
      <x:c r="L234" s="24"/>
      <x:c r="M234" s="24"/>
      <x:c r="N234" s="24"/>
      <x:c r="O234" s="24"/>
      <x:c r="P234" s="24"/>
      <x:c r="Q234" s="24" t="str">
        <x:v>DISPONÍVEL</x:v>
      </x:c>
      <x:c r="R234" s="24"/>
      <x:c r="S234" s="24" t="n">
        <x:v>26</x:v>
      </x:c>
      <x:c r="T234" s="24" t="str">
        <x:v>tabela_hoya(1).pdf</x:v>
      </x:c>
      <x:c r="U234" s="24" t="str">
        <x:v>HOYA|Progressiva|Surfaçada|Hoyalux Balansis|COLORIDAS|ORGANIC|1.50|Hi-Vision Sun Pro|-8.00 até +6.00||||||26</x:v>
      </x:c>
    </x:row>
    <x:row r="235">
      <x:c r="A235" s="24" t="str">
        <x:v>HY-578F711AFC46</x:v>
      </x:c>
      <x:c r="B235" s="24" t="str">
        <x:v>HOYA</x:v>
      </x:c>
      <x:c r="C235" s="24" t="str">
        <x:v>Progressiva</x:v>
      </x:c>
      <x:c r="D235" s="24" t="str">
        <x:v>Surfaçada</x:v>
      </x:c>
      <x:c r="E235" s="24" t="str">
        <x:v>Hoyalux Balansis</x:v>
      </x:c>
      <x:c r="F235" s="24" t="str">
        <x:v>POLARIZADO</x:v>
      </x:c>
      <x:c r="G235" s="24" t="str">
        <x:v>EYNOA</x:v>
      </x:c>
      <x:c r="H235" s="24" t="str">
        <x:v>1.67</x:v>
      </x:c>
      <x:c r="I235" s="24" t="str">
        <x:v>Hi-Vision Sun Pro</x:v>
      </x:c>
      <x:c r="J235" s="40" t="n">
        <x:v>7859</x:v>
      </x:c>
      <x:c r="K235" s="24" t="str">
        <x:v>-12.00 até +8.00</x:v>
      </x:c>
      <x:c r="L235" s="24"/>
      <x:c r="M235" s="24"/>
      <x:c r="N235" s="24"/>
      <x:c r="O235" s="24"/>
      <x:c r="P235" s="24"/>
      <x:c r="Q235" s="24" t="str">
        <x:v>DISPONÍVEL</x:v>
      </x:c>
      <x:c r="R235" s="24"/>
      <x:c r="S235" s="24" t="n">
        <x:v>26</x:v>
      </x:c>
      <x:c r="T235" s="24" t="str">
        <x:v>tabela_hoya(1).pdf</x:v>
      </x:c>
      <x:c r="U235" s="24" t="str">
        <x:v>HOYA|Progressiva|Surfaçada|Hoyalux Balansis|POLARIZADO|EYNOA|1.67|Hi-Vision Sun Pro|-12.00 até +8.00||||||26</x:v>
      </x:c>
    </x:row>
    <x:row r="236">
      <x:c r="A236" s="24" t="str">
        <x:v>HY-A4A787379C4C</x:v>
      </x:c>
      <x:c r="B236" s="24" t="str">
        <x:v>HOYA</x:v>
      </x:c>
      <x:c r="C236" s="24" t="str">
        <x:v>Progressiva</x:v>
      </x:c>
      <x:c r="D236" s="24" t="str">
        <x:v>Surfaçada</x:v>
      </x:c>
      <x:c r="E236" s="24" t="str">
        <x:v>Hoyalux Balansis</x:v>
      </x:c>
      <x:c r="F236" s="24" t="str">
        <x:v>POLARIZADO</x:v>
      </x:c>
      <x:c r="G236" s="24" t="str">
        <x:v>EYAS 2.0</x:v>
      </x:c>
      <x:c r="H236" s="24" t="str">
        <x:v>1.60</x:v>
      </x:c>
      <x:c r="I236" s="24" t="str">
        <x:v>Hi-Vision Sun Pro</x:v>
      </x:c>
      <x:c r="J236" s="40" t="n">
        <x:v>6059</x:v>
      </x:c>
      <x:c r="K236" s="24"/>
      <x:c r="L236" s="24"/>
      <x:c r="M236" s="24"/>
      <x:c r="N236" s="24"/>
      <x:c r="O236" s="24"/>
      <x:c r="P236" s="24"/>
      <x:c r="Q236" s="24" t="str">
        <x:v>DISPONÍVEL</x:v>
      </x:c>
      <x:c r="R236" s="24"/>
      <x:c r="S236" s="24" t="n">
        <x:v>26</x:v>
      </x:c>
      <x:c r="T236" s="24" t="str">
        <x:v>tabela_hoya(1).pdf</x:v>
      </x:c>
      <x:c r="U236" s="24" t="str">
        <x:v>HOYA|Progressiva|Surfaçada|Hoyalux Balansis|POLARIZADO|EYAS 2.0|1.60|Hi-Vision Sun Pro|||||||26</x:v>
      </x:c>
    </x:row>
    <x:row r="237">
      <x:c r="A237" s="24" t="str">
        <x:v>HY-3A9502150588</x:v>
      </x:c>
      <x:c r="B237" s="24" t="str">
        <x:v>HOYA</x:v>
      </x:c>
      <x:c r="C237" s="24" t="str">
        <x:v>Progressiva</x:v>
      </x:c>
      <x:c r="D237" s="24" t="str">
        <x:v>Surfaçada</x:v>
      </x:c>
      <x:c r="E237" s="24" t="str">
        <x:v>Hoyalux Balansis</x:v>
      </x:c>
      <x:c r="F237" s="24" t="str">
        <x:v>POLARIZADO</x:v>
      </x:c>
      <x:c r="G237" s="24" t="str">
        <x:v>ORGANIC</x:v>
      </x:c>
      <x:c r="H237" s="24" t="str">
        <x:v>1.50</x:v>
      </x:c>
      <x:c r="I237" s="24" t="str">
        <x:v>Hi-Vision Sun Pro</x:v>
      </x:c>
      <x:c r="J237" s="40" t="n">
        <x:v>5249</x:v>
      </x:c>
      <x:c r="K237" s="24" t="str">
        <x:v>-8.00 até +6.00</x:v>
      </x:c>
      <x:c r="L237" s="24"/>
      <x:c r="M237" s="24"/>
      <x:c r="N237" s="24"/>
      <x:c r="O237" s="24"/>
      <x:c r="P237" s="24"/>
      <x:c r="Q237" s="24" t="str">
        <x:v>DISPONÍVEL</x:v>
      </x:c>
      <x:c r="R237" s="24"/>
      <x:c r="S237" s="24" t="n">
        <x:v>26</x:v>
      </x:c>
      <x:c r="T237" s="24" t="str">
        <x:v>tabela_hoya(1).pdf</x:v>
      </x:c>
      <x:c r="U237" s="24" t="str">
        <x:v>HOYA|Progressiva|Surfaçada|Hoyalux Balansis|POLARIZADO|ORGANIC|1.50|Hi-Vision Sun Pro|-8.00 até +6.00||||||26</x:v>
      </x:c>
    </x:row>
    <x:row r="238">
      <x:c r="A238" s="24" t="str">
        <x:v>HY-6269497ADED7</x:v>
      </x:c>
      <x:c r="B238" s="24" t="str">
        <x:v>HOYA</x:v>
      </x:c>
      <x:c r="C238" s="24" t="str">
        <x:v>Progressiva</x:v>
      </x:c>
      <x:c r="D238" s="24" t="str">
        <x:v>Surfaçada</x:v>
      </x:c>
      <x:c r="E238" s="24" t="str">
        <x:v>Hoyalux Daynamic</x:v>
      </x:c>
      <x:c r="F238" s="24" t="str">
        <x:v>INCOLOR</x:v>
      </x:c>
      <x:c r="G238" s="24" t="str">
        <x:v>EYNOA</x:v>
      </x:c>
      <x:c r="H238" s="24" t="str">
        <x:v>1.67</x:v>
      </x:c>
      <x:c r="I238" s="24" t="str">
        <x:v>Hi-Vision LongLife BlueControl</x:v>
      </x:c>
      <x:c r="J238" s="40" t="n">
        <x:v>5799</x:v>
      </x:c>
      <x:c r="K238" s="24" t="str">
        <x:v>-13.00 até +7.50</x:v>
      </x:c>
      <x:c r="L238" s="24"/>
      <x:c r="M238" s="24"/>
      <x:c r="N238" s="24"/>
      <x:c r="O238" s="24"/>
      <x:c r="P238" s="24"/>
      <x:c r="Q238" s="24" t="str">
        <x:v>DISPONÍVEL</x:v>
      </x:c>
      <x:c r="R238" s="24"/>
      <x:c r="S238" s="24" t="n">
        <x:v>27</x:v>
      </x:c>
      <x:c r="T238" s="24" t="str">
        <x:v>tabela_hoya(1).pdf</x:v>
      </x:c>
      <x:c r="U238" s="24" t="str">
        <x:v>HOYA|Progressiva|Surfaçada|Hoyalux Daynamic|INCOLOR|EYNOA|1.67|Hi-Vision LongLife BlueControl|-13.00 até +7.50||||||27</x:v>
      </x:c>
    </x:row>
    <x:row r="239">
      <x:c r="A239" s="24" t="str">
        <x:v>HY-A6CC20971EF3</x:v>
      </x:c>
      <x:c r="B239" s="24" t="str">
        <x:v>HOYA</x:v>
      </x:c>
      <x:c r="C239" s="24" t="str">
        <x:v>Progressiva</x:v>
      </x:c>
      <x:c r="D239" s="24" t="str">
        <x:v>Surfaçada</x:v>
      </x:c>
      <x:c r="E239" s="24" t="str">
        <x:v>Hoyalux Daynamic</x:v>
      </x:c>
      <x:c r="F239" s="24" t="str">
        <x:v>INCOLOR</x:v>
      </x:c>
      <x:c r="G239" s="24" t="str">
        <x:v>EYAS 2.0</x:v>
      </x:c>
      <x:c r="H239" s="24" t="str">
        <x:v>1.60</x:v>
      </x:c>
      <x:c r="I239" s="24" t="str">
        <x:v>Hi-Vision LongLife BlueControl</x:v>
      </x:c>
      <x:c r="J239" s="40" t="n">
        <x:v>3999</x:v>
      </x:c>
      <x:c r="K239" s="24"/>
      <x:c r="L239" s="24"/>
      <x:c r="M239" s="24"/>
      <x:c r="N239" s="24"/>
      <x:c r="O239" s="24"/>
      <x:c r="P239" s="24"/>
      <x:c r="Q239" s="24" t="str">
        <x:v>DISPONÍVEL</x:v>
      </x:c>
      <x:c r="R239" s="24"/>
      <x:c r="S239" s="24" t="n">
        <x:v>27</x:v>
      </x:c>
      <x:c r="T239" s="24" t="str">
        <x:v>tabela_hoya(1).pdf</x:v>
      </x:c>
      <x:c r="U239" s="24" t="str">
        <x:v>HOYA|Progressiva|Surfaçada|Hoyalux Daynamic|INCOLOR|EYAS 2.0|1.60|Hi-Vision LongLife BlueControl|||||||27</x:v>
      </x:c>
    </x:row>
    <x:row r="240">
      <x:c r="A240" s="24" t="str">
        <x:v>HY-80DC7B126F79</x:v>
      </x:c>
      <x:c r="B240" s="24" t="str">
        <x:v>HOYA</x:v>
      </x:c>
      <x:c r="C240" s="24" t="str">
        <x:v>Progressiva</x:v>
      </x:c>
      <x:c r="D240" s="24" t="str">
        <x:v>Surfaçada</x:v>
      </x:c>
      <x:c r="E240" s="24" t="str">
        <x:v>Hoyalux Daynamic</x:v>
      </x:c>
      <x:c r="F240" s="24" t="str">
        <x:v>INCOLOR</x:v>
      </x:c>
      <x:c r="G240" s="24" t="str">
        <x:v>PNX</x:v>
      </x:c>
      <x:c r="H240" s="24" t="str">
        <x:v>1.53</x:v>
      </x:c>
      <x:c r="I240" s="24" t="str">
        <x:v>Hi-Vision LongLife BlueControl</x:v>
      </x:c>
      <x:c r="J240" s="40" t="n">
        <x:v>3539</x:v>
      </x:c>
      <x:c r="K240" s="24" t="str">
        <x:v>-8.00 até +6.00</x:v>
      </x:c>
      <x:c r="L240" s="24"/>
      <x:c r="M240" s="24"/>
      <x:c r="N240" s="24"/>
      <x:c r="O240" s="24"/>
      <x:c r="P240" s="24"/>
      <x:c r="Q240" s="24" t="str">
        <x:v>DISPONÍVEL</x:v>
      </x:c>
      <x:c r="R240" s="24"/>
      <x:c r="S240" s="24" t="n">
        <x:v>27</x:v>
      </x:c>
      <x:c r="T240" s="24" t="str">
        <x:v>tabela_hoya(1).pdf</x:v>
      </x:c>
      <x:c r="U240" s="24" t="str">
        <x:v>HOYA|Progressiva|Surfaçada|Hoyalux Daynamic|INCOLOR|PNX|1.53|Hi-Vision LongLife BlueControl|-8.00 até +6.00||||||27</x:v>
      </x:c>
    </x:row>
    <x:row r="241">
      <x:c r="A241" s="24" t="str">
        <x:v>HY-AC0829A274EC</x:v>
      </x:c>
      <x:c r="B241" s="24" t="str">
        <x:v>HOYA</x:v>
      </x:c>
      <x:c r="C241" s="24" t="str">
        <x:v>Progressiva</x:v>
      </x:c>
      <x:c r="D241" s="24" t="str">
        <x:v>Surfaçada</x:v>
      </x:c>
      <x:c r="E241" s="24" t="str">
        <x:v>Hoyalux Daynamic</x:v>
      </x:c>
      <x:c r="F241" s="24" t="str">
        <x:v>INCOLOR</x:v>
      </x:c>
      <x:c r="G241" s="24" t="str">
        <x:v>ORGANIC</x:v>
      </x:c>
      <x:c r="H241" s="24" t="str">
        <x:v>1.50</x:v>
      </x:c>
      <x:c r="I241" s="24" t="str">
        <x:v>Hi-Vision LongLife BlueControl</x:v>
      </x:c>
      <x:c r="J241" s="40" t="n">
        <x:v>3189</x:v>
      </x:c>
      <x:c r="K241" s="24" t="str">
        <x:v>-8.00 até +6.00</x:v>
      </x:c>
      <x:c r="L241" s="24"/>
      <x:c r="M241" s="24"/>
      <x:c r="N241" s="24"/>
      <x:c r="O241" s="24"/>
      <x:c r="P241" s="24"/>
      <x:c r="Q241" s="24" t="str">
        <x:v>DISPONÍVEL</x:v>
      </x:c>
      <x:c r="R241" s="24"/>
      <x:c r="S241" s="24" t="n">
        <x:v>27</x:v>
      </x:c>
      <x:c r="T241" s="24" t="str">
        <x:v>tabela_hoya(1).pdf</x:v>
      </x:c>
      <x:c r="U241" s="24" t="str">
        <x:v>HOYA|Progressiva|Surfaçada|Hoyalux Daynamic|INCOLOR|ORGANIC|1.50|Hi-Vision LongLife BlueControl|-8.00 até +6.00||||||27</x:v>
      </x:c>
    </x:row>
    <x:row r="242">
      <x:c r="A242" s="24" t="str">
        <x:v>HY-B02A5B81AB69</x:v>
      </x:c>
      <x:c r="B242" s="24" t="str">
        <x:v>HOYA</x:v>
      </x:c>
      <x:c r="C242" s="24" t="str">
        <x:v>Progressiva</x:v>
      </x:c>
      <x:c r="D242" s="24" t="str">
        <x:v>Surfaçada</x:v>
      </x:c>
      <x:c r="E242" s="24" t="str">
        <x:v>Hoyalux Daynamic</x:v>
      </x:c>
      <x:c r="F242" s="24" t="str">
        <x:v>INCOLOR</x:v>
      </x:c>
      <x:c r="G242" s="24" t="str">
        <x:v>EYNOA</x:v>
      </x:c>
      <x:c r="H242" s="24" t="str">
        <x:v>1.67</x:v>
      </x:c>
      <x:c r="I242" s="24" t="str">
        <x:v>No-Risk BlueControl</x:v>
      </x:c>
      <x:c r="J242" s="40" t="n">
        <x:v>5549</x:v>
      </x:c>
      <x:c r="K242" s="24" t="str">
        <x:v>-13.00 até +7.50</x:v>
      </x:c>
      <x:c r="L242" s="24"/>
      <x:c r="M242" s="24"/>
      <x:c r="N242" s="24"/>
      <x:c r="O242" s="24"/>
      <x:c r="P242" s="24"/>
      <x:c r="Q242" s="24" t="str">
        <x:v>DISPONÍVEL</x:v>
      </x:c>
      <x:c r="R242" s="24"/>
      <x:c r="S242" s="24" t="n">
        <x:v>27</x:v>
      </x:c>
      <x:c r="T242" s="24" t="str">
        <x:v>tabela_hoya(1).pdf</x:v>
      </x:c>
      <x:c r="U242" s="24" t="str">
        <x:v>HOYA|Progressiva|Surfaçada|Hoyalux Daynamic|INCOLOR|EYNOA|1.67|No-Risk BlueControl|-13.00 até +7.50||||||27</x:v>
      </x:c>
    </x:row>
    <x:row r="243">
      <x:c r="A243" s="24" t="str">
        <x:v>HY-4572B93E17B4</x:v>
      </x:c>
      <x:c r="B243" s="24" t="str">
        <x:v>HOYA</x:v>
      </x:c>
      <x:c r="C243" s="24" t="str">
        <x:v>Progressiva</x:v>
      </x:c>
      <x:c r="D243" s="24" t="str">
        <x:v>Surfaçada</x:v>
      </x:c>
      <x:c r="E243" s="24" t="str">
        <x:v>Hoyalux Daynamic</x:v>
      </x:c>
      <x:c r="F243" s="24" t="str">
        <x:v>INCOLOR</x:v>
      </x:c>
      <x:c r="G243" s="24" t="str">
        <x:v>EYAS 2.0</x:v>
      </x:c>
      <x:c r="H243" s="24" t="str">
        <x:v>1.60</x:v>
      </x:c>
      <x:c r="I243" s="24" t="str">
        <x:v>No-Risk BlueControl</x:v>
      </x:c>
      <x:c r="J243" s="40" t="n">
        <x:v>3749</x:v>
      </x:c>
      <x:c r="K243" s="24"/>
      <x:c r="L243" s="24"/>
      <x:c r="M243" s="24"/>
      <x:c r="N243" s="24"/>
      <x:c r="O243" s="24"/>
      <x:c r="P243" s="24"/>
      <x:c r="Q243" s="24" t="str">
        <x:v>DISPONÍVEL</x:v>
      </x:c>
      <x:c r="R243" s="24"/>
      <x:c r="S243" s="24" t="n">
        <x:v>27</x:v>
      </x:c>
      <x:c r="T243" s="24" t="str">
        <x:v>tabela_hoya(1).pdf</x:v>
      </x:c>
      <x:c r="U243" s="24" t="str">
        <x:v>HOYA|Progressiva|Surfaçada|Hoyalux Daynamic|INCOLOR|EYAS 2.0|1.60|No-Risk BlueControl|||||||27</x:v>
      </x:c>
    </x:row>
    <x:row r="244">
      <x:c r="A244" s="24" t="str">
        <x:v>HY-1FC132DF6FB4</x:v>
      </x:c>
      <x:c r="B244" s="24" t="str">
        <x:v>HOYA</x:v>
      </x:c>
      <x:c r="C244" s="24" t="str">
        <x:v>Progressiva</x:v>
      </x:c>
      <x:c r="D244" s="24" t="str">
        <x:v>Surfaçada</x:v>
      </x:c>
      <x:c r="E244" s="24" t="str">
        <x:v>Hoyalux Daynamic</x:v>
      </x:c>
      <x:c r="F244" s="24" t="str">
        <x:v>INCOLOR</x:v>
      </x:c>
      <x:c r="G244" s="24" t="str">
        <x:v>POLI</x:v>
      </x:c>
      <x:c r="H244" s="24" t="str">
        <x:v>1.59</x:v>
      </x:c>
      <x:c r="I244" s="24" t="str">
        <x:v>No-Risk BlueControl</x:v>
      </x:c>
      <x:c r="J244" s="40" t="n">
        <x:v>3289</x:v>
      </x:c>
      <x:c r="K244" s="24" t="str">
        <x:v>-10.00 até +6.00</x:v>
      </x:c>
      <x:c r="L244" s="24"/>
      <x:c r="M244" s="24"/>
      <x:c r="N244" s="24"/>
      <x:c r="O244" s="24"/>
      <x:c r="P244" s="24"/>
      <x:c r="Q244" s="24" t="str">
        <x:v>DISPONÍVEL</x:v>
      </x:c>
      <x:c r="R244" s="24"/>
      <x:c r="S244" s="24" t="n">
        <x:v>27</x:v>
      </x:c>
      <x:c r="T244" s="24" t="str">
        <x:v>tabela_hoya(1).pdf</x:v>
      </x:c>
      <x:c r="U244" s="24" t="str">
        <x:v>HOYA|Progressiva|Surfaçada|Hoyalux Daynamic|INCOLOR|POLI|1.59|No-Risk BlueControl|-10.00 até +6.00||||||27</x:v>
      </x:c>
    </x:row>
    <x:row r="245">
      <x:c r="A245" s="24" t="str">
        <x:v>HY-4CC71092C6F3</x:v>
      </x:c>
      <x:c r="B245" s="24" t="str">
        <x:v>HOYA</x:v>
      </x:c>
      <x:c r="C245" s="24" t="str">
        <x:v>Progressiva</x:v>
      </x:c>
      <x:c r="D245" s="24" t="str">
        <x:v>Surfaçada</x:v>
      </x:c>
      <x:c r="E245" s="24" t="str">
        <x:v>Hoyalux Daynamic</x:v>
      </x:c>
      <x:c r="F245" s="24" t="str">
        <x:v>INCOLOR</x:v>
      </x:c>
      <x:c r="G245" s="24" t="str">
        <x:v>PNX</x:v>
      </x:c>
      <x:c r="H245" s="24" t="str">
        <x:v>1.53</x:v>
      </x:c>
      <x:c r="I245" s="24" t="str">
        <x:v>No-Risk BlueControl</x:v>
      </x:c>
      <x:c r="J245" s="40" t="n">
        <x:v>3289</x:v>
      </x:c>
      <x:c r="K245" s="24" t="str">
        <x:v>-8.00 até +6.00</x:v>
      </x:c>
      <x:c r="L245" s="24"/>
      <x:c r="M245" s="24"/>
      <x:c r="N245" s="24"/>
      <x:c r="O245" s="24"/>
      <x:c r="P245" s="24"/>
      <x:c r="Q245" s="24" t="str">
        <x:v>DISPONÍVEL</x:v>
      </x:c>
      <x:c r="R245" s="24"/>
      <x:c r="S245" s="24" t="n">
        <x:v>27</x:v>
      </x:c>
      <x:c r="T245" s="24" t="str">
        <x:v>tabela_hoya(1).pdf</x:v>
      </x:c>
      <x:c r="U245" s="24" t="str">
        <x:v>HOYA|Progressiva|Surfaçada|Hoyalux Daynamic|INCOLOR|PNX|1.53|No-Risk BlueControl|-8.00 até +6.00||||||27</x:v>
      </x:c>
    </x:row>
    <x:row r="246">
      <x:c r="A246" s="24" t="str">
        <x:v>HY-232BE506A220</x:v>
      </x:c>
      <x:c r="B246" s="24" t="str">
        <x:v>HOYA</x:v>
      </x:c>
      <x:c r="C246" s="24" t="str">
        <x:v>Progressiva</x:v>
      </x:c>
      <x:c r="D246" s="24" t="str">
        <x:v>Surfaçada</x:v>
      </x:c>
      <x:c r="E246" s="24" t="str">
        <x:v>Hoyalux Daynamic</x:v>
      </x:c>
      <x:c r="F246" s="24" t="str">
        <x:v>INCOLOR</x:v>
      </x:c>
      <x:c r="G246" s="24" t="str">
        <x:v>ORGANIC</x:v>
      </x:c>
      <x:c r="H246" s="24" t="str">
        <x:v>1.50</x:v>
      </x:c>
      <x:c r="I246" s="24" t="str">
        <x:v>No-Risk BlueControl</x:v>
      </x:c>
      <x:c r="J246" s="40" t="n">
        <x:v>2939</x:v>
      </x:c>
      <x:c r="K246" s="24" t="str">
        <x:v>-8.00 até +6.00</x:v>
      </x:c>
      <x:c r="L246" s="24"/>
      <x:c r="M246" s="24"/>
      <x:c r="N246" s="24"/>
      <x:c r="O246" s="24"/>
      <x:c r="P246" s="24"/>
      <x:c r="Q246" s="24" t="str">
        <x:v>DISPONÍVEL</x:v>
      </x:c>
      <x:c r="R246" s="24"/>
      <x:c r="S246" s="24" t="n">
        <x:v>27</x:v>
      </x:c>
      <x:c r="T246" s="24" t="str">
        <x:v>tabela_hoya(1).pdf</x:v>
      </x:c>
      <x:c r="U246" s="24" t="str">
        <x:v>HOYA|Progressiva|Surfaçada|Hoyalux Daynamic|INCOLOR|ORGANIC|1.50|No-Risk BlueControl|-8.00 até +6.00||||||27</x:v>
      </x:c>
    </x:row>
    <x:row r="247">
      <x:c r="A247" s="24" t="str">
        <x:v>HY-0E4110078004</x:v>
      </x:c>
      <x:c r="B247" s="24" t="str">
        <x:v>HOYA</x:v>
      </x:c>
      <x:c r="C247" s="24" t="str">
        <x:v>Progressiva</x:v>
      </x:c>
      <x:c r="D247" s="24" t="str">
        <x:v>Surfaçada</x:v>
      </x:c>
      <x:c r="E247" s="24" t="str">
        <x:v>Hoyalux Daynamic</x:v>
      </x:c>
      <x:c r="F247" s="24" t="str">
        <x:v>INCOLOR</x:v>
      </x:c>
      <x:c r="G247" s="24" t="str">
        <x:v>EYNOA</x:v>
      </x:c>
      <x:c r="H247" s="24" t="str">
        <x:v>1.67</x:v>
      </x:c>
      <x:c r="I247" s="24" t="str">
        <x:v>Hi-Vision Hard</x:v>
      </x:c>
      <x:c r="J247" s="40" t="n">
        <x:v>4799</x:v>
      </x:c>
      <x:c r="K247" s="24" t="str">
        <x:v>-13.00 até +7.50</x:v>
      </x:c>
      <x:c r="L247" s="24"/>
      <x:c r="M247" s="24"/>
      <x:c r="N247" s="24"/>
      <x:c r="O247" s="24"/>
      <x:c r="P247" s="24"/>
      <x:c r="Q247" s="24" t="str">
        <x:v>DISPONÍVEL</x:v>
      </x:c>
      <x:c r="R247" s="24"/>
      <x:c r="S247" s="24" t="n">
        <x:v>27</x:v>
      </x:c>
      <x:c r="T247" s="24" t="str">
        <x:v>tabela_hoya(1).pdf</x:v>
      </x:c>
      <x:c r="U247" s="24" t="str">
        <x:v>HOYA|Progressiva|Surfaçada|Hoyalux Daynamic|INCOLOR|EYNOA|1.67|Hi-Vision Hard|-13.00 até +7.50||||||27</x:v>
      </x:c>
    </x:row>
    <x:row r="248">
      <x:c r="A248" s="24" t="str">
        <x:v>HY-7389F94BFB11</x:v>
      </x:c>
      <x:c r="B248" s="24" t="str">
        <x:v>HOYA</x:v>
      </x:c>
      <x:c r="C248" s="24" t="str">
        <x:v>Progressiva</x:v>
      </x:c>
      <x:c r="D248" s="24" t="str">
        <x:v>Surfaçada</x:v>
      </x:c>
      <x:c r="E248" s="24" t="str">
        <x:v>Hoyalux Daynamic</x:v>
      </x:c>
      <x:c r="F248" s="24" t="str">
        <x:v>INCOLOR</x:v>
      </x:c>
      <x:c r="G248" s="24" t="str">
        <x:v>EYAS 2.0</x:v>
      </x:c>
      <x:c r="H248" s="24" t="str">
        <x:v>1.60</x:v>
      </x:c>
      <x:c r="I248" s="24" t="str">
        <x:v>Hi-Vision Hard</x:v>
      </x:c>
      <x:c r="J248" s="40" t="n">
        <x:v>2999</x:v>
      </x:c>
      <x:c r="K248" s="24"/>
      <x:c r="L248" s="24"/>
      <x:c r="M248" s="24"/>
      <x:c r="N248" s="24"/>
      <x:c r="O248" s="24"/>
      <x:c r="P248" s="24"/>
      <x:c r="Q248" s="24" t="str">
        <x:v>DISPONÍVEL</x:v>
      </x:c>
      <x:c r="R248" s="24"/>
      <x:c r="S248" s="24" t="n">
        <x:v>27</x:v>
      </x:c>
      <x:c r="T248" s="24" t="str">
        <x:v>tabela_hoya(1).pdf</x:v>
      </x:c>
      <x:c r="U248" s="24" t="str">
        <x:v>HOYA|Progressiva|Surfaçada|Hoyalux Daynamic|INCOLOR|EYAS 2.0|1.60|Hi-Vision Hard|||||||27</x:v>
      </x:c>
    </x:row>
    <x:row r="249">
      <x:c r="A249" s="24" t="str">
        <x:v>HY-32AECBEBA38A</x:v>
      </x:c>
      <x:c r="B249" s="24" t="str">
        <x:v>HOYA</x:v>
      </x:c>
      <x:c r="C249" s="24" t="str">
        <x:v>Progressiva</x:v>
      </x:c>
      <x:c r="D249" s="24" t="str">
        <x:v>Surfaçada</x:v>
      </x:c>
      <x:c r="E249" s="24" t="str">
        <x:v>Hoyalux Daynamic</x:v>
      </x:c>
      <x:c r="F249" s="24" t="str">
        <x:v>INCOLOR</x:v>
      </x:c>
      <x:c r="G249" s="24" t="str">
        <x:v>POLI</x:v>
      </x:c>
      <x:c r="H249" s="24" t="str">
        <x:v>1.59</x:v>
      </x:c>
      <x:c r="I249" s="24" t="str">
        <x:v>Hi-Vision Hard</x:v>
      </x:c>
      <x:c r="J249" s="40" t="n">
        <x:v>2539</x:v>
      </x:c>
      <x:c r="K249" s="24" t="str">
        <x:v>-10.00 até +6.00</x:v>
      </x:c>
      <x:c r="L249" s="24"/>
      <x:c r="M249" s="24"/>
      <x:c r="N249" s="24"/>
      <x:c r="O249" s="24"/>
      <x:c r="P249" s="24"/>
      <x:c r="Q249" s="24" t="str">
        <x:v>DISPONÍVEL</x:v>
      </x:c>
      <x:c r="R249" s="24"/>
      <x:c r="S249" s="24" t="n">
        <x:v>27</x:v>
      </x:c>
      <x:c r="T249" s="24" t="str">
        <x:v>tabela_hoya(1).pdf</x:v>
      </x:c>
      <x:c r="U249" s="24" t="str">
        <x:v>HOYA|Progressiva|Surfaçada|Hoyalux Daynamic|INCOLOR|POLI|1.59|Hi-Vision Hard|-10.00 até +6.00||||||27</x:v>
      </x:c>
    </x:row>
    <x:row r="250">
      <x:c r="A250" s="24" t="str">
        <x:v>HY-F39682AEFE9D</x:v>
      </x:c>
      <x:c r="B250" s="24" t="str">
        <x:v>HOYA</x:v>
      </x:c>
      <x:c r="C250" s="24" t="str">
        <x:v>Progressiva</x:v>
      </x:c>
      <x:c r="D250" s="24" t="str">
        <x:v>Surfaçada</x:v>
      </x:c>
      <x:c r="E250" s="24" t="str">
        <x:v>Hoyalux Daynamic</x:v>
      </x:c>
      <x:c r="F250" s="24" t="str">
        <x:v>INCOLOR</x:v>
      </x:c>
      <x:c r="G250" s="24" t="str">
        <x:v>PNX</x:v>
      </x:c>
      <x:c r="H250" s="24" t="str">
        <x:v>1.53</x:v>
      </x:c>
      <x:c r="I250" s="24" t="str">
        <x:v>Hi-Vision Hard</x:v>
      </x:c>
      <x:c r="J250" s="40" t="n">
        <x:v>2539</x:v>
      </x:c>
      <x:c r="K250" s="24" t="str">
        <x:v>-8.00 até +6.00</x:v>
      </x:c>
      <x:c r="L250" s="24"/>
      <x:c r="M250" s="24"/>
      <x:c r="N250" s="24"/>
      <x:c r="O250" s="24"/>
      <x:c r="P250" s="24"/>
      <x:c r="Q250" s="24" t="str">
        <x:v>DISPONÍVEL</x:v>
      </x:c>
      <x:c r="R250" s="24"/>
      <x:c r="S250" s="24" t="n">
        <x:v>27</x:v>
      </x:c>
      <x:c r="T250" s="24" t="str">
        <x:v>tabela_hoya(1).pdf</x:v>
      </x:c>
      <x:c r="U250" s="24" t="str">
        <x:v>HOYA|Progressiva|Surfaçada|Hoyalux Daynamic|INCOLOR|PNX|1.53|Hi-Vision Hard|-8.00 até +6.00||||||27</x:v>
      </x:c>
    </x:row>
    <x:row r="251">
      <x:c r="A251" s="24" t="str">
        <x:v>HY-EC1358A0802B</x:v>
      </x:c>
      <x:c r="B251" s="24" t="str">
        <x:v>HOYA</x:v>
      </x:c>
      <x:c r="C251" s="24" t="str">
        <x:v>Progressiva</x:v>
      </x:c>
      <x:c r="D251" s="24" t="str">
        <x:v>Surfaçada</x:v>
      </x:c>
      <x:c r="E251" s="24" t="str">
        <x:v>Hoyalux Daynamic</x:v>
      </x:c>
      <x:c r="F251" s="24" t="str">
        <x:v>INCOLOR</x:v>
      </x:c>
      <x:c r="G251" s="24" t="str">
        <x:v>ORGANIC</x:v>
      </x:c>
      <x:c r="H251" s="24" t="str">
        <x:v>1.50</x:v>
      </x:c>
      <x:c r="I251" s="24" t="str">
        <x:v>Hi-Vision Hard</x:v>
      </x:c>
      <x:c r="J251" s="40" t="n">
        <x:v>2189</x:v>
      </x:c>
      <x:c r="K251" s="24" t="str">
        <x:v>-8.00 até +6.00</x:v>
      </x:c>
      <x:c r="L251" s="24"/>
      <x:c r="M251" s="24"/>
      <x:c r="N251" s="24"/>
      <x:c r="O251" s="24"/>
      <x:c r="P251" s="24"/>
      <x:c r="Q251" s="24" t="str">
        <x:v>DISPONÍVEL</x:v>
      </x:c>
      <x:c r="R251" s="24"/>
      <x:c r="S251" s="24" t="n">
        <x:v>27</x:v>
      </x:c>
      <x:c r="T251" s="24" t="str">
        <x:v>tabela_hoya(1).pdf</x:v>
      </x:c>
      <x:c r="U251" s="24" t="str">
        <x:v>HOYA|Progressiva|Surfaçada|Hoyalux Daynamic|INCOLOR|ORGANIC|1.50|Hi-Vision Hard|-8.00 até +6.00||||||27</x:v>
      </x:c>
    </x:row>
    <x:row r="252">
      <x:c r="A252" s="24" t="str">
        <x:v>HY-CE908E54509F</x:v>
      </x:c>
      <x:c r="B252" s="24" t="str">
        <x:v>HOYA</x:v>
      </x:c>
      <x:c r="C252" s="24" t="str">
        <x:v>Progressiva</x:v>
      </x:c>
      <x:c r="D252" s="24" t="str">
        <x:v>Surfaçada</x:v>
      </x:c>
      <x:c r="E252" s="24" t="str">
        <x:v>Hoyalux Daynamic</x:v>
      </x:c>
      <x:c r="F252" s="24" t="str">
        <x:v>SENSITY 2</x:v>
      </x:c>
      <x:c r="G252" s="24" t="str">
        <x:v>EYNOA</x:v>
      </x:c>
      <x:c r="H252" s="24" t="str">
        <x:v>1.67</x:v>
      </x:c>
      <x:c r="I252" s="24" t="str">
        <x:v>Hi-Vision LongLife BlueControl</x:v>
      </x:c>
      <x:c r="J252" s="40" t="n">
        <x:v>7199</x:v>
      </x:c>
      <x:c r="K252" s="24" t="str">
        <x:v>-13.00 até +7.50</x:v>
      </x:c>
      <x:c r="L252" s="24"/>
      <x:c r="M252" s="24"/>
      <x:c r="N252" s="24"/>
      <x:c r="O252" s="24"/>
      <x:c r="P252" s="24"/>
      <x:c r="Q252" s="24" t="str">
        <x:v>DISPONÍVEL</x:v>
      </x:c>
      <x:c r="R252" s="24"/>
      <x:c r="S252" s="24" t="n">
        <x:v>27</x:v>
      </x:c>
      <x:c r="T252" s="24" t="str">
        <x:v>tabela_hoya(1).pdf</x:v>
      </x:c>
      <x:c r="U252" s="24" t="str">
        <x:v>HOYA|Progressiva|Surfaçada|Hoyalux Daynamic|SENSITY 2|EYNOA|1.67|Hi-Vision LongLife BlueControl|-13.00 até +7.50||||||27</x:v>
      </x:c>
    </x:row>
    <x:row r="253">
      <x:c r="A253" s="24" t="str">
        <x:v>HY-4ED44D8646A0</x:v>
      </x:c>
      <x:c r="B253" s="24" t="str">
        <x:v>HOYA</x:v>
      </x:c>
      <x:c r="C253" s="24" t="str">
        <x:v>Progressiva</x:v>
      </x:c>
      <x:c r="D253" s="24" t="str">
        <x:v>Surfaçada</x:v>
      </x:c>
      <x:c r="E253" s="24" t="str">
        <x:v>Hoyalux Daynamic</x:v>
      </x:c>
      <x:c r="F253" s="24" t="str">
        <x:v>SENSITY 2</x:v>
      </x:c>
      <x:c r="G253" s="24" t="str">
        <x:v>PNX</x:v>
      </x:c>
      <x:c r="H253" s="24" t="str">
        <x:v>1.53</x:v>
      </x:c>
      <x:c r="I253" s="24" t="str">
        <x:v>Hi-Vision LongLife BlueControl</x:v>
      </x:c>
      <x:c r="J253" s="40" t="n">
        <x:v>4939</x:v>
      </x:c>
      <x:c r="K253" s="24" t="str">
        <x:v>-8.00 até +6.00</x:v>
      </x:c>
      <x:c r="L253" s="24"/>
      <x:c r="M253" s="24"/>
      <x:c r="N253" s="24"/>
      <x:c r="O253" s="24"/>
      <x:c r="P253" s="24"/>
      <x:c r="Q253" s="24" t="str">
        <x:v>DISPONÍVEL</x:v>
      </x:c>
      <x:c r="R253" s="24"/>
      <x:c r="S253" s="24" t="n">
        <x:v>27</x:v>
      </x:c>
      <x:c r="T253" s="24" t="str">
        <x:v>tabela_hoya(1).pdf</x:v>
      </x:c>
      <x:c r="U253" s="24" t="str">
        <x:v>HOYA|Progressiva|Surfaçada|Hoyalux Daynamic|SENSITY 2|PNX|1.53|Hi-Vision LongLife BlueControl|-8.00 até +6.00||||||27</x:v>
      </x:c>
    </x:row>
    <x:row r="254">
      <x:c r="A254" s="24" t="str">
        <x:v>HY-8D46074DB51B</x:v>
      </x:c>
      <x:c r="B254" s="24" t="str">
        <x:v>HOYA</x:v>
      </x:c>
      <x:c r="C254" s="24" t="str">
        <x:v>Progressiva</x:v>
      </x:c>
      <x:c r="D254" s="24" t="str">
        <x:v>Surfaçada</x:v>
      </x:c>
      <x:c r="E254" s="24" t="str">
        <x:v>Hoyalux Daynamic</x:v>
      </x:c>
      <x:c r="F254" s="24" t="str">
        <x:v>SENSITY 2</x:v>
      </x:c>
      <x:c r="G254" s="24" t="str">
        <x:v>ORGANIC</x:v>
      </x:c>
      <x:c r="H254" s="24" t="str">
        <x:v>1.50</x:v>
      </x:c>
      <x:c r="I254" s="24" t="str">
        <x:v>Hi-Vision LongLife BlueControl</x:v>
      </x:c>
      <x:c r="J254" s="40" t="n">
        <x:v>4589</x:v>
      </x:c>
      <x:c r="K254" s="24" t="str">
        <x:v>-8.00 até +6.00</x:v>
      </x:c>
      <x:c r="L254" s="24"/>
      <x:c r="M254" s="24"/>
      <x:c r="N254" s="24"/>
      <x:c r="O254" s="24"/>
      <x:c r="P254" s="24"/>
      <x:c r="Q254" s="24" t="str">
        <x:v>DISPONÍVEL</x:v>
      </x:c>
      <x:c r="R254" s="24"/>
      <x:c r="S254" s="24" t="n">
        <x:v>27</x:v>
      </x:c>
      <x:c r="T254" s="24" t="str">
        <x:v>tabela_hoya(1).pdf</x:v>
      </x:c>
      <x:c r="U254" s="24" t="str">
        <x:v>HOYA|Progressiva|Surfaçada|Hoyalux Daynamic|SENSITY 2|ORGANIC|1.50|Hi-Vision LongLife BlueControl|-8.00 até +6.00||||||27</x:v>
      </x:c>
    </x:row>
    <x:row r="255">
      <x:c r="A255" s="24" t="str">
        <x:v>HY-7409F3D59B80</x:v>
      </x:c>
      <x:c r="B255" s="24" t="str">
        <x:v>HOYA</x:v>
      </x:c>
      <x:c r="C255" s="24" t="str">
        <x:v>Progressiva</x:v>
      </x:c>
      <x:c r="D255" s="24" t="str">
        <x:v>Surfaçada</x:v>
      </x:c>
      <x:c r="E255" s="24" t="str">
        <x:v>Hoyalux Daynamic</x:v>
      </x:c>
      <x:c r="F255" s="24" t="str">
        <x:v>SENSITY 2</x:v>
      </x:c>
      <x:c r="G255" s="24" t="str">
        <x:v>EYNOA</x:v>
      </x:c>
      <x:c r="H255" s="24" t="str">
        <x:v>1.67</x:v>
      </x:c>
      <x:c r="I255" s="24" t="str">
        <x:v>No-Risk BlueControl</x:v>
      </x:c>
      <x:c r="J255" s="40" t="n">
        <x:v>6949</x:v>
      </x:c>
      <x:c r="K255" s="24" t="str">
        <x:v>-13.00 até +7.50</x:v>
      </x:c>
      <x:c r="L255" s="24"/>
      <x:c r="M255" s="24"/>
      <x:c r="N255" s="24"/>
      <x:c r="O255" s="24"/>
      <x:c r="P255" s="24"/>
      <x:c r="Q255" s="24" t="str">
        <x:v>DISPONÍVEL</x:v>
      </x:c>
      <x:c r="R255" s="24"/>
      <x:c r="S255" s="24" t="n">
        <x:v>27</x:v>
      </x:c>
      <x:c r="T255" s="24" t="str">
        <x:v>tabela_hoya(1).pdf</x:v>
      </x:c>
      <x:c r="U255" s="24" t="str">
        <x:v>HOYA|Progressiva|Surfaçada|Hoyalux Daynamic|SENSITY 2|EYNOA|1.67|No-Risk BlueControl|-13.00 até +7.50||||||27</x:v>
      </x:c>
    </x:row>
    <x:row r="256">
      <x:c r="A256" s="24" t="str">
        <x:v>HY-35382997416A</x:v>
      </x:c>
      <x:c r="B256" s="24" t="str">
        <x:v>HOYA</x:v>
      </x:c>
      <x:c r="C256" s="24" t="str">
        <x:v>Progressiva</x:v>
      </x:c>
      <x:c r="D256" s="24" t="str">
        <x:v>Surfaçada</x:v>
      </x:c>
      <x:c r="E256" s="24" t="str">
        <x:v>Hoyalux Daynamic</x:v>
      </x:c>
      <x:c r="F256" s="24" t="str">
        <x:v>SENSITY 2</x:v>
      </x:c>
      <x:c r="G256" s="24" t="str">
        <x:v>PNX</x:v>
      </x:c>
      <x:c r="H256" s="24" t="str">
        <x:v>1.53</x:v>
      </x:c>
      <x:c r="I256" s="24" t="str">
        <x:v>No-Risk BlueControl</x:v>
      </x:c>
      <x:c r="J256" s="40" t="n">
        <x:v>4689</x:v>
      </x:c>
      <x:c r="K256" s="24" t="str">
        <x:v>-8.00 até +6.00</x:v>
      </x:c>
      <x:c r="L256" s="24"/>
      <x:c r="M256" s="24"/>
      <x:c r="N256" s="24"/>
      <x:c r="O256" s="24"/>
      <x:c r="P256" s="24"/>
      <x:c r="Q256" s="24" t="str">
        <x:v>DISPONÍVEL</x:v>
      </x:c>
      <x:c r="R256" s="24"/>
      <x:c r="S256" s="24" t="n">
        <x:v>27</x:v>
      </x:c>
      <x:c r="T256" s="24" t="str">
        <x:v>tabela_hoya(1).pdf</x:v>
      </x:c>
      <x:c r="U256" s="24" t="str">
        <x:v>HOYA|Progressiva|Surfaçada|Hoyalux Daynamic|SENSITY 2|PNX|1.53|No-Risk BlueControl|-8.00 até +6.00||||||27</x:v>
      </x:c>
    </x:row>
    <x:row r="257">
      <x:c r="A257" s="24" t="str">
        <x:v>HY-3683BD4EA0FF</x:v>
      </x:c>
      <x:c r="B257" s="24" t="str">
        <x:v>HOYA</x:v>
      </x:c>
      <x:c r="C257" s="24" t="str">
        <x:v>Progressiva</x:v>
      </x:c>
      <x:c r="D257" s="24" t="str">
        <x:v>Surfaçada</x:v>
      </x:c>
      <x:c r="E257" s="24" t="str">
        <x:v>Hoyalux Daynamic</x:v>
      </x:c>
      <x:c r="F257" s="24" t="str">
        <x:v>SENSITY 2</x:v>
      </x:c>
      <x:c r="G257" s="24" t="str">
        <x:v>ORGANIC</x:v>
      </x:c>
      <x:c r="H257" s="24" t="str">
        <x:v>1.50</x:v>
      </x:c>
      <x:c r="I257" s="24" t="str">
        <x:v>No-Risk BlueControl</x:v>
      </x:c>
      <x:c r="J257" s="40" t="n">
        <x:v>4339</x:v>
      </x:c>
      <x:c r="K257" s="24" t="str">
        <x:v>-8.00 até +6.00</x:v>
      </x:c>
      <x:c r="L257" s="24"/>
      <x:c r="M257" s="24"/>
      <x:c r="N257" s="24"/>
      <x:c r="O257" s="24"/>
      <x:c r="P257" s="24"/>
      <x:c r="Q257" s="24" t="str">
        <x:v>DISPONÍVEL</x:v>
      </x:c>
      <x:c r="R257" s="24"/>
      <x:c r="S257" s="24" t="n">
        <x:v>27</x:v>
      </x:c>
      <x:c r="T257" s="24" t="str">
        <x:v>tabela_hoya(1).pdf</x:v>
      </x:c>
      <x:c r="U257" s="24" t="str">
        <x:v>HOYA|Progressiva|Surfaçada|Hoyalux Daynamic|SENSITY 2|ORGANIC|1.50|No-Risk BlueControl|-8.00 até +6.00||||||27</x:v>
      </x:c>
    </x:row>
    <x:row r="258">
      <x:c r="A258" s="24" t="str">
        <x:v>HY-B0194508D4F7</x:v>
      </x:c>
      <x:c r="B258" s="24" t="str">
        <x:v>HOYA</x:v>
      </x:c>
      <x:c r="C258" s="24" t="str">
        <x:v>Progressiva</x:v>
      </x:c>
      <x:c r="D258" s="24" t="str">
        <x:v>Surfaçada</x:v>
      </x:c>
      <x:c r="E258" s="24" t="str">
        <x:v>Hoyalux Daynamic</x:v>
      </x:c>
      <x:c r="F258" s="24" t="str">
        <x:v>SENSITY 2</x:v>
      </x:c>
      <x:c r="G258" s="24" t="str">
        <x:v>EYNOA</x:v>
      </x:c>
      <x:c r="H258" s="24" t="str">
        <x:v>1.67</x:v>
      </x:c>
      <x:c r="I258" s="24" t="str">
        <x:v>Hi-Vision Hard</x:v>
      </x:c>
      <x:c r="J258" s="40" t="n">
        <x:v>6199</x:v>
      </x:c>
      <x:c r="K258" s="24" t="str">
        <x:v>-13.00 até +7.50</x:v>
      </x:c>
      <x:c r="L258" s="24"/>
      <x:c r="M258" s="24"/>
      <x:c r="N258" s="24"/>
      <x:c r="O258" s="24"/>
      <x:c r="P258" s="24"/>
      <x:c r="Q258" s="24" t="str">
        <x:v>DISPONÍVEL</x:v>
      </x:c>
      <x:c r="R258" s="24"/>
      <x:c r="S258" s="24" t="n">
        <x:v>27</x:v>
      </x:c>
      <x:c r="T258" s="24" t="str">
        <x:v>tabela_hoya(1).pdf</x:v>
      </x:c>
      <x:c r="U258" s="24" t="str">
        <x:v>HOYA|Progressiva|Surfaçada|Hoyalux Daynamic|SENSITY 2|EYNOA|1.67|Hi-Vision Hard|-13.00 até +7.50||||||27</x:v>
      </x:c>
    </x:row>
    <x:row r="259">
      <x:c r="A259" s="24" t="str">
        <x:v>HY-6058DB829ED1</x:v>
      </x:c>
      <x:c r="B259" s="24" t="str">
        <x:v>HOYA</x:v>
      </x:c>
      <x:c r="C259" s="24" t="str">
        <x:v>Progressiva</x:v>
      </x:c>
      <x:c r="D259" s="24" t="str">
        <x:v>Surfaçada</x:v>
      </x:c>
      <x:c r="E259" s="24" t="str">
        <x:v>Hoyalux Daynamic</x:v>
      </x:c>
      <x:c r="F259" s="24" t="str">
        <x:v>SENSITY 2</x:v>
      </x:c>
      <x:c r="G259" s="24" t="str">
        <x:v>PNX</x:v>
      </x:c>
      <x:c r="H259" s="24" t="str">
        <x:v>1.53</x:v>
      </x:c>
      <x:c r="I259" s="24" t="str">
        <x:v>Hi-Vision Hard</x:v>
      </x:c>
      <x:c r="J259" s="40" t="n">
        <x:v>3939</x:v>
      </x:c>
      <x:c r="K259" s="24" t="str">
        <x:v>-8.00 até +6.00</x:v>
      </x:c>
      <x:c r="L259" s="24"/>
      <x:c r="M259" s="24"/>
      <x:c r="N259" s="24"/>
      <x:c r="O259" s="24"/>
      <x:c r="P259" s="24"/>
      <x:c r="Q259" s="24" t="str">
        <x:v>DISPONÍVEL</x:v>
      </x:c>
      <x:c r="R259" s="24"/>
      <x:c r="S259" s="24" t="n">
        <x:v>27</x:v>
      </x:c>
      <x:c r="T259" s="24" t="str">
        <x:v>tabela_hoya(1).pdf</x:v>
      </x:c>
      <x:c r="U259" s="24" t="str">
        <x:v>HOYA|Progressiva|Surfaçada|Hoyalux Daynamic|SENSITY 2|PNX|1.53|Hi-Vision Hard|-8.00 até +6.00||||||27</x:v>
      </x:c>
    </x:row>
    <x:row r="260">
      <x:c r="A260" s="24" t="str">
        <x:v>HY-84103170CB95</x:v>
      </x:c>
      <x:c r="B260" s="24" t="str">
        <x:v>HOYA</x:v>
      </x:c>
      <x:c r="C260" s="24" t="str">
        <x:v>Progressiva</x:v>
      </x:c>
      <x:c r="D260" s="24" t="str">
        <x:v>Surfaçada</x:v>
      </x:c>
      <x:c r="E260" s="24" t="str">
        <x:v>Hoyalux Daynamic</x:v>
      </x:c>
      <x:c r="F260" s="24" t="str">
        <x:v>SENSITY 2</x:v>
      </x:c>
      <x:c r="G260" s="24" t="str">
        <x:v>ORGANIC</x:v>
      </x:c>
      <x:c r="H260" s="24" t="str">
        <x:v>1.50</x:v>
      </x:c>
      <x:c r="I260" s="24" t="str">
        <x:v>Hi-Vision Hard</x:v>
      </x:c>
      <x:c r="J260" s="40" t="n">
        <x:v>3589</x:v>
      </x:c>
      <x:c r="K260" s="24" t="str">
        <x:v>-8.00 até +6.00</x:v>
      </x:c>
      <x:c r="L260" s="24"/>
      <x:c r="M260" s="24"/>
      <x:c r="N260" s="24"/>
      <x:c r="O260" s="24"/>
      <x:c r="P260" s="24"/>
      <x:c r="Q260" s="24" t="str">
        <x:v>DISPONÍVEL</x:v>
      </x:c>
      <x:c r="R260" s="24"/>
      <x:c r="S260" s="24" t="n">
        <x:v>27</x:v>
      </x:c>
      <x:c r="T260" s="24" t="str">
        <x:v>tabela_hoya(1).pdf</x:v>
      </x:c>
      <x:c r="U260" s="24" t="str">
        <x:v>HOYA|Progressiva|Surfaçada|Hoyalux Daynamic|SENSITY 2|ORGANIC|1.50|Hi-Vision Hard|-8.00 até +6.00||||||27</x:v>
      </x:c>
    </x:row>
    <x:row r="261">
      <x:c r="A261" s="24" t="str">
        <x:v>HY-E5DB9B20EA14</x:v>
      </x:c>
      <x:c r="B261" s="24" t="str">
        <x:v>HOYA</x:v>
      </x:c>
      <x:c r="C261" s="24" t="str">
        <x:v>Progressiva</x:v>
      </x:c>
      <x:c r="D261" s="24" t="str">
        <x:v>Surfaçada</x:v>
      </x:c>
      <x:c r="E261" s="24" t="str">
        <x:v>Hoyalux Daynamic</x:v>
      </x:c>
      <x:c r="F261" s="24" t="str">
        <x:v>POLARIZADO</x:v>
      </x:c>
      <x:c r="G261" s="24" t="str">
        <x:v>EYAS 2.0</x:v>
      </x:c>
      <x:c r="H261" s="24" t="str">
        <x:v>1.60</x:v>
      </x:c>
      <x:c r="I261" s="24" t="str">
        <x:v>Hi-Vision Sun Pro</x:v>
      </x:c>
      <x:c r="J261" s="40" t="n">
        <x:v>4899</x:v>
      </x:c>
      <x:c r="K261" s="24"/>
      <x:c r="L261" s="24"/>
      <x:c r="M261" s="24"/>
      <x:c r="N261" s="24"/>
      <x:c r="O261" s="24"/>
      <x:c r="P261" s="24"/>
      <x:c r="Q261" s="24" t="str">
        <x:v>DISPONÍVEL</x:v>
      </x:c>
      <x:c r="R261" s="24"/>
      <x:c r="S261" s="24" t="n">
        <x:v>27</x:v>
      </x:c>
      <x:c r="T261" s="24" t="str">
        <x:v>tabela_hoya(1).pdf</x:v>
      </x:c>
      <x:c r="U261" s="24" t="str">
        <x:v>HOYA|Progressiva|Surfaçada|Hoyalux Daynamic|POLARIZADO|EYAS 2.0|1.60|Hi-Vision Sun Pro|||||||27</x:v>
      </x:c>
    </x:row>
    <x:row r="262">
      <x:c r="A262" s="24" t="str">
        <x:v>HY-E4C9DA7A8C4A</x:v>
      </x:c>
      <x:c r="B262" s="24" t="str">
        <x:v>HOYA</x:v>
      </x:c>
      <x:c r="C262" s="24" t="str">
        <x:v>Progressiva</x:v>
      </x:c>
      <x:c r="D262" s="24" t="str">
        <x:v>Surfaçada</x:v>
      </x:c>
      <x:c r="E262" s="24" t="str">
        <x:v>Hoyalux Daynamic</x:v>
      </x:c>
      <x:c r="F262" s="24" t="str">
        <x:v>POLARIZADO</x:v>
      </x:c>
      <x:c r="G262" s="24" t="str">
        <x:v>ORGANIC</x:v>
      </x:c>
      <x:c r="H262" s="24" t="str">
        <x:v>1.50</x:v>
      </x:c>
      <x:c r="I262" s="24" t="str">
        <x:v>Hi-Vision Sun Pro</x:v>
      </x:c>
      <x:c r="J262" s="40" t="n">
        <x:v>4089</x:v>
      </x:c>
      <x:c r="K262" s="24" t="str">
        <x:v>-8.00 até +6.00</x:v>
      </x:c>
      <x:c r="L262" s="24"/>
      <x:c r="M262" s="24"/>
      <x:c r="N262" s="24"/>
      <x:c r="O262" s="24"/>
      <x:c r="P262" s="24"/>
      <x:c r="Q262" s="24" t="str">
        <x:v>DISPONÍVEL</x:v>
      </x:c>
      <x:c r="R262" s="24"/>
      <x:c r="S262" s="24" t="n">
        <x:v>27</x:v>
      </x:c>
      <x:c r="T262" s="24" t="str">
        <x:v>tabela_hoya(1).pdf</x:v>
      </x:c>
      <x:c r="U262" s="24" t="str">
        <x:v>HOYA|Progressiva|Surfaçada|Hoyalux Daynamic|POLARIZADO|ORGANIC|1.50|Hi-Vision Sun Pro|-8.00 até +6.00||||||27</x:v>
      </x:c>
    </x:row>
    <x:row r="263">
      <x:c r="A263" s="24" t="str">
        <x:v>HY-067AA93E95CF</x:v>
      </x:c>
      <x:c r="B263" s="24" t="str">
        <x:v>HOYA</x:v>
      </x:c>
      <x:c r="C263" s="24" t="str">
        <x:v>Progressiva</x:v>
      </x:c>
      <x:c r="D263" s="24" t="str">
        <x:v>Surfaçada</x:v>
      </x:c>
      <x:c r="E263" s="24" t="str">
        <x:v>Hoyalux Daynamic</x:v>
      </x:c>
      <x:c r="F263" s="24" t="str">
        <x:v>COLORIDAS</x:v>
      </x:c>
      <x:c r="G263" s="24" t="str">
        <x:v>EYNOA</x:v>
      </x:c>
      <x:c r="H263" s="24" t="str">
        <x:v>1.67</x:v>
      </x:c>
      <x:c r="I263" s="24" t="str">
        <x:v>Hi-Vision Sun Pro</x:v>
      </x:c>
      <x:c r="J263" s="40" t="n">
        <x:v>5839</x:v>
      </x:c>
      <x:c r="K263" s="24" t="str">
        <x:v>-13.00 até +7.50</x:v>
      </x:c>
      <x:c r="L263" s="24"/>
      <x:c r="M263" s="24"/>
      <x:c r="N263" s="24"/>
      <x:c r="O263" s="24"/>
      <x:c r="P263" s="24"/>
      <x:c r="Q263" s="24" t="str">
        <x:v>DISPONÍVEL</x:v>
      </x:c>
      <x:c r="R263" s="24"/>
      <x:c r="S263" s="24" t="n">
        <x:v>27</x:v>
      </x:c>
      <x:c r="T263" s="24" t="str">
        <x:v>tabela_hoya(1).pdf</x:v>
      </x:c>
      <x:c r="U263" s="24" t="str">
        <x:v>HOYA|Progressiva|Surfaçada|Hoyalux Daynamic|COLORIDAS|EYNOA|1.67|Hi-Vision Sun Pro|-13.00 até +7.50||||||27</x:v>
      </x:c>
    </x:row>
    <x:row r="264">
      <x:c r="A264" s="24" t="str">
        <x:v>HY-A9DE6678FD2F</x:v>
      </x:c>
      <x:c r="B264" s="24" t="str">
        <x:v>HOYA</x:v>
      </x:c>
      <x:c r="C264" s="24" t="str">
        <x:v>Progressiva</x:v>
      </x:c>
      <x:c r="D264" s="24" t="str">
        <x:v>Surfaçada</x:v>
      </x:c>
      <x:c r="E264" s="24" t="str">
        <x:v>Hoyalux Daynamic</x:v>
      </x:c>
      <x:c r="F264" s="24" t="str">
        <x:v>COLORIDAS</x:v>
      </x:c>
      <x:c r="G264" s="24" t="str">
        <x:v>EYAS 2.0</x:v>
      </x:c>
      <x:c r="H264" s="24" t="str">
        <x:v>1.60</x:v>
      </x:c>
      <x:c r="I264" s="24" t="str">
        <x:v>Hi-Vision Sun Pro</x:v>
      </x:c>
      <x:c r="J264" s="40" t="n">
        <x:v>4039</x:v>
      </x:c>
      <x:c r="K264" s="24"/>
      <x:c r="L264" s="24"/>
      <x:c r="M264" s="24"/>
      <x:c r="N264" s="24"/>
      <x:c r="O264" s="24"/>
      <x:c r="P264" s="24"/>
      <x:c r="Q264" s="24" t="str">
        <x:v>DISPONÍVEL</x:v>
      </x:c>
      <x:c r="R264" s="24"/>
      <x:c r="S264" s="24" t="n">
        <x:v>27</x:v>
      </x:c>
      <x:c r="T264" s="24" t="str">
        <x:v>tabela_hoya(1).pdf</x:v>
      </x:c>
      <x:c r="U264" s="24" t="str">
        <x:v>HOYA|Progressiva|Surfaçada|Hoyalux Daynamic|COLORIDAS|EYAS 2.0|1.60|Hi-Vision Sun Pro|||||||27</x:v>
      </x:c>
    </x:row>
    <x:row r="265">
      <x:c r="A265" s="24" t="str">
        <x:v>HY-DB2919EED022</x:v>
      </x:c>
      <x:c r="B265" s="24" t="str">
        <x:v>HOYA</x:v>
      </x:c>
      <x:c r="C265" s="24" t="str">
        <x:v>Progressiva</x:v>
      </x:c>
      <x:c r="D265" s="24" t="str">
        <x:v>Surfaçada</x:v>
      </x:c>
      <x:c r="E265" s="24" t="str">
        <x:v>Hoyalux Daynamic</x:v>
      </x:c>
      <x:c r="F265" s="24" t="str">
        <x:v>COLORIDAS</x:v>
      </x:c>
      <x:c r="G265" s="24" t="str">
        <x:v>PNX</x:v>
      </x:c>
      <x:c r="H265" s="24" t="str">
        <x:v>1.53</x:v>
      </x:c>
      <x:c r="I265" s="24" t="str">
        <x:v>Hi-Vision Sun Pro</x:v>
      </x:c>
      <x:c r="J265" s="40" t="n">
        <x:v>3579</x:v>
      </x:c>
      <x:c r="K265" s="24" t="str">
        <x:v>-8.00 até +6.00</x:v>
      </x:c>
      <x:c r="L265" s="24"/>
      <x:c r="M265" s="24"/>
      <x:c r="N265" s="24"/>
      <x:c r="O265" s="24"/>
      <x:c r="P265" s="24"/>
      <x:c r="Q265" s="24" t="str">
        <x:v>DISPONÍVEL</x:v>
      </x:c>
      <x:c r="R265" s="24"/>
      <x:c r="S265" s="24" t="n">
        <x:v>27</x:v>
      </x:c>
      <x:c r="T265" s="24" t="str">
        <x:v>tabela_hoya(1).pdf</x:v>
      </x:c>
      <x:c r="U265" s="24" t="str">
        <x:v>HOYA|Progressiva|Surfaçada|Hoyalux Daynamic|COLORIDAS|PNX|1.53|Hi-Vision Sun Pro|-8.00 até +6.00||||||27</x:v>
      </x:c>
    </x:row>
    <x:row r="266">
      <x:c r="A266" s="24" t="str">
        <x:v>HY-92169F0C53BF</x:v>
      </x:c>
      <x:c r="B266" s="24" t="str">
        <x:v>HOYA</x:v>
      </x:c>
      <x:c r="C266" s="24" t="str">
        <x:v>Progressiva</x:v>
      </x:c>
      <x:c r="D266" s="24" t="str">
        <x:v>Surfaçada</x:v>
      </x:c>
      <x:c r="E266" s="24" t="str">
        <x:v>Hoyalux Daynamic</x:v>
      </x:c>
      <x:c r="F266" s="24" t="str">
        <x:v>COLORIDAS</x:v>
      </x:c>
      <x:c r="G266" s="24" t="str">
        <x:v>ORGANIC</x:v>
      </x:c>
      <x:c r="H266" s="24" t="str">
        <x:v>1.50</x:v>
      </x:c>
      <x:c r="I266" s="24" t="str">
        <x:v>Hi-Vision Sun Pro</x:v>
      </x:c>
      <x:c r="J266" s="40" t="n">
        <x:v>3229</x:v>
      </x:c>
      <x:c r="K266" s="24" t="str">
        <x:v>-8.00 até +6.00</x:v>
      </x:c>
      <x:c r="L266" s="24"/>
      <x:c r="M266" s="24"/>
      <x:c r="N266" s="24"/>
      <x:c r="O266" s="24"/>
      <x:c r="P266" s="24"/>
      <x:c r="Q266" s="24" t="str">
        <x:v>DISPONÍVEL</x:v>
      </x:c>
      <x:c r="R266" s="24"/>
      <x:c r="S266" s="24" t="n">
        <x:v>27</x:v>
      </x:c>
      <x:c r="T266" s="24" t="str">
        <x:v>tabela_hoya(1).pdf</x:v>
      </x:c>
      <x:c r="U266" s="24" t="str">
        <x:v>HOYA|Progressiva|Surfaçada|Hoyalux Daynamic|COLORIDAS|ORGANIC|1.50|Hi-Vision Sun Pro|-8.00 até +6.00||||||27</x:v>
      </x:c>
    </x:row>
    <x:row r="267">
      <x:c r="A267" s="24" t="str">
        <x:v>HY-6D57F9D833AB</x:v>
      </x:c>
      <x:c r="B267" s="24" t="str">
        <x:v>HOYA</x:v>
      </x:c>
      <x:c r="C267" s="24" t="str">
        <x:v>Progressiva</x:v>
      </x:c>
      <x:c r="D267" s="24" t="str">
        <x:v>Surfaçada</x:v>
      </x:c>
      <x:c r="E267" s="24" t="str">
        <x:v>HOYA Argos</x:v>
      </x:c>
      <x:c r="F267" s="24" t="str">
        <x:v>INCOLOR</x:v>
      </x:c>
      <x:c r="G267" s="24" t="str">
        <x:v>EYNOA</x:v>
      </x:c>
      <x:c r="H267" s="24" t="str">
        <x:v>1.67</x:v>
      </x:c>
      <x:c r="I267" s="24" t="str">
        <x:v>Hi-Vision LongLife BlueControl</x:v>
      </x:c>
      <x:c r="J267" s="40" t="n">
        <x:v>4759</x:v>
      </x:c>
      <x:c r="K267" s="24" t="str">
        <x:v>-13.00 até +7.50</x:v>
      </x:c>
      <x:c r="L267" s="24"/>
      <x:c r="M267" s="24"/>
      <x:c r="N267" s="24"/>
      <x:c r="O267" s="24"/>
      <x:c r="P267" s="24"/>
      <x:c r="Q267" s="24" t="str">
        <x:v>DISPONÍVEL</x:v>
      </x:c>
      <x:c r="R267" s="24"/>
      <x:c r="S267" s="24" t="n">
        <x:v>28</x:v>
      </x:c>
      <x:c r="T267" s="24" t="str">
        <x:v>tabela_hoya(1).pdf</x:v>
      </x:c>
      <x:c r="U267" s="24" t="str">
        <x:v>HOYA|Progressiva|Surfaçada|HOYA Argos|INCOLOR|EYNOA|1.67|Hi-Vision LongLife BlueControl|-13.00 até +7.50||||||28</x:v>
      </x:c>
    </x:row>
    <x:row r="268">
      <x:c r="A268" s="24" t="str">
        <x:v>HY-42E92EE9EB0F</x:v>
      </x:c>
      <x:c r="B268" s="24" t="str">
        <x:v>HOYA</x:v>
      </x:c>
      <x:c r="C268" s="24" t="str">
        <x:v>Progressiva</x:v>
      </x:c>
      <x:c r="D268" s="24" t="str">
        <x:v>Surfaçada</x:v>
      </x:c>
      <x:c r="E268" s="24" t="str">
        <x:v>HOYA Argos</x:v>
      </x:c>
      <x:c r="F268" s="24" t="str">
        <x:v>INCOLOR</x:v>
      </x:c>
      <x:c r="G268" s="24" t="str">
        <x:v>EYAS 2.0</x:v>
      </x:c>
      <x:c r="H268" s="24" t="str">
        <x:v>1.60</x:v>
      </x:c>
      <x:c r="I268" s="24" t="str">
        <x:v>Hi-Vision LongLife BlueControl</x:v>
      </x:c>
      <x:c r="J268" s="40" t="n">
        <x:v>2959</x:v>
      </x:c>
      <x:c r="K268" s="24" t="str">
        <x:v>-10.00 até +6.00</x:v>
      </x:c>
      <x:c r="L268" s="24"/>
      <x:c r="M268" s="24"/>
      <x:c r="N268" s="24"/>
      <x:c r="O268" s="24"/>
      <x:c r="P268" s="24"/>
      <x:c r="Q268" s="24" t="str">
        <x:v>DISPONÍVEL</x:v>
      </x:c>
      <x:c r="R268" s="24"/>
      <x:c r="S268" s="24" t="n">
        <x:v>28</x:v>
      </x:c>
      <x:c r="T268" s="24" t="str">
        <x:v>tabela_hoya(1).pdf</x:v>
      </x:c>
      <x:c r="U268" s="24" t="str">
        <x:v>HOYA|Progressiva|Surfaçada|HOYA Argos|INCOLOR|EYAS 2.0|1.60|Hi-Vision LongLife BlueControl|-10.00 até +6.00||||||28</x:v>
      </x:c>
    </x:row>
    <x:row r="269">
      <x:c r="A269" s="24" t="str">
        <x:v>HY-E1B42CE5ADA5</x:v>
      </x:c>
      <x:c r="B269" s="24" t="str">
        <x:v>HOYA</x:v>
      </x:c>
      <x:c r="C269" s="24" t="str">
        <x:v>Progressiva</x:v>
      </x:c>
      <x:c r="D269" s="24" t="str">
        <x:v>Surfaçada</x:v>
      </x:c>
      <x:c r="E269" s="24" t="str">
        <x:v>HOYA Argos</x:v>
      </x:c>
      <x:c r="F269" s="24" t="str">
        <x:v>INCOLOR</x:v>
      </x:c>
      <x:c r="G269" s="24" t="str">
        <x:v>PNX</x:v>
      </x:c>
      <x:c r="H269" s="24" t="str">
        <x:v>1.53</x:v>
      </x:c>
      <x:c r="I269" s="24" t="str">
        <x:v>Hi-Vision LongLife BlueControl</x:v>
      </x:c>
      <x:c r="J269" s="40" t="n">
        <x:v>2499</x:v>
      </x:c>
      <x:c r="K269" s="24" t="str">
        <x:v>-8.00 até +6.00</x:v>
      </x:c>
      <x:c r="L269" s="24"/>
      <x:c r="M269" s="24"/>
      <x:c r="N269" s="24"/>
      <x:c r="O269" s="24"/>
      <x:c r="P269" s="24"/>
      <x:c r="Q269" s="24" t="str">
        <x:v>DISPONÍVEL</x:v>
      </x:c>
      <x:c r="R269" s="24"/>
      <x:c r="S269" s="24" t="n">
        <x:v>28</x:v>
      </x:c>
      <x:c r="T269" s="24" t="str">
        <x:v>tabela_hoya(1).pdf</x:v>
      </x:c>
      <x:c r="U269" s="24" t="str">
        <x:v>HOYA|Progressiva|Surfaçada|HOYA Argos|INCOLOR|PNX|1.53|Hi-Vision LongLife BlueControl|-8.00 até +6.00||||||28</x:v>
      </x:c>
    </x:row>
    <x:row r="270">
      <x:c r="A270" s="24" t="str">
        <x:v>HY-BFC7D43B5105</x:v>
      </x:c>
      <x:c r="B270" s="24" t="str">
        <x:v>HOYA</x:v>
      </x:c>
      <x:c r="C270" s="24" t="str">
        <x:v>Progressiva</x:v>
      </x:c>
      <x:c r="D270" s="24" t="str">
        <x:v>Surfaçada</x:v>
      </x:c>
      <x:c r="E270" s="24" t="str">
        <x:v>HOYA Argos</x:v>
      </x:c>
      <x:c r="F270" s="24" t="str">
        <x:v>INCOLOR</x:v>
      </x:c>
      <x:c r="G270" s="24" t="str">
        <x:v>ORGANIC</x:v>
      </x:c>
      <x:c r="H270" s="24" t="str">
        <x:v>1.50</x:v>
      </x:c>
      <x:c r="I270" s="24" t="str">
        <x:v>Hi-Vision LongLife BlueControl</x:v>
      </x:c>
      <x:c r="J270" s="40" t="n">
        <x:v>2149</x:v>
      </x:c>
      <x:c r="K270" s="24" t="str">
        <x:v>-8.00 até +6.00</x:v>
      </x:c>
      <x:c r="L270" s="24"/>
      <x:c r="M270" s="24"/>
      <x:c r="N270" s="24"/>
      <x:c r="O270" s="24"/>
      <x:c r="P270" s="24"/>
      <x:c r="Q270" s="24" t="str">
        <x:v>DISPONÍVEL</x:v>
      </x:c>
      <x:c r="R270" s="24"/>
      <x:c r="S270" s="24" t="n">
        <x:v>28</x:v>
      </x:c>
      <x:c r="T270" s="24" t="str">
        <x:v>tabela_hoya(1).pdf</x:v>
      </x:c>
      <x:c r="U270" s="24" t="str">
        <x:v>HOYA|Progressiva|Surfaçada|HOYA Argos|INCOLOR|ORGANIC|1.50|Hi-Vision LongLife BlueControl|-8.00 até +6.00||||||28</x:v>
      </x:c>
    </x:row>
    <x:row r="271">
      <x:c r="A271" s="24" t="str">
        <x:v>HY-3FD389E22B7F</x:v>
      </x:c>
      <x:c r="B271" s="24" t="str">
        <x:v>HOYA</x:v>
      </x:c>
      <x:c r="C271" s="24" t="str">
        <x:v>Progressiva</x:v>
      </x:c>
      <x:c r="D271" s="24" t="str">
        <x:v>Surfaçada</x:v>
      </x:c>
      <x:c r="E271" s="24" t="str">
        <x:v>HOYA Argos</x:v>
      </x:c>
      <x:c r="F271" s="24" t="str">
        <x:v>INCOLOR</x:v>
      </x:c>
      <x:c r="G271" s="24" t="str">
        <x:v>EYNOA</x:v>
      </x:c>
      <x:c r="H271" s="24" t="str">
        <x:v>1.67</x:v>
      </x:c>
      <x:c r="I271" s="24" t="str">
        <x:v>No-Risk BlueControl</x:v>
      </x:c>
      <x:c r="J271" s="40" t="n">
        <x:v>4509</x:v>
      </x:c>
      <x:c r="K271" s="24" t="str">
        <x:v>-13.00 até +7.50</x:v>
      </x:c>
      <x:c r="L271" s="24"/>
      <x:c r="M271" s="24"/>
      <x:c r="N271" s="24"/>
      <x:c r="O271" s="24"/>
      <x:c r="P271" s="24"/>
      <x:c r="Q271" s="24" t="str">
        <x:v>DISPONÍVEL</x:v>
      </x:c>
      <x:c r="R271" s="24"/>
      <x:c r="S271" s="24" t="n">
        <x:v>28</x:v>
      </x:c>
      <x:c r="T271" s="24" t="str">
        <x:v>tabela_hoya(1).pdf</x:v>
      </x:c>
      <x:c r="U271" s="24" t="str">
        <x:v>HOYA|Progressiva|Surfaçada|HOYA Argos|INCOLOR|EYNOA|1.67|No-Risk BlueControl|-13.00 até +7.50||||||28</x:v>
      </x:c>
    </x:row>
    <x:row r="272">
      <x:c r="A272" s="24" t="str">
        <x:v>HY-49D9561ED646</x:v>
      </x:c>
      <x:c r="B272" s="24" t="str">
        <x:v>HOYA</x:v>
      </x:c>
      <x:c r="C272" s="24" t="str">
        <x:v>Progressiva</x:v>
      </x:c>
      <x:c r="D272" s="24" t="str">
        <x:v>Surfaçada</x:v>
      </x:c>
      <x:c r="E272" s="24" t="str">
        <x:v>HOYA Argos</x:v>
      </x:c>
      <x:c r="F272" s="24" t="str">
        <x:v>INCOLOR</x:v>
      </x:c>
      <x:c r="G272" s="24" t="str">
        <x:v>EYAS 2.0</x:v>
      </x:c>
      <x:c r="H272" s="24" t="str">
        <x:v>1.60</x:v>
      </x:c>
      <x:c r="I272" s="24" t="str">
        <x:v>No-Risk BlueControl</x:v>
      </x:c>
      <x:c r="J272" s="40" t="n">
        <x:v>2709</x:v>
      </x:c>
      <x:c r="K272" s="24" t="str">
        <x:v>-10.00 até +6.00</x:v>
      </x:c>
      <x:c r="L272" s="24"/>
      <x:c r="M272" s="24"/>
      <x:c r="N272" s="24"/>
      <x:c r="O272" s="24"/>
      <x:c r="P272" s="24"/>
      <x:c r="Q272" s="24" t="str">
        <x:v>DISPONÍVEL</x:v>
      </x:c>
      <x:c r="R272" s="24"/>
      <x:c r="S272" s="24" t="n">
        <x:v>28</x:v>
      </x:c>
      <x:c r="T272" s="24" t="str">
        <x:v>tabela_hoya(1).pdf</x:v>
      </x:c>
      <x:c r="U272" s="24" t="str">
        <x:v>HOYA|Progressiva|Surfaçada|HOYA Argos|INCOLOR|EYAS 2.0|1.60|No-Risk BlueControl|-10.00 até +6.00||||||28</x:v>
      </x:c>
    </x:row>
    <x:row r="273">
      <x:c r="A273" s="24" t="str">
        <x:v>HY-D2CE9EF5CB74</x:v>
      </x:c>
      <x:c r="B273" s="24" t="str">
        <x:v>HOYA</x:v>
      </x:c>
      <x:c r="C273" s="24" t="str">
        <x:v>Progressiva</x:v>
      </x:c>
      <x:c r="D273" s="24" t="str">
        <x:v>Surfaçada</x:v>
      </x:c>
      <x:c r="E273" s="24" t="str">
        <x:v>HOYA Argos</x:v>
      </x:c>
      <x:c r="F273" s="24" t="str">
        <x:v>INCOLOR</x:v>
      </x:c>
      <x:c r="G273" s="24" t="str">
        <x:v>POLI</x:v>
      </x:c>
      <x:c r="H273" s="24" t="str">
        <x:v>1.59</x:v>
      </x:c>
      <x:c r="I273" s="24" t="str">
        <x:v>No-Risk BlueControl</x:v>
      </x:c>
      <x:c r="J273" s="40" t="n">
        <x:v>2249</x:v>
      </x:c>
      <x:c r="K273" s="24" t="str">
        <x:v>-10.00 até +6.00</x:v>
      </x:c>
      <x:c r="L273" s="24"/>
      <x:c r="M273" s="24"/>
      <x:c r="N273" s="24"/>
      <x:c r="O273" s="24"/>
      <x:c r="P273" s="24"/>
      <x:c r="Q273" s="24" t="str">
        <x:v>DISPONÍVEL</x:v>
      </x:c>
      <x:c r="R273" s="24"/>
      <x:c r="S273" s="24" t="n">
        <x:v>28</x:v>
      </x:c>
      <x:c r="T273" s="24" t="str">
        <x:v>tabela_hoya(1).pdf</x:v>
      </x:c>
      <x:c r="U273" s="24" t="str">
        <x:v>HOYA|Progressiva|Surfaçada|HOYA Argos|INCOLOR|POLI|1.59|No-Risk BlueControl|-10.00 até +6.00||||||28</x:v>
      </x:c>
    </x:row>
    <x:row r="274">
      <x:c r="A274" s="24" t="str">
        <x:v>HY-8863BD59CF8F</x:v>
      </x:c>
      <x:c r="B274" s="24" t="str">
        <x:v>HOYA</x:v>
      </x:c>
      <x:c r="C274" s="24" t="str">
        <x:v>Progressiva</x:v>
      </x:c>
      <x:c r="D274" s="24" t="str">
        <x:v>Surfaçada</x:v>
      </x:c>
      <x:c r="E274" s="24" t="str">
        <x:v>HOYA Argos</x:v>
      </x:c>
      <x:c r="F274" s="24" t="str">
        <x:v>INCOLOR</x:v>
      </x:c>
      <x:c r="G274" s="24" t="str">
        <x:v>PNX</x:v>
      </x:c>
      <x:c r="H274" s="24" t="str">
        <x:v>1.53</x:v>
      </x:c>
      <x:c r="I274" s="24" t="str">
        <x:v>No-Risk BlueControl</x:v>
      </x:c>
      <x:c r="J274" s="40" t="n">
        <x:v>2249</x:v>
      </x:c>
      <x:c r="K274" s="24" t="str">
        <x:v>-8.00 até +6.00</x:v>
      </x:c>
      <x:c r="L274" s="24"/>
      <x:c r="M274" s="24"/>
      <x:c r="N274" s="24"/>
      <x:c r="O274" s="24"/>
      <x:c r="P274" s="24"/>
      <x:c r="Q274" s="24" t="str">
        <x:v>DISPONÍVEL</x:v>
      </x:c>
      <x:c r="R274" s="24"/>
      <x:c r="S274" s="24" t="n">
        <x:v>28</x:v>
      </x:c>
      <x:c r="T274" s="24" t="str">
        <x:v>tabela_hoya(1).pdf</x:v>
      </x:c>
      <x:c r="U274" s="24" t="str">
        <x:v>HOYA|Progressiva|Surfaçada|HOYA Argos|INCOLOR|PNX|1.53|No-Risk BlueControl|-8.00 até +6.00||||||28</x:v>
      </x:c>
    </x:row>
    <x:row r="275">
      <x:c r="A275" s="24" t="str">
        <x:v>HY-38A16CB030F3</x:v>
      </x:c>
      <x:c r="B275" s="24" t="str">
        <x:v>HOYA</x:v>
      </x:c>
      <x:c r="C275" s="24" t="str">
        <x:v>Progressiva</x:v>
      </x:c>
      <x:c r="D275" s="24" t="str">
        <x:v>Surfaçada</x:v>
      </x:c>
      <x:c r="E275" s="24" t="str">
        <x:v>HOYA Argos</x:v>
      </x:c>
      <x:c r="F275" s="24" t="str">
        <x:v>INCOLOR</x:v>
      </x:c>
      <x:c r="G275" s="24" t="str">
        <x:v>ORGANIC</x:v>
      </x:c>
      <x:c r="H275" s="24" t="str">
        <x:v>1.50</x:v>
      </x:c>
      <x:c r="I275" s="24" t="str">
        <x:v>No-Risk BlueControl</x:v>
      </x:c>
      <x:c r="J275" s="40" t="n">
        <x:v>1899</x:v>
      </x:c>
      <x:c r="K275" s="24" t="str">
        <x:v>-8.00 até +6.00</x:v>
      </x:c>
      <x:c r="L275" s="24"/>
      <x:c r="M275" s="24"/>
      <x:c r="N275" s="24"/>
      <x:c r="O275" s="24"/>
      <x:c r="P275" s="24"/>
      <x:c r="Q275" s="24" t="str">
        <x:v>DISPONÍVEL</x:v>
      </x:c>
      <x:c r="R275" s="24"/>
      <x:c r="S275" s="24" t="n">
        <x:v>28</x:v>
      </x:c>
      <x:c r="T275" s="24" t="str">
        <x:v>tabela_hoya(1).pdf</x:v>
      </x:c>
      <x:c r="U275" s="24" t="str">
        <x:v>HOYA|Progressiva|Surfaçada|HOYA Argos|INCOLOR|ORGANIC|1.50|No-Risk BlueControl|-8.00 até +6.00||||||28</x:v>
      </x:c>
    </x:row>
    <x:row r="276">
      <x:c r="A276" s="24" t="str">
        <x:v>HY-6A97427B41E4</x:v>
      </x:c>
      <x:c r="B276" s="24" t="str">
        <x:v>HOYA</x:v>
      </x:c>
      <x:c r="C276" s="24" t="str">
        <x:v>Progressiva</x:v>
      </x:c>
      <x:c r="D276" s="24" t="str">
        <x:v>Surfaçada</x:v>
      </x:c>
      <x:c r="E276" s="24" t="str">
        <x:v>HOYA Argos</x:v>
      </x:c>
      <x:c r="F276" s="24" t="str">
        <x:v>INCOLOR</x:v>
      </x:c>
      <x:c r="G276" s="24" t="str">
        <x:v>EYNOA</x:v>
      </x:c>
      <x:c r="H276" s="24" t="str">
        <x:v>1.67</x:v>
      </x:c>
      <x:c r="I276" s="24" t="str">
        <x:v>Hi-Vision Hard</x:v>
      </x:c>
      <x:c r="J276" s="40" t="n">
        <x:v>3909</x:v>
      </x:c>
      <x:c r="K276" s="24" t="str">
        <x:v>-13.00 até +7.50</x:v>
      </x:c>
      <x:c r="L276" s="24"/>
      <x:c r="M276" s="24"/>
      <x:c r="N276" s="24"/>
      <x:c r="O276" s="24"/>
      <x:c r="P276" s="24"/>
      <x:c r="Q276" s="24" t="str">
        <x:v>DISPONÍVEL</x:v>
      </x:c>
      <x:c r="R276" s="24"/>
      <x:c r="S276" s="24" t="n">
        <x:v>28</x:v>
      </x:c>
      <x:c r="T276" s="24" t="str">
        <x:v>tabela_hoya(1).pdf</x:v>
      </x:c>
      <x:c r="U276" s="24" t="str">
        <x:v>HOYA|Progressiva|Surfaçada|HOYA Argos|INCOLOR|EYNOA|1.67|Hi-Vision Hard|-13.00 até +7.50||||||28</x:v>
      </x:c>
    </x:row>
    <x:row r="277">
      <x:c r="A277" s="24" t="str">
        <x:v>HY-EE13266FD8F0</x:v>
      </x:c>
      <x:c r="B277" s="24" t="str">
        <x:v>HOYA</x:v>
      </x:c>
      <x:c r="C277" s="24" t="str">
        <x:v>Progressiva</x:v>
      </x:c>
      <x:c r="D277" s="24" t="str">
        <x:v>Surfaçada</x:v>
      </x:c>
      <x:c r="E277" s="24" t="str">
        <x:v>HOYA Argos</x:v>
      </x:c>
      <x:c r="F277" s="24" t="str">
        <x:v>INCOLOR</x:v>
      </x:c>
      <x:c r="G277" s="24" t="str">
        <x:v>EYAS 2.0</x:v>
      </x:c>
      <x:c r="H277" s="24" t="str">
        <x:v>1.60</x:v>
      </x:c>
      <x:c r="I277" s="24" t="str">
        <x:v>Hi-Vision Hard</x:v>
      </x:c>
      <x:c r="J277" s="40" t="n">
        <x:v>2109</x:v>
      </x:c>
      <x:c r="K277" s="24" t="str">
        <x:v>-10.00 até +6.00</x:v>
      </x:c>
      <x:c r="L277" s="24"/>
      <x:c r="M277" s="24"/>
      <x:c r="N277" s="24"/>
      <x:c r="O277" s="24"/>
      <x:c r="P277" s="24"/>
      <x:c r="Q277" s="24" t="str">
        <x:v>DISPONÍVEL</x:v>
      </x:c>
      <x:c r="R277" s="24"/>
      <x:c r="S277" s="24" t="n">
        <x:v>28</x:v>
      </x:c>
      <x:c r="T277" s="24" t="str">
        <x:v>tabela_hoya(1).pdf</x:v>
      </x:c>
      <x:c r="U277" s="24" t="str">
        <x:v>HOYA|Progressiva|Surfaçada|HOYA Argos|INCOLOR|EYAS 2.0|1.60|Hi-Vision Hard|-10.00 até +6.00||||||28</x:v>
      </x:c>
    </x:row>
    <x:row r="278">
      <x:c r="A278" s="24" t="str">
        <x:v>HY-05FB5B60A729</x:v>
      </x:c>
      <x:c r="B278" s="24" t="str">
        <x:v>HOYA</x:v>
      </x:c>
      <x:c r="C278" s="24" t="str">
        <x:v>Progressiva</x:v>
      </x:c>
      <x:c r="D278" s="24" t="str">
        <x:v>Surfaçada</x:v>
      </x:c>
      <x:c r="E278" s="24" t="str">
        <x:v>HOYA Argos</x:v>
      </x:c>
      <x:c r="F278" s="24" t="str">
        <x:v>INCOLOR</x:v>
      </x:c>
      <x:c r="G278" s="24" t="str">
        <x:v>POLI</x:v>
      </x:c>
      <x:c r="H278" s="24" t="str">
        <x:v>1.59</x:v>
      </x:c>
      <x:c r="I278" s="24" t="str">
        <x:v>Hi-Vision Hard</x:v>
      </x:c>
      <x:c r="J278" s="40" t="n">
        <x:v>1649</x:v>
      </x:c>
      <x:c r="K278" s="24" t="str">
        <x:v>-10.00 até +6.00</x:v>
      </x:c>
      <x:c r="L278" s="24"/>
      <x:c r="M278" s="24"/>
      <x:c r="N278" s="24"/>
      <x:c r="O278" s="24"/>
      <x:c r="P278" s="24"/>
      <x:c r="Q278" s="24" t="str">
        <x:v>DISPONÍVEL</x:v>
      </x:c>
      <x:c r="R278" s="24"/>
      <x:c r="S278" s="24" t="n">
        <x:v>28</x:v>
      </x:c>
      <x:c r="T278" s="24" t="str">
        <x:v>tabela_hoya(1).pdf</x:v>
      </x:c>
      <x:c r="U278" s="24" t="str">
        <x:v>HOYA|Progressiva|Surfaçada|HOYA Argos|INCOLOR|POLI|1.59|Hi-Vision Hard|-10.00 até +6.00||||||28</x:v>
      </x:c>
    </x:row>
    <x:row r="279">
      <x:c r="A279" s="24" t="str">
        <x:v>HY-477C3674DB48</x:v>
      </x:c>
      <x:c r="B279" s="24" t="str">
        <x:v>HOYA</x:v>
      </x:c>
      <x:c r="C279" s="24" t="str">
        <x:v>Progressiva</x:v>
      </x:c>
      <x:c r="D279" s="24" t="str">
        <x:v>Surfaçada</x:v>
      </x:c>
      <x:c r="E279" s="24" t="str">
        <x:v>HOYA Argos</x:v>
      </x:c>
      <x:c r="F279" s="24" t="str">
        <x:v>INCOLOR</x:v>
      </x:c>
      <x:c r="G279" s="24" t="str">
        <x:v>PNX</x:v>
      </x:c>
      <x:c r="H279" s="24" t="str">
        <x:v>1.53</x:v>
      </x:c>
      <x:c r="I279" s="24" t="str">
        <x:v>Hi-Vision Hard</x:v>
      </x:c>
      <x:c r="J279" s="40" t="n">
        <x:v>1649</x:v>
      </x:c>
      <x:c r="K279" s="24" t="str">
        <x:v>-8.00 até +6.00</x:v>
      </x:c>
      <x:c r="L279" s="24"/>
      <x:c r="M279" s="24"/>
      <x:c r="N279" s="24"/>
      <x:c r="O279" s="24"/>
      <x:c r="P279" s="24"/>
      <x:c r="Q279" s="24" t="str">
        <x:v>DISPONÍVEL</x:v>
      </x:c>
      <x:c r="R279" s="24"/>
      <x:c r="S279" s="24" t="n">
        <x:v>28</x:v>
      </x:c>
      <x:c r="T279" s="24" t="str">
        <x:v>tabela_hoya(1).pdf</x:v>
      </x:c>
      <x:c r="U279" s="24" t="str">
        <x:v>HOYA|Progressiva|Surfaçada|HOYA Argos|INCOLOR|PNX|1.53|Hi-Vision Hard|-8.00 até +6.00||||||28</x:v>
      </x:c>
    </x:row>
    <x:row r="280">
      <x:c r="A280" s="24" t="str">
        <x:v>HY-4252D93C3732</x:v>
      </x:c>
      <x:c r="B280" s="24" t="str">
        <x:v>HOYA</x:v>
      </x:c>
      <x:c r="C280" s="24" t="str">
        <x:v>Progressiva</x:v>
      </x:c>
      <x:c r="D280" s="24" t="str">
        <x:v>Surfaçada</x:v>
      </x:c>
      <x:c r="E280" s="24" t="str">
        <x:v>HOYA Argos</x:v>
      </x:c>
      <x:c r="F280" s="24" t="str">
        <x:v>INCOLOR</x:v>
      </x:c>
      <x:c r="G280" s="24" t="str">
        <x:v>ORGANIC</x:v>
      </x:c>
      <x:c r="H280" s="24" t="str">
        <x:v>1.50</x:v>
      </x:c>
      <x:c r="I280" s="24" t="str">
        <x:v>Hi-Vision Hard</x:v>
      </x:c>
      <x:c r="J280" s="40" t="n">
        <x:v>1299</x:v>
      </x:c>
      <x:c r="K280" s="24" t="str">
        <x:v>-8.00 até +6.00</x:v>
      </x:c>
      <x:c r="L280" s="24"/>
      <x:c r="M280" s="24"/>
      <x:c r="N280" s="24"/>
      <x:c r="O280" s="24"/>
      <x:c r="P280" s="24"/>
      <x:c r="Q280" s="24" t="str">
        <x:v>DISPONÍVEL</x:v>
      </x:c>
      <x:c r="R280" s="24"/>
      <x:c r="S280" s="24" t="n">
        <x:v>28</x:v>
      </x:c>
      <x:c r="T280" s="24" t="str">
        <x:v>tabela_hoya(1).pdf</x:v>
      </x:c>
      <x:c r="U280" s="24" t="str">
        <x:v>HOYA|Progressiva|Surfaçada|HOYA Argos|INCOLOR|ORGANIC|1.50|Hi-Vision Hard|-8.00 até +6.00||||||28</x:v>
      </x:c>
    </x:row>
    <x:row r="281">
      <x:c r="A281" s="24" t="str">
        <x:v>HY-22D73EA13A17</x:v>
      </x:c>
      <x:c r="B281" s="24" t="str">
        <x:v>HOYA</x:v>
      </x:c>
      <x:c r="C281" s="24" t="str">
        <x:v>Progressiva</x:v>
      </x:c>
      <x:c r="D281" s="24" t="str">
        <x:v>Surfaçada</x:v>
      </x:c>
      <x:c r="E281" s="24" t="str">
        <x:v>HOYA Argos</x:v>
      </x:c>
      <x:c r="F281" s="24" t="str">
        <x:v>COLORIDAS</x:v>
      </x:c>
      <x:c r="G281" s="24" t="str">
        <x:v>EYNOA</x:v>
      </x:c>
      <x:c r="H281" s="24" t="str">
        <x:v>1.67</x:v>
      </x:c>
      <x:c r="I281" s="24" t="str">
        <x:v>Hi-Vision Sun Pro</x:v>
      </x:c>
      <x:c r="J281" s="40" t="n">
        <x:v>4799</x:v>
      </x:c>
      <x:c r="K281" s="24" t="str">
        <x:v>-13.00 até +7.50</x:v>
      </x:c>
      <x:c r="L281" s="24"/>
      <x:c r="M281" s="24"/>
      <x:c r="N281" s="24"/>
      <x:c r="O281" s="24"/>
      <x:c r="P281" s="24"/>
      <x:c r="Q281" s="24" t="str">
        <x:v>DISPONÍVEL</x:v>
      </x:c>
      <x:c r="R281" s="24"/>
      <x:c r="S281" s="24" t="n">
        <x:v>28</x:v>
      </x:c>
      <x:c r="T281" s="24" t="str">
        <x:v>tabela_hoya(1).pdf</x:v>
      </x:c>
      <x:c r="U281" s="24" t="str">
        <x:v>HOYA|Progressiva|Surfaçada|HOYA Argos|COLORIDAS|EYNOA|1.67|Hi-Vision Sun Pro|-13.00 até +7.50||||||28</x:v>
      </x:c>
    </x:row>
    <x:row r="282">
      <x:c r="A282" s="24" t="str">
        <x:v>HY-DE5482B7EDA4</x:v>
      </x:c>
      <x:c r="B282" s="24" t="str">
        <x:v>HOYA</x:v>
      </x:c>
      <x:c r="C282" s="24" t="str">
        <x:v>Progressiva</x:v>
      </x:c>
      <x:c r="D282" s="24" t="str">
        <x:v>Surfaçada</x:v>
      </x:c>
      <x:c r="E282" s="24" t="str">
        <x:v>HOYA Argos</x:v>
      </x:c>
      <x:c r="F282" s="24" t="str">
        <x:v>COLORIDAS</x:v>
      </x:c>
      <x:c r="G282" s="24" t="str">
        <x:v>EYAS 2.0</x:v>
      </x:c>
      <x:c r="H282" s="24" t="str">
        <x:v>1.60</x:v>
      </x:c>
      <x:c r="I282" s="24" t="str">
        <x:v>Hi-Vision Sun Pro</x:v>
      </x:c>
      <x:c r="J282" s="40" t="n">
        <x:v>2999</x:v>
      </x:c>
      <x:c r="K282" s="24" t="str">
        <x:v>-10.00 até +6.00</x:v>
      </x:c>
      <x:c r="L282" s="24"/>
      <x:c r="M282" s="24"/>
      <x:c r="N282" s="24"/>
      <x:c r="O282" s="24"/>
      <x:c r="P282" s="24"/>
      <x:c r="Q282" s="24" t="str">
        <x:v>DISPONÍVEL</x:v>
      </x:c>
      <x:c r="R282" s="24"/>
      <x:c r="S282" s="24" t="n">
        <x:v>28</x:v>
      </x:c>
      <x:c r="T282" s="24" t="str">
        <x:v>tabela_hoya(1).pdf</x:v>
      </x:c>
      <x:c r="U282" s="24" t="str">
        <x:v>HOYA|Progressiva|Surfaçada|HOYA Argos|COLORIDAS|EYAS 2.0|1.60|Hi-Vision Sun Pro|-10.00 até +6.00||||||28</x:v>
      </x:c>
    </x:row>
    <x:row r="283">
      <x:c r="A283" s="24" t="str">
        <x:v>HY-CF0304E97BEE</x:v>
      </x:c>
      <x:c r="B283" s="24" t="str">
        <x:v>HOYA</x:v>
      </x:c>
      <x:c r="C283" s="24" t="str">
        <x:v>Progressiva</x:v>
      </x:c>
      <x:c r="D283" s="24" t="str">
        <x:v>Surfaçada</x:v>
      </x:c>
      <x:c r="E283" s="24" t="str">
        <x:v>HOYA Argos</x:v>
      </x:c>
      <x:c r="F283" s="24" t="str">
        <x:v>COLORIDAS</x:v>
      </x:c>
      <x:c r="G283" s="24" t="str">
        <x:v>PNX</x:v>
      </x:c>
      <x:c r="H283" s="24" t="str">
        <x:v>1.53</x:v>
      </x:c>
      <x:c r="I283" s="24" t="str">
        <x:v>Hi-Vision Sun Pro</x:v>
      </x:c>
      <x:c r="J283" s="40" t="n">
        <x:v>2539</x:v>
      </x:c>
      <x:c r="K283" s="24" t="str">
        <x:v>-8.00 até +6.00</x:v>
      </x:c>
      <x:c r="L283" s="24"/>
      <x:c r="M283" s="24"/>
      <x:c r="N283" s="24"/>
      <x:c r="O283" s="24"/>
      <x:c r="P283" s="24"/>
      <x:c r="Q283" s="24" t="str">
        <x:v>DISPONÍVEL</x:v>
      </x:c>
      <x:c r="R283" s="24"/>
      <x:c r="S283" s="24" t="n">
        <x:v>28</x:v>
      </x:c>
      <x:c r="T283" s="24" t="str">
        <x:v>tabela_hoya(1).pdf</x:v>
      </x:c>
      <x:c r="U283" s="24" t="str">
        <x:v>HOYA|Progressiva|Surfaçada|HOYA Argos|COLORIDAS|PNX|1.53|Hi-Vision Sun Pro|-8.00 até +6.00||||||28</x:v>
      </x:c>
    </x:row>
    <x:row r="284">
      <x:c r="A284" s="24" t="str">
        <x:v>HY-ABF1287786B5</x:v>
      </x:c>
      <x:c r="B284" s="24" t="str">
        <x:v>HOYA</x:v>
      </x:c>
      <x:c r="C284" s="24" t="str">
        <x:v>Progressiva</x:v>
      </x:c>
      <x:c r="D284" s="24" t="str">
        <x:v>Surfaçada</x:v>
      </x:c>
      <x:c r="E284" s="24" t="str">
        <x:v>HOYA Argos</x:v>
      </x:c>
      <x:c r="F284" s="24" t="str">
        <x:v>COLORIDAS</x:v>
      </x:c>
      <x:c r="G284" s="24" t="str">
        <x:v>ORGANIC</x:v>
      </x:c>
      <x:c r="H284" s="24" t="str">
        <x:v>1.50</x:v>
      </x:c>
      <x:c r="I284" s="24" t="str">
        <x:v>Hi-Vision Sun Pro</x:v>
      </x:c>
      <x:c r="J284" s="40" t="n">
        <x:v>2189</x:v>
      </x:c>
      <x:c r="K284" s="24" t="str">
        <x:v>-8.00 até +6.00</x:v>
      </x:c>
      <x:c r="L284" s="24"/>
      <x:c r="M284" s="24"/>
      <x:c r="N284" s="24"/>
      <x:c r="O284" s="24"/>
      <x:c r="P284" s="24"/>
      <x:c r="Q284" s="24" t="str">
        <x:v>DISPONÍVEL</x:v>
      </x:c>
      <x:c r="R284" s="24"/>
      <x:c r="S284" s="24" t="n">
        <x:v>28</x:v>
      </x:c>
      <x:c r="T284" s="24" t="str">
        <x:v>tabela_hoya(1).pdf</x:v>
      </x:c>
      <x:c r="U284" s="24" t="str">
        <x:v>HOYA|Progressiva|Surfaçada|HOYA Argos|COLORIDAS|ORGANIC|1.50|Hi-Vision Sun Pro|-8.00 até +6.00||||||28</x:v>
      </x:c>
    </x:row>
    <x:row r="285">
      <x:c r="A285" s="24" t="str">
        <x:v>HY-DFADF083D04F</x:v>
      </x:c>
      <x:c r="B285" s="24" t="str">
        <x:v>HOYA</x:v>
      </x:c>
      <x:c r="C285" s="24" t="str">
        <x:v>Progressiva</x:v>
      </x:c>
      <x:c r="D285" s="24" t="str">
        <x:v>Surfaçada</x:v>
      </x:c>
      <x:c r="E285" s="24" t="str">
        <x:v>HOYA Argos</x:v>
      </x:c>
      <x:c r="F285" s="24" t="str">
        <x:v>SENSITY 2</x:v>
      </x:c>
      <x:c r="G285" s="24" t="str">
        <x:v>PNX</x:v>
      </x:c>
      <x:c r="H285" s="24" t="str">
        <x:v>1.53</x:v>
      </x:c>
      <x:c r="I285" s="24" t="str">
        <x:v>Hi-Vision LongLife BlueControl</x:v>
      </x:c>
      <x:c r="J285" s="40" t="n">
        <x:v>3899</x:v>
      </x:c>
      <x:c r="K285" s="24" t="str">
        <x:v>-8.00 até +6.00</x:v>
      </x:c>
      <x:c r="L285" s="24"/>
      <x:c r="M285" s="24"/>
      <x:c r="N285" s="24"/>
      <x:c r="O285" s="24"/>
      <x:c r="P285" s="24"/>
      <x:c r="Q285" s="24" t="str">
        <x:v>DISPONÍVEL</x:v>
      </x:c>
      <x:c r="R285" s="24"/>
      <x:c r="S285" s="24" t="n">
        <x:v>28</x:v>
      </x:c>
      <x:c r="T285" s="24" t="str">
        <x:v>tabela_hoya(1).pdf</x:v>
      </x:c>
      <x:c r="U285" s="24" t="str">
        <x:v>HOYA|Progressiva|Surfaçada|HOYA Argos|SENSITY 2|PNX|1.53|Hi-Vision LongLife BlueControl|-8.00 até +6.00||||||28</x:v>
      </x:c>
    </x:row>
    <x:row r="286">
      <x:c r="A286" s="24" t="str">
        <x:v>HY-BC051648E9EE</x:v>
      </x:c>
      <x:c r="B286" s="24" t="str">
        <x:v>HOYA</x:v>
      </x:c>
      <x:c r="C286" s="24" t="str">
        <x:v>Progressiva</x:v>
      </x:c>
      <x:c r="D286" s="24" t="str">
        <x:v>Surfaçada</x:v>
      </x:c>
      <x:c r="E286" s="24" t="str">
        <x:v>HOYA Argos</x:v>
      </x:c>
      <x:c r="F286" s="24" t="str">
        <x:v>SENSITY 2</x:v>
      </x:c>
      <x:c r="G286" s="24" t="str">
        <x:v>ORGANIC</x:v>
      </x:c>
      <x:c r="H286" s="24" t="str">
        <x:v>1.50</x:v>
      </x:c>
      <x:c r="I286" s="24" t="str">
        <x:v>Hi-Vision LongLife BlueControl</x:v>
      </x:c>
      <x:c r="J286" s="40" t="n">
        <x:v>3549</x:v>
      </x:c>
      <x:c r="K286" s="24" t="str">
        <x:v>-8.00 até +6.00</x:v>
      </x:c>
      <x:c r="L286" s="24"/>
      <x:c r="M286" s="24"/>
      <x:c r="N286" s="24"/>
      <x:c r="O286" s="24"/>
      <x:c r="P286" s="24"/>
      <x:c r="Q286" s="24" t="str">
        <x:v>DISPONÍVEL</x:v>
      </x:c>
      <x:c r="R286" s="24"/>
      <x:c r="S286" s="24" t="n">
        <x:v>28</x:v>
      </x:c>
      <x:c r="T286" s="24" t="str">
        <x:v>tabela_hoya(1).pdf</x:v>
      </x:c>
      <x:c r="U286" s="24" t="str">
        <x:v>HOYA|Progressiva|Surfaçada|HOYA Argos|SENSITY 2|ORGANIC|1.50|Hi-Vision LongLife BlueControl|-8.00 até +6.00||||||28</x:v>
      </x:c>
    </x:row>
    <x:row r="287">
      <x:c r="A287" s="24" t="str">
        <x:v>HY-E7A8B525A1D6</x:v>
      </x:c>
      <x:c r="B287" s="24" t="str">
        <x:v>HOYA</x:v>
      </x:c>
      <x:c r="C287" s="24" t="str">
        <x:v>Progressiva</x:v>
      </x:c>
      <x:c r="D287" s="24" t="str">
        <x:v>Surfaçada</x:v>
      </x:c>
      <x:c r="E287" s="24" t="str">
        <x:v>HOYA Argos</x:v>
      </x:c>
      <x:c r="F287" s="24" t="str">
        <x:v>SENSITY 2</x:v>
      </x:c>
      <x:c r="G287" s="24" t="str">
        <x:v>PNX</x:v>
      </x:c>
      <x:c r="H287" s="24" t="str">
        <x:v>1.53</x:v>
      </x:c>
      <x:c r="I287" s="24" t="str">
        <x:v>No-Risk BlueControl</x:v>
      </x:c>
      <x:c r="J287" s="40" t="n">
        <x:v>3649</x:v>
      </x:c>
      <x:c r="K287" s="24" t="str">
        <x:v>-8.00 até +6.00</x:v>
      </x:c>
      <x:c r="L287" s="24"/>
      <x:c r="M287" s="24"/>
      <x:c r="N287" s="24"/>
      <x:c r="O287" s="24"/>
      <x:c r="P287" s="24"/>
      <x:c r="Q287" s="24" t="str">
        <x:v>DISPONÍVEL</x:v>
      </x:c>
      <x:c r="R287" s="24"/>
      <x:c r="S287" s="24" t="n">
        <x:v>28</x:v>
      </x:c>
      <x:c r="T287" s="24" t="str">
        <x:v>tabela_hoya(1).pdf</x:v>
      </x:c>
      <x:c r="U287" s="24" t="str">
        <x:v>HOYA|Progressiva|Surfaçada|HOYA Argos|SENSITY 2|PNX|1.53|No-Risk BlueControl|-8.00 até +6.00||||||28</x:v>
      </x:c>
    </x:row>
    <x:row r="288">
      <x:c r="A288" s="24" t="str">
        <x:v>HY-ED9A875B8F76</x:v>
      </x:c>
      <x:c r="B288" s="24" t="str">
        <x:v>HOYA</x:v>
      </x:c>
      <x:c r="C288" s="24" t="str">
        <x:v>Progressiva</x:v>
      </x:c>
      <x:c r="D288" s="24" t="str">
        <x:v>Surfaçada</x:v>
      </x:c>
      <x:c r="E288" s="24" t="str">
        <x:v>HOYA Argos</x:v>
      </x:c>
      <x:c r="F288" s="24" t="str">
        <x:v>SENSITY 2</x:v>
      </x:c>
      <x:c r="G288" s="24" t="str">
        <x:v>ORGANIC</x:v>
      </x:c>
      <x:c r="H288" s="24" t="str">
        <x:v>1.50</x:v>
      </x:c>
      <x:c r="I288" s="24" t="str">
        <x:v>No-Risk BlueControl</x:v>
      </x:c>
      <x:c r="J288" s="40" t="n">
        <x:v>3299</x:v>
      </x:c>
      <x:c r="K288" s="24" t="str">
        <x:v>-8.00 até +6.00</x:v>
      </x:c>
      <x:c r="L288" s="24"/>
      <x:c r="M288" s="24"/>
      <x:c r="N288" s="24"/>
      <x:c r="O288" s="24"/>
      <x:c r="P288" s="24"/>
      <x:c r="Q288" s="24" t="str">
        <x:v>DISPONÍVEL</x:v>
      </x:c>
      <x:c r="R288" s="24"/>
      <x:c r="S288" s="24" t="n">
        <x:v>28</x:v>
      </x:c>
      <x:c r="T288" s="24" t="str">
        <x:v>tabela_hoya(1).pdf</x:v>
      </x:c>
      <x:c r="U288" s="24" t="str">
        <x:v>HOYA|Progressiva|Surfaçada|HOYA Argos|SENSITY 2|ORGANIC|1.50|No-Risk BlueControl|-8.00 até +6.00||||||28</x:v>
      </x:c>
    </x:row>
    <x:row r="289">
      <x:c r="A289" s="24" t="str">
        <x:v>HY-F0EDDA9657D4</x:v>
      </x:c>
      <x:c r="B289" s="24" t="str">
        <x:v>HOYA</x:v>
      </x:c>
      <x:c r="C289" s="24" t="str">
        <x:v>Progressiva</x:v>
      </x:c>
      <x:c r="D289" s="24" t="str">
        <x:v>Surfaçada</x:v>
      </x:c>
      <x:c r="E289" s="24" t="str">
        <x:v>HOYA Argos</x:v>
      </x:c>
      <x:c r="F289" s="24" t="str">
        <x:v>SENSITY 2</x:v>
      </x:c>
      <x:c r="G289" s="24" t="str">
        <x:v>PNX</x:v>
      </x:c>
      <x:c r="H289" s="24" t="str">
        <x:v>1.53</x:v>
      </x:c>
      <x:c r="I289" s="24" t="str">
        <x:v>Hi-Vision Hard</x:v>
      </x:c>
      <x:c r="J289" s="40" t="n">
        <x:v>3049</x:v>
      </x:c>
      <x:c r="K289" s="24" t="str">
        <x:v>-8.00 até +6.00</x:v>
      </x:c>
      <x:c r="L289" s="24"/>
      <x:c r="M289" s="24"/>
      <x:c r="N289" s="24"/>
      <x:c r="O289" s="24"/>
      <x:c r="P289" s="24"/>
      <x:c r="Q289" s="24" t="str">
        <x:v>DISPONÍVEL</x:v>
      </x:c>
      <x:c r="R289" s="24"/>
      <x:c r="S289" s="24" t="n">
        <x:v>28</x:v>
      </x:c>
      <x:c r="T289" s="24" t="str">
        <x:v>tabela_hoya(1).pdf</x:v>
      </x:c>
      <x:c r="U289" s="24" t="str">
        <x:v>HOYA|Progressiva|Surfaçada|HOYA Argos|SENSITY 2|PNX|1.53|Hi-Vision Hard|-8.00 até +6.00||||||28</x:v>
      </x:c>
    </x:row>
    <x:row r="290">
      <x:c r="A290" s="24" t="str">
        <x:v>HY-E12A9189DA46</x:v>
      </x:c>
      <x:c r="B290" s="24" t="str">
        <x:v>HOYA</x:v>
      </x:c>
      <x:c r="C290" s="24" t="str">
        <x:v>Progressiva</x:v>
      </x:c>
      <x:c r="D290" s="24" t="str">
        <x:v>Surfaçada</x:v>
      </x:c>
      <x:c r="E290" s="24" t="str">
        <x:v>HOYA Argos</x:v>
      </x:c>
      <x:c r="F290" s="24" t="str">
        <x:v>SENSITY 2</x:v>
      </x:c>
      <x:c r="G290" s="24" t="str">
        <x:v>ORGANIC</x:v>
      </x:c>
      <x:c r="H290" s="24" t="str">
        <x:v>1.50</x:v>
      </x:c>
      <x:c r="I290" s="24" t="str">
        <x:v>Hi-Vision Hard</x:v>
      </x:c>
      <x:c r="J290" s="40" t="n">
        <x:v>2699</x:v>
      </x:c>
      <x:c r="K290" s="24" t="str">
        <x:v>-8.00 até +6.00</x:v>
      </x:c>
      <x:c r="L290" s="24"/>
      <x:c r="M290" s="24"/>
      <x:c r="N290" s="24"/>
      <x:c r="O290" s="24"/>
      <x:c r="P290" s="24"/>
      <x:c r="Q290" s="24" t="str">
        <x:v>DISPONÍVEL</x:v>
      </x:c>
      <x:c r="R290" s="24"/>
      <x:c r="S290" s="24" t="n">
        <x:v>28</x:v>
      </x:c>
      <x:c r="T290" s="24" t="str">
        <x:v>tabela_hoya(1).pdf</x:v>
      </x:c>
      <x:c r="U290" s="24" t="str">
        <x:v>HOYA|Progressiva|Surfaçada|HOYA Argos|SENSITY 2|ORGANIC|1.50|Hi-Vision Hard|-8.00 até +6.00||||||28</x:v>
      </x:c>
    </x:row>
    <x:row r="291">
      <x:c r="A291" s="24" t="str">
        <x:v>HY-85E18E06F715</x:v>
      </x:c>
      <x:c r="B291" s="24" t="str">
        <x:v>HOYA</x:v>
      </x:c>
      <x:c r="C291" s="24" t="str">
        <x:v>Progressiva</x:v>
      </x:c>
      <x:c r="D291" s="24" t="str">
        <x:v>Surfaçada</x:v>
      </x:c>
      <x:c r="E291" s="24" t="str">
        <x:v>HOYA Argos</x:v>
      </x:c>
      <x:c r="F291" s="24" t="str">
        <x:v>SENSITY ORIGINAL</x:v>
      </x:c>
      <x:c r="G291" s="24" t="str">
        <x:v>PNX</x:v>
      </x:c>
      <x:c r="H291" s="24" t="str">
        <x:v>1.53</x:v>
      </x:c>
      <x:c r="I291" s="24" t="str">
        <x:v>Hi-Vision LongLife BlueControl</x:v>
      </x:c>
      <x:c r="J291" s="40" t="n">
        <x:v>3499</x:v>
      </x:c>
      <x:c r="K291" s="24" t="str">
        <x:v>-8.00 até +6.00</x:v>
      </x:c>
      <x:c r="L291" s="24"/>
      <x:c r="M291" s="24"/>
      <x:c r="N291" s="24"/>
      <x:c r="O291" s="24"/>
      <x:c r="P291" s="24"/>
      <x:c r="Q291" s="24" t="str">
        <x:v>ESTOQUE LIMITADO</x:v>
      </x:c>
      <x:c r="R291" s="24"/>
      <x:c r="S291" s="24" t="n">
        <x:v>28</x:v>
      </x:c>
      <x:c r="T291" s="24" t="str">
        <x:v>tabela_hoya(1).pdf</x:v>
      </x:c>
      <x:c r="U291" s="24" t="str">
        <x:v>HOYA|Progressiva|Surfaçada|HOYA Argos|SENSITY ORIGINAL|PNX|1.53|Hi-Vision LongLife BlueControl|-8.00 até +6.00||||||28</x:v>
      </x:c>
    </x:row>
    <x:row r="292">
      <x:c r="A292" s="24" t="str">
        <x:v>HY-40FB1910727C</x:v>
      </x:c>
      <x:c r="B292" s="24" t="str">
        <x:v>HOYA</x:v>
      </x:c>
      <x:c r="C292" s="24" t="str">
        <x:v>Progressiva</x:v>
      </x:c>
      <x:c r="D292" s="24" t="str">
        <x:v>Surfaçada</x:v>
      </x:c>
      <x:c r="E292" s="24" t="str">
        <x:v>HOYA Argos</x:v>
      </x:c>
      <x:c r="F292" s="24" t="str">
        <x:v>SENSITY ORIGINAL</x:v>
      </x:c>
      <x:c r="G292" s="24" t="str">
        <x:v>ORGANIC</x:v>
      </x:c>
      <x:c r="H292" s="24" t="str">
        <x:v>1.50</x:v>
      </x:c>
      <x:c r="I292" s="24" t="str">
        <x:v>Hi-Vision LongLife BlueControl</x:v>
      </x:c>
      <x:c r="J292" s="40" t="n">
        <x:v>3149</x:v>
      </x:c>
      <x:c r="K292" s="24" t="str">
        <x:v>-8.00 até +6.00</x:v>
      </x:c>
      <x:c r="L292" s="24"/>
      <x:c r="M292" s="24"/>
      <x:c r="N292" s="24"/>
      <x:c r="O292" s="24"/>
      <x:c r="P292" s="24"/>
      <x:c r="Q292" s="24" t="str">
        <x:v>ESTOQUE LIMITADO</x:v>
      </x:c>
      <x:c r="R292" s="24"/>
      <x:c r="S292" s="24" t="n">
        <x:v>28</x:v>
      </x:c>
      <x:c r="T292" s="24" t="str">
        <x:v>tabela_hoya(1).pdf</x:v>
      </x:c>
      <x:c r="U292" s="24" t="str">
        <x:v>HOYA|Progressiva|Surfaçada|HOYA Argos|SENSITY ORIGINAL|ORGANIC|1.50|Hi-Vision LongLife BlueControl|-8.00 até +6.00||||||28</x:v>
      </x:c>
    </x:row>
    <x:row r="293">
      <x:c r="A293" s="24" t="str">
        <x:v>HY-A9441C1F85BA</x:v>
      </x:c>
      <x:c r="B293" s="24" t="str">
        <x:v>HOYA</x:v>
      </x:c>
      <x:c r="C293" s="24" t="str">
        <x:v>Progressiva</x:v>
      </x:c>
      <x:c r="D293" s="24" t="str">
        <x:v>Surfaçada</x:v>
      </x:c>
      <x:c r="E293" s="24" t="str">
        <x:v>HOYA Argos</x:v>
      </x:c>
      <x:c r="F293" s="24" t="str">
        <x:v>SENSITY ORIGINAL</x:v>
      </x:c>
      <x:c r="G293" s="24" t="str">
        <x:v>PNX</x:v>
      </x:c>
      <x:c r="H293" s="24" t="str">
        <x:v>1.53</x:v>
      </x:c>
      <x:c r="I293" s="24" t="str">
        <x:v>No-Risk BlueControl</x:v>
      </x:c>
      <x:c r="J293" s="40" t="n">
        <x:v>3249</x:v>
      </x:c>
      <x:c r="K293" s="24" t="str">
        <x:v>-8.00 até +6.00</x:v>
      </x:c>
      <x:c r="L293" s="24"/>
      <x:c r="M293" s="24"/>
      <x:c r="N293" s="24"/>
      <x:c r="O293" s="24"/>
      <x:c r="P293" s="24"/>
      <x:c r="Q293" s="24" t="str">
        <x:v>ESTOQUE LIMITADO</x:v>
      </x:c>
      <x:c r="R293" s="24"/>
      <x:c r="S293" s="24" t="n">
        <x:v>28</x:v>
      </x:c>
      <x:c r="T293" s="24" t="str">
        <x:v>tabela_hoya(1).pdf</x:v>
      </x:c>
      <x:c r="U293" s="24" t="str">
        <x:v>HOYA|Progressiva|Surfaçada|HOYA Argos|SENSITY ORIGINAL|PNX|1.53|No-Risk BlueControl|-8.00 até +6.00||||||28</x:v>
      </x:c>
    </x:row>
    <x:row r="294">
      <x:c r="A294" s="24" t="str">
        <x:v>HY-1B12494288B9</x:v>
      </x:c>
      <x:c r="B294" s="24" t="str">
        <x:v>HOYA</x:v>
      </x:c>
      <x:c r="C294" s="24" t="str">
        <x:v>Progressiva</x:v>
      </x:c>
      <x:c r="D294" s="24" t="str">
        <x:v>Surfaçada</x:v>
      </x:c>
      <x:c r="E294" s="24" t="str">
        <x:v>HOYA Argos</x:v>
      </x:c>
      <x:c r="F294" s="24" t="str">
        <x:v>SENSITY ORIGINAL</x:v>
      </x:c>
      <x:c r="G294" s="24" t="str">
        <x:v>ORGANIC</x:v>
      </x:c>
      <x:c r="H294" s="24" t="str">
        <x:v>1.50</x:v>
      </x:c>
      <x:c r="I294" s="24" t="str">
        <x:v>No-Risk BlueControl</x:v>
      </x:c>
      <x:c r="J294" s="40" t="n">
        <x:v>2899</x:v>
      </x:c>
      <x:c r="K294" s="24" t="str">
        <x:v>-8.00 até +6.00</x:v>
      </x:c>
      <x:c r="L294" s="24"/>
      <x:c r="M294" s="24"/>
      <x:c r="N294" s="24"/>
      <x:c r="O294" s="24"/>
      <x:c r="P294" s="24"/>
      <x:c r="Q294" s="24" t="str">
        <x:v>ESTOQUE LIMITADO</x:v>
      </x:c>
      <x:c r="R294" s="24"/>
      <x:c r="S294" s="24" t="n">
        <x:v>28</x:v>
      </x:c>
      <x:c r="T294" s="24" t="str">
        <x:v>tabela_hoya(1).pdf</x:v>
      </x:c>
      <x:c r="U294" s="24" t="str">
        <x:v>HOYA|Progressiva|Surfaçada|HOYA Argos|SENSITY ORIGINAL|ORGANIC|1.50|No-Risk BlueControl|-8.00 até +6.00||||||28</x:v>
      </x:c>
    </x:row>
    <x:row r="295">
      <x:c r="A295" s="24" t="str">
        <x:v>HY-4AF607DB70D8</x:v>
      </x:c>
      <x:c r="B295" s="24" t="str">
        <x:v>HOYA</x:v>
      </x:c>
      <x:c r="C295" s="24" t="str">
        <x:v>Progressiva</x:v>
      </x:c>
      <x:c r="D295" s="24" t="str">
        <x:v>Surfaçada</x:v>
      </x:c>
      <x:c r="E295" s="24" t="str">
        <x:v>HOYA Argos</x:v>
      </x:c>
      <x:c r="F295" s="24" t="str">
        <x:v>SENSITY ORIGINAL</x:v>
      </x:c>
      <x:c r="G295" s="24" t="str">
        <x:v>PNX</x:v>
      </x:c>
      <x:c r="H295" s="24" t="str">
        <x:v>1.53</x:v>
      </x:c>
      <x:c r="I295" s="24" t="str">
        <x:v>Hi-Vision Hard</x:v>
      </x:c>
      <x:c r="J295" s="40" t="n">
        <x:v>2649</x:v>
      </x:c>
      <x:c r="K295" s="24" t="str">
        <x:v>-8.00 até +6.00</x:v>
      </x:c>
      <x:c r="L295" s="24"/>
      <x:c r="M295" s="24"/>
      <x:c r="N295" s="24"/>
      <x:c r="O295" s="24"/>
      <x:c r="P295" s="24"/>
      <x:c r="Q295" s="24" t="str">
        <x:v>ESTOQUE LIMITADO</x:v>
      </x:c>
      <x:c r="R295" s="24"/>
      <x:c r="S295" s="24" t="n">
        <x:v>28</x:v>
      </x:c>
      <x:c r="T295" s="24" t="str">
        <x:v>tabela_hoya(1).pdf</x:v>
      </x:c>
      <x:c r="U295" s="24" t="str">
        <x:v>HOYA|Progressiva|Surfaçada|HOYA Argos|SENSITY ORIGINAL|PNX|1.53|Hi-Vision Hard|-8.00 até +6.00||||||28</x:v>
      </x:c>
    </x:row>
    <x:row r="296">
      <x:c r="A296" s="24" t="str">
        <x:v>HY-D58C89BD27A2</x:v>
      </x:c>
      <x:c r="B296" s="24" t="str">
        <x:v>HOYA</x:v>
      </x:c>
      <x:c r="C296" s="24" t="str">
        <x:v>Progressiva</x:v>
      </x:c>
      <x:c r="D296" s="24" t="str">
        <x:v>Surfaçada</x:v>
      </x:c>
      <x:c r="E296" s="24" t="str">
        <x:v>HOYA Argos</x:v>
      </x:c>
      <x:c r="F296" s="24" t="str">
        <x:v>SENSITY ORIGINAL</x:v>
      </x:c>
      <x:c r="G296" s="24" t="str">
        <x:v>ORGANIC</x:v>
      </x:c>
      <x:c r="H296" s="24" t="str">
        <x:v>1.50</x:v>
      </x:c>
      <x:c r="I296" s="24" t="str">
        <x:v>Hi-Vision Hard</x:v>
      </x:c>
      <x:c r="J296" s="40" t="n">
        <x:v>2299</x:v>
      </x:c>
      <x:c r="K296" s="24" t="str">
        <x:v>-8.00 até +6.00</x:v>
      </x:c>
      <x:c r="L296" s="24"/>
      <x:c r="M296" s="24"/>
      <x:c r="N296" s="24"/>
      <x:c r="O296" s="24"/>
      <x:c r="P296" s="24"/>
      <x:c r="Q296" s="24" t="str">
        <x:v>ESTOQUE LIMITADO</x:v>
      </x:c>
      <x:c r="R296" s="24"/>
      <x:c r="S296" s="24" t="n">
        <x:v>28</x:v>
      </x:c>
      <x:c r="T296" s="24" t="str">
        <x:v>tabela_hoya(1).pdf</x:v>
      </x:c>
      <x:c r="U296" s="24" t="str">
        <x:v>HOYA|Progressiva|Surfaçada|HOYA Argos|SENSITY ORIGINAL|ORGANIC|1.50|Hi-Vision Hard|-8.00 até +6.00||||||28</x:v>
      </x:c>
    </x:row>
    <x:row r="297">
      <x:c r="A297" s="24" t="str">
        <x:v>HY-2E3EB7394E77</x:v>
      </x:c>
      <x:c r="B297" s="24" t="str">
        <x:v>HOYA</x:v>
      </x:c>
      <x:c r="C297" s="24" t="str">
        <x:v>Progressiva</x:v>
      </x:c>
      <x:c r="D297" s="24" t="str">
        <x:v>Surfaçada</x:v>
      </x:c>
      <x:c r="E297" s="24" t="str">
        <x:v>HOYA Amplitude</x:v>
      </x:c>
      <x:c r="F297" s="24" t="str">
        <x:v>INCOLOR</x:v>
      </x:c>
      <x:c r="G297" s="24" t="str">
        <x:v>POLI</x:v>
      </x:c>
      <x:c r="H297" s="24" t="str">
        <x:v>1.59</x:v>
      </x:c>
      <x:c r="I297" s="24" t="str">
        <x:v>No-Risk BlueControl</x:v>
      </x:c>
      <x:c r="J297" s="40" t="n">
        <x:v>799</x:v>
      </x:c>
      <x:c r="K297" s="24" t="str">
        <x:v>-8.00 até +6.00</x:v>
      </x:c>
      <x:c r="L297" s="24"/>
      <x:c r="M297" s="24"/>
      <x:c r="N297" s="24"/>
      <x:c r="O297" s="24"/>
      <x:c r="P297" s="24"/>
      <x:c r="Q297" s="24" t="str">
        <x:v>DISPONÍVEL</x:v>
      </x:c>
      <x:c r="R297" s="24"/>
      <x:c r="S297" s="24" t="n">
        <x:v>29</x:v>
      </x:c>
      <x:c r="T297" s="24" t="str">
        <x:v>tabela_hoya(1).pdf</x:v>
      </x:c>
      <x:c r="U297" s="24" t="str">
        <x:v>HOYA|Progressiva|Surfaçada|HOYA Amplitude|INCOLOR|POLI|1.59|No-Risk BlueControl|-8.00 até +6.00||||||29</x:v>
      </x:c>
    </x:row>
    <x:row r="298">
      <x:c r="A298" s="24" t="str">
        <x:v>HY-66BF34D3710D</x:v>
      </x:c>
      <x:c r="B298" s="24" t="str">
        <x:v>HOYA</x:v>
      </x:c>
      <x:c r="C298" s="24" t="str">
        <x:v>Progressiva</x:v>
      </x:c>
      <x:c r="D298" s="24" t="str">
        <x:v>Surfaçada</x:v>
      </x:c>
      <x:c r="E298" s="24" t="str">
        <x:v>HOYA Amplitude</x:v>
      </x:c>
      <x:c r="F298" s="24" t="str">
        <x:v>INCOLOR</x:v>
      </x:c>
      <x:c r="G298" s="24" t="str">
        <x:v>POLI</x:v>
      </x:c>
      <x:c r="H298" s="24" t="str">
        <x:v>1.59</x:v>
      </x:c>
      <x:c r="I298" s="24" t="str">
        <x:v>Hi-Vision Hard</x:v>
      </x:c>
      <x:c r="J298" s="40" t="n">
        <x:v>599</x:v>
      </x:c>
      <x:c r="K298" s="24" t="str">
        <x:v>-8.00 até +6.00</x:v>
      </x:c>
      <x:c r="L298" s="24"/>
      <x:c r="M298" s="24"/>
      <x:c r="N298" s="24"/>
      <x:c r="O298" s="24"/>
      <x:c r="P298" s="24"/>
      <x:c r="Q298" s="24" t="str">
        <x:v>DISPONÍVEL</x:v>
      </x:c>
      <x:c r="R298" s="24"/>
      <x:c r="S298" s="24" t="n">
        <x:v>29</x:v>
      </x:c>
      <x:c r="T298" s="24" t="str">
        <x:v>tabela_hoya(1).pdf</x:v>
      </x:c>
      <x:c r="U298" s="24" t="str">
        <x:v>HOYA|Progressiva|Surfaçada|HOYA Amplitude|INCOLOR|POLI|1.59|Hi-Vision Hard|-8.00 até +6.00||||||29</x:v>
      </x:c>
    </x:row>
    <x:row r="299">
      <x:c r="A299" s="24" t="str">
        <x:v>HY-32973A22A74A</x:v>
      </x:c>
      <x:c r="B299" s="24" t="str">
        <x:v>HOYA</x:v>
      </x:c>
      <x:c r="C299" s="24" t="str">
        <x:v>Progressiva</x:v>
      </x:c>
      <x:c r="D299" s="24" t="str">
        <x:v>Surfaçada</x:v>
      </x:c>
      <x:c r="E299" s="24" t="str">
        <x:v>HOYA Amplitude</x:v>
      </x:c>
      <x:c r="F299" s="24" t="str">
        <x:v>COLORIDAS</x:v>
      </x:c>
      <x:c r="G299" s="24" t="str">
        <x:v>POLI</x:v>
      </x:c>
      <x:c r="H299" s="24" t="str">
        <x:v>1.59</x:v>
      </x:c>
      <x:c r="I299" s="24" t="str">
        <x:v>Hi-Vision Sun Pro</x:v>
      </x:c>
      <x:c r="J299" s="40" t="n">
        <x:v>1089</x:v>
      </x:c>
      <x:c r="K299" s="24" t="str">
        <x:v>-8.00 até +6.00</x:v>
      </x:c>
      <x:c r="L299" s="24"/>
      <x:c r="M299" s="24"/>
      <x:c r="N299" s="24"/>
      <x:c r="O299" s="24"/>
      <x:c r="P299" s="24"/>
      <x:c r="Q299" s="24" t="str">
        <x:v>DISPONÍVEL</x:v>
      </x:c>
      <x:c r="R299" s="24"/>
      <x:c r="S299" s="24" t="n">
        <x:v>29</x:v>
      </x:c>
      <x:c r="T299" s="24" t="str">
        <x:v>tabela_hoya(1).pdf</x:v>
      </x:c>
      <x:c r="U299" s="24" t="str">
        <x:v>HOYA|Progressiva|Surfaçada|HOYA Amplitude|COLORIDAS|POLI|1.59|Hi-Vision Sun Pro|-8.00 até +6.00||||||29</x:v>
      </x:c>
    </x:row>
    <x:row r="300">
      <x:c r="A300" s="24" t="str">
        <x:v>HY-E9D3DC5D70DA</x:v>
      </x:c>
      <x:c r="B300" s="24" t="str">
        <x:v>HOYA</x:v>
      </x:c>
      <x:c r="C300" s="24" t="str">
        <x:v>Progressiva</x:v>
      </x:c>
      <x:c r="D300" s="24" t="str">
        <x:v>Surfaçada</x:v>
      </x:c>
      <x:c r="E300" s="24" t="str">
        <x:v>HOYA Amplitude</x:v>
      </x:c>
      <x:c r="F300" s="24" t="str">
        <x:v>SENSITY 2</x:v>
      </x:c>
      <x:c r="G300" s="24" t="str">
        <x:v>POLI</x:v>
      </x:c>
      <x:c r="H300" s="24" t="str">
        <x:v>1.59</x:v>
      </x:c>
      <x:c r="I300" s="24" t="str">
        <x:v>No-Risk BlueControl</x:v>
      </x:c>
      <x:c r="J300" s="40" t="n">
        <x:v>1399</x:v>
      </x:c>
      <x:c r="K300" s="24" t="str">
        <x:v>-8.00 até +6.00</x:v>
      </x:c>
      <x:c r="L300" s="24"/>
      <x:c r="M300" s="24"/>
      <x:c r="N300" s="24"/>
      <x:c r="O300" s="24"/>
      <x:c r="P300" s="24"/>
      <x:c r="Q300" s="24" t="str">
        <x:v>DISPONÍVEL</x:v>
      </x:c>
      <x:c r="R300" s="24"/>
      <x:c r="S300" s="24" t="n">
        <x:v>29</x:v>
      </x:c>
      <x:c r="T300" s="24" t="str">
        <x:v>tabela_hoya(1).pdf</x:v>
      </x:c>
      <x:c r="U300" s="24" t="str">
        <x:v>HOYA|Progressiva|Surfaçada|HOYA Amplitude|SENSITY 2|POLI|1.59|No-Risk BlueControl|-8.00 até +6.00||||||29</x:v>
      </x:c>
    </x:row>
    <x:row r="301">
      <x:c r="A301" s="24" t="str">
        <x:v>HY-B58C598D0E4B</x:v>
      </x:c>
      <x:c r="B301" s="24" t="str">
        <x:v>HOYA</x:v>
      </x:c>
      <x:c r="C301" s="24" t="str">
        <x:v>Ocupacional</x:v>
      </x:c>
      <x:c r="D301" s="24" t="str">
        <x:v>Surfaçada</x:v>
      </x:c>
      <x:c r="E301" s="24" t="str">
        <x:v>Hoyalux iD WorkStyle 3</x:v>
      </x:c>
      <x:c r="F301" s="24" t="str">
        <x:v>INCOLOR</x:v>
      </x:c>
      <x:c r="G301" s="24" t="str">
        <x:v>EYVIA</x:v>
      </x:c>
      <x:c r="H301" s="24" t="str">
        <x:v>1.74</x:v>
      </x:c>
      <x:c r="I301" s="24" t="str">
        <x:v>Hi-Vision LongLife BlueControl</x:v>
      </x:c>
      <x:c r="J301" s="40" t="n">
        <x:v>7499</x:v>
      </x:c>
      <x:c r="K301" s="24" t="str">
        <x:v>-15.00 até +9.00</x:v>
      </x:c>
      <x:c r="L301" s="24"/>
      <x:c r="M301" s="24"/>
      <x:c r="N301" s="24"/>
      <x:c r="O301" s="24"/>
      <x:c r="P301" s="24"/>
      <x:c r="Q301" s="24" t="str">
        <x:v>DISPONÍVEL</x:v>
      </x:c>
      <x:c r="R301" s="24"/>
      <x:c r="S301" s="24" t="n">
        <x:v>32</x:v>
      </x:c>
      <x:c r="T301" s="24" t="str">
        <x:v>tabela_hoya(1).pdf</x:v>
      </x:c>
      <x:c r="U301" s="24" t="str">
        <x:v>HOYA|Ocupacional|Surfaçada|Hoyalux iD WorkStyle 3|INCOLOR|EYVIA|1.74|Hi-Vision LongLife BlueControl|-15.00 até +9.00||||||32</x:v>
      </x:c>
    </x:row>
    <x:row r="302">
      <x:c r="A302" s="24" t="str">
        <x:v>HY-4D30C3C3D3D1</x:v>
      </x:c>
      <x:c r="B302" s="24" t="str">
        <x:v>HOYA</x:v>
      </x:c>
      <x:c r="C302" s="24" t="str">
        <x:v>Ocupacional</x:v>
      </x:c>
      <x:c r="D302" s="24" t="str">
        <x:v>Surfaçada</x:v>
      </x:c>
      <x:c r="E302" s="24" t="str">
        <x:v>Hoyalux iD WorkStyle 3</x:v>
      </x:c>
      <x:c r="F302" s="24" t="str">
        <x:v>INCOLOR</x:v>
      </x:c>
      <x:c r="G302" s="24" t="str">
        <x:v>EYNOA</x:v>
      </x:c>
      <x:c r="H302" s="24" t="str">
        <x:v>1.67</x:v>
      </x:c>
      <x:c r="I302" s="24" t="str">
        <x:v>Hi-Vision LongLife BlueControl</x:v>
      </x:c>
      <x:c r="J302" s="40" t="n">
        <x:v>5999</x:v>
      </x:c>
      <x:c r="K302" s="24" t="str">
        <x:v>-13.00 até +7.00</x:v>
      </x:c>
      <x:c r="L302" s="24"/>
      <x:c r="M302" s="24"/>
      <x:c r="N302" s="24"/>
      <x:c r="O302" s="24"/>
      <x:c r="P302" s="24"/>
      <x:c r="Q302" s="24" t="str">
        <x:v>DISPONÍVEL</x:v>
      </x:c>
      <x:c r="R302" s="24"/>
      <x:c r="S302" s="24" t="n">
        <x:v>32</x:v>
      </x:c>
      <x:c r="T302" s="24" t="str">
        <x:v>tabela_hoya(1).pdf</x:v>
      </x:c>
      <x:c r="U302" s="24" t="str">
        <x:v>HOYA|Ocupacional|Surfaçada|Hoyalux iD WorkStyle 3|INCOLOR|EYNOA|1.67|Hi-Vision LongLife BlueControl|-13.00 até +7.00||||||32</x:v>
      </x:c>
    </x:row>
    <x:row r="303">
      <x:c r="A303" s="24" t="str">
        <x:v>HY-374EF8061270</x:v>
      </x:c>
      <x:c r="B303" s="24" t="str">
        <x:v>HOYA</x:v>
      </x:c>
      <x:c r="C303" s="24" t="str">
        <x:v>Ocupacional</x:v>
      </x:c>
      <x:c r="D303" s="24" t="str">
        <x:v>Surfaçada</x:v>
      </x:c>
      <x:c r="E303" s="24" t="str">
        <x:v>Hoyalux iD WorkStyle 3</x:v>
      </x:c>
      <x:c r="F303" s="24" t="str">
        <x:v>INCOLOR</x:v>
      </x:c>
      <x:c r="G303" s="24" t="str">
        <x:v>EYAS 2.0</x:v>
      </x:c>
      <x:c r="H303" s="24" t="str">
        <x:v>1.60</x:v>
      </x:c>
      <x:c r="I303" s="24" t="str">
        <x:v>Hi-Vision LongLife BlueControl</x:v>
      </x:c>
      <x:c r="J303" s="40" t="n">
        <x:v>4199</x:v>
      </x:c>
      <x:c r="K303" s="24" t="str">
        <x:v>-11.00 até +7.00</x:v>
      </x:c>
      <x:c r="L303" s="24"/>
      <x:c r="M303" s="24"/>
      <x:c r="N303" s="24"/>
      <x:c r="O303" s="24"/>
      <x:c r="P303" s="24"/>
      <x:c r="Q303" s="24" t="str">
        <x:v>DISPONÍVEL</x:v>
      </x:c>
      <x:c r="R303" s="24"/>
      <x:c r="S303" s="24" t="n">
        <x:v>32</x:v>
      </x:c>
      <x:c r="T303" s="24" t="str">
        <x:v>tabela_hoya(1).pdf</x:v>
      </x:c>
      <x:c r="U303" s="24" t="str">
        <x:v>HOYA|Ocupacional|Surfaçada|Hoyalux iD WorkStyle 3|INCOLOR|EYAS 2.0|1.60|Hi-Vision LongLife BlueControl|-11.00 até +7.00||||||32</x:v>
      </x:c>
    </x:row>
    <x:row r="304">
      <x:c r="A304" s="24" t="str">
        <x:v>HY-AE3F7D756D9E</x:v>
      </x:c>
      <x:c r="B304" s="24" t="str">
        <x:v>HOYA</x:v>
      </x:c>
      <x:c r="C304" s="24" t="str">
        <x:v>Ocupacional</x:v>
      </x:c>
      <x:c r="D304" s="24" t="str">
        <x:v>Surfaçada</x:v>
      </x:c>
      <x:c r="E304" s="24" t="str">
        <x:v>Hoyalux iD WorkStyle 3</x:v>
      </x:c>
      <x:c r="F304" s="24" t="str">
        <x:v>INCOLOR</x:v>
      </x:c>
      <x:c r="G304" s="24" t="str">
        <x:v>PNX</x:v>
      </x:c>
      <x:c r="H304" s="24" t="str">
        <x:v>1.53</x:v>
      </x:c>
      <x:c r="I304" s="24" t="str">
        <x:v>Hi-Vision LongLife BlueControl</x:v>
      </x:c>
      <x:c r="J304" s="40" t="n">
        <x:v>3739</x:v>
      </x:c>
      <x:c r="K304" s="24" t="str">
        <x:v>-8.00 até +5.00</x:v>
      </x:c>
      <x:c r="L304" s="24"/>
      <x:c r="M304" s="24"/>
      <x:c r="N304" s="24"/>
      <x:c r="O304" s="24"/>
      <x:c r="P304" s="24"/>
      <x:c r="Q304" s="24" t="str">
        <x:v>DISPONÍVEL</x:v>
      </x:c>
      <x:c r="R304" s="24"/>
      <x:c r="S304" s="24" t="n">
        <x:v>32</x:v>
      </x:c>
      <x:c r="T304" s="24" t="str">
        <x:v>tabela_hoya(1).pdf</x:v>
      </x:c>
      <x:c r="U304" s="24" t="str">
        <x:v>HOYA|Ocupacional|Surfaçada|Hoyalux iD WorkStyle 3|INCOLOR|PNX|1.53|Hi-Vision LongLife BlueControl|-8.00 até +5.00||||||32</x:v>
      </x:c>
    </x:row>
    <x:row r="305">
      <x:c r="A305" s="24" t="str">
        <x:v>HY-A1E3B2ED8ED3</x:v>
      </x:c>
      <x:c r="B305" s="24" t="str">
        <x:v>HOYA</x:v>
      </x:c>
      <x:c r="C305" s="24" t="str">
        <x:v>Ocupacional</x:v>
      </x:c>
      <x:c r="D305" s="24" t="str">
        <x:v>Surfaçada</x:v>
      </x:c>
      <x:c r="E305" s="24" t="str">
        <x:v>Hoyalux iD WorkStyle 3</x:v>
      </x:c>
      <x:c r="F305" s="24" t="str">
        <x:v>INCOLOR</x:v>
      </x:c>
      <x:c r="G305" s="24" t="str">
        <x:v>ORGANIC</x:v>
      </x:c>
      <x:c r="H305" s="24" t="str">
        <x:v>1.50</x:v>
      </x:c>
      <x:c r="I305" s="24" t="str">
        <x:v>Hi-Vision LongLife BlueControl</x:v>
      </x:c>
      <x:c r="J305" s="40" t="n">
        <x:v>3389</x:v>
      </x:c>
      <x:c r="K305" s="24" t="str">
        <x:v>-8.00 até +5.00</x:v>
      </x:c>
      <x:c r="L305" s="24"/>
      <x:c r="M305" s="24"/>
      <x:c r="N305" s="24"/>
      <x:c r="O305" s="24"/>
      <x:c r="P305" s="24"/>
      <x:c r="Q305" s="24" t="str">
        <x:v>DISPONÍVEL</x:v>
      </x:c>
      <x:c r="R305" s="24"/>
      <x:c r="S305" s="24" t="n">
        <x:v>32</x:v>
      </x:c>
      <x:c r="T305" s="24" t="str">
        <x:v>tabela_hoya(1).pdf</x:v>
      </x:c>
      <x:c r="U305" s="24" t="str">
        <x:v>HOYA|Ocupacional|Surfaçada|Hoyalux iD WorkStyle 3|INCOLOR|ORGANIC|1.50|Hi-Vision LongLife BlueControl|-8.00 até +5.00||||||32</x:v>
      </x:c>
    </x:row>
    <x:row r="306">
      <x:c r="A306" s="24" t="str">
        <x:v>HY-1953BFC13297</x:v>
      </x:c>
      <x:c r="B306" s="24" t="str">
        <x:v>HOYA</x:v>
      </x:c>
      <x:c r="C306" s="24" t="str">
        <x:v>Ocupacional</x:v>
      </x:c>
      <x:c r="D306" s="24" t="str">
        <x:v>Surfaçada</x:v>
      </x:c>
      <x:c r="E306" s="24" t="str">
        <x:v>Hoyalux iD WorkStyle 3</x:v>
      </x:c>
      <x:c r="F306" s="24" t="str">
        <x:v>INCOLOR</x:v>
      </x:c>
      <x:c r="G306" s="24" t="str">
        <x:v>EYNOA</x:v>
      </x:c>
      <x:c r="H306" s="24" t="str">
        <x:v>1.67</x:v>
      </x:c>
      <x:c r="I306" s="24" t="str">
        <x:v>No-Risk BlueControl</x:v>
      </x:c>
      <x:c r="J306" s="40" t="n">
        <x:v>5749</x:v>
      </x:c>
      <x:c r="K306" s="24" t="str">
        <x:v>-13.00 até +7.00</x:v>
      </x:c>
      <x:c r="L306" s="24"/>
      <x:c r="M306" s="24"/>
      <x:c r="N306" s="24"/>
      <x:c r="O306" s="24"/>
      <x:c r="P306" s="24"/>
      <x:c r="Q306" s="24" t="str">
        <x:v>DISPONÍVEL</x:v>
      </x:c>
      <x:c r="R306" s="24"/>
      <x:c r="S306" s="24" t="n">
        <x:v>32</x:v>
      </x:c>
      <x:c r="T306" s="24" t="str">
        <x:v>tabela_hoya(1).pdf</x:v>
      </x:c>
      <x:c r="U306" s="24" t="str">
        <x:v>HOYA|Ocupacional|Surfaçada|Hoyalux iD WorkStyle 3|INCOLOR|EYNOA|1.67|No-Risk BlueControl|-13.00 até +7.00||||||32</x:v>
      </x:c>
    </x:row>
    <x:row r="307">
      <x:c r="A307" s="24" t="str">
        <x:v>HY-074FB4D42438</x:v>
      </x:c>
      <x:c r="B307" s="24" t="str">
        <x:v>HOYA</x:v>
      </x:c>
      <x:c r="C307" s="24" t="str">
        <x:v>Ocupacional</x:v>
      </x:c>
      <x:c r="D307" s="24" t="str">
        <x:v>Surfaçada</x:v>
      </x:c>
      <x:c r="E307" s="24" t="str">
        <x:v>Hoyalux iD WorkStyle 3</x:v>
      </x:c>
      <x:c r="F307" s="24" t="str">
        <x:v>INCOLOR</x:v>
      </x:c>
      <x:c r="G307" s="24" t="str">
        <x:v>EYAS 2.0</x:v>
      </x:c>
      <x:c r="H307" s="24" t="str">
        <x:v>1.60</x:v>
      </x:c>
      <x:c r="I307" s="24" t="str">
        <x:v>No-Risk BlueControl</x:v>
      </x:c>
      <x:c r="J307" s="40" t="n">
        <x:v>3949</x:v>
      </x:c>
      <x:c r="K307" s="24" t="str">
        <x:v>-11.00 até +7.00</x:v>
      </x:c>
      <x:c r="L307" s="24"/>
      <x:c r="M307" s="24"/>
      <x:c r="N307" s="24"/>
      <x:c r="O307" s="24"/>
      <x:c r="P307" s="24"/>
      <x:c r="Q307" s="24" t="str">
        <x:v>DISPONÍVEL</x:v>
      </x:c>
      <x:c r="R307" s="24"/>
      <x:c r="S307" s="24" t="n">
        <x:v>32</x:v>
      </x:c>
      <x:c r="T307" s="24" t="str">
        <x:v>tabela_hoya(1).pdf</x:v>
      </x:c>
      <x:c r="U307" s="24" t="str">
        <x:v>HOYA|Ocupacional|Surfaçada|Hoyalux iD WorkStyle 3|INCOLOR|EYAS 2.0|1.60|No-Risk BlueControl|-11.00 até +7.00||||||32</x:v>
      </x:c>
    </x:row>
    <x:row r="308">
      <x:c r="A308" s="24" t="str">
        <x:v>HY-5793811D1B13</x:v>
      </x:c>
      <x:c r="B308" s="24" t="str">
        <x:v>HOYA</x:v>
      </x:c>
      <x:c r="C308" s="24" t="str">
        <x:v>Ocupacional</x:v>
      </x:c>
      <x:c r="D308" s="24" t="str">
        <x:v>Surfaçada</x:v>
      </x:c>
      <x:c r="E308" s="24" t="str">
        <x:v>Hoyalux iD WorkStyle 3</x:v>
      </x:c>
      <x:c r="F308" s="24" t="str">
        <x:v>INCOLOR</x:v>
      </x:c>
      <x:c r="G308" s="24" t="str">
        <x:v>PNX</x:v>
      </x:c>
      <x:c r="H308" s="24" t="str">
        <x:v>1.53</x:v>
      </x:c>
      <x:c r="I308" s="24" t="str">
        <x:v>No-Risk BlueControl</x:v>
      </x:c>
      <x:c r="J308" s="40" t="n">
        <x:v>3489</x:v>
      </x:c>
      <x:c r="K308" s="24" t="str">
        <x:v>-8.00 até +5.00</x:v>
      </x:c>
      <x:c r="L308" s="24"/>
      <x:c r="M308" s="24"/>
      <x:c r="N308" s="24"/>
      <x:c r="O308" s="24"/>
      <x:c r="P308" s="24"/>
      <x:c r="Q308" s="24" t="str">
        <x:v>DISPONÍVEL</x:v>
      </x:c>
      <x:c r="R308" s="24"/>
      <x:c r="S308" s="24" t="n">
        <x:v>32</x:v>
      </x:c>
      <x:c r="T308" s="24" t="str">
        <x:v>tabela_hoya(1).pdf</x:v>
      </x:c>
      <x:c r="U308" s="24" t="str">
        <x:v>HOYA|Ocupacional|Surfaçada|Hoyalux iD WorkStyle 3|INCOLOR|PNX|1.53|No-Risk BlueControl|-8.00 até +5.00||||||32</x:v>
      </x:c>
    </x:row>
    <x:row r="309">
      <x:c r="A309" s="24" t="str">
        <x:v>HY-DC507A68EEFA</x:v>
      </x:c>
      <x:c r="B309" s="24" t="str">
        <x:v>HOYA</x:v>
      </x:c>
      <x:c r="C309" s="24" t="str">
        <x:v>Ocupacional</x:v>
      </x:c>
      <x:c r="D309" s="24" t="str">
        <x:v>Surfaçada</x:v>
      </x:c>
      <x:c r="E309" s="24" t="str">
        <x:v>Hoyalux iD WorkStyle 3</x:v>
      </x:c>
      <x:c r="F309" s="24" t="str">
        <x:v>INCOLOR</x:v>
      </x:c>
      <x:c r="G309" s="24" t="str">
        <x:v>ORGANIC</x:v>
      </x:c>
      <x:c r="H309" s="24" t="str">
        <x:v>1.50</x:v>
      </x:c>
      <x:c r="I309" s="24" t="str">
        <x:v>No-Risk BlueControl</x:v>
      </x:c>
      <x:c r="J309" s="40" t="n">
        <x:v>3139</x:v>
      </x:c>
      <x:c r="K309" s="24" t="str">
        <x:v>-8.00 até +5.00</x:v>
      </x:c>
      <x:c r="L309" s="24"/>
      <x:c r="M309" s="24"/>
      <x:c r="N309" s="24"/>
      <x:c r="O309" s="24"/>
      <x:c r="P309" s="24"/>
      <x:c r="Q309" s="24" t="str">
        <x:v>DISPONÍVEL</x:v>
      </x:c>
      <x:c r="R309" s="24"/>
      <x:c r="S309" s="24" t="n">
        <x:v>32</x:v>
      </x:c>
      <x:c r="T309" s="24" t="str">
        <x:v>tabela_hoya(1).pdf</x:v>
      </x:c>
      <x:c r="U309" s="24" t="str">
        <x:v>HOYA|Ocupacional|Surfaçada|Hoyalux iD WorkStyle 3|INCOLOR|ORGANIC|1.50|No-Risk BlueControl|-8.00 até +5.00||||||32</x:v>
      </x:c>
    </x:row>
    <x:row r="310">
      <x:c r="A310" s="24" t="str">
        <x:v>HY-E49D0EE3619C</x:v>
      </x:c>
      <x:c r="B310" s="24" t="str">
        <x:v>HOYA</x:v>
      </x:c>
      <x:c r="C310" s="24" t="str">
        <x:v>Ocupacional</x:v>
      </x:c>
      <x:c r="D310" s="24" t="str">
        <x:v>Surfaçada</x:v>
      </x:c>
      <x:c r="E310" s="24" t="str">
        <x:v>Hoyalux iD WorkStyle 3</x:v>
      </x:c>
      <x:c r="F310" s="24" t="str">
        <x:v>COLORIDAS</x:v>
      </x:c>
      <x:c r="G310" s="24" t="str">
        <x:v>EYVIA</x:v>
      </x:c>
      <x:c r="H310" s="24" t="str">
        <x:v>1.74</x:v>
      </x:c>
      <x:c r="I310" s="24" t="str">
        <x:v>Hi-Vision Sun Pro</x:v>
      </x:c>
      <x:c r="J310" s="40" t="n">
        <x:v>7789</x:v>
      </x:c>
      <x:c r="K310" s="24" t="str">
        <x:v>-15.00 até +9.00</x:v>
      </x:c>
      <x:c r="L310" s="24"/>
      <x:c r="M310" s="24"/>
      <x:c r="N310" s="24"/>
      <x:c r="O310" s="24"/>
      <x:c r="P310" s="24"/>
      <x:c r="Q310" s="24" t="str">
        <x:v>DISPONÍVEL</x:v>
      </x:c>
      <x:c r="R310" s="24"/>
      <x:c r="S310" s="24" t="n">
        <x:v>32</x:v>
      </x:c>
      <x:c r="T310" s="24" t="str">
        <x:v>tabela_hoya(1).pdf</x:v>
      </x:c>
      <x:c r="U310" s="24" t="str">
        <x:v>HOYA|Ocupacional|Surfaçada|Hoyalux iD WorkStyle 3|COLORIDAS|EYVIA|1.74|Hi-Vision Sun Pro|-15.00 até +9.00||||||32</x:v>
      </x:c>
    </x:row>
    <x:row r="311">
      <x:c r="A311" s="24" t="str">
        <x:v>HY-11E2761F0A6C</x:v>
      </x:c>
      <x:c r="B311" s="24" t="str">
        <x:v>HOYA</x:v>
      </x:c>
      <x:c r="C311" s="24" t="str">
        <x:v>Ocupacional</x:v>
      </x:c>
      <x:c r="D311" s="24" t="str">
        <x:v>Surfaçada</x:v>
      </x:c>
      <x:c r="E311" s="24" t="str">
        <x:v>Hoyalux iD WorkStyle 3</x:v>
      </x:c>
      <x:c r="F311" s="24" t="str">
        <x:v>COLORIDAS</x:v>
      </x:c>
      <x:c r="G311" s="24" t="str">
        <x:v>EYNOA</x:v>
      </x:c>
      <x:c r="H311" s="24" t="str">
        <x:v>1.67</x:v>
      </x:c>
      <x:c r="I311" s="24" t="str">
        <x:v>Hi-Vision Sun Pro</x:v>
      </x:c>
      <x:c r="J311" s="40" t="n">
        <x:v>6039</x:v>
      </x:c>
      <x:c r="K311" s="24" t="str">
        <x:v>-13.00 até +7.00</x:v>
      </x:c>
      <x:c r="L311" s="24"/>
      <x:c r="M311" s="24"/>
      <x:c r="N311" s="24"/>
      <x:c r="O311" s="24"/>
      <x:c r="P311" s="24"/>
      <x:c r="Q311" s="24" t="str">
        <x:v>DISPONÍVEL</x:v>
      </x:c>
      <x:c r="R311" s="24"/>
      <x:c r="S311" s="24" t="n">
        <x:v>32</x:v>
      </x:c>
      <x:c r="T311" s="24" t="str">
        <x:v>tabela_hoya(1).pdf</x:v>
      </x:c>
      <x:c r="U311" s="24" t="str">
        <x:v>HOYA|Ocupacional|Surfaçada|Hoyalux iD WorkStyle 3|COLORIDAS|EYNOA|1.67|Hi-Vision Sun Pro|-13.00 até +7.00||||||32</x:v>
      </x:c>
    </x:row>
    <x:row r="312">
      <x:c r="A312" s="24" t="str">
        <x:v>HY-A0D181BD9A5B</x:v>
      </x:c>
      <x:c r="B312" s="24" t="str">
        <x:v>HOYA</x:v>
      </x:c>
      <x:c r="C312" s="24" t="str">
        <x:v>Ocupacional</x:v>
      </x:c>
      <x:c r="D312" s="24" t="str">
        <x:v>Surfaçada</x:v>
      </x:c>
      <x:c r="E312" s="24" t="str">
        <x:v>Hoyalux iD WorkStyle 3</x:v>
      </x:c>
      <x:c r="F312" s="24" t="str">
        <x:v>COLORIDAS</x:v>
      </x:c>
      <x:c r="G312" s="24" t="str">
        <x:v>EYAS 2.0</x:v>
      </x:c>
      <x:c r="H312" s="24" t="str">
        <x:v>1.60</x:v>
      </x:c>
      <x:c r="I312" s="24" t="str">
        <x:v>Hi-Vision Sun Pro</x:v>
      </x:c>
      <x:c r="J312" s="40" t="n">
        <x:v>4239</x:v>
      </x:c>
      <x:c r="K312" s="24" t="str">
        <x:v>-11.00 até +7.00</x:v>
      </x:c>
      <x:c r="L312" s="24"/>
      <x:c r="M312" s="24"/>
      <x:c r="N312" s="24"/>
      <x:c r="O312" s="24"/>
      <x:c r="P312" s="24"/>
      <x:c r="Q312" s="24" t="str">
        <x:v>DISPONÍVEL</x:v>
      </x:c>
      <x:c r="R312" s="24"/>
      <x:c r="S312" s="24" t="n">
        <x:v>32</x:v>
      </x:c>
      <x:c r="T312" s="24" t="str">
        <x:v>tabela_hoya(1).pdf</x:v>
      </x:c>
      <x:c r="U312" s="24" t="str">
        <x:v>HOYA|Ocupacional|Surfaçada|Hoyalux iD WorkStyle 3|COLORIDAS|EYAS 2.0|1.60|Hi-Vision Sun Pro|-11.00 até +7.00||||||32</x:v>
      </x:c>
    </x:row>
    <x:row r="313">
      <x:c r="A313" s="24" t="str">
        <x:v>HY-328D59B42B4A</x:v>
      </x:c>
      <x:c r="B313" s="24" t="str">
        <x:v>HOYA</x:v>
      </x:c>
      <x:c r="C313" s="24" t="str">
        <x:v>Ocupacional</x:v>
      </x:c>
      <x:c r="D313" s="24" t="str">
        <x:v>Surfaçada</x:v>
      </x:c>
      <x:c r="E313" s="24" t="str">
        <x:v>Hoyalux iD WorkStyle 3</x:v>
      </x:c>
      <x:c r="F313" s="24" t="str">
        <x:v>COLORIDAS</x:v>
      </x:c>
      <x:c r="G313" s="24" t="str">
        <x:v>PNX</x:v>
      </x:c>
      <x:c r="H313" s="24" t="str">
        <x:v>1.53</x:v>
      </x:c>
      <x:c r="I313" s="24" t="str">
        <x:v>Hi-Vision Sun Pro</x:v>
      </x:c>
      <x:c r="J313" s="40" t="n">
        <x:v>3779</x:v>
      </x:c>
      <x:c r="K313" s="24" t="str">
        <x:v>-8.00 até +5.00</x:v>
      </x:c>
      <x:c r="L313" s="24"/>
      <x:c r="M313" s="24"/>
      <x:c r="N313" s="24"/>
      <x:c r="O313" s="24"/>
      <x:c r="P313" s="24"/>
      <x:c r="Q313" s="24" t="str">
        <x:v>DISPONÍVEL</x:v>
      </x:c>
      <x:c r="R313" s="24"/>
      <x:c r="S313" s="24" t="n">
        <x:v>32</x:v>
      </x:c>
      <x:c r="T313" s="24" t="str">
        <x:v>tabela_hoya(1).pdf</x:v>
      </x:c>
      <x:c r="U313" s="24" t="str">
        <x:v>HOYA|Ocupacional|Surfaçada|Hoyalux iD WorkStyle 3|COLORIDAS|PNX|1.53|Hi-Vision Sun Pro|-8.00 até +5.00||||||32</x:v>
      </x:c>
    </x:row>
    <x:row r="314">
      <x:c r="A314" s="24" t="str">
        <x:v>HY-3EC503D41013</x:v>
      </x:c>
      <x:c r="B314" s="24" t="str">
        <x:v>HOYA</x:v>
      </x:c>
      <x:c r="C314" s="24" t="str">
        <x:v>Ocupacional</x:v>
      </x:c>
      <x:c r="D314" s="24" t="str">
        <x:v>Surfaçada</x:v>
      </x:c>
      <x:c r="E314" s="24" t="str">
        <x:v>Hoyalux iD WorkStyle 3</x:v>
      </x:c>
      <x:c r="F314" s="24" t="str">
        <x:v>COLORIDAS</x:v>
      </x:c>
      <x:c r="G314" s="24" t="str">
        <x:v>ORGANIC</x:v>
      </x:c>
      <x:c r="H314" s="24" t="str">
        <x:v>1.50</x:v>
      </x:c>
      <x:c r="I314" s="24" t="str">
        <x:v>Hi-Vision Sun Pro</x:v>
      </x:c>
      <x:c r="J314" s="40" t="n">
        <x:v>3429</x:v>
      </x:c>
      <x:c r="K314" s="24" t="str">
        <x:v>-8.00 até +5.00</x:v>
      </x:c>
      <x:c r="L314" s="24"/>
      <x:c r="M314" s="24"/>
      <x:c r="N314" s="24"/>
      <x:c r="O314" s="24"/>
      <x:c r="P314" s="24"/>
      <x:c r="Q314" s="24" t="str">
        <x:v>DISPONÍVEL</x:v>
      </x:c>
      <x:c r="R314" s="24"/>
      <x:c r="S314" s="24" t="n">
        <x:v>32</x:v>
      </x:c>
      <x:c r="T314" s="24" t="str">
        <x:v>tabela_hoya(1).pdf</x:v>
      </x:c>
      <x:c r="U314" s="24" t="str">
        <x:v>HOYA|Ocupacional|Surfaçada|Hoyalux iD WorkStyle 3|COLORIDAS|ORGANIC|1.50|Hi-Vision Sun Pro|-8.00 até +5.00||||||32</x:v>
      </x:c>
    </x:row>
    <x:row r="315">
      <x:c r="A315" s="24" t="str">
        <x:v>HY-8E55F9201565</x:v>
      </x:c>
      <x:c r="B315" s="24" t="str">
        <x:v>HOYA</x:v>
      </x:c>
      <x:c r="C315" s="24" t="str">
        <x:v>Ocupacional</x:v>
      </x:c>
      <x:c r="D315" s="24" t="str">
        <x:v>Surfaçada</x:v>
      </x:c>
      <x:c r="E315" s="24" t="str">
        <x:v>Hoyalux WorkSmart Room</x:v>
      </x:c>
      <x:c r="F315" s="24" t="str">
        <x:v>INCOLOR</x:v>
      </x:c>
      <x:c r="G315" s="24" t="str">
        <x:v>EYAS 2.0</x:v>
      </x:c>
      <x:c r="H315" s="24" t="str">
        <x:v>1.60</x:v>
      </x:c>
      <x:c r="I315" s="24" t="str">
        <x:v>Hi-Vision LongLife BlueControl</x:v>
      </x:c>
      <x:c r="J315" s="40" t="n">
        <x:v>2319</x:v>
      </x:c>
      <x:c r="K315" s="24" t="str">
        <x:v>-8.00 até +6.00</x:v>
      </x:c>
      <x:c r="L315" s="24"/>
      <x:c r="M315" s="24"/>
      <x:c r="N315" s="24"/>
      <x:c r="O315" s="24"/>
      <x:c r="P315" s="24"/>
      <x:c r="Q315" s="24" t="str">
        <x:v>DISPONÍVEL</x:v>
      </x:c>
      <x:c r="R315" s="24"/>
      <x:c r="S315" s="24" t="n">
        <x:v>33</x:v>
      </x:c>
      <x:c r="T315" s="24" t="str">
        <x:v>tabela_hoya(1).pdf</x:v>
      </x:c>
      <x:c r="U315" s="24" t="str">
        <x:v>HOYA|Ocupacional|Surfaçada|Hoyalux WorkSmart Room|INCOLOR|EYAS 2.0|1.60|Hi-Vision LongLife BlueControl|-8.00 até +6.00||||||33</x:v>
      </x:c>
    </x:row>
    <x:row r="316">
      <x:c r="A316" s="24" t="str">
        <x:v>HY-E5E5351A48F0</x:v>
      </x:c>
      <x:c r="B316" s="24" t="str">
        <x:v>HOYA</x:v>
      </x:c>
      <x:c r="C316" s="24" t="str">
        <x:v>Ocupacional</x:v>
      </x:c>
      <x:c r="D316" s="24" t="str">
        <x:v>Surfaçada</x:v>
      </x:c>
      <x:c r="E316" s="24" t="str">
        <x:v>Hoyalux WorkSmart Room</x:v>
      </x:c>
      <x:c r="F316" s="24" t="str">
        <x:v>INCOLOR</x:v>
      </x:c>
      <x:c r="G316" s="24" t="str">
        <x:v>PNX</x:v>
      </x:c>
      <x:c r="H316" s="24" t="str">
        <x:v>1.53</x:v>
      </x:c>
      <x:c r="I316" s="24" t="str">
        <x:v>Hi-Vision LongLife BlueControl</x:v>
      </x:c>
      <x:c r="J316" s="40" t="n">
        <x:v>1969</x:v>
      </x:c>
      <x:c r="K316" s="24" t="str">
        <x:v>-8.00 até +6.00</x:v>
      </x:c>
      <x:c r="L316" s="24"/>
      <x:c r="M316" s="24"/>
      <x:c r="N316" s="24"/>
      <x:c r="O316" s="24"/>
      <x:c r="P316" s="24"/>
      <x:c r="Q316" s="24" t="str">
        <x:v>DISPONÍVEL</x:v>
      </x:c>
      <x:c r="R316" s="24"/>
      <x:c r="S316" s="24" t="n">
        <x:v>33</x:v>
      </x:c>
      <x:c r="T316" s="24" t="str">
        <x:v>tabela_hoya(1).pdf</x:v>
      </x:c>
      <x:c r="U316" s="24" t="str">
        <x:v>HOYA|Ocupacional|Surfaçada|Hoyalux WorkSmart Room|INCOLOR|PNX|1.53|Hi-Vision LongLife BlueControl|-8.00 até +6.00||||||33</x:v>
      </x:c>
    </x:row>
    <x:row r="317">
      <x:c r="A317" s="24" t="str">
        <x:v>HY-C148EAD9F65B</x:v>
      </x:c>
      <x:c r="B317" s="24" t="str">
        <x:v>HOYA</x:v>
      </x:c>
      <x:c r="C317" s="24" t="str">
        <x:v>Ocupacional</x:v>
      </x:c>
      <x:c r="D317" s="24" t="str">
        <x:v>Surfaçada</x:v>
      </x:c>
      <x:c r="E317" s="24" t="str">
        <x:v>Hoyalux WorkSmart Room</x:v>
      </x:c>
      <x:c r="F317" s="24" t="str">
        <x:v>INCOLOR</x:v>
      </x:c>
      <x:c r="G317" s="24" t="str">
        <x:v>EYAS 2.0</x:v>
      </x:c>
      <x:c r="H317" s="24" t="str">
        <x:v>1.60</x:v>
      </x:c>
      <x:c r="I317" s="24" t="str">
        <x:v>No-Risk BlueControl</x:v>
      </x:c>
      <x:c r="J317" s="40" t="n">
        <x:v>2069</x:v>
      </x:c>
      <x:c r="K317" s="24" t="str">
        <x:v>-8.00 até +6.00</x:v>
      </x:c>
      <x:c r="L317" s="24"/>
      <x:c r="M317" s="24"/>
      <x:c r="N317" s="24"/>
      <x:c r="O317" s="24"/>
      <x:c r="P317" s="24"/>
      <x:c r="Q317" s="24" t="str">
        <x:v>DISPONÍVEL</x:v>
      </x:c>
      <x:c r="R317" s="24"/>
      <x:c r="S317" s="24" t="n">
        <x:v>33</x:v>
      </x:c>
      <x:c r="T317" s="24" t="str">
        <x:v>tabela_hoya(1).pdf</x:v>
      </x:c>
      <x:c r="U317" s="24" t="str">
        <x:v>HOYA|Ocupacional|Surfaçada|Hoyalux WorkSmart Room|INCOLOR|EYAS 2.0|1.60|No-Risk BlueControl|-8.00 até +6.00||||||33</x:v>
      </x:c>
    </x:row>
    <x:row r="318">
      <x:c r="A318" s="24" t="str">
        <x:v>HY-B3DDC63ED23E</x:v>
      </x:c>
      <x:c r="B318" s="24" t="str">
        <x:v>HOYA</x:v>
      </x:c>
      <x:c r="C318" s="24" t="str">
        <x:v>Ocupacional</x:v>
      </x:c>
      <x:c r="D318" s="24" t="str">
        <x:v>Surfaçada</x:v>
      </x:c>
      <x:c r="E318" s="24" t="str">
        <x:v>Hoyalux WorkSmart Room</x:v>
      </x:c>
      <x:c r="F318" s="24" t="str">
        <x:v>INCOLOR</x:v>
      </x:c>
      <x:c r="G318" s="24" t="str">
        <x:v>PNX</x:v>
      </x:c>
      <x:c r="H318" s="24" t="str">
        <x:v>1.53</x:v>
      </x:c>
      <x:c r="I318" s="24" t="str">
        <x:v>No-Risk BlueControl</x:v>
      </x:c>
      <x:c r="J318" s="40" t="n">
        <x:v>1719</x:v>
      </x:c>
      <x:c r="K318" s="24" t="str">
        <x:v>-8.00 até +6.00</x:v>
      </x:c>
      <x:c r="L318" s="24"/>
      <x:c r="M318" s="24"/>
      <x:c r="N318" s="24"/>
      <x:c r="O318" s="24"/>
      <x:c r="P318" s="24"/>
      <x:c r="Q318" s="24" t="str">
        <x:v>DISPONÍVEL</x:v>
      </x:c>
      <x:c r="R318" s="24"/>
      <x:c r="S318" s="24" t="n">
        <x:v>33</x:v>
      </x:c>
      <x:c r="T318" s="24" t="str">
        <x:v>tabela_hoya(1).pdf</x:v>
      </x:c>
      <x:c r="U318" s="24" t="str">
        <x:v>HOYA|Ocupacional|Surfaçada|Hoyalux WorkSmart Room|INCOLOR|PNX|1.53|No-Risk BlueControl|-8.00 até +6.00||||||33</x:v>
      </x:c>
    </x:row>
    <x:row r="319">
      <x:c r="A319" s="24" t="str">
        <x:v>HY-1E0CA9EB2160</x:v>
      </x:c>
      <x:c r="B319" s="24" t="str">
        <x:v>HOYA</x:v>
      </x:c>
      <x:c r="C319" s="24" t="str">
        <x:v>Ocupacional</x:v>
      </x:c>
      <x:c r="D319" s="24" t="str">
        <x:v>Surfaçada</x:v>
      </x:c>
      <x:c r="E319" s="24" t="str">
        <x:v>Hoyalux WorkSmart Room</x:v>
      </x:c>
      <x:c r="F319" s="24" t="str">
        <x:v>COLORIDAS</x:v>
      </x:c>
      <x:c r="G319" s="24" t="str">
        <x:v>EYAS 2.0</x:v>
      </x:c>
      <x:c r="H319" s="24" t="str">
        <x:v>1.60</x:v>
      </x:c>
      <x:c r="I319" s="24" t="str">
        <x:v>Hi-Vision Sun Pro</x:v>
      </x:c>
      <x:c r="J319" s="40" t="n">
        <x:v>2359</x:v>
      </x:c>
      <x:c r="K319" s="24" t="str">
        <x:v>-8.00 até +6.00</x:v>
      </x:c>
      <x:c r="L319" s="24"/>
      <x:c r="M319" s="24"/>
      <x:c r="N319" s="24"/>
      <x:c r="O319" s="24"/>
      <x:c r="P319" s="24"/>
      <x:c r="Q319" s="24" t="str">
        <x:v>DISPONÍVEL</x:v>
      </x:c>
      <x:c r="R319" s="24"/>
      <x:c r="S319" s="24" t="n">
        <x:v>33</x:v>
      </x:c>
      <x:c r="T319" s="24" t="str">
        <x:v>tabela_hoya(1).pdf</x:v>
      </x:c>
      <x:c r="U319" s="24" t="str">
        <x:v>HOYA|Ocupacional|Surfaçada|Hoyalux WorkSmart Room|COLORIDAS|EYAS 2.0|1.60|Hi-Vision Sun Pro|-8.00 até +6.00||||||33</x:v>
      </x:c>
    </x:row>
    <x:row r="320">
      <x:c r="A320" s="24" t="str">
        <x:v>HY-E44DF8C07E4B</x:v>
      </x:c>
      <x:c r="B320" s="24" t="str">
        <x:v>HOYA</x:v>
      </x:c>
      <x:c r="C320" s="24" t="str">
        <x:v>Ocupacional</x:v>
      </x:c>
      <x:c r="D320" s="24" t="str">
        <x:v>Surfaçada</x:v>
      </x:c>
      <x:c r="E320" s="24" t="str">
        <x:v>Hoyalux WorkSmart Room</x:v>
      </x:c>
      <x:c r="F320" s="24" t="str">
        <x:v>COLORIDAS</x:v>
      </x:c>
      <x:c r="G320" s="24" t="str">
        <x:v>PNX</x:v>
      </x:c>
      <x:c r="H320" s="24" t="str">
        <x:v>1.53</x:v>
      </x:c>
      <x:c r="I320" s="24" t="str">
        <x:v>Hi-Vision Sun Pro</x:v>
      </x:c>
      <x:c r="J320" s="40" t="n">
        <x:v>2009</x:v>
      </x:c>
      <x:c r="K320" s="24" t="str">
        <x:v>-8.00 até +6.00</x:v>
      </x:c>
      <x:c r="L320" s="24"/>
      <x:c r="M320" s="24"/>
      <x:c r="N320" s="24"/>
      <x:c r="O320" s="24"/>
      <x:c r="P320" s="24"/>
      <x:c r="Q320" s="24" t="str">
        <x:v>DISPONÍVEL</x:v>
      </x:c>
      <x:c r="R320" s="24"/>
      <x:c r="S320" s="24" t="n">
        <x:v>33</x:v>
      </x:c>
      <x:c r="T320" s="24" t="str">
        <x:v>tabela_hoya(1).pdf</x:v>
      </x:c>
      <x:c r="U320" s="24" t="str">
        <x:v>HOYA|Ocupacional|Surfaçada|Hoyalux WorkSmart Room|COLORIDAS|PNX|1.53|Hi-Vision Sun Pro|-8.00 até +6.00||||||33</x:v>
      </x:c>
    </x:row>
    <x:row r="321">
      <x:c r="A321" s="24" t="str">
        <x:v>HY-E0D53B7AD1D3</x:v>
      </x:c>
      <x:c r="B321" s="24" t="str">
        <x:v>HOYA</x:v>
      </x:c>
      <x:c r="C321" s="24" t="str">
        <x:v>Especial Digital</x:v>
      </x:c>
      <x:c r="D321" s="24" t="str">
        <x:v>Surfaçada</x:v>
      </x:c>
      <x:c r="E321" s="24" t="str">
        <x:v>HOYA SYNC III</x:v>
      </x:c>
      <x:c r="F321" s="24" t="str">
        <x:v>INCOLOR</x:v>
      </x:c>
      <x:c r="G321" s="24" t="str">
        <x:v>EYVIA</x:v>
      </x:c>
      <x:c r="H321" s="24" t="str">
        <x:v>1.74</x:v>
      </x:c>
      <x:c r="I321" s="24" t="str">
        <x:v>Hi-Vision LongLife BlueControl</x:v>
      </x:c>
      <x:c r="J321" s="40" t="n">
        <x:v>3709</x:v>
      </x:c>
      <x:c r="K321" s="24" t="str">
        <x:v>-13.00 até +9.00</x:v>
      </x:c>
      <x:c r="L321" s="24"/>
      <x:c r="M321" s="24"/>
      <x:c r="N321" s="24"/>
      <x:c r="O321" s="24"/>
      <x:c r="P321" s="24"/>
      <x:c r="Q321" s="24" t="str">
        <x:v>DISPONÍVEL</x:v>
      </x:c>
      <x:c r="R321" s="24"/>
      <x:c r="S321" s="24" t="n">
        <x:v>35</x:v>
      </x:c>
      <x:c r="T321" s="24" t="str">
        <x:v>tabela_hoya(1).pdf</x:v>
      </x:c>
      <x:c r="U321" s="24" t="str">
        <x:v>HOYA|Especial Digital|Surfaçada|HOYA SYNC III|INCOLOR|EYVIA|1.74|Hi-Vision LongLife BlueControl|-13.00 até +9.00||||||35</x:v>
      </x:c>
    </x:row>
    <x:row r="322">
      <x:c r="A322" s="24" t="str">
        <x:v>HY-493BE742E3ED</x:v>
      </x:c>
      <x:c r="B322" s="24" t="str">
        <x:v>HOYA</x:v>
      </x:c>
      <x:c r="C322" s="24" t="str">
        <x:v>Especial Digital</x:v>
      </x:c>
      <x:c r="D322" s="24" t="str">
        <x:v>Surfaçada</x:v>
      </x:c>
      <x:c r="E322" s="24" t="str">
        <x:v>HOYA SYNC III</x:v>
      </x:c>
      <x:c r="F322" s="24" t="str">
        <x:v>INCOLOR</x:v>
      </x:c>
      <x:c r="G322" s="24" t="str">
        <x:v>EYNOA</x:v>
      </x:c>
      <x:c r="H322" s="24" t="str">
        <x:v>1.67</x:v>
      </x:c>
      <x:c r="I322" s="24" t="str">
        <x:v>Hi-Vision LongLife BlueControl</x:v>
      </x:c>
      <x:c r="J322" s="40" t="n">
        <x:v>3359</x:v>
      </x:c>
      <x:c r="K322" s="24" t="str">
        <x:v>-13.00 até +7.50</x:v>
      </x:c>
      <x:c r="L322" s="24"/>
      <x:c r="M322" s="24"/>
      <x:c r="N322" s="24"/>
      <x:c r="O322" s="24"/>
      <x:c r="P322" s="24"/>
      <x:c r="Q322" s="24" t="str">
        <x:v>DISPONÍVEL</x:v>
      </x:c>
      <x:c r="R322" s="24"/>
      <x:c r="S322" s="24" t="n">
        <x:v>35</x:v>
      </x:c>
      <x:c r="T322" s="24" t="str">
        <x:v>tabela_hoya(1).pdf</x:v>
      </x:c>
      <x:c r="U322" s="24" t="str">
        <x:v>HOYA|Especial Digital|Surfaçada|HOYA SYNC III|INCOLOR|EYNOA|1.67|Hi-Vision LongLife BlueControl|-13.00 até +7.50||||||35</x:v>
      </x:c>
    </x:row>
    <x:row r="323">
      <x:c r="A323" s="24" t="str">
        <x:v>HY-BF69DD8F7201</x:v>
      </x:c>
      <x:c r="B323" s="24" t="str">
        <x:v>HOYA</x:v>
      </x:c>
      <x:c r="C323" s="24" t="str">
        <x:v>Especial Digital</x:v>
      </x:c>
      <x:c r="D323" s="24" t="str">
        <x:v>Surfaçada</x:v>
      </x:c>
      <x:c r="E323" s="24" t="str">
        <x:v>HOYA SYNC III</x:v>
      </x:c>
      <x:c r="F323" s="24" t="str">
        <x:v>INCOLOR</x:v>
      </x:c>
      <x:c r="G323" s="24" t="str">
        <x:v>EYAS 2.0</x:v>
      </x:c>
      <x:c r="H323" s="24" t="str">
        <x:v>1.60</x:v>
      </x:c>
      <x:c r="I323" s="24" t="str">
        <x:v>Hi-Vision LongLife BlueControl</x:v>
      </x:c>
      <x:c r="J323" s="40" t="n">
        <x:v>2559</x:v>
      </x:c>
      <x:c r="K323" s="24" t="str">
        <x:v>-13.00 até +7.50</x:v>
      </x:c>
      <x:c r="L323" s="24"/>
      <x:c r="M323" s="24"/>
      <x:c r="N323" s="24"/>
      <x:c r="O323" s="24"/>
      <x:c r="P323" s="24"/>
      <x:c r="Q323" s="24" t="str">
        <x:v>DISPONÍVEL</x:v>
      </x:c>
      <x:c r="R323" s="24"/>
      <x:c r="S323" s="24" t="n">
        <x:v>35</x:v>
      </x:c>
      <x:c r="T323" s="24" t="str">
        <x:v>tabela_hoya(1).pdf</x:v>
      </x:c>
      <x:c r="U323" s="24" t="str">
        <x:v>HOYA|Especial Digital|Surfaçada|HOYA SYNC III|INCOLOR|EYAS 2.0|1.60|Hi-Vision LongLife BlueControl|-13.00 até +7.50||||||35</x:v>
      </x:c>
    </x:row>
    <x:row r="324">
      <x:c r="A324" s="24" t="str">
        <x:v>HY-5444A0E88F66</x:v>
      </x:c>
      <x:c r="B324" s="24" t="str">
        <x:v>HOYA</x:v>
      </x:c>
      <x:c r="C324" s="24" t="str">
        <x:v>Especial Digital</x:v>
      </x:c>
      <x:c r="D324" s="24" t="str">
        <x:v>Surfaçada</x:v>
      </x:c>
      <x:c r="E324" s="24" t="str">
        <x:v>HOYA SYNC III</x:v>
      </x:c>
      <x:c r="F324" s="24" t="str">
        <x:v>INCOLOR</x:v>
      </x:c>
      <x:c r="G324" s="24" t="str">
        <x:v>PNX</x:v>
      </x:c>
      <x:c r="H324" s="24" t="str">
        <x:v>1.53</x:v>
      </x:c>
      <x:c r="I324" s="24" t="str">
        <x:v>Hi-Vision LongLife BlueControl</x:v>
      </x:c>
      <x:c r="J324" s="40" t="n">
        <x:v>2099</x:v>
      </x:c>
      <x:c r="K324" s="24" t="str">
        <x:v>-8.00 até +6.00</x:v>
      </x:c>
      <x:c r="L324" s="24"/>
      <x:c r="M324" s="24"/>
      <x:c r="N324" s="24"/>
      <x:c r="O324" s="24"/>
      <x:c r="P324" s="24"/>
      <x:c r="Q324" s="24" t="str">
        <x:v>DISPONÍVEL</x:v>
      </x:c>
      <x:c r="R324" s="24"/>
      <x:c r="S324" s="24" t="n">
        <x:v>35</x:v>
      </x:c>
      <x:c r="T324" s="24" t="str">
        <x:v>tabela_hoya(1).pdf</x:v>
      </x:c>
      <x:c r="U324" s="24" t="str">
        <x:v>HOYA|Especial Digital|Surfaçada|HOYA SYNC III|INCOLOR|PNX|1.53|Hi-Vision LongLife BlueControl|-8.00 até +6.00||||||35</x:v>
      </x:c>
    </x:row>
    <x:row r="325">
      <x:c r="A325" s="24" t="str">
        <x:v>HY-B0A6E378B04B</x:v>
      </x:c>
      <x:c r="B325" s="24" t="str">
        <x:v>HOYA</x:v>
      </x:c>
      <x:c r="C325" s="24" t="str">
        <x:v>Especial Digital</x:v>
      </x:c>
      <x:c r="D325" s="24" t="str">
        <x:v>Surfaçada</x:v>
      </x:c>
      <x:c r="E325" s="24" t="str">
        <x:v>HOYA SYNC III</x:v>
      </x:c>
      <x:c r="F325" s="24" t="str">
        <x:v>INCOLOR</x:v>
      </x:c>
      <x:c r="G325" s="24" t="str">
        <x:v>ORGANIC</x:v>
      </x:c>
      <x:c r="H325" s="24" t="str">
        <x:v>1.50</x:v>
      </x:c>
      <x:c r="I325" s="24" t="str">
        <x:v>Hi-Vision LongLife BlueControl</x:v>
      </x:c>
      <x:c r="J325" s="40" t="n">
        <x:v>1749</x:v>
      </x:c>
      <x:c r="K325" s="24" t="str">
        <x:v>-8.00 até +3.00</x:v>
      </x:c>
      <x:c r="L325" s="24"/>
      <x:c r="M325" s="24"/>
      <x:c r="N325" s="24"/>
      <x:c r="O325" s="24"/>
      <x:c r="P325" s="24"/>
      <x:c r="Q325" s="24" t="str">
        <x:v>DISPONÍVEL</x:v>
      </x:c>
      <x:c r="R325" s="24"/>
      <x:c r="S325" s="24" t="n">
        <x:v>35</x:v>
      </x:c>
      <x:c r="T325" s="24" t="str">
        <x:v>tabela_hoya(1).pdf</x:v>
      </x:c>
      <x:c r="U325" s="24" t="str">
        <x:v>HOYA|Especial Digital|Surfaçada|HOYA SYNC III|INCOLOR|ORGANIC|1.50|Hi-Vision LongLife BlueControl|-8.00 até +3.00||||||35</x:v>
      </x:c>
    </x:row>
    <x:row r="326">
      <x:c r="A326" s="24" t="str">
        <x:v>HY-E122E024CDC1</x:v>
      </x:c>
      <x:c r="B326" s="24" t="str">
        <x:v>HOYA</x:v>
      </x:c>
      <x:c r="C326" s="24" t="str">
        <x:v>Especial Digital</x:v>
      </x:c>
      <x:c r="D326" s="24" t="str">
        <x:v>Surfaçada</x:v>
      </x:c>
      <x:c r="E326" s="24" t="str">
        <x:v>HOYA SYNC III</x:v>
      </x:c>
      <x:c r="F326" s="24" t="str">
        <x:v>INCOLOR</x:v>
      </x:c>
      <x:c r="G326" s="24" t="str">
        <x:v>EYNOA</x:v>
      </x:c>
      <x:c r="H326" s="24" t="str">
        <x:v>1.67</x:v>
      </x:c>
      <x:c r="I326" s="24" t="str">
        <x:v>No-Risk BlueControl</x:v>
      </x:c>
      <x:c r="J326" s="40" t="n">
        <x:v>3109</x:v>
      </x:c>
      <x:c r="K326" s="24" t="str">
        <x:v>-13.00 até +7.50</x:v>
      </x:c>
      <x:c r="L326" s="24"/>
      <x:c r="M326" s="24"/>
      <x:c r="N326" s="24"/>
      <x:c r="O326" s="24"/>
      <x:c r="P326" s="24"/>
      <x:c r="Q326" s="24" t="str">
        <x:v>DISPONÍVEL</x:v>
      </x:c>
      <x:c r="R326" s="24"/>
      <x:c r="S326" s="24" t="n">
        <x:v>35</x:v>
      </x:c>
      <x:c r="T326" s="24" t="str">
        <x:v>tabela_hoya(1).pdf</x:v>
      </x:c>
      <x:c r="U326" s="24" t="str">
        <x:v>HOYA|Especial Digital|Surfaçada|HOYA SYNC III|INCOLOR|EYNOA|1.67|No-Risk BlueControl|-13.00 até +7.50||||||35</x:v>
      </x:c>
    </x:row>
    <x:row r="327">
      <x:c r="A327" s="24" t="str">
        <x:v>HY-7D9DE5E7CC50</x:v>
      </x:c>
      <x:c r="B327" s="24" t="str">
        <x:v>HOYA</x:v>
      </x:c>
      <x:c r="C327" s="24" t="str">
        <x:v>Especial Digital</x:v>
      </x:c>
      <x:c r="D327" s="24" t="str">
        <x:v>Surfaçada</x:v>
      </x:c>
      <x:c r="E327" s="24" t="str">
        <x:v>HOYA SYNC III</x:v>
      </x:c>
      <x:c r="F327" s="24" t="str">
        <x:v>INCOLOR</x:v>
      </x:c>
      <x:c r="G327" s="24" t="str">
        <x:v>EYAS 2.0</x:v>
      </x:c>
      <x:c r="H327" s="24" t="str">
        <x:v>1.60</x:v>
      </x:c>
      <x:c r="I327" s="24" t="str">
        <x:v>No-Risk BlueControl</x:v>
      </x:c>
      <x:c r="J327" s="40" t="n">
        <x:v>2309</x:v>
      </x:c>
      <x:c r="K327" s="24" t="str">
        <x:v>-13.00 até +7.50</x:v>
      </x:c>
      <x:c r="L327" s="24"/>
      <x:c r="M327" s="24"/>
      <x:c r="N327" s="24"/>
      <x:c r="O327" s="24"/>
      <x:c r="P327" s="24"/>
      <x:c r="Q327" s="24" t="str">
        <x:v>DISPONÍVEL</x:v>
      </x:c>
      <x:c r="R327" s="24"/>
      <x:c r="S327" s="24" t="n">
        <x:v>35</x:v>
      </x:c>
      <x:c r="T327" s="24" t="str">
        <x:v>tabela_hoya(1).pdf</x:v>
      </x:c>
      <x:c r="U327" s="24" t="str">
        <x:v>HOYA|Especial Digital|Surfaçada|HOYA SYNC III|INCOLOR|EYAS 2.0|1.60|No-Risk BlueControl|-13.00 até +7.50||||||35</x:v>
      </x:c>
    </x:row>
    <x:row r="328">
      <x:c r="A328" s="24" t="str">
        <x:v>HY-3009A2B3D8A8</x:v>
      </x:c>
      <x:c r="B328" s="24" t="str">
        <x:v>HOYA</x:v>
      </x:c>
      <x:c r="C328" s="24" t="str">
        <x:v>Especial Digital</x:v>
      </x:c>
      <x:c r="D328" s="24" t="str">
        <x:v>Surfaçada</x:v>
      </x:c>
      <x:c r="E328" s="24" t="str">
        <x:v>HOYA SYNC III</x:v>
      </x:c>
      <x:c r="F328" s="24" t="str">
        <x:v>INCOLOR</x:v>
      </x:c>
      <x:c r="G328" s="24" t="str">
        <x:v>POLI</x:v>
      </x:c>
      <x:c r="H328" s="24" t="str">
        <x:v>1.59</x:v>
      </x:c>
      <x:c r="I328" s="24" t="str">
        <x:v>No-Risk BlueControl</x:v>
      </x:c>
      <x:c r="J328" s="40" t="n">
        <x:v>1849</x:v>
      </x:c>
      <x:c r="K328" s="24" t="str">
        <x:v>-10.00 até +6.00</x:v>
      </x:c>
      <x:c r="L328" s="24"/>
      <x:c r="M328" s="24"/>
      <x:c r="N328" s="24"/>
      <x:c r="O328" s="24"/>
      <x:c r="P328" s="24"/>
      <x:c r="Q328" s="24" t="str">
        <x:v>DISPONÍVEL</x:v>
      </x:c>
      <x:c r="R328" s="24"/>
      <x:c r="S328" s="24" t="n">
        <x:v>35</x:v>
      </x:c>
      <x:c r="T328" s="24" t="str">
        <x:v>tabela_hoya(1).pdf</x:v>
      </x:c>
      <x:c r="U328" s="24" t="str">
        <x:v>HOYA|Especial Digital|Surfaçada|HOYA SYNC III|INCOLOR|POLI|1.59|No-Risk BlueControl|-10.00 até +6.00||||||35</x:v>
      </x:c>
    </x:row>
    <x:row r="329">
      <x:c r="A329" s="24" t="str">
        <x:v>HY-51CF7A8E036B</x:v>
      </x:c>
      <x:c r="B329" s="24" t="str">
        <x:v>HOYA</x:v>
      </x:c>
      <x:c r="C329" s="24" t="str">
        <x:v>Especial Digital</x:v>
      </x:c>
      <x:c r="D329" s="24" t="str">
        <x:v>Surfaçada</x:v>
      </x:c>
      <x:c r="E329" s="24" t="str">
        <x:v>HOYA SYNC III</x:v>
      </x:c>
      <x:c r="F329" s="24" t="str">
        <x:v>INCOLOR</x:v>
      </x:c>
      <x:c r="G329" s="24" t="str">
        <x:v>PNX</x:v>
      </x:c>
      <x:c r="H329" s="24" t="str">
        <x:v>1.53</x:v>
      </x:c>
      <x:c r="I329" s="24" t="str">
        <x:v>No-Risk BlueControl</x:v>
      </x:c>
      <x:c r="J329" s="40" t="n">
        <x:v>1849</x:v>
      </x:c>
      <x:c r="K329" s="24" t="str">
        <x:v>-8.00 até +6.00</x:v>
      </x:c>
      <x:c r="L329" s="24"/>
      <x:c r="M329" s="24"/>
      <x:c r="N329" s="24"/>
      <x:c r="O329" s="24"/>
      <x:c r="P329" s="24"/>
      <x:c r="Q329" s="24" t="str">
        <x:v>DISPONÍVEL</x:v>
      </x:c>
      <x:c r="R329" s="24"/>
      <x:c r="S329" s="24" t="n">
        <x:v>35</x:v>
      </x:c>
      <x:c r="T329" s="24" t="str">
        <x:v>tabela_hoya(1).pdf</x:v>
      </x:c>
      <x:c r="U329" s="24" t="str">
        <x:v>HOYA|Especial Digital|Surfaçada|HOYA SYNC III|INCOLOR|PNX|1.53|No-Risk BlueControl|-8.00 até +6.00||||||35</x:v>
      </x:c>
    </x:row>
    <x:row r="330">
      <x:c r="A330" s="24" t="str">
        <x:v>HY-0A04B726B543</x:v>
      </x:c>
      <x:c r="B330" s="24" t="str">
        <x:v>HOYA</x:v>
      </x:c>
      <x:c r="C330" s="24" t="str">
        <x:v>Especial Digital</x:v>
      </x:c>
      <x:c r="D330" s="24" t="str">
        <x:v>Surfaçada</x:v>
      </x:c>
      <x:c r="E330" s="24" t="str">
        <x:v>HOYA SYNC III</x:v>
      </x:c>
      <x:c r="F330" s="24" t="str">
        <x:v>INCOLOR</x:v>
      </x:c>
      <x:c r="G330" s="24" t="str">
        <x:v>ORGANIC</x:v>
      </x:c>
      <x:c r="H330" s="24" t="str">
        <x:v>1.50</x:v>
      </x:c>
      <x:c r="I330" s="24" t="str">
        <x:v>No-Risk BlueControl</x:v>
      </x:c>
      <x:c r="J330" s="40" t="n">
        <x:v>1499</x:v>
      </x:c>
      <x:c r="K330" s="24" t="str">
        <x:v>-8.00 até +3.00</x:v>
      </x:c>
      <x:c r="L330" s="24"/>
      <x:c r="M330" s="24"/>
      <x:c r="N330" s="24"/>
      <x:c r="O330" s="24"/>
      <x:c r="P330" s="24"/>
      <x:c r="Q330" s="24" t="str">
        <x:v>DISPONÍVEL</x:v>
      </x:c>
      <x:c r="R330" s="24"/>
      <x:c r="S330" s="24" t="n">
        <x:v>35</x:v>
      </x:c>
      <x:c r="T330" s="24" t="str">
        <x:v>tabela_hoya(1).pdf</x:v>
      </x:c>
      <x:c r="U330" s="24" t="str">
        <x:v>HOYA|Especial Digital|Surfaçada|HOYA SYNC III|INCOLOR|ORGANIC|1.50|No-Risk BlueControl|-8.00 até +3.00||||||35</x:v>
      </x:c>
    </x:row>
    <x:row r="331">
      <x:c r="A331" s="24" t="str">
        <x:v>HY-7D7102C682E3</x:v>
      </x:c>
      <x:c r="B331" s="24" t="str">
        <x:v>HOYA</x:v>
      </x:c>
      <x:c r="C331" s="24" t="str">
        <x:v>Especial Digital</x:v>
      </x:c>
      <x:c r="D331" s="24" t="str">
        <x:v>Surfaçada</x:v>
      </x:c>
      <x:c r="E331" s="24" t="str">
        <x:v>HOYA SYNC III</x:v>
      </x:c>
      <x:c r="F331" s="24" t="str">
        <x:v>COLORIDAS</x:v>
      </x:c>
      <x:c r="G331" s="24" t="str">
        <x:v>EYVIA</x:v>
      </x:c>
      <x:c r="H331" s="24" t="str">
        <x:v>1.74</x:v>
      </x:c>
      <x:c r="I331" s="24" t="str">
        <x:v>Hi-Vision Sun Pro</x:v>
      </x:c>
      <x:c r="J331" s="40" t="n">
        <x:v>3999</x:v>
      </x:c>
      <x:c r="K331" s="24" t="str">
        <x:v>-13.00 até +9.00</x:v>
      </x:c>
      <x:c r="L331" s="24"/>
      <x:c r="M331" s="24"/>
      <x:c r="N331" s="24"/>
      <x:c r="O331" s="24"/>
      <x:c r="P331" s="24"/>
      <x:c r="Q331" s="24" t="str">
        <x:v>DISPONÍVEL</x:v>
      </x:c>
      <x:c r="R331" s="24"/>
      <x:c r="S331" s="24" t="n">
        <x:v>35</x:v>
      </x:c>
      <x:c r="T331" s="24" t="str">
        <x:v>tabela_hoya(1).pdf</x:v>
      </x:c>
      <x:c r="U331" s="24" t="str">
        <x:v>HOYA|Especial Digital|Surfaçada|HOYA SYNC III|COLORIDAS|EYVIA|1.74|Hi-Vision Sun Pro|-13.00 até +9.00||||||35</x:v>
      </x:c>
    </x:row>
    <x:row r="332">
      <x:c r="A332" s="24" t="str">
        <x:v>HY-C6C254161360</x:v>
      </x:c>
      <x:c r="B332" s="24" t="str">
        <x:v>HOYA</x:v>
      </x:c>
      <x:c r="C332" s="24" t="str">
        <x:v>Especial Digital</x:v>
      </x:c>
      <x:c r="D332" s="24" t="str">
        <x:v>Surfaçada</x:v>
      </x:c>
      <x:c r="E332" s="24" t="str">
        <x:v>HOYA SYNC III</x:v>
      </x:c>
      <x:c r="F332" s="24" t="str">
        <x:v>COLORIDAS</x:v>
      </x:c>
      <x:c r="G332" s="24" t="str">
        <x:v>EYNOA</x:v>
      </x:c>
      <x:c r="H332" s="24" t="str">
        <x:v>1.67</x:v>
      </x:c>
      <x:c r="I332" s="24" t="str">
        <x:v>Hi-Vision Sun Pro</x:v>
      </x:c>
      <x:c r="J332" s="40" t="n">
        <x:v>3399</x:v>
      </x:c>
      <x:c r="K332" s="24" t="str">
        <x:v>-13.00 até +7.50</x:v>
      </x:c>
      <x:c r="L332" s="24"/>
      <x:c r="M332" s="24"/>
      <x:c r="N332" s="24"/>
      <x:c r="O332" s="24"/>
      <x:c r="P332" s="24"/>
      <x:c r="Q332" s="24" t="str">
        <x:v>DISPONÍVEL</x:v>
      </x:c>
      <x:c r="R332" s="24"/>
      <x:c r="S332" s="24" t="n">
        <x:v>35</x:v>
      </x:c>
      <x:c r="T332" s="24" t="str">
        <x:v>tabela_hoya(1).pdf</x:v>
      </x:c>
      <x:c r="U332" s="24" t="str">
        <x:v>HOYA|Especial Digital|Surfaçada|HOYA SYNC III|COLORIDAS|EYNOA|1.67|Hi-Vision Sun Pro|-13.00 até +7.50||||||35</x:v>
      </x:c>
    </x:row>
    <x:row r="333">
      <x:c r="A333" s="24" t="str">
        <x:v>HY-994CDC05656E</x:v>
      </x:c>
      <x:c r="B333" s="24" t="str">
        <x:v>HOYA</x:v>
      </x:c>
      <x:c r="C333" s="24" t="str">
        <x:v>Especial Digital</x:v>
      </x:c>
      <x:c r="D333" s="24" t="str">
        <x:v>Surfaçada</x:v>
      </x:c>
      <x:c r="E333" s="24" t="str">
        <x:v>HOYA SYNC III</x:v>
      </x:c>
      <x:c r="F333" s="24" t="str">
        <x:v>COLORIDAS</x:v>
      </x:c>
      <x:c r="G333" s="24" t="str">
        <x:v>EYAS 2.0</x:v>
      </x:c>
      <x:c r="H333" s="24" t="str">
        <x:v>1.60</x:v>
      </x:c>
      <x:c r="I333" s="24" t="str">
        <x:v>Hi-Vision Sun Pro</x:v>
      </x:c>
      <x:c r="J333" s="40" t="n">
        <x:v>2599</x:v>
      </x:c>
      <x:c r="K333" s="24" t="str">
        <x:v>-13.00 até +7.50</x:v>
      </x:c>
      <x:c r="L333" s="24"/>
      <x:c r="M333" s="24"/>
      <x:c r="N333" s="24"/>
      <x:c r="O333" s="24"/>
      <x:c r="P333" s="24"/>
      <x:c r="Q333" s="24" t="str">
        <x:v>DISPONÍVEL</x:v>
      </x:c>
      <x:c r="R333" s="24"/>
      <x:c r="S333" s="24" t="n">
        <x:v>35</x:v>
      </x:c>
      <x:c r="T333" s="24" t="str">
        <x:v>tabela_hoya(1).pdf</x:v>
      </x:c>
      <x:c r="U333" s="24" t="str">
        <x:v>HOYA|Especial Digital|Surfaçada|HOYA SYNC III|COLORIDAS|EYAS 2.0|1.60|Hi-Vision Sun Pro|-13.00 até +7.50||||||35</x:v>
      </x:c>
    </x:row>
    <x:row r="334">
      <x:c r="A334" s="24" t="str">
        <x:v>HY-783A392377CC</x:v>
      </x:c>
      <x:c r="B334" s="24" t="str">
        <x:v>HOYA</x:v>
      </x:c>
      <x:c r="C334" s="24" t="str">
        <x:v>Especial Digital</x:v>
      </x:c>
      <x:c r="D334" s="24" t="str">
        <x:v>Surfaçada</x:v>
      </x:c>
      <x:c r="E334" s="24" t="str">
        <x:v>HOYA SYNC III</x:v>
      </x:c>
      <x:c r="F334" s="24" t="str">
        <x:v>COLORIDAS</x:v>
      </x:c>
      <x:c r="G334" s="24" t="str">
        <x:v>PNX</x:v>
      </x:c>
      <x:c r="H334" s="24" t="str">
        <x:v>1.53</x:v>
      </x:c>
      <x:c r="I334" s="24" t="str">
        <x:v>Hi-Vision Sun Pro</x:v>
      </x:c>
      <x:c r="J334" s="40" t="n">
        <x:v>2139</x:v>
      </x:c>
      <x:c r="K334" s="24" t="str">
        <x:v>-8.00 até +6.00</x:v>
      </x:c>
      <x:c r="L334" s="24"/>
      <x:c r="M334" s="24"/>
      <x:c r="N334" s="24"/>
      <x:c r="O334" s="24"/>
      <x:c r="P334" s="24"/>
      <x:c r="Q334" s="24" t="str">
        <x:v>DISPONÍVEL</x:v>
      </x:c>
      <x:c r="R334" s="24"/>
      <x:c r="S334" s="24" t="n">
        <x:v>35</x:v>
      </x:c>
      <x:c r="T334" s="24" t="str">
        <x:v>tabela_hoya(1).pdf</x:v>
      </x:c>
      <x:c r="U334" s="24" t="str">
        <x:v>HOYA|Especial Digital|Surfaçada|HOYA SYNC III|COLORIDAS|PNX|1.53|Hi-Vision Sun Pro|-8.00 até +6.00||||||35</x:v>
      </x:c>
    </x:row>
    <x:row r="335">
      <x:c r="A335" s="24" t="str">
        <x:v>HY-22BB5D4A707F</x:v>
      </x:c>
      <x:c r="B335" s="24" t="str">
        <x:v>HOYA</x:v>
      </x:c>
      <x:c r="C335" s="24" t="str">
        <x:v>Especial Digital</x:v>
      </x:c>
      <x:c r="D335" s="24" t="str">
        <x:v>Surfaçada</x:v>
      </x:c>
      <x:c r="E335" s="24" t="str">
        <x:v>HOYA SYNC III</x:v>
      </x:c>
      <x:c r="F335" s="24" t="str">
        <x:v>COLORIDAS</x:v>
      </x:c>
      <x:c r="G335" s="24" t="str">
        <x:v>ORGANIC</x:v>
      </x:c>
      <x:c r="H335" s="24" t="str">
        <x:v>1.50</x:v>
      </x:c>
      <x:c r="I335" s="24" t="str">
        <x:v>Hi-Vision Sun Pro</x:v>
      </x:c>
      <x:c r="J335" s="40" t="n">
        <x:v>1789</x:v>
      </x:c>
      <x:c r="K335" s="24" t="str">
        <x:v>-8.00 até +3.00</x:v>
      </x:c>
      <x:c r="L335" s="24"/>
      <x:c r="M335" s="24"/>
      <x:c r="N335" s="24"/>
      <x:c r="O335" s="24"/>
      <x:c r="P335" s="24"/>
      <x:c r="Q335" s="24" t="str">
        <x:v>DISPONÍVEL</x:v>
      </x:c>
      <x:c r="R335" s="24"/>
      <x:c r="S335" s="24" t="n">
        <x:v>35</x:v>
      </x:c>
      <x:c r="T335" s="24" t="str">
        <x:v>tabela_hoya(1).pdf</x:v>
      </x:c>
      <x:c r="U335" s="24" t="str">
        <x:v>HOYA|Especial Digital|Surfaçada|HOYA SYNC III|COLORIDAS|ORGANIC|1.50|Hi-Vision Sun Pro|-8.00 até +3.00||||||35</x:v>
      </x:c>
    </x:row>
    <x:row r="336">
      <x:c r="A336" s="24" t="str">
        <x:v>HY-D0B4815810BB</x:v>
      </x:c>
      <x:c r="B336" s="24" t="str">
        <x:v>HOYA</x:v>
      </x:c>
      <x:c r="C336" s="24" t="str">
        <x:v>Especial Digital</x:v>
      </x:c>
      <x:c r="D336" s="24" t="str">
        <x:v>Surfaçada</x:v>
      </x:c>
      <x:c r="E336" s="24" t="str">
        <x:v>HOYA SYNC III</x:v>
      </x:c>
      <x:c r="F336" s="24" t="str">
        <x:v>SENSITY 2</x:v>
      </x:c>
      <x:c r="G336" s="24" t="str">
        <x:v>EYNOA</x:v>
      </x:c>
      <x:c r="H336" s="24" t="str">
        <x:v>1.67</x:v>
      </x:c>
      <x:c r="I336" s="24" t="str">
        <x:v>Hi-Vision LongLife BlueControl</x:v>
      </x:c>
      <x:c r="J336" s="40" t="n">
        <x:v>4359</x:v>
      </x:c>
      <x:c r="K336" s="24" t="str">
        <x:v>-13.00 até +7.50</x:v>
      </x:c>
      <x:c r="L336" s="24"/>
      <x:c r="M336" s="24"/>
      <x:c r="N336" s="24"/>
      <x:c r="O336" s="24"/>
      <x:c r="P336" s="24"/>
      <x:c r="Q336" s="24" t="str">
        <x:v>DISPONÍVEL</x:v>
      </x:c>
      <x:c r="R336" s="24"/>
      <x:c r="S336" s="24" t="n">
        <x:v>35</x:v>
      </x:c>
      <x:c r="T336" s="24" t="str">
        <x:v>tabela_hoya(1).pdf</x:v>
      </x:c>
      <x:c r="U336" s="24" t="str">
        <x:v>HOYA|Especial Digital|Surfaçada|HOYA SYNC III|SENSITY 2|EYNOA|1.67|Hi-Vision LongLife BlueControl|-13.00 até +7.50||||||35</x:v>
      </x:c>
    </x:row>
    <x:row r="337">
      <x:c r="A337" s="24" t="str">
        <x:v>HY-C1C81110A53B</x:v>
      </x:c>
      <x:c r="B337" s="24" t="str">
        <x:v>HOYA</x:v>
      </x:c>
      <x:c r="C337" s="24" t="str">
        <x:v>Especial Digital</x:v>
      </x:c>
      <x:c r="D337" s="24" t="str">
        <x:v>Surfaçada</x:v>
      </x:c>
      <x:c r="E337" s="24" t="str">
        <x:v>HOYA SYNC III</x:v>
      </x:c>
      <x:c r="F337" s="24" t="str">
        <x:v>SENSITY 2</x:v>
      </x:c>
      <x:c r="G337" s="24" t="str">
        <x:v>PNX</x:v>
      </x:c>
      <x:c r="H337" s="24" t="str">
        <x:v>1.53</x:v>
      </x:c>
      <x:c r="I337" s="24" t="str">
        <x:v>Hi-Vision LongLife BlueControl</x:v>
      </x:c>
      <x:c r="J337" s="40" t="n">
        <x:v>3099</x:v>
      </x:c>
      <x:c r="K337" s="24" t="str">
        <x:v>-8.00 até +6.00</x:v>
      </x:c>
      <x:c r="L337" s="24"/>
      <x:c r="M337" s="24"/>
      <x:c r="N337" s="24"/>
      <x:c r="O337" s="24"/>
      <x:c r="P337" s="24"/>
      <x:c r="Q337" s="24" t="str">
        <x:v>DISPONÍVEL</x:v>
      </x:c>
      <x:c r="R337" s="24"/>
      <x:c r="S337" s="24" t="n">
        <x:v>35</x:v>
      </x:c>
      <x:c r="T337" s="24" t="str">
        <x:v>tabela_hoya(1).pdf</x:v>
      </x:c>
      <x:c r="U337" s="24" t="str">
        <x:v>HOYA|Especial Digital|Surfaçada|HOYA SYNC III|SENSITY 2|PNX|1.53|Hi-Vision LongLife BlueControl|-8.00 até +6.00||||||35</x:v>
      </x:c>
    </x:row>
    <x:row r="338">
      <x:c r="A338" s="24" t="str">
        <x:v>HY-FE50059E952C</x:v>
      </x:c>
      <x:c r="B338" s="24" t="str">
        <x:v>HOYA</x:v>
      </x:c>
      <x:c r="C338" s="24" t="str">
        <x:v>Especial Digital</x:v>
      </x:c>
      <x:c r="D338" s="24" t="str">
        <x:v>Surfaçada</x:v>
      </x:c>
      <x:c r="E338" s="24" t="str">
        <x:v>HOYA SYNC III</x:v>
      </x:c>
      <x:c r="F338" s="24" t="str">
        <x:v>SENSITY 2</x:v>
      </x:c>
      <x:c r="G338" s="24" t="str">
        <x:v>ORGANIC</x:v>
      </x:c>
      <x:c r="H338" s="24" t="str">
        <x:v>1.50</x:v>
      </x:c>
      <x:c r="I338" s="24" t="str">
        <x:v>Hi-Vision LongLife BlueControl</x:v>
      </x:c>
      <x:c r="J338" s="40" t="n">
        <x:v>2749</x:v>
      </x:c>
      <x:c r="K338" s="24" t="str">
        <x:v>-8.00 até +3.00</x:v>
      </x:c>
      <x:c r="L338" s="24"/>
      <x:c r="M338" s="24"/>
      <x:c r="N338" s="24"/>
      <x:c r="O338" s="24"/>
      <x:c r="P338" s="24"/>
      <x:c r="Q338" s="24" t="str">
        <x:v>DISPONÍVEL</x:v>
      </x:c>
      <x:c r="R338" s="24"/>
      <x:c r="S338" s="24" t="n">
        <x:v>35</x:v>
      </x:c>
      <x:c r="T338" s="24" t="str">
        <x:v>tabela_hoya(1).pdf</x:v>
      </x:c>
      <x:c r="U338" s="24" t="str">
        <x:v>HOYA|Especial Digital|Surfaçada|HOYA SYNC III|SENSITY 2|ORGANIC|1.50|Hi-Vision LongLife BlueControl|-8.00 até +3.00||||||35</x:v>
      </x:c>
    </x:row>
    <x:row r="339">
      <x:c r="A339" s="24" t="str">
        <x:v>HY-D9F7E1864E09</x:v>
      </x:c>
      <x:c r="B339" s="24" t="str">
        <x:v>HOYA</x:v>
      </x:c>
      <x:c r="C339" s="24" t="str">
        <x:v>Especial Digital</x:v>
      </x:c>
      <x:c r="D339" s="24" t="str">
        <x:v>Surfaçada</x:v>
      </x:c>
      <x:c r="E339" s="24" t="str">
        <x:v>HOYA SYNC III</x:v>
      </x:c>
      <x:c r="F339" s="24" t="str">
        <x:v>SENSITY 2</x:v>
      </x:c>
      <x:c r="G339" s="24" t="str">
        <x:v>EYNOA</x:v>
      </x:c>
      <x:c r="H339" s="24" t="str">
        <x:v>1.67</x:v>
      </x:c>
      <x:c r="I339" s="24" t="str">
        <x:v>No-Risk BlueControl</x:v>
      </x:c>
      <x:c r="J339" s="40" t="n">
        <x:v>4109</x:v>
      </x:c>
      <x:c r="K339" s="24" t="str">
        <x:v>-13.00 até +7.50</x:v>
      </x:c>
      <x:c r="L339" s="24"/>
      <x:c r="M339" s="24"/>
      <x:c r="N339" s="24"/>
      <x:c r="O339" s="24"/>
      <x:c r="P339" s="24"/>
      <x:c r="Q339" s="24" t="str">
        <x:v>DISPONÍVEL</x:v>
      </x:c>
      <x:c r="R339" s="24"/>
      <x:c r="S339" s="24" t="n">
        <x:v>35</x:v>
      </x:c>
      <x:c r="T339" s="24" t="str">
        <x:v>tabela_hoya(1).pdf</x:v>
      </x:c>
      <x:c r="U339" s="24" t="str">
        <x:v>HOYA|Especial Digital|Surfaçada|HOYA SYNC III|SENSITY 2|EYNOA|1.67|No-Risk BlueControl|-13.00 até +7.50||||||35</x:v>
      </x:c>
    </x:row>
    <x:row r="340">
      <x:c r="A340" s="24" t="str">
        <x:v>HY-7F268C40D2D0</x:v>
      </x:c>
      <x:c r="B340" s="24" t="str">
        <x:v>HOYA</x:v>
      </x:c>
      <x:c r="C340" s="24" t="str">
        <x:v>Especial Digital</x:v>
      </x:c>
      <x:c r="D340" s="24" t="str">
        <x:v>Surfaçada</x:v>
      </x:c>
      <x:c r="E340" s="24" t="str">
        <x:v>HOYA SYNC III</x:v>
      </x:c>
      <x:c r="F340" s="24" t="str">
        <x:v>SENSITY 2</x:v>
      </x:c>
      <x:c r="G340" s="24" t="str">
        <x:v>PNX</x:v>
      </x:c>
      <x:c r="H340" s="24" t="str">
        <x:v>1.53</x:v>
      </x:c>
      <x:c r="I340" s="24" t="str">
        <x:v>No-Risk BlueControl</x:v>
      </x:c>
      <x:c r="J340" s="40" t="n">
        <x:v>2849</x:v>
      </x:c>
      <x:c r="K340" s="24" t="str">
        <x:v>-8.00 até +6.00</x:v>
      </x:c>
      <x:c r="L340" s="24"/>
      <x:c r="M340" s="24"/>
      <x:c r="N340" s="24"/>
      <x:c r="O340" s="24"/>
      <x:c r="P340" s="24"/>
      <x:c r="Q340" s="24" t="str">
        <x:v>DISPONÍVEL</x:v>
      </x:c>
      <x:c r="R340" s="24"/>
      <x:c r="S340" s="24" t="n">
        <x:v>35</x:v>
      </x:c>
      <x:c r="T340" s="24" t="str">
        <x:v>tabela_hoya(1).pdf</x:v>
      </x:c>
      <x:c r="U340" s="24" t="str">
        <x:v>HOYA|Especial Digital|Surfaçada|HOYA SYNC III|SENSITY 2|PNX|1.53|No-Risk BlueControl|-8.00 até +6.00||||||35</x:v>
      </x:c>
    </x:row>
    <x:row r="341">
      <x:c r="A341" s="24" t="str">
        <x:v>HY-08046D93E56D</x:v>
      </x:c>
      <x:c r="B341" s="24" t="str">
        <x:v>HOYA</x:v>
      </x:c>
      <x:c r="C341" s="24" t="str">
        <x:v>Especial Digital</x:v>
      </x:c>
      <x:c r="D341" s="24" t="str">
        <x:v>Surfaçada</x:v>
      </x:c>
      <x:c r="E341" s="24" t="str">
        <x:v>HOYA SYNC III</x:v>
      </x:c>
      <x:c r="F341" s="24" t="str">
        <x:v>SENSITY 2</x:v>
      </x:c>
      <x:c r="G341" s="24" t="str">
        <x:v>ORGANIC</x:v>
      </x:c>
      <x:c r="H341" s="24" t="str">
        <x:v>1.50</x:v>
      </x:c>
      <x:c r="I341" s="24" t="str">
        <x:v>No-Risk BlueControl</x:v>
      </x:c>
      <x:c r="J341" s="40" t="n">
        <x:v>2499</x:v>
      </x:c>
      <x:c r="K341" s="24" t="str">
        <x:v>-8.00 até +3.00</x:v>
      </x:c>
      <x:c r="L341" s="24"/>
      <x:c r="M341" s="24"/>
      <x:c r="N341" s="24"/>
      <x:c r="O341" s="24"/>
      <x:c r="P341" s="24"/>
      <x:c r="Q341" s="24" t="str">
        <x:v>DISPONÍVEL</x:v>
      </x:c>
      <x:c r="R341" s="24"/>
      <x:c r="S341" s="24" t="n">
        <x:v>35</x:v>
      </x:c>
      <x:c r="T341" s="24" t="str">
        <x:v>tabela_hoya(1).pdf</x:v>
      </x:c>
      <x:c r="U341" s="24" t="str">
        <x:v>HOYA|Especial Digital|Surfaçada|HOYA SYNC III|SENSITY 2|ORGANIC|1.50|No-Risk BlueControl|-8.00 até +3.00||||||35</x:v>
      </x:c>
    </x:row>
    <x:row r="342">
      <x:c r="A342" s="24" t="str">
        <x:v>HY-F1362D0DCB89</x:v>
      </x:c>
      <x:c r="B342" s="24" t="str">
        <x:v>HOYA</x:v>
      </x:c>
      <x:c r="C342" s="24" t="str">
        <x:v>Especial Digital</x:v>
      </x:c>
      <x:c r="D342" s="24" t="str">
        <x:v>Surfaçada</x:v>
      </x:c>
      <x:c r="E342" s="24" t="str">
        <x:v>HOYA SYNC III</x:v>
      </x:c>
      <x:c r="F342" s="24" t="str">
        <x:v>POLARIZADO</x:v>
      </x:c>
      <x:c r="G342" s="24" t="str">
        <x:v>ORGANIC</x:v>
      </x:c>
      <x:c r="H342" s="24" t="str">
        <x:v>1.50</x:v>
      </x:c>
      <x:c r="I342" s="24" t="str">
        <x:v>Hi-Vision Sun Pro</x:v>
      </x:c>
      <x:c r="J342" s="40" t="n">
        <x:v>2649</x:v>
      </x:c>
      <x:c r="K342" s="24" t="str">
        <x:v>-8.00 até +3.00</x:v>
      </x:c>
      <x:c r="L342" s="24"/>
      <x:c r="M342" s="24"/>
      <x:c r="N342" s="24"/>
      <x:c r="O342" s="24"/>
      <x:c r="P342" s="24"/>
      <x:c r="Q342" s="24" t="str">
        <x:v>DISPONÍVEL</x:v>
      </x:c>
      <x:c r="R342" s="24"/>
      <x:c r="S342" s="24" t="n">
        <x:v>35</x:v>
      </x:c>
      <x:c r="T342" s="24" t="str">
        <x:v>tabela_hoya(1).pdf</x:v>
      </x:c>
      <x:c r="U342" s="24" t="str">
        <x:v>HOYA|Especial Digital|Surfaçada|HOYA SYNC III|POLARIZADO|ORGANIC|1.50|Hi-Vision Sun Pro|-8.00 até +3.00||||||35</x:v>
      </x:c>
    </x:row>
    <x:row r="343">
      <x:c r="A343" s="24" t="str">
        <x:v>HY-EC23FB223FE1</x:v>
      </x:c>
      <x:c r="B343" s="24" t="str">
        <x:v>HOYA</x:v>
      </x:c>
      <x:c r="C343" s="24" t="str">
        <x:v>Progressiva Especial</x:v>
      </x:c>
      <x:c r="D343" s="24" t="str">
        <x:v>Surfaçada</x:v>
      </x:c>
      <x:c r="E343" s="24" t="str">
        <x:v>Hoyalux EnRoute</x:v>
      </x:c>
      <x:c r="F343" s="24" t="str">
        <x:v>INCOLOR</x:v>
      </x:c>
      <x:c r="G343" s="24" t="str">
        <x:v>EYNOA</x:v>
      </x:c>
      <x:c r="H343" s="24" t="str">
        <x:v>1.67</x:v>
      </x:c>
      <x:c r="I343" s="24" t="str">
        <x:v>Antirreflexo EnRoute</x:v>
      </x:c>
      <x:c r="J343" s="40" t="n">
        <x:v>4899</x:v>
      </x:c>
      <x:c r="K343" s="24"/>
      <x:c r="L343" s="24"/>
      <x:c r="M343" s="24"/>
      <x:c r="N343" s="24"/>
      <x:c r="O343" s="24"/>
      <x:c r="P343" s="24"/>
      <x:c r="Q343" s="24" t="str">
        <x:v>DISPONÍVEL</x:v>
      </x:c>
      <x:c r="R343" s="24"/>
      <x:c r="S343" s="24" t="n">
        <x:v>36</x:v>
      </x:c>
      <x:c r="T343" s="24" t="str">
        <x:v>tabela_hoya(1).pdf</x:v>
      </x:c>
      <x:c r="U343" s="24" t="str">
        <x:v>HOYA|Progressiva Especial|Surfaçada|Hoyalux EnRoute|INCOLOR|EYNOA|1.67|Antirreflexo EnRoute|||||||36</x:v>
      </x:c>
    </x:row>
    <x:row r="344">
      <x:c r="A344" s="24" t="str">
        <x:v>HY-6D4BFE192A58</x:v>
      </x:c>
      <x:c r="B344" s="24" t="str">
        <x:v>HOYA</x:v>
      </x:c>
      <x:c r="C344" s="24" t="str">
        <x:v>Progressiva Especial</x:v>
      </x:c>
      <x:c r="D344" s="24" t="str">
        <x:v>Surfaçada</x:v>
      </x:c>
      <x:c r="E344" s="24" t="str">
        <x:v>Hoyalux Sportive</x:v>
      </x:c>
      <x:c r="F344" s="24" t="str">
        <x:v>INCOLOR</x:v>
      </x:c>
      <x:c r="G344" s="24" t="str">
        <x:v>EYNOA</x:v>
      </x:c>
      <x:c r="H344" s="24" t="str">
        <x:v>1.67</x:v>
      </x:c>
      <x:c r="I344" s="24" t="str">
        <x:v>Hi-Vision LongLife BlueControl</x:v>
      </x:c>
      <x:c r="J344" s="40" t="n">
        <x:v>5069</x:v>
      </x:c>
      <x:c r="K344" s="24" t="str">
        <x:v>-5.00 até +4.00</x:v>
      </x:c>
      <x:c r="L344" s="24"/>
      <x:c r="M344" s="24"/>
      <x:c r="N344" s="24"/>
      <x:c r="O344" s="24"/>
      <x:c r="P344" s="24"/>
      <x:c r="Q344" s="24" t="str">
        <x:v>DISPONÍVEL</x:v>
      </x:c>
      <x:c r="R344" s="24"/>
      <x:c r="S344" s="24" t="n">
        <x:v>38</x:v>
      </x:c>
      <x:c r="T344" s="24" t="str">
        <x:v>tabela_hoya(1).pdf</x:v>
      </x:c>
      <x:c r="U344" s="24" t="str">
        <x:v>HOYA|Progressiva Especial|Surfaçada|Hoyalux Sportive|INCOLOR|EYNOA|1.67|Hi-Vision LongLife BlueControl|-5.00 até +4.00||||||38</x:v>
      </x:c>
    </x:row>
    <x:row r="345">
      <x:c r="A345" s="24" t="str">
        <x:v>HY-385EC8844F6F</x:v>
      </x:c>
      <x:c r="B345" s="24" t="str">
        <x:v>HOYA</x:v>
      </x:c>
      <x:c r="C345" s="24" t="str">
        <x:v>Progressiva Especial</x:v>
      </x:c>
      <x:c r="D345" s="24" t="str">
        <x:v>Surfaçada</x:v>
      </x:c>
      <x:c r="E345" s="24" t="str">
        <x:v>Hoyalux Sportive</x:v>
      </x:c>
      <x:c r="F345" s="24" t="str">
        <x:v>INCOLOR</x:v>
      </x:c>
      <x:c r="G345" s="24" t="str">
        <x:v>EYAS 2.0</x:v>
      </x:c>
      <x:c r="H345" s="24" t="str">
        <x:v>1.60</x:v>
      </x:c>
      <x:c r="I345" s="24" t="str">
        <x:v>Hi-Vision LongLife BlueControl</x:v>
      </x:c>
      <x:c r="J345" s="40" t="n">
        <x:v>4609</x:v>
      </x:c>
      <x:c r="K345" s="24" t="str">
        <x:v>-5.00 até +4.00</x:v>
      </x:c>
      <x:c r="L345" s="24"/>
      <x:c r="M345" s="24"/>
      <x:c r="N345" s="24"/>
      <x:c r="O345" s="24"/>
      <x:c r="P345" s="24"/>
      <x:c r="Q345" s="24" t="str">
        <x:v>DISPONÍVEL</x:v>
      </x:c>
      <x:c r="R345" s="24"/>
      <x:c r="S345" s="24" t="n">
        <x:v>38</x:v>
      </x:c>
      <x:c r="T345" s="24" t="str">
        <x:v>tabela_hoya(1).pdf</x:v>
      </x:c>
      <x:c r="U345" s="24" t="str">
        <x:v>HOYA|Progressiva Especial|Surfaçada|Hoyalux Sportive|INCOLOR|EYAS 2.0|1.60|Hi-Vision LongLife BlueControl|-5.00 até +4.00||||||38</x:v>
      </x:c>
    </x:row>
    <x:row r="346">
      <x:c r="A346" s="24" t="str">
        <x:v>HY-AF8806ADC81D</x:v>
      </x:c>
      <x:c r="B346" s="24" t="str">
        <x:v>HOYA</x:v>
      </x:c>
      <x:c r="C346" s="24" t="str">
        <x:v>Progressiva Especial</x:v>
      </x:c>
      <x:c r="D346" s="24" t="str">
        <x:v>Surfaçada</x:v>
      </x:c>
      <x:c r="E346" s="24" t="str">
        <x:v>Hoyalux Sportive</x:v>
      </x:c>
      <x:c r="F346" s="24" t="str">
        <x:v>INCOLOR</x:v>
      </x:c>
      <x:c r="G346" s="24" t="str">
        <x:v>PNX</x:v>
      </x:c>
      <x:c r="H346" s="24" t="str">
        <x:v>1.53</x:v>
      </x:c>
      <x:c r="I346" s="24" t="str">
        <x:v>Hi-Vision LongLife BlueControl</x:v>
      </x:c>
      <x:c r="J346" s="40" t="n">
        <x:v>4259</x:v>
      </x:c>
      <x:c r="K346" s="24" t="str">
        <x:v>-5.00 até +4.00</x:v>
      </x:c>
      <x:c r="L346" s="24"/>
      <x:c r="M346" s="24"/>
      <x:c r="N346" s="24"/>
      <x:c r="O346" s="24"/>
      <x:c r="P346" s="24"/>
      <x:c r="Q346" s="24" t="str">
        <x:v>DISPONÍVEL</x:v>
      </x:c>
      <x:c r="R346" s="24"/>
      <x:c r="S346" s="24" t="n">
        <x:v>38</x:v>
      </x:c>
      <x:c r="T346" s="24" t="str">
        <x:v>tabela_hoya(1).pdf</x:v>
      </x:c>
      <x:c r="U346" s="24" t="str">
        <x:v>HOYA|Progressiva Especial|Surfaçada|Hoyalux Sportive|INCOLOR|PNX|1.53|Hi-Vision LongLife BlueControl|-5.00 até +4.00||||||38</x:v>
      </x:c>
    </x:row>
    <x:row r="347">
      <x:c r="A347" s="24" t="str">
        <x:v>HY-1405B4572EFE</x:v>
      </x:c>
      <x:c r="B347" s="24" t="str">
        <x:v>HOYA</x:v>
      </x:c>
      <x:c r="C347" s="24" t="str">
        <x:v>Progressiva Especial</x:v>
      </x:c>
      <x:c r="D347" s="24" t="str">
        <x:v>Surfaçada</x:v>
      </x:c>
      <x:c r="E347" s="24" t="str">
        <x:v>Hoyalux Sportive</x:v>
      </x:c>
      <x:c r="F347" s="24" t="str">
        <x:v>INCOLOR</x:v>
      </x:c>
      <x:c r="G347" s="24" t="str">
        <x:v>EYNOA</x:v>
      </x:c>
      <x:c r="H347" s="24" t="str">
        <x:v>1.67</x:v>
      </x:c>
      <x:c r="I347" s="24" t="str">
        <x:v>No-Risk BlueControl</x:v>
      </x:c>
      <x:c r="J347" s="40" t="n">
        <x:v>4819</x:v>
      </x:c>
      <x:c r="K347" s="24" t="str">
        <x:v>-5.00 até +4.00</x:v>
      </x:c>
      <x:c r="L347" s="24"/>
      <x:c r="M347" s="24"/>
      <x:c r="N347" s="24"/>
      <x:c r="O347" s="24"/>
      <x:c r="P347" s="24"/>
      <x:c r="Q347" s="24" t="str">
        <x:v>DISPONÍVEL</x:v>
      </x:c>
      <x:c r="R347" s="24"/>
      <x:c r="S347" s="24" t="n">
        <x:v>38</x:v>
      </x:c>
      <x:c r="T347" s="24" t="str">
        <x:v>tabela_hoya(1).pdf</x:v>
      </x:c>
      <x:c r="U347" s="24" t="str">
        <x:v>HOYA|Progressiva Especial|Surfaçada|Hoyalux Sportive|INCOLOR|EYNOA|1.67|No-Risk BlueControl|-5.00 até +4.00||||||38</x:v>
      </x:c>
    </x:row>
    <x:row r="348">
      <x:c r="A348" s="24" t="str">
        <x:v>HY-9D9F43C28B5E</x:v>
      </x:c>
      <x:c r="B348" s="24" t="str">
        <x:v>HOYA</x:v>
      </x:c>
      <x:c r="C348" s="24" t="str">
        <x:v>Progressiva Especial</x:v>
      </x:c>
      <x:c r="D348" s="24" t="str">
        <x:v>Surfaçada</x:v>
      </x:c>
      <x:c r="E348" s="24" t="str">
        <x:v>Hoyalux Sportive</x:v>
      </x:c>
      <x:c r="F348" s="24" t="str">
        <x:v>INCOLOR</x:v>
      </x:c>
      <x:c r="G348" s="24" t="str">
        <x:v>EYAS 2.0</x:v>
      </x:c>
      <x:c r="H348" s="24" t="str">
        <x:v>1.60</x:v>
      </x:c>
      <x:c r="I348" s="24" t="str">
        <x:v>No-Risk BlueControl</x:v>
      </x:c>
      <x:c r="J348" s="40" t="n">
        <x:v>4359</x:v>
      </x:c>
      <x:c r="K348" s="24" t="str">
        <x:v>-5.00 até +4.00</x:v>
      </x:c>
      <x:c r="L348" s="24"/>
      <x:c r="M348" s="24"/>
      <x:c r="N348" s="24"/>
      <x:c r="O348" s="24"/>
      <x:c r="P348" s="24"/>
      <x:c r="Q348" s="24" t="str">
        <x:v>DISPONÍVEL</x:v>
      </x:c>
      <x:c r="R348" s="24"/>
      <x:c r="S348" s="24" t="n">
        <x:v>38</x:v>
      </x:c>
      <x:c r="T348" s="24" t="str">
        <x:v>tabela_hoya(1).pdf</x:v>
      </x:c>
      <x:c r="U348" s="24" t="str">
        <x:v>HOYA|Progressiva Especial|Surfaçada|Hoyalux Sportive|INCOLOR|EYAS 2.0|1.60|No-Risk BlueControl|-5.00 até +4.00||||||38</x:v>
      </x:c>
    </x:row>
    <x:row r="349">
      <x:c r="A349" s="24" t="str">
        <x:v>HY-A53531A7808A</x:v>
      </x:c>
      <x:c r="B349" s="24" t="str">
        <x:v>HOYA</x:v>
      </x:c>
      <x:c r="C349" s="24" t="str">
        <x:v>Progressiva Especial</x:v>
      </x:c>
      <x:c r="D349" s="24" t="str">
        <x:v>Surfaçada</x:v>
      </x:c>
      <x:c r="E349" s="24" t="str">
        <x:v>Hoyalux Sportive</x:v>
      </x:c>
      <x:c r="F349" s="24" t="str">
        <x:v>INCOLOR</x:v>
      </x:c>
      <x:c r="G349" s="24" t="str">
        <x:v>PNX</x:v>
      </x:c>
      <x:c r="H349" s="24" t="str">
        <x:v>1.53</x:v>
      </x:c>
      <x:c r="I349" s="24" t="str">
        <x:v>No-Risk BlueControl</x:v>
      </x:c>
      <x:c r="J349" s="40" t="n">
        <x:v>4009</x:v>
      </x:c>
      <x:c r="K349" s="24" t="str">
        <x:v>-5.00 até +4.00</x:v>
      </x:c>
      <x:c r="L349" s="24"/>
      <x:c r="M349" s="24"/>
      <x:c r="N349" s="24"/>
      <x:c r="O349" s="24"/>
      <x:c r="P349" s="24"/>
      <x:c r="Q349" s="24" t="str">
        <x:v>DISPONÍVEL</x:v>
      </x:c>
      <x:c r="R349" s="24"/>
      <x:c r="S349" s="24" t="n">
        <x:v>38</x:v>
      </x:c>
      <x:c r="T349" s="24" t="str">
        <x:v>tabela_hoya(1).pdf</x:v>
      </x:c>
      <x:c r="U349" s="24" t="str">
        <x:v>HOYA|Progressiva Especial|Surfaçada|Hoyalux Sportive|INCOLOR|PNX|1.53|No-Risk BlueControl|-5.00 até +4.00||||||38</x:v>
      </x:c>
    </x:row>
    <x:row r="350">
      <x:c r="A350" s="24" t="str">
        <x:v>HY-A9DD63F2470E</x:v>
      </x:c>
      <x:c r="B350" s="24" t="str">
        <x:v>HOYA</x:v>
      </x:c>
      <x:c r="C350" s="24" t="str">
        <x:v>Progressiva Especial</x:v>
      </x:c>
      <x:c r="D350" s="24" t="str">
        <x:v>Surfaçada</x:v>
      </x:c>
      <x:c r="E350" s="24" t="str">
        <x:v>Hoyalux Sportive</x:v>
      </x:c>
      <x:c r="F350" s="24" t="str">
        <x:v>INCOLOR</x:v>
      </x:c>
      <x:c r="G350" s="24" t="str">
        <x:v>EYNOA</x:v>
      </x:c>
      <x:c r="H350" s="24" t="str">
        <x:v>1.67</x:v>
      </x:c>
      <x:c r="I350" s="24" t="str">
        <x:v>Hi-Vision Hard</x:v>
      </x:c>
      <x:c r="J350" s="40" t="n">
        <x:v>4409</x:v>
      </x:c>
      <x:c r="K350" s="24" t="str">
        <x:v>-5.00 até +4.00</x:v>
      </x:c>
      <x:c r="L350" s="24"/>
      <x:c r="M350" s="24"/>
      <x:c r="N350" s="24"/>
      <x:c r="O350" s="24"/>
      <x:c r="P350" s="24"/>
      <x:c r="Q350" s="24" t="str">
        <x:v>DISPONÍVEL</x:v>
      </x:c>
      <x:c r="R350" s="24"/>
      <x:c r="S350" s="24" t="n">
        <x:v>38</x:v>
      </x:c>
      <x:c r="T350" s="24" t="str">
        <x:v>tabela_hoya(1).pdf</x:v>
      </x:c>
      <x:c r="U350" s="24" t="str">
        <x:v>HOYA|Progressiva Especial|Surfaçada|Hoyalux Sportive|INCOLOR|EYNOA|1.67|Hi-Vision Hard|-5.00 até +4.00||||||38</x:v>
      </x:c>
    </x:row>
    <x:row r="351">
      <x:c r="A351" s="24" t="str">
        <x:v>HY-F89FB57D4DCA</x:v>
      </x:c>
      <x:c r="B351" s="24" t="str">
        <x:v>HOYA</x:v>
      </x:c>
      <x:c r="C351" s="24" t="str">
        <x:v>Progressiva Especial</x:v>
      </x:c>
      <x:c r="D351" s="24" t="str">
        <x:v>Surfaçada</x:v>
      </x:c>
      <x:c r="E351" s="24" t="str">
        <x:v>Hoyalux Sportive</x:v>
      </x:c>
      <x:c r="F351" s="24" t="str">
        <x:v>INCOLOR</x:v>
      </x:c>
      <x:c r="G351" s="24" t="str">
        <x:v>EYAS 2.0</x:v>
      </x:c>
      <x:c r="H351" s="24" t="str">
        <x:v>1.60</x:v>
      </x:c>
      <x:c r="I351" s="24" t="str">
        <x:v>Hi-Vision Hard</x:v>
      </x:c>
      <x:c r="J351" s="40" t="n">
        <x:v>3949</x:v>
      </x:c>
      <x:c r="K351" s="24" t="str">
        <x:v>-5.00 até +4.00</x:v>
      </x:c>
      <x:c r="L351" s="24"/>
      <x:c r="M351" s="24"/>
      <x:c r="N351" s="24"/>
      <x:c r="O351" s="24"/>
      <x:c r="P351" s="24"/>
      <x:c r="Q351" s="24" t="str">
        <x:v>DISPONÍVEL</x:v>
      </x:c>
      <x:c r="R351" s="24"/>
      <x:c r="S351" s="24" t="n">
        <x:v>38</x:v>
      </x:c>
      <x:c r="T351" s="24" t="str">
        <x:v>tabela_hoya(1).pdf</x:v>
      </x:c>
      <x:c r="U351" s="24" t="str">
        <x:v>HOYA|Progressiva Especial|Surfaçada|Hoyalux Sportive|INCOLOR|EYAS 2.0|1.60|Hi-Vision Hard|-5.00 até +4.00||||||38</x:v>
      </x:c>
    </x:row>
    <x:row r="352">
      <x:c r="A352" s="24" t="str">
        <x:v>HY-047BA92757AF</x:v>
      </x:c>
      <x:c r="B352" s="24" t="str">
        <x:v>HOYA</x:v>
      </x:c>
      <x:c r="C352" s="24" t="str">
        <x:v>Progressiva Especial</x:v>
      </x:c>
      <x:c r="D352" s="24" t="str">
        <x:v>Surfaçada</x:v>
      </x:c>
      <x:c r="E352" s="24" t="str">
        <x:v>Hoyalux Sportive</x:v>
      </x:c>
      <x:c r="F352" s="24" t="str">
        <x:v>INCOLOR</x:v>
      </x:c>
      <x:c r="G352" s="24" t="str">
        <x:v>PNX</x:v>
      </x:c>
      <x:c r="H352" s="24" t="str">
        <x:v>1.53</x:v>
      </x:c>
      <x:c r="I352" s="24" t="str">
        <x:v>Hi-Vision Hard</x:v>
      </x:c>
      <x:c r="J352" s="40" t="n">
        <x:v>3599</x:v>
      </x:c>
      <x:c r="K352" s="24" t="str">
        <x:v>-5.00 até +4.00</x:v>
      </x:c>
      <x:c r="L352" s="24"/>
      <x:c r="M352" s="24"/>
      <x:c r="N352" s="24"/>
      <x:c r="O352" s="24"/>
      <x:c r="P352" s="24"/>
      <x:c r="Q352" s="24" t="str">
        <x:v>DISPONÍVEL</x:v>
      </x:c>
      <x:c r="R352" s="24"/>
      <x:c r="S352" s="24" t="n">
        <x:v>38</x:v>
      </x:c>
      <x:c r="T352" s="24" t="str">
        <x:v>tabela_hoya(1).pdf</x:v>
      </x:c>
      <x:c r="U352" s="24" t="str">
        <x:v>HOYA|Progressiva Especial|Surfaçada|Hoyalux Sportive|INCOLOR|PNX|1.53|Hi-Vision Hard|-5.00 até +4.00||||||38</x:v>
      </x:c>
    </x:row>
    <x:row r="353">
      <x:c r="A353" s="24" t="str">
        <x:v>HY-49021C833D23</x:v>
      </x:c>
      <x:c r="B353" s="24" t="str">
        <x:v>HOYA</x:v>
      </x:c>
      <x:c r="C353" s="24" t="str">
        <x:v>Progressiva Especial</x:v>
      </x:c>
      <x:c r="D353" s="24" t="str">
        <x:v>Surfaçada</x:v>
      </x:c>
      <x:c r="E353" s="24" t="str">
        <x:v>Hoyalux Sportive</x:v>
      </x:c>
      <x:c r="F353" s="24" t="str">
        <x:v>COLORIDAS</x:v>
      </x:c>
      <x:c r="G353" s="24" t="str">
        <x:v>EYNOA</x:v>
      </x:c>
      <x:c r="H353" s="24" t="str">
        <x:v>1.67</x:v>
      </x:c>
      <x:c r="I353" s="24" t="str">
        <x:v>Hi-Vision Sun Pro</x:v>
      </x:c>
      <x:c r="J353" s="40" t="n">
        <x:v>5109</x:v>
      </x:c>
      <x:c r="K353" s="24" t="str">
        <x:v>-5.00 até +4.00</x:v>
      </x:c>
      <x:c r="L353" s="24"/>
      <x:c r="M353" s="24"/>
      <x:c r="N353" s="24"/>
      <x:c r="O353" s="24"/>
      <x:c r="P353" s="24"/>
      <x:c r="Q353" s="24" t="str">
        <x:v>DISPONÍVEL</x:v>
      </x:c>
      <x:c r="R353" s="24"/>
      <x:c r="S353" s="24" t="n">
        <x:v>38</x:v>
      </x:c>
      <x:c r="T353" s="24" t="str">
        <x:v>tabela_hoya(1).pdf</x:v>
      </x:c>
      <x:c r="U353" s="24" t="str">
        <x:v>HOYA|Progressiva Especial|Surfaçada|Hoyalux Sportive|COLORIDAS|EYNOA|1.67|Hi-Vision Sun Pro|-5.00 até +4.00||||||38</x:v>
      </x:c>
    </x:row>
    <x:row r="354">
      <x:c r="A354" s="24" t="str">
        <x:v>HY-85C83666736B</x:v>
      </x:c>
      <x:c r="B354" s="24" t="str">
        <x:v>HOYA</x:v>
      </x:c>
      <x:c r="C354" s="24" t="str">
        <x:v>Progressiva Especial</x:v>
      </x:c>
      <x:c r="D354" s="24" t="str">
        <x:v>Surfaçada</x:v>
      </x:c>
      <x:c r="E354" s="24" t="str">
        <x:v>Hoyalux Sportive</x:v>
      </x:c>
      <x:c r="F354" s="24" t="str">
        <x:v>COLORIDAS</x:v>
      </x:c>
      <x:c r="G354" s="24" t="str">
        <x:v>EYAS 2.0</x:v>
      </x:c>
      <x:c r="H354" s="24" t="str">
        <x:v>1.60</x:v>
      </x:c>
      <x:c r="I354" s="24" t="str">
        <x:v>Hi-Vision Sun Pro</x:v>
      </x:c>
      <x:c r="J354" s="40" t="n">
        <x:v>4649</x:v>
      </x:c>
      <x:c r="K354" s="24" t="str">
        <x:v>-5.00 até +4.00</x:v>
      </x:c>
      <x:c r="L354" s="24"/>
      <x:c r="M354" s="24"/>
      <x:c r="N354" s="24"/>
      <x:c r="O354" s="24"/>
      <x:c r="P354" s="24"/>
      <x:c r="Q354" s="24" t="str">
        <x:v>DISPONÍVEL</x:v>
      </x:c>
      <x:c r="R354" s="24"/>
      <x:c r="S354" s="24" t="n">
        <x:v>38</x:v>
      </x:c>
      <x:c r="T354" s="24" t="str">
        <x:v>tabela_hoya(1).pdf</x:v>
      </x:c>
      <x:c r="U354" s="24" t="str">
        <x:v>HOYA|Progressiva Especial|Surfaçada|Hoyalux Sportive|COLORIDAS|EYAS 2.0|1.60|Hi-Vision Sun Pro|-5.00 até +4.00||||||38</x:v>
      </x:c>
    </x:row>
    <x:row r="355">
      <x:c r="A355" s="24" t="str">
        <x:v>HY-5A9678A0DE25</x:v>
      </x:c>
      <x:c r="B355" s="24" t="str">
        <x:v>HOYA</x:v>
      </x:c>
      <x:c r="C355" s="24" t="str">
        <x:v>Progressiva Especial</x:v>
      </x:c>
      <x:c r="D355" s="24" t="str">
        <x:v>Surfaçada</x:v>
      </x:c>
      <x:c r="E355" s="24" t="str">
        <x:v>Hoyalux Sportive</x:v>
      </x:c>
      <x:c r="F355" s="24" t="str">
        <x:v>COLORIDAS</x:v>
      </x:c>
      <x:c r="G355" s="24" t="str">
        <x:v>PNX</x:v>
      </x:c>
      <x:c r="H355" s="24" t="str">
        <x:v>1.53</x:v>
      </x:c>
      <x:c r="I355" s="24" t="str">
        <x:v>Hi-Vision Sun Pro</x:v>
      </x:c>
      <x:c r="J355" s="40" t="n">
        <x:v>4299</x:v>
      </x:c>
      <x:c r="K355" s="24" t="str">
        <x:v>-5.00 até +4.00</x:v>
      </x:c>
      <x:c r="L355" s="24"/>
      <x:c r="M355" s="24"/>
      <x:c r="N355" s="24"/>
      <x:c r="O355" s="24"/>
      <x:c r="P355" s="24"/>
      <x:c r="Q355" s="24" t="str">
        <x:v>DISPONÍVEL</x:v>
      </x:c>
      <x:c r="R355" s="24"/>
      <x:c r="S355" s="24" t="n">
        <x:v>38</x:v>
      </x:c>
      <x:c r="T355" s="24" t="str">
        <x:v>tabela_hoya(1).pdf</x:v>
      </x:c>
      <x:c r="U355" s="24" t="str">
        <x:v>HOYA|Progressiva Especial|Surfaçada|Hoyalux Sportive|COLORIDAS|PNX|1.53|Hi-Vision Sun Pro|-5.00 até +4.00||||||38</x:v>
      </x:c>
    </x:row>
    <x:row r="356">
      <x:c r="A356" s="24" t="str">
        <x:v>HY-AF4326F54D80</x:v>
      </x:c>
      <x:c r="B356" s="24" t="str">
        <x:v>HOYA</x:v>
      </x:c>
      <x:c r="C356" s="24" t="str">
        <x:v>Progressiva Especial</x:v>
      </x:c>
      <x:c r="D356" s="24" t="str">
        <x:v>Surfaçada</x:v>
      </x:c>
      <x:c r="E356" s="24" t="str">
        <x:v>Hoyalux Sportive</x:v>
      </x:c>
      <x:c r="F356" s="24" t="str">
        <x:v>POLARIZADO</x:v>
      </x:c>
      <x:c r="G356" s="24" t="str">
        <x:v>EYNOA</x:v>
      </x:c>
      <x:c r="H356" s="24" t="str">
        <x:v>1.67</x:v>
      </x:c>
      <x:c r="I356" s="24" t="str">
        <x:v>Hi-Vision Sun Pro</x:v>
      </x:c>
      <x:c r="J356" s="40" t="n">
        <x:v>5969</x:v>
      </x:c>
      <x:c r="K356" s="24" t="str">
        <x:v>-5.00 até +4.00</x:v>
      </x:c>
      <x:c r="L356" s="24"/>
      <x:c r="M356" s="24"/>
      <x:c r="N356" s="24"/>
      <x:c r="O356" s="24"/>
      <x:c r="P356" s="24"/>
      <x:c r="Q356" s="24" t="str">
        <x:v>DISPONÍVEL</x:v>
      </x:c>
      <x:c r="R356" s="24"/>
      <x:c r="S356" s="24" t="n">
        <x:v>38</x:v>
      </x:c>
      <x:c r="T356" s="24" t="str">
        <x:v>tabela_hoya(1).pdf</x:v>
      </x:c>
      <x:c r="U356" s="24" t="str">
        <x:v>HOYA|Progressiva Especial|Surfaçada|Hoyalux Sportive|POLARIZADO|EYNOA|1.67|Hi-Vision Sun Pro|-5.00 até +4.00||||||38</x:v>
      </x:c>
    </x:row>
    <x:row r="357">
      <x:c r="A357" s="24" t="str">
        <x:v>HY-AB4CD30B289A</x:v>
      </x:c>
      <x:c r="B357" s="24" t="str">
        <x:v>HOYA</x:v>
      </x:c>
      <x:c r="C357" s="24" t="str">
        <x:v>Progressiva Especial</x:v>
      </x:c>
      <x:c r="D357" s="24" t="str">
        <x:v>Surfaçada</x:v>
      </x:c>
      <x:c r="E357" s="24" t="str">
        <x:v>Hoyalux Sportive</x:v>
      </x:c>
      <x:c r="F357" s="24" t="str">
        <x:v>POLARIZADO</x:v>
      </x:c>
      <x:c r="G357" s="24" t="str">
        <x:v>PNX</x:v>
      </x:c>
      <x:c r="H357" s="24" t="str">
        <x:v>1.53</x:v>
      </x:c>
      <x:c r="I357" s="24" t="str">
        <x:v>Hi-Vision Sun Pro</x:v>
      </x:c>
      <x:c r="J357" s="40" t="n">
        <x:v>5159</x:v>
      </x:c>
      <x:c r="K357" s="24" t="str">
        <x:v>-5.00 até +4.00</x:v>
      </x:c>
      <x:c r="L357" s="24"/>
      <x:c r="M357" s="24"/>
      <x:c r="N357" s="24"/>
      <x:c r="O357" s="24"/>
      <x:c r="P357" s="24"/>
      <x:c r="Q357" s="24" t="str">
        <x:v>DISPONÍVEL</x:v>
      </x:c>
      <x:c r="R357" s="24"/>
      <x:c r="S357" s="24" t="n">
        <x:v>38</x:v>
      </x:c>
      <x:c r="T357" s="24" t="str">
        <x:v>tabela_hoya(1).pdf</x:v>
      </x:c>
      <x:c r="U357" s="24" t="str">
        <x:v>HOYA|Progressiva Especial|Surfaçada|Hoyalux Sportive|POLARIZADO|PNX|1.53|Hi-Vision Sun Pro|-5.00 até +4.00||||||38</x:v>
      </x:c>
    </x:row>
    <x:row r="358">
      <x:c r="A358" s="24" t="str">
        <x:v>HY-12EAF122CF85</x:v>
      </x:c>
      <x:c r="B358" s="24" t="str">
        <x:v>HOYA</x:v>
      </x:c>
      <x:c r="C358" s="24" t="str">
        <x:v>Progressiva Especial</x:v>
      </x:c>
      <x:c r="D358" s="24" t="str">
        <x:v>Surfaçada</x:v>
      </x:c>
      <x:c r="E358" s="24" t="str">
        <x:v>Hoyalux Sportive</x:v>
      </x:c>
      <x:c r="F358" s="24" t="str">
        <x:v>SENSITY 2</x:v>
      </x:c>
      <x:c r="G358" s="24" t="str">
        <x:v>EYAS 2.0</x:v>
      </x:c>
      <x:c r="H358" s="24" t="str">
        <x:v>1.60</x:v>
      </x:c>
      <x:c r="I358" s="24" t="str">
        <x:v>Hi-Vision LongLife BlueControl</x:v>
      </x:c>
      <x:c r="J358" s="40" t="n">
        <x:v>6009</x:v>
      </x:c>
      <x:c r="K358" s="24" t="str">
        <x:v>-5.00 até +4.00</x:v>
      </x:c>
      <x:c r="L358" s="24"/>
      <x:c r="M358" s="24"/>
      <x:c r="N358" s="24"/>
      <x:c r="O358" s="24"/>
      <x:c r="P358" s="24"/>
      <x:c r="Q358" s="24" t="str">
        <x:v>DISPONÍVEL</x:v>
      </x:c>
      <x:c r="R358" s="24"/>
      <x:c r="S358" s="24" t="n">
        <x:v>38</x:v>
      </x:c>
      <x:c r="T358" s="24" t="str">
        <x:v>tabela_hoya(1).pdf</x:v>
      </x:c>
      <x:c r="U358" s="24" t="str">
        <x:v>HOYA|Progressiva Especial|Surfaçada|Hoyalux Sportive|SENSITY 2|EYAS 2.0|1.60|Hi-Vision LongLife BlueControl|-5.00 até +4.00||||||38</x:v>
      </x:c>
    </x:row>
    <x:row r="359">
      <x:c r="A359" s="24" t="str">
        <x:v>HY-199E0265507F</x:v>
      </x:c>
      <x:c r="B359" s="24" t="str">
        <x:v>HOYA</x:v>
      </x:c>
      <x:c r="C359" s="24" t="str">
        <x:v>Progressiva Especial</x:v>
      </x:c>
      <x:c r="D359" s="24" t="str">
        <x:v>Surfaçada</x:v>
      </x:c>
      <x:c r="E359" s="24" t="str">
        <x:v>Hoyalux Sportive</x:v>
      </x:c>
      <x:c r="F359" s="24" t="str">
        <x:v>SENSITY 2</x:v>
      </x:c>
      <x:c r="G359" s="24" t="str">
        <x:v>PNX</x:v>
      </x:c>
      <x:c r="H359" s="24" t="str">
        <x:v>1.53</x:v>
      </x:c>
      <x:c r="I359" s="24" t="str">
        <x:v>Hi-Vision LongLife BlueControl</x:v>
      </x:c>
      <x:c r="J359" s="40" t="n">
        <x:v>5659</x:v>
      </x:c>
      <x:c r="K359" s="24" t="str">
        <x:v>-5.00 até +4.00</x:v>
      </x:c>
      <x:c r="L359" s="24"/>
      <x:c r="M359" s="24"/>
      <x:c r="N359" s="24"/>
      <x:c r="O359" s="24"/>
      <x:c r="P359" s="24"/>
      <x:c r="Q359" s="24" t="str">
        <x:v>DISPONÍVEL</x:v>
      </x:c>
      <x:c r="R359" s="24"/>
      <x:c r="S359" s="24" t="n">
        <x:v>38</x:v>
      </x:c>
      <x:c r="T359" s="24" t="str">
        <x:v>tabela_hoya(1).pdf</x:v>
      </x:c>
      <x:c r="U359" s="24" t="str">
        <x:v>HOYA|Progressiva Especial|Surfaçada|Hoyalux Sportive|SENSITY 2|PNX|1.53|Hi-Vision LongLife BlueControl|-5.00 até +4.00||||||38</x:v>
      </x:c>
    </x:row>
    <x:row r="360">
      <x:c r="A360" s="24" t="str">
        <x:v>HY-5BDCC72C96CE</x:v>
      </x:c>
      <x:c r="B360" s="24" t="str">
        <x:v>HOYA</x:v>
      </x:c>
      <x:c r="C360" s="24" t="str">
        <x:v>Progressiva Especial</x:v>
      </x:c>
      <x:c r="D360" s="24" t="str">
        <x:v>Surfaçada</x:v>
      </x:c>
      <x:c r="E360" s="24" t="str">
        <x:v>Hoyalux Sportive</x:v>
      </x:c>
      <x:c r="F360" s="24" t="str">
        <x:v>SENSITY 2</x:v>
      </x:c>
      <x:c r="G360" s="24" t="str">
        <x:v>EYAS 2.0</x:v>
      </x:c>
      <x:c r="H360" s="24" t="str">
        <x:v>1.60</x:v>
      </x:c>
      <x:c r="I360" s="24" t="str">
        <x:v>No-Risk BlueControl</x:v>
      </x:c>
      <x:c r="J360" s="40" t="n">
        <x:v>5759</x:v>
      </x:c>
      <x:c r="K360" s="24" t="str">
        <x:v>-5.00 até +4.00</x:v>
      </x:c>
      <x:c r="L360" s="24"/>
      <x:c r="M360" s="24"/>
      <x:c r="N360" s="24"/>
      <x:c r="O360" s="24"/>
      <x:c r="P360" s="24"/>
      <x:c r="Q360" s="24" t="str">
        <x:v>DISPONÍVEL</x:v>
      </x:c>
      <x:c r="R360" s="24"/>
      <x:c r="S360" s="24" t="n">
        <x:v>38</x:v>
      </x:c>
      <x:c r="T360" s="24" t="str">
        <x:v>tabela_hoya(1).pdf</x:v>
      </x:c>
      <x:c r="U360" s="24" t="str">
        <x:v>HOYA|Progressiva Especial|Surfaçada|Hoyalux Sportive|SENSITY 2|EYAS 2.0|1.60|No-Risk BlueControl|-5.00 até +4.00||||||38</x:v>
      </x:c>
    </x:row>
    <x:row r="361">
      <x:c r="A361" s="24" t="str">
        <x:v>HY-DB93176BAFE7</x:v>
      </x:c>
      <x:c r="B361" s="24" t="str">
        <x:v>HOYA</x:v>
      </x:c>
      <x:c r="C361" s="24" t="str">
        <x:v>Progressiva Especial</x:v>
      </x:c>
      <x:c r="D361" s="24" t="str">
        <x:v>Surfaçada</x:v>
      </x:c>
      <x:c r="E361" s="24" t="str">
        <x:v>Hoyalux Sportive</x:v>
      </x:c>
      <x:c r="F361" s="24" t="str">
        <x:v>SENSITY 2</x:v>
      </x:c>
      <x:c r="G361" s="24" t="str">
        <x:v>PNX</x:v>
      </x:c>
      <x:c r="H361" s="24" t="str">
        <x:v>1.53</x:v>
      </x:c>
      <x:c r="I361" s="24" t="str">
        <x:v>No-Risk BlueControl</x:v>
      </x:c>
      <x:c r="J361" s="40" t="n">
        <x:v>5409</x:v>
      </x:c>
      <x:c r="K361" s="24" t="str">
        <x:v>-5.00 até +4.00</x:v>
      </x:c>
      <x:c r="L361" s="24"/>
      <x:c r="M361" s="24"/>
      <x:c r="N361" s="24"/>
      <x:c r="O361" s="24"/>
      <x:c r="P361" s="24"/>
      <x:c r="Q361" s="24" t="str">
        <x:v>DISPONÍVEL</x:v>
      </x:c>
      <x:c r="R361" s="24"/>
      <x:c r="S361" s="24" t="n">
        <x:v>38</x:v>
      </x:c>
      <x:c r="T361" s="24" t="str">
        <x:v>tabela_hoya(1).pdf</x:v>
      </x:c>
      <x:c r="U361" s="24" t="str">
        <x:v>HOYA|Progressiva Especial|Surfaçada|Hoyalux Sportive|SENSITY 2|PNX|1.53|No-Risk BlueControl|-5.00 até +4.00||||||38</x:v>
      </x:c>
    </x:row>
    <x:row r="362">
      <x:c r="A362" s="24" t="str">
        <x:v>HY-1DD80C482175</x:v>
      </x:c>
      <x:c r="B362" s="24" t="str">
        <x:v>HOYA</x:v>
      </x:c>
      <x:c r="C362" s="24" t="str">
        <x:v>Progressiva Especial</x:v>
      </x:c>
      <x:c r="D362" s="24" t="str">
        <x:v>Surfaçada</x:v>
      </x:c>
      <x:c r="E362" s="24" t="str">
        <x:v>Hoyalux Sportive</x:v>
      </x:c>
      <x:c r="F362" s="24" t="str">
        <x:v>SENSITY 2</x:v>
      </x:c>
      <x:c r="G362" s="24" t="str">
        <x:v>EYAS 2.0</x:v>
      </x:c>
      <x:c r="H362" s="24" t="str">
        <x:v>1.60</x:v>
      </x:c>
      <x:c r="I362" s="24" t="str">
        <x:v>Hi-Vision Hard</x:v>
      </x:c>
      <x:c r="J362" s="40" t="n">
        <x:v>5349</x:v>
      </x:c>
      <x:c r="K362" s="24" t="str">
        <x:v>-5.00 até +4.00</x:v>
      </x:c>
      <x:c r="L362" s="24"/>
      <x:c r="M362" s="24"/>
      <x:c r="N362" s="24"/>
      <x:c r="O362" s="24"/>
      <x:c r="P362" s="24"/>
      <x:c r="Q362" s="24" t="str">
        <x:v>DISPONÍVEL</x:v>
      </x:c>
      <x:c r="R362" s="24"/>
      <x:c r="S362" s="24" t="n">
        <x:v>38</x:v>
      </x:c>
      <x:c r="T362" s="24" t="str">
        <x:v>tabela_hoya(1).pdf</x:v>
      </x:c>
      <x:c r="U362" s="24" t="str">
        <x:v>HOYA|Progressiva Especial|Surfaçada|Hoyalux Sportive|SENSITY 2|EYAS 2.0|1.60|Hi-Vision Hard|-5.00 até +4.00||||||38</x:v>
      </x:c>
    </x:row>
    <x:row r="363">
      <x:c r="A363" s="24" t="str">
        <x:v>HY-B8BD30EE8A1A</x:v>
      </x:c>
      <x:c r="B363" s="24" t="str">
        <x:v>HOYA</x:v>
      </x:c>
      <x:c r="C363" s="24" t="str">
        <x:v>Progressiva Especial</x:v>
      </x:c>
      <x:c r="D363" s="24" t="str">
        <x:v>Surfaçada</x:v>
      </x:c>
      <x:c r="E363" s="24" t="str">
        <x:v>Hoyalux Sportive</x:v>
      </x:c>
      <x:c r="F363" s="24" t="str">
        <x:v>SENSITY 2</x:v>
      </x:c>
      <x:c r="G363" s="24" t="str">
        <x:v>PNX</x:v>
      </x:c>
      <x:c r="H363" s="24" t="str">
        <x:v>1.53</x:v>
      </x:c>
      <x:c r="I363" s="24" t="str">
        <x:v>Hi-Vision Hard</x:v>
      </x:c>
      <x:c r="J363" s="40" t="n">
        <x:v>4999</x:v>
      </x:c>
      <x:c r="K363" s="24" t="str">
        <x:v>-5.00 até +4.00</x:v>
      </x:c>
      <x:c r="L363" s="24"/>
      <x:c r="M363" s="24"/>
      <x:c r="N363" s="24"/>
      <x:c r="O363" s="24"/>
      <x:c r="P363" s="24"/>
      <x:c r="Q363" s="24" t="str">
        <x:v>DISPONÍVEL</x:v>
      </x:c>
      <x:c r="R363" s="24"/>
      <x:c r="S363" s="24" t="n">
        <x:v>38</x:v>
      </x:c>
      <x:c r="T363" s="24" t="str">
        <x:v>tabela_hoya(1).pdf</x:v>
      </x:c>
      <x:c r="U363" s="24" t="str">
        <x:v>HOYA|Progressiva Especial|Surfaçada|Hoyalux Sportive|SENSITY 2|PNX|1.53|Hi-Vision Hard|-5.00 até +4.00||||||38</x:v>
      </x:c>
    </x:row>
    <x:row r="364">
      <x:c r="A364" s="24" t="str">
        <x:v>HY-65EA75506D6C</x:v>
      </x:c>
      <x:c r="B364" s="24" t="str">
        <x:v>HOYA</x:v>
      </x:c>
      <x:c r="C364" s="24" t="str">
        <x:v>Visão Simples Especial</x:v>
      </x:c>
      <x:c r="D364" s="24" t="str">
        <x:v>Surfaçada</x:v>
      </x:c>
      <x:c r="E364" s="24" t="str">
        <x:v>Nulux Sportive</x:v>
      </x:c>
      <x:c r="F364" s="24" t="str">
        <x:v>INCOLOR</x:v>
      </x:c>
      <x:c r="G364" s="24" t="str">
        <x:v>EYNOA</x:v>
      </x:c>
      <x:c r="H364" s="24" t="str">
        <x:v>1.67</x:v>
      </x:c>
      <x:c r="I364" s="24" t="str">
        <x:v>Hi-Vision LongLife BlueControl</x:v>
      </x:c>
      <x:c r="J364" s="40" t="n">
        <x:v>2899</x:v>
      </x:c>
      <x:c r="K364" s="24" t="str">
        <x:v>-5.00 até +4.00</x:v>
      </x:c>
      <x:c r="L364" s="24"/>
      <x:c r="M364" s="24"/>
      <x:c r="N364" s="24"/>
      <x:c r="O364" s="24"/>
      <x:c r="P364" s="24"/>
      <x:c r="Q364" s="24" t="str">
        <x:v>DISPONÍVEL</x:v>
      </x:c>
      <x:c r="R364" s="24"/>
      <x:c r="S364" s="24" t="n">
        <x:v>39</x:v>
      </x:c>
      <x:c r="T364" s="24" t="str">
        <x:v>tabela_hoya(1).pdf</x:v>
      </x:c>
      <x:c r="U364" s="24" t="str">
        <x:v>HOYA|Visão Simples Especial|Surfaçada|Nulux Sportive|INCOLOR|EYNOA|1.67|Hi-Vision LongLife BlueControl|-5.00 até +4.00||||||39</x:v>
      </x:c>
    </x:row>
    <x:row r="365">
      <x:c r="A365" s="24" t="str">
        <x:v>HY-3301B2811545</x:v>
      </x:c>
      <x:c r="B365" s="24" t="str">
        <x:v>HOYA</x:v>
      </x:c>
      <x:c r="C365" s="24" t="str">
        <x:v>Visão Simples Especial</x:v>
      </x:c>
      <x:c r="D365" s="24" t="str">
        <x:v>Surfaçada</x:v>
      </x:c>
      <x:c r="E365" s="24" t="str">
        <x:v>Nulux Sportive</x:v>
      </x:c>
      <x:c r="F365" s="24" t="str">
        <x:v>INCOLOR</x:v>
      </x:c>
      <x:c r="G365" s="24" t="str">
        <x:v>EYAS 2.0</x:v>
      </x:c>
      <x:c r="H365" s="24" t="str">
        <x:v>1.60</x:v>
      </x:c>
      <x:c r="I365" s="24" t="str">
        <x:v>Hi-Vision LongLife BlueControl</x:v>
      </x:c>
      <x:c r="J365" s="40" t="n">
        <x:v>2439</x:v>
      </x:c>
      <x:c r="K365" s="24" t="str">
        <x:v>-6.00 até +4.00</x:v>
      </x:c>
      <x:c r="L365" s="24"/>
      <x:c r="M365" s="24"/>
      <x:c r="N365" s="24"/>
      <x:c r="O365" s="24"/>
      <x:c r="P365" s="24"/>
      <x:c r="Q365" s="24" t="str">
        <x:v>DISPONÍVEL</x:v>
      </x:c>
      <x:c r="R365" s="24"/>
      <x:c r="S365" s="24" t="n">
        <x:v>39</x:v>
      </x:c>
      <x:c r="T365" s="24" t="str">
        <x:v>tabela_hoya(1).pdf</x:v>
      </x:c>
      <x:c r="U365" s="24" t="str">
        <x:v>HOYA|Visão Simples Especial|Surfaçada|Nulux Sportive|INCOLOR|EYAS 2.0|1.60|Hi-Vision LongLife BlueControl|-6.00 até +4.00||||||39</x:v>
      </x:c>
    </x:row>
    <x:row r="366">
      <x:c r="A366" s="24" t="str">
        <x:v>HY-9225ED08B85B</x:v>
      </x:c>
      <x:c r="B366" s="24" t="str">
        <x:v>HOYA</x:v>
      </x:c>
      <x:c r="C366" s="24" t="str">
        <x:v>Visão Simples Especial</x:v>
      </x:c>
      <x:c r="D366" s="24" t="str">
        <x:v>Surfaçada</x:v>
      </x:c>
      <x:c r="E366" s="24" t="str">
        <x:v>Nulux Sportive</x:v>
      </x:c>
      <x:c r="F366" s="24" t="str">
        <x:v>INCOLOR</x:v>
      </x:c>
      <x:c r="G366" s="24" t="str">
        <x:v>PNX</x:v>
      </x:c>
      <x:c r="H366" s="24" t="str">
        <x:v>1.53</x:v>
      </x:c>
      <x:c r="I366" s="24" t="str">
        <x:v>Hi-Vision LongLife BlueControl</x:v>
      </x:c>
      <x:c r="J366" s="40" t="n">
        <x:v>2089</x:v>
      </x:c>
      <x:c r="K366" s="24" t="str">
        <x:v>-6.00 até +4.00</x:v>
      </x:c>
      <x:c r="L366" s="24"/>
      <x:c r="M366" s="24"/>
      <x:c r="N366" s="24"/>
      <x:c r="O366" s="24"/>
      <x:c r="P366" s="24"/>
      <x:c r="Q366" s="24" t="str">
        <x:v>DISPONÍVEL</x:v>
      </x:c>
      <x:c r="R366" s="24"/>
      <x:c r="S366" s="24" t="n">
        <x:v>39</x:v>
      </x:c>
      <x:c r="T366" s="24" t="str">
        <x:v>tabela_hoya(1).pdf</x:v>
      </x:c>
      <x:c r="U366" s="24" t="str">
        <x:v>HOYA|Visão Simples Especial|Surfaçada|Nulux Sportive|INCOLOR|PNX|1.53|Hi-Vision LongLife BlueControl|-6.00 até +4.00||||||39</x:v>
      </x:c>
    </x:row>
    <x:row r="367">
      <x:c r="A367" s="24" t="str">
        <x:v>HY-F564DC20F46C</x:v>
      </x:c>
      <x:c r="B367" s="24" t="str">
        <x:v>HOYA</x:v>
      </x:c>
      <x:c r="C367" s="24" t="str">
        <x:v>Visão Simples Especial</x:v>
      </x:c>
      <x:c r="D367" s="24" t="str">
        <x:v>Surfaçada</x:v>
      </x:c>
      <x:c r="E367" s="24" t="str">
        <x:v>Nulux Sportive</x:v>
      </x:c>
      <x:c r="F367" s="24" t="str">
        <x:v>INCOLOR</x:v>
      </x:c>
      <x:c r="G367" s="24" t="str">
        <x:v>EYNOA</x:v>
      </x:c>
      <x:c r="H367" s="24" t="str">
        <x:v>1.67</x:v>
      </x:c>
      <x:c r="I367" s="24" t="str">
        <x:v>No-Risk BlueControl</x:v>
      </x:c>
      <x:c r="J367" s="40" t="n">
        <x:v>2649</x:v>
      </x:c>
      <x:c r="K367" s="24" t="str">
        <x:v>-5.00 até +4.00</x:v>
      </x:c>
      <x:c r="L367" s="24"/>
      <x:c r="M367" s="24"/>
      <x:c r="N367" s="24"/>
      <x:c r="O367" s="24"/>
      <x:c r="P367" s="24"/>
      <x:c r="Q367" s="24" t="str">
        <x:v>DISPONÍVEL</x:v>
      </x:c>
      <x:c r="R367" s="24"/>
      <x:c r="S367" s="24" t="n">
        <x:v>39</x:v>
      </x:c>
      <x:c r="T367" s="24" t="str">
        <x:v>tabela_hoya(1).pdf</x:v>
      </x:c>
      <x:c r="U367" s="24" t="str">
        <x:v>HOYA|Visão Simples Especial|Surfaçada|Nulux Sportive|INCOLOR|EYNOA|1.67|No-Risk BlueControl|-5.00 até +4.00||||||39</x:v>
      </x:c>
    </x:row>
    <x:row r="368">
      <x:c r="A368" s="24" t="str">
        <x:v>HY-C7E2FD62ACC3</x:v>
      </x:c>
      <x:c r="B368" s="24" t="str">
        <x:v>HOYA</x:v>
      </x:c>
      <x:c r="C368" s="24" t="str">
        <x:v>Visão Simples Especial</x:v>
      </x:c>
      <x:c r="D368" s="24" t="str">
        <x:v>Surfaçada</x:v>
      </x:c>
      <x:c r="E368" s="24" t="str">
        <x:v>Nulux Sportive</x:v>
      </x:c>
      <x:c r="F368" s="24" t="str">
        <x:v>INCOLOR</x:v>
      </x:c>
      <x:c r="G368" s="24" t="str">
        <x:v>EYAS 2.0</x:v>
      </x:c>
      <x:c r="H368" s="24" t="str">
        <x:v>1.60</x:v>
      </x:c>
      <x:c r="I368" s="24" t="str">
        <x:v>No-Risk BlueControl</x:v>
      </x:c>
      <x:c r="J368" s="40" t="n">
        <x:v>2189</x:v>
      </x:c>
      <x:c r="K368" s="24" t="str">
        <x:v>-6.00 até +4.00</x:v>
      </x:c>
      <x:c r="L368" s="24"/>
      <x:c r="M368" s="24"/>
      <x:c r="N368" s="24"/>
      <x:c r="O368" s="24"/>
      <x:c r="P368" s="24"/>
      <x:c r="Q368" s="24" t="str">
        <x:v>DISPONÍVEL</x:v>
      </x:c>
      <x:c r="R368" s="24"/>
      <x:c r="S368" s="24" t="n">
        <x:v>39</x:v>
      </x:c>
      <x:c r="T368" s="24" t="str">
        <x:v>tabela_hoya(1).pdf</x:v>
      </x:c>
      <x:c r="U368" s="24" t="str">
        <x:v>HOYA|Visão Simples Especial|Surfaçada|Nulux Sportive|INCOLOR|EYAS 2.0|1.60|No-Risk BlueControl|-6.00 até +4.00||||||39</x:v>
      </x:c>
    </x:row>
    <x:row r="369">
      <x:c r="A369" s="24" t="str">
        <x:v>HY-E09B03E7EB14</x:v>
      </x:c>
      <x:c r="B369" s="24" t="str">
        <x:v>HOYA</x:v>
      </x:c>
      <x:c r="C369" s="24" t="str">
        <x:v>Visão Simples Especial</x:v>
      </x:c>
      <x:c r="D369" s="24" t="str">
        <x:v>Surfaçada</x:v>
      </x:c>
      <x:c r="E369" s="24" t="str">
        <x:v>Nulux Sportive</x:v>
      </x:c>
      <x:c r="F369" s="24" t="str">
        <x:v>INCOLOR</x:v>
      </x:c>
      <x:c r="G369" s="24" t="str">
        <x:v>PNX</x:v>
      </x:c>
      <x:c r="H369" s="24" t="str">
        <x:v>1.53</x:v>
      </x:c>
      <x:c r="I369" s="24" t="str">
        <x:v>No-Risk BlueControl</x:v>
      </x:c>
      <x:c r="J369" s="40" t="n">
        <x:v>1839</x:v>
      </x:c>
      <x:c r="K369" s="24" t="str">
        <x:v>-6.00 até +4.00</x:v>
      </x:c>
      <x:c r="L369" s="24"/>
      <x:c r="M369" s="24"/>
      <x:c r="N369" s="24"/>
      <x:c r="O369" s="24"/>
      <x:c r="P369" s="24"/>
      <x:c r="Q369" s="24" t="str">
        <x:v>DISPONÍVEL</x:v>
      </x:c>
      <x:c r="R369" s="24"/>
      <x:c r="S369" s="24" t="n">
        <x:v>39</x:v>
      </x:c>
      <x:c r="T369" s="24" t="str">
        <x:v>tabela_hoya(1).pdf</x:v>
      </x:c>
      <x:c r="U369" s="24" t="str">
        <x:v>HOYA|Visão Simples Especial|Surfaçada|Nulux Sportive|INCOLOR|PNX|1.53|No-Risk BlueControl|-6.00 até +4.00||||||39</x:v>
      </x:c>
    </x:row>
    <x:row r="370">
      <x:c r="A370" s="24" t="str">
        <x:v>HY-C1B191F83292</x:v>
      </x:c>
      <x:c r="B370" s="24" t="str">
        <x:v>HOYA</x:v>
      </x:c>
      <x:c r="C370" s="24" t="str">
        <x:v>Visão Simples Especial</x:v>
      </x:c>
      <x:c r="D370" s="24" t="str">
        <x:v>Surfaçada</x:v>
      </x:c>
      <x:c r="E370" s="24" t="str">
        <x:v>Nulux Sportive</x:v>
      </x:c>
      <x:c r="F370" s="24" t="str">
        <x:v>INCOLOR</x:v>
      </x:c>
      <x:c r="G370" s="24" t="str">
        <x:v>EYNOA</x:v>
      </x:c>
      <x:c r="H370" s="24" t="str">
        <x:v>1.67</x:v>
      </x:c>
      <x:c r="I370" s="24" t="str">
        <x:v>Hi-Vision Hard</x:v>
      </x:c>
      <x:c r="J370" s="40" t="n">
        <x:v>2109</x:v>
      </x:c>
      <x:c r="K370" s="24" t="str">
        <x:v>-5.00 até +4.00</x:v>
      </x:c>
      <x:c r="L370" s="24"/>
      <x:c r="M370" s="24"/>
      <x:c r="N370" s="24"/>
      <x:c r="O370" s="24"/>
      <x:c r="P370" s="24"/>
      <x:c r="Q370" s="24" t="str">
        <x:v>DISPONÍVEL</x:v>
      </x:c>
      <x:c r="R370" s="24"/>
      <x:c r="S370" s="24" t="n">
        <x:v>39</x:v>
      </x:c>
      <x:c r="T370" s="24" t="str">
        <x:v>tabela_hoya(1).pdf</x:v>
      </x:c>
      <x:c r="U370" s="24" t="str">
        <x:v>HOYA|Visão Simples Especial|Surfaçada|Nulux Sportive|INCOLOR|EYNOA|1.67|Hi-Vision Hard|-5.00 até +4.00||||||39</x:v>
      </x:c>
    </x:row>
    <x:row r="371">
      <x:c r="A371" s="24" t="str">
        <x:v>HY-D518FA92B77C</x:v>
      </x:c>
      <x:c r="B371" s="24" t="str">
        <x:v>HOYA</x:v>
      </x:c>
      <x:c r="C371" s="24" t="str">
        <x:v>Visão Simples Especial</x:v>
      </x:c>
      <x:c r="D371" s="24" t="str">
        <x:v>Surfaçada</x:v>
      </x:c>
      <x:c r="E371" s="24" t="str">
        <x:v>Nulux Sportive</x:v>
      </x:c>
      <x:c r="F371" s="24" t="str">
        <x:v>INCOLOR</x:v>
      </x:c>
      <x:c r="G371" s="24" t="str">
        <x:v>EYAS 2.0</x:v>
      </x:c>
      <x:c r="H371" s="24" t="str">
        <x:v>1.60</x:v>
      </x:c>
      <x:c r="I371" s="24" t="str">
        <x:v>Hi-Vision Hard</x:v>
      </x:c>
      <x:c r="J371" s="40" t="n">
        <x:v>1649</x:v>
      </x:c>
      <x:c r="K371" s="24" t="str">
        <x:v>-6.00 até +4.00</x:v>
      </x:c>
      <x:c r="L371" s="24"/>
      <x:c r="M371" s="24"/>
      <x:c r="N371" s="24"/>
      <x:c r="O371" s="24"/>
      <x:c r="P371" s="24"/>
      <x:c r="Q371" s="24" t="str">
        <x:v>DISPONÍVEL</x:v>
      </x:c>
      <x:c r="R371" s="24"/>
      <x:c r="S371" s="24" t="n">
        <x:v>39</x:v>
      </x:c>
      <x:c r="T371" s="24" t="str">
        <x:v>tabela_hoya(1).pdf</x:v>
      </x:c>
      <x:c r="U371" s="24" t="str">
        <x:v>HOYA|Visão Simples Especial|Surfaçada|Nulux Sportive|INCOLOR|EYAS 2.0|1.60|Hi-Vision Hard|-6.00 até +4.00||||||39</x:v>
      </x:c>
    </x:row>
    <x:row r="372">
      <x:c r="A372" s="24" t="str">
        <x:v>HY-36C508669C4E</x:v>
      </x:c>
      <x:c r="B372" s="24" t="str">
        <x:v>HOYA</x:v>
      </x:c>
      <x:c r="C372" s="24" t="str">
        <x:v>Visão Simples Especial</x:v>
      </x:c>
      <x:c r="D372" s="24" t="str">
        <x:v>Surfaçada</x:v>
      </x:c>
      <x:c r="E372" s="24" t="str">
        <x:v>Nulux Sportive</x:v>
      </x:c>
      <x:c r="F372" s="24" t="str">
        <x:v>INCOLOR</x:v>
      </x:c>
      <x:c r="G372" s="24" t="str">
        <x:v>PNX</x:v>
      </x:c>
      <x:c r="H372" s="24" t="str">
        <x:v>1.53</x:v>
      </x:c>
      <x:c r="I372" s="24" t="str">
        <x:v>Hi-Vision Hard</x:v>
      </x:c>
      <x:c r="J372" s="40" t="n">
        <x:v>1299</x:v>
      </x:c>
      <x:c r="K372" s="24" t="str">
        <x:v>-6.00 até +4.00</x:v>
      </x:c>
      <x:c r="L372" s="24"/>
      <x:c r="M372" s="24"/>
      <x:c r="N372" s="24"/>
      <x:c r="O372" s="24"/>
      <x:c r="P372" s="24"/>
      <x:c r="Q372" s="24" t="str">
        <x:v>DISPONÍVEL</x:v>
      </x:c>
      <x:c r="R372" s="24"/>
      <x:c r="S372" s="24" t="n">
        <x:v>39</x:v>
      </x:c>
      <x:c r="T372" s="24" t="str">
        <x:v>tabela_hoya(1).pdf</x:v>
      </x:c>
      <x:c r="U372" s="24" t="str">
        <x:v>HOYA|Visão Simples Especial|Surfaçada|Nulux Sportive|INCOLOR|PNX|1.53|Hi-Vision Hard|-6.00 até +4.00||||||39</x:v>
      </x:c>
    </x:row>
    <x:row r="373">
      <x:c r="A373" s="24" t="str">
        <x:v>HY-4746E6563E8A</x:v>
      </x:c>
      <x:c r="B373" s="24" t="str">
        <x:v>HOYA</x:v>
      </x:c>
      <x:c r="C373" s="24" t="str">
        <x:v>Visão Simples Especial</x:v>
      </x:c>
      <x:c r="D373" s="24" t="str">
        <x:v>Surfaçada</x:v>
      </x:c>
      <x:c r="E373" s="24" t="str">
        <x:v>Nulux Sportive</x:v>
      </x:c>
      <x:c r="F373" s="24" t="str">
        <x:v>COLORIDAS</x:v>
      </x:c>
      <x:c r="G373" s="24" t="str">
        <x:v>EYNOA</x:v>
      </x:c>
      <x:c r="H373" s="24" t="str">
        <x:v>1.67</x:v>
      </x:c>
      <x:c r="I373" s="24" t="str">
        <x:v>Hi-Vision Sun Pro</x:v>
      </x:c>
      <x:c r="J373" s="40" t="n">
        <x:v>2939</x:v>
      </x:c>
      <x:c r="K373" s="24" t="str">
        <x:v>-5.00 até +4.00</x:v>
      </x:c>
      <x:c r="L373" s="24"/>
      <x:c r="M373" s="24"/>
      <x:c r="N373" s="24"/>
      <x:c r="O373" s="24"/>
      <x:c r="P373" s="24"/>
      <x:c r="Q373" s="24" t="str">
        <x:v>DISPONÍVEL</x:v>
      </x:c>
      <x:c r="R373" s="24"/>
      <x:c r="S373" s="24" t="n">
        <x:v>39</x:v>
      </x:c>
      <x:c r="T373" s="24" t="str">
        <x:v>tabela_hoya(1).pdf</x:v>
      </x:c>
      <x:c r="U373" s="24" t="str">
        <x:v>HOYA|Visão Simples Especial|Surfaçada|Nulux Sportive|COLORIDAS|EYNOA|1.67|Hi-Vision Sun Pro|-5.00 até +4.00||||||39</x:v>
      </x:c>
    </x:row>
    <x:row r="374">
      <x:c r="A374" s="24" t="str">
        <x:v>HY-C646888939B4</x:v>
      </x:c>
      <x:c r="B374" s="24" t="str">
        <x:v>HOYA</x:v>
      </x:c>
      <x:c r="C374" s="24" t="str">
        <x:v>Visão Simples Especial</x:v>
      </x:c>
      <x:c r="D374" s="24" t="str">
        <x:v>Surfaçada</x:v>
      </x:c>
      <x:c r="E374" s="24" t="str">
        <x:v>Nulux Sportive</x:v>
      </x:c>
      <x:c r="F374" s="24" t="str">
        <x:v>COLORIDAS</x:v>
      </x:c>
      <x:c r="G374" s="24" t="str">
        <x:v>EYAS 2.0</x:v>
      </x:c>
      <x:c r="H374" s="24" t="str">
        <x:v>1.60</x:v>
      </x:c>
      <x:c r="I374" s="24" t="str">
        <x:v>Hi-Vision Sun Pro</x:v>
      </x:c>
      <x:c r="J374" s="40" t="n">
        <x:v>2479</x:v>
      </x:c>
      <x:c r="K374" s="24" t="str">
        <x:v>-6.00 até +4.00</x:v>
      </x:c>
      <x:c r="L374" s="24"/>
      <x:c r="M374" s="24"/>
      <x:c r="N374" s="24"/>
      <x:c r="O374" s="24"/>
      <x:c r="P374" s="24"/>
      <x:c r="Q374" s="24" t="str">
        <x:v>DISPONÍVEL</x:v>
      </x:c>
      <x:c r="R374" s="24"/>
      <x:c r="S374" s="24" t="n">
        <x:v>39</x:v>
      </x:c>
      <x:c r="T374" s="24" t="str">
        <x:v>tabela_hoya(1).pdf</x:v>
      </x:c>
      <x:c r="U374" s="24" t="str">
        <x:v>HOYA|Visão Simples Especial|Surfaçada|Nulux Sportive|COLORIDAS|EYAS 2.0|1.60|Hi-Vision Sun Pro|-6.00 até +4.00||||||39</x:v>
      </x:c>
    </x:row>
    <x:row r="375">
      <x:c r="A375" s="24" t="str">
        <x:v>HY-2889F6D963F9</x:v>
      </x:c>
      <x:c r="B375" s="24" t="str">
        <x:v>HOYA</x:v>
      </x:c>
      <x:c r="C375" s="24" t="str">
        <x:v>Visão Simples Especial</x:v>
      </x:c>
      <x:c r="D375" s="24" t="str">
        <x:v>Surfaçada</x:v>
      </x:c>
      <x:c r="E375" s="24" t="str">
        <x:v>Nulux Sportive</x:v>
      </x:c>
      <x:c r="F375" s="24" t="str">
        <x:v>COLORIDAS</x:v>
      </x:c>
      <x:c r="G375" s="24" t="str">
        <x:v>PNX</x:v>
      </x:c>
      <x:c r="H375" s="24" t="str">
        <x:v>1.53</x:v>
      </x:c>
      <x:c r="I375" s="24" t="str">
        <x:v>Hi-Vision Sun Pro</x:v>
      </x:c>
      <x:c r="J375" s="40" t="n">
        <x:v>2129</x:v>
      </x:c>
      <x:c r="K375" s="24" t="str">
        <x:v>-6.00 até +4.00</x:v>
      </x:c>
      <x:c r="L375" s="24"/>
      <x:c r="M375" s="24"/>
      <x:c r="N375" s="24"/>
      <x:c r="O375" s="24"/>
      <x:c r="P375" s="24"/>
      <x:c r="Q375" s="24" t="str">
        <x:v>DISPONÍVEL</x:v>
      </x:c>
      <x:c r="R375" s="24"/>
      <x:c r="S375" s="24" t="n">
        <x:v>39</x:v>
      </x:c>
      <x:c r="T375" s="24" t="str">
        <x:v>tabela_hoya(1).pdf</x:v>
      </x:c>
      <x:c r="U375" s="24" t="str">
        <x:v>HOYA|Visão Simples Especial|Surfaçada|Nulux Sportive|COLORIDAS|PNX|1.53|Hi-Vision Sun Pro|-6.00 até +4.00||||||39</x:v>
      </x:c>
    </x:row>
    <x:row r="376">
      <x:c r="A376" s="24" t="str">
        <x:v>HY-539797541747</x:v>
      </x:c>
      <x:c r="B376" s="24" t="str">
        <x:v>HOYA</x:v>
      </x:c>
      <x:c r="C376" s="24" t="str">
        <x:v>Visão Simples Especial</x:v>
      </x:c>
      <x:c r="D376" s="24" t="str">
        <x:v>Surfaçada</x:v>
      </x:c>
      <x:c r="E376" s="24" t="str">
        <x:v>Nulux Sportive</x:v>
      </x:c>
      <x:c r="F376" s="24" t="str">
        <x:v>POLARIZADO</x:v>
      </x:c>
      <x:c r="G376" s="24" t="str">
        <x:v>EYNOA</x:v>
      </x:c>
      <x:c r="H376" s="24" t="str">
        <x:v>1.67</x:v>
      </x:c>
      <x:c r="I376" s="24" t="str">
        <x:v>Hi-Vision Sun Pro</x:v>
      </x:c>
      <x:c r="J376" s="40" t="n">
        <x:v>3799</x:v>
      </x:c>
      <x:c r="K376" s="24" t="str">
        <x:v>-5.00 até +4.00</x:v>
      </x:c>
      <x:c r="L376" s="24"/>
      <x:c r="M376" s="24"/>
      <x:c r="N376" s="24"/>
      <x:c r="O376" s="24"/>
      <x:c r="P376" s="24"/>
      <x:c r="Q376" s="24" t="str">
        <x:v>DISPONÍVEL</x:v>
      </x:c>
      <x:c r="R376" s="24"/>
      <x:c r="S376" s="24" t="n">
        <x:v>39</x:v>
      </x:c>
      <x:c r="T376" s="24" t="str">
        <x:v>tabela_hoya(1).pdf</x:v>
      </x:c>
      <x:c r="U376" s="24" t="str">
        <x:v>HOYA|Visão Simples Especial|Surfaçada|Nulux Sportive|POLARIZADO|EYNOA|1.67|Hi-Vision Sun Pro|-5.00 até +4.00||||||39</x:v>
      </x:c>
    </x:row>
    <x:row r="377">
      <x:c r="A377" s="24" t="str">
        <x:v>HY-8A6609175F71</x:v>
      </x:c>
      <x:c r="B377" s="24" t="str">
        <x:v>HOYA</x:v>
      </x:c>
      <x:c r="C377" s="24" t="str">
        <x:v>Visão Simples Especial</x:v>
      </x:c>
      <x:c r="D377" s="24" t="str">
        <x:v>Surfaçada</x:v>
      </x:c>
      <x:c r="E377" s="24" t="str">
        <x:v>Nulux Sportive</x:v>
      </x:c>
      <x:c r="F377" s="24" t="str">
        <x:v>POLARIZADO</x:v>
      </x:c>
      <x:c r="G377" s="24" t="str">
        <x:v>PNX</x:v>
      </x:c>
      <x:c r="H377" s="24" t="str">
        <x:v>1.53</x:v>
      </x:c>
      <x:c r="I377" s="24" t="str">
        <x:v>Hi-Vision Sun Pro</x:v>
      </x:c>
      <x:c r="J377" s="40" t="n">
        <x:v>2989</x:v>
      </x:c>
      <x:c r="K377" s="24" t="str">
        <x:v>-6.00 até +4.00</x:v>
      </x:c>
      <x:c r="L377" s="24"/>
      <x:c r="M377" s="24"/>
      <x:c r="N377" s="24"/>
      <x:c r="O377" s="24"/>
      <x:c r="P377" s="24"/>
      <x:c r="Q377" s="24" t="str">
        <x:v>DISPONÍVEL</x:v>
      </x:c>
      <x:c r="R377" s="24"/>
      <x:c r="S377" s="24" t="n">
        <x:v>39</x:v>
      </x:c>
      <x:c r="T377" s="24" t="str">
        <x:v>tabela_hoya(1).pdf</x:v>
      </x:c>
      <x:c r="U377" s="24" t="str">
        <x:v>HOYA|Visão Simples Especial|Surfaçada|Nulux Sportive|POLARIZADO|PNX|1.53|Hi-Vision Sun Pro|-6.00 até +4.00||||||39</x:v>
      </x:c>
    </x:row>
    <x:row r="378">
      <x:c r="A378" s="24" t="str">
        <x:v>HY-6B2AEED26238</x:v>
      </x:c>
      <x:c r="B378" s="24" t="str">
        <x:v>HOYA</x:v>
      </x:c>
      <x:c r="C378" s="24" t="str">
        <x:v>Visão Simples Especial</x:v>
      </x:c>
      <x:c r="D378" s="24" t="str">
        <x:v>Surfaçada</x:v>
      </x:c>
      <x:c r="E378" s="24" t="str">
        <x:v>Nulux Sportive</x:v>
      </x:c>
      <x:c r="F378" s="24" t="str">
        <x:v>SENSITY 2</x:v>
      </x:c>
      <x:c r="G378" s="24" t="str">
        <x:v>EYAS 2.0</x:v>
      </x:c>
      <x:c r="H378" s="24" t="str">
        <x:v>1.60</x:v>
      </x:c>
      <x:c r="I378" s="24" t="str">
        <x:v>Hi-Vision LongLife BlueControl</x:v>
      </x:c>
      <x:c r="J378" s="40" t="n">
        <x:v>3439</x:v>
      </x:c>
      <x:c r="K378" s="24" t="str">
        <x:v>-6.00 até +4.00</x:v>
      </x:c>
      <x:c r="L378" s="24"/>
      <x:c r="M378" s="24"/>
      <x:c r="N378" s="24"/>
      <x:c r="O378" s="24"/>
      <x:c r="P378" s="24"/>
      <x:c r="Q378" s="24" t="str">
        <x:v>DISPONÍVEL</x:v>
      </x:c>
      <x:c r="R378" s="24"/>
      <x:c r="S378" s="24" t="n">
        <x:v>39</x:v>
      </x:c>
      <x:c r="T378" s="24" t="str">
        <x:v>tabela_hoya(1).pdf</x:v>
      </x:c>
      <x:c r="U378" s="24" t="str">
        <x:v>HOYA|Visão Simples Especial|Surfaçada|Nulux Sportive|SENSITY 2|EYAS 2.0|1.60|Hi-Vision LongLife BlueControl|-6.00 até +4.00||||||39</x:v>
      </x:c>
    </x:row>
    <x:row r="379">
      <x:c r="A379" s="24" t="str">
        <x:v>HY-C84BDE39E087</x:v>
      </x:c>
      <x:c r="B379" s="24" t="str">
        <x:v>HOYA</x:v>
      </x:c>
      <x:c r="C379" s="24" t="str">
        <x:v>Visão Simples Especial</x:v>
      </x:c>
      <x:c r="D379" s="24" t="str">
        <x:v>Surfaçada</x:v>
      </x:c>
      <x:c r="E379" s="24" t="str">
        <x:v>Nulux Sportive</x:v>
      </x:c>
      <x:c r="F379" s="24" t="str">
        <x:v>SENSITY 2</x:v>
      </x:c>
      <x:c r="G379" s="24" t="str">
        <x:v>PNX</x:v>
      </x:c>
      <x:c r="H379" s="24" t="str">
        <x:v>1.53</x:v>
      </x:c>
      <x:c r="I379" s="24" t="str">
        <x:v>Hi-Vision LongLife BlueControl</x:v>
      </x:c>
      <x:c r="J379" s="40" t="n">
        <x:v>3089</x:v>
      </x:c>
      <x:c r="K379" s="24" t="str">
        <x:v>-6.00 até +4.00</x:v>
      </x:c>
      <x:c r="L379" s="24"/>
      <x:c r="M379" s="24"/>
      <x:c r="N379" s="24"/>
      <x:c r="O379" s="24"/>
      <x:c r="P379" s="24"/>
      <x:c r="Q379" s="24" t="str">
        <x:v>DISPONÍVEL</x:v>
      </x:c>
      <x:c r="R379" s="24"/>
      <x:c r="S379" s="24" t="n">
        <x:v>39</x:v>
      </x:c>
      <x:c r="T379" s="24" t="str">
        <x:v>tabela_hoya(1).pdf</x:v>
      </x:c>
      <x:c r="U379" s="24" t="str">
        <x:v>HOYA|Visão Simples Especial|Surfaçada|Nulux Sportive|SENSITY 2|PNX|1.53|Hi-Vision LongLife BlueControl|-6.00 até +4.00||||||39</x:v>
      </x:c>
    </x:row>
    <x:row r="380">
      <x:c r="A380" s="24" t="str">
        <x:v>HY-A5FFAC8FB77E</x:v>
      </x:c>
      <x:c r="B380" s="24" t="str">
        <x:v>HOYA</x:v>
      </x:c>
      <x:c r="C380" s="24" t="str">
        <x:v>Visão Simples Especial</x:v>
      </x:c>
      <x:c r="D380" s="24" t="str">
        <x:v>Surfaçada</x:v>
      </x:c>
      <x:c r="E380" s="24" t="str">
        <x:v>Nulux Sportive</x:v>
      </x:c>
      <x:c r="F380" s="24" t="str">
        <x:v>SENSITY 2</x:v>
      </x:c>
      <x:c r="G380" s="24" t="str">
        <x:v>EYAS 2.0</x:v>
      </x:c>
      <x:c r="H380" s="24" t="str">
        <x:v>1.60</x:v>
      </x:c>
      <x:c r="I380" s="24" t="str">
        <x:v>No-Risk BlueControl</x:v>
      </x:c>
      <x:c r="J380" s="40" t="n">
        <x:v>3189</x:v>
      </x:c>
      <x:c r="K380" s="24" t="str">
        <x:v>-6.00 até +4.00</x:v>
      </x:c>
      <x:c r="L380" s="24"/>
      <x:c r="M380" s="24"/>
      <x:c r="N380" s="24"/>
      <x:c r="O380" s="24"/>
      <x:c r="P380" s="24"/>
      <x:c r="Q380" s="24" t="str">
        <x:v>DISPONÍVEL</x:v>
      </x:c>
      <x:c r="R380" s="24"/>
      <x:c r="S380" s="24" t="n">
        <x:v>39</x:v>
      </x:c>
      <x:c r="T380" s="24" t="str">
        <x:v>tabela_hoya(1).pdf</x:v>
      </x:c>
      <x:c r="U380" s="24" t="str">
        <x:v>HOYA|Visão Simples Especial|Surfaçada|Nulux Sportive|SENSITY 2|EYAS 2.0|1.60|No-Risk BlueControl|-6.00 até +4.00||||||39</x:v>
      </x:c>
    </x:row>
    <x:row r="381">
      <x:c r="A381" s="24" t="str">
        <x:v>HY-4D142681B9E4</x:v>
      </x:c>
      <x:c r="B381" s="24" t="str">
        <x:v>HOYA</x:v>
      </x:c>
      <x:c r="C381" s="24" t="str">
        <x:v>Visão Simples Especial</x:v>
      </x:c>
      <x:c r="D381" s="24" t="str">
        <x:v>Surfaçada</x:v>
      </x:c>
      <x:c r="E381" s="24" t="str">
        <x:v>Nulux Sportive</x:v>
      </x:c>
      <x:c r="F381" s="24" t="str">
        <x:v>SENSITY 2</x:v>
      </x:c>
      <x:c r="G381" s="24" t="str">
        <x:v>PNX</x:v>
      </x:c>
      <x:c r="H381" s="24" t="str">
        <x:v>1.53</x:v>
      </x:c>
      <x:c r="I381" s="24" t="str">
        <x:v>No-Risk BlueControl</x:v>
      </x:c>
      <x:c r="J381" s="40" t="n">
        <x:v>2839</x:v>
      </x:c>
      <x:c r="K381" s="24" t="str">
        <x:v>-6.00 até +4.00</x:v>
      </x:c>
      <x:c r="L381" s="24"/>
      <x:c r="M381" s="24"/>
      <x:c r="N381" s="24"/>
      <x:c r="O381" s="24"/>
      <x:c r="P381" s="24"/>
      <x:c r="Q381" s="24" t="str">
        <x:v>DISPONÍVEL</x:v>
      </x:c>
      <x:c r="R381" s="24"/>
      <x:c r="S381" s="24" t="n">
        <x:v>39</x:v>
      </x:c>
      <x:c r="T381" s="24" t="str">
        <x:v>tabela_hoya(1).pdf</x:v>
      </x:c>
      <x:c r="U381" s="24" t="str">
        <x:v>HOYA|Visão Simples Especial|Surfaçada|Nulux Sportive|SENSITY 2|PNX|1.53|No-Risk BlueControl|-6.00 até +4.00||||||39</x:v>
      </x:c>
    </x:row>
    <x:row r="382">
      <x:c r="A382" s="24" t="str">
        <x:v>HY-44E36AFE8ECB</x:v>
      </x:c>
      <x:c r="B382" s="24" t="str">
        <x:v>HOYA</x:v>
      </x:c>
      <x:c r="C382" s="24" t="str">
        <x:v>Visão Simples Especial</x:v>
      </x:c>
      <x:c r="D382" s="24" t="str">
        <x:v>Surfaçada</x:v>
      </x:c>
      <x:c r="E382" s="24" t="str">
        <x:v>Nulux Sportive</x:v>
      </x:c>
      <x:c r="F382" s="24" t="str">
        <x:v>SENSITY 2</x:v>
      </x:c>
      <x:c r="G382" s="24" t="str">
        <x:v>EYAS 2.0</x:v>
      </x:c>
      <x:c r="H382" s="24" t="str">
        <x:v>1.60</x:v>
      </x:c>
      <x:c r="I382" s="24" t="str">
        <x:v>Hi-Vision Hard</x:v>
      </x:c>
      <x:c r="J382" s="40" t="n">
        <x:v>2649</x:v>
      </x:c>
      <x:c r="K382" s="24" t="str">
        <x:v>-6.00 até +4.00</x:v>
      </x:c>
      <x:c r="L382" s="24"/>
      <x:c r="M382" s="24"/>
      <x:c r="N382" s="24"/>
      <x:c r="O382" s="24"/>
      <x:c r="P382" s="24"/>
      <x:c r="Q382" s="24" t="str">
        <x:v>DISPONÍVEL</x:v>
      </x:c>
      <x:c r="R382" s="24"/>
      <x:c r="S382" s="24" t="n">
        <x:v>39</x:v>
      </x:c>
      <x:c r="T382" s="24" t="str">
        <x:v>tabela_hoya(1).pdf</x:v>
      </x:c>
      <x:c r="U382" s="24" t="str">
        <x:v>HOYA|Visão Simples Especial|Surfaçada|Nulux Sportive|SENSITY 2|EYAS 2.0|1.60|Hi-Vision Hard|-6.00 até +4.00||||||39</x:v>
      </x:c>
    </x:row>
    <x:row r="383">
      <x:c r="A383" s="24" t="str">
        <x:v>HY-08EC6FEAB9E0</x:v>
      </x:c>
      <x:c r="B383" s="24" t="str">
        <x:v>HOYA</x:v>
      </x:c>
      <x:c r="C383" s="24" t="str">
        <x:v>Visão Simples Especial</x:v>
      </x:c>
      <x:c r="D383" s="24" t="str">
        <x:v>Surfaçada</x:v>
      </x:c>
      <x:c r="E383" s="24" t="str">
        <x:v>Nulux Sportive</x:v>
      </x:c>
      <x:c r="F383" s="24" t="str">
        <x:v>SENSITY 2</x:v>
      </x:c>
      <x:c r="G383" s="24" t="str">
        <x:v>PNX</x:v>
      </x:c>
      <x:c r="H383" s="24" t="str">
        <x:v>1.53</x:v>
      </x:c>
      <x:c r="I383" s="24" t="str">
        <x:v>Hi-Vision Hard</x:v>
      </x:c>
      <x:c r="J383" s="40" t="n">
        <x:v>2299</x:v>
      </x:c>
      <x:c r="K383" s="24" t="str">
        <x:v>-6.00 até +4.00</x:v>
      </x:c>
      <x:c r="L383" s="24"/>
      <x:c r="M383" s="24"/>
      <x:c r="N383" s="24"/>
      <x:c r="O383" s="24"/>
      <x:c r="P383" s="24"/>
      <x:c r="Q383" s="24" t="str">
        <x:v>DISPONÍVEL</x:v>
      </x:c>
      <x:c r="R383" s="24"/>
      <x:c r="S383" s="24" t="n">
        <x:v>39</x:v>
      </x:c>
      <x:c r="T383" s="24" t="str">
        <x:v>tabela_hoya(1).pdf</x:v>
      </x:c>
      <x:c r="U383" s="24" t="str">
        <x:v>HOYA|Visão Simples Especial|Surfaçada|Nulux Sportive|SENSITY 2|PNX|1.53|Hi-Vision Hard|-6.00 até +4.00||||||39</x:v>
      </x:c>
    </x:row>
    <x:row r="384">
      <x:c r="A384" s="24" t="str">
        <x:v>HY-7D2AC080E5C8</x:v>
      </x:c>
      <x:c r="B384" s="24" t="str">
        <x:v>HOYA</x:v>
      </x:c>
      <x:c r="C384" s="24" t="str">
        <x:v>Controle de Miopia</x:v>
      </x:c>
      <x:c r="D384" s="24" t="str">
        <x:v>Pronta</x:v>
      </x:c>
      <x:c r="E384" s="24" t="str">
        <x:v>MiYOSMART</x:v>
      </x:c>
      <x:c r="F384" s="24" t="str">
        <x:v>INCOLOR</x:v>
      </x:c>
      <x:c r="G384" s="24"/>
      <x:c r="H384" s="24"/>
      <x:c r="I384" s="24" t="str">
        <x:v>Antirreflexo MiYOSMART</x:v>
      </x:c>
      <x:c r="J384" s="40" t="n">
        <x:v>2099</x:v>
      </x:c>
      <x:c r="K384" s="24" t="str">
        <x:v>-6.00 até 0.00</x:v>
      </x:c>
      <x:c r="L384" s="24" t="str">
        <x:v>até -2.00</x:v>
      </x:c>
      <x:c r="M384" s="24"/>
      <x:c r="N384" s="24" t="str">
        <x:v>até 73mm</x:v>
      </x:c>
      <x:c r="O384" s="24"/>
      <x:c r="P384" s="24"/>
      <x:c r="Q384" s="24" t="str">
        <x:v>DISPONÍVEL</x:v>
      </x:c>
      <x:c r="R384" s="24"/>
      <x:c r="S384" s="24" t="n">
        <x:v>9</x:v>
      </x:c>
      <x:c r="T384" s="24" t="str">
        <x:v>tabela_hoya(1).pdf</x:v>
      </x:c>
      <x:c r="U384" s="24" t="str">
        <x:v>HOYA|Controle de Miopia|Pronta|MiYOSMART|INCOLOR|||Antirreflexo MiYOSMART|-6.00 até 0.00|até -2.00||até 73mm|||9</x:v>
      </x:c>
    </x:row>
    <x:row r="385">
      <x:c r="A385" s="24" t="str">
        <x:v>HY-60E8F8890580</x:v>
      </x:c>
      <x:c r="B385" s="24" t="str">
        <x:v>HOYA</x:v>
      </x:c>
      <x:c r="C385" s="24" t="str">
        <x:v>Controle de Miopia</x:v>
      </x:c>
      <x:c r="D385" s="24" t="str">
        <x:v>Surfaçada</x:v>
      </x:c>
      <x:c r="E385" s="24" t="str">
        <x:v>MiYOSMART</x:v>
      </x:c>
      <x:c r="F385" s="24" t="str">
        <x:v>Clear</x:v>
      </x:c>
      <x:c r="G385" s="24"/>
      <x:c r="H385" s="24"/>
      <x:c r="I385" s="24" t="str">
        <x:v>Antirreflexo MiYOSMART</x:v>
      </x:c>
      <x:c r="J385" s="40" t="n">
        <x:v>2099</x:v>
      </x:c>
      <x:c r="K385" s="24" t="str">
        <x:v>-13.00 até 0.00</x:v>
      </x:c>
      <x:c r="L385" s="24" t="str">
        <x:v>até -4.00</x:v>
      </x:c>
      <x:c r="M385" s="24"/>
      <x:c r="N385" s="24" t="str">
        <x:v>60 até 75mm</x:v>
      </x:c>
      <x:c r="O385" s="24"/>
      <x:c r="P385" s="24"/>
      <x:c r="Q385" s="24" t="str">
        <x:v>DISPONÍVEL</x:v>
      </x:c>
      <x:c r="R385" s="24"/>
      <x:c r="S385" s="24" t="n">
        <x:v>9</x:v>
      </x:c>
      <x:c r="T385" s="24" t="str">
        <x:v>tabela_hoya(1).pdf</x:v>
      </x:c>
      <x:c r="U385" s="24" t="str">
        <x:v>HOYA|Controle de Miopia|Surfaçada|MiYOSMART|Clear|||Antirreflexo MiYOSMART|-13.00 até 0.00|até -4.00||60 até 75mm|||9</x:v>
      </x:c>
    </x:row>
    <x:row r="386">
      <x:c r="A386" s="24" t="str">
        <x:v>HY-5CB8D0441CA8</x:v>
      </x:c>
      <x:c r="B386" s="24" t="str">
        <x:v>HOYA</x:v>
      </x:c>
      <x:c r="C386" s="24" t="str">
        <x:v>Controle de Miopia</x:v>
      </x:c>
      <x:c r="D386" s="24" t="str">
        <x:v>Surfaçada</x:v>
      </x:c>
      <x:c r="E386" s="24" t="str">
        <x:v>MiYOSMART</x:v>
      </x:c>
      <x:c r="F386" s="24" t="str">
        <x:v>Chameleon</x:v>
      </x:c>
      <x:c r="G386" s="24"/>
      <x:c r="H386" s="24"/>
      <x:c r="I386" s="24" t="str">
        <x:v>Antirreflexo MiYOSMART</x:v>
      </x:c>
      <x:c r="J386" s="40" t="n">
        <x:v>2099</x:v>
      </x:c>
      <x:c r="K386" s="24" t="str">
        <x:v>-10.00 até 0.00</x:v>
      </x:c>
      <x:c r="L386" s="24" t="str">
        <x:v>até -4.00</x:v>
      </x:c>
      <x:c r="M386" s="24"/>
      <x:c r="N386" s="24" t="str">
        <x:v>60 até 75mm</x:v>
      </x:c>
      <x:c r="O386" s="24"/>
      <x:c r="P386" s="24"/>
      <x:c r="Q386" s="24" t="str">
        <x:v>DISPONÍVEL</x:v>
      </x:c>
      <x:c r="R386" s="24"/>
      <x:c r="S386" s="24" t="n">
        <x:v>9</x:v>
      </x:c>
      <x:c r="T386" s="24" t="str">
        <x:v>tabela_hoya(1).pdf</x:v>
      </x:c>
      <x:c r="U386" s="24" t="str">
        <x:v>HOYA|Controle de Miopia|Surfaçada|MiYOSMART|Chameleon|||Antirreflexo MiYOSMART|-10.00 até 0.00|até -4.00||60 até 75mm|||9</x:v>
      </x:c>
    </x:row>
    <x:row r="387">
      <x:c r="A387" s="24" t="str">
        <x:v>HY-AD7AD47F7C16</x:v>
      </x:c>
      <x:c r="B387" s="24" t="str">
        <x:v>HOYA</x:v>
      </x:c>
      <x:c r="C387" s="24" t="str">
        <x:v>Controle de Miopia</x:v>
      </x:c>
      <x:c r="D387" s="24" t="str">
        <x:v>Surfaçada</x:v>
      </x:c>
      <x:c r="E387" s="24" t="str">
        <x:v>MiYOSMART</x:v>
      </x:c>
      <x:c r="F387" s="24" t="str">
        <x:v>Sunbird</x:v>
      </x:c>
      <x:c r="G387" s="24"/>
      <x:c r="H387" s="24"/>
      <x:c r="I387" s="24" t="str">
        <x:v>Antirreflexo MiYOSMART</x:v>
      </x:c>
      <x:c r="J387" s="40" t="n">
        <x:v>2099</x:v>
      </x:c>
      <x:c r="K387" s="24" t="str">
        <x:v>-10.00 até 0.00</x:v>
      </x:c>
      <x:c r="L387" s="24" t="str">
        <x:v>até -4.00</x:v>
      </x:c>
      <x:c r="M387" s="24"/>
      <x:c r="N387" s="24" t="str">
        <x:v>60 até 75mm</x:v>
      </x:c>
      <x:c r="O387" s="24"/>
      <x:c r="P387" s="24"/>
      <x:c r="Q387" s="24" t="str">
        <x:v>DISPONÍVEL</x:v>
      </x:c>
      <x:c r="R387" s="24"/>
      <x:c r="S387" s="24" t="n">
        <x:v>9</x:v>
      </x:c>
      <x:c r="T387" s="24" t="str">
        <x:v>tabela_hoya(1).pdf</x:v>
      </x:c>
      <x:c r="U387" s="24" t="str">
        <x:v>HOYA|Controle de Miopia|Surfaçada|MiYOSMART|Sunbird|||Antirreflexo MiYOSMART|-10.00 até 0.00|até -4.00||60 até 75mm|||9</x:v>
      </x:c>
    </x:row>
    <x:row r="388">
      <x:c r="A388" s="24" t="str">
        <x:v>HY-211FCB3C0D48</x:v>
      </x:c>
      <x:c r="B388" s="24" t="str">
        <x:v>HOYA</x:v>
      </x:c>
      <x:c r="C388" s="24" t="str">
        <x:v>Visão Simples</x:v>
      </x:c>
      <x:c r="D388" s="24" t="str">
        <x:v>Pronta</x:v>
      </x:c>
      <x:c r="E388" s="24" t="str">
        <x:v>Pentax Blue</x:v>
      </x:c>
      <x:c r="F388" s="24" t="str">
        <x:v>INCOLOR</x:v>
      </x:c>
      <x:c r="G388" s="24"/>
      <x:c r="H388" s="24" t="str">
        <x:v>1.67</x:v>
      </x:c>
      <x:c r="I388" s="24" t="str">
        <x:v>Pentax Blue</x:v>
      </x:c>
      <x:c r="J388" s="40" t="n">
        <x:v>899</x:v>
      </x:c>
      <x:c r="K388" s="24" t="str">
        <x:v>-6.00 até +6.00</x:v>
      </x:c>
      <x:c r="L388" s="24" t="str">
        <x:v>até -2.00</x:v>
      </x:c>
      <x:c r="M388" s="24"/>
      <x:c r="N388" s="24" t="str">
        <x:v>65/70/75mm</x:v>
      </x:c>
      <x:c r="O388" s="24"/>
      <x:c r="P388" s="24"/>
      <x:c r="Q388" s="24" t="str">
        <x:v>DISPONÍVEL</x:v>
      </x:c>
      <x:c r="R388" s="24"/>
      <x:c r="S388" s="24" t="n">
        <x:v>19</x:v>
      </x:c>
      <x:c r="T388" s="24" t="str">
        <x:v>tabela_hoya(1).pdf</x:v>
      </x:c>
      <x:c r="U388" s="24" t="str">
        <x:v>HOYA|Visão Simples|Pronta|Pentax Blue|INCOLOR||1.67|Pentax Blue|-6.00 até +6.00|até -2.00||65/70/75mm|||19</x:v>
      </x:c>
    </x:row>
    <x:row r="389">
      <x:c r="A389" s="24" t="str">
        <x:v>HY-558BA6C7435A</x:v>
      </x:c>
      <x:c r="B389" s="24" t="str">
        <x:v>HOYA</x:v>
      </x:c>
      <x:c r="C389" s="24" t="str">
        <x:v>Visão Simples</x:v>
      </x:c>
      <x:c r="D389" s="24" t="str">
        <x:v>Pronta</x:v>
      </x:c>
      <x:c r="E389" s="24" t="str">
        <x:v>Pentax Blue</x:v>
      </x:c>
      <x:c r="F389" s="24" t="str">
        <x:v>INCOLOR</x:v>
      </x:c>
      <x:c r="G389" s="24"/>
      <x:c r="H389" s="24" t="str">
        <x:v>1.59</x:v>
      </x:c>
      <x:c r="I389" s="24" t="str">
        <x:v>Pentax Blue</x:v>
      </x:c>
      <x:c r="J389" s="40" t="n">
        <x:v>559</x:v>
      </x:c>
      <x:c r="K389" s="24" t="str">
        <x:v>-4.00 até +4.00</x:v>
      </x:c>
      <x:c r="L389" s="24" t="str">
        <x:v>até -2.00</x:v>
      </x:c>
      <x:c r="M389" s="24"/>
      <x:c r="N389" s="24" t="str">
        <x:v>65/70mm</x:v>
      </x:c>
      <x:c r="O389" s="24"/>
      <x:c r="P389" s="24"/>
      <x:c r="Q389" s="24" t="str">
        <x:v>DISPONÍVEL</x:v>
      </x:c>
      <x:c r="R389" s="24"/>
      <x:c r="S389" s="24" t="n">
        <x:v>19</x:v>
      </x:c>
      <x:c r="T389" s="24" t="str">
        <x:v>tabela_hoya(1).pdf</x:v>
      </x:c>
      <x:c r="U389" s="24" t="str">
        <x:v>HOYA|Visão Simples|Pronta|Pentax Blue|INCOLOR||1.59|Pentax Blue|-4.00 até +4.00|até -2.00||65/70mm|||19</x:v>
      </x:c>
    </x:row>
    <x:row r="390">
      <x:c r="A390" s="24" t="str">
        <x:v>HY-F3224A0C6B3C</x:v>
      </x:c>
      <x:c r="B390" s="24" t="str">
        <x:v>HOYA</x:v>
      </x:c>
      <x:c r="C390" s="24" t="str">
        <x:v>Visão Simples</x:v>
      </x:c>
      <x:c r="D390" s="24" t="str">
        <x:v>Pronta</x:v>
      </x:c>
      <x:c r="E390" s="24" t="str">
        <x:v>Pentax Blue</x:v>
      </x:c>
      <x:c r="F390" s="24" t="str">
        <x:v>INCOLOR</x:v>
      </x:c>
      <x:c r="G390" s="24"/>
      <x:c r="H390" s="24" t="str">
        <x:v>1.56</x:v>
      </x:c>
      <x:c r="I390" s="24" t="str">
        <x:v>Pentax Blue</x:v>
      </x:c>
      <x:c r="J390" s="40" t="n">
        <x:v>399</x:v>
      </x:c>
      <x:c r="K390" s="24" t="str">
        <x:v>-4.00 até +4.00</x:v>
      </x:c>
      <x:c r="L390" s="24" t="str">
        <x:v>até -2.00</x:v>
      </x:c>
      <x:c r="M390" s="24"/>
      <x:c r="N390" s="24" t="str">
        <x:v>65/70mm</x:v>
      </x:c>
      <x:c r="O390" s="24"/>
      <x:c r="P390" s="24"/>
      <x:c r="Q390" s="24" t="str">
        <x:v>DISPONÍVEL</x:v>
      </x:c>
      <x:c r="R390" s="24"/>
      <x:c r="S390" s="24" t="n">
        <x:v>19</x:v>
      </x:c>
      <x:c r="T390" s="24" t="str">
        <x:v>tabela_hoya(1).pdf</x:v>
      </x:c>
      <x:c r="U390" s="24" t="str">
        <x:v>HOYA|Visão Simples|Pronta|Pentax Blue|INCOLOR||1.56|Pentax Blue|-4.00 até +4.00|até -2.00||65/70mm|||19</x:v>
      </x:c>
    </x:row>
    <x:row r="391">
      <x:c r="A391" s="24" t="str">
        <x:v>HY-81BFCE3E656E</x:v>
      </x:c>
      <x:c r="B391" s="24" t="str">
        <x:v>HOYA</x:v>
      </x:c>
      <x:c r="C391" s="24" t="str">
        <x:v>Visão Simples</x:v>
      </x:c>
      <x:c r="D391" s="24" t="str">
        <x:v>Pronta</x:v>
      </x:c>
      <x:c r="E391" s="24" t="str">
        <x:v>Pentax Photo Grey</x:v>
      </x:c>
      <x:c r="F391" s="24" t="str">
        <x:v>Fotossensível</x:v>
      </x:c>
      <x:c r="G391" s="24"/>
      <x:c r="H391" s="24" t="str">
        <x:v>1.67</x:v>
      </x:c>
      <x:c r="I391" s="24" t="str">
        <x:v>Pentax Photo Grey</x:v>
      </x:c>
      <x:c r="J391" s="40" t="n">
        <x:v>1019</x:v>
      </x:c>
      <x:c r="K391" s="24" t="str">
        <x:v>-6.00 até +6.00</x:v>
      </x:c>
      <x:c r="L391" s="24" t="str">
        <x:v>até -2.00</x:v>
      </x:c>
      <x:c r="M391" s="24"/>
      <x:c r="N391" s="24" t="str">
        <x:v>65/70/75mm</x:v>
      </x:c>
      <x:c r="O391" s="24"/>
      <x:c r="P391" s="24"/>
      <x:c r="Q391" s="24" t="str">
        <x:v>DISPONÍVEL</x:v>
      </x:c>
      <x:c r="R391" s="24"/>
      <x:c r="S391" s="24" t="n">
        <x:v>19</x:v>
      </x:c>
      <x:c r="T391" s="24" t="str">
        <x:v>tabela_hoya(1).pdf</x:v>
      </x:c>
      <x:c r="U391" s="24" t="str">
        <x:v>HOYA|Visão Simples|Pronta|Pentax Photo Grey|Fotossensível||1.67|Pentax Photo Grey|-6.00 até +6.00|até -2.00||65/70/75mm|||19</x:v>
      </x:c>
    </x:row>
    <x:row r="392">
      <x:c r="A392" s="24" t="str">
        <x:v>RD-4829DCD07E9E</x:v>
      </x:c>
      <x:c r="B392" s="24" t="str">
        <x:v>Rodenstock</x:v>
      </x:c>
      <x:c r="C392" s="24" t="str">
        <x:v>Ocupacional B.I.G. NORM</x:v>
      </x:c>
      <x:c r="D392" s="24" t="str">
        <x:v>Surfaçada</x:v>
      </x:c>
      <x:c r="E392" s="24" t="str">
        <x:v>Impression Ergo B.I.G. NORM</x:v>
      </x:c>
      <x:c r="F392" s="24"/>
      <x:c r="G392" s="24" t="str">
        <x:v>1.5 Ergo PC/Book/Room</x:v>
      </x:c>
      <x:c r="H392" s="24" t="str">
        <x:v>1.50</x:v>
      </x:c>
      <x:c r="I392" s="24" t="str">
        <x:v>LayR X-tra Clean</x:v>
      </x:c>
      <x:c r="J392" s="40" t="n">
        <x:v>3515</x:v>
      </x:c>
      <x:c r="K392" s="24" t="str">
        <x:v>-8 a +8</x:v>
      </x:c>
      <x:c r="L392" s="24" t="str">
        <x:v>até -6</x:v>
      </x:c>
      <x:c r="M392" s="24"/>
      <x:c r="N392" s="24" t="str">
        <x:v>75/80</x:v>
      </x:c>
      <x:c r="O392" s="24"/>
      <x:c r="P392" s="24"/>
      <x:c r="Q392" s="24" t="str">
        <x:v>DISPONÍVEL</x:v>
      </x:c>
      <x:c r="R392" s="24"/>
      <x:c r="S392" s="24" t="n">
        <x:v>13</x:v>
      </x:c>
      <x:c r="T392" s="24" t="str">
        <x:v>tabela_rodenstock.pdf</x:v>
      </x:c>
      <x:c r="U392" s="24" t="str">
        <x:v>Rodenstock|Ocupacional B.I.G. NORM|Surfaçada|Impression Ergo B.I.G. NORM||1.5 Ergo PC/Book/Room|1.50|LayR X-tra Clean|-8 a +8|até -6||75/80|||13</x:v>
      </x:c>
    </x:row>
    <x:row r="393">
      <x:c r="A393" s="24" t="str">
        <x:v>RD-DD8886049CD0</x:v>
      </x:c>
      <x:c r="B393" s="24" t="str">
        <x:v>Rodenstock</x:v>
      </x:c>
      <x:c r="C393" s="24" t="str">
        <x:v>Ocupacional B.I.G. NORM</x:v>
      </x:c>
      <x:c r="D393" s="24" t="str">
        <x:v>Surfaçada</x:v>
      </x:c>
      <x:c r="E393" s="24" t="str">
        <x:v>Impression Ergo B.I.G. NORM</x:v>
      </x:c>
      <x:c r="F393" s="24"/>
      <x:c r="G393" s="24" t="str">
        <x:v>1.5 Ergo PC/Book/Room</x:v>
      </x:c>
      <x:c r="H393" s="24" t="str">
        <x:v>1.50</x:v>
      </x:c>
      <x:c r="I393" s="24" t="str">
        <x:v>LayR Balance</x:v>
      </x:c>
      <x:c r="J393" s="40" t="n">
        <x:v>3515</x:v>
      </x:c>
      <x:c r="K393" s="24" t="str">
        <x:v>-8 a +8</x:v>
      </x:c>
      <x:c r="L393" s="24" t="str">
        <x:v>até -6</x:v>
      </x:c>
      <x:c r="M393" s="24"/>
      <x:c r="N393" s="24" t="str">
        <x:v>75/80</x:v>
      </x:c>
      <x:c r="O393" s="24"/>
      <x:c r="P393" s="24"/>
      <x:c r="Q393" s="24" t="str">
        <x:v>DISPONÍVEL</x:v>
      </x:c>
      <x:c r="R393" s="24"/>
      <x:c r="S393" s="24" t="n">
        <x:v>13</x:v>
      </x:c>
      <x:c r="T393" s="24" t="str">
        <x:v>tabela_rodenstock.pdf</x:v>
      </x:c>
      <x:c r="U393" s="24" t="str">
        <x:v>Rodenstock|Ocupacional B.I.G. NORM|Surfaçada|Impression Ergo B.I.G. NORM||1.5 Ergo PC/Book/Room|1.50|LayR Balance|-8 a +8|até -6||75/80|||13</x:v>
      </x:c>
    </x:row>
    <x:row r="394">
      <x:c r="A394" s="24" t="str">
        <x:v>RD-7D3259AC2A98</x:v>
      </x:c>
      <x:c r="B394" s="24" t="str">
        <x:v>Rodenstock</x:v>
      </x:c>
      <x:c r="C394" s="24" t="str">
        <x:v>Ocupacional B.I.G. NORM</x:v>
      </x:c>
      <x:c r="D394" s="24" t="str">
        <x:v>Surfaçada</x:v>
      </x:c>
      <x:c r="E394" s="24" t="str">
        <x:v>Impression Ergo B.I.G. NORM</x:v>
      </x:c>
      <x:c r="F394" s="24"/>
      <x:c r="G394" s="24" t="str">
        <x:v>1.5 Ergo PC/Book/Room</x:v>
      </x:c>
      <x:c r="H394" s="24" t="str">
        <x:v>1.50</x:v>
      </x:c>
      <x:c r="I394" s="24" t="str">
        <x:v>Solitaire X-tra Clean</x:v>
      </x:c>
      <x:c r="J394" s="40" t="n">
        <x:v>3445</x:v>
      </x:c>
      <x:c r="K394" s="24" t="str">
        <x:v>-8 a +8</x:v>
      </x:c>
      <x:c r="L394" s="24" t="str">
        <x:v>até -6</x:v>
      </x:c>
      <x:c r="M394" s="24"/>
      <x:c r="N394" s="24" t="str">
        <x:v>75/80</x:v>
      </x:c>
      <x:c r="O394" s="24"/>
      <x:c r="P394" s="24"/>
      <x:c r="Q394" s="24" t="str">
        <x:v>DISPONÍVEL</x:v>
      </x:c>
      <x:c r="R394" s="24"/>
      <x:c r="S394" s="24" t="n">
        <x:v>13</x:v>
      </x:c>
      <x:c r="T394" s="24" t="str">
        <x:v>tabela_rodenstock.pdf</x:v>
      </x:c>
      <x:c r="U394" s="24" t="str">
        <x:v>Rodenstock|Ocupacional B.I.G. NORM|Surfaçada|Impression Ergo B.I.G. NORM||1.5 Ergo PC/Book/Room|1.50|Solitaire X-tra Clean|-8 a +8|até -6||75/80|||13</x:v>
      </x:c>
    </x:row>
    <x:row r="395">
      <x:c r="A395" s="24" t="str">
        <x:v>RD-258B59D53BCB</x:v>
      </x:c>
      <x:c r="B395" s="24" t="str">
        <x:v>Rodenstock</x:v>
      </x:c>
      <x:c r="C395" s="24" t="str">
        <x:v>Ocupacional B.I.G. NORM</x:v>
      </x:c>
      <x:c r="D395" s="24" t="str">
        <x:v>Surfaçada</x:v>
      </x:c>
      <x:c r="E395" s="24" t="str">
        <x:v>Impression Ergo B.I.G. NORM</x:v>
      </x:c>
      <x:c r="F395" s="24"/>
      <x:c r="G395" s="24" t="str">
        <x:v>1.5 Ergo PC/Book/Room</x:v>
      </x:c>
      <x:c r="H395" s="24" t="str">
        <x:v>1.50</x:v>
      </x:c>
      <x:c r="I395" s="24" t="str">
        <x:v>Solitaire Protect Plus</x:v>
      </x:c>
      <x:c r="J395" s="40" t="n">
        <x:v>3395</x:v>
      </x:c>
      <x:c r="K395" s="24" t="str">
        <x:v>-8 a +8</x:v>
      </x:c>
      <x:c r="L395" s="24" t="str">
        <x:v>até -6</x:v>
      </x:c>
      <x:c r="M395" s="24"/>
      <x:c r="N395" s="24" t="str">
        <x:v>75/80</x:v>
      </x:c>
      <x:c r="O395" s="24"/>
      <x:c r="P395" s="24"/>
      <x:c r="Q395" s="24" t="str">
        <x:v>DISPONÍVEL</x:v>
      </x:c>
      <x:c r="R395" s="24"/>
      <x:c r="S395" s="24" t="n">
        <x:v>13</x:v>
      </x:c>
      <x:c r="T395" s="24" t="str">
        <x:v>tabela_rodenstock.pdf</x:v>
      </x:c>
      <x:c r="U395" s="24" t="str">
        <x:v>Rodenstock|Ocupacional B.I.G. NORM|Surfaçada|Impression Ergo B.I.G. NORM||1.5 Ergo PC/Book/Room|1.50|Solitaire Protect Plus|-8 a +8|até -6||75/80|||13</x:v>
      </x:c>
    </x:row>
    <x:row r="396">
      <x:c r="A396" s="24" t="str">
        <x:v>RD-DDE7E9257F9C</x:v>
      </x:c>
      <x:c r="B396" s="24" t="str">
        <x:v>Rodenstock</x:v>
      </x:c>
      <x:c r="C396" s="24" t="str">
        <x:v>Ocupacional B.I.G. NORM</x:v>
      </x:c>
      <x:c r="D396" s="24" t="str">
        <x:v>Surfaçada</x:v>
      </x:c>
      <x:c r="E396" s="24" t="str">
        <x:v>Impression Ergo B.I.G. NORM</x:v>
      </x:c>
      <x:c r="F396" s="24"/>
      <x:c r="G396" s="24" t="str">
        <x:v>1.5 Ergo PC/Book/Room</x:v>
      </x:c>
      <x:c r="H396" s="24" t="str">
        <x:v>1.50</x:v>
      </x:c>
      <x:c r="I396" s="24" t="str">
        <x:v>ROAD</x:v>
      </x:c>
      <x:c r="J396" s="40" t="n">
        <x:v>3395</x:v>
      </x:c>
      <x:c r="K396" s="24" t="str">
        <x:v>-8 a +8</x:v>
      </x:c>
      <x:c r="L396" s="24" t="str">
        <x:v>até -6</x:v>
      </x:c>
      <x:c r="M396" s="24"/>
      <x:c r="N396" s="24" t="str">
        <x:v>75/80</x:v>
      </x:c>
      <x:c r="O396" s="24"/>
      <x:c r="P396" s="24"/>
      <x:c r="Q396" s="24" t="str">
        <x:v>DISPONÍVEL</x:v>
      </x:c>
      <x:c r="R396" s="24"/>
      <x:c r="S396" s="24" t="n">
        <x:v>13</x:v>
      </x:c>
      <x:c r="T396" s="24" t="str">
        <x:v>tabela_rodenstock.pdf</x:v>
      </x:c>
      <x:c r="U396" s="24" t="str">
        <x:v>Rodenstock|Ocupacional B.I.G. NORM|Surfaçada|Impression Ergo B.I.G. NORM||1.5 Ergo PC/Book/Room|1.50|ROAD|-8 a +8|até -6||75/80|||13</x:v>
      </x:c>
    </x:row>
    <x:row r="397">
      <x:c r="A397" s="24" t="str">
        <x:v>RD-6B6E0EFFBB62</x:v>
      </x:c>
      <x:c r="B397" s="24" t="str">
        <x:v>Rodenstock</x:v>
      </x:c>
      <x:c r="C397" s="24" t="str">
        <x:v>Ocupacional B.I.G. NORM</x:v>
      </x:c>
      <x:c r="D397" s="24" t="str">
        <x:v>Surfaçada</x:v>
      </x:c>
      <x:c r="E397" s="24" t="str">
        <x:v>Impression Ergo B.I.G. NORM</x:v>
      </x:c>
      <x:c r="F397" s="24"/>
      <x:c r="G397" s="24" t="str">
        <x:v>1.5 Ergo PC/Book/Room</x:v>
      </x:c>
      <x:c r="H397" s="24" t="str">
        <x:v>1.50</x:v>
      </x:c>
      <x:c r="I397" s="24" t="str">
        <x:v>Solitaire Protect</x:v>
      </x:c>
      <x:c r="J397" s="40" t="n">
        <x:v>3135</x:v>
      </x:c>
      <x:c r="K397" s="24" t="str">
        <x:v>-8 a +8</x:v>
      </x:c>
      <x:c r="L397" s="24" t="str">
        <x:v>até -6</x:v>
      </x:c>
      <x:c r="M397" s="24"/>
      <x:c r="N397" s="24" t="str">
        <x:v>75/80</x:v>
      </x:c>
      <x:c r="O397" s="24"/>
      <x:c r="P397" s="24"/>
      <x:c r="Q397" s="24" t="str">
        <x:v>DISPONÍVEL</x:v>
      </x:c>
      <x:c r="R397" s="24"/>
      <x:c r="S397" s="24" t="n">
        <x:v>13</x:v>
      </x:c>
      <x:c r="T397" s="24" t="str">
        <x:v>tabela_rodenstock.pdf</x:v>
      </x:c>
      <x:c r="U397" s="24" t="str">
        <x:v>Rodenstock|Ocupacional B.I.G. NORM|Surfaçada|Impression Ergo B.I.G. NORM||1.5 Ergo PC/Book/Room|1.50|Solitaire Protect|-8 a +8|até -6||75/80|||13</x:v>
      </x:c>
    </x:row>
    <x:row r="398">
      <x:c r="A398" s="24" t="str">
        <x:v>RD-810224679CE2</x:v>
      </x:c>
      <x:c r="B398" s="24" t="str">
        <x:v>Rodenstock</x:v>
      </x:c>
      <x:c r="C398" s="24" t="str">
        <x:v>Ocupacional B.I.G. NORM</x:v>
      </x:c>
      <x:c r="D398" s="24" t="str">
        <x:v>Surfaçada</x:v>
      </x:c>
      <x:c r="E398" s="24" t="str">
        <x:v>Impression Ergo B.I.G. NORM</x:v>
      </x:c>
      <x:c r="F398" s="24"/>
      <x:c r="G398" s="24" t="str">
        <x:v>1.6 Ergo PC/Book/Room</x:v>
      </x:c>
      <x:c r="H398" s="24" t="str">
        <x:v>1.60</x:v>
      </x:c>
      <x:c r="I398" s="24" t="str">
        <x:v>LayR X-tra Clean</x:v>
      </x:c>
      <x:c r="J398" s="40" t="n">
        <x:v>4595</x:v>
      </x:c>
      <x:c r="K398" s="24" t="str">
        <x:v>-10 a +8</x:v>
      </x:c>
      <x:c r="L398" s="24" t="str">
        <x:v>até -6</x:v>
      </x:c>
      <x:c r="M398" s="24"/>
      <x:c r="N398" s="24" t="str">
        <x:v>75/80</x:v>
      </x:c>
      <x:c r="O398" s="24"/>
      <x:c r="P398" s="24"/>
      <x:c r="Q398" s="24" t="str">
        <x:v>DISPONÍVEL</x:v>
      </x:c>
      <x:c r="R398" s="24"/>
      <x:c r="S398" s="24" t="n">
        <x:v>13</x:v>
      </x:c>
      <x:c r="T398" s="24" t="str">
        <x:v>tabela_rodenstock.pdf</x:v>
      </x:c>
      <x:c r="U398" s="24" t="str">
        <x:v>Rodenstock|Ocupacional B.I.G. NORM|Surfaçada|Impression Ergo B.I.G. NORM||1.6 Ergo PC/Book/Room|1.60|LayR X-tra Clean|-10 a +8|até -6||75/80|||13</x:v>
      </x:c>
    </x:row>
    <x:row r="399">
      <x:c r="A399" s="24" t="str">
        <x:v>RD-6EEA410B77F0</x:v>
      </x:c>
      <x:c r="B399" s="24" t="str">
        <x:v>Rodenstock</x:v>
      </x:c>
      <x:c r="C399" s="24" t="str">
        <x:v>Ocupacional B.I.G. NORM</x:v>
      </x:c>
      <x:c r="D399" s="24" t="str">
        <x:v>Surfaçada</x:v>
      </x:c>
      <x:c r="E399" s="24" t="str">
        <x:v>Impression Ergo B.I.G. NORM</x:v>
      </x:c>
      <x:c r="F399" s="24"/>
      <x:c r="G399" s="24" t="str">
        <x:v>1.6 Ergo PC/Book/Room</x:v>
      </x:c>
      <x:c r="H399" s="24" t="str">
        <x:v>1.60</x:v>
      </x:c>
      <x:c r="I399" s="24" t="str">
        <x:v>LayR Balance</x:v>
      </x:c>
      <x:c r="J399" s="40" t="n">
        <x:v>4595</x:v>
      </x:c>
      <x:c r="K399" s="24" t="str">
        <x:v>-10 a +8</x:v>
      </x:c>
      <x:c r="L399" s="24" t="str">
        <x:v>até -6</x:v>
      </x:c>
      <x:c r="M399" s="24"/>
      <x:c r="N399" s="24" t="str">
        <x:v>75/80</x:v>
      </x:c>
      <x:c r="O399" s="24"/>
      <x:c r="P399" s="24"/>
      <x:c r="Q399" s="24" t="str">
        <x:v>DISPONÍVEL</x:v>
      </x:c>
      <x:c r="R399" s="24"/>
      <x:c r="S399" s="24" t="n">
        <x:v>13</x:v>
      </x:c>
      <x:c r="T399" s="24" t="str">
        <x:v>tabela_rodenstock.pdf</x:v>
      </x:c>
      <x:c r="U399" s="24" t="str">
        <x:v>Rodenstock|Ocupacional B.I.G. NORM|Surfaçada|Impression Ergo B.I.G. NORM||1.6 Ergo PC/Book/Room|1.60|LayR Balance|-10 a +8|até -6||75/80|||13</x:v>
      </x:c>
    </x:row>
    <x:row r="400">
      <x:c r="A400" s="24" t="str">
        <x:v>RD-A06503F9CE50</x:v>
      </x:c>
      <x:c r="B400" s="24" t="str">
        <x:v>Rodenstock</x:v>
      </x:c>
      <x:c r="C400" s="24" t="str">
        <x:v>Ocupacional B.I.G. NORM</x:v>
      </x:c>
      <x:c r="D400" s="24" t="str">
        <x:v>Surfaçada</x:v>
      </x:c>
      <x:c r="E400" s="24" t="str">
        <x:v>Impression Ergo B.I.G. NORM</x:v>
      </x:c>
      <x:c r="F400" s="24"/>
      <x:c r="G400" s="24" t="str">
        <x:v>1.6 Ergo PC/Book/Room</x:v>
      </x:c>
      <x:c r="H400" s="24" t="str">
        <x:v>1.60</x:v>
      </x:c>
      <x:c r="I400" s="24" t="str">
        <x:v>Solitaire X-tra Clean</x:v>
      </x:c>
      <x:c r="J400" s="40" t="n">
        <x:v>4525</x:v>
      </x:c>
      <x:c r="K400" s="24" t="str">
        <x:v>-10 a +8</x:v>
      </x:c>
      <x:c r="L400" s="24" t="str">
        <x:v>até -6</x:v>
      </x:c>
      <x:c r="M400" s="24"/>
      <x:c r="N400" s="24" t="str">
        <x:v>75/80</x:v>
      </x:c>
      <x:c r="O400" s="24"/>
      <x:c r="P400" s="24"/>
      <x:c r="Q400" s="24" t="str">
        <x:v>DISPONÍVEL</x:v>
      </x:c>
      <x:c r="R400" s="24"/>
      <x:c r="S400" s="24" t="n">
        <x:v>13</x:v>
      </x:c>
      <x:c r="T400" s="24" t="str">
        <x:v>tabela_rodenstock.pdf</x:v>
      </x:c>
      <x:c r="U400" s="24" t="str">
        <x:v>Rodenstock|Ocupacional B.I.G. NORM|Surfaçada|Impression Ergo B.I.G. NORM||1.6 Ergo PC/Book/Room|1.60|Solitaire X-tra Clean|-10 a +8|até -6||75/80|||13</x:v>
      </x:c>
    </x:row>
    <x:row r="401">
      <x:c r="A401" s="24" t="str">
        <x:v>RD-78DE53BBB987</x:v>
      </x:c>
      <x:c r="B401" s="24" t="str">
        <x:v>Rodenstock</x:v>
      </x:c>
      <x:c r="C401" s="24" t="str">
        <x:v>Ocupacional B.I.G. NORM</x:v>
      </x:c>
      <x:c r="D401" s="24" t="str">
        <x:v>Surfaçada</x:v>
      </x:c>
      <x:c r="E401" s="24" t="str">
        <x:v>Impression Ergo B.I.G. NORM</x:v>
      </x:c>
      <x:c r="F401" s="24"/>
      <x:c r="G401" s="24" t="str">
        <x:v>1.6 Ergo PC/Book/Room</x:v>
      </x:c>
      <x:c r="H401" s="24" t="str">
        <x:v>1.60</x:v>
      </x:c>
      <x:c r="I401" s="24" t="str">
        <x:v>Solitaire Protect Plus</x:v>
      </x:c>
      <x:c r="J401" s="40" t="n">
        <x:v>4475</x:v>
      </x:c>
      <x:c r="K401" s="24" t="str">
        <x:v>-10 a +8</x:v>
      </x:c>
      <x:c r="L401" s="24" t="str">
        <x:v>até -6</x:v>
      </x:c>
      <x:c r="M401" s="24"/>
      <x:c r="N401" s="24" t="str">
        <x:v>75/80</x:v>
      </x:c>
      <x:c r="O401" s="24"/>
      <x:c r="P401" s="24"/>
      <x:c r="Q401" s="24" t="str">
        <x:v>DISPONÍVEL</x:v>
      </x:c>
      <x:c r="R401" s="24"/>
      <x:c r="S401" s="24" t="n">
        <x:v>13</x:v>
      </x:c>
      <x:c r="T401" s="24" t="str">
        <x:v>tabela_rodenstock.pdf</x:v>
      </x:c>
      <x:c r="U401" s="24" t="str">
        <x:v>Rodenstock|Ocupacional B.I.G. NORM|Surfaçada|Impression Ergo B.I.G. NORM||1.6 Ergo PC/Book/Room|1.60|Solitaire Protect Plus|-10 a +8|até -6||75/80|||13</x:v>
      </x:c>
    </x:row>
    <x:row r="402">
      <x:c r="A402" s="24" t="str">
        <x:v>RD-C0111F95783C</x:v>
      </x:c>
      <x:c r="B402" s="24" t="str">
        <x:v>Rodenstock</x:v>
      </x:c>
      <x:c r="C402" s="24" t="str">
        <x:v>Ocupacional B.I.G. NORM</x:v>
      </x:c>
      <x:c r="D402" s="24" t="str">
        <x:v>Surfaçada</x:v>
      </x:c>
      <x:c r="E402" s="24" t="str">
        <x:v>Impression Ergo B.I.G. NORM</x:v>
      </x:c>
      <x:c r="F402" s="24"/>
      <x:c r="G402" s="24" t="str">
        <x:v>1.6 Ergo PC/Book/Room</x:v>
      </x:c>
      <x:c r="H402" s="24" t="str">
        <x:v>1.60</x:v>
      </x:c>
      <x:c r="I402" s="24" t="str">
        <x:v>ROAD</x:v>
      </x:c>
      <x:c r="J402" s="40" t="n">
        <x:v>4475</x:v>
      </x:c>
      <x:c r="K402" s="24" t="str">
        <x:v>-10 a +8</x:v>
      </x:c>
      <x:c r="L402" s="24" t="str">
        <x:v>até -6</x:v>
      </x:c>
      <x:c r="M402" s="24"/>
      <x:c r="N402" s="24" t="str">
        <x:v>75/80</x:v>
      </x:c>
      <x:c r="O402" s="24"/>
      <x:c r="P402" s="24"/>
      <x:c r="Q402" s="24" t="str">
        <x:v>DISPONÍVEL</x:v>
      </x:c>
      <x:c r="R402" s="24"/>
      <x:c r="S402" s="24" t="n">
        <x:v>13</x:v>
      </x:c>
      <x:c r="T402" s="24" t="str">
        <x:v>tabela_rodenstock.pdf</x:v>
      </x:c>
      <x:c r="U402" s="24" t="str">
        <x:v>Rodenstock|Ocupacional B.I.G. NORM|Surfaçada|Impression Ergo B.I.G. NORM||1.6 Ergo PC/Book/Room|1.60|ROAD|-10 a +8|até -6||75/80|||13</x:v>
      </x:c>
    </x:row>
    <x:row r="403">
      <x:c r="A403" s="24" t="str">
        <x:v>RD-4D78CB538DEB</x:v>
      </x:c>
      <x:c r="B403" s="24" t="str">
        <x:v>Rodenstock</x:v>
      </x:c>
      <x:c r="C403" s="24" t="str">
        <x:v>Ocupacional B.I.G. NORM</x:v>
      </x:c>
      <x:c r="D403" s="24" t="str">
        <x:v>Surfaçada</x:v>
      </x:c>
      <x:c r="E403" s="24" t="str">
        <x:v>Impression Ergo B.I.G. NORM</x:v>
      </x:c>
      <x:c r="F403" s="24"/>
      <x:c r="G403" s="24" t="str">
        <x:v>1.6 Ergo PC/Book/Room</x:v>
      </x:c>
      <x:c r="H403" s="24" t="str">
        <x:v>1.60</x:v>
      </x:c>
      <x:c r="I403" s="24" t="str">
        <x:v>Solitaire Protect</x:v>
      </x:c>
      <x:c r="J403" s="40" t="n">
        <x:v>4215</x:v>
      </x:c>
      <x:c r="K403" s="24" t="str">
        <x:v>-10 a +8</x:v>
      </x:c>
      <x:c r="L403" s="24" t="str">
        <x:v>até -6</x:v>
      </x:c>
      <x:c r="M403" s="24"/>
      <x:c r="N403" s="24" t="str">
        <x:v>75/80</x:v>
      </x:c>
      <x:c r="O403" s="24"/>
      <x:c r="P403" s="24"/>
      <x:c r="Q403" s="24" t="str">
        <x:v>DISPONÍVEL</x:v>
      </x:c>
      <x:c r="R403" s="24"/>
      <x:c r="S403" s="24" t="n">
        <x:v>13</x:v>
      </x:c>
      <x:c r="T403" s="24" t="str">
        <x:v>tabela_rodenstock.pdf</x:v>
      </x:c>
      <x:c r="U403" s="24" t="str">
        <x:v>Rodenstock|Ocupacional B.I.G. NORM|Surfaçada|Impression Ergo B.I.G. NORM||1.6 Ergo PC/Book/Room|1.60|Solitaire Protect|-10 a +8|até -6||75/80|||13</x:v>
      </x:c>
    </x:row>
    <x:row r="404">
      <x:c r="A404" s="24" t="str">
        <x:v>RD-71D2A246BCAC</x:v>
      </x:c>
      <x:c r="B404" s="24" t="str">
        <x:v>Rodenstock</x:v>
      </x:c>
      <x:c r="C404" s="24" t="str">
        <x:v>Ocupacional B.I.G. NORM</x:v>
      </x:c>
      <x:c r="D404" s="24" t="str">
        <x:v>Surfaçada</x:v>
      </x:c>
      <x:c r="E404" s="24" t="str">
        <x:v>Impression Ergo B.I.G. NORM</x:v>
      </x:c>
      <x:c r="F404" s="24" t="str">
        <x:v>PRO410</x:v>
      </x:c>
      <x:c r="G404" s="24" t="str">
        <x:v>1.6</x:v>
      </x:c>
      <x:c r="H404" s="24" t="str">
        <x:v>1.60</x:v>
      </x:c>
      <x:c r="I404" s="24" t="str">
        <x:v>LayR X-tra Clean</x:v>
      </x:c>
      <x:c r="J404" s="40" t="n">
        <x:v>4763</x:v>
      </x:c>
      <x:c r="K404" s="24" t="str">
        <x:v>-10 a +8</x:v>
      </x:c>
      <x:c r="L404" s="24" t="str">
        <x:v>até -6</x:v>
      </x:c>
      <x:c r="M404" s="24"/>
      <x:c r="N404" s="24" t="str">
        <x:v>75/80</x:v>
      </x:c>
      <x:c r="O404" s="24"/>
      <x:c r="P404" s="24"/>
      <x:c r="Q404" s="24" t="str">
        <x:v>DISPONÍVEL</x:v>
      </x:c>
      <x:c r="R404" s="24"/>
      <x:c r="S404" s="24" t="n">
        <x:v>13</x:v>
      </x:c>
      <x:c r="T404" s="24" t="str">
        <x:v>tabela_rodenstock.pdf</x:v>
      </x:c>
      <x:c r="U404" s="24" t="str">
        <x:v>Rodenstock|Ocupacional B.I.G. NORM|Surfaçada|Impression Ergo B.I.G. NORM|PRO410|1.6|1.60|LayR X-tra Clean|-10 a +8|até -6||75/80|||13</x:v>
      </x:c>
    </x:row>
    <x:row r="405">
      <x:c r="A405" s="24" t="str">
        <x:v>RD-58D3BB86F345</x:v>
      </x:c>
      <x:c r="B405" s="24" t="str">
        <x:v>Rodenstock</x:v>
      </x:c>
      <x:c r="C405" s="24" t="str">
        <x:v>Ocupacional B.I.G. NORM</x:v>
      </x:c>
      <x:c r="D405" s="24" t="str">
        <x:v>Surfaçada</x:v>
      </x:c>
      <x:c r="E405" s="24" t="str">
        <x:v>Impression Ergo B.I.G. NORM</x:v>
      </x:c>
      <x:c r="F405" s="24" t="str">
        <x:v>PRO410</x:v>
      </x:c>
      <x:c r="G405" s="24" t="str">
        <x:v>1.6</x:v>
      </x:c>
      <x:c r="H405" s="24" t="str">
        <x:v>1.60</x:v>
      </x:c>
      <x:c r="I405" s="24" t="str">
        <x:v>LayR Balance</x:v>
      </x:c>
      <x:c r="J405" s="40" t="n">
        <x:v>4763</x:v>
      </x:c>
      <x:c r="K405" s="24" t="str">
        <x:v>-10 a +8</x:v>
      </x:c>
      <x:c r="L405" s="24" t="str">
        <x:v>até -6</x:v>
      </x:c>
      <x:c r="M405" s="24"/>
      <x:c r="N405" s="24" t="str">
        <x:v>75/80</x:v>
      </x:c>
      <x:c r="O405" s="24"/>
      <x:c r="P405" s="24"/>
      <x:c r="Q405" s="24" t="str">
        <x:v>DISPONÍVEL</x:v>
      </x:c>
      <x:c r="R405" s="24"/>
      <x:c r="S405" s="24" t="n">
        <x:v>13</x:v>
      </x:c>
      <x:c r="T405" s="24" t="str">
        <x:v>tabela_rodenstock.pdf</x:v>
      </x:c>
      <x:c r="U405" s="24" t="str">
        <x:v>Rodenstock|Ocupacional B.I.G. NORM|Surfaçada|Impression Ergo B.I.G. NORM|PRO410|1.6|1.60|LayR Balance|-10 a +8|até -6||75/80|||13</x:v>
      </x:c>
    </x:row>
    <x:row r="406">
      <x:c r="A406" s="24" t="str">
        <x:v>RD-D06C0A09DAD1</x:v>
      </x:c>
      <x:c r="B406" s="24" t="str">
        <x:v>Rodenstock</x:v>
      </x:c>
      <x:c r="C406" s="24" t="str">
        <x:v>Ocupacional B.I.G. NORM</x:v>
      </x:c>
      <x:c r="D406" s="24" t="str">
        <x:v>Surfaçada</x:v>
      </x:c>
      <x:c r="E406" s="24" t="str">
        <x:v>Impression Ergo B.I.G. NORM</x:v>
      </x:c>
      <x:c r="F406" s="24" t="str">
        <x:v>PRO410</x:v>
      </x:c>
      <x:c r="G406" s="24" t="str">
        <x:v>1.6</x:v>
      </x:c>
      <x:c r="H406" s="24" t="str">
        <x:v>1.60</x:v>
      </x:c>
      <x:c r="I406" s="24" t="str">
        <x:v>Solitaire X-tra Clean</x:v>
      </x:c>
      <x:c r="J406" s="40" t="n">
        <x:v>4693</x:v>
      </x:c>
      <x:c r="K406" s="24" t="str">
        <x:v>-10 a +8</x:v>
      </x:c>
      <x:c r="L406" s="24" t="str">
        <x:v>até -6</x:v>
      </x:c>
      <x:c r="M406" s="24"/>
      <x:c r="N406" s="24" t="str">
        <x:v>75/80</x:v>
      </x:c>
      <x:c r="O406" s="24"/>
      <x:c r="P406" s="24"/>
      <x:c r="Q406" s="24" t="str">
        <x:v>DISPONÍVEL</x:v>
      </x:c>
      <x:c r="R406" s="24"/>
      <x:c r="S406" s="24" t="n">
        <x:v>13</x:v>
      </x:c>
      <x:c r="T406" s="24" t="str">
        <x:v>tabela_rodenstock.pdf</x:v>
      </x:c>
      <x:c r="U406" s="24" t="str">
        <x:v>Rodenstock|Ocupacional B.I.G. NORM|Surfaçada|Impression Ergo B.I.G. NORM|PRO410|1.6|1.60|Solitaire X-tra Clean|-10 a +8|até -6||75/80|||13</x:v>
      </x:c>
    </x:row>
    <x:row r="407">
      <x:c r="A407" s="24" t="str">
        <x:v>RD-1DE81416C441</x:v>
      </x:c>
      <x:c r="B407" s="24" t="str">
        <x:v>Rodenstock</x:v>
      </x:c>
      <x:c r="C407" s="24" t="str">
        <x:v>Ocupacional B.I.G. NORM</x:v>
      </x:c>
      <x:c r="D407" s="24" t="str">
        <x:v>Surfaçada</x:v>
      </x:c>
      <x:c r="E407" s="24" t="str">
        <x:v>Impression Ergo B.I.G. NORM</x:v>
      </x:c>
      <x:c r="F407" s="24" t="str">
        <x:v>PRO410</x:v>
      </x:c>
      <x:c r="G407" s="24" t="str">
        <x:v>1.6</x:v>
      </x:c>
      <x:c r="H407" s="24" t="str">
        <x:v>1.60</x:v>
      </x:c>
      <x:c r="I407" s="24" t="str">
        <x:v>Solitaire Protect Plus</x:v>
      </x:c>
      <x:c r="J407" s="40" t="n">
        <x:v>4643</x:v>
      </x:c>
      <x:c r="K407" s="24" t="str">
        <x:v>-10 a +8</x:v>
      </x:c>
      <x:c r="L407" s="24" t="str">
        <x:v>até -6</x:v>
      </x:c>
      <x:c r="M407" s="24"/>
      <x:c r="N407" s="24" t="str">
        <x:v>75/80</x:v>
      </x:c>
      <x:c r="O407" s="24"/>
      <x:c r="P407" s="24"/>
      <x:c r="Q407" s="24" t="str">
        <x:v>DISPONÍVEL</x:v>
      </x:c>
      <x:c r="R407" s="24"/>
      <x:c r="S407" s="24" t="n">
        <x:v>13</x:v>
      </x:c>
      <x:c r="T407" s="24" t="str">
        <x:v>tabela_rodenstock.pdf</x:v>
      </x:c>
      <x:c r="U407" s="24" t="str">
        <x:v>Rodenstock|Ocupacional B.I.G. NORM|Surfaçada|Impression Ergo B.I.G. NORM|PRO410|1.6|1.60|Solitaire Protect Plus|-10 a +8|até -6||75/80|||13</x:v>
      </x:c>
    </x:row>
    <x:row r="408">
      <x:c r="A408" s="24" t="str">
        <x:v>RD-FFAE9255F32E</x:v>
      </x:c>
      <x:c r="B408" s="24" t="str">
        <x:v>Rodenstock</x:v>
      </x:c>
      <x:c r="C408" s="24" t="str">
        <x:v>Ocupacional B.I.G. NORM</x:v>
      </x:c>
      <x:c r="D408" s="24" t="str">
        <x:v>Surfaçada</x:v>
      </x:c>
      <x:c r="E408" s="24" t="str">
        <x:v>Impression Ergo B.I.G. NORM</x:v>
      </x:c>
      <x:c r="F408" s="24" t="str">
        <x:v>PRO410</x:v>
      </x:c>
      <x:c r="G408" s="24" t="str">
        <x:v>1.6</x:v>
      </x:c>
      <x:c r="H408" s="24" t="str">
        <x:v>1.60</x:v>
      </x:c>
      <x:c r="I408" s="24" t="str">
        <x:v>ROAD</x:v>
      </x:c>
      <x:c r="J408" s="40" t="n">
        <x:v>4643</x:v>
      </x:c>
      <x:c r="K408" s="24" t="str">
        <x:v>-10 a +8</x:v>
      </x:c>
      <x:c r="L408" s="24" t="str">
        <x:v>até -6</x:v>
      </x:c>
      <x:c r="M408" s="24"/>
      <x:c r="N408" s="24" t="str">
        <x:v>75/80</x:v>
      </x:c>
      <x:c r="O408" s="24"/>
      <x:c r="P408" s="24"/>
      <x:c r="Q408" s="24" t="str">
        <x:v>DISPONÍVEL</x:v>
      </x:c>
      <x:c r="R408" s="24"/>
      <x:c r="S408" s="24" t="n">
        <x:v>13</x:v>
      </x:c>
      <x:c r="T408" s="24" t="str">
        <x:v>tabela_rodenstock.pdf</x:v>
      </x:c>
      <x:c r="U408" s="24" t="str">
        <x:v>Rodenstock|Ocupacional B.I.G. NORM|Surfaçada|Impression Ergo B.I.G. NORM|PRO410|1.6|1.60|ROAD|-10 a +8|até -6||75/80|||13</x:v>
      </x:c>
    </x:row>
    <x:row r="409">
      <x:c r="A409" s="24" t="str">
        <x:v>RD-F4AAFC1AC103</x:v>
      </x:c>
      <x:c r="B409" s="24" t="str">
        <x:v>Rodenstock</x:v>
      </x:c>
      <x:c r="C409" s="24" t="str">
        <x:v>Ocupacional B.I.G. NORM</x:v>
      </x:c>
      <x:c r="D409" s="24" t="str">
        <x:v>Surfaçada</x:v>
      </x:c>
      <x:c r="E409" s="24" t="str">
        <x:v>Impression Ergo B.I.G. NORM</x:v>
      </x:c>
      <x:c r="F409" s="24" t="str">
        <x:v>PRO410</x:v>
      </x:c>
      <x:c r="G409" s="24" t="str">
        <x:v>1.6</x:v>
      </x:c>
      <x:c r="H409" s="24" t="str">
        <x:v>1.60</x:v>
      </x:c>
      <x:c r="I409" s="24" t="str">
        <x:v>Solitaire Protect</x:v>
      </x:c>
      <x:c r="J409" s="40" t="n">
        <x:v>4383</x:v>
      </x:c>
      <x:c r="K409" s="24" t="str">
        <x:v>-10 a +8</x:v>
      </x:c>
      <x:c r="L409" s="24" t="str">
        <x:v>até -6</x:v>
      </x:c>
      <x:c r="M409" s="24"/>
      <x:c r="N409" s="24" t="str">
        <x:v>75/80</x:v>
      </x:c>
      <x:c r="O409" s="24"/>
      <x:c r="P409" s="24"/>
      <x:c r="Q409" s="24" t="str">
        <x:v>DISPONÍVEL</x:v>
      </x:c>
      <x:c r="R409" s="24"/>
      <x:c r="S409" s="24" t="n">
        <x:v>13</x:v>
      </x:c>
      <x:c r="T409" s="24" t="str">
        <x:v>tabela_rodenstock.pdf</x:v>
      </x:c>
      <x:c r="U409" s="24" t="str">
        <x:v>Rodenstock|Ocupacional B.I.G. NORM|Surfaçada|Impression Ergo B.I.G. NORM|PRO410|1.6|1.60|Solitaire Protect|-10 a +8|até -6||75/80|||13</x:v>
      </x:c>
    </x:row>
    <x:row r="410">
      <x:c r="A410" s="24" t="str">
        <x:v>RD-8F30870B2E63</x:v>
      </x:c>
      <x:c r="B410" s="24" t="str">
        <x:v>Rodenstock</x:v>
      </x:c>
      <x:c r="C410" s="24" t="str">
        <x:v>Ocupacional B.I.G. NORM</x:v>
      </x:c>
      <x:c r="D410" s="24" t="str">
        <x:v>Surfaçada</x:v>
      </x:c>
      <x:c r="E410" s="24" t="str">
        <x:v>Impression Ergo B.I.G. NORM</x:v>
      </x:c>
      <x:c r="F410" s="24"/>
      <x:c r="G410" s="24" t="str">
        <x:v>1.67 Ergo PC/Book/Room</x:v>
      </x:c>
      <x:c r="H410" s="24" t="str">
        <x:v>1.67</x:v>
      </x:c>
      <x:c r="I410" s="24" t="str">
        <x:v>LayR X-tra Clean</x:v>
      </x:c>
      <x:c r="J410" s="40" t="n">
        <x:v>6373</x:v>
      </x:c>
      <x:c r="K410" s="24" t="str">
        <x:v>-10 a +8</x:v>
      </x:c>
      <x:c r="L410" s="24" t="str">
        <x:v>até -6</x:v>
      </x:c>
      <x:c r="M410" s="24"/>
      <x:c r="N410" s="24" t="str">
        <x:v>75/80</x:v>
      </x:c>
      <x:c r="O410" s="24"/>
      <x:c r="P410" s="24"/>
      <x:c r="Q410" s="24" t="str">
        <x:v>DISPONÍVEL</x:v>
      </x:c>
      <x:c r="R410" s="24"/>
      <x:c r="S410" s="24" t="n">
        <x:v>13</x:v>
      </x:c>
      <x:c r="T410" s="24" t="str">
        <x:v>tabela_rodenstock.pdf</x:v>
      </x:c>
      <x:c r="U410" s="24" t="str">
        <x:v>Rodenstock|Ocupacional B.I.G. NORM|Surfaçada|Impression Ergo B.I.G. NORM||1.67 Ergo PC/Book/Room|1.67|LayR X-tra Clean|-10 a +8|até -6||75/80|||13</x:v>
      </x:c>
    </x:row>
    <x:row r="411">
      <x:c r="A411" s="24" t="str">
        <x:v>RD-F4E9DF468DED</x:v>
      </x:c>
      <x:c r="B411" s="24" t="str">
        <x:v>Rodenstock</x:v>
      </x:c>
      <x:c r="C411" s="24" t="str">
        <x:v>Ocupacional B.I.G. NORM</x:v>
      </x:c>
      <x:c r="D411" s="24" t="str">
        <x:v>Surfaçada</x:v>
      </x:c>
      <x:c r="E411" s="24" t="str">
        <x:v>Impression Ergo B.I.G. NORM</x:v>
      </x:c>
      <x:c r="F411" s="24"/>
      <x:c r="G411" s="24" t="str">
        <x:v>1.67 Ergo PC/Book/Room</x:v>
      </x:c>
      <x:c r="H411" s="24" t="str">
        <x:v>1.67</x:v>
      </x:c>
      <x:c r="I411" s="24" t="str">
        <x:v>LayR Balance</x:v>
      </x:c>
      <x:c r="J411" s="40" t="n">
        <x:v>6373</x:v>
      </x:c>
      <x:c r="K411" s="24" t="str">
        <x:v>-10 a +8</x:v>
      </x:c>
      <x:c r="L411" s="24" t="str">
        <x:v>até -6</x:v>
      </x:c>
      <x:c r="M411" s="24"/>
      <x:c r="N411" s="24" t="str">
        <x:v>75/80</x:v>
      </x:c>
      <x:c r="O411" s="24"/>
      <x:c r="P411" s="24"/>
      <x:c r="Q411" s="24" t="str">
        <x:v>DISPONÍVEL</x:v>
      </x:c>
      <x:c r="R411" s="24"/>
      <x:c r="S411" s="24" t="n">
        <x:v>13</x:v>
      </x:c>
      <x:c r="T411" s="24" t="str">
        <x:v>tabela_rodenstock.pdf</x:v>
      </x:c>
      <x:c r="U411" s="24" t="str">
        <x:v>Rodenstock|Ocupacional B.I.G. NORM|Surfaçada|Impression Ergo B.I.G. NORM||1.67 Ergo PC/Book/Room|1.67|LayR Balance|-10 a +8|até -6||75/80|||13</x:v>
      </x:c>
    </x:row>
    <x:row r="412">
      <x:c r="A412" s="24" t="str">
        <x:v>RD-098BDC729989</x:v>
      </x:c>
      <x:c r="B412" s="24" t="str">
        <x:v>Rodenstock</x:v>
      </x:c>
      <x:c r="C412" s="24" t="str">
        <x:v>Ocupacional B.I.G. NORM</x:v>
      </x:c>
      <x:c r="D412" s="24" t="str">
        <x:v>Surfaçada</x:v>
      </x:c>
      <x:c r="E412" s="24" t="str">
        <x:v>Impression Ergo B.I.G. NORM</x:v>
      </x:c>
      <x:c r="F412" s="24"/>
      <x:c r="G412" s="24" t="str">
        <x:v>1.67 Ergo PC/Book/Room</x:v>
      </x:c>
      <x:c r="H412" s="24" t="str">
        <x:v>1.67</x:v>
      </x:c>
      <x:c r="I412" s="24" t="str">
        <x:v>Solitaire X-tra Clean</x:v>
      </x:c>
      <x:c r="J412" s="40" t="n">
        <x:v>6303</x:v>
      </x:c>
      <x:c r="K412" s="24" t="str">
        <x:v>-10 a +8</x:v>
      </x:c>
      <x:c r="L412" s="24" t="str">
        <x:v>até -6</x:v>
      </x:c>
      <x:c r="M412" s="24"/>
      <x:c r="N412" s="24" t="str">
        <x:v>75/80</x:v>
      </x:c>
      <x:c r="O412" s="24"/>
      <x:c r="P412" s="24"/>
      <x:c r="Q412" s="24" t="str">
        <x:v>DISPONÍVEL</x:v>
      </x:c>
      <x:c r="R412" s="24"/>
      <x:c r="S412" s="24" t="n">
        <x:v>13</x:v>
      </x:c>
      <x:c r="T412" s="24" t="str">
        <x:v>tabela_rodenstock.pdf</x:v>
      </x:c>
      <x:c r="U412" s="24" t="str">
        <x:v>Rodenstock|Ocupacional B.I.G. NORM|Surfaçada|Impression Ergo B.I.G. NORM||1.67 Ergo PC/Book/Room|1.67|Solitaire X-tra Clean|-10 a +8|até -6||75/80|||13</x:v>
      </x:c>
    </x:row>
    <x:row r="413">
      <x:c r="A413" s="24" t="str">
        <x:v>RD-51E52711A388</x:v>
      </x:c>
      <x:c r="B413" s="24" t="str">
        <x:v>Rodenstock</x:v>
      </x:c>
      <x:c r="C413" s="24" t="str">
        <x:v>Ocupacional B.I.G. NORM</x:v>
      </x:c>
      <x:c r="D413" s="24" t="str">
        <x:v>Surfaçada</x:v>
      </x:c>
      <x:c r="E413" s="24" t="str">
        <x:v>Impression Ergo B.I.G. NORM</x:v>
      </x:c>
      <x:c r="F413" s="24"/>
      <x:c r="G413" s="24" t="str">
        <x:v>1.67 Ergo PC/Book/Room</x:v>
      </x:c>
      <x:c r="H413" s="24" t="str">
        <x:v>1.67</x:v>
      </x:c>
      <x:c r="I413" s="24" t="str">
        <x:v>Solitaire Protect Plus</x:v>
      </x:c>
      <x:c r="J413" s="40" t="n">
        <x:v>6253</x:v>
      </x:c>
      <x:c r="K413" s="24" t="str">
        <x:v>-10 a +8</x:v>
      </x:c>
      <x:c r="L413" s="24" t="str">
        <x:v>até -6</x:v>
      </x:c>
      <x:c r="M413" s="24"/>
      <x:c r="N413" s="24" t="str">
        <x:v>75/80</x:v>
      </x:c>
      <x:c r="O413" s="24"/>
      <x:c r="P413" s="24"/>
      <x:c r="Q413" s="24" t="str">
        <x:v>DISPONÍVEL</x:v>
      </x:c>
      <x:c r="R413" s="24"/>
      <x:c r="S413" s="24" t="n">
        <x:v>13</x:v>
      </x:c>
      <x:c r="T413" s="24" t="str">
        <x:v>tabela_rodenstock.pdf</x:v>
      </x:c>
      <x:c r="U413" s="24" t="str">
        <x:v>Rodenstock|Ocupacional B.I.G. NORM|Surfaçada|Impression Ergo B.I.G. NORM||1.67 Ergo PC/Book/Room|1.67|Solitaire Protect Plus|-10 a +8|até -6||75/80|||13</x:v>
      </x:c>
    </x:row>
    <x:row r="414">
      <x:c r="A414" s="24" t="str">
        <x:v>RD-C7E6ABA5EF16</x:v>
      </x:c>
      <x:c r="B414" s="24" t="str">
        <x:v>Rodenstock</x:v>
      </x:c>
      <x:c r="C414" s="24" t="str">
        <x:v>Ocupacional B.I.G. NORM</x:v>
      </x:c>
      <x:c r="D414" s="24" t="str">
        <x:v>Surfaçada</x:v>
      </x:c>
      <x:c r="E414" s="24" t="str">
        <x:v>Impression Ergo B.I.G. NORM</x:v>
      </x:c>
      <x:c r="F414" s="24"/>
      <x:c r="G414" s="24" t="str">
        <x:v>1.67 Ergo PC/Book/Room</x:v>
      </x:c>
      <x:c r="H414" s="24" t="str">
        <x:v>1.67</x:v>
      </x:c>
      <x:c r="I414" s="24" t="str">
        <x:v>ROAD</x:v>
      </x:c>
      <x:c r="J414" s="40" t="n">
        <x:v>6253</x:v>
      </x:c>
      <x:c r="K414" s="24" t="str">
        <x:v>-10 a +8</x:v>
      </x:c>
      <x:c r="L414" s="24" t="str">
        <x:v>até -6</x:v>
      </x:c>
      <x:c r="M414" s="24"/>
      <x:c r="N414" s="24" t="str">
        <x:v>75/80</x:v>
      </x:c>
      <x:c r="O414" s="24"/>
      <x:c r="P414" s="24"/>
      <x:c r="Q414" s="24" t="str">
        <x:v>DISPONÍVEL</x:v>
      </x:c>
      <x:c r="R414" s="24"/>
      <x:c r="S414" s="24" t="n">
        <x:v>13</x:v>
      </x:c>
      <x:c r="T414" s="24" t="str">
        <x:v>tabela_rodenstock.pdf</x:v>
      </x:c>
      <x:c r="U414" s="24" t="str">
        <x:v>Rodenstock|Ocupacional B.I.G. NORM|Surfaçada|Impression Ergo B.I.G. NORM||1.67 Ergo PC/Book/Room|1.67|ROAD|-10 a +8|até -6||75/80|||13</x:v>
      </x:c>
    </x:row>
    <x:row r="415">
      <x:c r="A415" s="24" t="str">
        <x:v>RD-1127CAC72185</x:v>
      </x:c>
      <x:c r="B415" s="24" t="str">
        <x:v>Rodenstock</x:v>
      </x:c>
      <x:c r="C415" s="24" t="str">
        <x:v>Ocupacional B.I.G. NORM</x:v>
      </x:c>
      <x:c r="D415" s="24" t="str">
        <x:v>Surfaçada</x:v>
      </x:c>
      <x:c r="E415" s="24" t="str">
        <x:v>Impression Ergo B.I.G. NORM</x:v>
      </x:c>
      <x:c r="F415" s="24"/>
      <x:c r="G415" s="24" t="str">
        <x:v>1.67 Ergo PC/Book/Room</x:v>
      </x:c>
      <x:c r="H415" s="24" t="str">
        <x:v>1.67</x:v>
      </x:c>
      <x:c r="I415" s="24" t="str">
        <x:v>Solitaire Protect</x:v>
      </x:c>
      <x:c r="J415" s="40" t="n">
        <x:v>5993</x:v>
      </x:c>
      <x:c r="K415" s="24" t="str">
        <x:v>-10 a +8</x:v>
      </x:c>
      <x:c r="L415" s="24" t="str">
        <x:v>até -6</x:v>
      </x:c>
      <x:c r="M415" s="24"/>
      <x:c r="N415" s="24" t="str">
        <x:v>75/80</x:v>
      </x:c>
      <x:c r="O415" s="24"/>
      <x:c r="P415" s="24"/>
      <x:c r="Q415" s="24" t="str">
        <x:v>DISPONÍVEL</x:v>
      </x:c>
      <x:c r="R415" s="24"/>
      <x:c r="S415" s="24" t="n">
        <x:v>13</x:v>
      </x:c>
      <x:c r="T415" s="24" t="str">
        <x:v>tabela_rodenstock.pdf</x:v>
      </x:c>
      <x:c r="U415" s="24" t="str">
        <x:v>Rodenstock|Ocupacional B.I.G. NORM|Surfaçada|Impression Ergo B.I.G. NORM||1.67 Ergo PC/Book/Room|1.67|Solitaire Protect|-10 a +8|até -6||75/80|||13</x:v>
      </x:c>
    </x:row>
    <x:row r="416">
      <x:c r="A416" s="24" t="str">
        <x:v>RD-26ECDB9B19C2</x:v>
      </x:c>
      <x:c r="B416" s="24" t="str">
        <x:v>Rodenstock</x:v>
      </x:c>
      <x:c r="C416" s="24" t="str">
        <x:v>Ocupacional B.I.G. NORM</x:v>
      </x:c>
      <x:c r="D416" s="24" t="str">
        <x:v>Surfaçada</x:v>
      </x:c>
      <x:c r="E416" s="24" t="str">
        <x:v>Impression Ergo B.I.G. NORM</x:v>
      </x:c>
      <x:c r="F416" s="24"/>
      <x:c r="G416" s="24" t="str">
        <x:v>1.74 Ergo PC/Book/Room</x:v>
      </x:c>
      <x:c r="H416" s="24" t="str">
        <x:v>1.74</x:v>
      </x:c>
      <x:c r="I416" s="24" t="str">
        <x:v>LayR X-tra Clean</x:v>
      </x:c>
      <x:c r="J416" s="40" t="n">
        <x:v>7766</x:v>
      </x:c>
      <x:c r="K416" s="24" t="str">
        <x:v>-10 a +8</x:v>
      </x:c>
      <x:c r="L416" s="24" t="str">
        <x:v>até -6</x:v>
      </x:c>
      <x:c r="M416" s="24"/>
      <x:c r="N416" s="24" t="str">
        <x:v>75/80</x:v>
      </x:c>
      <x:c r="O416" s="24"/>
      <x:c r="P416" s="24"/>
      <x:c r="Q416" s="24" t="str">
        <x:v>DISPONÍVEL</x:v>
      </x:c>
      <x:c r="R416" s="24"/>
      <x:c r="S416" s="24" t="n">
        <x:v>13</x:v>
      </x:c>
      <x:c r="T416" s="24" t="str">
        <x:v>tabela_rodenstock.pdf</x:v>
      </x:c>
      <x:c r="U416" s="24" t="str">
        <x:v>Rodenstock|Ocupacional B.I.G. NORM|Surfaçada|Impression Ergo B.I.G. NORM||1.74 Ergo PC/Book/Room|1.74|LayR X-tra Clean|-10 a +8|até -6||75/80|||13</x:v>
      </x:c>
    </x:row>
    <x:row r="417">
      <x:c r="A417" s="24" t="str">
        <x:v>RD-BCD7B534D69A</x:v>
      </x:c>
      <x:c r="B417" s="24" t="str">
        <x:v>Rodenstock</x:v>
      </x:c>
      <x:c r="C417" s="24" t="str">
        <x:v>Ocupacional B.I.G. NORM</x:v>
      </x:c>
      <x:c r="D417" s="24" t="str">
        <x:v>Surfaçada</x:v>
      </x:c>
      <x:c r="E417" s="24" t="str">
        <x:v>Impression Ergo B.I.G. NORM</x:v>
      </x:c>
      <x:c r="F417" s="24"/>
      <x:c r="G417" s="24" t="str">
        <x:v>1.74 Ergo PC/Book/Room</x:v>
      </x:c>
      <x:c r="H417" s="24" t="str">
        <x:v>1.74</x:v>
      </x:c>
      <x:c r="I417" s="24" t="str">
        <x:v>LayR Balance</x:v>
      </x:c>
      <x:c r="J417" s="40" t="n">
        <x:v>7766</x:v>
      </x:c>
      <x:c r="K417" s="24" t="str">
        <x:v>-10 a +8</x:v>
      </x:c>
      <x:c r="L417" s="24" t="str">
        <x:v>até -6</x:v>
      </x:c>
      <x:c r="M417" s="24"/>
      <x:c r="N417" s="24" t="str">
        <x:v>75/80</x:v>
      </x:c>
      <x:c r="O417" s="24"/>
      <x:c r="P417" s="24"/>
      <x:c r="Q417" s="24" t="str">
        <x:v>DISPONÍVEL</x:v>
      </x:c>
      <x:c r="R417" s="24"/>
      <x:c r="S417" s="24" t="n">
        <x:v>13</x:v>
      </x:c>
      <x:c r="T417" s="24" t="str">
        <x:v>tabela_rodenstock.pdf</x:v>
      </x:c>
      <x:c r="U417" s="24" t="str">
        <x:v>Rodenstock|Ocupacional B.I.G. NORM|Surfaçada|Impression Ergo B.I.G. NORM||1.74 Ergo PC/Book/Room|1.74|LayR Balance|-10 a +8|até -6||75/80|||13</x:v>
      </x:c>
    </x:row>
    <x:row r="418">
      <x:c r="A418" s="24" t="str">
        <x:v>RD-B5F58DF2D771</x:v>
      </x:c>
      <x:c r="B418" s="24" t="str">
        <x:v>Rodenstock</x:v>
      </x:c>
      <x:c r="C418" s="24" t="str">
        <x:v>Ocupacional B.I.G. NORM</x:v>
      </x:c>
      <x:c r="D418" s="24" t="str">
        <x:v>Surfaçada</x:v>
      </x:c>
      <x:c r="E418" s="24" t="str">
        <x:v>Impression Ergo B.I.G. NORM</x:v>
      </x:c>
      <x:c r="F418" s="24"/>
      <x:c r="G418" s="24" t="str">
        <x:v>1.74 Ergo PC/Book/Room</x:v>
      </x:c>
      <x:c r="H418" s="24" t="str">
        <x:v>1.74</x:v>
      </x:c>
      <x:c r="I418" s="24" t="str">
        <x:v>Solitaire X-tra Clean</x:v>
      </x:c>
      <x:c r="J418" s="40" t="n">
        <x:v>7696</x:v>
      </x:c>
      <x:c r="K418" s="24" t="str">
        <x:v>-10 a +8</x:v>
      </x:c>
      <x:c r="L418" s="24" t="str">
        <x:v>até -6</x:v>
      </x:c>
      <x:c r="M418" s="24"/>
      <x:c r="N418" s="24" t="str">
        <x:v>75/80</x:v>
      </x:c>
      <x:c r="O418" s="24"/>
      <x:c r="P418" s="24"/>
      <x:c r="Q418" s="24" t="str">
        <x:v>DISPONÍVEL</x:v>
      </x:c>
      <x:c r="R418" s="24"/>
      <x:c r="S418" s="24" t="n">
        <x:v>13</x:v>
      </x:c>
      <x:c r="T418" s="24" t="str">
        <x:v>tabela_rodenstock.pdf</x:v>
      </x:c>
      <x:c r="U418" s="24" t="str">
        <x:v>Rodenstock|Ocupacional B.I.G. NORM|Surfaçada|Impression Ergo B.I.G. NORM||1.74 Ergo PC/Book/Room|1.74|Solitaire X-tra Clean|-10 a +8|até -6||75/80|||13</x:v>
      </x:c>
    </x:row>
    <x:row r="419">
      <x:c r="A419" s="24" t="str">
        <x:v>RD-1EF0BC206CA3</x:v>
      </x:c>
      <x:c r="B419" s="24" t="str">
        <x:v>Rodenstock</x:v>
      </x:c>
      <x:c r="C419" s="24" t="str">
        <x:v>Ocupacional B.I.G. NORM</x:v>
      </x:c>
      <x:c r="D419" s="24" t="str">
        <x:v>Surfaçada</x:v>
      </x:c>
      <x:c r="E419" s="24" t="str">
        <x:v>Impression Ergo B.I.G. NORM</x:v>
      </x:c>
      <x:c r="F419" s="24"/>
      <x:c r="G419" s="24" t="str">
        <x:v>1.74 Ergo PC/Book/Room</x:v>
      </x:c>
      <x:c r="H419" s="24" t="str">
        <x:v>1.74</x:v>
      </x:c>
      <x:c r="I419" s="24" t="str">
        <x:v>Solitaire Protect Plus</x:v>
      </x:c>
      <x:c r="J419" s="40" t="n">
        <x:v>7646</x:v>
      </x:c>
      <x:c r="K419" s="24" t="str">
        <x:v>-10 a +8</x:v>
      </x:c>
      <x:c r="L419" s="24" t="str">
        <x:v>até -6</x:v>
      </x:c>
      <x:c r="M419" s="24"/>
      <x:c r="N419" s="24" t="str">
        <x:v>75/80</x:v>
      </x:c>
      <x:c r="O419" s="24"/>
      <x:c r="P419" s="24"/>
      <x:c r="Q419" s="24" t="str">
        <x:v>DISPONÍVEL</x:v>
      </x:c>
      <x:c r="R419" s="24"/>
      <x:c r="S419" s="24" t="n">
        <x:v>13</x:v>
      </x:c>
      <x:c r="T419" s="24" t="str">
        <x:v>tabela_rodenstock.pdf</x:v>
      </x:c>
      <x:c r="U419" s="24" t="str">
        <x:v>Rodenstock|Ocupacional B.I.G. NORM|Surfaçada|Impression Ergo B.I.G. NORM||1.74 Ergo PC/Book/Room|1.74|Solitaire Protect Plus|-10 a +8|até -6||75/80|||13</x:v>
      </x:c>
    </x:row>
    <x:row r="420">
      <x:c r="A420" s="24" t="str">
        <x:v>RD-5DDC83B616F9</x:v>
      </x:c>
      <x:c r="B420" s="24" t="str">
        <x:v>Rodenstock</x:v>
      </x:c>
      <x:c r="C420" s="24" t="str">
        <x:v>Ocupacional B.I.G. NORM</x:v>
      </x:c>
      <x:c r="D420" s="24" t="str">
        <x:v>Surfaçada</x:v>
      </x:c>
      <x:c r="E420" s="24" t="str">
        <x:v>Impression Ergo B.I.G. NORM</x:v>
      </x:c>
      <x:c r="F420" s="24"/>
      <x:c r="G420" s="24" t="str">
        <x:v>1.74 Ergo PC/Book/Room</x:v>
      </x:c>
      <x:c r="H420" s="24" t="str">
        <x:v>1.74</x:v>
      </x:c>
      <x:c r="I420" s="24" t="str">
        <x:v>Solitaire Protect</x:v>
      </x:c>
      <x:c r="J420" s="40" t="n">
        <x:v>7386</x:v>
      </x:c>
      <x:c r="K420" s="24" t="str">
        <x:v>-10 a +8</x:v>
      </x:c>
      <x:c r="L420" s="24" t="str">
        <x:v>até -6</x:v>
      </x:c>
      <x:c r="M420" s="24"/>
      <x:c r="N420" s="24" t="str">
        <x:v>75/80</x:v>
      </x:c>
      <x:c r="O420" s="24"/>
      <x:c r="P420" s="24"/>
      <x:c r="Q420" s="24" t="str">
        <x:v>DISPONÍVEL</x:v>
      </x:c>
      <x:c r="R420" s="24"/>
      <x:c r="S420" s="24" t="n">
        <x:v>13</x:v>
      </x:c>
      <x:c r="T420" s="24" t="str">
        <x:v>tabela_rodenstock.pdf</x:v>
      </x:c>
      <x:c r="U420" s="24" t="str">
        <x:v>Rodenstock|Ocupacional B.I.G. NORM|Surfaçada|Impression Ergo B.I.G. NORM||1.74 Ergo PC/Book/Room|1.74|Solitaire Protect|-10 a +8|até -6||75/80|||13</x:v>
      </x:c>
    </x:row>
    <x:row r="421">
      <x:c r="A421" s="24" t="str">
        <x:v>RD-24345073B183</x:v>
      </x:c>
      <x:c r="B421" s="24" t="str">
        <x:v>Rodenstock</x:v>
      </x:c>
      <x:c r="C421" s="24" t="str">
        <x:v>Ocupacional B.I.G. NORM</x:v>
      </x:c>
      <x:c r="D421" s="24" t="str">
        <x:v>Surfaçada</x:v>
      </x:c>
      <x:c r="E421" s="24" t="str">
        <x:v>Multigressiv Ergo B.I.G. NORM</x:v>
      </x:c>
      <x:c r="F421" s="24"/>
      <x:c r="G421" s="24" t="str">
        <x:v>1.5 Ergo PC/Book/Room</x:v>
      </x:c>
      <x:c r="H421" s="24" t="str">
        <x:v>1.50</x:v>
      </x:c>
      <x:c r="I421" s="24" t="str">
        <x:v>LayR X-tra Clean</x:v>
      </x:c>
      <x:c r="J421" s="40" t="n">
        <x:v>2739</x:v>
      </x:c>
      <x:c r="K421" s="24" t="str">
        <x:v>-8 a +8</x:v>
      </x:c>
      <x:c r="L421" s="24" t="str">
        <x:v>até -6</x:v>
      </x:c>
      <x:c r="M421" s="24"/>
      <x:c r="N421" s="24" t="str">
        <x:v>75/80</x:v>
      </x:c>
      <x:c r="O421" s="24"/>
      <x:c r="P421" s="24"/>
      <x:c r="Q421" s="24" t="str">
        <x:v>DISPONÍVEL</x:v>
      </x:c>
      <x:c r="R421" s="24"/>
      <x:c r="S421" s="24" t="n">
        <x:v>13</x:v>
      </x:c>
      <x:c r="T421" s="24" t="str">
        <x:v>tabela_rodenstock.pdf</x:v>
      </x:c>
      <x:c r="U421" s="24" t="str">
        <x:v>Rodenstock|Ocupacional B.I.G. NORM|Surfaçada|Multigressiv Ergo B.I.G. NORM||1.5 Ergo PC/Book/Room|1.50|LayR X-tra Clean|-8 a +8|até -6||75/80|||13</x:v>
      </x:c>
    </x:row>
    <x:row r="422">
      <x:c r="A422" s="24" t="str">
        <x:v>RD-133827629E2F</x:v>
      </x:c>
      <x:c r="B422" s="24" t="str">
        <x:v>Rodenstock</x:v>
      </x:c>
      <x:c r="C422" s="24" t="str">
        <x:v>Ocupacional B.I.G. NORM</x:v>
      </x:c>
      <x:c r="D422" s="24" t="str">
        <x:v>Surfaçada</x:v>
      </x:c>
      <x:c r="E422" s="24" t="str">
        <x:v>Multigressiv Ergo B.I.G. NORM</x:v>
      </x:c>
      <x:c r="F422" s="24"/>
      <x:c r="G422" s="24" t="str">
        <x:v>1.5 Ergo PC/Book/Room</x:v>
      </x:c>
      <x:c r="H422" s="24" t="str">
        <x:v>1.50</x:v>
      </x:c>
      <x:c r="I422" s="24" t="str">
        <x:v>LayR Balance</x:v>
      </x:c>
      <x:c r="J422" s="40" t="n">
        <x:v>2739</x:v>
      </x:c>
      <x:c r="K422" s="24" t="str">
        <x:v>-8 a +8</x:v>
      </x:c>
      <x:c r="L422" s="24" t="str">
        <x:v>até -6</x:v>
      </x:c>
      <x:c r="M422" s="24"/>
      <x:c r="N422" s="24" t="str">
        <x:v>75/80</x:v>
      </x:c>
      <x:c r="O422" s="24"/>
      <x:c r="P422" s="24"/>
      <x:c r="Q422" s="24" t="str">
        <x:v>DISPONÍVEL</x:v>
      </x:c>
      <x:c r="R422" s="24"/>
      <x:c r="S422" s="24" t="n">
        <x:v>13</x:v>
      </x:c>
      <x:c r="T422" s="24" t="str">
        <x:v>tabela_rodenstock.pdf</x:v>
      </x:c>
      <x:c r="U422" s="24" t="str">
        <x:v>Rodenstock|Ocupacional B.I.G. NORM|Surfaçada|Multigressiv Ergo B.I.G. NORM||1.5 Ergo PC/Book/Room|1.50|LayR Balance|-8 a +8|até -6||75/80|||13</x:v>
      </x:c>
    </x:row>
    <x:row r="423">
      <x:c r="A423" s="24" t="str">
        <x:v>RD-9192DE818FE2</x:v>
      </x:c>
      <x:c r="B423" s="24" t="str">
        <x:v>Rodenstock</x:v>
      </x:c>
      <x:c r="C423" s="24" t="str">
        <x:v>Ocupacional B.I.G. NORM</x:v>
      </x:c>
      <x:c r="D423" s="24" t="str">
        <x:v>Surfaçada</x:v>
      </x:c>
      <x:c r="E423" s="24" t="str">
        <x:v>Multigressiv Ergo B.I.G. NORM</x:v>
      </x:c>
      <x:c r="F423" s="24"/>
      <x:c r="G423" s="24" t="str">
        <x:v>1.5 Ergo PC/Book/Room</x:v>
      </x:c>
      <x:c r="H423" s="24" t="str">
        <x:v>1.50</x:v>
      </x:c>
      <x:c r="I423" s="24" t="str">
        <x:v>Solitaire X-tra Clean</x:v>
      </x:c>
      <x:c r="J423" s="40" t="n">
        <x:v>2669</x:v>
      </x:c>
      <x:c r="K423" s="24" t="str">
        <x:v>-8 a +8</x:v>
      </x:c>
      <x:c r="L423" s="24" t="str">
        <x:v>até -6</x:v>
      </x:c>
      <x:c r="M423" s="24"/>
      <x:c r="N423" s="24" t="str">
        <x:v>75/80</x:v>
      </x:c>
      <x:c r="O423" s="24"/>
      <x:c r="P423" s="24"/>
      <x:c r="Q423" s="24" t="str">
        <x:v>DISPONÍVEL</x:v>
      </x:c>
      <x:c r="R423" s="24"/>
      <x:c r="S423" s="24" t="n">
        <x:v>13</x:v>
      </x:c>
      <x:c r="T423" s="24" t="str">
        <x:v>tabela_rodenstock.pdf</x:v>
      </x:c>
      <x:c r="U423" s="24" t="str">
        <x:v>Rodenstock|Ocupacional B.I.G. NORM|Surfaçada|Multigressiv Ergo B.I.G. NORM||1.5 Ergo PC/Book/Room|1.50|Solitaire X-tra Clean|-8 a +8|até -6||75/80|||13</x:v>
      </x:c>
    </x:row>
    <x:row r="424">
      <x:c r="A424" s="24" t="str">
        <x:v>RD-CDF636D64CDF</x:v>
      </x:c>
      <x:c r="B424" s="24" t="str">
        <x:v>Rodenstock</x:v>
      </x:c>
      <x:c r="C424" s="24" t="str">
        <x:v>Ocupacional B.I.G. NORM</x:v>
      </x:c>
      <x:c r="D424" s="24" t="str">
        <x:v>Surfaçada</x:v>
      </x:c>
      <x:c r="E424" s="24" t="str">
        <x:v>Multigressiv Ergo B.I.G. NORM</x:v>
      </x:c>
      <x:c r="F424" s="24"/>
      <x:c r="G424" s="24" t="str">
        <x:v>1.5 Ergo PC/Book/Room</x:v>
      </x:c>
      <x:c r="H424" s="24" t="str">
        <x:v>1.50</x:v>
      </x:c>
      <x:c r="I424" s="24" t="str">
        <x:v>Solitaire Protect Plus</x:v>
      </x:c>
      <x:c r="J424" s="40" t="n">
        <x:v>2619</x:v>
      </x:c>
      <x:c r="K424" s="24" t="str">
        <x:v>-8 a +8</x:v>
      </x:c>
      <x:c r="L424" s="24" t="str">
        <x:v>até -6</x:v>
      </x:c>
      <x:c r="M424" s="24"/>
      <x:c r="N424" s="24" t="str">
        <x:v>75/80</x:v>
      </x:c>
      <x:c r="O424" s="24"/>
      <x:c r="P424" s="24"/>
      <x:c r="Q424" s="24" t="str">
        <x:v>DISPONÍVEL</x:v>
      </x:c>
      <x:c r="R424" s="24"/>
      <x:c r="S424" s="24" t="n">
        <x:v>13</x:v>
      </x:c>
      <x:c r="T424" s="24" t="str">
        <x:v>tabela_rodenstock.pdf</x:v>
      </x:c>
      <x:c r="U424" s="24" t="str">
        <x:v>Rodenstock|Ocupacional B.I.G. NORM|Surfaçada|Multigressiv Ergo B.I.G. NORM||1.5 Ergo PC/Book/Room|1.50|Solitaire Protect Plus|-8 a +8|até -6||75/80|||13</x:v>
      </x:c>
    </x:row>
    <x:row r="425">
      <x:c r="A425" s="24" t="str">
        <x:v>RD-795F8D574D7A</x:v>
      </x:c>
      <x:c r="B425" s="24" t="str">
        <x:v>Rodenstock</x:v>
      </x:c>
      <x:c r="C425" s="24" t="str">
        <x:v>Ocupacional B.I.G. NORM</x:v>
      </x:c>
      <x:c r="D425" s="24" t="str">
        <x:v>Surfaçada</x:v>
      </x:c>
      <x:c r="E425" s="24" t="str">
        <x:v>Multigressiv Ergo B.I.G. NORM</x:v>
      </x:c>
      <x:c r="F425" s="24"/>
      <x:c r="G425" s="24" t="str">
        <x:v>1.5 Ergo PC/Book/Room</x:v>
      </x:c>
      <x:c r="H425" s="24" t="str">
        <x:v>1.50</x:v>
      </x:c>
      <x:c r="I425" s="24" t="str">
        <x:v>ROAD</x:v>
      </x:c>
      <x:c r="J425" s="40" t="n">
        <x:v>2619</x:v>
      </x:c>
      <x:c r="K425" s="24" t="str">
        <x:v>-8 a +8</x:v>
      </x:c>
      <x:c r="L425" s="24" t="str">
        <x:v>até -6</x:v>
      </x:c>
      <x:c r="M425" s="24"/>
      <x:c r="N425" s="24" t="str">
        <x:v>75/80</x:v>
      </x:c>
      <x:c r="O425" s="24"/>
      <x:c r="P425" s="24"/>
      <x:c r="Q425" s="24" t="str">
        <x:v>DISPONÍVEL</x:v>
      </x:c>
      <x:c r="R425" s="24"/>
      <x:c r="S425" s="24" t="n">
        <x:v>13</x:v>
      </x:c>
      <x:c r="T425" s="24" t="str">
        <x:v>tabela_rodenstock.pdf</x:v>
      </x:c>
      <x:c r="U425" s="24" t="str">
        <x:v>Rodenstock|Ocupacional B.I.G. NORM|Surfaçada|Multigressiv Ergo B.I.G. NORM||1.5 Ergo PC/Book/Room|1.50|ROAD|-8 a +8|até -6||75/80|||13</x:v>
      </x:c>
    </x:row>
    <x:row r="426">
      <x:c r="A426" s="24" t="str">
        <x:v>RD-D4DC6B6AD738</x:v>
      </x:c>
      <x:c r="B426" s="24" t="str">
        <x:v>Rodenstock</x:v>
      </x:c>
      <x:c r="C426" s="24" t="str">
        <x:v>Ocupacional B.I.G. NORM</x:v>
      </x:c>
      <x:c r="D426" s="24" t="str">
        <x:v>Surfaçada</x:v>
      </x:c>
      <x:c r="E426" s="24" t="str">
        <x:v>Multigressiv Ergo B.I.G. NORM</x:v>
      </x:c>
      <x:c r="F426" s="24"/>
      <x:c r="G426" s="24" t="str">
        <x:v>1.5 Ergo PC/Book/Room</x:v>
      </x:c>
      <x:c r="H426" s="24" t="str">
        <x:v>1.50</x:v>
      </x:c>
      <x:c r="I426" s="24" t="str">
        <x:v>Solitaire Protect</x:v>
      </x:c>
      <x:c r="J426" s="40" t="n">
        <x:v>2359</x:v>
      </x:c>
      <x:c r="K426" s="24" t="str">
        <x:v>-8 a +8</x:v>
      </x:c>
      <x:c r="L426" s="24" t="str">
        <x:v>até -6</x:v>
      </x:c>
      <x:c r="M426" s="24"/>
      <x:c r="N426" s="24" t="str">
        <x:v>75/80</x:v>
      </x:c>
      <x:c r="O426" s="24"/>
      <x:c r="P426" s="24"/>
      <x:c r="Q426" s="24" t="str">
        <x:v>DISPONÍVEL</x:v>
      </x:c>
      <x:c r="R426" s="24"/>
      <x:c r="S426" s="24" t="n">
        <x:v>13</x:v>
      </x:c>
      <x:c r="T426" s="24" t="str">
        <x:v>tabela_rodenstock.pdf</x:v>
      </x:c>
      <x:c r="U426" s="24" t="str">
        <x:v>Rodenstock|Ocupacional B.I.G. NORM|Surfaçada|Multigressiv Ergo B.I.G. NORM||1.5 Ergo PC/Book/Room|1.50|Solitaire Protect|-8 a +8|até -6||75/80|||13</x:v>
      </x:c>
    </x:row>
    <x:row r="427">
      <x:c r="A427" s="24" t="str">
        <x:v>RD-9A13BC6D1046</x:v>
      </x:c>
      <x:c r="B427" s="24" t="str">
        <x:v>Rodenstock</x:v>
      </x:c>
      <x:c r="C427" s="24" t="str">
        <x:v>Ocupacional B.I.G. NORM</x:v>
      </x:c>
      <x:c r="D427" s="24" t="str">
        <x:v>Surfaçada</x:v>
      </x:c>
      <x:c r="E427" s="24" t="str">
        <x:v>Multigressiv Ergo B.I.G. NORM</x:v>
      </x:c>
      <x:c r="F427" s="24"/>
      <x:c r="G427" s="24" t="str">
        <x:v>1.6 Ergo PC/Book/Room</x:v>
      </x:c>
      <x:c r="H427" s="24" t="str">
        <x:v>1.60</x:v>
      </x:c>
      <x:c r="I427" s="24" t="str">
        <x:v>LayR X-tra Clean</x:v>
      </x:c>
      <x:c r="J427" s="40" t="n">
        <x:v>3874</x:v>
      </x:c>
      <x:c r="K427" s="24" t="str">
        <x:v>-10 a +8</x:v>
      </x:c>
      <x:c r="L427" s="24" t="str">
        <x:v>até -6</x:v>
      </x:c>
      <x:c r="M427" s="24"/>
      <x:c r="N427" s="24" t="str">
        <x:v>75/80</x:v>
      </x:c>
      <x:c r="O427" s="24"/>
      <x:c r="P427" s="24"/>
      <x:c r="Q427" s="24" t="str">
        <x:v>DISPONÍVEL</x:v>
      </x:c>
      <x:c r="R427" s="24"/>
      <x:c r="S427" s="24" t="n">
        <x:v>13</x:v>
      </x:c>
      <x:c r="T427" s="24" t="str">
        <x:v>tabela_rodenstock.pdf</x:v>
      </x:c>
      <x:c r="U427" s="24" t="str">
        <x:v>Rodenstock|Ocupacional B.I.G. NORM|Surfaçada|Multigressiv Ergo B.I.G. NORM||1.6 Ergo PC/Book/Room|1.60|LayR X-tra Clean|-10 a +8|até -6||75/80|||13</x:v>
      </x:c>
    </x:row>
    <x:row r="428">
      <x:c r="A428" s="24" t="str">
        <x:v>RD-A4C8F1EEE873</x:v>
      </x:c>
      <x:c r="B428" s="24" t="str">
        <x:v>Rodenstock</x:v>
      </x:c>
      <x:c r="C428" s="24" t="str">
        <x:v>Ocupacional B.I.G. NORM</x:v>
      </x:c>
      <x:c r="D428" s="24" t="str">
        <x:v>Surfaçada</x:v>
      </x:c>
      <x:c r="E428" s="24" t="str">
        <x:v>Multigressiv Ergo B.I.G. NORM</x:v>
      </x:c>
      <x:c r="F428" s="24"/>
      <x:c r="G428" s="24" t="str">
        <x:v>1.6 Ergo PC/Book/Room</x:v>
      </x:c>
      <x:c r="H428" s="24" t="str">
        <x:v>1.60</x:v>
      </x:c>
      <x:c r="I428" s="24" t="str">
        <x:v>LayR Balance</x:v>
      </x:c>
      <x:c r="J428" s="40" t="n">
        <x:v>3874</x:v>
      </x:c>
      <x:c r="K428" s="24" t="str">
        <x:v>-10 a +8</x:v>
      </x:c>
      <x:c r="L428" s="24" t="str">
        <x:v>até -6</x:v>
      </x:c>
      <x:c r="M428" s="24"/>
      <x:c r="N428" s="24" t="str">
        <x:v>75/80</x:v>
      </x:c>
      <x:c r="O428" s="24"/>
      <x:c r="P428" s="24"/>
      <x:c r="Q428" s="24" t="str">
        <x:v>DISPONÍVEL</x:v>
      </x:c>
      <x:c r="R428" s="24"/>
      <x:c r="S428" s="24" t="n">
        <x:v>13</x:v>
      </x:c>
      <x:c r="T428" s="24" t="str">
        <x:v>tabela_rodenstock.pdf</x:v>
      </x:c>
      <x:c r="U428" s="24" t="str">
        <x:v>Rodenstock|Ocupacional B.I.G. NORM|Surfaçada|Multigressiv Ergo B.I.G. NORM||1.6 Ergo PC/Book/Room|1.60|LayR Balance|-10 a +8|até -6||75/80|||13</x:v>
      </x:c>
    </x:row>
    <x:row r="429">
      <x:c r="A429" s="24" t="str">
        <x:v>RD-0F0E8FDDAE29</x:v>
      </x:c>
      <x:c r="B429" s="24" t="str">
        <x:v>Rodenstock</x:v>
      </x:c>
      <x:c r="C429" s="24" t="str">
        <x:v>Ocupacional B.I.G. NORM</x:v>
      </x:c>
      <x:c r="D429" s="24" t="str">
        <x:v>Surfaçada</x:v>
      </x:c>
      <x:c r="E429" s="24" t="str">
        <x:v>Multigressiv Ergo B.I.G. NORM</x:v>
      </x:c>
      <x:c r="F429" s="24"/>
      <x:c r="G429" s="24" t="str">
        <x:v>1.6 Ergo PC/Book/Room</x:v>
      </x:c>
      <x:c r="H429" s="24" t="str">
        <x:v>1.60</x:v>
      </x:c>
      <x:c r="I429" s="24" t="str">
        <x:v>Solitaire X-tra Clean</x:v>
      </x:c>
      <x:c r="J429" s="40" t="n">
        <x:v>3804</x:v>
      </x:c>
      <x:c r="K429" s="24" t="str">
        <x:v>-10 a +8</x:v>
      </x:c>
      <x:c r="L429" s="24" t="str">
        <x:v>até -6</x:v>
      </x:c>
      <x:c r="M429" s="24"/>
      <x:c r="N429" s="24" t="str">
        <x:v>75/80</x:v>
      </x:c>
      <x:c r="O429" s="24"/>
      <x:c r="P429" s="24"/>
      <x:c r="Q429" s="24" t="str">
        <x:v>DISPONÍVEL</x:v>
      </x:c>
      <x:c r="R429" s="24"/>
      <x:c r="S429" s="24" t="n">
        <x:v>13</x:v>
      </x:c>
      <x:c r="T429" s="24" t="str">
        <x:v>tabela_rodenstock.pdf</x:v>
      </x:c>
      <x:c r="U429" s="24" t="str">
        <x:v>Rodenstock|Ocupacional B.I.G. NORM|Surfaçada|Multigressiv Ergo B.I.G. NORM||1.6 Ergo PC/Book/Room|1.60|Solitaire X-tra Clean|-10 a +8|até -6||75/80|||13</x:v>
      </x:c>
    </x:row>
    <x:row r="430">
      <x:c r="A430" s="24" t="str">
        <x:v>RD-308A0B32668F</x:v>
      </x:c>
      <x:c r="B430" s="24" t="str">
        <x:v>Rodenstock</x:v>
      </x:c>
      <x:c r="C430" s="24" t="str">
        <x:v>Ocupacional B.I.G. NORM</x:v>
      </x:c>
      <x:c r="D430" s="24" t="str">
        <x:v>Surfaçada</x:v>
      </x:c>
      <x:c r="E430" s="24" t="str">
        <x:v>Multigressiv Ergo B.I.G. NORM</x:v>
      </x:c>
      <x:c r="F430" s="24"/>
      <x:c r="G430" s="24" t="str">
        <x:v>1.6 Ergo PC/Book/Room</x:v>
      </x:c>
      <x:c r="H430" s="24" t="str">
        <x:v>1.60</x:v>
      </x:c>
      <x:c r="I430" s="24" t="str">
        <x:v>Solitaire Protect Plus</x:v>
      </x:c>
      <x:c r="J430" s="40" t="n">
        <x:v>3754</x:v>
      </x:c>
      <x:c r="K430" s="24" t="str">
        <x:v>-10 a +8</x:v>
      </x:c>
      <x:c r="L430" s="24" t="str">
        <x:v>até -6</x:v>
      </x:c>
      <x:c r="M430" s="24"/>
      <x:c r="N430" s="24" t="str">
        <x:v>75/80</x:v>
      </x:c>
      <x:c r="O430" s="24"/>
      <x:c r="P430" s="24"/>
      <x:c r="Q430" s="24" t="str">
        <x:v>DISPONÍVEL</x:v>
      </x:c>
      <x:c r="R430" s="24"/>
      <x:c r="S430" s="24" t="n">
        <x:v>13</x:v>
      </x:c>
      <x:c r="T430" s="24" t="str">
        <x:v>tabela_rodenstock.pdf</x:v>
      </x:c>
      <x:c r="U430" s="24" t="str">
        <x:v>Rodenstock|Ocupacional B.I.G. NORM|Surfaçada|Multigressiv Ergo B.I.G. NORM||1.6 Ergo PC/Book/Room|1.60|Solitaire Protect Plus|-10 a +8|até -6||75/80|||13</x:v>
      </x:c>
    </x:row>
    <x:row r="431">
      <x:c r="A431" s="24" t="str">
        <x:v>RD-293EB6AA413B</x:v>
      </x:c>
      <x:c r="B431" s="24" t="str">
        <x:v>Rodenstock</x:v>
      </x:c>
      <x:c r="C431" s="24" t="str">
        <x:v>Ocupacional B.I.G. NORM</x:v>
      </x:c>
      <x:c r="D431" s="24" t="str">
        <x:v>Surfaçada</x:v>
      </x:c>
      <x:c r="E431" s="24" t="str">
        <x:v>Multigressiv Ergo B.I.G. NORM</x:v>
      </x:c>
      <x:c r="F431" s="24"/>
      <x:c r="G431" s="24" t="str">
        <x:v>1.6 Ergo PC/Book/Room</x:v>
      </x:c>
      <x:c r="H431" s="24" t="str">
        <x:v>1.60</x:v>
      </x:c>
      <x:c r="I431" s="24" t="str">
        <x:v>ROAD</x:v>
      </x:c>
      <x:c r="J431" s="40" t="n">
        <x:v>3754</x:v>
      </x:c>
      <x:c r="K431" s="24" t="str">
        <x:v>-10 a +8</x:v>
      </x:c>
      <x:c r="L431" s="24" t="str">
        <x:v>até -6</x:v>
      </x:c>
      <x:c r="M431" s="24"/>
      <x:c r="N431" s="24" t="str">
        <x:v>75/80</x:v>
      </x:c>
      <x:c r="O431" s="24"/>
      <x:c r="P431" s="24"/>
      <x:c r="Q431" s="24" t="str">
        <x:v>DISPONÍVEL</x:v>
      </x:c>
      <x:c r="R431" s="24"/>
      <x:c r="S431" s="24" t="n">
        <x:v>13</x:v>
      </x:c>
      <x:c r="T431" s="24" t="str">
        <x:v>tabela_rodenstock.pdf</x:v>
      </x:c>
      <x:c r="U431" s="24" t="str">
        <x:v>Rodenstock|Ocupacional B.I.G. NORM|Surfaçada|Multigressiv Ergo B.I.G. NORM||1.6 Ergo PC/Book/Room|1.60|ROAD|-10 a +8|até -6||75/80|||13</x:v>
      </x:c>
    </x:row>
    <x:row r="432">
      <x:c r="A432" s="24" t="str">
        <x:v>RD-F0E3B4A713E3</x:v>
      </x:c>
      <x:c r="B432" s="24" t="str">
        <x:v>Rodenstock</x:v>
      </x:c>
      <x:c r="C432" s="24" t="str">
        <x:v>Ocupacional B.I.G. NORM</x:v>
      </x:c>
      <x:c r="D432" s="24" t="str">
        <x:v>Surfaçada</x:v>
      </x:c>
      <x:c r="E432" s="24" t="str">
        <x:v>Multigressiv Ergo B.I.G. NORM</x:v>
      </x:c>
      <x:c r="F432" s="24"/>
      <x:c r="G432" s="24" t="str">
        <x:v>1.6 Ergo PC/Book/Room</x:v>
      </x:c>
      <x:c r="H432" s="24" t="str">
        <x:v>1.60</x:v>
      </x:c>
      <x:c r="I432" s="24" t="str">
        <x:v>Solitaire Protect</x:v>
      </x:c>
      <x:c r="J432" s="40" t="n">
        <x:v>3494</x:v>
      </x:c>
      <x:c r="K432" s="24" t="str">
        <x:v>-10 a +8</x:v>
      </x:c>
      <x:c r="L432" s="24" t="str">
        <x:v>até -6</x:v>
      </x:c>
      <x:c r="M432" s="24"/>
      <x:c r="N432" s="24" t="str">
        <x:v>75/80</x:v>
      </x:c>
      <x:c r="O432" s="24"/>
      <x:c r="P432" s="24"/>
      <x:c r="Q432" s="24" t="str">
        <x:v>DISPONÍVEL</x:v>
      </x:c>
      <x:c r="R432" s="24"/>
      <x:c r="S432" s="24" t="n">
        <x:v>13</x:v>
      </x:c>
      <x:c r="T432" s="24" t="str">
        <x:v>tabela_rodenstock.pdf</x:v>
      </x:c>
      <x:c r="U432" s="24" t="str">
        <x:v>Rodenstock|Ocupacional B.I.G. NORM|Surfaçada|Multigressiv Ergo B.I.G. NORM||1.6 Ergo PC/Book/Room|1.60|Solitaire Protect|-10 a +8|até -6||75/80|||13</x:v>
      </x:c>
    </x:row>
    <x:row r="433">
      <x:c r="A433" s="24" t="str">
        <x:v>RD-94A20F04CE6E</x:v>
      </x:c>
      <x:c r="B433" s="24" t="str">
        <x:v>Rodenstock</x:v>
      </x:c>
      <x:c r="C433" s="24" t="str">
        <x:v>Ocupacional B.I.G. NORM</x:v>
      </x:c>
      <x:c r="D433" s="24" t="str">
        <x:v>Surfaçada</x:v>
      </x:c>
      <x:c r="E433" s="24" t="str">
        <x:v>Multigressiv Ergo B.I.G. NORM</x:v>
      </x:c>
      <x:c r="F433" s="24" t="str">
        <x:v>PRO410</x:v>
      </x:c>
      <x:c r="G433" s="24" t="str">
        <x:v>1.6</x:v>
      </x:c>
      <x:c r="H433" s="24" t="str">
        <x:v>1.60</x:v>
      </x:c>
      <x:c r="I433" s="24" t="str">
        <x:v>LayR X-tra Clean</x:v>
      </x:c>
      <x:c r="J433" s="40" t="n">
        <x:v>4005</x:v>
      </x:c>
      <x:c r="K433" s="24" t="str">
        <x:v>-10 a +8</x:v>
      </x:c>
      <x:c r="L433" s="24" t="str">
        <x:v>até -6</x:v>
      </x:c>
      <x:c r="M433" s="24"/>
      <x:c r="N433" s="24" t="str">
        <x:v>75/80</x:v>
      </x:c>
      <x:c r="O433" s="24"/>
      <x:c r="P433" s="24"/>
      <x:c r="Q433" s="24" t="str">
        <x:v>DISPONÍVEL</x:v>
      </x:c>
      <x:c r="R433" s="24"/>
      <x:c r="S433" s="24" t="n">
        <x:v>13</x:v>
      </x:c>
      <x:c r="T433" s="24" t="str">
        <x:v>tabela_rodenstock.pdf</x:v>
      </x:c>
      <x:c r="U433" s="24" t="str">
        <x:v>Rodenstock|Ocupacional B.I.G. NORM|Surfaçada|Multigressiv Ergo B.I.G. NORM|PRO410|1.6|1.60|LayR X-tra Clean|-10 a +8|até -6||75/80|||13</x:v>
      </x:c>
    </x:row>
    <x:row r="434">
      <x:c r="A434" s="24" t="str">
        <x:v>RD-A321A5489C51</x:v>
      </x:c>
      <x:c r="B434" s="24" t="str">
        <x:v>Rodenstock</x:v>
      </x:c>
      <x:c r="C434" s="24" t="str">
        <x:v>Ocupacional B.I.G. NORM</x:v>
      </x:c>
      <x:c r="D434" s="24" t="str">
        <x:v>Surfaçada</x:v>
      </x:c>
      <x:c r="E434" s="24" t="str">
        <x:v>Multigressiv Ergo B.I.G. NORM</x:v>
      </x:c>
      <x:c r="F434" s="24" t="str">
        <x:v>PRO410</x:v>
      </x:c>
      <x:c r="G434" s="24" t="str">
        <x:v>1.6</x:v>
      </x:c>
      <x:c r="H434" s="24" t="str">
        <x:v>1.60</x:v>
      </x:c>
      <x:c r="I434" s="24" t="str">
        <x:v>LayR Balance</x:v>
      </x:c>
      <x:c r="J434" s="40" t="n">
        <x:v>4005</x:v>
      </x:c>
      <x:c r="K434" s="24" t="str">
        <x:v>-10 a +8</x:v>
      </x:c>
      <x:c r="L434" s="24" t="str">
        <x:v>até -6</x:v>
      </x:c>
      <x:c r="M434" s="24"/>
      <x:c r="N434" s="24" t="str">
        <x:v>75/80</x:v>
      </x:c>
      <x:c r="O434" s="24"/>
      <x:c r="P434" s="24"/>
      <x:c r="Q434" s="24" t="str">
        <x:v>DISPONÍVEL</x:v>
      </x:c>
      <x:c r="R434" s="24"/>
      <x:c r="S434" s="24" t="n">
        <x:v>13</x:v>
      </x:c>
      <x:c r="T434" s="24" t="str">
        <x:v>tabela_rodenstock.pdf</x:v>
      </x:c>
      <x:c r="U434" s="24" t="str">
        <x:v>Rodenstock|Ocupacional B.I.G. NORM|Surfaçada|Multigressiv Ergo B.I.G. NORM|PRO410|1.6|1.60|LayR Balance|-10 a +8|até -6||75/80|||13</x:v>
      </x:c>
    </x:row>
    <x:row r="435">
      <x:c r="A435" s="24" t="str">
        <x:v>RD-1A8E658688C2</x:v>
      </x:c>
      <x:c r="B435" s="24" t="str">
        <x:v>Rodenstock</x:v>
      </x:c>
      <x:c r="C435" s="24" t="str">
        <x:v>Ocupacional B.I.G. NORM</x:v>
      </x:c>
      <x:c r="D435" s="24" t="str">
        <x:v>Surfaçada</x:v>
      </x:c>
      <x:c r="E435" s="24" t="str">
        <x:v>Multigressiv Ergo B.I.G. NORM</x:v>
      </x:c>
      <x:c r="F435" s="24" t="str">
        <x:v>PRO410</x:v>
      </x:c>
      <x:c r="G435" s="24" t="str">
        <x:v>1.6</x:v>
      </x:c>
      <x:c r="H435" s="24" t="str">
        <x:v>1.60</x:v>
      </x:c>
      <x:c r="I435" s="24" t="str">
        <x:v>Solitaire X-tra Clean</x:v>
      </x:c>
      <x:c r="J435" s="40" t="n">
        <x:v>3935</x:v>
      </x:c>
      <x:c r="K435" s="24" t="str">
        <x:v>-10 a +8</x:v>
      </x:c>
      <x:c r="L435" s="24" t="str">
        <x:v>até -6</x:v>
      </x:c>
      <x:c r="M435" s="24"/>
      <x:c r="N435" s="24" t="str">
        <x:v>75/80</x:v>
      </x:c>
      <x:c r="O435" s="24"/>
      <x:c r="P435" s="24"/>
      <x:c r="Q435" s="24" t="str">
        <x:v>DISPONÍVEL</x:v>
      </x:c>
      <x:c r="R435" s="24"/>
      <x:c r="S435" s="24" t="n">
        <x:v>13</x:v>
      </x:c>
      <x:c r="T435" s="24" t="str">
        <x:v>tabela_rodenstock.pdf</x:v>
      </x:c>
      <x:c r="U435" s="24" t="str">
        <x:v>Rodenstock|Ocupacional B.I.G. NORM|Surfaçada|Multigressiv Ergo B.I.G. NORM|PRO410|1.6|1.60|Solitaire X-tra Clean|-10 a +8|até -6||75/80|||13</x:v>
      </x:c>
    </x:row>
    <x:row r="436">
      <x:c r="A436" s="24" t="str">
        <x:v>RD-C519F9BCCF4A</x:v>
      </x:c>
      <x:c r="B436" s="24" t="str">
        <x:v>Rodenstock</x:v>
      </x:c>
      <x:c r="C436" s="24" t="str">
        <x:v>Ocupacional B.I.G. NORM</x:v>
      </x:c>
      <x:c r="D436" s="24" t="str">
        <x:v>Surfaçada</x:v>
      </x:c>
      <x:c r="E436" s="24" t="str">
        <x:v>Multigressiv Ergo B.I.G. NORM</x:v>
      </x:c>
      <x:c r="F436" s="24" t="str">
        <x:v>PRO410</x:v>
      </x:c>
      <x:c r="G436" s="24" t="str">
        <x:v>1.6</x:v>
      </x:c>
      <x:c r="H436" s="24" t="str">
        <x:v>1.60</x:v>
      </x:c>
      <x:c r="I436" s="24" t="str">
        <x:v>Solitaire Protect Plus</x:v>
      </x:c>
      <x:c r="J436" s="40" t="n">
        <x:v>3885</x:v>
      </x:c>
      <x:c r="K436" s="24" t="str">
        <x:v>-10 a +8</x:v>
      </x:c>
      <x:c r="L436" s="24" t="str">
        <x:v>até -6</x:v>
      </x:c>
      <x:c r="M436" s="24"/>
      <x:c r="N436" s="24" t="str">
        <x:v>75/80</x:v>
      </x:c>
      <x:c r="O436" s="24"/>
      <x:c r="P436" s="24"/>
      <x:c r="Q436" s="24" t="str">
        <x:v>DISPONÍVEL</x:v>
      </x:c>
      <x:c r="R436" s="24"/>
      <x:c r="S436" s="24" t="n">
        <x:v>13</x:v>
      </x:c>
      <x:c r="T436" s="24" t="str">
        <x:v>tabela_rodenstock.pdf</x:v>
      </x:c>
      <x:c r="U436" s="24" t="str">
        <x:v>Rodenstock|Ocupacional B.I.G. NORM|Surfaçada|Multigressiv Ergo B.I.G. NORM|PRO410|1.6|1.60|Solitaire Protect Plus|-10 a +8|até -6||75/80|||13</x:v>
      </x:c>
    </x:row>
    <x:row r="437">
      <x:c r="A437" s="24" t="str">
        <x:v>RD-A597FEB3FA13</x:v>
      </x:c>
      <x:c r="B437" s="24" t="str">
        <x:v>Rodenstock</x:v>
      </x:c>
      <x:c r="C437" s="24" t="str">
        <x:v>Ocupacional B.I.G. NORM</x:v>
      </x:c>
      <x:c r="D437" s="24" t="str">
        <x:v>Surfaçada</x:v>
      </x:c>
      <x:c r="E437" s="24" t="str">
        <x:v>Multigressiv Ergo B.I.G. NORM</x:v>
      </x:c>
      <x:c r="F437" s="24" t="str">
        <x:v>PRO410</x:v>
      </x:c>
      <x:c r="G437" s="24" t="str">
        <x:v>1.6</x:v>
      </x:c>
      <x:c r="H437" s="24" t="str">
        <x:v>1.60</x:v>
      </x:c>
      <x:c r="I437" s="24" t="str">
        <x:v>ROAD</x:v>
      </x:c>
      <x:c r="J437" s="40" t="n">
        <x:v>3885</x:v>
      </x:c>
      <x:c r="K437" s="24" t="str">
        <x:v>-10 a +8</x:v>
      </x:c>
      <x:c r="L437" s="24" t="str">
        <x:v>até -6</x:v>
      </x:c>
      <x:c r="M437" s="24"/>
      <x:c r="N437" s="24" t="str">
        <x:v>75/80</x:v>
      </x:c>
      <x:c r="O437" s="24"/>
      <x:c r="P437" s="24"/>
      <x:c r="Q437" s="24" t="str">
        <x:v>DISPONÍVEL</x:v>
      </x:c>
      <x:c r="R437" s="24"/>
      <x:c r="S437" s="24" t="n">
        <x:v>13</x:v>
      </x:c>
      <x:c r="T437" s="24" t="str">
        <x:v>tabela_rodenstock.pdf</x:v>
      </x:c>
      <x:c r="U437" s="24" t="str">
        <x:v>Rodenstock|Ocupacional B.I.G. NORM|Surfaçada|Multigressiv Ergo B.I.G. NORM|PRO410|1.6|1.60|ROAD|-10 a +8|até -6||75/80|||13</x:v>
      </x:c>
    </x:row>
    <x:row r="438">
      <x:c r="A438" s="24" t="str">
        <x:v>RD-06D0DAB89154</x:v>
      </x:c>
      <x:c r="B438" s="24" t="str">
        <x:v>Rodenstock</x:v>
      </x:c>
      <x:c r="C438" s="24" t="str">
        <x:v>Ocupacional B.I.G. NORM</x:v>
      </x:c>
      <x:c r="D438" s="24" t="str">
        <x:v>Surfaçada</x:v>
      </x:c>
      <x:c r="E438" s="24" t="str">
        <x:v>Multigressiv Ergo B.I.G. NORM</x:v>
      </x:c>
      <x:c r="F438" s="24" t="str">
        <x:v>PRO410</x:v>
      </x:c>
      <x:c r="G438" s="24" t="str">
        <x:v>1.6</x:v>
      </x:c>
      <x:c r="H438" s="24" t="str">
        <x:v>1.60</x:v>
      </x:c>
      <x:c r="I438" s="24" t="str">
        <x:v>Solitaire Protect</x:v>
      </x:c>
      <x:c r="J438" s="40" t="n">
        <x:v>3625</x:v>
      </x:c>
      <x:c r="K438" s="24" t="str">
        <x:v>-10 a +8</x:v>
      </x:c>
      <x:c r="L438" s="24" t="str">
        <x:v>até -6</x:v>
      </x:c>
      <x:c r="M438" s="24"/>
      <x:c r="N438" s="24" t="str">
        <x:v>75/80</x:v>
      </x:c>
      <x:c r="O438" s="24"/>
      <x:c r="P438" s="24"/>
      <x:c r="Q438" s="24" t="str">
        <x:v>DISPONÍVEL</x:v>
      </x:c>
      <x:c r="R438" s="24"/>
      <x:c r="S438" s="24" t="n">
        <x:v>13</x:v>
      </x:c>
      <x:c r="T438" s="24" t="str">
        <x:v>tabela_rodenstock.pdf</x:v>
      </x:c>
      <x:c r="U438" s="24" t="str">
        <x:v>Rodenstock|Ocupacional B.I.G. NORM|Surfaçada|Multigressiv Ergo B.I.G. NORM|PRO410|1.6|1.60|Solitaire Protect|-10 a +8|até -6||75/80|||13</x:v>
      </x:c>
    </x:row>
    <x:row r="439">
      <x:c r="A439" s="24" t="str">
        <x:v>RD-92ED02E8460E</x:v>
      </x:c>
      <x:c r="B439" s="24" t="str">
        <x:v>Rodenstock</x:v>
      </x:c>
      <x:c r="C439" s="24" t="str">
        <x:v>Ocupacional B.I.G. NORM</x:v>
      </x:c>
      <x:c r="D439" s="24" t="str">
        <x:v>Surfaçada</x:v>
      </x:c>
      <x:c r="E439" s="24" t="str">
        <x:v>Multigressiv Ergo B.I.G. NORM</x:v>
      </x:c>
      <x:c r="F439" s="24"/>
      <x:c r="G439" s="24" t="str">
        <x:v>1.67 Ergo PC/Book/Room</x:v>
      </x:c>
      <x:c r="H439" s="24" t="str">
        <x:v>1.67</x:v>
      </x:c>
      <x:c r="I439" s="24" t="str">
        <x:v>LayR X-tra Clean</x:v>
      </x:c>
      <x:c r="J439" s="40" t="n">
        <x:v>5505</x:v>
      </x:c>
      <x:c r="K439" s="24" t="str">
        <x:v>-10 a +8</x:v>
      </x:c>
      <x:c r="L439" s="24" t="str">
        <x:v>até -6</x:v>
      </x:c>
      <x:c r="M439" s="24"/>
      <x:c r="N439" s="24" t="str">
        <x:v>75/80</x:v>
      </x:c>
      <x:c r="O439" s="24"/>
      <x:c r="P439" s="24"/>
      <x:c r="Q439" s="24" t="str">
        <x:v>DISPONÍVEL</x:v>
      </x:c>
      <x:c r="R439" s="24"/>
      <x:c r="S439" s="24" t="n">
        <x:v>13</x:v>
      </x:c>
      <x:c r="T439" s="24" t="str">
        <x:v>tabela_rodenstock.pdf</x:v>
      </x:c>
      <x:c r="U439" s="24" t="str">
        <x:v>Rodenstock|Ocupacional B.I.G. NORM|Surfaçada|Multigressiv Ergo B.I.G. NORM||1.67 Ergo PC/Book/Room|1.67|LayR X-tra Clean|-10 a +8|até -6||75/80|||13</x:v>
      </x:c>
    </x:row>
    <x:row r="440">
      <x:c r="A440" s="24" t="str">
        <x:v>RD-9CC0684B0D7B</x:v>
      </x:c>
      <x:c r="B440" s="24" t="str">
        <x:v>Rodenstock</x:v>
      </x:c>
      <x:c r="C440" s="24" t="str">
        <x:v>Ocupacional B.I.G. NORM</x:v>
      </x:c>
      <x:c r="D440" s="24" t="str">
        <x:v>Surfaçada</x:v>
      </x:c>
      <x:c r="E440" s="24" t="str">
        <x:v>Multigressiv Ergo B.I.G. NORM</x:v>
      </x:c>
      <x:c r="F440" s="24"/>
      <x:c r="G440" s="24" t="str">
        <x:v>1.67 Ergo PC/Book/Room</x:v>
      </x:c>
      <x:c r="H440" s="24" t="str">
        <x:v>1.67</x:v>
      </x:c>
      <x:c r="I440" s="24" t="str">
        <x:v>LayR Balance</x:v>
      </x:c>
      <x:c r="J440" s="40" t="n">
        <x:v>5505</x:v>
      </x:c>
      <x:c r="K440" s="24" t="str">
        <x:v>-10 a +8</x:v>
      </x:c>
      <x:c r="L440" s="24" t="str">
        <x:v>até -6</x:v>
      </x:c>
      <x:c r="M440" s="24"/>
      <x:c r="N440" s="24" t="str">
        <x:v>75/80</x:v>
      </x:c>
      <x:c r="O440" s="24"/>
      <x:c r="P440" s="24"/>
      <x:c r="Q440" s="24" t="str">
        <x:v>DISPONÍVEL</x:v>
      </x:c>
      <x:c r="R440" s="24"/>
      <x:c r="S440" s="24" t="n">
        <x:v>13</x:v>
      </x:c>
      <x:c r="T440" s="24" t="str">
        <x:v>tabela_rodenstock.pdf</x:v>
      </x:c>
      <x:c r="U440" s="24" t="str">
        <x:v>Rodenstock|Ocupacional B.I.G. NORM|Surfaçada|Multigressiv Ergo B.I.G. NORM||1.67 Ergo PC/Book/Room|1.67|LayR Balance|-10 a +8|até -6||75/80|||13</x:v>
      </x:c>
    </x:row>
    <x:row r="441">
      <x:c r="A441" s="24" t="str">
        <x:v>RD-E7F0EB546668</x:v>
      </x:c>
      <x:c r="B441" s="24" t="str">
        <x:v>Rodenstock</x:v>
      </x:c>
      <x:c r="C441" s="24" t="str">
        <x:v>Ocupacional B.I.G. NORM</x:v>
      </x:c>
      <x:c r="D441" s="24" t="str">
        <x:v>Surfaçada</x:v>
      </x:c>
      <x:c r="E441" s="24" t="str">
        <x:v>Multigressiv Ergo B.I.G. NORM</x:v>
      </x:c>
      <x:c r="F441" s="24"/>
      <x:c r="G441" s="24" t="str">
        <x:v>1.67 Ergo PC/Book/Room</x:v>
      </x:c>
      <x:c r="H441" s="24" t="str">
        <x:v>1.67</x:v>
      </x:c>
      <x:c r="I441" s="24" t="str">
        <x:v>Solitaire X-tra Clean</x:v>
      </x:c>
      <x:c r="J441" s="40" t="n">
        <x:v>5435</x:v>
      </x:c>
      <x:c r="K441" s="24" t="str">
        <x:v>-10 a +8</x:v>
      </x:c>
      <x:c r="L441" s="24" t="str">
        <x:v>até -6</x:v>
      </x:c>
      <x:c r="M441" s="24"/>
      <x:c r="N441" s="24" t="str">
        <x:v>75/80</x:v>
      </x:c>
      <x:c r="O441" s="24"/>
      <x:c r="P441" s="24"/>
      <x:c r="Q441" s="24" t="str">
        <x:v>DISPONÍVEL</x:v>
      </x:c>
      <x:c r="R441" s="24"/>
      <x:c r="S441" s="24" t="n">
        <x:v>13</x:v>
      </x:c>
      <x:c r="T441" s="24" t="str">
        <x:v>tabela_rodenstock.pdf</x:v>
      </x:c>
      <x:c r="U441" s="24" t="str">
        <x:v>Rodenstock|Ocupacional B.I.G. NORM|Surfaçada|Multigressiv Ergo B.I.G. NORM||1.67 Ergo PC/Book/Room|1.67|Solitaire X-tra Clean|-10 a +8|até -6||75/80|||13</x:v>
      </x:c>
    </x:row>
    <x:row r="442">
      <x:c r="A442" s="24" t="str">
        <x:v>RD-CBE50B447552</x:v>
      </x:c>
      <x:c r="B442" s="24" t="str">
        <x:v>Rodenstock</x:v>
      </x:c>
      <x:c r="C442" s="24" t="str">
        <x:v>Ocupacional B.I.G. NORM</x:v>
      </x:c>
      <x:c r="D442" s="24" t="str">
        <x:v>Surfaçada</x:v>
      </x:c>
      <x:c r="E442" s="24" t="str">
        <x:v>Multigressiv Ergo B.I.G. NORM</x:v>
      </x:c>
      <x:c r="F442" s="24"/>
      <x:c r="G442" s="24" t="str">
        <x:v>1.67 Ergo PC/Book/Room</x:v>
      </x:c>
      <x:c r="H442" s="24" t="str">
        <x:v>1.67</x:v>
      </x:c>
      <x:c r="I442" s="24" t="str">
        <x:v>Solitaire Protect Plus</x:v>
      </x:c>
      <x:c r="J442" s="40" t="n">
        <x:v>5385</x:v>
      </x:c>
      <x:c r="K442" s="24" t="str">
        <x:v>-10 a +8</x:v>
      </x:c>
      <x:c r="L442" s="24" t="str">
        <x:v>até -6</x:v>
      </x:c>
      <x:c r="M442" s="24"/>
      <x:c r="N442" s="24" t="str">
        <x:v>75/80</x:v>
      </x:c>
      <x:c r="O442" s="24"/>
      <x:c r="P442" s="24"/>
      <x:c r="Q442" s="24" t="str">
        <x:v>DISPONÍVEL</x:v>
      </x:c>
      <x:c r="R442" s="24"/>
      <x:c r="S442" s="24" t="n">
        <x:v>13</x:v>
      </x:c>
      <x:c r="T442" s="24" t="str">
        <x:v>tabela_rodenstock.pdf</x:v>
      </x:c>
      <x:c r="U442" s="24" t="str">
        <x:v>Rodenstock|Ocupacional B.I.G. NORM|Surfaçada|Multigressiv Ergo B.I.G. NORM||1.67 Ergo PC/Book/Room|1.67|Solitaire Protect Plus|-10 a +8|até -6||75/80|||13</x:v>
      </x:c>
    </x:row>
    <x:row r="443">
      <x:c r="A443" s="24" t="str">
        <x:v>RD-1DFBCC587055</x:v>
      </x:c>
      <x:c r="B443" s="24" t="str">
        <x:v>Rodenstock</x:v>
      </x:c>
      <x:c r="C443" s="24" t="str">
        <x:v>Ocupacional B.I.G. NORM</x:v>
      </x:c>
      <x:c r="D443" s="24" t="str">
        <x:v>Surfaçada</x:v>
      </x:c>
      <x:c r="E443" s="24" t="str">
        <x:v>Multigressiv Ergo B.I.G. NORM</x:v>
      </x:c>
      <x:c r="F443" s="24"/>
      <x:c r="G443" s="24" t="str">
        <x:v>1.67 Ergo PC/Book/Room</x:v>
      </x:c>
      <x:c r="H443" s="24" t="str">
        <x:v>1.67</x:v>
      </x:c>
      <x:c r="I443" s="24" t="str">
        <x:v>ROAD</x:v>
      </x:c>
      <x:c r="J443" s="40" t="n">
        <x:v>5385</x:v>
      </x:c>
      <x:c r="K443" s="24" t="str">
        <x:v>-10 a +8</x:v>
      </x:c>
      <x:c r="L443" s="24" t="str">
        <x:v>até -6</x:v>
      </x:c>
      <x:c r="M443" s="24"/>
      <x:c r="N443" s="24" t="str">
        <x:v>75/80</x:v>
      </x:c>
      <x:c r="O443" s="24"/>
      <x:c r="P443" s="24"/>
      <x:c r="Q443" s="24" t="str">
        <x:v>DISPONÍVEL</x:v>
      </x:c>
      <x:c r="R443" s="24"/>
      <x:c r="S443" s="24" t="n">
        <x:v>13</x:v>
      </x:c>
      <x:c r="T443" s="24" t="str">
        <x:v>tabela_rodenstock.pdf</x:v>
      </x:c>
      <x:c r="U443" s="24" t="str">
        <x:v>Rodenstock|Ocupacional B.I.G. NORM|Surfaçada|Multigressiv Ergo B.I.G. NORM||1.67 Ergo PC/Book/Room|1.67|ROAD|-10 a +8|até -6||75/80|||13</x:v>
      </x:c>
    </x:row>
    <x:row r="444">
      <x:c r="A444" s="24" t="str">
        <x:v>RD-0BAC14573E06</x:v>
      </x:c>
      <x:c r="B444" s="24" t="str">
        <x:v>Rodenstock</x:v>
      </x:c>
      <x:c r="C444" s="24" t="str">
        <x:v>Ocupacional B.I.G. NORM</x:v>
      </x:c>
      <x:c r="D444" s="24" t="str">
        <x:v>Surfaçada</x:v>
      </x:c>
      <x:c r="E444" s="24" t="str">
        <x:v>Multigressiv Ergo B.I.G. NORM</x:v>
      </x:c>
      <x:c r="F444" s="24"/>
      <x:c r="G444" s="24" t="str">
        <x:v>1.67 Ergo PC/Book/Room</x:v>
      </x:c>
      <x:c r="H444" s="24" t="str">
        <x:v>1.67</x:v>
      </x:c>
      <x:c r="I444" s="24" t="str">
        <x:v>Solitaire Protect</x:v>
      </x:c>
      <x:c r="J444" s="40" t="n">
        <x:v>5125</x:v>
      </x:c>
      <x:c r="K444" s="24" t="str">
        <x:v>-10 a +8</x:v>
      </x:c>
      <x:c r="L444" s="24" t="str">
        <x:v>até -6</x:v>
      </x:c>
      <x:c r="M444" s="24"/>
      <x:c r="N444" s="24" t="str">
        <x:v>75/80</x:v>
      </x:c>
      <x:c r="O444" s="24"/>
      <x:c r="P444" s="24"/>
      <x:c r="Q444" s="24" t="str">
        <x:v>DISPONÍVEL</x:v>
      </x:c>
      <x:c r="R444" s="24"/>
      <x:c r="S444" s="24" t="n">
        <x:v>13</x:v>
      </x:c>
      <x:c r="T444" s="24" t="str">
        <x:v>tabela_rodenstock.pdf</x:v>
      </x:c>
      <x:c r="U444" s="24" t="str">
        <x:v>Rodenstock|Ocupacional B.I.G. NORM|Surfaçada|Multigressiv Ergo B.I.G. NORM||1.67 Ergo PC/Book/Room|1.67|Solitaire Protect|-10 a +8|até -6||75/80|||13</x:v>
      </x:c>
    </x:row>
    <x:row r="445">
      <x:c r="A445" s="24" t="str">
        <x:v>RD-9FA6A4E35336</x:v>
      </x:c>
      <x:c r="B445" s="24" t="str">
        <x:v>Rodenstock</x:v>
      </x:c>
      <x:c r="C445" s="24" t="str">
        <x:v>Ocupacional B.I.G. NORM</x:v>
      </x:c>
      <x:c r="D445" s="24" t="str">
        <x:v>Surfaçada</x:v>
      </x:c>
      <x:c r="E445" s="24" t="str">
        <x:v>Multigressiv Ergo B.I.G. NORM</x:v>
      </x:c>
      <x:c r="F445" s="24"/>
      <x:c r="G445" s="24" t="str">
        <x:v>1.74 Ergo PC/Book/Room</x:v>
      </x:c>
      <x:c r="H445" s="24" t="str">
        <x:v>1.74</x:v>
      </x:c>
      <x:c r="I445" s="24" t="str">
        <x:v>LayR X-tra Clean</x:v>
      </x:c>
      <x:c r="J445" s="40" t="n">
        <x:v>6762</x:v>
      </x:c>
      <x:c r="K445" s="24" t="str">
        <x:v>-10 a +8</x:v>
      </x:c>
      <x:c r="L445" s="24" t="str">
        <x:v>até -6</x:v>
      </x:c>
      <x:c r="M445" s="24"/>
      <x:c r="N445" s="24" t="str">
        <x:v>75/80</x:v>
      </x:c>
      <x:c r="O445" s="24"/>
      <x:c r="P445" s="24"/>
      <x:c r="Q445" s="24" t="str">
        <x:v>DISPONÍVEL</x:v>
      </x:c>
      <x:c r="R445" s="24"/>
      <x:c r="S445" s="24" t="n">
        <x:v>13</x:v>
      </x:c>
      <x:c r="T445" s="24" t="str">
        <x:v>tabela_rodenstock.pdf</x:v>
      </x:c>
      <x:c r="U445" s="24" t="str">
        <x:v>Rodenstock|Ocupacional B.I.G. NORM|Surfaçada|Multigressiv Ergo B.I.G. NORM||1.74 Ergo PC/Book/Room|1.74|LayR X-tra Clean|-10 a +8|até -6||75/80|||13</x:v>
      </x:c>
    </x:row>
    <x:row r="446">
      <x:c r="A446" s="24" t="str">
        <x:v>RD-80B26121802F</x:v>
      </x:c>
      <x:c r="B446" s="24" t="str">
        <x:v>Rodenstock</x:v>
      </x:c>
      <x:c r="C446" s="24" t="str">
        <x:v>Ocupacional B.I.G. NORM</x:v>
      </x:c>
      <x:c r="D446" s="24" t="str">
        <x:v>Surfaçada</x:v>
      </x:c>
      <x:c r="E446" s="24" t="str">
        <x:v>Multigressiv Ergo B.I.G. NORM</x:v>
      </x:c>
      <x:c r="F446" s="24"/>
      <x:c r="G446" s="24" t="str">
        <x:v>1.74 Ergo PC/Book/Room</x:v>
      </x:c>
      <x:c r="H446" s="24" t="str">
        <x:v>1.74</x:v>
      </x:c>
      <x:c r="I446" s="24" t="str">
        <x:v>LayR Balance</x:v>
      </x:c>
      <x:c r="J446" s="40" t="n">
        <x:v>6762</x:v>
      </x:c>
      <x:c r="K446" s="24" t="str">
        <x:v>-10 a +8</x:v>
      </x:c>
      <x:c r="L446" s="24" t="str">
        <x:v>até -6</x:v>
      </x:c>
      <x:c r="M446" s="24"/>
      <x:c r="N446" s="24" t="str">
        <x:v>75/80</x:v>
      </x:c>
      <x:c r="O446" s="24"/>
      <x:c r="P446" s="24"/>
      <x:c r="Q446" s="24" t="str">
        <x:v>DISPONÍVEL</x:v>
      </x:c>
      <x:c r="R446" s="24"/>
      <x:c r="S446" s="24" t="n">
        <x:v>13</x:v>
      </x:c>
      <x:c r="T446" s="24" t="str">
        <x:v>tabela_rodenstock.pdf</x:v>
      </x:c>
      <x:c r="U446" s="24" t="str">
        <x:v>Rodenstock|Ocupacional B.I.G. NORM|Surfaçada|Multigressiv Ergo B.I.G. NORM||1.74 Ergo PC/Book/Room|1.74|LayR Balance|-10 a +8|até -6||75/80|||13</x:v>
      </x:c>
    </x:row>
    <x:row r="447">
      <x:c r="A447" s="24" t="str">
        <x:v>RD-5243209E7A6D</x:v>
      </x:c>
      <x:c r="B447" s="24" t="str">
        <x:v>Rodenstock</x:v>
      </x:c>
      <x:c r="C447" s="24" t="str">
        <x:v>Ocupacional B.I.G. NORM</x:v>
      </x:c>
      <x:c r="D447" s="24" t="str">
        <x:v>Surfaçada</x:v>
      </x:c>
      <x:c r="E447" s="24" t="str">
        <x:v>Multigressiv Ergo B.I.G. NORM</x:v>
      </x:c>
      <x:c r="F447" s="24"/>
      <x:c r="G447" s="24" t="str">
        <x:v>1.74 Ergo PC/Book/Room</x:v>
      </x:c>
      <x:c r="H447" s="24" t="str">
        <x:v>1.74</x:v>
      </x:c>
      <x:c r="I447" s="24" t="str">
        <x:v>Solitaire X-tra Clean</x:v>
      </x:c>
      <x:c r="J447" s="40" t="n">
        <x:v>6692</x:v>
      </x:c>
      <x:c r="K447" s="24" t="str">
        <x:v>-10 a +8</x:v>
      </x:c>
      <x:c r="L447" s="24" t="str">
        <x:v>até -6</x:v>
      </x:c>
      <x:c r="M447" s="24"/>
      <x:c r="N447" s="24" t="str">
        <x:v>75/80</x:v>
      </x:c>
      <x:c r="O447" s="24"/>
      <x:c r="P447" s="24"/>
      <x:c r="Q447" s="24" t="str">
        <x:v>DISPONÍVEL</x:v>
      </x:c>
      <x:c r="R447" s="24"/>
      <x:c r="S447" s="24" t="n">
        <x:v>13</x:v>
      </x:c>
      <x:c r="T447" s="24" t="str">
        <x:v>tabela_rodenstock.pdf</x:v>
      </x:c>
      <x:c r="U447" s="24" t="str">
        <x:v>Rodenstock|Ocupacional B.I.G. NORM|Surfaçada|Multigressiv Ergo B.I.G. NORM||1.74 Ergo PC/Book/Room|1.74|Solitaire X-tra Clean|-10 a +8|até -6||75/80|||13</x:v>
      </x:c>
    </x:row>
    <x:row r="448">
      <x:c r="A448" s="24" t="str">
        <x:v>RD-FA85D695005B</x:v>
      </x:c>
      <x:c r="B448" s="24" t="str">
        <x:v>Rodenstock</x:v>
      </x:c>
      <x:c r="C448" s="24" t="str">
        <x:v>Ocupacional B.I.G. NORM</x:v>
      </x:c>
      <x:c r="D448" s="24" t="str">
        <x:v>Surfaçada</x:v>
      </x:c>
      <x:c r="E448" s="24" t="str">
        <x:v>Multigressiv Ergo B.I.G. NORM</x:v>
      </x:c>
      <x:c r="F448" s="24"/>
      <x:c r="G448" s="24" t="str">
        <x:v>1.74 Ergo PC/Book/Room</x:v>
      </x:c>
      <x:c r="H448" s="24" t="str">
        <x:v>1.74</x:v>
      </x:c>
      <x:c r="I448" s="24" t="str">
        <x:v>Solitaire Protect Plus</x:v>
      </x:c>
      <x:c r="J448" s="40" t="n">
        <x:v>6642</x:v>
      </x:c>
      <x:c r="K448" s="24" t="str">
        <x:v>-10 a +8</x:v>
      </x:c>
      <x:c r="L448" s="24" t="str">
        <x:v>até -6</x:v>
      </x:c>
      <x:c r="M448" s="24"/>
      <x:c r="N448" s="24" t="str">
        <x:v>75/80</x:v>
      </x:c>
      <x:c r="O448" s="24"/>
      <x:c r="P448" s="24"/>
      <x:c r="Q448" s="24" t="str">
        <x:v>DISPONÍVEL</x:v>
      </x:c>
      <x:c r="R448" s="24"/>
      <x:c r="S448" s="24" t="n">
        <x:v>13</x:v>
      </x:c>
      <x:c r="T448" s="24" t="str">
        <x:v>tabela_rodenstock.pdf</x:v>
      </x:c>
      <x:c r="U448" s="24" t="str">
        <x:v>Rodenstock|Ocupacional B.I.G. NORM|Surfaçada|Multigressiv Ergo B.I.G. NORM||1.74 Ergo PC/Book/Room|1.74|Solitaire Protect Plus|-10 a +8|até -6||75/80|||13</x:v>
      </x:c>
    </x:row>
    <x:row r="449">
      <x:c r="A449" s="24" t="str">
        <x:v>RD-824A54251189</x:v>
      </x:c>
      <x:c r="B449" s="24" t="str">
        <x:v>Rodenstock</x:v>
      </x:c>
      <x:c r="C449" s="24" t="str">
        <x:v>Ocupacional B.I.G. NORM</x:v>
      </x:c>
      <x:c r="D449" s="24" t="str">
        <x:v>Surfaçada</x:v>
      </x:c>
      <x:c r="E449" s="24" t="str">
        <x:v>Multigressiv Ergo B.I.G. NORM</x:v>
      </x:c>
      <x:c r="F449" s="24"/>
      <x:c r="G449" s="24" t="str">
        <x:v>1.74 Ergo PC/Book/Room</x:v>
      </x:c>
      <x:c r="H449" s="24" t="str">
        <x:v>1.74</x:v>
      </x:c>
      <x:c r="I449" s="24" t="str">
        <x:v>Solitaire Protect</x:v>
      </x:c>
      <x:c r="J449" s="40" t="n">
        <x:v>6382</x:v>
      </x:c>
      <x:c r="K449" s="24" t="str">
        <x:v>-10 a +8</x:v>
      </x:c>
      <x:c r="L449" s="24" t="str">
        <x:v>até -6</x:v>
      </x:c>
      <x:c r="M449" s="24"/>
      <x:c r="N449" s="24" t="str">
        <x:v>75/80</x:v>
      </x:c>
      <x:c r="O449" s="24"/>
      <x:c r="P449" s="24"/>
      <x:c r="Q449" s="24" t="str">
        <x:v>DISPONÍVEL</x:v>
      </x:c>
      <x:c r="R449" s="24"/>
      <x:c r="S449" s="24" t="n">
        <x:v>13</x:v>
      </x:c>
      <x:c r="T449" s="24" t="str">
        <x:v>tabela_rodenstock.pdf</x:v>
      </x:c>
      <x:c r="U449" s="24" t="str">
        <x:v>Rodenstock|Ocupacional B.I.G. NORM|Surfaçada|Multigressiv Ergo B.I.G. NORM||1.74 Ergo PC/Book/Room|1.74|Solitaire Protect|-10 a +8|até -6||75/80|||13</x:v>
      </x:c>
    </x:row>
    <x:row r="450">
      <x:c r="A450" s="24" t="str">
        <x:v>RD-0F90C5A95ED0</x:v>
      </x:c>
      <x:c r="B450" s="24" t="str">
        <x:v>Rodenstock</x:v>
      </x:c>
      <x:c r="C450" s="24" t="str">
        <x:v>Ocupacional B.I.G. NORM</x:v>
      </x:c>
      <x:c r="D450" s="24" t="str">
        <x:v>Surfaçada</x:v>
      </x:c>
      <x:c r="E450" s="24" t="str">
        <x:v>Progressiv Ergo B.I.G. NORM</x:v>
      </x:c>
      <x:c r="F450" s="24"/>
      <x:c r="G450" s="24" t="str">
        <x:v>1.5 Ergo PC/Book/Room</x:v>
      </x:c>
      <x:c r="H450" s="24" t="str">
        <x:v>1.50</x:v>
      </x:c>
      <x:c r="I450" s="24" t="str">
        <x:v>LayR X-tra Clean</x:v>
      </x:c>
      <x:c r="J450" s="40" t="n">
        <x:v>2213</x:v>
      </x:c>
      <x:c r="K450" s="24" t="str">
        <x:v>-8 a +8</x:v>
      </x:c>
      <x:c r="L450" s="24" t="str">
        <x:v>até -6</x:v>
      </x:c>
      <x:c r="M450" s="24"/>
      <x:c r="N450" s="24" t="str">
        <x:v>75/80</x:v>
      </x:c>
      <x:c r="O450" s="24"/>
      <x:c r="P450" s="24"/>
      <x:c r="Q450" s="24" t="str">
        <x:v>DISPONÍVEL</x:v>
      </x:c>
      <x:c r="R450" s="24"/>
      <x:c r="S450" s="24" t="n">
        <x:v>13</x:v>
      </x:c>
      <x:c r="T450" s="24" t="str">
        <x:v>tabela_rodenstock.pdf</x:v>
      </x:c>
      <x:c r="U450" s="24" t="str">
        <x:v>Rodenstock|Ocupacional B.I.G. NORM|Surfaçada|Progressiv Ergo B.I.G. NORM||1.5 Ergo PC/Book/Room|1.50|LayR X-tra Clean|-8 a +8|até -6||75/80|||13</x:v>
      </x:c>
    </x:row>
    <x:row r="451">
      <x:c r="A451" s="24" t="str">
        <x:v>RD-D2B310E82C5F</x:v>
      </x:c>
      <x:c r="B451" s="24" t="str">
        <x:v>Rodenstock</x:v>
      </x:c>
      <x:c r="C451" s="24" t="str">
        <x:v>Ocupacional B.I.G. NORM</x:v>
      </x:c>
      <x:c r="D451" s="24" t="str">
        <x:v>Surfaçada</x:v>
      </x:c>
      <x:c r="E451" s="24" t="str">
        <x:v>Progressiv Ergo B.I.G. NORM</x:v>
      </x:c>
      <x:c r="F451" s="24"/>
      <x:c r="G451" s="24" t="str">
        <x:v>1.5 Ergo PC/Book/Room</x:v>
      </x:c>
      <x:c r="H451" s="24" t="str">
        <x:v>1.50</x:v>
      </x:c>
      <x:c r="I451" s="24" t="str">
        <x:v>LayR Balance</x:v>
      </x:c>
      <x:c r="J451" s="40" t="n">
        <x:v>2213</x:v>
      </x:c>
      <x:c r="K451" s="24" t="str">
        <x:v>-8 a +8</x:v>
      </x:c>
      <x:c r="L451" s="24" t="str">
        <x:v>até -6</x:v>
      </x:c>
      <x:c r="M451" s="24"/>
      <x:c r="N451" s="24" t="str">
        <x:v>75/80</x:v>
      </x:c>
      <x:c r="O451" s="24"/>
      <x:c r="P451" s="24"/>
      <x:c r="Q451" s="24" t="str">
        <x:v>DISPONÍVEL</x:v>
      </x:c>
      <x:c r="R451" s="24"/>
      <x:c r="S451" s="24" t="n">
        <x:v>13</x:v>
      </x:c>
      <x:c r="T451" s="24" t="str">
        <x:v>tabela_rodenstock.pdf</x:v>
      </x:c>
      <x:c r="U451" s="24" t="str">
        <x:v>Rodenstock|Ocupacional B.I.G. NORM|Surfaçada|Progressiv Ergo B.I.G. NORM||1.5 Ergo PC/Book/Room|1.50|LayR Balance|-8 a +8|até -6||75/80|||13</x:v>
      </x:c>
    </x:row>
    <x:row r="452">
      <x:c r="A452" s="24" t="str">
        <x:v>RD-13FC0AAA760F</x:v>
      </x:c>
      <x:c r="B452" s="24" t="str">
        <x:v>Rodenstock</x:v>
      </x:c>
      <x:c r="C452" s="24" t="str">
        <x:v>Ocupacional B.I.G. NORM</x:v>
      </x:c>
      <x:c r="D452" s="24" t="str">
        <x:v>Surfaçada</x:v>
      </x:c>
      <x:c r="E452" s="24" t="str">
        <x:v>Progressiv Ergo B.I.G. NORM</x:v>
      </x:c>
      <x:c r="F452" s="24"/>
      <x:c r="G452" s="24" t="str">
        <x:v>1.5 Ergo PC/Book/Room</x:v>
      </x:c>
      <x:c r="H452" s="24" t="str">
        <x:v>1.50</x:v>
      </x:c>
      <x:c r="I452" s="24" t="str">
        <x:v>Solitaire X-tra Clean</x:v>
      </x:c>
      <x:c r="J452" s="40" t="n">
        <x:v>2143</x:v>
      </x:c>
      <x:c r="K452" s="24" t="str">
        <x:v>-8 a +8</x:v>
      </x:c>
      <x:c r="L452" s="24" t="str">
        <x:v>até -6</x:v>
      </x:c>
      <x:c r="M452" s="24"/>
      <x:c r="N452" s="24" t="str">
        <x:v>75/80</x:v>
      </x:c>
      <x:c r="O452" s="24"/>
      <x:c r="P452" s="24"/>
      <x:c r="Q452" s="24" t="str">
        <x:v>DISPONÍVEL</x:v>
      </x:c>
      <x:c r="R452" s="24"/>
      <x:c r="S452" s="24" t="n">
        <x:v>13</x:v>
      </x:c>
      <x:c r="T452" s="24" t="str">
        <x:v>tabela_rodenstock.pdf</x:v>
      </x:c>
      <x:c r="U452" s="24" t="str">
        <x:v>Rodenstock|Ocupacional B.I.G. NORM|Surfaçada|Progressiv Ergo B.I.G. NORM||1.5 Ergo PC/Book/Room|1.50|Solitaire X-tra Clean|-8 a +8|até -6||75/80|||13</x:v>
      </x:c>
    </x:row>
    <x:row r="453">
      <x:c r="A453" s="24" t="str">
        <x:v>RD-55593B1B1112</x:v>
      </x:c>
      <x:c r="B453" s="24" t="str">
        <x:v>Rodenstock</x:v>
      </x:c>
      <x:c r="C453" s="24" t="str">
        <x:v>Ocupacional B.I.G. NORM</x:v>
      </x:c>
      <x:c r="D453" s="24" t="str">
        <x:v>Surfaçada</x:v>
      </x:c>
      <x:c r="E453" s="24" t="str">
        <x:v>Progressiv Ergo B.I.G. NORM</x:v>
      </x:c>
      <x:c r="F453" s="24"/>
      <x:c r="G453" s="24" t="str">
        <x:v>1.5 Ergo PC/Book/Room</x:v>
      </x:c>
      <x:c r="H453" s="24" t="str">
        <x:v>1.50</x:v>
      </x:c>
      <x:c r="I453" s="24" t="str">
        <x:v>Solitaire Protect Plus</x:v>
      </x:c>
      <x:c r="J453" s="40" t="n">
        <x:v>2093</x:v>
      </x:c>
      <x:c r="K453" s="24" t="str">
        <x:v>-8 a +8</x:v>
      </x:c>
      <x:c r="L453" s="24" t="str">
        <x:v>até -6</x:v>
      </x:c>
      <x:c r="M453" s="24"/>
      <x:c r="N453" s="24" t="str">
        <x:v>75/80</x:v>
      </x:c>
      <x:c r="O453" s="24"/>
      <x:c r="P453" s="24"/>
      <x:c r="Q453" s="24" t="str">
        <x:v>DISPONÍVEL</x:v>
      </x:c>
      <x:c r="R453" s="24"/>
      <x:c r="S453" s="24" t="n">
        <x:v>13</x:v>
      </x:c>
      <x:c r="T453" s="24" t="str">
        <x:v>tabela_rodenstock.pdf</x:v>
      </x:c>
      <x:c r="U453" s="24" t="str">
        <x:v>Rodenstock|Ocupacional B.I.G. NORM|Surfaçada|Progressiv Ergo B.I.G. NORM||1.5 Ergo PC/Book/Room|1.50|Solitaire Protect Plus|-8 a +8|até -6||75/80|||13</x:v>
      </x:c>
    </x:row>
    <x:row r="454">
      <x:c r="A454" s="24" t="str">
        <x:v>RD-DAFF5FBD7437</x:v>
      </x:c>
      <x:c r="B454" s="24" t="str">
        <x:v>Rodenstock</x:v>
      </x:c>
      <x:c r="C454" s="24" t="str">
        <x:v>Ocupacional B.I.G. NORM</x:v>
      </x:c>
      <x:c r="D454" s="24" t="str">
        <x:v>Surfaçada</x:v>
      </x:c>
      <x:c r="E454" s="24" t="str">
        <x:v>Progressiv Ergo B.I.G. NORM</x:v>
      </x:c>
      <x:c r="F454" s="24"/>
      <x:c r="G454" s="24" t="str">
        <x:v>1.5 Ergo PC/Book/Room</x:v>
      </x:c>
      <x:c r="H454" s="24" t="str">
        <x:v>1.50</x:v>
      </x:c>
      <x:c r="I454" s="24" t="str">
        <x:v>ROAD</x:v>
      </x:c>
      <x:c r="J454" s="40" t="n">
        <x:v>2093</x:v>
      </x:c>
      <x:c r="K454" s="24" t="str">
        <x:v>-8 a +8</x:v>
      </x:c>
      <x:c r="L454" s="24" t="str">
        <x:v>até -6</x:v>
      </x:c>
      <x:c r="M454" s="24"/>
      <x:c r="N454" s="24" t="str">
        <x:v>75/80</x:v>
      </x:c>
      <x:c r="O454" s="24"/>
      <x:c r="P454" s="24"/>
      <x:c r="Q454" s="24" t="str">
        <x:v>DISPONÍVEL</x:v>
      </x:c>
      <x:c r="R454" s="24"/>
      <x:c r="S454" s="24" t="n">
        <x:v>13</x:v>
      </x:c>
      <x:c r="T454" s="24" t="str">
        <x:v>tabela_rodenstock.pdf</x:v>
      </x:c>
      <x:c r="U454" s="24" t="str">
        <x:v>Rodenstock|Ocupacional B.I.G. NORM|Surfaçada|Progressiv Ergo B.I.G. NORM||1.5 Ergo PC/Book/Room|1.50|ROAD|-8 a +8|até -6||75/80|||13</x:v>
      </x:c>
    </x:row>
    <x:row r="455">
      <x:c r="A455" s="24" t="str">
        <x:v>RD-80C346021384</x:v>
      </x:c>
      <x:c r="B455" s="24" t="str">
        <x:v>Rodenstock</x:v>
      </x:c>
      <x:c r="C455" s="24" t="str">
        <x:v>Ocupacional B.I.G. NORM</x:v>
      </x:c>
      <x:c r="D455" s="24" t="str">
        <x:v>Surfaçada</x:v>
      </x:c>
      <x:c r="E455" s="24" t="str">
        <x:v>Progressiv Ergo B.I.G. NORM</x:v>
      </x:c>
      <x:c r="F455" s="24"/>
      <x:c r="G455" s="24" t="str">
        <x:v>1.5 Ergo PC/Book/Room</x:v>
      </x:c>
      <x:c r="H455" s="24" t="str">
        <x:v>1.50</x:v>
      </x:c>
      <x:c r="I455" s="24" t="str">
        <x:v>Solitaire Protect</x:v>
      </x:c>
      <x:c r="J455" s="40" t="n">
        <x:v>1833</x:v>
      </x:c>
      <x:c r="K455" s="24" t="str">
        <x:v>-8 a +8</x:v>
      </x:c>
      <x:c r="L455" s="24" t="str">
        <x:v>até -6</x:v>
      </x:c>
      <x:c r="M455" s="24"/>
      <x:c r="N455" s="24" t="str">
        <x:v>75/80</x:v>
      </x:c>
      <x:c r="O455" s="24"/>
      <x:c r="P455" s="24"/>
      <x:c r="Q455" s="24" t="str">
        <x:v>DISPONÍVEL</x:v>
      </x:c>
      <x:c r="R455" s="24"/>
      <x:c r="S455" s="24" t="n">
        <x:v>13</x:v>
      </x:c>
      <x:c r="T455" s="24" t="str">
        <x:v>tabela_rodenstock.pdf</x:v>
      </x:c>
      <x:c r="U455" s="24" t="str">
        <x:v>Rodenstock|Ocupacional B.I.G. NORM|Surfaçada|Progressiv Ergo B.I.G. NORM||1.5 Ergo PC/Book/Room|1.50|Solitaire Protect|-8 a +8|até -6||75/80|||13</x:v>
      </x:c>
    </x:row>
    <x:row r="456">
      <x:c r="A456" s="24" t="str">
        <x:v>RD-4B255618417E</x:v>
      </x:c>
      <x:c r="B456" s="24" t="str">
        <x:v>Rodenstock</x:v>
      </x:c>
      <x:c r="C456" s="24" t="str">
        <x:v>Ocupacional B.I.G. NORM</x:v>
      </x:c>
      <x:c r="D456" s="24" t="str">
        <x:v>Surfaçada</x:v>
      </x:c>
      <x:c r="E456" s="24" t="str">
        <x:v>Progressiv Ergo B.I.G. NORM</x:v>
      </x:c>
      <x:c r="F456" s="24"/>
      <x:c r="G456" s="24" t="str">
        <x:v>1.6 Ergo PC/Book/Room</x:v>
      </x:c>
      <x:c r="H456" s="24" t="str">
        <x:v>1.60</x:v>
      </x:c>
      <x:c r="I456" s="24" t="str">
        <x:v>LayR X-tra Clean</x:v>
      </x:c>
      <x:c r="J456" s="40" t="n">
        <x:v>3396</x:v>
      </x:c>
      <x:c r="K456" s="24" t="str">
        <x:v>-10 a +8</x:v>
      </x:c>
      <x:c r="L456" s="24" t="str">
        <x:v>até -6</x:v>
      </x:c>
      <x:c r="M456" s="24"/>
      <x:c r="N456" s="24" t="str">
        <x:v>75/80</x:v>
      </x:c>
      <x:c r="O456" s="24"/>
      <x:c r="P456" s="24"/>
      <x:c r="Q456" s="24" t="str">
        <x:v>DISPONÍVEL</x:v>
      </x:c>
      <x:c r="R456" s="24"/>
      <x:c r="S456" s="24" t="n">
        <x:v>13</x:v>
      </x:c>
      <x:c r="T456" s="24" t="str">
        <x:v>tabela_rodenstock.pdf</x:v>
      </x:c>
      <x:c r="U456" s="24" t="str">
        <x:v>Rodenstock|Ocupacional B.I.G. NORM|Surfaçada|Progressiv Ergo B.I.G. NORM||1.6 Ergo PC/Book/Room|1.60|LayR X-tra Clean|-10 a +8|até -6||75/80|||13</x:v>
      </x:c>
    </x:row>
    <x:row r="457">
      <x:c r="A457" s="24" t="str">
        <x:v>RD-B72DEB694E9E</x:v>
      </x:c>
      <x:c r="B457" s="24" t="str">
        <x:v>Rodenstock</x:v>
      </x:c>
      <x:c r="C457" s="24" t="str">
        <x:v>Ocupacional B.I.G. NORM</x:v>
      </x:c>
      <x:c r="D457" s="24" t="str">
        <x:v>Surfaçada</x:v>
      </x:c>
      <x:c r="E457" s="24" t="str">
        <x:v>Progressiv Ergo B.I.G. NORM</x:v>
      </x:c>
      <x:c r="F457" s="24"/>
      <x:c r="G457" s="24" t="str">
        <x:v>1.6 Ergo PC/Book/Room</x:v>
      </x:c>
      <x:c r="H457" s="24" t="str">
        <x:v>1.60</x:v>
      </x:c>
      <x:c r="I457" s="24" t="str">
        <x:v>LayR Balance</x:v>
      </x:c>
      <x:c r="J457" s="40" t="n">
        <x:v>3396</x:v>
      </x:c>
      <x:c r="K457" s="24" t="str">
        <x:v>-10 a +8</x:v>
      </x:c>
      <x:c r="L457" s="24" t="str">
        <x:v>até -6</x:v>
      </x:c>
      <x:c r="M457" s="24"/>
      <x:c r="N457" s="24" t="str">
        <x:v>75/80</x:v>
      </x:c>
      <x:c r="O457" s="24"/>
      <x:c r="P457" s="24"/>
      <x:c r="Q457" s="24" t="str">
        <x:v>DISPONÍVEL</x:v>
      </x:c>
      <x:c r="R457" s="24"/>
      <x:c r="S457" s="24" t="n">
        <x:v>13</x:v>
      </x:c>
      <x:c r="T457" s="24" t="str">
        <x:v>tabela_rodenstock.pdf</x:v>
      </x:c>
      <x:c r="U457" s="24" t="str">
        <x:v>Rodenstock|Ocupacional B.I.G. NORM|Surfaçada|Progressiv Ergo B.I.G. NORM||1.6 Ergo PC/Book/Room|1.60|LayR Balance|-10 a +8|até -6||75/80|||13</x:v>
      </x:c>
    </x:row>
    <x:row r="458">
      <x:c r="A458" s="24" t="str">
        <x:v>RD-BB937606FF38</x:v>
      </x:c>
      <x:c r="B458" s="24" t="str">
        <x:v>Rodenstock</x:v>
      </x:c>
      <x:c r="C458" s="24" t="str">
        <x:v>Ocupacional B.I.G. NORM</x:v>
      </x:c>
      <x:c r="D458" s="24" t="str">
        <x:v>Surfaçada</x:v>
      </x:c>
      <x:c r="E458" s="24" t="str">
        <x:v>Progressiv Ergo B.I.G. NORM</x:v>
      </x:c>
      <x:c r="F458" s="24"/>
      <x:c r="G458" s="24" t="str">
        <x:v>1.6 Ergo PC/Book/Room</x:v>
      </x:c>
      <x:c r="H458" s="24" t="str">
        <x:v>1.60</x:v>
      </x:c>
      <x:c r="I458" s="24" t="str">
        <x:v>Solitaire X-tra Clean</x:v>
      </x:c>
      <x:c r="J458" s="40" t="n">
        <x:v>3326</x:v>
      </x:c>
      <x:c r="K458" s="24" t="str">
        <x:v>-10 a +8</x:v>
      </x:c>
      <x:c r="L458" s="24" t="str">
        <x:v>até -6</x:v>
      </x:c>
      <x:c r="M458" s="24"/>
      <x:c r="N458" s="24" t="str">
        <x:v>75/80</x:v>
      </x:c>
      <x:c r="O458" s="24"/>
      <x:c r="P458" s="24"/>
      <x:c r="Q458" s="24" t="str">
        <x:v>DISPONÍVEL</x:v>
      </x:c>
      <x:c r="R458" s="24"/>
      <x:c r="S458" s="24" t="n">
        <x:v>13</x:v>
      </x:c>
      <x:c r="T458" s="24" t="str">
        <x:v>tabela_rodenstock.pdf</x:v>
      </x:c>
      <x:c r="U458" s="24" t="str">
        <x:v>Rodenstock|Ocupacional B.I.G. NORM|Surfaçada|Progressiv Ergo B.I.G. NORM||1.6 Ergo PC/Book/Room|1.60|Solitaire X-tra Clean|-10 a +8|até -6||75/80|||13</x:v>
      </x:c>
    </x:row>
    <x:row r="459">
      <x:c r="A459" s="24" t="str">
        <x:v>RD-5663B848BC69</x:v>
      </x:c>
      <x:c r="B459" s="24" t="str">
        <x:v>Rodenstock</x:v>
      </x:c>
      <x:c r="C459" s="24" t="str">
        <x:v>Ocupacional B.I.G. NORM</x:v>
      </x:c>
      <x:c r="D459" s="24" t="str">
        <x:v>Surfaçada</x:v>
      </x:c>
      <x:c r="E459" s="24" t="str">
        <x:v>Progressiv Ergo B.I.G. NORM</x:v>
      </x:c>
      <x:c r="F459" s="24"/>
      <x:c r="G459" s="24" t="str">
        <x:v>1.6 Ergo PC/Book/Room</x:v>
      </x:c>
      <x:c r="H459" s="24" t="str">
        <x:v>1.60</x:v>
      </x:c>
      <x:c r="I459" s="24" t="str">
        <x:v>Solitaire Protect Plus</x:v>
      </x:c>
      <x:c r="J459" s="40" t="n">
        <x:v>3276</x:v>
      </x:c>
      <x:c r="K459" s="24" t="str">
        <x:v>-10 a +8</x:v>
      </x:c>
      <x:c r="L459" s="24" t="str">
        <x:v>até -6</x:v>
      </x:c>
      <x:c r="M459" s="24"/>
      <x:c r="N459" s="24" t="str">
        <x:v>75/80</x:v>
      </x:c>
      <x:c r="O459" s="24"/>
      <x:c r="P459" s="24"/>
      <x:c r="Q459" s="24" t="str">
        <x:v>DISPONÍVEL</x:v>
      </x:c>
      <x:c r="R459" s="24"/>
      <x:c r="S459" s="24" t="n">
        <x:v>13</x:v>
      </x:c>
      <x:c r="T459" s="24" t="str">
        <x:v>tabela_rodenstock.pdf</x:v>
      </x:c>
      <x:c r="U459" s="24" t="str">
        <x:v>Rodenstock|Ocupacional B.I.G. NORM|Surfaçada|Progressiv Ergo B.I.G. NORM||1.6 Ergo PC/Book/Room|1.60|Solitaire Protect Plus|-10 a +8|até -6||75/80|||13</x:v>
      </x:c>
    </x:row>
    <x:row r="460">
      <x:c r="A460" s="24" t="str">
        <x:v>RD-EB4206DCBD69</x:v>
      </x:c>
      <x:c r="B460" s="24" t="str">
        <x:v>Rodenstock</x:v>
      </x:c>
      <x:c r="C460" s="24" t="str">
        <x:v>Ocupacional B.I.G. NORM</x:v>
      </x:c>
      <x:c r="D460" s="24" t="str">
        <x:v>Surfaçada</x:v>
      </x:c>
      <x:c r="E460" s="24" t="str">
        <x:v>Progressiv Ergo B.I.G. NORM</x:v>
      </x:c>
      <x:c r="F460" s="24"/>
      <x:c r="G460" s="24" t="str">
        <x:v>1.6 Ergo PC/Book/Room</x:v>
      </x:c>
      <x:c r="H460" s="24" t="str">
        <x:v>1.60</x:v>
      </x:c>
      <x:c r="I460" s="24" t="str">
        <x:v>ROAD</x:v>
      </x:c>
      <x:c r="J460" s="40" t="n">
        <x:v>3276</x:v>
      </x:c>
      <x:c r="K460" s="24" t="str">
        <x:v>-10 a +8</x:v>
      </x:c>
      <x:c r="L460" s="24" t="str">
        <x:v>até -6</x:v>
      </x:c>
      <x:c r="M460" s="24"/>
      <x:c r="N460" s="24" t="str">
        <x:v>75/80</x:v>
      </x:c>
      <x:c r="O460" s="24"/>
      <x:c r="P460" s="24"/>
      <x:c r="Q460" s="24" t="str">
        <x:v>DISPONÍVEL</x:v>
      </x:c>
      <x:c r="R460" s="24"/>
      <x:c r="S460" s="24" t="n">
        <x:v>13</x:v>
      </x:c>
      <x:c r="T460" s="24" t="str">
        <x:v>tabela_rodenstock.pdf</x:v>
      </x:c>
      <x:c r="U460" s="24" t="str">
        <x:v>Rodenstock|Ocupacional B.I.G. NORM|Surfaçada|Progressiv Ergo B.I.G. NORM||1.6 Ergo PC/Book/Room|1.60|ROAD|-10 a +8|até -6||75/80|||13</x:v>
      </x:c>
    </x:row>
    <x:row r="461">
      <x:c r="A461" s="24" t="str">
        <x:v>RD-5AC6030A041A</x:v>
      </x:c>
      <x:c r="B461" s="24" t="str">
        <x:v>Rodenstock</x:v>
      </x:c>
      <x:c r="C461" s="24" t="str">
        <x:v>Ocupacional B.I.G. NORM</x:v>
      </x:c>
      <x:c r="D461" s="24" t="str">
        <x:v>Surfaçada</x:v>
      </x:c>
      <x:c r="E461" s="24" t="str">
        <x:v>Progressiv Ergo B.I.G. NORM</x:v>
      </x:c>
      <x:c r="F461" s="24"/>
      <x:c r="G461" s="24" t="str">
        <x:v>1.6 Ergo PC/Book/Room</x:v>
      </x:c>
      <x:c r="H461" s="24" t="str">
        <x:v>1.60</x:v>
      </x:c>
      <x:c r="I461" s="24" t="str">
        <x:v>Solitaire Protect</x:v>
      </x:c>
      <x:c r="J461" s="40" t="n">
        <x:v>3016</x:v>
      </x:c>
      <x:c r="K461" s="24" t="str">
        <x:v>-10 a +8</x:v>
      </x:c>
      <x:c r="L461" s="24" t="str">
        <x:v>até -6</x:v>
      </x:c>
      <x:c r="M461" s="24"/>
      <x:c r="N461" s="24" t="str">
        <x:v>75/80</x:v>
      </x:c>
      <x:c r="O461" s="24"/>
      <x:c r="P461" s="24"/>
      <x:c r="Q461" s="24" t="str">
        <x:v>DISPONÍVEL</x:v>
      </x:c>
      <x:c r="R461" s="24"/>
      <x:c r="S461" s="24" t="n">
        <x:v>13</x:v>
      </x:c>
      <x:c r="T461" s="24" t="str">
        <x:v>tabela_rodenstock.pdf</x:v>
      </x:c>
      <x:c r="U461" s="24" t="str">
        <x:v>Rodenstock|Ocupacional B.I.G. NORM|Surfaçada|Progressiv Ergo B.I.G. NORM||1.6 Ergo PC/Book/Room|1.60|Solitaire Protect|-10 a +8|até -6||75/80|||13</x:v>
      </x:c>
    </x:row>
    <x:row r="462">
      <x:c r="A462" s="24" t="str">
        <x:v>RD-F9777E41BA87</x:v>
      </x:c>
      <x:c r="B462" s="24" t="str">
        <x:v>Rodenstock</x:v>
      </x:c>
      <x:c r="C462" s="24" t="str">
        <x:v>Ocupacional B.I.G. NORM</x:v>
      </x:c>
      <x:c r="D462" s="24" t="str">
        <x:v>Surfaçada</x:v>
      </x:c>
      <x:c r="E462" s="24" t="str">
        <x:v>Progressiv Ergo B.I.G. NORM</x:v>
      </x:c>
      <x:c r="F462" s="24" t="str">
        <x:v>PRO410</x:v>
      </x:c>
      <x:c r="G462" s="24" t="str">
        <x:v>1.6</x:v>
      </x:c>
      <x:c r="H462" s="24" t="str">
        <x:v>1.60</x:v>
      </x:c>
      <x:c r="I462" s="24" t="str">
        <x:v>LayR X-tra Clean</x:v>
      </x:c>
      <x:c r="J462" s="40" t="n">
        <x:v>3504</x:v>
      </x:c>
      <x:c r="K462" s="24" t="str">
        <x:v>-10 a +8</x:v>
      </x:c>
      <x:c r="L462" s="24" t="str">
        <x:v>até -6</x:v>
      </x:c>
      <x:c r="M462" s="24"/>
      <x:c r="N462" s="24" t="str">
        <x:v>75/80</x:v>
      </x:c>
      <x:c r="O462" s="24"/>
      <x:c r="P462" s="24"/>
      <x:c r="Q462" s="24" t="str">
        <x:v>DISPONÍVEL</x:v>
      </x:c>
      <x:c r="R462" s="24"/>
      <x:c r="S462" s="24" t="n">
        <x:v>13</x:v>
      </x:c>
      <x:c r="T462" s="24" t="str">
        <x:v>tabela_rodenstock.pdf</x:v>
      </x:c>
      <x:c r="U462" s="24" t="str">
        <x:v>Rodenstock|Ocupacional B.I.G. NORM|Surfaçada|Progressiv Ergo B.I.G. NORM|PRO410|1.6|1.60|LayR X-tra Clean|-10 a +8|até -6||75/80|||13</x:v>
      </x:c>
    </x:row>
    <x:row r="463">
      <x:c r="A463" s="24" t="str">
        <x:v>RD-A83CA1D72365</x:v>
      </x:c>
      <x:c r="B463" s="24" t="str">
        <x:v>Rodenstock</x:v>
      </x:c>
      <x:c r="C463" s="24" t="str">
        <x:v>Ocupacional B.I.G. NORM</x:v>
      </x:c>
      <x:c r="D463" s="24" t="str">
        <x:v>Surfaçada</x:v>
      </x:c>
      <x:c r="E463" s="24" t="str">
        <x:v>Progressiv Ergo B.I.G. NORM</x:v>
      </x:c>
      <x:c r="F463" s="24" t="str">
        <x:v>PRO410</x:v>
      </x:c>
      <x:c r="G463" s="24" t="str">
        <x:v>1.6</x:v>
      </x:c>
      <x:c r="H463" s="24" t="str">
        <x:v>1.60</x:v>
      </x:c>
      <x:c r="I463" s="24" t="str">
        <x:v>LayR Balance</x:v>
      </x:c>
      <x:c r="J463" s="40" t="n">
        <x:v>3504</x:v>
      </x:c>
      <x:c r="K463" s="24" t="str">
        <x:v>-10 a +8</x:v>
      </x:c>
      <x:c r="L463" s="24" t="str">
        <x:v>até -6</x:v>
      </x:c>
      <x:c r="M463" s="24"/>
      <x:c r="N463" s="24" t="str">
        <x:v>75/80</x:v>
      </x:c>
      <x:c r="O463" s="24"/>
      <x:c r="P463" s="24"/>
      <x:c r="Q463" s="24" t="str">
        <x:v>DISPONÍVEL</x:v>
      </x:c>
      <x:c r="R463" s="24"/>
      <x:c r="S463" s="24" t="n">
        <x:v>13</x:v>
      </x:c>
      <x:c r="T463" s="24" t="str">
        <x:v>tabela_rodenstock.pdf</x:v>
      </x:c>
      <x:c r="U463" s="24" t="str">
        <x:v>Rodenstock|Ocupacional B.I.G. NORM|Surfaçada|Progressiv Ergo B.I.G. NORM|PRO410|1.6|1.60|LayR Balance|-10 a +8|até -6||75/80|||13</x:v>
      </x:c>
    </x:row>
    <x:row r="464">
      <x:c r="A464" s="24" t="str">
        <x:v>RD-5ACAD0E7DF20</x:v>
      </x:c>
      <x:c r="B464" s="24" t="str">
        <x:v>Rodenstock</x:v>
      </x:c>
      <x:c r="C464" s="24" t="str">
        <x:v>Ocupacional B.I.G. NORM</x:v>
      </x:c>
      <x:c r="D464" s="24" t="str">
        <x:v>Surfaçada</x:v>
      </x:c>
      <x:c r="E464" s="24" t="str">
        <x:v>Progressiv Ergo B.I.G. NORM</x:v>
      </x:c>
      <x:c r="F464" s="24" t="str">
        <x:v>PRO410</x:v>
      </x:c>
      <x:c r="G464" s="24" t="str">
        <x:v>1.6</x:v>
      </x:c>
      <x:c r="H464" s="24" t="str">
        <x:v>1.60</x:v>
      </x:c>
      <x:c r="I464" s="24" t="str">
        <x:v>Solitaire X-tra Clean</x:v>
      </x:c>
      <x:c r="J464" s="40" t="n">
        <x:v>3434</x:v>
      </x:c>
      <x:c r="K464" s="24" t="str">
        <x:v>-10 a +8</x:v>
      </x:c>
      <x:c r="L464" s="24" t="str">
        <x:v>até -6</x:v>
      </x:c>
      <x:c r="M464" s="24"/>
      <x:c r="N464" s="24" t="str">
        <x:v>75/80</x:v>
      </x:c>
      <x:c r="O464" s="24"/>
      <x:c r="P464" s="24"/>
      <x:c r="Q464" s="24" t="str">
        <x:v>DISPONÍVEL</x:v>
      </x:c>
      <x:c r="R464" s="24"/>
      <x:c r="S464" s="24" t="n">
        <x:v>13</x:v>
      </x:c>
      <x:c r="T464" s="24" t="str">
        <x:v>tabela_rodenstock.pdf</x:v>
      </x:c>
      <x:c r="U464" s="24" t="str">
        <x:v>Rodenstock|Ocupacional B.I.G. NORM|Surfaçada|Progressiv Ergo B.I.G. NORM|PRO410|1.6|1.60|Solitaire X-tra Clean|-10 a +8|até -6||75/80|||13</x:v>
      </x:c>
    </x:row>
    <x:row r="465">
      <x:c r="A465" s="24" t="str">
        <x:v>RD-8278A39899F9</x:v>
      </x:c>
      <x:c r="B465" s="24" t="str">
        <x:v>Rodenstock</x:v>
      </x:c>
      <x:c r="C465" s="24" t="str">
        <x:v>Ocupacional B.I.G. NORM</x:v>
      </x:c>
      <x:c r="D465" s="24" t="str">
        <x:v>Surfaçada</x:v>
      </x:c>
      <x:c r="E465" s="24" t="str">
        <x:v>Progressiv Ergo B.I.G. NORM</x:v>
      </x:c>
      <x:c r="F465" s="24" t="str">
        <x:v>PRO410</x:v>
      </x:c>
      <x:c r="G465" s="24" t="str">
        <x:v>1.6</x:v>
      </x:c>
      <x:c r="H465" s="24" t="str">
        <x:v>1.60</x:v>
      </x:c>
      <x:c r="I465" s="24" t="str">
        <x:v>Solitaire Protect Plus</x:v>
      </x:c>
      <x:c r="J465" s="40" t="n">
        <x:v>3384</x:v>
      </x:c>
      <x:c r="K465" s="24" t="str">
        <x:v>-10 a +8</x:v>
      </x:c>
      <x:c r="L465" s="24" t="str">
        <x:v>até -6</x:v>
      </x:c>
      <x:c r="M465" s="24"/>
      <x:c r="N465" s="24" t="str">
        <x:v>75/80</x:v>
      </x:c>
      <x:c r="O465" s="24"/>
      <x:c r="P465" s="24"/>
      <x:c r="Q465" s="24" t="str">
        <x:v>DISPONÍVEL</x:v>
      </x:c>
      <x:c r="R465" s="24"/>
      <x:c r="S465" s="24" t="n">
        <x:v>13</x:v>
      </x:c>
      <x:c r="T465" s="24" t="str">
        <x:v>tabela_rodenstock.pdf</x:v>
      </x:c>
      <x:c r="U465" s="24" t="str">
        <x:v>Rodenstock|Ocupacional B.I.G. NORM|Surfaçada|Progressiv Ergo B.I.G. NORM|PRO410|1.6|1.60|Solitaire Protect Plus|-10 a +8|até -6||75/80|||13</x:v>
      </x:c>
    </x:row>
    <x:row r="466">
      <x:c r="A466" s="24" t="str">
        <x:v>RD-FDF2709F9F7C</x:v>
      </x:c>
      <x:c r="B466" s="24" t="str">
        <x:v>Rodenstock</x:v>
      </x:c>
      <x:c r="C466" s="24" t="str">
        <x:v>Ocupacional B.I.G. NORM</x:v>
      </x:c>
      <x:c r="D466" s="24" t="str">
        <x:v>Surfaçada</x:v>
      </x:c>
      <x:c r="E466" s="24" t="str">
        <x:v>Progressiv Ergo B.I.G. NORM</x:v>
      </x:c>
      <x:c r="F466" s="24" t="str">
        <x:v>PRO410</x:v>
      </x:c>
      <x:c r="G466" s="24" t="str">
        <x:v>1.6</x:v>
      </x:c>
      <x:c r="H466" s="24" t="str">
        <x:v>1.60</x:v>
      </x:c>
      <x:c r="I466" s="24" t="str">
        <x:v>ROAD</x:v>
      </x:c>
      <x:c r="J466" s="40" t="n">
        <x:v>3384</x:v>
      </x:c>
      <x:c r="K466" s="24" t="str">
        <x:v>-10 a +8</x:v>
      </x:c>
      <x:c r="L466" s="24" t="str">
        <x:v>até -6</x:v>
      </x:c>
      <x:c r="M466" s="24"/>
      <x:c r="N466" s="24" t="str">
        <x:v>75/80</x:v>
      </x:c>
      <x:c r="O466" s="24"/>
      <x:c r="P466" s="24"/>
      <x:c r="Q466" s="24" t="str">
        <x:v>DISPONÍVEL</x:v>
      </x:c>
      <x:c r="R466" s="24"/>
      <x:c r="S466" s="24" t="n">
        <x:v>13</x:v>
      </x:c>
      <x:c r="T466" s="24" t="str">
        <x:v>tabela_rodenstock.pdf</x:v>
      </x:c>
      <x:c r="U466" s="24" t="str">
        <x:v>Rodenstock|Ocupacional B.I.G. NORM|Surfaçada|Progressiv Ergo B.I.G. NORM|PRO410|1.6|1.60|ROAD|-10 a +8|até -6||75/80|||13</x:v>
      </x:c>
    </x:row>
    <x:row r="467">
      <x:c r="A467" s="24" t="str">
        <x:v>RD-93F9F7316A39</x:v>
      </x:c>
      <x:c r="B467" s="24" t="str">
        <x:v>Rodenstock</x:v>
      </x:c>
      <x:c r="C467" s="24" t="str">
        <x:v>Ocupacional B.I.G. NORM</x:v>
      </x:c>
      <x:c r="D467" s="24" t="str">
        <x:v>Surfaçada</x:v>
      </x:c>
      <x:c r="E467" s="24" t="str">
        <x:v>Progressiv Ergo B.I.G. NORM</x:v>
      </x:c>
      <x:c r="F467" s="24" t="str">
        <x:v>PRO410</x:v>
      </x:c>
      <x:c r="G467" s="24" t="str">
        <x:v>1.6</x:v>
      </x:c>
      <x:c r="H467" s="24" t="str">
        <x:v>1.60</x:v>
      </x:c>
      <x:c r="I467" s="24" t="str">
        <x:v>Solitaire Protect</x:v>
      </x:c>
      <x:c r="J467" s="40" t="n">
        <x:v>3124</x:v>
      </x:c>
      <x:c r="K467" s="24" t="str">
        <x:v>-10 a +8</x:v>
      </x:c>
      <x:c r="L467" s="24" t="str">
        <x:v>até -6</x:v>
      </x:c>
      <x:c r="M467" s="24"/>
      <x:c r="N467" s="24" t="str">
        <x:v>75/80</x:v>
      </x:c>
      <x:c r="O467" s="24"/>
      <x:c r="P467" s="24"/>
      <x:c r="Q467" s="24" t="str">
        <x:v>DISPONÍVEL</x:v>
      </x:c>
      <x:c r="R467" s="24"/>
      <x:c r="S467" s="24" t="n">
        <x:v>13</x:v>
      </x:c>
      <x:c r="T467" s="24" t="str">
        <x:v>tabela_rodenstock.pdf</x:v>
      </x:c>
      <x:c r="U467" s="24" t="str">
        <x:v>Rodenstock|Ocupacional B.I.G. NORM|Surfaçada|Progressiv Ergo B.I.G. NORM|PRO410|1.6|1.60|Solitaire Protect|-10 a +8|até -6||75/80|||13</x:v>
      </x:c>
    </x:row>
    <x:row r="468">
      <x:c r="A468" s="24" t="str">
        <x:v>RD-905CC1E68679</x:v>
      </x:c>
      <x:c r="B468" s="24" t="str">
        <x:v>Rodenstock</x:v>
      </x:c>
      <x:c r="C468" s="24" t="str">
        <x:v>Ocupacional B.I.G. NORM</x:v>
      </x:c>
      <x:c r="D468" s="24" t="str">
        <x:v>Surfaçada</x:v>
      </x:c>
      <x:c r="E468" s="24" t="str">
        <x:v>Progressiv Ergo B.I.G. NORM</x:v>
      </x:c>
      <x:c r="F468" s="24"/>
      <x:c r="G468" s="24" t="str">
        <x:v>1.67 Ergo PC/Book/Room</x:v>
      </x:c>
      <x:c r="H468" s="24" t="str">
        <x:v>1.67</x:v>
      </x:c>
      <x:c r="I468" s="24" t="str">
        <x:v>LayR X-tra Clean</x:v>
      </x:c>
      <x:c r="J468" s="40" t="n">
        <x:v>5092</x:v>
      </x:c>
      <x:c r="K468" s="24" t="str">
        <x:v>-10 a +8</x:v>
      </x:c>
      <x:c r="L468" s="24" t="str">
        <x:v>até -6</x:v>
      </x:c>
      <x:c r="M468" s="24"/>
      <x:c r="N468" s="24" t="str">
        <x:v>75/80</x:v>
      </x:c>
      <x:c r="O468" s="24"/>
      <x:c r="P468" s="24"/>
      <x:c r="Q468" s="24" t="str">
        <x:v>DISPONÍVEL</x:v>
      </x:c>
      <x:c r="R468" s="24"/>
      <x:c r="S468" s="24" t="n">
        <x:v>13</x:v>
      </x:c>
      <x:c r="T468" s="24" t="str">
        <x:v>tabela_rodenstock.pdf</x:v>
      </x:c>
      <x:c r="U468" s="24" t="str">
        <x:v>Rodenstock|Ocupacional B.I.G. NORM|Surfaçada|Progressiv Ergo B.I.G. NORM||1.67 Ergo PC/Book/Room|1.67|LayR X-tra Clean|-10 a +8|até -6||75/80|||13</x:v>
      </x:c>
    </x:row>
    <x:row r="469">
      <x:c r="A469" s="24" t="str">
        <x:v>RD-9AC763A0D38C</x:v>
      </x:c>
      <x:c r="B469" s="24" t="str">
        <x:v>Rodenstock</x:v>
      </x:c>
      <x:c r="C469" s="24" t="str">
        <x:v>Ocupacional B.I.G. NORM</x:v>
      </x:c>
      <x:c r="D469" s="24" t="str">
        <x:v>Surfaçada</x:v>
      </x:c>
      <x:c r="E469" s="24" t="str">
        <x:v>Progressiv Ergo B.I.G. NORM</x:v>
      </x:c>
      <x:c r="F469" s="24"/>
      <x:c r="G469" s="24" t="str">
        <x:v>1.67 Ergo PC/Book/Room</x:v>
      </x:c>
      <x:c r="H469" s="24" t="str">
        <x:v>1.67</x:v>
      </x:c>
      <x:c r="I469" s="24" t="str">
        <x:v>LayR Balance</x:v>
      </x:c>
      <x:c r="J469" s="40" t="n">
        <x:v>5092</x:v>
      </x:c>
      <x:c r="K469" s="24" t="str">
        <x:v>-10 a +8</x:v>
      </x:c>
      <x:c r="L469" s="24" t="str">
        <x:v>até -6</x:v>
      </x:c>
      <x:c r="M469" s="24"/>
      <x:c r="N469" s="24" t="str">
        <x:v>75/80</x:v>
      </x:c>
      <x:c r="O469" s="24"/>
      <x:c r="P469" s="24"/>
      <x:c r="Q469" s="24" t="str">
        <x:v>DISPONÍVEL</x:v>
      </x:c>
      <x:c r="R469" s="24"/>
      <x:c r="S469" s="24" t="n">
        <x:v>13</x:v>
      </x:c>
      <x:c r="T469" s="24" t="str">
        <x:v>tabela_rodenstock.pdf</x:v>
      </x:c>
      <x:c r="U469" s="24" t="str">
        <x:v>Rodenstock|Ocupacional B.I.G. NORM|Surfaçada|Progressiv Ergo B.I.G. NORM||1.67 Ergo PC/Book/Room|1.67|LayR Balance|-10 a +8|até -6||75/80|||13</x:v>
      </x:c>
    </x:row>
    <x:row r="470">
      <x:c r="A470" s="24" t="str">
        <x:v>RD-4FDB6108A8A6</x:v>
      </x:c>
      <x:c r="B470" s="24" t="str">
        <x:v>Rodenstock</x:v>
      </x:c>
      <x:c r="C470" s="24" t="str">
        <x:v>Ocupacional B.I.G. NORM</x:v>
      </x:c>
      <x:c r="D470" s="24" t="str">
        <x:v>Surfaçada</x:v>
      </x:c>
      <x:c r="E470" s="24" t="str">
        <x:v>Progressiv Ergo B.I.G. NORM</x:v>
      </x:c>
      <x:c r="F470" s="24"/>
      <x:c r="G470" s="24" t="str">
        <x:v>1.67 Ergo PC/Book/Room</x:v>
      </x:c>
      <x:c r="H470" s="24" t="str">
        <x:v>1.67</x:v>
      </x:c>
      <x:c r="I470" s="24" t="str">
        <x:v>Solitaire X-tra Clean</x:v>
      </x:c>
      <x:c r="J470" s="40" t="n">
        <x:v>5022</x:v>
      </x:c>
      <x:c r="K470" s="24" t="str">
        <x:v>-10 a +8</x:v>
      </x:c>
      <x:c r="L470" s="24" t="str">
        <x:v>até -6</x:v>
      </x:c>
      <x:c r="M470" s="24"/>
      <x:c r="N470" s="24" t="str">
        <x:v>75/80</x:v>
      </x:c>
      <x:c r="O470" s="24"/>
      <x:c r="P470" s="24"/>
      <x:c r="Q470" s="24" t="str">
        <x:v>DISPONÍVEL</x:v>
      </x:c>
      <x:c r="R470" s="24"/>
      <x:c r="S470" s="24" t="n">
        <x:v>13</x:v>
      </x:c>
      <x:c r="T470" s="24" t="str">
        <x:v>tabela_rodenstock.pdf</x:v>
      </x:c>
      <x:c r="U470" s="24" t="str">
        <x:v>Rodenstock|Ocupacional B.I.G. NORM|Surfaçada|Progressiv Ergo B.I.G. NORM||1.67 Ergo PC/Book/Room|1.67|Solitaire X-tra Clean|-10 a +8|até -6||75/80|||13</x:v>
      </x:c>
    </x:row>
    <x:row r="471">
      <x:c r="A471" s="24" t="str">
        <x:v>RD-7365FEE64DE9</x:v>
      </x:c>
      <x:c r="B471" s="24" t="str">
        <x:v>Rodenstock</x:v>
      </x:c>
      <x:c r="C471" s="24" t="str">
        <x:v>Ocupacional B.I.G. NORM</x:v>
      </x:c>
      <x:c r="D471" s="24" t="str">
        <x:v>Surfaçada</x:v>
      </x:c>
      <x:c r="E471" s="24" t="str">
        <x:v>Progressiv Ergo B.I.G. NORM</x:v>
      </x:c>
      <x:c r="F471" s="24"/>
      <x:c r="G471" s="24" t="str">
        <x:v>1.67 Ergo PC/Book/Room</x:v>
      </x:c>
      <x:c r="H471" s="24" t="str">
        <x:v>1.67</x:v>
      </x:c>
      <x:c r="I471" s="24" t="str">
        <x:v>Solitaire Protect Plus</x:v>
      </x:c>
      <x:c r="J471" s="40" t="n">
        <x:v>4972</x:v>
      </x:c>
      <x:c r="K471" s="24" t="str">
        <x:v>-10 a +8</x:v>
      </x:c>
      <x:c r="L471" s="24" t="str">
        <x:v>até -6</x:v>
      </x:c>
      <x:c r="M471" s="24"/>
      <x:c r="N471" s="24" t="str">
        <x:v>75/80</x:v>
      </x:c>
      <x:c r="O471" s="24"/>
      <x:c r="P471" s="24"/>
      <x:c r="Q471" s="24" t="str">
        <x:v>DISPONÍVEL</x:v>
      </x:c>
      <x:c r="R471" s="24"/>
      <x:c r="S471" s="24" t="n">
        <x:v>13</x:v>
      </x:c>
      <x:c r="T471" s="24" t="str">
        <x:v>tabela_rodenstock.pdf</x:v>
      </x:c>
      <x:c r="U471" s="24" t="str">
        <x:v>Rodenstock|Ocupacional B.I.G. NORM|Surfaçada|Progressiv Ergo B.I.G. NORM||1.67 Ergo PC/Book/Room|1.67|Solitaire Protect Plus|-10 a +8|até -6||75/80|||13</x:v>
      </x:c>
    </x:row>
    <x:row r="472">
      <x:c r="A472" s="24" t="str">
        <x:v>RD-78DFFDE1E077</x:v>
      </x:c>
      <x:c r="B472" s="24" t="str">
        <x:v>Rodenstock</x:v>
      </x:c>
      <x:c r="C472" s="24" t="str">
        <x:v>Ocupacional B.I.G. NORM</x:v>
      </x:c>
      <x:c r="D472" s="24" t="str">
        <x:v>Surfaçada</x:v>
      </x:c>
      <x:c r="E472" s="24" t="str">
        <x:v>Progressiv Ergo B.I.G. NORM</x:v>
      </x:c>
      <x:c r="F472" s="24"/>
      <x:c r="G472" s="24" t="str">
        <x:v>1.67 Ergo PC/Book/Room</x:v>
      </x:c>
      <x:c r="H472" s="24" t="str">
        <x:v>1.67</x:v>
      </x:c>
      <x:c r="I472" s="24" t="str">
        <x:v>ROAD</x:v>
      </x:c>
      <x:c r="J472" s="40" t="n">
        <x:v>4972</x:v>
      </x:c>
      <x:c r="K472" s="24" t="str">
        <x:v>-10 a +8</x:v>
      </x:c>
      <x:c r="L472" s="24" t="str">
        <x:v>até -6</x:v>
      </x:c>
      <x:c r="M472" s="24"/>
      <x:c r="N472" s="24" t="str">
        <x:v>75/80</x:v>
      </x:c>
      <x:c r="O472" s="24"/>
      <x:c r="P472" s="24"/>
      <x:c r="Q472" s="24" t="str">
        <x:v>DISPONÍVEL</x:v>
      </x:c>
      <x:c r="R472" s="24"/>
      <x:c r="S472" s="24" t="n">
        <x:v>13</x:v>
      </x:c>
      <x:c r="T472" s="24" t="str">
        <x:v>tabela_rodenstock.pdf</x:v>
      </x:c>
      <x:c r="U472" s="24" t="str">
        <x:v>Rodenstock|Ocupacional B.I.G. NORM|Surfaçada|Progressiv Ergo B.I.G. NORM||1.67 Ergo PC/Book/Room|1.67|ROAD|-10 a +8|até -6||75/80|||13</x:v>
      </x:c>
    </x:row>
    <x:row r="473">
      <x:c r="A473" s="24" t="str">
        <x:v>RD-026094D00E69</x:v>
      </x:c>
      <x:c r="B473" s="24" t="str">
        <x:v>Rodenstock</x:v>
      </x:c>
      <x:c r="C473" s="24" t="str">
        <x:v>Ocupacional B.I.G. NORM</x:v>
      </x:c>
      <x:c r="D473" s="24" t="str">
        <x:v>Surfaçada</x:v>
      </x:c>
      <x:c r="E473" s="24" t="str">
        <x:v>Progressiv Ergo B.I.G. NORM</x:v>
      </x:c>
      <x:c r="F473" s="24"/>
      <x:c r="G473" s="24" t="str">
        <x:v>1.67 Ergo PC/Book/Room</x:v>
      </x:c>
      <x:c r="H473" s="24" t="str">
        <x:v>1.67</x:v>
      </x:c>
      <x:c r="I473" s="24" t="str">
        <x:v>Solitaire Protect</x:v>
      </x:c>
      <x:c r="J473" s="40" t="n">
        <x:v>4712</x:v>
      </x:c>
      <x:c r="K473" s="24" t="str">
        <x:v>-10 a +8</x:v>
      </x:c>
      <x:c r="L473" s="24" t="str">
        <x:v>até -6</x:v>
      </x:c>
      <x:c r="M473" s="24"/>
      <x:c r="N473" s="24" t="str">
        <x:v>75/80</x:v>
      </x:c>
      <x:c r="O473" s="24"/>
      <x:c r="P473" s="24"/>
      <x:c r="Q473" s="24" t="str">
        <x:v>DISPONÍVEL</x:v>
      </x:c>
      <x:c r="R473" s="24"/>
      <x:c r="S473" s="24" t="n">
        <x:v>13</x:v>
      </x:c>
      <x:c r="T473" s="24" t="str">
        <x:v>tabela_rodenstock.pdf</x:v>
      </x:c>
      <x:c r="U473" s="24" t="str">
        <x:v>Rodenstock|Ocupacional B.I.G. NORM|Surfaçada|Progressiv Ergo B.I.G. NORM||1.67 Ergo PC/Book/Room|1.67|Solitaire Protect|-10 a +8|até -6||75/80|||13</x:v>
      </x:c>
    </x:row>
    <x:row r="474">
      <x:c r="A474" s="24" t="str">
        <x:v>RD-32BFB0F313E0</x:v>
      </x:c>
      <x:c r="B474" s="24" t="str">
        <x:v>Rodenstock</x:v>
      </x:c>
      <x:c r="C474" s="24" t="str">
        <x:v>Ocupacional B.I.G. NORM</x:v>
      </x:c>
      <x:c r="D474" s="24" t="str">
        <x:v>Surfaçada</x:v>
      </x:c>
      <x:c r="E474" s="24" t="str">
        <x:v>Progressiv Ergo B.I.G. NORM</x:v>
      </x:c>
      <x:c r="F474" s="24"/>
      <x:c r="G474" s="24" t="str">
        <x:v>1.74 Ergo PC/Book/Room</x:v>
      </x:c>
      <x:c r="H474" s="24" t="str">
        <x:v>1.74</x:v>
      </x:c>
      <x:c r="I474" s="24" t="str">
        <x:v>LayR X-tra Clean</x:v>
      </x:c>
      <x:c r="J474" s="40" t="n">
        <x:v>6035</x:v>
      </x:c>
      <x:c r="K474" s="24" t="str">
        <x:v>-10 a +8</x:v>
      </x:c>
      <x:c r="L474" s="24" t="str">
        <x:v>até -6</x:v>
      </x:c>
      <x:c r="M474" s="24"/>
      <x:c r="N474" s="24" t="str">
        <x:v>75/80</x:v>
      </x:c>
      <x:c r="O474" s="24"/>
      <x:c r="P474" s="24"/>
      <x:c r="Q474" s="24" t="str">
        <x:v>DISPONÍVEL</x:v>
      </x:c>
      <x:c r="R474" s="24"/>
      <x:c r="S474" s="24" t="n">
        <x:v>13</x:v>
      </x:c>
      <x:c r="T474" s="24" t="str">
        <x:v>tabela_rodenstock.pdf</x:v>
      </x:c>
      <x:c r="U474" s="24" t="str">
        <x:v>Rodenstock|Ocupacional B.I.G. NORM|Surfaçada|Progressiv Ergo B.I.G. NORM||1.74 Ergo PC/Book/Room|1.74|LayR X-tra Clean|-10 a +8|até -6||75/80|||13</x:v>
      </x:c>
    </x:row>
    <x:row r="475">
      <x:c r="A475" s="24" t="str">
        <x:v>RD-2B795BA9A938</x:v>
      </x:c>
      <x:c r="B475" s="24" t="str">
        <x:v>Rodenstock</x:v>
      </x:c>
      <x:c r="C475" s="24" t="str">
        <x:v>Ocupacional B.I.G. NORM</x:v>
      </x:c>
      <x:c r="D475" s="24" t="str">
        <x:v>Surfaçada</x:v>
      </x:c>
      <x:c r="E475" s="24" t="str">
        <x:v>Progressiv Ergo B.I.G. NORM</x:v>
      </x:c>
      <x:c r="F475" s="24"/>
      <x:c r="G475" s="24" t="str">
        <x:v>1.74 Ergo PC/Book/Room</x:v>
      </x:c>
      <x:c r="H475" s="24" t="str">
        <x:v>1.74</x:v>
      </x:c>
      <x:c r="I475" s="24" t="str">
        <x:v>LayR Balance</x:v>
      </x:c>
      <x:c r="J475" s="40" t="n">
        <x:v>6035</x:v>
      </x:c>
      <x:c r="K475" s="24" t="str">
        <x:v>-10 a +8</x:v>
      </x:c>
      <x:c r="L475" s="24" t="str">
        <x:v>até -6</x:v>
      </x:c>
      <x:c r="M475" s="24"/>
      <x:c r="N475" s="24" t="str">
        <x:v>75/80</x:v>
      </x:c>
      <x:c r="O475" s="24"/>
      <x:c r="P475" s="24"/>
      <x:c r="Q475" s="24" t="str">
        <x:v>DISPONÍVEL</x:v>
      </x:c>
      <x:c r="R475" s="24"/>
      <x:c r="S475" s="24" t="n">
        <x:v>13</x:v>
      </x:c>
      <x:c r="T475" s="24" t="str">
        <x:v>tabela_rodenstock.pdf</x:v>
      </x:c>
      <x:c r="U475" s="24" t="str">
        <x:v>Rodenstock|Ocupacional B.I.G. NORM|Surfaçada|Progressiv Ergo B.I.G. NORM||1.74 Ergo PC/Book/Room|1.74|LayR Balance|-10 a +8|até -6||75/80|||13</x:v>
      </x:c>
    </x:row>
    <x:row r="476">
      <x:c r="A476" s="24" t="str">
        <x:v>RD-900ADF791C1E</x:v>
      </x:c>
      <x:c r="B476" s="24" t="str">
        <x:v>Rodenstock</x:v>
      </x:c>
      <x:c r="C476" s="24" t="str">
        <x:v>Ocupacional B.I.G. NORM</x:v>
      </x:c>
      <x:c r="D476" s="24" t="str">
        <x:v>Surfaçada</x:v>
      </x:c>
      <x:c r="E476" s="24" t="str">
        <x:v>Progressiv Ergo B.I.G. NORM</x:v>
      </x:c>
      <x:c r="F476" s="24"/>
      <x:c r="G476" s="24" t="str">
        <x:v>1.74 Ergo PC/Book/Room</x:v>
      </x:c>
      <x:c r="H476" s="24" t="str">
        <x:v>1.74</x:v>
      </x:c>
      <x:c r="I476" s="24" t="str">
        <x:v>Solitaire X-tra Clean</x:v>
      </x:c>
      <x:c r="J476" s="40" t="n">
        <x:v>5965</x:v>
      </x:c>
      <x:c r="K476" s="24" t="str">
        <x:v>-10 a +8</x:v>
      </x:c>
      <x:c r="L476" s="24" t="str">
        <x:v>até -6</x:v>
      </x:c>
      <x:c r="M476" s="24"/>
      <x:c r="N476" s="24" t="str">
        <x:v>75/80</x:v>
      </x:c>
      <x:c r="O476" s="24"/>
      <x:c r="P476" s="24"/>
      <x:c r="Q476" s="24" t="str">
        <x:v>DISPONÍVEL</x:v>
      </x:c>
      <x:c r="R476" s="24"/>
      <x:c r="S476" s="24" t="n">
        <x:v>13</x:v>
      </x:c>
      <x:c r="T476" s="24" t="str">
        <x:v>tabela_rodenstock.pdf</x:v>
      </x:c>
      <x:c r="U476" s="24" t="str">
        <x:v>Rodenstock|Ocupacional B.I.G. NORM|Surfaçada|Progressiv Ergo B.I.G. NORM||1.74 Ergo PC/Book/Room|1.74|Solitaire X-tra Clean|-10 a +8|até -6||75/80|||13</x:v>
      </x:c>
    </x:row>
    <x:row r="477">
      <x:c r="A477" s="24" t="str">
        <x:v>RD-93A48D9A1354</x:v>
      </x:c>
      <x:c r="B477" s="24" t="str">
        <x:v>Rodenstock</x:v>
      </x:c>
      <x:c r="C477" s="24" t="str">
        <x:v>Ocupacional B.I.G. NORM</x:v>
      </x:c>
      <x:c r="D477" s="24" t="str">
        <x:v>Surfaçada</x:v>
      </x:c>
      <x:c r="E477" s="24" t="str">
        <x:v>Progressiv Ergo B.I.G. NORM</x:v>
      </x:c>
      <x:c r="F477" s="24"/>
      <x:c r="G477" s="24" t="str">
        <x:v>1.74 Ergo PC/Book/Room</x:v>
      </x:c>
      <x:c r="H477" s="24" t="str">
        <x:v>1.74</x:v>
      </x:c>
      <x:c r="I477" s="24" t="str">
        <x:v>Solitaire Protect Plus</x:v>
      </x:c>
      <x:c r="J477" s="40" t="n">
        <x:v>5915</x:v>
      </x:c>
      <x:c r="K477" s="24" t="str">
        <x:v>-10 a +8</x:v>
      </x:c>
      <x:c r="L477" s="24" t="str">
        <x:v>até -6</x:v>
      </x:c>
      <x:c r="M477" s="24"/>
      <x:c r="N477" s="24" t="str">
        <x:v>75/80</x:v>
      </x:c>
      <x:c r="O477" s="24"/>
      <x:c r="P477" s="24"/>
      <x:c r="Q477" s="24" t="str">
        <x:v>DISPONÍVEL</x:v>
      </x:c>
      <x:c r="R477" s="24"/>
      <x:c r="S477" s="24" t="n">
        <x:v>13</x:v>
      </x:c>
      <x:c r="T477" s="24" t="str">
        <x:v>tabela_rodenstock.pdf</x:v>
      </x:c>
      <x:c r="U477" s="24" t="str">
        <x:v>Rodenstock|Ocupacional B.I.G. NORM|Surfaçada|Progressiv Ergo B.I.G. NORM||1.74 Ergo PC/Book/Room|1.74|Solitaire Protect Plus|-10 a +8|até -6||75/80|||13</x:v>
      </x:c>
    </x:row>
    <x:row r="478">
      <x:c r="A478" s="24" t="str">
        <x:v>RD-22A97ADFD9F1</x:v>
      </x:c>
      <x:c r="B478" s="24" t="str">
        <x:v>Rodenstock</x:v>
      </x:c>
      <x:c r="C478" s="24" t="str">
        <x:v>Ocupacional B.I.G. NORM</x:v>
      </x:c>
      <x:c r="D478" s="24" t="str">
        <x:v>Surfaçada</x:v>
      </x:c>
      <x:c r="E478" s="24" t="str">
        <x:v>Progressiv Ergo B.I.G. NORM</x:v>
      </x:c>
      <x:c r="F478" s="24"/>
      <x:c r="G478" s="24" t="str">
        <x:v>1.74 Ergo PC/Book/Room</x:v>
      </x:c>
      <x:c r="H478" s="24" t="str">
        <x:v>1.74</x:v>
      </x:c>
      <x:c r="I478" s="24" t="str">
        <x:v>Solitaire Protect</x:v>
      </x:c>
      <x:c r="J478" s="40" t="n">
        <x:v>5655</x:v>
      </x:c>
      <x:c r="K478" s="24" t="str">
        <x:v>-10 a +8</x:v>
      </x:c>
      <x:c r="L478" s="24" t="str">
        <x:v>até -6</x:v>
      </x:c>
      <x:c r="M478" s="24"/>
      <x:c r="N478" s="24" t="str">
        <x:v>75/80</x:v>
      </x:c>
      <x:c r="O478" s="24"/>
      <x:c r="P478" s="24"/>
      <x:c r="Q478" s="24" t="str">
        <x:v>DISPONÍVEL</x:v>
      </x:c>
      <x:c r="R478" s="24"/>
      <x:c r="S478" s="24" t="n">
        <x:v>13</x:v>
      </x:c>
      <x:c r="T478" s="24" t="str">
        <x:v>tabela_rodenstock.pdf</x:v>
      </x:c>
      <x:c r="U478" s="24" t="str">
        <x:v>Rodenstock|Ocupacional B.I.G. NORM|Surfaçada|Progressiv Ergo B.I.G. NORM||1.74 Ergo PC/Book/Room|1.74|Solitaire Protect|-10 a +8|até -6||75/80|||13</x:v>
      </x:c>
    </x:row>
    <x:row r="479">
      <x:c r="A479" s="24" t="str">
        <x:v>RD-E6E57956DC1D</x:v>
      </x:c>
      <x:c r="B479" s="24" t="str">
        <x:v>Rodenstock</x:v>
      </x:c>
      <x:c r="C479" s="24" t="str">
        <x:v>Mono Plus B.I.G. NORM</x:v>
      </x:c>
      <x:c r="D479" s="24" t="str">
        <x:v>Surfaçada</x:v>
      </x:c>
      <x:c r="E479" s="24" t="str">
        <x:v>Impression Mono Plus B.I.G. NORM</x:v>
      </x:c>
      <x:c r="F479" s="24"/>
      <x:c r="G479" s="24" t="str">
        <x:v>1.5</x:v>
      </x:c>
      <x:c r="H479" s="24" t="str">
        <x:v>1.50</x:v>
      </x:c>
      <x:c r="I479" s="24" t="str">
        <x:v>LayR X-tra Clean</x:v>
      </x:c>
      <x:c r="J479" s="40" t="n">
        <x:v>2729</x:v>
      </x:c>
      <x:c r="K479" s="24" t="str">
        <x:v>-8 a +8</x:v>
      </x:c>
      <x:c r="L479" s="24" t="str">
        <x:v>até -6</x:v>
      </x:c>
      <x:c r="M479" s="24"/>
      <x:c r="N479" s="24" t="str">
        <x:v>75</x:v>
      </x:c>
      <x:c r="O479" s="24"/>
      <x:c r="P479" s="24"/>
      <x:c r="Q479" s="24" t="str">
        <x:v>DISPONÍVEL</x:v>
      </x:c>
      <x:c r="R479" s="24"/>
      <x:c r="S479" s="24" t="n">
        <x:v>15</x:v>
      </x:c>
      <x:c r="T479" s="24" t="str">
        <x:v>tabela_rodenstock.pdf</x:v>
      </x:c>
      <x:c r="U479" s="24" t="str">
        <x:v>Rodenstock|Mono Plus B.I.G. NORM|Surfaçada|Impression Mono Plus B.I.G. NORM||1.5|1.50|LayR X-tra Clean|-8 a +8|até -6||75|||15</x:v>
      </x:c>
    </x:row>
    <x:row r="480">
      <x:c r="A480" s="24" t="str">
        <x:v>RD-8B4AE12FD5DC</x:v>
      </x:c>
      <x:c r="B480" s="24" t="str">
        <x:v>Rodenstock</x:v>
      </x:c>
      <x:c r="C480" s="24" t="str">
        <x:v>Mono Plus B.I.G. NORM</x:v>
      </x:c>
      <x:c r="D480" s="24" t="str">
        <x:v>Surfaçada</x:v>
      </x:c>
      <x:c r="E480" s="24" t="str">
        <x:v>Impression Mono Plus B.I.G. NORM</x:v>
      </x:c>
      <x:c r="F480" s="24"/>
      <x:c r="G480" s="24" t="str">
        <x:v>1.5</x:v>
      </x:c>
      <x:c r="H480" s="24" t="str">
        <x:v>1.50</x:v>
      </x:c>
      <x:c r="I480" s="24" t="str">
        <x:v>LayR Balance</x:v>
      </x:c>
      <x:c r="J480" s="40" t="n">
        <x:v>2729</x:v>
      </x:c>
      <x:c r="K480" s="24" t="str">
        <x:v>-8 a +8</x:v>
      </x:c>
      <x:c r="L480" s="24" t="str">
        <x:v>até -6</x:v>
      </x:c>
      <x:c r="M480" s="24"/>
      <x:c r="N480" s="24" t="str">
        <x:v>75</x:v>
      </x:c>
      <x:c r="O480" s="24"/>
      <x:c r="P480" s="24"/>
      <x:c r="Q480" s="24" t="str">
        <x:v>DISPONÍVEL</x:v>
      </x:c>
      <x:c r="R480" s="24"/>
      <x:c r="S480" s="24" t="n">
        <x:v>15</x:v>
      </x:c>
      <x:c r="T480" s="24" t="str">
        <x:v>tabela_rodenstock.pdf</x:v>
      </x:c>
      <x:c r="U480" s="24" t="str">
        <x:v>Rodenstock|Mono Plus B.I.G. NORM|Surfaçada|Impression Mono Plus B.I.G. NORM||1.5|1.50|LayR Balance|-8 a +8|até -6||75|||15</x:v>
      </x:c>
    </x:row>
    <x:row r="481">
      <x:c r="A481" s="24" t="str">
        <x:v>RD-47AE3B3B5CB9</x:v>
      </x:c>
      <x:c r="B481" s="24" t="str">
        <x:v>Rodenstock</x:v>
      </x:c>
      <x:c r="C481" s="24" t="str">
        <x:v>Mono Plus B.I.G. NORM</x:v>
      </x:c>
      <x:c r="D481" s="24" t="str">
        <x:v>Surfaçada</x:v>
      </x:c>
      <x:c r="E481" s="24" t="str">
        <x:v>Impression Mono Plus B.I.G. NORM</x:v>
      </x:c>
      <x:c r="F481" s="24"/>
      <x:c r="G481" s="24" t="str">
        <x:v>1.5</x:v>
      </x:c>
      <x:c r="H481" s="24" t="str">
        <x:v>1.50</x:v>
      </x:c>
      <x:c r="I481" s="24" t="str">
        <x:v>Solitaire X-tra Clean</x:v>
      </x:c>
      <x:c r="J481" s="40" t="n">
        <x:v>2659</x:v>
      </x:c>
      <x:c r="K481" s="24" t="str">
        <x:v>-8 a +8</x:v>
      </x:c>
      <x:c r="L481" s="24" t="str">
        <x:v>até -6</x:v>
      </x:c>
      <x:c r="M481" s="24"/>
      <x:c r="N481" s="24" t="str">
        <x:v>75</x:v>
      </x:c>
      <x:c r="O481" s="24"/>
      <x:c r="P481" s="24"/>
      <x:c r="Q481" s="24" t="str">
        <x:v>DISPONÍVEL</x:v>
      </x:c>
      <x:c r="R481" s="24"/>
      <x:c r="S481" s="24" t="n">
        <x:v>15</x:v>
      </x:c>
      <x:c r="T481" s="24" t="str">
        <x:v>tabela_rodenstock.pdf</x:v>
      </x:c>
      <x:c r="U481" s="24" t="str">
        <x:v>Rodenstock|Mono Plus B.I.G. NORM|Surfaçada|Impression Mono Plus B.I.G. NORM||1.5|1.50|Solitaire X-tra Clean|-8 a +8|até -6||75|||15</x:v>
      </x:c>
    </x:row>
    <x:row r="482">
      <x:c r="A482" s="24" t="str">
        <x:v>RD-29AA0446E7B0</x:v>
      </x:c>
      <x:c r="B482" s="24" t="str">
        <x:v>Rodenstock</x:v>
      </x:c>
      <x:c r="C482" s="24" t="str">
        <x:v>Mono Plus B.I.G. NORM</x:v>
      </x:c>
      <x:c r="D482" s="24" t="str">
        <x:v>Surfaçada</x:v>
      </x:c>
      <x:c r="E482" s="24" t="str">
        <x:v>Impression Mono Plus B.I.G. NORM</x:v>
      </x:c>
      <x:c r="F482" s="24"/>
      <x:c r="G482" s="24" t="str">
        <x:v>1.5</x:v>
      </x:c>
      <x:c r="H482" s="24" t="str">
        <x:v>1.50</x:v>
      </x:c>
      <x:c r="I482" s="24" t="str">
        <x:v>Solitaire Protect Plus</x:v>
      </x:c>
      <x:c r="J482" s="40" t="n">
        <x:v>2609</x:v>
      </x:c>
      <x:c r="K482" s="24" t="str">
        <x:v>-8 a +8</x:v>
      </x:c>
      <x:c r="L482" s="24" t="str">
        <x:v>até -6</x:v>
      </x:c>
      <x:c r="M482" s="24"/>
      <x:c r="N482" s="24" t="str">
        <x:v>75</x:v>
      </x:c>
      <x:c r="O482" s="24"/>
      <x:c r="P482" s="24"/>
      <x:c r="Q482" s="24" t="str">
        <x:v>DISPONÍVEL</x:v>
      </x:c>
      <x:c r="R482" s="24"/>
      <x:c r="S482" s="24" t="n">
        <x:v>15</x:v>
      </x:c>
      <x:c r="T482" s="24" t="str">
        <x:v>tabela_rodenstock.pdf</x:v>
      </x:c>
      <x:c r="U482" s="24" t="str">
        <x:v>Rodenstock|Mono Plus B.I.G. NORM|Surfaçada|Impression Mono Plus B.I.G. NORM||1.5|1.50|Solitaire Protect Plus|-8 a +8|até -6||75|||15</x:v>
      </x:c>
    </x:row>
    <x:row r="483">
      <x:c r="A483" s="24" t="str">
        <x:v>RD-E7D1ED4040C3</x:v>
      </x:c>
      <x:c r="B483" s="24" t="str">
        <x:v>Rodenstock</x:v>
      </x:c>
      <x:c r="C483" s="24" t="str">
        <x:v>Mono Plus B.I.G. NORM</x:v>
      </x:c>
      <x:c r="D483" s="24" t="str">
        <x:v>Surfaçada</x:v>
      </x:c>
      <x:c r="E483" s="24" t="str">
        <x:v>Impression Mono Plus B.I.G. NORM</x:v>
      </x:c>
      <x:c r="F483" s="24"/>
      <x:c r="G483" s="24" t="str">
        <x:v>1.5</x:v>
      </x:c>
      <x:c r="H483" s="24" t="str">
        <x:v>1.50</x:v>
      </x:c>
      <x:c r="I483" s="24" t="str">
        <x:v>ROAD</x:v>
      </x:c>
      <x:c r="J483" s="40" t="n">
        <x:v>2609</x:v>
      </x:c>
      <x:c r="K483" s="24" t="str">
        <x:v>-8 a +8</x:v>
      </x:c>
      <x:c r="L483" s="24" t="str">
        <x:v>até -6</x:v>
      </x:c>
      <x:c r="M483" s="24"/>
      <x:c r="N483" s="24" t="str">
        <x:v>75</x:v>
      </x:c>
      <x:c r="O483" s="24"/>
      <x:c r="P483" s="24"/>
      <x:c r="Q483" s="24" t="str">
        <x:v>DISPONÍVEL</x:v>
      </x:c>
      <x:c r="R483" s="24"/>
      <x:c r="S483" s="24" t="n">
        <x:v>15</x:v>
      </x:c>
      <x:c r="T483" s="24" t="str">
        <x:v>tabela_rodenstock.pdf</x:v>
      </x:c>
      <x:c r="U483" s="24" t="str">
        <x:v>Rodenstock|Mono Plus B.I.G. NORM|Surfaçada|Impression Mono Plus B.I.G. NORM||1.5|1.50|ROAD|-8 a +8|até -6||75|||15</x:v>
      </x:c>
    </x:row>
    <x:row r="484">
      <x:c r="A484" s="24" t="str">
        <x:v>RD-B7323BA1418E</x:v>
      </x:c>
      <x:c r="B484" s="24" t="str">
        <x:v>Rodenstock</x:v>
      </x:c>
      <x:c r="C484" s="24" t="str">
        <x:v>Mono Plus B.I.G. NORM</x:v>
      </x:c>
      <x:c r="D484" s="24" t="str">
        <x:v>Surfaçada</x:v>
      </x:c>
      <x:c r="E484" s="24" t="str">
        <x:v>Impression Mono Plus B.I.G. NORM</x:v>
      </x:c>
      <x:c r="F484" s="24"/>
      <x:c r="G484" s="24" t="str">
        <x:v>1.5</x:v>
      </x:c>
      <x:c r="H484" s="24" t="str">
        <x:v>1.50</x:v>
      </x:c>
      <x:c r="I484" s="24" t="str">
        <x:v>Solitaire Protect</x:v>
      </x:c>
      <x:c r="J484" s="40" t="n">
        <x:v>2349</x:v>
      </x:c>
      <x:c r="K484" s="24" t="str">
        <x:v>-8 a +8</x:v>
      </x:c>
      <x:c r="L484" s="24" t="str">
        <x:v>até -6</x:v>
      </x:c>
      <x:c r="M484" s="24"/>
      <x:c r="N484" s="24" t="str">
        <x:v>75</x:v>
      </x:c>
      <x:c r="O484" s="24"/>
      <x:c r="P484" s="24"/>
      <x:c r="Q484" s="24" t="str">
        <x:v>DISPONÍVEL</x:v>
      </x:c>
      <x:c r="R484" s="24"/>
      <x:c r="S484" s="24" t="n">
        <x:v>15</x:v>
      </x:c>
      <x:c r="T484" s="24" t="str">
        <x:v>tabela_rodenstock.pdf</x:v>
      </x:c>
      <x:c r="U484" s="24" t="str">
        <x:v>Rodenstock|Mono Plus B.I.G. NORM|Surfaçada|Impression Mono Plus B.I.G. NORM||1.5|1.50|Solitaire Protect|-8 a +8|até -6||75|||15</x:v>
      </x:c>
    </x:row>
    <x:row r="485">
      <x:c r="A485" s="24" t="str">
        <x:v>RD-CFE44FA08B6A</x:v>
      </x:c>
      <x:c r="B485" s="24" t="str">
        <x:v>Rodenstock</x:v>
      </x:c>
      <x:c r="C485" s="24" t="str">
        <x:v>Mono Plus B.I.G. NORM</x:v>
      </x:c>
      <x:c r="D485" s="24" t="str">
        <x:v>Surfaçada</x:v>
      </x:c>
      <x:c r="E485" s="24" t="str">
        <x:v>Impression Mono Plus B.I.G. NORM</x:v>
      </x:c>
      <x:c r="F485" s="24" t="str">
        <x:v>ColorMatic® 3</x:v>
      </x:c>
      <x:c r="G485" s="24" t="str">
        <x:v>1.54</x:v>
      </x:c>
      <x:c r="H485" s="24" t="str">
        <x:v>1.54</x:v>
      </x:c>
      <x:c r="I485" s="24" t="str">
        <x:v>LayR X-tra Clean</x:v>
      </x:c>
      <x:c r="J485" s="40" t="n">
        <x:v>4143</x:v>
      </x:c>
      <x:c r="K485" s="24" t="str">
        <x:v>-8 a +8</x:v>
      </x:c>
      <x:c r="L485" s="24" t="str">
        <x:v>até -6</x:v>
      </x:c>
      <x:c r="M485" s="24"/>
      <x:c r="N485" s="24" t="str">
        <x:v>75</x:v>
      </x:c>
      <x:c r="O485" s="24"/>
      <x:c r="P485" s="24"/>
      <x:c r="Q485" s="24" t="str">
        <x:v>DISPONÍVEL</x:v>
      </x:c>
      <x:c r="R485" s="24"/>
      <x:c r="S485" s="24" t="n">
        <x:v>15</x:v>
      </x:c>
      <x:c r="T485" s="24" t="str">
        <x:v>tabela_rodenstock.pdf</x:v>
      </x:c>
      <x:c r="U485" s="24" t="str">
        <x:v>Rodenstock|Mono Plus B.I.G. NORM|Surfaçada|Impression Mono Plus B.I.G. NORM|ColorMatic® 3|1.54|1.54|LayR X-tra Clean|-8 a +8|até -6||75|||15</x:v>
      </x:c>
    </x:row>
    <x:row r="486">
      <x:c r="A486" s="24" t="str">
        <x:v>RD-80677F55E5AD</x:v>
      </x:c>
      <x:c r="B486" s="24" t="str">
        <x:v>Rodenstock</x:v>
      </x:c>
      <x:c r="C486" s="24" t="str">
        <x:v>Mono Plus B.I.G. NORM</x:v>
      </x:c>
      <x:c r="D486" s="24" t="str">
        <x:v>Surfaçada</x:v>
      </x:c>
      <x:c r="E486" s="24" t="str">
        <x:v>Impression Mono Plus B.I.G. NORM</x:v>
      </x:c>
      <x:c r="F486" s="24" t="str">
        <x:v>ColorMatic® 3</x:v>
      </x:c>
      <x:c r="G486" s="24" t="str">
        <x:v>1.54</x:v>
      </x:c>
      <x:c r="H486" s="24" t="str">
        <x:v>1.54</x:v>
      </x:c>
      <x:c r="I486" s="24" t="str">
        <x:v>LayR Balance</x:v>
      </x:c>
      <x:c r="J486" s="40" t="n">
        <x:v>4143</x:v>
      </x:c>
      <x:c r="K486" s="24" t="str">
        <x:v>-8 a +8</x:v>
      </x:c>
      <x:c r="L486" s="24" t="str">
        <x:v>até -6</x:v>
      </x:c>
      <x:c r="M486" s="24"/>
      <x:c r="N486" s="24" t="str">
        <x:v>75</x:v>
      </x:c>
      <x:c r="O486" s="24"/>
      <x:c r="P486" s="24"/>
      <x:c r="Q486" s="24" t="str">
        <x:v>DISPONÍVEL</x:v>
      </x:c>
      <x:c r="R486" s="24"/>
      <x:c r="S486" s="24" t="n">
        <x:v>15</x:v>
      </x:c>
      <x:c r="T486" s="24" t="str">
        <x:v>tabela_rodenstock.pdf</x:v>
      </x:c>
      <x:c r="U486" s="24" t="str">
        <x:v>Rodenstock|Mono Plus B.I.G. NORM|Surfaçada|Impression Mono Plus B.I.G. NORM|ColorMatic® 3|1.54|1.54|LayR Balance|-8 a +8|até -6||75|||15</x:v>
      </x:c>
    </x:row>
    <x:row r="487">
      <x:c r="A487" s="24" t="str">
        <x:v>RD-F895CBAC4B35</x:v>
      </x:c>
      <x:c r="B487" s="24" t="str">
        <x:v>Rodenstock</x:v>
      </x:c>
      <x:c r="C487" s="24" t="str">
        <x:v>Mono Plus B.I.G. NORM</x:v>
      </x:c>
      <x:c r="D487" s="24" t="str">
        <x:v>Surfaçada</x:v>
      </x:c>
      <x:c r="E487" s="24" t="str">
        <x:v>Impression Mono Plus B.I.G. NORM</x:v>
      </x:c>
      <x:c r="F487" s="24" t="str">
        <x:v>ColorMatic® 3</x:v>
      </x:c>
      <x:c r="G487" s="24" t="str">
        <x:v>1.54</x:v>
      </x:c>
      <x:c r="H487" s="24" t="str">
        <x:v>1.54</x:v>
      </x:c>
      <x:c r="I487" s="24" t="str">
        <x:v>Solitaire X-tra Clean</x:v>
      </x:c>
      <x:c r="J487" s="40" t="n">
        <x:v>4073</x:v>
      </x:c>
      <x:c r="K487" s="24" t="str">
        <x:v>-8 a +8</x:v>
      </x:c>
      <x:c r="L487" s="24" t="str">
        <x:v>até -6</x:v>
      </x:c>
      <x:c r="M487" s="24"/>
      <x:c r="N487" s="24" t="str">
        <x:v>75</x:v>
      </x:c>
      <x:c r="O487" s="24"/>
      <x:c r="P487" s="24"/>
      <x:c r="Q487" s="24" t="str">
        <x:v>DISPONÍVEL</x:v>
      </x:c>
      <x:c r="R487" s="24"/>
      <x:c r="S487" s="24" t="n">
        <x:v>15</x:v>
      </x:c>
      <x:c r="T487" s="24" t="str">
        <x:v>tabela_rodenstock.pdf</x:v>
      </x:c>
      <x:c r="U487" s="24" t="str">
        <x:v>Rodenstock|Mono Plus B.I.G. NORM|Surfaçada|Impression Mono Plus B.I.G. NORM|ColorMatic® 3|1.54|1.54|Solitaire X-tra Clean|-8 a +8|até -6||75|||15</x:v>
      </x:c>
    </x:row>
    <x:row r="488">
      <x:c r="A488" s="24" t="str">
        <x:v>RD-5B03F72EB771</x:v>
      </x:c>
      <x:c r="B488" s="24" t="str">
        <x:v>Rodenstock</x:v>
      </x:c>
      <x:c r="C488" s="24" t="str">
        <x:v>Mono Plus B.I.G. NORM</x:v>
      </x:c>
      <x:c r="D488" s="24" t="str">
        <x:v>Surfaçada</x:v>
      </x:c>
      <x:c r="E488" s="24" t="str">
        <x:v>Impression Mono Plus B.I.G. NORM</x:v>
      </x:c>
      <x:c r="F488" s="24" t="str">
        <x:v>ColorMatic® 3</x:v>
      </x:c>
      <x:c r="G488" s="24" t="str">
        <x:v>1.54</x:v>
      </x:c>
      <x:c r="H488" s="24" t="str">
        <x:v>1.54</x:v>
      </x:c>
      <x:c r="I488" s="24" t="str">
        <x:v>Solitaire Protect Plus</x:v>
      </x:c>
      <x:c r="J488" s="40" t="n">
        <x:v>4023</x:v>
      </x:c>
      <x:c r="K488" s="24" t="str">
        <x:v>-8 a +8</x:v>
      </x:c>
      <x:c r="L488" s="24" t="str">
        <x:v>até -6</x:v>
      </x:c>
      <x:c r="M488" s="24"/>
      <x:c r="N488" s="24" t="str">
        <x:v>75</x:v>
      </x:c>
      <x:c r="O488" s="24"/>
      <x:c r="P488" s="24"/>
      <x:c r="Q488" s="24" t="str">
        <x:v>DISPONÍVEL</x:v>
      </x:c>
      <x:c r="R488" s="24"/>
      <x:c r="S488" s="24" t="n">
        <x:v>15</x:v>
      </x:c>
      <x:c r="T488" s="24" t="str">
        <x:v>tabela_rodenstock.pdf</x:v>
      </x:c>
      <x:c r="U488" s="24" t="str">
        <x:v>Rodenstock|Mono Plus B.I.G. NORM|Surfaçada|Impression Mono Plus B.I.G. NORM|ColorMatic® 3|1.54|1.54|Solitaire Protect Plus|-8 a +8|até -6||75|||15</x:v>
      </x:c>
    </x:row>
    <x:row r="489">
      <x:c r="A489" s="24" t="str">
        <x:v>RD-B9FBA8D27E8F</x:v>
      </x:c>
      <x:c r="B489" s="24" t="str">
        <x:v>Rodenstock</x:v>
      </x:c>
      <x:c r="C489" s="24" t="str">
        <x:v>Mono Plus B.I.G. NORM</x:v>
      </x:c>
      <x:c r="D489" s="24" t="str">
        <x:v>Surfaçada</x:v>
      </x:c>
      <x:c r="E489" s="24" t="str">
        <x:v>Impression Mono Plus B.I.G. NORM</x:v>
      </x:c>
      <x:c r="F489" s="24" t="str">
        <x:v>ColorMatic® 3</x:v>
      </x:c>
      <x:c r="G489" s="24" t="str">
        <x:v>1.54</x:v>
      </x:c>
      <x:c r="H489" s="24" t="str">
        <x:v>1.54</x:v>
      </x:c>
      <x:c r="I489" s="24" t="str">
        <x:v>ROAD</x:v>
      </x:c>
      <x:c r="J489" s="40" t="n">
        <x:v>4023</x:v>
      </x:c>
      <x:c r="K489" s="24" t="str">
        <x:v>-8 a +8</x:v>
      </x:c>
      <x:c r="L489" s="24" t="str">
        <x:v>até -6</x:v>
      </x:c>
      <x:c r="M489" s="24"/>
      <x:c r="N489" s="24" t="str">
        <x:v>75</x:v>
      </x:c>
      <x:c r="O489" s="24"/>
      <x:c r="P489" s="24"/>
      <x:c r="Q489" s="24" t="str">
        <x:v>DISPONÍVEL</x:v>
      </x:c>
      <x:c r="R489" s="24"/>
      <x:c r="S489" s="24" t="n">
        <x:v>15</x:v>
      </x:c>
      <x:c r="T489" s="24" t="str">
        <x:v>tabela_rodenstock.pdf</x:v>
      </x:c>
      <x:c r="U489" s="24" t="str">
        <x:v>Rodenstock|Mono Plus B.I.G. NORM|Surfaçada|Impression Mono Plus B.I.G. NORM|ColorMatic® 3|1.54|1.54|ROAD|-8 a +8|até -6||75|||15</x:v>
      </x:c>
    </x:row>
    <x:row r="490">
      <x:c r="A490" s="24" t="str">
        <x:v>RD-EDF2DACA80BC</x:v>
      </x:c>
      <x:c r="B490" s="24" t="str">
        <x:v>Rodenstock</x:v>
      </x:c>
      <x:c r="C490" s="24" t="str">
        <x:v>Mono Plus B.I.G. NORM</x:v>
      </x:c>
      <x:c r="D490" s="24" t="str">
        <x:v>Surfaçada</x:v>
      </x:c>
      <x:c r="E490" s="24" t="str">
        <x:v>Impression Mono Plus B.I.G. NORM</x:v>
      </x:c>
      <x:c r="F490" s="24" t="str">
        <x:v>ColorMatic® 3</x:v>
      </x:c>
      <x:c r="G490" s="24" t="str">
        <x:v>1.54</x:v>
      </x:c>
      <x:c r="H490" s="24" t="str">
        <x:v>1.54</x:v>
      </x:c>
      <x:c r="I490" s="24" t="str">
        <x:v>Solitaire Protect</x:v>
      </x:c>
      <x:c r="J490" s="40" t="n">
        <x:v>3763</x:v>
      </x:c>
      <x:c r="K490" s="24" t="str">
        <x:v>-8 a +8</x:v>
      </x:c>
      <x:c r="L490" s="24" t="str">
        <x:v>até -6</x:v>
      </x:c>
      <x:c r="M490" s="24"/>
      <x:c r="N490" s="24" t="str">
        <x:v>75</x:v>
      </x:c>
      <x:c r="O490" s="24"/>
      <x:c r="P490" s="24"/>
      <x:c r="Q490" s="24" t="str">
        <x:v>DISPONÍVEL</x:v>
      </x:c>
      <x:c r="R490" s="24"/>
      <x:c r="S490" s="24" t="n">
        <x:v>15</x:v>
      </x:c>
      <x:c r="T490" s="24" t="str">
        <x:v>tabela_rodenstock.pdf</x:v>
      </x:c>
      <x:c r="U490" s="24" t="str">
        <x:v>Rodenstock|Mono Plus B.I.G. NORM|Surfaçada|Impression Mono Plus B.I.G. NORM|ColorMatic® 3|1.54|1.54|Solitaire Protect|-8 a +8|até -6||75|||15</x:v>
      </x:c>
    </x:row>
    <x:row r="491">
      <x:c r="A491" s="24" t="str">
        <x:v>RD-4442E27196CD</x:v>
      </x:c>
      <x:c r="B491" s="24" t="str">
        <x:v>Rodenstock</x:v>
      </x:c>
      <x:c r="C491" s="24" t="str">
        <x:v>Mono Plus B.I.G. NORM</x:v>
      </x:c>
      <x:c r="D491" s="24" t="str">
        <x:v>Surfaçada</x:v>
      </x:c>
      <x:c r="E491" s="24" t="str">
        <x:v>Impression Mono Plus B.I.G. NORM</x:v>
      </x:c>
      <x:c r="F491" s="24"/>
      <x:c r="G491" s="24" t="str">
        <x:v>1.6</x:v>
      </x:c>
      <x:c r="H491" s="24" t="str">
        <x:v>1.60</x:v>
      </x:c>
      <x:c r="I491" s="24" t="str">
        <x:v>LayR X-tra Clean</x:v>
      </x:c>
      <x:c r="J491" s="40" t="n">
        <x:v>3176</x:v>
      </x:c>
      <x:c r="K491" s="24" t="str">
        <x:v>-10 a +10</x:v>
      </x:c>
      <x:c r="L491" s="24" t="str">
        <x:v>até -6</x:v>
      </x:c>
      <x:c r="M491" s="24"/>
      <x:c r="N491" s="24" t="str">
        <x:v>75</x:v>
      </x:c>
      <x:c r="O491" s="24"/>
      <x:c r="P491" s="24"/>
      <x:c r="Q491" s="24" t="str">
        <x:v>DISPONÍVEL</x:v>
      </x:c>
      <x:c r="R491" s="24"/>
      <x:c r="S491" s="24" t="n">
        <x:v>15</x:v>
      </x:c>
      <x:c r="T491" s="24" t="str">
        <x:v>tabela_rodenstock.pdf</x:v>
      </x:c>
      <x:c r="U491" s="24" t="str">
        <x:v>Rodenstock|Mono Plus B.I.G. NORM|Surfaçada|Impression Mono Plus B.I.G. NORM||1.6|1.60|LayR X-tra Clean|-10 a +10|até -6||75|||15</x:v>
      </x:c>
    </x:row>
    <x:row r="492">
      <x:c r="A492" s="24" t="str">
        <x:v>RD-71C49480F70D</x:v>
      </x:c>
      <x:c r="B492" s="24" t="str">
        <x:v>Rodenstock</x:v>
      </x:c>
      <x:c r="C492" s="24" t="str">
        <x:v>Mono Plus B.I.G. NORM</x:v>
      </x:c>
      <x:c r="D492" s="24" t="str">
        <x:v>Surfaçada</x:v>
      </x:c>
      <x:c r="E492" s="24" t="str">
        <x:v>Impression Mono Plus B.I.G. NORM</x:v>
      </x:c>
      <x:c r="F492" s="24"/>
      <x:c r="G492" s="24" t="str">
        <x:v>1.6</x:v>
      </x:c>
      <x:c r="H492" s="24" t="str">
        <x:v>1.60</x:v>
      </x:c>
      <x:c r="I492" s="24" t="str">
        <x:v>LayR Balance</x:v>
      </x:c>
      <x:c r="J492" s="40" t="n">
        <x:v>3176</x:v>
      </x:c>
      <x:c r="K492" s="24" t="str">
        <x:v>-10 a +10</x:v>
      </x:c>
      <x:c r="L492" s="24" t="str">
        <x:v>até -6</x:v>
      </x:c>
      <x:c r="M492" s="24"/>
      <x:c r="N492" s="24" t="str">
        <x:v>75</x:v>
      </x:c>
      <x:c r="O492" s="24"/>
      <x:c r="P492" s="24"/>
      <x:c r="Q492" s="24" t="str">
        <x:v>DISPONÍVEL</x:v>
      </x:c>
      <x:c r="R492" s="24"/>
      <x:c r="S492" s="24" t="n">
        <x:v>15</x:v>
      </x:c>
      <x:c r="T492" s="24" t="str">
        <x:v>tabela_rodenstock.pdf</x:v>
      </x:c>
      <x:c r="U492" s="24" t="str">
        <x:v>Rodenstock|Mono Plus B.I.G. NORM|Surfaçada|Impression Mono Plus B.I.G. NORM||1.6|1.60|LayR Balance|-10 a +10|até -6||75|||15</x:v>
      </x:c>
    </x:row>
    <x:row r="493">
      <x:c r="A493" s="24" t="str">
        <x:v>RD-974A5D77D849</x:v>
      </x:c>
      <x:c r="B493" s="24" t="str">
        <x:v>Rodenstock</x:v>
      </x:c>
      <x:c r="C493" s="24" t="str">
        <x:v>Mono Plus B.I.G. NORM</x:v>
      </x:c>
      <x:c r="D493" s="24" t="str">
        <x:v>Surfaçada</x:v>
      </x:c>
      <x:c r="E493" s="24" t="str">
        <x:v>Impression Mono Plus B.I.G. NORM</x:v>
      </x:c>
      <x:c r="F493" s="24"/>
      <x:c r="G493" s="24" t="str">
        <x:v>1.6</x:v>
      </x:c>
      <x:c r="H493" s="24" t="str">
        <x:v>1.60</x:v>
      </x:c>
      <x:c r="I493" s="24" t="str">
        <x:v>Solitaire X-tra Clean</x:v>
      </x:c>
      <x:c r="J493" s="40" t="n">
        <x:v>3106</x:v>
      </x:c>
      <x:c r="K493" s="24" t="str">
        <x:v>-10 a +10</x:v>
      </x:c>
      <x:c r="L493" s="24" t="str">
        <x:v>até -6</x:v>
      </x:c>
      <x:c r="M493" s="24"/>
      <x:c r="N493" s="24" t="str">
        <x:v>75</x:v>
      </x:c>
      <x:c r="O493" s="24"/>
      <x:c r="P493" s="24"/>
      <x:c r="Q493" s="24" t="str">
        <x:v>DISPONÍVEL</x:v>
      </x:c>
      <x:c r="R493" s="24"/>
      <x:c r="S493" s="24" t="n">
        <x:v>15</x:v>
      </x:c>
      <x:c r="T493" s="24" t="str">
        <x:v>tabela_rodenstock.pdf</x:v>
      </x:c>
      <x:c r="U493" s="24" t="str">
        <x:v>Rodenstock|Mono Plus B.I.G. NORM|Surfaçada|Impression Mono Plus B.I.G. NORM||1.6|1.60|Solitaire X-tra Clean|-10 a +10|até -6||75|||15</x:v>
      </x:c>
    </x:row>
    <x:row r="494">
      <x:c r="A494" s="24" t="str">
        <x:v>RD-75836B2BEE8B</x:v>
      </x:c>
      <x:c r="B494" s="24" t="str">
        <x:v>Rodenstock</x:v>
      </x:c>
      <x:c r="C494" s="24" t="str">
        <x:v>Mono Plus B.I.G. NORM</x:v>
      </x:c>
      <x:c r="D494" s="24" t="str">
        <x:v>Surfaçada</x:v>
      </x:c>
      <x:c r="E494" s="24" t="str">
        <x:v>Impression Mono Plus B.I.G. NORM</x:v>
      </x:c>
      <x:c r="F494" s="24"/>
      <x:c r="G494" s="24" t="str">
        <x:v>1.6</x:v>
      </x:c>
      <x:c r="H494" s="24" t="str">
        <x:v>1.60</x:v>
      </x:c>
      <x:c r="I494" s="24" t="str">
        <x:v>Solitaire Protect Plus</x:v>
      </x:c>
      <x:c r="J494" s="40" t="n">
        <x:v>3056</x:v>
      </x:c>
      <x:c r="K494" s="24" t="str">
        <x:v>-10 a +10</x:v>
      </x:c>
      <x:c r="L494" s="24" t="str">
        <x:v>até -6</x:v>
      </x:c>
      <x:c r="M494" s="24"/>
      <x:c r="N494" s="24" t="str">
        <x:v>75</x:v>
      </x:c>
      <x:c r="O494" s="24"/>
      <x:c r="P494" s="24"/>
      <x:c r="Q494" s="24" t="str">
        <x:v>DISPONÍVEL</x:v>
      </x:c>
      <x:c r="R494" s="24"/>
      <x:c r="S494" s="24" t="n">
        <x:v>15</x:v>
      </x:c>
      <x:c r="T494" s="24" t="str">
        <x:v>tabela_rodenstock.pdf</x:v>
      </x:c>
      <x:c r="U494" s="24" t="str">
        <x:v>Rodenstock|Mono Plus B.I.G. NORM|Surfaçada|Impression Mono Plus B.I.G. NORM||1.6|1.60|Solitaire Protect Plus|-10 a +10|até -6||75|||15</x:v>
      </x:c>
    </x:row>
    <x:row r="495">
      <x:c r="A495" s="24" t="str">
        <x:v>RD-DA568F6AF8B6</x:v>
      </x:c>
      <x:c r="B495" s="24" t="str">
        <x:v>Rodenstock</x:v>
      </x:c>
      <x:c r="C495" s="24" t="str">
        <x:v>Mono Plus B.I.G. NORM</x:v>
      </x:c>
      <x:c r="D495" s="24" t="str">
        <x:v>Surfaçada</x:v>
      </x:c>
      <x:c r="E495" s="24" t="str">
        <x:v>Impression Mono Plus B.I.G. NORM</x:v>
      </x:c>
      <x:c r="F495" s="24"/>
      <x:c r="G495" s="24" t="str">
        <x:v>1.6</x:v>
      </x:c>
      <x:c r="H495" s="24" t="str">
        <x:v>1.60</x:v>
      </x:c>
      <x:c r="I495" s="24" t="str">
        <x:v>ROAD</x:v>
      </x:c>
      <x:c r="J495" s="40" t="n">
        <x:v>3056</x:v>
      </x:c>
      <x:c r="K495" s="24" t="str">
        <x:v>-10 a +10</x:v>
      </x:c>
      <x:c r="L495" s="24" t="str">
        <x:v>até -6</x:v>
      </x:c>
      <x:c r="M495" s="24"/>
      <x:c r="N495" s="24" t="str">
        <x:v>75</x:v>
      </x:c>
      <x:c r="O495" s="24"/>
      <x:c r="P495" s="24"/>
      <x:c r="Q495" s="24" t="str">
        <x:v>DISPONÍVEL</x:v>
      </x:c>
      <x:c r="R495" s="24"/>
      <x:c r="S495" s="24" t="n">
        <x:v>15</x:v>
      </x:c>
      <x:c r="T495" s="24" t="str">
        <x:v>tabela_rodenstock.pdf</x:v>
      </x:c>
      <x:c r="U495" s="24" t="str">
        <x:v>Rodenstock|Mono Plus B.I.G. NORM|Surfaçada|Impression Mono Plus B.I.G. NORM||1.6|1.60|ROAD|-10 a +10|até -6||75|||15</x:v>
      </x:c>
    </x:row>
    <x:row r="496">
      <x:c r="A496" s="24" t="str">
        <x:v>RD-248DD2EBA4D8</x:v>
      </x:c>
      <x:c r="B496" s="24" t="str">
        <x:v>Rodenstock</x:v>
      </x:c>
      <x:c r="C496" s="24" t="str">
        <x:v>Mono Plus B.I.G. NORM</x:v>
      </x:c>
      <x:c r="D496" s="24" t="str">
        <x:v>Surfaçada</x:v>
      </x:c>
      <x:c r="E496" s="24" t="str">
        <x:v>Impression Mono Plus B.I.G. NORM</x:v>
      </x:c>
      <x:c r="F496" s="24"/>
      <x:c r="G496" s="24" t="str">
        <x:v>1.6</x:v>
      </x:c>
      <x:c r="H496" s="24" t="str">
        <x:v>1.60</x:v>
      </x:c>
      <x:c r="I496" s="24" t="str">
        <x:v>Solitaire Protect</x:v>
      </x:c>
      <x:c r="J496" s="40" t="n">
        <x:v>2796</x:v>
      </x:c>
      <x:c r="K496" s="24" t="str">
        <x:v>-10 a +10</x:v>
      </x:c>
      <x:c r="L496" s="24" t="str">
        <x:v>até -6</x:v>
      </x:c>
      <x:c r="M496" s="24"/>
      <x:c r="N496" s="24" t="str">
        <x:v>75</x:v>
      </x:c>
      <x:c r="O496" s="24"/>
      <x:c r="P496" s="24"/>
      <x:c r="Q496" s="24" t="str">
        <x:v>DISPONÍVEL</x:v>
      </x:c>
      <x:c r="R496" s="24"/>
      <x:c r="S496" s="24" t="n">
        <x:v>15</x:v>
      </x:c>
      <x:c r="T496" s="24" t="str">
        <x:v>tabela_rodenstock.pdf</x:v>
      </x:c>
      <x:c r="U496" s="24" t="str">
        <x:v>Rodenstock|Mono Plus B.I.G. NORM|Surfaçada|Impression Mono Plus B.I.G. NORM||1.6|1.60|Solitaire Protect|-10 a +10|até -6||75|||15</x:v>
      </x:c>
    </x:row>
    <x:row r="497">
      <x:c r="A497" s="24" t="str">
        <x:v>RD-201A923F9891</x:v>
      </x:c>
      <x:c r="B497" s="24" t="str">
        <x:v>Rodenstock</x:v>
      </x:c>
      <x:c r="C497" s="24" t="str">
        <x:v>Mono Plus B.I.G. NORM</x:v>
      </x:c>
      <x:c r="D497" s="24" t="str">
        <x:v>Surfaçada</x:v>
      </x:c>
      <x:c r="E497" s="24" t="str">
        <x:v>Impression Mono Plus B.I.G. NORM</x:v>
      </x:c>
      <x:c r="F497" s="24" t="str">
        <x:v>PRO410</x:v>
      </x:c>
      <x:c r="G497" s="24" t="str">
        <x:v>1.6</x:v>
      </x:c>
      <x:c r="H497" s="24" t="str">
        <x:v>1.60</x:v>
      </x:c>
      <x:c r="I497" s="24" t="str">
        <x:v>LayR X-tra Clean</x:v>
      </x:c>
      <x:c r="J497" s="40" t="n">
        <x:v>3273</x:v>
      </x:c>
      <x:c r="K497" s="24" t="str">
        <x:v>-10 a +10</x:v>
      </x:c>
      <x:c r="L497" s="24" t="str">
        <x:v>até -6</x:v>
      </x:c>
      <x:c r="M497" s="24"/>
      <x:c r="N497" s="24" t="str">
        <x:v>75</x:v>
      </x:c>
      <x:c r="O497" s="24"/>
      <x:c r="P497" s="24"/>
      <x:c r="Q497" s="24" t="str">
        <x:v>DISPONÍVEL</x:v>
      </x:c>
      <x:c r="R497" s="24"/>
      <x:c r="S497" s="24" t="n">
        <x:v>15</x:v>
      </x:c>
      <x:c r="T497" s="24" t="str">
        <x:v>tabela_rodenstock.pdf</x:v>
      </x:c>
      <x:c r="U497" s="24" t="str">
        <x:v>Rodenstock|Mono Plus B.I.G. NORM|Surfaçada|Impression Mono Plus B.I.G. NORM|PRO410|1.6|1.60|LayR X-tra Clean|-10 a +10|até -6||75|||15</x:v>
      </x:c>
    </x:row>
    <x:row r="498">
      <x:c r="A498" s="24" t="str">
        <x:v>RD-3968877DCBAA</x:v>
      </x:c>
      <x:c r="B498" s="24" t="str">
        <x:v>Rodenstock</x:v>
      </x:c>
      <x:c r="C498" s="24" t="str">
        <x:v>Mono Plus B.I.G. NORM</x:v>
      </x:c>
      <x:c r="D498" s="24" t="str">
        <x:v>Surfaçada</x:v>
      </x:c>
      <x:c r="E498" s="24" t="str">
        <x:v>Impression Mono Plus B.I.G. NORM</x:v>
      </x:c>
      <x:c r="F498" s="24" t="str">
        <x:v>PRO410</x:v>
      </x:c>
      <x:c r="G498" s="24" t="str">
        <x:v>1.6</x:v>
      </x:c>
      <x:c r="H498" s="24" t="str">
        <x:v>1.60</x:v>
      </x:c>
      <x:c r="I498" s="24" t="str">
        <x:v>LayR Balance</x:v>
      </x:c>
      <x:c r="J498" s="40" t="n">
        <x:v>3273</x:v>
      </x:c>
      <x:c r="K498" s="24" t="str">
        <x:v>-10 a +10</x:v>
      </x:c>
      <x:c r="L498" s="24" t="str">
        <x:v>até -6</x:v>
      </x:c>
      <x:c r="M498" s="24"/>
      <x:c r="N498" s="24" t="str">
        <x:v>75</x:v>
      </x:c>
      <x:c r="O498" s="24"/>
      <x:c r="P498" s="24"/>
      <x:c r="Q498" s="24" t="str">
        <x:v>DISPONÍVEL</x:v>
      </x:c>
      <x:c r="R498" s="24"/>
      <x:c r="S498" s="24" t="n">
        <x:v>15</x:v>
      </x:c>
      <x:c r="T498" s="24" t="str">
        <x:v>tabela_rodenstock.pdf</x:v>
      </x:c>
      <x:c r="U498" s="24" t="str">
        <x:v>Rodenstock|Mono Plus B.I.G. NORM|Surfaçada|Impression Mono Plus B.I.G. NORM|PRO410|1.6|1.60|LayR Balance|-10 a +10|até -6||75|||15</x:v>
      </x:c>
    </x:row>
    <x:row r="499">
      <x:c r="A499" s="24" t="str">
        <x:v>RD-B56E6DEAF17F</x:v>
      </x:c>
      <x:c r="B499" s="24" t="str">
        <x:v>Rodenstock</x:v>
      </x:c>
      <x:c r="C499" s="24" t="str">
        <x:v>Mono Plus B.I.G. NORM</x:v>
      </x:c>
      <x:c r="D499" s="24" t="str">
        <x:v>Surfaçada</x:v>
      </x:c>
      <x:c r="E499" s="24" t="str">
        <x:v>Impression Mono Plus B.I.G. NORM</x:v>
      </x:c>
      <x:c r="F499" s="24" t="str">
        <x:v>PRO410</x:v>
      </x:c>
      <x:c r="G499" s="24" t="str">
        <x:v>1.6</x:v>
      </x:c>
      <x:c r="H499" s="24" t="str">
        <x:v>1.60</x:v>
      </x:c>
      <x:c r="I499" s="24" t="str">
        <x:v>Solitaire X-tra Clean</x:v>
      </x:c>
      <x:c r="J499" s="40" t="n">
        <x:v>3203</x:v>
      </x:c>
      <x:c r="K499" s="24" t="str">
        <x:v>-10 a +10</x:v>
      </x:c>
      <x:c r="L499" s="24" t="str">
        <x:v>até -6</x:v>
      </x:c>
      <x:c r="M499" s="24"/>
      <x:c r="N499" s="24" t="str">
        <x:v>75</x:v>
      </x:c>
      <x:c r="O499" s="24"/>
      <x:c r="P499" s="24"/>
      <x:c r="Q499" s="24" t="str">
        <x:v>DISPONÍVEL</x:v>
      </x:c>
      <x:c r="R499" s="24"/>
      <x:c r="S499" s="24" t="n">
        <x:v>15</x:v>
      </x:c>
      <x:c r="T499" s="24" t="str">
        <x:v>tabela_rodenstock.pdf</x:v>
      </x:c>
      <x:c r="U499" s="24" t="str">
        <x:v>Rodenstock|Mono Plus B.I.G. NORM|Surfaçada|Impression Mono Plus B.I.G. NORM|PRO410|1.6|1.60|Solitaire X-tra Clean|-10 a +10|até -6||75|||15</x:v>
      </x:c>
    </x:row>
    <x:row r="500">
      <x:c r="A500" s="24" t="str">
        <x:v>RD-41BD556A5D14</x:v>
      </x:c>
      <x:c r="B500" s="24" t="str">
        <x:v>Rodenstock</x:v>
      </x:c>
      <x:c r="C500" s="24" t="str">
        <x:v>Mono Plus B.I.G. NORM</x:v>
      </x:c>
      <x:c r="D500" s="24" t="str">
        <x:v>Surfaçada</x:v>
      </x:c>
      <x:c r="E500" s="24" t="str">
        <x:v>Impression Mono Plus B.I.G. NORM</x:v>
      </x:c>
      <x:c r="F500" s="24" t="str">
        <x:v>PRO410</x:v>
      </x:c>
      <x:c r="G500" s="24" t="str">
        <x:v>1.6</x:v>
      </x:c>
      <x:c r="H500" s="24" t="str">
        <x:v>1.60</x:v>
      </x:c>
      <x:c r="I500" s="24" t="str">
        <x:v>Solitaire Protect Plus</x:v>
      </x:c>
      <x:c r="J500" s="40" t="n">
        <x:v>3153</x:v>
      </x:c>
      <x:c r="K500" s="24" t="str">
        <x:v>-10 a +10</x:v>
      </x:c>
      <x:c r="L500" s="24" t="str">
        <x:v>até -6</x:v>
      </x:c>
      <x:c r="M500" s="24"/>
      <x:c r="N500" s="24" t="str">
        <x:v>75</x:v>
      </x:c>
      <x:c r="O500" s="24"/>
      <x:c r="P500" s="24"/>
      <x:c r="Q500" s="24" t="str">
        <x:v>DISPONÍVEL</x:v>
      </x:c>
      <x:c r="R500" s="24"/>
      <x:c r="S500" s="24" t="n">
        <x:v>15</x:v>
      </x:c>
      <x:c r="T500" s="24" t="str">
        <x:v>tabela_rodenstock.pdf</x:v>
      </x:c>
      <x:c r="U500" s="24" t="str">
        <x:v>Rodenstock|Mono Plus B.I.G. NORM|Surfaçada|Impression Mono Plus B.I.G. NORM|PRO410|1.6|1.60|Solitaire Protect Plus|-10 a +10|até -6||75|||15</x:v>
      </x:c>
    </x:row>
    <x:row r="501">
      <x:c r="A501" s="24" t="str">
        <x:v>RD-4D60C8AD40B8</x:v>
      </x:c>
      <x:c r="B501" s="24" t="str">
        <x:v>Rodenstock</x:v>
      </x:c>
      <x:c r="C501" s="24" t="str">
        <x:v>Mono Plus B.I.G. NORM</x:v>
      </x:c>
      <x:c r="D501" s="24" t="str">
        <x:v>Surfaçada</x:v>
      </x:c>
      <x:c r="E501" s="24" t="str">
        <x:v>Impression Mono Plus B.I.G. NORM</x:v>
      </x:c>
      <x:c r="F501" s="24" t="str">
        <x:v>PRO410</x:v>
      </x:c>
      <x:c r="G501" s="24" t="str">
        <x:v>1.6</x:v>
      </x:c>
      <x:c r="H501" s="24" t="str">
        <x:v>1.60</x:v>
      </x:c>
      <x:c r="I501" s="24" t="str">
        <x:v>ROAD</x:v>
      </x:c>
      <x:c r="J501" s="40" t="n">
        <x:v>3153</x:v>
      </x:c>
      <x:c r="K501" s="24" t="str">
        <x:v>-10 a +10</x:v>
      </x:c>
      <x:c r="L501" s="24" t="str">
        <x:v>até -6</x:v>
      </x:c>
      <x:c r="M501" s="24"/>
      <x:c r="N501" s="24" t="str">
        <x:v>75</x:v>
      </x:c>
      <x:c r="O501" s="24"/>
      <x:c r="P501" s="24"/>
      <x:c r="Q501" s="24" t="str">
        <x:v>DISPONÍVEL</x:v>
      </x:c>
      <x:c r="R501" s="24"/>
      <x:c r="S501" s="24" t="n">
        <x:v>15</x:v>
      </x:c>
      <x:c r="T501" s="24" t="str">
        <x:v>tabela_rodenstock.pdf</x:v>
      </x:c>
      <x:c r="U501" s="24" t="str">
        <x:v>Rodenstock|Mono Plus B.I.G. NORM|Surfaçada|Impression Mono Plus B.I.G. NORM|PRO410|1.6|1.60|ROAD|-10 a +10|até -6||75|||15</x:v>
      </x:c>
    </x:row>
    <x:row r="502">
      <x:c r="A502" s="24" t="str">
        <x:v>RD-C3F311E93447</x:v>
      </x:c>
      <x:c r="B502" s="24" t="str">
        <x:v>Rodenstock</x:v>
      </x:c>
      <x:c r="C502" s="24" t="str">
        <x:v>Mono Plus B.I.G. NORM</x:v>
      </x:c>
      <x:c r="D502" s="24" t="str">
        <x:v>Surfaçada</x:v>
      </x:c>
      <x:c r="E502" s="24" t="str">
        <x:v>Impression Mono Plus B.I.G. NORM</x:v>
      </x:c>
      <x:c r="F502" s="24" t="str">
        <x:v>PRO410</x:v>
      </x:c>
      <x:c r="G502" s="24" t="str">
        <x:v>1.6</x:v>
      </x:c>
      <x:c r="H502" s="24" t="str">
        <x:v>1.60</x:v>
      </x:c>
      <x:c r="I502" s="24" t="str">
        <x:v>Solitaire Protect</x:v>
      </x:c>
      <x:c r="J502" s="40" t="n">
        <x:v>2893</x:v>
      </x:c>
      <x:c r="K502" s="24" t="str">
        <x:v>-10 a +10</x:v>
      </x:c>
      <x:c r="L502" s="24" t="str">
        <x:v>até -6</x:v>
      </x:c>
      <x:c r="M502" s="24"/>
      <x:c r="N502" s="24" t="str">
        <x:v>75</x:v>
      </x:c>
      <x:c r="O502" s="24"/>
      <x:c r="P502" s="24"/>
      <x:c r="Q502" s="24" t="str">
        <x:v>DISPONÍVEL</x:v>
      </x:c>
      <x:c r="R502" s="24"/>
      <x:c r="S502" s="24" t="n">
        <x:v>15</x:v>
      </x:c>
      <x:c r="T502" s="24" t="str">
        <x:v>tabela_rodenstock.pdf</x:v>
      </x:c>
      <x:c r="U502" s="24" t="str">
        <x:v>Rodenstock|Mono Plus B.I.G. NORM|Surfaçada|Impression Mono Plus B.I.G. NORM|PRO410|1.6|1.60|Solitaire Protect|-10 a +10|até -6||75|||15</x:v>
      </x:c>
    </x:row>
    <x:row r="503">
      <x:c r="A503" s="24" t="str">
        <x:v>RD-FA46814F2D01</x:v>
      </x:c>
      <x:c r="B503" s="24" t="str">
        <x:v>Rodenstock</x:v>
      </x:c>
      <x:c r="C503" s="24" t="str">
        <x:v>Mono Plus B.I.G. NORM</x:v>
      </x:c>
      <x:c r="D503" s="24" t="str">
        <x:v>Surfaçada</x:v>
      </x:c>
      <x:c r="E503" s="24" t="str">
        <x:v>Impression Mono Plus B.I.G. NORM</x:v>
      </x:c>
      <x:c r="F503" s="24" t="str">
        <x:v>ColorMatic® 3 | X</x:v>
      </x:c>
      <x:c r="G503" s="24" t="str">
        <x:v>1.6</x:v>
      </x:c>
      <x:c r="H503" s="24" t="str">
        <x:v>1.60</x:v>
      </x:c>
      <x:c r="I503" s="24" t="str">
        <x:v>LayR X-tra Clean</x:v>
      </x:c>
      <x:c r="J503" s="40" t="n">
        <x:v>4410</x:v>
      </x:c>
      <x:c r="K503" s="24" t="str">
        <x:v>-10 a +10</x:v>
      </x:c>
      <x:c r="L503" s="24" t="str">
        <x:v>até -6</x:v>
      </x:c>
      <x:c r="M503" s="24"/>
      <x:c r="N503" s="24" t="str">
        <x:v>75</x:v>
      </x:c>
      <x:c r="O503" s="24"/>
      <x:c r="P503" s="24"/>
      <x:c r="Q503" s="24" t="str">
        <x:v>DISPONÍVEL</x:v>
      </x:c>
      <x:c r="R503" s="24"/>
      <x:c r="S503" s="24" t="n">
        <x:v>15</x:v>
      </x:c>
      <x:c r="T503" s="24" t="str">
        <x:v>tabela_rodenstock.pdf</x:v>
      </x:c>
      <x:c r="U503" s="24" t="str">
        <x:v>Rodenstock|Mono Plus B.I.G. NORM|Surfaçada|Impression Mono Plus B.I.G. NORM|ColorMatic® 3 | X|1.6|1.60|LayR X-tra Clean|-10 a +10|até -6||75|||15</x:v>
      </x:c>
    </x:row>
    <x:row r="504">
      <x:c r="A504" s="24" t="str">
        <x:v>RD-07FECBCCD262</x:v>
      </x:c>
      <x:c r="B504" s="24" t="str">
        <x:v>Rodenstock</x:v>
      </x:c>
      <x:c r="C504" s="24" t="str">
        <x:v>Mono Plus B.I.G. NORM</x:v>
      </x:c>
      <x:c r="D504" s="24" t="str">
        <x:v>Surfaçada</x:v>
      </x:c>
      <x:c r="E504" s="24" t="str">
        <x:v>Impression Mono Plus B.I.G. NORM</x:v>
      </x:c>
      <x:c r="F504" s="24" t="str">
        <x:v>ColorMatic® 3 | X</x:v>
      </x:c>
      <x:c r="G504" s="24" t="str">
        <x:v>1.6</x:v>
      </x:c>
      <x:c r="H504" s="24" t="str">
        <x:v>1.60</x:v>
      </x:c>
      <x:c r="I504" s="24" t="str">
        <x:v>LayR Balance</x:v>
      </x:c>
      <x:c r="J504" s="40" t="n">
        <x:v>4410</x:v>
      </x:c>
      <x:c r="K504" s="24" t="str">
        <x:v>-10 a +10</x:v>
      </x:c>
      <x:c r="L504" s="24" t="str">
        <x:v>até -6</x:v>
      </x:c>
      <x:c r="M504" s="24"/>
      <x:c r="N504" s="24" t="str">
        <x:v>75</x:v>
      </x:c>
      <x:c r="O504" s="24"/>
      <x:c r="P504" s="24"/>
      <x:c r="Q504" s="24" t="str">
        <x:v>DISPONÍVEL</x:v>
      </x:c>
      <x:c r="R504" s="24"/>
      <x:c r="S504" s="24" t="n">
        <x:v>15</x:v>
      </x:c>
      <x:c r="T504" s="24" t="str">
        <x:v>tabela_rodenstock.pdf</x:v>
      </x:c>
      <x:c r="U504" s="24" t="str">
        <x:v>Rodenstock|Mono Plus B.I.G. NORM|Surfaçada|Impression Mono Plus B.I.G. NORM|ColorMatic® 3 | X|1.6|1.60|LayR Balance|-10 a +10|até -6||75|||15</x:v>
      </x:c>
    </x:row>
    <x:row r="505">
      <x:c r="A505" s="24" t="str">
        <x:v>RD-6BD394411155</x:v>
      </x:c>
      <x:c r="B505" s="24" t="str">
        <x:v>Rodenstock</x:v>
      </x:c>
      <x:c r="C505" s="24" t="str">
        <x:v>Mono Plus B.I.G. NORM</x:v>
      </x:c>
      <x:c r="D505" s="24" t="str">
        <x:v>Surfaçada</x:v>
      </x:c>
      <x:c r="E505" s="24" t="str">
        <x:v>Impression Mono Plus B.I.G. NORM</x:v>
      </x:c>
      <x:c r="F505" s="24" t="str">
        <x:v>ColorMatic® 3 | X</x:v>
      </x:c>
      <x:c r="G505" s="24" t="str">
        <x:v>1.6</x:v>
      </x:c>
      <x:c r="H505" s="24" t="str">
        <x:v>1.60</x:v>
      </x:c>
      <x:c r="I505" s="24" t="str">
        <x:v>Solitaire X-tra Clean</x:v>
      </x:c>
      <x:c r="J505" s="40" t="n">
        <x:v>4340</x:v>
      </x:c>
      <x:c r="K505" s="24" t="str">
        <x:v>-10 a +10</x:v>
      </x:c>
      <x:c r="L505" s="24" t="str">
        <x:v>até -6</x:v>
      </x:c>
      <x:c r="M505" s="24"/>
      <x:c r="N505" s="24" t="str">
        <x:v>75</x:v>
      </x:c>
      <x:c r="O505" s="24"/>
      <x:c r="P505" s="24"/>
      <x:c r="Q505" s="24" t="str">
        <x:v>DISPONÍVEL</x:v>
      </x:c>
      <x:c r="R505" s="24"/>
      <x:c r="S505" s="24" t="n">
        <x:v>15</x:v>
      </x:c>
      <x:c r="T505" s="24" t="str">
        <x:v>tabela_rodenstock.pdf</x:v>
      </x:c>
      <x:c r="U505" s="24" t="str">
        <x:v>Rodenstock|Mono Plus B.I.G. NORM|Surfaçada|Impression Mono Plus B.I.G. NORM|ColorMatic® 3 | X|1.6|1.60|Solitaire X-tra Clean|-10 a +10|até -6||75|||15</x:v>
      </x:c>
    </x:row>
    <x:row r="506">
      <x:c r="A506" s="24" t="str">
        <x:v>RD-E22A09631867</x:v>
      </x:c>
      <x:c r="B506" s="24" t="str">
        <x:v>Rodenstock</x:v>
      </x:c>
      <x:c r="C506" s="24" t="str">
        <x:v>Mono Plus B.I.G. NORM</x:v>
      </x:c>
      <x:c r="D506" s="24" t="str">
        <x:v>Surfaçada</x:v>
      </x:c>
      <x:c r="E506" s="24" t="str">
        <x:v>Impression Mono Plus B.I.G. NORM</x:v>
      </x:c>
      <x:c r="F506" s="24" t="str">
        <x:v>ColorMatic® 3 | X</x:v>
      </x:c>
      <x:c r="G506" s="24" t="str">
        <x:v>1.6</x:v>
      </x:c>
      <x:c r="H506" s="24" t="str">
        <x:v>1.60</x:v>
      </x:c>
      <x:c r="I506" s="24" t="str">
        <x:v>Solitaire Protect Plus</x:v>
      </x:c>
      <x:c r="J506" s="40" t="n">
        <x:v>4290</x:v>
      </x:c>
      <x:c r="K506" s="24" t="str">
        <x:v>-10 a +10</x:v>
      </x:c>
      <x:c r="L506" s="24" t="str">
        <x:v>até -6</x:v>
      </x:c>
      <x:c r="M506" s="24"/>
      <x:c r="N506" s="24" t="str">
        <x:v>75</x:v>
      </x:c>
      <x:c r="O506" s="24"/>
      <x:c r="P506" s="24"/>
      <x:c r="Q506" s="24" t="str">
        <x:v>DISPONÍVEL</x:v>
      </x:c>
      <x:c r="R506" s="24"/>
      <x:c r="S506" s="24" t="n">
        <x:v>15</x:v>
      </x:c>
      <x:c r="T506" s="24" t="str">
        <x:v>tabela_rodenstock.pdf</x:v>
      </x:c>
      <x:c r="U506" s="24" t="str">
        <x:v>Rodenstock|Mono Plus B.I.G. NORM|Surfaçada|Impression Mono Plus B.I.G. NORM|ColorMatic® 3 | X|1.6|1.60|Solitaire Protect Plus|-10 a +10|até -6||75|||15</x:v>
      </x:c>
    </x:row>
    <x:row r="507">
      <x:c r="A507" s="24" t="str">
        <x:v>RD-B60BCCBF4C3A</x:v>
      </x:c>
      <x:c r="B507" s="24" t="str">
        <x:v>Rodenstock</x:v>
      </x:c>
      <x:c r="C507" s="24" t="str">
        <x:v>Mono Plus B.I.G. NORM</x:v>
      </x:c>
      <x:c r="D507" s="24" t="str">
        <x:v>Surfaçada</x:v>
      </x:c>
      <x:c r="E507" s="24" t="str">
        <x:v>Impression Mono Plus B.I.G. NORM</x:v>
      </x:c>
      <x:c r="F507" s="24" t="str">
        <x:v>ColorMatic® 3 | X</x:v>
      </x:c>
      <x:c r="G507" s="24" t="str">
        <x:v>1.6</x:v>
      </x:c>
      <x:c r="H507" s="24" t="str">
        <x:v>1.60</x:v>
      </x:c>
      <x:c r="I507" s="24" t="str">
        <x:v>ROAD</x:v>
      </x:c>
      <x:c r="J507" s="40" t="n">
        <x:v>4290</x:v>
      </x:c>
      <x:c r="K507" s="24" t="str">
        <x:v>-10 a +10</x:v>
      </x:c>
      <x:c r="L507" s="24" t="str">
        <x:v>até -6</x:v>
      </x:c>
      <x:c r="M507" s="24"/>
      <x:c r="N507" s="24" t="str">
        <x:v>75</x:v>
      </x:c>
      <x:c r="O507" s="24"/>
      <x:c r="P507" s="24"/>
      <x:c r="Q507" s="24" t="str">
        <x:v>DISPONÍVEL</x:v>
      </x:c>
      <x:c r="R507" s="24"/>
      <x:c r="S507" s="24" t="n">
        <x:v>15</x:v>
      </x:c>
      <x:c r="T507" s="24" t="str">
        <x:v>tabela_rodenstock.pdf</x:v>
      </x:c>
      <x:c r="U507" s="24" t="str">
        <x:v>Rodenstock|Mono Plus B.I.G. NORM|Surfaçada|Impression Mono Plus B.I.G. NORM|ColorMatic® 3 | X|1.6|1.60|ROAD|-10 a +10|até -6||75|||15</x:v>
      </x:c>
    </x:row>
    <x:row r="508">
      <x:c r="A508" s="24" t="str">
        <x:v>RD-D54F81C1840A</x:v>
      </x:c>
      <x:c r="B508" s="24" t="str">
        <x:v>Rodenstock</x:v>
      </x:c>
      <x:c r="C508" s="24" t="str">
        <x:v>Mono Plus B.I.G. NORM</x:v>
      </x:c>
      <x:c r="D508" s="24" t="str">
        <x:v>Surfaçada</x:v>
      </x:c>
      <x:c r="E508" s="24" t="str">
        <x:v>Impression Mono Plus B.I.G. NORM</x:v>
      </x:c>
      <x:c r="F508" s="24" t="str">
        <x:v>ColorMatic® 3 | X</x:v>
      </x:c>
      <x:c r="G508" s="24" t="str">
        <x:v>1.6</x:v>
      </x:c>
      <x:c r="H508" s="24" t="str">
        <x:v>1.60</x:v>
      </x:c>
      <x:c r="I508" s="24" t="str">
        <x:v>Solitaire Protect</x:v>
      </x:c>
      <x:c r="J508" s="40" t="n">
        <x:v>4030</x:v>
      </x:c>
      <x:c r="K508" s="24" t="str">
        <x:v>-10 a +10</x:v>
      </x:c>
      <x:c r="L508" s="24" t="str">
        <x:v>até -6</x:v>
      </x:c>
      <x:c r="M508" s="24"/>
      <x:c r="N508" s="24" t="str">
        <x:v>75</x:v>
      </x:c>
      <x:c r="O508" s="24"/>
      <x:c r="P508" s="24"/>
      <x:c r="Q508" s="24" t="str">
        <x:v>DISPONÍVEL</x:v>
      </x:c>
      <x:c r="R508" s="24"/>
      <x:c r="S508" s="24" t="n">
        <x:v>15</x:v>
      </x:c>
      <x:c r="T508" s="24" t="str">
        <x:v>tabela_rodenstock.pdf</x:v>
      </x:c>
      <x:c r="U508" s="24" t="str">
        <x:v>Rodenstock|Mono Plus B.I.G. NORM|Surfaçada|Impression Mono Plus B.I.G. NORM|ColorMatic® 3 | X|1.6|1.60|Solitaire Protect|-10 a +10|até -6||75|||15</x:v>
      </x:c>
    </x:row>
    <x:row r="509">
      <x:c r="A509" s="24" t="str">
        <x:v>RD-373E0B5BBAF5</x:v>
      </x:c>
      <x:c r="B509" s="24" t="str">
        <x:v>Rodenstock</x:v>
      </x:c>
      <x:c r="C509" s="24" t="str">
        <x:v>Mono Plus B.I.G. NORM</x:v>
      </x:c>
      <x:c r="D509" s="24" t="str">
        <x:v>Surfaçada</x:v>
      </x:c>
      <x:c r="E509" s="24" t="str">
        <x:v>Impression Mono Plus B.I.G. NORM</x:v>
      </x:c>
      <x:c r="F509" s="24"/>
      <x:c r="G509" s="24" t="str">
        <x:v>1.67</x:v>
      </x:c>
      <x:c r="H509" s="24" t="str">
        <x:v>1.67</x:v>
      </x:c>
      <x:c r="I509" s="24" t="str">
        <x:v>LayR X-tra Clean</x:v>
      </x:c>
      <x:c r="J509" s="40" t="n">
        <x:v>4662</x:v>
      </x:c>
      <x:c r="K509" s="24" t="str">
        <x:v>-12 a +10</x:v>
      </x:c>
      <x:c r="L509" s="24" t="str">
        <x:v>até -6</x:v>
      </x:c>
      <x:c r="M509" s="24"/>
      <x:c r="N509" s="24" t="str">
        <x:v>75</x:v>
      </x:c>
      <x:c r="O509" s="24"/>
      <x:c r="P509" s="24"/>
      <x:c r="Q509" s="24" t="str">
        <x:v>DISPONÍVEL</x:v>
      </x:c>
      <x:c r="R509" s="24"/>
      <x:c r="S509" s="24" t="n">
        <x:v>15</x:v>
      </x:c>
      <x:c r="T509" s="24" t="str">
        <x:v>tabela_rodenstock.pdf</x:v>
      </x:c>
      <x:c r="U509" s="24" t="str">
        <x:v>Rodenstock|Mono Plus B.I.G. NORM|Surfaçada|Impression Mono Plus B.I.G. NORM||1.67|1.67|LayR X-tra Clean|-12 a +10|até -6||75|||15</x:v>
      </x:c>
    </x:row>
    <x:row r="510">
      <x:c r="A510" s="24" t="str">
        <x:v>RD-1E53C370D7CE</x:v>
      </x:c>
      <x:c r="B510" s="24" t="str">
        <x:v>Rodenstock</x:v>
      </x:c>
      <x:c r="C510" s="24" t="str">
        <x:v>Mono Plus B.I.G. NORM</x:v>
      </x:c>
      <x:c r="D510" s="24" t="str">
        <x:v>Surfaçada</x:v>
      </x:c>
      <x:c r="E510" s="24" t="str">
        <x:v>Impression Mono Plus B.I.G. NORM</x:v>
      </x:c>
      <x:c r="F510" s="24"/>
      <x:c r="G510" s="24" t="str">
        <x:v>1.67</x:v>
      </x:c>
      <x:c r="H510" s="24" t="str">
        <x:v>1.67</x:v>
      </x:c>
      <x:c r="I510" s="24" t="str">
        <x:v>LayR Balance</x:v>
      </x:c>
      <x:c r="J510" s="40" t="n">
        <x:v>4662</x:v>
      </x:c>
      <x:c r="K510" s="24" t="str">
        <x:v>-12 a +10</x:v>
      </x:c>
      <x:c r="L510" s="24" t="str">
        <x:v>até -6</x:v>
      </x:c>
      <x:c r="M510" s="24"/>
      <x:c r="N510" s="24" t="str">
        <x:v>75</x:v>
      </x:c>
      <x:c r="O510" s="24"/>
      <x:c r="P510" s="24"/>
      <x:c r="Q510" s="24" t="str">
        <x:v>DISPONÍVEL</x:v>
      </x:c>
      <x:c r="R510" s="24"/>
      <x:c r="S510" s="24" t="n">
        <x:v>15</x:v>
      </x:c>
      <x:c r="T510" s="24" t="str">
        <x:v>tabela_rodenstock.pdf</x:v>
      </x:c>
      <x:c r="U510" s="24" t="str">
        <x:v>Rodenstock|Mono Plus B.I.G. NORM|Surfaçada|Impression Mono Plus B.I.G. NORM||1.67|1.67|LayR Balance|-12 a +10|até -6||75|||15</x:v>
      </x:c>
    </x:row>
    <x:row r="511">
      <x:c r="A511" s="24" t="str">
        <x:v>RD-E9184EBE423B</x:v>
      </x:c>
      <x:c r="B511" s="24" t="str">
        <x:v>Rodenstock</x:v>
      </x:c>
      <x:c r="C511" s="24" t="str">
        <x:v>Mono Plus B.I.G. NORM</x:v>
      </x:c>
      <x:c r="D511" s="24" t="str">
        <x:v>Surfaçada</x:v>
      </x:c>
      <x:c r="E511" s="24" t="str">
        <x:v>Impression Mono Plus B.I.G. NORM</x:v>
      </x:c>
      <x:c r="F511" s="24"/>
      <x:c r="G511" s="24" t="str">
        <x:v>1.67</x:v>
      </x:c>
      <x:c r="H511" s="24" t="str">
        <x:v>1.67</x:v>
      </x:c>
      <x:c r="I511" s="24" t="str">
        <x:v>Solitaire X-tra Clean</x:v>
      </x:c>
      <x:c r="J511" s="40" t="n">
        <x:v>4592</x:v>
      </x:c>
      <x:c r="K511" s="24" t="str">
        <x:v>-12 a +10</x:v>
      </x:c>
      <x:c r="L511" s="24" t="str">
        <x:v>até -6</x:v>
      </x:c>
      <x:c r="M511" s="24"/>
      <x:c r="N511" s="24" t="str">
        <x:v>75</x:v>
      </x:c>
      <x:c r="O511" s="24"/>
      <x:c r="P511" s="24"/>
      <x:c r="Q511" s="24" t="str">
        <x:v>DISPONÍVEL</x:v>
      </x:c>
      <x:c r="R511" s="24"/>
      <x:c r="S511" s="24" t="n">
        <x:v>15</x:v>
      </x:c>
      <x:c r="T511" s="24" t="str">
        <x:v>tabela_rodenstock.pdf</x:v>
      </x:c>
      <x:c r="U511" s="24" t="str">
        <x:v>Rodenstock|Mono Plus B.I.G. NORM|Surfaçada|Impression Mono Plus B.I.G. NORM||1.67|1.67|Solitaire X-tra Clean|-12 a +10|até -6||75|||15</x:v>
      </x:c>
    </x:row>
    <x:row r="512">
      <x:c r="A512" s="24" t="str">
        <x:v>RD-CEF2CDC63A3A</x:v>
      </x:c>
      <x:c r="B512" s="24" t="str">
        <x:v>Rodenstock</x:v>
      </x:c>
      <x:c r="C512" s="24" t="str">
        <x:v>Mono Plus B.I.G. NORM</x:v>
      </x:c>
      <x:c r="D512" s="24" t="str">
        <x:v>Surfaçada</x:v>
      </x:c>
      <x:c r="E512" s="24" t="str">
        <x:v>Impression Mono Plus B.I.G. NORM</x:v>
      </x:c>
      <x:c r="F512" s="24"/>
      <x:c r="G512" s="24" t="str">
        <x:v>1.67</x:v>
      </x:c>
      <x:c r="H512" s="24" t="str">
        <x:v>1.67</x:v>
      </x:c>
      <x:c r="I512" s="24" t="str">
        <x:v>Solitaire Protect Plus</x:v>
      </x:c>
      <x:c r="J512" s="40" t="n">
        <x:v>4542</x:v>
      </x:c>
      <x:c r="K512" s="24" t="str">
        <x:v>-12 a +10</x:v>
      </x:c>
      <x:c r="L512" s="24" t="str">
        <x:v>até -6</x:v>
      </x:c>
      <x:c r="M512" s="24"/>
      <x:c r="N512" s="24" t="str">
        <x:v>75</x:v>
      </x:c>
      <x:c r="O512" s="24"/>
      <x:c r="P512" s="24"/>
      <x:c r="Q512" s="24" t="str">
        <x:v>DISPONÍVEL</x:v>
      </x:c>
      <x:c r="R512" s="24"/>
      <x:c r="S512" s="24" t="n">
        <x:v>15</x:v>
      </x:c>
      <x:c r="T512" s="24" t="str">
        <x:v>tabela_rodenstock.pdf</x:v>
      </x:c>
      <x:c r="U512" s="24" t="str">
        <x:v>Rodenstock|Mono Plus B.I.G. NORM|Surfaçada|Impression Mono Plus B.I.G. NORM||1.67|1.67|Solitaire Protect Plus|-12 a +10|até -6||75|||15</x:v>
      </x:c>
    </x:row>
    <x:row r="513">
      <x:c r="A513" s="24" t="str">
        <x:v>RD-8B36D3F13695</x:v>
      </x:c>
      <x:c r="B513" s="24" t="str">
        <x:v>Rodenstock</x:v>
      </x:c>
      <x:c r="C513" s="24" t="str">
        <x:v>Mono Plus B.I.G. NORM</x:v>
      </x:c>
      <x:c r="D513" s="24" t="str">
        <x:v>Surfaçada</x:v>
      </x:c>
      <x:c r="E513" s="24" t="str">
        <x:v>Impression Mono Plus B.I.G. NORM</x:v>
      </x:c>
      <x:c r="F513" s="24"/>
      <x:c r="G513" s="24" t="str">
        <x:v>1.67</x:v>
      </x:c>
      <x:c r="H513" s="24" t="str">
        <x:v>1.67</x:v>
      </x:c>
      <x:c r="I513" s="24" t="str">
        <x:v>ROAD</x:v>
      </x:c>
      <x:c r="J513" s="40" t="n">
        <x:v>4542</x:v>
      </x:c>
      <x:c r="K513" s="24" t="str">
        <x:v>-12 a +10</x:v>
      </x:c>
      <x:c r="L513" s="24" t="str">
        <x:v>até -6</x:v>
      </x:c>
      <x:c r="M513" s="24"/>
      <x:c r="N513" s="24" t="str">
        <x:v>75</x:v>
      </x:c>
      <x:c r="O513" s="24"/>
      <x:c r="P513" s="24"/>
      <x:c r="Q513" s="24" t="str">
        <x:v>DISPONÍVEL</x:v>
      </x:c>
      <x:c r="R513" s="24"/>
      <x:c r="S513" s="24" t="n">
        <x:v>15</x:v>
      </x:c>
      <x:c r="T513" s="24" t="str">
        <x:v>tabela_rodenstock.pdf</x:v>
      </x:c>
      <x:c r="U513" s="24" t="str">
        <x:v>Rodenstock|Mono Plus B.I.G. NORM|Surfaçada|Impression Mono Plus B.I.G. NORM||1.67|1.67|ROAD|-12 a +10|até -6||75|||15</x:v>
      </x:c>
    </x:row>
    <x:row r="514">
      <x:c r="A514" s="24" t="str">
        <x:v>RD-5E74571799DA</x:v>
      </x:c>
      <x:c r="B514" s="24" t="str">
        <x:v>Rodenstock</x:v>
      </x:c>
      <x:c r="C514" s="24" t="str">
        <x:v>Mono Plus B.I.G. NORM</x:v>
      </x:c>
      <x:c r="D514" s="24" t="str">
        <x:v>Surfaçada</x:v>
      </x:c>
      <x:c r="E514" s="24" t="str">
        <x:v>Impression Mono Plus B.I.G. NORM</x:v>
      </x:c>
      <x:c r="F514" s="24"/>
      <x:c r="G514" s="24" t="str">
        <x:v>1.67</x:v>
      </x:c>
      <x:c r="H514" s="24" t="str">
        <x:v>1.67</x:v>
      </x:c>
      <x:c r="I514" s="24" t="str">
        <x:v>Solitaire Protect</x:v>
      </x:c>
      <x:c r="J514" s="40" t="n">
        <x:v>4282</x:v>
      </x:c>
      <x:c r="K514" s="24" t="str">
        <x:v>-12 a +10</x:v>
      </x:c>
      <x:c r="L514" s="24" t="str">
        <x:v>até -6</x:v>
      </x:c>
      <x:c r="M514" s="24"/>
      <x:c r="N514" s="24" t="str">
        <x:v>75</x:v>
      </x:c>
      <x:c r="O514" s="24"/>
      <x:c r="P514" s="24"/>
      <x:c r="Q514" s="24" t="str">
        <x:v>DISPONÍVEL</x:v>
      </x:c>
      <x:c r="R514" s="24"/>
      <x:c r="S514" s="24" t="n">
        <x:v>15</x:v>
      </x:c>
      <x:c r="T514" s="24" t="str">
        <x:v>tabela_rodenstock.pdf</x:v>
      </x:c>
      <x:c r="U514" s="24" t="str">
        <x:v>Rodenstock|Mono Plus B.I.G. NORM|Surfaçada|Impression Mono Plus B.I.G. NORM||1.67|1.67|Solitaire Protect|-12 a +10|até -6||75|||15</x:v>
      </x:c>
    </x:row>
    <x:row r="515">
      <x:c r="A515" s="24" t="str">
        <x:v>RD-B541936F71E6</x:v>
      </x:c>
      <x:c r="B515" s="24" t="str">
        <x:v>Rodenstock</x:v>
      </x:c>
      <x:c r="C515" s="24" t="str">
        <x:v>Mono Plus B.I.G. NORM</x:v>
      </x:c>
      <x:c r="D515" s="24" t="str">
        <x:v>Surfaçada</x:v>
      </x:c>
      <x:c r="E515" s="24" t="str">
        <x:v>Impression Mono Plus B.I.G. NORM</x:v>
      </x:c>
      <x:c r="F515" s="24" t="str">
        <x:v>ColorMatic® 3</x:v>
      </x:c>
      <x:c r="G515" s="24" t="str">
        <x:v>1.67</x:v>
      </x:c>
      <x:c r="H515" s="24" t="str">
        <x:v>1.67</x:v>
      </x:c>
      <x:c r="I515" s="24" t="str">
        <x:v>LayR X-tra Clean</x:v>
      </x:c>
      <x:c r="J515" s="40" t="n">
        <x:v>5700</x:v>
      </x:c>
      <x:c r="K515" s="24" t="str">
        <x:v>-12 a +10</x:v>
      </x:c>
      <x:c r="L515" s="24" t="str">
        <x:v>até -6</x:v>
      </x:c>
      <x:c r="M515" s="24"/>
      <x:c r="N515" s="24" t="str">
        <x:v>75</x:v>
      </x:c>
      <x:c r="O515" s="24"/>
      <x:c r="P515" s="24"/>
      <x:c r="Q515" s="24" t="str">
        <x:v>DISPONÍVEL</x:v>
      </x:c>
      <x:c r="R515" s="24"/>
      <x:c r="S515" s="24" t="n">
        <x:v>15</x:v>
      </x:c>
      <x:c r="T515" s="24" t="str">
        <x:v>tabela_rodenstock.pdf</x:v>
      </x:c>
      <x:c r="U515" s="24" t="str">
        <x:v>Rodenstock|Mono Plus B.I.G. NORM|Surfaçada|Impression Mono Plus B.I.G. NORM|ColorMatic® 3|1.67|1.67|LayR X-tra Clean|-12 a +10|até -6||75|||15</x:v>
      </x:c>
    </x:row>
    <x:row r="516">
      <x:c r="A516" s="24" t="str">
        <x:v>RD-1FF5DDB1D301</x:v>
      </x:c>
      <x:c r="B516" s="24" t="str">
        <x:v>Rodenstock</x:v>
      </x:c>
      <x:c r="C516" s="24" t="str">
        <x:v>Mono Plus B.I.G. NORM</x:v>
      </x:c>
      <x:c r="D516" s="24" t="str">
        <x:v>Surfaçada</x:v>
      </x:c>
      <x:c r="E516" s="24" t="str">
        <x:v>Impression Mono Plus B.I.G. NORM</x:v>
      </x:c>
      <x:c r="F516" s="24" t="str">
        <x:v>ColorMatic® 3</x:v>
      </x:c>
      <x:c r="G516" s="24" t="str">
        <x:v>1.67</x:v>
      </x:c>
      <x:c r="H516" s="24" t="str">
        <x:v>1.67</x:v>
      </x:c>
      <x:c r="I516" s="24" t="str">
        <x:v>LayR Balance</x:v>
      </x:c>
      <x:c r="J516" s="40" t="n">
        <x:v>5700</x:v>
      </x:c>
      <x:c r="K516" s="24" t="str">
        <x:v>-12 a +10</x:v>
      </x:c>
      <x:c r="L516" s="24" t="str">
        <x:v>até -6</x:v>
      </x:c>
      <x:c r="M516" s="24"/>
      <x:c r="N516" s="24" t="str">
        <x:v>75</x:v>
      </x:c>
      <x:c r="O516" s="24"/>
      <x:c r="P516" s="24"/>
      <x:c r="Q516" s="24" t="str">
        <x:v>DISPONÍVEL</x:v>
      </x:c>
      <x:c r="R516" s="24"/>
      <x:c r="S516" s="24" t="n">
        <x:v>15</x:v>
      </x:c>
      <x:c r="T516" s="24" t="str">
        <x:v>tabela_rodenstock.pdf</x:v>
      </x:c>
      <x:c r="U516" s="24" t="str">
        <x:v>Rodenstock|Mono Plus B.I.G. NORM|Surfaçada|Impression Mono Plus B.I.G. NORM|ColorMatic® 3|1.67|1.67|LayR Balance|-12 a +10|até -6||75|||15</x:v>
      </x:c>
    </x:row>
    <x:row r="517">
      <x:c r="A517" s="24" t="str">
        <x:v>RD-355E76037F51</x:v>
      </x:c>
      <x:c r="B517" s="24" t="str">
        <x:v>Rodenstock</x:v>
      </x:c>
      <x:c r="C517" s="24" t="str">
        <x:v>Mono Plus B.I.G. NORM</x:v>
      </x:c>
      <x:c r="D517" s="24" t="str">
        <x:v>Surfaçada</x:v>
      </x:c>
      <x:c r="E517" s="24" t="str">
        <x:v>Impression Mono Plus B.I.G. NORM</x:v>
      </x:c>
      <x:c r="F517" s="24" t="str">
        <x:v>ColorMatic® 3</x:v>
      </x:c>
      <x:c r="G517" s="24" t="str">
        <x:v>1.67</x:v>
      </x:c>
      <x:c r="H517" s="24" t="str">
        <x:v>1.67</x:v>
      </x:c>
      <x:c r="I517" s="24" t="str">
        <x:v>Solitaire X-tra Clean</x:v>
      </x:c>
      <x:c r="J517" s="40" t="n">
        <x:v>5630</x:v>
      </x:c>
      <x:c r="K517" s="24" t="str">
        <x:v>-12 a +10</x:v>
      </x:c>
      <x:c r="L517" s="24" t="str">
        <x:v>até -6</x:v>
      </x:c>
      <x:c r="M517" s="24"/>
      <x:c r="N517" s="24" t="str">
        <x:v>75</x:v>
      </x:c>
      <x:c r="O517" s="24"/>
      <x:c r="P517" s="24"/>
      <x:c r="Q517" s="24" t="str">
        <x:v>DISPONÍVEL</x:v>
      </x:c>
      <x:c r="R517" s="24"/>
      <x:c r="S517" s="24" t="n">
        <x:v>15</x:v>
      </x:c>
      <x:c r="T517" s="24" t="str">
        <x:v>tabela_rodenstock.pdf</x:v>
      </x:c>
      <x:c r="U517" s="24" t="str">
        <x:v>Rodenstock|Mono Plus B.I.G. NORM|Surfaçada|Impression Mono Plus B.I.G. NORM|ColorMatic® 3|1.67|1.67|Solitaire X-tra Clean|-12 a +10|até -6||75|||15</x:v>
      </x:c>
    </x:row>
    <x:row r="518">
      <x:c r="A518" s="24" t="str">
        <x:v>RD-E33DEC8E3360</x:v>
      </x:c>
      <x:c r="B518" s="24" t="str">
        <x:v>Rodenstock</x:v>
      </x:c>
      <x:c r="C518" s="24" t="str">
        <x:v>Mono Plus B.I.G. NORM</x:v>
      </x:c>
      <x:c r="D518" s="24" t="str">
        <x:v>Surfaçada</x:v>
      </x:c>
      <x:c r="E518" s="24" t="str">
        <x:v>Impression Mono Plus B.I.G. NORM</x:v>
      </x:c>
      <x:c r="F518" s="24" t="str">
        <x:v>ColorMatic® 3</x:v>
      </x:c>
      <x:c r="G518" s="24" t="str">
        <x:v>1.67</x:v>
      </x:c>
      <x:c r="H518" s="24" t="str">
        <x:v>1.67</x:v>
      </x:c>
      <x:c r="I518" s="24" t="str">
        <x:v>Solitaire Protect Plus</x:v>
      </x:c>
      <x:c r="J518" s="40" t="n">
        <x:v>5580</x:v>
      </x:c>
      <x:c r="K518" s="24" t="str">
        <x:v>-12 a +10</x:v>
      </x:c>
      <x:c r="L518" s="24" t="str">
        <x:v>até -6</x:v>
      </x:c>
      <x:c r="M518" s="24"/>
      <x:c r="N518" s="24" t="str">
        <x:v>75</x:v>
      </x:c>
      <x:c r="O518" s="24"/>
      <x:c r="P518" s="24"/>
      <x:c r="Q518" s="24" t="str">
        <x:v>DISPONÍVEL</x:v>
      </x:c>
      <x:c r="R518" s="24"/>
      <x:c r="S518" s="24" t="n">
        <x:v>15</x:v>
      </x:c>
      <x:c r="T518" s="24" t="str">
        <x:v>tabela_rodenstock.pdf</x:v>
      </x:c>
      <x:c r="U518" s="24" t="str">
        <x:v>Rodenstock|Mono Plus B.I.G. NORM|Surfaçada|Impression Mono Plus B.I.G. NORM|ColorMatic® 3|1.67|1.67|Solitaire Protect Plus|-12 a +10|até -6||75|||15</x:v>
      </x:c>
    </x:row>
    <x:row r="519">
      <x:c r="A519" s="24" t="str">
        <x:v>RD-B5F24ADC278C</x:v>
      </x:c>
      <x:c r="B519" s="24" t="str">
        <x:v>Rodenstock</x:v>
      </x:c>
      <x:c r="C519" s="24" t="str">
        <x:v>Mono Plus B.I.G. NORM</x:v>
      </x:c>
      <x:c r="D519" s="24" t="str">
        <x:v>Surfaçada</x:v>
      </x:c>
      <x:c r="E519" s="24" t="str">
        <x:v>Impression Mono Plus B.I.G. NORM</x:v>
      </x:c>
      <x:c r="F519" s="24" t="str">
        <x:v>ColorMatic® 3</x:v>
      </x:c>
      <x:c r="G519" s="24" t="str">
        <x:v>1.67</x:v>
      </x:c>
      <x:c r="H519" s="24" t="str">
        <x:v>1.67</x:v>
      </x:c>
      <x:c r="I519" s="24" t="str">
        <x:v>ROAD</x:v>
      </x:c>
      <x:c r="J519" s="40" t="n">
        <x:v>5580</x:v>
      </x:c>
      <x:c r="K519" s="24" t="str">
        <x:v>-12 a +10</x:v>
      </x:c>
      <x:c r="L519" s="24" t="str">
        <x:v>até -6</x:v>
      </x:c>
      <x:c r="M519" s="24"/>
      <x:c r="N519" s="24" t="str">
        <x:v>75</x:v>
      </x:c>
      <x:c r="O519" s="24"/>
      <x:c r="P519" s="24"/>
      <x:c r="Q519" s="24" t="str">
        <x:v>DISPONÍVEL</x:v>
      </x:c>
      <x:c r="R519" s="24"/>
      <x:c r="S519" s="24" t="n">
        <x:v>15</x:v>
      </x:c>
      <x:c r="T519" s="24" t="str">
        <x:v>tabela_rodenstock.pdf</x:v>
      </x:c>
      <x:c r="U519" s="24" t="str">
        <x:v>Rodenstock|Mono Plus B.I.G. NORM|Surfaçada|Impression Mono Plus B.I.G. NORM|ColorMatic® 3|1.67|1.67|ROAD|-12 a +10|até -6||75|||15</x:v>
      </x:c>
    </x:row>
    <x:row r="520">
      <x:c r="A520" s="24" t="str">
        <x:v>RD-14B01CBF9289</x:v>
      </x:c>
      <x:c r="B520" s="24" t="str">
        <x:v>Rodenstock</x:v>
      </x:c>
      <x:c r="C520" s="24" t="str">
        <x:v>Mono Plus B.I.G. NORM</x:v>
      </x:c>
      <x:c r="D520" s="24" t="str">
        <x:v>Surfaçada</x:v>
      </x:c>
      <x:c r="E520" s="24" t="str">
        <x:v>Impression Mono Plus B.I.G. NORM</x:v>
      </x:c>
      <x:c r="F520" s="24" t="str">
        <x:v>ColorMatic® 3</x:v>
      </x:c>
      <x:c r="G520" s="24" t="str">
        <x:v>1.67</x:v>
      </x:c>
      <x:c r="H520" s="24" t="str">
        <x:v>1.67</x:v>
      </x:c>
      <x:c r="I520" s="24" t="str">
        <x:v>Solitaire Protect</x:v>
      </x:c>
      <x:c r="J520" s="40" t="n">
        <x:v>5320</x:v>
      </x:c>
      <x:c r="K520" s="24" t="str">
        <x:v>-12 a +10</x:v>
      </x:c>
      <x:c r="L520" s="24" t="str">
        <x:v>até -6</x:v>
      </x:c>
      <x:c r="M520" s="24"/>
      <x:c r="N520" s="24" t="str">
        <x:v>75</x:v>
      </x:c>
      <x:c r="O520" s="24"/>
      <x:c r="P520" s="24"/>
      <x:c r="Q520" s="24" t="str">
        <x:v>DISPONÍVEL</x:v>
      </x:c>
      <x:c r="R520" s="24"/>
      <x:c r="S520" s="24" t="n">
        <x:v>15</x:v>
      </x:c>
      <x:c r="T520" s="24" t="str">
        <x:v>tabela_rodenstock.pdf</x:v>
      </x:c>
      <x:c r="U520" s="24" t="str">
        <x:v>Rodenstock|Mono Plus B.I.G. NORM|Surfaçada|Impression Mono Plus B.I.G. NORM|ColorMatic® 3|1.67|1.67|Solitaire Protect|-12 a +10|até -6||75|||15</x:v>
      </x:c>
    </x:row>
    <x:row r="521">
      <x:c r="A521" s="24" t="str">
        <x:v>RD-787BEA0387C9</x:v>
      </x:c>
      <x:c r="B521" s="24" t="str">
        <x:v>Rodenstock</x:v>
      </x:c>
      <x:c r="C521" s="24" t="str">
        <x:v>Mono Plus B.I.G. NORM</x:v>
      </x:c>
      <x:c r="D521" s="24" t="str">
        <x:v>Surfaçada</x:v>
      </x:c>
      <x:c r="E521" s="24" t="str">
        <x:v>Impression Mono Plus B.I.G. NORM</x:v>
      </x:c>
      <x:c r="F521" s="24"/>
      <x:c r="G521" s="24" t="str">
        <x:v>1.74</x:v>
      </x:c>
      <x:c r="H521" s="24" t="str">
        <x:v>1.74</x:v>
      </x:c>
      <x:c r="I521" s="24" t="str">
        <x:v>LayR X-tra Clean</x:v>
      </x:c>
      <x:c r="J521" s="40" t="n">
        <x:v>6858</x:v>
      </x:c>
      <x:c r="K521" s="24" t="str">
        <x:v>-18 a +13</x:v>
      </x:c>
      <x:c r="L521" s="24" t="str">
        <x:v>até -6</x:v>
      </x:c>
      <x:c r="M521" s="24"/>
      <x:c r="N521" s="24" t="str">
        <x:v>75</x:v>
      </x:c>
      <x:c r="O521" s="24"/>
      <x:c r="P521" s="24"/>
      <x:c r="Q521" s="24" t="str">
        <x:v>DISPONÍVEL</x:v>
      </x:c>
      <x:c r="R521" s="24"/>
      <x:c r="S521" s="24" t="n">
        <x:v>15</x:v>
      </x:c>
      <x:c r="T521" s="24" t="str">
        <x:v>tabela_rodenstock.pdf</x:v>
      </x:c>
      <x:c r="U521" s="24" t="str">
        <x:v>Rodenstock|Mono Plus B.I.G. NORM|Surfaçada|Impression Mono Plus B.I.G. NORM||1.74|1.74|LayR X-tra Clean|-18 a +13|até -6||75|||15</x:v>
      </x:c>
    </x:row>
    <x:row r="522">
      <x:c r="A522" s="24" t="str">
        <x:v>RD-C7EE29344843</x:v>
      </x:c>
      <x:c r="B522" s="24" t="str">
        <x:v>Rodenstock</x:v>
      </x:c>
      <x:c r="C522" s="24" t="str">
        <x:v>Mono Plus B.I.G. NORM</x:v>
      </x:c>
      <x:c r="D522" s="24" t="str">
        <x:v>Surfaçada</x:v>
      </x:c>
      <x:c r="E522" s="24" t="str">
        <x:v>Impression Mono Plus B.I.G. NORM</x:v>
      </x:c>
      <x:c r="F522" s="24"/>
      <x:c r="G522" s="24" t="str">
        <x:v>1.74</x:v>
      </x:c>
      <x:c r="H522" s="24" t="str">
        <x:v>1.74</x:v>
      </x:c>
      <x:c r="I522" s="24" t="str">
        <x:v>LayR Balance</x:v>
      </x:c>
      <x:c r="J522" s="40" t="n">
        <x:v>6858</x:v>
      </x:c>
      <x:c r="K522" s="24" t="str">
        <x:v>-18 a +13</x:v>
      </x:c>
      <x:c r="L522" s="24" t="str">
        <x:v>até -6</x:v>
      </x:c>
      <x:c r="M522" s="24"/>
      <x:c r="N522" s="24" t="str">
        <x:v>75</x:v>
      </x:c>
      <x:c r="O522" s="24"/>
      <x:c r="P522" s="24"/>
      <x:c r="Q522" s="24" t="str">
        <x:v>DISPONÍVEL</x:v>
      </x:c>
      <x:c r="R522" s="24"/>
      <x:c r="S522" s="24" t="n">
        <x:v>15</x:v>
      </x:c>
      <x:c r="T522" s="24" t="str">
        <x:v>tabela_rodenstock.pdf</x:v>
      </x:c>
      <x:c r="U522" s="24" t="str">
        <x:v>Rodenstock|Mono Plus B.I.G. NORM|Surfaçada|Impression Mono Plus B.I.G. NORM||1.74|1.74|LayR Balance|-18 a +13|até -6||75|||15</x:v>
      </x:c>
    </x:row>
    <x:row r="523">
      <x:c r="A523" s="24" t="str">
        <x:v>RD-067B21CF6673</x:v>
      </x:c>
      <x:c r="B523" s="24" t="str">
        <x:v>Rodenstock</x:v>
      </x:c>
      <x:c r="C523" s="24" t="str">
        <x:v>Mono Plus B.I.G. NORM</x:v>
      </x:c>
      <x:c r="D523" s="24" t="str">
        <x:v>Surfaçada</x:v>
      </x:c>
      <x:c r="E523" s="24" t="str">
        <x:v>Impression Mono Plus B.I.G. NORM</x:v>
      </x:c>
      <x:c r="F523" s="24"/>
      <x:c r="G523" s="24" t="str">
        <x:v>1.74</x:v>
      </x:c>
      <x:c r="H523" s="24" t="str">
        <x:v>1.74</x:v>
      </x:c>
      <x:c r="I523" s="24" t="str">
        <x:v>Solitaire X-tra Clean</x:v>
      </x:c>
      <x:c r="J523" s="40" t="n">
        <x:v>6788</x:v>
      </x:c>
      <x:c r="K523" s="24" t="str">
        <x:v>-18 a +13</x:v>
      </x:c>
      <x:c r="L523" s="24" t="str">
        <x:v>até -6</x:v>
      </x:c>
      <x:c r="M523" s="24"/>
      <x:c r="N523" s="24" t="str">
        <x:v>75</x:v>
      </x:c>
      <x:c r="O523" s="24"/>
      <x:c r="P523" s="24"/>
      <x:c r="Q523" s="24" t="str">
        <x:v>DISPONÍVEL</x:v>
      </x:c>
      <x:c r="R523" s="24"/>
      <x:c r="S523" s="24" t="n">
        <x:v>15</x:v>
      </x:c>
      <x:c r="T523" s="24" t="str">
        <x:v>tabela_rodenstock.pdf</x:v>
      </x:c>
      <x:c r="U523" s="24" t="str">
        <x:v>Rodenstock|Mono Plus B.I.G. NORM|Surfaçada|Impression Mono Plus B.I.G. NORM||1.74|1.74|Solitaire X-tra Clean|-18 a +13|até -6||75|||15</x:v>
      </x:c>
    </x:row>
    <x:row r="524">
      <x:c r="A524" s="24" t="str">
        <x:v>RD-B8C4EE767A69</x:v>
      </x:c>
      <x:c r="B524" s="24" t="str">
        <x:v>Rodenstock</x:v>
      </x:c>
      <x:c r="C524" s="24" t="str">
        <x:v>Mono Plus B.I.G. NORM</x:v>
      </x:c>
      <x:c r="D524" s="24" t="str">
        <x:v>Surfaçada</x:v>
      </x:c>
      <x:c r="E524" s="24" t="str">
        <x:v>Impression Mono Plus B.I.G. NORM</x:v>
      </x:c>
      <x:c r="F524" s="24"/>
      <x:c r="G524" s="24" t="str">
        <x:v>1.74</x:v>
      </x:c>
      <x:c r="H524" s="24" t="str">
        <x:v>1.74</x:v>
      </x:c>
      <x:c r="I524" s="24" t="str">
        <x:v>Solitaire Protect Plus</x:v>
      </x:c>
      <x:c r="J524" s="40" t="n">
        <x:v>6738</x:v>
      </x:c>
      <x:c r="K524" s="24" t="str">
        <x:v>-18 a +13</x:v>
      </x:c>
      <x:c r="L524" s="24" t="str">
        <x:v>até -6</x:v>
      </x:c>
      <x:c r="M524" s="24"/>
      <x:c r="N524" s="24" t="str">
        <x:v>75</x:v>
      </x:c>
      <x:c r="O524" s="24"/>
      <x:c r="P524" s="24"/>
      <x:c r="Q524" s="24" t="str">
        <x:v>DISPONÍVEL</x:v>
      </x:c>
      <x:c r="R524" s="24"/>
      <x:c r="S524" s="24" t="n">
        <x:v>15</x:v>
      </x:c>
      <x:c r="T524" s="24" t="str">
        <x:v>tabela_rodenstock.pdf</x:v>
      </x:c>
      <x:c r="U524" s="24" t="str">
        <x:v>Rodenstock|Mono Plus B.I.G. NORM|Surfaçada|Impression Mono Plus B.I.G. NORM||1.74|1.74|Solitaire Protect Plus|-18 a +13|até -6||75|||15</x:v>
      </x:c>
    </x:row>
    <x:row r="525">
      <x:c r="A525" s="24" t="str">
        <x:v>RD-9DE28059200D</x:v>
      </x:c>
      <x:c r="B525" s="24" t="str">
        <x:v>Rodenstock</x:v>
      </x:c>
      <x:c r="C525" s="24" t="str">
        <x:v>Mono Plus B.I.G. NORM</x:v>
      </x:c>
      <x:c r="D525" s="24" t="str">
        <x:v>Surfaçada</x:v>
      </x:c>
      <x:c r="E525" s="24" t="str">
        <x:v>Impression Mono Plus B.I.G. NORM</x:v>
      </x:c>
      <x:c r="F525" s="24"/>
      <x:c r="G525" s="24" t="str">
        <x:v>1.74</x:v>
      </x:c>
      <x:c r="H525" s="24" t="str">
        <x:v>1.74</x:v>
      </x:c>
      <x:c r="I525" s="24" t="str">
        <x:v>Solitaire Protect</x:v>
      </x:c>
      <x:c r="J525" s="40" t="n">
        <x:v>6478</x:v>
      </x:c>
      <x:c r="K525" s="24" t="str">
        <x:v>-18 a +13</x:v>
      </x:c>
      <x:c r="L525" s="24" t="str">
        <x:v>até -6</x:v>
      </x:c>
      <x:c r="M525" s="24"/>
      <x:c r="N525" s="24" t="str">
        <x:v>75</x:v>
      </x:c>
      <x:c r="O525" s="24"/>
      <x:c r="P525" s="24"/>
      <x:c r="Q525" s="24" t="str">
        <x:v>DISPONÍVEL</x:v>
      </x:c>
      <x:c r="R525" s="24"/>
      <x:c r="S525" s="24" t="n">
        <x:v>15</x:v>
      </x:c>
      <x:c r="T525" s="24" t="str">
        <x:v>tabela_rodenstock.pdf</x:v>
      </x:c>
      <x:c r="U525" s="24" t="str">
        <x:v>Rodenstock|Mono Plus B.I.G. NORM|Surfaçada|Impression Mono Plus B.I.G. NORM||1.74|1.74|Solitaire Protect|-18 a +13|até -6||75|||15</x:v>
      </x:c>
    </x:row>
    <x:row r="526">
      <x:c r="A526" s="24" t="str">
        <x:v>RD-C77336B816F2</x:v>
      </x:c>
      <x:c r="B526" s="24" t="str">
        <x:v>Rodenstock</x:v>
      </x:c>
      <x:c r="C526" s="24" t="str">
        <x:v>Mono Plus B.I.G. NORM</x:v>
      </x:c>
      <x:c r="D526" s="24" t="str">
        <x:v>Surfaçada</x:v>
      </x:c>
      <x:c r="E526" s="24" t="str">
        <x:v>Multigressiv Mono Plus B.I.G. NORM</x:v>
      </x:c>
      <x:c r="F526" s="24"/>
      <x:c r="G526" s="24" t="str">
        <x:v>1.5</x:v>
      </x:c>
      <x:c r="H526" s="24" t="str">
        <x:v>1.50</x:v>
      </x:c>
      <x:c r="I526" s="24" t="str">
        <x:v>LayR X-tra Clean</x:v>
      </x:c>
      <x:c r="J526" s="40" t="n">
        <x:v>2291</x:v>
      </x:c>
      <x:c r="K526" s="24" t="str">
        <x:v>-8 a +8</x:v>
      </x:c>
      <x:c r="L526" s="24" t="str">
        <x:v>até -6</x:v>
      </x:c>
      <x:c r="M526" s="24"/>
      <x:c r="N526" s="24" t="str">
        <x:v>75</x:v>
      </x:c>
      <x:c r="O526" s="24"/>
      <x:c r="P526" s="24"/>
      <x:c r="Q526" s="24" t="str">
        <x:v>DISPONÍVEL</x:v>
      </x:c>
      <x:c r="R526" s="24"/>
      <x:c r="S526" s="24" t="n">
        <x:v>15</x:v>
      </x:c>
      <x:c r="T526" s="24" t="str">
        <x:v>tabela_rodenstock.pdf</x:v>
      </x:c>
      <x:c r="U526" s="24" t="str">
        <x:v>Rodenstock|Mono Plus B.I.G. NORM|Surfaçada|Multigressiv Mono Plus B.I.G. NORM||1.5|1.50|LayR X-tra Clean|-8 a +8|até -6||75|||15</x:v>
      </x:c>
    </x:row>
    <x:row r="527">
      <x:c r="A527" s="24" t="str">
        <x:v>RD-E1FB105AEDC5</x:v>
      </x:c>
      <x:c r="B527" s="24" t="str">
        <x:v>Rodenstock</x:v>
      </x:c>
      <x:c r="C527" s="24" t="str">
        <x:v>Mono Plus B.I.G. NORM</x:v>
      </x:c>
      <x:c r="D527" s="24" t="str">
        <x:v>Surfaçada</x:v>
      </x:c>
      <x:c r="E527" s="24" t="str">
        <x:v>Multigressiv Mono Plus B.I.G. NORM</x:v>
      </x:c>
      <x:c r="F527" s="24"/>
      <x:c r="G527" s="24" t="str">
        <x:v>1.5</x:v>
      </x:c>
      <x:c r="H527" s="24" t="str">
        <x:v>1.50</x:v>
      </x:c>
      <x:c r="I527" s="24" t="str">
        <x:v>LayR Balance</x:v>
      </x:c>
      <x:c r="J527" s="40" t="n">
        <x:v>2291</x:v>
      </x:c>
      <x:c r="K527" s="24" t="str">
        <x:v>-8 a +8</x:v>
      </x:c>
      <x:c r="L527" s="24" t="str">
        <x:v>até -6</x:v>
      </x:c>
      <x:c r="M527" s="24"/>
      <x:c r="N527" s="24" t="str">
        <x:v>75</x:v>
      </x:c>
      <x:c r="O527" s="24"/>
      <x:c r="P527" s="24"/>
      <x:c r="Q527" s="24" t="str">
        <x:v>DISPONÍVEL</x:v>
      </x:c>
      <x:c r="R527" s="24"/>
      <x:c r="S527" s="24" t="n">
        <x:v>15</x:v>
      </x:c>
      <x:c r="T527" s="24" t="str">
        <x:v>tabela_rodenstock.pdf</x:v>
      </x:c>
      <x:c r="U527" s="24" t="str">
        <x:v>Rodenstock|Mono Plus B.I.G. NORM|Surfaçada|Multigressiv Mono Plus B.I.G. NORM||1.5|1.50|LayR Balance|-8 a +8|até -6||75|||15</x:v>
      </x:c>
    </x:row>
    <x:row r="528">
      <x:c r="A528" s="24" t="str">
        <x:v>RD-7729E7620375</x:v>
      </x:c>
      <x:c r="B528" s="24" t="str">
        <x:v>Rodenstock</x:v>
      </x:c>
      <x:c r="C528" s="24" t="str">
        <x:v>Mono Plus B.I.G. NORM</x:v>
      </x:c>
      <x:c r="D528" s="24" t="str">
        <x:v>Surfaçada</x:v>
      </x:c>
      <x:c r="E528" s="24" t="str">
        <x:v>Multigressiv Mono Plus B.I.G. NORM</x:v>
      </x:c>
      <x:c r="F528" s="24"/>
      <x:c r="G528" s="24" t="str">
        <x:v>1.5</x:v>
      </x:c>
      <x:c r="H528" s="24" t="str">
        <x:v>1.50</x:v>
      </x:c>
      <x:c r="I528" s="24" t="str">
        <x:v>Solitaire X-tra Clean</x:v>
      </x:c>
      <x:c r="J528" s="40" t="n">
        <x:v>2221</x:v>
      </x:c>
      <x:c r="K528" s="24" t="str">
        <x:v>-8 a +8</x:v>
      </x:c>
      <x:c r="L528" s="24" t="str">
        <x:v>até -6</x:v>
      </x:c>
      <x:c r="M528" s="24"/>
      <x:c r="N528" s="24" t="str">
        <x:v>75</x:v>
      </x:c>
      <x:c r="O528" s="24"/>
      <x:c r="P528" s="24"/>
      <x:c r="Q528" s="24" t="str">
        <x:v>DISPONÍVEL</x:v>
      </x:c>
      <x:c r="R528" s="24"/>
      <x:c r="S528" s="24" t="n">
        <x:v>15</x:v>
      </x:c>
      <x:c r="T528" s="24" t="str">
        <x:v>tabela_rodenstock.pdf</x:v>
      </x:c>
      <x:c r="U528" s="24" t="str">
        <x:v>Rodenstock|Mono Plus B.I.G. NORM|Surfaçada|Multigressiv Mono Plus B.I.G. NORM||1.5|1.50|Solitaire X-tra Clean|-8 a +8|até -6||75|||15</x:v>
      </x:c>
    </x:row>
    <x:row r="529">
      <x:c r="A529" s="24" t="str">
        <x:v>RD-B64B8A901D8D</x:v>
      </x:c>
      <x:c r="B529" s="24" t="str">
        <x:v>Rodenstock</x:v>
      </x:c>
      <x:c r="C529" s="24" t="str">
        <x:v>Mono Plus B.I.G. NORM</x:v>
      </x:c>
      <x:c r="D529" s="24" t="str">
        <x:v>Surfaçada</x:v>
      </x:c>
      <x:c r="E529" s="24" t="str">
        <x:v>Multigressiv Mono Plus B.I.G. NORM</x:v>
      </x:c>
      <x:c r="F529" s="24"/>
      <x:c r="G529" s="24" t="str">
        <x:v>1.5</x:v>
      </x:c>
      <x:c r="H529" s="24" t="str">
        <x:v>1.50</x:v>
      </x:c>
      <x:c r="I529" s="24" t="str">
        <x:v>Solitaire Protect Plus</x:v>
      </x:c>
      <x:c r="J529" s="40" t="n">
        <x:v>2171</x:v>
      </x:c>
      <x:c r="K529" s="24" t="str">
        <x:v>-8 a +8</x:v>
      </x:c>
      <x:c r="L529" s="24" t="str">
        <x:v>até -6</x:v>
      </x:c>
      <x:c r="M529" s="24"/>
      <x:c r="N529" s="24" t="str">
        <x:v>75</x:v>
      </x:c>
      <x:c r="O529" s="24"/>
      <x:c r="P529" s="24"/>
      <x:c r="Q529" s="24" t="str">
        <x:v>DISPONÍVEL</x:v>
      </x:c>
      <x:c r="R529" s="24"/>
      <x:c r="S529" s="24" t="n">
        <x:v>15</x:v>
      </x:c>
      <x:c r="T529" s="24" t="str">
        <x:v>tabela_rodenstock.pdf</x:v>
      </x:c>
      <x:c r="U529" s="24" t="str">
        <x:v>Rodenstock|Mono Plus B.I.G. NORM|Surfaçada|Multigressiv Mono Plus B.I.G. NORM||1.5|1.50|Solitaire Protect Plus|-8 a +8|até -6||75|||15</x:v>
      </x:c>
    </x:row>
    <x:row r="530">
      <x:c r="A530" s="24" t="str">
        <x:v>RD-FA333AB4A4C4</x:v>
      </x:c>
      <x:c r="B530" s="24" t="str">
        <x:v>Rodenstock</x:v>
      </x:c>
      <x:c r="C530" s="24" t="str">
        <x:v>Mono Plus B.I.G. NORM</x:v>
      </x:c>
      <x:c r="D530" s="24" t="str">
        <x:v>Surfaçada</x:v>
      </x:c>
      <x:c r="E530" s="24" t="str">
        <x:v>Multigressiv Mono Plus B.I.G. NORM</x:v>
      </x:c>
      <x:c r="F530" s="24"/>
      <x:c r="G530" s="24" t="str">
        <x:v>1.5</x:v>
      </x:c>
      <x:c r="H530" s="24" t="str">
        <x:v>1.50</x:v>
      </x:c>
      <x:c r="I530" s="24" t="str">
        <x:v>ROAD</x:v>
      </x:c>
      <x:c r="J530" s="40" t="n">
        <x:v>2171</x:v>
      </x:c>
      <x:c r="K530" s="24" t="str">
        <x:v>-8 a +8</x:v>
      </x:c>
      <x:c r="L530" s="24" t="str">
        <x:v>até -6</x:v>
      </x:c>
      <x:c r="M530" s="24"/>
      <x:c r="N530" s="24" t="str">
        <x:v>75</x:v>
      </x:c>
      <x:c r="O530" s="24"/>
      <x:c r="P530" s="24"/>
      <x:c r="Q530" s="24" t="str">
        <x:v>DISPONÍVEL</x:v>
      </x:c>
      <x:c r="R530" s="24"/>
      <x:c r="S530" s="24" t="n">
        <x:v>15</x:v>
      </x:c>
      <x:c r="T530" s="24" t="str">
        <x:v>tabela_rodenstock.pdf</x:v>
      </x:c>
      <x:c r="U530" s="24" t="str">
        <x:v>Rodenstock|Mono Plus B.I.G. NORM|Surfaçada|Multigressiv Mono Plus B.I.G. NORM||1.5|1.50|ROAD|-8 a +8|até -6||75|||15</x:v>
      </x:c>
    </x:row>
    <x:row r="531">
      <x:c r="A531" s="24" t="str">
        <x:v>RD-001EDC81B024</x:v>
      </x:c>
      <x:c r="B531" s="24" t="str">
        <x:v>Rodenstock</x:v>
      </x:c>
      <x:c r="C531" s="24" t="str">
        <x:v>Mono Plus B.I.G. NORM</x:v>
      </x:c>
      <x:c r="D531" s="24" t="str">
        <x:v>Surfaçada</x:v>
      </x:c>
      <x:c r="E531" s="24" t="str">
        <x:v>Multigressiv Mono Plus B.I.G. NORM</x:v>
      </x:c>
      <x:c r="F531" s="24"/>
      <x:c r="G531" s="24" t="str">
        <x:v>1.5</x:v>
      </x:c>
      <x:c r="H531" s="24" t="str">
        <x:v>1.50</x:v>
      </x:c>
      <x:c r="I531" s="24" t="str">
        <x:v>Solitaire Protect</x:v>
      </x:c>
      <x:c r="J531" s="40" t="n">
        <x:v>1911</x:v>
      </x:c>
      <x:c r="K531" s="24" t="str">
        <x:v>-8 a +8</x:v>
      </x:c>
      <x:c r="L531" s="24" t="str">
        <x:v>até -6</x:v>
      </x:c>
      <x:c r="M531" s="24"/>
      <x:c r="N531" s="24" t="str">
        <x:v>75</x:v>
      </x:c>
      <x:c r="O531" s="24"/>
      <x:c r="P531" s="24"/>
      <x:c r="Q531" s="24" t="str">
        <x:v>DISPONÍVEL</x:v>
      </x:c>
      <x:c r="R531" s="24"/>
      <x:c r="S531" s="24" t="n">
        <x:v>15</x:v>
      </x:c>
      <x:c r="T531" s="24" t="str">
        <x:v>tabela_rodenstock.pdf</x:v>
      </x:c>
      <x:c r="U531" s="24" t="str">
        <x:v>Rodenstock|Mono Plus B.I.G. NORM|Surfaçada|Multigressiv Mono Plus B.I.G. NORM||1.5|1.50|Solitaire Protect|-8 a +8|até -6||75|||15</x:v>
      </x:c>
    </x:row>
    <x:row r="532">
      <x:c r="A532" s="24" t="str">
        <x:v>RD-83C7B9260F72</x:v>
      </x:c>
      <x:c r="B532" s="24" t="str">
        <x:v>Rodenstock</x:v>
      </x:c>
      <x:c r="C532" s="24" t="str">
        <x:v>Mono Plus B.I.G. NORM</x:v>
      </x:c>
      <x:c r="D532" s="24" t="str">
        <x:v>Surfaçada</x:v>
      </x:c>
      <x:c r="E532" s="24" t="str">
        <x:v>Multigressiv Mono Plus B.I.G. NORM</x:v>
      </x:c>
      <x:c r="F532" s="24" t="str">
        <x:v>ColorMatic® 3</x:v>
      </x:c>
      <x:c r="G532" s="24" t="str">
        <x:v>1.54</x:v>
      </x:c>
      <x:c r="H532" s="24" t="str">
        <x:v>1.54</x:v>
      </x:c>
      <x:c r="I532" s="24" t="str">
        <x:v>LayR X-tra Clean</x:v>
      </x:c>
      <x:c r="J532" s="40" t="n">
        <x:v>3841</x:v>
      </x:c>
      <x:c r="K532" s="24" t="str">
        <x:v>-8 a +8</x:v>
      </x:c>
      <x:c r="L532" s="24" t="str">
        <x:v>até -6</x:v>
      </x:c>
      <x:c r="M532" s="24"/>
      <x:c r="N532" s="24" t="str">
        <x:v>75</x:v>
      </x:c>
      <x:c r="O532" s="24"/>
      <x:c r="P532" s="24"/>
      <x:c r="Q532" s="24" t="str">
        <x:v>DISPONÍVEL</x:v>
      </x:c>
      <x:c r="R532" s="24"/>
      <x:c r="S532" s="24" t="n">
        <x:v>15</x:v>
      </x:c>
      <x:c r="T532" s="24" t="str">
        <x:v>tabela_rodenstock.pdf</x:v>
      </x:c>
      <x:c r="U532" s="24" t="str">
        <x:v>Rodenstock|Mono Plus B.I.G. NORM|Surfaçada|Multigressiv Mono Plus B.I.G. NORM|ColorMatic® 3|1.54|1.54|LayR X-tra Clean|-8 a +8|até -6||75|||15</x:v>
      </x:c>
    </x:row>
    <x:row r="533">
      <x:c r="A533" s="24" t="str">
        <x:v>RD-D4E907F1516A</x:v>
      </x:c>
      <x:c r="B533" s="24" t="str">
        <x:v>Rodenstock</x:v>
      </x:c>
      <x:c r="C533" s="24" t="str">
        <x:v>Mono Plus B.I.G. NORM</x:v>
      </x:c>
      <x:c r="D533" s="24" t="str">
        <x:v>Surfaçada</x:v>
      </x:c>
      <x:c r="E533" s="24" t="str">
        <x:v>Multigressiv Mono Plus B.I.G. NORM</x:v>
      </x:c>
      <x:c r="F533" s="24" t="str">
        <x:v>ColorMatic® 3</x:v>
      </x:c>
      <x:c r="G533" s="24" t="str">
        <x:v>1.54</x:v>
      </x:c>
      <x:c r="H533" s="24" t="str">
        <x:v>1.54</x:v>
      </x:c>
      <x:c r="I533" s="24" t="str">
        <x:v>LayR Balance</x:v>
      </x:c>
      <x:c r="J533" s="40" t="n">
        <x:v>3841</x:v>
      </x:c>
      <x:c r="K533" s="24" t="str">
        <x:v>-8 a +8</x:v>
      </x:c>
      <x:c r="L533" s="24" t="str">
        <x:v>até -6</x:v>
      </x:c>
      <x:c r="M533" s="24"/>
      <x:c r="N533" s="24" t="str">
        <x:v>75</x:v>
      </x:c>
      <x:c r="O533" s="24"/>
      <x:c r="P533" s="24"/>
      <x:c r="Q533" s="24" t="str">
        <x:v>DISPONÍVEL</x:v>
      </x:c>
      <x:c r="R533" s="24"/>
      <x:c r="S533" s="24" t="n">
        <x:v>15</x:v>
      </x:c>
      <x:c r="T533" s="24" t="str">
        <x:v>tabela_rodenstock.pdf</x:v>
      </x:c>
      <x:c r="U533" s="24" t="str">
        <x:v>Rodenstock|Mono Plus B.I.G. NORM|Surfaçada|Multigressiv Mono Plus B.I.G. NORM|ColorMatic® 3|1.54|1.54|LayR Balance|-8 a +8|até -6||75|||15</x:v>
      </x:c>
    </x:row>
    <x:row r="534">
      <x:c r="A534" s="24" t="str">
        <x:v>RD-98EAD03E52D6</x:v>
      </x:c>
      <x:c r="B534" s="24" t="str">
        <x:v>Rodenstock</x:v>
      </x:c>
      <x:c r="C534" s="24" t="str">
        <x:v>Mono Plus B.I.G. NORM</x:v>
      </x:c>
      <x:c r="D534" s="24" t="str">
        <x:v>Surfaçada</x:v>
      </x:c>
      <x:c r="E534" s="24" t="str">
        <x:v>Multigressiv Mono Plus B.I.G. NORM</x:v>
      </x:c>
      <x:c r="F534" s="24" t="str">
        <x:v>ColorMatic® 3</x:v>
      </x:c>
      <x:c r="G534" s="24" t="str">
        <x:v>1.54</x:v>
      </x:c>
      <x:c r="H534" s="24" t="str">
        <x:v>1.54</x:v>
      </x:c>
      <x:c r="I534" s="24" t="str">
        <x:v>Solitaire X-tra Clean</x:v>
      </x:c>
      <x:c r="J534" s="40" t="n">
        <x:v>3771</x:v>
      </x:c>
      <x:c r="K534" s="24" t="str">
        <x:v>-8 a +8</x:v>
      </x:c>
      <x:c r="L534" s="24" t="str">
        <x:v>até -6</x:v>
      </x:c>
      <x:c r="M534" s="24"/>
      <x:c r="N534" s="24" t="str">
        <x:v>75</x:v>
      </x:c>
      <x:c r="O534" s="24"/>
      <x:c r="P534" s="24"/>
      <x:c r="Q534" s="24" t="str">
        <x:v>DISPONÍVEL</x:v>
      </x:c>
      <x:c r="R534" s="24"/>
      <x:c r="S534" s="24" t="n">
        <x:v>15</x:v>
      </x:c>
      <x:c r="T534" s="24" t="str">
        <x:v>tabela_rodenstock.pdf</x:v>
      </x:c>
      <x:c r="U534" s="24" t="str">
        <x:v>Rodenstock|Mono Plus B.I.G. NORM|Surfaçada|Multigressiv Mono Plus B.I.G. NORM|ColorMatic® 3|1.54|1.54|Solitaire X-tra Clean|-8 a +8|até -6||75|||15</x:v>
      </x:c>
    </x:row>
    <x:row r="535">
      <x:c r="A535" s="24" t="str">
        <x:v>RD-89328CA2445A</x:v>
      </x:c>
      <x:c r="B535" s="24" t="str">
        <x:v>Rodenstock</x:v>
      </x:c>
      <x:c r="C535" s="24" t="str">
        <x:v>Mono Plus B.I.G. NORM</x:v>
      </x:c>
      <x:c r="D535" s="24" t="str">
        <x:v>Surfaçada</x:v>
      </x:c>
      <x:c r="E535" s="24" t="str">
        <x:v>Multigressiv Mono Plus B.I.G. NORM</x:v>
      </x:c>
      <x:c r="F535" s="24" t="str">
        <x:v>ColorMatic® 3</x:v>
      </x:c>
      <x:c r="G535" s="24" t="str">
        <x:v>1.54</x:v>
      </x:c>
      <x:c r="H535" s="24" t="str">
        <x:v>1.54</x:v>
      </x:c>
      <x:c r="I535" s="24" t="str">
        <x:v>Solitaire Protect Plus</x:v>
      </x:c>
      <x:c r="J535" s="40" t="n">
        <x:v>3721</x:v>
      </x:c>
      <x:c r="K535" s="24" t="str">
        <x:v>-8 a +8</x:v>
      </x:c>
      <x:c r="L535" s="24" t="str">
        <x:v>até -6</x:v>
      </x:c>
      <x:c r="M535" s="24"/>
      <x:c r="N535" s="24" t="str">
        <x:v>75</x:v>
      </x:c>
      <x:c r="O535" s="24"/>
      <x:c r="P535" s="24"/>
      <x:c r="Q535" s="24" t="str">
        <x:v>DISPONÍVEL</x:v>
      </x:c>
      <x:c r="R535" s="24"/>
      <x:c r="S535" s="24" t="n">
        <x:v>15</x:v>
      </x:c>
      <x:c r="T535" s="24" t="str">
        <x:v>tabela_rodenstock.pdf</x:v>
      </x:c>
      <x:c r="U535" s="24" t="str">
        <x:v>Rodenstock|Mono Plus B.I.G. NORM|Surfaçada|Multigressiv Mono Plus B.I.G. NORM|ColorMatic® 3|1.54|1.54|Solitaire Protect Plus|-8 a +8|até -6||75|||15</x:v>
      </x:c>
    </x:row>
    <x:row r="536">
      <x:c r="A536" s="24" t="str">
        <x:v>RD-23C0873D9E3E</x:v>
      </x:c>
      <x:c r="B536" s="24" t="str">
        <x:v>Rodenstock</x:v>
      </x:c>
      <x:c r="C536" s="24" t="str">
        <x:v>Mono Plus B.I.G. NORM</x:v>
      </x:c>
      <x:c r="D536" s="24" t="str">
        <x:v>Surfaçada</x:v>
      </x:c>
      <x:c r="E536" s="24" t="str">
        <x:v>Multigressiv Mono Plus B.I.G. NORM</x:v>
      </x:c>
      <x:c r="F536" s="24" t="str">
        <x:v>ColorMatic® 3</x:v>
      </x:c>
      <x:c r="G536" s="24" t="str">
        <x:v>1.54</x:v>
      </x:c>
      <x:c r="H536" s="24" t="str">
        <x:v>1.54</x:v>
      </x:c>
      <x:c r="I536" s="24" t="str">
        <x:v>ROAD</x:v>
      </x:c>
      <x:c r="J536" s="40" t="n">
        <x:v>3721</x:v>
      </x:c>
      <x:c r="K536" s="24" t="str">
        <x:v>-8 a +8</x:v>
      </x:c>
      <x:c r="L536" s="24" t="str">
        <x:v>até -6</x:v>
      </x:c>
      <x:c r="M536" s="24"/>
      <x:c r="N536" s="24" t="str">
        <x:v>75</x:v>
      </x:c>
      <x:c r="O536" s="24"/>
      <x:c r="P536" s="24"/>
      <x:c r="Q536" s="24" t="str">
        <x:v>DISPONÍVEL</x:v>
      </x:c>
      <x:c r="R536" s="24"/>
      <x:c r="S536" s="24" t="n">
        <x:v>15</x:v>
      </x:c>
      <x:c r="T536" s="24" t="str">
        <x:v>tabela_rodenstock.pdf</x:v>
      </x:c>
      <x:c r="U536" s="24" t="str">
        <x:v>Rodenstock|Mono Plus B.I.G. NORM|Surfaçada|Multigressiv Mono Plus B.I.G. NORM|ColorMatic® 3|1.54|1.54|ROAD|-8 a +8|até -6||75|||15</x:v>
      </x:c>
    </x:row>
    <x:row r="537">
      <x:c r="A537" s="24" t="str">
        <x:v>RD-956029977163</x:v>
      </x:c>
      <x:c r="B537" s="24" t="str">
        <x:v>Rodenstock</x:v>
      </x:c>
      <x:c r="C537" s="24" t="str">
        <x:v>Mono Plus B.I.G. NORM</x:v>
      </x:c>
      <x:c r="D537" s="24" t="str">
        <x:v>Surfaçada</x:v>
      </x:c>
      <x:c r="E537" s="24" t="str">
        <x:v>Multigressiv Mono Plus B.I.G. NORM</x:v>
      </x:c>
      <x:c r="F537" s="24" t="str">
        <x:v>ColorMatic® 3</x:v>
      </x:c>
      <x:c r="G537" s="24" t="str">
        <x:v>1.54</x:v>
      </x:c>
      <x:c r="H537" s="24" t="str">
        <x:v>1.54</x:v>
      </x:c>
      <x:c r="I537" s="24" t="str">
        <x:v>Solitaire Protect</x:v>
      </x:c>
      <x:c r="J537" s="40" t="n">
        <x:v>3461</x:v>
      </x:c>
      <x:c r="K537" s="24" t="str">
        <x:v>-8 a +8</x:v>
      </x:c>
      <x:c r="L537" s="24" t="str">
        <x:v>até -6</x:v>
      </x:c>
      <x:c r="M537" s="24"/>
      <x:c r="N537" s="24" t="str">
        <x:v>75</x:v>
      </x:c>
      <x:c r="O537" s="24"/>
      <x:c r="P537" s="24"/>
      <x:c r="Q537" s="24" t="str">
        <x:v>DISPONÍVEL</x:v>
      </x:c>
      <x:c r="R537" s="24"/>
      <x:c r="S537" s="24" t="n">
        <x:v>15</x:v>
      </x:c>
      <x:c r="T537" s="24" t="str">
        <x:v>tabela_rodenstock.pdf</x:v>
      </x:c>
      <x:c r="U537" s="24" t="str">
        <x:v>Rodenstock|Mono Plus B.I.G. NORM|Surfaçada|Multigressiv Mono Plus B.I.G. NORM|ColorMatic® 3|1.54|1.54|Solitaire Protect|-8 a +8|até -6||75|||15</x:v>
      </x:c>
    </x:row>
    <x:row r="538">
      <x:c r="A538" s="24" t="str">
        <x:v>RD-5453774B45B3</x:v>
      </x:c>
      <x:c r="B538" s="24" t="str">
        <x:v>Rodenstock</x:v>
      </x:c>
      <x:c r="C538" s="24" t="str">
        <x:v>Mono Plus B.I.G. NORM</x:v>
      </x:c>
      <x:c r="D538" s="24" t="str">
        <x:v>Surfaçada</x:v>
      </x:c>
      <x:c r="E538" s="24" t="str">
        <x:v>Multigressiv Mono Plus B.I.G. NORM</x:v>
      </x:c>
      <x:c r="F538" s="24"/>
      <x:c r="G538" s="24" t="str">
        <x:v>1.6</x:v>
      </x:c>
      <x:c r="H538" s="24" t="str">
        <x:v>1.60</x:v>
      </x:c>
      <x:c r="I538" s="24" t="str">
        <x:v>LayR X-tra Clean</x:v>
      </x:c>
      <x:c r="J538" s="40" t="n">
        <x:v>2844</x:v>
      </x:c>
      <x:c r="K538" s="24" t="str">
        <x:v>-10 a +10</x:v>
      </x:c>
      <x:c r="L538" s="24" t="str">
        <x:v>até -6</x:v>
      </x:c>
      <x:c r="M538" s="24"/>
      <x:c r="N538" s="24" t="str">
        <x:v>75</x:v>
      </x:c>
      <x:c r="O538" s="24"/>
      <x:c r="P538" s="24"/>
      <x:c r="Q538" s="24" t="str">
        <x:v>DISPONÍVEL</x:v>
      </x:c>
      <x:c r="R538" s="24"/>
      <x:c r="S538" s="24" t="n">
        <x:v>15</x:v>
      </x:c>
      <x:c r="T538" s="24" t="str">
        <x:v>tabela_rodenstock.pdf</x:v>
      </x:c>
      <x:c r="U538" s="24" t="str">
        <x:v>Rodenstock|Mono Plus B.I.G. NORM|Surfaçada|Multigressiv Mono Plus B.I.G. NORM||1.6|1.60|LayR X-tra Clean|-10 a +10|até -6||75|||15</x:v>
      </x:c>
    </x:row>
    <x:row r="539">
      <x:c r="A539" s="24" t="str">
        <x:v>RD-8912C34B5533</x:v>
      </x:c>
      <x:c r="B539" s="24" t="str">
        <x:v>Rodenstock</x:v>
      </x:c>
      <x:c r="C539" s="24" t="str">
        <x:v>Mono Plus B.I.G. NORM</x:v>
      </x:c>
      <x:c r="D539" s="24" t="str">
        <x:v>Surfaçada</x:v>
      </x:c>
      <x:c r="E539" s="24" t="str">
        <x:v>Multigressiv Mono Plus B.I.G. NORM</x:v>
      </x:c>
      <x:c r="F539" s="24"/>
      <x:c r="G539" s="24" t="str">
        <x:v>1.6</x:v>
      </x:c>
      <x:c r="H539" s="24" t="str">
        <x:v>1.60</x:v>
      </x:c>
      <x:c r="I539" s="24" t="str">
        <x:v>LayR Balance</x:v>
      </x:c>
      <x:c r="J539" s="40" t="n">
        <x:v>2844</x:v>
      </x:c>
      <x:c r="K539" s="24" t="str">
        <x:v>-10 a +10</x:v>
      </x:c>
      <x:c r="L539" s="24" t="str">
        <x:v>até -6</x:v>
      </x:c>
      <x:c r="M539" s="24"/>
      <x:c r="N539" s="24" t="str">
        <x:v>75</x:v>
      </x:c>
      <x:c r="O539" s="24"/>
      <x:c r="P539" s="24"/>
      <x:c r="Q539" s="24" t="str">
        <x:v>DISPONÍVEL</x:v>
      </x:c>
      <x:c r="R539" s="24"/>
      <x:c r="S539" s="24" t="n">
        <x:v>15</x:v>
      </x:c>
      <x:c r="T539" s="24" t="str">
        <x:v>tabela_rodenstock.pdf</x:v>
      </x:c>
      <x:c r="U539" s="24" t="str">
        <x:v>Rodenstock|Mono Plus B.I.G. NORM|Surfaçada|Multigressiv Mono Plus B.I.G. NORM||1.6|1.60|LayR Balance|-10 a +10|até -6||75|||15</x:v>
      </x:c>
    </x:row>
    <x:row r="540">
      <x:c r="A540" s="24" t="str">
        <x:v>RD-B962EAA38492</x:v>
      </x:c>
      <x:c r="B540" s="24" t="str">
        <x:v>Rodenstock</x:v>
      </x:c>
      <x:c r="C540" s="24" t="str">
        <x:v>Mono Plus B.I.G. NORM</x:v>
      </x:c>
      <x:c r="D540" s="24" t="str">
        <x:v>Surfaçada</x:v>
      </x:c>
      <x:c r="E540" s="24" t="str">
        <x:v>Multigressiv Mono Plus B.I.G. NORM</x:v>
      </x:c>
      <x:c r="F540" s="24"/>
      <x:c r="G540" s="24" t="str">
        <x:v>1.6</x:v>
      </x:c>
      <x:c r="H540" s="24" t="str">
        <x:v>1.60</x:v>
      </x:c>
      <x:c r="I540" s="24" t="str">
        <x:v>Solitaire X-tra Clean</x:v>
      </x:c>
      <x:c r="J540" s="40" t="n">
        <x:v>2774</x:v>
      </x:c>
      <x:c r="K540" s="24" t="str">
        <x:v>-10 a +10</x:v>
      </x:c>
      <x:c r="L540" s="24" t="str">
        <x:v>até -6</x:v>
      </x:c>
      <x:c r="M540" s="24"/>
      <x:c r="N540" s="24" t="str">
        <x:v>75</x:v>
      </x:c>
      <x:c r="O540" s="24"/>
      <x:c r="P540" s="24"/>
      <x:c r="Q540" s="24" t="str">
        <x:v>DISPONÍVEL</x:v>
      </x:c>
      <x:c r="R540" s="24"/>
      <x:c r="S540" s="24" t="n">
        <x:v>15</x:v>
      </x:c>
      <x:c r="T540" s="24" t="str">
        <x:v>tabela_rodenstock.pdf</x:v>
      </x:c>
      <x:c r="U540" s="24" t="str">
        <x:v>Rodenstock|Mono Plus B.I.G. NORM|Surfaçada|Multigressiv Mono Plus B.I.G. NORM||1.6|1.60|Solitaire X-tra Clean|-10 a +10|até -6||75|||15</x:v>
      </x:c>
    </x:row>
    <x:row r="541">
      <x:c r="A541" s="24" t="str">
        <x:v>RD-D388E6F80F51</x:v>
      </x:c>
      <x:c r="B541" s="24" t="str">
        <x:v>Rodenstock</x:v>
      </x:c>
      <x:c r="C541" s="24" t="str">
        <x:v>Mono Plus B.I.G. NORM</x:v>
      </x:c>
      <x:c r="D541" s="24" t="str">
        <x:v>Surfaçada</x:v>
      </x:c>
      <x:c r="E541" s="24" t="str">
        <x:v>Multigressiv Mono Plus B.I.G. NORM</x:v>
      </x:c>
      <x:c r="F541" s="24"/>
      <x:c r="G541" s="24" t="str">
        <x:v>1.6</x:v>
      </x:c>
      <x:c r="H541" s="24" t="str">
        <x:v>1.60</x:v>
      </x:c>
      <x:c r="I541" s="24" t="str">
        <x:v>Solitaire Protect Plus</x:v>
      </x:c>
      <x:c r="J541" s="40" t="n">
        <x:v>2724</x:v>
      </x:c>
      <x:c r="K541" s="24" t="str">
        <x:v>-10 a +10</x:v>
      </x:c>
      <x:c r="L541" s="24" t="str">
        <x:v>até -6</x:v>
      </x:c>
      <x:c r="M541" s="24"/>
      <x:c r="N541" s="24" t="str">
        <x:v>75</x:v>
      </x:c>
      <x:c r="O541" s="24"/>
      <x:c r="P541" s="24"/>
      <x:c r="Q541" s="24" t="str">
        <x:v>DISPONÍVEL</x:v>
      </x:c>
      <x:c r="R541" s="24"/>
      <x:c r="S541" s="24" t="n">
        <x:v>15</x:v>
      </x:c>
      <x:c r="T541" s="24" t="str">
        <x:v>tabela_rodenstock.pdf</x:v>
      </x:c>
      <x:c r="U541" s="24" t="str">
        <x:v>Rodenstock|Mono Plus B.I.G. NORM|Surfaçada|Multigressiv Mono Plus B.I.G. NORM||1.6|1.60|Solitaire Protect Plus|-10 a +10|até -6||75|||15</x:v>
      </x:c>
    </x:row>
    <x:row r="542">
      <x:c r="A542" s="24" t="str">
        <x:v>RD-0572D6DB68E1</x:v>
      </x:c>
      <x:c r="B542" s="24" t="str">
        <x:v>Rodenstock</x:v>
      </x:c>
      <x:c r="C542" s="24" t="str">
        <x:v>Mono Plus B.I.G. NORM</x:v>
      </x:c>
      <x:c r="D542" s="24" t="str">
        <x:v>Surfaçada</x:v>
      </x:c>
      <x:c r="E542" s="24" t="str">
        <x:v>Multigressiv Mono Plus B.I.G. NORM</x:v>
      </x:c>
      <x:c r="F542" s="24"/>
      <x:c r="G542" s="24" t="str">
        <x:v>1.6</x:v>
      </x:c>
      <x:c r="H542" s="24" t="str">
        <x:v>1.60</x:v>
      </x:c>
      <x:c r="I542" s="24" t="str">
        <x:v>ROAD</x:v>
      </x:c>
      <x:c r="J542" s="40" t="n">
        <x:v>2724</x:v>
      </x:c>
      <x:c r="K542" s="24" t="str">
        <x:v>-10 a +10</x:v>
      </x:c>
      <x:c r="L542" s="24" t="str">
        <x:v>até -6</x:v>
      </x:c>
      <x:c r="M542" s="24"/>
      <x:c r="N542" s="24" t="str">
        <x:v>75</x:v>
      </x:c>
      <x:c r="O542" s="24"/>
      <x:c r="P542" s="24"/>
      <x:c r="Q542" s="24" t="str">
        <x:v>DISPONÍVEL</x:v>
      </x:c>
      <x:c r="R542" s="24"/>
      <x:c r="S542" s="24" t="n">
        <x:v>15</x:v>
      </x:c>
      <x:c r="T542" s="24" t="str">
        <x:v>tabela_rodenstock.pdf</x:v>
      </x:c>
      <x:c r="U542" s="24" t="str">
        <x:v>Rodenstock|Mono Plus B.I.G. NORM|Surfaçada|Multigressiv Mono Plus B.I.G. NORM||1.6|1.60|ROAD|-10 a +10|até -6||75|||15</x:v>
      </x:c>
    </x:row>
    <x:row r="543">
      <x:c r="A543" s="24" t="str">
        <x:v>RD-114ADF2733F8</x:v>
      </x:c>
      <x:c r="B543" s="24" t="str">
        <x:v>Rodenstock</x:v>
      </x:c>
      <x:c r="C543" s="24" t="str">
        <x:v>Mono Plus B.I.G. NORM</x:v>
      </x:c>
      <x:c r="D543" s="24" t="str">
        <x:v>Surfaçada</x:v>
      </x:c>
      <x:c r="E543" s="24" t="str">
        <x:v>Multigressiv Mono Plus B.I.G. NORM</x:v>
      </x:c>
      <x:c r="F543" s="24"/>
      <x:c r="G543" s="24" t="str">
        <x:v>1.6</x:v>
      </x:c>
      <x:c r="H543" s="24" t="str">
        <x:v>1.60</x:v>
      </x:c>
      <x:c r="I543" s="24" t="str">
        <x:v>Solitaire Protect</x:v>
      </x:c>
      <x:c r="J543" s="40" t="n">
        <x:v>2464</x:v>
      </x:c>
      <x:c r="K543" s="24" t="str">
        <x:v>-10 a +10</x:v>
      </x:c>
      <x:c r="L543" s="24" t="str">
        <x:v>até -6</x:v>
      </x:c>
      <x:c r="M543" s="24"/>
      <x:c r="N543" s="24" t="str">
        <x:v>75</x:v>
      </x:c>
      <x:c r="O543" s="24"/>
      <x:c r="P543" s="24"/>
      <x:c r="Q543" s="24" t="str">
        <x:v>DISPONÍVEL</x:v>
      </x:c>
      <x:c r="R543" s="24"/>
      <x:c r="S543" s="24" t="n">
        <x:v>15</x:v>
      </x:c>
      <x:c r="T543" s="24" t="str">
        <x:v>tabela_rodenstock.pdf</x:v>
      </x:c>
      <x:c r="U543" s="24" t="str">
        <x:v>Rodenstock|Mono Plus B.I.G. NORM|Surfaçada|Multigressiv Mono Plus B.I.G. NORM||1.6|1.60|Solitaire Protect|-10 a +10|até -6||75|||15</x:v>
      </x:c>
    </x:row>
    <x:row r="544">
      <x:c r="A544" s="24" t="str">
        <x:v>RD-13A4BB9C0808</x:v>
      </x:c>
      <x:c r="B544" s="24" t="str">
        <x:v>Rodenstock</x:v>
      </x:c>
      <x:c r="C544" s="24" t="str">
        <x:v>Mono Plus B.I.G. NORM</x:v>
      </x:c>
      <x:c r="D544" s="24" t="str">
        <x:v>Surfaçada</x:v>
      </x:c>
      <x:c r="E544" s="24" t="str">
        <x:v>Multigressiv Mono Plus B.I.G. NORM</x:v>
      </x:c>
      <x:c r="F544" s="24" t="str">
        <x:v>PRO410</x:v>
      </x:c>
      <x:c r="G544" s="24" t="str">
        <x:v>1.6</x:v>
      </x:c>
      <x:c r="H544" s="24" t="str">
        <x:v>1.60</x:v>
      </x:c>
      <x:c r="I544" s="24" t="str">
        <x:v>LayR X-tra Clean</x:v>
      </x:c>
      <x:c r="J544" s="40" t="n">
        <x:v>2923</x:v>
      </x:c>
      <x:c r="K544" s="24" t="str">
        <x:v>-10 a +10</x:v>
      </x:c>
      <x:c r="L544" s="24" t="str">
        <x:v>até -6</x:v>
      </x:c>
      <x:c r="M544" s="24"/>
      <x:c r="N544" s="24" t="str">
        <x:v>75</x:v>
      </x:c>
      <x:c r="O544" s="24"/>
      <x:c r="P544" s="24"/>
      <x:c r="Q544" s="24" t="str">
        <x:v>DISPONÍVEL</x:v>
      </x:c>
      <x:c r="R544" s="24"/>
      <x:c r="S544" s="24" t="n">
        <x:v>15</x:v>
      </x:c>
      <x:c r="T544" s="24" t="str">
        <x:v>tabela_rodenstock.pdf</x:v>
      </x:c>
      <x:c r="U544" s="24" t="str">
        <x:v>Rodenstock|Mono Plus B.I.G. NORM|Surfaçada|Multigressiv Mono Plus B.I.G. NORM|PRO410|1.6|1.60|LayR X-tra Clean|-10 a +10|até -6||75|||15</x:v>
      </x:c>
    </x:row>
    <x:row r="545">
      <x:c r="A545" s="24" t="str">
        <x:v>RD-E407A3C0A129</x:v>
      </x:c>
      <x:c r="B545" s="24" t="str">
        <x:v>Rodenstock</x:v>
      </x:c>
      <x:c r="C545" s="24" t="str">
        <x:v>Mono Plus B.I.G. NORM</x:v>
      </x:c>
      <x:c r="D545" s="24" t="str">
        <x:v>Surfaçada</x:v>
      </x:c>
      <x:c r="E545" s="24" t="str">
        <x:v>Multigressiv Mono Plus B.I.G. NORM</x:v>
      </x:c>
      <x:c r="F545" s="24" t="str">
        <x:v>PRO410</x:v>
      </x:c>
      <x:c r="G545" s="24" t="str">
        <x:v>1.6</x:v>
      </x:c>
      <x:c r="H545" s="24" t="str">
        <x:v>1.60</x:v>
      </x:c>
      <x:c r="I545" s="24" t="str">
        <x:v>LayR Balance</x:v>
      </x:c>
      <x:c r="J545" s="40" t="n">
        <x:v>2923</x:v>
      </x:c>
      <x:c r="K545" s="24" t="str">
        <x:v>-10 a +10</x:v>
      </x:c>
      <x:c r="L545" s="24" t="str">
        <x:v>até -6</x:v>
      </x:c>
      <x:c r="M545" s="24"/>
      <x:c r="N545" s="24" t="str">
        <x:v>75</x:v>
      </x:c>
      <x:c r="O545" s="24"/>
      <x:c r="P545" s="24"/>
      <x:c r="Q545" s="24" t="str">
        <x:v>DISPONÍVEL</x:v>
      </x:c>
      <x:c r="R545" s="24"/>
      <x:c r="S545" s="24" t="n">
        <x:v>15</x:v>
      </x:c>
      <x:c r="T545" s="24" t="str">
        <x:v>tabela_rodenstock.pdf</x:v>
      </x:c>
      <x:c r="U545" s="24" t="str">
        <x:v>Rodenstock|Mono Plus B.I.G. NORM|Surfaçada|Multigressiv Mono Plus B.I.G. NORM|PRO410|1.6|1.60|LayR Balance|-10 a +10|até -6||75|||15</x:v>
      </x:c>
    </x:row>
    <x:row r="546">
      <x:c r="A546" s="24" t="str">
        <x:v>RD-17A3E7F49C46</x:v>
      </x:c>
      <x:c r="B546" s="24" t="str">
        <x:v>Rodenstock</x:v>
      </x:c>
      <x:c r="C546" s="24" t="str">
        <x:v>Mono Plus B.I.G. NORM</x:v>
      </x:c>
      <x:c r="D546" s="24" t="str">
        <x:v>Surfaçada</x:v>
      </x:c>
      <x:c r="E546" s="24" t="str">
        <x:v>Multigressiv Mono Plus B.I.G. NORM</x:v>
      </x:c>
      <x:c r="F546" s="24" t="str">
        <x:v>PRO410</x:v>
      </x:c>
      <x:c r="G546" s="24" t="str">
        <x:v>1.6</x:v>
      </x:c>
      <x:c r="H546" s="24" t="str">
        <x:v>1.60</x:v>
      </x:c>
      <x:c r="I546" s="24" t="str">
        <x:v>Solitaire X-tra Clean</x:v>
      </x:c>
      <x:c r="J546" s="40" t="n">
        <x:v>2853</x:v>
      </x:c>
      <x:c r="K546" s="24" t="str">
        <x:v>-10 a +10</x:v>
      </x:c>
      <x:c r="L546" s="24" t="str">
        <x:v>até -6</x:v>
      </x:c>
      <x:c r="M546" s="24"/>
      <x:c r="N546" s="24" t="str">
        <x:v>75</x:v>
      </x:c>
      <x:c r="O546" s="24"/>
      <x:c r="P546" s="24"/>
      <x:c r="Q546" s="24" t="str">
        <x:v>DISPONÍVEL</x:v>
      </x:c>
      <x:c r="R546" s="24"/>
      <x:c r="S546" s="24" t="n">
        <x:v>15</x:v>
      </x:c>
      <x:c r="T546" s="24" t="str">
        <x:v>tabela_rodenstock.pdf</x:v>
      </x:c>
      <x:c r="U546" s="24" t="str">
        <x:v>Rodenstock|Mono Plus B.I.G. NORM|Surfaçada|Multigressiv Mono Plus B.I.G. NORM|PRO410|1.6|1.60|Solitaire X-tra Clean|-10 a +10|até -6||75|||15</x:v>
      </x:c>
    </x:row>
    <x:row r="547">
      <x:c r="A547" s="24" t="str">
        <x:v>RD-3FC16040A053</x:v>
      </x:c>
      <x:c r="B547" s="24" t="str">
        <x:v>Rodenstock</x:v>
      </x:c>
      <x:c r="C547" s="24" t="str">
        <x:v>Mono Plus B.I.G. NORM</x:v>
      </x:c>
      <x:c r="D547" s="24" t="str">
        <x:v>Surfaçada</x:v>
      </x:c>
      <x:c r="E547" s="24" t="str">
        <x:v>Multigressiv Mono Plus B.I.G. NORM</x:v>
      </x:c>
      <x:c r="F547" s="24" t="str">
        <x:v>PRO410</x:v>
      </x:c>
      <x:c r="G547" s="24" t="str">
        <x:v>1.6</x:v>
      </x:c>
      <x:c r="H547" s="24" t="str">
        <x:v>1.60</x:v>
      </x:c>
      <x:c r="I547" s="24" t="str">
        <x:v>Solitaire Protect Plus</x:v>
      </x:c>
      <x:c r="J547" s="40" t="n">
        <x:v>2803</x:v>
      </x:c>
      <x:c r="K547" s="24" t="str">
        <x:v>-10 a +10</x:v>
      </x:c>
      <x:c r="L547" s="24" t="str">
        <x:v>até -6</x:v>
      </x:c>
      <x:c r="M547" s="24"/>
      <x:c r="N547" s="24" t="str">
        <x:v>75</x:v>
      </x:c>
      <x:c r="O547" s="24"/>
      <x:c r="P547" s="24"/>
      <x:c r="Q547" s="24" t="str">
        <x:v>DISPONÍVEL</x:v>
      </x:c>
      <x:c r="R547" s="24"/>
      <x:c r="S547" s="24" t="n">
        <x:v>15</x:v>
      </x:c>
      <x:c r="T547" s="24" t="str">
        <x:v>tabela_rodenstock.pdf</x:v>
      </x:c>
      <x:c r="U547" s="24" t="str">
        <x:v>Rodenstock|Mono Plus B.I.G. NORM|Surfaçada|Multigressiv Mono Plus B.I.G. NORM|PRO410|1.6|1.60|Solitaire Protect Plus|-10 a +10|até -6||75|||15</x:v>
      </x:c>
    </x:row>
    <x:row r="548">
      <x:c r="A548" s="24" t="str">
        <x:v>RD-93282972A8EC</x:v>
      </x:c>
      <x:c r="B548" s="24" t="str">
        <x:v>Rodenstock</x:v>
      </x:c>
      <x:c r="C548" s="24" t="str">
        <x:v>Mono Plus B.I.G. NORM</x:v>
      </x:c>
      <x:c r="D548" s="24" t="str">
        <x:v>Surfaçada</x:v>
      </x:c>
      <x:c r="E548" s="24" t="str">
        <x:v>Multigressiv Mono Plus B.I.G. NORM</x:v>
      </x:c>
      <x:c r="F548" s="24" t="str">
        <x:v>PRO410</x:v>
      </x:c>
      <x:c r="G548" s="24" t="str">
        <x:v>1.6</x:v>
      </x:c>
      <x:c r="H548" s="24" t="str">
        <x:v>1.60</x:v>
      </x:c>
      <x:c r="I548" s="24" t="str">
        <x:v>ROAD</x:v>
      </x:c>
      <x:c r="J548" s="40" t="n">
        <x:v>2803</x:v>
      </x:c>
      <x:c r="K548" s="24" t="str">
        <x:v>-10 a +10</x:v>
      </x:c>
      <x:c r="L548" s="24" t="str">
        <x:v>até -6</x:v>
      </x:c>
      <x:c r="M548" s="24"/>
      <x:c r="N548" s="24" t="str">
        <x:v>75</x:v>
      </x:c>
      <x:c r="O548" s="24"/>
      <x:c r="P548" s="24"/>
      <x:c r="Q548" s="24" t="str">
        <x:v>DISPONÍVEL</x:v>
      </x:c>
      <x:c r="R548" s="24"/>
      <x:c r="S548" s="24" t="n">
        <x:v>15</x:v>
      </x:c>
      <x:c r="T548" s="24" t="str">
        <x:v>tabela_rodenstock.pdf</x:v>
      </x:c>
      <x:c r="U548" s="24" t="str">
        <x:v>Rodenstock|Mono Plus B.I.G. NORM|Surfaçada|Multigressiv Mono Plus B.I.G. NORM|PRO410|1.6|1.60|ROAD|-10 a +10|até -6||75|||15</x:v>
      </x:c>
    </x:row>
    <x:row r="549">
      <x:c r="A549" s="24" t="str">
        <x:v>RD-0E18122946AC</x:v>
      </x:c>
      <x:c r="B549" s="24" t="str">
        <x:v>Rodenstock</x:v>
      </x:c>
      <x:c r="C549" s="24" t="str">
        <x:v>Mono Plus B.I.G. NORM</x:v>
      </x:c>
      <x:c r="D549" s="24" t="str">
        <x:v>Surfaçada</x:v>
      </x:c>
      <x:c r="E549" s="24" t="str">
        <x:v>Multigressiv Mono Plus B.I.G. NORM</x:v>
      </x:c>
      <x:c r="F549" s="24" t="str">
        <x:v>PRO410</x:v>
      </x:c>
      <x:c r="G549" s="24" t="str">
        <x:v>1.6</x:v>
      </x:c>
      <x:c r="H549" s="24" t="str">
        <x:v>1.60</x:v>
      </x:c>
      <x:c r="I549" s="24" t="str">
        <x:v>Solitaire Protect</x:v>
      </x:c>
      <x:c r="J549" s="40" t="n">
        <x:v>2543</x:v>
      </x:c>
      <x:c r="K549" s="24" t="str">
        <x:v>-10 a +10</x:v>
      </x:c>
      <x:c r="L549" s="24" t="str">
        <x:v>até -6</x:v>
      </x:c>
      <x:c r="M549" s="24"/>
      <x:c r="N549" s="24" t="str">
        <x:v>75</x:v>
      </x:c>
      <x:c r="O549" s="24"/>
      <x:c r="P549" s="24"/>
      <x:c r="Q549" s="24" t="str">
        <x:v>DISPONÍVEL</x:v>
      </x:c>
      <x:c r="R549" s="24"/>
      <x:c r="S549" s="24" t="n">
        <x:v>15</x:v>
      </x:c>
      <x:c r="T549" s="24" t="str">
        <x:v>tabela_rodenstock.pdf</x:v>
      </x:c>
      <x:c r="U549" s="24" t="str">
        <x:v>Rodenstock|Mono Plus B.I.G. NORM|Surfaçada|Multigressiv Mono Plus B.I.G. NORM|PRO410|1.6|1.60|Solitaire Protect|-10 a +10|até -6||75|||15</x:v>
      </x:c>
    </x:row>
    <x:row r="550">
      <x:c r="A550" s="24" t="str">
        <x:v>RD-40B4B6D578BC</x:v>
      </x:c>
      <x:c r="B550" s="24" t="str">
        <x:v>Rodenstock</x:v>
      </x:c>
      <x:c r="C550" s="24" t="str">
        <x:v>Mono Plus B.I.G. NORM</x:v>
      </x:c>
      <x:c r="D550" s="24" t="str">
        <x:v>Surfaçada</x:v>
      </x:c>
      <x:c r="E550" s="24" t="str">
        <x:v>Multigressiv Mono Plus B.I.G. NORM</x:v>
      </x:c>
      <x:c r="F550" s="24" t="str">
        <x:v>ColorMatic® 3 | X</x:v>
      </x:c>
      <x:c r="G550" s="24" t="str">
        <x:v>1.6</x:v>
      </x:c>
      <x:c r="H550" s="24" t="str">
        <x:v>1.60</x:v>
      </x:c>
      <x:c r="I550" s="24" t="str">
        <x:v>LayR X-tra Clean</x:v>
      </x:c>
      <x:c r="J550" s="40" t="n">
        <x:v>4104</x:v>
      </x:c>
      <x:c r="K550" s="24" t="str">
        <x:v>-10 a +10</x:v>
      </x:c>
      <x:c r="L550" s="24" t="str">
        <x:v>até -6</x:v>
      </x:c>
      <x:c r="M550" s="24"/>
      <x:c r="N550" s="24" t="str">
        <x:v>75</x:v>
      </x:c>
      <x:c r="O550" s="24"/>
      <x:c r="P550" s="24"/>
      <x:c r="Q550" s="24" t="str">
        <x:v>DISPONÍVEL</x:v>
      </x:c>
      <x:c r="R550" s="24"/>
      <x:c r="S550" s="24" t="n">
        <x:v>15</x:v>
      </x:c>
      <x:c r="T550" s="24" t="str">
        <x:v>tabela_rodenstock.pdf</x:v>
      </x:c>
      <x:c r="U550" s="24" t="str">
        <x:v>Rodenstock|Mono Plus B.I.G. NORM|Surfaçada|Multigressiv Mono Plus B.I.G. NORM|ColorMatic® 3 | X|1.6|1.60|LayR X-tra Clean|-10 a +10|até -6||75|||15</x:v>
      </x:c>
    </x:row>
    <x:row r="551">
      <x:c r="A551" s="24" t="str">
        <x:v>RD-63B2BD6BEDA3</x:v>
      </x:c>
      <x:c r="B551" s="24" t="str">
        <x:v>Rodenstock</x:v>
      </x:c>
      <x:c r="C551" s="24" t="str">
        <x:v>Mono Plus B.I.G. NORM</x:v>
      </x:c>
      <x:c r="D551" s="24" t="str">
        <x:v>Surfaçada</x:v>
      </x:c>
      <x:c r="E551" s="24" t="str">
        <x:v>Multigressiv Mono Plus B.I.G. NORM</x:v>
      </x:c>
      <x:c r="F551" s="24" t="str">
        <x:v>ColorMatic® 3 | X</x:v>
      </x:c>
      <x:c r="G551" s="24" t="str">
        <x:v>1.6</x:v>
      </x:c>
      <x:c r="H551" s="24" t="str">
        <x:v>1.60</x:v>
      </x:c>
      <x:c r="I551" s="24" t="str">
        <x:v>LayR Balance</x:v>
      </x:c>
      <x:c r="J551" s="40" t="n">
        <x:v>4104</x:v>
      </x:c>
      <x:c r="K551" s="24" t="str">
        <x:v>-10 a +10</x:v>
      </x:c>
      <x:c r="L551" s="24" t="str">
        <x:v>até -6</x:v>
      </x:c>
      <x:c r="M551" s="24"/>
      <x:c r="N551" s="24" t="str">
        <x:v>75</x:v>
      </x:c>
      <x:c r="O551" s="24"/>
      <x:c r="P551" s="24"/>
      <x:c r="Q551" s="24" t="str">
        <x:v>DISPONÍVEL</x:v>
      </x:c>
      <x:c r="R551" s="24"/>
      <x:c r="S551" s="24" t="n">
        <x:v>15</x:v>
      </x:c>
      <x:c r="T551" s="24" t="str">
        <x:v>tabela_rodenstock.pdf</x:v>
      </x:c>
      <x:c r="U551" s="24" t="str">
        <x:v>Rodenstock|Mono Plus B.I.G. NORM|Surfaçada|Multigressiv Mono Plus B.I.G. NORM|ColorMatic® 3 | X|1.6|1.60|LayR Balance|-10 a +10|até -6||75|||15</x:v>
      </x:c>
    </x:row>
    <x:row r="552">
      <x:c r="A552" s="24" t="str">
        <x:v>RD-70A1DF77C3F0</x:v>
      </x:c>
      <x:c r="B552" s="24" t="str">
        <x:v>Rodenstock</x:v>
      </x:c>
      <x:c r="C552" s="24" t="str">
        <x:v>Mono Plus B.I.G. NORM</x:v>
      </x:c>
      <x:c r="D552" s="24" t="str">
        <x:v>Surfaçada</x:v>
      </x:c>
      <x:c r="E552" s="24" t="str">
        <x:v>Multigressiv Mono Plus B.I.G. NORM</x:v>
      </x:c>
      <x:c r="F552" s="24" t="str">
        <x:v>ColorMatic® 3 | X</x:v>
      </x:c>
      <x:c r="G552" s="24" t="str">
        <x:v>1.6</x:v>
      </x:c>
      <x:c r="H552" s="24" t="str">
        <x:v>1.60</x:v>
      </x:c>
      <x:c r="I552" s="24" t="str">
        <x:v>Solitaire X-tra Clean</x:v>
      </x:c>
      <x:c r="J552" s="40" t="n">
        <x:v>4034</x:v>
      </x:c>
      <x:c r="K552" s="24" t="str">
        <x:v>-10 a +10</x:v>
      </x:c>
      <x:c r="L552" s="24" t="str">
        <x:v>até -6</x:v>
      </x:c>
      <x:c r="M552" s="24"/>
      <x:c r="N552" s="24" t="str">
        <x:v>75</x:v>
      </x:c>
      <x:c r="O552" s="24"/>
      <x:c r="P552" s="24"/>
      <x:c r="Q552" s="24" t="str">
        <x:v>DISPONÍVEL</x:v>
      </x:c>
      <x:c r="R552" s="24"/>
      <x:c r="S552" s="24" t="n">
        <x:v>15</x:v>
      </x:c>
      <x:c r="T552" s="24" t="str">
        <x:v>tabela_rodenstock.pdf</x:v>
      </x:c>
      <x:c r="U552" s="24" t="str">
        <x:v>Rodenstock|Mono Plus B.I.G. NORM|Surfaçada|Multigressiv Mono Plus B.I.G. NORM|ColorMatic® 3 | X|1.6|1.60|Solitaire X-tra Clean|-10 a +10|até -6||75|||15</x:v>
      </x:c>
    </x:row>
    <x:row r="553">
      <x:c r="A553" s="24" t="str">
        <x:v>RD-477928C428BB</x:v>
      </x:c>
      <x:c r="B553" s="24" t="str">
        <x:v>Rodenstock</x:v>
      </x:c>
      <x:c r="C553" s="24" t="str">
        <x:v>Mono Plus B.I.G. NORM</x:v>
      </x:c>
      <x:c r="D553" s="24" t="str">
        <x:v>Surfaçada</x:v>
      </x:c>
      <x:c r="E553" s="24" t="str">
        <x:v>Multigressiv Mono Plus B.I.G. NORM</x:v>
      </x:c>
      <x:c r="F553" s="24" t="str">
        <x:v>ColorMatic® 3 | X</x:v>
      </x:c>
      <x:c r="G553" s="24" t="str">
        <x:v>1.6</x:v>
      </x:c>
      <x:c r="H553" s="24" t="str">
        <x:v>1.60</x:v>
      </x:c>
      <x:c r="I553" s="24" t="str">
        <x:v>Solitaire Protect Plus</x:v>
      </x:c>
      <x:c r="J553" s="40" t="n">
        <x:v>3984</x:v>
      </x:c>
      <x:c r="K553" s="24" t="str">
        <x:v>-10 a +10</x:v>
      </x:c>
      <x:c r="L553" s="24" t="str">
        <x:v>até -6</x:v>
      </x:c>
      <x:c r="M553" s="24"/>
      <x:c r="N553" s="24" t="str">
        <x:v>75</x:v>
      </x:c>
      <x:c r="O553" s="24"/>
      <x:c r="P553" s="24"/>
      <x:c r="Q553" s="24" t="str">
        <x:v>DISPONÍVEL</x:v>
      </x:c>
      <x:c r="R553" s="24"/>
      <x:c r="S553" s="24" t="n">
        <x:v>15</x:v>
      </x:c>
      <x:c r="T553" s="24" t="str">
        <x:v>tabela_rodenstock.pdf</x:v>
      </x:c>
      <x:c r="U553" s="24" t="str">
        <x:v>Rodenstock|Mono Plus B.I.G. NORM|Surfaçada|Multigressiv Mono Plus B.I.G. NORM|ColorMatic® 3 | X|1.6|1.60|Solitaire Protect Plus|-10 a +10|até -6||75|||15</x:v>
      </x:c>
    </x:row>
    <x:row r="554">
      <x:c r="A554" s="24" t="str">
        <x:v>RD-D37D7DD58B8D</x:v>
      </x:c>
      <x:c r="B554" s="24" t="str">
        <x:v>Rodenstock</x:v>
      </x:c>
      <x:c r="C554" s="24" t="str">
        <x:v>Mono Plus B.I.G. NORM</x:v>
      </x:c>
      <x:c r="D554" s="24" t="str">
        <x:v>Surfaçada</x:v>
      </x:c>
      <x:c r="E554" s="24" t="str">
        <x:v>Multigressiv Mono Plus B.I.G. NORM</x:v>
      </x:c>
      <x:c r="F554" s="24" t="str">
        <x:v>ColorMatic® 3 | X</x:v>
      </x:c>
      <x:c r="G554" s="24" t="str">
        <x:v>1.6</x:v>
      </x:c>
      <x:c r="H554" s="24" t="str">
        <x:v>1.60</x:v>
      </x:c>
      <x:c r="I554" s="24" t="str">
        <x:v>ROAD</x:v>
      </x:c>
      <x:c r="J554" s="40" t="n">
        <x:v>3984</x:v>
      </x:c>
      <x:c r="K554" s="24" t="str">
        <x:v>-10 a +10</x:v>
      </x:c>
      <x:c r="L554" s="24" t="str">
        <x:v>até -6</x:v>
      </x:c>
      <x:c r="M554" s="24"/>
      <x:c r="N554" s="24" t="str">
        <x:v>75</x:v>
      </x:c>
      <x:c r="O554" s="24"/>
      <x:c r="P554" s="24"/>
      <x:c r="Q554" s="24" t="str">
        <x:v>DISPONÍVEL</x:v>
      </x:c>
      <x:c r="R554" s="24"/>
      <x:c r="S554" s="24" t="n">
        <x:v>15</x:v>
      </x:c>
      <x:c r="T554" s="24" t="str">
        <x:v>tabela_rodenstock.pdf</x:v>
      </x:c>
      <x:c r="U554" s="24" t="str">
        <x:v>Rodenstock|Mono Plus B.I.G. NORM|Surfaçada|Multigressiv Mono Plus B.I.G. NORM|ColorMatic® 3 | X|1.6|1.60|ROAD|-10 a +10|até -6||75|||15</x:v>
      </x:c>
    </x:row>
    <x:row r="555">
      <x:c r="A555" s="24" t="str">
        <x:v>RD-9BE3A381C90E</x:v>
      </x:c>
      <x:c r="B555" s="24" t="str">
        <x:v>Rodenstock</x:v>
      </x:c>
      <x:c r="C555" s="24" t="str">
        <x:v>Mono Plus B.I.G. NORM</x:v>
      </x:c>
      <x:c r="D555" s="24" t="str">
        <x:v>Surfaçada</x:v>
      </x:c>
      <x:c r="E555" s="24" t="str">
        <x:v>Multigressiv Mono Plus B.I.G. NORM</x:v>
      </x:c>
      <x:c r="F555" s="24" t="str">
        <x:v>ColorMatic® 3 | X</x:v>
      </x:c>
      <x:c r="G555" s="24" t="str">
        <x:v>1.6</x:v>
      </x:c>
      <x:c r="H555" s="24" t="str">
        <x:v>1.60</x:v>
      </x:c>
      <x:c r="I555" s="24" t="str">
        <x:v>Solitaire Protect</x:v>
      </x:c>
      <x:c r="J555" s="40" t="n">
        <x:v>3724</x:v>
      </x:c>
      <x:c r="K555" s="24" t="str">
        <x:v>-10 a +10</x:v>
      </x:c>
      <x:c r="L555" s="24" t="str">
        <x:v>até -6</x:v>
      </x:c>
      <x:c r="M555" s="24"/>
      <x:c r="N555" s="24" t="str">
        <x:v>75</x:v>
      </x:c>
      <x:c r="O555" s="24"/>
      <x:c r="P555" s="24"/>
      <x:c r="Q555" s="24" t="str">
        <x:v>DISPONÍVEL</x:v>
      </x:c>
      <x:c r="R555" s="24"/>
      <x:c r="S555" s="24" t="n">
        <x:v>15</x:v>
      </x:c>
      <x:c r="T555" s="24" t="str">
        <x:v>tabela_rodenstock.pdf</x:v>
      </x:c>
      <x:c r="U555" s="24" t="str">
        <x:v>Rodenstock|Mono Plus B.I.G. NORM|Surfaçada|Multigressiv Mono Plus B.I.G. NORM|ColorMatic® 3 | X|1.6|1.60|Solitaire Protect|-10 a +10|até -6||75|||15</x:v>
      </x:c>
    </x:row>
    <x:row r="556">
      <x:c r="A556" s="24" t="str">
        <x:v>RD-3014D339B588</x:v>
      </x:c>
      <x:c r="B556" s="24" t="str">
        <x:v>Rodenstock</x:v>
      </x:c>
      <x:c r="C556" s="24" t="str">
        <x:v>Mono Plus B.I.G. NORM</x:v>
      </x:c>
      <x:c r="D556" s="24" t="str">
        <x:v>Surfaçada</x:v>
      </x:c>
      <x:c r="E556" s="24" t="str">
        <x:v>Multigressiv Mono Plus B.I.G. NORM</x:v>
      </x:c>
      <x:c r="F556" s="24"/>
      <x:c r="G556" s="24" t="str">
        <x:v>1.67</x:v>
      </x:c>
      <x:c r="H556" s="24" t="str">
        <x:v>1.67</x:v>
      </x:c>
      <x:c r="I556" s="24" t="str">
        <x:v>LayR X-tra Clean</x:v>
      </x:c>
      <x:c r="J556" s="40" t="n">
        <x:v>3906</x:v>
      </x:c>
      <x:c r="K556" s="24" t="str">
        <x:v>-12 a +10</x:v>
      </x:c>
      <x:c r="L556" s="24" t="str">
        <x:v>até -6</x:v>
      </x:c>
      <x:c r="M556" s="24"/>
      <x:c r="N556" s="24" t="str">
        <x:v>75</x:v>
      </x:c>
      <x:c r="O556" s="24"/>
      <x:c r="P556" s="24"/>
      <x:c r="Q556" s="24" t="str">
        <x:v>DISPONÍVEL</x:v>
      </x:c>
      <x:c r="R556" s="24"/>
      <x:c r="S556" s="24" t="n">
        <x:v>15</x:v>
      </x:c>
      <x:c r="T556" s="24" t="str">
        <x:v>tabela_rodenstock.pdf</x:v>
      </x:c>
      <x:c r="U556" s="24" t="str">
        <x:v>Rodenstock|Mono Plus B.I.G. NORM|Surfaçada|Multigressiv Mono Plus B.I.G. NORM||1.67|1.67|LayR X-tra Clean|-12 a +10|até -6||75|||15</x:v>
      </x:c>
    </x:row>
    <x:row r="557">
      <x:c r="A557" s="24" t="str">
        <x:v>RD-16D58E4D1087</x:v>
      </x:c>
      <x:c r="B557" s="24" t="str">
        <x:v>Rodenstock</x:v>
      </x:c>
      <x:c r="C557" s="24" t="str">
        <x:v>Mono Plus B.I.G. NORM</x:v>
      </x:c>
      <x:c r="D557" s="24" t="str">
        <x:v>Surfaçada</x:v>
      </x:c>
      <x:c r="E557" s="24" t="str">
        <x:v>Multigressiv Mono Plus B.I.G. NORM</x:v>
      </x:c>
      <x:c r="F557" s="24"/>
      <x:c r="G557" s="24" t="str">
        <x:v>1.67</x:v>
      </x:c>
      <x:c r="H557" s="24" t="str">
        <x:v>1.67</x:v>
      </x:c>
      <x:c r="I557" s="24" t="str">
        <x:v>LayR Balance</x:v>
      </x:c>
      <x:c r="J557" s="40" t="n">
        <x:v>3906</x:v>
      </x:c>
      <x:c r="K557" s="24" t="str">
        <x:v>-12 a +10</x:v>
      </x:c>
      <x:c r="L557" s="24" t="str">
        <x:v>até -6</x:v>
      </x:c>
      <x:c r="M557" s="24"/>
      <x:c r="N557" s="24" t="str">
        <x:v>75</x:v>
      </x:c>
      <x:c r="O557" s="24"/>
      <x:c r="P557" s="24"/>
      <x:c r="Q557" s="24" t="str">
        <x:v>DISPONÍVEL</x:v>
      </x:c>
      <x:c r="R557" s="24"/>
      <x:c r="S557" s="24" t="n">
        <x:v>15</x:v>
      </x:c>
      <x:c r="T557" s="24" t="str">
        <x:v>tabela_rodenstock.pdf</x:v>
      </x:c>
      <x:c r="U557" s="24" t="str">
        <x:v>Rodenstock|Mono Plus B.I.G. NORM|Surfaçada|Multigressiv Mono Plus B.I.G. NORM||1.67|1.67|LayR Balance|-12 a +10|até -6||75|||15</x:v>
      </x:c>
    </x:row>
    <x:row r="558">
      <x:c r="A558" s="24" t="str">
        <x:v>RD-993A35714F03</x:v>
      </x:c>
      <x:c r="B558" s="24" t="str">
        <x:v>Rodenstock</x:v>
      </x:c>
      <x:c r="C558" s="24" t="str">
        <x:v>Mono Plus B.I.G. NORM</x:v>
      </x:c>
      <x:c r="D558" s="24" t="str">
        <x:v>Surfaçada</x:v>
      </x:c>
      <x:c r="E558" s="24" t="str">
        <x:v>Multigressiv Mono Plus B.I.G. NORM</x:v>
      </x:c>
      <x:c r="F558" s="24"/>
      <x:c r="G558" s="24" t="str">
        <x:v>1.67</x:v>
      </x:c>
      <x:c r="H558" s="24" t="str">
        <x:v>1.67</x:v>
      </x:c>
      <x:c r="I558" s="24" t="str">
        <x:v>Solitaire X-tra Clean</x:v>
      </x:c>
      <x:c r="J558" s="40" t="n">
        <x:v>3836</x:v>
      </x:c>
      <x:c r="K558" s="24" t="str">
        <x:v>-12 a +10</x:v>
      </x:c>
      <x:c r="L558" s="24" t="str">
        <x:v>até -6</x:v>
      </x:c>
      <x:c r="M558" s="24"/>
      <x:c r="N558" s="24" t="str">
        <x:v>75</x:v>
      </x:c>
      <x:c r="O558" s="24"/>
      <x:c r="P558" s="24"/>
      <x:c r="Q558" s="24" t="str">
        <x:v>DISPONÍVEL</x:v>
      </x:c>
      <x:c r="R558" s="24"/>
      <x:c r="S558" s="24" t="n">
        <x:v>15</x:v>
      </x:c>
      <x:c r="T558" s="24" t="str">
        <x:v>tabela_rodenstock.pdf</x:v>
      </x:c>
      <x:c r="U558" s="24" t="str">
        <x:v>Rodenstock|Mono Plus B.I.G. NORM|Surfaçada|Multigressiv Mono Plus B.I.G. NORM||1.67|1.67|Solitaire X-tra Clean|-12 a +10|até -6||75|||15</x:v>
      </x:c>
    </x:row>
    <x:row r="559">
      <x:c r="A559" s="24" t="str">
        <x:v>RD-05143846F27C</x:v>
      </x:c>
      <x:c r="B559" s="24" t="str">
        <x:v>Rodenstock</x:v>
      </x:c>
      <x:c r="C559" s="24" t="str">
        <x:v>Mono Plus B.I.G. NORM</x:v>
      </x:c>
      <x:c r="D559" s="24" t="str">
        <x:v>Surfaçada</x:v>
      </x:c>
      <x:c r="E559" s="24" t="str">
        <x:v>Multigressiv Mono Plus B.I.G. NORM</x:v>
      </x:c>
      <x:c r="F559" s="24"/>
      <x:c r="G559" s="24" t="str">
        <x:v>1.67</x:v>
      </x:c>
      <x:c r="H559" s="24" t="str">
        <x:v>1.67</x:v>
      </x:c>
      <x:c r="I559" s="24" t="str">
        <x:v>Solitaire Protect Plus</x:v>
      </x:c>
      <x:c r="J559" s="40" t="n">
        <x:v>3786</x:v>
      </x:c>
      <x:c r="K559" s="24" t="str">
        <x:v>-12 a +10</x:v>
      </x:c>
      <x:c r="L559" s="24" t="str">
        <x:v>até -6</x:v>
      </x:c>
      <x:c r="M559" s="24"/>
      <x:c r="N559" s="24" t="str">
        <x:v>75</x:v>
      </x:c>
      <x:c r="O559" s="24"/>
      <x:c r="P559" s="24"/>
      <x:c r="Q559" s="24" t="str">
        <x:v>DISPONÍVEL</x:v>
      </x:c>
      <x:c r="R559" s="24"/>
      <x:c r="S559" s="24" t="n">
        <x:v>15</x:v>
      </x:c>
      <x:c r="T559" s="24" t="str">
        <x:v>tabela_rodenstock.pdf</x:v>
      </x:c>
      <x:c r="U559" s="24" t="str">
        <x:v>Rodenstock|Mono Plus B.I.G. NORM|Surfaçada|Multigressiv Mono Plus B.I.G. NORM||1.67|1.67|Solitaire Protect Plus|-12 a +10|até -6||75|||15</x:v>
      </x:c>
    </x:row>
    <x:row r="560">
      <x:c r="A560" s="24" t="str">
        <x:v>RD-EEC6435445FE</x:v>
      </x:c>
      <x:c r="B560" s="24" t="str">
        <x:v>Rodenstock</x:v>
      </x:c>
      <x:c r="C560" s="24" t="str">
        <x:v>Mono Plus B.I.G. NORM</x:v>
      </x:c>
      <x:c r="D560" s="24" t="str">
        <x:v>Surfaçada</x:v>
      </x:c>
      <x:c r="E560" s="24" t="str">
        <x:v>Multigressiv Mono Plus B.I.G. NORM</x:v>
      </x:c>
      <x:c r="F560" s="24"/>
      <x:c r="G560" s="24" t="str">
        <x:v>1.67</x:v>
      </x:c>
      <x:c r="H560" s="24" t="str">
        <x:v>1.67</x:v>
      </x:c>
      <x:c r="I560" s="24" t="str">
        <x:v>ROAD</x:v>
      </x:c>
      <x:c r="J560" s="40" t="n">
        <x:v>3786</x:v>
      </x:c>
      <x:c r="K560" s="24" t="str">
        <x:v>-12 a +10</x:v>
      </x:c>
      <x:c r="L560" s="24" t="str">
        <x:v>até -6</x:v>
      </x:c>
      <x:c r="M560" s="24"/>
      <x:c r="N560" s="24" t="str">
        <x:v>75</x:v>
      </x:c>
      <x:c r="O560" s="24"/>
      <x:c r="P560" s="24"/>
      <x:c r="Q560" s="24" t="str">
        <x:v>DISPONÍVEL</x:v>
      </x:c>
      <x:c r="R560" s="24"/>
      <x:c r="S560" s="24" t="n">
        <x:v>15</x:v>
      </x:c>
      <x:c r="T560" s="24" t="str">
        <x:v>tabela_rodenstock.pdf</x:v>
      </x:c>
      <x:c r="U560" s="24" t="str">
        <x:v>Rodenstock|Mono Plus B.I.G. NORM|Surfaçada|Multigressiv Mono Plus B.I.G. NORM||1.67|1.67|ROAD|-12 a +10|até -6||75|||15</x:v>
      </x:c>
    </x:row>
    <x:row r="561">
      <x:c r="A561" s="24" t="str">
        <x:v>RD-C1E64CD8010B</x:v>
      </x:c>
      <x:c r="B561" s="24" t="str">
        <x:v>Rodenstock</x:v>
      </x:c>
      <x:c r="C561" s="24" t="str">
        <x:v>Mono Plus B.I.G. NORM</x:v>
      </x:c>
      <x:c r="D561" s="24" t="str">
        <x:v>Surfaçada</x:v>
      </x:c>
      <x:c r="E561" s="24" t="str">
        <x:v>Multigressiv Mono Plus B.I.G. NORM</x:v>
      </x:c>
      <x:c r="F561" s="24"/>
      <x:c r="G561" s="24" t="str">
        <x:v>1.67</x:v>
      </x:c>
      <x:c r="H561" s="24" t="str">
        <x:v>1.67</x:v>
      </x:c>
      <x:c r="I561" s="24" t="str">
        <x:v>Solitaire Protect</x:v>
      </x:c>
      <x:c r="J561" s="40" t="n">
        <x:v>3526</x:v>
      </x:c>
      <x:c r="K561" s="24" t="str">
        <x:v>-12 a +10</x:v>
      </x:c>
      <x:c r="L561" s="24" t="str">
        <x:v>até -6</x:v>
      </x:c>
      <x:c r="M561" s="24"/>
      <x:c r="N561" s="24" t="str">
        <x:v>75</x:v>
      </x:c>
      <x:c r="O561" s="24"/>
      <x:c r="P561" s="24"/>
      <x:c r="Q561" s="24" t="str">
        <x:v>DISPONÍVEL</x:v>
      </x:c>
      <x:c r="R561" s="24"/>
      <x:c r="S561" s="24" t="n">
        <x:v>15</x:v>
      </x:c>
      <x:c r="T561" s="24" t="str">
        <x:v>tabela_rodenstock.pdf</x:v>
      </x:c>
      <x:c r="U561" s="24" t="str">
        <x:v>Rodenstock|Mono Plus B.I.G. NORM|Surfaçada|Multigressiv Mono Plus B.I.G. NORM||1.67|1.67|Solitaire Protect|-12 a +10|até -6||75|||15</x:v>
      </x:c>
    </x:row>
    <x:row r="562">
      <x:c r="A562" s="24" t="str">
        <x:v>RD-5FAA8E1D8B8F</x:v>
      </x:c>
      <x:c r="B562" s="24" t="str">
        <x:v>Rodenstock</x:v>
      </x:c>
      <x:c r="C562" s="24" t="str">
        <x:v>Mono Plus B.I.G. NORM</x:v>
      </x:c>
      <x:c r="D562" s="24" t="str">
        <x:v>Surfaçada</x:v>
      </x:c>
      <x:c r="E562" s="24" t="str">
        <x:v>Multigressiv Mono Plus B.I.G. NORM</x:v>
      </x:c>
      <x:c r="F562" s="24" t="str">
        <x:v>ColorMatic® 3</x:v>
      </x:c>
      <x:c r="G562" s="24" t="str">
        <x:v>1.67</x:v>
      </x:c>
      <x:c r="H562" s="24" t="str">
        <x:v>1.67</x:v>
      </x:c>
      <x:c r="I562" s="24" t="str">
        <x:v>LayR X-tra Clean</x:v>
      </x:c>
      <x:c r="J562" s="40" t="n">
        <x:v>5432</x:v>
      </x:c>
      <x:c r="K562" s="24" t="str">
        <x:v>-12 a +10</x:v>
      </x:c>
      <x:c r="L562" s="24" t="str">
        <x:v>até -6</x:v>
      </x:c>
      <x:c r="M562" s="24"/>
      <x:c r="N562" s="24" t="str">
        <x:v>75</x:v>
      </x:c>
      <x:c r="O562" s="24"/>
      <x:c r="P562" s="24"/>
      <x:c r="Q562" s="24" t="str">
        <x:v>DISPONÍVEL</x:v>
      </x:c>
      <x:c r="R562" s="24"/>
      <x:c r="S562" s="24" t="n">
        <x:v>15</x:v>
      </x:c>
      <x:c r="T562" s="24" t="str">
        <x:v>tabela_rodenstock.pdf</x:v>
      </x:c>
      <x:c r="U562" s="24" t="str">
        <x:v>Rodenstock|Mono Plus B.I.G. NORM|Surfaçada|Multigressiv Mono Plus B.I.G. NORM|ColorMatic® 3|1.67|1.67|LayR X-tra Clean|-12 a +10|até -6||75|||15</x:v>
      </x:c>
    </x:row>
    <x:row r="563">
      <x:c r="A563" s="24" t="str">
        <x:v>RD-7C1C777AA9DC</x:v>
      </x:c>
      <x:c r="B563" s="24" t="str">
        <x:v>Rodenstock</x:v>
      </x:c>
      <x:c r="C563" s="24" t="str">
        <x:v>Mono Plus B.I.G. NORM</x:v>
      </x:c>
      <x:c r="D563" s="24" t="str">
        <x:v>Surfaçada</x:v>
      </x:c>
      <x:c r="E563" s="24" t="str">
        <x:v>Multigressiv Mono Plus B.I.G. NORM</x:v>
      </x:c>
      <x:c r="F563" s="24" t="str">
        <x:v>ColorMatic® 3</x:v>
      </x:c>
      <x:c r="G563" s="24" t="str">
        <x:v>1.67</x:v>
      </x:c>
      <x:c r="H563" s="24" t="str">
        <x:v>1.67</x:v>
      </x:c>
      <x:c r="I563" s="24" t="str">
        <x:v>LayR Balance</x:v>
      </x:c>
      <x:c r="J563" s="40" t="n">
        <x:v>5432</x:v>
      </x:c>
      <x:c r="K563" s="24" t="str">
        <x:v>-12 a +10</x:v>
      </x:c>
      <x:c r="L563" s="24" t="str">
        <x:v>até -6</x:v>
      </x:c>
      <x:c r="M563" s="24"/>
      <x:c r="N563" s="24" t="str">
        <x:v>75</x:v>
      </x:c>
      <x:c r="O563" s="24"/>
      <x:c r="P563" s="24"/>
      <x:c r="Q563" s="24" t="str">
        <x:v>DISPONÍVEL</x:v>
      </x:c>
      <x:c r="R563" s="24"/>
      <x:c r="S563" s="24" t="n">
        <x:v>15</x:v>
      </x:c>
      <x:c r="T563" s="24" t="str">
        <x:v>tabela_rodenstock.pdf</x:v>
      </x:c>
      <x:c r="U563" s="24" t="str">
        <x:v>Rodenstock|Mono Plus B.I.G. NORM|Surfaçada|Multigressiv Mono Plus B.I.G. NORM|ColorMatic® 3|1.67|1.67|LayR Balance|-12 a +10|até -6||75|||15</x:v>
      </x:c>
    </x:row>
    <x:row r="564">
      <x:c r="A564" s="24" t="str">
        <x:v>RD-FE39ED3AEC93</x:v>
      </x:c>
      <x:c r="B564" s="24" t="str">
        <x:v>Rodenstock</x:v>
      </x:c>
      <x:c r="C564" s="24" t="str">
        <x:v>Mono Plus B.I.G. NORM</x:v>
      </x:c>
      <x:c r="D564" s="24" t="str">
        <x:v>Surfaçada</x:v>
      </x:c>
      <x:c r="E564" s="24" t="str">
        <x:v>Multigressiv Mono Plus B.I.G. NORM</x:v>
      </x:c>
      <x:c r="F564" s="24" t="str">
        <x:v>ColorMatic® 3</x:v>
      </x:c>
      <x:c r="G564" s="24" t="str">
        <x:v>1.67</x:v>
      </x:c>
      <x:c r="H564" s="24" t="str">
        <x:v>1.67</x:v>
      </x:c>
      <x:c r="I564" s="24" t="str">
        <x:v>Solitaire X-tra Clean</x:v>
      </x:c>
      <x:c r="J564" s="40" t="n">
        <x:v>5362</x:v>
      </x:c>
      <x:c r="K564" s="24" t="str">
        <x:v>-12 a +10</x:v>
      </x:c>
      <x:c r="L564" s="24" t="str">
        <x:v>até -6</x:v>
      </x:c>
      <x:c r="M564" s="24"/>
      <x:c r="N564" s="24" t="str">
        <x:v>75</x:v>
      </x:c>
      <x:c r="O564" s="24"/>
      <x:c r="P564" s="24"/>
      <x:c r="Q564" s="24" t="str">
        <x:v>DISPONÍVEL</x:v>
      </x:c>
      <x:c r="R564" s="24"/>
      <x:c r="S564" s="24" t="n">
        <x:v>15</x:v>
      </x:c>
      <x:c r="T564" s="24" t="str">
        <x:v>tabela_rodenstock.pdf</x:v>
      </x:c>
      <x:c r="U564" s="24" t="str">
        <x:v>Rodenstock|Mono Plus B.I.G. NORM|Surfaçada|Multigressiv Mono Plus B.I.G. NORM|ColorMatic® 3|1.67|1.67|Solitaire X-tra Clean|-12 a +10|até -6||75|||15</x:v>
      </x:c>
    </x:row>
    <x:row r="565">
      <x:c r="A565" s="24" t="str">
        <x:v>RD-C2124D442154</x:v>
      </x:c>
      <x:c r="B565" s="24" t="str">
        <x:v>Rodenstock</x:v>
      </x:c>
      <x:c r="C565" s="24" t="str">
        <x:v>Mono Plus B.I.G. NORM</x:v>
      </x:c>
      <x:c r="D565" s="24" t="str">
        <x:v>Surfaçada</x:v>
      </x:c>
      <x:c r="E565" s="24" t="str">
        <x:v>Multigressiv Mono Plus B.I.G. NORM</x:v>
      </x:c>
      <x:c r="F565" s="24" t="str">
        <x:v>ColorMatic® 3</x:v>
      </x:c>
      <x:c r="G565" s="24" t="str">
        <x:v>1.67</x:v>
      </x:c>
      <x:c r="H565" s="24" t="str">
        <x:v>1.67</x:v>
      </x:c>
      <x:c r="I565" s="24" t="str">
        <x:v>Solitaire Protect Plus</x:v>
      </x:c>
      <x:c r="J565" s="40" t="n">
        <x:v>5312</x:v>
      </x:c>
      <x:c r="K565" s="24" t="str">
        <x:v>-12 a +10</x:v>
      </x:c>
      <x:c r="L565" s="24" t="str">
        <x:v>até -6</x:v>
      </x:c>
      <x:c r="M565" s="24"/>
      <x:c r="N565" s="24" t="str">
        <x:v>75</x:v>
      </x:c>
      <x:c r="O565" s="24"/>
      <x:c r="P565" s="24"/>
      <x:c r="Q565" s="24" t="str">
        <x:v>DISPONÍVEL</x:v>
      </x:c>
      <x:c r="R565" s="24"/>
      <x:c r="S565" s="24" t="n">
        <x:v>15</x:v>
      </x:c>
      <x:c r="T565" s="24" t="str">
        <x:v>tabela_rodenstock.pdf</x:v>
      </x:c>
      <x:c r="U565" s="24" t="str">
        <x:v>Rodenstock|Mono Plus B.I.G. NORM|Surfaçada|Multigressiv Mono Plus B.I.G. NORM|ColorMatic® 3|1.67|1.67|Solitaire Protect Plus|-12 a +10|até -6||75|||15</x:v>
      </x:c>
    </x:row>
    <x:row r="566">
      <x:c r="A566" s="24" t="str">
        <x:v>RD-DFF1DDFC641C</x:v>
      </x:c>
      <x:c r="B566" s="24" t="str">
        <x:v>Rodenstock</x:v>
      </x:c>
      <x:c r="C566" s="24" t="str">
        <x:v>Mono Plus B.I.G. NORM</x:v>
      </x:c>
      <x:c r="D566" s="24" t="str">
        <x:v>Surfaçada</x:v>
      </x:c>
      <x:c r="E566" s="24" t="str">
        <x:v>Multigressiv Mono Plus B.I.G. NORM</x:v>
      </x:c>
      <x:c r="F566" s="24" t="str">
        <x:v>ColorMatic® 3</x:v>
      </x:c>
      <x:c r="G566" s="24" t="str">
        <x:v>1.67</x:v>
      </x:c>
      <x:c r="H566" s="24" t="str">
        <x:v>1.67</x:v>
      </x:c>
      <x:c r="I566" s="24" t="str">
        <x:v>ROAD</x:v>
      </x:c>
      <x:c r="J566" s="40" t="n">
        <x:v>5312</x:v>
      </x:c>
      <x:c r="K566" s="24" t="str">
        <x:v>-12 a +10</x:v>
      </x:c>
      <x:c r="L566" s="24" t="str">
        <x:v>até -6</x:v>
      </x:c>
      <x:c r="M566" s="24"/>
      <x:c r="N566" s="24" t="str">
        <x:v>75</x:v>
      </x:c>
      <x:c r="O566" s="24"/>
      <x:c r="P566" s="24"/>
      <x:c r="Q566" s="24" t="str">
        <x:v>DISPONÍVEL</x:v>
      </x:c>
      <x:c r="R566" s="24"/>
      <x:c r="S566" s="24" t="n">
        <x:v>15</x:v>
      </x:c>
      <x:c r="T566" s="24" t="str">
        <x:v>tabela_rodenstock.pdf</x:v>
      </x:c>
      <x:c r="U566" s="24" t="str">
        <x:v>Rodenstock|Mono Plus B.I.G. NORM|Surfaçada|Multigressiv Mono Plus B.I.G. NORM|ColorMatic® 3|1.67|1.67|ROAD|-12 a +10|até -6||75|||15</x:v>
      </x:c>
    </x:row>
    <x:row r="567">
      <x:c r="A567" s="24" t="str">
        <x:v>RD-62E5088F4E4F</x:v>
      </x:c>
      <x:c r="B567" s="24" t="str">
        <x:v>Rodenstock</x:v>
      </x:c>
      <x:c r="C567" s="24" t="str">
        <x:v>Mono Plus B.I.G. NORM</x:v>
      </x:c>
      <x:c r="D567" s="24" t="str">
        <x:v>Surfaçada</x:v>
      </x:c>
      <x:c r="E567" s="24" t="str">
        <x:v>Multigressiv Mono Plus B.I.G. NORM</x:v>
      </x:c>
      <x:c r="F567" s="24" t="str">
        <x:v>ColorMatic® 3</x:v>
      </x:c>
      <x:c r="G567" s="24" t="str">
        <x:v>1.67</x:v>
      </x:c>
      <x:c r="H567" s="24" t="str">
        <x:v>1.67</x:v>
      </x:c>
      <x:c r="I567" s="24" t="str">
        <x:v>Solitaire Protect</x:v>
      </x:c>
      <x:c r="J567" s="40" t="n">
        <x:v>5052</x:v>
      </x:c>
      <x:c r="K567" s="24" t="str">
        <x:v>-12 a +10</x:v>
      </x:c>
      <x:c r="L567" s="24" t="str">
        <x:v>até -6</x:v>
      </x:c>
      <x:c r="M567" s="24"/>
      <x:c r="N567" s="24" t="str">
        <x:v>75</x:v>
      </x:c>
      <x:c r="O567" s="24"/>
      <x:c r="P567" s="24"/>
      <x:c r="Q567" s="24" t="str">
        <x:v>DISPONÍVEL</x:v>
      </x:c>
      <x:c r="R567" s="24"/>
      <x:c r="S567" s="24" t="n">
        <x:v>15</x:v>
      </x:c>
      <x:c r="T567" s="24" t="str">
        <x:v>tabela_rodenstock.pdf</x:v>
      </x:c>
      <x:c r="U567" s="24" t="str">
        <x:v>Rodenstock|Mono Plus B.I.G. NORM|Surfaçada|Multigressiv Mono Plus B.I.G. NORM|ColorMatic® 3|1.67|1.67|Solitaire Protect|-12 a +10|até -6||75|||15</x:v>
      </x:c>
    </x:row>
    <x:row r="568">
      <x:c r="A568" s="24" t="str">
        <x:v>RD-47E577B38B87</x:v>
      </x:c>
      <x:c r="B568" s="24" t="str">
        <x:v>Rodenstock</x:v>
      </x:c>
      <x:c r="C568" s="24" t="str">
        <x:v>Mono Plus B.I.G. NORM</x:v>
      </x:c>
      <x:c r="D568" s="24" t="str">
        <x:v>Surfaçada</x:v>
      </x:c>
      <x:c r="E568" s="24" t="str">
        <x:v>Multigressiv Mono Plus B.I.G. NORM</x:v>
      </x:c>
      <x:c r="F568" s="24"/>
      <x:c r="G568" s="24" t="str">
        <x:v>1.74</x:v>
      </x:c>
      <x:c r="H568" s="24" t="str">
        <x:v>1.74</x:v>
      </x:c>
      <x:c r="I568" s="24" t="str">
        <x:v>LayR X-tra Clean</x:v>
      </x:c>
      <x:c r="J568" s="40" t="n">
        <x:v>6012</x:v>
      </x:c>
      <x:c r="K568" s="24" t="str">
        <x:v>-18 a +13</x:v>
      </x:c>
      <x:c r="L568" s="24" t="str">
        <x:v>até -6</x:v>
      </x:c>
      <x:c r="M568" s="24"/>
      <x:c r="N568" s="24" t="str">
        <x:v>75</x:v>
      </x:c>
      <x:c r="O568" s="24"/>
      <x:c r="P568" s="24"/>
      <x:c r="Q568" s="24" t="str">
        <x:v>DISPONÍVEL</x:v>
      </x:c>
      <x:c r="R568" s="24"/>
      <x:c r="S568" s="24" t="n">
        <x:v>15</x:v>
      </x:c>
      <x:c r="T568" s="24" t="str">
        <x:v>tabela_rodenstock.pdf</x:v>
      </x:c>
      <x:c r="U568" s="24" t="str">
        <x:v>Rodenstock|Mono Plus B.I.G. NORM|Surfaçada|Multigressiv Mono Plus B.I.G. NORM||1.74|1.74|LayR X-tra Clean|-18 a +13|até -6||75|||15</x:v>
      </x:c>
    </x:row>
    <x:row r="569">
      <x:c r="A569" s="24" t="str">
        <x:v>RD-E048E32DBF7F</x:v>
      </x:c>
      <x:c r="B569" s="24" t="str">
        <x:v>Rodenstock</x:v>
      </x:c>
      <x:c r="C569" s="24" t="str">
        <x:v>Mono Plus B.I.G. NORM</x:v>
      </x:c>
      <x:c r="D569" s="24" t="str">
        <x:v>Surfaçada</x:v>
      </x:c>
      <x:c r="E569" s="24" t="str">
        <x:v>Multigressiv Mono Plus B.I.G. NORM</x:v>
      </x:c>
      <x:c r="F569" s="24"/>
      <x:c r="G569" s="24" t="str">
        <x:v>1.74</x:v>
      </x:c>
      <x:c r="H569" s="24" t="str">
        <x:v>1.74</x:v>
      </x:c>
      <x:c r="I569" s="24" t="str">
        <x:v>LayR Balance</x:v>
      </x:c>
      <x:c r="J569" s="40" t="n">
        <x:v>6012</x:v>
      </x:c>
      <x:c r="K569" s="24" t="str">
        <x:v>-18 a +13</x:v>
      </x:c>
      <x:c r="L569" s="24" t="str">
        <x:v>até -6</x:v>
      </x:c>
      <x:c r="M569" s="24"/>
      <x:c r="N569" s="24" t="str">
        <x:v>75</x:v>
      </x:c>
      <x:c r="O569" s="24"/>
      <x:c r="P569" s="24"/>
      <x:c r="Q569" s="24" t="str">
        <x:v>DISPONÍVEL</x:v>
      </x:c>
      <x:c r="R569" s="24"/>
      <x:c r="S569" s="24" t="n">
        <x:v>15</x:v>
      </x:c>
      <x:c r="T569" s="24" t="str">
        <x:v>tabela_rodenstock.pdf</x:v>
      </x:c>
      <x:c r="U569" s="24" t="str">
        <x:v>Rodenstock|Mono Plus B.I.G. NORM|Surfaçada|Multigressiv Mono Plus B.I.G. NORM||1.74|1.74|LayR Balance|-18 a +13|até -6||75|||15</x:v>
      </x:c>
    </x:row>
    <x:row r="570">
      <x:c r="A570" s="24" t="str">
        <x:v>RD-A41C7F3ABE2E</x:v>
      </x:c>
      <x:c r="B570" s="24" t="str">
        <x:v>Rodenstock</x:v>
      </x:c>
      <x:c r="C570" s="24" t="str">
        <x:v>Mono Plus B.I.G. NORM</x:v>
      </x:c>
      <x:c r="D570" s="24" t="str">
        <x:v>Surfaçada</x:v>
      </x:c>
      <x:c r="E570" s="24" t="str">
        <x:v>Multigressiv Mono Plus B.I.G. NORM</x:v>
      </x:c>
      <x:c r="F570" s="24"/>
      <x:c r="G570" s="24" t="str">
        <x:v>1.74</x:v>
      </x:c>
      <x:c r="H570" s="24" t="str">
        <x:v>1.74</x:v>
      </x:c>
      <x:c r="I570" s="24" t="str">
        <x:v>Solitaire X-tra Clean</x:v>
      </x:c>
      <x:c r="J570" s="40" t="n">
        <x:v>5942</x:v>
      </x:c>
      <x:c r="K570" s="24" t="str">
        <x:v>-18 a +13</x:v>
      </x:c>
      <x:c r="L570" s="24" t="str">
        <x:v>até -6</x:v>
      </x:c>
      <x:c r="M570" s="24"/>
      <x:c r="N570" s="24" t="str">
        <x:v>75</x:v>
      </x:c>
      <x:c r="O570" s="24"/>
      <x:c r="P570" s="24"/>
      <x:c r="Q570" s="24" t="str">
        <x:v>DISPONÍVEL</x:v>
      </x:c>
      <x:c r="R570" s="24"/>
      <x:c r="S570" s="24" t="n">
        <x:v>15</x:v>
      </x:c>
      <x:c r="T570" s="24" t="str">
        <x:v>tabela_rodenstock.pdf</x:v>
      </x:c>
      <x:c r="U570" s="24" t="str">
        <x:v>Rodenstock|Mono Plus B.I.G. NORM|Surfaçada|Multigressiv Mono Plus B.I.G. NORM||1.74|1.74|Solitaire X-tra Clean|-18 a +13|até -6||75|||15</x:v>
      </x:c>
    </x:row>
    <x:row r="571">
      <x:c r="A571" s="24" t="str">
        <x:v>RD-57AA1B22FBD9</x:v>
      </x:c>
      <x:c r="B571" s="24" t="str">
        <x:v>Rodenstock</x:v>
      </x:c>
      <x:c r="C571" s="24" t="str">
        <x:v>Mono Plus B.I.G. NORM</x:v>
      </x:c>
      <x:c r="D571" s="24" t="str">
        <x:v>Surfaçada</x:v>
      </x:c>
      <x:c r="E571" s="24" t="str">
        <x:v>Multigressiv Mono Plus B.I.G. NORM</x:v>
      </x:c>
      <x:c r="F571" s="24"/>
      <x:c r="G571" s="24" t="str">
        <x:v>1.74</x:v>
      </x:c>
      <x:c r="H571" s="24" t="str">
        <x:v>1.74</x:v>
      </x:c>
      <x:c r="I571" s="24" t="str">
        <x:v>Solitaire Protect Plus</x:v>
      </x:c>
      <x:c r="J571" s="40" t="n">
        <x:v>5892</x:v>
      </x:c>
      <x:c r="K571" s="24" t="str">
        <x:v>-18 a +13</x:v>
      </x:c>
      <x:c r="L571" s="24" t="str">
        <x:v>até -6</x:v>
      </x:c>
      <x:c r="M571" s="24"/>
      <x:c r="N571" s="24" t="str">
        <x:v>75</x:v>
      </x:c>
      <x:c r="O571" s="24"/>
      <x:c r="P571" s="24"/>
      <x:c r="Q571" s="24" t="str">
        <x:v>DISPONÍVEL</x:v>
      </x:c>
      <x:c r="R571" s="24"/>
      <x:c r="S571" s="24" t="n">
        <x:v>15</x:v>
      </x:c>
      <x:c r="T571" s="24" t="str">
        <x:v>tabela_rodenstock.pdf</x:v>
      </x:c>
      <x:c r="U571" s="24" t="str">
        <x:v>Rodenstock|Mono Plus B.I.G. NORM|Surfaçada|Multigressiv Mono Plus B.I.G. NORM||1.74|1.74|Solitaire Protect Plus|-18 a +13|até -6||75|||15</x:v>
      </x:c>
    </x:row>
    <x:row r="572">
      <x:c r="A572" s="24" t="str">
        <x:v>RD-9319CD22AA77</x:v>
      </x:c>
      <x:c r="B572" s="24" t="str">
        <x:v>Rodenstock</x:v>
      </x:c>
      <x:c r="C572" s="24" t="str">
        <x:v>Mono Plus B.I.G. NORM</x:v>
      </x:c>
      <x:c r="D572" s="24" t="str">
        <x:v>Surfaçada</x:v>
      </x:c>
      <x:c r="E572" s="24" t="str">
        <x:v>Multigressiv Mono Plus B.I.G. NORM</x:v>
      </x:c>
      <x:c r="F572" s="24"/>
      <x:c r="G572" s="24" t="str">
        <x:v>1.74</x:v>
      </x:c>
      <x:c r="H572" s="24" t="str">
        <x:v>1.74</x:v>
      </x:c>
      <x:c r="I572" s="24" t="str">
        <x:v>Solitaire Protect</x:v>
      </x:c>
      <x:c r="J572" s="40" t="n">
        <x:v>5632</x:v>
      </x:c>
      <x:c r="K572" s="24" t="str">
        <x:v>-18 a +13</x:v>
      </x:c>
      <x:c r="L572" s="24" t="str">
        <x:v>até -6</x:v>
      </x:c>
      <x:c r="M572" s="24"/>
      <x:c r="N572" s="24" t="str">
        <x:v>75</x:v>
      </x:c>
      <x:c r="O572" s="24"/>
      <x:c r="P572" s="24"/>
      <x:c r="Q572" s="24" t="str">
        <x:v>DISPONÍVEL</x:v>
      </x:c>
      <x:c r="R572" s="24"/>
      <x:c r="S572" s="24" t="n">
        <x:v>15</x:v>
      </x:c>
      <x:c r="T572" s="24" t="str">
        <x:v>tabela_rodenstock.pdf</x:v>
      </x:c>
      <x:c r="U572" s="24" t="str">
        <x:v>Rodenstock|Mono Plus B.I.G. NORM|Surfaçada|Multigressiv Mono Plus B.I.G. NORM||1.74|1.74|Solitaire Protect|-18 a +13|até -6||75|||15</x:v>
      </x:c>
    </x:row>
    <x:row r="573">
      <x:c r="A573" s="24" t="str">
        <x:v>RD-7A3094772AA3</x:v>
      </x:c>
      <x:c r="B573" s="24" t="str">
        <x:v>Rodenstock</x:v>
      </x:c>
      <x:c r="C573" s="24" t="str">
        <x:v>Mono Plus B.I.G. NORM</x:v>
      </x:c>
      <x:c r="D573" s="24" t="str">
        <x:v>Surfaçada</x:v>
      </x:c>
      <x:c r="E573" s="24" t="str">
        <x:v>Cosmolit Mono Plus B.I.G. NORM</x:v>
      </x:c>
      <x:c r="F573" s="24"/>
      <x:c r="G573" s="24" t="str">
        <x:v>1.5</x:v>
      </x:c>
      <x:c r="H573" s="24" t="str">
        <x:v>1.50</x:v>
      </x:c>
      <x:c r="I573" s="24" t="str">
        <x:v>LayR X-tra Clean</x:v>
      </x:c>
      <x:c r="J573" s="40" t="n">
        <x:v>1685</x:v>
      </x:c>
      <x:c r="K573" s="24" t="str">
        <x:v>-8 a +8</x:v>
      </x:c>
      <x:c r="L573" s="24" t="str">
        <x:v>até -6</x:v>
      </x:c>
      <x:c r="M573" s="24"/>
      <x:c r="N573" s="24" t="str">
        <x:v>75</x:v>
      </x:c>
      <x:c r="O573" s="24"/>
      <x:c r="P573" s="24"/>
      <x:c r="Q573" s="24" t="str">
        <x:v>DISPONÍVEL</x:v>
      </x:c>
      <x:c r="R573" s="24"/>
      <x:c r="S573" s="24" t="n">
        <x:v>15</x:v>
      </x:c>
      <x:c r="T573" s="24" t="str">
        <x:v>tabela_rodenstock.pdf</x:v>
      </x:c>
      <x:c r="U573" s="24" t="str">
        <x:v>Rodenstock|Mono Plus B.I.G. NORM|Surfaçada|Cosmolit Mono Plus B.I.G. NORM||1.5|1.50|LayR X-tra Clean|-8 a +8|até -6||75|||15</x:v>
      </x:c>
    </x:row>
    <x:row r="574">
      <x:c r="A574" s="24" t="str">
        <x:v>RD-3C9A9B030ECB</x:v>
      </x:c>
      <x:c r="B574" s="24" t="str">
        <x:v>Rodenstock</x:v>
      </x:c>
      <x:c r="C574" s="24" t="str">
        <x:v>Mono Plus B.I.G. NORM</x:v>
      </x:c>
      <x:c r="D574" s="24" t="str">
        <x:v>Surfaçada</x:v>
      </x:c>
      <x:c r="E574" s="24" t="str">
        <x:v>Cosmolit Mono Plus B.I.G. NORM</x:v>
      </x:c>
      <x:c r="F574" s="24"/>
      <x:c r="G574" s="24" t="str">
        <x:v>1.5</x:v>
      </x:c>
      <x:c r="H574" s="24" t="str">
        <x:v>1.50</x:v>
      </x:c>
      <x:c r="I574" s="24" t="str">
        <x:v>LayR Balance</x:v>
      </x:c>
      <x:c r="J574" s="40" t="n">
        <x:v>1685</x:v>
      </x:c>
      <x:c r="K574" s="24" t="str">
        <x:v>-8 a +8</x:v>
      </x:c>
      <x:c r="L574" s="24" t="str">
        <x:v>até -6</x:v>
      </x:c>
      <x:c r="M574" s="24"/>
      <x:c r="N574" s="24" t="str">
        <x:v>75</x:v>
      </x:c>
      <x:c r="O574" s="24"/>
      <x:c r="P574" s="24"/>
      <x:c r="Q574" s="24" t="str">
        <x:v>DISPONÍVEL</x:v>
      </x:c>
      <x:c r="R574" s="24"/>
      <x:c r="S574" s="24" t="n">
        <x:v>15</x:v>
      </x:c>
      <x:c r="T574" s="24" t="str">
        <x:v>tabela_rodenstock.pdf</x:v>
      </x:c>
      <x:c r="U574" s="24" t="str">
        <x:v>Rodenstock|Mono Plus B.I.G. NORM|Surfaçada|Cosmolit Mono Plus B.I.G. NORM||1.5|1.50|LayR Balance|-8 a +8|até -6||75|||15</x:v>
      </x:c>
    </x:row>
    <x:row r="575">
      <x:c r="A575" s="24" t="str">
        <x:v>RD-481BA8B52BE6</x:v>
      </x:c>
      <x:c r="B575" s="24" t="str">
        <x:v>Rodenstock</x:v>
      </x:c>
      <x:c r="C575" s="24" t="str">
        <x:v>Mono Plus B.I.G. NORM</x:v>
      </x:c>
      <x:c r="D575" s="24" t="str">
        <x:v>Surfaçada</x:v>
      </x:c>
      <x:c r="E575" s="24" t="str">
        <x:v>Cosmolit Mono Plus B.I.G. NORM</x:v>
      </x:c>
      <x:c r="F575" s="24"/>
      <x:c r="G575" s="24" t="str">
        <x:v>1.5</x:v>
      </x:c>
      <x:c r="H575" s="24" t="str">
        <x:v>1.50</x:v>
      </x:c>
      <x:c r="I575" s="24" t="str">
        <x:v>Solitaire X-tra Clean</x:v>
      </x:c>
      <x:c r="J575" s="40" t="n">
        <x:v>1615</x:v>
      </x:c>
      <x:c r="K575" s="24" t="str">
        <x:v>-8 a +8</x:v>
      </x:c>
      <x:c r="L575" s="24" t="str">
        <x:v>até -6</x:v>
      </x:c>
      <x:c r="M575" s="24"/>
      <x:c r="N575" s="24" t="str">
        <x:v>75</x:v>
      </x:c>
      <x:c r="O575" s="24"/>
      <x:c r="P575" s="24"/>
      <x:c r="Q575" s="24" t="str">
        <x:v>DISPONÍVEL</x:v>
      </x:c>
      <x:c r="R575" s="24"/>
      <x:c r="S575" s="24" t="n">
        <x:v>15</x:v>
      </x:c>
      <x:c r="T575" s="24" t="str">
        <x:v>tabela_rodenstock.pdf</x:v>
      </x:c>
      <x:c r="U575" s="24" t="str">
        <x:v>Rodenstock|Mono Plus B.I.G. NORM|Surfaçada|Cosmolit Mono Plus B.I.G. NORM||1.5|1.50|Solitaire X-tra Clean|-8 a +8|até -6||75|||15</x:v>
      </x:c>
    </x:row>
    <x:row r="576">
      <x:c r="A576" s="24" t="str">
        <x:v>RD-6964430A6022</x:v>
      </x:c>
      <x:c r="B576" s="24" t="str">
        <x:v>Rodenstock</x:v>
      </x:c>
      <x:c r="C576" s="24" t="str">
        <x:v>Mono Plus B.I.G. NORM</x:v>
      </x:c>
      <x:c r="D576" s="24" t="str">
        <x:v>Surfaçada</x:v>
      </x:c>
      <x:c r="E576" s="24" t="str">
        <x:v>Cosmolit Mono Plus B.I.G. NORM</x:v>
      </x:c>
      <x:c r="F576" s="24"/>
      <x:c r="G576" s="24" t="str">
        <x:v>1.5</x:v>
      </x:c>
      <x:c r="H576" s="24" t="str">
        <x:v>1.50</x:v>
      </x:c>
      <x:c r="I576" s="24" t="str">
        <x:v>Solitaire Protect Plus</x:v>
      </x:c>
      <x:c r="J576" s="40" t="n">
        <x:v>1565</x:v>
      </x:c>
      <x:c r="K576" s="24" t="str">
        <x:v>-8 a +8</x:v>
      </x:c>
      <x:c r="L576" s="24" t="str">
        <x:v>até -6</x:v>
      </x:c>
      <x:c r="M576" s="24"/>
      <x:c r="N576" s="24" t="str">
        <x:v>75</x:v>
      </x:c>
      <x:c r="O576" s="24"/>
      <x:c r="P576" s="24"/>
      <x:c r="Q576" s="24" t="str">
        <x:v>DISPONÍVEL</x:v>
      </x:c>
      <x:c r="R576" s="24"/>
      <x:c r="S576" s="24" t="n">
        <x:v>15</x:v>
      </x:c>
      <x:c r="T576" s="24" t="str">
        <x:v>tabela_rodenstock.pdf</x:v>
      </x:c>
      <x:c r="U576" s="24" t="str">
        <x:v>Rodenstock|Mono Plus B.I.G. NORM|Surfaçada|Cosmolit Mono Plus B.I.G. NORM||1.5|1.50|Solitaire Protect Plus|-8 a +8|até -6||75|||15</x:v>
      </x:c>
    </x:row>
    <x:row r="577">
      <x:c r="A577" s="24" t="str">
        <x:v>RD-14C932909D49</x:v>
      </x:c>
      <x:c r="B577" s="24" t="str">
        <x:v>Rodenstock</x:v>
      </x:c>
      <x:c r="C577" s="24" t="str">
        <x:v>Mono Plus B.I.G. NORM</x:v>
      </x:c>
      <x:c r="D577" s="24" t="str">
        <x:v>Surfaçada</x:v>
      </x:c>
      <x:c r="E577" s="24" t="str">
        <x:v>Cosmolit Mono Plus B.I.G. NORM</x:v>
      </x:c>
      <x:c r="F577" s="24"/>
      <x:c r="G577" s="24" t="str">
        <x:v>1.5</x:v>
      </x:c>
      <x:c r="H577" s="24" t="str">
        <x:v>1.50</x:v>
      </x:c>
      <x:c r="I577" s="24" t="str">
        <x:v>ROAD</x:v>
      </x:c>
      <x:c r="J577" s="40" t="n">
        <x:v>1565</x:v>
      </x:c>
      <x:c r="K577" s="24" t="str">
        <x:v>-8 a +8</x:v>
      </x:c>
      <x:c r="L577" s="24" t="str">
        <x:v>até -6</x:v>
      </x:c>
      <x:c r="M577" s="24"/>
      <x:c r="N577" s="24" t="str">
        <x:v>75</x:v>
      </x:c>
      <x:c r="O577" s="24"/>
      <x:c r="P577" s="24"/>
      <x:c r="Q577" s="24" t="str">
        <x:v>DISPONÍVEL</x:v>
      </x:c>
      <x:c r="R577" s="24"/>
      <x:c r="S577" s="24" t="n">
        <x:v>15</x:v>
      </x:c>
      <x:c r="T577" s="24" t="str">
        <x:v>tabela_rodenstock.pdf</x:v>
      </x:c>
      <x:c r="U577" s="24" t="str">
        <x:v>Rodenstock|Mono Plus B.I.G. NORM|Surfaçada|Cosmolit Mono Plus B.I.G. NORM||1.5|1.50|ROAD|-8 a +8|até -6||75|||15</x:v>
      </x:c>
    </x:row>
    <x:row r="578">
      <x:c r="A578" s="24" t="str">
        <x:v>RD-BFE8EFA771B4</x:v>
      </x:c>
      <x:c r="B578" s="24" t="str">
        <x:v>Rodenstock</x:v>
      </x:c>
      <x:c r="C578" s="24" t="str">
        <x:v>Mono Plus B.I.G. NORM</x:v>
      </x:c>
      <x:c r="D578" s="24" t="str">
        <x:v>Surfaçada</x:v>
      </x:c>
      <x:c r="E578" s="24" t="str">
        <x:v>Cosmolit Mono Plus B.I.G. NORM</x:v>
      </x:c>
      <x:c r="F578" s="24" t="str">
        <x:v>ColorMatic® 3</x:v>
      </x:c>
      <x:c r="G578" s="24" t="str">
        <x:v>1.54</x:v>
      </x:c>
      <x:c r="H578" s="24" t="str">
        <x:v>1.54</x:v>
      </x:c>
      <x:c r="I578" s="24" t="str">
        <x:v>LayR X-tra Clean</x:v>
      </x:c>
      <x:c r="J578" s="40" t="n">
        <x:v>2924</x:v>
      </x:c>
      <x:c r="K578" s="24" t="str">
        <x:v>-8 a +8</x:v>
      </x:c>
      <x:c r="L578" s="24" t="str">
        <x:v>até -6</x:v>
      </x:c>
      <x:c r="M578" s="24"/>
      <x:c r="N578" s="24" t="str">
        <x:v>75</x:v>
      </x:c>
      <x:c r="O578" s="24"/>
      <x:c r="P578" s="24"/>
      <x:c r="Q578" s="24" t="str">
        <x:v>DISPONÍVEL</x:v>
      </x:c>
      <x:c r="R578" s="24"/>
      <x:c r="S578" s="24" t="n">
        <x:v>15</x:v>
      </x:c>
      <x:c r="T578" s="24" t="str">
        <x:v>tabela_rodenstock.pdf</x:v>
      </x:c>
      <x:c r="U578" s="24" t="str">
        <x:v>Rodenstock|Mono Plus B.I.G. NORM|Surfaçada|Cosmolit Mono Plus B.I.G. NORM|ColorMatic® 3|1.54|1.54|LayR X-tra Clean|-8 a +8|até -6||75|||15</x:v>
      </x:c>
    </x:row>
    <x:row r="579">
      <x:c r="A579" s="24" t="str">
        <x:v>RD-7F5AABF23E15</x:v>
      </x:c>
      <x:c r="B579" s="24" t="str">
        <x:v>Rodenstock</x:v>
      </x:c>
      <x:c r="C579" s="24" t="str">
        <x:v>Mono Plus B.I.G. NORM</x:v>
      </x:c>
      <x:c r="D579" s="24" t="str">
        <x:v>Surfaçada</x:v>
      </x:c>
      <x:c r="E579" s="24" t="str">
        <x:v>Cosmolit Mono Plus B.I.G. NORM</x:v>
      </x:c>
      <x:c r="F579" s="24" t="str">
        <x:v>ColorMatic® 3</x:v>
      </x:c>
      <x:c r="G579" s="24" t="str">
        <x:v>1.54</x:v>
      </x:c>
      <x:c r="H579" s="24" t="str">
        <x:v>1.54</x:v>
      </x:c>
      <x:c r="I579" s="24" t="str">
        <x:v>LayR Balance</x:v>
      </x:c>
      <x:c r="J579" s="40" t="n">
        <x:v>2924</x:v>
      </x:c>
      <x:c r="K579" s="24" t="str">
        <x:v>-8 a +8</x:v>
      </x:c>
      <x:c r="L579" s="24" t="str">
        <x:v>até -6</x:v>
      </x:c>
      <x:c r="M579" s="24"/>
      <x:c r="N579" s="24" t="str">
        <x:v>75</x:v>
      </x:c>
      <x:c r="O579" s="24"/>
      <x:c r="P579" s="24"/>
      <x:c r="Q579" s="24" t="str">
        <x:v>DISPONÍVEL</x:v>
      </x:c>
      <x:c r="R579" s="24"/>
      <x:c r="S579" s="24" t="n">
        <x:v>15</x:v>
      </x:c>
      <x:c r="T579" s="24" t="str">
        <x:v>tabela_rodenstock.pdf</x:v>
      </x:c>
      <x:c r="U579" s="24" t="str">
        <x:v>Rodenstock|Mono Plus B.I.G. NORM|Surfaçada|Cosmolit Mono Plus B.I.G. NORM|ColorMatic® 3|1.54|1.54|LayR Balance|-8 a +8|até -6||75|||15</x:v>
      </x:c>
    </x:row>
    <x:row r="580">
      <x:c r="A580" s="24" t="str">
        <x:v>RD-81D79E77B9BA</x:v>
      </x:c>
      <x:c r="B580" s="24" t="str">
        <x:v>Rodenstock</x:v>
      </x:c>
      <x:c r="C580" s="24" t="str">
        <x:v>Mono Plus B.I.G. NORM</x:v>
      </x:c>
      <x:c r="D580" s="24" t="str">
        <x:v>Surfaçada</x:v>
      </x:c>
      <x:c r="E580" s="24" t="str">
        <x:v>Cosmolit Mono Plus B.I.G. NORM</x:v>
      </x:c>
      <x:c r="F580" s="24" t="str">
        <x:v>ColorMatic® 3</x:v>
      </x:c>
      <x:c r="G580" s="24" t="str">
        <x:v>1.54</x:v>
      </x:c>
      <x:c r="H580" s="24" t="str">
        <x:v>1.54</x:v>
      </x:c>
      <x:c r="I580" s="24" t="str">
        <x:v>Solitaire X-tra Clean</x:v>
      </x:c>
      <x:c r="J580" s="40" t="n">
        <x:v>2854</x:v>
      </x:c>
      <x:c r="K580" s="24" t="str">
        <x:v>-8 a +8</x:v>
      </x:c>
      <x:c r="L580" s="24" t="str">
        <x:v>até -6</x:v>
      </x:c>
      <x:c r="M580" s="24"/>
      <x:c r="N580" s="24" t="str">
        <x:v>75</x:v>
      </x:c>
      <x:c r="O580" s="24"/>
      <x:c r="P580" s="24"/>
      <x:c r="Q580" s="24" t="str">
        <x:v>DISPONÍVEL</x:v>
      </x:c>
      <x:c r="R580" s="24"/>
      <x:c r="S580" s="24" t="n">
        <x:v>15</x:v>
      </x:c>
      <x:c r="T580" s="24" t="str">
        <x:v>tabela_rodenstock.pdf</x:v>
      </x:c>
      <x:c r="U580" s="24" t="str">
        <x:v>Rodenstock|Mono Plus B.I.G. NORM|Surfaçada|Cosmolit Mono Plus B.I.G. NORM|ColorMatic® 3|1.54|1.54|Solitaire X-tra Clean|-8 a +8|até -6||75|||15</x:v>
      </x:c>
    </x:row>
    <x:row r="581">
      <x:c r="A581" s="24" t="str">
        <x:v>RD-F336FE3DE848</x:v>
      </x:c>
      <x:c r="B581" s="24" t="str">
        <x:v>Rodenstock</x:v>
      </x:c>
      <x:c r="C581" s="24" t="str">
        <x:v>Mono Plus B.I.G. NORM</x:v>
      </x:c>
      <x:c r="D581" s="24" t="str">
        <x:v>Surfaçada</x:v>
      </x:c>
      <x:c r="E581" s="24" t="str">
        <x:v>Cosmolit Mono Plus B.I.G. NORM</x:v>
      </x:c>
      <x:c r="F581" s="24" t="str">
        <x:v>ColorMatic® 3</x:v>
      </x:c>
      <x:c r="G581" s="24" t="str">
        <x:v>1.54</x:v>
      </x:c>
      <x:c r="H581" s="24" t="str">
        <x:v>1.54</x:v>
      </x:c>
      <x:c r="I581" s="24" t="str">
        <x:v>Solitaire Protect Plus</x:v>
      </x:c>
      <x:c r="J581" s="40" t="n">
        <x:v>2804</x:v>
      </x:c>
      <x:c r="K581" s="24" t="str">
        <x:v>-8 a +8</x:v>
      </x:c>
      <x:c r="L581" s="24" t="str">
        <x:v>até -6</x:v>
      </x:c>
      <x:c r="M581" s="24"/>
      <x:c r="N581" s="24" t="str">
        <x:v>75</x:v>
      </x:c>
      <x:c r="O581" s="24"/>
      <x:c r="P581" s="24"/>
      <x:c r="Q581" s="24" t="str">
        <x:v>DISPONÍVEL</x:v>
      </x:c>
      <x:c r="R581" s="24"/>
      <x:c r="S581" s="24" t="n">
        <x:v>15</x:v>
      </x:c>
      <x:c r="T581" s="24" t="str">
        <x:v>tabela_rodenstock.pdf</x:v>
      </x:c>
      <x:c r="U581" s="24" t="str">
        <x:v>Rodenstock|Mono Plus B.I.G. NORM|Surfaçada|Cosmolit Mono Plus B.I.G. NORM|ColorMatic® 3|1.54|1.54|Solitaire Protect Plus|-8 a +8|até -6||75|||15</x:v>
      </x:c>
    </x:row>
    <x:row r="582">
      <x:c r="A582" s="24" t="str">
        <x:v>RD-423E6C209E45</x:v>
      </x:c>
      <x:c r="B582" s="24" t="str">
        <x:v>Rodenstock</x:v>
      </x:c>
      <x:c r="C582" s="24" t="str">
        <x:v>Mono Plus B.I.G. NORM</x:v>
      </x:c>
      <x:c r="D582" s="24" t="str">
        <x:v>Surfaçada</x:v>
      </x:c>
      <x:c r="E582" s="24" t="str">
        <x:v>Cosmolit Mono Plus B.I.G. NORM</x:v>
      </x:c>
      <x:c r="F582" s="24" t="str">
        <x:v>ColorMatic® 3</x:v>
      </x:c>
      <x:c r="G582" s="24" t="str">
        <x:v>1.54</x:v>
      </x:c>
      <x:c r="H582" s="24" t="str">
        <x:v>1.54</x:v>
      </x:c>
      <x:c r="I582" s="24" t="str">
        <x:v>ROAD</x:v>
      </x:c>
      <x:c r="J582" s="40" t="n">
        <x:v>2804</x:v>
      </x:c>
      <x:c r="K582" s="24" t="str">
        <x:v>-8 a +8</x:v>
      </x:c>
      <x:c r="L582" s="24" t="str">
        <x:v>até -6</x:v>
      </x:c>
      <x:c r="M582" s="24"/>
      <x:c r="N582" s="24" t="str">
        <x:v>75</x:v>
      </x:c>
      <x:c r="O582" s="24"/>
      <x:c r="P582" s="24"/>
      <x:c r="Q582" s="24" t="str">
        <x:v>DISPONÍVEL</x:v>
      </x:c>
      <x:c r="R582" s="24"/>
      <x:c r="S582" s="24" t="n">
        <x:v>15</x:v>
      </x:c>
      <x:c r="T582" s="24" t="str">
        <x:v>tabela_rodenstock.pdf</x:v>
      </x:c>
      <x:c r="U582" s="24" t="str">
        <x:v>Rodenstock|Mono Plus B.I.G. NORM|Surfaçada|Cosmolit Mono Plus B.I.G. NORM|ColorMatic® 3|1.54|1.54|ROAD|-8 a +8|até -6||75|||15</x:v>
      </x:c>
    </x:row>
    <x:row r="583">
      <x:c r="A583" s="24" t="str">
        <x:v>RD-CF7FF9F7D8A7</x:v>
      </x:c>
      <x:c r="B583" s="24" t="str">
        <x:v>Rodenstock</x:v>
      </x:c>
      <x:c r="C583" s="24" t="str">
        <x:v>Mono Plus B.I.G. NORM</x:v>
      </x:c>
      <x:c r="D583" s="24" t="str">
        <x:v>Surfaçada</x:v>
      </x:c>
      <x:c r="E583" s="24" t="str">
        <x:v>Cosmolit Mono Plus B.I.G. NORM</x:v>
      </x:c>
      <x:c r="F583" s="24"/>
      <x:c r="G583" s="24" t="str">
        <x:v>1.6</x:v>
      </x:c>
      <x:c r="H583" s="24" t="str">
        <x:v>1.60</x:v>
      </x:c>
      <x:c r="I583" s="24" t="str">
        <x:v>LayR X-tra Clean</x:v>
      </x:c>
      <x:c r="J583" s="40" t="n">
        <x:v>2088</x:v>
      </x:c>
      <x:c r="K583" s="24" t="str">
        <x:v>-10 a +10</x:v>
      </x:c>
      <x:c r="L583" s="24" t="str">
        <x:v>até -6</x:v>
      </x:c>
      <x:c r="M583" s="24"/>
      <x:c r="N583" s="24" t="str">
        <x:v>75</x:v>
      </x:c>
      <x:c r="O583" s="24"/>
      <x:c r="P583" s="24"/>
      <x:c r="Q583" s="24" t="str">
        <x:v>DISPONÍVEL</x:v>
      </x:c>
      <x:c r="R583" s="24"/>
      <x:c r="S583" s="24" t="n">
        <x:v>15</x:v>
      </x:c>
      <x:c r="T583" s="24" t="str">
        <x:v>tabela_rodenstock.pdf</x:v>
      </x:c>
      <x:c r="U583" s="24" t="str">
        <x:v>Rodenstock|Mono Plus B.I.G. NORM|Surfaçada|Cosmolit Mono Plus B.I.G. NORM||1.6|1.60|LayR X-tra Clean|-10 a +10|até -6||75|||15</x:v>
      </x:c>
    </x:row>
    <x:row r="584">
      <x:c r="A584" s="24" t="str">
        <x:v>RD-C10564764E11</x:v>
      </x:c>
      <x:c r="B584" s="24" t="str">
        <x:v>Rodenstock</x:v>
      </x:c>
      <x:c r="C584" s="24" t="str">
        <x:v>Mono Plus B.I.G. NORM</x:v>
      </x:c>
      <x:c r="D584" s="24" t="str">
        <x:v>Surfaçada</x:v>
      </x:c>
      <x:c r="E584" s="24" t="str">
        <x:v>Cosmolit Mono Plus B.I.G. NORM</x:v>
      </x:c>
      <x:c r="F584" s="24"/>
      <x:c r="G584" s="24" t="str">
        <x:v>1.6</x:v>
      </x:c>
      <x:c r="H584" s="24" t="str">
        <x:v>1.60</x:v>
      </x:c>
      <x:c r="I584" s="24" t="str">
        <x:v>LayR Balance</x:v>
      </x:c>
      <x:c r="J584" s="40" t="n">
        <x:v>2088</x:v>
      </x:c>
      <x:c r="K584" s="24" t="str">
        <x:v>-10 a +10</x:v>
      </x:c>
      <x:c r="L584" s="24" t="str">
        <x:v>até -6</x:v>
      </x:c>
      <x:c r="M584" s="24"/>
      <x:c r="N584" s="24" t="str">
        <x:v>75</x:v>
      </x:c>
      <x:c r="O584" s="24"/>
      <x:c r="P584" s="24"/>
      <x:c r="Q584" s="24" t="str">
        <x:v>DISPONÍVEL</x:v>
      </x:c>
      <x:c r="R584" s="24"/>
      <x:c r="S584" s="24" t="n">
        <x:v>15</x:v>
      </x:c>
      <x:c r="T584" s="24" t="str">
        <x:v>tabela_rodenstock.pdf</x:v>
      </x:c>
      <x:c r="U584" s="24" t="str">
        <x:v>Rodenstock|Mono Plus B.I.G. NORM|Surfaçada|Cosmolit Mono Plus B.I.G. NORM||1.6|1.60|LayR Balance|-10 a +10|até -6||75|||15</x:v>
      </x:c>
    </x:row>
    <x:row r="585">
      <x:c r="A585" s="24" t="str">
        <x:v>RD-63757B035733</x:v>
      </x:c>
      <x:c r="B585" s="24" t="str">
        <x:v>Rodenstock</x:v>
      </x:c>
      <x:c r="C585" s="24" t="str">
        <x:v>Mono Plus B.I.G. NORM</x:v>
      </x:c>
      <x:c r="D585" s="24" t="str">
        <x:v>Surfaçada</x:v>
      </x:c>
      <x:c r="E585" s="24" t="str">
        <x:v>Cosmolit Mono Plus B.I.G. NORM</x:v>
      </x:c>
      <x:c r="F585" s="24"/>
      <x:c r="G585" s="24" t="str">
        <x:v>1.6</x:v>
      </x:c>
      <x:c r="H585" s="24" t="str">
        <x:v>1.60</x:v>
      </x:c>
      <x:c r="I585" s="24" t="str">
        <x:v>Solitaire X-tra Clean</x:v>
      </x:c>
      <x:c r="J585" s="40" t="n">
        <x:v>2018</x:v>
      </x:c>
      <x:c r="K585" s="24" t="str">
        <x:v>-10 a +10</x:v>
      </x:c>
      <x:c r="L585" s="24" t="str">
        <x:v>até -6</x:v>
      </x:c>
      <x:c r="M585" s="24"/>
      <x:c r="N585" s="24" t="str">
        <x:v>75</x:v>
      </x:c>
      <x:c r="O585" s="24"/>
      <x:c r="P585" s="24"/>
      <x:c r="Q585" s="24" t="str">
        <x:v>DISPONÍVEL</x:v>
      </x:c>
      <x:c r="R585" s="24"/>
      <x:c r="S585" s="24" t="n">
        <x:v>15</x:v>
      </x:c>
      <x:c r="T585" s="24" t="str">
        <x:v>tabela_rodenstock.pdf</x:v>
      </x:c>
      <x:c r="U585" s="24" t="str">
        <x:v>Rodenstock|Mono Plus B.I.G. NORM|Surfaçada|Cosmolit Mono Plus B.I.G. NORM||1.6|1.60|Solitaire X-tra Clean|-10 a +10|até -6||75|||15</x:v>
      </x:c>
    </x:row>
    <x:row r="586">
      <x:c r="A586" s="24" t="str">
        <x:v>RD-96DE08EEC9C4</x:v>
      </x:c>
      <x:c r="B586" s="24" t="str">
        <x:v>Rodenstock</x:v>
      </x:c>
      <x:c r="C586" s="24" t="str">
        <x:v>Mono Plus B.I.G. NORM</x:v>
      </x:c>
      <x:c r="D586" s="24" t="str">
        <x:v>Surfaçada</x:v>
      </x:c>
      <x:c r="E586" s="24" t="str">
        <x:v>Cosmolit Mono Plus B.I.G. NORM</x:v>
      </x:c>
      <x:c r="F586" s="24"/>
      <x:c r="G586" s="24" t="str">
        <x:v>1.6</x:v>
      </x:c>
      <x:c r="H586" s="24" t="str">
        <x:v>1.60</x:v>
      </x:c>
      <x:c r="I586" s="24" t="str">
        <x:v>Solitaire Protect Plus</x:v>
      </x:c>
      <x:c r="J586" s="40" t="n">
        <x:v>1968</x:v>
      </x:c>
      <x:c r="K586" s="24" t="str">
        <x:v>-10 a +10</x:v>
      </x:c>
      <x:c r="L586" s="24" t="str">
        <x:v>até -6</x:v>
      </x:c>
      <x:c r="M586" s="24"/>
      <x:c r="N586" s="24" t="str">
        <x:v>75</x:v>
      </x:c>
      <x:c r="O586" s="24"/>
      <x:c r="P586" s="24"/>
      <x:c r="Q586" s="24" t="str">
        <x:v>DISPONÍVEL</x:v>
      </x:c>
      <x:c r="R586" s="24"/>
      <x:c r="S586" s="24" t="n">
        <x:v>15</x:v>
      </x:c>
      <x:c r="T586" s="24" t="str">
        <x:v>tabela_rodenstock.pdf</x:v>
      </x:c>
      <x:c r="U586" s="24" t="str">
        <x:v>Rodenstock|Mono Plus B.I.G. NORM|Surfaçada|Cosmolit Mono Plus B.I.G. NORM||1.6|1.60|Solitaire Protect Plus|-10 a +10|até -6||75|||15</x:v>
      </x:c>
    </x:row>
    <x:row r="587">
      <x:c r="A587" s="24" t="str">
        <x:v>RD-46025CAD96A6</x:v>
      </x:c>
      <x:c r="B587" s="24" t="str">
        <x:v>Rodenstock</x:v>
      </x:c>
      <x:c r="C587" s="24" t="str">
        <x:v>Mono Plus B.I.G. NORM</x:v>
      </x:c>
      <x:c r="D587" s="24" t="str">
        <x:v>Surfaçada</x:v>
      </x:c>
      <x:c r="E587" s="24" t="str">
        <x:v>Cosmolit Mono Plus B.I.G. NORM</x:v>
      </x:c>
      <x:c r="F587" s="24"/>
      <x:c r="G587" s="24" t="str">
        <x:v>1.6</x:v>
      </x:c>
      <x:c r="H587" s="24" t="str">
        <x:v>1.60</x:v>
      </x:c>
      <x:c r="I587" s="24" t="str">
        <x:v>ROAD</x:v>
      </x:c>
      <x:c r="J587" s="40" t="n">
        <x:v>1968</x:v>
      </x:c>
      <x:c r="K587" s="24" t="str">
        <x:v>-10 a +10</x:v>
      </x:c>
      <x:c r="L587" s="24" t="str">
        <x:v>até -6</x:v>
      </x:c>
      <x:c r="M587" s="24"/>
      <x:c r="N587" s="24" t="str">
        <x:v>75</x:v>
      </x:c>
      <x:c r="O587" s="24"/>
      <x:c r="P587" s="24"/>
      <x:c r="Q587" s="24" t="str">
        <x:v>DISPONÍVEL</x:v>
      </x:c>
      <x:c r="R587" s="24"/>
      <x:c r="S587" s="24" t="n">
        <x:v>15</x:v>
      </x:c>
      <x:c r="T587" s="24" t="str">
        <x:v>tabela_rodenstock.pdf</x:v>
      </x:c>
      <x:c r="U587" s="24" t="str">
        <x:v>Rodenstock|Mono Plus B.I.G. NORM|Surfaçada|Cosmolit Mono Plus B.I.G. NORM||1.6|1.60|ROAD|-10 a +10|até -6||75|||15</x:v>
      </x:c>
    </x:row>
    <x:row r="588">
      <x:c r="A588" s="24" t="str">
        <x:v>RD-AFABC13B0DC8</x:v>
      </x:c>
      <x:c r="B588" s="24" t="str">
        <x:v>Rodenstock</x:v>
      </x:c>
      <x:c r="C588" s="24" t="str">
        <x:v>Mono Plus B.I.G. NORM</x:v>
      </x:c>
      <x:c r="D588" s="24" t="str">
        <x:v>Surfaçada</x:v>
      </x:c>
      <x:c r="E588" s="24" t="str">
        <x:v>Cosmolit Mono Plus B.I.G. NORM</x:v>
      </x:c>
      <x:c r="F588" s="24" t="str">
        <x:v>PRO410</x:v>
      </x:c>
      <x:c r="G588" s="24" t="str">
        <x:v>1.6</x:v>
      </x:c>
      <x:c r="H588" s="24" t="str">
        <x:v>1.60</x:v>
      </x:c>
      <x:c r="I588" s="24" t="str">
        <x:v>LayR X-tra Clean</x:v>
      </x:c>
      <x:c r="J588" s="40" t="n">
        <x:v>2130</x:v>
      </x:c>
      <x:c r="K588" s="24" t="str">
        <x:v>-10 a +10</x:v>
      </x:c>
      <x:c r="L588" s="24" t="str">
        <x:v>até -6</x:v>
      </x:c>
      <x:c r="M588" s="24"/>
      <x:c r="N588" s="24" t="str">
        <x:v>75</x:v>
      </x:c>
      <x:c r="O588" s="24"/>
      <x:c r="P588" s="24"/>
      <x:c r="Q588" s="24" t="str">
        <x:v>DISPONÍVEL</x:v>
      </x:c>
      <x:c r="R588" s="24"/>
      <x:c r="S588" s="24" t="n">
        <x:v>15</x:v>
      </x:c>
      <x:c r="T588" s="24" t="str">
        <x:v>tabela_rodenstock.pdf</x:v>
      </x:c>
      <x:c r="U588" s="24" t="str">
        <x:v>Rodenstock|Mono Plus B.I.G. NORM|Surfaçada|Cosmolit Mono Plus B.I.G. NORM|PRO410|1.6|1.60|LayR X-tra Clean|-10 a +10|até -6||75|||15</x:v>
      </x:c>
    </x:row>
    <x:row r="589">
      <x:c r="A589" s="24" t="str">
        <x:v>RD-8C7DDC9B82C8</x:v>
      </x:c>
      <x:c r="B589" s="24" t="str">
        <x:v>Rodenstock</x:v>
      </x:c>
      <x:c r="C589" s="24" t="str">
        <x:v>Mono Plus B.I.G. NORM</x:v>
      </x:c>
      <x:c r="D589" s="24" t="str">
        <x:v>Surfaçada</x:v>
      </x:c>
      <x:c r="E589" s="24" t="str">
        <x:v>Cosmolit Mono Plus B.I.G. NORM</x:v>
      </x:c>
      <x:c r="F589" s="24" t="str">
        <x:v>PRO410</x:v>
      </x:c>
      <x:c r="G589" s="24" t="str">
        <x:v>1.6</x:v>
      </x:c>
      <x:c r="H589" s="24" t="str">
        <x:v>1.60</x:v>
      </x:c>
      <x:c r="I589" s="24" t="str">
        <x:v>LayR Balance</x:v>
      </x:c>
      <x:c r="J589" s="40" t="n">
        <x:v>2130</x:v>
      </x:c>
      <x:c r="K589" s="24" t="str">
        <x:v>-10 a +10</x:v>
      </x:c>
      <x:c r="L589" s="24" t="str">
        <x:v>até -6</x:v>
      </x:c>
      <x:c r="M589" s="24"/>
      <x:c r="N589" s="24" t="str">
        <x:v>75</x:v>
      </x:c>
      <x:c r="O589" s="24"/>
      <x:c r="P589" s="24"/>
      <x:c r="Q589" s="24" t="str">
        <x:v>DISPONÍVEL</x:v>
      </x:c>
      <x:c r="R589" s="24"/>
      <x:c r="S589" s="24" t="n">
        <x:v>15</x:v>
      </x:c>
      <x:c r="T589" s="24" t="str">
        <x:v>tabela_rodenstock.pdf</x:v>
      </x:c>
      <x:c r="U589" s="24" t="str">
        <x:v>Rodenstock|Mono Plus B.I.G. NORM|Surfaçada|Cosmolit Mono Plus B.I.G. NORM|PRO410|1.6|1.60|LayR Balance|-10 a +10|até -6||75|||15</x:v>
      </x:c>
    </x:row>
    <x:row r="590">
      <x:c r="A590" s="24" t="str">
        <x:v>RD-4BE488622B5C</x:v>
      </x:c>
      <x:c r="B590" s="24" t="str">
        <x:v>Rodenstock</x:v>
      </x:c>
      <x:c r="C590" s="24" t="str">
        <x:v>Mono Plus B.I.G. NORM</x:v>
      </x:c>
      <x:c r="D590" s="24" t="str">
        <x:v>Surfaçada</x:v>
      </x:c>
      <x:c r="E590" s="24" t="str">
        <x:v>Cosmolit Mono Plus B.I.G. NORM</x:v>
      </x:c>
      <x:c r="F590" s="24" t="str">
        <x:v>PRO410</x:v>
      </x:c>
      <x:c r="G590" s="24" t="str">
        <x:v>1.6</x:v>
      </x:c>
      <x:c r="H590" s="24" t="str">
        <x:v>1.60</x:v>
      </x:c>
      <x:c r="I590" s="24" t="str">
        <x:v>Solitaire X-tra Clean</x:v>
      </x:c>
      <x:c r="J590" s="40" t="n">
        <x:v>2060</x:v>
      </x:c>
      <x:c r="K590" s="24" t="str">
        <x:v>-10 a +10</x:v>
      </x:c>
      <x:c r="L590" s="24" t="str">
        <x:v>até -6</x:v>
      </x:c>
      <x:c r="M590" s="24"/>
      <x:c r="N590" s="24" t="str">
        <x:v>75</x:v>
      </x:c>
      <x:c r="O590" s="24"/>
      <x:c r="P590" s="24"/>
      <x:c r="Q590" s="24" t="str">
        <x:v>DISPONÍVEL</x:v>
      </x:c>
      <x:c r="R590" s="24"/>
      <x:c r="S590" s="24" t="n">
        <x:v>15</x:v>
      </x:c>
      <x:c r="T590" s="24" t="str">
        <x:v>tabela_rodenstock.pdf</x:v>
      </x:c>
      <x:c r="U590" s="24" t="str">
        <x:v>Rodenstock|Mono Plus B.I.G. NORM|Surfaçada|Cosmolit Mono Plus B.I.G. NORM|PRO410|1.6|1.60|Solitaire X-tra Clean|-10 a +10|até -6||75|||15</x:v>
      </x:c>
    </x:row>
    <x:row r="591">
      <x:c r="A591" s="24" t="str">
        <x:v>RD-70DDE9600EEE</x:v>
      </x:c>
      <x:c r="B591" s="24" t="str">
        <x:v>Rodenstock</x:v>
      </x:c>
      <x:c r="C591" s="24" t="str">
        <x:v>Mono Plus B.I.G. NORM</x:v>
      </x:c>
      <x:c r="D591" s="24" t="str">
        <x:v>Surfaçada</x:v>
      </x:c>
      <x:c r="E591" s="24" t="str">
        <x:v>Cosmolit Mono Plus B.I.G. NORM</x:v>
      </x:c>
      <x:c r="F591" s="24" t="str">
        <x:v>PRO410</x:v>
      </x:c>
      <x:c r="G591" s="24" t="str">
        <x:v>1.6</x:v>
      </x:c>
      <x:c r="H591" s="24" t="str">
        <x:v>1.60</x:v>
      </x:c>
      <x:c r="I591" s="24" t="str">
        <x:v>Solitaire Protect Plus</x:v>
      </x:c>
      <x:c r="J591" s="40" t="n">
        <x:v>2010</x:v>
      </x:c>
      <x:c r="K591" s="24" t="str">
        <x:v>-10 a +10</x:v>
      </x:c>
      <x:c r="L591" s="24" t="str">
        <x:v>até -6</x:v>
      </x:c>
      <x:c r="M591" s="24"/>
      <x:c r="N591" s="24" t="str">
        <x:v>75</x:v>
      </x:c>
      <x:c r="O591" s="24"/>
      <x:c r="P591" s="24"/>
      <x:c r="Q591" s="24" t="str">
        <x:v>DISPONÍVEL</x:v>
      </x:c>
      <x:c r="R591" s="24"/>
      <x:c r="S591" s="24" t="n">
        <x:v>15</x:v>
      </x:c>
      <x:c r="T591" s="24" t="str">
        <x:v>tabela_rodenstock.pdf</x:v>
      </x:c>
      <x:c r="U591" s="24" t="str">
        <x:v>Rodenstock|Mono Plus B.I.G. NORM|Surfaçada|Cosmolit Mono Plus B.I.G. NORM|PRO410|1.6|1.60|Solitaire Protect Plus|-10 a +10|até -6||75|||15</x:v>
      </x:c>
    </x:row>
    <x:row r="592">
      <x:c r="A592" s="24" t="str">
        <x:v>RD-25FA92C28D0C</x:v>
      </x:c>
      <x:c r="B592" s="24" t="str">
        <x:v>Rodenstock</x:v>
      </x:c>
      <x:c r="C592" s="24" t="str">
        <x:v>Mono Plus B.I.G. NORM</x:v>
      </x:c>
      <x:c r="D592" s="24" t="str">
        <x:v>Surfaçada</x:v>
      </x:c>
      <x:c r="E592" s="24" t="str">
        <x:v>Cosmolit Mono Plus B.I.G. NORM</x:v>
      </x:c>
      <x:c r="F592" s="24" t="str">
        <x:v>PRO410</x:v>
      </x:c>
      <x:c r="G592" s="24" t="str">
        <x:v>1.6</x:v>
      </x:c>
      <x:c r="H592" s="24" t="str">
        <x:v>1.60</x:v>
      </x:c>
      <x:c r="I592" s="24" t="str">
        <x:v>ROAD</x:v>
      </x:c>
      <x:c r="J592" s="40" t="n">
        <x:v>2010</x:v>
      </x:c>
      <x:c r="K592" s="24" t="str">
        <x:v>-10 a +10</x:v>
      </x:c>
      <x:c r="L592" s="24" t="str">
        <x:v>até -6</x:v>
      </x:c>
      <x:c r="M592" s="24"/>
      <x:c r="N592" s="24" t="str">
        <x:v>75</x:v>
      </x:c>
      <x:c r="O592" s="24"/>
      <x:c r="P592" s="24"/>
      <x:c r="Q592" s="24" t="str">
        <x:v>DISPONÍVEL</x:v>
      </x:c>
      <x:c r="R592" s="24"/>
      <x:c r="S592" s="24" t="n">
        <x:v>15</x:v>
      </x:c>
      <x:c r="T592" s="24" t="str">
        <x:v>tabela_rodenstock.pdf</x:v>
      </x:c>
      <x:c r="U592" s="24" t="str">
        <x:v>Rodenstock|Mono Plus B.I.G. NORM|Surfaçada|Cosmolit Mono Plus B.I.G. NORM|PRO410|1.6|1.60|ROAD|-10 a +10|até -6||75|||15</x:v>
      </x:c>
    </x:row>
    <x:row r="593">
      <x:c r="A593" s="24" t="str">
        <x:v>RD-D71964A63A45</x:v>
      </x:c>
      <x:c r="B593" s="24" t="str">
        <x:v>Rodenstock</x:v>
      </x:c>
      <x:c r="C593" s="24" t="str">
        <x:v>Mono Plus B.I.G. NORM</x:v>
      </x:c>
      <x:c r="D593" s="24" t="str">
        <x:v>Surfaçada</x:v>
      </x:c>
      <x:c r="E593" s="24" t="str">
        <x:v>Cosmolit Mono Plus B.I.G. NORM</x:v>
      </x:c>
      <x:c r="F593" s="24" t="str">
        <x:v>ColorMatic® 3 | X</x:v>
      </x:c>
      <x:c r="G593" s="24" t="str">
        <x:v>1.6</x:v>
      </x:c>
      <x:c r="H593" s="24" t="str">
        <x:v>1.60</x:v>
      </x:c>
      <x:c r="I593" s="24" t="str">
        <x:v>LayR X-tra Clean</x:v>
      </x:c>
      <x:c r="J593" s="40" t="n">
        <x:v>3316</x:v>
      </x:c>
      <x:c r="K593" s="24" t="str">
        <x:v>-10 a +10</x:v>
      </x:c>
      <x:c r="L593" s="24" t="str">
        <x:v>até -6</x:v>
      </x:c>
      <x:c r="M593" s="24"/>
      <x:c r="N593" s="24" t="str">
        <x:v>75</x:v>
      </x:c>
      <x:c r="O593" s="24"/>
      <x:c r="P593" s="24"/>
      <x:c r="Q593" s="24" t="str">
        <x:v>DISPONÍVEL</x:v>
      </x:c>
      <x:c r="R593" s="24"/>
      <x:c r="S593" s="24" t="n">
        <x:v>15</x:v>
      </x:c>
      <x:c r="T593" s="24" t="str">
        <x:v>tabela_rodenstock.pdf</x:v>
      </x:c>
      <x:c r="U593" s="24" t="str">
        <x:v>Rodenstock|Mono Plus B.I.G. NORM|Surfaçada|Cosmolit Mono Plus B.I.G. NORM|ColorMatic® 3 | X|1.6|1.60|LayR X-tra Clean|-10 a +10|até -6||75|||15</x:v>
      </x:c>
    </x:row>
    <x:row r="594">
      <x:c r="A594" s="24" t="str">
        <x:v>RD-94182D0C4448</x:v>
      </x:c>
      <x:c r="B594" s="24" t="str">
        <x:v>Rodenstock</x:v>
      </x:c>
      <x:c r="C594" s="24" t="str">
        <x:v>Mono Plus B.I.G. NORM</x:v>
      </x:c>
      <x:c r="D594" s="24" t="str">
        <x:v>Surfaçada</x:v>
      </x:c>
      <x:c r="E594" s="24" t="str">
        <x:v>Cosmolit Mono Plus B.I.G. NORM</x:v>
      </x:c>
      <x:c r="F594" s="24" t="str">
        <x:v>ColorMatic® 3 | X</x:v>
      </x:c>
      <x:c r="G594" s="24" t="str">
        <x:v>1.6</x:v>
      </x:c>
      <x:c r="H594" s="24" t="str">
        <x:v>1.60</x:v>
      </x:c>
      <x:c r="I594" s="24" t="str">
        <x:v>LayR Balance</x:v>
      </x:c>
      <x:c r="J594" s="40" t="n">
        <x:v>3316</x:v>
      </x:c>
      <x:c r="K594" s="24" t="str">
        <x:v>-10 a +10</x:v>
      </x:c>
      <x:c r="L594" s="24" t="str">
        <x:v>até -6</x:v>
      </x:c>
      <x:c r="M594" s="24"/>
      <x:c r="N594" s="24" t="str">
        <x:v>75</x:v>
      </x:c>
      <x:c r="O594" s="24"/>
      <x:c r="P594" s="24"/>
      <x:c r="Q594" s="24" t="str">
        <x:v>DISPONÍVEL</x:v>
      </x:c>
      <x:c r="R594" s="24"/>
      <x:c r="S594" s="24" t="n">
        <x:v>15</x:v>
      </x:c>
      <x:c r="T594" s="24" t="str">
        <x:v>tabela_rodenstock.pdf</x:v>
      </x:c>
      <x:c r="U594" s="24" t="str">
        <x:v>Rodenstock|Mono Plus B.I.G. NORM|Surfaçada|Cosmolit Mono Plus B.I.G. NORM|ColorMatic® 3 | X|1.6|1.60|LayR Balance|-10 a +10|até -6||75|||15</x:v>
      </x:c>
    </x:row>
    <x:row r="595">
      <x:c r="A595" s="24" t="str">
        <x:v>RD-848CF429890E</x:v>
      </x:c>
      <x:c r="B595" s="24" t="str">
        <x:v>Rodenstock</x:v>
      </x:c>
      <x:c r="C595" s="24" t="str">
        <x:v>Mono Plus B.I.G. NORM</x:v>
      </x:c>
      <x:c r="D595" s="24" t="str">
        <x:v>Surfaçada</x:v>
      </x:c>
      <x:c r="E595" s="24" t="str">
        <x:v>Cosmolit Mono Plus B.I.G. NORM</x:v>
      </x:c>
      <x:c r="F595" s="24" t="str">
        <x:v>ColorMatic® 3 | X</x:v>
      </x:c>
      <x:c r="G595" s="24" t="str">
        <x:v>1.6</x:v>
      </x:c>
      <x:c r="H595" s="24" t="str">
        <x:v>1.60</x:v>
      </x:c>
      <x:c r="I595" s="24" t="str">
        <x:v>Solitaire X-tra Clean</x:v>
      </x:c>
      <x:c r="J595" s="40" t="n">
        <x:v>3246</x:v>
      </x:c>
      <x:c r="K595" s="24" t="str">
        <x:v>-10 a +10</x:v>
      </x:c>
      <x:c r="L595" s="24" t="str">
        <x:v>até -6</x:v>
      </x:c>
      <x:c r="M595" s="24"/>
      <x:c r="N595" s="24" t="str">
        <x:v>75</x:v>
      </x:c>
      <x:c r="O595" s="24"/>
      <x:c r="P595" s="24"/>
      <x:c r="Q595" s="24" t="str">
        <x:v>DISPONÍVEL</x:v>
      </x:c>
      <x:c r="R595" s="24"/>
      <x:c r="S595" s="24" t="n">
        <x:v>15</x:v>
      </x:c>
      <x:c r="T595" s="24" t="str">
        <x:v>tabela_rodenstock.pdf</x:v>
      </x:c>
      <x:c r="U595" s="24" t="str">
        <x:v>Rodenstock|Mono Plus B.I.G. NORM|Surfaçada|Cosmolit Mono Plus B.I.G. NORM|ColorMatic® 3 | X|1.6|1.60|Solitaire X-tra Clean|-10 a +10|até -6||75|||15</x:v>
      </x:c>
    </x:row>
    <x:row r="596">
      <x:c r="A596" s="24" t="str">
        <x:v>RD-EBADB5C85461</x:v>
      </x:c>
      <x:c r="B596" s="24" t="str">
        <x:v>Rodenstock</x:v>
      </x:c>
      <x:c r="C596" s="24" t="str">
        <x:v>Mono Plus B.I.G. NORM</x:v>
      </x:c>
      <x:c r="D596" s="24" t="str">
        <x:v>Surfaçada</x:v>
      </x:c>
      <x:c r="E596" s="24" t="str">
        <x:v>Cosmolit Mono Plus B.I.G. NORM</x:v>
      </x:c>
      <x:c r="F596" s="24" t="str">
        <x:v>ColorMatic® 3 | X</x:v>
      </x:c>
      <x:c r="G596" s="24" t="str">
        <x:v>1.6</x:v>
      </x:c>
      <x:c r="H596" s="24" t="str">
        <x:v>1.60</x:v>
      </x:c>
      <x:c r="I596" s="24" t="str">
        <x:v>Solitaire Protect Plus</x:v>
      </x:c>
      <x:c r="J596" s="40" t="n">
        <x:v>3196</x:v>
      </x:c>
      <x:c r="K596" s="24" t="str">
        <x:v>-10 a +10</x:v>
      </x:c>
      <x:c r="L596" s="24" t="str">
        <x:v>até -6</x:v>
      </x:c>
      <x:c r="M596" s="24"/>
      <x:c r="N596" s="24" t="str">
        <x:v>75</x:v>
      </x:c>
      <x:c r="O596" s="24"/>
      <x:c r="P596" s="24"/>
      <x:c r="Q596" s="24" t="str">
        <x:v>DISPONÍVEL</x:v>
      </x:c>
      <x:c r="R596" s="24"/>
      <x:c r="S596" s="24" t="n">
        <x:v>15</x:v>
      </x:c>
      <x:c r="T596" s="24" t="str">
        <x:v>tabela_rodenstock.pdf</x:v>
      </x:c>
      <x:c r="U596" s="24" t="str">
        <x:v>Rodenstock|Mono Plus B.I.G. NORM|Surfaçada|Cosmolit Mono Plus B.I.G. NORM|ColorMatic® 3 | X|1.6|1.60|Solitaire Protect Plus|-10 a +10|até -6||75|||15</x:v>
      </x:c>
    </x:row>
    <x:row r="597">
      <x:c r="A597" s="24" t="str">
        <x:v>RD-3164DDDBE7E1</x:v>
      </x:c>
      <x:c r="B597" s="24" t="str">
        <x:v>Rodenstock</x:v>
      </x:c>
      <x:c r="C597" s="24" t="str">
        <x:v>Mono Plus B.I.G. NORM</x:v>
      </x:c>
      <x:c r="D597" s="24" t="str">
        <x:v>Surfaçada</x:v>
      </x:c>
      <x:c r="E597" s="24" t="str">
        <x:v>Cosmolit Mono Plus B.I.G. NORM</x:v>
      </x:c>
      <x:c r="F597" s="24" t="str">
        <x:v>ColorMatic® 3 | X</x:v>
      </x:c>
      <x:c r="G597" s="24" t="str">
        <x:v>1.6</x:v>
      </x:c>
      <x:c r="H597" s="24" t="str">
        <x:v>1.60</x:v>
      </x:c>
      <x:c r="I597" s="24" t="str">
        <x:v>ROAD</x:v>
      </x:c>
      <x:c r="J597" s="40" t="n">
        <x:v>3196</x:v>
      </x:c>
      <x:c r="K597" s="24" t="str">
        <x:v>-10 a +10</x:v>
      </x:c>
      <x:c r="L597" s="24" t="str">
        <x:v>até -6</x:v>
      </x:c>
      <x:c r="M597" s="24"/>
      <x:c r="N597" s="24" t="str">
        <x:v>75</x:v>
      </x:c>
      <x:c r="O597" s="24"/>
      <x:c r="P597" s="24"/>
      <x:c r="Q597" s="24" t="str">
        <x:v>DISPONÍVEL</x:v>
      </x:c>
      <x:c r="R597" s="24"/>
      <x:c r="S597" s="24" t="n">
        <x:v>15</x:v>
      </x:c>
      <x:c r="T597" s="24" t="str">
        <x:v>tabela_rodenstock.pdf</x:v>
      </x:c>
      <x:c r="U597" s="24" t="str">
        <x:v>Rodenstock|Mono Plus B.I.G. NORM|Surfaçada|Cosmolit Mono Plus B.I.G. NORM|ColorMatic® 3 | X|1.6|1.60|ROAD|-10 a +10|até -6||75|||15</x:v>
      </x:c>
    </x:row>
    <x:row r="598">
      <x:c r="A598" s="24" t="str">
        <x:v>RD-CD7A88B5D0FD</x:v>
      </x:c>
      <x:c r="B598" s="24" t="str">
        <x:v>Rodenstock</x:v>
      </x:c>
      <x:c r="C598" s="24" t="str">
        <x:v>Mono Plus B.I.G. NORM</x:v>
      </x:c>
      <x:c r="D598" s="24" t="str">
        <x:v>Surfaçada</x:v>
      </x:c>
      <x:c r="E598" s="24" t="str">
        <x:v>Cosmolit Mono Plus B.I.G. NORM</x:v>
      </x:c>
      <x:c r="F598" s="24"/>
      <x:c r="G598" s="24" t="str">
        <x:v>1.67</x:v>
      </x:c>
      <x:c r="H598" s="24" t="str">
        <x:v>1.67</x:v>
      </x:c>
      <x:c r="I598" s="24" t="str">
        <x:v>LayR X-tra Clean</x:v>
      </x:c>
      <x:c r="J598" s="40" t="n">
        <x:v>3246</x:v>
      </x:c>
      <x:c r="K598" s="24" t="str">
        <x:v>-12 a +10</x:v>
      </x:c>
      <x:c r="L598" s="24" t="str">
        <x:v>até -6</x:v>
      </x:c>
      <x:c r="M598" s="24"/>
      <x:c r="N598" s="24" t="str">
        <x:v>75</x:v>
      </x:c>
      <x:c r="O598" s="24"/>
      <x:c r="P598" s="24"/>
      <x:c r="Q598" s="24" t="str">
        <x:v>DISPONÍVEL</x:v>
      </x:c>
      <x:c r="R598" s="24"/>
      <x:c r="S598" s="24" t="n">
        <x:v>15</x:v>
      </x:c>
      <x:c r="T598" s="24" t="str">
        <x:v>tabela_rodenstock.pdf</x:v>
      </x:c>
      <x:c r="U598" s="24" t="str">
        <x:v>Rodenstock|Mono Plus B.I.G. NORM|Surfaçada|Cosmolit Mono Plus B.I.G. NORM||1.67|1.67|LayR X-tra Clean|-12 a +10|até -6||75|||15</x:v>
      </x:c>
    </x:row>
    <x:row r="599">
      <x:c r="A599" s="24" t="str">
        <x:v>RD-B061A8ACBBAF</x:v>
      </x:c>
      <x:c r="B599" s="24" t="str">
        <x:v>Rodenstock</x:v>
      </x:c>
      <x:c r="C599" s="24" t="str">
        <x:v>Mono Plus B.I.G. NORM</x:v>
      </x:c>
      <x:c r="D599" s="24" t="str">
        <x:v>Surfaçada</x:v>
      </x:c>
      <x:c r="E599" s="24" t="str">
        <x:v>Cosmolit Mono Plus B.I.G. NORM</x:v>
      </x:c>
      <x:c r="F599" s="24"/>
      <x:c r="G599" s="24" t="str">
        <x:v>1.67</x:v>
      </x:c>
      <x:c r="H599" s="24" t="str">
        <x:v>1.67</x:v>
      </x:c>
      <x:c r="I599" s="24" t="str">
        <x:v>LayR Balance</x:v>
      </x:c>
      <x:c r="J599" s="40" t="n">
        <x:v>3246</x:v>
      </x:c>
      <x:c r="K599" s="24" t="str">
        <x:v>-12 a +10</x:v>
      </x:c>
      <x:c r="L599" s="24" t="str">
        <x:v>até -6</x:v>
      </x:c>
      <x:c r="M599" s="24"/>
      <x:c r="N599" s="24" t="str">
        <x:v>75</x:v>
      </x:c>
      <x:c r="O599" s="24"/>
      <x:c r="P599" s="24"/>
      <x:c r="Q599" s="24" t="str">
        <x:v>DISPONÍVEL</x:v>
      </x:c>
      <x:c r="R599" s="24"/>
      <x:c r="S599" s="24" t="n">
        <x:v>15</x:v>
      </x:c>
      <x:c r="T599" s="24" t="str">
        <x:v>tabela_rodenstock.pdf</x:v>
      </x:c>
      <x:c r="U599" s="24" t="str">
        <x:v>Rodenstock|Mono Plus B.I.G. NORM|Surfaçada|Cosmolit Mono Plus B.I.G. NORM||1.67|1.67|LayR Balance|-12 a +10|até -6||75|||15</x:v>
      </x:c>
    </x:row>
    <x:row r="600">
      <x:c r="A600" s="24" t="str">
        <x:v>RD-DD45890864E9</x:v>
      </x:c>
      <x:c r="B600" s="24" t="str">
        <x:v>Rodenstock</x:v>
      </x:c>
      <x:c r="C600" s="24" t="str">
        <x:v>Mono Plus B.I.G. NORM</x:v>
      </x:c>
      <x:c r="D600" s="24" t="str">
        <x:v>Surfaçada</x:v>
      </x:c>
      <x:c r="E600" s="24" t="str">
        <x:v>Cosmolit Mono Plus B.I.G. NORM</x:v>
      </x:c>
      <x:c r="F600" s="24"/>
      <x:c r="G600" s="24" t="str">
        <x:v>1.67</x:v>
      </x:c>
      <x:c r="H600" s="24" t="str">
        <x:v>1.67</x:v>
      </x:c>
      <x:c r="I600" s="24" t="str">
        <x:v>Solitaire X-tra Clean</x:v>
      </x:c>
      <x:c r="J600" s="40" t="n">
        <x:v>3176</x:v>
      </x:c>
      <x:c r="K600" s="24" t="str">
        <x:v>-12 a +10</x:v>
      </x:c>
      <x:c r="L600" s="24" t="str">
        <x:v>até -6</x:v>
      </x:c>
      <x:c r="M600" s="24"/>
      <x:c r="N600" s="24" t="str">
        <x:v>75</x:v>
      </x:c>
      <x:c r="O600" s="24"/>
      <x:c r="P600" s="24"/>
      <x:c r="Q600" s="24" t="str">
        <x:v>DISPONÍVEL</x:v>
      </x:c>
      <x:c r="R600" s="24"/>
      <x:c r="S600" s="24" t="n">
        <x:v>15</x:v>
      </x:c>
      <x:c r="T600" s="24" t="str">
        <x:v>tabela_rodenstock.pdf</x:v>
      </x:c>
      <x:c r="U600" s="24" t="str">
        <x:v>Rodenstock|Mono Plus B.I.G. NORM|Surfaçada|Cosmolit Mono Plus B.I.G. NORM||1.67|1.67|Solitaire X-tra Clean|-12 a +10|até -6||75|||15</x:v>
      </x:c>
    </x:row>
    <x:row r="601">
      <x:c r="A601" s="24" t="str">
        <x:v>RD-7A26141A5E70</x:v>
      </x:c>
      <x:c r="B601" s="24" t="str">
        <x:v>Rodenstock</x:v>
      </x:c>
      <x:c r="C601" s="24" t="str">
        <x:v>Mono Plus B.I.G. NORM</x:v>
      </x:c>
      <x:c r="D601" s="24" t="str">
        <x:v>Surfaçada</x:v>
      </x:c>
      <x:c r="E601" s="24" t="str">
        <x:v>Cosmolit Mono Plus B.I.G. NORM</x:v>
      </x:c>
      <x:c r="F601" s="24"/>
      <x:c r="G601" s="24" t="str">
        <x:v>1.67</x:v>
      </x:c>
      <x:c r="H601" s="24" t="str">
        <x:v>1.67</x:v>
      </x:c>
      <x:c r="I601" s="24" t="str">
        <x:v>Solitaire Protect Plus</x:v>
      </x:c>
      <x:c r="J601" s="40" t="n">
        <x:v>3126</x:v>
      </x:c>
      <x:c r="K601" s="24" t="str">
        <x:v>-12 a +10</x:v>
      </x:c>
      <x:c r="L601" s="24" t="str">
        <x:v>até -6</x:v>
      </x:c>
      <x:c r="M601" s="24"/>
      <x:c r="N601" s="24" t="str">
        <x:v>75</x:v>
      </x:c>
      <x:c r="O601" s="24"/>
      <x:c r="P601" s="24"/>
      <x:c r="Q601" s="24" t="str">
        <x:v>DISPONÍVEL</x:v>
      </x:c>
      <x:c r="R601" s="24"/>
      <x:c r="S601" s="24" t="n">
        <x:v>15</x:v>
      </x:c>
      <x:c r="T601" s="24" t="str">
        <x:v>tabela_rodenstock.pdf</x:v>
      </x:c>
      <x:c r="U601" s="24" t="str">
        <x:v>Rodenstock|Mono Plus B.I.G. NORM|Surfaçada|Cosmolit Mono Plus B.I.G. NORM||1.67|1.67|Solitaire Protect Plus|-12 a +10|até -6||75|||15</x:v>
      </x:c>
    </x:row>
    <x:row r="602">
      <x:c r="A602" s="24" t="str">
        <x:v>RD-D6139706E5E1</x:v>
      </x:c>
      <x:c r="B602" s="24" t="str">
        <x:v>Rodenstock</x:v>
      </x:c>
      <x:c r="C602" s="24" t="str">
        <x:v>Mono Plus B.I.G. NORM</x:v>
      </x:c>
      <x:c r="D602" s="24" t="str">
        <x:v>Surfaçada</x:v>
      </x:c>
      <x:c r="E602" s="24" t="str">
        <x:v>Cosmolit Mono Plus B.I.G. NORM</x:v>
      </x:c>
      <x:c r="F602" s="24"/>
      <x:c r="G602" s="24" t="str">
        <x:v>1.67</x:v>
      </x:c>
      <x:c r="H602" s="24" t="str">
        <x:v>1.67</x:v>
      </x:c>
      <x:c r="I602" s="24" t="str">
        <x:v>ROAD</x:v>
      </x:c>
      <x:c r="J602" s="40" t="n">
        <x:v>3126</x:v>
      </x:c>
      <x:c r="K602" s="24" t="str">
        <x:v>-12 a +10</x:v>
      </x:c>
      <x:c r="L602" s="24" t="str">
        <x:v>até -6</x:v>
      </x:c>
      <x:c r="M602" s="24"/>
      <x:c r="N602" s="24" t="str">
        <x:v>75</x:v>
      </x:c>
      <x:c r="O602" s="24"/>
      <x:c r="P602" s="24"/>
      <x:c r="Q602" s="24" t="str">
        <x:v>DISPONÍVEL</x:v>
      </x:c>
      <x:c r="R602" s="24"/>
      <x:c r="S602" s="24" t="n">
        <x:v>15</x:v>
      </x:c>
      <x:c r="T602" s="24" t="str">
        <x:v>tabela_rodenstock.pdf</x:v>
      </x:c>
      <x:c r="U602" s="24" t="str">
        <x:v>Rodenstock|Mono Plus B.I.G. NORM|Surfaçada|Cosmolit Mono Plus B.I.G. NORM||1.67|1.67|ROAD|-12 a +10|até -6||75|||15</x:v>
      </x:c>
    </x:row>
    <x:row r="603">
      <x:c r="A603" s="24" t="str">
        <x:v>RD-0AF78B5E9B5A</x:v>
      </x:c>
      <x:c r="B603" s="24" t="str">
        <x:v>Rodenstock</x:v>
      </x:c>
      <x:c r="C603" s="24" t="str">
        <x:v>Mono Plus B.I.G. NORM</x:v>
      </x:c>
      <x:c r="D603" s="24" t="str">
        <x:v>Surfaçada</x:v>
      </x:c>
      <x:c r="E603" s="24" t="str">
        <x:v>Cosmolit Mono Plus B.I.G. NORM</x:v>
      </x:c>
      <x:c r="F603" s="24" t="str">
        <x:v>ColorMatic® 3</x:v>
      </x:c>
      <x:c r="G603" s="24" t="str">
        <x:v>1.67</x:v>
      </x:c>
      <x:c r="H603" s="24" t="str">
        <x:v>1.67</x:v>
      </x:c>
      <x:c r="I603" s="24" t="str">
        <x:v>LayR X-tra Clean</x:v>
      </x:c>
      <x:c r="J603" s="40" t="n">
        <x:v>4627</x:v>
      </x:c>
      <x:c r="K603" s="24" t="str">
        <x:v>-12 a +10</x:v>
      </x:c>
      <x:c r="L603" s="24" t="str">
        <x:v>até -6</x:v>
      </x:c>
      <x:c r="M603" s="24"/>
      <x:c r="N603" s="24" t="str">
        <x:v>75</x:v>
      </x:c>
      <x:c r="O603" s="24"/>
      <x:c r="P603" s="24"/>
      <x:c r="Q603" s="24" t="str">
        <x:v>DISPONÍVEL</x:v>
      </x:c>
      <x:c r="R603" s="24"/>
      <x:c r="S603" s="24" t="n">
        <x:v>15</x:v>
      </x:c>
      <x:c r="T603" s="24" t="str">
        <x:v>tabela_rodenstock.pdf</x:v>
      </x:c>
      <x:c r="U603" s="24" t="str">
        <x:v>Rodenstock|Mono Plus B.I.G. NORM|Surfaçada|Cosmolit Mono Plus B.I.G. NORM|ColorMatic® 3|1.67|1.67|LayR X-tra Clean|-12 a +10|até -6||75|||15</x:v>
      </x:c>
    </x:row>
    <x:row r="604">
      <x:c r="A604" s="24" t="str">
        <x:v>RD-248CB36DEF56</x:v>
      </x:c>
      <x:c r="B604" s="24" t="str">
        <x:v>Rodenstock</x:v>
      </x:c>
      <x:c r="C604" s="24" t="str">
        <x:v>Mono Plus B.I.G. NORM</x:v>
      </x:c>
      <x:c r="D604" s="24" t="str">
        <x:v>Surfaçada</x:v>
      </x:c>
      <x:c r="E604" s="24" t="str">
        <x:v>Cosmolit Mono Plus B.I.G. NORM</x:v>
      </x:c>
      <x:c r="F604" s="24" t="str">
        <x:v>ColorMatic® 3</x:v>
      </x:c>
      <x:c r="G604" s="24" t="str">
        <x:v>1.67</x:v>
      </x:c>
      <x:c r="H604" s="24" t="str">
        <x:v>1.67</x:v>
      </x:c>
      <x:c r="I604" s="24" t="str">
        <x:v>LayR Balance</x:v>
      </x:c>
      <x:c r="J604" s="40" t="n">
        <x:v>4627</x:v>
      </x:c>
      <x:c r="K604" s="24" t="str">
        <x:v>-12 a +10</x:v>
      </x:c>
      <x:c r="L604" s="24" t="str">
        <x:v>até -6</x:v>
      </x:c>
      <x:c r="M604" s="24"/>
      <x:c r="N604" s="24" t="str">
        <x:v>75</x:v>
      </x:c>
      <x:c r="O604" s="24"/>
      <x:c r="P604" s="24"/>
      <x:c r="Q604" s="24" t="str">
        <x:v>DISPONÍVEL</x:v>
      </x:c>
      <x:c r="R604" s="24"/>
      <x:c r="S604" s="24" t="n">
        <x:v>15</x:v>
      </x:c>
      <x:c r="T604" s="24" t="str">
        <x:v>tabela_rodenstock.pdf</x:v>
      </x:c>
      <x:c r="U604" s="24" t="str">
        <x:v>Rodenstock|Mono Plus B.I.G. NORM|Surfaçada|Cosmolit Mono Plus B.I.G. NORM|ColorMatic® 3|1.67|1.67|LayR Balance|-12 a +10|até -6||75|||15</x:v>
      </x:c>
    </x:row>
    <x:row r="605">
      <x:c r="A605" s="24" t="str">
        <x:v>RD-85B113966457</x:v>
      </x:c>
      <x:c r="B605" s="24" t="str">
        <x:v>Rodenstock</x:v>
      </x:c>
      <x:c r="C605" s="24" t="str">
        <x:v>Mono Plus B.I.G. NORM</x:v>
      </x:c>
      <x:c r="D605" s="24" t="str">
        <x:v>Surfaçada</x:v>
      </x:c>
      <x:c r="E605" s="24" t="str">
        <x:v>Cosmolit Mono Plus B.I.G. NORM</x:v>
      </x:c>
      <x:c r="F605" s="24" t="str">
        <x:v>ColorMatic® 3</x:v>
      </x:c>
      <x:c r="G605" s="24" t="str">
        <x:v>1.67</x:v>
      </x:c>
      <x:c r="H605" s="24" t="str">
        <x:v>1.67</x:v>
      </x:c>
      <x:c r="I605" s="24" t="str">
        <x:v>Solitaire X-tra Clean</x:v>
      </x:c>
      <x:c r="J605" s="40" t="n">
        <x:v>4557</x:v>
      </x:c>
      <x:c r="K605" s="24" t="str">
        <x:v>-12 a +10</x:v>
      </x:c>
      <x:c r="L605" s="24" t="str">
        <x:v>até -6</x:v>
      </x:c>
      <x:c r="M605" s="24"/>
      <x:c r="N605" s="24" t="str">
        <x:v>75</x:v>
      </x:c>
      <x:c r="O605" s="24"/>
      <x:c r="P605" s="24"/>
      <x:c r="Q605" s="24" t="str">
        <x:v>DISPONÍVEL</x:v>
      </x:c>
      <x:c r="R605" s="24"/>
      <x:c r="S605" s="24" t="n">
        <x:v>15</x:v>
      </x:c>
      <x:c r="T605" s="24" t="str">
        <x:v>tabela_rodenstock.pdf</x:v>
      </x:c>
      <x:c r="U605" s="24" t="str">
        <x:v>Rodenstock|Mono Plus B.I.G. NORM|Surfaçada|Cosmolit Mono Plus B.I.G. NORM|ColorMatic® 3|1.67|1.67|Solitaire X-tra Clean|-12 a +10|até -6||75|||15</x:v>
      </x:c>
    </x:row>
    <x:row r="606">
      <x:c r="A606" s="24" t="str">
        <x:v>RD-E855D7745CA3</x:v>
      </x:c>
      <x:c r="B606" s="24" t="str">
        <x:v>Rodenstock</x:v>
      </x:c>
      <x:c r="C606" s="24" t="str">
        <x:v>Mono Plus B.I.G. NORM</x:v>
      </x:c>
      <x:c r="D606" s="24" t="str">
        <x:v>Surfaçada</x:v>
      </x:c>
      <x:c r="E606" s="24" t="str">
        <x:v>Cosmolit Mono Plus B.I.G. NORM</x:v>
      </x:c>
      <x:c r="F606" s="24" t="str">
        <x:v>ColorMatic® 3</x:v>
      </x:c>
      <x:c r="G606" s="24" t="str">
        <x:v>1.67</x:v>
      </x:c>
      <x:c r="H606" s="24" t="str">
        <x:v>1.67</x:v>
      </x:c>
      <x:c r="I606" s="24" t="str">
        <x:v>Solitaire Protect Plus</x:v>
      </x:c>
      <x:c r="J606" s="40" t="n">
        <x:v>4507</x:v>
      </x:c>
      <x:c r="K606" s="24" t="str">
        <x:v>-12 a +10</x:v>
      </x:c>
      <x:c r="L606" s="24" t="str">
        <x:v>até -6</x:v>
      </x:c>
      <x:c r="M606" s="24"/>
      <x:c r="N606" s="24" t="str">
        <x:v>75</x:v>
      </x:c>
      <x:c r="O606" s="24"/>
      <x:c r="P606" s="24"/>
      <x:c r="Q606" s="24" t="str">
        <x:v>DISPONÍVEL</x:v>
      </x:c>
      <x:c r="R606" s="24"/>
      <x:c r="S606" s="24" t="n">
        <x:v>15</x:v>
      </x:c>
      <x:c r="T606" s="24" t="str">
        <x:v>tabela_rodenstock.pdf</x:v>
      </x:c>
      <x:c r="U606" s="24" t="str">
        <x:v>Rodenstock|Mono Plus B.I.G. NORM|Surfaçada|Cosmolit Mono Plus B.I.G. NORM|ColorMatic® 3|1.67|1.67|Solitaire Protect Plus|-12 a +10|até -6||75|||15</x:v>
      </x:c>
    </x:row>
    <x:row r="607">
      <x:c r="A607" s="24" t="str">
        <x:v>RD-432ACCA9B0C3</x:v>
      </x:c>
      <x:c r="B607" s="24" t="str">
        <x:v>Rodenstock</x:v>
      </x:c>
      <x:c r="C607" s="24" t="str">
        <x:v>Mono Plus B.I.G. NORM</x:v>
      </x:c>
      <x:c r="D607" s="24" t="str">
        <x:v>Surfaçada</x:v>
      </x:c>
      <x:c r="E607" s="24" t="str">
        <x:v>Cosmolit Mono Plus B.I.G. NORM</x:v>
      </x:c>
      <x:c r="F607" s="24" t="str">
        <x:v>ColorMatic® 3</x:v>
      </x:c>
      <x:c r="G607" s="24" t="str">
        <x:v>1.67</x:v>
      </x:c>
      <x:c r="H607" s="24" t="str">
        <x:v>1.67</x:v>
      </x:c>
      <x:c r="I607" s="24" t="str">
        <x:v>ROAD</x:v>
      </x:c>
      <x:c r="J607" s="40" t="n">
        <x:v>4507</x:v>
      </x:c>
      <x:c r="K607" s="24" t="str">
        <x:v>-12 a +10</x:v>
      </x:c>
      <x:c r="L607" s="24" t="str">
        <x:v>até -6</x:v>
      </x:c>
      <x:c r="M607" s="24"/>
      <x:c r="N607" s="24" t="str">
        <x:v>75</x:v>
      </x:c>
      <x:c r="O607" s="24"/>
      <x:c r="P607" s="24"/>
      <x:c r="Q607" s="24" t="str">
        <x:v>DISPONÍVEL</x:v>
      </x:c>
      <x:c r="R607" s="24"/>
      <x:c r="S607" s="24" t="n">
        <x:v>15</x:v>
      </x:c>
      <x:c r="T607" s="24" t="str">
        <x:v>tabela_rodenstock.pdf</x:v>
      </x:c>
      <x:c r="U607" s="24" t="str">
        <x:v>Rodenstock|Mono Plus B.I.G. NORM|Surfaçada|Cosmolit Mono Plus B.I.G. NORM|ColorMatic® 3|1.67|1.67|ROAD|-12 a +10|até -6||75|||15</x:v>
      </x:c>
    </x:row>
    <x:row r="608">
      <x:c r="A608" s="24" t="str">
        <x:v>RD-C98D7CD74C21</x:v>
      </x:c>
      <x:c r="B608" s="24" t="str">
        <x:v>Rodenstock</x:v>
      </x:c>
      <x:c r="C608" s="24" t="str">
        <x:v>Mono Plus B.I.G. NORM</x:v>
      </x:c>
      <x:c r="D608" s="24" t="str">
        <x:v>Surfaçada</x:v>
      </x:c>
      <x:c r="E608" s="24" t="str">
        <x:v>Cosmolit Mono Plus B.I.G. NORM</x:v>
      </x:c>
      <x:c r="F608" s="24"/>
      <x:c r="G608" s="24" t="str">
        <x:v>1.74</x:v>
      </x:c>
      <x:c r="H608" s="24" t="str">
        <x:v>1.74</x:v>
      </x:c>
      <x:c r="I608" s="24" t="str">
        <x:v>LayR X-tra Clean</x:v>
      </x:c>
      <x:c r="J608" s="40" t="n">
        <x:v>4393</x:v>
      </x:c>
      <x:c r="K608" s="24" t="str">
        <x:v>-18 a +13</x:v>
      </x:c>
      <x:c r="L608" s="24" t="str">
        <x:v>até -6</x:v>
      </x:c>
      <x:c r="M608" s="24"/>
      <x:c r="N608" s="24" t="str">
        <x:v>75</x:v>
      </x:c>
      <x:c r="O608" s="24"/>
      <x:c r="P608" s="24"/>
      <x:c r="Q608" s="24" t="str">
        <x:v>DISPONÍVEL</x:v>
      </x:c>
      <x:c r="R608" s="24"/>
      <x:c r="S608" s="24" t="n">
        <x:v>15</x:v>
      </x:c>
      <x:c r="T608" s="24" t="str">
        <x:v>tabela_rodenstock.pdf</x:v>
      </x:c>
      <x:c r="U608" s="24" t="str">
        <x:v>Rodenstock|Mono Plus B.I.G. NORM|Surfaçada|Cosmolit Mono Plus B.I.G. NORM||1.74|1.74|LayR X-tra Clean|-18 a +13|até -6||75|||15</x:v>
      </x:c>
    </x:row>
    <x:row r="609">
      <x:c r="A609" s="24" t="str">
        <x:v>RD-0BA5ABA9089A</x:v>
      </x:c>
      <x:c r="B609" s="24" t="str">
        <x:v>Rodenstock</x:v>
      </x:c>
      <x:c r="C609" s="24" t="str">
        <x:v>Mono Plus B.I.G. NORM</x:v>
      </x:c>
      <x:c r="D609" s="24" t="str">
        <x:v>Surfaçada</x:v>
      </x:c>
      <x:c r="E609" s="24" t="str">
        <x:v>Cosmolit Mono Plus B.I.G. NORM</x:v>
      </x:c>
      <x:c r="F609" s="24"/>
      <x:c r="G609" s="24" t="str">
        <x:v>1.74</x:v>
      </x:c>
      <x:c r="H609" s="24" t="str">
        <x:v>1.74</x:v>
      </x:c>
      <x:c r="I609" s="24" t="str">
        <x:v>LayR Balance</x:v>
      </x:c>
      <x:c r="J609" s="40" t="n">
        <x:v>4393</x:v>
      </x:c>
      <x:c r="K609" s="24" t="str">
        <x:v>-18 a +13</x:v>
      </x:c>
      <x:c r="L609" s="24" t="str">
        <x:v>até -6</x:v>
      </x:c>
      <x:c r="M609" s="24"/>
      <x:c r="N609" s="24" t="str">
        <x:v>75</x:v>
      </x:c>
      <x:c r="O609" s="24"/>
      <x:c r="P609" s="24"/>
      <x:c r="Q609" s="24" t="str">
        <x:v>DISPONÍVEL</x:v>
      </x:c>
      <x:c r="R609" s="24"/>
      <x:c r="S609" s="24" t="n">
        <x:v>15</x:v>
      </x:c>
      <x:c r="T609" s="24" t="str">
        <x:v>tabela_rodenstock.pdf</x:v>
      </x:c>
      <x:c r="U609" s="24" t="str">
        <x:v>Rodenstock|Mono Plus B.I.G. NORM|Surfaçada|Cosmolit Mono Plus B.I.G. NORM||1.74|1.74|LayR Balance|-18 a +13|até -6||75|||15</x:v>
      </x:c>
    </x:row>
    <x:row r="610">
      <x:c r="A610" s="24" t="str">
        <x:v>RD-0FE71EFAE5DC</x:v>
      </x:c>
      <x:c r="B610" s="24" t="str">
        <x:v>Rodenstock</x:v>
      </x:c>
      <x:c r="C610" s="24" t="str">
        <x:v>Mono Plus B.I.G. NORM</x:v>
      </x:c>
      <x:c r="D610" s="24" t="str">
        <x:v>Surfaçada</x:v>
      </x:c>
      <x:c r="E610" s="24" t="str">
        <x:v>Cosmolit Mono Plus B.I.G. NORM</x:v>
      </x:c>
      <x:c r="F610" s="24"/>
      <x:c r="G610" s="24" t="str">
        <x:v>1.74</x:v>
      </x:c>
      <x:c r="H610" s="24" t="str">
        <x:v>1.74</x:v>
      </x:c>
      <x:c r="I610" s="24" t="str">
        <x:v>Solitaire X-tra Clean</x:v>
      </x:c>
      <x:c r="J610" s="40" t="n">
        <x:v>4323</x:v>
      </x:c>
      <x:c r="K610" s="24" t="str">
        <x:v>-18 a +13</x:v>
      </x:c>
      <x:c r="L610" s="24" t="str">
        <x:v>até -6</x:v>
      </x:c>
      <x:c r="M610" s="24"/>
      <x:c r="N610" s="24" t="str">
        <x:v>75</x:v>
      </x:c>
      <x:c r="O610" s="24"/>
      <x:c r="P610" s="24"/>
      <x:c r="Q610" s="24" t="str">
        <x:v>DISPONÍVEL</x:v>
      </x:c>
      <x:c r="R610" s="24"/>
      <x:c r="S610" s="24" t="n">
        <x:v>15</x:v>
      </x:c>
      <x:c r="T610" s="24" t="str">
        <x:v>tabela_rodenstock.pdf</x:v>
      </x:c>
      <x:c r="U610" s="24" t="str">
        <x:v>Rodenstock|Mono Plus B.I.G. NORM|Surfaçada|Cosmolit Mono Plus B.I.G. NORM||1.74|1.74|Solitaire X-tra Clean|-18 a +13|até -6||75|||15</x:v>
      </x:c>
    </x:row>
    <x:row r="611">
      <x:c r="A611" s="24" t="str">
        <x:v>RD-7CF3905541EA</x:v>
      </x:c>
      <x:c r="B611" s="24" t="str">
        <x:v>Rodenstock</x:v>
      </x:c>
      <x:c r="C611" s="24" t="str">
        <x:v>Mono Plus B.I.G. NORM</x:v>
      </x:c>
      <x:c r="D611" s="24" t="str">
        <x:v>Surfaçada</x:v>
      </x:c>
      <x:c r="E611" s="24" t="str">
        <x:v>Cosmolit Mono Plus B.I.G. NORM</x:v>
      </x:c>
      <x:c r="F611" s="24"/>
      <x:c r="G611" s="24" t="str">
        <x:v>1.74</x:v>
      </x:c>
      <x:c r="H611" s="24" t="str">
        <x:v>1.74</x:v>
      </x:c>
      <x:c r="I611" s="24" t="str">
        <x:v>Solitaire Protect Plus</x:v>
      </x:c>
      <x:c r="J611" s="40" t="n">
        <x:v>4273</x:v>
      </x:c>
      <x:c r="K611" s="24" t="str">
        <x:v>-18 a +13</x:v>
      </x:c>
      <x:c r="L611" s="24" t="str">
        <x:v>até -6</x:v>
      </x:c>
      <x:c r="M611" s="24"/>
      <x:c r="N611" s="24" t="str">
        <x:v>75</x:v>
      </x:c>
      <x:c r="O611" s="24"/>
      <x:c r="P611" s="24"/>
      <x:c r="Q611" s="24" t="str">
        <x:v>DISPONÍVEL</x:v>
      </x:c>
      <x:c r="R611" s="24"/>
      <x:c r="S611" s="24" t="n">
        <x:v>15</x:v>
      </x:c>
      <x:c r="T611" s="24" t="str">
        <x:v>tabela_rodenstock.pdf</x:v>
      </x:c>
      <x:c r="U611" s="24" t="str">
        <x:v>Rodenstock|Mono Plus B.I.G. NORM|Surfaçada|Cosmolit Mono Plus B.I.G. NORM||1.74|1.74|Solitaire Protect Plus|-18 a +13|até -6||75|||15</x:v>
      </x:c>
    </x:row>
    <x:row r="612">
      <x:c r="A612" s="24" t="str">
        <x:v>RD-EEAFC7883A95</x:v>
      </x:c>
      <x:c r="B612" s="24" t="str">
        <x:v>Rodenstock</x:v>
      </x:c>
      <x:c r="C612" s="24" t="str">
        <x:v>Monofocal B.I.G. NORM</x:v>
      </x:c>
      <x:c r="D612" s="24" t="str">
        <x:v>Surfaçada</x:v>
      </x:c>
      <x:c r="E612" s="24" t="str">
        <x:v>Impression Monofocais B.I.G. NORM</x:v>
      </x:c>
      <x:c r="F612" s="24"/>
      <x:c r="G612" s="24" t="str">
        <x:v>1.5</x:v>
      </x:c>
      <x:c r="H612" s="24" t="str">
        <x:v>1.50</x:v>
      </x:c>
      <x:c r="I612" s="24" t="str">
        <x:v>LayR X-tra Clean</x:v>
      </x:c>
      <x:c r="J612" s="40" t="n">
        <x:v>2353</x:v>
      </x:c>
      <x:c r="K612" s="24" t="str">
        <x:v>-8 a +8</x:v>
      </x:c>
      <x:c r="L612" s="24" t="str">
        <x:v>até -6</x:v>
      </x:c>
      <x:c r="M612" s="24"/>
      <x:c r="N612" s="24" t="str">
        <x:v>75</x:v>
      </x:c>
      <x:c r="O612" s="24"/>
      <x:c r="P612" s="24"/>
      <x:c r="Q612" s="24" t="str">
        <x:v>DISPONÍVEL</x:v>
      </x:c>
      <x:c r="R612" s="24"/>
      <x:c r="S612" s="24" t="n">
        <x:v>17</x:v>
      </x:c>
      <x:c r="T612" s="24" t="str">
        <x:v>tabela_rodenstock.pdf</x:v>
      </x:c>
      <x:c r="U612" s="24" t="str">
        <x:v>Rodenstock|Monofocal B.I.G. NORM|Surfaçada|Impression Monofocais B.I.G. NORM||1.5|1.50|LayR X-tra Clean|-8 a +8|até -6||75|||17</x:v>
      </x:c>
    </x:row>
    <x:row r="613">
      <x:c r="A613" s="24" t="str">
        <x:v>RD-05BCCA3F2FA4</x:v>
      </x:c>
      <x:c r="B613" s="24" t="str">
        <x:v>Rodenstock</x:v>
      </x:c>
      <x:c r="C613" s="24" t="str">
        <x:v>Monofocal B.I.G. NORM</x:v>
      </x:c>
      <x:c r="D613" s="24" t="str">
        <x:v>Surfaçada</x:v>
      </x:c>
      <x:c r="E613" s="24" t="str">
        <x:v>Impression Monofocais B.I.G. NORM</x:v>
      </x:c>
      <x:c r="F613" s="24"/>
      <x:c r="G613" s="24" t="str">
        <x:v>1.5</x:v>
      </x:c>
      <x:c r="H613" s="24" t="str">
        <x:v>1.50</x:v>
      </x:c>
      <x:c r="I613" s="24" t="str">
        <x:v>LayR Balance</x:v>
      </x:c>
      <x:c r="J613" s="40" t="n">
        <x:v>2353</x:v>
      </x:c>
      <x:c r="K613" s="24" t="str">
        <x:v>-8 a +8</x:v>
      </x:c>
      <x:c r="L613" s="24" t="str">
        <x:v>até -6</x:v>
      </x:c>
      <x:c r="M613" s="24"/>
      <x:c r="N613" s="24" t="str">
        <x:v>75</x:v>
      </x:c>
      <x:c r="O613" s="24"/>
      <x:c r="P613" s="24"/>
      <x:c r="Q613" s="24" t="str">
        <x:v>DISPONÍVEL</x:v>
      </x:c>
      <x:c r="R613" s="24"/>
      <x:c r="S613" s="24" t="n">
        <x:v>17</x:v>
      </x:c>
      <x:c r="T613" s="24" t="str">
        <x:v>tabela_rodenstock.pdf</x:v>
      </x:c>
      <x:c r="U613" s="24" t="str">
        <x:v>Rodenstock|Monofocal B.I.G. NORM|Surfaçada|Impression Monofocais B.I.G. NORM||1.5|1.50|LayR Balance|-8 a +8|até -6||75|||17</x:v>
      </x:c>
    </x:row>
    <x:row r="614">
      <x:c r="A614" s="24" t="str">
        <x:v>RD-4873F0D21C4F</x:v>
      </x:c>
      <x:c r="B614" s="24" t="str">
        <x:v>Rodenstock</x:v>
      </x:c>
      <x:c r="C614" s="24" t="str">
        <x:v>Monofocal B.I.G. NORM</x:v>
      </x:c>
      <x:c r="D614" s="24" t="str">
        <x:v>Surfaçada</x:v>
      </x:c>
      <x:c r="E614" s="24" t="str">
        <x:v>Impression Monofocais B.I.G. NORM</x:v>
      </x:c>
      <x:c r="F614" s="24"/>
      <x:c r="G614" s="24" t="str">
        <x:v>1.5</x:v>
      </x:c>
      <x:c r="H614" s="24" t="str">
        <x:v>1.50</x:v>
      </x:c>
      <x:c r="I614" s="24" t="str">
        <x:v>Solitaire X-tra Clean</x:v>
      </x:c>
      <x:c r="J614" s="40" t="n">
        <x:v>2283</x:v>
      </x:c>
      <x:c r="K614" s="24" t="str">
        <x:v>-8 a +8</x:v>
      </x:c>
      <x:c r="L614" s="24" t="str">
        <x:v>até -6</x:v>
      </x:c>
      <x:c r="M614" s="24"/>
      <x:c r="N614" s="24" t="str">
        <x:v>75</x:v>
      </x:c>
      <x:c r="O614" s="24"/>
      <x:c r="P614" s="24"/>
      <x:c r="Q614" s="24" t="str">
        <x:v>DISPONÍVEL</x:v>
      </x:c>
      <x:c r="R614" s="24"/>
      <x:c r="S614" s="24" t="n">
        <x:v>17</x:v>
      </x:c>
      <x:c r="T614" s="24" t="str">
        <x:v>tabela_rodenstock.pdf</x:v>
      </x:c>
      <x:c r="U614" s="24" t="str">
        <x:v>Rodenstock|Monofocal B.I.G. NORM|Surfaçada|Impression Monofocais B.I.G. NORM||1.5|1.50|Solitaire X-tra Clean|-8 a +8|até -6||75|||17</x:v>
      </x:c>
    </x:row>
    <x:row r="615">
      <x:c r="A615" s="24" t="str">
        <x:v>RD-06A0B85A0405</x:v>
      </x:c>
      <x:c r="B615" s="24" t="str">
        <x:v>Rodenstock</x:v>
      </x:c>
      <x:c r="C615" s="24" t="str">
        <x:v>Monofocal B.I.G. NORM</x:v>
      </x:c>
      <x:c r="D615" s="24" t="str">
        <x:v>Surfaçada</x:v>
      </x:c>
      <x:c r="E615" s="24" t="str">
        <x:v>Impression Monofocais B.I.G. NORM</x:v>
      </x:c>
      <x:c r="F615" s="24"/>
      <x:c r="G615" s="24" t="str">
        <x:v>1.5</x:v>
      </x:c>
      <x:c r="H615" s="24" t="str">
        <x:v>1.50</x:v>
      </x:c>
      <x:c r="I615" s="24" t="str">
        <x:v>Solitaire Protect Plus</x:v>
      </x:c>
      <x:c r="J615" s="40" t="n">
        <x:v>2233</x:v>
      </x:c>
      <x:c r="K615" s="24" t="str">
        <x:v>-8 a +8</x:v>
      </x:c>
      <x:c r="L615" s="24" t="str">
        <x:v>até -6</x:v>
      </x:c>
      <x:c r="M615" s="24"/>
      <x:c r="N615" s="24" t="str">
        <x:v>75</x:v>
      </x:c>
      <x:c r="O615" s="24"/>
      <x:c r="P615" s="24"/>
      <x:c r="Q615" s="24" t="str">
        <x:v>DISPONÍVEL</x:v>
      </x:c>
      <x:c r="R615" s="24"/>
      <x:c r="S615" s="24" t="n">
        <x:v>17</x:v>
      </x:c>
      <x:c r="T615" s="24" t="str">
        <x:v>tabela_rodenstock.pdf</x:v>
      </x:c>
      <x:c r="U615" s="24" t="str">
        <x:v>Rodenstock|Monofocal B.I.G. NORM|Surfaçada|Impression Monofocais B.I.G. NORM||1.5|1.50|Solitaire Protect Plus|-8 a +8|até -6||75|||17</x:v>
      </x:c>
    </x:row>
    <x:row r="616">
      <x:c r="A616" s="24" t="str">
        <x:v>RD-1206DBBB9168</x:v>
      </x:c>
      <x:c r="B616" s="24" t="str">
        <x:v>Rodenstock</x:v>
      </x:c>
      <x:c r="C616" s="24" t="str">
        <x:v>Monofocal B.I.G. NORM</x:v>
      </x:c>
      <x:c r="D616" s="24" t="str">
        <x:v>Surfaçada</x:v>
      </x:c>
      <x:c r="E616" s="24" t="str">
        <x:v>Impression Monofocais B.I.G. NORM</x:v>
      </x:c>
      <x:c r="F616" s="24"/>
      <x:c r="G616" s="24" t="str">
        <x:v>1.5</x:v>
      </x:c>
      <x:c r="H616" s="24" t="str">
        <x:v>1.50</x:v>
      </x:c>
      <x:c r="I616" s="24" t="str">
        <x:v>ROAD</x:v>
      </x:c>
      <x:c r="J616" s="40" t="n">
        <x:v>2233</x:v>
      </x:c>
      <x:c r="K616" s="24" t="str">
        <x:v>-8 a +8</x:v>
      </x:c>
      <x:c r="L616" s="24" t="str">
        <x:v>até -6</x:v>
      </x:c>
      <x:c r="M616" s="24"/>
      <x:c r="N616" s="24" t="str">
        <x:v>75</x:v>
      </x:c>
      <x:c r="O616" s="24"/>
      <x:c r="P616" s="24"/>
      <x:c r="Q616" s="24" t="str">
        <x:v>DISPONÍVEL</x:v>
      </x:c>
      <x:c r="R616" s="24"/>
      <x:c r="S616" s="24" t="n">
        <x:v>17</x:v>
      </x:c>
      <x:c r="T616" s="24" t="str">
        <x:v>tabela_rodenstock.pdf</x:v>
      </x:c>
      <x:c r="U616" s="24" t="str">
        <x:v>Rodenstock|Monofocal B.I.G. NORM|Surfaçada|Impression Monofocais B.I.G. NORM||1.5|1.50|ROAD|-8 a +8|até -6||75|||17</x:v>
      </x:c>
    </x:row>
    <x:row r="617">
      <x:c r="A617" s="24" t="str">
        <x:v>RD-6E0C0FF3C0B6</x:v>
      </x:c>
      <x:c r="B617" s="24" t="str">
        <x:v>Rodenstock</x:v>
      </x:c>
      <x:c r="C617" s="24" t="str">
        <x:v>Monofocal B.I.G. NORM</x:v>
      </x:c>
      <x:c r="D617" s="24" t="str">
        <x:v>Surfaçada</x:v>
      </x:c>
      <x:c r="E617" s="24" t="str">
        <x:v>Impression Monofocais B.I.G. NORM</x:v>
      </x:c>
      <x:c r="F617" s="24"/>
      <x:c r="G617" s="24" t="str">
        <x:v>1.5</x:v>
      </x:c>
      <x:c r="H617" s="24" t="str">
        <x:v>1.50</x:v>
      </x:c>
      <x:c r="I617" s="24" t="str">
        <x:v>Solitaire Protect</x:v>
      </x:c>
      <x:c r="J617" s="40" t="n">
        <x:v>1973</x:v>
      </x:c>
      <x:c r="K617" s="24" t="str">
        <x:v>-8 a +8</x:v>
      </x:c>
      <x:c r="L617" s="24" t="str">
        <x:v>até -6</x:v>
      </x:c>
      <x:c r="M617" s="24"/>
      <x:c r="N617" s="24" t="str">
        <x:v>75</x:v>
      </x:c>
      <x:c r="O617" s="24"/>
      <x:c r="P617" s="24"/>
      <x:c r="Q617" s="24" t="str">
        <x:v>DISPONÍVEL</x:v>
      </x:c>
      <x:c r="R617" s="24"/>
      <x:c r="S617" s="24" t="n">
        <x:v>17</x:v>
      </x:c>
      <x:c r="T617" s="24" t="str">
        <x:v>tabela_rodenstock.pdf</x:v>
      </x:c>
      <x:c r="U617" s="24" t="str">
        <x:v>Rodenstock|Monofocal B.I.G. NORM|Surfaçada|Impression Monofocais B.I.G. NORM||1.5|1.50|Solitaire Protect|-8 a +8|até -6||75|||17</x:v>
      </x:c>
    </x:row>
    <x:row r="618">
      <x:c r="A618" s="24" t="str">
        <x:v>RD-84AA5261BD4B</x:v>
      </x:c>
      <x:c r="B618" s="24" t="str">
        <x:v>Rodenstock</x:v>
      </x:c>
      <x:c r="C618" s="24" t="str">
        <x:v>Monofocal B.I.G. NORM</x:v>
      </x:c>
      <x:c r="D618" s="24" t="str">
        <x:v>Surfaçada</x:v>
      </x:c>
      <x:c r="E618" s="24" t="str">
        <x:v>Impression Monofocais B.I.G. NORM</x:v>
      </x:c>
      <x:c r="F618" s="24" t="str">
        <x:v>ColorMatic® 3</x:v>
      </x:c>
      <x:c r="G618" s="24" t="str">
        <x:v>1.54</x:v>
      </x:c>
      <x:c r="H618" s="24" t="str">
        <x:v>1.54</x:v>
      </x:c>
      <x:c r="I618" s="24" t="str">
        <x:v>LayR X-tra Clean</x:v>
      </x:c>
      <x:c r="J618" s="40" t="n">
        <x:v>3720</x:v>
      </x:c>
      <x:c r="K618" s="24" t="str">
        <x:v>-8 a +8</x:v>
      </x:c>
      <x:c r="L618" s="24" t="str">
        <x:v>até -6</x:v>
      </x:c>
      <x:c r="M618" s="24"/>
      <x:c r="N618" s="24" t="str">
        <x:v>75</x:v>
      </x:c>
      <x:c r="O618" s="24"/>
      <x:c r="P618" s="24"/>
      <x:c r="Q618" s="24" t="str">
        <x:v>DISPONÍVEL</x:v>
      </x:c>
      <x:c r="R618" s="24"/>
      <x:c r="S618" s="24" t="n">
        <x:v>17</x:v>
      </x:c>
      <x:c r="T618" s="24" t="str">
        <x:v>tabela_rodenstock.pdf</x:v>
      </x:c>
      <x:c r="U618" s="24" t="str">
        <x:v>Rodenstock|Monofocal B.I.G. NORM|Surfaçada|Impression Monofocais B.I.G. NORM|ColorMatic® 3|1.54|1.54|LayR X-tra Clean|-8 a +8|até -6||75|||17</x:v>
      </x:c>
    </x:row>
    <x:row r="619">
      <x:c r="A619" s="24" t="str">
        <x:v>RD-CE905BECC72D</x:v>
      </x:c>
      <x:c r="B619" s="24" t="str">
        <x:v>Rodenstock</x:v>
      </x:c>
      <x:c r="C619" s="24" t="str">
        <x:v>Monofocal B.I.G. NORM</x:v>
      </x:c>
      <x:c r="D619" s="24" t="str">
        <x:v>Surfaçada</x:v>
      </x:c>
      <x:c r="E619" s="24" t="str">
        <x:v>Impression Monofocais B.I.G. NORM</x:v>
      </x:c>
      <x:c r="F619" s="24" t="str">
        <x:v>ColorMatic® 3</x:v>
      </x:c>
      <x:c r="G619" s="24" t="str">
        <x:v>1.54</x:v>
      </x:c>
      <x:c r="H619" s="24" t="str">
        <x:v>1.54</x:v>
      </x:c>
      <x:c r="I619" s="24" t="str">
        <x:v>LayR Balance</x:v>
      </x:c>
      <x:c r="J619" s="40" t="n">
        <x:v>3720</x:v>
      </x:c>
      <x:c r="K619" s="24" t="str">
        <x:v>-8 a +8</x:v>
      </x:c>
      <x:c r="L619" s="24" t="str">
        <x:v>até -6</x:v>
      </x:c>
      <x:c r="M619" s="24"/>
      <x:c r="N619" s="24" t="str">
        <x:v>75</x:v>
      </x:c>
      <x:c r="O619" s="24"/>
      <x:c r="P619" s="24"/>
      <x:c r="Q619" s="24" t="str">
        <x:v>DISPONÍVEL</x:v>
      </x:c>
      <x:c r="R619" s="24"/>
      <x:c r="S619" s="24" t="n">
        <x:v>17</x:v>
      </x:c>
      <x:c r="T619" s="24" t="str">
        <x:v>tabela_rodenstock.pdf</x:v>
      </x:c>
      <x:c r="U619" s="24" t="str">
        <x:v>Rodenstock|Monofocal B.I.G. NORM|Surfaçada|Impression Monofocais B.I.G. NORM|ColorMatic® 3|1.54|1.54|LayR Balance|-8 a +8|até -6||75|||17</x:v>
      </x:c>
    </x:row>
    <x:row r="620">
      <x:c r="A620" s="24" t="str">
        <x:v>RD-DF2EFDF6C438</x:v>
      </x:c>
      <x:c r="B620" s="24" t="str">
        <x:v>Rodenstock</x:v>
      </x:c>
      <x:c r="C620" s="24" t="str">
        <x:v>Monofocal B.I.G. NORM</x:v>
      </x:c>
      <x:c r="D620" s="24" t="str">
        <x:v>Surfaçada</x:v>
      </x:c>
      <x:c r="E620" s="24" t="str">
        <x:v>Impression Monofocais B.I.G. NORM</x:v>
      </x:c>
      <x:c r="F620" s="24" t="str">
        <x:v>ColorMatic® 3</x:v>
      </x:c>
      <x:c r="G620" s="24" t="str">
        <x:v>1.54</x:v>
      </x:c>
      <x:c r="H620" s="24" t="str">
        <x:v>1.54</x:v>
      </x:c>
      <x:c r="I620" s="24" t="str">
        <x:v>Solitaire X-tra Clean</x:v>
      </x:c>
      <x:c r="J620" s="40" t="n">
        <x:v>3650</x:v>
      </x:c>
      <x:c r="K620" s="24" t="str">
        <x:v>-8 a +8</x:v>
      </x:c>
      <x:c r="L620" s="24" t="str">
        <x:v>até -6</x:v>
      </x:c>
      <x:c r="M620" s="24"/>
      <x:c r="N620" s="24" t="str">
        <x:v>75</x:v>
      </x:c>
      <x:c r="O620" s="24"/>
      <x:c r="P620" s="24"/>
      <x:c r="Q620" s="24" t="str">
        <x:v>DISPONÍVEL</x:v>
      </x:c>
      <x:c r="R620" s="24"/>
      <x:c r="S620" s="24" t="n">
        <x:v>17</x:v>
      </x:c>
      <x:c r="T620" s="24" t="str">
        <x:v>tabela_rodenstock.pdf</x:v>
      </x:c>
      <x:c r="U620" s="24" t="str">
        <x:v>Rodenstock|Monofocal B.I.G. NORM|Surfaçada|Impression Monofocais B.I.G. NORM|ColorMatic® 3|1.54|1.54|Solitaire X-tra Clean|-8 a +8|até -6||75|||17</x:v>
      </x:c>
    </x:row>
    <x:row r="621">
      <x:c r="A621" s="24" t="str">
        <x:v>RD-9F555A42FD93</x:v>
      </x:c>
      <x:c r="B621" s="24" t="str">
        <x:v>Rodenstock</x:v>
      </x:c>
      <x:c r="C621" s="24" t="str">
        <x:v>Monofocal B.I.G. NORM</x:v>
      </x:c>
      <x:c r="D621" s="24" t="str">
        <x:v>Surfaçada</x:v>
      </x:c>
      <x:c r="E621" s="24" t="str">
        <x:v>Impression Monofocais B.I.G. NORM</x:v>
      </x:c>
      <x:c r="F621" s="24" t="str">
        <x:v>ColorMatic® 3</x:v>
      </x:c>
      <x:c r="G621" s="24" t="str">
        <x:v>1.54</x:v>
      </x:c>
      <x:c r="H621" s="24" t="str">
        <x:v>1.54</x:v>
      </x:c>
      <x:c r="I621" s="24" t="str">
        <x:v>Solitaire Protect Plus</x:v>
      </x:c>
      <x:c r="J621" s="40" t="n">
        <x:v>3600</x:v>
      </x:c>
      <x:c r="K621" s="24" t="str">
        <x:v>-8 a +8</x:v>
      </x:c>
      <x:c r="L621" s="24" t="str">
        <x:v>até -6</x:v>
      </x:c>
      <x:c r="M621" s="24"/>
      <x:c r="N621" s="24" t="str">
        <x:v>75</x:v>
      </x:c>
      <x:c r="O621" s="24"/>
      <x:c r="P621" s="24"/>
      <x:c r="Q621" s="24" t="str">
        <x:v>DISPONÍVEL</x:v>
      </x:c>
      <x:c r="R621" s="24"/>
      <x:c r="S621" s="24" t="n">
        <x:v>17</x:v>
      </x:c>
      <x:c r="T621" s="24" t="str">
        <x:v>tabela_rodenstock.pdf</x:v>
      </x:c>
      <x:c r="U621" s="24" t="str">
        <x:v>Rodenstock|Monofocal B.I.G. NORM|Surfaçada|Impression Monofocais B.I.G. NORM|ColorMatic® 3|1.54|1.54|Solitaire Protect Plus|-8 a +8|até -6||75|||17</x:v>
      </x:c>
    </x:row>
    <x:row r="622">
      <x:c r="A622" s="24" t="str">
        <x:v>RD-CEC920486F8E</x:v>
      </x:c>
      <x:c r="B622" s="24" t="str">
        <x:v>Rodenstock</x:v>
      </x:c>
      <x:c r="C622" s="24" t="str">
        <x:v>Monofocal B.I.G. NORM</x:v>
      </x:c>
      <x:c r="D622" s="24" t="str">
        <x:v>Surfaçada</x:v>
      </x:c>
      <x:c r="E622" s="24" t="str">
        <x:v>Impression Monofocais B.I.G. NORM</x:v>
      </x:c>
      <x:c r="F622" s="24" t="str">
        <x:v>ColorMatic® 3</x:v>
      </x:c>
      <x:c r="G622" s="24" t="str">
        <x:v>1.54</x:v>
      </x:c>
      <x:c r="H622" s="24" t="str">
        <x:v>1.54</x:v>
      </x:c>
      <x:c r="I622" s="24" t="str">
        <x:v>ROAD</x:v>
      </x:c>
      <x:c r="J622" s="40" t="n">
        <x:v>3600</x:v>
      </x:c>
      <x:c r="K622" s="24" t="str">
        <x:v>-8 a +8</x:v>
      </x:c>
      <x:c r="L622" s="24" t="str">
        <x:v>até -6</x:v>
      </x:c>
      <x:c r="M622" s="24"/>
      <x:c r="N622" s="24" t="str">
        <x:v>75</x:v>
      </x:c>
      <x:c r="O622" s="24"/>
      <x:c r="P622" s="24"/>
      <x:c r="Q622" s="24" t="str">
        <x:v>DISPONÍVEL</x:v>
      </x:c>
      <x:c r="R622" s="24"/>
      <x:c r="S622" s="24" t="n">
        <x:v>17</x:v>
      </x:c>
      <x:c r="T622" s="24" t="str">
        <x:v>tabela_rodenstock.pdf</x:v>
      </x:c>
      <x:c r="U622" s="24" t="str">
        <x:v>Rodenstock|Monofocal B.I.G. NORM|Surfaçada|Impression Monofocais B.I.G. NORM|ColorMatic® 3|1.54|1.54|ROAD|-8 a +8|até -6||75|||17</x:v>
      </x:c>
    </x:row>
    <x:row r="623">
      <x:c r="A623" s="24" t="str">
        <x:v>RD-09EEF5521DF1</x:v>
      </x:c>
      <x:c r="B623" s="24" t="str">
        <x:v>Rodenstock</x:v>
      </x:c>
      <x:c r="C623" s="24" t="str">
        <x:v>Monofocal B.I.G. NORM</x:v>
      </x:c>
      <x:c r="D623" s="24" t="str">
        <x:v>Surfaçada</x:v>
      </x:c>
      <x:c r="E623" s="24" t="str">
        <x:v>Impression Monofocais B.I.G. NORM</x:v>
      </x:c>
      <x:c r="F623" s="24" t="str">
        <x:v>ColorMatic® 3</x:v>
      </x:c>
      <x:c r="G623" s="24" t="str">
        <x:v>1.54</x:v>
      </x:c>
      <x:c r="H623" s="24" t="str">
        <x:v>1.54</x:v>
      </x:c>
      <x:c r="I623" s="24" t="str">
        <x:v>Solitaire Protect</x:v>
      </x:c>
      <x:c r="J623" s="40" t="n">
        <x:v>3340</x:v>
      </x:c>
      <x:c r="K623" s="24" t="str">
        <x:v>-8 a +8</x:v>
      </x:c>
      <x:c r="L623" s="24" t="str">
        <x:v>até -6</x:v>
      </x:c>
      <x:c r="M623" s="24"/>
      <x:c r="N623" s="24" t="str">
        <x:v>75</x:v>
      </x:c>
      <x:c r="O623" s="24"/>
      <x:c r="P623" s="24"/>
      <x:c r="Q623" s="24" t="str">
        <x:v>DISPONÍVEL</x:v>
      </x:c>
      <x:c r="R623" s="24"/>
      <x:c r="S623" s="24" t="n">
        <x:v>17</x:v>
      </x:c>
      <x:c r="T623" s="24" t="str">
        <x:v>tabela_rodenstock.pdf</x:v>
      </x:c>
      <x:c r="U623" s="24" t="str">
        <x:v>Rodenstock|Monofocal B.I.G. NORM|Surfaçada|Impression Monofocais B.I.G. NORM|ColorMatic® 3|1.54|1.54|Solitaire Protect|-8 a +8|até -6||75|||17</x:v>
      </x:c>
    </x:row>
    <x:row r="624">
      <x:c r="A624" s="24" t="str">
        <x:v>RD-200DFFA72683</x:v>
      </x:c>
      <x:c r="B624" s="24" t="str">
        <x:v>Rodenstock</x:v>
      </x:c>
      <x:c r="C624" s="24" t="str">
        <x:v>Monofocal B.I.G. NORM</x:v>
      </x:c>
      <x:c r="D624" s="24" t="str">
        <x:v>Surfaçada</x:v>
      </x:c>
      <x:c r="E624" s="24" t="str">
        <x:v>Impression Monofocais B.I.G. NORM</x:v>
      </x:c>
      <x:c r="F624" s="24"/>
      <x:c r="G624" s="24" t="str">
        <x:v>1.6</x:v>
      </x:c>
      <x:c r="H624" s="24" t="str">
        <x:v>1.60</x:v>
      </x:c>
      <x:c r="I624" s="24" t="str">
        <x:v>LayR X-tra Clean</x:v>
      </x:c>
      <x:c r="J624" s="40" t="n">
        <x:v>2872</x:v>
      </x:c>
      <x:c r="K624" s="24" t="str">
        <x:v>-10 a +10</x:v>
      </x:c>
      <x:c r="L624" s="24" t="str">
        <x:v>até -6</x:v>
      </x:c>
      <x:c r="M624" s="24"/>
      <x:c r="N624" s="24" t="str">
        <x:v>75</x:v>
      </x:c>
      <x:c r="O624" s="24"/>
      <x:c r="P624" s="24"/>
      <x:c r="Q624" s="24" t="str">
        <x:v>DISPONÍVEL</x:v>
      </x:c>
      <x:c r="R624" s="24"/>
      <x:c r="S624" s="24" t="n">
        <x:v>17</x:v>
      </x:c>
      <x:c r="T624" s="24" t="str">
        <x:v>tabela_rodenstock.pdf</x:v>
      </x:c>
      <x:c r="U624" s="24" t="str">
        <x:v>Rodenstock|Monofocal B.I.G. NORM|Surfaçada|Impression Monofocais B.I.G. NORM||1.6|1.60|LayR X-tra Clean|-10 a +10|até -6||75|||17</x:v>
      </x:c>
    </x:row>
    <x:row r="625">
      <x:c r="A625" s="24" t="str">
        <x:v>RD-8AEE1E6BCB2D</x:v>
      </x:c>
      <x:c r="B625" s="24" t="str">
        <x:v>Rodenstock</x:v>
      </x:c>
      <x:c r="C625" s="24" t="str">
        <x:v>Monofocal B.I.G. NORM</x:v>
      </x:c>
      <x:c r="D625" s="24" t="str">
        <x:v>Surfaçada</x:v>
      </x:c>
      <x:c r="E625" s="24" t="str">
        <x:v>Impression Monofocais B.I.G. NORM</x:v>
      </x:c>
      <x:c r="F625" s="24"/>
      <x:c r="G625" s="24" t="str">
        <x:v>1.6</x:v>
      </x:c>
      <x:c r="H625" s="24" t="str">
        <x:v>1.60</x:v>
      </x:c>
      <x:c r="I625" s="24" t="str">
        <x:v>LayR Balance</x:v>
      </x:c>
      <x:c r="J625" s="40" t="n">
        <x:v>2872</x:v>
      </x:c>
      <x:c r="K625" s="24" t="str">
        <x:v>-10 a +10</x:v>
      </x:c>
      <x:c r="L625" s="24" t="str">
        <x:v>até -6</x:v>
      </x:c>
      <x:c r="M625" s="24"/>
      <x:c r="N625" s="24" t="str">
        <x:v>75</x:v>
      </x:c>
      <x:c r="O625" s="24"/>
      <x:c r="P625" s="24"/>
      <x:c r="Q625" s="24" t="str">
        <x:v>DISPONÍVEL</x:v>
      </x:c>
      <x:c r="R625" s="24"/>
      <x:c r="S625" s="24" t="n">
        <x:v>17</x:v>
      </x:c>
      <x:c r="T625" s="24" t="str">
        <x:v>tabela_rodenstock.pdf</x:v>
      </x:c>
      <x:c r="U625" s="24" t="str">
        <x:v>Rodenstock|Monofocal B.I.G. NORM|Surfaçada|Impression Monofocais B.I.G. NORM||1.6|1.60|LayR Balance|-10 a +10|até -6||75|||17</x:v>
      </x:c>
    </x:row>
    <x:row r="626">
      <x:c r="A626" s="24" t="str">
        <x:v>RD-B5DFEE7FFA87</x:v>
      </x:c>
      <x:c r="B626" s="24" t="str">
        <x:v>Rodenstock</x:v>
      </x:c>
      <x:c r="C626" s="24" t="str">
        <x:v>Monofocal B.I.G. NORM</x:v>
      </x:c>
      <x:c r="D626" s="24" t="str">
        <x:v>Surfaçada</x:v>
      </x:c>
      <x:c r="E626" s="24" t="str">
        <x:v>Impression Monofocais B.I.G. NORM</x:v>
      </x:c>
      <x:c r="F626" s="24"/>
      <x:c r="G626" s="24" t="str">
        <x:v>1.6</x:v>
      </x:c>
      <x:c r="H626" s="24" t="str">
        <x:v>1.60</x:v>
      </x:c>
      <x:c r="I626" s="24" t="str">
        <x:v>Solitaire X-tra Clean</x:v>
      </x:c>
      <x:c r="J626" s="40" t="n">
        <x:v>2802</x:v>
      </x:c>
      <x:c r="K626" s="24" t="str">
        <x:v>-10 a +10</x:v>
      </x:c>
      <x:c r="L626" s="24" t="str">
        <x:v>até -6</x:v>
      </x:c>
      <x:c r="M626" s="24"/>
      <x:c r="N626" s="24" t="str">
        <x:v>75</x:v>
      </x:c>
      <x:c r="O626" s="24"/>
      <x:c r="P626" s="24"/>
      <x:c r="Q626" s="24" t="str">
        <x:v>DISPONÍVEL</x:v>
      </x:c>
      <x:c r="R626" s="24"/>
      <x:c r="S626" s="24" t="n">
        <x:v>17</x:v>
      </x:c>
      <x:c r="T626" s="24" t="str">
        <x:v>tabela_rodenstock.pdf</x:v>
      </x:c>
      <x:c r="U626" s="24" t="str">
        <x:v>Rodenstock|Monofocal B.I.G. NORM|Surfaçada|Impression Monofocais B.I.G. NORM||1.6|1.60|Solitaire X-tra Clean|-10 a +10|até -6||75|||17</x:v>
      </x:c>
    </x:row>
    <x:row r="627">
      <x:c r="A627" s="24" t="str">
        <x:v>RD-441FB5600910</x:v>
      </x:c>
      <x:c r="B627" s="24" t="str">
        <x:v>Rodenstock</x:v>
      </x:c>
      <x:c r="C627" s="24" t="str">
        <x:v>Monofocal B.I.G. NORM</x:v>
      </x:c>
      <x:c r="D627" s="24" t="str">
        <x:v>Surfaçada</x:v>
      </x:c>
      <x:c r="E627" s="24" t="str">
        <x:v>Impression Monofocais B.I.G. NORM</x:v>
      </x:c>
      <x:c r="F627" s="24"/>
      <x:c r="G627" s="24" t="str">
        <x:v>1.6</x:v>
      </x:c>
      <x:c r="H627" s="24" t="str">
        <x:v>1.60</x:v>
      </x:c>
      <x:c r="I627" s="24" t="str">
        <x:v>Solitaire Protect Plus</x:v>
      </x:c>
      <x:c r="J627" s="40" t="n">
        <x:v>2752</x:v>
      </x:c>
      <x:c r="K627" s="24" t="str">
        <x:v>-10 a +10</x:v>
      </x:c>
      <x:c r="L627" s="24" t="str">
        <x:v>até -6</x:v>
      </x:c>
      <x:c r="M627" s="24"/>
      <x:c r="N627" s="24" t="str">
        <x:v>75</x:v>
      </x:c>
      <x:c r="O627" s="24"/>
      <x:c r="P627" s="24"/>
      <x:c r="Q627" s="24" t="str">
        <x:v>DISPONÍVEL</x:v>
      </x:c>
      <x:c r="R627" s="24"/>
      <x:c r="S627" s="24" t="n">
        <x:v>17</x:v>
      </x:c>
      <x:c r="T627" s="24" t="str">
        <x:v>tabela_rodenstock.pdf</x:v>
      </x:c>
      <x:c r="U627" s="24" t="str">
        <x:v>Rodenstock|Monofocal B.I.G. NORM|Surfaçada|Impression Monofocais B.I.G. NORM||1.6|1.60|Solitaire Protect Plus|-10 a +10|até -6||75|||17</x:v>
      </x:c>
    </x:row>
    <x:row r="628">
      <x:c r="A628" s="24" t="str">
        <x:v>RD-6B620BCCED77</x:v>
      </x:c>
      <x:c r="B628" s="24" t="str">
        <x:v>Rodenstock</x:v>
      </x:c>
      <x:c r="C628" s="24" t="str">
        <x:v>Monofocal B.I.G. NORM</x:v>
      </x:c>
      <x:c r="D628" s="24" t="str">
        <x:v>Surfaçada</x:v>
      </x:c>
      <x:c r="E628" s="24" t="str">
        <x:v>Impression Monofocais B.I.G. NORM</x:v>
      </x:c>
      <x:c r="F628" s="24"/>
      <x:c r="G628" s="24" t="str">
        <x:v>1.6</x:v>
      </x:c>
      <x:c r="H628" s="24" t="str">
        <x:v>1.60</x:v>
      </x:c>
      <x:c r="I628" s="24" t="str">
        <x:v>ROAD</x:v>
      </x:c>
      <x:c r="J628" s="40" t="n">
        <x:v>2752</x:v>
      </x:c>
      <x:c r="K628" s="24" t="str">
        <x:v>-10 a +10</x:v>
      </x:c>
      <x:c r="L628" s="24" t="str">
        <x:v>até -6</x:v>
      </x:c>
      <x:c r="M628" s="24"/>
      <x:c r="N628" s="24" t="str">
        <x:v>75</x:v>
      </x:c>
      <x:c r="O628" s="24"/>
      <x:c r="P628" s="24"/>
      <x:c r="Q628" s="24" t="str">
        <x:v>DISPONÍVEL</x:v>
      </x:c>
      <x:c r="R628" s="24"/>
      <x:c r="S628" s="24" t="n">
        <x:v>17</x:v>
      </x:c>
      <x:c r="T628" s="24" t="str">
        <x:v>tabela_rodenstock.pdf</x:v>
      </x:c>
      <x:c r="U628" s="24" t="str">
        <x:v>Rodenstock|Monofocal B.I.G. NORM|Surfaçada|Impression Monofocais B.I.G. NORM||1.6|1.60|ROAD|-10 a +10|até -6||75|||17</x:v>
      </x:c>
    </x:row>
    <x:row r="629">
      <x:c r="A629" s="24" t="str">
        <x:v>RD-69F33972B6D0</x:v>
      </x:c>
      <x:c r="B629" s="24" t="str">
        <x:v>Rodenstock</x:v>
      </x:c>
      <x:c r="C629" s="24" t="str">
        <x:v>Monofocal B.I.G. NORM</x:v>
      </x:c>
      <x:c r="D629" s="24" t="str">
        <x:v>Surfaçada</x:v>
      </x:c>
      <x:c r="E629" s="24" t="str">
        <x:v>Impression Monofocais B.I.G. NORM</x:v>
      </x:c>
      <x:c r="F629" s="24"/>
      <x:c r="G629" s="24" t="str">
        <x:v>1.6</x:v>
      </x:c>
      <x:c r="H629" s="24" t="str">
        <x:v>1.60</x:v>
      </x:c>
      <x:c r="I629" s="24" t="str">
        <x:v>Solitaire Protect</x:v>
      </x:c>
      <x:c r="J629" s="40" t="n">
        <x:v>2492</x:v>
      </x:c>
      <x:c r="K629" s="24" t="str">
        <x:v>-10 a +10</x:v>
      </x:c>
      <x:c r="L629" s="24" t="str">
        <x:v>até -6</x:v>
      </x:c>
      <x:c r="M629" s="24"/>
      <x:c r="N629" s="24" t="str">
        <x:v>75</x:v>
      </x:c>
      <x:c r="O629" s="24"/>
      <x:c r="P629" s="24"/>
      <x:c r="Q629" s="24" t="str">
        <x:v>DISPONÍVEL</x:v>
      </x:c>
      <x:c r="R629" s="24"/>
      <x:c r="S629" s="24" t="n">
        <x:v>17</x:v>
      </x:c>
      <x:c r="T629" s="24" t="str">
        <x:v>tabela_rodenstock.pdf</x:v>
      </x:c>
      <x:c r="U629" s="24" t="str">
        <x:v>Rodenstock|Monofocal B.I.G. NORM|Surfaçada|Impression Monofocais B.I.G. NORM||1.6|1.60|Solitaire Protect|-10 a +10|até -6||75|||17</x:v>
      </x:c>
    </x:row>
    <x:row r="630">
      <x:c r="A630" s="24" t="str">
        <x:v>RD-E5D6EFD44723</x:v>
      </x:c>
      <x:c r="B630" s="24" t="str">
        <x:v>Rodenstock</x:v>
      </x:c>
      <x:c r="C630" s="24" t="str">
        <x:v>Monofocal B.I.G. NORM</x:v>
      </x:c>
      <x:c r="D630" s="24" t="str">
        <x:v>Surfaçada</x:v>
      </x:c>
      <x:c r="E630" s="24" t="str">
        <x:v>Impression Monofocais B.I.G. NORM</x:v>
      </x:c>
      <x:c r="F630" s="24" t="str">
        <x:v>PRO410</x:v>
      </x:c>
      <x:c r="G630" s="24" t="str">
        <x:v>1.6</x:v>
      </x:c>
      <x:c r="H630" s="24" t="str">
        <x:v>1.60</x:v>
      </x:c>
      <x:c r="I630" s="24" t="str">
        <x:v>LayR X-tra Clean</x:v>
      </x:c>
      <x:c r="J630" s="40" t="n">
        <x:v>3070</x:v>
      </x:c>
      <x:c r="K630" s="24" t="str">
        <x:v>-10 a +10</x:v>
      </x:c>
      <x:c r="L630" s="24" t="str">
        <x:v>até -6</x:v>
      </x:c>
      <x:c r="M630" s="24"/>
      <x:c r="N630" s="24" t="str">
        <x:v>75</x:v>
      </x:c>
      <x:c r="O630" s="24"/>
      <x:c r="P630" s="24"/>
      <x:c r="Q630" s="24" t="str">
        <x:v>DISPONÍVEL</x:v>
      </x:c>
      <x:c r="R630" s="24"/>
      <x:c r="S630" s="24" t="n">
        <x:v>17</x:v>
      </x:c>
      <x:c r="T630" s="24" t="str">
        <x:v>tabela_rodenstock.pdf</x:v>
      </x:c>
      <x:c r="U630" s="24" t="str">
        <x:v>Rodenstock|Monofocal B.I.G. NORM|Surfaçada|Impression Monofocais B.I.G. NORM|PRO410|1.6|1.60|LayR X-tra Clean|-10 a +10|até -6||75|||17</x:v>
      </x:c>
    </x:row>
    <x:row r="631">
      <x:c r="A631" s="24" t="str">
        <x:v>RD-169FE5AA6D13</x:v>
      </x:c>
      <x:c r="B631" s="24" t="str">
        <x:v>Rodenstock</x:v>
      </x:c>
      <x:c r="C631" s="24" t="str">
        <x:v>Monofocal B.I.G. NORM</x:v>
      </x:c>
      <x:c r="D631" s="24" t="str">
        <x:v>Surfaçada</x:v>
      </x:c>
      <x:c r="E631" s="24" t="str">
        <x:v>Impression Monofocais B.I.G. NORM</x:v>
      </x:c>
      <x:c r="F631" s="24" t="str">
        <x:v>PRO410</x:v>
      </x:c>
      <x:c r="G631" s="24" t="str">
        <x:v>1.6</x:v>
      </x:c>
      <x:c r="H631" s="24" t="str">
        <x:v>1.60</x:v>
      </x:c>
      <x:c r="I631" s="24" t="str">
        <x:v>LayR Balance</x:v>
      </x:c>
      <x:c r="J631" s="40" t="n">
        <x:v>3070</x:v>
      </x:c>
      <x:c r="K631" s="24" t="str">
        <x:v>-10 a +10</x:v>
      </x:c>
      <x:c r="L631" s="24" t="str">
        <x:v>até -6</x:v>
      </x:c>
      <x:c r="M631" s="24"/>
      <x:c r="N631" s="24" t="str">
        <x:v>75</x:v>
      </x:c>
      <x:c r="O631" s="24"/>
      <x:c r="P631" s="24"/>
      <x:c r="Q631" s="24" t="str">
        <x:v>DISPONÍVEL</x:v>
      </x:c>
      <x:c r="R631" s="24"/>
      <x:c r="S631" s="24" t="n">
        <x:v>17</x:v>
      </x:c>
      <x:c r="T631" s="24" t="str">
        <x:v>tabela_rodenstock.pdf</x:v>
      </x:c>
      <x:c r="U631" s="24" t="str">
        <x:v>Rodenstock|Monofocal B.I.G. NORM|Surfaçada|Impression Monofocais B.I.G. NORM|PRO410|1.6|1.60|LayR Balance|-10 a +10|até -6||75|||17</x:v>
      </x:c>
    </x:row>
    <x:row r="632">
      <x:c r="A632" s="24" t="str">
        <x:v>RD-5955B83C6752</x:v>
      </x:c>
      <x:c r="B632" s="24" t="str">
        <x:v>Rodenstock</x:v>
      </x:c>
      <x:c r="C632" s="24" t="str">
        <x:v>Monofocal B.I.G. NORM</x:v>
      </x:c>
      <x:c r="D632" s="24" t="str">
        <x:v>Surfaçada</x:v>
      </x:c>
      <x:c r="E632" s="24" t="str">
        <x:v>Impression Monofocais B.I.G. NORM</x:v>
      </x:c>
      <x:c r="F632" s="24" t="str">
        <x:v>PRO410</x:v>
      </x:c>
      <x:c r="G632" s="24" t="str">
        <x:v>1.6</x:v>
      </x:c>
      <x:c r="H632" s="24" t="str">
        <x:v>1.60</x:v>
      </x:c>
      <x:c r="I632" s="24" t="str">
        <x:v>Solitaire X-tra Clean</x:v>
      </x:c>
      <x:c r="J632" s="40" t="n">
        <x:v>3000</x:v>
      </x:c>
      <x:c r="K632" s="24" t="str">
        <x:v>-10 a +10</x:v>
      </x:c>
      <x:c r="L632" s="24" t="str">
        <x:v>até -6</x:v>
      </x:c>
      <x:c r="M632" s="24"/>
      <x:c r="N632" s="24" t="str">
        <x:v>75</x:v>
      </x:c>
      <x:c r="O632" s="24"/>
      <x:c r="P632" s="24"/>
      <x:c r="Q632" s="24" t="str">
        <x:v>DISPONÍVEL</x:v>
      </x:c>
      <x:c r="R632" s="24"/>
      <x:c r="S632" s="24" t="n">
        <x:v>17</x:v>
      </x:c>
      <x:c r="T632" s="24" t="str">
        <x:v>tabela_rodenstock.pdf</x:v>
      </x:c>
      <x:c r="U632" s="24" t="str">
        <x:v>Rodenstock|Monofocal B.I.G. NORM|Surfaçada|Impression Monofocais B.I.G. NORM|PRO410|1.6|1.60|Solitaire X-tra Clean|-10 a +10|até -6||75|||17</x:v>
      </x:c>
    </x:row>
    <x:row r="633">
      <x:c r="A633" s="24" t="str">
        <x:v>RD-A6A33BA302D5</x:v>
      </x:c>
      <x:c r="B633" s="24" t="str">
        <x:v>Rodenstock</x:v>
      </x:c>
      <x:c r="C633" s="24" t="str">
        <x:v>Monofocal B.I.G. NORM</x:v>
      </x:c>
      <x:c r="D633" s="24" t="str">
        <x:v>Surfaçada</x:v>
      </x:c>
      <x:c r="E633" s="24" t="str">
        <x:v>Impression Monofocais B.I.G. NORM</x:v>
      </x:c>
      <x:c r="F633" s="24" t="str">
        <x:v>PRO410</x:v>
      </x:c>
      <x:c r="G633" s="24" t="str">
        <x:v>1.6</x:v>
      </x:c>
      <x:c r="H633" s="24" t="str">
        <x:v>1.60</x:v>
      </x:c>
      <x:c r="I633" s="24" t="str">
        <x:v>Solitaire Protect Plus</x:v>
      </x:c>
      <x:c r="J633" s="40" t="n">
        <x:v>2950</x:v>
      </x:c>
      <x:c r="K633" s="24" t="str">
        <x:v>-10 a +10</x:v>
      </x:c>
      <x:c r="L633" s="24" t="str">
        <x:v>até -6</x:v>
      </x:c>
      <x:c r="M633" s="24"/>
      <x:c r="N633" s="24" t="str">
        <x:v>75</x:v>
      </x:c>
      <x:c r="O633" s="24"/>
      <x:c r="P633" s="24"/>
      <x:c r="Q633" s="24" t="str">
        <x:v>DISPONÍVEL</x:v>
      </x:c>
      <x:c r="R633" s="24"/>
      <x:c r="S633" s="24" t="n">
        <x:v>17</x:v>
      </x:c>
      <x:c r="T633" s="24" t="str">
        <x:v>tabela_rodenstock.pdf</x:v>
      </x:c>
      <x:c r="U633" s="24" t="str">
        <x:v>Rodenstock|Monofocal B.I.G. NORM|Surfaçada|Impression Monofocais B.I.G. NORM|PRO410|1.6|1.60|Solitaire Protect Plus|-10 a +10|até -6||75|||17</x:v>
      </x:c>
    </x:row>
    <x:row r="634">
      <x:c r="A634" s="24" t="str">
        <x:v>RD-A0D05D8BD631</x:v>
      </x:c>
      <x:c r="B634" s="24" t="str">
        <x:v>Rodenstock</x:v>
      </x:c>
      <x:c r="C634" s="24" t="str">
        <x:v>Monofocal B.I.G. NORM</x:v>
      </x:c>
      <x:c r="D634" s="24" t="str">
        <x:v>Surfaçada</x:v>
      </x:c>
      <x:c r="E634" s="24" t="str">
        <x:v>Impression Monofocais B.I.G. NORM</x:v>
      </x:c>
      <x:c r="F634" s="24" t="str">
        <x:v>PRO410</x:v>
      </x:c>
      <x:c r="G634" s="24" t="str">
        <x:v>1.6</x:v>
      </x:c>
      <x:c r="H634" s="24" t="str">
        <x:v>1.60</x:v>
      </x:c>
      <x:c r="I634" s="24" t="str">
        <x:v>ROAD</x:v>
      </x:c>
      <x:c r="J634" s="40" t="n">
        <x:v>2950</x:v>
      </x:c>
      <x:c r="K634" s="24" t="str">
        <x:v>-10 a +10</x:v>
      </x:c>
      <x:c r="L634" s="24" t="str">
        <x:v>até -6</x:v>
      </x:c>
      <x:c r="M634" s="24"/>
      <x:c r="N634" s="24" t="str">
        <x:v>75</x:v>
      </x:c>
      <x:c r="O634" s="24"/>
      <x:c r="P634" s="24"/>
      <x:c r="Q634" s="24" t="str">
        <x:v>DISPONÍVEL</x:v>
      </x:c>
      <x:c r="R634" s="24"/>
      <x:c r="S634" s="24" t="n">
        <x:v>17</x:v>
      </x:c>
      <x:c r="T634" s="24" t="str">
        <x:v>tabela_rodenstock.pdf</x:v>
      </x:c>
      <x:c r="U634" s="24" t="str">
        <x:v>Rodenstock|Monofocal B.I.G. NORM|Surfaçada|Impression Monofocais B.I.G. NORM|PRO410|1.6|1.60|ROAD|-10 a +10|até -6||75|||17</x:v>
      </x:c>
    </x:row>
    <x:row r="635">
      <x:c r="A635" s="24" t="str">
        <x:v>RD-288C275CAF8D</x:v>
      </x:c>
      <x:c r="B635" s="24" t="str">
        <x:v>Rodenstock</x:v>
      </x:c>
      <x:c r="C635" s="24" t="str">
        <x:v>Monofocal B.I.G. NORM</x:v>
      </x:c>
      <x:c r="D635" s="24" t="str">
        <x:v>Surfaçada</x:v>
      </x:c>
      <x:c r="E635" s="24" t="str">
        <x:v>Impression Monofocais B.I.G. NORM</x:v>
      </x:c>
      <x:c r="F635" s="24" t="str">
        <x:v>PRO410</x:v>
      </x:c>
      <x:c r="G635" s="24" t="str">
        <x:v>1.6</x:v>
      </x:c>
      <x:c r="H635" s="24" t="str">
        <x:v>1.60</x:v>
      </x:c>
      <x:c r="I635" s="24" t="str">
        <x:v>Solitaire Protect</x:v>
      </x:c>
      <x:c r="J635" s="40" t="n">
        <x:v>2690</x:v>
      </x:c>
      <x:c r="K635" s="24" t="str">
        <x:v>-10 a +10</x:v>
      </x:c>
      <x:c r="L635" s="24" t="str">
        <x:v>até -6</x:v>
      </x:c>
      <x:c r="M635" s="24"/>
      <x:c r="N635" s="24" t="str">
        <x:v>75</x:v>
      </x:c>
      <x:c r="O635" s="24"/>
      <x:c r="P635" s="24"/>
      <x:c r="Q635" s="24" t="str">
        <x:v>DISPONÍVEL</x:v>
      </x:c>
      <x:c r="R635" s="24"/>
      <x:c r="S635" s="24" t="n">
        <x:v>17</x:v>
      </x:c>
      <x:c r="T635" s="24" t="str">
        <x:v>tabela_rodenstock.pdf</x:v>
      </x:c>
      <x:c r="U635" s="24" t="str">
        <x:v>Rodenstock|Monofocal B.I.G. NORM|Surfaçada|Impression Monofocais B.I.G. NORM|PRO410|1.6|1.60|Solitaire Protect|-10 a +10|até -6||75|||17</x:v>
      </x:c>
    </x:row>
    <x:row r="636">
      <x:c r="A636" s="24" t="str">
        <x:v>RD-D19294F810BF</x:v>
      </x:c>
      <x:c r="B636" s="24" t="str">
        <x:v>Rodenstock</x:v>
      </x:c>
      <x:c r="C636" s="24" t="str">
        <x:v>Monofocal B.I.G. NORM</x:v>
      </x:c>
      <x:c r="D636" s="24" t="str">
        <x:v>Surfaçada</x:v>
      </x:c>
      <x:c r="E636" s="24" t="str">
        <x:v>Impression Monofocais B.I.G. NORM</x:v>
      </x:c>
      <x:c r="F636" s="24" t="str">
        <x:v>ColorMatic® 3 | X</x:v>
      </x:c>
      <x:c r="G636" s="24" t="str">
        <x:v>1.6</x:v>
      </x:c>
      <x:c r="H636" s="24" t="str">
        <x:v>1.60</x:v>
      </x:c>
      <x:c r="I636" s="24" t="str">
        <x:v>LayR X-tra Clean</x:v>
      </x:c>
      <x:c r="J636" s="40" t="n">
        <x:v>4029</x:v>
      </x:c>
      <x:c r="K636" s="24" t="str">
        <x:v>-10 a +10</x:v>
      </x:c>
      <x:c r="L636" s="24" t="str">
        <x:v>até -6</x:v>
      </x:c>
      <x:c r="M636" s="24"/>
      <x:c r="N636" s="24" t="str">
        <x:v>75</x:v>
      </x:c>
      <x:c r="O636" s="24"/>
      <x:c r="P636" s="24"/>
      <x:c r="Q636" s="24" t="str">
        <x:v>DISPONÍVEL</x:v>
      </x:c>
      <x:c r="R636" s="24"/>
      <x:c r="S636" s="24" t="n">
        <x:v>17</x:v>
      </x:c>
      <x:c r="T636" s="24" t="str">
        <x:v>tabela_rodenstock.pdf</x:v>
      </x:c>
      <x:c r="U636" s="24" t="str">
        <x:v>Rodenstock|Monofocal B.I.G. NORM|Surfaçada|Impression Monofocais B.I.G. NORM|ColorMatic® 3 | X|1.6|1.60|LayR X-tra Clean|-10 a +10|até -6||75|||17</x:v>
      </x:c>
    </x:row>
    <x:row r="637">
      <x:c r="A637" s="24" t="str">
        <x:v>RD-C34188F8E823</x:v>
      </x:c>
      <x:c r="B637" s="24" t="str">
        <x:v>Rodenstock</x:v>
      </x:c>
      <x:c r="C637" s="24" t="str">
        <x:v>Monofocal B.I.G. NORM</x:v>
      </x:c>
      <x:c r="D637" s="24" t="str">
        <x:v>Surfaçada</x:v>
      </x:c>
      <x:c r="E637" s="24" t="str">
        <x:v>Impression Monofocais B.I.G. NORM</x:v>
      </x:c>
      <x:c r="F637" s="24" t="str">
        <x:v>ColorMatic® 3 | X</x:v>
      </x:c>
      <x:c r="G637" s="24" t="str">
        <x:v>1.6</x:v>
      </x:c>
      <x:c r="H637" s="24" t="str">
        <x:v>1.60</x:v>
      </x:c>
      <x:c r="I637" s="24" t="str">
        <x:v>LayR Balance</x:v>
      </x:c>
      <x:c r="J637" s="40" t="n">
        <x:v>4029</x:v>
      </x:c>
      <x:c r="K637" s="24" t="str">
        <x:v>-10 a +10</x:v>
      </x:c>
      <x:c r="L637" s="24" t="str">
        <x:v>até -6</x:v>
      </x:c>
      <x:c r="M637" s="24"/>
      <x:c r="N637" s="24" t="str">
        <x:v>75</x:v>
      </x:c>
      <x:c r="O637" s="24"/>
      <x:c r="P637" s="24"/>
      <x:c r="Q637" s="24" t="str">
        <x:v>DISPONÍVEL</x:v>
      </x:c>
      <x:c r="R637" s="24"/>
      <x:c r="S637" s="24" t="n">
        <x:v>17</x:v>
      </x:c>
      <x:c r="T637" s="24" t="str">
        <x:v>tabela_rodenstock.pdf</x:v>
      </x:c>
      <x:c r="U637" s="24" t="str">
        <x:v>Rodenstock|Monofocal B.I.G. NORM|Surfaçada|Impression Monofocais B.I.G. NORM|ColorMatic® 3 | X|1.6|1.60|LayR Balance|-10 a +10|até -6||75|||17</x:v>
      </x:c>
    </x:row>
    <x:row r="638">
      <x:c r="A638" s="24" t="str">
        <x:v>RD-F892E7E6D8F9</x:v>
      </x:c>
      <x:c r="B638" s="24" t="str">
        <x:v>Rodenstock</x:v>
      </x:c>
      <x:c r="C638" s="24" t="str">
        <x:v>Monofocal B.I.G. NORM</x:v>
      </x:c>
      <x:c r="D638" s="24" t="str">
        <x:v>Surfaçada</x:v>
      </x:c>
      <x:c r="E638" s="24" t="str">
        <x:v>Impression Monofocais B.I.G. NORM</x:v>
      </x:c>
      <x:c r="F638" s="24" t="str">
        <x:v>ColorMatic® 3 | X</x:v>
      </x:c>
      <x:c r="G638" s="24" t="str">
        <x:v>1.6</x:v>
      </x:c>
      <x:c r="H638" s="24" t="str">
        <x:v>1.60</x:v>
      </x:c>
      <x:c r="I638" s="24" t="str">
        <x:v>Solitaire X-tra Clean</x:v>
      </x:c>
      <x:c r="J638" s="40" t="n">
        <x:v>3959</x:v>
      </x:c>
      <x:c r="K638" s="24" t="str">
        <x:v>-10 a +10</x:v>
      </x:c>
      <x:c r="L638" s="24" t="str">
        <x:v>até -6</x:v>
      </x:c>
      <x:c r="M638" s="24"/>
      <x:c r="N638" s="24" t="str">
        <x:v>75</x:v>
      </x:c>
      <x:c r="O638" s="24"/>
      <x:c r="P638" s="24"/>
      <x:c r="Q638" s="24" t="str">
        <x:v>DISPONÍVEL</x:v>
      </x:c>
      <x:c r="R638" s="24"/>
      <x:c r="S638" s="24" t="n">
        <x:v>17</x:v>
      </x:c>
      <x:c r="T638" s="24" t="str">
        <x:v>tabela_rodenstock.pdf</x:v>
      </x:c>
      <x:c r="U638" s="24" t="str">
        <x:v>Rodenstock|Monofocal B.I.G. NORM|Surfaçada|Impression Monofocais B.I.G. NORM|ColorMatic® 3 | X|1.6|1.60|Solitaire X-tra Clean|-10 a +10|até -6||75|||17</x:v>
      </x:c>
    </x:row>
    <x:row r="639">
      <x:c r="A639" s="24" t="str">
        <x:v>RD-671B3DE8CCCA</x:v>
      </x:c>
      <x:c r="B639" s="24" t="str">
        <x:v>Rodenstock</x:v>
      </x:c>
      <x:c r="C639" s="24" t="str">
        <x:v>Monofocal B.I.G. NORM</x:v>
      </x:c>
      <x:c r="D639" s="24" t="str">
        <x:v>Surfaçada</x:v>
      </x:c>
      <x:c r="E639" s="24" t="str">
        <x:v>Impression Monofocais B.I.G. NORM</x:v>
      </x:c>
      <x:c r="F639" s="24" t="str">
        <x:v>ColorMatic® 3 | X</x:v>
      </x:c>
      <x:c r="G639" s="24" t="str">
        <x:v>1.6</x:v>
      </x:c>
      <x:c r="H639" s="24" t="str">
        <x:v>1.60</x:v>
      </x:c>
      <x:c r="I639" s="24" t="str">
        <x:v>Solitaire Protect Plus</x:v>
      </x:c>
      <x:c r="J639" s="40" t="n">
        <x:v>3909</x:v>
      </x:c>
      <x:c r="K639" s="24" t="str">
        <x:v>-10 a +10</x:v>
      </x:c>
      <x:c r="L639" s="24" t="str">
        <x:v>até -6</x:v>
      </x:c>
      <x:c r="M639" s="24"/>
      <x:c r="N639" s="24" t="str">
        <x:v>75</x:v>
      </x:c>
      <x:c r="O639" s="24"/>
      <x:c r="P639" s="24"/>
      <x:c r="Q639" s="24" t="str">
        <x:v>DISPONÍVEL</x:v>
      </x:c>
      <x:c r="R639" s="24"/>
      <x:c r="S639" s="24" t="n">
        <x:v>17</x:v>
      </x:c>
      <x:c r="T639" s="24" t="str">
        <x:v>tabela_rodenstock.pdf</x:v>
      </x:c>
      <x:c r="U639" s="24" t="str">
        <x:v>Rodenstock|Monofocal B.I.G. NORM|Surfaçada|Impression Monofocais B.I.G. NORM|ColorMatic® 3 | X|1.6|1.60|Solitaire Protect Plus|-10 a +10|até -6||75|||17</x:v>
      </x:c>
    </x:row>
    <x:row r="640">
      <x:c r="A640" s="24" t="str">
        <x:v>RD-7CC02BDA7B92</x:v>
      </x:c>
      <x:c r="B640" s="24" t="str">
        <x:v>Rodenstock</x:v>
      </x:c>
      <x:c r="C640" s="24" t="str">
        <x:v>Monofocal B.I.G. NORM</x:v>
      </x:c>
      <x:c r="D640" s="24" t="str">
        <x:v>Surfaçada</x:v>
      </x:c>
      <x:c r="E640" s="24" t="str">
        <x:v>Impression Monofocais B.I.G. NORM</x:v>
      </x:c>
      <x:c r="F640" s="24" t="str">
        <x:v>ColorMatic® 3 | X</x:v>
      </x:c>
      <x:c r="G640" s="24" t="str">
        <x:v>1.6</x:v>
      </x:c>
      <x:c r="H640" s="24" t="str">
        <x:v>1.60</x:v>
      </x:c>
      <x:c r="I640" s="24" t="str">
        <x:v>ROAD</x:v>
      </x:c>
      <x:c r="J640" s="40" t="n">
        <x:v>3909</x:v>
      </x:c>
      <x:c r="K640" s="24" t="str">
        <x:v>-10 a +10</x:v>
      </x:c>
      <x:c r="L640" s="24" t="str">
        <x:v>até -6</x:v>
      </x:c>
      <x:c r="M640" s="24"/>
      <x:c r="N640" s="24" t="str">
        <x:v>75</x:v>
      </x:c>
      <x:c r="O640" s="24"/>
      <x:c r="P640" s="24"/>
      <x:c r="Q640" s="24" t="str">
        <x:v>DISPONÍVEL</x:v>
      </x:c>
      <x:c r="R640" s="24"/>
      <x:c r="S640" s="24" t="n">
        <x:v>17</x:v>
      </x:c>
      <x:c r="T640" s="24" t="str">
        <x:v>tabela_rodenstock.pdf</x:v>
      </x:c>
      <x:c r="U640" s="24" t="str">
        <x:v>Rodenstock|Monofocal B.I.G. NORM|Surfaçada|Impression Monofocais B.I.G. NORM|ColorMatic® 3 | X|1.6|1.60|ROAD|-10 a +10|até -6||75|||17</x:v>
      </x:c>
    </x:row>
    <x:row r="641">
      <x:c r="A641" s="24" t="str">
        <x:v>RD-BAD79667FC5C</x:v>
      </x:c>
      <x:c r="B641" s="24" t="str">
        <x:v>Rodenstock</x:v>
      </x:c>
      <x:c r="C641" s="24" t="str">
        <x:v>Monofocal B.I.G. NORM</x:v>
      </x:c>
      <x:c r="D641" s="24" t="str">
        <x:v>Surfaçada</x:v>
      </x:c>
      <x:c r="E641" s="24" t="str">
        <x:v>Impression Monofocais B.I.G. NORM</x:v>
      </x:c>
      <x:c r="F641" s="24" t="str">
        <x:v>ColorMatic® 3 | X</x:v>
      </x:c>
      <x:c r="G641" s="24" t="str">
        <x:v>1.6</x:v>
      </x:c>
      <x:c r="H641" s="24" t="str">
        <x:v>1.60</x:v>
      </x:c>
      <x:c r="I641" s="24" t="str">
        <x:v>Solitaire Protect</x:v>
      </x:c>
      <x:c r="J641" s="40" t="n">
        <x:v>3649</x:v>
      </x:c>
      <x:c r="K641" s="24" t="str">
        <x:v>-10 a +10</x:v>
      </x:c>
      <x:c r="L641" s="24" t="str">
        <x:v>até -6</x:v>
      </x:c>
      <x:c r="M641" s="24"/>
      <x:c r="N641" s="24" t="str">
        <x:v>75</x:v>
      </x:c>
      <x:c r="O641" s="24"/>
      <x:c r="P641" s="24"/>
      <x:c r="Q641" s="24" t="str">
        <x:v>DISPONÍVEL</x:v>
      </x:c>
      <x:c r="R641" s="24"/>
      <x:c r="S641" s="24" t="n">
        <x:v>17</x:v>
      </x:c>
      <x:c r="T641" s="24" t="str">
        <x:v>tabela_rodenstock.pdf</x:v>
      </x:c>
      <x:c r="U641" s="24" t="str">
        <x:v>Rodenstock|Monofocal B.I.G. NORM|Surfaçada|Impression Monofocais B.I.G. NORM|ColorMatic® 3 | X|1.6|1.60|Solitaire Protect|-10 a +10|até -6||75|||17</x:v>
      </x:c>
    </x:row>
    <x:row r="642">
      <x:c r="A642" s="24" t="str">
        <x:v>RD-7DD765F1913C</x:v>
      </x:c>
      <x:c r="B642" s="24" t="str">
        <x:v>Rodenstock</x:v>
      </x:c>
      <x:c r="C642" s="24" t="str">
        <x:v>Monofocal B.I.G. NORM</x:v>
      </x:c>
      <x:c r="D642" s="24" t="str">
        <x:v>Surfaçada</x:v>
      </x:c>
      <x:c r="E642" s="24" t="str">
        <x:v>Impression Monofocais B.I.G. NORM</x:v>
      </x:c>
      <x:c r="F642" s="24"/>
      <x:c r="G642" s="24" t="str">
        <x:v>1.67</x:v>
      </x:c>
      <x:c r="H642" s="24" t="str">
        <x:v>1.67</x:v>
      </x:c>
      <x:c r="I642" s="24" t="str">
        <x:v>LayR X-tra Clean</x:v>
      </x:c>
      <x:c r="J642" s="40" t="n">
        <x:v>4088</x:v>
      </x:c>
      <x:c r="K642" s="24" t="str">
        <x:v>-12 a +10</x:v>
      </x:c>
      <x:c r="L642" s="24" t="str">
        <x:v>até -6</x:v>
      </x:c>
      <x:c r="M642" s="24"/>
      <x:c r="N642" s="24" t="str">
        <x:v>75</x:v>
      </x:c>
      <x:c r="O642" s="24"/>
      <x:c r="P642" s="24"/>
      <x:c r="Q642" s="24" t="str">
        <x:v>DISPONÍVEL</x:v>
      </x:c>
      <x:c r="R642" s="24"/>
      <x:c r="S642" s="24" t="n">
        <x:v>17</x:v>
      </x:c>
      <x:c r="T642" s="24" t="str">
        <x:v>tabela_rodenstock.pdf</x:v>
      </x:c>
      <x:c r="U642" s="24" t="str">
        <x:v>Rodenstock|Monofocal B.I.G. NORM|Surfaçada|Impression Monofocais B.I.G. NORM||1.67|1.67|LayR X-tra Clean|-12 a +10|até -6||75|||17</x:v>
      </x:c>
    </x:row>
    <x:row r="643">
      <x:c r="A643" s="24" t="str">
        <x:v>RD-8550613E505B</x:v>
      </x:c>
      <x:c r="B643" s="24" t="str">
        <x:v>Rodenstock</x:v>
      </x:c>
      <x:c r="C643" s="24" t="str">
        <x:v>Monofocal B.I.G. NORM</x:v>
      </x:c>
      <x:c r="D643" s="24" t="str">
        <x:v>Surfaçada</x:v>
      </x:c>
      <x:c r="E643" s="24" t="str">
        <x:v>Impression Monofocais B.I.G. NORM</x:v>
      </x:c>
      <x:c r="F643" s="24"/>
      <x:c r="G643" s="24" t="str">
        <x:v>1.67</x:v>
      </x:c>
      <x:c r="H643" s="24" t="str">
        <x:v>1.67</x:v>
      </x:c>
      <x:c r="I643" s="24" t="str">
        <x:v>LayR Balance</x:v>
      </x:c>
      <x:c r="J643" s="40" t="n">
        <x:v>4088</x:v>
      </x:c>
      <x:c r="K643" s="24" t="str">
        <x:v>-12 a +10</x:v>
      </x:c>
      <x:c r="L643" s="24" t="str">
        <x:v>até -6</x:v>
      </x:c>
      <x:c r="M643" s="24"/>
      <x:c r="N643" s="24" t="str">
        <x:v>75</x:v>
      </x:c>
      <x:c r="O643" s="24"/>
      <x:c r="P643" s="24"/>
      <x:c r="Q643" s="24" t="str">
        <x:v>DISPONÍVEL</x:v>
      </x:c>
      <x:c r="R643" s="24"/>
      <x:c r="S643" s="24" t="n">
        <x:v>17</x:v>
      </x:c>
      <x:c r="T643" s="24" t="str">
        <x:v>tabela_rodenstock.pdf</x:v>
      </x:c>
      <x:c r="U643" s="24" t="str">
        <x:v>Rodenstock|Monofocal B.I.G. NORM|Surfaçada|Impression Monofocais B.I.G. NORM||1.67|1.67|LayR Balance|-12 a +10|até -6||75|||17</x:v>
      </x:c>
    </x:row>
    <x:row r="644">
      <x:c r="A644" s="24" t="str">
        <x:v>RD-B9533044612C</x:v>
      </x:c>
      <x:c r="B644" s="24" t="str">
        <x:v>Rodenstock</x:v>
      </x:c>
      <x:c r="C644" s="24" t="str">
        <x:v>Monofocal B.I.G. NORM</x:v>
      </x:c>
      <x:c r="D644" s="24" t="str">
        <x:v>Surfaçada</x:v>
      </x:c>
      <x:c r="E644" s="24" t="str">
        <x:v>Impression Monofocais B.I.G. NORM</x:v>
      </x:c>
      <x:c r="F644" s="24"/>
      <x:c r="G644" s="24" t="str">
        <x:v>1.67</x:v>
      </x:c>
      <x:c r="H644" s="24" t="str">
        <x:v>1.67</x:v>
      </x:c>
      <x:c r="I644" s="24" t="str">
        <x:v>Solitaire X-tra Clean</x:v>
      </x:c>
      <x:c r="J644" s="40" t="n">
        <x:v>4018</x:v>
      </x:c>
      <x:c r="K644" s="24" t="str">
        <x:v>-12 a +10</x:v>
      </x:c>
      <x:c r="L644" s="24" t="str">
        <x:v>até -6</x:v>
      </x:c>
      <x:c r="M644" s="24"/>
      <x:c r="N644" s="24" t="str">
        <x:v>75</x:v>
      </x:c>
      <x:c r="O644" s="24"/>
      <x:c r="P644" s="24"/>
      <x:c r="Q644" s="24" t="str">
        <x:v>DISPONÍVEL</x:v>
      </x:c>
      <x:c r="R644" s="24"/>
      <x:c r="S644" s="24" t="n">
        <x:v>17</x:v>
      </x:c>
      <x:c r="T644" s="24" t="str">
        <x:v>tabela_rodenstock.pdf</x:v>
      </x:c>
      <x:c r="U644" s="24" t="str">
        <x:v>Rodenstock|Monofocal B.I.G. NORM|Surfaçada|Impression Monofocais B.I.G. NORM||1.67|1.67|Solitaire X-tra Clean|-12 a +10|até -6||75|||17</x:v>
      </x:c>
    </x:row>
    <x:row r="645">
      <x:c r="A645" s="24" t="str">
        <x:v>RD-28AF136BAE43</x:v>
      </x:c>
      <x:c r="B645" s="24" t="str">
        <x:v>Rodenstock</x:v>
      </x:c>
      <x:c r="C645" s="24" t="str">
        <x:v>Monofocal B.I.G. NORM</x:v>
      </x:c>
      <x:c r="D645" s="24" t="str">
        <x:v>Surfaçada</x:v>
      </x:c>
      <x:c r="E645" s="24" t="str">
        <x:v>Impression Monofocais B.I.G. NORM</x:v>
      </x:c>
      <x:c r="F645" s="24"/>
      <x:c r="G645" s="24" t="str">
        <x:v>1.67</x:v>
      </x:c>
      <x:c r="H645" s="24" t="str">
        <x:v>1.67</x:v>
      </x:c>
      <x:c r="I645" s="24" t="str">
        <x:v>Solitaire Protect Plus</x:v>
      </x:c>
      <x:c r="J645" s="40" t="n">
        <x:v>3968</x:v>
      </x:c>
      <x:c r="K645" s="24" t="str">
        <x:v>-12 a +10</x:v>
      </x:c>
      <x:c r="L645" s="24" t="str">
        <x:v>até -6</x:v>
      </x:c>
      <x:c r="M645" s="24"/>
      <x:c r="N645" s="24" t="str">
        <x:v>75</x:v>
      </x:c>
      <x:c r="O645" s="24"/>
      <x:c r="P645" s="24"/>
      <x:c r="Q645" s="24" t="str">
        <x:v>DISPONÍVEL</x:v>
      </x:c>
      <x:c r="R645" s="24"/>
      <x:c r="S645" s="24" t="n">
        <x:v>17</x:v>
      </x:c>
      <x:c r="T645" s="24" t="str">
        <x:v>tabela_rodenstock.pdf</x:v>
      </x:c>
      <x:c r="U645" s="24" t="str">
        <x:v>Rodenstock|Monofocal B.I.G. NORM|Surfaçada|Impression Monofocais B.I.G. NORM||1.67|1.67|Solitaire Protect Plus|-12 a +10|até -6||75|||17</x:v>
      </x:c>
    </x:row>
    <x:row r="646">
      <x:c r="A646" s="24" t="str">
        <x:v>RD-D8E91CE6F3D9</x:v>
      </x:c>
      <x:c r="B646" s="24" t="str">
        <x:v>Rodenstock</x:v>
      </x:c>
      <x:c r="C646" s="24" t="str">
        <x:v>Monofocal B.I.G. NORM</x:v>
      </x:c>
      <x:c r="D646" s="24" t="str">
        <x:v>Surfaçada</x:v>
      </x:c>
      <x:c r="E646" s="24" t="str">
        <x:v>Impression Monofocais B.I.G. NORM</x:v>
      </x:c>
      <x:c r="F646" s="24"/>
      <x:c r="G646" s="24" t="str">
        <x:v>1.67</x:v>
      </x:c>
      <x:c r="H646" s="24" t="str">
        <x:v>1.67</x:v>
      </x:c>
      <x:c r="I646" s="24" t="str">
        <x:v>ROAD</x:v>
      </x:c>
      <x:c r="J646" s="40" t="n">
        <x:v>3968</x:v>
      </x:c>
      <x:c r="K646" s="24" t="str">
        <x:v>-12 a +10</x:v>
      </x:c>
      <x:c r="L646" s="24" t="str">
        <x:v>até -6</x:v>
      </x:c>
      <x:c r="M646" s="24"/>
      <x:c r="N646" s="24" t="str">
        <x:v>75</x:v>
      </x:c>
      <x:c r="O646" s="24"/>
      <x:c r="P646" s="24"/>
      <x:c r="Q646" s="24" t="str">
        <x:v>DISPONÍVEL</x:v>
      </x:c>
      <x:c r="R646" s="24"/>
      <x:c r="S646" s="24" t="n">
        <x:v>17</x:v>
      </x:c>
      <x:c r="T646" s="24" t="str">
        <x:v>tabela_rodenstock.pdf</x:v>
      </x:c>
      <x:c r="U646" s="24" t="str">
        <x:v>Rodenstock|Monofocal B.I.G. NORM|Surfaçada|Impression Monofocais B.I.G. NORM||1.67|1.67|ROAD|-12 a +10|até -6||75|||17</x:v>
      </x:c>
    </x:row>
    <x:row r="647">
      <x:c r="A647" s="24" t="str">
        <x:v>RD-EBDF6217868E</x:v>
      </x:c>
      <x:c r="B647" s="24" t="str">
        <x:v>Rodenstock</x:v>
      </x:c>
      <x:c r="C647" s="24" t="str">
        <x:v>Monofocal B.I.G. NORM</x:v>
      </x:c>
      <x:c r="D647" s="24" t="str">
        <x:v>Surfaçada</x:v>
      </x:c>
      <x:c r="E647" s="24" t="str">
        <x:v>Impression Monofocais B.I.G. NORM</x:v>
      </x:c>
      <x:c r="F647" s="24"/>
      <x:c r="G647" s="24" t="str">
        <x:v>1.67</x:v>
      </x:c>
      <x:c r="H647" s="24" t="str">
        <x:v>1.67</x:v>
      </x:c>
      <x:c r="I647" s="24" t="str">
        <x:v>Solitaire Protect</x:v>
      </x:c>
      <x:c r="J647" s="40" t="n">
        <x:v>3708</x:v>
      </x:c>
      <x:c r="K647" s="24" t="str">
        <x:v>-12 a +10</x:v>
      </x:c>
      <x:c r="L647" s="24" t="str">
        <x:v>até -6</x:v>
      </x:c>
      <x:c r="M647" s="24"/>
      <x:c r="N647" s="24" t="str">
        <x:v>75</x:v>
      </x:c>
      <x:c r="O647" s="24"/>
      <x:c r="P647" s="24"/>
      <x:c r="Q647" s="24" t="str">
        <x:v>DISPONÍVEL</x:v>
      </x:c>
      <x:c r="R647" s="24"/>
      <x:c r="S647" s="24" t="n">
        <x:v>17</x:v>
      </x:c>
      <x:c r="T647" s="24" t="str">
        <x:v>tabela_rodenstock.pdf</x:v>
      </x:c>
      <x:c r="U647" s="24" t="str">
        <x:v>Rodenstock|Monofocal B.I.G. NORM|Surfaçada|Impression Monofocais B.I.G. NORM||1.67|1.67|Solitaire Protect|-12 a +10|até -6||75|||17</x:v>
      </x:c>
    </x:row>
    <x:row r="648">
      <x:c r="A648" s="24" t="str">
        <x:v>RD-E168E0A325AF</x:v>
      </x:c>
      <x:c r="B648" s="24" t="str">
        <x:v>Rodenstock</x:v>
      </x:c>
      <x:c r="C648" s="24" t="str">
        <x:v>Monofocal B.I.G. NORM</x:v>
      </x:c>
      <x:c r="D648" s="24" t="str">
        <x:v>Surfaçada</x:v>
      </x:c>
      <x:c r="E648" s="24" t="str">
        <x:v>Impression Monofocais B.I.G. NORM</x:v>
      </x:c>
      <x:c r="F648" s="24" t="str">
        <x:v>ColorMatic® 3</x:v>
      </x:c>
      <x:c r="G648" s="24" t="str">
        <x:v>1.67</x:v>
      </x:c>
      <x:c r="H648" s="24" t="str">
        <x:v>1.67</x:v>
      </x:c>
      <x:c r="I648" s="24" t="str">
        <x:v>LayR X-tra Clean</x:v>
      </x:c>
      <x:c r="J648" s="40" t="n">
        <x:v>5187</x:v>
      </x:c>
      <x:c r="K648" s="24" t="str">
        <x:v>-12 a +10</x:v>
      </x:c>
      <x:c r="L648" s="24" t="str">
        <x:v>até -6</x:v>
      </x:c>
      <x:c r="M648" s="24"/>
      <x:c r="N648" s="24" t="str">
        <x:v>75</x:v>
      </x:c>
      <x:c r="O648" s="24"/>
      <x:c r="P648" s="24"/>
      <x:c r="Q648" s="24" t="str">
        <x:v>DISPONÍVEL</x:v>
      </x:c>
      <x:c r="R648" s="24"/>
      <x:c r="S648" s="24" t="n">
        <x:v>17</x:v>
      </x:c>
      <x:c r="T648" s="24" t="str">
        <x:v>tabela_rodenstock.pdf</x:v>
      </x:c>
      <x:c r="U648" s="24" t="str">
        <x:v>Rodenstock|Monofocal B.I.G. NORM|Surfaçada|Impression Monofocais B.I.G. NORM|ColorMatic® 3|1.67|1.67|LayR X-tra Clean|-12 a +10|até -6||75|||17</x:v>
      </x:c>
    </x:row>
    <x:row r="649">
      <x:c r="A649" s="24" t="str">
        <x:v>RD-2014AEF3B631</x:v>
      </x:c>
      <x:c r="B649" s="24" t="str">
        <x:v>Rodenstock</x:v>
      </x:c>
      <x:c r="C649" s="24" t="str">
        <x:v>Monofocal B.I.G. NORM</x:v>
      </x:c>
      <x:c r="D649" s="24" t="str">
        <x:v>Surfaçada</x:v>
      </x:c>
      <x:c r="E649" s="24" t="str">
        <x:v>Impression Monofocais B.I.G. NORM</x:v>
      </x:c>
      <x:c r="F649" s="24" t="str">
        <x:v>ColorMatic® 3</x:v>
      </x:c>
      <x:c r="G649" s="24" t="str">
        <x:v>1.67</x:v>
      </x:c>
      <x:c r="H649" s="24" t="str">
        <x:v>1.67</x:v>
      </x:c>
      <x:c r="I649" s="24" t="str">
        <x:v>LayR Balance</x:v>
      </x:c>
      <x:c r="J649" s="40" t="n">
        <x:v>5187</x:v>
      </x:c>
      <x:c r="K649" s="24" t="str">
        <x:v>-12 a +10</x:v>
      </x:c>
      <x:c r="L649" s="24" t="str">
        <x:v>até -6</x:v>
      </x:c>
      <x:c r="M649" s="24"/>
      <x:c r="N649" s="24" t="str">
        <x:v>75</x:v>
      </x:c>
      <x:c r="O649" s="24"/>
      <x:c r="P649" s="24"/>
      <x:c r="Q649" s="24" t="str">
        <x:v>DISPONÍVEL</x:v>
      </x:c>
      <x:c r="R649" s="24"/>
      <x:c r="S649" s="24" t="n">
        <x:v>17</x:v>
      </x:c>
      <x:c r="T649" s="24" t="str">
        <x:v>tabela_rodenstock.pdf</x:v>
      </x:c>
      <x:c r="U649" s="24" t="str">
        <x:v>Rodenstock|Monofocal B.I.G. NORM|Surfaçada|Impression Monofocais B.I.G. NORM|ColorMatic® 3|1.67|1.67|LayR Balance|-12 a +10|até -6||75|||17</x:v>
      </x:c>
    </x:row>
    <x:row r="650">
      <x:c r="A650" s="24" t="str">
        <x:v>RD-6A1F50CF29B7</x:v>
      </x:c>
      <x:c r="B650" s="24" t="str">
        <x:v>Rodenstock</x:v>
      </x:c>
      <x:c r="C650" s="24" t="str">
        <x:v>Monofocal B.I.G. NORM</x:v>
      </x:c>
      <x:c r="D650" s="24" t="str">
        <x:v>Surfaçada</x:v>
      </x:c>
      <x:c r="E650" s="24" t="str">
        <x:v>Impression Monofocais B.I.G. NORM</x:v>
      </x:c>
      <x:c r="F650" s="24" t="str">
        <x:v>ColorMatic® 3</x:v>
      </x:c>
      <x:c r="G650" s="24" t="str">
        <x:v>1.67</x:v>
      </x:c>
      <x:c r="H650" s="24" t="str">
        <x:v>1.67</x:v>
      </x:c>
      <x:c r="I650" s="24" t="str">
        <x:v>Solitaire X-tra Clean</x:v>
      </x:c>
      <x:c r="J650" s="40" t="n">
        <x:v>5117</x:v>
      </x:c>
      <x:c r="K650" s="24" t="str">
        <x:v>-12 a +10</x:v>
      </x:c>
      <x:c r="L650" s="24" t="str">
        <x:v>até -6</x:v>
      </x:c>
      <x:c r="M650" s="24"/>
      <x:c r="N650" s="24" t="str">
        <x:v>75</x:v>
      </x:c>
      <x:c r="O650" s="24"/>
      <x:c r="P650" s="24"/>
      <x:c r="Q650" s="24" t="str">
        <x:v>DISPONÍVEL</x:v>
      </x:c>
      <x:c r="R650" s="24"/>
      <x:c r="S650" s="24" t="n">
        <x:v>17</x:v>
      </x:c>
      <x:c r="T650" s="24" t="str">
        <x:v>tabela_rodenstock.pdf</x:v>
      </x:c>
      <x:c r="U650" s="24" t="str">
        <x:v>Rodenstock|Monofocal B.I.G. NORM|Surfaçada|Impression Monofocais B.I.G. NORM|ColorMatic® 3|1.67|1.67|Solitaire X-tra Clean|-12 a +10|até -6||75|||17</x:v>
      </x:c>
    </x:row>
    <x:row r="651">
      <x:c r="A651" s="24" t="str">
        <x:v>RD-62165FD19E8D</x:v>
      </x:c>
      <x:c r="B651" s="24" t="str">
        <x:v>Rodenstock</x:v>
      </x:c>
      <x:c r="C651" s="24" t="str">
        <x:v>Monofocal B.I.G. NORM</x:v>
      </x:c>
      <x:c r="D651" s="24" t="str">
        <x:v>Surfaçada</x:v>
      </x:c>
      <x:c r="E651" s="24" t="str">
        <x:v>Impression Monofocais B.I.G. NORM</x:v>
      </x:c>
      <x:c r="F651" s="24" t="str">
        <x:v>ColorMatic® 3</x:v>
      </x:c>
      <x:c r="G651" s="24" t="str">
        <x:v>1.67</x:v>
      </x:c>
      <x:c r="H651" s="24" t="str">
        <x:v>1.67</x:v>
      </x:c>
      <x:c r="I651" s="24" t="str">
        <x:v>Solitaire Protect Plus</x:v>
      </x:c>
      <x:c r="J651" s="40" t="n">
        <x:v>5067</x:v>
      </x:c>
      <x:c r="K651" s="24" t="str">
        <x:v>-12 a +10</x:v>
      </x:c>
      <x:c r="L651" s="24" t="str">
        <x:v>até -6</x:v>
      </x:c>
      <x:c r="M651" s="24"/>
      <x:c r="N651" s="24" t="str">
        <x:v>75</x:v>
      </x:c>
      <x:c r="O651" s="24"/>
      <x:c r="P651" s="24"/>
      <x:c r="Q651" s="24" t="str">
        <x:v>DISPONÍVEL</x:v>
      </x:c>
      <x:c r="R651" s="24"/>
      <x:c r="S651" s="24" t="n">
        <x:v>17</x:v>
      </x:c>
      <x:c r="T651" s="24" t="str">
        <x:v>tabela_rodenstock.pdf</x:v>
      </x:c>
      <x:c r="U651" s="24" t="str">
        <x:v>Rodenstock|Monofocal B.I.G. NORM|Surfaçada|Impression Monofocais B.I.G. NORM|ColorMatic® 3|1.67|1.67|Solitaire Protect Plus|-12 a +10|até -6||75|||17</x:v>
      </x:c>
    </x:row>
    <x:row r="652">
      <x:c r="A652" s="24" t="str">
        <x:v>RD-A0FE5382A630</x:v>
      </x:c>
      <x:c r="B652" s="24" t="str">
        <x:v>Rodenstock</x:v>
      </x:c>
      <x:c r="C652" s="24" t="str">
        <x:v>Monofocal B.I.G. NORM</x:v>
      </x:c>
      <x:c r="D652" s="24" t="str">
        <x:v>Surfaçada</x:v>
      </x:c>
      <x:c r="E652" s="24" t="str">
        <x:v>Impression Monofocais B.I.G. NORM</x:v>
      </x:c>
      <x:c r="F652" s="24" t="str">
        <x:v>ColorMatic® 3</x:v>
      </x:c>
      <x:c r="G652" s="24" t="str">
        <x:v>1.67</x:v>
      </x:c>
      <x:c r="H652" s="24" t="str">
        <x:v>1.67</x:v>
      </x:c>
      <x:c r="I652" s="24" t="str">
        <x:v>ROAD</x:v>
      </x:c>
      <x:c r="J652" s="40" t="n">
        <x:v>5067</x:v>
      </x:c>
      <x:c r="K652" s="24" t="str">
        <x:v>-12 a +10</x:v>
      </x:c>
      <x:c r="L652" s="24" t="str">
        <x:v>até -6</x:v>
      </x:c>
      <x:c r="M652" s="24"/>
      <x:c r="N652" s="24" t="str">
        <x:v>75</x:v>
      </x:c>
      <x:c r="O652" s="24"/>
      <x:c r="P652" s="24"/>
      <x:c r="Q652" s="24" t="str">
        <x:v>DISPONÍVEL</x:v>
      </x:c>
      <x:c r="R652" s="24"/>
      <x:c r="S652" s="24" t="n">
        <x:v>17</x:v>
      </x:c>
      <x:c r="T652" s="24" t="str">
        <x:v>tabela_rodenstock.pdf</x:v>
      </x:c>
      <x:c r="U652" s="24" t="str">
        <x:v>Rodenstock|Monofocal B.I.G. NORM|Surfaçada|Impression Monofocais B.I.G. NORM|ColorMatic® 3|1.67|1.67|ROAD|-12 a +10|até -6||75|||17</x:v>
      </x:c>
    </x:row>
    <x:row r="653">
      <x:c r="A653" s="24" t="str">
        <x:v>RD-9B749DAC55C8</x:v>
      </x:c>
      <x:c r="B653" s="24" t="str">
        <x:v>Rodenstock</x:v>
      </x:c>
      <x:c r="C653" s="24" t="str">
        <x:v>Monofocal B.I.G. NORM</x:v>
      </x:c>
      <x:c r="D653" s="24" t="str">
        <x:v>Surfaçada</x:v>
      </x:c>
      <x:c r="E653" s="24" t="str">
        <x:v>Impression Monofocais B.I.G. NORM</x:v>
      </x:c>
      <x:c r="F653" s="24" t="str">
        <x:v>ColorMatic® 3</x:v>
      </x:c>
      <x:c r="G653" s="24" t="str">
        <x:v>1.67</x:v>
      </x:c>
      <x:c r="H653" s="24" t="str">
        <x:v>1.67</x:v>
      </x:c>
      <x:c r="I653" s="24" t="str">
        <x:v>Solitaire Protect</x:v>
      </x:c>
      <x:c r="J653" s="40" t="n">
        <x:v>4807</x:v>
      </x:c>
      <x:c r="K653" s="24" t="str">
        <x:v>-12 a +10</x:v>
      </x:c>
      <x:c r="L653" s="24" t="str">
        <x:v>até -6</x:v>
      </x:c>
      <x:c r="M653" s="24"/>
      <x:c r="N653" s="24" t="str">
        <x:v>75</x:v>
      </x:c>
      <x:c r="O653" s="24"/>
      <x:c r="P653" s="24"/>
      <x:c r="Q653" s="24" t="str">
        <x:v>DISPONÍVEL</x:v>
      </x:c>
      <x:c r="R653" s="24"/>
      <x:c r="S653" s="24" t="n">
        <x:v>17</x:v>
      </x:c>
      <x:c r="T653" s="24" t="str">
        <x:v>tabela_rodenstock.pdf</x:v>
      </x:c>
      <x:c r="U653" s="24" t="str">
        <x:v>Rodenstock|Monofocal B.I.G. NORM|Surfaçada|Impression Monofocais B.I.G. NORM|ColorMatic® 3|1.67|1.67|Solitaire Protect|-12 a +10|até -6||75|||17</x:v>
      </x:c>
    </x:row>
    <x:row r="654">
      <x:c r="A654" s="24" t="str">
        <x:v>RD-79A33D8A1764</x:v>
      </x:c>
      <x:c r="B654" s="24" t="str">
        <x:v>Rodenstock</x:v>
      </x:c>
      <x:c r="C654" s="24" t="str">
        <x:v>Monofocal B.I.G. NORM</x:v>
      </x:c>
      <x:c r="D654" s="24" t="str">
        <x:v>Surfaçada</x:v>
      </x:c>
      <x:c r="E654" s="24" t="str">
        <x:v>Impression Monofocais B.I.G. NORM</x:v>
      </x:c>
      <x:c r="F654" s="24"/>
      <x:c r="G654" s="24" t="str">
        <x:v>1.74</x:v>
      </x:c>
      <x:c r="H654" s="24" t="str">
        <x:v>1.74</x:v>
      </x:c>
      <x:c r="I654" s="24" t="str">
        <x:v>LayR X-tra Clean</x:v>
      </x:c>
      <x:c r="J654" s="40" t="n">
        <x:v>5981</x:v>
      </x:c>
      <x:c r="K654" s="24" t="str">
        <x:v>-18 a +13</x:v>
      </x:c>
      <x:c r="L654" s="24" t="str">
        <x:v>até -6</x:v>
      </x:c>
      <x:c r="M654" s="24"/>
      <x:c r="N654" s="24" t="str">
        <x:v>75</x:v>
      </x:c>
      <x:c r="O654" s="24"/>
      <x:c r="P654" s="24"/>
      <x:c r="Q654" s="24" t="str">
        <x:v>DISPONÍVEL</x:v>
      </x:c>
      <x:c r="R654" s="24"/>
      <x:c r="S654" s="24" t="n">
        <x:v>17</x:v>
      </x:c>
      <x:c r="T654" s="24" t="str">
        <x:v>tabela_rodenstock.pdf</x:v>
      </x:c>
      <x:c r="U654" s="24" t="str">
        <x:v>Rodenstock|Monofocal B.I.G. NORM|Surfaçada|Impression Monofocais B.I.G. NORM||1.74|1.74|LayR X-tra Clean|-18 a +13|até -6||75|||17</x:v>
      </x:c>
    </x:row>
    <x:row r="655">
      <x:c r="A655" s="24" t="str">
        <x:v>RD-1C377E84CE82</x:v>
      </x:c>
      <x:c r="B655" s="24" t="str">
        <x:v>Rodenstock</x:v>
      </x:c>
      <x:c r="C655" s="24" t="str">
        <x:v>Monofocal B.I.G. NORM</x:v>
      </x:c>
      <x:c r="D655" s="24" t="str">
        <x:v>Surfaçada</x:v>
      </x:c>
      <x:c r="E655" s="24" t="str">
        <x:v>Impression Monofocais B.I.G. NORM</x:v>
      </x:c>
      <x:c r="F655" s="24"/>
      <x:c r="G655" s="24" t="str">
        <x:v>1.74</x:v>
      </x:c>
      <x:c r="H655" s="24" t="str">
        <x:v>1.74</x:v>
      </x:c>
      <x:c r="I655" s="24" t="str">
        <x:v>LayR Balance</x:v>
      </x:c>
      <x:c r="J655" s="40" t="n">
        <x:v>5981</x:v>
      </x:c>
      <x:c r="K655" s="24" t="str">
        <x:v>-18 a +13</x:v>
      </x:c>
      <x:c r="L655" s="24" t="str">
        <x:v>até -6</x:v>
      </x:c>
      <x:c r="M655" s="24"/>
      <x:c r="N655" s="24" t="str">
        <x:v>75</x:v>
      </x:c>
      <x:c r="O655" s="24"/>
      <x:c r="P655" s="24"/>
      <x:c r="Q655" s="24" t="str">
        <x:v>DISPONÍVEL</x:v>
      </x:c>
      <x:c r="R655" s="24"/>
      <x:c r="S655" s="24" t="n">
        <x:v>17</x:v>
      </x:c>
      <x:c r="T655" s="24" t="str">
        <x:v>tabela_rodenstock.pdf</x:v>
      </x:c>
      <x:c r="U655" s="24" t="str">
        <x:v>Rodenstock|Monofocal B.I.G. NORM|Surfaçada|Impression Monofocais B.I.G. NORM||1.74|1.74|LayR Balance|-18 a +13|até -6||75|||17</x:v>
      </x:c>
    </x:row>
    <x:row r="656">
      <x:c r="A656" s="24" t="str">
        <x:v>RD-FE8B575989F6</x:v>
      </x:c>
      <x:c r="B656" s="24" t="str">
        <x:v>Rodenstock</x:v>
      </x:c>
      <x:c r="C656" s="24" t="str">
        <x:v>Monofocal B.I.G. NORM</x:v>
      </x:c>
      <x:c r="D656" s="24" t="str">
        <x:v>Surfaçada</x:v>
      </x:c>
      <x:c r="E656" s="24" t="str">
        <x:v>Impression Monofocais B.I.G. NORM</x:v>
      </x:c>
      <x:c r="F656" s="24"/>
      <x:c r="G656" s="24" t="str">
        <x:v>1.74</x:v>
      </x:c>
      <x:c r="H656" s="24" t="str">
        <x:v>1.74</x:v>
      </x:c>
      <x:c r="I656" s="24" t="str">
        <x:v>Solitaire X-tra Clean</x:v>
      </x:c>
      <x:c r="J656" s="40" t="n">
        <x:v>5911</x:v>
      </x:c>
      <x:c r="K656" s="24" t="str">
        <x:v>-18 a +13</x:v>
      </x:c>
      <x:c r="L656" s="24" t="str">
        <x:v>até -6</x:v>
      </x:c>
      <x:c r="M656" s="24"/>
      <x:c r="N656" s="24" t="str">
        <x:v>75</x:v>
      </x:c>
      <x:c r="O656" s="24"/>
      <x:c r="P656" s="24"/>
      <x:c r="Q656" s="24" t="str">
        <x:v>DISPONÍVEL</x:v>
      </x:c>
      <x:c r="R656" s="24"/>
      <x:c r="S656" s="24" t="n">
        <x:v>17</x:v>
      </x:c>
      <x:c r="T656" s="24" t="str">
        <x:v>tabela_rodenstock.pdf</x:v>
      </x:c>
      <x:c r="U656" s="24" t="str">
        <x:v>Rodenstock|Monofocal B.I.G. NORM|Surfaçada|Impression Monofocais B.I.G. NORM||1.74|1.74|Solitaire X-tra Clean|-18 a +13|até -6||75|||17</x:v>
      </x:c>
    </x:row>
    <x:row r="657">
      <x:c r="A657" s="24" t="str">
        <x:v>RD-6D9642E0FB8C</x:v>
      </x:c>
      <x:c r="B657" s="24" t="str">
        <x:v>Rodenstock</x:v>
      </x:c>
      <x:c r="C657" s="24" t="str">
        <x:v>Monofocal B.I.G. NORM</x:v>
      </x:c>
      <x:c r="D657" s="24" t="str">
        <x:v>Surfaçada</x:v>
      </x:c>
      <x:c r="E657" s="24" t="str">
        <x:v>Impression Monofocais B.I.G. NORM</x:v>
      </x:c>
      <x:c r="F657" s="24"/>
      <x:c r="G657" s="24" t="str">
        <x:v>1.74</x:v>
      </x:c>
      <x:c r="H657" s="24" t="str">
        <x:v>1.74</x:v>
      </x:c>
      <x:c r="I657" s="24" t="str">
        <x:v>Solitaire Protect Plus</x:v>
      </x:c>
      <x:c r="J657" s="40" t="n">
        <x:v>5861</x:v>
      </x:c>
      <x:c r="K657" s="24" t="str">
        <x:v>-18 a +13</x:v>
      </x:c>
      <x:c r="L657" s="24" t="str">
        <x:v>até -6</x:v>
      </x:c>
      <x:c r="M657" s="24"/>
      <x:c r="N657" s="24" t="str">
        <x:v>75</x:v>
      </x:c>
      <x:c r="O657" s="24"/>
      <x:c r="P657" s="24"/>
      <x:c r="Q657" s="24" t="str">
        <x:v>DISPONÍVEL</x:v>
      </x:c>
      <x:c r="R657" s="24"/>
      <x:c r="S657" s="24" t="n">
        <x:v>17</x:v>
      </x:c>
      <x:c r="T657" s="24" t="str">
        <x:v>tabela_rodenstock.pdf</x:v>
      </x:c>
      <x:c r="U657" s="24" t="str">
        <x:v>Rodenstock|Monofocal B.I.G. NORM|Surfaçada|Impression Monofocais B.I.G. NORM||1.74|1.74|Solitaire Protect Plus|-18 a +13|até -6||75|||17</x:v>
      </x:c>
    </x:row>
    <x:row r="658">
      <x:c r="A658" s="24" t="str">
        <x:v>RD-BE4932E11633</x:v>
      </x:c>
      <x:c r="B658" s="24" t="str">
        <x:v>Rodenstock</x:v>
      </x:c>
      <x:c r="C658" s="24" t="str">
        <x:v>Monofocal B.I.G. NORM</x:v>
      </x:c>
      <x:c r="D658" s="24" t="str">
        <x:v>Surfaçada</x:v>
      </x:c>
      <x:c r="E658" s="24" t="str">
        <x:v>Impression Monofocais B.I.G. NORM</x:v>
      </x:c>
      <x:c r="F658" s="24"/>
      <x:c r="G658" s="24" t="str">
        <x:v>1.74</x:v>
      </x:c>
      <x:c r="H658" s="24" t="str">
        <x:v>1.74</x:v>
      </x:c>
      <x:c r="I658" s="24" t="str">
        <x:v>Solitaire Protect</x:v>
      </x:c>
      <x:c r="J658" s="40" t="n">
        <x:v>5601</x:v>
      </x:c>
      <x:c r="K658" s="24" t="str">
        <x:v>-18 a +13</x:v>
      </x:c>
      <x:c r="L658" s="24" t="str">
        <x:v>até -6</x:v>
      </x:c>
      <x:c r="M658" s="24"/>
      <x:c r="N658" s="24" t="str">
        <x:v>75</x:v>
      </x:c>
      <x:c r="O658" s="24"/>
      <x:c r="P658" s="24"/>
      <x:c r="Q658" s="24" t="str">
        <x:v>DISPONÍVEL</x:v>
      </x:c>
      <x:c r="R658" s="24"/>
      <x:c r="S658" s="24" t="n">
        <x:v>17</x:v>
      </x:c>
      <x:c r="T658" s="24" t="str">
        <x:v>tabela_rodenstock.pdf</x:v>
      </x:c>
      <x:c r="U658" s="24" t="str">
        <x:v>Rodenstock|Monofocal B.I.G. NORM|Surfaçada|Impression Monofocais B.I.G. NORM||1.74|1.74|Solitaire Protect|-18 a +13|até -6||75|||17</x:v>
      </x:c>
    </x:row>
    <x:row r="659">
      <x:c r="A659" s="24" t="str">
        <x:v>RD-6A781C18CE7A</x:v>
      </x:c>
      <x:c r="B659" s="24" t="str">
        <x:v>Rodenstock</x:v>
      </x:c>
      <x:c r="C659" s="24" t="str">
        <x:v>Monofocal B.I.G. NORM</x:v>
      </x:c>
      <x:c r="D659" s="24" t="str">
        <x:v>Surfaçada</x:v>
      </x:c>
      <x:c r="E659" s="24" t="str">
        <x:v>Multigressiv Monofocais B.I.G. NORM</x:v>
      </x:c>
      <x:c r="F659" s="24"/>
      <x:c r="G659" s="24" t="str">
        <x:v>1.5</x:v>
      </x:c>
      <x:c r="H659" s="24" t="str">
        <x:v>1.50</x:v>
      </x:c>
      <x:c r="I659" s="24" t="str">
        <x:v>LayR X-tra Clean</x:v>
      </x:c>
      <x:c r="J659" s="40" t="n">
        <x:v>2084</x:v>
      </x:c>
      <x:c r="K659" s="24" t="str">
        <x:v>-8 a +8</x:v>
      </x:c>
      <x:c r="L659" s="24" t="str">
        <x:v>até -6</x:v>
      </x:c>
      <x:c r="M659" s="24"/>
      <x:c r="N659" s="24" t="str">
        <x:v>75</x:v>
      </x:c>
      <x:c r="O659" s="24"/>
      <x:c r="P659" s="24"/>
      <x:c r="Q659" s="24" t="str">
        <x:v>DISPONÍVEL</x:v>
      </x:c>
      <x:c r="R659" s="24"/>
      <x:c r="S659" s="24" t="n">
        <x:v>17</x:v>
      </x:c>
      <x:c r="T659" s="24" t="str">
        <x:v>tabela_rodenstock.pdf</x:v>
      </x:c>
      <x:c r="U659" s="24" t="str">
        <x:v>Rodenstock|Monofocal B.I.G. NORM|Surfaçada|Multigressiv Monofocais B.I.G. NORM||1.5|1.50|LayR X-tra Clean|-8 a +8|até -6||75|||17</x:v>
      </x:c>
    </x:row>
    <x:row r="660">
      <x:c r="A660" s="24" t="str">
        <x:v>RD-16566951FF0B</x:v>
      </x:c>
      <x:c r="B660" s="24" t="str">
        <x:v>Rodenstock</x:v>
      </x:c>
      <x:c r="C660" s="24" t="str">
        <x:v>Monofocal B.I.G. NORM</x:v>
      </x:c>
      <x:c r="D660" s="24" t="str">
        <x:v>Surfaçada</x:v>
      </x:c>
      <x:c r="E660" s="24" t="str">
        <x:v>Multigressiv Monofocais B.I.G. NORM</x:v>
      </x:c>
      <x:c r="F660" s="24"/>
      <x:c r="G660" s="24" t="str">
        <x:v>1.5</x:v>
      </x:c>
      <x:c r="H660" s="24" t="str">
        <x:v>1.50</x:v>
      </x:c>
      <x:c r="I660" s="24" t="str">
        <x:v>LayR Balance</x:v>
      </x:c>
      <x:c r="J660" s="40" t="n">
        <x:v>2084</x:v>
      </x:c>
      <x:c r="K660" s="24" t="str">
        <x:v>-8 a +8</x:v>
      </x:c>
      <x:c r="L660" s="24" t="str">
        <x:v>até -6</x:v>
      </x:c>
      <x:c r="M660" s="24"/>
      <x:c r="N660" s="24" t="str">
        <x:v>75</x:v>
      </x:c>
      <x:c r="O660" s="24"/>
      <x:c r="P660" s="24"/>
      <x:c r="Q660" s="24" t="str">
        <x:v>DISPONÍVEL</x:v>
      </x:c>
      <x:c r="R660" s="24"/>
      <x:c r="S660" s="24" t="n">
        <x:v>17</x:v>
      </x:c>
      <x:c r="T660" s="24" t="str">
        <x:v>tabela_rodenstock.pdf</x:v>
      </x:c>
      <x:c r="U660" s="24" t="str">
        <x:v>Rodenstock|Monofocal B.I.G. NORM|Surfaçada|Multigressiv Monofocais B.I.G. NORM||1.5|1.50|LayR Balance|-8 a +8|até -6||75|||17</x:v>
      </x:c>
    </x:row>
    <x:row r="661">
      <x:c r="A661" s="24" t="str">
        <x:v>RD-70687ABBEA10</x:v>
      </x:c>
      <x:c r="B661" s="24" t="str">
        <x:v>Rodenstock</x:v>
      </x:c>
      <x:c r="C661" s="24" t="str">
        <x:v>Monofocal B.I.G. NORM</x:v>
      </x:c>
      <x:c r="D661" s="24" t="str">
        <x:v>Surfaçada</x:v>
      </x:c>
      <x:c r="E661" s="24" t="str">
        <x:v>Multigressiv Monofocais B.I.G. NORM</x:v>
      </x:c>
      <x:c r="F661" s="24"/>
      <x:c r="G661" s="24" t="str">
        <x:v>1.5</x:v>
      </x:c>
      <x:c r="H661" s="24" t="str">
        <x:v>1.50</x:v>
      </x:c>
      <x:c r="I661" s="24" t="str">
        <x:v>Solitaire X-tra Clean</x:v>
      </x:c>
      <x:c r="J661" s="40" t="n">
        <x:v>2014</x:v>
      </x:c>
      <x:c r="K661" s="24" t="str">
        <x:v>-8 a +8</x:v>
      </x:c>
      <x:c r="L661" s="24" t="str">
        <x:v>até -6</x:v>
      </x:c>
      <x:c r="M661" s="24"/>
      <x:c r="N661" s="24" t="str">
        <x:v>75</x:v>
      </x:c>
      <x:c r="O661" s="24"/>
      <x:c r="P661" s="24"/>
      <x:c r="Q661" s="24" t="str">
        <x:v>DISPONÍVEL</x:v>
      </x:c>
      <x:c r="R661" s="24"/>
      <x:c r="S661" s="24" t="n">
        <x:v>17</x:v>
      </x:c>
      <x:c r="T661" s="24" t="str">
        <x:v>tabela_rodenstock.pdf</x:v>
      </x:c>
      <x:c r="U661" s="24" t="str">
        <x:v>Rodenstock|Monofocal B.I.G. NORM|Surfaçada|Multigressiv Monofocais B.I.G. NORM||1.5|1.50|Solitaire X-tra Clean|-8 a +8|até -6||75|||17</x:v>
      </x:c>
    </x:row>
    <x:row r="662">
      <x:c r="A662" s="24" t="str">
        <x:v>RD-6BAE8EC62EBD</x:v>
      </x:c>
      <x:c r="B662" s="24" t="str">
        <x:v>Rodenstock</x:v>
      </x:c>
      <x:c r="C662" s="24" t="str">
        <x:v>Monofocal B.I.G. NORM</x:v>
      </x:c>
      <x:c r="D662" s="24" t="str">
        <x:v>Surfaçada</x:v>
      </x:c>
      <x:c r="E662" s="24" t="str">
        <x:v>Multigressiv Monofocais B.I.G. NORM</x:v>
      </x:c>
      <x:c r="F662" s="24"/>
      <x:c r="G662" s="24" t="str">
        <x:v>1.5</x:v>
      </x:c>
      <x:c r="H662" s="24" t="str">
        <x:v>1.50</x:v>
      </x:c>
      <x:c r="I662" s="24" t="str">
        <x:v>Solitaire Protect Plus</x:v>
      </x:c>
      <x:c r="J662" s="40" t="n">
        <x:v>1964</x:v>
      </x:c>
      <x:c r="K662" s="24" t="str">
        <x:v>-8 a +8</x:v>
      </x:c>
      <x:c r="L662" s="24" t="str">
        <x:v>até -6</x:v>
      </x:c>
      <x:c r="M662" s="24"/>
      <x:c r="N662" s="24" t="str">
        <x:v>75</x:v>
      </x:c>
      <x:c r="O662" s="24"/>
      <x:c r="P662" s="24"/>
      <x:c r="Q662" s="24" t="str">
        <x:v>DISPONÍVEL</x:v>
      </x:c>
      <x:c r="R662" s="24"/>
      <x:c r="S662" s="24" t="n">
        <x:v>17</x:v>
      </x:c>
      <x:c r="T662" s="24" t="str">
        <x:v>tabela_rodenstock.pdf</x:v>
      </x:c>
      <x:c r="U662" s="24" t="str">
        <x:v>Rodenstock|Monofocal B.I.G. NORM|Surfaçada|Multigressiv Monofocais B.I.G. NORM||1.5|1.50|Solitaire Protect Plus|-8 a +8|até -6||75|||17</x:v>
      </x:c>
    </x:row>
    <x:row r="663">
      <x:c r="A663" s="24" t="str">
        <x:v>RD-66F95C37393C</x:v>
      </x:c>
      <x:c r="B663" s="24" t="str">
        <x:v>Rodenstock</x:v>
      </x:c>
      <x:c r="C663" s="24" t="str">
        <x:v>Monofocal B.I.G. NORM</x:v>
      </x:c>
      <x:c r="D663" s="24" t="str">
        <x:v>Surfaçada</x:v>
      </x:c>
      <x:c r="E663" s="24" t="str">
        <x:v>Multigressiv Monofocais B.I.G. NORM</x:v>
      </x:c>
      <x:c r="F663" s="24"/>
      <x:c r="G663" s="24" t="str">
        <x:v>1.5</x:v>
      </x:c>
      <x:c r="H663" s="24" t="str">
        <x:v>1.50</x:v>
      </x:c>
      <x:c r="I663" s="24" t="str">
        <x:v>ROAD</x:v>
      </x:c>
      <x:c r="J663" s="40" t="n">
        <x:v>1964</x:v>
      </x:c>
      <x:c r="K663" s="24" t="str">
        <x:v>-8 a +8</x:v>
      </x:c>
      <x:c r="L663" s="24" t="str">
        <x:v>até -6</x:v>
      </x:c>
      <x:c r="M663" s="24"/>
      <x:c r="N663" s="24" t="str">
        <x:v>75</x:v>
      </x:c>
      <x:c r="O663" s="24"/>
      <x:c r="P663" s="24"/>
      <x:c r="Q663" s="24" t="str">
        <x:v>DISPONÍVEL</x:v>
      </x:c>
      <x:c r="R663" s="24"/>
      <x:c r="S663" s="24" t="n">
        <x:v>17</x:v>
      </x:c>
      <x:c r="T663" s="24" t="str">
        <x:v>tabela_rodenstock.pdf</x:v>
      </x:c>
      <x:c r="U663" s="24" t="str">
        <x:v>Rodenstock|Monofocal B.I.G. NORM|Surfaçada|Multigressiv Monofocais B.I.G. NORM||1.5|1.50|ROAD|-8 a +8|até -6||75|||17</x:v>
      </x:c>
    </x:row>
    <x:row r="664">
      <x:c r="A664" s="24" t="str">
        <x:v>RD-731555ABC259</x:v>
      </x:c>
      <x:c r="B664" s="24" t="str">
        <x:v>Rodenstock</x:v>
      </x:c>
      <x:c r="C664" s="24" t="str">
        <x:v>Monofocal B.I.G. NORM</x:v>
      </x:c>
      <x:c r="D664" s="24" t="str">
        <x:v>Surfaçada</x:v>
      </x:c>
      <x:c r="E664" s="24" t="str">
        <x:v>Multigressiv Monofocais B.I.G. NORM</x:v>
      </x:c>
      <x:c r="F664" s="24"/>
      <x:c r="G664" s="24" t="str">
        <x:v>1.5</x:v>
      </x:c>
      <x:c r="H664" s="24" t="str">
        <x:v>1.50</x:v>
      </x:c>
      <x:c r="I664" s="24" t="str">
        <x:v>Solitaire Protect</x:v>
      </x:c>
      <x:c r="J664" s="40" t="n">
        <x:v>1704</x:v>
      </x:c>
      <x:c r="K664" s="24" t="str">
        <x:v>-8 a +8</x:v>
      </x:c>
      <x:c r="L664" s="24" t="str">
        <x:v>até -6</x:v>
      </x:c>
      <x:c r="M664" s="24"/>
      <x:c r="N664" s="24" t="str">
        <x:v>75</x:v>
      </x:c>
      <x:c r="O664" s="24"/>
      <x:c r="P664" s="24"/>
      <x:c r="Q664" s="24" t="str">
        <x:v>DISPONÍVEL</x:v>
      </x:c>
      <x:c r="R664" s="24"/>
      <x:c r="S664" s="24" t="n">
        <x:v>17</x:v>
      </x:c>
      <x:c r="T664" s="24" t="str">
        <x:v>tabela_rodenstock.pdf</x:v>
      </x:c>
      <x:c r="U664" s="24" t="str">
        <x:v>Rodenstock|Monofocal B.I.G. NORM|Surfaçada|Multigressiv Monofocais B.I.G. NORM||1.5|1.50|Solitaire Protect|-8 a +8|até -6||75|||17</x:v>
      </x:c>
    </x:row>
    <x:row r="665">
      <x:c r="A665" s="24" t="str">
        <x:v>RD-0714AF014943</x:v>
      </x:c>
      <x:c r="B665" s="24" t="str">
        <x:v>Rodenstock</x:v>
      </x:c>
      <x:c r="C665" s="24" t="str">
        <x:v>Monofocal B.I.G. NORM</x:v>
      </x:c>
      <x:c r="D665" s="24" t="str">
        <x:v>Surfaçada</x:v>
      </x:c>
      <x:c r="E665" s="24" t="str">
        <x:v>Multigressiv Monofocais B.I.G. NORM</x:v>
      </x:c>
      <x:c r="F665" s="24" t="str">
        <x:v>ColorMatic® 3</x:v>
      </x:c>
      <x:c r="G665" s="24" t="str">
        <x:v>1.54</x:v>
      </x:c>
      <x:c r="H665" s="24" t="str">
        <x:v>1.54</x:v>
      </x:c>
      <x:c r="I665" s="24" t="str">
        <x:v>LayR X-tra Clean</x:v>
      </x:c>
      <x:c r="J665" s="40" t="n">
        <x:v>3450</x:v>
      </x:c>
      <x:c r="K665" s="24" t="str">
        <x:v>-8 a +8</x:v>
      </x:c>
      <x:c r="L665" s="24" t="str">
        <x:v>até -6</x:v>
      </x:c>
      <x:c r="M665" s="24"/>
      <x:c r="N665" s="24" t="str">
        <x:v>75</x:v>
      </x:c>
      <x:c r="O665" s="24"/>
      <x:c r="P665" s="24"/>
      <x:c r="Q665" s="24" t="str">
        <x:v>DISPONÍVEL</x:v>
      </x:c>
      <x:c r="R665" s="24"/>
      <x:c r="S665" s="24" t="n">
        <x:v>17</x:v>
      </x:c>
      <x:c r="T665" s="24" t="str">
        <x:v>tabela_rodenstock.pdf</x:v>
      </x:c>
      <x:c r="U665" s="24" t="str">
        <x:v>Rodenstock|Monofocal B.I.G. NORM|Surfaçada|Multigressiv Monofocais B.I.G. NORM|ColorMatic® 3|1.54|1.54|LayR X-tra Clean|-8 a +8|até -6||75|||17</x:v>
      </x:c>
    </x:row>
    <x:row r="666">
      <x:c r="A666" s="24" t="str">
        <x:v>RD-1B9D3CB5E1D2</x:v>
      </x:c>
      <x:c r="B666" s="24" t="str">
        <x:v>Rodenstock</x:v>
      </x:c>
      <x:c r="C666" s="24" t="str">
        <x:v>Monofocal B.I.G. NORM</x:v>
      </x:c>
      <x:c r="D666" s="24" t="str">
        <x:v>Surfaçada</x:v>
      </x:c>
      <x:c r="E666" s="24" t="str">
        <x:v>Multigressiv Monofocais B.I.G. NORM</x:v>
      </x:c>
      <x:c r="F666" s="24" t="str">
        <x:v>ColorMatic® 3</x:v>
      </x:c>
      <x:c r="G666" s="24" t="str">
        <x:v>1.54</x:v>
      </x:c>
      <x:c r="H666" s="24" t="str">
        <x:v>1.54</x:v>
      </x:c>
      <x:c r="I666" s="24" t="str">
        <x:v>LayR Balance</x:v>
      </x:c>
      <x:c r="J666" s="40" t="n">
        <x:v>3450</x:v>
      </x:c>
      <x:c r="K666" s="24" t="str">
        <x:v>-8 a +8</x:v>
      </x:c>
      <x:c r="L666" s="24" t="str">
        <x:v>até -6</x:v>
      </x:c>
      <x:c r="M666" s="24"/>
      <x:c r="N666" s="24" t="str">
        <x:v>75</x:v>
      </x:c>
      <x:c r="O666" s="24"/>
      <x:c r="P666" s="24"/>
      <x:c r="Q666" s="24" t="str">
        <x:v>DISPONÍVEL</x:v>
      </x:c>
      <x:c r="R666" s="24"/>
      <x:c r="S666" s="24" t="n">
        <x:v>17</x:v>
      </x:c>
      <x:c r="T666" s="24" t="str">
        <x:v>tabela_rodenstock.pdf</x:v>
      </x:c>
      <x:c r="U666" s="24" t="str">
        <x:v>Rodenstock|Monofocal B.I.G. NORM|Surfaçada|Multigressiv Monofocais B.I.G. NORM|ColorMatic® 3|1.54|1.54|LayR Balance|-8 a +8|até -6||75|||17</x:v>
      </x:c>
    </x:row>
    <x:row r="667">
      <x:c r="A667" s="24" t="str">
        <x:v>RD-B00F0BC2277F</x:v>
      </x:c>
      <x:c r="B667" s="24" t="str">
        <x:v>Rodenstock</x:v>
      </x:c>
      <x:c r="C667" s="24" t="str">
        <x:v>Monofocal B.I.G. NORM</x:v>
      </x:c>
      <x:c r="D667" s="24" t="str">
        <x:v>Surfaçada</x:v>
      </x:c>
      <x:c r="E667" s="24" t="str">
        <x:v>Multigressiv Monofocais B.I.G. NORM</x:v>
      </x:c>
      <x:c r="F667" s="24" t="str">
        <x:v>ColorMatic® 3</x:v>
      </x:c>
      <x:c r="G667" s="24" t="str">
        <x:v>1.54</x:v>
      </x:c>
      <x:c r="H667" s="24" t="str">
        <x:v>1.54</x:v>
      </x:c>
      <x:c r="I667" s="24" t="str">
        <x:v>Solitaire X-tra Clean</x:v>
      </x:c>
      <x:c r="J667" s="40" t="n">
        <x:v>3380</x:v>
      </x:c>
      <x:c r="K667" s="24" t="str">
        <x:v>-8 a +8</x:v>
      </x:c>
      <x:c r="L667" s="24" t="str">
        <x:v>até -6</x:v>
      </x:c>
      <x:c r="M667" s="24"/>
      <x:c r="N667" s="24" t="str">
        <x:v>75</x:v>
      </x:c>
      <x:c r="O667" s="24"/>
      <x:c r="P667" s="24"/>
      <x:c r="Q667" s="24" t="str">
        <x:v>DISPONÍVEL</x:v>
      </x:c>
      <x:c r="R667" s="24"/>
      <x:c r="S667" s="24" t="n">
        <x:v>17</x:v>
      </x:c>
      <x:c r="T667" s="24" t="str">
        <x:v>tabela_rodenstock.pdf</x:v>
      </x:c>
      <x:c r="U667" s="24" t="str">
        <x:v>Rodenstock|Monofocal B.I.G. NORM|Surfaçada|Multigressiv Monofocais B.I.G. NORM|ColorMatic® 3|1.54|1.54|Solitaire X-tra Clean|-8 a +8|até -6||75|||17</x:v>
      </x:c>
    </x:row>
    <x:row r="668">
      <x:c r="A668" s="24" t="str">
        <x:v>RD-4EEEC3FC3093</x:v>
      </x:c>
      <x:c r="B668" s="24" t="str">
        <x:v>Rodenstock</x:v>
      </x:c>
      <x:c r="C668" s="24" t="str">
        <x:v>Monofocal B.I.G. NORM</x:v>
      </x:c>
      <x:c r="D668" s="24" t="str">
        <x:v>Surfaçada</x:v>
      </x:c>
      <x:c r="E668" s="24" t="str">
        <x:v>Multigressiv Monofocais B.I.G. NORM</x:v>
      </x:c>
      <x:c r="F668" s="24" t="str">
        <x:v>ColorMatic® 3</x:v>
      </x:c>
      <x:c r="G668" s="24" t="str">
        <x:v>1.54</x:v>
      </x:c>
      <x:c r="H668" s="24" t="str">
        <x:v>1.54</x:v>
      </x:c>
      <x:c r="I668" s="24" t="str">
        <x:v>Solitaire Protect Plus</x:v>
      </x:c>
      <x:c r="J668" s="40" t="n">
        <x:v>3330</x:v>
      </x:c>
      <x:c r="K668" s="24" t="str">
        <x:v>-8 a +8</x:v>
      </x:c>
      <x:c r="L668" s="24" t="str">
        <x:v>até -6</x:v>
      </x:c>
      <x:c r="M668" s="24"/>
      <x:c r="N668" s="24" t="str">
        <x:v>75</x:v>
      </x:c>
      <x:c r="O668" s="24"/>
      <x:c r="P668" s="24"/>
      <x:c r="Q668" s="24" t="str">
        <x:v>DISPONÍVEL</x:v>
      </x:c>
      <x:c r="R668" s="24"/>
      <x:c r="S668" s="24" t="n">
        <x:v>17</x:v>
      </x:c>
      <x:c r="T668" s="24" t="str">
        <x:v>tabela_rodenstock.pdf</x:v>
      </x:c>
      <x:c r="U668" s="24" t="str">
        <x:v>Rodenstock|Monofocal B.I.G. NORM|Surfaçada|Multigressiv Monofocais B.I.G. NORM|ColorMatic® 3|1.54|1.54|Solitaire Protect Plus|-8 a +8|até -6||75|||17</x:v>
      </x:c>
    </x:row>
    <x:row r="669">
      <x:c r="A669" s="24" t="str">
        <x:v>RD-63C2829724BC</x:v>
      </x:c>
      <x:c r="B669" s="24" t="str">
        <x:v>Rodenstock</x:v>
      </x:c>
      <x:c r="C669" s="24" t="str">
        <x:v>Monofocal B.I.G. NORM</x:v>
      </x:c>
      <x:c r="D669" s="24" t="str">
        <x:v>Surfaçada</x:v>
      </x:c>
      <x:c r="E669" s="24" t="str">
        <x:v>Multigressiv Monofocais B.I.G. NORM</x:v>
      </x:c>
      <x:c r="F669" s="24" t="str">
        <x:v>ColorMatic® 3</x:v>
      </x:c>
      <x:c r="G669" s="24" t="str">
        <x:v>1.54</x:v>
      </x:c>
      <x:c r="H669" s="24" t="str">
        <x:v>1.54</x:v>
      </x:c>
      <x:c r="I669" s="24" t="str">
        <x:v>ROAD</x:v>
      </x:c>
      <x:c r="J669" s="40" t="n">
        <x:v>3330</x:v>
      </x:c>
      <x:c r="K669" s="24" t="str">
        <x:v>-8 a +8</x:v>
      </x:c>
      <x:c r="L669" s="24" t="str">
        <x:v>até -6</x:v>
      </x:c>
      <x:c r="M669" s="24"/>
      <x:c r="N669" s="24" t="str">
        <x:v>75</x:v>
      </x:c>
      <x:c r="O669" s="24"/>
      <x:c r="P669" s="24"/>
      <x:c r="Q669" s="24" t="str">
        <x:v>DISPONÍVEL</x:v>
      </x:c>
      <x:c r="R669" s="24"/>
      <x:c r="S669" s="24" t="n">
        <x:v>17</x:v>
      </x:c>
      <x:c r="T669" s="24" t="str">
        <x:v>tabela_rodenstock.pdf</x:v>
      </x:c>
      <x:c r="U669" s="24" t="str">
        <x:v>Rodenstock|Monofocal B.I.G. NORM|Surfaçada|Multigressiv Monofocais B.I.G. NORM|ColorMatic® 3|1.54|1.54|ROAD|-8 a +8|até -6||75|||17</x:v>
      </x:c>
    </x:row>
    <x:row r="670">
      <x:c r="A670" s="24" t="str">
        <x:v>RD-68AF839BE896</x:v>
      </x:c>
      <x:c r="B670" s="24" t="str">
        <x:v>Rodenstock</x:v>
      </x:c>
      <x:c r="C670" s="24" t="str">
        <x:v>Monofocal B.I.G. NORM</x:v>
      </x:c>
      <x:c r="D670" s="24" t="str">
        <x:v>Surfaçada</x:v>
      </x:c>
      <x:c r="E670" s="24" t="str">
        <x:v>Multigressiv Monofocais B.I.G. NORM</x:v>
      </x:c>
      <x:c r="F670" s="24" t="str">
        <x:v>ColorMatic® 3</x:v>
      </x:c>
      <x:c r="G670" s="24" t="str">
        <x:v>1.54</x:v>
      </x:c>
      <x:c r="H670" s="24" t="str">
        <x:v>1.54</x:v>
      </x:c>
      <x:c r="I670" s="24" t="str">
        <x:v>Solitaire Protect</x:v>
      </x:c>
      <x:c r="J670" s="40" t="n">
        <x:v>3070</x:v>
      </x:c>
      <x:c r="K670" s="24" t="str">
        <x:v>-8 a +8</x:v>
      </x:c>
      <x:c r="L670" s="24" t="str">
        <x:v>até -6</x:v>
      </x:c>
      <x:c r="M670" s="24"/>
      <x:c r="N670" s="24" t="str">
        <x:v>75</x:v>
      </x:c>
      <x:c r="O670" s="24"/>
      <x:c r="P670" s="24"/>
      <x:c r="Q670" s="24" t="str">
        <x:v>DISPONÍVEL</x:v>
      </x:c>
      <x:c r="R670" s="24"/>
      <x:c r="S670" s="24" t="n">
        <x:v>17</x:v>
      </x:c>
      <x:c r="T670" s="24" t="str">
        <x:v>tabela_rodenstock.pdf</x:v>
      </x:c>
      <x:c r="U670" s="24" t="str">
        <x:v>Rodenstock|Monofocal B.I.G. NORM|Surfaçada|Multigressiv Monofocais B.I.G. NORM|ColorMatic® 3|1.54|1.54|Solitaire Protect|-8 a +8|até -6||75|||17</x:v>
      </x:c>
    </x:row>
    <x:row r="671">
      <x:c r="A671" s="24" t="str">
        <x:v>RD-7D9850E7CDE6</x:v>
      </x:c>
      <x:c r="B671" s="24" t="str">
        <x:v>Rodenstock</x:v>
      </x:c>
      <x:c r="C671" s="24" t="str">
        <x:v>Monofocal B.I.G. NORM</x:v>
      </x:c>
      <x:c r="D671" s="24" t="str">
        <x:v>Surfaçada</x:v>
      </x:c>
      <x:c r="E671" s="24" t="str">
        <x:v>Multigressiv Monofocais B.I.G. NORM</x:v>
      </x:c>
      <x:c r="F671" s="24"/>
      <x:c r="G671" s="24" t="str">
        <x:v>1.6</x:v>
      </x:c>
      <x:c r="H671" s="24" t="str">
        <x:v>1.60</x:v>
      </x:c>
      <x:c r="I671" s="24" t="str">
        <x:v>LayR X-tra Clean</x:v>
      </x:c>
      <x:c r="J671" s="40" t="n">
        <x:v>2583</x:v>
      </x:c>
      <x:c r="K671" s="24" t="str">
        <x:v>-10 a +10</x:v>
      </x:c>
      <x:c r="L671" s="24" t="str">
        <x:v>até -6</x:v>
      </x:c>
      <x:c r="M671" s="24"/>
      <x:c r="N671" s="24" t="str">
        <x:v>75</x:v>
      </x:c>
      <x:c r="O671" s="24"/>
      <x:c r="P671" s="24"/>
      <x:c r="Q671" s="24" t="str">
        <x:v>DISPONÍVEL</x:v>
      </x:c>
      <x:c r="R671" s="24"/>
      <x:c r="S671" s="24" t="n">
        <x:v>17</x:v>
      </x:c>
      <x:c r="T671" s="24" t="str">
        <x:v>tabela_rodenstock.pdf</x:v>
      </x:c>
      <x:c r="U671" s="24" t="str">
        <x:v>Rodenstock|Monofocal B.I.G. NORM|Surfaçada|Multigressiv Monofocais B.I.G. NORM||1.6|1.60|LayR X-tra Clean|-10 a +10|até -6||75|||17</x:v>
      </x:c>
    </x:row>
    <x:row r="672">
      <x:c r="A672" s="24" t="str">
        <x:v>RD-D7C187EF4381</x:v>
      </x:c>
      <x:c r="B672" s="24" t="str">
        <x:v>Rodenstock</x:v>
      </x:c>
      <x:c r="C672" s="24" t="str">
        <x:v>Monofocal B.I.G. NORM</x:v>
      </x:c>
      <x:c r="D672" s="24" t="str">
        <x:v>Surfaçada</x:v>
      </x:c>
      <x:c r="E672" s="24" t="str">
        <x:v>Multigressiv Monofocais B.I.G. NORM</x:v>
      </x:c>
      <x:c r="F672" s="24"/>
      <x:c r="G672" s="24" t="str">
        <x:v>1.6</x:v>
      </x:c>
      <x:c r="H672" s="24" t="str">
        <x:v>1.60</x:v>
      </x:c>
      <x:c r="I672" s="24" t="str">
        <x:v>LayR Balance</x:v>
      </x:c>
      <x:c r="J672" s="40" t="n">
        <x:v>2583</x:v>
      </x:c>
      <x:c r="K672" s="24" t="str">
        <x:v>-10 a +10</x:v>
      </x:c>
      <x:c r="L672" s="24" t="str">
        <x:v>até -6</x:v>
      </x:c>
      <x:c r="M672" s="24"/>
      <x:c r="N672" s="24" t="str">
        <x:v>75</x:v>
      </x:c>
      <x:c r="O672" s="24"/>
      <x:c r="P672" s="24"/>
      <x:c r="Q672" s="24" t="str">
        <x:v>DISPONÍVEL</x:v>
      </x:c>
      <x:c r="R672" s="24"/>
      <x:c r="S672" s="24" t="n">
        <x:v>17</x:v>
      </x:c>
      <x:c r="T672" s="24" t="str">
        <x:v>tabela_rodenstock.pdf</x:v>
      </x:c>
      <x:c r="U672" s="24" t="str">
        <x:v>Rodenstock|Monofocal B.I.G. NORM|Surfaçada|Multigressiv Monofocais B.I.G. NORM||1.6|1.60|LayR Balance|-10 a +10|até -6||75|||17</x:v>
      </x:c>
    </x:row>
    <x:row r="673">
      <x:c r="A673" s="24" t="str">
        <x:v>RD-84393448E716</x:v>
      </x:c>
      <x:c r="B673" s="24" t="str">
        <x:v>Rodenstock</x:v>
      </x:c>
      <x:c r="C673" s="24" t="str">
        <x:v>Monofocal B.I.G. NORM</x:v>
      </x:c>
      <x:c r="D673" s="24" t="str">
        <x:v>Surfaçada</x:v>
      </x:c>
      <x:c r="E673" s="24" t="str">
        <x:v>Multigressiv Monofocais B.I.G. NORM</x:v>
      </x:c>
      <x:c r="F673" s="24"/>
      <x:c r="G673" s="24" t="str">
        <x:v>1.6</x:v>
      </x:c>
      <x:c r="H673" s="24" t="str">
        <x:v>1.60</x:v>
      </x:c>
      <x:c r="I673" s="24" t="str">
        <x:v>Solitaire X-tra Clean</x:v>
      </x:c>
      <x:c r="J673" s="40" t="n">
        <x:v>2513</x:v>
      </x:c>
      <x:c r="K673" s="24" t="str">
        <x:v>-10 a +10</x:v>
      </x:c>
      <x:c r="L673" s="24" t="str">
        <x:v>até -6</x:v>
      </x:c>
      <x:c r="M673" s="24"/>
      <x:c r="N673" s="24" t="str">
        <x:v>75</x:v>
      </x:c>
      <x:c r="O673" s="24"/>
      <x:c r="P673" s="24"/>
      <x:c r="Q673" s="24" t="str">
        <x:v>DISPONÍVEL</x:v>
      </x:c>
      <x:c r="R673" s="24"/>
      <x:c r="S673" s="24" t="n">
        <x:v>17</x:v>
      </x:c>
      <x:c r="T673" s="24" t="str">
        <x:v>tabela_rodenstock.pdf</x:v>
      </x:c>
      <x:c r="U673" s="24" t="str">
        <x:v>Rodenstock|Monofocal B.I.G. NORM|Surfaçada|Multigressiv Monofocais B.I.G. NORM||1.6|1.60|Solitaire X-tra Clean|-10 a +10|até -6||75|||17</x:v>
      </x:c>
    </x:row>
    <x:row r="674">
      <x:c r="A674" s="24" t="str">
        <x:v>RD-0A45F79C779D</x:v>
      </x:c>
      <x:c r="B674" s="24" t="str">
        <x:v>Rodenstock</x:v>
      </x:c>
      <x:c r="C674" s="24" t="str">
        <x:v>Monofocal B.I.G. NORM</x:v>
      </x:c>
      <x:c r="D674" s="24" t="str">
        <x:v>Surfaçada</x:v>
      </x:c>
      <x:c r="E674" s="24" t="str">
        <x:v>Multigressiv Monofocais B.I.G. NORM</x:v>
      </x:c>
      <x:c r="F674" s="24"/>
      <x:c r="G674" s="24" t="str">
        <x:v>1.6</x:v>
      </x:c>
      <x:c r="H674" s="24" t="str">
        <x:v>1.60</x:v>
      </x:c>
      <x:c r="I674" s="24" t="str">
        <x:v>Solitaire Protect Plus</x:v>
      </x:c>
      <x:c r="J674" s="40" t="n">
        <x:v>2463</x:v>
      </x:c>
      <x:c r="K674" s="24" t="str">
        <x:v>-10 a +10</x:v>
      </x:c>
      <x:c r="L674" s="24" t="str">
        <x:v>até -6</x:v>
      </x:c>
      <x:c r="M674" s="24"/>
      <x:c r="N674" s="24" t="str">
        <x:v>75</x:v>
      </x:c>
      <x:c r="O674" s="24"/>
      <x:c r="P674" s="24"/>
      <x:c r="Q674" s="24" t="str">
        <x:v>DISPONÍVEL</x:v>
      </x:c>
      <x:c r="R674" s="24"/>
      <x:c r="S674" s="24" t="n">
        <x:v>17</x:v>
      </x:c>
      <x:c r="T674" s="24" t="str">
        <x:v>tabela_rodenstock.pdf</x:v>
      </x:c>
      <x:c r="U674" s="24" t="str">
        <x:v>Rodenstock|Monofocal B.I.G. NORM|Surfaçada|Multigressiv Monofocais B.I.G. NORM||1.6|1.60|Solitaire Protect Plus|-10 a +10|até -6||75|||17</x:v>
      </x:c>
    </x:row>
    <x:row r="675">
      <x:c r="A675" s="24" t="str">
        <x:v>RD-CCCEF0AD8A4E</x:v>
      </x:c>
      <x:c r="B675" s="24" t="str">
        <x:v>Rodenstock</x:v>
      </x:c>
      <x:c r="C675" s="24" t="str">
        <x:v>Monofocal B.I.G. NORM</x:v>
      </x:c>
      <x:c r="D675" s="24" t="str">
        <x:v>Surfaçada</x:v>
      </x:c>
      <x:c r="E675" s="24" t="str">
        <x:v>Multigressiv Monofocais B.I.G. NORM</x:v>
      </x:c>
      <x:c r="F675" s="24"/>
      <x:c r="G675" s="24" t="str">
        <x:v>1.6</x:v>
      </x:c>
      <x:c r="H675" s="24" t="str">
        <x:v>1.60</x:v>
      </x:c>
      <x:c r="I675" s="24" t="str">
        <x:v>ROAD</x:v>
      </x:c>
      <x:c r="J675" s="40" t="n">
        <x:v>2463</x:v>
      </x:c>
      <x:c r="K675" s="24" t="str">
        <x:v>-10 a +10</x:v>
      </x:c>
      <x:c r="L675" s="24" t="str">
        <x:v>até -6</x:v>
      </x:c>
      <x:c r="M675" s="24"/>
      <x:c r="N675" s="24" t="str">
        <x:v>75</x:v>
      </x:c>
      <x:c r="O675" s="24"/>
      <x:c r="P675" s="24"/>
      <x:c r="Q675" s="24" t="str">
        <x:v>DISPONÍVEL</x:v>
      </x:c>
      <x:c r="R675" s="24"/>
      <x:c r="S675" s="24" t="n">
        <x:v>17</x:v>
      </x:c>
      <x:c r="T675" s="24" t="str">
        <x:v>tabela_rodenstock.pdf</x:v>
      </x:c>
      <x:c r="U675" s="24" t="str">
        <x:v>Rodenstock|Monofocal B.I.G. NORM|Surfaçada|Multigressiv Monofocais B.I.G. NORM||1.6|1.60|ROAD|-10 a +10|até -6||75|||17</x:v>
      </x:c>
    </x:row>
    <x:row r="676">
      <x:c r="A676" s="24" t="str">
        <x:v>RD-E4324B6D2B86</x:v>
      </x:c>
      <x:c r="B676" s="24" t="str">
        <x:v>Rodenstock</x:v>
      </x:c>
      <x:c r="C676" s="24" t="str">
        <x:v>Monofocal B.I.G. NORM</x:v>
      </x:c>
      <x:c r="D676" s="24" t="str">
        <x:v>Surfaçada</x:v>
      </x:c>
      <x:c r="E676" s="24" t="str">
        <x:v>Multigressiv Monofocais B.I.G. NORM</x:v>
      </x:c>
      <x:c r="F676" s="24"/>
      <x:c r="G676" s="24" t="str">
        <x:v>1.6</x:v>
      </x:c>
      <x:c r="H676" s="24" t="str">
        <x:v>1.60</x:v>
      </x:c>
      <x:c r="I676" s="24" t="str">
        <x:v>Solitaire Protect</x:v>
      </x:c>
      <x:c r="J676" s="40" t="n">
        <x:v>2203</x:v>
      </x:c>
      <x:c r="K676" s="24" t="str">
        <x:v>-10 a +10</x:v>
      </x:c>
      <x:c r="L676" s="24" t="str">
        <x:v>até -6</x:v>
      </x:c>
      <x:c r="M676" s="24"/>
      <x:c r="N676" s="24" t="str">
        <x:v>75</x:v>
      </x:c>
      <x:c r="O676" s="24"/>
      <x:c r="P676" s="24"/>
      <x:c r="Q676" s="24" t="str">
        <x:v>DISPONÍVEL</x:v>
      </x:c>
      <x:c r="R676" s="24"/>
      <x:c r="S676" s="24" t="n">
        <x:v>17</x:v>
      </x:c>
      <x:c r="T676" s="24" t="str">
        <x:v>tabela_rodenstock.pdf</x:v>
      </x:c>
      <x:c r="U676" s="24" t="str">
        <x:v>Rodenstock|Monofocal B.I.G. NORM|Surfaçada|Multigressiv Monofocais B.I.G. NORM||1.6|1.60|Solitaire Protect|-10 a +10|até -6||75|||17</x:v>
      </x:c>
    </x:row>
    <x:row r="677">
      <x:c r="A677" s="24" t="str">
        <x:v>RD-001B2412CCE9</x:v>
      </x:c>
      <x:c r="B677" s="24" t="str">
        <x:v>Rodenstock</x:v>
      </x:c>
      <x:c r="C677" s="24" t="str">
        <x:v>Monofocal B.I.G. NORM</x:v>
      </x:c>
      <x:c r="D677" s="24" t="str">
        <x:v>Surfaçada</x:v>
      </x:c>
      <x:c r="E677" s="24" t="str">
        <x:v>Multigressiv Monofocais B.I.G. NORM</x:v>
      </x:c>
      <x:c r="F677" s="24" t="str">
        <x:v>PRO410</x:v>
      </x:c>
      <x:c r="G677" s="24" t="str">
        <x:v>1.6</x:v>
      </x:c>
      <x:c r="H677" s="24" t="str">
        <x:v>1.60</x:v>
      </x:c>
      <x:c r="I677" s="24" t="str">
        <x:v>LayR X-tra Clean</x:v>
      </x:c>
      <x:c r="J677" s="40" t="n">
        <x:v>2640</x:v>
      </x:c>
      <x:c r="K677" s="24" t="str">
        <x:v>-10 a +10</x:v>
      </x:c>
      <x:c r="L677" s="24" t="str">
        <x:v>até -6</x:v>
      </x:c>
      <x:c r="M677" s="24"/>
      <x:c r="N677" s="24" t="str">
        <x:v>75</x:v>
      </x:c>
      <x:c r="O677" s="24"/>
      <x:c r="P677" s="24"/>
      <x:c r="Q677" s="24" t="str">
        <x:v>DISPONÍVEL</x:v>
      </x:c>
      <x:c r="R677" s="24"/>
      <x:c r="S677" s="24" t="n">
        <x:v>17</x:v>
      </x:c>
      <x:c r="T677" s="24" t="str">
        <x:v>tabela_rodenstock.pdf</x:v>
      </x:c>
      <x:c r="U677" s="24" t="str">
        <x:v>Rodenstock|Monofocal B.I.G. NORM|Surfaçada|Multigressiv Monofocais B.I.G. NORM|PRO410|1.6|1.60|LayR X-tra Clean|-10 a +10|até -6||75|||17</x:v>
      </x:c>
    </x:row>
    <x:row r="678">
      <x:c r="A678" s="24" t="str">
        <x:v>RD-E8A7F3F53FE0</x:v>
      </x:c>
      <x:c r="B678" s="24" t="str">
        <x:v>Rodenstock</x:v>
      </x:c>
      <x:c r="C678" s="24" t="str">
        <x:v>Monofocal B.I.G. NORM</x:v>
      </x:c>
      <x:c r="D678" s="24" t="str">
        <x:v>Surfaçada</x:v>
      </x:c>
      <x:c r="E678" s="24" t="str">
        <x:v>Multigressiv Monofocais B.I.G. NORM</x:v>
      </x:c>
      <x:c r="F678" s="24" t="str">
        <x:v>PRO410</x:v>
      </x:c>
      <x:c r="G678" s="24" t="str">
        <x:v>1.6</x:v>
      </x:c>
      <x:c r="H678" s="24" t="str">
        <x:v>1.60</x:v>
      </x:c>
      <x:c r="I678" s="24" t="str">
        <x:v>LayR Balance</x:v>
      </x:c>
      <x:c r="J678" s="40" t="n">
        <x:v>2640</x:v>
      </x:c>
      <x:c r="K678" s="24" t="str">
        <x:v>-10 a +10</x:v>
      </x:c>
      <x:c r="L678" s="24" t="str">
        <x:v>até -6</x:v>
      </x:c>
      <x:c r="M678" s="24"/>
      <x:c r="N678" s="24" t="str">
        <x:v>75</x:v>
      </x:c>
      <x:c r="O678" s="24"/>
      <x:c r="P678" s="24"/>
      <x:c r="Q678" s="24" t="str">
        <x:v>DISPONÍVEL</x:v>
      </x:c>
      <x:c r="R678" s="24"/>
      <x:c r="S678" s="24" t="n">
        <x:v>17</x:v>
      </x:c>
      <x:c r="T678" s="24" t="str">
        <x:v>tabela_rodenstock.pdf</x:v>
      </x:c>
      <x:c r="U678" s="24" t="str">
        <x:v>Rodenstock|Monofocal B.I.G. NORM|Surfaçada|Multigressiv Monofocais B.I.G. NORM|PRO410|1.6|1.60|LayR Balance|-10 a +10|até -6||75|||17</x:v>
      </x:c>
    </x:row>
    <x:row r="679">
      <x:c r="A679" s="24" t="str">
        <x:v>RD-194721BD6C7A</x:v>
      </x:c>
      <x:c r="B679" s="24" t="str">
        <x:v>Rodenstock</x:v>
      </x:c>
      <x:c r="C679" s="24" t="str">
        <x:v>Monofocal B.I.G. NORM</x:v>
      </x:c>
      <x:c r="D679" s="24" t="str">
        <x:v>Surfaçada</x:v>
      </x:c>
      <x:c r="E679" s="24" t="str">
        <x:v>Multigressiv Monofocais B.I.G. NORM</x:v>
      </x:c>
      <x:c r="F679" s="24" t="str">
        <x:v>PRO410</x:v>
      </x:c>
      <x:c r="G679" s="24" t="str">
        <x:v>1.6</x:v>
      </x:c>
      <x:c r="H679" s="24" t="str">
        <x:v>1.60</x:v>
      </x:c>
      <x:c r="I679" s="24" t="str">
        <x:v>Solitaire X-tra Clean</x:v>
      </x:c>
      <x:c r="J679" s="40" t="n">
        <x:v>2570</x:v>
      </x:c>
      <x:c r="K679" s="24" t="str">
        <x:v>-10 a +10</x:v>
      </x:c>
      <x:c r="L679" s="24" t="str">
        <x:v>até -6</x:v>
      </x:c>
      <x:c r="M679" s="24"/>
      <x:c r="N679" s="24" t="str">
        <x:v>75</x:v>
      </x:c>
      <x:c r="O679" s="24"/>
      <x:c r="P679" s="24"/>
      <x:c r="Q679" s="24" t="str">
        <x:v>DISPONÍVEL</x:v>
      </x:c>
      <x:c r="R679" s="24"/>
      <x:c r="S679" s="24" t="n">
        <x:v>17</x:v>
      </x:c>
      <x:c r="T679" s="24" t="str">
        <x:v>tabela_rodenstock.pdf</x:v>
      </x:c>
      <x:c r="U679" s="24" t="str">
        <x:v>Rodenstock|Monofocal B.I.G. NORM|Surfaçada|Multigressiv Monofocais B.I.G. NORM|PRO410|1.6|1.60|Solitaire X-tra Clean|-10 a +10|até -6||75|||17</x:v>
      </x:c>
    </x:row>
    <x:row r="680">
      <x:c r="A680" s="24" t="str">
        <x:v>RD-768445ADF733</x:v>
      </x:c>
      <x:c r="B680" s="24" t="str">
        <x:v>Rodenstock</x:v>
      </x:c>
      <x:c r="C680" s="24" t="str">
        <x:v>Monofocal B.I.G. NORM</x:v>
      </x:c>
      <x:c r="D680" s="24" t="str">
        <x:v>Surfaçada</x:v>
      </x:c>
      <x:c r="E680" s="24" t="str">
        <x:v>Multigressiv Monofocais B.I.G. NORM</x:v>
      </x:c>
      <x:c r="F680" s="24" t="str">
        <x:v>PRO410</x:v>
      </x:c>
      <x:c r="G680" s="24" t="str">
        <x:v>1.6</x:v>
      </x:c>
      <x:c r="H680" s="24" t="str">
        <x:v>1.60</x:v>
      </x:c>
      <x:c r="I680" s="24" t="str">
        <x:v>Solitaire Protect Plus</x:v>
      </x:c>
      <x:c r="J680" s="40" t="n">
        <x:v>2520</x:v>
      </x:c>
      <x:c r="K680" s="24" t="str">
        <x:v>-10 a +10</x:v>
      </x:c>
      <x:c r="L680" s="24" t="str">
        <x:v>até -6</x:v>
      </x:c>
      <x:c r="M680" s="24"/>
      <x:c r="N680" s="24" t="str">
        <x:v>75</x:v>
      </x:c>
      <x:c r="O680" s="24"/>
      <x:c r="P680" s="24"/>
      <x:c r="Q680" s="24" t="str">
        <x:v>DISPONÍVEL</x:v>
      </x:c>
      <x:c r="R680" s="24"/>
      <x:c r="S680" s="24" t="n">
        <x:v>17</x:v>
      </x:c>
      <x:c r="T680" s="24" t="str">
        <x:v>tabela_rodenstock.pdf</x:v>
      </x:c>
      <x:c r="U680" s="24" t="str">
        <x:v>Rodenstock|Monofocal B.I.G. NORM|Surfaçada|Multigressiv Monofocais B.I.G. NORM|PRO410|1.6|1.60|Solitaire Protect Plus|-10 a +10|até -6||75|||17</x:v>
      </x:c>
    </x:row>
    <x:row r="681">
      <x:c r="A681" s="24" t="str">
        <x:v>RD-F2E11526E36F</x:v>
      </x:c>
      <x:c r="B681" s="24" t="str">
        <x:v>Rodenstock</x:v>
      </x:c>
      <x:c r="C681" s="24" t="str">
        <x:v>Monofocal B.I.G. NORM</x:v>
      </x:c>
      <x:c r="D681" s="24" t="str">
        <x:v>Surfaçada</x:v>
      </x:c>
      <x:c r="E681" s="24" t="str">
        <x:v>Multigressiv Monofocais B.I.G. NORM</x:v>
      </x:c>
      <x:c r="F681" s="24" t="str">
        <x:v>PRO410</x:v>
      </x:c>
      <x:c r="G681" s="24" t="str">
        <x:v>1.6</x:v>
      </x:c>
      <x:c r="H681" s="24" t="str">
        <x:v>1.60</x:v>
      </x:c>
      <x:c r="I681" s="24" t="str">
        <x:v>ROAD</x:v>
      </x:c>
      <x:c r="J681" s="40" t="n">
        <x:v>2520</x:v>
      </x:c>
      <x:c r="K681" s="24" t="str">
        <x:v>-10 a +10</x:v>
      </x:c>
      <x:c r="L681" s="24" t="str">
        <x:v>até -6</x:v>
      </x:c>
      <x:c r="M681" s="24"/>
      <x:c r="N681" s="24" t="str">
        <x:v>75</x:v>
      </x:c>
      <x:c r="O681" s="24"/>
      <x:c r="P681" s="24"/>
      <x:c r="Q681" s="24" t="str">
        <x:v>DISPONÍVEL</x:v>
      </x:c>
      <x:c r="R681" s="24"/>
      <x:c r="S681" s="24" t="n">
        <x:v>17</x:v>
      </x:c>
      <x:c r="T681" s="24" t="str">
        <x:v>tabela_rodenstock.pdf</x:v>
      </x:c>
      <x:c r="U681" s="24" t="str">
        <x:v>Rodenstock|Monofocal B.I.G. NORM|Surfaçada|Multigressiv Monofocais B.I.G. NORM|PRO410|1.6|1.60|ROAD|-10 a +10|até -6||75|||17</x:v>
      </x:c>
    </x:row>
    <x:row r="682">
      <x:c r="A682" s="24" t="str">
        <x:v>RD-B9421DDACC7A</x:v>
      </x:c>
      <x:c r="B682" s="24" t="str">
        <x:v>Rodenstock</x:v>
      </x:c>
      <x:c r="C682" s="24" t="str">
        <x:v>Monofocal B.I.G. NORM</x:v>
      </x:c>
      <x:c r="D682" s="24" t="str">
        <x:v>Surfaçada</x:v>
      </x:c>
      <x:c r="E682" s="24" t="str">
        <x:v>Multigressiv Monofocais B.I.G. NORM</x:v>
      </x:c>
      <x:c r="F682" s="24" t="str">
        <x:v>PRO410</x:v>
      </x:c>
      <x:c r="G682" s="24" t="str">
        <x:v>1.6</x:v>
      </x:c>
      <x:c r="H682" s="24" t="str">
        <x:v>1.60</x:v>
      </x:c>
      <x:c r="I682" s="24" t="str">
        <x:v>Solitaire Protect</x:v>
      </x:c>
      <x:c r="J682" s="40" t="n">
        <x:v>2260</x:v>
      </x:c>
      <x:c r="K682" s="24" t="str">
        <x:v>-10 a +10</x:v>
      </x:c>
      <x:c r="L682" s="24" t="str">
        <x:v>até -6</x:v>
      </x:c>
      <x:c r="M682" s="24"/>
      <x:c r="N682" s="24" t="str">
        <x:v>75</x:v>
      </x:c>
      <x:c r="O682" s="24"/>
      <x:c r="P682" s="24"/>
      <x:c r="Q682" s="24" t="str">
        <x:v>DISPONÍVEL</x:v>
      </x:c>
      <x:c r="R682" s="24"/>
      <x:c r="S682" s="24" t="n">
        <x:v>17</x:v>
      </x:c>
      <x:c r="T682" s="24" t="str">
        <x:v>tabela_rodenstock.pdf</x:v>
      </x:c>
      <x:c r="U682" s="24" t="str">
        <x:v>Rodenstock|Monofocal B.I.G. NORM|Surfaçada|Multigressiv Monofocais B.I.G. NORM|PRO410|1.6|1.60|Solitaire Protect|-10 a +10|até -6||75|||17</x:v>
      </x:c>
    </x:row>
    <x:row r="683">
      <x:c r="A683" s="24" t="str">
        <x:v>RD-DF786755CFB8</x:v>
      </x:c>
      <x:c r="B683" s="24" t="str">
        <x:v>Rodenstock</x:v>
      </x:c>
      <x:c r="C683" s="24" t="str">
        <x:v>Monofocal B.I.G. NORM</x:v>
      </x:c>
      <x:c r="D683" s="24" t="str">
        <x:v>Surfaçada</x:v>
      </x:c>
      <x:c r="E683" s="24" t="str">
        <x:v>Multigressiv Monofocais B.I.G. NORM</x:v>
      </x:c>
      <x:c r="F683" s="24" t="str">
        <x:v>ColorMatic® 3 | X</x:v>
      </x:c>
      <x:c r="G683" s="24" t="str">
        <x:v>1.6</x:v>
      </x:c>
      <x:c r="H683" s="24" t="str">
        <x:v>1.60</x:v>
      </x:c>
      <x:c r="I683" s="24" t="str">
        <x:v>LayR X-tra Clean</x:v>
      </x:c>
      <x:c r="J683" s="40" t="n">
        <x:v>3682</x:v>
      </x:c>
      <x:c r="K683" s="24" t="str">
        <x:v>-10 a +10</x:v>
      </x:c>
      <x:c r="L683" s="24" t="str">
        <x:v>até -6</x:v>
      </x:c>
      <x:c r="M683" s="24"/>
      <x:c r="N683" s="24" t="str">
        <x:v>75</x:v>
      </x:c>
      <x:c r="O683" s="24"/>
      <x:c r="P683" s="24"/>
      <x:c r="Q683" s="24" t="str">
        <x:v>DISPONÍVEL</x:v>
      </x:c>
      <x:c r="R683" s="24"/>
      <x:c r="S683" s="24" t="n">
        <x:v>17</x:v>
      </x:c>
      <x:c r="T683" s="24" t="str">
        <x:v>tabela_rodenstock.pdf</x:v>
      </x:c>
      <x:c r="U683" s="24" t="str">
        <x:v>Rodenstock|Monofocal B.I.G. NORM|Surfaçada|Multigressiv Monofocais B.I.G. NORM|ColorMatic® 3 | X|1.6|1.60|LayR X-tra Clean|-10 a +10|até -6||75|||17</x:v>
      </x:c>
    </x:row>
    <x:row r="684">
      <x:c r="A684" s="24" t="str">
        <x:v>RD-4D6384B1A322</x:v>
      </x:c>
      <x:c r="B684" s="24" t="str">
        <x:v>Rodenstock</x:v>
      </x:c>
      <x:c r="C684" s="24" t="str">
        <x:v>Monofocal B.I.G. NORM</x:v>
      </x:c>
      <x:c r="D684" s="24" t="str">
        <x:v>Surfaçada</x:v>
      </x:c>
      <x:c r="E684" s="24" t="str">
        <x:v>Multigressiv Monofocais B.I.G. NORM</x:v>
      </x:c>
      <x:c r="F684" s="24" t="str">
        <x:v>ColorMatic® 3 | X</x:v>
      </x:c>
      <x:c r="G684" s="24" t="str">
        <x:v>1.6</x:v>
      </x:c>
      <x:c r="H684" s="24" t="str">
        <x:v>1.60</x:v>
      </x:c>
      <x:c r="I684" s="24" t="str">
        <x:v>LayR Balance</x:v>
      </x:c>
      <x:c r="J684" s="40" t="n">
        <x:v>3682</x:v>
      </x:c>
      <x:c r="K684" s="24" t="str">
        <x:v>-10 a +10</x:v>
      </x:c>
      <x:c r="L684" s="24" t="str">
        <x:v>até -6</x:v>
      </x:c>
      <x:c r="M684" s="24"/>
      <x:c r="N684" s="24" t="str">
        <x:v>75</x:v>
      </x:c>
      <x:c r="O684" s="24"/>
      <x:c r="P684" s="24"/>
      <x:c r="Q684" s="24" t="str">
        <x:v>DISPONÍVEL</x:v>
      </x:c>
      <x:c r="R684" s="24"/>
      <x:c r="S684" s="24" t="n">
        <x:v>17</x:v>
      </x:c>
      <x:c r="T684" s="24" t="str">
        <x:v>tabela_rodenstock.pdf</x:v>
      </x:c>
      <x:c r="U684" s="24" t="str">
        <x:v>Rodenstock|Monofocal B.I.G. NORM|Surfaçada|Multigressiv Monofocais B.I.G. NORM|ColorMatic® 3 | X|1.6|1.60|LayR Balance|-10 a +10|até -6||75|||17</x:v>
      </x:c>
    </x:row>
    <x:row r="685">
      <x:c r="A685" s="24" t="str">
        <x:v>RD-4E097C0D445F</x:v>
      </x:c>
      <x:c r="B685" s="24" t="str">
        <x:v>Rodenstock</x:v>
      </x:c>
      <x:c r="C685" s="24" t="str">
        <x:v>Monofocal B.I.G. NORM</x:v>
      </x:c>
      <x:c r="D685" s="24" t="str">
        <x:v>Surfaçada</x:v>
      </x:c>
      <x:c r="E685" s="24" t="str">
        <x:v>Multigressiv Monofocais B.I.G. NORM</x:v>
      </x:c>
      <x:c r="F685" s="24" t="str">
        <x:v>ColorMatic® 3 | X</x:v>
      </x:c>
      <x:c r="G685" s="24" t="str">
        <x:v>1.6</x:v>
      </x:c>
      <x:c r="H685" s="24" t="str">
        <x:v>1.60</x:v>
      </x:c>
      <x:c r="I685" s="24" t="str">
        <x:v>Solitaire X-tra Clean</x:v>
      </x:c>
      <x:c r="J685" s="40" t="n">
        <x:v>3612</x:v>
      </x:c>
      <x:c r="K685" s="24" t="str">
        <x:v>-10 a +10</x:v>
      </x:c>
      <x:c r="L685" s="24" t="str">
        <x:v>até -6</x:v>
      </x:c>
      <x:c r="M685" s="24"/>
      <x:c r="N685" s="24" t="str">
        <x:v>75</x:v>
      </x:c>
      <x:c r="O685" s="24"/>
      <x:c r="P685" s="24"/>
      <x:c r="Q685" s="24" t="str">
        <x:v>DISPONÍVEL</x:v>
      </x:c>
      <x:c r="R685" s="24"/>
      <x:c r="S685" s="24" t="n">
        <x:v>17</x:v>
      </x:c>
      <x:c r="T685" s="24" t="str">
        <x:v>tabela_rodenstock.pdf</x:v>
      </x:c>
      <x:c r="U685" s="24" t="str">
        <x:v>Rodenstock|Monofocal B.I.G. NORM|Surfaçada|Multigressiv Monofocais B.I.G. NORM|ColorMatic® 3 | X|1.6|1.60|Solitaire X-tra Clean|-10 a +10|até -6||75|||17</x:v>
      </x:c>
    </x:row>
    <x:row r="686">
      <x:c r="A686" s="24" t="str">
        <x:v>RD-24B382B40B60</x:v>
      </x:c>
      <x:c r="B686" s="24" t="str">
        <x:v>Rodenstock</x:v>
      </x:c>
      <x:c r="C686" s="24" t="str">
        <x:v>Monofocal B.I.G. NORM</x:v>
      </x:c>
      <x:c r="D686" s="24" t="str">
        <x:v>Surfaçada</x:v>
      </x:c>
      <x:c r="E686" s="24" t="str">
        <x:v>Multigressiv Monofocais B.I.G. NORM</x:v>
      </x:c>
      <x:c r="F686" s="24" t="str">
        <x:v>ColorMatic® 3 | X</x:v>
      </x:c>
      <x:c r="G686" s="24" t="str">
        <x:v>1.6</x:v>
      </x:c>
      <x:c r="H686" s="24" t="str">
        <x:v>1.60</x:v>
      </x:c>
      <x:c r="I686" s="24" t="str">
        <x:v>Solitaire Protect Plus</x:v>
      </x:c>
      <x:c r="J686" s="40" t="n">
        <x:v>3562</x:v>
      </x:c>
      <x:c r="K686" s="24" t="str">
        <x:v>-10 a +10</x:v>
      </x:c>
      <x:c r="L686" s="24" t="str">
        <x:v>até -6</x:v>
      </x:c>
      <x:c r="M686" s="24"/>
      <x:c r="N686" s="24" t="str">
        <x:v>75</x:v>
      </x:c>
      <x:c r="O686" s="24"/>
      <x:c r="P686" s="24"/>
      <x:c r="Q686" s="24" t="str">
        <x:v>DISPONÍVEL</x:v>
      </x:c>
      <x:c r="R686" s="24"/>
      <x:c r="S686" s="24" t="n">
        <x:v>17</x:v>
      </x:c>
      <x:c r="T686" s="24" t="str">
        <x:v>tabela_rodenstock.pdf</x:v>
      </x:c>
      <x:c r="U686" s="24" t="str">
        <x:v>Rodenstock|Monofocal B.I.G. NORM|Surfaçada|Multigressiv Monofocais B.I.G. NORM|ColorMatic® 3 | X|1.6|1.60|Solitaire Protect Plus|-10 a +10|até -6||75|||17</x:v>
      </x:c>
    </x:row>
    <x:row r="687">
      <x:c r="A687" s="24" t="str">
        <x:v>RD-511271000B0D</x:v>
      </x:c>
      <x:c r="B687" s="24" t="str">
        <x:v>Rodenstock</x:v>
      </x:c>
      <x:c r="C687" s="24" t="str">
        <x:v>Monofocal B.I.G. NORM</x:v>
      </x:c>
      <x:c r="D687" s="24" t="str">
        <x:v>Surfaçada</x:v>
      </x:c>
      <x:c r="E687" s="24" t="str">
        <x:v>Multigressiv Monofocais B.I.G. NORM</x:v>
      </x:c>
      <x:c r="F687" s="24" t="str">
        <x:v>ColorMatic® 3 | X</x:v>
      </x:c>
      <x:c r="G687" s="24" t="str">
        <x:v>1.6</x:v>
      </x:c>
      <x:c r="H687" s="24" t="str">
        <x:v>1.60</x:v>
      </x:c>
      <x:c r="I687" s="24" t="str">
        <x:v>ROAD</x:v>
      </x:c>
      <x:c r="J687" s="40" t="n">
        <x:v>3562</x:v>
      </x:c>
      <x:c r="K687" s="24" t="str">
        <x:v>-10 a +10</x:v>
      </x:c>
      <x:c r="L687" s="24" t="str">
        <x:v>até -6</x:v>
      </x:c>
      <x:c r="M687" s="24"/>
      <x:c r="N687" s="24" t="str">
        <x:v>75</x:v>
      </x:c>
      <x:c r="O687" s="24"/>
      <x:c r="P687" s="24"/>
      <x:c r="Q687" s="24" t="str">
        <x:v>DISPONÍVEL</x:v>
      </x:c>
      <x:c r="R687" s="24"/>
      <x:c r="S687" s="24" t="n">
        <x:v>17</x:v>
      </x:c>
      <x:c r="T687" s="24" t="str">
        <x:v>tabela_rodenstock.pdf</x:v>
      </x:c>
      <x:c r="U687" s="24" t="str">
        <x:v>Rodenstock|Monofocal B.I.G. NORM|Surfaçada|Multigressiv Monofocais B.I.G. NORM|ColorMatic® 3 | X|1.6|1.60|ROAD|-10 a +10|até -6||75|||17</x:v>
      </x:c>
    </x:row>
    <x:row r="688">
      <x:c r="A688" s="24" t="str">
        <x:v>RD-5129D7BE17DB</x:v>
      </x:c>
      <x:c r="B688" s="24" t="str">
        <x:v>Rodenstock</x:v>
      </x:c>
      <x:c r="C688" s="24" t="str">
        <x:v>Monofocal B.I.G. NORM</x:v>
      </x:c>
      <x:c r="D688" s="24" t="str">
        <x:v>Surfaçada</x:v>
      </x:c>
      <x:c r="E688" s="24" t="str">
        <x:v>Multigressiv Monofocais B.I.G. NORM</x:v>
      </x:c>
      <x:c r="F688" s="24" t="str">
        <x:v>ColorMatic® 3 | X</x:v>
      </x:c>
      <x:c r="G688" s="24" t="str">
        <x:v>1.6</x:v>
      </x:c>
      <x:c r="H688" s="24" t="str">
        <x:v>1.60</x:v>
      </x:c>
      <x:c r="I688" s="24" t="str">
        <x:v>Solitaire Protect</x:v>
      </x:c>
      <x:c r="J688" s="40" t="n">
        <x:v>3302</x:v>
      </x:c>
      <x:c r="K688" s="24" t="str">
        <x:v>-10 a +10</x:v>
      </x:c>
      <x:c r="L688" s="24" t="str">
        <x:v>até -6</x:v>
      </x:c>
      <x:c r="M688" s="24"/>
      <x:c r="N688" s="24" t="str">
        <x:v>75</x:v>
      </x:c>
      <x:c r="O688" s="24"/>
      <x:c r="P688" s="24"/>
      <x:c r="Q688" s="24" t="str">
        <x:v>DISPONÍVEL</x:v>
      </x:c>
      <x:c r="R688" s="24"/>
      <x:c r="S688" s="24" t="n">
        <x:v>17</x:v>
      </x:c>
      <x:c r="T688" s="24" t="str">
        <x:v>tabela_rodenstock.pdf</x:v>
      </x:c>
      <x:c r="U688" s="24" t="str">
        <x:v>Rodenstock|Monofocal B.I.G. NORM|Surfaçada|Multigressiv Monofocais B.I.G. NORM|ColorMatic® 3 | X|1.6|1.60|Solitaire Protect|-10 a +10|até -6||75|||17</x:v>
      </x:c>
    </x:row>
    <x:row r="689">
      <x:c r="A689" s="24" t="str">
        <x:v>RD-B17A4727FCF6</x:v>
      </x:c>
      <x:c r="B689" s="24" t="str">
        <x:v>Rodenstock</x:v>
      </x:c>
      <x:c r="C689" s="24" t="str">
        <x:v>Monofocal B.I.G. NORM</x:v>
      </x:c>
      <x:c r="D689" s="24" t="str">
        <x:v>Surfaçada</x:v>
      </x:c>
      <x:c r="E689" s="24" t="str">
        <x:v>Multigressiv Monofocais B.I.G. NORM</x:v>
      </x:c>
      <x:c r="F689" s="24"/>
      <x:c r="G689" s="24" t="str">
        <x:v>1.67</x:v>
      </x:c>
      <x:c r="H689" s="24" t="str">
        <x:v>1.67</x:v>
      </x:c>
      <x:c r="I689" s="24" t="str">
        <x:v>LayR X-tra Clean</x:v>
      </x:c>
      <x:c r="J689" s="40" t="n">
        <x:v>3605</x:v>
      </x:c>
      <x:c r="K689" s="24" t="str">
        <x:v>-12 a +10</x:v>
      </x:c>
      <x:c r="L689" s="24" t="str">
        <x:v>até -6</x:v>
      </x:c>
      <x:c r="M689" s="24"/>
      <x:c r="N689" s="24" t="str">
        <x:v>75</x:v>
      </x:c>
      <x:c r="O689" s="24"/>
      <x:c r="P689" s="24"/>
      <x:c r="Q689" s="24" t="str">
        <x:v>DISPONÍVEL</x:v>
      </x:c>
      <x:c r="R689" s="24"/>
      <x:c r="S689" s="24" t="n">
        <x:v>17</x:v>
      </x:c>
      <x:c r="T689" s="24" t="str">
        <x:v>tabela_rodenstock.pdf</x:v>
      </x:c>
      <x:c r="U689" s="24" t="str">
        <x:v>Rodenstock|Monofocal B.I.G. NORM|Surfaçada|Multigressiv Monofocais B.I.G. NORM||1.67|1.67|LayR X-tra Clean|-12 a +10|até -6||75|||17</x:v>
      </x:c>
    </x:row>
    <x:row r="690">
      <x:c r="A690" s="24" t="str">
        <x:v>RD-0BAB33515BAF</x:v>
      </x:c>
      <x:c r="B690" s="24" t="str">
        <x:v>Rodenstock</x:v>
      </x:c>
      <x:c r="C690" s="24" t="str">
        <x:v>Monofocal B.I.G. NORM</x:v>
      </x:c>
      <x:c r="D690" s="24" t="str">
        <x:v>Surfaçada</x:v>
      </x:c>
      <x:c r="E690" s="24" t="str">
        <x:v>Multigressiv Monofocais B.I.G. NORM</x:v>
      </x:c>
      <x:c r="F690" s="24"/>
      <x:c r="G690" s="24" t="str">
        <x:v>1.67</x:v>
      </x:c>
      <x:c r="H690" s="24" t="str">
        <x:v>1.67</x:v>
      </x:c>
      <x:c r="I690" s="24" t="str">
        <x:v>LayR Balance</x:v>
      </x:c>
      <x:c r="J690" s="40" t="n">
        <x:v>3605</x:v>
      </x:c>
      <x:c r="K690" s="24" t="str">
        <x:v>-12 a +10</x:v>
      </x:c>
      <x:c r="L690" s="24" t="str">
        <x:v>até -6</x:v>
      </x:c>
      <x:c r="M690" s="24"/>
      <x:c r="N690" s="24" t="str">
        <x:v>75</x:v>
      </x:c>
      <x:c r="O690" s="24"/>
      <x:c r="P690" s="24"/>
      <x:c r="Q690" s="24" t="str">
        <x:v>DISPONÍVEL</x:v>
      </x:c>
      <x:c r="R690" s="24"/>
      <x:c r="S690" s="24" t="n">
        <x:v>17</x:v>
      </x:c>
      <x:c r="T690" s="24" t="str">
        <x:v>tabela_rodenstock.pdf</x:v>
      </x:c>
      <x:c r="U690" s="24" t="str">
        <x:v>Rodenstock|Monofocal B.I.G. NORM|Surfaçada|Multigressiv Monofocais B.I.G. NORM||1.67|1.67|LayR Balance|-12 a +10|até -6||75|||17</x:v>
      </x:c>
    </x:row>
    <x:row r="691">
      <x:c r="A691" s="24" t="str">
        <x:v>RD-3FD1CF797BD1</x:v>
      </x:c>
      <x:c r="B691" s="24" t="str">
        <x:v>Rodenstock</x:v>
      </x:c>
      <x:c r="C691" s="24" t="str">
        <x:v>Monofocal B.I.G. NORM</x:v>
      </x:c>
      <x:c r="D691" s="24" t="str">
        <x:v>Surfaçada</x:v>
      </x:c>
      <x:c r="E691" s="24" t="str">
        <x:v>Multigressiv Monofocais B.I.G. NORM</x:v>
      </x:c>
      <x:c r="F691" s="24"/>
      <x:c r="G691" s="24" t="str">
        <x:v>1.67</x:v>
      </x:c>
      <x:c r="H691" s="24" t="str">
        <x:v>1.67</x:v>
      </x:c>
      <x:c r="I691" s="24" t="str">
        <x:v>Solitaire X-tra Clean</x:v>
      </x:c>
      <x:c r="J691" s="40" t="n">
        <x:v>3535</x:v>
      </x:c>
      <x:c r="K691" s="24" t="str">
        <x:v>-12 a +10</x:v>
      </x:c>
      <x:c r="L691" s="24" t="str">
        <x:v>até -6</x:v>
      </x:c>
      <x:c r="M691" s="24"/>
      <x:c r="N691" s="24" t="str">
        <x:v>75</x:v>
      </x:c>
      <x:c r="O691" s="24"/>
      <x:c r="P691" s="24"/>
      <x:c r="Q691" s="24" t="str">
        <x:v>DISPONÍVEL</x:v>
      </x:c>
      <x:c r="R691" s="24"/>
      <x:c r="S691" s="24" t="n">
        <x:v>17</x:v>
      </x:c>
      <x:c r="T691" s="24" t="str">
        <x:v>tabela_rodenstock.pdf</x:v>
      </x:c>
      <x:c r="U691" s="24" t="str">
        <x:v>Rodenstock|Monofocal B.I.G. NORM|Surfaçada|Multigressiv Monofocais B.I.G. NORM||1.67|1.67|Solitaire X-tra Clean|-12 a +10|até -6||75|||17</x:v>
      </x:c>
    </x:row>
    <x:row r="692">
      <x:c r="A692" s="24" t="str">
        <x:v>RD-58AAE2C8CB23</x:v>
      </x:c>
      <x:c r="B692" s="24" t="str">
        <x:v>Rodenstock</x:v>
      </x:c>
      <x:c r="C692" s="24" t="str">
        <x:v>Monofocal B.I.G. NORM</x:v>
      </x:c>
      <x:c r="D692" s="24" t="str">
        <x:v>Surfaçada</x:v>
      </x:c>
      <x:c r="E692" s="24" t="str">
        <x:v>Multigressiv Monofocais B.I.G. NORM</x:v>
      </x:c>
      <x:c r="F692" s="24"/>
      <x:c r="G692" s="24" t="str">
        <x:v>1.67</x:v>
      </x:c>
      <x:c r="H692" s="24" t="str">
        <x:v>1.67</x:v>
      </x:c>
      <x:c r="I692" s="24" t="str">
        <x:v>Solitaire Protect Plus</x:v>
      </x:c>
      <x:c r="J692" s="40" t="n">
        <x:v>3485</x:v>
      </x:c>
      <x:c r="K692" s="24" t="str">
        <x:v>-12 a +10</x:v>
      </x:c>
      <x:c r="L692" s="24" t="str">
        <x:v>até -6</x:v>
      </x:c>
      <x:c r="M692" s="24"/>
      <x:c r="N692" s="24" t="str">
        <x:v>75</x:v>
      </x:c>
      <x:c r="O692" s="24"/>
      <x:c r="P692" s="24"/>
      <x:c r="Q692" s="24" t="str">
        <x:v>DISPONÍVEL</x:v>
      </x:c>
      <x:c r="R692" s="24"/>
      <x:c r="S692" s="24" t="n">
        <x:v>17</x:v>
      </x:c>
      <x:c r="T692" s="24" t="str">
        <x:v>tabela_rodenstock.pdf</x:v>
      </x:c>
      <x:c r="U692" s="24" t="str">
        <x:v>Rodenstock|Monofocal B.I.G. NORM|Surfaçada|Multigressiv Monofocais B.I.G. NORM||1.67|1.67|Solitaire Protect Plus|-12 a +10|até -6||75|||17</x:v>
      </x:c>
    </x:row>
    <x:row r="693">
      <x:c r="A693" s="24" t="str">
        <x:v>RD-FCAA019E8773</x:v>
      </x:c>
      <x:c r="B693" s="24" t="str">
        <x:v>Rodenstock</x:v>
      </x:c>
      <x:c r="C693" s="24" t="str">
        <x:v>Monofocal B.I.G. NORM</x:v>
      </x:c>
      <x:c r="D693" s="24" t="str">
        <x:v>Surfaçada</x:v>
      </x:c>
      <x:c r="E693" s="24" t="str">
        <x:v>Multigressiv Monofocais B.I.G. NORM</x:v>
      </x:c>
      <x:c r="F693" s="24"/>
      <x:c r="G693" s="24" t="str">
        <x:v>1.67</x:v>
      </x:c>
      <x:c r="H693" s="24" t="str">
        <x:v>1.67</x:v>
      </x:c>
      <x:c r="I693" s="24" t="str">
        <x:v>ROAD</x:v>
      </x:c>
      <x:c r="J693" s="40" t="n">
        <x:v>3485</x:v>
      </x:c>
      <x:c r="K693" s="24" t="str">
        <x:v>-12 a +10</x:v>
      </x:c>
      <x:c r="L693" s="24" t="str">
        <x:v>até -6</x:v>
      </x:c>
      <x:c r="M693" s="24"/>
      <x:c r="N693" s="24" t="str">
        <x:v>75</x:v>
      </x:c>
      <x:c r="O693" s="24"/>
      <x:c r="P693" s="24"/>
      <x:c r="Q693" s="24" t="str">
        <x:v>DISPONÍVEL</x:v>
      </x:c>
      <x:c r="R693" s="24"/>
      <x:c r="S693" s="24" t="n">
        <x:v>17</x:v>
      </x:c>
      <x:c r="T693" s="24" t="str">
        <x:v>tabela_rodenstock.pdf</x:v>
      </x:c>
      <x:c r="U693" s="24" t="str">
        <x:v>Rodenstock|Monofocal B.I.G. NORM|Surfaçada|Multigressiv Monofocais B.I.G. NORM||1.67|1.67|ROAD|-12 a +10|até -6||75|||17</x:v>
      </x:c>
    </x:row>
    <x:row r="694">
      <x:c r="A694" s="24" t="str">
        <x:v>RD-65696217EE08</x:v>
      </x:c>
      <x:c r="B694" s="24" t="str">
        <x:v>Rodenstock</x:v>
      </x:c>
      <x:c r="C694" s="24" t="str">
        <x:v>Monofocal B.I.G. NORM</x:v>
      </x:c>
      <x:c r="D694" s="24" t="str">
        <x:v>Surfaçada</x:v>
      </x:c>
      <x:c r="E694" s="24" t="str">
        <x:v>Multigressiv Monofocais B.I.G. NORM</x:v>
      </x:c>
      <x:c r="F694" s="24"/>
      <x:c r="G694" s="24" t="str">
        <x:v>1.67</x:v>
      </x:c>
      <x:c r="H694" s="24" t="str">
        <x:v>1.67</x:v>
      </x:c>
      <x:c r="I694" s="24" t="str">
        <x:v>Solitaire Protect</x:v>
      </x:c>
      <x:c r="J694" s="40" t="n">
        <x:v>3225</x:v>
      </x:c>
      <x:c r="K694" s="24" t="str">
        <x:v>-12 a +10</x:v>
      </x:c>
      <x:c r="L694" s="24" t="str">
        <x:v>até -6</x:v>
      </x:c>
      <x:c r="M694" s="24"/>
      <x:c r="N694" s="24" t="str">
        <x:v>75</x:v>
      </x:c>
      <x:c r="O694" s="24"/>
      <x:c r="P694" s="24"/>
      <x:c r="Q694" s="24" t="str">
        <x:v>DISPONÍVEL</x:v>
      </x:c>
      <x:c r="R694" s="24"/>
      <x:c r="S694" s="24" t="n">
        <x:v>17</x:v>
      </x:c>
      <x:c r="T694" s="24" t="str">
        <x:v>tabela_rodenstock.pdf</x:v>
      </x:c>
      <x:c r="U694" s="24" t="str">
        <x:v>Rodenstock|Monofocal B.I.G. NORM|Surfaçada|Multigressiv Monofocais B.I.G. NORM||1.67|1.67|Solitaire Protect|-12 a +10|até -6||75|||17</x:v>
      </x:c>
    </x:row>
    <x:row r="695">
      <x:c r="A695" s="24" t="str">
        <x:v>RD-BE3E9501650D</x:v>
      </x:c>
      <x:c r="B695" s="24" t="str">
        <x:v>Rodenstock</x:v>
      </x:c>
      <x:c r="C695" s="24" t="str">
        <x:v>Monofocal B.I.G. NORM</x:v>
      </x:c>
      <x:c r="D695" s="24" t="str">
        <x:v>Surfaçada</x:v>
      </x:c>
      <x:c r="E695" s="24" t="str">
        <x:v>Multigressiv Monofocais B.I.G. NORM</x:v>
      </x:c>
      <x:c r="F695" s="24" t="str">
        <x:v>ColorMatic® 3</x:v>
      </x:c>
      <x:c r="G695" s="24" t="str">
        <x:v>1.67</x:v>
      </x:c>
      <x:c r="H695" s="24" t="str">
        <x:v>1.67</x:v>
      </x:c>
      <x:c r="I695" s="24" t="str">
        <x:v>LayR X-tra Clean</x:v>
      </x:c>
      <x:c r="J695" s="40" t="n">
        <x:v>4898</x:v>
      </x:c>
      <x:c r="K695" s="24" t="str">
        <x:v>-12 a +10</x:v>
      </x:c>
      <x:c r="L695" s="24" t="str">
        <x:v>até -6</x:v>
      </x:c>
      <x:c r="M695" s="24"/>
      <x:c r="N695" s="24" t="str">
        <x:v>75</x:v>
      </x:c>
      <x:c r="O695" s="24"/>
      <x:c r="P695" s="24"/>
      <x:c r="Q695" s="24" t="str">
        <x:v>DISPONÍVEL</x:v>
      </x:c>
      <x:c r="R695" s="24"/>
      <x:c r="S695" s="24" t="n">
        <x:v>17</x:v>
      </x:c>
      <x:c r="T695" s="24" t="str">
        <x:v>tabela_rodenstock.pdf</x:v>
      </x:c>
      <x:c r="U695" s="24" t="str">
        <x:v>Rodenstock|Monofocal B.I.G. NORM|Surfaçada|Multigressiv Monofocais B.I.G. NORM|ColorMatic® 3|1.67|1.67|LayR X-tra Clean|-12 a +10|até -6||75|||17</x:v>
      </x:c>
    </x:row>
    <x:row r="696">
      <x:c r="A696" s="24" t="str">
        <x:v>RD-7528E0F4F374</x:v>
      </x:c>
      <x:c r="B696" s="24" t="str">
        <x:v>Rodenstock</x:v>
      </x:c>
      <x:c r="C696" s="24" t="str">
        <x:v>Monofocal B.I.G. NORM</x:v>
      </x:c>
      <x:c r="D696" s="24" t="str">
        <x:v>Surfaçada</x:v>
      </x:c>
      <x:c r="E696" s="24" t="str">
        <x:v>Multigressiv Monofocais B.I.G. NORM</x:v>
      </x:c>
      <x:c r="F696" s="24" t="str">
        <x:v>ColorMatic® 3</x:v>
      </x:c>
      <x:c r="G696" s="24" t="str">
        <x:v>1.67</x:v>
      </x:c>
      <x:c r="H696" s="24" t="str">
        <x:v>1.67</x:v>
      </x:c>
      <x:c r="I696" s="24" t="str">
        <x:v>LayR Balance</x:v>
      </x:c>
      <x:c r="J696" s="40" t="n">
        <x:v>4898</x:v>
      </x:c>
      <x:c r="K696" s="24" t="str">
        <x:v>-12 a +10</x:v>
      </x:c>
      <x:c r="L696" s="24" t="str">
        <x:v>até -6</x:v>
      </x:c>
      <x:c r="M696" s="24"/>
      <x:c r="N696" s="24" t="str">
        <x:v>75</x:v>
      </x:c>
      <x:c r="O696" s="24"/>
      <x:c r="P696" s="24"/>
      <x:c r="Q696" s="24" t="str">
        <x:v>DISPONÍVEL</x:v>
      </x:c>
      <x:c r="R696" s="24"/>
      <x:c r="S696" s="24" t="n">
        <x:v>17</x:v>
      </x:c>
      <x:c r="T696" s="24" t="str">
        <x:v>tabela_rodenstock.pdf</x:v>
      </x:c>
      <x:c r="U696" s="24" t="str">
        <x:v>Rodenstock|Monofocal B.I.G. NORM|Surfaçada|Multigressiv Monofocais B.I.G. NORM|ColorMatic® 3|1.67|1.67|LayR Balance|-12 a +10|até -6||75|||17</x:v>
      </x:c>
    </x:row>
    <x:row r="697">
      <x:c r="A697" s="24" t="str">
        <x:v>RD-B11EDDD8D4C1</x:v>
      </x:c>
      <x:c r="B697" s="24" t="str">
        <x:v>Rodenstock</x:v>
      </x:c>
      <x:c r="C697" s="24" t="str">
        <x:v>Monofocal B.I.G. NORM</x:v>
      </x:c>
      <x:c r="D697" s="24" t="str">
        <x:v>Surfaçada</x:v>
      </x:c>
      <x:c r="E697" s="24" t="str">
        <x:v>Multigressiv Monofocais B.I.G. NORM</x:v>
      </x:c>
      <x:c r="F697" s="24" t="str">
        <x:v>ColorMatic® 3</x:v>
      </x:c>
      <x:c r="G697" s="24" t="str">
        <x:v>1.67</x:v>
      </x:c>
      <x:c r="H697" s="24" t="str">
        <x:v>1.67</x:v>
      </x:c>
      <x:c r="I697" s="24" t="str">
        <x:v>Solitaire X-tra Clean</x:v>
      </x:c>
      <x:c r="J697" s="40" t="n">
        <x:v>4828</x:v>
      </x:c>
      <x:c r="K697" s="24" t="str">
        <x:v>-12 a +10</x:v>
      </x:c>
      <x:c r="L697" s="24" t="str">
        <x:v>até -6</x:v>
      </x:c>
      <x:c r="M697" s="24"/>
      <x:c r="N697" s="24" t="str">
        <x:v>75</x:v>
      </x:c>
      <x:c r="O697" s="24"/>
      <x:c r="P697" s="24"/>
      <x:c r="Q697" s="24" t="str">
        <x:v>DISPONÍVEL</x:v>
      </x:c>
      <x:c r="R697" s="24"/>
      <x:c r="S697" s="24" t="n">
        <x:v>17</x:v>
      </x:c>
      <x:c r="T697" s="24" t="str">
        <x:v>tabela_rodenstock.pdf</x:v>
      </x:c>
      <x:c r="U697" s="24" t="str">
        <x:v>Rodenstock|Monofocal B.I.G. NORM|Surfaçada|Multigressiv Monofocais B.I.G. NORM|ColorMatic® 3|1.67|1.67|Solitaire X-tra Clean|-12 a +10|até -6||75|||17</x:v>
      </x:c>
    </x:row>
    <x:row r="698">
      <x:c r="A698" s="24" t="str">
        <x:v>RD-1155C6A9146B</x:v>
      </x:c>
      <x:c r="B698" s="24" t="str">
        <x:v>Rodenstock</x:v>
      </x:c>
      <x:c r="C698" s="24" t="str">
        <x:v>Monofocal B.I.G. NORM</x:v>
      </x:c>
      <x:c r="D698" s="24" t="str">
        <x:v>Surfaçada</x:v>
      </x:c>
      <x:c r="E698" s="24" t="str">
        <x:v>Multigressiv Monofocais B.I.G. NORM</x:v>
      </x:c>
      <x:c r="F698" s="24" t="str">
        <x:v>ColorMatic® 3</x:v>
      </x:c>
      <x:c r="G698" s="24" t="str">
        <x:v>1.67</x:v>
      </x:c>
      <x:c r="H698" s="24" t="str">
        <x:v>1.67</x:v>
      </x:c>
      <x:c r="I698" s="24" t="str">
        <x:v>Solitaire Protect Plus</x:v>
      </x:c>
      <x:c r="J698" s="40" t="n">
        <x:v>4778</x:v>
      </x:c>
      <x:c r="K698" s="24" t="str">
        <x:v>-12 a +10</x:v>
      </x:c>
      <x:c r="L698" s="24" t="str">
        <x:v>até -6</x:v>
      </x:c>
      <x:c r="M698" s="24"/>
      <x:c r="N698" s="24" t="str">
        <x:v>75</x:v>
      </x:c>
      <x:c r="O698" s="24"/>
      <x:c r="P698" s="24"/>
      <x:c r="Q698" s="24" t="str">
        <x:v>DISPONÍVEL</x:v>
      </x:c>
      <x:c r="R698" s="24"/>
      <x:c r="S698" s="24" t="n">
        <x:v>17</x:v>
      </x:c>
      <x:c r="T698" s="24" t="str">
        <x:v>tabela_rodenstock.pdf</x:v>
      </x:c>
      <x:c r="U698" s="24" t="str">
        <x:v>Rodenstock|Monofocal B.I.G. NORM|Surfaçada|Multigressiv Monofocais B.I.G. NORM|ColorMatic® 3|1.67|1.67|Solitaire Protect Plus|-12 a +10|até -6||75|||17</x:v>
      </x:c>
    </x:row>
    <x:row r="699">
      <x:c r="A699" s="24" t="str">
        <x:v>RD-3F05FEBED913</x:v>
      </x:c>
      <x:c r="B699" s="24" t="str">
        <x:v>Rodenstock</x:v>
      </x:c>
      <x:c r="C699" s="24" t="str">
        <x:v>Monofocal B.I.G. NORM</x:v>
      </x:c>
      <x:c r="D699" s="24" t="str">
        <x:v>Surfaçada</x:v>
      </x:c>
      <x:c r="E699" s="24" t="str">
        <x:v>Multigressiv Monofocais B.I.G. NORM</x:v>
      </x:c>
      <x:c r="F699" s="24" t="str">
        <x:v>ColorMatic® 3</x:v>
      </x:c>
      <x:c r="G699" s="24" t="str">
        <x:v>1.67</x:v>
      </x:c>
      <x:c r="H699" s="24" t="str">
        <x:v>1.67</x:v>
      </x:c>
      <x:c r="I699" s="24" t="str">
        <x:v>ROAD</x:v>
      </x:c>
      <x:c r="J699" s="40" t="n">
        <x:v>4778</x:v>
      </x:c>
      <x:c r="K699" s="24" t="str">
        <x:v>-12 a +10</x:v>
      </x:c>
      <x:c r="L699" s="24" t="str">
        <x:v>até -6</x:v>
      </x:c>
      <x:c r="M699" s="24"/>
      <x:c r="N699" s="24" t="str">
        <x:v>75</x:v>
      </x:c>
      <x:c r="O699" s="24"/>
      <x:c r="P699" s="24"/>
      <x:c r="Q699" s="24" t="str">
        <x:v>DISPONÍVEL</x:v>
      </x:c>
      <x:c r="R699" s="24"/>
      <x:c r="S699" s="24" t="n">
        <x:v>17</x:v>
      </x:c>
      <x:c r="T699" s="24" t="str">
        <x:v>tabela_rodenstock.pdf</x:v>
      </x:c>
      <x:c r="U699" s="24" t="str">
        <x:v>Rodenstock|Monofocal B.I.G. NORM|Surfaçada|Multigressiv Monofocais B.I.G. NORM|ColorMatic® 3|1.67|1.67|ROAD|-12 a +10|até -6||75|||17</x:v>
      </x:c>
    </x:row>
    <x:row r="700">
      <x:c r="A700" s="24" t="str">
        <x:v>RD-97EEF8F25437</x:v>
      </x:c>
      <x:c r="B700" s="24" t="str">
        <x:v>Rodenstock</x:v>
      </x:c>
      <x:c r="C700" s="24" t="str">
        <x:v>Monofocal B.I.G. NORM</x:v>
      </x:c>
      <x:c r="D700" s="24" t="str">
        <x:v>Surfaçada</x:v>
      </x:c>
      <x:c r="E700" s="24" t="str">
        <x:v>Multigressiv Monofocais B.I.G. NORM</x:v>
      </x:c>
      <x:c r="F700" s="24" t="str">
        <x:v>ColorMatic® 3</x:v>
      </x:c>
      <x:c r="G700" s="24" t="str">
        <x:v>1.67</x:v>
      </x:c>
      <x:c r="H700" s="24" t="str">
        <x:v>1.67</x:v>
      </x:c>
      <x:c r="I700" s="24" t="str">
        <x:v>Solitaire Protect</x:v>
      </x:c>
      <x:c r="J700" s="40" t="n">
        <x:v>4518</x:v>
      </x:c>
      <x:c r="K700" s="24" t="str">
        <x:v>-12 a +10</x:v>
      </x:c>
      <x:c r="L700" s="24" t="str">
        <x:v>até -6</x:v>
      </x:c>
      <x:c r="M700" s="24"/>
      <x:c r="N700" s="24" t="str">
        <x:v>75</x:v>
      </x:c>
      <x:c r="O700" s="24"/>
      <x:c r="P700" s="24"/>
      <x:c r="Q700" s="24" t="str">
        <x:v>DISPONÍVEL</x:v>
      </x:c>
      <x:c r="R700" s="24"/>
      <x:c r="S700" s="24" t="n">
        <x:v>17</x:v>
      </x:c>
      <x:c r="T700" s="24" t="str">
        <x:v>tabela_rodenstock.pdf</x:v>
      </x:c>
      <x:c r="U700" s="24" t="str">
        <x:v>Rodenstock|Monofocal B.I.G. NORM|Surfaçada|Multigressiv Monofocais B.I.G. NORM|ColorMatic® 3|1.67|1.67|Solitaire Protect|-12 a +10|até -6||75|||17</x:v>
      </x:c>
    </x:row>
    <x:row r="701">
      <x:c r="A701" s="24" t="str">
        <x:v>RD-5BF760DD1EDD</x:v>
      </x:c>
      <x:c r="B701" s="24" t="str">
        <x:v>Rodenstock</x:v>
      </x:c>
      <x:c r="C701" s="24" t="str">
        <x:v>Monofocal B.I.G. NORM</x:v>
      </x:c>
      <x:c r="D701" s="24" t="str">
        <x:v>Surfaçada</x:v>
      </x:c>
      <x:c r="E701" s="24" t="str">
        <x:v>Multigressiv Monofocais B.I.G. NORM</x:v>
      </x:c>
      <x:c r="F701" s="24"/>
      <x:c r="G701" s="24" t="str">
        <x:v>1.74</x:v>
      </x:c>
      <x:c r="H701" s="24" t="str">
        <x:v>1.74</x:v>
      </x:c>
      <x:c r="I701" s="24" t="str">
        <x:v>LayR X-tra Clean</x:v>
      </x:c>
      <x:c r="J701" s="40" t="n">
        <x:v>5071</x:v>
      </x:c>
      <x:c r="K701" s="24" t="str">
        <x:v>-18 a +13</x:v>
      </x:c>
      <x:c r="L701" s="24" t="str">
        <x:v>até -6</x:v>
      </x:c>
      <x:c r="M701" s="24"/>
      <x:c r="N701" s="24" t="str">
        <x:v>75</x:v>
      </x:c>
      <x:c r="O701" s="24"/>
      <x:c r="P701" s="24"/>
      <x:c r="Q701" s="24" t="str">
        <x:v>DISPONÍVEL</x:v>
      </x:c>
      <x:c r="R701" s="24"/>
      <x:c r="S701" s="24" t="n">
        <x:v>17</x:v>
      </x:c>
      <x:c r="T701" s="24" t="str">
        <x:v>tabela_rodenstock.pdf</x:v>
      </x:c>
      <x:c r="U701" s="24" t="str">
        <x:v>Rodenstock|Monofocal B.I.G. NORM|Surfaçada|Multigressiv Monofocais B.I.G. NORM||1.74|1.74|LayR X-tra Clean|-18 a +13|até -6||75|||17</x:v>
      </x:c>
    </x:row>
    <x:row r="702">
      <x:c r="A702" s="24" t="str">
        <x:v>RD-B6D94B4CA5E5</x:v>
      </x:c>
      <x:c r="B702" s="24" t="str">
        <x:v>Rodenstock</x:v>
      </x:c>
      <x:c r="C702" s="24" t="str">
        <x:v>Monofocal B.I.G. NORM</x:v>
      </x:c>
      <x:c r="D702" s="24" t="str">
        <x:v>Surfaçada</x:v>
      </x:c>
      <x:c r="E702" s="24" t="str">
        <x:v>Multigressiv Monofocais B.I.G. NORM</x:v>
      </x:c>
      <x:c r="F702" s="24"/>
      <x:c r="G702" s="24" t="str">
        <x:v>1.74</x:v>
      </x:c>
      <x:c r="H702" s="24" t="str">
        <x:v>1.74</x:v>
      </x:c>
      <x:c r="I702" s="24" t="str">
        <x:v>LayR Balance</x:v>
      </x:c>
      <x:c r="J702" s="40" t="n">
        <x:v>5071</x:v>
      </x:c>
      <x:c r="K702" s="24" t="str">
        <x:v>-18 a +13</x:v>
      </x:c>
      <x:c r="L702" s="24" t="str">
        <x:v>até -6</x:v>
      </x:c>
      <x:c r="M702" s="24"/>
      <x:c r="N702" s="24" t="str">
        <x:v>75</x:v>
      </x:c>
      <x:c r="O702" s="24"/>
      <x:c r="P702" s="24"/>
      <x:c r="Q702" s="24" t="str">
        <x:v>DISPONÍVEL</x:v>
      </x:c>
      <x:c r="R702" s="24"/>
      <x:c r="S702" s="24" t="n">
        <x:v>17</x:v>
      </x:c>
      <x:c r="T702" s="24" t="str">
        <x:v>tabela_rodenstock.pdf</x:v>
      </x:c>
      <x:c r="U702" s="24" t="str">
        <x:v>Rodenstock|Monofocal B.I.G. NORM|Surfaçada|Multigressiv Monofocais B.I.G. NORM||1.74|1.74|LayR Balance|-18 a +13|até -6||75|||17</x:v>
      </x:c>
    </x:row>
    <x:row r="703">
      <x:c r="A703" s="24" t="str">
        <x:v>RD-C8BDEDB53138</x:v>
      </x:c>
      <x:c r="B703" s="24" t="str">
        <x:v>Rodenstock</x:v>
      </x:c>
      <x:c r="C703" s="24" t="str">
        <x:v>Monofocal B.I.G. NORM</x:v>
      </x:c>
      <x:c r="D703" s="24" t="str">
        <x:v>Surfaçada</x:v>
      </x:c>
      <x:c r="E703" s="24" t="str">
        <x:v>Multigressiv Monofocais B.I.G. NORM</x:v>
      </x:c>
      <x:c r="F703" s="24"/>
      <x:c r="G703" s="24" t="str">
        <x:v>1.74</x:v>
      </x:c>
      <x:c r="H703" s="24" t="str">
        <x:v>1.74</x:v>
      </x:c>
      <x:c r="I703" s="24" t="str">
        <x:v>Solitaire X-tra Clean</x:v>
      </x:c>
      <x:c r="J703" s="40" t="n">
        <x:v>5001</x:v>
      </x:c>
      <x:c r="K703" s="24" t="str">
        <x:v>-18 a +13</x:v>
      </x:c>
      <x:c r="L703" s="24" t="str">
        <x:v>até -6</x:v>
      </x:c>
      <x:c r="M703" s="24"/>
      <x:c r="N703" s="24" t="str">
        <x:v>75</x:v>
      </x:c>
      <x:c r="O703" s="24"/>
      <x:c r="P703" s="24"/>
      <x:c r="Q703" s="24" t="str">
        <x:v>DISPONÍVEL</x:v>
      </x:c>
      <x:c r="R703" s="24"/>
      <x:c r="S703" s="24" t="n">
        <x:v>17</x:v>
      </x:c>
      <x:c r="T703" s="24" t="str">
        <x:v>tabela_rodenstock.pdf</x:v>
      </x:c>
      <x:c r="U703" s="24" t="str">
        <x:v>Rodenstock|Monofocal B.I.G. NORM|Surfaçada|Multigressiv Monofocais B.I.G. NORM||1.74|1.74|Solitaire X-tra Clean|-18 a +13|até -6||75|||17</x:v>
      </x:c>
    </x:row>
    <x:row r="704">
      <x:c r="A704" s="24" t="str">
        <x:v>RD-26D86B65A9FE</x:v>
      </x:c>
      <x:c r="B704" s="24" t="str">
        <x:v>Rodenstock</x:v>
      </x:c>
      <x:c r="C704" s="24" t="str">
        <x:v>Monofocal B.I.G. NORM</x:v>
      </x:c>
      <x:c r="D704" s="24" t="str">
        <x:v>Surfaçada</x:v>
      </x:c>
      <x:c r="E704" s="24" t="str">
        <x:v>Multigressiv Monofocais B.I.G. NORM</x:v>
      </x:c>
      <x:c r="F704" s="24"/>
      <x:c r="G704" s="24" t="str">
        <x:v>1.74</x:v>
      </x:c>
      <x:c r="H704" s="24" t="str">
        <x:v>1.74</x:v>
      </x:c>
      <x:c r="I704" s="24" t="str">
        <x:v>Solitaire Protect Plus</x:v>
      </x:c>
      <x:c r="J704" s="40" t="n">
        <x:v>4951</x:v>
      </x:c>
      <x:c r="K704" s="24" t="str">
        <x:v>-18 a +13</x:v>
      </x:c>
      <x:c r="L704" s="24" t="str">
        <x:v>até -6</x:v>
      </x:c>
      <x:c r="M704" s="24"/>
      <x:c r="N704" s="24" t="str">
        <x:v>75</x:v>
      </x:c>
      <x:c r="O704" s="24"/>
      <x:c r="P704" s="24"/>
      <x:c r="Q704" s="24" t="str">
        <x:v>DISPONÍVEL</x:v>
      </x:c>
      <x:c r="R704" s="24"/>
      <x:c r="S704" s="24" t="n">
        <x:v>17</x:v>
      </x:c>
      <x:c r="T704" s="24" t="str">
        <x:v>tabela_rodenstock.pdf</x:v>
      </x:c>
      <x:c r="U704" s="24" t="str">
        <x:v>Rodenstock|Monofocal B.I.G. NORM|Surfaçada|Multigressiv Monofocais B.I.G. NORM||1.74|1.74|Solitaire Protect Plus|-18 a +13|até -6||75|||17</x:v>
      </x:c>
    </x:row>
    <x:row r="705">
      <x:c r="A705" s="24" t="str">
        <x:v>RD-92C912DC4EEC</x:v>
      </x:c>
      <x:c r="B705" s="24" t="str">
        <x:v>Rodenstock</x:v>
      </x:c>
      <x:c r="C705" s="24" t="str">
        <x:v>Monofocal B.I.G. NORM</x:v>
      </x:c>
      <x:c r="D705" s="24" t="str">
        <x:v>Surfaçada</x:v>
      </x:c>
      <x:c r="E705" s="24" t="str">
        <x:v>Multigressiv Monofocais B.I.G. NORM</x:v>
      </x:c>
      <x:c r="F705" s="24"/>
      <x:c r="G705" s="24" t="str">
        <x:v>1.74</x:v>
      </x:c>
      <x:c r="H705" s="24" t="str">
        <x:v>1.74</x:v>
      </x:c>
      <x:c r="I705" s="24" t="str">
        <x:v>Solitaire Protect</x:v>
      </x:c>
      <x:c r="J705" s="40" t="n">
        <x:v>4691</x:v>
      </x:c>
      <x:c r="K705" s="24" t="str">
        <x:v>-18 a +13</x:v>
      </x:c>
      <x:c r="L705" s="24" t="str">
        <x:v>até -6</x:v>
      </x:c>
      <x:c r="M705" s="24"/>
      <x:c r="N705" s="24" t="str">
        <x:v>75</x:v>
      </x:c>
      <x:c r="O705" s="24"/>
      <x:c r="P705" s="24"/>
      <x:c r="Q705" s="24" t="str">
        <x:v>DISPONÍVEL</x:v>
      </x:c>
      <x:c r="R705" s="24"/>
      <x:c r="S705" s="24" t="n">
        <x:v>17</x:v>
      </x:c>
      <x:c r="T705" s="24" t="str">
        <x:v>tabela_rodenstock.pdf</x:v>
      </x:c>
      <x:c r="U705" s="24" t="str">
        <x:v>Rodenstock|Monofocal B.I.G. NORM|Surfaçada|Multigressiv Monofocais B.I.G. NORM||1.74|1.74|Solitaire Protect|-18 a +13|até -6||75|||17</x:v>
      </x:c>
    </x:row>
    <x:row r="706">
      <x:c r="A706" s="24" t="str">
        <x:v>RD-431E3ED438C3</x:v>
      </x:c>
      <x:c r="B706" s="24" t="str">
        <x:v>Rodenstock</x:v>
      </x:c>
      <x:c r="C706" s="24" t="str">
        <x:v>Monofocal B.I.G. NORM</x:v>
      </x:c>
      <x:c r="D706" s="24" t="str">
        <x:v>Surfaçada</x:v>
      </x:c>
      <x:c r="E706" s="24" t="str">
        <x:v>Cosmolit Surfaçadas B.I.G. NORM</x:v>
      </x:c>
      <x:c r="F706" s="24"/>
      <x:c r="G706" s="24" t="str">
        <x:v>1.5</x:v>
      </x:c>
      <x:c r="H706" s="24" t="str">
        <x:v>1.50</x:v>
      </x:c>
      <x:c r="I706" s="24" t="str">
        <x:v>LayR X-tra Clean</x:v>
      </x:c>
      <x:c r="J706" s="40" t="n">
        <x:v>1930</x:v>
      </x:c>
      <x:c r="K706" s="24" t="str">
        <x:v>-8 a +8</x:v>
      </x:c>
      <x:c r="L706" s="24" t="str">
        <x:v>até -6</x:v>
      </x:c>
      <x:c r="M706" s="24"/>
      <x:c r="N706" s="24" t="str">
        <x:v>75</x:v>
      </x:c>
      <x:c r="O706" s="24"/>
      <x:c r="P706" s="24"/>
      <x:c r="Q706" s="24" t="str">
        <x:v>DISPONÍVEL</x:v>
      </x:c>
      <x:c r="R706" s="24"/>
      <x:c r="S706" s="24" t="n">
        <x:v>17</x:v>
      </x:c>
      <x:c r="T706" s="24" t="str">
        <x:v>tabela_rodenstock.pdf</x:v>
      </x:c>
      <x:c r="U706" s="24" t="str">
        <x:v>Rodenstock|Monofocal B.I.G. NORM|Surfaçada|Cosmolit Surfaçadas B.I.G. NORM||1.5|1.50|LayR X-tra Clean|-8 a +8|até -6||75|||17</x:v>
      </x:c>
    </x:row>
    <x:row r="707">
      <x:c r="A707" s="24" t="str">
        <x:v>RD-76A11FF22CCD</x:v>
      </x:c>
      <x:c r="B707" s="24" t="str">
        <x:v>Rodenstock</x:v>
      </x:c>
      <x:c r="C707" s="24" t="str">
        <x:v>Monofocal B.I.G. NORM</x:v>
      </x:c>
      <x:c r="D707" s="24" t="str">
        <x:v>Surfaçada</x:v>
      </x:c>
      <x:c r="E707" s="24" t="str">
        <x:v>Cosmolit Surfaçadas B.I.G. NORM</x:v>
      </x:c>
      <x:c r="F707" s="24"/>
      <x:c r="G707" s="24" t="str">
        <x:v>1.5</x:v>
      </x:c>
      <x:c r="H707" s="24" t="str">
        <x:v>1.50</x:v>
      </x:c>
      <x:c r="I707" s="24" t="str">
        <x:v>LayR Balance</x:v>
      </x:c>
      <x:c r="J707" s="40" t="n">
        <x:v>1930</x:v>
      </x:c>
      <x:c r="K707" s="24" t="str">
        <x:v>-8 a +8</x:v>
      </x:c>
      <x:c r="L707" s="24" t="str">
        <x:v>até -6</x:v>
      </x:c>
      <x:c r="M707" s="24"/>
      <x:c r="N707" s="24" t="str">
        <x:v>75</x:v>
      </x:c>
      <x:c r="O707" s="24"/>
      <x:c r="P707" s="24"/>
      <x:c r="Q707" s="24" t="str">
        <x:v>DISPONÍVEL</x:v>
      </x:c>
      <x:c r="R707" s="24"/>
      <x:c r="S707" s="24" t="n">
        <x:v>17</x:v>
      </x:c>
      <x:c r="T707" s="24" t="str">
        <x:v>tabela_rodenstock.pdf</x:v>
      </x:c>
      <x:c r="U707" s="24" t="str">
        <x:v>Rodenstock|Monofocal B.I.G. NORM|Surfaçada|Cosmolit Surfaçadas B.I.G. NORM||1.5|1.50|LayR Balance|-8 a +8|até -6||75|||17</x:v>
      </x:c>
    </x:row>
    <x:row r="708">
      <x:c r="A708" s="24" t="str">
        <x:v>RD-E26C7741A0DF</x:v>
      </x:c>
      <x:c r="B708" s="24" t="str">
        <x:v>Rodenstock</x:v>
      </x:c>
      <x:c r="C708" s="24" t="str">
        <x:v>Monofocal B.I.G. NORM</x:v>
      </x:c>
      <x:c r="D708" s="24" t="str">
        <x:v>Surfaçada</x:v>
      </x:c>
      <x:c r="E708" s="24" t="str">
        <x:v>Cosmolit Surfaçadas B.I.G. NORM</x:v>
      </x:c>
      <x:c r="F708" s="24"/>
      <x:c r="G708" s="24" t="str">
        <x:v>1.5</x:v>
      </x:c>
      <x:c r="H708" s="24" t="str">
        <x:v>1.50</x:v>
      </x:c>
      <x:c r="I708" s="24" t="str">
        <x:v>Solitaire X-tra Clean</x:v>
      </x:c>
      <x:c r="J708" s="40" t="n">
        <x:v>1860</x:v>
      </x:c>
      <x:c r="K708" s="24" t="str">
        <x:v>-8 a +8</x:v>
      </x:c>
      <x:c r="L708" s="24" t="str">
        <x:v>até -6</x:v>
      </x:c>
      <x:c r="M708" s="24"/>
      <x:c r="N708" s="24" t="str">
        <x:v>75</x:v>
      </x:c>
      <x:c r="O708" s="24"/>
      <x:c r="P708" s="24"/>
      <x:c r="Q708" s="24" t="str">
        <x:v>DISPONÍVEL</x:v>
      </x:c>
      <x:c r="R708" s="24"/>
      <x:c r="S708" s="24" t="n">
        <x:v>17</x:v>
      </x:c>
      <x:c r="T708" s="24" t="str">
        <x:v>tabela_rodenstock.pdf</x:v>
      </x:c>
      <x:c r="U708" s="24" t="str">
        <x:v>Rodenstock|Monofocal B.I.G. NORM|Surfaçada|Cosmolit Surfaçadas B.I.G. NORM||1.5|1.50|Solitaire X-tra Clean|-8 a +8|até -6||75|||17</x:v>
      </x:c>
    </x:row>
    <x:row r="709">
      <x:c r="A709" s="24" t="str">
        <x:v>RD-020A14551A06</x:v>
      </x:c>
      <x:c r="B709" s="24" t="str">
        <x:v>Rodenstock</x:v>
      </x:c>
      <x:c r="C709" s="24" t="str">
        <x:v>Monofocal B.I.G. NORM</x:v>
      </x:c>
      <x:c r="D709" s="24" t="str">
        <x:v>Surfaçada</x:v>
      </x:c>
      <x:c r="E709" s="24" t="str">
        <x:v>Cosmolit Surfaçadas B.I.G. NORM</x:v>
      </x:c>
      <x:c r="F709" s="24"/>
      <x:c r="G709" s="24" t="str">
        <x:v>1.5</x:v>
      </x:c>
      <x:c r="H709" s="24" t="str">
        <x:v>1.50</x:v>
      </x:c>
      <x:c r="I709" s="24" t="str">
        <x:v>Solitaire Protect Plus</x:v>
      </x:c>
      <x:c r="J709" s="40" t="n">
        <x:v>1810</x:v>
      </x:c>
      <x:c r="K709" s="24" t="str">
        <x:v>-8 a +8</x:v>
      </x:c>
      <x:c r="L709" s="24" t="str">
        <x:v>até -6</x:v>
      </x:c>
      <x:c r="M709" s="24"/>
      <x:c r="N709" s="24" t="str">
        <x:v>75</x:v>
      </x:c>
      <x:c r="O709" s="24"/>
      <x:c r="P709" s="24"/>
      <x:c r="Q709" s="24" t="str">
        <x:v>DISPONÍVEL</x:v>
      </x:c>
      <x:c r="R709" s="24"/>
      <x:c r="S709" s="24" t="n">
        <x:v>17</x:v>
      </x:c>
      <x:c r="T709" s="24" t="str">
        <x:v>tabela_rodenstock.pdf</x:v>
      </x:c>
      <x:c r="U709" s="24" t="str">
        <x:v>Rodenstock|Monofocal B.I.G. NORM|Surfaçada|Cosmolit Surfaçadas B.I.G. NORM||1.5|1.50|Solitaire Protect Plus|-8 a +8|até -6||75|||17</x:v>
      </x:c>
    </x:row>
    <x:row r="710">
      <x:c r="A710" s="24" t="str">
        <x:v>RD-18BA5A8469E3</x:v>
      </x:c>
      <x:c r="B710" s="24" t="str">
        <x:v>Rodenstock</x:v>
      </x:c>
      <x:c r="C710" s="24" t="str">
        <x:v>Monofocal B.I.G. NORM</x:v>
      </x:c>
      <x:c r="D710" s="24" t="str">
        <x:v>Surfaçada</x:v>
      </x:c>
      <x:c r="E710" s="24" t="str">
        <x:v>Cosmolit Surfaçadas B.I.G. NORM</x:v>
      </x:c>
      <x:c r="F710" s="24"/>
      <x:c r="G710" s="24" t="str">
        <x:v>1.5</x:v>
      </x:c>
      <x:c r="H710" s="24" t="str">
        <x:v>1.50</x:v>
      </x:c>
      <x:c r="I710" s="24" t="str">
        <x:v>ROAD</x:v>
      </x:c>
      <x:c r="J710" s="40" t="n">
        <x:v>1810</x:v>
      </x:c>
      <x:c r="K710" s="24" t="str">
        <x:v>-8 a +8</x:v>
      </x:c>
      <x:c r="L710" s="24" t="str">
        <x:v>até -6</x:v>
      </x:c>
      <x:c r="M710" s="24"/>
      <x:c r="N710" s="24" t="str">
        <x:v>75</x:v>
      </x:c>
      <x:c r="O710" s="24"/>
      <x:c r="P710" s="24"/>
      <x:c r="Q710" s="24" t="str">
        <x:v>DISPONÍVEL</x:v>
      </x:c>
      <x:c r="R710" s="24"/>
      <x:c r="S710" s="24" t="n">
        <x:v>17</x:v>
      </x:c>
      <x:c r="T710" s="24" t="str">
        <x:v>tabela_rodenstock.pdf</x:v>
      </x:c>
      <x:c r="U710" s="24" t="str">
        <x:v>Rodenstock|Monofocal B.I.G. NORM|Surfaçada|Cosmolit Surfaçadas B.I.G. NORM||1.5|1.50|ROAD|-8 a +8|até -6||75|||17</x:v>
      </x:c>
    </x:row>
    <x:row r="711">
      <x:c r="A711" s="24" t="str">
        <x:v>RD-9B6B0DE17825</x:v>
      </x:c>
      <x:c r="B711" s="24" t="str">
        <x:v>Rodenstock</x:v>
      </x:c>
      <x:c r="C711" s="24" t="str">
        <x:v>Monofocal B.I.G. NORM</x:v>
      </x:c>
      <x:c r="D711" s="24" t="str">
        <x:v>Surfaçada</x:v>
      </x:c>
      <x:c r="E711" s="24" t="str">
        <x:v>Cosmolit Surfaçadas B.I.G. NORM</x:v>
      </x:c>
      <x:c r="F711" s="24"/>
      <x:c r="G711" s="24" t="str">
        <x:v>1.5</x:v>
      </x:c>
      <x:c r="H711" s="24" t="str">
        <x:v>1.50</x:v>
      </x:c>
      <x:c r="I711" s="24" t="str">
        <x:v>Solitaire Protect</x:v>
      </x:c>
      <x:c r="J711" s="40" t="n">
        <x:v>1550</x:v>
      </x:c>
      <x:c r="K711" s="24" t="str">
        <x:v>-8 a +8</x:v>
      </x:c>
      <x:c r="L711" s="24" t="str">
        <x:v>até -6</x:v>
      </x:c>
      <x:c r="M711" s="24"/>
      <x:c r="N711" s="24" t="str">
        <x:v>75</x:v>
      </x:c>
      <x:c r="O711" s="24"/>
      <x:c r="P711" s="24"/>
      <x:c r="Q711" s="24" t="str">
        <x:v>DISPONÍVEL</x:v>
      </x:c>
      <x:c r="R711" s="24"/>
      <x:c r="S711" s="24" t="n">
        <x:v>17</x:v>
      </x:c>
      <x:c r="T711" s="24" t="str">
        <x:v>tabela_rodenstock.pdf</x:v>
      </x:c>
      <x:c r="U711" s="24" t="str">
        <x:v>Rodenstock|Monofocal B.I.G. NORM|Surfaçada|Cosmolit Surfaçadas B.I.G. NORM||1.5|1.50|Solitaire Protect|-8 a +8|até -6||75|||17</x:v>
      </x:c>
    </x:row>
    <x:row r="712">
      <x:c r="A712" s="24" t="str">
        <x:v>RD-713145849D45</x:v>
      </x:c>
      <x:c r="B712" s="24" t="str">
        <x:v>Rodenstock</x:v>
      </x:c>
      <x:c r="C712" s="24" t="str">
        <x:v>Monofocal B.I.G. NORM</x:v>
      </x:c>
      <x:c r="D712" s="24" t="str">
        <x:v>Surfaçada</x:v>
      </x:c>
      <x:c r="E712" s="24" t="str">
        <x:v>Cosmolit Surfaçadas B.I.G. NORM</x:v>
      </x:c>
      <x:c r="F712" s="24"/>
      <x:c r="G712" s="24" t="str">
        <x:v>1.5</x:v>
      </x:c>
      <x:c r="H712" s="24" t="str">
        <x:v>1.50</x:v>
      </x:c>
      <x:c r="I712" s="24" t="str">
        <x:v>Solitaire ECO 2</x:v>
      </x:c>
      <x:c r="J712" s="40" t="n">
        <x:v>1070</x:v>
      </x:c>
      <x:c r="K712" s="24" t="str">
        <x:v>-8 a +8</x:v>
      </x:c>
      <x:c r="L712" s="24" t="str">
        <x:v>até -6</x:v>
      </x:c>
      <x:c r="M712" s="24"/>
      <x:c r="N712" s="24" t="str">
        <x:v>75</x:v>
      </x:c>
      <x:c r="O712" s="24"/>
      <x:c r="P712" s="24"/>
      <x:c r="Q712" s="24" t="str">
        <x:v>DISPONÍVEL</x:v>
      </x:c>
      <x:c r="R712" s="24"/>
      <x:c r="S712" s="24" t="n">
        <x:v>17</x:v>
      </x:c>
      <x:c r="T712" s="24" t="str">
        <x:v>tabela_rodenstock.pdf</x:v>
      </x:c>
      <x:c r="U712" s="24" t="str">
        <x:v>Rodenstock|Monofocal B.I.G. NORM|Surfaçada|Cosmolit Surfaçadas B.I.G. NORM||1.5|1.50|Solitaire ECO 2|-8 a +8|até -6||75|||17</x:v>
      </x:c>
    </x:row>
    <x:row r="713">
      <x:c r="A713" s="24" t="str">
        <x:v>RD-F0EF7879B695</x:v>
      </x:c>
      <x:c r="B713" s="24" t="str">
        <x:v>Rodenstock</x:v>
      </x:c>
      <x:c r="C713" s="24" t="str">
        <x:v>Monofocal B.I.G. NORM</x:v>
      </x:c>
      <x:c r="D713" s="24" t="str">
        <x:v>Surfaçada</x:v>
      </x:c>
      <x:c r="E713" s="24" t="str">
        <x:v>Cosmolit Surfaçadas B.I.G. NORM</x:v>
      </x:c>
      <x:c r="F713" s="24"/>
      <x:c r="G713" s="24" t="str">
        <x:v>1.5</x:v>
      </x:c>
      <x:c r="H713" s="24" t="str">
        <x:v>1.50</x:v>
      </x:c>
      <x:c r="I713" s="24" t="str">
        <x:v>Sem AR</x:v>
      </x:c>
      <x:c r="J713" s="40" t="n">
        <x:v>680</x:v>
      </x:c>
      <x:c r="K713" s="24" t="str">
        <x:v>-8 a +8</x:v>
      </x:c>
      <x:c r="L713" s="24" t="str">
        <x:v>até -6</x:v>
      </x:c>
      <x:c r="M713" s="24"/>
      <x:c r="N713" s="24" t="str">
        <x:v>75</x:v>
      </x:c>
      <x:c r="O713" s="24"/>
      <x:c r="P713" s="24"/>
      <x:c r="Q713" s="24" t="str">
        <x:v>DISPONÍVEL</x:v>
      </x:c>
      <x:c r="R713" s="24"/>
      <x:c r="S713" s="24" t="n">
        <x:v>17</x:v>
      </x:c>
      <x:c r="T713" s="24" t="str">
        <x:v>tabela_rodenstock.pdf</x:v>
      </x:c>
      <x:c r="U713" s="24" t="str">
        <x:v>Rodenstock|Monofocal B.I.G. NORM|Surfaçada|Cosmolit Surfaçadas B.I.G. NORM||1.5|1.50|Sem AR|-8 a +8|até -6||75|||17</x:v>
      </x:c>
    </x:row>
    <x:row r="714">
      <x:c r="A714" s="24" t="str">
        <x:v>RD-95321D80C030</x:v>
      </x:c>
      <x:c r="B714" s="24" t="str">
        <x:v>Rodenstock</x:v>
      </x:c>
      <x:c r="C714" s="24" t="str">
        <x:v>Monofocal B.I.G. NORM</x:v>
      </x:c>
      <x:c r="D714" s="24" t="str">
        <x:v>Surfaçada</x:v>
      </x:c>
      <x:c r="E714" s="24" t="str">
        <x:v>Cosmolit Surfaçadas B.I.G. NORM</x:v>
      </x:c>
      <x:c r="F714" s="24" t="str">
        <x:v>ColorMatic® 3</x:v>
      </x:c>
      <x:c r="G714" s="24" t="str">
        <x:v>1.54</x:v>
      </x:c>
      <x:c r="H714" s="24" t="str">
        <x:v>1.54</x:v>
      </x:c>
      <x:c r="I714" s="24" t="str">
        <x:v>LayR X-tra Clean</x:v>
      </x:c>
      <x:c r="J714" s="40" t="n">
        <x:v>3065</x:v>
      </x:c>
      <x:c r="K714" s="24" t="str">
        <x:v>-8 a +8</x:v>
      </x:c>
      <x:c r="L714" s="24" t="str">
        <x:v>até -6</x:v>
      </x:c>
      <x:c r="M714" s="24"/>
      <x:c r="N714" s="24" t="str">
        <x:v>75</x:v>
      </x:c>
      <x:c r="O714" s="24"/>
      <x:c r="P714" s="24"/>
      <x:c r="Q714" s="24" t="str">
        <x:v>DISPONÍVEL</x:v>
      </x:c>
      <x:c r="R714" s="24"/>
      <x:c r="S714" s="24" t="n">
        <x:v>17</x:v>
      </x:c>
      <x:c r="T714" s="24" t="str">
        <x:v>tabela_rodenstock.pdf</x:v>
      </x:c>
      <x:c r="U714" s="24" t="str">
        <x:v>Rodenstock|Monofocal B.I.G. NORM|Surfaçada|Cosmolit Surfaçadas B.I.G. NORM|ColorMatic® 3|1.54|1.54|LayR X-tra Clean|-8 a +8|até -6||75|||17</x:v>
      </x:c>
    </x:row>
    <x:row r="715">
      <x:c r="A715" s="24" t="str">
        <x:v>RD-ACD818197442</x:v>
      </x:c>
      <x:c r="B715" s="24" t="str">
        <x:v>Rodenstock</x:v>
      </x:c>
      <x:c r="C715" s="24" t="str">
        <x:v>Monofocal B.I.G. NORM</x:v>
      </x:c>
      <x:c r="D715" s="24" t="str">
        <x:v>Surfaçada</x:v>
      </x:c>
      <x:c r="E715" s="24" t="str">
        <x:v>Cosmolit Surfaçadas B.I.G. NORM</x:v>
      </x:c>
      <x:c r="F715" s="24" t="str">
        <x:v>ColorMatic® 3</x:v>
      </x:c>
      <x:c r="G715" s="24" t="str">
        <x:v>1.54</x:v>
      </x:c>
      <x:c r="H715" s="24" t="str">
        <x:v>1.54</x:v>
      </x:c>
      <x:c r="I715" s="24" t="str">
        <x:v>LayR Balance</x:v>
      </x:c>
      <x:c r="J715" s="40" t="n">
        <x:v>3065</x:v>
      </x:c>
      <x:c r="K715" s="24" t="str">
        <x:v>-8 a +8</x:v>
      </x:c>
      <x:c r="L715" s="24" t="str">
        <x:v>até -6</x:v>
      </x:c>
      <x:c r="M715" s="24"/>
      <x:c r="N715" s="24" t="str">
        <x:v>75</x:v>
      </x:c>
      <x:c r="O715" s="24"/>
      <x:c r="P715" s="24"/>
      <x:c r="Q715" s="24" t="str">
        <x:v>DISPONÍVEL</x:v>
      </x:c>
      <x:c r="R715" s="24"/>
      <x:c r="S715" s="24" t="n">
        <x:v>17</x:v>
      </x:c>
      <x:c r="T715" s="24" t="str">
        <x:v>tabela_rodenstock.pdf</x:v>
      </x:c>
      <x:c r="U715" s="24" t="str">
        <x:v>Rodenstock|Monofocal B.I.G. NORM|Surfaçada|Cosmolit Surfaçadas B.I.G. NORM|ColorMatic® 3|1.54|1.54|LayR Balance|-8 a +8|até -6||75|||17</x:v>
      </x:c>
    </x:row>
    <x:row r="716">
      <x:c r="A716" s="24" t="str">
        <x:v>RD-DE5ED9FB8505</x:v>
      </x:c>
      <x:c r="B716" s="24" t="str">
        <x:v>Rodenstock</x:v>
      </x:c>
      <x:c r="C716" s="24" t="str">
        <x:v>Monofocal B.I.G. NORM</x:v>
      </x:c>
      <x:c r="D716" s="24" t="str">
        <x:v>Surfaçada</x:v>
      </x:c>
      <x:c r="E716" s="24" t="str">
        <x:v>Cosmolit Surfaçadas B.I.G. NORM</x:v>
      </x:c>
      <x:c r="F716" s="24" t="str">
        <x:v>ColorMatic® 3</x:v>
      </x:c>
      <x:c r="G716" s="24" t="str">
        <x:v>1.54</x:v>
      </x:c>
      <x:c r="H716" s="24" t="str">
        <x:v>1.54</x:v>
      </x:c>
      <x:c r="I716" s="24" t="str">
        <x:v>Solitaire X-tra Clean</x:v>
      </x:c>
      <x:c r="J716" s="40" t="n">
        <x:v>2995</x:v>
      </x:c>
      <x:c r="K716" s="24" t="str">
        <x:v>-8 a +8</x:v>
      </x:c>
      <x:c r="L716" s="24" t="str">
        <x:v>até -6</x:v>
      </x:c>
      <x:c r="M716" s="24"/>
      <x:c r="N716" s="24" t="str">
        <x:v>75</x:v>
      </x:c>
      <x:c r="O716" s="24"/>
      <x:c r="P716" s="24"/>
      <x:c r="Q716" s="24" t="str">
        <x:v>DISPONÍVEL</x:v>
      </x:c>
      <x:c r="R716" s="24"/>
      <x:c r="S716" s="24" t="n">
        <x:v>17</x:v>
      </x:c>
      <x:c r="T716" s="24" t="str">
        <x:v>tabela_rodenstock.pdf</x:v>
      </x:c>
      <x:c r="U716" s="24" t="str">
        <x:v>Rodenstock|Monofocal B.I.G. NORM|Surfaçada|Cosmolit Surfaçadas B.I.G. NORM|ColorMatic® 3|1.54|1.54|Solitaire X-tra Clean|-8 a +8|até -6||75|||17</x:v>
      </x:c>
    </x:row>
    <x:row r="717">
      <x:c r="A717" s="24" t="str">
        <x:v>RD-CC1A2FCCD1C7</x:v>
      </x:c>
      <x:c r="B717" s="24" t="str">
        <x:v>Rodenstock</x:v>
      </x:c>
      <x:c r="C717" s="24" t="str">
        <x:v>Monofocal B.I.G. NORM</x:v>
      </x:c>
      <x:c r="D717" s="24" t="str">
        <x:v>Surfaçada</x:v>
      </x:c>
      <x:c r="E717" s="24" t="str">
        <x:v>Cosmolit Surfaçadas B.I.G. NORM</x:v>
      </x:c>
      <x:c r="F717" s="24" t="str">
        <x:v>ColorMatic® 3</x:v>
      </x:c>
      <x:c r="G717" s="24" t="str">
        <x:v>1.54</x:v>
      </x:c>
      <x:c r="H717" s="24" t="str">
        <x:v>1.54</x:v>
      </x:c>
      <x:c r="I717" s="24" t="str">
        <x:v>Solitaire Protect Plus</x:v>
      </x:c>
      <x:c r="J717" s="40" t="n">
        <x:v>2945</x:v>
      </x:c>
      <x:c r="K717" s="24" t="str">
        <x:v>-8 a +8</x:v>
      </x:c>
      <x:c r="L717" s="24" t="str">
        <x:v>até -6</x:v>
      </x:c>
      <x:c r="M717" s="24"/>
      <x:c r="N717" s="24" t="str">
        <x:v>75</x:v>
      </x:c>
      <x:c r="O717" s="24"/>
      <x:c r="P717" s="24"/>
      <x:c r="Q717" s="24" t="str">
        <x:v>DISPONÍVEL</x:v>
      </x:c>
      <x:c r="R717" s="24"/>
      <x:c r="S717" s="24" t="n">
        <x:v>17</x:v>
      </x:c>
      <x:c r="T717" s="24" t="str">
        <x:v>tabela_rodenstock.pdf</x:v>
      </x:c>
      <x:c r="U717" s="24" t="str">
        <x:v>Rodenstock|Monofocal B.I.G. NORM|Surfaçada|Cosmolit Surfaçadas B.I.G. NORM|ColorMatic® 3|1.54|1.54|Solitaire Protect Plus|-8 a +8|até -6||75|||17</x:v>
      </x:c>
    </x:row>
    <x:row r="718">
      <x:c r="A718" s="24" t="str">
        <x:v>RD-1A656802D4EF</x:v>
      </x:c>
      <x:c r="B718" s="24" t="str">
        <x:v>Rodenstock</x:v>
      </x:c>
      <x:c r="C718" s="24" t="str">
        <x:v>Monofocal B.I.G. NORM</x:v>
      </x:c>
      <x:c r="D718" s="24" t="str">
        <x:v>Surfaçada</x:v>
      </x:c>
      <x:c r="E718" s="24" t="str">
        <x:v>Cosmolit Surfaçadas B.I.G. NORM</x:v>
      </x:c>
      <x:c r="F718" s="24" t="str">
        <x:v>ColorMatic® 3</x:v>
      </x:c>
      <x:c r="G718" s="24" t="str">
        <x:v>1.54</x:v>
      </x:c>
      <x:c r="H718" s="24" t="str">
        <x:v>1.54</x:v>
      </x:c>
      <x:c r="I718" s="24" t="str">
        <x:v>ROAD</x:v>
      </x:c>
      <x:c r="J718" s="40" t="n">
        <x:v>2945</x:v>
      </x:c>
      <x:c r="K718" s="24" t="str">
        <x:v>-8 a +8</x:v>
      </x:c>
      <x:c r="L718" s="24" t="str">
        <x:v>até -6</x:v>
      </x:c>
      <x:c r="M718" s="24"/>
      <x:c r="N718" s="24" t="str">
        <x:v>75</x:v>
      </x:c>
      <x:c r="O718" s="24"/>
      <x:c r="P718" s="24"/>
      <x:c r="Q718" s="24" t="str">
        <x:v>DISPONÍVEL</x:v>
      </x:c>
      <x:c r="R718" s="24"/>
      <x:c r="S718" s="24" t="n">
        <x:v>17</x:v>
      </x:c>
      <x:c r="T718" s="24" t="str">
        <x:v>tabela_rodenstock.pdf</x:v>
      </x:c>
      <x:c r="U718" s="24" t="str">
        <x:v>Rodenstock|Monofocal B.I.G. NORM|Surfaçada|Cosmolit Surfaçadas B.I.G. NORM|ColorMatic® 3|1.54|1.54|ROAD|-8 a +8|até -6||75|||17</x:v>
      </x:c>
    </x:row>
    <x:row r="719">
      <x:c r="A719" s="24" t="str">
        <x:v>RD-0941A6AF7928</x:v>
      </x:c>
      <x:c r="B719" s="24" t="str">
        <x:v>Rodenstock</x:v>
      </x:c>
      <x:c r="C719" s="24" t="str">
        <x:v>Monofocal B.I.G. NORM</x:v>
      </x:c>
      <x:c r="D719" s="24" t="str">
        <x:v>Surfaçada</x:v>
      </x:c>
      <x:c r="E719" s="24" t="str">
        <x:v>Cosmolit Surfaçadas B.I.G. NORM</x:v>
      </x:c>
      <x:c r="F719" s="24" t="str">
        <x:v>ColorMatic® 3</x:v>
      </x:c>
      <x:c r="G719" s="24" t="str">
        <x:v>1.54</x:v>
      </x:c>
      <x:c r="H719" s="24" t="str">
        <x:v>1.54</x:v>
      </x:c>
      <x:c r="I719" s="24" t="str">
        <x:v>Solitaire Protect</x:v>
      </x:c>
      <x:c r="J719" s="40" t="n">
        <x:v>2685</x:v>
      </x:c>
      <x:c r="K719" s="24" t="str">
        <x:v>-8 a +8</x:v>
      </x:c>
      <x:c r="L719" s="24" t="str">
        <x:v>até -6</x:v>
      </x:c>
      <x:c r="M719" s="24"/>
      <x:c r="N719" s="24" t="str">
        <x:v>75</x:v>
      </x:c>
      <x:c r="O719" s="24"/>
      <x:c r="P719" s="24"/>
      <x:c r="Q719" s="24" t="str">
        <x:v>DISPONÍVEL</x:v>
      </x:c>
      <x:c r="R719" s="24"/>
      <x:c r="S719" s="24" t="n">
        <x:v>17</x:v>
      </x:c>
      <x:c r="T719" s="24" t="str">
        <x:v>tabela_rodenstock.pdf</x:v>
      </x:c>
      <x:c r="U719" s="24" t="str">
        <x:v>Rodenstock|Monofocal B.I.G. NORM|Surfaçada|Cosmolit Surfaçadas B.I.G. NORM|ColorMatic® 3|1.54|1.54|Solitaire Protect|-8 a +8|até -6||75|||17</x:v>
      </x:c>
    </x:row>
    <x:row r="720">
      <x:c r="A720" s="24" t="str">
        <x:v>RD-4A404265381E</x:v>
      </x:c>
      <x:c r="B720" s="24" t="str">
        <x:v>Rodenstock</x:v>
      </x:c>
      <x:c r="C720" s="24" t="str">
        <x:v>Monofocal B.I.G. NORM</x:v>
      </x:c>
      <x:c r="D720" s="24" t="str">
        <x:v>Surfaçada</x:v>
      </x:c>
      <x:c r="E720" s="24" t="str">
        <x:v>Cosmolit Surfaçadas B.I.G. NORM</x:v>
      </x:c>
      <x:c r="F720" s="24" t="str">
        <x:v>ColorMatic® 3</x:v>
      </x:c>
      <x:c r="G720" s="24" t="str">
        <x:v>1.54</x:v>
      </x:c>
      <x:c r="H720" s="24" t="str">
        <x:v>1.54</x:v>
      </x:c>
      <x:c r="I720" s="24" t="str">
        <x:v>Sem AR</x:v>
      </x:c>
      <x:c r="J720" s="40" t="n">
        <x:v>1815</x:v>
      </x:c>
      <x:c r="K720" s="24" t="str">
        <x:v>-8 a +8</x:v>
      </x:c>
      <x:c r="L720" s="24" t="str">
        <x:v>até -6</x:v>
      </x:c>
      <x:c r="M720" s="24"/>
      <x:c r="N720" s="24" t="str">
        <x:v>75</x:v>
      </x:c>
      <x:c r="O720" s="24"/>
      <x:c r="P720" s="24"/>
      <x:c r="Q720" s="24" t="str">
        <x:v>DISPONÍVEL</x:v>
      </x:c>
      <x:c r="R720" s="24"/>
      <x:c r="S720" s="24" t="n">
        <x:v>17</x:v>
      </x:c>
      <x:c r="T720" s="24" t="str">
        <x:v>tabela_rodenstock.pdf</x:v>
      </x:c>
      <x:c r="U720" s="24" t="str">
        <x:v>Rodenstock|Monofocal B.I.G. NORM|Surfaçada|Cosmolit Surfaçadas B.I.G. NORM|ColorMatic® 3|1.54|1.54|Sem AR|-8 a +8|até -6||75|||17</x:v>
      </x:c>
    </x:row>
    <x:row r="721">
      <x:c r="A721" s="24" t="str">
        <x:v>RD-B9717B11F378</x:v>
      </x:c>
      <x:c r="B721" s="24" t="str">
        <x:v>Rodenstock</x:v>
      </x:c>
      <x:c r="C721" s="24" t="str">
        <x:v>Monofocal B.I.G. NORM</x:v>
      </x:c>
      <x:c r="D721" s="24" t="str">
        <x:v>Surfaçada</x:v>
      </x:c>
      <x:c r="E721" s="24" t="str">
        <x:v>Cosmolit Surfaçadas B.I.G. NORM</x:v>
      </x:c>
      <x:c r="F721" s="24"/>
      <x:c r="G721" s="24" t="str">
        <x:v>1.6</x:v>
      </x:c>
      <x:c r="H721" s="24" t="str">
        <x:v>1.60</x:v>
      </x:c>
      <x:c r="I721" s="24" t="str">
        <x:v>LayR X-tra Clean</x:v>
      </x:c>
      <x:c r="J721" s="40" t="n">
        <x:v>2337</x:v>
      </x:c>
      <x:c r="K721" s="24" t="str">
        <x:v>-10 a +10</x:v>
      </x:c>
      <x:c r="L721" s="24" t="str">
        <x:v>até -6</x:v>
      </x:c>
      <x:c r="M721" s="24"/>
      <x:c r="N721" s="24" t="str">
        <x:v>75</x:v>
      </x:c>
      <x:c r="O721" s="24"/>
      <x:c r="P721" s="24"/>
      <x:c r="Q721" s="24" t="str">
        <x:v>DISPONÍVEL</x:v>
      </x:c>
      <x:c r="R721" s="24"/>
      <x:c r="S721" s="24" t="n">
        <x:v>17</x:v>
      </x:c>
      <x:c r="T721" s="24" t="str">
        <x:v>tabela_rodenstock.pdf</x:v>
      </x:c>
      <x:c r="U721" s="24" t="str">
        <x:v>Rodenstock|Monofocal B.I.G. NORM|Surfaçada|Cosmolit Surfaçadas B.I.G. NORM||1.6|1.60|LayR X-tra Clean|-10 a +10|até -6||75|||17</x:v>
      </x:c>
    </x:row>
    <x:row r="722">
      <x:c r="A722" s="24" t="str">
        <x:v>RD-B044150933E4</x:v>
      </x:c>
      <x:c r="B722" s="24" t="str">
        <x:v>Rodenstock</x:v>
      </x:c>
      <x:c r="C722" s="24" t="str">
        <x:v>Monofocal B.I.G. NORM</x:v>
      </x:c>
      <x:c r="D722" s="24" t="str">
        <x:v>Surfaçada</x:v>
      </x:c>
      <x:c r="E722" s="24" t="str">
        <x:v>Cosmolit Surfaçadas B.I.G. NORM</x:v>
      </x:c>
      <x:c r="F722" s="24"/>
      <x:c r="G722" s="24" t="str">
        <x:v>1.6</x:v>
      </x:c>
      <x:c r="H722" s="24" t="str">
        <x:v>1.60</x:v>
      </x:c>
      <x:c r="I722" s="24" t="str">
        <x:v>LayR Balance</x:v>
      </x:c>
      <x:c r="J722" s="40" t="n">
        <x:v>2337</x:v>
      </x:c>
      <x:c r="K722" s="24" t="str">
        <x:v>-10 a +10</x:v>
      </x:c>
      <x:c r="L722" s="24" t="str">
        <x:v>até -6</x:v>
      </x:c>
      <x:c r="M722" s="24"/>
      <x:c r="N722" s="24" t="str">
        <x:v>75</x:v>
      </x:c>
      <x:c r="O722" s="24"/>
      <x:c r="P722" s="24"/>
      <x:c r="Q722" s="24" t="str">
        <x:v>DISPONÍVEL</x:v>
      </x:c>
      <x:c r="R722" s="24"/>
      <x:c r="S722" s="24" t="n">
        <x:v>17</x:v>
      </x:c>
      <x:c r="T722" s="24" t="str">
        <x:v>tabela_rodenstock.pdf</x:v>
      </x:c>
      <x:c r="U722" s="24" t="str">
        <x:v>Rodenstock|Monofocal B.I.G. NORM|Surfaçada|Cosmolit Surfaçadas B.I.G. NORM||1.6|1.60|LayR Balance|-10 a +10|até -6||75|||17</x:v>
      </x:c>
    </x:row>
    <x:row r="723">
      <x:c r="A723" s="24" t="str">
        <x:v>RD-DFF7414F2206</x:v>
      </x:c>
      <x:c r="B723" s="24" t="str">
        <x:v>Rodenstock</x:v>
      </x:c>
      <x:c r="C723" s="24" t="str">
        <x:v>Monofocal B.I.G. NORM</x:v>
      </x:c>
      <x:c r="D723" s="24" t="str">
        <x:v>Surfaçada</x:v>
      </x:c>
      <x:c r="E723" s="24" t="str">
        <x:v>Cosmolit Surfaçadas B.I.G. NORM</x:v>
      </x:c>
      <x:c r="F723" s="24"/>
      <x:c r="G723" s="24" t="str">
        <x:v>1.6</x:v>
      </x:c>
      <x:c r="H723" s="24" t="str">
        <x:v>1.60</x:v>
      </x:c>
      <x:c r="I723" s="24" t="str">
        <x:v>Solitaire X-tra Clean</x:v>
      </x:c>
      <x:c r="J723" s="40" t="n">
        <x:v>2267</x:v>
      </x:c>
      <x:c r="K723" s="24" t="str">
        <x:v>-10 a +10</x:v>
      </x:c>
      <x:c r="L723" s="24" t="str">
        <x:v>até -6</x:v>
      </x:c>
      <x:c r="M723" s="24"/>
      <x:c r="N723" s="24" t="str">
        <x:v>75</x:v>
      </x:c>
      <x:c r="O723" s="24"/>
      <x:c r="P723" s="24"/>
      <x:c r="Q723" s="24" t="str">
        <x:v>DISPONÍVEL</x:v>
      </x:c>
      <x:c r="R723" s="24"/>
      <x:c r="S723" s="24" t="n">
        <x:v>17</x:v>
      </x:c>
      <x:c r="T723" s="24" t="str">
        <x:v>tabela_rodenstock.pdf</x:v>
      </x:c>
      <x:c r="U723" s="24" t="str">
        <x:v>Rodenstock|Monofocal B.I.G. NORM|Surfaçada|Cosmolit Surfaçadas B.I.G. NORM||1.6|1.60|Solitaire X-tra Clean|-10 a +10|até -6||75|||17</x:v>
      </x:c>
    </x:row>
    <x:row r="724">
      <x:c r="A724" s="24" t="str">
        <x:v>RD-78CAA816AE3D</x:v>
      </x:c>
      <x:c r="B724" s="24" t="str">
        <x:v>Rodenstock</x:v>
      </x:c>
      <x:c r="C724" s="24" t="str">
        <x:v>Monofocal B.I.G. NORM</x:v>
      </x:c>
      <x:c r="D724" s="24" t="str">
        <x:v>Surfaçada</x:v>
      </x:c>
      <x:c r="E724" s="24" t="str">
        <x:v>Cosmolit Surfaçadas B.I.G. NORM</x:v>
      </x:c>
      <x:c r="F724" s="24"/>
      <x:c r="G724" s="24" t="str">
        <x:v>1.6</x:v>
      </x:c>
      <x:c r="H724" s="24" t="str">
        <x:v>1.60</x:v>
      </x:c>
      <x:c r="I724" s="24" t="str">
        <x:v>Solitaire Protect Plus</x:v>
      </x:c>
      <x:c r="J724" s="40" t="n">
        <x:v>2217</x:v>
      </x:c>
      <x:c r="K724" s="24" t="str">
        <x:v>-10 a +10</x:v>
      </x:c>
      <x:c r="L724" s="24" t="str">
        <x:v>até -6</x:v>
      </x:c>
      <x:c r="M724" s="24"/>
      <x:c r="N724" s="24" t="str">
        <x:v>75</x:v>
      </x:c>
      <x:c r="O724" s="24"/>
      <x:c r="P724" s="24"/>
      <x:c r="Q724" s="24" t="str">
        <x:v>DISPONÍVEL</x:v>
      </x:c>
      <x:c r="R724" s="24"/>
      <x:c r="S724" s="24" t="n">
        <x:v>17</x:v>
      </x:c>
      <x:c r="T724" s="24" t="str">
        <x:v>tabela_rodenstock.pdf</x:v>
      </x:c>
      <x:c r="U724" s="24" t="str">
        <x:v>Rodenstock|Monofocal B.I.G. NORM|Surfaçada|Cosmolit Surfaçadas B.I.G. NORM||1.6|1.60|Solitaire Protect Plus|-10 a +10|até -6||75|||17</x:v>
      </x:c>
    </x:row>
    <x:row r="725">
      <x:c r="A725" s="24" t="str">
        <x:v>RD-5FA864AFFEEE</x:v>
      </x:c>
      <x:c r="B725" s="24" t="str">
        <x:v>Rodenstock</x:v>
      </x:c>
      <x:c r="C725" s="24" t="str">
        <x:v>Monofocal B.I.G. NORM</x:v>
      </x:c>
      <x:c r="D725" s="24" t="str">
        <x:v>Surfaçada</x:v>
      </x:c>
      <x:c r="E725" s="24" t="str">
        <x:v>Cosmolit Surfaçadas B.I.G. NORM</x:v>
      </x:c>
      <x:c r="F725" s="24"/>
      <x:c r="G725" s="24" t="str">
        <x:v>1.6</x:v>
      </x:c>
      <x:c r="H725" s="24" t="str">
        <x:v>1.60</x:v>
      </x:c>
      <x:c r="I725" s="24" t="str">
        <x:v>ROAD</x:v>
      </x:c>
      <x:c r="J725" s="40" t="n">
        <x:v>2217</x:v>
      </x:c>
      <x:c r="K725" s="24" t="str">
        <x:v>-10 a +10</x:v>
      </x:c>
      <x:c r="L725" s="24" t="str">
        <x:v>até -6</x:v>
      </x:c>
      <x:c r="M725" s="24"/>
      <x:c r="N725" s="24" t="str">
        <x:v>75</x:v>
      </x:c>
      <x:c r="O725" s="24"/>
      <x:c r="P725" s="24"/>
      <x:c r="Q725" s="24" t="str">
        <x:v>DISPONÍVEL</x:v>
      </x:c>
      <x:c r="R725" s="24"/>
      <x:c r="S725" s="24" t="n">
        <x:v>17</x:v>
      </x:c>
      <x:c r="T725" s="24" t="str">
        <x:v>tabela_rodenstock.pdf</x:v>
      </x:c>
      <x:c r="U725" s="24" t="str">
        <x:v>Rodenstock|Monofocal B.I.G. NORM|Surfaçada|Cosmolit Surfaçadas B.I.G. NORM||1.6|1.60|ROAD|-10 a +10|até -6||75|||17</x:v>
      </x:c>
    </x:row>
    <x:row r="726">
      <x:c r="A726" s="24" t="str">
        <x:v>RD-C547DED318D7</x:v>
      </x:c>
      <x:c r="B726" s="24" t="str">
        <x:v>Rodenstock</x:v>
      </x:c>
      <x:c r="C726" s="24" t="str">
        <x:v>Monofocal B.I.G. NORM</x:v>
      </x:c>
      <x:c r="D726" s="24" t="str">
        <x:v>Surfaçada</x:v>
      </x:c>
      <x:c r="E726" s="24" t="str">
        <x:v>Cosmolit Surfaçadas B.I.G. NORM</x:v>
      </x:c>
      <x:c r="F726" s="24"/>
      <x:c r="G726" s="24" t="str">
        <x:v>1.6</x:v>
      </x:c>
      <x:c r="H726" s="24" t="str">
        <x:v>1.60</x:v>
      </x:c>
      <x:c r="I726" s="24" t="str">
        <x:v>Solitaire Protect</x:v>
      </x:c>
      <x:c r="J726" s="40" t="n">
        <x:v>1957</x:v>
      </x:c>
      <x:c r="K726" s="24" t="str">
        <x:v>-10 a +10</x:v>
      </x:c>
      <x:c r="L726" s="24" t="str">
        <x:v>até -6</x:v>
      </x:c>
      <x:c r="M726" s="24"/>
      <x:c r="N726" s="24" t="str">
        <x:v>75</x:v>
      </x:c>
      <x:c r="O726" s="24"/>
      <x:c r="P726" s="24"/>
      <x:c r="Q726" s="24" t="str">
        <x:v>DISPONÍVEL</x:v>
      </x:c>
      <x:c r="R726" s="24"/>
      <x:c r="S726" s="24" t="n">
        <x:v>17</x:v>
      </x:c>
      <x:c r="T726" s="24" t="str">
        <x:v>tabela_rodenstock.pdf</x:v>
      </x:c>
      <x:c r="U726" s="24" t="str">
        <x:v>Rodenstock|Monofocal B.I.G. NORM|Surfaçada|Cosmolit Surfaçadas B.I.G. NORM||1.6|1.60|Solitaire Protect|-10 a +10|até -6||75|||17</x:v>
      </x:c>
    </x:row>
    <x:row r="727">
      <x:c r="A727" s="24" t="str">
        <x:v>RD-9330183707DE</x:v>
      </x:c>
      <x:c r="B727" s="24" t="str">
        <x:v>Rodenstock</x:v>
      </x:c>
      <x:c r="C727" s="24" t="str">
        <x:v>Monofocal B.I.G. NORM</x:v>
      </x:c>
      <x:c r="D727" s="24" t="str">
        <x:v>Surfaçada</x:v>
      </x:c>
      <x:c r="E727" s="24" t="str">
        <x:v>Cosmolit Surfaçadas B.I.G. NORM</x:v>
      </x:c>
      <x:c r="F727" s="24"/>
      <x:c r="G727" s="24" t="str">
        <x:v>1.6</x:v>
      </x:c>
      <x:c r="H727" s="24" t="str">
        <x:v>1.60</x:v>
      </x:c>
      <x:c r="I727" s="24" t="str">
        <x:v>Solitaire ECO 2</x:v>
      </x:c>
      <x:c r="J727" s="40" t="n">
        <x:v>1477</x:v>
      </x:c>
      <x:c r="K727" s="24" t="str">
        <x:v>-10 a +10</x:v>
      </x:c>
      <x:c r="L727" s="24" t="str">
        <x:v>até -6</x:v>
      </x:c>
      <x:c r="M727" s="24"/>
      <x:c r="N727" s="24" t="str">
        <x:v>75</x:v>
      </x:c>
      <x:c r="O727" s="24"/>
      <x:c r="P727" s="24"/>
      <x:c r="Q727" s="24" t="str">
        <x:v>DISPONÍVEL</x:v>
      </x:c>
      <x:c r="R727" s="24"/>
      <x:c r="S727" s="24" t="n">
        <x:v>17</x:v>
      </x:c>
      <x:c r="T727" s="24" t="str">
        <x:v>tabela_rodenstock.pdf</x:v>
      </x:c>
      <x:c r="U727" s="24" t="str">
        <x:v>Rodenstock|Monofocal B.I.G. NORM|Surfaçada|Cosmolit Surfaçadas B.I.G. NORM||1.6|1.60|Solitaire ECO 2|-10 a +10|até -6||75|||17</x:v>
      </x:c>
    </x:row>
    <x:row r="728">
      <x:c r="A728" s="24" t="str">
        <x:v>RD-0EE7BF149B1E</x:v>
      </x:c>
      <x:c r="B728" s="24" t="str">
        <x:v>Rodenstock</x:v>
      </x:c>
      <x:c r="C728" s="24" t="str">
        <x:v>Monofocal B.I.G. NORM</x:v>
      </x:c>
      <x:c r="D728" s="24" t="str">
        <x:v>Surfaçada</x:v>
      </x:c>
      <x:c r="E728" s="24" t="str">
        <x:v>Cosmolit Surfaçadas B.I.G. NORM</x:v>
      </x:c>
      <x:c r="F728" s="24" t="str">
        <x:v>PRO410</x:v>
      </x:c>
      <x:c r="G728" s="24" t="str">
        <x:v>1.6</x:v>
      </x:c>
      <x:c r="H728" s="24" t="str">
        <x:v>1.60</x:v>
      </x:c>
      <x:c r="I728" s="24" t="str">
        <x:v>LayR X-tra Clean</x:v>
      </x:c>
      <x:c r="J728" s="40" t="n">
        <x:v>2439</x:v>
      </x:c>
      <x:c r="K728" s="24" t="str">
        <x:v>-10 a +10</x:v>
      </x:c>
      <x:c r="L728" s="24" t="str">
        <x:v>até -6</x:v>
      </x:c>
      <x:c r="M728" s="24"/>
      <x:c r="N728" s="24" t="str">
        <x:v>75</x:v>
      </x:c>
      <x:c r="O728" s="24"/>
      <x:c r="P728" s="24"/>
      <x:c r="Q728" s="24" t="str">
        <x:v>DISPONÍVEL</x:v>
      </x:c>
      <x:c r="R728" s="24"/>
      <x:c r="S728" s="24" t="n">
        <x:v>17</x:v>
      </x:c>
      <x:c r="T728" s="24" t="str">
        <x:v>tabela_rodenstock.pdf</x:v>
      </x:c>
      <x:c r="U728" s="24" t="str">
        <x:v>Rodenstock|Monofocal B.I.G. NORM|Surfaçada|Cosmolit Surfaçadas B.I.G. NORM|PRO410|1.6|1.60|LayR X-tra Clean|-10 a +10|até -6||75|||17</x:v>
      </x:c>
    </x:row>
    <x:row r="729">
      <x:c r="A729" s="24" t="str">
        <x:v>RD-75C12799BA2B</x:v>
      </x:c>
      <x:c r="B729" s="24" t="str">
        <x:v>Rodenstock</x:v>
      </x:c>
      <x:c r="C729" s="24" t="str">
        <x:v>Monofocal B.I.G. NORM</x:v>
      </x:c>
      <x:c r="D729" s="24" t="str">
        <x:v>Surfaçada</x:v>
      </x:c>
      <x:c r="E729" s="24" t="str">
        <x:v>Cosmolit Surfaçadas B.I.G. NORM</x:v>
      </x:c>
      <x:c r="F729" s="24" t="str">
        <x:v>PRO410</x:v>
      </x:c>
      <x:c r="G729" s="24" t="str">
        <x:v>1.6</x:v>
      </x:c>
      <x:c r="H729" s="24" t="str">
        <x:v>1.60</x:v>
      </x:c>
      <x:c r="I729" s="24" t="str">
        <x:v>LayR Balance</x:v>
      </x:c>
      <x:c r="J729" s="40" t="n">
        <x:v>2439</x:v>
      </x:c>
      <x:c r="K729" s="24" t="str">
        <x:v>-10 a +10</x:v>
      </x:c>
      <x:c r="L729" s="24" t="str">
        <x:v>até -6</x:v>
      </x:c>
      <x:c r="M729" s="24"/>
      <x:c r="N729" s="24" t="str">
        <x:v>75</x:v>
      </x:c>
      <x:c r="O729" s="24"/>
      <x:c r="P729" s="24"/>
      <x:c r="Q729" s="24" t="str">
        <x:v>DISPONÍVEL</x:v>
      </x:c>
      <x:c r="R729" s="24"/>
      <x:c r="S729" s="24" t="n">
        <x:v>17</x:v>
      </x:c>
      <x:c r="T729" s="24" t="str">
        <x:v>tabela_rodenstock.pdf</x:v>
      </x:c>
      <x:c r="U729" s="24" t="str">
        <x:v>Rodenstock|Monofocal B.I.G. NORM|Surfaçada|Cosmolit Surfaçadas B.I.G. NORM|PRO410|1.6|1.60|LayR Balance|-10 a +10|até -6||75|||17</x:v>
      </x:c>
    </x:row>
    <x:row r="730">
      <x:c r="A730" s="24" t="str">
        <x:v>RD-BA116B4EB627</x:v>
      </x:c>
      <x:c r="B730" s="24" t="str">
        <x:v>Rodenstock</x:v>
      </x:c>
      <x:c r="C730" s="24" t="str">
        <x:v>Monofocal B.I.G. NORM</x:v>
      </x:c>
      <x:c r="D730" s="24" t="str">
        <x:v>Surfaçada</x:v>
      </x:c>
      <x:c r="E730" s="24" t="str">
        <x:v>Cosmolit Surfaçadas B.I.G. NORM</x:v>
      </x:c>
      <x:c r="F730" s="24" t="str">
        <x:v>PRO410</x:v>
      </x:c>
      <x:c r="G730" s="24" t="str">
        <x:v>1.6</x:v>
      </x:c>
      <x:c r="H730" s="24" t="str">
        <x:v>1.60</x:v>
      </x:c>
      <x:c r="I730" s="24" t="str">
        <x:v>Solitaire X-tra Clean</x:v>
      </x:c>
      <x:c r="J730" s="40" t="n">
        <x:v>2369</x:v>
      </x:c>
      <x:c r="K730" s="24" t="str">
        <x:v>-10 a +10</x:v>
      </x:c>
      <x:c r="L730" s="24" t="str">
        <x:v>até -6</x:v>
      </x:c>
      <x:c r="M730" s="24"/>
      <x:c r="N730" s="24" t="str">
        <x:v>75</x:v>
      </x:c>
      <x:c r="O730" s="24"/>
      <x:c r="P730" s="24"/>
      <x:c r="Q730" s="24" t="str">
        <x:v>DISPONÍVEL</x:v>
      </x:c>
      <x:c r="R730" s="24"/>
      <x:c r="S730" s="24" t="n">
        <x:v>17</x:v>
      </x:c>
      <x:c r="T730" s="24" t="str">
        <x:v>tabela_rodenstock.pdf</x:v>
      </x:c>
      <x:c r="U730" s="24" t="str">
        <x:v>Rodenstock|Monofocal B.I.G. NORM|Surfaçada|Cosmolit Surfaçadas B.I.G. NORM|PRO410|1.6|1.60|Solitaire X-tra Clean|-10 a +10|até -6||75|||17</x:v>
      </x:c>
    </x:row>
    <x:row r="731">
      <x:c r="A731" s="24" t="str">
        <x:v>RD-0460E209A8DC</x:v>
      </x:c>
      <x:c r="B731" s="24" t="str">
        <x:v>Rodenstock</x:v>
      </x:c>
      <x:c r="C731" s="24" t="str">
        <x:v>Monofocal B.I.G. NORM</x:v>
      </x:c>
      <x:c r="D731" s="24" t="str">
        <x:v>Surfaçada</x:v>
      </x:c>
      <x:c r="E731" s="24" t="str">
        <x:v>Cosmolit Surfaçadas B.I.G. NORM</x:v>
      </x:c>
      <x:c r="F731" s="24" t="str">
        <x:v>PRO410</x:v>
      </x:c>
      <x:c r="G731" s="24" t="str">
        <x:v>1.6</x:v>
      </x:c>
      <x:c r="H731" s="24" t="str">
        <x:v>1.60</x:v>
      </x:c>
      <x:c r="I731" s="24" t="str">
        <x:v>Solitaire Protect Plus</x:v>
      </x:c>
      <x:c r="J731" s="40" t="n">
        <x:v>2319</x:v>
      </x:c>
      <x:c r="K731" s="24" t="str">
        <x:v>-10 a +10</x:v>
      </x:c>
      <x:c r="L731" s="24" t="str">
        <x:v>até -6</x:v>
      </x:c>
      <x:c r="M731" s="24"/>
      <x:c r="N731" s="24" t="str">
        <x:v>75</x:v>
      </x:c>
      <x:c r="O731" s="24"/>
      <x:c r="P731" s="24"/>
      <x:c r="Q731" s="24" t="str">
        <x:v>DISPONÍVEL</x:v>
      </x:c>
      <x:c r="R731" s="24"/>
      <x:c r="S731" s="24" t="n">
        <x:v>17</x:v>
      </x:c>
      <x:c r="T731" s="24" t="str">
        <x:v>tabela_rodenstock.pdf</x:v>
      </x:c>
      <x:c r="U731" s="24" t="str">
        <x:v>Rodenstock|Monofocal B.I.G. NORM|Surfaçada|Cosmolit Surfaçadas B.I.G. NORM|PRO410|1.6|1.60|Solitaire Protect Plus|-10 a +10|até -6||75|||17</x:v>
      </x:c>
    </x:row>
    <x:row r="732">
      <x:c r="A732" s="24" t="str">
        <x:v>RD-6299ECFB656C</x:v>
      </x:c>
      <x:c r="B732" s="24" t="str">
        <x:v>Rodenstock</x:v>
      </x:c>
      <x:c r="C732" s="24" t="str">
        <x:v>Monofocal B.I.G. NORM</x:v>
      </x:c>
      <x:c r="D732" s="24" t="str">
        <x:v>Surfaçada</x:v>
      </x:c>
      <x:c r="E732" s="24" t="str">
        <x:v>Cosmolit Surfaçadas B.I.G. NORM</x:v>
      </x:c>
      <x:c r="F732" s="24" t="str">
        <x:v>PRO410</x:v>
      </x:c>
      <x:c r="G732" s="24" t="str">
        <x:v>1.6</x:v>
      </x:c>
      <x:c r="H732" s="24" t="str">
        <x:v>1.60</x:v>
      </x:c>
      <x:c r="I732" s="24" t="str">
        <x:v>ROAD</x:v>
      </x:c>
      <x:c r="J732" s="40" t="n">
        <x:v>2319</x:v>
      </x:c>
      <x:c r="K732" s="24" t="str">
        <x:v>-10 a +10</x:v>
      </x:c>
      <x:c r="L732" s="24" t="str">
        <x:v>até -6</x:v>
      </x:c>
      <x:c r="M732" s="24"/>
      <x:c r="N732" s="24" t="str">
        <x:v>75</x:v>
      </x:c>
      <x:c r="O732" s="24"/>
      <x:c r="P732" s="24"/>
      <x:c r="Q732" s="24" t="str">
        <x:v>DISPONÍVEL</x:v>
      </x:c>
      <x:c r="R732" s="24"/>
      <x:c r="S732" s="24" t="n">
        <x:v>17</x:v>
      </x:c>
      <x:c r="T732" s="24" t="str">
        <x:v>tabela_rodenstock.pdf</x:v>
      </x:c>
      <x:c r="U732" s="24" t="str">
        <x:v>Rodenstock|Monofocal B.I.G. NORM|Surfaçada|Cosmolit Surfaçadas B.I.G. NORM|PRO410|1.6|1.60|ROAD|-10 a +10|até -6||75|||17</x:v>
      </x:c>
    </x:row>
    <x:row r="733">
      <x:c r="A733" s="24" t="str">
        <x:v>RD-8590A6E42951</x:v>
      </x:c>
      <x:c r="B733" s="24" t="str">
        <x:v>Rodenstock</x:v>
      </x:c>
      <x:c r="C733" s="24" t="str">
        <x:v>Monofocal B.I.G. NORM</x:v>
      </x:c>
      <x:c r="D733" s="24" t="str">
        <x:v>Surfaçada</x:v>
      </x:c>
      <x:c r="E733" s="24" t="str">
        <x:v>Cosmolit Surfaçadas B.I.G. NORM</x:v>
      </x:c>
      <x:c r="F733" s="24" t="str">
        <x:v>PRO410</x:v>
      </x:c>
      <x:c r="G733" s="24" t="str">
        <x:v>1.6</x:v>
      </x:c>
      <x:c r="H733" s="24" t="str">
        <x:v>1.60</x:v>
      </x:c>
      <x:c r="I733" s="24" t="str">
        <x:v>Solitaire Protect</x:v>
      </x:c>
      <x:c r="J733" s="40" t="n">
        <x:v>2059</x:v>
      </x:c>
      <x:c r="K733" s="24" t="str">
        <x:v>-10 a +10</x:v>
      </x:c>
      <x:c r="L733" s="24" t="str">
        <x:v>até -6</x:v>
      </x:c>
      <x:c r="M733" s="24"/>
      <x:c r="N733" s="24" t="str">
        <x:v>75</x:v>
      </x:c>
      <x:c r="O733" s="24"/>
      <x:c r="P733" s="24"/>
      <x:c r="Q733" s="24" t="str">
        <x:v>DISPONÍVEL</x:v>
      </x:c>
      <x:c r="R733" s="24"/>
      <x:c r="S733" s="24" t="n">
        <x:v>17</x:v>
      </x:c>
      <x:c r="T733" s="24" t="str">
        <x:v>tabela_rodenstock.pdf</x:v>
      </x:c>
      <x:c r="U733" s="24" t="str">
        <x:v>Rodenstock|Monofocal B.I.G. NORM|Surfaçada|Cosmolit Surfaçadas B.I.G. NORM|PRO410|1.6|1.60|Solitaire Protect|-10 a +10|até -6||75|||17</x:v>
      </x:c>
    </x:row>
    <x:row r="734">
      <x:c r="A734" s="24" t="str">
        <x:v>RD-193F95C6EF8F</x:v>
      </x:c>
      <x:c r="B734" s="24" t="str">
        <x:v>Rodenstock</x:v>
      </x:c>
      <x:c r="C734" s="24" t="str">
        <x:v>Monofocal B.I.G. NORM</x:v>
      </x:c>
      <x:c r="D734" s="24" t="str">
        <x:v>Surfaçada</x:v>
      </x:c>
      <x:c r="E734" s="24" t="str">
        <x:v>Cosmolit Surfaçadas B.I.G. NORM</x:v>
      </x:c>
      <x:c r="F734" s="24" t="str">
        <x:v>PRO410</x:v>
      </x:c>
      <x:c r="G734" s="24" t="str">
        <x:v>1.6</x:v>
      </x:c>
      <x:c r="H734" s="24" t="str">
        <x:v>1.60</x:v>
      </x:c>
      <x:c r="I734" s="24" t="str">
        <x:v>Solitaire ECO 2</x:v>
      </x:c>
      <x:c r="J734" s="40" t="n">
        <x:v>1579</x:v>
      </x:c>
      <x:c r="K734" s="24" t="str">
        <x:v>-10 a +10</x:v>
      </x:c>
      <x:c r="L734" s="24" t="str">
        <x:v>até -6</x:v>
      </x:c>
      <x:c r="M734" s="24"/>
      <x:c r="N734" s="24" t="str">
        <x:v>75</x:v>
      </x:c>
      <x:c r="O734" s="24"/>
      <x:c r="P734" s="24"/>
      <x:c r="Q734" s="24" t="str">
        <x:v>DISPONÍVEL</x:v>
      </x:c>
      <x:c r="R734" s="24"/>
      <x:c r="S734" s="24" t="n">
        <x:v>17</x:v>
      </x:c>
      <x:c r="T734" s="24" t="str">
        <x:v>tabela_rodenstock.pdf</x:v>
      </x:c>
      <x:c r="U734" s="24" t="str">
        <x:v>Rodenstock|Monofocal B.I.G. NORM|Surfaçada|Cosmolit Surfaçadas B.I.G. NORM|PRO410|1.6|1.60|Solitaire ECO 2|-10 a +10|até -6||75|||17</x:v>
      </x:c>
    </x:row>
    <x:row r="735">
      <x:c r="A735" s="24" t="str">
        <x:v>RD-F525FF9ACE74</x:v>
      </x:c>
      <x:c r="B735" s="24" t="str">
        <x:v>Rodenstock</x:v>
      </x:c>
      <x:c r="C735" s="24" t="str">
        <x:v>Monofocal B.I.G. NORM</x:v>
      </x:c>
      <x:c r="D735" s="24" t="str">
        <x:v>Surfaçada</x:v>
      </x:c>
      <x:c r="E735" s="24" t="str">
        <x:v>Cosmolit Surfaçadas B.I.G. NORM</x:v>
      </x:c>
      <x:c r="F735" s="24" t="str">
        <x:v>ColorMatic® 3 | X</x:v>
      </x:c>
      <x:c r="G735" s="24" t="str">
        <x:v>1.6</x:v>
      </x:c>
      <x:c r="H735" s="24" t="str">
        <x:v>1.60</x:v>
      </x:c>
      <x:c r="I735" s="24" t="str">
        <x:v>LayR X-tra Clean</x:v>
      </x:c>
      <x:c r="J735" s="40" t="n">
        <x:v>3505</x:v>
      </x:c>
      <x:c r="K735" s="24" t="str">
        <x:v>-10 a +10</x:v>
      </x:c>
      <x:c r="L735" s="24" t="str">
        <x:v>até -6</x:v>
      </x:c>
      <x:c r="M735" s="24"/>
      <x:c r="N735" s="24" t="str">
        <x:v>75</x:v>
      </x:c>
      <x:c r="O735" s="24"/>
      <x:c r="P735" s="24"/>
      <x:c r="Q735" s="24" t="str">
        <x:v>DISPONÍVEL</x:v>
      </x:c>
      <x:c r="R735" s="24"/>
      <x:c r="S735" s="24" t="n">
        <x:v>17</x:v>
      </x:c>
      <x:c r="T735" s="24" t="str">
        <x:v>tabela_rodenstock.pdf</x:v>
      </x:c>
      <x:c r="U735" s="24" t="str">
        <x:v>Rodenstock|Monofocal B.I.G. NORM|Surfaçada|Cosmolit Surfaçadas B.I.G. NORM|ColorMatic® 3 | X|1.6|1.60|LayR X-tra Clean|-10 a +10|até -6||75|||17</x:v>
      </x:c>
    </x:row>
    <x:row r="736">
      <x:c r="A736" s="24" t="str">
        <x:v>RD-195B69E9AF63</x:v>
      </x:c>
      <x:c r="B736" s="24" t="str">
        <x:v>Rodenstock</x:v>
      </x:c>
      <x:c r="C736" s="24" t="str">
        <x:v>Monofocal B.I.G. NORM</x:v>
      </x:c>
      <x:c r="D736" s="24" t="str">
        <x:v>Surfaçada</x:v>
      </x:c>
      <x:c r="E736" s="24" t="str">
        <x:v>Cosmolit Surfaçadas B.I.G. NORM</x:v>
      </x:c>
      <x:c r="F736" s="24" t="str">
        <x:v>ColorMatic® 3 | X</x:v>
      </x:c>
      <x:c r="G736" s="24" t="str">
        <x:v>1.6</x:v>
      </x:c>
      <x:c r="H736" s="24" t="str">
        <x:v>1.60</x:v>
      </x:c>
      <x:c r="I736" s="24" t="str">
        <x:v>LayR Balance</x:v>
      </x:c>
      <x:c r="J736" s="40" t="n">
        <x:v>3505</x:v>
      </x:c>
      <x:c r="K736" s="24" t="str">
        <x:v>-10 a +10</x:v>
      </x:c>
      <x:c r="L736" s="24" t="str">
        <x:v>até -6</x:v>
      </x:c>
      <x:c r="M736" s="24"/>
      <x:c r="N736" s="24" t="str">
        <x:v>75</x:v>
      </x:c>
      <x:c r="O736" s="24"/>
      <x:c r="P736" s="24"/>
      <x:c r="Q736" s="24" t="str">
        <x:v>DISPONÍVEL</x:v>
      </x:c>
      <x:c r="R736" s="24"/>
      <x:c r="S736" s="24" t="n">
        <x:v>17</x:v>
      </x:c>
      <x:c r="T736" s="24" t="str">
        <x:v>tabela_rodenstock.pdf</x:v>
      </x:c>
      <x:c r="U736" s="24" t="str">
        <x:v>Rodenstock|Monofocal B.I.G. NORM|Surfaçada|Cosmolit Surfaçadas B.I.G. NORM|ColorMatic® 3 | X|1.6|1.60|LayR Balance|-10 a +10|até -6||75|||17</x:v>
      </x:c>
    </x:row>
    <x:row r="737">
      <x:c r="A737" s="24" t="str">
        <x:v>RD-F6726F89D688</x:v>
      </x:c>
      <x:c r="B737" s="24" t="str">
        <x:v>Rodenstock</x:v>
      </x:c>
      <x:c r="C737" s="24" t="str">
        <x:v>Monofocal B.I.G. NORM</x:v>
      </x:c>
      <x:c r="D737" s="24" t="str">
        <x:v>Surfaçada</x:v>
      </x:c>
      <x:c r="E737" s="24" t="str">
        <x:v>Cosmolit Surfaçadas B.I.G. NORM</x:v>
      </x:c>
      <x:c r="F737" s="24" t="str">
        <x:v>ColorMatic® 3 | X</x:v>
      </x:c>
      <x:c r="G737" s="24" t="str">
        <x:v>1.6</x:v>
      </x:c>
      <x:c r="H737" s="24" t="str">
        <x:v>1.60</x:v>
      </x:c>
      <x:c r="I737" s="24" t="str">
        <x:v>Solitaire X-tra Clean</x:v>
      </x:c>
      <x:c r="J737" s="40" t="n">
        <x:v>3435</x:v>
      </x:c>
      <x:c r="K737" s="24" t="str">
        <x:v>-10 a +10</x:v>
      </x:c>
      <x:c r="L737" s="24" t="str">
        <x:v>até -6</x:v>
      </x:c>
      <x:c r="M737" s="24"/>
      <x:c r="N737" s="24" t="str">
        <x:v>75</x:v>
      </x:c>
      <x:c r="O737" s="24"/>
      <x:c r="P737" s="24"/>
      <x:c r="Q737" s="24" t="str">
        <x:v>DISPONÍVEL</x:v>
      </x:c>
      <x:c r="R737" s="24"/>
      <x:c r="S737" s="24" t="n">
        <x:v>17</x:v>
      </x:c>
      <x:c r="T737" s="24" t="str">
        <x:v>tabela_rodenstock.pdf</x:v>
      </x:c>
      <x:c r="U737" s="24" t="str">
        <x:v>Rodenstock|Monofocal B.I.G. NORM|Surfaçada|Cosmolit Surfaçadas B.I.G. NORM|ColorMatic® 3 | X|1.6|1.60|Solitaire X-tra Clean|-10 a +10|até -6||75|||17</x:v>
      </x:c>
    </x:row>
    <x:row r="738">
      <x:c r="A738" s="24" t="str">
        <x:v>RD-31AB4EF613FA</x:v>
      </x:c>
      <x:c r="B738" s="24" t="str">
        <x:v>Rodenstock</x:v>
      </x:c>
      <x:c r="C738" s="24" t="str">
        <x:v>Monofocal B.I.G. NORM</x:v>
      </x:c>
      <x:c r="D738" s="24" t="str">
        <x:v>Surfaçada</x:v>
      </x:c>
      <x:c r="E738" s="24" t="str">
        <x:v>Cosmolit Surfaçadas B.I.G. NORM</x:v>
      </x:c>
      <x:c r="F738" s="24" t="str">
        <x:v>ColorMatic® 3 | X</x:v>
      </x:c>
      <x:c r="G738" s="24" t="str">
        <x:v>1.6</x:v>
      </x:c>
      <x:c r="H738" s="24" t="str">
        <x:v>1.60</x:v>
      </x:c>
      <x:c r="I738" s="24" t="str">
        <x:v>Solitaire Protect Plus</x:v>
      </x:c>
      <x:c r="J738" s="40" t="n">
        <x:v>3385</x:v>
      </x:c>
      <x:c r="K738" s="24" t="str">
        <x:v>-10 a +10</x:v>
      </x:c>
      <x:c r="L738" s="24" t="str">
        <x:v>até -6</x:v>
      </x:c>
      <x:c r="M738" s="24"/>
      <x:c r="N738" s="24" t="str">
        <x:v>75</x:v>
      </x:c>
      <x:c r="O738" s="24"/>
      <x:c r="P738" s="24"/>
      <x:c r="Q738" s="24" t="str">
        <x:v>DISPONÍVEL</x:v>
      </x:c>
      <x:c r="R738" s="24"/>
      <x:c r="S738" s="24" t="n">
        <x:v>17</x:v>
      </x:c>
      <x:c r="T738" s="24" t="str">
        <x:v>tabela_rodenstock.pdf</x:v>
      </x:c>
      <x:c r="U738" s="24" t="str">
        <x:v>Rodenstock|Monofocal B.I.G. NORM|Surfaçada|Cosmolit Surfaçadas B.I.G. NORM|ColorMatic® 3 | X|1.6|1.60|Solitaire Protect Plus|-10 a +10|até -6||75|||17</x:v>
      </x:c>
    </x:row>
    <x:row r="739">
      <x:c r="A739" s="24" t="str">
        <x:v>RD-0582DCDF3182</x:v>
      </x:c>
      <x:c r="B739" s="24" t="str">
        <x:v>Rodenstock</x:v>
      </x:c>
      <x:c r="C739" s="24" t="str">
        <x:v>Monofocal B.I.G. NORM</x:v>
      </x:c>
      <x:c r="D739" s="24" t="str">
        <x:v>Surfaçada</x:v>
      </x:c>
      <x:c r="E739" s="24" t="str">
        <x:v>Cosmolit Surfaçadas B.I.G. NORM</x:v>
      </x:c>
      <x:c r="F739" s="24" t="str">
        <x:v>ColorMatic® 3 | X</x:v>
      </x:c>
      <x:c r="G739" s="24" t="str">
        <x:v>1.6</x:v>
      </x:c>
      <x:c r="H739" s="24" t="str">
        <x:v>1.60</x:v>
      </x:c>
      <x:c r="I739" s="24" t="str">
        <x:v>ROAD</x:v>
      </x:c>
      <x:c r="J739" s="40" t="n">
        <x:v>3385</x:v>
      </x:c>
      <x:c r="K739" s="24" t="str">
        <x:v>-10 a +10</x:v>
      </x:c>
      <x:c r="L739" s="24" t="str">
        <x:v>até -6</x:v>
      </x:c>
      <x:c r="M739" s="24"/>
      <x:c r="N739" s="24" t="str">
        <x:v>75</x:v>
      </x:c>
      <x:c r="O739" s="24"/>
      <x:c r="P739" s="24"/>
      <x:c r="Q739" s="24" t="str">
        <x:v>DISPONÍVEL</x:v>
      </x:c>
      <x:c r="R739" s="24"/>
      <x:c r="S739" s="24" t="n">
        <x:v>17</x:v>
      </x:c>
      <x:c r="T739" s="24" t="str">
        <x:v>tabela_rodenstock.pdf</x:v>
      </x:c>
      <x:c r="U739" s="24" t="str">
        <x:v>Rodenstock|Monofocal B.I.G. NORM|Surfaçada|Cosmolit Surfaçadas B.I.G. NORM|ColorMatic® 3 | X|1.6|1.60|ROAD|-10 a +10|até -6||75|||17</x:v>
      </x:c>
    </x:row>
    <x:row r="740">
      <x:c r="A740" s="24" t="str">
        <x:v>RD-F3444C63A9E0</x:v>
      </x:c>
      <x:c r="B740" s="24" t="str">
        <x:v>Rodenstock</x:v>
      </x:c>
      <x:c r="C740" s="24" t="str">
        <x:v>Monofocal B.I.G. NORM</x:v>
      </x:c>
      <x:c r="D740" s="24" t="str">
        <x:v>Surfaçada</x:v>
      </x:c>
      <x:c r="E740" s="24" t="str">
        <x:v>Cosmolit Surfaçadas B.I.G. NORM</x:v>
      </x:c>
      <x:c r="F740" s="24" t="str">
        <x:v>ColorMatic® 3 | X</x:v>
      </x:c>
      <x:c r="G740" s="24" t="str">
        <x:v>1.6</x:v>
      </x:c>
      <x:c r="H740" s="24" t="str">
        <x:v>1.60</x:v>
      </x:c>
      <x:c r="I740" s="24" t="str">
        <x:v>Solitaire Protect</x:v>
      </x:c>
      <x:c r="J740" s="40" t="n">
        <x:v>3125</x:v>
      </x:c>
      <x:c r="K740" s="24" t="str">
        <x:v>-10 a +10</x:v>
      </x:c>
      <x:c r="L740" s="24" t="str">
        <x:v>até -6</x:v>
      </x:c>
      <x:c r="M740" s="24"/>
      <x:c r="N740" s="24" t="str">
        <x:v>75</x:v>
      </x:c>
      <x:c r="O740" s="24"/>
      <x:c r="P740" s="24"/>
      <x:c r="Q740" s="24" t="str">
        <x:v>DISPONÍVEL</x:v>
      </x:c>
      <x:c r="R740" s="24"/>
      <x:c r="S740" s="24" t="n">
        <x:v>17</x:v>
      </x:c>
      <x:c r="T740" s="24" t="str">
        <x:v>tabela_rodenstock.pdf</x:v>
      </x:c>
      <x:c r="U740" s="24" t="str">
        <x:v>Rodenstock|Monofocal B.I.G. NORM|Surfaçada|Cosmolit Surfaçadas B.I.G. NORM|ColorMatic® 3 | X|1.6|1.60|Solitaire Protect|-10 a +10|até -6||75|||17</x:v>
      </x:c>
    </x:row>
    <x:row r="741">
      <x:c r="A741" s="24" t="str">
        <x:v>RD-16DDBEE73B70</x:v>
      </x:c>
      <x:c r="B741" s="24" t="str">
        <x:v>Rodenstock</x:v>
      </x:c>
      <x:c r="C741" s="24" t="str">
        <x:v>Monofocal B.I.G. NORM</x:v>
      </x:c>
      <x:c r="D741" s="24" t="str">
        <x:v>Surfaçada</x:v>
      </x:c>
      <x:c r="E741" s="24" t="str">
        <x:v>Cosmolit Surfaçadas B.I.G. NORM</x:v>
      </x:c>
      <x:c r="F741" s="24" t="str">
        <x:v>ColorMatic® 3 | X</x:v>
      </x:c>
      <x:c r="G741" s="24" t="str">
        <x:v>1.6</x:v>
      </x:c>
      <x:c r="H741" s="24" t="str">
        <x:v>1.60</x:v>
      </x:c>
      <x:c r="I741" s="24" t="str">
        <x:v>Solitaire ECO 2</x:v>
      </x:c>
      <x:c r="J741" s="40" t="n">
        <x:v>2645</x:v>
      </x:c>
      <x:c r="K741" s="24" t="str">
        <x:v>-10 a +10</x:v>
      </x:c>
      <x:c r="L741" s="24" t="str">
        <x:v>até -6</x:v>
      </x:c>
      <x:c r="M741" s="24"/>
      <x:c r="N741" s="24" t="str">
        <x:v>75</x:v>
      </x:c>
      <x:c r="O741" s="24"/>
      <x:c r="P741" s="24"/>
      <x:c r="Q741" s="24" t="str">
        <x:v>DISPONÍVEL</x:v>
      </x:c>
      <x:c r="R741" s="24"/>
      <x:c r="S741" s="24" t="n">
        <x:v>17</x:v>
      </x:c>
      <x:c r="T741" s="24" t="str">
        <x:v>tabela_rodenstock.pdf</x:v>
      </x:c>
      <x:c r="U741" s="24" t="str">
        <x:v>Rodenstock|Monofocal B.I.G. NORM|Surfaçada|Cosmolit Surfaçadas B.I.G. NORM|ColorMatic® 3 | X|1.6|1.60|Solitaire ECO 2|-10 a +10|até -6||75|||17</x:v>
      </x:c>
    </x:row>
    <x:row r="742">
      <x:c r="A742" s="24" t="str">
        <x:v>RD-FD7DFD582D21</x:v>
      </x:c>
      <x:c r="B742" s="24" t="str">
        <x:v>Rodenstock</x:v>
      </x:c>
      <x:c r="C742" s="24" t="str">
        <x:v>Monofocal B.I.G. NORM</x:v>
      </x:c>
      <x:c r="D742" s="24" t="str">
        <x:v>Surfaçada</x:v>
      </x:c>
      <x:c r="E742" s="24" t="str">
        <x:v>Cosmolit Surfaçadas B.I.G. NORM</x:v>
      </x:c>
      <x:c r="F742" s="24"/>
      <x:c r="G742" s="24" t="str">
        <x:v>1.67</x:v>
      </x:c>
      <x:c r="H742" s="24" t="str">
        <x:v>1.67</x:v>
      </x:c>
      <x:c r="I742" s="24" t="str">
        <x:v>LayR X-tra Clean</x:v>
      </x:c>
      <x:c r="J742" s="40" t="n">
        <x:v>3458</x:v>
      </x:c>
      <x:c r="K742" s="24" t="str">
        <x:v>-12 a +10</x:v>
      </x:c>
      <x:c r="L742" s="24" t="str">
        <x:v>até -6</x:v>
      </x:c>
      <x:c r="M742" s="24"/>
      <x:c r="N742" s="24" t="str">
        <x:v>75</x:v>
      </x:c>
      <x:c r="O742" s="24"/>
      <x:c r="P742" s="24"/>
      <x:c r="Q742" s="24" t="str">
        <x:v>DISPONÍVEL</x:v>
      </x:c>
      <x:c r="R742" s="24"/>
      <x:c r="S742" s="24" t="n">
        <x:v>17</x:v>
      </x:c>
      <x:c r="T742" s="24" t="str">
        <x:v>tabela_rodenstock.pdf</x:v>
      </x:c>
      <x:c r="U742" s="24" t="str">
        <x:v>Rodenstock|Monofocal B.I.G. NORM|Surfaçada|Cosmolit Surfaçadas B.I.G. NORM||1.67|1.67|LayR X-tra Clean|-12 a +10|até -6||75|||17</x:v>
      </x:c>
    </x:row>
    <x:row r="743">
      <x:c r="A743" s="24" t="str">
        <x:v>RD-F50FABC71C25</x:v>
      </x:c>
      <x:c r="B743" s="24" t="str">
        <x:v>Rodenstock</x:v>
      </x:c>
      <x:c r="C743" s="24" t="str">
        <x:v>Monofocal B.I.G. NORM</x:v>
      </x:c>
      <x:c r="D743" s="24" t="str">
        <x:v>Surfaçada</x:v>
      </x:c>
      <x:c r="E743" s="24" t="str">
        <x:v>Cosmolit Surfaçadas B.I.G. NORM</x:v>
      </x:c>
      <x:c r="F743" s="24"/>
      <x:c r="G743" s="24" t="str">
        <x:v>1.67</x:v>
      </x:c>
      <x:c r="H743" s="24" t="str">
        <x:v>1.67</x:v>
      </x:c>
      <x:c r="I743" s="24" t="str">
        <x:v>LayR Balance</x:v>
      </x:c>
      <x:c r="J743" s="40" t="n">
        <x:v>3458</x:v>
      </x:c>
      <x:c r="K743" s="24" t="str">
        <x:v>-12 a +10</x:v>
      </x:c>
      <x:c r="L743" s="24" t="str">
        <x:v>até -6</x:v>
      </x:c>
      <x:c r="M743" s="24"/>
      <x:c r="N743" s="24" t="str">
        <x:v>75</x:v>
      </x:c>
      <x:c r="O743" s="24"/>
      <x:c r="P743" s="24"/>
      <x:c r="Q743" s="24" t="str">
        <x:v>DISPONÍVEL</x:v>
      </x:c>
      <x:c r="R743" s="24"/>
      <x:c r="S743" s="24" t="n">
        <x:v>17</x:v>
      </x:c>
      <x:c r="T743" s="24" t="str">
        <x:v>tabela_rodenstock.pdf</x:v>
      </x:c>
      <x:c r="U743" s="24" t="str">
        <x:v>Rodenstock|Monofocal B.I.G. NORM|Surfaçada|Cosmolit Surfaçadas B.I.G. NORM||1.67|1.67|LayR Balance|-12 a +10|até -6||75|||17</x:v>
      </x:c>
    </x:row>
    <x:row r="744">
      <x:c r="A744" s="24" t="str">
        <x:v>RD-EE292BC99FFD</x:v>
      </x:c>
      <x:c r="B744" s="24" t="str">
        <x:v>Rodenstock</x:v>
      </x:c>
      <x:c r="C744" s="24" t="str">
        <x:v>Monofocal B.I.G. NORM</x:v>
      </x:c>
      <x:c r="D744" s="24" t="str">
        <x:v>Surfaçada</x:v>
      </x:c>
      <x:c r="E744" s="24" t="str">
        <x:v>Cosmolit Surfaçadas B.I.G. NORM</x:v>
      </x:c>
      <x:c r="F744" s="24"/>
      <x:c r="G744" s="24" t="str">
        <x:v>1.67</x:v>
      </x:c>
      <x:c r="H744" s="24" t="str">
        <x:v>1.67</x:v>
      </x:c>
      <x:c r="I744" s="24" t="str">
        <x:v>Solitaire X-tra Clean</x:v>
      </x:c>
      <x:c r="J744" s="40" t="n">
        <x:v>3388</x:v>
      </x:c>
      <x:c r="K744" s="24" t="str">
        <x:v>-12 a +10</x:v>
      </x:c>
      <x:c r="L744" s="24" t="str">
        <x:v>até -6</x:v>
      </x:c>
      <x:c r="M744" s="24"/>
      <x:c r="N744" s="24" t="str">
        <x:v>75</x:v>
      </x:c>
      <x:c r="O744" s="24"/>
      <x:c r="P744" s="24"/>
      <x:c r="Q744" s="24" t="str">
        <x:v>DISPONÍVEL</x:v>
      </x:c>
      <x:c r="R744" s="24"/>
      <x:c r="S744" s="24" t="n">
        <x:v>17</x:v>
      </x:c>
      <x:c r="T744" s="24" t="str">
        <x:v>tabela_rodenstock.pdf</x:v>
      </x:c>
      <x:c r="U744" s="24" t="str">
        <x:v>Rodenstock|Monofocal B.I.G. NORM|Surfaçada|Cosmolit Surfaçadas B.I.G. NORM||1.67|1.67|Solitaire X-tra Clean|-12 a +10|até -6||75|||17</x:v>
      </x:c>
    </x:row>
    <x:row r="745">
      <x:c r="A745" s="24" t="str">
        <x:v>RD-8583768BBBC4</x:v>
      </x:c>
      <x:c r="B745" s="24" t="str">
        <x:v>Rodenstock</x:v>
      </x:c>
      <x:c r="C745" s="24" t="str">
        <x:v>Monofocal B.I.G. NORM</x:v>
      </x:c>
      <x:c r="D745" s="24" t="str">
        <x:v>Surfaçada</x:v>
      </x:c>
      <x:c r="E745" s="24" t="str">
        <x:v>Cosmolit Surfaçadas B.I.G. NORM</x:v>
      </x:c>
      <x:c r="F745" s="24"/>
      <x:c r="G745" s="24" t="str">
        <x:v>1.67</x:v>
      </x:c>
      <x:c r="H745" s="24" t="str">
        <x:v>1.67</x:v>
      </x:c>
      <x:c r="I745" s="24" t="str">
        <x:v>Solitaire Protect Plus</x:v>
      </x:c>
      <x:c r="J745" s="40" t="n">
        <x:v>3338</x:v>
      </x:c>
      <x:c r="K745" s="24" t="str">
        <x:v>-12 a +10</x:v>
      </x:c>
      <x:c r="L745" s="24" t="str">
        <x:v>até -6</x:v>
      </x:c>
      <x:c r="M745" s="24"/>
      <x:c r="N745" s="24" t="str">
        <x:v>75</x:v>
      </x:c>
      <x:c r="O745" s="24"/>
      <x:c r="P745" s="24"/>
      <x:c r="Q745" s="24" t="str">
        <x:v>DISPONÍVEL</x:v>
      </x:c>
      <x:c r="R745" s="24"/>
      <x:c r="S745" s="24" t="n">
        <x:v>17</x:v>
      </x:c>
      <x:c r="T745" s="24" t="str">
        <x:v>tabela_rodenstock.pdf</x:v>
      </x:c>
      <x:c r="U745" s="24" t="str">
        <x:v>Rodenstock|Monofocal B.I.G. NORM|Surfaçada|Cosmolit Surfaçadas B.I.G. NORM||1.67|1.67|Solitaire Protect Plus|-12 a +10|até -6||75|||17</x:v>
      </x:c>
    </x:row>
    <x:row r="746">
      <x:c r="A746" s="24" t="str">
        <x:v>RD-3C28261AA5AC</x:v>
      </x:c>
      <x:c r="B746" s="24" t="str">
        <x:v>Rodenstock</x:v>
      </x:c>
      <x:c r="C746" s="24" t="str">
        <x:v>Monofocal B.I.G. NORM</x:v>
      </x:c>
      <x:c r="D746" s="24" t="str">
        <x:v>Surfaçada</x:v>
      </x:c>
      <x:c r="E746" s="24" t="str">
        <x:v>Cosmolit Surfaçadas B.I.G. NORM</x:v>
      </x:c>
      <x:c r="F746" s="24"/>
      <x:c r="G746" s="24" t="str">
        <x:v>1.67</x:v>
      </x:c>
      <x:c r="H746" s="24" t="str">
        <x:v>1.67</x:v>
      </x:c>
      <x:c r="I746" s="24" t="str">
        <x:v>ROAD</x:v>
      </x:c>
      <x:c r="J746" s="40" t="n">
        <x:v>3338</x:v>
      </x:c>
      <x:c r="K746" s="24" t="str">
        <x:v>-12 a +10</x:v>
      </x:c>
      <x:c r="L746" s="24" t="str">
        <x:v>até -6</x:v>
      </x:c>
      <x:c r="M746" s="24"/>
      <x:c r="N746" s="24" t="str">
        <x:v>75</x:v>
      </x:c>
      <x:c r="O746" s="24"/>
      <x:c r="P746" s="24"/>
      <x:c r="Q746" s="24" t="str">
        <x:v>DISPONÍVEL</x:v>
      </x:c>
      <x:c r="R746" s="24"/>
      <x:c r="S746" s="24" t="n">
        <x:v>17</x:v>
      </x:c>
      <x:c r="T746" s="24" t="str">
        <x:v>tabela_rodenstock.pdf</x:v>
      </x:c>
      <x:c r="U746" s="24" t="str">
        <x:v>Rodenstock|Monofocal B.I.G. NORM|Surfaçada|Cosmolit Surfaçadas B.I.G. NORM||1.67|1.67|ROAD|-12 a +10|até -6||75|||17</x:v>
      </x:c>
    </x:row>
    <x:row r="747">
      <x:c r="A747" s="24" t="str">
        <x:v>RD-518483A8A834</x:v>
      </x:c>
      <x:c r="B747" s="24" t="str">
        <x:v>Rodenstock</x:v>
      </x:c>
      <x:c r="C747" s="24" t="str">
        <x:v>Monofocal B.I.G. NORM</x:v>
      </x:c>
      <x:c r="D747" s="24" t="str">
        <x:v>Surfaçada</x:v>
      </x:c>
      <x:c r="E747" s="24" t="str">
        <x:v>Cosmolit Surfaçadas B.I.G. NORM</x:v>
      </x:c>
      <x:c r="F747" s="24"/>
      <x:c r="G747" s="24" t="str">
        <x:v>1.67</x:v>
      </x:c>
      <x:c r="H747" s="24" t="str">
        <x:v>1.67</x:v>
      </x:c>
      <x:c r="I747" s="24" t="str">
        <x:v>Solitaire Protect</x:v>
      </x:c>
      <x:c r="J747" s="40" t="n">
        <x:v>3078</x:v>
      </x:c>
      <x:c r="K747" s="24" t="str">
        <x:v>-12 a +10</x:v>
      </x:c>
      <x:c r="L747" s="24" t="str">
        <x:v>até -6</x:v>
      </x:c>
      <x:c r="M747" s="24"/>
      <x:c r="N747" s="24" t="str">
        <x:v>75</x:v>
      </x:c>
      <x:c r="O747" s="24"/>
      <x:c r="P747" s="24"/>
      <x:c r="Q747" s="24" t="str">
        <x:v>DISPONÍVEL</x:v>
      </x:c>
      <x:c r="R747" s="24"/>
      <x:c r="S747" s="24" t="n">
        <x:v>17</x:v>
      </x:c>
      <x:c r="T747" s="24" t="str">
        <x:v>tabela_rodenstock.pdf</x:v>
      </x:c>
      <x:c r="U747" s="24" t="str">
        <x:v>Rodenstock|Monofocal B.I.G. NORM|Surfaçada|Cosmolit Surfaçadas B.I.G. NORM||1.67|1.67|Solitaire Protect|-12 a +10|até -6||75|||17</x:v>
      </x:c>
    </x:row>
    <x:row r="748">
      <x:c r="A748" s="24" t="str">
        <x:v>RD-9C7F28E59021</x:v>
      </x:c>
      <x:c r="B748" s="24" t="str">
        <x:v>Rodenstock</x:v>
      </x:c>
      <x:c r="C748" s="24" t="str">
        <x:v>Monofocal B.I.G. NORM</x:v>
      </x:c>
      <x:c r="D748" s="24" t="str">
        <x:v>Surfaçada</x:v>
      </x:c>
      <x:c r="E748" s="24" t="str">
        <x:v>Cosmolit Surfaçadas B.I.G. NORM</x:v>
      </x:c>
      <x:c r="F748" s="24"/>
      <x:c r="G748" s="24" t="str">
        <x:v>1.67</x:v>
      </x:c>
      <x:c r="H748" s="24" t="str">
        <x:v>1.67</x:v>
      </x:c>
      <x:c r="I748" s="24" t="str">
        <x:v>Solitaire ECO 2</x:v>
      </x:c>
      <x:c r="J748" s="40" t="n">
        <x:v>2598</x:v>
      </x:c>
      <x:c r="K748" s="24" t="str">
        <x:v>-12 a +10</x:v>
      </x:c>
      <x:c r="L748" s="24" t="str">
        <x:v>até -6</x:v>
      </x:c>
      <x:c r="M748" s="24"/>
      <x:c r="N748" s="24" t="str">
        <x:v>75</x:v>
      </x:c>
      <x:c r="O748" s="24"/>
      <x:c r="P748" s="24"/>
      <x:c r="Q748" s="24" t="str">
        <x:v>DISPONÍVEL</x:v>
      </x:c>
      <x:c r="R748" s="24"/>
      <x:c r="S748" s="24" t="n">
        <x:v>17</x:v>
      </x:c>
      <x:c r="T748" s="24" t="str">
        <x:v>tabela_rodenstock.pdf</x:v>
      </x:c>
      <x:c r="U748" s="24" t="str">
        <x:v>Rodenstock|Monofocal B.I.G. NORM|Surfaçada|Cosmolit Surfaçadas B.I.G. NORM||1.67|1.67|Solitaire ECO 2|-12 a +10|até -6||75|||17</x:v>
      </x:c>
    </x:row>
    <x:row r="749">
      <x:c r="A749" s="24" t="str">
        <x:v>RD-C9ACF5E340F4</x:v>
      </x:c>
      <x:c r="B749" s="24" t="str">
        <x:v>Rodenstock</x:v>
      </x:c>
      <x:c r="C749" s="24" t="str">
        <x:v>Monofocal B.I.G. NORM</x:v>
      </x:c>
      <x:c r="D749" s="24" t="str">
        <x:v>Surfaçada</x:v>
      </x:c>
      <x:c r="E749" s="24" t="str">
        <x:v>Cosmolit Surfaçadas B.I.G. NORM</x:v>
      </x:c>
      <x:c r="F749" s="24" t="str">
        <x:v>ColorMatic® 3</x:v>
      </x:c>
      <x:c r="G749" s="24" t="str">
        <x:v>1.67</x:v>
      </x:c>
      <x:c r="H749" s="24" t="str">
        <x:v>1.67</x:v>
      </x:c>
      <x:c r="I749" s="24" t="str">
        <x:v>LayR X-tra Clean</x:v>
      </x:c>
      <x:c r="J749" s="40" t="n">
        <x:v>4819</x:v>
      </x:c>
      <x:c r="K749" s="24" t="str">
        <x:v>-12 a +10</x:v>
      </x:c>
      <x:c r="L749" s="24" t="str">
        <x:v>até -6</x:v>
      </x:c>
      <x:c r="M749" s="24"/>
      <x:c r="N749" s="24" t="str">
        <x:v>75</x:v>
      </x:c>
      <x:c r="O749" s="24"/>
      <x:c r="P749" s="24"/>
      <x:c r="Q749" s="24" t="str">
        <x:v>DISPONÍVEL</x:v>
      </x:c>
      <x:c r="R749" s="24"/>
      <x:c r="S749" s="24" t="n">
        <x:v>17</x:v>
      </x:c>
      <x:c r="T749" s="24" t="str">
        <x:v>tabela_rodenstock.pdf</x:v>
      </x:c>
      <x:c r="U749" s="24" t="str">
        <x:v>Rodenstock|Monofocal B.I.G. NORM|Surfaçada|Cosmolit Surfaçadas B.I.G. NORM|ColorMatic® 3|1.67|1.67|LayR X-tra Clean|-12 a +10|até -6||75|||17</x:v>
      </x:c>
    </x:row>
    <x:row r="750">
      <x:c r="A750" s="24" t="str">
        <x:v>RD-A09197E3FE3A</x:v>
      </x:c>
      <x:c r="B750" s="24" t="str">
        <x:v>Rodenstock</x:v>
      </x:c>
      <x:c r="C750" s="24" t="str">
        <x:v>Monofocal B.I.G. NORM</x:v>
      </x:c>
      <x:c r="D750" s="24" t="str">
        <x:v>Surfaçada</x:v>
      </x:c>
      <x:c r="E750" s="24" t="str">
        <x:v>Cosmolit Surfaçadas B.I.G. NORM</x:v>
      </x:c>
      <x:c r="F750" s="24" t="str">
        <x:v>ColorMatic® 3</x:v>
      </x:c>
      <x:c r="G750" s="24" t="str">
        <x:v>1.67</x:v>
      </x:c>
      <x:c r="H750" s="24" t="str">
        <x:v>1.67</x:v>
      </x:c>
      <x:c r="I750" s="24" t="str">
        <x:v>LayR Balance</x:v>
      </x:c>
      <x:c r="J750" s="40" t="n">
        <x:v>4819</x:v>
      </x:c>
      <x:c r="K750" s="24" t="str">
        <x:v>-12 a +10</x:v>
      </x:c>
      <x:c r="L750" s="24" t="str">
        <x:v>até -6</x:v>
      </x:c>
      <x:c r="M750" s="24"/>
      <x:c r="N750" s="24" t="str">
        <x:v>75</x:v>
      </x:c>
      <x:c r="O750" s="24"/>
      <x:c r="P750" s="24"/>
      <x:c r="Q750" s="24" t="str">
        <x:v>DISPONÍVEL</x:v>
      </x:c>
      <x:c r="R750" s="24"/>
      <x:c r="S750" s="24" t="n">
        <x:v>17</x:v>
      </x:c>
      <x:c r="T750" s="24" t="str">
        <x:v>tabela_rodenstock.pdf</x:v>
      </x:c>
      <x:c r="U750" s="24" t="str">
        <x:v>Rodenstock|Monofocal B.I.G. NORM|Surfaçada|Cosmolit Surfaçadas B.I.G. NORM|ColorMatic® 3|1.67|1.67|LayR Balance|-12 a +10|até -6||75|||17</x:v>
      </x:c>
    </x:row>
    <x:row r="751">
      <x:c r="A751" s="24" t="str">
        <x:v>RD-FED6D436D389</x:v>
      </x:c>
      <x:c r="B751" s="24" t="str">
        <x:v>Rodenstock</x:v>
      </x:c>
      <x:c r="C751" s="24" t="str">
        <x:v>Monofocal B.I.G. NORM</x:v>
      </x:c>
      <x:c r="D751" s="24" t="str">
        <x:v>Surfaçada</x:v>
      </x:c>
      <x:c r="E751" s="24" t="str">
        <x:v>Cosmolit Surfaçadas B.I.G. NORM</x:v>
      </x:c>
      <x:c r="F751" s="24" t="str">
        <x:v>ColorMatic® 3</x:v>
      </x:c>
      <x:c r="G751" s="24" t="str">
        <x:v>1.67</x:v>
      </x:c>
      <x:c r="H751" s="24" t="str">
        <x:v>1.67</x:v>
      </x:c>
      <x:c r="I751" s="24" t="str">
        <x:v>Solitaire X-tra Clean</x:v>
      </x:c>
      <x:c r="J751" s="40" t="n">
        <x:v>4749</x:v>
      </x:c>
      <x:c r="K751" s="24" t="str">
        <x:v>-12 a +10</x:v>
      </x:c>
      <x:c r="L751" s="24" t="str">
        <x:v>até -6</x:v>
      </x:c>
      <x:c r="M751" s="24"/>
      <x:c r="N751" s="24" t="str">
        <x:v>75</x:v>
      </x:c>
      <x:c r="O751" s="24"/>
      <x:c r="P751" s="24"/>
      <x:c r="Q751" s="24" t="str">
        <x:v>DISPONÍVEL</x:v>
      </x:c>
      <x:c r="R751" s="24"/>
      <x:c r="S751" s="24" t="n">
        <x:v>17</x:v>
      </x:c>
      <x:c r="T751" s="24" t="str">
        <x:v>tabela_rodenstock.pdf</x:v>
      </x:c>
      <x:c r="U751" s="24" t="str">
        <x:v>Rodenstock|Monofocal B.I.G. NORM|Surfaçada|Cosmolit Surfaçadas B.I.G. NORM|ColorMatic® 3|1.67|1.67|Solitaire X-tra Clean|-12 a +10|até -6||75|||17</x:v>
      </x:c>
    </x:row>
    <x:row r="752">
      <x:c r="A752" s="24" t="str">
        <x:v>RD-1CF366BE379E</x:v>
      </x:c>
      <x:c r="B752" s="24" t="str">
        <x:v>Rodenstock</x:v>
      </x:c>
      <x:c r="C752" s="24" t="str">
        <x:v>Monofocal B.I.G. NORM</x:v>
      </x:c>
      <x:c r="D752" s="24" t="str">
        <x:v>Surfaçada</x:v>
      </x:c>
      <x:c r="E752" s="24" t="str">
        <x:v>Cosmolit Surfaçadas B.I.G. NORM</x:v>
      </x:c>
      <x:c r="F752" s="24" t="str">
        <x:v>ColorMatic® 3</x:v>
      </x:c>
      <x:c r="G752" s="24" t="str">
        <x:v>1.67</x:v>
      </x:c>
      <x:c r="H752" s="24" t="str">
        <x:v>1.67</x:v>
      </x:c>
      <x:c r="I752" s="24" t="str">
        <x:v>Solitaire Protect Plus</x:v>
      </x:c>
      <x:c r="J752" s="40" t="n">
        <x:v>4699</x:v>
      </x:c>
      <x:c r="K752" s="24" t="str">
        <x:v>-12 a +10</x:v>
      </x:c>
      <x:c r="L752" s="24" t="str">
        <x:v>até -6</x:v>
      </x:c>
      <x:c r="M752" s="24"/>
      <x:c r="N752" s="24" t="str">
        <x:v>75</x:v>
      </x:c>
      <x:c r="O752" s="24"/>
      <x:c r="P752" s="24"/>
      <x:c r="Q752" s="24" t="str">
        <x:v>DISPONÍVEL</x:v>
      </x:c>
      <x:c r="R752" s="24"/>
      <x:c r="S752" s="24" t="n">
        <x:v>17</x:v>
      </x:c>
      <x:c r="T752" s="24" t="str">
        <x:v>tabela_rodenstock.pdf</x:v>
      </x:c>
      <x:c r="U752" s="24" t="str">
        <x:v>Rodenstock|Monofocal B.I.G. NORM|Surfaçada|Cosmolit Surfaçadas B.I.G. NORM|ColorMatic® 3|1.67|1.67|Solitaire Protect Plus|-12 a +10|até -6||75|||17</x:v>
      </x:c>
    </x:row>
    <x:row r="753">
      <x:c r="A753" s="24" t="str">
        <x:v>RD-C8DD6E8C24F3</x:v>
      </x:c>
      <x:c r="B753" s="24" t="str">
        <x:v>Rodenstock</x:v>
      </x:c>
      <x:c r="C753" s="24" t="str">
        <x:v>Monofocal B.I.G. NORM</x:v>
      </x:c>
      <x:c r="D753" s="24" t="str">
        <x:v>Surfaçada</x:v>
      </x:c>
      <x:c r="E753" s="24" t="str">
        <x:v>Cosmolit Surfaçadas B.I.G. NORM</x:v>
      </x:c>
      <x:c r="F753" s="24" t="str">
        <x:v>ColorMatic® 3</x:v>
      </x:c>
      <x:c r="G753" s="24" t="str">
        <x:v>1.67</x:v>
      </x:c>
      <x:c r="H753" s="24" t="str">
        <x:v>1.67</x:v>
      </x:c>
      <x:c r="I753" s="24" t="str">
        <x:v>ROAD</x:v>
      </x:c>
      <x:c r="J753" s="40" t="n">
        <x:v>4699</x:v>
      </x:c>
      <x:c r="K753" s="24" t="str">
        <x:v>-12 a +10</x:v>
      </x:c>
      <x:c r="L753" s="24" t="str">
        <x:v>até -6</x:v>
      </x:c>
      <x:c r="M753" s="24"/>
      <x:c r="N753" s="24" t="str">
        <x:v>75</x:v>
      </x:c>
      <x:c r="O753" s="24"/>
      <x:c r="P753" s="24"/>
      <x:c r="Q753" s="24" t="str">
        <x:v>DISPONÍVEL</x:v>
      </x:c>
      <x:c r="R753" s="24"/>
      <x:c r="S753" s="24" t="n">
        <x:v>17</x:v>
      </x:c>
      <x:c r="T753" s="24" t="str">
        <x:v>tabela_rodenstock.pdf</x:v>
      </x:c>
      <x:c r="U753" s="24" t="str">
        <x:v>Rodenstock|Monofocal B.I.G. NORM|Surfaçada|Cosmolit Surfaçadas B.I.G. NORM|ColorMatic® 3|1.67|1.67|ROAD|-12 a +10|até -6||75|||17</x:v>
      </x:c>
    </x:row>
    <x:row r="754">
      <x:c r="A754" s="24" t="str">
        <x:v>RD-813AF320770A</x:v>
      </x:c>
      <x:c r="B754" s="24" t="str">
        <x:v>Rodenstock</x:v>
      </x:c>
      <x:c r="C754" s="24" t="str">
        <x:v>Monofocal B.I.G. NORM</x:v>
      </x:c>
      <x:c r="D754" s="24" t="str">
        <x:v>Surfaçada</x:v>
      </x:c>
      <x:c r="E754" s="24" t="str">
        <x:v>Cosmolit Surfaçadas B.I.G. NORM</x:v>
      </x:c>
      <x:c r="F754" s="24" t="str">
        <x:v>ColorMatic® 3</x:v>
      </x:c>
      <x:c r="G754" s="24" t="str">
        <x:v>1.67</x:v>
      </x:c>
      <x:c r="H754" s="24" t="str">
        <x:v>1.67</x:v>
      </x:c>
      <x:c r="I754" s="24" t="str">
        <x:v>Solitaire Protect</x:v>
      </x:c>
      <x:c r="J754" s="40" t="n">
        <x:v>4439</x:v>
      </x:c>
      <x:c r="K754" s="24" t="str">
        <x:v>-12 a +10</x:v>
      </x:c>
      <x:c r="L754" s="24" t="str">
        <x:v>até -6</x:v>
      </x:c>
      <x:c r="M754" s="24"/>
      <x:c r="N754" s="24" t="str">
        <x:v>75</x:v>
      </x:c>
      <x:c r="O754" s="24"/>
      <x:c r="P754" s="24"/>
      <x:c r="Q754" s="24" t="str">
        <x:v>DISPONÍVEL</x:v>
      </x:c>
      <x:c r="R754" s="24"/>
      <x:c r="S754" s="24" t="n">
        <x:v>17</x:v>
      </x:c>
      <x:c r="T754" s="24" t="str">
        <x:v>tabela_rodenstock.pdf</x:v>
      </x:c>
      <x:c r="U754" s="24" t="str">
        <x:v>Rodenstock|Monofocal B.I.G. NORM|Surfaçada|Cosmolit Surfaçadas B.I.G. NORM|ColorMatic® 3|1.67|1.67|Solitaire Protect|-12 a +10|até -6||75|||17</x:v>
      </x:c>
    </x:row>
    <x:row r="755">
      <x:c r="A755" s="24" t="str">
        <x:v>RD-02A49D5BDB67</x:v>
      </x:c>
      <x:c r="B755" s="24" t="str">
        <x:v>Rodenstock</x:v>
      </x:c>
      <x:c r="C755" s="24" t="str">
        <x:v>Monofocal B.I.G. NORM</x:v>
      </x:c>
      <x:c r="D755" s="24" t="str">
        <x:v>Surfaçada</x:v>
      </x:c>
      <x:c r="E755" s="24" t="str">
        <x:v>Cosmolit Surfaçadas B.I.G. NORM</x:v>
      </x:c>
      <x:c r="F755" s="24" t="str">
        <x:v>ColorMatic® 3</x:v>
      </x:c>
      <x:c r="G755" s="24" t="str">
        <x:v>1.67</x:v>
      </x:c>
      <x:c r="H755" s="24" t="str">
        <x:v>1.67</x:v>
      </x:c>
      <x:c r="I755" s="24" t="str">
        <x:v>Solitaire ECO 2</x:v>
      </x:c>
      <x:c r="J755" s="40" t="n">
        <x:v>3959</x:v>
      </x:c>
      <x:c r="K755" s="24" t="str">
        <x:v>-12 a +10</x:v>
      </x:c>
      <x:c r="L755" s="24" t="str">
        <x:v>até -6</x:v>
      </x:c>
      <x:c r="M755" s="24"/>
      <x:c r="N755" s="24" t="str">
        <x:v>75</x:v>
      </x:c>
      <x:c r="O755" s="24"/>
      <x:c r="P755" s="24"/>
      <x:c r="Q755" s="24" t="str">
        <x:v>DISPONÍVEL</x:v>
      </x:c>
      <x:c r="R755" s="24"/>
      <x:c r="S755" s="24" t="n">
        <x:v>17</x:v>
      </x:c>
      <x:c r="T755" s="24" t="str">
        <x:v>tabela_rodenstock.pdf</x:v>
      </x:c>
      <x:c r="U755" s="24" t="str">
        <x:v>Rodenstock|Monofocal B.I.G. NORM|Surfaçada|Cosmolit Surfaçadas B.I.G. NORM|ColorMatic® 3|1.67|1.67|Solitaire ECO 2|-12 a +10|até -6||75|||17</x:v>
      </x:c>
    </x:row>
    <x:row r="756">
      <x:c r="A756" s="24" t="str">
        <x:v>RD-01850CA85DEF</x:v>
      </x:c>
      <x:c r="B756" s="24" t="str">
        <x:v>Rodenstock</x:v>
      </x:c>
      <x:c r="C756" s="24" t="str">
        <x:v>Monofocal B.I.G. NORM</x:v>
      </x:c>
      <x:c r="D756" s="24" t="str">
        <x:v>Surfaçada</x:v>
      </x:c>
      <x:c r="E756" s="24" t="str">
        <x:v>Cosmolit Surfaçadas B.I.G. NORM</x:v>
      </x:c>
      <x:c r="F756" s="24"/>
      <x:c r="G756" s="24" t="str">
        <x:v>1.74</x:v>
      </x:c>
      <x:c r="H756" s="24" t="str">
        <x:v>1.74</x:v>
      </x:c>
      <x:c r="I756" s="24" t="str">
        <x:v>LayR X-tra Clean</x:v>
      </x:c>
      <x:c r="J756" s="40" t="n">
        <x:v>4451</x:v>
      </x:c>
      <x:c r="K756" s="24" t="str">
        <x:v>-18 a +13</x:v>
      </x:c>
      <x:c r="L756" s="24" t="str">
        <x:v>até -6</x:v>
      </x:c>
      <x:c r="M756" s="24"/>
      <x:c r="N756" s="24" t="str">
        <x:v>75</x:v>
      </x:c>
      <x:c r="O756" s="24"/>
      <x:c r="P756" s="24"/>
      <x:c r="Q756" s="24" t="str">
        <x:v>DISPONÍVEL</x:v>
      </x:c>
      <x:c r="R756" s="24"/>
      <x:c r="S756" s="24" t="n">
        <x:v>17</x:v>
      </x:c>
      <x:c r="T756" s="24" t="str">
        <x:v>tabela_rodenstock.pdf</x:v>
      </x:c>
      <x:c r="U756" s="24" t="str">
        <x:v>Rodenstock|Monofocal B.I.G. NORM|Surfaçada|Cosmolit Surfaçadas B.I.G. NORM||1.74|1.74|LayR X-tra Clean|-18 a +13|até -6||75|||17</x:v>
      </x:c>
    </x:row>
    <x:row r="757">
      <x:c r="A757" s="24" t="str">
        <x:v>RD-6E6318AD4C3A</x:v>
      </x:c>
      <x:c r="B757" s="24" t="str">
        <x:v>Rodenstock</x:v>
      </x:c>
      <x:c r="C757" s="24" t="str">
        <x:v>Monofocal B.I.G. NORM</x:v>
      </x:c>
      <x:c r="D757" s="24" t="str">
        <x:v>Surfaçada</x:v>
      </x:c>
      <x:c r="E757" s="24" t="str">
        <x:v>Cosmolit Surfaçadas B.I.G. NORM</x:v>
      </x:c>
      <x:c r="F757" s="24"/>
      <x:c r="G757" s="24" t="str">
        <x:v>1.74</x:v>
      </x:c>
      <x:c r="H757" s="24" t="str">
        <x:v>1.74</x:v>
      </x:c>
      <x:c r="I757" s="24" t="str">
        <x:v>LayR Balance</x:v>
      </x:c>
      <x:c r="J757" s="40" t="n">
        <x:v>4451</x:v>
      </x:c>
      <x:c r="K757" s="24" t="str">
        <x:v>-18 a +13</x:v>
      </x:c>
      <x:c r="L757" s="24" t="str">
        <x:v>até -6</x:v>
      </x:c>
      <x:c r="M757" s="24"/>
      <x:c r="N757" s="24" t="str">
        <x:v>75</x:v>
      </x:c>
      <x:c r="O757" s="24"/>
      <x:c r="P757" s="24"/>
      <x:c r="Q757" s="24" t="str">
        <x:v>DISPONÍVEL</x:v>
      </x:c>
      <x:c r="R757" s="24"/>
      <x:c r="S757" s="24" t="n">
        <x:v>17</x:v>
      </x:c>
      <x:c r="T757" s="24" t="str">
        <x:v>tabela_rodenstock.pdf</x:v>
      </x:c>
      <x:c r="U757" s="24" t="str">
        <x:v>Rodenstock|Monofocal B.I.G. NORM|Surfaçada|Cosmolit Surfaçadas B.I.G. NORM||1.74|1.74|LayR Balance|-18 a +13|até -6||75|||17</x:v>
      </x:c>
    </x:row>
    <x:row r="758">
      <x:c r="A758" s="24" t="str">
        <x:v>RD-97C75598245A</x:v>
      </x:c>
      <x:c r="B758" s="24" t="str">
        <x:v>Rodenstock</x:v>
      </x:c>
      <x:c r="C758" s="24" t="str">
        <x:v>Monofocal B.I.G. NORM</x:v>
      </x:c>
      <x:c r="D758" s="24" t="str">
        <x:v>Surfaçada</x:v>
      </x:c>
      <x:c r="E758" s="24" t="str">
        <x:v>Cosmolit Surfaçadas B.I.G. NORM</x:v>
      </x:c>
      <x:c r="F758" s="24"/>
      <x:c r="G758" s="24" t="str">
        <x:v>1.74</x:v>
      </x:c>
      <x:c r="H758" s="24" t="str">
        <x:v>1.74</x:v>
      </x:c>
      <x:c r="I758" s="24" t="str">
        <x:v>Solitaire X-tra Clean</x:v>
      </x:c>
      <x:c r="J758" s="40" t="n">
        <x:v>4381</x:v>
      </x:c>
      <x:c r="K758" s="24" t="str">
        <x:v>-18 a +13</x:v>
      </x:c>
      <x:c r="L758" s="24" t="str">
        <x:v>até -6</x:v>
      </x:c>
      <x:c r="M758" s="24"/>
      <x:c r="N758" s="24" t="str">
        <x:v>75</x:v>
      </x:c>
      <x:c r="O758" s="24"/>
      <x:c r="P758" s="24"/>
      <x:c r="Q758" s="24" t="str">
        <x:v>DISPONÍVEL</x:v>
      </x:c>
      <x:c r="R758" s="24"/>
      <x:c r="S758" s="24" t="n">
        <x:v>17</x:v>
      </x:c>
      <x:c r="T758" s="24" t="str">
        <x:v>tabela_rodenstock.pdf</x:v>
      </x:c>
      <x:c r="U758" s="24" t="str">
        <x:v>Rodenstock|Monofocal B.I.G. NORM|Surfaçada|Cosmolit Surfaçadas B.I.G. NORM||1.74|1.74|Solitaire X-tra Clean|-18 a +13|até -6||75|||17</x:v>
      </x:c>
    </x:row>
    <x:row r="759">
      <x:c r="A759" s="24" t="str">
        <x:v>RD-1ED48736A4FC</x:v>
      </x:c>
      <x:c r="B759" s="24" t="str">
        <x:v>Rodenstock</x:v>
      </x:c>
      <x:c r="C759" s="24" t="str">
        <x:v>Monofocal B.I.G. NORM</x:v>
      </x:c>
      <x:c r="D759" s="24" t="str">
        <x:v>Surfaçada</x:v>
      </x:c>
      <x:c r="E759" s="24" t="str">
        <x:v>Cosmolit Surfaçadas B.I.G. NORM</x:v>
      </x:c>
      <x:c r="F759" s="24"/>
      <x:c r="G759" s="24" t="str">
        <x:v>1.74</x:v>
      </x:c>
      <x:c r="H759" s="24" t="str">
        <x:v>1.74</x:v>
      </x:c>
      <x:c r="I759" s="24" t="str">
        <x:v>Solitaire Protect Plus</x:v>
      </x:c>
      <x:c r="J759" s="40" t="n">
        <x:v>4331</x:v>
      </x:c>
      <x:c r="K759" s="24" t="str">
        <x:v>-18 a +13</x:v>
      </x:c>
      <x:c r="L759" s="24" t="str">
        <x:v>até -6</x:v>
      </x:c>
      <x:c r="M759" s="24"/>
      <x:c r="N759" s="24" t="str">
        <x:v>75</x:v>
      </x:c>
      <x:c r="O759" s="24"/>
      <x:c r="P759" s="24"/>
      <x:c r="Q759" s="24" t="str">
        <x:v>DISPONÍVEL</x:v>
      </x:c>
      <x:c r="R759" s="24"/>
      <x:c r="S759" s="24" t="n">
        <x:v>17</x:v>
      </x:c>
      <x:c r="T759" s="24" t="str">
        <x:v>tabela_rodenstock.pdf</x:v>
      </x:c>
      <x:c r="U759" s="24" t="str">
        <x:v>Rodenstock|Monofocal B.I.G. NORM|Surfaçada|Cosmolit Surfaçadas B.I.G. NORM||1.74|1.74|Solitaire Protect Plus|-18 a +13|até -6||75|||17</x:v>
      </x:c>
    </x:row>
    <x:row r="760">
      <x:c r="A760" s="24" t="str">
        <x:v>RD-86D531024104</x:v>
      </x:c>
      <x:c r="B760" s="24" t="str">
        <x:v>Rodenstock</x:v>
      </x:c>
      <x:c r="C760" s="24" t="str">
        <x:v>Monofocal B.I.G. NORM</x:v>
      </x:c>
      <x:c r="D760" s="24" t="str">
        <x:v>Surfaçada</x:v>
      </x:c>
      <x:c r="E760" s="24" t="str">
        <x:v>Cosmolit Surfaçadas B.I.G. NORM</x:v>
      </x:c>
      <x:c r="F760" s="24"/>
      <x:c r="G760" s="24" t="str">
        <x:v>1.74</x:v>
      </x:c>
      <x:c r="H760" s="24" t="str">
        <x:v>1.74</x:v>
      </x:c>
      <x:c r="I760" s="24" t="str">
        <x:v>Solitaire Protect</x:v>
      </x:c>
      <x:c r="J760" s="40" t="n">
        <x:v>4071</x:v>
      </x:c>
      <x:c r="K760" s="24" t="str">
        <x:v>-18 a +13</x:v>
      </x:c>
      <x:c r="L760" s="24" t="str">
        <x:v>até -6</x:v>
      </x:c>
      <x:c r="M760" s="24"/>
      <x:c r="N760" s="24" t="str">
        <x:v>75</x:v>
      </x:c>
      <x:c r="O760" s="24"/>
      <x:c r="P760" s="24"/>
      <x:c r="Q760" s="24" t="str">
        <x:v>DISPONÍVEL</x:v>
      </x:c>
      <x:c r="R760" s="24"/>
      <x:c r="S760" s="24" t="n">
        <x:v>17</x:v>
      </x:c>
      <x:c r="T760" s="24" t="str">
        <x:v>tabela_rodenstock.pdf</x:v>
      </x:c>
      <x:c r="U760" s="24" t="str">
        <x:v>Rodenstock|Monofocal B.I.G. NORM|Surfaçada|Cosmolit Surfaçadas B.I.G. NORM||1.74|1.74|Solitaire Protect|-18 a +13|até -6||75|||17</x:v>
      </x:c>
    </x:row>
    <x:row r="761">
      <x:c r="A761" s="24" t="str">
        <x:v>RD-7259B9234523</x:v>
      </x:c>
      <x:c r="B761" s="24" t="str">
        <x:v>Rodenstock</x:v>
      </x:c>
      <x:c r="C761" s="24" t="str">
        <x:v>Monofocal B.I.G. NORM</x:v>
      </x:c>
      <x:c r="D761" s="24" t="str">
        <x:v>Surfaçada</x:v>
      </x:c>
      <x:c r="E761" s="24" t="str">
        <x:v>Cosmolit Surfaçadas B.I.G. NORM</x:v>
      </x:c>
      <x:c r="F761" s="24"/>
      <x:c r="G761" s="24" t="str">
        <x:v>1.74</x:v>
      </x:c>
      <x:c r="H761" s="24" t="str">
        <x:v>1.74</x:v>
      </x:c>
      <x:c r="I761" s="24" t="str">
        <x:v>Solitaire ECO 2</x:v>
      </x:c>
      <x:c r="J761" s="40" t="n">
        <x:v>3591</x:v>
      </x:c>
      <x:c r="K761" s="24" t="str">
        <x:v>-18 a +13</x:v>
      </x:c>
      <x:c r="L761" s="24" t="str">
        <x:v>até -6</x:v>
      </x:c>
      <x:c r="M761" s="24"/>
      <x:c r="N761" s="24" t="str">
        <x:v>75</x:v>
      </x:c>
      <x:c r="O761" s="24"/>
      <x:c r="P761" s="24"/>
      <x:c r="Q761" s="24" t="str">
        <x:v>DISPONÍVEL</x:v>
      </x:c>
      <x:c r="R761" s="24"/>
      <x:c r="S761" s="24" t="n">
        <x:v>17</x:v>
      </x:c>
      <x:c r="T761" s="24" t="str">
        <x:v>tabela_rodenstock.pdf</x:v>
      </x:c>
      <x:c r="U761" s="24" t="str">
        <x:v>Rodenstock|Monofocal B.I.G. NORM|Surfaçada|Cosmolit Surfaçadas B.I.G. NORM||1.74|1.74|Solitaire ECO 2|-18 a +13|até -6||75|||17</x:v>
      </x:c>
    </x:row>
    <x:row r="762">
      <x:c r="A762" s="24" t="str">
        <x:v>RD-D60714A9C61E</x:v>
      </x:c>
      <x:c r="B762" s="24" t="str">
        <x:v>Rodenstock</x:v>
      </x:c>
      <x:c r="C762" s="24" t="str">
        <x:v>Progressiva ILT</x:v>
      </x:c>
      <x:c r="D762" s="24" t="str">
        <x:v>Surfaçada</x:v>
      </x:c>
      <x:c r="E762" s="24" t="str">
        <x:v>Impression EyeLT 2</x:v>
      </x:c>
      <x:c r="F762" s="24"/>
      <x:c r="G762" s="24" t="str">
        <x:v>1.5</x:v>
      </x:c>
      <x:c r="H762" s="24" t="str">
        <x:v>1.50</x:v>
      </x:c>
      <x:c r="I762" s="24" t="str">
        <x:v>Solitaire X-tra Clean</x:v>
      </x:c>
      <x:c r="J762" s="40" t="n">
        <x:v>10486</x:v>
      </x:c>
      <x:c r="K762" s="24" t="str">
        <x:v>-8 a +8</x:v>
      </x:c>
      <x:c r="L762" s="24" t="str">
        <x:v>até -6</x:v>
      </x:c>
      <x:c r="M762" s="24"/>
      <x:c r="N762" s="24" t="str">
        <x:v>75/80</x:v>
      </x:c>
      <x:c r="O762" s="24"/>
      <x:c r="P762" s="24"/>
      <x:c r="Q762" s="24" t="str">
        <x:v>DISPONÍVEL</x:v>
      </x:c>
      <x:c r="R762" s="24"/>
      <x:c r="S762" s="24" t="n">
        <x:v>19</x:v>
      </x:c>
      <x:c r="T762" s="24" t="str">
        <x:v>tabela_rodenstock.pdf</x:v>
      </x:c>
      <x:c r="U762" s="24" t="str">
        <x:v>Rodenstock|Progressiva ILT|Surfaçada|Impression EyeLT 2||1.5|1.50|Solitaire X-tra Clean|-8 a +8|até -6||75/80|||19</x:v>
      </x:c>
    </x:row>
    <x:row r="763">
      <x:c r="A763" s="24" t="str">
        <x:v>RD-2DEB07BBCFD4</x:v>
      </x:c>
      <x:c r="B763" s="24" t="str">
        <x:v>Rodenstock</x:v>
      </x:c>
      <x:c r="C763" s="24" t="str">
        <x:v>Progressiva ILT</x:v>
      </x:c>
      <x:c r="D763" s="24" t="str">
        <x:v>Surfaçada</x:v>
      </x:c>
      <x:c r="E763" s="24" t="str">
        <x:v>Impression EyeLT 2</x:v>
      </x:c>
      <x:c r="F763" s="24"/>
      <x:c r="G763" s="24" t="str">
        <x:v>1.5</x:v>
      </x:c>
      <x:c r="H763" s="24" t="str">
        <x:v>1.50</x:v>
      </x:c>
      <x:c r="I763" s="24" t="str">
        <x:v>Solitaire 2 Protect Balance</x:v>
      </x:c>
      <x:c r="J763" s="40" t="n">
        <x:v>10436</x:v>
      </x:c>
      <x:c r="K763" s="24" t="str">
        <x:v>-8 a +8</x:v>
      </x:c>
      <x:c r="L763" s="24" t="str">
        <x:v>até -6</x:v>
      </x:c>
      <x:c r="M763" s="24"/>
      <x:c r="N763" s="24" t="str">
        <x:v>75/80</x:v>
      </x:c>
      <x:c r="O763" s="24"/>
      <x:c r="P763" s="24"/>
      <x:c r="Q763" s="24" t="str">
        <x:v>DISPONÍVEL</x:v>
      </x:c>
      <x:c r="R763" s="24"/>
      <x:c r="S763" s="24" t="n">
        <x:v>19</x:v>
      </x:c>
      <x:c r="T763" s="24" t="str">
        <x:v>tabela_rodenstock.pdf</x:v>
      </x:c>
      <x:c r="U763" s="24" t="str">
        <x:v>Rodenstock|Progressiva ILT|Surfaçada|Impression EyeLT 2||1.5|1.50|Solitaire 2 Protect Balance|-8 a +8|até -6||75/80|||19</x:v>
      </x:c>
    </x:row>
    <x:row r="764">
      <x:c r="A764" s="24" t="str">
        <x:v>RD-F88CC905D58E</x:v>
      </x:c>
      <x:c r="B764" s="24" t="str">
        <x:v>Rodenstock</x:v>
      </x:c>
      <x:c r="C764" s="24" t="str">
        <x:v>Progressiva ILT</x:v>
      </x:c>
      <x:c r="D764" s="24" t="str">
        <x:v>Surfaçada</x:v>
      </x:c>
      <x:c r="E764" s="24" t="str">
        <x:v>Impression EyeLT 2</x:v>
      </x:c>
      <x:c r="F764" s="24"/>
      <x:c r="G764" s="24" t="str">
        <x:v>1.5</x:v>
      </x:c>
      <x:c r="H764" s="24" t="str">
        <x:v>1.50</x:v>
      </x:c>
      <x:c r="I764" s="24" t="str">
        <x:v>Solitaire Protect Plus</x:v>
      </x:c>
      <x:c r="J764" s="40" t="n">
        <x:v>10436</x:v>
      </x:c>
      <x:c r="K764" s="24" t="str">
        <x:v>-8 a +8</x:v>
      </x:c>
      <x:c r="L764" s="24" t="str">
        <x:v>até -6</x:v>
      </x:c>
      <x:c r="M764" s="24"/>
      <x:c r="N764" s="24" t="str">
        <x:v>75/80</x:v>
      </x:c>
      <x:c r="O764" s="24"/>
      <x:c r="P764" s="24"/>
      <x:c r="Q764" s="24" t="str">
        <x:v>DISPONÍVEL</x:v>
      </x:c>
      <x:c r="R764" s="24"/>
      <x:c r="S764" s="24" t="n">
        <x:v>19</x:v>
      </x:c>
      <x:c r="T764" s="24" t="str">
        <x:v>tabela_rodenstock.pdf</x:v>
      </x:c>
      <x:c r="U764" s="24" t="str">
        <x:v>Rodenstock|Progressiva ILT|Surfaçada|Impression EyeLT 2||1.5|1.50|Solitaire Protect Plus|-8 a +8|até -6||75/80|||19</x:v>
      </x:c>
    </x:row>
    <x:row r="765">
      <x:c r="A765" s="24" t="str">
        <x:v>RD-8C5922CA4F9B</x:v>
      </x:c>
      <x:c r="B765" s="24" t="str">
        <x:v>Rodenstock</x:v>
      </x:c>
      <x:c r="C765" s="24" t="str">
        <x:v>Progressiva ILT</x:v>
      </x:c>
      <x:c r="D765" s="24" t="str">
        <x:v>Surfaçada</x:v>
      </x:c>
      <x:c r="E765" s="24" t="str">
        <x:v>Impression EyeLT 2</x:v>
      </x:c>
      <x:c r="F765" s="24"/>
      <x:c r="G765" s="24" t="str">
        <x:v>1.5</x:v>
      </x:c>
      <x:c r="H765" s="24" t="str">
        <x:v>1.50</x:v>
      </x:c>
      <x:c r="I765" s="24" t="str">
        <x:v>ROAD</x:v>
      </x:c>
      <x:c r="J765" s="40" t="n">
        <x:v>10436</x:v>
      </x:c>
      <x:c r="K765" s="24" t="str">
        <x:v>-8 a +8</x:v>
      </x:c>
      <x:c r="L765" s="24" t="str">
        <x:v>até -6</x:v>
      </x:c>
      <x:c r="M765" s="24"/>
      <x:c r="N765" s="24" t="str">
        <x:v>75/80</x:v>
      </x:c>
      <x:c r="O765" s="24"/>
      <x:c r="P765" s="24"/>
      <x:c r="Q765" s="24" t="str">
        <x:v>DISPONÍVEL</x:v>
      </x:c>
      <x:c r="R765" s="24"/>
      <x:c r="S765" s="24" t="n">
        <x:v>19</x:v>
      </x:c>
      <x:c r="T765" s="24" t="str">
        <x:v>tabela_rodenstock.pdf</x:v>
      </x:c>
      <x:c r="U765" s="24" t="str">
        <x:v>Rodenstock|Progressiva ILT|Surfaçada|Impression EyeLT 2||1.5|1.50|ROAD|-8 a +8|até -6||75/80|||19</x:v>
      </x:c>
    </x:row>
    <x:row r="766">
      <x:c r="A766" s="24" t="str">
        <x:v>RD-8F8DD76E8398</x:v>
      </x:c>
      <x:c r="B766" s="24" t="str">
        <x:v>Rodenstock</x:v>
      </x:c>
      <x:c r="C766" s="24" t="str">
        <x:v>Progressiva ILT</x:v>
      </x:c>
      <x:c r="D766" s="24" t="str">
        <x:v>Surfaçada</x:v>
      </x:c>
      <x:c r="E766" s="24" t="str">
        <x:v>Impression EyeLT 2</x:v>
      </x:c>
      <x:c r="F766" s="24"/>
      <x:c r="G766" s="24" t="str">
        <x:v>1.5</x:v>
      </x:c>
      <x:c r="H766" s="24" t="str">
        <x:v>1.50</x:v>
      </x:c>
      <x:c r="I766" s="24" t="str">
        <x:v>Solitaire Protect</x:v>
      </x:c>
      <x:c r="J766" s="40" t="n">
        <x:v>10176</x:v>
      </x:c>
      <x:c r="K766" s="24" t="str">
        <x:v>-8 a +8</x:v>
      </x:c>
      <x:c r="L766" s="24" t="str">
        <x:v>até -6</x:v>
      </x:c>
      <x:c r="M766" s="24"/>
      <x:c r="N766" s="24" t="str">
        <x:v>75/80</x:v>
      </x:c>
      <x:c r="O766" s="24"/>
      <x:c r="P766" s="24"/>
      <x:c r="Q766" s="24" t="str">
        <x:v>DISPONÍVEL</x:v>
      </x:c>
      <x:c r="R766" s="24"/>
      <x:c r="S766" s="24" t="n">
        <x:v>19</x:v>
      </x:c>
      <x:c r="T766" s="24" t="str">
        <x:v>tabela_rodenstock.pdf</x:v>
      </x:c>
      <x:c r="U766" s="24" t="str">
        <x:v>Rodenstock|Progressiva ILT|Surfaçada|Impression EyeLT 2||1.5|1.50|Solitaire Protect|-8 a +8|até -6||75/80|||19</x:v>
      </x:c>
    </x:row>
    <x:row r="767">
      <x:c r="A767" s="24" t="str">
        <x:v>RD-FE42DC4E7364</x:v>
      </x:c>
      <x:c r="B767" s="24" t="str">
        <x:v>Rodenstock</x:v>
      </x:c>
      <x:c r="C767" s="24" t="str">
        <x:v>Progressiva ILT</x:v>
      </x:c>
      <x:c r="D767" s="24" t="str">
        <x:v>Surfaçada</x:v>
      </x:c>
      <x:c r="E767" s="24" t="str">
        <x:v>Impression EyeLT 2</x:v>
      </x:c>
      <x:c r="F767" s="24" t="str">
        <x:v>ColorMatic® 3</x:v>
      </x:c>
      <x:c r="G767" s="24" t="str">
        <x:v>1.54</x:v>
      </x:c>
      <x:c r="H767" s="24" t="str">
        <x:v>1.54</x:v>
      </x:c>
      <x:c r="I767" s="24" t="str">
        <x:v>Solitaire X-tra Clean</x:v>
      </x:c>
      <x:c r="J767" s="40" t="n">
        <x:v>11847</x:v>
      </x:c>
      <x:c r="K767" s="24" t="str">
        <x:v>-8 a +8</x:v>
      </x:c>
      <x:c r="L767" s="24" t="str">
        <x:v>até -6</x:v>
      </x:c>
      <x:c r="M767" s="24"/>
      <x:c r="N767" s="24" t="str">
        <x:v>75/80</x:v>
      </x:c>
      <x:c r="O767" s="24"/>
      <x:c r="P767" s="24"/>
      <x:c r="Q767" s="24" t="str">
        <x:v>DISPONÍVEL</x:v>
      </x:c>
      <x:c r="R767" s="24"/>
      <x:c r="S767" s="24" t="n">
        <x:v>19</x:v>
      </x:c>
      <x:c r="T767" s="24" t="str">
        <x:v>tabela_rodenstock.pdf</x:v>
      </x:c>
      <x:c r="U767" s="24" t="str">
        <x:v>Rodenstock|Progressiva ILT|Surfaçada|Impression EyeLT 2|ColorMatic® 3|1.54|1.54|Solitaire X-tra Clean|-8 a +8|até -6||75/80|||19</x:v>
      </x:c>
    </x:row>
    <x:row r="768">
      <x:c r="A768" s="24" t="str">
        <x:v>RD-39016E6E12C1</x:v>
      </x:c>
      <x:c r="B768" s="24" t="str">
        <x:v>Rodenstock</x:v>
      </x:c>
      <x:c r="C768" s="24" t="str">
        <x:v>Progressiva ILT</x:v>
      </x:c>
      <x:c r="D768" s="24" t="str">
        <x:v>Surfaçada</x:v>
      </x:c>
      <x:c r="E768" s="24" t="str">
        <x:v>Impression EyeLT 2</x:v>
      </x:c>
      <x:c r="F768" s="24" t="str">
        <x:v>ColorMatic® 3</x:v>
      </x:c>
      <x:c r="G768" s="24" t="str">
        <x:v>1.54</x:v>
      </x:c>
      <x:c r="H768" s="24" t="str">
        <x:v>1.54</x:v>
      </x:c>
      <x:c r="I768" s="24" t="str">
        <x:v>Solitaire 2 Protect Balance</x:v>
      </x:c>
      <x:c r="J768" s="40" t="n">
        <x:v>11797</x:v>
      </x:c>
      <x:c r="K768" s="24" t="str">
        <x:v>-8 a +8</x:v>
      </x:c>
      <x:c r="L768" s="24" t="str">
        <x:v>até -6</x:v>
      </x:c>
      <x:c r="M768" s="24"/>
      <x:c r="N768" s="24" t="str">
        <x:v>75/80</x:v>
      </x:c>
      <x:c r="O768" s="24"/>
      <x:c r="P768" s="24"/>
      <x:c r="Q768" s="24" t="str">
        <x:v>DISPONÍVEL</x:v>
      </x:c>
      <x:c r="R768" s="24"/>
      <x:c r="S768" s="24" t="n">
        <x:v>19</x:v>
      </x:c>
      <x:c r="T768" s="24" t="str">
        <x:v>tabela_rodenstock.pdf</x:v>
      </x:c>
      <x:c r="U768" s="24" t="str">
        <x:v>Rodenstock|Progressiva ILT|Surfaçada|Impression EyeLT 2|ColorMatic® 3|1.54|1.54|Solitaire 2 Protect Balance|-8 a +8|até -6||75/80|||19</x:v>
      </x:c>
    </x:row>
    <x:row r="769">
      <x:c r="A769" s="24" t="str">
        <x:v>RD-FBBCCE7BE90E</x:v>
      </x:c>
      <x:c r="B769" s="24" t="str">
        <x:v>Rodenstock</x:v>
      </x:c>
      <x:c r="C769" s="24" t="str">
        <x:v>Progressiva ILT</x:v>
      </x:c>
      <x:c r="D769" s="24" t="str">
        <x:v>Surfaçada</x:v>
      </x:c>
      <x:c r="E769" s="24" t="str">
        <x:v>Impression EyeLT 2</x:v>
      </x:c>
      <x:c r="F769" s="24" t="str">
        <x:v>ColorMatic® 3</x:v>
      </x:c>
      <x:c r="G769" s="24" t="str">
        <x:v>1.54</x:v>
      </x:c>
      <x:c r="H769" s="24" t="str">
        <x:v>1.54</x:v>
      </x:c>
      <x:c r="I769" s="24" t="str">
        <x:v>Solitaire Protect Plus</x:v>
      </x:c>
      <x:c r="J769" s="40" t="n">
        <x:v>11797</x:v>
      </x:c>
      <x:c r="K769" s="24" t="str">
        <x:v>-8 a +8</x:v>
      </x:c>
      <x:c r="L769" s="24" t="str">
        <x:v>até -6</x:v>
      </x:c>
      <x:c r="M769" s="24"/>
      <x:c r="N769" s="24" t="str">
        <x:v>75/80</x:v>
      </x:c>
      <x:c r="O769" s="24"/>
      <x:c r="P769" s="24"/>
      <x:c r="Q769" s="24" t="str">
        <x:v>DISPONÍVEL</x:v>
      </x:c>
      <x:c r="R769" s="24"/>
      <x:c r="S769" s="24" t="n">
        <x:v>19</x:v>
      </x:c>
      <x:c r="T769" s="24" t="str">
        <x:v>tabela_rodenstock.pdf</x:v>
      </x:c>
      <x:c r="U769" s="24" t="str">
        <x:v>Rodenstock|Progressiva ILT|Surfaçada|Impression EyeLT 2|ColorMatic® 3|1.54|1.54|Solitaire Protect Plus|-8 a +8|até -6||75/80|||19</x:v>
      </x:c>
    </x:row>
    <x:row r="770">
      <x:c r="A770" s="24" t="str">
        <x:v>RD-9780034DC91E</x:v>
      </x:c>
      <x:c r="B770" s="24" t="str">
        <x:v>Rodenstock</x:v>
      </x:c>
      <x:c r="C770" s="24" t="str">
        <x:v>Progressiva ILT</x:v>
      </x:c>
      <x:c r="D770" s="24" t="str">
        <x:v>Surfaçada</x:v>
      </x:c>
      <x:c r="E770" s="24" t="str">
        <x:v>Impression EyeLT 2</x:v>
      </x:c>
      <x:c r="F770" s="24" t="str">
        <x:v>ColorMatic® 3</x:v>
      </x:c>
      <x:c r="G770" s="24" t="str">
        <x:v>1.54</x:v>
      </x:c>
      <x:c r="H770" s="24" t="str">
        <x:v>1.54</x:v>
      </x:c>
      <x:c r="I770" s="24" t="str">
        <x:v>ROAD</x:v>
      </x:c>
      <x:c r="J770" s="40" t="n">
        <x:v>11797</x:v>
      </x:c>
      <x:c r="K770" s="24" t="str">
        <x:v>-8 a +8</x:v>
      </x:c>
      <x:c r="L770" s="24" t="str">
        <x:v>até -6</x:v>
      </x:c>
      <x:c r="M770" s="24"/>
      <x:c r="N770" s="24" t="str">
        <x:v>75/80</x:v>
      </x:c>
      <x:c r="O770" s="24"/>
      <x:c r="P770" s="24"/>
      <x:c r="Q770" s="24" t="str">
        <x:v>DISPONÍVEL</x:v>
      </x:c>
      <x:c r="R770" s="24"/>
      <x:c r="S770" s="24" t="n">
        <x:v>19</x:v>
      </x:c>
      <x:c r="T770" s="24" t="str">
        <x:v>tabela_rodenstock.pdf</x:v>
      </x:c>
      <x:c r="U770" s="24" t="str">
        <x:v>Rodenstock|Progressiva ILT|Surfaçada|Impression EyeLT 2|ColorMatic® 3|1.54|1.54|ROAD|-8 a +8|até -6||75/80|||19</x:v>
      </x:c>
    </x:row>
    <x:row r="771">
      <x:c r="A771" s="24" t="str">
        <x:v>RD-312E0A39533F</x:v>
      </x:c>
      <x:c r="B771" s="24" t="str">
        <x:v>Rodenstock</x:v>
      </x:c>
      <x:c r="C771" s="24" t="str">
        <x:v>Progressiva ILT</x:v>
      </x:c>
      <x:c r="D771" s="24" t="str">
        <x:v>Surfaçada</x:v>
      </x:c>
      <x:c r="E771" s="24" t="str">
        <x:v>Impression EyeLT 2</x:v>
      </x:c>
      <x:c r="F771" s="24" t="str">
        <x:v>ColorMatic® 3</x:v>
      </x:c>
      <x:c r="G771" s="24" t="str">
        <x:v>1.54</x:v>
      </x:c>
      <x:c r="H771" s="24" t="str">
        <x:v>1.54</x:v>
      </x:c>
      <x:c r="I771" s="24" t="str">
        <x:v>Solitaire Protect</x:v>
      </x:c>
      <x:c r="J771" s="40" t="n">
        <x:v>11537</x:v>
      </x:c>
      <x:c r="K771" s="24" t="str">
        <x:v>-8 a +8</x:v>
      </x:c>
      <x:c r="L771" s="24" t="str">
        <x:v>até -6</x:v>
      </x:c>
      <x:c r="M771" s="24"/>
      <x:c r="N771" s="24" t="str">
        <x:v>75/80</x:v>
      </x:c>
      <x:c r="O771" s="24"/>
      <x:c r="P771" s="24"/>
      <x:c r="Q771" s="24" t="str">
        <x:v>DISPONÍVEL</x:v>
      </x:c>
      <x:c r="R771" s="24"/>
      <x:c r="S771" s="24" t="n">
        <x:v>19</x:v>
      </x:c>
      <x:c r="T771" s="24" t="str">
        <x:v>tabela_rodenstock.pdf</x:v>
      </x:c>
      <x:c r="U771" s="24" t="str">
        <x:v>Rodenstock|Progressiva ILT|Surfaçada|Impression EyeLT 2|ColorMatic® 3|1.54|1.54|Solitaire Protect|-8 a +8|até -6||75/80|||19</x:v>
      </x:c>
    </x:row>
    <x:row r="772">
      <x:c r="A772" s="24" t="str">
        <x:v>RD-448CA45D15EB</x:v>
      </x:c>
      <x:c r="B772" s="24" t="str">
        <x:v>Rodenstock</x:v>
      </x:c>
      <x:c r="C772" s="24" t="str">
        <x:v>Progressiva ILT</x:v>
      </x:c>
      <x:c r="D772" s="24" t="str">
        <x:v>Surfaçada</x:v>
      </x:c>
      <x:c r="E772" s="24" t="str">
        <x:v>Impression EyeLT 2</x:v>
      </x:c>
      <x:c r="F772" s="24"/>
      <x:c r="G772" s="24" t="str">
        <x:v>1.6</x:v>
      </x:c>
      <x:c r="H772" s="24" t="str">
        <x:v>1.60</x:v>
      </x:c>
      <x:c r="I772" s="24" t="str">
        <x:v>Solitaire X-tra Clean</x:v>
      </x:c>
      <x:c r="J772" s="40" t="n">
        <x:v>11683</x:v>
      </x:c>
      <x:c r="K772" s="24" t="str">
        <x:v>-10 a +8</x:v>
      </x:c>
      <x:c r="L772" s="24" t="str">
        <x:v>até -6</x:v>
      </x:c>
      <x:c r="M772" s="24"/>
      <x:c r="N772" s="24" t="str">
        <x:v>75/80</x:v>
      </x:c>
      <x:c r="O772" s="24"/>
      <x:c r="P772" s="24"/>
      <x:c r="Q772" s="24" t="str">
        <x:v>DISPONÍVEL</x:v>
      </x:c>
      <x:c r="R772" s="24"/>
      <x:c r="S772" s="24" t="n">
        <x:v>19</x:v>
      </x:c>
      <x:c r="T772" s="24" t="str">
        <x:v>tabela_rodenstock.pdf</x:v>
      </x:c>
      <x:c r="U772" s="24" t="str">
        <x:v>Rodenstock|Progressiva ILT|Surfaçada|Impression EyeLT 2||1.6|1.60|Solitaire X-tra Clean|-10 a +8|até -6||75/80|||19</x:v>
      </x:c>
    </x:row>
    <x:row r="773">
      <x:c r="A773" s="24" t="str">
        <x:v>RD-9101397560A6</x:v>
      </x:c>
      <x:c r="B773" s="24" t="str">
        <x:v>Rodenstock</x:v>
      </x:c>
      <x:c r="C773" s="24" t="str">
        <x:v>Progressiva ILT</x:v>
      </x:c>
      <x:c r="D773" s="24" t="str">
        <x:v>Surfaçada</x:v>
      </x:c>
      <x:c r="E773" s="24" t="str">
        <x:v>Impression EyeLT 2</x:v>
      </x:c>
      <x:c r="F773" s="24"/>
      <x:c r="G773" s="24" t="str">
        <x:v>1.6</x:v>
      </x:c>
      <x:c r="H773" s="24" t="str">
        <x:v>1.60</x:v>
      </x:c>
      <x:c r="I773" s="24" t="str">
        <x:v>Solitaire 2 Protect Balance</x:v>
      </x:c>
      <x:c r="J773" s="40" t="n">
        <x:v>11633</x:v>
      </x:c>
      <x:c r="K773" s="24" t="str">
        <x:v>-10 a +8</x:v>
      </x:c>
      <x:c r="L773" s="24" t="str">
        <x:v>até -6</x:v>
      </x:c>
      <x:c r="M773" s="24"/>
      <x:c r="N773" s="24" t="str">
        <x:v>75/80</x:v>
      </x:c>
      <x:c r="O773" s="24"/>
      <x:c r="P773" s="24"/>
      <x:c r="Q773" s="24" t="str">
        <x:v>DISPONÍVEL</x:v>
      </x:c>
      <x:c r="R773" s="24"/>
      <x:c r="S773" s="24" t="n">
        <x:v>19</x:v>
      </x:c>
      <x:c r="T773" s="24" t="str">
        <x:v>tabela_rodenstock.pdf</x:v>
      </x:c>
      <x:c r="U773" s="24" t="str">
        <x:v>Rodenstock|Progressiva ILT|Surfaçada|Impression EyeLT 2||1.6|1.60|Solitaire 2 Protect Balance|-10 a +8|até -6||75/80|||19</x:v>
      </x:c>
    </x:row>
    <x:row r="774">
      <x:c r="A774" s="24" t="str">
        <x:v>RD-0E6ED43BA1A5</x:v>
      </x:c>
      <x:c r="B774" s="24" t="str">
        <x:v>Rodenstock</x:v>
      </x:c>
      <x:c r="C774" s="24" t="str">
        <x:v>Progressiva ILT</x:v>
      </x:c>
      <x:c r="D774" s="24" t="str">
        <x:v>Surfaçada</x:v>
      </x:c>
      <x:c r="E774" s="24" t="str">
        <x:v>Impression EyeLT 2</x:v>
      </x:c>
      <x:c r="F774" s="24"/>
      <x:c r="G774" s="24" t="str">
        <x:v>1.6</x:v>
      </x:c>
      <x:c r="H774" s="24" t="str">
        <x:v>1.60</x:v>
      </x:c>
      <x:c r="I774" s="24" t="str">
        <x:v>Solitaire Protect Plus</x:v>
      </x:c>
      <x:c r="J774" s="40" t="n">
        <x:v>11633</x:v>
      </x:c>
      <x:c r="K774" s="24" t="str">
        <x:v>-10 a +8</x:v>
      </x:c>
      <x:c r="L774" s="24" t="str">
        <x:v>até -6</x:v>
      </x:c>
      <x:c r="M774" s="24"/>
      <x:c r="N774" s="24" t="str">
        <x:v>75/80</x:v>
      </x:c>
      <x:c r="O774" s="24"/>
      <x:c r="P774" s="24"/>
      <x:c r="Q774" s="24" t="str">
        <x:v>DISPONÍVEL</x:v>
      </x:c>
      <x:c r="R774" s="24"/>
      <x:c r="S774" s="24" t="n">
        <x:v>19</x:v>
      </x:c>
      <x:c r="T774" s="24" t="str">
        <x:v>tabela_rodenstock.pdf</x:v>
      </x:c>
      <x:c r="U774" s="24" t="str">
        <x:v>Rodenstock|Progressiva ILT|Surfaçada|Impression EyeLT 2||1.6|1.60|Solitaire Protect Plus|-10 a +8|até -6||75/80|||19</x:v>
      </x:c>
    </x:row>
    <x:row r="775">
      <x:c r="A775" s="24" t="str">
        <x:v>RD-CC6A13F62C7D</x:v>
      </x:c>
      <x:c r="B775" s="24" t="str">
        <x:v>Rodenstock</x:v>
      </x:c>
      <x:c r="C775" s="24" t="str">
        <x:v>Progressiva ILT</x:v>
      </x:c>
      <x:c r="D775" s="24" t="str">
        <x:v>Surfaçada</x:v>
      </x:c>
      <x:c r="E775" s="24" t="str">
        <x:v>Impression EyeLT 2</x:v>
      </x:c>
      <x:c r="F775" s="24"/>
      <x:c r="G775" s="24" t="str">
        <x:v>1.6</x:v>
      </x:c>
      <x:c r="H775" s="24" t="str">
        <x:v>1.60</x:v>
      </x:c>
      <x:c r="I775" s="24" t="str">
        <x:v>ROAD</x:v>
      </x:c>
      <x:c r="J775" s="40" t="n">
        <x:v>11633</x:v>
      </x:c>
      <x:c r="K775" s="24" t="str">
        <x:v>-10 a +8</x:v>
      </x:c>
      <x:c r="L775" s="24" t="str">
        <x:v>até -6</x:v>
      </x:c>
      <x:c r="M775" s="24"/>
      <x:c r="N775" s="24" t="str">
        <x:v>75/80</x:v>
      </x:c>
      <x:c r="O775" s="24"/>
      <x:c r="P775" s="24"/>
      <x:c r="Q775" s="24" t="str">
        <x:v>DISPONÍVEL</x:v>
      </x:c>
      <x:c r="R775" s="24"/>
      <x:c r="S775" s="24" t="n">
        <x:v>19</x:v>
      </x:c>
      <x:c r="T775" s="24" t="str">
        <x:v>tabela_rodenstock.pdf</x:v>
      </x:c>
      <x:c r="U775" s="24" t="str">
        <x:v>Rodenstock|Progressiva ILT|Surfaçada|Impression EyeLT 2||1.6|1.60|ROAD|-10 a +8|até -6||75/80|||19</x:v>
      </x:c>
    </x:row>
    <x:row r="776">
      <x:c r="A776" s="24" t="str">
        <x:v>RD-B36C5F417C30</x:v>
      </x:c>
      <x:c r="B776" s="24" t="str">
        <x:v>Rodenstock</x:v>
      </x:c>
      <x:c r="C776" s="24" t="str">
        <x:v>Progressiva ILT</x:v>
      </x:c>
      <x:c r="D776" s="24" t="str">
        <x:v>Surfaçada</x:v>
      </x:c>
      <x:c r="E776" s="24" t="str">
        <x:v>Impression EyeLT 2</x:v>
      </x:c>
      <x:c r="F776" s="24"/>
      <x:c r="G776" s="24" t="str">
        <x:v>1.6</x:v>
      </x:c>
      <x:c r="H776" s="24" t="str">
        <x:v>1.60</x:v>
      </x:c>
      <x:c r="I776" s="24" t="str">
        <x:v>Solitaire Protect</x:v>
      </x:c>
      <x:c r="J776" s="40" t="n">
        <x:v>11373</x:v>
      </x:c>
      <x:c r="K776" s="24" t="str">
        <x:v>-10 a +8</x:v>
      </x:c>
      <x:c r="L776" s="24" t="str">
        <x:v>até -6</x:v>
      </x:c>
      <x:c r="M776" s="24"/>
      <x:c r="N776" s="24" t="str">
        <x:v>75/80</x:v>
      </x:c>
      <x:c r="O776" s="24"/>
      <x:c r="P776" s="24"/>
      <x:c r="Q776" s="24" t="str">
        <x:v>DISPONÍVEL</x:v>
      </x:c>
      <x:c r="R776" s="24"/>
      <x:c r="S776" s="24" t="n">
        <x:v>19</x:v>
      </x:c>
      <x:c r="T776" s="24" t="str">
        <x:v>tabela_rodenstock.pdf</x:v>
      </x:c>
      <x:c r="U776" s="24" t="str">
        <x:v>Rodenstock|Progressiva ILT|Surfaçada|Impression EyeLT 2||1.6|1.60|Solitaire Protect|-10 a +8|até -6||75/80|||19</x:v>
      </x:c>
    </x:row>
    <x:row r="777">
      <x:c r="A777" s="24" t="str">
        <x:v>RD-30BB862499E7</x:v>
      </x:c>
      <x:c r="B777" s="24" t="str">
        <x:v>Rodenstock</x:v>
      </x:c>
      <x:c r="C777" s="24" t="str">
        <x:v>Progressiva ILT</x:v>
      </x:c>
      <x:c r="D777" s="24" t="str">
        <x:v>Surfaçada</x:v>
      </x:c>
      <x:c r="E777" s="24" t="str">
        <x:v>Impression EyeLT 2</x:v>
      </x:c>
      <x:c r="F777" s="24" t="str">
        <x:v>PRO410</x:v>
      </x:c>
      <x:c r="G777" s="24" t="str">
        <x:v>1.6</x:v>
      </x:c>
      <x:c r="H777" s="24" t="str">
        <x:v>1.60</x:v>
      </x:c>
      <x:c r="I777" s="24" t="str">
        <x:v>Solitaire X-tra Clean</x:v>
      </x:c>
      <x:c r="J777" s="40" t="n">
        <x:v>12209</x:v>
      </x:c>
      <x:c r="K777" s="24" t="str">
        <x:v>-10 a +8</x:v>
      </x:c>
      <x:c r="L777" s="24" t="str">
        <x:v>até -6</x:v>
      </x:c>
      <x:c r="M777" s="24"/>
      <x:c r="N777" s="24" t="str">
        <x:v>75/80</x:v>
      </x:c>
      <x:c r="O777" s="24"/>
      <x:c r="P777" s="24"/>
      <x:c r="Q777" s="24" t="str">
        <x:v>DISPONÍVEL</x:v>
      </x:c>
      <x:c r="R777" s="24"/>
      <x:c r="S777" s="24" t="n">
        <x:v>19</x:v>
      </x:c>
      <x:c r="T777" s="24" t="str">
        <x:v>tabela_rodenstock.pdf</x:v>
      </x:c>
      <x:c r="U777" s="24" t="str">
        <x:v>Rodenstock|Progressiva ILT|Surfaçada|Impression EyeLT 2|PRO410|1.6|1.60|Solitaire X-tra Clean|-10 a +8|até -6||75/80|||19</x:v>
      </x:c>
    </x:row>
    <x:row r="778">
      <x:c r="A778" s="24" t="str">
        <x:v>RD-32F8A1F8E7F1</x:v>
      </x:c>
      <x:c r="B778" s="24" t="str">
        <x:v>Rodenstock</x:v>
      </x:c>
      <x:c r="C778" s="24" t="str">
        <x:v>Progressiva ILT</x:v>
      </x:c>
      <x:c r="D778" s="24" t="str">
        <x:v>Surfaçada</x:v>
      </x:c>
      <x:c r="E778" s="24" t="str">
        <x:v>Impression EyeLT 2</x:v>
      </x:c>
      <x:c r="F778" s="24" t="str">
        <x:v>PRO410</x:v>
      </x:c>
      <x:c r="G778" s="24" t="str">
        <x:v>1.6</x:v>
      </x:c>
      <x:c r="H778" s="24" t="str">
        <x:v>1.60</x:v>
      </x:c>
      <x:c r="I778" s="24" t="str">
        <x:v>Solitaire 2 Protect Balance</x:v>
      </x:c>
      <x:c r="J778" s="40" t="n">
        <x:v>12159</x:v>
      </x:c>
      <x:c r="K778" s="24" t="str">
        <x:v>-10 a +8</x:v>
      </x:c>
      <x:c r="L778" s="24" t="str">
        <x:v>até -6</x:v>
      </x:c>
      <x:c r="M778" s="24"/>
      <x:c r="N778" s="24" t="str">
        <x:v>75/80</x:v>
      </x:c>
      <x:c r="O778" s="24"/>
      <x:c r="P778" s="24"/>
      <x:c r="Q778" s="24" t="str">
        <x:v>DISPONÍVEL</x:v>
      </x:c>
      <x:c r="R778" s="24"/>
      <x:c r="S778" s="24" t="n">
        <x:v>19</x:v>
      </x:c>
      <x:c r="T778" s="24" t="str">
        <x:v>tabela_rodenstock.pdf</x:v>
      </x:c>
      <x:c r="U778" s="24" t="str">
        <x:v>Rodenstock|Progressiva ILT|Surfaçada|Impression EyeLT 2|PRO410|1.6|1.60|Solitaire 2 Protect Balance|-10 a +8|até -6||75/80|||19</x:v>
      </x:c>
    </x:row>
    <x:row r="779">
      <x:c r="A779" s="24" t="str">
        <x:v>RD-7AA1AE39EABB</x:v>
      </x:c>
      <x:c r="B779" s="24" t="str">
        <x:v>Rodenstock</x:v>
      </x:c>
      <x:c r="C779" s="24" t="str">
        <x:v>Progressiva ILT</x:v>
      </x:c>
      <x:c r="D779" s="24" t="str">
        <x:v>Surfaçada</x:v>
      </x:c>
      <x:c r="E779" s="24" t="str">
        <x:v>Impression EyeLT 2</x:v>
      </x:c>
      <x:c r="F779" s="24" t="str">
        <x:v>PRO410</x:v>
      </x:c>
      <x:c r="G779" s="24" t="str">
        <x:v>1.6</x:v>
      </x:c>
      <x:c r="H779" s="24" t="str">
        <x:v>1.60</x:v>
      </x:c>
      <x:c r="I779" s="24" t="str">
        <x:v>Solitaire Protect Plus</x:v>
      </x:c>
      <x:c r="J779" s="40" t="n">
        <x:v>12159</x:v>
      </x:c>
      <x:c r="K779" s="24" t="str">
        <x:v>-10 a +8</x:v>
      </x:c>
      <x:c r="L779" s="24" t="str">
        <x:v>até -6</x:v>
      </x:c>
      <x:c r="M779" s="24"/>
      <x:c r="N779" s="24" t="str">
        <x:v>75/80</x:v>
      </x:c>
      <x:c r="O779" s="24"/>
      <x:c r="P779" s="24"/>
      <x:c r="Q779" s="24" t="str">
        <x:v>DISPONÍVEL</x:v>
      </x:c>
      <x:c r="R779" s="24"/>
      <x:c r="S779" s="24" t="n">
        <x:v>19</x:v>
      </x:c>
      <x:c r="T779" s="24" t="str">
        <x:v>tabela_rodenstock.pdf</x:v>
      </x:c>
      <x:c r="U779" s="24" t="str">
        <x:v>Rodenstock|Progressiva ILT|Surfaçada|Impression EyeLT 2|PRO410|1.6|1.60|Solitaire Protect Plus|-10 a +8|até -6||75/80|||19</x:v>
      </x:c>
    </x:row>
    <x:row r="780">
      <x:c r="A780" s="24" t="str">
        <x:v>RD-9F01B1454126</x:v>
      </x:c>
      <x:c r="B780" s="24" t="str">
        <x:v>Rodenstock</x:v>
      </x:c>
      <x:c r="C780" s="24" t="str">
        <x:v>Progressiva ILT</x:v>
      </x:c>
      <x:c r="D780" s="24" t="str">
        <x:v>Surfaçada</x:v>
      </x:c>
      <x:c r="E780" s="24" t="str">
        <x:v>Impression EyeLT 2</x:v>
      </x:c>
      <x:c r="F780" s="24" t="str">
        <x:v>PRO410</x:v>
      </x:c>
      <x:c r="G780" s="24" t="str">
        <x:v>1.6</x:v>
      </x:c>
      <x:c r="H780" s="24" t="str">
        <x:v>1.60</x:v>
      </x:c>
      <x:c r="I780" s="24" t="str">
        <x:v>ROAD</x:v>
      </x:c>
      <x:c r="J780" s="40" t="n">
        <x:v>12159</x:v>
      </x:c>
      <x:c r="K780" s="24" t="str">
        <x:v>-10 a +8</x:v>
      </x:c>
      <x:c r="L780" s="24" t="str">
        <x:v>até -6</x:v>
      </x:c>
      <x:c r="M780" s="24"/>
      <x:c r="N780" s="24" t="str">
        <x:v>75/80</x:v>
      </x:c>
      <x:c r="O780" s="24"/>
      <x:c r="P780" s="24"/>
      <x:c r="Q780" s="24" t="str">
        <x:v>DISPONÍVEL</x:v>
      </x:c>
      <x:c r="R780" s="24"/>
      <x:c r="S780" s="24" t="n">
        <x:v>19</x:v>
      </x:c>
      <x:c r="T780" s="24" t="str">
        <x:v>tabela_rodenstock.pdf</x:v>
      </x:c>
      <x:c r="U780" s="24" t="str">
        <x:v>Rodenstock|Progressiva ILT|Surfaçada|Impression EyeLT 2|PRO410|1.6|1.60|ROAD|-10 a +8|até -6||75/80|||19</x:v>
      </x:c>
    </x:row>
    <x:row r="781">
      <x:c r="A781" s="24" t="str">
        <x:v>RD-208CBBE2558B</x:v>
      </x:c>
      <x:c r="B781" s="24" t="str">
        <x:v>Rodenstock</x:v>
      </x:c>
      <x:c r="C781" s="24" t="str">
        <x:v>Progressiva ILT</x:v>
      </x:c>
      <x:c r="D781" s="24" t="str">
        <x:v>Surfaçada</x:v>
      </x:c>
      <x:c r="E781" s="24" t="str">
        <x:v>Impression EyeLT 2</x:v>
      </x:c>
      <x:c r="F781" s="24" t="str">
        <x:v>PRO410</x:v>
      </x:c>
      <x:c r="G781" s="24" t="str">
        <x:v>1.6</x:v>
      </x:c>
      <x:c r="H781" s="24" t="str">
        <x:v>1.60</x:v>
      </x:c>
      <x:c r="I781" s="24" t="str">
        <x:v>Solitaire Protect</x:v>
      </x:c>
      <x:c r="J781" s="40" t="n">
        <x:v>11899</x:v>
      </x:c>
      <x:c r="K781" s="24" t="str">
        <x:v>-10 a +8</x:v>
      </x:c>
      <x:c r="L781" s="24" t="str">
        <x:v>até -6</x:v>
      </x:c>
      <x:c r="M781" s="24"/>
      <x:c r="N781" s="24" t="str">
        <x:v>75/80</x:v>
      </x:c>
      <x:c r="O781" s="24"/>
      <x:c r="P781" s="24"/>
      <x:c r="Q781" s="24" t="str">
        <x:v>DISPONÍVEL</x:v>
      </x:c>
      <x:c r="R781" s="24"/>
      <x:c r="S781" s="24" t="n">
        <x:v>19</x:v>
      </x:c>
      <x:c r="T781" s="24" t="str">
        <x:v>tabela_rodenstock.pdf</x:v>
      </x:c>
      <x:c r="U781" s="24" t="str">
        <x:v>Rodenstock|Progressiva ILT|Surfaçada|Impression EyeLT 2|PRO410|1.6|1.60|Solitaire Protect|-10 a +8|até -6||75/80|||19</x:v>
      </x:c>
    </x:row>
    <x:row r="782">
      <x:c r="A782" s="24" t="str">
        <x:v>RD-4DD85FCBD39D</x:v>
      </x:c>
      <x:c r="B782" s="24" t="str">
        <x:v>Rodenstock</x:v>
      </x:c>
      <x:c r="C782" s="24" t="str">
        <x:v>Progressiva ILT</x:v>
      </x:c>
      <x:c r="D782" s="24" t="str">
        <x:v>Surfaçada</x:v>
      </x:c>
      <x:c r="E782" s="24" t="str">
        <x:v>Impression EyeLT 2</x:v>
      </x:c>
      <x:c r="F782" s="24" t="str">
        <x:v>ColorMatic® 3</x:v>
      </x:c>
      <x:c r="G782" s="24" t="str">
        <x:v>1.6</x:v>
      </x:c>
      <x:c r="H782" s="24" t="str">
        <x:v>1.60</x:v>
      </x:c>
      <x:c r="I782" s="24" t="str">
        <x:v>Solitaire X-tra Clean</x:v>
      </x:c>
      <x:c r="J782" s="40" t="n">
        <x:v>12848</x:v>
      </x:c>
      <x:c r="K782" s="24" t="str">
        <x:v>-10 a +8</x:v>
      </x:c>
      <x:c r="L782" s="24" t="str">
        <x:v>até -6</x:v>
      </x:c>
      <x:c r="M782" s="24"/>
      <x:c r="N782" s="24" t="str">
        <x:v>75/80</x:v>
      </x:c>
      <x:c r="O782" s="24"/>
      <x:c r="P782" s="24"/>
      <x:c r="Q782" s="24" t="str">
        <x:v>DISPONÍVEL</x:v>
      </x:c>
      <x:c r="R782" s="24"/>
      <x:c r="S782" s="24" t="n">
        <x:v>19</x:v>
      </x:c>
      <x:c r="T782" s="24" t="str">
        <x:v>tabela_rodenstock.pdf</x:v>
      </x:c>
      <x:c r="U782" s="24" t="str">
        <x:v>Rodenstock|Progressiva ILT|Surfaçada|Impression EyeLT 2|ColorMatic® 3|1.6|1.60|Solitaire X-tra Clean|-10 a +8|até -6||75/80|||19</x:v>
      </x:c>
    </x:row>
    <x:row r="783">
      <x:c r="A783" s="24" t="str">
        <x:v>RD-ED6C52987A41</x:v>
      </x:c>
      <x:c r="B783" s="24" t="str">
        <x:v>Rodenstock</x:v>
      </x:c>
      <x:c r="C783" s="24" t="str">
        <x:v>Progressiva ILT</x:v>
      </x:c>
      <x:c r="D783" s="24" t="str">
        <x:v>Surfaçada</x:v>
      </x:c>
      <x:c r="E783" s="24" t="str">
        <x:v>Impression EyeLT 2</x:v>
      </x:c>
      <x:c r="F783" s="24" t="str">
        <x:v>ColorMatic® 3</x:v>
      </x:c>
      <x:c r="G783" s="24" t="str">
        <x:v>1.6</x:v>
      </x:c>
      <x:c r="H783" s="24" t="str">
        <x:v>1.60</x:v>
      </x:c>
      <x:c r="I783" s="24" t="str">
        <x:v>Solitaire 2 Protect Balance</x:v>
      </x:c>
      <x:c r="J783" s="40" t="n">
        <x:v>12798</x:v>
      </x:c>
      <x:c r="K783" s="24" t="str">
        <x:v>-10 a +8</x:v>
      </x:c>
      <x:c r="L783" s="24" t="str">
        <x:v>até -6</x:v>
      </x:c>
      <x:c r="M783" s="24"/>
      <x:c r="N783" s="24" t="str">
        <x:v>75/80</x:v>
      </x:c>
      <x:c r="O783" s="24"/>
      <x:c r="P783" s="24"/>
      <x:c r="Q783" s="24" t="str">
        <x:v>DISPONÍVEL</x:v>
      </x:c>
      <x:c r="R783" s="24"/>
      <x:c r="S783" s="24" t="n">
        <x:v>19</x:v>
      </x:c>
      <x:c r="T783" s="24" t="str">
        <x:v>tabela_rodenstock.pdf</x:v>
      </x:c>
      <x:c r="U783" s="24" t="str">
        <x:v>Rodenstock|Progressiva ILT|Surfaçada|Impression EyeLT 2|ColorMatic® 3|1.6|1.60|Solitaire 2 Protect Balance|-10 a +8|até -6||75/80|||19</x:v>
      </x:c>
    </x:row>
    <x:row r="784">
      <x:c r="A784" s="24" t="str">
        <x:v>RD-E9A9436FEB92</x:v>
      </x:c>
      <x:c r="B784" s="24" t="str">
        <x:v>Rodenstock</x:v>
      </x:c>
      <x:c r="C784" s="24" t="str">
        <x:v>Progressiva ILT</x:v>
      </x:c>
      <x:c r="D784" s="24" t="str">
        <x:v>Surfaçada</x:v>
      </x:c>
      <x:c r="E784" s="24" t="str">
        <x:v>Impression EyeLT 2</x:v>
      </x:c>
      <x:c r="F784" s="24" t="str">
        <x:v>ColorMatic® 3</x:v>
      </x:c>
      <x:c r="G784" s="24" t="str">
        <x:v>1.6</x:v>
      </x:c>
      <x:c r="H784" s="24" t="str">
        <x:v>1.60</x:v>
      </x:c>
      <x:c r="I784" s="24" t="str">
        <x:v>Solitaire Protect Plus</x:v>
      </x:c>
      <x:c r="J784" s="40" t="n">
        <x:v>12798</x:v>
      </x:c>
      <x:c r="K784" s="24" t="str">
        <x:v>-10 a +8</x:v>
      </x:c>
      <x:c r="L784" s="24" t="str">
        <x:v>até -6</x:v>
      </x:c>
      <x:c r="M784" s="24"/>
      <x:c r="N784" s="24" t="str">
        <x:v>75/80</x:v>
      </x:c>
      <x:c r="O784" s="24"/>
      <x:c r="P784" s="24"/>
      <x:c r="Q784" s="24" t="str">
        <x:v>DISPONÍVEL</x:v>
      </x:c>
      <x:c r="R784" s="24"/>
      <x:c r="S784" s="24" t="n">
        <x:v>19</x:v>
      </x:c>
      <x:c r="T784" s="24" t="str">
        <x:v>tabela_rodenstock.pdf</x:v>
      </x:c>
      <x:c r="U784" s="24" t="str">
        <x:v>Rodenstock|Progressiva ILT|Surfaçada|Impression EyeLT 2|ColorMatic® 3|1.6|1.60|Solitaire Protect Plus|-10 a +8|até -6||75/80|||19</x:v>
      </x:c>
    </x:row>
    <x:row r="785">
      <x:c r="A785" s="24" t="str">
        <x:v>RD-338FE1B9FD1D</x:v>
      </x:c>
      <x:c r="B785" s="24" t="str">
        <x:v>Rodenstock</x:v>
      </x:c>
      <x:c r="C785" s="24" t="str">
        <x:v>Progressiva ILT</x:v>
      </x:c>
      <x:c r="D785" s="24" t="str">
        <x:v>Surfaçada</x:v>
      </x:c>
      <x:c r="E785" s="24" t="str">
        <x:v>Impression EyeLT 2</x:v>
      </x:c>
      <x:c r="F785" s="24" t="str">
        <x:v>ColorMatic® 3</x:v>
      </x:c>
      <x:c r="G785" s="24" t="str">
        <x:v>1.6</x:v>
      </x:c>
      <x:c r="H785" s="24" t="str">
        <x:v>1.60</x:v>
      </x:c>
      <x:c r="I785" s="24" t="str">
        <x:v>ROAD</x:v>
      </x:c>
      <x:c r="J785" s="40" t="n">
        <x:v>12798</x:v>
      </x:c>
      <x:c r="K785" s="24" t="str">
        <x:v>-10 a +8</x:v>
      </x:c>
      <x:c r="L785" s="24" t="str">
        <x:v>até -6</x:v>
      </x:c>
      <x:c r="M785" s="24"/>
      <x:c r="N785" s="24" t="str">
        <x:v>75/80</x:v>
      </x:c>
      <x:c r="O785" s="24"/>
      <x:c r="P785" s="24"/>
      <x:c r="Q785" s="24" t="str">
        <x:v>DISPONÍVEL</x:v>
      </x:c>
      <x:c r="R785" s="24"/>
      <x:c r="S785" s="24" t="n">
        <x:v>19</x:v>
      </x:c>
      <x:c r="T785" s="24" t="str">
        <x:v>tabela_rodenstock.pdf</x:v>
      </x:c>
      <x:c r="U785" s="24" t="str">
        <x:v>Rodenstock|Progressiva ILT|Surfaçada|Impression EyeLT 2|ColorMatic® 3|1.6|1.60|ROAD|-10 a +8|até -6||75/80|||19</x:v>
      </x:c>
    </x:row>
    <x:row r="786">
      <x:c r="A786" s="24" t="str">
        <x:v>RD-6C9B3D59EB28</x:v>
      </x:c>
      <x:c r="B786" s="24" t="str">
        <x:v>Rodenstock</x:v>
      </x:c>
      <x:c r="C786" s="24" t="str">
        <x:v>Progressiva ILT</x:v>
      </x:c>
      <x:c r="D786" s="24" t="str">
        <x:v>Surfaçada</x:v>
      </x:c>
      <x:c r="E786" s="24" t="str">
        <x:v>Impression EyeLT 2</x:v>
      </x:c>
      <x:c r="F786" s="24" t="str">
        <x:v>ColorMatic® 3</x:v>
      </x:c>
      <x:c r="G786" s="24" t="str">
        <x:v>1.6</x:v>
      </x:c>
      <x:c r="H786" s="24" t="str">
        <x:v>1.60</x:v>
      </x:c>
      <x:c r="I786" s="24" t="str">
        <x:v>Solitaire Protect</x:v>
      </x:c>
      <x:c r="J786" s="40" t="n">
        <x:v>12538</x:v>
      </x:c>
      <x:c r="K786" s="24" t="str">
        <x:v>-10 a +8</x:v>
      </x:c>
      <x:c r="L786" s="24" t="str">
        <x:v>até -6</x:v>
      </x:c>
      <x:c r="M786" s="24"/>
      <x:c r="N786" s="24" t="str">
        <x:v>75/80</x:v>
      </x:c>
      <x:c r="O786" s="24"/>
      <x:c r="P786" s="24"/>
      <x:c r="Q786" s="24" t="str">
        <x:v>DISPONÍVEL</x:v>
      </x:c>
      <x:c r="R786" s="24"/>
      <x:c r="S786" s="24" t="n">
        <x:v>19</x:v>
      </x:c>
      <x:c r="T786" s="24" t="str">
        <x:v>tabela_rodenstock.pdf</x:v>
      </x:c>
      <x:c r="U786" s="24" t="str">
        <x:v>Rodenstock|Progressiva ILT|Surfaçada|Impression EyeLT 2|ColorMatic® 3|1.6|1.60|Solitaire Protect|-10 a +8|até -6||75/80|||19</x:v>
      </x:c>
    </x:row>
    <x:row r="787">
      <x:c r="A787" s="24" t="str">
        <x:v>RD-B3207F373814</x:v>
      </x:c>
      <x:c r="B787" s="24" t="str">
        <x:v>Rodenstock</x:v>
      </x:c>
      <x:c r="C787" s="24" t="str">
        <x:v>Progressiva ILT</x:v>
      </x:c>
      <x:c r="D787" s="24" t="str">
        <x:v>Surfaçada</x:v>
      </x:c>
      <x:c r="E787" s="24" t="str">
        <x:v>Impression EyeLT 2</x:v>
      </x:c>
      <x:c r="F787" s="24"/>
      <x:c r="G787" s="24" t="str">
        <x:v>1.67</x:v>
      </x:c>
      <x:c r="H787" s="24" t="str">
        <x:v>1.67</x:v>
      </x:c>
      <x:c r="I787" s="24" t="str">
        <x:v>Solitaire X-tra Clean</x:v>
      </x:c>
      <x:c r="J787" s="40" t="n">
        <x:v>13613</x:v>
      </x:c>
      <x:c r="K787" s="24" t="str">
        <x:v>-10 a +8</x:v>
      </x:c>
      <x:c r="L787" s="24" t="str">
        <x:v>até -6</x:v>
      </x:c>
      <x:c r="M787" s="24"/>
      <x:c r="N787" s="24" t="str">
        <x:v>75/80</x:v>
      </x:c>
      <x:c r="O787" s="24"/>
      <x:c r="P787" s="24"/>
      <x:c r="Q787" s="24" t="str">
        <x:v>DISPONÍVEL</x:v>
      </x:c>
      <x:c r="R787" s="24"/>
      <x:c r="S787" s="24" t="n">
        <x:v>19</x:v>
      </x:c>
      <x:c r="T787" s="24" t="str">
        <x:v>tabela_rodenstock.pdf</x:v>
      </x:c>
      <x:c r="U787" s="24" t="str">
        <x:v>Rodenstock|Progressiva ILT|Surfaçada|Impression EyeLT 2||1.67|1.67|Solitaire X-tra Clean|-10 a +8|até -6||75/80|||19</x:v>
      </x:c>
    </x:row>
    <x:row r="788">
      <x:c r="A788" s="24" t="str">
        <x:v>RD-74DCDE019FBB</x:v>
      </x:c>
      <x:c r="B788" s="24" t="str">
        <x:v>Rodenstock</x:v>
      </x:c>
      <x:c r="C788" s="24" t="str">
        <x:v>Progressiva ILT</x:v>
      </x:c>
      <x:c r="D788" s="24" t="str">
        <x:v>Surfaçada</x:v>
      </x:c>
      <x:c r="E788" s="24" t="str">
        <x:v>Impression EyeLT 2</x:v>
      </x:c>
      <x:c r="F788" s="24"/>
      <x:c r="G788" s="24" t="str">
        <x:v>1.67</x:v>
      </x:c>
      <x:c r="H788" s="24" t="str">
        <x:v>1.67</x:v>
      </x:c>
      <x:c r="I788" s="24" t="str">
        <x:v>Solitaire 2 Protect Balance</x:v>
      </x:c>
      <x:c r="J788" s="40" t="n">
        <x:v>13563</x:v>
      </x:c>
      <x:c r="K788" s="24" t="str">
        <x:v>-10 a +8</x:v>
      </x:c>
      <x:c r="L788" s="24" t="str">
        <x:v>até -6</x:v>
      </x:c>
      <x:c r="M788" s="24"/>
      <x:c r="N788" s="24" t="str">
        <x:v>75/80</x:v>
      </x:c>
      <x:c r="O788" s="24"/>
      <x:c r="P788" s="24"/>
      <x:c r="Q788" s="24" t="str">
        <x:v>DISPONÍVEL</x:v>
      </x:c>
      <x:c r="R788" s="24"/>
      <x:c r="S788" s="24" t="n">
        <x:v>19</x:v>
      </x:c>
      <x:c r="T788" s="24" t="str">
        <x:v>tabela_rodenstock.pdf</x:v>
      </x:c>
      <x:c r="U788" s="24" t="str">
        <x:v>Rodenstock|Progressiva ILT|Surfaçada|Impression EyeLT 2||1.67|1.67|Solitaire 2 Protect Balance|-10 a +8|até -6||75/80|||19</x:v>
      </x:c>
    </x:row>
    <x:row r="789">
      <x:c r="A789" s="24" t="str">
        <x:v>RD-4654E8DADF09</x:v>
      </x:c>
      <x:c r="B789" s="24" t="str">
        <x:v>Rodenstock</x:v>
      </x:c>
      <x:c r="C789" s="24" t="str">
        <x:v>Progressiva ILT</x:v>
      </x:c>
      <x:c r="D789" s="24" t="str">
        <x:v>Surfaçada</x:v>
      </x:c>
      <x:c r="E789" s="24" t="str">
        <x:v>Impression EyeLT 2</x:v>
      </x:c>
      <x:c r="F789" s="24"/>
      <x:c r="G789" s="24" t="str">
        <x:v>1.67</x:v>
      </x:c>
      <x:c r="H789" s="24" t="str">
        <x:v>1.67</x:v>
      </x:c>
      <x:c r="I789" s="24" t="str">
        <x:v>Solitaire Protect Plus</x:v>
      </x:c>
      <x:c r="J789" s="40" t="n">
        <x:v>13563</x:v>
      </x:c>
      <x:c r="K789" s="24" t="str">
        <x:v>-10 a +8</x:v>
      </x:c>
      <x:c r="L789" s="24" t="str">
        <x:v>até -6</x:v>
      </x:c>
      <x:c r="M789" s="24"/>
      <x:c r="N789" s="24" t="str">
        <x:v>75/80</x:v>
      </x:c>
      <x:c r="O789" s="24"/>
      <x:c r="P789" s="24"/>
      <x:c r="Q789" s="24" t="str">
        <x:v>DISPONÍVEL</x:v>
      </x:c>
      <x:c r="R789" s="24"/>
      <x:c r="S789" s="24" t="n">
        <x:v>19</x:v>
      </x:c>
      <x:c r="T789" s="24" t="str">
        <x:v>tabela_rodenstock.pdf</x:v>
      </x:c>
      <x:c r="U789" s="24" t="str">
        <x:v>Rodenstock|Progressiva ILT|Surfaçada|Impression EyeLT 2||1.67|1.67|Solitaire Protect Plus|-10 a +8|até -6||75/80|||19</x:v>
      </x:c>
    </x:row>
    <x:row r="790">
      <x:c r="A790" s="24" t="str">
        <x:v>RD-1BDE08B24F0F</x:v>
      </x:c>
      <x:c r="B790" s="24" t="str">
        <x:v>Rodenstock</x:v>
      </x:c>
      <x:c r="C790" s="24" t="str">
        <x:v>Progressiva ILT</x:v>
      </x:c>
      <x:c r="D790" s="24" t="str">
        <x:v>Surfaçada</x:v>
      </x:c>
      <x:c r="E790" s="24" t="str">
        <x:v>Impression EyeLT 2</x:v>
      </x:c>
      <x:c r="F790" s="24"/>
      <x:c r="G790" s="24" t="str">
        <x:v>1.67</x:v>
      </x:c>
      <x:c r="H790" s="24" t="str">
        <x:v>1.67</x:v>
      </x:c>
      <x:c r="I790" s="24" t="str">
        <x:v>ROAD</x:v>
      </x:c>
      <x:c r="J790" s="40" t="n">
        <x:v>13563</x:v>
      </x:c>
      <x:c r="K790" s="24" t="str">
        <x:v>-10 a +8</x:v>
      </x:c>
      <x:c r="L790" s="24" t="str">
        <x:v>até -6</x:v>
      </x:c>
      <x:c r="M790" s="24"/>
      <x:c r="N790" s="24" t="str">
        <x:v>75/80</x:v>
      </x:c>
      <x:c r="O790" s="24"/>
      <x:c r="P790" s="24"/>
      <x:c r="Q790" s="24" t="str">
        <x:v>DISPONÍVEL</x:v>
      </x:c>
      <x:c r="R790" s="24"/>
      <x:c r="S790" s="24" t="n">
        <x:v>19</x:v>
      </x:c>
      <x:c r="T790" s="24" t="str">
        <x:v>tabela_rodenstock.pdf</x:v>
      </x:c>
      <x:c r="U790" s="24" t="str">
        <x:v>Rodenstock|Progressiva ILT|Surfaçada|Impression EyeLT 2||1.67|1.67|ROAD|-10 a +8|até -6||75/80|||19</x:v>
      </x:c>
    </x:row>
    <x:row r="791">
      <x:c r="A791" s="24" t="str">
        <x:v>RD-E05928ADDAA8</x:v>
      </x:c>
      <x:c r="B791" s="24" t="str">
        <x:v>Rodenstock</x:v>
      </x:c>
      <x:c r="C791" s="24" t="str">
        <x:v>Progressiva ILT</x:v>
      </x:c>
      <x:c r="D791" s="24" t="str">
        <x:v>Surfaçada</x:v>
      </x:c>
      <x:c r="E791" s="24" t="str">
        <x:v>Impression EyeLT 2</x:v>
      </x:c>
      <x:c r="F791" s="24"/>
      <x:c r="G791" s="24" t="str">
        <x:v>1.67</x:v>
      </x:c>
      <x:c r="H791" s="24" t="str">
        <x:v>1.67</x:v>
      </x:c>
      <x:c r="I791" s="24" t="str">
        <x:v>Solitaire Protect</x:v>
      </x:c>
      <x:c r="J791" s="40" t="n">
        <x:v>13303</x:v>
      </x:c>
      <x:c r="K791" s="24" t="str">
        <x:v>-10 a +8</x:v>
      </x:c>
      <x:c r="L791" s="24" t="str">
        <x:v>até -6</x:v>
      </x:c>
      <x:c r="M791" s="24"/>
      <x:c r="N791" s="24" t="str">
        <x:v>75/80</x:v>
      </x:c>
      <x:c r="O791" s="24"/>
      <x:c r="P791" s="24"/>
      <x:c r="Q791" s="24" t="str">
        <x:v>DISPONÍVEL</x:v>
      </x:c>
      <x:c r="R791" s="24"/>
      <x:c r="S791" s="24" t="n">
        <x:v>19</x:v>
      </x:c>
      <x:c r="T791" s="24" t="str">
        <x:v>tabela_rodenstock.pdf</x:v>
      </x:c>
      <x:c r="U791" s="24" t="str">
        <x:v>Rodenstock|Progressiva ILT|Surfaçada|Impression EyeLT 2||1.67|1.67|Solitaire Protect|-10 a +8|até -6||75/80|||19</x:v>
      </x:c>
    </x:row>
    <x:row r="792">
      <x:c r="A792" s="24" t="str">
        <x:v>RD-C5813150A06F</x:v>
      </x:c>
      <x:c r="B792" s="24" t="str">
        <x:v>Rodenstock</x:v>
      </x:c>
      <x:c r="C792" s="24" t="str">
        <x:v>Progressiva ILT</x:v>
      </x:c>
      <x:c r="D792" s="24" t="str">
        <x:v>Surfaçada</x:v>
      </x:c>
      <x:c r="E792" s="24" t="str">
        <x:v>Impression EyeLT 2</x:v>
      </x:c>
      <x:c r="F792" s="24" t="str">
        <x:v>ColorMatic® 3</x:v>
      </x:c>
      <x:c r="G792" s="24" t="str">
        <x:v>1.67</x:v>
      </x:c>
      <x:c r="H792" s="24" t="str">
        <x:v>1.67</x:v>
      </x:c>
      <x:c r="I792" s="24" t="str">
        <x:v>Solitaire X-tra Clean</x:v>
      </x:c>
      <x:c r="J792" s="40" t="n">
        <x:v>14796</x:v>
      </x:c>
      <x:c r="K792" s="24" t="str">
        <x:v>-10 a +8</x:v>
      </x:c>
      <x:c r="L792" s="24" t="str">
        <x:v>até -6</x:v>
      </x:c>
      <x:c r="M792" s="24"/>
      <x:c r="N792" s="24" t="str">
        <x:v>75/80</x:v>
      </x:c>
      <x:c r="O792" s="24"/>
      <x:c r="P792" s="24"/>
      <x:c r="Q792" s="24" t="str">
        <x:v>DISPONÍVEL</x:v>
      </x:c>
      <x:c r="R792" s="24"/>
      <x:c r="S792" s="24" t="n">
        <x:v>19</x:v>
      </x:c>
      <x:c r="T792" s="24" t="str">
        <x:v>tabela_rodenstock.pdf</x:v>
      </x:c>
      <x:c r="U792" s="24" t="str">
        <x:v>Rodenstock|Progressiva ILT|Surfaçada|Impression EyeLT 2|ColorMatic® 3|1.67|1.67|Solitaire X-tra Clean|-10 a +8|até -6||75/80|||19</x:v>
      </x:c>
    </x:row>
    <x:row r="793">
      <x:c r="A793" s="24" t="str">
        <x:v>RD-EFE9A593E0F8</x:v>
      </x:c>
      <x:c r="B793" s="24" t="str">
        <x:v>Rodenstock</x:v>
      </x:c>
      <x:c r="C793" s="24" t="str">
        <x:v>Progressiva ILT</x:v>
      </x:c>
      <x:c r="D793" s="24" t="str">
        <x:v>Surfaçada</x:v>
      </x:c>
      <x:c r="E793" s="24" t="str">
        <x:v>Impression EyeLT 2</x:v>
      </x:c>
      <x:c r="F793" s="24" t="str">
        <x:v>ColorMatic® 3</x:v>
      </x:c>
      <x:c r="G793" s="24" t="str">
        <x:v>1.67</x:v>
      </x:c>
      <x:c r="H793" s="24" t="str">
        <x:v>1.67</x:v>
      </x:c>
      <x:c r="I793" s="24" t="str">
        <x:v>Solitaire 2 Protect Balance</x:v>
      </x:c>
      <x:c r="J793" s="40" t="n">
        <x:v>14746</x:v>
      </x:c>
      <x:c r="K793" s="24" t="str">
        <x:v>-10 a +8</x:v>
      </x:c>
      <x:c r="L793" s="24" t="str">
        <x:v>até -6</x:v>
      </x:c>
      <x:c r="M793" s="24"/>
      <x:c r="N793" s="24" t="str">
        <x:v>75/80</x:v>
      </x:c>
      <x:c r="O793" s="24"/>
      <x:c r="P793" s="24"/>
      <x:c r="Q793" s="24" t="str">
        <x:v>DISPONÍVEL</x:v>
      </x:c>
      <x:c r="R793" s="24"/>
      <x:c r="S793" s="24" t="n">
        <x:v>19</x:v>
      </x:c>
      <x:c r="T793" s="24" t="str">
        <x:v>tabela_rodenstock.pdf</x:v>
      </x:c>
      <x:c r="U793" s="24" t="str">
        <x:v>Rodenstock|Progressiva ILT|Surfaçada|Impression EyeLT 2|ColorMatic® 3|1.67|1.67|Solitaire 2 Protect Balance|-10 a +8|até -6||75/80|||19</x:v>
      </x:c>
    </x:row>
    <x:row r="794">
      <x:c r="A794" s="24" t="str">
        <x:v>RD-A4A18A55ADAD</x:v>
      </x:c>
      <x:c r="B794" s="24" t="str">
        <x:v>Rodenstock</x:v>
      </x:c>
      <x:c r="C794" s="24" t="str">
        <x:v>Progressiva ILT</x:v>
      </x:c>
      <x:c r="D794" s="24" t="str">
        <x:v>Surfaçada</x:v>
      </x:c>
      <x:c r="E794" s="24" t="str">
        <x:v>Impression EyeLT 2</x:v>
      </x:c>
      <x:c r="F794" s="24" t="str">
        <x:v>ColorMatic® 3</x:v>
      </x:c>
      <x:c r="G794" s="24" t="str">
        <x:v>1.67</x:v>
      </x:c>
      <x:c r="H794" s="24" t="str">
        <x:v>1.67</x:v>
      </x:c>
      <x:c r="I794" s="24" t="str">
        <x:v>Solitaire Protect Plus</x:v>
      </x:c>
      <x:c r="J794" s="40" t="n">
        <x:v>14746</x:v>
      </x:c>
      <x:c r="K794" s="24" t="str">
        <x:v>-10 a +8</x:v>
      </x:c>
      <x:c r="L794" s="24" t="str">
        <x:v>até -6</x:v>
      </x:c>
      <x:c r="M794" s="24"/>
      <x:c r="N794" s="24" t="str">
        <x:v>75/80</x:v>
      </x:c>
      <x:c r="O794" s="24"/>
      <x:c r="P794" s="24"/>
      <x:c r="Q794" s="24" t="str">
        <x:v>DISPONÍVEL</x:v>
      </x:c>
      <x:c r="R794" s="24"/>
      <x:c r="S794" s="24" t="n">
        <x:v>19</x:v>
      </x:c>
      <x:c r="T794" s="24" t="str">
        <x:v>tabela_rodenstock.pdf</x:v>
      </x:c>
      <x:c r="U794" s="24" t="str">
        <x:v>Rodenstock|Progressiva ILT|Surfaçada|Impression EyeLT 2|ColorMatic® 3|1.67|1.67|Solitaire Protect Plus|-10 a +8|até -6||75/80|||19</x:v>
      </x:c>
    </x:row>
    <x:row r="795">
      <x:c r="A795" s="24" t="str">
        <x:v>RD-524547CF266C</x:v>
      </x:c>
      <x:c r="B795" s="24" t="str">
        <x:v>Rodenstock</x:v>
      </x:c>
      <x:c r="C795" s="24" t="str">
        <x:v>Progressiva ILT</x:v>
      </x:c>
      <x:c r="D795" s="24" t="str">
        <x:v>Surfaçada</x:v>
      </x:c>
      <x:c r="E795" s="24" t="str">
        <x:v>Impression EyeLT 2</x:v>
      </x:c>
      <x:c r="F795" s="24" t="str">
        <x:v>ColorMatic® 3</x:v>
      </x:c>
      <x:c r="G795" s="24" t="str">
        <x:v>1.67</x:v>
      </x:c>
      <x:c r="H795" s="24" t="str">
        <x:v>1.67</x:v>
      </x:c>
      <x:c r="I795" s="24" t="str">
        <x:v>ROAD</x:v>
      </x:c>
      <x:c r="J795" s="40" t="n">
        <x:v>14746</x:v>
      </x:c>
      <x:c r="K795" s="24" t="str">
        <x:v>-10 a +8</x:v>
      </x:c>
      <x:c r="L795" s="24" t="str">
        <x:v>até -6</x:v>
      </x:c>
      <x:c r="M795" s="24"/>
      <x:c r="N795" s="24" t="str">
        <x:v>75/80</x:v>
      </x:c>
      <x:c r="O795" s="24"/>
      <x:c r="P795" s="24"/>
      <x:c r="Q795" s="24" t="str">
        <x:v>DISPONÍVEL</x:v>
      </x:c>
      <x:c r="R795" s="24"/>
      <x:c r="S795" s="24" t="n">
        <x:v>19</x:v>
      </x:c>
      <x:c r="T795" s="24" t="str">
        <x:v>tabela_rodenstock.pdf</x:v>
      </x:c>
      <x:c r="U795" s="24" t="str">
        <x:v>Rodenstock|Progressiva ILT|Surfaçada|Impression EyeLT 2|ColorMatic® 3|1.67|1.67|ROAD|-10 a +8|até -6||75/80|||19</x:v>
      </x:c>
    </x:row>
    <x:row r="796">
      <x:c r="A796" s="24" t="str">
        <x:v>RD-DD8948223718</x:v>
      </x:c>
      <x:c r="B796" s="24" t="str">
        <x:v>Rodenstock</x:v>
      </x:c>
      <x:c r="C796" s="24" t="str">
        <x:v>Progressiva ILT</x:v>
      </x:c>
      <x:c r="D796" s="24" t="str">
        <x:v>Surfaçada</x:v>
      </x:c>
      <x:c r="E796" s="24" t="str">
        <x:v>Impression EyeLT 2</x:v>
      </x:c>
      <x:c r="F796" s="24" t="str">
        <x:v>ColorMatic® 3</x:v>
      </x:c>
      <x:c r="G796" s="24" t="str">
        <x:v>1.67</x:v>
      </x:c>
      <x:c r="H796" s="24" t="str">
        <x:v>1.67</x:v>
      </x:c>
      <x:c r="I796" s="24" t="str">
        <x:v>Solitaire Protect</x:v>
      </x:c>
      <x:c r="J796" s="40" t="n">
        <x:v>14486</x:v>
      </x:c>
      <x:c r="K796" s="24" t="str">
        <x:v>-10 a +8</x:v>
      </x:c>
      <x:c r="L796" s="24" t="str">
        <x:v>até -6</x:v>
      </x:c>
      <x:c r="M796" s="24"/>
      <x:c r="N796" s="24" t="str">
        <x:v>75/80</x:v>
      </x:c>
      <x:c r="O796" s="24"/>
      <x:c r="P796" s="24"/>
      <x:c r="Q796" s="24" t="str">
        <x:v>DISPONÍVEL</x:v>
      </x:c>
      <x:c r="R796" s="24"/>
      <x:c r="S796" s="24" t="n">
        <x:v>19</x:v>
      </x:c>
      <x:c r="T796" s="24" t="str">
        <x:v>tabela_rodenstock.pdf</x:v>
      </x:c>
      <x:c r="U796" s="24" t="str">
        <x:v>Rodenstock|Progressiva ILT|Surfaçada|Impression EyeLT 2|ColorMatic® 3|1.67|1.67|Solitaire Protect|-10 a +8|até -6||75/80|||19</x:v>
      </x:c>
    </x:row>
    <x:row r="797">
      <x:c r="A797" s="24" t="str">
        <x:v>RD-F2FBAAF2AF15</x:v>
      </x:c>
      <x:c r="B797" s="24" t="str">
        <x:v>Rodenstock</x:v>
      </x:c>
      <x:c r="C797" s="24" t="str">
        <x:v>Progressiva ILT</x:v>
      </x:c>
      <x:c r="D797" s="24" t="str">
        <x:v>Surfaçada</x:v>
      </x:c>
      <x:c r="E797" s="24" t="str">
        <x:v>Impression EyeLT 2</x:v>
      </x:c>
      <x:c r="F797" s="24"/>
      <x:c r="G797" s="24" t="str">
        <x:v>1.74</x:v>
      </x:c>
      <x:c r="H797" s="24" t="str">
        <x:v>1.74</x:v>
      </x:c>
      <x:c r="I797" s="24" t="str">
        <x:v>Solitaire X-tra Clean</x:v>
      </x:c>
      <x:c r="J797" s="40" t="n">
        <x:v>15162</x:v>
      </x:c>
      <x:c r="K797" s="24" t="str">
        <x:v>-18 a +13</x:v>
      </x:c>
      <x:c r="L797" s="24" t="str">
        <x:v>até -6</x:v>
      </x:c>
      <x:c r="M797" s="24"/>
      <x:c r="N797" s="24" t="str">
        <x:v>75/80</x:v>
      </x:c>
      <x:c r="O797" s="24"/>
      <x:c r="P797" s="24"/>
      <x:c r="Q797" s="24" t="str">
        <x:v>DISPONÍVEL</x:v>
      </x:c>
      <x:c r="R797" s="24"/>
      <x:c r="S797" s="24" t="n">
        <x:v>19</x:v>
      </x:c>
      <x:c r="T797" s="24" t="str">
        <x:v>tabela_rodenstock.pdf</x:v>
      </x:c>
      <x:c r="U797" s="24" t="str">
        <x:v>Rodenstock|Progressiva ILT|Surfaçada|Impression EyeLT 2||1.74|1.74|Solitaire X-tra Clean|-18 a +13|até -6||75/80|||19</x:v>
      </x:c>
    </x:row>
    <x:row r="798">
      <x:c r="A798" s="24" t="str">
        <x:v>RD-C38EBF209F22</x:v>
      </x:c>
      <x:c r="B798" s="24" t="str">
        <x:v>Rodenstock</x:v>
      </x:c>
      <x:c r="C798" s="24" t="str">
        <x:v>Progressiva ILT</x:v>
      </x:c>
      <x:c r="D798" s="24" t="str">
        <x:v>Surfaçada</x:v>
      </x:c>
      <x:c r="E798" s="24" t="str">
        <x:v>Impression EyeLT 2</x:v>
      </x:c>
      <x:c r="F798" s="24"/>
      <x:c r="G798" s="24" t="str">
        <x:v>1.74</x:v>
      </x:c>
      <x:c r="H798" s="24" t="str">
        <x:v>1.74</x:v>
      </x:c>
      <x:c r="I798" s="24" t="str">
        <x:v>Solitaire 2 Protect Balance</x:v>
      </x:c>
      <x:c r="J798" s="40" t="n">
        <x:v>15112</x:v>
      </x:c>
      <x:c r="K798" s="24" t="str">
        <x:v>-18 a +13</x:v>
      </x:c>
      <x:c r="L798" s="24" t="str">
        <x:v>até -6</x:v>
      </x:c>
      <x:c r="M798" s="24"/>
      <x:c r="N798" s="24" t="str">
        <x:v>75/80</x:v>
      </x:c>
      <x:c r="O798" s="24"/>
      <x:c r="P798" s="24"/>
      <x:c r="Q798" s="24" t="str">
        <x:v>DISPONÍVEL</x:v>
      </x:c>
      <x:c r="R798" s="24"/>
      <x:c r="S798" s="24" t="n">
        <x:v>19</x:v>
      </x:c>
      <x:c r="T798" s="24" t="str">
        <x:v>tabela_rodenstock.pdf</x:v>
      </x:c>
      <x:c r="U798" s="24" t="str">
        <x:v>Rodenstock|Progressiva ILT|Surfaçada|Impression EyeLT 2||1.74|1.74|Solitaire 2 Protect Balance|-18 a +13|até -6||75/80|||19</x:v>
      </x:c>
    </x:row>
    <x:row r="799">
      <x:c r="A799" s="24" t="str">
        <x:v>RD-4E647A9CB667</x:v>
      </x:c>
      <x:c r="B799" s="24" t="str">
        <x:v>Rodenstock</x:v>
      </x:c>
      <x:c r="C799" s="24" t="str">
        <x:v>Progressiva ILT</x:v>
      </x:c>
      <x:c r="D799" s="24" t="str">
        <x:v>Surfaçada</x:v>
      </x:c>
      <x:c r="E799" s="24" t="str">
        <x:v>Impression EyeLT 2</x:v>
      </x:c>
      <x:c r="F799" s="24"/>
      <x:c r="G799" s="24" t="str">
        <x:v>1.74</x:v>
      </x:c>
      <x:c r="H799" s="24" t="str">
        <x:v>1.74</x:v>
      </x:c>
      <x:c r="I799" s="24" t="str">
        <x:v>Solitaire Protect Plus</x:v>
      </x:c>
      <x:c r="J799" s="40" t="n">
        <x:v>15112</x:v>
      </x:c>
      <x:c r="K799" s="24" t="str">
        <x:v>-18 a +13</x:v>
      </x:c>
      <x:c r="L799" s="24" t="str">
        <x:v>até -6</x:v>
      </x:c>
      <x:c r="M799" s="24"/>
      <x:c r="N799" s="24" t="str">
        <x:v>75/80</x:v>
      </x:c>
      <x:c r="O799" s="24"/>
      <x:c r="P799" s="24"/>
      <x:c r="Q799" s="24" t="str">
        <x:v>DISPONÍVEL</x:v>
      </x:c>
      <x:c r="R799" s="24"/>
      <x:c r="S799" s="24" t="n">
        <x:v>19</x:v>
      </x:c>
      <x:c r="T799" s="24" t="str">
        <x:v>tabela_rodenstock.pdf</x:v>
      </x:c>
      <x:c r="U799" s="24" t="str">
        <x:v>Rodenstock|Progressiva ILT|Surfaçada|Impression EyeLT 2||1.74|1.74|Solitaire Protect Plus|-18 a +13|até -6||75/80|||19</x:v>
      </x:c>
    </x:row>
    <x:row r="800">
      <x:c r="A800" s="24" t="str">
        <x:v>RD-CF5C72B52D11</x:v>
      </x:c>
      <x:c r="B800" s="24" t="str">
        <x:v>Rodenstock</x:v>
      </x:c>
      <x:c r="C800" s="24" t="str">
        <x:v>Progressiva ILT</x:v>
      </x:c>
      <x:c r="D800" s="24" t="str">
        <x:v>Surfaçada</x:v>
      </x:c>
      <x:c r="E800" s="24" t="str">
        <x:v>Impression EyeLT 2</x:v>
      </x:c>
      <x:c r="F800" s="24"/>
      <x:c r="G800" s="24" t="str">
        <x:v>1.74</x:v>
      </x:c>
      <x:c r="H800" s="24" t="str">
        <x:v>1.74</x:v>
      </x:c>
      <x:c r="I800" s="24" t="str">
        <x:v>Solitaire Protect</x:v>
      </x:c>
      <x:c r="J800" s="40" t="n">
        <x:v>14852</x:v>
      </x:c>
      <x:c r="K800" s="24" t="str">
        <x:v>-18 a +13</x:v>
      </x:c>
      <x:c r="L800" s="24" t="str">
        <x:v>até -6</x:v>
      </x:c>
      <x:c r="M800" s="24"/>
      <x:c r="N800" s="24" t="str">
        <x:v>75/80</x:v>
      </x:c>
      <x:c r="O800" s="24"/>
      <x:c r="P800" s="24"/>
      <x:c r="Q800" s="24" t="str">
        <x:v>DISPONÍVEL</x:v>
      </x:c>
      <x:c r="R800" s="24"/>
      <x:c r="S800" s="24" t="n">
        <x:v>19</x:v>
      </x:c>
      <x:c r="T800" s="24" t="str">
        <x:v>tabela_rodenstock.pdf</x:v>
      </x:c>
      <x:c r="U800" s="24" t="str">
        <x:v>Rodenstock|Progressiva ILT|Surfaçada|Impression EyeLT 2||1.74|1.74|Solitaire Protect|-18 a +13|até -6||75/80|||19</x:v>
      </x:c>
    </x:row>
    <x:row r="801">
      <x:c r="A801" s="24" t="str">
        <x:v>RD-6935F9DD1585</x:v>
      </x:c>
      <x:c r="B801" s="24" t="str">
        <x:v>Rodenstock</x:v>
      </x:c>
      <x:c r="C801" s="24" t="str">
        <x:v>Progressiva ILT</x:v>
      </x:c>
      <x:c r="D801" s="24" t="str">
        <x:v>Surfaçada</x:v>
      </x:c>
      <x:c r="E801" s="24" t="str">
        <x:v>Multigressiv MyView 2</x:v>
      </x:c>
      <x:c r="F801" s="24"/>
      <x:c r="G801" s="24" t="str">
        <x:v>1.5</x:v>
      </x:c>
      <x:c r="H801" s="24" t="str">
        <x:v>1.50</x:v>
      </x:c>
      <x:c r="I801" s="24" t="str">
        <x:v>Solitaire X-tra Clean</x:v>
      </x:c>
      <x:c r="J801" s="40" t="n">
        <x:v>7002</x:v>
      </x:c>
      <x:c r="K801" s="24" t="str">
        <x:v>-8 a +8</x:v>
      </x:c>
      <x:c r="L801" s="24" t="str">
        <x:v>até -6</x:v>
      </x:c>
      <x:c r="M801" s="24"/>
      <x:c r="N801" s="24" t="str">
        <x:v>75/80</x:v>
      </x:c>
      <x:c r="O801" s="24"/>
      <x:c r="P801" s="24"/>
      <x:c r="Q801" s="24" t="str">
        <x:v>DISPONÍVEL</x:v>
      </x:c>
      <x:c r="R801" s="24"/>
      <x:c r="S801" s="24" t="n">
        <x:v>19</x:v>
      </x:c>
      <x:c r="T801" s="24" t="str">
        <x:v>tabela_rodenstock.pdf</x:v>
      </x:c>
      <x:c r="U801" s="24" t="str">
        <x:v>Rodenstock|Progressiva ILT|Surfaçada|Multigressiv MyView 2||1.5|1.50|Solitaire X-tra Clean|-8 a +8|até -6||75/80|||19</x:v>
      </x:c>
    </x:row>
    <x:row r="802">
      <x:c r="A802" s="24" t="str">
        <x:v>RD-90DABAA219D0</x:v>
      </x:c>
      <x:c r="B802" s="24" t="str">
        <x:v>Rodenstock</x:v>
      </x:c>
      <x:c r="C802" s="24" t="str">
        <x:v>Progressiva ILT</x:v>
      </x:c>
      <x:c r="D802" s="24" t="str">
        <x:v>Surfaçada</x:v>
      </x:c>
      <x:c r="E802" s="24" t="str">
        <x:v>Multigressiv MyView 2</x:v>
      </x:c>
      <x:c r="F802" s="24"/>
      <x:c r="G802" s="24" t="str">
        <x:v>1.5</x:v>
      </x:c>
      <x:c r="H802" s="24" t="str">
        <x:v>1.50</x:v>
      </x:c>
      <x:c r="I802" s="24" t="str">
        <x:v>Solitaire 2 Protect Balance</x:v>
      </x:c>
      <x:c r="J802" s="40" t="n">
        <x:v>6952</x:v>
      </x:c>
      <x:c r="K802" s="24" t="str">
        <x:v>-8 a +8</x:v>
      </x:c>
      <x:c r="L802" s="24" t="str">
        <x:v>até -6</x:v>
      </x:c>
      <x:c r="M802" s="24"/>
      <x:c r="N802" s="24" t="str">
        <x:v>75/80</x:v>
      </x:c>
      <x:c r="O802" s="24"/>
      <x:c r="P802" s="24"/>
      <x:c r="Q802" s="24" t="str">
        <x:v>DISPONÍVEL</x:v>
      </x:c>
      <x:c r="R802" s="24"/>
      <x:c r="S802" s="24" t="n">
        <x:v>19</x:v>
      </x:c>
      <x:c r="T802" s="24" t="str">
        <x:v>tabela_rodenstock.pdf</x:v>
      </x:c>
      <x:c r="U802" s="24" t="str">
        <x:v>Rodenstock|Progressiva ILT|Surfaçada|Multigressiv MyView 2||1.5|1.50|Solitaire 2 Protect Balance|-8 a +8|até -6||75/80|||19</x:v>
      </x:c>
    </x:row>
    <x:row r="803">
      <x:c r="A803" s="24" t="str">
        <x:v>RD-E3D546248E3F</x:v>
      </x:c>
      <x:c r="B803" s="24" t="str">
        <x:v>Rodenstock</x:v>
      </x:c>
      <x:c r="C803" s="24" t="str">
        <x:v>Progressiva ILT</x:v>
      </x:c>
      <x:c r="D803" s="24" t="str">
        <x:v>Surfaçada</x:v>
      </x:c>
      <x:c r="E803" s="24" t="str">
        <x:v>Multigressiv MyView 2</x:v>
      </x:c>
      <x:c r="F803" s="24"/>
      <x:c r="G803" s="24" t="str">
        <x:v>1.5</x:v>
      </x:c>
      <x:c r="H803" s="24" t="str">
        <x:v>1.50</x:v>
      </x:c>
      <x:c r="I803" s="24" t="str">
        <x:v>Solitaire Protect Plus</x:v>
      </x:c>
      <x:c r="J803" s="40" t="n">
        <x:v>6952</x:v>
      </x:c>
      <x:c r="K803" s="24" t="str">
        <x:v>-8 a +8</x:v>
      </x:c>
      <x:c r="L803" s="24" t="str">
        <x:v>até -6</x:v>
      </x:c>
      <x:c r="M803" s="24"/>
      <x:c r="N803" s="24" t="str">
        <x:v>75/80</x:v>
      </x:c>
      <x:c r="O803" s="24"/>
      <x:c r="P803" s="24"/>
      <x:c r="Q803" s="24" t="str">
        <x:v>DISPONÍVEL</x:v>
      </x:c>
      <x:c r="R803" s="24"/>
      <x:c r="S803" s="24" t="n">
        <x:v>19</x:v>
      </x:c>
      <x:c r="T803" s="24" t="str">
        <x:v>tabela_rodenstock.pdf</x:v>
      </x:c>
      <x:c r="U803" s="24" t="str">
        <x:v>Rodenstock|Progressiva ILT|Surfaçada|Multigressiv MyView 2||1.5|1.50|Solitaire Protect Plus|-8 a +8|até -6||75/80|||19</x:v>
      </x:c>
    </x:row>
    <x:row r="804">
      <x:c r="A804" s="24" t="str">
        <x:v>RD-FFEC36FAB661</x:v>
      </x:c>
      <x:c r="B804" s="24" t="str">
        <x:v>Rodenstock</x:v>
      </x:c>
      <x:c r="C804" s="24" t="str">
        <x:v>Progressiva ILT</x:v>
      </x:c>
      <x:c r="D804" s="24" t="str">
        <x:v>Surfaçada</x:v>
      </x:c>
      <x:c r="E804" s="24" t="str">
        <x:v>Multigressiv MyView 2</x:v>
      </x:c>
      <x:c r="F804" s="24"/>
      <x:c r="G804" s="24" t="str">
        <x:v>1.5</x:v>
      </x:c>
      <x:c r="H804" s="24" t="str">
        <x:v>1.50</x:v>
      </x:c>
      <x:c r="I804" s="24" t="str">
        <x:v>ROAD</x:v>
      </x:c>
      <x:c r="J804" s="40" t="n">
        <x:v>6952</x:v>
      </x:c>
      <x:c r="K804" s="24" t="str">
        <x:v>-8 a +8</x:v>
      </x:c>
      <x:c r="L804" s="24" t="str">
        <x:v>até -6</x:v>
      </x:c>
      <x:c r="M804" s="24"/>
      <x:c r="N804" s="24" t="str">
        <x:v>75/80</x:v>
      </x:c>
      <x:c r="O804" s="24"/>
      <x:c r="P804" s="24"/>
      <x:c r="Q804" s="24" t="str">
        <x:v>DISPONÍVEL</x:v>
      </x:c>
      <x:c r="R804" s="24"/>
      <x:c r="S804" s="24" t="n">
        <x:v>19</x:v>
      </x:c>
      <x:c r="T804" s="24" t="str">
        <x:v>tabela_rodenstock.pdf</x:v>
      </x:c>
      <x:c r="U804" s="24" t="str">
        <x:v>Rodenstock|Progressiva ILT|Surfaçada|Multigressiv MyView 2||1.5|1.50|ROAD|-8 a +8|até -6||75/80|||19</x:v>
      </x:c>
    </x:row>
    <x:row r="805">
      <x:c r="A805" s="24" t="str">
        <x:v>RD-7CBCF0CA3137</x:v>
      </x:c>
      <x:c r="B805" s="24" t="str">
        <x:v>Rodenstock</x:v>
      </x:c>
      <x:c r="C805" s="24" t="str">
        <x:v>Progressiva ILT</x:v>
      </x:c>
      <x:c r="D805" s="24" t="str">
        <x:v>Surfaçada</x:v>
      </x:c>
      <x:c r="E805" s="24" t="str">
        <x:v>Multigressiv MyView 2</x:v>
      </x:c>
      <x:c r="F805" s="24"/>
      <x:c r="G805" s="24" t="str">
        <x:v>1.5</x:v>
      </x:c>
      <x:c r="H805" s="24" t="str">
        <x:v>1.50</x:v>
      </x:c>
      <x:c r="I805" s="24" t="str">
        <x:v>Solitaire Protect</x:v>
      </x:c>
      <x:c r="J805" s="40" t="n">
        <x:v>6692</x:v>
      </x:c>
      <x:c r="K805" s="24" t="str">
        <x:v>-8 a +8</x:v>
      </x:c>
      <x:c r="L805" s="24" t="str">
        <x:v>até -6</x:v>
      </x:c>
      <x:c r="M805" s="24"/>
      <x:c r="N805" s="24" t="str">
        <x:v>75/80</x:v>
      </x:c>
      <x:c r="O805" s="24"/>
      <x:c r="P805" s="24"/>
      <x:c r="Q805" s="24" t="str">
        <x:v>DISPONÍVEL</x:v>
      </x:c>
      <x:c r="R805" s="24"/>
      <x:c r="S805" s="24" t="n">
        <x:v>19</x:v>
      </x:c>
      <x:c r="T805" s="24" t="str">
        <x:v>tabela_rodenstock.pdf</x:v>
      </x:c>
      <x:c r="U805" s="24" t="str">
        <x:v>Rodenstock|Progressiva ILT|Surfaçada|Multigressiv MyView 2||1.5|1.50|Solitaire Protect|-8 a +8|até -6||75/80|||19</x:v>
      </x:c>
    </x:row>
    <x:row r="806">
      <x:c r="A806" s="24" t="str">
        <x:v>RD-54EBEDC158DA</x:v>
      </x:c>
      <x:c r="B806" s="24" t="str">
        <x:v>Rodenstock</x:v>
      </x:c>
      <x:c r="C806" s="24" t="str">
        <x:v>Progressiva ILT</x:v>
      </x:c>
      <x:c r="D806" s="24" t="str">
        <x:v>Surfaçada</x:v>
      </x:c>
      <x:c r="E806" s="24" t="str">
        <x:v>Multigressiv MyView 2</x:v>
      </x:c>
      <x:c r="F806" s="24" t="str">
        <x:v>Polarizada</x:v>
      </x:c>
      <x:c r="G806" s="24" t="str">
        <x:v>1.5</x:v>
      </x:c>
      <x:c r="H806" s="24" t="str">
        <x:v>1.50</x:v>
      </x:c>
      <x:c r="I806" s="24" t="str">
        <x:v>Solitaire X-tra Clean</x:v>
      </x:c>
      <x:c r="J806" s="40" t="n">
        <x:v>8119</x:v>
      </x:c>
      <x:c r="K806" s="24" t="str">
        <x:v>-6 a +6</x:v>
      </x:c>
      <x:c r="L806" s="24" t="str">
        <x:v>até -6</x:v>
      </x:c>
      <x:c r="M806" s="24"/>
      <x:c r="N806" s="24" t="str">
        <x:v>75/80</x:v>
      </x:c>
      <x:c r="O806" s="24"/>
      <x:c r="P806" s="24"/>
      <x:c r="Q806" s="24" t="str">
        <x:v>DISPONÍVEL</x:v>
      </x:c>
      <x:c r="R806" s="24"/>
      <x:c r="S806" s="24" t="n">
        <x:v>19</x:v>
      </x:c>
      <x:c r="T806" s="24" t="str">
        <x:v>tabela_rodenstock.pdf</x:v>
      </x:c>
      <x:c r="U806" s="24" t="str">
        <x:v>Rodenstock|Progressiva ILT|Surfaçada|Multigressiv MyView 2|Polarizada|1.5|1.50|Solitaire X-tra Clean|-6 a +6|até -6||75/80|||19</x:v>
      </x:c>
    </x:row>
    <x:row r="807">
      <x:c r="A807" s="24" t="str">
        <x:v>RD-2C99FA5681EA</x:v>
      </x:c>
      <x:c r="B807" s="24" t="str">
        <x:v>Rodenstock</x:v>
      </x:c>
      <x:c r="C807" s="24" t="str">
        <x:v>Progressiva ILT</x:v>
      </x:c>
      <x:c r="D807" s="24" t="str">
        <x:v>Surfaçada</x:v>
      </x:c>
      <x:c r="E807" s="24" t="str">
        <x:v>Multigressiv MyView 2</x:v>
      </x:c>
      <x:c r="F807" s="24" t="str">
        <x:v>Polarizada</x:v>
      </x:c>
      <x:c r="G807" s="24" t="str">
        <x:v>1.5</x:v>
      </x:c>
      <x:c r="H807" s="24" t="str">
        <x:v>1.50</x:v>
      </x:c>
      <x:c r="I807" s="24" t="str">
        <x:v>Solitaire 2 Protect Balance</x:v>
      </x:c>
      <x:c r="J807" s="40" t="n">
        <x:v>8069</x:v>
      </x:c>
      <x:c r="K807" s="24" t="str">
        <x:v>-6 a +6</x:v>
      </x:c>
      <x:c r="L807" s="24" t="str">
        <x:v>até -6</x:v>
      </x:c>
      <x:c r="M807" s="24"/>
      <x:c r="N807" s="24" t="str">
        <x:v>75/80</x:v>
      </x:c>
      <x:c r="O807" s="24"/>
      <x:c r="P807" s="24"/>
      <x:c r="Q807" s="24" t="str">
        <x:v>DISPONÍVEL</x:v>
      </x:c>
      <x:c r="R807" s="24"/>
      <x:c r="S807" s="24" t="n">
        <x:v>19</x:v>
      </x:c>
      <x:c r="T807" s="24" t="str">
        <x:v>tabela_rodenstock.pdf</x:v>
      </x:c>
      <x:c r="U807" s="24" t="str">
        <x:v>Rodenstock|Progressiva ILT|Surfaçada|Multigressiv MyView 2|Polarizada|1.5|1.50|Solitaire 2 Protect Balance|-6 a +6|até -6||75/80|||19</x:v>
      </x:c>
    </x:row>
    <x:row r="808">
      <x:c r="A808" s="24" t="str">
        <x:v>RD-161DBF5B2054</x:v>
      </x:c>
      <x:c r="B808" s="24" t="str">
        <x:v>Rodenstock</x:v>
      </x:c>
      <x:c r="C808" s="24" t="str">
        <x:v>Progressiva ILT</x:v>
      </x:c>
      <x:c r="D808" s="24" t="str">
        <x:v>Surfaçada</x:v>
      </x:c>
      <x:c r="E808" s="24" t="str">
        <x:v>Multigressiv MyView 2</x:v>
      </x:c>
      <x:c r="F808" s="24" t="str">
        <x:v>Polarizada</x:v>
      </x:c>
      <x:c r="G808" s="24" t="str">
        <x:v>1.5</x:v>
      </x:c>
      <x:c r="H808" s="24" t="str">
        <x:v>1.50</x:v>
      </x:c>
      <x:c r="I808" s="24" t="str">
        <x:v>Solitaire Protect Plus</x:v>
      </x:c>
      <x:c r="J808" s="40" t="n">
        <x:v>8069</x:v>
      </x:c>
      <x:c r="K808" s="24" t="str">
        <x:v>-6 a +6</x:v>
      </x:c>
      <x:c r="L808" s="24" t="str">
        <x:v>até -6</x:v>
      </x:c>
      <x:c r="M808" s="24"/>
      <x:c r="N808" s="24" t="str">
        <x:v>75/80</x:v>
      </x:c>
      <x:c r="O808" s="24"/>
      <x:c r="P808" s="24"/>
      <x:c r="Q808" s="24" t="str">
        <x:v>DISPONÍVEL</x:v>
      </x:c>
      <x:c r="R808" s="24"/>
      <x:c r="S808" s="24" t="n">
        <x:v>19</x:v>
      </x:c>
      <x:c r="T808" s="24" t="str">
        <x:v>tabela_rodenstock.pdf</x:v>
      </x:c>
      <x:c r="U808" s="24" t="str">
        <x:v>Rodenstock|Progressiva ILT|Surfaçada|Multigressiv MyView 2|Polarizada|1.5|1.50|Solitaire Protect Plus|-6 a +6|até -6||75/80|||19</x:v>
      </x:c>
    </x:row>
    <x:row r="809">
      <x:c r="A809" s="24" t="str">
        <x:v>RD-07F5895CD69A</x:v>
      </x:c>
      <x:c r="B809" s="24" t="str">
        <x:v>Rodenstock</x:v>
      </x:c>
      <x:c r="C809" s="24" t="str">
        <x:v>Progressiva ILT</x:v>
      </x:c>
      <x:c r="D809" s="24" t="str">
        <x:v>Surfaçada</x:v>
      </x:c>
      <x:c r="E809" s="24" t="str">
        <x:v>Multigressiv MyView 2</x:v>
      </x:c>
      <x:c r="F809" s="24" t="str">
        <x:v>Polarizada</x:v>
      </x:c>
      <x:c r="G809" s="24" t="str">
        <x:v>1.5</x:v>
      </x:c>
      <x:c r="H809" s="24" t="str">
        <x:v>1.50</x:v>
      </x:c>
      <x:c r="I809" s="24" t="str">
        <x:v>ROAD</x:v>
      </x:c>
      <x:c r="J809" s="40" t="n">
        <x:v>8069</x:v>
      </x:c>
      <x:c r="K809" s="24" t="str">
        <x:v>-6 a +6</x:v>
      </x:c>
      <x:c r="L809" s="24" t="str">
        <x:v>até -6</x:v>
      </x:c>
      <x:c r="M809" s="24"/>
      <x:c r="N809" s="24" t="str">
        <x:v>75/80</x:v>
      </x:c>
      <x:c r="O809" s="24"/>
      <x:c r="P809" s="24"/>
      <x:c r="Q809" s="24" t="str">
        <x:v>DISPONÍVEL</x:v>
      </x:c>
      <x:c r="R809" s="24"/>
      <x:c r="S809" s="24" t="n">
        <x:v>19</x:v>
      </x:c>
      <x:c r="T809" s="24" t="str">
        <x:v>tabela_rodenstock.pdf</x:v>
      </x:c>
      <x:c r="U809" s="24" t="str">
        <x:v>Rodenstock|Progressiva ILT|Surfaçada|Multigressiv MyView 2|Polarizada|1.5|1.50|ROAD|-6 a +6|até -6||75/80|||19</x:v>
      </x:c>
    </x:row>
    <x:row r="810">
      <x:c r="A810" s="24" t="str">
        <x:v>RD-6E724E6740D8</x:v>
      </x:c>
      <x:c r="B810" s="24" t="str">
        <x:v>Rodenstock</x:v>
      </x:c>
      <x:c r="C810" s="24" t="str">
        <x:v>Progressiva ILT</x:v>
      </x:c>
      <x:c r="D810" s="24" t="str">
        <x:v>Surfaçada</x:v>
      </x:c>
      <x:c r="E810" s="24" t="str">
        <x:v>Multigressiv MyView 2</x:v>
      </x:c>
      <x:c r="F810" s="24" t="str">
        <x:v>Polarizada</x:v>
      </x:c>
      <x:c r="G810" s="24" t="str">
        <x:v>1.5</x:v>
      </x:c>
      <x:c r="H810" s="24" t="str">
        <x:v>1.50</x:v>
      </x:c>
      <x:c r="I810" s="24" t="str">
        <x:v>Solitaire Protect</x:v>
      </x:c>
      <x:c r="J810" s="40" t="n">
        <x:v>7809</x:v>
      </x:c>
      <x:c r="K810" s="24" t="str">
        <x:v>-6 a +6</x:v>
      </x:c>
      <x:c r="L810" s="24" t="str">
        <x:v>até -6</x:v>
      </x:c>
      <x:c r="M810" s="24"/>
      <x:c r="N810" s="24" t="str">
        <x:v>75/80</x:v>
      </x:c>
      <x:c r="O810" s="24"/>
      <x:c r="P810" s="24"/>
      <x:c r="Q810" s="24" t="str">
        <x:v>DISPONÍVEL</x:v>
      </x:c>
      <x:c r="R810" s="24"/>
      <x:c r="S810" s="24" t="n">
        <x:v>19</x:v>
      </x:c>
      <x:c r="T810" s="24" t="str">
        <x:v>tabela_rodenstock.pdf</x:v>
      </x:c>
      <x:c r="U810" s="24" t="str">
        <x:v>Rodenstock|Progressiva ILT|Surfaçada|Multigressiv MyView 2|Polarizada|1.5|1.50|Solitaire Protect|-6 a +6|até -6||75/80|||19</x:v>
      </x:c>
    </x:row>
    <x:row r="811">
      <x:c r="A811" s="24" t="str">
        <x:v>RD-3D34B740F482</x:v>
      </x:c>
      <x:c r="B811" s="24" t="str">
        <x:v>Rodenstock</x:v>
      </x:c>
      <x:c r="C811" s="24" t="str">
        <x:v>Progressiva ILT</x:v>
      </x:c>
      <x:c r="D811" s="24" t="str">
        <x:v>Surfaçada</x:v>
      </x:c>
      <x:c r="E811" s="24" t="str">
        <x:v>Multigressiv MyView 2</x:v>
      </x:c>
      <x:c r="F811" s="24" t="str">
        <x:v>ColorMatic® 3</x:v>
      </x:c>
      <x:c r="G811" s="24" t="str">
        <x:v>1.54</x:v>
      </x:c>
      <x:c r="H811" s="24" t="str">
        <x:v>1.54</x:v>
      </x:c>
      <x:c r="I811" s="24" t="str">
        <x:v>Solitaire X-tra Clean</x:v>
      </x:c>
      <x:c r="J811" s="40" t="n">
        <x:v>8502</x:v>
      </x:c>
      <x:c r="K811" s="24" t="str">
        <x:v>-8 a +8</x:v>
      </x:c>
      <x:c r="L811" s="24" t="str">
        <x:v>até -6</x:v>
      </x:c>
      <x:c r="M811" s="24"/>
      <x:c r="N811" s="24" t="str">
        <x:v>75/80</x:v>
      </x:c>
      <x:c r="O811" s="24"/>
      <x:c r="P811" s="24"/>
      <x:c r="Q811" s="24" t="str">
        <x:v>DISPONÍVEL</x:v>
      </x:c>
      <x:c r="R811" s="24"/>
      <x:c r="S811" s="24" t="n">
        <x:v>19</x:v>
      </x:c>
      <x:c r="T811" s="24" t="str">
        <x:v>tabela_rodenstock.pdf</x:v>
      </x:c>
      <x:c r="U811" s="24" t="str">
        <x:v>Rodenstock|Progressiva ILT|Surfaçada|Multigressiv MyView 2|ColorMatic® 3|1.54|1.54|Solitaire X-tra Clean|-8 a +8|até -6||75/80|||19</x:v>
      </x:c>
    </x:row>
    <x:row r="812">
      <x:c r="A812" s="24" t="str">
        <x:v>RD-E55A8583C8AA</x:v>
      </x:c>
      <x:c r="B812" s="24" t="str">
        <x:v>Rodenstock</x:v>
      </x:c>
      <x:c r="C812" s="24" t="str">
        <x:v>Progressiva ILT</x:v>
      </x:c>
      <x:c r="D812" s="24" t="str">
        <x:v>Surfaçada</x:v>
      </x:c>
      <x:c r="E812" s="24" t="str">
        <x:v>Multigressiv MyView 2</x:v>
      </x:c>
      <x:c r="F812" s="24" t="str">
        <x:v>ColorMatic® 3</x:v>
      </x:c>
      <x:c r="G812" s="24" t="str">
        <x:v>1.54</x:v>
      </x:c>
      <x:c r="H812" s="24" t="str">
        <x:v>1.54</x:v>
      </x:c>
      <x:c r="I812" s="24" t="str">
        <x:v>Solitaire 2 Protect Balance</x:v>
      </x:c>
      <x:c r="J812" s="40" t="n">
        <x:v>8452</x:v>
      </x:c>
      <x:c r="K812" s="24" t="str">
        <x:v>-8 a +8</x:v>
      </x:c>
      <x:c r="L812" s="24" t="str">
        <x:v>até -6</x:v>
      </x:c>
      <x:c r="M812" s="24"/>
      <x:c r="N812" s="24" t="str">
        <x:v>75/80</x:v>
      </x:c>
      <x:c r="O812" s="24"/>
      <x:c r="P812" s="24"/>
      <x:c r="Q812" s="24" t="str">
        <x:v>DISPONÍVEL</x:v>
      </x:c>
      <x:c r="R812" s="24"/>
      <x:c r="S812" s="24" t="n">
        <x:v>19</x:v>
      </x:c>
      <x:c r="T812" s="24" t="str">
        <x:v>tabela_rodenstock.pdf</x:v>
      </x:c>
      <x:c r="U812" s="24" t="str">
        <x:v>Rodenstock|Progressiva ILT|Surfaçada|Multigressiv MyView 2|ColorMatic® 3|1.54|1.54|Solitaire 2 Protect Balance|-8 a +8|até -6||75/80|||19</x:v>
      </x:c>
    </x:row>
    <x:row r="813">
      <x:c r="A813" s="24" t="str">
        <x:v>RD-57E9623BA0CC</x:v>
      </x:c>
      <x:c r="B813" s="24" t="str">
        <x:v>Rodenstock</x:v>
      </x:c>
      <x:c r="C813" s="24" t="str">
        <x:v>Progressiva ILT</x:v>
      </x:c>
      <x:c r="D813" s="24" t="str">
        <x:v>Surfaçada</x:v>
      </x:c>
      <x:c r="E813" s="24" t="str">
        <x:v>Multigressiv MyView 2</x:v>
      </x:c>
      <x:c r="F813" s="24" t="str">
        <x:v>ColorMatic® 3</x:v>
      </x:c>
      <x:c r="G813" s="24" t="str">
        <x:v>1.54</x:v>
      </x:c>
      <x:c r="H813" s="24" t="str">
        <x:v>1.54</x:v>
      </x:c>
      <x:c r="I813" s="24" t="str">
        <x:v>Solitaire Protect Plus</x:v>
      </x:c>
      <x:c r="J813" s="40" t="n">
        <x:v>8452</x:v>
      </x:c>
      <x:c r="K813" s="24" t="str">
        <x:v>-8 a +8</x:v>
      </x:c>
      <x:c r="L813" s="24" t="str">
        <x:v>até -6</x:v>
      </x:c>
      <x:c r="M813" s="24"/>
      <x:c r="N813" s="24" t="str">
        <x:v>75/80</x:v>
      </x:c>
      <x:c r="O813" s="24"/>
      <x:c r="P813" s="24"/>
      <x:c r="Q813" s="24" t="str">
        <x:v>DISPONÍVEL</x:v>
      </x:c>
      <x:c r="R813" s="24"/>
      <x:c r="S813" s="24" t="n">
        <x:v>19</x:v>
      </x:c>
      <x:c r="T813" s="24" t="str">
        <x:v>tabela_rodenstock.pdf</x:v>
      </x:c>
      <x:c r="U813" s="24" t="str">
        <x:v>Rodenstock|Progressiva ILT|Surfaçada|Multigressiv MyView 2|ColorMatic® 3|1.54|1.54|Solitaire Protect Plus|-8 a +8|até -6||75/80|||19</x:v>
      </x:c>
    </x:row>
    <x:row r="814">
      <x:c r="A814" s="24" t="str">
        <x:v>RD-9FC6CB5160A5</x:v>
      </x:c>
      <x:c r="B814" s="24" t="str">
        <x:v>Rodenstock</x:v>
      </x:c>
      <x:c r="C814" s="24" t="str">
        <x:v>Progressiva ILT</x:v>
      </x:c>
      <x:c r="D814" s="24" t="str">
        <x:v>Surfaçada</x:v>
      </x:c>
      <x:c r="E814" s="24" t="str">
        <x:v>Multigressiv MyView 2</x:v>
      </x:c>
      <x:c r="F814" s="24" t="str">
        <x:v>ColorMatic® 3</x:v>
      </x:c>
      <x:c r="G814" s="24" t="str">
        <x:v>1.54</x:v>
      </x:c>
      <x:c r="H814" s="24" t="str">
        <x:v>1.54</x:v>
      </x:c>
      <x:c r="I814" s="24" t="str">
        <x:v>ROAD</x:v>
      </x:c>
      <x:c r="J814" s="40" t="n">
        <x:v>8452</x:v>
      </x:c>
      <x:c r="K814" s="24" t="str">
        <x:v>-8 a +8</x:v>
      </x:c>
      <x:c r="L814" s="24" t="str">
        <x:v>até -6</x:v>
      </x:c>
      <x:c r="M814" s="24"/>
      <x:c r="N814" s="24" t="str">
        <x:v>75/80</x:v>
      </x:c>
      <x:c r="O814" s="24"/>
      <x:c r="P814" s="24"/>
      <x:c r="Q814" s="24" t="str">
        <x:v>DISPONÍVEL</x:v>
      </x:c>
      <x:c r="R814" s="24"/>
      <x:c r="S814" s="24" t="n">
        <x:v>19</x:v>
      </x:c>
      <x:c r="T814" s="24" t="str">
        <x:v>tabela_rodenstock.pdf</x:v>
      </x:c>
      <x:c r="U814" s="24" t="str">
        <x:v>Rodenstock|Progressiva ILT|Surfaçada|Multigressiv MyView 2|ColorMatic® 3|1.54|1.54|ROAD|-8 a +8|até -6||75/80|||19</x:v>
      </x:c>
    </x:row>
    <x:row r="815">
      <x:c r="A815" s="24" t="str">
        <x:v>RD-2C1FD1AEB2D9</x:v>
      </x:c>
      <x:c r="B815" s="24" t="str">
        <x:v>Rodenstock</x:v>
      </x:c>
      <x:c r="C815" s="24" t="str">
        <x:v>Progressiva ILT</x:v>
      </x:c>
      <x:c r="D815" s="24" t="str">
        <x:v>Surfaçada</x:v>
      </x:c>
      <x:c r="E815" s="24" t="str">
        <x:v>Multigressiv MyView 2</x:v>
      </x:c>
      <x:c r="F815" s="24" t="str">
        <x:v>ColorMatic® 3</x:v>
      </x:c>
      <x:c r="G815" s="24" t="str">
        <x:v>1.54</x:v>
      </x:c>
      <x:c r="H815" s="24" t="str">
        <x:v>1.54</x:v>
      </x:c>
      <x:c r="I815" s="24" t="str">
        <x:v>Solitaire Protect</x:v>
      </x:c>
      <x:c r="J815" s="40" t="n">
        <x:v>8192</x:v>
      </x:c>
      <x:c r="K815" s="24" t="str">
        <x:v>-8 a +8</x:v>
      </x:c>
      <x:c r="L815" s="24" t="str">
        <x:v>até -6</x:v>
      </x:c>
      <x:c r="M815" s="24"/>
      <x:c r="N815" s="24" t="str">
        <x:v>75/80</x:v>
      </x:c>
      <x:c r="O815" s="24"/>
      <x:c r="P815" s="24"/>
      <x:c r="Q815" s="24" t="str">
        <x:v>DISPONÍVEL</x:v>
      </x:c>
      <x:c r="R815" s="24"/>
      <x:c r="S815" s="24" t="n">
        <x:v>19</x:v>
      </x:c>
      <x:c r="T815" s="24" t="str">
        <x:v>tabela_rodenstock.pdf</x:v>
      </x:c>
      <x:c r="U815" s="24" t="str">
        <x:v>Rodenstock|Progressiva ILT|Surfaçada|Multigressiv MyView 2|ColorMatic® 3|1.54|1.54|Solitaire Protect|-8 a +8|até -6||75/80|||19</x:v>
      </x:c>
    </x:row>
    <x:row r="816">
      <x:c r="A816" s="24" t="str">
        <x:v>RD-9434A9166709</x:v>
      </x:c>
      <x:c r="B816" s="24" t="str">
        <x:v>Rodenstock</x:v>
      </x:c>
      <x:c r="C816" s="24" t="str">
        <x:v>Progressiva ILT</x:v>
      </x:c>
      <x:c r="D816" s="24" t="str">
        <x:v>Surfaçada</x:v>
      </x:c>
      <x:c r="E816" s="24" t="str">
        <x:v>Multigressiv MyView 2</x:v>
      </x:c>
      <x:c r="F816" s="24"/>
      <x:c r="G816" s="24" t="str">
        <x:v>1.6</x:v>
      </x:c>
      <x:c r="H816" s="24" t="str">
        <x:v>1.60</x:v>
      </x:c>
      <x:c r="I816" s="24" t="str">
        <x:v>Solitaire X-tra Clean</x:v>
      </x:c>
      <x:c r="J816" s="40" t="n">
        <x:v>8246</x:v>
      </x:c>
      <x:c r="K816" s="24" t="str">
        <x:v>-10 a +8</x:v>
      </x:c>
      <x:c r="L816" s="24" t="str">
        <x:v>até -6</x:v>
      </x:c>
      <x:c r="M816" s="24"/>
      <x:c r="N816" s="24" t="str">
        <x:v>75/80</x:v>
      </x:c>
      <x:c r="O816" s="24"/>
      <x:c r="P816" s="24"/>
      <x:c r="Q816" s="24" t="str">
        <x:v>DISPONÍVEL</x:v>
      </x:c>
      <x:c r="R816" s="24"/>
      <x:c r="S816" s="24" t="n">
        <x:v>19</x:v>
      </x:c>
      <x:c r="T816" s="24" t="str">
        <x:v>tabela_rodenstock.pdf</x:v>
      </x:c>
      <x:c r="U816" s="24" t="str">
        <x:v>Rodenstock|Progressiva ILT|Surfaçada|Multigressiv MyView 2||1.6|1.60|Solitaire X-tra Clean|-10 a +8|até -6||75/80|||19</x:v>
      </x:c>
    </x:row>
    <x:row r="817">
      <x:c r="A817" s="24" t="str">
        <x:v>RD-1B776991C1AB</x:v>
      </x:c>
      <x:c r="B817" s="24" t="str">
        <x:v>Rodenstock</x:v>
      </x:c>
      <x:c r="C817" s="24" t="str">
        <x:v>Progressiva ILT</x:v>
      </x:c>
      <x:c r="D817" s="24" t="str">
        <x:v>Surfaçada</x:v>
      </x:c>
      <x:c r="E817" s="24" t="str">
        <x:v>Multigressiv MyView 2</x:v>
      </x:c>
      <x:c r="F817" s="24"/>
      <x:c r="G817" s="24" t="str">
        <x:v>1.6</x:v>
      </x:c>
      <x:c r="H817" s="24" t="str">
        <x:v>1.60</x:v>
      </x:c>
      <x:c r="I817" s="24" t="str">
        <x:v>Solitaire 2 Protect Balance</x:v>
      </x:c>
      <x:c r="J817" s="40" t="n">
        <x:v>8196</x:v>
      </x:c>
      <x:c r="K817" s="24" t="str">
        <x:v>-10 a +8</x:v>
      </x:c>
      <x:c r="L817" s="24" t="str">
        <x:v>até -6</x:v>
      </x:c>
      <x:c r="M817" s="24"/>
      <x:c r="N817" s="24" t="str">
        <x:v>75/80</x:v>
      </x:c>
      <x:c r="O817" s="24"/>
      <x:c r="P817" s="24"/>
      <x:c r="Q817" s="24" t="str">
        <x:v>DISPONÍVEL</x:v>
      </x:c>
      <x:c r="R817" s="24"/>
      <x:c r="S817" s="24" t="n">
        <x:v>19</x:v>
      </x:c>
      <x:c r="T817" s="24" t="str">
        <x:v>tabela_rodenstock.pdf</x:v>
      </x:c>
      <x:c r="U817" s="24" t="str">
        <x:v>Rodenstock|Progressiva ILT|Surfaçada|Multigressiv MyView 2||1.6|1.60|Solitaire 2 Protect Balance|-10 a +8|até -6||75/80|||19</x:v>
      </x:c>
    </x:row>
    <x:row r="818">
      <x:c r="A818" s="24" t="str">
        <x:v>RD-8B57DC11BE34</x:v>
      </x:c>
      <x:c r="B818" s="24" t="str">
        <x:v>Rodenstock</x:v>
      </x:c>
      <x:c r="C818" s="24" t="str">
        <x:v>Progressiva ILT</x:v>
      </x:c>
      <x:c r="D818" s="24" t="str">
        <x:v>Surfaçada</x:v>
      </x:c>
      <x:c r="E818" s="24" t="str">
        <x:v>Multigressiv MyView 2</x:v>
      </x:c>
      <x:c r="F818" s="24"/>
      <x:c r="G818" s="24" t="str">
        <x:v>1.6</x:v>
      </x:c>
      <x:c r="H818" s="24" t="str">
        <x:v>1.60</x:v>
      </x:c>
      <x:c r="I818" s="24" t="str">
        <x:v>Solitaire Protect Plus</x:v>
      </x:c>
      <x:c r="J818" s="40" t="n">
        <x:v>8196</x:v>
      </x:c>
      <x:c r="K818" s="24" t="str">
        <x:v>-10 a +8</x:v>
      </x:c>
      <x:c r="L818" s="24" t="str">
        <x:v>até -6</x:v>
      </x:c>
      <x:c r="M818" s="24"/>
      <x:c r="N818" s="24" t="str">
        <x:v>75/80</x:v>
      </x:c>
      <x:c r="O818" s="24"/>
      <x:c r="P818" s="24"/>
      <x:c r="Q818" s="24" t="str">
        <x:v>DISPONÍVEL</x:v>
      </x:c>
      <x:c r="R818" s="24"/>
      <x:c r="S818" s="24" t="n">
        <x:v>19</x:v>
      </x:c>
      <x:c r="T818" s="24" t="str">
        <x:v>tabela_rodenstock.pdf</x:v>
      </x:c>
      <x:c r="U818" s="24" t="str">
        <x:v>Rodenstock|Progressiva ILT|Surfaçada|Multigressiv MyView 2||1.6|1.60|Solitaire Protect Plus|-10 a +8|até -6||75/80|||19</x:v>
      </x:c>
    </x:row>
    <x:row r="819">
      <x:c r="A819" s="24" t="str">
        <x:v>RD-518F9DCC6064</x:v>
      </x:c>
      <x:c r="B819" s="24" t="str">
        <x:v>Rodenstock</x:v>
      </x:c>
      <x:c r="C819" s="24" t="str">
        <x:v>Progressiva ILT</x:v>
      </x:c>
      <x:c r="D819" s="24" t="str">
        <x:v>Surfaçada</x:v>
      </x:c>
      <x:c r="E819" s="24" t="str">
        <x:v>Multigressiv MyView 2</x:v>
      </x:c>
      <x:c r="F819" s="24"/>
      <x:c r="G819" s="24" t="str">
        <x:v>1.6</x:v>
      </x:c>
      <x:c r="H819" s="24" t="str">
        <x:v>1.60</x:v>
      </x:c>
      <x:c r="I819" s="24" t="str">
        <x:v>ROAD</x:v>
      </x:c>
      <x:c r="J819" s="40" t="n">
        <x:v>8196</x:v>
      </x:c>
      <x:c r="K819" s="24" t="str">
        <x:v>-10 a +8</x:v>
      </x:c>
      <x:c r="L819" s="24" t="str">
        <x:v>até -6</x:v>
      </x:c>
      <x:c r="M819" s="24"/>
      <x:c r="N819" s="24" t="str">
        <x:v>75/80</x:v>
      </x:c>
      <x:c r="O819" s="24"/>
      <x:c r="P819" s="24"/>
      <x:c r="Q819" s="24" t="str">
        <x:v>DISPONÍVEL</x:v>
      </x:c>
      <x:c r="R819" s="24"/>
      <x:c r="S819" s="24" t="n">
        <x:v>19</x:v>
      </x:c>
      <x:c r="T819" s="24" t="str">
        <x:v>tabela_rodenstock.pdf</x:v>
      </x:c>
      <x:c r="U819" s="24" t="str">
        <x:v>Rodenstock|Progressiva ILT|Surfaçada|Multigressiv MyView 2||1.6|1.60|ROAD|-10 a +8|até -6||75/80|||19</x:v>
      </x:c>
    </x:row>
    <x:row r="820">
      <x:c r="A820" s="24" t="str">
        <x:v>RD-EE70A1EBFC8B</x:v>
      </x:c>
      <x:c r="B820" s="24" t="str">
        <x:v>Rodenstock</x:v>
      </x:c>
      <x:c r="C820" s="24" t="str">
        <x:v>Progressiva ILT</x:v>
      </x:c>
      <x:c r="D820" s="24" t="str">
        <x:v>Surfaçada</x:v>
      </x:c>
      <x:c r="E820" s="24" t="str">
        <x:v>Multigressiv MyView 2</x:v>
      </x:c>
      <x:c r="F820" s="24"/>
      <x:c r="G820" s="24" t="str">
        <x:v>1.6</x:v>
      </x:c>
      <x:c r="H820" s="24" t="str">
        <x:v>1.60</x:v>
      </x:c>
      <x:c r="I820" s="24" t="str">
        <x:v>Solitaire Protect</x:v>
      </x:c>
      <x:c r="J820" s="40" t="n">
        <x:v>7936</x:v>
      </x:c>
      <x:c r="K820" s="24" t="str">
        <x:v>-10 a +8</x:v>
      </x:c>
      <x:c r="L820" s="24" t="str">
        <x:v>até -6</x:v>
      </x:c>
      <x:c r="M820" s="24"/>
      <x:c r="N820" s="24" t="str">
        <x:v>75/80</x:v>
      </x:c>
      <x:c r="O820" s="24"/>
      <x:c r="P820" s="24"/>
      <x:c r="Q820" s="24" t="str">
        <x:v>DISPONÍVEL</x:v>
      </x:c>
      <x:c r="R820" s="24"/>
      <x:c r="S820" s="24" t="n">
        <x:v>19</x:v>
      </x:c>
      <x:c r="T820" s="24" t="str">
        <x:v>tabela_rodenstock.pdf</x:v>
      </x:c>
      <x:c r="U820" s="24" t="str">
        <x:v>Rodenstock|Progressiva ILT|Surfaçada|Multigressiv MyView 2||1.6|1.60|Solitaire Protect|-10 a +8|até -6||75/80|||19</x:v>
      </x:c>
    </x:row>
    <x:row r="821">
      <x:c r="A821" s="24" t="str">
        <x:v>RD-45317F73863C</x:v>
      </x:c>
      <x:c r="B821" s="24" t="str">
        <x:v>Rodenstock</x:v>
      </x:c>
      <x:c r="C821" s="24" t="str">
        <x:v>Progressiva ILT</x:v>
      </x:c>
      <x:c r="D821" s="24" t="str">
        <x:v>Surfaçada</x:v>
      </x:c>
      <x:c r="E821" s="24" t="str">
        <x:v>Multigressiv MyView 2</x:v>
      </x:c>
      <x:c r="F821" s="24" t="str">
        <x:v>PRO410</x:v>
      </x:c>
      <x:c r="G821" s="24" t="str">
        <x:v>1.6</x:v>
      </x:c>
      <x:c r="H821" s="24" t="str">
        <x:v>1.60</x:v>
      </x:c>
      <x:c r="I821" s="24" t="str">
        <x:v>Solitaire X-tra Clean</x:v>
      </x:c>
      <x:c r="J821" s="40" t="n">
        <x:v>8540</x:v>
      </x:c>
      <x:c r="K821" s="24" t="str">
        <x:v>-10 a +8</x:v>
      </x:c>
      <x:c r="L821" s="24" t="str">
        <x:v>até -6</x:v>
      </x:c>
      <x:c r="M821" s="24"/>
      <x:c r="N821" s="24" t="str">
        <x:v>75/80</x:v>
      </x:c>
      <x:c r="O821" s="24"/>
      <x:c r="P821" s="24"/>
      <x:c r="Q821" s="24" t="str">
        <x:v>DISPONÍVEL</x:v>
      </x:c>
      <x:c r="R821" s="24"/>
      <x:c r="S821" s="24" t="n">
        <x:v>19</x:v>
      </x:c>
      <x:c r="T821" s="24" t="str">
        <x:v>tabela_rodenstock.pdf</x:v>
      </x:c>
      <x:c r="U821" s="24" t="str">
        <x:v>Rodenstock|Progressiva ILT|Surfaçada|Multigressiv MyView 2|PRO410|1.6|1.60|Solitaire X-tra Clean|-10 a +8|até -6||75/80|||19</x:v>
      </x:c>
    </x:row>
    <x:row r="822">
      <x:c r="A822" s="24" t="str">
        <x:v>RD-686575EBEED8</x:v>
      </x:c>
      <x:c r="B822" s="24" t="str">
        <x:v>Rodenstock</x:v>
      </x:c>
      <x:c r="C822" s="24" t="str">
        <x:v>Progressiva ILT</x:v>
      </x:c>
      <x:c r="D822" s="24" t="str">
        <x:v>Surfaçada</x:v>
      </x:c>
      <x:c r="E822" s="24" t="str">
        <x:v>Multigressiv MyView 2</x:v>
      </x:c>
      <x:c r="F822" s="24" t="str">
        <x:v>PRO410</x:v>
      </x:c>
      <x:c r="G822" s="24" t="str">
        <x:v>1.6</x:v>
      </x:c>
      <x:c r="H822" s="24" t="str">
        <x:v>1.60</x:v>
      </x:c>
      <x:c r="I822" s="24" t="str">
        <x:v>Solitaire 2 Protect Balance</x:v>
      </x:c>
      <x:c r="J822" s="40" t="n">
        <x:v>8490</x:v>
      </x:c>
      <x:c r="K822" s="24" t="str">
        <x:v>-10 a +8</x:v>
      </x:c>
      <x:c r="L822" s="24" t="str">
        <x:v>até -6</x:v>
      </x:c>
      <x:c r="M822" s="24"/>
      <x:c r="N822" s="24" t="str">
        <x:v>75/80</x:v>
      </x:c>
      <x:c r="O822" s="24"/>
      <x:c r="P822" s="24"/>
      <x:c r="Q822" s="24" t="str">
        <x:v>DISPONÍVEL</x:v>
      </x:c>
      <x:c r="R822" s="24"/>
      <x:c r="S822" s="24" t="n">
        <x:v>19</x:v>
      </x:c>
      <x:c r="T822" s="24" t="str">
        <x:v>tabela_rodenstock.pdf</x:v>
      </x:c>
      <x:c r="U822" s="24" t="str">
        <x:v>Rodenstock|Progressiva ILT|Surfaçada|Multigressiv MyView 2|PRO410|1.6|1.60|Solitaire 2 Protect Balance|-10 a +8|até -6||75/80|||19</x:v>
      </x:c>
    </x:row>
    <x:row r="823">
      <x:c r="A823" s="24" t="str">
        <x:v>RD-545AFD683565</x:v>
      </x:c>
      <x:c r="B823" s="24" t="str">
        <x:v>Rodenstock</x:v>
      </x:c>
      <x:c r="C823" s="24" t="str">
        <x:v>Progressiva ILT</x:v>
      </x:c>
      <x:c r="D823" s="24" t="str">
        <x:v>Surfaçada</x:v>
      </x:c>
      <x:c r="E823" s="24" t="str">
        <x:v>Multigressiv MyView 2</x:v>
      </x:c>
      <x:c r="F823" s="24" t="str">
        <x:v>PRO410</x:v>
      </x:c>
      <x:c r="G823" s="24" t="str">
        <x:v>1.6</x:v>
      </x:c>
      <x:c r="H823" s="24" t="str">
        <x:v>1.60</x:v>
      </x:c>
      <x:c r="I823" s="24" t="str">
        <x:v>Solitaire Protect Plus</x:v>
      </x:c>
      <x:c r="J823" s="40" t="n">
        <x:v>8490</x:v>
      </x:c>
      <x:c r="K823" s="24" t="str">
        <x:v>-10 a +8</x:v>
      </x:c>
      <x:c r="L823" s="24" t="str">
        <x:v>até -6</x:v>
      </x:c>
      <x:c r="M823" s="24"/>
      <x:c r="N823" s="24" t="str">
        <x:v>75/80</x:v>
      </x:c>
      <x:c r="O823" s="24"/>
      <x:c r="P823" s="24"/>
      <x:c r="Q823" s="24" t="str">
        <x:v>DISPONÍVEL</x:v>
      </x:c>
      <x:c r="R823" s="24"/>
      <x:c r="S823" s="24" t="n">
        <x:v>19</x:v>
      </x:c>
      <x:c r="T823" s="24" t="str">
        <x:v>tabela_rodenstock.pdf</x:v>
      </x:c>
      <x:c r="U823" s="24" t="str">
        <x:v>Rodenstock|Progressiva ILT|Surfaçada|Multigressiv MyView 2|PRO410|1.6|1.60|Solitaire Protect Plus|-10 a +8|até -6||75/80|||19</x:v>
      </x:c>
    </x:row>
    <x:row r="824">
      <x:c r="A824" s="24" t="str">
        <x:v>RD-6252D8FB4CC1</x:v>
      </x:c>
      <x:c r="B824" s="24" t="str">
        <x:v>Rodenstock</x:v>
      </x:c>
      <x:c r="C824" s="24" t="str">
        <x:v>Progressiva ILT</x:v>
      </x:c>
      <x:c r="D824" s="24" t="str">
        <x:v>Surfaçada</x:v>
      </x:c>
      <x:c r="E824" s="24" t="str">
        <x:v>Multigressiv MyView 2</x:v>
      </x:c>
      <x:c r="F824" s="24" t="str">
        <x:v>PRO410</x:v>
      </x:c>
      <x:c r="G824" s="24" t="str">
        <x:v>1.6</x:v>
      </x:c>
      <x:c r="H824" s="24" t="str">
        <x:v>1.60</x:v>
      </x:c>
      <x:c r="I824" s="24" t="str">
        <x:v>ROAD</x:v>
      </x:c>
      <x:c r="J824" s="40" t="n">
        <x:v>8490</x:v>
      </x:c>
      <x:c r="K824" s="24" t="str">
        <x:v>-10 a +8</x:v>
      </x:c>
      <x:c r="L824" s="24" t="str">
        <x:v>até -6</x:v>
      </x:c>
      <x:c r="M824" s="24"/>
      <x:c r="N824" s="24" t="str">
        <x:v>75/80</x:v>
      </x:c>
      <x:c r="O824" s="24"/>
      <x:c r="P824" s="24"/>
      <x:c r="Q824" s="24" t="str">
        <x:v>DISPONÍVEL</x:v>
      </x:c>
      <x:c r="R824" s="24"/>
      <x:c r="S824" s="24" t="n">
        <x:v>19</x:v>
      </x:c>
      <x:c r="T824" s="24" t="str">
        <x:v>tabela_rodenstock.pdf</x:v>
      </x:c>
      <x:c r="U824" s="24" t="str">
        <x:v>Rodenstock|Progressiva ILT|Surfaçada|Multigressiv MyView 2|PRO410|1.6|1.60|ROAD|-10 a +8|até -6||75/80|||19</x:v>
      </x:c>
    </x:row>
    <x:row r="825">
      <x:c r="A825" s="24" t="str">
        <x:v>RD-D99C75471972</x:v>
      </x:c>
      <x:c r="B825" s="24" t="str">
        <x:v>Rodenstock</x:v>
      </x:c>
      <x:c r="C825" s="24" t="str">
        <x:v>Progressiva ILT</x:v>
      </x:c>
      <x:c r="D825" s="24" t="str">
        <x:v>Surfaçada</x:v>
      </x:c>
      <x:c r="E825" s="24" t="str">
        <x:v>Multigressiv MyView 2</x:v>
      </x:c>
      <x:c r="F825" s="24" t="str">
        <x:v>PRO410</x:v>
      </x:c>
      <x:c r="G825" s="24" t="str">
        <x:v>1.6</x:v>
      </x:c>
      <x:c r="H825" s="24" t="str">
        <x:v>1.60</x:v>
      </x:c>
      <x:c r="I825" s="24" t="str">
        <x:v>Solitaire Protect</x:v>
      </x:c>
      <x:c r="J825" s="40" t="n">
        <x:v>8230</x:v>
      </x:c>
      <x:c r="K825" s="24" t="str">
        <x:v>-10 a +8</x:v>
      </x:c>
      <x:c r="L825" s="24" t="str">
        <x:v>até -6</x:v>
      </x:c>
      <x:c r="M825" s="24"/>
      <x:c r="N825" s="24" t="str">
        <x:v>75/80</x:v>
      </x:c>
      <x:c r="O825" s="24"/>
      <x:c r="P825" s="24"/>
      <x:c r="Q825" s="24" t="str">
        <x:v>DISPONÍVEL</x:v>
      </x:c>
      <x:c r="R825" s="24"/>
      <x:c r="S825" s="24" t="n">
        <x:v>19</x:v>
      </x:c>
      <x:c r="T825" s="24" t="str">
        <x:v>tabela_rodenstock.pdf</x:v>
      </x:c>
      <x:c r="U825" s="24" t="str">
        <x:v>Rodenstock|Progressiva ILT|Surfaçada|Multigressiv MyView 2|PRO410|1.6|1.60|Solitaire Protect|-10 a +8|até -6||75/80|||19</x:v>
      </x:c>
    </x:row>
    <x:row r="826">
      <x:c r="A826" s="24" t="str">
        <x:v>RD-66C140CB4DBE</x:v>
      </x:c>
      <x:c r="B826" s="24" t="str">
        <x:v>Rodenstock</x:v>
      </x:c>
      <x:c r="C826" s="24" t="str">
        <x:v>Progressiva ILT</x:v>
      </x:c>
      <x:c r="D826" s="24" t="str">
        <x:v>Surfaçada</x:v>
      </x:c>
      <x:c r="E826" s="24" t="str">
        <x:v>Multigressiv MyView 2</x:v>
      </x:c>
      <x:c r="F826" s="24" t="str">
        <x:v>ColorMatic® 3</x:v>
      </x:c>
      <x:c r="G826" s="24" t="str">
        <x:v>1.6</x:v>
      </x:c>
      <x:c r="H826" s="24" t="str">
        <x:v>1.60</x:v>
      </x:c>
      <x:c r="I826" s="24" t="str">
        <x:v>Solitaire X-tra Clean</x:v>
      </x:c>
      <x:c r="J826" s="40" t="n">
        <x:v>10086</x:v>
      </x:c>
      <x:c r="K826" s="24" t="str">
        <x:v>-10 a +8</x:v>
      </x:c>
      <x:c r="L826" s="24" t="str">
        <x:v>até -6</x:v>
      </x:c>
      <x:c r="M826" s="24"/>
      <x:c r="N826" s="24" t="str">
        <x:v>75/80</x:v>
      </x:c>
      <x:c r="O826" s="24"/>
      <x:c r="P826" s="24"/>
      <x:c r="Q826" s="24" t="str">
        <x:v>DISPONÍVEL</x:v>
      </x:c>
      <x:c r="R826" s="24"/>
      <x:c r="S826" s="24" t="n">
        <x:v>19</x:v>
      </x:c>
      <x:c r="T826" s="24" t="str">
        <x:v>tabela_rodenstock.pdf</x:v>
      </x:c>
      <x:c r="U826" s="24" t="str">
        <x:v>Rodenstock|Progressiva ILT|Surfaçada|Multigressiv MyView 2|ColorMatic® 3|1.6|1.60|Solitaire X-tra Clean|-10 a +8|até -6||75/80|||19</x:v>
      </x:c>
    </x:row>
    <x:row r="827">
      <x:c r="A827" s="24" t="str">
        <x:v>RD-93AAA17CFEBE</x:v>
      </x:c>
      <x:c r="B827" s="24" t="str">
        <x:v>Rodenstock</x:v>
      </x:c>
      <x:c r="C827" s="24" t="str">
        <x:v>Progressiva ILT</x:v>
      </x:c>
      <x:c r="D827" s="24" t="str">
        <x:v>Surfaçada</x:v>
      </x:c>
      <x:c r="E827" s="24" t="str">
        <x:v>Multigressiv MyView 2</x:v>
      </x:c>
      <x:c r="F827" s="24" t="str">
        <x:v>ColorMatic® 3</x:v>
      </x:c>
      <x:c r="G827" s="24" t="str">
        <x:v>1.6</x:v>
      </x:c>
      <x:c r="H827" s="24" t="str">
        <x:v>1.60</x:v>
      </x:c>
      <x:c r="I827" s="24" t="str">
        <x:v>Solitaire 2 Protect Balance</x:v>
      </x:c>
      <x:c r="J827" s="40" t="n">
        <x:v>10036</x:v>
      </x:c>
      <x:c r="K827" s="24" t="str">
        <x:v>-10 a +8</x:v>
      </x:c>
      <x:c r="L827" s="24" t="str">
        <x:v>até -6</x:v>
      </x:c>
      <x:c r="M827" s="24"/>
      <x:c r="N827" s="24" t="str">
        <x:v>75/80</x:v>
      </x:c>
      <x:c r="O827" s="24"/>
      <x:c r="P827" s="24"/>
      <x:c r="Q827" s="24" t="str">
        <x:v>DISPONÍVEL</x:v>
      </x:c>
      <x:c r="R827" s="24"/>
      <x:c r="S827" s="24" t="n">
        <x:v>19</x:v>
      </x:c>
      <x:c r="T827" s="24" t="str">
        <x:v>tabela_rodenstock.pdf</x:v>
      </x:c>
      <x:c r="U827" s="24" t="str">
        <x:v>Rodenstock|Progressiva ILT|Surfaçada|Multigressiv MyView 2|ColorMatic® 3|1.6|1.60|Solitaire 2 Protect Balance|-10 a +8|até -6||75/80|||19</x:v>
      </x:c>
    </x:row>
    <x:row r="828">
      <x:c r="A828" s="24" t="str">
        <x:v>RD-01CA54D8AE42</x:v>
      </x:c>
      <x:c r="B828" s="24" t="str">
        <x:v>Rodenstock</x:v>
      </x:c>
      <x:c r="C828" s="24" t="str">
        <x:v>Progressiva ILT</x:v>
      </x:c>
      <x:c r="D828" s="24" t="str">
        <x:v>Surfaçada</x:v>
      </x:c>
      <x:c r="E828" s="24" t="str">
        <x:v>Multigressiv MyView 2</x:v>
      </x:c>
      <x:c r="F828" s="24" t="str">
        <x:v>ColorMatic® 3</x:v>
      </x:c>
      <x:c r="G828" s="24" t="str">
        <x:v>1.6</x:v>
      </x:c>
      <x:c r="H828" s="24" t="str">
        <x:v>1.60</x:v>
      </x:c>
      <x:c r="I828" s="24" t="str">
        <x:v>Solitaire Protect Plus</x:v>
      </x:c>
      <x:c r="J828" s="40" t="n">
        <x:v>10036</x:v>
      </x:c>
      <x:c r="K828" s="24" t="str">
        <x:v>-10 a +8</x:v>
      </x:c>
      <x:c r="L828" s="24" t="str">
        <x:v>até -6</x:v>
      </x:c>
      <x:c r="M828" s="24"/>
      <x:c r="N828" s="24" t="str">
        <x:v>75/80</x:v>
      </x:c>
      <x:c r="O828" s="24"/>
      <x:c r="P828" s="24"/>
      <x:c r="Q828" s="24" t="str">
        <x:v>DISPONÍVEL</x:v>
      </x:c>
      <x:c r="R828" s="24"/>
      <x:c r="S828" s="24" t="n">
        <x:v>19</x:v>
      </x:c>
      <x:c r="T828" s="24" t="str">
        <x:v>tabela_rodenstock.pdf</x:v>
      </x:c>
      <x:c r="U828" s="24" t="str">
        <x:v>Rodenstock|Progressiva ILT|Surfaçada|Multigressiv MyView 2|ColorMatic® 3|1.6|1.60|Solitaire Protect Plus|-10 a +8|até -6||75/80|||19</x:v>
      </x:c>
    </x:row>
    <x:row r="829">
      <x:c r="A829" s="24" t="str">
        <x:v>RD-ADFE53FA11C1</x:v>
      </x:c>
      <x:c r="B829" s="24" t="str">
        <x:v>Rodenstock</x:v>
      </x:c>
      <x:c r="C829" s="24" t="str">
        <x:v>Progressiva ILT</x:v>
      </x:c>
      <x:c r="D829" s="24" t="str">
        <x:v>Surfaçada</x:v>
      </x:c>
      <x:c r="E829" s="24" t="str">
        <x:v>Multigressiv MyView 2</x:v>
      </x:c>
      <x:c r="F829" s="24" t="str">
        <x:v>ColorMatic® 3</x:v>
      </x:c>
      <x:c r="G829" s="24" t="str">
        <x:v>1.6</x:v>
      </x:c>
      <x:c r="H829" s="24" t="str">
        <x:v>1.60</x:v>
      </x:c>
      <x:c r="I829" s="24" t="str">
        <x:v>ROAD</x:v>
      </x:c>
      <x:c r="J829" s="40" t="n">
        <x:v>10036</x:v>
      </x:c>
      <x:c r="K829" s="24" t="str">
        <x:v>-10 a +8</x:v>
      </x:c>
      <x:c r="L829" s="24" t="str">
        <x:v>até -6</x:v>
      </x:c>
      <x:c r="M829" s="24"/>
      <x:c r="N829" s="24" t="str">
        <x:v>75/80</x:v>
      </x:c>
      <x:c r="O829" s="24"/>
      <x:c r="P829" s="24"/>
      <x:c r="Q829" s="24" t="str">
        <x:v>DISPONÍVEL</x:v>
      </x:c>
      <x:c r="R829" s="24"/>
      <x:c r="S829" s="24" t="n">
        <x:v>19</x:v>
      </x:c>
      <x:c r="T829" s="24" t="str">
        <x:v>tabela_rodenstock.pdf</x:v>
      </x:c>
      <x:c r="U829" s="24" t="str">
        <x:v>Rodenstock|Progressiva ILT|Surfaçada|Multigressiv MyView 2|ColorMatic® 3|1.6|1.60|ROAD|-10 a +8|até -6||75/80|||19</x:v>
      </x:c>
    </x:row>
    <x:row r="830">
      <x:c r="A830" s="24" t="str">
        <x:v>RD-C2CBBE3F0D2F</x:v>
      </x:c>
      <x:c r="B830" s="24" t="str">
        <x:v>Rodenstock</x:v>
      </x:c>
      <x:c r="C830" s="24" t="str">
        <x:v>Progressiva ILT</x:v>
      </x:c>
      <x:c r="D830" s="24" t="str">
        <x:v>Surfaçada</x:v>
      </x:c>
      <x:c r="E830" s="24" t="str">
        <x:v>Multigressiv MyView 2</x:v>
      </x:c>
      <x:c r="F830" s="24" t="str">
        <x:v>ColorMatic® 3</x:v>
      </x:c>
      <x:c r="G830" s="24" t="str">
        <x:v>1.6</x:v>
      </x:c>
      <x:c r="H830" s="24" t="str">
        <x:v>1.60</x:v>
      </x:c>
      <x:c r="I830" s="24" t="str">
        <x:v>Solitaire Protect</x:v>
      </x:c>
      <x:c r="J830" s="40" t="n">
        <x:v>9776</x:v>
      </x:c>
      <x:c r="K830" s="24" t="str">
        <x:v>-10 a +8</x:v>
      </x:c>
      <x:c r="L830" s="24" t="str">
        <x:v>até -6</x:v>
      </x:c>
      <x:c r="M830" s="24"/>
      <x:c r="N830" s="24" t="str">
        <x:v>75/80</x:v>
      </x:c>
      <x:c r="O830" s="24"/>
      <x:c r="P830" s="24"/>
      <x:c r="Q830" s="24" t="str">
        <x:v>DISPONÍVEL</x:v>
      </x:c>
      <x:c r="R830" s="24"/>
      <x:c r="S830" s="24" t="n">
        <x:v>19</x:v>
      </x:c>
      <x:c r="T830" s="24" t="str">
        <x:v>tabela_rodenstock.pdf</x:v>
      </x:c>
      <x:c r="U830" s="24" t="str">
        <x:v>Rodenstock|Progressiva ILT|Surfaçada|Multigressiv MyView 2|ColorMatic® 3|1.6|1.60|Solitaire Protect|-10 a +8|até -6||75/80|||19</x:v>
      </x:c>
    </x:row>
    <x:row r="831">
      <x:c r="A831" s="24" t="str">
        <x:v>RD-5FC779FC66CE</x:v>
      </x:c>
      <x:c r="B831" s="24" t="str">
        <x:v>Rodenstock</x:v>
      </x:c>
      <x:c r="C831" s="24" t="str">
        <x:v>Progressiva ILT</x:v>
      </x:c>
      <x:c r="D831" s="24" t="str">
        <x:v>Surfaçada</x:v>
      </x:c>
      <x:c r="E831" s="24" t="str">
        <x:v>Multigressiv MyView 2</x:v>
      </x:c>
      <x:c r="F831" s="24"/>
      <x:c r="G831" s="24" t="str">
        <x:v>1.67</x:v>
      </x:c>
      <x:c r="H831" s="24" t="str">
        <x:v>1.67</x:v>
      </x:c>
      <x:c r="I831" s="24" t="str">
        <x:v>Solitaire X-tra Clean</x:v>
      </x:c>
      <x:c r="J831" s="40" t="n">
        <x:v>10062</x:v>
      </x:c>
      <x:c r="K831" s="24" t="str">
        <x:v>-10 a +8</x:v>
      </x:c>
      <x:c r="L831" s="24" t="str">
        <x:v>até -6</x:v>
      </x:c>
      <x:c r="M831" s="24"/>
      <x:c r="N831" s="24" t="str">
        <x:v>75/80</x:v>
      </x:c>
      <x:c r="O831" s="24"/>
      <x:c r="P831" s="24"/>
      <x:c r="Q831" s="24" t="str">
        <x:v>DISPONÍVEL</x:v>
      </x:c>
      <x:c r="R831" s="24"/>
      <x:c r="S831" s="24" t="n">
        <x:v>19</x:v>
      </x:c>
      <x:c r="T831" s="24" t="str">
        <x:v>tabela_rodenstock.pdf</x:v>
      </x:c>
      <x:c r="U831" s="24" t="str">
        <x:v>Rodenstock|Progressiva ILT|Surfaçada|Multigressiv MyView 2||1.67|1.67|Solitaire X-tra Clean|-10 a +8|até -6||75/80|||19</x:v>
      </x:c>
    </x:row>
    <x:row r="832">
      <x:c r="A832" s="24" t="str">
        <x:v>RD-A773DE8A9B9F</x:v>
      </x:c>
      <x:c r="B832" s="24" t="str">
        <x:v>Rodenstock</x:v>
      </x:c>
      <x:c r="C832" s="24" t="str">
        <x:v>Progressiva ILT</x:v>
      </x:c>
      <x:c r="D832" s="24" t="str">
        <x:v>Surfaçada</x:v>
      </x:c>
      <x:c r="E832" s="24" t="str">
        <x:v>Multigressiv MyView 2</x:v>
      </x:c>
      <x:c r="F832" s="24"/>
      <x:c r="G832" s="24" t="str">
        <x:v>1.67</x:v>
      </x:c>
      <x:c r="H832" s="24" t="str">
        <x:v>1.67</x:v>
      </x:c>
      <x:c r="I832" s="24" t="str">
        <x:v>Solitaire 2 Protect Balance</x:v>
      </x:c>
      <x:c r="J832" s="40" t="n">
        <x:v>10012</x:v>
      </x:c>
      <x:c r="K832" s="24" t="str">
        <x:v>-10 a +8</x:v>
      </x:c>
      <x:c r="L832" s="24" t="str">
        <x:v>até -6</x:v>
      </x:c>
      <x:c r="M832" s="24"/>
      <x:c r="N832" s="24" t="str">
        <x:v>75/80</x:v>
      </x:c>
      <x:c r="O832" s="24"/>
      <x:c r="P832" s="24"/>
      <x:c r="Q832" s="24" t="str">
        <x:v>DISPONÍVEL</x:v>
      </x:c>
      <x:c r="R832" s="24"/>
      <x:c r="S832" s="24" t="n">
        <x:v>19</x:v>
      </x:c>
      <x:c r="T832" s="24" t="str">
        <x:v>tabela_rodenstock.pdf</x:v>
      </x:c>
      <x:c r="U832" s="24" t="str">
        <x:v>Rodenstock|Progressiva ILT|Surfaçada|Multigressiv MyView 2||1.67|1.67|Solitaire 2 Protect Balance|-10 a +8|até -6||75/80|||19</x:v>
      </x:c>
    </x:row>
    <x:row r="833">
      <x:c r="A833" s="24" t="str">
        <x:v>RD-3D00CD2BD9B5</x:v>
      </x:c>
      <x:c r="B833" s="24" t="str">
        <x:v>Rodenstock</x:v>
      </x:c>
      <x:c r="C833" s="24" t="str">
        <x:v>Progressiva ILT</x:v>
      </x:c>
      <x:c r="D833" s="24" t="str">
        <x:v>Surfaçada</x:v>
      </x:c>
      <x:c r="E833" s="24" t="str">
        <x:v>Multigressiv MyView 2</x:v>
      </x:c>
      <x:c r="F833" s="24"/>
      <x:c r="G833" s="24" t="str">
        <x:v>1.67</x:v>
      </x:c>
      <x:c r="H833" s="24" t="str">
        <x:v>1.67</x:v>
      </x:c>
      <x:c r="I833" s="24" t="str">
        <x:v>Solitaire Protect Plus</x:v>
      </x:c>
      <x:c r="J833" s="40" t="n">
        <x:v>10012</x:v>
      </x:c>
      <x:c r="K833" s="24" t="str">
        <x:v>-10 a +8</x:v>
      </x:c>
      <x:c r="L833" s="24" t="str">
        <x:v>até -6</x:v>
      </x:c>
      <x:c r="M833" s="24"/>
      <x:c r="N833" s="24" t="str">
        <x:v>75/80</x:v>
      </x:c>
      <x:c r="O833" s="24"/>
      <x:c r="P833" s="24"/>
      <x:c r="Q833" s="24" t="str">
        <x:v>DISPONÍVEL</x:v>
      </x:c>
      <x:c r="R833" s="24"/>
      <x:c r="S833" s="24" t="n">
        <x:v>19</x:v>
      </x:c>
      <x:c r="T833" s="24" t="str">
        <x:v>tabela_rodenstock.pdf</x:v>
      </x:c>
      <x:c r="U833" s="24" t="str">
        <x:v>Rodenstock|Progressiva ILT|Surfaçada|Multigressiv MyView 2||1.67|1.67|Solitaire Protect Plus|-10 a +8|até -6||75/80|||19</x:v>
      </x:c>
    </x:row>
    <x:row r="834">
      <x:c r="A834" s="24" t="str">
        <x:v>RD-6CA1D95B9453</x:v>
      </x:c>
      <x:c r="B834" s="24" t="str">
        <x:v>Rodenstock</x:v>
      </x:c>
      <x:c r="C834" s="24" t="str">
        <x:v>Progressiva ILT</x:v>
      </x:c>
      <x:c r="D834" s="24" t="str">
        <x:v>Surfaçada</x:v>
      </x:c>
      <x:c r="E834" s="24" t="str">
        <x:v>Multigressiv MyView 2</x:v>
      </x:c>
      <x:c r="F834" s="24"/>
      <x:c r="G834" s="24" t="str">
        <x:v>1.67</x:v>
      </x:c>
      <x:c r="H834" s="24" t="str">
        <x:v>1.67</x:v>
      </x:c>
      <x:c r="I834" s="24" t="str">
        <x:v>ROAD</x:v>
      </x:c>
      <x:c r="J834" s="40" t="n">
        <x:v>10012</x:v>
      </x:c>
      <x:c r="K834" s="24" t="str">
        <x:v>-10 a +8</x:v>
      </x:c>
      <x:c r="L834" s="24" t="str">
        <x:v>até -6</x:v>
      </x:c>
      <x:c r="M834" s="24"/>
      <x:c r="N834" s="24" t="str">
        <x:v>75/80</x:v>
      </x:c>
      <x:c r="O834" s="24"/>
      <x:c r="P834" s="24"/>
      <x:c r="Q834" s="24" t="str">
        <x:v>DISPONÍVEL</x:v>
      </x:c>
      <x:c r="R834" s="24"/>
      <x:c r="S834" s="24" t="n">
        <x:v>19</x:v>
      </x:c>
      <x:c r="T834" s="24" t="str">
        <x:v>tabela_rodenstock.pdf</x:v>
      </x:c>
      <x:c r="U834" s="24" t="str">
        <x:v>Rodenstock|Progressiva ILT|Surfaçada|Multigressiv MyView 2||1.67|1.67|ROAD|-10 a +8|até -6||75/80|||19</x:v>
      </x:c>
    </x:row>
    <x:row r="835">
      <x:c r="A835" s="24" t="str">
        <x:v>RD-E285927C1F05</x:v>
      </x:c>
      <x:c r="B835" s="24" t="str">
        <x:v>Rodenstock</x:v>
      </x:c>
      <x:c r="C835" s="24" t="str">
        <x:v>Progressiva ILT</x:v>
      </x:c>
      <x:c r="D835" s="24" t="str">
        <x:v>Surfaçada</x:v>
      </x:c>
      <x:c r="E835" s="24" t="str">
        <x:v>Multigressiv MyView 2</x:v>
      </x:c>
      <x:c r="F835" s="24"/>
      <x:c r="G835" s="24" t="str">
        <x:v>1.67</x:v>
      </x:c>
      <x:c r="H835" s="24" t="str">
        <x:v>1.67</x:v>
      </x:c>
      <x:c r="I835" s="24" t="str">
        <x:v>Solitaire Protect</x:v>
      </x:c>
      <x:c r="J835" s="40" t="n">
        <x:v>9752</x:v>
      </x:c>
      <x:c r="K835" s="24" t="str">
        <x:v>-10 a +8</x:v>
      </x:c>
      <x:c r="L835" s="24" t="str">
        <x:v>até -6</x:v>
      </x:c>
      <x:c r="M835" s="24"/>
      <x:c r="N835" s="24" t="str">
        <x:v>75/80</x:v>
      </x:c>
      <x:c r="O835" s="24"/>
      <x:c r="P835" s="24"/>
      <x:c r="Q835" s="24" t="str">
        <x:v>DISPONÍVEL</x:v>
      </x:c>
      <x:c r="R835" s="24"/>
      <x:c r="S835" s="24" t="n">
        <x:v>19</x:v>
      </x:c>
      <x:c r="T835" s="24" t="str">
        <x:v>tabela_rodenstock.pdf</x:v>
      </x:c>
      <x:c r="U835" s="24" t="str">
        <x:v>Rodenstock|Progressiva ILT|Surfaçada|Multigressiv MyView 2||1.67|1.67|Solitaire Protect|-10 a +8|até -6||75/80|||19</x:v>
      </x:c>
    </x:row>
    <x:row r="836">
      <x:c r="A836" s="24" t="str">
        <x:v>RD-D0F1EC695885</x:v>
      </x:c>
      <x:c r="B836" s="24" t="str">
        <x:v>Rodenstock</x:v>
      </x:c>
      <x:c r="C836" s="24" t="str">
        <x:v>Progressiva ILT</x:v>
      </x:c>
      <x:c r="D836" s="24" t="str">
        <x:v>Surfaçada</x:v>
      </x:c>
      <x:c r="E836" s="24" t="str">
        <x:v>Multigressiv MyView 2</x:v>
      </x:c>
      <x:c r="F836" s="24" t="str">
        <x:v>ColorMatic® 3</x:v>
      </x:c>
      <x:c r="G836" s="24" t="str">
        <x:v>1.67</x:v>
      </x:c>
      <x:c r="H836" s="24" t="str">
        <x:v>1.67</x:v>
      </x:c>
      <x:c r="I836" s="24" t="str">
        <x:v>Solitaire X-tra Clean</x:v>
      </x:c>
      <x:c r="J836" s="40" t="n">
        <x:v>11531</x:v>
      </x:c>
      <x:c r="K836" s="24" t="str">
        <x:v>-10 a +8</x:v>
      </x:c>
      <x:c r="L836" s="24" t="str">
        <x:v>até -6</x:v>
      </x:c>
      <x:c r="M836" s="24"/>
      <x:c r="N836" s="24" t="str">
        <x:v>75/80</x:v>
      </x:c>
      <x:c r="O836" s="24"/>
      <x:c r="P836" s="24"/>
      <x:c r="Q836" s="24" t="str">
        <x:v>DISPONÍVEL</x:v>
      </x:c>
      <x:c r="R836" s="24"/>
      <x:c r="S836" s="24" t="n">
        <x:v>19</x:v>
      </x:c>
      <x:c r="T836" s="24" t="str">
        <x:v>tabela_rodenstock.pdf</x:v>
      </x:c>
      <x:c r="U836" s="24" t="str">
        <x:v>Rodenstock|Progressiva ILT|Surfaçada|Multigressiv MyView 2|ColorMatic® 3|1.67|1.67|Solitaire X-tra Clean|-10 a +8|até -6||75/80|||19</x:v>
      </x:c>
    </x:row>
    <x:row r="837">
      <x:c r="A837" s="24" t="str">
        <x:v>RD-92BB8D70D0F3</x:v>
      </x:c>
      <x:c r="B837" s="24" t="str">
        <x:v>Rodenstock</x:v>
      </x:c>
      <x:c r="C837" s="24" t="str">
        <x:v>Progressiva ILT</x:v>
      </x:c>
      <x:c r="D837" s="24" t="str">
        <x:v>Surfaçada</x:v>
      </x:c>
      <x:c r="E837" s="24" t="str">
        <x:v>Multigressiv MyView 2</x:v>
      </x:c>
      <x:c r="F837" s="24" t="str">
        <x:v>ColorMatic® 3</x:v>
      </x:c>
      <x:c r="G837" s="24" t="str">
        <x:v>1.67</x:v>
      </x:c>
      <x:c r="H837" s="24" t="str">
        <x:v>1.67</x:v>
      </x:c>
      <x:c r="I837" s="24" t="str">
        <x:v>Solitaire 2 Protect Balance</x:v>
      </x:c>
      <x:c r="J837" s="40" t="n">
        <x:v>11481</x:v>
      </x:c>
      <x:c r="K837" s="24" t="str">
        <x:v>-10 a +8</x:v>
      </x:c>
      <x:c r="L837" s="24" t="str">
        <x:v>até -6</x:v>
      </x:c>
      <x:c r="M837" s="24"/>
      <x:c r="N837" s="24" t="str">
        <x:v>75/80</x:v>
      </x:c>
      <x:c r="O837" s="24"/>
      <x:c r="P837" s="24"/>
      <x:c r="Q837" s="24" t="str">
        <x:v>DISPONÍVEL</x:v>
      </x:c>
      <x:c r="R837" s="24"/>
      <x:c r="S837" s="24" t="n">
        <x:v>19</x:v>
      </x:c>
      <x:c r="T837" s="24" t="str">
        <x:v>tabela_rodenstock.pdf</x:v>
      </x:c>
      <x:c r="U837" s="24" t="str">
        <x:v>Rodenstock|Progressiva ILT|Surfaçada|Multigressiv MyView 2|ColorMatic® 3|1.67|1.67|Solitaire 2 Protect Balance|-10 a +8|até -6||75/80|||19</x:v>
      </x:c>
    </x:row>
    <x:row r="838">
      <x:c r="A838" s="24" t="str">
        <x:v>RD-0DEF4DA0BE5C</x:v>
      </x:c>
      <x:c r="B838" s="24" t="str">
        <x:v>Rodenstock</x:v>
      </x:c>
      <x:c r="C838" s="24" t="str">
        <x:v>Progressiva ILT</x:v>
      </x:c>
      <x:c r="D838" s="24" t="str">
        <x:v>Surfaçada</x:v>
      </x:c>
      <x:c r="E838" s="24" t="str">
        <x:v>Multigressiv MyView 2</x:v>
      </x:c>
      <x:c r="F838" s="24" t="str">
        <x:v>ColorMatic® 3</x:v>
      </x:c>
      <x:c r="G838" s="24" t="str">
        <x:v>1.67</x:v>
      </x:c>
      <x:c r="H838" s="24" t="str">
        <x:v>1.67</x:v>
      </x:c>
      <x:c r="I838" s="24" t="str">
        <x:v>Solitaire Protect Plus</x:v>
      </x:c>
      <x:c r="J838" s="40" t="n">
        <x:v>11481</x:v>
      </x:c>
      <x:c r="K838" s="24" t="str">
        <x:v>-10 a +8</x:v>
      </x:c>
      <x:c r="L838" s="24" t="str">
        <x:v>até -6</x:v>
      </x:c>
      <x:c r="M838" s="24"/>
      <x:c r="N838" s="24" t="str">
        <x:v>75/80</x:v>
      </x:c>
      <x:c r="O838" s="24"/>
      <x:c r="P838" s="24"/>
      <x:c r="Q838" s="24" t="str">
        <x:v>DISPONÍVEL</x:v>
      </x:c>
      <x:c r="R838" s="24"/>
      <x:c r="S838" s="24" t="n">
        <x:v>19</x:v>
      </x:c>
      <x:c r="T838" s="24" t="str">
        <x:v>tabela_rodenstock.pdf</x:v>
      </x:c>
      <x:c r="U838" s="24" t="str">
        <x:v>Rodenstock|Progressiva ILT|Surfaçada|Multigressiv MyView 2|ColorMatic® 3|1.67|1.67|Solitaire Protect Plus|-10 a +8|até -6||75/80|||19</x:v>
      </x:c>
    </x:row>
    <x:row r="839">
      <x:c r="A839" s="24" t="str">
        <x:v>RD-A02978E48723</x:v>
      </x:c>
      <x:c r="B839" s="24" t="str">
        <x:v>Rodenstock</x:v>
      </x:c>
      <x:c r="C839" s="24" t="str">
        <x:v>Progressiva ILT</x:v>
      </x:c>
      <x:c r="D839" s="24" t="str">
        <x:v>Surfaçada</x:v>
      </x:c>
      <x:c r="E839" s="24" t="str">
        <x:v>Multigressiv MyView 2</x:v>
      </x:c>
      <x:c r="F839" s="24" t="str">
        <x:v>ColorMatic® 3</x:v>
      </x:c>
      <x:c r="G839" s="24" t="str">
        <x:v>1.67</x:v>
      </x:c>
      <x:c r="H839" s="24" t="str">
        <x:v>1.67</x:v>
      </x:c>
      <x:c r="I839" s="24" t="str">
        <x:v>ROAD</x:v>
      </x:c>
      <x:c r="J839" s="40" t="n">
        <x:v>11481</x:v>
      </x:c>
      <x:c r="K839" s="24" t="str">
        <x:v>-10 a +8</x:v>
      </x:c>
      <x:c r="L839" s="24" t="str">
        <x:v>até -6</x:v>
      </x:c>
      <x:c r="M839" s="24"/>
      <x:c r="N839" s="24" t="str">
        <x:v>75/80</x:v>
      </x:c>
      <x:c r="O839" s="24"/>
      <x:c r="P839" s="24"/>
      <x:c r="Q839" s="24" t="str">
        <x:v>DISPONÍVEL</x:v>
      </x:c>
      <x:c r="R839" s="24"/>
      <x:c r="S839" s="24" t="n">
        <x:v>19</x:v>
      </x:c>
      <x:c r="T839" s="24" t="str">
        <x:v>tabela_rodenstock.pdf</x:v>
      </x:c>
      <x:c r="U839" s="24" t="str">
        <x:v>Rodenstock|Progressiva ILT|Surfaçada|Multigressiv MyView 2|ColorMatic® 3|1.67|1.67|ROAD|-10 a +8|até -6||75/80|||19</x:v>
      </x:c>
    </x:row>
    <x:row r="840">
      <x:c r="A840" s="24" t="str">
        <x:v>RD-62DB0E7288E8</x:v>
      </x:c>
      <x:c r="B840" s="24" t="str">
        <x:v>Rodenstock</x:v>
      </x:c>
      <x:c r="C840" s="24" t="str">
        <x:v>Progressiva ILT</x:v>
      </x:c>
      <x:c r="D840" s="24" t="str">
        <x:v>Surfaçada</x:v>
      </x:c>
      <x:c r="E840" s="24" t="str">
        <x:v>Multigressiv MyView 2</x:v>
      </x:c>
      <x:c r="F840" s="24" t="str">
        <x:v>ColorMatic® 3</x:v>
      </x:c>
      <x:c r="G840" s="24" t="str">
        <x:v>1.67</x:v>
      </x:c>
      <x:c r="H840" s="24" t="str">
        <x:v>1.67</x:v>
      </x:c>
      <x:c r="I840" s="24" t="str">
        <x:v>Solitaire Protect</x:v>
      </x:c>
      <x:c r="J840" s="40" t="n">
        <x:v>11221</x:v>
      </x:c>
      <x:c r="K840" s="24" t="str">
        <x:v>-10 a +8</x:v>
      </x:c>
      <x:c r="L840" s="24" t="str">
        <x:v>até -6</x:v>
      </x:c>
      <x:c r="M840" s="24"/>
      <x:c r="N840" s="24" t="str">
        <x:v>75/80</x:v>
      </x:c>
      <x:c r="O840" s="24"/>
      <x:c r="P840" s="24"/>
      <x:c r="Q840" s="24" t="str">
        <x:v>DISPONÍVEL</x:v>
      </x:c>
      <x:c r="R840" s="24"/>
      <x:c r="S840" s="24" t="n">
        <x:v>19</x:v>
      </x:c>
      <x:c r="T840" s="24" t="str">
        <x:v>tabela_rodenstock.pdf</x:v>
      </x:c>
      <x:c r="U840" s="24" t="str">
        <x:v>Rodenstock|Progressiva ILT|Surfaçada|Multigressiv MyView 2|ColorMatic® 3|1.67|1.67|Solitaire Protect|-10 a +8|até -6||75/80|||19</x:v>
      </x:c>
    </x:row>
    <x:row r="841">
      <x:c r="A841" s="24" t="str">
        <x:v>RD-25304CBC7FC6</x:v>
      </x:c>
      <x:c r="B841" s="24" t="str">
        <x:v>Rodenstock</x:v>
      </x:c>
      <x:c r="C841" s="24" t="str">
        <x:v>Progressiva ILT</x:v>
      </x:c>
      <x:c r="D841" s="24" t="str">
        <x:v>Surfaçada</x:v>
      </x:c>
      <x:c r="E841" s="24" t="str">
        <x:v>Multigressiv MyView 2</x:v>
      </x:c>
      <x:c r="F841" s="24"/>
      <x:c r="G841" s="24" t="str">
        <x:v>1.74</x:v>
      </x:c>
      <x:c r="H841" s="24" t="str">
        <x:v>1.74</x:v>
      </x:c>
      <x:c r="I841" s="24" t="str">
        <x:v>Solitaire X-tra Clean</x:v>
      </x:c>
      <x:c r="J841" s="40" t="n">
        <x:v>11886</x:v>
      </x:c>
      <x:c r="K841" s="24" t="str">
        <x:v>-18 a +13</x:v>
      </x:c>
      <x:c r="L841" s="24" t="str">
        <x:v>até -6</x:v>
      </x:c>
      <x:c r="M841" s="24"/>
      <x:c r="N841" s="24" t="str">
        <x:v>75/80</x:v>
      </x:c>
      <x:c r="O841" s="24"/>
      <x:c r="P841" s="24"/>
      <x:c r="Q841" s="24" t="str">
        <x:v>DISPONÍVEL</x:v>
      </x:c>
      <x:c r="R841" s="24"/>
      <x:c r="S841" s="24" t="n">
        <x:v>19</x:v>
      </x:c>
      <x:c r="T841" s="24" t="str">
        <x:v>tabela_rodenstock.pdf</x:v>
      </x:c>
      <x:c r="U841" s="24" t="str">
        <x:v>Rodenstock|Progressiva ILT|Surfaçada|Multigressiv MyView 2||1.74|1.74|Solitaire X-tra Clean|-18 a +13|até -6||75/80|||19</x:v>
      </x:c>
    </x:row>
    <x:row r="842">
      <x:c r="A842" s="24" t="str">
        <x:v>RD-05599CB09CF6</x:v>
      </x:c>
      <x:c r="B842" s="24" t="str">
        <x:v>Rodenstock</x:v>
      </x:c>
      <x:c r="C842" s="24" t="str">
        <x:v>Progressiva ILT</x:v>
      </x:c>
      <x:c r="D842" s="24" t="str">
        <x:v>Surfaçada</x:v>
      </x:c>
      <x:c r="E842" s="24" t="str">
        <x:v>Multigressiv MyView 2</x:v>
      </x:c>
      <x:c r="F842" s="24"/>
      <x:c r="G842" s="24" t="str">
        <x:v>1.74</x:v>
      </x:c>
      <x:c r="H842" s="24" t="str">
        <x:v>1.74</x:v>
      </x:c>
      <x:c r="I842" s="24" t="str">
        <x:v>Solitaire 2 Protect Balance</x:v>
      </x:c>
      <x:c r="J842" s="40" t="n">
        <x:v>11836</x:v>
      </x:c>
      <x:c r="K842" s="24" t="str">
        <x:v>-18 a +13</x:v>
      </x:c>
      <x:c r="L842" s="24" t="str">
        <x:v>até -6</x:v>
      </x:c>
      <x:c r="M842" s="24"/>
      <x:c r="N842" s="24" t="str">
        <x:v>75/80</x:v>
      </x:c>
      <x:c r="O842" s="24"/>
      <x:c r="P842" s="24"/>
      <x:c r="Q842" s="24" t="str">
        <x:v>DISPONÍVEL</x:v>
      </x:c>
      <x:c r="R842" s="24"/>
      <x:c r="S842" s="24" t="n">
        <x:v>19</x:v>
      </x:c>
      <x:c r="T842" s="24" t="str">
        <x:v>tabela_rodenstock.pdf</x:v>
      </x:c>
      <x:c r="U842" s="24" t="str">
        <x:v>Rodenstock|Progressiva ILT|Surfaçada|Multigressiv MyView 2||1.74|1.74|Solitaire 2 Protect Balance|-18 a +13|até -6||75/80|||19</x:v>
      </x:c>
    </x:row>
    <x:row r="843">
      <x:c r="A843" s="24" t="str">
        <x:v>RD-7F43A2FC7014</x:v>
      </x:c>
      <x:c r="B843" s="24" t="str">
        <x:v>Rodenstock</x:v>
      </x:c>
      <x:c r="C843" s="24" t="str">
        <x:v>Progressiva ILT</x:v>
      </x:c>
      <x:c r="D843" s="24" t="str">
        <x:v>Surfaçada</x:v>
      </x:c>
      <x:c r="E843" s="24" t="str">
        <x:v>Multigressiv MyView 2</x:v>
      </x:c>
      <x:c r="F843" s="24"/>
      <x:c r="G843" s="24" t="str">
        <x:v>1.74</x:v>
      </x:c>
      <x:c r="H843" s="24" t="str">
        <x:v>1.74</x:v>
      </x:c>
      <x:c r="I843" s="24" t="str">
        <x:v>Solitaire Protect Plus</x:v>
      </x:c>
      <x:c r="J843" s="40" t="n">
        <x:v>11836</x:v>
      </x:c>
      <x:c r="K843" s="24" t="str">
        <x:v>-18 a +13</x:v>
      </x:c>
      <x:c r="L843" s="24" t="str">
        <x:v>até -6</x:v>
      </x:c>
      <x:c r="M843" s="24"/>
      <x:c r="N843" s="24" t="str">
        <x:v>75/80</x:v>
      </x:c>
      <x:c r="O843" s="24"/>
      <x:c r="P843" s="24"/>
      <x:c r="Q843" s="24" t="str">
        <x:v>DISPONÍVEL</x:v>
      </x:c>
      <x:c r="R843" s="24"/>
      <x:c r="S843" s="24" t="n">
        <x:v>19</x:v>
      </x:c>
      <x:c r="T843" s="24" t="str">
        <x:v>tabela_rodenstock.pdf</x:v>
      </x:c>
      <x:c r="U843" s="24" t="str">
        <x:v>Rodenstock|Progressiva ILT|Surfaçada|Multigressiv MyView 2||1.74|1.74|Solitaire Protect Plus|-18 a +13|até -6||75/80|||19</x:v>
      </x:c>
    </x:row>
    <x:row r="844">
      <x:c r="A844" s="24" t="str">
        <x:v>RD-07BE59710DFC</x:v>
      </x:c>
      <x:c r="B844" s="24" t="str">
        <x:v>Rodenstock</x:v>
      </x:c>
      <x:c r="C844" s="24" t="str">
        <x:v>Progressiva ILT</x:v>
      </x:c>
      <x:c r="D844" s="24" t="str">
        <x:v>Surfaçada</x:v>
      </x:c>
      <x:c r="E844" s="24" t="str">
        <x:v>Multigressiv MyView 2</x:v>
      </x:c>
      <x:c r="F844" s="24"/>
      <x:c r="G844" s="24" t="str">
        <x:v>1.74</x:v>
      </x:c>
      <x:c r="H844" s="24" t="str">
        <x:v>1.74</x:v>
      </x:c>
      <x:c r="I844" s="24" t="str">
        <x:v>Solitaire Protect</x:v>
      </x:c>
      <x:c r="J844" s="40" t="n">
        <x:v>11576</x:v>
      </x:c>
      <x:c r="K844" s="24" t="str">
        <x:v>-18 a +13</x:v>
      </x:c>
      <x:c r="L844" s="24" t="str">
        <x:v>até -6</x:v>
      </x:c>
      <x:c r="M844" s="24"/>
      <x:c r="N844" s="24" t="str">
        <x:v>75/80</x:v>
      </x:c>
      <x:c r="O844" s="24"/>
      <x:c r="P844" s="24"/>
      <x:c r="Q844" s="24" t="str">
        <x:v>DISPONÍVEL</x:v>
      </x:c>
      <x:c r="R844" s="24"/>
      <x:c r="S844" s="24" t="n">
        <x:v>19</x:v>
      </x:c>
      <x:c r="T844" s="24" t="str">
        <x:v>tabela_rodenstock.pdf</x:v>
      </x:c>
      <x:c r="U844" s="24" t="str">
        <x:v>Rodenstock|Progressiva ILT|Surfaçada|Multigressiv MyView 2||1.74|1.74|Solitaire Protect|-18 a +13|até -6||75/80|||19</x:v>
      </x:c>
    </x:row>
    <x:row r="845">
      <x:c r="A845" s="24" t="str">
        <x:v>RD-0C128FD0C21C</x:v>
      </x:c>
      <x:c r="B845" s="24" t="str">
        <x:v>Rodenstock</x:v>
      </x:c>
      <x:c r="C845" s="24" t="str">
        <x:v>Progressiva Freeform</x:v>
      </x:c>
      <x:c r="D845" s="24" t="str">
        <x:v>Surfaçada</x:v>
      </x:c>
      <x:c r="E845" s="24" t="str">
        <x:v>Progressiv Life</x:v>
      </x:c>
      <x:c r="F845" s="24"/>
      <x:c r="G845" s="24" t="str">
        <x:v>1.5</x:v>
      </x:c>
      <x:c r="H845" s="24" t="str">
        <x:v>1.50</x:v>
      </x:c>
      <x:c r="I845" s="24" t="str">
        <x:v>Solitaire X-tra Clean</x:v>
      </x:c>
      <x:c r="J845" s="40" t="n">
        <x:v>5826</x:v>
      </x:c>
      <x:c r="K845" s="24" t="str">
        <x:v>-8 a +8</x:v>
      </x:c>
      <x:c r="L845" s="24" t="str">
        <x:v>até -6</x:v>
      </x:c>
      <x:c r="M845" s="24"/>
      <x:c r="N845" s="24" t="str">
        <x:v>75/80</x:v>
      </x:c>
      <x:c r="O845" s="24"/>
      <x:c r="P845" s="24"/>
      <x:c r="Q845" s="24" t="str">
        <x:v>DISPONÍVEL</x:v>
      </x:c>
      <x:c r="R845" s="24"/>
      <x:c r="S845" s="24" t="n">
        <x:v>21</x:v>
      </x:c>
      <x:c r="T845" s="24" t="str">
        <x:v>tabela_rodenstock.pdf</x:v>
      </x:c>
      <x:c r="U845" s="24" t="str">
        <x:v>Rodenstock|Progressiva Freeform|Surfaçada|Progressiv Life||1.5|1.50|Solitaire X-tra Clean|-8 a +8|até -6||75/80|||21</x:v>
      </x:c>
    </x:row>
    <x:row r="846">
      <x:c r="A846" s="24" t="str">
        <x:v>RD-DBDAB691F3B7</x:v>
      </x:c>
      <x:c r="B846" s="24" t="str">
        <x:v>Rodenstock</x:v>
      </x:c>
      <x:c r="C846" s="24" t="str">
        <x:v>Progressiva Freeform</x:v>
      </x:c>
      <x:c r="D846" s="24" t="str">
        <x:v>Surfaçada</x:v>
      </x:c>
      <x:c r="E846" s="24" t="str">
        <x:v>Progressiv Life</x:v>
      </x:c>
      <x:c r="F846" s="24"/>
      <x:c r="G846" s="24" t="str">
        <x:v>1.5</x:v>
      </x:c>
      <x:c r="H846" s="24" t="str">
        <x:v>1.50</x:v>
      </x:c>
      <x:c r="I846" s="24" t="str">
        <x:v>Solitaire 2 Protect Balance</x:v>
      </x:c>
      <x:c r="J846" s="40" t="n">
        <x:v>5776</x:v>
      </x:c>
      <x:c r="K846" s="24" t="str">
        <x:v>-8 a +8</x:v>
      </x:c>
      <x:c r="L846" s="24" t="str">
        <x:v>até -6</x:v>
      </x:c>
      <x:c r="M846" s="24"/>
      <x:c r="N846" s="24" t="str">
        <x:v>75/80</x:v>
      </x:c>
      <x:c r="O846" s="24"/>
      <x:c r="P846" s="24"/>
      <x:c r="Q846" s="24" t="str">
        <x:v>DISPONÍVEL</x:v>
      </x:c>
      <x:c r="R846" s="24"/>
      <x:c r="S846" s="24" t="n">
        <x:v>21</x:v>
      </x:c>
      <x:c r="T846" s="24" t="str">
        <x:v>tabela_rodenstock.pdf</x:v>
      </x:c>
      <x:c r="U846" s="24" t="str">
        <x:v>Rodenstock|Progressiva Freeform|Surfaçada|Progressiv Life||1.5|1.50|Solitaire 2 Protect Balance|-8 a +8|até -6||75/80|||21</x:v>
      </x:c>
    </x:row>
    <x:row r="847">
      <x:c r="A847" s="24" t="str">
        <x:v>RD-F68C4EBF5E8F</x:v>
      </x:c>
      <x:c r="B847" s="24" t="str">
        <x:v>Rodenstock</x:v>
      </x:c>
      <x:c r="C847" s="24" t="str">
        <x:v>Progressiva Freeform</x:v>
      </x:c>
      <x:c r="D847" s="24" t="str">
        <x:v>Surfaçada</x:v>
      </x:c>
      <x:c r="E847" s="24" t="str">
        <x:v>Progressiv Life</x:v>
      </x:c>
      <x:c r="F847" s="24"/>
      <x:c r="G847" s="24" t="str">
        <x:v>1.5</x:v>
      </x:c>
      <x:c r="H847" s="24" t="str">
        <x:v>1.50</x:v>
      </x:c>
      <x:c r="I847" s="24" t="str">
        <x:v>Solitaire Protect Plus</x:v>
      </x:c>
      <x:c r="J847" s="40" t="n">
        <x:v>5776</x:v>
      </x:c>
      <x:c r="K847" s="24" t="str">
        <x:v>-8 a +8</x:v>
      </x:c>
      <x:c r="L847" s="24" t="str">
        <x:v>até -6</x:v>
      </x:c>
      <x:c r="M847" s="24"/>
      <x:c r="N847" s="24" t="str">
        <x:v>75/80</x:v>
      </x:c>
      <x:c r="O847" s="24"/>
      <x:c r="P847" s="24"/>
      <x:c r="Q847" s="24" t="str">
        <x:v>DISPONÍVEL</x:v>
      </x:c>
      <x:c r="R847" s="24"/>
      <x:c r="S847" s="24" t="n">
        <x:v>21</x:v>
      </x:c>
      <x:c r="T847" s="24" t="str">
        <x:v>tabela_rodenstock.pdf</x:v>
      </x:c>
      <x:c r="U847" s="24" t="str">
        <x:v>Rodenstock|Progressiva Freeform|Surfaçada|Progressiv Life||1.5|1.50|Solitaire Protect Plus|-8 a +8|até -6||75/80|||21</x:v>
      </x:c>
    </x:row>
    <x:row r="848">
      <x:c r="A848" s="24" t="str">
        <x:v>RD-F069256EB23A</x:v>
      </x:c>
      <x:c r="B848" s="24" t="str">
        <x:v>Rodenstock</x:v>
      </x:c>
      <x:c r="C848" s="24" t="str">
        <x:v>Progressiva Freeform</x:v>
      </x:c>
      <x:c r="D848" s="24" t="str">
        <x:v>Surfaçada</x:v>
      </x:c>
      <x:c r="E848" s="24" t="str">
        <x:v>Progressiv Life</x:v>
      </x:c>
      <x:c r="F848" s="24"/>
      <x:c r="G848" s="24" t="str">
        <x:v>1.5</x:v>
      </x:c>
      <x:c r="H848" s="24" t="str">
        <x:v>1.50</x:v>
      </x:c>
      <x:c r="I848" s="24" t="str">
        <x:v>ROAD</x:v>
      </x:c>
      <x:c r="J848" s="40" t="n">
        <x:v>5776</x:v>
      </x:c>
      <x:c r="K848" s="24" t="str">
        <x:v>-8 a +8</x:v>
      </x:c>
      <x:c r="L848" s="24" t="str">
        <x:v>até -6</x:v>
      </x:c>
      <x:c r="M848" s="24"/>
      <x:c r="N848" s="24" t="str">
        <x:v>75/80</x:v>
      </x:c>
      <x:c r="O848" s="24"/>
      <x:c r="P848" s="24"/>
      <x:c r="Q848" s="24" t="str">
        <x:v>DISPONÍVEL</x:v>
      </x:c>
      <x:c r="R848" s="24"/>
      <x:c r="S848" s="24" t="n">
        <x:v>21</x:v>
      </x:c>
      <x:c r="T848" s="24" t="str">
        <x:v>tabela_rodenstock.pdf</x:v>
      </x:c>
      <x:c r="U848" s="24" t="str">
        <x:v>Rodenstock|Progressiva Freeform|Surfaçada|Progressiv Life||1.5|1.50|ROAD|-8 a +8|até -6||75/80|||21</x:v>
      </x:c>
    </x:row>
    <x:row r="849">
      <x:c r="A849" s="24" t="str">
        <x:v>RD-8B79C759AAAF</x:v>
      </x:c>
      <x:c r="B849" s="24" t="str">
        <x:v>Rodenstock</x:v>
      </x:c>
      <x:c r="C849" s="24" t="str">
        <x:v>Progressiva Freeform</x:v>
      </x:c>
      <x:c r="D849" s="24" t="str">
        <x:v>Surfaçada</x:v>
      </x:c>
      <x:c r="E849" s="24" t="str">
        <x:v>Progressiv Life</x:v>
      </x:c>
      <x:c r="F849" s="24"/>
      <x:c r="G849" s="24" t="str">
        <x:v>1.5</x:v>
      </x:c>
      <x:c r="H849" s="24" t="str">
        <x:v>1.50</x:v>
      </x:c>
      <x:c r="I849" s="24" t="str">
        <x:v>Solitaire Protect</x:v>
      </x:c>
      <x:c r="J849" s="40" t="n">
        <x:v>5516</x:v>
      </x:c>
      <x:c r="K849" s="24" t="str">
        <x:v>-8 a +8</x:v>
      </x:c>
      <x:c r="L849" s="24" t="str">
        <x:v>até -6</x:v>
      </x:c>
      <x:c r="M849" s="24"/>
      <x:c r="N849" s="24" t="str">
        <x:v>75/80</x:v>
      </x:c>
      <x:c r="O849" s="24"/>
      <x:c r="P849" s="24"/>
      <x:c r="Q849" s="24" t="str">
        <x:v>DISPONÍVEL</x:v>
      </x:c>
      <x:c r="R849" s="24"/>
      <x:c r="S849" s="24" t="n">
        <x:v>21</x:v>
      </x:c>
      <x:c r="T849" s="24" t="str">
        <x:v>tabela_rodenstock.pdf</x:v>
      </x:c>
      <x:c r="U849" s="24" t="str">
        <x:v>Rodenstock|Progressiva Freeform|Surfaçada|Progressiv Life||1.5|1.50|Solitaire Protect|-8 a +8|até -6||75/80|||21</x:v>
      </x:c>
    </x:row>
    <x:row r="850">
      <x:c r="A850" s="24" t="str">
        <x:v>RD-F2F33D1E82E7</x:v>
      </x:c>
      <x:c r="B850" s="24" t="str">
        <x:v>Rodenstock</x:v>
      </x:c>
      <x:c r="C850" s="24" t="str">
        <x:v>Progressiva Freeform</x:v>
      </x:c>
      <x:c r="D850" s="24" t="str">
        <x:v>Surfaçada</x:v>
      </x:c>
      <x:c r="E850" s="24" t="str">
        <x:v>Progressiv Life</x:v>
      </x:c>
      <x:c r="F850" s="24" t="str">
        <x:v>Polarizada</x:v>
      </x:c>
      <x:c r="G850" s="24" t="str">
        <x:v>1.5</x:v>
      </x:c>
      <x:c r="H850" s="24" t="str">
        <x:v>1.50</x:v>
      </x:c>
      <x:c r="I850" s="24" t="str">
        <x:v>Solitaire X-tra Clean</x:v>
      </x:c>
      <x:c r="J850" s="40" t="n">
        <x:v>6953</x:v>
      </x:c>
      <x:c r="K850" s="24" t="str">
        <x:v>-6 a +6</x:v>
      </x:c>
      <x:c r="L850" s="24" t="str">
        <x:v>até -6</x:v>
      </x:c>
      <x:c r="M850" s="24"/>
      <x:c r="N850" s="24" t="str">
        <x:v>75/80</x:v>
      </x:c>
      <x:c r="O850" s="24"/>
      <x:c r="P850" s="24"/>
      <x:c r="Q850" s="24" t="str">
        <x:v>DISPONÍVEL</x:v>
      </x:c>
      <x:c r="R850" s="24"/>
      <x:c r="S850" s="24" t="n">
        <x:v>21</x:v>
      </x:c>
      <x:c r="T850" s="24" t="str">
        <x:v>tabela_rodenstock.pdf</x:v>
      </x:c>
      <x:c r="U850" s="24" t="str">
        <x:v>Rodenstock|Progressiva Freeform|Surfaçada|Progressiv Life|Polarizada|1.5|1.50|Solitaire X-tra Clean|-6 a +6|até -6||75/80|||21</x:v>
      </x:c>
    </x:row>
    <x:row r="851">
      <x:c r="A851" s="24" t="str">
        <x:v>RD-1B862E00827F</x:v>
      </x:c>
      <x:c r="B851" s="24" t="str">
        <x:v>Rodenstock</x:v>
      </x:c>
      <x:c r="C851" s="24" t="str">
        <x:v>Progressiva Freeform</x:v>
      </x:c>
      <x:c r="D851" s="24" t="str">
        <x:v>Surfaçada</x:v>
      </x:c>
      <x:c r="E851" s="24" t="str">
        <x:v>Progressiv Life</x:v>
      </x:c>
      <x:c r="F851" s="24" t="str">
        <x:v>Polarizada</x:v>
      </x:c>
      <x:c r="G851" s="24" t="str">
        <x:v>1.5</x:v>
      </x:c>
      <x:c r="H851" s="24" t="str">
        <x:v>1.50</x:v>
      </x:c>
      <x:c r="I851" s="24" t="str">
        <x:v>Solitaire 2 Protect Balance</x:v>
      </x:c>
      <x:c r="J851" s="40" t="n">
        <x:v>6903</x:v>
      </x:c>
      <x:c r="K851" s="24" t="str">
        <x:v>-6 a +6</x:v>
      </x:c>
      <x:c r="L851" s="24" t="str">
        <x:v>até -6</x:v>
      </x:c>
      <x:c r="M851" s="24"/>
      <x:c r="N851" s="24" t="str">
        <x:v>75/80</x:v>
      </x:c>
      <x:c r="O851" s="24"/>
      <x:c r="P851" s="24"/>
      <x:c r="Q851" s="24" t="str">
        <x:v>DISPONÍVEL</x:v>
      </x:c>
      <x:c r="R851" s="24"/>
      <x:c r="S851" s="24" t="n">
        <x:v>21</x:v>
      </x:c>
      <x:c r="T851" s="24" t="str">
        <x:v>tabela_rodenstock.pdf</x:v>
      </x:c>
      <x:c r="U851" s="24" t="str">
        <x:v>Rodenstock|Progressiva Freeform|Surfaçada|Progressiv Life|Polarizada|1.5|1.50|Solitaire 2 Protect Balance|-6 a +6|até -6||75/80|||21</x:v>
      </x:c>
    </x:row>
    <x:row r="852">
      <x:c r="A852" s="24" t="str">
        <x:v>RD-42787A72670B</x:v>
      </x:c>
      <x:c r="B852" s="24" t="str">
        <x:v>Rodenstock</x:v>
      </x:c>
      <x:c r="C852" s="24" t="str">
        <x:v>Progressiva Freeform</x:v>
      </x:c>
      <x:c r="D852" s="24" t="str">
        <x:v>Surfaçada</x:v>
      </x:c>
      <x:c r="E852" s="24" t="str">
        <x:v>Progressiv Life</x:v>
      </x:c>
      <x:c r="F852" s="24" t="str">
        <x:v>Polarizada</x:v>
      </x:c>
      <x:c r="G852" s="24" t="str">
        <x:v>1.5</x:v>
      </x:c>
      <x:c r="H852" s="24" t="str">
        <x:v>1.50</x:v>
      </x:c>
      <x:c r="I852" s="24" t="str">
        <x:v>Solitaire Protect Plus</x:v>
      </x:c>
      <x:c r="J852" s="40" t="n">
        <x:v>6903</x:v>
      </x:c>
      <x:c r="K852" s="24" t="str">
        <x:v>-6 a +6</x:v>
      </x:c>
      <x:c r="L852" s="24" t="str">
        <x:v>até -6</x:v>
      </x:c>
      <x:c r="M852" s="24"/>
      <x:c r="N852" s="24" t="str">
        <x:v>75/80</x:v>
      </x:c>
      <x:c r="O852" s="24"/>
      <x:c r="P852" s="24"/>
      <x:c r="Q852" s="24" t="str">
        <x:v>DISPONÍVEL</x:v>
      </x:c>
      <x:c r="R852" s="24"/>
      <x:c r="S852" s="24" t="n">
        <x:v>21</x:v>
      </x:c>
      <x:c r="T852" s="24" t="str">
        <x:v>tabela_rodenstock.pdf</x:v>
      </x:c>
      <x:c r="U852" s="24" t="str">
        <x:v>Rodenstock|Progressiva Freeform|Surfaçada|Progressiv Life|Polarizada|1.5|1.50|Solitaire Protect Plus|-6 a +6|até -6||75/80|||21</x:v>
      </x:c>
    </x:row>
    <x:row r="853">
      <x:c r="A853" s="24" t="str">
        <x:v>RD-29BA3D8526C9</x:v>
      </x:c>
      <x:c r="B853" s="24" t="str">
        <x:v>Rodenstock</x:v>
      </x:c>
      <x:c r="C853" s="24" t="str">
        <x:v>Progressiva Freeform</x:v>
      </x:c>
      <x:c r="D853" s="24" t="str">
        <x:v>Surfaçada</x:v>
      </x:c>
      <x:c r="E853" s="24" t="str">
        <x:v>Progressiv Life</x:v>
      </x:c>
      <x:c r="F853" s="24" t="str">
        <x:v>Polarizada</x:v>
      </x:c>
      <x:c r="G853" s="24" t="str">
        <x:v>1.5</x:v>
      </x:c>
      <x:c r="H853" s="24" t="str">
        <x:v>1.50</x:v>
      </x:c>
      <x:c r="I853" s="24" t="str">
        <x:v>ROAD</x:v>
      </x:c>
      <x:c r="J853" s="40" t="n">
        <x:v>6903</x:v>
      </x:c>
      <x:c r="K853" s="24" t="str">
        <x:v>-6 a +6</x:v>
      </x:c>
      <x:c r="L853" s="24" t="str">
        <x:v>até -6</x:v>
      </x:c>
      <x:c r="M853" s="24"/>
      <x:c r="N853" s="24" t="str">
        <x:v>75/80</x:v>
      </x:c>
      <x:c r="O853" s="24"/>
      <x:c r="P853" s="24"/>
      <x:c r="Q853" s="24" t="str">
        <x:v>DISPONÍVEL</x:v>
      </x:c>
      <x:c r="R853" s="24"/>
      <x:c r="S853" s="24" t="n">
        <x:v>21</x:v>
      </x:c>
      <x:c r="T853" s="24" t="str">
        <x:v>tabela_rodenstock.pdf</x:v>
      </x:c>
      <x:c r="U853" s="24" t="str">
        <x:v>Rodenstock|Progressiva Freeform|Surfaçada|Progressiv Life|Polarizada|1.5|1.50|ROAD|-6 a +6|até -6||75/80|||21</x:v>
      </x:c>
    </x:row>
    <x:row r="854">
      <x:c r="A854" s="24" t="str">
        <x:v>RD-F70704C97607</x:v>
      </x:c>
      <x:c r="B854" s="24" t="str">
        <x:v>Rodenstock</x:v>
      </x:c>
      <x:c r="C854" s="24" t="str">
        <x:v>Progressiva Freeform</x:v>
      </x:c>
      <x:c r="D854" s="24" t="str">
        <x:v>Surfaçada</x:v>
      </x:c>
      <x:c r="E854" s="24" t="str">
        <x:v>Progressiv Life</x:v>
      </x:c>
      <x:c r="F854" s="24" t="str">
        <x:v>Polarizada</x:v>
      </x:c>
      <x:c r="G854" s="24" t="str">
        <x:v>1.5</x:v>
      </x:c>
      <x:c r="H854" s="24" t="str">
        <x:v>1.50</x:v>
      </x:c>
      <x:c r="I854" s="24" t="str">
        <x:v>Solitaire Protect</x:v>
      </x:c>
      <x:c r="J854" s="40" t="n">
        <x:v>6643</x:v>
      </x:c>
      <x:c r="K854" s="24" t="str">
        <x:v>-6 a +6</x:v>
      </x:c>
      <x:c r="L854" s="24" t="str">
        <x:v>até -6</x:v>
      </x:c>
      <x:c r="M854" s="24"/>
      <x:c r="N854" s="24" t="str">
        <x:v>75/80</x:v>
      </x:c>
      <x:c r="O854" s="24"/>
      <x:c r="P854" s="24"/>
      <x:c r="Q854" s="24" t="str">
        <x:v>DISPONÍVEL</x:v>
      </x:c>
      <x:c r="R854" s="24"/>
      <x:c r="S854" s="24" t="n">
        <x:v>21</x:v>
      </x:c>
      <x:c r="T854" s="24" t="str">
        <x:v>tabela_rodenstock.pdf</x:v>
      </x:c>
      <x:c r="U854" s="24" t="str">
        <x:v>Rodenstock|Progressiva Freeform|Surfaçada|Progressiv Life|Polarizada|1.5|1.50|Solitaire Protect|-6 a +6|até -6||75/80|||21</x:v>
      </x:c>
    </x:row>
    <x:row r="855">
      <x:c r="A855" s="24" t="str">
        <x:v>RD-457819544FF3</x:v>
      </x:c>
      <x:c r="B855" s="24" t="str">
        <x:v>Rodenstock</x:v>
      </x:c>
      <x:c r="C855" s="24" t="str">
        <x:v>Progressiva Freeform</x:v>
      </x:c>
      <x:c r="D855" s="24" t="str">
        <x:v>Surfaçada</x:v>
      </x:c>
      <x:c r="E855" s="24" t="str">
        <x:v>Progressiv Life</x:v>
      </x:c>
      <x:c r="F855" s="24" t="str">
        <x:v>ColorMatic® 3</x:v>
      </x:c>
      <x:c r="G855" s="24" t="str">
        <x:v>1.54</x:v>
      </x:c>
      <x:c r="H855" s="24" t="str">
        <x:v>1.54</x:v>
      </x:c>
      <x:c r="I855" s="24" t="str">
        <x:v>Solitaire X-tra Clean</x:v>
      </x:c>
      <x:c r="J855" s="40" t="n">
        <x:v>7400</x:v>
      </x:c>
      <x:c r="K855" s="24" t="str">
        <x:v>-8 a +8</x:v>
      </x:c>
      <x:c r="L855" s="24" t="str">
        <x:v>até -6</x:v>
      </x:c>
      <x:c r="M855" s="24"/>
      <x:c r="N855" s="24" t="str">
        <x:v>75/80</x:v>
      </x:c>
      <x:c r="O855" s="24"/>
      <x:c r="P855" s="24"/>
      <x:c r="Q855" s="24" t="str">
        <x:v>DISPONÍVEL</x:v>
      </x:c>
      <x:c r="R855" s="24"/>
      <x:c r="S855" s="24" t="n">
        <x:v>21</x:v>
      </x:c>
      <x:c r="T855" s="24" t="str">
        <x:v>tabela_rodenstock.pdf</x:v>
      </x:c>
      <x:c r="U855" s="24" t="str">
        <x:v>Rodenstock|Progressiva Freeform|Surfaçada|Progressiv Life|ColorMatic® 3|1.54|1.54|Solitaire X-tra Clean|-8 a +8|até -6||75/80|||21</x:v>
      </x:c>
    </x:row>
    <x:row r="856">
      <x:c r="A856" s="24" t="str">
        <x:v>RD-E11602EE5E57</x:v>
      </x:c>
      <x:c r="B856" s="24" t="str">
        <x:v>Rodenstock</x:v>
      </x:c>
      <x:c r="C856" s="24" t="str">
        <x:v>Progressiva Freeform</x:v>
      </x:c>
      <x:c r="D856" s="24" t="str">
        <x:v>Surfaçada</x:v>
      </x:c>
      <x:c r="E856" s="24" t="str">
        <x:v>Progressiv Life</x:v>
      </x:c>
      <x:c r="F856" s="24" t="str">
        <x:v>ColorMatic® 3</x:v>
      </x:c>
      <x:c r="G856" s="24" t="str">
        <x:v>1.54</x:v>
      </x:c>
      <x:c r="H856" s="24" t="str">
        <x:v>1.54</x:v>
      </x:c>
      <x:c r="I856" s="24" t="str">
        <x:v>Solitaire 2 Protect Balance</x:v>
      </x:c>
      <x:c r="J856" s="40" t="n">
        <x:v>7350</x:v>
      </x:c>
      <x:c r="K856" s="24" t="str">
        <x:v>-8 a +8</x:v>
      </x:c>
      <x:c r="L856" s="24" t="str">
        <x:v>até -6</x:v>
      </x:c>
      <x:c r="M856" s="24"/>
      <x:c r="N856" s="24" t="str">
        <x:v>75/80</x:v>
      </x:c>
      <x:c r="O856" s="24"/>
      <x:c r="P856" s="24"/>
      <x:c r="Q856" s="24" t="str">
        <x:v>DISPONÍVEL</x:v>
      </x:c>
      <x:c r="R856" s="24"/>
      <x:c r="S856" s="24" t="n">
        <x:v>21</x:v>
      </x:c>
      <x:c r="T856" s="24" t="str">
        <x:v>tabela_rodenstock.pdf</x:v>
      </x:c>
      <x:c r="U856" s="24" t="str">
        <x:v>Rodenstock|Progressiva Freeform|Surfaçada|Progressiv Life|ColorMatic® 3|1.54|1.54|Solitaire 2 Protect Balance|-8 a +8|até -6||75/80|||21</x:v>
      </x:c>
    </x:row>
    <x:row r="857">
      <x:c r="A857" s="24" t="str">
        <x:v>RD-93A5DBC5E15A</x:v>
      </x:c>
      <x:c r="B857" s="24" t="str">
        <x:v>Rodenstock</x:v>
      </x:c>
      <x:c r="C857" s="24" t="str">
        <x:v>Progressiva Freeform</x:v>
      </x:c>
      <x:c r="D857" s="24" t="str">
        <x:v>Surfaçada</x:v>
      </x:c>
      <x:c r="E857" s="24" t="str">
        <x:v>Progressiv Life</x:v>
      </x:c>
      <x:c r="F857" s="24" t="str">
        <x:v>ColorMatic® 3</x:v>
      </x:c>
      <x:c r="G857" s="24" t="str">
        <x:v>1.54</x:v>
      </x:c>
      <x:c r="H857" s="24" t="str">
        <x:v>1.54</x:v>
      </x:c>
      <x:c r="I857" s="24" t="str">
        <x:v>Solitaire Protect Plus</x:v>
      </x:c>
      <x:c r="J857" s="40" t="n">
        <x:v>7350</x:v>
      </x:c>
      <x:c r="K857" s="24" t="str">
        <x:v>-8 a +8</x:v>
      </x:c>
      <x:c r="L857" s="24" t="str">
        <x:v>até -6</x:v>
      </x:c>
      <x:c r="M857" s="24"/>
      <x:c r="N857" s="24" t="str">
        <x:v>75/80</x:v>
      </x:c>
      <x:c r="O857" s="24"/>
      <x:c r="P857" s="24"/>
      <x:c r="Q857" s="24" t="str">
        <x:v>DISPONÍVEL</x:v>
      </x:c>
      <x:c r="R857" s="24"/>
      <x:c r="S857" s="24" t="n">
        <x:v>21</x:v>
      </x:c>
      <x:c r="T857" s="24" t="str">
        <x:v>tabela_rodenstock.pdf</x:v>
      </x:c>
      <x:c r="U857" s="24" t="str">
        <x:v>Rodenstock|Progressiva Freeform|Surfaçada|Progressiv Life|ColorMatic® 3|1.54|1.54|Solitaire Protect Plus|-8 a +8|até -6||75/80|||21</x:v>
      </x:c>
    </x:row>
    <x:row r="858">
      <x:c r="A858" s="24" t="str">
        <x:v>RD-259BF07C4F7D</x:v>
      </x:c>
      <x:c r="B858" s="24" t="str">
        <x:v>Rodenstock</x:v>
      </x:c>
      <x:c r="C858" s="24" t="str">
        <x:v>Progressiva Freeform</x:v>
      </x:c>
      <x:c r="D858" s="24" t="str">
        <x:v>Surfaçada</x:v>
      </x:c>
      <x:c r="E858" s="24" t="str">
        <x:v>Progressiv Life</x:v>
      </x:c>
      <x:c r="F858" s="24" t="str">
        <x:v>ColorMatic® 3</x:v>
      </x:c>
      <x:c r="G858" s="24" t="str">
        <x:v>1.54</x:v>
      </x:c>
      <x:c r="H858" s="24" t="str">
        <x:v>1.54</x:v>
      </x:c>
      <x:c r="I858" s="24" t="str">
        <x:v>ROAD</x:v>
      </x:c>
      <x:c r="J858" s="40" t="n">
        <x:v>7350</x:v>
      </x:c>
      <x:c r="K858" s="24" t="str">
        <x:v>-8 a +8</x:v>
      </x:c>
      <x:c r="L858" s="24" t="str">
        <x:v>até -6</x:v>
      </x:c>
      <x:c r="M858" s="24"/>
      <x:c r="N858" s="24" t="str">
        <x:v>75/80</x:v>
      </x:c>
      <x:c r="O858" s="24"/>
      <x:c r="P858" s="24"/>
      <x:c r="Q858" s="24" t="str">
        <x:v>DISPONÍVEL</x:v>
      </x:c>
      <x:c r="R858" s="24"/>
      <x:c r="S858" s="24" t="n">
        <x:v>21</x:v>
      </x:c>
      <x:c r="T858" s="24" t="str">
        <x:v>tabela_rodenstock.pdf</x:v>
      </x:c>
      <x:c r="U858" s="24" t="str">
        <x:v>Rodenstock|Progressiva Freeform|Surfaçada|Progressiv Life|ColorMatic® 3|1.54|1.54|ROAD|-8 a +8|até -6||75/80|||21</x:v>
      </x:c>
    </x:row>
    <x:row r="859">
      <x:c r="A859" s="24" t="str">
        <x:v>RD-89D7FE30FC9B</x:v>
      </x:c>
      <x:c r="B859" s="24" t="str">
        <x:v>Rodenstock</x:v>
      </x:c>
      <x:c r="C859" s="24" t="str">
        <x:v>Progressiva Freeform</x:v>
      </x:c>
      <x:c r="D859" s="24" t="str">
        <x:v>Surfaçada</x:v>
      </x:c>
      <x:c r="E859" s="24" t="str">
        <x:v>Progressiv Life</x:v>
      </x:c>
      <x:c r="F859" s="24" t="str">
        <x:v>ColorMatic® 3</x:v>
      </x:c>
      <x:c r="G859" s="24" t="str">
        <x:v>1.54</x:v>
      </x:c>
      <x:c r="H859" s="24" t="str">
        <x:v>1.54</x:v>
      </x:c>
      <x:c r="I859" s="24" t="str">
        <x:v>Solitaire Protect</x:v>
      </x:c>
      <x:c r="J859" s="40" t="n">
        <x:v>7090</x:v>
      </x:c>
      <x:c r="K859" s="24" t="str">
        <x:v>-8 a +8</x:v>
      </x:c>
      <x:c r="L859" s="24" t="str">
        <x:v>até -6</x:v>
      </x:c>
      <x:c r="M859" s="24"/>
      <x:c r="N859" s="24" t="str">
        <x:v>75/80</x:v>
      </x:c>
      <x:c r="O859" s="24"/>
      <x:c r="P859" s="24"/>
      <x:c r="Q859" s="24" t="str">
        <x:v>DISPONÍVEL</x:v>
      </x:c>
      <x:c r="R859" s="24"/>
      <x:c r="S859" s="24" t="n">
        <x:v>21</x:v>
      </x:c>
      <x:c r="T859" s="24" t="str">
        <x:v>tabela_rodenstock.pdf</x:v>
      </x:c>
      <x:c r="U859" s="24" t="str">
        <x:v>Rodenstock|Progressiva Freeform|Surfaçada|Progressiv Life|ColorMatic® 3|1.54|1.54|Solitaire Protect|-8 a +8|até -6||75/80|||21</x:v>
      </x:c>
    </x:row>
    <x:row r="860">
      <x:c r="A860" s="24" t="str">
        <x:v>RD-DE242CEC7303</x:v>
      </x:c>
      <x:c r="B860" s="24" t="str">
        <x:v>Rodenstock</x:v>
      </x:c>
      <x:c r="C860" s="24" t="str">
        <x:v>Progressiva Freeform</x:v>
      </x:c>
      <x:c r="D860" s="24" t="str">
        <x:v>Surfaçada</x:v>
      </x:c>
      <x:c r="E860" s="24" t="str">
        <x:v>Progressiv Life</x:v>
      </x:c>
      <x:c r="F860" s="24"/>
      <x:c r="G860" s="24" t="str">
        <x:v>1.6</x:v>
      </x:c>
      <x:c r="H860" s="24" t="str">
        <x:v>1.60</x:v>
      </x:c>
      <x:c r="I860" s="24" t="str">
        <x:v>Solitaire X-tra Clean</x:v>
      </x:c>
      <x:c r="J860" s="40" t="n">
        <x:v>6958</x:v>
      </x:c>
      <x:c r="K860" s="24" t="str">
        <x:v>-10 a +8</x:v>
      </x:c>
      <x:c r="L860" s="24" t="str">
        <x:v>até -6</x:v>
      </x:c>
      <x:c r="M860" s="24"/>
      <x:c r="N860" s="24" t="str">
        <x:v>75/80</x:v>
      </x:c>
      <x:c r="O860" s="24"/>
      <x:c r="P860" s="24"/>
      <x:c r="Q860" s="24" t="str">
        <x:v>DISPONÍVEL</x:v>
      </x:c>
      <x:c r="R860" s="24"/>
      <x:c r="S860" s="24" t="n">
        <x:v>21</x:v>
      </x:c>
      <x:c r="T860" s="24" t="str">
        <x:v>tabela_rodenstock.pdf</x:v>
      </x:c>
      <x:c r="U860" s="24" t="str">
        <x:v>Rodenstock|Progressiva Freeform|Surfaçada|Progressiv Life||1.6|1.60|Solitaire X-tra Clean|-10 a +8|até -6||75/80|||21</x:v>
      </x:c>
    </x:row>
    <x:row r="861">
      <x:c r="A861" s="24" t="str">
        <x:v>RD-0BF06A5CEF41</x:v>
      </x:c>
      <x:c r="B861" s="24" t="str">
        <x:v>Rodenstock</x:v>
      </x:c>
      <x:c r="C861" s="24" t="str">
        <x:v>Progressiva Freeform</x:v>
      </x:c>
      <x:c r="D861" s="24" t="str">
        <x:v>Surfaçada</x:v>
      </x:c>
      <x:c r="E861" s="24" t="str">
        <x:v>Progressiv Life</x:v>
      </x:c>
      <x:c r="F861" s="24"/>
      <x:c r="G861" s="24" t="str">
        <x:v>1.6</x:v>
      </x:c>
      <x:c r="H861" s="24" t="str">
        <x:v>1.60</x:v>
      </x:c>
      <x:c r="I861" s="24" t="str">
        <x:v>Solitaire 2 Protect Balance</x:v>
      </x:c>
      <x:c r="J861" s="40" t="n">
        <x:v>6908</x:v>
      </x:c>
      <x:c r="K861" s="24" t="str">
        <x:v>-10 a +8</x:v>
      </x:c>
      <x:c r="L861" s="24" t="str">
        <x:v>até -6</x:v>
      </x:c>
      <x:c r="M861" s="24"/>
      <x:c r="N861" s="24" t="str">
        <x:v>75/80</x:v>
      </x:c>
      <x:c r="O861" s="24"/>
      <x:c r="P861" s="24"/>
      <x:c r="Q861" s="24" t="str">
        <x:v>DISPONÍVEL</x:v>
      </x:c>
      <x:c r="R861" s="24"/>
      <x:c r="S861" s="24" t="n">
        <x:v>21</x:v>
      </x:c>
      <x:c r="T861" s="24" t="str">
        <x:v>tabela_rodenstock.pdf</x:v>
      </x:c>
      <x:c r="U861" s="24" t="str">
        <x:v>Rodenstock|Progressiva Freeform|Surfaçada|Progressiv Life||1.6|1.60|Solitaire 2 Protect Balance|-10 a +8|até -6||75/80|||21</x:v>
      </x:c>
    </x:row>
    <x:row r="862">
      <x:c r="A862" s="24" t="str">
        <x:v>RD-FBE5EE316AF6</x:v>
      </x:c>
      <x:c r="B862" s="24" t="str">
        <x:v>Rodenstock</x:v>
      </x:c>
      <x:c r="C862" s="24" t="str">
        <x:v>Progressiva Freeform</x:v>
      </x:c>
      <x:c r="D862" s="24" t="str">
        <x:v>Surfaçada</x:v>
      </x:c>
      <x:c r="E862" s="24" t="str">
        <x:v>Progressiv Life</x:v>
      </x:c>
      <x:c r="F862" s="24"/>
      <x:c r="G862" s="24" t="str">
        <x:v>1.6</x:v>
      </x:c>
      <x:c r="H862" s="24" t="str">
        <x:v>1.60</x:v>
      </x:c>
      <x:c r="I862" s="24" t="str">
        <x:v>Solitaire Protect Plus</x:v>
      </x:c>
      <x:c r="J862" s="40" t="n">
        <x:v>6908</x:v>
      </x:c>
      <x:c r="K862" s="24" t="str">
        <x:v>-10 a +8</x:v>
      </x:c>
      <x:c r="L862" s="24" t="str">
        <x:v>até -6</x:v>
      </x:c>
      <x:c r="M862" s="24"/>
      <x:c r="N862" s="24" t="str">
        <x:v>75/80</x:v>
      </x:c>
      <x:c r="O862" s="24"/>
      <x:c r="P862" s="24"/>
      <x:c r="Q862" s="24" t="str">
        <x:v>DISPONÍVEL</x:v>
      </x:c>
      <x:c r="R862" s="24"/>
      <x:c r="S862" s="24" t="n">
        <x:v>21</x:v>
      </x:c>
      <x:c r="T862" s="24" t="str">
        <x:v>tabela_rodenstock.pdf</x:v>
      </x:c>
      <x:c r="U862" s="24" t="str">
        <x:v>Rodenstock|Progressiva Freeform|Surfaçada|Progressiv Life||1.6|1.60|Solitaire Protect Plus|-10 a +8|até -6||75/80|||21</x:v>
      </x:c>
    </x:row>
    <x:row r="863">
      <x:c r="A863" s="24" t="str">
        <x:v>RD-F81213B81BAB</x:v>
      </x:c>
      <x:c r="B863" s="24" t="str">
        <x:v>Rodenstock</x:v>
      </x:c>
      <x:c r="C863" s="24" t="str">
        <x:v>Progressiva Freeform</x:v>
      </x:c>
      <x:c r="D863" s="24" t="str">
        <x:v>Surfaçada</x:v>
      </x:c>
      <x:c r="E863" s="24" t="str">
        <x:v>Progressiv Life</x:v>
      </x:c>
      <x:c r="F863" s="24"/>
      <x:c r="G863" s="24" t="str">
        <x:v>1.6</x:v>
      </x:c>
      <x:c r="H863" s="24" t="str">
        <x:v>1.60</x:v>
      </x:c>
      <x:c r="I863" s="24" t="str">
        <x:v>ROAD</x:v>
      </x:c>
      <x:c r="J863" s="40" t="n">
        <x:v>6908</x:v>
      </x:c>
      <x:c r="K863" s="24" t="str">
        <x:v>-10 a +8</x:v>
      </x:c>
      <x:c r="L863" s="24" t="str">
        <x:v>até -6</x:v>
      </x:c>
      <x:c r="M863" s="24"/>
      <x:c r="N863" s="24" t="str">
        <x:v>75/80</x:v>
      </x:c>
      <x:c r="O863" s="24"/>
      <x:c r="P863" s="24"/>
      <x:c r="Q863" s="24" t="str">
        <x:v>DISPONÍVEL</x:v>
      </x:c>
      <x:c r="R863" s="24"/>
      <x:c r="S863" s="24" t="n">
        <x:v>21</x:v>
      </x:c>
      <x:c r="T863" s="24" t="str">
        <x:v>tabela_rodenstock.pdf</x:v>
      </x:c>
      <x:c r="U863" s="24" t="str">
        <x:v>Rodenstock|Progressiva Freeform|Surfaçada|Progressiv Life||1.6|1.60|ROAD|-10 a +8|até -6||75/80|||21</x:v>
      </x:c>
    </x:row>
    <x:row r="864">
      <x:c r="A864" s="24" t="str">
        <x:v>RD-3C4556A00E70</x:v>
      </x:c>
      <x:c r="B864" s="24" t="str">
        <x:v>Rodenstock</x:v>
      </x:c>
      <x:c r="C864" s="24" t="str">
        <x:v>Progressiva Freeform</x:v>
      </x:c>
      <x:c r="D864" s="24" t="str">
        <x:v>Surfaçada</x:v>
      </x:c>
      <x:c r="E864" s="24" t="str">
        <x:v>Progressiv Life</x:v>
      </x:c>
      <x:c r="F864" s="24"/>
      <x:c r="G864" s="24" t="str">
        <x:v>1.6</x:v>
      </x:c>
      <x:c r="H864" s="24" t="str">
        <x:v>1.60</x:v>
      </x:c>
      <x:c r="I864" s="24" t="str">
        <x:v>Solitaire Protect</x:v>
      </x:c>
      <x:c r="J864" s="40" t="n">
        <x:v>6648</x:v>
      </x:c>
      <x:c r="K864" s="24" t="str">
        <x:v>-10 a +8</x:v>
      </x:c>
      <x:c r="L864" s="24" t="str">
        <x:v>até -6</x:v>
      </x:c>
      <x:c r="M864" s="24"/>
      <x:c r="N864" s="24" t="str">
        <x:v>75/80</x:v>
      </x:c>
      <x:c r="O864" s="24"/>
      <x:c r="P864" s="24"/>
      <x:c r="Q864" s="24" t="str">
        <x:v>DISPONÍVEL</x:v>
      </x:c>
      <x:c r="R864" s="24"/>
      <x:c r="S864" s="24" t="n">
        <x:v>21</x:v>
      </x:c>
      <x:c r="T864" s="24" t="str">
        <x:v>tabela_rodenstock.pdf</x:v>
      </x:c>
      <x:c r="U864" s="24" t="str">
        <x:v>Rodenstock|Progressiva Freeform|Surfaçada|Progressiv Life||1.6|1.60|Solitaire Protect|-10 a +8|até -6||75/80|||21</x:v>
      </x:c>
    </x:row>
    <x:row r="865">
      <x:c r="A865" s="24" t="str">
        <x:v>RD-7DF31E0D1C1C</x:v>
      </x:c>
      <x:c r="B865" s="24" t="str">
        <x:v>Rodenstock</x:v>
      </x:c>
      <x:c r="C865" s="24" t="str">
        <x:v>Progressiva Freeform</x:v>
      </x:c>
      <x:c r="D865" s="24" t="str">
        <x:v>Surfaçada</x:v>
      </x:c>
      <x:c r="E865" s="24" t="str">
        <x:v>Progressiv Life</x:v>
      </x:c>
      <x:c r="F865" s="24" t="str">
        <x:v>PRO410</x:v>
      </x:c>
      <x:c r="G865" s="24" t="str">
        <x:v>1.6</x:v>
      </x:c>
      <x:c r="H865" s="24" t="str">
        <x:v>1.60</x:v>
      </x:c>
      <x:c r="I865" s="24" t="str">
        <x:v>Solitaire X-tra Clean</x:v>
      </x:c>
      <x:c r="J865" s="40" t="n">
        <x:v>7248</x:v>
      </x:c>
      <x:c r="K865" s="24" t="str">
        <x:v>-10 a +8</x:v>
      </x:c>
      <x:c r="L865" s="24" t="str">
        <x:v>até -6</x:v>
      </x:c>
      <x:c r="M865" s="24"/>
      <x:c r="N865" s="24" t="str">
        <x:v>75/80</x:v>
      </x:c>
      <x:c r="O865" s="24"/>
      <x:c r="P865" s="24"/>
      <x:c r="Q865" s="24" t="str">
        <x:v>DISPONÍVEL</x:v>
      </x:c>
      <x:c r="R865" s="24"/>
      <x:c r="S865" s="24" t="n">
        <x:v>21</x:v>
      </x:c>
      <x:c r="T865" s="24" t="str">
        <x:v>tabela_rodenstock.pdf</x:v>
      </x:c>
      <x:c r="U865" s="24" t="str">
        <x:v>Rodenstock|Progressiva Freeform|Surfaçada|Progressiv Life|PRO410|1.6|1.60|Solitaire X-tra Clean|-10 a +8|até -6||75/80|||21</x:v>
      </x:c>
    </x:row>
    <x:row r="866">
      <x:c r="A866" s="24" t="str">
        <x:v>RD-32A1EB40F13A</x:v>
      </x:c>
      <x:c r="B866" s="24" t="str">
        <x:v>Rodenstock</x:v>
      </x:c>
      <x:c r="C866" s="24" t="str">
        <x:v>Progressiva Freeform</x:v>
      </x:c>
      <x:c r="D866" s="24" t="str">
        <x:v>Surfaçada</x:v>
      </x:c>
      <x:c r="E866" s="24" t="str">
        <x:v>Progressiv Life</x:v>
      </x:c>
      <x:c r="F866" s="24" t="str">
        <x:v>PRO410</x:v>
      </x:c>
      <x:c r="G866" s="24" t="str">
        <x:v>1.6</x:v>
      </x:c>
      <x:c r="H866" s="24" t="str">
        <x:v>1.60</x:v>
      </x:c>
      <x:c r="I866" s="24" t="str">
        <x:v>Solitaire 2 Protect Balance</x:v>
      </x:c>
      <x:c r="J866" s="40" t="n">
        <x:v>7198</x:v>
      </x:c>
      <x:c r="K866" s="24" t="str">
        <x:v>-10 a +8</x:v>
      </x:c>
      <x:c r="L866" s="24" t="str">
        <x:v>até -6</x:v>
      </x:c>
      <x:c r="M866" s="24"/>
      <x:c r="N866" s="24" t="str">
        <x:v>75/80</x:v>
      </x:c>
      <x:c r="O866" s="24"/>
      <x:c r="P866" s="24"/>
      <x:c r="Q866" s="24" t="str">
        <x:v>DISPONÍVEL</x:v>
      </x:c>
      <x:c r="R866" s="24"/>
      <x:c r="S866" s="24" t="n">
        <x:v>21</x:v>
      </x:c>
      <x:c r="T866" s="24" t="str">
        <x:v>tabela_rodenstock.pdf</x:v>
      </x:c>
      <x:c r="U866" s="24" t="str">
        <x:v>Rodenstock|Progressiva Freeform|Surfaçada|Progressiv Life|PRO410|1.6|1.60|Solitaire 2 Protect Balance|-10 a +8|até -6||75/80|||21</x:v>
      </x:c>
    </x:row>
    <x:row r="867">
      <x:c r="A867" s="24" t="str">
        <x:v>RD-BCBA6422072B</x:v>
      </x:c>
      <x:c r="B867" s="24" t="str">
        <x:v>Rodenstock</x:v>
      </x:c>
      <x:c r="C867" s="24" t="str">
        <x:v>Progressiva Freeform</x:v>
      </x:c>
      <x:c r="D867" s="24" t="str">
        <x:v>Surfaçada</x:v>
      </x:c>
      <x:c r="E867" s="24" t="str">
        <x:v>Progressiv Life</x:v>
      </x:c>
      <x:c r="F867" s="24" t="str">
        <x:v>PRO410</x:v>
      </x:c>
      <x:c r="G867" s="24" t="str">
        <x:v>1.6</x:v>
      </x:c>
      <x:c r="H867" s="24" t="str">
        <x:v>1.60</x:v>
      </x:c>
      <x:c r="I867" s="24" t="str">
        <x:v>Solitaire Protect Plus</x:v>
      </x:c>
      <x:c r="J867" s="40" t="n">
        <x:v>7198</x:v>
      </x:c>
      <x:c r="K867" s="24" t="str">
        <x:v>-10 a +8</x:v>
      </x:c>
      <x:c r="L867" s="24" t="str">
        <x:v>até -6</x:v>
      </x:c>
      <x:c r="M867" s="24"/>
      <x:c r="N867" s="24" t="str">
        <x:v>75/80</x:v>
      </x:c>
      <x:c r="O867" s="24"/>
      <x:c r="P867" s="24"/>
      <x:c r="Q867" s="24" t="str">
        <x:v>DISPONÍVEL</x:v>
      </x:c>
      <x:c r="R867" s="24"/>
      <x:c r="S867" s="24" t="n">
        <x:v>21</x:v>
      </x:c>
      <x:c r="T867" s="24" t="str">
        <x:v>tabela_rodenstock.pdf</x:v>
      </x:c>
      <x:c r="U867" s="24" t="str">
        <x:v>Rodenstock|Progressiva Freeform|Surfaçada|Progressiv Life|PRO410|1.6|1.60|Solitaire Protect Plus|-10 a +8|até -6||75/80|||21</x:v>
      </x:c>
    </x:row>
    <x:row r="868">
      <x:c r="A868" s="24" t="str">
        <x:v>RD-FDCD91A653CC</x:v>
      </x:c>
      <x:c r="B868" s="24" t="str">
        <x:v>Rodenstock</x:v>
      </x:c>
      <x:c r="C868" s="24" t="str">
        <x:v>Progressiva Freeform</x:v>
      </x:c>
      <x:c r="D868" s="24" t="str">
        <x:v>Surfaçada</x:v>
      </x:c>
      <x:c r="E868" s="24" t="str">
        <x:v>Progressiv Life</x:v>
      </x:c>
      <x:c r="F868" s="24" t="str">
        <x:v>PRO410</x:v>
      </x:c>
      <x:c r="G868" s="24" t="str">
        <x:v>1.6</x:v>
      </x:c>
      <x:c r="H868" s="24" t="str">
        <x:v>1.60</x:v>
      </x:c>
      <x:c r="I868" s="24" t="str">
        <x:v>ROAD</x:v>
      </x:c>
      <x:c r="J868" s="40" t="n">
        <x:v>7198</x:v>
      </x:c>
      <x:c r="K868" s="24" t="str">
        <x:v>-10 a +8</x:v>
      </x:c>
      <x:c r="L868" s="24" t="str">
        <x:v>até -6</x:v>
      </x:c>
      <x:c r="M868" s="24"/>
      <x:c r="N868" s="24" t="str">
        <x:v>75/80</x:v>
      </x:c>
      <x:c r="O868" s="24"/>
      <x:c r="P868" s="24"/>
      <x:c r="Q868" s="24" t="str">
        <x:v>DISPONÍVEL</x:v>
      </x:c>
      <x:c r="R868" s="24"/>
      <x:c r="S868" s="24" t="n">
        <x:v>21</x:v>
      </x:c>
      <x:c r="T868" s="24" t="str">
        <x:v>tabela_rodenstock.pdf</x:v>
      </x:c>
      <x:c r="U868" s="24" t="str">
        <x:v>Rodenstock|Progressiva Freeform|Surfaçada|Progressiv Life|PRO410|1.6|1.60|ROAD|-10 a +8|até -6||75/80|||21</x:v>
      </x:c>
    </x:row>
    <x:row r="869">
      <x:c r="A869" s="24" t="str">
        <x:v>RD-F3D859C2F069</x:v>
      </x:c>
      <x:c r="B869" s="24" t="str">
        <x:v>Rodenstock</x:v>
      </x:c>
      <x:c r="C869" s="24" t="str">
        <x:v>Progressiva Freeform</x:v>
      </x:c>
      <x:c r="D869" s="24" t="str">
        <x:v>Surfaçada</x:v>
      </x:c>
      <x:c r="E869" s="24" t="str">
        <x:v>Progressiv Life</x:v>
      </x:c>
      <x:c r="F869" s="24" t="str">
        <x:v>PRO410</x:v>
      </x:c>
      <x:c r="G869" s="24" t="str">
        <x:v>1.6</x:v>
      </x:c>
      <x:c r="H869" s="24" t="str">
        <x:v>1.60</x:v>
      </x:c>
      <x:c r="I869" s="24" t="str">
        <x:v>Solitaire Protect</x:v>
      </x:c>
      <x:c r="J869" s="40" t="n">
        <x:v>6938</x:v>
      </x:c>
      <x:c r="K869" s="24" t="str">
        <x:v>-10 a +8</x:v>
      </x:c>
      <x:c r="L869" s="24" t="str">
        <x:v>até -6</x:v>
      </x:c>
      <x:c r="M869" s="24"/>
      <x:c r="N869" s="24" t="str">
        <x:v>75/80</x:v>
      </x:c>
      <x:c r="O869" s="24"/>
      <x:c r="P869" s="24"/>
      <x:c r="Q869" s="24" t="str">
        <x:v>DISPONÍVEL</x:v>
      </x:c>
      <x:c r="R869" s="24"/>
      <x:c r="S869" s="24" t="n">
        <x:v>21</x:v>
      </x:c>
      <x:c r="T869" s="24" t="str">
        <x:v>tabela_rodenstock.pdf</x:v>
      </x:c>
      <x:c r="U869" s="24" t="str">
        <x:v>Rodenstock|Progressiva Freeform|Surfaçada|Progressiv Life|PRO410|1.6|1.60|Solitaire Protect|-10 a +8|até -6||75/80|||21</x:v>
      </x:c>
    </x:row>
    <x:row r="870">
      <x:c r="A870" s="24" t="str">
        <x:v>RD-CA8E906591BC</x:v>
      </x:c>
      <x:c r="B870" s="24" t="str">
        <x:v>Rodenstock</x:v>
      </x:c>
      <x:c r="C870" s="24" t="str">
        <x:v>Progressiva Freeform</x:v>
      </x:c>
      <x:c r="D870" s="24" t="str">
        <x:v>Surfaçada</x:v>
      </x:c>
      <x:c r="E870" s="24" t="str">
        <x:v>Progressiv Life</x:v>
      </x:c>
      <x:c r="F870" s="24" t="str">
        <x:v>ColorMatic® 3</x:v>
      </x:c>
      <x:c r="G870" s="24" t="str">
        <x:v>1.6</x:v>
      </x:c>
      <x:c r="H870" s="24" t="str">
        <x:v>1.60</x:v>
      </x:c>
      <x:c r="I870" s="24" t="str">
        <x:v>Solitaire X-tra Clean</x:v>
      </x:c>
      <x:c r="J870" s="40" t="n">
        <x:v>8497</x:v>
      </x:c>
      <x:c r="K870" s="24" t="str">
        <x:v>-10 a +8</x:v>
      </x:c>
      <x:c r="L870" s="24" t="str">
        <x:v>até -6</x:v>
      </x:c>
      <x:c r="M870" s="24"/>
      <x:c r="N870" s="24" t="str">
        <x:v>75/80</x:v>
      </x:c>
      <x:c r="O870" s="24"/>
      <x:c r="P870" s="24"/>
      <x:c r="Q870" s="24" t="str">
        <x:v>DISPONÍVEL</x:v>
      </x:c>
      <x:c r="R870" s="24"/>
      <x:c r="S870" s="24" t="n">
        <x:v>21</x:v>
      </x:c>
      <x:c r="T870" s="24" t="str">
        <x:v>tabela_rodenstock.pdf</x:v>
      </x:c>
      <x:c r="U870" s="24" t="str">
        <x:v>Rodenstock|Progressiva Freeform|Surfaçada|Progressiv Life|ColorMatic® 3|1.6|1.60|Solitaire X-tra Clean|-10 a +8|até -6||75/80|||21</x:v>
      </x:c>
    </x:row>
    <x:row r="871">
      <x:c r="A871" s="24" t="str">
        <x:v>RD-06C3A766029C</x:v>
      </x:c>
      <x:c r="B871" s="24" t="str">
        <x:v>Rodenstock</x:v>
      </x:c>
      <x:c r="C871" s="24" t="str">
        <x:v>Progressiva Freeform</x:v>
      </x:c>
      <x:c r="D871" s="24" t="str">
        <x:v>Surfaçada</x:v>
      </x:c>
      <x:c r="E871" s="24" t="str">
        <x:v>Progressiv Life</x:v>
      </x:c>
      <x:c r="F871" s="24" t="str">
        <x:v>ColorMatic® 3</x:v>
      </x:c>
      <x:c r="G871" s="24" t="str">
        <x:v>1.6</x:v>
      </x:c>
      <x:c r="H871" s="24" t="str">
        <x:v>1.60</x:v>
      </x:c>
      <x:c r="I871" s="24" t="str">
        <x:v>Solitaire 2 Protect Balance</x:v>
      </x:c>
      <x:c r="J871" s="40" t="n">
        <x:v>8447</x:v>
      </x:c>
      <x:c r="K871" s="24" t="str">
        <x:v>-10 a +8</x:v>
      </x:c>
      <x:c r="L871" s="24" t="str">
        <x:v>até -6</x:v>
      </x:c>
      <x:c r="M871" s="24"/>
      <x:c r="N871" s="24" t="str">
        <x:v>75/80</x:v>
      </x:c>
      <x:c r="O871" s="24"/>
      <x:c r="P871" s="24"/>
      <x:c r="Q871" s="24" t="str">
        <x:v>DISPONÍVEL</x:v>
      </x:c>
      <x:c r="R871" s="24"/>
      <x:c r="S871" s="24" t="n">
        <x:v>21</x:v>
      </x:c>
      <x:c r="T871" s="24" t="str">
        <x:v>tabela_rodenstock.pdf</x:v>
      </x:c>
      <x:c r="U871" s="24" t="str">
        <x:v>Rodenstock|Progressiva Freeform|Surfaçada|Progressiv Life|ColorMatic® 3|1.6|1.60|Solitaire 2 Protect Balance|-10 a +8|até -6||75/80|||21</x:v>
      </x:c>
    </x:row>
    <x:row r="872">
      <x:c r="A872" s="24" t="str">
        <x:v>RD-D020319EB8B7</x:v>
      </x:c>
      <x:c r="B872" s="24" t="str">
        <x:v>Rodenstock</x:v>
      </x:c>
      <x:c r="C872" s="24" t="str">
        <x:v>Progressiva Freeform</x:v>
      </x:c>
      <x:c r="D872" s="24" t="str">
        <x:v>Surfaçada</x:v>
      </x:c>
      <x:c r="E872" s="24" t="str">
        <x:v>Progressiv Life</x:v>
      </x:c>
      <x:c r="F872" s="24" t="str">
        <x:v>ColorMatic® 3</x:v>
      </x:c>
      <x:c r="G872" s="24" t="str">
        <x:v>1.6</x:v>
      </x:c>
      <x:c r="H872" s="24" t="str">
        <x:v>1.60</x:v>
      </x:c>
      <x:c r="I872" s="24" t="str">
        <x:v>Solitaire Protect Plus</x:v>
      </x:c>
      <x:c r="J872" s="40" t="n">
        <x:v>8447</x:v>
      </x:c>
      <x:c r="K872" s="24" t="str">
        <x:v>-10 a +8</x:v>
      </x:c>
      <x:c r="L872" s="24" t="str">
        <x:v>até -6</x:v>
      </x:c>
      <x:c r="M872" s="24"/>
      <x:c r="N872" s="24" t="str">
        <x:v>75/80</x:v>
      </x:c>
      <x:c r="O872" s="24"/>
      <x:c r="P872" s="24"/>
      <x:c r="Q872" s="24" t="str">
        <x:v>DISPONÍVEL</x:v>
      </x:c>
      <x:c r="R872" s="24"/>
      <x:c r="S872" s="24" t="n">
        <x:v>21</x:v>
      </x:c>
      <x:c r="T872" s="24" t="str">
        <x:v>tabela_rodenstock.pdf</x:v>
      </x:c>
      <x:c r="U872" s="24" t="str">
        <x:v>Rodenstock|Progressiva Freeform|Surfaçada|Progressiv Life|ColorMatic® 3|1.6|1.60|Solitaire Protect Plus|-10 a +8|até -6||75/80|||21</x:v>
      </x:c>
    </x:row>
    <x:row r="873">
      <x:c r="A873" s="24" t="str">
        <x:v>RD-55C52AC4ED90</x:v>
      </x:c>
      <x:c r="B873" s="24" t="str">
        <x:v>Rodenstock</x:v>
      </x:c>
      <x:c r="C873" s="24" t="str">
        <x:v>Progressiva Freeform</x:v>
      </x:c>
      <x:c r="D873" s="24" t="str">
        <x:v>Surfaçada</x:v>
      </x:c>
      <x:c r="E873" s="24" t="str">
        <x:v>Progressiv Life</x:v>
      </x:c>
      <x:c r="F873" s="24" t="str">
        <x:v>ColorMatic® 3</x:v>
      </x:c>
      <x:c r="G873" s="24" t="str">
        <x:v>1.6</x:v>
      </x:c>
      <x:c r="H873" s="24" t="str">
        <x:v>1.60</x:v>
      </x:c>
      <x:c r="I873" s="24" t="str">
        <x:v>ROAD</x:v>
      </x:c>
      <x:c r="J873" s="40" t="n">
        <x:v>8447</x:v>
      </x:c>
      <x:c r="K873" s="24" t="str">
        <x:v>-10 a +8</x:v>
      </x:c>
      <x:c r="L873" s="24" t="str">
        <x:v>até -6</x:v>
      </x:c>
      <x:c r="M873" s="24"/>
      <x:c r="N873" s="24" t="str">
        <x:v>75/80</x:v>
      </x:c>
      <x:c r="O873" s="24"/>
      <x:c r="P873" s="24"/>
      <x:c r="Q873" s="24" t="str">
        <x:v>DISPONÍVEL</x:v>
      </x:c>
      <x:c r="R873" s="24"/>
      <x:c r="S873" s="24" t="n">
        <x:v>21</x:v>
      </x:c>
      <x:c r="T873" s="24" t="str">
        <x:v>tabela_rodenstock.pdf</x:v>
      </x:c>
      <x:c r="U873" s="24" t="str">
        <x:v>Rodenstock|Progressiva Freeform|Surfaçada|Progressiv Life|ColorMatic® 3|1.6|1.60|ROAD|-10 a +8|até -6||75/80|||21</x:v>
      </x:c>
    </x:row>
    <x:row r="874">
      <x:c r="A874" s="24" t="str">
        <x:v>RD-53B86F6CD065</x:v>
      </x:c>
      <x:c r="B874" s="24" t="str">
        <x:v>Rodenstock</x:v>
      </x:c>
      <x:c r="C874" s="24" t="str">
        <x:v>Progressiva Freeform</x:v>
      </x:c>
      <x:c r="D874" s="24" t="str">
        <x:v>Surfaçada</x:v>
      </x:c>
      <x:c r="E874" s="24" t="str">
        <x:v>Progressiv Life</x:v>
      </x:c>
      <x:c r="F874" s="24" t="str">
        <x:v>ColorMatic® 3</x:v>
      </x:c>
      <x:c r="G874" s="24" t="str">
        <x:v>1.6</x:v>
      </x:c>
      <x:c r="H874" s="24" t="str">
        <x:v>1.60</x:v>
      </x:c>
      <x:c r="I874" s="24" t="str">
        <x:v>Solitaire Protect</x:v>
      </x:c>
      <x:c r="J874" s="40" t="n">
        <x:v>8187</x:v>
      </x:c>
      <x:c r="K874" s="24" t="str">
        <x:v>-10 a +8</x:v>
      </x:c>
      <x:c r="L874" s="24" t="str">
        <x:v>até -6</x:v>
      </x:c>
      <x:c r="M874" s="24"/>
      <x:c r="N874" s="24" t="str">
        <x:v>75/80</x:v>
      </x:c>
      <x:c r="O874" s="24"/>
      <x:c r="P874" s="24"/>
      <x:c r="Q874" s="24" t="str">
        <x:v>DISPONÍVEL</x:v>
      </x:c>
      <x:c r="R874" s="24"/>
      <x:c r="S874" s="24" t="n">
        <x:v>21</x:v>
      </x:c>
      <x:c r="T874" s="24" t="str">
        <x:v>tabela_rodenstock.pdf</x:v>
      </x:c>
      <x:c r="U874" s="24" t="str">
        <x:v>Rodenstock|Progressiva Freeform|Surfaçada|Progressiv Life|ColorMatic® 3|1.6|1.60|Solitaire Protect|-10 a +8|até -6||75/80|||21</x:v>
      </x:c>
    </x:row>
    <x:row r="875">
      <x:c r="A875" s="24" t="str">
        <x:v>RD-932250FFE9DF</x:v>
      </x:c>
      <x:c r="B875" s="24" t="str">
        <x:v>Rodenstock</x:v>
      </x:c>
      <x:c r="C875" s="24" t="str">
        <x:v>Progressiva Freeform</x:v>
      </x:c>
      <x:c r="D875" s="24" t="str">
        <x:v>Surfaçada</x:v>
      </x:c>
      <x:c r="E875" s="24" t="str">
        <x:v>Progressiv Life</x:v>
      </x:c>
      <x:c r="F875" s="24"/>
      <x:c r="G875" s="24" t="str">
        <x:v>1.67</x:v>
      </x:c>
      <x:c r="H875" s="24" t="str">
        <x:v>1.67</x:v>
      </x:c>
      <x:c r="I875" s="24" t="str">
        <x:v>Solitaire X-tra Clean</x:v>
      </x:c>
      <x:c r="J875" s="40" t="n">
        <x:v>8840</x:v>
      </x:c>
      <x:c r="K875" s="24" t="str">
        <x:v>-10 a +8</x:v>
      </x:c>
      <x:c r="L875" s="24" t="str">
        <x:v>até -6</x:v>
      </x:c>
      <x:c r="M875" s="24"/>
      <x:c r="N875" s="24" t="str">
        <x:v>75/80</x:v>
      </x:c>
      <x:c r="O875" s="24"/>
      <x:c r="P875" s="24"/>
      <x:c r="Q875" s="24" t="str">
        <x:v>DISPONÍVEL</x:v>
      </x:c>
      <x:c r="R875" s="24"/>
      <x:c r="S875" s="24" t="n">
        <x:v>21</x:v>
      </x:c>
      <x:c r="T875" s="24" t="str">
        <x:v>tabela_rodenstock.pdf</x:v>
      </x:c>
      <x:c r="U875" s="24" t="str">
        <x:v>Rodenstock|Progressiva Freeform|Surfaçada|Progressiv Life||1.67|1.67|Solitaire X-tra Clean|-10 a +8|até -6||75/80|||21</x:v>
      </x:c>
    </x:row>
    <x:row r="876">
      <x:c r="A876" s="24" t="str">
        <x:v>RD-2D71E15A106B</x:v>
      </x:c>
      <x:c r="B876" s="24" t="str">
        <x:v>Rodenstock</x:v>
      </x:c>
      <x:c r="C876" s="24" t="str">
        <x:v>Progressiva Freeform</x:v>
      </x:c>
      <x:c r="D876" s="24" t="str">
        <x:v>Surfaçada</x:v>
      </x:c>
      <x:c r="E876" s="24" t="str">
        <x:v>Progressiv Life</x:v>
      </x:c>
      <x:c r="F876" s="24"/>
      <x:c r="G876" s="24" t="str">
        <x:v>1.67</x:v>
      </x:c>
      <x:c r="H876" s="24" t="str">
        <x:v>1.67</x:v>
      </x:c>
      <x:c r="I876" s="24" t="str">
        <x:v>Solitaire 2 Protect Balance</x:v>
      </x:c>
      <x:c r="J876" s="40" t="n">
        <x:v>8790</x:v>
      </x:c>
      <x:c r="K876" s="24" t="str">
        <x:v>-10 a +8</x:v>
      </x:c>
      <x:c r="L876" s="24" t="str">
        <x:v>até -6</x:v>
      </x:c>
      <x:c r="M876" s="24"/>
      <x:c r="N876" s="24" t="str">
        <x:v>75/80</x:v>
      </x:c>
      <x:c r="O876" s="24"/>
      <x:c r="P876" s="24"/>
      <x:c r="Q876" s="24" t="str">
        <x:v>DISPONÍVEL</x:v>
      </x:c>
      <x:c r="R876" s="24"/>
      <x:c r="S876" s="24" t="n">
        <x:v>21</x:v>
      </x:c>
      <x:c r="T876" s="24" t="str">
        <x:v>tabela_rodenstock.pdf</x:v>
      </x:c>
      <x:c r="U876" s="24" t="str">
        <x:v>Rodenstock|Progressiva Freeform|Surfaçada|Progressiv Life||1.67|1.67|Solitaire 2 Protect Balance|-10 a +8|até -6||75/80|||21</x:v>
      </x:c>
    </x:row>
    <x:row r="877">
      <x:c r="A877" s="24" t="str">
        <x:v>RD-65B6F52FAC8A</x:v>
      </x:c>
      <x:c r="B877" s="24" t="str">
        <x:v>Rodenstock</x:v>
      </x:c>
      <x:c r="C877" s="24" t="str">
        <x:v>Progressiva Freeform</x:v>
      </x:c>
      <x:c r="D877" s="24" t="str">
        <x:v>Surfaçada</x:v>
      </x:c>
      <x:c r="E877" s="24" t="str">
        <x:v>Progressiv Life</x:v>
      </x:c>
      <x:c r="F877" s="24"/>
      <x:c r="G877" s="24" t="str">
        <x:v>1.67</x:v>
      </x:c>
      <x:c r="H877" s="24" t="str">
        <x:v>1.67</x:v>
      </x:c>
      <x:c r="I877" s="24" t="str">
        <x:v>Solitaire Protect Plus</x:v>
      </x:c>
      <x:c r="J877" s="40" t="n">
        <x:v>8790</x:v>
      </x:c>
      <x:c r="K877" s="24" t="str">
        <x:v>-10 a +8</x:v>
      </x:c>
      <x:c r="L877" s="24" t="str">
        <x:v>até -6</x:v>
      </x:c>
      <x:c r="M877" s="24"/>
      <x:c r="N877" s="24" t="str">
        <x:v>75/80</x:v>
      </x:c>
      <x:c r="O877" s="24"/>
      <x:c r="P877" s="24"/>
      <x:c r="Q877" s="24" t="str">
        <x:v>DISPONÍVEL</x:v>
      </x:c>
      <x:c r="R877" s="24"/>
      <x:c r="S877" s="24" t="n">
        <x:v>21</x:v>
      </x:c>
      <x:c r="T877" s="24" t="str">
        <x:v>tabela_rodenstock.pdf</x:v>
      </x:c>
      <x:c r="U877" s="24" t="str">
        <x:v>Rodenstock|Progressiva Freeform|Surfaçada|Progressiv Life||1.67|1.67|Solitaire Protect Plus|-10 a +8|até -6||75/80|||21</x:v>
      </x:c>
    </x:row>
    <x:row r="878">
      <x:c r="A878" s="24" t="str">
        <x:v>RD-4FEB6D8F2162</x:v>
      </x:c>
      <x:c r="B878" s="24" t="str">
        <x:v>Rodenstock</x:v>
      </x:c>
      <x:c r="C878" s="24" t="str">
        <x:v>Progressiva Freeform</x:v>
      </x:c>
      <x:c r="D878" s="24" t="str">
        <x:v>Surfaçada</x:v>
      </x:c>
      <x:c r="E878" s="24" t="str">
        <x:v>Progressiv Life</x:v>
      </x:c>
      <x:c r="F878" s="24"/>
      <x:c r="G878" s="24" t="str">
        <x:v>1.67</x:v>
      </x:c>
      <x:c r="H878" s="24" t="str">
        <x:v>1.67</x:v>
      </x:c>
      <x:c r="I878" s="24" t="str">
        <x:v>ROAD</x:v>
      </x:c>
      <x:c r="J878" s="40" t="n">
        <x:v>8790</x:v>
      </x:c>
      <x:c r="K878" s="24" t="str">
        <x:v>-10 a +8</x:v>
      </x:c>
      <x:c r="L878" s="24" t="str">
        <x:v>até -6</x:v>
      </x:c>
      <x:c r="M878" s="24"/>
      <x:c r="N878" s="24" t="str">
        <x:v>75/80</x:v>
      </x:c>
      <x:c r="O878" s="24"/>
      <x:c r="P878" s="24"/>
      <x:c r="Q878" s="24" t="str">
        <x:v>DISPONÍVEL</x:v>
      </x:c>
      <x:c r="R878" s="24"/>
      <x:c r="S878" s="24" t="n">
        <x:v>21</x:v>
      </x:c>
      <x:c r="T878" s="24" t="str">
        <x:v>tabela_rodenstock.pdf</x:v>
      </x:c>
      <x:c r="U878" s="24" t="str">
        <x:v>Rodenstock|Progressiva Freeform|Surfaçada|Progressiv Life||1.67|1.67|ROAD|-10 a +8|até -6||75/80|||21</x:v>
      </x:c>
    </x:row>
    <x:row r="879">
      <x:c r="A879" s="24" t="str">
        <x:v>RD-72428C3EDC9B</x:v>
      </x:c>
      <x:c r="B879" s="24" t="str">
        <x:v>Rodenstock</x:v>
      </x:c>
      <x:c r="C879" s="24" t="str">
        <x:v>Progressiva Freeform</x:v>
      </x:c>
      <x:c r="D879" s="24" t="str">
        <x:v>Surfaçada</x:v>
      </x:c>
      <x:c r="E879" s="24" t="str">
        <x:v>Progressiv Life</x:v>
      </x:c>
      <x:c r="F879" s="24"/>
      <x:c r="G879" s="24" t="str">
        <x:v>1.67</x:v>
      </x:c>
      <x:c r="H879" s="24" t="str">
        <x:v>1.67</x:v>
      </x:c>
      <x:c r="I879" s="24" t="str">
        <x:v>Solitaire Protect</x:v>
      </x:c>
      <x:c r="J879" s="40" t="n">
        <x:v>8530</x:v>
      </x:c>
      <x:c r="K879" s="24" t="str">
        <x:v>-10 a +8</x:v>
      </x:c>
      <x:c r="L879" s="24" t="str">
        <x:v>até -6</x:v>
      </x:c>
      <x:c r="M879" s="24"/>
      <x:c r="N879" s="24" t="str">
        <x:v>75/80</x:v>
      </x:c>
      <x:c r="O879" s="24"/>
      <x:c r="P879" s="24"/>
      <x:c r="Q879" s="24" t="str">
        <x:v>DISPONÍVEL</x:v>
      </x:c>
      <x:c r="R879" s="24"/>
      <x:c r="S879" s="24" t="n">
        <x:v>21</x:v>
      </x:c>
      <x:c r="T879" s="24" t="str">
        <x:v>tabela_rodenstock.pdf</x:v>
      </x:c>
      <x:c r="U879" s="24" t="str">
        <x:v>Rodenstock|Progressiva Freeform|Surfaçada|Progressiv Life||1.67|1.67|Solitaire Protect|-10 a +8|até -6||75/80|||21</x:v>
      </x:c>
    </x:row>
    <x:row r="880">
      <x:c r="A880" s="24" t="str">
        <x:v>RD-24E3AE8C88E1</x:v>
      </x:c>
      <x:c r="B880" s="24" t="str">
        <x:v>Rodenstock</x:v>
      </x:c>
      <x:c r="C880" s="24" t="str">
        <x:v>Progressiva Freeform</x:v>
      </x:c>
      <x:c r="D880" s="24" t="str">
        <x:v>Surfaçada</x:v>
      </x:c>
      <x:c r="E880" s="24" t="str">
        <x:v>Progressiv Life</x:v>
      </x:c>
      <x:c r="F880" s="24" t="str">
        <x:v>ColorMatic® 3</x:v>
      </x:c>
      <x:c r="G880" s="24" t="str">
        <x:v>1.67</x:v>
      </x:c>
      <x:c r="H880" s="24" t="str">
        <x:v>1.67</x:v>
      </x:c>
      <x:c r="I880" s="24" t="str">
        <x:v>Solitaire X-tra Clean</x:v>
      </x:c>
      <x:c r="J880" s="40" t="n">
        <x:v>10315</x:v>
      </x:c>
      <x:c r="K880" s="24" t="str">
        <x:v>-10 a +8</x:v>
      </x:c>
      <x:c r="L880" s="24" t="str">
        <x:v>até -6</x:v>
      </x:c>
      <x:c r="M880" s="24"/>
      <x:c r="N880" s="24" t="str">
        <x:v>75/80</x:v>
      </x:c>
      <x:c r="O880" s="24"/>
      <x:c r="P880" s="24"/>
      <x:c r="Q880" s="24" t="str">
        <x:v>DISPONÍVEL</x:v>
      </x:c>
      <x:c r="R880" s="24"/>
      <x:c r="S880" s="24" t="n">
        <x:v>21</x:v>
      </x:c>
      <x:c r="T880" s="24" t="str">
        <x:v>tabela_rodenstock.pdf</x:v>
      </x:c>
      <x:c r="U880" s="24" t="str">
        <x:v>Rodenstock|Progressiva Freeform|Surfaçada|Progressiv Life|ColorMatic® 3|1.67|1.67|Solitaire X-tra Clean|-10 a +8|até -6||75/80|||21</x:v>
      </x:c>
    </x:row>
    <x:row r="881">
      <x:c r="A881" s="24" t="str">
        <x:v>RD-761C0A973DBF</x:v>
      </x:c>
      <x:c r="B881" s="24" t="str">
        <x:v>Rodenstock</x:v>
      </x:c>
      <x:c r="C881" s="24" t="str">
        <x:v>Progressiva Freeform</x:v>
      </x:c>
      <x:c r="D881" s="24" t="str">
        <x:v>Surfaçada</x:v>
      </x:c>
      <x:c r="E881" s="24" t="str">
        <x:v>Progressiv Life</x:v>
      </x:c>
      <x:c r="F881" s="24" t="str">
        <x:v>ColorMatic® 3</x:v>
      </x:c>
      <x:c r="G881" s="24" t="str">
        <x:v>1.67</x:v>
      </x:c>
      <x:c r="H881" s="24" t="str">
        <x:v>1.67</x:v>
      </x:c>
      <x:c r="I881" s="24" t="str">
        <x:v>Solitaire 2 Protect Balance</x:v>
      </x:c>
      <x:c r="J881" s="40" t="n">
        <x:v>10265</x:v>
      </x:c>
      <x:c r="K881" s="24" t="str">
        <x:v>-10 a +8</x:v>
      </x:c>
      <x:c r="L881" s="24" t="str">
        <x:v>até -6</x:v>
      </x:c>
      <x:c r="M881" s="24"/>
      <x:c r="N881" s="24" t="str">
        <x:v>75/80</x:v>
      </x:c>
      <x:c r="O881" s="24"/>
      <x:c r="P881" s="24"/>
      <x:c r="Q881" s="24" t="str">
        <x:v>DISPONÍVEL</x:v>
      </x:c>
      <x:c r="R881" s="24"/>
      <x:c r="S881" s="24" t="n">
        <x:v>21</x:v>
      </x:c>
      <x:c r="T881" s="24" t="str">
        <x:v>tabela_rodenstock.pdf</x:v>
      </x:c>
      <x:c r="U881" s="24" t="str">
        <x:v>Rodenstock|Progressiva Freeform|Surfaçada|Progressiv Life|ColorMatic® 3|1.67|1.67|Solitaire 2 Protect Balance|-10 a +8|até -6||75/80|||21</x:v>
      </x:c>
    </x:row>
    <x:row r="882">
      <x:c r="A882" s="24" t="str">
        <x:v>RD-6B7FD4189FD0</x:v>
      </x:c>
      <x:c r="B882" s="24" t="str">
        <x:v>Rodenstock</x:v>
      </x:c>
      <x:c r="C882" s="24" t="str">
        <x:v>Progressiva Freeform</x:v>
      </x:c>
      <x:c r="D882" s="24" t="str">
        <x:v>Surfaçada</x:v>
      </x:c>
      <x:c r="E882" s="24" t="str">
        <x:v>Progressiv Life</x:v>
      </x:c>
      <x:c r="F882" s="24" t="str">
        <x:v>ColorMatic® 3</x:v>
      </x:c>
      <x:c r="G882" s="24" t="str">
        <x:v>1.67</x:v>
      </x:c>
      <x:c r="H882" s="24" t="str">
        <x:v>1.67</x:v>
      </x:c>
      <x:c r="I882" s="24" t="str">
        <x:v>Solitaire Protect Plus</x:v>
      </x:c>
      <x:c r="J882" s="40" t="n">
        <x:v>10265</x:v>
      </x:c>
      <x:c r="K882" s="24" t="str">
        <x:v>-10 a +8</x:v>
      </x:c>
      <x:c r="L882" s="24" t="str">
        <x:v>até -6</x:v>
      </x:c>
      <x:c r="M882" s="24"/>
      <x:c r="N882" s="24" t="str">
        <x:v>75/80</x:v>
      </x:c>
      <x:c r="O882" s="24"/>
      <x:c r="P882" s="24"/>
      <x:c r="Q882" s="24" t="str">
        <x:v>DISPONÍVEL</x:v>
      </x:c>
      <x:c r="R882" s="24"/>
      <x:c r="S882" s="24" t="n">
        <x:v>21</x:v>
      </x:c>
      <x:c r="T882" s="24" t="str">
        <x:v>tabela_rodenstock.pdf</x:v>
      </x:c>
      <x:c r="U882" s="24" t="str">
        <x:v>Rodenstock|Progressiva Freeform|Surfaçada|Progressiv Life|ColorMatic® 3|1.67|1.67|Solitaire Protect Plus|-10 a +8|até -6||75/80|||21</x:v>
      </x:c>
    </x:row>
    <x:row r="883">
      <x:c r="A883" s="24" t="str">
        <x:v>RD-2DF94F5C3D97</x:v>
      </x:c>
      <x:c r="B883" s="24" t="str">
        <x:v>Rodenstock</x:v>
      </x:c>
      <x:c r="C883" s="24" t="str">
        <x:v>Progressiva Freeform</x:v>
      </x:c>
      <x:c r="D883" s="24" t="str">
        <x:v>Surfaçada</x:v>
      </x:c>
      <x:c r="E883" s="24" t="str">
        <x:v>Progressiv Life</x:v>
      </x:c>
      <x:c r="F883" s="24" t="str">
        <x:v>ColorMatic® 3</x:v>
      </x:c>
      <x:c r="G883" s="24" t="str">
        <x:v>1.67</x:v>
      </x:c>
      <x:c r="H883" s="24" t="str">
        <x:v>1.67</x:v>
      </x:c>
      <x:c r="I883" s="24" t="str">
        <x:v>ROAD</x:v>
      </x:c>
      <x:c r="J883" s="40" t="n">
        <x:v>10265</x:v>
      </x:c>
      <x:c r="K883" s="24" t="str">
        <x:v>-10 a +8</x:v>
      </x:c>
      <x:c r="L883" s="24" t="str">
        <x:v>até -6</x:v>
      </x:c>
      <x:c r="M883" s="24"/>
      <x:c r="N883" s="24" t="str">
        <x:v>75/80</x:v>
      </x:c>
      <x:c r="O883" s="24"/>
      <x:c r="P883" s="24"/>
      <x:c r="Q883" s="24" t="str">
        <x:v>DISPONÍVEL</x:v>
      </x:c>
      <x:c r="R883" s="24"/>
      <x:c r="S883" s="24" t="n">
        <x:v>21</x:v>
      </x:c>
      <x:c r="T883" s="24" t="str">
        <x:v>tabela_rodenstock.pdf</x:v>
      </x:c>
      <x:c r="U883" s="24" t="str">
        <x:v>Rodenstock|Progressiva Freeform|Surfaçada|Progressiv Life|ColorMatic® 3|1.67|1.67|ROAD|-10 a +8|até -6||75/80|||21</x:v>
      </x:c>
    </x:row>
    <x:row r="884">
      <x:c r="A884" s="24" t="str">
        <x:v>RD-4870797C9960</x:v>
      </x:c>
      <x:c r="B884" s="24" t="str">
        <x:v>Rodenstock</x:v>
      </x:c>
      <x:c r="C884" s="24" t="str">
        <x:v>Progressiva Freeform</x:v>
      </x:c>
      <x:c r="D884" s="24" t="str">
        <x:v>Surfaçada</x:v>
      </x:c>
      <x:c r="E884" s="24" t="str">
        <x:v>Progressiv Life</x:v>
      </x:c>
      <x:c r="F884" s="24" t="str">
        <x:v>ColorMatic® 3</x:v>
      </x:c>
      <x:c r="G884" s="24" t="str">
        <x:v>1.67</x:v>
      </x:c>
      <x:c r="H884" s="24" t="str">
        <x:v>1.67</x:v>
      </x:c>
      <x:c r="I884" s="24" t="str">
        <x:v>Solitaire Protect</x:v>
      </x:c>
      <x:c r="J884" s="40" t="n">
        <x:v>10005</x:v>
      </x:c>
      <x:c r="K884" s="24" t="str">
        <x:v>-10 a +8</x:v>
      </x:c>
      <x:c r="L884" s="24" t="str">
        <x:v>até -6</x:v>
      </x:c>
      <x:c r="M884" s="24"/>
      <x:c r="N884" s="24" t="str">
        <x:v>75/80</x:v>
      </x:c>
      <x:c r="O884" s="24"/>
      <x:c r="P884" s="24"/>
      <x:c r="Q884" s="24" t="str">
        <x:v>DISPONÍVEL</x:v>
      </x:c>
      <x:c r="R884" s="24"/>
      <x:c r="S884" s="24" t="n">
        <x:v>21</x:v>
      </x:c>
      <x:c r="T884" s="24" t="str">
        <x:v>tabela_rodenstock.pdf</x:v>
      </x:c>
      <x:c r="U884" s="24" t="str">
        <x:v>Rodenstock|Progressiva Freeform|Surfaçada|Progressiv Life|ColorMatic® 3|1.67|1.67|Solitaire Protect|-10 a +8|até -6||75/80|||21</x:v>
      </x:c>
    </x:row>
    <x:row r="885">
      <x:c r="A885" s="24" t="str">
        <x:v>RD-63139032DADA</x:v>
      </x:c>
      <x:c r="B885" s="24" t="str">
        <x:v>Rodenstock</x:v>
      </x:c>
      <x:c r="C885" s="24" t="str">
        <x:v>Progressiva Freeform</x:v>
      </x:c>
      <x:c r="D885" s="24" t="str">
        <x:v>Surfaçada</x:v>
      </x:c>
      <x:c r="E885" s="24" t="str">
        <x:v>Progressiv Life</x:v>
      </x:c>
      <x:c r="F885" s="24"/>
      <x:c r="G885" s="24" t="str">
        <x:v>1.74</x:v>
      </x:c>
      <x:c r="H885" s="24" t="str">
        <x:v>1.74</x:v>
      </x:c>
      <x:c r="I885" s="24" t="str">
        <x:v>Solitaire X-tra Clean</x:v>
      </x:c>
      <x:c r="J885" s="40" t="n">
        <x:v>10656</x:v>
      </x:c>
      <x:c r="K885" s="24" t="str">
        <x:v>-10 a +8</x:v>
      </x:c>
      <x:c r="L885" s="24" t="str">
        <x:v>até -6</x:v>
      </x:c>
      <x:c r="M885" s="24"/>
      <x:c r="N885" s="24" t="str">
        <x:v>75/80</x:v>
      </x:c>
      <x:c r="O885" s="24"/>
      <x:c r="P885" s="24"/>
      <x:c r="Q885" s="24" t="str">
        <x:v>DISPONÍVEL</x:v>
      </x:c>
      <x:c r="R885" s="24"/>
      <x:c r="S885" s="24" t="n">
        <x:v>21</x:v>
      </x:c>
      <x:c r="T885" s="24" t="str">
        <x:v>tabela_rodenstock.pdf</x:v>
      </x:c>
      <x:c r="U885" s="24" t="str">
        <x:v>Rodenstock|Progressiva Freeform|Surfaçada|Progressiv Life||1.74|1.74|Solitaire X-tra Clean|-10 a +8|até -6||75/80|||21</x:v>
      </x:c>
    </x:row>
    <x:row r="886">
      <x:c r="A886" s="24" t="str">
        <x:v>RD-0ECE1C01A3C7</x:v>
      </x:c>
      <x:c r="B886" s="24" t="str">
        <x:v>Rodenstock</x:v>
      </x:c>
      <x:c r="C886" s="24" t="str">
        <x:v>Progressiva Freeform</x:v>
      </x:c>
      <x:c r="D886" s="24" t="str">
        <x:v>Surfaçada</x:v>
      </x:c>
      <x:c r="E886" s="24" t="str">
        <x:v>Progressiv Life</x:v>
      </x:c>
      <x:c r="F886" s="24"/>
      <x:c r="G886" s="24" t="str">
        <x:v>1.74</x:v>
      </x:c>
      <x:c r="H886" s="24" t="str">
        <x:v>1.74</x:v>
      </x:c>
      <x:c r="I886" s="24" t="str">
        <x:v>Solitaire 2 Protect Balance</x:v>
      </x:c>
      <x:c r="J886" s="40" t="n">
        <x:v>10606</x:v>
      </x:c>
      <x:c r="K886" s="24" t="str">
        <x:v>-10 a +8</x:v>
      </x:c>
      <x:c r="L886" s="24" t="str">
        <x:v>até -6</x:v>
      </x:c>
      <x:c r="M886" s="24"/>
      <x:c r="N886" s="24" t="str">
        <x:v>75/80</x:v>
      </x:c>
      <x:c r="O886" s="24"/>
      <x:c r="P886" s="24"/>
      <x:c r="Q886" s="24" t="str">
        <x:v>DISPONÍVEL</x:v>
      </x:c>
      <x:c r="R886" s="24"/>
      <x:c r="S886" s="24" t="n">
        <x:v>21</x:v>
      </x:c>
      <x:c r="T886" s="24" t="str">
        <x:v>tabela_rodenstock.pdf</x:v>
      </x:c>
      <x:c r="U886" s="24" t="str">
        <x:v>Rodenstock|Progressiva Freeform|Surfaçada|Progressiv Life||1.74|1.74|Solitaire 2 Protect Balance|-10 a +8|até -6||75/80|||21</x:v>
      </x:c>
    </x:row>
    <x:row r="887">
      <x:c r="A887" s="24" t="str">
        <x:v>RD-69E211F29F3F</x:v>
      </x:c>
      <x:c r="B887" s="24" t="str">
        <x:v>Rodenstock</x:v>
      </x:c>
      <x:c r="C887" s="24" t="str">
        <x:v>Progressiva Freeform</x:v>
      </x:c>
      <x:c r="D887" s="24" t="str">
        <x:v>Surfaçada</x:v>
      </x:c>
      <x:c r="E887" s="24" t="str">
        <x:v>Progressiv Life</x:v>
      </x:c>
      <x:c r="F887" s="24"/>
      <x:c r="G887" s="24" t="str">
        <x:v>1.74</x:v>
      </x:c>
      <x:c r="H887" s="24" t="str">
        <x:v>1.74</x:v>
      </x:c>
      <x:c r="I887" s="24" t="str">
        <x:v>Solitaire Protect Plus</x:v>
      </x:c>
      <x:c r="J887" s="40" t="n">
        <x:v>10606</x:v>
      </x:c>
      <x:c r="K887" s="24" t="str">
        <x:v>-10 a +8</x:v>
      </x:c>
      <x:c r="L887" s="24" t="str">
        <x:v>até -6</x:v>
      </x:c>
      <x:c r="M887" s="24"/>
      <x:c r="N887" s="24" t="str">
        <x:v>75/80</x:v>
      </x:c>
      <x:c r="O887" s="24"/>
      <x:c r="P887" s="24"/>
      <x:c r="Q887" s="24" t="str">
        <x:v>DISPONÍVEL</x:v>
      </x:c>
      <x:c r="R887" s="24"/>
      <x:c r="S887" s="24" t="n">
        <x:v>21</x:v>
      </x:c>
      <x:c r="T887" s="24" t="str">
        <x:v>tabela_rodenstock.pdf</x:v>
      </x:c>
      <x:c r="U887" s="24" t="str">
        <x:v>Rodenstock|Progressiva Freeform|Surfaçada|Progressiv Life||1.74|1.74|Solitaire Protect Plus|-10 a +8|até -6||75/80|||21</x:v>
      </x:c>
    </x:row>
    <x:row r="888">
      <x:c r="A888" s="24" t="str">
        <x:v>RD-20788892597A</x:v>
      </x:c>
      <x:c r="B888" s="24" t="str">
        <x:v>Rodenstock</x:v>
      </x:c>
      <x:c r="C888" s="24" t="str">
        <x:v>Progressiva Freeform</x:v>
      </x:c>
      <x:c r="D888" s="24" t="str">
        <x:v>Surfaçada</x:v>
      </x:c>
      <x:c r="E888" s="24" t="str">
        <x:v>Progressiv Life</x:v>
      </x:c>
      <x:c r="F888" s="24"/>
      <x:c r="G888" s="24" t="str">
        <x:v>1.74</x:v>
      </x:c>
      <x:c r="H888" s="24" t="str">
        <x:v>1.74</x:v>
      </x:c>
      <x:c r="I888" s="24" t="str">
        <x:v>Solitaire Protect</x:v>
      </x:c>
      <x:c r="J888" s="40" t="n">
        <x:v>10346</x:v>
      </x:c>
      <x:c r="K888" s="24" t="str">
        <x:v>-10 a +8</x:v>
      </x:c>
      <x:c r="L888" s="24" t="str">
        <x:v>até -6</x:v>
      </x:c>
      <x:c r="M888" s="24"/>
      <x:c r="N888" s="24" t="str">
        <x:v>75/80</x:v>
      </x:c>
      <x:c r="O888" s="24"/>
      <x:c r="P888" s="24"/>
      <x:c r="Q888" s="24" t="str">
        <x:v>DISPONÍVEL</x:v>
      </x:c>
      <x:c r="R888" s="24"/>
      <x:c r="S888" s="24" t="n">
        <x:v>21</x:v>
      </x:c>
      <x:c r="T888" s="24" t="str">
        <x:v>tabela_rodenstock.pdf</x:v>
      </x:c>
      <x:c r="U888" s="24" t="str">
        <x:v>Rodenstock|Progressiva Freeform|Surfaçada|Progressiv Life||1.74|1.74|Solitaire Protect|-10 a +8|até -6||75/80|||21</x:v>
      </x:c>
    </x:row>
    <x:row r="889">
      <x:c r="A889" s="24" t="str">
        <x:v>RD-37A109778675</x:v>
      </x:c>
      <x:c r="B889" s="24" t="str">
        <x:v>Rodenstock</x:v>
      </x:c>
      <x:c r="C889" s="24" t="str">
        <x:v>Progressiva Freeform</x:v>
      </x:c>
      <x:c r="D889" s="24" t="str">
        <x:v>Surfaçada</x:v>
      </x:c>
      <x:c r="E889" s="24" t="str">
        <x:v>Progressiv Life 3D</x:v>
      </x:c>
      <x:c r="F889" s="24"/>
      <x:c r="G889" s="24" t="str">
        <x:v>1.5</x:v>
      </x:c>
      <x:c r="H889" s="24" t="str">
        <x:v>1.50</x:v>
      </x:c>
      <x:c r="I889" s="24" t="str">
        <x:v>Solitaire X-tra Clean</x:v>
      </x:c>
      <x:c r="J889" s="40" t="n">
        <x:v>4874</x:v>
      </x:c>
      <x:c r="K889" s="24" t="str">
        <x:v>-8 a +8</x:v>
      </x:c>
      <x:c r="L889" s="24" t="str">
        <x:v>até -6</x:v>
      </x:c>
      <x:c r="M889" s="24"/>
      <x:c r="N889" s="24" t="str">
        <x:v>75/80</x:v>
      </x:c>
      <x:c r="O889" s="24"/>
      <x:c r="P889" s="24"/>
      <x:c r="Q889" s="24" t="str">
        <x:v>DISPONÍVEL</x:v>
      </x:c>
      <x:c r="R889" s="24"/>
      <x:c r="S889" s="24" t="n">
        <x:v>21</x:v>
      </x:c>
      <x:c r="T889" s="24" t="str">
        <x:v>tabela_rodenstock.pdf</x:v>
      </x:c>
      <x:c r="U889" s="24" t="str">
        <x:v>Rodenstock|Progressiva Freeform|Surfaçada|Progressiv Life 3D||1.5|1.50|Solitaire X-tra Clean|-8 a +8|até -6||75/80|||21</x:v>
      </x:c>
    </x:row>
    <x:row r="890">
      <x:c r="A890" s="24" t="str">
        <x:v>RD-88C14B2393B6</x:v>
      </x:c>
      <x:c r="B890" s="24" t="str">
        <x:v>Rodenstock</x:v>
      </x:c>
      <x:c r="C890" s="24" t="str">
        <x:v>Progressiva Freeform</x:v>
      </x:c>
      <x:c r="D890" s="24" t="str">
        <x:v>Surfaçada</x:v>
      </x:c>
      <x:c r="E890" s="24" t="str">
        <x:v>Progressiv Life 3D</x:v>
      </x:c>
      <x:c r="F890" s="24"/>
      <x:c r="G890" s="24" t="str">
        <x:v>1.5</x:v>
      </x:c>
      <x:c r="H890" s="24" t="str">
        <x:v>1.50</x:v>
      </x:c>
      <x:c r="I890" s="24" t="str">
        <x:v>Solitaire 2 Protect Balance</x:v>
      </x:c>
      <x:c r="J890" s="40" t="n">
        <x:v>4824</x:v>
      </x:c>
      <x:c r="K890" s="24" t="str">
        <x:v>-8 a +8</x:v>
      </x:c>
      <x:c r="L890" s="24" t="str">
        <x:v>até -6</x:v>
      </x:c>
      <x:c r="M890" s="24"/>
      <x:c r="N890" s="24" t="str">
        <x:v>75/80</x:v>
      </x:c>
      <x:c r="O890" s="24"/>
      <x:c r="P890" s="24"/>
      <x:c r="Q890" s="24" t="str">
        <x:v>DISPONÍVEL</x:v>
      </x:c>
      <x:c r="R890" s="24"/>
      <x:c r="S890" s="24" t="n">
        <x:v>21</x:v>
      </x:c>
      <x:c r="T890" s="24" t="str">
        <x:v>tabela_rodenstock.pdf</x:v>
      </x:c>
      <x:c r="U890" s="24" t="str">
        <x:v>Rodenstock|Progressiva Freeform|Surfaçada|Progressiv Life 3D||1.5|1.50|Solitaire 2 Protect Balance|-8 a +8|até -6||75/80|||21</x:v>
      </x:c>
    </x:row>
    <x:row r="891">
      <x:c r="A891" s="24" t="str">
        <x:v>RD-5063FF48C7CB</x:v>
      </x:c>
      <x:c r="B891" s="24" t="str">
        <x:v>Rodenstock</x:v>
      </x:c>
      <x:c r="C891" s="24" t="str">
        <x:v>Progressiva Freeform</x:v>
      </x:c>
      <x:c r="D891" s="24" t="str">
        <x:v>Surfaçada</x:v>
      </x:c>
      <x:c r="E891" s="24" t="str">
        <x:v>Progressiv Life 3D</x:v>
      </x:c>
      <x:c r="F891" s="24"/>
      <x:c r="G891" s="24" t="str">
        <x:v>1.5</x:v>
      </x:c>
      <x:c r="H891" s="24" t="str">
        <x:v>1.50</x:v>
      </x:c>
      <x:c r="I891" s="24" t="str">
        <x:v>Solitaire 2 Protect Plus</x:v>
      </x:c>
      <x:c r="J891" s="40" t="n">
        <x:v>4824</x:v>
      </x:c>
      <x:c r="K891" s="24" t="str">
        <x:v>-8 a +8</x:v>
      </x:c>
      <x:c r="L891" s="24" t="str">
        <x:v>até -6</x:v>
      </x:c>
      <x:c r="M891" s="24"/>
      <x:c r="N891" s="24" t="str">
        <x:v>75/80</x:v>
      </x:c>
      <x:c r="O891" s="24"/>
      <x:c r="P891" s="24"/>
      <x:c r="Q891" s="24" t="str">
        <x:v>DISPONÍVEL</x:v>
      </x:c>
      <x:c r="R891" s="24"/>
      <x:c r="S891" s="24" t="n">
        <x:v>21</x:v>
      </x:c>
      <x:c r="T891" s="24" t="str">
        <x:v>tabela_rodenstock.pdf</x:v>
      </x:c>
      <x:c r="U891" s="24" t="str">
        <x:v>Rodenstock|Progressiva Freeform|Surfaçada|Progressiv Life 3D||1.5|1.50|Solitaire 2 Protect Plus|-8 a +8|até -6||75/80|||21</x:v>
      </x:c>
    </x:row>
    <x:row r="892">
      <x:c r="A892" s="24" t="str">
        <x:v>RD-35264A6E800E</x:v>
      </x:c>
      <x:c r="B892" s="24" t="str">
        <x:v>Rodenstock</x:v>
      </x:c>
      <x:c r="C892" s="24" t="str">
        <x:v>Progressiva Freeform</x:v>
      </x:c>
      <x:c r="D892" s="24" t="str">
        <x:v>Surfaçada</x:v>
      </x:c>
      <x:c r="E892" s="24" t="str">
        <x:v>Progressiv Life 3D</x:v>
      </x:c>
      <x:c r="F892" s="24"/>
      <x:c r="G892" s="24" t="str">
        <x:v>1.5</x:v>
      </x:c>
      <x:c r="H892" s="24" t="str">
        <x:v>1.50</x:v>
      </x:c>
      <x:c r="I892" s="24" t="str">
        <x:v>ROAD</x:v>
      </x:c>
      <x:c r="J892" s="40" t="n">
        <x:v>4824</x:v>
      </x:c>
      <x:c r="K892" s="24" t="str">
        <x:v>-8 a +8</x:v>
      </x:c>
      <x:c r="L892" s="24" t="str">
        <x:v>até -6</x:v>
      </x:c>
      <x:c r="M892" s="24"/>
      <x:c r="N892" s="24" t="str">
        <x:v>75/80</x:v>
      </x:c>
      <x:c r="O892" s="24"/>
      <x:c r="P892" s="24"/>
      <x:c r="Q892" s="24" t="str">
        <x:v>DISPONÍVEL</x:v>
      </x:c>
      <x:c r="R892" s="24"/>
      <x:c r="S892" s="24" t="n">
        <x:v>21</x:v>
      </x:c>
      <x:c r="T892" s="24" t="str">
        <x:v>tabela_rodenstock.pdf</x:v>
      </x:c>
      <x:c r="U892" s="24" t="str">
        <x:v>Rodenstock|Progressiva Freeform|Surfaçada|Progressiv Life 3D||1.5|1.50|ROAD|-8 a +8|até -6||75/80|||21</x:v>
      </x:c>
    </x:row>
    <x:row r="893">
      <x:c r="A893" s="24" t="str">
        <x:v>RD-BC7994E6D77B</x:v>
      </x:c>
      <x:c r="B893" s="24" t="str">
        <x:v>Rodenstock</x:v>
      </x:c>
      <x:c r="C893" s="24" t="str">
        <x:v>Progressiva Freeform</x:v>
      </x:c>
      <x:c r="D893" s="24" t="str">
        <x:v>Surfaçada</x:v>
      </x:c>
      <x:c r="E893" s="24" t="str">
        <x:v>Progressiv Life 3D</x:v>
      </x:c>
      <x:c r="F893" s="24"/>
      <x:c r="G893" s="24" t="str">
        <x:v>1.5</x:v>
      </x:c>
      <x:c r="H893" s="24" t="str">
        <x:v>1.50</x:v>
      </x:c>
      <x:c r="I893" s="24" t="str">
        <x:v>Solitaire 2 Protect</x:v>
      </x:c>
      <x:c r="J893" s="40" t="n">
        <x:v>4564</x:v>
      </x:c>
      <x:c r="K893" s="24" t="str">
        <x:v>-8 a +8</x:v>
      </x:c>
      <x:c r="L893" s="24" t="str">
        <x:v>até -6</x:v>
      </x:c>
      <x:c r="M893" s="24"/>
      <x:c r="N893" s="24" t="str">
        <x:v>75/80</x:v>
      </x:c>
      <x:c r="O893" s="24"/>
      <x:c r="P893" s="24"/>
      <x:c r="Q893" s="24" t="str">
        <x:v>DISPONÍVEL</x:v>
      </x:c>
      <x:c r="R893" s="24"/>
      <x:c r="S893" s="24" t="n">
        <x:v>21</x:v>
      </x:c>
      <x:c r="T893" s="24" t="str">
        <x:v>tabela_rodenstock.pdf</x:v>
      </x:c>
      <x:c r="U893" s="24" t="str">
        <x:v>Rodenstock|Progressiva Freeform|Surfaçada|Progressiv Life 3D||1.5|1.50|Solitaire 2 Protect|-8 a +8|até -6||75/80|||21</x:v>
      </x:c>
    </x:row>
    <x:row r="894">
      <x:c r="A894" s="24" t="str">
        <x:v>RD-AA6D05C131CB</x:v>
      </x:c>
      <x:c r="B894" s="24" t="str">
        <x:v>Rodenstock</x:v>
      </x:c>
      <x:c r="C894" s="24" t="str">
        <x:v>Progressiva Freeform</x:v>
      </x:c>
      <x:c r="D894" s="24" t="str">
        <x:v>Surfaçada</x:v>
      </x:c>
      <x:c r="E894" s="24" t="str">
        <x:v>Progressiv Life 3D</x:v>
      </x:c>
      <x:c r="F894" s="24"/>
      <x:c r="G894" s="24" t="str">
        <x:v>1.5</x:v>
      </x:c>
      <x:c r="H894" s="24" t="str">
        <x:v>1.50</x:v>
      </x:c>
      <x:c r="I894" s="24" t="str">
        <x:v>Sem AR</x:v>
      </x:c>
      <x:c r="J894" s="40" t="n">
        <x:v>3694</x:v>
      </x:c>
      <x:c r="K894" s="24" t="str">
        <x:v>-8 a +8</x:v>
      </x:c>
      <x:c r="L894" s="24" t="str">
        <x:v>até -6</x:v>
      </x:c>
      <x:c r="M894" s="24"/>
      <x:c r="N894" s="24" t="str">
        <x:v>75/80</x:v>
      </x:c>
      <x:c r="O894" s="24"/>
      <x:c r="P894" s="24"/>
      <x:c r="Q894" s="24" t="str">
        <x:v>DISPONÍVEL</x:v>
      </x:c>
      <x:c r="R894" s="24"/>
      <x:c r="S894" s="24" t="n">
        <x:v>21</x:v>
      </x:c>
      <x:c r="T894" s="24" t="str">
        <x:v>tabela_rodenstock.pdf</x:v>
      </x:c>
      <x:c r="U894" s="24" t="str">
        <x:v>Rodenstock|Progressiva Freeform|Surfaçada|Progressiv Life 3D||1.5|1.50|Sem AR|-8 a +8|até -6||75/80|||21</x:v>
      </x:c>
    </x:row>
    <x:row r="895">
      <x:c r="A895" s="24" t="str">
        <x:v>RD-347F545C3AF1</x:v>
      </x:c>
      <x:c r="B895" s="24" t="str">
        <x:v>Rodenstock</x:v>
      </x:c>
      <x:c r="C895" s="24" t="str">
        <x:v>Progressiva Freeform</x:v>
      </x:c>
      <x:c r="D895" s="24" t="str">
        <x:v>Surfaçada</x:v>
      </x:c>
      <x:c r="E895" s="24" t="str">
        <x:v>Progressiv Life 3D</x:v>
      </x:c>
      <x:c r="F895" s="24" t="str">
        <x:v>ColorMatic® 3</x:v>
      </x:c>
      <x:c r="G895" s="24" t="str">
        <x:v>1.54</x:v>
      </x:c>
      <x:c r="H895" s="24" t="str">
        <x:v>1.54</x:v>
      </x:c>
      <x:c r="I895" s="24" t="str">
        <x:v>Solitaire X-tra Clean</x:v>
      </x:c>
      <x:c r="J895" s="40" t="n">
        <x:v>6468</x:v>
      </x:c>
      <x:c r="K895" s="24" t="str">
        <x:v>-8 a +8</x:v>
      </x:c>
      <x:c r="L895" s="24" t="str">
        <x:v>até -6</x:v>
      </x:c>
      <x:c r="M895" s="24"/>
      <x:c r="N895" s="24" t="str">
        <x:v>75/80</x:v>
      </x:c>
      <x:c r="O895" s="24"/>
      <x:c r="P895" s="24"/>
      <x:c r="Q895" s="24" t="str">
        <x:v>DISPONÍVEL</x:v>
      </x:c>
      <x:c r="R895" s="24"/>
      <x:c r="S895" s="24" t="n">
        <x:v>21</x:v>
      </x:c>
      <x:c r="T895" s="24" t="str">
        <x:v>tabela_rodenstock.pdf</x:v>
      </x:c>
      <x:c r="U895" s="24" t="str">
        <x:v>Rodenstock|Progressiva Freeform|Surfaçada|Progressiv Life 3D|ColorMatic® 3|1.54|1.54|Solitaire X-tra Clean|-8 a +8|até -6||75/80|||21</x:v>
      </x:c>
    </x:row>
    <x:row r="896">
      <x:c r="A896" s="24" t="str">
        <x:v>RD-01D99BDE4CF8</x:v>
      </x:c>
      <x:c r="B896" s="24" t="str">
        <x:v>Rodenstock</x:v>
      </x:c>
      <x:c r="C896" s="24" t="str">
        <x:v>Progressiva Freeform</x:v>
      </x:c>
      <x:c r="D896" s="24" t="str">
        <x:v>Surfaçada</x:v>
      </x:c>
      <x:c r="E896" s="24" t="str">
        <x:v>Progressiv Life 3D</x:v>
      </x:c>
      <x:c r="F896" s="24" t="str">
        <x:v>ColorMatic® 3</x:v>
      </x:c>
      <x:c r="G896" s="24" t="str">
        <x:v>1.54</x:v>
      </x:c>
      <x:c r="H896" s="24" t="str">
        <x:v>1.54</x:v>
      </x:c>
      <x:c r="I896" s="24" t="str">
        <x:v>Solitaire 2 Protect Balance</x:v>
      </x:c>
      <x:c r="J896" s="40" t="n">
        <x:v>6418</x:v>
      </x:c>
      <x:c r="K896" s="24" t="str">
        <x:v>-8 a +8</x:v>
      </x:c>
      <x:c r="L896" s="24" t="str">
        <x:v>até -6</x:v>
      </x:c>
      <x:c r="M896" s="24"/>
      <x:c r="N896" s="24" t="str">
        <x:v>75/80</x:v>
      </x:c>
      <x:c r="O896" s="24"/>
      <x:c r="P896" s="24"/>
      <x:c r="Q896" s="24" t="str">
        <x:v>DISPONÍVEL</x:v>
      </x:c>
      <x:c r="R896" s="24"/>
      <x:c r="S896" s="24" t="n">
        <x:v>21</x:v>
      </x:c>
      <x:c r="T896" s="24" t="str">
        <x:v>tabela_rodenstock.pdf</x:v>
      </x:c>
      <x:c r="U896" s="24" t="str">
        <x:v>Rodenstock|Progressiva Freeform|Surfaçada|Progressiv Life 3D|ColorMatic® 3|1.54|1.54|Solitaire 2 Protect Balance|-8 a +8|até -6||75/80|||21</x:v>
      </x:c>
    </x:row>
    <x:row r="897">
      <x:c r="A897" s="24" t="str">
        <x:v>RD-A6EF4D587C03</x:v>
      </x:c>
      <x:c r="B897" s="24" t="str">
        <x:v>Rodenstock</x:v>
      </x:c>
      <x:c r="C897" s="24" t="str">
        <x:v>Progressiva Freeform</x:v>
      </x:c>
      <x:c r="D897" s="24" t="str">
        <x:v>Surfaçada</x:v>
      </x:c>
      <x:c r="E897" s="24" t="str">
        <x:v>Progressiv Life 3D</x:v>
      </x:c>
      <x:c r="F897" s="24" t="str">
        <x:v>ColorMatic® 3</x:v>
      </x:c>
      <x:c r="G897" s="24" t="str">
        <x:v>1.54</x:v>
      </x:c>
      <x:c r="H897" s="24" t="str">
        <x:v>1.54</x:v>
      </x:c>
      <x:c r="I897" s="24" t="str">
        <x:v>Solitaire 2 Protect Plus</x:v>
      </x:c>
      <x:c r="J897" s="40" t="n">
        <x:v>6418</x:v>
      </x:c>
      <x:c r="K897" s="24" t="str">
        <x:v>-8 a +8</x:v>
      </x:c>
      <x:c r="L897" s="24" t="str">
        <x:v>até -6</x:v>
      </x:c>
      <x:c r="M897" s="24"/>
      <x:c r="N897" s="24" t="str">
        <x:v>75/80</x:v>
      </x:c>
      <x:c r="O897" s="24"/>
      <x:c r="P897" s="24"/>
      <x:c r="Q897" s="24" t="str">
        <x:v>DISPONÍVEL</x:v>
      </x:c>
      <x:c r="R897" s="24"/>
      <x:c r="S897" s="24" t="n">
        <x:v>21</x:v>
      </x:c>
      <x:c r="T897" s="24" t="str">
        <x:v>tabela_rodenstock.pdf</x:v>
      </x:c>
      <x:c r="U897" s="24" t="str">
        <x:v>Rodenstock|Progressiva Freeform|Surfaçada|Progressiv Life 3D|ColorMatic® 3|1.54|1.54|Solitaire 2 Protect Plus|-8 a +8|até -6||75/80|||21</x:v>
      </x:c>
    </x:row>
    <x:row r="898">
      <x:c r="A898" s="24" t="str">
        <x:v>RD-FC8597ECC575</x:v>
      </x:c>
      <x:c r="B898" s="24" t="str">
        <x:v>Rodenstock</x:v>
      </x:c>
      <x:c r="C898" s="24" t="str">
        <x:v>Progressiva Freeform</x:v>
      </x:c>
      <x:c r="D898" s="24" t="str">
        <x:v>Surfaçada</x:v>
      </x:c>
      <x:c r="E898" s="24" t="str">
        <x:v>Progressiv Life 3D</x:v>
      </x:c>
      <x:c r="F898" s="24" t="str">
        <x:v>ColorMatic® 3</x:v>
      </x:c>
      <x:c r="G898" s="24" t="str">
        <x:v>1.54</x:v>
      </x:c>
      <x:c r="H898" s="24" t="str">
        <x:v>1.54</x:v>
      </x:c>
      <x:c r="I898" s="24" t="str">
        <x:v>ROAD</x:v>
      </x:c>
      <x:c r="J898" s="40" t="n">
        <x:v>6418</x:v>
      </x:c>
      <x:c r="K898" s="24" t="str">
        <x:v>-8 a +8</x:v>
      </x:c>
      <x:c r="L898" s="24" t="str">
        <x:v>até -6</x:v>
      </x:c>
      <x:c r="M898" s="24"/>
      <x:c r="N898" s="24" t="str">
        <x:v>75/80</x:v>
      </x:c>
      <x:c r="O898" s="24"/>
      <x:c r="P898" s="24"/>
      <x:c r="Q898" s="24" t="str">
        <x:v>DISPONÍVEL</x:v>
      </x:c>
      <x:c r="R898" s="24"/>
      <x:c r="S898" s="24" t="n">
        <x:v>21</x:v>
      </x:c>
      <x:c r="T898" s="24" t="str">
        <x:v>tabela_rodenstock.pdf</x:v>
      </x:c>
      <x:c r="U898" s="24" t="str">
        <x:v>Rodenstock|Progressiva Freeform|Surfaçada|Progressiv Life 3D|ColorMatic® 3|1.54|1.54|ROAD|-8 a +8|até -6||75/80|||21</x:v>
      </x:c>
    </x:row>
    <x:row r="899">
      <x:c r="A899" s="24" t="str">
        <x:v>RD-ACD8F9F1BDD3</x:v>
      </x:c>
      <x:c r="B899" s="24" t="str">
        <x:v>Rodenstock</x:v>
      </x:c>
      <x:c r="C899" s="24" t="str">
        <x:v>Progressiva Freeform</x:v>
      </x:c>
      <x:c r="D899" s="24" t="str">
        <x:v>Surfaçada</x:v>
      </x:c>
      <x:c r="E899" s="24" t="str">
        <x:v>Progressiv Life 3D</x:v>
      </x:c>
      <x:c r="F899" s="24" t="str">
        <x:v>ColorMatic® 3</x:v>
      </x:c>
      <x:c r="G899" s="24" t="str">
        <x:v>1.54</x:v>
      </x:c>
      <x:c r="H899" s="24" t="str">
        <x:v>1.54</x:v>
      </x:c>
      <x:c r="I899" s="24" t="str">
        <x:v>Solitaire 2 Protect</x:v>
      </x:c>
      <x:c r="J899" s="40" t="n">
        <x:v>6158</x:v>
      </x:c>
      <x:c r="K899" s="24" t="str">
        <x:v>-8 a +8</x:v>
      </x:c>
      <x:c r="L899" s="24" t="str">
        <x:v>até -6</x:v>
      </x:c>
      <x:c r="M899" s="24"/>
      <x:c r="N899" s="24" t="str">
        <x:v>75/80</x:v>
      </x:c>
      <x:c r="O899" s="24"/>
      <x:c r="P899" s="24"/>
      <x:c r="Q899" s="24" t="str">
        <x:v>DISPONÍVEL</x:v>
      </x:c>
      <x:c r="R899" s="24"/>
      <x:c r="S899" s="24" t="n">
        <x:v>21</x:v>
      </x:c>
      <x:c r="T899" s="24" t="str">
        <x:v>tabela_rodenstock.pdf</x:v>
      </x:c>
      <x:c r="U899" s="24" t="str">
        <x:v>Rodenstock|Progressiva Freeform|Surfaçada|Progressiv Life 3D|ColorMatic® 3|1.54|1.54|Solitaire 2 Protect|-8 a +8|até -6||75/80|||21</x:v>
      </x:c>
    </x:row>
    <x:row r="900">
      <x:c r="A900" s="24" t="str">
        <x:v>RD-47378D4239D4</x:v>
      </x:c>
      <x:c r="B900" s="24" t="str">
        <x:v>Rodenstock</x:v>
      </x:c>
      <x:c r="C900" s="24" t="str">
        <x:v>Progressiva Freeform</x:v>
      </x:c>
      <x:c r="D900" s="24" t="str">
        <x:v>Surfaçada</x:v>
      </x:c>
      <x:c r="E900" s="24" t="str">
        <x:v>Progressiv Life 3D</x:v>
      </x:c>
      <x:c r="F900" s="24" t="str">
        <x:v>ColorMatic® 3</x:v>
      </x:c>
      <x:c r="G900" s="24" t="str">
        <x:v>1.54</x:v>
      </x:c>
      <x:c r="H900" s="24" t="str">
        <x:v>1.54</x:v>
      </x:c>
      <x:c r="I900" s="24" t="str">
        <x:v>Sem AR</x:v>
      </x:c>
      <x:c r="J900" s="40" t="n">
        <x:v>5288</x:v>
      </x:c>
      <x:c r="K900" s="24" t="str">
        <x:v>-8 a +8</x:v>
      </x:c>
      <x:c r="L900" s="24" t="str">
        <x:v>até -6</x:v>
      </x:c>
      <x:c r="M900" s="24"/>
      <x:c r="N900" s="24" t="str">
        <x:v>75/80</x:v>
      </x:c>
      <x:c r="O900" s="24"/>
      <x:c r="P900" s="24"/>
      <x:c r="Q900" s="24" t="str">
        <x:v>DISPONÍVEL</x:v>
      </x:c>
      <x:c r="R900" s="24"/>
      <x:c r="S900" s="24" t="n">
        <x:v>21</x:v>
      </x:c>
      <x:c r="T900" s="24" t="str">
        <x:v>tabela_rodenstock.pdf</x:v>
      </x:c>
      <x:c r="U900" s="24" t="str">
        <x:v>Rodenstock|Progressiva Freeform|Surfaçada|Progressiv Life 3D|ColorMatic® 3|1.54|1.54|Sem AR|-8 a +8|até -6||75/80|||21</x:v>
      </x:c>
    </x:row>
    <x:row r="901">
      <x:c r="A901" s="24" t="str">
        <x:v>RD-FAFC850318B7</x:v>
      </x:c>
      <x:c r="B901" s="24" t="str">
        <x:v>Rodenstock</x:v>
      </x:c>
      <x:c r="C901" s="24" t="str">
        <x:v>Progressiva Freeform</x:v>
      </x:c>
      <x:c r="D901" s="24" t="str">
        <x:v>Surfaçada</x:v>
      </x:c>
      <x:c r="E901" s="24" t="str">
        <x:v>Progressiv Life 3D</x:v>
      </x:c>
      <x:c r="F901" s="24"/>
      <x:c r="G901" s="24" t="str">
        <x:v>1.6</x:v>
      </x:c>
      <x:c r="H901" s="24" t="str">
        <x:v>1.60</x:v>
      </x:c>
      <x:c r="I901" s="24" t="str">
        <x:v>Solitaire X-tra Clean</x:v>
      </x:c>
      <x:c r="J901" s="40" t="n">
        <x:v>6063</x:v>
      </x:c>
      <x:c r="K901" s="24" t="str">
        <x:v>-10 a +8</x:v>
      </x:c>
      <x:c r="L901" s="24" t="str">
        <x:v>até -6</x:v>
      </x:c>
      <x:c r="M901" s="24"/>
      <x:c r="N901" s="24" t="str">
        <x:v>75/80</x:v>
      </x:c>
      <x:c r="O901" s="24"/>
      <x:c r="P901" s="24"/>
      <x:c r="Q901" s="24" t="str">
        <x:v>DISPONÍVEL</x:v>
      </x:c>
      <x:c r="R901" s="24"/>
      <x:c r="S901" s="24" t="n">
        <x:v>21</x:v>
      </x:c>
      <x:c r="T901" s="24" t="str">
        <x:v>tabela_rodenstock.pdf</x:v>
      </x:c>
      <x:c r="U901" s="24" t="str">
        <x:v>Rodenstock|Progressiva Freeform|Surfaçada|Progressiv Life 3D||1.6|1.60|Solitaire X-tra Clean|-10 a +8|até -6||75/80|||21</x:v>
      </x:c>
    </x:row>
    <x:row r="902">
      <x:c r="A902" s="24" t="str">
        <x:v>RD-F8AE23E01CC2</x:v>
      </x:c>
      <x:c r="B902" s="24" t="str">
        <x:v>Rodenstock</x:v>
      </x:c>
      <x:c r="C902" s="24" t="str">
        <x:v>Progressiva Freeform</x:v>
      </x:c>
      <x:c r="D902" s="24" t="str">
        <x:v>Surfaçada</x:v>
      </x:c>
      <x:c r="E902" s="24" t="str">
        <x:v>Progressiv Life 3D</x:v>
      </x:c>
      <x:c r="F902" s="24"/>
      <x:c r="G902" s="24" t="str">
        <x:v>1.6</x:v>
      </x:c>
      <x:c r="H902" s="24" t="str">
        <x:v>1.60</x:v>
      </x:c>
      <x:c r="I902" s="24" t="str">
        <x:v>Solitaire 2 Protect Balance</x:v>
      </x:c>
      <x:c r="J902" s="40" t="n">
        <x:v>6013</x:v>
      </x:c>
      <x:c r="K902" s="24" t="str">
        <x:v>-10 a +8</x:v>
      </x:c>
      <x:c r="L902" s="24" t="str">
        <x:v>até -6</x:v>
      </x:c>
      <x:c r="M902" s="24"/>
      <x:c r="N902" s="24" t="str">
        <x:v>75/80</x:v>
      </x:c>
      <x:c r="O902" s="24"/>
      <x:c r="P902" s="24"/>
      <x:c r="Q902" s="24" t="str">
        <x:v>DISPONÍVEL</x:v>
      </x:c>
      <x:c r="R902" s="24"/>
      <x:c r="S902" s="24" t="n">
        <x:v>21</x:v>
      </x:c>
      <x:c r="T902" s="24" t="str">
        <x:v>tabela_rodenstock.pdf</x:v>
      </x:c>
      <x:c r="U902" s="24" t="str">
        <x:v>Rodenstock|Progressiva Freeform|Surfaçada|Progressiv Life 3D||1.6|1.60|Solitaire 2 Protect Balance|-10 a +8|até -6||75/80|||21</x:v>
      </x:c>
    </x:row>
    <x:row r="903">
      <x:c r="A903" s="24" t="str">
        <x:v>RD-7E4A46DD9FA5</x:v>
      </x:c>
      <x:c r="B903" s="24" t="str">
        <x:v>Rodenstock</x:v>
      </x:c>
      <x:c r="C903" s="24" t="str">
        <x:v>Progressiva Freeform</x:v>
      </x:c>
      <x:c r="D903" s="24" t="str">
        <x:v>Surfaçada</x:v>
      </x:c>
      <x:c r="E903" s="24" t="str">
        <x:v>Progressiv Life 3D</x:v>
      </x:c>
      <x:c r="F903" s="24"/>
      <x:c r="G903" s="24" t="str">
        <x:v>1.6</x:v>
      </x:c>
      <x:c r="H903" s="24" t="str">
        <x:v>1.60</x:v>
      </x:c>
      <x:c r="I903" s="24" t="str">
        <x:v>Solitaire 2 Protect Plus</x:v>
      </x:c>
      <x:c r="J903" s="40" t="n">
        <x:v>6013</x:v>
      </x:c>
      <x:c r="K903" s="24" t="str">
        <x:v>-10 a +8</x:v>
      </x:c>
      <x:c r="L903" s="24" t="str">
        <x:v>até -6</x:v>
      </x:c>
      <x:c r="M903" s="24"/>
      <x:c r="N903" s="24" t="str">
        <x:v>75/80</x:v>
      </x:c>
      <x:c r="O903" s="24"/>
      <x:c r="P903" s="24"/>
      <x:c r="Q903" s="24" t="str">
        <x:v>DISPONÍVEL</x:v>
      </x:c>
      <x:c r="R903" s="24"/>
      <x:c r="S903" s="24" t="n">
        <x:v>21</x:v>
      </x:c>
      <x:c r="T903" s="24" t="str">
        <x:v>tabela_rodenstock.pdf</x:v>
      </x:c>
      <x:c r="U903" s="24" t="str">
        <x:v>Rodenstock|Progressiva Freeform|Surfaçada|Progressiv Life 3D||1.6|1.60|Solitaire 2 Protect Plus|-10 a +8|até -6||75/80|||21</x:v>
      </x:c>
    </x:row>
    <x:row r="904">
      <x:c r="A904" s="24" t="str">
        <x:v>RD-9F811582F7C0</x:v>
      </x:c>
      <x:c r="B904" s="24" t="str">
        <x:v>Rodenstock</x:v>
      </x:c>
      <x:c r="C904" s="24" t="str">
        <x:v>Progressiva Freeform</x:v>
      </x:c>
      <x:c r="D904" s="24" t="str">
        <x:v>Surfaçada</x:v>
      </x:c>
      <x:c r="E904" s="24" t="str">
        <x:v>Progressiv Life 3D</x:v>
      </x:c>
      <x:c r="F904" s="24"/>
      <x:c r="G904" s="24" t="str">
        <x:v>1.6</x:v>
      </x:c>
      <x:c r="H904" s="24" t="str">
        <x:v>1.60</x:v>
      </x:c>
      <x:c r="I904" s="24" t="str">
        <x:v>ROAD</x:v>
      </x:c>
      <x:c r="J904" s="40" t="n">
        <x:v>6013</x:v>
      </x:c>
      <x:c r="K904" s="24" t="str">
        <x:v>-10 a +8</x:v>
      </x:c>
      <x:c r="L904" s="24" t="str">
        <x:v>até -6</x:v>
      </x:c>
      <x:c r="M904" s="24"/>
      <x:c r="N904" s="24" t="str">
        <x:v>75/80</x:v>
      </x:c>
      <x:c r="O904" s="24"/>
      <x:c r="P904" s="24"/>
      <x:c r="Q904" s="24" t="str">
        <x:v>DISPONÍVEL</x:v>
      </x:c>
      <x:c r="R904" s="24"/>
      <x:c r="S904" s="24" t="n">
        <x:v>21</x:v>
      </x:c>
      <x:c r="T904" s="24" t="str">
        <x:v>tabela_rodenstock.pdf</x:v>
      </x:c>
      <x:c r="U904" s="24" t="str">
        <x:v>Rodenstock|Progressiva Freeform|Surfaçada|Progressiv Life 3D||1.6|1.60|ROAD|-10 a +8|até -6||75/80|||21</x:v>
      </x:c>
    </x:row>
    <x:row r="905">
      <x:c r="A905" s="24" t="str">
        <x:v>RD-D855F21D28A6</x:v>
      </x:c>
      <x:c r="B905" s="24" t="str">
        <x:v>Rodenstock</x:v>
      </x:c>
      <x:c r="C905" s="24" t="str">
        <x:v>Progressiva Freeform</x:v>
      </x:c>
      <x:c r="D905" s="24" t="str">
        <x:v>Surfaçada</x:v>
      </x:c>
      <x:c r="E905" s="24" t="str">
        <x:v>Progressiv Life 3D</x:v>
      </x:c>
      <x:c r="F905" s="24"/>
      <x:c r="G905" s="24" t="str">
        <x:v>1.6</x:v>
      </x:c>
      <x:c r="H905" s="24" t="str">
        <x:v>1.60</x:v>
      </x:c>
      <x:c r="I905" s="24" t="str">
        <x:v>Solitaire 2 Protect</x:v>
      </x:c>
      <x:c r="J905" s="40" t="n">
        <x:v>5753</x:v>
      </x:c>
      <x:c r="K905" s="24" t="str">
        <x:v>-10 a +8</x:v>
      </x:c>
      <x:c r="L905" s="24" t="str">
        <x:v>até -6</x:v>
      </x:c>
      <x:c r="M905" s="24"/>
      <x:c r="N905" s="24" t="str">
        <x:v>75/80</x:v>
      </x:c>
      <x:c r="O905" s="24"/>
      <x:c r="P905" s="24"/>
      <x:c r="Q905" s="24" t="str">
        <x:v>DISPONÍVEL</x:v>
      </x:c>
      <x:c r="R905" s="24"/>
      <x:c r="S905" s="24" t="n">
        <x:v>21</x:v>
      </x:c>
      <x:c r="T905" s="24" t="str">
        <x:v>tabela_rodenstock.pdf</x:v>
      </x:c>
      <x:c r="U905" s="24" t="str">
        <x:v>Rodenstock|Progressiva Freeform|Surfaçada|Progressiv Life 3D||1.6|1.60|Solitaire 2 Protect|-10 a +8|até -6||75/80|||21</x:v>
      </x:c>
    </x:row>
    <x:row r="906">
      <x:c r="A906" s="24" t="str">
        <x:v>RD-F522A7ABB47D</x:v>
      </x:c>
      <x:c r="B906" s="24" t="str">
        <x:v>Rodenstock</x:v>
      </x:c>
      <x:c r="C906" s="24" t="str">
        <x:v>Progressiva Freeform</x:v>
      </x:c>
      <x:c r="D906" s="24" t="str">
        <x:v>Surfaçada</x:v>
      </x:c>
      <x:c r="E906" s="24" t="str">
        <x:v>Progressiv Life 3D</x:v>
      </x:c>
      <x:c r="F906" s="24" t="str">
        <x:v>PRO410</x:v>
      </x:c>
      <x:c r="G906" s="24" t="str">
        <x:v>1.6</x:v>
      </x:c>
      <x:c r="H906" s="24" t="str">
        <x:v>1.60</x:v>
      </x:c>
      <x:c r="I906" s="24" t="str">
        <x:v>Solitaire X-tra Clean</x:v>
      </x:c>
      <x:c r="J906" s="40" t="n">
        <x:v>6305</x:v>
      </x:c>
      <x:c r="K906" s="24" t="str">
        <x:v>-10 a +8</x:v>
      </x:c>
      <x:c r="L906" s="24" t="str">
        <x:v>até -6</x:v>
      </x:c>
      <x:c r="M906" s="24"/>
      <x:c r="N906" s="24" t="str">
        <x:v>75/80</x:v>
      </x:c>
      <x:c r="O906" s="24"/>
      <x:c r="P906" s="24"/>
      <x:c r="Q906" s="24" t="str">
        <x:v>DISPONÍVEL</x:v>
      </x:c>
      <x:c r="R906" s="24"/>
      <x:c r="S906" s="24" t="n">
        <x:v>21</x:v>
      </x:c>
      <x:c r="T906" s="24" t="str">
        <x:v>tabela_rodenstock.pdf</x:v>
      </x:c>
      <x:c r="U906" s="24" t="str">
        <x:v>Rodenstock|Progressiva Freeform|Surfaçada|Progressiv Life 3D|PRO410|1.6|1.60|Solitaire X-tra Clean|-10 a +8|até -6||75/80|||21</x:v>
      </x:c>
    </x:row>
    <x:row r="907">
      <x:c r="A907" s="24" t="str">
        <x:v>RD-E42477721981</x:v>
      </x:c>
      <x:c r="B907" s="24" t="str">
        <x:v>Rodenstock</x:v>
      </x:c>
      <x:c r="C907" s="24" t="str">
        <x:v>Progressiva Freeform</x:v>
      </x:c>
      <x:c r="D907" s="24" t="str">
        <x:v>Surfaçada</x:v>
      </x:c>
      <x:c r="E907" s="24" t="str">
        <x:v>Progressiv Life 3D</x:v>
      </x:c>
      <x:c r="F907" s="24" t="str">
        <x:v>PRO410</x:v>
      </x:c>
      <x:c r="G907" s="24" t="str">
        <x:v>1.6</x:v>
      </x:c>
      <x:c r="H907" s="24" t="str">
        <x:v>1.60</x:v>
      </x:c>
      <x:c r="I907" s="24" t="str">
        <x:v>Solitaire 2 Protect Balance</x:v>
      </x:c>
      <x:c r="J907" s="40" t="n">
        <x:v>6255</x:v>
      </x:c>
      <x:c r="K907" s="24" t="str">
        <x:v>-10 a +8</x:v>
      </x:c>
      <x:c r="L907" s="24" t="str">
        <x:v>até -6</x:v>
      </x:c>
      <x:c r="M907" s="24"/>
      <x:c r="N907" s="24" t="str">
        <x:v>75/80</x:v>
      </x:c>
      <x:c r="O907" s="24"/>
      <x:c r="P907" s="24"/>
      <x:c r="Q907" s="24" t="str">
        <x:v>DISPONÍVEL</x:v>
      </x:c>
      <x:c r="R907" s="24"/>
      <x:c r="S907" s="24" t="n">
        <x:v>21</x:v>
      </x:c>
      <x:c r="T907" s="24" t="str">
        <x:v>tabela_rodenstock.pdf</x:v>
      </x:c>
      <x:c r="U907" s="24" t="str">
        <x:v>Rodenstock|Progressiva Freeform|Surfaçada|Progressiv Life 3D|PRO410|1.6|1.60|Solitaire 2 Protect Balance|-10 a +8|até -6||75/80|||21</x:v>
      </x:c>
    </x:row>
    <x:row r="908">
      <x:c r="A908" s="24" t="str">
        <x:v>RD-BA7BF4620482</x:v>
      </x:c>
      <x:c r="B908" s="24" t="str">
        <x:v>Rodenstock</x:v>
      </x:c>
      <x:c r="C908" s="24" t="str">
        <x:v>Progressiva Freeform</x:v>
      </x:c>
      <x:c r="D908" s="24" t="str">
        <x:v>Surfaçada</x:v>
      </x:c>
      <x:c r="E908" s="24" t="str">
        <x:v>Progressiv Life 3D</x:v>
      </x:c>
      <x:c r="F908" s="24" t="str">
        <x:v>PRO410</x:v>
      </x:c>
      <x:c r="G908" s="24" t="str">
        <x:v>1.6</x:v>
      </x:c>
      <x:c r="H908" s="24" t="str">
        <x:v>1.60</x:v>
      </x:c>
      <x:c r="I908" s="24" t="str">
        <x:v>Solitaire 2 Protect Plus</x:v>
      </x:c>
      <x:c r="J908" s="40" t="n">
        <x:v>6255</x:v>
      </x:c>
      <x:c r="K908" s="24" t="str">
        <x:v>-10 a +8</x:v>
      </x:c>
      <x:c r="L908" s="24" t="str">
        <x:v>até -6</x:v>
      </x:c>
      <x:c r="M908" s="24"/>
      <x:c r="N908" s="24" t="str">
        <x:v>75/80</x:v>
      </x:c>
      <x:c r="O908" s="24"/>
      <x:c r="P908" s="24"/>
      <x:c r="Q908" s="24" t="str">
        <x:v>DISPONÍVEL</x:v>
      </x:c>
      <x:c r="R908" s="24"/>
      <x:c r="S908" s="24" t="n">
        <x:v>21</x:v>
      </x:c>
      <x:c r="T908" s="24" t="str">
        <x:v>tabela_rodenstock.pdf</x:v>
      </x:c>
      <x:c r="U908" s="24" t="str">
        <x:v>Rodenstock|Progressiva Freeform|Surfaçada|Progressiv Life 3D|PRO410|1.6|1.60|Solitaire 2 Protect Plus|-10 a +8|até -6||75/80|||21</x:v>
      </x:c>
    </x:row>
    <x:row r="909">
      <x:c r="A909" s="24" t="str">
        <x:v>RD-849A6692BA61</x:v>
      </x:c>
      <x:c r="B909" s="24" t="str">
        <x:v>Rodenstock</x:v>
      </x:c>
      <x:c r="C909" s="24" t="str">
        <x:v>Progressiva Freeform</x:v>
      </x:c>
      <x:c r="D909" s="24" t="str">
        <x:v>Surfaçada</x:v>
      </x:c>
      <x:c r="E909" s="24" t="str">
        <x:v>Progressiv Life 3D</x:v>
      </x:c>
      <x:c r="F909" s="24" t="str">
        <x:v>PRO410</x:v>
      </x:c>
      <x:c r="G909" s="24" t="str">
        <x:v>1.6</x:v>
      </x:c>
      <x:c r="H909" s="24" t="str">
        <x:v>1.60</x:v>
      </x:c>
      <x:c r="I909" s="24" t="str">
        <x:v>ROAD</x:v>
      </x:c>
      <x:c r="J909" s="40" t="n">
        <x:v>6255</x:v>
      </x:c>
      <x:c r="K909" s="24" t="str">
        <x:v>-10 a +8</x:v>
      </x:c>
      <x:c r="L909" s="24" t="str">
        <x:v>até -6</x:v>
      </x:c>
      <x:c r="M909" s="24"/>
      <x:c r="N909" s="24" t="str">
        <x:v>75/80</x:v>
      </x:c>
      <x:c r="O909" s="24"/>
      <x:c r="P909" s="24"/>
      <x:c r="Q909" s="24" t="str">
        <x:v>DISPONÍVEL</x:v>
      </x:c>
      <x:c r="R909" s="24"/>
      <x:c r="S909" s="24" t="n">
        <x:v>21</x:v>
      </x:c>
      <x:c r="T909" s="24" t="str">
        <x:v>tabela_rodenstock.pdf</x:v>
      </x:c>
      <x:c r="U909" s="24" t="str">
        <x:v>Rodenstock|Progressiva Freeform|Surfaçada|Progressiv Life 3D|PRO410|1.6|1.60|ROAD|-10 a +8|até -6||75/80|||21</x:v>
      </x:c>
    </x:row>
    <x:row r="910">
      <x:c r="A910" s="24" t="str">
        <x:v>RD-154960B5D004</x:v>
      </x:c>
      <x:c r="B910" s="24" t="str">
        <x:v>Rodenstock</x:v>
      </x:c>
      <x:c r="C910" s="24" t="str">
        <x:v>Progressiva Freeform</x:v>
      </x:c>
      <x:c r="D910" s="24" t="str">
        <x:v>Surfaçada</x:v>
      </x:c>
      <x:c r="E910" s="24" t="str">
        <x:v>Progressiv Life 3D</x:v>
      </x:c>
      <x:c r="F910" s="24" t="str">
        <x:v>PRO410</x:v>
      </x:c>
      <x:c r="G910" s="24" t="str">
        <x:v>1.6</x:v>
      </x:c>
      <x:c r="H910" s="24" t="str">
        <x:v>1.60</x:v>
      </x:c>
      <x:c r="I910" s="24" t="str">
        <x:v>Solitaire 2 Protect</x:v>
      </x:c>
      <x:c r="J910" s="40" t="n">
        <x:v>5995</x:v>
      </x:c>
      <x:c r="K910" s="24" t="str">
        <x:v>-10 a +8</x:v>
      </x:c>
      <x:c r="L910" s="24" t="str">
        <x:v>até -6</x:v>
      </x:c>
      <x:c r="M910" s="24"/>
      <x:c r="N910" s="24" t="str">
        <x:v>75/80</x:v>
      </x:c>
      <x:c r="O910" s="24"/>
      <x:c r="P910" s="24"/>
      <x:c r="Q910" s="24" t="str">
        <x:v>DISPONÍVEL</x:v>
      </x:c>
      <x:c r="R910" s="24"/>
      <x:c r="S910" s="24" t="n">
        <x:v>21</x:v>
      </x:c>
      <x:c r="T910" s="24" t="str">
        <x:v>tabela_rodenstock.pdf</x:v>
      </x:c>
      <x:c r="U910" s="24" t="str">
        <x:v>Rodenstock|Progressiva Freeform|Surfaçada|Progressiv Life 3D|PRO410|1.6|1.60|Solitaire 2 Protect|-10 a +8|até -6||75/80|||21</x:v>
      </x:c>
    </x:row>
    <x:row r="911">
      <x:c r="A911" s="24" t="str">
        <x:v>RD-447D40409C6B</x:v>
      </x:c>
      <x:c r="B911" s="24" t="str">
        <x:v>Rodenstock</x:v>
      </x:c>
      <x:c r="C911" s="24" t="str">
        <x:v>Progressiva Freeform</x:v>
      </x:c>
      <x:c r="D911" s="24" t="str">
        <x:v>Surfaçada</x:v>
      </x:c>
      <x:c r="E911" s="24" t="str">
        <x:v>Progressiv Life 3D</x:v>
      </x:c>
      <x:c r="F911" s="24" t="str">
        <x:v>ColorMatic® 3</x:v>
      </x:c>
      <x:c r="G911" s="24" t="str">
        <x:v>1.6</x:v>
      </x:c>
      <x:c r="H911" s="24" t="str">
        <x:v>1.60</x:v>
      </x:c>
      <x:c r="I911" s="24" t="str">
        <x:v>Solitaire X-tra Clean</x:v>
      </x:c>
      <x:c r="J911" s="40" t="n">
        <x:v>7595</x:v>
      </x:c>
      <x:c r="K911" s="24" t="str">
        <x:v>-10 a +8</x:v>
      </x:c>
      <x:c r="L911" s="24" t="str">
        <x:v>até -6</x:v>
      </x:c>
      <x:c r="M911" s="24"/>
      <x:c r="N911" s="24" t="str">
        <x:v>75/80</x:v>
      </x:c>
      <x:c r="O911" s="24"/>
      <x:c r="P911" s="24"/>
      <x:c r="Q911" s="24" t="str">
        <x:v>DISPONÍVEL</x:v>
      </x:c>
      <x:c r="R911" s="24"/>
      <x:c r="S911" s="24" t="n">
        <x:v>21</x:v>
      </x:c>
      <x:c r="T911" s="24" t="str">
        <x:v>tabela_rodenstock.pdf</x:v>
      </x:c>
      <x:c r="U911" s="24" t="str">
        <x:v>Rodenstock|Progressiva Freeform|Surfaçada|Progressiv Life 3D|ColorMatic® 3|1.6|1.60|Solitaire X-tra Clean|-10 a +8|até -6||75/80|||21</x:v>
      </x:c>
    </x:row>
    <x:row r="912">
      <x:c r="A912" s="24" t="str">
        <x:v>RD-2306DE925BAB</x:v>
      </x:c>
      <x:c r="B912" s="24" t="str">
        <x:v>Rodenstock</x:v>
      </x:c>
      <x:c r="C912" s="24" t="str">
        <x:v>Progressiva Freeform</x:v>
      </x:c>
      <x:c r="D912" s="24" t="str">
        <x:v>Surfaçada</x:v>
      </x:c>
      <x:c r="E912" s="24" t="str">
        <x:v>Progressiv Life 3D</x:v>
      </x:c>
      <x:c r="F912" s="24" t="str">
        <x:v>ColorMatic® 3</x:v>
      </x:c>
      <x:c r="G912" s="24" t="str">
        <x:v>1.6</x:v>
      </x:c>
      <x:c r="H912" s="24" t="str">
        <x:v>1.60</x:v>
      </x:c>
      <x:c r="I912" s="24" t="str">
        <x:v>Solitaire 2 Protect Balance</x:v>
      </x:c>
      <x:c r="J912" s="40" t="n">
        <x:v>7545</x:v>
      </x:c>
      <x:c r="K912" s="24" t="str">
        <x:v>-10 a +8</x:v>
      </x:c>
      <x:c r="L912" s="24" t="str">
        <x:v>até -6</x:v>
      </x:c>
      <x:c r="M912" s="24"/>
      <x:c r="N912" s="24" t="str">
        <x:v>75/80</x:v>
      </x:c>
      <x:c r="O912" s="24"/>
      <x:c r="P912" s="24"/>
      <x:c r="Q912" s="24" t="str">
        <x:v>DISPONÍVEL</x:v>
      </x:c>
      <x:c r="R912" s="24"/>
      <x:c r="S912" s="24" t="n">
        <x:v>21</x:v>
      </x:c>
      <x:c r="T912" s="24" t="str">
        <x:v>tabela_rodenstock.pdf</x:v>
      </x:c>
      <x:c r="U912" s="24" t="str">
        <x:v>Rodenstock|Progressiva Freeform|Surfaçada|Progressiv Life 3D|ColorMatic® 3|1.6|1.60|Solitaire 2 Protect Balance|-10 a +8|até -6||75/80|||21</x:v>
      </x:c>
    </x:row>
    <x:row r="913">
      <x:c r="A913" s="24" t="str">
        <x:v>RD-4FE3CC6C6BCB</x:v>
      </x:c>
      <x:c r="B913" s="24" t="str">
        <x:v>Rodenstock</x:v>
      </x:c>
      <x:c r="C913" s="24" t="str">
        <x:v>Progressiva Freeform</x:v>
      </x:c>
      <x:c r="D913" s="24" t="str">
        <x:v>Surfaçada</x:v>
      </x:c>
      <x:c r="E913" s="24" t="str">
        <x:v>Progressiv Life 3D</x:v>
      </x:c>
      <x:c r="F913" s="24" t="str">
        <x:v>ColorMatic® 3</x:v>
      </x:c>
      <x:c r="G913" s="24" t="str">
        <x:v>1.6</x:v>
      </x:c>
      <x:c r="H913" s="24" t="str">
        <x:v>1.60</x:v>
      </x:c>
      <x:c r="I913" s="24" t="str">
        <x:v>Solitaire 2 Protect Plus</x:v>
      </x:c>
      <x:c r="J913" s="40" t="n">
        <x:v>7545</x:v>
      </x:c>
      <x:c r="K913" s="24" t="str">
        <x:v>-10 a +8</x:v>
      </x:c>
      <x:c r="L913" s="24" t="str">
        <x:v>até -6</x:v>
      </x:c>
      <x:c r="M913" s="24"/>
      <x:c r="N913" s="24" t="str">
        <x:v>75/80</x:v>
      </x:c>
      <x:c r="O913" s="24"/>
      <x:c r="P913" s="24"/>
      <x:c r="Q913" s="24" t="str">
        <x:v>DISPONÍVEL</x:v>
      </x:c>
      <x:c r="R913" s="24"/>
      <x:c r="S913" s="24" t="n">
        <x:v>21</x:v>
      </x:c>
      <x:c r="T913" s="24" t="str">
        <x:v>tabela_rodenstock.pdf</x:v>
      </x:c>
      <x:c r="U913" s="24" t="str">
        <x:v>Rodenstock|Progressiva Freeform|Surfaçada|Progressiv Life 3D|ColorMatic® 3|1.6|1.60|Solitaire 2 Protect Plus|-10 a +8|até -6||75/80|||21</x:v>
      </x:c>
    </x:row>
    <x:row r="914">
      <x:c r="A914" s="24" t="str">
        <x:v>RD-218C566D8EA6</x:v>
      </x:c>
      <x:c r="B914" s="24" t="str">
        <x:v>Rodenstock</x:v>
      </x:c>
      <x:c r="C914" s="24" t="str">
        <x:v>Progressiva Freeform</x:v>
      </x:c>
      <x:c r="D914" s="24" t="str">
        <x:v>Surfaçada</x:v>
      </x:c>
      <x:c r="E914" s="24" t="str">
        <x:v>Progressiv Life 3D</x:v>
      </x:c>
      <x:c r="F914" s="24" t="str">
        <x:v>ColorMatic® 3</x:v>
      </x:c>
      <x:c r="G914" s="24" t="str">
        <x:v>1.6</x:v>
      </x:c>
      <x:c r="H914" s="24" t="str">
        <x:v>1.60</x:v>
      </x:c>
      <x:c r="I914" s="24" t="str">
        <x:v>ROAD</x:v>
      </x:c>
      <x:c r="J914" s="40" t="n">
        <x:v>7545</x:v>
      </x:c>
      <x:c r="K914" s="24" t="str">
        <x:v>-10 a +8</x:v>
      </x:c>
      <x:c r="L914" s="24" t="str">
        <x:v>até -6</x:v>
      </x:c>
      <x:c r="M914" s="24"/>
      <x:c r="N914" s="24" t="str">
        <x:v>75/80</x:v>
      </x:c>
      <x:c r="O914" s="24"/>
      <x:c r="P914" s="24"/>
      <x:c r="Q914" s="24" t="str">
        <x:v>DISPONÍVEL</x:v>
      </x:c>
      <x:c r="R914" s="24"/>
      <x:c r="S914" s="24" t="n">
        <x:v>21</x:v>
      </x:c>
      <x:c r="T914" s="24" t="str">
        <x:v>tabela_rodenstock.pdf</x:v>
      </x:c>
      <x:c r="U914" s="24" t="str">
        <x:v>Rodenstock|Progressiva Freeform|Surfaçada|Progressiv Life 3D|ColorMatic® 3|1.6|1.60|ROAD|-10 a +8|até -6||75/80|||21</x:v>
      </x:c>
    </x:row>
    <x:row r="915">
      <x:c r="A915" s="24" t="str">
        <x:v>RD-229D4C84B429</x:v>
      </x:c>
      <x:c r="B915" s="24" t="str">
        <x:v>Rodenstock</x:v>
      </x:c>
      <x:c r="C915" s="24" t="str">
        <x:v>Progressiva Freeform</x:v>
      </x:c>
      <x:c r="D915" s="24" t="str">
        <x:v>Surfaçada</x:v>
      </x:c>
      <x:c r="E915" s="24" t="str">
        <x:v>Progressiv Life 3D</x:v>
      </x:c>
      <x:c r="F915" s="24" t="str">
        <x:v>ColorMatic® 3</x:v>
      </x:c>
      <x:c r="G915" s="24" t="str">
        <x:v>1.6</x:v>
      </x:c>
      <x:c r="H915" s="24" t="str">
        <x:v>1.60</x:v>
      </x:c>
      <x:c r="I915" s="24" t="str">
        <x:v>Solitaire 2 Protect</x:v>
      </x:c>
      <x:c r="J915" s="40" t="n">
        <x:v>7285</x:v>
      </x:c>
      <x:c r="K915" s="24" t="str">
        <x:v>-10 a +8</x:v>
      </x:c>
      <x:c r="L915" s="24" t="str">
        <x:v>até -6</x:v>
      </x:c>
      <x:c r="M915" s="24"/>
      <x:c r="N915" s="24" t="str">
        <x:v>75/80</x:v>
      </x:c>
      <x:c r="O915" s="24"/>
      <x:c r="P915" s="24"/>
      <x:c r="Q915" s="24" t="str">
        <x:v>DISPONÍVEL</x:v>
      </x:c>
      <x:c r="R915" s="24"/>
      <x:c r="S915" s="24" t="n">
        <x:v>21</x:v>
      </x:c>
      <x:c r="T915" s="24" t="str">
        <x:v>tabela_rodenstock.pdf</x:v>
      </x:c>
      <x:c r="U915" s="24" t="str">
        <x:v>Rodenstock|Progressiva Freeform|Surfaçada|Progressiv Life 3D|ColorMatic® 3|1.6|1.60|Solitaire 2 Protect|-10 a +8|até -6||75/80|||21</x:v>
      </x:c>
    </x:row>
    <x:row r="916">
      <x:c r="A916" s="24" t="str">
        <x:v>RD-10A849429925</x:v>
      </x:c>
      <x:c r="B916" s="24" t="str">
        <x:v>Rodenstock</x:v>
      </x:c>
      <x:c r="C916" s="24" t="str">
        <x:v>Progressiva Freeform</x:v>
      </x:c>
      <x:c r="D916" s="24" t="str">
        <x:v>Surfaçada</x:v>
      </x:c>
      <x:c r="E916" s="24" t="str">
        <x:v>Progressiv Life 3D</x:v>
      </x:c>
      <x:c r="F916" s="24"/>
      <x:c r="G916" s="24" t="str">
        <x:v>1.67</x:v>
      </x:c>
      <x:c r="H916" s="24" t="str">
        <x:v>1.67</x:v>
      </x:c>
      <x:c r="I916" s="24" t="str">
        <x:v>Solitaire X-tra Clean</x:v>
      </x:c>
      <x:c r="J916" s="40" t="n">
        <x:v>7951</x:v>
      </x:c>
      <x:c r="K916" s="24" t="str">
        <x:v>-10 a +8</x:v>
      </x:c>
      <x:c r="L916" s="24" t="str">
        <x:v>até -6</x:v>
      </x:c>
      <x:c r="M916" s="24"/>
      <x:c r="N916" s="24" t="str">
        <x:v>75/80</x:v>
      </x:c>
      <x:c r="O916" s="24"/>
      <x:c r="P916" s="24"/>
      <x:c r="Q916" s="24" t="str">
        <x:v>DISPONÍVEL</x:v>
      </x:c>
      <x:c r="R916" s="24"/>
      <x:c r="S916" s="24" t="n">
        <x:v>21</x:v>
      </x:c>
      <x:c r="T916" s="24" t="str">
        <x:v>tabela_rodenstock.pdf</x:v>
      </x:c>
      <x:c r="U916" s="24" t="str">
        <x:v>Rodenstock|Progressiva Freeform|Surfaçada|Progressiv Life 3D||1.67|1.67|Solitaire X-tra Clean|-10 a +8|até -6||75/80|||21</x:v>
      </x:c>
    </x:row>
    <x:row r="917">
      <x:c r="A917" s="24" t="str">
        <x:v>RD-CAE95FC01732</x:v>
      </x:c>
      <x:c r="B917" s="24" t="str">
        <x:v>Rodenstock</x:v>
      </x:c>
      <x:c r="C917" s="24" t="str">
        <x:v>Progressiva Freeform</x:v>
      </x:c>
      <x:c r="D917" s="24" t="str">
        <x:v>Surfaçada</x:v>
      </x:c>
      <x:c r="E917" s="24" t="str">
        <x:v>Progressiv Life 3D</x:v>
      </x:c>
      <x:c r="F917" s="24"/>
      <x:c r="G917" s="24" t="str">
        <x:v>1.67</x:v>
      </x:c>
      <x:c r="H917" s="24" t="str">
        <x:v>1.67</x:v>
      </x:c>
      <x:c r="I917" s="24" t="str">
        <x:v>Solitaire 2 Protect Balance</x:v>
      </x:c>
      <x:c r="J917" s="40" t="n">
        <x:v>7901</x:v>
      </x:c>
      <x:c r="K917" s="24" t="str">
        <x:v>-10 a +8</x:v>
      </x:c>
      <x:c r="L917" s="24" t="str">
        <x:v>até -6</x:v>
      </x:c>
      <x:c r="M917" s="24"/>
      <x:c r="N917" s="24" t="str">
        <x:v>75/80</x:v>
      </x:c>
      <x:c r="O917" s="24"/>
      <x:c r="P917" s="24"/>
      <x:c r="Q917" s="24" t="str">
        <x:v>DISPONÍVEL</x:v>
      </x:c>
      <x:c r="R917" s="24"/>
      <x:c r="S917" s="24" t="n">
        <x:v>21</x:v>
      </x:c>
      <x:c r="T917" s="24" t="str">
        <x:v>tabela_rodenstock.pdf</x:v>
      </x:c>
      <x:c r="U917" s="24" t="str">
        <x:v>Rodenstock|Progressiva Freeform|Surfaçada|Progressiv Life 3D||1.67|1.67|Solitaire 2 Protect Balance|-10 a +8|até -6||75/80|||21</x:v>
      </x:c>
    </x:row>
    <x:row r="918">
      <x:c r="A918" s="24" t="str">
        <x:v>RD-E73984C30A70</x:v>
      </x:c>
      <x:c r="B918" s="24" t="str">
        <x:v>Rodenstock</x:v>
      </x:c>
      <x:c r="C918" s="24" t="str">
        <x:v>Progressiva Freeform</x:v>
      </x:c>
      <x:c r="D918" s="24" t="str">
        <x:v>Surfaçada</x:v>
      </x:c>
      <x:c r="E918" s="24" t="str">
        <x:v>Progressiv Life 3D</x:v>
      </x:c>
      <x:c r="F918" s="24"/>
      <x:c r="G918" s="24" t="str">
        <x:v>1.67</x:v>
      </x:c>
      <x:c r="H918" s="24" t="str">
        <x:v>1.67</x:v>
      </x:c>
      <x:c r="I918" s="24" t="str">
        <x:v>Solitaire 2 Protect Plus</x:v>
      </x:c>
      <x:c r="J918" s="40" t="n">
        <x:v>7901</x:v>
      </x:c>
      <x:c r="K918" s="24" t="str">
        <x:v>-10 a +8</x:v>
      </x:c>
      <x:c r="L918" s="24" t="str">
        <x:v>até -6</x:v>
      </x:c>
      <x:c r="M918" s="24"/>
      <x:c r="N918" s="24" t="str">
        <x:v>75/80</x:v>
      </x:c>
      <x:c r="O918" s="24"/>
      <x:c r="P918" s="24"/>
      <x:c r="Q918" s="24" t="str">
        <x:v>DISPONÍVEL</x:v>
      </x:c>
      <x:c r="R918" s="24"/>
      <x:c r="S918" s="24" t="n">
        <x:v>21</x:v>
      </x:c>
      <x:c r="T918" s="24" t="str">
        <x:v>tabela_rodenstock.pdf</x:v>
      </x:c>
      <x:c r="U918" s="24" t="str">
        <x:v>Rodenstock|Progressiva Freeform|Surfaçada|Progressiv Life 3D||1.67|1.67|Solitaire 2 Protect Plus|-10 a +8|até -6||75/80|||21</x:v>
      </x:c>
    </x:row>
    <x:row r="919">
      <x:c r="A919" s="24" t="str">
        <x:v>RD-570243B50F04</x:v>
      </x:c>
      <x:c r="B919" s="24" t="str">
        <x:v>Rodenstock</x:v>
      </x:c>
      <x:c r="C919" s="24" t="str">
        <x:v>Progressiva Freeform</x:v>
      </x:c>
      <x:c r="D919" s="24" t="str">
        <x:v>Surfaçada</x:v>
      </x:c>
      <x:c r="E919" s="24" t="str">
        <x:v>Progressiv Life 3D</x:v>
      </x:c>
      <x:c r="F919" s="24"/>
      <x:c r="G919" s="24" t="str">
        <x:v>1.67</x:v>
      </x:c>
      <x:c r="H919" s="24" t="str">
        <x:v>1.67</x:v>
      </x:c>
      <x:c r="I919" s="24" t="str">
        <x:v>ROAD</x:v>
      </x:c>
      <x:c r="J919" s="40" t="n">
        <x:v>7901</x:v>
      </x:c>
      <x:c r="K919" s="24" t="str">
        <x:v>-10 a +8</x:v>
      </x:c>
      <x:c r="L919" s="24" t="str">
        <x:v>até -6</x:v>
      </x:c>
      <x:c r="M919" s="24"/>
      <x:c r="N919" s="24" t="str">
        <x:v>75/80</x:v>
      </x:c>
      <x:c r="O919" s="24"/>
      <x:c r="P919" s="24"/>
      <x:c r="Q919" s="24" t="str">
        <x:v>DISPONÍVEL</x:v>
      </x:c>
      <x:c r="R919" s="24"/>
      <x:c r="S919" s="24" t="n">
        <x:v>21</x:v>
      </x:c>
      <x:c r="T919" s="24" t="str">
        <x:v>tabela_rodenstock.pdf</x:v>
      </x:c>
      <x:c r="U919" s="24" t="str">
        <x:v>Rodenstock|Progressiva Freeform|Surfaçada|Progressiv Life 3D||1.67|1.67|ROAD|-10 a +8|até -6||75/80|||21</x:v>
      </x:c>
    </x:row>
    <x:row r="920">
      <x:c r="A920" s="24" t="str">
        <x:v>RD-D4C8241E41C1</x:v>
      </x:c>
      <x:c r="B920" s="24" t="str">
        <x:v>Rodenstock</x:v>
      </x:c>
      <x:c r="C920" s="24" t="str">
        <x:v>Progressiva Freeform</x:v>
      </x:c>
      <x:c r="D920" s="24" t="str">
        <x:v>Surfaçada</x:v>
      </x:c>
      <x:c r="E920" s="24" t="str">
        <x:v>Progressiv Life 3D</x:v>
      </x:c>
      <x:c r="F920" s="24"/>
      <x:c r="G920" s="24" t="str">
        <x:v>1.67</x:v>
      </x:c>
      <x:c r="H920" s="24" t="str">
        <x:v>1.67</x:v>
      </x:c>
      <x:c r="I920" s="24" t="str">
        <x:v>Solitaire 2 Protect</x:v>
      </x:c>
      <x:c r="J920" s="40" t="n">
        <x:v>7641</x:v>
      </x:c>
      <x:c r="K920" s="24" t="str">
        <x:v>-10 a +8</x:v>
      </x:c>
      <x:c r="L920" s="24" t="str">
        <x:v>até -6</x:v>
      </x:c>
      <x:c r="M920" s="24"/>
      <x:c r="N920" s="24" t="str">
        <x:v>75/80</x:v>
      </x:c>
      <x:c r="O920" s="24"/>
      <x:c r="P920" s="24"/>
      <x:c r="Q920" s="24" t="str">
        <x:v>DISPONÍVEL</x:v>
      </x:c>
      <x:c r="R920" s="24"/>
      <x:c r="S920" s="24" t="n">
        <x:v>21</x:v>
      </x:c>
      <x:c r="T920" s="24" t="str">
        <x:v>tabela_rodenstock.pdf</x:v>
      </x:c>
      <x:c r="U920" s="24" t="str">
        <x:v>Rodenstock|Progressiva Freeform|Surfaçada|Progressiv Life 3D||1.67|1.67|Solitaire 2 Protect|-10 a +8|até -6||75/80|||21</x:v>
      </x:c>
    </x:row>
    <x:row r="921">
      <x:c r="A921" s="24" t="str">
        <x:v>RD-65C859A79EF0</x:v>
      </x:c>
      <x:c r="B921" s="24" t="str">
        <x:v>Rodenstock</x:v>
      </x:c>
      <x:c r="C921" s="24" t="str">
        <x:v>Progressiva Freeform</x:v>
      </x:c>
      <x:c r="D921" s="24" t="str">
        <x:v>Surfaçada</x:v>
      </x:c>
      <x:c r="E921" s="24" t="str">
        <x:v>Progressiv Life 3D</x:v>
      </x:c>
      <x:c r="F921" s="24" t="str">
        <x:v>ColorMatic® 3</x:v>
      </x:c>
      <x:c r="G921" s="24" t="str">
        <x:v>1.67</x:v>
      </x:c>
      <x:c r="H921" s="24" t="str">
        <x:v>1.67</x:v>
      </x:c>
      <x:c r="I921" s="24" t="str">
        <x:v>Solitaire X-tra Clean</x:v>
      </x:c>
      <x:c r="J921" s="40" t="n">
        <x:v>9212</x:v>
      </x:c>
      <x:c r="K921" s="24" t="str">
        <x:v>-10 a +8</x:v>
      </x:c>
      <x:c r="L921" s="24" t="str">
        <x:v>até -6</x:v>
      </x:c>
      <x:c r="M921" s="24"/>
      <x:c r="N921" s="24" t="str">
        <x:v>75/80</x:v>
      </x:c>
      <x:c r="O921" s="24"/>
      <x:c r="P921" s="24"/>
      <x:c r="Q921" s="24" t="str">
        <x:v>DISPONÍVEL</x:v>
      </x:c>
      <x:c r="R921" s="24"/>
      <x:c r="S921" s="24" t="n">
        <x:v>21</x:v>
      </x:c>
      <x:c r="T921" s="24" t="str">
        <x:v>tabela_rodenstock.pdf</x:v>
      </x:c>
      <x:c r="U921" s="24" t="str">
        <x:v>Rodenstock|Progressiva Freeform|Surfaçada|Progressiv Life 3D|ColorMatic® 3|1.67|1.67|Solitaire X-tra Clean|-10 a +8|até -6||75/80|||21</x:v>
      </x:c>
    </x:row>
    <x:row r="922">
      <x:c r="A922" s="24" t="str">
        <x:v>RD-1336E38EDEAB</x:v>
      </x:c>
      <x:c r="B922" s="24" t="str">
        <x:v>Rodenstock</x:v>
      </x:c>
      <x:c r="C922" s="24" t="str">
        <x:v>Progressiva Freeform</x:v>
      </x:c>
      <x:c r="D922" s="24" t="str">
        <x:v>Surfaçada</x:v>
      </x:c>
      <x:c r="E922" s="24" t="str">
        <x:v>Progressiv Life 3D</x:v>
      </x:c>
      <x:c r="F922" s="24" t="str">
        <x:v>ColorMatic® 3</x:v>
      </x:c>
      <x:c r="G922" s="24" t="str">
        <x:v>1.67</x:v>
      </x:c>
      <x:c r="H922" s="24" t="str">
        <x:v>1.67</x:v>
      </x:c>
      <x:c r="I922" s="24" t="str">
        <x:v>Solitaire 2 Protect Balance</x:v>
      </x:c>
      <x:c r="J922" s="40" t="n">
        <x:v>9162</x:v>
      </x:c>
      <x:c r="K922" s="24" t="str">
        <x:v>-10 a +8</x:v>
      </x:c>
      <x:c r="L922" s="24" t="str">
        <x:v>até -6</x:v>
      </x:c>
      <x:c r="M922" s="24"/>
      <x:c r="N922" s="24" t="str">
        <x:v>75/80</x:v>
      </x:c>
      <x:c r="O922" s="24"/>
      <x:c r="P922" s="24"/>
      <x:c r="Q922" s="24" t="str">
        <x:v>DISPONÍVEL</x:v>
      </x:c>
      <x:c r="R922" s="24"/>
      <x:c r="S922" s="24" t="n">
        <x:v>21</x:v>
      </x:c>
      <x:c r="T922" s="24" t="str">
        <x:v>tabela_rodenstock.pdf</x:v>
      </x:c>
      <x:c r="U922" s="24" t="str">
        <x:v>Rodenstock|Progressiva Freeform|Surfaçada|Progressiv Life 3D|ColorMatic® 3|1.67|1.67|Solitaire 2 Protect Balance|-10 a +8|até -6||75/80|||21</x:v>
      </x:c>
    </x:row>
    <x:row r="923">
      <x:c r="A923" s="24" t="str">
        <x:v>RD-A5CC9BFB2472</x:v>
      </x:c>
      <x:c r="B923" s="24" t="str">
        <x:v>Rodenstock</x:v>
      </x:c>
      <x:c r="C923" s="24" t="str">
        <x:v>Progressiva Freeform</x:v>
      </x:c>
      <x:c r="D923" s="24" t="str">
        <x:v>Surfaçada</x:v>
      </x:c>
      <x:c r="E923" s="24" t="str">
        <x:v>Progressiv Life 3D</x:v>
      </x:c>
      <x:c r="F923" s="24" t="str">
        <x:v>ColorMatic® 3</x:v>
      </x:c>
      <x:c r="G923" s="24" t="str">
        <x:v>1.67</x:v>
      </x:c>
      <x:c r="H923" s="24" t="str">
        <x:v>1.67</x:v>
      </x:c>
      <x:c r="I923" s="24" t="str">
        <x:v>Solitaire 2 Protect Plus</x:v>
      </x:c>
      <x:c r="J923" s="40" t="n">
        <x:v>9162</x:v>
      </x:c>
      <x:c r="K923" s="24" t="str">
        <x:v>-10 a +8</x:v>
      </x:c>
      <x:c r="L923" s="24" t="str">
        <x:v>até -6</x:v>
      </x:c>
      <x:c r="M923" s="24"/>
      <x:c r="N923" s="24" t="str">
        <x:v>75/80</x:v>
      </x:c>
      <x:c r="O923" s="24"/>
      <x:c r="P923" s="24"/>
      <x:c r="Q923" s="24" t="str">
        <x:v>DISPONÍVEL</x:v>
      </x:c>
      <x:c r="R923" s="24"/>
      <x:c r="S923" s="24" t="n">
        <x:v>21</x:v>
      </x:c>
      <x:c r="T923" s="24" t="str">
        <x:v>tabela_rodenstock.pdf</x:v>
      </x:c>
      <x:c r="U923" s="24" t="str">
        <x:v>Rodenstock|Progressiva Freeform|Surfaçada|Progressiv Life 3D|ColorMatic® 3|1.67|1.67|Solitaire 2 Protect Plus|-10 a +8|até -6||75/80|||21</x:v>
      </x:c>
    </x:row>
    <x:row r="924">
      <x:c r="A924" s="24" t="str">
        <x:v>RD-66377507AC47</x:v>
      </x:c>
      <x:c r="B924" s="24" t="str">
        <x:v>Rodenstock</x:v>
      </x:c>
      <x:c r="C924" s="24" t="str">
        <x:v>Progressiva Freeform</x:v>
      </x:c>
      <x:c r="D924" s="24" t="str">
        <x:v>Surfaçada</x:v>
      </x:c>
      <x:c r="E924" s="24" t="str">
        <x:v>Progressiv Life 3D</x:v>
      </x:c>
      <x:c r="F924" s="24" t="str">
        <x:v>ColorMatic® 3</x:v>
      </x:c>
      <x:c r="G924" s="24" t="str">
        <x:v>1.67</x:v>
      </x:c>
      <x:c r="H924" s="24" t="str">
        <x:v>1.67</x:v>
      </x:c>
      <x:c r="I924" s="24" t="str">
        <x:v>ROAD</x:v>
      </x:c>
      <x:c r="J924" s="40" t="n">
        <x:v>9162</x:v>
      </x:c>
      <x:c r="K924" s="24" t="str">
        <x:v>-10 a +8</x:v>
      </x:c>
      <x:c r="L924" s="24" t="str">
        <x:v>até -6</x:v>
      </x:c>
      <x:c r="M924" s="24"/>
      <x:c r="N924" s="24" t="str">
        <x:v>75/80</x:v>
      </x:c>
      <x:c r="O924" s="24"/>
      <x:c r="P924" s="24"/>
      <x:c r="Q924" s="24" t="str">
        <x:v>DISPONÍVEL</x:v>
      </x:c>
      <x:c r="R924" s="24"/>
      <x:c r="S924" s="24" t="n">
        <x:v>21</x:v>
      </x:c>
      <x:c r="T924" s="24" t="str">
        <x:v>tabela_rodenstock.pdf</x:v>
      </x:c>
      <x:c r="U924" s="24" t="str">
        <x:v>Rodenstock|Progressiva Freeform|Surfaçada|Progressiv Life 3D|ColorMatic® 3|1.67|1.67|ROAD|-10 a +8|até -6||75/80|||21</x:v>
      </x:c>
    </x:row>
    <x:row r="925">
      <x:c r="A925" s="24" t="str">
        <x:v>RD-8395C74D04F7</x:v>
      </x:c>
      <x:c r="B925" s="24" t="str">
        <x:v>Rodenstock</x:v>
      </x:c>
      <x:c r="C925" s="24" t="str">
        <x:v>Progressiva Freeform</x:v>
      </x:c>
      <x:c r="D925" s="24" t="str">
        <x:v>Surfaçada</x:v>
      </x:c>
      <x:c r="E925" s="24" t="str">
        <x:v>Progressiv Life 3D</x:v>
      </x:c>
      <x:c r="F925" s="24" t="str">
        <x:v>ColorMatic® 3</x:v>
      </x:c>
      <x:c r="G925" s="24" t="str">
        <x:v>1.67</x:v>
      </x:c>
      <x:c r="H925" s="24" t="str">
        <x:v>1.67</x:v>
      </x:c>
      <x:c r="I925" s="24" t="str">
        <x:v>Solitaire 2 Protect</x:v>
      </x:c>
      <x:c r="J925" s="40" t="n">
        <x:v>8902</x:v>
      </x:c>
      <x:c r="K925" s="24" t="str">
        <x:v>-10 a +8</x:v>
      </x:c>
      <x:c r="L925" s="24" t="str">
        <x:v>até -6</x:v>
      </x:c>
      <x:c r="M925" s="24"/>
      <x:c r="N925" s="24" t="str">
        <x:v>75/80</x:v>
      </x:c>
      <x:c r="O925" s="24"/>
      <x:c r="P925" s="24"/>
      <x:c r="Q925" s="24" t="str">
        <x:v>DISPONÍVEL</x:v>
      </x:c>
      <x:c r="R925" s="24"/>
      <x:c r="S925" s="24" t="n">
        <x:v>21</x:v>
      </x:c>
      <x:c r="T925" s="24" t="str">
        <x:v>tabela_rodenstock.pdf</x:v>
      </x:c>
      <x:c r="U925" s="24" t="str">
        <x:v>Rodenstock|Progressiva Freeform|Surfaçada|Progressiv Life 3D|ColorMatic® 3|1.67|1.67|Solitaire 2 Protect|-10 a +8|até -6||75/80|||21</x:v>
      </x:c>
    </x:row>
    <x:row r="926">
      <x:c r="A926" s="24" t="str">
        <x:v>RD-1677D5F7CEB0</x:v>
      </x:c>
      <x:c r="B926" s="24" t="str">
        <x:v>Rodenstock</x:v>
      </x:c>
      <x:c r="C926" s="24" t="str">
        <x:v>Progressiva Freeform</x:v>
      </x:c>
      <x:c r="D926" s="24" t="str">
        <x:v>Surfaçada</x:v>
      </x:c>
      <x:c r="E926" s="24" t="str">
        <x:v>Progressiv Life 3D</x:v>
      </x:c>
      <x:c r="F926" s="24"/>
      <x:c r="G926" s="24" t="str">
        <x:v>1.74</x:v>
      </x:c>
      <x:c r="H926" s="24" t="str">
        <x:v>1.74</x:v>
      </x:c>
      <x:c r="I926" s="24" t="str">
        <x:v>Solitaire X-tra Clean</x:v>
      </x:c>
      <x:c r="J926" s="40" t="n">
        <x:v>9259</x:v>
      </x:c>
      <x:c r="K926" s="24" t="str">
        <x:v>-10 a +8</x:v>
      </x:c>
      <x:c r="L926" s="24" t="str">
        <x:v>até -6</x:v>
      </x:c>
      <x:c r="M926" s="24"/>
      <x:c r="N926" s="24" t="str">
        <x:v>75/80</x:v>
      </x:c>
      <x:c r="O926" s="24"/>
      <x:c r="P926" s="24"/>
      <x:c r="Q926" s="24" t="str">
        <x:v>DISPONÍVEL</x:v>
      </x:c>
      <x:c r="R926" s="24"/>
      <x:c r="S926" s="24" t="n">
        <x:v>21</x:v>
      </x:c>
      <x:c r="T926" s="24" t="str">
        <x:v>tabela_rodenstock.pdf</x:v>
      </x:c>
      <x:c r="U926" s="24" t="str">
        <x:v>Rodenstock|Progressiva Freeform|Surfaçada|Progressiv Life 3D||1.74|1.74|Solitaire X-tra Clean|-10 a +8|até -6||75/80|||21</x:v>
      </x:c>
    </x:row>
    <x:row r="927">
      <x:c r="A927" s="24" t="str">
        <x:v>RD-2645A7AE64CD</x:v>
      </x:c>
      <x:c r="B927" s="24" t="str">
        <x:v>Rodenstock</x:v>
      </x:c>
      <x:c r="C927" s="24" t="str">
        <x:v>Progressiva Freeform</x:v>
      </x:c>
      <x:c r="D927" s="24" t="str">
        <x:v>Surfaçada</x:v>
      </x:c>
      <x:c r="E927" s="24" t="str">
        <x:v>Progressiv Life 3D</x:v>
      </x:c>
      <x:c r="F927" s="24"/>
      <x:c r="G927" s="24" t="str">
        <x:v>1.74</x:v>
      </x:c>
      <x:c r="H927" s="24" t="str">
        <x:v>1.74</x:v>
      </x:c>
      <x:c r="I927" s="24" t="str">
        <x:v>Solitaire 2 Protect Balance</x:v>
      </x:c>
      <x:c r="J927" s="40" t="n">
        <x:v>9209</x:v>
      </x:c>
      <x:c r="K927" s="24" t="str">
        <x:v>-10 a +8</x:v>
      </x:c>
      <x:c r="L927" s="24" t="str">
        <x:v>até -6</x:v>
      </x:c>
      <x:c r="M927" s="24"/>
      <x:c r="N927" s="24" t="str">
        <x:v>75/80</x:v>
      </x:c>
      <x:c r="O927" s="24"/>
      <x:c r="P927" s="24"/>
      <x:c r="Q927" s="24" t="str">
        <x:v>DISPONÍVEL</x:v>
      </x:c>
      <x:c r="R927" s="24"/>
      <x:c r="S927" s="24" t="n">
        <x:v>21</x:v>
      </x:c>
      <x:c r="T927" s="24" t="str">
        <x:v>tabela_rodenstock.pdf</x:v>
      </x:c>
      <x:c r="U927" s="24" t="str">
        <x:v>Rodenstock|Progressiva Freeform|Surfaçada|Progressiv Life 3D||1.74|1.74|Solitaire 2 Protect Balance|-10 a +8|até -6||75/80|||21</x:v>
      </x:c>
    </x:row>
    <x:row r="928">
      <x:c r="A928" s="24" t="str">
        <x:v>RD-95BACADD1974</x:v>
      </x:c>
      <x:c r="B928" s="24" t="str">
        <x:v>Rodenstock</x:v>
      </x:c>
      <x:c r="C928" s="24" t="str">
        <x:v>Progressiva Freeform</x:v>
      </x:c>
      <x:c r="D928" s="24" t="str">
        <x:v>Surfaçada</x:v>
      </x:c>
      <x:c r="E928" s="24" t="str">
        <x:v>Progressiv Life 3D</x:v>
      </x:c>
      <x:c r="F928" s="24"/>
      <x:c r="G928" s="24" t="str">
        <x:v>1.74</x:v>
      </x:c>
      <x:c r="H928" s="24" t="str">
        <x:v>1.74</x:v>
      </x:c>
      <x:c r="I928" s="24" t="str">
        <x:v>Solitaire 2 Protect Plus</x:v>
      </x:c>
      <x:c r="J928" s="40" t="n">
        <x:v>9209</x:v>
      </x:c>
      <x:c r="K928" s="24" t="str">
        <x:v>-10 a +8</x:v>
      </x:c>
      <x:c r="L928" s="24" t="str">
        <x:v>até -6</x:v>
      </x:c>
      <x:c r="M928" s="24"/>
      <x:c r="N928" s="24" t="str">
        <x:v>75/80</x:v>
      </x:c>
      <x:c r="O928" s="24"/>
      <x:c r="P928" s="24"/>
      <x:c r="Q928" s="24" t="str">
        <x:v>DISPONÍVEL</x:v>
      </x:c>
      <x:c r="R928" s="24"/>
      <x:c r="S928" s="24" t="n">
        <x:v>21</x:v>
      </x:c>
      <x:c r="T928" s="24" t="str">
        <x:v>tabela_rodenstock.pdf</x:v>
      </x:c>
      <x:c r="U928" s="24" t="str">
        <x:v>Rodenstock|Progressiva Freeform|Surfaçada|Progressiv Life 3D||1.74|1.74|Solitaire 2 Protect Plus|-10 a +8|até -6||75/80|||21</x:v>
      </x:c>
    </x:row>
    <x:row r="929">
      <x:c r="A929" s="24" t="str">
        <x:v>RD-AF204F5779D3</x:v>
      </x:c>
      <x:c r="B929" s="24" t="str">
        <x:v>Rodenstock</x:v>
      </x:c>
      <x:c r="C929" s="24" t="str">
        <x:v>Progressiva Freeform</x:v>
      </x:c>
      <x:c r="D929" s="24" t="str">
        <x:v>Surfaçada</x:v>
      </x:c>
      <x:c r="E929" s="24" t="str">
        <x:v>Progressiv Life 3D</x:v>
      </x:c>
      <x:c r="F929" s="24"/>
      <x:c r="G929" s="24" t="str">
        <x:v>1.74</x:v>
      </x:c>
      <x:c r="H929" s="24" t="str">
        <x:v>1.74</x:v>
      </x:c>
      <x:c r="I929" s="24" t="str">
        <x:v>Solitaire 2 Protect</x:v>
      </x:c>
      <x:c r="J929" s="40" t="n">
        <x:v>8949</x:v>
      </x:c>
      <x:c r="K929" s="24" t="str">
        <x:v>-10 a +8</x:v>
      </x:c>
      <x:c r="L929" s="24" t="str">
        <x:v>até -6</x:v>
      </x:c>
      <x:c r="M929" s="24"/>
      <x:c r="N929" s="24" t="str">
        <x:v>75/80</x:v>
      </x:c>
      <x:c r="O929" s="24"/>
      <x:c r="P929" s="24"/>
      <x:c r="Q929" s="24" t="str">
        <x:v>DISPONÍVEL</x:v>
      </x:c>
      <x:c r="R929" s="24"/>
      <x:c r="S929" s="24" t="n">
        <x:v>21</x:v>
      </x:c>
      <x:c r="T929" s="24" t="str">
        <x:v>tabela_rodenstock.pdf</x:v>
      </x:c>
      <x:c r="U929" s="24" t="str">
        <x:v>Rodenstock|Progressiva Freeform|Surfaçada|Progressiv Life 3D||1.74|1.74|Solitaire 2 Protect|-10 a +8|até -6||75/80|||21</x:v>
      </x:c>
    </x:row>
    <x:row r="930">
      <x:c r="A930" s="24" t="str">
        <x:v>RD-11772266F839</x:v>
      </x:c>
      <x:c r="B930" s="24" t="str">
        <x:v>Rodenstock</x:v>
      </x:c>
      <x:c r="C930" s="24" t="str">
        <x:v>Progressiva Freeform</x:v>
      </x:c>
      <x:c r="D930" s="24" t="str">
        <x:v>Surfaçada</x:v>
      </x:c>
      <x:c r="E930" s="24" t="str">
        <x:v>Progressiv Si Digital</x:v>
      </x:c>
      <x:c r="F930" s="24"/>
      <x:c r="G930" s="24" t="str">
        <x:v>1.5</x:v>
      </x:c>
      <x:c r="H930" s="24" t="str">
        <x:v>1.50</x:v>
      </x:c>
      <x:c r="I930" s="24" t="str">
        <x:v>Solitaire X-tra Clean</x:v>
      </x:c>
      <x:c r="J930" s="40" t="n">
        <x:v>3693</x:v>
      </x:c>
      <x:c r="K930" s="24" t="str">
        <x:v>-8 a +8</x:v>
      </x:c>
      <x:c r="L930" s="24" t="str">
        <x:v>até -6</x:v>
      </x:c>
      <x:c r="M930" s="24"/>
      <x:c r="N930" s="24" t="str">
        <x:v>75/80</x:v>
      </x:c>
      <x:c r="O930" s="24"/>
      <x:c r="P930" s="24"/>
      <x:c r="Q930" s="24" t="str">
        <x:v>DISPONÍVEL</x:v>
      </x:c>
      <x:c r="R930" s="24"/>
      <x:c r="S930" s="24" t="n">
        <x:v>21</x:v>
      </x:c>
      <x:c r="T930" s="24" t="str">
        <x:v>tabela_rodenstock.pdf</x:v>
      </x:c>
      <x:c r="U930" s="24" t="str">
        <x:v>Rodenstock|Progressiva Freeform|Surfaçada|Progressiv Si Digital||1.5|1.50|Solitaire X-tra Clean|-8 a +8|até -6||75/80|||21</x:v>
      </x:c>
    </x:row>
    <x:row r="931">
      <x:c r="A931" s="24" t="str">
        <x:v>RD-F0E197B68F12</x:v>
      </x:c>
      <x:c r="B931" s="24" t="str">
        <x:v>Rodenstock</x:v>
      </x:c>
      <x:c r="C931" s="24" t="str">
        <x:v>Progressiva Freeform</x:v>
      </x:c>
      <x:c r="D931" s="24" t="str">
        <x:v>Surfaçada</x:v>
      </x:c>
      <x:c r="E931" s="24" t="str">
        <x:v>Progressiv Si Digital</x:v>
      </x:c>
      <x:c r="F931" s="24"/>
      <x:c r="G931" s="24" t="str">
        <x:v>1.5</x:v>
      </x:c>
      <x:c r="H931" s="24" t="str">
        <x:v>1.50</x:v>
      </x:c>
      <x:c r="I931" s="24" t="str">
        <x:v>Solitaire 2 Protect Balance</x:v>
      </x:c>
      <x:c r="J931" s="40" t="n">
        <x:v>3643</x:v>
      </x:c>
      <x:c r="K931" s="24" t="str">
        <x:v>-8 a +8</x:v>
      </x:c>
      <x:c r="L931" s="24" t="str">
        <x:v>até -6</x:v>
      </x:c>
      <x:c r="M931" s="24"/>
      <x:c r="N931" s="24" t="str">
        <x:v>75/80</x:v>
      </x:c>
      <x:c r="O931" s="24"/>
      <x:c r="P931" s="24"/>
      <x:c r="Q931" s="24" t="str">
        <x:v>DISPONÍVEL</x:v>
      </x:c>
      <x:c r="R931" s="24"/>
      <x:c r="S931" s="24" t="n">
        <x:v>21</x:v>
      </x:c>
      <x:c r="T931" s="24" t="str">
        <x:v>tabela_rodenstock.pdf</x:v>
      </x:c>
      <x:c r="U931" s="24" t="str">
        <x:v>Rodenstock|Progressiva Freeform|Surfaçada|Progressiv Si Digital||1.5|1.50|Solitaire 2 Protect Balance|-8 a +8|até -6||75/80|||21</x:v>
      </x:c>
    </x:row>
    <x:row r="932">
      <x:c r="A932" s="24" t="str">
        <x:v>RD-F558BC9C4E5D</x:v>
      </x:c>
      <x:c r="B932" s="24" t="str">
        <x:v>Rodenstock</x:v>
      </x:c>
      <x:c r="C932" s="24" t="str">
        <x:v>Progressiva Freeform</x:v>
      </x:c>
      <x:c r="D932" s="24" t="str">
        <x:v>Surfaçada</x:v>
      </x:c>
      <x:c r="E932" s="24" t="str">
        <x:v>Progressiv Si Digital</x:v>
      </x:c>
      <x:c r="F932" s="24"/>
      <x:c r="G932" s="24" t="str">
        <x:v>1.5</x:v>
      </x:c>
      <x:c r="H932" s="24" t="str">
        <x:v>1.50</x:v>
      </x:c>
      <x:c r="I932" s="24" t="str">
        <x:v>Solitaire 2 Protect Plus</x:v>
      </x:c>
      <x:c r="J932" s="40" t="n">
        <x:v>3643</x:v>
      </x:c>
      <x:c r="K932" s="24" t="str">
        <x:v>-8 a +8</x:v>
      </x:c>
      <x:c r="L932" s="24" t="str">
        <x:v>até -6</x:v>
      </x:c>
      <x:c r="M932" s="24"/>
      <x:c r="N932" s="24" t="str">
        <x:v>75/80</x:v>
      </x:c>
      <x:c r="O932" s="24"/>
      <x:c r="P932" s="24"/>
      <x:c r="Q932" s="24" t="str">
        <x:v>DISPONÍVEL</x:v>
      </x:c>
      <x:c r="R932" s="24"/>
      <x:c r="S932" s="24" t="n">
        <x:v>21</x:v>
      </x:c>
      <x:c r="T932" s="24" t="str">
        <x:v>tabela_rodenstock.pdf</x:v>
      </x:c>
      <x:c r="U932" s="24" t="str">
        <x:v>Rodenstock|Progressiva Freeform|Surfaçada|Progressiv Si Digital||1.5|1.50|Solitaire 2 Protect Plus|-8 a +8|até -6||75/80|||21</x:v>
      </x:c>
    </x:row>
    <x:row r="933">
      <x:c r="A933" s="24" t="str">
        <x:v>RD-581EE48F0856</x:v>
      </x:c>
      <x:c r="B933" s="24" t="str">
        <x:v>Rodenstock</x:v>
      </x:c>
      <x:c r="C933" s="24" t="str">
        <x:v>Progressiva Freeform</x:v>
      </x:c>
      <x:c r="D933" s="24" t="str">
        <x:v>Surfaçada</x:v>
      </x:c>
      <x:c r="E933" s="24" t="str">
        <x:v>Progressiv Si Digital</x:v>
      </x:c>
      <x:c r="F933" s="24"/>
      <x:c r="G933" s="24" t="str">
        <x:v>1.5</x:v>
      </x:c>
      <x:c r="H933" s="24" t="str">
        <x:v>1.50</x:v>
      </x:c>
      <x:c r="I933" s="24" t="str">
        <x:v>ROAD</x:v>
      </x:c>
      <x:c r="J933" s="40" t="n">
        <x:v>3643</x:v>
      </x:c>
      <x:c r="K933" s="24" t="str">
        <x:v>-8 a +8</x:v>
      </x:c>
      <x:c r="L933" s="24" t="str">
        <x:v>até -6</x:v>
      </x:c>
      <x:c r="M933" s="24"/>
      <x:c r="N933" s="24" t="str">
        <x:v>75/80</x:v>
      </x:c>
      <x:c r="O933" s="24"/>
      <x:c r="P933" s="24"/>
      <x:c r="Q933" s="24" t="str">
        <x:v>DISPONÍVEL</x:v>
      </x:c>
      <x:c r="R933" s="24"/>
      <x:c r="S933" s="24" t="n">
        <x:v>21</x:v>
      </x:c>
      <x:c r="T933" s="24" t="str">
        <x:v>tabela_rodenstock.pdf</x:v>
      </x:c>
      <x:c r="U933" s="24" t="str">
        <x:v>Rodenstock|Progressiva Freeform|Surfaçada|Progressiv Si Digital||1.5|1.50|ROAD|-8 a +8|até -6||75/80|||21</x:v>
      </x:c>
    </x:row>
    <x:row r="934">
      <x:c r="A934" s="24" t="str">
        <x:v>RD-56ABD3A17134</x:v>
      </x:c>
      <x:c r="B934" s="24" t="str">
        <x:v>Rodenstock</x:v>
      </x:c>
      <x:c r="C934" s="24" t="str">
        <x:v>Progressiva Freeform</x:v>
      </x:c>
      <x:c r="D934" s="24" t="str">
        <x:v>Surfaçada</x:v>
      </x:c>
      <x:c r="E934" s="24" t="str">
        <x:v>Progressiv Si Digital</x:v>
      </x:c>
      <x:c r="F934" s="24"/>
      <x:c r="G934" s="24" t="str">
        <x:v>1.5</x:v>
      </x:c>
      <x:c r="H934" s="24" t="str">
        <x:v>1.50</x:v>
      </x:c>
      <x:c r="I934" s="24" t="str">
        <x:v>Solitaire 2 Protect</x:v>
      </x:c>
      <x:c r="J934" s="40" t="n">
        <x:v>3383</x:v>
      </x:c>
      <x:c r="K934" s="24" t="str">
        <x:v>-8 a +8</x:v>
      </x:c>
      <x:c r="L934" s="24" t="str">
        <x:v>até -6</x:v>
      </x:c>
      <x:c r="M934" s="24"/>
      <x:c r="N934" s="24" t="str">
        <x:v>75/80</x:v>
      </x:c>
      <x:c r="O934" s="24"/>
      <x:c r="P934" s="24"/>
      <x:c r="Q934" s="24" t="str">
        <x:v>DISPONÍVEL</x:v>
      </x:c>
      <x:c r="R934" s="24"/>
      <x:c r="S934" s="24" t="n">
        <x:v>21</x:v>
      </x:c>
      <x:c r="T934" s="24" t="str">
        <x:v>tabela_rodenstock.pdf</x:v>
      </x:c>
      <x:c r="U934" s="24" t="str">
        <x:v>Rodenstock|Progressiva Freeform|Surfaçada|Progressiv Si Digital||1.5|1.50|Solitaire 2 Protect|-8 a +8|até -6||75/80|||21</x:v>
      </x:c>
    </x:row>
    <x:row r="935">
      <x:c r="A935" s="24" t="str">
        <x:v>RD-4FB40A0F0DB3</x:v>
      </x:c>
      <x:c r="B935" s="24" t="str">
        <x:v>Rodenstock</x:v>
      </x:c>
      <x:c r="C935" s="24" t="str">
        <x:v>Progressiva Freeform</x:v>
      </x:c>
      <x:c r="D935" s="24" t="str">
        <x:v>Surfaçada</x:v>
      </x:c>
      <x:c r="E935" s="24" t="str">
        <x:v>Progressiv Si Digital</x:v>
      </x:c>
      <x:c r="F935" s="24"/>
      <x:c r="G935" s="24" t="str">
        <x:v>1.5</x:v>
      </x:c>
      <x:c r="H935" s="24" t="str">
        <x:v>1.50</x:v>
      </x:c>
      <x:c r="I935" s="24" t="str">
        <x:v>Solitaire ECO 2</x:v>
      </x:c>
      <x:c r="J935" s="40" t="n">
        <x:v>2903</x:v>
      </x:c>
      <x:c r="K935" s="24" t="str">
        <x:v>-8 a +8</x:v>
      </x:c>
      <x:c r="L935" s="24" t="str">
        <x:v>até -6</x:v>
      </x:c>
      <x:c r="M935" s="24"/>
      <x:c r="N935" s="24" t="str">
        <x:v>75/80</x:v>
      </x:c>
      <x:c r="O935" s="24"/>
      <x:c r="P935" s="24"/>
      <x:c r="Q935" s="24" t="str">
        <x:v>DISPONÍVEL</x:v>
      </x:c>
      <x:c r="R935" s="24"/>
      <x:c r="S935" s="24" t="n">
        <x:v>21</x:v>
      </x:c>
      <x:c r="T935" s="24" t="str">
        <x:v>tabela_rodenstock.pdf</x:v>
      </x:c>
      <x:c r="U935" s="24" t="str">
        <x:v>Rodenstock|Progressiva Freeform|Surfaçada|Progressiv Si Digital||1.5|1.50|Solitaire ECO 2|-8 a +8|até -6||75/80|||21</x:v>
      </x:c>
    </x:row>
    <x:row r="936">
      <x:c r="A936" s="24" t="str">
        <x:v>RD-6AEDC9332249</x:v>
      </x:c>
      <x:c r="B936" s="24" t="str">
        <x:v>Rodenstock</x:v>
      </x:c>
      <x:c r="C936" s="24" t="str">
        <x:v>Progressiva Freeform</x:v>
      </x:c>
      <x:c r="D936" s="24" t="str">
        <x:v>Surfaçada</x:v>
      </x:c>
      <x:c r="E936" s="24" t="str">
        <x:v>Progressiv Si Digital</x:v>
      </x:c>
      <x:c r="F936" s="24"/>
      <x:c r="G936" s="24" t="str">
        <x:v>1.5</x:v>
      </x:c>
      <x:c r="H936" s="24" t="str">
        <x:v>1.50</x:v>
      </x:c>
      <x:c r="I936" s="24" t="str">
        <x:v>Sem AR</x:v>
      </x:c>
      <x:c r="J936" s="40" t="n">
        <x:v>2513</x:v>
      </x:c>
      <x:c r="K936" s="24" t="str">
        <x:v>-8 a +8</x:v>
      </x:c>
      <x:c r="L936" s="24" t="str">
        <x:v>até -6</x:v>
      </x:c>
      <x:c r="M936" s="24"/>
      <x:c r="N936" s="24" t="str">
        <x:v>75/80</x:v>
      </x:c>
      <x:c r="O936" s="24"/>
      <x:c r="P936" s="24"/>
      <x:c r="Q936" s="24" t="str">
        <x:v>DISPONÍVEL</x:v>
      </x:c>
      <x:c r="R936" s="24"/>
      <x:c r="S936" s="24" t="n">
        <x:v>21</x:v>
      </x:c>
      <x:c r="T936" s="24" t="str">
        <x:v>tabela_rodenstock.pdf</x:v>
      </x:c>
      <x:c r="U936" s="24" t="str">
        <x:v>Rodenstock|Progressiva Freeform|Surfaçada|Progressiv Si Digital||1.5|1.50|Sem AR|-8 a +8|até -6||75/80|||21</x:v>
      </x:c>
    </x:row>
    <x:row r="937">
      <x:c r="A937" s="24" t="str">
        <x:v>RD-3C50B2DFD694</x:v>
      </x:c>
      <x:c r="B937" s="24" t="str">
        <x:v>Rodenstock</x:v>
      </x:c>
      <x:c r="C937" s="24" t="str">
        <x:v>Progressiva Freeform</x:v>
      </x:c>
      <x:c r="D937" s="24" t="str">
        <x:v>Surfaçada</x:v>
      </x:c>
      <x:c r="E937" s="24" t="str">
        <x:v>Progressiv Si Digital</x:v>
      </x:c>
      <x:c r="F937" s="24" t="str">
        <x:v>Polarizada</x:v>
      </x:c>
      <x:c r="G937" s="24" t="str">
        <x:v>1.5</x:v>
      </x:c>
      <x:c r="H937" s="24" t="str">
        <x:v>1.50</x:v>
      </x:c>
      <x:c r="I937" s="24" t="str">
        <x:v>Solitaire X-tra Clean</x:v>
      </x:c>
      <x:c r="J937" s="40" t="n">
        <x:v>5070</x:v>
      </x:c>
      <x:c r="K937" s="24" t="str">
        <x:v>-6 a +6</x:v>
      </x:c>
      <x:c r="L937" s="24" t="str">
        <x:v>até -6</x:v>
      </x:c>
      <x:c r="M937" s="24"/>
      <x:c r="N937" s="24" t="str">
        <x:v>75/80</x:v>
      </x:c>
      <x:c r="O937" s="24"/>
      <x:c r="P937" s="24"/>
      <x:c r="Q937" s="24" t="str">
        <x:v>DISPONÍVEL</x:v>
      </x:c>
      <x:c r="R937" s="24"/>
      <x:c r="S937" s="24" t="n">
        <x:v>21</x:v>
      </x:c>
      <x:c r="T937" s="24" t="str">
        <x:v>tabela_rodenstock.pdf</x:v>
      </x:c>
      <x:c r="U937" s="24" t="str">
        <x:v>Rodenstock|Progressiva Freeform|Surfaçada|Progressiv Si Digital|Polarizada|1.5|1.50|Solitaire X-tra Clean|-6 a +6|até -6||75/80|||21</x:v>
      </x:c>
    </x:row>
    <x:row r="938">
      <x:c r="A938" s="24" t="str">
        <x:v>RD-85EE74EB85AF</x:v>
      </x:c>
      <x:c r="B938" s="24" t="str">
        <x:v>Rodenstock</x:v>
      </x:c>
      <x:c r="C938" s="24" t="str">
        <x:v>Progressiva Freeform</x:v>
      </x:c>
      <x:c r="D938" s="24" t="str">
        <x:v>Surfaçada</x:v>
      </x:c>
      <x:c r="E938" s="24" t="str">
        <x:v>Progressiv Si Digital</x:v>
      </x:c>
      <x:c r="F938" s="24" t="str">
        <x:v>Polarizada</x:v>
      </x:c>
      <x:c r="G938" s="24" t="str">
        <x:v>1.5</x:v>
      </x:c>
      <x:c r="H938" s="24" t="str">
        <x:v>1.50</x:v>
      </x:c>
      <x:c r="I938" s="24" t="str">
        <x:v>Solitaire 2 Protect Balance</x:v>
      </x:c>
      <x:c r="J938" s="40" t="n">
        <x:v>5020</x:v>
      </x:c>
      <x:c r="K938" s="24" t="str">
        <x:v>-6 a +6</x:v>
      </x:c>
      <x:c r="L938" s="24" t="str">
        <x:v>até -6</x:v>
      </x:c>
      <x:c r="M938" s="24"/>
      <x:c r="N938" s="24" t="str">
        <x:v>75/80</x:v>
      </x:c>
      <x:c r="O938" s="24"/>
      <x:c r="P938" s="24"/>
      <x:c r="Q938" s="24" t="str">
        <x:v>DISPONÍVEL</x:v>
      </x:c>
      <x:c r="R938" s="24"/>
      <x:c r="S938" s="24" t="n">
        <x:v>21</x:v>
      </x:c>
      <x:c r="T938" s="24" t="str">
        <x:v>tabela_rodenstock.pdf</x:v>
      </x:c>
      <x:c r="U938" s="24" t="str">
        <x:v>Rodenstock|Progressiva Freeform|Surfaçada|Progressiv Si Digital|Polarizada|1.5|1.50|Solitaire 2 Protect Balance|-6 a +6|até -6||75/80|||21</x:v>
      </x:c>
    </x:row>
    <x:row r="939">
      <x:c r="A939" s="24" t="str">
        <x:v>RD-D4F0F3449F64</x:v>
      </x:c>
      <x:c r="B939" s="24" t="str">
        <x:v>Rodenstock</x:v>
      </x:c>
      <x:c r="C939" s="24" t="str">
        <x:v>Progressiva Freeform</x:v>
      </x:c>
      <x:c r="D939" s="24" t="str">
        <x:v>Surfaçada</x:v>
      </x:c>
      <x:c r="E939" s="24" t="str">
        <x:v>Progressiv Si Digital</x:v>
      </x:c>
      <x:c r="F939" s="24" t="str">
        <x:v>Polarizada</x:v>
      </x:c>
      <x:c r="G939" s="24" t="str">
        <x:v>1.5</x:v>
      </x:c>
      <x:c r="H939" s="24" t="str">
        <x:v>1.50</x:v>
      </x:c>
      <x:c r="I939" s="24" t="str">
        <x:v>Solitaire 2 Protect Plus</x:v>
      </x:c>
      <x:c r="J939" s="40" t="n">
        <x:v>5020</x:v>
      </x:c>
      <x:c r="K939" s="24" t="str">
        <x:v>-6 a +6</x:v>
      </x:c>
      <x:c r="L939" s="24" t="str">
        <x:v>até -6</x:v>
      </x:c>
      <x:c r="M939" s="24"/>
      <x:c r="N939" s="24" t="str">
        <x:v>75/80</x:v>
      </x:c>
      <x:c r="O939" s="24"/>
      <x:c r="P939" s="24"/>
      <x:c r="Q939" s="24" t="str">
        <x:v>DISPONÍVEL</x:v>
      </x:c>
      <x:c r="R939" s="24"/>
      <x:c r="S939" s="24" t="n">
        <x:v>21</x:v>
      </x:c>
      <x:c r="T939" s="24" t="str">
        <x:v>tabela_rodenstock.pdf</x:v>
      </x:c>
      <x:c r="U939" s="24" t="str">
        <x:v>Rodenstock|Progressiva Freeform|Surfaçada|Progressiv Si Digital|Polarizada|1.5|1.50|Solitaire 2 Protect Plus|-6 a +6|até -6||75/80|||21</x:v>
      </x:c>
    </x:row>
    <x:row r="940">
      <x:c r="A940" s="24" t="str">
        <x:v>RD-3B23C30DBFBE</x:v>
      </x:c>
      <x:c r="B940" s="24" t="str">
        <x:v>Rodenstock</x:v>
      </x:c>
      <x:c r="C940" s="24" t="str">
        <x:v>Progressiva Freeform</x:v>
      </x:c>
      <x:c r="D940" s="24" t="str">
        <x:v>Surfaçada</x:v>
      </x:c>
      <x:c r="E940" s="24" t="str">
        <x:v>Progressiv Si Digital</x:v>
      </x:c>
      <x:c r="F940" s="24" t="str">
        <x:v>Polarizada</x:v>
      </x:c>
      <x:c r="G940" s="24" t="str">
        <x:v>1.5</x:v>
      </x:c>
      <x:c r="H940" s="24" t="str">
        <x:v>1.50</x:v>
      </x:c>
      <x:c r="I940" s="24" t="str">
        <x:v>ROAD</x:v>
      </x:c>
      <x:c r="J940" s="40" t="n">
        <x:v>5020</x:v>
      </x:c>
      <x:c r="K940" s="24" t="str">
        <x:v>-6 a +6</x:v>
      </x:c>
      <x:c r="L940" s="24" t="str">
        <x:v>até -6</x:v>
      </x:c>
      <x:c r="M940" s="24"/>
      <x:c r="N940" s="24" t="str">
        <x:v>75/80</x:v>
      </x:c>
      <x:c r="O940" s="24"/>
      <x:c r="P940" s="24"/>
      <x:c r="Q940" s="24" t="str">
        <x:v>DISPONÍVEL</x:v>
      </x:c>
      <x:c r="R940" s="24"/>
      <x:c r="S940" s="24" t="n">
        <x:v>21</x:v>
      </x:c>
      <x:c r="T940" s="24" t="str">
        <x:v>tabela_rodenstock.pdf</x:v>
      </x:c>
      <x:c r="U940" s="24" t="str">
        <x:v>Rodenstock|Progressiva Freeform|Surfaçada|Progressiv Si Digital|Polarizada|1.5|1.50|ROAD|-6 a +6|até -6||75/80|||21</x:v>
      </x:c>
    </x:row>
    <x:row r="941">
      <x:c r="A941" s="24" t="str">
        <x:v>RD-61301D985905</x:v>
      </x:c>
      <x:c r="B941" s="24" t="str">
        <x:v>Rodenstock</x:v>
      </x:c>
      <x:c r="C941" s="24" t="str">
        <x:v>Progressiva Freeform</x:v>
      </x:c>
      <x:c r="D941" s="24" t="str">
        <x:v>Surfaçada</x:v>
      </x:c>
      <x:c r="E941" s="24" t="str">
        <x:v>Progressiv Si Digital</x:v>
      </x:c>
      <x:c r="F941" s="24" t="str">
        <x:v>Polarizada</x:v>
      </x:c>
      <x:c r="G941" s="24" t="str">
        <x:v>1.5</x:v>
      </x:c>
      <x:c r="H941" s="24" t="str">
        <x:v>1.50</x:v>
      </x:c>
      <x:c r="I941" s="24" t="str">
        <x:v>Solitaire 2 Protect</x:v>
      </x:c>
      <x:c r="J941" s="40" t="n">
        <x:v>4760</x:v>
      </x:c>
      <x:c r="K941" s="24" t="str">
        <x:v>-6 a +6</x:v>
      </x:c>
      <x:c r="L941" s="24" t="str">
        <x:v>até -6</x:v>
      </x:c>
      <x:c r="M941" s="24"/>
      <x:c r="N941" s="24" t="str">
        <x:v>75/80</x:v>
      </x:c>
      <x:c r="O941" s="24"/>
      <x:c r="P941" s="24"/>
      <x:c r="Q941" s="24" t="str">
        <x:v>DISPONÍVEL</x:v>
      </x:c>
      <x:c r="R941" s="24"/>
      <x:c r="S941" s="24" t="n">
        <x:v>21</x:v>
      </x:c>
      <x:c r="T941" s="24" t="str">
        <x:v>tabela_rodenstock.pdf</x:v>
      </x:c>
      <x:c r="U941" s="24" t="str">
        <x:v>Rodenstock|Progressiva Freeform|Surfaçada|Progressiv Si Digital|Polarizada|1.5|1.50|Solitaire 2 Protect|-6 a +6|até -6||75/80|||21</x:v>
      </x:c>
    </x:row>
    <x:row r="942">
      <x:c r="A942" s="24" t="str">
        <x:v>RD-AA2FDF298992</x:v>
      </x:c>
      <x:c r="B942" s="24" t="str">
        <x:v>Rodenstock</x:v>
      </x:c>
      <x:c r="C942" s="24" t="str">
        <x:v>Progressiva Freeform</x:v>
      </x:c>
      <x:c r="D942" s="24" t="str">
        <x:v>Surfaçada</x:v>
      </x:c>
      <x:c r="E942" s="24" t="str">
        <x:v>Progressiv Si Digital</x:v>
      </x:c>
      <x:c r="F942" s="24" t="str">
        <x:v>Polarizada</x:v>
      </x:c>
      <x:c r="G942" s="24" t="str">
        <x:v>1.5</x:v>
      </x:c>
      <x:c r="H942" s="24" t="str">
        <x:v>1.50</x:v>
      </x:c>
      <x:c r="I942" s="24" t="str">
        <x:v>Solitaire ECO 2</x:v>
      </x:c>
      <x:c r="J942" s="40" t="n">
        <x:v>4280</x:v>
      </x:c>
      <x:c r="K942" s="24" t="str">
        <x:v>-6 a +6</x:v>
      </x:c>
      <x:c r="L942" s="24" t="str">
        <x:v>até -6</x:v>
      </x:c>
      <x:c r="M942" s="24"/>
      <x:c r="N942" s="24" t="str">
        <x:v>75/80</x:v>
      </x:c>
      <x:c r="O942" s="24"/>
      <x:c r="P942" s="24"/>
      <x:c r="Q942" s="24" t="str">
        <x:v>DISPONÍVEL</x:v>
      </x:c>
      <x:c r="R942" s="24"/>
      <x:c r="S942" s="24" t="n">
        <x:v>21</x:v>
      </x:c>
      <x:c r="T942" s="24" t="str">
        <x:v>tabela_rodenstock.pdf</x:v>
      </x:c>
      <x:c r="U942" s="24" t="str">
        <x:v>Rodenstock|Progressiva Freeform|Surfaçada|Progressiv Si Digital|Polarizada|1.5|1.50|Solitaire ECO 2|-6 a +6|até -6||75/80|||21</x:v>
      </x:c>
    </x:row>
    <x:row r="943">
      <x:c r="A943" s="24" t="str">
        <x:v>RD-CF07BD11CF48</x:v>
      </x:c>
      <x:c r="B943" s="24" t="str">
        <x:v>Rodenstock</x:v>
      </x:c>
      <x:c r="C943" s="24" t="str">
        <x:v>Progressiva Freeform</x:v>
      </x:c>
      <x:c r="D943" s="24" t="str">
        <x:v>Surfaçada</x:v>
      </x:c>
      <x:c r="E943" s="24" t="str">
        <x:v>Progressiv Si Digital</x:v>
      </x:c>
      <x:c r="F943" s="24" t="str">
        <x:v>Polarizada</x:v>
      </x:c>
      <x:c r="G943" s="24" t="str">
        <x:v>1.5</x:v>
      </x:c>
      <x:c r="H943" s="24" t="str">
        <x:v>1.50</x:v>
      </x:c>
      <x:c r="I943" s="24" t="str">
        <x:v>Sem AR</x:v>
      </x:c>
      <x:c r="J943" s="40" t="n">
        <x:v>3890</x:v>
      </x:c>
      <x:c r="K943" s="24" t="str">
        <x:v>-6 a +6</x:v>
      </x:c>
      <x:c r="L943" s="24" t="str">
        <x:v>até -6</x:v>
      </x:c>
      <x:c r="M943" s="24"/>
      <x:c r="N943" s="24" t="str">
        <x:v>75/80</x:v>
      </x:c>
      <x:c r="O943" s="24"/>
      <x:c r="P943" s="24"/>
      <x:c r="Q943" s="24" t="str">
        <x:v>DISPONÍVEL</x:v>
      </x:c>
      <x:c r="R943" s="24"/>
      <x:c r="S943" s="24" t="n">
        <x:v>21</x:v>
      </x:c>
      <x:c r="T943" s="24" t="str">
        <x:v>tabela_rodenstock.pdf</x:v>
      </x:c>
      <x:c r="U943" s="24" t="str">
        <x:v>Rodenstock|Progressiva Freeform|Surfaçada|Progressiv Si Digital|Polarizada|1.5|1.50|Sem AR|-6 a +6|até -6||75/80|||21</x:v>
      </x:c>
    </x:row>
    <x:row r="944">
      <x:c r="A944" s="24" t="str">
        <x:v>RD-93E998335E5B</x:v>
      </x:c>
      <x:c r="B944" s="24" t="str">
        <x:v>Rodenstock</x:v>
      </x:c>
      <x:c r="C944" s="24" t="str">
        <x:v>Progressiva Freeform</x:v>
      </x:c>
      <x:c r="D944" s="24" t="str">
        <x:v>Surfaçada</x:v>
      </x:c>
      <x:c r="E944" s="24" t="str">
        <x:v>Progressiv Si Digital</x:v>
      </x:c>
      <x:c r="F944" s="24" t="str">
        <x:v>ColorMatic® 3</x:v>
      </x:c>
      <x:c r="G944" s="24" t="str">
        <x:v>1.54</x:v>
      </x:c>
      <x:c r="H944" s="24" t="str">
        <x:v>1.54</x:v>
      </x:c>
      <x:c r="I944" s="24" t="str">
        <x:v>Solitaire X-tra Clean</x:v>
      </x:c>
      <x:c r="J944" s="40" t="n">
        <x:v>5215</x:v>
      </x:c>
      <x:c r="K944" s="24" t="str">
        <x:v>-8 a +8</x:v>
      </x:c>
      <x:c r="L944" s="24" t="str">
        <x:v>até -6</x:v>
      </x:c>
      <x:c r="M944" s="24"/>
      <x:c r="N944" s="24" t="str">
        <x:v>75/80</x:v>
      </x:c>
      <x:c r="O944" s="24"/>
      <x:c r="P944" s="24"/>
      <x:c r="Q944" s="24" t="str">
        <x:v>DISPONÍVEL</x:v>
      </x:c>
      <x:c r="R944" s="24"/>
      <x:c r="S944" s="24" t="n">
        <x:v>21</x:v>
      </x:c>
      <x:c r="T944" s="24" t="str">
        <x:v>tabela_rodenstock.pdf</x:v>
      </x:c>
      <x:c r="U944" s="24" t="str">
        <x:v>Rodenstock|Progressiva Freeform|Surfaçada|Progressiv Si Digital|ColorMatic® 3|1.54|1.54|Solitaire X-tra Clean|-8 a +8|até -6||75/80|||21</x:v>
      </x:c>
    </x:row>
    <x:row r="945">
      <x:c r="A945" s="24" t="str">
        <x:v>RD-C478C384A80C</x:v>
      </x:c>
      <x:c r="B945" s="24" t="str">
        <x:v>Rodenstock</x:v>
      </x:c>
      <x:c r="C945" s="24" t="str">
        <x:v>Progressiva Freeform</x:v>
      </x:c>
      <x:c r="D945" s="24" t="str">
        <x:v>Surfaçada</x:v>
      </x:c>
      <x:c r="E945" s="24" t="str">
        <x:v>Progressiv Si Digital</x:v>
      </x:c>
      <x:c r="F945" s="24" t="str">
        <x:v>ColorMatic® 3</x:v>
      </x:c>
      <x:c r="G945" s="24" t="str">
        <x:v>1.54</x:v>
      </x:c>
      <x:c r="H945" s="24" t="str">
        <x:v>1.54</x:v>
      </x:c>
      <x:c r="I945" s="24" t="str">
        <x:v>Solitaire 2 Protect Balance</x:v>
      </x:c>
      <x:c r="J945" s="40" t="n">
        <x:v>5165</x:v>
      </x:c>
      <x:c r="K945" s="24" t="str">
        <x:v>-8 a +8</x:v>
      </x:c>
      <x:c r="L945" s="24" t="str">
        <x:v>até -6</x:v>
      </x:c>
      <x:c r="M945" s="24"/>
      <x:c r="N945" s="24" t="str">
        <x:v>75/80</x:v>
      </x:c>
      <x:c r="O945" s="24"/>
      <x:c r="P945" s="24"/>
      <x:c r="Q945" s="24" t="str">
        <x:v>DISPONÍVEL</x:v>
      </x:c>
      <x:c r="R945" s="24"/>
      <x:c r="S945" s="24" t="n">
        <x:v>21</x:v>
      </x:c>
      <x:c r="T945" s="24" t="str">
        <x:v>tabela_rodenstock.pdf</x:v>
      </x:c>
      <x:c r="U945" s="24" t="str">
        <x:v>Rodenstock|Progressiva Freeform|Surfaçada|Progressiv Si Digital|ColorMatic® 3|1.54|1.54|Solitaire 2 Protect Balance|-8 a +8|até -6||75/80|||21</x:v>
      </x:c>
    </x:row>
    <x:row r="946">
      <x:c r="A946" s="24" t="str">
        <x:v>RD-F63E7F4E2BF3</x:v>
      </x:c>
      <x:c r="B946" s="24" t="str">
        <x:v>Rodenstock</x:v>
      </x:c>
      <x:c r="C946" s="24" t="str">
        <x:v>Progressiva Freeform</x:v>
      </x:c>
      <x:c r="D946" s="24" t="str">
        <x:v>Surfaçada</x:v>
      </x:c>
      <x:c r="E946" s="24" t="str">
        <x:v>Progressiv Si Digital</x:v>
      </x:c>
      <x:c r="F946" s="24" t="str">
        <x:v>ColorMatic® 3</x:v>
      </x:c>
      <x:c r="G946" s="24" t="str">
        <x:v>1.54</x:v>
      </x:c>
      <x:c r="H946" s="24" t="str">
        <x:v>1.54</x:v>
      </x:c>
      <x:c r="I946" s="24" t="str">
        <x:v>Solitaire 2 Protect Plus</x:v>
      </x:c>
      <x:c r="J946" s="40" t="n">
        <x:v>5165</x:v>
      </x:c>
      <x:c r="K946" s="24" t="str">
        <x:v>-8 a +8</x:v>
      </x:c>
      <x:c r="L946" s="24" t="str">
        <x:v>até -6</x:v>
      </x:c>
      <x:c r="M946" s="24"/>
      <x:c r="N946" s="24" t="str">
        <x:v>75/80</x:v>
      </x:c>
      <x:c r="O946" s="24"/>
      <x:c r="P946" s="24"/>
      <x:c r="Q946" s="24" t="str">
        <x:v>DISPONÍVEL</x:v>
      </x:c>
      <x:c r="R946" s="24"/>
      <x:c r="S946" s="24" t="n">
        <x:v>21</x:v>
      </x:c>
      <x:c r="T946" s="24" t="str">
        <x:v>tabela_rodenstock.pdf</x:v>
      </x:c>
      <x:c r="U946" s="24" t="str">
        <x:v>Rodenstock|Progressiva Freeform|Surfaçada|Progressiv Si Digital|ColorMatic® 3|1.54|1.54|Solitaire 2 Protect Plus|-8 a +8|até -6||75/80|||21</x:v>
      </x:c>
    </x:row>
    <x:row r="947">
      <x:c r="A947" s="24" t="str">
        <x:v>RD-8597D5933F6F</x:v>
      </x:c>
      <x:c r="B947" s="24" t="str">
        <x:v>Rodenstock</x:v>
      </x:c>
      <x:c r="C947" s="24" t="str">
        <x:v>Progressiva Freeform</x:v>
      </x:c>
      <x:c r="D947" s="24" t="str">
        <x:v>Surfaçada</x:v>
      </x:c>
      <x:c r="E947" s="24" t="str">
        <x:v>Progressiv Si Digital</x:v>
      </x:c>
      <x:c r="F947" s="24" t="str">
        <x:v>ColorMatic® 3</x:v>
      </x:c>
      <x:c r="G947" s="24" t="str">
        <x:v>1.54</x:v>
      </x:c>
      <x:c r="H947" s="24" t="str">
        <x:v>1.54</x:v>
      </x:c>
      <x:c r="I947" s="24" t="str">
        <x:v>ROAD</x:v>
      </x:c>
      <x:c r="J947" s="40" t="n">
        <x:v>5165</x:v>
      </x:c>
      <x:c r="K947" s="24" t="str">
        <x:v>-8 a +8</x:v>
      </x:c>
      <x:c r="L947" s="24" t="str">
        <x:v>até -6</x:v>
      </x:c>
      <x:c r="M947" s="24"/>
      <x:c r="N947" s="24" t="str">
        <x:v>75/80</x:v>
      </x:c>
      <x:c r="O947" s="24"/>
      <x:c r="P947" s="24"/>
      <x:c r="Q947" s="24" t="str">
        <x:v>DISPONÍVEL</x:v>
      </x:c>
      <x:c r="R947" s="24"/>
      <x:c r="S947" s="24" t="n">
        <x:v>21</x:v>
      </x:c>
      <x:c r="T947" s="24" t="str">
        <x:v>tabela_rodenstock.pdf</x:v>
      </x:c>
      <x:c r="U947" s="24" t="str">
        <x:v>Rodenstock|Progressiva Freeform|Surfaçada|Progressiv Si Digital|ColorMatic® 3|1.54|1.54|ROAD|-8 a +8|até -6||75/80|||21</x:v>
      </x:c>
    </x:row>
    <x:row r="948">
      <x:c r="A948" s="24" t="str">
        <x:v>RD-FE7FFFB147CD</x:v>
      </x:c>
      <x:c r="B948" s="24" t="str">
        <x:v>Rodenstock</x:v>
      </x:c>
      <x:c r="C948" s="24" t="str">
        <x:v>Progressiva Freeform</x:v>
      </x:c>
      <x:c r="D948" s="24" t="str">
        <x:v>Surfaçada</x:v>
      </x:c>
      <x:c r="E948" s="24" t="str">
        <x:v>Progressiv Si Digital</x:v>
      </x:c>
      <x:c r="F948" s="24" t="str">
        <x:v>ColorMatic® 3</x:v>
      </x:c>
      <x:c r="G948" s="24" t="str">
        <x:v>1.54</x:v>
      </x:c>
      <x:c r="H948" s="24" t="str">
        <x:v>1.54</x:v>
      </x:c>
      <x:c r="I948" s="24" t="str">
        <x:v>Solitaire 2 Protect</x:v>
      </x:c>
      <x:c r="J948" s="40" t="n">
        <x:v>4905</x:v>
      </x:c>
      <x:c r="K948" s="24" t="str">
        <x:v>-8 a +8</x:v>
      </x:c>
      <x:c r="L948" s="24" t="str">
        <x:v>até -6</x:v>
      </x:c>
      <x:c r="M948" s="24"/>
      <x:c r="N948" s="24" t="str">
        <x:v>75/80</x:v>
      </x:c>
      <x:c r="O948" s="24"/>
      <x:c r="P948" s="24"/>
      <x:c r="Q948" s="24" t="str">
        <x:v>DISPONÍVEL</x:v>
      </x:c>
      <x:c r="R948" s="24"/>
      <x:c r="S948" s="24" t="n">
        <x:v>21</x:v>
      </x:c>
      <x:c r="T948" s="24" t="str">
        <x:v>tabela_rodenstock.pdf</x:v>
      </x:c>
      <x:c r="U948" s="24" t="str">
        <x:v>Rodenstock|Progressiva Freeform|Surfaçada|Progressiv Si Digital|ColorMatic® 3|1.54|1.54|Solitaire 2 Protect|-8 a +8|até -6||75/80|||21</x:v>
      </x:c>
    </x:row>
    <x:row r="949">
      <x:c r="A949" s="24" t="str">
        <x:v>RD-ACF708699904</x:v>
      </x:c>
      <x:c r="B949" s="24" t="str">
        <x:v>Rodenstock</x:v>
      </x:c>
      <x:c r="C949" s="24" t="str">
        <x:v>Progressiva Freeform</x:v>
      </x:c>
      <x:c r="D949" s="24" t="str">
        <x:v>Surfaçada</x:v>
      </x:c>
      <x:c r="E949" s="24" t="str">
        <x:v>Progressiv Si Digital</x:v>
      </x:c>
      <x:c r="F949" s="24" t="str">
        <x:v>ColorMatic® 3</x:v>
      </x:c>
      <x:c r="G949" s="24" t="str">
        <x:v>1.54</x:v>
      </x:c>
      <x:c r="H949" s="24" t="str">
        <x:v>1.54</x:v>
      </x:c>
      <x:c r="I949" s="24" t="str">
        <x:v>Solitaire ECO 2</x:v>
      </x:c>
      <x:c r="J949" s="40" t="n">
        <x:v>4425</x:v>
      </x:c>
      <x:c r="K949" s="24" t="str">
        <x:v>-8 a +8</x:v>
      </x:c>
      <x:c r="L949" s="24" t="str">
        <x:v>até -6</x:v>
      </x:c>
      <x:c r="M949" s="24"/>
      <x:c r="N949" s="24" t="str">
        <x:v>75/80</x:v>
      </x:c>
      <x:c r="O949" s="24"/>
      <x:c r="P949" s="24"/>
      <x:c r="Q949" s="24" t="str">
        <x:v>DISPONÍVEL</x:v>
      </x:c>
      <x:c r="R949" s="24"/>
      <x:c r="S949" s="24" t="n">
        <x:v>21</x:v>
      </x:c>
      <x:c r="T949" s="24" t="str">
        <x:v>tabela_rodenstock.pdf</x:v>
      </x:c>
      <x:c r="U949" s="24" t="str">
        <x:v>Rodenstock|Progressiva Freeform|Surfaçada|Progressiv Si Digital|ColorMatic® 3|1.54|1.54|Solitaire ECO 2|-8 a +8|até -6||75/80|||21</x:v>
      </x:c>
    </x:row>
    <x:row r="950">
      <x:c r="A950" s="24" t="str">
        <x:v>RD-7622B9480A65</x:v>
      </x:c>
      <x:c r="B950" s="24" t="str">
        <x:v>Rodenstock</x:v>
      </x:c>
      <x:c r="C950" s="24" t="str">
        <x:v>Progressiva Freeform</x:v>
      </x:c>
      <x:c r="D950" s="24" t="str">
        <x:v>Surfaçada</x:v>
      </x:c>
      <x:c r="E950" s="24" t="str">
        <x:v>Progressiv Si Digital</x:v>
      </x:c>
      <x:c r="F950" s="24" t="str">
        <x:v>ColorMatic® 3</x:v>
      </x:c>
      <x:c r="G950" s="24" t="str">
        <x:v>1.54</x:v>
      </x:c>
      <x:c r="H950" s="24" t="str">
        <x:v>1.54</x:v>
      </x:c>
      <x:c r="I950" s="24" t="str">
        <x:v>Sem AR</x:v>
      </x:c>
      <x:c r="J950" s="40" t="n">
        <x:v>4035</x:v>
      </x:c>
      <x:c r="K950" s="24" t="str">
        <x:v>-8 a +8</x:v>
      </x:c>
      <x:c r="L950" s="24" t="str">
        <x:v>até -6</x:v>
      </x:c>
      <x:c r="M950" s="24"/>
      <x:c r="N950" s="24" t="str">
        <x:v>75/80</x:v>
      </x:c>
      <x:c r="O950" s="24"/>
      <x:c r="P950" s="24"/>
      <x:c r="Q950" s="24" t="str">
        <x:v>DISPONÍVEL</x:v>
      </x:c>
      <x:c r="R950" s="24"/>
      <x:c r="S950" s="24" t="n">
        <x:v>21</x:v>
      </x:c>
      <x:c r="T950" s="24" t="str">
        <x:v>tabela_rodenstock.pdf</x:v>
      </x:c>
      <x:c r="U950" s="24" t="str">
        <x:v>Rodenstock|Progressiva Freeform|Surfaçada|Progressiv Si Digital|ColorMatic® 3|1.54|1.54|Sem AR|-8 a +8|até -6||75/80|||21</x:v>
      </x:c>
    </x:row>
    <x:row r="951">
      <x:c r="A951" s="24" t="str">
        <x:v>RD-03E3BA6B63D9</x:v>
      </x:c>
      <x:c r="B951" s="24" t="str">
        <x:v>Rodenstock</x:v>
      </x:c>
      <x:c r="C951" s="24" t="str">
        <x:v>Progressiva Freeform</x:v>
      </x:c>
      <x:c r="D951" s="24" t="str">
        <x:v>Surfaçada</x:v>
      </x:c>
      <x:c r="E951" s="24" t="str">
        <x:v>Progressiv Si Digital</x:v>
      </x:c>
      <x:c r="F951" s="24"/>
      <x:c r="G951" s="24" t="str">
        <x:v>1.6</x:v>
      </x:c>
      <x:c r="H951" s="24" t="str">
        <x:v>1.60</x:v>
      </x:c>
      <x:c r="I951" s="24" t="str">
        <x:v>Solitaire X-tra Clean</x:v>
      </x:c>
      <x:c r="J951" s="40" t="n">
        <x:v>4599</x:v>
      </x:c>
      <x:c r="K951" s="24" t="str">
        <x:v>-10 a +8</x:v>
      </x:c>
      <x:c r="L951" s="24" t="str">
        <x:v>até -6</x:v>
      </x:c>
      <x:c r="M951" s="24"/>
      <x:c r="N951" s="24" t="str">
        <x:v>75/80</x:v>
      </x:c>
      <x:c r="O951" s="24"/>
      <x:c r="P951" s="24"/>
      <x:c r="Q951" s="24" t="str">
        <x:v>DISPONÍVEL</x:v>
      </x:c>
      <x:c r="R951" s="24"/>
      <x:c r="S951" s="24" t="n">
        <x:v>21</x:v>
      </x:c>
      <x:c r="T951" s="24" t="str">
        <x:v>tabela_rodenstock.pdf</x:v>
      </x:c>
      <x:c r="U951" s="24" t="str">
        <x:v>Rodenstock|Progressiva Freeform|Surfaçada|Progressiv Si Digital||1.6|1.60|Solitaire X-tra Clean|-10 a +8|até -6||75/80|||21</x:v>
      </x:c>
    </x:row>
    <x:row r="952">
      <x:c r="A952" s="24" t="str">
        <x:v>RD-3C0823570013</x:v>
      </x:c>
      <x:c r="B952" s="24" t="str">
        <x:v>Rodenstock</x:v>
      </x:c>
      <x:c r="C952" s="24" t="str">
        <x:v>Progressiva Freeform</x:v>
      </x:c>
      <x:c r="D952" s="24" t="str">
        <x:v>Surfaçada</x:v>
      </x:c>
      <x:c r="E952" s="24" t="str">
        <x:v>Progressiv Si Digital</x:v>
      </x:c>
      <x:c r="F952" s="24"/>
      <x:c r="G952" s="24" t="str">
        <x:v>1.6</x:v>
      </x:c>
      <x:c r="H952" s="24" t="str">
        <x:v>1.60</x:v>
      </x:c>
      <x:c r="I952" s="24" t="str">
        <x:v>Solitaire 2 Protect Balance</x:v>
      </x:c>
      <x:c r="J952" s="40" t="n">
        <x:v>4549</x:v>
      </x:c>
      <x:c r="K952" s="24" t="str">
        <x:v>-10 a +8</x:v>
      </x:c>
      <x:c r="L952" s="24" t="str">
        <x:v>até -6</x:v>
      </x:c>
      <x:c r="M952" s="24"/>
      <x:c r="N952" s="24" t="str">
        <x:v>75/80</x:v>
      </x:c>
      <x:c r="O952" s="24"/>
      <x:c r="P952" s="24"/>
      <x:c r="Q952" s="24" t="str">
        <x:v>DISPONÍVEL</x:v>
      </x:c>
      <x:c r="R952" s="24"/>
      <x:c r="S952" s="24" t="n">
        <x:v>21</x:v>
      </x:c>
      <x:c r="T952" s="24" t="str">
        <x:v>tabela_rodenstock.pdf</x:v>
      </x:c>
      <x:c r="U952" s="24" t="str">
        <x:v>Rodenstock|Progressiva Freeform|Surfaçada|Progressiv Si Digital||1.6|1.60|Solitaire 2 Protect Balance|-10 a +8|até -6||75/80|||21</x:v>
      </x:c>
    </x:row>
    <x:row r="953">
      <x:c r="A953" s="24" t="str">
        <x:v>RD-3A41D822D580</x:v>
      </x:c>
      <x:c r="B953" s="24" t="str">
        <x:v>Rodenstock</x:v>
      </x:c>
      <x:c r="C953" s="24" t="str">
        <x:v>Progressiva Freeform</x:v>
      </x:c>
      <x:c r="D953" s="24" t="str">
        <x:v>Surfaçada</x:v>
      </x:c>
      <x:c r="E953" s="24" t="str">
        <x:v>Progressiv Si Digital</x:v>
      </x:c>
      <x:c r="F953" s="24"/>
      <x:c r="G953" s="24" t="str">
        <x:v>1.6</x:v>
      </x:c>
      <x:c r="H953" s="24" t="str">
        <x:v>1.60</x:v>
      </x:c>
      <x:c r="I953" s="24" t="str">
        <x:v>Solitaire 2 Protect Plus</x:v>
      </x:c>
      <x:c r="J953" s="40" t="n">
        <x:v>4549</x:v>
      </x:c>
      <x:c r="K953" s="24" t="str">
        <x:v>-10 a +8</x:v>
      </x:c>
      <x:c r="L953" s="24" t="str">
        <x:v>até -6</x:v>
      </x:c>
      <x:c r="M953" s="24"/>
      <x:c r="N953" s="24" t="str">
        <x:v>75/80</x:v>
      </x:c>
      <x:c r="O953" s="24"/>
      <x:c r="P953" s="24"/>
      <x:c r="Q953" s="24" t="str">
        <x:v>DISPONÍVEL</x:v>
      </x:c>
      <x:c r="R953" s="24"/>
      <x:c r="S953" s="24" t="n">
        <x:v>21</x:v>
      </x:c>
      <x:c r="T953" s="24" t="str">
        <x:v>tabela_rodenstock.pdf</x:v>
      </x:c>
      <x:c r="U953" s="24" t="str">
        <x:v>Rodenstock|Progressiva Freeform|Surfaçada|Progressiv Si Digital||1.6|1.60|Solitaire 2 Protect Plus|-10 a +8|até -6||75/80|||21</x:v>
      </x:c>
    </x:row>
    <x:row r="954">
      <x:c r="A954" s="24" t="str">
        <x:v>RD-38364D619CFA</x:v>
      </x:c>
      <x:c r="B954" s="24" t="str">
        <x:v>Rodenstock</x:v>
      </x:c>
      <x:c r="C954" s="24" t="str">
        <x:v>Progressiva Freeform</x:v>
      </x:c>
      <x:c r="D954" s="24" t="str">
        <x:v>Surfaçada</x:v>
      </x:c>
      <x:c r="E954" s="24" t="str">
        <x:v>Progressiv Si Digital</x:v>
      </x:c>
      <x:c r="F954" s="24"/>
      <x:c r="G954" s="24" t="str">
        <x:v>1.6</x:v>
      </x:c>
      <x:c r="H954" s="24" t="str">
        <x:v>1.60</x:v>
      </x:c>
      <x:c r="I954" s="24" t="str">
        <x:v>ROAD</x:v>
      </x:c>
      <x:c r="J954" s="40" t="n">
        <x:v>4549</x:v>
      </x:c>
      <x:c r="K954" s="24" t="str">
        <x:v>-10 a +8</x:v>
      </x:c>
      <x:c r="L954" s="24" t="str">
        <x:v>até -6</x:v>
      </x:c>
      <x:c r="M954" s="24"/>
      <x:c r="N954" s="24" t="str">
        <x:v>75/80</x:v>
      </x:c>
      <x:c r="O954" s="24"/>
      <x:c r="P954" s="24"/>
      <x:c r="Q954" s="24" t="str">
        <x:v>DISPONÍVEL</x:v>
      </x:c>
      <x:c r="R954" s="24"/>
      <x:c r="S954" s="24" t="n">
        <x:v>21</x:v>
      </x:c>
      <x:c r="T954" s="24" t="str">
        <x:v>tabela_rodenstock.pdf</x:v>
      </x:c>
      <x:c r="U954" s="24" t="str">
        <x:v>Rodenstock|Progressiva Freeform|Surfaçada|Progressiv Si Digital||1.6|1.60|ROAD|-10 a +8|até -6||75/80|||21</x:v>
      </x:c>
    </x:row>
    <x:row r="955">
      <x:c r="A955" s="24" t="str">
        <x:v>RD-4FDAD1B3B6FB</x:v>
      </x:c>
      <x:c r="B955" s="24" t="str">
        <x:v>Rodenstock</x:v>
      </x:c>
      <x:c r="C955" s="24" t="str">
        <x:v>Progressiva Freeform</x:v>
      </x:c>
      <x:c r="D955" s="24" t="str">
        <x:v>Surfaçada</x:v>
      </x:c>
      <x:c r="E955" s="24" t="str">
        <x:v>Progressiv Si Digital</x:v>
      </x:c>
      <x:c r="F955" s="24"/>
      <x:c r="G955" s="24" t="str">
        <x:v>1.6</x:v>
      </x:c>
      <x:c r="H955" s="24" t="str">
        <x:v>1.60</x:v>
      </x:c>
      <x:c r="I955" s="24" t="str">
        <x:v>Solitaire 2 Protect</x:v>
      </x:c>
      <x:c r="J955" s="40" t="n">
        <x:v>4289</x:v>
      </x:c>
      <x:c r="K955" s="24" t="str">
        <x:v>-10 a +8</x:v>
      </x:c>
      <x:c r="L955" s="24" t="str">
        <x:v>até -6</x:v>
      </x:c>
      <x:c r="M955" s="24"/>
      <x:c r="N955" s="24" t="str">
        <x:v>75/80</x:v>
      </x:c>
      <x:c r="O955" s="24"/>
      <x:c r="P955" s="24"/>
      <x:c r="Q955" s="24" t="str">
        <x:v>DISPONÍVEL</x:v>
      </x:c>
      <x:c r="R955" s="24"/>
      <x:c r="S955" s="24" t="n">
        <x:v>21</x:v>
      </x:c>
      <x:c r="T955" s="24" t="str">
        <x:v>tabela_rodenstock.pdf</x:v>
      </x:c>
      <x:c r="U955" s="24" t="str">
        <x:v>Rodenstock|Progressiva Freeform|Surfaçada|Progressiv Si Digital||1.6|1.60|Solitaire 2 Protect|-10 a +8|até -6||75/80|||21</x:v>
      </x:c>
    </x:row>
    <x:row r="956">
      <x:c r="A956" s="24" t="str">
        <x:v>RD-011847E7352B</x:v>
      </x:c>
      <x:c r="B956" s="24" t="str">
        <x:v>Rodenstock</x:v>
      </x:c>
      <x:c r="C956" s="24" t="str">
        <x:v>Progressiva Freeform</x:v>
      </x:c>
      <x:c r="D956" s="24" t="str">
        <x:v>Surfaçada</x:v>
      </x:c>
      <x:c r="E956" s="24" t="str">
        <x:v>Progressiv Si Digital</x:v>
      </x:c>
      <x:c r="F956" s="24"/>
      <x:c r="G956" s="24" t="str">
        <x:v>1.6</x:v>
      </x:c>
      <x:c r="H956" s="24" t="str">
        <x:v>1.60</x:v>
      </x:c>
      <x:c r="I956" s="24" t="str">
        <x:v>Solitaire ECO 2</x:v>
      </x:c>
      <x:c r="J956" s="40" t="n">
        <x:v>3809</x:v>
      </x:c>
      <x:c r="K956" s="24" t="str">
        <x:v>-10 a +8</x:v>
      </x:c>
      <x:c r="L956" s="24" t="str">
        <x:v>até -6</x:v>
      </x:c>
      <x:c r="M956" s="24"/>
      <x:c r="N956" s="24" t="str">
        <x:v>75/80</x:v>
      </x:c>
      <x:c r="O956" s="24"/>
      <x:c r="P956" s="24"/>
      <x:c r="Q956" s="24" t="str">
        <x:v>DISPONÍVEL</x:v>
      </x:c>
      <x:c r="R956" s="24"/>
      <x:c r="S956" s="24" t="n">
        <x:v>21</x:v>
      </x:c>
      <x:c r="T956" s="24" t="str">
        <x:v>tabela_rodenstock.pdf</x:v>
      </x:c>
      <x:c r="U956" s="24" t="str">
        <x:v>Rodenstock|Progressiva Freeform|Surfaçada|Progressiv Si Digital||1.6|1.60|Solitaire ECO 2|-10 a +8|até -6||75/80|||21</x:v>
      </x:c>
    </x:row>
    <x:row r="957">
      <x:c r="A957" s="24" t="str">
        <x:v>RD-D09C1E50A52F</x:v>
      </x:c>
      <x:c r="B957" s="24" t="str">
        <x:v>Rodenstock</x:v>
      </x:c>
      <x:c r="C957" s="24" t="str">
        <x:v>Progressiva Freeform</x:v>
      </x:c>
      <x:c r="D957" s="24" t="str">
        <x:v>Surfaçada</x:v>
      </x:c>
      <x:c r="E957" s="24" t="str">
        <x:v>Progressiv Si Digital</x:v>
      </x:c>
      <x:c r="F957" s="24" t="str">
        <x:v>ColorMatic® 3</x:v>
      </x:c>
      <x:c r="G957" s="24" t="str">
        <x:v>1.6</x:v>
      </x:c>
      <x:c r="H957" s="24" t="str">
        <x:v>1.60</x:v>
      </x:c>
      <x:c r="I957" s="24" t="str">
        <x:v>Solitaire X-tra Clean</x:v>
      </x:c>
      <x:c r="J957" s="40" t="n">
        <x:v>6238</x:v>
      </x:c>
      <x:c r="K957" s="24" t="str">
        <x:v>-10 a +8</x:v>
      </x:c>
      <x:c r="L957" s="24" t="str">
        <x:v>até -6</x:v>
      </x:c>
      <x:c r="M957" s="24"/>
      <x:c r="N957" s="24" t="str">
        <x:v>75/80</x:v>
      </x:c>
      <x:c r="O957" s="24"/>
      <x:c r="P957" s="24"/>
      <x:c r="Q957" s="24" t="str">
        <x:v>DISPONÍVEL</x:v>
      </x:c>
      <x:c r="R957" s="24"/>
      <x:c r="S957" s="24" t="n">
        <x:v>21</x:v>
      </x:c>
      <x:c r="T957" s="24" t="str">
        <x:v>tabela_rodenstock.pdf</x:v>
      </x:c>
      <x:c r="U957" s="24" t="str">
        <x:v>Rodenstock|Progressiva Freeform|Surfaçada|Progressiv Si Digital|ColorMatic® 3|1.6|1.60|Solitaire X-tra Clean|-10 a +8|até -6||75/80|||21</x:v>
      </x:c>
    </x:row>
    <x:row r="958">
      <x:c r="A958" s="24" t="str">
        <x:v>RD-1390FAF63D84</x:v>
      </x:c>
      <x:c r="B958" s="24" t="str">
        <x:v>Rodenstock</x:v>
      </x:c>
      <x:c r="C958" s="24" t="str">
        <x:v>Progressiva Freeform</x:v>
      </x:c>
      <x:c r="D958" s="24" t="str">
        <x:v>Surfaçada</x:v>
      </x:c>
      <x:c r="E958" s="24" t="str">
        <x:v>Progressiv Si Digital</x:v>
      </x:c>
      <x:c r="F958" s="24" t="str">
        <x:v>ColorMatic® 3</x:v>
      </x:c>
      <x:c r="G958" s="24" t="str">
        <x:v>1.6</x:v>
      </x:c>
      <x:c r="H958" s="24" t="str">
        <x:v>1.60</x:v>
      </x:c>
      <x:c r="I958" s="24" t="str">
        <x:v>Solitaire 2 Protect Balance</x:v>
      </x:c>
      <x:c r="J958" s="40" t="n">
        <x:v>6188</x:v>
      </x:c>
      <x:c r="K958" s="24" t="str">
        <x:v>-10 a +8</x:v>
      </x:c>
      <x:c r="L958" s="24" t="str">
        <x:v>até -6</x:v>
      </x:c>
      <x:c r="M958" s="24"/>
      <x:c r="N958" s="24" t="str">
        <x:v>75/80</x:v>
      </x:c>
      <x:c r="O958" s="24"/>
      <x:c r="P958" s="24"/>
      <x:c r="Q958" s="24" t="str">
        <x:v>DISPONÍVEL</x:v>
      </x:c>
      <x:c r="R958" s="24"/>
      <x:c r="S958" s="24" t="n">
        <x:v>21</x:v>
      </x:c>
      <x:c r="T958" s="24" t="str">
        <x:v>tabela_rodenstock.pdf</x:v>
      </x:c>
      <x:c r="U958" s="24" t="str">
        <x:v>Rodenstock|Progressiva Freeform|Surfaçada|Progressiv Si Digital|ColorMatic® 3|1.6|1.60|Solitaire 2 Protect Balance|-10 a +8|até -6||75/80|||21</x:v>
      </x:c>
    </x:row>
    <x:row r="959">
      <x:c r="A959" s="24" t="str">
        <x:v>RD-7560B2068E26</x:v>
      </x:c>
      <x:c r="B959" s="24" t="str">
        <x:v>Rodenstock</x:v>
      </x:c>
      <x:c r="C959" s="24" t="str">
        <x:v>Progressiva Freeform</x:v>
      </x:c>
      <x:c r="D959" s="24" t="str">
        <x:v>Surfaçada</x:v>
      </x:c>
      <x:c r="E959" s="24" t="str">
        <x:v>Progressiv Si Digital</x:v>
      </x:c>
      <x:c r="F959" s="24" t="str">
        <x:v>ColorMatic® 3</x:v>
      </x:c>
      <x:c r="G959" s="24" t="str">
        <x:v>1.6</x:v>
      </x:c>
      <x:c r="H959" s="24" t="str">
        <x:v>1.60</x:v>
      </x:c>
      <x:c r="I959" s="24" t="str">
        <x:v>Solitaire 2 Protect Plus</x:v>
      </x:c>
      <x:c r="J959" s="40" t="n">
        <x:v>6188</x:v>
      </x:c>
      <x:c r="K959" s="24" t="str">
        <x:v>-10 a +8</x:v>
      </x:c>
      <x:c r="L959" s="24" t="str">
        <x:v>até -6</x:v>
      </x:c>
      <x:c r="M959" s="24"/>
      <x:c r="N959" s="24" t="str">
        <x:v>75/80</x:v>
      </x:c>
      <x:c r="O959" s="24"/>
      <x:c r="P959" s="24"/>
      <x:c r="Q959" s="24" t="str">
        <x:v>DISPONÍVEL</x:v>
      </x:c>
      <x:c r="R959" s="24"/>
      <x:c r="S959" s="24" t="n">
        <x:v>21</x:v>
      </x:c>
      <x:c r="T959" s="24" t="str">
        <x:v>tabela_rodenstock.pdf</x:v>
      </x:c>
      <x:c r="U959" s="24" t="str">
        <x:v>Rodenstock|Progressiva Freeform|Surfaçada|Progressiv Si Digital|ColorMatic® 3|1.6|1.60|Solitaire 2 Protect Plus|-10 a +8|até -6||75/80|||21</x:v>
      </x:c>
    </x:row>
    <x:row r="960">
      <x:c r="A960" s="24" t="str">
        <x:v>RD-268D68068FEA</x:v>
      </x:c>
      <x:c r="B960" s="24" t="str">
        <x:v>Rodenstock</x:v>
      </x:c>
      <x:c r="C960" s="24" t="str">
        <x:v>Progressiva Freeform</x:v>
      </x:c>
      <x:c r="D960" s="24" t="str">
        <x:v>Surfaçada</x:v>
      </x:c>
      <x:c r="E960" s="24" t="str">
        <x:v>Progressiv Si Digital</x:v>
      </x:c>
      <x:c r="F960" s="24" t="str">
        <x:v>ColorMatic® 3</x:v>
      </x:c>
      <x:c r="G960" s="24" t="str">
        <x:v>1.6</x:v>
      </x:c>
      <x:c r="H960" s="24" t="str">
        <x:v>1.60</x:v>
      </x:c>
      <x:c r="I960" s="24" t="str">
        <x:v>ROAD</x:v>
      </x:c>
      <x:c r="J960" s="40" t="n">
        <x:v>6188</x:v>
      </x:c>
      <x:c r="K960" s="24" t="str">
        <x:v>-10 a +8</x:v>
      </x:c>
      <x:c r="L960" s="24" t="str">
        <x:v>até -6</x:v>
      </x:c>
      <x:c r="M960" s="24"/>
      <x:c r="N960" s="24" t="str">
        <x:v>75/80</x:v>
      </x:c>
      <x:c r="O960" s="24"/>
      <x:c r="P960" s="24"/>
      <x:c r="Q960" s="24" t="str">
        <x:v>DISPONÍVEL</x:v>
      </x:c>
      <x:c r="R960" s="24"/>
      <x:c r="S960" s="24" t="n">
        <x:v>21</x:v>
      </x:c>
      <x:c r="T960" s="24" t="str">
        <x:v>tabela_rodenstock.pdf</x:v>
      </x:c>
      <x:c r="U960" s="24" t="str">
        <x:v>Rodenstock|Progressiva Freeform|Surfaçada|Progressiv Si Digital|ColorMatic® 3|1.6|1.60|ROAD|-10 a +8|até -6||75/80|||21</x:v>
      </x:c>
    </x:row>
    <x:row r="961">
      <x:c r="A961" s="24" t="str">
        <x:v>RD-4EFE5DC3CA0A</x:v>
      </x:c>
      <x:c r="B961" s="24" t="str">
        <x:v>Rodenstock</x:v>
      </x:c>
      <x:c r="C961" s="24" t="str">
        <x:v>Progressiva Freeform</x:v>
      </x:c>
      <x:c r="D961" s="24" t="str">
        <x:v>Surfaçada</x:v>
      </x:c>
      <x:c r="E961" s="24" t="str">
        <x:v>Progressiv Si Digital</x:v>
      </x:c>
      <x:c r="F961" s="24" t="str">
        <x:v>ColorMatic® 3</x:v>
      </x:c>
      <x:c r="G961" s="24" t="str">
        <x:v>1.6</x:v>
      </x:c>
      <x:c r="H961" s="24" t="str">
        <x:v>1.60</x:v>
      </x:c>
      <x:c r="I961" s="24" t="str">
        <x:v>Solitaire 2 Protect</x:v>
      </x:c>
      <x:c r="J961" s="40" t="n">
        <x:v>5928</x:v>
      </x:c>
      <x:c r="K961" s="24" t="str">
        <x:v>-10 a +8</x:v>
      </x:c>
      <x:c r="L961" s="24" t="str">
        <x:v>até -6</x:v>
      </x:c>
      <x:c r="M961" s="24"/>
      <x:c r="N961" s="24" t="str">
        <x:v>75/80</x:v>
      </x:c>
      <x:c r="O961" s="24"/>
      <x:c r="P961" s="24"/>
      <x:c r="Q961" s="24" t="str">
        <x:v>DISPONÍVEL</x:v>
      </x:c>
      <x:c r="R961" s="24"/>
      <x:c r="S961" s="24" t="n">
        <x:v>21</x:v>
      </x:c>
      <x:c r="T961" s="24" t="str">
        <x:v>tabela_rodenstock.pdf</x:v>
      </x:c>
      <x:c r="U961" s="24" t="str">
        <x:v>Rodenstock|Progressiva Freeform|Surfaçada|Progressiv Si Digital|ColorMatic® 3|1.6|1.60|Solitaire 2 Protect|-10 a +8|até -6||75/80|||21</x:v>
      </x:c>
    </x:row>
    <x:row r="962">
      <x:c r="A962" s="24" t="str">
        <x:v>RD-1B88CFD290B9</x:v>
      </x:c>
      <x:c r="B962" s="24" t="str">
        <x:v>Rodenstock</x:v>
      </x:c>
      <x:c r="C962" s="24" t="str">
        <x:v>Progressiva Freeform</x:v>
      </x:c>
      <x:c r="D962" s="24" t="str">
        <x:v>Surfaçada</x:v>
      </x:c>
      <x:c r="E962" s="24" t="str">
        <x:v>Progressiv Si Digital</x:v>
      </x:c>
      <x:c r="F962" s="24" t="str">
        <x:v>ColorMatic® 3</x:v>
      </x:c>
      <x:c r="G962" s="24" t="str">
        <x:v>1.6</x:v>
      </x:c>
      <x:c r="H962" s="24" t="str">
        <x:v>1.60</x:v>
      </x:c>
      <x:c r="I962" s="24" t="str">
        <x:v>Solitaire ECO 2</x:v>
      </x:c>
      <x:c r="J962" s="40" t="n">
        <x:v>5448</x:v>
      </x:c>
      <x:c r="K962" s="24" t="str">
        <x:v>-10 a +8</x:v>
      </x:c>
      <x:c r="L962" s="24" t="str">
        <x:v>até -6</x:v>
      </x:c>
      <x:c r="M962" s="24"/>
      <x:c r="N962" s="24" t="str">
        <x:v>75/80</x:v>
      </x:c>
      <x:c r="O962" s="24"/>
      <x:c r="P962" s="24"/>
      <x:c r="Q962" s="24" t="str">
        <x:v>DISPONÍVEL</x:v>
      </x:c>
      <x:c r="R962" s="24"/>
      <x:c r="S962" s="24" t="n">
        <x:v>21</x:v>
      </x:c>
      <x:c r="T962" s="24" t="str">
        <x:v>tabela_rodenstock.pdf</x:v>
      </x:c>
      <x:c r="U962" s="24" t="str">
        <x:v>Rodenstock|Progressiva Freeform|Surfaçada|Progressiv Si Digital|ColorMatic® 3|1.6|1.60|Solitaire ECO 2|-10 a +8|até -6||75/80|||21</x:v>
      </x:c>
    </x:row>
    <x:row r="963">
      <x:c r="A963" s="24" t="str">
        <x:v>RD-B1C6B64A1D27</x:v>
      </x:c>
      <x:c r="B963" s="24" t="str">
        <x:v>Rodenstock</x:v>
      </x:c>
      <x:c r="C963" s="24" t="str">
        <x:v>Progressiva Freeform</x:v>
      </x:c>
      <x:c r="D963" s="24" t="str">
        <x:v>Surfaçada</x:v>
      </x:c>
      <x:c r="E963" s="24" t="str">
        <x:v>Progressiv Si Digital</x:v>
      </x:c>
      <x:c r="F963" s="24"/>
      <x:c r="G963" s="24" t="str">
        <x:v>1.67</x:v>
      </x:c>
      <x:c r="H963" s="24" t="str">
        <x:v>1.67</x:v>
      </x:c>
      <x:c r="I963" s="24" t="str">
        <x:v>Solitaire X-tra Clean</x:v>
      </x:c>
      <x:c r="J963" s="40" t="n">
        <x:v>6680</x:v>
      </x:c>
      <x:c r="K963" s="24" t="str">
        <x:v>-10 a +8</x:v>
      </x:c>
      <x:c r="L963" s="24" t="str">
        <x:v>até -6</x:v>
      </x:c>
      <x:c r="M963" s="24"/>
      <x:c r="N963" s="24" t="str">
        <x:v>75/80</x:v>
      </x:c>
      <x:c r="O963" s="24"/>
      <x:c r="P963" s="24"/>
      <x:c r="Q963" s="24" t="str">
        <x:v>DISPONÍVEL</x:v>
      </x:c>
      <x:c r="R963" s="24"/>
      <x:c r="S963" s="24" t="n">
        <x:v>21</x:v>
      </x:c>
      <x:c r="T963" s="24" t="str">
        <x:v>tabela_rodenstock.pdf</x:v>
      </x:c>
      <x:c r="U963" s="24" t="str">
        <x:v>Rodenstock|Progressiva Freeform|Surfaçada|Progressiv Si Digital||1.67|1.67|Solitaire X-tra Clean|-10 a +8|até -6||75/80|||21</x:v>
      </x:c>
    </x:row>
    <x:row r="964">
      <x:c r="A964" s="24" t="str">
        <x:v>RD-24CAAFA02B0F</x:v>
      </x:c>
      <x:c r="B964" s="24" t="str">
        <x:v>Rodenstock</x:v>
      </x:c>
      <x:c r="C964" s="24" t="str">
        <x:v>Progressiva Freeform</x:v>
      </x:c>
      <x:c r="D964" s="24" t="str">
        <x:v>Surfaçada</x:v>
      </x:c>
      <x:c r="E964" s="24" t="str">
        <x:v>Progressiv Si Digital</x:v>
      </x:c>
      <x:c r="F964" s="24"/>
      <x:c r="G964" s="24" t="str">
        <x:v>1.67</x:v>
      </x:c>
      <x:c r="H964" s="24" t="str">
        <x:v>1.67</x:v>
      </x:c>
      <x:c r="I964" s="24" t="str">
        <x:v>Solitaire 2 Protect Balance</x:v>
      </x:c>
      <x:c r="J964" s="40" t="n">
        <x:v>6630</x:v>
      </x:c>
      <x:c r="K964" s="24" t="str">
        <x:v>-10 a +8</x:v>
      </x:c>
      <x:c r="L964" s="24" t="str">
        <x:v>até -6</x:v>
      </x:c>
      <x:c r="M964" s="24"/>
      <x:c r="N964" s="24" t="str">
        <x:v>75/80</x:v>
      </x:c>
      <x:c r="O964" s="24"/>
      <x:c r="P964" s="24"/>
      <x:c r="Q964" s="24" t="str">
        <x:v>DISPONÍVEL</x:v>
      </x:c>
      <x:c r="R964" s="24"/>
      <x:c r="S964" s="24" t="n">
        <x:v>21</x:v>
      </x:c>
      <x:c r="T964" s="24" t="str">
        <x:v>tabela_rodenstock.pdf</x:v>
      </x:c>
      <x:c r="U964" s="24" t="str">
        <x:v>Rodenstock|Progressiva Freeform|Surfaçada|Progressiv Si Digital||1.67|1.67|Solitaire 2 Protect Balance|-10 a +8|até -6||75/80|||21</x:v>
      </x:c>
    </x:row>
    <x:row r="965">
      <x:c r="A965" s="24" t="str">
        <x:v>RD-A84924B392C7</x:v>
      </x:c>
      <x:c r="B965" s="24" t="str">
        <x:v>Rodenstock</x:v>
      </x:c>
      <x:c r="C965" s="24" t="str">
        <x:v>Progressiva Freeform</x:v>
      </x:c>
      <x:c r="D965" s="24" t="str">
        <x:v>Surfaçada</x:v>
      </x:c>
      <x:c r="E965" s="24" t="str">
        <x:v>Progressiv Si Digital</x:v>
      </x:c>
      <x:c r="F965" s="24"/>
      <x:c r="G965" s="24" t="str">
        <x:v>1.67</x:v>
      </x:c>
      <x:c r="H965" s="24" t="str">
        <x:v>1.67</x:v>
      </x:c>
      <x:c r="I965" s="24" t="str">
        <x:v>Solitaire 2 Protect Plus</x:v>
      </x:c>
      <x:c r="J965" s="40" t="n">
        <x:v>6630</x:v>
      </x:c>
      <x:c r="K965" s="24" t="str">
        <x:v>-10 a +8</x:v>
      </x:c>
      <x:c r="L965" s="24" t="str">
        <x:v>até -6</x:v>
      </x:c>
      <x:c r="M965" s="24"/>
      <x:c r="N965" s="24" t="str">
        <x:v>75/80</x:v>
      </x:c>
      <x:c r="O965" s="24"/>
      <x:c r="P965" s="24"/>
      <x:c r="Q965" s="24" t="str">
        <x:v>DISPONÍVEL</x:v>
      </x:c>
      <x:c r="R965" s="24"/>
      <x:c r="S965" s="24" t="n">
        <x:v>21</x:v>
      </x:c>
      <x:c r="T965" s="24" t="str">
        <x:v>tabela_rodenstock.pdf</x:v>
      </x:c>
      <x:c r="U965" s="24" t="str">
        <x:v>Rodenstock|Progressiva Freeform|Surfaçada|Progressiv Si Digital||1.67|1.67|Solitaire 2 Protect Plus|-10 a +8|até -6||75/80|||21</x:v>
      </x:c>
    </x:row>
    <x:row r="966">
      <x:c r="A966" s="24" t="str">
        <x:v>RD-E7F8D4DA0512</x:v>
      </x:c>
      <x:c r="B966" s="24" t="str">
        <x:v>Rodenstock</x:v>
      </x:c>
      <x:c r="C966" s="24" t="str">
        <x:v>Progressiva Freeform</x:v>
      </x:c>
      <x:c r="D966" s="24" t="str">
        <x:v>Surfaçada</x:v>
      </x:c>
      <x:c r="E966" s="24" t="str">
        <x:v>Progressiv Si Digital</x:v>
      </x:c>
      <x:c r="F966" s="24"/>
      <x:c r="G966" s="24" t="str">
        <x:v>1.67</x:v>
      </x:c>
      <x:c r="H966" s="24" t="str">
        <x:v>1.67</x:v>
      </x:c>
      <x:c r="I966" s="24" t="str">
        <x:v>ROAD</x:v>
      </x:c>
      <x:c r="J966" s="40" t="n">
        <x:v>6630</x:v>
      </x:c>
      <x:c r="K966" s="24" t="str">
        <x:v>-10 a +8</x:v>
      </x:c>
      <x:c r="L966" s="24" t="str">
        <x:v>até -6</x:v>
      </x:c>
      <x:c r="M966" s="24"/>
      <x:c r="N966" s="24" t="str">
        <x:v>75/80</x:v>
      </x:c>
      <x:c r="O966" s="24"/>
      <x:c r="P966" s="24"/>
      <x:c r="Q966" s="24" t="str">
        <x:v>DISPONÍVEL</x:v>
      </x:c>
      <x:c r="R966" s="24"/>
      <x:c r="S966" s="24" t="n">
        <x:v>21</x:v>
      </x:c>
      <x:c r="T966" s="24" t="str">
        <x:v>tabela_rodenstock.pdf</x:v>
      </x:c>
      <x:c r="U966" s="24" t="str">
        <x:v>Rodenstock|Progressiva Freeform|Surfaçada|Progressiv Si Digital||1.67|1.67|ROAD|-10 a +8|até -6||75/80|||21</x:v>
      </x:c>
    </x:row>
    <x:row r="967">
      <x:c r="A967" s="24" t="str">
        <x:v>RD-09E85FBAD2EC</x:v>
      </x:c>
      <x:c r="B967" s="24" t="str">
        <x:v>Rodenstock</x:v>
      </x:c>
      <x:c r="C967" s="24" t="str">
        <x:v>Progressiva Freeform</x:v>
      </x:c>
      <x:c r="D967" s="24" t="str">
        <x:v>Surfaçada</x:v>
      </x:c>
      <x:c r="E967" s="24" t="str">
        <x:v>Progressiv Si Digital</x:v>
      </x:c>
      <x:c r="F967" s="24"/>
      <x:c r="G967" s="24" t="str">
        <x:v>1.67</x:v>
      </x:c>
      <x:c r="H967" s="24" t="str">
        <x:v>1.67</x:v>
      </x:c>
      <x:c r="I967" s="24" t="str">
        <x:v>Solitaire 2 Protect</x:v>
      </x:c>
      <x:c r="J967" s="40" t="n">
        <x:v>6370</x:v>
      </x:c>
      <x:c r="K967" s="24" t="str">
        <x:v>-10 a +8</x:v>
      </x:c>
      <x:c r="L967" s="24" t="str">
        <x:v>até -6</x:v>
      </x:c>
      <x:c r="M967" s="24"/>
      <x:c r="N967" s="24" t="str">
        <x:v>75/80</x:v>
      </x:c>
      <x:c r="O967" s="24"/>
      <x:c r="P967" s="24"/>
      <x:c r="Q967" s="24" t="str">
        <x:v>DISPONÍVEL</x:v>
      </x:c>
      <x:c r="R967" s="24"/>
      <x:c r="S967" s="24" t="n">
        <x:v>21</x:v>
      </x:c>
      <x:c r="T967" s="24" t="str">
        <x:v>tabela_rodenstock.pdf</x:v>
      </x:c>
      <x:c r="U967" s="24" t="str">
        <x:v>Rodenstock|Progressiva Freeform|Surfaçada|Progressiv Si Digital||1.67|1.67|Solitaire 2 Protect|-10 a +8|até -6||75/80|||21</x:v>
      </x:c>
    </x:row>
    <x:row r="968">
      <x:c r="A968" s="24" t="str">
        <x:v>RD-FE37398D0667</x:v>
      </x:c>
      <x:c r="B968" s="24" t="str">
        <x:v>Rodenstock</x:v>
      </x:c>
      <x:c r="C968" s="24" t="str">
        <x:v>Progressiva Freeform</x:v>
      </x:c>
      <x:c r="D968" s="24" t="str">
        <x:v>Surfaçada</x:v>
      </x:c>
      <x:c r="E968" s="24" t="str">
        <x:v>Progressiv Si Digital</x:v>
      </x:c>
      <x:c r="F968" s="24"/>
      <x:c r="G968" s="24" t="str">
        <x:v>1.67</x:v>
      </x:c>
      <x:c r="H968" s="24" t="str">
        <x:v>1.67</x:v>
      </x:c>
      <x:c r="I968" s="24" t="str">
        <x:v>Solitaire ECO 2</x:v>
      </x:c>
      <x:c r="J968" s="40" t="n">
        <x:v>5890</x:v>
      </x:c>
      <x:c r="K968" s="24" t="str">
        <x:v>-10 a +8</x:v>
      </x:c>
      <x:c r="L968" s="24" t="str">
        <x:v>até -6</x:v>
      </x:c>
      <x:c r="M968" s="24"/>
      <x:c r="N968" s="24" t="str">
        <x:v>75/80</x:v>
      </x:c>
      <x:c r="O968" s="24"/>
      <x:c r="P968" s="24"/>
      <x:c r="Q968" s="24" t="str">
        <x:v>DISPONÍVEL</x:v>
      </x:c>
      <x:c r="R968" s="24"/>
      <x:c r="S968" s="24" t="n">
        <x:v>21</x:v>
      </x:c>
      <x:c r="T968" s="24" t="str">
        <x:v>tabela_rodenstock.pdf</x:v>
      </x:c>
      <x:c r="U968" s="24" t="str">
        <x:v>Rodenstock|Progressiva Freeform|Surfaçada|Progressiv Si Digital||1.67|1.67|Solitaire ECO 2|-10 a +8|até -6||75/80|||21</x:v>
      </x:c>
    </x:row>
    <x:row r="969">
      <x:c r="A969" s="24" t="str">
        <x:v>RD-DF507A9D0898</x:v>
      </x:c>
      <x:c r="B969" s="24" t="str">
        <x:v>Rodenstock</x:v>
      </x:c>
      <x:c r="C969" s="24" t="str">
        <x:v>Progressiva Freeform</x:v>
      </x:c>
      <x:c r="D969" s="24" t="str">
        <x:v>Surfaçada</x:v>
      </x:c>
      <x:c r="E969" s="24" t="str">
        <x:v>Progressiv Si Digital</x:v>
      </x:c>
      <x:c r="F969" s="24" t="str">
        <x:v>ColorMatic® 3</x:v>
      </x:c>
      <x:c r="G969" s="24" t="str">
        <x:v>1.67</x:v>
      </x:c>
      <x:c r="H969" s="24" t="str">
        <x:v>1.67</x:v>
      </x:c>
      <x:c r="I969" s="24" t="str">
        <x:v>Solitaire X-tra Clean</x:v>
      </x:c>
      <x:c r="J969" s="40" t="n">
        <x:v>8292</x:v>
      </x:c>
      <x:c r="K969" s="24" t="str">
        <x:v>-10 a +8</x:v>
      </x:c>
      <x:c r="L969" s="24" t="str">
        <x:v>até -6</x:v>
      </x:c>
      <x:c r="M969" s="24"/>
      <x:c r="N969" s="24" t="str">
        <x:v>75/80</x:v>
      </x:c>
      <x:c r="O969" s="24"/>
      <x:c r="P969" s="24"/>
      <x:c r="Q969" s="24" t="str">
        <x:v>DISPONÍVEL</x:v>
      </x:c>
      <x:c r="R969" s="24"/>
      <x:c r="S969" s="24" t="n">
        <x:v>21</x:v>
      </x:c>
      <x:c r="T969" s="24" t="str">
        <x:v>tabela_rodenstock.pdf</x:v>
      </x:c>
      <x:c r="U969" s="24" t="str">
        <x:v>Rodenstock|Progressiva Freeform|Surfaçada|Progressiv Si Digital|ColorMatic® 3|1.67|1.67|Solitaire X-tra Clean|-10 a +8|até -6||75/80|||21</x:v>
      </x:c>
    </x:row>
    <x:row r="970">
      <x:c r="A970" s="24" t="str">
        <x:v>RD-AF6EF6B4DC33</x:v>
      </x:c>
      <x:c r="B970" s="24" t="str">
        <x:v>Rodenstock</x:v>
      </x:c>
      <x:c r="C970" s="24" t="str">
        <x:v>Progressiva Freeform</x:v>
      </x:c>
      <x:c r="D970" s="24" t="str">
        <x:v>Surfaçada</x:v>
      </x:c>
      <x:c r="E970" s="24" t="str">
        <x:v>Progressiv Si Digital</x:v>
      </x:c>
      <x:c r="F970" s="24" t="str">
        <x:v>ColorMatic® 3</x:v>
      </x:c>
      <x:c r="G970" s="24" t="str">
        <x:v>1.67</x:v>
      </x:c>
      <x:c r="H970" s="24" t="str">
        <x:v>1.67</x:v>
      </x:c>
      <x:c r="I970" s="24" t="str">
        <x:v>Solitaire 2 Protect Balance</x:v>
      </x:c>
      <x:c r="J970" s="40" t="n">
        <x:v>8242</x:v>
      </x:c>
      <x:c r="K970" s="24" t="str">
        <x:v>-10 a +8</x:v>
      </x:c>
      <x:c r="L970" s="24" t="str">
        <x:v>até -6</x:v>
      </x:c>
      <x:c r="M970" s="24"/>
      <x:c r="N970" s="24" t="str">
        <x:v>75/80</x:v>
      </x:c>
      <x:c r="O970" s="24"/>
      <x:c r="P970" s="24"/>
      <x:c r="Q970" s="24" t="str">
        <x:v>DISPONÍVEL</x:v>
      </x:c>
      <x:c r="R970" s="24"/>
      <x:c r="S970" s="24" t="n">
        <x:v>21</x:v>
      </x:c>
      <x:c r="T970" s="24" t="str">
        <x:v>tabela_rodenstock.pdf</x:v>
      </x:c>
      <x:c r="U970" s="24" t="str">
        <x:v>Rodenstock|Progressiva Freeform|Surfaçada|Progressiv Si Digital|ColorMatic® 3|1.67|1.67|Solitaire 2 Protect Balance|-10 a +8|até -6||75/80|||21</x:v>
      </x:c>
    </x:row>
    <x:row r="971">
      <x:c r="A971" s="24" t="str">
        <x:v>RD-5EE9B6D42458</x:v>
      </x:c>
      <x:c r="B971" s="24" t="str">
        <x:v>Rodenstock</x:v>
      </x:c>
      <x:c r="C971" s="24" t="str">
        <x:v>Progressiva Freeform</x:v>
      </x:c>
      <x:c r="D971" s="24" t="str">
        <x:v>Surfaçada</x:v>
      </x:c>
      <x:c r="E971" s="24" t="str">
        <x:v>Progressiv Si Digital</x:v>
      </x:c>
      <x:c r="F971" s="24" t="str">
        <x:v>ColorMatic® 3</x:v>
      </x:c>
      <x:c r="G971" s="24" t="str">
        <x:v>1.67</x:v>
      </x:c>
      <x:c r="H971" s="24" t="str">
        <x:v>1.67</x:v>
      </x:c>
      <x:c r="I971" s="24" t="str">
        <x:v>Solitaire 2 Protect Plus</x:v>
      </x:c>
      <x:c r="J971" s="40" t="n">
        <x:v>8242</x:v>
      </x:c>
      <x:c r="K971" s="24" t="str">
        <x:v>-10 a +8</x:v>
      </x:c>
      <x:c r="L971" s="24" t="str">
        <x:v>até -6</x:v>
      </x:c>
      <x:c r="M971" s="24"/>
      <x:c r="N971" s="24" t="str">
        <x:v>75/80</x:v>
      </x:c>
      <x:c r="O971" s="24"/>
      <x:c r="P971" s="24"/>
      <x:c r="Q971" s="24" t="str">
        <x:v>DISPONÍVEL</x:v>
      </x:c>
      <x:c r="R971" s="24"/>
      <x:c r="S971" s="24" t="n">
        <x:v>21</x:v>
      </x:c>
      <x:c r="T971" s="24" t="str">
        <x:v>tabela_rodenstock.pdf</x:v>
      </x:c>
      <x:c r="U971" s="24" t="str">
        <x:v>Rodenstock|Progressiva Freeform|Surfaçada|Progressiv Si Digital|ColorMatic® 3|1.67|1.67|Solitaire 2 Protect Plus|-10 a +8|até -6||75/80|||21</x:v>
      </x:c>
    </x:row>
    <x:row r="972">
      <x:c r="A972" s="24" t="str">
        <x:v>RD-CBED074F0777</x:v>
      </x:c>
      <x:c r="B972" s="24" t="str">
        <x:v>Rodenstock</x:v>
      </x:c>
      <x:c r="C972" s="24" t="str">
        <x:v>Progressiva Freeform</x:v>
      </x:c>
      <x:c r="D972" s="24" t="str">
        <x:v>Surfaçada</x:v>
      </x:c>
      <x:c r="E972" s="24" t="str">
        <x:v>Progressiv Si Digital</x:v>
      </x:c>
      <x:c r="F972" s="24" t="str">
        <x:v>ColorMatic® 3</x:v>
      </x:c>
      <x:c r="G972" s="24" t="str">
        <x:v>1.67</x:v>
      </x:c>
      <x:c r="H972" s="24" t="str">
        <x:v>1.67</x:v>
      </x:c>
      <x:c r="I972" s="24" t="str">
        <x:v>ROAD</x:v>
      </x:c>
      <x:c r="J972" s="40" t="n">
        <x:v>8242</x:v>
      </x:c>
      <x:c r="K972" s="24" t="str">
        <x:v>-10 a +8</x:v>
      </x:c>
      <x:c r="L972" s="24" t="str">
        <x:v>até -6</x:v>
      </x:c>
      <x:c r="M972" s="24"/>
      <x:c r="N972" s="24" t="str">
        <x:v>75/80</x:v>
      </x:c>
      <x:c r="O972" s="24"/>
      <x:c r="P972" s="24"/>
      <x:c r="Q972" s="24" t="str">
        <x:v>DISPONÍVEL</x:v>
      </x:c>
      <x:c r="R972" s="24"/>
      <x:c r="S972" s="24" t="n">
        <x:v>21</x:v>
      </x:c>
      <x:c r="T972" s="24" t="str">
        <x:v>tabela_rodenstock.pdf</x:v>
      </x:c>
      <x:c r="U972" s="24" t="str">
        <x:v>Rodenstock|Progressiva Freeform|Surfaçada|Progressiv Si Digital|ColorMatic® 3|1.67|1.67|ROAD|-10 a +8|até -6||75/80|||21</x:v>
      </x:c>
    </x:row>
    <x:row r="973">
      <x:c r="A973" s="24" t="str">
        <x:v>RD-42C12936CB37</x:v>
      </x:c>
      <x:c r="B973" s="24" t="str">
        <x:v>Rodenstock</x:v>
      </x:c>
      <x:c r="C973" s="24" t="str">
        <x:v>Progressiva Freeform</x:v>
      </x:c>
      <x:c r="D973" s="24" t="str">
        <x:v>Surfaçada</x:v>
      </x:c>
      <x:c r="E973" s="24" t="str">
        <x:v>Progressiv Si Digital</x:v>
      </x:c>
      <x:c r="F973" s="24" t="str">
        <x:v>ColorMatic® 3</x:v>
      </x:c>
      <x:c r="G973" s="24" t="str">
        <x:v>1.67</x:v>
      </x:c>
      <x:c r="H973" s="24" t="str">
        <x:v>1.67</x:v>
      </x:c>
      <x:c r="I973" s="24" t="str">
        <x:v>Solitaire 2 Protect</x:v>
      </x:c>
      <x:c r="J973" s="40" t="n">
        <x:v>7982</x:v>
      </x:c>
      <x:c r="K973" s="24" t="str">
        <x:v>-10 a +8</x:v>
      </x:c>
      <x:c r="L973" s="24" t="str">
        <x:v>até -6</x:v>
      </x:c>
      <x:c r="M973" s="24"/>
      <x:c r="N973" s="24" t="str">
        <x:v>75/80</x:v>
      </x:c>
      <x:c r="O973" s="24"/>
      <x:c r="P973" s="24"/>
      <x:c r="Q973" s="24" t="str">
        <x:v>DISPONÍVEL</x:v>
      </x:c>
      <x:c r="R973" s="24"/>
      <x:c r="S973" s="24" t="n">
        <x:v>21</x:v>
      </x:c>
      <x:c r="T973" s="24" t="str">
        <x:v>tabela_rodenstock.pdf</x:v>
      </x:c>
      <x:c r="U973" s="24" t="str">
        <x:v>Rodenstock|Progressiva Freeform|Surfaçada|Progressiv Si Digital|ColorMatic® 3|1.67|1.67|Solitaire 2 Protect|-10 a +8|até -6||75/80|||21</x:v>
      </x:c>
    </x:row>
    <x:row r="974">
      <x:c r="A974" s="24" t="str">
        <x:v>RD-0D73C1BD9A1C</x:v>
      </x:c>
      <x:c r="B974" s="24" t="str">
        <x:v>Rodenstock</x:v>
      </x:c>
      <x:c r="C974" s="24" t="str">
        <x:v>Progressiva Freeform</x:v>
      </x:c>
      <x:c r="D974" s="24" t="str">
        <x:v>Surfaçada</x:v>
      </x:c>
      <x:c r="E974" s="24" t="str">
        <x:v>Progressiv Si Digital</x:v>
      </x:c>
      <x:c r="F974" s="24" t="str">
        <x:v>ColorMatic® 3</x:v>
      </x:c>
      <x:c r="G974" s="24" t="str">
        <x:v>1.67</x:v>
      </x:c>
      <x:c r="H974" s="24" t="str">
        <x:v>1.67</x:v>
      </x:c>
      <x:c r="I974" s="24" t="str">
        <x:v>Solitaire ECO 2</x:v>
      </x:c>
      <x:c r="J974" s="40" t="n">
        <x:v>7502</x:v>
      </x:c>
      <x:c r="K974" s="24" t="str">
        <x:v>-10 a +8</x:v>
      </x:c>
      <x:c r="L974" s="24" t="str">
        <x:v>até -6</x:v>
      </x:c>
      <x:c r="M974" s="24"/>
      <x:c r="N974" s="24" t="str">
        <x:v>75/80</x:v>
      </x:c>
      <x:c r="O974" s="24"/>
      <x:c r="P974" s="24"/>
      <x:c r="Q974" s="24" t="str">
        <x:v>DISPONÍVEL</x:v>
      </x:c>
      <x:c r="R974" s="24"/>
      <x:c r="S974" s="24" t="n">
        <x:v>21</x:v>
      </x:c>
      <x:c r="T974" s="24" t="str">
        <x:v>tabela_rodenstock.pdf</x:v>
      </x:c>
      <x:c r="U974" s="24" t="str">
        <x:v>Rodenstock|Progressiva Freeform|Surfaçada|Progressiv Si Digital|ColorMatic® 3|1.67|1.67|Solitaire ECO 2|-10 a +8|até -6||75/80|||21</x:v>
      </x:c>
    </x:row>
    <x:row r="975">
      <x:c r="A975" s="24" t="str">
        <x:v>RD-FE22AEFD1C72</x:v>
      </x:c>
      <x:c r="B975" s="24" t="str">
        <x:v>Rodenstock</x:v>
      </x:c>
      <x:c r="C975" s="24" t="str">
        <x:v>Monofocal Rodenstock</x:v>
      </x:c>
      <x:c r="D975" s="24" t="str">
        <x:v>Surfaçada</x:v>
      </x:c>
      <x:c r="E975" s="24" t="str">
        <x:v>Cosmolit Surfaçada</x:v>
      </x:c>
      <x:c r="F975" s="24"/>
      <x:c r="G975" s="24" t="str">
        <x:v>1.5</x:v>
      </x:c>
      <x:c r="H975" s="24" t="str">
        <x:v>1.50</x:v>
      </x:c>
      <x:c r="I975" s="24" t="str">
        <x:v>Solitaire X-tra Clean</x:v>
      </x:c>
      <x:c r="J975" s="40" t="n">
        <x:v>1586</x:v>
      </x:c>
      <x:c r="K975" s="24" t="str">
        <x:v>-8 a +8</x:v>
      </x:c>
      <x:c r="L975" s="24" t="str">
        <x:v>até -6</x:v>
      </x:c>
      <x:c r="M975" s="24"/>
      <x:c r="N975" s="24" t="str">
        <x:v>75</x:v>
      </x:c>
      <x:c r="O975" s="24"/>
      <x:c r="P975" s="24"/>
      <x:c r="Q975" s="24" t="str">
        <x:v>DISPONÍVEL</x:v>
      </x:c>
      <x:c r="R975" s="24"/>
      <x:c r="S975" s="24" t="n">
        <x:v>23</x:v>
      </x:c>
      <x:c r="T975" s="24" t="str">
        <x:v>tabela_rodenstock.pdf</x:v>
      </x:c>
      <x:c r="U975" s="24" t="str">
        <x:v>Rodenstock|Monofocal Rodenstock|Surfaçada|Cosmolit Surfaçada||1.5|1.50|Solitaire X-tra Clean|-8 a +8|até -6||75|||23</x:v>
      </x:c>
    </x:row>
    <x:row r="976">
      <x:c r="A976" s="24" t="str">
        <x:v>RD-FE131C1B6CB1</x:v>
      </x:c>
      <x:c r="B976" s="24" t="str">
        <x:v>Rodenstock</x:v>
      </x:c>
      <x:c r="C976" s="24" t="str">
        <x:v>Monofocal Rodenstock</x:v>
      </x:c>
      <x:c r="D976" s="24" t="str">
        <x:v>Surfaçada</x:v>
      </x:c>
      <x:c r="E976" s="24" t="str">
        <x:v>Cosmolit Surfaçada</x:v>
      </x:c>
      <x:c r="F976" s="24"/>
      <x:c r="G976" s="24" t="str">
        <x:v>1.5</x:v>
      </x:c>
      <x:c r="H976" s="24" t="str">
        <x:v>1.50</x:v>
      </x:c>
      <x:c r="I976" s="24" t="str">
        <x:v>Solitaire 2 Protect Balance</x:v>
      </x:c>
      <x:c r="J976" s="40" t="n">
        <x:v>1536</x:v>
      </x:c>
      <x:c r="K976" s="24" t="str">
        <x:v>-8 a +8</x:v>
      </x:c>
      <x:c r="L976" s="24" t="str">
        <x:v>até -6</x:v>
      </x:c>
      <x:c r="M976" s="24"/>
      <x:c r="N976" s="24" t="str">
        <x:v>75</x:v>
      </x:c>
      <x:c r="O976" s="24"/>
      <x:c r="P976" s="24"/>
      <x:c r="Q976" s="24" t="str">
        <x:v>DISPONÍVEL</x:v>
      </x:c>
      <x:c r="R976" s="24"/>
      <x:c r="S976" s="24" t="n">
        <x:v>23</x:v>
      </x:c>
      <x:c r="T976" s="24" t="str">
        <x:v>tabela_rodenstock.pdf</x:v>
      </x:c>
      <x:c r="U976" s="24" t="str">
        <x:v>Rodenstock|Monofocal Rodenstock|Surfaçada|Cosmolit Surfaçada||1.5|1.50|Solitaire 2 Protect Balance|-8 a +8|até -6||75|||23</x:v>
      </x:c>
    </x:row>
    <x:row r="977">
      <x:c r="A977" s="24" t="str">
        <x:v>RD-9B110C02CCA7</x:v>
      </x:c>
      <x:c r="B977" s="24" t="str">
        <x:v>Rodenstock</x:v>
      </x:c>
      <x:c r="C977" s="24" t="str">
        <x:v>Monofocal Rodenstock</x:v>
      </x:c>
      <x:c r="D977" s="24" t="str">
        <x:v>Surfaçada</x:v>
      </x:c>
      <x:c r="E977" s="24" t="str">
        <x:v>Cosmolit Surfaçada</x:v>
      </x:c>
      <x:c r="F977" s="24"/>
      <x:c r="G977" s="24" t="str">
        <x:v>1.5</x:v>
      </x:c>
      <x:c r="H977" s="24" t="str">
        <x:v>1.50</x:v>
      </x:c>
      <x:c r="I977" s="24" t="str">
        <x:v>Solitaire Protect Plus</x:v>
      </x:c>
      <x:c r="J977" s="40" t="n">
        <x:v>1536</x:v>
      </x:c>
      <x:c r="K977" s="24" t="str">
        <x:v>-8 a +8</x:v>
      </x:c>
      <x:c r="L977" s="24" t="str">
        <x:v>até -6</x:v>
      </x:c>
      <x:c r="M977" s="24"/>
      <x:c r="N977" s="24" t="str">
        <x:v>75</x:v>
      </x:c>
      <x:c r="O977" s="24"/>
      <x:c r="P977" s="24"/>
      <x:c r="Q977" s="24" t="str">
        <x:v>DISPONÍVEL</x:v>
      </x:c>
      <x:c r="R977" s="24"/>
      <x:c r="S977" s="24" t="n">
        <x:v>23</x:v>
      </x:c>
      <x:c r="T977" s="24" t="str">
        <x:v>tabela_rodenstock.pdf</x:v>
      </x:c>
      <x:c r="U977" s="24" t="str">
        <x:v>Rodenstock|Monofocal Rodenstock|Surfaçada|Cosmolit Surfaçada||1.5|1.50|Solitaire Protect Plus|-8 a +8|até -6||75|||23</x:v>
      </x:c>
    </x:row>
    <x:row r="978">
      <x:c r="A978" s="24" t="str">
        <x:v>RD-21A700BE4560</x:v>
      </x:c>
      <x:c r="B978" s="24" t="str">
        <x:v>Rodenstock</x:v>
      </x:c>
      <x:c r="C978" s="24" t="str">
        <x:v>Monofocal Rodenstock</x:v>
      </x:c>
      <x:c r="D978" s="24" t="str">
        <x:v>Surfaçada</x:v>
      </x:c>
      <x:c r="E978" s="24" t="str">
        <x:v>Cosmolit Surfaçada</x:v>
      </x:c>
      <x:c r="F978" s="24"/>
      <x:c r="G978" s="24" t="str">
        <x:v>1.5</x:v>
      </x:c>
      <x:c r="H978" s="24" t="str">
        <x:v>1.50</x:v>
      </x:c>
      <x:c r="I978" s="24" t="str">
        <x:v>ROAD</x:v>
      </x:c>
      <x:c r="J978" s="40" t="n">
        <x:v>1536</x:v>
      </x:c>
      <x:c r="K978" s="24" t="str">
        <x:v>-8 a +8</x:v>
      </x:c>
      <x:c r="L978" s="24" t="str">
        <x:v>até -6</x:v>
      </x:c>
      <x:c r="M978" s="24"/>
      <x:c r="N978" s="24" t="str">
        <x:v>75</x:v>
      </x:c>
      <x:c r="O978" s="24"/>
      <x:c r="P978" s="24"/>
      <x:c r="Q978" s="24" t="str">
        <x:v>DISPONÍVEL</x:v>
      </x:c>
      <x:c r="R978" s="24"/>
      <x:c r="S978" s="24" t="n">
        <x:v>23</x:v>
      </x:c>
      <x:c r="T978" s="24" t="str">
        <x:v>tabela_rodenstock.pdf</x:v>
      </x:c>
      <x:c r="U978" s="24" t="str">
        <x:v>Rodenstock|Monofocal Rodenstock|Surfaçada|Cosmolit Surfaçada||1.5|1.50|ROAD|-8 a +8|até -6||75|||23</x:v>
      </x:c>
    </x:row>
    <x:row r="979">
      <x:c r="A979" s="24" t="str">
        <x:v>RD-BDB9C27069D1</x:v>
      </x:c>
      <x:c r="B979" s="24" t="str">
        <x:v>Rodenstock</x:v>
      </x:c>
      <x:c r="C979" s="24" t="str">
        <x:v>Monofocal Rodenstock</x:v>
      </x:c>
      <x:c r="D979" s="24" t="str">
        <x:v>Surfaçada</x:v>
      </x:c>
      <x:c r="E979" s="24" t="str">
        <x:v>Cosmolit Surfaçada</x:v>
      </x:c>
      <x:c r="F979" s="24"/>
      <x:c r="G979" s="24" t="str">
        <x:v>1.5</x:v>
      </x:c>
      <x:c r="H979" s="24" t="str">
        <x:v>1.50</x:v>
      </x:c>
      <x:c r="I979" s="24" t="str">
        <x:v>Solitaire Protect</x:v>
      </x:c>
      <x:c r="J979" s="40" t="n">
        <x:v>1276</x:v>
      </x:c>
      <x:c r="K979" s="24" t="str">
        <x:v>-8 a +8</x:v>
      </x:c>
      <x:c r="L979" s="24" t="str">
        <x:v>até -6</x:v>
      </x:c>
      <x:c r="M979" s="24"/>
      <x:c r="N979" s="24" t="str">
        <x:v>75</x:v>
      </x:c>
      <x:c r="O979" s="24"/>
      <x:c r="P979" s="24"/>
      <x:c r="Q979" s="24" t="str">
        <x:v>DISPONÍVEL</x:v>
      </x:c>
      <x:c r="R979" s="24"/>
      <x:c r="S979" s="24" t="n">
        <x:v>23</x:v>
      </x:c>
      <x:c r="T979" s="24" t="str">
        <x:v>tabela_rodenstock.pdf</x:v>
      </x:c>
      <x:c r="U979" s="24" t="str">
        <x:v>Rodenstock|Monofocal Rodenstock|Surfaçada|Cosmolit Surfaçada||1.5|1.50|Solitaire Protect|-8 a +8|até -6||75|||23</x:v>
      </x:c>
    </x:row>
    <x:row r="980">
      <x:c r="A980" s="24" t="str">
        <x:v>RD-99CF38FCF740</x:v>
      </x:c>
      <x:c r="B980" s="24" t="str">
        <x:v>Rodenstock</x:v>
      </x:c>
      <x:c r="C980" s="24" t="str">
        <x:v>Monofocal Rodenstock</x:v>
      </x:c>
      <x:c r="D980" s="24" t="str">
        <x:v>Surfaçada</x:v>
      </x:c>
      <x:c r="E980" s="24" t="str">
        <x:v>Cosmolit Surfaçada</x:v>
      </x:c>
      <x:c r="F980" s="24"/>
      <x:c r="G980" s="24" t="str">
        <x:v>1.5</x:v>
      </x:c>
      <x:c r="H980" s="24" t="str">
        <x:v>1.50</x:v>
      </x:c>
      <x:c r="I980" s="24" t="str">
        <x:v>Solitaire ECO 2</x:v>
      </x:c>
      <x:c r="J980" s="40" t="n">
        <x:v>796</x:v>
      </x:c>
      <x:c r="K980" s="24" t="str">
        <x:v>-8 a +8</x:v>
      </x:c>
      <x:c r="L980" s="24" t="str">
        <x:v>até -6</x:v>
      </x:c>
      <x:c r="M980" s="24"/>
      <x:c r="N980" s="24" t="str">
        <x:v>75</x:v>
      </x:c>
      <x:c r="O980" s="24"/>
      <x:c r="P980" s="24"/>
      <x:c r="Q980" s="24" t="str">
        <x:v>DISPONÍVEL</x:v>
      </x:c>
      <x:c r="R980" s="24"/>
      <x:c r="S980" s="24" t="n">
        <x:v>23</x:v>
      </x:c>
      <x:c r="T980" s="24" t="str">
        <x:v>tabela_rodenstock.pdf</x:v>
      </x:c>
      <x:c r="U980" s="24" t="str">
        <x:v>Rodenstock|Monofocal Rodenstock|Surfaçada|Cosmolit Surfaçada||1.5|1.50|Solitaire ECO 2|-8 a +8|até -6||75|||23</x:v>
      </x:c>
    </x:row>
    <x:row r="981">
      <x:c r="A981" s="24" t="str">
        <x:v>RD-44FF66366D61</x:v>
      </x:c>
      <x:c r="B981" s="24" t="str">
        <x:v>Rodenstock</x:v>
      </x:c>
      <x:c r="C981" s="24" t="str">
        <x:v>Monofocal Rodenstock</x:v>
      </x:c>
      <x:c r="D981" s="24" t="str">
        <x:v>Surfaçada</x:v>
      </x:c>
      <x:c r="E981" s="24" t="str">
        <x:v>Cosmolit Surfaçada</x:v>
      </x:c>
      <x:c r="F981" s="24"/>
      <x:c r="G981" s="24" t="str">
        <x:v>1.5</x:v>
      </x:c>
      <x:c r="H981" s="24" t="str">
        <x:v>1.50</x:v>
      </x:c>
      <x:c r="I981" s="24" t="str">
        <x:v>Sem AR</x:v>
      </x:c>
      <x:c r="J981" s="40" t="n">
        <x:v>406</x:v>
      </x:c>
      <x:c r="K981" s="24" t="str">
        <x:v>-8 a +8</x:v>
      </x:c>
      <x:c r="L981" s="24" t="str">
        <x:v>até -6</x:v>
      </x:c>
      <x:c r="M981" s="24"/>
      <x:c r="N981" s="24" t="str">
        <x:v>75</x:v>
      </x:c>
      <x:c r="O981" s="24"/>
      <x:c r="P981" s="24"/>
      <x:c r="Q981" s="24" t="str">
        <x:v>DISPONÍVEL</x:v>
      </x:c>
      <x:c r="R981" s="24"/>
      <x:c r="S981" s="24" t="n">
        <x:v>23</x:v>
      </x:c>
      <x:c r="T981" s="24" t="str">
        <x:v>tabela_rodenstock.pdf</x:v>
      </x:c>
      <x:c r="U981" s="24" t="str">
        <x:v>Rodenstock|Monofocal Rodenstock|Surfaçada|Cosmolit Surfaçada||1.5|1.50|Sem AR|-8 a +8|até -6||75|||23</x:v>
      </x:c>
    </x:row>
    <x:row r="982">
      <x:c r="A982" s="24" t="str">
        <x:v>RD-4B64FD24C23C</x:v>
      </x:c>
      <x:c r="B982" s="24" t="str">
        <x:v>Rodenstock</x:v>
      </x:c>
      <x:c r="C982" s="24" t="str">
        <x:v>Monofocal Rodenstock</x:v>
      </x:c>
      <x:c r="D982" s="24" t="str">
        <x:v>Surfaçada</x:v>
      </x:c>
      <x:c r="E982" s="24" t="str">
        <x:v>Cosmolit Surfaçada</x:v>
      </x:c>
      <x:c r="F982" s="24" t="str">
        <x:v>Polarizada</x:v>
      </x:c>
      <x:c r="G982" s="24" t="str">
        <x:v>1.5</x:v>
      </x:c>
      <x:c r="H982" s="24" t="str">
        <x:v>1.50</x:v>
      </x:c>
      <x:c r="I982" s="24" t="str">
        <x:v>Solitaire X-tra Clean</x:v>
      </x:c>
      <x:c r="J982" s="40" t="n">
        <x:v>2613</x:v>
      </x:c>
      <x:c r="K982" s="24" t="str">
        <x:v>-8 a +8</x:v>
      </x:c>
      <x:c r="L982" s="24" t="str">
        <x:v>até -6</x:v>
      </x:c>
      <x:c r="M982" s="24"/>
      <x:c r="N982" s="24" t="str">
        <x:v>75</x:v>
      </x:c>
      <x:c r="O982" s="24"/>
      <x:c r="P982" s="24"/>
      <x:c r="Q982" s="24" t="str">
        <x:v>DISPONÍVEL</x:v>
      </x:c>
      <x:c r="R982" s="24"/>
      <x:c r="S982" s="24" t="n">
        <x:v>23</x:v>
      </x:c>
      <x:c r="T982" s="24" t="str">
        <x:v>tabela_rodenstock.pdf</x:v>
      </x:c>
      <x:c r="U982" s="24" t="str">
        <x:v>Rodenstock|Monofocal Rodenstock|Surfaçada|Cosmolit Surfaçada|Polarizada|1.5|1.50|Solitaire X-tra Clean|-8 a +8|até -6||75|||23</x:v>
      </x:c>
    </x:row>
    <x:row r="983">
      <x:c r="A983" s="24" t="str">
        <x:v>RD-CFB214D9B946</x:v>
      </x:c>
      <x:c r="B983" s="24" t="str">
        <x:v>Rodenstock</x:v>
      </x:c>
      <x:c r="C983" s="24" t="str">
        <x:v>Monofocal Rodenstock</x:v>
      </x:c>
      <x:c r="D983" s="24" t="str">
        <x:v>Surfaçada</x:v>
      </x:c>
      <x:c r="E983" s="24" t="str">
        <x:v>Cosmolit Surfaçada</x:v>
      </x:c>
      <x:c r="F983" s="24" t="str">
        <x:v>Polarizada</x:v>
      </x:c>
      <x:c r="G983" s="24" t="str">
        <x:v>1.5</x:v>
      </x:c>
      <x:c r="H983" s="24" t="str">
        <x:v>1.50</x:v>
      </x:c>
      <x:c r="I983" s="24" t="str">
        <x:v>Solitaire 2 Protect Balance</x:v>
      </x:c>
      <x:c r="J983" s="40" t="n">
        <x:v>2563</x:v>
      </x:c>
      <x:c r="K983" s="24" t="str">
        <x:v>-8 a +8</x:v>
      </x:c>
      <x:c r="L983" s="24" t="str">
        <x:v>até -6</x:v>
      </x:c>
      <x:c r="M983" s="24"/>
      <x:c r="N983" s="24" t="str">
        <x:v>75</x:v>
      </x:c>
      <x:c r="O983" s="24"/>
      <x:c r="P983" s="24"/>
      <x:c r="Q983" s="24" t="str">
        <x:v>DISPONÍVEL</x:v>
      </x:c>
      <x:c r="R983" s="24"/>
      <x:c r="S983" s="24" t="n">
        <x:v>23</x:v>
      </x:c>
      <x:c r="T983" s="24" t="str">
        <x:v>tabela_rodenstock.pdf</x:v>
      </x:c>
      <x:c r="U983" s="24" t="str">
        <x:v>Rodenstock|Monofocal Rodenstock|Surfaçada|Cosmolit Surfaçada|Polarizada|1.5|1.50|Solitaire 2 Protect Balance|-8 a +8|até -6||75|||23</x:v>
      </x:c>
    </x:row>
    <x:row r="984">
      <x:c r="A984" s="24" t="str">
        <x:v>RD-1918819C366F</x:v>
      </x:c>
      <x:c r="B984" s="24" t="str">
        <x:v>Rodenstock</x:v>
      </x:c>
      <x:c r="C984" s="24" t="str">
        <x:v>Monofocal Rodenstock</x:v>
      </x:c>
      <x:c r="D984" s="24" t="str">
        <x:v>Surfaçada</x:v>
      </x:c>
      <x:c r="E984" s="24" t="str">
        <x:v>Cosmolit Surfaçada</x:v>
      </x:c>
      <x:c r="F984" s="24" t="str">
        <x:v>Polarizada</x:v>
      </x:c>
      <x:c r="G984" s="24" t="str">
        <x:v>1.5</x:v>
      </x:c>
      <x:c r="H984" s="24" t="str">
        <x:v>1.50</x:v>
      </x:c>
      <x:c r="I984" s="24" t="str">
        <x:v>Solitaire Protect Plus</x:v>
      </x:c>
      <x:c r="J984" s="40" t="n">
        <x:v>2563</x:v>
      </x:c>
      <x:c r="K984" s="24" t="str">
        <x:v>-8 a +8</x:v>
      </x:c>
      <x:c r="L984" s="24" t="str">
        <x:v>até -6</x:v>
      </x:c>
      <x:c r="M984" s="24"/>
      <x:c r="N984" s="24" t="str">
        <x:v>75</x:v>
      </x:c>
      <x:c r="O984" s="24"/>
      <x:c r="P984" s="24"/>
      <x:c r="Q984" s="24" t="str">
        <x:v>DISPONÍVEL</x:v>
      </x:c>
      <x:c r="R984" s="24"/>
      <x:c r="S984" s="24" t="n">
        <x:v>23</x:v>
      </x:c>
      <x:c r="T984" s="24" t="str">
        <x:v>tabela_rodenstock.pdf</x:v>
      </x:c>
      <x:c r="U984" s="24" t="str">
        <x:v>Rodenstock|Monofocal Rodenstock|Surfaçada|Cosmolit Surfaçada|Polarizada|1.5|1.50|Solitaire Protect Plus|-8 a +8|até -6||75|||23</x:v>
      </x:c>
    </x:row>
    <x:row r="985">
      <x:c r="A985" s="24" t="str">
        <x:v>RD-3D36BE0A3EC9</x:v>
      </x:c>
      <x:c r="B985" s="24" t="str">
        <x:v>Rodenstock</x:v>
      </x:c>
      <x:c r="C985" s="24" t="str">
        <x:v>Monofocal Rodenstock</x:v>
      </x:c>
      <x:c r="D985" s="24" t="str">
        <x:v>Surfaçada</x:v>
      </x:c>
      <x:c r="E985" s="24" t="str">
        <x:v>Cosmolit Surfaçada</x:v>
      </x:c>
      <x:c r="F985" s="24" t="str">
        <x:v>Polarizada</x:v>
      </x:c>
      <x:c r="G985" s="24" t="str">
        <x:v>1.5</x:v>
      </x:c>
      <x:c r="H985" s="24" t="str">
        <x:v>1.50</x:v>
      </x:c>
      <x:c r="I985" s="24" t="str">
        <x:v>ROAD</x:v>
      </x:c>
      <x:c r="J985" s="40" t="n">
        <x:v>2563</x:v>
      </x:c>
      <x:c r="K985" s="24" t="str">
        <x:v>-8 a +8</x:v>
      </x:c>
      <x:c r="L985" s="24" t="str">
        <x:v>até -6</x:v>
      </x:c>
      <x:c r="M985" s="24"/>
      <x:c r="N985" s="24" t="str">
        <x:v>75</x:v>
      </x:c>
      <x:c r="O985" s="24"/>
      <x:c r="P985" s="24"/>
      <x:c r="Q985" s="24" t="str">
        <x:v>DISPONÍVEL</x:v>
      </x:c>
      <x:c r="R985" s="24"/>
      <x:c r="S985" s="24" t="n">
        <x:v>23</x:v>
      </x:c>
      <x:c r="T985" s="24" t="str">
        <x:v>tabela_rodenstock.pdf</x:v>
      </x:c>
      <x:c r="U985" s="24" t="str">
        <x:v>Rodenstock|Monofocal Rodenstock|Surfaçada|Cosmolit Surfaçada|Polarizada|1.5|1.50|ROAD|-8 a +8|até -6||75|||23</x:v>
      </x:c>
    </x:row>
    <x:row r="986">
      <x:c r="A986" s="24" t="str">
        <x:v>RD-81218B3FC161</x:v>
      </x:c>
      <x:c r="B986" s="24" t="str">
        <x:v>Rodenstock</x:v>
      </x:c>
      <x:c r="C986" s="24" t="str">
        <x:v>Monofocal Rodenstock</x:v>
      </x:c>
      <x:c r="D986" s="24" t="str">
        <x:v>Surfaçada</x:v>
      </x:c>
      <x:c r="E986" s="24" t="str">
        <x:v>Cosmolit Surfaçada</x:v>
      </x:c>
      <x:c r="F986" s="24" t="str">
        <x:v>Polarizada</x:v>
      </x:c>
      <x:c r="G986" s="24" t="str">
        <x:v>1.5</x:v>
      </x:c>
      <x:c r="H986" s="24" t="str">
        <x:v>1.50</x:v>
      </x:c>
      <x:c r="I986" s="24" t="str">
        <x:v>Solitaire Protect</x:v>
      </x:c>
      <x:c r="J986" s="40" t="n">
        <x:v>2303</x:v>
      </x:c>
      <x:c r="K986" s="24" t="str">
        <x:v>-8 a +8</x:v>
      </x:c>
      <x:c r="L986" s="24" t="str">
        <x:v>até -6</x:v>
      </x:c>
      <x:c r="M986" s="24"/>
      <x:c r="N986" s="24" t="str">
        <x:v>75</x:v>
      </x:c>
      <x:c r="O986" s="24"/>
      <x:c r="P986" s="24"/>
      <x:c r="Q986" s="24" t="str">
        <x:v>DISPONÍVEL</x:v>
      </x:c>
      <x:c r="R986" s="24"/>
      <x:c r="S986" s="24" t="n">
        <x:v>23</x:v>
      </x:c>
      <x:c r="T986" s="24" t="str">
        <x:v>tabela_rodenstock.pdf</x:v>
      </x:c>
      <x:c r="U986" s="24" t="str">
        <x:v>Rodenstock|Monofocal Rodenstock|Surfaçada|Cosmolit Surfaçada|Polarizada|1.5|1.50|Solitaire Protect|-8 a +8|até -6||75|||23</x:v>
      </x:c>
    </x:row>
    <x:row r="987">
      <x:c r="A987" s="24" t="str">
        <x:v>RD-FA3426D58490</x:v>
      </x:c>
      <x:c r="B987" s="24" t="str">
        <x:v>Rodenstock</x:v>
      </x:c>
      <x:c r="C987" s="24" t="str">
        <x:v>Monofocal Rodenstock</x:v>
      </x:c>
      <x:c r="D987" s="24" t="str">
        <x:v>Surfaçada</x:v>
      </x:c>
      <x:c r="E987" s="24" t="str">
        <x:v>Cosmolit Surfaçada</x:v>
      </x:c>
      <x:c r="F987" s="24" t="str">
        <x:v>Polarizada</x:v>
      </x:c>
      <x:c r="G987" s="24" t="str">
        <x:v>1.5</x:v>
      </x:c>
      <x:c r="H987" s="24" t="str">
        <x:v>1.50</x:v>
      </x:c>
      <x:c r="I987" s="24" t="str">
        <x:v>Solitaire ECO 2</x:v>
      </x:c>
      <x:c r="J987" s="40" t="n">
        <x:v>1823</x:v>
      </x:c>
      <x:c r="K987" s="24" t="str">
        <x:v>-8 a +8</x:v>
      </x:c>
      <x:c r="L987" s="24" t="str">
        <x:v>até -6</x:v>
      </x:c>
      <x:c r="M987" s="24"/>
      <x:c r="N987" s="24" t="str">
        <x:v>75</x:v>
      </x:c>
      <x:c r="O987" s="24"/>
      <x:c r="P987" s="24"/>
      <x:c r="Q987" s="24" t="str">
        <x:v>DISPONÍVEL</x:v>
      </x:c>
      <x:c r="R987" s="24"/>
      <x:c r="S987" s="24" t="n">
        <x:v>23</x:v>
      </x:c>
      <x:c r="T987" s="24" t="str">
        <x:v>tabela_rodenstock.pdf</x:v>
      </x:c>
      <x:c r="U987" s="24" t="str">
        <x:v>Rodenstock|Monofocal Rodenstock|Surfaçada|Cosmolit Surfaçada|Polarizada|1.5|1.50|Solitaire ECO 2|-8 a +8|até -6||75|||23</x:v>
      </x:c>
    </x:row>
    <x:row r="988">
      <x:c r="A988" s="24" t="str">
        <x:v>RD-2A09E7C39C98</x:v>
      </x:c>
      <x:c r="B988" s="24" t="str">
        <x:v>Rodenstock</x:v>
      </x:c>
      <x:c r="C988" s="24" t="str">
        <x:v>Monofocal Rodenstock</x:v>
      </x:c>
      <x:c r="D988" s="24" t="str">
        <x:v>Surfaçada</x:v>
      </x:c>
      <x:c r="E988" s="24" t="str">
        <x:v>Cosmolit Surfaçada</x:v>
      </x:c>
      <x:c r="F988" s="24" t="str">
        <x:v>Polarizada</x:v>
      </x:c>
      <x:c r="G988" s="24" t="str">
        <x:v>1.5</x:v>
      </x:c>
      <x:c r="H988" s="24" t="str">
        <x:v>1.50</x:v>
      </x:c>
      <x:c r="I988" s="24" t="str">
        <x:v>Sem AR</x:v>
      </x:c>
      <x:c r="J988" s="40" t="n">
        <x:v>1433</x:v>
      </x:c>
      <x:c r="K988" s="24" t="str">
        <x:v>-8 a +8</x:v>
      </x:c>
      <x:c r="L988" s="24" t="str">
        <x:v>até -6</x:v>
      </x:c>
      <x:c r="M988" s="24"/>
      <x:c r="N988" s="24" t="str">
        <x:v>75</x:v>
      </x:c>
      <x:c r="O988" s="24"/>
      <x:c r="P988" s="24"/>
      <x:c r="Q988" s="24" t="str">
        <x:v>DISPONÍVEL</x:v>
      </x:c>
      <x:c r="R988" s="24"/>
      <x:c r="S988" s="24" t="n">
        <x:v>23</x:v>
      </x:c>
      <x:c r="T988" s="24" t="str">
        <x:v>tabela_rodenstock.pdf</x:v>
      </x:c>
      <x:c r="U988" s="24" t="str">
        <x:v>Rodenstock|Monofocal Rodenstock|Surfaçada|Cosmolit Surfaçada|Polarizada|1.5|1.50|Sem AR|-8 a +8|até -6||75|||23</x:v>
      </x:c>
    </x:row>
    <x:row r="989">
      <x:c r="A989" s="24" t="str">
        <x:v>RD-E88D46AD67DF</x:v>
      </x:c>
      <x:c r="B989" s="24" t="str">
        <x:v>Rodenstock</x:v>
      </x:c>
      <x:c r="C989" s="24" t="str">
        <x:v>Monofocal Rodenstock</x:v>
      </x:c>
      <x:c r="D989" s="24" t="str">
        <x:v>Surfaçada</x:v>
      </x:c>
      <x:c r="E989" s="24" t="str">
        <x:v>Cosmolit Surfaçada</x:v>
      </x:c>
      <x:c r="F989" s="24" t="str">
        <x:v>ColorMatic® 3</x:v>
      </x:c>
      <x:c r="G989" s="24" t="str">
        <x:v>1.54</x:v>
      </x:c>
      <x:c r="H989" s="24" t="str">
        <x:v>1.54</x:v>
      </x:c>
      <x:c r="I989" s="24" t="str">
        <x:v>Solitaire X-tra Clean</x:v>
      </x:c>
      <x:c r="J989" s="40" t="n">
        <x:v>2753</x:v>
      </x:c>
      <x:c r="K989" s="24" t="str">
        <x:v>-8 a +8</x:v>
      </x:c>
      <x:c r="L989" s="24" t="str">
        <x:v>até -6</x:v>
      </x:c>
      <x:c r="M989" s="24"/>
      <x:c r="N989" s="24" t="str">
        <x:v>75</x:v>
      </x:c>
      <x:c r="O989" s="24"/>
      <x:c r="P989" s="24"/>
      <x:c r="Q989" s="24" t="str">
        <x:v>DISPONÍVEL</x:v>
      </x:c>
      <x:c r="R989" s="24"/>
      <x:c r="S989" s="24" t="n">
        <x:v>23</x:v>
      </x:c>
      <x:c r="T989" s="24" t="str">
        <x:v>tabela_rodenstock.pdf</x:v>
      </x:c>
      <x:c r="U989" s="24" t="str">
        <x:v>Rodenstock|Monofocal Rodenstock|Surfaçada|Cosmolit Surfaçada|ColorMatic® 3|1.54|1.54|Solitaire X-tra Clean|-8 a +8|até -6||75|||23</x:v>
      </x:c>
    </x:row>
    <x:row r="990">
      <x:c r="A990" s="24" t="str">
        <x:v>RD-5289AF282FC3</x:v>
      </x:c>
      <x:c r="B990" s="24" t="str">
        <x:v>Rodenstock</x:v>
      </x:c>
      <x:c r="C990" s="24" t="str">
        <x:v>Monofocal Rodenstock</x:v>
      </x:c>
      <x:c r="D990" s="24" t="str">
        <x:v>Surfaçada</x:v>
      </x:c>
      <x:c r="E990" s="24" t="str">
        <x:v>Cosmolit Surfaçada</x:v>
      </x:c>
      <x:c r="F990" s="24" t="str">
        <x:v>ColorMatic® 3</x:v>
      </x:c>
      <x:c r="G990" s="24" t="str">
        <x:v>1.54</x:v>
      </x:c>
      <x:c r="H990" s="24" t="str">
        <x:v>1.54</x:v>
      </x:c>
      <x:c r="I990" s="24" t="str">
        <x:v>Solitaire 2 Protect Balance</x:v>
      </x:c>
      <x:c r="J990" s="40" t="n">
        <x:v>2703</x:v>
      </x:c>
      <x:c r="K990" s="24" t="str">
        <x:v>-8 a +8</x:v>
      </x:c>
      <x:c r="L990" s="24" t="str">
        <x:v>até -6</x:v>
      </x:c>
      <x:c r="M990" s="24"/>
      <x:c r="N990" s="24" t="str">
        <x:v>75</x:v>
      </x:c>
      <x:c r="O990" s="24"/>
      <x:c r="P990" s="24"/>
      <x:c r="Q990" s="24" t="str">
        <x:v>DISPONÍVEL</x:v>
      </x:c>
      <x:c r="R990" s="24"/>
      <x:c r="S990" s="24" t="n">
        <x:v>23</x:v>
      </x:c>
      <x:c r="T990" s="24" t="str">
        <x:v>tabela_rodenstock.pdf</x:v>
      </x:c>
      <x:c r="U990" s="24" t="str">
        <x:v>Rodenstock|Monofocal Rodenstock|Surfaçada|Cosmolit Surfaçada|ColorMatic® 3|1.54|1.54|Solitaire 2 Protect Balance|-8 a +8|até -6||75|||23</x:v>
      </x:c>
    </x:row>
    <x:row r="991">
      <x:c r="A991" s="24" t="str">
        <x:v>RD-8505EA511278</x:v>
      </x:c>
      <x:c r="B991" s="24" t="str">
        <x:v>Rodenstock</x:v>
      </x:c>
      <x:c r="C991" s="24" t="str">
        <x:v>Monofocal Rodenstock</x:v>
      </x:c>
      <x:c r="D991" s="24" t="str">
        <x:v>Surfaçada</x:v>
      </x:c>
      <x:c r="E991" s="24" t="str">
        <x:v>Cosmolit Surfaçada</x:v>
      </x:c>
      <x:c r="F991" s="24" t="str">
        <x:v>ColorMatic® 3</x:v>
      </x:c>
      <x:c r="G991" s="24" t="str">
        <x:v>1.54</x:v>
      </x:c>
      <x:c r="H991" s="24" t="str">
        <x:v>1.54</x:v>
      </x:c>
      <x:c r="I991" s="24" t="str">
        <x:v>Solitaire Protect Plus</x:v>
      </x:c>
      <x:c r="J991" s="40" t="n">
        <x:v>2703</x:v>
      </x:c>
      <x:c r="K991" s="24" t="str">
        <x:v>-8 a +8</x:v>
      </x:c>
      <x:c r="L991" s="24" t="str">
        <x:v>até -6</x:v>
      </x:c>
      <x:c r="M991" s="24"/>
      <x:c r="N991" s="24" t="str">
        <x:v>75</x:v>
      </x:c>
      <x:c r="O991" s="24"/>
      <x:c r="P991" s="24"/>
      <x:c r="Q991" s="24" t="str">
        <x:v>DISPONÍVEL</x:v>
      </x:c>
      <x:c r="R991" s="24"/>
      <x:c r="S991" s="24" t="n">
        <x:v>23</x:v>
      </x:c>
      <x:c r="T991" s="24" t="str">
        <x:v>tabela_rodenstock.pdf</x:v>
      </x:c>
      <x:c r="U991" s="24" t="str">
        <x:v>Rodenstock|Monofocal Rodenstock|Surfaçada|Cosmolit Surfaçada|ColorMatic® 3|1.54|1.54|Solitaire Protect Plus|-8 a +8|até -6||75|||23</x:v>
      </x:c>
    </x:row>
    <x:row r="992">
      <x:c r="A992" s="24" t="str">
        <x:v>RD-C0B5B4EAECA6</x:v>
      </x:c>
      <x:c r="B992" s="24" t="str">
        <x:v>Rodenstock</x:v>
      </x:c>
      <x:c r="C992" s="24" t="str">
        <x:v>Monofocal Rodenstock</x:v>
      </x:c>
      <x:c r="D992" s="24" t="str">
        <x:v>Surfaçada</x:v>
      </x:c>
      <x:c r="E992" s="24" t="str">
        <x:v>Cosmolit Surfaçada</x:v>
      </x:c>
      <x:c r="F992" s="24" t="str">
        <x:v>ColorMatic® 3</x:v>
      </x:c>
      <x:c r="G992" s="24" t="str">
        <x:v>1.54</x:v>
      </x:c>
      <x:c r="H992" s="24" t="str">
        <x:v>1.54</x:v>
      </x:c>
      <x:c r="I992" s="24" t="str">
        <x:v>ROAD</x:v>
      </x:c>
      <x:c r="J992" s="40" t="n">
        <x:v>2703</x:v>
      </x:c>
      <x:c r="K992" s="24" t="str">
        <x:v>-8 a +8</x:v>
      </x:c>
      <x:c r="L992" s="24" t="str">
        <x:v>até -6</x:v>
      </x:c>
      <x:c r="M992" s="24"/>
      <x:c r="N992" s="24" t="str">
        <x:v>75</x:v>
      </x:c>
      <x:c r="O992" s="24"/>
      <x:c r="P992" s="24"/>
      <x:c r="Q992" s="24" t="str">
        <x:v>DISPONÍVEL</x:v>
      </x:c>
      <x:c r="R992" s="24"/>
      <x:c r="S992" s="24" t="n">
        <x:v>23</x:v>
      </x:c>
      <x:c r="T992" s="24" t="str">
        <x:v>tabela_rodenstock.pdf</x:v>
      </x:c>
      <x:c r="U992" s="24" t="str">
        <x:v>Rodenstock|Monofocal Rodenstock|Surfaçada|Cosmolit Surfaçada|ColorMatic® 3|1.54|1.54|ROAD|-8 a +8|até -6||75|||23</x:v>
      </x:c>
    </x:row>
    <x:row r="993">
      <x:c r="A993" s="24" t="str">
        <x:v>RD-B3750F8418BD</x:v>
      </x:c>
      <x:c r="B993" s="24" t="str">
        <x:v>Rodenstock</x:v>
      </x:c>
      <x:c r="C993" s="24" t="str">
        <x:v>Monofocal Rodenstock</x:v>
      </x:c>
      <x:c r="D993" s="24" t="str">
        <x:v>Surfaçada</x:v>
      </x:c>
      <x:c r="E993" s="24" t="str">
        <x:v>Cosmolit Surfaçada</x:v>
      </x:c>
      <x:c r="F993" s="24" t="str">
        <x:v>ColorMatic® 3</x:v>
      </x:c>
      <x:c r="G993" s="24" t="str">
        <x:v>1.54</x:v>
      </x:c>
      <x:c r="H993" s="24" t="str">
        <x:v>1.54</x:v>
      </x:c>
      <x:c r="I993" s="24" t="str">
        <x:v>Solitaire Protect</x:v>
      </x:c>
      <x:c r="J993" s="40" t="n">
        <x:v>2443</x:v>
      </x:c>
      <x:c r="K993" s="24" t="str">
        <x:v>-8 a +8</x:v>
      </x:c>
      <x:c r="L993" s="24" t="str">
        <x:v>até -6</x:v>
      </x:c>
      <x:c r="M993" s="24"/>
      <x:c r="N993" s="24" t="str">
        <x:v>75</x:v>
      </x:c>
      <x:c r="O993" s="24"/>
      <x:c r="P993" s="24"/>
      <x:c r="Q993" s="24" t="str">
        <x:v>DISPONÍVEL</x:v>
      </x:c>
      <x:c r="R993" s="24"/>
      <x:c r="S993" s="24" t="n">
        <x:v>23</x:v>
      </x:c>
      <x:c r="T993" s="24" t="str">
        <x:v>tabela_rodenstock.pdf</x:v>
      </x:c>
      <x:c r="U993" s="24" t="str">
        <x:v>Rodenstock|Monofocal Rodenstock|Surfaçada|Cosmolit Surfaçada|ColorMatic® 3|1.54|1.54|Solitaire Protect|-8 a +8|até -6||75|||23</x:v>
      </x:c>
    </x:row>
    <x:row r="994">
      <x:c r="A994" s="24" t="str">
        <x:v>RD-C4EBB000F8F3</x:v>
      </x:c>
      <x:c r="B994" s="24" t="str">
        <x:v>Rodenstock</x:v>
      </x:c>
      <x:c r="C994" s="24" t="str">
        <x:v>Monofocal Rodenstock</x:v>
      </x:c>
      <x:c r="D994" s="24" t="str">
        <x:v>Surfaçada</x:v>
      </x:c>
      <x:c r="E994" s="24" t="str">
        <x:v>Cosmolit Surfaçada</x:v>
      </x:c>
      <x:c r="F994" s="24" t="str">
        <x:v>ColorMatic® 3</x:v>
      </x:c>
      <x:c r="G994" s="24" t="str">
        <x:v>1.54</x:v>
      </x:c>
      <x:c r="H994" s="24" t="str">
        <x:v>1.54</x:v>
      </x:c>
      <x:c r="I994" s="24" t="str">
        <x:v>Sem AR</x:v>
      </x:c>
      <x:c r="J994" s="40" t="n">
        <x:v>1573</x:v>
      </x:c>
      <x:c r="K994" s="24" t="str">
        <x:v>-8 a +8</x:v>
      </x:c>
      <x:c r="L994" s="24" t="str">
        <x:v>até -6</x:v>
      </x:c>
      <x:c r="M994" s="24"/>
      <x:c r="N994" s="24" t="str">
        <x:v>75</x:v>
      </x:c>
      <x:c r="O994" s="24"/>
      <x:c r="P994" s="24"/>
      <x:c r="Q994" s="24" t="str">
        <x:v>DISPONÍVEL</x:v>
      </x:c>
      <x:c r="R994" s="24"/>
      <x:c r="S994" s="24" t="n">
        <x:v>23</x:v>
      </x:c>
      <x:c r="T994" s="24" t="str">
        <x:v>tabela_rodenstock.pdf</x:v>
      </x:c>
      <x:c r="U994" s="24" t="str">
        <x:v>Rodenstock|Monofocal Rodenstock|Surfaçada|Cosmolit Surfaçada|ColorMatic® 3|1.54|1.54|Sem AR|-8 a +8|até -6||75|||23</x:v>
      </x:c>
    </x:row>
    <x:row r="995">
      <x:c r="A995" s="24" t="str">
        <x:v>RD-3989C0A2A549</x:v>
      </x:c>
      <x:c r="B995" s="24" t="str">
        <x:v>Rodenstock</x:v>
      </x:c>
      <x:c r="C995" s="24" t="str">
        <x:v>Monofocal Rodenstock</x:v>
      </x:c>
      <x:c r="D995" s="24" t="str">
        <x:v>Surfaçada</x:v>
      </x:c>
      <x:c r="E995" s="24" t="str">
        <x:v>Cosmolit Surfaçada</x:v>
      </x:c>
      <x:c r="F995" s="24"/>
      <x:c r="G995" s="24" t="str">
        <x:v>1.6</x:v>
      </x:c>
      <x:c r="H995" s="24" t="str">
        <x:v>1.60</x:v>
      </x:c>
      <x:c r="I995" s="24" t="str">
        <x:v>Solitaire X-tra Clean</x:v>
      </x:c>
      <x:c r="J995" s="40" t="n">
        <x:v>2071</x:v>
      </x:c>
      <x:c r="K995" s="24" t="str">
        <x:v>-10 a +10</x:v>
      </x:c>
      <x:c r="L995" s="24" t="str">
        <x:v>até -6</x:v>
      </x:c>
      <x:c r="M995" s="24"/>
      <x:c r="N995" s="24" t="str">
        <x:v>75</x:v>
      </x:c>
      <x:c r="O995" s="24"/>
      <x:c r="P995" s="24"/>
      <x:c r="Q995" s="24" t="str">
        <x:v>DISPONÍVEL</x:v>
      </x:c>
      <x:c r="R995" s="24"/>
      <x:c r="S995" s="24" t="n">
        <x:v>23</x:v>
      </x:c>
      <x:c r="T995" s="24" t="str">
        <x:v>tabela_rodenstock.pdf</x:v>
      </x:c>
      <x:c r="U995" s="24" t="str">
        <x:v>Rodenstock|Monofocal Rodenstock|Surfaçada|Cosmolit Surfaçada||1.6|1.60|Solitaire X-tra Clean|-10 a +10|até -6||75|||23</x:v>
      </x:c>
    </x:row>
    <x:row r="996">
      <x:c r="A996" s="24" t="str">
        <x:v>RD-DF5B570543F2</x:v>
      </x:c>
      <x:c r="B996" s="24" t="str">
        <x:v>Rodenstock</x:v>
      </x:c>
      <x:c r="C996" s="24" t="str">
        <x:v>Monofocal Rodenstock</x:v>
      </x:c>
      <x:c r="D996" s="24" t="str">
        <x:v>Surfaçada</x:v>
      </x:c>
      <x:c r="E996" s="24" t="str">
        <x:v>Cosmolit Surfaçada</x:v>
      </x:c>
      <x:c r="F996" s="24"/>
      <x:c r="G996" s="24" t="str">
        <x:v>1.6</x:v>
      </x:c>
      <x:c r="H996" s="24" t="str">
        <x:v>1.60</x:v>
      </x:c>
      <x:c r="I996" s="24" t="str">
        <x:v>Solitaire 2 Protect Balance</x:v>
      </x:c>
      <x:c r="J996" s="40" t="n">
        <x:v>2021</x:v>
      </x:c>
      <x:c r="K996" s="24" t="str">
        <x:v>-10 a +10</x:v>
      </x:c>
      <x:c r="L996" s="24" t="str">
        <x:v>até -6</x:v>
      </x:c>
      <x:c r="M996" s="24"/>
      <x:c r="N996" s="24" t="str">
        <x:v>75</x:v>
      </x:c>
      <x:c r="O996" s="24"/>
      <x:c r="P996" s="24"/>
      <x:c r="Q996" s="24" t="str">
        <x:v>DISPONÍVEL</x:v>
      </x:c>
      <x:c r="R996" s="24"/>
      <x:c r="S996" s="24" t="n">
        <x:v>23</x:v>
      </x:c>
      <x:c r="T996" s="24" t="str">
        <x:v>tabela_rodenstock.pdf</x:v>
      </x:c>
      <x:c r="U996" s="24" t="str">
        <x:v>Rodenstock|Monofocal Rodenstock|Surfaçada|Cosmolit Surfaçada||1.6|1.60|Solitaire 2 Protect Balance|-10 a +10|até -6||75|||23</x:v>
      </x:c>
    </x:row>
    <x:row r="997">
      <x:c r="A997" s="24" t="str">
        <x:v>RD-386701FFA12F</x:v>
      </x:c>
      <x:c r="B997" s="24" t="str">
        <x:v>Rodenstock</x:v>
      </x:c>
      <x:c r="C997" s="24" t="str">
        <x:v>Monofocal Rodenstock</x:v>
      </x:c>
      <x:c r="D997" s="24" t="str">
        <x:v>Surfaçada</x:v>
      </x:c>
      <x:c r="E997" s="24" t="str">
        <x:v>Cosmolit Surfaçada</x:v>
      </x:c>
      <x:c r="F997" s="24"/>
      <x:c r="G997" s="24" t="str">
        <x:v>1.6</x:v>
      </x:c>
      <x:c r="H997" s="24" t="str">
        <x:v>1.60</x:v>
      </x:c>
      <x:c r="I997" s="24" t="str">
        <x:v>Solitaire Protect Plus</x:v>
      </x:c>
      <x:c r="J997" s="40" t="n">
        <x:v>2021</x:v>
      </x:c>
      <x:c r="K997" s="24" t="str">
        <x:v>-10 a +10</x:v>
      </x:c>
      <x:c r="L997" s="24" t="str">
        <x:v>até -6</x:v>
      </x:c>
      <x:c r="M997" s="24"/>
      <x:c r="N997" s="24" t="str">
        <x:v>75</x:v>
      </x:c>
      <x:c r="O997" s="24"/>
      <x:c r="P997" s="24"/>
      <x:c r="Q997" s="24" t="str">
        <x:v>DISPONÍVEL</x:v>
      </x:c>
      <x:c r="R997" s="24"/>
      <x:c r="S997" s="24" t="n">
        <x:v>23</x:v>
      </x:c>
      <x:c r="T997" s="24" t="str">
        <x:v>tabela_rodenstock.pdf</x:v>
      </x:c>
      <x:c r="U997" s="24" t="str">
        <x:v>Rodenstock|Monofocal Rodenstock|Surfaçada|Cosmolit Surfaçada||1.6|1.60|Solitaire Protect Plus|-10 a +10|até -6||75|||23</x:v>
      </x:c>
    </x:row>
    <x:row r="998">
      <x:c r="A998" s="24" t="str">
        <x:v>RD-1BCF5DAF1B04</x:v>
      </x:c>
      <x:c r="B998" s="24" t="str">
        <x:v>Rodenstock</x:v>
      </x:c>
      <x:c r="C998" s="24" t="str">
        <x:v>Monofocal Rodenstock</x:v>
      </x:c>
      <x:c r="D998" s="24" t="str">
        <x:v>Surfaçada</x:v>
      </x:c>
      <x:c r="E998" s="24" t="str">
        <x:v>Cosmolit Surfaçada</x:v>
      </x:c>
      <x:c r="F998" s="24"/>
      <x:c r="G998" s="24" t="str">
        <x:v>1.6</x:v>
      </x:c>
      <x:c r="H998" s="24" t="str">
        <x:v>1.60</x:v>
      </x:c>
      <x:c r="I998" s="24" t="str">
        <x:v>ROAD</x:v>
      </x:c>
      <x:c r="J998" s="40" t="n">
        <x:v>2021</x:v>
      </x:c>
      <x:c r="K998" s="24" t="str">
        <x:v>-10 a +10</x:v>
      </x:c>
      <x:c r="L998" s="24" t="str">
        <x:v>até -6</x:v>
      </x:c>
      <x:c r="M998" s="24"/>
      <x:c r="N998" s="24" t="str">
        <x:v>75</x:v>
      </x:c>
      <x:c r="O998" s="24"/>
      <x:c r="P998" s="24"/>
      <x:c r="Q998" s="24" t="str">
        <x:v>DISPONÍVEL</x:v>
      </x:c>
      <x:c r="R998" s="24"/>
      <x:c r="S998" s="24" t="n">
        <x:v>23</x:v>
      </x:c>
      <x:c r="T998" s="24" t="str">
        <x:v>tabela_rodenstock.pdf</x:v>
      </x:c>
      <x:c r="U998" s="24" t="str">
        <x:v>Rodenstock|Monofocal Rodenstock|Surfaçada|Cosmolit Surfaçada||1.6|1.60|ROAD|-10 a +10|até -6||75|||23</x:v>
      </x:c>
    </x:row>
    <x:row r="999">
      <x:c r="A999" s="24" t="str">
        <x:v>RD-28274125CB7B</x:v>
      </x:c>
      <x:c r="B999" s="24" t="str">
        <x:v>Rodenstock</x:v>
      </x:c>
      <x:c r="C999" s="24" t="str">
        <x:v>Monofocal Rodenstock</x:v>
      </x:c>
      <x:c r="D999" s="24" t="str">
        <x:v>Surfaçada</x:v>
      </x:c>
      <x:c r="E999" s="24" t="str">
        <x:v>Cosmolit Surfaçada</x:v>
      </x:c>
      <x:c r="F999" s="24"/>
      <x:c r="G999" s="24" t="str">
        <x:v>1.6</x:v>
      </x:c>
      <x:c r="H999" s="24" t="str">
        <x:v>1.60</x:v>
      </x:c>
      <x:c r="I999" s="24" t="str">
        <x:v>Solitaire Protect</x:v>
      </x:c>
      <x:c r="J999" s="40" t="n">
        <x:v>1761</x:v>
      </x:c>
      <x:c r="K999" s="24" t="str">
        <x:v>-10 a +10</x:v>
      </x:c>
      <x:c r="L999" s="24" t="str">
        <x:v>até -6</x:v>
      </x:c>
      <x:c r="M999" s="24"/>
      <x:c r="N999" s="24" t="str">
        <x:v>75</x:v>
      </x:c>
      <x:c r="O999" s="24"/>
      <x:c r="P999" s="24"/>
      <x:c r="Q999" s="24" t="str">
        <x:v>DISPONÍVEL</x:v>
      </x:c>
      <x:c r="R999" s="24"/>
      <x:c r="S999" s="24" t="n">
        <x:v>23</x:v>
      </x:c>
      <x:c r="T999" s="24" t="str">
        <x:v>tabela_rodenstock.pdf</x:v>
      </x:c>
      <x:c r="U999" s="24" t="str">
        <x:v>Rodenstock|Monofocal Rodenstock|Surfaçada|Cosmolit Surfaçada||1.6|1.60|Solitaire Protect|-10 a +10|até -6||75|||23</x:v>
      </x:c>
    </x:row>
    <x:row r="1000">
      <x:c r="A1000" s="24" t="str">
        <x:v>RD-F90BED996346</x:v>
      </x:c>
      <x:c r="B1000" s="24" t="str">
        <x:v>Rodenstock</x:v>
      </x:c>
      <x:c r="C1000" s="24" t="str">
        <x:v>Monofocal Rodenstock</x:v>
      </x:c>
      <x:c r="D1000" s="24" t="str">
        <x:v>Surfaçada</x:v>
      </x:c>
      <x:c r="E1000" s="24" t="str">
        <x:v>Cosmolit Surfaçada</x:v>
      </x:c>
      <x:c r="F1000" s="24"/>
      <x:c r="G1000" s="24" t="str">
        <x:v>1.6</x:v>
      </x:c>
      <x:c r="H1000" s="24" t="str">
        <x:v>1.60</x:v>
      </x:c>
      <x:c r="I1000" s="24" t="str">
        <x:v>Solitaire ECO 2</x:v>
      </x:c>
      <x:c r="J1000" s="40" t="n">
        <x:v>1281</x:v>
      </x:c>
      <x:c r="K1000" s="24" t="str">
        <x:v>-10 a +10</x:v>
      </x:c>
      <x:c r="L1000" s="24" t="str">
        <x:v>até -6</x:v>
      </x:c>
      <x:c r="M1000" s="24"/>
      <x:c r="N1000" s="24" t="str">
        <x:v>75</x:v>
      </x:c>
      <x:c r="O1000" s="24"/>
      <x:c r="P1000" s="24"/>
      <x:c r="Q1000" s="24" t="str">
        <x:v>DISPONÍVEL</x:v>
      </x:c>
      <x:c r="R1000" s="24"/>
      <x:c r="S1000" s="24" t="n">
        <x:v>23</x:v>
      </x:c>
      <x:c r="T1000" s="24" t="str">
        <x:v>tabela_rodenstock.pdf</x:v>
      </x:c>
      <x:c r="U1000" s="24" t="str">
        <x:v>Rodenstock|Monofocal Rodenstock|Surfaçada|Cosmolit Surfaçada||1.6|1.60|Solitaire ECO 2|-10 a +10|até -6||75|||23</x:v>
      </x:c>
    </x:row>
    <x:row r="1001">
      <x:c r="A1001" s="24" t="str">
        <x:v>RD-55F6B5092103</x:v>
      </x:c>
      <x:c r="B1001" s="24" t="str">
        <x:v>Rodenstock</x:v>
      </x:c>
      <x:c r="C1001" s="24" t="str">
        <x:v>Monofocal Rodenstock</x:v>
      </x:c>
      <x:c r="D1001" s="24" t="str">
        <x:v>Surfaçada</x:v>
      </x:c>
      <x:c r="E1001" s="24" t="str">
        <x:v>Cosmolit Surfaçada</x:v>
      </x:c>
      <x:c r="F1001" s="24" t="str">
        <x:v>PRO410</x:v>
      </x:c>
      <x:c r="G1001" s="24" t="str">
        <x:v>1.6</x:v>
      </x:c>
      <x:c r="H1001" s="24" t="str">
        <x:v>1.60</x:v>
      </x:c>
      <x:c r="I1001" s="24" t="str">
        <x:v>Solitaire X-tra Clean</x:v>
      </x:c>
      <x:c r="J1001" s="40" t="n">
        <x:v>2152</x:v>
      </x:c>
      <x:c r="K1001" s="24" t="str">
        <x:v>-10 a +10</x:v>
      </x:c>
      <x:c r="L1001" s="24" t="str">
        <x:v>até -6</x:v>
      </x:c>
      <x:c r="M1001" s="24"/>
      <x:c r="N1001" s="24" t="str">
        <x:v>75</x:v>
      </x:c>
      <x:c r="O1001" s="24"/>
      <x:c r="P1001" s="24"/>
      <x:c r="Q1001" s="24" t="str">
        <x:v>DISPONÍVEL</x:v>
      </x:c>
      <x:c r="R1001" s="24"/>
      <x:c r="S1001" s="24" t="n">
        <x:v>23</x:v>
      </x:c>
      <x:c r="T1001" s="24" t="str">
        <x:v>tabela_rodenstock.pdf</x:v>
      </x:c>
      <x:c r="U1001" s="24" t="str">
        <x:v>Rodenstock|Monofocal Rodenstock|Surfaçada|Cosmolit Surfaçada|PRO410|1.6|1.60|Solitaire X-tra Clean|-10 a +10|até -6||75|||23</x:v>
      </x:c>
    </x:row>
    <x:row r="1002">
      <x:c r="A1002" s="24" t="str">
        <x:v>RD-AFD1CFC064D8</x:v>
      </x:c>
      <x:c r="B1002" s="24" t="str">
        <x:v>Rodenstock</x:v>
      </x:c>
      <x:c r="C1002" s="24" t="str">
        <x:v>Monofocal Rodenstock</x:v>
      </x:c>
      <x:c r="D1002" s="24" t="str">
        <x:v>Surfaçada</x:v>
      </x:c>
      <x:c r="E1002" s="24" t="str">
        <x:v>Cosmolit Surfaçada</x:v>
      </x:c>
      <x:c r="F1002" s="24" t="str">
        <x:v>PRO410</x:v>
      </x:c>
      <x:c r="G1002" s="24" t="str">
        <x:v>1.6</x:v>
      </x:c>
      <x:c r="H1002" s="24" t="str">
        <x:v>1.60</x:v>
      </x:c>
      <x:c r="I1002" s="24" t="str">
        <x:v>Solitaire 2 Protect Balance</x:v>
      </x:c>
      <x:c r="J1002" s="40" t="n">
        <x:v>2102</x:v>
      </x:c>
      <x:c r="K1002" s="24" t="str">
        <x:v>-10 a +10</x:v>
      </x:c>
      <x:c r="L1002" s="24" t="str">
        <x:v>até -6</x:v>
      </x:c>
      <x:c r="M1002" s="24"/>
      <x:c r="N1002" s="24" t="str">
        <x:v>75</x:v>
      </x:c>
      <x:c r="O1002" s="24"/>
      <x:c r="P1002" s="24"/>
      <x:c r="Q1002" s="24" t="str">
        <x:v>DISPONÍVEL</x:v>
      </x:c>
      <x:c r="R1002" s="24"/>
      <x:c r="S1002" s="24" t="n">
        <x:v>23</x:v>
      </x:c>
      <x:c r="T1002" s="24" t="str">
        <x:v>tabela_rodenstock.pdf</x:v>
      </x:c>
      <x:c r="U1002" s="24" t="str">
        <x:v>Rodenstock|Monofocal Rodenstock|Surfaçada|Cosmolit Surfaçada|PRO410|1.6|1.60|Solitaire 2 Protect Balance|-10 a +10|até -6||75|||23</x:v>
      </x:c>
    </x:row>
    <x:row r="1003">
      <x:c r="A1003" s="24" t="str">
        <x:v>RD-BBE594A7008F</x:v>
      </x:c>
      <x:c r="B1003" s="24" t="str">
        <x:v>Rodenstock</x:v>
      </x:c>
      <x:c r="C1003" s="24" t="str">
        <x:v>Monofocal Rodenstock</x:v>
      </x:c>
      <x:c r="D1003" s="24" t="str">
        <x:v>Surfaçada</x:v>
      </x:c>
      <x:c r="E1003" s="24" t="str">
        <x:v>Cosmolit Surfaçada</x:v>
      </x:c>
      <x:c r="F1003" s="24" t="str">
        <x:v>PRO410</x:v>
      </x:c>
      <x:c r="G1003" s="24" t="str">
        <x:v>1.6</x:v>
      </x:c>
      <x:c r="H1003" s="24" t="str">
        <x:v>1.60</x:v>
      </x:c>
      <x:c r="I1003" s="24" t="str">
        <x:v>Solitaire Protect Plus</x:v>
      </x:c>
      <x:c r="J1003" s="40" t="n">
        <x:v>2102</x:v>
      </x:c>
      <x:c r="K1003" s="24" t="str">
        <x:v>-10 a +10</x:v>
      </x:c>
      <x:c r="L1003" s="24" t="str">
        <x:v>até -6</x:v>
      </x:c>
      <x:c r="M1003" s="24"/>
      <x:c r="N1003" s="24" t="str">
        <x:v>75</x:v>
      </x:c>
      <x:c r="O1003" s="24"/>
      <x:c r="P1003" s="24"/>
      <x:c r="Q1003" s="24" t="str">
        <x:v>DISPONÍVEL</x:v>
      </x:c>
      <x:c r="R1003" s="24"/>
      <x:c r="S1003" s="24" t="n">
        <x:v>23</x:v>
      </x:c>
      <x:c r="T1003" s="24" t="str">
        <x:v>tabela_rodenstock.pdf</x:v>
      </x:c>
      <x:c r="U1003" s="24" t="str">
        <x:v>Rodenstock|Monofocal Rodenstock|Surfaçada|Cosmolit Surfaçada|PRO410|1.6|1.60|Solitaire Protect Plus|-10 a +10|até -6||75|||23</x:v>
      </x:c>
    </x:row>
    <x:row r="1004">
      <x:c r="A1004" s="24" t="str">
        <x:v>RD-9CC1CB520F1F</x:v>
      </x:c>
      <x:c r="B1004" s="24" t="str">
        <x:v>Rodenstock</x:v>
      </x:c>
      <x:c r="C1004" s="24" t="str">
        <x:v>Monofocal Rodenstock</x:v>
      </x:c>
      <x:c r="D1004" s="24" t="str">
        <x:v>Surfaçada</x:v>
      </x:c>
      <x:c r="E1004" s="24" t="str">
        <x:v>Cosmolit Surfaçada</x:v>
      </x:c>
      <x:c r="F1004" s="24" t="str">
        <x:v>PRO410</x:v>
      </x:c>
      <x:c r="G1004" s="24" t="str">
        <x:v>1.6</x:v>
      </x:c>
      <x:c r="H1004" s="24" t="str">
        <x:v>1.60</x:v>
      </x:c>
      <x:c r="I1004" s="24" t="str">
        <x:v>ROAD</x:v>
      </x:c>
      <x:c r="J1004" s="40" t="n">
        <x:v>2102</x:v>
      </x:c>
      <x:c r="K1004" s="24" t="str">
        <x:v>-10 a +10</x:v>
      </x:c>
      <x:c r="L1004" s="24" t="str">
        <x:v>até -6</x:v>
      </x:c>
      <x:c r="M1004" s="24"/>
      <x:c r="N1004" s="24" t="str">
        <x:v>75</x:v>
      </x:c>
      <x:c r="O1004" s="24"/>
      <x:c r="P1004" s="24"/>
      <x:c r="Q1004" s="24" t="str">
        <x:v>DISPONÍVEL</x:v>
      </x:c>
      <x:c r="R1004" s="24"/>
      <x:c r="S1004" s="24" t="n">
        <x:v>23</x:v>
      </x:c>
      <x:c r="T1004" s="24" t="str">
        <x:v>tabela_rodenstock.pdf</x:v>
      </x:c>
      <x:c r="U1004" s="24" t="str">
        <x:v>Rodenstock|Monofocal Rodenstock|Surfaçada|Cosmolit Surfaçada|PRO410|1.6|1.60|ROAD|-10 a +10|até -6||75|||23</x:v>
      </x:c>
    </x:row>
    <x:row r="1005">
      <x:c r="A1005" s="24" t="str">
        <x:v>RD-852873504FE3</x:v>
      </x:c>
      <x:c r="B1005" s="24" t="str">
        <x:v>Rodenstock</x:v>
      </x:c>
      <x:c r="C1005" s="24" t="str">
        <x:v>Monofocal Rodenstock</x:v>
      </x:c>
      <x:c r="D1005" s="24" t="str">
        <x:v>Surfaçada</x:v>
      </x:c>
      <x:c r="E1005" s="24" t="str">
        <x:v>Cosmolit Surfaçada</x:v>
      </x:c>
      <x:c r="F1005" s="24" t="str">
        <x:v>PRO410</x:v>
      </x:c>
      <x:c r="G1005" s="24" t="str">
        <x:v>1.6</x:v>
      </x:c>
      <x:c r="H1005" s="24" t="str">
        <x:v>1.60</x:v>
      </x:c>
      <x:c r="I1005" s="24" t="str">
        <x:v>Solitaire Protect</x:v>
      </x:c>
      <x:c r="J1005" s="40" t="n">
        <x:v>1842</x:v>
      </x:c>
      <x:c r="K1005" s="24" t="str">
        <x:v>-10 a +10</x:v>
      </x:c>
      <x:c r="L1005" s="24" t="str">
        <x:v>até -6</x:v>
      </x:c>
      <x:c r="M1005" s="24"/>
      <x:c r="N1005" s="24" t="str">
        <x:v>75</x:v>
      </x:c>
      <x:c r="O1005" s="24"/>
      <x:c r="P1005" s="24"/>
      <x:c r="Q1005" s="24" t="str">
        <x:v>DISPONÍVEL</x:v>
      </x:c>
      <x:c r="R1005" s="24"/>
      <x:c r="S1005" s="24" t="n">
        <x:v>23</x:v>
      </x:c>
      <x:c r="T1005" s="24" t="str">
        <x:v>tabela_rodenstock.pdf</x:v>
      </x:c>
      <x:c r="U1005" s="24" t="str">
        <x:v>Rodenstock|Monofocal Rodenstock|Surfaçada|Cosmolit Surfaçada|PRO410|1.6|1.60|Solitaire Protect|-10 a +10|até -6||75|||23</x:v>
      </x:c>
    </x:row>
    <x:row r="1006">
      <x:c r="A1006" s="24" t="str">
        <x:v>RD-53F64A7A1571</x:v>
      </x:c>
      <x:c r="B1006" s="24" t="str">
        <x:v>Rodenstock</x:v>
      </x:c>
      <x:c r="C1006" s="24" t="str">
        <x:v>Monofocal Rodenstock</x:v>
      </x:c>
      <x:c r="D1006" s="24" t="str">
        <x:v>Surfaçada</x:v>
      </x:c>
      <x:c r="E1006" s="24" t="str">
        <x:v>Cosmolit Surfaçada</x:v>
      </x:c>
      <x:c r="F1006" s="24" t="str">
        <x:v>PRO410</x:v>
      </x:c>
      <x:c r="G1006" s="24" t="str">
        <x:v>1.6</x:v>
      </x:c>
      <x:c r="H1006" s="24" t="str">
        <x:v>1.60</x:v>
      </x:c>
      <x:c r="I1006" s="24" t="str">
        <x:v>Solitaire ECO 2</x:v>
      </x:c>
      <x:c r="J1006" s="40" t="n">
        <x:v>1362</x:v>
      </x:c>
      <x:c r="K1006" s="24" t="str">
        <x:v>-10 a +10</x:v>
      </x:c>
      <x:c r="L1006" s="24" t="str">
        <x:v>até -6</x:v>
      </x:c>
      <x:c r="M1006" s="24"/>
      <x:c r="N1006" s="24" t="str">
        <x:v>75</x:v>
      </x:c>
      <x:c r="O1006" s="24"/>
      <x:c r="P1006" s="24"/>
      <x:c r="Q1006" s="24" t="str">
        <x:v>DISPONÍVEL</x:v>
      </x:c>
      <x:c r="R1006" s="24"/>
      <x:c r="S1006" s="24" t="n">
        <x:v>23</x:v>
      </x:c>
      <x:c r="T1006" s="24" t="str">
        <x:v>tabela_rodenstock.pdf</x:v>
      </x:c>
      <x:c r="U1006" s="24" t="str">
        <x:v>Rodenstock|Monofocal Rodenstock|Surfaçada|Cosmolit Surfaçada|PRO410|1.6|1.60|Solitaire ECO 2|-10 a +10|até -6||75|||23</x:v>
      </x:c>
    </x:row>
    <x:row r="1007">
      <x:c r="A1007" s="24" t="str">
        <x:v>RD-D3A8FB10CB27</x:v>
      </x:c>
      <x:c r="B1007" s="24" t="str">
        <x:v>Rodenstock</x:v>
      </x:c>
      <x:c r="C1007" s="24" t="str">
        <x:v>Monofocal Rodenstock</x:v>
      </x:c>
      <x:c r="D1007" s="24" t="str">
        <x:v>Surfaçada</x:v>
      </x:c>
      <x:c r="E1007" s="24" t="str">
        <x:v>Cosmolit Surfaçada</x:v>
      </x:c>
      <x:c r="F1007" s="24" t="str">
        <x:v>ColorMatic® 3</x:v>
      </x:c>
      <x:c r="G1007" s="24" t="str">
        <x:v>1.6</x:v>
      </x:c>
      <x:c r="H1007" s="24" t="str">
        <x:v>1.60</x:v>
      </x:c>
      <x:c r="I1007" s="24" t="str">
        <x:v>Solitaire X-tra Clean</x:v>
      </x:c>
      <x:c r="J1007" s="40" t="n">
        <x:v>3278</x:v>
      </x:c>
      <x:c r="K1007" s="24" t="str">
        <x:v>-10 a +10</x:v>
      </x:c>
      <x:c r="L1007" s="24" t="str">
        <x:v>até -6</x:v>
      </x:c>
      <x:c r="M1007" s="24"/>
      <x:c r="N1007" s="24" t="str">
        <x:v>75</x:v>
      </x:c>
      <x:c r="O1007" s="24"/>
      <x:c r="P1007" s="24"/>
      <x:c r="Q1007" s="24" t="str">
        <x:v>DISPONÍVEL</x:v>
      </x:c>
      <x:c r="R1007" s="24"/>
      <x:c r="S1007" s="24" t="n">
        <x:v>23</x:v>
      </x:c>
      <x:c r="T1007" s="24" t="str">
        <x:v>tabela_rodenstock.pdf</x:v>
      </x:c>
      <x:c r="U1007" s="24" t="str">
        <x:v>Rodenstock|Monofocal Rodenstock|Surfaçada|Cosmolit Surfaçada|ColorMatic® 3|1.6|1.60|Solitaire X-tra Clean|-10 a +10|até -6||75|||23</x:v>
      </x:c>
    </x:row>
    <x:row r="1008">
      <x:c r="A1008" s="24" t="str">
        <x:v>RD-0ED7F8F5F0A2</x:v>
      </x:c>
      <x:c r="B1008" s="24" t="str">
        <x:v>Rodenstock</x:v>
      </x:c>
      <x:c r="C1008" s="24" t="str">
        <x:v>Monofocal Rodenstock</x:v>
      </x:c>
      <x:c r="D1008" s="24" t="str">
        <x:v>Surfaçada</x:v>
      </x:c>
      <x:c r="E1008" s="24" t="str">
        <x:v>Cosmolit Surfaçada</x:v>
      </x:c>
      <x:c r="F1008" s="24" t="str">
        <x:v>ColorMatic® 3</x:v>
      </x:c>
      <x:c r="G1008" s="24" t="str">
        <x:v>1.6</x:v>
      </x:c>
      <x:c r="H1008" s="24" t="str">
        <x:v>1.60</x:v>
      </x:c>
      <x:c r="I1008" s="24" t="str">
        <x:v>Solitaire 2 Protect Balance</x:v>
      </x:c>
      <x:c r="J1008" s="40" t="n">
        <x:v>3228</x:v>
      </x:c>
      <x:c r="K1008" s="24" t="str">
        <x:v>-10 a +10</x:v>
      </x:c>
      <x:c r="L1008" s="24" t="str">
        <x:v>até -6</x:v>
      </x:c>
      <x:c r="M1008" s="24"/>
      <x:c r="N1008" s="24" t="str">
        <x:v>75</x:v>
      </x:c>
      <x:c r="O1008" s="24"/>
      <x:c r="P1008" s="24"/>
      <x:c r="Q1008" s="24" t="str">
        <x:v>DISPONÍVEL</x:v>
      </x:c>
      <x:c r="R1008" s="24"/>
      <x:c r="S1008" s="24" t="n">
        <x:v>23</x:v>
      </x:c>
      <x:c r="T1008" s="24" t="str">
        <x:v>tabela_rodenstock.pdf</x:v>
      </x:c>
      <x:c r="U1008" s="24" t="str">
        <x:v>Rodenstock|Monofocal Rodenstock|Surfaçada|Cosmolit Surfaçada|ColorMatic® 3|1.6|1.60|Solitaire 2 Protect Balance|-10 a +10|até -6||75|||23</x:v>
      </x:c>
    </x:row>
    <x:row r="1009">
      <x:c r="A1009" s="24" t="str">
        <x:v>RD-DAE6133FA0F7</x:v>
      </x:c>
      <x:c r="B1009" s="24" t="str">
        <x:v>Rodenstock</x:v>
      </x:c>
      <x:c r="C1009" s="24" t="str">
        <x:v>Monofocal Rodenstock</x:v>
      </x:c>
      <x:c r="D1009" s="24" t="str">
        <x:v>Surfaçada</x:v>
      </x:c>
      <x:c r="E1009" s="24" t="str">
        <x:v>Cosmolit Surfaçada</x:v>
      </x:c>
      <x:c r="F1009" s="24" t="str">
        <x:v>ColorMatic® 3</x:v>
      </x:c>
      <x:c r="G1009" s="24" t="str">
        <x:v>1.6</x:v>
      </x:c>
      <x:c r="H1009" s="24" t="str">
        <x:v>1.60</x:v>
      </x:c>
      <x:c r="I1009" s="24" t="str">
        <x:v>Solitaire Protect Plus</x:v>
      </x:c>
      <x:c r="J1009" s="40" t="n">
        <x:v>3228</x:v>
      </x:c>
      <x:c r="K1009" s="24" t="str">
        <x:v>-10 a +10</x:v>
      </x:c>
      <x:c r="L1009" s="24" t="str">
        <x:v>até -6</x:v>
      </x:c>
      <x:c r="M1009" s="24"/>
      <x:c r="N1009" s="24" t="str">
        <x:v>75</x:v>
      </x:c>
      <x:c r="O1009" s="24"/>
      <x:c r="P1009" s="24"/>
      <x:c r="Q1009" s="24" t="str">
        <x:v>DISPONÍVEL</x:v>
      </x:c>
      <x:c r="R1009" s="24"/>
      <x:c r="S1009" s="24" t="n">
        <x:v>23</x:v>
      </x:c>
      <x:c r="T1009" s="24" t="str">
        <x:v>tabela_rodenstock.pdf</x:v>
      </x:c>
      <x:c r="U1009" s="24" t="str">
        <x:v>Rodenstock|Monofocal Rodenstock|Surfaçada|Cosmolit Surfaçada|ColorMatic® 3|1.6|1.60|Solitaire Protect Plus|-10 a +10|até -6||75|||23</x:v>
      </x:c>
    </x:row>
    <x:row r="1010">
      <x:c r="A1010" s="24" t="str">
        <x:v>RD-FD2435164189</x:v>
      </x:c>
      <x:c r="B1010" s="24" t="str">
        <x:v>Rodenstock</x:v>
      </x:c>
      <x:c r="C1010" s="24" t="str">
        <x:v>Monofocal Rodenstock</x:v>
      </x:c>
      <x:c r="D1010" s="24" t="str">
        <x:v>Surfaçada</x:v>
      </x:c>
      <x:c r="E1010" s="24" t="str">
        <x:v>Cosmolit Surfaçada</x:v>
      </x:c>
      <x:c r="F1010" s="24" t="str">
        <x:v>ColorMatic® 3</x:v>
      </x:c>
      <x:c r="G1010" s="24" t="str">
        <x:v>1.6</x:v>
      </x:c>
      <x:c r="H1010" s="24" t="str">
        <x:v>1.60</x:v>
      </x:c>
      <x:c r="I1010" s="24" t="str">
        <x:v>ROAD</x:v>
      </x:c>
      <x:c r="J1010" s="40" t="n">
        <x:v>3228</x:v>
      </x:c>
      <x:c r="K1010" s="24" t="str">
        <x:v>-10 a +10</x:v>
      </x:c>
      <x:c r="L1010" s="24" t="str">
        <x:v>até -6</x:v>
      </x:c>
      <x:c r="M1010" s="24"/>
      <x:c r="N1010" s="24" t="str">
        <x:v>75</x:v>
      </x:c>
      <x:c r="O1010" s="24"/>
      <x:c r="P1010" s="24"/>
      <x:c r="Q1010" s="24" t="str">
        <x:v>DISPONÍVEL</x:v>
      </x:c>
      <x:c r="R1010" s="24"/>
      <x:c r="S1010" s="24" t="n">
        <x:v>23</x:v>
      </x:c>
      <x:c r="T1010" s="24" t="str">
        <x:v>tabela_rodenstock.pdf</x:v>
      </x:c>
      <x:c r="U1010" s="24" t="str">
        <x:v>Rodenstock|Monofocal Rodenstock|Surfaçada|Cosmolit Surfaçada|ColorMatic® 3|1.6|1.60|ROAD|-10 a +10|até -6||75|||23</x:v>
      </x:c>
    </x:row>
    <x:row r="1011">
      <x:c r="A1011" s="24" t="str">
        <x:v>RD-C7C05075F11C</x:v>
      </x:c>
      <x:c r="B1011" s="24" t="str">
        <x:v>Rodenstock</x:v>
      </x:c>
      <x:c r="C1011" s="24" t="str">
        <x:v>Monofocal Rodenstock</x:v>
      </x:c>
      <x:c r="D1011" s="24" t="str">
        <x:v>Surfaçada</x:v>
      </x:c>
      <x:c r="E1011" s="24" t="str">
        <x:v>Cosmolit Surfaçada</x:v>
      </x:c>
      <x:c r="F1011" s="24" t="str">
        <x:v>ColorMatic® 3</x:v>
      </x:c>
      <x:c r="G1011" s="24" t="str">
        <x:v>1.6</x:v>
      </x:c>
      <x:c r="H1011" s="24" t="str">
        <x:v>1.60</x:v>
      </x:c>
      <x:c r="I1011" s="24" t="str">
        <x:v>Solitaire Protect</x:v>
      </x:c>
      <x:c r="J1011" s="40" t="n">
        <x:v>2968</x:v>
      </x:c>
      <x:c r="K1011" s="24" t="str">
        <x:v>-10 a +10</x:v>
      </x:c>
      <x:c r="L1011" s="24" t="str">
        <x:v>até -6</x:v>
      </x:c>
      <x:c r="M1011" s="24"/>
      <x:c r="N1011" s="24" t="str">
        <x:v>75</x:v>
      </x:c>
      <x:c r="O1011" s="24"/>
      <x:c r="P1011" s="24"/>
      <x:c r="Q1011" s="24" t="str">
        <x:v>DISPONÍVEL</x:v>
      </x:c>
      <x:c r="R1011" s="24"/>
      <x:c r="S1011" s="24" t="n">
        <x:v>23</x:v>
      </x:c>
      <x:c r="T1011" s="24" t="str">
        <x:v>tabela_rodenstock.pdf</x:v>
      </x:c>
      <x:c r="U1011" s="24" t="str">
        <x:v>Rodenstock|Monofocal Rodenstock|Surfaçada|Cosmolit Surfaçada|ColorMatic® 3|1.6|1.60|Solitaire Protect|-10 a +10|até -6||75|||23</x:v>
      </x:c>
    </x:row>
    <x:row r="1012">
      <x:c r="A1012" s="24" t="str">
        <x:v>RD-747E52FEAEE9</x:v>
      </x:c>
      <x:c r="B1012" s="24" t="str">
        <x:v>Rodenstock</x:v>
      </x:c>
      <x:c r="C1012" s="24" t="str">
        <x:v>Monofocal Rodenstock</x:v>
      </x:c>
      <x:c r="D1012" s="24" t="str">
        <x:v>Surfaçada</x:v>
      </x:c>
      <x:c r="E1012" s="24" t="str">
        <x:v>Cosmolit Surfaçada</x:v>
      </x:c>
      <x:c r="F1012" s="24" t="str">
        <x:v>ColorMatic® 3</x:v>
      </x:c>
      <x:c r="G1012" s="24" t="str">
        <x:v>1.6</x:v>
      </x:c>
      <x:c r="H1012" s="24" t="str">
        <x:v>1.60</x:v>
      </x:c>
      <x:c r="I1012" s="24" t="str">
        <x:v>Solitaire ECO 2</x:v>
      </x:c>
      <x:c r="J1012" s="40" t="n">
        <x:v>2488</x:v>
      </x:c>
      <x:c r="K1012" s="24" t="str">
        <x:v>-10 a +10</x:v>
      </x:c>
      <x:c r="L1012" s="24" t="str">
        <x:v>até -6</x:v>
      </x:c>
      <x:c r="M1012" s="24"/>
      <x:c r="N1012" s="24" t="str">
        <x:v>75</x:v>
      </x:c>
      <x:c r="O1012" s="24"/>
      <x:c r="P1012" s="24"/>
      <x:c r="Q1012" s="24" t="str">
        <x:v>DISPONÍVEL</x:v>
      </x:c>
      <x:c r="R1012" s="24"/>
      <x:c r="S1012" s="24" t="n">
        <x:v>23</x:v>
      </x:c>
      <x:c r="T1012" s="24" t="str">
        <x:v>tabela_rodenstock.pdf</x:v>
      </x:c>
      <x:c r="U1012" s="24" t="str">
        <x:v>Rodenstock|Monofocal Rodenstock|Surfaçada|Cosmolit Surfaçada|ColorMatic® 3|1.6|1.60|Solitaire ECO 2|-10 a +10|até -6||75|||23</x:v>
      </x:c>
    </x:row>
    <x:row r="1013">
      <x:c r="A1013" s="24" t="str">
        <x:v>RD-CB09A8DEE1DF</x:v>
      </x:c>
      <x:c r="B1013" s="24" t="str">
        <x:v>Rodenstock</x:v>
      </x:c>
      <x:c r="C1013" s="24" t="str">
        <x:v>Monofocal Rodenstock</x:v>
      </x:c>
      <x:c r="D1013" s="24" t="str">
        <x:v>Surfaçada</x:v>
      </x:c>
      <x:c r="E1013" s="24" t="str">
        <x:v>Cosmolit Surfaçada</x:v>
      </x:c>
      <x:c r="F1013" s="24"/>
      <x:c r="G1013" s="24" t="str">
        <x:v>1.67</x:v>
      </x:c>
      <x:c r="H1013" s="24" t="str">
        <x:v>1.67</x:v>
      </x:c>
      <x:c r="I1013" s="24" t="str">
        <x:v>Solitaire X-tra Clean</x:v>
      </x:c>
      <x:c r="J1013" s="40" t="n">
        <x:v>3243</x:v>
      </x:c>
      <x:c r="K1013" s="24" t="str">
        <x:v>-10 a +10</x:v>
      </x:c>
      <x:c r="L1013" s="24" t="str">
        <x:v>até -6</x:v>
      </x:c>
      <x:c r="M1013" s="24"/>
      <x:c r="N1013" s="24" t="str">
        <x:v>75</x:v>
      </x:c>
      <x:c r="O1013" s="24"/>
      <x:c r="P1013" s="24"/>
      <x:c r="Q1013" s="24" t="str">
        <x:v>DISPONÍVEL</x:v>
      </x:c>
      <x:c r="R1013" s="24"/>
      <x:c r="S1013" s="24" t="n">
        <x:v>23</x:v>
      </x:c>
      <x:c r="T1013" s="24" t="str">
        <x:v>tabela_rodenstock.pdf</x:v>
      </x:c>
      <x:c r="U1013" s="24" t="str">
        <x:v>Rodenstock|Monofocal Rodenstock|Surfaçada|Cosmolit Surfaçada||1.67|1.67|Solitaire X-tra Clean|-10 a +10|até -6||75|||23</x:v>
      </x:c>
    </x:row>
    <x:row r="1014">
      <x:c r="A1014" s="24" t="str">
        <x:v>RD-EC0AC60E99D4</x:v>
      </x:c>
      <x:c r="B1014" s="24" t="str">
        <x:v>Rodenstock</x:v>
      </x:c>
      <x:c r="C1014" s="24" t="str">
        <x:v>Monofocal Rodenstock</x:v>
      </x:c>
      <x:c r="D1014" s="24" t="str">
        <x:v>Surfaçada</x:v>
      </x:c>
      <x:c r="E1014" s="24" t="str">
        <x:v>Cosmolit Surfaçada</x:v>
      </x:c>
      <x:c r="F1014" s="24"/>
      <x:c r="G1014" s="24" t="str">
        <x:v>1.67</x:v>
      </x:c>
      <x:c r="H1014" s="24" t="str">
        <x:v>1.67</x:v>
      </x:c>
      <x:c r="I1014" s="24" t="str">
        <x:v>Solitaire 2 Protect Balance</x:v>
      </x:c>
      <x:c r="J1014" s="40" t="n">
        <x:v>3193</x:v>
      </x:c>
      <x:c r="K1014" s="24" t="str">
        <x:v>-10 a +10</x:v>
      </x:c>
      <x:c r="L1014" s="24" t="str">
        <x:v>até -6</x:v>
      </x:c>
      <x:c r="M1014" s="24"/>
      <x:c r="N1014" s="24" t="str">
        <x:v>75</x:v>
      </x:c>
      <x:c r="O1014" s="24"/>
      <x:c r="P1014" s="24"/>
      <x:c r="Q1014" s="24" t="str">
        <x:v>DISPONÍVEL</x:v>
      </x:c>
      <x:c r="R1014" s="24"/>
      <x:c r="S1014" s="24" t="n">
        <x:v>23</x:v>
      </x:c>
      <x:c r="T1014" s="24" t="str">
        <x:v>tabela_rodenstock.pdf</x:v>
      </x:c>
      <x:c r="U1014" s="24" t="str">
        <x:v>Rodenstock|Monofocal Rodenstock|Surfaçada|Cosmolit Surfaçada||1.67|1.67|Solitaire 2 Protect Balance|-10 a +10|até -6||75|||23</x:v>
      </x:c>
    </x:row>
    <x:row r="1015">
      <x:c r="A1015" s="24" t="str">
        <x:v>RD-6E15A7104913</x:v>
      </x:c>
      <x:c r="B1015" s="24" t="str">
        <x:v>Rodenstock</x:v>
      </x:c>
      <x:c r="C1015" s="24" t="str">
        <x:v>Monofocal Rodenstock</x:v>
      </x:c>
      <x:c r="D1015" s="24" t="str">
        <x:v>Surfaçada</x:v>
      </x:c>
      <x:c r="E1015" s="24" t="str">
        <x:v>Cosmolit Surfaçada</x:v>
      </x:c>
      <x:c r="F1015" s="24"/>
      <x:c r="G1015" s="24" t="str">
        <x:v>1.67</x:v>
      </x:c>
      <x:c r="H1015" s="24" t="str">
        <x:v>1.67</x:v>
      </x:c>
      <x:c r="I1015" s="24" t="str">
        <x:v>Solitaire Protect Plus</x:v>
      </x:c>
      <x:c r="J1015" s="40" t="n">
        <x:v>3193</x:v>
      </x:c>
      <x:c r="K1015" s="24" t="str">
        <x:v>-10 a +10</x:v>
      </x:c>
      <x:c r="L1015" s="24" t="str">
        <x:v>até -6</x:v>
      </x:c>
      <x:c r="M1015" s="24"/>
      <x:c r="N1015" s="24" t="str">
        <x:v>75</x:v>
      </x:c>
      <x:c r="O1015" s="24"/>
      <x:c r="P1015" s="24"/>
      <x:c r="Q1015" s="24" t="str">
        <x:v>DISPONÍVEL</x:v>
      </x:c>
      <x:c r="R1015" s="24"/>
      <x:c r="S1015" s="24" t="n">
        <x:v>23</x:v>
      </x:c>
      <x:c r="T1015" s="24" t="str">
        <x:v>tabela_rodenstock.pdf</x:v>
      </x:c>
      <x:c r="U1015" s="24" t="str">
        <x:v>Rodenstock|Monofocal Rodenstock|Surfaçada|Cosmolit Surfaçada||1.67|1.67|Solitaire Protect Plus|-10 a +10|até -6||75|||23</x:v>
      </x:c>
    </x:row>
    <x:row r="1016">
      <x:c r="A1016" s="24" t="str">
        <x:v>RD-328350258889</x:v>
      </x:c>
      <x:c r="B1016" s="24" t="str">
        <x:v>Rodenstock</x:v>
      </x:c>
      <x:c r="C1016" s="24" t="str">
        <x:v>Monofocal Rodenstock</x:v>
      </x:c>
      <x:c r="D1016" s="24" t="str">
        <x:v>Surfaçada</x:v>
      </x:c>
      <x:c r="E1016" s="24" t="str">
        <x:v>Cosmolit Surfaçada</x:v>
      </x:c>
      <x:c r="F1016" s="24"/>
      <x:c r="G1016" s="24" t="str">
        <x:v>1.67</x:v>
      </x:c>
      <x:c r="H1016" s="24" t="str">
        <x:v>1.67</x:v>
      </x:c>
      <x:c r="I1016" s="24" t="str">
        <x:v>ROAD</x:v>
      </x:c>
      <x:c r="J1016" s="40" t="n">
        <x:v>3193</x:v>
      </x:c>
      <x:c r="K1016" s="24" t="str">
        <x:v>-10 a +10</x:v>
      </x:c>
      <x:c r="L1016" s="24" t="str">
        <x:v>até -6</x:v>
      </x:c>
      <x:c r="M1016" s="24"/>
      <x:c r="N1016" s="24" t="str">
        <x:v>75</x:v>
      </x:c>
      <x:c r="O1016" s="24"/>
      <x:c r="P1016" s="24"/>
      <x:c r="Q1016" s="24" t="str">
        <x:v>DISPONÍVEL</x:v>
      </x:c>
      <x:c r="R1016" s="24"/>
      <x:c r="S1016" s="24" t="n">
        <x:v>23</x:v>
      </x:c>
      <x:c r="T1016" s="24" t="str">
        <x:v>tabela_rodenstock.pdf</x:v>
      </x:c>
      <x:c r="U1016" s="24" t="str">
        <x:v>Rodenstock|Monofocal Rodenstock|Surfaçada|Cosmolit Surfaçada||1.67|1.67|ROAD|-10 a +10|até -6||75|||23</x:v>
      </x:c>
    </x:row>
    <x:row r="1017">
      <x:c r="A1017" s="24" t="str">
        <x:v>RD-3FF2BCD5FA29</x:v>
      </x:c>
      <x:c r="B1017" s="24" t="str">
        <x:v>Rodenstock</x:v>
      </x:c>
      <x:c r="C1017" s="24" t="str">
        <x:v>Monofocal Rodenstock</x:v>
      </x:c>
      <x:c r="D1017" s="24" t="str">
        <x:v>Surfaçada</x:v>
      </x:c>
      <x:c r="E1017" s="24" t="str">
        <x:v>Cosmolit Surfaçada</x:v>
      </x:c>
      <x:c r="F1017" s="24"/>
      <x:c r="G1017" s="24" t="str">
        <x:v>1.67</x:v>
      </x:c>
      <x:c r="H1017" s="24" t="str">
        <x:v>1.67</x:v>
      </x:c>
      <x:c r="I1017" s="24" t="str">
        <x:v>Solitaire Protect</x:v>
      </x:c>
      <x:c r="J1017" s="40" t="n">
        <x:v>2933</x:v>
      </x:c>
      <x:c r="K1017" s="24" t="str">
        <x:v>-10 a +10</x:v>
      </x:c>
      <x:c r="L1017" s="24" t="str">
        <x:v>até -6</x:v>
      </x:c>
      <x:c r="M1017" s="24"/>
      <x:c r="N1017" s="24" t="str">
        <x:v>75</x:v>
      </x:c>
      <x:c r="O1017" s="24"/>
      <x:c r="P1017" s="24"/>
      <x:c r="Q1017" s="24" t="str">
        <x:v>DISPONÍVEL</x:v>
      </x:c>
      <x:c r="R1017" s="24"/>
      <x:c r="S1017" s="24" t="n">
        <x:v>23</x:v>
      </x:c>
      <x:c r="T1017" s="24" t="str">
        <x:v>tabela_rodenstock.pdf</x:v>
      </x:c>
      <x:c r="U1017" s="24" t="str">
        <x:v>Rodenstock|Monofocal Rodenstock|Surfaçada|Cosmolit Surfaçada||1.67|1.67|Solitaire Protect|-10 a +10|até -6||75|||23</x:v>
      </x:c>
    </x:row>
    <x:row r="1018">
      <x:c r="A1018" s="24" t="str">
        <x:v>RD-2B960B68CCBF</x:v>
      </x:c>
      <x:c r="B1018" s="24" t="str">
        <x:v>Rodenstock</x:v>
      </x:c>
      <x:c r="C1018" s="24" t="str">
        <x:v>Monofocal Rodenstock</x:v>
      </x:c>
      <x:c r="D1018" s="24" t="str">
        <x:v>Surfaçada</x:v>
      </x:c>
      <x:c r="E1018" s="24" t="str">
        <x:v>Cosmolit Surfaçada</x:v>
      </x:c>
      <x:c r="F1018" s="24"/>
      <x:c r="G1018" s="24" t="str">
        <x:v>1.67</x:v>
      </x:c>
      <x:c r="H1018" s="24" t="str">
        <x:v>1.67</x:v>
      </x:c>
      <x:c r="I1018" s="24" t="str">
        <x:v>Solitaire ECO 2</x:v>
      </x:c>
      <x:c r="J1018" s="40" t="n">
        <x:v>2453</x:v>
      </x:c>
      <x:c r="K1018" s="24" t="str">
        <x:v>-10 a +10</x:v>
      </x:c>
      <x:c r="L1018" s="24" t="str">
        <x:v>até -6</x:v>
      </x:c>
      <x:c r="M1018" s="24"/>
      <x:c r="N1018" s="24" t="str">
        <x:v>75</x:v>
      </x:c>
      <x:c r="O1018" s="24"/>
      <x:c r="P1018" s="24"/>
      <x:c r="Q1018" s="24" t="str">
        <x:v>DISPONÍVEL</x:v>
      </x:c>
      <x:c r="R1018" s="24"/>
      <x:c r="S1018" s="24" t="n">
        <x:v>23</x:v>
      </x:c>
      <x:c r="T1018" s="24" t="str">
        <x:v>tabela_rodenstock.pdf</x:v>
      </x:c>
      <x:c r="U1018" s="24" t="str">
        <x:v>Rodenstock|Monofocal Rodenstock|Surfaçada|Cosmolit Surfaçada||1.67|1.67|Solitaire ECO 2|-10 a +10|até -6||75|||23</x:v>
      </x:c>
    </x:row>
    <x:row r="1019">
      <x:c r="A1019" s="24" t="str">
        <x:v>RD-1A6E768F6AD9</x:v>
      </x:c>
      <x:c r="B1019" s="24" t="str">
        <x:v>Rodenstock</x:v>
      </x:c>
      <x:c r="C1019" s="24" t="str">
        <x:v>Monofocal Rodenstock</x:v>
      </x:c>
      <x:c r="D1019" s="24" t="str">
        <x:v>Surfaçada</x:v>
      </x:c>
      <x:c r="E1019" s="24" t="str">
        <x:v>Cosmolit Surfaçada</x:v>
      </x:c>
      <x:c r="F1019" s="24" t="str">
        <x:v>ColorMatic® 3</x:v>
      </x:c>
      <x:c r="G1019" s="24" t="str">
        <x:v>1.67</x:v>
      </x:c>
      <x:c r="H1019" s="24" t="str">
        <x:v>1.67</x:v>
      </x:c>
      <x:c r="I1019" s="24" t="str">
        <x:v>Solitaire X-tra Clean</x:v>
      </x:c>
      <x:c r="J1019" s="40" t="n">
        <x:v>4492</x:v>
      </x:c>
      <x:c r="K1019" s="24" t="str">
        <x:v>-10 a +10</x:v>
      </x:c>
      <x:c r="L1019" s="24" t="str">
        <x:v>até -6</x:v>
      </x:c>
      <x:c r="M1019" s="24"/>
      <x:c r="N1019" s="24" t="str">
        <x:v>75</x:v>
      </x:c>
      <x:c r="O1019" s="24"/>
      <x:c r="P1019" s="24"/>
      <x:c r="Q1019" s="24" t="str">
        <x:v>DISPONÍVEL</x:v>
      </x:c>
      <x:c r="R1019" s="24"/>
      <x:c r="S1019" s="24" t="n">
        <x:v>23</x:v>
      </x:c>
      <x:c r="T1019" s="24" t="str">
        <x:v>tabela_rodenstock.pdf</x:v>
      </x:c>
      <x:c r="U1019" s="24" t="str">
        <x:v>Rodenstock|Monofocal Rodenstock|Surfaçada|Cosmolit Surfaçada|ColorMatic® 3|1.67|1.67|Solitaire X-tra Clean|-10 a +10|até -6||75|||23</x:v>
      </x:c>
    </x:row>
    <x:row r="1020">
      <x:c r="A1020" s="24" t="str">
        <x:v>RD-6DCB47838EB8</x:v>
      </x:c>
      <x:c r="B1020" s="24" t="str">
        <x:v>Rodenstock</x:v>
      </x:c>
      <x:c r="C1020" s="24" t="str">
        <x:v>Monofocal Rodenstock</x:v>
      </x:c>
      <x:c r="D1020" s="24" t="str">
        <x:v>Surfaçada</x:v>
      </x:c>
      <x:c r="E1020" s="24" t="str">
        <x:v>Cosmolit Surfaçada</x:v>
      </x:c>
      <x:c r="F1020" s="24" t="str">
        <x:v>ColorMatic® 3</x:v>
      </x:c>
      <x:c r="G1020" s="24" t="str">
        <x:v>1.67</x:v>
      </x:c>
      <x:c r="H1020" s="24" t="str">
        <x:v>1.67</x:v>
      </x:c>
      <x:c r="I1020" s="24" t="str">
        <x:v>Solitaire 2 Protect Balance</x:v>
      </x:c>
      <x:c r="J1020" s="40" t="n">
        <x:v>4442</x:v>
      </x:c>
      <x:c r="K1020" s="24" t="str">
        <x:v>-10 a +10</x:v>
      </x:c>
      <x:c r="L1020" s="24" t="str">
        <x:v>até -6</x:v>
      </x:c>
      <x:c r="M1020" s="24"/>
      <x:c r="N1020" s="24" t="str">
        <x:v>75</x:v>
      </x:c>
      <x:c r="O1020" s="24"/>
      <x:c r="P1020" s="24"/>
      <x:c r="Q1020" s="24" t="str">
        <x:v>DISPONÍVEL</x:v>
      </x:c>
      <x:c r="R1020" s="24"/>
      <x:c r="S1020" s="24" t="n">
        <x:v>23</x:v>
      </x:c>
      <x:c r="T1020" s="24" t="str">
        <x:v>tabela_rodenstock.pdf</x:v>
      </x:c>
      <x:c r="U1020" s="24" t="str">
        <x:v>Rodenstock|Monofocal Rodenstock|Surfaçada|Cosmolit Surfaçada|ColorMatic® 3|1.67|1.67|Solitaire 2 Protect Balance|-10 a +10|até -6||75|||23</x:v>
      </x:c>
    </x:row>
    <x:row r="1021">
      <x:c r="A1021" s="24" t="str">
        <x:v>RD-0695FFE26908</x:v>
      </x:c>
      <x:c r="B1021" s="24" t="str">
        <x:v>Rodenstock</x:v>
      </x:c>
      <x:c r="C1021" s="24" t="str">
        <x:v>Monofocal Rodenstock</x:v>
      </x:c>
      <x:c r="D1021" s="24" t="str">
        <x:v>Surfaçada</x:v>
      </x:c>
      <x:c r="E1021" s="24" t="str">
        <x:v>Cosmolit Surfaçada</x:v>
      </x:c>
      <x:c r="F1021" s="24" t="str">
        <x:v>ColorMatic® 3</x:v>
      </x:c>
      <x:c r="G1021" s="24" t="str">
        <x:v>1.67</x:v>
      </x:c>
      <x:c r="H1021" s="24" t="str">
        <x:v>1.67</x:v>
      </x:c>
      <x:c r="I1021" s="24" t="str">
        <x:v>Solitaire Protect Plus</x:v>
      </x:c>
      <x:c r="J1021" s="40" t="n">
        <x:v>4442</x:v>
      </x:c>
      <x:c r="K1021" s="24" t="str">
        <x:v>-10 a +10</x:v>
      </x:c>
      <x:c r="L1021" s="24" t="str">
        <x:v>até -6</x:v>
      </x:c>
      <x:c r="M1021" s="24"/>
      <x:c r="N1021" s="24" t="str">
        <x:v>75</x:v>
      </x:c>
      <x:c r="O1021" s="24"/>
      <x:c r="P1021" s="24"/>
      <x:c r="Q1021" s="24" t="str">
        <x:v>DISPONÍVEL</x:v>
      </x:c>
      <x:c r="R1021" s="24"/>
      <x:c r="S1021" s="24" t="n">
        <x:v>23</x:v>
      </x:c>
      <x:c r="T1021" s="24" t="str">
        <x:v>tabela_rodenstock.pdf</x:v>
      </x:c>
      <x:c r="U1021" s="24" t="str">
        <x:v>Rodenstock|Monofocal Rodenstock|Surfaçada|Cosmolit Surfaçada|ColorMatic® 3|1.67|1.67|Solitaire Protect Plus|-10 a +10|até -6||75|||23</x:v>
      </x:c>
    </x:row>
    <x:row r="1022">
      <x:c r="A1022" s="24" t="str">
        <x:v>RD-D5D8C6110E3C</x:v>
      </x:c>
      <x:c r="B1022" s="24" t="str">
        <x:v>Rodenstock</x:v>
      </x:c>
      <x:c r="C1022" s="24" t="str">
        <x:v>Monofocal Rodenstock</x:v>
      </x:c>
      <x:c r="D1022" s="24" t="str">
        <x:v>Surfaçada</x:v>
      </x:c>
      <x:c r="E1022" s="24" t="str">
        <x:v>Cosmolit Surfaçada</x:v>
      </x:c>
      <x:c r="F1022" s="24" t="str">
        <x:v>ColorMatic® 3</x:v>
      </x:c>
      <x:c r="G1022" s="24" t="str">
        <x:v>1.67</x:v>
      </x:c>
      <x:c r="H1022" s="24" t="str">
        <x:v>1.67</x:v>
      </x:c>
      <x:c r="I1022" s="24" t="str">
        <x:v>ROAD</x:v>
      </x:c>
      <x:c r="J1022" s="40" t="n">
        <x:v>4442</x:v>
      </x:c>
      <x:c r="K1022" s="24" t="str">
        <x:v>-10 a +10</x:v>
      </x:c>
      <x:c r="L1022" s="24" t="str">
        <x:v>até -6</x:v>
      </x:c>
      <x:c r="M1022" s="24"/>
      <x:c r="N1022" s="24" t="str">
        <x:v>75</x:v>
      </x:c>
      <x:c r="O1022" s="24"/>
      <x:c r="P1022" s="24"/>
      <x:c r="Q1022" s="24" t="str">
        <x:v>DISPONÍVEL</x:v>
      </x:c>
      <x:c r="R1022" s="24"/>
      <x:c r="S1022" s="24" t="n">
        <x:v>23</x:v>
      </x:c>
      <x:c r="T1022" s="24" t="str">
        <x:v>tabela_rodenstock.pdf</x:v>
      </x:c>
      <x:c r="U1022" s="24" t="str">
        <x:v>Rodenstock|Monofocal Rodenstock|Surfaçada|Cosmolit Surfaçada|ColorMatic® 3|1.67|1.67|ROAD|-10 a +10|até -6||75|||23</x:v>
      </x:c>
    </x:row>
    <x:row r="1023">
      <x:c r="A1023" s="24" t="str">
        <x:v>RD-457B584C5239</x:v>
      </x:c>
      <x:c r="B1023" s="24" t="str">
        <x:v>Rodenstock</x:v>
      </x:c>
      <x:c r="C1023" s="24" t="str">
        <x:v>Monofocal Rodenstock</x:v>
      </x:c>
      <x:c r="D1023" s="24" t="str">
        <x:v>Surfaçada</x:v>
      </x:c>
      <x:c r="E1023" s="24" t="str">
        <x:v>Cosmolit Surfaçada</x:v>
      </x:c>
      <x:c r="F1023" s="24" t="str">
        <x:v>ColorMatic® 3</x:v>
      </x:c>
      <x:c r="G1023" s="24" t="str">
        <x:v>1.67</x:v>
      </x:c>
      <x:c r="H1023" s="24" t="str">
        <x:v>1.67</x:v>
      </x:c>
      <x:c r="I1023" s="24" t="str">
        <x:v>Solitaire Protect</x:v>
      </x:c>
      <x:c r="J1023" s="40" t="n">
        <x:v>4182</x:v>
      </x:c>
      <x:c r="K1023" s="24" t="str">
        <x:v>-10 a +10</x:v>
      </x:c>
      <x:c r="L1023" s="24" t="str">
        <x:v>até -6</x:v>
      </x:c>
      <x:c r="M1023" s="24"/>
      <x:c r="N1023" s="24" t="str">
        <x:v>75</x:v>
      </x:c>
      <x:c r="O1023" s="24"/>
      <x:c r="P1023" s="24"/>
      <x:c r="Q1023" s="24" t="str">
        <x:v>DISPONÍVEL</x:v>
      </x:c>
      <x:c r="R1023" s="24"/>
      <x:c r="S1023" s="24" t="n">
        <x:v>23</x:v>
      </x:c>
      <x:c r="T1023" s="24" t="str">
        <x:v>tabela_rodenstock.pdf</x:v>
      </x:c>
      <x:c r="U1023" s="24" t="str">
        <x:v>Rodenstock|Monofocal Rodenstock|Surfaçada|Cosmolit Surfaçada|ColorMatic® 3|1.67|1.67|Solitaire Protect|-10 a +10|até -6||75|||23</x:v>
      </x:c>
    </x:row>
    <x:row r="1024">
      <x:c r="A1024" s="24" t="str">
        <x:v>RD-BCD80BDA89D6</x:v>
      </x:c>
      <x:c r="B1024" s="24" t="str">
        <x:v>Rodenstock</x:v>
      </x:c>
      <x:c r="C1024" s="24" t="str">
        <x:v>Monofocal Rodenstock</x:v>
      </x:c>
      <x:c r="D1024" s="24" t="str">
        <x:v>Surfaçada</x:v>
      </x:c>
      <x:c r="E1024" s="24" t="str">
        <x:v>Cosmolit Surfaçada</x:v>
      </x:c>
      <x:c r="F1024" s="24" t="str">
        <x:v>ColorMatic® 3</x:v>
      </x:c>
      <x:c r="G1024" s="24" t="str">
        <x:v>1.67</x:v>
      </x:c>
      <x:c r="H1024" s="24" t="str">
        <x:v>1.67</x:v>
      </x:c>
      <x:c r="I1024" s="24" t="str">
        <x:v>Solitaire ECO 2</x:v>
      </x:c>
      <x:c r="J1024" s="40" t="n">
        <x:v>3702</x:v>
      </x:c>
      <x:c r="K1024" s="24" t="str">
        <x:v>-10 a +10</x:v>
      </x:c>
      <x:c r="L1024" s="24" t="str">
        <x:v>até -6</x:v>
      </x:c>
      <x:c r="M1024" s="24"/>
      <x:c r="N1024" s="24" t="str">
        <x:v>75</x:v>
      </x:c>
      <x:c r="O1024" s="24"/>
      <x:c r="P1024" s="24"/>
      <x:c r="Q1024" s="24" t="str">
        <x:v>DISPONÍVEL</x:v>
      </x:c>
      <x:c r="R1024" s="24"/>
      <x:c r="S1024" s="24" t="n">
        <x:v>23</x:v>
      </x:c>
      <x:c r="T1024" s="24" t="str">
        <x:v>tabela_rodenstock.pdf</x:v>
      </x:c>
      <x:c r="U1024" s="24" t="str">
        <x:v>Rodenstock|Monofocal Rodenstock|Surfaçada|Cosmolit Surfaçada|ColorMatic® 3|1.67|1.67|Solitaire ECO 2|-10 a +10|até -6||75|||23</x:v>
      </x:c>
    </x:row>
    <x:row r="1025">
      <x:c r="A1025" s="24" t="str">
        <x:v>RD-CA3D9489EC5B</x:v>
      </x:c>
      <x:c r="B1025" s="24" t="str">
        <x:v>Rodenstock</x:v>
      </x:c>
      <x:c r="C1025" s="24" t="str">
        <x:v>Monofocal Rodenstock</x:v>
      </x:c>
      <x:c r="D1025" s="24" t="str">
        <x:v>Surfaçada</x:v>
      </x:c>
      <x:c r="E1025" s="24" t="str">
        <x:v>Cosmolit Surfaçada</x:v>
      </x:c>
      <x:c r="F1025" s="24"/>
      <x:c r="G1025" s="24" t="str">
        <x:v>Perfalit</x:v>
      </x:c>
      <x:c r="H1025" s="24" t="str">
        <x:v>1.50</x:v>
      </x:c>
      <x:c r="I1025" s="24" t="str">
        <x:v>Solitaire X-tra Clean</x:v>
      </x:c>
      <x:c r="J1025" s="40" t="n">
        <x:v>636</x:v>
      </x:c>
      <x:c r="K1025" s="24" t="str">
        <x:v>-4 a +4</x:v>
      </x:c>
      <x:c r="L1025" s="24" t="str">
        <x:v>até -2</x:v>
      </x:c>
      <x:c r="M1025" s="24"/>
      <x:c r="N1025" s="24" t="str">
        <x:v>65/70</x:v>
      </x:c>
      <x:c r="O1025" s="24"/>
      <x:c r="P1025" s="24"/>
      <x:c r="Q1025" s="24" t="str">
        <x:v>DISPONÍVEL</x:v>
      </x:c>
      <x:c r="R1025" s="24"/>
      <x:c r="S1025" s="24" t="n">
        <x:v>23</x:v>
      </x:c>
      <x:c r="T1025" s="24" t="str">
        <x:v>tabela_rodenstock.pdf</x:v>
      </x:c>
      <x:c r="U1025" s="24" t="str">
        <x:v>Rodenstock|Monofocal Rodenstock|Surfaçada|Cosmolit Surfaçada||Perfalit|1.50|Solitaire X-tra Clean|-4 a +4|até -2||65/70|||23</x:v>
      </x:c>
    </x:row>
    <x:row r="1026">
      <x:c r="A1026" s="24" t="str">
        <x:v>RD-9D94D918FF26</x:v>
      </x:c>
      <x:c r="B1026" s="24" t="str">
        <x:v>Rodenstock</x:v>
      </x:c>
      <x:c r="C1026" s="24" t="str">
        <x:v>Monofocal Rodenstock</x:v>
      </x:c>
      <x:c r="D1026" s="24" t="str">
        <x:v>Surfaçada</x:v>
      </x:c>
      <x:c r="E1026" s="24" t="str">
        <x:v>Cosmolit Surfaçada</x:v>
      </x:c>
      <x:c r="F1026" s="24"/>
      <x:c r="G1026" s="24" t="str">
        <x:v>Perfalit</x:v>
      </x:c>
      <x:c r="H1026" s="24" t="str">
        <x:v>1.60</x:v>
      </x:c>
      <x:c r="I1026" s="24" t="str">
        <x:v>Solitaire X-tra Clean</x:v>
      </x:c>
      <x:c r="J1026" s="40" t="n">
        <x:v>1076</x:v>
      </x:c>
      <x:c r="K1026" s="24" t="str">
        <x:v>-6 a +6</x:v>
      </x:c>
      <x:c r="L1026" s="24" t="str">
        <x:v>até -2</x:v>
      </x:c>
      <x:c r="M1026" s="24"/>
      <x:c r="N1026" s="24" t="str">
        <x:v>65/70</x:v>
      </x:c>
      <x:c r="O1026" s="24"/>
      <x:c r="P1026" s="24"/>
      <x:c r="Q1026" s="24" t="str">
        <x:v>DISPONÍVEL</x:v>
      </x:c>
      <x:c r="R1026" s="24"/>
      <x:c r="S1026" s="24" t="n">
        <x:v>23</x:v>
      </x:c>
      <x:c r="T1026" s="24" t="str">
        <x:v>tabela_rodenstock.pdf</x:v>
      </x:c>
      <x:c r="U1026" s="24" t="str">
        <x:v>Rodenstock|Monofocal Rodenstock|Surfaçada|Cosmolit Surfaçada||Perfalit|1.60|Solitaire X-tra Clean|-6 a +6|até -2||65/70|||23</x:v>
      </x:c>
    </x:row>
    <x:row r="1027">
      <x:c r="A1027" s="24" t="str">
        <x:v>RD-9EDF04432F15</x:v>
      </x:c>
      <x:c r="B1027" s="24" t="str">
        <x:v>Rodenstock</x:v>
      </x:c>
      <x:c r="C1027" s="24" t="str">
        <x:v>Monofocal Rodenstock</x:v>
      </x:c>
      <x:c r="D1027" s="24" t="str">
        <x:v>Surfaçada</x:v>
      </x:c>
      <x:c r="E1027" s="24" t="str">
        <x:v>Cosmolit Surfaçada</x:v>
      </x:c>
      <x:c r="F1027" s="24"/>
      <x:c r="G1027" s="24" t="str">
        <x:v>1.5 com AR Hidrocoat 2</x:v>
      </x:c>
      <x:c r="H1027" s="24" t="str">
        <x:v>1.50</x:v>
      </x:c>
      <x:c r="I1027" s="24" t="str">
        <x:v>Solitaire X-tra Clean</x:v>
      </x:c>
      <x:c r="J1027" s="40" t="n">
        <x:v>540</x:v>
      </x:c>
      <x:c r="K1027" s="24" t="str">
        <x:v>-4 a +4</x:v>
      </x:c>
      <x:c r="L1027" s="24" t="str">
        <x:v>até -2</x:v>
      </x:c>
      <x:c r="M1027" s="24"/>
      <x:c r="N1027" s="24" t="str">
        <x:v>65/70</x:v>
      </x:c>
      <x:c r="O1027" s="24"/>
      <x:c r="P1027" s="24"/>
      <x:c r="Q1027" s="24" t="str">
        <x:v>DISPONÍVEL</x:v>
      </x:c>
      <x:c r="R1027" s="24"/>
      <x:c r="S1027" s="24" t="n">
        <x:v>23</x:v>
      </x:c>
      <x:c r="T1027" s="24" t="str">
        <x:v>tabela_rodenstock.pdf</x:v>
      </x:c>
      <x:c r="U1027" s="24" t="str">
        <x:v>Rodenstock|Monofocal Rodenstock|Surfaçada|Cosmolit Surfaçada||1.5 com AR Hidrocoat 2|1.50|Solitaire X-tra Clean|-4 a +4|até -2||65/70|||23</x:v>
      </x:c>
    </x:row>
    <x:row r="1028">
      <x:c r="A1028" s="24" t="str">
        <x:v>RD-266760FF1F6B</x:v>
      </x:c>
      <x:c r="B1028" s="24" t="str">
        <x:v>Rodenstock</x:v>
      </x:c>
      <x:c r="C1028" s="24" t="str">
        <x:v>Monofocal Rodenstock</x:v>
      </x:c>
      <x:c r="D1028" s="24" t="str">
        <x:v>Surfaçada</x:v>
      </x:c>
      <x:c r="E1028" s="24" t="str">
        <x:v>Cosmolit Surfaçada</x:v>
      </x:c>
      <x:c r="F1028" s="24"/>
      <x:c r="G1028" s="24" t="str">
        <x:v>1.6 com AR Hidrocoat 2</x:v>
      </x:c>
      <x:c r="H1028" s="24" t="str">
        <x:v>1.60</x:v>
      </x:c>
      <x:c r="I1028" s="24" t="str">
        <x:v>Solitaire X-tra Clean</x:v>
      </x:c>
      <x:c r="J1028" s="40" t="n">
        <x:v>708</x:v>
      </x:c>
      <x:c r="K1028" s="24" t="str">
        <x:v>-6 a +6</x:v>
      </x:c>
      <x:c r="L1028" s="24" t="str">
        <x:v>até -2</x:v>
      </x:c>
      <x:c r="M1028" s="24"/>
      <x:c r="N1028" s="24" t="str">
        <x:v>65/70</x:v>
      </x:c>
      <x:c r="O1028" s="24"/>
      <x:c r="P1028" s="24"/>
      <x:c r="Q1028" s="24" t="str">
        <x:v>DISPONÍVEL</x:v>
      </x:c>
      <x:c r="R1028" s="24"/>
      <x:c r="S1028" s="24" t="n">
        <x:v>23</x:v>
      </x:c>
      <x:c r="T1028" s="24" t="str">
        <x:v>tabela_rodenstock.pdf</x:v>
      </x:c>
      <x:c r="U1028" s="24" t="str">
        <x:v>Rodenstock|Monofocal Rodenstock|Surfaçada|Cosmolit Surfaçada||1.6 com AR Hidrocoat 2|1.60|Solitaire X-tra Clean|-6 a +6|até -2||65/70|||23</x:v>
      </x:c>
    </x:row>
    <x:row r="1029">
      <x:c r="A1029" s="24" t="str">
        <x:v>RD-0DF913808DE6</x:v>
      </x:c>
      <x:c r="B1029" s="24" t="str">
        <x:v>Rodenstock</x:v>
      </x:c>
      <x:c r="C1029" s="24" t="str">
        <x:v>Monofocal Rodenstock</x:v>
      </x:c>
      <x:c r="D1029" s="24" t="str">
        <x:v>Surfaçada</x:v>
      </x:c>
      <x:c r="E1029" s="24" t="str">
        <x:v>Cosmolit Surfaçada</x:v>
      </x:c>
      <x:c r="F1029" s="24"/>
      <x:c r="G1029" s="24" t="str">
        <x:v>1.67 com AR Hidrocoat 2</x:v>
      </x:c>
      <x:c r="H1029" s="24" t="str">
        <x:v>1.67</x:v>
      </x:c>
      <x:c r="I1029" s="24" t="str">
        <x:v>Solitaire X-tra Clean</x:v>
      </x:c>
      <x:c r="J1029" s="40" t="n">
        <x:v>1156</x:v>
      </x:c>
      <x:c r="K1029" s="24" t="str">
        <x:v>-6 a +6</x:v>
      </x:c>
      <x:c r="L1029" s="24" t="str">
        <x:v>até -2</x:v>
      </x:c>
      <x:c r="M1029" s="24"/>
      <x:c r="N1029" s="24" t="str">
        <x:v>65/70</x:v>
      </x:c>
      <x:c r="O1029" s="24"/>
      <x:c r="P1029" s="24"/>
      <x:c r="Q1029" s="24" t="str">
        <x:v>DISPONÍVEL</x:v>
      </x:c>
      <x:c r="R1029" s="24"/>
      <x:c r="S1029" s="24" t="n">
        <x:v>23</x:v>
      </x:c>
      <x:c r="T1029" s="24" t="str">
        <x:v>tabela_rodenstock.pdf</x:v>
      </x:c>
      <x:c r="U1029" s="24" t="str">
        <x:v>Rodenstock|Monofocal Rodenstock|Surfaçada|Cosmolit Surfaçada||1.67 com AR Hidrocoat 2|1.67|Solitaire X-tra Clean|-6 a +6|até -2||65/70|||23</x:v>
      </x:c>
    </x:row>
    <x:row r="1030">
      <x:c r="A1030" s="24" t="str">
        <x:v>RD-3EA8C9CCC0F4</x:v>
      </x:c>
      <x:c r="B1030" s="24" t="str">
        <x:v>Rodenstock</x:v>
      </x:c>
      <x:c r="C1030" s="24" t="str">
        <x:v>Monofocal Rodenstock</x:v>
      </x:c>
      <x:c r="D1030" s="24" t="str">
        <x:v>Surfaçada</x:v>
      </x:c>
      <x:c r="E1030" s="24" t="str">
        <x:v>Cosmolit Surfaçada</x:v>
      </x:c>
      <x:c r="F1030" s="24"/>
      <x:c r="G1030" s="24" t="str">
        <x:v>1.74 com AR Hidrocoat 2</x:v>
      </x:c>
      <x:c r="H1030" s="24" t="str">
        <x:v>1.74</x:v>
      </x:c>
      <x:c r="I1030" s="24" t="str">
        <x:v>Solitaire X-tra Clean</x:v>
      </x:c>
      <x:c r="J1030" s="40" t="n">
        <x:v>1716</x:v>
      </x:c>
      <x:c r="K1030" s="24" t="str">
        <x:v>-10 a -2.25</x:v>
      </x:c>
      <x:c r="L1030" s="24" t="str">
        <x:v>até -2</x:v>
      </x:c>
      <x:c r="M1030" s="24"/>
      <x:c r="N1030" s="24" t="str">
        <x:v>65/70</x:v>
      </x:c>
      <x:c r="O1030" s="24"/>
      <x:c r="P1030" s="24"/>
      <x:c r="Q1030" s="24" t="str">
        <x:v>DISPONÍVEL</x:v>
      </x:c>
      <x:c r="R1030" s="24"/>
      <x:c r="S1030" s="24" t="n">
        <x:v>23</x:v>
      </x:c>
      <x:c r="T1030" s="24" t="str">
        <x:v>tabela_rodenstock.pdf</x:v>
      </x:c>
      <x:c r="U1030" s="24" t="str">
        <x:v>Rodenstock|Monofocal Rodenstock|Surfaçada|Cosmolit Surfaçada||1.74 com AR Hidrocoat 2|1.74|Solitaire X-tra Clean|-10 a -2.25|até -2||65/70|||23</x:v>
      </x:c>
    </x:row>
    <x:row r="1031">
      <x:c r="A1031" s="24" t="str">
        <x:v>RD-C3C6496AA042</x:v>
      </x:c>
      <x:c r="B1031" s="24" t="str">
        <x:v>Rodenstock</x:v>
      </x:c>
      <x:c r="C1031" s="24" t="str">
        <x:v>Netline</x:v>
      </x:c>
      <x:c r="D1031" s="24" t="str">
        <x:v>Netline</x:v>
      </x:c>
      <x:c r="E1031" s="24" t="str">
        <x:v>Progressiv E.Max</x:v>
      </x:c>
      <x:c r="F1031" s="24"/>
      <x:c r="G1031" s="24" t="str">
        <x:v>1.5</x:v>
      </x:c>
      <x:c r="H1031" s="24" t="str">
        <x:v>1.50</x:v>
      </x:c>
      <x:c r="I1031" s="24" t="str">
        <x:v>HydroCoat 2</x:v>
      </x:c>
      <x:c r="J1031" s="40" t="n">
        <x:v>2768</x:v>
      </x:c>
      <x:c r="K1031" s="24" t="str">
        <x:v>-8 a +8</x:v>
      </x:c>
      <x:c r="L1031" s="24" t="str">
        <x:v>até -6</x:v>
      </x:c>
      <x:c r="M1031" s="24"/>
      <x:c r="N1031" s="24" t="str">
        <x:v>75/80</x:v>
      </x:c>
      <x:c r="O1031" s="24"/>
      <x:c r="P1031" s="24"/>
      <x:c r="Q1031" s="24" t="str">
        <x:v>DISPONÍVEL</x:v>
      </x:c>
      <x:c r="R1031" s="24"/>
      <x:c r="S1031" s="24" t="n">
        <x:v>32</x:v>
      </x:c>
      <x:c r="T1031" s="24" t="str">
        <x:v>tabela_rodenstock.pdf</x:v>
      </x:c>
      <x:c r="U1031" s="24" t="str">
        <x:v>Rodenstock|Netline|Netline|Progressiv E.Max||1.5|1.50|HydroCoat 2|-8 a +8|até -6||75/80|||32</x:v>
      </x:c>
    </x:row>
    <x:row r="1032">
      <x:c r="A1032" s="24" t="str">
        <x:v>RD-67B3627483A0</x:v>
      </x:c>
      <x:c r="B1032" s="24" t="str">
        <x:v>Rodenstock</x:v>
      </x:c>
      <x:c r="C1032" s="24" t="str">
        <x:v>Netline</x:v>
      </x:c>
      <x:c r="D1032" s="24" t="str">
        <x:v>Netline</x:v>
      </x:c>
      <x:c r="E1032" s="24" t="str">
        <x:v>Progressiv E.Max</x:v>
      </x:c>
      <x:c r="F1032" s="24"/>
      <x:c r="G1032" s="24" t="str">
        <x:v>1.5</x:v>
      </x:c>
      <x:c r="H1032" s="24" t="str">
        <x:v>1.50</x:v>
      </x:c>
      <x:c r="I1032" s="24" t="str">
        <x:v>Solitaire 2 Protect Balance</x:v>
      </x:c>
      <x:c r="J1032" s="40" t="n">
        <x:v>2768</x:v>
      </x:c>
      <x:c r="K1032" s="24" t="str">
        <x:v>-8 a +8</x:v>
      </x:c>
      <x:c r="L1032" s="24" t="str">
        <x:v>até -6</x:v>
      </x:c>
      <x:c r="M1032" s="24"/>
      <x:c r="N1032" s="24" t="str">
        <x:v>75/80</x:v>
      </x:c>
      <x:c r="O1032" s="24"/>
      <x:c r="P1032" s="24"/>
      <x:c r="Q1032" s="24" t="str">
        <x:v>DISPONÍVEL</x:v>
      </x:c>
      <x:c r="R1032" s="24"/>
      <x:c r="S1032" s="24" t="n">
        <x:v>32</x:v>
      </x:c>
      <x:c r="T1032" s="24" t="str">
        <x:v>tabela_rodenstock.pdf</x:v>
      </x:c>
      <x:c r="U1032" s="24" t="str">
        <x:v>Rodenstock|Netline|Netline|Progressiv E.Max||1.5|1.50|Solitaire 2 Protect Balance|-8 a +8|até -6||75/80|||32</x:v>
      </x:c>
    </x:row>
    <x:row r="1033">
      <x:c r="A1033" s="24" t="str">
        <x:v>RD-39D3DC35FD49</x:v>
      </x:c>
      <x:c r="B1033" s="24" t="str">
        <x:v>Rodenstock</x:v>
      </x:c>
      <x:c r="C1033" s="24" t="str">
        <x:v>Netline</x:v>
      </x:c>
      <x:c r="D1033" s="24" t="str">
        <x:v>Netline</x:v>
      </x:c>
      <x:c r="E1033" s="24" t="str">
        <x:v>Progressiv E.Max</x:v>
      </x:c>
      <x:c r="F1033" s="24"/>
      <x:c r="G1033" s="24" t="str">
        <x:v>1.5</x:v>
      </x:c>
      <x:c r="H1033" s="24" t="str">
        <x:v>1.50</x:v>
      </x:c>
      <x:c r="I1033" s="24" t="str">
        <x:v>Solitaire ECO 2</x:v>
      </x:c>
      <x:c r="J1033" s="40" t="n">
        <x:v>2028</x:v>
      </x:c>
      <x:c r="K1033" s="24" t="str">
        <x:v>-8 a +8</x:v>
      </x:c>
      <x:c r="L1033" s="24" t="str">
        <x:v>até -6</x:v>
      </x:c>
      <x:c r="M1033" s="24"/>
      <x:c r="N1033" s="24" t="str">
        <x:v>75/80</x:v>
      </x:c>
      <x:c r="O1033" s="24"/>
      <x:c r="P1033" s="24"/>
      <x:c r="Q1033" s="24" t="str">
        <x:v>DISPONÍVEL</x:v>
      </x:c>
      <x:c r="R1033" s="24"/>
      <x:c r="S1033" s="24" t="n">
        <x:v>32</x:v>
      </x:c>
      <x:c r="T1033" s="24" t="str">
        <x:v>tabela_rodenstock.pdf</x:v>
      </x:c>
      <x:c r="U1033" s="24" t="str">
        <x:v>Rodenstock|Netline|Netline|Progressiv E.Max||1.5|1.50|Solitaire ECO 2|-8 a +8|até -6||75/80|||32</x:v>
      </x:c>
    </x:row>
    <x:row r="1034">
      <x:c r="A1034" s="24" t="str">
        <x:v>RD-4844A9DD0B1F</x:v>
      </x:c>
      <x:c r="B1034" s="24" t="str">
        <x:v>Rodenstock</x:v>
      </x:c>
      <x:c r="C1034" s="24" t="str">
        <x:v>Netline</x:v>
      </x:c>
      <x:c r="D1034" s="24" t="str">
        <x:v>Netline</x:v>
      </x:c>
      <x:c r="E1034" s="24" t="str">
        <x:v>Progressiv E.Max</x:v>
      </x:c>
      <x:c r="F1034" s="24"/>
      <x:c r="G1034" s="24" t="str">
        <x:v>1.5</x:v>
      </x:c>
      <x:c r="H1034" s="24" t="str">
        <x:v>1.50</x:v>
      </x:c>
      <x:c r="I1034" s="24" t="str">
        <x:v>Sem AR</x:v>
      </x:c>
      <x:c r="J1034" s="40" t="n">
        <x:v>1638</x:v>
      </x:c>
      <x:c r="K1034" s="24" t="str">
        <x:v>-8 a +8</x:v>
      </x:c>
      <x:c r="L1034" s="24" t="str">
        <x:v>até -6</x:v>
      </x:c>
      <x:c r="M1034" s="24"/>
      <x:c r="N1034" s="24" t="str">
        <x:v>75/80</x:v>
      </x:c>
      <x:c r="O1034" s="24"/>
      <x:c r="P1034" s="24"/>
      <x:c r="Q1034" s="24" t="str">
        <x:v>DISPONÍVEL</x:v>
      </x:c>
      <x:c r="R1034" s="24"/>
      <x:c r="S1034" s="24" t="n">
        <x:v>32</x:v>
      </x:c>
      <x:c r="T1034" s="24" t="str">
        <x:v>tabela_rodenstock.pdf</x:v>
      </x:c>
      <x:c r="U1034" s="24" t="str">
        <x:v>Rodenstock|Netline|Netline|Progressiv E.Max||1.5|1.50|Sem AR|-8 a +8|até -6||75/80|||32</x:v>
      </x:c>
    </x:row>
    <x:row r="1035">
      <x:c r="A1035" s="24" t="str">
        <x:v>RD-31A0357419A6</x:v>
      </x:c>
      <x:c r="B1035" s="24" t="str">
        <x:v>Rodenstock</x:v>
      </x:c>
      <x:c r="C1035" s="24" t="str">
        <x:v>Netline</x:v>
      </x:c>
      <x:c r="D1035" s="24" t="str">
        <x:v>Netline</x:v>
      </x:c>
      <x:c r="E1035" s="24" t="str">
        <x:v>Progressiv E.Max</x:v>
      </x:c>
      <x:c r="F1035" s="24" t="str">
        <x:v>ColorMatic® 3</x:v>
      </x:c>
      <x:c r="G1035" s="24" t="str">
        <x:v>1.54</x:v>
      </x:c>
      <x:c r="H1035" s="24" t="str">
        <x:v>1.54</x:v>
      </x:c>
      <x:c r="I1035" s="24" t="str">
        <x:v>HydroCoat 2</x:v>
      </x:c>
      <x:c r="J1035" s="40" t="n">
        <x:v>4059</x:v>
      </x:c>
      <x:c r="K1035" s="24" t="str">
        <x:v>-8 a +8</x:v>
      </x:c>
      <x:c r="L1035" s="24" t="str">
        <x:v>até -6</x:v>
      </x:c>
      <x:c r="M1035" s="24"/>
      <x:c r="N1035" s="24" t="str">
        <x:v>75/80</x:v>
      </x:c>
      <x:c r="O1035" s="24"/>
      <x:c r="P1035" s="24"/>
      <x:c r="Q1035" s="24" t="str">
        <x:v>DISPONÍVEL</x:v>
      </x:c>
      <x:c r="R1035" s="24"/>
      <x:c r="S1035" s="24" t="n">
        <x:v>32</x:v>
      </x:c>
      <x:c r="T1035" s="24" t="str">
        <x:v>tabela_rodenstock.pdf</x:v>
      </x:c>
      <x:c r="U1035" s="24" t="str">
        <x:v>Rodenstock|Netline|Netline|Progressiv E.Max|ColorMatic® 3|1.54|1.54|HydroCoat 2|-8 a +8|até -6||75/80|||32</x:v>
      </x:c>
    </x:row>
    <x:row r="1036">
      <x:c r="A1036" s="24" t="str">
        <x:v>RD-74140BFB0BE3</x:v>
      </x:c>
      <x:c r="B1036" s="24" t="str">
        <x:v>Rodenstock</x:v>
      </x:c>
      <x:c r="C1036" s="24" t="str">
        <x:v>Netline</x:v>
      </x:c>
      <x:c r="D1036" s="24" t="str">
        <x:v>Netline</x:v>
      </x:c>
      <x:c r="E1036" s="24" t="str">
        <x:v>Progressiv E.Max</x:v>
      </x:c>
      <x:c r="F1036" s="24" t="str">
        <x:v>ColorMatic® 3</x:v>
      </x:c>
      <x:c r="G1036" s="24" t="str">
        <x:v>1.54</x:v>
      </x:c>
      <x:c r="H1036" s="24" t="str">
        <x:v>1.54</x:v>
      </x:c>
      <x:c r="I1036" s="24" t="str">
        <x:v>Solitaire 2 Protect Balance</x:v>
      </x:c>
      <x:c r="J1036" s="40" t="n">
        <x:v>4059</x:v>
      </x:c>
      <x:c r="K1036" s="24" t="str">
        <x:v>-8 a +8</x:v>
      </x:c>
      <x:c r="L1036" s="24" t="str">
        <x:v>até -6</x:v>
      </x:c>
      <x:c r="M1036" s="24"/>
      <x:c r="N1036" s="24" t="str">
        <x:v>75/80</x:v>
      </x:c>
      <x:c r="O1036" s="24"/>
      <x:c r="P1036" s="24"/>
      <x:c r="Q1036" s="24" t="str">
        <x:v>DISPONÍVEL</x:v>
      </x:c>
      <x:c r="R1036" s="24"/>
      <x:c r="S1036" s="24" t="n">
        <x:v>32</x:v>
      </x:c>
      <x:c r="T1036" s="24" t="str">
        <x:v>tabela_rodenstock.pdf</x:v>
      </x:c>
      <x:c r="U1036" s="24" t="str">
        <x:v>Rodenstock|Netline|Netline|Progressiv E.Max|ColorMatic® 3|1.54|1.54|Solitaire 2 Protect Balance|-8 a +8|até -6||75/80|||32</x:v>
      </x:c>
    </x:row>
    <x:row r="1037">
      <x:c r="A1037" s="24" t="str">
        <x:v>RD-F7EA1A7A43BE</x:v>
      </x:c>
      <x:c r="B1037" s="24" t="str">
        <x:v>Rodenstock</x:v>
      </x:c>
      <x:c r="C1037" s="24" t="str">
        <x:v>Netline</x:v>
      </x:c>
      <x:c r="D1037" s="24" t="str">
        <x:v>Netline</x:v>
      </x:c>
      <x:c r="E1037" s="24" t="str">
        <x:v>Progressiv E.Max</x:v>
      </x:c>
      <x:c r="F1037" s="24" t="str">
        <x:v>ColorMatic® 3</x:v>
      </x:c>
      <x:c r="G1037" s="24" t="str">
        <x:v>1.54</x:v>
      </x:c>
      <x:c r="H1037" s="24" t="str">
        <x:v>1.54</x:v>
      </x:c>
      <x:c r="I1037" s="24" t="str">
        <x:v>Solitaire ECO 2</x:v>
      </x:c>
      <x:c r="J1037" s="40" t="n">
        <x:v>3319</x:v>
      </x:c>
      <x:c r="K1037" s="24" t="str">
        <x:v>-8 a +8</x:v>
      </x:c>
      <x:c r="L1037" s="24" t="str">
        <x:v>até -6</x:v>
      </x:c>
      <x:c r="M1037" s="24"/>
      <x:c r="N1037" s="24" t="str">
        <x:v>75/80</x:v>
      </x:c>
      <x:c r="O1037" s="24"/>
      <x:c r="P1037" s="24"/>
      <x:c r="Q1037" s="24" t="str">
        <x:v>DISPONÍVEL</x:v>
      </x:c>
      <x:c r="R1037" s="24"/>
      <x:c r="S1037" s="24" t="n">
        <x:v>32</x:v>
      </x:c>
      <x:c r="T1037" s="24" t="str">
        <x:v>tabela_rodenstock.pdf</x:v>
      </x:c>
      <x:c r="U1037" s="24" t="str">
        <x:v>Rodenstock|Netline|Netline|Progressiv E.Max|ColorMatic® 3|1.54|1.54|Solitaire ECO 2|-8 a +8|até -6||75/80|||32</x:v>
      </x:c>
    </x:row>
    <x:row r="1038">
      <x:c r="A1038" s="24" t="str">
        <x:v>RD-A975A503FD27</x:v>
      </x:c>
      <x:c r="B1038" s="24" t="str">
        <x:v>Rodenstock</x:v>
      </x:c>
      <x:c r="C1038" s="24" t="str">
        <x:v>Netline</x:v>
      </x:c>
      <x:c r="D1038" s="24" t="str">
        <x:v>Netline</x:v>
      </x:c>
      <x:c r="E1038" s="24" t="str">
        <x:v>Progressiv E.Max</x:v>
      </x:c>
      <x:c r="F1038" s="24" t="str">
        <x:v>ColorMatic® 3</x:v>
      </x:c>
      <x:c r="G1038" s="24" t="str">
        <x:v>1.54</x:v>
      </x:c>
      <x:c r="H1038" s="24" t="str">
        <x:v>1.54</x:v>
      </x:c>
      <x:c r="I1038" s="24" t="str">
        <x:v>Sem AR</x:v>
      </x:c>
      <x:c r="J1038" s="40" t="n">
        <x:v>2929</x:v>
      </x:c>
      <x:c r="K1038" s="24" t="str">
        <x:v>-8 a +8</x:v>
      </x:c>
      <x:c r="L1038" s="24" t="str">
        <x:v>até -6</x:v>
      </x:c>
      <x:c r="M1038" s="24"/>
      <x:c r="N1038" s="24" t="str">
        <x:v>75/80</x:v>
      </x:c>
      <x:c r="O1038" s="24"/>
      <x:c r="P1038" s="24"/>
      <x:c r="Q1038" s="24" t="str">
        <x:v>DISPONÍVEL</x:v>
      </x:c>
      <x:c r="R1038" s="24"/>
      <x:c r="S1038" s="24" t="n">
        <x:v>32</x:v>
      </x:c>
      <x:c r="T1038" s="24" t="str">
        <x:v>tabela_rodenstock.pdf</x:v>
      </x:c>
      <x:c r="U1038" s="24" t="str">
        <x:v>Rodenstock|Netline|Netline|Progressiv E.Max|ColorMatic® 3|1.54|1.54|Sem AR|-8 a +8|até -6||75/80|||32</x:v>
      </x:c>
    </x:row>
    <x:row r="1039">
      <x:c r="A1039" s="24" t="str">
        <x:v>RD-58BC4C9F5501</x:v>
      </x:c>
      <x:c r="B1039" s="24" t="str">
        <x:v>Rodenstock</x:v>
      </x:c>
      <x:c r="C1039" s="24" t="str">
        <x:v>Netline</x:v>
      </x:c>
      <x:c r="D1039" s="24" t="str">
        <x:v>Netline</x:v>
      </x:c>
      <x:c r="E1039" s="24" t="str">
        <x:v>Progressiv E.Max</x:v>
      </x:c>
      <x:c r="F1039" s="24"/>
      <x:c r="G1039" s="24" t="str">
        <x:v>1.6</x:v>
      </x:c>
      <x:c r="H1039" s="24" t="str">
        <x:v>1.60</x:v>
      </x:c>
      <x:c r="I1039" s="24" t="str">
        <x:v>HydroCoat 2</x:v>
      </x:c>
      <x:c r="J1039" s="40" t="n">
        <x:v>3040</x:v>
      </x:c>
      <x:c r="K1039" s="24" t="str">
        <x:v>-10 a +8</x:v>
      </x:c>
      <x:c r="L1039" s="24" t="str">
        <x:v>até -6</x:v>
      </x:c>
      <x:c r="M1039" s="24"/>
      <x:c r="N1039" s="24" t="str">
        <x:v>75/80</x:v>
      </x:c>
      <x:c r="O1039" s="24"/>
      <x:c r="P1039" s="24"/>
      <x:c r="Q1039" s="24" t="str">
        <x:v>DISPONÍVEL</x:v>
      </x:c>
      <x:c r="R1039" s="24"/>
      <x:c r="S1039" s="24" t="n">
        <x:v>32</x:v>
      </x:c>
      <x:c r="T1039" s="24" t="str">
        <x:v>tabela_rodenstock.pdf</x:v>
      </x:c>
      <x:c r="U1039" s="24" t="str">
        <x:v>Rodenstock|Netline|Netline|Progressiv E.Max||1.6|1.60|HydroCoat 2|-10 a +8|até -6||75/80|||32</x:v>
      </x:c>
    </x:row>
    <x:row r="1040">
      <x:c r="A1040" s="24" t="str">
        <x:v>RD-CB70081AEF4B</x:v>
      </x:c>
      <x:c r="B1040" s="24" t="str">
        <x:v>Rodenstock</x:v>
      </x:c>
      <x:c r="C1040" s="24" t="str">
        <x:v>Netline</x:v>
      </x:c>
      <x:c r="D1040" s="24" t="str">
        <x:v>Netline</x:v>
      </x:c>
      <x:c r="E1040" s="24" t="str">
        <x:v>Progressiv E.Max</x:v>
      </x:c>
      <x:c r="F1040" s="24"/>
      <x:c r="G1040" s="24" t="str">
        <x:v>1.6</x:v>
      </x:c>
      <x:c r="H1040" s="24" t="str">
        <x:v>1.60</x:v>
      </x:c>
      <x:c r="I1040" s="24" t="str">
        <x:v>Solitaire 2 Protect Balance</x:v>
      </x:c>
      <x:c r="J1040" s="40" t="n">
        <x:v>3040</x:v>
      </x:c>
      <x:c r="K1040" s="24" t="str">
        <x:v>-10 a +8</x:v>
      </x:c>
      <x:c r="L1040" s="24" t="str">
        <x:v>até -6</x:v>
      </x:c>
      <x:c r="M1040" s="24"/>
      <x:c r="N1040" s="24" t="str">
        <x:v>75/80</x:v>
      </x:c>
      <x:c r="O1040" s="24"/>
      <x:c r="P1040" s="24"/>
      <x:c r="Q1040" s="24" t="str">
        <x:v>DISPONÍVEL</x:v>
      </x:c>
      <x:c r="R1040" s="24"/>
      <x:c r="S1040" s="24" t="n">
        <x:v>32</x:v>
      </x:c>
      <x:c r="T1040" s="24" t="str">
        <x:v>tabela_rodenstock.pdf</x:v>
      </x:c>
      <x:c r="U1040" s="24" t="str">
        <x:v>Rodenstock|Netline|Netline|Progressiv E.Max||1.6|1.60|Solitaire 2 Protect Balance|-10 a +8|até -6||75/80|||32</x:v>
      </x:c>
    </x:row>
    <x:row r="1041">
      <x:c r="A1041" s="24" t="str">
        <x:v>RD-7F60FE978741</x:v>
      </x:c>
      <x:c r="B1041" s="24" t="str">
        <x:v>Rodenstock</x:v>
      </x:c>
      <x:c r="C1041" s="24" t="str">
        <x:v>Netline</x:v>
      </x:c>
      <x:c r="D1041" s="24" t="str">
        <x:v>Netline</x:v>
      </x:c>
      <x:c r="E1041" s="24" t="str">
        <x:v>Progressiv E.Max</x:v>
      </x:c>
      <x:c r="F1041" s="24"/>
      <x:c r="G1041" s="24" t="str">
        <x:v>1.6</x:v>
      </x:c>
      <x:c r="H1041" s="24" t="str">
        <x:v>1.60</x:v>
      </x:c>
      <x:c r="I1041" s="24" t="str">
        <x:v>Solitaire ECO 2</x:v>
      </x:c>
      <x:c r="J1041" s="40" t="n">
        <x:v>2300</x:v>
      </x:c>
      <x:c r="K1041" s="24" t="str">
        <x:v>-10 a +8</x:v>
      </x:c>
      <x:c r="L1041" s="24" t="str">
        <x:v>até -6</x:v>
      </x:c>
      <x:c r="M1041" s="24"/>
      <x:c r="N1041" s="24" t="str">
        <x:v>75/80</x:v>
      </x:c>
      <x:c r="O1041" s="24"/>
      <x:c r="P1041" s="24"/>
      <x:c r="Q1041" s="24" t="str">
        <x:v>DISPONÍVEL</x:v>
      </x:c>
      <x:c r="R1041" s="24"/>
      <x:c r="S1041" s="24" t="n">
        <x:v>32</x:v>
      </x:c>
      <x:c r="T1041" s="24" t="str">
        <x:v>tabela_rodenstock.pdf</x:v>
      </x:c>
      <x:c r="U1041" s="24" t="str">
        <x:v>Rodenstock|Netline|Netline|Progressiv E.Max||1.6|1.60|Solitaire ECO 2|-10 a +8|até -6||75/80|||32</x:v>
      </x:c>
    </x:row>
    <x:row r="1042">
      <x:c r="A1042" s="24" t="str">
        <x:v>RD-B40F0FFDB32C</x:v>
      </x:c>
      <x:c r="B1042" s="24" t="str">
        <x:v>Rodenstock</x:v>
      </x:c>
      <x:c r="C1042" s="24" t="str">
        <x:v>Netline</x:v>
      </x:c>
      <x:c r="D1042" s="24" t="str">
        <x:v>Netline</x:v>
      </x:c>
      <x:c r="E1042" s="24" t="str">
        <x:v>Progressiv E.Max</x:v>
      </x:c>
      <x:c r="F1042" s="24" t="str">
        <x:v>ColorMatic® 3</x:v>
      </x:c>
      <x:c r="G1042" s="24" t="str">
        <x:v>1.67</x:v>
      </x:c>
      <x:c r="H1042" s="24" t="str">
        <x:v>1.67</x:v>
      </x:c>
      <x:c r="I1042" s="24" t="str">
        <x:v>HydroCoat 2</x:v>
      </x:c>
      <x:c r="J1042" s="40" t="n">
        <x:v>5204</x:v>
      </x:c>
      <x:c r="K1042" s="24" t="str">
        <x:v>-10 a +8</x:v>
      </x:c>
      <x:c r="L1042" s="24" t="str">
        <x:v>até -6</x:v>
      </x:c>
      <x:c r="M1042" s="24"/>
      <x:c r="N1042" s="24" t="str">
        <x:v>75/80
75/80</x:v>
      </x:c>
      <x:c r="O1042" s="24"/>
      <x:c r="P1042" s="24"/>
      <x:c r="Q1042" s="24" t="str">
        <x:v>DISPONÍVEL</x:v>
      </x:c>
      <x:c r="R1042" s="24"/>
      <x:c r="S1042" s="24" t="n">
        <x:v>32</x:v>
      </x:c>
      <x:c r="T1042" s="24" t="str">
        <x:v>tabela_rodenstock.pdf</x:v>
      </x:c>
      <x:c r="U1042" s="24" t="str">
        <x:v>Rodenstock|Netline|Netline|Progressiv E.Max|ColorMatic® 3|1.67|1.67|HydroCoat 2|-10 a +8|até -6||75/80
75/80|||32</x:v>
      </x:c>
    </x:row>
    <x:row r="1043">
      <x:c r="A1043" s="24" t="str">
        <x:v>RD-59DCF3B8B119</x:v>
      </x:c>
      <x:c r="B1043" s="24" t="str">
        <x:v>Rodenstock</x:v>
      </x:c>
      <x:c r="C1043" s="24" t="str">
        <x:v>Netline</x:v>
      </x:c>
      <x:c r="D1043" s="24" t="str">
        <x:v>Netline</x:v>
      </x:c>
      <x:c r="E1043" s="24" t="str">
        <x:v>Progressiv E.Max</x:v>
      </x:c>
      <x:c r="F1043" s="24" t="str">
        <x:v>ColorMatic® 3</x:v>
      </x:c>
      <x:c r="G1043" s="24" t="str">
        <x:v>1.67</x:v>
      </x:c>
      <x:c r="H1043" s="24" t="str">
        <x:v>1.67</x:v>
      </x:c>
      <x:c r="I1043" s="24" t="str">
        <x:v>Solitaire 2 Protect Balance</x:v>
      </x:c>
      <x:c r="J1043" s="40" t="n">
        <x:v>5204</x:v>
      </x:c>
      <x:c r="K1043" s="24" t="str">
        <x:v>-10 a +8</x:v>
      </x:c>
      <x:c r="L1043" s="24" t="str">
        <x:v>até -6</x:v>
      </x:c>
      <x:c r="M1043" s="24"/>
      <x:c r="N1043" s="24" t="str">
        <x:v>75/80
75/80</x:v>
      </x:c>
      <x:c r="O1043" s="24"/>
      <x:c r="P1043" s="24"/>
      <x:c r="Q1043" s="24" t="str">
        <x:v>DISPONÍVEL</x:v>
      </x:c>
      <x:c r="R1043" s="24"/>
      <x:c r="S1043" s="24" t="n">
        <x:v>32</x:v>
      </x:c>
      <x:c r="T1043" s="24" t="str">
        <x:v>tabela_rodenstock.pdf</x:v>
      </x:c>
      <x:c r="U1043" s="24" t="str">
        <x:v>Rodenstock|Netline|Netline|Progressiv E.Max|ColorMatic® 3|1.67|1.67|Solitaire 2 Protect Balance|-10 a +8|até -6||75/80
75/80|||32</x:v>
      </x:c>
    </x:row>
    <x:row r="1044">
      <x:c r="A1044" s="24" t="str">
        <x:v>RD-0CF52A265945</x:v>
      </x:c>
      <x:c r="B1044" s="24" t="str">
        <x:v>Rodenstock</x:v>
      </x:c>
      <x:c r="C1044" s="24" t="str">
        <x:v>Netline</x:v>
      </x:c>
      <x:c r="D1044" s="24" t="str">
        <x:v>Netline</x:v>
      </x:c>
      <x:c r="E1044" s="24" t="str">
        <x:v>Progressiv E.Max</x:v>
      </x:c>
      <x:c r="F1044" s="24" t="str">
        <x:v>ColorMatic® 3</x:v>
      </x:c>
      <x:c r="G1044" s="24" t="str">
        <x:v>1.67</x:v>
      </x:c>
      <x:c r="H1044" s="24" t="str">
        <x:v>1.67</x:v>
      </x:c>
      <x:c r="I1044" s="24" t="str">
        <x:v>Solitaire ECO 2</x:v>
      </x:c>
      <x:c r="J1044" s="40" t="n">
        <x:v>4464</x:v>
      </x:c>
      <x:c r="K1044" s="24" t="str">
        <x:v>-10 a +8</x:v>
      </x:c>
      <x:c r="L1044" s="24" t="str">
        <x:v>até -6</x:v>
      </x:c>
      <x:c r="M1044" s="24"/>
      <x:c r="N1044" s="24" t="str">
        <x:v>75/80
75/80</x:v>
      </x:c>
      <x:c r="O1044" s="24"/>
      <x:c r="P1044" s="24"/>
      <x:c r="Q1044" s="24" t="str">
        <x:v>DISPONÍVEL</x:v>
      </x:c>
      <x:c r="R1044" s="24"/>
      <x:c r="S1044" s="24" t="n">
        <x:v>32</x:v>
      </x:c>
      <x:c r="T1044" s="24" t="str">
        <x:v>tabela_rodenstock.pdf</x:v>
      </x:c>
      <x:c r="U1044" s="24" t="str">
        <x:v>Rodenstock|Netline|Netline|Progressiv E.Max|ColorMatic® 3|1.67|1.67|Solitaire ECO 2|-10 a +8|até -6||75/80
75/80|||32</x:v>
      </x:c>
    </x:row>
    <x:row r="1045">
      <x:c r="A1045" s="24" t="str">
        <x:v>RD-E931D8FE3119</x:v>
      </x:c>
      <x:c r="B1045" s="24" t="str">
        <x:v>Rodenstock</x:v>
      </x:c>
      <x:c r="C1045" s="24" t="str">
        <x:v>Netline</x:v>
      </x:c>
      <x:c r="D1045" s="24" t="str">
        <x:v>Netline</x:v>
      </x:c>
      <x:c r="E1045" s="24" t="str">
        <x:v>Progressiv E.Pro</x:v>
      </x:c>
      <x:c r="F1045" s="24" t="str">
        <x:v>Polarizada</x:v>
      </x:c>
      <x:c r="G1045" s="24" t="str">
        <x:v>1.5</x:v>
      </x:c>
      <x:c r="H1045" s="24" t="str">
        <x:v>1.50</x:v>
      </x:c>
      <x:c r="I1045" s="24" t="str">
        <x:v>HydroCoat 2</x:v>
      </x:c>
      <x:c r="J1045" s="40" t="n">
        <x:v>3205</x:v>
      </x:c>
      <x:c r="K1045" s="24" t="str">
        <x:v>-6 a +6</x:v>
      </x:c>
      <x:c r="L1045" s="24" t="str">
        <x:v>até -6</x:v>
      </x:c>
      <x:c r="M1045" s="24"/>
      <x:c r="N1045" s="24" t="str">
        <x:v>75/80</x:v>
      </x:c>
      <x:c r="O1045" s="24"/>
      <x:c r="P1045" s="24"/>
      <x:c r="Q1045" s="24" t="str">
        <x:v>DISPONÍVEL</x:v>
      </x:c>
      <x:c r="R1045" s="24"/>
      <x:c r="S1045" s="24" t="n">
        <x:v>32</x:v>
      </x:c>
      <x:c r="T1045" s="24" t="str">
        <x:v>tabela_rodenstock.pdf</x:v>
      </x:c>
      <x:c r="U1045" s="24" t="str">
        <x:v>Rodenstock|Netline|Netline|Progressiv E.Pro|Polarizada|1.5|1.50|HydroCoat 2|-6 a +6|até -6||75/80|||32</x:v>
      </x:c>
    </x:row>
    <x:row r="1046">
      <x:c r="A1046" s="24" t="str">
        <x:v>RD-00B5922481F0</x:v>
      </x:c>
      <x:c r="B1046" s="24" t="str">
        <x:v>Rodenstock</x:v>
      </x:c>
      <x:c r="C1046" s="24" t="str">
        <x:v>Netline</x:v>
      </x:c>
      <x:c r="D1046" s="24" t="str">
        <x:v>Netline</x:v>
      </x:c>
      <x:c r="E1046" s="24" t="str">
        <x:v>Progressiv E.Pro</x:v>
      </x:c>
      <x:c r="F1046" s="24" t="str">
        <x:v>Polarizada</x:v>
      </x:c>
      <x:c r="G1046" s="24" t="str">
        <x:v>1.5</x:v>
      </x:c>
      <x:c r="H1046" s="24" t="str">
        <x:v>1.50</x:v>
      </x:c>
      <x:c r="I1046" s="24" t="str">
        <x:v>Solitaire 2 Protect Balance</x:v>
      </x:c>
      <x:c r="J1046" s="40" t="n">
        <x:v>3205</x:v>
      </x:c>
      <x:c r="K1046" s="24" t="str">
        <x:v>-6 a +6</x:v>
      </x:c>
      <x:c r="L1046" s="24" t="str">
        <x:v>até -6</x:v>
      </x:c>
      <x:c r="M1046" s="24"/>
      <x:c r="N1046" s="24" t="str">
        <x:v>75/80</x:v>
      </x:c>
      <x:c r="O1046" s="24"/>
      <x:c r="P1046" s="24"/>
      <x:c r="Q1046" s="24" t="str">
        <x:v>DISPONÍVEL</x:v>
      </x:c>
      <x:c r="R1046" s="24"/>
      <x:c r="S1046" s="24" t="n">
        <x:v>32</x:v>
      </x:c>
      <x:c r="T1046" s="24" t="str">
        <x:v>tabela_rodenstock.pdf</x:v>
      </x:c>
      <x:c r="U1046" s="24" t="str">
        <x:v>Rodenstock|Netline|Netline|Progressiv E.Pro|Polarizada|1.5|1.50|Solitaire 2 Protect Balance|-6 a +6|até -6||75/80|||32</x:v>
      </x:c>
    </x:row>
    <x:row r="1047">
      <x:c r="A1047" s="24" t="str">
        <x:v>RD-553744D37561</x:v>
      </x:c>
      <x:c r="B1047" s="24" t="str">
        <x:v>Rodenstock</x:v>
      </x:c>
      <x:c r="C1047" s="24" t="str">
        <x:v>Netline</x:v>
      </x:c>
      <x:c r="D1047" s="24" t="str">
        <x:v>Netline</x:v>
      </x:c>
      <x:c r="E1047" s="24" t="str">
        <x:v>Progressiv E.Pro</x:v>
      </x:c>
      <x:c r="F1047" s="24" t="str">
        <x:v>Polarizada</x:v>
      </x:c>
      <x:c r="G1047" s="24" t="str">
        <x:v>1.5</x:v>
      </x:c>
      <x:c r="H1047" s="24" t="str">
        <x:v>1.50</x:v>
      </x:c>
      <x:c r="I1047" s="24" t="str">
        <x:v>Solitaire ECO 2</x:v>
      </x:c>
      <x:c r="J1047" s="40" t="n">
        <x:v>2465</x:v>
      </x:c>
      <x:c r="K1047" s="24" t="str">
        <x:v>-6 a +6</x:v>
      </x:c>
      <x:c r="L1047" s="24" t="str">
        <x:v>até -6</x:v>
      </x:c>
      <x:c r="M1047" s="24"/>
      <x:c r="N1047" s="24" t="str">
        <x:v>75/80</x:v>
      </x:c>
      <x:c r="O1047" s="24"/>
      <x:c r="P1047" s="24"/>
      <x:c r="Q1047" s="24" t="str">
        <x:v>DISPONÍVEL</x:v>
      </x:c>
      <x:c r="R1047" s="24"/>
      <x:c r="S1047" s="24" t="n">
        <x:v>32</x:v>
      </x:c>
      <x:c r="T1047" s="24" t="str">
        <x:v>tabela_rodenstock.pdf</x:v>
      </x:c>
      <x:c r="U1047" s="24" t="str">
        <x:v>Rodenstock|Netline|Netline|Progressiv E.Pro|Polarizada|1.5|1.50|Solitaire ECO 2|-6 a +6|até -6||75/80|||32</x:v>
      </x:c>
    </x:row>
    <x:row r="1048">
      <x:c r="A1048" s="24" t="str">
        <x:v>RD-C1DB839953C4</x:v>
      </x:c>
      <x:c r="B1048" s="24" t="str">
        <x:v>Rodenstock</x:v>
      </x:c>
      <x:c r="C1048" s="24" t="str">
        <x:v>Netline</x:v>
      </x:c>
      <x:c r="D1048" s="24" t="str">
        <x:v>Netline</x:v>
      </x:c>
      <x:c r="E1048" s="24" t="str">
        <x:v>Progressiv E.Pro</x:v>
      </x:c>
      <x:c r="F1048" s="24" t="str">
        <x:v>Polarizada</x:v>
      </x:c>
      <x:c r="G1048" s="24" t="str">
        <x:v>1.5</x:v>
      </x:c>
      <x:c r="H1048" s="24" t="str">
        <x:v>1.50</x:v>
      </x:c>
      <x:c r="I1048" s="24" t="str">
        <x:v>Sem AR</x:v>
      </x:c>
      <x:c r="J1048" s="40" t="n">
        <x:v>2075</x:v>
      </x:c>
      <x:c r="K1048" s="24" t="str">
        <x:v>-6 a +6</x:v>
      </x:c>
      <x:c r="L1048" s="24" t="str">
        <x:v>até -6</x:v>
      </x:c>
      <x:c r="M1048" s="24"/>
      <x:c r="N1048" s="24" t="str">
        <x:v>75/80</x:v>
      </x:c>
      <x:c r="O1048" s="24"/>
      <x:c r="P1048" s="24"/>
      <x:c r="Q1048" s="24" t="str">
        <x:v>DISPONÍVEL</x:v>
      </x:c>
      <x:c r="R1048" s="24"/>
      <x:c r="S1048" s="24" t="n">
        <x:v>32</x:v>
      </x:c>
      <x:c r="T1048" s="24" t="str">
        <x:v>tabela_rodenstock.pdf</x:v>
      </x:c>
      <x:c r="U1048" s="24" t="str">
        <x:v>Rodenstock|Netline|Netline|Progressiv E.Pro|Polarizada|1.5|1.50|Sem AR|-6 a +6|até -6||75/80|||32</x:v>
      </x:c>
    </x:row>
    <x:row r="1049">
      <x:c r="A1049" s="24" t="str">
        <x:v>RD-7FA0756D6C9C</x:v>
      </x:c>
      <x:c r="B1049" s="24" t="str">
        <x:v>Rodenstock</x:v>
      </x:c>
      <x:c r="C1049" s="24" t="str">
        <x:v>Netline</x:v>
      </x:c>
      <x:c r="D1049" s="24" t="str">
        <x:v>Netline</x:v>
      </x:c>
      <x:c r="E1049" s="24" t="str">
        <x:v>Progressiv E.Pro</x:v>
      </x:c>
      <x:c r="F1049" s="24" t="str">
        <x:v>ColorMatic® 3</x:v>
      </x:c>
      <x:c r="G1049" s="24" t="str">
        <x:v>1.54</x:v>
      </x:c>
      <x:c r="H1049" s="24" t="str">
        <x:v>1.54</x:v>
      </x:c>
      <x:c r="I1049" s="24" t="str">
        <x:v>HydroCoat 2</x:v>
      </x:c>
      <x:c r="J1049" s="40" t="n">
        <x:v>3527</x:v>
      </x:c>
      <x:c r="K1049" s="24" t="str">
        <x:v>-8 a +8</x:v>
      </x:c>
      <x:c r="L1049" s="24" t="str">
        <x:v>até -6</x:v>
      </x:c>
      <x:c r="M1049" s="24"/>
      <x:c r="N1049" s="24" t="str">
        <x:v>75/80</x:v>
      </x:c>
      <x:c r="O1049" s="24"/>
      <x:c r="P1049" s="24"/>
      <x:c r="Q1049" s="24" t="str">
        <x:v>DISPONÍVEL</x:v>
      </x:c>
      <x:c r="R1049" s="24"/>
      <x:c r="S1049" s="24" t="n">
        <x:v>32</x:v>
      </x:c>
      <x:c r="T1049" s="24" t="str">
        <x:v>tabela_rodenstock.pdf</x:v>
      </x:c>
      <x:c r="U1049" s="24" t="str">
        <x:v>Rodenstock|Netline|Netline|Progressiv E.Pro|ColorMatic® 3|1.54|1.54|HydroCoat 2|-8 a +8|até -6||75/80|||32</x:v>
      </x:c>
    </x:row>
    <x:row r="1050">
      <x:c r="A1050" s="24" t="str">
        <x:v>RD-E1349251649E</x:v>
      </x:c>
      <x:c r="B1050" s="24" t="str">
        <x:v>Rodenstock</x:v>
      </x:c>
      <x:c r="C1050" s="24" t="str">
        <x:v>Netline</x:v>
      </x:c>
      <x:c r="D1050" s="24" t="str">
        <x:v>Netline</x:v>
      </x:c>
      <x:c r="E1050" s="24" t="str">
        <x:v>Progressiv E.Pro</x:v>
      </x:c>
      <x:c r="F1050" s="24" t="str">
        <x:v>ColorMatic® 3</x:v>
      </x:c>
      <x:c r="G1050" s="24" t="str">
        <x:v>1.54</x:v>
      </x:c>
      <x:c r="H1050" s="24" t="str">
        <x:v>1.54</x:v>
      </x:c>
      <x:c r="I1050" s="24" t="str">
        <x:v>Solitaire 2 Protect Balance</x:v>
      </x:c>
      <x:c r="J1050" s="40" t="n">
        <x:v>3527</x:v>
      </x:c>
      <x:c r="K1050" s="24" t="str">
        <x:v>-8 a +8</x:v>
      </x:c>
      <x:c r="L1050" s="24" t="str">
        <x:v>até -6</x:v>
      </x:c>
      <x:c r="M1050" s="24"/>
      <x:c r="N1050" s="24" t="str">
        <x:v>75/80</x:v>
      </x:c>
      <x:c r="O1050" s="24"/>
      <x:c r="P1050" s="24"/>
      <x:c r="Q1050" s="24" t="str">
        <x:v>DISPONÍVEL</x:v>
      </x:c>
      <x:c r="R1050" s="24"/>
      <x:c r="S1050" s="24" t="n">
        <x:v>32</x:v>
      </x:c>
      <x:c r="T1050" s="24" t="str">
        <x:v>tabela_rodenstock.pdf</x:v>
      </x:c>
      <x:c r="U1050" s="24" t="str">
        <x:v>Rodenstock|Netline|Netline|Progressiv E.Pro|ColorMatic® 3|1.54|1.54|Solitaire 2 Protect Balance|-8 a +8|até -6||75/80|||32</x:v>
      </x:c>
    </x:row>
    <x:row r="1051">
      <x:c r="A1051" s="24" t="str">
        <x:v>RD-CCD30476AC6E</x:v>
      </x:c>
      <x:c r="B1051" s="24" t="str">
        <x:v>Rodenstock</x:v>
      </x:c>
      <x:c r="C1051" s="24" t="str">
        <x:v>Netline</x:v>
      </x:c>
      <x:c r="D1051" s="24" t="str">
        <x:v>Netline</x:v>
      </x:c>
      <x:c r="E1051" s="24" t="str">
        <x:v>Progressiv E.Pro</x:v>
      </x:c>
      <x:c r="F1051" s="24" t="str">
        <x:v>ColorMatic® 3</x:v>
      </x:c>
      <x:c r="G1051" s="24" t="str">
        <x:v>1.54</x:v>
      </x:c>
      <x:c r="H1051" s="24" t="str">
        <x:v>1.54</x:v>
      </x:c>
      <x:c r="I1051" s="24" t="str">
        <x:v>Solitaire ECO 2</x:v>
      </x:c>
      <x:c r="J1051" s="40" t="n">
        <x:v>2787</x:v>
      </x:c>
      <x:c r="K1051" s="24" t="str">
        <x:v>-8 a +8</x:v>
      </x:c>
      <x:c r="L1051" s="24" t="str">
        <x:v>até -6</x:v>
      </x:c>
      <x:c r="M1051" s="24"/>
      <x:c r="N1051" s="24" t="str">
        <x:v>75/80</x:v>
      </x:c>
      <x:c r="O1051" s="24"/>
      <x:c r="P1051" s="24"/>
      <x:c r="Q1051" s="24" t="str">
        <x:v>DISPONÍVEL</x:v>
      </x:c>
      <x:c r="R1051" s="24"/>
      <x:c r="S1051" s="24" t="n">
        <x:v>32</x:v>
      </x:c>
      <x:c r="T1051" s="24" t="str">
        <x:v>tabela_rodenstock.pdf</x:v>
      </x:c>
      <x:c r="U1051" s="24" t="str">
        <x:v>Rodenstock|Netline|Netline|Progressiv E.Pro|ColorMatic® 3|1.54|1.54|Solitaire ECO 2|-8 a +8|até -6||75/80|||32</x:v>
      </x:c>
    </x:row>
    <x:row r="1052">
      <x:c r="A1052" s="24" t="str">
        <x:v>RD-6BA78245471D</x:v>
      </x:c>
      <x:c r="B1052" s="24" t="str">
        <x:v>Rodenstock</x:v>
      </x:c>
      <x:c r="C1052" s="24" t="str">
        <x:v>Netline</x:v>
      </x:c>
      <x:c r="D1052" s="24" t="str">
        <x:v>Netline</x:v>
      </x:c>
      <x:c r="E1052" s="24" t="str">
        <x:v>Progressiv E.Pro</x:v>
      </x:c>
      <x:c r="F1052" s="24" t="str">
        <x:v>ColorMatic® 3</x:v>
      </x:c>
      <x:c r="G1052" s="24" t="str">
        <x:v>1.54</x:v>
      </x:c>
      <x:c r="H1052" s="24" t="str">
        <x:v>1.54</x:v>
      </x:c>
      <x:c r="I1052" s="24" t="str">
        <x:v>Sem AR</x:v>
      </x:c>
      <x:c r="J1052" s="40" t="n">
        <x:v>2397</x:v>
      </x:c>
      <x:c r="K1052" s="24" t="str">
        <x:v>-8 a +8</x:v>
      </x:c>
      <x:c r="L1052" s="24" t="str">
        <x:v>até -6</x:v>
      </x:c>
      <x:c r="M1052" s="24"/>
      <x:c r="N1052" s="24" t="str">
        <x:v>75/80</x:v>
      </x:c>
      <x:c r="O1052" s="24"/>
      <x:c r="P1052" s="24"/>
      <x:c r="Q1052" s="24" t="str">
        <x:v>DISPONÍVEL</x:v>
      </x:c>
      <x:c r="R1052" s="24"/>
      <x:c r="S1052" s="24" t="n">
        <x:v>32</x:v>
      </x:c>
      <x:c r="T1052" s="24" t="str">
        <x:v>tabela_rodenstock.pdf</x:v>
      </x:c>
      <x:c r="U1052" s="24" t="str">
        <x:v>Rodenstock|Netline|Netline|Progressiv E.Pro|ColorMatic® 3|1.54|1.54|Sem AR|-8 a +8|até -6||75/80|||32</x:v>
      </x:c>
    </x:row>
    <x:row r="1053">
      <x:c r="A1053" s="24" t="str">
        <x:v>RD-59076E2E629F</x:v>
      </x:c>
      <x:c r="B1053" s="24" t="str">
        <x:v>Rodenstock</x:v>
      </x:c>
      <x:c r="C1053" s="24" t="str">
        <x:v>Netline</x:v>
      </x:c>
      <x:c r="D1053" s="24" t="str">
        <x:v>Netline</x:v>
      </x:c>
      <x:c r="E1053" s="24" t="str">
        <x:v>Progressiv E.Pro</x:v>
      </x:c>
      <x:c r="F1053" s="24"/>
      <x:c r="G1053" s="24" t="str">
        <x:v>1.6</x:v>
      </x:c>
      <x:c r="H1053" s="24" t="str">
        <x:v>1.60</x:v>
      </x:c>
      <x:c r="I1053" s="24" t="str">
        <x:v>HydroCoat 2</x:v>
      </x:c>
      <x:c r="J1053" s="40" t="n">
        <x:v>2585</x:v>
      </x:c>
      <x:c r="K1053" s="24" t="str">
        <x:v>-10 a +8</x:v>
      </x:c>
      <x:c r="L1053" s="24" t="str">
        <x:v>até -6</x:v>
      </x:c>
      <x:c r="M1053" s="24"/>
      <x:c r="N1053" s="24" t="str">
        <x:v>75/80</x:v>
      </x:c>
      <x:c r="O1053" s="24"/>
      <x:c r="P1053" s="24"/>
      <x:c r="Q1053" s="24" t="str">
        <x:v>DISPONÍVEL</x:v>
      </x:c>
      <x:c r="R1053" s="24"/>
      <x:c r="S1053" s="24" t="n">
        <x:v>32</x:v>
      </x:c>
      <x:c r="T1053" s="24" t="str">
        <x:v>tabela_rodenstock.pdf</x:v>
      </x:c>
      <x:c r="U1053" s="24" t="str">
        <x:v>Rodenstock|Netline|Netline|Progressiv E.Pro||1.6|1.60|HydroCoat 2|-10 a +8|até -6||75/80|||32</x:v>
      </x:c>
    </x:row>
    <x:row r="1054">
      <x:c r="A1054" s="24" t="str">
        <x:v>RD-4293E02D7205</x:v>
      </x:c>
      <x:c r="B1054" s="24" t="str">
        <x:v>Rodenstock</x:v>
      </x:c>
      <x:c r="C1054" s="24" t="str">
        <x:v>Netline</x:v>
      </x:c>
      <x:c r="D1054" s="24" t="str">
        <x:v>Netline</x:v>
      </x:c>
      <x:c r="E1054" s="24" t="str">
        <x:v>Progressiv E.Pro</x:v>
      </x:c>
      <x:c r="F1054" s="24"/>
      <x:c r="G1054" s="24" t="str">
        <x:v>1.6</x:v>
      </x:c>
      <x:c r="H1054" s="24" t="str">
        <x:v>1.60</x:v>
      </x:c>
      <x:c r="I1054" s="24" t="str">
        <x:v>Solitaire 2 Protect Balance</x:v>
      </x:c>
      <x:c r="J1054" s="40" t="n">
        <x:v>2585</x:v>
      </x:c>
      <x:c r="K1054" s="24" t="str">
        <x:v>-10 a +8</x:v>
      </x:c>
      <x:c r="L1054" s="24" t="str">
        <x:v>até -6</x:v>
      </x:c>
      <x:c r="M1054" s="24"/>
      <x:c r="N1054" s="24" t="str">
        <x:v>75/80</x:v>
      </x:c>
      <x:c r="O1054" s="24"/>
      <x:c r="P1054" s="24"/>
      <x:c r="Q1054" s="24" t="str">
        <x:v>DISPONÍVEL</x:v>
      </x:c>
      <x:c r="R1054" s="24"/>
      <x:c r="S1054" s="24" t="n">
        <x:v>32</x:v>
      </x:c>
      <x:c r="T1054" s="24" t="str">
        <x:v>tabela_rodenstock.pdf</x:v>
      </x:c>
      <x:c r="U1054" s="24" t="str">
        <x:v>Rodenstock|Netline|Netline|Progressiv E.Pro||1.6|1.60|Solitaire 2 Protect Balance|-10 a +8|até -6||75/80|||32</x:v>
      </x:c>
    </x:row>
    <x:row r="1055">
      <x:c r="A1055" s="24" t="str">
        <x:v>RD-B45C8BE6F2F1</x:v>
      </x:c>
      <x:c r="B1055" s="24" t="str">
        <x:v>Rodenstock</x:v>
      </x:c>
      <x:c r="C1055" s="24" t="str">
        <x:v>Netline</x:v>
      </x:c>
      <x:c r="D1055" s="24" t="str">
        <x:v>Netline</x:v>
      </x:c>
      <x:c r="E1055" s="24" t="str">
        <x:v>Progressiv E.Pro</x:v>
      </x:c>
      <x:c r="F1055" s="24"/>
      <x:c r="G1055" s="24" t="str">
        <x:v>1.6</x:v>
      </x:c>
      <x:c r="H1055" s="24" t="str">
        <x:v>1.60</x:v>
      </x:c>
      <x:c r="I1055" s="24" t="str">
        <x:v>Solitaire ECO 2</x:v>
      </x:c>
      <x:c r="J1055" s="40" t="n">
        <x:v>1845</x:v>
      </x:c>
      <x:c r="K1055" s="24" t="str">
        <x:v>-10 a +8</x:v>
      </x:c>
      <x:c r="L1055" s="24" t="str">
        <x:v>até -6</x:v>
      </x:c>
      <x:c r="M1055" s="24"/>
      <x:c r="N1055" s="24" t="str">
        <x:v>75/80</x:v>
      </x:c>
      <x:c r="O1055" s="24"/>
      <x:c r="P1055" s="24"/>
      <x:c r="Q1055" s="24" t="str">
        <x:v>DISPONÍVEL</x:v>
      </x:c>
      <x:c r="R1055" s="24"/>
      <x:c r="S1055" s="24" t="n">
        <x:v>32</x:v>
      </x:c>
      <x:c r="T1055" s="24" t="str">
        <x:v>tabela_rodenstock.pdf</x:v>
      </x:c>
      <x:c r="U1055" s="24" t="str">
        <x:v>Rodenstock|Netline|Netline|Progressiv E.Pro||1.6|1.60|Solitaire ECO 2|-10 a +8|até -6||75/80|||32</x:v>
      </x:c>
    </x:row>
    <x:row r="1056">
      <x:c r="A1056" s="24" t="str">
        <x:v>RD-F4AF814943F1</x:v>
      </x:c>
      <x:c r="B1056" s="24" t="str">
        <x:v>Rodenstock</x:v>
      </x:c>
      <x:c r="C1056" s="24" t="str">
        <x:v>Netline</x:v>
      </x:c>
      <x:c r="D1056" s="24" t="str">
        <x:v>Netline</x:v>
      </x:c>
      <x:c r="E1056" s="24" t="str">
        <x:v>Progressiv E.Pro</x:v>
      </x:c>
      <x:c r="F1056" s="24" t="str">
        <x:v>ColorMatic® 3</x:v>
      </x:c>
      <x:c r="G1056" s="24" t="str">
        <x:v>1.6</x:v>
      </x:c>
      <x:c r="H1056" s="24" t="str">
        <x:v>1.60</x:v>
      </x:c>
      <x:c r="I1056" s="24" t="str">
        <x:v>HydroCoat 2</x:v>
      </x:c>
      <x:c r="J1056" s="40" t="n">
        <x:v>3872</x:v>
      </x:c>
      <x:c r="K1056" s="24" t="str">
        <x:v>-10 a +8</x:v>
      </x:c>
      <x:c r="L1056" s="24" t="str">
        <x:v>até -6</x:v>
      </x:c>
      <x:c r="M1056" s="24"/>
      <x:c r="N1056" s="24" t="str">
        <x:v>75/80</x:v>
      </x:c>
      <x:c r="O1056" s="24"/>
      <x:c r="P1056" s="24"/>
      <x:c r="Q1056" s="24" t="str">
        <x:v>DISPONÍVEL</x:v>
      </x:c>
      <x:c r="R1056" s="24"/>
      <x:c r="S1056" s="24" t="n">
        <x:v>32</x:v>
      </x:c>
      <x:c r="T1056" s="24" t="str">
        <x:v>tabela_rodenstock.pdf</x:v>
      </x:c>
      <x:c r="U1056" s="24" t="str">
        <x:v>Rodenstock|Netline|Netline|Progressiv E.Pro|ColorMatic® 3|1.6|1.60|HydroCoat 2|-10 a +8|até -6||75/80|||32</x:v>
      </x:c>
    </x:row>
    <x:row r="1057">
      <x:c r="A1057" s="24" t="str">
        <x:v>RD-8DA3C066C44D</x:v>
      </x:c>
      <x:c r="B1057" s="24" t="str">
        <x:v>Rodenstock</x:v>
      </x:c>
      <x:c r="C1057" s="24" t="str">
        <x:v>Netline</x:v>
      </x:c>
      <x:c r="D1057" s="24" t="str">
        <x:v>Netline</x:v>
      </x:c>
      <x:c r="E1057" s="24" t="str">
        <x:v>Progressiv E.Pro</x:v>
      </x:c>
      <x:c r="F1057" s="24" t="str">
        <x:v>ColorMatic® 3</x:v>
      </x:c>
      <x:c r="G1057" s="24" t="str">
        <x:v>1.6</x:v>
      </x:c>
      <x:c r="H1057" s="24" t="str">
        <x:v>1.60</x:v>
      </x:c>
      <x:c r="I1057" s="24" t="str">
        <x:v>Solitaire 2 Protect Balance</x:v>
      </x:c>
      <x:c r="J1057" s="40" t="n">
        <x:v>3872</x:v>
      </x:c>
      <x:c r="K1057" s="24" t="str">
        <x:v>-10 a +8</x:v>
      </x:c>
      <x:c r="L1057" s="24" t="str">
        <x:v>até -6</x:v>
      </x:c>
      <x:c r="M1057" s="24"/>
      <x:c r="N1057" s="24" t="str">
        <x:v>75/80</x:v>
      </x:c>
      <x:c r="O1057" s="24"/>
      <x:c r="P1057" s="24"/>
      <x:c r="Q1057" s="24" t="str">
        <x:v>DISPONÍVEL</x:v>
      </x:c>
      <x:c r="R1057" s="24"/>
      <x:c r="S1057" s="24" t="n">
        <x:v>32</x:v>
      </x:c>
      <x:c r="T1057" s="24" t="str">
        <x:v>tabela_rodenstock.pdf</x:v>
      </x:c>
      <x:c r="U1057" s="24" t="str">
        <x:v>Rodenstock|Netline|Netline|Progressiv E.Pro|ColorMatic® 3|1.6|1.60|Solitaire 2 Protect Balance|-10 a +8|até -6||75/80|||32</x:v>
      </x:c>
    </x:row>
    <x:row r="1058">
      <x:c r="A1058" s="24" t="str">
        <x:v>RD-DAF43FE39968</x:v>
      </x:c>
      <x:c r="B1058" s="24" t="str">
        <x:v>Rodenstock</x:v>
      </x:c>
      <x:c r="C1058" s="24" t="str">
        <x:v>Netline</x:v>
      </x:c>
      <x:c r="D1058" s="24" t="str">
        <x:v>Netline</x:v>
      </x:c>
      <x:c r="E1058" s="24" t="str">
        <x:v>Progressiv E.Pro</x:v>
      </x:c>
      <x:c r="F1058" s="24" t="str">
        <x:v>ColorMatic® 3</x:v>
      </x:c>
      <x:c r="G1058" s="24" t="str">
        <x:v>1.6</x:v>
      </x:c>
      <x:c r="H1058" s="24" t="str">
        <x:v>1.60</x:v>
      </x:c>
      <x:c r="I1058" s="24" t="str">
        <x:v>Solitaire ECO 2</x:v>
      </x:c>
      <x:c r="J1058" s="40" t="n">
        <x:v>3132</x:v>
      </x:c>
      <x:c r="K1058" s="24" t="str">
        <x:v>-10 a +8</x:v>
      </x:c>
      <x:c r="L1058" s="24" t="str">
        <x:v>até -6</x:v>
      </x:c>
      <x:c r="M1058" s="24"/>
      <x:c r="N1058" s="24" t="str">
        <x:v>75/80</x:v>
      </x:c>
      <x:c r="O1058" s="24"/>
      <x:c r="P1058" s="24"/>
      <x:c r="Q1058" s="24" t="str">
        <x:v>DISPONÍVEL</x:v>
      </x:c>
      <x:c r="R1058" s="24"/>
      <x:c r="S1058" s="24" t="n">
        <x:v>32</x:v>
      </x:c>
      <x:c r="T1058" s="24" t="str">
        <x:v>tabela_rodenstock.pdf</x:v>
      </x:c>
      <x:c r="U1058" s="24" t="str">
        <x:v>Rodenstock|Netline|Netline|Progressiv E.Pro|ColorMatic® 3|1.6|1.60|Solitaire ECO 2|-10 a +8|até -6||75/80|||32</x:v>
      </x:c>
    </x:row>
    <x:row r="1059">
      <x:c r="A1059" s="24" t="str">
        <x:v>RD-41A1A02528E9</x:v>
      </x:c>
      <x:c r="B1059" s="24" t="str">
        <x:v>Rodenstock</x:v>
      </x:c>
      <x:c r="C1059" s="24" t="str">
        <x:v>Netline</x:v>
      </x:c>
      <x:c r="D1059" s="24" t="str">
        <x:v>Netline</x:v>
      </x:c>
      <x:c r="E1059" s="24" t="str">
        <x:v>Progressiv E.Pro</x:v>
      </x:c>
      <x:c r="F1059" s="24"/>
      <x:c r="G1059" s="24" t="str">
        <x:v>1.67</x:v>
      </x:c>
      <x:c r="H1059" s="24" t="str">
        <x:v>1.67</x:v>
      </x:c>
      <x:c r="I1059" s="24" t="str">
        <x:v>HydroCoat 2</x:v>
      </x:c>
      <x:c r="J1059" s="40" t="n">
        <x:v>3170</x:v>
      </x:c>
      <x:c r="K1059" s="24" t="str">
        <x:v>-10 a +8</x:v>
      </x:c>
      <x:c r="L1059" s="24" t="str">
        <x:v>até -6</x:v>
      </x:c>
      <x:c r="M1059" s="24"/>
      <x:c r="N1059" s="24" t="str">
        <x:v>75/80</x:v>
      </x:c>
      <x:c r="O1059" s="24"/>
      <x:c r="P1059" s="24"/>
      <x:c r="Q1059" s="24" t="str">
        <x:v>DISPONÍVEL</x:v>
      </x:c>
      <x:c r="R1059" s="24"/>
      <x:c r="S1059" s="24" t="n">
        <x:v>32</x:v>
      </x:c>
      <x:c r="T1059" s="24" t="str">
        <x:v>tabela_rodenstock.pdf</x:v>
      </x:c>
      <x:c r="U1059" s="24" t="str">
        <x:v>Rodenstock|Netline|Netline|Progressiv E.Pro||1.67|1.67|HydroCoat 2|-10 a +8|até -6||75/80|||32</x:v>
      </x:c>
    </x:row>
    <x:row r="1060">
      <x:c r="A1060" s="24" t="str">
        <x:v>RD-8ABBC43D7090</x:v>
      </x:c>
      <x:c r="B1060" s="24" t="str">
        <x:v>Rodenstock</x:v>
      </x:c>
      <x:c r="C1060" s="24" t="str">
        <x:v>Netline</x:v>
      </x:c>
      <x:c r="D1060" s="24" t="str">
        <x:v>Netline</x:v>
      </x:c>
      <x:c r="E1060" s="24" t="str">
        <x:v>Progressiv E.Pro</x:v>
      </x:c>
      <x:c r="F1060" s="24"/>
      <x:c r="G1060" s="24" t="str">
        <x:v>1.67</x:v>
      </x:c>
      <x:c r="H1060" s="24" t="str">
        <x:v>1.67</x:v>
      </x:c>
      <x:c r="I1060" s="24" t="str">
        <x:v>Solitaire 2 Protect Balance</x:v>
      </x:c>
      <x:c r="J1060" s="40" t="n">
        <x:v>3170</x:v>
      </x:c>
      <x:c r="K1060" s="24" t="str">
        <x:v>-10 a +8</x:v>
      </x:c>
      <x:c r="L1060" s="24" t="str">
        <x:v>até -6</x:v>
      </x:c>
      <x:c r="M1060" s="24"/>
      <x:c r="N1060" s="24" t="str">
        <x:v>75/80</x:v>
      </x:c>
      <x:c r="O1060" s="24"/>
      <x:c r="P1060" s="24"/>
      <x:c r="Q1060" s="24" t="str">
        <x:v>DISPONÍVEL</x:v>
      </x:c>
      <x:c r="R1060" s="24"/>
      <x:c r="S1060" s="24" t="n">
        <x:v>32</x:v>
      </x:c>
      <x:c r="T1060" s="24" t="str">
        <x:v>tabela_rodenstock.pdf</x:v>
      </x:c>
      <x:c r="U1060" s="24" t="str">
        <x:v>Rodenstock|Netline|Netline|Progressiv E.Pro||1.67|1.67|Solitaire 2 Protect Balance|-10 a +8|até -6||75/80|||32</x:v>
      </x:c>
    </x:row>
    <x:row r="1061">
      <x:c r="A1061" s="24" t="str">
        <x:v>RD-5D656844F850</x:v>
      </x:c>
      <x:c r="B1061" s="24" t="str">
        <x:v>Rodenstock</x:v>
      </x:c>
      <x:c r="C1061" s="24" t="str">
        <x:v>Netline</x:v>
      </x:c>
      <x:c r="D1061" s="24" t="str">
        <x:v>Netline</x:v>
      </x:c>
      <x:c r="E1061" s="24" t="str">
        <x:v>Progressiv E.Pro</x:v>
      </x:c>
      <x:c r="F1061" s="24"/>
      <x:c r="G1061" s="24" t="str">
        <x:v>1.67</x:v>
      </x:c>
      <x:c r="H1061" s="24" t="str">
        <x:v>1.67</x:v>
      </x:c>
      <x:c r="I1061" s="24" t="str">
        <x:v>Solitaire ECO 2</x:v>
      </x:c>
      <x:c r="J1061" s="40" t="n">
        <x:v>2430</x:v>
      </x:c>
      <x:c r="K1061" s="24" t="str">
        <x:v>-10 a +8</x:v>
      </x:c>
      <x:c r="L1061" s="24" t="str">
        <x:v>até -6</x:v>
      </x:c>
      <x:c r="M1061" s="24"/>
      <x:c r="N1061" s="24" t="str">
        <x:v>75/80</x:v>
      </x:c>
      <x:c r="O1061" s="24"/>
      <x:c r="P1061" s="24"/>
      <x:c r="Q1061" s="24" t="str">
        <x:v>DISPONÍVEL</x:v>
      </x:c>
      <x:c r="R1061" s="24"/>
      <x:c r="S1061" s="24" t="n">
        <x:v>32</x:v>
      </x:c>
      <x:c r="T1061" s="24" t="str">
        <x:v>tabela_rodenstock.pdf</x:v>
      </x:c>
      <x:c r="U1061" s="24" t="str">
        <x:v>Rodenstock|Netline|Netline|Progressiv E.Pro||1.67|1.67|Solitaire ECO 2|-10 a +8|até -6||75/80|||32</x:v>
      </x:c>
    </x:row>
    <x:row r="1062">
      <x:c r="A1062" s="24" t="str">
        <x:v>RD-B5CD81722A06</x:v>
      </x:c>
      <x:c r="B1062" s="24" t="str">
        <x:v>Rodenstock</x:v>
      </x:c>
      <x:c r="C1062" s="24" t="str">
        <x:v>Netline</x:v>
      </x:c>
      <x:c r="D1062" s="24" t="str">
        <x:v>Netline</x:v>
      </x:c>
      <x:c r="E1062" s="24" t="str">
        <x:v>Progressiv E</x:v>
      </x:c>
      <x:c r="F1062" s="24"/>
      <x:c r="G1062" s="24" t="str">
        <x:v>1.5</x:v>
      </x:c>
      <x:c r="H1062" s="24" t="str">
        <x:v>1.50</x:v>
      </x:c>
      <x:c r="I1062" s="24" t="str">
        <x:v>HydroCoat 2</x:v>
      </x:c>
      <x:c r="J1062" s="40" t="n">
        <x:v>1879</x:v>
      </x:c>
      <x:c r="K1062" s="24" t="str">
        <x:v>-8 a +8</x:v>
      </x:c>
      <x:c r="L1062" s="24" t="str">
        <x:v>até -6</x:v>
      </x:c>
      <x:c r="M1062" s="24"/>
      <x:c r="N1062" s="24" t="str">
        <x:v>75/80</x:v>
      </x:c>
      <x:c r="O1062" s="24"/>
      <x:c r="P1062" s="24"/>
      <x:c r="Q1062" s="24" t="str">
        <x:v>DISPONÍVEL</x:v>
      </x:c>
      <x:c r="R1062" s="24"/>
      <x:c r="S1062" s="24" t="n">
        <x:v>32</x:v>
      </x:c>
      <x:c r="T1062" s="24" t="str">
        <x:v>tabela_rodenstock.pdf</x:v>
      </x:c>
      <x:c r="U1062" s="24" t="str">
        <x:v>Rodenstock|Netline|Netline|Progressiv E||1.5|1.50|HydroCoat 2|-8 a +8|até -6||75/80|||32</x:v>
      </x:c>
    </x:row>
    <x:row r="1063">
      <x:c r="A1063" s="24" t="str">
        <x:v>RD-A969C7FE6F5F</x:v>
      </x:c>
      <x:c r="B1063" s="24" t="str">
        <x:v>Rodenstock</x:v>
      </x:c>
      <x:c r="C1063" s="24" t="str">
        <x:v>Netline</x:v>
      </x:c>
      <x:c r="D1063" s="24" t="str">
        <x:v>Netline</x:v>
      </x:c>
      <x:c r="E1063" s="24" t="str">
        <x:v>Progressiv E</x:v>
      </x:c>
      <x:c r="F1063" s="24"/>
      <x:c r="G1063" s="24" t="str">
        <x:v>1.5</x:v>
      </x:c>
      <x:c r="H1063" s="24" t="str">
        <x:v>1.50</x:v>
      </x:c>
      <x:c r="I1063" s="24" t="str">
        <x:v>Solitaire 2 Protect Balance</x:v>
      </x:c>
      <x:c r="J1063" s="40" t="n">
        <x:v>1879</x:v>
      </x:c>
      <x:c r="K1063" s="24" t="str">
        <x:v>-8 a +8</x:v>
      </x:c>
      <x:c r="L1063" s="24" t="str">
        <x:v>até -6</x:v>
      </x:c>
      <x:c r="M1063" s="24"/>
      <x:c r="N1063" s="24" t="str">
        <x:v>75/80</x:v>
      </x:c>
      <x:c r="O1063" s="24"/>
      <x:c r="P1063" s="24"/>
      <x:c r="Q1063" s="24" t="str">
        <x:v>DISPONÍVEL</x:v>
      </x:c>
      <x:c r="R1063" s="24"/>
      <x:c r="S1063" s="24" t="n">
        <x:v>32</x:v>
      </x:c>
      <x:c r="T1063" s="24" t="str">
        <x:v>tabela_rodenstock.pdf</x:v>
      </x:c>
      <x:c r="U1063" s="24" t="str">
        <x:v>Rodenstock|Netline|Netline|Progressiv E||1.5|1.50|Solitaire 2 Protect Balance|-8 a +8|até -6||75/80|||32</x:v>
      </x:c>
    </x:row>
    <x:row r="1064">
      <x:c r="A1064" s="24" t="str">
        <x:v>RD-E23EBF2A7894</x:v>
      </x:c>
      <x:c r="B1064" s="24" t="str">
        <x:v>Rodenstock</x:v>
      </x:c>
      <x:c r="C1064" s="24" t="str">
        <x:v>Netline</x:v>
      </x:c>
      <x:c r="D1064" s="24" t="str">
        <x:v>Netline</x:v>
      </x:c>
      <x:c r="E1064" s="24" t="str">
        <x:v>Progressiv E</x:v>
      </x:c>
      <x:c r="F1064" s="24"/>
      <x:c r="G1064" s="24" t="str">
        <x:v>1.5</x:v>
      </x:c>
      <x:c r="H1064" s="24" t="str">
        <x:v>1.50</x:v>
      </x:c>
      <x:c r="I1064" s="24" t="str">
        <x:v>Solitaire ECO 2</x:v>
      </x:c>
      <x:c r="J1064" s="40" t="n">
        <x:v>1139</x:v>
      </x:c>
      <x:c r="K1064" s="24" t="str">
        <x:v>-8 a +8</x:v>
      </x:c>
      <x:c r="L1064" s="24" t="str">
        <x:v>até -6</x:v>
      </x:c>
      <x:c r="M1064" s="24"/>
      <x:c r="N1064" s="24" t="str">
        <x:v>75/80</x:v>
      </x:c>
      <x:c r="O1064" s="24"/>
      <x:c r="P1064" s="24"/>
      <x:c r="Q1064" s="24" t="str">
        <x:v>DISPONÍVEL</x:v>
      </x:c>
      <x:c r="R1064" s="24"/>
      <x:c r="S1064" s="24" t="n">
        <x:v>32</x:v>
      </x:c>
      <x:c r="T1064" s="24" t="str">
        <x:v>tabela_rodenstock.pdf</x:v>
      </x:c>
      <x:c r="U1064" s="24" t="str">
        <x:v>Rodenstock|Netline|Netline|Progressiv E||1.5|1.50|Solitaire ECO 2|-8 a +8|até -6||75/80|||32</x:v>
      </x:c>
    </x:row>
    <x:row r="1065">
      <x:c r="A1065" s="24" t="str">
        <x:v>RD-A546DDC2D63C</x:v>
      </x:c>
      <x:c r="B1065" s="24" t="str">
        <x:v>Rodenstock</x:v>
      </x:c>
      <x:c r="C1065" s="24" t="str">
        <x:v>Netline</x:v>
      </x:c>
      <x:c r="D1065" s="24" t="str">
        <x:v>Netline</x:v>
      </x:c>
      <x:c r="E1065" s="24" t="str">
        <x:v>Progressiv E</x:v>
      </x:c>
      <x:c r="F1065" s="24"/>
      <x:c r="G1065" s="24" t="str">
        <x:v>1.5</x:v>
      </x:c>
      <x:c r="H1065" s="24" t="str">
        <x:v>1.50</x:v>
      </x:c>
      <x:c r="I1065" s="24" t="str">
        <x:v>Sem AR</x:v>
      </x:c>
      <x:c r="J1065" s="40" t="n">
        <x:v>749</x:v>
      </x:c>
      <x:c r="K1065" s="24" t="str">
        <x:v>-8 a +8</x:v>
      </x:c>
      <x:c r="L1065" s="24" t="str">
        <x:v>até -6</x:v>
      </x:c>
      <x:c r="M1065" s="24"/>
      <x:c r="N1065" s="24" t="str">
        <x:v>75/80</x:v>
      </x:c>
      <x:c r="O1065" s="24"/>
      <x:c r="P1065" s="24"/>
      <x:c r="Q1065" s="24" t="str">
        <x:v>DISPONÍVEL</x:v>
      </x:c>
      <x:c r="R1065" s="24"/>
      <x:c r="S1065" s="24" t="n">
        <x:v>32</x:v>
      </x:c>
      <x:c r="T1065" s="24" t="str">
        <x:v>tabela_rodenstock.pdf</x:v>
      </x:c>
      <x:c r="U1065" s="24" t="str">
        <x:v>Rodenstock|Netline|Netline|Progressiv E||1.5|1.50|Sem AR|-8 a +8|até -6||75/80|||32</x:v>
      </x:c>
    </x:row>
    <x:row r="1066">
      <x:c r="A1066" s="24" t="str">
        <x:v>RD-C4DE31B90729</x:v>
      </x:c>
      <x:c r="B1066" s="24" t="str">
        <x:v>Rodenstock</x:v>
      </x:c>
      <x:c r="C1066" s="24" t="str">
        <x:v>Netline</x:v>
      </x:c>
      <x:c r="D1066" s="24" t="str">
        <x:v>Netline</x:v>
      </x:c>
      <x:c r="E1066" s="24" t="str">
        <x:v>Progressiv E</x:v>
      </x:c>
      <x:c r="F1066" s="24" t="str">
        <x:v>ColorMatic® 3</x:v>
      </x:c>
      <x:c r="G1066" s="24" t="str">
        <x:v>1.54</x:v>
      </x:c>
      <x:c r="H1066" s="24" t="str">
        <x:v>1.54</x:v>
      </x:c>
      <x:c r="I1066" s="24" t="str">
        <x:v>HydroCoat 2</x:v>
      </x:c>
      <x:c r="J1066" s="40" t="n">
        <x:v>3299</x:v>
      </x:c>
      <x:c r="K1066" s="24" t="str">
        <x:v>-8 a +8</x:v>
      </x:c>
      <x:c r="L1066" s="24" t="str">
        <x:v>até -6</x:v>
      </x:c>
      <x:c r="M1066" s="24"/>
      <x:c r="N1066" s="24" t="str">
        <x:v>75/80</x:v>
      </x:c>
      <x:c r="O1066" s="24"/>
      <x:c r="P1066" s="24"/>
      <x:c r="Q1066" s="24" t="str">
        <x:v>DISPONÍVEL</x:v>
      </x:c>
      <x:c r="R1066" s="24"/>
      <x:c r="S1066" s="24" t="n">
        <x:v>32</x:v>
      </x:c>
      <x:c r="T1066" s="24" t="str">
        <x:v>tabela_rodenstock.pdf</x:v>
      </x:c>
      <x:c r="U1066" s="24" t="str">
        <x:v>Rodenstock|Netline|Netline|Progressiv E|ColorMatic® 3|1.54|1.54|HydroCoat 2|-8 a +8|até -6||75/80|||32</x:v>
      </x:c>
    </x:row>
    <x:row r="1067">
      <x:c r="A1067" s="24" t="str">
        <x:v>RD-E32FD24CD7AA</x:v>
      </x:c>
      <x:c r="B1067" s="24" t="str">
        <x:v>Rodenstock</x:v>
      </x:c>
      <x:c r="C1067" s="24" t="str">
        <x:v>Netline</x:v>
      </x:c>
      <x:c r="D1067" s="24" t="str">
        <x:v>Netline</x:v>
      </x:c>
      <x:c r="E1067" s="24" t="str">
        <x:v>Progressiv E</x:v>
      </x:c>
      <x:c r="F1067" s="24" t="str">
        <x:v>ColorMatic® 3</x:v>
      </x:c>
      <x:c r="G1067" s="24" t="str">
        <x:v>1.54</x:v>
      </x:c>
      <x:c r="H1067" s="24" t="str">
        <x:v>1.54</x:v>
      </x:c>
      <x:c r="I1067" s="24" t="str">
        <x:v>Solitaire 2 Protect Balance</x:v>
      </x:c>
      <x:c r="J1067" s="40" t="n">
        <x:v>3299</x:v>
      </x:c>
      <x:c r="K1067" s="24" t="str">
        <x:v>-8 a +8</x:v>
      </x:c>
      <x:c r="L1067" s="24" t="str">
        <x:v>até -6</x:v>
      </x:c>
      <x:c r="M1067" s="24"/>
      <x:c r="N1067" s="24" t="str">
        <x:v>75/80</x:v>
      </x:c>
      <x:c r="O1067" s="24"/>
      <x:c r="P1067" s="24"/>
      <x:c r="Q1067" s="24" t="str">
        <x:v>DISPONÍVEL</x:v>
      </x:c>
      <x:c r="R1067" s="24"/>
      <x:c r="S1067" s="24" t="n">
        <x:v>32</x:v>
      </x:c>
      <x:c r="T1067" s="24" t="str">
        <x:v>tabela_rodenstock.pdf</x:v>
      </x:c>
      <x:c r="U1067" s="24" t="str">
        <x:v>Rodenstock|Netline|Netline|Progressiv E|ColorMatic® 3|1.54|1.54|Solitaire 2 Protect Balance|-8 a +8|até -6||75/80|||32</x:v>
      </x:c>
    </x:row>
    <x:row r="1068">
      <x:c r="A1068" s="24" t="str">
        <x:v>RD-CD22584875BB</x:v>
      </x:c>
      <x:c r="B1068" s="24" t="str">
        <x:v>Rodenstock</x:v>
      </x:c>
      <x:c r="C1068" s="24" t="str">
        <x:v>Netline</x:v>
      </x:c>
      <x:c r="D1068" s="24" t="str">
        <x:v>Netline</x:v>
      </x:c>
      <x:c r="E1068" s="24" t="str">
        <x:v>Progressiv E</x:v>
      </x:c>
      <x:c r="F1068" s="24" t="str">
        <x:v>ColorMatic® 3</x:v>
      </x:c>
      <x:c r="G1068" s="24" t="str">
        <x:v>1.54</x:v>
      </x:c>
      <x:c r="H1068" s="24" t="str">
        <x:v>1.54</x:v>
      </x:c>
      <x:c r="I1068" s="24" t="str">
        <x:v>Solitaire ECO 2</x:v>
      </x:c>
      <x:c r="J1068" s="40" t="n">
        <x:v>2559</x:v>
      </x:c>
      <x:c r="K1068" s="24" t="str">
        <x:v>-8 a +8</x:v>
      </x:c>
      <x:c r="L1068" s="24" t="str">
        <x:v>até -6</x:v>
      </x:c>
      <x:c r="M1068" s="24"/>
      <x:c r="N1068" s="24" t="str">
        <x:v>75/80</x:v>
      </x:c>
      <x:c r="O1068" s="24"/>
      <x:c r="P1068" s="24"/>
      <x:c r="Q1068" s="24" t="str">
        <x:v>DISPONÍVEL</x:v>
      </x:c>
      <x:c r="R1068" s="24"/>
      <x:c r="S1068" s="24" t="n">
        <x:v>32</x:v>
      </x:c>
      <x:c r="T1068" s="24" t="str">
        <x:v>tabela_rodenstock.pdf</x:v>
      </x:c>
      <x:c r="U1068" s="24" t="str">
        <x:v>Rodenstock|Netline|Netline|Progressiv E|ColorMatic® 3|1.54|1.54|Solitaire ECO 2|-8 a +8|até -6||75/80|||32</x:v>
      </x:c>
    </x:row>
    <x:row r="1069">
      <x:c r="A1069" s="24" t="str">
        <x:v>RD-F5D88F5D34E9</x:v>
      </x:c>
      <x:c r="B1069" s="24" t="str">
        <x:v>Rodenstock</x:v>
      </x:c>
      <x:c r="C1069" s="24" t="str">
        <x:v>Netline</x:v>
      </x:c>
      <x:c r="D1069" s="24" t="str">
        <x:v>Netline</x:v>
      </x:c>
      <x:c r="E1069" s="24" t="str">
        <x:v>Progressiv E</x:v>
      </x:c>
      <x:c r="F1069" s="24" t="str">
        <x:v>ColorMatic® 3</x:v>
      </x:c>
      <x:c r="G1069" s="24" t="str">
        <x:v>1.54</x:v>
      </x:c>
      <x:c r="H1069" s="24" t="str">
        <x:v>1.54</x:v>
      </x:c>
      <x:c r="I1069" s="24" t="str">
        <x:v>Sem AR</x:v>
      </x:c>
      <x:c r="J1069" s="40" t="n">
        <x:v>2169</x:v>
      </x:c>
      <x:c r="K1069" s="24" t="str">
        <x:v>-8 a +8</x:v>
      </x:c>
      <x:c r="L1069" s="24" t="str">
        <x:v>até -6</x:v>
      </x:c>
      <x:c r="M1069" s="24"/>
      <x:c r="N1069" s="24" t="str">
        <x:v>75/80</x:v>
      </x:c>
      <x:c r="O1069" s="24"/>
      <x:c r="P1069" s="24"/>
      <x:c r="Q1069" s="24" t="str">
        <x:v>DISPONÍVEL</x:v>
      </x:c>
      <x:c r="R1069" s="24"/>
      <x:c r="S1069" s="24" t="n">
        <x:v>32</x:v>
      </x:c>
      <x:c r="T1069" s="24" t="str">
        <x:v>tabela_rodenstock.pdf</x:v>
      </x:c>
      <x:c r="U1069" s="24" t="str">
        <x:v>Rodenstock|Netline|Netline|Progressiv E|ColorMatic® 3|1.54|1.54|Sem AR|-8 a +8|até -6||75/80|||32</x:v>
      </x:c>
    </x:row>
    <x:row r="1070">
      <x:c r="A1070" s="24" t="str">
        <x:v>RD-AB15E1C92D0C</x:v>
      </x:c>
      <x:c r="B1070" s="24" t="str">
        <x:v>Rodenstock</x:v>
      </x:c>
      <x:c r="C1070" s="24" t="str">
        <x:v>Netline</x:v>
      </x:c>
      <x:c r="D1070" s="24" t="str">
        <x:v>Netline</x:v>
      </x:c>
      <x:c r="E1070" s="24" t="str">
        <x:v>Progressiv E</x:v>
      </x:c>
      <x:c r="F1070" s="24"/>
      <x:c r="G1070" s="24" t="str">
        <x:v>1.6</x:v>
      </x:c>
      <x:c r="H1070" s="24" t="str">
        <x:v>1.60</x:v>
      </x:c>
      <x:c r="I1070" s="24" t="str">
        <x:v>HydroCoat 2</x:v>
      </x:c>
      <x:c r="J1070" s="40" t="n">
        <x:v>2110</x:v>
      </x:c>
      <x:c r="K1070" s="24" t="str">
        <x:v>-10 a +8</x:v>
      </x:c>
      <x:c r="L1070" s="24" t="str">
        <x:v>até -6</x:v>
      </x:c>
      <x:c r="M1070" s="24"/>
      <x:c r="N1070" s="24" t="str">
        <x:v>75/80</x:v>
      </x:c>
      <x:c r="O1070" s="24"/>
      <x:c r="P1070" s="24"/>
      <x:c r="Q1070" s="24" t="str">
        <x:v>DISPONÍVEL</x:v>
      </x:c>
      <x:c r="R1070" s="24"/>
      <x:c r="S1070" s="24" t="n">
        <x:v>32</x:v>
      </x:c>
      <x:c r="T1070" s="24" t="str">
        <x:v>tabela_rodenstock.pdf</x:v>
      </x:c>
      <x:c r="U1070" s="24" t="str">
        <x:v>Rodenstock|Netline|Netline|Progressiv E||1.6|1.60|HydroCoat 2|-10 a +8|até -6||75/80|||32</x:v>
      </x:c>
    </x:row>
    <x:row r="1071">
      <x:c r="A1071" s="24" t="str">
        <x:v>RD-8E4948D044B9</x:v>
      </x:c>
      <x:c r="B1071" s="24" t="str">
        <x:v>Rodenstock</x:v>
      </x:c>
      <x:c r="C1071" s="24" t="str">
        <x:v>Netline</x:v>
      </x:c>
      <x:c r="D1071" s="24" t="str">
        <x:v>Netline</x:v>
      </x:c>
      <x:c r="E1071" s="24" t="str">
        <x:v>Progressiv E</x:v>
      </x:c>
      <x:c r="F1071" s="24"/>
      <x:c r="G1071" s="24" t="str">
        <x:v>1.6</x:v>
      </x:c>
      <x:c r="H1071" s="24" t="str">
        <x:v>1.60</x:v>
      </x:c>
      <x:c r="I1071" s="24" t="str">
        <x:v>Solitaire 2 Protect Balance</x:v>
      </x:c>
      <x:c r="J1071" s="40" t="n">
        <x:v>2110</x:v>
      </x:c>
      <x:c r="K1071" s="24" t="str">
        <x:v>-10 a +8</x:v>
      </x:c>
      <x:c r="L1071" s="24" t="str">
        <x:v>até -6</x:v>
      </x:c>
      <x:c r="M1071" s="24"/>
      <x:c r="N1071" s="24" t="str">
        <x:v>75/80</x:v>
      </x:c>
      <x:c r="O1071" s="24"/>
      <x:c r="P1071" s="24"/>
      <x:c r="Q1071" s="24" t="str">
        <x:v>DISPONÍVEL</x:v>
      </x:c>
      <x:c r="R1071" s="24"/>
      <x:c r="S1071" s="24" t="n">
        <x:v>32</x:v>
      </x:c>
      <x:c r="T1071" s="24" t="str">
        <x:v>tabela_rodenstock.pdf</x:v>
      </x:c>
      <x:c r="U1071" s="24" t="str">
        <x:v>Rodenstock|Netline|Netline|Progressiv E||1.6|1.60|Solitaire 2 Protect Balance|-10 a +8|até -6||75/80|||32</x:v>
      </x:c>
    </x:row>
    <x:row r="1072">
      <x:c r="A1072" s="24" t="str">
        <x:v>RD-82624B2BBDD7</x:v>
      </x:c>
      <x:c r="B1072" s="24" t="str">
        <x:v>Rodenstock</x:v>
      </x:c>
      <x:c r="C1072" s="24" t="str">
        <x:v>Netline</x:v>
      </x:c>
      <x:c r="D1072" s="24" t="str">
        <x:v>Netline</x:v>
      </x:c>
      <x:c r="E1072" s="24" t="str">
        <x:v>Progressiv E</x:v>
      </x:c>
      <x:c r="F1072" s="24"/>
      <x:c r="G1072" s="24" t="str">
        <x:v>1.6</x:v>
      </x:c>
      <x:c r="H1072" s="24" t="str">
        <x:v>1.60</x:v>
      </x:c>
      <x:c r="I1072" s="24" t="str">
        <x:v>Solitaire ECO 2</x:v>
      </x:c>
      <x:c r="J1072" s="40" t="n">
        <x:v>1370</x:v>
      </x:c>
      <x:c r="K1072" s="24" t="str">
        <x:v>-10 a +8</x:v>
      </x:c>
      <x:c r="L1072" s="24" t="str">
        <x:v>até -6</x:v>
      </x:c>
      <x:c r="M1072" s="24"/>
      <x:c r="N1072" s="24" t="str">
        <x:v>75/80</x:v>
      </x:c>
      <x:c r="O1072" s="24"/>
      <x:c r="P1072" s="24"/>
      <x:c r="Q1072" s="24" t="str">
        <x:v>DISPONÍVEL</x:v>
      </x:c>
      <x:c r="R1072" s="24"/>
      <x:c r="S1072" s="24" t="n">
        <x:v>32</x:v>
      </x:c>
      <x:c r="T1072" s="24" t="str">
        <x:v>tabela_rodenstock.pdf</x:v>
      </x:c>
      <x:c r="U1072" s="24" t="str">
        <x:v>Rodenstock|Netline|Netline|Progressiv E||1.6|1.60|Solitaire ECO 2|-10 a +8|até -6||75/80|||32</x:v>
      </x:c>
    </x:row>
    <x:row r="1073">
      <x:c r="A1073" s="24" t="str">
        <x:v>RD-5B4D7413E377</x:v>
      </x:c>
      <x:c r="B1073" s="24" t="str">
        <x:v>Rodenstock</x:v>
      </x:c>
      <x:c r="C1073" s="24" t="str">
        <x:v>Netline</x:v>
      </x:c>
      <x:c r="D1073" s="24" t="str">
        <x:v>Netline</x:v>
      </x:c>
      <x:c r="E1073" s="24" t="str">
        <x:v>Progressiv E</x:v>
      </x:c>
      <x:c r="F1073" s="24" t="str">
        <x:v>ColorMatic® 3</x:v>
      </x:c>
      <x:c r="G1073" s="24" t="str">
        <x:v>1.6</x:v>
      </x:c>
      <x:c r="H1073" s="24" t="str">
        <x:v>1.60</x:v>
      </x:c>
      <x:c r="I1073" s="24" t="str">
        <x:v>HydroCoat 2</x:v>
      </x:c>
      <x:c r="J1073" s="40" t="n">
        <x:v>3390</x:v>
      </x:c>
      <x:c r="K1073" s="24" t="str">
        <x:v>-10 a +8</x:v>
      </x:c>
      <x:c r="L1073" s="24" t="str">
        <x:v>até -6</x:v>
      </x:c>
      <x:c r="M1073" s="24"/>
      <x:c r="N1073" s="24" t="str">
        <x:v>75/80</x:v>
      </x:c>
      <x:c r="O1073" s="24"/>
      <x:c r="P1073" s="24"/>
      <x:c r="Q1073" s="24" t="str">
        <x:v>DISPONÍVEL</x:v>
      </x:c>
      <x:c r="R1073" s="24"/>
      <x:c r="S1073" s="24" t="n">
        <x:v>32</x:v>
      </x:c>
      <x:c r="T1073" s="24" t="str">
        <x:v>tabela_rodenstock.pdf</x:v>
      </x:c>
      <x:c r="U1073" s="24" t="str">
        <x:v>Rodenstock|Netline|Netline|Progressiv E|ColorMatic® 3|1.6|1.60|HydroCoat 2|-10 a +8|até -6||75/80|||32</x:v>
      </x:c>
    </x:row>
    <x:row r="1074">
      <x:c r="A1074" s="24" t="str">
        <x:v>RD-86F469141791</x:v>
      </x:c>
      <x:c r="B1074" s="24" t="str">
        <x:v>Rodenstock</x:v>
      </x:c>
      <x:c r="C1074" s="24" t="str">
        <x:v>Netline</x:v>
      </x:c>
      <x:c r="D1074" s="24" t="str">
        <x:v>Netline</x:v>
      </x:c>
      <x:c r="E1074" s="24" t="str">
        <x:v>Progressiv E</x:v>
      </x:c>
      <x:c r="F1074" s="24" t="str">
        <x:v>ColorMatic® 3</x:v>
      </x:c>
      <x:c r="G1074" s="24" t="str">
        <x:v>1.6</x:v>
      </x:c>
      <x:c r="H1074" s="24" t="str">
        <x:v>1.60</x:v>
      </x:c>
      <x:c r="I1074" s="24" t="str">
        <x:v>Solitaire 2 Protect Balance</x:v>
      </x:c>
      <x:c r="J1074" s="40" t="n">
        <x:v>3390</x:v>
      </x:c>
      <x:c r="K1074" s="24" t="str">
        <x:v>-10 a +8</x:v>
      </x:c>
      <x:c r="L1074" s="24" t="str">
        <x:v>até -6</x:v>
      </x:c>
      <x:c r="M1074" s="24"/>
      <x:c r="N1074" s="24" t="str">
        <x:v>75/80</x:v>
      </x:c>
      <x:c r="O1074" s="24"/>
      <x:c r="P1074" s="24"/>
      <x:c r="Q1074" s="24" t="str">
        <x:v>DISPONÍVEL</x:v>
      </x:c>
      <x:c r="R1074" s="24"/>
      <x:c r="S1074" s="24" t="n">
        <x:v>32</x:v>
      </x:c>
      <x:c r="T1074" s="24" t="str">
        <x:v>tabela_rodenstock.pdf</x:v>
      </x:c>
      <x:c r="U1074" s="24" t="str">
        <x:v>Rodenstock|Netline|Netline|Progressiv E|ColorMatic® 3|1.6|1.60|Solitaire 2 Protect Balance|-10 a +8|até -6||75/80|||32</x:v>
      </x:c>
    </x:row>
    <x:row r="1075">
      <x:c r="A1075" s="24" t="str">
        <x:v>RD-83B5D21787B5</x:v>
      </x:c>
      <x:c r="B1075" s="24" t="str">
        <x:v>Rodenstock</x:v>
      </x:c>
      <x:c r="C1075" s="24" t="str">
        <x:v>Netline</x:v>
      </x:c>
      <x:c r="D1075" s="24" t="str">
        <x:v>Netline</x:v>
      </x:c>
      <x:c r="E1075" s="24" t="str">
        <x:v>Progressiv E</x:v>
      </x:c>
      <x:c r="F1075" s="24" t="str">
        <x:v>ColorMatic® 3</x:v>
      </x:c>
      <x:c r="G1075" s="24" t="str">
        <x:v>1.6</x:v>
      </x:c>
      <x:c r="H1075" s="24" t="str">
        <x:v>1.60</x:v>
      </x:c>
      <x:c r="I1075" s="24" t="str">
        <x:v>Solitaire ECO 2</x:v>
      </x:c>
      <x:c r="J1075" s="40" t="n">
        <x:v>2650</x:v>
      </x:c>
      <x:c r="K1075" s="24" t="str">
        <x:v>-10 a +8</x:v>
      </x:c>
      <x:c r="L1075" s="24" t="str">
        <x:v>até -6</x:v>
      </x:c>
      <x:c r="M1075" s="24"/>
      <x:c r="N1075" s="24" t="str">
        <x:v>75/80</x:v>
      </x:c>
      <x:c r="O1075" s="24"/>
      <x:c r="P1075" s="24"/>
      <x:c r="Q1075" s="24" t="str">
        <x:v>DISPONÍVEL</x:v>
      </x:c>
      <x:c r="R1075" s="24"/>
      <x:c r="S1075" s="24" t="n">
        <x:v>32</x:v>
      </x:c>
      <x:c r="T1075" s="24" t="str">
        <x:v>tabela_rodenstock.pdf</x:v>
      </x:c>
      <x:c r="U1075" s="24" t="str">
        <x:v>Rodenstock|Netline|Netline|Progressiv E|ColorMatic® 3|1.6|1.60|Solitaire ECO 2|-10 a +8|até -6||75/80|||32</x:v>
      </x:c>
    </x:row>
    <x:row r="1076">
      <x:c r="A1076" s="24" t="str">
        <x:v>RD-E8BAE56E50AD</x:v>
      </x:c>
      <x:c r="B1076" s="24" t="str">
        <x:v>Rodenstock</x:v>
      </x:c>
      <x:c r="C1076" s="24" t="str">
        <x:v>Netline</x:v>
      </x:c>
      <x:c r="D1076" s="24" t="str">
        <x:v>Netline</x:v>
      </x:c>
      <x:c r="E1076" s="24" t="str">
        <x:v>Progressiv E</x:v>
      </x:c>
      <x:c r="F1076" s="24"/>
      <x:c r="G1076" s="24" t="str">
        <x:v>1.67</x:v>
      </x:c>
      <x:c r="H1076" s="24" t="str">
        <x:v>1.67</x:v>
      </x:c>
      <x:c r="I1076" s="24" t="str">
        <x:v>HydroCoat 2</x:v>
      </x:c>
      <x:c r="J1076" s="40" t="n">
        <x:v>2813</x:v>
      </x:c>
      <x:c r="K1076" s="24" t="str">
        <x:v>-10 a +8</x:v>
      </x:c>
      <x:c r="L1076" s="24" t="str">
        <x:v>até -6</x:v>
      </x:c>
      <x:c r="M1076" s="24"/>
      <x:c r="N1076" s="24" t="str">
        <x:v>75/80</x:v>
      </x:c>
      <x:c r="O1076" s="24"/>
      <x:c r="P1076" s="24"/>
      <x:c r="Q1076" s="24" t="str">
        <x:v>DISPONÍVEL</x:v>
      </x:c>
      <x:c r="R1076" s="24"/>
      <x:c r="S1076" s="24" t="n">
        <x:v>32</x:v>
      </x:c>
      <x:c r="T1076" s="24" t="str">
        <x:v>tabela_rodenstock.pdf</x:v>
      </x:c>
      <x:c r="U1076" s="24" t="str">
        <x:v>Rodenstock|Netline|Netline|Progressiv E||1.67|1.67|HydroCoat 2|-10 a +8|até -6||75/80|||32</x:v>
      </x:c>
    </x:row>
    <x:row r="1077">
      <x:c r="A1077" s="24" t="str">
        <x:v>RD-675F49A4423C</x:v>
      </x:c>
      <x:c r="B1077" s="24" t="str">
        <x:v>Rodenstock</x:v>
      </x:c>
      <x:c r="C1077" s="24" t="str">
        <x:v>Netline</x:v>
      </x:c>
      <x:c r="D1077" s="24" t="str">
        <x:v>Netline</x:v>
      </x:c>
      <x:c r="E1077" s="24" t="str">
        <x:v>Progressiv E</x:v>
      </x:c>
      <x:c r="F1077" s="24"/>
      <x:c r="G1077" s="24" t="str">
        <x:v>1.67</x:v>
      </x:c>
      <x:c r="H1077" s="24" t="str">
        <x:v>1.67</x:v>
      </x:c>
      <x:c r="I1077" s="24" t="str">
        <x:v>Solitaire 2 Protect Balance</x:v>
      </x:c>
      <x:c r="J1077" s="40" t="n">
        <x:v>2813</x:v>
      </x:c>
      <x:c r="K1077" s="24" t="str">
        <x:v>-10 a +8</x:v>
      </x:c>
      <x:c r="L1077" s="24" t="str">
        <x:v>até -6</x:v>
      </x:c>
      <x:c r="M1077" s="24"/>
      <x:c r="N1077" s="24" t="str">
        <x:v>75/80</x:v>
      </x:c>
      <x:c r="O1077" s="24"/>
      <x:c r="P1077" s="24"/>
      <x:c r="Q1077" s="24" t="str">
        <x:v>DISPONÍVEL</x:v>
      </x:c>
      <x:c r="R1077" s="24"/>
      <x:c r="S1077" s="24" t="n">
        <x:v>32</x:v>
      </x:c>
      <x:c r="T1077" s="24" t="str">
        <x:v>tabela_rodenstock.pdf</x:v>
      </x:c>
      <x:c r="U1077" s="24" t="str">
        <x:v>Rodenstock|Netline|Netline|Progressiv E||1.67|1.67|Solitaire 2 Protect Balance|-10 a +8|até -6||75/80|||32</x:v>
      </x:c>
    </x:row>
    <x:row r="1078">
      <x:c r="A1078" s="24" t="str">
        <x:v>RD-E79B167D3313</x:v>
      </x:c>
      <x:c r="B1078" s="24" t="str">
        <x:v>Rodenstock</x:v>
      </x:c>
      <x:c r="C1078" s="24" t="str">
        <x:v>Netline</x:v>
      </x:c>
      <x:c r="D1078" s="24" t="str">
        <x:v>Netline</x:v>
      </x:c>
      <x:c r="E1078" s="24" t="str">
        <x:v>Progressiv E</x:v>
      </x:c>
      <x:c r="F1078" s="24"/>
      <x:c r="G1078" s="24" t="str">
        <x:v>1.67</x:v>
      </x:c>
      <x:c r="H1078" s="24" t="str">
        <x:v>1.67</x:v>
      </x:c>
      <x:c r="I1078" s="24" t="str">
        <x:v>Solitaire ECO 2</x:v>
      </x:c>
      <x:c r="J1078" s="40" t="n">
        <x:v>2073</x:v>
      </x:c>
      <x:c r="K1078" s="24" t="str">
        <x:v>-10 a +8</x:v>
      </x:c>
      <x:c r="L1078" s="24" t="str">
        <x:v>até -6</x:v>
      </x:c>
      <x:c r="M1078" s="24"/>
      <x:c r="N1078" s="24" t="str">
        <x:v>75/80</x:v>
      </x:c>
      <x:c r="O1078" s="24"/>
      <x:c r="P1078" s="24"/>
      <x:c r="Q1078" s="24" t="str">
        <x:v>DISPONÍVEL</x:v>
      </x:c>
      <x:c r="R1078" s="24"/>
      <x:c r="S1078" s="24" t="n">
        <x:v>32</x:v>
      </x:c>
      <x:c r="T1078" s="24" t="str">
        <x:v>tabela_rodenstock.pdf</x:v>
      </x:c>
      <x:c r="U1078" s="24" t="str">
        <x:v>Rodenstock|Netline|Netline|Progressiv E||1.67|1.67|Solitaire ECO 2|-10 a +8|até -6||75/80|||32</x:v>
      </x:c>
    </x:row>
    <x:row r="1079">
      <x:c r="A1079" s="24" t="str">
        <x:v>RD-53A3160C3C81</x:v>
      </x:c>
      <x:c r="B1079" s="24" t="str">
        <x:v>Rodenstock</x:v>
      </x:c>
      <x:c r="C1079" s="24" t="str">
        <x:v>Netline</x:v>
      </x:c>
      <x:c r="D1079" s="24" t="str">
        <x:v>Netline</x:v>
      </x:c>
      <x:c r="E1079" s="24" t="str">
        <x:v>Progressiv E</x:v>
      </x:c>
      <x:c r="F1079" s="24" t="str">
        <x:v>ColorMatic® 3</x:v>
      </x:c>
      <x:c r="G1079" s="24" t="str">
        <x:v>1.67</x:v>
      </x:c>
      <x:c r="H1079" s="24" t="str">
        <x:v>1.67</x:v>
      </x:c>
      <x:c r="I1079" s="24" t="str">
        <x:v>HydroCoat 2</x:v>
      </x:c>
      <x:c r="J1079" s="40" t="n">
        <x:v>4632</x:v>
      </x:c>
      <x:c r="K1079" s="24" t="str">
        <x:v>-10 a +8</x:v>
      </x:c>
      <x:c r="L1079" s="24" t="str">
        <x:v>até -6</x:v>
      </x:c>
      <x:c r="M1079" s="24"/>
      <x:c r="N1079" s="24" t="str">
        <x:v>75/80</x:v>
      </x:c>
      <x:c r="O1079" s="24"/>
      <x:c r="P1079" s="24"/>
      <x:c r="Q1079" s="24" t="str">
        <x:v>DISPONÍVEL</x:v>
      </x:c>
      <x:c r="R1079" s="24"/>
      <x:c r="S1079" s="24" t="n">
        <x:v>32</x:v>
      </x:c>
      <x:c r="T1079" s="24" t="str">
        <x:v>tabela_rodenstock.pdf</x:v>
      </x:c>
      <x:c r="U1079" s="24" t="str">
        <x:v>Rodenstock|Netline|Netline|Progressiv E|ColorMatic® 3|1.67|1.67|HydroCoat 2|-10 a +8|até -6||75/80|||32</x:v>
      </x:c>
    </x:row>
    <x:row r="1080">
      <x:c r="A1080" s="24" t="str">
        <x:v>RD-87E27AF99A2F</x:v>
      </x:c>
      <x:c r="B1080" s="24" t="str">
        <x:v>Rodenstock</x:v>
      </x:c>
      <x:c r="C1080" s="24" t="str">
        <x:v>Netline</x:v>
      </x:c>
      <x:c r="D1080" s="24" t="str">
        <x:v>Netline</x:v>
      </x:c>
      <x:c r="E1080" s="24" t="str">
        <x:v>Progressiv E</x:v>
      </x:c>
      <x:c r="F1080" s="24" t="str">
        <x:v>ColorMatic® 3</x:v>
      </x:c>
      <x:c r="G1080" s="24" t="str">
        <x:v>1.67</x:v>
      </x:c>
      <x:c r="H1080" s="24" t="str">
        <x:v>1.67</x:v>
      </x:c>
      <x:c r="I1080" s="24" t="str">
        <x:v>Solitaire 2 Protect Balance</x:v>
      </x:c>
      <x:c r="J1080" s="40" t="n">
        <x:v>4632</x:v>
      </x:c>
      <x:c r="K1080" s="24" t="str">
        <x:v>-10 a +8</x:v>
      </x:c>
      <x:c r="L1080" s="24" t="str">
        <x:v>até -6</x:v>
      </x:c>
      <x:c r="M1080" s="24"/>
      <x:c r="N1080" s="24" t="str">
        <x:v>75/80</x:v>
      </x:c>
      <x:c r="O1080" s="24"/>
      <x:c r="P1080" s="24"/>
      <x:c r="Q1080" s="24" t="str">
        <x:v>DISPONÍVEL</x:v>
      </x:c>
      <x:c r="R1080" s="24"/>
      <x:c r="S1080" s="24" t="n">
        <x:v>32</x:v>
      </x:c>
      <x:c r="T1080" s="24" t="str">
        <x:v>tabela_rodenstock.pdf</x:v>
      </x:c>
      <x:c r="U1080" s="24" t="str">
        <x:v>Rodenstock|Netline|Netline|Progressiv E|ColorMatic® 3|1.67|1.67|Solitaire 2 Protect Balance|-10 a +8|até -6||75/80|||32</x:v>
      </x:c>
    </x:row>
    <x:row r="1081">
      <x:c r="A1081" s="24" t="str">
        <x:v>RD-B648461922A1</x:v>
      </x:c>
      <x:c r="B1081" s="24" t="str">
        <x:v>Rodenstock</x:v>
      </x:c>
      <x:c r="C1081" s="24" t="str">
        <x:v>Netline</x:v>
      </x:c>
      <x:c r="D1081" s="24" t="str">
        <x:v>Netline</x:v>
      </x:c>
      <x:c r="E1081" s="24" t="str">
        <x:v>Progressiv E</x:v>
      </x:c>
      <x:c r="F1081" s="24" t="str">
        <x:v>ColorMatic® 3</x:v>
      </x:c>
      <x:c r="G1081" s="24" t="str">
        <x:v>1.67</x:v>
      </x:c>
      <x:c r="H1081" s="24" t="str">
        <x:v>1.67</x:v>
      </x:c>
      <x:c r="I1081" s="24" t="str">
        <x:v>Solitaire ECO 2</x:v>
      </x:c>
      <x:c r="J1081" s="40" t="n">
        <x:v>3892</x:v>
      </x:c>
      <x:c r="K1081" s="24" t="str">
        <x:v>-10 a +8</x:v>
      </x:c>
      <x:c r="L1081" s="24" t="str">
        <x:v>até -6</x:v>
      </x:c>
      <x:c r="M1081" s="24"/>
      <x:c r="N1081" s="24" t="str">
        <x:v>75/80</x:v>
      </x:c>
      <x:c r="O1081" s="24"/>
      <x:c r="P1081" s="24"/>
      <x:c r="Q1081" s="24" t="str">
        <x:v>DISPONÍVEL</x:v>
      </x:c>
      <x:c r="R1081" s="24"/>
      <x:c r="S1081" s="24" t="n">
        <x:v>32</x:v>
      </x:c>
      <x:c r="T1081" s="24" t="str">
        <x:v>tabela_rodenstock.pdf</x:v>
      </x:c>
      <x:c r="U1081" s="24" t="str">
        <x:v>Rodenstock|Netline|Netline|Progressiv E|ColorMatic® 3|1.67|1.67|Solitaire ECO 2|-10 a +8|até -6||75/80|||32</x:v>
      </x:c>
    </x:row>
    <x:row r="1082">
      <x:c r="A1082" s="24" t="str">
        <x:v>RD-6412994C1CCB</x:v>
      </x:c>
      <x:c r="B1082" s="24" t="str">
        <x:v>Rodenstock</x:v>
      </x:c>
      <x:c r="C1082" s="24" t="str">
        <x:v>Netline</x:v>
      </x:c>
      <x:c r="D1082" s="24" t="str">
        <x:v>Netline</x:v>
      </x:c>
      <x:c r="E1082" s="24" t="str">
        <x:v>Netline Mono E</x:v>
      </x:c>
      <x:c r="F1082" s="24" t="str">
        <x:v>Polarizada</x:v>
      </x:c>
      <x:c r="G1082" s="24" t="str">
        <x:v>1.5</x:v>
      </x:c>
      <x:c r="H1082" s="24" t="str">
        <x:v>1.50</x:v>
      </x:c>
      <x:c r="I1082" s="24" t="str">
        <x:v>HydroCoat 2</x:v>
      </x:c>
      <x:c r="J1082" s="40" t="n">
        <x:v>2548</x:v>
      </x:c>
      <x:c r="K1082" s="24" t="str">
        <x:v>-8 a +8</x:v>
      </x:c>
      <x:c r="L1082" s="24" t="str">
        <x:v>até -6</x:v>
      </x:c>
      <x:c r="M1082" s="24"/>
      <x:c r="N1082" s="24" t="str">
        <x:v>75</x:v>
      </x:c>
      <x:c r="O1082" s="24"/>
      <x:c r="P1082" s="24"/>
      <x:c r="Q1082" s="24" t="str">
        <x:v>DISPONÍVEL</x:v>
      </x:c>
      <x:c r="R1082" s="24"/>
      <x:c r="S1082" s="24" t="n">
        <x:v>32</x:v>
      </x:c>
      <x:c r="T1082" s="24" t="str">
        <x:v>tabela_rodenstock.pdf</x:v>
      </x:c>
      <x:c r="U1082" s="24" t="str">
        <x:v>Rodenstock|Netline|Netline|Netline Mono E|Polarizada|1.5|1.50|HydroCoat 2|-8 a +8|até -6||75|||32</x:v>
      </x:c>
    </x:row>
    <x:row r="1083">
      <x:c r="A1083" s="24" t="str">
        <x:v>RD-C8724D9D4E26</x:v>
      </x:c>
      <x:c r="B1083" s="24" t="str">
        <x:v>Rodenstock</x:v>
      </x:c>
      <x:c r="C1083" s="24" t="str">
        <x:v>Netline</x:v>
      </x:c>
      <x:c r="D1083" s="24" t="str">
        <x:v>Netline</x:v>
      </x:c>
      <x:c r="E1083" s="24" t="str">
        <x:v>Netline Mono E</x:v>
      </x:c>
      <x:c r="F1083" s="24" t="str">
        <x:v>Polarizada</x:v>
      </x:c>
      <x:c r="G1083" s="24" t="str">
        <x:v>1.5</x:v>
      </x:c>
      <x:c r="H1083" s="24" t="str">
        <x:v>1.50</x:v>
      </x:c>
      <x:c r="I1083" s="24" t="str">
        <x:v>Solitaire 2 Protect Balance</x:v>
      </x:c>
      <x:c r="J1083" s="40" t="n">
        <x:v>2548</x:v>
      </x:c>
      <x:c r="K1083" s="24" t="str">
        <x:v>-8 a +8</x:v>
      </x:c>
      <x:c r="L1083" s="24" t="str">
        <x:v>até -6</x:v>
      </x:c>
      <x:c r="M1083" s="24"/>
      <x:c r="N1083" s="24" t="str">
        <x:v>75</x:v>
      </x:c>
      <x:c r="O1083" s="24"/>
      <x:c r="P1083" s="24"/>
      <x:c r="Q1083" s="24" t="str">
        <x:v>DISPONÍVEL</x:v>
      </x:c>
      <x:c r="R1083" s="24"/>
      <x:c r="S1083" s="24" t="n">
        <x:v>32</x:v>
      </x:c>
      <x:c r="T1083" s="24" t="str">
        <x:v>tabela_rodenstock.pdf</x:v>
      </x:c>
      <x:c r="U1083" s="24" t="str">
        <x:v>Rodenstock|Netline|Netline|Netline Mono E|Polarizada|1.5|1.50|Solitaire 2 Protect Balance|-8 a +8|até -6||75|||32</x:v>
      </x:c>
    </x:row>
    <x:row r="1084">
      <x:c r="A1084" s="24" t="str">
        <x:v>RD-C4872A380613</x:v>
      </x:c>
      <x:c r="B1084" s="24" t="str">
        <x:v>Rodenstock</x:v>
      </x:c>
      <x:c r="C1084" s="24" t="str">
        <x:v>Netline</x:v>
      </x:c>
      <x:c r="D1084" s="24" t="str">
        <x:v>Netline</x:v>
      </x:c>
      <x:c r="E1084" s="24" t="str">
        <x:v>Netline Mono E</x:v>
      </x:c>
      <x:c r="F1084" s="24" t="str">
        <x:v>Polarizada</x:v>
      </x:c>
      <x:c r="G1084" s="24" t="str">
        <x:v>1.5</x:v>
      </x:c>
      <x:c r="H1084" s="24" t="str">
        <x:v>1.50</x:v>
      </x:c>
      <x:c r="I1084" s="24" t="str">
        <x:v>Solitaire ECO 2</x:v>
      </x:c>
      <x:c r="J1084" s="40" t="n">
        <x:v>1808</x:v>
      </x:c>
      <x:c r="K1084" s="24" t="str">
        <x:v>-8 a +8</x:v>
      </x:c>
      <x:c r="L1084" s="24" t="str">
        <x:v>até -6</x:v>
      </x:c>
      <x:c r="M1084" s="24"/>
      <x:c r="N1084" s="24" t="str">
        <x:v>75</x:v>
      </x:c>
      <x:c r="O1084" s="24"/>
      <x:c r="P1084" s="24"/>
      <x:c r="Q1084" s="24" t="str">
        <x:v>DISPONÍVEL</x:v>
      </x:c>
      <x:c r="R1084" s="24"/>
      <x:c r="S1084" s="24" t="n">
        <x:v>32</x:v>
      </x:c>
      <x:c r="T1084" s="24" t="str">
        <x:v>tabela_rodenstock.pdf</x:v>
      </x:c>
      <x:c r="U1084" s="24" t="str">
        <x:v>Rodenstock|Netline|Netline|Netline Mono E|Polarizada|1.5|1.50|Solitaire ECO 2|-8 a +8|até -6||75|||32</x:v>
      </x:c>
    </x:row>
    <x:row r="1085">
      <x:c r="A1085" s="24" t="str">
        <x:v>RD-DDA1FE57C0B2</x:v>
      </x:c>
      <x:c r="B1085" s="24" t="str">
        <x:v>Rodenstock</x:v>
      </x:c>
      <x:c r="C1085" s="24" t="str">
        <x:v>Netline</x:v>
      </x:c>
      <x:c r="D1085" s="24" t="str">
        <x:v>Netline</x:v>
      </x:c>
      <x:c r="E1085" s="24" t="str">
        <x:v>Netline Mono E</x:v>
      </x:c>
      <x:c r="F1085" s="24" t="str">
        <x:v>Polarizada</x:v>
      </x:c>
      <x:c r="G1085" s="24" t="str">
        <x:v>1.5</x:v>
      </x:c>
      <x:c r="H1085" s="24" t="str">
        <x:v>1.50</x:v>
      </x:c>
      <x:c r="I1085" s="24" t="str">
        <x:v>Sem AR</x:v>
      </x:c>
      <x:c r="J1085" s="40" t="n">
        <x:v>1418</x:v>
      </x:c>
      <x:c r="K1085" s="24" t="str">
        <x:v>-8 a +8</x:v>
      </x:c>
      <x:c r="L1085" s="24" t="str">
        <x:v>até -6</x:v>
      </x:c>
      <x:c r="M1085" s="24"/>
      <x:c r="N1085" s="24" t="str">
        <x:v>75</x:v>
      </x:c>
      <x:c r="O1085" s="24"/>
      <x:c r="P1085" s="24"/>
      <x:c r="Q1085" s="24" t="str">
        <x:v>DISPONÍVEL</x:v>
      </x:c>
      <x:c r="R1085" s="24"/>
      <x:c r="S1085" s="24" t="n">
        <x:v>32</x:v>
      </x:c>
      <x:c r="T1085" s="24" t="str">
        <x:v>tabela_rodenstock.pdf</x:v>
      </x:c>
      <x:c r="U1085" s="24" t="str">
        <x:v>Rodenstock|Netline|Netline|Netline Mono E|Polarizada|1.5|1.50|Sem AR|-8 a +8|até -6||75|||32</x:v>
      </x:c>
    </x:row>
    <x:row r="1086">
      <x:c r="A1086" s="24" t="str">
        <x:v>RD-075FFE04D6B2</x:v>
      </x:c>
      <x:c r="B1086" s="24" t="str">
        <x:v>Rodenstock</x:v>
      </x:c>
      <x:c r="C1086" s="24" t="str">
        <x:v>Netline</x:v>
      </x:c>
      <x:c r="D1086" s="24" t="str">
        <x:v>Netline</x:v>
      </x:c>
      <x:c r="E1086" s="24" t="str">
        <x:v>Netline Mono E</x:v>
      </x:c>
      <x:c r="F1086" s="24" t="str">
        <x:v>ColorMatic® 3</x:v>
      </x:c>
      <x:c r="G1086" s="24" t="str">
        <x:v>1.54</x:v>
      </x:c>
      <x:c r="H1086" s="24" t="str">
        <x:v>1.54</x:v>
      </x:c>
      <x:c r="I1086" s="24" t="str">
        <x:v>HydroCoat 2</x:v>
      </x:c>
      <x:c r="J1086" s="40" t="n">
        <x:v>2675</x:v>
      </x:c>
      <x:c r="K1086" s="24" t="str">
        <x:v>-8 a +8</x:v>
      </x:c>
      <x:c r="L1086" s="24" t="str">
        <x:v>até -6</x:v>
      </x:c>
      <x:c r="M1086" s="24"/>
      <x:c r="N1086" s="24" t="str">
        <x:v>75</x:v>
      </x:c>
      <x:c r="O1086" s="24"/>
      <x:c r="P1086" s="24"/>
      <x:c r="Q1086" s="24" t="str">
        <x:v>DISPONÍVEL</x:v>
      </x:c>
      <x:c r="R1086" s="24"/>
      <x:c r="S1086" s="24" t="n">
        <x:v>32</x:v>
      </x:c>
      <x:c r="T1086" s="24" t="str">
        <x:v>tabela_rodenstock.pdf</x:v>
      </x:c>
      <x:c r="U1086" s="24" t="str">
        <x:v>Rodenstock|Netline|Netline|Netline Mono E|ColorMatic® 3|1.54|1.54|HydroCoat 2|-8 a +8|até -6||75|||32</x:v>
      </x:c>
    </x:row>
    <x:row r="1087">
      <x:c r="A1087" s="24" t="str">
        <x:v>RD-C3B59FB592F9</x:v>
      </x:c>
      <x:c r="B1087" s="24" t="str">
        <x:v>Rodenstock</x:v>
      </x:c>
      <x:c r="C1087" s="24" t="str">
        <x:v>Netline</x:v>
      </x:c>
      <x:c r="D1087" s="24" t="str">
        <x:v>Netline</x:v>
      </x:c>
      <x:c r="E1087" s="24" t="str">
        <x:v>Netline Mono E</x:v>
      </x:c>
      <x:c r="F1087" s="24" t="str">
        <x:v>ColorMatic® 3</x:v>
      </x:c>
      <x:c r="G1087" s="24" t="str">
        <x:v>1.54</x:v>
      </x:c>
      <x:c r="H1087" s="24" t="str">
        <x:v>1.54</x:v>
      </x:c>
      <x:c r="I1087" s="24" t="str">
        <x:v>Solitaire 2 Protect Balance</x:v>
      </x:c>
      <x:c r="J1087" s="40" t="n">
        <x:v>2675</x:v>
      </x:c>
      <x:c r="K1087" s="24" t="str">
        <x:v>-8 a +8</x:v>
      </x:c>
      <x:c r="L1087" s="24" t="str">
        <x:v>até -6</x:v>
      </x:c>
      <x:c r="M1087" s="24"/>
      <x:c r="N1087" s="24" t="str">
        <x:v>75</x:v>
      </x:c>
      <x:c r="O1087" s="24"/>
      <x:c r="P1087" s="24"/>
      <x:c r="Q1087" s="24" t="str">
        <x:v>DISPONÍVEL</x:v>
      </x:c>
      <x:c r="R1087" s="24"/>
      <x:c r="S1087" s="24" t="n">
        <x:v>32</x:v>
      </x:c>
      <x:c r="T1087" s="24" t="str">
        <x:v>tabela_rodenstock.pdf</x:v>
      </x:c>
      <x:c r="U1087" s="24" t="str">
        <x:v>Rodenstock|Netline|Netline|Netline Mono E|ColorMatic® 3|1.54|1.54|Solitaire 2 Protect Balance|-8 a +8|até -6||75|||32</x:v>
      </x:c>
    </x:row>
    <x:row r="1088">
      <x:c r="A1088" s="24" t="str">
        <x:v>RD-8E69B76AA97E</x:v>
      </x:c>
      <x:c r="B1088" s="24" t="str">
        <x:v>Rodenstock</x:v>
      </x:c>
      <x:c r="C1088" s="24" t="str">
        <x:v>Netline</x:v>
      </x:c>
      <x:c r="D1088" s="24" t="str">
        <x:v>Netline</x:v>
      </x:c>
      <x:c r="E1088" s="24" t="str">
        <x:v>Netline Mono E</x:v>
      </x:c>
      <x:c r="F1088" s="24" t="str">
        <x:v>ColorMatic® 3</x:v>
      </x:c>
      <x:c r="G1088" s="24" t="str">
        <x:v>1.54</x:v>
      </x:c>
      <x:c r="H1088" s="24" t="str">
        <x:v>1.54</x:v>
      </x:c>
      <x:c r="I1088" s="24" t="str">
        <x:v>Solitaire ECO 2</x:v>
      </x:c>
      <x:c r="J1088" s="40" t="n">
        <x:v>1935</x:v>
      </x:c>
      <x:c r="K1088" s="24" t="str">
        <x:v>-8 a +8</x:v>
      </x:c>
      <x:c r="L1088" s="24" t="str">
        <x:v>até -6</x:v>
      </x:c>
      <x:c r="M1088" s="24"/>
      <x:c r="N1088" s="24" t="str">
        <x:v>75</x:v>
      </x:c>
      <x:c r="O1088" s="24"/>
      <x:c r="P1088" s="24"/>
      <x:c r="Q1088" s="24" t="str">
        <x:v>DISPONÍVEL</x:v>
      </x:c>
      <x:c r="R1088" s="24"/>
      <x:c r="S1088" s="24" t="n">
        <x:v>32</x:v>
      </x:c>
      <x:c r="T1088" s="24" t="str">
        <x:v>tabela_rodenstock.pdf</x:v>
      </x:c>
      <x:c r="U1088" s="24" t="str">
        <x:v>Rodenstock|Netline|Netline|Netline Mono E|ColorMatic® 3|1.54|1.54|Solitaire ECO 2|-8 a +8|até -6||75|||32</x:v>
      </x:c>
    </x:row>
    <x:row r="1089">
      <x:c r="A1089" s="24" t="str">
        <x:v>RD-DBFC752E02E8</x:v>
      </x:c>
      <x:c r="B1089" s="24" t="str">
        <x:v>Rodenstock</x:v>
      </x:c>
      <x:c r="C1089" s="24" t="str">
        <x:v>Netline</x:v>
      </x:c>
      <x:c r="D1089" s="24" t="str">
        <x:v>Netline</x:v>
      </x:c>
      <x:c r="E1089" s="24" t="str">
        <x:v>Netline Mono E</x:v>
      </x:c>
      <x:c r="F1089" s="24" t="str">
        <x:v>ColorMatic® 3</x:v>
      </x:c>
      <x:c r="G1089" s="24" t="str">
        <x:v>1.54</x:v>
      </x:c>
      <x:c r="H1089" s="24" t="str">
        <x:v>1.54</x:v>
      </x:c>
      <x:c r="I1089" s="24" t="str">
        <x:v>Sem AR</x:v>
      </x:c>
      <x:c r="J1089" s="40" t="n">
        <x:v>1545</x:v>
      </x:c>
      <x:c r="K1089" s="24" t="str">
        <x:v>-8 a +8</x:v>
      </x:c>
      <x:c r="L1089" s="24" t="str">
        <x:v>até -6</x:v>
      </x:c>
      <x:c r="M1089" s="24"/>
      <x:c r="N1089" s="24" t="str">
        <x:v>75</x:v>
      </x:c>
      <x:c r="O1089" s="24"/>
      <x:c r="P1089" s="24"/>
      <x:c r="Q1089" s="24" t="str">
        <x:v>DISPONÍVEL</x:v>
      </x:c>
      <x:c r="R1089" s="24"/>
      <x:c r="S1089" s="24" t="n">
        <x:v>32</x:v>
      </x:c>
      <x:c r="T1089" s="24" t="str">
        <x:v>tabela_rodenstock.pdf</x:v>
      </x:c>
      <x:c r="U1089" s="24" t="str">
        <x:v>Rodenstock|Netline|Netline|Netline Mono E|ColorMatic® 3|1.54|1.54|Sem AR|-8 a +8|até -6||75|||32</x:v>
      </x:c>
    </x:row>
    <x:row r="1090">
      <x:c r="A1090" s="24" t="str">
        <x:v>RD-F31735867301</x:v>
      </x:c>
      <x:c r="B1090" s="24" t="str">
        <x:v>Rodenstock</x:v>
      </x:c>
      <x:c r="C1090" s="24" t="str">
        <x:v>Netline</x:v>
      </x:c>
      <x:c r="D1090" s="24" t="str">
        <x:v>Netline</x:v>
      </x:c>
      <x:c r="E1090" s="24" t="str">
        <x:v>Netline Mono E</x:v>
      </x:c>
      <x:c r="F1090" s="24"/>
      <x:c r="G1090" s="24" t="str">
        <x:v>1.6</x:v>
      </x:c>
      <x:c r="H1090" s="24" t="str">
        <x:v>1.60</x:v>
      </x:c>
      <x:c r="I1090" s="24" t="str">
        <x:v>HydroCoat 2</x:v>
      </x:c>
      <x:c r="J1090" s="40" t="n">
        <x:v>1930</x:v>
      </x:c>
      <x:c r="K1090" s="24" t="str">
        <x:v>-10 a +10</x:v>
      </x:c>
      <x:c r="L1090" s="24" t="str">
        <x:v>até -6</x:v>
      </x:c>
      <x:c r="M1090" s="24"/>
      <x:c r="N1090" s="24" t="str">
        <x:v>75</x:v>
      </x:c>
      <x:c r="O1090" s="24"/>
      <x:c r="P1090" s="24"/>
      <x:c r="Q1090" s="24" t="str">
        <x:v>DISPONÍVEL</x:v>
      </x:c>
      <x:c r="R1090" s="24"/>
      <x:c r="S1090" s="24" t="n">
        <x:v>32</x:v>
      </x:c>
      <x:c r="T1090" s="24" t="str">
        <x:v>tabela_rodenstock.pdf</x:v>
      </x:c>
      <x:c r="U1090" s="24" t="str">
        <x:v>Rodenstock|Netline|Netline|Netline Mono E||1.6|1.60|HydroCoat 2|-10 a +10|até -6||75|||32</x:v>
      </x:c>
    </x:row>
    <x:row r="1091">
      <x:c r="A1091" s="24" t="str">
        <x:v>RD-633882E6A5F0</x:v>
      </x:c>
      <x:c r="B1091" s="24" t="str">
        <x:v>Rodenstock</x:v>
      </x:c>
      <x:c r="C1091" s="24" t="str">
        <x:v>Netline</x:v>
      </x:c>
      <x:c r="D1091" s="24" t="str">
        <x:v>Netline</x:v>
      </x:c>
      <x:c r="E1091" s="24" t="str">
        <x:v>Netline Mono E</x:v>
      </x:c>
      <x:c r="F1091" s="24"/>
      <x:c r="G1091" s="24" t="str">
        <x:v>1.6</x:v>
      </x:c>
      <x:c r="H1091" s="24" t="str">
        <x:v>1.60</x:v>
      </x:c>
      <x:c r="I1091" s="24" t="str">
        <x:v>Solitaire 2 Protect Balance</x:v>
      </x:c>
      <x:c r="J1091" s="40" t="n">
        <x:v>1930</x:v>
      </x:c>
      <x:c r="K1091" s="24" t="str">
        <x:v>-10 a +10</x:v>
      </x:c>
      <x:c r="L1091" s="24" t="str">
        <x:v>até -6</x:v>
      </x:c>
      <x:c r="M1091" s="24"/>
      <x:c r="N1091" s="24" t="str">
        <x:v>75</x:v>
      </x:c>
      <x:c r="O1091" s="24"/>
      <x:c r="P1091" s="24"/>
      <x:c r="Q1091" s="24" t="str">
        <x:v>DISPONÍVEL</x:v>
      </x:c>
      <x:c r="R1091" s="24"/>
      <x:c r="S1091" s="24" t="n">
        <x:v>32</x:v>
      </x:c>
      <x:c r="T1091" s="24" t="str">
        <x:v>tabela_rodenstock.pdf</x:v>
      </x:c>
      <x:c r="U1091" s="24" t="str">
        <x:v>Rodenstock|Netline|Netline|Netline Mono E||1.6|1.60|Solitaire 2 Protect Balance|-10 a +10|até -6||75|||32</x:v>
      </x:c>
    </x:row>
    <x:row r="1092">
      <x:c r="A1092" s="24" t="str">
        <x:v>RD-0F15D2FF5E30</x:v>
      </x:c>
      <x:c r="B1092" s="24" t="str">
        <x:v>Rodenstock</x:v>
      </x:c>
      <x:c r="C1092" s="24" t="str">
        <x:v>Netline</x:v>
      </x:c>
      <x:c r="D1092" s="24" t="str">
        <x:v>Netline</x:v>
      </x:c>
      <x:c r="E1092" s="24" t="str">
        <x:v>Netline Mono E</x:v>
      </x:c>
      <x:c r="F1092" s="24"/>
      <x:c r="G1092" s="24" t="str">
        <x:v>1.6</x:v>
      </x:c>
      <x:c r="H1092" s="24" t="str">
        <x:v>1.60</x:v>
      </x:c>
      <x:c r="I1092" s="24" t="str">
        <x:v>Solitaire ECO 2</x:v>
      </x:c>
      <x:c r="J1092" s="40" t="n">
        <x:v>1190</x:v>
      </x:c>
      <x:c r="K1092" s="24" t="str">
        <x:v>-10 a +10</x:v>
      </x:c>
      <x:c r="L1092" s="24" t="str">
        <x:v>até -6</x:v>
      </x:c>
      <x:c r="M1092" s="24"/>
      <x:c r="N1092" s="24" t="str">
        <x:v>75</x:v>
      </x:c>
      <x:c r="O1092" s="24"/>
      <x:c r="P1092" s="24"/>
      <x:c r="Q1092" s="24" t="str">
        <x:v>DISPONÍVEL</x:v>
      </x:c>
      <x:c r="R1092" s="24"/>
      <x:c r="S1092" s="24" t="n">
        <x:v>32</x:v>
      </x:c>
      <x:c r="T1092" s="24" t="str">
        <x:v>tabela_rodenstock.pdf</x:v>
      </x:c>
      <x:c r="U1092" s="24" t="str">
        <x:v>Rodenstock|Netline|Netline|Netline Mono E||1.6|1.60|Solitaire ECO 2|-10 a +10|até -6||75|||32</x:v>
      </x:c>
    </x:row>
    <x:row r="1093">
      <x:c r="A1093" s="24" t="str">
        <x:v>RD-02F2A7670A2E</x:v>
      </x:c>
      <x:c r="B1093" s="24" t="str">
        <x:v>Rodenstock</x:v>
      </x:c>
      <x:c r="C1093" s="24" t="str">
        <x:v>Netline</x:v>
      </x:c>
      <x:c r="D1093" s="24" t="str">
        <x:v>Netline</x:v>
      </x:c>
      <x:c r="E1093" s="24" t="str">
        <x:v>Netline Mono E</x:v>
      </x:c>
      <x:c r="F1093" s="24" t="str">
        <x:v>ColorMatic® 3</x:v>
      </x:c>
      <x:c r="G1093" s="24" t="str">
        <x:v>1.6</x:v>
      </x:c>
      <x:c r="H1093" s="24" t="str">
        <x:v>1.60</x:v>
      </x:c>
      <x:c r="I1093" s="24" t="str">
        <x:v>HydroCoat 2</x:v>
      </x:c>
      <x:c r="J1093" s="40" t="n">
        <x:v>3032</x:v>
      </x:c>
      <x:c r="K1093" s="24" t="str">
        <x:v>-10 a +10</x:v>
      </x:c>
      <x:c r="L1093" s="24" t="str">
        <x:v>até -6</x:v>
      </x:c>
      <x:c r="M1093" s="24"/>
      <x:c r="N1093" s="24" t="str">
        <x:v>75</x:v>
      </x:c>
      <x:c r="O1093" s="24"/>
      <x:c r="P1093" s="24"/>
      <x:c r="Q1093" s="24" t="str">
        <x:v>DISPONÍVEL</x:v>
      </x:c>
      <x:c r="R1093" s="24"/>
      <x:c r="S1093" s="24" t="n">
        <x:v>32</x:v>
      </x:c>
      <x:c r="T1093" s="24" t="str">
        <x:v>tabela_rodenstock.pdf</x:v>
      </x:c>
      <x:c r="U1093" s="24" t="str">
        <x:v>Rodenstock|Netline|Netline|Netline Mono E|ColorMatic® 3|1.6|1.60|HydroCoat 2|-10 a +10|até -6||75|||32</x:v>
      </x:c>
    </x:row>
    <x:row r="1094">
      <x:c r="A1094" s="24" t="str">
        <x:v>RD-672CB31D795E</x:v>
      </x:c>
      <x:c r="B1094" s="24" t="str">
        <x:v>Rodenstock</x:v>
      </x:c>
      <x:c r="C1094" s="24" t="str">
        <x:v>Netline</x:v>
      </x:c>
      <x:c r="D1094" s="24" t="str">
        <x:v>Netline</x:v>
      </x:c>
      <x:c r="E1094" s="24" t="str">
        <x:v>Netline Mono E</x:v>
      </x:c>
      <x:c r="F1094" s="24" t="str">
        <x:v>ColorMatic® 3</x:v>
      </x:c>
      <x:c r="G1094" s="24" t="str">
        <x:v>1.6</x:v>
      </x:c>
      <x:c r="H1094" s="24" t="str">
        <x:v>1.60</x:v>
      </x:c>
      <x:c r="I1094" s="24" t="str">
        <x:v>Solitaire 2 Protect Balance</x:v>
      </x:c>
      <x:c r="J1094" s="40" t="n">
        <x:v>3032</x:v>
      </x:c>
      <x:c r="K1094" s="24" t="str">
        <x:v>-10 a +10</x:v>
      </x:c>
      <x:c r="L1094" s="24" t="str">
        <x:v>até -6</x:v>
      </x:c>
      <x:c r="M1094" s="24"/>
      <x:c r="N1094" s="24" t="str">
        <x:v>75</x:v>
      </x:c>
      <x:c r="O1094" s="24"/>
      <x:c r="P1094" s="24"/>
      <x:c r="Q1094" s="24" t="str">
        <x:v>DISPONÍVEL</x:v>
      </x:c>
      <x:c r="R1094" s="24"/>
      <x:c r="S1094" s="24" t="n">
        <x:v>32</x:v>
      </x:c>
      <x:c r="T1094" s="24" t="str">
        <x:v>tabela_rodenstock.pdf</x:v>
      </x:c>
      <x:c r="U1094" s="24" t="str">
        <x:v>Rodenstock|Netline|Netline|Netline Mono E|ColorMatic® 3|1.6|1.60|Solitaire 2 Protect Balance|-10 a +10|até -6||75|||32</x:v>
      </x:c>
    </x:row>
    <x:row r="1095">
      <x:c r="A1095" s="24" t="str">
        <x:v>RD-823B9D8A4C6E</x:v>
      </x:c>
      <x:c r="B1095" s="24" t="str">
        <x:v>Rodenstock</x:v>
      </x:c>
      <x:c r="C1095" s="24" t="str">
        <x:v>Netline</x:v>
      </x:c>
      <x:c r="D1095" s="24" t="str">
        <x:v>Netline</x:v>
      </x:c>
      <x:c r="E1095" s="24" t="str">
        <x:v>Netline Mono E</x:v>
      </x:c>
      <x:c r="F1095" s="24" t="str">
        <x:v>ColorMatic® 3</x:v>
      </x:c>
      <x:c r="G1095" s="24" t="str">
        <x:v>1.6</x:v>
      </x:c>
      <x:c r="H1095" s="24" t="str">
        <x:v>1.60</x:v>
      </x:c>
      <x:c r="I1095" s="24" t="str">
        <x:v>Solitaire ECO 2</x:v>
      </x:c>
      <x:c r="J1095" s="40" t="n">
        <x:v>2292</x:v>
      </x:c>
      <x:c r="K1095" s="24" t="str">
        <x:v>-10 a +10</x:v>
      </x:c>
      <x:c r="L1095" s="24" t="str">
        <x:v>até -6</x:v>
      </x:c>
      <x:c r="M1095" s="24"/>
      <x:c r="N1095" s="24" t="str">
        <x:v>75</x:v>
      </x:c>
      <x:c r="O1095" s="24"/>
      <x:c r="P1095" s="24"/>
      <x:c r="Q1095" s="24" t="str">
        <x:v>DISPONÍVEL</x:v>
      </x:c>
      <x:c r="R1095" s="24"/>
      <x:c r="S1095" s="24" t="n">
        <x:v>32</x:v>
      </x:c>
      <x:c r="T1095" s="24" t="str">
        <x:v>tabela_rodenstock.pdf</x:v>
      </x:c>
      <x:c r="U1095" s="24" t="str">
        <x:v>Rodenstock|Netline|Netline|Netline Mono E|ColorMatic® 3|1.6|1.60|Solitaire ECO 2|-10 a +10|até -6||75|||32</x:v>
      </x:c>
    </x:row>
    <x:row r="1096">
      <x:c r="A1096" s="24" t="str">
        <x:v>RD-F057F7CF2AFD</x:v>
      </x:c>
      <x:c r="B1096" s="24" t="str">
        <x:v>Rodenstock</x:v>
      </x:c>
      <x:c r="C1096" s="24" t="str">
        <x:v>Netline</x:v>
      </x:c>
      <x:c r="D1096" s="24" t="str">
        <x:v>Netline</x:v>
      </x:c>
      <x:c r="E1096" s="24" t="str">
        <x:v>Netline Mono E</x:v>
      </x:c>
      <x:c r="F1096" s="24"/>
      <x:c r="G1096" s="24" t="str">
        <x:v>1.67</x:v>
      </x:c>
      <x:c r="H1096" s="24" t="str">
        <x:v>1.67</x:v>
      </x:c>
      <x:c r="I1096" s="24" t="str">
        <x:v>HydroCoat 2</x:v>
      </x:c>
      <x:c r="J1096" s="40" t="n">
        <x:v>2623</x:v>
      </x:c>
      <x:c r="K1096" s="24" t="str">
        <x:v>-10 a +10</x:v>
      </x:c>
      <x:c r="L1096" s="24" t="str">
        <x:v>até -6</x:v>
      </x:c>
      <x:c r="M1096" s="24"/>
      <x:c r="N1096" s="24" t="str">
        <x:v>75</x:v>
      </x:c>
      <x:c r="O1096" s="24"/>
      <x:c r="P1096" s="24"/>
      <x:c r="Q1096" s="24" t="str">
        <x:v>DISPONÍVEL</x:v>
      </x:c>
      <x:c r="R1096" s="24"/>
      <x:c r="S1096" s="24" t="n">
        <x:v>32</x:v>
      </x:c>
      <x:c r="T1096" s="24" t="str">
        <x:v>tabela_rodenstock.pdf</x:v>
      </x:c>
      <x:c r="U1096" s="24" t="str">
        <x:v>Rodenstock|Netline|Netline|Netline Mono E||1.67|1.67|HydroCoat 2|-10 a +10|até -6||75|||32</x:v>
      </x:c>
    </x:row>
    <x:row r="1097">
      <x:c r="A1097" s="24" t="str">
        <x:v>RD-89FD76A06519</x:v>
      </x:c>
      <x:c r="B1097" s="24" t="str">
        <x:v>Rodenstock</x:v>
      </x:c>
      <x:c r="C1097" s="24" t="str">
        <x:v>Netline</x:v>
      </x:c>
      <x:c r="D1097" s="24" t="str">
        <x:v>Netline</x:v>
      </x:c>
      <x:c r="E1097" s="24" t="str">
        <x:v>Netline Mono E</x:v>
      </x:c>
      <x:c r="F1097" s="24"/>
      <x:c r="G1097" s="24" t="str">
        <x:v>1.67</x:v>
      </x:c>
      <x:c r="H1097" s="24" t="str">
        <x:v>1.67</x:v>
      </x:c>
      <x:c r="I1097" s="24" t="str">
        <x:v>Solitaire 2 Protect Balance</x:v>
      </x:c>
      <x:c r="J1097" s="40" t="n">
        <x:v>2623</x:v>
      </x:c>
      <x:c r="K1097" s="24" t="str">
        <x:v>-10 a +10</x:v>
      </x:c>
      <x:c r="L1097" s="24" t="str">
        <x:v>até -6</x:v>
      </x:c>
      <x:c r="M1097" s="24"/>
      <x:c r="N1097" s="24" t="str">
        <x:v>75</x:v>
      </x:c>
      <x:c r="O1097" s="24"/>
      <x:c r="P1097" s="24"/>
      <x:c r="Q1097" s="24" t="str">
        <x:v>DISPONÍVEL</x:v>
      </x:c>
      <x:c r="R1097" s="24"/>
      <x:c r="S1097" s="24" t="n">
        <x:v>32</x:v>
      </x:c>
      <x:c r="T1097" s="24" t="str">
        <x:v>tabela_rodenstock.pdf</x:v>
      </x:c>
      <x:c r="U1097" s="24" t="str">
        <x:v>Rodenstock|Netline|Netline|Netline Mono E||1.67|1.67|Solitaire 2 Protect Balance|-10 a +10|até -6||75|||32</x:v>
      </x:c>
    </x:row>
    <x:row r="1098">
      <x:c r="A1098" s="24" t="str">
        <x:v>RD-AE04EE954212</x:v>
      </x:c>
      <x:c r="B1098" s="24" t="str">
        <x:v>Rodenstock</x:v>
      </x:c>
      <x:c r="C1098" s="24" t="str">
        <x:v>Netline</x:v>
      </x:c>
      <x:c r="D1098" s="24" t="str">
        <x:v>Netline</x:v>
      </x:c>
      <x:c r="E1098" s="24" t="str">
        <x:v>Netline Mono E</x:v>
      </x:c>
      <x:c r="F1098" s="24"/>
      <x:c r="G1098" s="24" t="str">
        <x:v>1.67</x:v>
      </x:c>
      <x:c r="H1098" s="24" t="str">
        <x:v>1.67</x:v>
      </x:c>
      <x:c r="I1098" s="24" t="str">
        <x:v>Solitaire ECO 2</x:v>
      </x:c>
      <x:c r="J1098" s="40" t="n">
        <x:v>1883</x:v>
      </x:c>
      <x:c r="K1098" s="24" t="str">
        <x:v>-10 a +10</x:v>
      </x:c>
      <x:c r="L1098" s="24" t="str">
        <x:v>até -6</x:v>
      </x:c>
      <x:c r="M1098" s="24"/>
      <x:c r="N1098" s="24" t="str">
        <x:v>75</x:v>
      </x:c>
      <x:c r="O1098" s="24"/>
      <x:c r="P1098" s="24"/>
      <x:c r="Q1098" s="24" t="str">
        <x:v>DISPONÍVEL</x:v>
      </x:c>
      <x:c r="R1098" s="24"/>
      <x:c r="S1098" s="24" t="n">
        <x:v>32</x:v>
      </x:c>
      <x:c r="T1098" s="24" t="str">
        <x:v>tabela_rodenstock.pdf</x:v>
      </x:c>
      <x:c r="U1098" s="24" t="str">
        <x:v>Rodenstock|Netline|Netline|Netline Mono E||1.67|1.67|Solitaire ECO 2|-10 a +10|até -6||75|||32</x:v>
      </x:c>
    </x:row>
    <x:row r="1099">
      <x:c r="A1099" s="24" t="str">
        <x:v>RD-F16BDF556954</x:v>
      </x:c>
      <x:c r="B1099" s="24" t="str">
        <x:v>Rodenstock</x:v>
      </x:c>
      <x:c r="C1099" s="24" t="str">
        <x:v>Netline</x:v>
      </x:c>
      <x:c r="D1099" s="24" t="str">
        <x:v>Netline</x:v>
      </x:c>
      <x:c r="E1099" s="24" t="str">
        <x:v>Netline Mono E</x:v>
      </x:c>
      <x:c r="F1099" s="24" t="str">
        <x:v>ColorMatic® 3</x:v>
      </x:c>
      <x:c r="G1099" s="24" t="str">
        <x:v>1.67</x:v>
      </x:c>
      <x:c r="H1099" s="24" t="str">
        <x:v>1.67</x:v>
      </x:c>
      <x:c r="I1099" s="24" t="str">
        <x:v>HydroCoat 2</x:v>
      </x:c>
      <x:c r="J1099" s="40" t="n">
        <x:v>3602</x:v>
      </x:c>
      <x:c r="K1099" s="24" t="str">
        <x:v>-10 a +10</x:v>
      </x:c>
      <x:c r="L1099" s="24" t="str">
        <x:v>até -6</x:v>
      </x:c>
      <x:c r="M1099" s="24"/>
      <x:c r="N1099" s="24" t="str">
        <x:v>75</x:v>
      </x:c>
      <x:c r="O1099" s="24"/>
      <x:c r="P1099" s="24"/>
      <x:c r="Q1099" s="24" t="str">
        <x:v>DISPONÍVEL</x:v>
      </x:c>
      <x:c r="R1099" s="24"/>
      <x:c r="S1099" s="24" t="n">
        <x:v>32</x:v>
      </x:c>
      <x:c r="T1099" s="24" t="str">
        <x:v>tabela_rodenstock.pdf</x:v>
      </x:c>
      <x:c r="U1099" s="24" t="str">
        <x:v>Rodenstock|Netline|Netline|Netline Mono E|ColorMatic® 3|1.67|1.67|HydroCoat 2|-10 a +10|até -6||75|||32</x:v>
      </x:c>
    </x:row>
    <x:row r="1100">
      <x:c r="A1100" s="24" t="str">
        <x:v>RD-D5CE5CF25E29</x:v>
      </x:c>
      <x:c r="B1100" s="24" t="str">
        <x:v>Rodenstock</x:v>
      </x:c>
      <x:c r="C1100" s="24" t="str">
        <x:v>Netline</x:v>
      </x:c>
      <x:c r="D1100" s="24" t="str">
        <x:v>Netline</x:v>
      </x:c>
      <x:c r="E1100" s="24" t="str">
        <x:v>Netline Mono E</x:v>
      </x:c>
      <x:c r="F1100" s="24" t="str">
        <x:v>ColorMatic® 3</x:v>
      </x:c>
      <x:c r="G1100" s="24" t="str">
        <x:v>1.67</x:v>
      </x:c>
      <x:c r="H1100" s="24" t="str">
        <x:v>1.67</x:v>
      </x:c>
      <x:c r="I1100" s="24" t="str">
        <x:v>Solitaire 2 Protect Balance</x:v>
      </x:c>
      <x:c r="J1100" s="40" t="n">
        <x:v>3602</x:v>
      </x:c>
      <x:c r="K1100" s="24" t="str">
        <x:v>-10 a +10</x:v>
      </x:c>
      <x:c r="L1100" s="24" t="str">
        <x:v>até -6</x:v>
      </x:c>
      <x:c r="M1100" s="24"/>
      <x:c r="N1100" s="24" t="str">
        <x:v>75</x:v>
      </x:c>
      <x:c r="O1100" s="24"/>
      <x:c r="P1100" s="24"/>
      <x:c r="Q1100" s="24" t="str">
        <x:v>DISPONÍVEL</x:v>
      </x:c>
      <x:c r="R1100" s="24"/>
      <x:c r="S1100" s="24" t="n">
        <x:v>32</x:v>
      </x:c>
      <x:c r="T1100" s="24" t="str">
        <x:v>tabela_rodenstock.pdf</x:v>
      </x:c>
      <x:c r="U1100" s="24" t="str">
        <x:v>Rodenstock|Netline|Netline|Netline Mono E|ColorMatic® 3|1.67|1.67|Solitaire 2 Protect Balance|-10 a +10|até -6||75|||32</x:v>
      </x:c>
    </x:row>
    <x:row r="1101">
      <x:c r="A1101" s="24" t="str">
        <x:v>RD-C180D3411AD5</x:v>
      </x:c>
      <x:c r="B1101" s="24" t="str">
        <x:v>Rodenstock</x:v>
      </x:c>
      <x:c r="C1101" s="24" t="str">
        <x:v>Netline</x:v>
      </x:c>
      <x:c r="D1101" s="24" t="str">
        <x:v>Netline</x:v>
      </x:c>
      <x:c r="E1101" s="24" t="str">
        <x:v>Netline Mono E</x:v>
      </x:c>
      <x:c r="F1101" s="24" t="str">
        <x:v>ColorMatic® 3</x:v>
      </x:c>
      <x:c r="G1101" s="24" t="str">
        <x:v>1.67</x:v>
      </x:c>
      <x:c r="H1101" s="24" t="str">
        <x:v>1.67</x:v>
      </x:c>
      <x:c r="I1101" s="24" t="str">
        <x:v>Solitaire ECO 2</x:v>
      </x:c>
      <x:c r="J1101" s="40" t="n">
        <x:v>2862</x:v>
      </x:c>
      <x:c r="K1101" s="24" t="str">
        <x:v>-10 a +10</x:v>
      </x:c>
      <x:c r="L1101" s="24" t="str">
        <x:v>até -6</x:v>
      </x:c>
      <x:c r="M1101" s="24"/>
      <x:c r="N1101" s="24" t="str">
        <x:v>75</x:v>
      </x:c>
      <x:c r="O1101" s="24"/>
      <x:c r="P1101" s="24"/>
      <x:c r="Q1101" s="24" t="str">
        <x:v>DISPONÍVEL</x:v>
      </x:c>
      <x:c r="R1101" s="24"/>
      <x:c r="S1101" s="24" t="n">
        <x:v>32</x:v>
      </x:c>
      <x:c r="T1101" s="24" t="str">
        <x:v>tabela_rodenstock.pdf</x:v>
      </x:c>
      <x:c r="U1101" s="24" t="str">
        <x:v>Rodenstock|Netline|Netline|Netline Mono E|ColorMatic® 3|1.67|1.67|Solitaire ECO 2|-10 a +10|até -6||75|||32</x:v>
      </x:c>
    </x:row>
    <x:row r="1102">
      <x:c r="A1102" s="24" t="str">
        <x:v>RD-C1DC6D8B6D5E</x:v>
      </x:c>
      <x:c r="B1102" s="24" t="str">
        <x:v>Rodenstock</x:v>
      </x:c>
      <x:c r="C1102" s="24" t="str">
        <x:v>Netline</x:v>
      </x:c>
      <x:c r="D1102" s="24" t="str">
        <x:v>Netline</x:v>
      </x:c>
      <x:c r="E1102" s="24" t="str">
        <x:v>Netline Mono E</x:v>
      </x:c>
      <x:c r="F1102" s="24"/>
      <x:c r="G1102" s="24" t="str">
        <x:v>1.74</x:v>
      </x:c>
      <x:c r="H1102" s="24" t="str">
        <x:v>1.74</x:v>
      </x:c>
      <x:c r="I1102" s="24" t="str">
        <x:v>Solitaire ECO 2</x:v>
      </x:c>
      <x:c r="J1102" s="40" t="n">
        <x:v>3400</x:v>
      </x:c>
      <x:c r="K1102" s="24" t="str">
        <x:v>-12 a +10</x:v>
      </x:c>
      <x:c r="L1102" s="24" t="str">
        <x:v>até -5</x:v>
      </x:c>
      <x:c r="M1102" s="24"/>
      <x:c r="N1102" s="24" t="str">
        <x:v>75</x:v>
      </x:c>
      <x:c r="O1102" s="24"/>
      <x:c r="P1102" s="24"/>
      <x:c r="Q1102" s="24" t="str">
        <x:v>DISPONÍVEL</x:v>
      </x:c>
      <x:c r="R1102" s="24"/>
      <x:c r="S1102" s="24" t="n">
        <x:v>32</x:v>
      </x:c>
      <x:c r="T1102" s="24" t="str">
        <x:v>tabela_rodenstock.pdf</x:v>
      </x:c>
      <x:c r="U1102" s="24" t="str">
        <x:v>Rodenstock|Netline|Netline|Netline Mono E||1.74|1.74|Solitaire ECO 2|-12 a +10|até -5||75|||32</x:v>
      </x:c>
    </x:row>
    <x:row r="1103">
      <x:c r="A1103" s="24" t="str">
        <x:v>RD-40AD00BD0885</x:v>
      </x:c>
      <x:c r="B1103" s="24" t="str">
        <x:v>Rodenstock</x:v>
      </x:c>
      <x:c r="C1103" s="24" t="str">
        <x:v>Bifocal</x:v>
      </x:c>
      <x:c r="D1103" s="24" t="str">
        <x:v>Surfaçada</x:v>
      </x:c>
      <x:c r="E1103" s="24" t="str">
        <x:v>Smart Bifo</x:v>
      </x:c>
      <x:c r="F1103" s="24"/>
      <x:c r="G1103" s="24" t="str">
        <x:v>1.5</x:v>
      </x:c>
      <x:c r="H1103" s="24" t="str">
        <x:v>1.50</x:v>
      </x:c>
      <x:c r="I1103" s="24" t="str">
        <x:v>Solitaire X-tra Clean</x:v>
      </x:c>
      <x:c r="J1103" s="40" t="n">
        <x:v>2700</x:v>
      </x:c>
      <x:c r="K1103" s="24" t="str">
        <x:v>1.910 1.520 -8 a +8 até -4 75
5.190 4.800 -8 a +8 até -4 75
4.910 4.520 -10 a +8 até -4 75
-
2.390 - -10 a +8 até -4 75
5.990 - -10 a +8 até -4 75
5.190 - -10 a +10 até -6 75
6.790 - -10 a +10 até -6 75</x:v>
      </x:c>
      <x:c r="L1103" s="24"/>
      <x:c r="M1103" s="24"/>
      <x:c r="N1103" s="24"/>
      <x:c r="O1103" s="24"/>
      <x:c r="P1103" s="24"/>
      <x:c r="Q1103" s="24" t="str">
        <x:v>DISPONÍVEL</x:v>
      </x:c>
      <x:c r="R1103" s="24"/>
      <x:c r="S1103" s="24" t="n">
        <x:v>34</x:v>
      </x:c>
      <x:c r="T1103" s="24" t="str">
        <x:v>tabela_rodenstock.pdf</x:v>
      </x:c>
      <x:c r="U1103" s="24" t="str">
        <x:v>Rodenstock|Bifocal|Surfaçada|Smart Bifo||1.5|1.50|Solitaire X-tra Clean|1.910 1.520 -8 a +8 até -4 75
5.190 4.800 -8 a +8 até -4 75
4.910 4.520 -10 a +8 até -4 75
-
2.390 - -10 a +8 até -4 75
5.990 - -10 a +8 até -4 75
5.190 - -10 a +10 até -6 75
6.790 - -10 a +10 até -6 75||||||34</x:v>
      </x:c>
    </x:row>
    <x:row r="1104">
      <x:c r="A1104" s="24" t="str">
        <x:v>RD-92D02E8D6E53</x:v>
      </x:c>
      <x:c r="B1104" s="24" t="str">
        <x:v>Rodenstock</x:v>
      </x:c>
      <x:c r="C1104" s="24" t="str">
        <x:v>Bifocal</x:v>
      </x:c>
      <x:c r="D1104" s="24" t="str">
        <x:v>Surfaçada</x:v>
      </x:c>
      <x:c r="E1104" s="24" t="str">
        <x:v>Smart Bifo</x:v>
      </x:c>
      <x:c r="F1104" s="24"/>
      <x:c r="G1104" s="24" t="str">
        <x:v>1.5</x:v>
      </x:c>
      <x:c r="H1104" s="24" t="str">
        <x:v>1.50</x:v>
      </x:c>
      <x:c r="I1104" s="24" t="str">
        <x:v>Solitaire 2 Protect Balance</x:v>
      </x:c>
      <x:c r="J1104" s="40" t="n">
        <x:v>2650</x:v>
      </x:c>
      <x:c r="K1104" s="24" t="str">
        <x:v>1.910 1.520 -8 a +8 até -4 75
5.190 4.800 -8 a +8 até -4 75
4.910 4.520 -10 a +8 até -4 75
-
2.390 - -10 a +8 até -4 75
5.990 - -10 a +8 até -4 75
5.190 - -10 a +10 até -6 75
6.790 - -10 a +10 até -6 75</x:v>
      </x:c>
      <x:c r="L1104" s="24"/>
      <x:c r="M1104" s="24"/>
      <x:c r="N1104" s="24"/>
      <x:c r="O1104" s="24"/>
      <x:c r="P1104" s="24"/>
      <x:c r="Q1104" s="24" t="str">
        <x:v>DISPONÍVEL</x:v>
      </x:c>
      <x:c r="R1104" s="24"/>
      <x:c r="S1104" s="24" t="n">
        <x:v>34</x:v>
      </x:c>
      <x:c r="T1104" s="24" t="str">
        <x:v>tabela_rodenstock.pdf</x:v>
      </x:c>
      <x:c r="U1104" s="24" t="str">
        <x:v>Rodenstock|Bifocal|Surfaçada|Smart Bifo||1.5|1.50|Solitaire 2 Protect Balance|1.910 1.520 -8 a +8 até -4 75
5.190 4.800 -8 a +8 até -4 75
4.910 4.520 -10 a +8 até -4 75
-
2.390 - -10 a +8 até -4 75
5.990 - -10 a +8 até -4 75
5.190 - -10 a +10 até -6 75
6.790 - -10 a +10 até -6 75||||||34</x:v>
      </x:c>
    </x:row>
    <x:row r="1105">
      <x:c r="A1105" s="24" t="str">
        <x:v>RD-9A6C1FEE471F</x:v>
      </x:c>
      <x:c r="B1105" s="24" t="str">
        <x:v>Rodenstock</x:v>
      </x:c>
      <x:c r="C1105" s="24" t="str">
        <x:v>Bifocal</x:v>
      </x:c>
      <x:c r="D1105" s="24" t="str">
        <x:v>Surfaçada</x:v>
      </x:c>
      <x:c r="E1105" s="24" t="str">
        <x:v>Smart Bifo</x:v>
      </x:c>
      <x:c r="F1105" s="24"/>
      <x:c r="G1105" s="24" t="str">
        <x:v>1.5</x:v>
      </x:c>
      <x:c r="H1105" s="24" t="str">
        <x:v>1.50</x:v>
      </x:c>
      <x:c r="I1105" s="24" t="str">
        <x:v>Solitaire Protect Plus</x:v>
      </x:c>
      <x:c r="J1105" s="40" t="n">
        <x:v>2650</x:v>
      </x:c>
      <x:c r="K1105" s="24" t="str">
        <x:v>1.910 1.520 -8 a +8 até -4 75
5.190 4.800 -8 a +8 até -4 75
4.910 4.520 -10 a +8 até -4 75
-
2.390 - -10 a +8 até -4 75
5.990 - -10 a +8 até -4 75
5.190 - -10 a +10 até -6 75
6.790 - -10 a +10 até -6 75</x:v>
      </x:c>
      <x:c r="L1105" s="24"/>
      <x:c r="M1105" s="24"/>
      <x:c r="N1105" s="24"/>
      <x:c r="O1105" s="24"/>
      <x:c r="P1105" s="24"/>
      <x:c r="Q1105" s="24" t="str">
        <x:v>DISPONÍVEL</x:v>
      </x:c>
      <x:c r="R1105" s="24"/>
      <x:c r="S1105" s="24" t="n">
        <x:v>34</x:v>
      </x:c>
      <x:c r="T1105" s="24" t="str">
        <x:v>tabela_rodenstock.pdf</x:v>
      </x:c>
      <x:c r="U1105" s="24" t="str">
        <x:v>Rodenstock|Bifocal|Surfaçada|Smart Bifo||1.5|1.50|Solitaire Protect Plus|1.910 1.520 -8 a +8 até -4 75
5.190 4.800 -8 a +8 até -4 75
4.910 4.520 -10 a +8 até -4 75
-
2.390 - -10 a +8 até -4 75
5.990 - -10 a +8 até -4 75
5.190 - -10 a +10 até -6 75
6.790 - -10 a +10 até -6 75||||||34</x:v>
      </x:c>
    </x:row>
    <x:row r="1106">
      <x:c r="A1106" s="24" t="str">
        <x:v>RD-E805C432BD1E</x:v>
      </x:c>
      <x:c r="B1106" s="24" t="str">
        <x:v>Rodenstock</x:v>
      </x:c>
      <x:c r="C1106" s="24" t="str">
        <x:v>Bifocal</x:v>
      </x:c>
      <x:c r="D1106" s="24" t="str">
        <x:v>Surfaçada</x:v>
      </x:c>
      <x:c r="E1106" s="24" t="str">
        <x:v>Smart Bifo</x:v>
      </x:c>
      <x:c r="F1106" s="24"/>
      <x:c r="G1106" s="24" t="str">
        <x:v>1.5</x:v>
      </x:c>
      <x:c r="H1106" s="24" t="str">
        <x:v>1.50</x:v>
      </x:c>
      <x:c r="I1106" s="24" t="str">
        <x:v>Solitaire Protect</x:v>
      </x:c>
      <x:c r="J1106" s="40" t="n">
        <x:v>2390</x:v>
      </x:c>
      <x:c r="K1106" s="24" t="str">
        <x:v>1.910 1.520 -8 a +8 até -4 75
5.190 4.800 -8 a +8 até -4 75
4.910 4.520 -10 a +8 até -4 75
-
2.390 - -10 a +8 até -4 75
5.990 - -10 a +8 até -4 75
5.190 - -10 a +10 até -6 75
6.790 - -10 a +10 até -6 75</x:v>
      </x:c>
      <x:c r="L1106" s="24"/>
      <x:c r="M1106" s="24"/>
      <x:c r="N1106" s="24"/>
      <x:c r="O1106" s="24"/>
      <x:c r="P1106" s="24"/>
      <x:c r="Q1106" s="24" t="str">
        <x:v>DISPONÍVEL</x:v>
      </x:c>
      <x:c r="R1106" s="24"/>
      <x:c r="S1106" s="24" t="n">
        <x:v>34</x:v>
      </x:c>
      <x:c r="T1106" s="24" t="str">
        <x:v>tabela_rodenstock.pdf</x:v>
      </x:c>
      <x:c r="U1106" s="24" t="str">
        <x:v>Rodenstock|Bifocal|Surfaçada|Smart Bifo||1.5|1.50|Solitaire Protect|1.910 1.520 -8 a +8 até -4 75
5.190 4.800 -8 a +8 até -4 75
4.910 4.520 -10 a +8 até -4 75
-
2.390 - -10 a +8 até -4 75
5.990 - -10 a +8 até -4 75
5.190 - -10 a +10 até -6 75
6.790 - -10 a +10 até -6 75||||||34</x:v>
      </x:c>
    </x:row>
    <x:row r="1107">
      <x:c r="A1107" s="24" t="str">
        <x:v>RD-CE1D61031F89</x:v>
      </x:c>
      <x:c r="B1107" s="24" t="str">
        <x:v>Rodenstock</x:v>
      </x:c>
      <x:c r="C1107" s="24" t="str">
        <x:v>Bifocal</x:v>
      </x:c>
      <x:c r="D1107" s="24" t="str">
        <x:v>Surfaçada</x:v>
      </x:c>
      <x:c r="E1107" s="24" t="str">
        <x:v>Smart Bifo</x:v>
      </x:c>
      <x:c r="F1107" s="24" t="str">
        <x:v>Polarizada</x:v>
      </x:c>
      <x:c r="G1107" s="24" t="str">
        <x:v>1.5</x:v>
      </x:c>
      <x:c r="H1107" s="24" t="str">
        <x:v>1.50</x:v>
      </x:c>
      <x:c r="I1107" s="24" t="str">
        <x:v>Solitaire X-tra Clean</x:v>
      </x:c>
      <x:c r="J1107" s="40" t="n">
        <x:v>5980</x:v>
      </x:c>
      <x:c r="K1107" s="24" t="str">
        <x:v>-8 a +8</x:v>
      </x:c>
      <x:c r="L1107" s="24" t="str">
        <x:v>até -4</x:v>
      </x:c>
      <x:c r="M1107" s="24"/>
      <x:c r="N1107" s="24" t="str">
        <x:v>75</x:v>
      </x:c>
      <x:c r="O1107" s="24"/>
      <x:c r="P1107" s="24"/>
      <x:c r="Q1107" s="24" t="str">
        <x:v>DISPONÍVEL</x:v>
      </x:c>
      <x:c r="R1107" s="24"/>
      <x:c r="S1107" s="24" t="n">
        <x:v>34</x:v>
      </x:c>
      <x:c r="T1107" s="24" t="str">
        <x:v>tabela_rodenstock.pdf</x:v>
      </x:c>
      <x:c r="U1107" s="24" t="str">
        <x:v>Rodenstock|Bifocal|Surfaçada|Smart Bifo|Polarizada|1.5|1.50|Solitaire X-tra Clean|-8 a +8|até -4||75|||34</x:v>
      </x:c>
    </x:row>
    <x:row r="1108">
      <x:c r="A1108" s="24" t="str">
        <x:v>RD-681017403EB3</x:v>
      </x:c>
      <x:c r="B1108" s="24" t="str">
        <x:v>Rodenstock</x:v>
      </x:c>
      <x:c r="C1108" s="24" t="str">
        <x:v>Bifocal</x:v>
      </x:c>
      <x:c r="D1108" s="24" t="str">
        <x:v>Surfaçada</x:v>
      </x:c>
      <x:c r="E1108" s="24" t="str">
        <x:v>Smart Bifo</x:v>
      </x:c>
      <x:c r="F1108" s="24" t="str">
        <x:v>Polarizada</x:v>
      </x:c>
      <x:c r="G1108" s="24" t="str">
        <x:v>1.5</x:v>
      </x:c>
      <x:c r="H1108" s="24" t="str">
        <x:v>1.50</x:v>
      </x:c>
      <x:c r="I1108" s="24" t="str">
        <x:v>Solitaire 2 Protect Balance</x:v>
      </x:c>
      <x:c r="J1108" s="40" t="n">
        <x:v>5930</x:v>
      </x:c>
      <x:c r="K1108" s="24" t="str">
        <x:v>-8 a +8</x:v>
      </x:c>
      <x:c r="L1108" s="24" t="str">
        <x:v>até -4</x:v>
      </x:c>
      <x:c r="M1108" s="24"/>
      <x:c r="N1108" s="24" t="str">
        <x:v>75</x:v>
      </x:c>
      <x:c r="O1108" s="24"/>
      <x:c r="P1108" s="24"/>
      <x:c r="Q1108" s="24" t="str">
        <x:v>DISPONÍVEL</x:v>
      </x:c>
      <x:c r="R1108" s="24"/>
      <x:c r="S1108" s="24" t="n">
        <x:v>34</x:v>
      </x:c>
      <x:c r="T1108" s="24" t="str">
        <x:v>tabela_rodenstock.pdf</x:v>
      </x:c>
      <x:c r="U1108" s="24" t="str">
        <x:v>Rodenstock|Bifocal|Surfaçada|Smart Bifo|Polarizada|1.5|1.50|Solitaire 2 Protect Balance|-8 a +8|até -4||75|||34</x:v>
      </x:c>
    </x:row>
    <x:row r="1109">
      <x:c r="A1109" s="24" t="str">
        <x:v>RD-0B050426CBCA</x:v>
      </x:c>
      <x:c r="B1109" s="24" t="str">
        <x:v>Rodenstock</x:v>
      </x:c>
      <x:c r="C1109" s="24" t="str">
        <x:v>Bifocal</x:v>
      </x:c>
      <x:c r="D1109" s="24" t="str">
        <x:v>Surfaçada</x:v>
      </x:c>
      <x:c r="E1109" s="24" t="str">
        <x:v>Smart Bifo</x:v>
      </x:c>
      <x:c r="F1109" s="24" t="str">
        <x:v>Polarizada</x:v>
      </x:c>
      <x:c r="G1109" s="24" t="str">
        <x:v>1.5</x:v>
      </x:c>
      <x:c r="H1109" s="24" t="str">
        <x:v>1.50</x:v>
      </x:c>
      <x:c r="I1109" s="24" t="str">
        <x:v>Solitaire Protect Plus</x:v>
      </x:c>
      <x:c r="J1109" s="40" t="n">
        <x:v>5930</x:v>
      </x:c>
      <x:c r="K1109" s="24" t="str">
        <x:v>-8 a +8</x:v>
      </x:c>
      <x:c r="L1109" s="24" t="str">
        <x:v>até -4</x:v>
      </x:c>
      <x:c r="M1109" s="24"/>
      <x:c r="N1109" s="24" t="str">
        <x:v>75</x:v>
      </x:c>
      <x:c r="O1109" s="24"/>
      <x:c r="P1109" s="24"/>
      <x:c r="Q1109" s="24" t="str">
        <x:v>DISPONÍVEL</x:v>
      </x:c>
      <x:c r="R1109" s="24"/>
      <x:c r="S1109" s="24" t="n">
        <x:v>34</x:v>
      </x:c>
      <x:c r="T1109" s="24" t="str">
        <x:v>tabela_rodenstock.pdf</x:v>
      </x:c>
      <x:c r="U1109" s="24" t="str">
        <x:v>Rodenstock|Bifocal|Surfaçada|Smart Bifo|Polarizada|1.5|1.50|Solitaire Protect Plus|-8 a +8|até -4||75|||34</x:v>
      </x:c>
    </x:row>
    <x:row r="1110">
      <x:c r="A1110" s="24" t="str">
        <x:v>RD-E2F762102E2F</x:v>
      </x:c>
      <x:c r="B1110" s="24" t="str">
        <x:v>Rodenstock</x:v>
      </x:c>
      <x:c r="C1110" s="24" t="str">
        <x:v>Bifocal</x:v>
      </x:c>
      <x:c r="D1110" s="24" t="str">
        <x:v>Surfaçada</x:v>
      </x:c>
      <x:c r="E1110" s="24" t="str">
        <x:v>Smart Bifo</x:v>
      </x:c>
      <x:c r="F1110" s="24" t="str">
        <x:v>Polarizada</x:v>
      </x:c>
      <x:c r="G1110" s="24" t="str">
        <x:v>1.5</x:v>
      </x:c>
      <x:c r="H1110" s="24" t="str">
        <x:v>1.50</x:v>
      </x:c>
      <x:c r="I1110" s="24" t="str">
        <x:v>Solitaire Protect</x:v>
      </x:c>
      <x:c r="J1110" s="40" t="n">
        <x:v>5670</x:v>
      </x:c>
      <x:c r="K1110" s="24" t="str">
        <x:v>-8 a +8</x:v>
      </x:c>
      <x:c r="L1110" s="24" t="str">
        <x:v>até -4</x:v>
      </x:c>
      <x:c r="M1110" s="24"/>
      <x:c r="N1110" s="24" t="str">
        <x:v>75</x:v>
      </x:c>
      <x:c r="O1110" s="24"/>
      <x:c r="P1110" s="24"/>
      <x:c r="Q1110" s="24" t="str">
        <x:v>DISPONÍVEL</x:v>
      </x:c>
      <x:c r="R1110" s="24"/>
      <x:c r="S1110" s="24" t="n">
        <x:v>34</x:v>
      </x:c>
      <x:c r="T1110" s="24" t="str">
        <x:v>tabela_rodenstock.pdf</x:v>
      </x:c>
      <x:c r="U1110" s="24" t="str">
        <x:v>Rodenstock|Bifocal|Surfaçada|Smart Bifo|Polarizada|1.5|1.50|Solitaire Protect|-8 a +8|até -4||75|||34</x:v>
      </x:c>
    </x:row>
    <x:row r="1111">
      <x:c r="A1111" s="24" t="str">
        <x:v>RD-B87275F5F56A</x:v>
      </x:c>
      <x:c r="B1111" s="24" t="str">
        <x:v>Rodenstock</x:v>
      </x:c>
      <x:c r="C1111" s="24" t="str">
        <x:v>Bifocal</x:v>
      </x:c>
      <x:c r="D1111" s="24" t="str">
        <x:v>Surfaçada</x:v>
      </x:c>
      <x:c r="E1111" s="24" t="str">
        <x:v>Smart Bifo</x:v>
      </x:c>
      <x:c r="F1111" s="24" t="str">
        <x:v>Polarizada</x:v>
      </x:c>
      <x:c r="G1111" s="24" t="str">
        <x:v>1.5</x:v>
      </x:c>
      <x:c r="H1111" s="24" t="str">
        <x:v>1.50</x:v>
      </x:c>
      <x:c r="I1111" s="24" t="str">
        <x:v>Solitaire ECO 2</x:v>
      </x:c>
      <x:c r="J1111" s="40" t="n">
        <x:v>5190</x:v>
      </x:c>
      <x:c r="K1111" s="24" t="str">
        <x:v>-8 a +8</x:v>
      </x:c>
      <x:c r="L1111" s="24" t="str">
        <x:v>até -4</x:v>
      </x:c>
      <x:c r="M1111" s="24"/>
      <x:c r="N1111" s="24" t="str">
        <x:v>75</x:v>
      </x:c>
      <x:c r="O1111" s="24"/>
      <x:c r="P1111" s="24"/>
      <x:c r="Q1111" s="24" t="str">
        <x:v>DISPONÍVEL</x:v>
      </x:c>
      <x:c r="R1111" s="24"/>
      <x:c r="S1111" s="24" t="n">
        <x:v>34</x:v>
      </x:c>
      <x:c r="T1111" s="24" t="str">
        <x:v>tabela_rodenstock.pdf</x:v>
      </x:c>
      <x:c r="U1111" s="24" t="str">
        <x:v>Rodenstock|Bifocal|Surfaçada|Smart Bifo|Polarizada|1.5|1.50|Solitaire ECO 2|-8 a +8|até -4||75|||34</x:v>
      </x:c>
    </x:row>
    <x:row r="1112">
      <x:c r="A1112" s="24" t="str">
        <x:v>RD-F7B551619CA1</x:v>
      </x:c>
      <x:c r="B1112" s="24" t="str">
        <x:v>Rodenstock</x:v>
      </x:c>
      <x:c r="C1112" s="24" t="str">
        <x:v>Bifocal</x:v>
      </x:c>
      <x:c r="D1112" s="24" t="str">
        <x:v>Surfaçada</x:v>
      </x:c>
      <x:c r="E1112" s="24" t="str">
        <x:v>Smart Bifo</x:v>
      </x:c>
      <x:c r="F1112" s="24" t="str">
        <x:v>Polarizada</x:v>
      </x:c>
      <x:c r="G1112" s="24" t="str">
        <x:v>1.5</x:v>
      </x:c>
      <x:c r="H1112" s="24" t="str">
        <x:v>1.50</x:v>
      </x:c>
      <x:c r="I1112" s="24" t="str">
        <x:v>Sem AR</x:v>
      </x:c>
      <x:c r="J1112" s="40" t="n">
        <x:v>4800</x:v>
      </x:c>
      <x:c r="K1112" s="24" t="str">
        <x:v>-8 a +8</x:v>
      </x:c>
      <x:c r="L1112" s="24" t="str">
        <x:v>até -4</x:v>
      </x:c>
      <x:c r="M1112" s="24"/>
      <x:c r="N1112" s="24" t="str">
        <x:v>75</x:v>
      </x:c>
      <x:c r="O1112" s="24"/>
      <x:c r="P1112" s="24"/>
      <x:c r="Q1112" s="24" t="str">
        <x:v>DISPONÍVEL</x:v>
      </x:c>
      <x:c r="R1112" s="24"/>
      <x:c r="S1112" s="24" t="n">
        <x:v>34</x:v>
      </x:c>
      <x:c r="T1112" s="24" t="str">
        <x:v>tabela_rodenstock.pdf</x:v>
      </x:c>
      <x:c r="U1112" s="24" t="str">
        <x:v>Rodenstock|Bifocal|Surfaçada|Smart Bifo|Polarizada|1.5|1.50|Sem AR|-8 a +8|até -4||75|||34</x:v>
      </x:c>
    </x:row>
    <x:row r="1113">
      <x:c r="A1113" s="24" t="str">
        <x:v>RD-4EFD40FCBA11</x:v>
      </x:c>
      <x:c r="B1113" s="24" t="str">
        <x:v>Rodenstock</x:v>
      </x:c>
      <x:c r="C1113" s="24" t="str">
        <x:v>Bifocal</x:v>
      </x:c>
      <x:c r="D1113" s="24" t="str">
        <x:v>Surfaçada</x:v>
      </x:c>
      <x:c r="E1113" s="24" t="str">
        <x:v>Smart Bifo</x:v>
      </x:c>
      <x:c r="F1113" s="24" t="str">
        <x:v>ColorMatic® 3</x:v>
      </x:c>
      <x:c r="G1113" s="24" t="str">
        <x:v>1.54</x:v>
      </x:c>
      <x:c r="H1113" s="24" t="str">
        <x:v>1.54</x:v>
      </x:c>
      <x:c r="I1113" s="24" t="str">
        <x:v>Solitaire X-tra Clean</x:v>
      </x:c>
      <x:c r="J1113" s="40" t="n">
        <x:v>5700</x:v>
      </x:c>
      <x:c r="K1113" s="24" t="str">
        <x:v>-10 a +8</x:v>
      </x:c>
      <x:c r="L1113" s="24" t="str">
        <x:v>até -4</x:v>
      </x:c>
      <x:c r="M1113" s="24"/>
      <x:c r="N1113" s="24" t="str">
        <x:v>75</x:v>
      </x:c>
      <x:c r="O1113" s="24"/>
      <x:c r="P1113" s="24"/>
      <x:c r="Q1113" s="24" t="str">
        <x:v>DISPONÍVEL</x:v>
      </x:c>
      <x:c r="R1113" s="24"/>
      <x:c r="S1113" s="24" t="n">
        <x:v>34</x:v>
      </x:c>
      <x:c r="T1113" s="24" t="str">
        <x:v>tabela_rodenstock.pdf</x:v>
      </x:c>
      <x:c r="U1113" s="24" t="str">
        <x:v>Rodenstock|Bifocal|Surfaçada|Smart Bifo|ColorMatic® 3|1.54|1.54|Solitaire X-tra Clean|-10 a +8|até -4||75|||34</x:v>
      </x:c>
    </x:row>
    <x:row r="1114">
      <x:c r="A1114" s="24" t="str">
        <x:v>RD-76DBEE64571D</x:v>
      </x:c>
      <x:c r="B1114" s="24" t="str">
        <x:v>Rodenstock</x:v>
      </x:c>
      <x:c r="C1114" s="24" t="str">
        <x:v>Bifocal</x:v>
      </x:c>
      <x:c r="D1114" s="24" t="str">
        <x:v>Surfaçada</x:v>
      </x:c>
      <x:c r="E1114" s="24" t="str">
        <x:v>Smart Bifo</x:v>
      </x:c>
      <x:c r="F1114" s="24" t="str">
        <x:v>ColorMatic® 3</x:v>
      </x:c>
      <x:c r="G1114" s="24" t="str">
        <x:v>1.54</x:v>
      </x:c>
      <x:c r="H1114" s="24" t="str">
        <x:v>1.54</x:v>
      </x:c>
      <x:c r="I1114" s="24" t="str">
        <x:v>Solitaire 2 Protect Balance</x:v>
      </x:c>
      <x:c r="J1114" s="40" t="n">
        <x:v>5650</x:v>
      </x:c>
      <x:c r="K1114" s="24" t="str">
        <x:v>-10 a +8</x:v>
      </x:c>
      <x:c r="L1114" s="24" t="str">
        <x:v>até -4</x:v>
      </x:c>
      <x:c r="M1114" s="24"/>
      <x:c r="N1114" s="24" t="str">
        <x:v>75</x:v>
      </x:c>
      <x:c r="O1114" s="24"/>
      <x:c r="P1114" s="24"/>
      <x:c r="Q1114" s="24" t="str">
        <x:v>DISPONÍVEL</x:v>
      </x:c>
      <x:c r="R1114" s="24"/>
      <x:c r="S1114" s="24" t="n">
        <x:v>34</x:v>
      </x:c>
      <x:c r="T1114" s="24" t="str">
        <x:v>tabela_rodenstock.pdf</x:v>
      </x:c>
      <x:c r="U1114" s="24" t="str">
        <x:v>Rodenstock|Bifocal|Surfaçada|Smart Bifo|ColorMatic® 3|1.54|1.54|Solitaire 2 Protect Balance|-10 a +8|até -4||75|||34</x:v>
      </x:c>
    </x:row>
    <x:row r="1115">
      <x:c r="A1115" s="24" t="str">
        <x:v>RD-72B419767B3E</x:v>
      </x:c>
      <x:c r="B1115" s="24" t="str">
        <x:v>Rodenstock</x:v>
      </x:c>
      <x:c r="C1115" s="24" t="str">
        <x:v>Bifocal</x:v>
      </x:c>
      <x:c r="D1115" s="24" t="str">
        <x:v>Surfaçada</x:v>
      </x:c>
      <x:c r="E1115" s="24" t="str">
        <x:v>Smart Bifo</x:v>
      </x:c>
      <x:c r="F1115" s="24" t="str">
        <x:v>ColorMatic® 3</x:v>
      </x:c>
      <x:c r="G1115" s="24" t="str">
        <x:v>1.54</x:v>
      </x:c>
      <x:c r="H1115" s="24" t="str">
        <x:v>1.54</x:v>
      </x:c>
      <x:c r="I1115" s="24" t="str">
        <x:v>Solitaire Protect Plus</x:v>
      </x:c>
      <x:c r="J1115" s="40" t="n">
        <x:v>5650</x:v>
      </x:c>
      <x:c r="K1115" s="24" t="str">
        <x:v>-10 a +8</x:v>
      </x:c>
      <x:c r="L1115" s="24" t="str">
        <x:v>até -4</x:v>
      </x:c>
      <x:c r="M1115" s="24"/>
      <x:c r="N1115" s="24" t="str">
        <x:v>75</x:v>
      </x:c>
      <x:c r="O1115" s="24"/>
      <x:c r="P1115" s="24"/>
      <x:c r="Q1115" s="24" t="str">
        <x:v>DISPONÍVEL</x:v>
      </x:c>
      <x:c r="R1115" s="24"/>
      <x:c r="S1115" s="24" t="n">
        <x:v>34</x:v>
      </x:c>
      <x:c r="T1115" s="24" t="str">
        <x:v>tabela_rodenstock.pdf</x:v>
      </x:c>
      <x:c r="U1115" s="24" t="str">
        <x:v>Rodenstock|Bifocal|Surfaçada|Smart Bifo|ColorMatic® 3|1.54|1.54|Solitaire Protect Plus|-10 a +8|até -4||75|||34</x:v>
      </x:c>
    </x:row>
    <x:row r="1116">
      <x:c r="A1116" s="24" t="str">
        <x:v>RD-62945182C682</x:v>
      </x:c>
      <x:c r="B1116" s="24" t="str">
        <x:v>Rodenstock</x:v>
      </x:c>
      <x:c r="C1116" s="24" t="str">
        <x:v>Bifocal</x:v>
      </x:c>
      <x:c r="D1116" s="24" t="str">
        <x:v>Surfaçada</x:v>
      </x:c>
      <x:c r="E1116" s="24" t="str">
        <x:v>Smart Bifo</x:v>
      </x:c>
      <x:c r="F1116" s="24" t="str">
        <x:v>ColorMatic® 3</x:v>
      </x:c>
      <x:c r="G1116" s="24" t="str">
        <x:v>1.54</x:v>
      </x:c>
      <x:c r="H1116" s="24" t="str">
        <x:v>1.54</x:v>
      </x:c>
      <x:c r="I1116" s="24" t="str">
        <x:v>Solitaire Protect</x:v>
      </x:c>
      <x:c r="J1116" s="40" t="n">
        <x:v>5390</x:v>
      </x:c>
      <x:c r="K1116" s="24" t="str">
        <x:v>-10 a +8</x:v>
      </x:c>
      <x:c r="L1116" s="24" t="str">
        <x:v>até -4</x:v>
      </x:c>
      <x:c r="M1116" s="24"/>
      <x:c r="N1116" s="24" t="str">
        <x:v>75</x:v>
      </x:c>
      <x:c r="O1116" s="24"/>
      <x:c r="P1116" s="24"/>
      <x:c r="Q1116" s="24" t="str">
        <x:v>DISPONÍVEL</x:v>
      </x:c>
      <x:c r="R1116" s="24"/>
      <x:c r="S1116" s="24" t="n">
        <x:v>34</x:v>
      </x:c>
      <x:c r="T1116" s="24" t="str">
        <x:v>tabela_rodenstock.pdf</x:v>
      </x:c>
      <x:c r="U1116" s="24" t="str">
        <x:v>Rodenstock|Bifocal|Surfaçada|Smart Bifo|ColorMatic® 3|1.54|1.54|Solitaire Protect|-10 a +8|até -4||75|||34</x:v>
      </x:c>
    </x:row>
    <x:row r="1117">
      <x:c r="A1117" s="24" t="str">
        <x:v>RD-CB97E3C313F0</x:v>
      </x:c>
      <x:c r="B1117" s="24" t="str">
        <x:v>Rodenstock</x:v>
      </x:c>
      <x:c r="C1117" s="24" t="str">
        <x:v>Bifocal</x:v>
      </x:c>
      <x:c r="D1117" s="24" t="str">
        <x:v>Surfaçada</x:v>
      </x:c>
      <x:c r="E1117" s="24" t="str">
        <x:v>Smart Bifo</x:v>
      </x:c>
      <x:c r="F1117" s="24" t="str">
        <x:v>ColorMatic® 3</x:v>
      </x:c>
      <x:c r="G1117" s="24" t="str">
        <x:v>1.54</x:v>
      </x:c>
      <x:c r="H1117" s="24" t="str">
        <x:v>1.54</x:v>
      </x:c>
      <x:c r="I1117" s="24" t="str">
        <x:v>Solitaire ECO 2</x:v>
      </x:c>
      <x:c r="J1117" s="40" t="n">
        <x:v>4910</x:v>
      </x:c>
      <x:c r="K1117" s="24" t="str">
        <x:v>-10 a +8</x:v>
      </x:c>
      <x:c r="L1117" s="24" t="str">
        <x:v>até -4</x:v>
      </x:c>
      <x:c r="M1117" s="24"/>
      <x:c r="N1117" s="24" t="str">
        <x:v>75</x:v>
      </x:c>
      <x:c r="O1117" s="24"/>
      <x:c r="P1117" s="24"/>
      <x:c r="Q1117" s="24" t="str">
        <x:v>DISPONÍVEL</x:v>
      </x:c>
      <x:c r="R1117" s="24"/>
      <x:c r="S1117" s="24" t="n">
        <x:v>34</x:v>
      </x:c>
      <x:c r="T1117" s="24" t="str">
        <x:v>tabela_rodenstock.pdf</x:v>
      </x:c>
      <x:c r="U1117" s="24" t="str">
        <x:v>Rodenstock|Bifocal|Surfaçada|Smart Bifo|ColorMatic® 3|1.54|1.54|Solitaire ECO 2|-10 a +8|até -4||75|||34</x:v>
      </x:c>
    </x:row>
    <x:row r="1118">
      <x:c r="A1118" s="24" t="str">
        <x:v>RD-6AB04D34465D</x:v>
      </x:c>
      <x:c r="B1118" s="24" t="str">
        <x:v>Rodenstock</x:v>
      </x:c>
      <x:c r="C1118" s="24" t="str">
        <x:v>Bifocal</x:v>
      </x:c>
      <x:c r="D1118" s="24" t="str">
        <x:v>Surfaçada</x:v>
      </x:c>
      <x:c r="E1118" s="24" t="str">
        <x:v>Smart Bifo</x:v>
      </x:c>
      <x:c r="F1118" s="24" t="str">
        <x:v>ColorMatic® 3</x:v>
      </x:c>
      <x:c r="G1118" s="24" t="str">
        <x:v>1.54</x:v>
      </x:c>
      <x:c r="H1118" s="24" t="str">
        <x:v>1.54</x:v>
      </x:c>
      <x:c r="I1118" s="24" t="str">
        <x:v>Sem AR</x:v>
      </x:c>
      <x:c r="J1118" s="40" t="n">
        <x:v>4520</x:v>
      </x:c>
      <x:c r="K1118" s="24" t="str">
        <x:v>-10 a +8</x:v>
      </x:c>
      <x:c r="L1118" s="24" t="str">
        <x:v>até -4</x:v>
      </x:c>
      <x:c r="M1118" s="24"/>
      <x:c r="N1118" s="24" t="str">
        <x:v>75</x:v>
      </x:c>
      <x:c r="O1118" s="24"/>
      <x:c r="P1118" s="24"/>
      <x:c r="Q1118" s="24" t="str">
        <x:v>DISPONÍVEL</x:v>
      </x:c>
      <x:c r="R1118" s="24"/>
      <x:c r="S1118" s="24" t="n">
        <x:v>34</x:v>
      </x:c>
      <x:c r="T1118" s="24" t="str">
        <x:v>tabela_rodenstock.pdf</x:v>
      </x:c>
      <x:c r="U1118" s="24" t="str">
        <x:v>Rodenstock|Bifocal|Surfaçada|Smart Bifo|ColorMatic® 3|1.54|1.54|Sem AR|-10 a +8|até -4||75|||34</x:v>
      </x:c>
    </x:row>
    <x:row r="1119">
      <x:c r="A1119" s="24" t="str">
        <x:v>RD-473CC2BDE94D</x:v>
      </x:c>
      <x:c r="B1119" s="24" t="str">
        <x:v>Rodenstock</x:v>
      </x:c>
      <x:c r="C1119" s="24" t="str">
        <x:v>Bifocal</x:v>
      </x:c>
      <x:c r="D1119" s="24" t="str">
        <x:v>Surfaçada</x:v>
      </x:c>
      <x:c r="E1119" s="24" t="str">
        <x:v>Smart Bifo</x:v>
      </x:c>
      <x:c r="F1119" s="24"/>
      <x:c r="G1119" s="24" t="str">
        <x:v>1.6</x:v>
      </x:c>
      <x:c r="H1119" s="24" t="str">
        <x:v>1.60</x:v>
      </x:c>
      <x:c r="I1119" s="24" t="str">
        <x:v>Solitaire X-tra Clean</x:v>
      </x:c>
      <x:c r="J1119" s="40" t="n">
        <x:v>3180</x:v>
      </x:c>
      <x:c r="K1119" s="24" t="str">
        <x:v>-10 a +8</x:v>
      </x:c>
      <x:c r="L1119" s="24" t="str">
        <x:v>até -4</x:v>
      </x:c>
      <x:c r="M1119" s="24"/>
      <x:c r="N1119" s="24" t="str">
        <x:v>75</x:v>
      </x:c>
      <x:c r="O1119" s="24"/>
      <x:c r="P1119" s="24"/>
      <x:c r="Q1119" s="24" t="str">
        <x:v>DISPONÍVEL</x:v>
      </x:c>
      <x:c r="R1119" s="24"/>
      <x:c r="S1119" s="24" t="n">
        <x:v>34</x:v>
      </x:c>
      <x:c r="T1119" s="24" t="str">
        <x:v>tabela_rodenstock.pdf</x:v>
      </x:c>
      <x:c r="U1119" s="24" t="str">
        <x:v>Rodenstock|Bifocal|Surfaçada|Smart Bifo||1.6|1.60|Solitaire X-tra Clean|-10 a +8|até -4||75|||34</x:v>
      </x:c>
    </x:row>
    <x:row r="1120">
      <x:c r="A1120" s="24" t="str">
        <x:v>RD-E4FBFE2E0132</x:v>
      </x:c>
      <x:c r="B1120" s="24" t="str">
        <x:v>Rodenstock</x:v>
      </x:c>
      <x:c r="C1120" s="24" t="str">
        <x:v>Bifocal</x:v>
      </x:c>
      <x:c r="D1120" s="24" t="str">
        <x:v>Surfaçada</x:v>
      </x:c>
      <x:c r="E1120" s="24" t="str">
        <x:v>Smart Bifo</x:v>
      </x:c>
      <x:c r="F1120" s="24"/>
      <x:c r="G1120" s="24" t="str">
        <x:v>1.6</x:v>
      </x:c>
      <x:c r="H1120" s="24" t="str">
        <x:v>1.60</x:v>
      </x:c>
      <x:c r="I1120" s="24" t="str">
        <x:v>Solitaire 2 Protect Balance</x:v>
      </x:c>
      <x:c r="J1120" s="40" t="n">
        <x:v>3130</x:v>
      </x:c>
      <x:c r="K1120" s="24" t="str">
        <x:v>-10 a +8</x:v>
      </x:c>
      <x:c r="L1120" s="24" t="str">
        <x:v>até -4</x:v>
      </x:c>
      <x:c r="M1120" s="24"/>
      <x:c r="N1120" s="24" t="str">
        <x:v>75</x:v>
      </x:c>
      <x:c r="O1120" s="24"/>
      <x:c r="P1120" s="24"/>
      <x:c r="Q1120" s="24" t="str">
        <x:v>DISPONÍVEL</x:v>
      </x:c>
      <x:c r="R1120" s="24"/>
      <x:c r="S1120" s="24" t="n">
        <x:v>34</x:v>
      </x:c>
      <x:c r="T1120" s="24" t="str">
        <x:v>tabela_rodenstock.pdf</x:v>
      </x:c>
      <x:c r="U1120" s="24" t="str">
        <x:v>Rodenstock|Bifocal|Surfaçada|Smart Bifo||1.6|1.60|Solitaire 2 Protect Balance|-10 a +8|até -4||75|||34</x:v>
      </x:c>
    </x:row>
    <x:row r="1121">
      <x:c r="A1121" s="24" t="str">
        <x:v>RD-BB8E931A82BA</x:v>
      </x:c>
      <x:c r="B1121" s="24" t="str">
        <x:v>Rodenstock</x:v>
      </x:c>
      <x:c r="C1121" s="24" t="str">
        <x:v>Bifocal</x:v>
      </x:c>
      <x:c r="D1121" s="24" t="str">
        <x:v>Surfaçada</x:v>
      </x:c>
      <x:c r="E1121" s="24" t="str">
        <x:v>Smart Bifo</x:v>
      </x:c>
      <x:c r="F1121" s="24"/>
      <x:c r="G1121" s="24" t="str">
        <x:v>1.6</x:v>
      </x:c>
      <x:c r="H1121" s="24" t="str">
        <x:v>1.60</x:v>
      </x:c>
      <x:c r="I1121" s="24" t="str">
        <x:v>Solitaire Protect Plus</x:v>
      </x:c>
      <x:c r="J1121" s="40" t="n">
        <x:v>3130</x:v>
      </x:c>
      <x:c r="K1121" s="24" t="str">
        <x:v>-10 a +8</x:v>
      </x:c>
      <x:c r="L1121" s="24" t="str">
        <x:v>até -4</x:v>
      </x:c>
      <x:c r="M1121" s="24"/>
      <x:c r="N1121" s="24" t="str">
        <x:v>75</x:v>
      </x:c>
      <x:c r="O1121" s="24"/>
      <x:c r="P1121" s="24"/>
      <x:c r="Q1121" s="24" t="str">
        <x:v>DISPONÍVEL</x:v>
      </x:c>
      <x:c r="R1121" s="24"/>
      <x:c r="S1121" s="24" t="n">
        <x:v>34</x:v>
      </x:c>
      <x:c r="T1121" s="24" t="str">
        <x:v>tabela_rodenstock.pdf</x:v>
      </x:c>
      <x:c r="U1121" s="24" t="str">
        <x:v>Rodenstock|Bifocal|Surfaçada|Smart Bifo||1.6|1.60|Solitaire Protect Plus|-10 a +8|até -4||75|||34</x:v>
      </x:c>
    </x:row>
    <x:row r="1122">
      <x:c r="A1122" s="24" t="str">
        <x:v>RD-E4A2B1D8AF2F</x:v>
      </x:c>
      <x:c r="B1122" s="24" t="str">
        <x:v>Rodenstock</x:v>
      </x:c>
      <x:c r="C1122" s="24" t="str">
        <x:v>Bifocal</x:v>
      </x:c>
      <x:c r="D1122" s="24" t="str">
        <x:v>Surfaçada</x:v>
      </x:c>
      <x:c r="E1122" s="24" t="str">
        <x:v>Smart Bifo</x:v>
      </x:c>
      <x:c r="F1122" s="24"/>
      <x:c r="G1122" s="24" t="str">
        <x:v>1.6</x:v>
      </x:c>
      <x:c r="H1122" s="24" t="str">
        <x:v>1.60</x:v>
      </x:c>
      <x:c r="I1122" s="24" t="str">
        <x:v>Solitaire Protect</x:v>
      </x:c>
      <x:c r="J1122" s="40" t="n">
        <x:v>2870</x:v>
      </x:c>
      <x:c r="K1122" s="24" t="str">
        <x:v>-10 a +8</x:v>
      </x:c>
      <x:c r="L1122" s="24" t="str">
        <x:v>até -4</x:v>
      </x:c>
      <x:c r="M1122" s="24"/>
      <x:c r="N1122" s="24" t="str">
        <x:v>75</x:v>
      </x:c>
      <x:c r="O1122" s="24"/>
      <x:c r="P1122" s="24"/>
      <x:c r="Q1122" s="24" t="str">
        <x:v>DISPONÍVEL</x:v>
      </x:c>
      <x:c r="R1122" s="24"/>
      <x:c r="S1122" s="24" t="n">
        <x:v>34</x:v>
      </x:c>
      <x:c r="T1122" s="24" t="str">
        <x:v>tabela_rodenstock.pdf</x:v>
      </x:c>
      <x:c r="U1122" s="24" t="str">
        <x:v>Rodenstock|Bifocal|Surfaçada|Smart Bifo||1.6|1.60|Solitaire Protect|-10 a +8|até -4||75|||34</x:v>
      </x:c>
    </x:row>
    <x:row r="1123">
      <x:c r="A1123" s="24" t="str">
        <x:v>RD-78C2CFD362E7</x:v>
      </x:c>
      <x:c r="B1123" s="24" t="str">
        <x:v>Rodenstock</x:v>
      </x:c>
      <x:c r="C1123" s="24" t="str">
        <x:v>Bifocal</x:v>
      </x:c>
      <x:c r="D1123" s="24" t="str">
        <x:v>Surfaçada</x:v>
      </x:c>
      <x:c r="E1123" s="24" t="str">
        <x:v>Smart Bifo</x:v>
      </x:c>
      <x:c r="F1123" s="24"/>
      <x:c r="G1123" s="24" t="str">
        <x:v>1.6</x:v>
      </x:c>
      <x:c r="H1123" s="24" t="str">
        <x:v>1.60</x:v>
      </x:c>
      <x:c r="I1123" s="24" t="str">
        <x:v>Solitaire ECO 2</x:v>
      </x:c>
      <x:c r="J1123" s="40" t="n">
        <x:v>2390</x:v>
      </x:c>
      <x:c r="K1123" s="24" t="str">
        <x:v>-10 a +8</x:v>
      </x:c>
      <x:c r="L1123" s="24" t="str">
        <x:v>até -4</x:v>
      </x:c>
      <x:c r="M1123" s="24"/>
      <x:c r="N1123" s="24" t="str">
        <x:v>75</x:v>
      </x:c>
      <x:c r="O1123" s="24"/>
      <x:c r="P1123" s="24"/>
      <x:c r="Q1123" s="24" t="str">
        <x:v>DISPONÍVEL</x:v>
      </x:c>
      <x:c r="R1123" s="24"/>
      <x:c r="S1123" s="24" t="n">
        <x:v>34</x:v>
      </x:c>
      <x:c r="T1123" s="24" t="str">
        <x:v>tabela_rodenstock.pdf</x:v>
      </x:c>
      <x:c r="U1123" s="24" t="str">
        <x:v>Rodenstock|Bifocal|Surfaçada|Smart Bifo||1.6|1.60|Solitaire ECO 2|-10 a +8|até -4||75|||34</x:v>
      </x:c>
    </x:row>
    <x:row r="1124">
      <x:c r="A1124" s="24" t="str">
        <x:v>RD-DAFE27B6A2C4</x:v>
      </x:c>
      <x:c r="B1124" s="24" t="str">
        <x:v>Rodenstock</x:v>
      </x:c>
      <x:c r="C1124" s="24" t="str">
        <x:v>Bifocal</x:v>
      </x:c>
      <x:c r="D1124" s="24" t="str">
        <x:v>Surfaçada</x:v>
      </x:c>
      <x:c r="E1124" s="24" t="str">
        <x:v>Smart Bifo</x:v>
      </x:c>
      <x:c r="F1124" s="24" t="str">
        <x:v>ColorMatic® 3</x:v>
      </x:c>
      <x:c r="G1124" s="24" t="str">
        <x:v>1.6</x:v>
      </x:c>
      <x:c r="H1124" s="24" t="str">
        <x:v>1.60</x:v>
      </x:c>
      <x:c r="I1124" s="24" t="str">
        <x:v>Solitaire X-tra Clean</x:v>
      </x:c>
      <x:c r="J1124" s="40" t="n">
        <x:v>6780</x:v>
      </x:c>
      <x:c r="K1124" s="24" t="str">
        <x:v>-10 a +8</x:v>
      </x:c>
      <x:c r="L1124" s="24" t="str">
        <x:v>até -4</x:v>
      </x:c>
      <x:c r="M1124" s="24"/>
      <x:c r="N1124" s="24" t="str">
        <x:v>75</x:v>
      </x:c>
      <x:c r="O1124" s="24"/>
      <x:c r="P1124" s="24"/>
      <x:c r="Q1124" s="24" t="str">
        <x:v>DISPONÍVEL</x:v>
      </x:c>
      <x:c r="R1124" s="24"/>
      <x:c r="S1124" s="24" t="n">
        <x:v>34</x:v>
      </x:c>
      <x:c r="T1124" s="24" t="str">
        <x:v>tabela_rodenstock.pdf</x:v>
      </x:c>
      <x:c r="U1124" s="24" t="str">
        <x:v>Rodenstock|Bifocal|Surfaçada|Smart Bifo|ColorMatic® 3|1.6|1.60|Solitaire X-tra Clean|-10 a +8|até -4||75|||34</x:v>
      </x:c>
    </x:row>
    <x:row r="1125">
      <x:c r="A1125" s="24" t="str">
        <x:v>RD-B5C5C2D84D5F</x:v>
      </x:c>
      <x:c r="B1125" s="24" t="str">
        <x:v>Rodenstock</x:v>
      </x:c>
      <x:c r="C1125" s="24" t="str">
        <x:v>Bifocal</x:v>
      </x:c>
      <x:c r="D1125" s="24" t="str">
        <x:v>Surfaçada</x:v>
      </x:c>
      <x:c r="E1125" s="24" t="str">
        <x:v>Smart Bifo</x:v>
      </x:c>
      <x:c r="F1125" s="24" t="str">
        <x:v>ColorMatic® 3</x:v>
      </x:c>
      <x:c r="G1125" s="24" t="str">
        <x:v>1.6</x:v>
      </x:c>
      <x:c r="H1125" s="24" t="str">
        <x:v>1.60</x:v>
      </x:c>
      <x:c r="I1125" s="24" t="str">
        <x:v>Solitaire 2 Protect Balance</x:v>
      </x:c>
      <x:c r="J1125" s="40" t="n">
        <x:v>6730</x:v>
      </x:c>
      <x:c r="K1125" s="24" t="str">
        <x:v>-10 a +8</x:v>
      </x:c>
      <x:c r="L1125" s="24" t="str">
        <x:v>até -4</x:v>
      </x:c>
      <x:c r="M1125" s="24"/>
      <x:c r="N1125" s="24" t="str">
        <x:v>75</x:v>
      </x:c>
      <x:c r="O1125" s="24"/>
      <x:c r="P1125" s="24"/>
      <x:c r="Q1125" s="24" t="str">
        <x:v>DISPONÍVEL</x:v>
      </x:c>
      <x:c r="R1125" s="24"/>
      <x:c r="S1125" s="24" t="n">
        <x:v>34</x:v>
      </x:c>
      <x:c r="T1125" s="24" t="str">
        <x:v>tabela_rodenstock.pdf</x:v>
      </x:c>
      <x:c r="U1125" s="24" t="str">
        <x:v>Rodenstock|Bifocal|Surfaçada|Smart Bifo|ColorMatic® 3|1.6|1.60|Solitaire 2 Protect Balance|-10 a +8|até -4||75|||34</x:v>
      </x:c>
    </x:row>
    <x:row r="1126">
      <x:c r="A1126" s="24" t="str">
        <x:v>RD-017435157EDB</x:v>
      </x:c>
      <x:c r="B1126" s="24" t="str">
        <x:v>Rodenstock</x:v>
      </x:c>
      <x:c r="C1126" s="24" t="str">
        <x:v>Bifocal</x:v>
      </x:c>
      <x:c r="D1126" s="24" t="str">
        <x:v>Surfaçada</x:v>
      </x:c>
      <x:c r="E1126" s="24" t="str">
        <x:v>Smart Bifo</x:v>
      </x:c>
      <x:c r="F1126" s="24" t="str">
        <x:v>ColorMatic® 3</x:v>
      </x:c>
      <x:c r="G1126" s="24" t="str">
        <x:v>1.6</x:v>
      </x:c>
      <x:c r="H1126" s="24" t="str">
        <x:v>1.60</x:v>
      </x:c>
      <x:c r="I1126" s="24" t="str">
        <x:v>Solitaire Protect Plus</x:v>
      </x:c>
      <x:c r="J1126" s="40" t="n">
        <x:v>6730</x:v>
      </x:c>
      <x:c r="K1126" s="24" t="str">
        <x:v>-10 a +8</x:v>
      </x:c>
      <x:c r="L1126" s="24" t="str">
        <x:v>até -4</x:v>
      </x:c>
      <x:c r="M1126" s="24"/>
      <x:c r="N1126" s="24" t="str">
        <x:v>75</x:v>
      </x:c>
      <x:c r="O1126" s="24"/>
      <x:c r="P1126" s="24"/>
      <x:c r="Q1126" s="24" t="str">
        <x:v>DISPONÍVEL</x:v>
      </x:c>
      <x:c r="R1126" s="24"/>
      <x:c r="S1126" s="24" t="n">
        <x:v>34</x:v>
      </x:c>
      <x:c r="T1126" s="24" t="str">
        <x:v>tabela_rodenstock.pdf</x:v>
      </x:c>
      <x:c r="U1126" s="24" t="str">
        <x:v>Rodenstock|Bifocal|Surfaçada|Smart Bifo|ColorMatic® 3|1.6|1.60|Solitaire Protect Plus|-10 a +8|até -4||75|||34</x:v>
      </x:c>
    </x:row>
    <x:row r="1127">
      <x:c r="A1127" s="24" t="str">
        <x:v>RD-597E7110C929</x:v>
      </x:c>
      <x:c r="B1127" s="24" t="str">
        <x:v>Rodenstock</x:v>
      </x:c>
      <x:c r="C1127" s="24" t="str">
        <x:v>Bifocal</x:v>
      </x:c>
      <x:c r="D1127" s="24" t="str">
        <x:v>Surfaçada</x:v>
      </x:c>
      <x:c r="E1127" s="24" t="str">
        <x:v>Smart Bifo</x:v>
      </x:c>
      <x:c r="F1127" s="24" t="str">
        <x:v>ColorMatic® 3</x:v>
      </x:c>
      <x:c r="G1127" s="24" t="str">
        <x:v>1.6</x:v>
      </x:c>
      <x:c r="H1127" s="24" t="str">
        <x:v>1.60</x:v>
      </x:c>
      <x:c r="I1127" s="24" t="str">
        <x:v>Solitaire Protect</x:v>
      </x:c>
      <x:c r="J1127" s="40" t="n">
        <x:v>6470</x:v>
      </x:c>
      <x:c r="K1127" s="24" t="str">
        <x:v>-10 a +8</x:v>
      </x:c>
      <x:c r="L1127" s="24" t="str">
        <x:v>até -4</x:v>
      </x:c>
      <x:c r="M1127" s="24"/>
      <x:c r="N1127" s="24" t="str">
        <x:v>75</x:v>
      </x:c>
      <x:c r="O1127" s="24"/>
      <x:c r="P1127" s="24"/>
      <x:c r="Q1127" s="24" t="str">
        <x:v>DISPONÍVEL</x:v>
      </x:c>
      <x:c r="R1127" s="24"/>
      <x:c r="S1127" s="24" t="n">
        <x:v>34</x:v>
      </x:c>
      <x:c r="T1127" s="24" t="str">
        <x:v>tabela_rodenstock.pdf</x:v>
      </x:c>
      <x:c r="U1127" s="24" t="str">
        <x:v>Rodenstock|Bifocal|Surfaçada|Smart Bifo|ColorMatic® 3|1.6|1.60|Solitaire Protect|-10 a +8|até -4||75|||34</x:v>
      </x:c>
    </x:row>
    <x:row r="1128">
      <x:c r="A1128" s="24" t="str">
        <x:v>RD-A8648CCBC1B4</x:v>
      </x:c>
      <x:c r="B1128" s="24" t="str">
        <x:v>Rodenstock</x:v>
      </x:c>
      <x:c r="C1128" s="24" t="str">
        <x:v>Bifocal</x:v>
      </x:c>
      <x:c r="D1128" s="24" t="str">
        <x:v>Surfaçada</x:v>
      </x:c>
      <x:c r="E1128" s="24" t="str">
        <x:v>Smart Bifo</x:v>
      </x:c>
      <x:c r="F1128" s="24" t="str">
        <x:v>ColorMatic® 3</x:v>
      </x:c>
      <x:c r="G1128" s="24" t="str">
        <x:v>1.6</x:v>
      </x:c>
      <x:c r="H1128" s="24" t="str">
        <x:v>1.60</x:v>
      </x:c>
      <x:c r="I1128" s="24" t="str">
        <x:v>Solitaire ECO 2</x:v>
      </x:c>
      <x:c r="J1128" s="40" t="n">
        <x:v>5990</x:v>
      </x:c>
      <x:c r="K1128" s="24" t="str">
        <x:v>-10 a +8</x:v>
      </x:c>
      <x:c r="L1128" s="24" t="str">
        <x:v>até -4</x:v>
      </x:c>
      <x:c r="M1128" s="24"/>
      <x:c r="N1128" s="24" t="str">
        <x:v>75</x:v>
      </x:c>
      <x:c r="O1128" s="24"/>
      <x:c r="P1128" s="24"/>
      <x:c r="Q1128" s="24" t="str">
        <x:v>DISPONÍVEL</x:v>
      </x:c>
      <x:c r="R1128" s="24"/>
      <x:c r="S1128" s="24" t="n">
        <x:v>34</x:v>
      </x:c>
      <x:c r="T1128" s="24" t="str">
        <x:v>tabela_rodenstock.pdf</x:v>
      </x:c>
      <x:c r="U1128" s="24" t="str">
        <x:v>Rodenstock|Bifocal|Surfaçada|Smart Bifo|ColorMatic® 3|1.6|1.60|Solitaire ECO 2|-10 a +8|até -4||75|||34</x:v>
      </x:c>
    </x:row>
    <x:row r="1129">
      <x:c r="A1129" s="24" t="str">
        <x:v>RD-4188A7C7EB5B</x:v>
      </x:c>
      <x:c r="B1129" s="24" t="str">
        <x:v>Rodenstock</x:v>
      </x:c>
      <x:c r="C1129" s="24" t="str">
        <x:v>Bifocal</x:v>
      </x:c>
      <x:c r="D1129" s="24" t="str">
        <x:v>Surfaçada</x:v>
      </x:c>
      <x:c r="E1129" s="24" t="str">
        <x:v>Smart Bifo</x:v>
      </x:c>
      <x:c r="F1129" s="24"/>
      <x:c r="G1129" s="24" t="str">
        <x:v>1.67</x:v>
      </x:c>
      <x:c r="H1129" s="24" t="str">
        <x:v>1.67</x:v>
      </x:c>
      <x:c r="I1129" s="24" t="str">
        <x:v>Solitaire X-tra Clean</x:v>
      </x:c>
      <x:c r="J1129" s="40" t="n">
        <x:v>5980</x:v>
      </x:c>
      <x:c r="K1129" s="24" t="str">
        <x:v>-10 a +10</x:v>
      </x:c>
      <x:c r="L1129" s="24" t="str">
        <x:v>até -6</x:v>
      </x:c>
      <x:c r="M1129" s="24"/>
      <x:c r="N1129" s="24" t="str">
        <x:v>75</x:v>
      </x:c>
      <x:c r="O1129" s="24"/>
      <x:c r="P1129" s="24"/>
      <x:c r="Q1129" s="24" t="str">
        <x:v>DISPONÍVEL</x:v>
      </x:c>
      <x:c r="R1129" s="24"/>
      <x:c r="S1129" s="24" t="n">
        <x:v>34</x:v>
      </x:c>
      <x:c r="T1129" s="24" t="str">
        <x:v>tabela_rodenstock.pdf</x:v>
      </x:c>
      <x:c r="U1129" s="24" t="str">
        <x:v>Rodenstock|Bifocal|Surfaçada|Smart Bifo||1.67|1.67|Solitaire X-tra Clean|-10 a +10|até -6||75|||34</x:v>
      </x:c>
    </x:row>
    <x:row r="1130">
      <x:c r="A1130" s="24" t="str">
        <x:v>RD-DFA672CF42FE</x:v>
      </x:c>
      <x:c r="B1130" s="24" t="str">
        <x:v>Rodenstock</x:v>
      </x:c>
      <x:c r="C1130" s="24" t="str">
        <x:v>Bifocal</x:v>
      </x:c>
      <x:c r="D1130" s="24" t="str">
        <x:v>Surfaçada</x:v>
      </x:c>
      <x:c r="E1130" s="24" t="str">
        <x:v>Smart Bifo</x:v>
      </x:c>
      <x:c r="F1130" s="24"/>
      <x:c r="G1130" s="24" t="str">
        <x:v>1.67</x:v>
      </x:c>
      <x:c r="H1130" s="24" t="str">
        <x:v>1.67</x:v>
      </x:c>
      <x:c r="I1130" s="24" t="str">
        <x:v>Solitaire 2 Protect Balance</x:v>
      </x:c>
      <x:c r="J1130" s="40" t="n">
        <x:v>5930</x:v>
      </x:c>
      <x:c r="K1130" s="24" t="str">
        <x:v>-10 a +10</x:v>
      </x:c>
      <x:c r="L1130" s="24" t="str">
        <x:v>até -6</x:v>
      </x:c>
      <x:c r="M1130" s="24"/>
      <x:c r="N1130" s="24" t="str">
        <x:v>75</x:v>
      </x:c>
      <x:c r="O1130" s="24"/>
      <x:c r="P1130" s="24"/>
      <x:c r="Q1130" s="24" t="str">
        <x:v>DISPONÍVEL</x:v>
      </x:c>
      <x:c r="R1130" s="24"/>
      <x:c r="S1130" s="24" t="n">
        <x:v>34</x:v>
      </x:c>
      <x:c r="T1130" s="24" t="str">
        <x:v>tabela_rodenstock.pdf</x:v>
      </x:c>
      <x:c r="U1130" s="24" t="str">
        <x:v>Rodenstock|Bifocal|Surfaçada|Smart Bifo||1.67|1.67|Solitaire 2 Protect Balance|-10 a +10|até -6||75|||34</x:v>
      </x:c>
    </x:row>
    <x:row r="1131">
      <x:c r="A1131" s="24" t="str">
        <x:v>RD-EFA521F40E61</x:v>
      </x:c>
      <x:c r="B1131" s="24" t="str">
        <x:v>Rodenstock</x:v>
      </x:c>
      <x:c r="C1131" s="24" t="str">
        <x:v>Bifocal</x:v>
      </x:c>
      <x:c r="D1131" s="24" t="str">
        <x:v>Surfaçada</x:v>
      </x:c>
      <x:c r="E1131" s="24" t="str">
        <x:v>Smart Bifo</x:v>
      </x:c>
      <x:c r="F1131" s="24"/>
      <x:c r="G1131" s="24" t="str">
        <x:v>1.67</x:v>
      </x:c>
      <x:c r="H1131" s="24" t="str">
        <x:v>1.67</x:v>
      </x:c>
      <x:c r="I1131" s="24" t="str">
        <x:v>Solitaire Protect Plus</x:v>
      </x:c>
      <x:c r="J1131" s="40" t="n">
        <x:v>5930</x:v>
      </x:c>
      <x:c r="K1131" s="24" t="str">
        <x:v>-10 a +10</x:v>
      </x:c>
      <x:c r="L1131" s="24" t="str">
        <x:v>até -6</x:v>
      </x:c>
      <x:c r="M1131" s="24"/>
      <x:c r="N1131" s="24" t="str">
        <x:v>75</x:v>
      </x:c>
      <x:c r="O1131" s="24"/>
      <x:c r="P1131" s="24"/>
      <x:c r="Q1131" s="24" t="str">
        <x:v>DISPONÍVEL</x:v>
      </x:c>
      <x:c r="R1131" s="24"/>
      <x:c r="S1131" s="24" t="n">
        <x:v>34</x:v>
      </x:c>
      <x:c r="T1131" s="24" t="str">
        <x:v>tabela_rodenstock.pdf</x:v>
      </x:c>
      <x:c r="U1131" s="24" t="str">
        <x:v>Rodenstock|Bifocal|Surfaçada|Smart Bifo||1.67|1.67|Solitaire Protect Plus|-10 a +10|até -6||75|||34</x:v>
      </x:c>
    </x:row>
    <x:row r="1132">
      <x:c r="A1132" s="24" t="str">
        <x:v>RD-A5056A4DFFD4</x:v>
      </x:c>
      <x:c r="B1132" s="24" t="str">
        <x:v>Rodenstock</x:v>
      </x:c>
      <x:c r="C1132" s="24" t="str">
        <x:v>Bifocal</x:v>
      </x:c>
      <x:c r="D1132" s="24" t="str">
        <x:v>Surfaçada</x:v>
      </x:c>
      <x:c r="E1132" s="24" t="str">
        <x:v>Smart Bifo</x:v>
      </x:c>
      <x:c r="F1132" s="24"/>
      <x:c r="G1132" s="24" t="str">
        <x:v>1.67</x:v>
      </x:c>
      <x:c r="H1132" s="24" t="str">
        <x:v>1.67</x:v>
      </x:c>
      <x:c r="I1132" s="24" t="str">
        <x:v>Solitaire Protect</x:v>
      </x:c>
      <x:c r="J1132" s="40" t="n">
        <x:v>5670</x:v>
      </x:c>
      <x:c r="K1132" s="24" t="str">
        <x:v>-10 a +10</x:v>
      </x:c>
      <x:c r="L1132" s="24" t="str">
        <x:v>até -6</x:v>
      </x:c>
      <x:c r="M1132" s="24"/>
      <x:c r="N1132" s="24" t="str">
        <x:v>75</x:v>
      </x:c>
      <x:c r="O1132" s="24"/>
      <x:c r="P1132" s="24"/>
      <x:c r="Q1132" s="24" t="str">
        <x:v>DISPONÍVEL</x:v>
      </x:c>
      <x:c r="R1132" s="24"/>
      <x:c r="S1132" s="24" t="n">
        <x:v>34</x:v>
      </x:c>
      <x:c r="T1132" s="24" t="str">
        <x:v>tabela_rodenstock.pdf</x:v>
      </x:c>
      <x:c r="U1132" s="24" t="str">
        <x:v>Rodenstock|Bifocal|Surfaçada|Smart Bifo||1.67|1.67|Solitaire Protect|-10 a +10|até -6||75|||34</x:v>
      </x:c>
    </x:row>
    <x:row r="1133">
      <x:c r="A1133" s="24" t="str">
        <x:v>RD-C2CA6821E362</x:v>
      </x:c>
      <x:c r="B1133" s="24" t="str">
        <x:v>Rodenstock</x:v>
      </x:c>
      <x:c r="C1133" s="24" t="str">
        <x:v>Bifocal</x:v>
      </x:c>
      <x:c r="D1133" s="24" t="str">
        <x:v>Surfaçada</x:v>
      </x:c>
      <x:c r="E1133" s="24" t="str">
        <x:v>Smart Bifo</x:v>
      </x:c>
      <x:c r="F1133" s="24"/>
      <x:c r="G1133" s="24" t="str">
        <x:v>1.67</x:v>
      </x:c>
      <x:c r="H1133" s="24" t="str">
        <x:v>1.67</x:v>
      </x:c>
      <x:c r="I1133" s="24" t="str">
        <x:v>Solitaire ECO 2</x:v>
      </x:c>
      <x:c r="J1133" s="40" t="n">
        <x:v>5190</x:v>
      </x:c>
      <x:c r="K1133" s="24" t="str">
        <x:v>-10 a +10</x:v>
      </x:c>
      <x:c r="L1133" s="24" t="str">
        <x:v>até -6</x:v>
      </x:c>
      <x:c r="M1133" s="24"/>
      <x:c r="N1133" s="24" t="str">
        <x:v>75</x:v>
      </x:c>
      <x:c r="O1133" s="24"/>
      <x:c r="P1133" s="24"/>
      <x:c r="Q1133" s="24" t="str">
        <x:v>DISPONÍVEL</x:v>
      </x:c>
      <x:c r="R1133" s="24"/>
      <x:c r="S1133" s="24" t="n">
        <x:v>34</x:v>
      </x:c>
      <x:c r="T1133" s="24" t="str">
        <x:v>tabela_rodenstock.pdf</x:v>
      </x:c>
      <x:c r="U1133" s="24" t="str">
        <x:v>Rodenstock|Bifocal|Surfaçada|Smart Bifo||1.67|1.67|Solitaire ECO 2|-10 a +10|até -6||75|||34</x:v>
      </x:c>
    </x:row>
    <x:row r="1134">
      <x:c r="A1134" s="24" t="str">
        <x:v>RD-8DBD34774A82</x:v>
      </x:c>
      <x:c r="B1134" s="24" t="str">
        <x:v>Rodenstock</x:v>
      </x:c>
      <x:c r="C1134" s="24" t="str">
        <x:v>Bifocal</x:v>
      </x:c>
      <x:c r="D1134" s="24" t="str">
        <x:v>Surfaçada</x:v>
      </x:c>
      <x:c r="E1134" s="24" t="str">
        <x:v>Smart Bifo</x:v>
      </x:c>
      <x:c r="F1134" s="24" t="str">
        <x:v>ColorMatic® 3</x:v>
      </x:c>
      <x:c r="G1134" s="24" t="str">
        <x:v>1.67</x:v>
      </x:c>
      <x:c r="H1134" s="24" t="str">
        <x:v>1.67</x:v>
      </x:c>
      <x:c r="I1134" s="24" t="str">
        <x:v>Solitaire X-tra Clean</x:v>
      </x:c>
      <x:c r="J1134" s="40" t="n">
        <x:v>7580</x:v>
      </x:c>
      <x:c r="K1134" s="24" t="str">
        <x:v>-10 a +10</x:v>
      </x:c>
      <x:c r="L1134" s="24" t="str">
        <x:v>até -6</x:v>
      </x:c>
      <x:c r="M1134" s="24"/>
      <x:c r="N1134" s="24" t="str">
        <x:v>75</x:v>
      </x:c>
      <x:c r="O1134" s="24"/>
      <x:c r="P1134" s="24"/>
      <x:c r="Q1134" s="24" t="str">
        <x:v>DISPONÍVEL</x:v>
      </x:c>
      <x:c r="R1134" s="24"/>
      <x:c r="S1134" s="24" t="n">
        <x:v>34</x:v>
      </x:c>
      <x:c r="T1134" s="24" t="str">
        <x:v>tabela_rodenstock.pdf</x:v>
      </x:c>
      <x:c r="U1134" s="24" t="str">
        <x:v>Rodenstock|Bifocal|Surfaçada|Smart Bifo|ColorMatic® 3|1.67|1.67|Solitaire X-tra Clean|-10 a +10|até -6||75|||34</x:v>
      </x:c>
    </x:row>
    <x:row r="1135">
      <x:c r="A1135" s="24" t="str">
        <x:v>RD-2E22E84CA8BF</x:v>
      </x:c>
      <x:c r="B1135" s="24" t="str">
        <x:v>Rodenstock</x:v>
      </x:c>
      <x:c r="C1135" s="24" t="str">
        <x:v>Bifocal</x:v>
      </x:c>
      <x:c r="D1135" s="24" t="str">
        <x:v>Surfaçada</x:v>
      </x:c>
      <x:c r="E1135" s="24" t="str">
        <x:v>Smart Bifo</x:v>
      </x:c>
      <x:c r="F1135" s="24" t="str">
        <x:v>ColorMatic® 3</x:v>
      </x:c>
      <x:c r="G1135" s="24" t="str">
        <x:v>1.67</x:v>
      </x:c>
      <x:c r="H1135" s="24" t="str">
        <x:v>1.67</x:v>
      </x:c>
      <x:c r="I1135" s="24" t="str">
        <x:v>Solitaire 2 Protect Balance</x:v>
      </x:c>
      <x:c r="J1135" s="40" t="n">
        <x:v>7530</x:v>
      </x:c>
      <x:c r="K1135" s="24" t="str">
        <x:v>-10 a +10</x:v>
      </x:c>
      <x:c r="L1135" s="24" t="str">
        <x:v>até -6</x:v>
      </x:c>
      <x:c r="M1135" s="24"/>
      <x:c r="N1135" s="24" t="str">
        <x:v>75</x:v>
      </x:c>
      <x:c r="O1135" s="24"/>
      <x:c r="P1135" s="24"/>
      <x:c r="Q1135" s="24" t="str">
        <x:v>DISPONÍVEL</x:v>
      </x:c>
      <x:c r="R1135" s="24"/>
      <x:c r="S1135" s="24" t="n">
        <x:v>34</x:v>
      </x:c>
      <x:c r="T1135" s="24" t="str">
        <x:v>tabela_rodenstock.pdf</x:v>
      </x:c>
      <x:c r="U1135" s="24" t="str">
        <x:v>Rodenstock|Bifocal|Surfaçada|Smart Bifo|ColorMatic® 3|1.67|1.67|Solitaire 2 Protect Balance|-10 a +10|até -6||75|||34</x:v>
      </x:c>
    </x:row>
    <x:row r="1136">
      <x:c r="A1136" s="24" t="str">
        <x:v>RD-6463DE27E61C</x:v>
      </x:c>
      <x:c r="B1136" s="24" t="str">
        <x:v>Rodenstock</x:v>
      </x:c>
      <x:c r="C1136" s="24" t="str">
        <x:v>Bifocal</x:v>
      </x:c>
      <x:c r="D1136" s="24" t="str">
        <x:v>Surfaçada</x:v>
      </x:c>
      <x:c r="E1136" s="24" t="str">
        <x:v>Smart Bifo</x:v>
      </x:c>
      <x:c r="F1136" s="24" t="str">
        <x:v>ColorMatic® 3</x:v>
      </x:c>
      <x:c r="G1136" s="24" t="str">
        <x:v>1.67</x:v>
      </x:c>
      <x:c r="H1136" s="24" t="str">
        <x:v>1.67</x:v>
      </x:c>
      <x:c r="I1136" s="24" t="str">
        <x:v>Solitaire Protect Plus</x:v>
      </x:c>
      <x:c r="J1136" s="40" t="n">
        <x:v>7530</x:v>
      </x:c>
      <x:c r="K1136" s="24" t="str">
        <x:v>-10 a +10</x:v>
      </x:c>
      <x:c r="L1136" s="24" t="str">
        <x:v>até -6</x:v>
      </x:c>
      <x:c r="M1136" s="24"/>
      <x:c r="N1136" s="24" t="str">
        <x:v>75</x:v>
      </x:c>
      <x:c r="O1136" s="24"/>
      <x:c r="P1136" s="24"/>
      <x:c r="Q1136" s="24" t="str">
        <x:v>DISPONÍVEL</x:v>
      </x:c>
      <x:c r="R1136" s="24"/>
      <x:c r="S1136" s="24" t="n">
        <x:v>34</x:v>
      </x:c>
      <x:c r="T1136" s="24" t="str">
        <x:v>tabela_rodenstock.pdf</x:v>
      </x:c>
      <x:c r="U1136" s="24" t="str">
        <x:v>Rodenstock|Bifocal|Surfaçada|Smart Bifo|ColorMatic® 3|1.67|1.67|Solitaire Protect Plus|-10 a +10|até -6||75|||34</x:v>
      </x:c>
    </x:row>
    <x:row r="1137">
      <x:c r="A1137" s="24" t="str">
        <x:v>RD-9A07D65FD750</x:v>
      </x:c>
      <x:c r="B1137" s="24" t="str">
        <x:v>Rodenstock</x:v>
      </x:c>
      <x:c r="C1137" s="24" t="str">
        <x:v>Bifocal</x:v>
      </x:c>
      <x:c r="D1137" s="24" t="str">
        <x:v>Surfaçada</x:v>
      </x:c>
      <x:c r="E1137" s="24" t="str">
        <x:v>Smart Bifo</x:v>
      </x:c>
      <x:c r="F1137" s="24" t="str">
        <x:v>ColorMatic® 3</x:v>
      </x:c>
      <x:c r="G1137" s="24" t="str">
        <x:v>1.67</x:v>
      </x:c>
      <x:c r="H1137" s="24" t="str">
        <x:v>1.67</x:v>
      </x:c>
      <x:c r="I1137" s="24" t="str">
        <x:v>Solitaire Protect</x:v>
      </x:c>
      <x:c r="J1137" s="40" t="n">
        <x:v>7270</x:v>
      </x:c>
      <x:c r="K1137" s="24" t="str">
        <x:v>-10 a +10</x:v>
      </x:c>
      <x:c r="L1137" s="24" t="str">
        <x:v>até -6</x:v>
      </x:c>
      <x:c r="M1137" s="24"/>
      <x:c r="N1137" s="24" t="str">
        <x:v>75</x:v>
      </x:c>
      <x:c r="O1137" s="24"/>
      <x:c r="P1137" s="24"/>
      <x:c r="Q1137" s="24" t="str">
        <x:v>DISPONÍVEL</x:v>
      </x:c>
      <x:c r="R1137" s="24"/>
      <x:c r="S1137" s="24" t="n">
        <x:v>34</x:v>
      </x:c>
      <x:c r="T1137" s="24" t="str">
        <x:v>tabela_rodenstock.pdf</x:v>
      </x:c>
      <x:c r="U1137" s="24" t="str">
        <x:v>Rodenstock|Bifocal|Surfaçada|Smart Bifo|ColorMatic® 3|1.67|1.67|Solitaire Protect|-10 a +10|até -6||75|||34</x:v>
      </x:c>
    </x:row>
    <x:row r="1138">
      <x:c r="A1138" s="24" t="str">
        <x:v>RD-13C127D76770</x:v>
      </x:c>
      <x:c r="B1138" s="24" t="str">
        <x:v>Rodenstock</x:v>
      </x:c>
      <x:c r="C1138" s="24" t="str">
        <x:v>Bifocal</x:v>
      </x:c>
      <x:c r="D1138" s="24" t="str">
        <x:v>Surfaçada</x:v>
      </x:c>
      <x:c r="E1138" s="24" t="str">
        <x:v>Smart Bifo</x:v>
      </x:c>
      <x:c r="F1138" s="24" t="str">
        <x:v>ColorMatic® 3</x:v>
      </x:c>
      <x:c r="G1138" s="24" t="str">
        <x:v>1.67</x:v>
      </x:c>
      <x:c r="H1138" s="24" t="str">
        <x:v>1.67</x:v>
      </x:c>
      <x:c r="I1138" s="24" t="str">
        <x:v>Solitaire ECO 2</x:v>
      </x:c>
      <x:c r="J1138" s="40" t="n">
        <x:v>6790</x:v>
      </x:c>
      <x:c r="K1138" s="24" t="str">
        <x:v>-10 a +10</x:v>
      </x:c>
      <x:c r="L1138" s="24" t="str">
        <x:v>até -6</x:v>
      </x:c>
      <x:c r="M1138" s="24"/>
      <x:c r="N1138" s="24" t="str">
        <x:v>75</x:v>
      </x:c>
      <x:c r="O1138" s="24"/>
      <x:c r="P1138" s="24"/>
      <x:c r="Q1138" s="24" t="str">
        <x:v>DISPONÍVEL</x:v>
      </x:c>
      <x:c r="R1138" s="24"/>
      <x:c r="S1138" s="24" t="n">
        <x:v>34</x:v>
      </x:c>
      <x:c r="T1138" s="24" t="str">
        <x:v>tabela_rodenstock.pdf</x:v>
      </x:c>
      <x:c r="U1138" s="24" t="str">
        <x:v>Rodenstock|Bifocal|Surfaçada|Smart Bifo|ColorMatic® 3|1.67|1.67|Solitaire ECO 2|-10 a +10|até -6||75|||34</x:v>
      </x:c>
    </x:row>
    <x:row r="1139">
      <x:c r="A1139" s="24" t="str">
        <x:v>RD-FB4CB6BEC474</x:v>
      </x:c>
      <x:c r="B1139" s="24" t="str">
        <x:v>Rodenstock</x:v>
      </x:c>
      <x:c r="C1139" s="24" t="str">
        <x:v>Monofocal Acabada</x:v>
      </x:c>
      <x:c r="D1139" s="24" t="str">
        <x:v>Pronta</x:v>
      </x:c>
      <x:c r="E1139" s="24" t="str">
        <x:v>Perfalit</x:v>
      </x:c>
      <x:c r="F1139" s="24"/>
      <x:c r="G1139" s="24" t="str">
        <x:v>Perfalit</x:v>
      </x:c>
      <x:c r="H1139" s="24" t="str">
        <x:v>1.50</x:v>
      </x:c>
      <x:c r="I1139" s="24" t="str">
        <x:v>Solitaire 2 Protect Balance</x:v>
      </x:c>
      <x:c r="J1139" s="40" t="n">
        <x:v>636</x:v>
      </x:c>
      <x:c r="K1139" s="24" t="str">
        <x:v>-4 a +4</x:v>
      </x:c>
      <x:c r="L1139" s="24" t="str">
        <x:v>até -2</x:v>
      </x:c>
      <x:c r="M1139" s="24"/>
      <x:c r="N1139" s="24" t="str">
        <x:v>65/70</x:v>
      </x:c>
      <x:c r="O1139" s="24"/>
      <x:c r="P1139" s="24"/>
      <x:c r="Q1139" s="24" t="str">
        <x:v>DISPONÍVEL</x:v>
      </x:c>
      <x:c r="R1139" s="24"/>
      <x:c r="S1139" s="24" t="n">
        <x:v>23</x:v>
      </x:c>
      <x:c r="T1139" s="24" t="str">
        <x:v>tabela_rodenstock.pdf</x:v>
      </x:c>
      <x:c r="U1139" s="24" t="str">
        <x:v>Rodenstock|Monofocal Acabada|Pronta|Perfalit||Perfalit|1.50|Solitaire 2 Protect Balance|-4 a +4|até -2||65/70|||23</x:v>
      </x:c>
    </x:row>
    <x:row r="1140">
      <x:c r="A1140" s="24" t="str">
        <x:v>RD-B61C04B50053</x:v>
      </x:c>
      <x:c r="B1140" s="24" t="str">
        <x:v>Rodenstock</x:v>
      </x:c>
      <x:c r="C1140" s="24" t="str">
        <x:v>Monofocal Acabada</x:v>
      </x:c>
      <x:c r="D1140" s="24" t="str">
        <x:v>Pronta</x:v>
      </x:c>
      <x:c r="E1140" s="24" t="str">
        <x:v>Perfalit</x:v>
      </x:c>
      <x:c r="F1140" s="24"/>
      <x:c r="G1140" s="24" t="str">
        <x:v>Perfalit</x:v>
      </x:c>
      <x:c r="H1140" s="24" t="str">
        <x:v>1.60</x:v>
      </x:c>
      <x:c r="I1140" s="24" t="str">
        <x:v>Solitaire 2 Protect Balance</x:v>
      </x:c>
      <x:c r="J1140" s="40" t="n">
        <x:v>1076</x:v>
      </x:c>
      <x:c r="K1140" s="24" t="str">
        <x:v>-6 a +6</x:v>
      </x:c>
      <x:c r="L1140" s="24" t="str">
        <x:v>até -2</x:v>
      </x:c>
      <x:c r="M1140" s="24"/>
      <x:c r="N1140" s="24" t="str">
        <x:v>65/70</x:v>
      </x:c>
      <x:c r="O1140" s="24"/>
      <x:c r="P1140" s="24"/>
      <x:c r="Q1140" s="24" t="str">
        <x:v>DISPONÍVEL</x:v>
      </x:c>
      <x:c r="R1140" s="24"/>
      <x:c r="S1140" s="24" t="n">
        <x:v>23</x:v>
      </x:c>
      <x:c r="T1140" s="24" t="str">
        <x:v>tabela_rodenstock.pdf</x:v>
      </x:c>
      <x:c r="U1140" s="24" t="str">
        <x:v>Rodenstock|Monofocal Acabada|Pronta|Perfalit||Perfalit|1.60|Solitaire 2 Protect Balance|-6 a +6|até -2||65/70|||23</x:v>
      </x:c>
    </x:row>
    <x:row r="1141">
      <x:c r="A1141" s="24" t="str">
        <x:v>RD-52FB8AE328C2</x:v>
      </x:c>
      <x:c r="B1141" s="24" t="str">
        <x:v>Rodenstock</x:v>
      </x:c>
      <x:c r="C1141" s="24" t="str">
        <x:v>Progressiva B.I.G. NORM</x:v>
      </x:c>
      <x:c r="D1141" s="24" t="str">
        <x:v>Surfaçada</x:v>
      </x:c>
      <x:c r="E1141" s="24" t="str">
        <x:v>Impression B.I.G. NORM</x:v>
      </x:c>
      <x:c r="F1141" s="24"/>
      <x:c r="G1141" s="24" t="str">
        <x:v>1.5</x:v>
      </x:c>
      <x:c r="H1141" s="24" t="str">
        <x:v>1.50</x:v>
      </x:c>
      <x:c r="I1141" s="24" t="str">
        <x:v>LayR X-tra Clean</x:v>
      </x:c>
      <x:c r="J1141" s="40" t="n">
        <x:v>10901</x:v>
      </x:c>
      <x:c r="K1141" s="24" t="str">
        <x:v>-8 a +8</x:v>
      </x:c>
      <x:c r="L1141" s="24" t="str">
        <x:v>até -6</x:v>
      </x:c>
      <x:c r="M1141" s="24"/>
      <x:c r="N1141" s="24" t="str">
        <x:v>75/80</x:v>
      </x:c>
      <x:c r="O1141" s="24"/>
      <x:c r="P1141" s="24"/>
      <x:c r="Q1141" s="24" t="str">
        <x:v>DISPONÍVEL</x:v>
      </x:c>
      <x:c r="R1141" s="24"/>
      <x:c r="S1141" s="24" t="n">
        <x:v>11</x:v>
      </x:c>
      <x:c r="T1141" s="24" t="str">
        <x:v>tabela_rodenstock.pdf</x:v>
      </x:c>
      <x:c r="U1141" s="24" t="str">
        <x:v>Rodenstock|Progressiva B.I.G. NORM|Surfaçada|Impression B.I.G. NORM||1.5|1.50|LayR X-tra Clean|-8 a +8|até -6||75/80|||11</x:v>
      </x:c>
    </x:row>
    <x:row r="1142">
      <x:c r="A1142" s="24" t="str">
        <x:v>RD-4E94A0284AAB</x:v>
      </x:c>
      <x:c r="B1142" s="24" t="str">
        <x:v>Rodenstock</x:v>
      </x:c>
      <x:c r="C1142" s="24" t="str">
        <x:v>Progressiva B.I.G. NORM</x:v>
      </x:c>
      <x:c r="D1142" s="24" t="str">
        <x:v>Surfaçada</x:v>
      </x:c>
      <x:c r="E1142" s="24" t="str">
        <x:v>Impression B.I.G. NORM</x:v>
      </x:c>
      <x:c r="F1142" s="24"/>
      <x:c r="G1142" s="24" t="str">
        <x:v>1.5</x:v>
      </x:c>
      <x:c r="H1142" s="24" t="str">
        <x:v>1.50</x:v>
      </x:c>
      <x:c r="I1142" s="24" t="str">
        <x:v>LayR Balance</x:v>
      </x:c>
      <x:c r="J1142" s="40" t="n">
        <x:v>10901</x:v>
      </x:c>
      <x:c r="K1142" s="24" t="str">
        <x:v>-8 a +8</x:v>
      </x:c>
      <x:c r="L1142" s="24" t="str">
        <x:v>até -6</x:v>
      </x:c>
      <x:c r="M1142" s="24"/>
      <x:c r="N1142" s="24" t="str">
        <x:v>75/80</x:v>
      </x:c>
      <x:c r="O1142" s="24"/>
      <x:c r="P1142" s="24"/>
      <x:c r="Q1142" s="24" t="str">
        <x:v>DISPONÍVEL</x:v>
      </x:c>
      <x:c r="R1142" s="24"/>
      <x:c r="S1142" s="24" t="n">
        <x:v>11</x:v>
      </x:c>
      <x:c r="T1142" s="24" t="str">
        <x:v>tabela_rodenstock.pdf</x:v>
      </x:c>
      <x:c r="U1142" s="24" t="str">
        <x:v>Rodenstock|Progressiva B.I.G. NORM|Surfaçada|Impression B.I.G. NORM||1.5|1.50|LayR Balance|-8 a +8|até -6||75/80|||11</x:v>
      </x:c>
    </x:row>
    <x:row r="1143">
      <x:c r="A1143" s="24" t="str">
        <x:v>RD-71F6B179329D</x:v>
      </x:c>
      <x:c r="B1143" s="24" t="str">
        <x:v>Rodenstock</x:v>
      </x:c>
      <x:c r="C1143" s="24" t="str">
        <x:v>Progressiva B.I.G. NORM</x:v>
      </x:c>
      <x:c r="D1143" s="24" t="str">
        <x:v>Surfaçada</x:v>
      </x:c>
      <x:c r="E1143" s="24" t="str">
        <x:v>Impression B.I.G. NORM</x:v>
      </x:c>
      <x:c r="F1143" s="24"/>
      <x:c r="G1143" s="24" t="str">
        <x:v>1.5</x:v>
      </x:c>
      <x:c r="H1143" s="24" t="str">
        <x:v>1.50</x:v>
      </x:c>
      <x:c r="I1143" s="24" t="str">
        <x:v>Solitaire X-tra Clean</x:v>
      </x:c>
      <x:c r="J1143" s="40" t="n">
        <x:v>10831</x:v>
      </x:c>
      <x:c r="K1143" s="24" t="str">
        <x:v>-8 a +8</x:v>
      </x:c>
      <x:c r="L1143" s="24" t="str">
        <x:v>até -6</x:v>
      </x:c>
      <x:c r="M1143" s="24"/>
      <x:c r="N1143" s="24" t="str">
        <x:v>75/80</x:v>
      </x:c>
      <x:c r="O1143" s="24"/>
      <x:c r="P1143" s="24"/>
      <x:c r="Q1143" s="24" t="str">
        <x:v>DISPONÍVEL</x:v>
      </x:c>
      <x:c r="R1143" s="24"/>
      <x:c r="S1143" s="24" t="n">
        <x:v>11</x:v>
      </x:c>
      <x:c r="T1143" s="24" t="str">
        <x:v>tabela_rodenstock.pdf</x:v>
      </x:c>
      <x:c r="U1143" s="24" t="str">
        <x:v>Rodenstock|Progressiva B.I.G. NORM|Surfaçada|Impression B.I.G. NORM||1.5|1.50|Solitaire X-tra Clean|-8 a +8|até -6||75/80|||11</x:v>
      </x:c>
    </x:row>
    <x:row r="1144">
      <x:c r="A1144" s="24" t="str">
        <x:v>RD-7FC1B226586D</x:v>
      </x:c>
      <x:c r="B1144" s="24" t="str">
        <x:v>Rodenstock</x:v>
      </x:c>
      <x:c r="C1144" s="24" t="str">
        <x:v>Progressiva B.I.G. NORM</x:v>
      </x:c>
      <x:c r="D1144" s="24" t="str">
        <x:v>Surfaçada</x:v>
      </x:c>
      <x:c r="E1144" s="24" t="str">
        <x:v>Impression B.I.G. NORM</x:v>
      </x:c>
      <x:c r="F1144" s="24"/>
      <x:c r="G1144" s="24" t="str">
        <x:v>1.5</x:v>
      </x:c>
      <x:c r="H1144" s="24" t="str">
        <x:v>1.50</x:v>
      </x:c>
      <x:c r="I1144" s="24" t="str">
        <x:v>Solitaire Protect Plus</x:v>
      </x:c>
      <x:c r="J1144" s="40" t="n">
        <x:v>10781</x:v>
      </x:c>
      <x:c r="K1144" s="24" t="str">
        <x:v>-8 a +8</x:v>
      </x:c>
      <x:c r="L1144" s="24" t="str">
        <x:v>até -6</x:v>
      </x:c>
      <x:c r="M1144" s="24"/>
      <x:c r="N1144" s="24" t="str">
        <x:v>75/80</x:v>
      </x:c>
      <x:c r="O1144" s="24"/>
      <x:c r="P1144" s="24"/>
      <x:c r="Q1144" s="24" t="str">
        <x:v>DISPONÍVEL</x:v>
      </x:c>
      <x:c r="R1144" s="24"/>
      <x:c r="S1144" s="24" t="n">
        <x:v>11</x:v>
      </x:c>
      <x:c r="T1144" s="24" t="str">
        <x:v>tabela_rodenstock.pdf</x:v>
      </x:c>
      <x:c r="U1144" s="24" t="str">
        <x:v>Rodenstock|Progressiva B.I.G. NORM|Surfaçada|Impression B.I.G. NORM||1.5|1.50|Solitaire Protect Plus|-8 a +8|até -6||75/80|||11</x:v>
      </x:c>
    </x:row>
    <x:row r="1145">
      <x:c r="A1145" s="24" t="str">
        <x:v>RD-F30CA69C6E4A</x:v>
      </x:c>
      <x:c r="B1145" s="24" t="str">
        <x:v>Rodenstock</x:v>
      </x:c>
      <x:c r="C1145" s="24" t="str">
        <x:v>Progressiva B.I.G. NORM</x:v>
      </x:c>
      <x:c r="D1145" s="24" t="str">
        <x:v>Surfaçada</x:v>
      </x:c>
      <x:c r="E1145" s="24" t="str">
        <x:v>Impression B.I.G. NORM</x:v>
      </x:c>
      <x:c r="F1145" s="24"/>
      <x:c r="G1145" s="24" t="str">
        <x:v>1.5</x:v>
      </x:c>
      <x:c r="H1145" s="24" t="str">
        <x:v>1.50</x:v>
      </x:c>
      <x:c r="I1145" s="24" t="str">
        <x:v>ROAD</x:v>
      </x:c>
      <x:c r="J1145" s="40" t="n">
        <x:v>10781</x:v>
      </x:c>
      <x:c r="K1145" s="24" t="str">
        <x:v>-8 a +8</x:v>
      </x:c>
      <x:c r="L1145" s="24" t="str">
        <x:v>até -6</x:v>
      </x:c>
      <x:c r="M1145" s="24"/>
      <x:c r="N1145" s="24" t="str">
        <x:v>75/80</x:v>
      </x:c>
      <x:c r="O1145" s="24"/>
      <x:c r="P1145" s="24"/>
      <x:c r="Q1145" s="24" t="str">
        <x:v>DISPONÍVEL</x:v>
      </x:c>
      <x:c r="R1145" s="24"/>
      <x:c r="S1145" s="24" t="n">
        <x:v>11</x:v>
      </x:c>
      <x:c r="T1145" s="24" t="str">
        <x:v>tabela_rodenstock.pdf</x:v>
      </x:c>
      <x:c r="U1145" s="24" t="str">
        <x:v>Rodenstock|Progressiva B.I.G. NORM|Surfaçada|Impression B.I.G. NORM||1.5|1.50|ROAD|-8 a +8|até -6||75/80|||11</x:v>
      </x:c>
    </x:row>
    <x:row r="1146">
      <x:c r="A1146" s="24" t="str">
        <x:v>RD-51321A0D8BEE</x:v>
      </x:c>
      <x:c r="B1146" s="24" t="str">
        <x:v>Rodenstock</x:v>
      </x:c>
      <x:c r="C1146" s="24" t="str">
        <x:v>Progressiva B.I.G. NORM</x:v>
      </x:c>
      <x:c r="D1146" s="24" t="str">
        <x:v>Surfaçada</x:v>
      </x:c>
      <x:c r="E1146" s="24" t="str">
        <x:v>Impression B.I.G. NORM</x:v>
      </x:c>
      <x:c r="F1146" s="24"/>
      <x:c r="G1146" s="24" t="str">
        <x:v>1.5</x:v>
      </x:c>
      <x:c r="H1146" s="24" t="str">
        <x:v>1.50</x:v>
      </x:c>
      <x:c r="I1146" s="24" t="str">
        <x:v>Solitaire Protect</x:v>
      </x:c>
      <x:c r="J1146" s="40" t="n">
        <x:v>10521</x:v>
      </x:c>
      <x:c r="K1146" s="24" t="str">
        <x:v>-8 a +8</x:v>
      </x:c>
      <x:c r="L1146" s="24" t="str">
        <x:v>até -6</x:v>
      </x:c>
      <x:c r="M1146" s="24"/>
      <x:c r="N1146" s="24" t="str">
        <x:v>75/80</x:v>
      </x:c>
      <x:c r="O1146" s="24"/>
      <x:c r="P1146" s="24"/>
      <x:c r="Q1146" s="24" t="str">
        <x:v>DISPONÍVEL</x:v>
      </x:c>
      <x:c r="R1146" s="24"/>
      <x:c r="S1146" s="24" t="n">
        <x:v>11</x:v>
      </x:c>
      <x:c r="T1146" s="24" t="str">
        <x:v>tabela_rodenstock.pdf</x:v>
      </x:c>
      <x:c r="U1146" s="24" t="str">
        <x:v>Rodenstock|Progressiva B.I.G. NORM|Surfaçada|Impression B.I.G. NORM||1.5|1.50|Solitaire Protect|-8 a +8|até -6||75/80|||11</x:v>
      </x:c>
    </x:row>
    <x:row r="1147">
      <x:c r="A1147" s="24" t="str">
        <x:v>RD-D0A4631C1A4F</x:v>
      </x:c>
      <x:c r="B1147" s="24" t="str">
        <x:v>Rodenstock</x:v>
      </x:c>
      <x:c r="C1147" s="24" t="str">
        <x:v>Progressiva B.I.G. NORM</x:v>
      </x:c>
      <x:c r="D1147" s="24" t="str">
        <x:v>Surfaçada</x:v>
      </x:c>
      <x:c r="E1147" s="24" t="str">
        <x:v>Impression B.I.G. NORM</x:v>
      </x:c>
      <x:c r="F1147" s="24" t="str">
        <x:v>ColorMatic® 3</x:v>
      </x:c>
      <x:c r="G1147" s="24" t="str">
        <x:v>1.54</x:v>
      </x:c>
      <x:c r="H1147" s="24" t="str">
        <x:v>1.54</x:v>
      </x:c>
      <x:c r="I1147" s="24" t="str">
        <x:v>LayR X-tra Clean</x:v>
      </x:c>
      <x:c r="J1147" s="40" t="n">
        <x:v>12234</x:v>
      </x:c>
      <x:c r="K1147" s="24" t="str">
        <x:v>-8 a +8</x:v>
      </x:c>
      <x:c r="L1147" s="24" t="str">
        <x:v>até -6</x:v>
      </x:c>
      <x:c r="M1147" s="24"/>
      <x:c r="N1147" s="24" t="str">
        <x:v>75/80</x:v>
      </x:c>
      <x:c r="O1147" s="24"/>
      <x:c r="P1147" s="24"/>
      <x:c r="Q1147" s="24" t="str">
        <x:v>DISPONÍVEL</x:v>
      </x:c>
      <x:c r="R1147" s="24"/>
      <x:c r="S1147" s="24" t="n">
        <x:v>11</x:v>
      </x:c>
      <x:c r="T1147" s="24" t="str">
        <x:v>tabela_rodenstock.pdf</x:v>
      </x:c>
      <x:c r="U1147" s="24" t="str">
        <x:v>Rodenstock|Progressiva B.I.G. NORM|Surfaçada|Impression B.I.G. NORM|ColorMatic® 3|1.54|1.54|LayR X-tra Clean|-8 a +8|até -6||75/80|||11</x:v>
      </x:c>
    </x:row>
    <x:row r="1148">
      <x:c r="A1148" s="24" t="str">
        <x:v>RD-5D88AA01845D</x:v>
      </x:c>
      <x:c r="B1148" s="24" t="str">
        <x:v>Rodenstock</x:v>
      </x:c>
      <x:c r="C1148" s="24" t="str">
        <x:v>Progressiva B.I.G. NORM</x:v>
      </x:c>
      <x:c r="D1148" s="24" t="str">
        <x:v>Surfaçada</x:v>
      </x:c>
      <x:c r="E1148" s="24" t="str">
        <x:v>Impression B.I.G. NORM</x:v>
      </x:c>
      <x:c r="F1148" s="24" t="str">
        <x:v>ColorMatic® 3</x:v>
      </x:c>
      <x:c r="G1148" s="24" t="str">
        <x:v>1.54</x:v>
      </x:c>
      <x:c r="H1148" s="24" t="str">
        <x:v>1.54</x:v>
      </x:c>
      <x:c r="I1148" s="24" t="str">
        <x:v>LayR Balance</x:v>
      </x:c>
      <x:c r="J1148" s="40" t="n">
        <x:v>12234</x:v>
      </x:c>
      <x:c r="K1148" s="24" t="str">
        <x:v>-8 a +8</x:v>
      </x:c>
      <x:c r="L1148" s="24" t="str">
        <x:v>até -6</x:v>
      </x:c>
      <x:c r="M1148" s="24"/>
      <x:c r="N1148" s="24" t="str">
        <x:v>75/80</x:v>
      </x:c>
      <x:c r="O1148" s="24"/>
      <x:c r="P1148" s="24"/>
      <x:c r="Q1148" s="24" t="str">
        <x:v>DISPONÍVEL</x:v>
      </x:c>
      <x:c r="R1148" s="24"/>
      <x:c r="S1148" s="24" t="n">
        <x:v>11</x:v>
      </x:c>
      <x:c r="T1148" s="24" t="str">
        <x:v>tabela_rodenstock.pdf</x:v>
      </x:c>
      <x:c r="U1148" s="24" t="str">
        <x:v>Rodenstock|Progressiva B.I.G. NORM|Surfaçada|Impression B.I.G. NORM|ColorMatic® 3|1.54|1.54|LayR Balance|-8 a +8|até -6||75/80|||11</x:v>
      </x:c>
    </x:row>
    <x:row r="1149">
      <x:c r="A1149" s="24" t="str">
        <x:v>RD-DF67C7E5C342</x:v>
      </x:c>
      <x:c r="B1149" s="24" t="str">
        <x:v>Rodenstock</x:v>
      </x:c>
      <x:c r="C1149" s="24" t="str">
        <x:v>Progressiva B.I.G. NORM</x:v>
      </x:c>
      <x:c r="D1149" s="24" t="str">
        <x:v>Surfaçada</x:v>
      </x:c>
      <x:c r="E1149" s="24" t="str">
        <x:v>Impression B.I.G. NORM</x:v>
      </x:c>
      <x:c r="F1149" s="24" t="str">
        <x:v>ColorMatic® 3</x:v>
      </x:c>
      <x:c r="G1149" s="24" t="str">
        <x:v>1.54</x:v>
      </x:c>
      <x:c r="H1149" s="24" t="str">
        <x:v>1.54</x:v>
      </x:c>
      <x:c r="I1149" s="24" t="str">
        <x:v>Solitaire X-tra Clean</x:v>
      </x:c>
      <x:c r="J1149" s="40" t="n">
        <x:v>12164</x:v>
      </x:c>
      <x:c r="K1149" s="24" t="str">
        <x:v>-8 a +8</x:v>
      </x:c>
      <x:c r="L1149" s="24" t="str">
        <x:v>até -6</x:v>
      </x:c>
      <x:c r="M1149" s="24"/>
      <x:c r="N1149" s="24" t="str">
        <x:v>75/80</x:v>
      </x:c>
      <x:c r="O1149" s="24"/>
      <x:c r="P1149" s="24"/>
      <x:c r="Q1149" s="24" t="str">
        <x:v>DISPONÍVEL</x:v>
      </x:c>
      <x:c r="R1149" s="24"/>
      <x:c r="S1149" s="24" t="n">
        <x:v>11</x:v>
      </x:c>
      <x:c r="T1149" s="24" t="str">
        <x:v>tabela_rodenstock.pdf</x:v>
      </x:c>
      <x:c r="U1149" s="24" t="str">
        <x:v>Rodenstock|Progressiva B.I.G. NORM|Surfaçada|Impression B.I.G. NORM|ColorMatic® 3|1.54|1.54|Solitaire X-tra Clean|-8 a +8|até -6||75/80|||11</x:v>
      </x:c>
    </x:row>
    <x:row r="1150">
      <x:c r="A1150" s="24" t="str">
        <x:v>RD-EE7BCC89661B</x:v>
      </x:c>
      <x:c r="B1150" s="24" t="str">
        <x:v>Rodenstock</x:v>
      </x:c>
      <x:c r="C1150" s="24" t="str">
        <x:v>Progressiva B.I.G. NORM</x:v>
      </x:c>
      <x:c r="D1150" s="24" t="str">
        <x:v>Surfaçada</x:v>
      </x:c>
      <x:c r="E1150" s="24" t="str">
        <x:v>Impression B.I.G. NORM</x:v>
      </x:c>
      <x:c r="F1150" s="24" t="str">
        <x:v>ColorMatic® 3</x:v>
      </x:c>
      <x:c r="G1150" s="24" t="str">
        <x:v>1.54</x:v>
      </x:c>
      <x:c r="H1150" s="24" t="str">
        <x:v>1.54</x:v>
      </x:c>
      <x:c r="I1150" s="24" t="str">
        <x:v>Solitaire Protect Plus</x:v>
      </x:c>
      <x:c r="J1150" s="40" t="n">
        <x:v>12114</x:v>
      </x:c>
      <x:c r="K1150" s="24" t="str">
        <x:v>-8 a +8</x:v>
      </x:c>
      <x:c r="L1150" s="24" t="str">
        <x:v>até -6</x:v>
      </x:c>
      <x:c r="M1150" s="24"/>
      <x:c r="N1150" s="24" t="str">
        <x:v>75/80</x:v>
      </x:c>
      <x:c r="O1150" s="24"/>
      <x:c r="P1150" s="24"/>
      <x:c r="Q1150" s="24" t="str">
        <x:v>DISPONÍVEL</x:v>
      </x:c>
      <x:c r="R1150" s="24"/>
      <x:c r="S1150" s="24" t="n">
        <x:v>11</x:v>
      </x:c>
      <x:c r="T1150" s="24" t="str">
        <x:v>tabela_rodenstock.pdf</x:v>
      </x:c>
      <x:c r="U1150" s="24" t="str">
        <x:v>Rodenstock|Progressiva B.I.G. NORM|Surfaçada|Impression B.I.G. NORM|ColorMatic® 3|1.54|1.54|Solitaire Protect Plus|-8 a +8|até -6||75/80|||11</x:v>
      </x:c>
    </x:row>
    <x:row r="1151">
      <x:c r="A1151" s="24" t="str">
        <x:v>RD-3046C93387BC</x:v>
      </x:c>
      <x:c r="B1151" s="24" t="str">
        <x:v>Rodenstock</x:v>
      </x:c>
      <x:c r="C1151" s="24" t="str">
        <x:v>Progressiva B.I.G. NORM</x:v>
      </x:c>
      <x:c r="D1151" s="24" t="str">
        <x:v>Surfaçada</x:v>
      </x:c>
      <x:c r="E1151" s="24" t="str">
        <x:v>Impression B.I.G. NORM</x:v>
      </x:c>
      <x:c r="F1151" s="24" t="str">
        <x:v>ColorMatic® 3</x:v>
      </x:c>
      <x:c r="G1151" s="24" t="str">
        <x:v>1.54</x:v>
      </x:c>
      <x:c r="H1151" s="24" t="str">
        <x:v>1.54</x:v>
      </x:c>
      <x:c r="I1151" s="24" t="str">
        <x:v>ROAD</x:v>
      </x:c>
      <x:c r="J1151" s="40" t="n">
        <x:v>12114</x:v>
      </x:c>
      <x:c r="K1151" s="24" t="str">
        <x:v>-8 a +8</x:v>
      </x:c>
      <x:c r="L1151" s="24" t="str">
        <x:v>até -6</x:v>
      </x:c>
      <x:c r="M1151" s="24"/>
      <x:c r="N1151" s="24" t="str">
        <x:v>75/80</x:v>
      </x:c>
      <x:c r="O1151" s="24"/>
      <x:c r="P1151" s="24"/>
      <x:c r="Q1151" s="24" t="str">
        <x:v>DISPONÍVEL</x:v>
      </x:c>
      <x:c r="R1151" s="24"/>
      <x:c r="S1151" s="24" t="n">
        <x:v>11</x:v>
      </x:c>
      <x:c r="T1151" s="24" t="str">
        <x:v>tabela_rodenstock.pdf</x:v>
      </x:c>
      <x:c r="U1151" s="24" t="str">
        <x:v>Rodenstock|Progressiva B.I.G. NORM|Surfaçada|Impression B.I.G. NORM|ColorMatic® 3|1.54|1.54|ROAD|-8 a +8|até -6||75/80|||11</x:v>
      </x:c>
    </x:row>
    <x:row r="1152">
      <x:c r="A1152" s="24" t="str">
        <x:v>RD-B7E9DA5D3848</x:v>
      </x:c>
      <x:c r="B1152" s="24" t="str">
        <x:v>Rodenstock</x:v>
      </x:c>
      <x:c r="C1152" s="24" t="str">
        <x:v>Progressiva B.I.G. NORM</x:v>
      </x:c>
      <x:c r="D1152" s="24" t="str">
        <x:v>Surfaçada</x:v>
      </x:c>
      <x:c r="E1152" s="24" t="str">
        <x:v>Impression B.I.G. NORM</x:v>
      </x:c>
      <x:c r="F1152" s="24" t="str">
        <x:v>ColorMatic® 3</x:v>
      </x:c>
      <x:c r="G1152" s="24" t="str">
        <x:v>1.54</x:v>
      </x:c>
      <x:c r="H1152" s="24" t="str">
        <x:v>1.54</x:v>
      </x:c>
      <x:c r="I1152" s="24" t="str">
        <x:v>Solitaire Protect</x:v>
      </x:c>
      <x:c r="J1152" s="40" t="n">
        <x:v>11854</x:v>
      </x:c>
      <x:c r="K1152" s="24" t="str">
        <x:v>-8 a +8</x:v>
      </x:c>
      <x:c r="L1152" s="24" t="str">
        <x:v>até -6</x:v>
      </x:c>
      <x:c r="M1152" s="24"/>
      <x:c r="N1152" s="24" t="str">
        <x:v>75/80</x:v>
      </x:c>
      <x:c r="O1152" s="24"/>
      <x:c r="P1152" s="24"/>
      <x:c r="Q1152" s="24" t="str">
        <x:v>DISPONÍVEL</x:v>
      </x:c>
      <x:c r="R1152" s="24"/>
      <x:c r="S1152" s="24" t="n">
        <x:v>11</x:v>
      </x:c>
      <x:c r="T1152" s="24" t="str">
        <x:v>tabela_rodenstock.pdf</x:v>
      </x:c>
      <x:c r="U1152" s="24" t="str">
        <x:v>Rodenstock|Progressiva B.I.G. NORM|Surfaçada|Impression B.I.G. NORM|ColorMatic® 3|1.54|1.54|Solitaire Protect|-8 a +8|até -6||75/80|||11</x:v>
      </x:c>
    </x:row>
    <x:row r="1153">
      <x:c r="A1153" s="24" t="str">
        <x:v>RD-545542F0BE15</x:v>
      </x:c>
      <x:c r="B1153" s="24" t="str">
        <x:v>Rodenstock</x:v>
      </x:c>
      <x:c r="C1153" s="24" t="str">
        <x:v>Progressiva B.I.G. NORM</x:v>
      </x:c>
      <x:c r="D1153" s="24" t="str">
        <x:v>Surfaçada</x:v>
      </x:c>
      <x:c r="E1153" s="24" t="str">
        <x:v>Impression B.I.G. NORM</x:v>
      </x:c>
      <x:c r="F1153" s="24"/>
      <x:c r="G1153" s="24" t="str">
        <x:v>1.6</x:v>
      </x:c>
      <x:c r="H1153" s="24" t="str">
        <x:v>1.60</x:v>
      </x:c>
      <x:c r="I1153" s="24" t="str">
        <x:v>LayR X-tra Clean</x:v>
      </x:c>
      <x:c r="J1153" s="40" t="n">
        <x:v>12188</x:v>
      </x:c>
      <x:c r="K1153" s="24" t="str">
        <x:v>-11 a +10</x:v>
      </x:c>
      <x:c r="L1153" s="24" t="str">
        <x:v>até -6</x:v>
      </x:c>
      <x:c r="M1153" s="24"/>
      <x:c r="N1153" s="24" t="str">
        <x:v>75/80</x:v>
      </x:c>
      <x:c r="O1153" s="24"/>
      <x:c r="P1153" s="24"/>
      <x:c r="Q1153" s="24" t="str">
        <x:v>DISPONÍVEL</x:v>
      </x:c>
      <x:c r="R1153" s="24"/>
      <x:c r="S1153" s="24" t="n">
        <x:v>11</x:v>
      </x:c>
      <x:c r="T1153" s="24" t="str">
        <x:v>tabela_rodenstock.pdf</x:v>
      </x:c>
      <x:c r="U1153" s="24" t="str">
        <x:v>Rodenstock|Progressiva B.I.G. NORM|Surfaçada|Impression B.I.G. NORM||1.6|1.60|LayR X-tra Clean|-11 a +10|até -6||75/80|||11</x:v>
      </x:c>
    </x:row>
    <x:row r="1154">
      <x:c r="A1154" s="24" t="str">
        <x:v>RD-692EEF59F584</x:v>
      </x:c>
      <x:c r="B1154" s="24" t="str">
        <x:v>Rodenstock</x:v>
      </x:c>
      <x:c r="C1154" s="24" t="str">
        <x:v>Progressiva B.I.G. NORM</x:v>
      </x:c>
      <x:c r="D1154" s="24" t="str">
        <x:v>Surfaçada</x:v>
      </x:c>
      <x:c r="E1154" s="24" t="str">
        <x:v>Impression B.I.G. NORM</x:v>
      </x:c>
      <x:c r="F1154" s="24"/>
      <x:c r="G1154" s="24" t="str">
        <x:v>1.6</x:v>
      </x:c>
      <x:c r="H1154" s="24" t="str">
        <x:v>1.60</x:v>
      </x:c>
      <x:c r="I1154" s="24" t="str">
        <x:v>LayR Balance</x:v>
      </x:c>
      <x:c r="J1154" s="40" t="n">
        <x:v>12188</x:v>
      </x:c>
      <x:c r="K1154" s="24" t="str">
        <x:v>-11 a +10</x:v>
      </x:c>
      <x:c r="L1154" s="24" t="str">
        <x:v>até -6</x:v>
      </x:c>
      <x:c r="M1154" s="24"/>
      <x:c r="N1154" s="24" t="str">
        <x:v>75/80</x:v>
      </x:c>
      <x:c r="O1154" s="24"/>
      <x:c r="P1154" s="24"/>
      <x:c r="Q1154" s="24" t="str">
        <x:v>DISPONÍVEL</x:v>
      </x:c>
      <x:c r="R1154" s="24"/>
      <x:c r="S1154" s="24" t="n">
        <x:v>11</x:v>
      </x:c>
      <x:c r="T1154" s="24" t="str">
        <x:v>tabela_rodenstock.pdf</x:v>
      </x:c>
      <x:c r="U1154" s="24" t="str">
        <x:v>Rodenstock|Progressiva B.I.G. NORM|Surfaçada|Impression B.I.G. NORM||1.6|1.60|LayR Balance|-11 a +10|até -6||75/80|||11</x:v>
      </x:c>
    </x:row>
    <x:row r="1155">
      <x:c r="A1155" s="24" t="str">
        <x:v>RD-67AB79305A47</x:v>
      </x:c>
      <x:c r="B1155" s="24" t="str">
        <x:v>Rodenstock</x:v>
      </x:c>
      <x:c r="C1155" s="24" t="str">
        <x:v>Progressiva B.I.G. NORM</x:v>
      </x:c>
      <x:c r="D1155" s="24" t="str">
        <x:v>Surfaçada</x:v>
      </x:c>
      <x:c r="E1155" s="24" t="str">
        <x:v>Impression B.I.G. NORM</x:v>
      </x:c>
      <x:c r="F1155" s="24"/>
      <x:c r="G1155" s="24" t="str">
        <x:v>1.6</x:v>
      </x:c>
      <x:c r="H1155" s="24" t="str">
        <x:v>1.60</x:v>
      </x:c>
      <x:c r="I1155" s="24" t="str">
        <x:v>Solitaire X-tra Clean</x:v>
      </x:c>
      <x:c r="J1155" s="40" t="n">
        <x:v>12118</x:v>
      </x:c>
      <x:c r="K1155" s="24" t="str">
        <x:v>-11 a +10</x:v>
      </x:c>
      <x:c r="L1155" s="24" t="str">
        <x:v>até -6</x:v>
      </x:c>
      <x:c r="M1155" s="24"/>
      <x:c r="N1155" s="24" t="str">
        <x:v>75/80</x:v>
      </x:c>
      <x:c r="O1155" s="24"/>
      <x:c r="P1155" s="24"/>
      <x:c r="Q1155" s="24" t="str">
        <x:v>DISPONÍVEL</x:v>
      </x:c>
      <x:c r="R1155" s="24"/>
      <x:c r="S1155" s="24" t="n">
        <x:v>11</x:v>
      </x:c>
      <x:c r="T1155" s="24" t="str">
        <x:v>tabela_rodenstock.pdf</x:v>
      </x:c>
      <x:c r="U1155" s="24" t="str">
        <x:v>Rodenstock|Progressiva B.I.G. NORM|Surfaçada|Impression B.I.G. NORM||1.6|1.60|Solitaire X-tra Clean|-11 a +10|até -6||75/80|||11</x:v>
      </x:c>
    </x:row>
    <x:row r="1156">
      <x:c r="A1156" s="24" t="str">
        <x:v>RD-DA57ABF14ABE</x:v>
      </x:c>
      <x:c r="B1156" s="24" t="str">
        <x:v>Rodenstock</x:v>
      </x:c>
      <x:c r="C1156" s="24" t="str">
        <x:v>Progressiva B.I.G. NORM</x:v>
      </x:c>
      <x:c r="D1156" s="24" t="str">
        <x:v>Surfaçada</x:v>
      </x:c>
      <x:c r="E1156" s="24" t="str">
        <x:v>Impression B.I.G. NORM</x:v>
      </x:c>
      <x:c r="F1156" s="24"/>
      <x:c r="G1156" s="24" t="str">
        <x:v>1.6</x:v>
      </x:c>
      <x:c r="H1156" s="24" t="str">
        <x:v>1.60</x:v>
      </x:c>
      <x:c r="I1156" s="24" t="str">
        <x:v>Solitaire Protect Plus</x:v>
      </x:c>
      <x:c r="J1156" s="40" t="n">
        <x:v>12068</x:v>
      </x:c>
      <x:c r="K1156" s="24" t="str">
        <x:v>-11 a +10</x:v>
      </x:c>
      <x:c r="L1156" s="24" t="str">
        <x:v>até -6</x:v>
      </x:c>
      <x:c r="M1156" s="24"/>
      <x:c r="N1156" s="24" t="str">
        <x:v>75/80</x:v>
      </x:c>
      <x:c r="O1156" s="24"/>
      <x:c r="P1156" s="24"/>
      <x:c r="Q1156" s="24" t="str">
        <x:v>DISPONÍVEL</x:v>
      </x:c>
      <x:c r="R1156" s="24"/>
      <x:c r="S1156" s="24" t="n">
        <x:v>11</x:v>
      </x:c>
      <x:c r="T1156" s="24" t="str">
        <x:v>tabela_rodenstock.pdf</x:v>
      </x:c>
      <x:c r="U1156" s="24" t="str">
        <x:v>Rodenstock|Progressiva B.I.G. NORM|Surfaçada|Impression B.I.G. NORM||1.6|1.60|Solitaire Protect Plus|-11 a +10|até -6||75/80|||11</x:v>
      </x:c>
    </x:row>
    <x:row r="1157">
      <x:c r="A1157" s="24" t="str">
        <x:v>RD-7F0FC28373C9</x:v>
      </x:c>
      <x:c r="B1157" s="24" t="str">
        <x:v>Rodenstock</x:v>
      </x:c>
      <x:c r="C1157" s="24" t="str">
        <x:v>Progressiva B.I.G. NORM</x:v>
      </x:c>
      <x:c r="D1157" s="24" t="str">
        <x:v>Surfaçada</x:v>
      </x:c>
      <x:c r="E1157" s="24" t="str">
        <x:v>Impression B.I.G. NORM</x:v>
      </x:c>
      <x:c r="F1157" s="24"/>
      <x:c r="G1157" s="24" t="str">
        <x:v>1.6</x:v>
      </x:c>
      <x:c r="H1157" s="24" t="str">
        <x:v>1.60</x:v>
      </x:c>
      <x:c r="I1157" s="24" t="str">
        <x:v>ROAD</x:v>
      </x:c>
      <x:c r="J1157" s="40" t="n">
        <x:v>12068</x:v>
      </x:c>
      <x:c r="K1157" s="24" t="str">
        <x:v>-11 a +10</x:v>
      </x:c>
      <x:c r="L1157" s="24" t="str">
        <x:v>até -6</x:v>
      </x:c>
      <x:c r="M1157" s="24"/>
      <x:c r="N1157" s="24" t="str">
        <x:v>75/80</x:v>
      </x:c>
      <x:c r="O1157" s="24"/>
      <x:c r="P1157" s="24"/>
      <x:c r="Q1157" s="24" t="str">
        <x:v>DISPONÍVEL</x:v>
      </x:c>
      <x:c r="R1157" s="24"/>
      <x:c r="S1157" s="24" t="n">
        <x:v>11</x:v>
      </x:c>
      <x:c r="T1157" s="24" t="str">
        <x:v>tabela_rodenstock.pdf</x:v>
      </x:c>
      <x:c r="U1157" s="24" t="str">
        <x:v>Rodenstock|Progressiva B.I.G. NORM|Surfaçada|Impression B.I.G. NORM||1.6|1.60|ROAD|-11 a +10|até -6||75/80|||11</x:v>
      </x:c>
    </x:row>
    <x:row r="1158">
      <x:c r="A1158" s="24" t="str">
        <x:v>RD-A13F65F09DF5</x:v>
      </x:c>
      <x:c r="B1158" s="24" t="str">
        <x:v>Rodenstock</x:v>
      </x:c>
      <x:c r="C1158" s="24" t="str">
        <x:v>Progressiva B.I.G. NORM</x:v>
      </x:c>
      <x:c r="D1158" s="24" t="str">
        <x:v>Surfaçada</x:v>
      </x:c>
      <x:c r="E1158" s="24" t="str">
        <x:v>Impression B.I.G. NORM</x:v>
      </x:c>
      <x:c r="F1158" s="24"/>
      <x:c r="G1158" s="24" t="str">
        <x:v>1.6</x:v>
      </x:c>
      <x:c r="H1158" s="24" t="str">
        <x:v>1.60</x:v>
      </x:c>
      <x:c r="I1158" s="24" t="str">
        <x:v>Solitaire Protect</x:v>
      </x:c>
      <x:c r="J1158" s="40" t="n">
        <x:v>11808</x:v>
      </x:c>
      <x:c r="K1158" s="24" t="str">
        <x:v>-11 a +10</x:v>
      </x:c>
      <x:c r="L1158" s="24" t="str">
        <x:v>até -6</x:v>
      </x:c>
      <x:c r="M1158" s="24"/>
      <x:c r="N1158" s="24" t="str">
        <x:v>75/80</x:v>
      </x:c>
      <x:c r="O1158" s="24"/>
      <x:c r="P1158" s="24"/>
      <x:c r="Q1158" s="24" t="str">
        <x:v>DISPONÍVEL</x:v>
      </x:c>
      <x:c r="R1158" s="24"/>
      <x:c r="S1158" s="24" t="n">
        <x:v>11</x:v>
      </x:c>
      <x:c r="T1158" s="24" t="str">
        <x:v>tabela_rodenstock.pdf</x:v>
      </x:c>
      <x:c r="U1158" s="24" t="str">
        <x:v>Rodenstock|Progressiva B.I.G. NORM|Surfaçada|Impression B.I.G. NORM||1.6|1.60|Solitaire Protect|-11 a +10|até -6||75/80|||11</x:v>
      </x:c>
    </x:row>
    <x:row r="1159">
      <x:c r="A1159" s="24" t="str">
        <x:v>RD-C1F8C72B4B3E</x:v>
      </x:c>
      <x:c r="B1159" s="24" t="str">
        <x:v>Rodenstock</x:v>
      </x:c>
      <x:c r="C1159" s="24" t="str">
        <x:v>Progressiva B.I.G. NORM</x:v>
      </x:c>
      <x:c r="D1159" s="24" t="str">
        <x:v>Surfaçada</x:v>
      </x:c>
      <x:c r="E1159" s="24" t="str">
        <x:v>Impression B.I.G. NORM</x:v>
      </x:c>
      <x:c r="F1159" s="24" t="str">
        <x:v>PRO410</x:v>
      </x:c>
      <x:c r="G1159" s="24" t="str">
        <x:v>1.6</x:v>
      </x:c>
      <x:c r="H1159" s="24" t="str">
        <x:v>1.60</x:v>
      </x:c>
      <x:c r="I1159" s="24" t="str">
        <x:v>LayR X-tra Clean</x:v>
      </x:c>
      <x:c r="J1159" s="40" t="n">
        <x:v>12730</x:v>
      </x:c>
      <x:c r="K1159" s="24" t="str">
        <x:v>-11 a +10</x:v>
      </x:c>
      <x:c r="L1159" s="24" t="str">
        <x:v>até -6</x:v>
      </x:c>
      <x:c r="M1159" s="24"/>
      <x:c r="N1159" s="24" t="str">
        <x:v>75/80</x:v>
      </x:c>
      <x:c r="O1159" s="24"/>
      <x:c r="P1159" s="24"/>
      <x:c r="Q1159" s="24" t="str">
        <x:v>DISPONÍVEL</x:v>
      </x:c>
      <x:c r="R1159" s="24"/>
      <x:c r="S1159" s="24" t="n">
        <x:v>11</x:v>
      </x:c>
      <x:c r="T1159" s="24" t="str">
        <x:v>tabela_rodenstock.pdf</x:v>
      </x:c>
      <x:c r="U1159" s="24" t="str">
        <x:v>Rodenstock|Progressiva B.I.G. NORM|Surfaçada|Impression B.I.G. NORM|PRO410|1.6|1.60|LayR X-tra Clean|-11 a +10|até -6||75/80|||11</x:v>
      </x:c>
    </x:row>
    <x:row r="1160">
      <x:c r="A1160" s="24" t="str">
        <x:v>RD-0F546A90B8FC</x:v>
      </x:c>
      <x:c r="B1160" s="24" t="str">
        <x:v>Rodenstock</x:v>
      </x:c>
      <x:c r="C1160" s="24" t="str">
        <x:v>Progressiva B.I.G. NORM</x:v>
      </x:c>
      <x:c r="D1160" s="24" t="str">
        <x:v>Surfaçada</x:v>
      </x:c>
      <x:c r="E1160" s="24" t="str">
        <x:v>Impression B.I.G. NORM</x:v>
      </x:c>
      <x:c r="F1160" s="24" t="str">
        <x:v>PRO410</x:v>
      </x:c>
      <x:c r="G1160" s="24" t="str">
        <x:v>1.6</x:v>
      </x:c>
      <x:c r="H1160" s="24" t="str">
        <x:v>1.60</x:v>
      </x:c>
      <x:c r="I1160" s="24" t="str">
        <x:v>LayR Balance</x:v>
      </x:c>
      <x:c r="J1160" s="40" t="n">
        <x:v>12730</x:v>
      </x:c>
      <x:c r="K1160" s="24" t="str">
        <x:v>-11 a +10</x:v>
      </x:c>
      <x:c r="L1160" s="24" t="str">
        <x:v>até -6</x:v>
      </x:c>
      <x:c r="M1160" s="24"/>
      <x:c r="N1160" s="24" t="str">
        <x:v>75/80</x:v>
      </x:c>
      <x:c r="O1160" s="24"/>
      <x:c r="P1160" s="24"/>
      <x:c r="Q1160" s="24" t="str">
        <x:v>DISPONÍVEL</x:v>
      </x:c>
      <x:c r="R1160" s="24"/>
      <x:c r="S1160" s="24" t="n">
        <x:v>11</x:v>
      </x:c>
      <x:c r="T1160" s="24" t="str">
        <x:v>tabela_rodenstock.pdf</x:v>
      </x:c>
      <x:c r="U1160" s="24" t="str">
        <x:v>Rodenstock|Progressiva B.I.G. NORM|Surfaçada|Impression B.I.G. NORM|PRO410|1.6|1.60|LayR Balance|-11 a +10|até -6||75/80|||11</x:v>
      </x:c>
    </x:row>
    <x:row r="1161">
      <x:c r="A1161" s="24" t="str">
        <x:v>RD-6D702B569583</x:v>
      </x:c>
      <x:c r="B1161" s="24" t="str">
        <x:v>Rodenstock</x:v>
      </x:c>
      <x:c r="C1161" s="24" t="str">
        <x:v>Progressiva B.I.G. NORM</x:v>
      </x:c>
      <x:c r="D1161" s="24" t="str">
        <x:v>Surfaçada</x:v>
      </x:c>
      <x:c r="E1161" s="24" t="str">
        <x:v>Impression B.I.G. NORM</x:v>
      </x:c>
      <x:c r="F1161" s="24" t="str">
        <x:v>PRO410</x:v>
      </x:c>
      <x:c r="G1161" s="24" t="str">
        <x:v>1.6</x:v>
      </x:c>
      <x:c r="H1161" s="24" t="str">
        <x:v>1.60</x:v>
      </x:c>
      <x:c r="I1161" s="24" t="str">
        <x:v>Solitaire X-tra Clean</x:v>
      </x:c>
      <x:c r="J1161" s="40" t="n">
        <x:v>12660</x:v>
      </x:c>
      <x:c r="K1161" s="24" t="str">
        <x:v>-11 a +10</x:v>
      </x:c>
      <x:c r="L1161" s="24" t="str">
        <x:v>até -6</x:v>
      </x:c>
      <x:c r="M1161" s="24"/>
      <x:c r="N1161" s="24" t="str">
        <x:v>75/80</x:v>
      </x:c>
      <x:c r="O1161" s="24"/>
      <x:c r="P1161" s="24"/>
      <x:c r="Q1161" s="24" t="str">
        <x:v>DISPONÍVEL</x:v>
      </x:c>
      <x:c r="R1161" s="24"/>
      <x:c r="S1161" s="24" t="n">
        <x:v>11</x:v>
      </x:c>
      <x:c r="T1161" s="24" t="str">
        <x:v>tabela_rodenstock.pdf</x:v>
      </x:c>
      <x:c r="U1161" s="24" t="str">
        <x:v>Rodenstock|Progressiva B.I.G. NORM|Surfaçada|Impression B.I.G. NORM|PRO410|1.6|1.60|Solitaire X-tra Clean|-11 a +10|até -6||75/80|||11</x:v>
      </x:c>
    </x:row>
    <x:row r="1162">
      <x:c r="A1162" s="24" t="str">
        <x:v>RD-5EE7538B1FBA</x:v>
      </x:c>
      <x:c r="B1162" s="24" t="str">
        <x:v>Rodenstock</x:v>
      </x:c>
      <x:c r="C1162" s="24" t="str">
        <x:v>Progressiva B.I.G. NORM</x:v>
      </x:c>
      <x:c r="D1162" s="24" t="str">
        <x:v>Surfaçada</x:v>
      </x:c>
      <x:c r="E1162" s="24" t="str">
        <x:v>Impression B.I.G. NORM</x:v>
      </x:c>
      <x:c r="F1162" s="24" t="str">
        <x:v>PRO410</x:v>
      </x:c>
      <x:c r="G1162" s="24" t="str">
        <x:v>1.6</x:v>
      </x:c>
      <x:c r="H1162" s="24" t="str">
        <x:v>1.60</x:v>
      </x:c>
      <x:c r="I1162" s="24" t="str">
        <x:v>Solitaire Protect Plus</x:v>
      </x:c>
      <x:c r="J1162" s="40" t="n">
        <x:v>12610</x:v>
      </x:c>
      <x:c r="K1162" s="24" t="str">
        <x:v>-11 a +10</x:v>
      </x:c>
      <x:c r="L1162" s="24" t="str">
        <x:v>até -6</x:v>
      </x:c>
      <x:c r="M1162" s="24"/>
      <x:c r="N1162" s="24" t="str">
        <x:v>75/80</x:v>
      </x:c>
      <x:c r="O1162" s="24"/>
      <x:c r="P1162" s="24"/>
      <x:c r="Q1162" s="24" t="str">
        <x:v>DISPONÍVEL</x:v>
      </x:c>
      <x:c r="R1162" s="24"/>
      <x:c r="S1162" s="24" t="n">
        <x:v>11</x:v>
      </x:c>
      <x:c r="T1162" s="24" t="str">
        <x:v>tabela_rodenstock.pdf</x:v>
      </x:c>
      <x:c r="U1162" s="24" t="str">
        <x:v>Rodenstock|Progressiva B.I.G. NORM|Surfaçada|Impression B.I.G. NORM|PRO410|1.6|1.60|Solitaire Protect Plus|-11 a +10|até -6||75/80|||11</x:v>
      </x:c>
    </x:row>
    <x:row r="1163">
      <x:c r="A1163" s="24" t="str">
        <x:v>RD-1205B1470CCF</x:v>
      </x:c>
      <x:c r="B1163" s="24" t="str">
        <x:v>Rodenstock</x:v>
      </x:c>
      <x:c r="C1163" s="24" t="str">
        <x:v>Progressiva B.I.G. NORM</x:v>
      </x:c>
      <x:c r="D1163" s="24" t="str">
        <x:v>Surfaçada</x:v>
      </x:c>
      <x:c r="E1163" s="24" t="str">
        <x:v>Impression B.I.G. NORM</x:v>
      </x:c>
      <x:c r="F1163" s="24" t="str">
        <x:v>PRO410</x:v>
      </x:c>
      <x:c r="G1163" s="24" t="str">
        <x:v>1.6</x:v>
      </x:c>
      <x:c r="H1163" s="24" t="str">
        <x:v>1.60</x:v>
      </x:c>
      <x:c r="I1163" s="24" t="str">
        <x:v>ROAD</x:v>
      </x:c>
      <x:c r="J1163" s="40" t="n">
        <x:v>12610</x:v>
      </x:c>
      <x:c r="K1163" s="24" t="str">
        <x:v>-11 a +10</x:v>
      </x:c>
      <x:c r="L1163" s="24" t="str">
        <x:v>até -6</x:v>
      </x:c>
      <x:c r="M1163" s="24"/>
      <x:c r="N1163" s="24" t="str">
        <x:v>75/80</x:v>
      </x:c>
      <x:c r="O1163" s="24"/>
      <x:c r="P1163" s="24"/>
      <x:c r="Q1163" s="24" t="str">
        <x:v>DISPONÍVEL</x:v>
      </x:c>
      <x:c r="R1163" s="24"/>
      <x:c r="S1163" s="24" t="n">
        <x:v>11</x:v>
      </x:c>
      <x:c r="T1163" s="24" t="str">
        <x:v>tabela_rodenstock.pdf</x:v>
      </x:c>
      <x:c r="U1163" s="24" t="str">
        <x:v>Rodenstock|Progressiva B.I.G. NORM|Surfaçada|Impression B.I.G. NORM|PRO410|1.6|1.60|ROAD|-11 a +10|até -6||75/80|||11</x:v>
      </x:c>
    </x:row>
    <x:row r="1164">
      <x:c r="A1164" s="24" t="str">
        <x:v>RD-11A5A4DD23E8</x:v>
      </x:c>
      <x:c r="B1164" s="24" t="str">
        <x:v>Rodenstock</x:v>
      </x:c>
      <x:c r="C1164" s="24" t="str">
        <x:v>Progressiva B.I.G. NORM</x:v>
      </x:c>
      <x:c r="D1164" s="24" t="str">
        <x:v>Surfaçada</x:v>
      </x:c>
      <x:c r="E1164" s="24" t="str">
        <x:v>Impression B.I.G. NORM</x:v>
      </x:c>
      <x:c r="F1164" s="24" t="str">
        <x:v>PRO410</x:v>
      </x:c>
      <x:c r="G1164" s="24" t="str">
        <x:v>1.6</x:v>
      </x:c>
      <x:c r="H1164" s="24" t="str">
        <x:v>1.60</x:v>
      </x:c>
      <x:c r="I1164" s="24" t="str">
        <x:v>Solitaire Protect</x:v>
      </x:c>
      <x:c r="J1164" s="40" t="n">
        <x:v>12350</x:v>
      </x:c>
      <x:c r="K1164" s="24" t="str">
        <x:v>-11 a +10</x:v>
      </x:c>
      <x:c r="L1164" s="24" t="str">
        <x:v>até -6</x:v>
      </x:c>
      <x:c r="M1164" s="24"/>
      <x:c r="N1164" s="24" t="str">
        <x:v>75/80</x:v>
      </x:c>
      <x:c r="O1164" s="24"/>
      <x:c r="P1164" s="24"/>
      <x:c r="Q1164" s="24" t="str">
        <x:v>DISPONÍVEL</x:v>
      </x:c>
      <x:c r="R1164" s="24"/>
      <x:c r="S1164" s="24" t="n">
        <x:v>11</x:v>
      </x:c>
      <x:c r="T1164" s="24" t="str">
        <x:v>tabela_rodenstock.pdf</x:v>
      </x:c>
      <x:c r="U1164" s="24" t="str">
        <x:v>Rodenstock|Progressiva B.I.G. NORM|Surfaçada|Impression B.I.G. NORM|PRO410|1.6|1.60|Solitaire Protect|-11 a +10|até -6||75/80|||11</x:v>
      </x:c>
    </x:row>
    <x:row r="1165">
      <x:c r="A1165" s="24" t="str">
        <x:v>RD-D67E65B361F8</x:v>
      </x:c>
      <x:c r="B1165" s="24" t="str">
        <x:v>Rodenstock</x:v>
      </x:c>
      <x:c r="C1165" s="24" t="str">
        <x:v>Progressiva B.I.G. NORM</x:v>
      </x:c>
      <x:c r="D1165" s="24" t="str">
        <x:v>Surfaçada</x:v>
      </x:c>
      <x:c r="E1165" s="24" t="str">
        <x:v>Impression B.I.G. NORM</x:v>
      </x:c>
      <x:c r="F1165" s="24" t="str">
        <x:v>ColorMatic® 3 | X</x:v>
      </x:c>
      <x:c r="G1165" s="24" t="str">
        <x:v>1.6</x:v>
      </x:c>
      <x:c r="H1165" s="24" t="str">
        <x:v>1.60</x:v>
      </x:c>
      <x:c r="I1165" s="24" t="str">
        <x:v>LayR X-tra Clean</x:v>
      </x:c>
      <x:c r="J1165" s="40" t="n">
        <x:v>13328</x:v>
      </x:c>
      <x:c r="K1165" s="24" t="str">
        <x:v>-11 a +10</x:v>
      </x:c>
      <x:c r="L1165" s="24" t="str">
        <x:v>até -6</x:v>
      </x:c>
      <x:c r="M1165" s="24"/>
      <x:c r="N1165" s="24" t="str">
        <x:v>75/80</x:v>
      </x:c>
      <x:c r="O1165" s="24"/>
      <x:c r="P1165" s="24"/>
      <x:c r="Q1165" s="24" t="str">
        <x:v>DISPONÍVEL</x:v>
      </x:c>
      <x:c r="R1165" s="24"/>
      <x:c r="S1165" s="24" t="n">
        <x:v>11</x:v>
      </x:c>
      <x:c r="T1165" s="24" t="str">
        <x:v>tabela_rodenstock.pdf</x:v>
      </x:c>
      <x:c r="U1165" s="24" t="str">
        <x:v>Rodenstock|Progressiva B.I.G. NORM|Surfaçada|Impression B.I.G. NORM|ColorMatic® 3 | X|1.6|1.60|LayR X-tra Clean|-11 a +10|até -6||75/80|||11</x:v>
      </x:c>
    </x:row>
    <x:row r="1166">
      <x:c r="A1166" s="24" t="str">
        <x:v>RD-9CC8D1ED638E</x:v>
      </x:c>
      <x:c r="B1166" s="24" t="str">
        <x:v>Rodenstock</x:v>
      </x:c>
      <x:c r="C1166" s="24" t="str">
        <x:v>Progressiva B.I.G. NORM</x:v>
      </x:c>
      <x:c r="D1166" s="24" t="str">
        <x:v>Surfaçada</x:v>
      </x:c>
      <x:c r="E1166" s="24" t="str">
        <x:v>Impression B.I.G. NORM</x:v>
      </x:c>
      <x:c r="F1166" s="24" t="str">
        <x:v>ColorMatic® 3 | X</x:v>
      </x:c>
      <x:c r="G1166" s="24" t="str">
        <x:v>1.6</x:v>
      </x:c>
      <x:c r="H1166" s="24" t="str">
        <x:v>1.60</x:v>
      </x:c>
      <x:c r="I1166" s="24" t="str">
        <x:v>LayR Balance</x:v>
      </x:c>
      <x:c r="J1166" s="40" t="n">
        <x:v>13328</x:v>
      </x:c>
      <x:c r="K1166" s="24" t="str">
        <x:v>-11 a +10</x:v>
      </x:c>
      <x:c r="L1166" s="24" t="str">
        <x:v>até -6</x:v>
      </x:c>
      <x:c r="M1166" s="24"/>
      <x:c r="N1166" s="24" t="str">
        <x:v>75/80</x:v>
      </x:c>
      <x:c r="O1166" s="24"/>
      <x:c r="P1166" s="24"/>
      <x:c r="Q1166" s="24" t="str">
        <x:v>DISPONÍVEL</x:v>
      </x:c>
      <x:c r="R1166" s="24"/>
      <x:c r="S1166" s="24" t="n">
        <x:v>11</x:v>
      </x:c>
      <x:c r="T1166" s="24" t="str">
        <x:v>tabela_rodenstock.pdf</x:v>
      </x:c>
      <x:c r="U1166" s="24" t="str">
        <x:v>Rodenstock|Progressiva B.I.G. NORM|Surfaçada|Impression B.I.G. NORM|ColorMatic® 3 | X|1.6|1.60|LayR Balance|-11 a +10|até -6||75/80|||11</x:v>
      </x:c>
    </x:row>
    <x:row r="1167">
      <x:c r="A1167" s="24" t="str">
        <x:v>RD-D6967C7755F5</x:v>
      </x:c>
      <x:c r="B1167" s="24" t="str">
        <x:v>Rodenstock</x:v>
      </x:c>
      <x:c r="C1167" s="24" t="str">
        <x:v>Progressiva B.I.G. NORM</x:v>
      </x:c>
      <x:c r="D1167" s="24" t="str">
        <x:v>Surfaçada</x:v>
      </x:c>
      <x:c r="E1167" s="24" t="str">
        <x:v>Impression B.I.G. NORM</x:v>
      </x:c>
      <x:c r="F1167" s="24" t="str">
        <x:v>ColorMatic® 3 | X</x:v>
      </x:c>
      <x:c r="G1167" s="24" t="str">
        <x:v>1.6</x:v>
      </x:c>
      <x:c r="H1167" s="24" t="str">
        <x:v>1.60</x:v>
      </x:c>
      <x:c r="I1167" s="24" t="str">
        <x:v>Solitaire X-tra Clean</x:v>
      </x:c>
      <x:c r="J1167" s="40" t="n">
        <x:v>13258</x:v>
      </x:c>
      <x:c r="K1167" s="24" t="str">
        <x:v>-11 a +10</x:v>
      </x:c>
      <x:c r="L1167" s="24" t="str">
        <x:v>até -6</x:v>
      </x:c>
      <x:c r="M1167" s="24"/>
      <x:c r="N1167" s="24" t="str">
        <x:v>75/80</x:v>
      </x:c>
      <x:c r="O1167" s="24"/>
      <x:c r="P1167" s="24"/>
      <x:c r="Q1167" s="24" t="str">
        <x:v>DISPONÍVEL</x:v>
      </x:c>
      <x:c r="R1167" s="24"/>
      <x:c r="S1167" s="24" t="n">
        <x:v>11</x:v>
      </x:c>
      <x:c r="T1167" s="24" t="str">
        <x:v>tabela_rodenstock.pdf</x:v>
      </x:c>
      <x:c r="U1167" s="24" t="str">
        <x:v>Rodenstock|Progressiva B.I.G. NORM|Surfaçada|Impression B.I.G. NORM|ColorMatic® 3 | X|1.6|1.60|Solitaire X-tra Clean|-11 a +10|até -6||75/80|||11</x:v>
      </x:c>
    </x:row>
    <x:row r="1168">
      <x:c r="A1168" s="24" t="str">
        <x:v>RD-19002123278D</x:v>
      </x:c>
      <x:c r="B1168" s="24" t="str">
        <x:v>Rodenstock</x:v>
      </x:c>
      <x:c r="C1168" s="24" t="str">
        <x:v>Progressiva B.I.G. NORM</x:v>
      </x:c>
      <x:c r="D1168" s="24" t="str">
        <x:v>Surfaçada</x:v>
      </x:c>
      <x:c r="E1168" s="24" t="str">
        <x:v>Impression B.I.G. NORM</x:v>
      </x:c>
      <x:c r="F1168" s="24" t="str">
        <x:v>ColorMatic® 3 | X</x:v>
      </x:c>
      <x:c r="G1168" s="24" t="str">
        <x:v>1.6</x:v>
      </x:c>
      <x:c r="H1168" s="24" t="str">
        <x:v>1.60</x:v>
      </x:c>
      <x:c r="I1168" s="24" t="str">
        <x:v>Solitaire Protect Plus</x:v>
      </x:c>
      <x:c r="J1168" s="40" t="n">
        <x:v>13208</x:v>
      </x:c>
      <x:c r="K1168" s="24" t="str">
        <x:v>-11 a +10</x:v>
      </x:c>
      <x:c r="L1168" s="24" t="str">
        <x:v>até -6</x:v>
      </x:c>
      <x:c r="M1168" s="24"/>
      <x:c r="N1168" s="24" t="str">
        <x:v>75/80</x:v>
      </x:c>
      <x:c r="O1168" s="24"/>
      <x:c r="P1168" s="24"/>
      <x:c r="Q1168" s="24" t="str">
        <x:v>DISPONÍVEL</x:v>
      </x:c>
      <x:c r="R1168" s="24"/>
      <x:c r="S1168" s="24" t="n">
        <x:v>11</x:v>
      </x:c>
      <x:c r="T1168" s="24" t="str">
        <x:v>tabela_rodenstock.pdf</x:v>
      </x:c>
      <x:c r="U1168" s="24" t="str">
        <x:v>Rodenstock|Progressiva B.I.G. NORM|Surfaçada|Impression B.I.G. NORM|ColorMatic® 3 | X|1.6|1.60|Solitaire Protect Plus|-11 a +10|até -6||75/80|||11</x:v>
      </x:c>
    </x:row>
    <x:row r="1169">
      <x:c r="A1169" s="24" t="str">
        <x:v>RD-39F472A7EFFD</x:v>
      </x:c>
      <x:c r="B1169" s="24" t="str">
        <x:v>Rodenstock</x:v>
      </x:c>
      <x:c r="C1169" s="24" t="str">
        <x:v>Progressiva B.I.G. NORM</x:v>
      </x:c>
      <x:c r="D1169" s="24" t="str">
        <x:v>Surfaçada</x:v>
      </x:c>
      <x:c r="E1169" s="24" t="str">
        <x:v>Impression B.I.G. NORM</x:v>
      </x:c>
      <x:c r="F1169" s="24" t="str">
        <x:v>ColorMatic® 3 | X</x:v>
      </x:c>
      <x:c r="G1169" s="24" t="str">
        <x:v>1.6</x:v>
      </x:c>
      <x:c r="H1169" s="24" t="str">
        <x:v>1.60</x:v>
      </x:c>
      <x:c r="I1169" s="24" t="str">
        <x:v>ROAD</x:v>
      </x:c>
      <x:c r="J1169" s="40" t="n">
        <x:v>13208</x:v>
      </x:c>
      <x:c r="K1169" s="24" t="str">
        <x:v>-11 a +10</x:v>
      </x:c>
      <x:c r="L1169" s="24" t="str">
        <x:v>até -6</x:v>
      </x:c>
      <x:c r="M1169" s="24"/>
      <x:c r="N1169" s="24" t="str">
        <x:v>75/80</x:v>
      </x:c>
      <x:c r="O1169" s="24"/>
      <x:c r="P1169" s="24"/>
      <x:c r="Q1169" s="24" t="str">
        <x:v>DISPONÍVEL</x:v>
      </x:c>
      <x:c r="R1169" s="24"/>
      <x:c r="S1169" s="24" t="n">
        <x:v>11</x:v>
      </x:c>
      <x:c r="T1169" s="24" t="str">
        <x:v>tabela_rodenstock.pdf</x:v>
      </x:c>
      <x:c r="U1169" s="24" t="str">
        <x:v>Rodenstock|Progressiva B.I.G. NORM|Surfaçada|Impression B.I.G. NORM|ColorMatic® 3 | X|1.6|1.60|ROAD|-11 a +10|até -6||75/80|||11</x:v>
      </x:c>
    </x:row>
    <x:row r="1170">
      <x:c r="A1170" s="24" t="str">
        <x:v>RD-FE28361AC465</x:v>
      </x:c>
      <x:c r="B1170" s="24" t="str">
        <x:v>Rodenstock</x:v>
      </x:c>
      <x:c r="C1170" s="24" t="str">
        <x:v>Progressiva B.I.G. NORM</x:v>
      </x:c>
      <x:c r="D1170" s="24" t="str">
        <x:v>Surfaçada</x:v>
      </x:c>
      <x:c r="E1170" s="24" t="str">
        <x:v>Impression B.I.G. NORM</x:v>
      </x:c>
      <x:c r="F1170" s="24" t="str">
        <x:v>ColorMatic® 3 | X</x:v>
      </x:c>
      <x:c r="G1170" s="24" t="str">
        <x:v>1.6</x:v>
      </x:c>
      <x:c r="H1170" s="24" t="str">
        <x:v>1.60</x:v>
      </x:c>
      <x:c r="I1170" s="24" t="str">
        <x:v>Solitaire Protect</x:v>
      </x:c>
      <x:c r="J1170" s="40" t="n">
        <x:v>12948</x:v>
      </x:c>
      <x:c r="K1170" s="24" t="str">
        <x:v>-11 a +10</x:v>
      </x:c>
      <x:c r="L1170" s="24" t="str">
        <x:v>até -6</x:v>
      </x:c>
      <x:c r="M1170" s="24"/>
      <x:c r="N1170" s="24" t="str">
        <x:v>75/80</x:v>
      </x:c>
      <x:c r="O1170" s="24"/>
      <x:c r="P1170" s="24"/>
      <x:c r="Q1170" s="24" t="str">
        <x:v>DISPONÍVEL</x:v>
      </x:c>
      <x:c r="R1170" s="24"/>
      <x:c r="S1170" s="24" t="n">
        <x:v>11</x:v>
      </x:c>
      <x:c r="T1170" s="24" t="str">
        <x:v>tabela_rodenstock.pdf</x:v>
      </x:c>
      <x:c r="U1170" s="24" t="str">
        <x:v>Rodenstock|Progressiva B.I.G. NORM|Surfaçada|Impression B.I.G. NORM|ColorMatic® 3 | X|1.6|1.60|Solitaire Protect|-11 a +10|até -6||75/80|||11</x:v>
      </x:c>
    </x:row>
    <x:row r="1171">
      <x:c r="A1171" s="24" t="str">
        <x:v>RD-0EE0BDECBA1A</x:v>
      </x:c>
      <x:c r="B1171" s="24" t="str">
        <x:v>Rodenstock</x:v>
      </x:c>
      <x:c r="C1171" s="24" t="str">
        <x:v>Progressiva B.I.G. NORM</x:v>
      </x:c>
      <x:c r="D1171" s="24" t="str">
        <x:v>Surfaçada</x:v>
      </x:c>
      <x:c r="E1171" s="24" t="str">
        <x:v>Impression B.I.G. NORM</x:v>
      </x:c>
      <x:c r="F1171" s="24"/>
      <x:c r="G1171" s="24" t="str">
        <x:v>1.67</x:v>
      </x:c>
      <x:c r="H1171" s="24" t="str">
        <x:v>1.67</x:v>
      </x:c>
      <x:c r="I1171" s="24" t="str">
        <x:v>LayR X-tra Clean</x:v>
      </x:c>
      <x:c r="J1171" s="40" t="n">
        <x:v>14165</x:v>
      </x:c>
      <x:c r="K1171" s="24" t="str">
        <x:v>-12 a +10</x:v>
      </x:c>
      <x:c r="L1171" s="24" t="str">
        <x:v>até -6</x:v>
      </x:c>
      <x:c r="M1171" s="24"/>
      <x:c r="N1171" s="24" t="str">
        <x:v>75/80</x:v>
      </x:c>
      <x:c r="O1171" s="24"/>
      <x:c r="P1171" s="24"/>
      <x:c r="Q1171" s="24" t="str">
        <x:v>DISPONÍVEL</x:v>
      </x:c>
      <x:c r="R1171" s="24"/>
      <x:c r="S1171" s="24" t="n">
        <x:v>11</x:v>
      </x:c>
      <x:c r="T1171" s="24" t="str">
        <x:v>tabela_rodenstock.pdf</x:v>
      </x:c>
      <x:c r="U1171" s="24" t="str">
        <x:v>Rodenstock|Progressiva B.I.G. NORM|Surfaçada|Impression B.I.G. NORM||1.67|1.67|LayR X-tra Clean|-12 a +10|até -6||75/80|||11</x:v>
      </x:c>
    </x:row>
    <x:row r="1172">
      <x:c r="A1172" s="24" t="str">
        <x:v>RD-C2A3E495D20A</x:v>
      </x:c>
      <x:c r="B1172" s="24" t="str">
        <x:v>Rodenstock</x:v>
      </x:c>
      <x:c r="C1172" s="24" t="str">
        <x:v>Progressiva B.I.G. NORM</x:v>
      </x:c>
      <x:c r="D1172" s="24" t="str">
        <x:v>Surfaçada</x:v>
      </x:c>
      <x:c r="E1172" s="24" t="str">
        <x:v>Impression B.I.G. NORM</x:v>
      </x:c>
      <x:c r="F1172" s="24"/>
      <x:c r="G1172" s="24" t="str">
        <x:v>1.67</x:v>
      </x:c>
      <x:c r="H1172" s="24" t="str">
        <x:v>1.67</x:v>
      </x:c>
      <x:c r="I1172" s="24" t="str">
        <x:v>LayR Balance</x:v>
      </x:c>
      <x:c r="J1172" s="40" t="n">
        <x:v>14165</x:v>
      </x:c>
      <x:c r="K1172" s="24" t="str">
        <x:v>-12 a +10</x:v>
      </x:c>
      <x:c r="L1172" s="24" t="str">
        <x:v>até -6</x:v>
      </x:c>
      <x:c r="M1172" s="24"/>
      <x:c r="N1172" s="24" t="str">
        <x:v>75/80</x:v>
      </x:c>
      <x:c r="O1172" s="24"/>
      <x:c r="P1172" s="24"/>
      <x:c r="Q1172" s="24" t="str">
        <x:v>DISPONÍVEL</x:v>
      </x:c>
      <x:c r="R1172" s="24"/>
      <x:c r="S1172" s="24" t="n">
        <x:v>11</x:v>
      </x:c>
      <x:c r="T1172" s="24" t="str">
        <x:v>tabela_rodenstock.pdf</x:v>
      </x:c>
      <x:c r="U1172" s="24" t="str">
        <x:v>Rodenstock|Progressiva B.I.G. NORM|Surfaçada|Impression B.I.G. NORM||1.67|1.67|LayR Balance|-12 a +10|até -6||75/80|||11</x:v>
      </x:c>
    </x:row>
    <x:row r="1173">
      <x:c r="A1173" s="24" t="str">
        <x:v>RD-BF4FFA79B1E3</x:v>
      </x:c>
      <x:c r="B1173" s="24" t="str">
        <x:v>Rodenstock</x:v>
      </x:c>
      <x:c r="C1173" s="24" t="str">
        <x:v>Progressiva B.I.G. NORM</x:v>
      </x:c>
      <x:c r="D1173" s="24" t="str">
        <x:v>Surfaçada</x:v>
      </x:c>
      <x:c r="E1173" s="24" t="str">
        <x:v>Impression B.I.G. NORM</x:v>
      </x:c>
      <x:c r="F1173" s="24"/>
      <x:c r="G1173" s="24" t="str">
        <x:v>1.67</x:v>
      </x:c>
      <x:c r="H1173" s="24" t="str">
        <x:v>1.67</x:v>
      </x:c>
      <x:c r="I1173" s="24" t="str">
        <x:v>Solitaire X-tra Clean</x:v>
      </x:c>
      <x:c r="J1173" s="40" t="n">
        <x:v>14095</x:v>
      </x:c>
      <x:c r="K1173" s="24" t="str">
        <x:v>-12 a +10</x:v>
      </x:c>
      <x:c r="L1173" s="24" t="str">
        <x:v>até -6</x:v>
      </x:c>
      <x:c r="M1173" s="24"/>
      <x:c r="N1173" s="24" t="str">
        <x:v>75/80</x:v>
      </x:c>
      <x:c r="O1173" s="24"/>
      <x:c r="P1173" s="24"/>
      <x:c r="Q1173" s="24" t="str">
        <x:v>DISPONÍVEL</x:v>
      </x:c>
      <x:c r="R1173" s="24"/>
      <x:c r="S1173" s="24" t="n">
        <x:v>11</x:v>
      </x:c>
      <x:c r="T1173" s="24" t="str">
        <x:v>tabela_rodenstock.pdf</x:v>
      </x:c>
      <x:c r="U1173" s="24" t="str">
        <x:v>Rodenstock|Progressiva B.I.G. NORM|Surfaçada|Impression B.I.G. NORM||1.67|1.67|Solitaire X-tra Clean|-12 a +10|até -6||75/80|||11</x:v>
      </x:c>
    </x:row>
    <x:row r="1174">
      <x:c r="A1174" s="24" t="str">
        <x:v>RD-A464BF193700</x:v>
      </x:c>
      <x:c r="B1174" s="24" t="str">
        <x:v>Rodenstock</x:v>
      </x:c>
      <x:c r="C1174" s="24" t="str">
        <x:v>Progressiva B.I.G. NORM</x:v>
      </x:c>
      <x:c r="D1174" s="24" t="str">
        <x:v>Surfaçada</x:v>
      </x:c>
      <x:c r="E1174" s="24" t="str">
        <x:v>Impression B.I.G. NORM</x:v>
      </x:c>
      <x:c r="F1174" s="24"/>
      <x:c r="G1174" s="24" t="str">
        <x:v>1.67</x:v>
      </x:c>
      <x:c r="H1174" s="24" t="str">
        <x:v>1.67</x:v>
      </x:c>
      <x:c r="I1174" s="24" t="str">
        <x:v>Solitaire Protect Plus</x:v>
      </x:c>
      <x:c r="J1174" s="40" t="n">
        <x:v>14045</x:v>
      </x:c>
      <x:c r="K1174" s="24" t="str">
        <x:v>-12 a +10</x:v>
      </x:c>
      <x:c r="L1174" s="24" t="str">
        <x:v>até -6</x:v>
      </x:c>
      <x:c r="M1174" s="24"/>
      <x:c r="N1174" s="24" t="str">
        <x:v>75/80</x:v>
      </x:c>
      <x:c r="O1174" s="24"/>
      <x:c r="P1174" s="24"/>
      <x:c r="Q1174" s="24" t="str">
        <x:v>DISPONÍVEL</x:v>
      </x:c>
      <x:c r="R1174" s="24"/>
      <x:c r="S1174" s="24" t="n">
        <x:v>11</x:v>
      </x:c>
      <x:c r="T1174" s="24" t="str">
        <x:v>tabela_rodenstock.pdf</x:v>
      </x:c>
      <x:c r="U1174" s="24" t="str">
        <x:v>Rodenstock|Progressiva B.I.G. NORM|Surfaçada|Impression B.I.G. NORM||1.67|1.67|Solitaire Protect Plus|-12 a +10|até -6||75/80|||11</x:v>
      </x:c>
    </x:row>
    <x:row r="1175">
      <x:c r="A1175" s="24" t="str">
        <x:v>RD-461F604CA0B6</x:v>
      </x:c>
      <x:c r="B1175" s="24" t="str">
        <x:v>Rodenstock</x:v>
      </x:c>
      <x:c r="C1175" s="24" t="str">
        <x:v>Progressiva B.I.G. NORM</x:v>
      </x:c>
      <x:c r="D1175" s="24" t="str">
        <x:v>Surfaçada</x:v>
      </x:c>
      <x:c r="E1175" s="24" t="str">
        <x:v>Impression B.I.G. NORM</x:v>
      </x:c>
      <x:c r="F1175" s="24"/>
      <x:c r="G1175" s="24" t="str">
        <x:v>1.67</x:v>
      </x:c>
      <x:c r="H1175" s="24" t="str">
        <x:v>1.67</x:v>
      </x:c>
      <x:c r="I1175" s="24" t="str">
        <x:v>ROAD</x:v>
      </x:c>
      <x:c r="J1175" s="40" t="n">
        <x:v>14045</x:v>
      </x:c>
      <x:c r="K1175" s="24" t="str">
        <x:v>-12 a +10</x:v>
      </x:c>
      <x:c r="L1175" s="24" t="str">
        <x:v>até -6</x:v>
      </x:c>
      <x:c r="M1175" s="24"/>
      <x:c r="N1175" s="24" t="str">
        <x:v>75/80</x:v>
      </x:c>
      <x:c r="O1175" s="24"/>
      <x:c r="P1175" s="24"/>
      <x:c r="Q1175" s="24" t="str">
        <x:v>DISPONÍVEL</x:v>
      </x:c>
      <x:c r="R1175" s="24"/>
      <x:c r="S1175" s="24" t="n">
        <x:v>11</x:v>
      </x:c>
      <x:c r="T1175" s="24" t="str">
        <x:v>tabela_rodenstock.pdf</x:v>
      </x:c>
      <x:c r="U1175" s="24" t="str">
        <x:v>Rodenstock|Progressiva B.I.G. NORM|Surfaçada|Impression B.I.G. NORM||1.67|1.67|ROAD|-12 a +10|até -6||75/80|||11</x:v>
      </x:c>
    </x:row>
    <x:row r="1176">
      <x:c r="A1176" s="24" t="str">
        <x:v>RD-749914C3B3F4</x:v>
      </x:c>
      <x:c r="B1176" s="24" t="str">
        <x:v>Rodenstock</x:v>
      </x:c>
      <x:c r="C1176" s="24" t="str">
        <x:v>Progressiva B.I.G. NORM</x:v>
      </x:c>
      <x:c r="D1176" s="24" t="str">
        <x:v>Surfaçada</x:v>
      </x:c>
      <x:c r="E1176" s="24" t="str">
        <x:v>Impression B.I.G. NORM</x:v>
      </x:c>
      <x:c r="F1176" s="24"/>
      <x:c r="G1176" s="24" t="str">
        <x:v>1.67</x:v>
      </x:c>
      <x:c r="H1176" s="24" t="str">
        <x:v>1.67</x:v>
      </x:c>
      <x:c r="I1176" s="24" t="str">
        <x:v>Solitaire Protect</x:v>
      </x:c>
      <x:c r="J1176" s="40" t="n">
        <x:v>13785</x:v>
      </x:c>
      <x:c r="K1176" s="24" t="str">
        <x:v>-12 a +10</x:v>
      </x:c>
      <x:c r="L1176" s="24" t="str">
        <x:v>até -6</x:v>
      </x:c>
      <x:c r="M1176" s="24"/>
      <x:c r="N1176" s="24" t="str">
        <x:v>75/80</x:v>
      </x:c>
      <x:c r="O1176" s="24"/>
      <x:c r="P1176" s="24"/>
      <x:c r="Q1176" s="24" t="str">
        <x:v>DISPONÍVEL</x:v>
      </x:c>
      <x:c r="R1176" s="24"/>
      <x:c r="S1176" s="24" t="n">
        <x:v>11</x:v>
      </x:c>
      <x:c r="T1176" s="24" t="str">
        <x:v>tabela_rodenstock.pdf</x:v>
      </x:c>
      <x:c r="U1176" s="24" t="str">
        <x:v>Rodenstock|Progressiva B.I.G. NORM|Surfaçada|Impression B.I.G. NORM||1.67|1.67|Solitaire Protect|-12 a +10|até -6||75/80|||11</x:v>
      </x:c>
    </x:row>
    <x:row r="1177">
      <x:c r="A1177" s="24" t="str">
        <x:v>RD-517DCA21E1B1</x:v>
      </x:c>
      <x:c r="B1177" s="24" t="str">
        <x:v>Rodenstock</x:v>
      </x:c>
      <x:c r="C1177" s="24" t="str">
        <x:v>Progressiva B.I.G. NORM</x:v>
      </x:c>
      <x:c r="D1177" s="24" t="str">
        <x:v>Surfaçada</x:v>
      </x:c>
      <x:c r="E1177" s="24" t="str">
        <x:v>Impression B.I.G. NORM</x:v>
      </x:c>
      <x:c r="F1177" s="24" t="str">
        <x:v>ColorMatic® 3</x:v>
      </x:c>
      <x:c r="G1177" s="24" t="str">
        <x:v>1.67</x:v>
      </x:c>
      <x:c r="H1177" s="24" t="str">
        <x:v>1.67</x:v>
      </x:c>
      <x:c r="I1177" s="24" t="str">
        <x:v>LayR X-tra Clean</x:v>
      </x:c>
      <x:c r="J1177" s="40" t="n">
        <x:v>15091</x:v>
      </x:c>
      <x:c r="K1177" s="24" t="str">
        <x:v>-12 a +10</x:v>
      </x:c>
      <x:c r="L1177" s="24" t="str">
        <x:v>até -6</x:v>
      </x:c>
      <x:c r="M1177" s="24"/>
      <x:c r="N1177" s="24" t="str">
        <x:v>75/80</x:v>
      </x:c>
      <x:c r="O1177" s="24"/>
      <x:c r="P1177" s="24"/>
      <x:c r="Q1177" s="24" t="str">
        <x:v>DISPONÍVEL</x:v>
      </x:c>
      <x:c r="R1177" s="24"/>
      <x:c r="S1177" s="24" t="n">
        <x:v>11</x:v>
      </x:c>
      <x:c r="T1177" s="24" t="str">
        <x:v>tabela_rodenstock.pdf</x:v>
      </x:c>
      <x:c r="U1177" s="24" t="str">
        <x:v>Rodenstock|Progressiva B.I.G. NORM|Surfaçada|Impression B.I.G. NORM|ColorMatic® 3|1.67|1.67|LayR X-tra Clean|-12 a +10|até -6||75/80|||11</x:v>
      </x:c>
    </x:row>
    <x:row r="1178">
      <x:c r="A1178" s="24" t="str">
        <x:v>RD-80F5A1A07DBE</x:v>
      </x:c>
      <x:c r="B1178" s="24" t="str">
        <x:v>Rodenstock</x:v>
      </x:c>
      <x:c r="C1178" s="24" t="str">
        <x:v>Progressiva B.I.G. NORM</x:v>
      </x:c>
      <x:c r="D1178" s="24" t="str">
        <x:v>Surfaçada</x:v>
      </x:c>
      <x:c r="E1178" s="24" t="str">
        <x:v>Impression B.I.G. NORM</x:v>
      </x:c>
      <x:c r="F1178" s="24" t="str">
        <x:v>ColorMatic® 3</x:v>
      </x:c>
      <x:c r="G1178" s="24" t="str">
        <x:v>1.67</x:v>
      </x:c>
      <x:c r="H1178" s="24" t="str">
        <x:v>1.67</x:v>
      </x:c>
      <x:c r="I1178" s="24" t="str">
        <x:v>LayR Balance</x:v>
      </x:c>
      <x:c r="J1178" s="40" t="n">
        <x:v>15091</x:v>
      </x:c>
      <x:c r="K1178" s="24" t="str">
        <x:v>-12 a +10</x:v>
      </x:c>
      <x:c r="L1178" s="24" t="str">
        <x:v>até -6</x:v>
      </x:c>
      <x:c r="M1178" s="24"/>
      <x:c r="N1178" s="24" t="str">
        <x:v>75/80</x:v>
      </x:c>
      <x:c r="O1178" s="24"/>
      <x:c r="P1178" s="24"/>
      <x:c r="Q1178" s="24" t="str">
        <x:v>DISPONÍVEL</x:v>
      </x:c>
      <x:c r="R1178" s="24"/>
      <x:c r="S1178" s="24" t="n">
        <x:v>11</x:v>
      </x:c>
      <x:c r="T1178" s="24" t="str">
        <x:v>tabela_rodenstock.pdf</x:v>
      </x:c>
      <x:c r="U1178" s="24" t="str">
        <x:v>Rodenstock|Progressiva B.I.G. NORM|Surfaçada|Impression B.I.G. NORM|ColorMatic® 3|1.67|1.67|LayR Balance|-12 a +10|até -6||75/80|||11</x:v>
      </x:c>
    </x:row>
    <x:row r="1179">
      <x:c r="A1179" s="24" t="str">
        <x:v>RD-6484255E2A82</x:v>
      </x:c>
      <x:c r="B1179" s="24" t="str">
        <x:v>Rodenstock</x:v>
      </x:c>
      <x:c r="C1179" s="24" t="str">
        <x:v>Progressiva B.I.G. NORM</x:v>
      </x:c>
      <x:c r="D1179" s="24" t="str">
        <x:v>Surfaçada</x:v>
      </x:c>
      <x:c r="E1179" s="24" t="str">
        <x:v>Impression B.I.G. NORM</x:v>
      </x:c>
      <x:c r="F1179" s="24" t="str">
        <x:v>ColorMatic® 3</x:v>
      </x:c>
      <x:c r="G1179" s="24" t="str">
        <x:v>1.67</x:v>
      </x:c>
      <x:c r="H1179" s="24" t="str">
        <x:v>1.67</x:v>
      </x:c>
      <x:c r="I1179" s="24" t="str">
        <x:v>Solitaire X-tra Clean</x:v>
      </x:c>
      <x:c r="J1179" s="40" t="n">
        <x:v>15021</x:v>
      </x:c>
      <x:c r="K1179" s="24" t="str">
        <x:v>-12 a +10</x:v>
      </x:c>
      <x:c r="L1179" s="24" t="str">
        <x:v>até -6</x:v>
      </x:c>
      <x:c r="M1179" s="24"/>
      <x:c r="N1179" s="24" t="str">
        <x:v>75/80</x:v>
      </x:c>
      <x:c r="O1179" s="24"/>
      <x:c r="P1179" s="24"/>
      <x:c r="Q1179" s="24" t="str">
        <x:v>DISPONÍVEL</x:v>
      </x:c>
      <x:c r="R1179" s="24"/>
      <x:c r="S1179" s="24" t="n">
        <x:v>11</x:v>
      </x:c>
      <x:c r="T1179" s="24" t="str">
        <x:v>tabela_rodenstock.pdf</x:v>
      </x:c>
      <x:c r="U1179" s="24" t="str">
        <x:v>Rodenstock|Progressiva B.I.G. NORM|Surfaçada|Impression B.I.G. NORM|ColorMatic® 3|1.67|1.67|Solitaire X-tra Clean|-12 a +10|até -6||75/80|||11</x:v>
      </x:c>
    </x:row>
    <x:row r="1180">
      <x:c r="A1180" s="24" t="str">
        <x:v>RD-9C097FA40B8C</x:v>
      </x:c>
      <x:c r="B1180" s="24" t="str">
        <x:v>Rodenstock</x:v>
      </x:c>
      <x:c r="C1180" s="24" t="str">
        <x:v>Progressiva B.I.G. NORM</x:v>
      </x:c>
      <x:c r="D1180" s="24" t="str">
        <x:v>Surfaçada</x:v>
      </x:c>
      <x:c r="E1180" s="24" t="str">
        <x:v>Impression B.I.G. NORM</x:v>
      </x:c>
      <x:c r="F1180" s="24" t="str">
        <x:v>ColorMatic® 3</x:v>
      </x:c>
      <x:c r="G1180" s="24" t="str">
        <x:v>1.67</x:v>
      </x:c>
      <x:c r="H1180" s="24" t="str">
        <x:v>1.67</x:v>
      </x:c>
      <x:c r="I1180" s="24" t="str">
        <x:v>Solitaire Protect Plus</x:v>
      </x:c>
      <x:c r="J1180" s="40" t="n">
        <x:v>14971</x:v>
      </x:c>
      <x:c r="K1180" s="24" t="str">
        <x:v>-12 a +10</x:v>
      </x:c>
      <x:c r="L1180" s="24" t="str">
        <x:v>até -6</x:v>
      </x:c>
      <x:c r="M1180" s="24"/>
      <x:c r="N1180" s="24" t="str">
        <x:v>75/80</x:v>
      </x:c>
      <x:c r="O1180" s="24"/>
      <x:c r="P1180" s="24"/>
      <x:c r="Q1180" s="24" t="str">
        <x:v>DISPONÍVEL</x:v>
      </x:c>
      <x:c r="R1180" s="24"/>
      <x:c r="S1180" s="24" t="n">
        <x:v>11</x:v>
      </x:c>
      <x:c r="T1180" s="24" t="str">
        <x:v>tabela_rodenstock.pdf</x:v>
      </x:c>
      <x:c r="U1180" s="24" t="str">
        <x:v>Rodenstock|Progressiva B.I.G. NORM|Surfaçada|Impression B.I.G. NORM|ColorMatic® 3|1.67|1.67|Solitaire Protect Plus|-12 a +10|até -6||75/80|||11</x:v>
      </x:c>
    </x:row>
    <x:row r="1181">
      <x:c r="A1181" s="24" t="str">
        <x:v>RD-6660158A0490</x:v>
      </x:c>
      <x:c r="B1181" s="24" t="str">
        <x:v>Rodenstock</x:v>
      </x:c>
      <x:c r="C1181" s="24" t="str">
        <x:v>Progressiva B.I.G. NORM</x:v>
      </x:c>
      <x:c r="D1181" s="24" t="str">
        <x:v>Surfaçada</x:v>
      </x:c>
      <x:c r="E1181" s="24" t="str">
        <x:v>Impression B.I.G. NORM</x:v>
      </x:c>
      <x:c r="F1181" s="24" t="str">
        <x:v>ColorMatic® 3</x:v>
      </x:c>
      <x:c r="G1181" s="24" t="str">
        <x:v>1.67</x:v>
      </x:c>
      <x:c r="H1181" s="24" t="str">
        <x:v>1.67</x:v>
      </x:c>
      <x:c r="I1181" s="24" t="str">
        <x:v>ROAD</x:v>
      </x:c>
      <x:c r="J1181" s="40" t="n">
        <x:v>14971</x:v>
      </x:c>
      <x:c r="K1181" s="24" t="str">
        <x:v>-12 a +10</x:v>
      </x:c>
      <x:c r="L1181" s="24" t="str">
        <x:v>até -6</x:v>
      </x:c>
      <x:c r="M1181" s="24"/>
      <x:c r="N1181" s="24" t="str">
        <x:v>75/80</x:v>
      </x:c>
      <x:c r="O1181" s="24"/>
      <x:c r="P1181" s="24"/>
      <x:c r="Q1181" s="24" t="str">
        <x:v>DISPONÍVEL</x:v>
      </x:c>
      <x:c r="R1181" s="24"/>
      <x:c r="S1181" s="24" t="n">
        <x:v>11</x:v>
      </x:c>
      <x:c r="T1181" s="24" t="str">
        <x:v>tabela_rodenstock.pdf</x:v>
      </x:c>
      <x:c r="U1181" s="24" t="str">
        <x:v>Rodenstock|Progressiva B.I.G. NORM|Surfaçada|Impression B.I.G. NORM|ColorMatic® 3|1.67|1.67|ROAD|-12 a +10|até -6||75/80|||11</x:v>
      </x:c>
    </x:row>
    <x:row r="1182">
      <x:c r="A1182" s="24" t="str">
        <x:v>RD-532E4A96461E</x:v>
      </x:c>
      <x:c r="B1182" s="24" t="str">
        <x:v>Rodenstock</x:v>
      </x:c>
      <x:c r="C1182" s="24" t="str">
        <x:v>Progressiva B.I.G. NORM</x:v>
      </x:c>
      <x:c r="D1182" s="24" t="str">
        <x:v>Surfaçada</x:v>
      </x:c>
      <x:c r="E1182" s="24" t="str">
        <x:v>Impression B.I.G. NORM</x:v>
      </x:c>
      <x:c r="F1182" s="24" t="str">
        <x:v>ColorMatic® 3</x:v>
      </x:c>
      <x:c r="G1182" s="24" t="str">
        <x:v>1.67</x:v>
      </x:c>
      <x:c r="H1182" s="24" t="str">
        <x:v>1.67</x:v>
      </x:c>
      <x:c r="I1182" s="24" t="str">
        <x:v>Solitaire Protect</x:v>
      </x:c>
      <x:c r="J1182" s="40" t="n">
        <x:v>14711</x:v>
      </x:c>
      <x:c r="K1182" s="24" t="str">
        <x:v>-12 a +10</x:v>
      </x:c>
      <x:c r="L1182" s="24" t="str">
        <x:v>até -6</x:v>
      </x:c>
      <x:c r="M1182" s="24"/>
      <x:c r="N1182" s="24" t="str">
        <x:v>75/80</x:v>
      </x:c>
      <x:c r="O1182" s="24"/>
      <x:c r="P1182" s="24"/>
      <x:c r="Q1182" s="24" t="str">
        <x:v>DISPONÍVEL</x:v>
      </x:c>
      <x:c r="R1182" s="24"/>
      <x:c r="S1182" s="24" t="n">
        <x:v>11</x:v>
      </x:c>
      <x:c r="T1182" s="24" t="str">
        <x:v>tabela_rodenstock.pdf</x:v>
      </x:c>
      <x:c r="U1182" s="24" t="str">
        <x:v>Rodenstock|Progressiva B.I.G. NORM|Surfaçada|Impression B.I.G. NORM|ColorMatic® 3|1.67|1.67|Solitaire Protect|-12 a +10|até -6||75/80|||11</x:v>
      </x:c>
    </x:row>
    <x:row r="1183">
      <x:c r="A1183" s="24" t="str">
        <x:v>RD-9DA886F36A59</x:v>
      </x:c>
      <x:c r="B1183" s="24" t="str">
        <x:v>Rodenstock</x:v>
      </x:c>
      <x:c r="C1183" s="24" t="str">
        <x:v>Progressiva B.I.G. NORM</x:v>
      </x:c>
      <x:c r="D1183" s="24" t="str">
        <x:v>Surfaçada</x:v>
      </x:c>
      <x:c r="E1183" s="24" t="str">
        <x:v>Impression B.I.G. NORM</x:v>
      </x:c>
      <x:c r="F1183" s="24"/>
      <x:c r="G1183" s="24" t="str">
        <x:v>1.74</x:v>
      </x:c>
      <x:c r="H1183" s="24" t="str">
        <x:v>1.74</x:v>
      </x:c>
      <x:c r="I1183" s="24" t="str">
        <x:v>LayR X-tra Clean</x:v>
      </x:c>
      <x:c r="J1183" s="40" t="n">
        <x:v>15360</x:v>
      </x:c>
      <x:c r="K1183" s="24" t="str">
        <x:v>-18 a +13</x:v>
      </x:c>
      <x:c r="L1183" s="24" t="str">
        <x:v>até -6</x:v>
      </x:c>
      <x:c r="M1183" s="24"/>
      <x:c r="N1183" s="24" t="str">
        <x:v>75/80</x:v>
      </x:c>
      <x:c r="O1183" s="24"/>
      <x:c r="P1183" s="24"/>
      <x:c r="Q1183" s="24" t="str">
        <x:v>DISPONÍVEL</x:v>
      </x:c>
      <x:c r="R1183" s="24"/>
      <x:c r="S1183" s="24" t="n">
        <x:v>11</x:v>
      </x:c>
      <x:c r="T1183" s="24" t="str">
        <x:v>tabela_rodenstock.pdf</x:v>
      </x:c>
      <x:c r="U1183" s="24" t="str">
        <x:v>Rodenstock|Progressiva B.I.G. NORM|Surfaçada|Impression B.I.G. NORM||1.74|1.74|LayR X-tra Clean|-18 a +13|até -6||75/80|||11</x:v>
      </x:c>
    </x:row>
    <x:row r="1184">
      <x:c r="A1184" s="24" t="str">
        <x:v>RD-B353782AF356</x:v>
      </x:c>
      <x:c r="B1184" s="24" t="str">
        <x:v>Rodenstock</x:v>
      </x:c>
      <x:c r="C1184" s="24" t="str">
        <x:v>Progressiva B.I.G. NORM</x:v>
      </x:c>
      <x:c r="D1184" s="24" t="str">
        <x:v>Surfaçada</x:v>
      </x:c>
      <x:c r="E1184" s="24" t="str">
        <x:v>Impression B.I.G. NORM</x:v>
      </x:c>
      <x:c r="F1184" s="24"/>
      <x:c r="G1184" s="24" t="str">
        <x:v>1.74</x:v>
      </x:c>
      <x:c r="H1184" s="24" t="str">
        <x:v>1.74</x:v>
      </x:c>
      <x:c r="I1184" s="24" t="str">
        <x:v>LayR Balance</x:v>
      </x:c>
      <x:c r="J1184" s="40" t="n">
        <x:v>15360</x:v>
      </x:c>
      <x:c r="K1184" s="24" t="str">
        <x:v>-18 a +13</x:v>
      </x:c>
      <x:c r="L1184" s="24" t="str">
        <x:v>até -6</x:v>
      </x:c>
      <x:c r="M1184" s="24"/>
      <x:c r="N1184" s="24" t="str">
        <x:v>75/80</x:v>
      </x:c>
      <x:c r="O1184" s="24"/>
      <x:c r="P1184" s="24"/>
      <x:c r="Q1184" s="24" t="str">
        <x:v>DISPONÍVEL</x:v>
      </x:c>
      <x:c r="R1184" s="24"/>
      <x:c r="S1184" s="24" t="n">
        <x:v>11</x:v>
      </x:c>
      <x:c r="T1184" s="24" t="str">
        <x:v>tabela_rodenstock.pdf</x:v>
      </x:c>
      <x:c r="U1184" s="24" t="str">
        <x:v>Rodenstock|Progressiva B.I.G. NORM|Surfaçada|Impression B.I.G. NORM||1.74|1.74|LayR Balance|-18 a +13|até -6||75/80|||11</x:v>
      </x:c>
    </x:row>
    <x:row r="1185">
      <x:c r="A1185" s="24" t="str">
        <x:v>RD-272DC6AC5197</x:v>
      </x:c>
      <x:c r="B1185" s="24" t="str">
        <x:v>Rodenstock</x:v>
      </x:c>
      <x:c r="C1185" s="24" t="str">
        <x:v>Progressiva B.I.G. NORM</x:v>
      </x:c>
      <x:c r="D1185" s="24" t="str">
        <x:v>Surfaçada</x:v>
      </x:c>
      <x:c r="E1185" s="24" t="str">
        <x:v>Impression B.I.G. NORM</x:v>
      </x:c>
      <x:c r="F1185" s="24"/>
      <x:c r="G1185" s="24" t="str">
        <x:v>1.74</x:v>
      </x:c>
      <x:c r="H1185" s="24" t="str">
        <x:v>1.74</x:v>
      </x:c>
      <x:c r="I1185" s="24" t="str">
        <x:v>Solitaire X-tra Clean</x:v>
      </x:c>
      <x:c r="J1185" s="40" t="n">
        <x:v>15290</x:v>
      </x:c>
      <x:c r="K1185" s="24" t="str">
        <x:v>-18 a +13</x:v>
      </x:c>
      <x:c r="L1185" s="24" t="str">
        <x:v>até -6</x:v>
      </x:c>
      <x:c r="M1185" s="24"/>
      <x:c r="N1185" s="24" t="str">
        <x:v>75/80</x:v>
      </x:c>
      <x:c r="O1185" s="24"/>
      <x:c r="P1185" s="24"/>
      <x:c r="Q1185" s="24" t="str">
        <x:v>DISPONÍVEL</x:v>
      </x:c>
      <x:c r="R1185" s="24"/>
      <x:c r="S1185" s="24" t="n">
        <x:v>11</x:v>
      </x:c>
      <x:c r="T1185" s="24" t="str">
        <x:v>tabela_rodenstock.pdf</x:v>
      </x:c>
      <x:c r="U1185" s="24" t="str">
        <x:v>Rodenstock|Progressiva B.I.G. NORM|Surfaçada|Impression B.I.G. NORM||1.74|1.74|Solitaire X-tra Clean|-18 a +13|até -6||75/80|||11</x:v>
      </x:c>
    </x:row>
    <x:row r="1186">
      <x:c r="A1186" s="24" t="str">
        <x:v>RD-81886C51AFBF</x:v>
      </x:c>
      <x:c r="B1186" s="24" t="str">
        <x:v>Rodenstock</x:v>
      </x:c>
      <x:c r="C1186" s="24" t="str">
        <x:v>Progressiva B.I.G. NORM</x:v>
      </x:c>
      <x:c r="D1186" s="24" t="str">
        <x:v>Surfaçada</x:v>
      </x:c>
      <x:c r="E1186" s="24" t="str">
        <x:v>Impression B.I.G. NORM</x:v>
      </x:c>
      <x:c r="F1186" s="24"/>
      <x:c r="G1186" s="24" t="str">
        <x:v>1.74</x:v>
      </x:c>
      <x:c r="H1186" s="24" t="str">
        <x:v>1.74</x:v>
      </x:c>
      <x:c r="I1186" s="24" t="str">
        <x:v>Solitaire Protect Plus</x:v>
      </x:c>
      <x:c r="J1186" s="40" t="n">
        <x:v>15240</x:v>
      </x:c>
      <x:c r="K1186" s="24" t="str">
        <x:v>-18 a +13</x:v>
      </x:c>
      <x:c r="L1186" s="24" t="str">
        <x:v>até -6</x:v>
      </x:c>
      <x:c r="M1186" s="24"/>
      <x:c r="N1186" s="24" t="str">
        <x:v>75/80</x:v>
      </x:c>
      <x:c r="O1186" s="24"/>
      <x:c r="P1186" s="24"/>
      <x:c r="Q1186" s="24" t="str">
        <x:v>DISPONÍVEL</x:v>
      </x:c>
      <x:c r="R1186" s="24"/>
      <x:c r="S1186" s="24" t="n">
        <x:v>11</x:v>
      </x:c>
      <x:c r="T1186" s="24" t="str">
        <x:v>tabela_rodenstock.pdf</x:v>
      </x:c>
      <x:c r="U1186" s="24" t="str">
        <x:v>Rodenstock|Progressiva B.I.G. NORM|Surfaçada|Impression B.I.G. NORM||1.74|1.74|Solitaire Protect Plus|-18 a +13|até -6||75/80|||11</x:v>
      </x:c>
    </x:row>
    <x:row r="1187">
      <x:c r="A1187" s="24" t="str">
        <x:v>RD-C5D799D5412E</x:v>
      </x:c>
      <x:c r="B1187" s="24" t="str">
        <x:v>Rodenstock</x:v>
      </x:c>
      <x:c r="C1187" s="24" t="str">
        <x:v>Progressiva B.I.G. NORM</x:v>
      </x:c>
      <x:c r="D1187" s="24" t="str">
        <x:v>Surfaçada</x:v>
      </x:c>
      <x:c r="E1187" s="24" t="str">
        <x:v>Impression B.I.G. NORM</x:v>
      </x:c>
      <x:c r="F1187" s="24"/>
      <x:c r="G1187" s="24" t="str">
        <x:v>1.74</x:v>
      </x:c>
      <x:c r="H1187" s="24" t="str">
        <x:v>1.74</x:v>
      </x:c>
      <x:c r="I1187" s="24" t="str">
        <x:v>Solitaire Protect</x:v>
      </x:c>
      <x:c r="J1187" s="40" t="n">
        <x:v>14980</x:v>
      </x:c>
      <x:c r="K1187" s="24" t="str">
        <x:v>-18 a +13</x:v>
      </x:c>
      <x:c r="L1187" s="24" t="str">
        <x:v>até -6</x:v>
      </x:c>
      <x:c r="M1187" s="24"/>
      <x:c r="N1187" s="24" t="str">
        <x:v>75/80</x:v>
      </x:c>
      <x:c r="O1187" s="24"/>
      <x:c r="P1187" s="24"/>
      <x:c r="Q1187" s="24" t="str">
        <x:v>DISPONÍVEL</x:v>
      </x:c>
      <x:c r="R1187" s="24"/>
      <x:c r="S1187" s="24" t="n">
        <x:v>11</x:v>
      </x:c>
      <x:c r="T1187" s="24" t="str">
        <x:v>tabela_rodenstock.pdf</x:v>
      </x:c>
      <x:c r="U1187" s="24" t="str">
        <x:v>Rodenstock|Progressiva B.I.G. NORM|Surfaçada|Impression B.I.G. NORM||1.74|1.74|Solitaire Protect|-18 a +13|até -6||75/80|||11</x:v>
      </x:c>
    </x:row>
    <x:row r="1188">
      <x:c r="A1188" s="24" t="str">
        <x:v>RD-EBA4ED411DD2</x:v>
      </x:c>
      <x:c r="B1188" s="24" t="str">
        <x:v>Rodenstock</x:v>
      </x:c>
      <x:c r="C1188" s="24" t="str">
        <x:v>Progressiva B.I.G. NORM</x:v>
      </x:c>
      <x:c r="D1188" s="24" t="str">
        <x:v>Surfaçada</x:v>
      </x:c>
      <x:c r="E1188" s="24" t="str">
        <x:v>Multigressiv B.I.G. NORM</x:v>
      </x:c>
      <x:c r="F1188" s="24"/>
      <x:c r="G1188" s="24" t="str">
        <x:v>1.5</x:v>
      </x:c>
      <x:c r="H1188" s="24" t="str">
        <x:v>1.50</x:v>
      </x:c>
      <x:c r="I1188" s="24" t="str">
        <x:v>LayR X-tra Clean</x:v>
      </x:c>
      <x:c r="J1188" s="40" t="n">
        <x:v>7213</x:v>
      </x:c>
      <x:c r="K1188" s="24" t="str">
        <x:v>-8 a +8</x:v>
      </x:c>
      <x:c r="L1188" s="24" t="str">
        <x:v>até -6</x:v>
      </x:c>
      <x:c r="M1188" s="24"/>
      <x:c r="N1188" s="24" t="str">
        <x:v>75/80</x:v>
      </x:c>
      <x:c r="O1188" s="24"/>
      <x:c r="P1188" s="24"/>
      <x:c r="Q1188" s="24" t="str">
        <x:v>DISPONÍVEL</x:v>
      </x:c>
      <x:c r="R1188" s="24"/>
      <x:c r="S1188" s="24" t="n">
        <x:v>11</x:v>
      </x:c>
      <x:c r="T1188" s="24" t="str">
        <x:v>tabela_rodenstock.pdf</x:v>
      </x:c>
      <x:c r="U1188" s="24" t="str">
        <x:v>Rodenstock|Progressiva B.I.G. NORM|Surfaçada|Multigressiv B.I.G. NORM||1.5|1.50|LayR X-tra Clean|-8 a +8|até -6||75/80|||11</x:v>
      </x:c>
    </x:row>
    <x:row r="1189">
      <x:c r="A1189" s="24" t="str">
        <x:v>RD-5C197FBC95B7</x:v>
      </x:c>
      <x:c r="B1189" s="24" t="str">
        <x:v>Rodenstock</x:v>
      </x:c>
      <x:c r="C1189" s="24" t="str">
        <x:v>Progressiva B.I.G. NORM</x:v>
      </x:c>
      <x:c r="D1189" s="24" t="str">
        <x:v>Surfaçada</x:v>
      </x:c>
      <x:c r="E1189" s="24" t="str">
        <x:v>Multigressiv B.I.G. NORM</x:v>
      </x:c>
      <x:c r="F1189" s="24"/>
      <x:c r="G1189" s="24" t="str">
        <x:v>1.5</x:v>
      </x:c>
      <x:c r="H1189" s="24" t="str">
        <x:v>1.50</x:v>
      </x:c>
      <x:c r="I1189" s="24" t="str">
        <x:v>LayR Balance</x:v>
      </x:c>
      <x:c r="J1189" s="40" t="n">
        <x:v>7213</x:v>
      </x:c>
      <x:c r="K1189" s="24" t="str">
        <x:v>-8 a +8</x:v>
      </x:c>
      <x:c r="L1189" s="24" t="str">
        <x:v>até -6</x:v>
      </x:c>
      <x:c r="M1189" s="24"/>
      <x:c r="N1189" s="24" t="str">
        <x:v>75/80</x:v>
      </x:c>
      <x:c r="O1189" s="24"/>
      <x:c r="P1189" s="24"/>
      <x:c r="Q1189" s="24" t="str">
        <x:v>DISPONÍVEL</x:v>
      </x:c>
      <x:c r="R1189" s="24"/>
      <x:c r="S1189" s="24" t="n">
        <x:v>11</x:v>
      </x:c>
      <x:c r="T1189" s="24" t="str">
        <x:v>tabela_rodenstock.pdf</x:v>
      </x:c>
      <x:c r="U1189" s="24" t="str">
        <x:v>Rodenstock|Progressiva B.I.G. NORM|Surfaçada|Multigressiv B.I.G. NORM||1.5|1.50|LayR Balance|-8 a +8|até -6||75/80|||11</x:v>
      </x:c>
    </x:row>
    <x:row r="1190">
      <x:c r="A1190" s="24" t="str">
        <x:v>RD-7FE6777A8D06</x:v>
      </x:c>
      <x:c r="B1190" s="24" t="str">
        <x:v>Rodenstock</x:v>
      </x:c>
      <x:c r="C1190" s="24" t="str">
        <x:v>Progressiva B.I.G. NORM</x:v>
      </x:c>
      <x:c r="D1190" s="24" t="str">
        <x:v>Surfaçada</x:v>
      </x:c>
      <x:c r="E1190" s="24" t="str">
        <x:v>Multigressiv B.I.G. NORM</x:v>
      </x:c>
      <x:c r="F1190" s="24"/>
      <x:c r="G1190" s="24" t="str">
        <x:v>1.5</x:v>
      </x:c>
      <x:c r="H1190" s="24" t="str">
        <x:v>1.50</x:v>
      </x:c>
      <x:c r="I1190" s="24" t="str">
        <x:v>Solitaire X-tra Clean</x:v>
      </x:c>
      <x:c r="J1190" s="40" t="n">
        <x:v>7143</x:v>
      </x:c>
      <x:c r="K1190" s="24" t="str">
        <x:v>-8 a +8</x:v>
      </x:c>
      <x:c r="L1190" s="24" t="str">
        <x:v>até -6</x:v>
      </x:c>
      <x:c r="M1190" s="24"/>
      <x:c r="N1190" s="24" t="str">
        <x:v>75/80</x:v>
      </x:c>
      <x:c r="O1190" s="24"/>
      <x:c r="P1190" s="24"/>
      <x:c r="Q1190" s="24" t="str">
        <x:v>DISPONÍVEL</x:v>
      </x:c>
      <x:c r="R1190" s="24"/>
      <x:c r="S1190" s="24" t="n">
        <x:v>11</x:v>
      </x:c>
      <x:c r="T1190" s="24" t="str">
        <x:v>tabela_rodenstock.pdf</x:v>
      </x:c>
      <x:c r="U1190" s="24" t="str">
        <x:v>Rodenstock|Progressiva B.I.G. NORM|Surfaçada|Multigressiv B.I.G. NORM||1.5|1.50|Solitaire X-tra Clean|-8 a +8|até -6||75/80|||11</x:v>
      </x:c>
    </x:row>
    <x:row r="1191">
      <x:c r="A1191" s="24" t="str">
        <x:v>RD-F8EB087DC1BB</x:v>
      </x:c>
      <x:c r="B1191" s="24" t="str">
        <x:v>Rodenstock</x:v>
      </x:c>
      <x:c r="C1191" s="24" t="str">
        <x:v>Progressiva B.I.G. NORM</x:v>
      </x:c>
      <x:c r="D1191" s="24" t="str">
        <x:v>Surfaçada</x:v>
      </x:c>
      <x:c r="E1191" s="24" t="str">
        <x:v>Multigressiv B.I.G. NORM</x:v>
      </x:c>
      <x:c r="F1191" s="24"/>
      <x:c r="G1191" s="24" t="str">
        <x:v>1.5</x:v>
      </x:c>
      <x:c r="H1191" s="24" t="str">
        <x:v>1.50</x:v>
      </x:c>
      <x:c r="I1191" s="24" t="str">
        <x:v>Solitaire Protect Plus</x:v>
      </x:c>
      <x:c r="J1191" s="40" t="n">
        <x:v>7093</x:v>
      </x:c>
      <x:c r="K1191" s="24" t="str">
        <x:v>-8 a +8</x:v>
      </x:c>
      <x:c r="L1191" s="24" t="str">
        <x:v>até -6</x:v>
      </x:c>
      <x:c r="M1191" s="24"/>
      <x:c r="N1191" s="24" t="str">
        <x:v>75/80</x:v>
      </x:c>
      <x:c r="O1191" s="24"/>
      <x:c r="P1191" s="24"/>
      <x:c r="Q1191" s="24" t="str">
        <x:v>DISPONÍVEL</x:v>
      </x:c>
      <x:c r="R1191" s="24"/>
      <x:c r="S1191" s="24" t="n">
        <x:v>11</x:v>
      </x:c>
      <x:c r="T1191" s="24" t="str">
        <x:v>tabela_rodenstock.pdf</x:v>
      </x:c>
      <x:c r="U1191" s="24" t="str">
        <x:v>Rodenstock|Progressiva B.I.G. NORM|Surfaçada|Multigressiv B.I.G. NORM||1.5|1.50|Solitaire Protect Plus|-8 a +8|até -6||75/80|||11</x:v>
      </x:c>
    </x:row>
    <x:row r="1192">
      <x:c r="A1192" s="24" t="str">
        <x:v>RD-C8E64EF5145F</x:v>
      </x:c>
      <x:c r="B1192" s="24" t="str">
        <x:v>Rodenstock</x:v>
      </x:c>
      <x:c r="C1192" s="24" t="str">
        <x:v>Progressiva B.I.G. NORM</x:v>
      </x:c>
      <x:c r="D1192" s="24" t="str">
        <x:v>Surfaçada</x:v>
      </x:c>
      <x:c r="E1192" s="24" t="str">
        <x:v>Multigressiv B.I.G. NORM</x:v>
      </x:c>
      <x:c r="F1192" s="24"/>
      <x:c r="G1192" s="24" t="str">
        <x:v>1.5</x:v>
      </x:c>
      <x:c r="H1192" s="24" t="str">
        <x:v>1.50</x:v>
      </x:c>
      <x:c r="I1192" s="24" t="str">
        <x:v>ROAD</x:v>
      </x:c>
      <x:c r="J1192" s="40" t="n">
        <x:v>7093</x:v>
      </x:c>
      <x:c r="K1192" s="24" t="str">
        <x:v>-8 a +8</x:v>
      </x:c>
      <x:c r="L1192" s="24" t="str">
        <x:v>até -6</x:v>
      </x:c>
      <x:c r="M1192" s="24"/>
      <x:c r="N1192" s="24" t="str">
        <x:v>75/80</x:v>
      </x:c>
      <x:c r="O1192" s="24"/>
      <x:c r="P1192" s="24"/>
      <x:c r="Q1192" s="24" t="str">
        <x:v>DISPONÍVEL</x:v>
      </x:c>
      <x:c r="R1192" s="24"/>
      <x:c r="S1192" s="24" t="n">
        <x:v>11</x:v>
      </x:c>
      <x:c r="T1192" s="24" t="str">
        <x:v>tabela_rodenstock.pdf</x:v>
      </x:c>
      <x:c r="U1192" s="24" t="str">
        <x:v>Rodenstock|Progressiva B.I.G. NORM|Surfaçada|Multigressiv B.I.G. NORM||1.5|1.50|ROAD|-8 a +8|até -6||75/80|||11</x:v>
      </x:c>
    </x:row>
    <x:row r="1193">
      <x:c r="A1193" s="24" t="str">
        <x:v>RD-838BC9B39843</x:v>
      </x:c>
      <x:c r="B1193" s="24" t="str">
        <x:v>Rodenstock</x:v>
      </x:c>
      <x:c r="C1193" s="24" t="str">
        <x:v>Progressiva B.I.G. NORM</x:v>
      </x:c>
      <x:c r="D1193" s="24" t="str">
        <x:v>Surfaçada</x:v>
      </x:c>
      <x:c r="E1193" s="24" t="str">
        <x:v>Multigressiv B.I.G. NORM</x:v>
      </x:c>
      <x:c r="F1193" s="24"/>
      <x:c r="G1193" s="24" t="str">
        <x:v>1.5</x:v>
      </x:c>
      <x:c r="H1193" s="24" t="str">
        <x:v>1.50</x:v>
      </x:c>
      <x:c r="I1193" s="24" t="str">
        <x:v>Solitaire Protect</x:v>
      </x:c>
      <x:c r="J1193" s="40" t="n">
        <x:v>6833</x:v>
      </x:c>
      <x:c r="K1193" s="24" t="str">
        <x:v>-8 a +8</x:v>
      </x:c>
      <x:c r="L1193" s="24" t="str">
        <x:v>até -6</x:v>
      </x:c>
      <x:c r="M1193" s="24"/>
      <x:c r="N1193" s="24" t="str">
        <x:v>75/80</x:v>
      </x:c>
      <x:c r="O1193" s="24"/>
      <x:c r="P1193" s="24"/>
      <x:c r="Q1193" s="24" t="str">
        <x:v>DISPONÍVEL</x:v>
      </x:c>
      <x:c r="R1193" s="24"/>
      <x:c r="S1193" s="24" t="n">
        <x:v>11</x:v>
      </x:c>
      <x:c r="T1193" s="24" t="str">
        <x:v>tabela_rodenstock.pdf</x:v>
      </x:c>
      <x:c r="U1193" s="24" t="str">
        <x:v>Rodenstock|Progressiva B.I.G. NORM|Surfaçada|Multigressiv B.I.G. NORM||1.5|1.50|Solitaire Protect|-8 a +8|até -6||75/80|||11</x:v>
      </x:c>
    </x:row>
    <x:row r="1194">
      <x:c r="A1194" s="24" t="str">
        <x:v>RD-5ECDC59229DC</x:v>
      </x:c>
      <x:c r="B1194" s="24" t="str">
        <x:v>Rodenstock</x:v>
      </x:c>
      <x:c r="C1194" s="24" t="str">
        <x:v>Progressiva B.I.G. NORM</x:v>
      </x:c>
      <x:c r="D1194" s="24" t="str">
        <x:v>Surfaçada</x:v>
      </x:c>
      <x:c r="E1194" s="24" t="str">
        <x:v>Multigressiv B.I.G. NORM</x:v>
      </x:c>
      <x:c r="F1194" s="24" t="str">
        <x:v>ColorMatic® 3</x:v>
      </x:c>
      <x:c r="G1194" s="24" t="str">
        <x:v>1.54</x:v>
      </x:c>
      <x:c r="H1194" s="24" t="str">
        <x:v>1.54</x:v>
      </x:c>
      <x:c r="I1194" s="24" t="str">
        <x:v>LayR X-tra Clean</x:v>
      </x:c>
      <x:c r="J1194" s="40" t="n">
        <x:v>8756</x:v>
      </x:c>
      <x:c r="K1194" s="24" t="str">
        <x:v>-8 a +8</x:v>
      </x:c>
      <x:c r="L1194" s="24" t="str">
        <x:v>até -6</x:v>
      </x:c>
      <x:c r="M1194" s="24"/>
      <x:c r="N1194" s="24" t="str">
        <x:v>75/80</x:v>
      </x:c>
      <x:c r="O1194" s="24"/>
      <x:c r="P1194" s="24"/>
      <x:c r="Q1194" s="24" t="str">
        <x:v>DISPONÍVEL</x:v>
      </x:c>
      <x:c r="R1194" s="24"/>
      <x:c r="S1194" s="24" t="n">
        <x:v>11</x:v>
      </x:c>
      <x:c r="T1194" s="24" t="str">
        <x:v>tabela_rodenstock.pdf</x:v>
      </x:c>
      <x:c r="U1194" s="24" t="str">
        <x:v>Rodenstock|Progressiva B.I.G. NORM|Surfaçada|Multigressiv B.I.G. NORM|ColorMatic® 3|1.54|1.54|LayR X-tra Clean|-8 a +8|até -6||75/80|||11</x:v>
      </x:c>
    </x:row>
    <x:row r="1195">
      <x:c r="A1195" s="24" t="str">
        <x:v>RD-1FA8FDDF3E45</x:v>
      </x:c>
      <x:c r="B1195" s="24" t="str">
        <x:v>Rodenstock</x:v>
      </x:c>
      <x:c r="C1195" s="24" t="str">
        <x:v>Progressiva B.I.G. NORM</x:v>
      </x:c>
      <x:c r="D1195" s="24" t="str">
        <x:v>Surfaçada</x:v>
      </x:c>
      <x:c r="E1195" s="24" t="str">
        <x:v>Multigressiv B.I.G. NORM</x:v>
      </x:c>
      <x:c r="F1195" s="24" t="str">
        <x:v>ColorMatic® 3</x:v>
      </x:c>
      <x:c r="G1195" s="24" t="str">
        <x:v>1.54</x:v>
      </x:c>
      <x:c r="H1195" s="24" t="str">
        <x:v>1.54</x:v>
      </x:c>
      <x:c r="I1195" s="24" t="str">
        <x:v>LayR Balance</x:v>
      </x:c>
      <x:c r="J1195" s="40" t="n">
        <x:v>8756</x:v>
      </x:c>
      <x:c r="K1195" s="24" t="str">
        <x:v>-8 a +8</x:v>
      </x:c>
      <x:c r="L1195" s="24" t="str">
        <x:v>até -6</x:v>
      </x:c>
      <x:c r="M1195" s="24"/>
      <x:c r="N1195" s="24" t="str">
        <x:v>75/80</x:v>
      </x:c>
      <x:c r="O1195" s="24"/>
      <x:c r="P1195" s="24"/>
      <x:c r="Q1195" s="24" t="str">
        <x:v>DISPONÍVEL</x:v>
      </x:c>
      <x:c r="R1195" s="24"/>
      <x:c r="S1195" s="24" t="n">
        <x:v>11</x:v>
      </x:c>
      <x:c r="T1195" s="24" t="str">
        <x:v>tabela_rodenstock.pdf</x:v>
      </x:c>
      <x:c r="U1195" s="24" t="str">
        <x:v>Rodenstock|Progressiva B.I.G. NORM|Surfaçada|Multigressiv B.I.G. NORM|ColorMatic® 3|1.54|1.54|LayR Balance|-8 a +8|até -6||75/80|||11</x:v>
      </x:c>
    </x:row>
    <x:row r="1196">
      <x:c r="A1196" s="24" t="str">
        <x:v>RD-4D08386880F9</x:v>
      </x:c>
      <x:c r="B1196" s="24" t="str">
        <x:v>Rodenstock</x:v>
      </x:c>
      <x:c r="C1196" s="24" t="str">
        <x:v>Progressiva B.I.G. NORM</x:v>
      </x:c>
      <x:c r="D1196" s="24" t="str">
        <x:v>Surfaçada</x:v>
      </x:c>
      <x:c r="E1196" s="24" t="str">
        <x:v>Multigressiv B.I.G. NORM</x:v>
      </x:c>
      <x:c r="F1196" s="24" t="str">
        <x:v>ColorMatic® 3</x:v>
      </x:c>
      <x:c r="G1196" s="24" t="str">
        <x:v>1.54</x:v>
      </x:c>
      <x:c r="H1196" s="24" t="str">
        <x:v>1.54</x:v>
      </x:c>
      <x:c r="I1196" s="24" t="str">
        <x:v>Solitaire X-tra Clean</x:v>
      </x:c>
      <x:c r="J1196" s="40" t="n">
        <x:v>8686</x:v>
      </x:c>
      <x:c r="K1196" s="24" t="str">
        <x:v>-8 a +8</x:v>
      </x:c>
      <x:c r="L1196" s="24" t="str">
        <x:v>até -6</x:v>
      </x:c>
      <x:c r="M1196" s="24"/>
      <x:c r="N1196" s="24" t="str">
        <x:v>75/80</x:v>
      </x:c>
      <x:c r="O1196" s="24"/>
      <x:c r="P1196" s="24"/>
      <x:c r="Q1196" s="24" t="str">
        <x:v>DISPONÍVEL</x:v>
      </x:c>
      <x:c r="R1196" s="24"/>
      <x:c r="S1196" s="24" t="n">
        <x:v>11</x:v>
      </x:c>
      <x:c r="T1196" s="24" t="str">
        <x:v>tabela_rodenstock.pdf</x:v>
      </x:c>
      <x:c r="U1196" s="24" t="str">
        <x:v>Rodenstock|Progressiva B.I.G. NORM|Surfaçada|Multigressiv B.I.G. NORM|ColorMatic® 3|1.54|1.54|Solitaire X-tra Clean|-8 a +8|até -6||75/80|||11</x:v>
      </x:c>
    </x:row>
    <x:row r="1197">
      <x:c r="A1197" s="24" t="str">
        <x:v>RD-B976E8473A4D</x:v>
      </x:c>
      <x:c r="B1197" s="24" t="str">
        <x:v>Rodenstock</x:v>
      </x:c>
      <x:c r="C1197" s="24" t="str">
        <x:v>Progressiva B.I.G. NORM</x:v>
      </x:c>
      <x:c r="D1197" s="24" t="str">
        <x:v>Surfaçada</x:v>
      </x:c>
      <x:c r="E1197" s="24" t="str">
        <x:v>Multigressiv B.I.G. NORM</x:v>
      </x:c>
      <x:c r="F1197" s="24" t="str">
        <x:v>ColorMatic® 3</x:v>
      </x:c>
      <x:c r="G1197" s="24" t="str">
        <x:v>1.54</x:v>
      </x:c>
      <x:c r="H1197" s="24" t="str">
        <x:v>1.54</x:v>
      </x:c>
      <x:c r="I1197" s="24" t="str">
        <x:v>Solitaire Protect Plus</x:v>
      </x:c>
      <x:c r="J1197" s="40" t="n">
        <x:v>8636</x:v>
      </x:c>
      <x:c r="K1197" s="24" t="str">
        <x:v>-8 a +8</x:v>
      </x:c>
      <x:c r="L1197" s="24" t="str">
        <x:v>até -6</x:v>
      </x:c>
      <x:c r="M1197" s="24"/>
      <x:c r="N1197" s="24" t="str">
        <x:v>75/80</x:v>
      </x:c>
      <x:c r="O1197" s="24"/>
      <x:c r="P1197" s="24"/>
      <x:c r="Q1197" s="24" t="str">
        <x:v>DISPONÍVEL</x:v>
      </x:c>
      <x:c r="R1197" s="24"/>
      <x:c r="S1197" s="24" t="n">
        <x:v>11</x:v>
      </x:c>
      <x:c r="T1197" s="24" t="str">
        <x:v>tabela_rodenstock.pdf</x:v>
      </x:c>
      <x:c r="U1197" s="24" t="str">
        <x:v>Rodenstock|Progressiva B.I.G. NORM|Surfaçada|Multigressiv B.I.G. NORM|ColorMatic® 3|1.54|1.54|Solitaire Protect Plus|-8 a +8|até -6||75/80|||11</x:v>
      </x:c>
    </x:row>
    <x:row r="1198">
      <x:c r="A1198" s="24" t="str">
        <x:v>RD-02764C55D9BA</x:v>
      </x:c>
      <x:c r="B1198" s="24" t="str">
        <x:v>Rodenstock</x:v>
      </x:c>
      <x:c r="C1198" s="24" t="str">
        <x:v>Progressiva B.I.G. NORM</x:v>
      </x:c>
      <x:c r="D1198" s="24" t="str">
        <x:v>Surfaçada</x:v>
      </x:c>
      <x:c r="E1198" s="24" t="str">
        <x:v>Multigressiv B.I.G. NORM</x:v>
      </x:c>
      <x:c r="F1198" s="24" t="str">
        <x:v>ColorMatic® 3</x:v>
      </x:c>
      <x:c r="G1198" s="24" t="str">
        <x:v>1.54</x:v>
      </x:c>
      <x:c r="H1198" s="24" t="str">
        <x:v>1.54</x:v>
      </x:c>
      <x:c r="I1198" s="24" t="str">
        <x:v>ROAD</x:v>
      </x:c>
      <x:c r="J1198" s="40" t="n">
        <x:v>8636</x:v>
      </x:c>
      <x:c r="K1198" s="24" t="str">
        <x:v>-8 a +8</x:v>
      </x:c>
      <x:c r="L1198" s="24" t="str">
        <x:v>até -6</x:v>
      </x:c>
      <x:c r="M1198" s="24"/>
      <x:c r="N1198" s="24" t="str">
        <x:v>75/80</x:v>
      </x:c>
      <x:c r="O1198" s="24"/>
      <x:c r="P1198" s="24"/>
      <x:c r="Q1198" s="24" t="str">
        <x:v>DISPONÍVEL</x:v>
      </x:c>
      <x:c r="R1198" s="24"/>
      <x:c r="S1198" s="24" t="n">
        <x:v>11</x:v>
      </x:c>
      <x:c r="T1198" s="24" t="str">
        <x:v>tabela_rodenstock.pdf</x:v>
      </x:c>
      <x:c r="U1198" s="24" t="str">
        <x:v>Rodenstock|Progressiva B.I.G. NORM|Surfaçada|Multigressiv B.I.G. NORM|ColorMatic® 3|1.54|1.54|ROAD|-8 a +8|até -6||75/80|||11</x:v>
      </x:c>
    </x:row>
    <x:row r="1199">
      <x:c r="A1199" s="24" t="str">
        <x:v>RD-B1BB16E85993</x:v>
      </x:c>
      <x:c r="B1199" s="24" t="str">
        <x:v>Rodenstock</x:v>
      </x:c>
      <x:c r="C1199" s="24" t="str">
        <x:v>Progressiva B.I.G. NORM</x:v>
      </x:c>
      <x:c r="D1199" s="24" t="str">
        <x:v>Surfaçada</x:v>
      </x:c>
      <x:c r="E1199" s="24" t="str">
        <x:v>Multigressiv B.I.G. NORM</x:v>
      </x:c>
      <x:c r="F1199" s="24" t="str">
        <x:v>ColorMatic® 3</x:v>
      </x:c>
      <x:c r="G1199" s="24" t="str">
        <x:v>1.54</x:v>
      </x:c>
      <x:c r="H1199" s="24" t="str">
        <x:v>1.54</x:v>
      </x:c>
      <x:c r="I1199" s="24" t="str">
        <x:v>Solitaire Protect</x:v>
      </x:c>
      <x:c r="J1199" s="40" t="n">
        <x:v>8376</x:v>
      </x:c>
      <x:c r="K1199" s="24" t="str">
        <x:v>-8 a +8</x:v>
      </x:c>
      <x:c r="L1199" s="24" t="str">
        <x:v>até -6</x:v>
      </x:c>
      <x:c r="M1199" s="24"/>
      <x:c r="N1199" s="24" t="str">
        <x:v>75/80</x:v>
      </x:c>
      <x:c r="O1199" s="24"/>
      <x:c r="P1199" s="24"/>
      <x:c r="Q1199" s="24" t="str">
        <x:v>DISPONÍVEL</x:v>
      </x:c>
      <x:c r="R1199" s="24"/>
      <x:c r="S1199" s="24" t="n">
        <x:v>11</x:v>
      </x:c>
      <x:c r="T1199" s="24" t="str">
        <x:v>tabela_rodenstock.pdf</x:v>
      </x:c>
      <x:c r="U1199" s="24" t="str">
        <x:v>Rodenstock|Progressiva B.I.G. NORM|Surfaçada|Multigressiv B.I.G. NORM|ColorMatic® 3|1.54|1.54|Solitaire Protect|-8 a +8|até -6||75/80|||11</x:v>
      </x:c>
    </x:row>
    <x:row r="1200">
      <x:c r="A1200" s="24" t="str">
        <x:v>RD-B5D2701EAED1</x:v>
      </x:c>
      <x:c r="B1200" s="24" t="str">
        <x:v>Rodenstock</x:v>
      </x:c>
      <x:c r="C1200" s="24" t="str">
        <x:v>Progressiva B.I.G. NORM</x:v>
      </x:c>
      <x:c r="D1200" s="24" t="str">
        <x:v>Surfaçada</x:v>
      </x:c>
      <x:c r="E1200" s="24" t="str">
        <x:v>Multigressiv B.I.G. NORM</x:v>
      </x:c>
      <x:c r="F1200" s="24"/>
      <x:c r="G1200" s="24" t="str">
        <x:v>1.6</x:v>
      </x:c>
      <x:c r="H1200" s="24" t="str">
        <x:v>1.60</x:v>
      </x:c>
      <x:c r="I1200" s="24" t="str">
        <x:v>LayR X-tra Clean</x:v>
      </x:c>
      <x:c r="J1200" s="40" t="n">
        <x:v>8492</x:v>
      </x:c>
      <x:c r="K1200" s="24" t="str">
        <x:v>-11 a +10</x:v>
      </x:c>
      <x:c r="L1200" s="24" t="str">
        <x:v>até -6</x:v>
      </x:c>
      <x:c r="M1200" s="24"/>
      <x:c r="N1200" s="24" t="str">
        <x:v>75/80</x:v>
      </x:c>
      <x:c r="O1200" s="24"/>
      <x:c r="P1200" s="24"/>
      <x:c r="Q1200" s="24" t="str">
        <x:v>DISPONÍVEL</x:v>
      </x:c>
      <x:c r="R1200" s="24"/>
      <x:c r="S1200" s="24" t="n">
        <x:v>11</x:v>
      </x:c>
      <x:c r="T1200" s="24" t="str">
        <x:v>tabela_rodenstock.pdf</x:v>
      </x:c>
      <x:c r="U1200" s="24" t="str">
        <x:v>Rodenstock|Progressiva B.I.G. NORM|Surfaçada|Multigressiv B.I.G. NORM||1.6|1.60|LayR X-tra Clean|-11 a +10|até -6||75/80|||11</x:v>
      </x:c>
    </x:row>
    <x:row r="1201">
      <x:c r="A1201" s="24" t="str">
        <x:v>RD-B2970312480F</x:v>
      </x:c>
      <x:c r="B1201" s="24" t="str">
        <x:v>Rodenstock</x:v>
      </x:c>
      <x:c r="C1201" s="24" t="str">
        <x:v>Progressiva B.I.G. NORM</x:v>
      </x:c>
      <x:c r="D1201" s="24" t="str">
        <x:v>Surfaçada</x:v>
      </x:c>
      <x:c r="E1201" s="24" t="str">
        <x:v>Multigressiv B.I.G. NORM</x:v>
      </x:c>
      <x:c r="F1201" s="24"/>
      <x:c r="G1201" s="24" t="str">
        <x:v>1.6</x:v>
      </x:c>
      <x:c r="H1201" s="24" t="str">
        <x:v>1.60</x:v>
      </x:c>
      <x:c r="I1201" s="24" t="str">
        <x:v>LayR Balance</x:v>
      </x:c>
      <x:c r="J1201" s="40" t="n">
        <x:v>8492</x:v>
      </x:c>
      <x:c r="K1201" s="24" t="str">
        <x:v>-11 a +10</x:v>
      </x:c>
      <x:c r="L1201" s="24" t="str">
        <x:v>até -6</x:v>
      </x:c>
      <x:c r="M1201" s="24"/>
      <x:c r="N1201" s="24" t="str">
        <x:v>75/80</x:v>
      </x:c>
      <x:c r="O1201" s="24"/>
      <x:c r="P1201" s="24"/>
      <x:c r="Q1201" s="24" t="str">
        <x:v>DISPONÍVEL</x:v>
      </x:c>
      <x:c r="R1201" s="24"/>
      <x:c r="S1201" s="24" t="n">
        <x:v>11</x:v>
      </x:c>
      <x:c r="T1201" s="24" t="str">
        <x:v>tabela_rodenstock.pdf</x:v>
      </x:c>
      <x:c r="U1201" s="24" t="str">
        <x:v>Rodenstock|Progressiva B.I.G. NORM|Surfaçada|Multigressiv B.I.G. NORM||1.6|1.60|LayR Balance|-11 a +10|até -6||75/80|||11</x:v>
      </x:c>
    </x:row>
    <x:row r="1202">
      <x:c r="A1202" s="24" t="str">
        <x:v>RD-4403F22626A9</x:v>
      </x:c>
      <x:c r="B1202" s="24" t="str">
        <x:v>Rodenstock</x:v>
      </x:c>
      <x:c r="C1202" s="24" t="str">
        <x:v>Progressiva B.I.G. NORM</x:v>
      </x:c>
      <x:c r="D1202" s="24" t="str">
        <x:v>Surfaçada</x:v>
      </x:c>
      <x:c r="E1202" s="24" t="str">
        <x:v>Multigressiv B.I.G. NORM</x:v>
      </x:c>
      <x:c r="F1202" s="24"/>
      <x:c r="G1202" s="24" t="str">
        <x:v>1.6</x:v>
      </x:c>
      <x:c r="H1202" s="24" t="str">
        <x:v>1.60</x:v>
      </x:c>
      <x:c r="I1202" s="24" t="str">
        <x:v>Solitaire X-tra Clean</x:v>
      </x:c>
      <x:c r="J1202" s="40" t="n">
        <x:v>8422</x:v>
      </x:c>
      <x:c r="K1202" s="24" t="str">
        <x:v>-11 a +10</x:v>
      </x:c>
      <x:c r="L1202" s="24" t="str">
        <x:v>até -6</x:v>
      </x:c>
      <x:c r="M1202" s="24"/>
      <x:c r="N1202" s="24" t="str">
        <x:v>75/80</x:v>
      </x:c>
      <x:c r="O1202" s="24"/>
      <x:c r="P1202" s="24"/>
      <x:c r="Q1202" s="24" t="str">
        <x:v>DISPONÍVEL</x:v>
      </x:c>
      <x:c r="R1202" s="24"/>
      <x:c r="S1202" s="24" t="n">
        <x:v>11</x:v>
      </x:c>
      <x:c r="T1202" s="24" t="str">
        <x:v>tabela_rodenstock.pdf</x:v>
      </x:c>
      <x:c r="U1202" s="24" t="str">
        <x:v>Rodenstock|Progressiva B.I.G. NORM|Surfaçada|Multigressiv B.I.G. NORM||1.6|1.60|Solitaire X-tra Clean|-11 a +10|até -6||75/80|||11</x:v>
      </x:c>
    </x:row>
    <x:row r="1203">
      <x:c r="A1203" s="24" t="str">
        <x:v>RD-B916BFE12D5D</x:v>
      </x:c>
      <x:c r="B1203" s="24" t="str">
        <x:v>Rodenstock</x:v>
      </x:c>
      <x:c r="C1203" s="24" t="str">
        <x:v>Progressiva B.I.G. NORM</x:v>
      </x:c>
      <x:c r="D1203" s="24" t="str">
        <x:v>Surfaçada</x:v>
      </x:c>
      <x:c r="E1203" s="24" t="str">
        <x:v>Multigressiv B.I.G. NORM</x:v>
      </x:c>
      <x:c r="F1203" s="24"/>
      <x:c r="G1203" s="24" t="str">
        <x:v>1.6</x:v>
      </x:c>
      <x:c r="H1203" s="24" t="str">
        <x:v>1.60</x:v>
      </x:c>
      <x:c r="I1203" s="24" t="str">
        <x:v>Solitaire Protect Plus</x:v>
      </x:c>
      <x:c r="J1203" s="40" t="n">
        <x:v>8372</x:v>
      </x:c>
      <x:c r="K1203" s="24" t="str">
        <x:v>-11 a +10</x:v>
      </x:c>
      <x:c r="L1203" s="24" t="str">
        <x:v>até -6</x:v>
      </x:c>
      <x:c r="M1203" s="24"/>
      <x:c r="N1203" s="24" t="str">
        <x:v>75/80</x:v>
      </x:c>
      <x:c r="O1203" s="24"/>
      <x:c r="P1203" s="24"/>
      <x:c r="Q1203" s="24" t="str">
        <x:v>DISPONÍVEL</x:v>
      </x:c>
      <x:c r="R1203" s="24"/>
      <x:c r="S1203" s="24" t="n">
        <x:v>11</x:v>
      </x:c>
      <x:c r="T1203" s="24" t="str">
        <x:v>tabela_rodenstock.pdf</x:v>
      </x:c>
      <x:c r="U1203" s="24" t="str">
        <x:v>Rodenstock|Progressiva B.I.G. NORM|Surfaçada|Multigressiv B.I.G. NORM||1.6|1.60|Solitaire Protect Plus|-11 a +10|até -6||75/80|||11</x:v>
      </x:c>
    </x:row>
    <x:row r="1204">
      <x:c r="A1204" s="24" t="str">
        <x:v>RD-6EC66EE729A6</x:v>
      </x:c>
      <x:c r="B1204" s="24" t="str">
        <x:v>Rodenstock</x:v>
      </x:c>
      <x:c r="C1204" s="24" t="str">
        <x:v>Progressiva B.I.G. NORM</x:v>
      </x:c>
      <x:c r="D1204" s="24" t="str">
        <x:v>Surfaçada</x:v>
      </x:c>
      <x:c r="E1204" s="24" t="str">
        <x:v>Multigressiv B.I.G. NORM</x:v>
      </x:c>
      <x:c r="F1204" s="24"/>
      <x:c r="G1204" s="24" t="str">
        <x:v>1.6</x:v>
      </x:c>
      <x:c r="H1204" s="24" t="str">
        <x:v>1.60</x:v>
      </x:c>
      <x:c r="I1204" s="24" t="str">
        <x:v>ROAD</x:v>
      </x:c>
      <x:c r="J1204" s="40" t="n">
        <x:v>8372</x:v>
      </x:c>
      <x:c r="K1204" s="24" t="str">
        <x:v>-11 a +10</x:v>
      </x:c>
      <x:c r="L1204" s="24" t="str">
        <x:v>até -6</x:v>
      </x:c>
      <x:c r="M1204" s="24"/>
      <x:c r="N1204" s="24" t="str">
        <x:v>75/80</x:v>
      </x:c>
      <x:c r="O1204" s="24"/>
      <x:c r="P1204" s="24"/>
      <x:c r="Q1204" s="24" t="str">
        <x:v>DISPONÍVEL</x:v>
      </x:c>
      <x:c r="R1204" s="24"/>
      <x:c r="S1204" s="24" t="n">
        <x:v>11</x:v>
      </x:c>
      <x:c r="T1204" s="24" t="str">
        <x:v>tabela_rodenstock.pdf</x:v>
      </x:c>
      <x:c r="U1204" s="24" t="str">
        <x:v>Rodenstock|Progressiva B.I.G. NORM|Surfaçada|Multigressiv B.I.G. NORM||1.6|1.60|ROAD|-11 a +10|até -6||75/80|||11</x:v>
      </x:c>
    </x:row>
    <x:row r="1205">
      <x:c r="A1205" s="24" t="str">
        <x:v>RD-23C2049C027F</x:v>
      </x:c>
      <x:c r="B1205" s="24" t="str">
        <x:v>Rodenstock</x:v>
      </x:c>
      <x:c r="C1205" s="24" t="str">
        <x:v>Progressiva B.I.G. NORM</x:v>
      </x:c>
      <x:c r="D1205" s="24" t="str">
        <x:v>Surfaçada</x:v>
      </x:c>
      <x:c r="E1205" s="24" t="str">
        <x:v>Multigressiv B.I.G. NORM</x:v>
      </x:c>
      <x:c r="F1205" s="24"/>
      <x:c r="G1205" s="24" t="str">
        <x:v>1.6</x:v>
      </x:c>
      <x:c r="H1205" s="24" t="str">
        <x:v>1.60</x:v>
      </x:c>
      <x:c r="I1205" s="24" t="str">
        <x:v>Solitaire Protect</x:v>
      </x:c>
      <x:c r="J1205" s="40" t="n">
        <x:v>8112</x:v>
      </x:c>
      <x:c r="K1205" s="24" t="str">
        <x:v>-11 a +10</x:v>
      </x:c>
      <x:c r="L1205" s="24" t="str">
        <x:v>até -6</x:v>
      </x:c>
      <x:c r="M1205" s="24"/>
      <x:c r="N1205" s="24" t="str">
        <x:v>75/80</x:v>
      </x:c>
      <x:c r="O1205" s="24"/>
      <x:c r="P1205" s="24"/>
      <x:c r="Q1205" s="24" t="str">
        <x:v>DISPONÍVEL</x:v>
      </x:c>
      <x:c r="R1205" s="24"/>
      <x:c r="S1205" s="24" t="n">
        <x:v>11</x:v>
      </x:c>
      <x:c r="T1205" s="24" t="str">
        <x:v>tabela_rodenstock.pdf</x:v>
      </x:c>
      <x:c r="U1205" s="24" t="str">
        <x:v>Rodenstock|Progressiva B.I.G. NORM|Surfaçada|Multigressiv B.I.G. NORM||1.6|1.60|Solitaire Protect|-11 a +10|até -6||75/80|||11</x:v>
      </x:c>
    </x:row>
    <x:row r="1206">
      <x:c r="A1206" s="24" t="str">
        <x:v>RD-F54ECB11B46C</x:v>
      </x:c>
      <x:c r="B1206" s="24" t="str">
        <x:v>Rodenstock</x:v>
      </x:c>
      <x:c r="C1206" s="24" t="str">
        <x:v>Progressiva B.I.G. NORM</x:v>
      </x:c>
      <x:c r="D1206" s="24" t="str">
        <x:v>Surfaçada</x:v>
      </x:c>
      <x:c r="E1206" s="24" t="str">
        <x:v>Multigressiv B.I.G. NORM</x:v>
      </x:c>
      <x:c r="F1206" s="24" t="str">
        <x:v>PRO410</x:v>
      </x:c>
      <x:c r="G1206" s="24" t="str">
        <x:v>1.6</x:v>
      </x:c>
      <x:c r="H1206" s="24" t="str">
        <x:v>1.60</x:v>
      </x:c>
      <x:c r="I1206" s="24" t="str">
        <x:v>LayR X-tra Clean</x:v>
      </x:c>
      <x:c r="J1206" s="40" t="n">
        <x:v>8851</x:v>
      </x:c>
      <x:c r="K1206" s="24" t="str">
        <x:v>-11 a +10</x:v>
      </x:c>
      <x:c r="L1206" s="24" t="str">
        <x:v>até -6</x:v>
      </x:c>
      <x:c r="M1206" s="24"/>
      <x:c r="N1206" s="24" t="str">
        <x:v>75/80</x:v>
      </x:c>
      <x:c r="O1206" s="24"/>
      <x:c r="P1206" s="24"/>
      <x:c r="Q1206" s="24" t="str">
        <x:v>DISPONÍVEL</x:v>
      </x:c>
      <x:c r="R1206" s="24"/>
      <x:c r="S1206" s="24" t="n">
        <x:v>11</x:v>
      </x:c>
      <x:c r="T1206" s="24" t="str">
        <x:v>tabela_rodenstock.pdf</x:v>
      </x:c>
      <x:c r="U1206" s="24" t="str">
        <x:v>Rodenstock|Progressiva B.I.G. NORM|Surfaçada|Multigressiv B.I.G. NORM|PRO410|1.6|1.60|LayR X-tra Clean|-11 a +10|até -6||75/80|||11</x:v>
      </x:c>
    </x:row>
    <x:row r="1207">
      <x:c r="A1207" s="24" t="str">
        <x:v>RD-4A0CE46ED12F</x:v>
      </x:c>
      <x:c r="B1207" s="24" t="str">
        <x:v>Rodenstock</x:v>
      </x:c>
      <x:c r="C1207" s="24" t="str">
        <x:v>Progressiva B.I.G. NORM</x:v>
      </x:c>
      <x:c r="D1207" s="24" t="str">
        <x:v>Surfaçada</x:v>
      </x:c>
      <x:c r="E1207" s="24" t="str">
        <x:v>Multigressiv B.I.G. NORM</x:v>
      </x:c>
      <x:c r="F1207" s="24" t="str">
        <x:v>PRO410</x:v>
      </x:c>
      <x:c r="G1207" s="24" t="str">
        <x:v>1.6</x:v>
      </x:c>
      <x:c r="H1207" s="24" t="str">
        <x:v>1.60</x:v>
      </x:c>
      <x:c r="I1207" s="24" t="str">
        <x:v>LayR Balance</x:v>
      </x:c>
      <x:c r="J1207" s="40" t="n">
        <x:v>8851</x:v>
      </x:c>
      <x:c r="K1207" s="24" t="str">
        <x:v>-11 a +10</x:v>
      </x:c>
      <x:c r="L1207" s="24" t="str">
        <x:v>até -6</x:v>
      </x:c>
      <x:c r="M1207" s="24"/>
      <x:c r="N1207" s="24" t="str">
        <x:v>75/80</x:v>
      </x:c>
      <x:c r="O1207" s="24"/>
      <x:c r="P1207" s="24"/>
      <x:c r="Q1207" s="24" t="str">
        <x:v>DISPONÍVEL</x:v>
      </x:c>
      <x:c r="R1207" s="24"/>
      <x:c r="S1207" s="24" t="n">
        <x:v>11</x:v>
      </x:c>
      <x:c r="T1207" s="24" t="str">
        <x:v>tabela_rodenstock.pdf</x:v>
      </x:c>
      <x:c r="U1207" s="24" t="str">
        <x:v>Rodenstock|Progressiva B.I.G. NORM|Surfaçada|Multigressiv B.I.G. NORM|PRO410|1.6|1.60|LayR Balance|-11 a +10|até -6||75/80|||11</x:v>
      </x:c>
    </x:row>
    <x:row r="1208">
      <x:c r="A1208" s="24" t="str">
        <x:v>RD-1D4DAA6DF732</x:v>
      </x:c>
      <x:c r="B1208" s="24" t="str">
        <x:v>Rodenstock</x:v>
      </x:c>
      <x:c r="C1208" s="24" t="str">
        <x:v>Progressiva B.I.G. NORM</x:v>
      </x:c>
      <x:c r="D1208" s="24" t="str">
        <x:v>Surfaçada</x:v>
      </x:c>
      <x:c r="E1208" s="24" t="str">
        <x:v>Multigressiv B.I.G. NORM</x:v>
      </x:c>
      <x:c r="F1208" s="24" t="str">
        <x:v>PRO410</x:v>
      </x:c>
      <x:c r="G1208" s="24" t="str">
        <x:v>1.6</x:v>
      </x:c>
      <x:c r="H1208" s="24" t="str">
        <x:v>1.60</x:v>
      </x:c>
      <x:c r="I1208" s="24" t="str">
        <x:v>Solitaire X-tra Clean</x:v>
      </x:c>
      <x:c r="J1208" s="40" t="n">
        <x:v>8781</x:v>
      </x:c>
      <x:c r="K1208" s="24" t="str">
        <x:v>-11 a +10</x:v>
      </x:c>
      <x:c r="L1208" s="24" t="str">
        <x:v>até -6</x:v>
      </x:c>
      <x:c r="M1208" s="24"/>
      <x:c r="N1208" s="24" t="str">
        <x:v>75/80</x:v>
      </x:c>
      <x:c r="O1208" s="24"/>
      <x:c r="P1208" s="24"/>
      <x:c r="Q1208" s="24" t="str">
        <x:v>DISPONÍVEL</x:v>
      </x:c>
      <x:c r="R1208" s="24"/>
      <x:c r="S1208" s="24" t="n">
        <x:v>11</x:v>
      </x:c>
      <x:c r="T1208" s="24" t="str">
        <x:v>tabela_rodenstock.pdf</x:v>
      </x:c>
      <x:c r="U1208" s="24" t="str">
        <x:v>Rodenstock|Progressiva B.I.G. NORM|Surfaçada|Multigressiv B.I.G. NORM|PRO410|1.6|1.60|Solitaire X-tra Clean|-11 a +10|até -6||75/80|||11</x:v>
      </x:c>
    </x:row>
    <x:row r="1209">
      <x:c r="A1209" s="24" t="str">
        <x:v>RD-7F27466A47CE</x:v>
      </x:c>
      <x:c r="B1209" s="24" t="str">
        <x:v>Rodenstock</x:v>
      </x:c>
      <x:c r="C1209" s="24" t="str">
        <x:v>Progressiva B.I.G. NORM</x:v>
      </x:c>
      <x:c r="D1209" s="24" t="str">
        <x:v>Surfaçada</x:v>
      </x:c>
      <x:c r="E1209" s="24" t="str">
        <x:v>Multigressiv B.I.G. NORM</x:v>
      </x:c>
      <x:c r="F1209" s="24" t="str">
        <x:v>PRO410</x:v>
      </x:c>
      <x:c r="G1209" s="24" t="str">
        <x:v>1.6</x:v>
      </x:c>
      <x:c r="H1209" s="24" t="str">
        <x:v>1.60</x:v>
      </x:c>
      <x:c r="I1209" s="24" t="str">
        <x:v>Solitaire Protect Plus</x:v>
      </x:c>
      <x:c r="J1209" s="40" t="n">
        <x:v>8731</x:v>
      </x:c>
      <x:c r="K1209" s="24" t="str">
        <x:v>-11 a +10</x:v>
      </x:c>
      <x:c r="L1209" s="24" t="str">
        <x:v>até -6</x:v>
      </x:c>
      <x:c r="M1209" s="24"/>
      <x:c r="N1209" s="24" t="str">
        <x:v>75/80</x:v>
      </x:c>
      <x:c r="O1209" s="24"/>
      <x:c r="P1209" s="24"/>
      <x:c r="Q1209" s="24" t="str">
        <x:v>DISPONÍVEL</x:v>
      </x:c>
      <x:c r="R1209" s="24"/>
      <x:c r="S1209" s="24" t="n">
        <x:v>11</x:v>
      </x:c>
      <x:c r="T1209" s="24" t="str">
        <x:v>tabela_rodenstock.pdf</x:v>
      </x:c>
      <x:c r="U1209" s="24" t="str">
        <x:v>Rodenstock|Progressiva B.I.G. NORM|Surfaçada|Multigressiv B.I.G. NORM|PRO410|1.6|1.60|Solitaire Protect Plus|-11 a +10|até -6||75/80|||11</x:v>
      </x:c>
    </x:row>
    <x:row r="1210">
      <x:c r="A1210" s="24" t="str">
        <x:v>RD-7577A44D9BA1</x:v>
      </x:c>
      <x:c r="B1210" s="24" t="str">
        <x:v>Rodenstock</x:v>
      </x:c>
      <x:c r="C1210" s="24" t="str">
        <x:v>Progressiva B.I.G. NORM</x:v>
      </x:c>
      <x:c r="D1210" s="24" t="str">
        <x:v>Surfaçada</x:v>
      </x:c>
      <x:c r="E1210" s="24" t="str">
        <x:v>Multigressiv B.I.G. NORM</x:v>
      </x:c>
      <x:c r="F1210" s="24" t="str">
        <x:v>PRO410</x:v>
      </x:c>
      <x:c r="G1210" s="24" t="str">
        <x:v>1.6</x:v>
      </x:c>
      <x:c r="H1210" s="24" t="str">
        <x:v>1.60</x:v>
      </x:c>
      <x:c r="I1210" s="24" t="str">
        <x:v>ROAD</x:v>
      </x:c>
      <x:c r="J1210" s="40" t="n">
        <x:v>8731</x:v>
      </x:c>
      <x:c r="K1210" s="24" t="str">
        <x:v>-11 a +10</x:v>
      </x:c>
      <x:c r="L1210" s="24" t="str">
        <x:v>até -6</x:v>
      </x:c>
      <x:c r="M1210" s="24"/>
      <x:c r="N1210" s="24" t="str">
        <x:v>75/80</x:v>
      </x:c>
      <x:c r="O1210" s="24"/>
      <x:c r="P1210" s="24"/>
      <x:c r="Q1210" s="24" t="str">
        <x:v>DISPONÍVEL</x:v>
      </x:c>
      <x:c r="R1210" s="24"/>
      <x:c r="S1210" s="24" t="n">
        <x:v>11</x:v>
      </x:c>
      <x:c r="T1210" s="24" t="str">
        <x:v>tabela_rodenstock.pdf</x:v>
      </x:c>
      <x:c r="U1210" s="24" t="str">
        <x:v>Rodenstock|Progressiva B.I.G. NORM|Surfaçada|Multigressiv B.I.G. NORM|PRO410|1.6|1.60|ROAD|-11 a +10|até -6||75/80|||11</x:v>
      </x:c>
    </x:row>
    <x:row r="1211">
      <x:c r="A1211" s="24" t="str">
        <x:v>RD-24AC124BD1BE</x:v>
      </x:c>
      <x:c r="B1211" s="24" t="str">
        <x:v>Rodenstock</x:v>
      </x:c>
      <x:c r="C1211" s="24" t="str">
        <x:v>Progressiva B.I.G. NORM</x:v>
      </x:c>
      <x:c r="D1211" s="24" t="str">
        <x:v>Surfaçada</x:v>
      </x:c>
      <x:c r="E1211" s="24" t="str">
        <x:v>Multigressiv B.I.G. NORM</x:v>
      </x:c>
      <x:c r="F1211" s="24" t="str">
        <x:v>PRO410</x:v>
      </x:c>
      <x:c r="G1211" s="24" t="str">
        <x:v>1.6</x:v>
      </x:c>
      <x:c r="H1211" s="24" t="str">
        <x:v>1.60</x:v>
      </x:c>
      <x:c r="I1211" s="24" t="str">
        <x:v>Solitaire Protect</x:v>
      </x:c>
      <x:c r="J1211" s="40" t="n">
        <x:v>8471</x:v>
      </x:c>
      <x:c r="K1211" s="24" t="str">
        <x:v>-11 a +10</x:v>
      </x:c>
      <x:c r="L1211" s="24" t="str">
        <x:v>até -6</x:v>
      </x:c>
      <x:c r="M1211" s="24"/>
      <x:c r="N1211" s="24" t="str">
        <x:v>75/80</x:v>
      </x:c>
      <x:c r="O1211" s="24"/>
      <x:c r="P1211" s="24"/>
      <x:c r="Q1211" s="24" t="str">
        <x:v>DISPONÍVEL</x:v>
      </x:c>
      <x:c r="R1211" s="24"/>
      <x:c r="S1211" s="24" t="n">
        <x:v>11</x:v>
      </x:c>
      <x:c r="T1211" s="24" t="str">
        <x:v>tabela_rodenstock.pdf</x:v>
      </x:c>
      <x:c r="U1211" s="24" t="str">
        <x:v>Rodenstock|Progressiva B.I.G. NORM|Surfaçada|Multigressiv B.I.G. NORM|PRO410|1.6|1.60|Solitaire Protect|-11 a +10|até -6||75/80|||11</x:v>
      </x:c>
    </x:row>
    <x:row r="1212">
      <x:c r="A1212" s="24" t="str">
        <x:v>RD-6CC26D5E46F3</x:v>
      </x:c>
      <x:c r="B1212" s="24" t="str">
        <x:v>Rodenstock</x:v>
      </x:c>
      <x:c r="C1212" s="24" t="str">
        <x:v>Progressiva B.I.G. NORM</x:v>
      </x:c>
      <x:c r="D1212" s="24" t="str">
        <x:v>Surfaçada</x:v>
      </x:c>
      <x:c r="E1212" s="24" t="str">
        <x:v>Multigressiv B.I.G. NORM</x:v>
      </x:c>
      <x:c r="F1212" s="24" t="str">
        <x:v>ColorMatic® 3 | X</x:v>
      </x:c>
      <x:c r="G1212" s="24" t="str">
        <x:v>1.6</x:v>
      </x:c>
      <x:c r="H1212" s="24" t="str">
        <x:v>1.60</x:v>
      </x:c>
      <x:c r="I1212" s="24" t="str">
        <x:v>LayR X-tra Clean</x:v>
      </x:c>
      <x:c r="J1212" s="40" t="n">
        <x:v>10645</x:v>
      </x:c>
      <x:c r="K1212" s="24" t="str">
        <x:v>-11 a +10</x:v>
      </x:c>
      <x:c r="L1212" s="24" t="str">
        <x:v>até -6</x:v>
      </x:c>
      <x:c r="M1212" s="24"/>
      <x:c r="N1212" s="24" t="str">
        <x:v>75/80</x:v>
      </x:c>
      <x:c r="O1212" s="24"/>
      <x:c r="P1212" s="24"/>
      <x:c r="Q1212" s="24" t="str">
        <x:v>DISPONÍVEL</x:v>
      </x:c>
      <x:c r="R1212" s="24"/>
      <x:c r="S1212" s="24" t="n">
        <x:v>11</x:v>
      </x:c>
      <x:c r="T1212" s="24" t="str">
        <x:v>tabela_rodenstock.pdf</x:v>
      </x:c>
      <x:c r="U1212" s="24" t="str">
        <x:v>Rodenstock|Progressiva B.I.G. NORM|Surfaçada|Multigressiv B.I.G. NORM|ColorMatic® 3 | X|1.6|1.60|LayR X-tra Clean|-11 a +10|até -6||75/80|||11</x:v>
      </x:c>
    </x:row>
    <x:row r="1213">
      <x:c r="A1213" s="24" t="str">
        <x:v>RD-D42071D9A1AB</x:v>
      </x:c>
      <x:c r="B1213" s="24" t="str">
        <x:v>Rodenstock</x:v>
      </x:c>
      <x:c r="C1213" s="24" t="str">
        <x:v>Progressiva B.I.G. NORM</x:v>
      </x:c>
      <x:c r="D1213" s="24" t="str">
        <x:v>Surfaçada</x:v>
      </x:c>
      <x:c r="E1213" s="24" t="str">
        <x:v>Multigressiv B.I.G. NORM</x:v>
      </x:c>
      <x:c r="F1213" s="24" t="str">
        <x:v>ColorMatic® 3 | X</x:v>
      </x:c>
      <x:c r="G1213" s="24" t="str">
        <x:v>1.6</x:v>
      </x:c>
      <x:c r="H1213" s="24" t="str">
        <x:v>1.60</x:v>
      </x:c>
      <x:c r="I1213" s="24" t="str">
        <x:v>LayR Balance</x:v>
      </x:c>
      <x:c r="J1213" s="40" t="n">
        <x:v>10645</x:v>
      </x:c>
      <x:c r="K1213" s="24" t="str">
        <x:v>-11 a +10</x:v>
      </x:c>
      <x:c r="L1213" s="24" t="str">
        <x:v>até -6</x:v>
      </x:c>
      <x:c r="M1213" s="24"/>
      <x:c r="N1213" s="24" t="str">
        <x:v>75/80</x:v>
      </x:c>
      <x:c r="O1213" s="24"/>
      <x:c r="P1213" s="24"/>
      <x:c r="Q1213" s="24" t="str">
        <x:v>DISPONÍVEL</x:v>
      </x:c>
      <x:c r="R1213" s="24"/>
      <x:c r="S1213" s="24" t="n">
        <x:v>11</x:v>
      </x:c>
      <x:c r="T1213" s="24" t="str">
        <x:v>tabela_rodenstock.pdf</x:v>
      </x:c>
      <x:c r="U1213" s="24" t="str">
        <x:v>Rodenstock|Progressiva B.I.G. NORM|Surfaçada|Multigressiv B.I.G. NORM|ColorMatic® 3 | X|1.6|1.60|LayR Balance|-11 a +10|até -6||75/80|||11</x:v>
      </x:c>
    </x:row>
    <x:row r="1214">
      <x:c r="A1214" s="24" t="str">
        <x:v>RD-918568D6576F</x:v>
      </x:c>
      <x:c r="B1214" s="24" t="str">
        <x:v>Rodenstock</x:v>
      </x:c>
      <x:c r="C1214" s="24" t="str">
        <x:v>Progressiva B.I.G. NORM</x:v>
      </x:c>
      <x:c r="D1214" s="24" t="str">
        <x:v>Surfaçada</x:v>
      </x:c>
      <x:c r="E1214" s="24" t="str">
        <x:v>Multigressiv B.I.G. NORM</x:v>
      </x:c>
      <x:c r="F1214" s="24" t="str">
        <x:v>ColorMatic® 3 | X</x:v>
      </x:c>
      <x:c r="G1214" s="24" t="str">
        <x:v>1.6</x:v>
      </x:c>
      <x:c r="H1214" s="24" t="str">
        <x:v>1.60</x:v>
      </x:c>
      <x:c r="I1214" s="24" t="str">
        <x:v>Solitaire X-tra Clean</x:v>
      </x:c>
      <x:c r="J1214" s="40" t="n">
        <x:v>10575</x:v>
      </x:c>
      <x:c r="K1214" s="24" t="str">
        <x:v>-11 a +10</x:v>
      </x:c>
      <x:c r="L1214" s="24" t="str">
        <x:v>até -6</x:v>
      </x:c>
      <x:c r="M1214" s="24"/>
      <x:c r="N1214" s="24" t="str">
        <x:v>75/80</x:v>
      </x:c>
      <x:c r="O1214" s="24"/>
      <x:c r="P1214" s="24"/>
      <x:c r="Q1214" s="24" t="str">
        <x:v>DISPONÍVEL</x:v>
      </x:c>
      <x:c r="R1214" s="24"/>
      <x:c r="S1214" s="24" t="n">
        <x:v>11</x:v>
      </x:c>
      <x:c r="T1214" s="24" t="str">
        <x:v>tabela_rodenstock.pdf</x:v>
      </x:c>
      <x:c r="U1214" s="24" t="str">
        <x:v>Rodenstock|Progressiva B.I.G. NORM|Surfaçada|Multigressiv B.I.G. NORM|ColorMatic® 3 | X|1.6|1.60|Solitaire X-tra Clean|-11 a +10|até -6||75/80|||11</x:v>
      </x:c>
    </x:row>
    <x:row r="1215">
      <x:c r="A1215" s="24" t="str">
        <x:v>RD-71D73F134588</x:v>
      </x:c>
      <x:c r="B1215" s="24" t="str">
        <x:v>Rodenstock</x:v>
      </x:c>
      <x:c r="C1215" s="24" t="str">
        <x:v>Progressiva B.I.G. NORM</x:v>
      </x:c>
      <x:c r="D1215" s="24" t="str">
        <x:v>Surfaçada</x:v>
      </x:c>
      <x:c r="E1215" s="24" t="str">
        <x:v>Multigressiv B.I.G. NORM</x:v>
      </x:c>
      <x:c r="F1215" s="24" t="str">
        <x:v>ColorMatic® 3 | X</x:v>
      </x:c>
      <x:c r="G1215" s="24" t="str">
        <x:v>1.6</x:v>
      </x:c>
      <x:c r="H1215" s="24" t="str">
        <x:v>1.60</x:v>
      </x:c>
      <x:c r="I1215" s="24" t="str">
        <x:v>Solitaire Protect Plus</x:v>
      </x:c>
      <x:c r="J1215" s="40" t="n">
        <x:v>10525</x:v>
      </x:c>
      <x:c r="K1215" s="24" t="str">
        <x:v>-11 a +10</x:v>
      </x:c>
      <x:c r="L1215" s="24" t="str">
        <x:v>até -6</x:v>
      </x:c>
      <x:c r="M1215" s="24"/>
      <x:c r="N1215" s="24" t="str">
        <x:v>75/80</x:v>
      </x:c>
      <x:c r="O1215" s="24"/>
      <x:c r="P1215" s="24"/>
      <x:c r="Q1215" s="24" t="str">
        <x:v>DISPONÍVEL</x:v>
      </x:c>
      <x:c r="R1215" s="24"/>
      <x:c r="S1215" s="24" t="n">
        <x:v>11</x:v>
      </x:c>
      <x:c r="T1215" s="24" t="str">
        <x:v>tabela_rodenstock.pdf</x:v>
      </x:c>
      <x:c r="U1215" s="24" t="str">
        <x:v>Rodenstock|Progressiva B.I.G. NORM|Surfaçada|Multigressiv B.I.G. NORM|ColorMatic® 3 | X|1.6|1.60|Solitaire Protect Plus|-11 a +10|até -6||75/80|||11</x:v>
      </x:c>
    </x:row>
    <x:row r="1216">
      <x:c r="A1216" s="24" t="str">
        <x:v>RD-7685E33A1DCC</x:v>
      </x:c>
      <x:c r="B1216" s="24" t="str">
        <x:v>Rodenstock</x:v>
      </x:c>
      <x:c r="C1216" s="24" t="str">
        <x:v>Progressiva B.I.G. NORM</x:v>
      </x:c>
      <x:c r="D1216" s="24" t="str">
        <x:v>Surfaçada</x:v>
      </x:c>
      <x:c r="E1216" s="24" t="str">
        <x:v>Multigressiv B.I.G. NORM</x:v>
      </x:c>
      <x:c r="F1216" s="24" t="str">
        <x:v>ColorMatic® 3 | X</x:v>
      </x:c>
      <x:c r="G1216" s="24" t="str">
        <x:v>1.6</x:v>
      </x:c>
      <x:c r="H1216" s="24" t="str">
        <x:v>1.60</x:v>
      </x:c>
      <x:c r="I1216" s="24" t="str">
        <x:v>ROAD</x:v>
      </x:c>
      <x:c r="J1216" s="40" t="n">
        <x:v>10525</x:v>
      </x:c>
      <x:c r="K1216" s="24" t="str">
        <x:v>-11 a +10</x:v>
      </x:c>
      <x:c r="L1216" s="24" t="str">
        <x:v>até -6</x:v>
      </x:c>
      <x:c r="M1216" s="24"/>
      <x:c r="N1216" s="24" t="str">
        <x:v>75/80</x:v>
      </x:c>
      <x:c r="O1216" s="24"/>
      <x:c r="P1216" s="24"/>
      <x:c r="Q1216" s="24" t="str">
        <x:v>DISPONÍVEL</x:v>
      </x:c>
      <x:c r="R1216" s="24"/>
      <x:c r="S1216" s="24" t="n">
        <x:v>11</x:v>
      </x:c>
      <x:c r="T1216" s="24" t="str">
        <x:v>tabela_rodenstock.pdf</x:v>
      </x:c>
      <x:c r="U1216" s="24" t="str">
        <x:v>Rodenstock|Progressiva B.I.G. NORM|Surfaçada|Multigressiv B.I.G. NORM|ColorMatic® 3 | X|1.6|1.60|ROAD|-11 a +10|até -6||75/80|||11</x:v>
      </x:c>
    </x:row>
    <x:row r="1217">
      <x:c r="A1217" s="24" t="str">
        <x:v>RD-E06DC185008A</x:v>
      </x:c>
      <x:c r="B1217" s="24" t="str">
        <x:v>Rodenstock</x:v>
      </x:c>
      <x:c r="C1217" s="24" t="str">
        <x:v>Progressiva B.I.G. NORM</x:v>
      </x:c>
      <x:c r="D1217" s="24" t="str">
        <x:v>Surfaçada</x:v>
      </x:c>
      <x:c r="E1217" s="24" t="str">
        <x:v>Multigressiv B.I.G. NORM</x:v>
      </x:c>
      <x:c r="F1217" s="24" t="str">
        <x:v>ColorMatic® 3 | X</x:v>
      </x:c>
      <x:c r="G1217" s="24" t="str">
        <x:v>1.6</x:v>
      </x:c>
      <x:c r="H1217" s="24" t="str">
        <x:v>1.60</x:v>
      </x:c>
      <x:c r="I1217" s="24" t="str">
        <x:v>Solitaire Protect</x:v>
      </x:c>
      <x:c r="J1217" s="40" t="n">
        <x:v>10265</x:v>
      </x:c>
      <x:c r="K1217" s="24" t="str">
        <x:v>-11 a +10</x:v>
      </x:c>
      <x:c r="L1217" s="24" t="str">
        <x:v>até -6</x:v>
      </x:c>
      <x:c r="M1217" s="24"/>
      <x:c r="N1217" s="24" t="str">
        <x:v>75/80</x:v>
      </x:c>
      <x:c r="O1217" s="24"/>
      <x:c r="P1217" s="24"/>
      <x:c r="Q1217" s="24" t="str">
        <x:v>DISPONÍVEL</x:v>
      </x:c>
      <x:c r="R1217" s="24"/>
      <x:c r="S1217" s="24" t="n">
        <x:v>11</x:v>
      </x:c>
      <x:c r="T1217" s="24" t="str">
        <x:v>tabela_rodenstock.pdf</x:v>
      </x:c>
      <x:c r="U1217" s="24" t="str">
        <x:v>Rodenstock|Progressiva B.I.G. NORM|Surfaçada|Multigressiv B.I.G. NORM|ColorMatic® 3 | X|1.6|1.60|Solitaire Protect|-11 a +10|até -6||75/80|||11</x:v>
      </x:c>
    </x:row>
    <x:row r="1218">
      <x:c r="A1218" s="24" t="str">
        <x:v>RD-ABD64EF8FEAF</x:v>
      </x:c>
      <x:c r="B1218" s="24" t="str">
        <x:v>Rodenstock</x:v>
      </x:c>
      <x:c r="C1218" s="24" t="str">
        <x:v>Progressiva B.I.G. NORM</x:v>
      </x:c>
      <x:c r="D1218" s="24" t="str">
        <x:v>Surfaçada</x:v>
      </x:c>
      <x:c r="E1218" s="24" t="str">
        <x:v>Multigressiv B.I.G. NORM</x:v>
      </x:c>
      <x:c r="F1218" s="24"/>
      <x:c r="G1218" s="24" t="str">
        <x:v>1.67</x:v>
      </x:c>
      <x:c r="H1218" s="24" t="str">
        <x:v>1.67</x:v>
      </x:c>
      <x:c r="I1218" s="24" t="str">
        <x:v>LayR X-tra Clean</x:v>
      </x:c>
      <x:c r="J1218" s="40" t="n">
        <x:v>10307</x:v>
      </x:c>
      <x:c r="K1218" s="24" t="str">
        <x:v>-12 a +10</x:v>
      </x:c>
      <x:c r="L1218" s="24" t="str">
        <x:v>até -6</x:v>
      </x:c>
      <x:c r="M1218" s="24"/>
      <x:c r="N1218" s="24" t="str">
        <x:v>75/80</x:v>
      </x:c>
      <x:c r="O1218" s="24"/>
      <x:c r="P1218" s="24"/>
      <x:c r="Q1218" s="24" t="str">
        <x:v>DISPONÍVEL</x:v>
      </x:c>
      <x:c r="R1218" s="24"/>
      <x:c r="S1218" s="24" t="n">
        <x:v>11</x:v>
      </x:c>
      <x:c r="T1218" s="24" t="str">
        <x:v>tabela_rodenstock.pdf</x:v>
      </x:c>
      <x:c r="U1218" s="24" t="str">
        <x:v>Rodenstock|Progressiva B.I.G. NORM|Surfaçada|Multigressiv B.I.G. NORM||1.67|1.67|LayR X-tra Clean|-12 a +10|até -6||75/80|||11</x:v>
      </x:c>
    </x:row>
    <x:row r="1219">
      <x:c r="A1219" s="24" t="str">
        <x:v>RD-73E35CFC035E</x:v>
      </x:c>
      <x:c r="B1219" s="24" t="str">
        <x:v>Rodenstock</x:v>
      </x:c>
      <x:c r="C1219" s="24" t="str">
        <x:v>Progressiva B.I.G. NORM</x:v>
      </x:c>
      <x:c r="D1219" s="24" t="str">
        <x:v>Surfaçada</x:v>
      </x:c>
      <x:c r="E1219" s="24" t="str">
        <x:v>Multigressiv B.I.G. NORM</x:v>
      </x:c>
      <x:c r="F1219" s="24"/>
      <x:c r="G1219" s="24" t="str">
        <x:v>1.67</x:v>
      </x:c>
      <x:c r="H1219" s="24" t="str">
        <x:v>1.67</x:v>
      </x:c>
      <x:c r="I1219" s="24" t="str">
        <x:v>LayR Balance</x:v>
      </x:c>
      <x:c r="J1219" s="40" t="n">
        <x:v>10307</x:v>
      </x:c>
      <x:c r="K1219" s="24" t="str">
        <x:v>-12 a +10</x:v>
      </x:c>
      <x:c r="L1219" s="24" t="str">
        <x:v>até -6</x:v>
      </x:c>
      <x:c r="M1219" s="24"/>
      <x:c r="N1219" s="24" t="str">
        <x:v>75/80</x:v>
      </x:c>
      <x:c r="O1219" s="24"/>
      <x:c r="P1219" s="24"/>
      <x:c r="Q1219" s="24" t="str">
        <x:v>DISPONÍVEL</x:v>
      </x:c>
      <x:c r="R1219" s="24"/>
      <x:c r="S1219" s="24" t="n">
        <x:v>11</x:v>
      </x:c>
      <x:c r="T1219" s="24" t="str">
        <x:v>tabela_rodenstock.pdf</x:v>
      </x:c>
      <x:c r="U1219" s="24" t="str">
        <x:v>Rodenstock|Progressiva B.I.G. NORM|Surfaçada|Multigressiv B.I.G. NORM||1.67|1.67|LayR Balance|-12 a +10|até -6||75/80|||11</x:v>
      </x:c>
    </x:row>
    <x:row r="1220">
      <x:c r="A1220" s="24" t="str">
        <x:v>RD-16AE321C5DB8</x:v>
      </x:c>
      <x:c r="B1220" s="24" t="str">
        <x:v>Rodenstock</x:v>
      </x:c>
      <x:c r="C1220" s="24" t="str">
        <x:v>Progressiva B.I.G. NORM</x:v>
      </x:c>
      <x:c r="D1220" s="24" t="str">
        <x:v>Surfaçada</x:v>
      </x:c>
      <x:c r="E1220" s="24" t="str">
        <x:v>Multigressiv B.I.G. NORM</x:v>
      </x:c>
      <x:c r="F1220" s="24"/>
      <x:c r="G1220" s="24" t="str">
        <x:v>1.67</x:v>
      </x:c>
      <x:c r="H1220" s="24" t="str">
        <x:v>1.67</x:v>
      </x:c>
      <x:c r="I1220" s="24" t="str">
        <x:v>Solitaire X-tra Clean</x:v>
      </x:c>
      <x:c r="J1220" s="40" t="n">
        <x:v>10237</x:v>
      </x:c>
      <x:c r="K1220" s="24" t="str">
        <x:v>-12 a +10</x:v>
      </x:c>
      <x:c r="L1220" s="24" t="str">
        <x:v>até -6</x:v>
      </x:c>
      <x:c r="M1220" s="24"/>
      <x:c r="N1220" s="24" t="str">
        <x:v>75/80</x:v>
      </x:c>
      <x:c r="O1220" s="24"/>
      <x:c r="P1220" s="24"/>
      <x:c r="Q1220" s="24" t="str">
        <x:v>DISPONÍVEL</x:v>
      </x:c>
      <x:c r="R1220" s="24"/>
      <x:c r="S1220" s="24" t="n">
        <x:v>11</x:v>
      </x:c>
      <x:c r="T1220" s="24" t="str">
        <x:v>tabela_rodenstock.pdf</x:v>
      </x:c>
      <x:c r="U1220" s="24" t="str">
        <x:v>Rodenstock|Progressiva B.I.G. NORM|Surfaçada|Multigressiv B.I.G. NORM||1.67|1.67|Solitaire X-tra Clean|-12 a +10|até -6||75/80|||11</x:v>
      </x:c>
    </x:row>
    <x:row r="1221">
      <x:c r="A1221" s="24" t="str">
        <x:v>RD-59726DCCF989</x:v>
      </x:c>
      <x:c r="B1221" s="24" t="str">
        <x:v>Rodenstock</x:v>
      </x:c>
      <x:c r="C1221" s="24" t="str">
        <x:v>Progressiva B.I.G. NORM</x:v>
      </x:c>
      <x:c r="D1221" s="24" t="str">
        <x:v>Surfaçada</x:v>
      </x:c>
      <x:c r="E1221" s="24" t="str">
        <x:v>Multigressiv B.I.G. NORM</x:v>
      </x:c>
      <x:c r="F1221" s="24"/>
      <x:c r="G1221" s="24" t="str">
        <x:v>1.67</x:v>
      </x:c>
      <x:c r="H1221" s="24" t="str">
        <x:v>1.67</x:v>
      </x:c>
      <x:c r="I1221" s="24" t="str">
        <x:v>Solitaire Protect Plus</x:v>
      </x:c>
      <x:c r="J1221" s="40" t="n">
        <x:v>10187</x:v>
      </x:c>
      <x:c r="K1221" s="24" t="str">
        <x:v>-12 a +10</x:v>
      </x:c>
      <x:c r="L1221" s="24" t="str">
        <x:v>até -6</x:v>
      </x:c>
      <x:c r="M1221" s="24"/>
      <x:c r="N1221" s="24" t="str">
        <x:v>75/80</x:v>
      </x:c>
      <x:c r="O1221" s="24"/>
      <x:c r="P1221" s="24"/>
      <x:c r="Q1221" s="24" t="str">
        <x:v>DISPONÍVEL</x:v>
      </x:c>
      <x:c r="R1221" s="24"/>
      <x:c r="S1221" s="24" t="n">
        <x:v>11</x:v>
      </x:c>
      <x:c r="T1221" s="24" t="str">
        <x:v>tabela_rodenstock.pdf</x:v>
      </x:c>
      <x:c r="U1221" s="24" t="str">
        <x:v>Rodenstock|Progressiva B.I.G. NORM|Surfaçada|Multigressiv B.I.G. NORM||1.67|1.67|Solitaire Protect Plus|-12 a +10|até -6||75/80|||11</x:v>
      </x:c>
    </x:row>
    <x:row r="1222">
      <x:c r="A1222" s="24" t="str">
        <x:v>RD-F0BA71A55E37</x:v>
      </x:c>
      <x:c r="B1222" s="24" t="str">
        <x:v>Rodenstock</x:v>
      </x:c>
      <x:c r="C1222" s="24" t="str">
        <x:v>Progressiva B.I.G. NORM</x:v>
      </x:c>
      <x:c r="D1222" s="24" t="str">
        <x:v>Surfaçada</x:v>
      </x:c>
      <x:c r="E1222" s="24" t="str">
        <x:v>Multigressiv B.I.G. NORM</x:v>
      </x:c>
      <x:c r="F1222" s="24"/>
      <x:c r="G1222" s="24" t="str">
        <x:v>1.67</x:v>
      </x:c>
      <x:c r="H1222" s="24" t="str">
        <x:v>1.67</x:v>
      </x:c>
      <x:c r="I1222" s="24" t="str">
        <x:v>ROAD</x:v>
      </x:c>
      <x:c r="J1222" s="40" t="n">
        <x:v>10187</x:v>
      </x:c>
      <x:c r="K1222" s="24" t="str">
        <x:v>-12 a +10</x:v>
      </x:c>
      <x:c r="L1222" s="24" t="str">
        <x:v>até -6</x:v>
      </x:c>
      <x:c r="M1222" s="24"/>
      <x:c r="N1222" s="24" t="str">
        <x:v>75/80</x:v>
      </x:c>
      <x:c r="O1222" s="24"/>
      <x:c r="P1222" s="24"/>
      <x:c r="Q1222" s="24" t="str">
        <x:v>DISPONÍVEL</x:v>
      </x:c>
      <x:c r="R1222" s="24"/>
      <x:c r="S1222" s="24" t="n">
        <x:v>11</x:v>
      </x:c>
      <x:c r="T1222" s="24" t="str">
        <x:v>tabela_rodenstock.pdf</x:v>
      </x:c>
      <x:c r="U1222" s="24" t="str">
        <x:v>Rodenstock|Progressiva B.I.G. NORM|Surfaçada|Multigressiv B.I.G. NORM||1.67|1.67|ROAD|-12 a +10|até -6||75/80|||11</x:v>
      </x:c>
    </x:row>
    <x:row r="1223">
      <x:c r="A1223" s="24" t="str">
        <x:v>RD-1EF9EB7E1551</x:v>
      </x:c>
      <x:c r="B1223" s="24" t="str">
        <x:v>Rodenstock</x:v>
      </x:c>
      <x:c r="C1223" s="24" t="str">
        <x:v>Progressiva B.I.G. NORM</x:v>
      </x:c>
      <x:c r="D1223" s="24" t="str">
        <x:v>Surfaçada</x:v>
      </x:c>
      <x:c r="E1223" s="24" t="str">
        <x:v>Multigressiv B.I.G. NORM</x:v>
      </x:c>
      <x:c r="F1223" s="24"/>
      <x:c r="G1223" s="24" t="str">
        <x:v>1.67</x:v>
      </x:c>
      <x:c r="H1223" s="24" t="str">
        <x:v>1.67</x:v>
      </x:c>
      <x:c r="I1223" s="24" t="str">
        <x:v>Solitaire Protect</x:v>
      </x:c>
      <x:c r="J1223" s="40" t="n">
        <x:v>9927</x:v>
      </x:c>
      <x:c r="K1223" s="24" t="str">
        <x:v>-12 a +10</x:v>
      </x:c>
      <x:c r="L1223" s="24" t="str">
        <x:v>até -6</x:v>
      </x:c>
      <x:c r="M1223" s="24"/>
      <x:c r="N1223" s="24" t="str">
        <x:v>75/80</x:v>
      </x:c>
      <x:c r="O1223" s="24"/>
      <x:c r="P1223" s="24"/>
      <x:c r="Q1223" s="24" t="str">
        <x:v>DISPONÍVEL</x:v>
      </x:c>
      <x:c r="R1223" s="24"/>
      <x:c r="S1223" s="24" t="n">
        <x:v>11</x:v>
      </x:c>
      <x:c r="T1223" s="24" t="str">
        <x:v>tabela_rodenstock.pdf</x:v>
      </x:c>
      <x:c r="U1223" s="24" t="str">
        <x:v>Rodenstock|Progressiva B.I.G. NORM|Surfaçada|Multigressiv B.I.G. NORM||1.67|1.67|Solitaire Protect|-12 a +10|até -6||75/80|||11</x:v>
      </x:c>
    </x:row>
    <x:row r="1224">
      <x:c r="A1224" s="24" t="str">
        <x:v>RD-C05777825C15</x:v>
      </x:c>
      <x:c r="B1224" s="24" t="str">
        <x:v>Rodenstock</x:v>
      </x:c>
      <x:c r="C1224" s="24" t="str">
        <x:v>Progressiva B.I.G. NORM</x:v>
      </x:c>
      <x:c r="D1224" s="24" t="str">
        <x:v>Surfaçada</x:v>
      </x:c>
      <x:c r="E1224" s="24" t="str">
        <x:v>Multigressiv B.I.G. NORM</x:v>
      </x:c>
      <x:c r="F1224" s="24" t="str">
        <x:v>ColorMatic® 3</x:v>
      </x:c>
      <x:c r="G1224" s="24" t="str">
        <x:v>1.67</x:v>
      </x:c>
      <x:c r="H1224" s="24" t="str">
        <x:v>1.67</x:v>
      </x:c>
      <x:c r="I1224" s="24" t="str">
        <x:v>LayR X-tra Clean</x:v>
      </x:c>
      <x:c r="J1224" s="40" t="n">
        <x:v>11932</x:v>
      </x:c>
      <x:c r="K1224" s="24" t="str">
        <x:v>-12 a +10</x:v>
      </x:c>
      <x:c r="L1224" s="24" t="str">
        <x:v>até -6</x:v>
      </x:c>
      <x:c r="M1224" s="24"/>
      <x:c r="N1224" s="24" t="str">
        <x:v>75/80</x:v>
      </x:c>
      <x:c r="O1224" s="24"/>
      <x:c r="P1224" s="24"/>
      <x:c r="Q1224" s="24" t="str">
        <x:v>DISPONÍVEL</x:v>
      </x:c>
      <x:c r="R1224" s="24"/>
      <x:c r="S1224" s="24" t="n">
        <x:v>11</x:v>
      </x:c>
      <x:c r="T1224" s="24" t="str">
        <x:v>tabela_rodenstock.pdf</x:v>
      </x:c>
      <x:c r="U1224" s="24" t="str">
        <x:v>Rodenstock|Progressiva B.I.G. NORM|Surfaçada|Multigressiv B.I.G. NORM|ColorMatic® 3|1.67|1.67|LayR X-tra Clean|-12 a +10|até -6||75/80|||11</x:v>
      </x:c>
    </x:row>
    <x:row r="1225">
      <x:c r="A1225" s="24" t="str">
        <x:v>RD-3AA909DE63CC</x:v>
      </x:c>
      <x:c r="B1225" s="24" t="str">
        <x:v>Rodenstock</x:v>
      </x:c>
      <x:c r="C1225" s="24" t="str">
        <x:v>Progressiva B.I.G. NORM</x:v>
      </x:c>
      <x:c r="D1225" s="24" t="str">
        <x:v>Surfaçada</x:v>
      </x:c>
      <x:c r="E1225" s="24" t="str">
        <x:v>Multigressiv B.I.G. NORM</x:v>
      </x:c>
      <x:c r="F1225" s="24" t="str">
        <x:v>ColorMatic® 3</x:v>
      </x:c>
      <x:c r="G1225" s="24" t="str">
        <x:v>1.67</x:v>
      </x:c>
      <x:c r="H1225" s="24" t="str">
        <x:v>1.67</x:v>
      </x:c>
      <x:c r="I1225" s="24" t="str">
        <x:v>LayR Balance</x:v>
      </x:c>
      <x:c r="J1225" s="40" t="n">
        <x:v>11932</x:v>
      </x:c>
      <x:c r="K1225" s="24" t="str">
        <x:v>-12 a +10</x:v>
      </x:c>
      <x:c r="L1225" s="24" t="str">
        <x:v>até -6</x:v>
      </x:c>
      <x:c r="M1225" s="24"/>
      <x:c r="N1225" s="24" t="str">
        <x:v>75/80</x:v>
      </x:c>
      <x:c r="O1225" s="24"/>
      <x:c r="P1225" s="24"/>
      <x:c r="Q1225" s="24" t="str">
        <x:v>DISPONÍVEL</x:v>
      </x:c>
      <x:c r="R1225" s="24"/>
      <x:c r="S1225" s="24" t="n">
        <x:v>11</x:v>
      </x:c>
      <x:c r="T1225" s="24" t="str">
        <x:v>tabela_rodenstock.pdf</x:v>
      </x:c>
      <x:c r="U1225" s="24" t="str">
        <x:v>Rodenstock|Progressiva B.I.G. NORM|Surfaçada|Multigressiv B.I.G. NORM|ColorMatic® 3|1.67|1.67|LayR Balance|-12 a +10|até -6||75/80|||11</x:v>
      </x:c>
    </x:row>
    <x:row r="1226">
      <x:c r="A1226" s="24" t="str">
        <x:v>RD-4B26FBF03037</x:v>
      </x:c>
      <x:c r="B1226" s="24" t="str">
        <x:v>Rodenstock</x:v>
      </x:c>
      <x:c r="C1226" s="24" t="str">
        <x:v>Progressiva B.I.G. NORM</x:v>
      </x:c>
      <x:c r="D1226" s="24" t="str">
        <x:v>Surfaçada</x:v>
      </x:c>
      <x:c r="E1226" s="24" t="str">
        <x:v>Multigressiv B.I.G. NORM</x:v>
      </x:c>
      <x:c r="F1226" s="24" t="str">
        <x:v>ColorMatic® 3</x:v>
      </x:c>
      <x:c r="G1226" s="24" t="str">
        <x:v>1.67</x:v>
      </x:c>
      <x:c r="H1226" s="24" t="str">
        <x:v>1.67</x:v>
      </x:c>
      <x:c r="I1226" s="24" t="str">
        <x:v>Solitaire X-tra Clean</x:v>
      </x:c>
      <x:c r="J1226" s="40" t="n">
        <x:v>11862</x:v>
      </x:c>
      <x:c r="K1226" s="24" t="str">
        <x:v>-12 a +10</x:v>
      </x:c>
      <x:c r="L1226" s="24" t="str">
        <x:v>até -6</x:v>
      </x:c>
      <x:c r="M1226" s="24"/>
      <x:c r="N1226" s="24" t="str">
        <x:v>75/80</x:v>
      </x:c>
      <x:c r="O1226" s="24"/>
      <x:c r="P1226" s="24"/>
      <x:c r="Q1226" s="24" t="str">
        <x:v>DISPONÍVEL</x:v>
      </x:c>
      <x:c r="R1226" s="24"/>
      <x:c r="S1226" s="24" t="n">
        <x:v>11</x:v>
      </x:c>
      <x:c r="T1226" s="24" t="str">
        <x:v>tabela_rodenstock.pdf</x:v>
      </x:c>
      <x:c r="U1226" s="24" t="str">
        <x:v>Rodenstock|Progressiva B.I.G. NORM|Surfaçada|Multigressiv B.I.G. NORM|ColorMatic® 3|1.67|1.67|Solitaire X-tra Clean|-12 a +10|até -6||75/80|||11</x:v>
      </x:c>
    </x:row>
    <x:row r="1227">
      <x:c r="A1227" s="24" t="str">
        <x:v>RD-8B06235A848E</x:v>
      </x:c>
      <x:c r="B1227" s="24" t="str">
        <x:v>Rodenstock</x:v>
      </x:c>
      <x:c r="C1227" s="24" t="str">
        <x:v>Progressiva B.I.G. NORM</x:v>
      </x:c>
      <x:c r="D1227" s="24" t="str">
        <x:v>Surfaçada</x:v>
      </x:c>
      <x:c r="E1227" s="24" t="str">
        <x:v>Multigressiv B.I.G. NORM</x:v>
      </x:c>
      <x:c r="F1227" s="24" t="str">
        <x:v>ColorMatic® 3</x:v>
      </x:c>
      <x:c r="G1227" s="24" t="str">
        <x:v>1.67</x:v>
      </x:c>
      <x:c r="H1227" s="24" t="str">
        <x:v>1.67</x:v>
      </x:c>
      <x:c r="I1227" s="24" t="str">
        <x:v>Solitaire Protect Plus</x:v>
      </x:c>
      <x:c r="J1227" s="40" t="n">
        <x:v>11812</x:v>
      </x:c>
      <x:c r="K1227" s="24" t="str">
        <x:v>-12 a +10</x:v>
      </x:c>
      <x:c r="L1227" s="24" t="str">
        <x:v>até -6</x:v>
      </x:c>
      <x:c r="M1227" s="24"/>
      <x:c r="N1227" s="24" t="str">
        <x:v>75/80</x:v>
      </x:c>
      <x:c r="O1227" s="24"/>
      <x:c r="P1227" s="24"/>
      <x:c r="Q1227" s="24" t="str">
        <x:v>DISPONÍVEL</x:v>
      </x:c>
      <x:c r="R1227" s="24"/>
      <x:c r="S1227" s="24" t="n">
        <x:v>11</x:v>
      </x:c>
      <x:c r="T1227" s="24" t="str">
        <x:v>tabela_rodenstock.pdf</x:v>
      </x:c>
      <x:c r="U1227" s="24" t="str">
        <x:v>Rodenstock|Progressiva B.I.G. NORM|Surfaçada|Multigressiv B.I.G. NORM|ColorMatic® 3|1.67|1.67|Solitaire Protect Plus|-12 a +10|até -6||75/80|||11</x:v>
      </x:c>
    </x:row>
    <x:row r="1228">
      <x:c r="A1228" s="24" t="str">
        <x:v>RD-4B6015BA6EB0</x:v>
      </x:c>
      <x:c r="B1228" s="24" t="str">
        <x:v>Rodenstock</x:v>
      </x:c>
      <x:c r="C1228" s="24" t="str">
        <x:v>Progressiva B.I.G. NORM</x:v>
      </x:c>
      <x:c r="D1228" s="24" t="str">
        <x:v>Surfaçada</x:v>
      </x:c>
      <x:c r="E1228" s="24" t="str">
        <x:v>Multigressiv B.I.G. NORM</x:v>
      </x:c>
      <x:c r="F1228" s="24" t="str">
        <x:v>ColorMatic® 3</x:v>
      </x:c>
      <x:c r="G1228" s="24" t="str">
        <x:v>1.67</x:v>
      </x:c>
      <x:c r="H1228" s="24" t="str">
        <x:v>1.67</x:v>
      </x:c>
      <x:c r="I1228" s="24" t="str">
        <x:v>ROAD</x:v>
      </x:c>
      <x:c r="J1228" s="40" t="n">
        <x:v>11812</x:v>
      </x:c>
      <x:c r="K1228" s="24" t="str">
        <x:v>-12 a +10</x:v>
      </x:c>
      <x:c r="L1228" s="24" t="str">
        <x:v>até -6</x:v>
      </x:c>
      <x:c r="M1228" s="24"/>
      <x:c r="N1228" s="24" t="str">
        <x:v>75/80</x:v>
      </x:c>
      <x:c r="O1228" s="24"/>
      <x:c r="P1228" s="24"/>
      <x:c r="Q1228" s="24" t="str">
        <x:v>DISPONÍVEL</x:v>
      </x:c>
      <x:c r="R1228" s="24"/>
      <x:c r="S1228" s="24" t="n">
        <x:v>11</x:v>
      </x:c>
      <x:c r="T1228" s="24" t="str">
        <x:v>tabela_rodenstock.pdf</x:v>
      </x:c>
      <x:c r="U1228" s="24" t="str">
        <x:v>Rodenstock|Progressiva B.I.G. NORM|Surfaçada|Multigressiv B.I.G. NORM|ColorMatic® 3|1.67|1.67|ROAD|-12 a +10|até -6||75/80|||11</x:v>
      </x:c>
    </x:row>
    <x:row r="1229">
      <x:c r="A1229" s="24" t="str">
        <x:v>RD-51EE022BF686</x:v>
      </x:c>
      <x:c r="B1229" s="24" t="str">
        <x:v>Rodenstock</x:v>
      </x:c>
      <x:c r="C1229" s="24" t="str">
        <x:v>Progressiva B.I.G. NORM</x:v>
      </x:c>
      <x:c r="D1229" s="24" t="str">
        <x:v>Surfaçada</x:v>
      </x:c>
      <x:c r="E1229" s="24" t="str">
        <x:v>Multigressiv B.I.G. NORM</x:v>
      </x:c>
      <x:c r="F1229" s="24" t="str">
        <x:v>ColorMatic® 3</x:v>
      </x:c>
      <x:c r="G1229" s="24" t="str">
        <x:v>1.67</x:v>
      </x:c>
      <x:c r="H1229" s="24" t="str">
        <x:v>1.67</x:v>
      </x:c>
      <x:c r="I1229" s="24" t="str">
        <x:v>Solitaire Protect</x:v>
      </x:c>
      <x:c r="J1229" s="40" t="n">
        <x:v>11552</x:v>
      </x:c>
      <x:c r="K1229" s="24" t="str">
        <x:v>-12 a +10</x:v>
      </x:c>
      <x:c r="L1229" s="24" t="str">
        <x:v>até -6</x:v>
      </x:c>
      <x:c r="M1229" s="24"/>
      <x:c r="N1229" s="24" t="str">
        <x:v>75/80</x:v>
      </x:c>
      <x:c r="O1229" s="24"/>
      <x:c r="P1229" s="24"/>
      <x:c r="Q1229" s="24" t="str">
        <x:v>DISPONÍVEL</x:v>
      </x:c>
      <x:c r="R1229" s="24"/>
      <x:c r="S1229" s="24" t="n">
        <x:v>11</x:v>
      </x:c>
      <x:c r="T1229" s="24" t="str">
        <x:v>tabela_rodenstock.pdf</x:v>
      </x:c>
      <x:c r="U1229" s="24" t="str">
        <x:v>Rodenstock|Progressiva B.I.G. NORM|Surfaçada|Multigressiv B.I.G. NORM|ColorMatic® 3|1.67|1.67|Solitaire Protect|-12 a +10|até -6||75/80|||11</x:v>
      </x:c>
    </x:row>
    <x:row r="1230">
      <x:c r="A1230" s="24" t="str">
        <x:v>RD-CDEBB01FE28D</x:v>
      </x:c>
      <x:c r="B1230" s="24" t="str">
        <x:v>Rodenstock</x:v>
      </x:c>
      <x:c r="C1230" s="24" t="str">
        <x:v>Progressiva B.I.G. NORM</x:v>
      </x:c>
      <x:c r="D1230" s="24" t="str">
        <x:v>Surfaçada</x:v>
      </x:c>
      <x:c r="E1230" s="24" t="str">
        <x:v>Multigressiv B.I.G. NORM</x:v>
      </x:c>
      <x:c r="F1230" s="24"/>
      <x:c r="G1230" s="24" t="str">
        <x:v>1.74</x:v>
      </x:c>
      <x:c r="H1230" s="24" t="str">
        <x:v>1.74</x:v>
      </x:c>
      <x:c r="I1230" s="24" t="str">
        <x:v>LayR X-tra Clean</x:v>
      </x:c>
      <x:c r="J1230" s="40" t="n">
        <x:v>12255</x:v>
      </x:c>
      <x:c r="K1230" s="24" t="str">
        <x:v>-18 a +13</x:v>
      </x:c>
      <x:c r="L1230" s="24" t="str">
        <x:v>até -6</x:v>
      </x:c>
      <x:c r="M1230" s="24"/>
      <x:c r="N1230" s="24" t="str">
        <x:v>75/80</x:v>
      </x:c>
      <x:c r="O1230" s="24"/>
      <x:c r="P1230" s="24"/>
      <x:c r="Q1230" s="24" t="str">
        <x:v>DISPONÍVEL</x:v>
      </x:c>
      <x:c r="R1230" s="24"/>
      <x:c r="S1230" s="24" t="n">
        <x:v>11</x:v>
      </x:c>
      <x:c r="T1230" s="24" t="str">
        <x:v>tabela_rodenstock.pdf</x:v>
      </x:c>
      <x:c r="U1230" s="24" t="str">
        <x:v>Rodenstock|Progressiva B.I.G. NORM|Surfaçada|Multigressiv B.I.G. NORM||1.74|1.74|LayR X-tra Clean|-18 a +13|até -6||75/80|||11</x:v>
      </x:c>
    </x:row>
    <x:row r="1231">
      <x:c r="A1231" s="24" t="str">
        <x:v>RD-E40C8D6BB5BF</x:v>
      </x:c>
      <x:c r="B1231" s="24" t="str">
        <x:v>Rodenstock</x:v>
      </x:c>
      <x:c r="C1231" s="24" t="str">
        <x:v>Progressiva B.I.G. NORM</x:v>
      </x:c>
      <x:c r="D1231" s="24" t="str">
        <x:v>Surfaçada</x:v>
      </x:c>
      <x:c r="E1231" s="24" t="str">
        <x:v>Multigressiv B.I.G. NORM</x:v>
      </x:c>
      <x:c r="F1231" s="24"/>
      <x:c r="G1231" s="24" t="str">
        <x:v>1.74</x:v>
      </x:c>
      <x:c r="H1231" s="24" t="str">
        <x:v>1.74</x:v>
      </x:c>
      <x:c r="I1231" s="24" t="str">
        <x:v>LayR Balance</x:v>
      </x:c>
      <x:c r="J1231" s="40" t="n">
        <x:v>12255</x:v>
      </x:c>
      <x:c r="K1231" s="24" t="str">
        <x:v>-18 a +13</x:v>
      </x:c>
      <x:c r="L1231" s="24" t="str">
        <x:v>até -6</x:v>
      </x:c>
      <x:c r="M1231" s="24"/>
      <x:c r="N1231" s="24" t="str">
        <x:v>75/80</x:v>
      </x:c>
      <x:c r="O1231" s="24"/>
      <x:c r="P1231" s="24"/>
      <x:c r="Q1231" s="24" t="str">
        <x:v>DISPONÍVEL</x:v>
      </x:c>
      <x:c r="R1231" s="24"/>
      <x:c r="S1231" s="24" t="n">
        <x:v>11</x:v>
      </x:c>
      <x:c r="T1231" s="24" t="str">
        <x:v>tabela_rodenstock.pdf</x:v>
      </x:c>
      <x:c r="U1231" s="24" t="str">
        <x:v>Rodenstock|Progressiva B.I.G. NORM|Surfaçada|Multigressiv B.I.G. NORM||1.74|1.74|LayR Balance|-18 a +13|até -6||75/80|||11</x:v>
      </x:c>
    </x:row>
    <x:row r="1232">
      <x:c r="A1232" s="24" t="str">
        <x:v>RD-F3F3BB089992</x:v>
      </x:c>
      <x:c r="B1232" s="24" t="str">
        <x:v>Rodenstock</x:v>
      </x:c>
      <x:c r="C1232" s="24" t="str">
        <x:v>Progressiva B.I.G. NORM</x:v>
      </x:c>
      <x:c r="D1232" s="24" t="str">
        <x:v>Surfaçada</x:v>
      </x:c>
      <x:c r="E1232" s="24" t="str">
        <x:v>Multigressiv B.I.G. NORM</x:v>
      </x:c>
      <x:c r="F1232" s="24"/>
      <x:c r="G1232" s="24" t="str">
        <x:v>1.74</x:v>
      </x:c>
      <x:c r="H1232" s="24" t="str">
        <x:v>1.74</x:v>
      </x:c>
      <x:c r="I1232" s="24" t="str">
        <x:v>Solitaire X-tra Clean</x:v>
      </x:c>
      <x:c r="J1232" s="40" t="n">
        <x:v>12185</x:v>
      </x:c>
      <x:c r="K1232" s="24" t="str">
        <x:v>-18 a +13</x:v>
      </x:c>
      <x:c r="L1232" s="24" t="str">
        <x:v>até -6</x:v>
      </x:c>
      <x:c r="M1232" s="24"/>
      <x:c r="N1232" s="24" t="str">
        <x:v>75/80</x:v>
      </x:c>
      <x:c r="O1232" s="24"/>
      <x:c r="P1232" s="24"/>
      <x:c r="Q1232" s="24" t="str">
        <x:v>DISPONÍVEL</x:v>
      </x:c>
      <x:c r="R1232" s="24"/>
      <x:c r="S1232" s="24" t="n">
        <x:v>11</x:v>
      </x:c>
      <x:c r="T1232" s="24" t="str">
        <x:v>tabela_rodenstock.pdf</x:v>
      </x:c>
      <x:c r="U1232" s="24" t="str">
        <x:v>Rodenstock|Progressiva B.I.G. NORM|Surfaçada|Multigressiv B.I.G. NORM||1.74|1.74|Solitaire X-tra Clean|-18 a +13|até -6||75/80|||11</x:v>
      </x:c>
    </x:row>
    <x:row r="1233">
      <x:c r="A1233" s="24" t="str">
        <x:v>RD-EE877C7FA459</x:v>
      </x:c>
      <x:c r="B1233" s="24" t="str">
        <x:v>Rodenstock</x:v>
      </x:c>
      <x:c r="C1233" s="24" t="str">
        <x:v>Progressiva B.I.G. NORM</x:v>
      </x:c>
      <x:c r="D1233" s="24" t="str">
        <x:v>Surfaçada</x:v>
      </x:c>
      <x:c r="E1233" s="24" t="str">
        <x:v>Multigressiv B.I.G. NORM</x:v>
      </x:c>
      <x:c r="F1233" s="24"/>
      <x:c r="G1233" s="24" t="str">
        <x:v>1.74</x:v>
      </x:c>
      <x:c r="H1233" s="24" t="str">
        <x:v>1.74</x:v>
      </x:c>
      <x:c r="I1233" s="24" t="str">
        <x:v>Solitaire Protect Plus</x:v>
      </x:c>
      <x:c r="J1233" s="40" t="n">
        <x:v>12135</x:v>
      </x:c>
      <x:c r="K1233" s="24" t="str">
        <x:v>-18 a +13</x:v>
      </x:c>
      <x:c r="L1233" s="24" t="str">
        <x:v>até -6</x:v>
      </x:c>
      <x:c r="M1233" s="24"/>
      <x:c r="N1233" s="24" t="str">
        <x:v>75/80</x:v>
      </x:c>
      <x:c r="O1233" s="24"/>
      <x:c r="P1233" s="24"/>
      <x:c r="Q1233" s="24" t="str">
        <x:v>DISPONÍVEL</x:v>
      </x:c>
      <x:c r="R1233" s="24"/>
      <x:c r="S1233" s="24" t="n">
        <x:v>11</x:v>
      </x:c>
      <x:c r="T1233" s="24" t="str">
        <x:v>tabela_rodenstock.pdf</x:v>
      </x:c>
      <x:c r="U1233" s="24" t="str">
        <x:v>Rodenstock|Progressiva B.I.G. NORM|Surfaçada|Multigressiv B.I.G. NORM||1.74|1.74|Solitaire Protect Plus|-18 a +13|até -6||75/80|||11</x:v>
      </x:c>
    </x:row>
    <x:row r="1234">
      <x:c r="A1234" s="24" t="str">
        <x:v>RD-AC8311A16016</x:v>
      </x:c>
      <x:c r="B1234" s="24" t="str">
        <x:v>Rodenstock</x:v>
      </x:c>
      <x:c r="C1234" s="24" t="str">
        <x:v>Progressiva B.I.G. NORM</x:v>
      </x:c>
      <x:c r="D1234" s="24" t="str">
        <x:v>Surfaçada</x:v>
      </x:c>
      <x:c r="E1234" s="24" t="str">
        <x:v>Multigressiv B.I.G. NORM</x:v>
      </x:c>
      <x:c r="F1234" s="24"/>
      <x:c r="G1234" s="24" t="str">
        <x:v>1.74</x:v>
      </x:c>
      <x:c r="H1234" s="24" t="str">
        <x:v>1.74</x:v>
      </x:c>
      <x:c r="I1234" s="24" t="str">
        <x:v>Solitaire Protect</x:v>
      </x:c>
      <x:c r="J1234" s="40" t="n">
        <x:v>11875</x:v>
      </x:c>
      <x:c r="K1234" s="24" t="str">
        <x:v>-18 a +13</x:v>
      </x:c>
      <x:c r="L1234" s="24" t="str">
        <x:v>até -6</x:v>
      </x:c>
      <x:c r="M1234" s="24"/>
      <x:c r="N1234" s="24" t="str">
        <x:v>75/80</x:v>
      </x:c>
      <x:c r="O1234" s="24"/>
      <x:c r="P1234" s="24"/>
      <x:c r="Q1234" s="24" t="str">
        <x:v>DISPONÍVEL</x:v>
      </x:c>
      <x:c r="R1234" s="24"/>
      <x:c r="S1234" s="24" t="n">
        <x:v>11</x:v>
      </x:c>
      <x:c r="T1234" s="24" t="str">
        <x:v>tabela_rodenstock.pdf</x:v>
      </x:c>
      <x:c r="U1234" s="24" t="str">
        <x:v>Rodenstock|Progressiva B.I.G. NORM|Surfaçada|Multigressiv B.I.G. NORM||1.74|1.74|Solitaire Protect|-18 a +13|até -6||75/80|||11</x:v>
      </x:c>
    </x:row>
    <x:row r="1235">
      <x:c r="A1235" s="24" t="str">
        <x:v>RD-64C403733525</x:v>
      </x:c>
      <x:c r="B1235" s="24" t="str">
        <x:v>Rodenstock</x:v>
      </x:c>
      <x:c r="C1235" s="24" t="str">
        <x:v>Progressiva B.I.G. NORM</x:v>
      </x:c>
      <x:c r="D1235" s="24" t="str">
        <x:v>Surfaçada</x:v>
      </x:c>
      <x:c r="E1235" s="24" t="str">
        <x:v>Progressiv B.I.G. NORM</x:v>
      </x:c>
      <x:c r="F1235" s="24"/>
      <x:c r="G1235" s="24" t="str">
        <x:v>1.5</x:v>
      </x:c>
      <x:c r="H1235" s="24" t="str">
        <x:v>1.50</x:v>
      </x:c>
      <x:c r="I1235" s="24" t="str">
        <x:v>LayR X-tra Clean</x:v>
      </x:c>
      <x:c r="J1235" s="40" t="n">
        <x:v>6211</x:v>
      </x:c>
      <x:c r="K1235" s="24" t="str">
        <x:v>-8 a +8</x:v>
      </x:c>
      <x:c r="L1235" s="24" t="str">
        <x:v>até -6</x:v>
      </x:c>
      <x:c r="M1235" s="24"/>
      <x:c r="N1235" s="24" t="str">
        <x:v>75/80</x:v>
      </x:c>
      <x:c r="O1235" s="24"/>
      <x:c r="P1235" s="24"/>
      <x:c r="Q1235" s="24" t="str">
        <x:v>DISPONÍVEL</x:v>
      </x:c>
      <x:c r="R1235" s="24"/>
      <x:c r="S1235" s="24" t="n">
        <x:v>11</x:v>
      </x:c>
      <x:c r="T1235" s="24" t="str">
        <x:v>tabela_rodenstock.pdf</x:v>
      </x:c>
      <x:c r="U1235" s="24" t="str">
        <x:v>Rodenstock|Progressiva B.I.G. NORM|Surfaçada|Progressiv B.I.G. NORM||1.5|1.50|LayR X-tra Clean|-8 a +8|até -6||75/80|||11</x:v>
      </x:c>
    </x:row>
    <x:row r="1236">
      <x:c r="A1236" s="24" t="str">
        <x:v>RD-0ECA493E9E1E</x:v>
      </x:c>
      <x:c r="B1236" s="24" t="str">
        <x:v>Rodenstock</x:v>
      </x:c>
      <x:c r="C1236" s="24" t="str">
        <x:v>Progressiva B.I.G. NORM</x:v>
      </x:c>
      <x:c r="D1236" s="24" t="str">
        <x:v>Surfaçada</x:v>
      </x:c>
      <x:c r="E1236" s="24" t="str">
        <x:v>Progressiv B.I.G. NORM</x:v>
      </x:c>
      <x:c r="F1236" s="24"/>
      <x:c r="G1236" s="24" t="str">
        <x:v>1.5</x:v>
      </x:c>
      <x:c r="H1236" s="24" t="str">
        <x:v>1.50</x:v>
      </x:c>
      <x:c r="I1236" s="24" t="str">
        <x:v>LayR Balance</x:v>
      </x:c>
      <x:c r="J1236" s="40" t="n">
        <x:v>6211</x:v>
      </x:c>
      <x:c r="K1236" s="24" t="str">
        <x:v>-8 a +8</x:v>
      </x:c>
      <x:c r="L1236" s="24" t="str">
        <x:v>até -6</x:v>
      </x:c>
      <x:c r="M1236" s="24"/>
      <x:c r="N1236" s="24" t="str">
        <x:v>75/80</x:v>
      </x:c>
      <x:c r="O1236" s="24"/>
      <x:c r="P1236" s="24"/>
      <x:c r="Q1236" s="24" t="str">
        <x:v>DISPONÍVEL</x:v>
      </x:c>
      <x:c r="R1236" s="24"/>
      <x:c r="S1236" s="24" t="n">
        <x:v>11</x:v>
      </x:c>
      <x:c r="T1236" s="24" t="str">
        <x:v>tabela_rodenstock.pdf</x:v>
      </x:c>
      <x:c r="U1236" s="24" t="str">
        <x:v>Rodenstock|Progressiva B.I.G. NORM|Surfaçada|Progressiv B.I.G. NORM||1.5|1.50|LayR Balance|-8 a +8|até -6||75/80|||11</x:v>
      </x:c>
    </x:row>
    <x:row r="1237">
      <x:c r="A1237" s="24" t="str">
        <x:v>RD-ABDAD3DEBFD7</x:v>
      </x:c>
      <x:c r="B1237" s="24" t="str">
        <x:v>Rodenstock</x:v>
      </x:c>
      <x:c r="C1237" s="24" t="str">
        <x:v>Progressiva B.I.G. NORM</x:v>
      </x:c>
      <x:c r="D1237" s="24" t="str">
        <x:v>Surfaçada</x:v>
      </x:c>
      <x:c r="E1237" s="24" t="str">
        <x:v>Progressiv B.I.G. NORM</x:v>
      </x:c>
      <x:c r="F1237" s="24"/>
      <x:c r="G1237" s="24" t="str">
        <x:v>1.5</x:v>
      </x:c>
      <x:c r="H1237" s="24" t="str">
        <x:v>1.50</x:v>
      </x:c>
      <x:c r="I1237" s="24" t="str">
        <x:v>Solitaire X-tra Clean</x:v>
      </x:c>
      <x:c r="J1237" s="40" t="n">
        <x:v>6141</x:v>
      </x:c>
      <x:c r="K1237" s="24" t="str">
        <x:v>-8 a +8</x:v>
      </x:c>
      <x:c r="L1237" s="24" t="str">
        <x:v>até -6</x:v>
      </x:c>
      <x:c r="M1237" s="24"/>
      <x:c r="N1237" s="24" t="str">
        <x:v>75/80</x:v>
      </x:c>
      <x:c r="O1237" s="24"/>
      <x:c r="P1237" s="24"/>
      <x:c r="Q1237" s="24" t="str">
        <x:v>DISPONÍVEL</x:v>
      </x:c>
      <x:c r="R1237" s="24"/>
      <x:c r="S1237" s="24" t="n">
        <x:v>11</x:v>
      </x:c>
      <x:c r="T1237" s="24" t="str">
        <x:v>tabela_rodenstock.pdf</x:v>
      </x:c>
      <x:c r="U1237" s="24" t="str">
        <x:v>Rodenstock|Progressiva B.I.G. NORM|Surfaçada|Progressiv B.I.G. NORM||1.5|1.50|Solitaire X-tra Clean|-8 a +8|até -6||75/80|||11</x:v>
      </x:c>
    </x:row>
    <x:row r="1238">
      <x:c r="A1238" s="24" t="str">
        <x:v>RD-69E76935D0B8</x:v>
      </x:c>
      <x:c r="B1238" s="24" t="str">
        <x:v>Rodenstock</x:v>
      </x:c>
      <x:c r="C1238" s="24" t="str">
        <x:v>Progressiva B.I.G. NORM</x:v>
      </x:c>
      <x:c r="D1238" s="24" t="str">
        <x:v>Surfaçada</x:v>
      </x:c>
      <x:c r="E1238" s="24" t="str">
        <x:v>Progressiv B.I.G. NORM</x:v>
      </x:c>
      <x:c r="F1238" s="24"/>
      <x:c r="G1238" s="24" t="str">
        <x:v>1.5</x:v>
      </x:c>
      <x:c r="H1238" s="24" t="str">
        <x:v>1.50</x:v>
      </x:c>
      <x:c r="I1238" s="24" t="str">
        <x:v>Solitaire Protect Plus</x:v>
      </x:c>
      <x:c r="J1238" s="40" t="n">
        <x:v>6091</x:v>
      </x:c>
      <x:c r="K1238" s="24" t="str">
        <x:v>-8 a +8</x:v>
      </x:c>
      <x:c r="L1238" s="24" t="str">
        <x:v>até -6</x:v>
      </x:c>
      <x:c r="M1238" s="24"/>
      <x:c r="N1238" s="24" t="str">
        <x:v>75/80</x:v>
      </x:c>
      <x:c r="O1238" s="24"/>
      <x:c r="P1238" s="24"/>
      <x:c r="Q1238" s="24" t="str">
        <x:v>DISPONÍVEL</x:v>
      </x:c>
      <x:c r="R1238" s="24"/>
      <x:c r="S1238" s="24" t="n">
        <x:v>11</x:v>
      </x:c>
      <x:c r="T1238" s="24" t="str">
        <x:v>tabela_rodenstock.pdf</x:v>
      </x:c>
      <x:c r="U1238" s="24" t="str">
        <x:v>Rodenstock|Progressiva B.I.G. NORM|Surfaçada|Progressiv B.I.G. NORM||1.5|1.50|Solitaire Protect Plus|-8 a +8|até -6||75/80|||11</x:v>
      </x:c>
    </x:row>
    <x:row r="1239">
      <x:c r="A1239" s="24" t="str">
        <x:v>RD-D8C91952085A</x:v>
      </x:c>
      <x:c r="B1239" s="24" t="str">
        <x:v>Rodenstock</x:v>
      </x:c>
      <x:c r="C1239" s="24" t="str">
        <x:v>Progressiva B.I.G. NORM</x:v>
      </x:c>
      <x:c r="D1239" s="24" t="str">
        <x:v>Surfaçada</x:v>
      </x:c>
      <x:c r="E1239" s="24" t="str">
        <x:v>Progressiv B.I.G. NORM</x:v>
      </x:c>
      <x:c r="F1239" s="24"/>
      <x:c r="G1239" s="24" t="str">
        <x:v>1.5</x:v>
      </x:c>
      <x:c r="H1239" s="24" t="str">
        <x:v>1.50</x:v>
      </x:c>
      <x:c r="I1239" s="24" t="str">
        <x:v>ROAD</x:v>
      </x:c>
      <x:c r="J1239" s="40" t="n">
        <x:v>6091</x:v>
      </x:c>
      <x:c r="K1239" s="24" t="str">
        <x:v>-8 a +8</x:v>
      </x:c>
      <x:c r="L1239" s="24" t="str">
        <x:v>até -6</x:v>
      </x:c>
      <x:c r="M1239" s="24"/>
      <x:c r="N1239" s="24" t="str">
        <x:v>75/80</x:v>
      </x:c>
      <x:c r="O1239" s="24"/>
      <x:c r="P1239" s="24"/>
      <x:c r="Q1239" s="24" t="str">
        <x:v>DISPONÍVEL</x:v>
      </x:c>
      <x:c r="R1239" s="24"/>
      <x:c r="S1239" s="24" t="n">
        <x:v>11</x:v>
      </x:c>
      <x:c r="T1239" s="24" t="str">
        <x:v>tabela_rodenstock.pdf</x:v>
      </x:c>
      <x:c r="U1239" s="24" t="str">
        <x:v>Rodenstock|Progressiva B.I.G. NORM|Surfaçada|Progressiv B.I.G. NORM||1.5|1.50|ROAD|-8 a +8|até -6||75/80|||11</x:v>
      </x:c>
    </x:row>
    <x:row r="1240">
      <x:c r="A1240" s="24" t="str">
        <x:v>RD-7AB4D3BE7ED5</x:v>
      </x:c>
      <x:c r="B1240" s="24" t="str">
        <x:v>Rodenstock</x:v>
      </x:c>
      <x:c r="C1240" s="24" t="str">
        <x:v>Progressiva B.I.G. NORM</x:v>
      </x:c>
      <x:c r="D1240" s="24" t="str">
        <x:v>Surfaçada</x:v>
      </x:c>
      <x:c r="E1240" s="24" t="str">
        <x:v>Progressiv B.I.G. NORM</x:v>
      </x:c>
      <x:c r="F1240" s="24"/>
      <x:c r="G1240" s="24" t="str">
        <x:v>1.5</x:v>
      </x:c>
      <x:c r="H1240" s="24" t="str">
        <x:v>1.50</x:v>
      </x:c>
      <x:c r="I1240" s="24" t="str">
        <x:v>Solitaire Protect</x:v>
      </x:c>
      <x:c r="J1240" s="40" t="n">
        <x:v>5831</x:v>
      </x:c>
      <x:c r="K1240" s="24" t="str">
        <x:v>-8 a +8</x:v>
      </x:c>
      <x:c r="L1240" s="24" t="str">
        <x:v>até -6</x:v>
      </x:c>
      <x:c r="M1240" s="24"/>
      <x:c r="N1240" s="24" t="str">
        <x:v>75/80</x:v>
      </x:c>
      <x:c r="O1240" s="24"/>
      <x:c r="P1240" s="24"/>
      <x:c r="Q1240" s="24" t="str">
        <x:v>DISPONÍVEL</x:v>
      </x:c>
      <x:c r="R1240" s="24"/>
      <x:c r="S1240" s="24" t="n">
        <x:v>11</x:v>
      </x:c>
      <x:c r="T1240" s="24" t="str">
        <x:v>tabela_rodenstock.pdf</x:v>
      </x:c>
      <x:c r="U1240" s="24" t="str">
        <x:v>Rodenstock|Progressiva B.I.G. NORM|Surfaçada|Progressiv B.I.G. NORM||1.5|1.50|Solitaire Protect|-8 a +8|até -6||75/80|||11</x:v>
      </x:c>
    </x:row>
    <x:row r="1241">
      <x:c r="A1241" s="24" t="str">
        <x:v>RD-73F833C4FB2C</x:v>
      </x:c>
      <x:c r="B1241" s="24" t="str">
        <x:v>Rodenstock</x:v>
      </x:c>
      <x:c r="C1241" s="24" t="str">
        <x:v>Progressiva B.I.G. NORM</x:v>
      </x:c>
      <x:c r="D1241" s="24" t="str">
        <x:v>Surfaçada</x:v>
      </x:c>
      <x:c r="E1241" s="24" t="str">
        <x:v>Progressiv B.I.G. NORM</x:v>
      </x:c>
      <x:c r="F1241" s="24" t="str">
        <x:v>ColorMatic® 3</x:v>
      </x:c>
      <x:c r="G1241" s="24" t="str">
        <x:v>1.54</x:v>
      </x:c>
      <x:c r="H1241" s="24" t="str">
        <x:v>1.54</x:v>
      </x:c>
      <x:c r="I1241" s="24" t="str">
        <x:v>LayR X-tra Clean</x:v>
      </x:c>
      <x:c r="J1241" s="40" t="n">
        <x:v>7563</x:v>
      </x:c>
      <x:c r="K1241" s="24" t="str">
        <x:v>-8 a +8</x:v>
      </x:c>
      <x:c r="L1241" s="24" t="str">
        <x:v>até -6</x:v>
      </x:c>
      <x:c r="M1241" s="24"/>
      <x:c r="N1241" s="24" t="str">
        <x:v>75/80</x:v>
      </x:c>
      <x:c r="O1241" s="24"/>
      <x:c r="P1241" s="24"/>
      <x:c r="Q1241" s="24" t="str">
        <x:v>DISPONÍVEL</x:v>
      </x:c>
      <x:c r="R1241" s="24"/>
      <x:c r="S1241" s="24" t="n">
        <x:v>11</x:v>
      </x:c>
      <x:c r="T1241" s="24" t="str">
        <x:v>tabela_rodenstock.pdf</x:v>
      </x:c>
      <x:c r="U1241" s="24" t="str">
        <x:v>Rodenstock|Progressiva B.I.G. NORM|Surfaçada|Progressiv B.I.G. NORM|ColorMatic® 3|1.54|1.54|LayR X-tra Clean|-8 a +8|até -6||75/80|||11</x:v>
      </x:c>
    </x:row>
    <x:row r="1242">
      <x:c r="A1242" s="24" t="str">
        <x:v>RD-EF196ACE59F9</x:v>
      </x:c>
      <x:c r="B1242" s="24" t="str">
        <x:v>Rodenstock</x:v>
      </x:c>
      <x:c r="C1242" s="24" t="str">
        <x:v>Progressiva B.I.G. NORM</x:v>
      </x:c>
      <x:c r="D1242" s="24" t="str">
        <x:v>Surfaçada</x:v>
      </x:c>
      <x:c r="E1242" s="24" t="str">
        <x:v>Progressiv B.I.G. NORM</x:v>
      </x:c>
      <x:c r="F1242" s="24" t="str">
        <x:v>ColorMatic® 3</x:v>
      </x:c>
      <x:c r="G1242" s="24" t="str">
        <x:v>1.54</x:v>
      </x:c>
      <x:c r="H1242" s="24" t="str">
        <x:v>1.54</x:v>
      </x:c>
      <x:c r="I1242" s="24" t="str">
        <x:v>LayR Balance</x:v>
      </x:c>
      <x:c r="J1242" s="40" t="n">
        <x:v>7563</x:v>
      </x:c>
      <x:c r="K1242" s="24" t="str">
        <x:v>-8 a +8</x:v>
      </x:c>
      <x:c r="L1242" s="24" t="str">
        <x:v>até -6</x:v>
      </x:c>
      <x:c r="M1242" s="24"/>
      <x:c r="N1242" s="24" t="str">
        <x:v>75/80</x:v>
      </x:c>
      <x:c r="O1242" s="24"/>
      <x:c r="P1242" s="24"/>
      <x:c r="Q1242" s="24" t="str">
        <x:v>DISPONÍVEL</x:v>
      </x:c>
      <x:c r="R1242" s="24"/>
      <x:c r="S1242" s="24" t="n">
        <x:v>11</x:v>
      </x:c>
      <x:c r="T1242" s="24" t="str">
        <x:v>tabela_rodenstock.pdf</x:v>
      </x:c>
      <x:c r="U1242" s="24" t="str">
        <x:v>Rodenstock|Progressiva B.I.G. NORM|Surfaçada|Progressiv B.I.G. NORM|ColorMatic® 3|1.54|1.54|LayR Balance|-8 a +8|até -6||75/80|||11</x:v>
      </x:c>
    </x:row>
    <x:row r="1243">
      <x:c r="A1243" s="24" t="str">
        <x:v>RD-4627AC8D7B01</x:v>
      </x:c>
      <x:c r="B1243" s="24" t="str">
        <x:v>Rodenstock</x:v>
      </x:c>
      <x:c r="C1243" s="24" t="str">
        <x:v>Progressiva B.I.G. NORM</x:v>
      </x:c>
      <x:c r="D1243" s="24" t="str">
        <x:v>Surfaçada</x:v>
      </x:c>
      <x:c r="E1243" s="24" t="str">
        <x:v>Progressiv B.I.G. NORM</x:v>
      </x:c>
      <x:c r="F1243" s="24" t="str">
        <x:v>ColorMatic® 3</x:v>
      </x:c>
      <x:c r="G1243" s="24" t="str">
        <x:v>1.54</x:v>
      </x:c>
      <x:c r="H1243" s="24" t="str">
        <x:v>1.54</x:v>
      </x:c>
      <x:c r="I1243" s="24" t="str">
        <x:v>Solitaire X-tra Clean</x:v>
      </x:c>
      <x:c r="J1243" s="40" t="n">
        <x:v>7493</x:v>
      </x:c>
      <x:c r="K1243" s="24" t="str">
        <x:v>-8 a +8</x:v>
      </x:c>
      <x:c r="L1243" s="24" t="str">
        <x:v>até -6</x:v>
      </x:c>
      <x:c r="M1243" s="24"/>
      <x:c r="N1243" s="24" t="str">
        <x:v>75/80</x:v>
      </x:c>
      <x:c r="O1243" s="24"/>
      <x:c r="P1243" s="24"/>
      <x:c r="Q1243" s="24" t="str">
        <x:v>DISPONÍVEL</x:v>
      </x:c>
      <x:c r="R1243" s="24"/>
      <x:c r="S1243" s="24" t="n">
        <x:v>11</x:v>
      </x:c>
      <x:c r="T1243" s="24" t="str">
        <x:v>tabela_rodenstock.pdf</x:v>
      </x:c>
      <x:c r="U1243" s="24" t="str">
        <x:v>Rodenstock|Progressiva B.I.G. NORM|Surfaçada|Progressiv B.I.G. NORM|ColorMatic® 3|1.54|1.54|Solitaire X-tra Clean|-8 a +8|até -6||75/80|||11</x:v>
      </x:c>
    </x:row>
    <x:row r="1244">
      <x:c r="A1244" s="24" t="str">
        <x:v>RD-F8C16911D63A</x:v>
      </x:c>
      <x:c r="B1244" s="24" t="str">
        <x:v>Rodenstock</x:v>
      </x:c>
      <x:c r="C1244" s="24" t="str">
        <x:v>Progressiva B.I.G. NORM</x:v>
      </x:c>
      <x:c r="D1244" s="24" t="str">
        <x:v>Surfaçada</x:v>
      </x:c>
      <x:c r="E1244" s="24" t="str">
        <x:v>Progressiv B.I.G. NORM</x:v>
      </x:c>
      <x:c r="F1244" s="24" t="str">
        <x:v>ColorMatic® 3</x:v>
      </x:c>
      <x:c r="G1244" s="24" t="str">
        <x:v>1.54</x:v>
      </x:c>
      <x:c r="H1244" s="24" t="str">
        <x:v>1.54</x:v>
      </x:c>
      <x:c r="I1244" s="24" t="str">
        <x:v>Solitaire Protect Plus</x:v>
      </x:c>
      <x:c r="J1244" s="40" t="n">
        <x:v>7443</x:v>
      </x:c>
      <x:c r="K1244" s="24" t="str">
        <x:v>-8 a +8</x:v>
      </x:c>
      <x:c r="L1244" s="24" t="str">
        <x:v>até -6</x:v>
      </x:c>
      <x:c r="M1244" s="24"/>
      <x:c r="N1244" s="24" t="str">
        <x:v>75/80</x:v>
      </x:c>
      <x:c r="O1244" s="24"/>
      <x:c r="P1244" s="24"/>
      <x:c r="Q1244" s="24" t="str">
        <x:v>DISPONÍVEL</x:v>
      </x:c>
      <x:c r="R1244" s="24"/>
      <x:c r="S1244" s="24" t="n">
        <x:v>11</x:v>
      </x:c>
      <x:c r="T1244" s="24" t="str">
        <x:v>tabela_rodenstock.pdf</x:v>
      </x:c>
      <x:c r="U1244" s="24" t="str">
        <x:v>Rodenstock|Progressiva B.I.G. NORM|Surfaçada|Progressiv B.I.G. NORM|ColorMatic® 3|1.54|1.54|Solitaire Protect Plus|-8 a +8|até -6||75/80|||11</x:v>
      </x:c>
    </x:row>
    <x:row r="1245">
      <x:c r="A1245" s="24" t="str">
        <x:v>RD-B48D0CA78897</x:v>
      </x:c>
      <x:c r="B1245" s="24" t="str">
        <x:v>Rodenstock</x:v>
      </x:c>
      <x:c r="C1245" s="24" t="str">
        <x:v>Progressiva B.I.G. NORM</x:v>
      </x:c>
      <x:c r="D1245" s="24" t="str">
        <x:v>Surfaçada</x:v>
      </x:c>
      <x:c r="E1245" s="24" t="str">
        <x:v>Progressiv B.I.G. NORM</x:v>
      </x:c>
      <x:c r="F1245" s="24" t="str">
        <x:v>ColorMatic® 3</x:v>
      </x:c>
      <x:c r="G1245" s="24" t="str">
        <x:v>1.54</x:v>
      </x:c>
      <x:c r="H1245" s="24" t="str">
        <x:v>1.54</x:v>
      </x:c>
      <x:c r="I1245" s="24" t="str">
        <x:v>ROAD</x:v>
      </x:c>
      <x:c r="J1245" s="40" t="n">
        <x:v>7443</x:v>
      </x:c>
      <x:c r="K1245" s="24" t="str">
        <x:v>-8 a +8</x:v>
      </x:c>
      <x:c r="L1245" s="24" t="str">
        <x:v>até -6</x:v>
      </x:c>
      <x:c r="M1245" s="24"/>
      <x:c r="N1245" s="24" t="str">
        <x:v>75/80</x:v>
      </x:c>
      <x:c r="O1245" s="24"/>
      <x:c r="P1245" s="24"/>
      <x:c r="Q1245" s="24" t="str">
        <x:v>DISPONÍVEL</x:v>
      </x:c>
      <x:c r="R1245" s="24"/>
      <x:c r="S1245" s="24" t="n">
        <x:v>11</x:v>
      </x:c>
      <x:c r="T1245" s="24" t="str">
        <x:v>tabela_rodenstock.pdf</x:v>
      </x:c>
      <x:c r="U1245" s="24" t="str">
        <x:v>Rodenstock|Progressiva B.I.G. NORM|Surfaçada|Progressiv B.I.G. NORM|ColorMatic® 3|1.54|1.54|ROAD|-8 a +8|até -6||75/80|||11</x:v>
      </x:c>
    </x:row>
    <x:row r="1246">
      <x:c r="A1246" s="24" t="str">
        <x:v>RD-5DB899E93EC3</x:v>
      </x:c>
      <x:c r="B1246" s="24" t="str">
        <x:v>Rodenstock</x:v>
      </x:c>
      <x:c r="C1246" s="24" t="str">
        <x:v>Progressiva B.I.G. NORM</x:v>
      </x:c>
      <x:c r="D1246" s="24" t="str">
        <x:v>Surfaçada</x:v>
      </x:c>
      <x:c r="E1246" s="24" t="str">
        <x:v>Progressiv B.I.G. NORM</x:v>
      </x:c>
      <x:c r="F1246" s="24" t="str">
        <x:v>ColorMatic® 3</x:v>
      </x:c>
      <x:c r="G1246" s="24" t="str">
        <x:v>1.54</x:v>
      </x:c>
      <x:c r="H1246" s="24" t="str">
        <x:v>1.54</x:v>
      </x:c>
      <x:c r="I1246" s="24" t="str">
        <x:v>Solitaire Protect</x:v>
      </x:c>
      <x:c r="J1246" s="40" t="n">
        <x:v>7183</x:v>
      </x:c>
      <x:c r="K1246" s="24" t="str">
        <x:v>-8 a +8</x:v>
      </x:c>
      <x:c r="L1246" s="24" t="str">
        <x:v>até -6</x:v>
      </x:c>
      <x:c r="M1246" s="24"/>
      <x:c r="N1246" s="24" t="str">
        <x:v>75/80</x:v>
      </x:c>
      <x:c r="O1246" s="24"/>
      <x:c r="P1246" s="24"/>
      <x:c r="Q1246" s="24" t="str">
        <x:v>DISPONÍVEL</x:v>
      </x:c>
      <x:c r="R1246" s="24"/>
      <x:c r="S1246" s="24" t="n">
        <x:v>11</x:v>
      </x:c>
      <x:c r="T1246" s="24" t="str">
        <x:v>tabela_rodenstock.pdf</x:v>
      </x:c>
      <x:c r="U1246" s="24" t="str">
        <x:v>Rodenstock|Progressiva B.I.G. NORM|Surfaçada|Progressiv B.I.G. NORM|ColorMatic® 3|1.54|1.54|Solitaire Protect|-8 a +8|até -6||75/80|||11</x:v>
      </x:c>
    </x:row>
    <x:row r="1247">
      <x:c r="A1247" s="24" t="str">
        <x:v>RD-7F524B5B4156</x:v>
      </x:c>
      <x:c r="B1247" s="24" t="str">
        <x:v>Rodenstock</x:v>
      </x:c>
      <x:c r="C1247" s="24" t="str">
        <x:v>Progressiva B.I.G. NORM</x:v>
      </x:c>
      <x:c r="D1247" s="24" t="str">
        <x:v>Surfaçada</x:v>
      </x:c>
      <x:c r="E1247" s="24" t="str">
        <x:v>Progressiv B.I.G. NORM</x:v>
      </x:c>
      <x:c r="F1247" s="24"/>
      <x:c r="G1247" s="24" t="str">
        <x:v>1.6</x:v>
      </x:c>
      <x:c r="H1247" s="24" t="str">
        <x:v>1.60</x:v>
      </x:c>
      <x:c r="I1247" s="24" t="str">
        <x:v>LayR X-tra Clean</x:v>
      </x:c>
      <x:c r="J1247" s="40" t="n">
        <x:v>7497</x:v>
      </x:c>
      <x:c r="K1247" s="24" t="str">
        <x:v>-11 a +10</x:v>
      </x:c>
      <x:c r="L1247" s="24" t="str">
        <x:v>até -6</x:v>
      </x:c>
      <x:c r="M1247" s="24"/>
      <x:c r="N1247" s="24" t="str">
        <x:v>75/80</x:v>
      </x:c>
      <x:c r="O1247" s="24"/>
      <x:c r="P1247" s="24"/>
      <x:c r="Q1247" s="24" t="str">
        <x:v>DISPONÍVEL</x:v>
      </x:c>
      <x:c r="R1247" s="24"/>
      <x:c r="S1247" s="24" t="n">
        <x:v>11</x:v>
      </x:c>
      <x:c r="T1247" s="24" t="str">
        <x:v>tabela_rodenstock.pdf</x:v>
      </x:c>
      <x:c r="U1247" s="24" t="str">
        <x:v>Rodenstock|Progressiva B.I.G. NORM|Surfaçada|Progressiv B.I.G. NORM||1.6|1.60|LayR X-tra Clean|-11 a +10|até -6||75/80|||11</x:v>
      </x:c>
    </x:row>
    <x:row r="1248">
      <x:c r="A1248" s="24" t="str">
        <x:v>RD-4581372ED7D8</x:v>
      </x:c>
      <x:c r="B1248" s="24" t="str">
        <x:v>Rodenstock</x:v>
      </x:c>
      <x:c r="C1248" s="24" t="str">
        <x:v>Progressiva B.I.G. NORM</x:v>
      </x:c>
      <x:c r="D1248" s="24" t="str">
        <x:v>Surfaçada</x:v>
      </x:c>
      <x:c r="E1248" s="24" t="str">
        <x:v>Progressiv B.I.G. NORM</x:v>
      </x:c>
      <x:c r="F1248" s="24"/>
      <x:c r="G1248" s="24" t="str">
        <x:v>1.6</x:v>
      </x:c>
      <x:c r="H1248" s="24" t="str">
        <x:v>1.60</x:v>
      </x:c>
      <x:c r="I1248" s="24" t="str">
        <x:v>LayR Balance</x:v>
      </x:c>
      <x:c r="J1248" s="40" t="n">
        <x:v>7497</x:v>
      </x:c>
      <x:c r="K1248" s="24" t="str">
        <x:v>-11 a +10</x:v>
      </x:c>
      <x:c r="L1248" s="24" t="str">
        <x:v>até -6</x:v>
      </x:c>
      <x:c r="M1248" s="24"/>
      <x:c r="N1248" s="24" t="str">
        <x:v>75/80</x:v>
      </x:c>
      <x:c r="O1248" s="24"/>
      <x:c r="P1248" s="24"/>
      <x:c r="Q1248" s="24" t="str">
        <x:v>DISPONÍVEL</x:v>
      </x:c>
      <x:c r="R1248" s="24"/>
      <x:c r="S1248" s="24" t="n">
        <x:v>11</x:v>
      </x:c>
      <x:c r="T1248" s="24" t="str">
        <x:v>tabela_rodenstock.pdf</x:v>
      </x:c>
      <x:c r="U1248" s="24" t="str">
        <x:v>Rodenstock|Progressiva B.I.G. NORM|Surfaçada|Progressiv B.I.G. NORM||1.6|1.60|LayR Balance|-11 a +10|até -6||75/80|||11</x:v>
      </x:c>
    </x:row>
    <x:row r="1249">
      <x:c r="A1249" s="24" t="str">
        <x:v>RD-5876CF7BF23B</x:v>
      </x:c>
      <x:c r="B1249" s="24" t="str">
        <x:v>Rodenstock</x:v>
      </x:c>
      <x:c r="C1249" s="24" t="str">
        <x:v>Progressiva B.I.G. NORM</x:v>
      </x:c>
      <x:c r="D1249" s="24" t="str">
        <x:v>Surfaçada</x:v>
      </x:c>
      <x:c r="E1249" s="24" t="str">
        <x:v>Progressiv B.I.G. NORM</x:v>
      </x:c>
      <x:c r="F1249" s="24"/>
      <x:c r="G1249" s="24" t="str">
        <x:v>1.6</x:v>
      </x:c>
      <x:c r="H1249" s="24" t="str">
        <x:v>1.60</x:v>
      </x:c>
      <x:c r="I1249" s="24" t="str">
        <x:v>Solitaire X-tra Clean</x:v>
      </x:c>
      <x:c r="J1249" s="40" t="n">
        <x:v>7427</x:v>
      </x:c>
      <x:c r="K1249" s="24" t="str">
        <x:v>-11 a +10</x:v>
      </x:c>
      <x:c r="L1249" s="24" t="str">
        <x:v>até -6</x:v>
      </x:c>
      <x:c r="M1249" s="24"/>
      <x:c r="N1249" s="24" t="str">
        <x:v>75/80</x:v>
      </x:c>
      <x:c r="O1249" s="24"/>
      <x:c r="P1249" s="24"/>
      <x:c r="Q1249" s="24" t="str">
        <x:v>DISPONÍVEL</x:v>
      </x:c>
      <x:c r="R1249" s="24"/>
      <x:c r="S1249" s="24" t="n">
        <x:v>11</x:v>
      </x:c>
      <x:c r="T1249" s="24" t="str">
        <x:v>tabela_rodenstock.pdf</x:v>
      </x:c>
      <x:c r="U1249" s="24" t="str">
        <x:v>Rodenstock|Progressiva B.I.G. NORM|Surfaçada|Progressiv B.I.G. NORM||1.6|1.60|Solitaire X-tra Clean|-11 a +10|até -6||75/80|||11</x:v>
      </x:c>
    </x:row>
    <x:row r="1250">
      <x:c r="A1250" s="24" t="str">
        <x:v>RD-A019E2142A72</x:v>
      </x:c>
      <x:c r="B1250" s="24" t="str">
        <x:v>Rodenstock</x:v>
      </x:c>
      <x:c r="C1250" s="24" t="str">
        <x:v>Progressiva B.I.G. NORM</x:v>
      </x:c>
      <x:c r="D1250" s="24" t="str">
        <x:v>Surfaçada</x:v>
      </x:c>
      <x:c r="E1250" s="24" t="str">
        <x:v>Progressiv B.I.G. NORM</x:v>
      </x:c>
      <x:c r="F1250" s="24"/>
      <x:c r="G1250" s="24" t="str">
        <x:v>1.6</x:v>
      </x:c>
      <x:c r="H1250" s="24" t="str">
        <x:v>1.60</x:v>
      </x:c>
      <x:c r="I1250" s="24" t="str">
        <x:v>Solitaire Protect Plus</x:v>
      </x:c>
      <x:c r="J1250" s="40" t="n">
        <x:v>7377</x:v>
      </x:c>
      <x:c r="K1250" s="24" t="str">
        <x:v>-11 a +10</x:v>
      </x:c>
      <x:c r="L1250" s="24" t="str">
        <x:v>até -6</x:v>
      </x:c>
      <x:c r="M1250" s="24"/>
      <x:c r="N1250" s="24" t="str">
        <x:v>75/80</x:v>
      </x:c>
      <x:c r="O1250" s="24"/>
      <x:c r="P1250" s="24"/>
      <x:c r="Q1250" s="24" t="str">
        <x:v>DISPONÍVEL</x:v>
      </x:c>
      <x:c r="R1250" s="24"/>
      <x:c r="S1250" s="24" t="n">
        <x:v>11</x:v>
      </x:c>
      <x:c r="T1250" s="24" t="str">
        <x:v>tabela_rodenstock.pdf</x:v>
      </x:c>
      <x:c r="U1250" s="24" t="str">
        <x:v>Rodenstock|Progressiva B.I.G. NORM|Surfaçada|Progressiv B.I.G. NORM||1.6|1.60|Solitaire Protect Plus|-11 a +10|até -6||75/80|||11</x:v>
      </x:c>
    </x:row>
    <x:row r="1251">
      <x:c r="A1251" s="24" t="str">
        <x:v>RD-A623FF6CEAE1</x:v>
      </x:c>
      <x:c r="B1251" s="24" t="str">
        <x:v>Rodenstock</x:v>
      </x:c>
      <x:c r="C1251" s="24" t="str">
        <x:v>Progressiva B.I.G. NORM</x:v>
      </x:c>
      <x:c r="D1251" s="24" t="str">
        <x:v>Surfaçada</x:v>
      </x:c>
      <x:c r="E1251" s="24" t="str">
        <x:v>Progressiv B.I.G. NORM</x:v>
      </x:c>
      <x:c r="F1251" s="24"/>
      <x:c r="G1251" s="24" t="str">
        <x:v>1.6</x:v>
      </x:c>
      <x:c r="H1251" s="24" t="str">
        <x:v>1.60</x:v>
      </x:c>
      <x:c r="I1251" s="24" t="str">
        <x:v>ROAD</x:v>
      </x:c>
      <x:c r="J1251" s="40" t="n">
        <x:v>7377</x:v>
      </x:c>
      <x:c r="K1251" s="24" t="str">
        <x:v>-11 a +10</x:v>
      </x:c>
      <x:c r="L1251" s="24" t="str">
        <x:v>até -6</x:v>
      </x:c>
      <x:c r="M1251" s="24"/>
      <x:c r="N1251" s="24" t="str">
        <x:v>75/80</x:v>
      </x:c>
      <x:c r="O1251" s="24"/>
      <x:c r="P1251" s="24"/>
      <x:c r="Q1251" s="24" t="str">
        <x:v>DISPONÍVEL</x:v>
      </x:c>
      <x:c r="R1251" s="24"/>
      <x:c r="S1251" s="24" t="n">
        <x:v>11</x:v>
      </x:c>
      <x:c r="T1251" s="24" t="str">
        <x:v>tabela_rodenstock.pdf</x:v>
      </x:c>
      <x:c r="U1251" s="24" t="str">
        <x:v>Rodenstock|Progressiva B.I.G. NORM|Surfaçada|Progressiv B.I.G. NORM||1.6|1.60|ROAD|-11 a +10|até -6||75/80|||11</x:v>
      </x:c>
    </x:row>
    <x:row r="1252">
      <x:c r="A1252" s="24" t="str">
        <x:v>RD-A0E9B1A1E6A2</x:v>
      </x:c>
      <x:c r="B1252" s="24" t="str">
        <x:v>Rodenstock</x:v>
      </x:c>
      <x:c r="C1252" s="24" t="str">
        <x:v>Progressiva B.I.G. NORM</x:v>
      </x:c>
      <x:c r="D1252" s="24" t="str">
        <x:v>Surfaçada</x:v>
      </x:c>
      <x:c r="E1252" s="24" t="str">
        <x:v>Progressiv B.I.G. NORM</x:v>
      </x:c>
      <x:c r="F1252" s="24"/>
      <x:c r="G1252" s="24" t="str">
        <x:v>1.6</x:v>
      </x:c>
      <x:c r="H1252" s="24" t="str">
        <x:v>1.60</x:v>
      </x:c>
      <x:c r="I1252" s="24" t="str">
        <x:v>Solitaire Protect</x:v>
      </x:c>
      <x:c r="J1252" s="40" t="n">
        <x:v>7117</x:v>
      </x:c>
      <x:c r="K1252" s="24" t="str">
        <x:v>-11 a +10</x:v>
      </x:c>
      <x:c r="L1252" s="24" t="str">
        <x:v>até -6</x:v>
      </x:c>
      <x:c r="M1252" s="24"/>
      <x:c r="N1252" s="24" t="str">
        <x:v>75/80</x:v>
      </x:c>
      <x:c r="O1252" s="24"/>
      <x:c r="P1252" s="24"/>
      <x:c r="Q1252" s="24" t="str">
        <x:v>DISPONÍVEL</x:v>
      </x:c>
      <x:c r="R1252" s="24"/>
      <x:c r="S1252" s="24" t="n">
        <x:v>11</x:v>
      </x:c>
      <x:c r="T1252" s="24" t="str">
        <x:v>tabela_rodenstock.pdf</x:v>
      </x:c>
      <x:c r="U1252" s="24" t="str">
        <x:v>Rodenstock|Progressiva B.I.G. NORM|Surfaçada|Progressiv B.I.G. NORM||1.6|1.60|Solitaire Protect|-11 a +10|até -6||75/80|||11</x:v>
      </x:c>
    </x:row>
    <x:row r="1253">
      <x:c r="A1253" s="24" t="str">
        <x:v>RD-672E51CB16D0</x:v>
      </x:c>
      <x:c r="B1253" s="24" t="str">
        <x:v>Rodenstock</x:v>
      </x:c>
      <x:c r="C1253" s="24" t="str">
        <x:v>Progressiva B.I.G. NORM</x:v>
      </x:c>
      <x:c r="D1253" s="24" t="str">
        <x:v>Surfaçada</x:v>
      </x:c>
      <x:c r="E1253" s="24" t="str">
        <x:v>Progressiv B.I.G. NORM</x:v>
      </x:c>
      <x:c r="F1253" s="24" t="str">
        <x:v>PRO410</x:v>
      </x:c>
      <x:c r="G1253" s="24" t="str">
        <x:v>1.6</x:v>
      </x:c>
      <x:c r="H1253" s="24" t="str">
        <x:v>1.60</x:v>
      </x:c>
      <x:c r="I1253" s="24" t="str">
        <x:v>LayR X-tra Clean</x:v>
      </x:c>
      <x:c r="J1253" s="40" t="n">
        <x:v>7812</x:v>
      </x:c>
      <x:c r="K1253" s="24" t="str">
        <x:v>-11 a +10</x:v>
      </x:c>
      <x:c r="L1253" s="24" t="str">
        <x:v>até -6</x:v>
      </x:c>
      <x:c r="M1253" s="24"/>
      <x:c r="N1253" s="24" t="str">
        <x:v>75/80</x:v>
      </x:c>
      <x:c r="O1253" s="24"/>
      <x:c r="P1253" s="24"/>
      <x:c r="Q1253" s="24" t="str">
        <x:v>DISPONÍVEL</x:v>
      </x:c>
      <x:c r="R1253" s="24"/>
      <x:c r="S1253" s="24" t="n">
        <x:v>11</x:v>
      </x:c>
      <x:c r="T1253" s="24" t="str">
        <x:v>tabela_rodenstock.pdf</x:v>
      </x:c>
      <x:c r="U1253" s="24" t="str">
        <x:v>Rodenstock|Progressiva B.I.G. NORM|Surfaçada|Progressiv B.I.G. NORM|PRO410|1.6|1.60|LayR X-tra Clean|-11 a +10|até -6||75/80|||11</x:v>
      </x:c>
    </x:row>
    <x:row r="1254">
      <x:c r="A1254" s="24" t="str">
        <x:v>RD-6163E3335A9C</x:v>
      </x:c>
      <x:c r="B1254" s="24" t="str">
        <x:v>Rodenstock</x:v>
      </x:c>
      <x:c r="C1254" s="24" t="str">
        <x:v>Progressiva B.I.G. NORM</x:v>
      </x:c>
      <x:c r="D1254" s="24" t="str">
        <x:v>Surfaçada</x:v>
      </x:c>
      <x:c r="E1254" s="24" t="str">
        <x:v>Progressiv B.I.G. NORM</x:v>
      </x:c>
      <x:c r="F1254" s="24" t="str">
        <x:v>PRO410</x:v>
      </x:c>
      <x:c r="G1254" s="24" t="str">
        <x:v>1.6</x:v>
      </x:c>
      <x:c r="H1254" s="24" t="str">
        <x:v>1.60</x:v>
      </x:c>
      <x:c r="I1254" s="24" t="str">
        <x:v>LayR Balance</x:v>
      </x:c>
      <x:c r="J1254" s="40" t="n">
        <x:v>7812</x:v>
      </x:c>
      <x:c r="K1254" s="24" t="str">
        <x:v>-11 a +10</x:v>
      </x:c>
      <x:c r="L1254" s="24" t="str">
        <x:v>até -6</x:v>
      </x:c>
      <x:c r="M1254" s="24"/>
      <x:c r="N1254" s="24" t="str">
        <x:v>75/80</x:v>
      </x:c>
      <x:c r="O1254" s="24"/>
      <x:c r="P1254" s="24"/>
      <x:c r="Q1254" s="24" t="str">
        <x:v>DISPONÍVEL</x:v>
      </x:c>
      <x:c r="R1254" s="24"/>
      <x:c r="S1254" s="24" t="n">
        <x:v>11</x:v>
      </x:c>
      <x:c r="T1254" s="24" t="str">
        <x:v>tabela_rodenstock.pdf</x:v>
      </x:c>
      <x:c r="U1254" s="24" t="str">
        <x:v>Rodenstock|Progressiva B.I.G. NORM|Surfaçada|Progressiv B.I.G. NORM|PRO410|1.6|1.60|LayR Balance|-11 a +10|até -6||75/80|||11</x:v>
      </x:c>
    </x:row>
    <x:row r="1255">
      <x:c r="A1255" s="24" t="str">
        <x:v>RD-D986AE9822E5</x:v>
      </x:c>
      <x:c r="B1255" s="24" t="str">
        <x:v>Rodenstock</x:v>
      </x:c>
      <x:c r="C1255" s="24" t="str">
        <x:v>Progressiva B.I.G. NORM</x:v>
      </x:c>
      <x:c r="D1255" s="24" t="str">
        <x:v>Surfaçada</x:v>
      </x:c>
      <x:c r="E1255" s="24" t="str">
        <x:v>Progressiv B.I.G. NORM</x:v>
      </x:c>
      <x:c r="F1255" s="24" t="str">
        <x:v>PRO410</x:v>
      </x:c>
      <x:c r="G1255" s="24" t="str">
        <x:v>1.6</x:v>
      </x:c>
      <x:c r="H1255" s="24" t="str">
        <x:v>1.60</x:v>
      </x:c>
      <x:c r="I1255" s="24" t="str">
        <x:v>Solitaire X-tra Clean</x:v>
      </x:c>
      <x:c r="J1255" s="40" t="n">
        <x:v>7742</x:v>
      </x:c>
      <x:c r="K1255" s="24" t="str">
        <x:v>-11 a +10</x:v>
      </x:c>
      <x:c r="L1255" s="24" t="str">
        <x:v>até -6</x:v>
      </x:c>
      <x:c r="M1255" s="24"/>
      <x:c r="N1255" s="24" t="str">
        <x:v>75/80</x:v>
      </x:c>
      <x:c r="O1255" s="24"/>
      <x:c r="P1255" s="24"/>
      <x:c r="Q1255" s="24" t="str">
        <x:v>DISPONÍVEL</x:v>
      </x:c>
      <x:c r="R1255" s="24"/>
      <x:c r="S1255" s="24" t="n">
        <x:v>11</x:v>
      </x:c>
      <x:c r="T1255" s="24" t="str">
        <x:v>tabela_rodenstock.pdf</x:v>
      </x:c>
      <x:c r="U1255" s="24" t="str">
        <x:v>Rodenstock|Progressiva B.I.G. NORM|Surfaçada|Progressiv B.I.G. NORM|PRO410|1.6|1.60|Solitaire X-tra Clean|-11 a +10|até -6||75/80|||11</x:v>
      </x:c>
    </x:row>
    <x:row r="1256">
      <x:c r="A1256" s="24" t="str">
        <x:v>RD-A3E47EC012BE</x:v>
      </x:c>
      <x:c r="B1256" s="24" t="str">
        <x:v>Rodenstock</x:v>
      </x:c>
      <x:c r="C1256" s="24" t="str">
        <x:v>Progressiva B.I.G. NORM</x:v>
      </x:c>
      <x:c r="D1256" s="24" t="str">
        <x:v>Surfaçada</x:v>
      </x:c>
      <x:c r="E1256" s="24" t="str">
        <x:v>Progressiv B.I.G. NORM</x:v>
      </x:c>
      <x:c r="F1256" s="24" t="str">
        <x:v>PRO410</x:v>
      </x:c>
      <x:c r="G1256" s="24" t="str">
        <x:v>1.6</x:v>
      </x:c>
      <x:c r="H1256" s="24" t="str">
        <x:v>1.60</x:v>
      </x:c>
      <x:c r="I1256" s="24" t="str">
        <x:v>Solitaire Protect Plus</x:v>
      </x:c>
      <x:c r="J1256" s="40" t="n">
        <x:v>7692</x:v>
      </x:c>
      <x:c r="K1256" s="24" t="str">
        <x:v>-11 a +10</x:v>
      </x:c>
      <x:c r="L1256" s="24" t="str">
        <x:v>até -6</x:v>
      </x:c>
      <x:c r="M1256" s="24"/>
      <x:c r="N1256" s="24" t="str">
        <x:v>75/80</x:v>
      </x:c>
      <x:c r="O1256" s="24"/>
      <x:c r="P1256" s="24"/>
      <x:c r="Q1256" s="24" t="str">
        <x:v>DISPONÍVEL</x:v>
      </x:c>
      <x:c r="R1256" s="24"/>
      <x:c r="S1256" s="24" t="n">
        <x:v>11</x:v>
      </x:c>
      <x:c r="T1256" s="24" t="str">
        <x:v>tabela_rodenstock.pdf</x:v>
      </x:c>
      <x:c r="U1256" s="24" t="str">
        <x:v>Rodenstock|Progressiva B.I.G. NORM|Surfaçada|Progressiv B.I.G. NORM|PRO410|1.6|1.60|Solitaire Protect Plus|-11 a +10|até -6||75/80|||11</x:v>
      </x:c>
    </x:row>
    <x:row r="1257">
      <x:c r="A1257" s="24" t="str">
        <x:v>RD-522328A365AD</x:v>
      </x:c>
      <x:c r="B1257" s="24" t="str">
        <x:v>Rodenstock</x:v>
      </x:c>
      <x:c r="C1257" s="24" t="str">
        <x:v>Progressiva B.I.G. NORM</x:v>
      </x:c>
      <x:c r="D1257" s="24" t="str">
        <x:v>Surfaçada</x:v>
      </x:c>
      <x:c r="E1257" s="24" t="str">
        <x:v>Progressiv B.I.G. NORM</x:v>
      </x:c>
      <x:c r="F1257" s="24" t="str">
        <x:v>PRO410</x:v>
      </x:c>
      <x:c r="G1257" s="24" t="str">
        <x:v>1.6</x:v>
      </x:c>
      <x:c r="H1257" s="24" t="str">
        <x:v>1.60</x:v>
      </x:c>
      <x:c r="I1257" s="24" t="str">
        <x:v>ROAD</x:v>
      </x:c>
      <x:c r="J1257" s="40" t="n">
        <x:v>7692</x:v>
      </x:c>
      <x:c r="K1257" s="24" t="str">
        <x:v>-11 a +10</x:v>
      </x:c>
      <x:c r="L1257" s="24" t="str">
        <x:v>até -6</x:v>
      </x:c>
      <x:c r="M1257" s="24"/>
      <x:c r="N1257" s="24" t="str">
        <x:v>75/80</x:v>
      </x:c>
      <x:c r="O1257" s="24"/>
      <x:c r="P1257" s="24"/>
      <x:c r="Q1257" s="24" t="str">
        <x:v>DISPONÍVEL</x:v>
      </x:c>
      <x:c r="R1257" s="24"/>
      <x:c r="S1257" s="24" t="n">
        <x:v>11</x:v>
      </x:c>
      <x:c r="T1257" s="24" t="str">
        <x:v>tabela_rodenstock.pdf</x:v>
      </x:c>
      <x:c r="U1257" s="24" t="str">
        <x:v>Rodenstock|Progressiva B.I.G. NORM|Surfaçada|Progressiv B.I.G. NORM|PRO410|1.6|1.60|ROAD|-11 a +10|até -6||75/80|||11</x:v>
      </x:c>
    </x:row>
    <x:row r="1258">
      <x:c r="A1258" s="24" t="str">
        <x:v>RD-4E0D91359CBC</x:v>
      </x:c>
      <x:c r="B1258" s="24" t="str">
        <x:v>Rodenstock</x:v>
      </x:c>
      <x:c r="C1258" s="24" t="str">
        <x:v>Progressiva B.I.G. NORM</x:v>
      </x:c>
      <x:c r="D1258" s="24" t="str">
        <x:v>Surfaçada</x:v>
      </x:c>
      <x:c r="E1258" s="24" t="str">
        <x:v>Progressiv B.I.G. NORM</x:v>
      </x:c>
      <x:c r="F1258" s="24" t="str">
        <x:v>PRO410</x:v>
      </x:c>
      <x:c r="G1258" s="24" t="str">
        <x:v>1.6</x:v>
      </x:c>
      <x:c r="H1258" s="24" t="str">
        <x:v>1.60</x:v>
      </x:c>
      <x:c r="I1258" s="24" t="str">
        <x:v>Solitaire Protect</x:v>
      </x:c>
      <x:c r="J1258" s="40" t="n">
        <x:v>7432</x:v>
      </x:c>
      <x:c r="K1258" s="24" t="str">
        <x:v>-11 a +10</x:v>
      </x:c>
      <x:c r="L1258" s="24" t="str">
        <x:v>até -6</x:v>
      </x:c>
      <x:c r="M1258" s="24"/>
      <x:c r="N1258" s="24" t="str">
        <x:v>75/80</x:v>
      </x:c>
      <x:c r="O1258" s="24"/>
      <x:c r="P1258" s="24"/>
      <x:c r="Q1258" s="24" t="str">
        <x:v>DISPONÍVEL</x:v>
      </x:c>
      <x:c r="R1258" s="24"/>
      <x:c r="S1258" s="24" t="n">
        <x:v>11</x:v>
      </x:c>
      <x:c r="T1258" s="24" t="str">
        <x:v>tabela_rodenstock.pdf</x:v>
      </x:c>
      <x:c r="U1258" s="24" t="str">
        <x:v>Rodenstock|Progressiva B.I.G. NORM|Surfaçada|Progressiv B.I.G. NORM|PRO410|1.6|1.60|Solitaire Protect|-11 a +10|até -6||75/80|||11</x:v>
      </x:c>
    </x:row>
    <x:row r="1259">
      <x:c r="A1259" s="24" t="str">
        <x:v>RD-A6AE1FFC3682</x:v>
      </x:c>
      <x:c r="B1259" s="24" t="str">
        <x:v>Rodenstock</x:v>
      </x:c>
      <x:c r="C1259" s="24" t="str">
        <x:v>Progressiva B.I.G. NORM</x:v>
      </x:c>
      <x:c r="D1259" s="24" t="str">
        <x:v>Surfaçada</x:v>
      </x:c>
      <x:c r="E1259" s="24" t="str">
        <x:v>Progressiv B.I.G. NORM</x:v>
      </x:c>
      <x:c r="F1259" s="24" t="str">
        <x:v>ColorMatic® 3 | X</x:v>
      </x:c>
      <x:c r="G1259" s="24" t="str">
        <x:v>1.6</x:v>
      </x:c>
      <x:c r="H1259" s="24" t="str">
        <x:v>1.60</x:v>
      </x:c>
      <x:c r="I1259" s="24" t="str">
        <x:v>LayR X-tra Clean</x:v>
      </x:c>
      <x:c r="J1259" s="40" t="n">
        <x:v>9126</x:v>
      </x:c>
      <x:c r="K1259" s="24" t="str">
        <x:v>-11 a +10</x:v>
      </x:c>
      <x:c r="L1259" s="24" t="str">
        <x:v>até -6</x:v>
      </x:c>
      <x:c r="M1259" s="24"/>
      <x:c r="N1259" s="24" t="str">
        <x:v>75/80</x:v>
      </x:c>
      <x:c r="O1259" s="24"/>
      <x:c r="P1259" s="24"/>
      <x:c r="Q1259" s="24" t="str">
        <x:v>DISPONÍVEL</x:v>
      </x:c>
      <x:c r="R1259" s="24"/>
      <x:c r="S1259" s="24" t="n">
        <x:v>11</x:v>
      </x:c>
      <x:c r="T1259" s="24" t="str">
        <x:v>tabela_rodenstock.pdf</x:v>
      </x:c>
      <x:c r="U1259" s="24" t="str">
        <x:v>Rodenstock|Progressiva B.I.G. NORM|Surfaçada|Progressiv B.I.G. NORM|ColorMatic® 3 | X|1.6|1.60|LayR X-tra Clean|-11 a +10|até -6||75/80|||11</x:v>
      </x:c>
    </x:row>
    <x:row r="1260">
      <x:c r="A1260" s="24" t="str">
        <x:v>RD-943825FA6A65</x:v>
      </x:c>
      <x:c r="B1260" s="24" t="str">
        <x:v>Rodenstock</x:v>
      </x:c>
      <x:c r="C1260" s="24" t="str">
        <x:v>Progressiva B.I.G. NORM</x:v>
      </x:c>
      <x:c r="D1260" s="24" t="str">
        <x:v>Surfaçada</x:v>
      </x:c>
      <x:c r="E1260" s="24" t="str">
        <x:v>Progressiv B.I.G. NORM</x:v>
      </x:c>
      <x:c r="F1260" s="24" t="str">
        <x:v>ColorMatic® 3 | X</x:v>
      </x:c>
      <x:c r="G1260" s="24" t="str">
        <x:v>1.6</x:v>
      </x:c>
      <x:c r="H1260" s="24" t="str">
        <x:v>1.60</x:v>
      </x:c>
      <x:c r="I1260" s="24" t="str">
        <x:v>LayR Balance</x:v>
      </x:c>
      <x:c r="J1260" s="40" t="n">
        <x:v>9126</x:v>
      </x:c>
      <x:c r="K1260" s="24" t="str">
        <x:v>-11 a +10</x:v>
      </x:c>
      <x:c r="L1260" s="24" t="str">
        <x:v>até -6</x:v>
      </x:c>
      <x:c r="M1260" s="24"/>
      <x:c r="N1260" s="24" t="str">
        <x:v>75/80</x:v>
      </x:c>
      <x:c r="O1260" s="24"/>
      <x:c r="P1260" s="24"/>
      <x:c r="Q1260" s="24" t="str">
        <x:v>DISPONÍVEL</x:v>
      </x:c>
      <x:c r="R1260" s="24"/>
      <x:c r="S1260" s="24" t="n">
        <x:v>11</x:v>
      </x:c>
      <x:c r="T1260" s="24" t="str">
        <x:v>tabela_rodenstock.pdf</x:v>
      </x:c>
      <x:c r="U1260" s="24" t="str">
        <x:v>Rodenstock|Progressiva B.I.G. NORM|Surfaçada|Progressiv B.I.G. NORM|ColorMatic® 3 | X|1.6|1.60|LayR Balance|-11 a +10|até -6||75/80|||11</x:v>
      </x:c>
    </x:row>
    <x:row r="1261">
      <x:c r="A1261" s="24" t="str">
        <x:v>RD-8B29993C8506</x:v>
      </x:c>
      <x:c r="B1261" s="24" t="str">
        <x:v>Rodenstock</x:v>
      </x:c>
      <x:c r="C1261" s="24" t="str">
        <x:v>Progressiva B.I.G. NORM</x:v>
      </x:c>
      <x:c r="D1261" s="24" t="str">
        <x:v>Surfaçada</x:v>
      </x:c>
      <x:c r="E1261" s="24" t="str">
        <x:v>Progressiv B.I.G. NORM</x:v>
      </x:c>
      <x:c r="F1261" s="24" t="str">
        <x:v>ColorMatic® 3 | X</x:v>
      </x:c>
      <x:c r="G1261" s="24" t="str">
        <x:v>1.6</x:v>
      </x:c>
      <x:c r="H1261" s="24" t="str">
        <x:v>1.60</x:v>
      </x:c>
      <x:c r="I1261" s="24" t="str">
        <x:v>Solitaire X-tra Clean</x:v>
      </x:c>
      <x:c r="J1261" s="40" t="n">
        <x:v>9056</x:v>
      </x:c>
      <x:c r="K1261" s="24" t="str">
        <x:v>-11 a +10</x:v>
      </x:c>
      <x:c r="L1261" s="24" t="str">
        <x:v>até -6</x:v>
      </x:c>
      <x:c r="M1261" s="24"/>
      <x:c r="N1261" s="24" t="str">
        <x:v>75/80</x:v>
      </x:c>
      <x:c r="O1261" s="24"/>
      <x:c r="P1261" s="24"/>
      <x:c r="Q1261" s="24" t="str">
        <x:v>DISPONÍVEL</x:v>
      </x:c>
      <x:c r="R1261" s="24"/>
      <x:c r="S1261" s="24" t="n">
        <x:v>11</x:v>
      </x:c>
      <x:c r="T1261" s="24" t="str">
        <x:v>tabela_rodenstock.pdf</x:v>
      </x:c>
      <x:c r="U1261" s="24" t="str">
        <x:v>Rodenstock|Progressiva B.I.G. NORM|Surfaçada|Progressiv B.I.G. NORM|ColorMatic® 3 | X|1.6|1.60|Solitaire X-tra Clean|-11 a +10|até -6||75/80|||11</x:v>
      </x:c>
    </x:row>
    <x:row r="1262">
      <x:c r="A1262" s="24" t="str">
        <x:v>RD-4E0BDC3F8409</x:v>
      </x:c>
      <x:c r="B1262" s="24" t="str">
        <x:v>Rodenstock</x:v>
      </x:c>
      <x:c r="C1262" s="24" t="str">
        <x:v>Progressiva B.I.G. NORM</x:v>
      </x:c>
      <x:c r="D1262" s="24" t="str">
        <x:v>Surfaçada</x:v>
      </x:c>
      <x:c r="E1262" s="24" t="str">
        <x:v>Progressiv B.I.G. NORM</x:v>
      </x:c>
      <x:c r="F1262" s="24" t="str">
        <x:v>ColorMatic® 3 | X</x:v>
      </x:c>
      <x:c r="G1262" s="24" t="str">
        <x:v>1.6</x:v>
      </x:c>
      <x:c r="H1262" s="24" t="str">
        <x:v>1.60</x:v>
      </x:c>
      <x:c r="I1262" s="24" t="str">
        <x:v>Solitaire Protect Plus</x:v>
      </x:c>
      <x:c r="J1262" s="40" t="n">
        <x:v>9006</x:v>
      </x:c>
      <x:c r="K1262" s="24" t="str">
        <x:v>-11 a +10</x:v>
      </x:c>
      <x:c r="L1262" s="24" t="str">
        <x:v>até -6</x:v>
      </x:c>
      <x:c r="M1262" s="24"/>
      <x:c r="N1262" s="24" t="str">
        <x:v>75/80</x:v>
      </x:c>
      <x:c r="O1262" s="24"/>
      <x:c r="P1262" s="24"/>
      <x:c r="Q1262" s="24" t="str">
        <x:v>DISPONÍVEL</x:v>
      </x:c>
      <x:c r="R1262" s="24"/>
      <x:c r="S1262" s="24" t="n">
        <x:v>11</x:v>
      </x:c>
      <x:c r="T1262" s="24" t="str">
        <x:v>tabela_rodenstock.pdf</x:v>
      </x:c>
      <x:c r="U1262" s="24" t="str">
        <x:v>Rodenstock|Progressiva B.I.G. NORM|Surfaçada|Progressiv B.I.G. NORM|ColorMatic® 3 | X|1.6|1.60|Solitaire Protect Plus|-11 a +10|até -6||75/80|||11</x:v>
      </x:c>
    </x:row>
    <x:row r="1263">
      <x:c r="A1263" s="24" t="str">
        <x:v>RD-3F192FF825AA</x:v>
      </x:c>
      <x:c r="B1263" s="24" t="str">
        <x:v>Rodenstock</x:v>
      </x:c>
      <x:c r="C1263" s="24" t="str">
        <x:v>Progressiva B.I.G. NORM</x:v>
      </x:c>
      <x:c r="D1263" s="24" t="str">
        <x:v>Surfaçada</x:v>
      </x:c>
      <x:c r="E1263" s="24" t="str">
        <x:v>Progressiv B.I.G. NORM</x:v>
      </x:c>
      <x:c r="F1263" s="24" t="str">
        <x:v>ColorMatic® 3 | X</x:v>
      </x:c>
      <x:c r="G1263" s="24" t="str">
        <x:v>1.6</x:v>
      </x:c>
      <x:c r="H1263" s="24" t="str">
        <x:v>1.60</x:v>
      </x:c>
      <x:c r="I1263" s="24" t="str">
        <x:v>ROAD</x:v>
      </x:c>
      <x:c r="J1263" s="40" t="n">
        <x:v>9006</x:v>
      </x:c>
      <x:c r="K1263" s="24" t="str">
        <x:v>-11 a +10</x:v>
      </x:c>
      <x:c r="L1263" s="24" t="str">
        <x:v>até -6</x:v>
      </x:c>
      <x:c r="M1263" s="24"/>
      <x:c r="N1263" s="24" t="str">
        <x:v>75/80</x:v>
      </x:c>
      <x:c r="O1263" s="24"/>
      <x:c r="P1263" s="24"/>
      <x:c r="Q1263" s="24" t="str">
        <x:v>DISPONÍVEL</x:v>
      </x:c>
      <x:c r="R1263" s="24"/>
      <x:c r="S1263" s="24" t="n">
        <x:v>11</x:v>
      </x:c>
      <x:c r="T1263" s="24" t="str">
        <x:v>tabela_rodenstock.pdf</x:v>
      </x:c>
      <x:c r="U1263" s="24" t="str">
        <x:v>Rodenstock|Progressiva B.I.G. NORM|Surfaçada|Progressiv B.I.G. NORM|ColorMatic® 3 | X|1.6|1.60|ROAD|-11 a +10|até -6||75/80|||11</x:v>
      </x:c>
    </x:row>
    <x:row r="1264">
      <x:c r="A1264" s="24" t="str">
        <x:v>RD-6924B0C8A43A</x:v>
      </x:c>
      <x:c r="B1264" s="24" t="str">
        <x:v>Rodenstock</x:v>
      </x:c>
      <x:c r="C1264" s="24" t="str">
        <x:v>Progressiva B.I.G. NORM</x:v>
      </x:c>
      <x:c r="D1264" s="24" t="str">
        <x:v>Surfaçada</x:v>
      </x:c>
      <x:c r="E1264" s="24" t="str">
        <x:v>Progressiv B.I.G. NORM</x:v>
      </x:c>
      <x:c r="F1264" s="24" t="str">
        <x:v>ColorMatic® 3 | X</x:v>
      </x:c>
      <x:c r="G1264" s="24" t="str">
        <x:v>1.6</x:v>
      </x:c>
      <x:c r="H1264" s="24" t="str">
        <x:v>1.60</x:v>
      </x:c>
      <x:c r="I1264" s="24" t="str">
        <x:v>Solitaire Protect</x:v>
      </x:c>
      <x:c r="J1264" s="40" t="n">
        <x:v>8746</x:v>
      </x:c>
      <x:c r="K1264" s="24" t="str">
        <x:v>-11 a +10</x:v>
      </x:c>
      <x:c r="L1264" s="24" t="str">
        <x:v>até -6</x:v>
      </x:c>
      <x:c r="M1264" s="24"/>
      <x:c r="N1264" s="24" t="str">
        <x:v>75/80</x:v>
      </x:c>
      <x:c r="O1264" s="24"/>
      <x:c r="P1264" s="24"/>
      <x:c r="Q1264" s="24" t="str">
        <x:v>DISPONÍVEL</x:v>
      </x:c>
      <x:c r="R1264" s="24"/>
      <x:c r="S1264" s="24" t="n">
        <x:v>11</x:v>
      </x:c>
      <x:c r="T1264" s="24" t="str">
        <x:v>tabela_rodenstock.pdf</x:v>
      </x:c>
      <x:c r="U1264" s="24" t="str">
        <x:v>Rodenstock|Progressiva B.I.G. NORM|Surfaçada|Progressiv B.I.G. NORM|ColorMatic® 3 | X|1.6|1.60|Solitaire Protect|-11 a +10|até -6||75/80|||11</x:v>
      </x:c>
    </x:row>
    <x:row r="1265">
      <x:c r="A1265" s="24" t="str">
        <x:v>RD-D8FCE3A2E3AA</x:v>
      </x:c>
      <x:c r="B1265" s="24" t="str">
        <x:v>Rodenstock</x:v>
      </x:c>
      <x:c r="C1265" s="24" t="str">
        <x:v>Progressiva B.I.G. NORM</x:v>
      </x:c>
      <x:c r="D1265" s="24" t="str">
        <x:v>Surfaçada</x:v>
      </x:c>
      <x:c r="E1265" s="24" t="str">
        <x:v>Progressiv B.I.G. NORM</x:v>
      </x:c>
      <x:c r="F1265" s="24"/>
      <x:c r="G1265" s="24" t="str">
        <x:v>1.67</x:v>
      </x:c>
      <x:c r="H1265" s="24" t="str">
        <x:v>1.67</x:v>
      </x:c>
      <x:c r="I1265" s="24" t="str">
        <x:v>LayR X-tra Clean</x:v>
      </x:c>
      <x:c r="J1265" s="40" t="n">
        <x:v>9271</x:v>
      </x:c>
      <x:c r="K1265" s="24" t="str">
        <x:v>-12 a +10</x:v>
      </x:c>
      <x:c r="L1265" s="24" t="str">
        <x:v>até -6</x:v>
      </x:c>
      <x:c r="M1265" s="24"/>
      <x:c r="N1265" s="24" t="str">
        <x:v>75/80</x:v>
      </x:c>
      <x:c r="O1265" s="24"/>
      <x:c r="P1265" s="24"/>
      <x:c r="Q1265" s="24" t="str">
        <x:v>DISPONÍVEL</x:v>
      </x:c>
      <x:c r="R1265" s="24"/>
      <x:c r="S1265" s="24" t="n">
        <x:v>11</x:v>
      </x:c>
      <x:c r="T1265" s="24" t="str">
        <x:v>tabela_rodenstock.pdf</x:v>
      </x:c>
      <x:c r="U1265" s="24" t="str">
        <x:v>Rodenstock|Progressiva B.I.G. NORM|Surfaçada|Progressiv B.I.G. NORM||1.67|1.67|LayR X-tra Clean|-12 a +10|até -6||75/80|||11</x:v>
      </x:c>
    </x:row>
    <x:row r="1266">
      <x:c r="A1266" s="24" t="str">
        <x:v>RD-A523468D73EC</x:v>
      </x:c>
      <x:c r="B1266" s="24" t="str">
        <x:v>Rodenstock</x:v>
      </x:c>
      <x:c r="C1266" s="24" t="str">
        <x:v>Progressiva B.I.G. NORM</x:v>
      </x:c>
      <x:c r="D1266" s="24" t="str">
        <x:v>Surfaçada</x:v>
      </x:c>
      <x:c r="E1266" s="24" t="str">
        <x:v>Progressiv B.I.G. NORM</x:v>
      </x:c>
      <x:c r="F1266" s="24"/>
      <x:c r="G1266" s="24" t="str">
        <x:v>1.67</x:v>
      </x:c>
      <x:c r="H1266" s="24" t="str">
        <x:v>1.67</x:v>
      </x:c>
      <x:c r="I1266" s="24" t="str">
        <x:v>LayR Balance</x:v>
      </x:c>
      <x:c r="J1266" s="40" t="n">
        <x:v>9271</x:v>
      </x:c>
      <x:c r="K1266" s="24" t="str">
        <x:v>-12 a +10</x:v>
      </x:c>
      <x:c r="L1266" s="24" t="str">
        <x:v>até -6</x:v>
      </x:c>
      <x:c r="M1266" s="24"/>
      <x:c r="N1266" s="24" t="str">
        <x:v>75/80</x:v>
      </x:c>
      <x:c r="O1266" s="24"/>
      <x:c r="P1266" s="24"/>
      <x:c r="Q1266" s="24" t="str">
        <x:v>DISPONÍVEL</x:v>
      </x:c>
      <x:c r="R1266" s="24"/>
      <x:c r="S1266" s="24" t="n">
        <x:v>11</x:v>
      </x:c>
      <x:c r="T1266" s="24" t="str">
        <x:v>tabela_rodenstock.pdf</x:v>
      </x:c>
      <x:c r="U1266" s="24" t="str">
        <x:v>Rodenstock|Progressiva B.I.G. NORM|Surfaçada|Progressiv B.I.G. NORM||1.67|1.67|LayR Balance|-12 a +10|até -6||75/80|||11</x:v>
      </x:c>
    </x:row>
    <x:row r="1267">
      <x:c r="A1267" s="24" t="str">
        <x:v>RD-95A7553857AC</x:v>
      </x:c>
      <x:c r="B1267" s="24" t="str">
        <x:v>Rodenstock</x:v>
      </x:c>
      <x:c r="C1267" s="24" t="str">
        <x:v>Progressiva B.I.G. NORM</x:v>
      </x:c>
      <x:c r="D1267" s="24" t="str">
        <x:v>Surfaçada</x:v>
      </x:c>
      <x:c r="E1267" s="24" t="str">
        <x:v>Progressiv B.I.G. NORM</x:v>
      </x:c>
      <x:c r="F1267" s="24"/>
      <x:c r="G1267" s="24" t="str">
        <x:v>1.67</x:v>
      </x:c>
      <x:c r="H1267" s="24" t="str">
        <x:v>1.67</x:v>
      </x:c>
      <x:c r="I1267" s="24" t="str">
        <x:v>Solitaire X-tra Clean</x:v>
      </x:c>
      <x:c r="J1267" s="40" t="n">
        <x:v>9201</x:v>
      </x:c>
      <x:c r="K1267" s="24" t="str">
        <x:v>-12 a +10</x:v>
      </x:c>
      <x:c r="L1267" s="24" t="str">
        <x:v>até -6</x:v>
      </x:c>
      <x:c r="M1267" s="24"/>
      <x:c r="N1267" s="24" t="str">
        <x:v>75/80</x:v>
      </x:c>
      <x:c r="O1267" s="24"/>
      <x:c r="P1267" s="24"/>
      <x:c r="Q1267" s="24" t="str">
        <x:v>DISPONÍVEL</x:v>
      </x:c>
      <x:c r="R1267" s="24"/>
      <x:c r="S1267" s="24" t="n">
        <x:v>11</x:v>
      </x:c>
      <x:c r="T1267" s="24" t="str">
        <x:v>tabela_rodenstock.pdf</x:v>
      </x:c>
      <x:c r="U1267" s="24" t="str">
        <x:v>Rodenstock|Progressiva B.I.G. NORM|Surfaçada|Progressiv B.I.G. NORM||1.67|1.67|Solitaire X-tra Clean|-12 a +10|até -6||75/80|||11</x:v>
      </x:c>
    </x:row>
    <x:row r="1268">
      <x:c r="A1268" s="24" t="str">
        <x:v>RD-5A938297EC3E</x:v>
      </x:c>
      <x:c r="B1268" s="24" t="str">
        <x:v>Rodenstock</x:v>
      </x:c>
      <x:c r="C1268" s="24" t="str">
        <x:v>Progressiva B.I.G. NORM</x:v>
      </x:c>
      <x:c r="D1268" s="24" t="str">
        <x:v>Surfaçada</x:v>
      </x:c>
      <x:c r="E1268" s="24" t="str">
        <x:v>Progressiv B.I.G. NORM</x:v>
      </x:c>
      <x:c r="F1268" s="24"/>
      <x:c r="G1268" s="24" t="str">
        <x:v>1.67</x:v>
      </x:c>
      <x:c r="H1268" s="24" t="str">
        <x:v>1.67</x:v>
      </x:c>
      <x:c r="I1268" s="24" t="str">
        <x:v>Solitaire Protect Plus</x:v>
      </x:c>
      <x:c r="J1268" s="40" t="n">
        <x:v>9151</x:v>
      </x:c>
      <x:c r="K1268" s="24" t="str">
        <x:v>-12 a +10</x:v>
      </x:c>
      <x:c r="L1268" s="24" t="str">
        <x:v>até -6</x:v>
      </x:c>
      <x:c r="M1268" s="24"/>
      <x:c r="N1268" s="24" t="str">
        <x:v>75/80</x:v>
      </x:c>
      <x:c r="O1268" s="24"/>
      <x:c r="P1268" s="24"/>
      <x:c r="Q1268" s="24" t="str">
        <x:v>DISPONÍVEL</x:v>
      </x:c>
      <x:c r="R1268" s="24"/>
      <x:c r="S1268" s="24" t="n">
        <x:v>11</x:v>
      </x:c>
      <x:c r="T1268" s="24" t="str">
        <x:v>tabela_rodenstock.pdf</x:v>
      </x:c>
      <x:c r="U1268" s="24" t="str">
        <x:v>Rodenstock|Progressiva B.I.G. NORM|Surfaçada|Progressiv B.I.G. NORM||1.67|1.67|Solitaire Protect Plus|-12 a +10|até -6||75/80|||11</x:v>
      </x:c>
    </x:row>
    <x:row r="1269">
      <x:c r="A1269" s="24" t="str">
        <x:v>RD-058C61DB3813</x:v>
      </x:c>
      <x:c r="B1269" s="24" t="str">
        <x:v>Rodenstock</x:v>
      </x:c>
      <x:c r="C1269" s="24" t="str">
        <x:v>Progressiva B.I.G. NORM</x:v>
      </x:c>
      <x:c r="D1269" s="24" t="str">
        <x:v>Surfaçada</x:v>
      </x:c>
      <x:c r="E1269" s="24" t="str">
        <x:v>Progressiv B.I.G. NORM</x:v>
      </x:c>
      <x:c r="F1269" s="24"/>
      <x:c r="G1269" s="24" t="str">
        <x:v>1.67</x:v>
      </x:c>
      <x:c r="H1269" s="24" t="str">
        <x:v>1.67</x:v>
      </x:c>
      <x:c r="I1269" s="24" t="str">
        <x:v>ROAD</x:v>
      </x:c>
      <x:c r="J1269" s="40" t="n">
        <x:v>9151</x:v>
      </x:c>
      <x:c r="K1269" s="24" t="str">
        <x:v>-12 a +10</x:v>
      </x:c>
      <x:c r="L1269" s="24" t="str">
        <x:v>até -6</x:v>
      </x:c>
      <x:c r="M1269" s="24"/>
      <x:c r="N1269" s="24" t="str">
        <x:v>75/80</x:v>
      </x:c>
      <x:c r="O1269" s="24"/>
      <x:c r="P1269" s="24"/>
      <x:c r="Q1269" s="24" t="str">
        <x:v>DISPONÍVEL</x:v>
      </x:c>
      <x:c r="R1269" s="24"/>
      <x:c r="S1269" s="24" t="n">
        <x:v>11</x:v>
      </x:c>
      <x:c r="T1269" s="24" t="str">
        <x:v>tabela_rodenstock.pdf</x:v>
      </x:c>
      <x:c r="U1269" s="24" t="str">
        <x:v>Rodenstock|Progressiva B.I.G. NORM|Surfaçada|Progressiv B.I.G. NORM||1.67|1.67|ROAD|-12 a +10|até -6||75/80|||11</x:v>
      </x:c>
    </x:row>
    <x:row r="1270">
      <x:c r="A1270" s="24" t="str">
        <x:v>RD-EE452790DF3A</x:v>
      </x:c>
      <x:c r="B1270" s="24" t="str">
        <x:v>Rodenstock</x:v>
      </x:c>
      <x:c r="C1270" s="24" t="str">
        <x:v>Progressiva B.I.G. NORM</x:v>
      </x:c>
      <x:c r="D1270" s="24" t="str">
        <x:v>Surfaçada</x:v>
      </x:c>
      <x:c r="E1270" s="24" t="str">
        <x:v>Progressiv B.I.G. NORM</x:v>
      </x:c>
      <x:c r="F1270" s="24"/>
      <x:c r="G1270" s="24" t="str">
        <x:v>1.67</x:v>
      </x:c>
      <x:c r="H1270" s="24" t="str">
        <x:v>1.67</x:v>
      </x:c>
      <x:c r="I1270" s="24" t="str">
        <x:v>Solitaire Protect</x:v>
      </x:c>
      <x:c r="J1270" s="40" t="n">
        <x:v>8891</x:v>
      </x:c>
      <x:c r="K1270" s="24" t="str">
        <x:v>-12 a +10</x:v>
      </x:c>
      <x:c r="L1270" s="24" t="str">
        <x:v>até -6</x:v>
      </x:c>
      <x:c r="M1270" s="24"/>
      <x:c r="N1270" s="24" t="str">
        <x:v>75/80</x:v>
      </x:c>
      <x:c r="O1270" s="24"/>
      <x:c r="P1270" s="24"/>
      <x:c r="Q1270" s="24" t="str">
        <x:v>DISPONÍVEL</x:v>
      </x:c>
      <x:c r="R1270" s="24"/>
      <x:c r="S1270" s="24" t="n">
        <x:v>11</x:v>
      </x:c>
      <x:c r="T1270" s="24" t="str">
        <x:v>tabela_rodenstock.pdf</x:v>
      </x:c>
      <x:c r="U1270" s="24" t="str">
        <x:v>Rodenstock|Progressiva B.I.G. NORM|Surfaçada|Progressiv B.I.G. NORM||1.67|1.67|Solitaire Protect|-12 a +10|até -6||75/80|||11</x:v>
      </x:c>
    </x:row>
    <x:row r="1271">
      <x:c r="A1271" s="24" t="str">
        <x:v>RD-36FE34C8DE91</x:v>
      </x:c>
      <x:c r="B1271" s="24" t="str">
        <x:v>Rodenstock</x:v>
      </x:c>
      <x:c r="C1271" s="24" t="str">
        <x:v>Progressiva B.I.G. NORM</x:v>
      </x:c>
      <x:c r="D1271" s="24" t="str">
        <x:v>Surfaçada</x:v>
      </x:c>
      <x:c r="E1271" s="24" t="str">
        <x:v>Progressiv B.I.G. NORM</x:v>
      </x:c>
      <x:c r="F1271" s="24" t="str">
        <x:v>ColorMatic® 3</x:v>
      </x:c>
      <x:c r="G1271" s="24" t="str">
        <x:v>1.67</x:v>
      </x:c>
      <x:c r="H1271" s="24" t="str">
        <x:v>1.67</x:v>
      </x:c>
      <x:c r="I1271" s="24" t="str">
        <x:v>LayR X-tra Clean</x:v>
      </x:c>
      <x:c r="J1271" s="40" t="n">
        <x:v>10696</x:v>
      </x:c>
      <x:c r="K1271" s="24" t="str">
        <x:v>-12 a +10</x:v>
      </x:c>
      <x:c r="L1271" s="24" t="str">
        <x:v>até -6</x:v>
      </x:c>
      <x:c r="M1271" s="24"/>
      <x:c r="N1271" s="24" t="str">
        <x:v>75/80</x:v>
      </x:c>
      <x:c r="O1271" s="24"/>
      <x:c r="P1271" s="24"/>
      <x:c r="Q1271" s="24" t="str">
        <x:v>DISPONÍVEL</x:v>
      </x:c>
      <x:c r="R1271" s="24"/>
      <x:c r="S1271" s="24" t="n">
        <x:v>11</x:v>
      </x:c>
      <x:c r="T1271" s="24" t="str">
        <x:v>tabela_rodenstock.pdf</x:v>
      </x:c>
      <x:c r="U1271" s="24" t="str">
        <x:v>Rodenstock|Progressiva B.I.G. NORM|Surfaçada|Progressiv B.I.G. NORM|ColorMatic® 3|1.67|1.67|LayR X-tra Clean|-12 a +10|até -6||75/80|||11</x:v>
      </x:c>
    </x:row>
    <x:row r="1272">
      <x:c r="A1272" s="24" t="str">
        <x:v>RD-3347C01E8933</x:v>
      </x:c>
      <x:c r="B1272" s="24" t="str">
        <x:v>Rodenstock</x:v>
      </x:c>
      <x:c r="C1272" s="24" t="str">
        <x:v>Progressiva B.I.G. NORM</x:v>
      </x:c>
      <x:c r="D1272" s="24" t="str">
        <x:v>Surfaçada</x:v>
      </x:c>
      <x:c r="E1272" s="24" t="str">
        <x:v>Progressiv B.I.G. NORM</x:v>
      </x:c>
      <x:c r="F1272" s="24" t="str">
        <x:v>ColorMatic® 3</x:v>
      </x:c>
      <x:c r="G1272" s="24" t="str">
        <x:v>1.67</x:v>
      </x:c>
      <x:c r="H1272" s="24" t="str">
        <x:v>1.67</x:v>
      </x:c>
      <x:c r="I1272" s="24" t="str">
        <x:v>LayR Balance</x:v>
      </x:c>
      <x:c r="J1272" s="40" t="n">
        <x:v>10696</x:v>
      </x:c>
      <x:c r="K1272" s="24" t="str">
        <x:v>-12 a +10</x:v>
      </x:c>
      <x:c r="L1272" s="24" t="str">
        <x:v>até -6</x:v>
      </x:c>
      <x:c r="M1272" s="24"/>
      <x:c r="N1272" s="24" t="str">
        <x:v>75/80</x:v>
      </x:c>
      <x:c r="O1272" s="24"/>
      <x:c r="P1272" s="24"/>
      <x:c r="Q1272" s="24" t="str">
        <x:v>DISPONÍVEL</x:v>
      </x:c>
      <x:c r="R1272" s="24"/>
      <x:c r="S1272" s="24" t="n">
        <x:v>11</x:v>
      </x:c>
      <x:c r="T1272" s="24" t="str">
        <x:v>tabela_rodenstock.pdf</x:v>
      </x:c>
      <x:c r="U1272" s="24" t="str">
        <x:v>Rodenstock|Progressiva B.I.G. NORM|Surfaçada|Progressiv B.I.G. NORM|ColorMatic® 3|1.67|1.67|LayR Balance|-12 a +10|até -6||75/80|||11</x:v>
      </x:c>
    </x:row>
    <x:row r="1273">
      <x:c r="A1273" s="24" t="str">
        <x:v>RD-1AA61C6527F4</x:v>
      </x:c>
      <x:c r="B1273" s="24" t="str">
        <x:v>Rodenstock</x:v>
      </x:c>
      <x:c r="C1273" s="24" t="str">
        <x:v>Progressiva B.I.G. NORM</x:v>
      </x:c>
      <x:c r="D1273" s="24" t="str">
        <x:v>Surfaçada</x:v>
      </x:c>
      <x:c r="E1273" s="24" t="str">
        <x:v>Progressiv B.I.G. NORM</x:v>
      </x:c>
      <x:c r="F1273" s="24" t="str">
        <x:v>ColorMatic® 3</x:v>
      </x:c>
      <x:c r="G1273" s="24" t="str">
        <x:v>1.67</x:v>
      </x:c>
      <x:c r="H1273" s="24" t="str">
        <x:v>1.67</x:v>
      </x:c>
      <x:c r="I1273" s="24" t="str">
        <x:v>Solitaire X-tra Clean</x:v>
      </x:c>
      <x:c r="J1273" s="40" t="n">
        <x:v>10626</x:v>
      </x:c>
      <x:c r="K1273" s="24" t="str">
        <x:v>-12 a +10</x:v>
      </x:c>
      <x:c r="L1273" s="24" t="str">
        <x:v>até -6</x:v>
      </x:c>
      <x:c r="M1273" s="24"/>
      <x:c r="N1273" s="24" t="str">
        <x:v>75/80</x:v>
      </x:c>
      <x:c r="O1273" s="24"/>
      <x:c r="P1273" s="24"/>
      <x:c r="Q1273" s="24" t="str">
        <x:v>DISPONÍVEL</x:v>
      </x:c>
      <x:c r="R1273" s="24"/>
      <x:c r="S1273" s="24" t="n">
        <x:v>11</x:v>
      </x:c>
      <x:c r="T1273" s="24" t="str">
        <x:v>tabela_rodenstock.pdf</x:v>
      </x:c>
      <x:c r="U1273" s="24" t="str">
        <x:v>Rodenstock|Progressiva B.I.G. NORM|Surfaçada|Progressiv B.I.G. NORM|ColorMatic® 3|1.67|1.67|Solitaire X-tra Clean|-12 a +10|até -6||75/80|||11</x:v>
      </x:c>
    </x:row>
    <x:row r="1274">
      <x:c r="A1274" s="24" t="str">
        <x:v>RD-86FA7689133D</x:v>
      </x:c>
      <x:c r="B1274" s="24" t="str">
        <x:v>Rodenstock</x:v>
      </x:c>
      <x:c r="C1274" s="24" t="str">
        <x:v>Progressiva B.I.G. NORM</x:v>
      </x:c>
      <x:c r="D1274" s="24" t="str">
        <x:v>Surfaçada</x:v>
      </x:c>
      <x:c r="E1274" s="24" t="str">
        <x:v>Progressiv B.I.G. NORM</x:v>
      </x:c>
      <x:c r="F1274" s="24" t="str">
        <x:v>ColorMatic® 3</x:v>
      </x:c>
      <x:c r="G1274" s="24" t="str">
        <x:v>1.67</x:v>
      </x:c>
      <x:c r="H1274" s="24" t="str">
        <x:v>1.67</x:v>
      </x:c>
      <x:c r="I1274" s="24" t="str">
        <x:v>Solitaire Protect Plus</x:v>
      </x:c>
      <x:c r="J1274" s="40" t="n">
        <x:v>10576</x:v>
      </x:c>
      <x:c r="K1274" s="24" t="str">
        <x:v>-12 a +10</x:v>
      </x:c>
      <x:c r="L1274" s="24" t="str">
        <x:v>até -6</x:v>
      </x:c>
      <x:c r="M1274" s="24"/>
      <x:c r="N1274" s="24" t="str">
        <x:v>75/80</x:v>
      </x:c>
      <x:c r="O1274" s="24"/>
      <x:c r="P1274" s="24"/>
      <x:c r="Q1274" s="24" t="str">
        <x:v>DISPONÍVEL</x:v>
      </x:c>
      <x:c r="R1274" s="24"/>
      <x:c r="S1274" s="24" t="n">
        <x:v>11</x:v>
      </x:c>
      <x:c r="T1274" s="24" t="str">
        <x:v>tabela_rodenstock.pdf</x:v>
      </x:c>
      <x:c r="U1274" s="24" t="str">
        <x:v>Rodenstock|Progressiva B.I.G. NORM|Surfaçada|Progressiv B.I.G. NORM|ColorMatic® 3|1.67|1.67|Solitaire Protect Plus|-12 a +10|até -6||75/80|||11</x:v>
      </x:c>
    </x:row>
    <x:row r="1275">
      <x:c r="A1275" s="24" t="str">
        <x:v>RD-D490D857306D</x:v>
      </x:c>
      <x:c r="B1275" s="24" t="str">
        <x:v>Rodenstock</x:v>
      </x:c>
      <x:c r="C1275" s="24" t="str">
        <x:v>Progressiva B.I.G. NORM</x:v>
      </x:c>
      <x:c r="D1275" s="24" t="str">
        <x:v>Surfaçada</x:v>
      </x:c>
      <x:c r="E1275" s="24" t="str">
        <x:v>Progressiv B.I.G. NORM</x:v>
      </x:c>
      <x:c r="F1275" s="24" t="str">
        <x:v>ColorMatic® 3</x:v>
      </x:c>
      <x:c r="G1275" s="24" t="str">
        <x:v>1.67</x:v>
      </x:c>
      <x:c r="H1275" s="24" t="str">
        <x:v>1.67</x:v>
      </x:c>
      <x:c r="I1275" s="24" t="str">
        <x:v>ROAD</x:v>
      </x:c>
      <x:c r="J1275" s="40" t="n">
        <x:v>10576</x:v>
      </x:c>
      <x:c r="K1275" s="24" t="str">
        <x:v>-12 a +10</x:v>
      </x:c>
      <x:c r="L1275" s="24" t="str">
        <x:v>até -6</x:v>
      </x:c>
      <x:c r="M1275" s="24"/>
      <x:c r="N1275" s="24" t="str">
        <x:v>75/80</x:v>
      </x:c>
      <x:c r="O1275" s="24"/>
      <x:c r="P1275" s="24"/>
      <x:c r="Q1275" s="24" t="str">
        <x:v>DISPONÍVEL</x:v>
      </x:c>
      <x:c r="R1275" s="24"/>
      <x:c r="S1275" s="24" t="n">
        <x:v>11</x:v>
      </x:c>
      <x:c r="T1275" s="24" t="str">
        <x:v>tabela_rodenstock.pdf</x:v>
      </x:c>
      <x:c r="U1275" s="24" t="str">
        <x:v>Rodenstock|Progressiva B.I.G. NORM|Surfaçada|Progressiv B.I.G. NORM|ColorMatic® 3|1.67|1.67|ROAD|-12 a +10|até -6||75/80|||11</x:v>
      </x:c>
    </x:row>
    <x:row r="1276">
      <x:c r="A1276" s="24" t="str">
        <x:v>RD-C3629BBB4979</x:v>
      </x:c>
      <x:c r="B1276" s="24" t="str">
        <x:v>Rodenstock</x:v>
      </x:c>
      <x:c r="C1276" s="24" t="str">
        <x:v>Progressiva B.I.G. NORM</x:v>
      </x:c>
      <x:c r="D1276" s="24" t="str">
        <x:v>Surfaçada</x:v>
      </x:c>
      <x:c r="E1276" s="24" t="str">
        <x:v>Progressiv B.I.G. NORM</x:v>
      </x:c>
      <x:c r="F1276" s="24" t="str">
        <x:v>ColorMatic® 3</x:v>
      </x:c>
      <x:c r="G1276" s="24" t="str">
        <x:v>1.67</x:v>
      </x:c>
      <x:c r="H1276" s="24" t="str">
        <x:v>1.67</x:v>
      </x:c>
      <x:c r="I1276" s="24" t="str">
        <x:v>Solitaire Protect</x:v>
      </x:c>
      <x:c r="J1276" s="40" t="n">
        <x:v>10316</x:v>
      </x:c>
      <x:c r="K1276" s="24" t="str">
        <x:v>-12 a +10</x:v>
      </x:c>
      <x:c r="L1276" s="24" t="str">
        <x:v>até -6</x:v>
      </x:c>
      <x:c r="M1276" s="24"/>
      <x:c r="N1276" s="24" t="str">
        <x:v>75/80</x:v>
      </x:c>
      <x:c r="O1276" s="24"/>
      <x:c r="P1276" s="24"/>
      <x:c r="Q1276" s="24" t="str">
        <x:v>DISPONÍVEL</x:v>
      </x:c>
      <x:c r="R1276" s="24"/>
      <x:c r="S1276" s="24" t="n">
        <x:v>11</x:v>
      </x:c>
      <x:c r="T1276" s="24" t="str">
        <x:v>tabela_rodenstock.pdf</x:v>
      </x:c>
      <x:c r="U1276" s="24" t="str">
        <x:v>Rodenstock|Progressiva B.I.G. NORM|Surfaçada|Progressiv B.I.G. NORM|ColorMatic® 3|1.67|1.67|Solitaire Protect|-12 a +10|até -6||75/80|||11</x:v>
      </x:c>
    </x:row>
    <x:row r="1277">
      <x:c r="A1277" s="24" t="str">
        <x:v>RD-9813DD303114</x:v>
      </x:c>
      <x:c r="B1277" s="24" t="str">
        <x:v>Rodenstock</x:v>
      </x:c>
      <x:c r="C1277" s="24" t="str">
        <x:v>Progressiva B.I.G. NORM</x:v>
      </x:c>
      <x:c r="D1277" s="24" t="str">
        <x:v>Surfaçada</x:v>
      </x:c>
      <x:c r="E1277" s="24" t="str">
        <x:v>Progressiv B.I.G. NORM</x:v>
      </x:c>
      <x:c r="F1277" s="24"/>
      <x:c r="G1277" s="24" t="str">
        <x:v>1.74</x:v>
      </x:c>
      <x:c r="H1277" s="24" t="str">
        <x:v>1.74</x:v>
      </x:c>
      <x:c r="I1277" s="24" t="str">
        <x:v>LayR X-tra Clean</x:v>
      </x:c>
      <x:c r="J1277" s="40" t="n">
        <x:v>11021</x:v>
      </x:c>
      <x:c r="K1277" s="24" t="str">
        <x:v>-18 a +13</x:v>
      </x:c>
      <x:c r="L1277" s="24" t="str">
        <x:v>até -6</x:v>
      </x:c>
      <x:c r="M1277" s="24"/>
      <x:c r="N1277" s="24" t="str">
        <x:v>75/80</x:v>
      </x:c>
      <x:c r="O1277" s="24"/>
      <x:c r="P1277" s="24"/>
      <x:c r="Q1277" s="24" t="str">
        <x:v>DISPONÍVEL</x:v>
      </x:c>
      <x:c r="R1277" s="24"/>
      <x:c r="S1277" s="24" t="n">
        <x:v>11</x:v>
      </x:c>
      <x:c r="T1277" s="24" t="str">
        <x:v>tabela_rodenstock.pdf</x:v>
      </x:c>
      <x:c r="U1277" s="24" t="str">
        <x:v>Rodenstock|Progressiva B.I.G. NORM|Surfaçada|Progressiv B.I.G. NORM||1.74|1.74|LayR X-tra Clean|-18 a +13|até -6||75/80|||11</x:v>
      </x:c>
    </x:row>
    <x:row r="1278">
      <x:c r="A1278" s="24" t="str">
        <x:v>RD-253FB911AD44</x:v>
      </x:c>
      <x:c r="B1278" s="24" t="str">
        <x:v>Rodenstock</x:v>
      </x:c>
      <x:c r="C1278" s="24" t="str">
        <x:v>Progressiva B.I.G. NORM</x:v>
      </x:c>
      <x:c r="D1278" s="24" t="str">
        <x:v>Surfaçada</x:v>
      </x:c>
      <x:c r="E1278" s="24" t="str">
        <x:v>Progressiv B.I.G. NORM</x:v>
      </x:c>
      <x:c r="F1278" s="24"/>
      <x:c r="G1278" s="24" t="str">
        <x:v>1.74</x:v>
      </x:c>
      <x:c r="H1278" s="24" t="str">
        <x:v>1.74</x:v>
      </x:c>
      <x:c r="I1278" s="24" t="str">
        <x:v>LayR Balance</x:v>
      </x:c>
      <x:c r="J1278" s="40" t="n">
        <x:v>11021</x:v>
      </x:c>
      <x:c r="K1278" s="24" t="str">
        <x:v>-18 a +13</x:v>
      </x:c>
      <x:c r="L1278" s="24" t="str">
        <x:v>até -6</x:v>
      </x:c>
      <x:c r="M1278" s="24"/>
      <x:c r="N1278" s="24" t="str">
        <x:v>75/80</x:v>
      </x:c>
      <x:c r="O1278" s="24"/>
      <x:c r="P1278" s="24"/>
      <x:c r="Q1278" s="24" t="str">
        <x:v>DISPONÍVEL</x:v>
      </x:c>
      <x:c r="R1278" s="24"/>
      <x:c r="S1278" s="24" t="n">
        <x:v>11</x:v>
      </x:c>
      <x:c r="T1278" s="24" t="str">
        <x:v>tabela_rodenstock.pdf</x:v>
      </x:c>
      <x:c r="U1278" s="24" t="str">
        <x:v>Rodenstock|Progressiva B.I.G. NORM|Surfaçada|Progressiv B.I.G. NORM||1.74|1.74|LayR Balance|-18 a +13|até -6||75/80|||11</x:v>
      </x:c>
    </x:row>
    <x:row r="1279">
      <x:c r="A1279" s="24" t="str">
        <x:v>RD-A4AE61CD25B3</x:v>
      </x:c>
      <x:c r="B1279" s="24" t="str">
        <x:v>Rodenstock</x:v>
      </x:c>
      <x:c r="C1279" s="24" t="str">
        <x:v>Progressiva B.I.G. NORM</x:v>
      </x:c>
      <x:c r="D1279" s="24" t="str">
        <x:v>Surfaçada</x:v>
      </x:c>
      <x:c r="E1279" s="24" t="str">
        <x:v>Progressiv B.I.G. NORM</x:v>
      </x:c>
      <x:c r="F1279" s="24"/>
      <x:c r="G1279" s="24" t="str">
        <x:v>1.74</x:v>
      </x:c>
      <x:c r="H1279" s="24" t="str">
        <x:v>1.74</x:v>
      </x:c>
      <x:c r="I1279" s="24" t="str">
        <x:v>Solitaire X-tra Clean</x:v>
      </x:c>
      <x:c r="J1279" s="40" t="n">
        <x:v>10951</x:v>
      </x:c>
      <x:c r="K1279" s="24" t="str">
        <x:v>-18 a +13</x:v>
      </x:c>
      <x:c r="L1279" s="24" t="str">
        <x:v>até -6</x:v>
      </x:c>
      <x:c r="M1279" s="24"/>
      <x:c r="N1279" s="24" t="str">
        <x:v>75/80</x:v>
      </x:c>
      <x:c r="O1279" s="24"/>
      <x:c r="P1279" s="24"/>
      <x:c r="Q1279" s="24" t="str">
        <x:v>DISPONÍVEL</x:v>
      </x:c>
      <x:c r="R1279" s="24"/>
      <x:c r="S1279" s="24" t="n">
        <x:v>11</x:v>
      </x:c>
      <x:c r="T1279" s="24" t="str">
        <x:v>tabela_rodenstock.pdf</x:v>
      </x:c>
      <x:c r="U1279" s="24" t="str">
        <x:v>Rodenstock|Progressiva B.I.G. NORM|Surfaçada|Progressiv B.I.G. NORM||1.74|1.74|Solitaire X-tra Clean|-18 a +13|até -6||75/80|||11</x:v>
      </x:c>
    </x:row>
    <x:row r="1280">
      <x:c r="A1280" s="24" t="str">
        <x:v>RD-4B48F562ECB4</x:v>
      </x:c>
      <x:c r="B1280" s="24" t="str">
        <x:v>Rodenstock</x:v>
      </x:c>
      <x:c r="C1280" s="24" t="str">
        <x:v>Progressiva B.I.G. NORM</x:v>
      </x:c>
      <x:c r="D1280" s="24" t="str">
        <x:v>Surfaçada</x:v>
      </x:c>
      <x:c r="E1280" s="24" t="str">
        <x:v>Progressiv B.I.G. NORM</x:v>
      </x:c>
      <x:c r="F1280" s="24"/>
      <x:c r="G1280" s="24" t="str">
        <x:v>1.74</x:v>
      </x:c>
      <x:c r="H1280" s="24" t="str">
        <x:v>1.74</x:v>
      </x:c>
      <x:c r="I1280" s="24" t="str">
        <x:v>Solitaire Protect Plus</x:v>
      </x:c>
      <x:c r="J1280" s="40" t="n">
        <x:v>10901</x:v>
      </x:c>
      <x:c r="K1280" s="24" t="str">
        <x:v>-18 a +13</x:v>
      </x:c>
      <x:c r="L1280" s="24" t="str">
        <x:v>até -6</x:v>
      </x:c>
      <x:c r="M1280" s="24"/>
      <x:c r="N1280" s="24" t="str">
        <x:v>75/80</x:v>
      </x:c>
      <x:c r="O1280" s="24"/>
      <x:c r="P1280" s="24"/>
      <x:c r="Q1280" s="24" t="str">
        <x:v>DISPONÍVEL</x:v>
      </x:c>
      <x:c r="R1280" s="24"/>
      <x:c r="S1280" s="24" t="n">
        <x:v>11</x:v>
      </x:c>
      <x:c r="T1280" s="24" t="str">
        <x:v>tabela_rodenstock.pdf</x:v>
      </x:c>
      <x:c r="U1280" s="24" t="str">
        <x:v>Rodenstock|Progressiva B.I.G. NORM|Surfaçada|Progressiv B.I.G. NORM||1.74|1.74|Solitaire Protect Plus|-18 a +13|até -6||75/80|||11</x:v>
      </x:c>
    </x:row>
    <x:row r="1281">
      <x:c r="A1281" s="24" t="str">
        <x:v>RD-D2820EC89266</x:v>
      </x:c>
      <x:c r="B1281" s="24" t="str">
        <x:v>Rodenstock</x:v>
      </x:c>
      <x:c r="C1281" s="24" t="str">
        <x:v>Progressiva B.I.G. NORM</x:v>
      </x:c>
      <x:c r="D1281" s="24" t="str">
        <x:v>Surfaçada</x:v>
      </x:c>
      <x:c r="E1281" s="24" t="str">
        <x:v>Progressiv B.I.G. NORM</x:v>
      </x:c>
      <x:c r="F1281" s="24"/>
      <x:c r="G1281" s="24" t="str">
        <x:v>1.74</x:v>
      </x:c>
      <x:c r="H1281" s="24" t="str">
        <x:v>1.74</x:v>
      </x:c>
      <x:c r="I1281" s="24" t="str">
        <x:v>Solitaire Protect</x:v>
      </x:c>
      <x:c r="J1281" s="40" t="n">
        <x:v>10641</x:v>
      </x:c>
      <x:c r="K1281" s="24" t="str">
        <x:v>-18 a +13</x:v>
      </x:c>
      <x:c r="L1281" s="24" t="str">
        <x:v>até -6</x:v>
      </x:c>
      <x:c r="M1281" s="24"/>
      <x:c r="N1281" s="24" t="str">
        <x:v>75/80</x:v>
      </x:c>
      <x:c r="O1281" s="24"/>
      <x:c r="P1281" s="24"/>
      <x:c r="Q1281" s="24" t="str">
        <x:v>DISPONÍVEL</x:v>
      </x:c>
      <x:c r="R1281" s="24"/>
      <x:c r="S1281" s="24" t="n">
        <x:v>11</x:v>
      </x:c>
      <x:c r="T1281" s="24" t="str">
        <x:v>tabela_rodenstock.pdf</x:v>
      </x:c>
      <x:c r="U1281" s="24" t="str">
        <x:v>Rodenstock|Progressiva B.I.G. NORM|Surfaçada|Progressiv B.I.G. NORM||1.74|1.74|Solitaire Protect|-18 a +13|até -6||75/80|||11</x:v>
      </x:c>
    </x:row>
    <x:row r="1282">
      <x:c r="A1282" s="24" t="str">
        <x:v>RD-4DD932F41BCE</x:v>
      </x:c>
      <x:c r="B1282" s="24" t="str">
        <x:v>Rodenstock</x:v>
      </x:c>
      <x:c r="C1282" s="24" t="str">
        <x:v>Controle de Miopia</x:v>
      </x:c>
      <x:c r="D1282" s="24" t="str">
        <x:v>Surfaçada</x:v>
      </x:c>
      <x:c r="E1282" s="24" t="str">
        <x:v>Rodenstock MyCon</x:v>
      </x:c>
      <x:c r="F1282" s="24"/>
      <x:c r="G1282" s="24" t="str">
        <x:v>1.5</x:v>
      </x:c>
      <x:c r="H1282" s="24" t="str">
        <x:v>1.50</x:v>
      </x:c>
      <x:c r="I1282" s="24" t="str">
        <x:v>Solitaire X-tra Clean</x:v>
      </x:c>
      <x:c r="J1282" s="40" t="n">
        <x:v>2153</x:v>
      </x:c>
      <x:c r="K1282" s="24" t="str">
        <x:v>2.103 2.103 1.843 1.363 0 a -8</x:v>
      </x:c>
      <x:c r="L1282" s="24"/>
      <x:c r="M1282" s="24"/>
      <x:c r="N1282" s="24"/>
      <x:c r="O1282" s="24"/>
      <x:c r="P1282" s="24"/>
      <x:c r="Q1282" s="24" t="str">
        <x:v>DISPONÍVEL</x:v>
      </x:c>
      <x:c r="R1282" s="24"/>
      <x:c r="S1282" s="24" t="n">
        <x:v>25</x:v>
      </x:c>
      <x:c r="T1282" s="24" t="str">
        <x:v>tabela_rodenstock.pdf</x:v>
      </x:c>
      <x:c r="U1282" s="24" t="str">
        <x:v>Rodenstock|Controle de Miopia|Surfaçada|Rodenstock MyCon||1.5|1.50|Solitaire X-tra Clean|2.103 2.103 1.843 1.363 0 a -8||||||25</x:v>
      </x:c>
    </x:row>
    <x:row r="1283">
      <x:c r="A1283" s="24" t="str">
        <x:v>RD-882C925C3E3D</x:v>
      </x:c>
      <x:c r="B1283" s="24" t="str">
        <x:v>Rodenstock</x:v>
      </x:c>
      <x:c r="C1283" s="24" t="str">
        <x:v>Controle de Miopia</x:v>
      </x:c>
      <x:c r="D1283" s="24" t="str">
        <x:v>Surfaçada</x:v>
      </x:c>
      <x:c r="E1283" s="24" t="str">
        <x:v>Rodenstock MyCon</x:v>
      </x:c>
      <x:c r="F1283" s="24" t="str">
        <x:v>Polarizada</x:v>
      </x:c>
      <x:c r="G1283" s="24" t="str">
        <x:v>1.5</x:v>
      </x:c>
      <x:c r="H1283" s="24" t="str">
        <x:v>1.50</x:v>
      </x:c>
      <x:c r="I1283" s="24" t="str">
        <x:v>Solitaire X-tra Clean</x:v>
      </x:c>
      <x:c r="J1283" s="40" t="n">
        <x:v>3170</x:v>
      </x:c>
      <x:c r="K1283" s="24" t="str">
        <x:v>0 a -8</x:v>
      </x:c>
      <x:c r="L1283" s="24" t="str">
        <x:v>até -6</x:v>
      </x:c>
      <x:c r="M1283" s="24"/>
      <x:c r="N1283" s="24" t="str">
        <x:v>75</x:v>
      </x:c>
      <x:c r="O1283" s="24"/>
      <x:c r="P1283" s="24"/>
      <x:c r="Q1283" s="24" t="str">
        <x:v>DISPONÍVEL</x:v>
      </x:c>
      <x:c r="R1283" s="24"/>
      <x:c r="S1283" s="24" t="n">
        <x:v>25</x:v>
      </x:c>
      <x:c r="T1283" s="24" t="str">
        <x:v>tabela_rodenstock.pdf</x:v>
      </x:c>
      <x:c r="U1283" s="24" t="str">
        <x:v>Rodenstock|Controle de Miopia|Surfaçada|Rodenstock MyCon|Polarizada|1.5|1.50|Solitaire X-tra Clean|0 a -8|até -6||75|||25</x:v>
      </x:c>
    </x:row>
    <x:row r="1284">
      <x:c r="A1284" s="24" t="str">
        <x:v>RD-2E68A9676A50</x:v>
      </x:c>
      <x:c r="B1284" s="24" t="str">
        <x:v>Rodenstock</x:v>
      </x:c>
      <x:c r="C1284" s="24" t="str">
        <x:v>Controle de Miopia</x:v>
      </x:c>
      <x:c r="D1284" s="24" t="str">
        <x:v>Surfaçada</x:v>
      </x:c>
      <x:c r="E1284" s="24" t="str">
        <x:v>Rodenstock MyCon</x:v>
      </x:c>
      <x:c r="F1284" s="24" t="str">
        <x:v>Polarizada</x:v>
      </x:c>
      <x:c r="G1284" s="24" t="str">
        <x:v>1.5</x:v>
      </x:c>
      <x:c r="H1284" s="24" t="str">
        <x:v>1.50</x:v>
      </x:c>
      <x:c r="I1284" s="24" t="str">
        <x:v>Solitaire 2 Protect Balance</x:v>
      </x:c>
      <x:c r="J1284" s="40" t="n">
        <x:v>3120</x:v>
      </x:c>
      <x:c r="K1284" s="24" t="str">
        <x:v>0 a -8</x:v>
      </x:c>
      <x:c r="L1284" s="24" t="str">
        <x:v>até -6</x:v>
      </x:c>
      <x:c r="M1284" s="24"/>
      <x:c r="N1284" s="24" t="str">
        <x:v>75</x:v>
      </x:c>
      <x:c r="O1284" s="24"/>
      <x:c r="P1284" s="24"/>
      <x:c r="Q1284" s="24" t="str">
        <x:v>DISPONÍVEL</x:v>
      </x:c>
      <x:c r="R1284" s="24"/>
      <x:c r="S1284" s="24" t="n">
        <x:v>25</x:v>
      </x:c>
      <x:c r="T1284" s="24" t="str">
        <x:v>tabela_rodenstock.pdf</x:v>
      </x:c>
      <x:c r="U1284" s="24" t="str">
        <x:v>Rodenstock|Controle de Miopia|Surfaçada|Rodenstock MyCon|Polarizada|1.5|1.50|Solitaire 2 Protect Balance|0 a -8|até -6||75|||25</x:v>
      </x:c>
    </x:row>
    <x:row r="1285">
      <x:c r="A1285" s="24" t="str">
        <x:v>RD-F47E84C3FB55</x:v>
      </x:c>
      <x:c r="B1285" s="24" t="str">
        <x:v>Rodenstock</x:v>
      </x:c>
      <x:c r="C1285" s="24" t="str">
        <x:v>Controle de Miopia</x:v>
      </x:c>
      <x:c r="D1285" s="24" t="str">
        <x:v>Surfaçada</x:v>
      </x:c>
      <x:c r="E1285" s="24" t="str">
        <x:v>Rodenstock MyCon</x:v>
      </x:c>
      <x:c r="F1285" s="24" t="str">
        <x:v>Polarizada</x:v>
      </x:c>
      <x:c r="G1285" s="24" t="str">
        <x:v>1.5</x:v>
      </x:c>
      <x:c r="H1285" s="24" t="str">
        <x:v>1.50</x:v>
      </x:c>
      <x:c r="I1285" s="24" t="str">
        <x:v>Solitaire Protect Plus</x:v>
      </x:c>
      <x:c r="J1285" s="40" t="n">
        <x:v>3120</x:v>
      </x:c>
      <x:c r="K1285" s="24" t="str">
        <x:v>0 a -8</x:v>
      </x:c>
      <x:c r="L1285" s="24" t="str">
        <x:v>até -6</x:v>
      </x:c>
      <x:c r="M1285" s="24"/>
      <x:c r="N1285" s="24" t="str">
        <x:v>75</x:v>
      </x:c>
      <x:c r="O1285" s="24"/>
      <x:c r="P1285" s="24"/>
      <x:c r="Q1285" s="24" t="str">
        <x:v>DISPONÍVEL</x:v>
      </x:c>
      <x:c r="R1285" s="24"/>
      <x:c r="S1285" s="24" t="n">
        <x:v>25</x:v>
      </x:c>
      <x:c r="T1285" s="24" t="str">
        <x:v>tabela_rodenstock.pdf</x:v>
      </x:c>
      <x:c r="U1285" s="24" t="str">
        <x:v>Rodenstock|Controle de Miopia|Surfaçada|Rodenstock MyCon|Polarizada|1.5|1.50|Solitaire Protect Plus|0 a -8|até -6||75|||25</x:v>
      </x:c>
    </x:row>
    <x:row r="1286">
      <x:c r="A1286" s="24" t="str">
        <x:v>RD-B4B898D32EC4</x:v>
      </x:c>
      <x:c r="B1286" s="24" t="str">
        <x:v>Rodenstock</x:v>
      </x:c>
      <x:c r="C1286" s="24" t="str">
        <x:v>Controle de Miopia</x:v>
      </x:c>
      <x:c r="D1286" s="24" t="str">
        <x:v>Surfaçada</x:v>
      </x:c>
      <x:c r="E1286" s="24" t="str">
        <x:v>Rodenstock MyCon</x:v>
      </x:c>
      <x:c r="F1286" s="24" t="str">
        <x:v>Polarizada</x:v>
      </x:c>
      <x:c r="G1286" s="24" t="str">
        <x:v>1.5</x:v>
      </x:c>
      <x:c r="H1286" s="24" t="str">
        <x:v>1.50</x:v>
      </x:c>
      <x:c r="I1286" s="24" t="str">
        <x:v>Solitaire Protect</x:v>
      </x:c>
      <x:c r="J1286" s="40" t="n">
        <x:v>2860</x:v>
      </x:c>
      <x:c r="K1286" s="24" t="str">
        <x:v>0 a -8</x:v>
      </x:c>
      <x:c r="L1286" s="24" t="str">
        <x:v>até -6</x:v>
      </x:c>
      <x:c r="M1286" s="24"/>
      <x:c r="N1286" s="24" t="str">
        <x:v>75</x:v>
      </x:c>
      <x:c r="O1286" s="24"/>
      <x:c r="P1286" s="24"/>
      <x:c r="Q1286" s="24" t="str">
        <x:v>DISPONÍVEL</x:v>
      </x:c>
      <x:c r="R1286" s="24"/>
      <x:c r="S1286" s="24" t="n">
        <x:v>25</x:v>
      </x:c>
      <x:c r="T1286" s="24" t="str">
        <x:v>tabela_rodenstock.pdf</x:v>
      </x:c>
      <x:c r="U1286" s="24" t="str">
        <x:v>Rodenstock|Controle de Miopia|Surfaçada|Rodenstock MyCon|Polarizada|1.5|1.50|Solitaire Protect|0 a -8|até -6||75|||25</x:v>
      </x:c>
    </x:row>
    <x:row r="1287">
      <x:c r="A1287" s="24" t="str">
        <x:v>RD-854A6818D523</x:v>
      </x:c>
      <x:c r="B1287" s="24" t="str">
        <x:v>Rodenstock</x:v>
      </x:c>
      <x:c r="C1287" s="24" t="str">
        <x:v>Controle de Miopia</x:v>
      </x:c>
      <x:c r="D1287" s="24" t="str">
        <x:v>Surfaçada</x:v>
      </x:c>
      <x:c r="E1287" s="24" t="str">
        <x:v>Rodenstock MyCon</x:v>
      </x:c>
      <x:c r="F1287" s="24" t="str">
        <x:v>Polarizada</x:v>
      </x:c>
      <x:c r="G1287" s="24" t="str">
        <x:v>1.5</x:v>
      </x:c>
      <x:c r="H1287" s="24" t="str">
        <x:v>1.50</x:v>
      </x:c>
      <x:c r="I1287" s="24" t="str">
        <x:v>Solitaire ECO 2</x:v>
      </x:c>
      <x:c r="J1287" s="40" t="n">
        <x:v>2380</x:v>
      </x:c>
      <x:c r="K1287" s="24" t="str">
        <x:v>0 a -8</x:v>
      </x:c>
      <x:c r="L1287" s="24" t="str">
        <x:v>até -6</x:v>
      </x:c>
      <x:c r="M1287" s="24"/>
      <x:c r="N1287" s="24" t="str">
        <x:v>75</x:v>
      </x:c>
      <x:c r="O1287" s="24"/>
      <x:c r="P1287" s="24"/>
      <x:c r="Q1287" s="24" t="str">
        <x:v>DISPONÍVEL</x:v>
      </x:c>
      <x:c r="R1287" s="24"/>
      <x:c r="S1287" s="24" t="n">
        <x:v>25</x:v>
      </x:c>
      <x:c r="T1287" s="24" t="str">
        <x:v>tabela_rodenstock.pdf</x:v>
      </x:c>
      <x:c r="U1287" s="24" t="str">
        <x:v>Rodenstock|Controle de Miopia|Surfaçada|Rodenstock MyCon|Polarizada|1.5|1.50|Solitaire ECO 2|0 a -8|até -6||75|||25</x:v>
      </x:c>
    </x:row>
    <x:row r="1288">
      <x:c r="A1288" s="24" t="str">
        <x:v>RD-85F7E7343788</x:v>
      </x:c>
      <x:c r="B1288" s="24" t="str">
        <x:v>Rodenstock</x:v>
      </x:c>
      <x:c r="C1288" s="24" t="str">
        <x:v>Controle de Miopia</x:v>
      </x:c>
      <x:c r="D1288" s="24" t="str">
        <x:v>Surfaçada</x:v>
      </x:c>
      <x:c r="E1288" s="24" t="str">
        <x:v>Rodenstock MyCon</x:v>
      </x:c>
      <x:c r="F1288" s="24" t="str">
        <x:v>ColorMatic® 3</x:v>
      </x:c>
      <x:c r="G1288" s="24" t="str">
        <x:v>1.54</x:v>
      </x:c>
      <x:c r="H1288" s="24" t="str">
        <x:v>1.54</x:v>
      </x:c>
      <x:c r="I1288" s="24" t="str">
        <x:v>Solitaire X-tra Clean</x:v>
      </x:c>
      <x:c r="J1288" s="40" t="n">
        <x:v>2465</x:v>
      </x:c>
      <x:c r="K1288" s="24" t="str">
        <x:v>0 a -8</x:v>
      </x:c>
      <x:c r="L1288" s="24" t="str">
        <x:v>até -6</x:v>
      </x:c>
      <x:c r="M1288" s="24"/>
      <x:c r="N1288" s="24" t="str">
        <x:v>75</x:v>
      </x:c>
      <x:c r="O1288" s="24"/>
      <x:c r="P1288" s="24"/>
      <x:c r="Q1288" s="24" t="str">
        <x:v>DISPONÍVEL</x:v>
      </x:c>
      <x:c r="R1288" s="24"/>
      <x:c r="S1288" s="24" t="n">
        <x:v>25</x:v>
      </x:c>
      <x:c r="T1288" s="24" t="str">
        <x:v>tabela_rodenstock.pdf</x:v>
      </x:c>
      <x:c r="U1288" s="24" t="str">
        <x:v>Rodenstock|Controle de Miopia|Surfaçada|Rodenstock MyCon|ColorMatic® 3|1.54|1.54|Solitaire X-tra Clean|0 a -8|até -6||75|||25</x:v>
      </x:c>
    </x:row>
    <x:row r="1289">
      <x:c r="A1289" s="24" t="str">
        <x:v>RD-F4CDEA15BE36</x:v>
      </x:c>
      <x:c r="B1289" s="24" t="str">
        <x:v>Rodenstock</x:v>
      </x:c>
      <x:c r="C1289" s="24" t="str">
        <x:v>Controle de Miopia</x:v>
      </x:c>
      <x:c r="D1289" s="24" t="str">
        <x:v>Surfaçada</x:v>
      </x:c>
      <x:c r="E1289" s="24" t="str">
        <x:v>Rodenstock MyCon</x:v>
      </x:c>
      <x:c r="F1289" s="24" t="str">
        <x:v>ColorMatic® 3</x:v>
      </x:c>
      <x:c r="G1289" s="24" t="str">
        <x:v>1.54</x:v>
      </x:c>
      <x:c r="H1289" s="24" t="str">
        <x:v>1.54</x:v>
      </x:c>
      <x:c r="I1289" s="24" t="str">
        <x:v>Solitaire 2 Protect Balance</x:v>
      </x:c>
      <x:c r="J1289" s="40" t="n">
        <x:v>2415</x:v>
      </x:c>
      <x:c r="K1289" s="24" t="str">
        <x:v>0 a -8</x:v>
      </x:c>
      <x:c r="L1289" s="24" t="str">
        <x:v>até -6</x:v>
      </x:c>
      <x:c r="M1289" s="24"/>
      <x:c r="N1289" s="24" t="str">
        <x:v>75</x:v>
      </x:c>
      <x:c r="O1289" s="24"/>
      <x:c r="P1289" s="24"/>
      <x:c r="Q1289" s="24" t="str">
        <x:v>DISPONÍVEL</x:v>
      </x:c>
      <x:c r="R1289" s="24"/>
      <x:c r="S1289" s="24" t="n">
        <x:v>25</x:v>
      </x:c>
      <x:c r="T1289" s="24" t="str">
        <x:v>tabela_rodenstock.pdf</x:v>
      </x:c>
      <x:c r="U1289" s="24" t="str">
        <x:v>Rodenstock|Controle de Miopia|Surfaçada|Rodenstock MyCon|ColorMatic® 3|1.54|1.54|Solitaire 2 Protect Balance|0 a -8|até -6||75|||25</x:v>
      </x:c>
    </x:row>
    <x:row r="1290">
      <x:c r="A1290" s="24" t="str">
        <x:v>RD-453FDEA4C172</x:v>
      </x:c>
      <x:c r="B1290" s="24" t="str">
        <x:v>Rodenstock</x:v>
      </x:c>
      <x:c r="C1290" s="24" t="str">
        <x:v>Controle de Miopia</x:v>
      </x:c>
      <x:c r="D1290" s="24" t="str">
        <x:v>Surfaçada</x:v>
      </x:c>
      <x:c r="E1290" s="24" t="str">
        <x:v>Rodenstock MyCon</x:v>
      </x:c>
      <x:c r="F1290" s="24" t="str">
        <x:v>ColorMatic® 3</x:v>
      </x:c>
      <x:c r="G1290" s="24" t="str">
        <x:v>1.54</x:v>
      </x:c>
      <x:c r="H1290" s="24" t="str">
        <x:v>1.54</x:v>
      </x:c>
      <x:c r="I1290" s="24" t="str">
        <x:v>Solitaire Protect Plus</x:v>
      </x:c>
      <x:c r="J1290" s="40" t="n">
        <x:v>2415</x:v>
      </x:c>
      <x:c r="K1290" s="24" t="str">
        <x:v>0 a -8</x:v>
      </x:c>
      <x:c r="L1290" s="24" t="str">
        <x:v>até -6</x:v>
      </x:c>
      <x:c r="M1290" s="24"/>
      <x:c r="N1290" s="24" t="str">
        <x:v>75</x:v>
      </x:c>
      <x:c r="O1290" s="24"/>
      <x:c r="P1290" s="24"/>
      <x:c r="Q1290" s="24" t="str">
        <x:v>DISPONÍVEL</x:v>
      </x:c>
      <x:c r="R1290" s="24"/>
      <x:c r="S1290" s="24" t="n">
        <x:v>25</x:v>
      </x:c>
      <x:c r="T1290" s="24" t="str">
        <x:v>tabela_rodenstock.pdf</x:v>
      </x:c>
      <x:c r="U1290" s="24" t="str">
        <x:v>Rodenstock|Controle de Miopia|Surfaçada|Rodenstock MyCon|ColorMatic® 3|1.54|1.54|Solitaire Protect Plus|0 a -8|até -6||75|||25</x:v>
      </x:c>
    </x:row>
    <x:row r="1291">
      <x:c r="A1291" s="24" t="str">
        <x:v>RD-99062906B0A2</x:v>
      </x:c>
      <x:c r="B1291" s="24" t="str">
        <x:v>Rodenstock</x:v>
      </x:c>
      <x:c r="C1291" s="24" t="str">
        <x:v>Controle de Miopia</x:v>
      </x:c>
      <x:c r="D1291" s="24" t="str">
        <x:v>Surfaçada</x:v>
      </x:c>
      <x:c r="E1291" s="24" t="str">
        <x:v>Rodenstock MyCon</x:v>
      </x:c>
      <x:c r="F1291" s="24" t="str">
        <x:v>ColorMatic® 3</x:v>
      </x:c>
      <x:c r="G1291" s="24" t="str">
        <x:v>1.54</x:v>
      </x:c>
      <x:c r="H1291" s="24" t="str">
        <x:v>1.54</x:v>
      </x:c>
      <x:c r="I1291" s="24" t="str">
        <x:v>Solitaire Protect</x:v>
      </x:c>
      <x:c r="J1291" s="40" t="n">
        <x:v>2155</x:v>
      </x:c>
      <x:c r="K1291" s="24" t="str">
        <x:v>0 a -8</x:v>
      </x:c>
      <x:c r="L1291" s="24" t="str">
        <x:v>até -6</x:v>
      </x:c>
      <x:c r="M1291" s="24"/>
      <x:c r="N1291" s="24" t="str">
        <x:v>75</x:v>
      </x:c>
      <x:c r="O1291" s="24"/>
      <x:c r="P1291" s="24"/>
      <x:c r="Q1291" s="24" t="str">
        <x:v>DISPONÍVEL</x:v>
      </x:c>
      <x:c r="R1291" s="24"/>
      <x:c r="S1291" s="24" t="n">
        <x:v>25</x:v>
      </x:c>
      <x:c r="T1291" s="24" t="str">
        <x:v>tabela_rodenstock.pdf</x:v>
      </x:c>
      <x:c r="U1291" s="24" t="str">
        <x:v>Rodenstock|Controle de Miopia|Surfaçada|Rodenstock MyCon|ColorMatic® 3|1.54|1.54|Solitaire Protect|0 a -8|até -6||75|||25</x:v>
      </x:c>
    </x:row>
    <x:row r="1292">
      <x:c r="A1292" s="24" t="str">
        <x:v>RD-3F03BEC68339</x:v>
      </x:c>
      <x:c r="B1292" s="24" t="str">
        <x:v>Rodenstock</x:v>
      </x:c>
      <x:c r="C1292" s="24" t="str">
        <x:v>Controle de Miopia</x:v>
      </x:c>
      <x:c r="D1292" s="24" t="str">
        <x:v>Surfaçada</x:v>
      </x:c>
      <x:c r="E1292" s="24" t="str">
        <x:v>Rodenstock MyCon</x:v>
      </x:c>
      <x:c r="F1292" s="24" t="str">
        <x:v>ColorMatic® 3</x:v>
      </x:c>
      <x:c r="G1292" s="24" t="str">
        <x:v>1.54</x:v>
      </x:c>
      <x:c r="H1292" s="24" t="str">
        <x:v>1.54</x:v>
      </x:c>
      <x:c r="I1292" s="24" t="str">
        <x:v>Solitaire ECO 2</x:v>
      </x:c>
      <x:c r="J1292" s="40" t="n">
        <x:v>1675</x:v>
      </x:c>
      <x:c r="K1292" s="24" t="str">
        <x:v>0 a -8</x:v>
      </x:c>
      <x:c r="L1292" s="24" t="str">
        <x:v>até -6</x:v>
      </x:c>
      <x:c r="M1292" s="24"/>
      <x:c r="N1292" s="24" t="str">
        <x:v>75</x:v>
      </x:c>
      <x:c r="O1292" s="24"/>
      <x:c r="P1292" s="24"/>
      <x:c r="Q1292" s="24" t="str">
        <x:v>DISPONÍVEL</x:v>
      </x:c>
      <x:c r="R1292" s="24"/>
      <x:c r="S1292" s="24" t="n">
        <x:v>25</x:v>
      </x:c>
      <x:c r="T1292" s="24" t="str">
        <x:v>tabela_rodenstock.pdf</x:v>
      </x:c>
      <x:c r="U1292" s="24" t="str">
        <x:v>Rodenstock|Controle de Miopia|Surfaçada|Rodenstock MyCon|ColorMatic® 3|1.54|1.54|Solitaire ECO 2|0 a -8|até -6||75|||25</x:v>
      </x:c>
    </x:row>
    <x:row r="1293">
      <x:c r="A1293" s="24" t="str">
        <x:v>RD-5D3D5739BC7C</x:v>
      </x:c>
      <x:c r="B1293" s="24" t="str">
        <x:v>Rodenstock</x:v>
      </x:c>
      <x:c r="C1293" s="24" t="str">
        <x:v>Controle de Miopia</x:v>
      </x:c>
      <x:c r="D1293" s="24" t="str">
        <x:v>Surfaçada</x:v>
      </x:c>
      <x:c r="E1293" s="24" t="str">
        <x:v>Rodenstock MyCon</x:v>
      </x:c>
      <x:c r="F1293" s="24"/>
      <x:c r="G1293" s="24" t="str">
        <x:v>1.6</x:v>
      </x:c>
      <x:c r="H1293" s="24" t="str">
        <x:v>1.60</x:v>
      </x:c>
      <x:c r="I1293" s="24" t="str">
        <x:v>Solitaire X-tra Clean</x:v>
      </x:c>
      <x:c r="J1293" s="40" t="n">
        <x:v>2349</x:v>
      </x:c>
      <x:c r="K1293" s="24" t="str">
        <x:v>0 a -10</x:v>
      </x:c>
      <x:c r="L1293" s="24" t="str">
        <x:v>até -6</x:v>
      </x:c>
      <x:c r="M1293" s="24"/>
      <x:c r="N1293" s="24" t="str">
        <x:v>75</x:v>
      </x:c>
      <x:c r="O1293" s="24"/>
      <x:c r="P1293" s="24"/>
      <x:c r="Q1293" s="24" t="str">
        <x:v>DISPONÍVEL</x:v>
      </x:c>
      <x:c r="R1293" s="24"/>
      <x:c r="S1293" s="24" t="n">
        <x:v>25</x:v>
      </x:c>
      <x:c r="T1293" s="24" t="str">
        <x:v>tabela_rodenstock.pdf</x:v>
      </x:c>
      <x:c r="U1293" s="24" t="str">
        <x:v>Rodenstock|Controle de Miopia|Surfaçada|Rodenstock MyCon||1.6|1.60|Solitaire X-tra Clean|0 a -10|até -6||75|||25</x:v>
      </x:c>
    </x:row>
    <x:row r="1294">
      <x:c r="A1294" s="24" t="str">
        <x:v>RD-AA864D8DC8DC</x:v>
      </x:c>
      <x:c r="B1294" s="24" t="str">
        <x:v>Rodenstock</x:v>
      </x:c>
      <x:c r="C1294" s="24" t="str">
        <x:v>Controle de Miopia</x:v>
      </x:c>
      <x:c r="D1294" s="24" t="str">
        <x:v>Surfaçada</x:v>
      </x:c>
      <x:c r="E1294" s="24" t="str">
        <x:v>Rodenstock MyCon</x:v>
      </x:c>
      <x:c r="F1294" s="24"/>
      <x:c r="G1294" s="24" t="str">
        <x:v>1.6</x:v>
      </x:c>
      <x:c r="H1294" s="24" t="str">
        <x:v>1.60</x:v>
      </x:c>
      <x:c r="I1294" s="24" t="str">
        <x:v>Solitaire 2 Protect Balance</x:v>
      </x:c>
      <x:c r="J1294" s="40" t="n">
        <x:v>2299</x:v>
      </x:c>
      <x:c r="K1294" s="24" t="str">
        <x:v>0 a -10</x:v>
      </x:c>
      <x:c r="L1294" s="24" t="str">
        <x:v>até -6</x:v>
      </x:c>
      <x:c r="M1294" s="24"/>
      <x:c r="N1294" s="24" t="str">
        <x:v>75</x:v>
      </x:c>
      <x:c r="O1294" s="24"/>
      <x:c r="P1294" s="24"/>
      <x:c r="Q1294" s="24" t="str">
        <x:v>DISPONÍVEL</x:v>
      </x:c>
      <x:c r="R1294" s="24"/>
      <x:c r="S1294" s="24" t="n">
        <x:v>25</x:v>
      </x:c>
      <x:c r="T1294" s="24" t="str">
        <x:v>tabela_rodenstock.pdf</x:v>
      </x:c>
      <x:c r="U1294" s="24" t="str">
        <x:v>Rodenstock|Controle de Miopia|Surfaçada|Rodenstock MyCon||1.6|1.60|Solitaire 2 Protect Balance|0 a -10|até -6||75|||25</x:v>
      </x:c>
    </x:row>
    <x:row r="1295">
      <x:c r="A1295" s="24" t="str">
        <x:v>RD-57E8080C3077</x:v>
      </x:c>
      <x:c r="B1295" s="24" t="str">
        <x:v>Rodenstock</x:v>
      </x:c>
      <x:c r="C1295" s="24" t="str">
        <x:v>Controle de Miopia</x:v>
      </x:c>
      <x:c r="D1295" s="24" t="str">
        <x:v>Surfaçada</x:v>
      </x:c>
      <x:c r="E1295" s="24" t="str">
        <x:v>Rodenstock MyCon</x:v>
      </x:c>
      <x:c r="F1295" s="24"/>
      <x:c r="G1295" s="24" t="str">
        <x:v>1.6</x:v>
      </x:c>
      <x:c r="H1295" s="24" t="str">
        <x:v>1.60</x:v>
      </x:c>
      <x:c r="I1295" s="24" t="str">
        <x:v>Solitaire Protect Plus</x:v>
      </x:c>
      <x:c r="J1295" s="40" t="n">
        <x:v>2299</x:v>
      </x:c>
      <x:c r="K1295" s="24" t="str">
        <x:v>0 a -10</x:v>
      </x:c>
      <x:c r="L1295" s="24" t="str">
        <x:v>até -6</x:v>
      </x:c>
      <x:c r="M1295" s="24"/>
      <x:c r="N1295" s="24" t="str">
        <x:v>75</x:v>
      </x:c>
      <x:c r="O1295" s="24"/>
      <x:c r="P1295" s="24"/>
      <x:c r="Q1295" s="24" t="str">
        <x:v>DISPONÍVEL</x:v>
      </x:c>
      <x:c r="R1295" s="24"/>
      <x:c r="S1295" s="24" t="n">
        <x:v>25</x:v>
      </x:c>
      <x:c r="T1295" s="24" t="str">
        <x:v>tabela_rodenstock.pdf</x:v>
      </x:c>
      <x:c r="U1295" s="24" t="str">
        <x:v>Rodenstock|Controle de Miopia|Surfaçada|Rodenstock MyCon||1.6|1.60|Solitaire Protect Plus|0 a -10|até -6||75|||25</x:v>
      </x:c>
    </x:row>
    <x:row r="1296">
      <x:c r="A1296" s="24" t="str">
        <x:v>RD-866092400C61</x:v>
      </x:c>
      <x:c r="B1296" s="24" t="str">
        <x:v>Rodenstock</x:v>
      </x:c>
      <x:c r="C1296" s="24" t="str">
        <x:v>Controle de Miopia</x:v>
      </x:c>
      <x:c r="D1296" s="24" t="str">
        <x:v>Surfaçada</x:v>
      </x:c>
      <x:c r="E1296" s="24" t="str">
        <x:v>Rodenstock MyCon</x:v>
      </x:c>
      <x:c r="F1296" s="24"/>
      <x:c r="G1296" s="24" t="str">
        <x:v>1.6</x:v>
      </x:c>
      <x:c r="H1296" s="24" t="str">
        <x:v>1.60</x:v>
      </x:c>
      <x:c r="I1296" s="24" t="str">
        <x:v>Solitaire Protect</x:v>
      </x:c>
      <x:c r="J1296" s="40" t="n">
        <x:v>2039</x:v>
      </x:c>
      <x:c r="K1296" s="24" t="str">
        <x:v>0 a -10</x:v>
      </x:c>
      <x:c r="L1296" s="24" t="str">
        <x:v>até -6</x:v>
      </x:c>
      <x:c r="M1296" s="24"/>
      <x:c r="N1296" s="24" t="str">
        <x:v>75</x:v>
      </x:c>
      <x:c r="O1296" s="24"/>
      <x:c r="P1296" s="24"/>
      <x:c r="Q1296" s="24" t="str">
        <x:v>DISPONÍVEL</x:v>
      </x:c>
      <x:c r="R1296" s="24"/>
      <x:c r="S1296" s="24" t="n">
        <x:v>25</x:v>
      </x:c>
      <x:c r="T1296" s="24" t="str">
        <x:v>tabela_rodenstock.pdf</x:v>
      </x:c>
      <x:c r="U1296" s="24" t="str">
        <x:v>Rodenstock|Controle de Miopia|Surfaçada|Rodenstock MyCon||1.6|1.60|Solitaire Protect|0 a -10|até -6||75|||25</x:v>
      </x:c>
    </x:row>
    <x:row r="1297">
      <x:c r="A1297" s="24" t="str">
        <x:v>RD-EFC6622AAC46</x:v>
      </x:c>
      <x:c r="B1297" s="24" t="str">
        <x:v>Rodenstock</x:v>
      </x:c>
      <x:c r="C1297" s="24" t="str">
        <x:v>Controle de Miopia</x:v>
      </x:c>
      <x:c r="D1297" s="24" t="str">
        <x:v>Surfaçada</x:v>
      </x:c>
      <x:c r="E1297" s="24" t="str">
        <x:v>Rodenstock MyCon</x:v>
      </x:c>
      <x:c r="F1297" s="24"/>
      <x:c r="G1297" s="24" t="str">
        <x:v>1.6</x:v>
      </x:c>
      <x:c r="H1297" s="24" t="str">
        <x:v>1.60</x:v>
      </x:c>
      <x:c r="I1297" s="24" t="str">
        <x:v>Solitaire ECO 2</x:v>
      </x:c>
      <x:c r="J1297" s="40" t="n">
        <x:v>1559</x:v>
      </x:c>
      <x:c r="K1297" s="24" t="str">
        <x:v>0 a -10</x:v>
      </x:c>
      <x:c r="L1297" s="24" t="str">
        <x:v>até -6</x:v>
      </x:c>
      <x:c r="M1297" s="24"/>
      <x:c r="N1297" s="24" t="str">
        <x:v>75</x:v>
      </x:c>
      <x:c r="O1297" s="24"/>
      <x:c r="P1297" s="24"/>
      <x:c r="Q1297" s="24" t="str">
        <x:v>DISPONÍVEL</x:v>
      </x:c>
      <x:c r="R1297" s="24"/>
      <x:c r="S1297" s="24" t="n">
        <x:v>25</x:v>
      </x:c>
      <x:c r="T1297" s="24" t="str">
        <x:v>tabela_rodenstock.pdf</x:v>
      </x:c>
      <x:c r="U1297" s="24" t="str">
        <x:v>Rodenstock|Controle de Miopia|Surfaçada|Rodenstock MyCon||1.6|1.60|Solitaire ECO 2|0 a -10|até -6||75|||25</x:v>
      </x:c>
    </x:row>
    <x:row r="1298">
      <x:c r="A1298" s="24" t="str">
        <x:v>RD-DBC4562A8199</x:v>
      </x:c>
      <x:c r="B1298" s="24" t="str">
        <x:v>Rodenstock</x:v>
      </x:c>
      <x:c r="C1298" s="24" t="str">
        <x:v>Controle de Miopia</x:v>
      </x:c>
      <x:c r="D1298" s="24" t="str">
        <x:v>Surfaçada</x:v>
      </x:c>
      <x:c r="E1298" s="24" t="str">
        <x:v>Rodenstock MyCon</x:v>
      </x:c>
      <x:c r="F1298" s="24" t="str">
        <x:v>ColorMatic® 3</x:v>
      </x:c>
      <x:c r="G1298" s="24" t="str">
        <x:v>1.6</x:v>
      </x:c>
      <x:c r="H1298" s="24" t="str">
        <x:v>1.60</x:v>
      </x:c>
      <x:c r="I1298" s="24" t="str">
        <x:v>Solitaire X-tra Clean</x:v>
      </x:c>
      <x:c r="J1298" s="40" t="n">
        <x:v>3170</x:v>
      </x:c>
      <x:c r="K1298" s="24" t="str">
        <x:v>0 a -10</x:v>
      </x:c>
      <x:c r="L1298" s="24" t="str">
        <x:v>até -6</x:v>
      </x:c>
      <x:c r="M1298" s="24"/>
      <x:c r="N1298" s="24" t="str">
        <x:v>75</x:v>
      </x:c>
      <x:c r="O1298" s="24"/>
      <x:c r="P1298" s="24"/>
      <x:c r="Q1298" s="24" t="str">
        <x:v>DISPONÍVEL</x:v>
      </x:c>
      <x:c r="R1298" s="24"/>
      <x:c r="S1298" s="24" t="n">
        <x:v>25</x:v>
      </x:c>
      <x:c r="T1298" s="24" t="str">
        <x:v>tabela_rodenstock.pdf</x:v>
      </x:c>
      <x:c r="U1298" s="24" t="str">
        <x:v>Rodenstock|Controle de Miopia|Surfaçada|Rodenstock MyCon|ColorMatic® 3|1.6|1.60|Solitaire X-tra Clean|0 a -10|até -6||75|||25</x:v>
      </x:c>
    </x:row>
    <x:row r="1299">
      <x:c r="A1299" s="24" t="str">
        <x:v>RD-247AA3C3416E</x:v>
      </x:c>
      <x:c r="B1299" s="24" t="str">
        <x:v>Rodenstock</x:v>
      </x:c>
      <x:c r="C1299" s="24" t="str">
        <x:v>Controle de Miopia</x:v>
      </x:c>
      <x:c r="D1299" s="24" t="str">
        <x:v>Surfaçada</x:v>
      </x:c>
      <x:c r="E1299" s="24" t="str">
        <x:v>Rodenstock MyCon</x:v>
      </x:c>
      <x:c r="F1299" s="24" t="str">
        <x:v>ColorMatic® 3</x:v>
      </x:c>
      <x:c r="G1299" s="24" t="str">
        <x:v>1.6</x:v>
      </x:c>
      <x:c r="H1299" s="24" t="str">
        <x:v>1.60</x:v>
      </x:c>
      <x:c r="I1299" s="24" t="str">
        <x:v>Solitaire 2 Protect Balance</x:v>
      </x:c>
      <x:c r="J1299" s="40" t="n">
        <x:v>3120</x:v>
      </x:c>
      <x:c r="K1299" s="24" t="str">
        <x:v>0 a -10</x:v>
      </x:c>
      <x:c r="L1299" s="24" t="str">
        <x:v>até -6</x:v>
      </x:c>
      <x:c r="M1299" s="24"/>
      <x:c r="N1299" s="24" t="str">
        <x:v>75</x:v>
      </x:c>
      <x:c r="O1299" s="24"/>
      <x:c r="P1299" s="24"/>
      <x:c r="Q1299" s="24" t="str">
        <x:v>DISPONÍVEL</x:v>
      </x:c>
      <x:c r="R1299" s="24"/>
      <x:c r="S1299" s="24" t="n">
        <x:v>25</x:v>
      </x:c>
      <x:c r="T1299" s="24" t="str">
        <x:v>tabela_rodenstock.pdf</x:v>
      </x:c>
      <x:c r="U1299" s="24" t="str">
        <x:v>Rodenstock|Controle de Miopia|Surfaçada|Rodenstock MyCon|ColorMatic® 3|1.6|1.60|Solitaire 2 Protect Balance|0 a -10|até -6||75|||25</x:v>
      </x:c>
    </x:row>
    <x:row r="1300">
      <x:c r="A1300" s="24" t="str">
        <x:v>RD-C6BB56534C5E</x:v>
      </x:c>
      <x:c r="B1300" s="24" t="str">
        <x:v>Rodenstock</x:v>
      </x:c>
      <x:c r="C1300" s="24" t="str">
        <x:v>Controle de Miopia</x:v>
      </x:c>
      <x:c r="D1300" s="24" t="str">
        <x:v>Surfaçada</x:v>
      </x:c>
      <x:c r="E1300" s="24" t="str">
        <x:v>Rodenstock MyCon</x:v>
      </x:c>
      <x:c r="F1300" s="24" t="str">
        <x:v>ColorMatic® 3</x:v>
      </x:c>
      <x:c r="G1300" s="24" t="str">
        <x:v>1.6</x:v>
      </x:c>
      <x:c r="H1300" s="24" t="str">
        <x:v>1.60</x:v>
      </x:c>
      <x:c r="I1300" s="24" t="str">
        <x:v>Solitaire Protect Plus</x:v>
      </x:c>
      <x:c r="J1300" s="40" t="n">
        <x:v>3120</x:v>
      </x:c>
      <x:c r="K1300" s="24" t="str">
        <x:v>0 a -10</x:v>
      </x:c>
      <x:c r="L1300" s="24" t="str">
        <x:v>até -6</x:v>
      </x:c>
      <x:c r="M1300" s="24"/>
      <x:c r="N1300" s="24" t="str">
        <x:v>75</x:v>
      </x:c>
      <x:c r="O1300" s="24"/>
      <x:c r="P1300" s="24"/>
      <x:c r="Q1300" s="24" t="str">
        <x:v>DISPONÍVEL</x:v>
      </x:c>
      <x:c r="R1300" s="24"/>
      <x:c r="S1300" s="24" t="n">
        <x:v>25</x:v>
      </x:c>
      <x:c r="T1300" s="24" t="str">
        <x:v>tabela_rodenstock.pdf</x:v>
      </x:c>
      <x:c r="U1300" s="24" t="str">
        <x:v>Rodenstock|Controle de Miopia|Surfaçada|Rodenstock MyCon|ColorMatic® 3|1.6|1.60|Solitaire Protect Plus|0 a -10|até -6||75|||25</x:v>
      </x:c>
    </x:row>
    <x:row r="1301">
      <x:c r="A1301" s="24" t="str">
        <x:v>RD-3B5FE4598C77</x:v>
      </x:c>
      <x:c r="B1301" s="24" t="str">
        <x:v>Rodenstock</x:v>
      </x:c>
      <x:c r="C1301" s="24" t="str">
        <x:v>Controle de Miopia</x:v>
      </x:c>
      <x:c r="D1301" s="24" t="str">
        <x:v>Surfaçada</x:v>
      </x:c>
      <x:c r="E1301" s="24" t="str">
        <x:v>Rodenstock MyCon</x:v>
      </x:c>
      <x:c r="F1301" s="24" t="str">
        <x:v>ColorMatic® 3</x:v>
      </x:c>
      <x:c r="G1301" s="24" t="str">
        <x:v>1.6</x:v>
      </x:c>
      <x:c r="H1301" s="24" t="str">
        <x:v>1.60</x:v>
      </x:c>
      <x:c r="I1301" s="24" t="str">
        <x:v>Solitaire Protect</x:v>
      </x:c>
      <x:c r="J1301" s="40" t="n">
        <x:v>2860</x:v>
      </x:c>
      <x:c r="K1301" s="24" t="str">
        <x:v>0 a -10</x:v>
      </x:c>
      <x:c r="L1301" s="24" t="str">
        <x:v>até -6</x:v>
      </x:c>
      <x:c r="M1301" s="24"/>
      <x:c r="N1301" s="24" t="str">
        <x:v>75</x:v>
      </x:c>
      <x:c r="O1301" s="24"/>
      <x:c r="P1301" s="24"/>
      <x:c r="Q1301" s="24" t="str">
        <x:v>DISPONÍVEL</x:v>
      </x:c>
      <x:c r="R1301" s="24"/>
      <x:c r="S1301" s="24" t="n">
        <x:v>25</x:v>
      </x:c>
      <x:c r="T1301" s="24" t="str">
        <x:v>tabela_rodenstock.pdf</x:v>
      </x:c>
      <x:c r="U1301" s="24" t="str">
        <x:v>Rodenstock|Controle de Miopia|Surfaçada|Rodenstock MyCon|ColorMatic® 3|1.6|1.60|Solitaire Protect|0 a -10|até -6||75|||25</x:v>
      </x:c>
    </x:row>
    <x:row r="1302">
      <x:c r="A1302" s="24" t="str">
        <x:v>RD-910BD2C9138E</x:v>
      </x:c>
      <x:c r="B1302" s="24" t="str">
        <x:v>Rodenstock</x:v>
      </x:c>
      <x:c r="C1302" s="24" t="str">
        <x:v>Controle de Miopia</x:v>
      </x:c>
      <x:c r="D1302" s="24" t="str">
        <x:v>Surfaçada</x:v>
      </x:c>
      <x:c r="E1302" s="24" t="str">
        <x:v>Rodenstock MyCon</x:v>
      </x:c>
      <x:c r="F1302" s="24" t="str">
        <x:v>ColorMatic® 3</x:v>
      </x:c>
      <x:c r="G1302" s="24" t="str">
        <x:v>1.6</x:v>
      </x:c>
      <x:c r="H1302" s="24" t="str">
        <x:v>1.60</x:v>
      </x:c>
      <x:c r="I1302" s="24" t="str">
        <x:v>Solitaire ECO 2</x:v>
      </x:c>
      <x:c r="J1302" s="40" t="n">
        <x:v>2380</x:v>
      </x:c>
      <x:c r="K1302" s="24" t="str">
        <x:v>0 a -10</x:v>
      </x:c>
      <x:c r="L1302" s="24" t="str">
        <x:v>até -6</x:v>
      </x:c>
      <x:c r="M1302" s="24"/>
      <x:c r="N1302" s="24" t="str">
        <x:v>75</x:v>
      </x:c>
      <x:c r="O1302" s="24"/>
      <x:c r="P1302" s="24"/>
      <x:c r="Q1302" s="24" t="str">
        <x:v>DISPONÍVEL</x:v>
      </x:c>
      <x:c r="R1302" s="24"/>
      <x:c r="S1302" s="24" t="n">
        <x:v>25</x:v>
      </x:c>
      <x:c r="T1302" s="24" t="str">
        <x:v>tabela_rodenstock.pdf</x:v>
      </x:c>
      <x:c r="U1302" s="24" t="str">
        <x:v>Rodenstock|Controle de Miopia|Surfaçada|Rodenstock MyCon|ColorMatic® 3|1.6|1.60|Solitaire ECO 2|0 a -10|até -6||75|||25</x:v>
      </x:c>
    </x:row>
    <x:row r="1303">
      <x:c r="A1303" s="24" t="str">
        <x:v>RD-E3DBE713FDC4</x:v>
      </x:c>
      <x:c r="B1303" s="24" t="str">
        <x:v>Rodenstock</x:v>
      </x:c>
      <x:c r="C1303" s="24" t="str">
        <x:v>Controle de Miopia</x:v>
      </x:c>
      <x:c r="D1303" s="24" t="str">
        <x:v>Surfaçada</x:v>
      </x:c>
      <x:c r="E1303" s="24" t="str">
        <x:v>Rodenstock MyCon</x:v>
      </x:c>
      <x:c r="F1303" s="24"/>
      <x:c r="G1303" s="24" t="str">
        <x:v>1.67</x:v>
      </x:c>
      <x:c r="H1303" s="24" t="str">
        <x:v>1.67</x:v>
      </x:c>
      <x:c r="I1303" s="24" t="str">
        <x:v>Solitaire X-tra Clean</x:v>
      </x:c>
      <x:c r="J1303" s="40" t="n">
        <x:v>2883</x:v>
      </x:c>
      <x:c r="K1303" s="24" t="str">
        <x:v>0 a -12</x:v>
      </x:c>
      <x:c r="L1303" s="24" t="str">
        <x:v>até -6</x:v>
      </x:c>
      <x:c r="M1303" s="24"/>
      <x:c r="N1303" s="24" t="str">
        <x:v>75</x:v>
      </x:c>
      <x:c r="O1303" s="24"/>
      <x:c r="P1303" s="24"/>
      <x:c r="Q1303" s="24" t="str">
        <x:v>DISPONÍVEL</x:v>
      </x:c>
      <x:c r="R1303" s="24"/>
      <x:c r="S1303" s="24" t="n">
        <x:v>25</x:v>
      </x:c>
      <x:c r="T1303" s="24" t="str">
        <x:v>tabela_rodenstock.pdf</x:v>
      </x:c>
      <x:c r="U1303" s="24" t="str">
        <x:v>Rodenstock|Controle de Miopia|Surfaçada|Rodenstock MyCon||1.67|1.67|Solitaire X-tra Clean|0 a -12|até -6||75|||25</x:v>
      </x:c>
    </x:row>
    <x:row r="1304">
      <x:c r="A1304" s="24" t="str">
        <x:v>RD-98F91B0A3017</x:v>
      </x:c>
      <x:c r="B1304" s="24" t="str">
        <x:v>Rodenstock</x:v>
      </x:c>
      <x:c r="C1304" s="24" t="str">
        <x:v>Controle de Miopia</x:v>
      </x:c>
      <x:c r="D1304" s="24" t="str">
        <x:v>Surfaçada</x:v>
      </x:c>
      <x:c r="E1304" s="24" t="str">
        <x:v>Rodenstock MyCon</x:v>
      </x:c>
      <x:c r="F1304" s="24"/>
      <x:c r="G1304" s="24" t="str">
        <x:v>1.67</x:v>
      </x:c>
      <x:c r="H1304" s="24" t="str">
        <x:v>1.67</x:v>
      </x:c>
      <x:c r="I1304" s="24" t="str">
        <x:v>Solitaire 2 Protect Balance</x:v>
      </x:c>
      <x:c r="J1304" s="40" t="n">
        <x:v>2833</x:v>
      </x:c>
      <x:c r="K1304" s="24" t="str">
        <x:v>0 a -12</x:v>
      </x:c>
      <x:c r="L1304" s="24" t="str">
        <x:v>até -6</x:v>
      </x:c>
      <x:c r="M1304" s="24"/>
      <x:c r="N1304" s="24" t="str">
        <x:v>75</x:v>
      </x:c>
      <x:c r="O1304" s="24"/>
      <x:c r="P1304" s="24"/>
      <x:c r="Q1304" s="24" t="str">
        <x:v>DISPONÍVEL</x:v>
      </x:c>
      <x:c r="R1304" s="24"/>
      <x:c r="S1304" s="24" t="n">
        <x:v>25</x:v>
      </x:c>
      <x:c r="T1304" s="24" t="str">
        <x:v>tabela_rodenstock.pdf</x:v>
      </x:c>
      <x:c r="U1304" s="24" t="str">
        <x:v>Rodenstock|Controle de Miopia|Surfaçada|Rodenstock MyCon||1.67|1.67|Solitaire 2 Protect Balance|0 a -12|até -6||75|||25</x:v>
      </x:c>
    </x:row>
    <x:row r="1305">
      <x:c r="A1305" s="24" t="str">
        <x:v>RD-CBE70CA7A101</x:v>
      </x:c>
      <x:c r="B1305" s="24" t="str">
        <x:v>Rodenstock</x:v>
      </x:c>
      <x:c r="C1305" s="24" t="str">
        <x:v>Controle de Miopia</x:v>
      </x:c>
      <x:c r="D1305" s="24" t="str">
        <x:v>Surfaçada</x:v>
      </x:c>
      <x:c r="E1305" s="24" t="str">
        <x:v>Rodenstock MyCon</x:v>
      </x:c>
      <x:c r="F1305" s="24"/>
      <x:c r="G1305" s="24" t="str">
        <x:v>1.67</x:v>
      </x:c>
      <x:c r="H1305" s="24" t="str">
        <x:v>1.67</x:v>
      </x:c>
      <x:c r="I1305" s="24" t="str">
        <x:v>Solitaire Protect Plus</x:v>
      </x:c>
      <x:c r="J1305" s="40" t="n">
        <x:v>2833</x:v>
      </x:c>
      <x:c r="K1305" s="24" t="str">
        <x:v>0 a -12</x:v>
      </x:c>
      <x:c r="L1305" s="24" t="str">
        <x:v>até -6</x:v>
      </x:c>
      <x:c r="M1305" s="24"/>
      <x:c r="N1305" s="24" t="str">
        <x:v>75</x:v>
      </x:c>
      <x:c r="O1305" s="24"/>
      <x:c r="P1305" s="24"/>
      <x:c r="Q1305" s="24" t="str">
        <x:v>DISPONÍVEL</x:v>
      </x:c>
      <x:c r="R1305" s="24"/>
      <x:c r="S1305" s="24" t="n">
        <x:v>25</x:v>
      </x:c>
      <x:c r="T1305" s="24" t="str">
        <x:v>tabela_rodenstock.pdf</x:v>
      </x:c>
      <x:c r="U1305" s="24" t="str">
        <x:v>Rodenstock|Controle de Miopia|Surfaçada|Rodenstock MyCon||1.67|1.67|Solitaire Protect Plus|0 a -12|até -6||75|||25</x:v>
      </x:c>
    </x:row>
    <x:row r="1306">
      <x:c r="A1306" s="24" t="str">
        <x:v>RD-F218385EA71B</x:v>
      </x:c>
      <x:c r="B1306" s="24" t="str">
        <x:v>Rodenstock</x:v>
      </x:c>
      <x:c r="C1306" s="24" t="str">
        <x:v>Controle de Miopia</x:v>
      </x:c>
      <x:c r="D1306" s="24" t="str">
        <x:v>Surfaçada</x:v>
      </x:c>
      <x:c r="E1306" s="24" t="str">
        <x:v>Rodenstock MyCon</x:v>
      </x:c>
      <x:c r="F1306" s="24"/>
      <x:c r="G1306" s="24" t="str">
        <x:v>1.67</x:v>
      </x:c>
      <x:c r="H1306" s="24" t="str">
        <x:v>1.67</x:v>
      </x:c>
      <x:c r="I1306" s="24" t="str">
        <x:v>Solitaire Protect</x:v>
      </x:c>
      <x:c r="J1306" s="40" t="n">
        <x:v>2573</x:v>
      </x:c>
      <x:c r="K1306" s="24" t="str">
        <x:v>0 a -12</x:v>
      </x:c>
      <x:c r="L1306" s="24" t="str">
        <x:v>até -6</x:v>
      </x:c>
      <x:c r="M1306" s="24"/>
      <x:c r="N1306" s="24" t="str">
        <x:v>75</x:v>
      </x:c>
      <x:c r="O1306" s="24"/>
      <x:c r="P1306" s="24"/>
      <x:c r="Q1306" s="24" t="str">
        <x:v>DISPONÍVEL</x:v>
      </x:c>
      <x:c r="R1306" s="24"/>
      <x:c r="S1306" s="24" t="n">
        <x:v>25</x:v>
      </x:c>
      <x:c r="T1306" s="24" t="str">
        <x:v>tabela_rodenstock.pdf</x:v>
      </x:c>
      <x:c r="U1306" s="24" t="str">
        <x:v>Rodenstock|Controle de Miopia|Surfaçada|Rodenstock MyCon||1.67|1.67|Solitaire Protect|0 a -12|até -6||75|||25</x:v>
      </x:c>
    </x:row>
    <x:row r="1307">
      <x:c r="A1307" s="24" t="str">
        <x:v>RD-F17298BF5559</x:v>
      </x:c>
      <x:c r="B1307" s="24" t="str">
        <x:v>Rodenstock</x:v>
      </x:c>
      <x:c r="C1307" s="24" t="str">
        <x:v>Controle de Miopia</x:v>
      </x:c>
      <x:c r="D1307" s="24" t="str">
        <x:v>Surfaçada</x:v>
      </x:c>
      <x:c r="E1307" s="24" t="str">
        <x:v>Rodenstock MyCon</x:v>
      </x:c>
      <x:c r="F1307" s="24"/>
      <x:c r="G1307" s="24" t="str">
        <x:v>1.67</x:v>
      </x:c>
      <x:c r="H1307" s="24" t="str">
        <x:v>1.67</x:v>
      </x:c>
      <x:c r="I1307" s="24" t="str">
        <x:v>Solitaire ECO 2</x:v>
      </x:c>
      <x:c r="J1307" s="40" t="n">
        <x:v>2093</x:v>
      </x:c>
      <x:c r="K1307" s="24" t="str">
        <x:v>0 a -12</x:v>
      </x:c>
      <x:c r="L1307" s="24" t="str">
        <x:v>até -6</x:v>
      </x:c>
      <x:c r="M1307" s="24"/>
      <x:c r="N1307" s="24" t="str">
        <x:v>75</x:v>
      </x:c>
      <x:c r="O1307" s="24"/>
      <x:c r="P1307" s="24"/>
      <x:c r="Q1307" s="24" t="str">
        <x:v>DISPONÍVEL</x:v>
      </x:c>
      <x:c r="R1307" s="24"/>
      <x:c r="S1307" s="24" t="n">
        <x:v>25</x:v>
      </x:c>
      <x:c r="T1307" s="24" t="str">
        <x:v>tabela_rodenstock.pdf</x:v>
      </x:c>
      <x:c r="U1307" s="24" t="str">
        <x:v>Rodenstock|Controle de Miopia|Surfaçada|Rodenstock MyCon||1.67|1.67|Solitaire ECO 2|0 a -12|até -6||75|||25</x:v>
      </x:c>
    </x:row>
    <x:row r="1308">
      <x:c r="A1308" s="24" t="str">
        <x:v>RD-75A22FFF740B</x:v>
      </x:c>
      <x:c r="B1308" s="24" t="str">
        <x:v>Rodenstock</x:v>
      </x:c>
      <x:c r="C1308" s="24" t="str">
        <x:v>Controle de Miopia</x:v>
      </x:c>
      <x:c r="D1308" s="24" t="str">
        <x:v>Surfaçada</x:v>
      </x:c>
      <x:c r="E1308" s="24" t="str">
        <x:v>Rodenstock MyCon</x:v>
      </x:c>
      <x:c r="F1308" s="24" t="str">
        <x:v>ColorMatic® 3</x:v>
      </x:c>
      <x:c r="G1308" s="24" t="str">
        <x:v>1.67</x:v>
      </x:c>
      <x:c r="H1308" s="24" t="str">
        <x:v>1.67</x:v>
      </x:c>
      <x:c r="I1308" s="24" t="str">
        <x:v>Solitaire X-tra Clean</x:v>
      </x:c>
      <x:c r="J1308" s="40" t="n">
        <x:v>3572</x:v>
      </x:c>
      <x:c r="K1308" s="24" t="str">
        <x:v>0 a -12</x:v>
      </x:c>
      <x:c r="L1308" s="24" t="str">
        <x:v>até -6</x:v>
      </x:c>
      <x:c r="M1308" s="24"/>
      <x:c r="N1308" s="24" t="str">
        <x:v>75</x:v>
      </x:c>
      <x:c r="O1308" s="24"/>
      <x:c r="P1308" s="24"/>
      <x:c r="Q1308" s="24" t="str">
        <x:v>DISPONÍVEL</x:v>
      </x:c>
      <x:c r="R1308" s="24"/>
      <x:c r="S1308" s="24" t="n">
        <x:v>25</x:v>
      </x:c>
      <x:c r="T1308" s="24" t="str">
        <x:v>tabela_rodenstock.pdf</x:v>
      </x:c>
      <x:c r="U1308" s="24" t="str">
        <x:v>Rodenstock|Controle de Miopia|Surfaçada|Rodenstock MyCon|ColorMatic® 3|1.67|1.67|Solitaire X-tra Clean|0 a -12|até -6||75|||25</x:v>
      </x:c>
    </x:row>
    <x:row r="1309">
      <x:c r="A1309" s="24" t="str">
        <x:v>RD-38D390043A80</x:v>
      </x:c>
      <x:c r="B1309" s="24" t="str">
        <x:v>Rodenstock</x:v>
      </x:c>
      <x:c r="C1309" s="24" t="str">
        <x:v>Controle de Miopia</x:v>
      </x:c>
      <x:c r="D1309" s="24" t="str">
        <x:v>Surfaçada</x:v>
      </x:c>
      <x:c r="E1309" s="24" t="str">
        <x:v>Rodenstock MyCon</x:v>
      </x:c>
      <x:c r="F1309" s="24" t="str">
        <x:v>ColorMatic® 3</x:v>
      </x:c>
      <x:c r="G1309" s="24" t="str">
        <x:v>1.67</x:v>
      </x:c>
      <x:c r="H1309" s="24" t="str">
        <x:v>1.67</x:v>
      </x:c>
      <x:c r="I1309" s="24" t="str">
        <x:v>Solitaire 2 Protect Balance</x:v>
      </x:c>
      <x:c r="J1309" s="40" t="n">
        <x:v>3522</x:v>
      </x:c>
      <x:c r="K1309" s="24" t="str">
        <x:v>0 a -12</x:v>
      </x:c>
      <x:c r="L1309" s="24" t="str">
        <x:v>até -6</x:v>
      </x:c>
      <x:c r="M1309" s="24"/>
      <x:c r="N1309" s="24" t="str">
        <x:v>75</x:v>
      </x:c>
      <x:c r="O1309" s="24"/>
      <x:c r="P1309" s="24"/>
      <x:c r="Q1309" s="24" t="str">
        <x:v>DISPONÍVEL</x:v>
      </x:c>
      <x:c r="R1309" s="24"/>
      <x:c r="S1309" s="24" t="n">
        <x:v>25</x:v>
      </x:c>
      <x:c r="T1309" s="24" t="str">
        <x:v>tabela_rodenstock.pdf</x:v>
      </x:c>
      <x:c r="U1309" s="24" t="str">
        <x:v>Rodenstock|Controle de Miopia|Surfaçada|Rodenstock MyCon|ColorMatic® 3|1.67|1.67|Solitaire 2 Protect Balance|0 a -12|até -6||75|||25</x:v>
      </x:c>
    </x:row>
    <x:row r="1310">
      <x:c r="A1310" s="24" t="str">
        <x:v>RD-4EE3A673D571</x:v>
      </x:c>
      <x:c r="B1310" s="24" t="str">
        <x:v>Rodenstock</x:v>
      </x:c>
      <x:c r="C1310" s="24" t="str">
        <x:v>Controle de Miopia</x:v>
      </x:c>
      <x:c r="D1310" s="24" t="str">
        <x:v>Surfaçada</x:v>
      </x:c>
      <x:c r="E1310" s="24" t="str">
        <x:v>Rodenstock MyCon</x:v>
      </x:c>
      <x:c r="F1310" s="24" t="str">
        <x:v>ColorMatic® 3</x:v>
      </x:c>
      <x:c r="G1310" s="24" t="str">
        <x:v>1.67</x:v>
      </x:c>
      <x:c r="H1310" s="24" t="str">
        <x:v>1.67</x:v>
      </x:c>
      <x:c r="I1310" s="24" t="str">
        <x:v>Solitaire Protect Plus</x:v>
      </x:c>
      <x:c r="J1310" s="40" t="n">
        <x:v>3522</x:v>
      </x:c>
      <x:c r="K1310" s="24" t="str">
        <x:v>0 a -12</x:v>
      </x:c>
      <x:c r="L1310" s="24" t="str">
        <x:v>até -6</x:v>
      </x:c>
      <x:c r="M1310" s="24"/>
      <x:c r="N1310" s="24" t="str">
        <x:v>75</x:v>
      </x:c>
      <x:c r="O1310" s="24"/>
      <x:c r="P1310" s="24"/>
      <x:c r="Q1310" s="24" t="str">
        <x:v>DISPONÍVEL</x:v>
      </x:c>
      <x:c r="R1310" s="24"/>
      <x:c r="S1310" s="24" t="n">
        <x:v>25</x:v>
      </x:c>
      <x:c r="T1310" s="24" t="str">
        <x:v>tabela_rodenstock.pdf</x:v>
      </x:c>
      <x:c r="U1310" s="24" t="str">
        <x:v>Rodenstock|Controle de Miopia|Surfaçada|Rodenstock MyCon|ColorMatic® 3|1.67|1.67|Solitaire Protect Plus|0 a -12|até -6||75|||25</x:v>
      </x:c>
    </x:row>
    <x:row r="1311">
      <x:c r="A1311" s="24" t="str">
        <x:v>RD-58DAA77D0DF0</x:v>
      </x:c>
      <x:c r="B1311" s="24" t="str">
        <x:v>Rodenstock</x:v>
      </x:c>
      <x:c r="C1311" s="24" t="str">
        <x:v>Controle de Miopia</x:v>
      </x:c>
      <x:c r="D1311" s="24" t="str">
        <x:v>Surfaçada</x:v>
      </x:c>
      <x:c r="E1311" s="24" t="str">
        <x:v>Rodenstock MyCon</x:v>
      </x:c>
      <x:c r="F1311" s="24" t="str">
        <x:v>ColorMatic® 3</x:v>
      </x:c>
      <x:c r="G1311" s="24" t="str">
        <x:v>1.67</x:v>
      </x:c>
      <x:c r="H1311" s="24" t="str">
        <x:v>1.67</x:v>
      </x:c>
      <x:c r="I1311" s="24" t="str">
        <x:v>Solitaire Protect</x:v>
      </x:c>
      <x:c r="J1311" s="40" t="n">
        <x:v>3262</x:v>
      </x:c>
      <x:c r="K1311" s="24" t="str">
        <x:v>0 a -12</x:v>
      </x:c>
      <x:c r="L1311" s="24" t="str">
        <x:v>até -6</x:v>
      </x:c>
      <x:c r="M1311" s="24"/>
      <x:c r="N1311" s="24" t="str">
        <x:v>75</x:v>
      </x:c>
      <x:c r="O1311" s="24"/>
      <x:c r="P1311" s="24"/>
      <x:c r="Q1311" s="24" t="str">
        <x:v>DISPONÍVEL</x:v>
      </x:c>
      <x:c r="R1311" s="24"/>
      <x:c r="S1311" s="24" t="n">
        <x:v>25</x:v>
      </x:c>
      <x:c r="T1311" s="24" t="str">
        <x:v>tabela_rodenstock.pdf</x:v>
      </x:c>
      <x:c r="U1311" s="24" t="str">
        <x:v>Rodenstock|Controle de Miopia|Surfaçada|Rodenstock MyCon|ColorMatic® 3|1.67|1.67|Solitaire Protect|0 a -12|até -6||75|||25</x:v>
      </x:c>
    </x:row>
    <x:row r="1312">
      <x:c r="A1312" s="24" t="str">
        <x:v>RD-4C75D6B4D210</x:v>
      </x:c>
      <x:c r="B1312" s="24" t="str">
        <x:v>Rodenstock</x:v>
      </x:c>
      <x:c r="C1312" s="24" t="str">
        <x:v>Controle de Miopia</x:v>
      </x:c>
      <x:c r="D1312" s="24" t="str">
        <x:v>Surfaçada</x:v>
      </x:c>
      <x:c r="E1312" s="24" t="str">
        <x:v>Rodenstock MyCon</x:v>
      </x:c>
      <x:c r="F1312" s="24" t="str">
        <x:v>ColorMatic® 3</x:v>
      </x:c>
      <x:c r="G1312" s="24" t="str">
        <x:v>1.67</x:v>
      </x:c>
      <x:c r="H1312" s="24" t="str">
        <x:v>1.67</x:v>
      </x:c>
      <x:c r="I1312" s="24" t="str">
        <x:v>Solitaire ECO 2</x:v>
      </x:c>
      <x:c r="J1312" s="40" t="n">
        <x:v>2782</x:v>
      </x:c>
      <x:c r="K1312" s="24" t="str">
        <x:v>0 a -12</x:v>
      </x:c>
      <x:c r="L1312" s="24" t="str">
        <x:v>até -6</x:v>
      </x:c>
      <x:c r="M1312" s="24"/>
      <x:c r="N1312" s="24" t="str">
        <x:v>75</x:v>
      </x:c>
      <x:c r="O1312" s="24"/>
      <x:c r="P1312" s="24"/>
      <x:c r="Q1312" s="24" t="str">
        <x:v>DISPONÍVEL</x:v>
      </x:c>
      <x:c r="R1312" s="24"/>
      <x:c r="S1312" s="24" t="n">
        <x:v>25</x:v>
      </x:c>
      <x:c r="T1312" s="24" t="str">
        <x:v>tabela_rodenstock.pdf</x:v>
      </x:c>
      <x:c r="U1312" s="24" t="str">
        <x:v>Rodenstock|Controle de Miopia|Surfaçada|Rodenstock MyCon|ColorMatic® 3|1.67|1.67|Solitaire ECO 2|0 a -12|até -6||75|||25</x:v>
      </x:c>
    </x:row>
    <x:row r="1313">
      <x:c r="A1313" s="24" t="str">
        <x:v>RD-5DEF924BE473</x:v>
      </x:c>
      <x:c r="B1313" s="24" t="str">
        <x:v>Rodenstock</x:v>
      </x:c>
      <x:c r="C1313" s="24" t="str">
        <x:v>Controle de Miopia</x:v>
      </x:c>
      <x:c r="D1313" s="24" t="str">
        <x:v>Surfaçada</x:v>
      </x:c>
      <x:c r="E1313" s="24" t="str">
        <x:v>Rodenstock MyCon 2</x:v>
      </x:c>
      <x:c r="F1313" s="24"/>
      <x:c r="G1313" s="24" t="str">
        <x:v>1.5</x:v>
      </x:c>
      <x:c r="H1313" s="24" t="str">
        <x:v>1.50</x:v>
      </x:c>
      <x:c r="I1313" s="24" t="str">
        <x:v>Solitaire X-tra Clean</x:v>
      </x:c>
      <x:c r="J1313" s="40" t="n">
        <x:v>2298</x:v>
      </x:c>
      <x:c r="K1313" s="24" t="str">
        <x:v>0 a -8</x:v>
      </x:c>
      <x:c r="L1313" s="24" t="str">
        <x:v>até -6</x:v>
      </x:c>
      <x:c r="M1313" s="24"/>
      <x:c r="N1313" s="24" t="str">
        <x:v>75</x:v>
      </x:c>
      <x:c r="O1313" s="24"/>
      <x:c r="P1313" s="24"/>
      <x:c r="Q1313" s="24" t="str">
        <x:v>DISPONÍVEL</x:v>
      </x:c>
      <x:c r="R1313" s="24"/>
      <x:c r="S1313" s="24" t="n">
        <x:v>25</x:v>
      </x:c>
      <x:c r="T1313" s="24" t="str">
        <x:v>tabela_rodenstock.pdf</x:v>
      </x:c>
      <x:c r="U1313" s="24" t="str">
        <x:v>Rodenstock|Controle de Miopia|Surfaçada|Rodenstock MyCon 2||1.5|1.50|Solitaire X-tra Clean|0 a -8|até -6||75|||25</x:v>
      </x:c>
    </x:row>
    <x:row r="1314">
      <x:c r="A1314" s="24" t="str">
        <x:v>RD-35FEC4C6087D</x:v>
      </x:c>
      <x:c r="B1314" s="24" t="str">
        <x:v>Rodenstock</x:v>
      </x:c>
      <x:c r="C1314" s="24" t="str">
        <x:v>Controle de Miopia</x:v>
      </x:c>
      <x:c r="D1314" s="24" t="str">
        <x:v>Surfaçada</x:v>
      </x:c>
      <x:c r="E1314" s="24" t="str">
        <x:v>Rodenstock MyCon 2</x:v>
      </x:c>
      <x:c r="F1314" s="24"/>
      <x:c r="G1314" s="24" t="str">
        <x:v>1.5</x:v>
      </x:c>
      <x:c r="H1314" s="24" t="str">
        <x:v>1.50</x:v>
      </x:c>
      <x:c r="I1314" s="24" t="str">
        <x:v>Solitaire 2 Protect Balance</x:v>
      </x:c>
      <x:c r="J1314" s="40" t="n">
        <x:v>2248</x:v>
      </x:c>
      <x:c r="K1314" s="24" t="str">
        <x:v>0 a -8</x:v>
      </x:c>
      <x:c r="L1314" s="24" t="str">
        <x:v>até -6</x:v>
      </x:c>
      <x:c r="M1314" s="24"/>
      <x:c r="N1314" s="24" t="str">
        <x:v>75</x:v>
      </x:c>
      <x:c r="O1314" s="24"/>
      <x:c r="P1314" s="24"/>
      <x:c r="Q1314" s="24" t="str">
        <x:v>DISPONÍVEL</x:v>
      </x:c>
      <x:c r="R1314" s="24"/>
      <x:c r="S1314" s="24" t="n">
        <x:v>25</x:v>
      </x:c>
      <x:c r="T1314" s="24" t="str">
        <x:v>tabela_rodenstock.pdf</x:v>
      </x:c>
      <x:c r="U1314" s="24" t="str">
        <x:v>Rodenstock|Controle de Miopia|Surfaçada|Rodenstock MyCon 2||1.5|1.50|Solitaire 2 Protect Balance|0 a -8|até -6||75|||25</x:v>
      </x:c>
    </x:row>
    <x:row r="1315">
      <x:c r="A1315" s="24" t="str">
        <x:v>RD-ADDD1228A3FB</x:v>
      </x:c>
      <x:c r="B1315" s="24" t="str">
        <x:v>Rodenstock</x:v>
      </x:c>
      <x:c r="C1315" s="24" t="str">
        <x:v>Controle de Miopia</x:v>
      </x:c>
      <x:c r="D1315" s="24" t="str">
        <x:v>Surfaçada</x:v>
      </x:c>
      <x:c r="E1315" s="24" t="str">
        <x:v>Rodenstock MyCon 2</x:v>
      </x:c>
      <x:c r="F1315" s="24"/>
      <x:c r="G1315" s="24" t="str">
        <x:v>1.5</x:v>
      </x:c>
      <x:c r="H1315" s="24" t="str">
        <x:v>1.50</x:v>
      </x:c>
      <x:c r="I1315" s="24" t="str">
        <x:v>Solitaire Protect Plus</x:v>
      </x:c>
      <x:c r="J1315" s="40" t="n">
        <x:v>2248</x:v>
      </x:c>
      <x:c r="K1315" s="24" t="str">
        <x:v>0 a -8</x:v>
      </x:c>
      <x:c r="L1315" s="24" t="str">
        <x:v>até -6</x:v>
      </x:c>
      <x:c r="M1315" s="24"/>
      <x:c r="N1315" s="24" t="str">
        <x:v>75</x:v>
      </x:c>
      <x:c r="O1315" s="24"/>
      <x:c r="P1315" s="24"/>
      <x:c r="Q1315" s="24" t="str">
        <x:v>DISPONÍVEL</x:v>
      </x:c>
      <x:c r="R1315" s="24"/>
      <x:c r="S1315" s="24" t="n">
        <x:v>25</x:v>
      </x:c>
      <x:c r="T1315" s="24" t="str">
        <x:v>tabela_rodenstock.pdf</x:v>
      </x:c>
      <x:c r="U1315" s="24" t="str">
        <x:v>Rodenstock|Controle de Miopia|Surfaçada|Rodenstock MyCon 2||1.5|1.50|Solitaire Protect Plus|0 a -8|até -6||75|||25</x:v>
      </x:c>
    </x:row>
    <x:row r="1316">
      <x:c r="A1316" s="24" t="str">
        <x:v>RD-2C259DC4F9B3</x:v>
      </x:c>
      <x:c r="B1316" s="24" t="str">
        <x:v>Rodenstock</x:v>
      </x:c>
      <x:c r="C1316" s="24" t="str">
        <x:v>Controle de Miopia</x:v>
      </x:c>
      <x:c r="D1316" s="24" t="str">
        <x:v>Surfaçada</x:v>
      </x:c>
      <x:c r="E1316" s="24" t="str">
        <x:v>Rodenstock MyCon 2</x:v>
      </x:c>
      <x:c r="F1316" s="24"/>
      <x:c r="G1316" s="24" t="str">
        <x:v>1.5</x:v>
      </x:c>
      <x:c r="H1316" s="24" t="str">
        <x:v>1.50</x:v>
      </x:c>
      <x:c r="I1316" s="24" t="str">
        <x:v>Solitaire Protect</x:v>
      </x:c>
      <x:c r="J1316" s="40" t="n">
        <x:v>1988</x:v>
      </x:c>
      <x:c r="K1316" s="24" t="str">
        <x:v>0 a -8</x:v>
      </x:c>
      <x:c r="L1316" s="24" t="str">
        <x:v>até -6</x:v>
      </x:c>
      <x:c r="M1316" s="24"/>
      <x:c r="N1316" s="24" t="str">
        <x:v>75</x:v>
      </x:c>
      <x:c r="O1316" s="24"/>
      <x:c r="P1316" s="24"/>
      <x:c r="Q1316" s="24" t="str">
        <x:v>DISPONÍVEL</x:v>
      </x:c>
      <x:c r="R1316" s="24"/>
      <x:c r="S1316" s="24" t="n">
        <x:v>25</x:v>
      </x:c>
      <x:c r="T1316" s="24" t="str">
        <x:v>tabela_rodenstock.pdf</x:v>
      </x:c>
      <x:c r="U1316" s="24" t="str">
        <x:v>Rodenstock|Controle de Miopia|Surfaçada|Rodenstock MyCon 2||1.5|1.50|Solitaire Protect|0 a -8|até -6||75|||25</x:v>
      </x:c>
    </x:row>
    <x:row r="1317">
      <x:c r="A1317" s="24" t="str">
        <x:v>RD-EF4559681D79</x:v>
      </x:c>
      <x:c r="B1317" s="24" t="str">
        <x:v>Rodenstock</x:v>
      </x:c>
      <x:c r="C1317" s="24" t="str">
        <x:v>Controle de Miopia</x:v>
      </x:c>
      <x:c r="D1317" s="24" t="str">
        <x:v>Surfaçada</x:v>
      </x:c>
      <x:c r="E1317" s="24" t="str">
        <x:v>Rodenstock MyCon 2</x:v>
      </x:c>
      <x:c r="F1317" s="24"/>
      <x:c r="G1317" s="24" t="str">
        <x:v>1.5</x:v>
      </x:c>
      <x:c r="H1317" s="24" t="str">
        <x:v>1.50</x:v>
      </x:c>
      <x:c r="I1317" s="24" t="str">
        <x:v>Solitaire ECO 2</x:v>
      </x:c>
      <x:c r="J1317" s="40" t="n">
        <x:v>1508</x:v>
      </x:c>
      <x:c r="K1317" s="24" t="str">
        <x:v>0 a -8</x:v>
      </x:c>
      <x:c r="L1317" s="24" t="str">
        <x:v>até -6</x:v>
      </x:c>
      <x:c r="M1317" s="24"/>
      <x:c r="N1317" s="24" t="str">
        <x:v>75</x:v>
      </x:c>
      <x:c r="O1317" s="24"/>
      <x:c r="P1317" s="24"/>
      <x:c r="Q1317" s="24" t="str">
        <x:v>DISPONÍVEL</x:v>
      </x:c>
      <x:c r="R1317" s="24"/>
      <x:c r="S1317" s="24" t="n">
        <x:v>25</x:v>
      </x:c>
      <x:c r="T1317" s="24" t="str">
        <x:v>tabela_rodenstock.pdf</x:v>
      </x:c>
      <x:c r="U1317" s="24" t="str">
        <x:v>Rodenstock|Controle de Miopia|Surfaçada|Rodenstock MyCon 2||1.5|1.50|Solitaire ECO 2|0 a -8|até -6||75|||25</x:v>
      </x:c>
    </x:row>
    <x:row r="1318">
      <x:c r="A1318" s="24" t="str">
        <x:v>RD-92104F92D9CA</x:v>
      </x:c>
      <x:c r="B1318" s="24" t="str">
        <x:v>Rodenstock</x:v>
      </x:c>
      <x:c r="C1318" s="24" t="str">
        <x:v>Controle de Miopia</x:v>
      </x:c>
      <x:c r="D1318" s="24" t="str">
        <x:v>Surfaçada</x:v>
      </x:c>
      <x:c r="E1318" s="24" t="str">
        <x:v>Rodenstock MyCon 2</x:v>
      </x:c>
      <x:c r="F1318" s="24" t="str">
        <x:v>Polarizada</x:v>
      </x:c>
      <x:c r="G1318" s="24" t="str">
        <x:v>1.5</x:v>
      </x:c>
      <x:c r="H1318" s="24" t="str">
        <x:v>1.50</x:v>
      </x:c>
      <x:c r="I1318" s="24" t="str">
        <x:v>Solitaire X-tra Clean</x:v>
      </x:c>
      <x:c r="J1318" s="40" t="n">
        <x:v>3469</x:v>
      </x:c>
      <x:c r="K1318" s="24" t="str">
        <x:v>0 a -8</x:v>
      </x:c>
      <x:c r="L1318" s="24" t="str">
        <x:v>até -6</x:v>
      </x:c>
      <x:c r="M1318" s="24"/>
      <x:c r="N1318" s="24" t="str">
        <x:v>75</x:v>
      </x:c>
      <x:c r="O1318" s="24"/>
      <x:c r="P1318" s="24"/>
      <x:c r="Q1318" s="24" t="str">
        <x:v>DISPONÍVEL</x:v>
      </x:c>
      <x:c r="R1318" s="24"/>
      <x:c r="S1318" s="24" t="n">
        <x:v>25</x:v>
      </x:c>
      <x:c r="T1318" s="24" t="str">
        <x:v>tabela_rodenstock.pdf</x:v>
      </x:c>
      <x:c r="U1318" s="24" t="str">
        <x:v>Rodenstock|Controle de Miopia|Surfaçada|Rodenstock MyCon 2|Polarizada|1.5|1.50|Solitaire X-tra Clean|0 a -8|até -6||75|||25</x:v>
      </x:c>
    </x:row>
    <x:row r="1319">
      <x:c r="A1319" s="24" t="str">
        <x:v>RD-F4BAB5023056</x:v>
      </x:c>
      <x:c r="B1319" s="24" t="str">
        <x:v>Rodenstock</x:v>
      </x:c>
      <x:c r="C1319" s="24" t="str">
        <x:v>Controle de Miopia</x:v>
      </x:c>
      <x:c r="D1319" s="24" t="str">
        <x:v>Surfaçada</x:v>
      </x:c>
      <x:c r="E1319" s="24" t="str">
        <x:v>Rodenstock MyCon 2</x:v>
      </x:c>
      <x:c r="F1319" s="24" t="str">
        <x:v>Polarizada</x:v>
      </x:c>
      <x:c r="G1319" s="24" t="str">
        <x:v>1.5</x:v>
      </x:c>
      <x:c r="H1319" s="24" t="str">
        <x:v>1.50</x:v>
      </x:c>
      <x:c r="I1319" s="24" t="str">
        <x:v>Solitaire 2 Protect Balance</x:v>
      </x:c>
      <x:c r="J1319" s="40" t="n">
        <x:v>3419</x:v>
      </x:c>
      <x:c r="K1319" s="24" t="str">
        <x:v>0 a -8</x:v>
      </x:c>
      <x:c r="L1319" s="24" t="str">
        <x:v>até -6</x:v>
      </x:c>
      <x:c r="M1319" s="24"/>
      <x:c r="N1319" s="24" t="str">
        <x:v>75</x:v>
      </x:c>
      <x:c r="O1319" s="24"/>
      <x:c r="P1319" s="24"/>
      <x:c r="Q1319" s="24" t="str">
        <x:v>DISPONÍVEL</x:v>
      </x:c>
      <x:c r="R1319" s="24"/>
      <x:c r="S1319" s="24" t="n">
        <x:v>25</x:v>
      </x:c>
      <x:c r="T1319" s="24" t="str">
        <x:v>tabela_rodenstock.pdf</x:v>
      </x:c>
      <x:c r="U1319" s="24" t="str">
        <x:v>Rodenstock|Controle de Miopia|Surfaçada|Rodenstock MyCon 2|Polarizada|1.5|1.50|Solitaire 2 Protect Balance|0 a -8|até -6||75|||25</x:v>
      </x:c>
    </x:row>
    <x:row r="1320">
      <x:c r="A1320" s="24" t="str">
        <x:v>RD-25A6C91586E2</x:v>
      </x:c>
      <x:c r="B1320" s="24" t="str">
        <x:v>Rodenstock</x:v>
      </x:c>
      <x:c r="C1320" s="24" t="str">
        <x:v>Controle de Miopia</x:v>
      </x:c>
      <x:c r="D1320" s="24" t="str">
        <x:v>Surfaçada</x:v>
      </x:c>
      <x:c r="E1320" s="24" t="str">
        <x:v>Rodenstock MyCon 2</x:v>
      </x:c>
      <x:c r="F1320" s="24" t="str">
        <x:v>Polarizada</x:v>
      </x:c>
      <x:c r="G1320" s="24" t="str">
        <x:v>1.5</x:v>
      </x:c>
      <x:c r="H1320" s="24" t="str">
        <x:v>1.50</x:v>
      </x:c>
      <x:c r="I1320" s="24" t="str">
        <x:v>Solitaire Protect Plus</x:v>
      </x:c>
      <x:c r="J1320" s="40" t="n">
        <x:v>3419</x:v>
      </x:c>
      <x:c r="K1320" s="24" t="str">
        <x:v>0 a -8</x:v>
      </x:c>
      <x:c r="L1320" s="24" t="str">
        <x:v>até -6</x:v>
      </x:c>
      <x:c r="M1320" s="24"/>
      <x:c r="N1320" s="24" t="str">
        <x:v>75</x:v>
      </x:c>
      <x:c r="O1320" s="24"/>
      <x:c r="P1320" s="24"/>
      <x:c r="Q1320" s="24" t="str">
        <x:v>DISPONÍVEL</x:v>
      </x:c>
      <x:c r="R1320" s="24"/>
      <x:c r="S1320" s="24" t="n">
        <x:v>25</x:v>
      </x:c>
      <x:c r="T1320" s="24" t="str">
        <x:v>tabela_rodenstock.pdf</x:v>
      </x:c>
      <x:c r="U1320" s="24" t="str">
        <x:v>Rodenstock|Controle de Miopia|Surfaçada|Rodenstock MyCon 2|Polarizada|1.5|1.50|Solitaire Protect Plus|0 a -8|até -6||75|||25</x:v>
      </x:c>
    </x:row>
    <x:row r="1321">
      <x:c r="A1321" s="24" t="str">
        <x:v>RD-0F506508B309</x:v>
      </x:c>
      <x:c r="B1321" s="24" t="str">
        <x:v>Rodenstock</x:v>
      </x:c>
      <x:c r="C1321" s="24" t="str">
        <x:v>Controle de Miopia</x:v>
      </x:c>
      <x:c r="D1321" s="24" t="str">
        <x:v>Surfaçada</x:v>
      </x:c>
      <x:c r="E1321" s="24" t="str">
        <x:v>Rodenstock MyCon 2</x:v>
      </x:c>
      <x:c r="F1321" s="24" t="str">
        <x:v>Polarizada</x:v>
      </x:c>
      <x:c r="G1321" s="24" t="str">
        <x:v>1.5</x:v>
      </x:c>
      <x:c r="H1321" s="24" t="str">
        <x:v>1.50</x:v>
      </x:c>
      <x:c r="I1321" s="24" t="str">
        <x:v>Solitaire Protect</x:v>
      </x:c>
      <x:c r="J1321" s="40" t="n">
        <x:v>3159</x:v>
      </x:c>
      <x:c r="K1321" s="24" t="str">
        <x:v>0 a -8</x:v>
      </x:c>
      <x:c r="L1321" s="24" t="str">
        <x:v>até -6</x:v>
      </x:c>
      <x:c r="M1321" s="24"/>
      <x:c r="N1321" s="24" t="str">
        <x:v>75</x:v>
      </x:c>
      <x:c r="O1321" s="24"/>
      <x:c r="P1321" s="24"/>
      <x:c r="Q1321" s="24" t="str">
        <x:v>DISPONÍVEL</x:v>
      </x:c>
      <x:c r="R1321" s="24"/>
      <x:c r="S1321" s="24" t="n">
        <x:v>25</x:v>
      </x:c>
      <x:c r="T1321" s="24" t="str">
        <x:v>tabela_rodenstock.pdf</x:v>
      </x:c>
      <x:c r="U1321" s="24" t="str">
        <x:v>Rodenstock|Controle de Miopia|Surfaçada|Rodenstock MyCon 2|Polarizada|1.5|1.50|Solitaire Protect|0 a -8|até -6||75|||25</x:v>
      </x:c>
    </x:row>
    <x:row r="1322">
      <x:c r="A1322" s="24" t="str">
        <x:v>RD-A49999EC2347</x:v>
      </x:c>
      <x:c r="B1322" s="24" t="str">
        <x:v>Rodenstock</x:v>
      </x:c>
      <x:c r="C1322" s="24" t="str">
        <x:v>Controle de Miopia</x:v>
      </x:c>
      <x:c r="D1322" s="24" t="str">
        <x:v>Surfaçada</x:v>
      </x:c>
      <x:c r="E1322" s="24" t="str">
        <x:v>Rodenstock MyCon 2</x:v>
      </x:c>
      <x:c r="F1322" s="24" t="str">
        <x:v>Polarizada</x:v>
      </x:c>
      <x:c r="G1322" s="24" t="str">
        <x:v>1.5</x:v>
      </x:c>
      <x:c r="H1322" s="24" t="str">
        <x:v>1.50</x:v>
      </x:c>
      <x:c r="I1322" s="24" t="str">
        <x:v>Solitaire ECO 2</x:v>
      </x:c>
      <x:c r="J1322" s="40" t="n">
        <x:v>2679</x:v>
      </x:c>
      <x:c r="K1322" s="24" t="str">
        <x:v>0 a -8</x:v>
      </x:c>
      <x:c r="L1322" s="24" t="str">
        <x:v>até -6</x:v>
      </x:c>
      <x:c r="M1322" s="24"/>
      <x:c r="N1322" s="24" t="str">
        <x:v>75</x:v>
      </x:c>
      <x:c r="O1322" s="24"/>
      <x:c r="P1322" s="24"/>
      <x:c r="Q1322" s="24" t="str">
        <x:v>DISPONÍVEL</x:v>
      </x:c>
      <x:c r="R1322" s="24"/>
      <x:c r="S1322" s="24" t="n">
        <x:v>25</x:v>
      </x:c>
      <x:c r="T1322" s="24" t="str">
        <x:v>tabela_rodenstock.pdf</x:v>
      </x:c>
      <x:c r="U1322" s="24" t="str">
        <x:v>Rodenstock|Controle de Miopia|Surfaçada|Rodenstock MyCon 2|Polarizada|1.5|1.50|Solitaire ECO 2|0 a -8|até -6||75|||25</x:v>
      </x:c>
    </x:row>
    <x:row r="1323">
      <x:c r="A1323" s="24" t="str">
        <x:v>RD-AA56B1F50BF3</x:v>
      </x:c>
      <x:c r="B1323" s="24" t="str">
        <x:v>Rodenstock</x:v>
      </x:c>
      <x:c r="C1323" s="24" t="str">
        <x:v>Controle de Miopia</x:v>
      </x:c>
      <x:c r="D1323" s="24" t="str">
        <x:v>Surfaçada</x:v>
      </x:c>
      <x:c r="E1323" s="24" t="str">
        <x:v>Rodenstock MyCon 2</x:v>
      </x:c>
      <x:c r="F1323" s="24" t="str">
        <x:v>ColorMatic® 3</x:v>
      </x:c>
      <x:c r="G1323" s="24" t="str">
        <x:v>1.54</x:v>
      </x:c>
      <x:c r="H1323" s="24" t="str">
        <x:v>1.54</x:v>
      </x:c>
      <x:c r="I1323" s="24" t="str">
        <x:v>Solitaire X-tra Clean</x:v>
      </x:c>
      <x:c r="J1323" s="40" t="n">
        <x:v>2657</x:v>
      </x:c>
      <x:c r="K1323" s="24" t="str">
        <x:v>0 a -8</x:v>
      </x:c>
      <x:c r="L1323" s="24" t="str">
        <x:v>até -6</x:v>
      </x:c>
      <x:c r="M1323" s="24"/>
      <x:c r="N1323" s="24" t="str">
        <x:v>75</x:v>
      </x:c>
      <x:c r="O1323" s="24"/>
      <x:c r="P1323" s="24"/>
      <x:c r="Q1323" s="24" t="str">
        <x:v>DISPONÍVEL</x:v>
      </x:c>
      <x:c r="R1323" s="24"/>
      <x:c r="S1323" s="24" t="n">
        <x:v>25</x:v>
      </x:c>
      <x:c r="T1323" s="24" t="str">
        <x:v>tabela_rodenstock.pdf</x:v>
      </x:c>
      <x:c r="U1323" s="24" t="str">
        <x:v>Rodenstock|Controle de Miopia|Surfaçada|Rodenstock MyCon 2|ColorMatic® 3|1.54|1.54|Solitaire X-tra Clean|0 a -8|até -6||75|||25</x:v>
      </x:c>
    </x:row>
    <x:row r="1324">
      <x:c r="A1324" s="24" t="str">
        <x:v>RD-E2A2C2016589</x:v>
      </x:c>
      <x:c r="B1324" s="24" t="str">
        <x:v>Rodenstock</x:v>
      </x:c>
      <x:c r="C1324" s="24" t="str">
        <x:v>Controle de Miopia</x:v>
      </x:c>
      <x:c r="D1324" s="24" t="str">
        <x:v>Surfaçada</x:v>
      </x:c>
      <x:c r="E1324" s="24" t="str">
        <x:v>Rodenstock MyCon 2</x:v>
      </x:c>
      <x:c r="F1324" s="24" t="str">
        <x:v>ColorMatic® 3</x:v>
      </x:c>
      <x:c r="G1324" s="24" t="str">
        <x:v>1.54</x:v>
      </x:c>
      <x:c r="H1324" s="24" t="str">
        <x:v>1.54</x:v>
      </x:c>
      <x:c r="I1324" s="24" t="str">
        <x:v>Solitaire 2 Protect Balance</x:v>
      </x:c>
      <x:c r="J1324" s="40" t="n">
        <x:v>2607</x:v>
      </x:c>
      <x:c r="K1324" s="24" t="str">
        <x:v>0 a -8</x:v>
      </x:c>
      <x:c r="L1324" s="24" t="str">
        <x:v>até -6</x:v>
      </x:c>
      <x:c r="M1324" s="24"/>
      <x:c r="N1324" s="24" t="str">
        <x:v>75</x:v>
      </x:c>
      <x:c r="O1324" s="24"/>
      <x:c r="P1324" s="24"/>
      <x:c r="Q1324" s="24" t="str">
        <x:v>DISPONÍVEL</x:v>
      </x:c>
      <x:c r="R1324" s="24"/>
      <x:c r="S1324" s="24" t="n">
        <x:v>25</x:v>
      </x:c>
      <x:c r="T1324" s="24" t="str">
        <x:v>tabela_rodenstock.pdf</x:v>
      </x:c>
      <x:c r="U1324" s="24" t="str">
        <x:v>Rodenstock|Controle de Miopia|Surfaçada|Rodenstock MyCon 2|ColorMatic® 3|1.54|1.54|Solitaire 2 Protect Balance|0 a -8|até -6||75|||25</x:v>
      </x:c>
    </x:row>
    <x:row r="1325">
      <x:c r="A1325" s="24" t="str">
        <x:v>RD-0A0269F842D9</x:v>
      </x:c>
      <x:c r="B1325" s="24" t="str">
        <x:v>Rodenstock</x:v>
      </x:c>
      <x:c r="C1325" s="24" t="str">
        <x:v>Controle de Miopia</x:v>
      </x:c>
      <x:c r="D1325" s="24" t="str">
        <x:v>Surfaçada</x:v>
      </x:c>
      <x:c r="E1325" s="24" t="str">
        <x:v>Rodenstock MyCon 2</x:v>
      </x:c>
      <x:c r="F1325" s="24" t="str">
        <x:v>ColorMatic® 3</x:v>
      </x:c>
      <x:c r="G1325" s="24" t="str">
        <x:v>1.54</x:v>
      </x:c>
      <x:c r="H1325" s="24" t="str">
        <x:v>1.54</x:v>
      </x:c>
      <x:c r="I1325" s="24" t="str">
        <x:v>Solitaire Protect Plus</x:v>
      </x:c>
      <x:c r="J1325" s="40" t="n">
        <x:v>2607</x:v>
      </x:c>
      <x:c r="K1325" s="24" t="str">
        <x:v>0 a -8</x:v>
      </x:c>
      <x:c r="L1325" s="24" t="str">
        <x:v>até -6</x:v>
      </x:c>
      <x:c r="M1325" s="24"/>
      <x:c r="N1325" s="24" t="str">
        <x:v>75</x:v>
      </x:c>
      <x:c r="O1325" s="24"/>
      <x:c r="P1325" s="24"/>
      <x:c r="Q1325" s="24" t="str">
        <x:v>DISPONÍVEL</x:v>
      </x:c>
      <x:c r="R1325" s="24"/>
      <x:c r="S1325" s="24" t="n">
        <x:v>25</x:v>
      </x:c>
      <x:c r="T1325" s="24" t="str">
        <x:v>tabela_rodenstock.pdf</x:v>
      </x:c>
      <x:c r="U1325" s="24" t="str">
        <x:v>Rodenstock|Controle de Miopia|Surfaçada|Rodenstock MyCon 2|ColorMatic® 3|1.54|1.54|Solitaire Protect Plus|0 a -8|até -6||75|||25</x:v>
      </x:c>
    </x:row>
    <x:row r="1326">
      <x:c r="A1326" s="24" t="str">
        <x:v>RD-4C4AE8237D54</x:v>
      </x:c>
      <x:c r="B1326" s="24" t="str">
        <x:v>Rodenstock</x:v>
      </x:c>
      <x:c r="C1326" s="24" t="str">
        <x:v>Controle de Miopia</x:v>
      </x:c>
      <x:c r="D1326" s="24" t="str">
        <x:v>Surfaçada</x:v>
      </x:c>
      <x:c r="E1326" s="24" t="str">
        <x:v>Rodenstock MyCon 2</x:v>
      </x:c>
      <x:c r="F1326" s="24" t="str">
        <x:v>ColorMatic® 3</x:v>
      </x:c>
      <x:c r="G1326" s="24" t="str">
        <x:v>1.54</x:v>
      </x:c>
      <x:c r="H1326" s="24" t="str">
        <x:v>1.54</x:v>
      </x:c>
      <x:c r="I1326" s="24" t="str">
        <x:v>Solitaire Protect</x:v>
      </x:c>
      <x:c r="J1326" s="40" t="n">
        <x:v>2347</x:v>
      </x:c>
      <x:c r="K1326" s="24" t="str">
        <x:v>0 a -8</x:v>
      </x:c>
      <x:c r="L1326" s="24" t="str">
        <x:v>até -6</x:v>
      </x:c>
      <x:c r="M1326" s="24"/>
      <x:c r="N1326" s="24" t="str">
        <x:v>75</x:v>
      </x:c>
      <x:c r="O1326" s="24"/>
      <x:c r="P1326" s="24"/>
      <x:c r="Q1326" s="24" t="str">
        <x:v>DISPONÍVEL</x:v>
      </x:c>
      <x:c r="R1326" s="24"/>
      <x:c r="S1326" s="24" t="n">
        <x:v>25</x:v>
      </x:c>
      <x:c r="T1326" s="24" t="str">
        <x:v>tabela_rodenstock.pdf</x:v>
      </x:c>
      <x:c r="U1326" s="24" t="str">
        <x:v>Rodenstock|Controle de Miopia|Surfaçada|Rodenstock MyCon 2|ColorMatic® 3|1.54|1.54|Solitaire Protect|0 a -8|até -6||75|||25</x:v>
      </x:c>
    </x:row>
    <x:row r="1327">
      <x:c r="A1327" s="24" t="str">
        <x:v>RD-A4D123EE6568</x:v>
      </x:c>
      <x:c r="B1327" s="24" t="str">
        <x:v>Rodenstock</x:v>
      </x:c>
      <x:c r="C1327" s="24" t="str">
        <x:v>Controle de Miopia</x:v>
      </x:c>
      <x:c r="D1327" s="24" t="str">
        <x:v>Surfaçada</x:v>
      </x:c>
      <x:c r="E1327" s="24" t="str">
        <x:v>Rodenstock MyCon 2</x:v>
      </x:c>
      <x:c r="F1327" s="24" t="str">
        <x:v>ColorMatic® 3</x:v>
      </x:c>
      <x:c r="G1327" s="24" t="str">
        <x:v>1.54</x:v>
      </x:c>
      <x:c r="H1327" s="24" t="str">
        <x:v>1.54</x:v>
      </x:c>
      <x:c r="I1327" s="24" t="str">
        <x:v>Solitaire ECO 2</x:v>
      </x:c>
      <x:c r="J1327" s="40" t="n">
        <x:v>1867</x:v>
      </x:c>
      <x:c r="K1327" s="24" t="str">
        <x:v>0 a -8</x:v>
      </x:c>
      <x:c r="L1327" s="24" t="str">
        <x:v>até -6</x:v>
      </x:c>
      <x:c r="M1327" s="24"/>
      <x:c r="N1327" s="24" t="str">
        <x:v>75</x:v>
      </x:c>
      <x:c r="O1327" s="24"/>
      <x:c r="P1327" s="24"/>
      <x:c r="Q1327" s="24" t="str">
        <x:v>DISPONÍVEL</x:v>
      </x:c>
      <x:c r="R1327" s="24"/>
      <x:c r="S1327" s="24" t="n">
        <x:v>25</x:v>
      </x:c>
      <x:c r="T1327" s="24" t="str">
        <x:v>tabela_rodenstock.pdf</x:v>
      </x:c>
      <x:c r="U1327" s="24" t="str">
        <x:v>Rodenstock|Controle de Miopia|Surfaçada|Rodenstock MyCon 2|ColorMatic® 3|1.54|1.54|Solitaire ECO 2|0 a -8|até -6||75|||25</x:v>
      </x:c>
    </x:row>
    <x:row r="1328">
      <x:c r="A1328" s="24" t="str">
        <x:v>RD-62C4E1D52A83</x:v>
      </x:c>
      <x:c r="B1328" s="24" t="str">
        <x:v>Rodenstock</x:v>
      </x:c>
      <x:c r="C1328" s="24" t="str">
        <x:v>Controle de Miopia</x:v>
      </x:c>
      <x:c r="D1328" s="24" t="str">
        <x:v>Surfaçada</x:v>
      </x:c>
      <x:c r="E1328" s="24" t="str">
        <x:v>Rodenstock MyCon 2</x:v>
      </x:c>
      <x:c r="F1328" s="24"/>
      <x:c r="G1328" s="24" t="str">
        <x:v>1.6</x:v>
      </x:c>
      <x:c r="H1328" s="24" t="str">
        <x:v>1.60</x:v>
      </x:c>
      <x:c r="I1328" s="24" t="str">
        <x:v>Solitaire X-tra Clean</x:v>
      </x:c>
      <x:c r="J1328" s="40" t="n">
        <x:v>2524</x:v>
      </x:c>
      <x:c r="K1328" s="24" t="str">
        <x:v>0 a -10</x:v>
      </x:c>
      <x:c r="L1328" s="24" t="str">
        <x:v>até -6</x:v>
      </x:c>
      <x:c r="M1328" s="24"/>
      <x:c r="N1328" s="24" t="str">
        <x:v>75</x:v>
      </x:c>
      <x:c r="O1328" s="24"/>
      <x:c r="P1328" s="24"/>
      <x:c r="Q1328" s="24" t="str">
        <x:v>DISPONÍVEL</x:v>
      </x:c>
      <x:c r="R1328" s="24"/>
      <x:c r="S1328" s="24" t="n">
        <x:v>25</x:v>
      </x:c>
      <x:c r="T1328" s="24" t="str">
        <x:v>tabela_rodenstock.pdf</x:v>
      </x:c>
      <x:c r="U1328" s="24" t="str">
        <x:v>Rodenstock|Controle de Miopia|Surfaçada|Rodenstock MyCon 2||1.6|1.60|Solitaire X-tra Clean|0 a -10|até -6||75|||25</x:v>
      </x:c>
    </x:row>
    <x:row r="1329">
      <x:c r="A1329" s="24" t="str">
        <x:v>RD-650D93BFFBC4</x:v>
      </x:c>
      <x:c r="B1329" s="24" t="str">
        <x:v>Rodenstock</x:v>
      </x:c>
      <x:c r="C1329" s="24" t="str">
        <x:v>Controle de Miopia</x:v>
      </x:c>
      <x:c r="D1329" s="24" t="str">
        <x:v>Surfaçada</x:v>
      </x:c>
      <x:c r="E1329" s="24" t="str">
        <x:v>Rodenstock MyCon 2</x:v>
      </x:c>
      <x:c r="F1329" s="24"/>
      <x:c r="G1329" s="24" t="str">
        <x:v>1.6</x:v>
      </x:c>
      <x:c r="H1329" s="24" t="str">
        <x:v>1.60</x:v>
      </x:c>
      <x:c r="I1329" s="24" t="str">
        <x:v>Solitaire 2 Protect Balance</x:v>
      </x:c>
      <x:c r="J1329" s="40" t="n">
        <x:v>2474</x:v>
      </x:c>
      <x:c r="K1329" s="24" t="str">
        <x:v>0 a -10</x:v>
      </x:c>
      <x:c r="L1329" s="24" t="str">
        <x:v>até -6</x:v>
      </x:c>
      <x:c r="M1329" s="24"/>
      <x:c r="N1329" s="24" t="str">
        <x:v>75</x:v>
      </x:c>
      <x:c r="O1329" s="24"/>
      <x:c r="P1329" s="24"/>
      <x:c r="Q1329" s="24" t="str">
        <x:v>DISPONÍVEL</x:v>
      </x:c>
      <x:c r="R1329" s="24"/>
      <x:c r="S1329" s="24" t="n">
        <x:v>25</x:v>
      </x:c>
      <x:c r="T1329" s="24" t="str">
        <x:v>tabela_rodenstock.pdf</x:v>
      </x:c>
      <x:c r="U1329" s="24" t="str">
        <x:v>Rodenstock|Controle de Miopia|Surfaçada|Rodenstock MyCon 2||1.6|1.60|Solitaire 2 Protect Balance|0 a -10|até -6||75|||25</x:v>
      </x:c>
    </x:row>
    <x:row r="1330">
      <x:c r="A1330" s="24" t="str">
        <x:v>RD-D7785F9D7FF8</x:v>
      </x:c>
      <x:c r="B1330" s="24" t="str">
        <x:v>Rodenstock</x:v>
      </x:c>
      <x:c r="C1330" s="24" t="str">
        <x:v>Controle de Miopia</x:v>
      </x:c>
      <x:c r="D1330" s="24" t="str">
        <x:v>Surfaçada</x:v>
      </x:c>
      <x:c r="E1330" s="24" t="str">
        <x:v>Rodenstock MyCon 2</x:v>
      </x:c>
      <x:c r="F1330" s="24"/>
      <x:c r="G1330" s="24" t="str">
        <x:v>1.6</x:v>
      </x:c>
      <x:c r="H1330" s="24" t="str">
        <x:v>1.60</x:v>
      </x:c>
      <x:c r="I1330" s="24" t="str">
        <x:v>Solitaire Protect Plus</x:v>
      </x:c>
      <x:c r="J1330" s="40" t="n">
        <x:v>2474</x:v>
      </x:c>
      <x:c r="K1330" s="24" t="str">
        <x:v>0 a -10</x:v>
      </x:c>
      <x:c r="L1330" s="24" t="str">
        <x:v>até -6</x:v>
      </x:c>
      <x:c r="M1330" s="24"/>
      <x:c r="N1330" s="24" t="str">
        <x:v>75</x:v>
      </x:c>
      <x:c r="O1330" s="24"/>
      <x:c r="P1330" s="24"/>
      <x:c r="Q1330" s="24" t="str">
        <x:v>DISPONÍVEL</x:v>
      </x:c>
      <x:c r="R1330" s="24"/>
      <x:c r="S1330" s="24" t="n">
        <x:v>25</x:v>
      </x:c>
      <x:c r="T1330" s="24" t="str">
        <x:v>tabela_rodenstock.pdf</x:v>
      </x:c>
      <x:c r="U1330" s="24" t="str">
        <x:v>Rodenstock|Controle de Miopia|Surfaçada|Rodenstock MyCon 2||1.6|1.60|Solitaire Protect Plus|0 a -10|até -6||75|||25</x:v>
      </x:c>
    </x:row>
    <x:row r="1331">
      <x:c r="A1331" s="24" t="str">
        <x:v>RD-2301CAD56304</x:v>
      </x:c>
      <x:c r="B1331" s="24" t="str">
        <x:v>Rodenstock</x:v>
      </x:c>
      <x:c r="C1331" s="24" t="str">
        <x:v>Controle de Miopia</x:v>
      </x:c>
      <x:c r="D1331" s="24" t="str">
        <x:v>Surfaçada</x:v>
      </x:c>
      <x:c r="E1331" s="24" t="str">
        <x:v>Rodenstock MyCon 2</x:v>
      </x:c>
      <x:c r="F1331" s="24"/>
      <x:c r="G1331" s="24" t="str">
        <x:v>1.6</x:v>
      </x:c>
      <x:c r="H1331" s="24" t="str">
        <x:v>1.60</x:v>
      </x:c>
      <x:c r="I1331" s="24" t="str">
        <x:v>Solitaire Protect</x:v>
      </x:c>
      <x:c r="J1331" s="40" t="n">
        <x:v>2214</x:v>
      </x:c>
      <x:c r="K1331" s="24" t="str">
        <x:v>0 a -10</x:v>
      </x:c>
      <x:c r="L1331" s="24" t="str">
        <x:v>até -6</x:v>
      </x:c>
      <x:c r="M1331" s="24"/>
      <x:c r="N1331" s="24" t="str">
        <x:v>75</x:v>
      </x:c>
      <x:c r="O1331" s="24"/>
      <x:c r="P1331" s="24"/>
      <x:c r="Q1331" s="24" t="str">
        <x:v>DISPONÍVEL</x:v>
      </x:c>
      <x:c r="R1331" s="24"/>
      <x:c r="S1331" s="24" t="n">
        <x:v>25</x:v>
      </x:c>
      <x:c r="T1331" s="24" t="str">
        <x:v>tabela_rodenstock.pdf</x:v>
      </x:c>
      <x:c r="U1331" s="24" t="str">
        <x:v>Rodenstock|Controle de Miopia|Surfaçada|Rodenstock MyCon 2||1.6|1.60|Solitaire Protect|0 a -10|até -6||75|||25</x:v>
      </x:c>
    </x:row>
    <x:row r="1332">
      <x:c r="A1332" s="24" t="str">
        <x:v>RD-B557C8354753</x:v>
      </x:c>
      <x:c r="B1332" s="24" t="str">
        <x:v>Rodenstock</x:v>
      </x:c>
      <x:c r="C1332" s="24" t="str">
        <x:v>Controle de Miopia</x:v>
      </x:c>
      <x:c r="D1332" s="24" t="str">
        <x:v>Surfaçada</x:v>
      </x:c>
      <x:c r="E1332" s="24" t="str">
        <x:v>Rodenstock MyCon 2</x:v>
      </x:c>
      <x:c r="F1332" s="24"/>
      <x:c r="G1332" s="24" t="str">
        <x:v>1.6</x:v>
      </x:c>
      <x:c r="H1332" s="24" t="str">
        <x:v>1.60</x:v>
      </x:c>
      <x:c r="I1332" s="24" t="str">
        <x:v>Solitaire ECO 2</x:v>
      </x:c>
      <x:c r="J1332" s="40" t="n">
        <x:v>1734</x:v>
      </x:c>
      <x:c r="K1332" s="24" t="str">
        <x:v>0 a -10</x:v>
      </x:c>
      <x:c r="L1332" s="24" t="str">
        <x:v>até -6</x:v>
      </x:c>
      <x:c r="M1332" s="24"/>
      <x:c r="N1332" s="24" t="str">
        <x:v>75</x:v>
      </x:c>
      <x:c r="O1332" s="24"/>
      <x:c r="P1332" s="24"/>
      <x:c r="Q1332" s="24" t="str">
        <x:v>DISPONÍVEL</x:v>
      </x:c>
      <x:c r="R1332" s="24"/>
      <x:c r="S1332" s="24" t="n">
        <x:v>25</x:v>
      </x:c>
      <x:c r="T1332" s="24" t="str">
        <x:v>tabela_rodenstock.pdf</x:v>
      </x:c>
      <x:c r="U1332" s="24" t="str">
        <x:v>Rodenstock|Controle de Miopia|Surfaçada|Rodenstock MyCon 2||1.6|1.60|Solitaire ECO 2|0 a -10|até -6||75|||25</x:v>
      </x:c>
    </x:row>
    <x:row r="1333">
      <x:c r="A1333" s="24" t="str">
        <x:v>RD-4EDD442F76F6</x:v>
      </x:c>
      <x:c r="B1333" s="24" t="str">
        <x:v>Rodenstock</x:v>
      </x:c>
      <x:c r="C1333" s="24" t="str">
        <x:v>Controle de Miopia</x:v>
      </x:c>
      <x:c r="D1333" s="24" t="str">
        <x:v>Surfaçada</x:v>
      </x:c>
      <x:c r="E1333" s="24" t="str">
        <x:v>Rodenstock MyCon 2</x:v>
      </x:c>
      <x:c r="F1333" s="24" t="str">
        <x:v>ColorMatic® 3</x:v>
      </x:c>
      <x:c r="G1333" s="24" t="str">
        <x:v>1.6</x:v>
      </x:c>
      <x:c r="H1333" s="24" t="str">
        <x:v>1.60</x:v>
      </x:c>
      <x:c r="I1333" s="24" t="str">
        <x:v>Solitaire X-tra Clean</x:v>
      </x:c>
      <x:c r="J1333" s="40" t="n">
        <x:v>3469</x:v>
      </x:c>
      <x:c r="K1333" s="24" t="str">
        <x:v>0 a -10</x:v>
      </x:c>
      <x:c r="L1333" s="24" t="str">
        <x:v>até -6</x:v>
      </x:c>
      <x:c r="M1333" s="24"/>
      <x:c r="N1333" s="24" t="str">
        <x:v>75</x:v>
      </x:c>
      <x:c r="O1333" s="24"/>
      <x:c r="P1333" s="24"/>
      <x:c r="Q1333" s="24" t="str">
        <x:v>DISPONÍVEL</x:v>
      </x:c>
      <x:c r="R1333" s="24"/>
      <x:c r="S1333" s="24" t="n">
        <x:v>25</x:v>
      </x:c>
      <x:c r="T1333" s="24" t="str">
        <x:v>tabela_rodenstock.pdf</x:v>
      </x:c>
      <x:c r="U1333" s="24" t="str">
        <x:v>Rodenstock|Controle de Miopia|Surfaçada|Rodenstock MyCon 2|ColorMatic® 3|1.6|1.60|Solitaire X-tra Clean|0 a -10|até -6||75|||25</x:v>
      </x:c>
    </x:row>
    <x:row r="1334">
      <x:c r="A1334" s="24" t="str">
        <x:v>RD-134E5B70DF2C</x:v>
      </x:c>
      <x:c r="B1334" s="24" t="str">
        <x:v>Rodenstock</x:v>
      </x:c>
      <x:c r="C1334" s="24" t="str">
        <x:v>Controle de Miopia</x:v>
      </x:c>
      <x:c r="D1334" s="24" t="str">
        <x:v>Surfaçada</x:v>
      </x:c>
      <x:c r="E1334" s="24" t="str">
        <x:v>Rodenstock MyCon 2</x:v>
      </x:c>
      <x:c r="F1334" s="24" t="str">
        <x:v>ColorMatic® 3</x:v>
      </x:c>
      <x:c r="G1334" s="24" t="str">
        <x:v>1.6</x:v>
      </x:c>
      <x:c r="H1334" s="24" t="str">
        <x:v>1.60</x:v>
      </x:c>
      <x:c r="I1334" s="24" t="str">
        <x:v>Solitaire 2 Protect Balance</x:v>
      </x:c>
      <x:c r="J1334" s="40" t="n">
        <x:v>3419</x:v>
      </x:c>
      <x:c r="K1334" s="24" t="str">
        <x:v>0 a -10</x:v>
      </x:c>
      <x:c r="L1334" s="24" t="str">
        <x:v>até -6</x:v>
      </x:c>
      <x:c r="M1334" s="24"/>
      <x:c r="N1334" s="24" t="str">
        <x:v>75</x:v>
      </x:c>
      <x:c r="O1334" s="24"/>
      <x:c r="P1334" s="24"/>
      <x:c r="Q1334" s="24" t="str">
        <x:v>DISPONÍVEL</x:v>
      </x:c>
      <x:c r="R1334" s="24"/>
      <x:c r="S1334" s="24" t="n">
        <x:v>25</x:v>
      </x:c>
      <x:c r="T1334" s="24" t="str">
        <x:v>tabela_rodenstock.pdf</x:v>
      </x:c>
      <x:c r="U1334" s="24" t="str">
        <x:v>Rodenstock|Controle de Miopia|Surfaçada|Rodenstock MyCon 2|ColorMatic® 3|1.6|1.60|Solitaire 2 Protect Balance|0 a -10|até -6||75|||25</x:v>
      </x:c>
    </x:row>
    <x:row r="1335">
      <x:c r="A1335" s="24" t="str">
        <x:v>RD-7DF2048CC0B1</x:v>
      </x:c>
      <x:c r="B1335" s="24" t="str">
        <x:v>Rodenstock</x:v>
      </x:c>
      <x:c r="C1335" s="24" t="str">
        <x:v>Controle de Miopia</x:v>
      </x:c>
      <x:c r="D1335" s="24" t="str">
        <x:v>Surfaçada</x:v>
      </x:c>
      <x:c r="E1335" s="24" t="str">
        <x:v>Rodenstock MyCon 2</x:v>
      </x:c>
      <x:c r="F1335" s="24" t="str">
        <x:v>ColorMatic® 3</x:v>
      </x:c>
      <x:c r="G1335" s="24" t="str">
        <x:v>1.6</x:v>
      </x:c>
      <x:c r="H1335" s="24" t="str">
        <x:v>1.60</x:v>
      </x:c>
      <x:c r="I1335" s="24" t="str">
        <x:v>Solitaire Protect Plus</x:v>
      </x:c>
      <x:c r="J1335" s="40" t="n">
        <x:v>3419</x:v>
      </x:c>
      <x:c r="K1335" s="24" t="str">
        <x:v>0 a -10</x:v>
      </x:c>
      <x:c r="L1335" s="24" t="str">
        <x:v>até -6</x:v>
      </x:c>
      <x:c r="M1335" s="24"/>
      <x:c r="N1335" s="24" t="str">
        <x:v>75</x:v>
      </x:c>
      <x:c r="O1335" s="24"/>
      <x:c r="P1335" s="24"/>
      <x:c r="Q1335" s="24" t="str">
        <x:v>DISPONÍVEL</x:v>
      </x:c>
      <x:c r="R1335" s="24"/>
      <x:c r="S1335" s="24" t="n">
        <x:v>25</x:v>
      </x:c>
      <x:c r="T1335" s="24" t="str">
        <x:v>tabela_rodenstock.pdf</x:v>
      </x:c>
      <x:c r="U1335" s="24" t="str">
        <x:v>Rodenstock|Controle de Miopia|Surfaçada|Rodenstock MyCon 2|ColorMatic® 3|1.6|1.60|Solitaire Protect Plus|0 a -10|até -6||75|||25</x:v>
      </x:c>
    </x:row>
    <x:row r="1336">
      <x:c r="A1336" s="24" t="str">
        <x:v>RD-83B8F2562EE5</x:v>
      </x:c>
      <x:c r="B1336" s="24" t="str">
        <x:v>Rodenstock</x:v>
      </x:c>
      <x:c r="C1336" s="24" t="str">
        <x:v>Controle de Miopia</x:v>
      </x:c>
      <x:c r="D1336" s="24" t="str">
        <x:v>Surfaçada</x:v>
      </x:c>
      <x:c r="E1336" s="24" t="str">
        <x:v>Rodenstock MyCon 2</x:v>
      </x:c>
      <x:c r="F1336" s="24" t="str">
        <x:v>ColorMatic® 3</x:v>
      </x:c>
      <x:c r="G1336" s="24" t="str">
        <x:v>1.6</x:v>
      </x:c>
      <x:c r="H1336" s="24" t="str">
        <x:v>1.60</x:v>
      </x:c>
      <x:c r="I1336" s="24" t="str">
        <x:v>Solitaire Protect</x:v>
      </x:c>
      <x:c r="J1336" s="40" t="n">
        <x:v>3159</x:v>
      </x:c>
      <x:c r="K1336" s="24" t="str">
        <x:v>0 a -10</x:v>
      </x:c>
      <x:c r="L1336" s="24" t="str">
        <x:v>até -6</x:v>
      </x:c>
      <x:c r="M1336" s="24"/>
      <x:c r="N1336" s="24" t="str">
        <x:v>75</x:v>
      </x:c>
      <x:c r="O1336" s="24"/>
      <x:c r="P1336" s="24"/>
      <x:c r="Q1336" s="24" t="str">
        <x:v>DISPONÍVEL</x:v>
      </x:c>
      <x:c r="R1336" s="24"/>
      <x:c r="S1336" s="24" t="n">
        <x:v>25</x:v>
      </x:c>
      <x:c r="T1336" s="24" t="str">
        <x:v>tabela_rodenstock.pdf</x:v>
      </x:c>
      <x:c r="U1336" s="24" t="str">
        <x:v>Rodenstock|Controle de Miopia|Surfaçada|Rodenstock MyCon 2|ColorMatic® 3|1.6|1.60|Solitaire Protect|0 a -10|até -6||75|||25</x:v>
      </x:c>
    </x:row>
    <x:row r="1337">
      <x:c r="A1337" s="24" t="str">
        <x:v>RD-DC31A626904D</x:v>
      </x:c>
      <x:c r="B1337" s="24" t="str">
        <x:v>Rodenstock</x:v>
      </x:c>
      <x:c r="C1337" s="24" t="str">
        <x:v>Controle de Miopia</x:v>
      </x:c>
      <x:c r="D1337" s="24" t="str">
        <x:v>Surfaçada</x:v>
      </x:c>
      <x:c r="E1337" s="24" t="str">
        <x:v>Rodenstock MyCon 2</x:v>
      </x:c>
      <x:c r="F1337" s="24" t="str">
        <x:v>ColorMatic® 3</x:v>
      </x:c>
      <x:c r="G1337" s="24" t="str">
        <x:v>1.6</x:v>
      </x:c>
      <x:c r="H1337" s="24" t="str">
        <x:v>1.60</x:v>
      </x:c>
      <x:c r="I1337" s="24" t="str">
        <x:v>Solitaire ECO 2</x:v>
      </x:c>
      <x:c r="J1337" s="40" t="n">
        <x:v>2679</x:v>
      </x:c>
      <x:c r="K1337" s="24" t="str">
        <x:v>0 a -10</x:v>
      </x:c>
      <x:c r="L1337" s="24" t="str">
        <x:v>até -6</x:v>
      </x:c>
      <x:c r="M1337" s="24"/>
      <x:c r="N1337" s="24" t="str">
        <x:v>75</x:v>
      </x:c>
      <x:c r="O1337" s="24"/>
      <x:c r="P1337" s="24"/>
      <x:c r="Q1337" s="24" t="str">
        <x:v>DISPONÍVEL</x:v>
      </x:c>
      <x:c r="R1337" s="24"/>
      <x:c r="S1337" s="24" t="n">
        <x:v>25</x:v>
      </x:c>
      <x:c r="T1337" s="24" t="str">
        <x:v>tabela_rodenstock.pdf</x:v>
      </x:c>
      <x:c r="U1337" s="24" t="str">
        <x:v>Rodenstock|Controle de Miopia|Surfaçada|Rodenstock MyCon 2|ColorMatic® 3|1.6|1.60|Solitaire ECO 2|0 a -10|até -6||75|||25</x:v>
      </x:c>
    </x:row>
    <x:row r="1338">
      <x:c r="A1338" s="24" t="str">
        <x:v>RD-6215DD60E5E3</x:v>
      </x:c>
      <x:c r="B1338" s="24" t="str">
        <x:v>Rodenstock</x:v>
      </x:c>
      <x:c r="C1338" s="24" t="str">
        <x:v>Controle de Miopia</x:v>
      </x:c>
      <x:c r="D1338" s="24" t="str">
        <x:v>Surfaçada</x:v>
      </x:c>
      <x:c r="E1338" s="24" t="str">
        <x:v>Rodenstock MyCon 2</x:v>
      </x:c>
      <x:c r="F1338" s="24"/>
      <x:c r="G1338" s="24" t="str">
        <x:v>1.67</x:v>
      </x:c>
      <x:c r="H1338" s="24" t="str">
        <x:v>1.67</x:v>
      </x:c>
      <x:c r="I1338" s="24" t="str">
        <x:v>Solitaire X-tra Clean</x:v>
      </x:c>
      <x:c r="J1338" s="40" t="n">
        <x:v>3139</x:v>
      </x:c>
      <x:c r="K1338" s="24" t="str">
        <x:v>0 a -12</x:v>
      </x:c>
      <x:c r="L1338" s="24" t="str">
        <x:v>até -6</x:v>
      </x:c>
      <x:c r="M1338" s="24"/>
      <x:c r="N1338" s="24" t="str">
        <x:v>75</x:v>
      </x:c>
      <x:c r="O1338" s="24"/>
      <x:c r="P1338" s="24"/>
      <x:c r="Q1338" s="24" t="str">
        <x:v>DISPONÍVEL</x:v>
      </x:c>
      <x:c r="R1338" s="24"/>
      <x:c r="S1338" s="24" t="n">
        <x:v>25</x:v>
      </x:c>
      <x:c r="T1338" s="24" t="str">
        <x:v>tabela_rodenstock.pdf</x:v>
      </x:c>
      <x:c r="U1338" s="24" t="str">
        <x:v>Rodenstock|Controle de Miopia|Surfaçada|Rodenstock MyCon 2||1.67|1.67|Solitaire X-tra Clean|0 a -12|até -6||75|||25</x:v>
      </x:c>
    </x:row>
    <x:row r="1339">
      <x:c r="A1339" s="24" t="str">
        <x:v>RD-07004C36E840</x:v>
      </x:c>
      <x:c r="B1339" s="24" t="str">
        <x:v>Rodenstock</x:v>
      </x:c>
      <x:c r="C1339" s="24" t="str">
        <x:v>Controle de Miopia</x:v>
      </x:c>
      <x:c r="D1339" s="24" t="str">
        <x:v>Surfaçada</x:v>
      </x:c>
      <x:c r="E1339" s="24" t="str">
        <x:v>Rodenstock MyCon 2</x:v>
      </x:c>
      <x:c r="F1339" s="24"/>
      <x:c r="G1339" s="24" t="str">
        <x:v>1.67</x:v>
      </x:c>
      <x:c r="H1339" s="24" t="str">
        <x:v>1.67</x:v>
      </x:c>
      <x:c r="I1339" s="24" t="str">
        <x:v>Solitaire 2 Protect Balance</x:v>
      </x:c>
      <x:c r="J1339" s="40" t="n">
        <x:v>3089</x:v>
      </x:c>
      <x:c r="K1339" s="24" t="str">
        <x:v>0 a -12</x:v>
      </x:c>
      <x:c r="L1339" s="24" t="str">
        <x:v>até -6</x:v>
      </x:c>
      <x:c r="M1339" s="24"/>
      <x:c r="N1339" s="24" t="str">
        <x:v>75</x:v>
      </x:c>
      <x:c r="O1339" s="24"/>
      <x:c r="P1339" s="24"/>
      <x:c r="Q1339" s="24" t="str">
        <x:v>DISPONÍVEL</x:v>
      </x:c>
      <x:c r="R1339" s="24"/>
      <x:c r="S1339" s="24" t="n">
        <x:v>25</x:v>
      </x:c>
      <x:c r="T1339" s="24" t="str">
        <x:v>tabela_rodenstock.pdf</x:v>
      </x:c>
      <x:c r="U1339" s="24" t="str">
        <x:v>Rodenstock|Controle de Miopia|Surfaçada|Rodenstock MyCon 2||1.67|1.67|Solitaire 2 Protect Balance|0 a -12|até -6||75|||25</x:v>
      </x:c>
    </x:row>
    <x:row r="1340">
      <x:c r="A1340" s="24" t="str">
        <x:v>RD-28C3246C2ADE</x:v>
      </x:c>
      <x:c r="B1340" s="24" t="str">
        <x:v>Rodenstock</x:v>
      </x:c>
      <x:c r="C1340" s="24" t="str">
        <x:v>Controle de Miopia</x:v>
      </x:c>
      <x:c r="D1340" s="24" t="str">
        <x:v>Surfaçada</x:v>
      </x:c>
      <x:c r="E1340" s="24" t="str">
        <x:v>Rodenstock MyCon 2</x:v>
      </x:c>
      <x:c r="F1340" s="24"/>
      <x:c r="G1340" s="24" t="str">
        <x:v>1.67</x:v>
      </x:c>
      <x:c r="H1340" s="24" t="str">
        <x:v>1.67</x:v>
      </x:c>
      <x:c r="I1340" s="24" t="str">
        <x:v>Solitaire Protect Plus</x:v>
      </x:c>
      <x:c r="J1340" s="40" t="n">
        <x:v>3089</x:v>
      </x:c>
      <x:c r="K1340" s="24" t="str">
        <x:v>0 a -12</x:v>
      </x:c>
      <x:c r="L1340" s="24" t="str">
        <x:v>até -6</x:v>
      </x:c>
      <x:c r="M1340" s="24"/>
      <x:c r="N1340" s="24" t="str">
        <x:v>75</x:v>
      </x:c>
      <x:c r="O1340" s="24"/>
      <x:c r="P1340" s="24"/>
      <x:c r="Q1340" s="24" t="str">
        <x:v>DISPONÍVEL</x:v>
      </x:c>
      <x:c r="R1340" s="24"/>
      <x:c r="S1340" s="24" t="n">
        <x:v>25</x:v>
      </x:c>
      <x:c r="T1340" s="24" t="str">
        <x:v>tabela_rodenstock.pdf</x:v>
      </x:c>
      <x:c r="U1340" s="24" t="str">
        <x:v>Rodenstock|Controle de Miopia|Surfaçada|Rodenstock MyCon 2||1.67|1.67|Solitaire Protect Plus|0 a -12|até -6||75|||25</x:v>
      </x:c>
    </x:row>
    <x:row r="1341">
      <x:c r="A1341" s="24" t="str">
        <x:v>RD-40FF87A14C55</x:v>
      </x:c>
      <x:c r="B1341" s="24" t="str">
        <x:v>Rodenstock</x:v>
      </x:c>
      <x:c r="C1341" s="24" t="str">
        <x:v>Controle de Miopia</x:v>
      </x:c>
      <x:c r="D1341" s="24" t="str">
        <x:v>Surfaçada</x:v>
      </x:c>
      <x:c r="E1341" s="24" t="str">
        <x:v>Rodenstock MyCon 2</x:v>
      </x:c>
      <x:c r="F1341" s="24"/>
      <x:c r="G1341" s="24" t="str">
        <x:v>1.67</x:v>
      </x:c>
      <x:c r="H1341" s="24" t="str">
        <x:v>1.67</x:v>
      </x:c>
      <x:c r="I1341" s="24" t="str">
        <x:v>Solitaire Protect</x:v>
      </x:c>
      <x:c r="J1341" s="40" t="n">
        <x:v>2829</x:v>
      </x:c>
      <x:c r="K1341" s="24" t="str">
        <x:v>0 a -12</x:v>
      </x:c>
      <x:c r="L1341" s="24" t="str">
        <x:v>até -6</x:v>
      </x:c>
      <x:c r="M1341" s="24"/>
      <x:c r="N1341" s="24" t="str">
        <x:v>75</x:v>
      </x:c>
      <x:c r="O1341" s="24"/>
      <x:c r="P1341" s="24"/>
      <x:c r="Q1341" s="24" t="str">
        <x:v>DISPONÍVEL</x:v>
      </x:c>
      <x:c r="R1341" s="24"/>
      <x:c r="S1341" s="24" t="n">
        <x:v>25</x:v>
      </x:c>
      <x:c r="T1341" s="24" t="str">
        <x:v>tabela_rodenstock.pdf</x:v>
      </x:c>
      <x:c r="U1341" s="24" t="str">
        <x:v>Rodenstock|Controle de Miopia|Surfaçada|Rodenstock MyCon 2||1.67|1.67|Solitaire Protect|0 a -12|até -6||75|||25</x:v>
      </x:c>
    </x:row>
    <x:row r="1342">
      <x:c r="A1342" s="24" t="str">
        <x:v>RD-ACC109C707D3</x:v>
      </x:c>
      <x:c r="B1342" s="24" t="str">
        <x:v>Rodenstock</x:v>
      </x:c>
      <x:c r="C1342" s="24" t="str">
        <x:v>Controle de Miopia</x:v>
      </x:c>
      <x:c r="D1342" s="24" t="str">
        <x:v>Surfaçada</x:v>
      </x:c>
      <x:c r="E1342" s="24" t="str">
        <x:v>Rodenstock MyCon 2</x:v>
      </x:c>
      <x:c r="F1342" s="24"/>
      <x:c r="G1342" s="24" t="str">
        <x:v>1.67</x:v>
      </x:c>
      <x:c r="H1342" s="24" t="str">
        <x:v>1.67</x:v>
      </x:c>
      <x:c r="I1342" s="24" t="str">
        <x:v>Solitaire ECO 2</x:v>
      </x:c>
      <x:c r="J1342" s="40" t="n">
        <x:v>2349</x:v>
      </x:c>
      <x:c r="K1342" s="24" t="str">
        <x:v>0 a -12</x:v>
      </x:c>
      <x:c r="L1342" s="24" t="str">
        <x:v>até -6</x:v>
      </x:c>
      <x:c r="M1342" s="24"/>
      <x:c r="N1342" s="24" t="str">
        <x:v>75</x:v>
      </x:c>
      <x:c r="O1342" s="24"/>
      <x:c r="P1342" s="24"/>
      <x:c r="Q1342" s="24" t="str">
        <x:v>DISPONÍVEL</x:v>
      </x:c>
      <x:c r="R1342" s="24"/>
      <x:c r="S1342" s="24" t="n">
        <x:v>25</x:v>
      </x:c>
      <x:c r="T1342" s="24" t="str">
        <x:v>tabela_rodenstock.pdf</x:v>
      </x:c>
      <x:c r="U1342" s="24" t="str">
        <x:v>Rodenstock|Controle de Miopia|Surfaçada|Rodenstock MyCon 2||1.67|1.67|Solitaire ECO 2|0 a -12|até -6||75|||25</x:v>
      </x:c>
    </x:row>
    <x:row r="1343">
      <x:c r="A1343" s="24" t="str">
        <x:v>RD-B8F576F3CD82</x:v>
      </x:c>
      <x:c r="B1343" s="24" t="str">
        <x:v>Rodenstock</x:v>
      </x:c>
      <x:c r="C1343" s="24" t="str">
        <x:v>Controle de Miopia</x:v>
      </x:c>
      <x:c r="D1343" s="24" t="str">
        <x:v>Surfaçada</x:v>
      </x:c>
      <x:c r="E1343" s="24" t="str">
        <x:v>Rodenstock MyCon 2</x:v>
      </x:c>
      <x:c r="F1343" s="24" t="str">
        <x:v>ColorMatic® 3</x:v>
      </x:c>
      <x:c r="G1343" s="24" t="str">
        <x:v>1.67</x:v>
      </x:c>
      <x:c r="H1343" s="24" t="str">
        <x:v>1.67</x:v>
      </x:c>
      <x:c r="I1343" s="24" t="str">
        <x:v>Solitaire X-tra Clean</x:v>
      </x:c>
      <x:c r="J1343" s="40" t="n">
        <x:v>3931</x:v>
      </x:c>
      <x:c r="K1343" s="24" t="str">
        <x:v>0 a -12</x:v>
      </x:c>
      <x:c r="L1343" s="24" t="str">
        <x:v>até -6</x:v>
      </x:c>
      <x:c r="M1343" s="24"/>
      <x:c r="N1343" s="24" t="str">
        <x:v>75</x:v>
      </x:c>
      <x:c r="O1343" s="24"/>
      <x:c r="P1343" s="24"/>
      <x:c r="Q1343" s="24" t="str">
        <x:v>DISPONÍVEL</x:v>
      </x:c>
      <x:c r="R1343" s="24"/>
      <x:c r="S1343" s="24" t="n">
        <x:v>25</x:v>
      </x:c>
      <x:c r="T1343" s="24" t="str">
        <x:v>tabela_rodenstock.pdf</x:v>
      </x:c>
      <x:c r="U1343" s="24" t="str">
        <x:v>Rodenstock|Controle de Miopia|Surfaçada|Rodenstock MyCon 2|ColorMatic® 3|1.67|1.67|Solitaire X-tra Clean|0 a -12|até -6||75|||25</x:v>
      </x:c>
    </x:row>
    <x:row r="1344">
      <x:c r="A1344" s="24" t="str">
        <x:v>RD-8CAA612309C0</x:v>
      </x:c>
      <x:c r="B1344" s="24" t="str">
        <x:v>Rodenstock</x:v>
      </x:c>
      <x:c r="C1344" s="24" t="str">
        <x:v>Controle de Miopia</x:v>
      </x:c>
      <x:c r="D1344" s="24" t="str">
        <x:v>Surfaçada</x:v>
      </x:c>
      <x:c r="E1344" s="24" t="str">
        <x:v>Rodenstock MyCon 2</x:v>
      </x:c>
      <x:c r="F1344" s="24" t="str">
        <x:v>ColorMatic® 3</x:v>
      </x:c>
      <x:c r="G1344" s="24" t="str">
        <x:v>1.67</x:v>
      </x:c>
      <x:c r="H1344" s="24" t="str">
        <x:v>1.67</x:v>
      </x:c>
      <x:c r="I1344" s="24" t="str">
        <x:v>Solitaire 2 Protect Balance</x:v>
      </x:c>
      <x:c r="J1344" s="40" t="n">
        <x:v>3881</x:v>
      </x:c>
      <x:c r="K1344" s="24" t="str">
        <x:v>0 a -12</x:v>
      </x:c>
      <x:c r="L1344" s="24" t="str">
        <x:v>até -6</x:v>
      </x:c>
      <x:c r="M1344" s="24"/>
      <x:c r="N1344" s="24" t="str">
        <x:v>75</x:v>
      </x:c>
      <x:c r="O1344" s="24"/>
      <x:c r="P1344" s="24"/>
      <x:c r="Q1344" s="24" t="str">
        <x:v>DISPONÍVEL</x:v>
      </x:c>
      <x:c r="R1344" s="24"/>
      <x:c r="S1344" s="24" t="n">
        <x:v>25</x:v>
      </x:c>
      <x:c r="T1344" s="24" t="str">
        <x:v>tabela_rodenstock.pdf</x:v>
      </x:c>
      <x:c r="U1344" s="24" t="str">
        <x:v>Rodenstock|Controle de Miopia|Surfaçada|Rodenstock MyCon 2|ColorMatic® 3|1.67|1.67|Solitaire 2 Protect Balance|0 a -12|até -6||75|||25</x:v>
      </x:c>
    </x:row>
    <x:row r="1345">
      <x:c r="A1345" s="24" t="str">
        <x:v>RD-1F3C613360D5</x:v>
      </x:c>
      <x:c r="B1345" s="24" t="str">
        <x:v>Rodenstock</x:v>
      </x:c>
      <x:c r="C1345" s="24" t="str">
        <x:v>Controle de Miopia</x:v>
      </x:c>
      <x:c r="D1345" s="24" t="str">
        <x:v>Surfaçada</x:v>
      </x:c>
      <x:c r="E1345" s="24" t="str">
        <x:v>Rodenstock MyCon 2</x:v>
      </x:c>
      <x:c r="F1345" s="24" t="str">
        <x:v>ColorMatic® 3</x:v>
      </x:c>
      <x:c r="G1345" s="24" t="str">
        <x:v>1.67</x:v>
      </x:c>
      <x:c r="H1345" s="24" t="str">
        <x:v>1.67</x:v>
      </x:c>
      <x:c r="I1345" s="24" t="str">
        <x:v>Solitaire Protect Plus</x:v>
      </x:c>
      <x:c r="J1345" s="40" t="n">
        <x:v>3881</x:v>
      </x:c>
      <x:c r="K1345" s="24" t="str">
        <x:v>0 a -12</x:v>
      </x:c>
      <x:c r="L1345" s="24" t="str">
        <x:v>até -6</x:v>
      </x:c>
      <x:c r="M1345" s="24"/>
      <x:c r="N1345" s="24" t="str">
        <x:v>75</x:v>
      </x:c>
      <x:c r="O1345" s="24"/>
      <x:c r="P1345" s="24"/>
      <x:c r="Q1345" s="24" t="str">
        <x:v>DISPONÍVEL</x:v>
      </x:c>
      <x:c r="R1345" s="24"/>
      <x:c r="S1345" s="24" t="n">
        <x:v>25</x:v>
      </x:c>
      <x:c r="T1345" s="24" t="str">
        <x:v>tabela_rodenstock.pdf</x:v>
      </x:c>
      <x:c r="U1345" s="24" t="str">
        <x:v>Rodenstock|Controle de Miopia|Surfaçada|Rodenstock MyCon 2|ColorMatic® 3|1.67|1.67|Solitaire Protect Plus|0 a -12|até -6||75|||25</x:v>
      </x:c>
    </x:row>
    <x:row r="1346">
      <x:c r="A1346" s="24" t="str">
        <x:v>RD-80B6627555B5</x:v>
      </x:c>
      <x:c r="B1346" s="24" t="str">
        <x:v>Rodenstock</x:v>
      </x:c>
      <x:c r="C1346" s="24" t="str">
        <x:v>Controle de Miopia</x:v>
      </x:c>
      <x:c r="D1346" s="24" t="str">
        <x:v>Surfaçada</x:v>
      </x:c>
      <x:c r="E1346" s="24" t="str">
        <x:v>Rodenstock MyCon 2</x:v>
      </x:c>
      <x:c r="F1346" s="24" t="str">
        <x:v>ColorMatic® 3</x:v>
      </x:c>
      <x:c r="G1346" s="24" t="str">
        <x:v>1.67</x:v>
      </x:c>
      <x:c r="H1346" s="24" t="str">
        <x:v>1.67</x:v>
      </x:c>
      <x:c r="I1346" s="24" t="str">
        <x:v>Solitaire Protect</x:v>
      </x:c>
      <x:c r="J1346" s="40" t="n">
        <x:v>3621</x:v>
      </x:c>
      <x:c r="K1346" s="24" t="str">
        <x:v>0 a -12</x:v>
      </x:c>
      <x:c r="L1346" s="24" t="str">
        <x:v>até -6</x:v>
      </x:c>
      <x:c r="M1346" s="24"/>
      <x:c r="N1346" s="24" t="str">
        <x:v>75</x:v>
      </x:c>
      <x:c r="O1346" s="24"/>
      <x:c r="P1346" s="24"/>
      <x:c r="Q1346" s="24" t="str">
        <x:v>DISPONÍVEL</x:v>
      </x:c>
      <x:c r="R1346" s="24"/>
      <x:c r="S1346" s="24" t="n">
        <x:v>25</x:v>
      </x:c>
      <x:c r="T1346" s="24" t="str">
        <x:v>tabela_rodenstock.pdf</x:v>
      </x:c>
      <x:c r="U1346" s="24" t="str">
        <x:v>Rodenstock|Controle de Miopia|Surfaçada|Rodenstock MyCon 2|ColorMatic® 3|1.67|1.67|Solitaire Protect|0 a -12|até -6||75|||25</x:v>
      </x:c>
    </x:row>
    <x:row r="1347">
      <x:c r="A1347" s="24" t="str">
        <x:v>RD-A0140CAF39D9</x:v>
      </x:c>
      <x:c r="B1347" s="24" t="str">
        <x:v>Rodenstock</x:v>
      </x:c>
      <x:c r="C1347" s="24" t="str">
        <x:v>Controle de Miopia</x:v>
      </x:c>
      <x:c r="D1347" s="24" t="str">
        <x:v>Surfaçada</x:v>
      </x:c>
      <x:c r="E1347" s="24" t="str">
        <x:v>Rodenstock MyCon 2</x:v>
      </x:c>
      <x:c r="F1347" s="24" t="str">
        <x:v>ColorMatic® 3</x:v>
      </x:c>
      <x:c r="G1347" s="24" t="str">
        <x:v>1.67</x:v>
      </x:c>
      <x:c r="H1347" s="24" t="str">
        <x:v>1.67</x:v>
      </x:c>
      <x:c r="I1347" s="24" t="str">
        <x:v>Solitaire ECO 2</x:v>
      </x:c>
      <x:c r="J1347" s="40" t="n">
        <x:v>3141</x:v>
      </x:c>
      <x:c r="K1347" s="24" t="str">
        <x:v>0 a -12</x:v>
      </x:c>
      <x:c r="L1347" s="24" t="str">
        <x:v>até -6</x:v>
      </x:c>
      <x:c r="M1347" s="24"/>
      <x:c r="N1347" s="24" t="str">
        <x:v>75</x:v>
      </x:c>
      <x:c r="O1347" s="24"/>
      <x:c r="P1347" s="24"/>
      <x:c r="Q1347" s="24" t="str">
        <x:v>DISPONÍVEL</x:v>
      </x:c>
      <x:c r="R1347" s="24"/>
      <x:c r="S1347" s="24" t="n">
        <x:v>25</x:v>
      </x:c>
      <x:c r="T1347" s="24" t="str">
        <x:v>tabela_rodenstock.pdf</x:v>
      </x:c>
      <x:c r="U1347" s="24" t="str">
        <x:v>Rodenstock|Controle de Miopia|Surfaçada|Rodenstock MyCon 2|ColorMatic® 3|1.67|1.67|Solitaire ECO 2|0 a -12|até -6||75|||25</x:v>
      </x:c>
    </x:row>
    <x:row r="1348">
      <x:c r="A1348" s="24" t="str">
        <x:v>ZS-AD2522715005</x:v>
      </x:c>
      <x:c r="B1348" s="24" t="str">
        <x:v>ZEISS</x:v>
      </x:c>
      <x:c r="C1348" s="24" t="str">
        <x:v>Visão Simples</x:v>
      </x:c>
      <x:c r="D1348" s="24" t="str">
        <x:v>Surfaçada</x:v>
      </x:c>
      <x:c r="E1348" s="24" t="str">
        <x:v>ClearMind Individual 3</x:v>
      </x:c>
      <x:c r="F1348" s="24"/>
      <x:c r="G1348" s="24" t="str">
        <x:v>1.5</x:v>
      </x:c>
      <x:c r="H1348" s="24" t="str">
        <x:v>1.50</x:v>
      </x:c>
      <x:c r="I1348" s="24" t="str">
        <x:v>DuraVision Gold UV</x:v>
      </x:c>
      <x:c r="J1348" s="40" t="n">
        <x:v>2877</x:v>
      </x:c>
      <x:c r="K1348" s="24" t="str">
        <x:v>-6.00 a +6.00</x:v>
      </x:c>
      <x:c r="L1348" s="24" t="str">
        <x:v>-4.00</x:v>
      </x:c>
      <x:c r="M1348" s="24" t="str">
        <x:v>-</x:v>
      </x:c>
      <x:c r="N1348" s="24" t="str">
        <x:v>75</x:v>
      </x:c>
      <x:c r="O1348" s="24"/>
      <x:c r="P1348" s="24"/>
      <x:c r="Q1348" s="24" t="str">
        <x:v>DISPONÍVEL</x:v>
      </x:c>
      <x:c r="R1348" s="24" t="str">
        <x:v>Programa de Parcerias ZEISS — categoria Experts</x:v>
      </x:c>
      <x:c r="S1348" s="24" t="n">
        <x:v>14</x:v>
      </x:c>
      <x:c r="T1348" s="24" t="str">
        <x:v>tabela_zeiss.pdf</x:v>
      </x:c>
      <x:c r="U1348" s="24" t="str">
        <x:v>ZEISS|Visão Simples|Surfaçada|ClearMind Individual 3||1.5|1.50|DuraVision Gold UV|-6.00 a +6.00|-4.00|-|75|||14</x:v>
      </x:c>
    </x:row>
    <x:row r="1349">
      <x:c r="A1349" s="24" t="str">
        <x:v>ZS-FBCA18A6F3AA</x:v>
      </x:c>
      <x:c r="B1349" s="24" t="str">
        <x:v>ZEISS</x:v>
      </x:c>
      <x:c r="C1349" s="24" t="str">
        <x:v>Visão Simples</x:v>
      </x:c>
      <x:c r="D1349" s="24" t="str">
        <x:v>Surfaçada</x:v>
      </x:c>
      <x:c r="E1349" s="24" t="str">
        <x:v>ClearMind Individual 3</x:v>
      </x:c>
      <x:c r="F1349" s="24"/>
      <x:c r="G1349" s="24" t="str">
        <x:v>1.5</x:v>
      </x:c>
      <x:c r="H1349" s="24" t="str">
        <x:v>1.50</x:v>
      </x:c>
      <x:c r="I1349" s="24" t="str">
        <x:v>DURAVISION® ANTIVÍRUS PLATINUM UV</x:v>
      </x:c>
      <x:c r="J1349" s="40" t="n">
        <x:v>2737</x:v>
      </x:c>
      <x:c r="K1349" s="24" t="str">
        <x:v>-6.00 a +6.00</x:v>
      </x:c>
      <x:c r="L1349" s="24" t="str">
        <x:v>-4.00</x:v>
      </x:c>
      <x:c r="M1349" s="24" t="str">
        <x:v>-</x:v>
      </x:c>
      <x:c r="N1349" s="24" t="str">
        <x:v>75</x:v>
      </x:c>
      <x:c r="O1349" s="24"/>
      <x:c r="P1349" s="24"/>
      <x:c r="Q1349" s="24" t="str">
        <x:v>DISPONÍVEL</x:v>
      </x:c>
      <x:c r="R1349" s="24" t="str">
        <x:v>Programa de Parcerias ZEISS — categoria Experts</x:v>
      </x:c>
      <x:c r="S1349" s="24" t="n">
        <x:v>14</x:v>
      </x:c>
      <x:c r="T1349" s="24" t="str">
        <x:v>tabela_zeiss.pdf</x:v>
      </x:c>
      <x:c r="U1349" s="24" t="str">
        <x:v>ZEISS|Visão Simples|Surfaçada|ClearMind Individual 3||1.5|1.50|DURAVISION® ANTIVÍRUS PLATINUM UV|-6.00 a +6.00|-4.00|-|75|||14</x:v>
      </x:c>
    </x:row>
    <x:row r="1350">
      <x:c r="A1350" s="24" t="str">
        <x:v>ZS-AE8FF4C001F9</x:v>
      </x:c>
      <x:c r="B1350" s="24" t="str">
        <x:v>ZEISS</x:v>
      </x:c>
      <x:c r="C1350" s="24" t="str">
        <x:v>Visão Simples</x:v>
      </x:c>
      <x:c r="D1350" s="24" t="str">
        <x:v>Surfaçada</x:v>
      </x:c>
      <x:c r="E1350" s="24" t="str">
        <x:v>ClearMind Individual 3</x:v>
      </x:c>
      <x:c r="F1350" s="24"/>
      <x:c r="G1350" s="24" t="str">
        <x:v>1.5</x:v>
      </x:c>
      <x:c r="H1350" s="24" t="str">
        <x:v>1.50</x:v>
      </x:c>
      <x:c r="I1350" s="24" t="str">
        <x:v>DuraVision Platinum UV</x:v>
      </x:c>
      <x:c r="J1350" s="40" t="n">
        <x:v>2737</x:v>
      </x:c>
      <x:c r="K1350" s="24" t="str">
        <x:v>-6.00 a +6.00</x:v>
      </x:c>
      <x:c r="L1350" s="24" t="str">
        <x:v>-4.00</x:v>
      </x:c>
      <x:c r="M1350" s="24" t="str">
        <x:v>-</x:v>
      </x:c>
      <x:c r="N1350" s="24" t="str">
        <x:v>75</x:v>
      </x:c>
      <x:c r="O1350" s="24"/>
      <x:c r="P1350" s="24"/>
      <x:c r="Q1350" s="24" t="str">
        <x:v>DISPONÍVEL</x:v>
      </x:c>
      <x:c r="R1350" s="24" t="str">
        <x:v>Programa de Parcerias ZEISS — categoria Experts</x:v>
      </x:c>
      <x:c r="S1350" s="24" t="n">
        <x:v>14</x:v>
      </x:c>
      <x:c r="T1350" s="24" t="str">
        <x:v>tabela_zeiss.pdf</x:v>
      </x:c>
      <x:c r="U1350" s="24" t="str">
        <x:v>ZEISS|Visão Simples|Surfaçada|ClearMind Individual 3||1.5|1.50|DuraVision Platinum UV|-6.00 a +6.00|-4.00|-|75|||14</x:v>
      </x:c>
    </x:row>
    <x:row r="1351">
      <x:c r="A1351" s="24" t="str">
        <x:v>ZS-CEEDC6416DDA</x:v>
      </x:c>
      <x:c r="B1351" s="24" t="str">
        <x:v>ZEISS</x:v>
      </x:c>
      <x:c r="C1351" s="24" t="str">
        <x:v>Visão Simples</x:v>
      </x:c>
      <x:c r="D1351" s="24" t="str">
        <x:v>Surfaçada</x:v>
      </x:c>
      <x:c r="E1351" s="24" t="str">
        <x:v>ClearMind Individual 3</x:v>
      </x:c>
      <x:c r="F1351" s="24"/>
      <x:c r="G1351" s="24" t="str">
        <x:v>1.5</x:v>
      </x:c>
      <x:c r="H1351" s="24" t="str">
        <x:v>1.50</x:v>
      </x:c>
      <x:c r="I1351" s="24" t="str">
        <x:v>DuraVision Silver UV</x:v>
      </x:c>
      <x:c r="J1351" s="40" t="n">
        <x:v>2477</x:v>
      </x:c>
      <x:c r="K1351" s="24" t="str">
        <x:v>-6.00 a +6.00</x:v>
      </x:c>
      <x:c r="L1351" s="24" t="str">
        <x:v>-4.00</x:v>
      </x:c>
      <x:c r="M1351" s="24" t="str">
        <x:v>-</x:v>
      </x:c>
      <x:c r="N1351" s="24" t="str">
        <x:v>75</x:v>
      </x:c>
      <x:c r="O1351" s="24"/>
      <x:c r="P1351" s="24"/>
      <x:c r="Q1351" s="24" t="str">
        <x:v>DISPONÍVEL</x:v>
      </x:c>
      <x:c r="R1351" s="24" t="str">
        <x:v>Programa de Parcerias ZEISS — categoria Experts</x:v>
      </x:c>
      <x:c r="S1351" s="24" t="n">
        <x:v>14</x:v>
      </x:c>
      <x:c r="T1351" s="24" t="str">
        <x:v>tabela_zeiss.pdf</x:v>
      </x:c>
      <x:c r="U1351" s="24" t="str">
        <x:v>ZEISS|Visão Simples|Surfaçada|ClearMind Individual 3||1.5|1.50|DuraVision Silver UV|-6.00 a +6.00|-4.00|-|75|||14</x:v>
      </x:c>
    </x:row>
    <x:row r="1352">
      <x:c r="A1352" s="24" t="str">
        <x:v>ZS-C5A0408533E8</x:v>
      </x:c>
      <x:c r="B1352" s="24" t="str">
        <x:v>ZEISS</x:v>
      </x:c>
      <x:c r="C1352" s="24" t="str">
        <x:v>Visão Simples</x:v>
      </x:c>
      <x:c r="D1352" s="24" t="str">
        <x:v>Surfaçada</x:v>
      </x:c>
      <x:c r="E1352" s="24" t="str">
        <x:v>ClearMind Individual 3</x:v>
      </x:c>
      <x:c r="F1352" s="24"/>
      <x:c r="G1352" s="24" t="str">
        <x:v>1.5</x:v>
      </x:c>
      <x:c r="H1352" s="24" t="str">
        <x:v>1.50</x:v>
      </x:c>
      <x:c r="I1352" s="24" t="str">
        <x:v>DuraVision Chrome UV</x:v>
      </x:c>
      <x:c r="J1352" s="40" t="n">
        <x:v>1987</x:v>
      </x:c>
      <x:c r="K1352" s="24" t="str">
        <x:v>-6.00 a +6.00</x:v>
      </x:c>
      <x:c r="L1352" s="24" t="str">
        <x:v>-4.00</x:v>
      </x:c>
      <x:c r="M1352" s="24" t="str">
        <x:v>-</x:v>
      </x:c>
      <x:c r="N1352" s="24" t="str">
        <x:v>75</x:v>
      </x:c>
      <x:c r="O1352" s="24"/>
      <x:c r="P1352" s="24"/>
      <x:c r="Q1352" s="24" t="str">
        <x:v>DISPONÍVEL</x:v>
      </x:c>
      <x:c r="R1352" s="24" t="str">
        <x:v>Programa de Parcerias ZEISS — categoria Experts</x:v>
      </x:c>
      <x:c r="S1352" s="24" t="n">
        <x:v>14</x:v>
      </x:c>
      <x:c r="T1352" s="24" t="str">
        <x:v>tabela_zeiss.pdf</x:v>
      </x:c>
      <x:c r="U1352" s="24" t="str">
        <x:v>ZEISS|Visão Simples|Surfaçada|ClearMind Individual 3||1.5|1.50|DuraVision Chrome UV|-6.00 a +6.00|-4.00|-|75|||14</x:v>
      </x:c>
    </x:row>
    <x:row r="1353">
      <x:c r="A1353" s="24" t="str">
        <x:v>ZS-8353C1F02943</x:v>
      </x:c>
      <x:c r="B1353" s="24" t="str">
        <x:v>ZEISS</x:v>
      </x:c>
      <x:c r="C1353" s="24" t="str">
        <x:v>Visão Simples</x:v>
      </x:c>
      <x:c r="D1353" s="24" t="str">
        <x:v>Surfaçada</x:v>
      </x:c>
      <x:c r="E1353" s="24" t="str">
        <x:v>ClearMind Individual 3</x:v>
      </x:c>
      <x:c r="F1353" s="24"/>
      <x:c r="G1353" s="24" t="str">
        <x:v>Poli</x:v>
      </x:c>
      <x:c r="H1353" s="24"/>
      <x:c r="I1353" s="24" t="str">
        <x:v>DuraVision Gold UV</x:v>
      </x:c>
      <x:c r="J1353" s="40" t="n">
        <x:v>3237</x:v>
      </x:c>
      <x:c r="K1353" s="24" t="str">
        <x:v>-10.00 a +8.00</x:v>
      </x:c>
      <x:c r="L1353" s="24" t="str">
        <x:v>-4.00</x:v>
      </x:c>
      <x:c r="M1353" s="24" t="str">
        <x:v>-</x:v>
      </x:c>
      <x:c r="N1353" s="24" t="str">
        <x:v>70</x:v>
      </x:c>
      <x:c r="O1353" s="24"/>
      <x:c r="P1353" s="24"/>
      <x:c r="Q1353" s="24" t="str">
        <x:v>DISPONÍVEL</x:v>
      </x:c>
      <x:c r="R1353" s="24" t="str">
        <x:v>Programa de Parcerias ZEISS — categoria Experts</x:v>
      </x:c>
      <x:c r="S1353" s="24" t="n">
        <x:v>14</x:v>
      </x:c>
      <x:c r="T1353" s="24" t="str">
        <x:v>tabela_zeiss.pdf</x:v>
      </x:c>
      <x:c r="U1353" s="24" t="str">
        <x:v>ZEISS|Visão Simples|Surfaçada|ClearMind Individual 3||Poli||DuraVision Gold UV|-10.00 a +8.00|-4.00|-|70|||14</x:v>
      </x:c>
    </x:row>
    <x:row r="1354">
      <x:c r="A1354" s="24" t="str">
        <x:v>ZS-D9374338563B</x:v>
      </x:c>
      <x:c r="B1354" s="24" t="str">
        <x:v>ZEISS</x:v>
      </x:c>
      <x:c r="C1354" s="24" t="str">
        <x:v>Visão Simples</x:v>
      </x:c>
      <x:c r="D1354" s="24" t="str">
        <x:v>Surfaçada</x:v>
      </x:c>
      <x:c r="E1354" s="24" t="str">
        <x:v>ClearMind Individual 3</x:v>
      </x:c>
      <x:c r="F1354" s="24"/>
      <x:c r="G1354" s="24" t="str">
        <x:v>Poli</x:v>
      </x:c>
      <x:c r="H1354" s="24"/>
      <x:c r="I1354" s="24" t="str">
        <x:v>DuraVision Platinum UV</x:v>
      </x:c>
      <x:c r="J1354" s="40" t="n">
        <x:v>3097</x:v>
      </x:c>
      <x:c r="K1354" s="24" t="str">
        <x:v>-10.00 a +8.00</x:v>
      </x:c>
      <x:c r="L1354" s="24" t="str">
        <x:v>-4.00</x:v>
      </x:c>
      <x:c r="M1354" s="24" t="str">
        <x:v>-</x:v>
      </x:c>
      <x:c r="N1354" s="24" t="str">
        <x:v>70</x:v>
      </x:c>
      <x:c r="O1354" s="24"/>
      <x:c r="P1354" s="24"/>
      <x:c r="Q1354" s="24" t="str">
        <x:v>DISPONÍVEL</x:v>
      </x:c>
      <x:c r="R1354" s="24" t="str">
        <x:v>Programa de Parcerias ZEISS — categoria Experts</x:v>
      </x:c>
      <x:c r="S1354" s="24" t="n">
        <x:v>14</x:v>
      </x:c>
      <x:c r="T1354" s="24" t="str">
        <x:v>tabela_zeiss.pdf</x:v>
      </x:c>
      <x:c r="U1354" s="24" t="str">
        <x:v>ZEISS|Visão Simples|Surfaçada|ClearMind Individual 3||Poli||DuraVision Platinum UV|-10.00 a +8.00|-4.00|-|70|||14</x:v>
      </x:c>
    </x:row>
    <x:row r="1355">
      <x:c r="A1355" s="24" t="str">
        <x:v>ZS-A665377CF0B0</x:v>
      </x:c>
      <x:c r="B1355" s="24" t="str">
        <x:v>ZEISS</x:v>
      </x:c>
      <x:c r="C1355" s="24" t="str">
        <x:v>Visão Simples</x:v>
      </x:c>
      <x:c r="D1355" s="24" t="str">
        <x:v>Surfaçada</x:v>
      </x:c>
      <x:c r="E1355" s="24" t="str">
        <x:v>ClearMind Individual 3</x:v>
      </x:c>
      <x:c r="F1355" s="24"/>
      <x:c r="G1355" s="24" t="str">
        <x:v>Poli</x:v>
      </x:c>
      <x:c r="H1355" s="24"/>
      <x:c r="I1355" s="24" t="str">
        <x:v>DuraVision Silver UV</x:v>
      </x:c>
      <x:c r="J1355" s="40" t="n">
        <x:v>2837</x:v>
      </x:c>
      <x:c r="K1355" s="24" t="str">
        <x:v>-10.00 a +8.00</x:v>
      </x:c>
      <x:c r="L1355" s="24" t="str">
        <x:v>-4.00</x:v>
      </x:c>
      <x:c r="M1355" s="24" t="str">
        <x:v>-</x:v>
      </x:c>
      <x:c r="N1355" s="24" t="str">
        <x:v>70</x:v>
      </x:c>
      <x:c r="O1355" s="24"/>
      <x:c r="P1355" s="24"/>
      <x:c r="Q1355" s="24" t="str">
        <x:v>DISPONÍVEL</x:v>
      </x:c>
      <x:c r="R1355" s="24" t="str">
        <x:v>Programa de Parcerias ZEISS — categoria Experts</x:v>
      </x:c>
      <x:c r="S1355" s="24" t="n">
        <x:v>14</x:v>
      </x:c>
      <x:c r="T1355" s="24" t="str">
        <x:v>tabela_zeiss.pdf</x:v>
      </x:c>
      <x:c r="U1355" s="24" t="str">
        <x:v>ZEISS|Visão Simples|Surfaçada|ClearMind Individual 3||Poli||DuraVision Silver UV|-10.00 a +8.00|-4.00|-|70|||14</x:v>
      </x:c>
    </x:row>
    <x:row r="1356">
      <x:c r="A1356" s="24" t="str">
        <x:v>ZS-8455A29DC034</x:v>
      </x:c>
      <x:c r="B1356" s="24" t="str">
        <x:v>ZEISS</x:v>
      </x:c>
      <x:c r="C1356" s="24" t="str">
        <x:v>Visão Simples</x:v>
      </x:c>
      <x:c r="D1356" s="24" t="str">
        <x:v>Surfaçada</x:v>
      </x:c>
      <x:c r="E1356" s="24" t="str">
        <x:v>ClearMind Individual 3</x:v>
      </x:c>
      <x:c r="F1356" s="24"/>
      <x:c r="G1356" s="24" t="str">
        <x:v>Poli</x:v>
      </x:c>
      <x:c r="H1356" s="24"/>
      <x:c r="I1356" s="24" t="str">
        <x:v>DuraVision Chrome UV</x:v>
      </x:c>
      <x:c r="J1356" s="40" t="n">
        <x:v>2347</x:v>
      </x:c>
      <x:c r="K1356" s="24" t="str">
        <x:v>-10.00 a +8.00</x:v>
      </x:c>
      <x:c r="L1356" s="24" t="str">
        <x:v>-4.00</x:v>
      </x:c>
      <x:c r="M1356" s="24" t="str">
        <x:v>-</x:v>
      </x:c>
      <x:c r="N1356" s="24" t="str">
        <x:v>70</x:v>
      </x:c>
      <x:c r="O1356" s="24"/>
      <x:c r="P1356" s="24"/>
      <x:c r="Q1356" s="24" t="str">
        <x:v>DISPONÍVEL</x:v>
      </x:c>
      <x:c r="R1356" s="24" t="str">
        <x:v>Programa de Parcerias ZEISS — categoria Experts</x:v>
      </x:c>
      <x:c r="S1356" s="24" t="n">
        <x:v>14</x:v>
      </x:c>
      <x:c r="T1356" s="24" t="str">
        <x:v>tabela_zeiss.pdf</x:v>
      </x:c>
      <x:c r="U1356" s="24" t="str">
        <x:v>ZEISS|Visão Simples|Surfaçada|ClearMind Individual 3||Poli||DuraVision Chrome UV|-10.00 a +8.00|-4.00|-|70|||14</x:v>
      </x:c>
    </x:row>
    <x:row r="1357">
      <x:c r="A1357" s="24" t="str">
        <x:v>ZS-435F86220D5D</x:v>
      </x:c>
      <x:c r="B1357" s="24" t="str">
        <x:v>ZEISS</x:v>
      </x:c>
      <x:c r="C1357" s="24" t="str">
        <x:v>Visão Simples</x:v>
      </x:c>
      <x:c r="D1357" s="24" t="str">
        <x:v>Surfaçada</x:v>
      </x:c>
      <x:c r="E1357" s="24" t="str">
        <x:v>ClearMind Individual 3</x:v>
      </x:c>
      <x:c r="F1357" s="24"/>
      <x:c r="G1357" s="24" t="str">
        <x:v>1.6</x:v>
      </x:c>
      <x:c r="H1357" s="24" t="str">
        <x:v>1.60</x:v>
      </x:c>
      <x:c r="I1357" s="24" t="str">
        <x:v>DuraVision Gold UV</x:v>
      </x:c>
      <x:c r="J1357" s="40" t="n">
        <x:v>3457</x:v>
      </x:c>
      <x:c r="K1357" s="24" t="str">
        <x:v>-6.00 a +6.00</x:v>
      </x:c>
      <x:c r="L1357" s="24" t="str">
        <x:v>-6.00</x:v>
      </x:c>
      <x:c r="M1357" s="24" t="str">
        <x:v>-</x:v>
      </x:c>
      <x:c r="N1357" s="24" t="str">
        <x:v>75</x:v>
      </x:c>
      <x:c r="O1357" s="24"/>
      <x:c r="P1357" s="24"/>
      <x:c r="Q1357" s="24" t="str">
        <x:v>DISPONÍVEL</x:v>
      </x:c>
      <x:c r="R1357" s="24" t="str">
        <x:v>Programa de Parcerias ZEISS — categoria Experts</x:v>
      </x:c>
      <x:c r="S1357" s="24" t="n">
        <x:v>14</x:v>
      </x:c>
      <x:c r="T1357" s="24" t="str">
        <x:v>tabela_zeiss.pdf</x:v>
      </x:c>
      <x:c r="U1357" s="24" t="str">
        <x:v>ZEISS|Visão Simples|Surfaçada|ClearMind Individual 3||1.6|1.60|DuraVision Gold UV|-6.00 a +6.00|-6.00|-|75|||14</x:v>
      </x:c>
    </x:row>
    <x:row r="1358">
      <x:c r="A1358" s="24" t="str">
        <x:v>ZS-C955C12EEDD6</x:v>
      </x:c>
      <x:c r="B1358" s="24" t="str">
        <x:v>ZEISS</x:v>
      </x:c>
      <x:c r="C1358" s="24" t="str">
        <x:v>Visão Simples</x:v>
      </x:c>
      <x:c r="D1358" s="24" t="str">
        <x:v>Surfaçada</x:v>
      </x:c>
      <x:c r="E1358" s="24" t="str">
        <x:v>ClearMind Individual 3</x:v>
      </x:c>
      <x:c r="F1358" s="24"/>
      <x:c r="G1358" s="24" t="str">
        <x:v>1.6</x:v>
      </x:c>
      <x:c r="H1358" s="24" t="str">
        <x:v>1.60</x:v>
      </x:c>
      <x:c r="I1358" s="24" t="str">
        <x:v>DURAVISION® ANTIVÍRUS PLATINUM UV</x:v>
      </x:c>
      <x:c r="J1358" s="40" t="n">
        <x:v>3317</x:v>
      </x:c>
      <x:c r="K1358" s="24" t="str">
        <x:v>-6.00 a +6.00</x:v>
      </x:c>
      <x:c r="L1358" s="24" t="str">
        <x:v>-6.00</x:v>
      </x:c>
      <x:c r="M1358" s="24" t="str">
        <x:v>-</x:v>
      </x:c>
      <x:c r="N1358" s="24" t="str">
        <x:v>75</x:v>
      </x:c>
      <x:c r="O1358" s="24"/>
      <x:c r="P1358" s="24"/>
      <x:c r="Q1358" s="24" t="str">
        <x:v>DISPONÍVEL</x:v>
      </x:c>
      <x:c r="R1358" s="24" t="str">
        <x:v>Programa de Parcerias ZEISS — categoria Experts</x:v>
      </x:c>
      <x:c r="S1358" s="24" t="n">
        <x:v>14</x:v>
      </x:c>
      <x:c r="T1358" s="24" t="str">
        <x:v>tabela_zeiss.pdf</x:v>
      </x:c>
      <x:c r="U1358" s="24" t="str">
        <x:v>ZEISS|Visão Simples|Surfaçada|ClearMind Individual 3||1.6|1.60|DURAVISION® ANTIVÍRUS PLATINUM UV|-6.00 a +6.00|-6.00|-|75|||14</x:v>
      </x:c>
    </x:row>
    <x:row r="1359">
      <x:c r="A1359" s="24" t="str">
        <x:v>ZS-77CAA84BFF26</x:v>
      </x:c>
      <x:c r="B1359" s="24" t="str">
        <x:v>ZEISS</x:v>
      </x:c>
      <x:c r="C1359" s="24" t="str">
        <x:v>Visão Simples</x:v>
      </x:c>
      <x:c r="D1359" s="24" t="str">
        <x:v>Surfaçada</x:v>
      </x:c>
      <x:c r="E1359" s="24" t="str">
        <x:v>ClearMind Individual 3</x:v>
      </x:c>
      <x:c r="F1359" s="24"/>
      <x:c r="G1359" s="24" t="str">
        <x:v>1.6</x:v>
      </x:c>
      <x:c r="H1359" s="24" t="str">
        <x:v>1.60</x:v>
      </x:c>
      <x:c r="I1359" s="24" t="str">
        <x:v>DuraVision Platinum UV</x:v>
      </x:c>
      <x:c r="J1359" s="40" t="n">
        <x:v>3317</x:v>
      </x:c>
      <x:c r="K1359" s="24" t="str">
        <x:v>-6.00 a +6.00</x:v>
      </x:c>
      <x:c r="L1359" s="24" t="str">
        <x:v>-6.00</x:v>
      </x:c>
      <x:c r="M1359" s="24" t="str">
        <x:v>-</x:v>
      </x:c>
      <x:c r="N1359" s="24" t="str">
        <x:v>75</x:v>
      </x:c>
      <x:c r="O1359" s="24"/>
      <x:c r="P1359" s="24"/>
      <x:c r="Q1359" s="24" t="str">
        <x:v>DISPONÍVEL</x:v>
      </x:c>
      <x:c r="R1359" s="24" t="str">
        <x:v>Programa de Parcerias ZEISS — categoria Experts</x:v>
      </x:c>
      <x:c r="S1359" s="24" t="n">
        <x:v>14</x:v>
      </x:c>
      <x:c r="T1359" s="24" t="str">
        <x:v>tabela_zeiss.pdf</x:v>
      </x:c>
      <x:c r="U1359" s="24" t="str">
        <x:v>ZEISS|Visão Simples|Surfaçada|ClearMind Individual 3||1.6|1.60|DuraVision Platinum UV|-6.00 a +6.00|-6.00|-|75|||14</x:v>
      </x:c>
    </x:row>
    <x:row r="1360">
      <x:c r="A1360" s="24" t="str">
        <x:v>ZS-DFF33A2133A2</x:v>
      </x:c>
      <x:c r="B1360" s="24" t="str">
        <x:v>ZEISS</x:v>
      </x:c>
      <x:c r="C1360" s="24" t="str">
        <x:v>Visão Simples</x:v>
      </x:c>
      <x:c r="D1360" s="24" t="str">
        <x:v>Surfaçada</x:v>
      </x:c>
      <x:c r="E1360" s="24" t="str">
        <x:v>ClearMind Individual 3</x:v>
      </x:c>
      <x:c r="F1360" s="24"/>
      <x:c r="G1360" s="24" t="str">
        <x:v>1.6</x:v>
      </x:c>
      <x:c r="H1360" s="24" t="str">
        <x:v>1.60</x:v>
      </x:c>
      <x:c r="I1360" s="24" t="str">
        <x:v>DuraVision Silver UV</x:v>
      </x:c>
      <x:c r="J1360" s="40" t="n">
        <x:v>3057</x:v>
      </x:c>
      <x:c r="K1360" s="24" t="str">
        <x:v>-6.00 a +6.00</x:v>
      </x:c>
      <x:c r="L1360" s="24" t="str">
        <x:v>-6.00</x:v>
      </x:c>
      <x:c r="M1360" s="24" t="str">
        <x:v>-</x:v>
      </x:c>
      <x:c r="N1360" s="24" t="str">
        <x:v>75</x:v>
      </x:c>
      <x:c r="O1360" s="24"/>
      <x:c r="P1360" s="24"/>
      <x:c r="Q1360" s="24" t="str">
        <x:v>DISPONÍVEL</x:v>
      </x:c>
      <x:c r="R1360" s="24" t="str">
        <x:v>Programa de Parcerias ZEISS — categoria Experts</x:v>
      </x:c>
      <x:c r="S1360" s="24" t="n">
        <x:v>14</x:v>
      </x:c>
      <x:c r="T1360" s="24" t="str">
        <x:v>tabela_zeiss.pdf</x:v>
      </x:c>
      <x:c r="U1360" s="24" t="str">
        <x:v>ZEISS|Visão Simples|Surfaçada|ClearMind Individual 3||1.6|1.60|DuraVision Silver UV|-6.00 a +6.00|-6.00|-|75|||14</x:v>
      </x:c>
    </x:row>
    <x:row r="1361">
      <x:c r="A1361" s="24" t="str">
        <x:v>ZS-24373A74372A</x:v>
      </x:c>
      <x:c r="B1361" s="24" t="str">
        <x:v>ZEISS</x:v>
      </x:c>
      <x:c r="C1361" s="24" t="str">
        <x:v>Visão Simples</x:v>
      </x:c>
      <x:c r="D1361" s="24" t="str">
        <x:v>Surfaçada</x:v>
      </x:c>
      <x:c r="E1361" s="24" t="str">
        <x:v>ClearMind Individual 3</x:v>
      </x:c>
      <x:c r="F1361" s="24"/>
      <x:c r="G1361" s="24" t="str">
        <x:v>1.6</x:v>
      </x:c>
      <x:c r="H1361" s="24" t="str">
        <x:v>1.60</x:v>
      </x:c>
      <x:c r="I1361" s="24" t="str">
        <x:v>DuraVision Chrome UV</x:v>
      </x:c>
      <x:c r="J1361" s="40" t="n">
        <x:v>2567</x:v>
      </x:c>
      <x:c r="K1361" s="24" t="str">
        <x:v>-6.00 a +6.00</x:v>
      </x:c>
      <x:c r="L1361" s="24" t="str">
        <x:v>-6.00</x:v>
      </x:c>
      <x:c r="M1361" s="24" t="str">
        <x:v>-</x:v>
      </x:c>
      <x:c r="N1361" s="24" t="str">
        <x:v>75</x:v>
      </x:c>
      <x:c r="O1361" s="24"/>
      <x:c r="P1361" s="24"/>
      <x:c r="Q1361" s="24" t="str">
        <x:v>DISPONÍVEL</x:v>
      </x:c>
      <x:c r="R1361" s="24" t="str">
        <x:v>Programa de Parcerias ZEISS — categoria Experts</x:v>
      </x:c>
      <x:c r="S1361" s="24" t="n">
        <x:v>14</x:v>
      </x:c>
      <x:c r="T1361" s="24" t="str">
        <x:v>tabela_zeiss.pdf</x:v>
      </x:c>
      <x:c r="U1361" s="24" t="str">
        <x:v>ZEISS|Visão Simples|Surfaçada|ClearMind Individual 3||1.6|1.60|DuraVision Chrome UV|-6.00 a +6.00|-6.00|-|75|||14</x:v>
      </x:c>
    </x:row>
    <x:row r="1362">
      <x:c r="A1362" s="24" t="str">
        <x:v>ZS-82A62F81F9E4</x:v>
      </x:c>
      <x:c r="B1362" s="24" t="str">
        <x:v>ZEISS</x:v>
      </x:c>
      <x:c r="C1362" s="24" t="str">
        <x:v>Visão Simples</x:v>
      </x:c>
      <x:c r="D1362" s="24" t="str">
        <x:v>Surfaçada</x:v>
      </x:c>
      <x:c r="E1362" s="24" t="str">
        <x:v>ClearMind Individual 3</x:v>
      </x:c>
      <x:c r="F1362" s="24"/>
      <x:c r="G1362" s="24" t="str">
        <x:v>1.67</x:v>
      </x:c>
      <x:c r="H1362" s="24" t="str">
        <x:v>1.67</x:v>
      </x:c>
      <x:c r="I1362" s="24" t="str">
        <x:v>DuraVision Gold UV</x:v>
      </x:c>
      <x:c r="J1362" s="40" t="n">
        <x:v>4757</x:v>
      </x:c>
      <x:c r="K1362" s="24" t="str">
        <x:v>-8.00 a +8.00</x:v>
      </x:c>
      <x:c r="L1362" s="24" t="str">
        <x:v>-6.00</x:v>
      </x:c>
      <x:c r="M1362" s="24" t="str">
        <x:v>-</x:v>
      </x:c>
      <x:c r="N1362" s="24" t="str">
        <x:v>70</x:v>
      </x:c>
      <x:c r="O1362" s="24"/>
      <x:c r="P1362" s="24"/>
      <x:c r="Q1362" s="24" t="str">
        <x:v>DISPONÍVEL</x:v>
      </x:c>
      <x:c r="R1362" s="24" t="str">
        <x:v>Programa de Parcerias ZEISS — categoria Experts</x:v>
      </x:c>
      <x:c r="S1362" s="24" t="n">
        <x:v>14</x:v>
      </x:c>
      <x:c r="T1362" s="24" t="str">
        <x:v>tabela_zeiss.pdf</x:v>
      </x:c>
      <x:c r="U1362" s="24" t="str">
        <x:v>ZEISS|Visão Simples|Surfaçada|ClearMind Individual 3||1.67|1.67|DuraVision Gold UV|-8.00 a +8.00|-6.00|-|70|||14</x:v>
      </x:c>
    </x:row>
    <x:row r="1363">
      <x:c r="A1363" s="24" t="str">
        <x:v>ZS-3B821773B4C1</x:v>
      </x:c>
      <x:c r="B1363" s="24" t="str">
        <x:v>ZEISS</x:v>
      </x:c>
      <x:c r="C1363" s="24" t="str">
        <x:v>Visão Simples</x:v>
      </x:c>
      <x:c r="D1363" s="24" t="str">
        <x:v>Surfaçada</x:v>
      </x:c>
      <x:c r="E1363" s="24" t="str">
        <x:v>ClearMind Individual 3</x:v>
      </x:c>
      <x:c r="F1363" s="24"/>
      <x:c r="G1363" s="24" t="str">
        <x:v>1.67</x:v>
      </x:c>
      <x:c r="H1363" s="24" t="str">
        <x:v>1.67</x:v>
      </x:c>
      <x:c r="I1363" s="24" t="str">
        <x:v>DURAVISION® ANTIVÍRUS PLATINUM UV</x:v>
      </x:c>
      <x:c r="J1363" s="40" t="n">
        <x:v>4617</x:v>
      </x:c>
      <x:c r="K1363" s="24" t="str">
        <x:v>-8.00 a +8.00</x:v>
      </x:c>
      <x:c r="L1363" s="24" t="str">
        <x:v>-6.00</x:v>
      </x:c>
      <x:c r="M1363" s="24" t="str">
        <x:v>-</x:v>
      </x:c>
      <x:c r="N1363" s="24" t="str">
        <x:v>70</x:v>
      </x:c>
      <x:c r="O1363" s="24"/>
      <x:c r="P1363" s="24"/>
      <x:c r="Q1363" s="24" t="str">
        <x:v>DISPONÍVEL</x:v>
      </x:c>
      <x:c r="R1363" s="24" t="str">
        <x:v>Programa de Parcerias ZEISS — categoria Experts</x:v>
      </x:c>
      <x:c r="S1363" s="24" t="n">
        <x:v>14</x:v>
      </x:c>
      <x:c r="T1363" s="24" t="str">
        <x:v>tabela_zeiss.pdf</x:v>
      </x:c>
      <x:c r="U1363" s="24" t="str">
        <x:v>ZEISS|Visão Simples|Surfaçada|ClearMind Individual 3||1.67|1.67|DURAVISION® ANTIVÍRUS PLATINUM UV|-8.00 a +8.00|-6.00|-|70|||14</x:v>
      </x:c>
    </x:row>
    <x:row r="1364">
      <x:c r="A1364" s="24" t="str">
        <x:v>ZS-EC52770ADEBD</x:v>
      </x:c>
      <x:c r="B1364" s="24" t="str">
        <x:v>ZEISS</x:v>
      </x:c>
      <x:c r="C1364" s="24" t="str">
        <x:v>Visão Simples</x:v>
      </x:c>
      <x:c r="D1364" s="24" t="str">
        <x:v>Surfaçada</x:v>
      </x:c>
      <x:c r="E1364" s="24" t="str">
        <x:v>ClearMind Individual 3</x:v>
      </x:c>
      <x:c r="F1364" s="24"/>
      <x:c r="G1364" s="24" t="str">
        <x:v>1.67</x:v>
      </x:c>
      <x:c r="H1364" s="24" t="str">
        <x:v>1.67</x:v>
      </x:c>
      <x:c r="I1364" s="24" t="str">
        <x:v>DuraVision Platinum UV</x:v>
      </x:c>
      <x:c r="J1364" s="40" t="n">
        <x:v>4617</x:v>
      </x:c>
      <x:c r="K1364" s="24" t="str">
        <x:v>-8.00 a +8.00</x:v>
      </x:c>
      <x:c r="L1364" s="24" t="str">
        <x:v>-6.00</x:v>
      </x:c>
      <x:c r="M1364" s="24" t="str">
        <x:v>-</x:v>
      </x:c>
      <x:c r="N1364" s="24" t="str">
        <x:v>70</x:v>
      </x:c>
      <x:c r="O1364" s="24"/>
      <x:c r="P1364" s="24"/>
      <x:c r="Q1364" s="24" t="str">
        <x:v>DISPONÍVEL</x:v>
      </x:c>
      <x:c r="R1364" s="24" t="str">
        <x:v>Programa de Parcerias ZEISS — categoria Experts</x:v>
      </x:c>
      <x:c r="S1364" s="24" t="n">
        <x:v>14</x:v>
      </x:c>
      <x:c r="T1364" s="24" t="str">
        <x:v>tabela_zeiss.pdf</x:v>
      </x:c>
      <x:c r="U1364" s="24" t="str">
        <x:v>ZEISS|Visão Simples|Surfaçada|ClearMind Individual 3||1.67|1.67|DuraVision Platinum UV|-8.00 a +8.00|-6.00|-|70|||14</x:v>
      </x:c>
    </x:row>
    <x:row r="1365">
      <x:c r="A1365" s="24" t="str">
        <x:v>ZS-0D952268ECE0</x:v>
      </x:c>
      <x:c r="B1365" s="24" t="str">
        <x:v>ZEISS</x:v>
      </x:c>
      <x:c r="C1365" s="24" t="str">
        <x:v>Visão Simples</x:v>
      </x:c>
      <x:c r="D1365" s="24" t="str">
        <x:v>Surfaçada</x:v>
      </x:c>
      <x:c r="E1365" s="24" t="str">
        <x:v>ClearMind Individual 3</x:v>
      </x:c>
      <x:c r="F1365" s="24"/>
      <x:c r="G1365" s="24" t="str">
        <x:v>1.67</x:v>
      </x:c>
      <x:c r="H1365" s="24" t="str">
        <x:v>1.67</x:v>
      </x:c>
      <x:c r="I1365" s="24" t="str">
        <x:v>DuraVision Silver UV</x:v>
      </x:c>
      <x:c r="J1365" s="40" t="n">
        <x:v>4357</x:v>
      </x:c>
      <x:c r="K1365" s="24" t="str">
        <x:v>-8.00 a +8.00</x:v>
      </x:c>
      <x:c r="L1365" s="24" t="str">
        <x:v>-6.00</x:v>
      </x:c>
      <x:c r="M1365" s="24" t="str">
        <x:v>-</x:v>
      </x:c>
      <x:c r="N1365" s="24" t="str">
        <x:v>70</x:v>
      </x:c>
      <x:c r="O1365" s="24"/>
      <x:c r="P1365" s="24"/>
      <x:c r="Q1365" s="24" t="str">
        <x:v>DISPONÍVEL</x:v>
      </x:c>
      <x:c r="R1365" s="24" t="str">
        <x:v>Programa de Parcerias ZEISS — categoria Experts</x:v>
      </x:c>
      <x:c r="S1365" s="24" t="n">
        <x:v>14</x:v>
      </x:c>
      <x:c r="T1365" s="24" t="str">
        <x:v>tabela_zeiss.pdf</x:v>
      </x:c>
      <x:c r="U1365" s="24" t="str">
        <x:v>ZEISS|Visão Simples|Surfaçada|ClearMind Individual 3||1.67|1.67|DuraVision Silver UV|-8.00 a +8.00|-6.00|-|70|||14</x:v>
      </x:c>
    </x:row>
    <x:row r="1366">
      <x:c r="A1366" s="24" t="str">
        <x:v>ZS-6C9CC9C8DEDE</x:v>
      </x:c>
      <x:c r="B1366" s="24" t="str">
        <x:v>ZEISS</x:v>
      </x:c>
      <x:c r="C1366" s="24" t="str">
        <x:v>Visão Simples</x:v>
      </x:c>
      <x:c r="D1366" s="24" t="str">
        <x:v>Surfaçada</x:v>
      </x:c>
      <x:c r="E1366" s="24" t="str">
        <x:v>ClearMind Individual 3</x:v>
      </x:c>
      <x:c r="F1366" s="24"/>
      <x:c r="G1366" s="24" t="str">
        <x:v>1.67</x:v>
      </x:c>
      <x:c r="H1366" s="24" t="str">
        <x:v>1.67</x:v>
      </x:c>
      <x:c r="I1366" s="24" t="str">
        <x:v>DuraVision Chrome UV</x:v>
      </x:c>
      <x:c r="J1366" s="40" t="n">
        <x:v>3867</x:v>
      </x:c>
      <x:c r="K1366" s="24" t="str">
        <x:v>-8.00 a +8.00</x:v>
      </x:c>
      <x:c r="L1366" s="24" t="str">
        <x:v>-6.00</x:v>
      </x:c>
      <x:c r="M1366" s="24" t="str">
        <x:v>-</x:v>
      </x:c>
      <x:c r="N1366" s="24" t="str">
        <x:v>70</x:v>
      </x:c>
      <x:c r="O1366" s="24"/>
      <x:c r="P1366" s="24"/>
      <x:c r="Q1366" s="24" t="str">
        <x:v>DISPONÍVEL</x:v>
      </x:c>
      <x:c r="R1366" s="24" t="str">
        <x:v>Programa de Parcerias ZEISS — categoria Experts</x:v>
      </x:c>
      <x:c r="S1366" s="24" t="n">
        <x:v>14</x:v>
      </x:c>
      <x:c r="T1366" s="24" t="str">
        <x:v>tabela_zeiss.pdf</x:v>
      </x:c>
      <x:c r="U1366" s="24" t="str">
        <x:v>ZEISS|Visão Simples|Surfaçada|ClearMind Individual 3||1.67|1.67|DuraVision Chrome UV|-8.00 a +8.00|-6.00|-|70|||14</x:v>
      </x:c>
    </x:row>
    <x:row r="1367">
      <x:c r="A1367" s="24" t="str">
        <x:v>ZS-5CC1EEA7205D</x:v>
      </x:c>
      <x:c r="B1367" s="24" t="str">
        <x:v>ZEISS</x:v>
      </x:c>
      <x:c r="C1367" s="24" t="str">
        <x:v>Visão Simples</x:v>
      </x:c>
      <x:c r="D1367" s="24" t="str">
        <x:v>Surfaçada</x:v>
      </x:c>
      <x:c r="E1367" s="24" t="str">
        <x:v>ClearMind Individual 3</x:v>
      </x:c>
      <x:c r="F1367" s="24"/>
      <x:c r="G1367" s="24" t="str">
        <x:v>1.74</x:v>
      </x:c>
      <x:c r="H1367" s="24" t="str">
        <x:v>1.74</x:v>
      </x:c>
      <x:c r="I1367" s="24" t="str">
        <x:v>DuraVision Gold UV</x:v>
      </x:c>
      <x:c r="J1367" s="40" t="n">
        <x:v>5067</x:v>
      </x:c>
      <x:c r="K1367" s="24" t="str">
        <x:v>-10.00 a +6.00</x:v>
      </x:c>
      <x:c r="L1367" s="24" t="str">
        <x:v>-6.00</x:v>
      </x:c>
      <x:c r="M1367" s="24" t="str">
        <x:v>-</x:v>
      </x:c>
      <x:c r="N1367" s="24" t="str">
        <x:v>70 a 75</x:v>
      </x:c>
      <x:c r="O1367" s="24"/>
      <x:c r="P1367" s="24"/>
      <x:c r="Q1367" s="24" t="str">
        <x:v>DISPONÍVEL</x:v>
      </x:c>
      <x:c r="R1367" s="24" t="str">
        <x:v>Programa de Parcerias ZEISS — categoria Experts</x:v>
      </x:c>
      <x:c r="S1367" s="24" t="n">
        <x:v>14</x:v>
      </x:c>
      <x:c r="T1367" s="24" t="str">
        <x:v>tabela_zeiss.pdf</x:v>
      </x:c>
      <x:c r="U1367" s="24" t="str">
        <x:v>ZEISS|Visão Simples|Surfaçada|ClearMind Individual 3||1.74|1.74|DuraVision Gold UV|-10.00 a +6.00|-6.00|-|70 a 75|||14</x:v>
      </x:c>
    </x:row>
    <x:row r="1368">
      <x:c r="A1368" s="24" t="str">
        <x:v>ZS-9F58EDB72514</x:v>
      </x:c>
      <x:c r="B1368" s="24" t="str">
        <x:v>ZEISS</x:v>
      </x:c>
      <x:c r="C1368" s="24" t="str">
        <x:v>Visão Simples</x:v>
      </x:c>
      <x:c r="D1368" s="24" t="str">
        <x:v>Surfaçada</x:v>
      </x:c>
      <x:c r="E1368" s="24" t="str">
        <x:v>ClearMind Individual 3</x:v>
      </x:c>
      <x:c r="F1368" s="24"/>
      <x:c r="G1368" s="24" t="str">
        <x:v>1.74</x:v>
      </x:c>
      <x:c r="H1368" s="24" t="str">
        <x:v>1.74</x:v>
      </x:c>
      <x:c r="I1368" s="24" t="str">
        <x:v>DuraVision Platinum UV</x:v>
      </x:c>
      <x:c r="J1368" s="40" t="n">
        <x:v>4927</x:v>
      </x:c>
      <x:c r="K1368" s="24" t="str">
        <x:v>-10.00 a +6.00</x:v>
      </x:c>
      <x:c r="L1368" s="24" t="str">
        <x:v>-6.00</x:v>
      </x:c>
      <x:c r="M1368" s="24" t="str">
        <x:v>-</x:v>
      </x:c>
      <x:c r="N1368" s="24" t="str">
        <x:v>70 a 75</x:v>
      </x:c>
      <x:c r="O1368" s="24"/>
      <x:c r="P1368" s="24"/>
      <x:c r="Q1368" s="24" t="str">
        <x:v>DISPONÍVEL</x:v>
      </x:c>
      <x:c r="R1368" s="24" t="str">
        <x:v>Programa de Parcerias ZEISS — categoria Experts</x:v>
      </x:c>
      <x:c r="S1368" s="24" t="n">
        <x:v>14</x:v>
      </x:c>
      <x:c r="T1368" s="24" t="str">
        <x:v>tabela_zeiss.pdf</x:v>
      </x:c>
      <x:c r="U1368" s="24" t="str">
        <x:v>ZEISS|Visão Simples|Surfaçada|ClearMind Individual 3||1.74|1.74|DuraVision Platinum UV|-10.00 a +6.00|-6.00|-|70 a 75|||14</x:v>
      </x:c>
    </x:row>
    <x:row r="1369">
      <x:c r="A1369" s="24" t="str">
        <x:v>ZS-7990CE9FB1AB</x:v>
      </x:c>
      <x:c r="B1369" s="24" t="str">
        <x:v>ZEISS</x:v>
      </x:c>
      <x:c r="C1369" s="24" t="str">
        <x:v>Visão Simples</x:v>
      </x:c>
      <x:c r="D1369" s="24" t="str">
        <x:v>Surfaçada</x:v>
      </x:c>
      <x:c r="E1369" s="24" t="str">
        <x:v>ClearMind Individual 3</x:v>
      </x:c>
      <x:c r="F1369" s="24"/>
      <x:c r="G1369" s="24" t="str">
        <x:v>1.74</x:v>
      </x:c>
      <x:c r="H1369" s="24" t="str">
        <x:v>1.74</x:v>
      </x:c>
      <x:c r="I1369" s="24" t="str">
        <x:v>DuraVision Silver UV</x:v>
      </x:c>
      <x:c r="J1369" s="40" t="n">
        <x:v>4667</x:v>
      </x:c>
      <x:c r="K1369" s="24" t="str">
        <x:v>-10.00 a +6.00</x:v>
      </x:c>
      <x:c r="L1369" s="24" t="str">
        <x:v>-6.00</x:v>
      </x:c>
      <x:c r="M1369" s="24" t="str">
        <x:v>-</x:v>
      </x:c>
      <x:c r="N1369" s="24" t="str">
        <x:v>70 a 75</x:v>
      </x:c>
      <x:c r="O1369" s="24"/>
      <x:c r="P1369" s="24"/>
      <x:c r="Q1369" s="24" t="str">
        <x:v>DISPONÍVEL</x:v>
      </x:c>
      <x:c r="R1369" s="24" t="str">
        <x:v>Programa de Parcerias ZEISS — categoria Experts</x:v>
      </x:c>
      <x:c r="S1369" s="24" t="n">
        <x:v>14</x:v>
      </x:c>
      <x:c r="T1369" s="24" t="str">
        <x:v>tabela_zeiss.pdf</x:v>
      </x:c>
      <x:c r="U1369" s="24" t="str">
        <x:v>ZEISS|Visão Simples|Surfaçada|ClearMind Individual 3||1.74|1.74|DuraVision Silver UV|-10.00 a +6.00|-6.00|-|70 a 75|||14</x:v>
      </x:c>
    </x:row>
    <x:row r="1370">
      <x:c r="A1370" s="24" t="str">
        <x:v>ZS-2A620FC75B92</x:v>
      </x:c>
      <x:c r="B1370" s="24" t="str">
        <x:v>ZEISS</x:v>
      </x:c>
      <x:c r="C1370" s="24" t="str">
        <x:v>Visão Simples</x:v>
      </x:c>
      <x:c r="D1370" s="24" t="str">
        <x:v>Surfaçada</x:v>
      </x:c>
      <x:c r="E1370" s="24" t="str">
        <x:v>ClearMind Individual 3</x:v>
      </x:c>
      <x:c r="F1370" s="24"/>
      <x:c r="G1370" s="24" t="str">
        <x:v>1.74</x:v>
      </x:c>
      <x:c r="H1370" s="24" t="str">
        <x:v>1.74</x:v>
      </x:c>
      <x:c r="I1370" s="24" t="str">
        <x:v>DuraVision Chrome UV</x:v>
      </x:c>
      <x:c r="J1370" s="40" t="n">
        <x:v>4177</x:v>
      </x:c>
      <x:c r="K1370" s="24" t="str">
        <x:v>-10.00 a +6.00</x:v>
      </x:c>
      <x:c r="L1370" s="24" t="str">
        <x:v>-6.00</x:v>
      </x:c>
      <x:c r="M1370" s="24" t="str">
        <x:v>-</x:v>
      </x:c>
      <x:c r="N1370" s="24" t="str">
        <x:v>70 a 75</x:v>
      </x:c>
      <x:c r="O1370" s="24"/>
      <x:c r="P1370" s="24"/>
      <x:c r="Q1370" s="24" t="str">
        <x:v>DISPONÍVEL</x:v>
      </x:c>
      <x:c r="R1370" s="24" t="str">
        <x:v>Programa de Parcerias ZEISS — categoria Experts</x:v>
      </x:c>
      <x:c r="S1370" s="24" t="n">
        <x:v>14</x:v>
      </x:c>
      <x:c r="T1370" s="24" t="str">
        <x:v>tabela_zeiss.pdf</x:v>
      </x:c>
      <x:c r="U1370" s="24" t="str">
        <x:v>ZEISS|Visão Simples|Surfaçada|ClearMind Individual 3||1.74|1.74|DuraVision Chrome UV|-10.00 a +6.00|-6.00|-|70 a 75|||14</x:v>
      </x:c>
    </x:row>
    <x:row r="1371">
      <x:c r="A1371" s="24" t="str">
        <x:v>ZS-9CCB4B1B58B2</x:v>
      </x:c>
      <x:c r="B1371" s="24" t="str">
        <x:v>ZEISS</x:v>
      </x:c>
      <x:c r="C1371" s="24" t="str">
        <x:v>Visão Simples</x:v>
      </x:c>
      <x:c r="D1371" s="24" t="str">
        <x:v>Surfaçada</x:v>
      </x:c>
      <x:c r="E1371" s="24" t="str">
        <x:v>ClearMind Individual 3</x:v>
      </x:c>
      <x:c r="F1371" s="24" t="str">
        <x:v>PhotoFusion X</x:v>
      </x:c>
      <x:c r="G1371" s="24" t="str">
        <x:v>1.5</x:v>
      </x:c>
      <x:c r="H1371" s="24" t="str">
        <x:v>1.50</x:v>
      </x:c>
      <x:c r="I1371" s="24" t="str">
        <x:v>DuraVision Gold UV</x:v>
      </x:c>
      <x:c r="J1371" s="40" t="n">
        <x:v>3967</x:v>
      </x:c>
      <x:c r="K1371" s="24" t="str">
        <x:v>-6.00 a +6.00</x:v>
      </x:c>
      <x:c r="L1371" s="24" t="str">
        <x:v>-4.00</x:v>
      </x:c>
      <x:c r="M1371" s="24" t="str">
        <x:v>-</x:v>
      </x:c>
      <x:c r="N1371" s="24" t="str">
        <x:v>75</x:v>
      </x:c>
      <x:c r="O1371" s="24"/>
      <x:c r="P1371" s="24"/>
      <x:c r="Q1371" s="24" t="str">
        <x:v>DISPONÍVEL</x:v>
      </x:c>
      <x:c r="R1371" s="24" t="str">
        <x:v>Programa de Parcerias ZEISS — categoria Experts; Programa de Parcerias ZEISS</x:v>
      </x:c>
      <x:c r="S1371" s="24" t="n">
        <x:v>14</x:v>
      </x:c>
      <x:c r="T1371" s="24" t="str">
        <x:v>tabela_zeiss.pdf</x:v>
      </x:c>
      <x:c r="U1371" s="24" t="str">
        <x:v>ZEISS|Visão Simples|Surfaçada|ClearMind Individual 3|PhotoFusion X|1.5|1.50|DuraVision Gold UV|-6.00 a +6.00|-4.00|-|75|||14</x:v>
      </x:c>
    </x:row>
    <x:row r="1372">
      <x:c r="A1372" s="24" t="str">
        <x:v>ZS-47D592CF0699</x:v>
      </x:c>
      <x:c r="B1372" s="24" t="str">
        <x:v>ZEISS</x:v>
      </x:c>
      <x:c r="C1372" s="24" t="str">
        <x:v>Visão Simples</x:v>
      </x:c>
      <x:c r="D1372" s="24" t="str">
        <x:v>Surfaçada</x:v>
      </x:c>
      <x:c r="E1372" s="24" t="str">
        <x:v>ClearMind Individual 3</x:v>
      </x:c>
      <x:c r="F1372" s="24" t="str">
        <x:v>PhotoFusion X</x:v>
      </x:c>
      <x:c r="G1372" s="24" t="str">
        <x:v>1.5</x:v>
      </x:c>
      <x:c r="H1372" s="24" t="str">
        <x:v>1.50</x:v>
      </x:c>
      <x:c r="I1372" s="24" t="str">
        <x:v>DURAVISION® ANTIVÍRUS PLATINUM UV</x:v>
      </x:c>
      <x:c r="J1372" s="40" t="n">
        <x:v>3827</x:v>
      </x:c>
      <x:c r="K1372" s="24" t="str">
        <x:v>-6.00 a +6.00</x:v>
      </x:c>
      <x:c r="L1372" s="24" t="str">
        <x:v>-4.00</x:v>
      </x:c>
      <x:c r="M1372" s="24" t="str">
        <x:v>-</x:v>
      </x:c>
      <x:c r="N1372" s="24" t="str">
        <x:v>75</x:v>
      </x:c>
      <x:c r="O1372" s="24"/>
      <x:c r="P1372" s="24"/>
      <x:c r="Q1372" s="24" t="str">
        <x:v>DISPONÍVEL</x:v>
      </x:c>
      <x:c r="R1372" s="24" t="str">
        <x:v>Programa de Parcerias ZEISS — categoria Experts; Programa de Parcerias ZEISS</x:v>
      </x:c>
      <x:c r="S1372" s="24" t="n">
        <x:v>14</x:v>
      </x:c>
      <x:c r="T1372" s="24" t="str">
        <x:v>tabela_zeiss.pdf</x:v>
      </x:c>
      <x:c r="U1372" s="24" t="str">
        <x:v>ZEISS|Visão Simples|Surfaçada|ClearMind Individual 3|PhotoFusion X|1.5|1.50|DURAVISION® ANTIVÍRUS PLATINUM UV|-6.00 a +6.00|-4.00|-|75|||14</x:v>
      </x:c>
    </x:row>
    <x:row r="1373">
      <x:c r="A1373" s="24" t="str">
        <x:v>ZS-9EC667F3859A</x:v>
      </x:c>
      <x:c r="B1373" s="24" t="str">
        <x:v>ZEISS</x:v>
      </x:c>
      <x:c r="C1373" s="24" t="str">
        <x:v>Visão Simples</x:v>
      </x:c>
      <x:c r="D1373" s="24" t="str">
        <x:v>Surfaçada</x:v>
      </x:c>
      <x:c r="E1373" s="24" t="str">
        <x:v>ClearMind Individual 3</x:v>
      </x:c>
      <x:c r="F1373" s="24" t="str">
        <x:v>PhotoFusion X</x:v>
      </x:c>
      <x:c r="G1373" s="24" t="str">
        <x:v>1.5</x:v>
      </x:c>
      <x:c r="H1373" s="24" t="str">
        <x:v>1.50</x:v>
      </x:c>
      <x:c r="I1373" s="24" t="str">
        <x:v>DuraVision Platinum UV</x:v>
      </x:c>
      <x:c r="J1373" s="40" t="n">
        <x:v>3827</x:v>
      </x:c>
      <x:c r="K1373" s="24" t="str">
        <x:v>-6.00 a +6.00</x:v>
      </x:c>
      <x:c r="L1373" s="24" t="str">
        <x:v>-4.00</x:v>
      </x:c>
      <x:c r="M1373" s="24" t="str">
        <x:v>-</x:v>
      </x:c>
      <x:c r="N1373" s="24" t="str">
        <x:v>75</x:v>
      </x:c>
      <x:c r="O1373" s="24"/>
      <x:c r="P1373" s="24"/>
      <x:c r="Q1373" s="24" t="str">
        <x:v>DISPONÍVEL</x:v>
      </x:c>
      <x:c r="R1373" s="24" t="str">
        <x:v>Programa de Parcerias ZEISS — categoria Experts; Programa de Parcerias ZEISS</x:v>
      </x:c>
      <x:c r="S1373" s="24" t="n">
        <x:v>14</x:v>
      </x:c>
      <x:c r="T1373" s="24" t="str">
        <x:v>tabela_zeiss.pdf</x:v>
      </x:c>
      <x:c r="U1373" s="24" t="str">
        <x:v>ZEISS|Visão Simples|Surfaçada|ClearMind Individual 3|PhotoFusion X|1.5|1.50|DuraVision Platinum UV|-6.00 a +6.00|-4.00|-|75|||14</x:v>
      </x:c>
    </x:row>
    <x:row r="1374">
      <x:c r="A1374" s="24" t="str">
        <x:v>ZS-64E16DAE85EF</x:v>
      </x:c>
      <x:c r="B1374" s="24" t="str">
        <x:v>ZEISS</x:v>
      </x:c>
      <x:c r="C1374" s="24" t="str">
        <x:v>Visão Simples</x:v>
      </x:c>
      <x:c r="D1374" s="24" t="str">
        <x:v>Surfaçada</x:v>
      </x:c>
      <x:c r="E1374" s="24" t="str">
        <x:v>ClearMind Individual 3</x:v>
      </x:c>
      <x:c r="F1374" s="24" t="str">
        <x:v>PhotoFusion X</x:v>
      </x:c>
      <x:c r="G1374" s="24" t="str">
        <x:v>1.5</x:v>
      </x:c>
      <x:c r="H1374" s="24" t="str">
        <x:v>1.50</x:v>
      </x:c>
      <x:c r="I1374" s="24" t="str">
        <x:v>DuraVision Silver UV</x:v>
      </x:c>
      <x:c r="J1374" s="40" t="n">
        <x:v>3567</x:v>
      </x:c>
      <x:c r="K1374" s="24" t="str">
        <x:v>-6.00 a +6.00</x:v>
      </x:c>
      <x:c r="L1374" s="24" t="str">
        <x:v>-4.00</x:v>
      </x:c>
      <x:c r="M1374" s="24" t="str">
        <x:v>-</x:v>
      </x:c>
      <x:c r="N1374" s="24" t="str">
        <x:v>75</x:v>
      </x:c>
      <x:c r="O1374" s="24"/>
      <x:c r="P1374" s="24"/>
      <x:c r="Q1374" s="24" t="str">
        <x:v>DISPONÍVEL</x:v>
      </x:c>
      <x:c r="R1374" s="24" t="str">
        <x:v>Programa de Parcerias ZEISS — categoria Experts; Programa de Parcerias ZEISS</x:v>
      </x:c>
      <x:c r="S1374" s="24" t="n">
        <x:v>14</x:v>
      </x:c>
      <x:c r="T1374" s="24" t="str">
        <x:v>tabela_zeiss.pdf</x:v>
      </x:c>
      <x:c r="U1374" s="24" t="str">
        <x:v>ZEISS|Visão Simples|Surfaçada|ClearMind Individual 3|PhotoFusion X|1.5|1.50|DuraVision Silver UV|-6.00 a +6.00|-4.00|-|75|||14</x:v>
      </x:c>
    </x:row>
    <x:row r="1375">
      <x:c r="A1375" s="24" t="str">
        <x:v>ZS-6D413C3AC303</x:v>
      </x:c>
      <x:c r="B1375" s="24" t="str">
        <x:v>ZEISS</x:v>
      </x:c>
      <x:c r="C1375" s="24" t="str">
        <x:v>Visão Simples</x:v>
      </x:c>
      <x:c r="D1375" s="24" t="str">
        <x:v>Surfaçada</x:v>
      </x:c>
      <x:c r="E1375" s="24" t="str">
        <x:v>ClearMind Individual 3</x:v>
      </x:c>
      <x:c r="F1375" s="24" t="str">
        <x:v>PhotoFusion X</x:v>
      </x:c>
      <x:c r="G1375" s="24" t="str">
        <x:v>1.5</x:v>
      </x:c>
      <x:c r="H1375" s="24" t="str">
        <x:v>1.50</x:v>
      </x:c>
      <x:c r="I1375" s="24" t="str">
        <x:v>DuraVision Chrome UV</x:v>
      </x:c>
      <x:c r="J1375" s="40" t="n">
        <x:v>3077</x:v>
      </x:c>
      <x:c r="K1375" s="24" t="str">
        <x:v>-6.00 a +6.00</x:v>
      </x:c>
      <x:c r="L1375" s="24" t="str">
        <x:v>-4.00</x:v>
      </x:c>
      <x:c r="M1375" s="24" t="str">
        <x:v>-</x:v>
      </x:c>
      <x:c r="N1375" s="24" t="str">
        <x:v>75</x:v>
      </x:c>
      <x:c r="O1375" s="24"/>
      <x:c r="P1375" s="24"/>
      <x:c r="Q1375" s="24" t="str">
        <x:v>DISPONÍVEL</x:v>
      </x:c>
      <x:c r="R1375" s="24" t="str">
        <x:v>Programa de Parcerias ZEISS — categoria Experts; Programa de Parcerias ZEISS</x:v>
      </x:c>
      <x:c r="S1375" s="24" t="n">
        <x:v>14</x:v>
      </x:c>
      <x:c r="T1375" s="24" t="str">
        <x:v>tabela_zeiss.pdf</x:v>
      </x:c>
      <x:c r="U1375" s="24" t="str">
        <x:v>ZEISS|Visão Simples|Surfaçada|ClearMind Individual 3|PhotoFusion X|1.5|1.50|DuraVision Chrome UV|-6.00 a +6.00|-4.00|-|75|||14</x:v>
      </x:c>
    </x:row>
    <x:row r="1376">
      <x:c r="A1376" s="24" t="str">
        <x:v>ZS-194FA1C2193D</x:v>
      </x:c>
      <x:c r="B1376" s="24" t="str">
        <x:v>ZEISS</x:v>
      </x:c>
      <x:c r="C1376" s="24" t="str">
        <x:v>Visão Simples</x:v>
      </x:c>
      <x:c r="D1376" s="24" t="str">
        <x:v>Surfaçada</x:v>
      </x:c>
      <x:c r="E1376" s="24" t="str">
        <x:v>ClearMind Individual 3</x:v>
      </x:c>
      <x:c r="F1376" s="24" t="str">
        <x:v>PhotoFusion X</x:v>
      </x:c>
      <x:c r="G1376" s="24" t="str">
        <x:v>Poli</x:v>
      </x:c>
      <x:c r="H1376" s="24"/>
      <x:c r="I1376" s="24" t="str">
        <x:v>DuraVision Gold UV</x:v>
      </x:c>
      <x:c r="J1376" s="40" t="n">
        <x:v>4327</x:v>
      </x:c>
      <x:c r="K1376" s="24" t="str">
        <x:v>-10.00 a +8.00</x:v>
      </x:c>
      <x:c r="L1376" s="24" t="str">
        <x:v>-4.00</x:v>
      </x:c>
      <x:c r="M1376" s="24" t="str">
        <x:v>-</x:v>
      </x:c>
      <x:c r="N1376" s="24" t="str">
        <x:v>70</x:v>
      </x:c>
      <x:c r="O1376" s="24"/>
      <x:c r="P1376" s="24"/>
      <x:c r="Q1376" s="24" t="str">
        <x:v>DISPONÍVEL</x:v>
      </x:c>
      <x:c r="R1376" s="24" t="str">
        <x:v>Programa de Parcerias ZEISS — categoria Experts; Programa de Parcerias ZEISS</x:v>
      </x:c>
      <x:c r="S1376" s="24" t="n">
        <x:v>14</x:v>
      </x:c>
      <x:c r="T1376" s="24" t="str">
        <x:v>tabela_zeiss.pdf</x:v>
      </x:c>
      <x:c r="U1376" s="24" t="str">
        <x:v>ZEISS|Visão Simples|Surfaçada|ClearMind Individual 3|PhotoFusion X|Poli||DuraVision Gold UV|-10.00 a +8.00|-4.00|-|70|||14</x:v>
      </x:c>
    </x:row>
    <x:row r="1377">
      <x:c r="A1377" s="24" t="str">
        <x:v>ZS-FC2E8B45F2C1</x:v>
      </x:c>
      <x:c r="B1377" s="24" t="str">
        <x:v>ZEISS</x:v>
      </x:c>
      <x:c r="C1377" s="24" t="str">
        <x:v>Visão Simples</x:v>
      </x:c>
      <x:c r="D1377" s="24" t="str">
        <x:v>Surfaçada</x:v>
      </x:c>
      <x:c r="E1377" s="24" t="str">
        <x:v>ClearMind Individual 3</x:v>
      </x:c>
      <x:c r="F1377" s="24" t="str">
        <x:v>PhotoFusion X</x:v>
      </x:c>
      <x:c r="G1377" s="24" t="str">
        <x:v>Poli</x:v>
      </x:c>
      <x:c r="H1377" s="24"/>
      <x:c r="I1377" s="24" t="str">
        <x:v>DuraVision Platinum UV</x:v>
      </x:c>
      <x:c r="J1377" s="40" t="n">
        <x:v>4187</x:v>
      </x:c>
      <x:c r="K1377" s="24" t="str">
        <x:v>-10.00 a +8.00</x:v>
      </x:c>
      <x:c r="L1377" s="24" t="str">
        <x:v>-4.00</x:v>
      </x:c>
      <x:c r="M1377" s="24" t="str">
        <x:v>-</x:v>
      </x:c>
      <x:c r="N1377" s="24" t="str">
        <x:v>70</x:v>
      </x:c>
      <x:c r="O1377" s="24"/>
      <x:c r="P1377" s="24"/>
      <x:c r="Q1377" s="24" t="str">
        <x:v>DISPONÍVEL</x:v>
      </x:c>
      <x:c r="R1377" s="24" t="str">
        <x:v>Programa de Parcerias ZEISS — categoria Experts; Programa de Parcerias ZEISS</x:v>
      </x:c>
      <x:c r="S1377" s="24" t="n">
        <x:v>14</x:v>
      </x:c>
      <x:c r="T1377" s="24" t="str">
        <x:v>tabela_zeiss.pdf</x:v>
      </x:c>
      <x:c r="U1377" s="24" t="str">
        <x:v>ZEISS|Visão Simples|Surfaçada|ClearMind Individual 3|PhotoFusion X|Poli||DuraVision Platinum UV|-10.00 a +8.00|-4.00|-|70|||14</x:v>
      </x:c>
    </x:row>
    <x:row r="1378">
      <x:c r="A1378" s="24" t="str">
        <x:v>ZS-BBD03D8E4F24</x:v>
      </x:c>
      <x:c r="B1378" s="24" t="str">
        <x:v>ZEISS</x:v>
      </x:c>
      <x:c r="C1378" s="24" t="str">
        <x:v>Visão Simples</x:v>
      </x:c>
      <x:c r="D1378" s="24" t="str">
        <x:v>Surfaçada</x:v>
      </x:c>
      <x:c r="E1378" s="24" t="str">
        <x:v>ClearMind Individual 3</x:v>
      </x:c>
      <x:c r="F1378" s="24" t="str">
        <x:v>PhotoFusion X</x:v>
      </x:c>
      <x:c r="G1378" s="24" t="str">
        <x:v>Poli</x:v>
      </x:c>
      <x:c r="H1378" s="24"/>
      <x:c r="I1378" s="24" t="str">
        <x:v>DuraVision Silver UV</x:v>
      </x:c>
      <x:c r="J1378" s="40" t="n">
        <x:v>3927</x:v>
      </x:c>
      <x:c r="K1378" s="24" t="str">
        <x:v>-10.00 a +8.00</x:v>
      </x:c>
      <x:c r="L1378" s="24" t="str">
        <x:v>-4.00</x:v>
      </x:c>
      <x:c r="M1378" s="24" t="str">
        <x:v>-</x:v>
      </x:c>
      <x:c r="N1378" s="24" t="str">
        <x:v>70</x:v>
      </x:c>
      <x:c r="O1378" s="24"/>
      <x:c r="P1378" s="24"/>
      <x:c r="Q1378" s="24" t="str">
        <x:v>DISPONÍVEL</x:v>
      </x:c>
      <x:c r="R1378" s="24" t="str">
        <x:v>Programa de Parcerias ZEISS — categoria Experts; Programa de Parcerias ZEISS</x:v>
      </x:c>
      <x:c r="S1378" s="24" t="n">
        <x:v>14</x:v>
      </x:c>
      <x:c r="T1378" s="24" t="str">
        <x:v>tabela_zeiss.pdf</x:v>
      </x:c>
      <x:c r="U1378" s="24" t="str">
        <x:v>ZEISS|Visão Simples|Surfaçada|ClearMind Individual 3|PhotoFusion X|Poli||DuraVision Silver UV|-10.00 a +8.00|-4.00|-|70|||14</x:v>
      </x:c>
    </x:row>
    <x:row r="1379">
      <x:c r="A1379" s="24" t="str">
        <x:v>ZS-3C9C86C43EAD</x:v>
      </x:c>
      <x:c r="B1379" s="24" t="str">
        <x:v>ZEISS</x:v>
      </x:c>
      <x:c r="C1379" s="24" t="str">
        <x:v>Visão Simples</x:v>
      </x:c>
      <x:c r="D1379" s="24" t="str">
        <x:v>Surfaçada</x:v>
      </x:c>
      <x:c r="E1379" s="24" t="str">
        <x:v>ClearMind Individual 3</x:v>
      </x:c>
      <x:c r="F1379" s="24" t="str">
        <x:v>PhotoFusion X</x:v>
      </x:c>
      <x:c r="G1379" s="24" t="str">
        <x:v>Poli</x:v>
      </x:c>
      <x:c r="H1379" s="24"/>
      <x:c r="I1379" s="24" t="str">
        <x:v>DuraVision Chrome UV</x:v>
      </x:c>
      <x:c r="J1379" s="40" t="n">
        <x:v>3437</x:v>
      </x:c>
      <x:c r="K1379" s="24" t="str">
        <x:v>-10.00 a +8.00</x:v>
      </x:c>
      <x:c r="L1379" s="24" t="str">
        <x:v>-4.00</x:v>
      </x:c>
      <x:c r="M1379" s="24" t="str">
        <x:v>-</x:v>
      </x:c>
      <x:c r="N1379" s="24" t="str">
        <x:v>70</x:v>
      </x:c>
      <x:c r="O1379" s="24"/>
      <x:c r="P1379" s="24"/>
      <x:c r="Q1379" s="24" t="str">
        <x:v>DISPONÍVEL</x:v>
      </x:c>
      <x:c r="R1379" s="24" t="str">
        <x:v>Programa de Parcerias ZEISS — categoria Experts; Programa de Parcerias ZEISS</x:v>
      </x:c>
      <x:c r="S1379" s="24" t="n">
        <x:v>14</x:v>
      </x:c>
      <x:c r="T1379" s="24" t="str">
        <x:v>tabela_zeiss.pdf</x:v>
      </x:c>
      <x:c r="U1379" s="24" t="str">
        <x:v>ZEISS|Visão Simples|Surfaçada|ClearMind Individual 3|PhotoFusion X|Poli||DuraVision Chrome UV|-10.00 a +8.00|-4.00|-|70|||14</x:v>
      </x:c>
    </x:row>
    <x:row r="1380">
      <x:c r="A1380" s="24" t="str">
        <x:v>ZS-86D6B0DECC01</x:v>
      </x:c>
      <x:c r="B1380" s="24" t="str">
        <x:v>ZEISS</x:v>
      </x:c>
      <x:c r="C1380" s="24" t="str">
        <x:v>Visão Simples</x:v>
      </x:c>
      <x:c r="D1380" s="24" t="str">
        <x:v>Surfaçada</x:v>
      </x:c>
      <x:c r="E1380" s="24" t="str">
        <x:v>ClearMind Individual 3</x:v>
      </x:c>
      <x:c r="F1380" s="24" t="str">
        <x:v>PhotoFusion X</x:v>
      </x:c>
      <x:c r="G1380" s="24" t="str">
        <x:v>1.6</x:v>
      </x:c>
      <x:c r="H1380" s="24" t="str">
        <x:v>1.60</x:v>
      </x:c>
      <x:c r="I1380" s="24" t="str">
        <x:v>DuraVision Gold UV</x:v>
      </x:c>
      <x:c r="J1380" s="40" t="n">
        <x:v>4547</x:v>
      </x:c>
      <x:c r="K1380" s="24" t="str">
        <x:v>-6.00 a +8.00</x:v>
      </x:c>
      <x:c r="L1380" s="24" t="str">
        <x:v>-4.00</x:v>
      </x:c>
      <x:c r="M1380" s="24" t="str">
        <x:v>-</x:v>
      </x:c>
      <x:c r="N1380" s="24" t="str">
        <x:v>75</x:v>
      </x:c>
      <x:c r="O1380" s="24"/>
      <x:c r="P1380" s="24"/>
      <x:c r="Q1380" s="24" t="str">
        <x:v>DISPONÍVEL</x:v>
      </x:c>
      <x:c r="R1380" s="24" t="str">
        <x:v>Programa de Parcerias ZEISS — categoria Experts; Programa de Parcerias ZEISS</x:v>
      </x:c>
      <x:c r="S1380" s="24" t="n">
        <x:v>14</x:v>
      </x:c>
      <x:c r="T1380" s="24" t="str">
        <x:v>tabela_zeiss.pdf</x:v>
      </x:c>
      <x:c r="U1380" s="24" t="str">
        <x:v>ZEISS|Visão Simples|Surfaçada|ClearMind Individual 3|PhotoFusion X|1.6|1.60|DuraVision Gold UV|-6.00 a +8.00|-4.00|-|75|||14</x:v>
      </x:c>
    </x:row>
    <x:row r="1381">
      <x:c r="A1381" s="24" t="str">
        <x:v>ZS-F2D41D7B2EA4</x:v>
      </x:c>
      <x:c r="B1381" s="24" t="str">
        <x:v>ZEISS</x:v>
      </x:c>
      <x:c r="C1381" s="24" t="str">
        <x:v>Visão Simples</x:v>
      </x:c>
      <x:c r="D1381" s="24" t="str">
        <x:v>Surfaçada</x:v>
      </x:c>
      <x:c r="E1381" s="24" t="str">
        <x:v>ClearMind Individual 3</x:v>
      </x:c>
      <x:c r="F1381" s="24" t="str">
        <x:v>PhotoFusion X</x:v>
      </x:c>
      <x:c r="G1381" s="24" t="str">
        <x:v>1.6</x:v>
      </x:c>
      <x:c r="H1381" s="24" t="str">
        <x:v>1.60</x:v>
      </x:c>
      <x:c r="I1381" s="24" t="str">
        <x:v>DURAVISION® ANTIVÍRUS PLATINUM UV</x:v>
      </x:c>
      <x:c r="J1381" s="40" t="n">
        <x:v>4407</x:v>
      </x:c>
      <x:c r="K1381" s="24" t="str">
        <x:v>-6.00 a +8.00</x:v>
      </x:c>
      <x:c r="L1381" s="24" t="str">
        <x:v>-4.00</x:v>
      </x:c>
      <x:c r="M1381" s="24" t="str">
        <x:v>-</x:v>
      </x:c>
      <x:c r="N1381" s="24" t="str">
        <x:v>75</x:v>
      </x:c>
      <x:c r="O1381" s="24"/>
      <x:c r="P1381" s="24"/>
      <x:c r="Q1381" s="24" t="str">
        <x:v>DISPONÍVEL</x:v>
      </x:c>
      <x:c r="R1381" s="24" t="str">
        <x:v>Programa de Parcerias ZEISS — categoria Experts; Programa de Parcerias ZEISS</x:v>
      </x:c>
      <x:c r="S1381" s="24" t="n">
        <x:v>14</x:v>
      </x:c>
      <x:c r="T1381" s="24" t="str">
        <x:v>tabela_zeiss.pdf</x:v>
      </x:c>
      <x:c r="U1381" s="24" t="str">
        <x:v>ZEISS|Visão Simples|Surfaçada|ClearMind Individual 3|PhotoFusion X|1.6|1.60|DURAVISION® ANTIVÍRUS PLATINUM UV|-6.00 a +8.00|-4.00|-|75|||14</x:v>
      </x:c>
    </x:row>
    <x:row r="1382">
      <x:c r="A1382" s="24" t="str">
        <x:v>ZS-6E53AA1C5814</x:v>
      </x:c>
      <x:c r="B1382" s="24" t="str">
        <x:v>ZEISS</x:v>
      </x:c>
      <x:c r="C1382" s="24" t="str">
        <x:v>Visão Simples</x:v>
      </x:c>
      <x:c r="D1382" s="24" t="str">
        <x:v>Surfaçada</x:v>
      </x:c>
      <x:c r="E1382" s="24" t="str">
        <x:v>ClearMind Individual 3</x:v>
      </x:c>
      <x:c r="F1382" s="24" t="str">
        <x:v>PhotoFusion X</x:v>
      </x:c>
      <x:c r="G1382" s="24" t="str">
        <x:v>1.6</x:v>
      </x:c>
      <x:c r="H1382" s="24" t="str">
        <x:v>1.60</x:v>
      </x:c>
      <x:c r="I1382" s="24" t="str">
        <x:v>DuraVision Platinum UV</x:v>
      </x:c>
      <x:c r="J1382" s="40" t="n">
        <x:v>4407</x:v>
      </x:c>
      <x:c r="K1382" s="24" t="str">
        <x:v>-6.00 a +8.00</x:v>
      </x:c>
      <x:c r="L1382" s="24" t="str">
        <x:v>-4.00</x:v>
      </x:c>
      <x:c r="M1382" s="24" t="str">
        <x:v>-</x:v>
      </x:c>
      <x:c r="N1382" s="24" t="str">
        <x:v>75</x:v>
      </x:c>
      <x:c r="O1382" s="24"/>
      <x:c r="P1382" s="24"/>
      <x:c r="Q1382" s="24" t="str">
        <x:v>DISPONÍVEL</x:v>
      </x:c>
      <x:c r="R1382" s="24" t="str">
        <x:v>Programa de Parcerias ZEISS — categoria Experts; Programa de Parcerias ZEISS</x:v>
      </x:c>
      <x:c r="S1382" s="24" t="n">
        <x:v>14</x:v>
      </x:c>
      <x:c r="T1382" s="24" t="str">
        <x:v>tabela_zeiss.pdf</x:v>
      </x:c>
      <x:c r="U1382" s="24" t="str">
        <x:v>ZEISS|Visão Simples|Surfaçada|ClearMind Individual 3|PhotoFusion X|1.6|1.60|DuraVision Platinum UV|-6.00 a +8.00|-4.00|-|75|||14</x:v>
      </x:c>
    </x:row>
    <x:row r="1383">
      <x:c r="A1383" s="24" t="str">
        <x:v>ZS-694C50018680</x:v>
      </x:c>
      <x:c r="B1383" s="24" t="str">
        <x:v>ZEISS</x:v>
      </x:c>
      <x:c r="C1383" s="24" t="str">
        <x:v>Visão Simples</x:v>
      </x:c>
      <x:c r="D1383" s="24" t="str">
        <x:v>Surfaçada</x:v>
      </x:c>
      <x:c r="E1383" s="24" t="str">
        <x:v>ClearMind Individual 3</x:v>
      </x:c>
      <x:c r="F1383" s="24" t="str">
        <x:v>PhotoFusion X</x:v>
      </x:c>
      <x:c r="G1383" s="24" t="str">
        <x:v>1.6</x:v>
      </x:c>
      <x:c r="H1383" s="24" t="str">
        <x:v>1.60</x:v>
      </x:c>
      <x:c r="I1383" s="24" t="str">
        <x:v>DuraVision Silver UV</x:v>
      </x:c>
      <x:c r="J1383" s="40" t="n">
        <x:v>4147</x:v>
      </x:c>
      <x:c r="K1383" s="24" t="str">
        <x:v>-6.00 a +8.00</x:v>
      </x:c>
      <x:c r="L1383" s="24" t="str">
        <x:v>-4.00</x:v>
      </x:c>
      <x:c r="M1383" s="24" t="str">
        <x:v>-</x:v>
      </x:c>
      <x:c r="N1383" s="24" t="str">
        <x:v>75</x:v>
      </x:c>
      <x:c r="O1383" s="24"/>
      <x:c r="P1383" s="24"/>
      <x:c r="Q1383" s="24" t="str">
        <x:v>DISPONÍVEL</x:v>
      </x:c>
      <x:c r="R1383" s="24" t="str">
        <x:v>Programa de Parcerias ZEISS — categoria Experts; Programa de Parcerias ZEISS</x:v>
      </x:c>
      <x:c r="S1383" s="24" t="n">
        <x:v>14</x:v>
      </x:c>
      <x:c r="T1383" s="24" t="str">
        <x:v>tabela_zeiss.pdf</x:v>
      </x:c>
      <x:c r="U1383" s="24" t="str">
        <x:v>ZEISS|Visão Simples|Surfaçada|ClearMind Individual 3|PhotoFusion X|1.6|1.60|DuraVision Silver UV|-6.00 a +8.00|-4.00|-|75|||14</x:v>
      </x:c>
    </x:row>
    <x:row r="1384">
      <x:c r="A1384" s="24" t="str">
        <x:v>ZS-A45EC8962079</x:v>
      </x:c>
      <x:c r="B1384" s="24" t="str">
        <x:v>ZEISS</x:v>
      </x:c>
      <x:c r="C1384" s="24" t="str">
        <x:v>Visão Simples</x:v>
      </x:c>
      <x:c r="D1384" s="24" t="str">
        <x:v>Surfaçada</x:v>
      </x:c>
      <x:c r="E1384" s="24" t="str">
        <x:v>ClearMind Individual 3</x:v>
      </x:c>
      <x:c r="F1384" s="24" t="str">
        <x:v>PhotoFusion X</x:v>
      </x:c>
      <x:c r="G1384" s="24" t="str">
        <x:v>1.6</x:v>
      </x:c>
      <x:c r="H1384" s="24" t="str">
        <x:v>1.60</x:v>
      </x:c>
      <x:c r="I1384" s="24" t="str">
        <x:v>DuraVision Chrome UV</x:v>
      </x:c>
      <x:c r="J1384" s="40" t="n">
        <x:v>3657</x:v>
      </x:c>
      <x:c r="K1384" s="24" t="str">
        <x:v>-6.00 a +8.00</x:v>
      </x:c>
      <x:c r="L1384" s="24" t="str">
        <x:v>-4.00</x:v>
      </x:c>
      <x:c r="M1384" s="24" t="str">
        <x:v>-</x:v>
      </x:c>
      <x:c r="N1384" s="24" t="str">
        <x:v>75</x:v>
      </x:c>
      <x:c r="O1384" s="24"/>
      <x:c r="P1384" s="24"/>
      <x:c r="Q1384" s="24" t="str">
        <x:v>DISPONÍVEL</x:v>
      </x:c>
      <x:c r="R1384" s="24" t="str">
        <x:v>Programa de Parcerias ZEISS — categoria Experts; Programa de Parcerias ZEISS</x:v>
      </x:c>
      <x:c r="S1384" s="24" t="n">
        <x:v>14</x:v>
      </x:c>
      <x:c r="T1384" s="24" t="str">
        <x:v>tabela_zeiss.pdf</x:v>
      </x:c>
      <x:c r="U1384" s="24" t="str">
        <x:v>ZEISS|Visão Simples|Surfaçada|ClearMind Individual 3|PhotoFusion X|1.6|1.60|DuraVision Chrome UV|-6.00 a +8.00|-4.00|-|75|||14</x:v>
      </x:c>
    </x:row>
    <x:row r="1385">
      <x:c r="A1385" s="24" t="str">
        <x:v>ZS-15E5AF2A80A0</x:v>
      </x:c>
      <x:c r="B1385" s="24" t="str">
        <x:v>ZEISS</x:v>
      </x:c>
      <x:c r="C1385" s="24" t="str">
        <x:v>Visão Simples</x:v>
      </x:c>
      <x:c r="D1385" s="24" t="str">
        <x:v>Surfaçada</x:v>
      </x:c>
      <x:c r="E1385" s="24" t="str">
        <x:v>ClearMind Individual 3</x:v>
      </x:c>
      <x:c r="F1385" s="24" t="str">
        <x:v>PhotoFusion X</x:v>
      </x:c>
      <x:c r="G1385" s="24" t="str">
        <x:v>1.67</x:v>
      </x:c>
      <x:c r="H1385" s="24" t="str">
        <x:v>1.67</x:v>
      </x:c>
      <x:c r="I1385" s="24" t="str">
        <x:v>DuraVision Gold UV</x:v>
      </x:c>
      <x:c r="J1385" s="40" t="n">
        <x:v>5847</x:v>
      </x:c>
      <x:c r="K1385" s="24" t="str">
        <x:v>-8.00 a +8.00</x:v>
      </x:c>
      <x:c r="L1385" s="24" t="str">
        <x:v>-6.00</x:v>
      </x:c>
      <x:c r="M1385" s="24" t="str">
        <x:v>-</x:v>
      </x:c>
      <x:c r="N1385" s="24" t="str">
        <x:v>70</x:v>
      </x:c>
      <x:c r="O1385" s="24"/>
      <x:c r="P1385" s="24"/>
      <x:c r="Q1385" s="24" t="str">
        <x:v>DISPONÍVEL</x:v>
      </x:c>
      <x:c r="R1385" s="24" t="str">
        <x:v>Programa de Parcerias ZEISS — categoria Experts; Programa de Parcerias ZEISS</x:v>
      </x:c>
      <x:c r="S1385" s="24" t="n">
        <x:v>14</x:v>
      </x:c>
      <x:c r="T1385" s="24" t="str">
        <x:v>tabela_zeiss.pdf</x:v>
      </x:c>
      <x:c r="U1385" s="24" t="str">
        <x:v>ZEISS|Visão Simples|Surfaçada|ClearMind Individual 3|PhotoFusion X|1.67|1.67|DuraVision Gold UV|-8.00 a +8.00|-6.00|-|70|||14</x:v>
      </x:c>
    </x:row>
    <x:row r="1386">
      <x:c r="A1386" s="24" t="str">
        <x:v>ZS-9819B215D4DF</x:v>
      </x:c>
      <x:c r="B1386" s="24" t="str">
        <x:v>ZEISS</x:v>
      </x:c>
      <x:c r="C1386" s="24" t="str">
        <x:v>Visão Simples</x:v>
      </x:c>
      <x:c r="D1386" s="24" t="str">
        <x:v>Surfaçada</x:v>
      </x:c>
      <x:c r="E1386" s="24" t="str">
        <x:v>ClearMind Individual 3</x:v>
      </x:c>
      <x:c r="F1386" s="24" t="str">
        <x:v>PhotoFusion X</x:v>
      </x:c>
      <x:c r="G1386" s="24" t="str">
        <x:v>1.67</x:v>
      </x:c>
      <x:c r="H1386" s="24" t="str">
        <x:v>1.67</x:v>
      </x:c>
      <x:c r="I1386" s="24" t="str">
        <x:v>DURAVISION® ANTIVÍRUS PLATINUM UV</x:v>
      </x:c>
      <x:c r="J1386" s="40" t="n">
        <x:v>5707</x:v>
      </x:c>
      <x:c r="K1386" s="24" t="str">
        <x:v>-8.00 a +8.00</x:v>
      </x:c>
      <x:c r="L1386" s="24" t="str">
        <x:v>-6.00</x:v>
      </x:c>
      <x:c r="M1386" s="24" t="str">
        <x:v>-</x:v>
      </x:c>
      <x:c r="N1386" s="24" t="str">
        <x:v>70</x:v>
      </x:c>
      <x:c r="O1386" s="24"/>
      <x:c r="P1386" s="24"/>
      <x:c r="Q1386" s="24" t="str">
        <x:v>DISPONÍVEL</x:v>
      </x:c>
      <x:c r="R1386" s="24" t="str">
        <x:v>Programa de Parcerias ZEISS — categoria Experts; Programa de Parcerias ZEISS</x:v>
      </x:c>
      <x:c r="S1386" s="24" t="n">
        <x:v>14</x:v>
      </x:c>
      <x:c r="T1386" s="24" t="str">
        <x:v>tabela_zeiss.pdf</x:v>
      </x:c>
      <x:c r="U1386" s="24" t="str">
        <x:v>ZEISS|Visão Simples|Surfaçada|ClearMind Individual 3|PhotoFusion X|1.67|1.67|DURAVISION® ANTIVÍRUS PLATINUM UV|-8.00 a +8.00|-6.00|-|70|||14</x:v>
      </x:c>
    </x:row>
    <x:row r="1387">
      <x:c r="A1387" s="24" t="str">
        <x:v>ZS-4C69B6F40BB9</x:v>
      </x:c>
      <x:c r="B1387" s="24" t="str">
        <x:v>ZEISS</x:v>
      </x:c>
      <x:c r="C1387" s="24" t="str">
        <x:v>Visão Simples</x:v>
      </x:c>
      <x:c r="D1387" s="24" t="str">
        <x:v>Surfaçada</x:v>
      </x:c>
      <x:c r="E1387" s="24" t="str">
        <x:v>ClearMind Individual 3</x:v>
      </x:c>
      <x:c r="F1387" s="24" t="str">
        <x:v>PhotoFusion X</x:v>
      </x:c>
      <x:c r="G1387" s="24" t="str">
        <x:v>1.67</x:v>
      </x:c>
      <x:c r="H1387" s="24" t="str">
        <x:v>1.67</x:v>
      </x:c>
      <x:c r="I1387" s="24" t="str">
        <x:v>DuraVision Platinum UV</x:v>
      </x:c>
      <x:c r="J1387" s="40" t="n">
        <x:v>5707</x:v>
      </x:c>
      <x:c r="K1387" s="24" t="str">
        <x:v>-8.00 a +8.00</x:v>
      </x:c>
      <x:c r="L1387" s="24" t="str">
        <x:v>-6.00</x:v>
      </x:c>
      <x:c r="M1387" s="24" t="str">
        <x:v>-</x:v>
      </x:c>
      <x:c r="N1387" s="24" t="str">
        <x:v>70</x:v>
      </x:c>
      <x:c r="O1387" s="24"/>
      <x:c r="P1387" s="24"/>
      <x:c r="Q1387" s="24" t="str">
        <x:v>DISPONÍVEL</x:v>
      </x:c>
      <x:c r="R1387" s="24" t="str">
        <x:v>Programa de Parcerias ZEISS — categoria Experts; Programa de Parcerias ZEISS</x:v>
      </x:c>
      <x:c r="S1387" s="24" t="n">
        <x:v>14</x:v>
      </x:c>
      <x:c r="T1387" s="24" t="str">
        <x:v>tabela_zeiss.pdf</x:v>
      </x:c>
      <x:c r="U1387" s="24" t="str">
        <x:v>ZEISS|Visão Simples|Surfaçada|ClearMind Individual 3|PhotoFusion X|1.67|1.67|DuraVision Platinum UV|-8.00 a +8.00|-6.00|-|70|||14</x:v>
      </x:c>
    </x:row>
    <x:row r="1388">
      <x:c r="A1388" s="24" t="str">
        <x:v>ZS-30CDF170A5B2</x:v>
      </x:c>
      <x:c r="B1388" s="24" t="str">
        <x:v>ZEISS</x:v>
      </x:c>
      <x:c r="C1388" s="24" t="str">
        <x:v>Visão Simples</x:v>
      </x:c>
      <x:c r="D1388" s="24" t="str">
        <x:v>Surfaçada</x:v>
      </x:c>
      <x:c r="E1388" s="24" t="str">
        <x:v>ClearMind Individual 3</x:v>
      </x:c>
      <x:c r="F1388" s="24" t="str">
        <x:v>PhotoFusion X</x:v>
      </x:c>
      <x:c r="G1388" s="24" t="str">
        <x:v>1.67</x:v>
      </x:c>
      <x:c r="H1388" s="24" t="str">
        <x:v>1.67</x:v>
      </x:c>
      <x:c r="I1388" s="24" t="str">
        <x:v>DuraVision Silver UV</x:v>
      </x:c>
      <x:c r="J1388" s="40" t="n">
        <x:v>5447</x:v>
      </x:c>
      <x:c r="K1388" s="24" t="str">
        <x:v>-8.00 a +8.00</x:v>
      </x:c>
      <x:c r="L1388" s="24" t="str">
        <x:v>-6.00</x:v>
      </x:c>
      <x:c r="M1388" s="24" t="str">
        <x:v>-</x:v>
      </x:c>
      <x:c r="N1388" s="24" t="str">
        <x:v>70</x:v>
      </x:c>
      <x:c r="O1388" s="24"/>
      <x:c r="P1388" s="24"/>
      <x:c r="Q1388" s="24" t="str">
        <x:v>DISPONÍVEL</x:v>
      </x:c>
      <x:c r="R1388" s="24" t="str">
        <x:v>Programa de Parcerias ZEISS — categoria Experts; Programa de Parcerias ZEISS</x:v>
      </x:c>
      <x:c r="S1388" s="24" t="n">
        <x:v>14</x:v>
      </x:c>
      <x:c r="T1388" s="24" t="str">
        <x:v>tabela_zeiss.pdf</x:v>
      </x:c>
      <x:c r="U1388" s="24" t="str">
        <x:v>ZEISS|Visão Simples|Surfaçada|ClearMind Individual 3|PhotoFusion X|1.67|1.67|DuraVision Silver UV|-8.00 a +8.00|-6.00|-|70|||14</x:v>
      </x:c>
    </x:row>
    <x:row r="1389">
      <x:c r="A1389" s="24" t="str">
        <x:v>ZS-90620FEBD915</x:v>
      </x:c>
      <x:c r="B1389" s="24" t="str">
        <x:v>ZEISS</x:v>
      </x:c>
      <x:c r="C1389" s="24" t="str">
        <x:v>Visão Simples</x:v>
      </x:c>
      <x:c r="D1389" s="24" t="str">
        <x:v>Surfaçada</x:v>
      </x:c>
      <x:c r="E1389" s="24" t="str">
        <x:v>ClearMind Individual 3</x:v>
      </x:c>
      <x:c r="F1389" s="24" t="str">
        <x:v>PhotoFusion X</x:v>
      </x:c>
      <x:c r="G1389" s="24" t="str">
        <x:v>1.67</x:v>
      </x:c>
      <x:c r="H1389" s="24" t="str">
        <x:v>1.67</x:v>
      </x:c>
      <x:c r="I1389" s="24" t="str">
        <x:v>DuraVision Chrome UV</x:v>
      </x:c>
      <x:c r="J1389" s="40" t="n">
        <x:v>4957</x:v>
      </x:c>
      <x:c r="K1389" s="24" t="str">
        <x:v>-8.00 a +8.00</x:v>
      </x:c>
      <x:c r="L1389" s="24" t="str">
        <x:v>-6.00</x:v>
      </x:c>
      <x:c r="M1389" s="24" t="str">
        <x:v>-</x:v>
      </x:c>
      <x:c r="N1389" s="24" t="str">
        <x:v>70</x:v>
      </x:c>
      <x:c r="O1389" s="24"/>
      <x:c r="P1389" s="24"/>
      <x:c r="Q1389" s="24" t="str">
        <x:v>DISPONÍVEL</x:v>
      </x:c>
      <x:c r="R1389" s="24" t="str">
        <x:v>Programa de Parcerias ZEISS — categoria Experts; Programa de Parcerias ZEISS</x:v>
      </x:c>
      <x:c r="S1389" s="24" t="n">
        <x:v>14</x:v>
      </x:c>
      <x:c r="T1389" s="24" t="str">
        <x:v>tabela_zeiss.pdf</x:v>
      </x:c>
      <x:c r="U1389" s="24" t="str">
        <x:v>ZEISS|Visão Simples|Surfaçada|ClearMind Individual 3|PhotoFusion X|1.67|1.67|DuraVision Chrome UV|-8.00 a +8.00|-6.00|-|70|||14</x:v>
      </x:c>
    </x:row>
    <x:row r="1390">
      <x:c r="A1390" s="24" t="str">
        <x:v>ZS-BE5751EC50F5</x:v>
      </x:c>
      <x:c r="B1390" s="24" t="str">
        <x:v>ZEISS</x:v>
      </x:c>
      <x:c r="C1390" s="24" t="str">
        <x:v>Visão Simples</x:v>
      </x:c>
      <x:c r="D1390" s="24" t="str">
        <x:v>Surfaçada</x:v>
      </x:c>
      <x:c r="E1390" s="24" t="str">
        <x:v>ClearMind Individual 3</x:v>
      </x:c>
      <x:c r="F1390" s="24" t="str">
        <x:v>PhotoFusion X Extra Dark Cinza</x:v>
      </x:c>
      <x:c r="G1390" s="24" t="str">
        <x:v>1.5</x:v>
      </x:c>
      <x:c r="H1390" s="24" t="str">
        <x:v>1.50</x:v>
      </x:c>
      <x:c r="I1390" s="24" t="str">
        <x:v>DuraVision Gold UV</x:v>
      </x:c>
      <x:c r="J1390" s="40" t="n">
        <x:v>4017</x:v>
      </x:c>
      <x:c r="K1390" s="24" t="str">
        <x:v>-6.00 a +6.00</x:v>
      </x:c>
      <x:c r="L1390" s="24" t="str">
        <x:v>-4.00</x:v>
      </x:c>
      <x:c r="M1390" s="24" t="str">
        <x:v>-</x:v>
      </x:c>
      <x:c r="N1390" s="24" t="str">
        <x:v>75</x:v>
      </x:c>
      <x:c r="O1390" s="24"/>
      <x:c r="P1390" s="24"/>
      <x:c r="Q1390" s="24" t="str">
        <x:v>DISPONÍVEL</x:v>
      </x:c>
      <x:c r="R1390" s="24" t="str">
        <x:v>Programa de Parcerias ZEISS — categoria Experts; Programa de Parcerias ZEISS</x:v>
      </x:c>
      <x:c r="S1390" s="24" t="n">
        <x:v>14</x:v>
      </x:c>
      <x:c r="T1390" s="24" t="str">
        <x:v>tabela_zeiss.pdf</x:v>
      </x:c>
      <x:c r="U1390" s="24" t="str">
        <x:v>ZEISS|Visão Simples|Surfaçada|ClearMind Individual 3|PhotoFusion X Extra Dark Cinza|1.5|1.50|DuraVision Gold UV|-6.00 a +6.00|-4.00|-|75|||14</x:v>
      </x:c>
    </x:row>
    <x:row r="1391">
      <x:c r="A1391" s="24" t="str">
        <x:v>ZS-63FB1C598CD7</x:v>
      </x:c>
      <x:c r="B1391" s="24" t="str">
        <x:v>ZEISS</x:v>
      </x:c>
      <x:c r="C1391" s="24" t="str">
        <x:v>Visão Simples</x:v>
      </x:c>
      <x:c r="D1391" s="24" t="str">
        <x:v>Surfaçada</x:v>
      </x:c>
      <x:c r="E1391" s="24" t="str">
        <x:v>ClearMind Individual 3</x:v>
      </x:c>
      <x:c r="F1391" s="24" t="str">
        <x:v>PhotoFusion X Extra Dark Cinza</x:v>
      </x:c>
      <x:c r="G1391" s="24" t="str">
        <x:v>1.5</x:v>
      </x:c>
      <x:c r="H1391" s="24" t="str">
        <x:v>1.50</x:v>
      </x:c>
      <x:c r="I1391" s="24" t="str">
        <x:v>DURAVISION® ANTIVÍRUS PLATINUM UV</x:v>
      </x:c>
      <x:c r="J1391" s="40" t="n">
        <x:v>3877</x:v>
      </x:c>
      <x:c r="K1391" s="24" t="str">
        <x:v>-6.00 a +6.00</x:v>
      </x:c>
      <x:c r="L1391" s="24" t="str">
        <x:v>-4.00</x:v>
      </x:c>
      <x:c r="M1391" s="24" t="str">
        <x:v>-</x:v>
      </x:c>
      <x:c r="N1391" s="24" t="str">
        <x:v>75</x:v>
      </x:c>
      <x:c r="O1391" s="24"/>
      <x:c r="P1391" s="24"/>
      <x:c r="Q1391" s="24" t="str">
        <x:v>DISPONÍVEL</x:v>
      </x:c>
      <x:c r="R1391" s="24" t="str">
        <x:v>Programa de Parcerias ZEISS — categoria Experts; Programa de Parcerias ZEISS</x:v>
      </x:c>
      <x:c r="S1391" s="24" t="n">
        <x:v>14</x:v>
      </x:c>
      <x:c r="T1391" s="24" t="str">
        <x:v>tabela_zeiss.pdf</x:v>
      </x:c>
      <x:c r="U1391" s="24" t="str">
        <x:v>ZEISS|Visão Simples|Surfaçada|ClearMind Individual 3|PhotoFusion X Extra Dark Cinza|1.5|1.50|DURAVISION® ANTIVÍRUS PLATINUM UV|-6.00 a +6.00|-4.00|-|75|||14</x:v>
      </x:c>
    </x:row>
    <x:row r="1392">
      <x:c r="A1392" s="24" t="str">
        <x:v>ZS-11C51171A621</x:v>
      </x:c>
      <x:c r="B1392" s="24" t="str">
        <x:v>ZEISS</x:v>
      </x:c>
      <x:c r="C1392" s="24" t="str">
        <x:v>Visão Simples</x:v>
      </x:c>
      <x:c r="D1392" s="24" t="str">
        <x:v>Surfaçada</x:v>
      </x:c>
      <x:c r="E1392" s="24" t="str">
        <x:v>ClearMind Individual 3</x:v>
      </x:c>
      <x:c r="F1392" s="24" t="str">
        <x:v>PhotoFusion X Extra Dark Cinza</x:v>
      </x:c>
      <x:c r="G1392" s="24" t="str">
        <x:v>1.5</x:v>
      </x:c>
      <x:c r="H1392" s="24" t="str">
        <x:v>1.50</x:v>
      </x:c>
      <x:c r="I1392" s="24" t="str">
        <x:v>DuraVision Platinum UV</x:v>
      </x:c>
      <x:c r="J1392" s="40" t="n">
        <x:v>3877</x:v>
      </x:c>
      <x:c r="K1392" s="24" t="str">
        <x:v>-6.00 a +6.00</x:v>
      </x:c>
      <x:c r="L1392" s="24" t="str">
        <x:v>-4.00</x:v>
      </x:c>
      <x:c r="M1392" s="24" t="str">
        <x:v>-</x:v>
      </x:c>
      <x:c r="N1392" s="24" t="str">
        <x:v>75</x:v>
      </x:c>
      <x:c r="O1392" s="24"/>
      <x:c r="P1392" s="24"/>
      <x:c r="Q1392" s="24" t="str">
        <x:v>DISPONÍVEL</x:v>
      </x:c>
      <x:c r="R1392" s="24" t="str">
        <x:v>Programa de Parcerias ZEISS — categoria Experts; Programa de Parcerias ZEISS</x:v>
      </x:c>
      <x:c r="S1392" s="24" t="n">
        <x:v>14</x:v>
      </x:c>
      <x:c r="T1392" s="24" t="str">
        <x:v>tabela_zeiss.pdf</x:v>
      </x:c>
      <x:c r="U1392" s="24" t="str">
        <x:v>ZEISS|Visão Simples|Surfaçada|ClearMind Individual 3|PhotoFusion X Extra Dark Cinza|1.5|1.50|DuraVision Platinum UV|-6.00 a +6.00|-4.00|-|75|||14</x:v>
      </x:c>
    </x:row>
    <x:row r="1393">
      <x:c r="A1393" s="24" t="str">
        <x:v>ZS-73DEB1635FC6</x:v>
      </x:c>
      <x:c r="B1393" s="24" t="str">
        <x:v>ZEISS</x:v>
      </x:c>
      <x:c r="C1393" s="24" t="str">
        <x:v>Visão Simples</x:v>
      </x:c>
      <x:c r="D1393" s="24" t="str">
        <x:v>Surfaçada</x:v>
      </x:c>
      <x:c r="E1393" s="24" t="str">
        <x:v>ClearMind Individual 3</x:v>
      </x:c>
      <x:c r="F1393" s="24" t="str">
        <x:v>PhotoFusion X Extra Dark Cinza</x:v>
      </x:c>
      <x:c r="G1393" s="24" t="str">
        <x:v>1.5</x:v>
      </x:c>
      <x:c r="H1393" s="24" t="str">
        <x:v>1.50</x:v>
      </x:c>
      <x:c r="I1393" s="24" t="str">
        <x:v>DuraVision Silver UV</x:v>
      </x:c>
      <x:c r="J1393" s="40" t="n">
        <x:v>3617</x:v>
      </x:c>
      <x:c r="K1393" s="24" t="str">
        <x:v>-6.00 a +6.00</x:v>
      </x:c>
      <x:c r="L1393" s="24" t="str">
        <x:v>-4.00</x:v>
      </x:c>
      <x:c r="M1393" s="24" t="str">
        <x:v>-</x:v>
      </x:c>
      <x:c r="N1393" s="24" t="str">
        <x:v>75</x:v>
      </x:c>
      <x:c r="O1393" s="24"/>
      <x:c r="P1393" s="24"/>
      <x:c r="Q1393" s="24" t="str">
        <x:v>DISPONÍVEL</x:v>
      </x:c>
      <x:c r="R1393" s="24" t="str">
        <x:v>Programa de Parcerias ZEISS — categoria Experts; Programa de Parcerias ZEISS</x:v>
      </x:c>
      <x:c r="S1393" s="24" t="n">
        <x:v>14</x:v>
      </x:c>
      <x:c r="T1393" s="24" t="str">
        <x:v>tabela_zeiss.pdf</x:v>
      </x:c>
      <x:c r="U1393" s="24" t="str">
        <x:v>ZEISS|Visão Simples|Surfaçada|ClearMind Individual 3|PhotoFusion X Extra Dark Cinza|1.5|1.50|DuraVision Silver UV|-6.00 a +6.00|-4.00|-|75|||14</x:v>
      </x:c>
    </x:row>
    <x:row r="1394">
      <x:c r="A1394" s="24" t="str">
        <x:v>ZS-D770C54D294C</x:v>
      </x:c>
      <x:c r="B1394" s="24" t="str">
        <x:v>ZEISS</x:v>
      </x:c>
      <x:c r="C1394" s="24" t="str">
        <x:v>Visão Simples</x:v>
      </x:c>
      <x:c r="D1394" s="24" t="str">
        <x:v>Surfaçada</x:v>
      </x:c>
      <x:c r="E1394" s="24" t="str">
        <x:v>ClearMind Individual 3</x:v>
      </x:c>
      <x:c r="F1394" s="24" t="str">
        <x:v>PhotoFusion X Extra Dark Cinza</x:v>
      </x:c>
      <x:c r="G1394" s="24" t="str">
        <x:v>1.5</x:v>
      </x:c>
      <x:c r="H1394" s="24" t="str">
        <x:v>1.50</x:v>
      </x:c>
      <x:c r="I1394" s="24" t="str">
        <x:v>DuraVision Chrome UV</x:v>
      </x:c>
      <x:c r="J1394" s="40" t="n">
        <x:v>3127</x:v>
      </x:c>
      <x:c r="K1394" s="24" t="str">
        <x:v>-6.00 a +6.00</x:v>
      </x:c>
      <x:c r="L1394" s="24" t="str">
        <x:v>-4.00</x:v>
      </x:c>
      <x:c r="M1394" s="24" t="str">
        <x:v>-</x:v>
      </x:c>
      <x:c r="N1394" s="24" t="str">
        <x:v>75</x:v>
      </x:c>
      <x:c r="O1394" s="24"/>
      <x:c r="P1394" s="24"/>
      <x:c r="Q1394" s="24" t="str">
        <x:v>DISPONÍVEL</x:v>
      </x:c>
      <x:c r="R1394" s="24" t="str">
        <x:v>Programa de Parcerias ZEISS — categoria Experts; Programa de Parcerias ZEISS</x:v>
      </x:c>
      <x:c r="S1394" s="24" t="n">
        <x:v>14</x:v>
      </x:c>
      <x:c r="T1394" s="24" t="str">
        <x:v>tabela_zeiss.pdf</x:v>
      </x:c>
      <x:c r="U1394" s="24" t="str">
        <x:v>ZEISS|Visão Simples|Surfaçada|ClearMind Individual 3|PhotoFusion X Extra Dark Cinza|1.5|1.50|DuraVision Chrome UV|-6.00 a +6.00|-4.00|-|75|||14</x:v>
      </x:c>
    </x:row>
    <x:row r="1395">
      <x:c r="A1395" s="24" t="str">
        <x:v>ZS-C4F434BD4ABF</x:v>
      </x:c>
      <x:c r="B1395" s="24" t="str">
        <x:v>ZEISS</x:v>
      </x:c>
      <x:c r="C1395" s="24" t="str">
        <x:v>Visão Simples</x:v>
      </x:c>
      <x:c r="D1395" s="24" t="str">
        <x:v>Surfaçada</x:v>
      </x:c>
      <x:c r="E1395" s="24" t="str">
        <x:v>ClearMind Individual 3</x:v>
      </x:c>
      <x:c r="F1395" s="24" t="str">
        <x:v>PhotoFusion X Extra Dark Cinza</x:v>
      </x:c>
      <x:c r="G1395" s="24" t="str">
        <x:v>Poli</x:v>
      </x:c>
      <x:c r="H1395" s="24"/>
      <x:c r="I1395" s="24" t="str">
        <x:v>DuraVision Gold UV</x:v>
      </x:c>
      <x:c r="J1395" s="40" t="n">
        <x:v>4377</x:v>
      </x:c>
      <x:c r="K1395" s="24" t="str">
        <x:v>-10.00 a +8.00</x:v>
      </x:c>
      <x:c r="L1395" s="24" t="str">
        <x:v>-4.00</x:v>
      </x:c>
      <x:c r="M1395" s="24" t="str">
        <x:v>-</x:v>
      </x:c>
      <x:c r="N1395" s="24" t="str">
        <x:v>70</x:v>
      </x:c>
      <x:c r="O1395" s="24"/>
      <x:c r="P1395" s="24"/>
      <x:c r="Q1395" s="24" t="str">
        <x:v>DISPONÍVEL</x:v>
      </x:c>
      <x:c r="R1395" s="24" t="str">
        <x:v>Programa de Parcerias ZEISS — categoria Experts; Programa de Parcerias ZEISS</x:v>
      </x:c>
      <x:c r="S1395" s="24" t="n">
        <x:v>14</x:v>
      </x:c>
      <x:c r="T1395" s="24" t="str">
        <x:v>tabela_zeiss.pdf</x:v>
      </x:c>
      <x:c r="U1395" s="24" t="str">
        <x:v>ZEISS|Visão Simples|Surfaçada|ClearMind Individual 3|PhotoFusion X Extra Dark Cinza|Poli||DuraVision Gold UV|-10.00 a +8.00|-4.00|-|70|||14</x:v>
      </x:c>
    </x:row>
    <x:row r="1396">
      <x:c r="A1396" s="24" t="str">
        <x:v>ZS-FF151D1B29FA</x:v>
      </x:c>
      <x:c r="B1396" s="24" t="str">
        <x:v>ZEISS</x:v>
      </x:c>
      <x:c r="C1396" s="24" t="str">
        <x:v>Visão Simples</x:v>
      </x:c>
      <x:c r="D1396" s="24" t="str">
        <x:v>Surfaçada</x:v>
      </x:c>
      <x:c r="E1396" s="24" t="str">
        <x:v>ClearMind Individual 3</x:v>
      </x:c>
      <x:c r="F1396" s="24" t="str">
        <x:v>PhotoFusion X Extra Dark Cinza</x:v>
      </x:c>
      <x:c r="G1396" s="24" t="str">
        <x:v>Poli</x:v>
      </x:c>
      <x:c r="H1396" s="24"/>
      <x:c r="I1396" s="24" t="str">
        <x:v>DuraVision Platinum UV</x:v>
      </x:c>
      <x:c r="J1396" s="40" t="n">
        <x:v>4237</x:v>
      </x:c>
      <x:c r="K1396" s="24" t="str">
        <x:v>-10.00 a +8.00</x:v>
      </x:c>
      <x:c r="L1396" s="24" t="str">
        <x:v>-4.00</x:v>
      </x:c>
      <x:c r="M1396" s="24" t="str">
        <x:v>-</x:v>
      </x:c>
      <x:c r="N1396" s="24" t="str">
        <x:v>70</x:v>
      </x:c>
      <x:c r="O1396" s="24"/>
      <x:c r="P1396" s="24"/>
      <x:c r="Q1396" s="24" t="str">
        <x:v>DISPONÍVEL</x:v>
      </x:c>
      <x:c r="R1396" s="24" t="str">
        <x:v>Programa de Parcerias ZEISS — categoria Experts; Programa de Parcerias ZEISS</x:v>
      </x:c>
      <x:c r="S1396" s="24" t="n">
        <x:v>14</x:v>
      </x:c>
      <x:c r="T1396" s="24" t="str">
        <x:v>tabela_zeiss.pdf</x:v>
      </x:c>
      <x:c r="U1396" s="24" t="str">
        <x:v>ZEISS|Visão Simples|Surfaçada|ClearMind Individual 3|PhotoFusion X Extra Dark Cinza|Poli||DuraVision Platinum UV|-10.00 a +8.00|-4.00|-|70|||14</x:v>
      </x:c>
    </x:row>
    <x:row r="1397">
      <x:c r="A1397" s="24" t="str">
        <x:v>ZS-EF09E4232884</x:v>
      </x:c>
      <x:c r="B1397" s="24" t="str">
        <x:v>ZEISS</x:v>
      </x:c>
      <x:c r="C1397" s="24" t="str">
        <x:v>Visão Simples</x:v>
      </x:c>
      <x:c r="D1397" s="24" t="str">
        <x:v>Surfaçada</x:v>
      </x:c>
      <x:c r="E1397" s="24" t="str">
        <x:v>ClearMind Individual 3</x:v>
      </x:c>
      <x:c r="F1397" s="24" t="str">
        <x:v>PhotoFusion X Extra Dark Cinza</x:v>
      </x:c>
      <x:c r="G1397" s="24" t="str">
        <x:v>Poli</x:v>
      </x:c>
      <x:c r="H1397" s="24"/>
      <x:c r="I1397" s="24" t="str">
        <x:v>DuraVision Silver UV</x:v>
      </x:c>
      <x:c r="J1397" s="40" t="n">
        <x:v>3977</x:v>
      </x:c>
      <x:c r="K1397" s="24" t="str">
        <x:v>-10.00 a +8.00</x:v>
      </x:c>
      <x:c r="L1397" s="24" t="str">
        <x:v>-4.00</x:v>
      </x:c>
      <x:c r="M1397" s="24" t="str">
        <x:v>-</x:v>
      </x:c>
      <x:c r="N1397" s="24" t="str">
        <x:v>70</x:v>
      </x:c>
      <x:c r="O1397" s="24"/>
      <x:c r="P1397" s="24"/>
      <x:c r="Q1397" s="24" t="str">
        <x:v>DISPONÍVEL</x:v>
      </x:c>
      <x:c r="R1397" s="24" t="str">
        <x:v>Programa de Parcerias ZEISS — categoria Experts; Programa de Parcerias ZEISS</x:v>
      </x:c>
      <x:c r="S1397" s="24" t="n">
        <x:v>14</x:v>
      </x:c>
      <x:c r="T1397" s="24" t="str">
        <x:v>tabela_zeiss.pdf</x:v>
      </x:c>
      <x:c r="U1397" s="24" t="str">
        <x:v>ZEISS|Visão Simples|Surfaçada|ClearMind Individual 3|PhotoFusion X Extra Dark Cinza|Poli||DuraVision Silver UV|-10.00 a +8.00|-4.00|-|70|||14</x:v>
      </x:c>
    </x:row>
    <x:row r="1398">
      <x:c r="A1398" s="24" t="str">
        <x:v>ZS-4102ED7432DB</x:v>
      </x:c>
      <x:c r="B1398" s="24" t="str">
        <x:v>ZEISS</x:v>
      </x:c>
      <x:c r="C1398" s="24" t="str">
        <x:v>Visão Simples</x:v>
      </x:c>
      <x:c r="D1398" s="24" t="str">
        <x:v>Surfaçada</x:v>
      </x:c>
      <x:c r="E1398" s="24" t="str">
        <x:v>ClearMind Individual 3</x:v>
      </x:c>
      <x:c r="F1398" s="24" t="str">
        <x:v>PhotoFusion X Extra Dark Cinza</x:v>
      </x:c>
      <x:c r="G1398" s="24" t="str">
        <x:v>Poli</x:v>
      </x:c>
      <x:c r="H1398" s="24"/>
      <x:c r="I1398" s="24" t="str">
        <x:v>DuraVision Chrome UV</x:v>
      </x:c>
      <x:c r="J1398" s="40" t="n">
        <x:v>3487</x:v>
      </x:c>
      <x:c r="K1398" s="24" t="str">
        <x:v>-10.00 a +8.00</x:v>
      </x:c>
      <x:c r="L1398" s="24" t="str">
        <x:v>-4.00</x:v>
      </x:c>
      <x:c r="M1398" s="24" t="str">
        <x:v>-</x:v>
      </x:c>
      <x:c r="N1398" s="24" t="str">
        <x:v>70</x:v>
      </x:c>
      <x:c r="O1398" s="24"/>
      <x:c r="P1398" s="24"/>
      <x:c r="Q1398" s="24" t="str">
        <x:v>DISPONÍVEL</x:v>
      </x:c>
      <x:c r="R1398" s="24" t="str">
        <x:v>Programa de Parcerias ZEISS — categoria Experts; Programa de Parcerias ZEISS</x:v>
      </x:c>
      <x:c r="S1398" s="24" t="n">
        <x:v>14</x:v>
      </x:c>
      <x:c r="T1398" s="24" t="str">
        <x:v>tabela_zeiss.pdf</x:v>
      </x:c>
      <x:c r="U1398" s="24" t="str">
        <x:v>ZEISS|Visão Simples|Surfaçada|ClearMind Individual 3|PhotoFusion X Extra Dark Cinza|Poli||DuraVision Chrome UV|-10.00 a +8.00|-4.00|-|70|||14</x:v>
      </x:c>
    </x:row>
    <x:row r="1399">
      <x:c r="A1399" s="24" t="str">
        <x:v>ZS-7841D5B4C6CD</x:v>
      </x:c>
      <x:c r="B1399" s="24" t="str">
        <x:v>ZEISS</x:v>
      </x:c>
      <x:c r="C1399" s="24" t="str">
        <x:v>Visão Simples</x:v>
      </x:c>
      <x:c r="D1399" s="24" t="str">
        <x:v>Surfaçada</x:v>
      </x:c>
      <x:c r="E1399" s="24" t="str">
        <x:v>ClearMind Individual 3</x:v>
      </x:c>
      <x:c r="F1399" s="24" t="str">
        <x:v>PhotoFusion X Extra Dark Cinza</x:v>
      </x:c>
      <x:c r="G1399" s="24" t="str">
        <x:v>1.6</x:v>
      </x:c>
      <x:c r="H1399" s="24" t="str">
        <x:v>1.60</x:v>
      </x:c>
      <x:c r="I1399" s="24" t="str">
        <x:v>DuraVision Gold UV</x:v>
      </x:c>
      <x:c r="J1399" s="40" t="n">
        <x:v>4597</x:v>
      </x:c>
      <x:c r="K1399" s="24" t="str">
        <x:v>-6.00 a +8.00</x:v>
      </x:c>
      <x:c r="L1399" s="24" t="str">
        <x:v>-4.00</x:v>
      </x:c>
      <x:c r="M1399" s="24" t="str">
        <x:v>-</x:v>
      </x:c>
      <x:c r="N1399" s="24" t="str">
        <x:v>75</x:v>
      </x:c>
      <x:c r="O1399" s="24"/>
      <x:c r="P1399" s="24"/>
      <x:c r="Q1399" s="24" t="str">
        <x:v>DISPONÍVEL</x:v>
      </x:c>
      <x:c r="R1399" s="24" t="str">
        <x:v>Programa de Parcerias ZEISS — categoria Experts; Programa de Parcerias ZEISS</x:v>
      </x:c>
      <x:c r="S1399" s="24" t="n">
        <x:v>14</x:v>
      </x:c>
      <x:c r="T1399" s="24" t="str">
        <x:v>tabela_zeiss.pdf</x:v>
      </x:c>
      <x:c r="U1399" s="24" t="str">
        <x:v>ZEISS|Visão Simples|Surfaçada|ClearMind Individual 3|PhotoFusion X Extra Dark Cinza|1.6|1.60|DuraVision Gold UV|-6.00 a +8.00|-4.00|-|75|||14</x:v>
      </x:c>
    </x:row>
    <x:row r="1400">
      <x:c r="A1400" s="24" t="str">
        <x:v>ZS-FEDA928547F0</x:v>
      </x:c>
      <x:c r="B1400" s="24" t="str">
        <x:v>ZEISS</x:v>
      </x:c>
      <x:c r="C1400" s="24" t="str">
        <x:v>Visão Simples</x:v>
      </x:c>
      <x:c r="D1400" s="24" t="str">
        <x:v>Surfaçada</x:v>
      </x:c>
      <x:c r="E1400" s="24" t="str">
        <x:v>ClearMind Individual 3</x:v>
      </x:c>
      <x:c r="F1400" s="24" t="str">
        <x:v>PhotoFusion X Extra Dark Cinza</x:v>
      </x:c>
      <x:c r="G1400" s="24" t="str">
        <x:v>1.6</x:v>
      </x:c>
      <x:c r="H1400" s="24" t="str">
        <x:v>1.60</x:v>
      </x:c>
      <x:c r="I1400" s="24" t="str">
        <x:v>DURAVISION® ANTIVÍRUS PLATINUM UV</x:v>
      </x:c>
      <x:c r="J1400" s="40" t="n">
        <x:v>4457</x:v>
      </x:c>
      <x:c r="K1400" s="24" t="str">
        <x:v>-6.00 a +8.00</x:v>
      </x:c>
      <x:c r="L1400" s="24" t="str">
        <x:v>-4.00</x:v>
      </x:c>
      <x:c r="M1400" s="24" t="str">
        <x:v>-</x:v>
      </x:c>
      <x:c r="N1400" s="24" t="str">
        <x:v>75</x:v>
      </x:c>
      <x:c r="O1400" s="24"/>
      <x:c r="P1400" s="24"/>
      <x:c r="Q1400" s="24" t="str">
        <x:v>DISPONÍVEL</x:v>
      </x:c>
      <x:c r="R1400" s="24" t="str">
        <x:v>Programa de Parcerias ZEISS — categoria Experts; Programa de Parcerias ZEISS</x:v>
      </x:c>
      <x:c r="S1400" s="24" t="n">
        <x:v>14</x:v>
      </x:c>
      <x:c r="T1400" s="24" t="str">
        <x:v>tabela_zeiss.pdf</x:v>
      </x:c>
      <x:c r="U1400" s="24" t="str">
        <x:v>ZEISS|Visão Simples|Surfaçada|ClearMind Individual 3|PhotoFusion X Extra Dark Cinza|1.6|1.60|DURAVISION® ANTIVÍRUS PLATINUM UV|-6.00 a +8.00|-4.00|-|75|||14</x:v>
      </x:c>
    </x:row>
    <x:row r="1401">
      <x:c r="A1401" s="24" t="str">
        <x:v>ZS-5B617B5A465D</x:v>
      </x:c>
      <x:c r="B1401" s="24" t="str">
        <x:v>ZEISS</x:v>
      </x:c>
      <x:c r="C1401" s="24" t="str">
        <x:v>Visão Simples</x:v>
      </x:c>
      <x:c r="D1401" s="24" t="str">
        <x:v>Surfaçada</x:v>
      </x:c>
      <x:c r="E1401" s="24" t="str">
        <x:v>ClearMind Individual 3</x:v>
      </x:c>
      <x:c r="F1401" s="24" t="str">
        <x:v>PhotoFusion X Extra Dark Cinza</x:v>
      </x:c>
      <x:c r="G1401" s="24" t="str">
        <x:v>1.6</x:v>
      </x:c>
      <x:c r="H1401" s="24" t="str">
        <x:v>1.60</x:v>
      </x:c>
      <x:c r="I1401" s="24" t="str">
        <x:v>DuraVision Platinum UV</x:v>
      </x:c>
      <x:c r="J1401" s="40" t="n">
        <x:v>4457</x:v>
      </x:c>
      <x:c r="K1401" s="24" t="str">
        <x:v>-6.00 a +8.00</x:v>
      </x:c>
      <x:c r="L1401" s="24" t="str">
        <x:v>-4.00</x:v>
      </x:c>
      <x:c r="M1401" s="24" t="str">
        <x:v>-</x:v>
      </x:c>
      <x:c r="N1401" s="24" t="str">
        <x:v>75</x:v>
      </x:c>
      <x:c r="O1401" s="24"/>
      <x:c r="P1401" s="24"/>
      <x:c r="Q1401" s="24" t="str">
        <x:v>DISPONÍVEL</x:v>
      </x:c>
      <x:c r="R1401" s="24" t="str">
        <x:v>Programa de Parcerias ZEISS — categoria Experts; Programa de Parcerias ZEISS</x:v>
      </x:c>
      <x:c r="S1401" s="24" t="n">
        <x:v>14</x:v>
      </x:c>
      <x:c r="T1401" s="24" t="str">
        <x:v>tabela_zeiss.pdf</x:v>
      </x:c>
      <x:c r="U1401" s="24" t="str">
        <x:v>ZEISS|Visão Simples|Surfaçada|ClearMind Individual 3|PhotoFusion X Extra Dark Cinza|1.6|1.60|DuraVision Platinum UV|-6.00 a +8.00|-4.00|-|75|||14</x:v>
      </x:c>
    </x:row>
    <x:row r="1402">
      <x:c r="A1402" s="24" t="str">
        <x:v>ZS-F900566A3F84</x:v>
      </x:c>
      <x:c r="B1402" s="24" t="str">
        <x:v>ZEISS</x:v>
      </x:c>
      <x:c r="C1402" s="24" t="str">
        <x:v>Visão Simples</x:v>
      </x:c>
      <x:c r="D1402" s="24" t="str">
        <x:v>Surfaçada</x:v>
      </x:c>
      <x:c r="E1402" s="24" t="str">
        <x:v>ClearMind Individual 3</x:v>
      </x:c>
      <x:c r="F1402" s="24" t="str">
        <x:v>PhotoFusion X Extra Dark Cinza</x:v>
      </x:c>
      <x:c r="G1402" s="24" t="str">
        <x:v>1.6</x:v>
      </x:c>
      <x:c r="H1402" s="24" t="str">
        <x:v>1.60</x:v>
      </x:c>
      <x:c r="I1402" s="24" t="str">
        <x:v>DuraVision Silver UV</x:v>
      </x:c>
      <x:c r="J1402" s="40" t="n">
        <x:v>4197</x:v>
      </x:c>
      <x:c r="K1402" s="24" t="str">
        <x:v>-6.00 a +8.00</x:v>
      </x:c>
      <x:c r="L1402" s="24" t="str">
        <x:v>-4.00</x:v>
      </x:c>
      <x:c r="M1402" s="24" t="str">
        <x:v>-</x:v>
      </x:c>
      <x:c r="N1402" s="24" t="str">
        <x:v>75</x:v>
      </x:c>
      <x:c r="O1402" s="24"/>
      <x:c r="P1402" s="24"/>
      <x:c r="Q1402" s="24" t="str">
        <x:v>DISPONÍVEL</x:v>
      </x:c>
      <x:c r="R1402" s="24" t="str">
        <x:v>Programa de Parcerias ZEISS — categoria Experts; Programa de Parcerias ZEISS</x:v>
      </x:c>
      <x:c r="S1402" s="24" t="n">
        <x:v>14</x:v>
      </x:c>
      <x:c r="T1402" s="24" t="str">
        <x:v>tabela_zeiss.pdf</x:v>
      </x:c>
      <x:c r="U1402" s="24" t="str">
        <x:v>ZEISS|Visão Simples|Surfaçada|ClearMind Individual 3|PhotoFusion X Extra Dark Cinza|1.6|1.60|DuraVision Silver UV|-6.00 a +8.00|-4.00|-|75|||14</x:v>
      </x:c>
    </x:row>
    <x:row r="1403">
      <x:c r="A1403" s="24" t="str">
        <x:v>ZS-8E01E983AD83</x:v>
      </x:c>
      <x:c r="B1403" s="24" t="str">
        <x:v>ZEISS</x:v>
      </x:c>
      <x:c r="C1403" s="24" t="str">
        <x:v>Visão Simples</x:v>
      </x:c>
      <x:c r="D1403" s="24" t="str">
        <x:v>Surfaçada</x:v>
      </x:c>
      <x:c r="E1403" s="24" t="str">
        <x:v>ClearMind Individual 3</x:v>
      </x:c>
      <x:c r="F1403" s="24" t="str">
        <x:v>PhotoFusion X Extra Dark Cinza</x:v>
      </x:c>
      <x:c r="G1403" s="24" t="str">
        <x:v>1.6</x:v>
      </x:c>
      <x:c r="H1403" s="24" t="str">
        <x:v>1.60</x:v>
      </x:c>
      <x:c r="I1403" s="24" t="str">
        <x:v>DuraVision Chrome UV</x:v>
      </x:c>
      <x:c r="J1403" s="40" t="n">
        <x:v>3707</x:v>
      </x:c>
      <x:c r="K1403" s="24" t="str">
        <x:v>-6.00 a +8.00</x:v>
      </x:c>
      <x:c r="L1403" s="24" t="str">
        <x:v>-4.00</x:v>
      </x:c>
      <x:c r="M1403" s="24" t="str">
        <x:v>-</x:v>
      </x:c>
      <x:c r="N1403" s="24" t="str">
        <x:v>75</x:v>
      </x:c>
      <x:c r="O1403" s="24"/>
      <x:c r="P1403" s="24"/>
      <x:c r="Q1403" s="24" t="str">
        <x:v>DISPONÍVEL</x:v>
      </x:c>
      <x:c r="R1403" s="24" t="str">
        <x:v>Programa de Parcerias ZEISS — categoria Experts; Programa de Parcerias ZEISS</x:v>
      </x:c>
      <x:c r="S1403" s="24" t="n">
        <x:v>14</x:v>
      </x:c>
      <x:c r="T1403" s="24" t="str">
        <x:v>tabela_zeiss.pdf</x:v>
      </x:c>
      <x:c r="U1403" s="24" t="str">
        <x:v>ZEISS|Visão Simples|Surfaçada|ClearMind Individual 3|PhotoFusion X Extra Dark Cinza|1.6|1.60|DuraVision Chrome UV|-6.00 a +8.00|-4.00|-|75|||14</x:v>
      </x:c>
    </x:row>
    <x:row r="1404">
      <x:c r="A1404" s="24" t="str">
        <x:v>ZS-4E20692B831D</x:v>
      </x:c>
      <x:c r="B1404" s="24" t="str">
        <x:v>ZEISS</x:v>
      </x:c>
      <x:c r="C1404" s="24" t="str">
        <x:v>Visão Simples</x:v>
      </x:c>
      <x:c r="D1404" s="24" t="str">
        <x:v>Surfaçada</x:v>
      </x:c>
      <x:c r="E1404" s="24" t="str">
        <x:v>ClearMind Individual 3</x:v>
      </x:c>
      <x:c r="F1404" s="24" t="str">
        <x:v>PhotoFusion X Extra Dark Cinza</x:v>
      </x:c>
      <x:c r="G1404" s="24" t="str">
        <x:v>1.67</x:v>
      </x:c>
      <x:c r="H1404" s="24" t="str">
        <x:v>1.67</x:v>
      </x:c>
      <x:c r="I1404" s="24" t="str">
        <x:v>DuraVision Gold UV</x:v>
      </x:c>
      <x:c r="J1404" s="40" t="n">
        <x:v>5897</x:v>
      </x:c>
      <x:c r="K1404" s="24" t="str">
        <x:v>-8.00 a +8.00</x:v>
      </x:c>
      <x:c r="L1404" s="24" t="str">
        <x:v>-6.00</x:v>
      </x:c>
      <x:c r="M1404" s="24" t="str">
        <x:v>-</x:v>
      </x:c>
      <x:c r="N1404" s="24" t="str">
        <x:v>70</x:v>
      </x:c>
      <x:c r="O1404" s="24"/>
      <x:c r="P1404" s="24"/>
      <x:c r="Q1404" s="24" t="str">
        <x:v>DISPONÍVEL</x:v>
      </x:c>
      <x:c r="R1404" s="24" t="str">
        <x:v>Programa de Parcerias ZEISS — categoria Experts; Programa de Parcerias ZEISS</x:v>
      </x:c>
      <x:c r="S1404" s="24" t="n">
        <x:v>14</x:v>
      </x:c>
      <x:c r="T1404" s="24" t="str">
        <x:v>tabela_zeiss.pdf</x:v>
      </x:c>
      <x:c r="U1404" s="24" t="str">
        <x:v>ZEISS|Visão Simples|Surfaçada|ClearMind Individual 3|PhotoFusion X Extra Dark Cinza|1.67|1.67|DuraVision Gold UV|-8.00 a +8.00|-6.00|-|70|||14</x:v>
      </x:c>
    </x:row>
    <x:row r="1405">
      <x:c r="A1405" s="24" t="str">
        <x:v>ZS-12809B072C08</x:v>
      </x:c>
      <x:c r="B1405" s="24" t="str">
        <x:v>ZEISS</x:v>
      </x:c>
      <x:c r="C1405" s="24" t="str">
        <x:v>Visão Simples</x:v>
      </x:c>
      <x:c r="D1405" s="24" t="str">
        <x:v>Surfaçada</x:v>
      </x:c>
      <x:c r="E1405" s="24" t="str">
        <x:v>ClearMind Individual 3</x:v>
      </x:c>
      <x:c r="F1405" s="24" t="str">
        <x:v>PhotoFusion X Extra Dark Cinza</x:v>
      </x:c>
      <x:c r="G1405" s="24" t="str">
        <x:v>1.67</x:v>
      </x:c>
      <x:c r="H1405" s="24" t="str">
        <x:v>1.67</x:v>
      </x:c>
      <x:c r="I1405" s="24" t="str">
        <x:v>DURAVISION® ANTIVÍRUS PLATINUM UV</x:v>
      </x:c>
      <x:c r="J1405" s="40" t="n">
        <x:v>5757</x:v>
      </x:c>
      <x:c r="K1405" s="24" t="str">
        <x:v>-8.00 a +8.00</x:v>
      </x:c>
      <x:c r="L1405" s="24" t="str">
        <x:v>-6.00</x:v>
      </x:c>
      <x:c r="M1405" s="24" t="str">
        <x:v>-</x:v>
      </x:c>
      <x:c r="N1405" s="24" t="str">
        <x:v>70</x:v>
      </x:c>
      <x:c r="O1405" s="24"/>
      <x:c r="P1405" s="24"/>
      <x:c r="Q1405" s="24" t="str">
        <x:v>DISPONÍVEL</x:v>
      </x:c>
      <x:c r="R1405" s="24" t="str">
        <x:v>Programa de Parcerias ZEISS — categoria Experts; Programa de Parcerias ZEISS</x:v>
      </x:c>
      <x:c r="S1405" s="24" t="n">
        <x:v>14</x:v>
      </x:c>
      <x:c r="T1405" s="24" t="str">
        <x:v>tabela_zeiss.pdf</x:v>
      </x:c>
      <x:c r="U1405" s="24" t="str">
        <x:v>ZEISS|Visão Simples|Surfaçada|ClearMind Individual 3|PhotoFusion X Extra Dark Cinza|1.67|1.67|DURAVISION® ANTIVÍRUS PLATINUM UV|-8.00 a +8.00|-6.00|-|70|||14</x:v>
      </x:c>
    </x:row>
    <x:row r="1406">
      <x:c r="A1406" s="24" t="str">
        <x:v>ZS-61AA3CDBB06A</x:v>
      </x:c>
      <x:c r="B1406" s="24" t="str">
        <x:v>ZEISS</x:v>
      </x:c>
      <x:c r="C1406" s="24" t="str">
        <x:v>Visão Simples</x:v>
      </x:c>
      <x:c r="D1406" s="24" t="str">
        <x:v>Surfaçada</x:v>
      </x:c>
      <x:c r="E1406" s="24" t="str">
        <x:v>ClearMind Individual 3</x:v>
      </x:c>
      <x:c r="F1406" s="24" t="str">
        <x:v>PhotoFusion X Extra Dark Cinza</x:v>
      </x:c>
      <x:c r="G1406" s="24" t="str">
        <x:v>1.67</x:v>
      </x:c>
      <x:c r="H1406" s="24" t="str">
        <x:v>1.67</x:v>
      </x:c>
      <x:c r="I1406" s="24" t="str">
        <x:v>DuraVision Platinum UV</x:v>
      </x:c>
      <x:c r="J1406" s="40" t="n">
        <x:v>5757</x:v>
      </x:c>
      <x:c r="K1406" s="24" t="str">
        <x:v>-8.00 a +8.00</x:v>
      </x:c>
      <x:c r="L1406" s="24" t="str">
        <x:v>-6.00</x:v>
      </x:c>
      <x:c r="M1406" s="24" t="str">
        <x:v>-</x:v>
      </x:c>
      <x:c r="N1406" s="24" t="str">
        <x:v>70</x:v>
      </x:c>
      <x:c r="O1406" s="24"/>
      <x:c r="P1406" s="24"/>
      <x:c r="Q1406" s="24" t="str">
        <x:v>DISPONÍVEL</x:v>
      </x:c>
      <x:c r="R1406" s="24" t="str">
        <x:v>Programa de Parcerias ZEISS — categoria Experts; Programa de Parcerias ZEISS</x:v>
      </x:c>
      <x:c r="S1406" s="24" t="n">
        <x:v>14</x:v>
      </x:c>
      <x:c r="T1406" s="24" t="str">
        <x:v>tabela_zeiss.pdf</x:v>
      </x:c>
      <x:c r="U1406" s="24" t="str">
        <x:v>ZEISS|Visão Simples|Surfaçada|ClearMind Individual 3|PhotoFusion X Extra Dark Cinza|1.67|1.67|DuraVision Platinum UV|-8.00 a +8.00|-6.00|-|70|||14</x:v>
      </x:c>
    </x:row>
    <x:row r="1407">
      <x:c r="A1407" s="24" t="str">
        <x:v>ZS-CF2946EFA497</x:v>
      </x:c>
      <x:c r="B1407" s="24" t="str">
        <x:v>ZEISS</x:v>
      </x:c>
      <x:c r="C1407" s="24" t="str">
        <x:v>Visão Simples</x:v>
      </x:c>
      <x:c r="D1407" s="24" t="str">
        <x:v>Surfaçada</x:v>
      </x:c>
      <x:c r="E1407" s="24" t="str">
        <x:v>ClearMind Individual 3</x:v>
      </x:c>
      <x:c r="F1407" s="24" t="str">
        <x:v>PhotoFusion X Extra Dark Cinza</x:v>
      </x:c>
      <x:c r="G1407" s="24" t="str">
        <x:v>1.67</x:v>
      </x:c>
      <x:c r="H1407" s="24" t="str">
        <x:v>1.67</x:v>
      </x:c>
      <x:c r="I1407" s="24" t="str">
        <x:v>DuraVision Silver UV</x:v>
      </x:c>
      <x:c r="J1407" s="40" t="n">
        <x:v>5497</x:v>
      </x:c>
      <x:c r="K1407" s="24" t="str">
        <x:v>-8.00 a +8.00</x:v>
      </x:c>
      <x:c r="L1407" s="24" t="str">
        <x:v>-6.00</x:v>
      </x:c>
      <x:c r="M1407" s="24" t="str">
        <x:v>-</x:v>
      </x:c>
      <x:c r="N1407" s="24" t="str">
        <x:v>70</x:v>
      </x:c>
      <x:c r="O1407" s="24"/>
      <x:c r="P1407" s="24"/>
      <x:c r="Q1407" s="24" t="str">
        <x:v>DISPONÍVEL</x:v>
      </x:c>
      <x:c r="R1407" s="24" t="str">
        <x:v>Programa de Parcerias ZEISS — categoria Experts; Programa de Parcerias ZEISS</x:v>
      </x:c>
      <x:c r="S1407" s="24" t="n">
        <x:v>14</x:v>
      </x:c>
      <x:c r="T1407" s="24" t="str">
        <x:v>tabela_zeiss.pdf</x:v>
      </x:c>
      <x:c r="U1407" s="24" t="str">
        <x:v>ZEISS|Visão Simples|Surfaçada|ClearMind Individual 3|PhotoFusion X Extra Dark Cinza|1.67|1.67|DuraVision Silver UV|-8.00 a +8.00|-6.00|-|70|||14</x:v>
      </x:c>
    </x:row>
    <x:row r="1408">
      <x:c r="A1408" s="24" t="str">
        <x:v>ZS-B90B408B881E</x:v>
      </x:c>
      <x:c r="B1408" s="24" t="str">
        <x:v>ZEISS</x:v>
      </x:c>
      <x:c r="C1408" s="24" t="str">
        <x:v>Visão Simples</x:v>
      </x:c>
      <x:c r="D1408" s="24" t="str">
        <x:v>Surfaçada</x:v>
      </x:c>
      <x:c r="E1408" s="24" t="str">
        <x:v>ClearMind Individual 3</x:v>
      </x:c>
      <x:c r="F1408" s="24" t="str">
        <x:v>PhotoFusion X Extra Dark Cinza</x:v>
      </x:c>
      <x:c r="G1408" s="24" t="str">
        <x:v>1.67</x:v>
      </x:c>
      <x:c r="H1408" s="24" t="str">
        <x:v>1.67</x:v>
      </x:c>
      <x:c r="I1408" s="24" t="str">
        <x:v>DuraVision Chrome UV</x:v>
      </x:c>
      <x:c r="J1408" s="40" t="n">
        <x:v>5007</x:v>
      </x:c>
      <x:c r="K1408" s="24" t="str">
        <x:v>-8.00 a +8.00</x:v>
      </x:c>
      <x:c r="L1408" s="24" t="str">
        <x:v>-6.00</x:v>
      </x:c>
      <x:c r="M1408" s="24" t="str">
        <x:v>-</x:v>
      </x:c>
      <x:c r="N1408" s="24" t="str">
        <x:v>70</x:v>
      </x:c>
      <x:c r="O1408" s="24"/>
      <x:c r="P1408" s="24"/>
      <x:c r="Q1408" s="24" t="str">
        <x:v>DISPONÍVEL</x:v>
      </x:c>
      <x:c r="R1408" s="24" t="str">
        <x:v>Programa de Parcerias ZEISS — categoria Experts; Programa de Parcerias ZEISS</x:v>
      </x:c>
      <x:c r="S1408" s="24" t="n">
        <x:v>14</x:v>
      </x:c>
      <x:c r="T1408" s="24" t="str">
        <x:v>tabela_zeiss.pdf</x:v>
      </x:c>
      <x:c r="U1408" s="24" t="str">
        <x:v>ZEISS|Visão Simples|Surfaçada|ClearMind Individual 3|PhotoFusion X Extra Dark Cinza|1.67|1.67|DuraVision Chrome UV|-8.00 a +8.00|-6.00|-|70|||14</x:v>
      </x:c>
    </x:row>
    <x:row r="1409">
      <x:c r="A1409" s="24" t="str">
        <x:v>ZS-51D0B24C093A</x:v>
      </x:c>
      <x:c r="B1409" s="24" t="str">
        <x:v>ZEISS</x:v>
      </x:c>
      <x:c r="C1409" s="24" t="str">
        <x:v>Visão Simples</x:v>
      </x:c>
      <x:c r="D1409" s="24" t="str">
        <x:v>Surfaçada</x:v>
      </x:c>
      <x:c r="E1409" s="24" t="str">
        <x:v>ClearMind Individual 3</x:v>
      </x:c>
      <x:c r="F1409" s="24" t="str">
        <x:v>Polarizada</x:v>
      </x:c>
      <x:c r="G1409" s="24" t="str">
        <x:v>1.5</x:v>
      </x:c>
      <x:c r="H1409" s="24" t="str">
        <x:v>1.50</x:v>
      </x:c>
      <x:c r="I1409" s="24" t="str">
        <x:v>DuraVision Gold UV</x:v>
      </x:c>
      <x:c r="J1409" s="40" t="n">
        <x:v>3717</x:v>
      </x:c>
      <x:c r="K1409" s="24" t="str">
        <x:v>-6.00 a +6.00</x:v>
      </x:c>
      <x:c r="L1409" s="24" t="str">
        <x:v>-4.00</x:v>
      </x:c>
      <x:c r="M1409" s="24" t="str">
        <x:v>-</x:v>
      </x:c>
      <x:c r="N1409" s="24" t="str">
        <x:v>75</x:v>
      </x:c>
      <x:c r="O1409" s="24"/>
      <x:c r="P1409" s="24"/>
      <x:c r="Q1409" s="24" t="str">
        <x:v>DISPONÍVEL</x:v>
      </x:c>
      <x:c r="R1409" s="24" t="str">
        <x:v>Programa de Parcerias ZEISS — categoria Experts</x:v>
      </x:c>
      <x:c r="S1409" s="24" t="n">
        <x:v>14</x:v>
      </x:c>
      <x:c r="T1409" s="24" t="str">
        <x:v>tabela_zeiss.pdf</x:v>
      </x:c>
      <x:c r="U1409" s="24" t="str">
        <x:v>ZEISS|Visão Simples|Surfaçada|ClearMind Individual 3|Polarizada|1.5|1.50|DuraVision Gold UV|-6.00 a +6.00|-4.00|-|75|||14</x:v>
      </x:c>
    </x:row>
    <x:row r="1410">
      <x:c r="A1410" s="24" t="str">
        <x:v>ZS-6CCE5CC70513</x:v>
      </x:c>
      <x:c r="B1410" s="24" t="str">
        <x:v>ZEISS</x:v>
      </x:c>
      <x:c r="C1410" s="24" t="str">
        <x:v>Visão Simples</x:v>
      </x:c>
      <x:c r="D1410" s="24" t="str">
        <x:v>Surfaçada</x:v>
      </x:c>
      <x:c r="E1410" s="24" t="str">
        <x:v>ClearMind Individual 3</x:v>
      </x:c>
      <x:c r="F1410" s="24" t="str">
        <x:v>Polarizada</x:v>
      </x:c>
      <x:c r="G1410" s="24" t="str">
        <x:v>1.5</x:v>
      </x:c>
      <x:c r="H1410" s="24" t="str">
        <x:v>1.50</x:v>
      </x:c>
      <x:c r="I1410" s="24" t="str">
        <x:v>DuraVision Platinum UV</x:v>
      </x:c>
      <x:c r="J1410" s="40" t="n">
        <x:v>3577</x:v>
      </x:c>
      <x:c r="K1410" s="24" t="str">
        <x:v>-6.00 a +6.00</x:v>
      </x:c>
      <x:c r="L1410" s="24" t="str">
        <x:v>-4.00</x:v>
      </x:c>
      <x:c r="M1410" s="24" t="str">
        <x:v>-</x:v>
      </x:c>
      <x:c r="N1410" s="24" t="str">
        <x:v>75</x:v>
      </x:c>
      <x:c r="O1410" s="24"/>
      <x:c r="P1410" s="24"/>
      <x:c r="Q1410" s="24" t="str">
        <x:v>DISPONÍVEL</x:v>
      </x:c>
      <x:c r="R1410" s="24" t="str">
        <x:v>Programa de Parcerias ZEISS — categoria Experts</x:v>
      </x:c>
      <x:c r="S1410" s="24" t="n">
        <x:v>14</x:v>
      </x:c>
      <x:c r="T1410" s="24" t="str">
        <x:v>tabela_zeiss.pdf</x:v>
      </x:c>
      <x:c r="U1410" s="24" t="str">
        <x:v>ZEISS|Visão Simples|Surfaçada|ClearMind Individual 3|Polarizada|1.5|1.50|DuraVision Platinum UV|-6.00 a +6.00|-4.00|-|75|||14</x:v>
      </x:c>
    </x:row>
    <x:row r="1411">
      <x:c r="A1411" s="24" t="str">
        <x:v>ZS-084FBD282CCB</x:v>
      </x:c>
      <x:c r="B1411" s="24" t="str">
        <x:v>ZEISS</x:v>
      </x:c>
      <x:c r="C1411" s="24" t="str">
        <x:v>Visão Simples</x:v>
      </x:c>
      <x:c r="D1411" s="24" t="str">
        <x:v>Surfaçada</x:v>
      </x:c>
      <x:c r="E1411" s="24" t="str">
        <x:v>ClearMind Individual 3</x:v>
      </x:c>
      <x:c r="F1411" s="24" t="str">
        <x:v>Polarizada</x:v>
      </x:c>
      <x:c r="G1411" s="24" t="str">
        <x:v>1.5</x:v>
      </x:c>
      <x:c r="H1411" s="24" t="str">
        <x:v>1.50</x:v>
      </x:c>
      <x:c r="I1411" s="24" t="str">
        <x:v>DuraVision Silver UV</x:v>
      </x:c>
      <x:c r="J1411" s="40" t="n">
        <x:v>3317</x:v>
      </x:c>
      <x:c r="K1411" s="24" t="str">
        <x:v>-6.00 a +6.00</x:v>
      </x:c>
      <x:c r="L1411" s="24" t="str">
        <x:v>-4.00</x:v>
      </x:c>
      <x:c r="M1411" s="24" t="str">
        <x:v>-</x:v>
      </x:c>
      <x:c r="N1411" s="24" t="str">
        <x:v>75</x:v>
      </x:c>
      <x:c r="O1411" s="24"/>
      <x:c r="P1411" s="24"/>
      <x:c r="Q1411" s="24" t="str">
        <x:v>DISPONÍVEL</x:v>
      </x:c>
      <x:c r="R1411" s="24" t="str">
        <x:v>Programa de Parcerias ZEISS — categoria Experts</x:v>
      </x:c>
      <x:c r="S1411" s="24" t="n">
        <x:v>14</x:v>
      </x:c>
      <x:c r="T1411" s="24" t="str">
        <x:v>tabela_zeiss.pdf</x:v>
      </x:c>
      <x:c r="U1411" s="24" t="str">
        <x:v>ZEISS|Visão Simples|Surfaçada|ClearMind Individual 3|Polarizada|1.5|1.50|DuraVision Silver UV|-6.00 a +6.00|-4.00|-|75|||14</x:v>
      </x:c>
    </x:row>
    <x:row r="1412">
      <x:c r="A1412" s="24" t="str">
        <x:v>ZS-1C628050F11B</x:v>
      </x:c>
      <x:c r="B1412" s="24" t="str">
        <x:v>ZEISS</x:v>
      </x:c>
      <x:c r="C1412" s="24" t="str">
        <x:v>Visão Simples</x:v>
      </x:c>
      <x:c r="D1412" s="24" t="str">
        <x:v>Surfaçada</x:v>
      </x:c>
      <x:c r="E1412" s="24" t="str">
        <x:v>ClearMind Individual 3</x:v>
      </x:c>
      <x:c r="F1412" s="24" t="str">
        <x:v>Polarizada</x:v>
      </x:c>
      <x:c r="G1412" s="24" t="str">
        <x:v>1.5</x:v>
      </x:c>
      <x:c r="H1412" s="24" t="str">
        <x:v>1.50</x:v>
      </x:c>
      <x:c r="I1412" s="24" t="str">
        <x:v>DuraVision Chrome UV</x:v>
      </x:c>
      <x:c r="J1412" s="40" t="n">
        <x:v>2827</x:v>
      </x:c>
      <x:c r="K1412" s="24" t="str">
        <x:v>-6.00 a +6.00</x:v>
      </x:c>
      <x:c r="L1412" s="24" t="str">
        <x:v>-4.00</x:v>
      </x:c>
      <x:c r="M1412" s="24" t="str">
        <x:v>-</x:v>
      </x:c>
      <x:c r="N1412" s="24" t="str">
        <x:v>75</x:v>
      </x:c>
      <x:c r="O1412" s="24"/>
      <x:c r="P1412" s="24"/>
      <x:c r="Q1412" s="24" t="str">
        <x:v>DISPONÍVEL</x:v>
      </x:c>
      <x:c r="R1412" s="24" t="str">
        <x:v>Programa de Parcerias ZEISS — categoria Experts</x:v>
      </x:c>
      <x:c r="S1412" s="24" t="n">
        <x:v>14</x:v>
      </x:c>
      <x:c r="T1412" s="24" t="str">
        <x:v>tabela_zeiss.pdf</x:v>
      </x:c>
      <x:c r="U1412" s="24" t="str">
        <x:v>ZEISS|Visão Simples|Surfaçada|ClearMind Individual 3|Polarizada|1.5|1.50|DuraVision Chrome UV|-6.00 a +6.00|-4.00|-|75|||14</x:v>
      </x:c>
    </x:row>
    <x:row r="1413">
      <x:c r="A1413" s="24" t="str">
        <x:v>ZS-085285F5E405</x:v>
      </x:c>
      <x:c r="B1413" s="24" t="str">
        <x:v>ZEISS</x:v>
      </x:c>
      <x:c r="C1413" s="24" t="str">
        <x:v>Visão Simples</x:v>
      </x:c>
      <x:c r="D1413" s="24" t="str">
        <x:v>Surfaçada</x:v>
      </x:c>
      <x:c r="E1413" s="24" t="str">
        <x:v>ClearMind Individual 3</x:v>
      </x:c>
      <x:c r="F1413" s="24" t="str">
        <x:v>Polarizada</x:v>
      </x:c>
      <x:c r="G1413" s="24" t="str">
        <x:v>1.5</x:v>
      </x:c>
      <x:c r="H1413" s="24" t="str">
        <x:v>1.50</x:v>
      </x:c>
      <x:c r="I1413" s="24" t="str">
        <x:v>Sem AR</x:v>
      </x:c>
      <x:c r="J1413" s="40" t="n">
        <x:v>2427</x:v>
      </x:c>
      <x:c r="K1413" s="24" t="str">
        <x:v>-6.00 a +6.00</x:v>
      </x:c>
      <x:c r="L1413" s="24" t="str">
        <x:v>-4.00</x:v>
      </x:c>
      <x:c r="M1413" s="24" t="str">
        <x:v>-</x:v>
      </x:c>
      <x:c r="N1413" s="24" t="str">
        <x:v>75</x:v>
      </x:c>
      <x:c r="O1413" s="24"/>
      <x:c r="P1413" s="24"/>
      <x:c r="Q1413" s="24" t="str">
        <x:v>DISPONÍVEL</x:v>
      </x:c>
      <x:c r="R1413" s="24" t="str">
        <x:v>Programa de Parcerias ZEISS — categoria Experts</x:v>
      </x:c>
      <x:c r="S1413" s="24" t="n">
        <x:v>14</x:v>
      </x:c>
      <x:c r="T1413" s="24" t="str">
        <x:v>tabela_zeiss.pdf</x:v>
      </x:c>
      <x:c r="U1413" s="24" t="str">
        <x:v>ZEISS|Visão Simples|Surfaçada|ClearMind Individual 3|Polarizada|1.5|1.50|Sem AR|-6.00 a +6.00|-4.00|-|75|||14</x:v>
      </x:c>
    </x:row>
    <x:row r="1414">
      <x:c r="A1414" s="24" t="str">
        <x:v>ZS-8F92EA2A749B</x:v>
      </x:c>
      <x:c r="B1414" s="24" t="str">
        <x:v>ZEISS</x:v>
      </x:c>
      <x:c r="C1414" s="24" t="str">
        <x:v>Visão Simples</x:v>
      </x:c>
      <x:c r="D1414" s="24" t="str">
        <x:v>Surfaçada</x:v>
      </x:c>
      <x:c r="E1414" s="24" t="str">
        <x:v>ClearMind Individual 3</x:v>
      </x:c>
      <x:c r="F1414" s="24" t="str">
        <x:v>Polarizada</x:v>
      </x:c>
      <x:c r="G1414" s="24" t="str">
        <x:v>1.6</x:v>
      </x:c>
      <x:c r="H1414" s="24" t="str">
        <x:v>1.60</x:v>
      </x:c>
      <x:c r="I1414" s="24" t="str">
        <x:v>DuraVision Gold UV</x:v>
      </x:c>
      <x:c r="J1414" s="40" t="n">
        <x:v>4297</x:v>
      </x:c>
      <x:c r="K1414" s="24" t="str">
        <x:v>-8.00 a +8.00</x:v>
      </x:c>
      <x:c r="L1414" s="24" t="str">
        <x:v>-4.00</x:v>
      </x:c>
      <x:c r="M1414" s="24" t="str">
        <x:v>-</x:v>
      </x:c>
      <x:c r="N1414" s="24" t="str">
        <x:v>70</x:v>
      </x:c>
      <x:c r="O1414" s="24"/>
      <x:c r="P1414" s="24"/>
      <x:c r="Q1414" s="24" t="str">
        <x:v>DISPONÍVEL</x:v>
      </x:c>
      <x:c r="R1414" s="24" t="str">
        <x:v>Programa de Parcerias ZEISS — categoria Experts</x:v>
      </x:c>
      <x:c r="S1414" s="24" t="n">
        <x:v>14</x:v>
      </x:c>
      <x:c r="T1414" s="24" t="str">
        <x:v>tabela_zeiss.pdf</x:v>
      </x:c>
      <x:c r="U1414" s="24" t="str">
        <x:v>ZEISS|Visão Simples|Surfaçada|ClearMind Individual 3|Polarizada|1.6|1.60|DuraVision Gold UV|-8.00 a +8.00|-4.00|-|70|||14</x:v>
      </x:c>
    </x:row>
    <x:row r="1415">
      <x:c r="A1415" s="24" t="str">
        <x:v>ZS-F44165F7D7D1</x:v>
      </x:c>
      <x:c r="B1415" s="24" t="str">
        <x:v>ZEISS</x:v>
      </x:c>
      <x:c r="C1415" s="24" t="str">
        <x:v>Visão Simples</x:v>
      </x:c>
      <x:c r="D1415" s="24" t="str">
        <x:v>Surfaçada</x:v>
      </x:c>
      <x:c r="E1415" s="24" t="str">
        <x:v>ClearMind Individual 3</x:v>
      </x:c>
      <x:c r="F1415" s="24" t="str">
        <x:v>Polarizada</x:v>
      </x:c>
      <x:c r="G1415" s="24" t="str">
        <x:v>1.6</x:v>
      </x:c>
      <x:c r="H1415" s="24" t="str">
        <x:v>1.60</x:v>
      </x:c>
      <x:c r="I1415" s="24" t="str">
        <x:v>DuraVision Platinum UV</x:v>
      </x:c>
      <x:c r="J1415" s="40" t="n">
        <x:v>4157</x:v>
      </x:c>
      <x:c r="K1415" s="24" t="str">
        <x:v>-8.00 a +8.00</x:v>
      </x:c>
      <x:c r="L1415" s="24" t="str">
        <x:v>-4.00</x:v>
      </x:c>
      <x:c r="M1415" s="24" t="str">
        <x:v>-</x:v>
      </x:c>
      <x:c r="N1415" s="24" t="str">
        <x:v>70</x:v>
      </x:c>
      <x:c r="O1415" s="24"/>
      <x:c r="P1415" s="24"/>
      <x:c r="Q1415" s="24" t="str">
        <x:v>DISPONÍVEL</x:v>
      </x:c>
      <x:c r="R1415" s="24" t="str">
        <x:v>Programa de Parcerias ZEISS — categoria Experts</x:v>
      </x:c>
      <x:c r="S1415" s="24" t="n">
        <x:v>14</x:v>
      </x:c>
      <x:c r="T1415" s="24" t="str">
        <x:v>tabela_zeiss.pdf</x:v>
      </x:c>
      <x:c r="U1415" s="24" t="str">
        <x:v>ZEISS|Visão Simples|Surfaçada|ClearMind Individual 3|Polarizada|1.6|1.60|DuraVision Platinum UV|-8.00 a +8.00|-4.00|-|70|||14</x:v>
      </x:c>
    </x:row>
    <x:row r="1416">
      <x:c r="A1416" s="24" t="str">
        <x:v>ZS-A78A5601FDA2</x:v>
      </x:c>
      <x:c r="B1416" s="24" t="str">
        <x:v>ZEISS</x:v>
      </x:c>
      <x:c r="C1416" s="24" t="str">
        <x:v>Visão Simples</x:v>
      </x:c>
      <x:c r="D1416" s="24" t="str">
        <x:v>Surfaçada</x:v>
      </x:c>
      <x:c r="E1416" s="24" t="str">
        <x:v>ClearMind Individual 3</x:v>
      </x:c>
      <x:c r="F1416" s="24" t="str">
        <x:v>Polarizada</x:v>
      </x:c>
      <x:c r="G1416" s="24" t="str">
        <x:v>1.6</x:v>
      </x:c>
      <x:c r="H1416" s="24" t="str">
        <x:v>1.60</x:v>
      </x:c>
      <x:c r="I1416" s="24" t="str">
        <x:v>DuraVision Silver UV</x:v>
      </x:c>
      <x:c r="J1416" s="40" t="n">
        <x:v>3897</x:v>
      </x:c>
      <x:c r="K1416" s="24" t="str">
        <x:v>-8.00 a +8.00</x:v>
      </x:c>
      <x:c r="L1416" s="24" t="str">
        <x:v>-4.00</x:v>
      </x:c>
      <x:c r="M1416" s="24" t="str">
        <x:v>-</x:v>
      </x:c>
      <x:c r="N1416" s="24" t="str">
        <x:v>70</x:v>
      </x:c>
      <x:c r="O1416" s="24"/>
      <x:c r="P1416" s="24"/>
      <x:c r="Q1416" s="24" t="str">
        <x:v>DISPONÍVEL</x:v>
      </x:c>
      <x:c r="R1416" s="24" t="str">
        <x:v>Programa de Parcerias ZEISS — categoria Experts</x:v>
      </x:c>
      <x:c r="S1416" s="24" t="n">
        <x:v>14</x:v>
      </x:c>
      <x:c r="T1416" s="24" t="str">
        <x:v>tabela_zeiss.pdf</x:v>
      </x:c>
      <x:c r="U1416" s="24" t="str">
        <x:v>ZEISS|Visão Simples|Surfaçada|ClearMind Individual 3|Polarizada|1.6|1.60|DuraVision Silver UV|-8.00 a +8.00|-4.00|-|70|||14</x:v>
      </x:c>
    </x:row>
    <x:row r="1417">
      <x:c r="A1417" s="24" t="str">
        <x:v>ZS-CCFB9D1398F4</x:v>
      </x:c>
      <x:c r="B1417" s="24" t="str">
        <x:v>ZEISS</x:v>
      </x:c>
      <x:c r="C1417" s="24" t="str">
        <x:v>Visão Simples</x:v>
      </x:c>
      <x:c r="D1417" s="24" t="str">
        <x:v>Surfaçada</x:v>
      </x:c>
      <x:c r="E1417" s="24" t="str">
        <x:v>ClearMind Individual 3</x:v>
      </x:c>
      <x:c r="F1417" s="24" t="str">
        <x:v>Polarizada</x:v>
      </x:c>
      <x:c r="G1417" s="24" t="str">
        <x:v>1.6</x:v>
      </x:c>
      <x:c r="H1417" s="24" t="str">
        <x:v>1.60</x:v>
      </x:c>
      <x:c r="I1417" s="24" t="str">
        <x:v>DuraVision Chrome UV</x:v>
      </x:c>
      <x:c r="J1417" s="40" t="n">
        <x:v>3407</x:v>
      </x:c>
      <x:c r="K1417" s="24" t="str">
        <x:v>-8.00 a +8.00</x:v>
      </x:c>
      <x:c r="L1417" s="24" t="str">
        <x:v>-4.00</x:v>
      </x:c>
      <x:c r="M1417" s="24" t="str">
        <x:v>-</x:v>
      </x:c>
      <x:c r="N1417" s="24" t="str">
        <x:v>70</x:v>
      </x:c>
      <x:c r="O1417" s="24"/>
      <x:c r="P1417" s="24"/>
      <x:c r="Q1417" s="24" t="str">
        <x:v>DISPONÍVEL</x:v>
      </x:c>
      <x:c r="R1417" s="24" t="str">
        <x:v>Programa de Parcerias ZEISS — categoria Experts</x:v>
      </x:c>
      <x:c r="S1417" s="24" t="n">
        <x:v>14</x:v>
      </x:c>
      <x:c r="T1417" s="24" t="str">
        <x:v>tabela_zeiss.pdf</x:v>
      </x:c>
      <x:c r="U1417" s="24" t="str">
        <x:v>ZEISS|Visão Simples|Surfaçada|ClearMind Individual 3|Polarizada|1.6|1.60|DuraVision Chrome UV|-8.00 a +8.00|-4.00|-|70|||14</x:v>
      </x:c>
    </x:row>
    <x:row r="1418">
      <x:c r="A1418" s="24" t="str">
        <x:v>ZS-D4AFC59AC34A</x:v>
      </x:c>
      <x:c r="B1418" s="24" t="str">
        <x:v>ZEISS</x:v>
      </x:c>
      <x:c r="C1418" s="24" t="str">
        <x:v>Visão Simples</x:v>
      </x:c>
      <x:c r="D1418" s="24" t="str">
        <x:v>Surfaçada</x:v>
      </x:c>
      <x:c r="E1418" s="24" t="str">
        <x:v>ClearMind Individual 3</x:v>
      </x:c>
      <x:c r="F1418" s="24" t="str">
        <x:v>Polarizada</x:v>
      </x:c>
      <x:c r="G1418" s="24" t="str">
        <x:v>1.6</x:v>
      </x:c>
      <x:c r="H1418" s="24" t="str">
        <x:v>1.60</x:v>
      </x:c>
      <x:c r="I1418" s="24" t="str">
        <x:v>Sem AR</x:v>
      </x:c>
      <x:c r="J1418" s="40" t="n">
        <x:v>3007</x:v>
      </x:c>
      <x:c r="K1418" s="24" t="str">
        <x:v>-8.00 a +8.00</x:v>
      </x:c>
      <x:c r="L1418" s="24" t="str">
        <x:v>-4.00</x:v>
      </x:c>
      <x:c r="M1418" s="24" t="str">
        <x:v>-</x:v>
      </x:c>
      <x:c r="N1418" s="24" t="str">
        <x:v>70</x:v>
      </x:c>
      <x:c r="O1418" s="24"/>
      <x:c r="P1418" s="24"/>
      <x:c r="Q1418" s="24" t="str">
        <x:v>DISPONÍVEL</x:v>
      </x:c>
      <x:c r="R1418" s="24" t="str">
        <x:v>Programa de Parcerias ZEISS — categoria Experts</x:v>
      </x:c>
      <x:c r="S1418" s="24" t="n">
        <x:v>14</x:v>
      </x:c>
      <x:c r="T1418" s="24" t="str">
        <x:v>tabela_zeiss.pdf</x:v>
      </x:c>
      <x:c r="U1418" s="24" t="str">
        <x:v>ZEISS|Visão Simples|Surfaçada|ClearMind Individual 3|Polarizada|1.6|1.60|Sem AR|-8.00 a +8.00|-4.00|-|70|||14</x:v>
      </x:c>
    </x:row>
    <x:row r="1419">
      <x:c r="A1419" s="24" t="str">
        <x:v>ZS-B58C6D5C45DF</x:v>
      </x:c>
      <x:c r="B1419" s="24" t="str">
        <x:v>ZEISS</x:v>
      </x:c>
      <x:c r="C1419" s="24" t="str">
        <x:v>Visão Simples</x:v>
      </x:c>
      <x:c r="D1419" s="24" t="str">
        <x:v>Surfaçada</x:v>
      </x:c>
      <x:c r="E1419" s="24" t="str">
        <x:v>SmartLife Individual 3</x:v>
      </x:c>
      <x:c r="F1419" s="24"/>
      <x:c r="G1419" s="24" t="str">
        <x:v>1.5</x:v>
      </x:c>
      <x:c r="H1419" s="24" t="str">
        <x:v>1.50</x:v>
      </x:c>
      <x:c r="I1419" s="24" t="str">
        <x:v>DuraVision Gold UV</x:v>
      </x:c>
      <x:c r="J1419" s="40" t="n">
        <x:v>2559</x:v>
      </x:c>
      <x:c r="K1419" s="24" t="str">
        <x:v>-6.00 a +6.00</x:v>
      </x:c>
      <x:c r="L1419" s="24" t="str">
        <x:v>-4.00</x:v>
      </x:c>
      <x:c r="M1419" s="24" t="str">
        <x:v>-</x:v>
      </x:c>
      <x:c r="N1419" s="24" t="str">
        <x:v>75</x:v>
      </x:c>
      <x:c r="O1419" s="24"/>
      <x:c r="P1419" s="24"/>
      <x:c r="Q1419" s="24" t="str">
        <x:v>DISPONÍVEL</x:v>
      </x:c>
      <x:c r="R1419" s="24"/>
      <x:c r="S1419" s="24" t="n">
        <x:v>15</x:v>
      </x:c>
      <x:c r="T1419" s="24" t="str">
        <x:v>tabela_zeiss.pdf</x:v>
      </x:c>
      <x:c r="U1419" s="24" t="str">
        <x:v>ZEISS|Visão Simples|Surfaçada|SmartLife Individual 3||1.5|1.50|DuraVision Gold UV|-6.00 a +6.00|-4.00|-|75|||15</x:v>
      </x:c>
    </x:row>
    <x:row r="1420">
      <x:c r="A1420" s="24" t="str">
        <x:v>ZS-F0A3F86EE926</x:v>
      </x:c>
      <x:c r="B1420" s="24" t="str">
        <x:v>ZEISS</x:v>
      </x:c>
      <x:c r="C1420" s="24" t="str">
        <x:v>Visão Simples</x:v>
      </x:c>
      <x:c r="D1420" s="24" t="str">
        <x:v>Surfaçada</x:v>
      </x:c>
      <x:c r="E1420" s="24" t="str">
        <x:v>SmartLife Individual 3</x:v>
      </x:c>
      <x:c r="F1420" s="24"/>
      <x:c r="G1420" s="24" t="str">
        <x:v>1.5</x:v>
      </x:c>
      <x:c r="H1420" s="24" t="str">
        <x:v>1.50</x:v>
      </x:c>
      <x:c r="I1420" s="24" t="str">
        <x:v>DURAVISION® ANTIVÍRUS PLATINUM UV</x:v>
      </x:c>
      <x:c r="J1420" s="40" t="n">
        <x:v>2419</x:v>
      </x:c>
      <x:c r="K1420" s="24" t="str">
        <x:v>-6.00 a +6.00</x:v>
      </x:c>
      <x:c r="L1420" s="24" t="str">
        <x:v>-4.00</x:v>
      </x:c>
      <x:c r="M1420" s="24" t="str">
        <x:v>-</x:v>
      </x:c>
      <x:c r="N1420" s="24" t="str">
        <x:v>75</x:v>
      </x:c>
      <x:c r="O1420" s="24"/>
      <x:c r="P1420" s="24"/>
      <x:c r="Q1420" s="24" t="str">
        <x:v>DISPONÍVEL</x:v>
      </x:c>
      <x:c r="R1420" s="24"/>
      <x:c r="S1420" s="24" t="n">
        <x:v>15</x:v>
      </x:c>
      <x:c r="T1420" s="24" t="str">
        <x:v>tabela_zeiss.pdf</x:v>
      </x:c>
      <x:c r="U1420" s="24" t="str">
        <x:v>ZEISS|Visão Simples|Surfaçada|SmartLife Individual 3||1.5|1.50|DURAVISION® ANTIVÍRUS PLATINUM UV|-6.00 a +6.00|-4.00|-|75|||15</x:v>
      </x:c>
    </x:row>
    <x:row r="1421">
      <x:c r="A1421" s="24" t="str">
        <x:v>ZS-E5DE8AEAF5E6</x:v>
      </x:c>
      <x:c r="B1421" s="24" t="str">
        <x:v>ZEISS</x:v>
      </x:c>
      <x:c r="C1421" s="24" t="str">
        <x:v>Visão Simples</x:v>
      </x:c>
      <x:c r="D1421" s="24" t="str">
        <x:v>Surfaçada</x:v>
      </x:c>
      <x:c r="E1421" s="24" t="str">
        <x:v>SmartLife Individual 3</x:v>
      </x:c>
      <x:c r="F1421" s="24"/>
      <x:c r="G1421" s="24" t="str">
        <x:v>1.5</x:v>
      </x:c>
      <x:c r="H1421" s="24" t="str">
        <x:v>1.50</x:v>
      </x:c>
      <x:c r="I1421" s="24" t="str">
        <x:v>DuraVision Platinum UV</x:v>
      </x:c>
      <x:c r="J1421" s="40" t="n">
        <x:v>2419</x:v>
      </x:c>
      <x:c r="K1421" s="24" t="str">
        <x:v>-6.00 a +6.00</x:v>
      </x:c>
      <x:c r="L1421" s="24" t="str">
        <x:v>-4.00</x:v>
      </x:c>
      <x:c r="M1421" s="24" t="str">
        <x:v>-</x:v>
      </x:c>
      <x:c r="N1421" s="24" t="str">
        <x:v>75</x:v>
      </x:c>
      <x:c r="O1421" s="24"/>
      <x:c r="P1421" s="24"/>
      <x:c r="Q1421" s="24" t="str">
        <x:v>DISPONÍVEL</x:v>
      </x:c>
      <x:c r="R1421" s="24"/>
      <x:c r="S1421" s="24" t="n">
        <x:v>15</x:v>
      </x:c>
      <x:c r="T1421" s="24" t="str">
        <x:v>tabela_zeiss.pdf</x:v>
      </x:c>
      <x:c r="U1421" s="24" t="str">
        <x:v>ZEISS|Visão Simples|Surfaçada|SmartLife Individual 3||1.5|1.50|DuraVision Platinum UV|-6.00 a +6.00|-4.00|-|75|||15</x:v>
      </x:c>
    </x:row>
    <x:row r="1422">
      <x:c r="A1422" s="24" t="str">
        <x:v>ZS-141877E09762</x:v>
      </x:c>
      <x:c r="B1422" s="24" t="str">
        <x:v>ZEISS</x:v>
      </x:c>
      <x:c r="C1422" s="24" t="str">
        <x:v>Visão Simples</x:v>
      </x:c>
      <x:c r="D1422" s="24" t="str">
        <x:v>Surfaçada</x:v>
      </x:c>
      <x:c r="E1422" s="24" t="str">
        <x:v>SmartLife Individual 3</x:v>
      </x:c>
      <x:c r="F1422" s="24"/>
      <x:c r="G1422" s="24" t="str">
        <x:v>1.5</x:v>
      </x:c>
      <x:c r="H1422" s="24" t="str">
        <x:v>1.50</x:v>
      </x:c>
      <x:c r="I1422" s="24" t="str">
        <x:v>DuraVision Silver UV</x:v>
      </x:c>
      <x:c r="J1422" s="40" t="n">
        <x:v>2159</x:v>
      </x:c>
      <x:c r="K1422" s="24" t="str">
        <x:v>-6.00 a +6.00</x:v>
      </x:c>
      <x:c r="L1422" s="24" t="str">
        <x:v>-4.00</x:v>
      </x:c>
      <x:c r="M1422" s="24" t="str">
        <x:v>-</x:v>
      </x:c>
      <x:c r="N1422" s="24" t="str">
        <x:v>75</x:v>
      </x:c>
      <x:c r="O1422" s="24"/>
      <x:c r="P1422" s="24"/>
      <x:c r="Q1422" s="24" t="str">
        <x:v>DISPONÍVEL</x:v>
      </x:c>
      <x:c r="R1422" s="24"/>
      <x:c r="S1422" s="24" t="n">
        <x:v>15</x:v>
      </x:c>
      <x:c r="T1422" s="24" t="str">
        <x:v>tabela_zeiss.pdf</x:v>
      </x:c>
      <x:c r="U1422" s="24" t="str">
        <x:v>ZEISS|Visão Simples|Surfaçada|SmartLife Individual 3||1.5|1.50|DuraVision Silver UV|-6.00 a +6.00|-4.00|-|75|||15</x:v>
      </x:c>
    </x:row>
    <x:row r="1423">
      <x:c r="A1423" s="24" t="str">
        <x:v>ZS-79022E2ECB13</x:v>
      </x:c>
      <x:c r="B1423" s="24" t="str">
        <x:v>ZEISS</x:v>
      </x:c>
      <x:c r="C1423" s="24" t="str">
        <x:v>Visão Simples</x:v>
      </x:c>
      <x:c r="D1423" s="24" t="str">
        <x:v>Surfaçada</x:v>
      </x:c>
      <x:c r="E1423" s="24" t="str">
        <x:v>SmartLife Individual 3</x:v>
      </x:c>
      <x:c r="F1423" s="24"/>
      <x:c r="G1423" s="24" t="str">
        <x:v>1.5</x:v>
      </x:c>
      <x:c r="H1423" s="24" t="str">
        <x:v>1.50</x:v>
      </x:c>
      <x:c r="I1423" s="24" t="str">
        <x:v>DuraVision Chrome UV</x:v>
      </x:c>
      <x:c r="J1423" s="40" t="n">
        <x:v>1669</x:v>
      </x:c>
      <x:c r="K1423" s="24" t="str">
        <x:v>-6.00 a +6.00</x:v>
      </x:c>
      <x:c r="L1423" s="24" t="str">
        <x:v>-4.00</x:v>
      </x:c>
      <x:c r="M1423" s="24" t="str">
        <x:v>-</x:v>
      </x:c>
      <x:c r="N1423" s="24" t="str">
        <x:v>75</x:v>
      </x:c>
      <x:c r="O1423" s="24"/>
      <x:c r="P1423" s="24"/>
      <x:c r="Q1423" s="24" t="str">
        <x:v>DISPONÍVEL</x:v>
      </x:c>
      <x:c r="R1423" s="24"/>
      <x:c r="S1423" s="24" t="n">
        <x:v>15</x:v>
      </x:c>
      <x:c r="T1423" s="24" t="str">
        <x:v>tabela_zeiss.pdf</x:v>
      </x:c>
      <x:c r="U1423" s="24" t="str">
        <x:v>ZEISS|Visão Simples|Surfaçada|SmartLife Individual 3||1.5|1.50|DuraVision Chrome UV|-6.00 a +6.00|-4.00|-|75|||15</x:v>
      </x:c>
    </x:row>
    <x:row r="1424">
      <x:c r="A1424" s="24" t="str">
        <x:v>ZS-FC06F7A3EBD9</x:v>
      </x:c>
      <x:c r="B1424" s="24" t="str">
        <x:v>ZEISS</x:v>
      </x:c>
      <x:c r="C1424" s="24" t="str">
        <x:v>Visão Simples</x:v>
      </x:c>
      <x:c r="D1424" s="24" t="str">
        <x:v>Surfaçada</x:v>
      </x:c>
      <x:c r="E1424" s="24" t="str">
        <x:v>SmartLife Individual 3</x:v>
      </x:c>
      <x:c r="F1424" s="24"/>
      <x:c r="G1424" s="24" t="str">
        <x:v>Poli</x:v>
      </x:c>
      <x:c r="H1424" s="24"/>
      <x:c r="I1424" s="24" t="str">
        <x:v>DuraVision Gold UV</x:v>
      </x:c>
      <x:c r="J1424" s="40" t="n">
        <x:v>2919</x:v>
      </x:c>
      <x:c r="K1424" s="24" t="str">
        <x:v>-10.00 a +8.00</x:v>
      </x:c>
      <x:c r="L1424" s="24" t="str">
        <x:v>-4.00</x:v>
      </x:c>
      <x:c r="M1424" s="24" t="str">
        <x:v>-</x:v>
      </x:c>
      <x:c r="N1424" s="24" t="str">
        <x:v>70</x:v>
      </x:c>
      <x:c r="O1424" s="24"/>
      <x:c r="P1424" s="24"/>
      <x:c r="Q1424" s="24" t="str">
        <x:v>DISPONÍVEL</x:v>
      </x:c>
      <x:c r="R1424" s="24"/>
      <x:c r="S1424" s="24" t="n">
        <x:v>15</x:v>
      </x:c>
      <x:c r="T1424" s="24" t="str">
        <x:v>tabela_zeiss.pdf</x:v>
      </x:c>
      <x:c r="U1424" s="24" t="str">
        <x:v>ZEISS|Visão Simples|Surfaçada|SmartLife Individual 3||Poli||DuraVision Gold UV|-10.00 a +8.00|-4.00|-|70|||15</x:v>
      </x:c>
    </x:row>
    <x:row r="1425">
      <x:c r="A1425" s="24" t="str">
        <x:v>ZS-537C845745F3</x:v>
      </x:c>
      <x:c r="B1425" s="24" t="str">
        <x:v>ZEISS</x:v>
      </x:c>
      <x:c r="C1425" s="24" t="str">
        <x:v>Visão Simples</x:v>
      </x:c>
      <x:c r="D1425" s="24" t="str">
        <x:v>Surfaçada</x:v>
      </x:c>
      <x:c r="E1425" s="24" t="str">
        <x:v>SmartLife Individual 3</x:v>
      </x:c>
      <x:c r="F1425" s="24"/>
      <x:c r="G1425" s="24" t="str">
        <x:v>Poli</x:v>
      </x:c>
      <x:c r="H1425" s="24"/>
      <x:c r="I1425" s="24" t="str">
        <x:v>DuraVision Platinum UV</x:v>
      </x:c>
      <x:c r="J1425" s="40" t="n">
        <x:v>2779</x:v>
      </x:c>
      <x:c r="K1425" s="24" t="str">
        <x:v>-10.00 a +8.00</x:v>
      </x:c>
      <x:c r="L1425" s="24" t="str">
        <x:v>-4.00</x:v>
      </x:c>
      <x:c r="M1425" s="24" t="str">
        <x:v>-</x:v>
      </x:c>
      <x:c r="N1425" s="24" t="str">
        <x:v>70</x:v>
      </x:c>
      <x:c r="O1425" s="24"/>
      <x:c r="P1425" s="24"/>
      <x:c r="Q1425" s="24" t="str">
        <x:v>DISPONÍVEL</x:v>
      </x:c>
      <x:c r="R1425" s="24"/>
      <x:c r="S1425" s="24" t="n">
        <x:v>15</x:v>
      </x:c>
      <x:c r="T1425" s="24" t="str">
        <x:v>tabela_zeiss.pdf</x:v>
      </x:c>
      <x:c r="U1425" s="24" t="str">
        <x:v>ZEISS|Visão Simples|Surfaçada|SmartLife Individual 3||Poli||DuraVision Platinum UV|-10.00 a +8.00|-4.00|-|70|||15</x:v>
      </x:c>
    </x:row>
    <x:row r="1426">
      <x:c r="A1426" s="24" t="str">
        <x:v>ZS-390DF1819B8E</x:v>
      </x:c>
      <x:c r="B1426" s="24" t="str">
        <x:v>ZEISS</x:v>
      </x:c>
      <x:c r="C1426" s="24" t="str">
        <x:v>Visão Simples</x:v>
      </x:c>
      <x:c r="D1426" s="24" t="str">
        <x:v>Surfaçada</x:v>
      </x:c>
      <x:c r="E1426" s="24" t="str">
        <x:v>SmartLife Individual 3</x:v>
      </x:c>
      <x:c r="F1426" s="24"/>
      <x:c r="G1426" s="24" t="str">
        <x:v>Poli</x:v>
      </x:c>
      <x:c r="H1426" s="24"/>
      <x:c r="I1426" s="24" t="str">
        <x:v>DuraVision Silver UV</x:v>
      </x:c>
      <x:c r="J1426" s="40" t="n">
        <x:v>2519</x:v>
      </x:c>
      <x:c r="K1426" s="24" t="str">
        <x:v>-10.00 a +8.00</x:v>
      </x:c>
      <x:c r="L1426" s="24" t="str">
        <x:v>-4.00</x:v>
      </x:c>
      <x:c r="M1426" s="24" t="str">
        <x:v>-</x:v>
      </x:c>
      <x:c r="N1426" s="24" t="str">
        <x:v>70</x:v>
      </x:c>
      <x:c r="O1426" s="24"/>
      <x:c r="P1426" s="24"/>
      <x:c r="Q1426" s="24" t="str">
        <x:v>DISPONÍVEL</x:v>
      </x:c>
      <x:c r="R1426" s="24"/>
      <x:c r="S1426" s="24" t="n">
        <x:v>15</x:v>
      </x:c>
      <x:c r="T1426" s="24" t="str">
        <x:v>tabela_zeiss.pdf</x:v>
      </x:c>
      <x:c r="U1426" s="24" t="str">
        <x:v>ZEISS|Visão Simples|Surfaçada|SmartLife Individual 3||Poli||DuraVision Silver UV|-10.00 a +8.00|-4.00|-|70|||15</x:v>
      </x:c>
    </x:row>
    <x:row r="1427">
      <x:c r="A1427" s="24" t="str">
        <x:v>ZS-DB65A68D7087</x:v>
      </x:c>
      <x:c r="B1427" s="24" t="str">
        <x:v>ZEISS</x:v>
      </x:c>
      <x:c r="C1427" s="24" t="str">
        <x:v>Visão Simples</x:v>
      </x:c>
      <x:c r="D1427" s="24" t="str">
        <x:v>Surfaçada</x:v>
      </x:c>
      <x:c r="E1427" s="24" t="str">
        <x:v>SmartLife Individual 3</x:v>
      </x:c>
      <x:c r="F1427" s="24"/>
      <x:c r="G1427" s="24" t="str">
        <x:v>Poli</x:v>
      </x:c>
      <x:c r="H1427" s="24"/>
      <x:c r="I1427" s="24" t="str">
        <x:v>DuraVision Chrome UV</x:v>
      </x:c>
      <x:c r="J1427" s="40" t="n">
        <x:v>2029</x:v>
      </x:c>
      <x:c r="K1427" s="24" t="str">
        <x:v>-10.00 a +8.00</x:v>
      </x:c>
      <x:c r="L1427" s="24" t="str">
        <x:v>-4.00</x:v>
      </x:c>
      <x:c r="M1427" s="24" t="str">
        <x:v>-</x:v>
      </x:c>
      <x:c r="N1427" s="24" t="str">
        <x:v>70</x:v>
      </x:c>
      <x:c r="O1427" s="24"/>
      <x:c r="P1427" s="24"/>
      <x:c r="Q1427" s="24" t="str">
        <x:v>DISPONÍVEL</x:v>
      </x:c>
      <x:c r="R1427" s="24"/>
      <x:c r="S1427" s="24" t="n">
        <x:v>15</x:v>
      </x:c>
      <x:c r="T1427" s="24" t="str">
        <x:v>tabela_zeiss.pdf</x:v>
      </x:c>
      <x:c r="U1427" s="24" t="str">
        <x:v>ZEISS|Visão Simples|Surfaçada|SmartLife Individual 3||Poli||DuraVision Chrome UV|-10.00 a +8.00|-4.00|-|70|||15</x:v>
      </x:c>
    </x:row>
    <x:row r="1428">
      <x:c r="A1428" s="24" t="str">
        <x:v>ZS-61D73B758D11</x:v>
      </x:c>
      <x:c r="B1428" s="24" t="str">
        <x:v>ZEISS</x:v>
      </x:c>
      <x:c r="C1428" s="24" t="str">
        <x:v>Visão Simples</x:v>
      </x:c>
      <x:c r="D1428" s="24" t="str">
        <x:v>Surfaçada</x:v>
      </x:c>
      <x:c r="E1428" s="24" t="str">
        <x:v>SmartLife Individual 3</x:v>
      </x:c>
      <x:c r="F1428" s="24"/>
      <x:c r="G1428" s="24" t="str">
        <x:v>1.6</x:v>
      </x:c>
      <x:c r="H1428" s="24" t="str">
        <x:v>1.60</x:v>
      </x:c>
      <x:c r="I1428" s="24" t="str">
        <x:v>DuraVision Gold UV</x:v>
      </x:c>
      <x:c r="J1428" s="40" t="n">
        <x:v>3139</x:v>
      </x:c>
      <x:c r="K1428" s="24" t="str">
        <x:v>-6.00 a +6.00</x:v>
      </x:c>
      <x:c r="L1428" s="24" t="str">
        <x:v>-6.00</x:v>
      </x:c>
      <x:c r="M1428" s="24" t="str">
        <x:v>-</x:v>
      </x:c>
      <x:c r="N1428" s="24" t="str">
        <x:v>75</x:v>
      </x:c>
      <x:c r="O1428" s="24"/>
      <x:c r="P1428" s="24"/>
      <x:c r="Q1428" s="24" t="str">
        <x:v>DISPONÍVEL</x:v>
      </x:c>
      <x:c r="R1428" s="24"/>
      <x:c r="S1428" s="24" t="n">
        <x:v>15</x:v>
      </x:c>
      <x:c r="T1428" s="24" t="str">
        <x:v>tabela_zeiss.pdf</x:v>
      </x:c>
      <x:c r="U1428" s="24" t="str">
        <x:v>ZEISS|Visão Simples|Surfaçada|SmartLife Individual 3||1.6|1.60|DuraVision Gold UV|-6.00 a +6.00|-6.00|-|75|||15</x:v>
      </x:c>
    </x:row>
    <x:row r="1429">
      <x:c r="A1429" s="24" t="str">
        <x:v>ZS-6D402D9A3459</x:v>
      </x:c>
      <x:c r="B1429" s="24" t="str">
        <x:v>ZEISS</x:v>
      </x:c>
      <x:c r="C1429" s="24" t="str">
        <x:v>Visão Simples</x:v>
      </x:c>
      <x:c r="D1429" s="24" t="str">
        <x:v>Surfaçada</x:v>
      </x:c>
      <x:c r="E1429" s="24" t="str">
        <x:v>SmartLife Individual 3</x:v>
      </x:c>
      <x:c r="F1429" s="24"/>
      <x:c r="G1429" s="24" t="str">
        <x:v>1.6</x:v>
      </x:c>
      <x:c r="H1429" s="24" t="str">
        <x:v>1.60</x:v>
      </x:c>
      <x:c r="I1429" s="24" t="str">
        <x:v>DURAVISION® ANTIVÍRUS PLATINUM UV</x:v>
      </x:c>
      <x:c r="J1429" s="40" t="n">
        <x:v>2999</x:v>
      </x:c>
      <x:c r="K1429" s="24" t="str">
        <x:v>-6.00 a +6.00</x:v>
      </x:c>
      <x:c r="L1429" s="24" t="str">
        <x:v>-6.00</x:v>
      </x:c>
      <x:c r="M1429" s="24" t="str">
        <x:v>-</x:v>
      </x:c>
      <x:c r="N1429" s="24" t="str">
        <x:v>75</x:v>
      </x:c>
      <x:c r="O1429" s="24"/>
      <x:c r="P1429" s="24"/>
      <x:c r="Q1429" s="24" t="str">
        <x:v>DISPONÍVEL</x:v>
      </x:c>
      <x:c r="R1429" s="24"/>
      <x:c r="S1429" s="24" t="n">
        <x:v>15</x:v>
      </x:c>
      <x:c r="T1429" s="24" t="str">
        <x:v>tabela_zeiss.pdf</x:v>
      </x:c>
      <x:c r="U1429" s="24" t="str">
        <x:v>ZEISS|Visão Simples|Surfaçada|SmartLife Individual 3||1.6|1.60|DURAVISION® ANTIVÍRUS PLATINUM UV|-6.00 a +6.00|-6.00|-|75|||15</x:v>
      </x:c>
    </x:row>
    <x:row r="1430">
      <x:c r="A1430" s="24" t="str">
        <x:v>ZS-49054A79E6B5</x:v>
      </x:c>
      <x:c r="B1430" s="24" t="str">
        <x:v>ZEISS</x:v>
      </x:c>
      <x:c r="C1430" s="24" t="str">
        <x:v>Visão Simples</x:v>
      </x:c>
      <x:c r="D1430" s="24" t="str">
        <x:v>Surfaçada</x:v>
      </x:c>
      <x:c r="E1430" s="24" t="str">
        <x:v>SmartLife Individual 3</x:v>
      </x:c>
      <x:c r="F1430" s="24"/>
      <x:c r="G1430" s="24" t="str">
        <x:v>1.6</x:v>
      </x:c>
      <x:c r="H1430" s="24" t="str">
        <x:v>1.60</x:v>
      </x:c>
      <x:c r="I1430" s="24" t="str">
        <x:v>DuraVision Platinum UV</x:v>
      </x:c>
      <x:c r="J1430" s="40" t="n">
        <x:v>2999</x:v>
      </x:c>
      <x:c r="K1430" s="24" t="str">
        <x:v>-6.00 a +6.00</x:v>
      </x:c>
      <x:c r="L1430" s="24" t="str">
        <x:v>-6.00</x:v>
      </x:c>
      <x:c r="M1430" s="24" t="str">
        <x:v>-</x:v>
      </x:c>
      <x:c r="N1430" s="24" t="str">
        <x:v>75</x:v>
      </x:c>
      <x:c r="O1430" s="24"/>
      <x:c r="P1430" s="24"/>
      <x:c r="Q1430" s="24" t="str">
        <x:v>DISPONÍVEL</x:v>
      </x:c>
      <x:c r="R1430" s="24"/>
      <x:c r="S1430" s="24" t="n">
        <x:v>15</x:v>
      </x:c>
      <x:c r="T1430" s="24" t="str">
        <x:v>tabela_zeiss.pdf</x:v>
      </x:c>
      <x:c r="U1430" s="24" t="str">
        <x:v>ZEISS|Visão Simples|Surfaçada|SmartLife Individual 3||1.6|1.60|DuraVision Platinum UV|-6.00 a +6.00|-6.00|-|75|||15</x:v>
      </x:c>
    </x:row>
    <x:row r="1431">
      <x:c r="A1431" s="24" t="str">
        <x:v>ZS-89C6912E410F</x:v>
      </x:c>
      <x:c r="B1431" s="24" t="str">
        <x:v>ZEISS</x:v>
      </x:c>
      <x:c r="C1431" s="24" t="str">
        <x:v>Visão Simples</x:v>
      </x:c>
      <x:c r="D1431" s="24" t="str">
        <x:v>Surfaçada</x:v>
      </x:c>
      <x:c r="E1431" s="24" t="str">
        <x:v>SmartLife Individual 3</x:v>
      </x:c>
      <x:c r="F1431" s="24"/>
      <x:c r="G1431" s="24" t="str">
        <x:v>1.6</x:v>
      </x:c>
      <x:c r="H1431" s="24" t="str">
        <x:v>1.60</x:v>
      </x:c>
      <x:c r="I1431" s="24" t="str">
        <x:v>DuraVision Silver UV</x:v>
      </x:c>
      <x:c r="J1431" s="40" t="n">
        <x:v>2739</x:v>
      </x:c>
      <x:c r="K1431" s="24" t="str">
        <x:v>-6.00 a +6.00</x:v>
      </x:c>
      <x:c r="L1431" s="24" t="str">
        <x:v>-6.00</x:v>
      </x:c>
      <x:c r="M1431" s="24" t="str">
        <x:v>-</x:v>
      </x:c>
      <x:c r="N1431" s="24" t="str">
        <x:v>75</x:v>
      </x:c>
      <x:c r="O1431" s="24"/>
      <x:c r="P1431" s="24"/>
      <x:c r="Q1431" s="24" t="str">
        <x:v>DISPONÍVEL</x:v>
      </x:c>
      <x:c r="R1431" s="24"/>
      <x:c r="S1431" s="24" t="n">
        <x:v>15</x:v>
      </x:c>
      <x:c r="T1431" s="24" t="str">
        <x:v>tabela_zeiss.pdf</x:v>
      </x:c>
      <x:c r="U1431" s="24" t="str">
        <x:v>ZEISS|Visão Simples|Surfaçada|SmartLife Individual 3||1.6|1.60|DuraVision Silver UV|-6.00 a +6.00|-6.00|-|75|||15</x:v>
      </x:c>
    </x:row>
    <x:row r="1432">
      <x:c r="A1432" s="24" t="str">
        <x:v>ZS-5CF91AB06FB8</x:v>
      </x:c>
      <x:c r="B1432" s="24" t="str">
        <x:v>ZEISS</x:v>
      </x:c>
      <x:c r="C1432" s="24" t="str">
        <x:v>Visão Simples</x:v>
      </x:c>
      <x:c r="D1432" s="24" t="str">
        <x:v>Surfaçada</x:v>
      </x:c>
      <x:c r="E1432" s="24" t="str">
        <x:v>SmartLife Individual 3</x:v>
      </x:c>
      <x:c r="F1432" s="24"/>
      <x:c r="G1432" s="24" t="str">
        <x:v>1.6</x:v>
      </x:c>
      <x:c r="H1432" s="24" t="str">
        <x:v>1.60</x:v>
      </x:c>
      <x:c r="I1432" s="24" t="str">
        <x:v>DuraVision Chrome UV</x:v>
      </x:c>
      <x:c r="J1432" s="40" t="n">
        <x:v>2249</x:v>
      </x:c>
      <x:c r="K1432" s="24" t="str">
        <x:v>-6.00 a +6.00</x:v>
      </x:c>
      <x:c r="L1432" s="24" t="str">
        <x:v>-6.00</x:v>
      </x:c>
      <x:c r="M1432" s="24" t="str">
        <x:v>-</x:v>
      </x:c>
      <x:c r="N1432" s="24" t="str">
        <x:v>75</x:v>
      </x:c>
      <x:c r="O1432" s="24"/>
      <x:c r="P1432" s="24"/>
      <x:c r="Q1432" s="24" t="str">
        <x:v>DISPONÍVEL</x:v>
      </x:c>
      <x:c r="R1432" s="24"/>
      <x:c r="S1432" s="24" t="n">
        <x:v>15</x:v>
      </x:c>
      <x:c r="T1432" s="24" t="str">
        <x:v>tabela_zeiss.pdf</x:v>
      </x:c>
      <x:c r="U1432" s="24" t="str">
        <x:v>ZEISS|Visão Simples|Surfaçada|SmartLife Individual 3||1.6|1.60|DuraVision Chrome UV|-6.00 a +6.00|-6.00|-|75|||15</x:v>
      </x:c>
    </x:row>
    <x:row r="1433">
      <x:c r="A1433" s="24" t="str">
        <x:v>ZS-C361B1CF553D</x:v>
      </x:c>
      <x:c r="B1433" s="24" t="str">
        <x:v>ZEISS</x:v>
      </x:c>
      <x:c r="C1433" s="24" t="str">
        <x:v>Visão Simples</x:v>
      </x:c>
      <x:c r="D1433" s="24" t="str">
        <x:v>Surfaçada</x:v>
      </x:c>
      <x:c r="E1433" s="24" t="str">
        <x:v>SmartLife Individual 3</x:v>
      </x:c>
      <x:c r="F1433" s="24"/>
      <x:c r="G1433" s="24" t="str">
        <x:v>1.67</x:v>
      </x:c>
      <x:c r="H1433" s="24" t="str">
        <x:v>1.67</x:v>
      </x:c>
      <x:c r="I1433" s="24" t="str">
        <x:v>DuraVision Gold UV</x:v>
      </x:c>
      <x:c r="J1433" s="40" t="n">
        <x:v>4439</x:v>
      </x:c>
      <x:c r="K1433" s="24" t="str">
        <x:v>-8.00 a +8.00</x:v>
      </x:c>
      <x:c r="L1433" s="24" t="str">
        <x:v>-6.00</x:v>
      </x:c>
      <x:c r="M1433" s="24" t="str">
        <x:v>-</x:v>
      </x:c>
      <x:c r="N1433" s="24" t="str">
        <x:v>70</x:v>
      </x:c>
      <x:c r="O1433" s="24"/>
      <x:c r="P1433" s="24"/>
      <x:c r="Q1433" s="24" t="str">
        <x:v>DISPONÍVEL</x:v>
      </x:c>
      <x:c r="R1433" s="24"/>
      <x:c r="S1433" s="24" t="n">
        <x:v>15</x:v>
      </x:c>
      <x:c r="T1433" s="24" t="str">
        <x:v>tabela_zeiss.pdf</x:v>
      </x:c>
      <x:c r="U1433" s="24" t="str">
        <x:v>ZEISS|Visão Simples|Surfaçada|SmartLife Individual 3||1.67|1.67|DuraVision Gold UV|-8.00 a +8.00|-6.00|-|70|||15</x:v>
      </x:c>
    </x:row>
    <x:row r="1434">
      <x:c r="A1434" s="24" t="str">
        <x:v>ZS-EC98A73DDC27</x:v>
      </x:c>
      <x:c r="B1434" s="24" t="str">
        <x:v>ZEISS</x:v>
      </x:c>
      <x:c r="C1434" s="24" t="str">
        <x:v>Visão Simples</x:v>
      </x:c>
      <x:c r="D1434" s="24" t="str">
        <x:v>Surfaçada</x:v>
      </x:c>
      <x:c r="E1434" s="24" t="str">
        <x:v>SmartLife Individual 3</x:v>
      </x:c>
      <x:c r="F1434" s="24"/>
      <x:c r="G1434" s="24" t="str">
        <x:v>1.67</x:v>
      </x:c>
      <x:c r="H1434" s="24" t="str">
        <x:v>1.67</x:v>
      </x:c>
      <x:c r="I1434" s="24" t="str">
        <x:v>DURAVISION® ANTIVÍRUS PLATINUM UV</x:v>
      </x:c>
      <x:c r="J1434" s="40" t="n">
        <x:v>4299</x:v>
      </x:c>
      <x:c r="K1434" s="24" t="str">
        <x:v>-8.00 a +8.00</x:v>
      </x:c>
      <x:c r="L1434" s="24" t="str">
        <x:v>-6.00</x:v>
      </x:c>
      <x:c r="M1434" s="24" t="str">
        <x:v>-</x:v>
      </x:c>
      <x:c r="N1434" s="24" t="str">
        <x:v>70</x:v>
      </x:c>
      <x:c r="O1434" s="24"/>
      <x:c r="P1434" s="24"/>
      <x:c r="Q1434" s="24" t="str">
        <x:v>DISPONÍVEL</x:v>
      </x:c>
      <x:c r="R1434" s="24"/>
      <x:c r="S1434" s="24" t="n">
        <x:v>15</x:v>
      </x:c>
      <x:c r="T1434" s="24" t="str">
        <x:v>tabela_zeiss.pdf</x:v>
      </x:c>
      <x:c r="U1434" s="24" t="str">
        <x:v>ZEISS|Visão Simples|Surfaçada|SmartLife Individual 3||1.67|1.67|DURAVISION® ANTIVÍRUS PLATINUM UV|-8.00 a +8.00|-6.00|-|70|||15</x:v>
      </x:c>
    </x:row>
    <x:row r="1435">
      <x:c r="A1435" s="24" t="str">
        <x:v>ZS-408F68CAB2F6</x:v>
      </x:c>
      <x:c r="B1435" s="24" t="str">
        <x:v>ZEISS</x:v>
      </x:c>
      <x:c r="C1435" s="24" t="str">
        <x:v>Visão Simples</x:v>
      </x:c>
      <x:c r="D1435" s="24" t="str">
        <x:v>Surfaçada</x:v>
      </x:c>
      <x:c r="E1435" s="24" t="str">
        <x:v>SmartLife Individual 3</x:v>
      </x:c>
      <x:c r="F1435" s="24"/>
      <x:c r="G1435" s="24" t="str">
        <x:v>1.67</x:v>
      </x:c>
      <x:c r="H1435" s="24" t="str">
        <x:v>1.67</x:v>
      </x:c>
      <x:c r="I1435" s="24" t="str">
        <x:v>DuraVision Platinum UV</x:v>
      </x:c>
      <x:c r="J1435" s="40" t="n">
        <x:v>4299</x:v>
      </x:c>
      <x:c r="K1435" s="24" t="str">
        <x:v>-8.00 a +8.00</x:v>
      </x:c>
      <x:c r="L1435" s="24" t="str">
        <x:v>-6.00</x:v>
      </x:c>
      <x:c r="M1435" s="24" t="str">
        <x:v>-</x:v>
      </x:c>
      <x:c r="N1435" s="24" t="str">
        <x:v>70</x:v>
      </x:c>
      <x:c r="O1435" s="24"/>
      <x:c r="P1435" s="24"/>
      <x:c r="Q1435" s="24" t="str">
        <x:v>DISPONÍVEL</x:v>
      </x:c>
      <x:c r="R1435" s="24"/>
      <x:c r="S1435" s="24" t="n">
        <x:v>15</x:v>
      </x:c>
      <x:c r="T1435" s="24" t="str">
        <x:v>tabela_zeiss.pdf</x:v>
      </x:c>
      <x:c r="U1435" s="24" t="str">
        <x:v>ZEISS|Visão Simples|Surfaçada|SmartLife Individual 3||1.67|1.67|DuraVision Platinum UV|-8.00 a +8.00|-6.00|-|70|||15</x:v>
      </x:c>
    </x:row>
    <x:row r="1436">
      <x:c r="A1436" s="24" t="str">
        <x:v>ZS-7830718CDAEF</x:v>
      </x:c>
      <x:c r="B1436" s="24" t="str">
        <x:v>ZEISS</x:v>
      </x:c>
      <x:c r="C1436" s="24" t="str">
        <x:v>Visão Simples</x:v>
      </x:c>
      <x:c r="D1436" s="24" t="str">
        <x:v>Surfaçada</x:v>
      </x:c>
      <x:c r="E1436" s="24" t="str">
        <x:v>SmartLife Individual 3</x:v>
      </x:c>
      <x:c r="F1436" s="24"/>
      <x:c r="G1436" s="24" t="str">
        <x:v>1.67</x:v>
      </x:c>
      <x:c r="H1436" s="24" t="str">
        <x:v>1.67</x:v>
      </x:c>
      <x:c r="I1436" s="24" t="str">
        <x:v>DuraVision Silver UV</x:v>
      </x:c>
      <x:c r="J1436" s="40" t="n">
        <x:v>4039</x:v>
      </x:c>
      <x:c r="K1436" s="24" t="str">
        <x:v>-8.00 a +8.00</x:v>
      </x:c>
      <x:c r="L1436" s="24" t="str">
        <x:v>-6.00</x:v>
      </x:c>
      <x:c r="M1436" s="24" t="str">
        <x:v>-</x:v>
      </x:c>
      <x:c r="N1436" s="24" t="str">
        <x:v>70</x:v>
      </x:c>
      <x:c r="O1436" s="24"/>
      <x:c r="P1436" s="24"/>
      <x:c r="Q1436" s="24" t="str">
        <x:v>DISPONÍVEL</x:v>
      </x:c>
      <x:c r="R1436" s="24"/>
      <x:c r="S1436" s="24" t="n">
        <x:v>15</x:v>
      </x:c>
      <x:c r="T1436" s="24" t="str">
        <x:v>tabela_zeiss.pdf</x:v>
      </x:c>
      <x:c r="U1436" s="24" t="str">
        <x:v>ZEISS|Visão Simples|Surfaçada|SmartLife Individual 3||1.67|1.67|DuraVision Silver UV|-8.00 a +8.00|-6.00|-|70|||15</x:v>
      </x:c>
    </x:row>
    <x:row r="1437">
      <x:c r="A1437" s="24" t="str">
        <x:v>ZS-05E0144E5A82</x:v>
      </x:c>
      <x:c r="B1437" s="24" t="str">
        <x:v>ZEISS</x:v>
      </x:c>
      <x:c r="C1437" s="24" t="str">
        <x:v>Visão Simples</x:v>
      </x:c>
      <x:c r="D1437" s="24" t="str">
        <x:v>Surfaçada</x:v>
      </x:c>
      <x:c r="E1437" s="24" t="str">
        <x:v>SmartLife Individual 3</x:v>
      </x:c>
      <x:c r="F1437" s="24"/>
      <x:c r="G1437" s="24" t="str">
        <x:v>1.67</x:v>
      </x:c>
      <x:c r="H1437" s="24" t="str">
        <x:v>1.67</x:v>
      </x:c>
      <x:c r="I1437" s="24" t="str">
        <x:v>DuraVision Chrome UV</x:v>
      </x:c>
      <x:c r="J1437" s="40" t="n">
        <x:v>3549</x:v>
      </x:c>
      <x:c r="K1437" s="24" t="str">
        <x:v>-8.00 a +8.00</x:v>
      </x:c>
      <x:c r="L1437" s="24" t="str">
        <x:v>-6.00</x:v>
      </x:c>
      <x:c r="M1437" s="24" t="str">
        <x:v>-</x:v>
      </x:c>
      <x:c r="N1437" s="24" t="str">
        <x:v>70</x:v>
      </x:c>
      <x:c r="O1437" s="24"/>
      <x:c r="P1437" s="24"/>
      <x:c r="Q1437" s="24" t="str">
        <x:v>DISPONÍVEL</x:v>
      </x:c>
      <x:c r="R1437" s="24"/>
      <x:c r="S1437" s="24" t="n">
        <x:v>15</x:v>
      </x:c>
      <x:c r="T1437" s="24" t="str">
        <x:v>tabela_zeiss.pdf</x:v>
      </x:c>
      <x:c r="U1437" s="24" t="str">
        <x:v>ZEISS|Visão Simples|Surfaçada|SmartLife Individual 3||1.67|1.67|DuraVision Chrome UV|-8.00 a +8.00|-6.00|-|70|||15</x:v>
      </x:c>
    </x:row>
    <x:row r="1438">
      <x:c r="A1438" s="24" t="str">
        <x:v>ZS-83B842D7D158</x:v>
      </x:c>
      <x:c r="B1438" s="24" t="str">
        <x:v>ZEISS</x:v>
      </x:c>
      <x:c r="C1438" s="24" t="str">
        <x:v>Visão Simples</x:v>
      </x:c>
      <x:c r="D1438" s="24" t="str">
        <x:v>Surfaçada</x:v>
      </x:c>
      <x:c r="E1438" s="24" t="str">
        <x:v>SmartLife Individual 3</x:v>
      </x:c>
      <x:c r="F1438" s="24"/>
      <x:c r="G1438" s="24" t="str">
        <x:v>1.74</x:v>
      </x:c>
      <x:c r="H1438" s="24" t="str">
        <x:v>1.74</x:v>
      </x:c>
      <x:c r="I1438" s="24" t="str">
        <x:v>DuraVision Gold UV</x:v>
      </x:c>
      <x:c r="J1438" s="40" t="n">
        <x:v>4749</x:v>
      </x:c>
      <x:c r="K1438" s="24" t="str">
        <x:v>-10.00 a +6.00</x:v>
      </x:c>
      <x:c r="L1438" s="24" t="str">
        <x:v>-6.00</x:v>
      </x:c>
      <x:c r="M1438" s="24" t="str">
        <x:v>-</x:v>
      </x:c>
      <x:c r="N1438" s="24" t="str">
        <x:v>70 a 75</x:v>
      </x:c>
      <x:c r="O1438" s="24"/>
      <x:c r="P1438" s="24"/>
      <x:c r="Q1438" s="24" t="str">
        <x:v>DISPONÍVEL</x:v>
      </x:c>
      <x:c r="R1438" s="24"/>
      <x:c r="S1438" s="24" t="n">
        <x:v>15</x:v>
      </x:c>
      <x:c r="T1438" s="24" t="str">
        <x:v>tabela_zeiss.pdf</x:v>
      </x:c>
      <x:c r="U1438" s="24" t="str">
        <x:v>ZEISS|Visão Simples|Surfaçada|SmartLife Individual 3||1.74|1.74|DuraVision Gold UV|-10.00 a +6.00|-6.00|-|70 a 75|||15</x:v>
      </x:c>
    </x:row>
    <x:row r="1439">
      <x:c r="A1439" s="24" t="str">
        <x:v>ZS-F265B57F11F4</x:v>
      </x:c>
      <x:c r="B1439" s="24" t="str">
        <x:v>ZEISS</x:v>
      </x:c>
      <x:c r="C1439" s="24" t="str">
        <x:v>Visão Simples</x:v>
      </x:c>
      <x:c r="D1439" s="24" t="str">
        <x:v>Surfaçada</x:v>
      </x:c>
      <x:c r="E1439" s="24" t="str">
        <x:v>SmartLife Individual 3</x:v>
      </x:c>
      <x:c r="F1439" s="24"/>
      <x:c r="G1439" s="24" t="str">
        <x:v>1.74</x:v>
      </x:c>
      <x:c r="H1439" s="24" t="str">
        <x:v>1.74</x:v>
      </x:c>
      <x:c r="I1439" s="24" t="str">
        <x:v>DuraVision Platinum UV</x:v>
      </x:c>
      <x:c r="J1439" s="40" t="n">
        <x:v>4609</x:v>
      </x:c>
      <x:c r="K1439" s="24" t="str">
        <x:v>-10.00 a +6.00</x:v>
      </x:c>
      <x:c r="L1439" s="24" t="str">
        <x:v>-6.00</x:v>
      </x:c>
      <x:c r="M1439" s="24" t="str">
        <x:v>-</x:v>
      </x:c>
      <x:c r="N1439" s="24" t="str">
        <x:v>70 a 75</x:v>
      </x:c>
      <x:c r="O1439" s="24"/>
      <x:c r="P1439" s="24"/>
      <x:c r="Q1439" s="24" t="str">
        <x:v>DISPONÍVEL</x:v>
      </x:c>
      <x:c r="R1439" s="24"/>
      <x:c r="S1439" s="24" t="n">
        <x:v>15</x:v>
      </x:c>
      <x:c r="T1439" s="24" t="str">
        <x:v>tabela_zeiss.pdf</x:v>
      </x:c>
      <x:c r="U1439" s="24" t="str">
        <x:v>ZEISS|Visão Simples|Surfaçada|SmartLife Individual 3||1.74|1.74|DuraVision Platinum UV|-10.00 a +6.00|-6.00|-|70 a 75|||15</x:v>
      </x:c>
    </x:row>
    <x:row r="1440">
      <x:c r="A1440" s="24" t="str">
        <x:v>ZS-8458ADF2A258</x:v>
      </x:c>
      <x:c r="B1440" s="24" t="str">
        <x:v>ZEISS</x:v>
      </x:c>
      <x:c r="C1440" s="24" t="str">
        <x:v>Visão Simples</x:v>
      </x:c>
      <x:c r="D1440" s="24" t="str">
        <x:v>Surfaçada</x:v>
      </x:c>
      <x:c r="E1440" s="24" t="str">
        <x:v>SmartLife Individual 3</x:v>
      </x:c>
      <x:c r="F1440" s="24"/>
      <x:c r="G1440" s="24" t="str">
        <x:v>1.74</x:v>
      </x:c>
      <x:c r="H1440" s="24" t="str">
        <x:v>1.74</x:v>
      </x:c>
      <x:c r="I1440" s="24" t="str">
        <x:v>DuraVision Silver UV</x:v>
      </x:c>
      <x:c r="J1440" s="40" t="n">
        <x:v>4349</x:v>
      </x:c>
      <x:c r="K1440" s="24" t="str">
        <x:v>-10.00 a +6.00</x:v>
      </x:c>
      <x:c r="L1440" s="24" t="str">
        <x:v>-6.00</x:v>
      </x:c>
      <x:c r="M1440" s="24" t="str">
        <x:v>-</x:v>
      </x:c>
      <x:c r="N1440" s="24" t="str">
        <x:v>70 a 75</x:v>
      </x:c>
      <x:c r="O1440" s="24"/>
      <x:c r="P1440" s="24"/>
      <x:c r="Q1440" s="24" t="str">
        <x:v>DISPONÍVEL</x:v>
      </x:c>
      <x:c r="R1440" s="24"/>
      <x:c r="S1440" s="24" t="n">
        <x:v>15</x:v>
      </x:c>
      <x:c r="T1440" s="24" t="str">
        <x:v>tabela_zeiss.pdf</x:v>
      </x:c>
      <x:c r="U1440" s="24" t="str">
        <x:v>ZEISS|Visão Simples|Surfaçada|SmartLife Individual 3||1.74|1.74|DuraVision Silver UV|-10.00 a +6.00|-6.00|-|70 a 75|||15</x:v>
      </x:c>
    </x:row>
    <x:row r="1441">
      <x:c r="A1441" s="24" t="str">
        <x:v>ZS-CCE831D61FBB</x:v>
      </x:c>
      <x:c r="B1441" s="24" t="str">
        <x:v>ZEISS</x:v>
      </x:c>
      <x:c r="C1441" s="24" t="str">
        <x:v>Visão Simples</x:v>
      </x:c>
      <x:c r="D1441" s="24" t="str">
        <x:v>Surfaçada</x:v>
      </x:c>
      <x:c r="E1441" s="24" t="str">
        <x:v>SmartLife Individual 3</x:v>
      </x:c>
      <x:c r="F1441" s="24"/>
      <x:c r="G1441" s="24" t="str">
        <x:v>1.74</x:v>
      </x:c>
      <x:c r="H1441" s="24" t="str">
        <x:v>1.74</x:v>
      </x:c>
      <x:c r="I1441" s="24" t="str">
        <x:v>DuraVision Chrome UV</x:v>
      </x:c>
      <x:c r="J1441" s="40" t="n">
        <x:v>3859</x:v>
      </x:c>
      <x:c r="K1441" s="24" t="str">
        <x:v>-10.00 a +6.00</x:v>
      </x:c>
      <x:c r="L1441" s="24" t="str">
        <x:v>-6.00</x:v>
      </x:c>
      <x:c r="M1441" s="24" t="str">
        <x:v>-</x:v>
      </x:c>
      <x:c r="N1441" s="24" t="str">
        <x:v>70 a 75</x:v>
      </x:c>
      <x:c r="O1441" s="24"/>
      <x:c r="P1441" s="24"/>
      <x:c r="Q1441" s="24" t="str">
        <x:v>DISPONÍVEL</x:v>
      </x:c>
      <x:c r="R1441" s="24"/>
      <x:c r="S1441" s="24" t="n">
        <x:v>15</x:v>
      </x:c>
      <x:c r="T1441" s="24" t="str">
        <x:v>tabela_zeiss.pdf</x:v>
      </x:c>
      <x:c r="U1441" s="24" t="str">
        <x:v>ZEISS|Visão Simples|Surfaçada|SmartLife Individual 3||1.74|1.74|DuraVision Chrome UV|-10.00 a +6.00|-6.00|-|70 a 75|||15</x:v>
      </x:c>
    </x:row>
    <x:row r="1442">
      <x:c r="A1442" s="24" t="str">
        <x:v>ZS-10C3DD31BC33</x:v>
      </x:c>
      <x:c r="B1442" s="24" t="str">
        <x:v>ZEISS</x:v>
      </x:c>
      <x:c r="C1442" s="24" t="str">
        <x:v>Visão Simples</x:v>
      </x:c>
      <x:c r="D1442" s="24" t="str">
        <x:v>Surfaçada</x:v>
      </x:c>
      <x:c r="E1442" s="24" t="str">
        <x:v>SmartLife Individual 3</x:v>
      </x:c>
      <x:c r="F1442" s="24" t="str">
        <x:v>PhotoFusion X</x:v>
      </x:c>
      <x:c r="G1442" s="24" t="str">
        <x:v>1.5</x:v>
      </x:c>
      <x:c r="H1442" s="24" t="str">
        <x:v>1.50</x:v>
      </x:c>
      <x:c r="I1442" s="24" t="str">
        <x:v>DuraVision Gold UV</x:v>
      </x:c>
      <x:c r="J1442" s="40" t="n">
        <x:v>3649</x:v>
      </x:c>
      <x:c r="K1442" s="24" t="str">
        <x:v>-6.00 a +6.00</x:v>
      </x:c>
      <x:c r="L1442" s="24" t="str">
        <x:v>-4.00</x:v>
      </x:c>
      <x:c r="M1442" s="24" t="str">
        <x:v>-</x:v>
      </x:c>
      <x:c r="N1442" s="24" t="str">
        <x:v>75</x:v>
      </x:c>
      <x:c r="O1442" s="24"/>
      <x:c r="P1442" s="24"/>
      <x:c r="Q1442" s="24" t="str">
        <x:v>DISPONÍVEL</x:v>
      </x:c>
      <x:c r="R1442" s="24" t="str">
        <x:v>Programa de Parcerias ZEISS</x:v>
      </x:c>
      <x:c r="S1442" s="24" t="n">
        <x:v>15</x:v>
      </x:c>
      <x:c r="T1442" s="24" t="str">
        <x:v>tabela_zeiss.pdf</x:v>
      </x:c>
      <x:c r="U1442" s="24" t="str">
        <x:v>ZEISS|Visão Simples|Surfaçada|SmartLife Individual 3|PhotoFusion X|1.5|1.50|DuraVision Gold UV|-6.00 a +6.00|-4.00|-|75|||15</x:v>
      </x:c>
    </x:row>
    <x:row r="1443">
      <x:c r="A1443" s="24" t="str">
        <x:v>ZS-527D1BA5CE5C</x:v>
      </x:c>
      <x:c r="B1443" s="24" t="str">
        <x:v>ZEISS</x:v>
      </x:c>
      <x:c r="C1443" s="24" t="str">
        <x:v>Visão Simples</x:v>
      </x:c>
      <x:c r="D1443" s="24" t="str">
        <x:v>Surfaçada</x:v>
      </x:c>
      <x:c r="E1443" s="24" t="str">
        <x:v>SmartLife Individual 3</x:v>
      </x:c>
      <x:c r="F1443" s="24" t="str">
        <x:v>PhotoFusion X</x:v>
      </x:c>
      <x:c r="G1443" s="24" t="str">
        <x:v>1.5</x:v>
      </x:c>
      <x:c r="H1443" s="24" t="str">
        <x:v>1.50</x:v>
      </x:c>
      <x:c r="I1443" s="24" t="str">
        <x:v>DURAVISION® ANTIVÍRUS PLATINUM UV</x:v>
      </x:c>
      <x:c r="J1443" s="40" t="n">
        <x:v>3509</x:v>
      </x:c>
      <x:c r="K1443" s="24" t="str">
        <x:v>-6.00 a +6.00</x:v>
      </x:c>
      <x:c r="L1443" s="24" t="str">
        <x:v>-4.00</x:v>
      </x:c>
      <x:c r="M1443" s="24" t="str">
        <x:v>-</x:v>
      </x:c>
      <x:c r="N1443" s="24" t="str">
        <x:v>75</x:v>
      </x:c>
      <x:c r="O1443" s="24"/>
      <x:c r="P1443" s="24"/>
      <x:c r="Q1443" s="24" t="str">
        <x:v>DISPONÍVEL</x:v>
      </x:c>
      <x:c r="R1443" s="24" t="str">
        <x:v>Programa de Parcerias ZEISS</x:v>
      </x:c>
      <x:c r="S1443" s="24" t="n">
        <x:v>15</x:v>
      </x:c>
      <x:c r="T1443" s="24" t="str">
        <x:v>tabela_zeiss.pdf</x:v>
      </x:c>
      <x:c r="U1443" s="24" t="str">
        <x:v>ZEISS|Visão Simples|Surfaçada|SmartLife Individual 3|PhotoFusion X|1.5|1.50|DURAVISION® ANTIVÍRUS PLATINUM UV|-6.00 a +6.00|-4.00|-|75|||15</x:v>
      </x:c>
    </x:row>
    <x:row r="1444">
      <x:c r="A1444" s="24" t="str">
        <x:v>ZS-1F3725E8370B</x:v>
      </x:c>
      <x:c r="B1444" s="24" t="str">
        <x:v>ZEISS</x:v>
      </x:c>
      <x:c r="C1444" s="24" t="str">
        <x:v>Visão Simples</x:v>
      </x:c>
      <x:c r="D1444" s="24" t="str">
        <x:v>Surfaçada</x:v>
      </x:c>
      <x:c r="E1444" s="24" t="str">
        <x:v>SmartLife Individual 3</x:v>
      </x:c>
      <x:c r="F1444" s="24" t="str">
        <x:v>PhotoFusion X</x:v>
      </x:c>
      <x:c r="G1444" s="24" t="str">
        <x:v>1.5</x:v>
      </x:c>
      <x:c r="H1444" s="24" t="str">
        <x:v>1.50</x:v>
      </x:c>
      <x:c r="I1444" s="24" t="str">
        <x:v>DuraVision Platinum UV</x:v>
      </x:c>
      <x:c r="J1444" s="40" t="n">
        <x:v>3509</x:v>
      </x:c>
      <x:c r="K1444" s="24" t="str">
        <x:v>-6.00 a +6.00</x:v>
      </x:c>
      <x:c r="L1444" s="24" t="str">
        <x:v>-4.00</x:v>
      </x:c>
      <x:c r="M1444" s="24" t="str">
        <x:v>-</x:v>
      </x:c>
      <x:c r="N1444" s="24" t="str">
        <x:v>75</x:v>
      </x:c>
      <x:c r="O1444" s="24"/>
      <x:c r="P1444" s="24"/>
      <x:c r="Q1444" s="24" t="str">
        <x:v>DISPONÍVEL</x:v>
      </x:c>
      <x:c r="R1444" s="24" t="str">
        <x:v>Programa de Parcerias ZEISS</x:v>
      </x:c>
      <x:c r="S1444" s="24" t="n">
        <x:v>15</x:v>
      </x:c>
      <x:c r="T1444" s="24" t="str">
        <x:v>tabela_zeiss.pdf</x:v>
      </x:c>
      <x:c r="U1444" s="24" t="str">
        <x:v>ZEISS|Visão Simples|Surfaçada|SmartLife Individual 3|PhotoFusion X|1.5|1.50|DuraVision Platinum UV|-6.00 a +6.00|-4.00|-|75|||15</x:v>
      </x:c>
    </x:row>
    <x:row r="1445">
      <x:c r="A1445" s="24" t="str">
        <x:v>ZS-811222CFBC54</x:v>
      </x:c>
      <x:c r="B1445" s="24" t="str">
        <x:v>ZEISS</x:v>
      </x:c>
      <x:c r="C1445" s="24" t="str">
        <x:v>Visão Simples</x:v>
      </x:c>
      <x:c r="D1445" s="24" t="str">
        <x:v>Surfaçada</x:v>
      </x:c>
      <x:c r="E1445" s="24" t="str">
        <x:v>SmartLife Individual 3</x:v>
      </x:c>
      <x:c r="F1445" s="24" t="str">
        <x:v>PhotoFusion X</x:v>
      </x:c>
      <x:c r="G1445" s="24" t="str">
        <x:v>1.5</x:v>
      </x:c>
      <x:c r="H1445" s="24" t="str">
        <x:v>1.50</x:v>
      </x:c>
      <x:c r="I1445" s="24" t="str">
        <x:v>DuraVision Silver UV</x:v>
      </x:c>
      <x:c r="J1445" s="40" t="n">
        <x:v>3249</x:v>
      </x:c>
      <x:c r="K1445" s="24" t="str">
        <x:v>-6.00 a +6.00</x:v>
      </x:c>
      <x:c r="L1445" s="24" t="str">
        <x:v>-4.00</x:v>
      </x:c>
      <x:c r="M1445" s="24" t="str">
        <x:v>-</x:v>
      </x:c>
      <x:c r="N1445" s="24" t="str">
        <x:v>75</x:v>
      </x:c>
      <x:c r="O1445" s="24"/>
      <x:c r="P1445" s="24"/>
      <x:c r="Q1445" s="24" t="str">
        <x:v>DISPONÍVEL</x:v>
      </x:c>
      <x:c r="R1445" s="24" t="str">
        <x:v>Programa de Parcerias ZEISS</x:v>
      </x:c>
      <x:c r="S1445" s="24" t="n">
        <x:v>15</x:v>
      </x:c>
      <x:c r="T1445" s="24" t="str">
        <x:v>tabela_zeiss.pdf</x:v>
      </x:c>
      <x:c r="U1445" s="24" t="str">
        <x:v>ZEISS|Visão Simples|Surfaçada|SmartLife Individual 3|PhotoFusion X|1.5|1.50|DuraVision Silver UV|-6.00 a +6.00|-4.00|-|75|||15</x:v>
      </x:c>
    </x:row>
    <x:row r="1446">
      <x:c r="A1446" s="24" t="str">
        <x:v>ZS-DBEDDB85881B</x:v>
      </x:c>
      <x:c r="B1446" s="24" t="str">
        <x:v>ZEISS</x:v>
      </x:c>
      <x:c r="C1446" s="24" t="str">
        <x:v>Visão Simples</x:v>
      </x:c>
      <x:c r="D1446" s="24" t="str">
        <x:v>Surfaçada</x:v>
      </x:c>
      <x:c r="E1446" s="24" t="str">
        <x:v>SmartLife Individual 3</x:v>
      </x:c>
      <x:c r="F1446" s="24" t="str">
        <x:v>PhotoFusion X</x:v>
      </x:c>
      <x:c r="G1446" s="24" t="str">
        <x:v>1.5</x:v>
      </x:c>
      <x:c r="H1446" s="24" t="str">
        <x:v>1.50</x:v>
      </x:c>
      <x:c r="I1446" s="24" t="str">
        <x:v>DuraVision Chrome UV</x:v>
      </x:c>
      <x:c r="J1446" s="40" t="n">
        <x:v>2759</x:v>
      </x:c>
      <x:c r="K1446" s="24" t="str">
        <x:v>-6.00 a +6.00</x:v>
      </x:c>
      <x:c r="L1446" s="24" t="str">
        <x:v>-4.00</x:v>
      </x:c>
      <x:c r="M1446" s="24" t="str">
        <x:v>-</x:v>
      </x:c>
      <x:c r="N1446" s="24" t="str">
        <x:v>75</x:v>
      </x:c>
      <x:c r="O1446" s="24"/>
      <x:c r="P1446" s="24"/>
      <x:c r="Q1446" s="24" t="str">
        <x:v>DISPONÍVEL</x:v>
      </x:c>
      <x:c r="R1446" s="24" t="str">
        <x:v>Programa de Parcerias ZEISS</x:v>
      </x:c>
      <x:c r="S1446" s="24" t="n">
        <x:v>15</x:v>
      </x:c>
      <x:c r="T1446" s="24" t="str">
        <x:v>tabela_zeiss.pdf</x:v>
      </x:c>
      <x:c r="U1446" s="24" t="str">
        <x:v>ZEISS|Visão Simples|Surfaçada|SmartLife Individual 3|PhotoFusion X|1.5|1.50|DuraVision Chrome UV|-6.00 a +6.00|-4.00|-|75|||15</x:v>
      </x:c>
    </x:row>
    <x:row r="1447">
      <x:c r="A1447" s="24" t="str">
        <x:v>ZS-60EA7426A685</x:v>
      </x:c>
      <x:c r="B1447" s="24" t="str">
        <x:v>ZEISS</x:v>
      </x:c>
      <x:c r="C1447" s="24" t="str">
        <x:v>Visão Simples</x:v>
      </x:c>
      <x:c r="D1447" s="24" t="str">
        <x:v>Surfaçada</x:v>
      </x:c>
      <x:c r="E1447" s="24" t="str">
        <x:v>SmartLife Individual 3</x:v>
      </x:c>
      <x:c r="F1447" s="24" t="str">
        <x:v>PhotoFusion X</x:v>
      </x:c>
      <x:c r="G1447" s="24" t="str">
        <x:v>Poli</x:v>
      </x:c>
      <x:c r="H1447" s="24"/>
      <x:c r="I1447" s="24" t="str">
        <x:v>DuraVision Gold UV</x:v>
      </x:c>
      <x:c r="J1447" s="40" t="n">
        <x:v>4009</x:v>
      </x:c>
      <x:c r="K1447" s="24" t="str">
        <x:v>-10.00 a +8.00</x:v>
      </x:c>
      <x:c r="L1447" s="24" t="str">
        <x:v>-4.00</x:v>
      </x:c>
      <x:c r="M1447" s="24" t="str">
        <x:v>-</x:v>
      </x:c>
      <x:c r="N1447" s="24" t="str">
        <x:v>70</x:v>
      </x:c>
      <x:c r="O1447" s="24"/>
      <x:c r="P1447" s="24"/>
      <x:c r="Q1447" s="24" t="str">
        <x:v>DISPONÍVEL</x:v>
      </x:c>
      <x:c r="R1447" s="24" t="str">
        <x:v>Programa de Parcerias ZEISS</x:v>
      </x:c>
      <x:c r="S1447" s="24" t="n">
        <x:v>15</x:v>
      </x:c>
      <x:c r="T1447" s="24" t="str">
        <x:v>tabela_zeiss.pdf</x:v>
      </x:c>
      <x:c r="U1447" s="24" t="str">
        <x:v>ZEISS|Visão Simples|Surfaçada|SmartLife Individual 3|PhotoFusion X|Poli||DuraVision Gold UV|-10.00 a +8.00|-4.00|-|70|||15</x:v>
      </x:c>
    </x:row>
    <x:row r="1448">
      <x:c r="A1448" s="24" t="str">
        <x:v>ZS-D5F773C8710C</x:v>
      </x:c>
      <x:c r="B1448" s="24" t="str">
        <x:v>ZEISS</x:v>
      </x:c>
      <x:c r="C1448" s="24" t="str">
        <x:v>Visão Simples</x:v>
      </x:c>
      <x:c r="D1448" s="24" t="str">
        <x:v>Surfaçada</x:v>
      </x:c>
      <x:c r="E1448" s="24" t="str">
        <x:v>SmartLife Individual 3</x:v>
      </x:c>
      <x:c r="F1448" s="24" t="str">
        <x:v>PhotoFusion X</x:v>
      </x:c>
      <x:c r="G1448" s="24" t="str">
        <x:v>Poli</x:v>
      </x:c>
      <x:c r="H1448" s="24"/>
      <x:c r="I1448" s="24" t="str">
        <x:v>DuraVision Platinum UV</x:v>
      </x:c>
      <x:c r="J1448" s="40" t="n">
        <x:v>3869</x:v>
      </x:c>
      <x:c r="K1448" s="24" t="str">
        <x:v>-10.00 a +8.00</x:v>
      </x:c>
      <x:c r="L1448" s="24" t="str">
        <x:v>-4.00</x:v>
      </x:c>
      <x:c r="M1448" s="24" t="str">
        <x:v>-</x:v>
      </x:c>
      <x:c r="N1448" s="24" t="str">
        <x:v>70</x:v>
      </x:c>
      <x:c r="O1448" s="24"/>
      <x:c r="P1448" s="24"/>
      <x:c r="Q1448" s="24" t="str">
        <x:v>DISPONÍVEL</x:v>
      </x:c>
      <x:c r="R1448" s="24" t="str">
        <x:v>Programa de Parcerias ZEISS</x:v>
      </x:c>
      <x:c r="S1448" s="24" t="n">
        <x:v>15</x:v>
      </x:c>
      <x:c r="T1448" s="24" t="str">
        <x:v>tabela_zeiss.pdf</x:v>
      </x:c>
      <x:c r="U1448" s="24" t="str">
        <x:v>ZEISS|Visão Simples|Surfaçada|SmartLife Individual 3|PhotoFusion X|Poli||DuraVision Platinum UV|-10.00 a +8.00|-4.00|-|70|||15</x:v>
      </x:c>
    </x:row>
    <x:row r="1449">
      <x:c r="A1449" s="24" t="str">
        <x:v>ZS-F8B4BEEB6FC7</x:v>
      </x:c>
      <x:c r="B1449" s="24" t="str">
        <x:v>ZEISS</x:v>
      </x:c>
      <x:c r="C1449" s="24" t="str">
        <x:v>Visão Simples</x:v>
      </x:c>
      <x:c r="D1449" s="24" t="str">
        <x:v>Surfaçada</x:v>
      </x:c>
      <x:c r="E1449" s="24" t="str">
        <x:v>SmartLife Individual 3</x:v>
      </x:c>
      <x:c r="F1449" s="24" t="str">
        <x:v>PhotoFusion X</x:v>
      </x:c>
      <x:c r="G1449" s="24" t="str">
        <x:v>Poli</x:v>
      </x:c>
      <x:c r="H1449" s="24"/>
      <x:c r="I1449" s="24" t="str">
        <x:v>DuraVision Silver UV</x:v>
      </x:c>
      <x:c r="J1449" s="40" t="n">
        <x:v>3609</x:v>
      </x:c>
      <x:c r="K1449" s="24" t="str">
        <x:v>-10.00 a +8.00</x:v>
      </x:c>
      <x:c r="L1449" s="24" t="str">
        <x:v>-4.00</x:v>
      </x:c>
      <x:c r="M1449" s="24" t="str">
        <x:v>-</x:v>
      </x:c>
      <x:c r="N1449" s="24" t="str">
        <x:v>70</x:v>
      </x:c>
      <x:c r="O1449" s="24"/>
      <x:c r="P1449" s="24"/>
      <x:c r="Q1449" s="24" t="str">
        <x:v>DISPONÍVEL</x:v>
      </x:c>
      <x:c r="R1449" s="24" t="str">
        <x:v>Programa de Parcerias ZEISS</x:v>
      </x:c>
      <x:c r="S1449" s="24" t="n">
        <x:v>15</x:v>
      </x:c>
      <x:c r="T1449" s="24" t="str">
        <x:v>tabela_zeiss.pdf</x:v>
      </x:c>
      <x:c r="U1449" s="24" t="str">
        <x:v>ZEISS|Visão Simples|Surfaçada|SmartLife Individual 3|PhotoFusion X|Poli||DuraVision Silver UV|-10.00 a +8.00|-4.00|-|70|||15</x:v>
      </x:c>
    </x:row>
    <x:row r="1450">
      <x:c r="A1450" s="24" t="str">
        <x:v>ZS-7591DC4A284C</x:v>
      </x:c>
      <x:c r="B1450" s="24" t="str">
        <x:v>ZEISS</x:v>
      </x:c>
      <x:c r="C1450" s="24" t="str">
        <x:v>Visão Simples</x:v>
      </x:c>
      <x:c r="D1450" s="24" t="str">
        <x:v>Surfaçada</x:v>
      </x:c>
      <x:c r="E1450" s="24" t="str">
        <x:v>SmartLife Individual 3</x:v>
      </x:c>
      <x:c r="F1450" s="24" t="str">
        <x:v>PhotoFusion X</x:v>
      </x:c>
      <x:c r="G1450" s="24" t="str">
        <x:v>Poli</x:v>
      </x:c>
      <x:c r="H1450" s="24"/>
      <x:c r="I1450" s="24" t="str">
        <x:v>DuraVision Chrome UV</x:v>
      </x:c>
      <x:c r="J1450" s="40" t="n">
        <x:v>3119</x:v>
      </x:c>
      <x:c r="K1450" s="24" t="str">
        <x:v>-10.00 a +8.00</x:v>
      </x:c>
      <x:c r="L1450" s="24" t="str">
        <x:v>-4.00</x:v>
      </x:c>
      <x:c r="M1450" s="24" t="str">
        <x:v>-</x:v>
      </x:c>
      <x:c r="N1450" s="24" t="str">
        <x:v>70</x:v>
      </x:c>
      <x:c r="O1450" s="24"/>
      <x:c r="P1450" s="24"/>
      <x:c r="Q1450" s="24" t="str">
        <x:v>DISPONÍVEL</x:v>
      </x:c>
      <x:c r="R1450" s="24" t="str">
        <x:v>Programa de Parcerias ZEISS</x:v>
      </x:c>
      <x:c r="S1450" s="24" t="n">
        <x:v>15</x:v>
      </x:c>
      <x:c r="T1450" s="24" t="str">
        <x:v>tabela_zeiss.pdf</x:v>
      </x:c>
      <x:c r="U1450" s="24" t="str">
        <x:v>ZEISS|Visão Simples|Surfaçada|SmartLife Individual 3|PhotoFusion X|Poli||DuraVision Chrome UV|-10.00 a +8.00|-4.00|-|70|||15</x:v>
      </x:c>
    </x:row>
    <x:row r="1451">
      <x:c r="A1451" s="24" t="str">
        <x:v>ZS-9A26F78C2E12</x:v>
      </x:c>
      <x:c r="B1451" s="24" t="str">
        <x:v>ZEISS</x:v>
      </x:c>
      <x:c r="C1451" s="24" t="str">
        <x:v>Visão Simples</x:v>
      </x:c>
      <x:c r="D1451" s="24" t="str">
        <x:v>Surfaçada</x:v>
      </x:c>
      <x:c r="E1451" s="24" t="str">
        <x:v>SmartLife Individual 3</x:v>
      </x:c>
      <x:c r="F1451" s="24" t="str">
        <x:v>PhotoFusion X</x:v>
      </x:c>
      <x:c r="G1451" s="24" t="str">
        <x:v>1.6</x:v>
      </x:c>
      <x:c r="H1451" s="24" t="str">
        <x:v>1.60</x:v>
      </x:c>
      <x:c r="I1451" s="24" t="str">
        <x:v>DuraVision Gold UV</x:v>
      </x:c>
      <x:c r="J1451" s="40" t="n">
        <x:v>4229</x:v>
      </x:c>
      <x:c r="K1451" s="24" t="str">
        <x:v>-6.00 a +8.00</x:v>
      </x:c>
      <x:c r="L1451" s="24" t="str">
        <x:v>-4.00</x:v>
      </x:c>
      <x:c r="M1451" s="24" t="str">
        <x:v>-</x:v>
      </x:c>
      <x:c r="N1451" s="24" t="str">
        <x:v>75</x:v>
      </x:c>
      <x:c r="O1451" s="24"/>
      <x:c r="P1451" s="24"/>
      <x:c r="Q1451" s="24" t="str">
        <x:v>DISPONÍVEL</x:v>
      </x:c>
      <x:c r="R1451" s="24" t="str">
        <x:v>Programa de Parcerias ZEISS</x:v>
      </x:c>
      <x:c r="S1451" s="24" t="n">
        <x:v>15</x:v>
      </x:c>
      <x:c r="T1451" s="24" t="str">
        <x:v>tabela_zeiss.pdf</x:v>
      </x:c>
      <x:c r="U1451" s="24" t="str">
        <x:v>ZEISS|Visão Simples|Surfaçada|SmartLife Individual 3|PhotoFusion X|1.6|1.60|DuraVision Gold UV|-6.00 a +8.00|-4.00|-|75|||15</x:v>
      </x:c>
    </x:row>
    <x:row r="1452">
      <x:c r="A1452" s="24" t="str">
        <x:v>ZS-101325F84433</x:v>
      </x:c>
      <x:c r="B1452" s="24" t="str">
        <x:v>ZEISS</x:v>
      </x:c>
      <x:c r="C1452" s="24" t="str">
        <x:v>Visão Simples</x:v>
      </x:c>
      <x:c r="D1452" s="24" t="str">
        <x:v>Surfaçada</x:v>
      </x:c>
      <x:c r="E1452" s="24" t="str">
        <x:v>SmartLife Individual 3</x:v>
      </x:c>
      <x:c r="F1452" s="24" t="str">
        <x:v>PhotoFusion X</x:v>
      </x:c>
      <x:c r="G1452" s="24" t="str">
        <x:v>1.6</x:v>
      </x:c>
      <x:c r="H1452" s="24" t="str">
        <x:v>1.60</x:v>
      </x:c>
      <x:c r="I1452" s="24" t="str">
        <x:v>DURAVISION® ANTIVÍRUS PLATINUM UV</x:v>
      </x:c>
      <x:c r="J1452" s="40" t="n">
        <x:v>4089</x:v>
      </x:c>
      <x:c r="K1452" s="24" t="str">
        <x:v>-6.00 a +8.00</x:v>
      </x:c>
      <x:c r="L1452" s="24" t="str">
        <x:v>-4.00</x:v>
      </x:c>
      <x:c r="M1452" s="24" t="str">
        <x:v>-</x:v>
      </x:c>
      <x:c r="N1452" s="24" t="str">
        <x:v>75</x:v>
      </x:c>
      <x:c r="O1452" s="24"/>
      <x:c r="P1452" s="24"/>
      <x:c r="Q1452" s="24" t="str">
        <x:v>DISPONÍVEL</x:v>
      </x:c>
      <x:c r="R1452" s="24" t="str">
        <x:v>Programa de Parcerias ZEISS</x:v>
      </x:c>
      <x:c r="S1452" s="24" t="n">
        <x:v>15</x:v>
      </x:c>
      <x:c r="T1452" s="24" t="str">
        <x:v>tabela_zeiss.pdf</x:v>
      </x:c>
      <x:c r="U1452" s="24" t="str">
        <x:v>ZEISS|Visão Simples|Surfaçada|SmartLife Individual 3|PhotoFusion X|1.6|1.60|DURAVISION® ANTIVÍRUS PLATINUM UV|-6.00 a +8.00|-4.00|-|75|||15</x:v>
      </x:c>
    </x:row>
    <x:row r="1453">
      <x:c r="A1453" s="24" t="str">
        <x:v>ZS-6A58A52DF456</x:v>
      </x:c>
      <x:c r="B1453" s="24" t="str">
        <x:v>ZEISS</x:v>
      </x:c>
      <x:c r="C1453" s="24" t="str">
        <x:v>Visão Simples</x:v>
      </x:c>
      <x:c r="D1453" s="24" t="str">
        <x:v>Surfaçada</x:v>
      </x:c>
      <x:c r="E1453" s="24" t="str">
        <x:v>SmartLife Individual 3</x:v>
      </x:c>
      <x:c r="F1453" s="24" t="str">
        <x:v>PhotoFusion X</x:v>
      </x:c>
      <x:c r="G1453" s="24" t="str">
        <x:v>1.6</x:v>
      </x:c>
      <x:c r="H1453" s="24" t="str">
        <x:v>1.60</x:v>
      </x:c>
      <x:c r="I1453" s="24" t="str">
        <x:v>DuraVision Platinum UV</x:v>
      </x:c>
      <x:c r="J1453" s="40" t="n">
        <x:v>4089</x:v>
      </x:c>
      <x:c r="K1453" s="24" t="str">
        <x:v>-6.00 a +8.00</x:v>
      </x:c>
      <x:c r="L1453" s="24" t="str">
        <x:v>-4.00</x:v>
      </x:c>
      <x:c r="M1453" s="24" t="str">
        <x:v>-</x:v>
      </x:c>
      <x:c r="N1453" s="24" t="str">
        <x:v>75</x:v>
      </x:c>
      <x:c r="O1453" s="24"/>
      <x:c r="P1453" s="24"/>
      <x:c r="Q1453" s="24" t="str">
        <x:v>DISPONÍVEL</x:v>
      </x:c>
      <x:c r="R1453" s="24" t="str">
        <x:v>Programa de Parcerias ZEISS</x:v>
      </x:c>
      <x:c r="S1453" s="24" t="n">
        <x:v>15</x:v>
      </x:c>
      <x:c r="T1453" s="24" t="str">
        <x:v>tabela_zeiss.pdf</x:v>
      </x:c>
      <x:c r="U1453" s="24" t="str">
        <x:v>ZEISS|Visão Simples|Surfaçada|SmartLife Individual 3|PhotoFusion X|1.6|1.60|DuraVision Platinum UV|-6.00 a +8.00|-4.00|-|75|||15</x:v>
      </x:c>
    </x:row>
    <x:row r="1454">
      <x:c r="A1454" s="24" t="str">
        <x:v>ZS-4AD4EDBF4187</x:v>
      </x:c>
      <x:c r="B1454" s="24" t="str">
        <x:v>ZEISS</x:v>
      </x:c>
      <x:c r="C1454" s="24" t="str">
        <x:v>Visão Simples</x:v>
      </x:c>
      <x:c r="D1454" s="24" t="str">
        <x:v>Surfaçada</x:v>
      </x:c>
      <x:c r="E1454" s="24" t="str">
        <x:v>SmartLife Individual 3</x:v>
      </x:c>
      <x:c r="F1454" s="24" t="str">
        <x:v>PhotoFusion X</x:v>
      </x:c>
      <x:c r="G1454" s="24" t="str">
        <x:v>1.6</x:v>
      </x:c>
      <x:c r="H1454" s="24" t="str">
        <x:v>1.60</x:v>
      </x:c>
      <x:c r="I1454" s="24" t="str">
        <x:v>DuraVision Silver UV</x:v>
      </x:c>
      <x:c r="J1454" s="40" t="n">
        <x:v>3829</x:v>
      </x:c>
      <x:c r="K1454" s="24" t="str">
        <x:v>-6.00 a +8.00</x:v>
      </x:c>
      <x:c r="L1454" s="24" t="str">
        <x:v>-4.00</x:v>
      </x:c>
      <x:c r="M1454" s="24" t="str">
        <x:v>-</x:v>
      </x:c>
      <x:c r="N1454" s="24" t="str">
        <x:v>75</x:v>
      </x:c>
      <x:c r="O1454" s="24"/>
      <x:c r="P1454" s="24"/>
      <x:c r="Q1454" s="24" t="str">
        <x:v>DISPONÍVEL</x:v>
      </x:c>
      <x:c r="R1454" s="24" t="str">
        <x:v>Programa de Parcerias ZEISS</x:v>
      </x:c>
      <x:c r="S1454" s="24" t="n">
        <x:v>15</x:v>
      </x:c>
      <x:c r="T1454" s="24" t="str">
        <x:v>tabela_zeiss.pdf</x:v>
      </x:c>
      <x:c r="U1454" s="24" t="str">
        <x:v>ZEISS|Visão Simples|Surfaçada|SmartLife Individual 3|PhotoFusion X|1.6|1.60|DuraVision Silver UV|-6.00 a +8.00|-4.00|-|75|||15</x:v>
      </x:c>
    </x:row>
    <x:row r="1455">
      <x:c r="A1455" s="24" t="str">
        <x:v>ZS-305A5A5DA591</x:v>
      </x:c>
      <x:c r="B1455" s="24" t="str">
        <x:v>ZEISS</x:v>
      </x:c>
      <x:c r="C1455" s="24" t="str">
        <x:v>Visão Simples</x:v>
      </x:c>
      <x:c r="D1455" s="24" t="str">
        <x:v>Surfaçada</x:v>
      </x:c>
      <x:c r="E1455" s="24" t="str">
        <x:v>SmartLife Individual 3</x:v>
      </x:c>
      <x:c r="F1455" s="24" t="str">
        <x:v>PhotoFusion X</x:v>
      </x:c>
      <x:c r="G1455" s="24" t="str">
        <x:v>1.6</x:v>
      </x:c>
      <x:c r="H1455" s="24" t="str">
        <x:v>1.60</x:v>
      </x:c>
      <x:c r="I1455" s="24" t="str">
        <x:v>DuraVision Chrome UV</x:v>
      </x:c>
      <x:c r="J1455" s="40" t="n">
        <x:v>3339</x:v>
      </x:c>
      <x:c r="K1455" s="24" t="str">
        <x:v>-6.00 a +8.00</x:v>
      </x:c>
      <x:c r="L1455" s="24" t="str">
        <x:v>-4.00</x:v>
      </x:c>
      <x:c r="M1455" s="24" t="str">
        <x:v>-</x:v>
      </x:c>
      <x:c r="N1455" s="24" t="str">
        <x:v>75</x:v>
      </x:c>
      <x:c r="O1455" s="24"/>
      <x:c r="P1455" s="24"/>
      <x:c r="Q1455" s="24" t="str">
        <x:v>DISPONÍVEL</x:v>
      </x:c>
      <x:c r="R1455" s="24" t="str">
        <x:v>Programa de Parcerias ZEISS</x:v>
      </x:c>
      <x:c r="S1455" s="24" t="n">
        <x:v>15</x:v>
      </x:c>
      <x:c r="T1455" s="24" t="str">
        <x:v>tabela_zeiss.pdf</x:v>
      </x:c>
      <x:c r="U1455" s="24" t="str">
        <x:v>ZEISS|Visão Simples|Surfaçada|SmartLife Individual 3|PhotoFusion X|1.6|1.60|DuraVision Chrome UV|-6.00 a +8.00|-4.00|-|75|||15</x:v>
      </x:c>
    </x:row>
    <x:row r="1456">
      <x:c r="A1456" s="24" t="str">
        <x:v>ZS-77A6A993EA20</x:v>
      </x:c>
      <x:c r="B1456" s="24" t="str">
        <x:v>ZEISS</x:v>
      </x:c>
      <x:c r="C1456" s="24" t="str">
        <x:v>Visão Simples</x:v>
      </x:c>
      <x:c r="D1456" s="24" t="str">
        <x:v>Surfaçada</x:v>
      </x:c>
      <x:c r="E1456" s="24" t="str">
        <x:v>SmartLife Individual 3</x:v>
      </x:c>
      <x:c r="F1456" s="24" t="str">
        <x:v>PhotoFusion X</x:v>
      </x:c>
      <x:c r="G1456" s="24" t="str">
        <x:v>1.67</x:v>
      </x:c>
      <x:c r="H1456" s="24" t="str">
        <x:v>1.67</x:v>
      </x:c>
      <x:c r="I1456" s="24" t="str">
        <x:v>DuraVision Gold UV</x:v>
      </x:c>
      <x:c r="J1456" s="40" t="n">
        <x:v>5529</x:v>
      </x:c>
      <x:c r="K1456" s="24" t="str">
        <x:v>-8.00 a +8.00</x:v>
      </x:c>
      <x:c r="L1456" s="24" t="str">
        <x:v>-6.00</x:v>
      </x:c>
      <x:c r="M1456" s="24" t="str">
        <x:v>-</x:v>
      </x:c>
      <x:c r="N1456" s="24" t="str">
        <x:v>70</x:v>
      </x:c>
      <x:c r="O1456" s="24"/>
      <x:c r="P1456" s="24"/>
      <x:c r="Q1456" s="24" t="str">
        <x:v>DISPONÍVEL</x:v>
      </x:c>
      <x:c r="R1456" s="24" t="str">
        <x:v>Programa de Parcerias ZEISS</x:v>
      </x:c>
      <x:c r="S1456" s="24" t="n">
        <x:v>15</x:v>
      </x:c>
      <x:c r="T1456" s="24" t="str">
        <x:v>tabela_zeiss.pdf</x:v>
      </x:c>
      <x:c r="U1456" s="24" t="str">
        <x:v>ZEISS|Visão Simples|Surfaçada|SmartLife Individual 3|PhotoFusion X|1.67|1.67|DuraVision Gold UV|-8.00 a +8.00|-6.00|-|70|||15</x:v>
      </x:c>
    </x:row>
    <x:row r="1457">
      <x:c r="A1457" s="24" t="str">
        <x:v>ZS-0A9F2F633A85</x:v>
      </x:c>
      <x:c r="B1457" s="24" t="str">
        <x:v>ZEISS</x:v>
      </x:c>
      <x:c r="C1457" s="24" t="str">
        <x:v>Visão Simples</x:v>
      </x:c>
      <x:c r="D1457" s="24" t="str">
        <x:v>Surfaçada</x:v>
      </x:c>
      <x:c r="E1457" s="24" t="str">
        <x:v>SmartLife Individual 3</x:v>
      </x:c>
      <x:c r="F1457" s="24" t="str">
        <x:v>PhotoFusion X</x:v>
      </x:c>
      <x:c r="G1457" s="24" t="str">
        <x:v>1.67</x:v>
      </x:c>
      <x:c r="H1457" s="24" t="str">
        <x:v>1.67</x:v>
      </x:c>
      <x:c r="I1457" s="24" t="str">
        <x:v>DURAVISION® ANTIVÍRUS PLATINUM UV</x:v>
      </x:c>
      <x:c r="J1457" s="40" t="n">
        <x:v>5389</x:v>
      </x:c>
      <x:c r="K1457" s="24" t="str">
        <x:v>-8.00 a +8.00</x:v>
      </x:c>
      <x:c r="L1457" s="24" t="str">
        <x:v>-6.00</x:v>
      </x:c>
      <x:c r="M1457" s="24" t="str">
        <x:v>-</x:v>
      </x:c>
      <x:c r="N1457" s="24" t="str">
        <x:v>70</x:v>
      </x:c>
      <x:c r="O1457" s="24"/>
      <x:c r="P1457" s="24"/>
      <x:c r="Q1457" s="24" t="str">
        <x:v>DISPONÍVEL</x:v>
      </x:c>
      <x:c r="R1457" s="24" t="str">
        <x:v>Programa de Parcerias ZEISS</x:v>
      </x:c>
      <x:c r="S1457" s="24" t="n">
        <x:v>15</x:v>
      </x:c>
      <x:c r="T1457" s="24" t="str">
        <x:v>tabela_zeiss.pdf</x:v>
      </x:c>
      <x:c r="U1457" s="24" t="str">
        <x:v>ZEISS|Visão Simples|Surfaçada|SmartLife Individual 3|PhotoFusion X|1.67|1.67|DURAVISION® ANTIVÍRUS PLATINUM UV|-8.00 a +8.00|-6.00|-|70|||15</x:v>
      </x:c>
    </x:row>
    <x:row r="1458">
      <x:c r="A1458" s="24" t="str">
        <x:v>ZS-D263DC90842C</x:v>
      </x:c>
      <x:c r="B1458" s="24" t="str">
        <x:v>ZEISS</x:v>
      </x:c>
      <x:c r="C1458" s="24" t="str">
        <x:v>Visão Simples</x:v>
      </x:c>
      <x:c r="D1458" s="24" t="str">
        <x:v>Surfaçada</x:v>
      </x:c>
      <x:c r="E1458" s="24" t="str">
        <x:v>SmartLife Individual 3</x:v>
      </x:c>
      <x:c r="F1458" s="24" t="str">
        <x:v>PhotoFusion X</x:v>
      </x:c>
      <x:c r="G1458" s="24" t="str">
        <x:v>1.67</x:v>
      </x:c>
      <x:c r="H1458" s="24" t="str">
        <x:v>1.67</x:v>
      </x:c>
      <x:c r="I1458" s="24" t="str">
        <x:v>DuraVision Platinum UV</x:v>
      </x:c>
      <x:c r="J1458" s="40" t="n">
        <x:v>5389</x:v>
      </x:c>
      <x:c r="K1458" s="24" t="str">
        <x:v>-8.00 a +8.00</x:v>
      </x:c>
      <x:c r="L1458" s="24" t="str">
        <x:v>-6.00</x:v>
      </x:c>
      <x:c r="M1458" s="24" t="str">
        <x:v>-</x:v>
      </x:c>
      <x:c r="N1458" s="24" t="str">
        <x:v>70</x:v>
      </x:c>
      <x:c r="O1458" s="24"/>
      <x:c r="P1458" s="24"/>
      <x:c r="Q1458" s="24" t="str">
        <x:v>DISPONÍVEL</x:v>
      </x:c>
      <x:c r="R1458" s="24" t="str">
        <x:v>Programa de Parcerias ZEISS</x:v>
      </x:c>
      <x:c r="S1458" s="24" t="n">
        <x:v>15</x:v>
      </x:c>
      <x:c r="T1458" s="24" t="str">
        <x:v>tabela_zeiss.pdf</x:v>
      </x:c>
      <x:c r="U1458" s="24" t="str">
        <x:v>ZEISS|Visão Simples|Surfaçada|SmartLife Individual 3|PhotoFusion X|1.67|1.67|DuraVision Platinum UV|-8.00 a +8.00|-6.00|-|70|||15</x:v>
      </x:c>
    </x:row>
    <x:row r="1459">
      <x:c r="A1459" s="24" t="str">
        <x:v>ZS-BC511DA7C1C4</x:v>
      </x:c>
      <x:c r="B1459" s="24" t="str">
        <x:v>ZEISS</x:v>
      </x:c>
      <x:c r="C1459" s="24" t="str">
        <x:v>Visão Simples</x:v>
      </x:c>
      <x:c r="D1459" s="24" t="str">
        <x:v>Surfaçada</x:v>
      </x:c>
      <x:c r="E1459" s="24" t="str">
        <x:v>SmartLife Individual 3</x:v>
      </x:c>
      <x:c r="F1459" s="24" t="str">
        <x:v>PhotoFusion X</x:v>
      </x:c>
      <x:c r="G1459" s="24" t="str">
        <x:v>1.67</x:v>
      </x:c>
      <x:c r="H1459" s="24" t="str">
        <x:v>1.67</x:v>
      </x:c>
      <x:c r="I1459" s="24" t="str">
        <x:v>DuraVision Silver UV</x:v>
      </x:c>
      <x:c r="J1459" s="40" t="n">
        <x:v>5129</x:v>
      </x:c>
      <x:c r="K1459" s="24" t="str">
        <x:v>-8.00 a +8.00</x:v>
      </x:c>
      <x:c r="L1459" s="24" t="str">
        <x:v>-6.00</x:v>
      </x:c>
      <x:c r="M1459" s="24" t="str">
        <x:v>-</x:v>
      </x:c>
      <x:c r="N1459" s="24" t="str">
        <x:v>70</x:v>
      </x:c>
      <x:c r="O1459" s="24"/>
      <x:c r="P1459" s="24"/>
      <x:c r="Q1459" s="24" t="str">
        <x:v>DISPONÍVEL</x:v>
      </x:c>
      <x:c r="R1459" s="24" t="str">
        <x:v>Programa de Parcerias ZEISS</x:v>
      </x:c>
      <x:c r="S1459" s="24" t="n">
        <x:v>15</x:v>
      </x:c>
      <x:c r="T1459" s="24" t="str">
        <x:v>tabela_zeiss.pdf</x:v>
      </x:c>
      <x:c r="U1459" s="24" t="str">
        <x:v>ZEISS|Visão Simples|Surfaçada|SmartLife Individual 3|PhotoFusion X|1.67|1.67|DuraVision Silver UV|-8.00 a +8.00|-6.00|-|70|||15</x:v>
      </x:c>
    </x:row>
    <x:row r="1460">
      <x:c r="A1460" s="24" t="str">
        <x:v>ZS-6968ED8503CB</x:v>
      </x:c>
      <x:c r="B1460" s="24" t="str">
        <x:v>ZEISS</x:v>
      </x:c>
      <x:c r="C1460" s="24" t="str">
        <x:v>Visão Simples</x:v>
      </x:c>
      <x:c r="D1460" s="24" t="str">
        <x:v>Surfaçada</x:v>
      </x:c>
      <x:c r="E1460" s="24" t="str">
        <x:v>SmartLife Individual 3</x:v>
      </x:c>
      <x:c r="F1460" s="24" t="str">
        <x:v>PhotoFusion X</x:v>
      </x:c>
      <x:c r="G1460" s="24" t="str">
        <x:v>1.67</x:v>
      </x:c>
      <x:c r="H1460" s="24" t="str">
        <x:v>1.67</x:v>
      </x:c>
      <x:c r="I1460" s="24" t="str">
        <x:v>DuraVision Chrome UV</x:v>
      </x:c>
      <x:c r="J1460" s="40" t="n">
        <x:v>4639</x:v>
      </x:c>
      <x:c r="K1460" s="24" t="str">
        <x:v>-8.00 a +8.00</x:v>
      </x:c>
      <x:c r="L1460" s="24" t="str">
        <x:v>-6.00</x:v>
      </x:c>
      <x:c r="M1460" s="24" t="str">
        <x:v>-</x:v>
      </x:c>
      <x:c r="N1460" s="24" t="str">
        <x:v>70</x:v>
      </x:c>
      <x:c r="O1460" s="24"/>
      <x:c r="P1460" s="24"/>
      <x:c r="Q1460" s="24" t="str">
        <x:v>DISPONÍVEL</x:v>
      </x:c>
      <x:c r="R1460" s="24" t="str">
        <x:v>Programa de Parcerias ZEISS</x:v>
      </x:c>
      <x:c r="S1460" s="24" t="n">
        <x:v>15</x:v>
      </x:c>
      <x:c r="T1460" s="24" t="str">
        <x:v>tabela_zeiss.pdf</x:v>
      </x:c>
      <x:c r="U1460" s="24" t="str">
        <x:v>ZEISS|Visão Simples|Surfaçada|SmartLife Individual 3|PhotoFusion X|1.67|1.67|DuraVision Chrome UV|-8.00 a +8.00|-6.00|-|70|||15</x:v>
      </x:c>
    </x:row>
    <x:row r="1461">
      <x:c r="A1461" s="24" t="str">
        <x:v>ZS-5A1CF3C713B5</x:v>
      </x:c>
      <x:c r="B1461" s="24" t="str">
        <x:v>ZEISS</x:v>
      </x:c>
      <x:c r="C1461" s="24" t="str">
        <x:v>Visão Simples</x:v>
      </x:c>
      <x:c r="D1461" s="24" t="str">
        <x:v>Surfaçada</x:v>
      </x:c>
      <x:c r="E1461" s="24" t="str">
        <x:v>SmartLife Individual 3</x:v>
      </x:c>
      <x:c r="F1461" s="24" t="str">
        <x:v>PhotoFusion X Extra Dark Cinza</x:v>
      </x:c>
      <x:c r="G1461" s="24" t="str">
        <x:v>1.5</x:v>
      </x:c>
      <x:c r="H1461" s="24" t="str">
        <x:v>1.50</x:v>
      </x:c>
      <x:c r="I1461" s="24" t="str">
        <x:v>DuraVision Gold UV</x:v>
      </x:c>
      <x:c r="J1461" s="40" t="n">
        <x:v>3699</x:v>
      </x:c>
      <x:c r="K1461" s="24" t="str">
        <x:v>-6.00 a +6.00</x:v>
      </x:c>
      <x:c r="L1461" s="24" t="str">
        <x:v>-4.00</x:v>
      </x:c>
      <x:c r="M1461" s="24" t="str">
        <x:v>-</x:v>
      </x:c>
      <x:c r="N1461" s="24" t="str">
        <x:v>75</x:v>
      </x:c>
      <x:c r="O1461" s="24"/>
      <x:c r="P1461" s="24"/>
      <x:c r="Q1461" s="24" t="str">
        <x:v>DISPONÍVEL</x:v>
      </x:c>
      <x:c r="R1461" s="24" t="str">
        <x:v>Programa de Parcerias ZEISS</x:v>
      </x:c>
      <x:c r="S1461" s="24" t="n">
        <x:v>15</x:v>
      </x:c>
      <x:c r="T1461" s="24" t="str">
        <x:v>tabela_zeiss.pdf</x:v>
      </x:c>
      <x:c r="U1461" s="24" t="str">
        <x:v>ZEISS|Visão Simples|Surfaçada|SmartLife Individual 3|PhotoFusion X Extra Dark Cinza|1.5|1.50|DuraVision Gold UV|-6.00 a +6.00|-4.00|-|75|||15</x:v>
      </x:c>
    </x:row>
    <x:row r="1462">
      <x:c r="A1462" s="24" t="str">
        <x:v>ZS-A08CD317CFA8</x:v>
      </x:c>
      <x:c r="B1462" s="24" t="str">
        <x:v>ZEISS</x:v>
      </x:c>
      <x:c r="C1462" s="24" t="str">
        <x:v>Visão Simples</x:v>
      </x:c>
      <x:c r="D1462" s="24" t="str">
        <x:v>Surfaçada</x:v>
      </x:c>
      <x:c r="E1462" s="24" t="str">
        <x:v>SmartLife Individual 3</x:v>
      </x:c>
      <x:c r="F1462" s="24" t="str">
        <x:v>PhotoFusion X Extra Dark Cinza</x:v>
      </x:c>
      <x:c r="G1462" s="24" t="str">
        <x:v>1.5</x:v>
      </x:c>
      <x:c r="H1462" s="24" t="str">
        <x:v>1.50</x:v>
      </x:c>
      <x:c r="I1462" s="24" t="str">
        <x:v>DURAVISION® ANTIVÍRUS PLATINUM UV</x:v>
      </x:c>
      <x:c r="J1462" s="40" t="n">
        <x:v>3559</x:v>
      </x:c>
      <x:c r="K1462" s="24" t="str">
        <x:v>-6.00 a +6.00</x:v>
      </x:c>
      <x:c r="L1462" s="24" t="str">
        <x:v>-4.00</x:v>
      </x:c>
      <x:c r="M1462" s="24" t="str">
        <x:v>-</x:v>
      </x:c>
      <x:c r="N1462" s="24" t="str">
        <x:v>75</x:v>
      </x:c>
      <x:c r="O1462" s="24"/>
      <x:c r="P1462" s="24"/>
      <x:c r="Q1462" s="24" t="str">
        <x:v>DISPONÍVEL</x:v>
      </x:c>
      <x:c r="R1462" s="24" t="str">
        <x:v>Programa de Parcerias ZEISS</x:v>
      </x:c>
      <x:c r="S1462" s="24" t="n">
        <x:v>15</x:v>
      </x:c>
      <x:c r="T1462" s="24" t="str">
        <x:v>tabela_zeiss.pdf</x:v>
      </x:c>
      <x:c r="U1462" s="24" t="str">
        <x:v>ZEISS|Visão Simples|Surfaçada|SmartLife Individual 3|PhotoFusion X Extra Dark Cinza|1.5|1.50|DURAVISION® ANTIVÍRUS PLATINUM UV|-6.00 a +6.00|-4.00|-|75|||15</x:v>
      </x:c>
    </x:row>
    <x:row r="1463">
      <x:c r="A1463" s="24" t="str">
        <x:v>ZS-18F6A71C8841</x:v>
      </x:c>
      <x:c r="B1463" s="24" t="str">
        <x:v>ZEISS</x:v>
      </x:c>
      <x:c r="C1463" s="24" t="str">
        <x:v>Visão Simples</x:v>
      </x:c>
      <x:c r="D1463" s="24" t="str">
        <x:v>Surfaçada</x:v>
      </x:c>
      <x:c r="E1463" s="24" t="str">
        <x:v>SmartLife Individual 3</x:v>
      </x:c>
      <x:c r="F1463" s="24" t="str">
        <x:v>PhotoFusion X Extra Dark Cinza</x:v>
      </x:c>
      <x:c r="G1463" s="24" t="str">
        <x:v>1.5</x:v>
      </x:c>
      <x:c r="H1463" s="24" t="str">
        <x:v>1.50</x:v>
      </x:c>
      <x:c r="I1463" s="24" t="str">
        <x:v>DuraVision Platinum UV</x:v>
      </x:c>
      <x:c r="J1463" s="40" t="n">
        <x:v>3559</x:v>
      </x:c>
      <x:c r="K1463" s="24" t="str">
        <x:v>-6.00 a +6.00</x:v>
      </x:c>
      <x:c r="L1463" s="24" t="str">
        <x:v>-4.00</x:v>
      </x:c>
      <x:c r="M1463" s="24" t="str">
        <x:v>-</x:v>
      </x:c>
      <x:c r="N1463" s="24" t="str">
        <x:v>75</x:v>
      </x:c>
      <x:c r="O1463" s="24"/>
      <x:c r="P1463" s="24"/>
      <x:c r="Q1463" s="24" t="str">
        <x:v>DISPONÍVEL</x:v>
      </x:c>
      <x:c r="R1463" s="24" t="str">
        <x:v>Programa de Parcerias ZEISS</x:v>
      </x:c>
      <x:c r="S1463" s="24" t="n">
        <x:v>15</x:v>
      </x:c>
      <x:c r="T1463" s="24" t="str">
        <x:v>tabela_zeiss.pdf</x:v>
      </x:c>
      <x:c r="U1463" s="24" t="str">
        <x:v>ZEISS|Visão Simples|Surfaçada|SmartLife Individual 3|PhotoFusion X Extra Dark Cinza|1.5|1.50|DuraVision Platinum UV|-6.00 a +6.00|-4.00|-|75|||15</x:v>
      </x:c>
    </x:row>
    <x:row r="1464">
      <x:c r="A1464" s="24" t="str">
        <x:v>ZS-616E81C6B7E0</x:v>
      </x:c>
      <x:c r="B1464" s="24" t="str">
        <x:v>ZEISS</x:v>
      </x:c>
      <x:c r="C1464" s="24" t="str">
        <x:v>Visão Simples</x:v>
      </x:c>
      <x:c r="D1464" s="24" t="str">
        <x:v>Surfaçada</x:v>
      </x:c>
      <x:c r="E1464" s="24" t="str">
        <x:v>SmartLife Individual 3</x:v>
      </x:c>
      <x:c r="F1464" s="24" t="str">
        <x:v>PhotoFusion X Extra Dark Cinza</x:v>
      </x:c>
      <x:c r="G1464" s="24" t="str">
        <x:v>1.5</x:v>
      </x:c>
      <x:c r="H1464" s="24" t="str">
        <x:v>1.50</x:v>
      </x:c>
      <x:c r="I1464" s="24" t="str">
        <x:v>DuraVision Silver UV</x:v>
      </x:c>
      <x:c r="J1464" s="40" t="n">
        <x:v>3299</x:v>
      </x:c>
      <x:c r="K1464" s="24" t="str">
        <x:v>-6.00 a +6.00</x:v>
      </x:c>
      <x:c r="L1464" s="24" t="str">
        <x:v>-4.00</x:v>
      </x:c>
      <x:c r="M1464" s="24" t="str">
        <x:v>-</x:v>
      </x:c>
      <x:c r="N1464" s="24" t="str">
        <x:v>75</x:v>
      </x:c>
      <x:c r="O1464" s="24"/>
      <x:c r="P1464" s="24"/>
      <x:c r="Q1464" s="24" t="str">
        <x:v>DISPONÍVEL</x:v>
      </x:c>
      <x:c r="R1464" s="24" t="str">
        <x:v>Programa de Parcerias ZEISS</x:v>
      </x:c>
      <x:c r="S1464" s="24" t="n">
        <x:v>15</x:v>
      </x:c>
      <x:c r="T1464" s="24" t="str">
        <x:v>tabela_zeiss.pdf</x:v>
      </x:c>
      <x:c r="U1464" s="24" t="str">
        <x:v>ZEISS|Visão Simples|Surfaçada|SmartLife Individual 3|PhotoFusion X Extra Dark Cinza|1.5|1.50|DuraVision Silver UV|-6.00 a +6.00|-4.00|-|75|||15</x:v>
      </x:c>
    </x:row>
    <x:row r="1465">
      <x:c r="A1465" s="24" t="str">
        <x:v>ZS-2C27756BD67C</x:v>
      </x:c>
      <x:c r="B1465" s="24" t="str">
        <x:v>ZEISS</x:v>
      </x:c>
      <x:c r="C1465" s="24" t="str">
        <x:v>Visão Simples</x:v>
      </x:c>
      <x:c r="D1465" s="24" t="str">
        <x:v>Surfaçada</x:v>
      </x:c>
      <x:c r="E1465" s="24" t="str">
        <x:v>SmartLife Individual 3</x:v>
      </x:c>
      <x:c r="F1465" s="24" t="str">
        <x:v>PhotoFusion X Extra Dark Cinza</x:v>
      </x:c>
      <x:c r="G1465" s="24" t="str">
        <x:v>1.5</x:v>
      </x:c>
      <x:c r="H1465" s="24" t="str">
        <x:v>1.50</x:v>
      </x:c>
      <x:c r="I1465" s="24" t="str">
        <x:v>DuraVision Chrome UV</x:v>
      </x:c>
      <x:c r="J1465" s="40" t="n">
        <x:v>2809</x:v>
      </x:c>
      <x:c r="K1465" s="24" t="str">
        <x:v>-6.00 a +6.00</x:v>
      </x:c>
      <x:c r="L1465" s="24" t="str">
        <x:v>-4.00</x:v>
      </x:c>
      <x:c r="M1465" s="24" t="str">
        <x:v>-</x:v>
      </x:c>
      <x:c r="N1465" s="24" t="str">
        <x:v>75</x:v>
      </x:c>
      <x:c r="O1465" s="24"/>
      <x:c r="P1465" s="24"/>
      <x:c r="Q1465" s="24" t="str">
        <x:v>DISPONÍVEL</x:v>
      </x:c>
      <x:c r="R1465" s="24" t="str">
        <x:v>Programa de Parcerias ZEISS</x:v>
      </x:c>
      <x:c r="S1465" s="24" t="n">
        <x:v>15</x:v>
      </x:c>
      <x:c r="T1465" s="24" t="str">
        <x:v>tabela_zeiss.pdf</x:v>
      </x:c>
      <x:c r="U1465" s="24" t="str">
        <x:v>ZEISS|Visão Simples|Surfaçada|SmartLife Individual 3|PhotoFusion X Extra Dark Cinza|1.5|1.50|DuraVision Chrome UV|-6.00 a +6.00|-4.00|-|75|||15</x:v>
      </x:c>
    </x:row>
    <x:row r="1466">
      <x:c r="A1466" s="24" t="str">
        <x:v>ZS-795E1E4B0152</x:v>
      </x:c>
      <x:c r="B1466" s="24" t="str">
        <x:v>ZEISS</x:v>
      </x:c>
      <x:c r="C1466" s="24" t="str">
        <x:v>Visão Simples</x:v>
      </x:c>
      <x:c r="D1466" s="24" t="str">
        <x:v>Surfaçada</x:v>
      </x:c>
      <x:c r="E1466" s="24" t="str">
        <x:v>SmartLife Individual 3</x:v>
      </x:c>
      <x:c r="F1466" s="24" t="str">
        <x:v>PhotoFusion X Extra Dark Cinza</x:v>
      </x:c>
      <x:c r="G1466" s="24" t="str">
        <x:v>Poli</x:v>
      </x:c>
      <x:c r="H1466" s="24"/>
      <x:c r="I1466" s="24" t="str">
        <x:v>DuraVision Gold UV</x:v>
      </x:c>
      <x:c r="J1466" s="40" t="n">
        <x:v>4059</x:v>
      </x:c>
      <x:c r="K1466" s="24" t="str">
        <x:v>-10.00 a +8.00</x:v>
      </x:c>
      <x:c r="L1466" s="24" t="str">
        <x:v>-4.00</x:v>
      </x:c>
      <x:c r="M1466" s="24" t="str">
        <x:v>-</x:v>
      </x:c>
      <x:c r="N1466" s="24" t="str">
        <x:v>70</x:v>
      </x:c>
      <x:c r="O1466" s="24"/>
      <x:c r="P1466" s="24"/>
      <x:c r="Q1466" s="24" t="str">
        <x:v>DISPONÍVEL</x:v>
      </x:c>
      <x:c r="R1466" s="24" t="str">
        <x:v>Programa de Parcerias ZEISS</x:v>
      </x:c>
      <x:c r="S1466" s="24" t="n">
        <x:v>15</x:v>
      </x:c>
      <x:c r="T1466" s="24" t="str">
        <x:v>tabela_zeiss.pdf</x:v>
      </x:c>
      <x:c r="U1466" s="24" t="str">
        <x:v>ZEISS|Visão Simples|Surfaçada|SmartLife Individual 3|PhotoFusion X Extra Dark Cinza|Poli||DuraVision Gold UV|-10.00 a +8.00|-4.00|-|70|||15</x:v>
      </x:c>
    </x:row>
    <x:row r="1467">
      <x:c r="A1467" s="24" t="str">
        <x:v>ZS-589AB3AB9AF9</x:v>
      </x:c>
      <x:c r="B1467" s="24" t="str">
        <x:v>ZEISS</x:v>
      </x:c>
      <x:c r="C1467" s="24" t="str">
        <x:v>Visão Simples</x:v>
      </x:c>
      <x:c r="D1467" s="24" t="str">
        <x:v>Surfaçada</x:v>
      </x:c>
      <x:c r="E1467" s="24" t="str">
        <x:v>SmartLife Individual 3</x:v>
      </x:c>
      <x:c r="F1467" s="24" t="str">
        <x:v>PhotoFusion X Extra Dark Cinza</x:v>
      </x:c>
      <x:c r="G1467" s="24" t="str">
        <x:v>Poli</x:v>
      </x:c>
      <x:c r="H1467" s="24"/>
      <x:c r="I1467" s="24" t="str">
        <x:v>DuraVision Platinum UV</x:v>
      </x:c>
      <x:c r="J1467" s="40" t="n">
        <x:v>3919</x:v>
      </x:c>
      <x:c r="K1467" s="24" t="str">
        <x:v>-10.00 a +8.00</x:v>
      </x:c>
      <x:c r="L1467" s="24" t="str">
        <x:v>-4.00</x:v>
      </x:c>
      <x:c r="M1467" s="24" t="str">
        <x:v>-</x:v>
      </x:c>
      <x:c r="N1467" s="24" t="str">
        <x:v>70</x:v>
      </x:c>
      <x:c r="O1467" s="24"/>
      <x:c r="P1467" s="24"/>
      <x:c r="Q1467" s="24" t="str">
        <x:v>DISPONÍVEL</x:v>
      </x:c>
      <x:c r="R1467" s="24" t="str">
        <x:v>Programa de Parcerias ZEISS</x:v>
      </x:c>
      <x:c r="S1467" s="24" t="n">
        <x:v>15</x:v>
      </x:c>
      <x:c r="T1467" s="24" t="str">
        <x:v>tabela_zeiss.pdf</x:v>
      </x:c>
      <x:c r="U1467" s="24" t="str">
        <x:v>ZEISS|Visão Simples|Surfaçada|SmartLife Individual 3|PhotoFusion X Extra Dark Cinza|Poli||DuraVision Platinum UV|-10.00 a +8.00|-4.00|-|70|||15</x:v>
      </x:c>
    </x:row>
    <x:row r="1468">
      <x:c r="A1468" s="24" t="str">
        <x:v>ZS-36917D245BBA</x:v>
      </x:c>
      <x:c r="B1468" s="24" t="str">
        <x:v>ZEISS</x:v>
      </x:c>
      <x:c r="C1468" s="24" t="str">
        <x:v>Visão Simples</x:v>
      </x:c>
      <x:c r="D1468" s="24" t="str">
        <x:v>Surfaçada</x:v>
      </x:c>
      <x:c r="E1468" s="24" t="str">
        <x:v>SmartLife Individual 3</x:v>
      </x:c>
      <x:c r="F1468" s="24" t="str">
        <x:v>PhotoFusion X Extra Dark Cinza</x:v>
      </x:c>
      <x:c r="G1468" s="24" t="str">
        <x:v>Poli</x:v>
      </x:c>
      <x:c r="H1468" s="24"/>
      <x:c r="I1468" s="24" t="str">
        <x:v>DuraVision Silver UV</x:v>
      </x:c>
      <x:c r="J1468" s="40" t="n">
        <x:v>3659</x:v>
      </x:c>
      <x:c r="K1468" s="24" t="str">
        <x:v>-10.00 a +8.00</x:v>
      </x:c>
      <x:c r="L1468" s="24" t="str">
        <x:v>-4.00</x:v>
      </x:c>
      <x:c r="M1468" s="24" t="str">
        <x:v>-</x:v>
      </x:c>
      <x:c r="N1468" s="24" t="str">
        <x:v>70</x:v>
      </x:c>
      <x:c r="O1468" s="24"/>
      <x:c r="P1468" s="24"/>
      <x:c r="Q1468" s="24" t="str">
        <x:v>DISPONÍVEL</x:v>
      </x:c>
      <x:c r="R1468" s="24" t="str">
        <x:v>Programa de Parcerias ZEISS</x:v>
      </x:c>
      <x:c r="S1468" s="24" t="n">
        <x:v>15</x:v>
      </x:c>
      <x:c r="T1468" s="24" t="str">
        <x:v>tabela_zeiss.pdf</x:v>
      </x:c>
      <x:c r="U1468" s="24" t="str">
        <x:v>ZEISS|Visão Simples|Surfaçada|SmartLife Individual 3|PhotoFusion X Extra Dark Cinza|Poli||DuraVision Silver UV|-10.00 a +8.00|-4.00|-|70|||15</x:v>
      </x:c>
    </x:row>
    <x:row r="1469">
      <x:c r="A1469" s="24" t="str">
        <x:v>ZS-09394FE139FC</x:v>
      </x:c>
      <x:c r="B1469" s="24" t="str">
        <x:v>ZEISS</x:v>
      </x:c>
      <x:c r="C1469" s="24" t="str">
        <x:v>Visão Simples</x:v>
      </x:c>
      <x:c r="D1469" s="24" t="str">
        <x:v>Surfaçada</x:v>
      </x:c>
      <x:c r="E1469" s="24" t="str">
        <x:v>SmartLife Individual 3</x:v>
      </x:c>
      <x:c r="F1469" s="24" t="str">
        <x:v>PhotoFusion X Extra Dark Cinza</x:v>
      </x:c>
      <x:c r="G1469" s="24" t="str">
        <x:v>Poli</x:v>
      </x:c>
      <x:c r="H1469" s="24"/>
      <x:c r="I1469" s="24" t="str">
        <x:v>DuraVision Chrome UV</x:v>
      </x:c>
      <x:c r="J1469" s="40" t="n">
        <x:v>3169</x:v>
      </x:c>
      <x:c r="K1469" s="24" t="str">
        <x:v>-10.00 a +8.00</x:v>
      </x:c>
      <x:c r="L1469" s="24" t="str">
        <x:v>-4.00</x:v>
      </x:c>
      <x:c r="M1469" s="24" t="str">
        <x:v>-</x:v>
      </x:c>
      <x:c r="N1469" s="24" t="str">
        <x:v>70</x:v>
      </x:c>
      <x:c r="O1469" s="24"/>
      <x:c r="P1469" s="24"/>
      <x:c r="Q1469" s="24" t="str">
        <x:v>DISPONÍVEL</x:v>
      </x:c>
      <x:c r="R1469" s="24" t="str">
        <x:v>Programa de Parcerias ZEISS</x:v>
      </x:c>
      <x:c r="S1469" s="24" t="n">
        <x:v>15</x:v>
      </x:c>
      <x:c r="T1469" s="24" t="str">
        <x:v>tabela_zeiss.pdf</x:v>
      </x:c>
      <x:c r="U1469" s="24" t="str">
        <x:v>ZEISS|Visão Simples|Surfaçada|SmartLife Individual 3|PhotoFusion X Extra Dark Cinza|Poli||DuraVision Chrome UV|-10.00 a +8.00|-4.00|-|70|||15</x:v>
      </x:c>
    </x:row>
    <x:row r="1470">
      <x:c r="A1470" s="24" t="str">
        <x:v>ZS-08CC04AD8388</x:v>
      </x:c>
      <x:c r="B1470" s="24" t="str">
        <x:v>ZEISS</x:v>
      </x:c>
      <x:c r="C1470" s="24" t="str">
        <x:v>Visão Simples</x:v>
      </x:c>
      <x:c r="D1470" s="24" t="str">
        <x:v>Surfaçada</x:v>
      </x:c>
      <x:c r="E1470" s="24" t="str">
        <x:v>SmartLife Individual 3</x:v>
      </x:c>
      <x:c r="F1470" s="24" t="str">
        <x:v>PhotoFusion X Extra Dark Cinza</x:v>
      </x:c>
      <x:c r="G1470" s="24" t="str">
        <x:v>1.6</x:v>
      </x:c>
      <x:c r="H1470" s="24" t="str">
        <x:v>1.60</x:v>
      </x:c>
      <x:c r="I1470" s="24" t="str">
        <x:v>DuraVision Gold UV</x:v>
      </x:c>
      <x:c r="J1470" s="40" t="n">
        <x:v>4279</x:v>
      </x:c>
      <x:c r="K1470" s="24" t="str">
        <x:v>-6.00 a +8.00</x:v>
      </x:c>
      <x:c r="L1470" s="24" t="str">
        <x:v>-4.00</x:v>
      </x:c>
      <x:c r="M1470" s="24" t="str">
        <x:v>-</x:v>
      </x:c>
      <x:c r="N1470" s="24" t="str">
        <x:v>75</x:v>
      </x:c>
      <x:c r="O1470" s="24"/>
      <x:c r="P1470" s="24"/>
      <x:c r="Q1470" s="24" t="str">
        <x:v>DISPONÍVEL</x:v>
      </x:c>
      <x:c r="R1470" s="24" t="str">
        <x:v>Programa de Parcerias ZEISS</x:v>
      </x:c>
      <x:c r="S1470" s="24" t="n">
        <x:v>15</x:v>
      </x:c>
      <x:c r="T1470" s="24" t="str">
        <x:v>tabela_zeiss.pdf</x:v>
      </x:c>
      <x:c r="U1470" s="24" t="str">
        <x:v>ZEISS|Visão Simples|Surfaçada|SmartLife Individual 3|PhotoFusion X Extra Dark Cinza|1.6|1.60|DuraVision Gold UV|-6.00 a +8.00|-4.00|-|75|||15</x:v>
      </x:c>
    </x:row>
    <x:row r="1471">
      <x:c r="A1471" s="24" t="str">
        <x:v>ZS-C7CD133421B4</x:v>
      </x:c>
      <x:c r="B1471" s="24" t="str">
        <x:v>ZEISS</x:v>
      </x:c>
      <x:c r="C1471" s="24" t="str">
        <x:v>Visão Simples</x:v>
      </x:c>
      <x:c r="D1471" s="24" t="str">
        <x:v>Surfaçada</x:v>
      </x:c>
      <x:c r="E1471" s="24" t="str">
        <x:v>SmartLife Individual 3</x:v>
      </x:c>
      <x:c r="F1471" s="24" t="str">
        <x:v>PhotoFusion X Extra Dark Cinza</x:v>
      </x:c>
      <x:c r="G1471" s="24" t="str">
        <x:v>1.6</x:v>
      </x:c>
      <x:c r="H1471" s="24" t="str">
        <x:v>1.60</x:v>
      </x:c>
      <x:c r="I1471" s="24" t="str">
        <x:v>DURAVISION® ANTIVÍRUS PLATINUM UV</x:v>
      </x:c>
      <x:c r="J1471" s="40" t="n">
        <x:v>4139</x:v>
      </x:c>
      <x:c r="K1471" s="24" t="str">
        <x:v>-6.00 a +8.00</x:v>
      </x:c>
      <x:c r="L1471" s="24" t="str">
        <x:v>-4.00</x:v>
      </x:c>
      <x:c r="M1471" s="24" t="str">
        <x:v>-</x:v>
      </x:c>
      <x:c r="N1471" s="24" t="str">
        <x:v>75</x:v>
      </x:c>
      <x:c r="O1471" s="24"/>
      <x:c r="P1471" s="24"/>
      <x:c r="Q1471" s="24" t="str">
        <x:v>DISPONÍVEL</x:v>
      </x:c>
      <x:c r="R1471" s="24" t="str">
        <x:v>Programa de Parcerias ZEISS</x:v>
      </x:c>
      <x:c r="S1471" s="24" t="n">
        <x:v>15</x:v>
      </x:c>
      <x:c r="T1471" s="24" t="str">
        <x:v>tabela_zeiss.pdf</x:v>
      </x:c>
      <x:c r="U1471" s="24" t="str">
        <x:v>ZEISS|Visão Simples|Surfaçada|SmartLife Individual 3|PhotoFusion X Extra Dark Cinza|1.6|1.60|DURAVISION® ANTIVÍRUS PLATINUM UV|-6.00 a +8.00|-4.00|-|75|||15</x:v>
      </x:c>
    </x:row>
    <x:row r="1472">
      <x:c r="A1472" s="24" t="str">
        <x:v>ZS-C629EE9077E7</x:v>
      </x:c>
      <x:c r="B1472" s="24" t="str">
        <x:v>ZEISS</x:v>
      </x:c>
      <x:c r="C1472" s="24" t="str">
        <x:v>Visão Simples</x:v>
      </x:c>
      <x:c r="D1472" s="24" t="str">
        <x:v>Surfaçada</x:v>
      </x:c>
      <x:c r="E1472" s="24" t="str">
        <x:v>SmartLife Individual 3</x:v>
      </x:c>
      <x:c r="F1472" s="24" t="str">
        <x:v>PhotoFusion X Extra Dark Cinza</x:v>
      </x:c>
      <x:c r="G1472" s="24" t="str">
        <x:v>1.6</x:v>
      </x:c>
      <x:c r="H1472" s="24" t="str">
        <x:v>1.60</x:v>
      </x:c>
      <x:c r="I1472" s="24" t="str">
        <x:v>DuraVision Platinum UV</x:v>
      </x:c>
      <x:c r="J1472" s="40" t="n">
        <x:v>4139</x:v>
      </x:c>
      <x:c r="K1472" s="24" t="str">
        <x:v>-6.00 a +8.00</x:v>
      </x:c>
      <x:c r="L1472" s="24" t="str">
        <x:v>-4.00</x:v>
      </x:c>
      <x:c r="M1472" s="24" t="str">
        <x:v>-</x:v>
      </x:c>
      <x:c r="N1472" s="24" t="str">
        <x:v>75</x:v>
      </x:c>
      <x:c r="O1472" s="24"/>
      <x:c r="P1472" s="24"/>
      <x:c r="Q1472" s="24" t="str">
        <x:v>DISPONÍVEL</x:v>
      </x:c>
      <x:c r="R1472" s="24" t="str">
        <x:v>Programa de Parcerias ZEISS</x:v>
      </x:c>
      <x:c r="S1472" s="24" t="n">
        <x:v>15</x:v>
      </x:c>
      <x:c r="T1472" s="24" t="str">
        <x:v>tabela_zeiss.pdf</x:v>
      </x:c>
      <x:c r="U1472" s="24" t="str">
        <x:v>ZEISS|Visão Simples|Surfaçada|SmartLife Individual 3|PhotoFusion X Extra Dark Cinza|1.6|1.60|DuraVision Platinum UV|-6.00 a +8.00|-4.00|-|75|||15</x:v>
      </x:c>
    </x:row>
    <x:row r="1473">
      <x:c r="A1473" s="24" t="str">
        <x:v>ZS-44B9EED83CA3</x:v>
      </x:c>
      <x:c r="B1473" s="24" t="str">
        <x:v>ZEISS</x:v>
      </x:c>
      <x:c r="C1473" s="24" t="str">
        <x:v>Visão Simples</x:v>
      </x:c>
      <x:c r="D1473" s="24" t="str">
        <x:v>Surfaçada</x:v>
      </x:c>
      <x:c r="E1473" s="24" t="str">
        <x:v>SmartLife Individual 3</x:v>
      </x:c>
      <x:c r="F1473" s="24" t="str">
        <x:v>PhotoFusion X Extra Dark Cinza</x:v>
      </x:c>
      <x:c r="G1473" s="24" t="str">
        <x:v>1.6</x:v>
      </x:c>
      <x:c r="H1473" s="24" t="str">
        <x:v>1.60</x:v>
      </x:c>
      <x:c r="I1473" s="24" t="str">
        <x:v>DuraVision Silver UV</x:v>
      </x:c>
      <x:c r="J1473" s="40" t="n">
        <x:v>3879</x:v>
      </x:c>
      <x:c r="K1473" s="24" t="str">
        <x:v>-6.00 a +8.00</x:v>
      </x:c>
      <x:c r="L1473" s="24" t="str">
        <x:v>-4.00</x:v>
      </x:c>
      <x:c r="M1473" s="24" t="str">
        <x:v>-</x:v>
      </x:c>
      <x:c r="N1473" s="24" t="str">
        <x:v>75</x:v>
      </x:c>
      <x:c r="O1473" s="24"/>
      <x:c r="P1473" s="24"/>
      <x:c r="Q1473" s="24" t="str">
        <x:v>DISPONÍVEL</x:v>
      </x:c>
      <x:c r="R1473" s="24" t="str">
        <x:v>Programa de Parcerias ZEISS</x:v>
      </x:c>
      <x:c r="S1473" s="24" t="n">
        <x:v>15</x:v>
      </x:c>
      <x:c r="T1473" s="24" t="str">
        <x:v>tabela_zeiss.pdf</x:v>
      </x:c>
      <x:c r="U1473" s="24" t="str">
        <x:v>ZEISS|Visão Simples|Surfaçada|SmartLife Individual 3|PhotoFusion X Extra Dark Cinza|1.6|1.60|DuraVision Silver UV|-6.00 a +8.00|-4.00|-|75|||15</x:v>
      </x:c>
    </x:row>
    <x:row r="1474">
      <x:c r="A1474" s="24" t="str">
        <x:v>ZS-C8FA3E1FA24F</x:v>
      </x:c>
      <x:c r="B1474" s="24" t="str">
        <x:v>ZEISS</x:v>
      </x:c>
      <x:c r="C1474" s="24" t="str">
        <x:v>Visão Simples</x:v>
      </x:c>
      <x:c r="D1474" s="24" t="str">
        <x:v>Surfaçada</x:v>
      </x:c>
      <x:c r="E1474" s="24" t="str">
        <x:v>SmartLife Individual 3</x:v>
      </x:c>
      <x:c r="F1474" s="24" t="str">
        <x:v>PhotoFusion X Extra Dark Cinza</x:v>
      </x:c>
      <x:c r="G1474" s="24" t="str">
        <x:v>1.6</x:v>
      </x:c>
      <x:c r="H1474" s="24" t="str">
        <x:v>1.60</x:v>
      </x:c>
      <x:c r="I1474" s="24" t="str">
        <x:v>DuraVision Chrome UV</x:v>
      </x:c>
      <x:c r="J1474" s="40" t="n">
        <x:v>3389</x:v>
      </x:c>
      <x:c r="K1474" s="24" t="str">
        <x:v>-6.00 a +8.00</x:v>
      </x:c>
      <x:c r="L1474" s="24" t="str">
        <x:v>-4.00</x:v>
      </x:c>
      <x:c r="M1474" s="24" t="str">
        <x:v>-</x:v>
      </x:c>
      <x:c r="N1474" s="24" t="str">
        <x:v>75</x:v>
      </x:c>
      <x:c r="O1474" s="24"/>
      <x:c r="P1474" s="24"/>
      <x:c r="Q1474" s="24" t="str">
        <x:v>DISPONÍVEL</x:v>
      </x:c>
      <x:c r="R1474" s="24" t="str">
        <x:v>Programa de Parcerias ZEISS</x:v>
      </x:c>
      <x:c r="S1474" s="24" t="n">
        <x:v>15</x:v>
      </x:c>
      <x:c r="T1474" s="24" t="str">
        <x:v>tabela_zeiss.pdf</x:v>
      </x:c>
      <x:c r="U1474" s="24" t="str">
        <x:v>ZEISS|Visão Simples|Surfaçada|SmartLife Individual 3|PhotoFusion X Extra Dark Cinza|1.6|1.60|DuraVision Chrome UV|-6.00 a +8.00|-4.00|-|75|||15</x:v>
      </x:c>
    </x:row>
    <x:row r="1475">
      <x:c r="A1475" s="24" t="str">
        <x:v>ZS-53227C15A59E</x:v>
      </x:c>
      <x:c r="B1475" s="24" t="str">
        <x:v>ZEISS</x:v>
      </x:c>
      <x:c r="C1475" s="24" t="str">
        <x:v>Visão Simples</x:v>
      </x:c>
      <x:c r="D1475" s="24" t="str">
        <x:v>Surfaçada</x:v>
      </x:c>
      <x:c r="E1475" s="24" t="str">
        <x:v>SmartLife Individual 3</x:v>
      </x:c>
      <x:c r="F1475" s="24" t="str">
        <x:v>PhotoFusion X Extra Dark Cinza</x:v>
      </x:c>
      <x:c r="G1475" s="24" t="str">
        <x:v>1.67</x:v>
      </x:c>
      <x:c r="H1475" s="24" t="str">
        <x:v>1.67</x:v>
      </x:c>
      <x:c r="I1475" s="24" t="str">
        <x:v>DuraVision Gold UV</x:v>
      </x:c>
      <x:c r="J1475" s="40" t="n">
        <x:v>5579</x:v>
      </x:c>
      <x:c r="K1475" s="24" t="str">
        <x:v>-8.00 a +8.00</x:v>
      </x:c>
      <x:c r="L1475" s="24" t="str">
        <x:v>-6.00</x:v>
      </x:c>
      <x:c r="M1475" s="24" t="str">
        <x:v>-</x:v>
      </x:c>
      <x:c r="N1475" s="24" t="str">
        <x:v>70</x:v>
      </x:c>
      <x:c r="O1475" s="24"/>
      <x:c r="P1475" s="24"/>
      <x:c r="Q1475" s="24" t="str">
        <x:v>DISPONÍVEL</x:v>
      </x:c>
      <x:c r="R1475" s="24" t="str">
        <x:v>Programa de Parcerias ZEISS</x:v>
      </x:c>
      <x:c r="S1475" s="24" t="n">
        <x:v>15</x:v>
      </x:c>
      <x:c r="T1475" s="24" t="str">
        <x:v>tabela_zeiss.pdf</x:v>
      </x:c>
      <x:c r="U1475" s="24" t="str">
        <x:v>ZEISS|Visão Simples|Surfaçada|SmartLife Individual 3|PhotoFusion X Extra Dark Cinza|1.67|1.67|DuraVision Gold UV|-8.00 a +8.00|-6.00|-|70|||15</x:v>
      </x:c>
    </x:row>
    <x:row r="1476">
      <x:c r="A1476" s="24" t="str">
        <x:v>ZS-85AF435200B0</x:v>
      </x:c>
      <x:c r="B1476" s="24" t="str">
        <x:v>ZEISS</x:v>
      </x:c>
      <x:c r="C1476" s="24" t="str">
        <x:v>Visão Simples</x:v>
      </x:c>
      <x:c r="D1476" s="24" t="str">
        <x:v>Surfaçada</x:v>
      </x:c>
      <x:c r="E1476" s="24" t="str">
        <x:v>SmartLife Individual 3</x:v>
      </x:c>
      <x:c r="F1476" s="24" t="str">
        <x:v>PhotoFusion X Extra Dark Cinza</x:v>
      </x:c>
      <x:c r="G1476" s="24" t="str">
        <x:v>1.67</x:v>
      </x:c>
      <x:c r="H1476" s="24" t="str">
        <x:v>1.67</x:v>
      </x:c>
      <x:c r="I1476" s="24" t="str">
        <x:v>DURAVISION® ANTIVÍRUS PLATINUM UV</x:v>
      </x:c>
      <x:c r="J1476" s="40" t="n">
        <x:v>5439</x:v>
      </x:c>
      <x:c r="K1476" s="24" t="str">
        <x:v>-8.00 a +8.00</x:v>
      </x:c>
      <x:c r="L1476" s="24" t="str">
        <x:v>-6.00</x:v>
      </x:c>
      <x:c r="M1476" s="24" t="str">
        <x:v>-</x:v>
      </x:c>
      <x:c r="N1476" s="24" t="str">
        <x:v>70</x:v>
      </x:c>
      <x:c r="O1476" s="24"/>
      <x:c r="P1476" s="24"/>
      <x:c r="Q1476" s="24" t="str">
        <x:v>DISPONÍVEL</x:v>
      </x:c>
      <x:c r="R1476" s="24" t="str">
        <x:v>Programa de Parcerias ZEISS</x:v>
      </x:c>
      <x:c r="S1476" s="24" t="n">
        <x:v>15</x:v>
      </x:c>
      <x:c r="T1476" s="24" t="str">
        <x:v>tabela_zeiss.pdf</x:v>
      </x:c>
      <x:c r="U1476" s="24" t="str">
        <x:v>ZEISS|Visão Simples|Surfaçada|SmartLife Individual 3|PhotoFusion X Extra Dark Cinza|1.67|1.67|DURAVISION® ANTIVÍRUS PLATINUM UV|-8.00 a +8.00|-6.00|-|70|||15</x:v>
      </x:c>
    </x:row>
    <x:row r="1477">
      <x:c r="A1477" s="24" t="str">
        <x:v>ZS-1CDE634EE8B6</x:v>
      </x:c>
      <x:c r="B1477" s="24" t="str">
        <x:v>ZEISS</x:v>
      </x:c>
      <x:c r="C1477" s="24" t="str">
        <x:v>Visão Simples</x:v>
      </x:c>
      <x:c r="D1477" s="24" t="str">
        <x:v>Surfaçada</x:v>
      </x:c>
      <x:c r="E1477" s="24" t="str">
        <x:v>SmartLife Individual 3</x:v>
      </x:c>
      <x:c r="F1477" s="24" t="str">
        <x:v>PhotoFusion X Extra Dark Cinza</x:v>
      </x:c>
      <x:c r="G1477" s="24" t="str">
        <x:v>1.67</x:v>
      </x:c>
      <x:c r="H1477" s="24" t="str">
        <x:v>1.67</x:v>
      </x:c>
      <x:c r="I1477" s="24" t="str">
        <x:v>DuraVision Platinum UV</x:v>
      </x:c>
      <x:c r="J1477" s="40" t="n">
        <x:v>5439</x:v>
      </x:c>
      <x:c r="K1477" s="24" t="str">
        <x:v>-8.00 a +8.00</x:v>
      </x:c>
      <x:c r="L1477" s="24" t="str">
        <x:v>-6.00</x:v>
      </x:c>
      <x:c r="M1477" s="24" t="str">
        <x:v>-</x:v>
      </x:c>
      <x:c r="N1477" s="24" t="str">
        <x:v>70</x:v>
      </x:c>
      <x:c r="O1477" s="24"/>
      <x:c r="P1477" s="24"/>
      <x:c r="Q1477" s="24" t="str">
        <x:v>DISPONÍVEL</x:v>
      </x:c>
      <x:c r="R1477" s="24" t="str">
        <x:v>Programa de Parcerias ZEISS</x:v>
      </x:c>
      <x:c r="S1477" s="24" t="n">
        <x:v>15</x:v>
      </x:c>
      <x:c r="T1477" s="24" t="str">
        <x:v>tabela_zeiss.pdf</x:v>
      </x:c>
      <x:c r="U1477" s="24" t="str">
        <x:v>ZEISS|Visão Simples|Surfaçada|SmartLife Individual 3|PhotoFusion X Extra Dark Cinza|1.67|1.67|DuraVision Platinum UV|-8.00 a +8.00|-6.00|-|70|||15</x:v>
      </x:c>
    </x:row>
    <x:row r="1478">
      <x:c r="A1478" s="24" t="str">
        <x:v>ZS-4A650240D817</x:v>
      </x:c>
      <x:c r="B1478" s="24" t="str">
        <x:v>ZEISS</x:v>
      </x:c>
      <x:c r="C1478" s="24" t="str">
        <x:v>Visão Simples</x:v>
      </x:c>
      <x:c r="D1478" s="24" t="str">
        <x:v>Surfaçada</x:v>
      </x:c>
      <x:c r="E1478" s="24" t="str">
        <x:v>SmartLife Individual 3</x:v>
      </x:c>
      <x:c r="F1478" s="24" t="str">
        <x:v>PhotoFusion X Extra Dark Cinza</x:v>
      </x:c>
      <x:c r="G1478" s="24" t="str">
        <x:v>1.67</x:v>
      </x:c>
      <x:c r="H1478" s="24" t="str">
        <x:v>1.67</x:v>
      </x:c>
      <x:c r="I1478" s="24" t="str">
        <x:v>DuraVision Silver UV</x:v>
      </x:c>
      <x:c r="J1478" s="40" t="n">
        <x:v>5179</x:v>
      </x:c>
      <x:c r="K1478" s="24" t="str">
        <x:v>-8.00 a +8.00</x:v>
      </x:c>
      <x:c r="L1478" s="24" t="str">
        <x:v>-6.00</x:v>
      </x:c>
      <x:c r="M1478" s="24" t="str">
        <x:v>-</x:v>
      </x:c>
      <x:c r="N1478" s="24" t="str">
        <x:v>70</x:v>
      </x:c>
      <x:c r="O1478" s="24"/>
      <x:c r="P1478" s="24"/>
      <x:c r="Q1478" s="24" t="str">
        <x:v>DISPONÍVEL</x:v>
      </x:c>
      <x:c r="R1478" s="24" t="str">
        <x:v>Programa de Parcerias ZEISS</x:v>
      </x:c>
      <x:c r="S1478" s="24" t="n">
        <x:v>15</x:v>
      </x:c>
      <x:c r="T1478" s="24" t="str">
        <x:v>tabela_zeiss.pdf</x:v>
      </x:c>
      <x:c r="U1478" s="24" t="str">
        <x:v>ZEISS|Visão Simples|Surfaçada|SmartLife Individual 3|PhotoFusion X Extra Dark Cinza|1.67|1.67|DuraVision Silver UV|-8.00 a +8.00|-6.00|-|70|||15</x:v>
      </x:c>
    </x:row>
    <x:row r="1479">
      <x:c r="A1479" s="24" t="str">
        <x:v>ZS-335A5FA2ABEC</x:v>
      </x:c>
      <x:c r="B1479" s="24" t="str">
        <x:v>ZEISS</x:v>
      </x:c>
      <x:c r="C1479" s="24" t="str">
        <x:v>Visão Simples</x:v>
      </x:c>
      <x:c r="D1479" s="24" t="str">
        <x:v>Surfaçada</x:v>
      </x:c>
      <x:c r="E1479" s="24" t="str">
        <x:v>SmartLife Individual 3</x:v>
      </x:c>
      <x:c r="F1479" s="24" t="str">
        <x:v>PhotoFusion X Extra Dark Cinza</x:v>
      </x:c>
      <x:c r="G1479" s="24" t="str">
        <x:v>1.67</x:v>
      </x:c>
      <x:c r="H1479" s="24" t="str">
        <x:v>1.67</x:v>
      </x:c>
      <x:c r="I1479" s="24" t="str">
        <x:v>DuraVision Chrome UV</x:v>
      </x:c>
      <x:c r="J1479" s="40" t="n">
        <x:v>4689</x:v>
      </x:c>
      <x:c r="K1479" s="24" t="str">
        <x:v>-8.00 a +8.00</x:v>
      </x:c>
      <x:c r="L1479" s="24" t="str">
        <x:v>-6.00</x:v>
      </x:c>
      <x:c r="M1479" s="24" t="str">
        <x:v>-</x:v>
      </x:c>
      <x:c r="N1479" s="24" t="str">
        <x:v>70</x:v>
      </x:c>
      <x:c r="O1479" s="24"/>
      <x:c r="P1479" s="24"/>
      <x:c r="Q1479" s="24" t="str">
        <x:v>DISPONÍVEL</x:v>
      </x:c>
      <x:c r="R1479" s="24" t="str">
        <x:v>Programa de Parcerias ZEISS</x:v>
      </x:c>
      <x:c r="S1479" s="24" t="n">
        <x:v>15</x:v>
      </x:c>
      <x:c r="T1479" s="24" t="str">
        <x:v>tabela_zeiss.pdf</x:v>
      </x:c>
      <x:c r="U1479" s="24" t="str">
        <x:v>ZEISS|Visão Simples|Surfaçada|SmartLife Individual 3|PhotoFusion X Extra Dark Cinza|1.67|1.67|DuraVision Chrome UV|-8.00 a +8.00|-6.00|-|70|||15</x:v>
      </x:c>
    </x:row>
    <x:row r="1480">
      <x:c r="A1480" s="24" t="str">
        <x:v>ZS-795D19139E7E</x:v>
      </x:c>
      <x:c r="B1480" s="24" t="str">
        <x:v>ZEISS</x:v>
      </x:c>
      <x:c r="C1480" s="24" t="str">
        <x:v>Visão Simples</x:v>
      </x:c>
      <x:c r="D1480" s="24" t="str">
        <x:v>Surfaçada</x:v>
      </x:c>
      <x:c r="E1480" s="24" t="str">
        <x:v>SmartLife Individual 3</x:v>
      </x:c>
      <x:c r="F1480" s="24" t="str">
        <x:v>Polarizada</x:v>
      </x:c>
      <x:c r="G1480" s="24" t="str">
        <x:v>1.5</x:v>
      </x:c>
      <x:c r="H1480" s="24" t="str">
        <x:v>1.50</x:v>
      </x:c>
      <x:c r="I1480" s="24" t="str">
        <x:v>DuraVision Gold UV</x:v>
      </x:c>
      <x:c r="J1480" s="40" t="n">
        <x:v>3399</x:v>
      </x:c>
      <x:c r="K1480" s="24" t="str">
        <x:v>-6.00 a +6.00</x:v>
      </x:c>
      <x:c r="L1480" s="24" t="str">
        <x:v>-4.00</x:v>
      </x:c>
      <x:c r="M1480" s="24" t="str">
        <x:v>-</x:v>
      </x:c>
      <x:c r="N1480" s="24" t="str">
        <x:v>75</x:v>
      </x:c>
      <x:c r="O1480" s="24"/>
      <x:c r="P1480" s="24"/>
      <x:c r="Q1480" s="24" t="str">
        <x:v>DISPONÍVEL</x:v>
      </x:c>
      <x:c r="R1480" s="24"/>
      <x:c r="S1480" s="24" t="n">
        <x:v>15</x:v>
      </x:c>
      <x:c r="T1480" s="24" t="str">
        <x:v>tabela_zeiss.pdf</x:v>
      </x:c>
      <x:c r="U1480" s="24" t="str">
        <x:v>ZEISS|Visão Simples|Surfaçada|SmartLife Individual 3|Polarizada|1.5|1.50|DuraVision Gold UV|-6.00 a +6.00|-4.00|-|75|||15</x:v>
      </x:c>
    </x:row>
    <x:row r="1481">
      <x:c r="A1481" s="24" t="str">
        <x:v>ZS-0FFE560CA83C</x:v>
      </x:c>
      <x:c r="B1481" s="24" t="str">
        <x:v>ZEISS</x:v>
      </x:c>
      <x:c r="C1481" s="24" t="str">
        <x:v>Visão Simples</x:v>
      </x:c>
      <x:c r="D1481" s="24" t="str">
        <x:v>Surfaçada</x:v>
      </x:c>
      <x:c r="E1481" s="24" t="str">
        <x:v>SmartLife Individual 3</x:v>
      </x:c>
      <x:c r="F1481" s="24" t="str">
        <x:v>Polarizada</x:v>
      </x:c>
      <x:c r="G1481" s="24" t="str">
        <x:v>1.5</x:v>
      </x:c>
      <x:c r="H1481" s="24" t="str">
        <x:v>1.50</x:v>
      </x:c>
      <x:c r="I1481" s="24" t="str">
        <x:v>DuraVision Platinum UV</x:v>
      </x:c>
      <x:c r="J1481" s="40" t="n">
        <x:v>3259</x:v>
      </x:c>
      <x:c r="K1481" s="24" t="str">
        <x:v>-6.00 a +6.00</x:v>
      </x:c>
      <x:c r="L1481" s="24" t="str">
        <x:v>-4.00</x:v>
      </x:c>
      <x:c r="M1481" s="24" t="str">
        <x:v>-</x:v>
      </x:c>
      <x:c r="N1481" s="24" t="str">
        <x:v>75</x:v>
      </x:c>
      <x:c r="O1481" s="24"/>
      <x:c r="P1481" s="24"/>
      <x:c r="Q1481" s="24" t="str">
        <x:v>DISPONÍVEL</x:v>
      </x:c>
      <x:c r="R1481" s="24"/>
      <x:c r="S1481" s="24" t="n">
        <x:v>15</x:v>
      </x:c>
      <x:c r="T1481" s="24" t="str">
        <x:v>tabela_zeiss.pdf</x:v>
      </x:c>
      <x:c r="U1481" s="24" t="str">
        <x:v>ZEISS|Visão Simples|Surfaçada|SmartLife Individual 3|Polarizada|1.5|1.50|DuraVision Platinum UV|-6.00 a +6.00|-4.00|-|75|||15</x:v>
      </x:c>
    </x:row>
    <x:row r="1482">
      <x:c r="A1482" s="24" t="str">
        <x:v>ZS-0F132D067598</x:v>
      </x:c>
      <x:c r="B1482" s="24" t="str">
        <x:v>ZEISS</x:v>
      </x:c>
      <x:c r="C1482" s="24" t="str">
        <x:v>Visão Simples</x:v>
      </x:c>
      <x:c r="D1482" s="24" t="str">
        <x:v>Surfaçada</x:v>
      </x:c>
      <x:c r="E1482" s="24" t="str">
        <x:v>SmartLife Individual 3</x:v>
      </x:c>
      <x:c r="F1482" s="24" t="str">
        <x:v>Polarizada</x:v>
      </x:c>
      <x:c r="G1482" s="24" t="str">
        <x:v>1.5</x:v>
      </x:c>
      <x:c r="H1482" s="24" t="str">
        <x:v>1.50</x:v>
      </x:c>
      <x:c r="I1482" s="24" t="str">
        <x:v>DuraVision Silver UV</x:v>
      </x:c>
      <x:c r="J1482" s="40" t="n">
        <x:v>2999</x:v>
      </x:c>
      <x:c r="K1482" s="24" t="str">
        <x:v>-6.00 a +6.00</x:v>
      </x:c>
      <x:c r="L1482" s="24" t="str">
        <x:v>-4.00</x:v>
      </x:c>
      <x:c r="M1482" s="24" t="str">
        <x:v>-</x:v>
      </x:c>
      <x:c r="N1482" s="24" t="str">
        <x:v>75</x:v>
      </x:c>
      <x:c r="O1482" s="24"/>
      <x:c r="P1482" s="24"/>
      <x:c r="Q1482" s="24" t="str">
        <x:v>DISPONÍVEL</x:v>
      </x:c>
      <x:c r="R1482" s="24"/>
      <x:c r="S1482" s="24" t="n">
        <x:v>15</x:v>
      </x:c>
      <x:c r="T1482" s="24" t="str">
        <x:v>tabela_zeiss.pdf</x:v>
      </x:c>
      <x:c r="U1482" s="24" t="str">
        <x:v>ZEISS|Visão Simples|Surfaçada|SmartLife Individual 3|Polarizada|1.5|1.50|DuraVision Silver UV|-6.00 a +6.00|-4.00|-|75|||15</x:v>
      </x:c>
    </x:row>
    <x:row r="1483">
      <x:c r="A1483" s="24" t="str">
        <x:v>ZS-B293EAAB5F21</x:v>
      </x:c>
      <x:c r="B1483" s="24" t="str">
        <x:v>ZEISS</x:v>
      </x:c>
      <x:c r="C1483" s="24" t="str">
        <x:v>Visão Simples</x:v>
      </x:c>
      <x:c r="D1483" s="24" t="str">
        <x:v>Surfaçada</x:v>
      </x:c>
      <x:c r="E1483" s="24" t="str">
        <x:v>SmartLife Individual 3</x:v>
      </x:c>
      <x:c r="F1483" s="24" t="str">
        <x:v>Polarizada</x:v>
      </x:c>
      <x:c r="G1483" s="24" t="str">
        <x:v>1.5</x:v>
      </x:c>
      <x:c r="H1483" s="24" t="str">
        <x:v>1.50</x:v>
      </x:c>
      <x:c r="I1483" s="24" t="str">
        <x:v>DuraVision Chrome UV</x:v>
      </x:c>
      <x:c r="J1483" s="40" t="n">
        <x:v>2509</x:v>
      </x:c>
      <x:c r="K1483" s="24" t="str">
        <x:v>-6.00 a +6.00</x:v>
      </x:c>
      <x:c r="L1483" s="24" t="str">
        <x:v>-4.00</x:v>
      </x:c>
      <x:c r="M1483" s="24" t="str">
        <x:v>-</x:v>
      </x:c>
      <x:c r="N1483" s="24" t="str">
        <x:v>75</x:v>
      </x:c>
      <x:c r="O1483" s="24"/>
      <x:c r="P1483" s="24"/>
      <x:c r="Q1483" s="24" t="str">
        <x:v>DISPONÍVEL</x:v>
      </x:c>
      <x:c r="R1483" s="24"/>
      <x:c r="S1483" s="24" t="n">
        <x:v>15</x:v>
      </x:c>
      <x:c r="T1483" s="24" t="str">
        <x:v>tabela_zeiss.pdf</x:v>
      </x:c>
      <x:c r="U1483" s="24" t="str">
        <x:v>ZEISS|Visão Simples|Surfaçada|SmartLife Individual 3|Polarizada|1.5|1.50|DuraVision Chrome UV|-6.00 a +6.00|-4.00|-|75|||15</x:v>
      </x:c>
    </x:row>
    <x:row r="1484">
      <x:c r="A1484" s="24" t="str">
        <x:v>ZS-B5E11AC663B9</x:v>
      </x:c>
      <x:c r="B1484" s="24" t="str">
        <x:v>ZEISS</x:v>
      </x:c>
      <x:c r="C1484" s="24" t="str">
        <x:v>Visão Simples</x:v>
      </x:c>
      <x:c r="D1484" s="24" t="str">
        <x:v>Surfaçada</x:v>
      </x:c>
      <x:c r="E1484" s="24" t="str">
        <x:v>SmartLife Individual 3</x:v>
      </x:c>
      <x:c r="F1484" s="24" t="str">
        <x:v>Polarizada</x:v>
      </x:c>
      <x:c r="G1484" s="24" t="str">
        <x:v>1.5</x:v>
      </x:c>
      <x:c r="H1484" s="24" t="str">
        <x:v>1.50</x:v>
      </x:c>
      <x:c r="I1484" s="24" t="str">
        <x:v>Sem AR</x:v>
      </x:c>
      <x:c r="J1484" s="40" t="n">
        <x:v>2109</x:v>
      </x:c>
      <x:c r="K1484" s="24" t="str">
        <x:v>-6.00 a +6.00</x:v>
      </x:c>
      <x:c r="L1484" s="24" t="str">
        <x:v>-4.00</x:v>
      </x:c>
      <x:c r="M1484" s="24" t="str">
        <x:v>-</x:v>
      </x:c>
      <x:c r="N1484" s="24" t="str">
        <x:v>75</x:v>
      </x:c>
      <x:c r="O1484" s="24"/>
      <x:c r="P1484" s="24"/>
      <x:c r="Q1484" s="24" t="str">
        <x:v>DISPONÍVEL</x:v>
      </x:c>
      <x:c r="R1484" s="24"/>
      <x:c r="S1484" s="24" t="n">
        <x:v>15</x:v>
      </x:c>
      <x:c r="T1484" s="24" t="str">
        <x:v>tabela_zeiss.pdf</x:v>
      </x:c>
      <x:c r="U1484" s="24" t="str">
        <x:v>ZEISS|Visão Simples|Surfaçada|SmartLife Individual 3|Polarizada|1.5|1.50|Sem AR|-6.00 a +6.00|-4.00|-|75|||15</x:v>
      </x:c>
    </x:row>
    <x:row r="1485">
      <x:c r="A1485" s="24" t="str">
        <x:v>ZS-8EB61F1DAB67</x:v>
      </x:c>
      <x:c r="B1485" s="24" t="str">
        <x:v>ZEISS</x:v>
      </x:c>
      <x:c r="C1485" s="24" t="str">
        <x:v>Visão Simples</x:v>
      </x:c>
      <x:c r="D1485" s="24" t="str">
        <x:v>Surfaçada</x:v>
      </x:c>
      <x:c r="E1485" s="24" t="str">
        <x:v>SmartLife Individual 3</x:v>
      </x:c>
      <x:c r="F1485" s="24" t="str">
        <x:v>Polarizada</x:v>
      </x:c>
      <x:c r="G1485" s="24" t="str">
        <x:v>1.6</x:v>
      </x:c>
      <x:c r="H1485" s="24" t="str">
        <x:v>1.60</x:v>
      </x:c>
      <x:c r="I1485" s="24" t="str">
        <x:v>DuraVision Gold UV</x:v>
      </x:c>
      <x:c r="J1485" s="40" t="n">
        <x:v>3979</x:v>
      </x:c>
      <x:c r="K1485" s="24" t="str">
        <x:v>-8.00 a +8.00</x:v>
      </x:c>
      <x:c r="L1485" s="24" t="str">
        <x:v>-4.00</x:v>
      </x:c>
      <x:c r="M1485" s="24" t="str">
        <x:v>-</x:v>
      </x:c>
      <x:c r="N1485" s="24" t="str">
        <x:v>70</x:v>
      </x:c>
      <x:c r="O1485" s="24"/>
      <x:c r="P1485" s="24"/>
      <x:c r="Q1485" s="24" t="str">
        <x:v>DISPONÍVEL</x:v>
      </x:c>
      <x:c r="R1485" s="24"/>
      <x:c r="S1485" s="24" t="n">
        <x:v>15</x:v>
      </x:c>
      <x:c r="T1485" s="24" t="str">
        <x:v>tabela_zeiss.pdf</x:v>
      </x:c>
      <x:c r="U1485" s="24" t="str">
        <x:v>ZEISS|Visão Simples|Surfaçada|SmartLife Individual 3|Polarizada|1.6|1.60|DuraVision Gold UV|-8.00 a +8.00|-4.00|-|70|||15</x:v>
      </x:c>
    </x:row>
    <x:row r="1486">
      <x:c r="A1486" s="24" t="str">
        <x:v>ZS-73557A4351A4</x:v>
      </x:c>
      <x:c r="B1486" s="24" t="str">
        <x:v>ZEISS</x:v>
      </x:c>
      <x:c r="C1486" s="24" t="str">
        <x:v>Visão Simples</x:v>
      </x:c>
      <x:c r="D1486" s="24" t="str">
        <x:v>Surfaçada</x:v>
      </x:c>
      <x:c r="E1486" s="24" t="str">
        <x:v>SmartLife Individual 3</x:v>
      </x:c>
      <x:c r="F1486" s="24" t="str">
        <x:v>Polarizada</x:v>
      </x:c>
      <x:c r="G1486" s="24" t="str">
        <x:v>1.6</x:v>
      </x:c>
      <x:c r="H1486" s="24" t="str">
        <x:v>1.60</x:v>
      </x:c>
      <x:c r="I1486" s="24" t="str">
        <x:v>DuraVision Platinum UV</x:v>
      </x:c>
      <x:c r="J1486" s="40" t="n">
        <x:v>3839</x:v>
      </x:c>
      <x:c r="K1486" s="24" t="str">
        <x:v>-8.00 a +8.00</x:v>
      </x:c>
      <x:c r="L1486" s="24" t="str">
        <x:v>-4.00</x:v>
      </x:c>
      <x:c r="M1486" s="24" t="str">
        <x:v>-</x:v>
      </x:c>
      <x:c r="N1486" s="24" t="str">
        <x:v>70</x:v>
      </x:c>
      <x:c r="O1486" s="24"/>
      <x:c r="P1486" s="24"/>
      <x:c r="Q1486" s="24" t="str">
        <x:v>DISPONÍVEL</x:v>
      </x:c>
      <x:c r="R1486" s="24"/>
      <x:c r="S1486" s="24" t="n">
        <x:v>15</x:v>
      </x:c>
      <x:c r="T1486" s="24" t="str">
        <x:v>tabela_zeiss.pdf</x:v>
      </x:c>
      <x:c r="U1486" s="24" t="str">
        <x:v>ZEISS|Visão Simples|Surfaçada|SmartLife Individual 3|Polarizada|1.6|1.60|DuraVision Platinum UV|-8.00 a +8.00|-4.00|-|70|||15</x:v>
      </x:c>
    </x:row>
    <x:row r="1487">
      <x:c r="A1487" s="24" t="str">
        <x:v>ZS-976FD611579E</x:v>
      </x:c>
      <x:c r="B1487" s="24" t="str">
        <x:v>ZEISS</x:v>
      </x:c>
      <x:c r="C1487" s="24" t="str">
        <x:v>Visão Simples</x:v>
      </x:c>
      <x:c r="D1487" s="24" t="str">
        <x:v>Surfaçada</x:v>
      </x:c>
      <x:c r="E1487" s="24" t="str">
        <x:v>SmartLife Individual 3</x:v>
      </x:c>
      <x:c r="F1487" s="24" t="str">
        <x:v>Polarizada</x:v>
      </x:c>
      <x:c r="G1487" s="24" t="str">
        <x:v>1.6</x:v>
      </x:c>
      <x:c r="H1487" s="24" t="str">
        <x:v>1.60</x:v>
      </x:c>
      <x:c r="I1487" s="24" t="str">
        <x:v>DuraVision Silver UV</x:v>
      </x:c>
      <x:c r="J1487" s="40" t="n">
        <x:v>3579</x:v>
      </x:c>
      <x:c r="K1487" s="24" t="str">
        <x:v>-8.00 a +8.00</x:v>
      </x:c>
      <x:c r="L1487" s="24" t="str">
        <x:v>-4.00</x:v>
      </x:c>
      <x:c r="M1487" s="24" t="str">
        <x:v>-</x:v>
      </x:c>
      <x:c r="N1487" s="24" t="str">
        <x:v>70</x:v>
      </x:c>
      <x:c r="O1487" s="24"/>
      <x:c r="P1487" s="24"/>
      <x:c r="Q1487" s="24" t="str">
        <x:v>DISPONÍVEL</x:v>
      </x:c>
      <x:c r="R1487" s="24"/>
      <x:c r="S1487" s="24" t="n">
        <x:v>15</x:v>
      </x:c>
      <x:c r="T1487" s="24" t="str">
        <x:v>tabela_zeiss.pdf</x:v>
      </x:c>
      <x:c r="U1487" s="24" t="str">
        <x:v>ZEISS|Visão Simples|Surfaçada|SmartLife Individual 3|Polarizada|1.6|1.60|DuraVision Silver UV|-8.00 a +8.00|-4.00|-|70|||15</x:v>
      </x:c>
    </x:row>
    <x:row r="1488">
      <x:c r="A1488" s="24" t="str">
        <x:v>ZS-BB19A66CD1D4</x:v>
      </x:c>
      <x:c r="B1488" s="24" t="str">
        <x:v>ZEISS</x:v>
      </x:c>
      <x:c r="C1488" s="24" t="str">
        <x:v>Visão Simples</x:v>
      </x:c>
      <x:c r="D1488" s="24" t="str">
        <x:v>Surfaçada</x:v>
      </x:c>
      <x:c r="E1488" s="24" t="str">
        <x:v>SmartLife Individual 3</x:v>
      </x:c>
      <x:c r="F1488" s="24" t="str">
        <x:v>Polarizada</x:v>
      </x:c>
      <x:c r="G1488" s="24" t="str">
        <x:v>1.6</x:v>
      </x:c>
      <x:c r="H1488" s="24" t="str">
        <x:v>1.60</x:v>
      </x:c>
      <x:c r="I1488" s="24" t="str">
        <x:v>DuraVision Chrome UV</x:v>
      </x:c>
      <x:c r="J1488" s="40" t="n">
        <x:v>3089</x:v>
      </x:c>
      <x:c r="K1488" s="24" t="str">
        <x:v>-8.00 a +8.00</x:v>
      </x:c>
      <x:c r="L1488" s="24" t="str">
        <x:v>-4.00</x:v>
      </x:c>
      <x:c r="M1488" s="24" t="str">
        <x:v>-</x:v>
      </x:c>
      <x:c r="N1488" s="24" t="str">
        <x:v>70</x:v>
      </x:c>
      <x:c r="O1488" s="24"/>
      <x:c r="P1488" s="24"/>
      <x:c r="Q1488" s="24" t="str">
        <x:v>DISPONÍVEL</x:v>
      </x:c>
      <x:c r="R1488" s="24"/>
      <x:c r="S1488" s="24" t="n">
        <x:v>15</x:v>
      </x:c>
      <x:c r="T1488" s="24" t="str">
        <x:v>tabela_zeiss.pdf</x:v>
      </x:c>
      <x:c r="U1488" s="24" t="str">
        <x:v>ZEISS|Visão Simples|Surfaçada|SmartLife Individual 3|Polarizada|1.6|1.60|DuraVision Chrome UV|-8.00 a +8.00|-4.00|-|70|||15</x:v>
      </x:c>
    </x:row>
    <x:row r="1489">
      <x:c r="A1489" s="24" t="str">
        <x:v>ZS-0E60B94C975C</x:v>
      </x:c>
      <x:c r="B1489" s="24" t="str">
        <x:v>ZEISS</x:v>
      </x:c>
      <x:c r="C1489" s="24" t="str">
        <x:v>Visão Simples</x:v>
      </x:c>
      <x:c r="D1489" s="24" t="str">
        <x:v>Surfaçada</x:v>
      </x:c>
      <x:c r="E1489" s="24" t="str">
        <x:v>SmartLife Individual 3</x:v>
      </x:c>
      <x:c r="F1489" s="24" t="str">
        <x:v>Polarizada</x:v>
      </x:c>
      <x:c r="G1489" s="24" t="str">
        <x:v>1.6</x:v>
      </x:c>
      <x:c r="H1489" s="24" t="str">
        <x:v>1.60</x:v>
      </x:c>
      <x:c r="I1489" s="24" t="str">
        <x:v>Sem AR</x:v>
      </x:c>
      <x:c r="J1489" s="40" t="n">
        <x:v>2689</x:v>
      </x:c>
      <x:c r="K1489" s="24" t="str">
        <x:v>-8.00 a +8.00</x:v>
      </x:c>
      <x:c r="L1489" s="24" t="str">
        <x:v>-4.00</x:v>
      </x:c>
      <x:c r="M1489" s="24" t="str">
        <x:v>-</x:v>
      </x:c>
      <x:c r="N1489" s="24" t="str">
        <x:v>70</x:v>
      </x:c>
      <x:c r="O1489" s="24"/>
      <x:c r="P1489" s="24"/>
      <x:c r="Q1489" s="24" t="str">
        <x:v>DISPONÍVEL</x:v>
      </x:c>
      <x:c r="R1489" s="24"/>
      <x:c r="S1489" s="24" t="n">
        <x:v>15</x:v>
      </x:c>
      <x:c r="T1489" s="24" t="str">
        <x:v>tabela_zeiss.pdf</x:v>
      </x:c>
      <x:c r="U1489" s="24" t="str">
        <x:v>ZEISS|Visão Simples|Surfaçada|SmartLife Individual 3|Polarizada|1.6|1.60|Sem AR|-8.00 a +8.00|-4.00|-|70|||15</x:v>
      </x:c>
    </x:row>
    <x:row r="1490">
      <x:c r="A1490" s="24" t="str">
        <x:v>ZS-53478C961AB0</x:v>
      </x:c>
      <x:c r="B1490" s="24" t="str">
        <x:v>ZEISS</x:v>
      </x:c>
      <x:c r="C1490" s="24" t="str">
        <x:v>Visão Simples</x:v>
      </x:c>
      <x:c r="D1490" s="24" t="str">
        <x:v>Surfaçada</x:v>
      </x:c>
      <x:c r="E1490" s="24" t="str">
        <x:v>SmartLife</x:v>
      </x:c>
      <x:c r="F1490" s="24"/>
      <x:c r="G1490" s="24" t="str">
        <x:v>1.5</x:v>
      </x:c>
      <x:c r="H1490" s="24" t="str">
        <x:v>1.50</x:v>
      </x:c>
      <x:c r="I1490" s="24" t="str">
        <x:v>DURAVISION® GOLD</x:v>
      </x:c>
      <x:c r="J1490" s="40" t="n">
        <x:v>2269</x:v>
      </x:c>
      <x:c r="K1490" s="24" t="str">
        <x:v>-6.00 a +6.00</x:v>
      </x:c>
      <x:c r="L1490" s="24" t="str">
        <x:v>-4.00</x:v>
      </x:c>
      <x:c r="M1490" s="24" t="str">
        <x:v>-</x:v>
      </x:c>
      <x:c r="N1490" s="24" t="str">
        <x:v>75</x:v>
      </x:c>
      <x:c r="O1490" s="24"/>
      <x:c r="P1490" s="24"/>
      <x:c r="Q1490" s="24" t="str">
        <x:v>DISPONÍVEL</x:v>
      </x:c>
      <x:c r="R1490" s="24"/>
      <x:c r="S1490" s="24" t="n">
        <x:v>16</x:v>
      </x:c>
      <x:c r="T1490" s="24" t="str">
        <x:v>tabela_zeiss.pdf</x:v>
      </x:c>
      <x:c r="U1490" s="24" t="str">
        <x:v>ZEISS|Visão Simples|Surfaçada|SmartLife||1.5|1.50|DURAVISION® GOLD|-6.00 a +6.00|-4.00|-|75|||16</x:v>
      </x:c>
    </x:row>
    <x:row r="1491">
      <x:c r="A1491" s="24" t="str">
        <x:v>ZS-760EFE99F7EE</x:v>
      </x:c>
      <x:c r="B1491" s="24" t="str">
        <x:v>ZEISS</x:v>
      </x:c>
      <x:c r="C1491" s="24" t="str">
        <x:v>Visão Simples</x:v>
      </x:c>
      <x:c r="D1491" s="24" t="str">
        <x:v>Surfaçada</x:v>
      </x:c>
      <x:c r="E1491" s="24" t="str">
        <x:v>SmartLife</x:v>
      </x:c>
      <x:c r="F1491" s="24"/>
      <x:c r="G1491" s="24" t="str">
        <x:v>1.5</x:v>
      </x:c>
      <x:c r="H1491" s="24" t="str">
        <x:v>1.50</x:v>
      </x:c>
      <x:c r="I1491" s="24" t="str">
        <x:v>DURAVISION® ANTIVÍRUS PLATINUM UV</x:v>
      </x:c>
      <x:c r="J1491" s="40" t="n">
        <x:v>2129</x:v>
      </x:c>
      <x:c r="K1491" s="24" t="str">
        <x:v>-6.00 a +6.00</x:v>
      </x:c>
      <x:c r="L1491" s="24" t="str">
        <x:v>-4.00</x:v>
      </x:c>
      <x:c r="M1491" s="24" t="str">
        <x:v>-</x:v>
      </x:c>
      <x:c r="N1491" s="24" t="str">
        <x:v>75</x:v>
      </x:c>
      <x:c r="O1491" s="24"/>
      <x:c r="P1491" s="24"/>
      <x:c r="Q1491" s="24" t="str">
        <x:v>DISPONÍVEL</x:v>
      </x:c>
      <x:c r="R1491" s="24"/>
      <x:c r="S1491" s="24" t="n">
        <x:v>16</x:v>
      </x:c>
      <x:c r="T1491" s="24" t="str">
        <x:v>tabela_zeiss.pdf</x:v>
      </x:c>
      <x:c r="U1491" s="24" t="str">
        <x:v>ZEISS|Visão Simples|Surfaçada|SmartLife||1.5|1.50|DURAVISION® ANTIVÍRUS PLATINUM UV|-6.00 a +6.00|-4.00|-|75|||16</x:v>
      </x:c>
    </x:row>
    <x:row r="1492">
      <x:c r="A1492" s="24" t="str">
        <x:v>ZS-FC340247417B</x:v>
      </x:c>
      <x:c r="B1492" s="24" t="str">
        <x:v>ZEISS</x:v>
      </x:c>
      <x:c r="C1492" s="24" t="str">
        <x:v>Visão Simples</x:v>
      </x:c>
      <x:c r="D1492" s="24" t="str">
        <x:v>Surfaçada</x:v>
      </x:c>
      <x:c r="E1492" s="24" t="str">
        <x:v>SmartLife</x:v>
      </x:c>
      <x:c r="F1492" s="24"/>
      <x:c r="G1492" s="24" t="str">
        <x:v>1.5</x:v>
      </x:c>
      <x:c r="H1492" s="24" t="str">
        <x:v>1.50</x:v>
      </x:c>
      <x:c r="I1492" s="24" t="str">
        <x:v>DuraVision Platinum UV</x:v>
      </x:c>
      <x:c r="J1492" s="40" t="n">
        <x:v>2129</x:v>
      </x:c>
      <x:c r="K1492" s="24" t="str">
        <x:v>-6.00 a +6.00</x:v>
      </x:c>
      <x:c r="L1492" s="24" t="str">
        <x:v>-4.00</x:v>
      </x:c>
      <x:c r="M1492" s="24" t="str">
        <x:v>-</x:v>
      </x:c>
      <x:c r="N1492" s="24" t="str">
        <x:v>75</x:v>
      </x:c>
      <x:c r="O1492" s="24"/>
      <x:c r="P1492" s="24"/>
      <x:c r="Q1492" s="24" t="str">
        <x:v>DISPONÍVEL</x:v>
      </x:c>
      <x:c r="R1492" s="24"/>
      <x:c r="S1492" s="24" t="n">
        <x:v>16</x:v>
      </x:c>
      <x:c r="T1492" s="24" t="str">
        <x:v>tabela_zeiss.pdf</x:v>
      </x:c>
      <x:c r="U1492" s="24" t="str">
        <x:v>ZEISS|Visão Simples|Surfaçada|SmartLife||1.5|1.50|DuraVision Platinum UV|-6.00 a +6.00|-4.00|-|75|||16</x:v>
      </x:c>
    </x:row>
    <x:row r="1493">
      <x:c r="A1493" s="24" t="str">
        <x:v>ZS-ED4525F24700</x:v>
      </x:c>
      <x:c r="B1493" s="24" t="str">
        <x:v>ZEISS</x:v>
      </x:c>
      <x:c r="C1493" s="24" t="str">
        <x:v>Visão Simples</x:v>
      </x:c>
      <x:c r="D1493" s="24" t="str">
        <x:v>Surfaçada</x:v>
      </x:c>
      <x:c r="E1493" s="24" t="str">
        <x:v>SmartLife</x:v>
      </x:c>
      <x:c r="F1493" s="24"/>
      <x:c r="G1493" s="24" t="str">
        <x:v>1.5</x:v>
      </x:c>
      <x:c r="H1493" s="24" t="str">
        <x:v>1.50</x:v>
      </x:c>
      <x:c r="I1493" s="24" t="str">
        <x:v>DuraVision Silver UV</x:v>
      </x:c>
      <x:c r="J1493" s="40" t="n">
        <x:v>1869</x:v>
      </x:c>
      <x:c r="K1493" s="24" t="str">
        <x:v>-6.00 a +6.00</x:v>
      </x:c>
      <x:c r="L1493" s="24" t="str">
        <x:v>-4.00</x:v>
      </x:c>
      <x:c r="M1493" s="24" t="str">
        <x:v>-</x:v>
      </x:c>
      <x:c r="N1493" s="24" t="str">
        <x:v>75</x:v>
      </x:c>
      <x:c r="O1493" s="24"/>
      <x:c r="P1493" s="24"/>
      <x:c r="Q1493" s="24" t="str">
        <x:v>DISPONÍVEL</x:v>
      </x:c>
      <x:c r="R1493" s="24"/>
      <x:c r="S1493" s="24" t="n">
        <x:v>16</x:v>
      </x:c>
      <x:c r="T1493" s="24" t="str">
        <x:v>tabela_zeiss.pdf</x:v>
      </x:c>
      <x:c r="U1493" s="24" t="str">
        <x:v>ZEISS|Visão Simples|Surfaçada|SmartLife||1.5|1.50|DuraVision Silver UV|-6.00 a +6.00|-4.00|-|75|||16</x:v>
      </x:c>
    </x:row>
    <x:row r="1494">
      <x:c r="A1494" s="24" t="str">
        <x:v>ZS-CFD4BA933786</x:v>
      </x:c>
      <x:c r="B1494" s="24" t="str">
        <x:v>ZEISS</x:v>
      </x:c>
      <x:c r="C1494" s="24" t="str">
        <x:v>Visão Simples</x:v>
      </x:c>
      <x:c r="D1494" s="24" t="str">
        <x:v>Surfaçada</x:v>
      </x:c>
      <x:c r="E1494" s="24" t="str">
        <x:v>SmartLife</x:v>
      </x:c>
      <x:c r="F1494" s="24"/>
      <x:c r="G1494" s="24" t="str">
        <x:v>1.5</x:v>
      </x:c>
      <x:c r="H1494" s="24" t="str">
        <x:v>1.50</x:v>
      </x:c>
      <x:c r="I1494" s="24" t="str">
        <x:v>DuraVision Chrome UV</x:v>
      </x:c>
      <x:c r="J1494" s="40" t="n">
        <x:v>1379</x:v>
      </x:c>
      <x:c r="K1494" s="24" t="str">
        <x:v>-6.00 a +6.00</x:v>
      </x:c>
      <x:c r="L1494" s="24" t="str">
        <x:v>-4.00</x:v>
      </x:c>
      <x:c r="M1494" s="24" t="str">
        <x:v>-</x:v>
      </x:c>
      <x:c r="N1494" s="24" t="str">
        <x:v>75</x:v>
      </x:c>
      <x:c r="O1494" s="24"/>
      <x:c r="P1494" s="24"/>
      <x:c r="Q1494" s="24" t="str">
        <x:v>DISPONÍVEL</x:v>
      </x:c>
      <x:c r="R1494" s="24"/>
      <x:c r="S1494" s="24" t="n">
        <x:v>16</x:v>
      </x:c>
      <x:c r="T1494" s="24" t="str">
        <x:v>tabela_zeiss.pdf</x:v>
      </x:c>
      <x:c r="U1494" s="24" t="str">
        <x:v>ZEISS|Visão Simples|Surfaçada|SmartLife||1.5|1.50|DuraVision Chrome UV|-6.00 a +6.00|-4.00|-|75|||16</x:v>
      </x:c>
    </x:row>
    <x:row r="1495">
      <x:c r="A1495" s="24" t="str">
        <x:v>ZS-E73B50F99ABA</x:v>
      </x:c>
      <x:c r="B1495" s="24" t="str">
        <x:v>ZEISS</x:v>
      </x:c>
      <x:c r="C1495" s="24" t="str">
        <x:v>Visão Simples</x:v>
      </x:c>
      <x:c r="D1495" s="24" t="str">
        <x:v>Surfaçada</x:v>
      </x:c>
      <x:c r="E1495" s="24" t="str">
        <x:v>SmartLife</x:v>
      </x:c>
      <x:c r="F1495" s="24"/>
      <x:c r="G1495" s="24" t="str">
        <x:v>Poli</x:v>
      </x:c>
      <x:c r="H1495" s="24"/>
      <x:c r="I1495" s="24" t="str">
        <x:v>DURAVISION® GOLD</x:v>
      </x:c>
      <x:c r="J1495" s="40" t="n">
        <x:v>2629</x:v>
      </x:c>
      <x:c r="K1495" s="24" t="str">
        <x:v>-10.00 a +8.00</x:v>
      </x:c>
      <x:c r="L1495" s="24" t="str">
        <x:v>-4.00</x:v>
      </x:c>
      <x:c r="M1495" s="24" t="str">
        <x:v>-</x:v>
      </x:c>
      <x:c r="N1495" s="24" t="str">
        <x:v>70</x:v>
      </x:c>
      <x:c r="O1495" s="24"/>
      <x:c r="P1495" s="24"/>
      <x:c r="Q1495" s="24" t="str">
        <x:v>DISPONÍVEL</x:v>
      </x:c>
      <x:c r="R1495" s="24"/>
      <x:c r="S1495" s="24" t="n">
        <x:v>16</x:v>
      </x:c>
      <x:c r="T1495" s="24" t="str">
        <x:v>tabela_zeiss.pdf</x:v>
      </x:c>
      <x:c r="U1495" s="24" t="str">
        <x:v>ZEISS|Visão Simples|Surfaçada|SmartLife||Poli||DURAVISION® GOLD|-10.00 a +8.00|-4.00|-|70|||16</x:v>
      </x:c>
    </x:row>
    <x:row r="1496">
      <x:c r="A1496" s="24" t="str">
        <x:v>ZS-8A40ADD4AF1E</x:v>
      </x:c>
      <x:c r="B1496" s="24" t="str">
        <x:v>ZEISS</x:v>
      </x:c>
      <x:c r="C1496" s="24" t="str">
        <x:v>Visão Simples</x:v>
      </x:c>
      <x:c r="D1496" s="24" t="str">
        <x:v>Surfaçada</x:v>
      </x:c>
      <x:c r="E1496" s="24" t="str">
        <x:v>SmartLife</x:v>
      </x:c>
      <x:c r="F1496" s="24"/>
      <x:c r="G1496" s="24" t="str">
        <x:v>Poli</x:v>
      </x:c>
      <x:c r="H1496" s="24"/>
      <x:c r="I1496" s="24" t="str">
        <x:v>DuraVision Platinum UV</x:v>
      </x:c>
      <x:c r="J1496" s="40" t="n">
        <x:v>2489</x:v>
      </x:c>
      <x:c r="K1496" s="24" t="str">
        <x:v>-10.00 a +8.00</x:v>
      </x:c>
      <x:c r="L1496" s="24" t="str">
        <x:v>-4.00</x:v>
      </x:c>
      <x:c r="M1496" s="24" t="str">
        <x:v>-</x:v>
      </x:c>
      <x:c r="N1496" s="24" t="str">
        <x:v>70</x:v>
      </x:c>
      <x:c r="O1496" s="24"/>
      <x:c r="P1496" s="24"/>
      <x:c r="Q1496" s="24" t="str">
        <x:v>DISPONÍVEL</x:v>
      </x:c>
      <x:c r="R1496" s="24"/>
      <x:c r="S1496" s="24" t="n">
        <x:v>16</x:v>
      </x:c>
      <x:c r="T1496" s="24" t="str">
        <x:v>tabela_zeiss.pdf</x:v>
      </x:c>
      <x:c r="U1496" s="24" t="str">
        <x:v>ZEISS|Visão Simples|Surfaçada|SmartLife||Poli||DuraVision Platinum UV|-10.00 a +8.00|-4.00|-|70|||16</x:v>
      </x:c>
    </x:row>
    <x:row r="1497">
      <x:c r="A1497" s="24" t="str">
        <x:v>ZS-7AEC4B05724F</x:v>
      </x:c>
      <x:c r="B1497" s="24" t="str">
        <x:v>ZEISS</x:v>
      </x:c>
      <x:c r="C1497" s="24" t="str">
        <x:v>Visão Simples</x:v>
      </x:c>
      <x:c r="D1497" s="24" t="str">
        <x:v>Surfaçada</x:v>
      </x:c>
      <x:c r="E1497" s="24" t="str">
        <x:v>SmartLife</x:v>
      </x:c>
      <x:c r="F1497" s="24"/>
      <x:c r="G1497" s="24" t="str">
        <x:v>Poli</x:v>
      </x:c>
      <x:c r="H1497" s="24"/>
      <x:c r="I1497" s="24" t="str">
        <x:v>DuraVision Silver UV</x:v>
      </x:c>
      <x:c r="J1497" s="40" t="n">
        <x:v>2229</x:v>
      </x:c>
      <x:c r="K1497" s="24" t="str">
        <x:v>-10.00 a +8.00</x:v>
      </x:c>
      <x:c r="L1497" s="24" t="str">
        <x:v>-4.00</x:v>
      </x:c>
      <x:c r="M1497" s="24" t="str">
        <x:v>-</x:v>
      </x:c>
      <x:c r="N1497" s="24" t="str">
        <x:v>70</x:v>
      </x:c>
      <x:c r="O1497" s="24"/>
      <x:c r="P1497" s="24"/>
      <x:c r="Q1497" s="24" t="str">
        <x:v>DISPONÍVEL</x:v>
      </x:c>
      <x:c r="R1497" s="24"/>
      <x:c r="S1497" s="24" t="n">
        <x:v>16</x:v>
      </x:c>
      <x:c r="T1497" s="24" t="str">
        <x:v>tabela_zeiss.pdf</x:v>
      </x:c>
      <x:c r="U1497" s="24" t="str">
        <x:v>ZEISS|Visão Simples|Surfaçada|SmartLife||Poli||DuraVision Silver UV|-10.00 a +8.00|-4.00|-|70|||16</x:v>
      </x:c>
    </x:row>
    <x:row r="1498">
      <x:c r="A1498" s="24" t="str">
        <x:v>ZS-B99C0DF0B69A</x:v>
      </x:c>
      <x:c r="B1498" s="24" t="str">
        <x:v>ZEISS</x:v>
      </x:c>
      <x:c r="C1498" s="24" t="str">
        <x:v>Visão Simples</x:v>
      </x:c>
      <x:c r="D1498" s="24" t="str">
        <x:v>Surfaçada</x:v>
      </x:c>
      <x:c r="E1498" s="24" t="str">
        <x:v>SmartLife</x:v>
      </x:c>
      <x:c r="F1498" s="24"/>
      <x:c r="G1498" s="24" t="str">
        <x:v>Poli</x:v>
      </x:c>
      <x:c r="H1498" s="24"/>
      <x:c r="I1498" s="24" t="str">
        <x:v>DuraVision Chrome UV</x:v>
      </x:c>
      <x:c r="J1498" s="40" t="n">
        <x:v>1739</x:v>
      </x:c>
      <x:c r="K1498" s="24" t="str">
        <x:v>-10.00 a +8.00</x:v>
      </x:c>
      <x:c r="L1498" s="24" t="str">
        <x:v>-4.00</x:v>
      </x:c>
      <x:c r="M1498" s="24" t="str">
        <x:v>-</x:v>
      </x:c>
      <x:c r="N1498" s="24" t="str">
        <x:v>70</x:v>
      </x:c>
      <x:c r="O1498" s="24"/>
      <x:c r="P1498" s="24"/>
      <x:c r="Q1498" s="24" t="str">
        <x:v>DISPONÍVEL</x:v>
      </x:c>
      <x:c r="R1498" s="24"/>
      <x:c r="S1498" s="24" t="n">
        <x:v>16</x:v>
      </x:c>
      <x:c r="T1498" s="24" t="str">
        <x:v>tabela_zeiss.pdf</x:v>
      </x:c>
      <x:c r="U1498" s="24" t="str">
        <x:v>ZEISS|Visão Simples|Surfaçada|SmartLife||Poli||DuraVision Chrome UV|-10.00 a +8.00|-4.00|-|70|||16</x:v>
      </x:c>
    </x:row>
    <x:row r="1499">
      <x:c r="A1499" s="24" t="str">
        <x:v>ZS-03252A72E7B6</x:v>
      </x:c>
      <x:c r="B1499" s="24" t="str">
        <x:v>ZEISS</x:v>
      </x:c>
      <x:c r="C1499" s="24" t="str">
        <x:v>Visão Simples</x:v>
      </x:c>
      <x:c r="D1499" s="24" t="str">
        <x:v>Surfaçada</x:v>
      </x:c>
      <x:c r="E1499" s="24" t="str">
        <x:v>SmartLife</x:v>
      </x:c>
      <x:c r="F1499" s="24"/>
      <x:c r="G1499" s="24" t="str">
        <x:v>1.6</x:v>
      </x:c>
      <x:c r="H1499" s="24" t="str">
        <x:v>1.60</x:v>
      </x:c>
      <x:c r="I1499" s="24" t="str">
        <x:v>DURAVISION® GOLD</x:v>
      </x:c>
      <x:c r="J1499" s="40" t="n">
        <x:v>2849</x:v>
      </x:c>
      <x:c r="K1499" s="24" t="str">
        <x:v>-6.00 a +6.00</x:v>
      </x:c>
      <x:c r="L1499" s="24" t="str">
        <x:v>-6.00</x:v>
      </x:c>
      <x:c r="M1499" s="24" t="str">
        <x:v>-</x:v>
      </x:c>
      <x:c r="N1499" s="24" t="str">
        <x:v>75</x:v>
      </x:c>
      <x:c r="O1499" s="24"/>
      <x:c r="P1499" s="24"/>
      <x:c r="Q1499" s="24" t="str">
        <x:v>DISPONÍVEL</x:v>
      </x:c>
      <x:c r="R1499" s="24"/>
      <x:c r="S1499" s="24" t="n">
        <x:v>16</x:v>
      </x:c>
      <x:c r="T1499" s="24" t="str">
        <x:v>tabela_zeiss.pdf</x:v>
      </x:c>
      <x:c r="U1499" s="24" t="str">
        <x:v>ZEISS|Visão Simples|Surfaçada|SmartLife||1.6|1.60|DURAVISION® GOLD|-6.00 a +6.00|-6.00|-|75|||16</x:v>
      </x:c>
    </x:row>
    <x:row r="1500">
      <x:c r="A1500" s="24" t="str">
        <x:v>ZS-6511486327D8</x:v>
      </x:c>
      <x:c r="B1500" s="24" t="str">
        <x:v>ZEISS</x:v>
      </x:c>
      <x:c r="C1500" s="24" t="str">
        <x:v>Visão Simples</x:v>
      </x:c>
      <x:c r="D1500" s="24" t="str">
        <x:v>Surfaçada</x:v>
      </x:c>
      <x:c r="E1500" s="24" t="str">
        <x:v>SmartLife</x:v>
      </x:c>
      <x:c r="F1500" s="24"/>
      <x:c r="G1500" s="24" t="str">
        <x:v>1.6</x:v>
      </x:c>
      <x:c r="H1500" s="24" t="str">
        <x:v>1.60</x:v>
      </x:c>
      <x:c r="I1500" s="24" t="str">
        <x:v>DURAVISION® ANTIVÍRUS PLATINUM UV</x:v>
      </x:c>
      <x:c r="J1500" s="40" t="n">
        <x:v>2709</x:v>
      </x:c>
      <x:c r="K1500" s="24" t="str">
        <x:v>-6.00 a +6.00</x:v>
      </x:c>
      <x:c r="L1500" s="24" t="str">
        <x:v>-6.00</x:v>
      </x:c>
      <x:c r="M1500" s="24" t="str">
        <x:v>-</x:v>
      </x:c>
      <x:c r="N1500" s="24" t="str">
        <x:v>75</x:v>
      </x:c>
      <x:c r="O1500" s="24"/>
      <x:c r="P1500" s="24"/>
      <x:c r="Q1500" s="24" t="str">
        <x:v>DISPONÍVEL</x:v>
      </x:c>
      <x:c r="R1500" s="24"/>
      <x:c r="S1500" s="24" t="n">
        <x:v>16</x:v>
      </x:c>
      <x:c r="T1500" s="24" t="str">
        <x:v>tabela_zeiss.pdf</x:v>
      </x:c>
      <x:c r="U1500" s="24" t="str">
        <x:v>ZEISS|Visão Simples|Surfaçada|SmartLife||1.6|1.60|DURAVISION® ANTIVÍRUS PLATINUM UV|-6.00 a +6.00|-6.00|-|75|||16</x:v>
      </x:c>
    </x:row>
    <x:row r="1501">
      <x:c r="A1501" s="24" t="str">
        <x:v>ZS-1B7A30E1E1DE</x:v>
      </x:c>
      <x:c r="B1501" s="24" t="str">
        <x:v>ZEISS</x:v>
      </x:c>
      <x:c r="C1501" s="24" t="str">
        <x:v>Visão Simples</x:v>
      </x:c>
      <x:c r="D1501" s="24" t="str">
        <x:v>Surfaçada</x:v>
      </x:c>
      <x:c r="E1501" s="24" t="str">
        <x:v>SmartLife</x:v>
      </x:c>
      <x:c r="F1501" s="24"/>
      <x:c r="G1501" s="24" t="str">
        <x:v>1.6</x:v>
      </x:c>
      <x:c r="H1501" s="24" t="str">
        <x:v>1.60</x:v>
      </x:c>
      <x:c r="I1501" s="24" t="str">
        <x:v>DuraVision Platinum UV</x:v>
      </x:c>
      <x:c r="J1501" s="40" t="n">
        <x:v>2709</x:v>
      </x:c>
      <x:c r="K1501" s="24" t="str">
        <x:v>-6.00 a +6.00</x:v>
      </x:c>
      <x:c r="L1501" s="24" t="str">
        <x:v>-6.00</x:v>
      </x:c>
      <x:c r="M1501" s="24" t="str">
        <x:v>-</x:v>
      </x:c>
      <x:c r="N1501" s="24" t="str">
        <x:v>75</x:v>
      </x:c>
      <x:c r="O1501" s="24"/>
      <x:c r="P1501" s="24"/>
      <x:c r="Q1501" s="24" t="str">
        <x:v>DISPONÍVEL</x:v>
      </x:c>
      <x:c r="R1501" s="24"/>
      <x:c r="S1501" s="24" t="n">
        <x:v>16</x:v>
      </x:c>
      <x:c r="T1501" s="24" t="str">
        <x:v>tabela_zeiss.pdf</x:v>
      </x:c>
      <x:c r="U1501" s="24" t="str">
        <x:v>ZEISS|Visão Simples|Surfaçada|SmartLife||1.6|1.60|DuraVision Platinum UV|-6.00 a +6.00|-6.00|-|75|||16</x:v>
      </x:c>
    </x:row>
    <x:row r="1502">
      <x:c r="A1502" s="24" t="str">
        <x:v>ZS-39B7DAD1EABE</x:v>
      </x:c>
      <x:c r="B1502" s="24" t="str">
        <x:v>ZEISS</x:v>
      </x:c>
      <x:c r="C1502" s="24" t="str">
        <x:v>Visão Simples</x:v>
      </x:c>
      <x:c r="D1502" s="24" t="str">
        <x:v>Surfaçada</x:v>
      </x:c>
      <x:c r="E1502" s="24" t="str">
        <x:v>SmartLife</x:v>
      </x:c>
      <x:c r="F1502" s="24"/>
      <x:c r="G1502" s="24" t="str">
        <x:v>1.6</x:v>
      </x:c>
      <x:c r="H1502" s="24" t="str">
        <x:v>1.60</x:v>
      </x:c>
      <x:c r="I1502" s="24" t="str">
        <x:v>DuraVision Silver UV</x:v>
      </x:c>
      <x:c r="J1502" s="40" t="n">
        <x:v>2449</x:v>
      </x:c>
      <x:c r="K1502" s="24" t="str">
        <x:v>-6.00 a +6.00</x:v>
      </x:c>
      <x:c r="L1502" s="24" t="str">
        <x:v>-6.00</x:v>
      </x:c>
      <x:c r="M1502" s="24" t="str">
        <x:v>-</x:v>
      </x:c>
      <x:c r="N1502" s="24" t="str">
        <x:v>75</x:v>
      </x:c>
      <x:c r="O1502" s="24"/>
      <x:c r="P1502" s="24"/>
      <x:c r="Q1502" s="24" t="str">
        <x:v>DISPONÍVEL</x:v>
      </x:c>
      <x:c r="R1502" s="24"/>
      <x:c r="S1502" s="24" t="n">
        <x:v>16</x:v>
      </x:c>
      <x:c r="T1502" s="24" t="str">
        <x:v>tabela_zeiss.pdf</x:v>
      </x:c>
      <x:c r="U1502" s="24" t="str">
        <x:v>ZEISS|Visão Simples|Surfaçada|SmartLife||1.6|1.60|DuraVision Silver UV|-6.00 a +6.00|-6.00|-|75|||16</x:v>
      </x:c>
    </x:row>
    <x:row r="1503">
      <x:c r="A1503" s="24" t="str">
        <x:v>ZS-488D69A7F782</x:v>
      </x:c>
      <x:c r="B1503" s="24" t="str">
        <x:v>ZEISS</x:v>
      </x:c>
      <x:c r="C1503" s="24" t="str">
        <x:v>Visão Simples</x:v>
      </x:c>
      <x:c r="D1503" s="24" t="str">
        <x:v>Surfaçada</x:v>
      </x:c>
      <x:c r="E1503" s="24" t="str">
        <x:v>SmartLife</x:v>
      </x:c>
      <x:c r="F1503" s="24"/>
      <x:c r="G1503" s="24" t="str">
        <x:v>1.6</x:v>
      </x:c>
      <x:c r="H1503" s="24" t="str">
        <x:v>1.60</x:v>
      </x:c>
      <x:c r="I1503" s="24" t="str">
        <x:v>DuraVision Chrome UV</x:v>
      </x:c>
      <x:c r="J1503" s="40" t="n">
        <x:v>1959</x:v>
      </x:c>
      <x:c r="K1503" s="24" t="str">
        <x:v>-6.00 a +6.00</x:v>
      </x:c>
      <x:c r="L1503" s="24" t="str">
        <x:v>-6.00</x:v>
      </x:c>
      <x:c r="M1503" s="24" t="str">
        <x:v>-</x:v>
      </x:c>
      <x:c r="N1503" s="24" t="str">
        <x:v>75</x:v>
      </x:c>
      <x:c r="O1503" s="24"/>
      <x:c r="P1503" s="24"/>
      <x:c r="Q1503" s="24" t="str">
        <x:v>DISPONÍVEL</x:v>
      </x:c>
      <x:c r="R1503" s="24"/>
      <x:c r="S1503" s="24" t="n">
        <x:v>16</x:v>
      </x:c>
      <x:c r="T1503" s="24" t="str">
        <x:v>tabela_zeiss.pdf</x:v>
      </x:c>
      <x:c r="U1503" s="24" t="str">
        <x:v>ZEISS|Visão Simples|Surfaçada|SmartLife||1.6|1.60|DuraVision Chrome UV|-6.00 a +6.00|-6.00|-|75|||16</x:v>
      </x:c>
    </x:row>
    <x:row r="1504">
      <x:c r="A1504" s="24" t="str">
        <x:v>ZS-CD2CEDFF6DBF</x:v>
      </x:c>
      <x:c r="B1504" s="24" t="str">
        <x:v>ZEISS</x:v>
      </x:c>
      <x:c r="C1504" s="24" t="str">
        <x:v>Visão Simples</x:v>
      </x:c>
      <x:c r="D1504" s="24" t="str">
        <x:v>Surfaçada</x:v>
      </x:c>
      <x:c r="E1504" s="24" t="str">
        <x:v>SmartLife</x:v>
      </x:c>
      <x:c r="F1504" s="24"/>
      <x:c r="G1504" s="24" t="str">
        <x:v>1.67</x:v>
      </x:c>
      <x:c r="H1504" s="24" t="str">
        <x:v>1.67</x:v>
      </x:c>
      <x:c r="I1504" s="24" t="str">
        <x:v>DURAVISION® GOLD</x:v>
      </x:c>
      <x:c r="J1504" s="40" t="n">
        <x:v>4149</x:v>
      </x:c>
      <x:c r="K1504" s="24" t="str">
        <x:v>-8.00 a +8.00</x:v>
      </x:c>
      <x:c r="L1504" s="24" t="str">
        <x:v>-6.00</x:v>
      </x:c>
      <x:c r="M1504" s="24" t="str">
        <x:v>-</x:v>
      </x:c>
      <x:c r="N1504" s="24" t="str">
        <x:v>70</x:v>
      </x:c>
      <x:c r="O1504" s="24"/>
      <x:c r="P1504" s="24"/>
      <x:c r="Q1504" s="24" t="str">
        <x:v>DISPONÍVEL</x:v>
      </x:c>
      <x:c r="R1504" s="24"/>
      <x:c r="S1504" s="24" t="n">
        <x:v>16</x:v>
      </x:c>
      <x:c r="T1504" s="24" t="str">
        <x:v>tabela_zeiss.pdf</x:v>
      </x:c>
      <x:c r="U1504" s="24" t="str">
        <x:v>ZEISS|Visão Simples|Surfaçada|SmartLife||1.67|1.67|DURAVISION® GOLD|-8.00 a +8.00|-6.00|-|70|||16</x:v>
      </x:c>
    </x:row>
    <x:row r="1505">
      <x:c r="A1505" s="24" t="str">
        <x:v>ZS-4C84111B2451</x:v>
      </x:c>
      <x:c r="B1505" s="24" t="str">
        <x:v>ZEISS</x:v>
      </x:c>
      <x:c r="C1505" s="24" t="str">
        <x:v>Visão Simples</x:v>
      </x:c>
      <x:c r="D1505" s="24" t="str">
        <x:v>Surfaçada</x:v>
      </x:c>
      <x:c r="E1505" s="24" t="str">
        <x:v>SmartLife</x:v>
      </x:c>
      <x:c r="F1505" s="24"/>
      <x:c r="G1505" s="24" t="str">
        <x:v>1.67</x:v>
      </x:c>
      <x:c r="H1505" s="24" t="str">
        <x:v>1.67</x:v>
      </x:c>
      <x:c r="I1505" s="24" t="str">
        <x:v>DURAVISION® ANTIVÍRUS PLATINUM UV</x:v>
      </x:c>
      <x:c r="J1505" s="40" t="n">
        <x:v>4009</x:v>
      </x:c>
      <x:c r="K1505" s="24" t="str">
        <x:v>-8.00 a +8.00</x:v>
      </x:c>
      <x:c r="L1505" s="24" t="str">
        <x:v>-6.00</x:v>
      </x:c>
      <x:c r="M1505" s="24" t="str">
        <x:v>-</x:v>
      </x:c>
      <x:c r="N1505" s="24" t="str">
        <x:v>70</x:v>
      </x:c>
      <x:c r="O1505" s="24"/>
      <x:c r="P1505" s="24"/>
      <x:c r="Q1505" s="24" t="str">
        <x:v>DISPONÍVEL</x:v>
      </x:c>
      <x:c r="R1505" s="24"/>
      <x:c r="S1505" s="24" t="n">
        <x:v>16</x:v>
      </x:c>
      <x:c r="T1505" s="24" t="str">
        <x:v>tabela_zeiss.pdf</x:v>
      </x:c>
      <x:c r="U1505" s="24" t="str">
        <x:v>ZEISS|Visão Simples|Surfaçada|SmartLife||1.67|1.67|DURAVISION® ANTIVÍRUS PLATINUM UV|-8.00 a +8.00|-6.00|-|70|||16</x:v>
      </x:c>
    </x:row>
    <x:row r="1506">
      <x:c r="A1506" s="24" t="str">
        <x:v>ZS-C9194E1C5194</x:v>
      </x:c>
      <x:c r="B1506" s="24" t="str">
        <x:v>ZEISS</x:v>
      </x:c>
      <x:c r="C1506" s="24" t="str">
        <x:v>Visão Simples</x:v>
      </x:c>
      <x:c r="D1506" s="24" t="str">
        <x:v>Surfaçada</x:v>
      </x:c>
      <x:c r="E1506" s="24" t="str">
        <x:v>SmartLife</x:v>
      </x:c>
      <x:c r="F1506" s="24"/>
      <x:c r="G1506" s="24" t="str">
        <x:v>1.67</x:v>
      </x:c>
      <x:c r="H1506" s="24" t="str">
        <x:v>1.67</x:v>
      </x:c>
      <x:c r="I1506" s="24" t="str">
        <x:v>DuraVision Platinum UV</x:v>
      </x:c>
      <x:c r="J1506" s="40" t="n">
        <x:v>4009</x:v>
      </x:c>
      <x:c r="K1506" s="24" t="str">
        <x:v>-8.00 a +8.00</x:v>
      </x:c>
      <x:c r="L1506" s="24" t="str">
        <x:v>-6.00</x:v>
      </x:c>
      <x:c r="M1506" s="24" t="str">
        <x:v>-</x:v>
      </x:c>
      <x:c r="N1506" s="24" t="str">
        <x:v>70</x:v>
      </x:c>
      <x:c r="O1506" s="24"/>
      <x:c r="P1506" s="24"/>
      <x:c r="Q1506" s="24" t="str">
        <x:v>DISPONÍVEL</x:v>
      </x:c>
      <x:c r="R1506" s="24"/>
      <x:c r="S1506" s="24" t="n">
        <x:v>16</x:v>
      </x:c>
      <x:c r="T1506" s="24" t="str">
        <x:v>tabela_zeiss.pdf</x:v>
      </x:c>
      <x:c r="U1506" s="24" t="str">
        <x:v>ZEISS|Visão Simples|Surfaçada|SmartLife||1.67|1.67|DuraVision Platinum UV|-8.00 a +8.00|-6.00|-|70|||16</x:v>
      </x:c>
    </x:row>
    <x:row r="1507">
      <x:c r="A1507" s="24" t="str">
        <x:v>ZS-5E078AB2548C</x:v>
      </x:c>
      <x:c r="B1507" s="24" t="str">
        <x:v>ZEISS</x:v>
      </x:c>
      <x:c r="C1507" s="24" t="str">
        <x:v>Visão Simples</x:v>
      </x:c>
      <x:c r="D1507" s="24" t="str">
        <x:v>Surfaçada</x:v>
      </x:c>
      <x:c r="E1507" s="24" t="str">
        <x:v>SmartLife</x:v>
      </x:c>
      <x:c r="F1507" s="24"/>
      <x:c r="G1507" s="24" t="str">
        <x:v>1.67</x:v>
      </x:c>
      <x:c r="H1507" s="24" t="str">
        <x:v>1.67</x:v>
      </x:c>
      <x:c r="I1507" s="24" t="str">
        <x:v>DuraVision Silver UV</x:v>
      </x:c>
      <x:c r="J1507" s="40" t="n">
        <x:v>3749</x:v>
      </x:c>
      <x:c r="K1507" s="24" t="str">
        <x:v>-8.00 a +8.00</x:v>
      </x:c>
      <x:c r="L1507" s="24" t="str">
        <x:v>-6.00</x:v>
      </x:c>
      <x:c r="M1507" s="24" t="str">
        <x:v>-</x:v>
      </x:c>
      <x:c r="N1507" s="24" t="str">
        <x:v>70</x:v>
      </x:c>
      <x:c r="O1507" s="24"/>
      <x:c r="P1507" s="24"/>
      <x:c r="Q1507" s="24" t="str">
        <x:v>DISPONÍVEL</x:v>
      </x:c>
      <x:c r="R1507" s="24"/>
      <x:c r="S1507" s="24" t="n">
        <x:v>16</x:v>
      </x:c>
      <x:c r="T1507" s="24" t="str">
        <x:v>tabela_zeiss.pdf</x:v>
      </x:c>
      <x:c r="U1507" s="24" t="str">
        <x:v>ZEISS|Visão Simples|Surfaçada|SmartLife||1.67|1.67|DuraVision Silver UV|-8.00 a +8.00|-6.00|-|70|||16</x:v>
      </x:c>
    </x:row>
    <x:row r="1508">
      <x:c r="A1508" s="24" t="str">
        <x:v>ZS-26E9E4E1C721</x:v>
      </x:c>
      <x:c r="B1508" s="24" t="str">
        <x:v>ZEISS</x:v>
      </x:c>
      <x:c r="C1508" s="24" t="str">
        <x:v>Visão Simples</x:v>
      </x:c>
      <x:c r="D1508" s="24" t="str">
        <x:v>Surfaçada</x:v>
      </x:c>
      <x:c r="E1508" s="24" t="str">
        <x:v>SmartLife</x:v>
      </x:c>
      <x:c r="F1508" s="24"/>
      <x:c r="G1508" s="24" t="str">
        <x:v>1.67</x:v>
      </x:c>
      <x:c r="H1508" s="24" t="str">
        <x:v>1.67</x:v>
      </x:c>
      <x:c r="I1508" s="24" t="str">
        <x:v>DuraVision Chrome UV</x:v>
      </x:c>
      <x:c r="J1508" s="40" t="n">
        <x:v>3259</x:v>
      </x:c>
      <x:c r="K1508" s="24" t="str">
        <x:v>-8.00 a +8.00</x:v>
      </x:c>
      <x:c r="L1508" s="24" t="str">
        <x:v>-6.00</x:v>
      </x:c>
      <x:c r="M1508" s="24" t="str">
        <x:v>-</x:v>
      </x:c>
      <x:c r="N1508" s="24" t="str">
        <x:v>70</x:v>
      </x:c>
      <x:c r="O1508" s="24"/>
      <x:c r="P1508" s="24"/>
      <x:c r="Q1508" s="24" t="str">
        <x:v>DISPONÍVEL</x:v>
      </x:c>
      <x:c r="R1508" s="24"/>
      <x:c r="S1508" s="24" t="n">
        <x:v>16</x:v>
      </x:c>
      <x:c r="T1508" s="24" t="str">
        <x:v>tabela_zeiss.pdf</x:v>
      </x:c>
      <x:c r="U1508" s="24" t="str">
        <x:v>ZEISS|Visão Simples|Surfaçada|SmartLife||1.67|1.67|DuraVision Chrome UV|-8.00 a +8.00|-6.00|-|70|||16</x:v>
      </x:c>
    </x:row>
    <x:row r="1509">
      <x:c r="A1509" s="24" t="str">
        <x:v>ZS-2A0C5932A698</x:v>
      </x:c>
      <x:c r="B1509" s="24" t="str">
        <x:v>ZEISS</x:v>
      </x:c>
      <x:c r="C1509" s="24" t="str">
        <x:v>Visão Simples</x:v>
      </x:c>
      <x:c r="D1509" s="24" t="str">
        <x:v>Surfaçada</x:v>
      </x:c>
      <x:c r="E1509" s="24" t="str">
        <x:v>SmartLife</x:v>
      </x:c>
      <x:c r="F1509" s="24"/>
      <x:c r="G1509" s="24" t="str">
        <x:v>1.74</x:v>
      </x:c>
      <x:c r="H1509" s="24" t="str">
        <x:v>1.74</x:v>
      </x:c>
      <x:c r="I1509" s="24" t="str">
        <x:v>DURAVISION® GOLD</x:v>
      </x:c>
      <x:c r="J1509" s="40" t="n">
        <x:v>4459</x:v>
      </x:c>
      <x:c r="K1509" s="24" t="str">
        <x:v>-10.00 a +6.00</x:v>
      </x:c>
      <x:c r="L1509" s="24" t="str">
        <x:v>-6.00</x:v>
      </x:c>
      <x:c r="M1509" s="24" t="str">
        <x:v>-</x:v>
      </x:c>
      <x:c r="N1509" s="24" t="str">
        <x:v>70 a 75</x:v>
      </x:c>
      <x:c r="O1509" s="24"/>
      <x:c r="P1509" s="24"/>
      <x:c r="Q1509" s="24" t="str">
        <x:v>DISPONÍVEL</x:v>
      </x:c>
      <x:c r="R1509" s="24"/>
      <x:c r="S1509" s="24" t="n">
        <x:v>16</x:v>
      </x:c>
      <x:c r="T1509" s="24" t="str">
        <x:v>tabela_zeiss.pdf</x:v>
      </x:c>
      <x:c r="U1509" s="24" t="str">
        <x:v>ZEISS|Visão Simples|Surfaçada|SmartLife||1.74|1.74|DURAVISION® GOLD|-10.00 a +6.00|-6.00|-|70 a 75|||16</x:v>
      </x:c>
    </x:row>
    <x:row r="1510">
      <x:c r="A1510" s="24" t="str">
        <x:v>ZS-A4CC9F323CDB</x:v>
      </x:c>
      <x:c r="B1510" s="24" t="str">
        <x:v>ZEISS</x:v>
      </x:c>
      <x:c r="C1510" s="24" t="str">
        <x:v>Visão Simples</x:v>
      </x:c>
      <x:c r="D1510" s="24" t="str">
        <x:v>Surfaçada</x:v>
      </x:c>
      <x:c r="E1510" s="24" t="str">
        <x:v>SmartLife</x:v>
      </x:c>
      <x:c r="F1510" s="24"/>
      <x:c r="G1510" s="24" t="str">
        <x:v>1.74</x:v>
      </x:c>
      <x:c r="H1510" s="24" t="str">
        <x:v>1.74</x:v>
      </x:c>
      <x:c r="I1510" s="24" t="str">
        <x:v>DuraVision Platinum UV</x:v>
      </x:c>
      <x:c r="J1510" s="40" t="n">
        <x:v>4319</x:v>
      </x:c>
      <x:c r="K1510" s="24" t="str">
        <x:v>-10.00 a +6.00</x:v>
      </x:c>
      <x:c r="L1510" s="24" t="str">
        <x:v>-6.00</x:v>
      </x:c>
      <x:c r="M1510" s="24" t="str">
        <x:v>-</x:v>
      </x:c>
      <x:c r="N1510" s="24" t="str">
        <x:v>70 a 75</x:v>
      </x:c>
      <x:c r="O1510" s="24"/>
      <x:c r="P1510" s="24"/>
      <x:c r="Q1510" s="24" t="str">
        <x:v>DISPONÍVEL</x:v>
      </x:c>
      <x:c r="R1510" s="24"/>
      <x:c r="S1510" s="24" t="n">
        <x:v>16</x:v>
      </x:c>
      <x:c r="T1510" s="24" t="str">
        <x:v>tabela_zeiss.pdf</x:v>
      </x:c>
      <x:c r="U1510" s="24" t="str">
        <x:v>ZEISS|Visão Simples|Surfaçada|SmartLife||1.74|1.74|DuraVision Platinum UV|-10.00 a +6.00|-6.00|-|70 a 75|||16</x:v>
      </x:c>
    </x:row>
    <x:row r="1511">
      <x:c r="A1511" s="24" t="str">
        <x:v>ZS-E3C18B071568</x:v>
      </x:c>
      <x:c r="B1511" s="24" t="str">
        <x:v>ZEISS</x:v>
      </x:c>
      <x:c r="C1511" s="24" t="str">
        <x:v>Visão Simples</x:v>
      </x:c>
      <x:c r="D1511" s="24" t="str">
        <x:v>Surfaçada</x:v>
      </x:c>
      <x:c r="E1511" s="24" t="str">
        <x:v>SmartLife</x:v>
      </x:c>
      <x:c r="F1511" s="24"/>
      <x:c r="G1511" s="24" t="str">
        <x:v>1.74</x:v>
      </x:c>
      <x:c r="H1511" s="24" t="str">
        <x:v>1.74</x:v>
      </x:c>
      <x:c r="I1511" s="24" t="str">
        <x:v>DuraVision Silver UV</x:v>
      </x:c>
      <x:c r="J1511" s="40" t="n">
        <x:v>4059</x:v>
      </x:c>
      <x:c r="K1511" s="24" t="str">
        <x:v>-10.00 a +6.00</x:v>
      </x:c>
      <x:c r="L1511" s="24" t="str">
        <x:v>-6.00</x:v>
      </x:c>
      <x:c r="M1511" s="24" t="str">
        <x:v>-</x:v>
      </x:c>
      <x:c r="N1511" s="24" t="str">
        <x:v>70 a 75</x:v>
      </x:c>
      <x:c r="O1511" s="24"/>
      <x:c r="P1511" s="24"/>
      <x:c r="Q1511" s="24" t="str">
        <x:v>DISPONÍVEL</x:v>
      </x:c>
      <x:c r="R1511" s="24"/>
      <x:c r="S1511" s="24" t="n">
        <x:v>16</x:v>
      </x:c>
      <x:c r="T1511" s="24" t="str">
        <x:v>tabela_zeiss.pdf</x:v>
      </x:c>
      <x:c r="U1511" s="24" t="str">
        <x:v>ZEISS|Visão Simples|Surfaçada|SmartLife||1.74|1.74|DuraVision Silver UV|-10.00 a +6.00|-6.00|-|70 a 75|||16</x:v>
      </x:c>
    </x:row>
    <x:row r="1512">
      <x:c r="A1512" s="24" t="str">
        <x:v>ZS-786C1716E386</x:v>
      </x:c>
      <x:c r="B1512" s="24" t="str">
        <x:v>ZEISS</x:v>
      </x:c>
      <x:c r="C1512" s="24" t="str">
        <x:v>Visão Simples</x:v>
      </x:c>
      <x:c r="D1512" s="24" t="str">
        <x:v>Surfaçada</x:v>
      </x:c>
      <x:c r="E1512" s="24" t="str">
        <x:v>SmartLife</x:v>
      </x:c>
      <x:c r="F1512" s="24"/>
      <x:c r="G1512" s="24" t="str">
        <x:v>1.74</x:v>
      </x:c>
      <x:c r="H1512" s="24" t="str">
        <x:v>1.74</x:v>
      </x:c>
      <x:c r="I1512" s="24" t="str">
        <x:v>DuraVision Chrome UV</x:v>
      </x:c>
      <x:c r="J1512" s="40" t="n">
        <x:v>3569</x:v>
      </x:c>
      <x:c r="K1512" s="24" t="str">
        <x:v>-10.00 a +6.00</x:v>
      </x:c>
      <x:c r="L1512" s="24" t="str">
        <x:v>-6.00</x:v>
      </x:c>
      <x:c r="M1512" s="24" t="str">
        <x:v>-</x:v>
      </x:c>
      <x:c r="N1512" s="24" t="str">
        <x:v>70 a 75</x:v>
      </x:c>
      <x:c r="O1512" s="24"/>
      <x:c r="P1512" s="24"/>
      <x:c r="Q1512" s="24" t="str">
        <x:v>DISPONÍVEL</x:v>
      </x:c>
      <x:c r="R1512" s="24"/>
      <x:c r="S1512" s="24" t="n">
        <x:v>16</x:v>
      </x:c>
      <x:c r="T1512" s="24" t="str">
        <x:v>tabela_zeiss.pdf</x:v>
      </x:c>
      <x:c r="U1512" s="24" t="str">
        <x:v>ZEISS|Visão Simples|Surfaçada|SmartLife||1.74|1.74|DuraVision Chrome UV|-10.00 a +6.00|-6.00|-|70 a 75|||16</x:v>
      </x:c>
    </x:row>
    <x:row r="1513">
      <x:c r="A1513" s="24" t="str">
        <x:v>ZS-06F4E28517B9</x:v>
      </x:c>
      <x:c r="B1513" s="24" t="str">
        <x:v>ZEISS</x:v>
      </x:c>
      <x:c r="C1513" s="24" t="str">
        <x:v>Visão Simples</x:v>
      </x:c>
      <x:c r="D1513" s="24" t="str">
        <x:v>Surfaçada</x:v>
      </x:c>
      <x:c r="E1513" s="24" t="str">
        <x:v>SmartLife</x:v>
      </x:c>
      <x:c r="F1513" s="24" t="str">
        <x:v>PhotoFusion X</x:v>
      </x:c>
      <x:c r="G1513" s="24" t="str">
        <x:v>1.5</x:v>
      </x:c>
      <x:c r="H1513" s="24" t="str">
        <x:v>1.50</x:v>
      </x:c>
      <x:c r="I1513" s="24" t="str">
        <x:v>DURAVISION® GOLD</x:v>
      </x:c>
      <x:c r="J1513" s="40" t="n">
        <x:v>3359</x:v>
      </x:c>
      <x:c r="K1513" s="24" t="str">
        <x:v>-6.00 a +6.00</x:v>
      </x:c>
      <x:c r="L1513" s="24" t="str">
        <x:v>-4.00</x:v>
      </x:c>
      <x:c r="M1513" s="24" t="str">
        <x:v>-</x:v>
      </x:c>
      <x:c r="N1513" s="24" t="str">
        <x:v>75</x:v>
      </x:c>
      <x:c r="O1513" s="24"/>
      <x:c r="P1513" s="24"/>
      <x:c r="Q1513" s="24" t="str">
        <x:v>DISPONÍVEL</x:v>
      </x:c>
      <x:c r="R1513" s="24" t="str">
        <x:v>Programa de Parcerias ZEISS</x:v>
      </x:c>
      <x:c r="S1513" s="24" t="n">
        <x:v>16</x:v>
      </x:c>
      <x:c r="T1513" s="24" t="str">
        <x:v>tabela_zeiss.pdf</x:v>
      </x:c>
      <x:c r="U1513" s="24" t="str">
        <x:v>ZEISS|Visão Simples|Surfaçada|SmartLife|PhotoFusion X|1.5|1.50|DURAVISION® GOLD|-6.00 a +6.00|-4.00|-|75|||16</x:v>
      </x:c>
    </x:row>
    <x:row r="1514">
      <x:c r="A1514" s="24" t="str">
        <x:v>ZS-BA802ACEFEB6</x:v>
      </x:c>
      <x:c r="B1514" s="24" t="str">
        <x:v>ZEISS</x:v>
      </x:c>
      <x:c r="C1514" s="24" t="str">
        <x:v>Visão Simples</x:v>
      </x:c>
      <x:c r="D1514" s="24" t="str">
        <x:v>Surfaçada</x:v>
      </x:c>
      <x:c r="E1514" s="24" t="str">
        <x:v>SmartLife</x:v>
      </x:c>
      <x:c r="F1514" s="24" t="str">
        <x:v>PhotoFusion X</x:v>
      </x:c>
      <x:c r="G1514" s="24" t="str">
        <x:v>1.5</x:v>
      </x:c>
      <x:c r="H1514" s="24" t="str">
        <x:v>1.50</x:v>
      </x:c>
      <x:c r="I1514" s="24" t="str">
        <x:v>DURAVISION® ANTIVÍRUS PLATINUM UV</x:v>
      </x:c>
      <x:c r="J1514" s="40" t="n">
        <x:v>3219</x:v>
      </x:c>
      <x:c r="K1514" s="24" t="str">
        <x:v>-6.00 a +6.00</x:v>
      </x:c>
      <x:c r="L1514" s="24" t="str">
        <x:v>-4.00</x:v>
      </x:c>
      <x:c r="M1514" s="24" t="str">
        <x:v>-</x:v>
      </x:c>
      <x:c r="N1514" s="24" t="str">
        <x:v>75</x:v>
      </x:c>
      <x:c r="O1514" s="24"/>
      <x:c r="P1514" s="24"/>
      <x:c r="Q1514" s="24" t="str">
        <x:v>DISPONÍVEL</x:v>
      </x:c>
      <x:c r="R1514" s="24" t="str">
        <x:v>Programa de Parcerias ZEISS</x:v>
      </x:c>
      <x:c r="S1514" s="24" t="n">
        <x:v>16</x:v>
      </x:c>
      <x:c r="T1514" s="24" t="str">
        <x:v>tabela_zeiss.pdf</x:v>
      </x:c>
      <x:c r="U1514" s="24" t="str">
        <x:v>ZEISS|Visão Simples|Surfaçada|SmartLife|PhotoFusion X|1.5|1.50|DURAVISION® ANTIVÍRUS PLATINUM UV|-6.00 a +6.00|-4.00|-|75|||16</x:v>
      </x:c>
    </x:row>
    <x:row r="1515">
      <x:c r="A1515" s="24" t="str">
        <x:v>ZS-882F08F5AB19</x:v>
      </x:c>
      <x:c r="B1515" s="24" t="str">
        <x:v>ZEISS</x:v>
      </x:c>
      <x:c r="C1515" s="24" t="str">
        <x:v>Visão Simples</x:v>
      </x:c>
      <x:c r="D1515" s="24" t="str">
        <x:v>Surfaçada</x:v>
      </x:c>
      <x:c r="E1515" s="24" t="str">
        <x:v>SmartLife</x:v>
      </x:c>
      <x:c r="F1515" s="24" t="str">
        <x:v>PhotoFusion X</x:v>
      </x:c>
      <x:c r="G1515" s="24" t="str">
        <x:v>1.5</x:v>
      </x:c>
      <x:c r="H1515" s="24" t="str">
        <x:v>1.50</x:v>
      </x:c>
      <x:c r="I1515" s="24" t="str">
        <x:v>DuraVision Platinum UV</x:v>
      </x:c>
      <x:c r="J1515" s="40" t="n">
        <x:v>3219</x:v>
      </x:c>
      <x:c r="K1515" s="24" t="str">
        <x:v>-6.00 a +6.00</x:v>
      </x:c>
      <x:c r="L1515" s="24" t="str">
        <x:v>-4.00</x:v>
      </x:c>
      <x:c r="M1515" s="24" t="str">
        <x:v>-</x:v>
      </x:c>
      <x:c r="N1515" s="24" t="str">
        <x:v>75</x:v>
      </x:c>
      <x:c r="O1515" s="24"/>
      <x:c r="P1515" s="24"/>
      <x:c r="Q1515" s="24" t="str">
        <x:v>DISPONÍVEL</x:v>
      </x:c>
      <x:c r="R1515" s="24" t="str">
        <x:v>Programa de Parcerias ZEISS</x:v>
      </x:c>
      <x:c r="S1515" s="24" t="n">
        <x:v>16</x:v>
      </x:c>
      <x:c r="T1515" s="24" t="str">
        <x:v>tabela_zeiss.pdf</x:v>
      </x:c>
      <x:c r="U1515" s="24" t="str">
        <x:v>ZEISS|Visão Simples|Surfaçada|SmartLife|PhotoFusion X|1.5|1.50|DuraVision Platinum UV|-6.00 a +6.00|-4.00|-|75|||16</x:v>
      </x:c>
    </x:row>
    <x:row r="1516">
      <x:c r="A1516" s="24" t="str">
        <x:v>ZS-2C0DCCDC20B8</x:v>
      </x:c>
      <x:c r="B1516" s="24" t="str">
        <x:v>ZEISS</x:v>
      </x:c>
      <x:c r="C1516" s="24" t="str">
        <x:v>Visão Simples</x:v>
      </x:c>
      <x:c r="D1516" s="24" t="str">
        <x:v>Surfaçada</x:v>
      </x:c>
      <x:c r="E1516" s="24" t="str">
        <x:v>SmartLife</x:v>
      </x:c>
      <x:c r="F1516" s="24" t="str">
        <x:v>PhotoFusion X</x:v>
      </x:c>
      <x:c r="G1516" s="24" t="str">
        <x:v>1.5</x:v>
      </x:c>
      <x:c r="H1516" s="24" t="str">
        <x:v>1.50</x:v>
      </x:c>
      <x:c r="I1516" s="24" t="str">
        <x:v>DuraVision Silver UV</x:v>
      </x:c>
      <x:c r="J1516" s="40" t="n">
        <x:v>2959</x:v>
      </x:c>
      <x:c r="K1516" s="24" t="str">
        <x:v>-6.00 a +6.00</x:v>
      </x:c>
      <x:c r="L1516" s="24" t="str">
        <x:v>-4.00</x:v>
      </x:c>
      <x:c r="M1516" s="24" t="str">
        <x:v>-</x:v>
      </x:c>
      <x:c r="N1516" s="24" t="str">
        <x:v>75</x:v>
      </x:c>
      <x:c r="O1516" s="24"/>
      <x:c r="P1516" s="24"/>
      <x:c r="Q1516" s="24" t="str">
        <x:v>DISPONÍVEL</x:v>
      </x:c>
      <x:c r="R1516" s="24" t="str">
        <x:v>Programa de Parcerias ZEISS</x:v>
      </x:c>
      <x:c r="S1516" s="24" t="n">
        <x:v>16</x:v>
      </x:c>
      <x:c r="T1516" s="24" t="str">
        <x:v>tabela_zeiss.pdf</x:v>
      </x:c>
      <x:c r="U1516" s="24" t="str">
        <x:v>ZEISS|Visão Simples|Surfaçada|SmartLife|PhotoFusion X|1.5|1.50|DuraVision Silver UV|-6.00 a +6.00|-4.00|-|75|||16</x:v>
      </x:c>
    </x:row>
    <x:row r="1517">
      <x:c r="A1517" s="24" t="str">
        <x:v>ZS-5F5808900584</x:v>
      </x:c>
      <x:c r="B1517" s="24" t="str">
        <x:v>ZEISS</x:v>
      </x:c>
      <x:c r="C1517" s="24" t="str">
        <x:v>Visão Simples</x:v>
      </x:c>
      <x:c r="D1517" s="24" t="str">
        <x:v>Surfaçada</x:v>
      </x:c>
      <x:c r="E1517" s="24" t="str">
        <x:v>SmartLife</x:v>
      </x:c>
      <x:c r="F1517" s="24" t="str">
        <x:v>PhotoFusion X</x:v>
      </x:c>
      <x:c r="G1517" s="24" t="str">
        <x:v>1.5</x:v>
      </x:c>
      <x:c r="H1517" s="24" t="str">
        <x:v>1.50</x:v>
      </x:c>
      <x:c r="I1517" s="24" t="str">
        <x:v>DuraVision Chrome UV</x:v>
      </x:c>
      <x:c r="J1517" s="40" t="n">
        <x:v>2469</x:v>
      </x:c>
      <x:c r="K1517" s="24" t="str">
        <x:v>-6.00 a +6.00</x:v>
      </x:c>
      <x:c r="L1517" s="24" t="str">
        <x:v>-4.00</x:v>
      </x:c>
      <x:c r="M1517" s="24" t="str">
        <x:v>-</x:v>
      </x:c>
      <x:c r="N1517" s="24" t="str">
        <x:v>75</x:v>
      </x:c>
      <x:c r="O1517" s="24"/>
      <x:c r="P1517" s="24"/>
      <x:c r="Q1517" s="24" t="str">
        <x:v>DISPONÍVEL</x:v>
      </x:c>
      <x:c r="R1517" s="24" t="str">
        <x:v>Programa de Parcerias ZEISS</x:v>
      </x:c>
      <x:c r="S1517" s="24" t="n">
        <x:v>16</x:v>
      </x:c>
      <x:c r="T1517" s="24" t="str">
        <x:v>tabela_zeiss.pdf</x:v>
      </x:c>
      <x:c r="U1517" s="24" t="str">
        <x:v>ZEISS|Visão Simples|Surfaçada|SmartLife|PhotoFusion X|1.5|1.50|DuraVision Chrome UV|-6.00 a +6.00|-4.00|-|75|||16</x:v>
      </x:c>
    </x:row>
    <x:row r="1518">
      <x:c r="A1518" s="24" t="str">
        <x:v>ZS-09A63F05C44D</x:v>
      </x:c>
      <x:c r="B1518" s="24" t="str">
        <x:v>ZEISS</x:v>
      </x:c>
      <x:c r="C1518" s="24" t="str">
        <x:v>Visão Simples</x:v>
      </x:c>
      <x:c r="D1518" s="24" t="str">
        <x:v>Surfaçada</x:v>
      </x:c>
      <x:c r="E1518" s="24" t="str">
        <x:v>SmartLife</x:v>
      </x:c>
      <x:c r="F1518" s="24" t="str">
        <x:v>PhotoFusion X</x:v>
      </x:c>
      <x:c r="G1518" s="24" t="str">
        <x:v>Poli</x:v>
      </x:c>
      <x:c r="H1518" s="24"/>
      <x:c r="I1518" s="24" t="str">
        <x:v>DURAVISION® GOLD</x:v>
      </x:c>
      <x:c r="J1518" s="40" t="n">
        <x:v>3719</x:v>
      </x:c>
      <x:c r="K1518" s="24" t="str">
        <x:v>-10.00 a +8.00</x:v>
      </x:c>
      <x:c r="L1518" s="24" t="str">
        <x:v>-4.00</x:v>
      </x:c>
      <x:c r="M1518" s="24" t="str">
        <x:v>-</x:v>
      </x:c>
      <x:c r="N1518" s="24" t="str">
        <x:v>70</x:v>
      </x:c>
      <x:c r="O1518" s="24"/>
      <x:c r="P1518" s="24"/>
      <x:c r="Q1518" s="24" t="str">
        <x:v>DISPONÍVEL</x:v>
      </x:c>
      <x:c r="R1518" s="24" t="str">
        <x:v>Programa de Parcerias ZEISS</x:v>
      </x:c>
      <x:c r="S1518" s="24" t="n">
        <x:v>16</x:v>
      </x:c>
      <x:c r="T1518" s="24" t="str">
        <x:v>tabela_zeiss.pdf</x:v>
      </x:c>
      <x:c r="U1518" s="24" t="str">
        <x:v>ZEISS|Visão Simples|Surfaçada|SmartLife|PhotoFusion X|Poli||DURAVISION® GOLD|-10.00 a +8.00|-4.00|-|70|||16</x:v>
      </x:c>
    </x:row>
    <x:row r="1519">
      <x:c r="A1519" s="24" t="str">
        <x:v>ZS-CC8A80319133</x:v>
      </x:c>
      <x:c r="B1519" s="24" t="str">
        <x:v>ZEISS</x:v>
      </x:c>
      <x:c r="C1519" s="24" t="str">
        <x:v>Visão Simples</x:v>
      </x:c>
      <x:c r="D1519" s="24" t="str">
        <x:v>Surfaçada</x:v>
      </x:c>
      <x:c r="E1519" s="24" t="str">
        <x:v>SmartLife</x:v>
      </x:c>
      <x:c r="F1519" s="24" t="str">
        <x:v>PhotoFusion X</x:v>
      </x:c>
      <x:c r="G1519" s="24" t="str">
        <x:v>Poli</x:v>
      </x:c>
      <x:c r="H1519" s="24"/>
      <x:c r="I1519" s="24" t="str">
        <x:v>DuraVision Platinum UV</x:v>
      </x:c>
      <x:c r="J1519" s="40" t="n">
        <x:v>3579</x:v>
      </x:c>
      <x:c r="K1519" s="24" t="str">
        <x:v>-10.00 a +8.00</x:v>
      </x:c>
      <x:c r="L1519" s="24" t="str">
        <x:v>-4.00</x:v>
      </x:c>
      <x:c r="M1519" s="24" t="str">
        <x:v>-</x:v>
      </x:c>
      <x:c r="N1519" s="24" t="str">
        <x:v>70</x:v>
      </x:c>
      <x:c r="O1519" s="24"/>
      <x:c r="P1519" s="24"/>
      <x:c r="Q1519" s="24" t="str">
        <x:v>DISPONÍVEL</x:v>
      </x:c>
      <x:c r="R1519" s="24" t="str">
        <x:v>Programa de Parcerias ZEISS</x:v>
      </x:c>
      <x:c r="S1519" s="24" t="n">
        <x:v>16</x:v>
      </x:c>
      <x:c r="T1519" s="24" t="str">
        <x:v>tabela_zeiss.pdf</x:v>
      </x:c>
      <x:c r="U1519" s="24" t="str">
        <x:v>ZEISS|Visão Simples|Surfaçada|SmartLife|PhotoFusion X|Poli||DuraVision Platinum UV|-10.00 a +8.00|-4.00|-|70|||16</x:v>
      </x:c>
    </x:row>
    <x:row r="1520">
      <x:c r="A1520" s="24" t="str">
        <x:v>ZS-6DADAED8D242</x:v>
      </x:c>
      <x:c r="B1520" s="24" t="str">
        <x:v>ZEISS</x:v>
      </x:c>
      <x:c r="C1520" s="24" t="str">
        <x:v>Visão Simples</x:v>
      </x:c>
      <x:c r="D1520" s="24" t="str">
        <x:v>Surfaçada</x:v>
      </x:c>
      <x:c r="E1520" s="24" t="str">
        <x:v>SmartLife</x:v>
      </x:c>
      <x:c r="F1520" s="24" t="str">
        <x:v>PhotoFusion X</x:v>
      </x:c>
      <x:c r="G1520" s="24" t="str">
        <x:v>Poli</x:v>
      </x:c>
      <x:c r="H1520" s="24"/>
      <x:c r="I1520" s="24" t="str">
        <x:v>DuraVision Silver UV</x:v>
      </x:c>
      <x:c r="J1520" s="40" t="n">
        <x:v>3319</x:v>
      </x:c>
      <x:c r="K1520" s="24" t="str">
        <x:v>-10.00 a +8.00</x:v>
      </x:c>
      <x:c r="L1520" s="24" t="str">
        <x:v>-4.00</x:v>
      </x:c>
      <x:c r="M1520" s="24" t="str">
        <x:v>-</x:v>
      </x:c>
      <x:c r="N1520" s="24" t="str">
        <x:v>70</x:v>
      </x:c>
      <x:c r="O1520" s="24"/>
      <x:c r="P1520" s="24"/>
      <x:c r="Q1520" s="24" t="str">
        <x:v>DISPONÍVEL</x:v>
      </x:c>
      <x:c r="R1520" s="24" t="str">
        <x:v>Programa de Parcerias ZEISS</x:v>
      </x:c>
      <x:c r="S1520" s="24" t="n">
        <x:v>16</x:v>
      </x:c>
      <x:c r="T1520" s="24" t="str">
        <x:v>tabela_zeiss.pdf</x:v>
      </x:c>
      <x:c r="U1520" s="24" t="str">
        <x:v>ZEISS|Visão Simples|Surfaçada|SmartLife|PhotoFusion X|Poli||DuraVision Silver UV|-10.00 a +8.00|-4.00|-|70|||16</x:v>
      </x:c>
    </x:row>
    <x:row r="1521">
      <x:c r="A1521" s="24" t="str">
        <x:v>ZS-1CA04D6F0028</x:v>
      </x:c>
      <x:c r="B1521" s="24" t="str">
        <x:v>ZEISS</x:v>
      </x:c>
      <x:c r="C1521" s="24" t="str">
        <x:v>Visão Simples</x:v>
      </x:c>
      <x:c r="D1521" s="24" t="str">
        <x:v>Surfaçada</x:v>
      </x:c>
      <x:c r="E1521" s="24" t="str">
        <x:v>SmartLife</x:v>
      </x:c>
      <x:c r="F1521" s="24" t="str">
        <x:v>PhotoFusion X</x:v>
      </x:c>
      <x:c r="G1521" s="24" t="str">
        <x:v>Poli</x:v>
      </x:c>
      <x:c r="H1521" s="24"/>
      <x:c r="I1521" s="24" t="str">
        <x:v>DuraVision Chrome UV</x:v>
      </x:c>
      <x:c r="J1521" s="40" t="n">
        <x:v>2829</x:v>
      </x:c>
      <x:c r="K1521" s="24" t="str">
        <x:v>-10.00 a +8.00</x:v>
      </x:c>
      <x:c r="L1521" s="24" t="str">
        <x:v>-4.00</x:v>
      </x:c>
      <x:c r="M1521" s="24" t="str">
        <x:v>-</x:v>
      </x:c>
      <x:c r="N1521" s="24" t="str">
        <x:v>70</x:v>
      </x:c>
      <x:c r="O1521" s="24"/>
      <x:c r="P1521" s="24"/>
      <x:c r="Q1521" s="24" t="str">
        <x:v>DISPONÍVEL</x:v>
      </x:c>
      <x:c r="R1521" s="24" t="str">
        <x:v>Programa de Parcerias ZEISS</x:v>
      </x:c>
      <x:c r="S1521" s="24" t="n">
        <x:v>16</x:v>
      </x:c>
      <x:c r="T1521" s="24" t="str">
        <x:v>tabela_zeiss.pdf</x:v>
      </x:c>
      <x:c r="U1521" s="24" t="str">
        <x:v>ZEISS|Visão Simples|Surfaçada|SmartLife|PhotoFusion X|Poli||DuraVision Chrome UV|-10.00 a +8.00|-4.00|-|70|||16</x:v>
      </x:c>
    </x:row>
    <x:row r="1522">
      <x:c r="A1522" s="24" t="str">
        <x:v>ZS-675D67630AB1</x:v>
      </x:c>
      <x:c r="B1522" s="24" t="str">
        <x:v>ZEISS</x:v>
      </x:c>
      <x:c r="C1522" s="24" t="str">
        <x:v>Visão Simples</x:v>
      </x:c>
      <x:c r="D1522" s="24" t="str">
        <x:v>Surfaçada</x:v>
      </x:c>
      <x:c r="E1522" s="24" t="str">
        <x:v>SmartLife</x:v>
      </x:c>
      <x:c r="F1522" s="24" t="str">
        <x:v>PhotoFusion X</x:v>
      </x:c>
      <x:c r="G1522" s="24" t="str">
        <x:v>1.6</x:v>
      </x:c>
      <x:c r="H1522" s="24" t="str">
        <x:v>1.60</x:v>
      </x:c>
      <x:c r="I1522" s="24" t="str">
        <x:v>DURAVISION® GOLD</x:v>
      </x:c>
      <x:c r="J1522" s="40" t="n">
        <x:v>3939</x:v>
      </x:c>
      <x:c r="K1522" s="24" t="str">
        <x:v>-6.00 a +8.00</x:v>
      </x:c>
      <x:c r="L1522" s="24" t="str">
        <x:v>-4.00</x:v>
      </x:c>
      <x:c r="M1522" s="24" t="str">
        <x:v>-</x:v>
      </x:c>
      <x:c r="N1522" s="24" t="str">
        <x:v>75</x:v>
      </x:c>
      <x:c r="O1522" s="24"/>
      <x:c r="P1522" s="24"/>
      <x:c r="Q1522" s="24" t="str">
        <x:v>DISPONÍVEL</x:v>
      </x:c>
      <x:c r="R1522" s="24" t="str">
        <x:v>Programa de Parcerias ZEISS</x:v>
      </x:c>
      <x:c r="S1522" s="24" t="n">
        <x:v>16</x:v>
      </x:c>
      <x:c r="T1522" s="24" t="str">
        <x:v>tabela_zeiss.pdf</x:v>
      </x:c>
      <x:c r="U1522" s="24" t="str">
        <x:v>ZEISS|Visão Simples|Surfaçada|SmartLife|PhotoFusion X|1.6|1.60|DURAVISION® GOLD|-6.00 a +8.00|-4.00|-|75|||16</x:v>
      </x:c>
    </x:row>
    <x:row r="1523">
      <x:c r="A1523" s="24" t="str">
        <x:v>ZS-9DBEFE5B3749</x:v>
      </x:c>
      <x:c r="B1523" s="24" t="str">
        <x:v>ZEISS</x:v>
      </x:c>
      <x:c r="C1523" s="24" t="str">
        <x:v>Visão Simples</x:v>
      </x:c>
      <x:c r="D1523" s="24" t="str">
        <x:v>Surfaçada</x:v>
      </x:c>
      <x:c r="E1523" s="24" t="str">
        <x:v>SmartLife</x:v>
      </x:c>
      <x:c r="F1523" s="24" t="str">
        <x:v>PhotoFusion X</x:v>
      </x:c>
      <x:c r="G1523" s="24" t="str">
        <x:v>1.6</x:v>
      </x:c>
      <x:c r="H1523" s="24" t="str">
        <x:v>1.60</x:v>
      </x:c>
      <x:c r="I1523" s="24" t="str">
        <x:v>DURAVISION® ANTIVÍRUS PLATINUM UV</x:v>
      </x:c>
      <x:c r="J1523" s="40" t="n">
        <x:v>3799</x:v>
      </x:c>
      <x:c r="K1523" s="24" t="str">
        <x:v>-6.00 a +8.00</x:v>
      </x:c>
      <x:c r="L1523" s="24" t="str">
        <x:v>-4.00</x:v>
      </x:c>
      <x:c r="M1523" s="24" t="str">
        <x:v>-</x:v>
      </x:c>
      <x:c r="N1523" s="24" t="str">
        <x:v>75</x:v>
      </x:c>
      <x:c r="O1523" s="24"/>
      <x:c r="P1523" s="24"/>
      <x:c r="Q1523" s="24" t="str">
        <x:v>DISPONÍVEL</x:v>
      </x:c>
      <x:c r="R1523" s="24" t="str">
        <x:v>Programa de Parcerias ZEISS</x:v>
      </x:c>
      <x:c r="S1523" s="24" t="n">
        <x:v>16</x:v>
      </x:c>
      <x:c r="T1523" s="24" t="str">
        <x:v>tabela_zeiss.pdf</x:v>
      </x:c>
      <x:c r="U1523" s="24" t="str">
        <x:v>ZEISS|Visão Simples|Surfaçada|SmartLife|PhotoFusion X|1.6|1.60|DURAVISION® ANTIVÍRUS PLATINUM UV|-6.00 a +8.00|-4.00|-|75|||16</x:v>
      </x:c>
    </x:row>
    <x:row r="1524">
      <x:c r="A1524" s="24" t="str">
        <x:v>ZS-32AF8489E9C0</x:v>
      </x:c>
      <x:c r="B1524" s="24" t="str">
        <x:v>ZEISS</x:v>
      </x:c>
      <x:c r="C1524" s="24" t="str">
        <x:v>Visão Simples</x:v>
      </x:c>
      <x:c r="D1524" s="24" t="str">
        <x:v>Surfaçada</x:v>
      </x:c>
      <x:c r="E1524" s="24" t="str">
        <x:v>SmartLife</x:v>
      </x:c>
      <x:c r="F1524" s="24" t="str">
        <x:v>PhotoFusion X</x:v>
      </x:c>
      <x:c r="G1524" s="24" t="str">
        <x:v>1.6</x:v>
      </x:c>
      <x:c r="H1524" s="24" t="str">
        <x:v>1.60</x:v>
      </x:c>
      <x:c r="I1524" s="24" t="str">
        <x:v>DuraVision Platinum UV</x:v>
      </x:c>
      <x:c r="J1524" s="40" t="n">
        <x:v>3799</x:v>
      </x:c>
      <x:c r="K1524" s="24" t="str">
        <x:v>-6.00 a +8.00</x:v>
      </x:c>
      <x:c r="L1524" s="24" t="str">
        <x:v>-4.00</x:v>
      </x:c>
      <x:c r="M1524" s="24" t="str">
        <x:v>-</x:v>
      </x:c>
      <x:c r="N1524" s="24" t="str">
        <x:v>75</x:v>
      </x:c>
      <x:c r="O1524" s="24"/>
      <x:c r="P1524" s="24"/>
      <x:c r="Q1524" s="24" t="str">
        <x:v>DISPONÍVEL</x:v>
      </x:c>
      <x:c r="R1524" s="24" t="str">
        <x:v>Programa de Parcerias ZEISS</x:v>
      </x:c>
      <x:c r="S1524" s="24" t="n">
        <x:v>16</x:v>
      </x:c>
      <x:c r="T1524" s="24" t="str">
        <x:v>tabela_zeiss.pdf</x:v>
      </x:c>
      <x:c r="U1524" s="24" t="str">
        <x:v>ZEISS|Visão Simples|Surfaçada|SmartLife|PhotoFusion X|1.6|1.60|DuraVision Platinum UV|-6.00 a +8.00|-4.00|-|75|||16</x:v>
      </x:c>
    </x:row>
    <x:row r="1525">
      <x:c r="A1525" s="24" t="str">
        <x:v>ZS-3C89EFBA755A</x:v>
      </x:c>
      <x:c r="B1525" s="24" t="str">
        <x:v>ZEISS</x:v>
      </x:c>
      <x:c r="C1525" s="24" t="str">
        <x:v>Visão Simples</x:v>
      </x:c>
      <x:c r="D1525" s="24" t="str">
        <x:v>Surfaçada</x:v>
      </x:c>
      <x:c r="E1525" s="24" t="str">
        <x:v>SmartLife</x:v>
      </x:c>
      <x:c r="F1525" s="24" t="str">
        <x:v>PhotoFusion X</x:v>
      </x:c>
      <x:c r="G1525" s="24" t="str">
        <x:v>1.6</x:v>
      </x:c>
      <x:c r="H1525" s="24" t="str">
        <x:v>1.60</x:v>
      </x:c>
      <x:c r="I1525" s="24" t="str">
        <x:v>DuraVision Silver UV</x:v>
      </x:c>
      <x:c r="J1525" s="40" t="n">
        <x:v>3539</x:v>
      </x:c>
      <x:c r="K1525" s="24" t="str">
        <x:v>-6.00 a +8.00</x:v>
      </x:c>
      <x:c r="L1525" s="24" t="str">
        <x:v>-4.00</x:v>
      </x:c>
      <x:c r="M1525" s="24" t="str">
        <x:v>-</x:v>
      </x:c>
      <x:c r="N1525" s="24" t="str">
        <x:v>75</x:v>
      </x:c>
      <x:c r="O1525" s="24"/>
      <x:c r="P1525" s="24"/>
      <x:c r="Q1525" s="24" t="str">
        <x:v>DISPONÍVEL</x:v>
      </x:c>
      <x:c r="R1525" s="24" t="str">
        <x:v>Programa de Parcerias ZEISS</x:v>
      </x:c>
      <x:c r="S1525" s="24" t="n">
        <x:v>16</x:v>
      </x:c>
      <x:c r="T1525" s="24" t="str">
        <x:v>tabela_zeiss.pdf</x:v>
      </x:c>
      <x:c r="U1525" s="24" t="str">
        <x:v>ZEISS|Visão Simples|Surfaçada|SmartLife|PhotoFusion X|1.6|1.60|DuraVision Silver UV|-6.00 a +8.00|-4.00|-|75|||16</x:v>
      </x:c>
    </x:row>
    <x:row r="1526">
      <x:c r="A1526" s="24" t="str">
        <x:v>ZS-6E30CEB0B835</x:v>
      </x:c>
      <x:c r="B1526" s="24" t="str">
        <x:v>ZEISS</x:v>
      </x:c>
      <x:c r="C1526" s="24" t="str">
        <x:v>Visão Simples</x:v>
      </x:c>
      <x:c r="D1526" s="24" t="str">
        <x:v>Surfaçada</x:v>
      </x:c>
      <x:c r="E1526" s="24" t="str">
        <x:v>SmartLife</x:v>
      </x:c>
      <x:c r="F1526" s="24" t="str">
        <x:v>PhotoFusion X</x:v>
      </x:c>
      <x:c r="G1526" s="24" t="str">
        <x:v>1.6</x:v>
      </x:c>
      <x:c r="H1526" s="24" t="str">
        <x:v>1.60</x:v>
      </x:c>
      <x:c r="I1526" s="24" t="str">
        <x:v>DuraVision Chrome UV</x:v>
      </x:c>
      <x:c r="J1526" s="40" t="n">
        <x:v>3049</x:v>
      </x:c>
      <x:c r="K1526" s="24" t="str">
        <x:v>-6.00 a +8.00</x:v>
      </x:c>
      <x:c r="L1526" s="24" t="str">
        <x:v>-4.00</x:v>
      </x:c>
      <x:c r="M1526" s="24" t="str">
        <x:v>-</x:v>
      </x:c>
      <x:c r="N1526" s="24" t="str">
        <x:v>75</x:v>
      </x:c>
      <x:c r="O1526" s="24"/>
      <x:c r="P1526" s="24"/>
      <x:c r="Q1526" s="24" t="str">
        <x:v>DISPONÍVEL</x:v>
      </x:c>
      <x:c r="R1526" s="24" t="str">
        <x:v>Programa de Parcerias ZEISS</x:v>
      </x:c>
      <x:c r="S1526" s="24" t="n">
        <x:v>16</x:v>
      </x:c>
      <x:c r="T1526" s="24" t="str">
        <x:v>tabela_zeiss.pdf</x:v>
      </x:c>
      <x:c r="U1526" s="24" t="str">
        <x:v>ZEISS|Visão Simples|Surfaçada|SmartLife|PhotoFusion X|1.6|1.60|DuraVision Chrome UV|-6.00 a +8.00|-4.00|-|75|||16</x:v>
      </x:c>
    </x:row>
    <x:row r="1527">
      <x:c r="A1527" s="24" t="str">
        <x:v>ZS-64790744F294</x:v>
      </x:c>
      <x:c r="B1527" s="24" t="str">
        <x:v>ZEISS</x:v>
      </x:c>
      <x:c r="C1527" s="24" t="str">
        <x:v>Visão Simples</x:v>
      </x:c>
      <x:c r="D1527" s="24" t="str">
        <x:v>Surfaçada</x:v>
      </x:c>
      <x:c r="E1527" s="24" t="str">
        <x:v>SmartLife</x:v>
      </x:c>
      <x:c r="F1527" s="24" t="str">
        <x:v>PhotoFusion X</x:v>
      </x:c>
      <x:c r="G1527" s="24" t="str">
        <x:v>1.67</x:v>
      </x:c>
      <x:c r="H1527" s="24" t="str">
        <x:v>1.67</x:v>
      </x:c>
      <x:c r="I1527" s="24" t="str">
        <x:v>DURAVISION® GOLD</x:v>
      </x:c>
      <x:c r="J1527" s="40" t="n">
        <x:v>5239</x:v>
      </x:c>
      <x:c r="K1527" s="24" t="str">
        <x:v>-8.00 a +8.00</x:v>
      </x:c>
      <x:c r="L1527" s="24" t="str">
        <x:v>-6.00</x:v>
      </x:c>
      <x:c r="M1527" s="24" t="str">
        <x:v>-</x:v>
      </x:c>
      <x:c r="N1527" s="24" t="str">
        <x:v>70</x:v>
      </x:c>
      <x:c r="O1527" s="24"/>
      <x:c r="P1527" s="24"/>
      <x:c r="Q1527" s="24" t="str">
        <x:v>DISPONÍVEL</x:v>
      </x:c>
      <x:c r="R1527" s="24" t="str">
        <x:v>Programa de Parcerias ZEISS</x:v>
      </x:c>
      <x:c r="S1527" s="24" t="n">
        <x:v>16</x:v>
      </x:c>
      <x:c r="T1527" s="24" t="str">
        <x:v>tabela_zeiss.pdf</x:v>
      </x:c>
      <x:c r="U1527" s="24" t="str">
        <x:v>ZEISS|Visão Simples|Surfaçada|SmartLife|PhotoFusion X|1.67|1.67|DURAVISION® GOLD|-8.00 a +8.00|-6.00|-|70|||16</x:v>
      </x:c>
    </x:row>
    <x:row r="1528">
      <x:c r="A1528" s="24" t="str">
        <x:v>ZS-A62100794EB0</x:v>
      </x:c>
      <x:c r="B1528" s="24" t="str">
        <x:v>ZEISS</x:v>
      </x:c>
      <x:c r="C1528" s="24" t="str">
        <x:v>Visão Simples</x:v>
      </x:c>
      <x:c r="D1528" s="24" t="str">
        <x:v>Surfaçada</x:v>
      </x:c>
      <x:c r="E1528" s="24" t="str">
        <x:v>SmartLife</x:v>
      </x:c>
      <x:c r="F1528" s="24" t="str">
        <x:v>PhotoFusion X</x:v>
      </x:c>
      <x:c r="G1528" s="24" t="str">
        <x:v>1.67</x:v>
      </x:c>
      <x:c r="H1528" s="24" t="str">
        <x:v>1.67</x:v>
      </x:c>
      <x:c r="I1528" s="24" t="str">
        <x:v>DURAVISION® ANTIVÍRUS PLATINUM UV</x:v>
      </x:c>
      <x:c r="J1528" s="40" t="n">
        <x:v>5099</x:v>
      </x:c>
      <x:c r="K1528" s="24" t="str">
        <x:v>-8.00 a +8.00</x:v>
      </x:c>
      <x:c r="L1528" s="24" t="str">
        <x:v>-6.00</x:v>
      </x:c>
      <x:c r="M1528" s="24" t="str">
        <x:v>-</x:v>
      </x:c>
      <x:c r="N1528" s="24" t="str">
        <x:v>70</x:v>
      </x:c>
      <x:c r="O1528" s="24"/>
      <x:c r="P1528" s="24"/>
      <x:c r="Q1528" s="24" t="str">
        <x:v>DISPONÍVEL</x:v>
      </x:c>
      <x:c r="R1528" s="24" t="str">
        <x:v>Programa de Parcerias ZEISS</x:v>
      </x:c>
      <x:c r="S1528" s="24" t="n">
        <x:v>16</x:v>
      </x:c>
      <x:c r="T1528" s="24" t="str">
        <x:v>tabela_zeiss.pdf</x:v>
      </x:c>
      <x:c r="U1528" s="24" t="str">
        <x:v>ZEISS|Visão Simples|Surfaçada|SmartLife|PhotoFusion X|1.67|1.67|DURAVISION® ANTIVÍRUS PLATINUM UV|-8.00 a +8.00|-6.00|-|70|||16</x:v>
      </x:c>
    </x:row>
    <x:row r="1529">
      <x:c r="A1529" s="24" t="str">
        <x:v>ZS-AA82A9BB6578</x:v>
      </x:c>
      <x:c r="B1529" s="24" t="str">
        <x:v>ZEISS</x:v>
      </x:c>
      <x:c r="C1529" s="24" t="str">
        <x:v>Visão Simples</x:v>
      </x:c>
      <x:c r="D1529" s="24" t="str">
        <x:v>Surfaçada</x:v>
      </x:c>
      <x:c r="E1529" s="24" t="str">
        <x:v>SmartLife</x:v>
      </x:c>
      <x:c r="F1529" s="24" t="str">
        <x:v>PhotoFusion X</x:v>
      </x:c>
      <x:c r="G1529" s="24" t="str">
        <x:v>1.67</x:v>
      </x:c>
      <x:c r="H1529" s="24" t="str">
        <x:v>1.67</x:v>
      </x:c>
      <x:c r="I1529" s="24" t="str">
        <x:v>DuraVision Platinum UV</x:v>
      </x:c>
      <x:c r="J1529" s="40" t="n">
        <x:v>5099</x:v>
      </x:c>
      <x:c r="K1529" s="24" t="str">
        <x:v>-8.00 a +8.00</x:v>
      </x:c>
      <x:c r="L1529" s="24" t="str">
        <x:v>-6.00</x:v>
      </x:c>
      <x:c r="M1529" s="24" t="str">
        <x:v>-</x:v>
      </x:c>
      <x:c r="N1529" s="24" t="str">
        <x:v>70</x:v>
      </x:c>
      <x:c r="O1529" s="24"/>
      <x:c r="P1529" s="24"/>
      <x:c r="Q1529" s="24" t="str">
        <x:v>DISPONÍVEL</x:v>
      </x:c>
      <x:c r="R1529" s="24" t="str">
        <x:v>Programa de Parcerias ZEISS</x:v>
      </x:c>
      <x:c r="S1529" s="24" t="n">
        <x:v>16</x:v>
      </x:c>
      <x:c r="T1529" s="24" t="str">
        <x:v>tabela_zeiss.pdf</x:v>
      </x:c>
      <x:c r="U1529" s="24" t="str">
        <x:v>ZEISS|Visão Simples|Surfaçada|SmartLife|PhotoFusion X|1.67|1.67|DuraVision Platinum UV|-8.00 a +8.00|-6.00|-|70|||16</x:v>
      </x:c>
    </x:row>
    <x:row r="1530">
      <x:c r="A1530" s="24" t="str">
        <x:v>ZS-92164CFB2C58</x:v>
      </x:c>
      <x:c r="B1530" s="24" t="str">
        <x:v>ZEISS</x:v>
      </x:c>
      <x:c r="C1530" s="24" t="str">
        <x:v>Visão Simples</x:v>
      </x:c>
      <x:c r="D1530" s="24" t="str">
        <x:v>Surfaçada</x:v>
      </x:c>
      <x:c r="E1530" s="24" t="str">
        <x:v>SmartLife</x:v>
      </x:c>
      <x:c r="F1530" s="24" t="str">
        <x:v>PhotoFusion X</x:v>
      </x:c>
      <x:c r="G1530" s="24" t="str">
        <x:v>1.67</x:v>
      </x:c>
      <x:c r="H1530" s="24" t="str">
        <x:v>1.67</x:v>
      </x:c>
      <x:c r="I1530" s="24" t="str">
        <x:v>DuraVision Silver UV</x:v>
      </x:c>
      <x:c r="J1530" s="40" t="n">
        <x:v>4839</x:v>
      </x:c>
      <x:c r="K1530" s="24" t="str">
        <x:v>-8.00 a +8.00</x:v>
      </x:c>
      <x:c r="L1530" s="24" t="str">
        <x:v>-6.00</x:v>
      </x:c>
      <x:c r="M1530" s="24" t="str">
        <x:v>-</x:v>
      </x:c>
      <x:c r="N1530" s="24" t="str">
        <x:v>70</x:v>
      </x:c>
      <x:c r="O1530" s="24"/>
      <x:c r="P1530" s="24"/>
      <x:c r="Q1530" s="24" t="str">
        <x:v>DISPONÍVEL</x:v>
      </x:c>
      <x:c r="R1530" s="24" t="str">
        <x:v>Programa de Parcerias ZEISS</x:v>
      </x:c>
      <x:c r="S1530" s="24" t="n">
        <x:v>16</x:v>
      </x:c>
      <x:c r="T1530" s="24" t="str">
        <x:v>tabela_zeiss.pdf</x:v>
      </x:c>
      <x:c r="U1530" s="24" t="str">
        <x:v>ZEISS|Visão Simples|Surfaçada|SmartLife|PhotoFusion X|1.67|1.67|DuraVision Silver UV|-8.00 a +8.00|-6.00|-|70|||16</x:v>
      </x:c>
    </x:row>
    <x:row r="1531">
      <x:c r="A1531" s="24" t="str">
        <x:v>ZS-3E59A7BE9836</x:v>
      </x:c>
      <x:c r="B1531" s="24" t="str">
        <x:v>ZEISS</x:v>
      </x:c>
      <x:c r="C1531" s="24" t="str">
        <x:v>Visão Simples</x:v>
      </x:c>
      <x:c r="D1531" s="24" t="str">
        <x:v>Surfaçada</x:v>
      </x:c>
      <x:c r="E1531" s="24" t="str">
        <x:v>SmartLife</x:v>
      </x:c>
      <x:c r="F1531" s="24" t="str">
        <x:v>PhotoFusion X</x:v>
      </x:c>
      <x:c r="G1531" s="24" t="str">
        <x:v>1.67</x:v>
      </x:c>
      <x:c r="H1531" s="24" t="str">
        <x:v>1.67</x:v>
      </x:c>
      <x:c r="I1531" s="24" t="str">
        <x:v>DuraVision Chrome UV</x:v>
      </x:c>
      <x:c r="J1531" s="40" t="n">
        <x:v>4349</x:v>
      </x:c>
      <x:c r="K1531" s="24" t="str">
        <x:v>-8.00 a +8.00</x:v>
      </x:c>
      <x:c r="L1531" s="24" t="str">
        <x:v>-6.00</x:v>
      </x:c>
      <x:c r="M1531" s="24" t="str">
        <x:v>-</x:v>
      </x:c>
      <x:c r="N1531" s="24" t="str">
        <x:v>70</x:v>
      </x:c>
      <x:c r="O1531" s="24"/>
      <x:c r="P1531" s="24"/>
      <x:c r="Q1531" s="24" t="str">
        <x:v>DISPONÍVEL</x:v>
      </x:c>
      <x:c r="R1531" s="24" t="str">
        <x:v>Programa de Parcerias ZEISS</x:v>
      </x:c>
      <x:c r="S1531" s="24" t="n">
        <x:v>16</x:v>
      </x:c>
      <x:c r="T1531" s="24" t="str">
        <x:v>tabela_zeiss.pdf</x:v>
      </x:c>
      <x:c r="U1531" s="24" t="str">
        <x:v>ZEISS|Visão Simples|Surfaçada|SmartLife|PhotoFusion X|1.67|1.67|DuraVision Chrome UV|-8.00 a +8.00|-6.00|-|70|||16</x:v>
      </x:c>
    </x:row>
    <x:row r="1532">
      <x:c r="A1532" s="24" t="str">
        <x:v>ZS-02CD92EB8251</x:v>
      </x:c>
      <x:c r="B1532" s="24" t="str">
        <x:v>ZEISS</x:v>
      </x:c>
      <x:c r="C1532" s="24" t="str">
        <x:v>Visão Simples</x:v>
      </x:c>
      <x:c r="D1532" s="24" t="str">
        <x:v>Surfaçada</x:v>
      </x:c>
      <x:c r="E1532" s="24" t="str">
        <x:v>SmartLife</x:v>
      </x:c>
      <x:c r="F1532" s="24" t="str">
        <x:v>PhotoFusion X Extra Dark Cinza</x:v>
      </x:c>
      <x:c r="G1532" s="24" t="str">
        <x:v>1.5</x:v>
      </x:c>
      <x:c r="H1532" s="24" t="str">
        <x:v>1.50</x:v>
      </x:c>
      <x:c r="I1532" s="24" t="str">
        <x:v>DURAVISION® GOLD</x:v>
      </x:c>
      <x:c r="J1532" s="40" t="n">
        <x:v>3409</x:v>
      </x:c>
      <x:c r="K1532" s="24" t="str">
        <x:v>-6.00 a +6.00</x:v>
      </x:c>
      <x:c r="L1532" s="24" t="str">
        <x:v>-4.00</x:v>
      </x:c>
      <x:c r="M1532" s="24" t="str">
        <x:v>-</x:v>
      </x:c>
      <x:c r="N1532" s="24" t="str">
        <x:v>75</x:v>
      </x:c>
      <x:c r="O1532" s="24"/>
      <x:c r="P1532" s="24"/>
      <x:c r="Q1532" s="24" t="str">
        <x:v>DISPONÍVEL</x:v>
      </x:c>
      <x:c r="R1532" s="24" t="str">
        <x:v>Programa de Parcerias ZEISS</x:v>
      </x:c>
      <x:c r="S1532" s="24" t="n">
        <x:v>16</x:v>
      </x:c>
      <x:c r="T1532" s="24" t="str">
        <x:v>tabela_zeiss.pdf</x:v>
      </x:c>
      <x:c r="U1532" s="24" t="str">
        <x:v>ZEISS|Visão Simples|Surfaçada|SmartLife|PhotoFusion X Extra Dark Cinza|1.5|1.50|DURAVISION® GOLD|-6.00 a +6.00|-4.00|-|75|||16</x:v>
      </x:c>
    </x:row>
    <x:row r="1533">
      <x:c r="A1533" s="24" t="str">
        <x:v>ZS-017A163EAFF1</x:v>
      </x:c>
      <x:c r="B1533" s="24" t="str">
        <x:v>ZEISS</x:v>
      </x:c>
      <x:c r="C1533" s="24" t="str">
        <x:v>Visão Simples</x:v>
      </x:c>
      <x:c r="D1533" s="24" t="str">
        <x:v>Surfaçada</x:v>
      </x:c>
      <x:c r="E1533" s="24" t="str">
        <x:v>SmartLife</x:v>
      </x:c>
      <x:c r="F1533" s="24" t="str">
        <x:v>PhotoFusion X Extra Dark Cinza</x:v>
      </x:c>
      <x:c r="G1533" s="24" t="str">
        <x:v>1.5</x:v>
      </x:c>
      <x:c r="H1533" s="24" t="str">
        <x:v>1.50</x:v>
      </x:c>
      <x:c r="I1533" s="24" t="str">
        <x:v>DURAVISION® ANTIVÍRUS PLATINUM UV</x:v>
      </x:c>
      <x:c r="J1533" s="40" t="n">
        <x:v>3269</x:v>
      </x:c>
      <x:c r="K1533" s="24" t="str">
        <x:v>-6.00 a +6.00</x:v>
      </x:c>
      <x:c r="L1533" s="24" t="str">
        <x:v>-4.00</x:v>
      </x:c>
      <x:c r="M1533" s="24" t="str">
        <x:v>-</x:v>
      </x:c>
      <x:c r="N1533" s="24" t="str">
        <x:v>75</x:v>
      </x:c>
      <x:c r="O1533" s="24"/>
      <x:c r="P1533" s="24"/>
      <x:c r="Q1533" s="24" t="str">
        <x:v>DISPONÍVEL</x:v>
      </x:c>
      <x:c r="R1533" s="24" t="str">
        <x:v>Programa de Parcerias ZEISS</x:v>
      </x:c>
      <x:c r="S1533" s="24" t="n">
        <x:v>16</x:v>
      </x:c>
      <x:c r="T1533" s="24" t="str">
        <x:v>tabela_zeiss.pdf</x:v>
      </x:c>
      <x:c r="U1533" s="24" t="str">
        <x:v>ZEISS|Visão Simples|Surfaçada|SmartLife|PhotoFusion X Extra Dark Cinza|1.5|1.50|DURAVISION® ANTIVÍRUS PLATINUM UV|-6.00 a +6.00|-4.00|-|75|||16</x:v>
      </x:c>
    </x:row>
    <x:row r="1534">
      <x:c r="A1534" s="24" t="str">
        <x:v>ZS-7F985D1A81F1</x:v>
      </x:c>
      <x:c r="B1534" s="24" t="str">
        <x:v>ZEISS</x:v>
      </x:c>
      <x:c r="C1534" s="24" t="str">
        <x:v>Visão Simples</x:v>
      </x:c>
      <x:c r="D1534" s="24" t="str">
        <x:v>Surfaçada</x:v>
      </x:c>
      <x:c r="E1534" s="24" t="str">
        <x:v>SmartLife</x:v>
      </x:c>
      <x:c r="F1534" s="24" t="str">
        <x:v>PhotoFusion X Extra Dark Cinza</x:v>
      </x:c>
      <x:c r="G1534" s="24" t="str">
        <x:v>1.5</x:v>
      </x:c>
      <x:c r="H1534" s="24" t="str">
        <x:v>1.50</x:v>
      </x:c>
      <x:c r="I1534" s="24" t="str">
        <x:v>DuraVision Platinum UV</x:v>
      </x:c>
      <x:c r="J1534" s="40" t="n">
        <x:v>3269</x:v>
      </x:c>
      <x:c r="K1534" s="24" t="str">
        <x:v>-6.00 a +6.00</x:v>
      </x:c>
      <x:c r="L1534" s="24" t="str">
        <x:v>-4.00</x:v>
      </x:c>
      <x:c r="M1534" s="24" t="str">
        <x:v>-</x:v>
      </x:c>
      <x:c r="N1534" s="24" t="str">
        <x:v>75</x:v>
      </x:c>
      <x:c r="O1534" s="24"/>
      <x:c r="P1534" s="24"/>
      <x:c r="Q1534" s="24" t="str">
        <x:v>DISPONÍVEL</x:v>
      </x:c>
      <x:c r="R1534" s="24" t="str">
        <x:v>Programa de Parcerias ZEISS</x:v>
      </x:c>
      <x:c r="S1534" s="24" t="n">
        <x:v>16</x:v>
      </x:c>
      <x:c r="T1534" s="24" t="str">
        <x:v>tabela_zeiss.pdf</x:v>
      </x:c>
      <x:c r="U1534" s="24" t="str">
        <x:v>ZEISS|Visão Simples|Surfaçada|SmartLife|PhotoFusion X Extra Dark Cinza|1.5|1.50|DuraVision Platinum UV|-6.00 a +6.00|-4.00|-|75|||16</x:v>
      </x:c>
    </x:row>
    <x:row r="1535">
      <x:c r="A1535" s="24" t="str">
        <x:v>ZS-AE69DF3296FE</x:v>
      </x:c>
      <x:c r="B1535" s="24" t="str">
        <x:v>ZEISS</x:v>
      </x:c>
      <x:c r="C1535" s="24" t="str">
        <x:v>Visão Simples</x:v>
      </x:c>
      <x:c r="D1535" s="24" t="str">
        <x:v>Surfaçada</x:v>
      </x:c>
      <x:c r="E1535" s="24" t="str">
        <x:v>SmartLife</x:v>
      </x:c>
      <x:c r="F1535" s="24" t="str">
        <x:v>PhotoFusion X Extra Dark Cinza</x:v>
      </x:c>
      <x:c r="G1535" s="24" t="str">
        <x:v>1.5</x:v>
      </x:c>
      <x:c r="H1535" s="24" t="str">
        <x:v>1.50</x:v>
      </x:c>
      <x:c r="I1535" s="24" t="str">
        <x:v>DuraVision Silver UV</x:v>
      </x:c>
      <x:c r="J1535" s="40" t="n">
        <x:v>3009</x:v>
      </x:c>
      <x:c r="K1535" s="24" t="str">
        <x:v>-6.00 a +6.00</x:v>
      </x:c>
      <x:c r="L1535" s="24" t="str">
        <x:v>-4.00</x:v>
      </x:c>
      <x:c r="M1535" s="24" t="str">
        <x:v>-</x:v>
      </x:c>
      <x:c r="N1535" s="24" t="str">
        <x:v>75</x:v>
      </x:c>
      <x:c r="O1535" s="24"/>
      <x:c r="P1535" s="24"/>
      <x:c r="Q1535" s="24" t="str">
        <x:v>DISPONÍVEL</x:v>
      </x:c>
      <x:c r="R1535" s="24" t="str">
        <x:v>Programa de Parcerias ZEISS</x:v>
      </x:c>
      <x:c r="S1535" s="24" t="n">
        <x:v>16</x:v>
      </x:c>
      <x:c r="T1535" s="24" t="str">
        <x:v>tabela_zeiss.pdf</x:v>
      </x:c>
      <x:c r="U1535" s="24" t="str">
        <x:v>ZEISS|Visão Simples|Surfaçada|SmartLife|PhotoFusion X Extra Dark Cinza|1.5|1.50|DuraVision Silver UV|-6.00 a +6.00|-4.00|-|75|||16</x:v>
      </x:c>
    </x:row>
    <x:row r="1536">
      <x:c r="A1536" s="24" t="str">
        <x:v>ZS-DD6F4B93E447</x:v>
      </x:c>
      <x:c r="B1536" s="24" t="str">
        <x:v>ZEISS</x:v>
      </x:c>
      <x:c r="C1536" s="24" t="str">
        <x:v>Visão Simples</x:v>
      </x:c>
      <x:c r="D1536" s="24" t="str">
        <x:v>Surfaçada</x:v>
      </x:c>
      <x:c r="E1536" s="24" t="str">
        <x:v>SmartLife</x:v>
      </x:c>
      <x:c r="F1536" s="24" t="str">
        <x:v>PhotoFusion X Extra Dark Cinza</x:v>
      </x:c>
      <x:c r="G1536" s="24" t="str">
        <x:v>1.5</x:v>
      </x:c>
      <x:c r="H1536" s="24" t="str">
        <x:v>1.50</x:v>
      </x:c>
      <x:c r="I1536" s="24" t="str">
        <x:v>DuraVision Chrome UV</x:v>
      </x:c>
      <x:c r="J1536" s="40" t="n">
        <x:v>2519</x:v>
      </x:c>
      <x:c r="K1536" s="24" t="str">
        <x:v>-6.00 a +6.00</x:v>
      </x:c>
      <x:c r="L1536" s="24" t="str">
        <x:v>-4.00</x:v>
      </x:c>
      <x:c r="M1536" s="24" t="str">
        <x:v>-</x:v>
      </x:c>
      <x:c r="N1536" s="24" t="str">
        <x:v>75</x:v>
      </x:c>
      <x:c r="O1536" s="24"/>
      <x:c r="P1536" s="24"/>
      <x:c r="Q1536" s="24" t="str">
        <x:v>DISPONÍVEL</x:v>
      </x:c>
      <x:c r="R1536" s="24" t="str">
        <x:v>Programa de Parcerias ZEISS</x:v>
      </x:c>
      <x:c r="S1536" s="24" t="n">
        <x:v>16</x:v>
      </x:c>
      <x:c r="T1536" s="24" t="str">
        <x:v>tabela_zeiss.pdf</x:v>
      </x:c>
      <x:c r="U1536" s="24" t="str">
        <x:v>ZEISS|Visão Simples|Surfaçada|SmartLife|PhotoFusion X Extra Dark Cinza|1.5|1.50|DuraVision Chrome UV|-6.00 a +6.00|-4.00|-|75|||16</x:v>
      </x:c>
    </x:row>
    <x:row r="1537">
      <x:c r="A1537" s="24" t="str">
        <x:v>ZS-A1B670FFC058</x:v>
      </x:c>
      <x:c r="B1537" s="24" t="str">
        <x:v>ZEISS</x:v>
      </x:c>
      <x:c r="C1537" s="24" t="str">
        <x:v>Visão Simples</x:v>
      </x:c>
      <x:c r="D1537" s="24" t="str">
        <x:v>Surfaçada</x:v>
      </x:c>
      <x:c r="E1537" s="24" t="str">
        <x:v>SmartLife</x:v>
      </x:c>
      <x:c r="F1537" s="24" t="str">
        <x:v>PhotoFusion X Extra Dark Cinza</x:v>
      </x:c>
      <x:c r="G1537" s="24" t="str">
        <x:v>Poli</x:v>
      </x:c>
      <x:c r="H1537" s="24"/>
      <x:c r="I1537" s="24" t="str">
        <x:v>DURAVISION® GOLD</x:v>
      </x:c>
      <x:c r="J1537" s="40" t="n">
        <x:v>3769</x:v>
      </x:c>
      <x:c r="K1537" s="24" t="str">
        <x:v>-10.00 a +8.00</x:v>
      </x:c>
      <x:c r="L1537" s="24" t="str">
        <x:v>-4.00</x:v>
      </x:c>
      <x:c r="M1537" s="24" t="str">
        <x:v>-</x:v>
      </x:c>
      <x:c r="N1537" s="24" t="str">
        <x:v>70</x:v>
      </x:c>
      <x:c r="O1537" s="24"/>
      <x:c r="P1537" s="24"/>
      <x:c r="Q1537" s="24" t="str">
        <x:v>DISPONÍVEL</x:v>
      </x:c>
      <x:c r="R1537" s="24" t="str">
        <x:v>Programa de Parcerias ZEISS</x:v>
      </x:c>
      <x:c r="S1537" s="24" t="n">
        <x:v>16</x:v>
      </x:c>
      <x:c r="T1537" s="24" t="str">
        <x:v>tabela_zeiss.pdf</x:v>
      </x:c>
      <x:c r="U1537" s="24" t="str">
        <x:v>ZEISS|Visão Simples|Surfaçada|SmartLife|PhotoFusion X Extra Dark Cinza|Poli||DURAVISION® GOLD|-10.00 a +8.00|-4.00|-|70|||16</x:v>
      </x:c>
    </x:row>
    <x:row r="1538">
      <x:c r="A1538" s="24" t="str">
        <x:v>ZS-3551D316A062</x:v>
      </x:c>
      <x:c r="B1538" s="24" t="str">
        <x:v>ZEISS</x:v>
      </x:c>
      <x:c r="C1538" s="24" t="str">
        <x:v>Visão Simples</x:v>
      </x:c>
      <x:c r="D1538" s="24" t="str">
        <x:v>Surfaçada</x:v>
      </x:c>
      <x:c r="E1538" s="24" t="str">
        <x:v>SmartLife</x:v>
      </x:c>
      <x:c r="F1538" s="24" t="str">
        <x:v>PhotoFusion X Extra Dark Cinza</x:v>
      </x:c>
      <x:c r="G1538" s="24" t="str">
        <x:v>Poli</x:v>
      </x:c>
      <x:c r="H1538" s="24"/>
      <x:c r="I1538" s="24" t="str">
        <x:v>DuraVision Platinum UV</x:v>
      </x:c>
      <x:c r="J1538" s="40" t="n">
        <x:v>3629</x:v>
      </x:c>
      <x:c r="K1538" s="24" t="str">
        <x:v>-10.00 a +8.00</x:v>
      </x:c>
      <x:c r="L1538" s="24" t="str">
        <x:v>-4.00</x:v>
      </x:c>
      <x:c r="M1538" s="24" t="str">
        <x:v>-</x:v>
      </x:c>
      <x:c r="N1538" s="24" t="str">
        <x:v>70</x:v>
      </x:c>
      <x:c r="O1538" s="24"/>
      <x:c r="P1538" s="24"/>
      <x:c r="Q1538" s="24" t="str">
        <x:v>DISPONÍVEL</x:v>
      </x:c>
      <x:c r="R1538" s="24" t="str">
        <x:v>Programa de Parcerias ZEISS</x:v>
      </x:c>
      <x:c r="S1538" s="24" t="n">
        <x:v>16</x:v>
      </x:c>
      <x:c r="T1538" s="24" t="str">
        <x:v>tabela_zeiss.pdf</x:v>
      </x:c>
      <x:c r="U1538" s="24" t="str">
        <x:v>ZEISS|Visão Simples|Surfaçada|SmartLife|PhotoFusion X Extra Dark Cinza|Poli||DuraVision Platinum UV|-10.00 a +8.00|-4.00|-|70|||16</x:v>
      </x:c>
    </x:row>
    <x:row r="1539">
      <x:c r="A1539" s="24" t="str">
        <x:v>ZS-B879D462BFE4</x:v>
      </x:c>
      <x:c r="B1539" s="24" t="str">
        <x:v>ZEISS</x:v>
      </x:c>
      <x:c r="C1539" s="24" t="str">
        <x:v>Visão Simples</x:v>
      </x:c>
      <x:c r="D1539" s="24" t="str">
        <x:v>Surfaçada</x:v>
      </x:c>
      <x:c r="E1539" s="24" t="str">
        <x:v>SmartLife</x:v>
      </x:c>
      <x:c r="F1539" s="24" t="str">
        <x:v>PhotoFusion X Extra Dark Cinza</x:v>
      </x:c>
      <x:c r="G1539" s="24" t="str">
        <x:v>Poli</x:v>
      </x:c>
      <x:c r="H1539" s="24"/>
      <x:c r="I1539" s="24" t="str">
        <x:v>DuraVision Silver UV</x:v>
      </x:c>
      <x:c r="J1539" s="40" t="n">
        <x:v>3369</x:v>
      </x:c>
      <x:c r="K1539" s="24" t="str">
        <x:v>-10.00 a +8.00</x:v>
      </x:c>
      <x:c r="L1539" s="24" t="str">
        <x:v>-4.00</x:v>
      </x:c>
      <x:c r="M1539" s="24" t="str">
        <x:v>-</x:v>
      </x:c>
      <x:c r="N1539" s="24" t="str">
        <x:v>70</x:v>
      </x:c>
      <x:c r="O1539" s="24"/>
      <x:c r="P1539" s="24"/>
      <x:c r="Q1539" s="24" t="str">
        <x:v>DISPONÍVEL</x:v>
      </x:c>
      <x:c r="R1539" s="24" t="str">
        <x:v>Programa de Parcerias ZEISS</x:v>
      </x:c>
      <x:c r="S1539" s="24" t="n">
        <x:v>16</x:v>
      </x:c>
      <x:c r="T1539" s="24" t="str">
        <x:v>tabela_zeiss.pdf</x:v>
      </x:c>
      <x:c r="U1539" s="24" t="str">
        <x:v>ZEISS|Visão Simples|Surfaçada|SmartLife|PhotoFusion X Extra Dark Cinza|Poli||DuraVision Silver UV|-10.00 a +8.00|-4.00|-|70|||16</x:v>
      </x:c>
    </x:row>
    <x:row r="1540">
      <x:c r="A1540" s="24" t="str">
        <x:v>ZS-EF0C72922641</x:v>
      </x:c>
      <x:c r="B1540" s="24" t="str">
        <x:v>ZEISS</x:v>
      </x:c>
      <x:c r="C1540" s="24" t="str">
        <x:v>Visão Simples</x:v>
      </x:c>
      <x:c r="D1540" s="24" t="str">
        <x:v>Surfaçada</x:v>
      </x:c>
      <x:c r="E1540" s="24" t="str">
        <x:v>SmartLife</x:v>
      </x:c>
      <x:c r="F1540" s="24" t="str">
        <x:v>PhotoFusion X Extra Dark Cinza</x:v>
      </x:c>
      <x:c r="G1540" s="24" t="str">
        <x:v>Poli</x:v>
      </x:c>
      <x:c r="H1540" s="24"/>
      <x:c r="I1540" s="24" t="str">
        <x:v>DuraVision Chrome UV</x:v>
      </x:c>
      <x:c r="J1540" s="40" t="n">
        <x:v>2879</x:v>
      </x:c>
      <x:c r="K1540" s="24" t="str">
        <x:v>-10.00 a +8.00</x:v>
      </x:c>
      <x:c r="L1540" s="24" t="str">
        <x:v>-4.00</x:v>
      </x:c>
      <x:c r="M1540" s="24" t="str">
        <x:v>-</x:v>
      </x:c>
      <x:c r="N1540" s="24" t="str">
        <x:v>70</x:v>
      </x:c>
      <x:c r="O1540" s="24"/>
      <x:c r="P1540" s="24"/>
      <x:c r="Q1540" s="24" t="str">
        <x:v>DISPONÍVEL</x:v>
      </x:c>
      <x:c r="R1540" s="24" t="str">
        <x:v>Programa de Parcerias ZEISS</x:v>
      </x:c>
      <x:c r="S1540" s="24" t="n">
        <x:v>16</x:v>
      </x:c>
      <x:c r="T1540" s="24" t="str">
        <x:v>tabela_zeiss.pdf</x:v>
      </x:c>
      <x:c r="U1540" s="24" t="str">
        <x:v>ZEISS|Visão Simples|Surfaçada|SmartLife|PhotoFusion X Extra Dark Cinza|Poli||DuraVision Chrome UV|-10.00 a +8.00|-4.00|-|70|||16</x:v>
      </x:c>
    </x:row>
    <x:row r="1541">
      <x:c r="A1541" s="24" t="str">
        <x:v>ZS-25520136CF0E</x:v>
      </x:c>
      <x:c r="B1541" s="24" t="str">
        <x:v>ZEISS</x:v>
      </x:c>
      <x:c r="C1541" s="24" t="str">
        <x:v>Visão Simples</x:v>
      </x:c>
      <x:c r="D1541" s="24" t="str">
        <x:v>Surfaçada</x:v>
      </x:c>
      <x:c r="E1541" s="24" t="str">
        <x:v>SmartLife</x:v>
      </x:c>
      <x:c r="F1541" s="24" t="str">
        <x:v>PhotoFusion X Extra Dark Cinza</x:v>
      </x:c>
      <x:c r="G1541" s="24" t="str">
        <x:v>1.6</x:v>
      </x:c>
      <x:c r="H1541" s="24" t="str">
        <x:v>1.60</x:v>
      </x:c>
      <x:c r="I1541" s="24" t="str">
        <x:v>DURAVISION® GOLD</x:v>
      </x:c>
      <x:c r="J1541" s="40" t="n">
        <x:v>3989</x:v>
      </x:c>
      <x:c r="K1541" s="24" t="str">
        <x:v>-6.00 a +8.00</x:v>
      </x:c>
      <x:c r="L1541" s="24" t="str">
        <x:v>-4.00</x:v>
      </x:c>
      <x:c r="M1541" s="24" t="str">
        <x:v>-</x:v>
      </x:c>
      <x:c r="N1541" s="24" t="str">
        <x:v>75</x:v>
      </x:c>
      <x:c r="O1541" s="24"/>
      <x:c r="P1541" s="24"/>
      <x:c r="Q1541" s="24" t="str">
        <x:v>DISPONÍVEL</x:v>
      </x:c>
      <x:c r="R1541" s="24" t="str">
        <x:v>Programa de Parcerias ZEISS</x:v>
      </x:c>
      <x:c r="S1541" s="24" t="n">
        <x:v>16</x:v>
      </x:c>
      <x:c r="T1541" s="24" t="str">
        <x:v>tabela_zeiss.pdf</x:v>
      </x:c>
      <x:c r="U1541" s="24" t="str">
        <x:v>ZEISS|Visão Simples|Surfaçada|SmartLife|PhotoFusion X Extra Dark Cinza|1.6|1.60|DURAVISION® GOLD|-6.00 a +8.00|-4.00|-|75|||16</x:v>
      </x:c>
    </x:row>
    <x:row r="1542">
      <x:c r="A1542" s="24" t="str">
        <x:v>ZS-BA4A16BA5CA5</x:v>
      </x:c>
      <x:c r="B1542" s="24" t="str">
        <x:v>ZEISS</x:v>
      </x:c>
      <x:c r="C1542" s="24" t="str">
        <x:v>Visão Simples</x:v>
      </x:c>
      <x:c r="D1542" s="24" t="str">
        <x:v>Surfaçada</x:v>
      </x:c>
      <x:c r="E1542" s="24" t="str">
        <x:v>SmartLife</x:v>
      </x:c>
      <x:c r="F1542" s="24" t="str">
        <x:v>PhotoFusion X Extra Dark Cinza</x:v>
      </x:c>
      <x:c r="G1542" s="24" t="str">
        <x:v>1.6</x:v>
      </x:c>
      <x:c r="H1542" s="24" t="str">
        <x:v>1.60</x:v>
      </x:c>
      <x:c r="I1542" s="24" t="str">
        <x:v>DURAVISION® ANTIVÍRUS PLATINUM UV</x:v>
      </x:c>
      <x:c r="J1542" s="40" t="n">
        <x:v>3849</x:v>
      </x:c>
      <x:c r="K1542" s="24" t="str">
        <x:v>-6.00 a +8.00</x:v>
      </x:c>
      <x:c r="L1542" s="24" t="str">
        <x:v>-4.00</x:v>
      </x:c>
      <x:c r="M1542" s="24" t="str">
        <x:v>-</x:v>
      </x:c>
      <x:c r="N1542" s="24" t="str">
        <x:v>75</x:v>
      </x:c>
      <x:c r="O1542" s="24"/>
      <x:c r="P1542" s="24"/>
      <x:c r="Q1542" s="24" t="str">
        <x:v>DISPONÍVEL</x:v>
      </x:c>
      <x:c r="R1542" s="24" t="str">
        <x:v>Programa de Parcerias ZEISS</x:v>
      </x:c>
      <x:c r="S1542" s="24" t="n">
        <x:v>16</x:v>
      </x:c>
      <x:c r="T1542" s="24" t="str">
        <x:v>tabela_zeiss.pdf</x:v>
      </x:c>
      <x:c r="U1542" s="24" t="str">
        <x:v>ZEISS|Visão Simples|Surfaçada|SmartLife|PhotoFusion X Extra Dark Cinza|1.6|1.60|DURAVISION® ANTIVÍRUS PLATINUM UV|-6.00 a +8.00|-4.00|-|75|||16</x:v>
      </x:c>
    </x:row>
    <x:row r="1543">
      <x:c r="A1543" s="24" t="str">
        <x:v>ZS-5D5533F75E12</x:v>
      </x:c>
      <x:c r="B1543" s="24" t="str">
        <x:v>ZEISS</x:v>
      </x:c>
      <x:c r="C1543" s="24" t="str">
        <x:v>Visão Simples</x:v>
      </x:c>
      <x:c r="D1543" s="24" t="str">
        <x:v>Surfaçada</x:v>
      </x:c>
      <x:c r="E1543" s="24" t="str">
        <x:v>SmartLife</x:v>
      </x:c>
      <x:c r="F1543" s="24" t="str">
        <x:v>PhotoFusion X Extra Dark Cinza</x:v>
      </x:c>
      <x:c r="G1543" s="24" t="str">
        <x:v>1.6</x:v>
      </x:c>
      <x:c r="H1543" s="24" t="str">
        <x:v>1.60</x:v>
      </x:c>
      <x:c r="I1543" s="24" t="str">
        <x:v>DuraVision Platinum UV</x:v>
      </x:c>
      <x:c r="J1543" s="40" t="n">
        <x:v>3849</x:v>
      </x:c>
      <x:c r="K1543" s="24" t="str">
        <x:v>-6.00 a +8.00</x:v>
      </x:c>
      <x:c r="L1543" s="24" t="str">
        <x:v>-4.00</x:v>
      </x:c>
      <x:c r="M1543" s="24" t="str">
        <x:v>-</x:v>
      </x:c>
      <x:c r="N1543" s="24" t="str">
        <x:v>75</x:v>
      </x:c>
      <x:c r="O1543" s="24"/>
      <x:c r="P1543" s="24"/>
      <x:c r="Q1543" s="24" t="str">
        <x:v>DISPONÍVEL</x:v>
      </x:c>
      <x:c r="R1543" s="24" t="str">
        <x:v>Programa de Parcerias ZEISS</x:v>
      </x:c>
      <x:c r="S1543" s="24" t="n">
        <x:v>16</x:v>
      </x:c>
      <x:c r="T1543" s="24" t="str">
        <x:v>tabela_zeiss.pdf</x:v>
      </x:c>
      <x:c r="U1543" s="24" t="str">
        <x:v>ZEISS|Visão Simples|Surfaçada|SmartLife|PhotoFusion X Extra Dark Cinza|1.6|1.60|DuraVision Platinum UV|-6.00 a +8.00|-4.00|-|75|||16</x:v>
      </x:c>
    </x:row>
    <x:row r="1544">
      <x:c r="A1544" s="24" t="str">
        <x:v>ZS-EAB7E80B19B0</x:v>
      </x:c>
      <x:c r="B1544" s="24" t="str">
        <x:v>ZEISS</x:v>
      </x:c>
      <x:c r="C1544" s="24" t="str">
        <x:v>Visão Simples</x:v>
      </x:c>
      <x:c r="D1544" s="24" t="str">
        <x:v>Surfaçada</x:v>
      </x:c>
      <x:c r="E1544" s="24" t="str">
        <x:v>SmartLife</x:v>
      </x:c>
      <x:c r="F1544" s="24" t="str">
        <x:v>PhotoFusion X Extra Dark Cinza</x:v>
      </x:c>
      <x:c r="G1544" s="24" t="str">
        <x:v>1.6</x:v>
      </x:c>
      <x:c r="H1544" s="24" t="str">
        <x:v>1.60</x:v>
      </x:c>
      <x:c r="I1544" s="24" t="str">
        <x:v>DuraVision Silver UV</x:v>
      </x:c>
      <x:c r="J1544" s="40" t="n">
        <x:v>3589</x:v>
      </x:c>
      <x:c r="K1544" s="24" t="str">
        <x:v>-6.00 a +8.00</x:v>
      </x:c>
      <x:c r="L1544" s="24" t="str">
        <x:v>-4.00</x:v>
      </x:c>
      <x:c r="M1544" s="24" t="str">
        <x:v>-</x:v>
      </x:c>
      <x:c r="N1544" s="24" t="str">
        <x:v>75</x:v>
      </x:c>
      <x:c r="O1544" s="24"/>
      <x:c r="P1544" s="24"/>
      <x:c r="Q1544" s="24" t="str">
        <x:v>DISPONÍVEL</x:v>
      </x:c>
      <x:c r="R1544" s="24" t="str">
        <x:v>Programa de Parcerias ZEISS</x:v>
      </x:c>
      <x:c r="S1544" s="24" t="n">
        <x:v>16</x:v>
      </x:c>
      <x:c r="T1544" s="24" t="str">
        <x:v>tabela_zeiss.pdf</x:v>
      </x:c>
      <x:c r="U1544" s="24" t="str">
        <x:v>ZEISS|Visão Simples|Surfaçada|SmartLife|PhotoFusion X Extra Dark Cinza|1.6|1.60|DuraVision Silver UV|-6.00 a +8.00|-4.00|-|75|||16</x:v>
      </x:c>
    </x:row>
    <x:row r="1545">
      <x:c r="A1545" s="24" t="str">
        <x:v>ZS-9C2DF1C4C781</x:v>
      </x:c>
      <x:c r="B1545" s="24" t="str">
        <x:v>ZEISS</x:v>
      </x:c>
      <x:c r="C1545" s="24" t="str">
        <x:v>Visão Simples</x:v>
      </x:c>
      <x:c r="D1545" s="24" t="str">
        <x:v>Surfaçada</x:v>
      </x:c>
      <x:c r="E1545" s="24" t="str">
        <x:v>SmartLife</x:v>
      </x:c>
      <x:c r="F1545" s="24" t="str">
        <x:v>PhotoFusion X Extra Dark Cinza</x:v>
      </x:c>
      <x:c r="G1545" s="24" t="str">
        <x:v>1.6</x:v>
      </x:c>
      <x:c r="H1545" s="24" t="str">
        <x:v>1.60</x:v>
      </x:c>
      <x:c r="I1545" s="24" t="str">
        <x:v>DuraVision Chrome UV</x:v>
      </x:c>
      <x:c r="J1545" s="40" t="n">
        <x:v>3099</x:v>
      </x:c>
      <x:c r="K1545" s="24" t="str">
        <x:v>-6.00 a +8.00</x:v>
      </x:c>
      <x:c r="L1545" s="24" t="str">
        <x:v>-4.00</x:v>
      </x:c>
      <x:c r="M1545" s="24" t="str">
        <x:v>-</x:v>
      </x:c>
      <x:c r="N1545" s="24" t="str">
        <x:v>75</x:v>
      </x:c>
      <x:c r="O1545" s="24"/>
      <x:c r="P1545" s="24"/>
      <x:c r="Q1545" s="24" t="str">
        <x:v>DISPONÍVEL</x:v>
      </x:c>
      <x:c r="R1545" s="24" t="str">
        <x:v>Programa de Parcerias ZEISS</x:v>
      </x:c>
      <x:c r="S1545" s="24" t="n">
        <x:v>16</x:v>
      </x:c>
      <x:c r="T1545" s="24" t="str">
        <x:v>tabela_zeiss.pdf</x:v>
      </x:c>
      <x:c r="U1545" s="24" t="str">
        <x:v>ZEISS|Visão Simples|Surfaçada|SmartLife|PhotoFusion X Extra Dark Cinza|1.6|1.60|DuraVision Chrome UV|-6.00 a +8.00|-4.00|-|75|||16</x:v>
      </x:c>
    </x:row>
    <x:row r="1546">
      <x:c r="A1546" s="24" t="str">
        <x:v>ZS-6D390796980D</x:v>
      </x:c>
      <x:c r="B1546" s="24" t="str">
        <x:v>ZEISS</x:v>
      </x:c>
      <x:c r="C1546" s="24" t="str">
        <x:v>Visão Simples</x:v>
      </x:c>
      <x:c r="D1546" s="24" t="str">
        <x:v>Surfaçada</x:v>
      </x:c>
      <x:c r="E1546" s="24" t="str">
        <x:v>SmartLife</x:v>
      </x:c>
      <x:c r="F1546" s="24" t="str">
        <x:v>PhotoFusion X Extra Dark Cinza</x:v>
      </x:c>
      <x:c r="G1546" s="24" t="str">
        <x:v>1.67</x:v>
      </x:c>
      <x:c r="H1546" s="24" t="str">
        <x:v>1.67</x:v>
      </x:c>
      <x:c r="I1546" s="24" t="str">
        <x:v>DURAVISION® GOLD</x:v>
      </x:c>
      <x:c r="J1546" s="40" t="n">
        <x:v>5289</x:v>
      </x:c>
      <x:c r="K1546" s="24" t="str">
        <x:v>-8.00 a +8.00</x:v>
      </x:c>
      <x:c r="L1546" s="24" t="str">
        <x:v>-6.00</x:v>
      </x:c>
      <x:c r="M1546" s="24" t="str">
        <x:v>-</x:v>
      </x:c>
      <x:c r="N1546" s="24" t="str">
        <x:v>70</x:v>
      </x:c>
      <x:c r="O1546" s="24"/>
      <x:c r="P1546" s="24"/>
      <x:c r="Q1546" s="24" t="str">
        <x:v>DISPONÍVEL</x:v>
      </x:c>
      <x:c r="R1546" s="24" t="str">
        <x:v>Programa de Parcerias ZEISS</x:v>
      </x:c>
      <x:c r="S1546" s="24" t="n">
        <x:v>16</x:v>
      </x:c>
      <x:c r="T1546" s="24" t="str">
        <x:v>tabela_zeiss.pdf</x:v>
      </x:c>
      <x:c r="U1546" s="24" t="str">
        <x:v>ZEISS|Visão Simples|Surfaçada|SmartLife|PhotoFusion X Extra Dark Cinza|1.67|1.67|DURAVISION® GOLD|-8.00 a +8.00|-6.00|-|70|||16</x:v>
      </x:c>
    </x:row>
    <x:row r="1547">
      <x:c r="A1547" s="24" t="str">
        <x:v>ZS-A52C62F87DDF</x:v>
      </x:c>
      <x:c r="B1547" s="24" t="str">
        <x:v>ZEISS</x:v>
      </x:c>
      <x:c r="C1547" s="24" t="str">
        <x:v>Visão Simples</x:v>
      </x:c>
      <x:c r="D1547" s="24" t="str">
        <x:v>Surfaçada</x:v>
      </x:c>
      <x:c r="E1547" s="24" t="str">
        <x:v>SmartLife</x:v>
      </x:c>
      <x:c r="F1547" s="24" t="str">
        <x:v>PhotoFusion X Extra Dark Cinza</x:v>
      </x:c>
      <x:c r="G1547" s="24" t="str">
        <x:v>1.67</x:v>
      </x:c>
      <x:c r="H1547" s="24" t="str">
        <x:v>1.67</x:v>
      </x:c>
      <x:c r="I1547" s="24" t="str">
        <x:v>DURAVISION® ANTIVÍRUS PLATINUM UV</x:v>
      </x:c>
      <x:c r="J1547" s="40" t="n">
        <x:v>5149</x:v>
      </x:c>
      <x:c r="K1547" s="24" t="str">
        <x:v>-8.00 a +8.00</x:v>
      </x:c>
      <x:c r="L1547" s="24" t="str">
        <x:v>-6.00</x:v>
      </x:c>
      <x:c r="M1547" s="24" t="str">
        <x:v>-</x:v>
      </x:c>
      <x:c r="N1547" s="24" t="str">
        <x:v>70</x:v>
      </x:c>
      <x:c r="O1547" s="24"/>
      <x:c r="P1547" s="24"/>
      <x:c r="Q1547" s="24" t="str">
        <x:v>DISPONÍVEL</x:v>
      </x:c>
      <x:c r="R1547" s="24" t="str">
        <x:v>Programa de Parcerias ZEISS</x:v>
      </x:c>
      <x:c r="S1547" s="24" t="n">
        <x:v>16</x:v>
      </x:c>
      <x:c r="T1547" s="24" t="str">
        <x:v>tabela_zeiss.pdf</x:v>
      </x:c>
      <x:c r="U1547" s="24" t="str">
        <x:v>ZEISS|Visão Simples|Surfaçada|SmartLife|PhotoFusion X Extra Dark Cinza|1.67|1.67|DURAVISION® ANTIVÍRUS PLATINUM UV|-8.00 a +8.00|-6.00|-|70|||16</x:v>
      </x:c>
    </x:row>
    <x:row r="1548">
      <x:c r="A1548" s="24" t="str">
        <x:v>ZS-32615231306E</x:v>
      </x:c>
      <x:c r="B1548" s="24" t="str">
        <x:v>ZEISS</x:v>
      </x:c>
      <x:c r="C1548" s="24" t="str">
        <x:v>Visão Simples</x:v>
      </x:c>
      <x:c r="D1548" s="24" t="str">
        <x:v>Surfaçada</x:v>
      </x:c>
      <x:c r="E1548" s="24" t="str">
        <x:v>SmartLife</x:v>
      </x:c>
      <x:c r="F1548" s="24" t="str">
        <x:v>PhotoFusion X Extra Dark Cinza</x:v>
      </x:c>
      <x:c r="G1548" s="24" t="str">
        <x:v>1.67</x:v>
      </x:c>
      <x:c r="H1548" s="24" t="str">
        <x:v>1.67</x:v>
      </x:c>
      <x:c r="I1548" s="24" t="str">
        <x:v>DuraVision Platinum UV</x:v>
      </x:c>
      <x:c r="J1548" s="40" t="n">
        <x:v>5149</x:v>
      </x:c>
      <x:c r="K1548" s="24" t="str">
        <x:v>-8.00 a +8.00</x:v>
      </x:c>
      <x:c r="L1548" s="24" t="str">
        <x:v>-6.00</x:v>
      </x:c>
      <x:c r="M1548" s="24" t="str">
        <x:v>-</x:v>
      </x:c>
      <x:c r="N1548" s="24" t="str">
        <x:v>70</x:v>
      </x:c>
      <x:c r="O1548" s="24"/>
      <x:c r="P1548" s="24"/>
      <x:c r="Q1548" s="24" t="str">
        <x:v>DISPONÍVEL</x:v>
      </x:c>
      <x:c r="R1548" s="24" t="str">
        <x:v>Programa de Parcerias ZEISS</x:v>
      </x:c>
      <x:c r="S1548" s="24" t="n">
        <x:v>16</x:v>
      </x:c>
      <x:c r="T1548" s="24" t="str">
        <x:v>tabela_zeiss.pdf</x:v>
      </x:c>
      <x:c r="U1548" s="24" t="str">
        <x:v>ZEISS|Visão Simples|Surfaçada|SmartLife|PhotoFusion X Extra Dark Cinza|1.67|1.67|DuraVision Platinum UV|-8.00 a +8.00|-6.00|-|70|||16</x:v>
      </x:c>
    </x:row>
    <x:row r="1549">
      <x:c r="A1549" s="24" t="str">
        <x:v>ZS-F2C3A526ACE3</x:v>
      </x:c>
      <x:c r="B1549" s="24" t="str">
        <x:v>ZEISS</x:v>
      </x:c>
      <x:c r="C1549" s="24" t="str">
        <x:v>Visão Simples</x:v>
      </x:c>
      <x:c r="D1549" s="24" t="str">
        <x:v>Surfaçada</x:v>
      </x:c>
      <x:c r="E1549" s="24" t="str">
        <x:v>SmartLife</x:v>
      </x:c>
      <x:c r="F1549" s="24" t="str">
        <x:v>PhotoFusion X Extra Dark Cinza</x:v>
      </x:c>
      <x:c r="G1549" s="24" t="str">
        <x:v>1.67</x:v>
      </x:c>
      <x:c r="H1549" s="24" t="str">
        <x:v>1.67</x:v>
      </x:c>
      <x:c r="I1549" s="24" t="str">
        <x:v>DuraVision Silver UV</x:v>
      </x:c>
      <x:c r="J1549" s="40" t="n">
        <x:v>4889</x:v>
      </x:c>
      <x:c r="K1549" s="24" t="str">
        <x:v>-8.00 a +8.00</x:v>
      </x:c>
      <x:c r="L1549" s="24" t="str">
        <x:v>-6.00</x:v>
      </x:c>
      <x:c r="M1549" s="24" t="str">
        <x:v>-</x:v>
      </x:c>
      <x:c r="N1549" s="24" t="str">
        <x:v>70</x:v>
      </x:c>
      <x:c r="O1549" s="24"/>
      <x:c r="P1549" s="24"/>
      <x:c r="Q1549" s="24" t="str">
        <x:v>DISPONÍVEL</x:v>
      </x:c>
      <x:c r="R1549" s="24" t="str">
        <x:v>Programa de Parcerias ZEISS</x:v>
      </x:c>
      <x:c r="S1549" s="24" t="n">
        <x:v>16</x:v>
      </x:c>
      <x:c r="T1549" s="24" t="str">
        <x:v>tabela_zeiss.pdf</x:v>
      </x:c>
      <x:c r="U1549" s="24" t="str">
        <x:v>ZEISS|Visão Simples|Surfaçada|SmartLife|PhotoFusion X Extra Dark Cinza|1.67|1.67|DuraVision Silver UV|-8.00 a +8.00|-6.00|-|70|||16</x:v>
      </x:c>
    </x:row>
    <x:row r="1550">
      <x:c r="A1550" s="24" t="str">
        <x:v>ZS-4635A1001AAA</x:v>
      </x:c>
      <x:c r="B1550" s="24" t="str">
        <x:v>ZEISS</x:v>
      </x:c>
      <x:c r="C1550" s="24" t="str">
        <x:v>Visão Simples</x:v>
      </x:c>
      <x:c r="D1550" s="24" t="str">
        <x:v>Surfaçada</x:v>
      </x:c>
      <x:c r="E1550" s="24" t="str">
        <x:v>SmartLife</x:v>
      </x:c>
      <x:c r="F1550" s="24" t="str">
        <x:v>PhotoFusion X Extra Dark Cinza</x:v>
      </x:c>
      <x:c r="G1550" s="24" t="str">
        <x:v>1.67</x:v>
      </x:c>
      <x:c r="H1550" s="24" t="str">
        <x:v>1.67</x:v>
      </x:c>
      <x:c r="I1550" s="24" t="str">
        <x:v>DuraVision Chrome UV</x:v>
      </x:c>
      <x:c r="J1550" s="40" t="n">
        <x:v>4399</x:v>
      </x:c>
      <x:c r="K1550" s="24" t="str">
        <x:v>-8.00 a +8.00</x:v>
      </x:c>
      <x:c r="L1550" s="24" t="str">
        <x:v>-6.00</x:v>
      </x:c>
      <x:c r="M1550" s="24" t="str">
        <x:v>-</x:v>
      </x:c>
      <x:c r="N1550" s="24" t="str">
        <x:v>70</x:v>
      </x:c>
      <x:c r="O1550" s="24"/>
      <x:c r="P1550" s="24"/>
      <x:c r="Q1550" s="24" t="str">
        <x:v>DISPONÍVEL</x:v>
      </x:c>
      <x:c r="R1550" s="24" t="str">
        <x:v>Programa de Parcerias ZEISS</x:v>
      </x:c>
      <x:c r="S1550" s="24" t="n">
        <x:v>16</x:v>
      </x:c>
      <x:c r="T1550" s="24" t="str">
        <x:v>tabela_zeiss.pdf</x:v>
      </x:c>
      <x:c r="U1550" s="24" t="str">
        <x:v>ZEISS|Visão Simples|Surfaçada|SmartLife|PhotoFusion X Extra Dark Cinza|1.67|1.67|DuraVision Chrome UV|-8.00 a +8.00|-6.00|-|70|||16</x:v>
      </x:c>
    </x:row>
    <x:row r="1551">
      <x:c r="A1551" s="24" t="str">
        <x:v>ZS-A11AC4DC5737</x:v>
      </x:c>
      <x:c r="B1551" s="24" t="str">
        <x:v>ZEISS</x:v>
      </x:c>
      <x:c r="C1551" s="24" t="str">
        <x:v>Visão Simples</x:v>
      </x:c>
      <x:c r="D1551" s="24" t="str">
        <x:v>Surfaçada</x:v>
      </x:c>
      <x:c r="E1551" s="24" t="str">
        <x:v>SmartLife</x:v>
      </x:c>
      <x:c r="F1551" s="24" t="str">
        <x:v>Polarizada</x:v>
      </x:c>
      <x:c r="G1551" s="24" t="str">
        <x:v>1.5</x:v>
      </x:c>
      <x:c r="H1551" s="24" t="str">
        <x:v>1.50</x:v>
      </x:c>
      <x:c r="I1551" s="24" t="str">
        <x:v>DURAVISION® GOLD</x:v>
      </x:c>
      <x:c r="J1551" s="40" t="n">
        <x:v>3109</x:v>
      </x:c>
      <x:c r="K1551" s="24" t="str">
        <x:v>-6.00 a +6.00</x:v>
      </x:c>
      <x:c r="L1551" s="24" t="str">
        <x:v>-4.00</x:v>
      </x:c>
      <x:c r="M1551" s="24" t="str">
        <x:v>-</x:v>
      </x:c>
      <x:c r="N1551" s="24" t="str">
        <x:v>75</x:v>
      </x:c>
      <x:c r="O1551" s="24"/>
      <x:c r="P1551" s="24"/>
      <x:c r="Q1551" s="24" t="str">
        <x:v>DISPONÍVEL</x:v>
      </x:c>
      <x:c r="R1551" s="24"/>
      <x:c r="S1551" s="24" t="n">
        <x:v>16</x:v>
      </x:c>
      <x:c r="T1551" s="24" t="str">
        <x:v>tabela_zeiss.pdf</x:v>
      </x:c>
      <x:c r="U1551" s="24" t="str">
        <x:v>ZEISS|Visão Simples|Surfaçada|SmartLife|Polarizada|1.5|1.50|DURAVISION® GOLD|-6.00 a +6.00|-4.00|-|75|||16</x:v>
      </x:c>
    </x:row>
    <x:row r="1552">
      <x:c r="A1552" s="24" t="str">
        <x:v>ZS-11EEF5565B1F</x:v>
      </x:c>
      <x:c r="B1552" s="24" t="str">
        <x:v>ZEISS</x:v>
      </x:c>
      <x:c r="C1552" s="24" t="str">
        <x:v>Visão Simples</x:v>
      </x:c>
      <x:c r="D1552" s="24" t="str">
        <x:v>Surfaçada</x:v>
      </x:c>
      <x:c r="E1552" s="24" t="str">
        <x:v>SmartLife</x:v>
      </x:c>
      <x:c r="F1552" s="24" t="str">
        <x:v>Polarizada</x:v>
      </x:c>
      <x:c r="G1552" s="24" t="str">
        <x:v>1.5</x:v>
      </x:c>
      <x:c r="H1552" s="24" t="str">
        <x:v>1.50</x:v>
      </x:c>
      <x:c r="I1552" s="24" t="str">
        <x:v>DuraVision Platinum UV</x:v>
      </x:c>
      <x:c r="J1552" s="40" t="n">
        <x:v>2969</x:v>
      </x:c>
      <x:c r="K1552" s="24" t="str">
        <x:v>-6.00 a +6.00</x:v>
      </x:c>
      <x:c r="L1552" s="24" t="str">
        <x:v>-4.00</x:v>
      </x:c>
      <x:c r="M1552" s="24" t="str">
        <x:v>-</x:v>
      </x:c>
      <x:c r="N1552" s="24" t="str">
        <x:v>75</x:v>
      </x:c>
      <x:c r="O1552" s="24"/>
      <x:c r="P1552" s="24"/>
      <x:c r="Q1552" s="24" t="str">
        <x:v>DISPONÍVEL</x:v>
      </x:c>
      <x:c r="R1552" s="24"/>
      <x:c r="S1552" s="24" t="n">
        <x:v>16</x:v>
      </x:c>
      <x:c r="T1552" s="24" t="str">
        <x:v>tabela_zeiss.pdf</x:v>
      </x:c>
      <x:c r="U1552" s="24" t="str">
        <x:v>ZEISS|Visão Simples|Surfaçada|SmartLife|Polarizada|1.5|1.50|DuraVision Platinum UV|-6.00 a +6.00|-4.00|-|75|||16</x:v>
      </x:c>
    </x:row>
    <x:row r="1553">
      <x:c r="A1553" s="24" t="str">
        <x:v>ZS-08C2CFB2CCEB</x:v>
      </x:c>
      <x:c r="B1553" s="24" t="str">
        <x:v>ZEISS</x:v>
      </x:c>
      <x:c r="C1553" s="24" t="str">
        <x:v>Visão Simples</x:v>
      </x:c>
      <x:c r="D1553" s="24" t="str">
        <x:v>Surfaçada</x:v>
      </x:c>
      <x:c r="E1553" s="24" t="str">
        <x:v>SmartLife</x:v>
      </x:c>
      <x:c r="F1553" s="24" t="str">
        <x:v>Polarizada</x:v>
      </x:c>
      <x:c r="G1553" s="24" t="str">
        <x:v>1.5</x:v>
      </x:c>
      <x:c r="H1553" s="24" t="str">
        <x:v>1.50</x:v>
      </x:c>
      <x:c r="I1553" s="24" t="str">
        <x:v>DuraVision Silver UV</x:v>
      </x:c>
      <x:c r="J1553" s="40" t="n">
        <x:v>2709</x:v>
      </x:c>
      <x:c r="K1553" s="24" t="str">
        <x:v>-6.00 a +6.00</x:v>
      </x:c>
      <x:c r="L1553" s="24" t="str">
        <x:v>-4.00</x:v>
      </x:c>
      <x:c r="M1553" s="24" t="str">
        <x:v>-</x:v>
      </x:c>
      <x:c r="N1553" s="24" t="str">
        <x:v>75</x:v>
      </x:c>
      <x:c r="O1553" s="24"/>
      <x:c r="P1553" s="24"/>
      <x:c r="Q1553" s="24" t="str">
        <x:v>DISPONÍVEL</x:v>
      </x:c>
      <x:c r="R1553" s="24"/>
      <x:c r="S1553" s="24" t="n">
        <x:v>16</x:v>
      </x:c>
      <x:c r="T1553" s="24" t="str">
        <x:v>tabela_zeiss.pdf</x:v>
      </x:c>
      <x:c r="U1553" s="24" t="str">
        <x:v>ZEISS|Visão Simples|Surfaçada|SmartLife|Polarizada|1.5|1.50|DuraVision Silver UV|-6.00 a +6.00|-4.00|-|75|||16</x:v>
      </x:c>
    </x:row>
    <x:row r="1554">
      <x:c r="A1554" s="24" t="str">
        <x:v>ZS-3EC212CE022F</x:v>
      </x:c>
      <x:c r="B1554" s="24" t="str">
        <x:v>ZEISS</x:v>
      </x:c>
      <x:c r="C1554" s="24" t="str">
        <x:v>Visão Simples</x:v>
      </x:c>
      <x:c r="D1554" s="24" t="str">
        <x:v>Surfaçada</x:v>
      </x:c>
      <x:c r="E1554" s="24" t="str">
        <x:v>SmartLife</x:v>
      </x:c>
      <x:c r="F1554" s="24" t="str">
        <x:v>Polarizada</x:v>
      </x:c>
      <x:c r="G1554" s="24" t="str">
        <x:v>1.5</x:v>
      </x:c>
      <x:c r="H1554" s="24" t="str">
        <x:v>1.50</x:v>
      </x:c>
      <x:c r="I1554" s="24" t="str">
        <x:v>DuraVision Chrome UV</x:v>
      </x:c>
      <x:c r="J1554" s="40" t="n">
        <x:v>2219</x:v>
      </x:c>
      <x:c r="K1554" s="24" t="str">
        <x:v>-6.00 a +6.00</x:v>
      </x:c>
      <x:c r="L1554" s="24" t="str">
        <x:v>-4.00</x:v>
      </x:c>
      <x:c r="M1554" s="24" t="str">
        <x:v>-</x:v>
      </x:c>
      <x:c r="N1554" s="24" t="str">
        <x:v>75</x:v>
      </x:c>
      <x:c r="O1554" s="24"/>
      <x:c r="P1554" s="24"/>
      <x:c r="Q1554" s="24" t="str">
        <x:v>DISPONÍVEL</x:v>
      </x:c>
      <x:c r="R1554" s="24"/>
      <x:c r="S1554" s="24" t="n">
        <x:v>16</x:v>
      </x:c>
      <x:c r="T1554" s="24" t="str">
        <x:v>tabela_zeiss.pdf</x:v>
      </x:c>
      <x:c r="U1554" s="24" t="str">
        <x:v>ZEISS|Visão Simples|Surfaçada|SmartLife|Polarizada|1.5|1.50|DuraVision Chrome UV|-6.00 a +6.00|-4.00|-|75|||16</x:v>
      </x:c>
    </x:row>
    <x:row r="1555">
      <x:c r="A1555" s="24" t="str">
        <x:v>ZS-7A780CBF7F43</x:v>
      </x:c>
      <x:c r="B1555" s="24" t="str">
        <x:v>ZEISS</x:v>
      </x:c>
      <x:c r="C1555" s="24" t="str">
        <x:v>Visão Simples</x:v>
      </x:c>
      <x:c r="D1555" s="24" t="str">
        <x:v>Surfaçada</x:v>
      </x:c>
      <x:c r="E1555" s="24" t="str">
        <x:v>SmartLife</x:v>
      </x:c>
      <x:c r="F1555" s="24" t="str">
        <x:v>Polarizada</x:v>
      </x:c>
      <x:c r="G1555" s="24" t="str">
        <x:v>1.5</x:v>
      </x:c>
      <x:c r="H1555" s="24" t="str">
        <x:v>1.50</x:v>
      </x:c>
      <x:c r="I1555" s="24" t="str">
        <x:v>Sem AR</x:v>
      </x:c>
      <x:c r="J1555" s="40" t="n">
        <x:v>1819</x:v>
      </x:c>
      <x:c r="K1555" s="24" t="str">
        <x:v>-6.00 a +6.00</x:v>
      </x:c>
      <x:c r="L1555" s="24" t="str">
        <x:v>-4.00</x:v>
      </x:c>
      <x:c r="M1555" s="24" t="str">
        <x:v>-</x:v>
      </x:c>
      <x:c r="N1555" s="24" t="str">
        <x:v>75</x:v>
      </x:c>
      <x:c r="O1555" s="24"/>
      <x:c r="P1555" s="24"/>
      <x:c r="Q1555" s="24" t="str">
        <x:v>DISPONÍVEL</x:v>
      </x:c>
      <x:c r="R1555" s="24"/>
      <x:c r="S1555" s="24" t="n">
        <x:v>16</x:v>
      </x:c>
      <x:c r="T1555" s="24" t="str">
        <x:v>tabela_zeiss.pdf</x:v>
      </x:c>
      <x:c r="U1555" s="24" t="str">
        <x:v>ZEISS|Visão Simples|Surfaçada|SmartLife|Polarizada|1.5|1.50|Sem AR|-6.00 a +6.00|-4.00|-|75|||16</x:v>
      </x:c>
    </x:row>
    <x:row r="1556">
      <x:c r="A1556" s="24" t="str">
        <x:v>ZS-441AB8FBE005</x:v>
      </x:c>
      <x:c r="B1556" s="24" t="str">
        <x:v>ZEISS</x:v>
      </x:c>
      <x:c r="C1556" s="24" t="str">
        <x:v>Visão Simples</x:v>
      </x:c>
      <x:c r="D1556" s="24" t="str">
        <x:v>Surfaçada</x:v>
      </x:c>
      <x:c r="E1556" s="24" t="str">
        <x:v>SmartLife</x:v>
      </x:c>
      <x:c r="F1556" s="24" t="str">
        <x:v>Polarizada</x:v>
      </x:c>
      <x:c r="G1556" s="24" t="str">
        <x:v>1.6</x:v>
      </x:c>
      <x:c r="H1556" s="24" t="str">
        <x:v>1.60</x:v>
      </x:c>
      <x:c r="I1556" s="24" t="str">
        <x:v>DURAVISION® GOLD</x:v>
      </x:c>
      <x:c r="J1556" s="40" t="n">
        <x:v>3689</x:v>
      </x:c>
      <x:c r="K1556" s="24" t="str">
        <x:v>-8.00 a +8.00</x:v>
      </x:c>
      <x:c r="L1556" s="24" t="str">
        <x:v>-4.00</x:v>
      </x:c>
      <x:c r="M1556" s="24" t="str">
        <x:v>-</x:v>
      </x:c>
      <x:c r="N1556" s="24" t="str">
        <x:v>70</x:v>
      </x:c>
      <x:c r="O1556" s="24"/>
      <x:c r="P1556" s="24"/>
      <x:c r="Q1556" s="24" t="str">
        <x:v>DISPONÍVEL</x:v>
      </x:c>
      <x:c r="R1556" s="24"/>
      <x:c r="S1556" s="24" t="n">
        <x:v>16</x:v>
      </x:c>
      <x:c r="T1556" s="24" t="str">
        <x:v>tabela_zeiss.pdf</x:v>
      </x:c>
      <x:c r="U1556" s="24" t="str">
        <x:v>ZEISS|Visão Simples|Surfaçada|SmartLife|Polarizada|1.6|1.60|DURAVISION® GOLD|-8.00 a +8.00|-4.00|-|70|||16</x:v>
      </x:c>
    </x:row>
    <x:row r="1557">
      <x:c r="A1557" s="24" t="str">
        <x:v>ZS-C306EB14B8E2</x:v>
      </x:c>
      <x:c r="B1557" s="24" t="str">
        <x:v>ZEISS</x:v>
      </x:c>
      <x:c r="C1557" s="24" t="str">
        <x:v>Visão Simples</x:v>
      </x:c>
      <x:c r="D1557" s="24" t="str">
        <x:v>Surfaçada</x:v>
      </x:c>
      <x:c r="E1557" s="24" t="str">
        <x:v>SmartLife</x:v>
      </x:c>
      <x:c r="F1557" s="24" t="str">
        <x:v>Polarizada</x:v>
      </x:c>
      <x:c r="G1557" s="24" t="str">
        <x:v>1.6</x:v>
      </x:c>
      <x:c r="H1557" s="24" t="str">
        <x:v>1.60</x:v>
      </x:c>
      <x:c r="I1557" s="24" t="str">
        <x:v>DuraVision Platinum UV</x:v>
      </x:c>
      <x:c r="J1557" s="40" t="n">
        <x:v>3549</x:v>
      </x:c>
      <x:c r="K1557" s="24" t="str">
        <x:v>-8.00 a +8.00</x:v>
      </x:c>
      <x:c r="L1557" s="24" t="str">
        <x:v>-4.00</x:v>
      </x:c>
      <x:c r="M1557" s="24" t="str">
        <x:v>-</x:v>
      </x:c>
      <x:c r="N1557" s="24" t="str">
        <x:v>70</x:v>
      </x:c>
      <x:c r="O1557" s="24"/>
      <x:c r="P1557" s="24"/>
      <x:c r="Q1557" s="24" t="str">
        <x:v>DISPONÍVEL</x:v>
      </x:c>
      <x:c r="R1557" s="24"/>
      <x:c r="S1557" s="24" t="n">
        <x:v>16</x:v>
      </x:c>
      <x:c r="T1557" s="24" t="str">
        <x:v>tabela_zeiss.pdf</x:v>
      </x:c>
      <x:c r="U1557" s="24" t="str">
        <x:v>ZEISS|Visão Simples|Surfaçada|SmartLife|Polarizada|1.6|1.60|DuraVision Platinum UV|-8.00 a +8.00|-4.00|-|70|||16</x:v>
      </x:c>
    </x:row>
    <x:row r="1558">
      <x:c r="A1558" s="24" t="str">
        <x:v>ZS-38E5117548D7</x:v>
      </x:c>
      <x:c r="B1558" s="24" t="str">
        <x:v>ZEISS</x:v>
      </x:c>
      <x:c r="C1558" s="24" t="str">
        <x:v>Visão Simples</x:v>
      </x:c>
      <x:c r="D1558" s="24" t="str">
        <x:v>Surfaçada</x:v>
      </x:c>
      <x:c r="E1558" s="24" t="str">
        <x:v>SmartLife</x:v>
      </x:c>
      <x:c r="F1558" s="24" t="str">
        <x:v>Polarizada</x:v>
      </x:c>
      <x:c r="G1558" s="24" t="str">
        <x:v>1.6</x:v>
      </x:c>
      <x:c r="H1558" s="24" t="str">
        <x:v>1.60</x:v>
      </x:c>
      <x:c r="I1558" s="24" t="str">
        <x:v>DuraVision Silver UV</x:v>
      </x:c>
      <x:c r="J1558" s="40" t="n">
        <x:v>3289</x:v>
      </x:c>
      <x:c r="K1558" s="24" t="str">
        <x:v>-8.00 a +8.00</x:v>
      </x:c>
      <x:c r="L1558" s="24" t="str">
        <x:v>-4.00</x:v>
      </x:c>
      <x:c r="M1558" s="24" t="str">
        <x:v>-</x:v>
      </x:c>
      <x:c r="N1558" s="24" t="str">
        <x:v>70</x:v>
      </x:c>
      <x:c r="O1558" s="24"/>
      <x:c r="P1558" s="24"/>
      <x:c r="Q1558" s="24" t="str">
        <x:v>DISPONÍVEL</x:v>
      </x:c>
      <x:c r="R1558" s="24"/>
      <x:c r="S1558" s="24" t="n">
        <x:v>16</x:v>
      </x:c>
      <x:c r="T1558" s="24" t="str">
        <x:v>tabela_zeiss.pdf</x:v>
      </x:c>
      <x:c r="U1558" s="24" t="str">
        <x:v>ZEISS|Visão Simples|Surfaçada|SmartLife|Polarizada|1.6|1.60|DuraVision Silver UV|-8.00 a +8.00|-4.00|-|70|||16</x:v>
      </x:c>
    </x:row>
    <x:row r="1559">
      <x:c r="A1559" s="24" t="str">
        <x:v>ZS-C007E82D729A</x:v>
      </x:c>
      <x:c r="B1559" s="24" t="str">
        <x:v>ZEISS</x:v>
      </x:c>
      <x:c r="C1559" s="24" t="str">
        <x:v>Visão Simples</x:v>
      </x:c>
      <x:c r="D1559" s="24" t="str">
        <x:v>Surfaçada</x:v>
      </x:c>
      <x:c r="E1559" s="24" t="str">
        <x:v>SmartLife</x:v>
      </x:c>
      <x:c r="F1559" s="24" t="str">
        <x:v>Polarizada</x:v>
      </x:c>
      <x:c r="G1559" s="24" t="str">
        <x:v>1.6</x:v>
      </x:c>
      <x:c r="H1559" s="24" t="str">
        <x:v>1.60</x:v>
      </x:c>
      <x:c r="I1559" s="24" t="str">
        <x:v>DuraVision Chrome UV</x:v>
      </x:c>
      <x:c r="J1559" s="40" t="n">
        <x:v>2799</x:v>
      </x:c>
      <x:c r="K1559" s="24" t="str">
        <x:v>-8.00 a +8.00</x:v>
      </x:c>
      <x:c r="L1559" s="24" t="str">
        <x:v>-4.00</x:v>
      </x:c>
      <x:c r="M1559" s="24" t="str">
        <x:v>-</x:v>
      </x:c>
      <x:c r="N1559" s="24" t="str">
        <x:v>70</x:v>
      </x:c>
      <x:c r="O1559" s="24"/>
      <x:c r="P1559" s="24"/>
      <x:c r="Q1559" s="24" t="str">
        <x:v>DISPONÍVEL</x:v>
      </x:c>
      <x:c r="R1559" s="24"/>
      <x:c r="S1559" s="24" t="n">
        <x:v>16</x:v>
      </x:c>
      <x:c r="T1559" s="24" t="str">
        <x:v>tabela_zeiss.pdf</x:v>
      </x:c>
      <x:c r="U1559" s="24" t="str">
        <x:v>ZEISS|Visão Simples|Surfaçada|SmartLife|Polarizada|1.6|1.60|DuraVision Chrome UV|-8.00 a +8.00|-4.00|-|70|||16</x:v>
      </x:c>
    </x:row>
    <x:row r="1560">
      <x:c r="A1560" s="24" t="str">
        <x:v>ZS-30F3745E5D16</x:v>
      </x:c>
      <x:c r="B1560" s="24" t="str">
        <x:v>ZEISS</x:v>
      </x:c>
      <x:c r="C1560" s="24" t="str">
        <x:v>Visão Simples</x:v>
      </x:c>
      <x:c r="D1560" s="24" t="str">
        <x:v>Surfaçada</x:v>
      </x:c>
      <x:c r="E1560" s="24" t="str">
        <x:v>SmartLife</x:v>
      </x:c>
      <x:c r="F1560" s="24" t="str">
        <x:v>Polarizada</x:v>
      </x:c>
      <x:c r="G1560" s="24" t="str">
        <x:v>1.6</x:v>
      </x:c>
      <x:c r="H1560" s="24" t="str">
        <x:v>1.60</x:v>
      </x:c>
      <x:c r="I1560" s="24" t="str">
        <x:v>Sem AR</x:v>
      </x:c>
      <x:c r="J1560" s="40" t="n">
        <x:v>2399</x:v>
      </x:c>
      <x:c r="K1560" s="24" t="str">
        <x:v>-8.00 a +8.00</x:v>
      </x:c>
      <x:c r="L1560" s="24" t="str">
        <x:v>-4.00</x:v>
      </x:c>
      <x:c r="M1560" s="24" t="str">
        <x:v>-</x:v>
      </x:c>
      <x:c r="N1560" s="24" t="str">
        <x:v>70</x:v>
      </x:c>
      <x:c r="O1560" s="24"/>
      <x:c r="P1560" s="24"/>
      <x:c r="Q1560" s="24" t="str">
        <x:v>DISPONÍVEL</x:v>
      </x:c>
      <x:c r="R1560" s="24"/>
      <x:c r="S1560" s="24" t="n">
        <x:v>16</x:v>
      </x:c>
      <x:c r="T1560" s="24" t="str">
        <x:v>tabela_zeiss.pdf</x:v>
      </x:c>
      <x:c r="U1560" s="24" t="str">
        <x:v>ZEISS|Visão Simples|Surfaçada|SmartLife|Polarizada|1.6|1.60|Sem AR|-8.00 a +8.00|-4.00|-|70|||16</x:v>
      </x:c>
    </x:row>
    <x:row r="1561">
      <x:c r="A1561" s="24" t="str">
        <x:v>ZS-6B13F7575924</x:v>
      </x:c>
      <x:c r="B1561" s="24" t="str">
        <x:v>ZEISS</x:v>
      </x:c>
      <x:c r="C1561" s="24" t="str">
        <x:v>Visão Simples</x:v>
      </x:c>
      <x:c r="D1561" s="24" t="str">
        <x:v>Surfaçada</x:v>
      </x:c>
      <x:c r="E1561" s="24" t="str">
        <x:v>Light 2</x:v>
      </x:c>
      <x:c r="F1561" s="24"/>
      <x:c r="G1561" s="24" t="str">
        <x:v>1.5</x:v>
      </x:c>
      <x:c r="H1561" s="24" t="str">
        <x:v>1.50</x:v>
      </x:c>
      <x:c r="I1561" s="24" t="str">
        <x:v>DuraVision Gold UV</x:v>
      </x:c>
      <x:c r="J1561" s="40" t="n">
        <x:v>1780</x:v>
      </x:c>
      <x:c r="K1561" s="24" t="str">
        <x:v>-6.00 a +6.00</x:v>
      </x:c>
      <x:c r="L1561" s="24" t="str">
        <x:v>-4.00</x:v>
      </x:c>
      <x:c r="M1561" s="24" t="str">
        <x:v>-</x:v>
      </x:c>
      <x:c r="N1561" s="24" t="str">
        <x:v>75</x:v>
      </x:c>
      <x:c r="O1561" s="24"/>
      <x:c r="P1561" s="24"/>
      <x:c r="Q1561" s="24" t="str">
        <x:v>DISPONÍVEL</x:v>
      </x:c>
      <x:c r="R1561" s="24"/>
      <x:c r="S1561" s="24" t="n">
        <x:v>17</x:v>
      </x:c>
      <x:c r="T1561" s="24" t="str">
        <x:v>tabela_zeiss.pdf</x:v>
      </x:c>
      <x:c r="U1561" s="24" t="str">
        <x:v>ZEISS|Visão Simples|Surfaçada|Light 2||1.5|1.50|DuraVision Gold UV|-6.00 a +6.00|-4.00|-|75|||17</x:v>
      </x:c>
    </x:row>
    <x:row r="1562">
      <x:c r="A1562" s="24" t="str">
        <x:v>ZS-02D7517A754E</x:v>
      </x:c>
      <x:c r="B1562" s="24" t="str">
        <x:v>ZEISS</x:v>
      </x:c>
      <x:c r="C1562" s="24" t="str">
        <x:v>Visão Simples</x:v>
      </x:c>
      <x:c r="D1562" s="24" t="str">
        <x:v>Surfaçada</x:v>
      </x:c>
      <x:c r="E1562" s="24" t="str">
        <x:v>Light 2</x:v>
      </x:c>
      <x:c r="F1562" s="24"/>
      <x:c r="G1562" s="24" t="str">
        <x:v>1.5</x:v>
      </x:c>
      <x:c r="H1562" s="24" t="str">
        <x:v>1.50</x:v>
      </x:c>
      <x:c r="I1562" s="24" t="str">
        <x:v>DURAVISION® ANTIVÍRUS PLATINUM UV</x:v>
      </x:c>
      <x:c r="J1562" s="40" t="n">
        <x:v>1640</x:v>
      </x:c>
      <x:c r="K1562" s="24" t="str">
        <x:v>-6.00 a +6.00</x:v>
      </x:c>
      <x:c r="L1562" s="24" t="str">
        <x:v>-4.00</x:v>
      </x:c>
      <x:c r="M1562" s="24" t="str">
        <x:v>-</x:v>
      </x:c>
      <x:c r="N1562" s="24" t="str">
        <x:v>75</x:v>
      </x:c>
      <x:c r="O1562" s="24"/>
      <x:c r="P1562" s="24"/>
      <x:c r="Q1562" s="24" t="str">
        <x:v>DISPONÍVEL</x:v>
      </x:c>
      <x:c r="R1562" s="24"/>
      <x:c r="S1562" s="24" t="n">
        <x:v>17</x:v>
      </x:c>
      <x:c r="T1562" s="24" t="str">
        <x:v>tabela_zeiss.pdf</x:v>
      </x:c>
      <x:c r="U1562" s="24" t="str">
        <x:v>ZEISS|Visão Simples|Surfaçada|Light 2||1.5|1.50|DURAVISION® ANTIVÍRUS PLATINUM UV|-6.00 a +6.00|-4.00|-|75|||17</x:v>
      </x:c>
    </x:row>
    <x:row r="1563">
      <x:c r="A1563" s="24" t="str">
        <x:v>ZS-C8634B685E92</x:v>
      </x:c>
      <x:c r="B1563" s="24" t="str">
        <x:v>ZEISS</x:v>
      </x:c>
      <x:c r="C1563" s="24" t="str">
        <x:v>Visão Simples</x:v>
      </x:c>
      <x:c r="D1563" s="24" t="str">
        <x:v>Surfaçada</x:v>
      </x:c>
      <x:c r="E1563" s="24" t="str">
        <x:v>Light 2</x:v>
      </x:c>
      <x:c r="F1563" s="24"/>
      <x:c r="G1563" s="24" t="str">
        <x:v>1.5</x:v>
      </x:c>
      <x:c r="H1563" s="24" t="str">
        <x:v>1.50</x:v>
      </x:c>
      <x:c r="I1563" s="24" t="str">
        <x:v>DuraVision Platinum UV</x:v>
      </x:c>
      <x:c r="J1563" s="40" t="n">
        <x:v>1640</x:v>
      </x:c>
      <x:c r="K1563" s="24" t="str">
        <x:v>-6.00 a +6.00</x:v>
      </x:c>
      <x:c r="L1563" s="24" t="str">
        <x:v>-4.00</x:v>
      </x:c>
      <x:c r="M1563" s="24" t="str">
        <x:v>-</x:v>
      </x:c>
      <x:c r="N1563" s="24" t="str">
        <x:v>75</x:v>
      </x:c>
      <x:c r="O1563" s="24"/>
      <x:c r="P1563" s="24"/>
      <x:c r="Q1563" s="24" t="str">
        <x:v>DISPONÍVEL</x:v>
      </x:c>
      <x:c r="R1563" s="24"/>
      <x:c r="S1563" s="24" t="n">
        <x:v>17</x:v>
      </x:c>
      <x:c r="T1563" s="24" t="str">
        <x:v>tabela_zeiss.pdf</x:v>
      </x:c>
      <x:c r="U1563" s="24" t="str">
        <x:v>ZEISS|Visão Simples|Surfaçada|Light 2||1.5|1.50|DuraVision Platinum UV|-6.00 a +6.00|-4.00|-|75|||17</x:v>
      </x:c>
    </x:row>
    <x:row r="1564">
      <x:c r="A1564" s="24" t="str">
        <x:v>ZS-120625C952DE</x:v>
      </x:c>
      <x:c r="B1564" s="24" t="str">
        <x:v>ZEISS</x:v>
      </x:c>
      <x:c r="C1564" s="24" t="str">
        <x:v>Visão Simples</x:v>
      </x:c>
      <x:c r="D1564" s="24" t="str">
        <x:v>Surfaçada</x:v>
      </x:c>
      <x:c r="E1564" s="24" t="str">
        <x:v>Light 2</x:v>
      </x:c>
      <x:c r="F1564" s="24"/>
      <x:c r="G1564" s="24" t="str">
        <x:v>1.5</x:v>
      </x:c>
      <x:c r="H1564" s="24" t="str">
        <x:v>1.50</x:v>
      </x:c>
      <x:c r="I1564" s="24" t="str">
        <x:v>DuraVision Silver UV</x:v>
      </x:c>
      <x:c r="J1564" s="40" t="n">
        <x:v>1380</x:v>
      </x:c>
      <x:c r="K1564" s="24" t="str">
        <x:v>-6.00 a +6.00</x:v>
      </x:c>
      <x:c r="L1564" s="24" t="str">
        <x:v>-4.00</x:v>
      </x:c>
      <x:c r="M1564" s="24" t="str">
        <x:v>-</x:v>
      </x:c>
      <x:c r="N1564" s="24" t="str">
        <x:v>75</x:v>
      </x:c>
      <x:c r="O1564" s="24"/>
      <x:c r="P1564" s="24"/>
      <x:c r="Q1564" s="24" t="str">
        <x:v>DISPONÍVEL</x:v>
      </x:c>
      <x:c r="R1564" s="24"/>
      <x:c r="S1564" s="24" t="n">
        <x:v>17</x:v>
      </x:c>
      <x:c r="T1564" s="24" t="str">
        <x:v>tabela_zeiss.pdf</x:v>
      </x:c>
      <x:c r="U1564" s="24" t="str">
        <x:v>ZEISS|Visão Simples|Surfaçada|Light 2||1.5|1.50|DuraVision Silver UV|-6.00 a +6.00|-4.00|-|75|||17</x:v>
      </x:c>
    </x:row>
    <x:row r="1565">
      <x:c r="A1565" s="24" t="str">
        <x:v>ZS-FB10A72B3EFD</x:v>
      </x:c>
      <x:c r="B1565" s="24" t="str">
        <x:v>ZEISS</x:v>
      </x:c>
      <x:c r="C1565" s="24" t="str">
        <x:v>Visão Simples</x:v>
      </x:c>
      <x:c r="D1565" s="24" t="str">
        <x:v>Surfaçada</x:v>
      </x:c>
      <x:c r="E1565" s="24" t="str">
        <x:v>Light 2</x:v>
      </x:c>
      <x:c r="F1565" s="24"/>
      <x:c r="G1565" s="24" t="str">
        <x:v>1.5</x:v>
      </x:c>
      <x:c r="H1565" s="24" t="str">
        <x:v>1.50</x:v>
      </x:c>
      <x:c r="I1565" s="24" t="str">
        <x:v>DuraVision Chrome UV</x:v>
      </x:c>
      <x:c r="J1565" s="40" t="n">
        <x:v>890</x:v>
      </x:c>
      <x:c r="K1565" s="24" t="str">
        <x:v>-6.00 a +6.00</x:v>
      </x:c>
      <x:c r="L1565" s="24" t="str">
        <x:v>-4.00</x:v>
      </x:c>
      <x:c r="M1565" s="24" t="str">
        <x:v>-</x:v>
      </x:c>
      <x:c r="N1565" s="24" t="str">
        <x:v>75</x:v>
      </x:c>
      <x:c r="O1565" s="24"/>
      <x:c r="P1565" s="24"/>
      <x:c r="Q1565" s="24" t="str">
        <x:v>DISPONÍVEL</x:v>
      </x:c>
      <x:c r="R1565" s="24"/>
      <x:c r="S1565" s="24" t="n">
        <x:v>17</x:v>
      </x:c>
      <x:c r="T1565" s="24" t="str">
        <x:v>tabela_zeiss.pdf</x:v>
      </x:c>
      <x:c r="U1565" s="24" t="str">
        <x:v>ZEISS|Visão Simples|Surfaçada|Light 2||1.5|1.50|DuraVision Chrome UV|-6.00 a +6.00|-4.00|-|75|||17</x:v>
      </x:c>
    </x:row>
    <x:row r="1566">
      <x:c r="A1566" s="24" t="str">
        <x:v>ZS-BDBDF99C0EEC</x:v>
      </x:c>
      <x:c r="B1566" s="24" t="str">
        <x:v>ZEISS</x:v>
      </x:c>
      <x:c r="C1566" s="24" t="str">
        <x:v>Visão Simples</x:v>
      </x:c>
      <x:c r="D1566" s="24" t="str">
        <x:v>Surfaçada</x:v>
      </x:c>
      <x:c r="E1566" s="24" t="str">
        <x:v>Light 2</x:v>
      </x:c>
      <x:c r="F1566" s="24"/>
      <x:c r="G1566" s="24" t="str">
        <x:v>Poli</x:v>
      </x:c>
      <x:c r="H1566" s="24"/>
      <x:c r="I1566" s="24" t="str">
        <x:v>DuraVision Gold UV</x:v>
      </x:c>
      <x:c r="J1566" s="40" t="n">
        <x:v>2140</x:v>
      </x:c>
      <x:c r="K1566" s="24" t="str">
        <x:v>-10.00 a +8.00</x:v>
      </x:c>
      <x:c r="L1566" s="24" t="str">
        <x:v>-4.00</x:v>
      </x:c>
      <x:c r="M1566" s="24" t="str">
        <x:v>-</x:v>
      </x:c>
      <x:c r="N1566" s="24" t="str">
        <x:v>70</x:v>
      </x:c>
      <x:c r="O1566" s="24"/>
      <x:c r="P1566" s="24"/>
      <x:c r="Q1566" s="24" t="str">
        <x:v>DISPONÍVEL</x:v>
      </x:c>
      <x:c r="R1566" s="24"/>
      <x:c r="S1566" s="24" t="n">
        <x:v>17</x:v>
      </x:c>
      <x:c r="T1566" s="24" t="str">
        <x:v>tabela_zeiss.pdf</x:v>
      </x:c>
      <x:c r="U1566" s="24" t="str">
        <x:v>ZEISS|Visão Simples|Surfaçada|Light 2||Poli||DuraVision Gold UV|-10.00 a +8.00|-4.00|-|70|||17</x:v>
      </x:c>
    </x:row>
    <x:row r="1567">
      <x:c r="A1567" s="24" t="str">
        <x:v>ZS-47E299F2FD0A</x:v>
      </x:c>
      <x:c r="B1567" s="24" t="str">
        <x:v>ZEISS</x:v>
      </x:c>
      <x:c r="C1567" s="24" t="str">
        <x:v>Visão Simples</x:v>
      </x:c>
      <x:c r="D1567" s="24" t="str">
        <x:v>Surfaçada</x:v>
      </x:c>
      <x:c r="E1567" s="24" t="str">
        <x:v>Light 2</x:v>
      </x:c>
      <x:c r="F1567" s="24"/>
      <x:c r="G1567" s="24" t="str">
        <x:v>Poli</x:v>
      </x:c>
      <x:c r="H1567" s="24"/>
      <x:c r="I1567" s="24" t="str">
        <x:v>DuraVision Platinum UV</x:v>
      </x:c>
      <x:c r="J1567" s="40" t="n">
        <x:v>2000</x:v>
      </x:c>
      <x:c r="K1567" s="24" t="str">
        <x:v>-10.00 a +8.00</x:v>
      </x:c>
      <x:c r="L1567" s="24" t="str">
        <x:v>-4.00</x:v>
      </x:c>
      <x:c r="M1567" s="24" t="str">
        <x:v>-</x:v>
      </x:c>
      <x:c r="N1567" s="24" t="str">
        <x:v>70</x:v>
      </x:c>
      <x:c r="O1567" s="24"/>
      <x:c r="P1567" s="24"/>
      <x:c r="Q1567" s="24" t="str">
        <x:v>DISPONÍVEL</x:v>
      </x:c>
      <x:c r="R1567" s="24"/>
      <x:c r="S1567" s="24" t="n">
        <x:v>17</x:v>
      </x:c>
      <x:c r="T1567" s="24" t="str">
        <x:v>tabela_zeiss.pdf</x:v>
      </x:c>
      <x:c r="U1567" s="24" t="str">
        <x:v>ZEISS|Visão Simples|Surfaçada|Light 2||Poli||DuraVision Platinum UV|-10.00 a +8.00|-4.00|-|70|||17</x:v>
      </x:c>
    </x:row>
    <x:row r="1568">
      <x:c r="A1568" s="24" t="str">
        <x:v>ZS-7F0CD8B2F10A</x:v>
      </x:c>
      <x:c r="B1568" s="24" t="str">
        <x:v>ZEISS</x:v>
      </x:c>
      <x:c r="C1568" s="24" t="str">
        <x:v>Visão Simples</x:v>
      </x:c>
      <x:c r="D1568" s="24" t="str">
        <x:v>Surfaçada</x:v>
      </x:c>
      <x:c r="E1568" s="24" t="str">
        <x:v>Light 2</x:v>
      </x:c>
      <x:c r="F1568" s="24"/>
      <x:c r="G1568" s="24" t="str">
        <x:v>Poli</x:v>
      </x:c>
      <x:c r="H1568" s="24"/>
      <x:c r="I1568" s="24" t="str">
        <x:v>DuraVision Silver UV</x:v>
      </x:c>
      <x:c r="J1568" s="40" t="n">
        <x:v>1740</x:v>
      </x:c>
      <x:c r="K1568" s="24" t="str">
        <x:v>-10.00 a +8.00</x:v>
      </x:c>
      <x:c r="L1568" s="24" t="str">
        <x:v>-4.00</x:v>
      </x:c>
      <x:c r="M1568" s="24" t="str">
        <x:v>-</x:v>
      </x:c>
      <x:c r="N1568" s="24" t="str">
        <x:v>70</x:v>
      </x:c>
      <x:c r="O1568" s="24"/>
      <x:c r="P1568" s="24"/>
      <x:c r="Q1568" s="24" t="str">
        <x:v>DISPONÍVEL</x:v>
      </x:c>
      <x:c r="R1568" s="24"/>
      <x:c r="S1568" s="24" t="n">
        <x:v>17</x:v>
      </x:c>
      <x:c r="T1568" s="24" t="str">
        <x:v>tabela_zeiss.pdf</x:v>
      </x:c>
      <x:c r="U1568" s="24" t="str">
        <x:v>ZEISS|Visão Simples|Surfaçada|Light 2||Poli||DuraVision Silver UV|-10.00 a +8.00|-4.00|-|70|||17</x:v>
      </x:c>
    </x:row>
    <x:row r="1569">
      <x:c r="A1569" s="24" t="str">
        <x:v>ZS-1B0024DAA3C7</x:v>
      </x:c>
      <x:c r="B1569" s="24" t="str">
        <x:v>ZEISS</x:v>
      </x:c>
      <x:c r="C1569" s="24" t="str">
        <x:v>Visão Simples</x:v>
      </x:c>
      <x:c r="D1569" s="24" t="str">
        <x:v>Surfaçada</x:v>
      </x:c>
      <x:c r="E1569" s="24" t="str">
        <x:v>Light 2</x:v>
      </x:c>
      <x:c r="F1569" s="24"/>
      <x:c r="G1569" s="24" t="str">
        <x:v>Poli</x:v>
      </x:c>
      <x:c r="H1569" s="24"/>
      <x:c r="I1569" s="24" t="str">
        <x:v>DuraVision Chrome UV</x:v>
      </x:c>
      <x:c r="J1569" s="40" t="n">
        <x:v>1250</x:v>
      </x:c>
      <x:c r="K1569" s="24" t="str">
        <x:v>-10.00 a +8.00</x:v>
      </x:c>
      <x:c r="L1569" s="24" t="str">
        <x:v>-4.00</x:v>
      </x:c>
      <x:c r="M1569" s="24" t="str">
        <x:v>-</x:v>
      </x:c>
      <x:c r="N1569" s="24" t="str">
        <x:v>70</x:v>
      </x:c>
      <x:c r="O1569" s="24"/>
      <x:c r="P1569" s="24"/>
      <x:c r="Q1569" s="24" t="str">
        <x:v>DISPONÍVEL</x:v>
      </x:c>
      <x:c r="R1569" s="24"/>
      <x:c r="S1569" s="24" t="n">
        <x:v>17</x:v>
      </x:c>
      <x:c r="T1569" s="24" t="str">
        <x:v>tabela_zeiss.pdf</x:v>
      </x:c>
      <x:c r="U1569" s="24" t="str">
        <x:v>ZEISS|Visão Simples|Surfaçada|Light 2||Poli||DuraVision Chrome UV|-10.00 a +8.00|-4.00|-|70|||17</x:v>
      </x:c>
    </x:row>
    <x:row r="1570">
      <x:c r="A1570" s="24" t="str">
        <x:v>ZS-3507B6CB7C89</x:v>
      </x:c>
      <x:c r="B1570" s="24" t="str">
        <x:v>ZEISS</x:v>
      </x:c>
      <x:c r="C1570" s="24" t="str">
        <x:v>Visão Simples</x:v>
      </x:c>
      <x:c r="D1570" s="24" t="str">
        <x:v>Surfaçada</x:v>
      </x:c>
      <x:c r="E1570" s="24" t="str">
        <x:v>Light 2</x:v>
      </x:c>
      <x:c r="F1570" s="24"/>
      <x:c r="G1570" s="24" t="str">
        <x:v>1.6</x:v>
      </x:c>
      <x:c r="H1570" s="24" t="str">
        <x:v>1.60</x:v>
      </x:c>
      <x:c r="I1570" s="24" t="str">
        <x:v>DuraVision Gold UV</x:v>
      </x:c>
      <x:c r="J1570" s="40" t="n">
        <x:v>2360</x:v>
      </x:c>
      <x:c r="K1570" s="24" t="str">
        <x:v>-6.00 a +6.00</x:v>
      </x:c>
      <x:c r="L1570" s="24" t="str">
        <x:v>-6.00</x:v>
      </x:c>
      <x:c r="M1570" s="24" t="str">
        <x:v>-</x:v>
      </x:c>
      <x:c r="N1570" s="24" t="str">
        <x:v>75</x:v>
      </x:c>
      <x:c r="O1570" s="24"/>
      <x:c r="P1570" s="24"/>
      <x:c r="Q1570" s="24" t="str">
        <x:v>DISPONÍVEL</x:v>
      </x:c>
      <x:c r="R1570" s="24"/>
      <x:c r="S1570" s="24" t="n">
        <x:v>17</x:v>
      </x:c>
      <x:c r="T1570" s="24" t="str">
        <x:v>tabela_zeiss.pdf</x:v>
      </x:c>
      <x:c r="U1570" s="24" t="str">
        <x:v>ZEISS|Visão Simples|Surfaçada|Light 2||1.6|1.60|DuraVision Gold UV|-6.00 a +6.00|-6.00|-|75|||17</x:v>
      </x:c>
    </x:row>
    <x:row r="1571">
      <x:c r="A1571" s="24" t="str">
        <x:v>ZS-00205B5B1B1D</x:v>
      </x:c>
      <x:c r="B1571" s="24" t="str">
        <x:v>ZEISS</x:v>
      </x:c>
      <x:c r="C1571" s="24" t="str">
        <x:v>Visão Simples</x:v>
      </x:c>
      <x:c r="D1571" s="24" t="str">
        <x:v>Surfaçada</x:v>
      </x:c>
      <x:c r="E1571" s="24" t="str">
        <x:v>Light 2</x:v>
      </x:c>
      <x:c r="F1571" s="24"/>
      <x:c r="G1571" s="24" t="str">
        <x:v>1.6</x:v>
      </x:c>
      <x:c r="H1571" s="24" t="str">
        <x:v>1.60</x:v>
      </x:c>
      <x:c r="I1571" s="24" t="str">
        <x:v>DURAVISION® ANTIVÍRUS PLATINUM UV</x:v>
      </x:c>
      <x:c r="J1571" s="40" t="n">
        <x:v>2220</x:v>
      </x:c>
      <x:c r="K1571" s="24" t="str">
        <x:v>-6.00 a +6.00</x:v>
      </x:c>
      <x:c r="L1571" s="24" t="str">
        <x:v>-6.00</x:v>
      </x:c>
      <x:c r="M1571" s="24" t="str">
        <x:v>-</x:v>
      </x:c>
      <x:c r="N1571" s="24" t="str">
        <x:v>75</x:v>
      </x:c>
      <x:c r="O1571" s="24"/>
      <x:c r="P1571" s="24"/>
      <x:c r="Q1571" s="24" t="str">
        <x:v>DISPONÍVEL</x:v>
      </x:c>
      <x:c r="R1571" s="24"/>
      <x:c r="S1571" s="24" t="n">
        <x:v>17</x:v>
      </x:c>
      <x:c r="T1571" s="24" t="str">
        <x:v>tabela_zeiss.pdf</x:v>
      </x:c>
      <x:c r="U1571" s="24" t="str">
        <x:v>ZEISS|Visão Simples|Surfaçada|Light 2||1.6|1.60|DURAVISION® ANTIVÍRUS PLATINUM UV|-6.00 a +6.00|-6.00|-|75|||17</x:v>
      </x:c>
    </x:row>
    <x:row r="1572">
      <x:c r="A1572" s="24" t="str">
        <x:v>ZS-7019CDBC41CC</x:v>
      </x:c>
      <x:c r="B1572" s="24" t="str">
        <x:v>ZEISS</x:v>
      </x:c>
      <x:c r="C1572" s="24" t="str">
        <x:v>Visão Simples</x:v>
      </x:c>
      <x:c r="D1572" s="24" t="str">
        <x:v>Surfaçada</x:v>
      </x:c>
      <x:c r="E1572" s="24" t="str">
        <x:v>Light 2</x:v>
      </x:c>
      <x:c r="F1572" s="24"/>
      <x:c r="G1572" s="24" t="str">
        <x:v>1.6</x:v>
      </x:c>
      <x:c r="H1572" s="24" t="str">
        <x:v>1.60</x:v>
      </x:c>
      <x:c r="I1572" s="24" t="str">
        <x:v>DuraVision Platinum UV</x:v>
      </x:c>
      <x:c r="J1572" s="40" t="n">
        <x:v>2220</x:v>
      </x:c>
      <x:c r="K1572" s="24" t="str">
        <x:v>-6.00 a +6.00</x:v>
      </x:c>
      <x:c r="L1572" s="24" t="str">
        <x:v>-6.00</x:v>
      </x:c>
      <x:c r="M1572" s="24" t="str">
        <x:v>-</x:v>
      </x:c>
      <x:c r="N1572" s="24" t="str">
        <x:v>75</x:v>
      </x:c>
      <x:c r="O1572" s="24"/>
      <x:c r="P1572" s="24"/>
      <x:c r="Q1572" s="24" t="str">
        <x:v>DISPONÍVEL</x:v>
      </x:c>
      <x:c r="R1572" s="24"/>
      <x:c r="S1572" s="24" t="n">
        <x:v>17</x:v>
      </x:c>
      <x:c r="T1572" s="24" t="str">
        <x:v>tabela_zeiss.pdf</x:v>
      </x:c>
      <x:c r="U1572" s="24" t="str">
        <x:v>ZEISS|Visão Simples|Surfaçada|Light 2||1.6|1.60|DuraVision Platinum UV|-6.00 a +6.00|-6.00|-|75|||17</x:v>
      </x:c>
    </x:row>
    <x:row r="1573">
      <x:c r="A1573" s="24" t="str">
        <x:v>ZS-AF87A56CF4AA</x:v>
      </x:c>
      <x:c r="B1573" s="24" t="str">
        <x:v>ZEISS</x:v>
      </x:c>
      <x:c r="C1573" s="24" t="str">
        <x:v>Visão Simples</x:v>
      </x:c>
      <x:c r="D1573" s="24" t="str">
        <x:v>Surfaçada</x:v>
      </x:c>
      <x:c r="E1573" s="24" t="str">
        <x:v>Light 2</x:v>
      </x:c>
      <x:c r="F1573" s="24"/>
      <x:c r="G1573" s="24" t="str">
        <x:v>1.6</x:v>
      </x:c>
      <x:c r="H1573" s="24" t="str">
        <x:v>1.60</x:v>
      </x:c>
      <x:c r="I1573" s="24" t="str">
        <x:v>DuraVision Silver UV</x:v>
      </x:c>
      <x:c r="J1573" s="40" t="n">
        <x:v>1960</x:v>
      </x:c>
      <x:c r="K1573" s="24" t="str">
        <x:v>-6.00 a +6.00</x:v>
      </x:c>
      <x:c r="L1573" s="24" t="str">
        <x:v>-6.00</x:v>
      </x:c>
      <x:c r="M1573" s="24" t="str">
        <x:v>-</x:v>
      </x:c>
      <x:c r="N1573" s="24" t="str">
        <x:v>75</x:v>
      </x:c>
      <x:c r="O1573" s="24"/>
      <x:c r="P1573" s="24"/>
      <x:c r="Q1573" s="24" t="str">
        <x:v>DISPONÍVEL</x:v>
      </x:c>
      <x:c r="R1573" s="24"/>
      <x:c r="S1573" s="24" t="n">
        <x:v>17</x:v>
      </x:c>
      <x:c r="T1573" s="24" t="str">
        <x:v>tabela_zeiss.pdf</x:v>
      </x:c>
      <x:c r="U1573" s="24" t="str">
        <x:v>ZEISS|Visão Simples|Surfaçada|Light 2||1.6|1.60|DuraVision Silver UV|-6.00 a +6.00|-6.00|-|75|||17</x:v>
      </x:c>
    </x:row>
    <x:row r="1574">
      <x:c r="A1574" s="24" t="str">
        <x:v>ZS-83DCA89A345A</x:v>
      </x:c>
      <x:c r="B1574" s="24" t="str">
        <x:v>ZEISS</x:v>
      </x:c>
      <x:c r="C1574" s="24" t="str">
        <x:v>Visão Simples</x:v>
      </x:c>
      <x:c r="D1574" s="24" t="str">
        <x:v>Surfaçada</x:v>
      </x:c>
      <x:c r="E1574" s="24" t="str">
        <x:v>Light 2</x:v>
      </x:c>
      <x:c r="F1574" s="24"/>
      <x:c r="G1574" s="24" t="str">
        <x:v>1.6</x:v>
      </x:c>
      <x:c r="H1574" s="24" t="str">
        <x:v>1.60</x:v>
      </x:c>
      <x:c r="I1574" s="24" t="str">
        <x:v>DuraVision Chrome UV</x:v>
      </x:c>
      <x:c r="J1574" s="40" t="n">
        <x:v>1470</x:v>
      </x:c>
      <x:c r="K1574" s="24" t="str">
        <x:v>-6.00 a +6.00</x:v>
      </x:c>
      <x:c r="L1574" s="24" t="str">
        <x:v>-6.00</x:v>
      </x:c>
      <x:c r="M1574" s="24" t="str">
        <x:v>-</x:v>
      </x:c>
      <x:c r="N1574" s="24" t="str">
        <x:v>75</x:v>
      </x:c>
      <x:c r="O1574" s="24"/>
      <x:c r="P1574" s="24"/>
      <x:c r="Q1574" s="24" t="str">
        <x:v>DISPONÍVEL</x:v>
      </x:c>
      <x:c r="R1574" s="24"/>
      <x:c r="S1574" s="24" t="n">
        <x:v>17</x:v>
      </x:c>
      <x:c r="T1574" s="24" t="str">
        <x:v>tabela_zeiss.pdf</x:v>
      </x:c>
      <x:c r="U1574" s="24" t="str">
        <x:v>ZEISS|Visão Simples|Surfaçada|Light 2||1.6|1.60|DuraVision Chrome UV|-6.00 a +6.00|-6.00|-|75|||17</x:v>
      </x:c>
    </x:row>
    <x:row r="1575">
      <x:c r="A1575" s="24" t="str">
        <x:v>ZS-CA108BF27DD5</x:v>
      </x:c>
      <x:c r="B1575" s="24" t="str">
        <x:v>ZEISS</x:v>
      </x:c>
      <x:c r="C1575" s="24" t="str">
        <x:v>Visão Simples</x:v>
      </x:c>
      <x:c r="D1575" s="24" t="str">
        <x:v>Surfaçada</x:v>
      </x:c>
      <x:c r="E1575" s="24" t="str">
        <x:v>Light 2</x:v>
      </x:c>
      <x:c r="F1575" s="24"/>
      <x:c r="G1575" s="24" t="str">
        <x:v>1.67</x:v>
      </x:c>
      <x:c r="H1575" s="24" t="str">
        <x:v>1.67</x:v>
      </x:c>
      <x:c r="I1575" s="24" t="str">
        <x:v>DuraVision Gold UV</x:v>
      </x:c>
      <x:c r="J1575" s="40" t="n">
        <x:v>3660</x:v>
      </x:c>
      <x:c r="K1575" s="24" t="str">
        <x:v>-8.00 a +8.00</x:v>
      </x:c>
      <x:c r="L1575" s="24" t="str">
        <x:v>-6.00</x:v>
      </x:c>
      <x:c r="M1575" s="24" t="str">
        <x:v>-</x:v>
      </x:c>
      <x:c r="N1575" s="24" t="str">
        <x:v>70</x:v>
      </x:c>
      <x:c r="O1575" s="24"/>
      <x:c r="P1575" s="24"/>
      <x:c r="Q1575" s="24" t="str">
        <x:v>DISPONÍVEL</x:v>
      </x:c>
      <x:c r="R1575" s="24"/>
      <x:c r="S1575" s="24" t="n">
        <x:v>17</x:v>
      </x:c>
      <x:c r="T1575" s="24" t="str">
        <x:v>tabela_zeiss.pdf</x:v>
      </x:c>
      <x:c r="U1575" s="24" t="str">
        <x:v>ZEISS|Visão Simples|Surfaçada|Light 2||1.67|1.67|DuraVision Gold UV|-8.00 a +8.00|-6.00|-|70|||17</x:v>
      </x:c>
    </x:row>
    <x:row r="1576">
      <x:c r="A1576" s="24" t="str">
        <x:v>ZS-370411958CB1</x:v>
      </x:c>
      <x:c r="B1576" s="24" t="str">
        <x:v>ZEISS</x:v>
      </x:c>
      <x:c r="C1576" s="24" t="str">
        <x:v>Visão Simples</x:v>
      </x:c>
      <x:c r="D1576" s="24" t="str">
        <x:v>Surfaçada</x:v>
      </x:c>
      <x:c r="E1576" s="24" t="str">
        <x:v>Light 2</x:v>
      </x:c>
      <x:c r="F1576" s="24"/>
      <x:c r="G1576" s="24" t="str">
        <x:v>1.67</x:v>
      </x:c>
      <x:c r="H1576" s="24" t="str">
        <x:v>1.67</x:v>
      </x:c>
      <x:c r="I1576" s="24" t="str">
        <x:v>DURAVISION® ANTIVÍRUS PLATINUM UV</x:v>
      </x:c>
      <x:c r="J1576" s="40" t="n">
        <x:v>3520</x:v>
      </x:c>
      <x:c r="K1576" s="24" t="str">
        <x:v>-8.00 a +8.00</x:v>
      </x:c>
      <x:c r="L1576" s="24" t="str">
        <x:v>-6.00</x:v>
      </x:c>
      <x:c r="M1576" s="24" t="str">
        <x:v>-</x:v>
      </x:c>
      <x:c r="N1576" s="24" t="str">
        <x:v>70</x:v>
      </x:c>
      <x:c r="O1576" s="24"/>
      <x:c r="P1576" s="24"/>
      <x:c r="Q1576" s="24" t="str">
        <x:v>DISPONÍVEL</x:v>
      </x:c>
      <x:c r="R1576" s="24"/>
      <x:c r="S1576" s="24" t="n">
        <x:v>17</x:v>
      </x:c>
      <x:c r="T1576" s="24" t="str">
        <x:v>tabela_zeiss.pdf</x:v>
      </x:c>
      <x:c r="U1576" s="24" t="str">
        <x:v>ZEISS|Visão Simples|Surfaçada|Light 2||1.67|1.67|DURAVISION® ANTIVÍRUS PLATINUM UV|-8.00 a +8.00|-6.00|-|70|||17</x:v>
      </x:c>
    </x:row>
    <x:row r="1577">
      <x:c r="A1577" s="24" t="str">
        <x:v>ZS-E4C80124F70E</x:v>
      </x:c>
      <x:c r="B1577" s="24" t="str">
        <x:v>ZEISS</x:v>
      </x:c>
      <x:c r="C1577" s="24" t="str">
        <x:v>Visão Simples</x:v>
      </x:c>
      <x:c r="D1577" s="24" t="str">
        <x:v>Surfaçada</x:v>
      </x:c>
      <x:c r="E1577" s="24" t="str">
        <x:v>Light 2</x:v>
      </x:c>
      <x:c r="F1577" s="24"/>
      <x:c r="G1577" s="24" t="str">
        <x:v>1.67</x:v>
      </x:c>
      <x:c r="H1577" s="24" t="str">
        <x:v>1.67</x:v>
      </x:c>
      <x:c r="I1577" s="24" t="str">
        <x:v>DuraVision Platinum UV</x:v>
      </x:c>
      <x:c r="J1577" s="40" t="n">
        <x:v>3520</x:v>
      </x:c>
      <x:c r="K1577" s="24" t="str">
        <x:v>-8.00 a +8.00</x:v>
      </x:c>
      <x:c r="L1577" s="24" t="str">
        <x:v>-6.00</x:v>
      </x:c>
      <x:c r="M1577" s="24" t="str">
        <x:v>-</x:v>
      </x:c>
      <x:c r="N1577" s="24" t="str">
        <x:v>70</x:v>
      </x:c>
      <x:c r="O1577" s="24"/>
      <x:c r="P1577" s="24"/>
      <x:c r="Q1577" s="24" t="str">
        <x:v>DISPONÍVEL</x:v>
      </x:c>
      <x:c r="R1577" s="24"/>
      <x:c r="S1577" s="24" t="n">
        <x:v>17</x:v>
      </x:c>
      <x:c r="T1577" s="24" t="str">
        <x:v>tabela_zeiss.pdf</x:v>
      </x:c>
      <x:c r="U1577" s="24" t="str">
        <x:v>ZEISS|Visão Simples|Surfaçada|Light 2||1.67|1.67|DuraVision Platinum UV|-8.00 a +8.00|-6.00|-|70|||17</x:v>
      </x:c>
    </x:row>
    <x:row r="1578">
      <x:c r="A1578" s="24" t="str">
        <x:v>ZS-3DFBD161DDB6</x:v>
      </x:c>
      <x:c r="B1578" s="24" t="str">
        <x:v>ZEISS</x:v>
      </x:c>
      <x:c r="C1578" s="24" t="str">
        <x:v>Visão Simples</x:v>
      </x:c>
      <x:c r="D1578" s="24" t="str">
        <x:v>Surfaçada</x:v>
      </x:c>
      <x:c r="E1578" s="24" t="str">
        <x:v>Light 2</x:v>
      </x:c>
      <x:c r="F1578" s="24"/>
      <x:c r="G1578" s="24" t="str">
        <x:v>1.67</x:v>
      </x:c>
      <x:c r="H1578" s="24" t="str">
        <x:v>1.67</x:v>
      </x:c>
      <x:c r="I1578" s="24" t="str">
        <x:v>DuraVision Silver UV</x:v>
      </x:c>
      <x:c r="J1578" s="40" t="n">
        <x:v>3260</x:v>
      </x:c>
      <x:c r="K1578" s="24" t="str">
        <x:v>-8.00 a +8.00</x:v>
      </x:c>
      <x:c r="L1578" s="24" t="str">
        <x:v>-6.00</x:v>
      </x:c>
      <x:c r="M1578" s="24" t="str">
        <x:v>-</x:v>
      </x:c>
      <x:c r="N1578" s="24" t="str">
        <x:v>70</x:v>
      </x:c>
      <x:c r="O1578" s="24"/>
      <x:c r="P1578" s="24"/>
      <x:c r="Q1578" s="24" t="str">
        <x:v>DISPONÍVEL</x:v>
      </x:c>
      <x:c r="R1578" s="24"/>
      <x:c r="S1578" s="24" t="n">
        <x:v>17</x:v>
      </x:c>
      <x:c r="T1578" s="24" t="str">
        <x:v>tabela_zeiss.pdf</x:v>
      </x:c>
      <x:c r="U1578" s="24" t="str">
        <x:v>ZEISS|Visão Simples|Surfaçada|Light 2||1.67|1.67|DuraVision Silver UV|-8.00 a +8.00|-6.00|-|70|||17</x:v>
      </x:c>
    </x:row>
    <x:row r="1579">
      <x:c r="A1579" s="24" t="str">
        <x:v>ZS-243E9A0DBAE7</x:v>
      </x:c>
      <x:c r="B1579" s="24" t="str">
        <x:v>ZEISS</x:v>
      </x:c>
      <x:c r="C1579" s="24" t="str">
        <x:v>Visão Simples</x:v>
      </x:c>
      <x:c r="D1579" s="24" t="str">
        <x:v>Surfaçada</x:v>
      </x:c>
      <x:c r="E1579" s="24" t="str">
        <x:v>Light 2</x:v>
      </x:c>
      <x:c r="F1579" s="24"/>
      <x:c r="G1579" s="24" t="str">
        <x:v>1.67</x:v>
      </x:c>
      <x:c r="H1579" s="24" t="str">
        <x:v>1.67</x:v>
      </x:c>
      <x:c r="I1579" s="24" t="str">
        <x:v>DuraVision Chrome UV</x:v>
      </x:c>
      <x:c r="J1579" s="40" t="n">
        <x:v>2770</x:v>
      </x:c>
      <x:c r="K1579" s="24" t="str">
        <x:v>-8.00 a +8.00</x:v>
      </x:c>
      <x:c r="L1579" s="24" t="str">
        <x:v>-6.00</x:v>
      </x:c>
      <x:c r="M1579" s="24" t="str">
        <x:v>-</x:v>
      </x:c>
      <x:c r="N1579" s="24" t="str">
        <x:v>70</x:v>
      </x:c>
      <x:c r="O1579" s="24"/>
      <x:c r="P1579" s="24"/>
      <x:c r="Q1579" s="24" t="str">
        <x:v>DISPONÍVEL</x:v>
      </x:c>
      <x:c r="R1579" s="24"/>
      <x:c r="S1579" s="24" t="n">
        <x:v>17</x:v>
      </x:c>
      <x:c r="T1579" s="24" t="str">
        <x:v>tabela_zeiss.pdf</x:v>
      </x:c>
      <x:c r="U1579" s="24" t="str">
        <x:v>ZEISS|Visão Simples|Surfaçada|Light 2||1.67|1.67|DuraVision Chrome UV|-8.00 a +8.00|-6.00|-|70|||17</x:v>
      </x:c>
    </x:row>
    <x:row r="1580">
      <x:c r="A1580" s="24" t="str">
        <x:v>ZS-21A263F64436</x:v>
      </x:c>
      <x:c r="B1580" s="24" t="str">
        <x:v>ZEISS</x:v>
      </x:c>
      <x:c r="C1580" s="24" t="str">
        <x:v>Visão Simples</x:v>
      </x:c>
      <x:c r="D1580" s="24" t="str">
        <x:v>Surfaçada</x:v>
      </x:c>
      <x:c r="E1580" s="24" t="str">
        <x:v>Light 2</x:v>
      </x:c>
      <x:c r="F1580" s="24"/>
      <x:c r="G1580" s="24" t="str">
        <x:v>1.74</x:v>
      </x:c>
      <x:c r="H1580" s="24" t="str">
        <x:v>1.74</x:v>
      </x:c>
      <x:c r="I1580" s="24" t="str">
        <x:v>DuraVision Gold UV</x:v>
      </x:c>
      <x:c r="J1580" s="40" t="n">
        <x:v>3970</x:v>
      </x:c>
      <x:c r="K1580" s="24" t="str">
        <x:v>-10.00 a +6.00</x:v>
      </x:c>
      <x:c r="L1580" s="24" t="str">
        <x:v>-6.00</x:v>
      </x:c>
      <x:c r="M1580" s="24" t="str">
        <x:v>-</x:v>
      </x:c>
      <x:c r="N1580" s="24" t="str">
        <x:v>70 a 75</x:v>
      </x:c>
      <x:c r="O1580" s="24"/>
      <x:c r="P1580" s="24"/>
      <x:c r="Q1580" s="24" t="str">
        <x:v>DISPONÍVEL</x:v>
      </x:c>
      <x:c r="R1580" s="24"/>
      <x:c r="S1580" s="24" t="n">
        <x:v>17</x:v>
      </x:c>
      <x:c r="T1580" s="24" t="str">
        <x:v>tabela_zeiss.pdf</x:v>
      </x:c>
      <x:c r="U1580" s="24" t="str">
        <x:v>ZEISS|Visão Simples|Surfaçada|Light 2||1.74|1.74|DuraVision Gold UV|-10.00 a +6.00|-6.00|-|70 a 75|||17</x:v>
      </x:c>
    </x:row>
    <x:row r="1581">
      <x:c r="A1581" s="24" t="str">
        <x:v>ZS-0F8807693F02</x:v>
      </x:c>
      <x:c r="B1581" s="24" t="str">
        <x:v>ZEISS</x:v>
      </x:c>
      <x:c r="C1581" s="24" t="str">
        <x:v>Visão Simples</x:v>
      </x:c>
      <x:c r="D1581" s="24" t="str">
        <x:v>Surfaçada</x:v>
      </x:c>
      <x:c r="E1581" s="24" t="str">
        <x:v>Light 2</x:v>
      </x:c>
      <x:c r="F1581" s="24"/>
      <x:c r="G1581" s="24" t="str">
        <x:v>1.74</x:v>
      </x:c>
      <x:c r="H1581" s="24" t="str">
        <x:v>1.74</x:v>
      </x:c>
      <x:c r="I1581" s="24" t="str">
        <x:v>DuraVision Platinum UV</x:v>
      </x:c>
      <x:c r="J1581" s="40" t="n">
        <x:v>3830</x:v>
      </x:c>
      <x:c r="K1581" s="24" t="str">
        <x:v>-10.00 a +6.00</x:v>
      </x:c>
      <x:c r="L1581" s="24" t="str">
        <x:v>-6.00</x:v>
      </x:c>
      <x:c r="M1581" s="24" t="str">
        <x:v>-</x:v>
      </x:c>
      <x:c r="N1581" s="24" t="str">
        <x:v>70 a 75</x:v>
      </x:c>
      <x:c r="O1581" s="24"/>
      <x:c r="P1581" s="24"/>
      <x:c r="Q1581" s="24" t="str">
        <x:v>DISPONÍVEL</x:v>
      </x:c>
      <x:c r="R1581" s="24"/>
      <x:c r="S1581" s="24" t="n">
        <x:v>17</x:v>
      </x:c>
      <x:c r="T1581" s="24" t="str">
        <x:v>tabela_zeiss.pdf</x:v>
      </x:c>
      <x:c r="U1581" s="24" t="str">
        <x:v>ZEISS|Visão Simples|Surfaçada|Light 2||1.74|1.74|DuraVision Platinum UV|-10.00 a +6.00|-6.00|-|70 a 75|||17</x:v>
      </x:c>
    </x:row>
    <x:row r="1582">
      <x:c r="A1582" s="24" t="str">
        <x:v>ZS-568D0E53758C</x:v>
      </x:c>
      <x:c r="B1582" s="24" t="str">
        <x:v>ZEISS</x:v>
      </x:c>
      <x:c r="C1582" s="24" t="str">
        <x:v>Visão Simples</x:v>
      </x:c>
      <x:c r="D1582" s="24" t="str">
        <x:v>Surfaçada</x:v>
      </x:c>
      <x:c r="E1582" s="24" t="str">
        <x:v>Light 2</x:v>
      </x:c>
      <x:c r="F1582" s="24"/>
      <x:c r="G1582" s="24" t="str">
        <x:v>1.74</x:v>
      </x:c>
      <x:c r="H1582" s="24" t="str">
        <x:v>1.74</x:v>
      </x:c>
      <x:c r="I1582" s="24" t="str">
        <x:v>DuraVision Silver UV</x:v>
      </x:c>
      <x:c r="J1582" s="40" t="n">
        <x:v>3570</x:v>
      </x:c>
      <x:c r="K1582" s="24" t="str">
        <x:v>-10.00 a +6.00</x:v>
      </x:c>
      <x:c r="L1582" s="24" t="str">
        <x:v>-6.00</x:v>
      </x:c>
      <x:c r="M1582" s="24" t="str">
        <x:v>-</x:v>
      </x:c>
      <x:c r="N1582" s="24" t="str">
        <x:v>70 a 75</x:v>
      </x:c>
      <x:c r="O1582" s="24"/>
      <x:c r="P1582" s="24"/>
      <x:c r="Q1582" s="24" t="str">
        <x:v>DISPONÍVEL</x:v>
      </x:c>
      <x:c r="R1582" s="24"/>
      <x:c r="S1582" s="24" t="n">
        <x:v>17</x:v>
      </x:c>
      <x:c r="T1582" s="24" t="str">
        <x:v>tabela_zeiss.pdf</x:v>
      </x:c>
      <x:c r="U1582" s="24" t="str">
        <x:v>ZEISS|Visão Simples|Surfaçada|Light 2||1.74|1.74|DuraVision Silver UV|-10.00 a +6.00|-6.00|-|70 a 75|||17</x:v>
      </x:c>
    </x:row>
    <x:row r="1583">
      <x:c r="A1583" s="24" t="str">
        <x:v>ZS-137D8E5EB2DF</x:v>
      </x:c>
      <x:c r="B1583" s="24" t="str">
        <x:v>ZEISS</x:v>
      </x:c>
      <x:c r="C1583" s="24" t="str">
        <x:v>Visão Simples</x:v>
      </x:c>
      <x:c r="D1583" s="24" t="str">
        <x:v>Surfaçada</x:v>
      </x:c>
      <x:c r="E1583" s="24" t="str">
        <x:v>Light 2</x:v>
      </x:c>
      <x:c r="F1583" s="24"/>
      <x:c r="G1583" s="24" t="str">
        <x:v>1.74</x:v>
      </x:c>
      <x:c r="H1583" s="24" t="str">
        <x:v>1.74</x:v>
      </x:c>
      <x:c r="I1583" s="24" t="str">
        <x:v>DuraVision Chrome UV</x:v>
      </x:c>
      <x:c r="J1583" s="40" t="n">
        <x:v>3080</x:v>
      </x:c>
      <x:c r="K1583" s="24" t="str">
        <x:v>-10.00 a +6.00</x:v>
      </x:c>
      <x:c r="L1583" s="24" t="str">
        <x:v>-6.00</x:v>
      </x:c>
      <x:c r="M1583" s="24" t="str">
        <x:v>-</x:v>
      </x:c>
      <x:c r="N1583" s="24" t="str">
        <x:v>70 a 75</x:v>
      </x:c>
      <x:c r="O1583" s="24"/>
      <x:c r="P1583" s="24"/>
      <x:c r="Q1583" s="24" t="str">
        <x:v>DISPONÍVEL</x:v>
      </x:c>
      <x:c r="R1583" s="24"/>
      <x:c r="S1583" s="24" t="n">
        <x:v>17</x:v>
      </x:c>
      <x:c r="T1583" s="24" t="str">
        <x:v>tabela_zeiss.pdf</x:v>
      </x:c>
      <x:c r="U1583" s="24" t="str">
        <x:v>ZEISS|Visão Simples|Surfaçada|Light 2||1.74|1.74|DuraVision Chrome UV|-10.00 a +6.00|-6.00|-|70 a 75|||17</x:v>
      </x:c>
    </x:row>
    <x:row r="1584">
      <x:c r="A1584" s="24" t="str">
        <x:v>ZS-9849B54C1421</x:v>
      </x:c>
      <x:c r="B1584" s="24" t="str">
        <x:v>ZEISS</x:v>
      </x:c>
      <x:c r="C1584" s="24" t="str">
        <x:v>Visão Simples</x:v>
      </x:c>
      <x:c r="D1584" s="24" t="str">
        <x:v>Surfaçada</x:v>
      </x:c>
      <x:c r="E1584" s="24" t="str">
        <x:v>Light 2</x:v>
      </x:c>
      <x:c r="F1584" s="24" t="str">
        <x:v>PhotoFusion X</x:v>
      </x:c>
      <x:c r="G1584" s="24" t="str">
        <x:v>1.5</x:v>
      </x:c>
      <x:c r="H1584" s="24" t="str">
        <x:v>1.50</x:v>
      </x:c>
      <x:c r="I1584" s="24" t="str">
        <x:v>DuraVision Gold UV</x:v>
      </x:c>
      <x:c r="J1584" s="40" t="n">
        <x:v>2870</x:v>
      </x:c>
      <x:c r="K1584" s="24" t="str">
        <x:v>-6.00 a +6.00</x:v>
      </x:c>
      <x:c r="L1584" s="24" t="str">
        <x:v>-4.00</x:v>
      </x:c>
      <x:c r="M1584" s="24" t="str">
        <x:v>-</x:v>
      </x:c>
      <x:c r="N1584" s="24" t="str">
        <x:v>75</x:v>
      </x:c>
      <x:c r="O1584" s="24"/>
      <x:c r="P1584" s="24"/>
      <x:c r="Q1584" s="24" t="str">
        <x:v>DISPONÍVEL</x:v>
      </x:c>
      <x:c r="R1584" s="24" t="str">
        <x:v>Programa de Parcerias ZEISS</x:v>
      </x:c>
      <x:c r="S1584" s="24" t="n">
        <x:v>17</x:v>
      </x:c>
      <x:c r="T1584" s="24" t="str">
        <x:v>tabela_zeiss.pdf</x:v>
      </x:c>
      <x:c r="U1584" s="24" t="str">
        <x:v>ZEISS|Visão Simples|Surfaçada|Light 2|PhotoFusion X|1.5|1.50|DuraVision Gold UV|-6.00 a +6.00|-4.00|-|75|||17</x:v>
      </x:c>
    </x:row>
    <x:row r="1585">
      <x:c r="A1585" s="24" t="str">
        <x:v>ZS-2A41F42AAD2C</x:v>
      </x:c>
      <x:c r="B1585" s="24" t="str">
        <x:v>ZEISS</x:v>
      </x:c>
      <x:c r="C1585" s="24" t="str">
        <x:v>Visão Simples</x:v>
      </x:c>
      <x:c r="D1585" s="24" t="str">
        <x:v>Surfaçada</x:v>
      </x:c>
      <x:c r="E1585" s="24" t="str">
        <x:v>Light 2</x:v>
      </x:c>
      <x:c r="F1585" s="24" t="str">
        <x:v>PhotoFusion X</x:v>
      </x:c>
      <x:c r="G1585" s="24" t="str">
        <x:v>1.5</x:v>
      </x:c>
      <x:c r="H1585" s="24" t="str">
        <x:v>1.50</x:v>
      </x:c>
      <x:c r="I1585" s="24" t="str">
        <x:v>DURAVISION® ANTIVÍRUS PLATINUM UV</x:v>
      </x:c>
      <x:c r="J1585" s="40" t="n">
        <x:v>2730</x:v>
      </x:c>
      <x:c r="K1585" s="24" t="str">
        <x:v>-6.00 a +6.00</x:v>
      </x:c>
      <x:c r="L1585" s="24" t="str">
        <x:v>-4.00</x:v>
      </x:c>
      <x:c r="M1585" s="24" t="str">
        <x:v>-</x:v>
      </x:c>
      <x:c r="N1585" s="24" t="str">
        <x:v>75</x:v>
      </x:c>
      <x:c r="O1585" s="24"/>
      <x:c r="P1585" s="24"/>
      <x:c r="Q1585" s="24" t="str">
        <x:v>DISPONÍVEL</x:v>
      </x:c>
      <x:c r="R1585" s="24" t="str">
        <x:v>Programa de Parcerias ZEISS</x:v>
      </x:c>
      <x:c r="S1585" s="24" t="n">
        <x:v>17</x:v>
      </x:c>
      <x:c r="T1585" s="24" t="str">
        <x:v>tabela_zeiss.pdf</x:v>
      </x:c>
      <x:c r="U1585" s="24" t="str">
        <x:v>ZEISS|Visão Simples|Surfaçada|Light 2|PhotoFusion X|1.5|1.50|DURAVISION® ANTIVÍRUS PLATINUM UV|-6.00 a +6.00|-4.00|-|75|||17</x:v>
      </x:c>
    </x:row>
    <x:row r="1586">
      <x:c r="A1586" s="24" t="str">
        <x:v>ZS-624E41CED48E</x:v>
      </x:c>
      <x:c r="B1586" s="24" t="str">
        <x:v>ZEISS</x:v>
      </x:c>
      <x:c r="C1586" s="24" t="str">
        <x:v>Visão Simples</x:v>
      </x:c>
      <x:c r="D1586" s="24" t="str">
        <x:v>Surfaçada</x:v>
      </x:c>
      <x:c r="E1586" s="24" t="str">
        <x:v>Light 2</x:v>
      </x:c>
      <x:c r="F1586" s="24" t="str">
        <x:v>PhotoFusion X</x:v>
      </x:c>
      <x:c r="G1586" s="24" t="str">
        <x:v>1.5</x:v>
      </x:c>
      <x:c r="H1586" s="24" t="str">
        <x:v>1.50</x:v>
      </x:c>
      <x:c r="I1586" s="24" t="str">
        <x:v>DuraVision Platinum UV</x:v>
      </x:c>
      <x:c r="J1586" s="40" t="n">
        <x:v>2730</x:v>
      </x:c>
      <x:c r="K1586" s="24" t="str">
        <x:v>-6.00 a +6.00</x:v>
      </x:c>
      <x:c r="L1586" s="24" t="str">
        <x:v>-4.00</x:v>
      </x:c>
      <x:c r="M1586" s="24" t="str">
        <x:v>-</x:v>
      </x:c>
      <x:c r="N1586" s="24" t="str">
        <x:v>75</x:v>
      </x:c>
      <x:c r="O1586" s="24"/>
      <x:c r="P1586" s="24"/>
      <x:c r="Q1586" s="24" t="str">
        <x:v>DISPONÍVEL</x:v>
      </x:c>
      <x:c r="R1586" s="24" t="str">
        <x:v>Programa de Parcerias ZEISS</x:v>
      </x:c>
      <x:c r="S1586" s="24" t="n">
        <x:v>17</x:v>
      </x:c>
      <x:c r="T1586" s="24" t="str">
        <x:v>tabela_zeiss.pdf</x:v>
      </x:c>
      <x:c r="U1586" s="24" t="str">
        <x:v>ZEISS|Visão Simples|Surfaçada|Light 2|PhotoFusion X|1.5|1.50|DuraVision Platinum UV|-6.00 a +6.00|-4.00|-|75|||17</x:v>
      </x:c>
    </x:row>
    <x:row r="1587">
      <x:c r="A1587" s="24" t="str">
        <x:v>ZS-67BFE7C24D1A</x:v>
      </x:c>
      <x:c r="B1587" s="24" t="str">
        <x:v>ZEISS</x:v>
      </x:c>
      <x:c r="C1587" s="24" t="str">
        <x:v>Visão Simples</x:v>
      </x:c>
      <x:c r="D1587" s="24" t="str">
        <x:v>Surfaçada</x:v>
      </x:c>
      <x:c r="E1587" s="24" t="str">
        <x:v>Light 2</x:v>
      </x:c>
      <x:c r="F1587" s="24" t="str">
        <x:v>PhotoFusion X</x:v>
      </x:c>
      <x:c r="G1587" s="24" t="str">
        <x:v>1.5</x:v>
      </x:c>
      <x:c r="H1587" s="24" t="str">
        <x:v>1.50</x:v>
      </x:c>
      <x:c r="I1587" s="24" t="str">
        <x:v>DuraVision Silver UV</x:v>
      </x:c>
      <x:c r="J1587" s="40" t="n">
        <x:v>2470</x:v>
      </x:c>
      <x:c r="K1587" s="24" t="str">
        <x:v>-6.00 a +6.00</x:v>
      </x:c>
      <x:c r="L1587" s="24" t="str">
        <x:v>-4.00</x:v>
      </x:c>
      <x:c r="M1587" s="24" t="str">
        <x:v>-</x:v>
      </x:c>
      <x:c r="N1587" s="24" t="str">
        <x:v>75</x:v>
      </x:c>
      <x:c r="O1587" s="24"/>
      <x:c r="P1587" s="24"/>
      <x:c r="Q1587" s="24" t="str">
        <x:v>DISPONÍVEL</x:v>
      </x:c>
      <x:c r="R1587" s="24" t="str">
        <x:v>Programa de Parcerias ZEISS</x:v>
      </x:c>
      <x:c r="S1587" s="24" t="n">
        <x:v>17</x:v>
      </x:c>
      <x:c r="T1587" s="24" t="str">
        <x:v>tabela_zeiss.pdf</x:v>
      </x:c>
      <x:c r="U1587" s="24" t="str">
        <x:v>ZEISS|Visão Simples|Surfaçada|Light 2|PhotoFusion X|1.5|1.50|DuraVision Silver UV|-6.00 a +6.00|-4.00|-|75|||17</x:v>
      </x:c>
    </x:row>
    <x:row r="1588">
      <x:c r="A1588" s="24" t="str">
        <x:v>ZS-79179F392A5C</x:v>
      </x:c>
      <x:c r="B1588" s="24" t="str">
        <x:v>ZEISS</x:v>
      </x:c>
      <x:c r="C1588" s="24" t="str">
        <x:v>Visão Simples</x:v>
      </x:c>
      <x:c r="D1588" s="24" t="str">
        <x:v>Surfaçada</x:v>
      </x:c>
      <x:c r="E1588" s="24" t="str">
        <x:v>Light 2</x:v>
      </x:c>
      <x:c r="F1588" s="24" t="str">
        <x:v>PhotoFusion X</x:v>
      </x:c>
      <x:c r="G1588" s="24" t="str">
        <x:v>1.5</x:v>
      </x:c>
      <x:c r="H1588" s="24" t="str">
        <x:v>1.50</x:v>
      </x:c>
      <x:c r="I1588" s="24" t="str">
        <x:v>DuraVision Chrome UV</x:v>
      </x:c>
      <x:c r="J1588" s="40" t="n">
        <x:v>1980</x:v>
      </x:c>
      <x:c r="K1588" s="24" t="str">
        <x:v>-6.00 a +6.00</x:v>
      </x:c>
      <x:c r="L1588" s="24" t="str">
        <x:v>-4.00</x:v>
      </x:c>
      <x:c r="M1588" s="24" t="str">
        <x:v>-</x:v>
      </x:c>
      <x:c r="N1588" s="24" t="str">
        <x:v>75</x:v>
      </x:c>
      <x:c r="O1588" s="24"/>
      <x:c r="P1588" s="24"/>
      <x:c r="Q1588" s="24" t="str">
        <x:v>DISPONÍVEL</x:v>
      </x:c>
      <x:c r="R1588" s="24" t="str">
        <x:v>Programa de Parcerias ZEISS</x:v>
      </x:c>
      <x:c r="S1588" s="24" t="n">
        <x:v>17</x:v>
      </x:c>
      <x:c r="T1588" s="24" t="str">
        <x:v>tabela_zeiss.pdf</x:v>
      </x:c>
      <x:c r="U1588" s="24" t="str">
        <x:v>ZEISS|Visão Simples|Surfaçada|Light 2|PhotoFusion X|1.5|1.50|DuraVision Chrome UV|-6.00 a +6.00|-4.00|-|75|||17</x:v>
      </x:c>
    </x:row>
    <x:row r="1589">
      <x:c r="A1589" s="24" t="str">
        <x:v>ZS-639E64AAD348</x:v>
      </x:c>
      <x:c r="B1589" s="24" t="str">
        <x:v>ZEISS</x:v>
      </x:c>
      <x:c r="C1589" s="24" t="str">
        <x:v>Visão Simples</x:v>
      </x:c>
      <x:c r="D1589" s="24" t="str">
        <x:v>Surfaçada</x:v>
      </x:c>
      <x:c r="E1589" s="24" t="str">
        <x:v>Light 2</x:v>
      </x:c>
      <x:c r="F1589" s="24" t="str">
        <x:v>PhotoFusion X</x:v>
      </x:c>
      <x:c r="G1589" s="24" t="str">
        <x:v>Poli</x:v>
      </x:c>
      <x:c r="H1589" s="24"/>
      <x:c r="I1589" s="24" t="str">
        <x:v>DuraVision Gold UV</x:v>
      </x:c>
      <x:c r="J1589" s="40" t="n">
        <x:v>3230</x:v>
      </x:c>
      <x:c r="K1589" s="24" t="str">
        <x:v>-10.00 a +8.00</x:v>
      </x:c>
      <x:c r="L1589" s="24" t="str">
        <x:v>-4.00</x:v>
      </x:c>
      <x:c r="M1589" s="24" t="str">
        <x:v>-</x:v>
      </x:c>
      <x:c r="N1589" s="24" t="str">
        <x:v>70</x:v>
      </x:c>
      <x:c r="O1589" s="24"/>
      <x:c r="P1589" s="24"/>
      <x:c r="Q1589" s="24" t="str">
        <x:v>DISPONÍVEL</x:v>
      </x:c>
      <x:c r="R1589" s="24" t="str">
        <x:v>Programa de Parcerias ZEISS</x:v>
      </x:c>
      <x:c r="S1589" s="24" t="n">
        <x:v>17</x:v>
      </x:c>
      <x:c r="T1589" s="24" t="str">
        <x:v>tabela_zeiss.pdf</x:v>
      </x:c>
      <x:c r="U1589" s="24" t="str">
        <x:v>ZEISS|Visão Simples|Surfaçada|Light 2|PhotoFusion X|Poli||DuraVision Gold UV|-10.00 a +8.00|-4.00|-|70|||17</x:v>
      </x:c>
    </x:row>
    <x:row r="1590">
      <x:c r="A1590" s="24" t="str">
        <x:v>ZS-00AAF43FF831</x:v>
      </x:c>
      <x:c r="B1590" s="24" t="str">
        <x:v>ZEISS</x:v>
      </x:c>
      <x:c r="C1590" s="24" t="str">
        <x:v>Visão Simples</x:v>
      </x:c>
      <x:c r="D1590" s="24" t="str">
        <x:v>Surfaçada</x:v>
      </x:c>
      <x:c r="E1590" s="24" t="str">
        <x:v>Light 2</x:v>
      </x:c>
      <x:c r="F1590" s="24" t="str">
        <x:v>PhotoFusion X</x:v>
      </x:c>
      <x:c r="G1590" s="24" t="str">
        <x:v>Poli</x:v>
      </x:c>
      <x:c r="H1590" s="24"/>
      <x:c r="I1590" s="24" t="str">
        <x:v>DuraVision Platinum UV</x:v>
      </x:c>
      <x:c r="J1590" s="40" t="n">
        <x:v>3090</x:v>
      </x:c>
      <x:c r="K1590" s="24" t="str">
        <x:v>-10.00 a +8.00</x:v>
      </x:c>
      <x:c r="L1590" s="24" t="str">
        <x:v>-4.00</x:v>
      </x:c>
      <x:c r="M1590" s="24" t="str">
        <x:v>-</x:v>
      </x:c>
      <x:c r="N1590" s="24" t="str">
        <x:v>70</x:v>
      </x:c>
      <x:c r="O1590" s="24"/>
      <x:c r="P1590" s="24"/>
      <x:c r="Q1590" s="24" t="str">
        <x:v>DISPONÍVEL</x:v>
      </x:c>
      <x:c r="R1590" s="24" t="str">
        <x:v>Programa de Parcerias ZEISS</x:v>
      </x:c>
      <x:c r="S1590" s="24" t="n">
        <x:v>17</x:v>
      </x:c>
      <x:c r="T1590" s="24" t="str">
        <x:v>tabela_zeiss.pdf</x:v>
      </x:c>
      <x:c r="U1590" s="24" t="str">
        <x:v>ZEISS|Visão Simples|Surfaçada|Light 2|PhotoFusion X|Poli||DuraVision Platinum UV|-10.00 a +8.00|-4.00|-|70|||17</x:v>
      </x:c>
    </x:row>
    <x:row r="1591">
      <x:c r="A1591" s="24" t="str">
        <x:v>ZS-A410861DEEE4</x:v>
      </x:c>
      <x:c r="B1591" s="24" t="str">
        <x:v>ZEISS</x:v>
      </x:c>
      <x:c r="C1591" s="24" t="str">
        <x:v>Visão Simples</x:v>
      </x:c>
      <x:c r="D1591" s="24" t="str">
        <x:v>Surfaçada</x:v>
      </x:c>
      <x:c r="E1591" s="24" t="str">
        <x:v>Light 2</x:v>
      </x:c>
      <x:c r="F1591" s="24" t="str">
        <x:v>PhotoFusion X</x:v>
      </x:c>
      <x:c r="G1591" s="24" t="str">
        <x:v>Poli</x:v>
      </x:c>
      <x:c r="H1591" s="24"/>
      <x:c r="I1591" s="24" t="str">
        <x:v>DuraVision Silver UV</x:v>
      </x:c>
      <x:c r="J1591" s="40" t="n">
        <x:v>2830</x:v>
      </x:c>
      <x:c r="K1591" s="24" t="str">
        <x:v>-10.00 a +8.00</x:v>
      </x:c>
      <x:c r="L1591" s="24" t="str">
        <x:v>-4.00</x:v>
      </x:c>
      <x:c r="M1591" s="24" t="str">
        <x:v>-</x:v>
      </x:c>
      <x:c r="N1591" s="24" t="str">
        <x:v>70</x:v>
      </x:c>
      <x:c r="O1591" s="24"/>
      <x:c r="P1591" s="24"/>
      <x:c r="Q1591" s="24" t="str">
        <x:v>DISPONÍVEL</x:v>
      </x:c>
      <x:c r="R1591" s="24" t="str">
        <x:v>Programa de Parcerias ZEISS</x:v>
      </x:c>
      <x:c r="S1591" s="24" t="n">
        <x:v>17</x:v>
      </x:c>
      <x:c r="T1591" s="24" t="str">
        <x:v>tabela_zeiss.pdf</x:v>
      </x:c>
      <x:c r="U1591" s="24" t="str">
        <x:v>ZEISS|Visão Simples|Surfaçada|Light 2|PhotoFusion X|Poli||DuraVision Silver UV|-10.00 a +8.00|-4.00|-|70|||17</x:v>
      </x:c>
    </x:row>
    <x:row r="1592">
      <x:c r="A1592" s="24" t="str">
        <x:v>ZS-3D3B9E3D6D45</x:v>
      </x:c>
      <x:c r="B1592" s="24" t="str">
        <x:v>ZEISS</x:v>
      </x:c>
      <x:c r="C1592" s="24" t="str">
        <x:v>Visão Simples</x:v>
      </x:c>
      <x:c r="D1592" s="24" t="str">
        <x:v>Surfaçada</x:v>
      </x:c>
      <x:c r="E1592" s="24" t="str">
        <x:v>Light 2</x:v>
      </x:c>
      <x:c r="F1592" s="24" t="str">
        <x:v>PhotoFusion X</x:v>
      </x:c>
      <x:c r="G1592" s="24" t="str">
        <x:v>Poli</x:v>
      </x:c>
      <x:c r="H1592" s="24"/>
      <x:c r="I1592" s="24" t="str">
        <x:v>DuraVision Chrome UV</x:v>
      </x:c>
      <x:c r="J1592" s="40" t="n">
        <x:v>2340</x:v>
      </x:c>
      <x:c r="K1592" s="24" t="str">
        <x:v>-10.00 a +8.00</x:v>
      </x:c>
      <x:c r="L1592" s="24" t="str">
        <x:v>-4.00</x:v>
      </x:c>
      <x:c r="M1592" s="24" t="str">
        <x:v>-</x:v>
      </x:c>
      <x:c r="N1592" s="24" t="str">
        <x:v>70</x:v>
      </x:c>
      <x:c r="O1592" s="24"/>
      <x:c r="P1592" s="24"/>
      <x:c r="Q1592" s="24" t="str">
        <x:v>DISPONÍVEL</x:v>
      </x:c>
      <x:c r="R1592" s="24" t="str">
        <x:v>Programa de Parcerias ZEISS</x:v>
      </x:c>
      <x:c r="S1592" s="24" t="n">
        <x:v>17</x:v>
      </x:c>
      <x:c r="T1592" s="24" t="str">
        <x:v>tabela_zeiss.pdf</x:v>
      </x:c>
      <x:c r="U1592" s="24" t="str">
        <x:v>ZEISS|Visão Simples|Surfaçada|Light 2|PhotoFusion X|Poli||DuraVision Chrome UV|-10.00 a +8.00|-4.00|-|70|||17</x:v>
      </x:c>
    </x:row>
    <x:row r="1593">
      <x:c r="A1593" s="24" t="str">
        <x:v>ZS-423F1820AD88</x:v>
      </x:c>
      <x:c r="B1593" s="24" t="str">
        <x:v>ZEISS</x:v>
      </x:c>
      <x:c r="C1593" s="24" t="str">
        <x:v>Visão Simples</x:v>
      </x:c>
      <x:c r="D1593" s="24" t="str">
        <x:v>Surfaçada</x:v>
      </x:c>
      <x:c r="E1593" s="24" t="str">
        <x:v>Light 2</x:v>
      </x:c>
      <x:c r="F1593" s="24" t="str">
        <x:v>PhotoFusion X</x:v>
      </x:c>
      <x:c r="G1593" s="24" t="str">
        <x:v>1.6</x:v>
      </x:c>
      <x:c r="H1593" s="24" t="str">
        <x:v>1.60</x:v>
      </x:c>
      <x:c r="I1593" s="24" t="str">
        <x:v>DuraVision Gold UV</x:v>
      </x:c>
      <x:c r="J1593" s="40" t="n">
        <x:v>3450</x:v>
      </x:c>
      <x:c r="K1593" s="24" t="str">
        <x:v>-6.00 a +8.00</x:v>
      </x:c>
      <x:c r="L1593" s="24" t="str">
        <x:v>-4.00</x:v>
      </x:c>
      <x:c r="M1593" s="24" t="str">
        <x:v>-</x:v>
      </x:c>
      <x:c r="N1593" s="24" t="str">
        <x:v>75</x:v>
      </x:c>
      <x:c r="O1593" s="24"/>
      <x:c r="P1593" s="24"/>
      <x:c r="Q1593" s="24" t="str">
        <x:v>DISPONÍVEL</x:v>
      </x:c>
      <x:c r="R1593" s="24" t="str">
        <x:v>Programa de Parcerias ZEISS</x:v>
      </x:c>
      <x:c r="S1593" s="24" t="n">
        <x:v>17</x:v>
      </x:c>
      <x:c r="T1593" s="24" t="str">
        <x:v>tabela_zeiss.pdf</x:v>
      </x:c>
      <x:c r="U1593" s="24" t="str">
        <x:v>ZEISS|Visão Simples|Surfaçada|Light 2|PhotoFusion X|1.6|1.60|DuraVision Gold UV|-6.00 a +8.00|-4.00|-|75|||17</x:v>
      </x:c>
    </x:row>
    <x:row r="1594">
      <x:c r="A1594" s="24" t="str">
        <x:v>ZS-D852504A1795</x:v>
      </x:c>
      <x:c r="B1594" s="24" t="str">
        <x:v>ZEISS</x:v>
      </x:c>
      <x:c r="C1594" s="24" t="str">
        <x:v>Visão Simples</x:v>
      </x:c>
      <x:c r="D1594" s="24" t="str">
        <x:v>Surfaçada</x:v>
      </x:c>
      <x:c r="E1594" s="24" t="str">
        <x:v>Light 2</x:v>
      </x:c>
      <x:c r="F1594" s="24" t="str">
        <x:v>PhotoFusion X</x:v>
      </x:c>
      <x:c r="G1594" s="24" t="str">
        <x:v>1.6</x:v>
      </x:c>
      <x:c r="H1594" s="24" t="str">
        <x:v>1.60</x:v>
      </x:c>
      <x:c r="I1594" s="24" t="str">
        <x:v>DURAVISION® ANTIVÍRUS PLATINUM UV</x:v>
      </x:c>
      <x:c r="J1594" s="40" t="n">
        <x:v>3310</x:v>
      </x:c>
      <x:c r="K1594" s="24" t="str">
        <x:v>-6.00 a +8.00</x:v>
      </x:c>
      <x:c r="L1594" s="24" t="str">
        <x:v>-4.00</x:v>
      </x:c>
      <x:c r="M1594" s="24" t="str">
        <x:v>-</x:v>
      </x:c>
      <x:c r="N1594" s="24" t="str">
        <x:v>75</x:v>
      </x:c>
      <x:c r="O1594" s="24"/>
      <x:c r="P1594" s="24"/>
      <x:c r="Q1594" s="24" t="str">
        <x:v>DISPONÍVEL</x:v>
      </x:c>
      <x:c r="R1594" s="24" t="str">
        <x:v>Programa de Parcerias ZEISS</x:v>
      </x:c>
      <x:c r="S1594" s="24" t="n">
        <x:v>17</x:v>
      </x:c>
      <x:c r="T1594" s="24" t="str">
        <x:v>tabela_zeiss.pdf</x:v>
      </x:c>
      <x:c r="U1594" s="24" t="str">
        <x:v>ZEISS|Visão Simples|Surfaçada|Light 2|PhotoFusion X|1.6|1.60|DURAVISION® ANTIVÍRUS PLATINUM UV|-6.00 a +8.00|-4.00|-|75|||17</x:v>
      </x:c>
    </x:row>
    <x:row r="1595">
      <x:c r="A1595" s="24" t="str">
        <x:v>ZS-4580880D8417</x:v>
      </x:c>
      <x:c r="B1595" s="24" t="str">
        <x:v>ZEISS</x:v>
      </x:c>
      <x:c r="C1595" s="24" t="str">
        <x:v>Visão Simples</x:v>
      </x:c>
      <x:c r="D1595" s="24" t="str">
        <x:v>Surfaçada</x:v>
      </x:c>
      <x:c r="E1595" s="24" t="str">
        <x:v>Light 2</x:v>
      </x:c>
      <x:c r="F1595" s="24" t="str">
        <x:v>PhotoFusion X</x:v>
      </x:c>
      <x:c r="G1595" s="24" t="str">
        <x:v>1.6</x:v>
      </x:c>
      <x:c r="H1595" s="24" t="str">
        <x:v>1.60</x:v>
      </x:c>
      <x:c r="I1595" s="24" t="str">
        <x:v>DuraVision Platinum UV</x:v>
      </x:c>
      <x:c r="J1595" s="40" t="n">
        <x:v>3310</x:v>
      </x:c>
      <x:c r="K1595" s="24" t="str">
        <x:v>-6.00 a +8.00</x:v>
      </x:c>
      <x:c r="L1595" s="24" t="str">
        <x:v>-4.00</x:v>
      </x:c>
      <x:c r="M1595" s="24" t="str">
        <x:v>-</x:v>
      </x:c>
      <x:c r="N1595" s="24" t="str">
        <x:v>75</x:v>
      </x:c>
      <x:c r="O1595" s="24"/>
      <x:c r="P1595" s="24"/>
      <x:c r="Q1595" s="24" t="str">
        <x:v>DISPONÍVEL</x:v>
      </x:c>
      <x:c r="R1595" s="24" t="str">
        <x:v>Programa de Parcerias ZEISS</x:v>
      </x:c>
      <x:c r="S1595" s="24" t="n">
        <x:v>17</x:v>
      </x:c>
      <x:c r="T1595" s="24" t="str">
        <x:v>tabela_zeiss.pdf</x:v>
      </x:c>
      <x:c r="U1595" s="24" t="str">
        <x:v>ZEISS|Visão Simples|Surfaçada|Light 2|PhotoFusion X|1.6|1.60|DuraVision Platinum UV|-6.00 a +8.00|-4.00|-|75|||17</x:v>
      </x:c>
    </x:row>
    <x:row r="1596">
      <x:c r="A1596" s="24" t="str">
        <x:v>ZS-54E9BC7FD8C9</x:v>
      </x:c>
      <x:c r="B1596" s="24" t="str">
        <x:v>ZEISS</x:v>
      </x:c>
      <x:c r="C1596" s="24" t="str">
        <x:v>Visão Simples</x:v>
      </x:c>
      <x:c r="D1596" s="24" t="str">
        <x:v>Surfaçada</x:v>
      </x:c>
      <x:c r="E1596" s="24" t="str">
        <x:v>Light 2</x:v>
      </x:c>
      <x:c r="F1596" s="24" t="str">
        <x:v>PhotoFusion X</x:v>
      </x:c>
      <x:c r="G1596" s="24" t="str">
        <x:v>1.6</x:v>
      </x:c>
      <x:c r="H1596" s="24" t="str">
        <x:v>1.60</x:v>
      </x:c>
      <x:c r="I1596" s="24" t="str">
        <x:v>DuraVision Silver UV</x:v>
      </x:c>
      <x:c r="J1596" s="40" t="n">
        <x:v>3050</x:v>
      </x:c>
      <x:c r="K1596" s="24" t="str">
        <x:v>-6.00 a +8.00</x:v>
      </x:c>
      <x:c r="L1596" s="24" t="str">
        <x:v>-4.00</x:v>
      </x:c>
      <x:c r="M1596" s="24" t="str">
        <x:v>-</x:v>
      </x:c>
      <x:c r="N1596" s="24" t="str">
        <x:v>75</x:v>
      </x:c>
      <x:c r="O1596" s="24"/>
      <x:c r="P1596" s="24"/>
      <x:c r="Q1596" s="24" t="str">
        <x:v>DISPONÍVEL</x:v>
      </x:c>
      <x:c r="R1596" s="24" t="str">
        <x:v>Programa de Parcerias ZEISS</x:v>
      </x:c>
      <x:c r="S1596" s="24" t="n">
        <x:v>17</x:v>
      </x:c>
      <x:c r="T1596" s="24" t="str">
        <x:v>tabela_zeiss.pdf</x:v>
      </x:c>
      <x:c r="U1596" s="24" t="str">
        <x:v>ZEISS|Visão Simples|Surfaçada|Light 2|PhotoFusion X|1.6|1.60|DuraVision Silver UV|-6.00 a +8.00|-4.00|-|75|||17</x:v>
      </x:c>
    </x:row>
    <x:row r="1597">
      <x:c r="A1597" s="24" t="str">
        <x:v>ZS-4FB264F786D3</x:v>
      </x:c>
      <x:c r="B1597" s="24" t="str">
        <x:v>ZEISS</x:v>
      </x:c>
      <x:c r="C1597" s="24" t="str">
        <x:v>Visão Simples</x:v>
      </x:c>
      <x:c r="D1597" s="24" t="str">
        <x:v>Surfaçada</x:v>
      </x:c>
      <x:c r="E1597" s="24" t="str">
        <x:v>Light 2</x:v>
      </x:c>
      <x:c r="F1597" s="24" t="str">
        <x:v>PhotoFusion X</x:v>
      </x:c>
      <x:c r="G1597" s="24" t="str">
        <x:v>1.6</x:v>
      </x:c>
      <x:c r="H1597" s="24" t="str">
        <x:v>1.60</x:v>
      </x:c>
      <x:c r="I1597" s="24" t="str">
        <x:v>DuraVision Chrome UV</x:v>
      </x:c>
      <x:c r="J1597" s="40" t="n">
        <x:v>2560</x:v>
      </x:c>
      <x:c r="K1597" s="24" t="str">
        <x:v>-6.00 a +8.00</x:v>
      </x:c>
      <x:c r="L1597" s="24" t="str">
        <x:v>-4.00</x:v>
      </x:c>
      <x:c r="M1597" s="24" t="str">
        <x:v>-</x:v>
      </x:c>
      <x:c r="N1597" s="24" t="str">
        <x:v>75</x:v>
      </x:c>
      <x:c r="O1597" s="24"/>
      <x:c r="P1597" s="24"/>
      <x:c r="Q1597" s="24" t="str">
        <x:v>DISPONÍVEL</x:v>
      </x:c>
      <x:c r="R1597" s="24" t="str">
        <x:v>Programa de Parcerias ZEISS</x:v>
      </x:c>
      <x:c r="S1597" s="24" t="n">
        <x:v>17</x:v>
      </x:c>
      <x:c r="T1597" s="24" t="str">
        <x:v>tabela_zeiss.pdf</x:v>
      </x:c>
      <x:c r="U1597" s="24" t="str">
        <x:v>ZEISS|Visão Simples|Surfaçada|Light 2|PhotoFusion X|1.6|1.60|DuraVision Chrome UV|-6.00 a +8.00|-4.00|-|75|||17</x:v>
      </x:c>
    </x:row>
    <x:row r="1598">
      <x:c r="A1598" s="24" t="str">
        <x:v>ZS-AF90EC5F17F6</x:v>
      </x:c>
      <x:c r="B1598" s="24" t="str">
        <x:v>ZEISS</x:v>
      </x:c>
      <x:c r="C1598" s="24" t="str">
        <x:v>Visão Simples</x:v>
      </x:c>
      <x:c r="D1598" s="24" t="str">
        <x:v>Surfaçada</x:v>
      </x:c>
      <x:c r="E1598" s="24" t="str">
        <x:v>Light 2</x:v>
      </x:c>
      <x:c r="F1598" s="24" t="str">
        <x:v>PhotoFusion X</x:v>
      </x:c>
      <x:c r="G1598" s="24" t="str">
        <x:v>1.67</x:v>
      </x:c>
      <x:c r="H1598" s="24" t="str">
        <x:v>1.67</x:v>
      </x:c>
      <x:c r="I1598" s="24" t="str">
        <x:v>DuraVision Gold UV</x:v>
      </x:c>
      <x:c r="J1598" s="40" t="n">
        <x:v>4750</x:v>
      </x:c>
      <x:c r="K1598" s="24" t="str">
        <x:v>-8.00 a +8.00</x:v>
      </x:c>
      <x:c r="L1598" s="24" t="str">
        <x:v>-6.00</x:v>
      </x:c>
      <x:c r="M1598" s="24" t="str">
        <x:v>-</x:v>
      </x:c>
      <x:c r="N1598" s="24" t="str">
        <x:v>70</x:v>
      </x:c>
      <x:c r="O1598" s="24"/>
      <x:c r="P1598" s="24"/>
      <x:c r="Q1598" s="24" t="str">
        <x:v>DISPONÍVEL</x:v>
      </x:c>
      <x:c r="R1598" s="24" t="str">
        <x:v>Programa de Parcerias ZEISS</x:v>
      </x:c>
      <x:c r="S1598" s="24" t="n">
        <x:v>17</x:v>
      </x:c>
      <x:c r="T1598" s="24" t="str">
        <x:v>tabela_zeiss.pdf</x:v>
      </x:c>
      <x:c r="U1598" s="24" t="str">
        <x:v>ZEISS|Visão Simples|Surfaçada|Light 2|PhotoFusion X|1.67|1.67|DuraVision Gold UV|-8.00 a +8.00|-6.00|-|70|||17</x:v>
      </x:c>
    </x:row>
    <x:row r="1599">
      <x:c r="A1599" s="24" t="str">
        <x:v>ZS-2C28A312E768</x:v>
      </x:c>
      <x:c r="B1599" s="24" t="str">
        <x:v>ZEISS</x:v>
      </x:c>
      <x:c r="C1599" s="24" t="str">
        <x:v>Visão Simples</x:v>
      </x:c>
      <x:c r="D1599" s="24" t="str">
        <x:v>Surfaçada</x:v>
      </x:c>
      <x:c r="E1599" s="24" t="str">
        <x:v>Light 2</x:v>
      </x:c>
      <x:c r="F1599" s="24" t="str">
        <x:v>PhotoFusion X</x:v>
      </x:c>
      <x:c r="G1599" s="24" t="str">
        <x:v>1.67</x:v>
      </x:c>
      <x:c r="H1599" s="24" t="str">
        <x:v>1.67</x:v>
      </x:c>
      <x:c r="I1599" s="24" t="str">
        <x:v>DURAVISION® ANTIVÍRUS PLATINUM UV</x:v>
      </x:c>
      <x:c r="J1599" s="40" t="n">
        <x:v>4610</x:v>
      </x:c>
      <x:c r="K1599" s="24" t="str">
        <x:v>-8.00 a +8.00</x:v>
      </x:c>
      <x:c r="L1599" s="24" t="str">
        <x:v>-6.00</x:v>
      </x:c>
      <x:c r="M1599" s="24" t="str">
        <x:v>-</x:v>
      </x:c>
      <x:c r="N1599" s="24" t="str">
        <x:v>70</x:v>
      </x:c>
      <x:c r="O1599" s="24"/>
      <x:c r="P1599" s="24"/>
      <x:c r="Q1599" s="24" t="str">
        <x:v>DISPONÍVEL</x:v>
      </x:c>
      <x:c r="R1599" s="24" t="str">
        <x:v>Programa de Parcerias ZEISS</x:v>
      </x:c>
      <x:c r="S1599" s="24" t="n">
        <x:v>17</x:v>
      </x:c>
      <x:c r="T1599" s="24" t="str">
        <x:v>tabela_zeiss.pdf</x:v>
      </x:c>
      <x:c r="U1599" s="24" t="str">
        <x:v>ZEISS|Visão Simples|Surfaçada|Light 2|PhotoFusion X|1.67|1.67|DURAVISION® ANTIVÍRUS PLATINUM UV|-8.00 a +8.00|-6.00|-|70|||17</x:v>
      </x:c>
    </x:row>
    <x:row r="1600">
      <x:c r="A1600" s="24" t="str">
        <x:v>ZS-A74C2F352603</x:v>
      </x:c>
      <x:c r="B1600" s="24" t="str">
        <x:v>ZEISS</x:v>
      </x:c>
      <x:c r="C1600" s="24" t="str">
        <x:v>Visão Simples</x:v>
      </x:c>
      <x:c r="D1600" s="24" t="str">
        <x:v>Surfaçada</x:v>
      </x:c>
      <x:c r="E1600" s="24" t="str">
        <x:v>Light 2</x:v>
      </x:c>
      <x:c r="F1600" s="24" t="str">
        <x:v>PhotoFusion X</x:v>
      </x:c>
      <x:c r="G1600" s="24" t="str">
        <x:v>1.67</x:v>
      </x:c>
      <x:c r="H1600" s="24" t="str">
        <x:v>1.67</x:v>
      </x:c>
      <x:c r="I1600" s="24" t="str">
        <x:v>DuraVision Platinum UV</x:v>
      </x:c>
      <x:c r="J1600" s="40" t="n">
        <x:v>4610</x:v>
      </x:c>
      <x:c r="K1600" s="24" t="str">
        <x:v>-8.00 a +8.00</x:v>
      </x:c>
      <x:c r="L1600" s="24" t="str">
        <x:v>-6.00</x:v>
      </x:c>
      <x:c r="M1600" s="24" t="str">
        <x:v>-</x:v>
      </x:c>
      <x:c r="N1600" s="24" t="str">
        <x:v>70</x:v>
      </x:c>
      <x:c r="O1600" s="24"/>
      <x:c r="P1600" s="24"/>
      <x:c r="Q1600" s="24" t="str">
        <x:v>DISPONÍVEL</x:v>
      </x:c>
      <x:c r="R1600" s="24" t="str">
        <x:v>Programa de Parcerias ZEISS</x:v>
      </x:c>
      <x:c r="S1600" s="24" t="n">
        <x:v>17</x:v>
      </x:c>
      <x:c r="T1600" s="24" t="str">
        <x:v>tabela_zeiss.pdf</x:v>
      </x:c>
      <x:c r="U1600" s="24" t="str">
        <x:v>ZEISS|Visão Simples|Surfaçada|Light 2|PhotoFusion X|1.67|1.67|DuraVision Platinum UV|-8.00 a +8.00|-6.00|-|70|||17</x:v>
      </x:c>
    </x:row>
    <x:row r="1601">
      <x:c r="A1601" s="24" t="str">
        <x:v>ZS-E30FF930481E</x:v>
      </x:c>
      <x:c r="B1601" s="24" t="str">
        <x:v>ZEISS</x:v>
      </x:c>
      <x:c r="C1601" s="24" t="str">
        <x:v>Visão Simples</x:v>
      </x:c>
      <x:c r="D1601" s="24" t="str">
        <x:v>Surfaçada</x:v>
      </x:c>
      <x:c r="E1601" s="24" t="str">
        <x:v>Light 2</x:v>
      </x:c>
      <x:c r="F1601" s="24" t="str">
        <x:v>PhotoFusion X</x:v>
      </x:c>
      <x:c r="G1601" s="24" t="str">
        <x:v>1.67</x:v>
      </x:c>
      <x:c r="H1601" s="24" t="str">
        <x:v>1.67</x:v>
      </x:c>
      <x:c r="I1601" s="24" t="str">
        <x:v>DuraVision Silver UV</x:v>
      </x:c>
      <x:c r="J1601" s="40" t="n">
        <x:v>4350</x:v>
      </x:c>
      <x:c r="K1601" s="24" t="str">
        <x:v>-8.00 a +8.00</x:v>
      </x:c>
      <x:c r="L1601" s="24" t="str">
        <x:v>-6.00</x:v>
      </x:c>
      <x:c r="M1601" s="24" t="str">
        <x:v>-</x:v>
      </x:c>
      <x:c r="N1601" s="24" t="str">
        <x:v>70</x:v>
      </x:c>
      <x:c r="O1601" s="24"/>
      <x:c r="P1601" s="24"/>
      <x:c r="Q1601" s="24" t="str">
        <x:v>DISPONÍVEL</x:v>
      </x:c>
      <x:c r="R1601" s="24" t="str">
        <x:v>Programa de Parcerias ZEISS</x:v>
      </x:c>
      <x:c r="S1601" s="24" t="n">
        <x:v>17</x:v>
      </x:c>
      <x:c r="T1601" s="24" t="str">
        <x:v>tabela_zeiss.pdf</x:v>
      </x:c>
      <x:c r="U1601" s="24" t="str">
        <x:v>ZEISS|Visão Simples|Surfaçada|Light 2|PhotoFusion X|1.67|1.67|DuraVision Silver UV|-8.00 a +8.00|-6.00|-|70|||17</x:v>
      </x:c>
    </x:row>
    <x:row r="1602">
      <x:c r="A1602" s="24" t="str">
        <x:v>ZS-10D05A8A3A8B</x:v>
      </x:c>
      <x:c r="B1602" s="24" t="str">
        <x:v>ZEISS</x:v>
      </x:c>
      <x:c r="C1602" s="24" t="str">
        <x:v>Visão Simples</x:v>
      </x:c>
      <x:c r="D1602" s="24" t="str">
        <x:v>Surfaçada</x:v>
      </x:c>
      <x:c r="E1602" s="24" t="str">
        <x:v>Light 2</x:v>
      </x:c>
      <x:c r="F1602" s="24" t="str">
        <x:v>PhotoFusion X</x:v>
      </x:c>
      <x:c r="G1602" s="24" t="str">
        <x:v>1.67</x:v>
      </x:c>
      <x:c r="H1602" s="24" t="str">
        <x:v>1.67</x:v>
      </x:c>
      <x:c r="I1602" s="24" t="str">
        <x:v>DuraVision Chrome UV</x:v>
      </x:c>
      <x:c r="J1602" s="40" t="n">
        <x:v>3860</x:v>
      </x:c>
      <x:c r="K1602" s="24" t="str">
        <x:v>-8.00 a +8.00</x:v>
      </x:c>
      <x:c r="L1602" s="24" t="str">
        <x:v>-6.00</x:v>
      </x:c>
      <x:c r="M1602" s="24" t="str">
        <x:v>-</x:v>
      </x:c>
      <x:c r="N1602" s="24" t="str">
        <x:v>70</x:v>
      </x:c>
      <x:c r="O1602" s="24"/>
      <x:c r="P1602" s="24"/>
      <x:c r="Q1602" s="24" t="str">
        <x:v>DISPONÍVEL</x:v>
      </x:c>
      <x:c r="R1602" s="24" t="str">
        <x:v>Programa de Parcerias ZEISS</x:v>
      </x:c>
      <x:c r="S1602" s="24" t="n">
        <x:v>17</x:v>
      </x:c>
      <x:c r="T1602" s="24" t="str">
        <x:v>tabela_zeiss.pdf</x:v>
      </x:c>
      <x:c r="U1602" s="24" t="str">
        <x:v>ZEISS|Visão Simples|Surfaçada|Light 2|PhotoFusion X|1.67|1.67|DuraVision Chrome UV|-8.00 a +8.00|-6.00|-|70|||17</x:v>
      </x:c>
    </x:row>
    <x:row r="1603">
      <x:c r="A1603" s="24" t="str">
        <x:v>ZS-77055D996252</x:v>
      </x:c>
      <x:c r="B1603" s="24" t="str">
        <x:v>ZEISS</x:v>
      </x:c>
      <x:c r="C1603" s="24" t="str">
        <x:v>Visão Simples</x:v>
      </x:c>
      <x:c r="D1603" s="24" t="str">
        <x:v>Surfaçada</x:v>
      </x:c>
      <x:c r="E1603" s="24" t="str">
        <x:v>Light 2</x:v>
      </x:c>
      <x:c r="F1603" s="24" t="str">
        <x:v>PhotoFusion X Extra Dark Cinza</x:v>
      </x:c>
      <x:c r="G1603" s="24" t="str">
        <x:v>1.5</x:v>
      </x:c>
      <x:c r="H1603" s="24" t="str">
        <x:v>1.50</x:v>
      </x:c>
      <x:c r="I1603" s="24" t="str">
        <x:v>DuraVision Gold UV</x:v>
      </x:c>
      <x:c r="J1603" s="40" t="n">
        <x:v>2920</x:v>
      </x:c>
      <x:c r="K1603" s="24" t="str">
        <x:v>-6.00 a +6.00</x:v>
      </x:c>
      <x:c r="L1603" s="24" t="str">
        <x:v>-4.00</x:v>
      </x:c>
      <x:c r="M1603" s="24" t="str">
        <x:v>-</x:v>
      </x:c>
      <x:c r="N1603" s="24" t="str">
        <x:v>75</x:v>
      </x:c>
      <x:c r="O1603" s="24"/>
      <x:c r="P1603" s="24"/>
      <x:c r="Q1603" s="24" t="str">
        <x:v>DISPONÍVEL</x:v>
      </x:c>
      <x:c r="R1603" s="24" t="str">
        <x:v>Programa de Parcerias ZEISS</x:v>
      </x:c>
      <x:c r="S1603" s="24" t="n">
        <x:v>17</x:v>
      </x:c>
      <x:c r="T1603" s="24" t="str">
        <x:v>tabela_zeiss.pdf</x:v>
      </x:c>
      <x:c r="U1603" s="24" t="str">
        <x:v>ZEISS|Visão Simples|Surfaçada|Light 2|PhotoFusion X Extra Dark Cinza|1.5|1.50|DuraVision Gold UV|-6.00 a +6.00|-4.00|-|75|||17</x:v>
      </x:c>
    </x:row>
    <x:row r="1604">
      <x:c r="A1604" s="24" t="str">
        <x:v>ZS-51DD86541477</x:v>
      </x:c>
      <x:c r="B1604" s="24" t="str">
        <x:v>ZEISS</x:v>
      </x:c>
      <x:c r="C1604" s="24" t="str">
        <x:v>Visão Simples</x:v>
      </x:c>
      <x:c r="D1604" s="24" t="str">
        <x:v>Surfaçada</x:v>
      </x:c>
      <x:c r="E1604" s="24" t="str">
        <x:v>Light 2</x:v>
      </x:c>
      <x:c r="F1604" s="24" t="str">
        <x:v>PhotoFusion X Extra Dark Cinza</x:v>
      </x:c>
      <x:c r="G1604" s="24" t="str">
        <x:v>1.5</x:v>
      </x:c>
      <x:c r="H1604" s="24" t="str">
        <x:v>1.50</x:v>
      </x:c>
      <x:c r="I1604" s="24" t="str">
        <x:v>DURAVISION® ANTIVÍRUS PLATINUM UV</x:v>
      </x:c>
      <x:c r="J1604" s="40" t="n">
        <x:v>2780</x:v>
      </x:c>
      <x:c r="K1604" s="24" t="str">
        <x:v>-6.00 a +6.00</x:v>
      </x:c>
      <x:c r="L1604" s="24" t="str">
        <x:v>-4.00</x:v>
      </x:c>
      <x:c r="M1604" s="24" t="str">
        <x:v>-</x:v>
      </x:c>
      <x:c r="N1604" s="24" t="str">
        <x:v>75</x:v>
      </x:c>
      <x:c r="O1604" s="24"/>
      <x:c r="P1604" s="24"/>
      <x:c r="Q1604" s="24" t="str">
        <x:v>DISPONÍVEL</x:v>
      </x:c>
      <x:c r="R1604" s="24" t="str">
        <x:v>Programa de Parcerias ZEISS</x:v>
      </x:c>
      <x:c r="S1604" s="24" t="n">
        <x:v>17</x:v>
      </x:c>
      <x:c r="T1604" s="24" t="str">
        <x:v>tabela_zeiss.pdf</x:v>
      </x:c>
      <x:c r="U1604" s="24" t="str">
        <x:v>ZEISS|Visão Simples|Surfaçada|Light 2|PhotoFusion X Extra Dark Cinza|1.5|1.50|DURAVISION® ANTIVÍRUS PLATINUM UV|-6.00 a +6.00|-4.00|-|75|||17</x:v>
      </x:c>
    </x:row>
    <x:row r="1605">
      <x:c r="A1605" s="24" t="str">
        <x:v>ZS-A0B90D653019</x:v>
      </x:c>
      <x:c r="B1605" s="24" t="str">
        <x:v>ZEISS</x:v>
      </x:c>
      <x:c r="C1605" s="24" t="str">
        <x:v>Visão Simples</x:v>
      </x:c>
      <x:c r="D1605" s="24" t="str">
        <x:v>Surfaçada</x:v>
      </x:c>
      <x:c r="E1605" s="24" t="str">
        <x:v>Light 2</x:v>
      </x:c>
      <x:c r="F1605" s="24" t="str">
        <x:v>PhotoFusion X Extra Dark Cinza</x:v>
      </x:c>
      <x:c r="G1605" s="24" t="str">
        <x:v>1.5</x:v>
      </x:c>
      <x:c r="H1605" s="24" t="str">
        <x:v>1.50</x:v>
      </x:c>
      <x:c r="I1605" s="24" t="str">
        <x:v>DuraVision Platinum UV</x:v>
      </x:c>
      <x:c r="J1605" s="40" t="n">
        <x:v>2780</x:v>
      </x:c>
      <x:c r="K1605" s="24" t="str">
        <x:v>-6.00 a +6.00</x:v>
      </x:c>
      <x:c r="L1605" s="24" t="str">
        <x:v>-4.00</x:v>
      </x:c>
      <x:c r="M1605" s="24" t="str">
        <x:v>-</x:v>
      </x:c>
      <x:c r="N1605" s="24" t="str">
        <x:v>75</x:v>
      </x:c>
      <x:c r="O1605" s="24"/>
      <x:c r="P1605" s="24"/>
      <x:c r="Q1605" s="24" t="str">
        <x:v>DISPONÍVEL</x:v>
      </x:c>
      <x:c r="R1605" s="24" t="str">
        <x:v>Programa de Parcerias ZEISS</x:v>
      </x:c>
      <x:c r="S1605" s="24" t="n">
        <x:v>17</x:v>
      </x:c>
      <x:c r="T1605" s="24" t="str">
        <x:v>tabela_zeiss.pdf</x:v>
      </x:c>
      <x:c r="U1605" s="24" t="str">
        <x:v>ZEISS|Visão Simples|Surfaçada|Light 2|PhotoFusion X Extra Dark Cinza|1.5|1.50|DuraVision Platinum UV|-6.00 a +6.00|-4.00|-|75|||17</x:v>
      </x:c>
    </x:row>
    <x:row r="1606">
      <x:c r="A1606" s="24" t="str">
        <x:v>ZS-7D257F41049D</x:v>
      </x:c>
      <x:c r="B1606" s="24" t="str">
        <x:v>ZEISS</x:v>
      </x:c>
      <x:c r="C1606" s="24" t="str">
        <x:v>Visão Simples</x:v>
      </x:c>
      <x:c r="D1606" s="24" t="str">
        <x:v>Surfaçada</x:v>
      </x:c>
      <x:c r="E1606" s="24" t="str">
        <x:v>Light 2</x:v>
      </x:c>
      <x:c r="F1606" s="24" t="str">
        <x:v>PhotoFusion X Extra Dark Cinza</x:v>
      </x:c>
      <x:c r="G1606" s="24" t="str">
        <x:v>1.5</x:v>
      </x:c>
      <x:c r="H1606" s="24" t="str">
        <x:v>1.50</x:v>
      </x:c>
      <x:c r="I1606" s="24" t="str">
        <x:v>DuraVision Silver UV</x:v>
      </x:c>
      <x:c r="J1606" s="40" t="n">
        <x:v>2520</x:v>
      </x:c>
      <x:c r="K1606" s="24" t="str">
        <x:v>-6.00 a +6.00</x:v>
      </x:c>
      <x:c r="L1606" s="24" t="str">
        <x:v>-4.00</x:v>
      </x:c>
      <x:c r="M1606" s="24" t="str">
        <x:v>-</x:v>
      </x:c>
      <x:c r="N1606" s="24" t="str">
        <x:v>75</x:v>
      </x:c>
      <x:c r="O1606" s="24"/>
      <x:c r="P1606" s="24"/>
      <x:c r="Q1606" s="24" t="str">
        <x:v>DISPONÍVEL</x:v>
      </x:c>
      <x:c r="R1606" s="24" t="str">
        <x:v>Programa de Parcerias ZEISS</x:v>
      </x:c>
      <x:c r="S1606" s="24" t="n">
        <x:v>17</x:v>
      </x:c>
      <x:c r="T1606" s="24" t="str">
        <x:v>tabela_zeiss.pdf</x:v>
      </x:c>
      <x:c r="U1606" s="24" t="str">
        <x:v>ZEISS|Visão Simples|Surfaçada|Light 2|PhotoFusion X Extra Dark Cinza|1.5|1.50|DuraVision Silver UV|-6.00 a +6.00|-4.00|-|75|||17</x:v>
      </x:c>
    </x:row>
    <x:row r="1607">
      <x:c r="A1607" s="24" t="str">
        <x:v>ZS-49E2DAF4887C</x:v>
      </x:c>
      <x:c r="B1607" s="24" t="str">
        <x:v>ZEISS</x:v>
      </x:c>
      <x:c r="C1607" s="24" t="str">
        <x:v>Visão Simples</x:v>
      </x:c>
      <x:c r="D1607" s="24" t="str">
        <x:v>Surfaçada</x:v>
      </x:c>
      <x:c r="E1607" s="24" t="str">
        <x:v>Light 2</x:v>
      </x:c>
      <x:c r="F1607" s="24" t="str">
        <x:v>PhotoFusion X Extra Dark Cinza</x:v>
      </x:c>
      <x:c r="G1607" s="24" t="str">
        <x:v>1.5</x:v>
      </x:c>
      <x:c r="H1607" s="24" t="str">
        <x:v>1.50</x:v>
      </x:c>
      <x:c r="I1607" s="24" t="str">
        <x:v>DuraVision Chrome UV</x:v>
      </x:c>
      <x:c r="J1607" s="40" t="n">
        <x:v>2030</x:v>
      </x:c>
      <x:c r="K1607" s="24" t="str">
        <x:v>-6.00 a +6.00</x:v>
      </x:c>
      <x:c r="L1607" s="24" t="str">
        <x:v>-4.00</x:v>
      </x:c>
      <x:c r="M1607" s="24" t="str">
        <x:v>-</x:v>
      </x:c>
      <x:c r="N1607" s="24" t="str">
        <x:v>75</x:v>
      </x:c>
      <x:c r="O1607" s="24"/>
      <x:c r="P1607" s="24"/>
      <x:c r="Q1607" s="24" t="str">
        <x:v>DISPONÍVEL</x:v>
      </x:c>
      <x:c r="R1607" s="24" t="str">
        <x:v>Programa de Parcerias ZEISS</x:v>
      </x:c>
      <x:c r="S1607" s="24" t="n">
        <x:v>17</x:v>
      </x:c>
      <x:c r="T1607" s="24" t="str">
        <x:v>tabela_zeiss.pdf</x:v>
      </x:c>
      <x:c r="U1607" s="24" t="str">
        <x:v>ZEISS|Visão Simples|Surfaçada|Light 2|PhotoFusion X Extra Dark Cinza|1.5|1.50|DuraVision Chrome UV|-6.00 a +6.00|-4.00|-|75|||17</x:v>
      </x:c>
    </x:row>
    <x:row r="1608">
      <x:c r="A1608" s="24" t="str">
        <x:v>ZS-C9AF347FEDD2</x:v>
      </x:c>
      <x:c r="B1608" s="24" t="str">
        <x:v>ZEISS</x:v>
      </x:c>
      <x:c r="C1608" s="24" t="str">
        <x:v>Visão Simples</x:v>
      </x:c>
      <x:c r="D1608" s="24" t="str">
        <x:v>Surfaçada</x:v>
      </x:c>
      <x:c r="E1608" s="24" t="str">
        <x:v>Light 2</x:v>
      </x:c>
      <x:c r="F1608" s="24" t="str">
        <x:v>PhotoFusion X Extra Dark Cinza</x:v>
      </x:c>
      <x:c r="G1608" s="24" t="str">
        <x:v>Poli</x:v>
      </x:c>
      <x:c r="H1608" s="24"/>
      <x:c r="I1608" s="24" t="str">
        <x:v>DuraVision Gold UV</x:v>
      </x:c>
      <x:c r="J1608" s="40" t="n">
        <x:v>3280</x:v>
      </x:c>
      <x:c r="K1608" s="24" t="str">
        <x:v>-10.00 a +8.00</x:v>
      </x:c>
      <x:c r="L1608" s="24" t="str">
        <x:v>-4.00</x:v>
      </x:c>
      <x:c r="M1608" s="24" t="str">
        <x:v>-</x:v>
      </x:c>
      <x:c r="N1608" s="24" t="str">
        <x:v>70</x:v>
      </x:c>
      <x:c r="O1608" s="24"/>
      <x:c r="P1608" s="24"/>
      <x:c r="Q1608" s="24" t="str">
        <x:v>DISPONÍVEL</x:v>
      </x:c>
      <x:c r="R1608" s="24" t="str">
        <x:v>Programa de Parcerias ZEISS</x:v>
      </x:c>
      <x:c r="S1608" s="24" t="n">
        <x:v>17</x:v>
      </x:c>
      <x:c r="T1608" s="24" t="str">
        <x:v>tabela_zeiss.pdf</x:v>
      </x:c>
      <x:c r="U1608" s="24" t="str">
        <x:v>ZEISS|Visão Simples|Surfaçada|Light 2|PhotoFusion X Extra Dark Cinza|Poli||DuraVision Gold UV|-10.00 a +8.00|-4.00|-|70|||17</x:v>
      </x:c>
    </x:row>
    <x:row r="1609">
      <x:c r="A1609" s="24" t="str">
        <x:v>ZS-3A3ACD63F3D1</x:v>
      </x:c>
      <x:c r="B1609" s="24" t="str">
        <x:v>ZEISS</x:v>
      </x:c>
      <x:c r="C1609" s="24" t="str">
        <x:v>Visão Simples</x:v>
      </x:c>
      <x:c r="D1609" s="24" t="str">
        <x:v>Surfaçada</x:v>
      </x:c>
      <x:c r="E1609" s="24" t="str">
        <x:v>Light 2</x:v>
      </x:c>
      <x:c r="F1609" s="24" t="str">
        <x:v>PhotoFusion X Extra Dark Cinza</x:v>
      </x:c>
      <x:c r="G1609" s="24" t="str">
        <x:v>Poli</x:v>
      </x:c>
      <x:c r="H1609" s="24"/>
      <x:c r="I1609" s="24" t="str">
        <x:v>DuraVision Platinum UV</x:v>
      </x:c>
      <x:c r="J1609" s="40" t="n">
        <x:v>3140</x:v>
      </x:c>
      <x:c r="K1609" s="24" t="str">
        <x:v>-10.00 a +8.00</x:v>
      </x:c>
      <x:c r="L1609" s="24" t="str">
        <x:v>-4.00</x:v>
      </x:c>
      <x:c r="M1609" s="24" t="str">
        <x:v>-</x:v>
      </x:c>
      <x:c r="N1609" s="24" t="str">
        <x:v>70</x:v>
      </x:c>
      <x:c r="O1609" s="24"/>
      <x:c r="P1609" s="24"/>
      <x:c r="Q1609" s="24" t="str">
        <x:v>DISPONÍVEL</x:v>
      </x:c>
      <x:c r="R1609" s="24" t="str">
        <x:v>Programa de Parcerias ZEISS</x:v>
      </x:c>
      <x:c r="S1609" s="24" t="n">
        <x:v>17</x:v>
      </x:c>
      <x:c r="T1609" s="24" t="str">
        <x:v>tabela_zeiss.pdf</x:v>
      </x:c>
      <x:c r="U1609" s="24" t="str">
        <x:v>ZEISS|Visão Simples|Surfaçada|Light 2|PhotoFusion X Extra Dark Cinza|Poli||DuraVision Platinum UV|-10.00 a +8.00|-4.00|-|70|||17</x:v>
      </x:c>
    </x:row>
    <x:row r="1610">
      <x:c r="A1610" s="24" t="str">
        <x:v>ZS-62CF8E9A860A</x:v>
      </x:c>
      <x:c r="B1610" s="24" t="str">
        <x:v>ZEISS</x:v>
      </x:c>
      <x:c r="C1610" s="24" t="str">
        <x:v>Visão Simples</x:v>
      </x:c>
      <x:c r="D1610" s="24" t="str">
        <x:v>Surfaçada</x:v>
      </x:c>
      <x:c r="E1610" s="24" t="str">
        <x:v>Light 2</x:v>
      </x:c>
      <x:c r="F1610" s="24" t="str">
        <x:v>PhotoFusion X Extra Dark Cinza</x:v>
      </x:c>
      <x:c r="G1610" s="24" t="str">
        <x:v>Poli</x:v>
      </x:c>
      <x:c r="H1610" s="24"/>
      <x:c r="I1610" s="24" t="str">
        <x:v>DuraVision Silver UV</x:v>
      </x:c>
      <x:c r="J1610" s="40" t="n">
        <x:v>2880</x:v>
      </x:c>
      <x:c r="K1610" s="24" t="str">
        <x:v>-10.00 a +8.00</x:v>
      </x:c>
      <x:c r="L1610" s="24" t="str">
        <x:v>-4.00</x:v>
      </x:c>
      <x:c r="M1610" s="24" t="str">
        <x:v>-</x:v>
      </x:c>
      <x:c r="N1610" s="24" t="str">
        <x:v>70</x:v>
      </x:c>
      <x:c r="O1610" s="24"/>
      <x:c r="P1610" s="24"/>
      <x:c r="Q1610" s="24" t="str">
        <x:v>DISPONÍVEL</x:v>
      </x:c>
      <x:c r="R1610" s="24" t="str">
        <x:v>Programa de Parcerias ZEISS</x:v>
      </x:c>
      <x:c r="S1610" s="24" t="n">
        <x:v>17</x:v>
      </x:c>
      <x:c r="T1610" s="24" t="str">
        <x:v>tabela_zeiss.pdf</x:v>
      </x:c>
      <x:c r="U1610" s="24" t="str">
        <x:v>ZEISS|Visão Simples|Surfaçada|Light 2|PhotoFusion X Extra Dark Cinza|Poli||DuraVision Silver UV|-10.00 a +8.00|-4.00|-|70|||17</x:v>
      </x:c>
    </x:row>
    <x:row r="1611">
      <x:c r="A1611" s="24" t="str">
        <x:v>ZS-D8E94EB60999</x:v>
      </x:c>
      <x:c r="B1611" s="24" t="str">
        <x:v>ZEISS</x:v>
      </x:c>
      <x:c r="C1611" s="24" t="str">
        <x:v>Visão Simples</x:v>
      </x:c>
      <x:c r="D1611" s="24" t="str">
        <x:v>Surfaçada</x:v>
      </x:c>
      <x:c r="E1611" s="24" t="str">
        <x:v>Light 2</x:v>
      </x:c>
      <x:c r="F1611" s="24" t="str">
        <x:v>PhotoFusion X Extra Dark Cinza</x:v>
      </x:c>
      <x:c r="G1611" s="24" t="str">
        <x:v>Poli</x:v>
      </x:c>
      <x:c r="H1611" s="24"/>
      <x:c r="I1611" s="24" t="str">
        <x:v>DuraVision Chrome UV</x:v>
      </x:c>
      <x:c r="J1611" s="40" t="n">
        <x:v>2390</x:v>
      </x:c>
      <x:c r="K1611" s="24" t="str">
        <x:v>-10.00 a +8.00</x:v>
      </x:c>
      <x:c r="L1611" s="24" t="str">
        <x:v>-4.00</x:v>
      </x:c>
      <x:c r="M1611" s="24" t="str">
        <x:v>-</x:v>
      </x:c>
      <x:c r="N1611" s="24" t="str">
        <x:v>70</x:v>
      </x:c>
      <x:c r="O1611" s="24"/>
      <x:c r="P1611" s="24"/>
      <x:c r="Q1611" s="24" t="str">
        <x:v>DISPONÍVEL</x:v>
      </x:c>
      <x:c r="R1611" s="24" t="str">
        <x:v>Programa de Parcerias ZEISS</x:v>
      </x:c>
      <x:c r="S1611" s="24" t="n">
        <x:v>17</x:v>
      </x:c>
      <x:c r="T1611" s="24" t="str">
        <x:v>tabela_zeiss.pdf</x:v>
      </x:c>
      <x:c r="U1611" s="24" t="str">
        <x:v>ZEISS|Visão Simples|Surfaçada|Light 2|PhotoFusion X Extra Dark Cinza|Poli||DuraVision Chrome UV|-10.00 a +8.00|-4.00|-|70|||17</x:v>
      </x:c>
    </x:row>
    <x:row r="1612">
      <x:c r="A1612" s="24" t="str">
        <x:v>ZS-ADA1815CBD05</x:v>
      </x:c>
      <x:c r="B1612" s="24" t="str">
        <x:v>ZEISS</x:v>
      </x:c>
      <x:c r="C1612" s="24" t="str">
        <x:v>Visão Simples</x:v>
      </x:c>
      <x:c r="D1612" s="24" t="str">
        <x:v>Surfaçada</x:v>
      </x:c>
      <x:c r="E1612" s="24" t="str">
        <x:v>Light 2</x:v>
      </x:c>
      <x:c r="F1612" s="24" t="str">
        <x:v>PhotoFusion X Extra Dark Cinza</x:v>
      </x:c>
      <x:c r="G1612" s="24" t="str">
        <x:v>1.6</x:v>
      </x:c>
      <x:c r="H1612" s="24" t="str">
        <x:v>1.60</x:v>
      </x:c>
      <x:c r="I1612" s="24" t="str">
        <x:v>DuraVision Gold UV</x:v>
      </x:c>
      <x:c r="J1612" s="40" t="n">
        <x:v>3500</x:v>
      </x:c>
      <x:c r="K1612" s="24" t="str">
        <x:v>-6.00 a +8.00</x:v>
      </x:c>
      <x:c r="L1612" s="24" t="str">
        <x:v>-4.00</x:v>
      </x:c>
      <x:c r="M1612" s="24" t="str">
        <x:v>-</x:v>
      </x:c>
      <x:c r="N1612" s="24" t="str">
        <x:v>75</x:v>
      </x:c>
      <x:c r="O1612" s="24"/>
      <x:c r="P1612" s="24"/>
      <x:c r="Q1612" s="24" t="str">
        <x:v>DISPONÍVEL</x:v>
      </x:c>
      <x:c r="R1612" s="24" t="str">
        <x:v>Programa de Parcerias ZEISS</x:v>
      </x:c>
      <x:c r="S1612" s="24" t="n">
        <x:v>17</x:v>
      </x:c>
      <x:c r="T1612" s="24" t="str">
        <x:v>tabela_zeiss.pdf</x:v>
      </x:c>
      <x:c r="U1612" s="24" t="str">
        <x:v>ZEISS|Visão Simples|Surfaçada|Light 2|PhotoFusion X Extra Dark Cinza|1.6|1.60|DuraVision Gold UV|-6.00 a +8.00|-4.00|-|75|||17</x:v>
      </x:c>
    </x:row>
    <x:row r="1613">
      <x:c r="A1613" s="24" t="str">
        <x:v>ZS-39EF1728BE80</x:v>
      </x:c>
      <x:c r="B1613" s="24" t="str">
        <x:v>ZEISS</x:v>
      </x:c>
      <x:c r="C1613" s="24" t="str">
        <x:v>Visão Simples</x:v>
      </x:c>
      <x:c r="D1613" s="24" t="str">
        <x:v>Surfaçada</x:v>
      </x:c>
      <x:c r="E1613" s="24" t="str">
        <x:v>Light 2</x:v>
      </x:c>
      <x:c r="F1613" s="24" t="str">
        <x:v>PhotoFusion X Extra Dark Cinza</x:v>
      </x:c>
      <x:c r="G1613" s="24" t="str">
        <x:v>1.6</x:v>
      </x:c>
      <x:c r="H1613" s="24" t="str">
        <x:v>1.60</x:v>
      </x:c>
      <x:c r="I1613" s="24" t="str">
        <x:v>DURAVISION® ANTIVÍRUS PLATINUM UV</x:v>
      </x:c>
      <x:c r="J1613" s="40" t="n">
        <x:v>3360</x:v>
      </x:c>
      <x:c r="K1613" s="24" t="str">
        <x:v>-6.00 a +8.00</x:v>
      </x:c>
      <x:c r="L1613" s="24" t="str">
        <x:v>-4.00</x:v>
      </x:c>
      <x:c r="M1613" s="24" t="str">
        <x:v>-</x:v>
      </x:c>
      <x:c r="N1613" s="24" t="str">
        <x:v>75</x:v>
      </x:c>
      <x:c r="O1613" s="24"/>
      <x:c r="P1613" s="24"/>
      <x:c r="Q1613" s="24" t="str">
        <x:v>DISPONÍVEL</x:v>
      </x:c>
      <x:c r="R1613" s="24" t="str">
        <x:v>Programa de Parcerias ZEISS</x:v>
      </x:c>
      <x:c r="S1613" s="24" t="n">
        <x:v>17</x:v>
      </x:c>
      <x:c r="T1613" s="24" t="str">
        <x:v>tabela_zeiss.pdf</x:v>
      </x:c>
      <x:c r="U1613" s="24" t="str">
        <x:v>ZEISS|Visão Simples|Surfaçada|Light 2|PhotoFusion X Extra Dark Cinza|1.6|1.60|DURAVISION® ANTIVÍRUS PLATINUM UV|-6.00 a +8.00|-4.00|-|75|||17</x:v>
      </x:c>
    </x:row>
    <x:row r="1614">
      <x:c r="A1614" s="24" t="str">
        <x:v>ZS-E1195F501677</x:v>
      </x:c>
      <x:c r="B1614" s="24" t="str">
        <x:v>ZEISS</x:v>
      </x:c>
      <x:c r="C1614" s="24" t="str">
        <x:v>Visão Simples</x:v>
      </x:c>
      <x:c r="D1614" s="24" t="str">
        <x:v>Surfaçada</x:v>
      </x:c>
      <x:c r="E1614" s="24" t="str">
        <x:v>Light 2</x:v>
      </x:c>
      <x:c r="F1614" s="24" t="str">
        <x:v>PhotoFusion X Extra Dark Cinza</x:v>
      </x:c>
      <x:c r="G1614" s="24" t="str">
        <x:v>1.6</x:v>
      </x:c>
      <x:c r="H1614" s="24" t="str">
        <x:v>1.60</x:v>
      </x:c>
      <x:c r="I1614" s="24" t="str">
        <x:v>DuraVision Platinum UV</x:v>
      </x:c>
      <x:c r="J1614" s="40" t="n">
        <x:v>3360</x:v>
      </x:c>
      <x:c r="K1614" s="24" t="str">
        <x:v>-6.00 a +8.00</x:v>
      </x:c>
      <x:c r="L1614" s="24" t="str">
        <x:v>-4.00</x:v>
      </x:c>
      <x:c r="M1614" s="24" t="str">
        <x:v>-</x:v>
      </x:c>
      <x:c r="N1614" s="24" t="str">
        <x:v>75</x:v>
      </x:c>
      <x:c r="O1614" s="24"/>
      <x:c r="P1614" s="24"/>
      <x:c r="Q1614" s="24" t="str">
        <x:v>DISPONÍVEL</x:v>
      </x:c>
      <x:c r="R1614" s="24" t="str">
        <x:v>Programa de Parcerias ZEISS</x:v>
      </x:c>
      <x:c r="S1614" s="24" t="n">
        <x:v>17</x:v>
      </x:c>
      <x:c r="T1614" s="24" t="str">
        <x:v>tabela_zeiss.pdf</x:v>
      </x:c>
      <x:c r="U1614" s="24" t="str">
        <x:v>ZEISS|Visão Simples|Surfaçada|Light 2|PhotoFusion X Extra Dark Cinza|1.6|1.60|DuraVision Platinum UV|-6.00 a +8.00|-4.00|-|75|||17</x:v>
      </x:c>
    </x:row>
    <x:row r="1615">
      <x:c r="A1615" s="24" t="str">
        <x:v>ZS-2F201FA2C729</x:v>
      </x:c>
      <x:c r="B1615" s="24" t="str">
        <x:v>ZEISS</x:v>
      </x:c>
      <x:c r="C1615" s="24" t="str">
        <x:v>Visão Simples</x:v>
      </x:c>
      <x:c r="D1615" s="24" t="str">
        <x:v>Surfaçada</x:v>
      </x:c>
      <x:c r="E1615" s="24" t="str">
        <x:v>Light 2</x:v>
      </x:c>
      <x:c r="F1615" s="24" t="str">
        <x:v>PhotoFusion X Extra Dark Cinza</x:v>
      </x:c>
      <x:c r="G1615" s="24" t="str">
        <x:v>1.6</x:v>
      </x:c>
      <x:c r="H1615" s="24" t="str">
        <x:v>1.60</x:v>
      </x:c>
      <x:c r="I1615" s="24" t="str">
        <x:v>DuraVision Silver UV</x:v>
      </x:c>
      <x:c r="J1615" s="40" t="n">
        <x:v>3100</x:v>
      </x:c>
      <x:c r="K1615" s="24" t="str">
        <x:v>-6.00 a +8.00</x:v>
      </x:c>
      <x:c r="L1615" s="24" t="str">
        <x:v>-4.00</x:v>
      </x:c>
      <x:c r="M1615" s="24" t="str">
        <x:v>-</x:v>
      </x:c>
      <x:c r="N1615" s="24" t="str">
        <x:v>75</x:v>
      </x:c>
      <x:c r="O1615" s="24"/>
      <x:c r="P1615" s="24"/>
      <x:c r="Q1615" s="24" t="str">
        <x:v>DISPONÍVEL</x:v>
      </x:c>
      <x:c r="R1615" s="24" t="str">
        <x:v>Programa de Parcerias ZEISS</x:v>
      </x:c>
      <x:c r="S1615" s="24" t="n">
        <x:v>17</x:v>
      </x:c>
      <x:c r="T1615" s="24" t="str">
        <x:v>tabela_zeiss.pdf</x:v>
      </x:c>
      <x:c r="U1615" s="24" t="str">
        <x:v>ZEISS|Visão Simples|Surfaçada|Light 2|PhotoFusion X Extra Dark Cinza|1.6|1.60|DuraVision Silver UV|-6.00 a +8.00|-4.00|-|75|||17</x:v>
      </x:c>
    </x:row>
    <x:row r="1616">
      <x:c r="A1616" s="24" t="str">
        <x:v>ZS-B920D95E2D2F</x:v>
      </x:c>
      <x:c r="B1616" s="24" t="str">
        <x:v>ZEISS</x:v>
      </x:c>
      <x:c r="C1616" s="24" t="str">
        <x:v>Visão Simples</x:v>
      </x:c>
      <x:c r="D1616" s="24" t="str">
        <x:v>Surfaçada</x:v>
      </x:c>
      <x:c r="E1616" s="24" t="str">
        <x:v>Light 2</x:v>
      </x:c>
      <x:c r="F1616" s="24" t="str">
        <x:v>PhotoFusion X Extra Dark Cinza</x:v>
      </x:c>
      <x:c r="G1616" s="24" t="str">
        <x:v>1.6</x:v>
      </x:c>
      <x:c r="H1616" s="24" t="str">
        <x:v>1.60</x:v>
      </x:c>
      <x:c r="I1616" s="24" t="str">
        <x:v>DuraVision Chrome UV</x:v>
      </x:c>
      <x:c r="J1616" s="40" t="n">
        <x:v>2610</x:v>
      </x:c>
      <x:c r="K1616" s="24" t="str">
        <x:v>-6.00 a +8.00</x:v>
      </x:c>
      <x:c r="L1616" s="24" t="str">
        <x:v>-4.00</x:v>
      </x:c>
      <x:c r="M1616" s="24" t="str">
        <x:v>-</x:v>
      </x:c>
      <x:c r="N1616" s="24" t="str">
        <x:v>75</x:v>
      </x:c>
      <x:c r="O1616" s="24"/>
      <x:c r="P1616" s="24"/>
      <x:c r="Q1616" s="24" t="str">
        <x:v>DISPONÍVEL</x:v>
      </x:c>
      <x:c r="R1616" s="24" t="str">
        <x:v>Programa de Parcerias ZEISS</x:v>
      </x:c>
      <x:c r="S1616" s="24" t="n">
        <x:v>17</x:v>
      </x:c>
      <x:c r="T1616" s="24" t="str">
        <x:v>tabela_zeiss.pdf</x:v>
      </x:c>
      <x:c r="U1616" s="24" t="str">
        <x:v>ZEISS|Visão Simples|Surfaçada|Light 2|PhotoFusion X Extra Dark Cinza|1.6|1.60|DuraVision Chrome UV|-6.00 a +8.00|-4.00|-|75|||17</x:v>
      </x:c>
    </x:row>
    <x:row r="1617">
      <x:c r="A1617" s="24" t="str">
        <x:v>ZS-A179BB86BE53</x:v>
      </x:c>
      <x:c r="B1617" s="24" t="str">
        <x:v>ZEISS</x:v>
      </x:c>
      <x:c r="C1617" s="24" t="str">
        <x:v>Visão Simples</x:v>
      </x:c>
      <x:c r="D1617" s="24" t="str">
        <x:v>Surfaçada</x:v>
      </x:c>
      <x:c r="E1617" s="24" t="str">
        <x:v>Light 2</x:v>
      </x:c>
      <x:c r="F1617" s="24" t="str">
        <x:v>PhotoFusion X Extra Dark Cinza</x:v>
      </x:c>
      <x:c r="G1617" s="24" t="str">
        <x:v>1.67</x:v>
      </x:c>
      <x:c r="H1617" s="24" t="str">
        <x:v>1.67</x:v>
      </x:c>
      <x:c r="I1617" s="24" t="str">
        <x:v>DuraVision Gold UV</x:v>
      </x:c>
      <x:c r="J1617" s="40" t="n">
        <x:v>4800</x:v>
      </x:c>
      <x:c r="K1617" s="24" t="str">
        <x:v>-8.00 a +8.00</x:v>
      </x:c>
      <x:c r="L1617" s="24" t="str">
        <x:v>-6.00</x:v>
      </x:c>
      <x:c r="M1617" s="24" t="str">
        <x:v>-</x:v>
      </x:c>
      <x:c r="N1617" s="24" t="str">
        <x:v>70</x:v>
      </x:c>
      <x:c r="O1617" s="24"/>
      <x:c r="P1617" s="24"/>
      <x:c r="Q1617" s="24" t="str">
        <x:v>DISPONÍVEL</x:v>
      </x:c>
      <x:c r="R1617" s="24" t="str">
        <x:v>Programa de Parcerias ZEISS</x:v>
      </x:c>
      <x:c r="S1617" s="24" t="n">
        <x:v>17</x:v>
      </x:c>
      <x:c r="T1617" s="24" t="str">
        <x:v>tabela_zeiss.pdf</x:v>
      </x:c>
      <x:c r="U1617" s="24" t="str">
        <x:v>ZEISS|Visão Simples|Surfaçada|Light 2|PhotoFusion X Extra Dark Cinza|1.67|1.67|DuraVision Gold UV|-8.00 a +8.00|-6.00|-|70|||17</x:v>
      </x:c>
    </x:row>
    <x:row r="1618">
      <x:c r="A1618" s="24" t="str">
        <x:v>ZS-96B60B16993B</x:v>
      </x:c>
      <x:c r="B1618" s="24" t="str">
        <x:v>ZEISS</x:v>
      </x:c>
      <x:c r="C1618" s="24" t="str">
        <x:v>Visão Simples</x:v>
      </x:c>
      <x:c r="D1618" s="24" t="str">
        <x:v>Surfaçada</x:v>
      </x:c>
      <x:c r="E1618" s="24" t="str">
        <x:v>Light 2</x:v>
      </x:c>
      <x:c r="F1618" s="24" t="str">
        <x:v>PhotoFusion X Extra Dark Cinza</x:v>
      </x:c>
      <x:c r="G1618" s="24" t="str">
        <x:v>1.67</x:v>
      </x:c>
      <x:c r="H1618" s="24" t="str">
        <x:v>1.67</x:v>
      </x:c>
      <x:c r="I1618" s="24" t="str">
        <x:v>DURAVISION® ANTIVÍRUS PLATINUM UV</x:v>
      </x:c>
      <x:c r="J1618" s="40" t="n">
        <x:v>4660</x:v>
      </x:c>
      <x:c r="K1618" s="24" t="str">
        <x:v>-8.00 a +8.00</x:v>
      </x:c>
      <x:c r="L1618" s="24" t="str">
        <x:v>-6.00</x:v>
      </x:c>
      <x:c r="M1618" s="24" t="str">
        <x:v>-</x:v>
      </x:c>
      <x:c r="N1618" s="24" t="str">
        <x:v>70</x:v>
      </x:c>
      <x:c r="O1618" s="24"/>
      <x:c r="P1618" s="24"/>
      <x:c r="Q1618" s="24" t="str">
        <x:v>DISPONÍVEL</x:v>
      </x:c>
      <x:c r="R1618" s="24" t="str">
        <x:v>Programa de Parcerias ZEISS</x:v>
      </x:c>
      <x:c r="S1618" s="24" t="n">
        <x:v>17</x:v>
      </x:c>
      <x:c r="T1618" s="24" t="str">
        <x:v>tabela_zeiss.pdf</x:v>
      </x:c>
      <x:c r="U1618" s="24" t="str">
        <x:v>ZEISS|Visão Simples|Surfaçada|Light 2|PhotoFusion X Extra Dark Cinza|1.67|1.67|DURAVISION® ANTIVÍRUS PLATINUM UV|-8.00 a +8.00|-6.00|-|70|||17</x:v>
      </x:c>
    </x:row>
    <x:row r="1619">
      <x:c r="A1619" s="24" t="str">
        <x:v>ZS-5CC1254A33FC</x:v>
      </x:c>
      <x:c r="B1619" s="24" t="str">
        <x:v>ZEISS</x:v>
      </x:c>
      <x:c r="C1619" s="24" t="str">
        <x:v>Visão Simples</x:v>
      </x:c>
      <x:c r="D1619" s="24" t="str">
        <x:v>Surfaçada</x:v>
      </x:c>
      <x:c r="E1619" s="24" t="str">
        <x:v>Light 2</x:v>
      </x:c>
      <x:c r="F1619" s="24" t="str">
        <x:v>PhotoFusion X Extra Dark Cinza</x:v>
      </x:c>
      <x:c r="G1619" s="24" t="str">
        <x:v>1.67</x:v>
      </x:c>
      <x:c r="H1619" s="24" t="str">
        <x:v>1.67</x:v>
      </x:c>
      <x:c r="I1619" s="24" t="str">
        <x:v>DuraVision Platinum UV</x:v>
      </x:c>
      <x:c r="J1619" s="40" t="n">
        <x:v>4660</x:v>
      </x:c>
      <x:c r="K1619" s="24" t="str">
        <x:v>-8.00 a +8.00</x:v>
      </x:c>
      <x:c r="L1619" s="24" t="str">
        <x:v>-6.00</x:v>
      </x:c>
      <x:c r="M1619" s="24" t="str">
        <x:v>-</x:v>
      </x:c>
      <x:c r="N1619" s="24" t="str">
        <x:v>70</x:v>
      </x:c>
      <x:c r="O1619" s="24"/>
      <x:c r="P1619" s="24"/>
      <x:c r="Q1619" s="24" t="str">
        <x:v>DISPONÍVEL</x:v>
      </x:c>
      <x:c r="R1619" s="24" t="str">
        <x:v>Programa de Parcerias ZEISS</x:v>
      </x:c>
      <x:c r="S1619" s="24" t="n">
        <x:v>17</x:v>
      </x:c>
      <x:c r="T1619" s="24" t="str">
        <x:v>tabela_zeiss.pdf</x:v>
      </x:c>
      <x:c r="U1619" s="24" t="str">
        <x:v>ZEISS|Visão Simples|Surfaçada|Light 2|PhotoFusion X Extra Dark Cinza|1.67|1.67|DuraVision Platinum UV|-8.00 a +8.00|-6.00|-|70|||17</x:v>
      </x:c>
    </x:row>
    <x:row r="1620">
      <x:c r="A1620" s="24" t="str">
        <x:v>ZS-BAE6A6019382</x:v>
      </x:c>
      <x:c r="B1620" s="24" t="str">
        <x:v>ZEISS</x:v>
      </x:c>
      <x:c r="C1620" s="24" t="str">
        <x:v>Visão Simples</x:v>
      </x:c>
      <x:c r="D1620" s="24" t="str">
        <x:v>Surfaçada</x:v>
      </x:c>
      <x:c r="E1620" s="24" t="str">
        <x:v>Light 2</x:v>
      </x:c>
      <x:c r="F1620" s="24" t="str">
        <x:v>PhotoFusion X Extra Dark Cinza</x:v>
      </x:c>
      <x:c r="G1620" s="24" t="str">
        <x:v>1.67</x:v>
      </x:c>
      <x:c r="H1620" s="24" t="str">
        <x:v>1.67</x:v>
      </x:c>
      <x:c r="I1620" s="24" t="str">
        <x:v>DuraVision Silver UV</x:v>
      </x:c>
      <x:c r="J1620" s="40" t="n">
        <x:v>4400</x:v>
      </x:c>
      <x:c r="K1620" s="24" t="str">
        <x:v>-8.00 a +8.00</x:v>
      </x:c>
      <x:c r="L1620" s="24" t="str">
        <x:v>-6.00</x:v>
      </x:c>
      <x:c r="M1620" s="24" t="str">
        <x:v>-</x:v>
      </x:c>
      <x:c r="N1620" s="24" t="str">
        <x:v>70</x:v>
      </x:c>
      <x:c r="O1620" s="24"/>
      <x:c r="P1620" s="24"/>
      <x:c r="Q1620" s="24" t="str">
        <x:v>DISPONÍVEL</x:v>
      </x:c>
      <x:c r="R1620" s="24" t="str">
        <x:v>Programa de Parcerias ZEISS</x:v>
      </x:c>
      <x:c r="S1620" s="24" t="n">
        <x:v>17</x:v>
      </x:c>
      <x:c r="T1620" s="24" t="str">
        <x:v>tabela_zeiss.pdf</x:v>
      </x:c>
      <x:c r="U1620" s="24" t="str">
        <x:v>ZEISS|Visão Simples|Surfaçada|Light 2|PhotoFusion X Extra Dark Cinza|1.67|1.67|DuraVision Silver UV|-8.00 a +8.00|-6.00|-|70|||17</x:v>
      </x:c>
    </x:row>
    <x:row r="1621">
      <x:c r="A1621" s="24" t="str">
        <x:v>ZS-221A3FFFC376</x:v>
      </x:c>
      <x:c r="B1621" s="24" t="str">
        <x:v>ZEISS</x:v>
      </x:c>
      <x:c r="C1621" s="24" t="str">
        <x:v>Visão Simples</x:v>
      </x:c>
      <x:c r="D1621" s="24" t="str">
        <x:v>Surfaçada</x:v>
      </x:c>
      <x:c r="E1621" s="24" t="str">
        <x:v>Light 2</x:v>
      </x:c>
      <x:c r="F1621" s="24" t="str">
        <x:v>PhotoFusion X Extra Dark Cinza</x:v>
      </x:c>
      <x:c r="G1621" s="24" t="str">
        <x:v>1.67</x:v>
      </x:c>
      <x:c r="H1621" s="24" t="str">
        <x:v>1.67</x:v>
      </x:c>
      <x:c r="I1621" s="24" t="str">
        <x:v>DuraVision Chrome UV</x:v>
      </x:c>
      <x:c r="J1621" s="40" t="n">
        <x:v>3910</x:v>
      </x:c>
      <x:c r="K1621" s="24" t="str">
        <x:v>-8.00 a +8.00</x:v>
      </x:c>
      <x:c r="L1621" s="24" t="str">
        <x:v>-6.00</x:v>
      </x:c>
      <x:c r="M1621" s="24" t="str">
        <x:v>-</x:v>
      </x:c>
      <x:c r="N1621" s="24" t="str">
        <x:v>70</x:v>
      </x:c>
      <x:c r="O1621" s="24"/>
      <x:c r="P1621" s="24"/>
      <x:c r="Q1621" s="24" t="str">
        <x:v>DISPONÍVEL</x:v>
      </x:c>
      <x:c r="R1621" s="24" t="str">
        <x:v>Programa de Parcerias ZEISS</x:v>
      </x:c>
      <x:c r="S1621" s="24" t="n">
        <x:v>17</x:v>
      </x:c>
      <x:c r="T1621" s="24" t="str">
        <x:v>tabela_zeiss.pdf</x:v>
      </x:c>
      <x:c r="U1621" s="24" t="str">
        <x:v>ZEISS|Visão Simples|Surfaçada|Light 2|PhotoFusion X Extra Dark Cinza|1.67|1.67|DuraVision Chrome UV|-8.00 a +8.00|-6.00|-|70|||17</x:v>
      </x:c>
    </x:row>
    <x:row r="1622">
      <x:c r="A1622" s="24" t="str">
        <x:v>ZS-9D1EFB3F3C97</x:v>
      </x:c>
      <x:c r="B1622" s="24" t="str">
        <x:v>ZEISS</x:v>
      </x:c>
      <x:c r="C1622" s="24" t="str">
        <x:v>Visão Simples</x:v>
      </x:c>
      <x:c r="D1622" s="24" t="str">
        <x:v>Surfaçada</x:v>
      </x:c>
      <x:c r="E1622" s="24" t="str">
        <x:v>Light 2</x:v>
      </x:c>
      <x:c r="F1622" s="24" t="str">
        <x:v>Polarizada</x:v>
      </x:c>
      <x:c r="G1622" s="24" t="str">
        <x:v>1.5</x:v>
      </x:c>
      <x:c r="H1622" s="24" t="str">
        <x:v>1.50</x:v>
      </x:c>
      <x:c r="I1622" s="24" t="str">
        <x:v>DuraVision Gold UV</x:v>
      </x:c>
      <x:c r="J1622" s="40" t="n">
        <x:v>2620</x:v>
      </x:c>
      <x:c r="K1622" s="24" t="str">
        <x:v>-6.00 a +6.00</x:v>
      </x:c>
      <x:c r="L1622" s="24" t="str">
        <x:v>-4.00</x:v>
      </x:c>
      <x:c r="M1622" s="24" t="str">
        <x:v>-</x:v>
      </x:c>
      <x:c r="N1622" s="24" t="str">
        <x:v>75</x:v>
      </x:c>
      <x:c r="O1622" s="24"/>
      <x:c r="P1622" s="24"/>
      <x:c r="Q1622" s="24" t="str">
        <x:v>DISPONÍVEL</x:v>
      </x:c>
      <x:c r="R1622" s="24"/>
      <x:c r="S1622" s="24" t="n">
        <x:v>17</x:v>
      </x:c>
      <x:c r="T1622" s="24" t="str">
        <x:v>tabela_zeiss.pdf</x:v>
      </x:c>
      <x:c r="U1622" s="24" t="str">
        <x:v>ZEISS|Visão Simples|Surfaçada|Light 2|Polarizada|1.5|1.50|DuraVision Gold UV|-6.00 a +6.00|-4.00|-|75|||17</x:v>
      </x:c>
    </x:row>
    <x:row r="1623">
      <x:c r="A1623" s="24" t="str">
        <x:v>ZS-745E1DB2EA4E</x:v>
      </x:c>
      <x:c r="B1623" s="24" t="str">
        <x:v>ZEISS</x:v>
      </x:c>
      <x:c r="C1623" s="24" t="str">
        <x:v>Visão Simples</x:v>
      </x:c>
      <x:c r="D1623" s="24" t="str">
        <x:v>Surfaçada</x:v>
      </x:c>
      <x:c r="E1623" s="24" t="str">
        <x:v>Light 2</x:v>
      </x:c>
      <x:c r="F1623" s="24" t="str">
        <x:v>Polarizada</x:v>
      </x:c>
      <x:c r="G1623" s="24" t="str">
        <x:v>1.5</x:v>
      </x:c>
      <x:c r="H1623" s="24" t="str">
        <x:v>1.50</x:v>
      </x:c>
      <x:c r="I1623" s="24" t="str">
        <x:v>DuraVision Platinum UV</x:v>
      </x:c>
      <x:c r="J1623" s="40" t="n">
        <x:v>2480</x:v>
      </x:c>
      <x:c r="K1623" s="24" t="str">
        <x:v>-6.00 a +6.00</x:v>
      </x:c>
      <x:c r="L1623" s="24" t="str">
        <x:v>-4.00</x:v>
      </x:c>
      <x:c r="M1623" s="24" t="str">
        <x:v>-</x:v>
      </x:c>
      <x:c r="N1623" s="24" t="str">
        <x:v>75</x:v>
      </x:c>
      <x:c r="O1623" s="24"/>
      <x:c r="P1623" s="24"/>
      <x:c r="Q1623" s="24" t="str">
        <x:v>DISPONÍVEL</x:v>
      </x:c>
      <x:c r="R1623" s="24"/>
      <x:c r="S1623" s="24" t="n">
        <x:v>17</x:v>
      </x:c>
      <x:c r="T1623" s="24" t="str">
        <x:v>tabela_zeiss.pdf</x:v>
      </x:c>
      <x:c r="U1623" s="24" t="str">
        <x:v>ZEISS|Visão Simples|Surfaçada|Light 2|Polarizada|1.5|1.50|DuraVision Platinum UV|-6.00 a +6.00|-4.00|-|75|||17</x:v>
      </x:c>
    </x:row>
    <x:row r="1624">
      <x:c r="A1624" s="24" t="str">
        <x:v>ZS-BE47B580A3E3</x:v>
      </x:c>
      <x:c r="B1624" s="24" t="str">
        <x:v>ZEISS</x:v>
      </x:c>
      <x:c r="C1624" s="24" t="str">
        <x:v>Visão Simples</x:v>
      </x:c>
      <x:c r="D1624" s="24" t="str">
        <x:v>Surfaçada</x:v>
      </x:c>
      <x:c r="E1624" s="24" t="str">
        <x:v>Light 2</x:v>
      </x:c>
      <x:c r="F1624" s="24" t="str">
        <x:v>Polarizada</x:v>
      </x:c>
      <x:c r="G1624" s="24" t="str">
        <x:v>1.5</x:v>
      </x:c>
      <x:c r="H1624" s="24" t="str">
        <x:v>1.50</x:v>
      </x:c>
      <x:c r="I1624" s="24" t="str">
        <x:v>DuraVision Silver UV</x:v>
      </x:c>
      <x:c r="J1624" s="40" t="n">
        <x:v>2220</x:v>
      </x:c>
      <x:c r="K1624" s="24" t="str">
        <x:v>-6.00 a +6.00</x:v>
      </x:c>
      <x:c r="L1624" s="24" t="str">
        <x:v>-4.00</x:v>
      </x:c>
      <x:c r="M1624" s="24" t="str">
        <x:v>-</x:v>
      </x:c>
      <x:c r="N1624" s="24" t="str">
        <x:v>75</x:v>
      </x:c>
      <x:c r="O1624" s="24"/>
      <x:c r="P1624" s="24"/>
      <x:c r="Q1624" s="24" t="str">
        <x:v>DISPONÍVEL</x:v>
      </x:c>
      <x:c r="R1624" s="24"/>
      <x:c r="S1624" s="24" t="n">
        <x:v>17</x:v>
      </x:c>
      <x:c r="T1624" s="24" t="str">
        <x:v>tabela_zeiss.pdf</x:v>
      </x:c>
      <x:c r="U1624" s="24" t="str">
        <x:v>ZEISS|Visão Simples|Surfaçada|Light 2|Polarizada|1.5|1.50|DuraVision Silver UV|-6.00 a +6.00|-4.00|-|75|||17</x:v>
      </x:c>
    </x:row>
    <x:row r="1625">
      <x:c r="A1625" s="24" t="str">
        <x:v>ZS-D9C724DF6C6B</x:v>
      </x:c>
      <x:c r="B1625" s="24" t="str">
        <x:v>ZEISS</x:v>
      </x:c>
      <x:c r="C1625" s="24" t="str">
        <x:v>Visão Simples</x:v>
      </x:c>
      <x:c r="D1625" s="24" t="str">
        <x:v>Surfaçada</x:v>
      </x:c>
      <x:c r="E1625" s="24" t="str">
        <x:v>Light 2</x:v>
      </x:c>
      <x:c r="F1625" s="24" t="str">
        <x:v>Polarizada</x:v>
      </x:c>
      <x:c r="G1625" s="24" t="str">
        <x:v>1.5</x:v>
      </x:c>
      <x:c r="H1625" s="24" t="str">
        <x:v>1.50</x:v>
      </x:c>
      <x:c r="I1625" s="24" t="str">
        <x:v>DuraVision Chrome UV</x:v>
      </x:c>
      <x:c r="J1625" s="40" t="n">
        <x:v>1730</x:v>
      </x:c>
      <x:c r="K1625" s="24" t="str">
        <x:v>-6.00 a +6.00</x:v>
      </x:c>
      <x:c r="L1625" s="24" t="str">
        <x:v>-4.00</x:v>
      </x:c>
      <x:c r="M1625" s="24" t="str">
        <x:v>-</x:v>
      </x:c>
      <x:c r="N1625" s="24" t="str">
        <x:v>75</x:v>
      </x:c>
      <x:c r="O1625" s="24"/>
      <x:c r="P1625" s="24"/>
      <x:c r="Q1625" s="24" t="str">
        <x:v>DISPONÍVEL</x:v>
      </x:c>
      <x:c r="R1625" s="24"/>
      <x:c r="S1625" s="24" t="n">
        <x:v>17</x:v>
      </x:c>
      <x:c r="T1625" s="24" t="str">
        <x:v>tabela_zeiss.pdf</x:v>
      </x:c>
      <x:c r="U1625" s="24" t="str">
        <x:v>ZEISS|Visão Simples|Surfaçada|Light 2|Polarizada|1.5|1.50|DuraVision Chrome UV|-6.00 a +6.00|-4.00|-|75|||17</x:v>
      </x:c>
    </x:row>
    <x:row r="1626">
      <x:c r="A1626" s="24" t="str">
        <x:v>ZS-C11258BA3209</x:v>
      </x:c>
      <x:c r="B1626" s="24" t="str">
        <x:v>ZEISS</x:v>
      </x:c>
      <x:c r="C1626" s="24" t="str">
        <x:v>Visão Simples</x:v>
      </x:c>
      <x:c r="D1626" s="24" t="str">
        <x:v>Surfaçada</x:v>
      </x:c>
      <x:c r="E1626" s="24" t="str">
        <x:v>Light 2</x:v>
      </x:c>
      <x:c r="F1626" s="24" t="str">
        <x:v>Polarizada</x:v>
      </x:c>
      <x:c r="G1626" s="24" t="str">
        <x:v>1.6</x:v>
      </x:c>
      <x:c r="H1626" s="24" t="str">
        <x:v>1.60</x:v>
      </x:c>
      <x:c r="I1626" s="24" t="str">
        <x:v>DuraVision Gold UV</x:v>
      </x:c>
      <x:c r="J1626" s="40" t="n">
        <x:v>3200</x:v>
      </x:c>
      <x:c r="K1626" s="24" t="str">
        <x:v>-8.00 a +8.00</x:v>
      </x:c>
      <x:c r="L1626" s="24" t="str">
        <x:v>-4.00</x:v>
      </x:c>
      <x:c r="M1626" s="24" t="str">
        <x:v>-</x:v>
      </x:c>
      <x:c r="N1626" s="24" t="str">
        <x:v>70</x:v>
      </x:c>
      <x:c r="O1626" s="24"/>
      <x:c r="P1626" s="24"/>
      <x:c r="Q1626" s="24" t="str">
        <x:v>DISPONÍVEL</x:v>
      </x:c>
      <x:c r="R1626" s="24"/>
      <x:c r="S1626" s="24" t="n">
        <x:v>17</x:v>
      </x:c>
      <x:c r="T1626" s="24" t="str">
        <x:v>tabela_zeiss.pdf</x:v>
      </x:c>
      <x:c r="U1626" s="24" t="str">
        <x:v>ZEISS|Visão Simples|Surfaçada|Light 2|Polarizada|1.6|1.60|DuraVision Gold UV|-8.00 a +8.00|-4.00|-|70|||17</x:v>
      </x:c>
    </x:row>
    <x:row r="1627">
      <x:c r="A1627" s="24" t="str">
        <x:v>ZS-81857D9D674E</x:v>
      </x:c>
      <x:c r="B1627" s="24" t="str">
        <x:v>ZEISS</x:v>
      </x:c>
      <x:c r="C1627" s="24" t="str">
        <x:v>Visão Simples</x:v>
      </x:c>
      <x:c r="D1627" s="24" t="str">
        <x:v>Surfaçada</x:v>
      </x:c>
      <x:c r="E1627" s="24" t="str">
        <x:v>Light 2</x:v>
      </x:c>
      <x:c r="F1627" s="24" t="str">
        <x:v>Polarizada</x:v>
      </x:c>
      <x:c r="G1627" s="24" t="str">
        <x:v>1.6</x:v>
      </x:c>
      <x:c r="H1627" s="24" t="str">
        <x:v>1.60</x:v>
      </x:c>
      <x:c r="I1627" s="24" t="str">
        <x:v>DuraVision Platinum UV</x:v>
      </x:c>
      <x:c r="J1627" s="40" t="n">
        <x:v>3060</x:v>
      </x:c>
      <x:c r="K1627" s="24" t="str">
        <x:v>-8.00 a +8.00</x:v>
      </x:c>
      <x:c r="L1627" s="24" t="str">
        <x:v>-4.00</x:v>
      </x:c>
      <x:c r="M1627" s="24" t="str">
        <x:v>-</x:v>
      </x:c>
      <x:c r="N1627" s="24" t="str">
        <x:v>70</x:v>
      </x:c>
      <x:c r="O1627" s="24"/>
      <x:c r="P1627" s="24"/>
      <x:c r="Q1627" s="24" t="str">
        <x:v>DISPONÍVEL</x:v>
      </x:c>
      <x:c r="R1627" s="24"/>
      <x:c r="S1627" s="24" t="n">
        <x:v>17</x:v>
      </x:c>
      <x:c r="T1627" s="24" t="str">
        <x:v>tabela_zeiss.pdf</x:v>
      </x:c>
      <x:c r="U1627" s="24" t="str">
        <x:v>ZEISS|Visão Simples|Surfaçada|Light 2|Polarizada|1.6|1.60|DuraVision Platinum UV|-8.00 a +8.00|-4.00|-|70|||17</x:v>
      </x:c>
    </x:row>
    <x:row r="1628">
      <x:c r="A1628" s="24" t="str">
        <x:v>ZS-B8DBE2E15AB6</x:v>
      </x:c>
      <x:c r="B1628" s="24" t="str">
        <x:v>ZEISS</x:v>
      </x:c>
      <x:c r="C1628" s="24" t="str">
        <x:v>Visão Simples</x:v>
      </x:c>
      <x:c r="D1628" s="24" t="str">
        <x:v>Surfaçada</x:v>
      </x:c>
      <x:c r="E1628" s="24" t="str">
        <x:v>Light 2</x:v>
      </x:c>
      <x:c r="F1628" s="24" t="str">
        <x:v>Polarizada</x:v>
      </x:c>
      <x:c r="G1628" s="24" t="str">
        <x:v>1.6</x:v>
      </x:c>
      <x:c r="H1628" s="24" t="str">
        <x:v>1.60</x:v>
      </x:c>
      <x:c r="I1628" s="24" t="str">
        <x:v>DuraVision Silver UV</x:v>
      </x:c>
      <x:c r="J1628" s="40" t="n">
        <x:v>2800</x:v>
      </x:c>
      <x:c r="K1628" s="24" t="str">
        <x:v>-8.00 a +8.00</x:v>
      </x:c>
      <x:c r="L1628" s="24" t="str">
        <x:v>-4.00</x:v>
      </x:c>
      <x:c r="M1628" s="24" t="str">
        <x:v>-</x:v>
      </x:c>
      <x:c r="N1628" s="24" t="str">
        <x:v>70</x:v>
      </x:c>
      <x:c r="O1628" s="24"/>
      <x:c r="P1628" s="24"/>
      <x:c r="Q1628" s="24" t="str">
        <x:v>DISPONÍVEL</x:v>
      </x:c>
      <x:c r="R1628" s="24"/>
      <x:c r="S1628" s="24" t="n">
        <x:v>17</x:v>
      </x:c>
      <x:c r="T1628" s="24" t="str">
        <x:v>tabela_zeiss.pdf</x:v>
      </x:c>
      <x:c r="U1628" s="24" t="str">
        <x:v>ZEISS|Visão Simples|Surfaçada|Light 2|Polarizada|1.6|1.60|DuraVision Silver UV|-8.00 a +8.00|-4.00|-|70|||17</x:v>
      </x:c>
    </x:row>
    <x:row r="1629">
      <x:c r="A1629" s="24" t="str">
        <x:v>ZS-ED29FC939BD1</x:v>
      </x:c>
      <x:c r="B1629" s="24" t="str">
        <x:v>ZEISS</x:v>
      </x:c>
      <x:c r="C1629" s="24" t="str">
        <x:v>Visão Simples</x:v>
      </x:c>
      <x:c r="D1629" s="24" t="str">
        <x:v>Surfaçada</x:v>
      </x:c>
      <x:c r="E1629" s="24" t="str">
        <x:v>Light 2</x:v>
      </x:c>
      <x:c r="F1629" s="24" t="str">
        <x:v>Polarizada</x:v>
      </x:c>
      <x:c r="G1629" s="24" t="str">
        <x:v>1.6</x:v>
      </x:c>
      <x:c r="H1629" s="24" t="str">
        <x:v>1.60</x:v>
      </x:c>
      <x:c r="I1629" s="24" t="str">
        <x:v>DuraVision Chrome UV</x:v>
      </x:c>
      <x:c r="J1629" s="40" t="n">
        <x:v>2310</x:v>
      </x:c>
      <x:c r="K1629" s="24" t="str">
        <x:v>-8.00 a +8.00</x:v>
      </x:c>
      <x:c r="L1629" s="24" t="str">
        <x:v>-4.00</x:v>
      </x:c>
      <x:c r="M1629" s="24" t="str">
        <x:v>-</x:v>
      </x:c>
      <x:c r="N1629" s="24" t="str">
        <x:v>70</x:v>
      </x:c>
      <x:c r="O1629" s="24"/>
      <x:c r="P1629" s="24"/>
      <x:c r="Q1629" s="24" t="str">
        <x:v>DISPONÍVEL</x:v>
      </x:c>
      <x:c r="R1629" s="24"/>
      <x:c r="S1629" s="24" t="n">
        <x:v>17</x:v>
      </x:c>
      <x:c r="T1629" s="24" t="str">
        <x:v>tabela_zeiss.pdf</x:v>
      </x:c>
      <x:c r="U1629" s="24" t="str">
        <x:v>ZEISS|Visão Simples|Surfaçada|Light 2|Polarizada|1.6|1.60|DuraVision Chrome UV|-8.00 a +8.00|-4.00|-|70|||17</x:v>
      </x:c>
    </x:row>
    <x:row r="1630">
      <x:c r="A1630" s="24" t="str">
        <x:v>ZS-29EBB8E83850</x:v>
      </x:c>
      <x:c r="B1630" s="24" t="str">
        <x:v>ZEISS</x:v>
      </x:c>
      <x:c r="C1630" s="24" t="str">
        <x:v>Visão Simples Jovem</x:v>
      </x:c>
      <x:c r="D1630" s="24" t="str">
        <x:v>Surfaçada</x:v>
      </x:c>
      <x:c r="E1630" s="24" t="str">
        <x:v>SmartLife Young</x:v>
      </x:c>
      <x:c r="F1630" s="24"/>
      <x:c r="G1630" s="24" t="str">
        <x:v>1.5</x:v>
      </x:c>
      <x:c r="H1630" s="24" t="str">
        <x:v>1.50</x:v>
      </x:c>
      <x:c r="I1630" s="24" t="str">
        <x:v>DuraVision Gold UV</x:v>
      </x:c>
      <x:c r="J1630" s="40" t="n">
        <x:v>2258</x:v>
      </x:c>
      <x:c r="K1630" s="24" t="str">
        <x:v>-6.00 a +6.00</x:v>
      </x:c>
      <x:c r="L1630" s="24" t="str">
        <x:v>-4.00</x:v>
      </x:c>
      <x:c r="M1630" s="24" t="str">
        <x:v>-</x:v>
      </x:c>
      <x:c r="N1630" s="24" t="str">
        <x:v>75</x:v>
      </x:c>
      <x:c r="O1630" s="24"/>
      <x:c r="P1630" s="24"/>
      <x:c r="Q1630" s="24" t="str">
        <x:v>DISPONÍVEL</x:v>
      </x:c>
      <x:c r="R1630" s="24"/>
      <x:c r="S1630" s="24" t="n">
        <x:v>20</x:v>
      </x:c>
      <x:c r="T1630" s="24" t="str">
        <x:v>tabela_zeiss.pdf</x:v>
      </x:c>
      <x:c r="U1630" s="24" t="str">
        <x:v>ZEISS|Visão Simples Jovem|Surfaçada|SmartLife Young||1.5|1.50|DuraVision Gold UV|-6.00 a +6.00|-4.00|-|75|||20</x:v>
      </x:c>
    </x:row>
    <x:row r="1631">
      <x:c r="A1631" s="24" t="str">
        <x:v>ZS-9C632E3A47E5</x:v>
      </x:c>
      <x:c r="B1631" s="24" t="str">
        <x:v>ZEISS</x:v>
      </x:c>
      <x:c r="C1631" s="24" t="str">
        <x:v>Visão Simples Jovem</x:v>
      </x:c>
      <x:c r="D1631" s="24" t="str">
        <x:v>Surfaçada</x:v>
      </x:c>
      <x:c r="E1631" s="24" t="str">
        <x:v>SmartLife Young</x:v>
      </x:c>
      <x:c r="F1631" s="24"/>
      <x:c r="G1631" s="24" t="str">
        <x:v>1.5</x:v>
      </x:c>
      <x:c r="H1631" s="24" t="str">
        <x:v>1.50</x:v>
      </x:c>
      <x:c r="I1631" s="24" t="str">
        <x:v>DuraVision Antivírus Platinum UV</x:v>
      </x:c>
      <x:c r="J1631" s="40" t="n">
        <x:v>2118</x:v>
      </x:c>
      <x:c r="K1631" s="24" t="str">
        <x:v>-6.00 a +6.00</x:v>
      </x:c>
      <x:c r="L1631" s="24" t="str">
        <x:v>-4.00</x:v>
      </x:c>
      <x:c r="M1631" s="24" t="str">
        <x:v>-</x:v>
      </x:c>
      <x:c r="N1631" s="24" t="str">
        <x:v>75</x:v>
      </x:c>
      <x:c r="O1631" s="24"/>
      <x:c r="P1631" s="24"/>
      <x:c r="Q1631" s="24" t="str">
        <x:v>DISPONÍVEL</x:v>
      </x:c>
      <x:c r="R1631" s="24"/>
      <x:c r="S1631" s="24" t="n">
        <x:v>20</x:v>
      </x:c>
      <x:c r="T1631" s="24" t="str">
        <x:v>tabela_zeiss.pdf</x:v>
      </x:c>
      <x:c r="U1631" s="24" t="str">
        <x:v>ZEISS|Visão Simples Jovem|Surfaçada|SmartLife Young||1.5|1.50|DuraVision Antivírus Platinum UV|-6.00 a +6.00|-4.00|-|75|||20</x:v>
      </x:c>
    </x:row>
    <x:row r="1632">
      <x:c r="A1632" s="24" t="str">
        <x:v>ZS-5CE4F5CE6AA5</x:v>
      </x:c>
      <x:c r="B1632" s="24" t="str">
        <x:v>ZEISS</x:v>
      </x:c>
      <x:c r="C1632" s="24" t="str">
        <x:v>Visão Simples Jovem</x:v>
      </x:c>
      <x:c r="D1632" s="24" t="str">
        <x:v>Surfaçada</x:v>
      </x:c>
      <x:c r="E1632" s="24" t="str">
        <x:v>SmartLife Young</x:v>
      </x:c>
      <x:c r="F1632" s="24"/>
      <x:c r="G1632" s="24" t="str">
        <x:v>1.5</x:v>
      </x:c>
      <x:c r="H1632" s="24" t="str">
        <x:v>1.50</x:v>
      </x:c>
      <x:c r="I1632" s="24" t="str">
        <x:v>DuraVision Platinum UV</x:v>
      </x:c>
      <x:c r="J1632" s="40" t="n">
        <x:v>2118</x:v>
      </x:c>
      <x:c r="K1632" s="24" t="str">
        <x:v>-6.00 a +6.00</x:v>
      </x:c>
      <x:c r="L1632" s="24" t="str">
        <x:v>-4.00</x:v>
      </x:c>
      <x:c r="M1632" s="24" t="str">
        <x:v>-</x:v>
      </x:c>
      <x:c r="N1632" s="24" t="str">
        <x:v>75</x:v>
      </x:c>
      <x:c r="O1632" s="24"/>
      <x:c r="P1632" s="24"/>
      <x:c r="Q1632" s="24" t="str">
        <x:v>DISPONÍVEL</x:v>
      </x:c>
      <x:c r="R1632" s="24"/>
      <x:c r="S1632" s="24" t="n">
        <x:v>20</x:v>
      </x:c>
      <x:c r="T1632" s="24" t="str">
        <x:v>tabela_zeiss.pdf</x:v>
      </x:c>
      <x:c r="U1632" s="24" t="str">
        <x:v>ZEISS|Visão Simples Jovem|Surfaçada|SmartLife Young||1.5|1.50|DuraVision Platinum UV|-6.00 a +6.00|-4.00|-|75|||20</x:v>
      </x:c>
    </x:row>
    <x:row r="1633">
      <x:c r="A1633" s="24" t="str">
        <x:v>ZS-6B899F22D28D</x:v>
      </x:c>
      <x:c r="B1633" s="24" t="str">
        <x:v>ZEISS</x:v>
      </x:c>
      <x:c r="C1633" s="24" t="str">
        <x:v>Visão Simples Jovem</x:v>
      </x:c>
      <x:c r="D1633" s="24" t="str">
        <x:v>Surfaçada</x:v>
      </x:c>
      <x:c r="E1633" s="24" t="str">
        <x:v>SmartLife Young</x:v>
      </x:c>
      <x:c r="F1633" s="24"/>
      <x:c r="G1633" s="24" t="str">
        <x:v>1.5</x:v>
      </x:c>
      <x:c r="H1633" s="24" t="str">
        <x:v>1.50</x:v>
      </x:c>
      <x:c r="I1633" s="24" t="str">
        <x:v>DuraVision Silver UV</x:v>
      </x:c>
      <x:c r="J1633" s="40" t="n">
        <x:v>1858</x:v>
      </x:c>
      <x:c r="K1633" s="24" t="str">
        <x:v>-6.00 a +6.00</x:v>
      </x:c>
      <x:c r="L1633" s="24" t="str">
        <x:v>-4.00</x:v>
      </x:c>
      <x:c r="M1633" s="24" t="str">
        <x:v>-</x:v>
      </x:c>
      <x:c r="N1633" s="24" t="str">
        <x:v>75</x:v>
      </x:c>
      <x:c r="O1633" s="24"/>
      <x:c r="P1633" s="24"/>
      <x:c r="Q1633" s="24" t="str">
        <x:v>DISPONÍVEL</x:v>
      </x:c>
      <x:c r="R1633" s="24"/>
      <x:c r="S1633" s="24" t="n">
        <x:v>20</x:v>
      </x:c>
      <x:c r="T1633" s="24" t="str">
        <x:v>tabela_zeiss.pdf</x:v>
      </x:c>
      <x:c r="U1633" s="24" t="str">
        <x:v>ZEISS|Visão Simples Jovem|Surfaçada|SmartLife Young||1.5|1.50|DuraVision Silver UV|-6.00 a +6.00|-4.00|-|75|||20</x:v>
      </x:c>
    </x:row>
    <x:row r="1634">
      <x:c r="A1634" s="24" t="str">
        <x:v>ZS-7A6A0E73D303</x:v>
      </x:c>
      <x:c r="B1634" s="24" t="str">
        <x:v>ZEISS</x:v>
      </x:c>
      <x:c r="C1634" s="24" t="str">
        <x:v>Visão Simples Jovem</x:v>
      </x:c>
      <x:c r="D1634" s="24" t="str">
        <x:v>Surfaçada</x:v>
      </x:c>
      <x:c r="E1634" s="24" t="str">
        <x:v>SmartLife Young</x:v>
      </x:c>
      <x:c r="F1634" s="24"/>
      <x:c r="G1634" s="24" t="str">
        <x:v>1.5</x:v>
      </x:c>
      <x:c r="H1634" s="24" t="str">
        <x:v>1.50</x:v>
      </x:c>
      <x:c r="I1634" s="24" t="str">
        <x:v>DuraVision Chrome UV</x:v>
      </x:c>
      <x:c r="J1634" s="40" t="n">
        <x:v>1368</x:v>
      </x:c>
      <x:c r="K1634" s="24" t="str">
        <x:v>-6.00 a +6.00</x:v>
      </x:c>
      <x:c r="L1634" s="24" t="str">
        <x:v>-4.00</x:v>
      </x:c>
      <x:c r="M1634" s="24" t="str">
        <x:v>-</x:v>
      </x:c>
      <x:c r="N1634" s="24" t="str">
        <x:v>75</x:v>
      </x:c>
      <x:c r="O1634" s="24"/>
      <x:c r="P1634" s="24"/>
      <x:c r="Q1634" s="24" t="str">
        <x:v>DISPONÍVEL</x:v>
      </x:c>
      <x:c r="R1634" s="24"/>
      <x:c r="S1634" s="24" t="n">
        <x:v>20</x:v>
      </x:c>
      <x:c r="T1634" s="24" t="str">
        <x:v>tabela_zeiss.pdf</x:v>
      </x:c>
      <x:c r="U1634" s="24" t="str">
        <x:v>ZEISS|Visão Simples Jovem|Surfaçada|SmartLife Young||1.5|1.50|DuraVision Chrome UV|-6.00 a +6.00|-4.00|-|75|||20</x:v>
      </x:c>
    </x:row>
    <x:row r="1635">
      <x:c r="A1635" s="24" t="str">
        <x:v>ZS-A66B75AE96EE</x:v>
      </x:c>
      <x:c r="B1635" s="24" t="str">
        <x:v>ZEISS</x:v>
      </x:c>
      <x:c r="C1635" s="24" t="str">
        <x:v>Visão Simples Jovem</x:v>
      </x:c>
      <x:c r="D1635" s="24" t="str">
        <x:v>Surfaçada</x:v>
      </x:c>
      <x:c r="E1635" s="24" t="str">
        <x:v>SmartLife Young</x:v>
      </x:c>
      <x:c r="F1635" s="24"/>
      <x:c r="G1635" s="24" t="str">
        <x:v>Poli</x:v>
      </x:c>
      <x:c r="H1635" s="24"/>
      <x:c r="I1635" s="24" t="str">
        <x:v>DuraVision Gold UV</x:v>
      </x:c>
      <x:c r="J1635" s="40" t="n">
        <x:v>2618</x:v>
      </x:c>
      <x:c r="K1635" s="24" t="str">
        <x:v>-10.00 a +8.00</x:v>
      </x:c>
      <x:c r="L1635" s="24" t="str">
        <x:v>-4.00</x:v>
      </x:c>
      <x:c r="M1635" s="24" t="str">
        <x:v>-</x:v>
      </x:c>
      <x:c r="N1635" s="24" t="str">
        <x:v>70</x:v>
      </x:c>
      <x:c r="O1635" s="24"/>
      <x:c r="P1635" s="24"/>
      <x:c r="Q1635" s="24" t="str">
        <x:v>DISPONÍVEL</x:v>
      </x:c>
      <x:c r="R1635" s="24"/>
      <x:c r="S1635" s="24" t="n">
        <x:v>20</x:v>
      </x:c>
      <x:c r="T1635" s="24" t="str">
        <x:v>tabela_zeiss.pdf</x:v>
      </x:c>
      <x:c r="U1635" s="24" t="str">
        <x:v>ZEISS|Visão Simples Jovem|Surfaçada|SmartLife Young||Poli||DuraVision Gold UV|-10.00 a +8.00|-4.00|-|70|||20</x:v>
      </x:c>
    </x:row>
    <x:row r="1636">
      <x:c r="A1636" s="24" t="str">
        <x:v>ZS-9400948F4DDE</x:v>
      </x:c>
      <x:c r="B1636" s="24" t="str">
        <x:v>ZEISS</x:v>
      </x:c>
      <x:c r="C1636" s="24" t="str">
        <x:v>Visão Simples Jovem</x:v>
      </x:c>
      <x:c r="D1636" s="24" t="str">
        <x:v>Surfaçada</x:v>
      </x:c>
      <x:c r="E1636" s="24" t="str">
        <x:v>SmartLife Young</x:v>
      </x:c>
      <x:c r="F1636" s="24"/>
      <x:c r="G1636" s="24" t="str">
        <x:v>Poli</x:v>
      </x:c>
      <x:c r="H1636" s="24"/>
      <x:c r="I1636" s="24" t="str">
        <x:v>DuraVision Platinum UV</x:v>
      </x:c>
      <x:c r="J1636" s="40" t="n">
        <x:v>2478</x:v>
      </x:c>
      <x:c r="K1636" s="24" t="str">
        <x:v>-10.00 a +8.00</x:v>
      </x:c>
      <x:c r="L1636" s="24" t="str">
        <x:v>-4.00</x:v>
      </x:c>
      <x:c r="M1636" s="24" t="str">
        <x:v>-</x:v>
      </x:c>
      <x:c r="N1636" s="24" t="str">
        <x:v>70</x:v>
      </x:c>
      <x:c r="O1636" s="24"/>
      <x:c r="P1636" s="24"/>
      <x:c r="Q1636" s="24" t="str">
        <x:v>DISPONÍVEL</x:v>
      </x:c>
      <x:c r="R1636" s="24"/>
      <x:c r="S1636" s="24" t="n">
        <x:v>20</x:v>
      </x:c>
      <x:c r="T1636" s="24" t="str">
        <x:v>tabela_zeiss.pdf</x:v>
      </x:c>
      <x:c r="U1636" s="24" t="str">
        <x:v>ZEISS|Visão Simples Jovem|Surfaçada|SmartLife Young||Poli||DuraVision Platinum UV|-10.00 a +8.00|-4.00|-|70|||20</x:v>
      </x:c>
    </x:row>
    <x:row r="1637">
      <x:c r="A1637" s="24" t="str">
        <x:v>ZS-1F8E161E3A9B</x:v>
      </x:c>
      <x:c r="B1637" s="24" t="str">
        <x:v>ZEISS</x:v>
      </x:c>
      <x:c r="C1637" s="24" t="str">
        <x:v>Visão Simples Jovem</x:v>
      </x:c>
      <x:c r="D1637" s="24" t="str">
        <x:v>Surfaçada</x:v>
      </x:c>
      <x:c r="E1637" s="24" t="str">
        <x:v>SmartLife Young</x:v>
      </x:c>
      <x:c r="F1637" s="24"/>
      <x:c r="G1637" s="24" t="str">
        <x:v>Poli</x:v>
      </x:c>
      <x:c r="H1637" s="24"/>
      <x:c r="I1637" s="24" t="str">
        <x:v>DuraVision Silver UV</x:v>
      </x:c>
      <x:c r="J1637" s="40" t="n">
        <x:v>2218</x:v>
      </x:c>
      <x:c r="K1637" s="24" t="str">
        <x:v>-10.00 a +8.00</x:v>
      </x:c>
      <x:c r="L1637" s="24" t="str">
        <x:v>-4.00</x:v>
      </x:c>
      <x:c r="M1637" s="24" t="str">
        <x:v>-</x:v>
      </x:c>
      <x:c r="N1637" s="24" t="str">
        <x:v>70</x:v>
      </x:c>
      <x:c r="O1637" s="24"/>
      <x:c r="P1637" s="24"/>
      <x:c r="Q1637" s="24" t="str">
        <x:v>DISPONÍVEL</x:v>
      </x:c>
      <x:c r="R1637" s="24"/>
      <x:c r="S1637" s="24" t="n">
        <x:v>20</x:v>
      </x:c>
      <x:c r="T1637" s="24" t="str">
        <x:v>tabela_zeiss.pdf</x:v>
      </x:c>
      <x:c r="U1637" s="24" t="str">
        <x:v>ZEISS|Visão Simples Jovem|Surfaçada|SmartLife Young||Poli||DuraVision Silver UV|-10.00 a +8.00|-4.00|-|70|||20</x:v>
      </x:c>
    </x:row>
    <x:row r="1638">
      <x:c r="A1638" s="24" t="str">
        <x:v>ZS-67EBC8F5169F</x:v>
      </x:c>
      <x:c r="B1638" s="24" t="str">
        <x:v>ZEISS</x:v>
      </x:c>
      <x:c r="C1638" s="24" t="str">
        <x:v>Visão Simples Jovem</x:v>
      </x:c>
      <x:c r="D1638" s="24" t="str">
        <x:v>Surfaçada</x:v>
      </x:c>
      <x:c r="E1638" s="24" t="str">
        <x:v>SmartLife Young</x:v>
      </x:c>
      <x:c r="F1638" s="24"/>
      <x:c r="G1638" s="24" t="str">
        <x:v>Poli</x:v>
      </x:c>
      <x:c r="H1638" s="24"/>
      <x:c r="I1638" s="24" t="str">
        <x:v>DuraVision Chrome UV</x:v>
      </x:c>
      <x:c r="J1638" s="40" t="n">
        <x:v>1728</x:v>
      </x:c>
      <x:c r="K1638" s="24" t="str">
        <x:v>-10.00 a +8.00</x:v>
      </x:c>
      <x:c r="L1638" s="24" t="str">
        <x:v>-4.00</x:v>
      </x:c>
      <x:c r="M1638" s="24" t="str">
        <x:v>-</x:v>
      </x:c>
      <x:c r="N1638" s="24" t="str">
        <x:v>70</x:v>
      </x:c>
      <x:c r="O1638" s="24"/>
      <x:c r="P1638" s="24"/>
      <x:c r="Q1638" s="24" t="str">
        <x:v>DISPONÍVEL</x:v>
      </x:c>
      <x:c r="R1638" s="24"/>
      <x:c r="S1638" s="24" t="n">
        <x:v>20</x:v>
      </x:c>
      <x:c r="T1638" s="24" t="str">
        <x:v>tabela_zeiss.pdf</x:v>
      </x:c>
      <x:c r="U1638" s="24" t="str">
        <x:v>ZEISS|Visão Simples Jovem|Surfaçada|SmartLife Young||Poli||DuraVision Chrome UV|-10.00 a +8.00|-4.00|-|70|||20</x:v>
      </x:c>
    </x:row>
    <x:row r="1639">
      <x:c r="A1639" s="24" t="str">
        <x:v>ZS-EBFB4D722458</x:v>
      </x:c>
      <x:c r="B1639" s="24" t="str">
        <x:v>ZEISS</x:v>
      </x:c>
      <x:c r="C1639" s="24" t="str">
        <x:v>Visão Simples Jovem</x:v>
      </x:c>
      <x:c r="D1639" s="24" t="str">
        <x:v>Surfaçada</x:v>
      </x:c>
      <x:c r="E1639" s="24" t="str">
        <x:v>SmartLife Young</x:v>
      </x:c>
      <x:c r="F1639" s="24"/>
      <x:c r="G1639" s="24" t="str">
        <x:v>1.6</x:v>
      </x:c>
      <x:c r="H1639" s="24" t="str">
        <x:v>1.60</x:v>
      </x:c>
      <x:c r="I1639" s="24" t="str">
        <x:v>DuraVision Gold UV</x:v>
      </x:c>
      <x:c r="J1639" s="40" t="n">
        <x:v>2838</x:v>
      </x:c>
      <x:c r="K1639" s="24" t="str">
        <x:v>-6.00 a +6.00</x:v>
      </x:c>
      <x:c r="L1639" s="24" t="str">
        <x:v>-6.00</x:v>
      </x:c>
      <x:c r="M1639" s="24" t="str">
        <x:v>-</x:v>
      </x:c>
      <x:c r="N1639" s="24" t="str">
        <x:v>75</x:v>
      </x:c>
      <x:c r="O1639" s="24"/>
      <x:c r="P1639" s="24"/>
      <x:c r="Q1639" s="24" t="str">
        <x:v>DISPONÍVEL</x:v>
      </x:c>
      <x:c r="R1639" s="24"/>
      <x:c r="S1639" s="24" t="n">
        <x:v>20</x:v>
      </x:c>
      <x:c r="T1639" s="24" t="str">
        <x:v>tabela_zeiss.pdf</x:v>
      </x:c>
      <x:c r="U1639" s="24" t="str">
        <x:v>ZEISS|Visão Simples Jovem|Surfaçada|SmartLife Young||1.6|1.60|DuraVision Gold UV|-6.00 a +6.00|-6.00|-|75|||20</x:v>
      </x:c>
    </x:row>
    <x:row r="1640">
      <x:c r="A1640" s="24" t="str">
        <x:v>ZS-B473A89B7AF3</x:v>
      </x:c>
      <x:c r="B1640" s="24" t="str">
        <x:v>ZEISS</x:v>
      </x:c>
      <x:c r="C1640" s="24" t="str">
        <x:v>Visão Simples Jovem</x:v>
      </x:c>
      <x:c r="D1640" s="24" t="str">
        <x:v>Surfaçada</x:v>
      </x:c>
      <x:c r="E1640" s="24" t="str">
        <x:v>SmartLife Young</x:v>
      </x:c>
      <x:c r="F1640" s="24"/>
      <x:c r="G1640" s="24" t="str">
        <x:v>1.6</x:v>
      </x:c>
      <x:c r="H1640" s="24" t="str">
        <x:v>1.60</x:v>
      </x:c>
      <x:c r="I1640" s="24" t="str">
        <x:v>DuraVision Antivírus Platinum UV</x:v>
      </x:c>
      <x:c r="J1640" s="40" t="n">
        <x:v>2698</x:v>
      </x:c>
      <x:c r="K1640" s="24" t="str">
        <x:v>-6.00 a +6.00</x:v>
      </x:c>
      <x:c r="L1640" s="24" t="str">
        <x:v>-6.00</x:v>
      </x:c>
      <x:c r="M1640" s="24" t="str">
        <x:v>-</x:v>
      </x:c>
      <x:c r="N1640" s="24" t="str">
        <x:v>75</x:v>
      </x:c>
      <x:c r="O1640" s="24"/>
      <x:c r="P1640" s="24"/>
      <x:c r="Q1640" s="24" t="str">
        <x:v>DISPONÍVEL</x:v>
      </x:c>
      <x:c r="R1640" s="24"/>
      <x:c r="S1640" s="24" t="n">
        <x:v>20</x:v>
      </x:c>
      <x:c r="T1640" s="24" t="str">
        <x:v>tabela_zeiss.pdf</x:v>
      </x:c>
      <x:c r="U1640" s="24" t="str">
        <x:v>ZEISS|Visão Simples Jovem|Surfaçada|SmartLife Young||1.6|1.60|DuraVision Antivírus Platinum UV|-6.00 a +6.00|-6.00|-|75|||20</x:v>
      </x:c>
    </x:row>
    <x:row r="1641">
      <x:c r="A1641" s="24" t="str">
        <x:v>ZS-8F8524B981C8</x:v>
      </x:c>
      <x:c r="B1641" s="24" t="str">
        <x:v>ZEISS</x:v>
      </x:c>
      <x:c r="C1641" s="24" t="str">
        <x:v>Visão Simples Jovem</x:v>
      </x:c>
      <x:c r="D1641" s="24" t="str">
        <x:v>Surfaçada</x:v>
      </x:c>
      <x:c r="E1641" s="24" t="str">
        <x:v>SmartLife Young</x:v>
      </x:c>
      <x:c r="F1641" s="24"/>
      <x:c r="G1641" s="24" t="str">
        <x:v>1.6</x:v>
      </x:c>
      <x:c r="H1641" s="24" t="str">
        <x:v>1.60</x:v>
      </x:c>
      <x:c r="I1641" s="24" t="str">
        <x:v>DuraVision Platinum UV</x:v>
      </x:c>
      <x:c r="J1641" s="40" t="n">
        <x:v>2698</x:v>
      </x:c>
      <x:c r="K1641" s="24" t="str">
        <x:v>-6.00 a +6.00</x:v>
      </x:c>
      <x:c r="L1641" s="24" t="str">
        <x:v>-6.00</x:v>
      </x:c>
      <x:c r="M1641" s="24" t="str">
        <x:v>-</x:v>
      </x:c>
      <x:c r="N1641" s="24" t="str">
        <x:v>75</x:v>
      </x:c>
      <x:c r="O1641" s="24"/>
      <x:c r="P1641" s="24"/>
      <x:c r="Q1641" s="24" t="str">
        <x:v>DISPONÍVEL</x:v>
      </x:c>
      <x:c r="R1641" s="24"/>
      <x:c r="S1641" s="24" t="n">
        <x:v>20</x:v>
      </x:c>
      <x:c r="T1641" s="24" t="str">
        <x:v>tabela_zeiss.pdf</x:v>
      </x:c>
      <x:c r="U1641" s="24" t="str">
        <x:v>ZEISS|Visão Simples Jovem|Surfaçada|SmartLife Young||1.6|1.60|DuraVision Platinum UV|-6.00 a +6.00|-6.00|-|75|||20</x:v>
      </x:c>
    </x:row>
    <x:row r="1642">
      <x:c r="A1642" s="24" t="str">
        <x:v>ZS-F29BA05C1A55</x:v>
      </x:c>
      <x:c r="B1642" s="24" t="str">
        <x:v>ZEISS</x:v>
      </x:c>
      <x:c r="C1642" s="24" t="str">
        <x:v>Visão Simples Jovem</x:v>
      </x:c>
      <x:c r="D1642" s="24" t="str">
        <x:v>Surfaçada</x:v>
      </x:c>
      <x:c r="E1642" s="24" t="str">
        <x:v>SmartLife Young</x:v>
      </x:c>
      <x:c r="F1642" s="24"/>
      <x:c r="G1642" s="24" t="str">
        <x:v>1.6</x:v>
      </x:c>
      <x:c r="H1642" s="24" t="str">
        <x:v>1.60</x:v>
      </x:c>
      <x:c r="I1642" s="24" t="str">
        <x:v>DuraVision Silver UV</x:v>
      </x:c>
      <x:c r="J1642" s="40" t="n">
        <x:v>2438</x:v>
      </x:c>
      <x:c r="K1642" s="24" t="str">
        <x:v>-6.00 a +6.00</x:v>
      </x:c>
      <x:c r="L1642" s="24" t="str">
        <x:v>-6.00</x:v>
      </x:c>
      <x:c r="M1642" s="24" t="str">
        <x:v>-</x:v>
      </x:c>
      <x:c r="N1642" s="24" t="str">
        <x:v>75</x:v>
      </x:c>
      <x:c r="O1642" s="24"/>
      <x:c r="P1642" s="24"/>
      <x:c r="Q1642" s="24" t="str">
        <x:v>DISPONÍVEL</x:v>
      </x:c>
      <x:c r="R1642" s="24"/>
      <x:c r="S1642" s="24" t="n">
        <x:v>20</x:v>
      </x:c>
      <x:c r="T1642" s="24" t="str">
        <x:v>tabela_zeiss.pdf</x:v>
      </x:c>
      <x:c r="U1642" s="24" t="str">
        <x:v>ZEISS|Visão Simples Jovem|Surfaçada|SmartLife Young||1.6|1.60|DuraVision Silver UV|-6.00 a +6.00|-6.00|-|75|||20</x:v>
      </x:c>
    </x:row>
    <x:row r="1643">
      <x:c r="A1643" s="24" t="str">
        <x:v>ZS-D2380DDA5CAE</x:v>
      </x:c>
      <x:c r="B1643" s="24" t="str">
        <x:v>ZEISS</x:v>
      </x:c>
      <x:c r="C1643" s="24" t="str">
        <x:v>Visão Simples Jovem</x:v>
      </x:c>
      <x:c r="D1643" s="24" t="str">
        <x:v>Surfaçada</x:v>
      </x:c>
      <x:c r="E1643" s="24" t="str">
        <x:v>SmartLife Young</x:v>
      </x:c>
      <x:c r="F1643" s="24"/>
      <x:c r="G1643" s="24" t="str">
        <x:v>1.6</x:v>
      </x:c>
      <x:c r="H1643" s="24" t="str">
        <x:v>1.60</x:v>
      </x:c>
      <x:c r="I1643" s="24" t="str">
        <x:v>DuraVision Chrome UV</x:v>
      </x:c>
      <x:c r="J1643" s="40" t="n">
        <x:v>1948</x:v>
      </x:c>
      <x:c r="K1643" s="24" t="str">
        <x:v>-6.00 a +6.00</x:v>
      </x:c>
      <x:c r="L1643" s="24" t="str">
        <x:v>-6.00</x:v>
      </x:c>
      <x:c r="M1643" s="24" t="str">
        <x:v>-</x:v>
      </x:c>
      <x:c r="N1643" s="24" t="str">
        <x:v>75</x:v>
      </x:c>
      <x:c r="O1643" s="24"/>
      <x:c r="P1643" s="24"/>
      <x:c r="Q1643" s="24" t="str">
        <x:v>DISPONÍVEL</x:v>
      </x:c>
      <x:c r="R1643" s="24"/>
      <x:c r="S1643" s="24" t="n">
        <x:v>20</x:v>
      </x:c>
      <x:c r="T1643" s="24" t="str">
        <x:v>tabela_zeiss.pdf</x:v>
      </x:c>
      <x:c r="U1643" s="24" t="str">
        <x:v>ZEISS|Visão Simples Jovem|Surfaçada|SmartLife Young||1.6|1.60|DuraVision Chrome UV|-6.00 a +6.00|-6.00|-|75|||20</x:v>
      </x:c>
    </x:row>
    <x:row r="1644">
      <x:c r="A1644" s="24" t="str">
        <x:v>ZS-A1DA86E719A2</x:v>
      </x:c>
      <x:c r="B1644" s="24" t="str">
        <x:v>ZEISS</x:v>
      </x:c>
      <x:c r="C1644" s="24" t="str">
        <x:v>Visão Simples Jovem</x:v>
      </x:c>
      <x:c r="D1644" s="24" t="str">
        <x:v>Surfaçada</x:v>
      </x:c>
      <x:c r="E1644" s="24" t="str">
        <x:v>SmartLife Young</x:v>
      </x:c>
      <x:c r="F1644" s="24"/>
      <x:c r="G1644" s="24" t="str">
        <x:v>1.67</x:v>
      </x:c>
      <x:c r="H1644" s="24" t="str">
        <x:v>1.67</x:v>
      </x:c>
      <x:c r="I1644" s="24" t="str">
        <x:v>DuraVision Gold UV</x:v>
      </x:c>
      <x:c r="J1644" s="40" t="n">
        <x:v>4138</x:v>
      </x:c>
      <x:c r="K1644" s="24" t="str">
        <x:v>-8.00 a +8.00</x:v>
      </x:c>
      <x:c r="L1644" s="24" t="str">
        <x:v>-6.00</x:v>
      </x:c>
      <x:c r="M1644" s="24" t="str">
        <x:v>-</x:v>
      </x:c>
      <x:c r="N1644" s="24" t="str">
        <x:v>70</x:v>
      </x:c>
      <x:c r="O1644" s="24"/>
      <x:c r="P1644" s="24"/>
      <x:c r="Q1644" s="24" t="str">
        <x:v>DISPONÍVEL</x:v>
      </x:c>
      <x:c r="R1644" s="24"/>
      <x:c r="S1644" s="24" t="n">
        <x:v>20</x:v>
      </x:c>
      <x:c r="T1644" s="24" t="str">
        <x:v>tabela_zeiss.pdf</x:v>
      </x:c>
      <x:c r="U1644" s="24" t="str">
        <x:v>ZEISS|Visão Simples Jovem|Surfaçada|SmartLife Young||1.67|1.67|DuraVision Gold UV|-8.00 a +8.00|-6.00|-|70|||20</x:v>
      </x:c>
    </x:row>
    <x:row r="1645">
      <x:c r="A1645" s="24" t="str">
        <x:v>ZS-801011B70C13</x:v>
      </x:c>
      <x:c r="B1645" s="24" t="str">
        <x:v>ZEISS</x:v>
      </x:c>
      <x:c r="C1645" s="24" t="str">
        <x:v>Visão Simples Jovem</x:v>
      </x:c>
      <x:c r="D1645" s="24" t="str">
        <x:v>Surfaçada</x:v>
      </x:c>
      <x:c r="E1645" s="24" t="str">
        <x:v>SmartLife Young</x:v>
      </x:c>
      <x:c r="F1645" s="24"/>
      <x:c r="G1645" s="24" t="str">
        <x:v>1.67</x:v>
      </x:c>
      <x:c r="H1645" s="24" t="str">
        <x:v>1.67</x:v>
      </x:c>
      <x:c r="I1645" s="24" t="str">
        <x:v>DuraVision Antivírus Platinum UV</x:v>
      </x:c>
      <x:c r="J1645" s="40" t="n">
        <x:v>3998</x:v>
      </x:c>
      <x:c r="K1645" s="24" t="str">
        <x:v>-8.00 a +8.00</x:v>
      </x:c>
      <x:c r="L1645" s="24" t="str">
        <x:v>-6.00</x:v>
      </x:c>
      <x:c r="M1645" s="24" t="str">
        <x:v>-</x:v>
      </x:c>
      <x:c r="N1645" s="24" t="str">
        <x:v>70</x:v>
      </x:c>
      <x:c r="O1645" s="24"/>
      <x:c r="P1645" s="24"/>
      <x:c r="Q1645" s="24" t="str">
        <x:v>DISPONÍVEL</x:v>
      </x:c>
      <x:c r="R1645" s="24"/>
      <x:c r="S1645" s="24" t="n">
        <x:v>20</x:v>
      </x:c>
      <x:c r="T1645" s="24" t="str">
        <x:v>tabela_zeiss.pdf</x:v>
      </x:c>
      <x:c r="U1645" s="24" t="str">
        <x:v>ZEISS|Visão Simples Jovem|Surfaçada|SmartLife Young||1.67|1.67|DuraVision Antivírus Platinum UV|-8.00 a +8.00|-6.00|-|70|||20</x:v>
      </x:c>
    </x:row>
    <x:row r="1646">
      <x:c r="A1646" s="24" t="str">
        <x:v>ZS-97104A875553</x:v>
      </x:c>
      <x:c r="B1646" s="24" t="str">
        <x:v>ZEISS</x:v>
      </x:c>
      <x:c r="C1646" s="24" t="str">
        <x:v>Visão Simples Jovem</x:v>
      </x:c>
      <x:c r="D1646" s="24" t="str">
        <x:v>Surfaçada</x:v>
      </x:c>
      <x:c r="E1646" s="24" t="str">
        <x:v>SmartLife Young</x:v>
      </x:c>
      <x:c r="F1646" s="24"/>
      <x:c r="G1646" s="24" t="str">
        <x:v>1.67</x:v>
      </x:c>
      <x:c r="H1646" s="24" t="str">
        <x:v>1.67</x:v>
      </x:c>
      <x:c r="I1646" s="24" t="str">
        <x:v>DuraVision Platinum UV</x:v>
      </x:c>
      <x:c r="J1646" s="40" t="n">
        <x:v>3998</x:v>
      </x:c>
      <x:c r="K1646" s="24" t="str">
        <x:v>-8.00 a +8.00</x:v>
      </x:c>
      <x:c r="L1646" s="24" t="str">
        <x:v>-6.00</x:v>
      </x:c>
      <x:c r="M1646" s="24" t="str">
        <x:v>-</x:v>
      </x:c>
      <x:c r="N1646" s="24" t="str">
        <x:v>70</x:v>
      </x:c>
      <x:c r="O1646" s="24"/>
      <x:c r="P1646" s="24"/>
      <x:c r="Q1646" s="24" t="str">
        <x:v>DISPONÍVEL</x:v>
      </x:c>
      <x:c r="R1646" s="24"/>
      <x:c r="S1646" s="24" t="n">
        <x:v>20</x:v>
      </x:c>
      <x:c r="T1646" s="24" t="str">
        <x:v>tabela_zeiss.pdf</x:v>
      </x:c>
      <x:c r="U1646" s="24" t="str">
        <x:v>ZEISS|Visão Simples Jovem|Surfaçada|SmartLife Young||1.67|1.67|DuraVision Platinum UV|-8.00 a +8.00|-6.00|-|70|||20</x:v>
      </x:c>
    </x:row>
    <x:row r="1647">
      <x:c r="A1647" s="24" t="str">
        <x:v>ZS-9F80A1EF978F</x:v>
      </x:c>
      <x:c r="B1647" s="24" t="str">
        <x:v>ZEISS</x:v>
      </x:c>
      <x:c r="C1647" s="24" t="str">
        <x:v>Visão Simples Jovem</x:v>
      </x:c>
      <x:c r="D1647" s="24" t="str">
        <x:v>Surfaçada</x:v>
      </x:c>
      <x:c r="E1647" s="24" t="str">
        <x:v>SmartLife Young</x:v>
      </x:c>
      <x:c r="F1647" s="24"/>
      <x:c r="G1647" s="24" t="str">
        <x:v>1.67</x:v>
      </x:c>
      <x:c r="H1647" s="24" t="str">
        <x:v>1.67</x:v>
      </x:c>
      <x:c r="I1647" s="24" t="str">
        <x:v>DuraVision Silver UV</x:v>
      </x:c>
      <x:c r="J1647" s="40" t="n">
        <x:v>3738</x:v>
      </x:c>
      <x:c r="K1647" s="24" t="str">
        <x:v>-8.00 a +8.00</x:v>
      </x:c>
      <x:c r="L1647" s="24" t="str">
        <x:v>-6.00</x:v>
      </x:c>
      <x:c r="M1647" s="24" t="str">
        <x:v>-</x:v>
      </x:c>
      <x:c r="N1647" s="24" t="str">
        <x:v>70</x:v>
      </x:c>
      <x:c r="O1647" s="24"/>
      <x:c r="P1647" s="24"/>
      <x:c r="Q1647" s="24" t="str">
        <x:v>DISPONÍVEL</x:v>
      </x:c>
      <x:c r="R1647" s="24"/>
      <x:c r="S1647" s="24" t="n">
        <x:v>20</x:v>
      </x:c>
      <x:c r="T1647" s="24" t="str">
        <x:v>tabela_zeiss.pdf</x:v>
      </x:c>
      <x:c r="U1647" s="24" t="str">
        <x:v>ZEISS|Visão Simples Jovem|Surfaçada|SmartLife Young||1.67|1.67|DuraVision Silver UV|-8.00 a +8.00|-6.00|-|70|||20</x:v>
      </x:c>
    </x:row>
    <x:row r="1648">
      <x:c r="A1648" s="24" t="str">
        <x:v>ZS-1A4309DCA721</x:v>
      </x:c>
      <x:c r="B1648" s="24" t="str">
        <x:v>ZEISS</x:v>
      </x:c>
      <x:c r="C1648" s="24" t="str">
        <x:v>Visão Simples Jovem</x:v>
      </x:c>
      <x:c r="D1648" s="24" t="str">
        <x:v>Surfaçada</x:v>
      </x:c>
      <x:c r="E1648" s="24" t="str">
        <x:v>SmartLife Young</x:v>
      </x:c>
      <x:c r="F1648" s="24"/>
      <x:c r="G1648" s="24" t="str">
        <x:v>1.67</x:v>
      </x:c>
      <x:c r="H1648" s="24" t="str">
        <x:v>1.67</x:v>
      </x:c>
      <x:c r="I1648" s="24" t="str">
        <x:v>DuraVision Chrome UV</x:v>
      </x:c>
      <x:c r="J1648" s="40" t="n">
        <x:v>3248</x:v>
      </x:c>
      <x:c r="K1648" s="24" t="str">
        <x:v>-8.00 a +8.00</x:v>
      </x:c>
      <x:c r="L1648" s="24" t="str">
        <x:v>-6.00</x:v>
      </x:c>
      <x:c r="M1648" s="24" t="str">
        <x:v>-</x:v>
      </x:c>
      <x:c r="N1648" s="24" t="str">
        <x:v>70</x:v>
      </x:c>
      <x:c r="O1648" s="24"/>
      <x:c r="P1648" s="24"/>
      <x:c r="Q1648" s="24" t="str">
        <x:v>DISPONÍVEL</x:v>
      </x:c>
      <x:c r="R1648" s="24"/>
      <x:c r="S1648" s="24" t="n">
        <x:v>20</x:v>
      </x:c>
      <x:c r="T1648" s="24" t="str">
        <x:v>tabela_zeiss.pdf</x:v>
      </x:c>
      <x:c r="U1648" s="24" t="str">
        <x:v>ZEISS|Visão Simples Jovem|Surfaçada|SmartLife Young||1.67|1.67|DuraVision Chrome UV|-8.00 a +8.00|-6.00|-|70|||20</x:v>
      </x:c>
    </x:row>
    <x:row r="1649">
      <x:c r="A1649" s="24" t="str">
        <x:v>ZS-1DED8946D142</x:v>
      </x:c>
      <x:c r="B1649" s="24" t="str">
        <x:v>ZEISS</x:v>
      </x:c>
      <x:c r="C1649" s="24" t="str">
        <x:v>Visão Simples Jovem</x:v>
      </x:c>
      <x:c r="D1649" s="24" t="str">
        <x:v>Surfaçada</x:v>
      </x:c>
      <x:c r="E1649" s="24" t="str">
        <x:v>SmartLife Young</x:v>
      </x:c>
      <x:c r="F1649" s="24"/>
      <x:c r="G1649" s="24" t="str">
        <x:v>1.74</x:v>
      </x:c>
      <x:c r="H1649" s="24" t="str">
        <x:v>1.74</x:v>
      </x:c>
      <x:c r="I1649" s="24" t="str">
        <x:v>DuraVision Gold UV</x:v>
      </x:c>
      <x:c r="J1649" s="40" t="n">
        <x:v>4448</x:v>
      </x:c>
      <x:c r="K1649" s="24" t="str">
        <x:v>-10.00 a +6.00</x:v>
      </x:c>
      <x:c r="L1649" s="24" t="str">
        <x:v>-6.00</x:v>
      </x:c>
      <x:c r="M1649" s="24" t="str">
        <x:v>-</x:v>
      </x:c>
      <x:c r="N1649" s="24" t="str">
        <x:v>70 a 75</x:v>
      </x:c>
      <x:c r="O1649" s="24"/>
      <x:c r="P1649" s="24"/>
      <x:c r="Q1649" s="24" t="str">
        <x:v>DISPONÍVEL</x:v>
      </x:c>
      <x:c r="R1649" s="24"/>
      <x:c r="S1649" s="24" t="n">
        <x:v>20</x:v>
      </x:c>
      <x:c r="T1649" s="24" t="str">
        <x:v>tabela_zeiss.pdf</x:v>
      </x:c>
      <x:c r="U1649" s="24" t="str">
        <x:v>ZEISS|Visão Simples Jovem|Surfaçada|SmartLife Young||1.74|1.74|DuraVision Gold UV|-10.00 a +6.00|-6.00|-|70 a 75|||20</x:v>
      </x:c>
    </x:row>
    <x:row r="1650">
      <x:c r="A1650" s="24" t="str">
        <x:v>ZS-0623249DFE51</x:v>
      </x:c>
      <x:c r="B1650" s="24" t="str">
        <x:v>ZEISS</x:v>
      </x:c>
      <x:c r="C1650" s="24" t="str">
        <x:v>Visão Simples Jovem</x:v>
      </x:c>
      <x:c r="D1650" s="24" t="str">
        <x:v>Surfaçada</x:v>
      </x:c>
      <x:c r="E1650" s="24" t="str">
        <x:v>SmartLife Young</x:v>
      </x:c>
      <x:c r="F1650" s="24"/>
      <x:c r="G1650" s="24" t="str">
        <x:v>1.74</x:v>
      </x:c>
      <x:c r="H1650" s="24" t="str">
        <x:v>1.74</x:v>
      </x:c>
      <x:c r="I1650" s="24" t="str">
        <x:v>DuraVision Platinum UV</x:v>
      </x:c>
      <x:c r="J1650" s="40" t="n">
        <x:v>4308</x:v>
      </x:c>
      <x:c r="K1650" s="24" t="str">
        <x:v>-10.00 a +6.00</x:v>
      </x:c>
      <x:c r="L1650" s="24" t="str">
        <x:v>-6.00</x:v>
      </x:c>
      <x:c r="M1650" s="24" t="str">
        <x:v>-</x:v>
      </x:c>
      <x:c r="N1650" s="24" t="str">
        <x:v>70 a 75</x:v>
      </x:c>
      <x:c r="O1650" s="24"/>
      <x:c r="P1650" s="24"/>
      <x:c r="Q1650" s="24" t="str">
        <x:v>DISPONÍVEL</x:v>
      </x:c>
      <x:c r="R1650" s="24"/>
      <x:c r="S1650" s="24" t="n">
        <x:v>20</x:v>
      </x:c>
      <x:c r="T1650" s="24" t="str">
        <x:v>tabela_zeiss.pdf</x:v>
      </x:c>
      <x:c r="U1650" s="24" t="str">
        <x:v>ZEISS|Visão Simples Jovem|Surfaçada|SmartLife Young||1.74|1.74|DuraVision Platinum UV|-10.00 a +6.00|-6.00|-|70 a 75|||20</x:v>
      </x:c>
    </x:row>
    <x:row r="1651">
      <x:c r="A1651" s="24" t="str">
        <x:v>ZS-4F7B86B7BDFF</x:v>
      </x:c>
      <x:c r="B1651" s="24" t="str">
        <x:v>ZEISS</x:v>
      </x:c>
      <x:c r="C1651" s="24" t="str">
        <x:v>Visão Simples Jovem</x:v>
      </x:c>
      <x:c r="D1651" s="24" t="str">
        <x:v>Surfaçada</x:v>
      </x:c>
      <x:c r="E1651" s="24" t="str">
        <x:v>SmartLife Young</x:v>
      </x:c>
      <x:c r="F1651" s="24"/>
      <x:c r="G1651" s="24" t="str">
        <x:v>1.74</x:v>
      </x:c>
      <x:c r="H1651" s="24" t="str">
        <x:v>1.74</x:v>
      </x:c>
      <x:c r="I1651" s="24" t="str">
        <x:v>DuraVision Silver UV</x:v>
      </x:c>
      <x:c r="J1651" s="40" t="n">
        <x:v>4048</x:v>
      </x:c>
      <x:c r="K1651" s="24" t="str">
        <x:v>-10.00 a +6.00</x:v>
      </x:c>
      <x:c r="L1651" s="24" t="str">
        <x:v>-6.00</x:v>
      </x:c>
      <x:c r="M1651" s="24" t="str">
        <x:v>-</x:v>
      </x:c>
      <x:c r="N1651" s="24" t="str">
        <x:v>70 a 75</x:v>
      </x:c>
      <x:c r="O1651" s="24"/>
      <x:c r="P1651" s="24"/>
      <x:c r="Q1651" s="24" t="str">
        <x:v>DISPONÍVEL</x:v>
      </x:c>
      <x:c r="R1651" s="24"/>
      <x:c r="S1651" s="24" t="n">
        <x:v>20</x:v>
      </x:c>
      <x:c r="T1651" s="24" t="str">
        <x:v>tabela_zeiss.pdf</x:v>
      </x:c>
      <x:c r="U1651" s="24" t="str">
        <x:v>ZEISS|Visão Simples Jovem|Surfaçada|SmartLife Young||1.74|1.74|DuraVision Silver UV|-10.00 a +6.00|-6.00|-|70 a 75|||20</x:v>
      </x:c>
    </x:row>
    <x:row r="1652">
      <x:c r="A1652" s="24" t="str">
        <x:v>ZS-51DAAA2D6E0E</x:v>
      </x:c>
      <x:c r="B1652" s="24" t="str">
        <x:v>ZEISS</x:v>
      </x:c>
      <x:c r="C1652" s="24" t="str">
        <x:v>Visão Simples Jovem</x:v>
      </x:c>
      <x:c r="D1652" s="24" t="str">
        <x:v>Surfaçada</x:v>
      </x:c>
      <x:c r="E1652" s="24" t="str">
        <x:v>SmartLife Young</x:v>
      </x:c>
      <x:c r="F1652" s="24"/>
      <x:c r="G1652" s="24" t="str">
        <x:v>1.74</x:v>
      </x:c>
      <x:c r="H1652" s="24" t="str">
        <x:v>1.74</x:v>
      </x:c>
      <x:c r="I1652" s="24" t="str">
        <x:v>DuraVision Chrome UV</x:v>
      </x:c>
      <x:c r="J1652" s="40" t="n">
        <x:v>3558</x:v>
      </x:c>
      <x:c r="K1652" s="24" t="str">
        <x:v>-10.00 a +6.00</x:v>
      </x:c>
      <x:c r="L1652" s="24" t="str">
        <x:v>-6.00</x:v>
      </x:c>
      <x:c r="M1652" s="24" t="str">
        <x:v>-</x:v>
      </x:c>
      <x:c r="N1652" s="24" t="str">
        <x:v>70 a 75</x:v>
      </x:c>
      <x:c r="O1652" s="24"/>
      <x:c r="P1652" s="24"/>
      <x:c r="Q1652" s="24" t="str">
        <x:v>DISPONÍVEL</x:v>
      </x:c>
      <x:c r="R1652" s="24"/>
      <x:c r="S1652" s="24" t="n">
        <x:v>20</x:v>
      </x:c>
      <x:c r="T1652" s="24" t="str">
        <x:v>tabela_zeiss.pdf</x:v>
      </x:c>
      <x:c r="U1652" s="24" t="str">
        <x:v>ZEISS|Visão Simples Jovem|Surfaçada|SmartLife Young||1.74|1.74|DuraVision Chrome UV|-10.00 a +6.00|-6.00|-|70 a 75|||20</x:v>
      </x:c>
    </x:row>
    <x:row r="1653">
      <x:c r="A1653" s="24" t="str">
        <x:v>ZS-6A1A2A5F23B6</x:v>
      </x:c>
      <x:c r="B1653" s="24" t="str">
        <x:v>ZEISS</x:v>
      </x:c>
      <x:c r="C1653" s="24" t="str">
        <x:v>Visão Simples Jovem</x:v>
      </x:c>
      <x:c r="D1653" s="24" t="str">
        <x:v>Surfaçada</x:v>
      </x:c>
      <x:c r="E1653" s="24" t="str">
        <x:v>SmartLife Young</x:v>
      </x:c>
      <x:c r="F1653" s="24" t="str">
        <x:v>PhotoFusion X</x:v>
      </x:c>
      <x:c r="G1653" s="24" t="str">
        <x:v>1.5</x:v>
      </x:c>
      <x:c r="H1653" s="24" t="str">
        <x:v>1.50</x:v>
      </x:c>
      <x:c r="I1653" s="24" t="str">
        <x:v>DuraVision Gold UV</x:v>
      </x:c>
      <x:c r="J1653" s="40" t="n">
        <x:v>3348</x:v>
      </x:c>
      <x:c r="K1653" s="24" t="str">
        <x:v>-6.00 a +6.00</x:v>
      </x:c>
      <x:c r="L1653" s="24" t="str">
        <x:v>-4.00</x:v>
      </x:c>
      <x:c r="M1653" s="24" t="str">
        <x:v>-</x:v>
      </x:c>
      <x:c r="N1653" s="24" t="str">
        <x:v>75</x:v>
      </x:c>
      <x:c r="O1653" s="24"/>
      <x:c r="P1653" s="24"/>
      <x:c r="Q1653" s="24" t="str">
        <x:v>DISPONÍVEL</x:v>
      </x:c>
      <x:c r="R1653" s="24" t="str">
        <x:v>Programa de Parcerias ZEISS</x:v>
      </x:c>
      <x:c r="S1653" s="24" t="n">
        <x:v>20</x:v>
      </x:c>
      <x:c r="T1653" s="24" t="str">
        <x:v>tabela_zeiss.pdf</x:v>
      </x:c>
      <x:c r="U1653" s="24" t="str">
        <x:v>ZEISS|Visão Simples Jovem|Surfaçada|SmartLife Young|PhotoFusion X|1.5|1.50|DuraVision Gold UV|-6.00 a +6.00|-4.00|-|75|||20</x:v>
      </x:c>
    </x:row>
    <x:row r="1654">
      <x:c r="A1654" s="24" t="str">
        <x:v>ZS-1C9779CB9887</x:v>
      </x:c>
      <x:c r="B1654" s="24" t="str">
        <x:v>ZEISS</x:v>
      </x:c>
      <x:c r="C1654" s="24" t="str">
        <x:v>Visão Simples Jovem</x:v>
      </x:c>
      <x:c r="D1654" s="24" t="str">
        <x:v>Surfaçada</x:v>
      </x:c>
      <x:c r="E1654" s="24" t="str">
        <x:v>SmartLife Young</x:v>
      </x:c>
      <x:c r="F1654" s="24" t="str">
        <x:v>PhotoFusion X</x:v>
      </x:c>
      <x:c r="G1654" s="24" t="str">
        <x:v>1.5</x:v>
      </x:c>
      <x:c r="H1654" s="24" t="str">
        <x:v>1.50</x:v>
      </x:c>
      <x:c r="I1654" s="24" t="str">
        <x:v>DuraVision Antivírus Platinum UV</x:v>
      </x:c>
      <x:c r="J1654" s="40" t="n">
        <x:v>3208</x:v>
      </x:c>
      <x:c r="K1654" s="24" t="str">
        <x:v>-6.00 a +6.00</x:v>
      </x:c>
      <x:c r="L1654" s="24" t="str">
        <x:v>-4.00</x:v>
      </x:c>
      <x:c r="M1654" s="24" t="str">
        <x:v>-</x:v>
      </x:c>
      <x:c r="N1654" s="24" t="str">
        <x:v>75</x:v>
      </x:c>
      <x:c r="O1654" s="24"/>
      <x:c r="P1654" s="24"/>
      <x:c r="Q1654" s="24" t="str">
        <x:v>DISPONÍVEL</x:v>
      </x:c>
      <x:c r="R1654" s="24" t="str">
        <x:v>Programa de Parcerias ZEISS</x:v>
      </x:c>
      <x:c r="S1654" s="24" t="n">
        <x:v>20</x:v>
      </x:c>
      <x:c r="T1654" s="24" t="str">
        <x:v>tabela_zeiss.pdf</x:v>
      </x:c>
      <x:c r="U1654" s="24" t="str">
        <x:v>ZEISS|Visão Simples Jovem|Surfaçada|SmartLife Young|PhotoFusion X|1.5|1.50|DuraVision Antivírus Platinum UV|-6.00 a +6.00|-4.00|-|75|||20</x:v>
      </x:c>
    </x:row>
    <x:row r="1655">
      <x:c r="A1655" s="24" t="str">
        <x:v>ZS-4DF707CAE435</x:v>
      </x:c>
      <x:c r="B1655" s="24" t="str">
        <x:v>ZEISS</x:v>
      </x:c>
      <x:c r="C1655" s="24" t="str">
        <x:v>Visão Simples Jovem</x:v>
      </x:c>
      <x:c r="D1655" s="24" t="str">
        <x:v>Surfaçada</x:v>
      </x:c>
      <x:c r="E1655" s="24" t="str">
        <x:v>SmartLife Young</x:v>
      </x:c>
      <x:c r="F1655" s="24" t="str">
        <x:v>PhotoFusion X</x:v>
      </x:c>
      <x:c r="G1655" s="24" t="str">
        <x:v>1.5</x:v>
      </x:c>
      <x:c r="H1655" s="24" t="str">
        <x:v>1.50</x:v>
      </x:c>
      <x:c r="I1655" s="24" t="str">
        <x:v>DuraVision Platinum UV</x:v>
      </x:c>
      <x:c r="J1655" s="40" t="n">
        <x:v>3208</x:v>
      </x:c>
      <x:c r="K1655" s="24" t="str">
        <x:v>-6.00 a +6.00</x:v>
      </x:c>
      <x:c r="L1655" s="24" t="str">
        <x:v>-4.00</x:v>
      </x:c>
      <x:c r="M1655" s="24" t="str">
        <x:v>-</x:v>
      </x:c>
      <x:c r="N1655" s="24" t="str">
        <x:v>75</x:v>
      </x:c>
      <x:c r="O1655" s="24"/>
      <x:c r="P1655" s="24"/>
      <x:c r="Q1655" s="24" t="str">
        <x:v>DISPONÍVEL</x:v>
      </x:c>
      <x:c r="R1655" s="24" t="str">
        <x:v>Programa de Parcerias ZEISS</x:v>
      </x:c>
      <x:c r="S1655" s="24" t="n">
        <x:v>20</x:v>
      </x:c>
      <x:c r="T1655" s="24" t="str">
        <x:v>tabela_zeiss.pdf</x:v>
      </x:c>
      <x:c r="U1655" s="24" t="str">
        <x:v>ZEISS|Visão Simples Jovem|Surfaçada|SmartLife Young|PhotoFusion X|1.5|1.50|DuraVision Platinum UV|-6.00 a +6.00|-4.00|-|75|||20</x:v>
      </x:c>
    </x:row>
    <x:row r="1656">
      <x:c r="A1656" s="24" t="str">
        <x:v>ZS-79106DCD8396</x:v>
      </x:c>
      <x:c r="B1656" s="24" t="str">
        <x:v>ZEISS</x:v>
      </x:c>
      <x:c r="C1656" s="24" t="str">
        <x:v>Visão Simples Jovem</x:v>
      </x:c>
      <x:c r="D1656" s="24" t="str">
        <x:v>Surfaçada</x:v>
      </x:c>
      <x:c r="E1656" s="24" t="str">
        <x:v>SmartLife Young</x:v>
      </x:c>
      <x:c r="F1656" s="24" t="str">
        <x:v>PhotoFusion X</x:v>
      </x:c>
      <x:c r="G1656" s="24" t="str">
        <x:v>1.5</x:v>
      </x:c>
      <x:c r="H1656" s="24" t="str">
        <x:v>1.50</x:v>
      </x:c>
      <x:c r="I1656" s="24" t="str">
        <x:v>DuraVision Silver UV</x:v>
      </x:c>
      <x:c r="J1656" s="40" t="n">
        <x:v>2948</x:v>
      </x:c>
      <x:c r="K1656" s="24" t="str">
        <x:v>-6.00 a +6.00</x:v>
      </x:c>
      <x:c r="L1656" s="24" t="str">
        <x:v>-4.00</x:v>
      </x:c>
      <x:c r="M1656" s="24" t="str">
        <x:v>-</x:v>
      </x:c>
      <x:c r="N1656" s="24" t="str">
        <x:v>75</x:v>
      </x:c>
      <x:c r="O1656" s="24"/>
      <x:c r="P1656" s="24"/>
      <x:c r="Q1656" s="24" t="str">
        <x:v>DISPONÍVEL</x:v>
      </x:c>
      <x:c r="R1656" s="24" t="str">
        <x:v>Programa de Parcerias ZEISS</x:v>
      </x:c>
      <x:c r="S1656" s="24" t="n">
        <x:v>20</x:v>
      </x:c>
      <x:c r="T1656" s="24" t="str">
        <x:v>tabela_zeiss.pdf</x:v>
      </x:c>
      <x:c r="U1656" s="24" t="str">
        <x:v>ZEISS|Visão Simples Jovem|Surfaçada|SmartLife Young|PhotoFusion X|1.5|1.50|DuraVision Silver UV|-6.00 a +6.00|-4.00|-|75|||20</x:v>
      </x:c>
    </x:row>
    <x:row r="1657">
      <x:c r="A1657" s="24" t="str">
        <x:v>ZS-6DA638A2A16A</x:v>
      </x:c>
      <x:c r="B1657" s="24" t="str">
        <x:v>ZEISS</x:v>
      </x:c>
      <x:c r="C1657" s="24" t="str">
        <x:v>Visão Simples Jovem</x:v>
      </x:c>
      <x:c r="D1657" s="24" t="str">
        <x:v>Surfaçada</x:v>
      </x:c>
      <x:c r="E1657" s="24" t="str">
        <x:v>SmartLife Young</x:v>
      </x:c>
      <x:c r="F1657" s="24" t="str">
        <x:v>PhotoFusion X</x:v>
      </x:c>
      <x:c r="G1657" s="24" t="str">
        <x:v>1.5</x:v>
      </x:c>
      <x:c r="H1657" s="24" t="str">
        <x:v>1.50</x:v>
      </x:c>
      <x:c r="I1657" s="24" t="str">
        <x:v>DuraVision Chrome UV</x:v>
      </x:c>
      <x:c r="J1657" s="40" t="n">
        <x:v>2458</x:v>
      </x:c>
      <x:c r="K1657" s="24" t="str">
        <x:v>-6.00 a +6.00</x:v>
      </x:c>
      <x:c r="L1657" s="24" t="str">
        <x:v>-4.00</x:v>
      </x:c>
      <x:c r="M1657" s="24" t="str">
        <x:v>-</x:v>
      </x:c>
      <x:c r="N1657" s="24" t="str">
        <x:v>75</x:v>
      </x:c>
      <x:c r="O1657" s="24"/>
      <x:c r="P1657" s="24"/>
      <x:c r="Q1657" s="24" t="str">
        <x:v>DISPONÍVEL</x:v>
      </x:c>
      <x:c r="R1657" s="24" t="str">
        <x:v>Programa de Parcerias ZEISS</x:v>
      </x:c>
      <x:c r="S1657" s="24" t="n">
        <x:v>20</x:v>
      </x:c>
      <x:c r="T1657" s="24" t="str">
        <x:v>tabela_zeiss.pdf</x:v>
      </x:c>
      <x:c r="U1657" s="24" t="str">
        <x:v>ZEISS|Visão Simples Jovem|Surfaçada|SmartLife Young|PhotoFusion X|1.5|1.50|DuraVision Chrome UV|-6.00 a +6.00|-4.00|-|75|||20</x:v>
      </x:c>
    </x:row>
    <x:row r="1658">
      <x:c r="A1658" s="24" t="str">
        <x:v>ZS-0873FBF4928D</x:v>
      </x:c>
      <x:c r="B1658" s="24" t="str">
        <x:v>ZEISS</x:v>
      </x:c>
      <x:c r="C1658" s="24" t="str">
        <x:v>Visão Simples Jovem</x:v>
      </x:c>
      <x:c r="D1658" s="24" t="str">
        <x:v>Surfaçada</x:v>
      </x:c>
      <x:c r="E1658" s="24" t="str">
        <x:v>SmartLife Young</x:v>
      </x:c>
      <x:c r="F1658" s="24" t="str">
        <x:v>PhotoFusion X</x:v>
      </x:c>
      <x:c r="G1658" s="24" t="str">
        <x:v>Poli</x:v>
      </x:c>
      <x:c r="H1658" s="24"/>
      <x:c r="I1658" s="24" t="str">
        <x:v>DuraVision Gold UV</x:v>
      </x:c>
      <x:c r="J1658" s="40" t="n">
        <x:v>3708</x:v>
      </x:c>
      <x:c r="K1658" s="24" t="str">
        <x:v>-10.00 a +8.00</x:v>
      </x:c>
      <x:c r="L1658" s="24" t="str">
        <x:v>-4.00</x:v>
      </x:c>
      <x:c r="M1658" s="24" t="str">
        <x:v>-</x:v>
      </x:c>
      <x:c r="N1658" s="24" t="str">
        <x:v>70</x:v>
      </x:c>
      <x:c r="O1658" s="24"/>
      <x:c r="P1658" s="24"/>
      <x:c r="Q1658" s="24" t="str">
        <x:v>DISPONÍVEL</x:v>
      </x:c>
      <x:c r="R1658" s="24" t="str">
        <x:v>Programa de Parcerias ZEISS</x:v>
      </x:c>
      <x:c r="S1658" s="24" t="n">
        <x:v>20</x:v>
      </x:c>
      <x:c r="T1658" s="24" t="str">
        <x:v>tabela_zeiss.pdf</x:v>
      </x:c>
      <x:c r="U1658" s="24" t="str">
        <x:v>ZEISS|Visão Simples Jovem|Surfaçada|SmartLife Young|PhotoFusion X|Poli||DuraVision Gold UV|-10.00 a +8.00|-4.00|-|70|||20</x:v>
      </x:c>
    </x:row>
    <x:row r="1659">
      <x:c r="A1659" s="24" t="str">
        <x:v>ZS-616FF26FCCBB</x:v>
      </x:c>
      <x:c r="B1659" s="24" t="str">
        <x:v>ZEISS</x:v>
      </x:c>
      <x:c r="C1659" s="24" t="str">
        <x:v>Visão Simples Jovem</x:v>
      </x:c>
      <x:c r="D1659" s="24" t="str">
        <x:v>Surfaçada</x:v>
      </x:c>
      <x:c r="E1659" s="24" t="str">
        <x:v>SmartLife Young</x:v>
      </x:c>
      <x:c r="F1659" s="24" t="str">
        <x:v>PhotoFusion X</x:v>
      </x:c>
      <x:c r="G1659" s="24" t="str">
        <x:v>Poli</x:v>
      </x:c>
      <x:c r="H1659" s="24"/>
      <x:c r="I1659" s="24" t="str">
        <x:v>DuraVision Platinum UV</x:v>
      </x:c>
      <x:c r="J1659" s="40" t="n">
        <x:v>3568</x:v>
      </x:c>
      <x:c r="K1659" s="24" t="str">
        <x:v>-10.00 a +8.00</x:v>
      </x:c>
      <x:c r="L1659" s="24" t="str">
        <x:v>-4.00</x:v>
      </x:c>
      <x:c r="M1659" s="24" t="str">
        <x:v>-</x:v>
      </x:c>
      <x:c r="N1659" s="24" t="str">
        <x:v>70</x:v>
      </x:c>
      <x:c r="O1659" s="24"/>
      <x:c r="P1659" s="24"/>
      <x:c r="Q1659" s="24" t="str">
        <x:v>DISPONÍVEL</x:v>
      </x:c>
      <x:c r="R1659" s="24" t="str">
        <x:v>Programa de Parcerias ZEISS</x:v>
      </x:c>
      <x:c r="S1659" s="24" t="n">
        <x:v>20</x:v>
      </x:c>
      <x:c r="T1659" s="24" t="str">
        <x:v>tabela_zeiss.pdf</x:v>
      </x:c>
      <x:c r="U1659" s="24" t="str">
        <x:v>ZEISS|Visão Simples Jovem|Surfaçada|SmartLife Young|PhotoFusion X|Poli||DuraVision Platinum UV|-10.00 a +8.00|-4.00|-|70|||20</x:v>
      </x:c>
    </x:row>
    <x:row r="1660">
      <x:c r="A1660" s="24" t="str">
        <x:v>ZS-6DB5456D8424</x:v>
      </x:c>
      <x:c r="B1660" s="24" t="str">
        <x:v>ZEISS</x:v>
      </x:c>
      <x:c r="C1660" s="24" t="str">
        <x:v>Visão Simples Jovem</x:v>
      </x:c>
      <x:c r="D1660" s="24" t="str">
        <x:v>Surfaçada</x:v>
      </x:c>
      <x:c r="E1660" s="24" t="str">
        <x:v>SmartLife Young</x:v>
      </x:c>
      <x:c r="F1660" s="24" t="str">
        <x:v>PhotoFusion X</x:v>
      </x:c>
      <x:c r="G1660" s="24" t="str">
        <x:v>Poli</x:v>
      </x:c>
      <x:c r="H1660" s="24"/>
      <x:c r="I1660" s="24" t="str">
        <x:v>DuraVision Silver UV</x:v>
      </x:c>
      <x:c r="J1660" s="40" t="n">
        <x:v>3308</x:v>
      </x:c>
      <x:c r="K1660" s="24" t="str">
        <x:v>-10.00 a +8.00</x:v>
      </x:c>
      <x:c r="L1660" s="24" t="str">
        <x:v>-4.00</x:v>
      </x:c>
      <x:c r="M1660" s="24" t="str">
        <x:v>-</x:v>
      </x:c>
      <x:c r="N1660" s="24" t="str">
        <x:v>70</x:v>
      </x:c>
      <x:c r="O1660" s="24"/>
      <x:c r="P1660" s="24"/>
      <x:c r="Q1660" s="24" t="str">
        <x:v>DISPONÍVEL</x:v>
      </x:c>
      <x:c r="R1660" s="24" t="str">
        <x:v>Programa de Parcerias ZEISS</x:v>
      </x:c>
      <x:c r="S1660" s="24" t="n">
        <x:v>20</x:v>
      </x:c>
      <x:c r="T1660" s="24" t="str">
        <x:v>tabela_zeiss.pdf</x:v>
      </x:c>
      <x:c r="U1660" s="24" t="str">
        <x:v>ZEISS|Visão Simples Jovem|Surfaçada|SmartLife Young|PhotoFusion X|Poli||DuraVision Silver UV|-10.00 a +8.00|-4.00|-|70|||20</x:v>
      </x:c>
    </x:row>
    <x:row r="1661">
      <x:c r="A1661" s="24" t="str">
        <x:v>ZS-D69961180510</x:v>
      </x:c>
      <x:c r="B1661" s="24" t="str">
        <x:v>ZEISS</x:v>
      </x:c>
      <x:c r="C1661" s="24" t="str">
        <x:v>Visão Simples Jovem</x:v>
      </x:c>
      <x:c r="D1661" s="24" t="str">
        <x:v>Surfaçada</x:v>
      </x:c>
      <x:c r="E1661" s="24" t="str">
        <x:v>SmartLife Young</x:v>
      </x:c>
      <x:c r="F1661" s="24" t="str">
        <x:v>PhotoFusion X</x:v>
      </x:c>
      <x:c r="G1661" s="24" t="str">
        <x:v>Poli</x:v>
      </x:c>
      <x:c r="H1661" s="24"/>
      <x:c r="I1661" s="24" t="str">
        <x:v>DuraVision Chrome UV</x:v>
      </x:c>
      <x:c r="J1661" s="40" t="n">
        <x:v>2818</x:v>
      </x:c>
      <x:c r="K1661" s="24" t="str">
        <x:v>-10.00 a +8.00</x:v>
      </x:c>
      <x:c r="L1661" s="24" t="str">
        <x:v>-4.00</x:v>
      </x:c>
      <x:c r="M1661" s="24" t="str">
        <x:v>-</x:v>
      </x:c>
      <x:c r="N1661" s="24" t="str">
        <x:v>70</x:v>
      </x:c>
      <x:c r="O1661" s="24"/>
      <x:c r="P1661" s="24"/>
      <x:c r="Q1661" s="24" t="str">
        <x:v>DISPONÍVEL</x:v>
      </x:c>
      <x:c r="R1661" s="24" t="str">
        <x:v>Programa de Parcerias ZEISS</x:v>
      </x:c>
      <x:c r="S1661" s="24" t="n">
        <x:v>20</x:v>
      </x:c>
      <x:c r="T1661" s="24" t="str">
        <x:v>tabela_zeiss.pdf</x:v>
      </x:c>
      <x:c r="U1661" s="24" t="str">
        <x:v>ZEISS|Visão Simples Jovem|Surfaçada|SmartLife Young|PhotoFusion X|Poli||DuraVision Chrome UV|-10.00 a +8.00|-4.00|-|70|||20</x:v>
      </x:c>
    </x:row>
    <x:row r="1662">
      <x:c r="A1662" s="24" t="str">
        <x:v>ZS-F0BEE77E07D9</x:v>
      </x:c>
      <x:c r="B1662" s="24" t="str">
        <x:v>ZEISS</x:v>
      </x:c>
      <x:c r="C1662" s="24" t="str">
        <x:v>Visão Simples Jovem</x:v>
      </x:c>
      <x:c r="D1662" s="24" t="str">
        <x:v>Surfaçada</x:v>
      </x:c>
      <x:c r="E1662" s="24" t="str">
        <x:v>SmartLife Young</x:v>
      </x:c>
      <x:c r="F1662" s="24" t="str">
        <x:v>PhotoFusion X</x:v>
      </x:c>
      <x:c r="G1662" s="24" t="str">
        <x:v>1.6</x:v>
      </x:c>
      <x:c r="H1662" s="24" t="str">
        <x:v>1.60</x:v>
      </x:c>
      <x:c r="I1662" s="24" t="str">
        <x:v>DuraVision Gold UV</x:v>
      </x:c>
      <x:c r="J1662" s="40" t="n">
        <x:v>3928</x:v>
      </x:c>
      <x:c r="K1662" s="24" t="str">
        <x:v>-6.00 a +8.00</x:v>
      </x:c>
      <x:c r="L1662" s="24" t="str">
        <x:v>-4.00</x:v>
      </x:c>
      <x:c r="M1662" s="24" t="str">
        <x:v>-</x:v>
      </x:c>
      <x:c r="N1662" s="24" t="str">
        <x:v>75</x:v>
      </x:c>
      <x:c r="O1662" s="24"/>
      <x:c r="P1662" s="24"/>
      <x:c r="Q1662" s="24" t="str">
        <x:v>DISPONÍVEL</x:v>
      </x:c>
      <x:c r="R1662" s="24" t="str">
        <x:v>Programa de Parcerias ZEISS</x:v>
      </x:c>
      <x:c r="S1662" s="24" t="n">
        <x:v>20</x:v>
      </x:c>
      <x:c r="T1662" s="24" t="str">
        <x:v>tabela_zeiss.pdf</x:v>
      </x:c>
      <x:c r="U1662" s="24" t="str">
        <x:v>ZEISS|Visão Simples Jovem|Surfaçada|SmartLife Young|PhotoFusion X|1.6|1.60|DuraVision Gold UV|-6.00 a +8.00|-4.00|-|75|||20</x:v>
      </x:c>
    </x:row>
    <x:row r="1663">
      <x:c r="A1663" s="24" t="str">
        <x:v>ZS-E7C8020E87D3</x:v>
      </x:c>
      <x:c r="B1663" s="24" t="str">
        <x:v>ZEISS</x:v>
      </x:c>
      <x:c r="C1663" s="24" t="str">
        <x:v>Visão Simples Jovem</x:v>
      </x:c>
      <x:c r="D1663" s="24" t="str">
        <x:v>Surfaçada</x:v>
      </x:c>
      <x:c r="E1663" s="24" t="str">
        <x:v>SmartLife Young</x:v>
      </x:c>
      <x:c r="F1663" s="24" t="str">
        <x:v>PhotoFusion X</x:v>
      </x:c>
      <x:c r="G1663" s="24" t="str">
        <x:v>1.6</x:v>
      </x:c>
      <x:c r="H1663" s="24" t="str">
        <x:v>1.60</x:v>
      </x:c>
      <x:c r="I1663" s="24" t="str">
        <x:v>DuraVision Antivírus Platinum UV</x:v>
      </x:c>
      <x:c r="J1663" s="40" t="n">
        <x:v>3788</x:v>
      </x:c>
      <x:c r="K1663" s="24" t="str">
        <x:v>-6.00 a +8.00</x:v>
      </x:c>
      <x:c r="L1663" s="24" t="str">
        <x:v>-4.00</x:v>
      </x:c>
      <x:c r="M1663" s="24" t="str">
        <x:v>-</x:v>
      </x:c>
      <x:c r="N1663" s="24" t="str">
        <x:v>75</x:v>
      </x:c>
      <x:c r="O1663" s="24"/>
      <x:c r="P1663" s="24"/>
      <x:c r="Q1663" s="24" t="str">
        <x:v>DISPONÍVEL</x:v>
      </x:c>
      <x:c r="R1663" s="24" t="str">
        <x:v>Programa de Parcerias ZEISS</x:v>
      </x:c>
      <x:c r="S1663" s="24" t="n">
        <x:v>20</x:v>
      </x:c>
      <x:c r="T1663" s="24" t="str">
        <x:v>tabela_zeiss.pdf</x:v>
      </x:c>
      <x:c r="U1663" s="24" t="str">
        <x:v>ZEISS|Visão Simples Jovem|Surfaçada|SmartLife Young|PhotoFusion X|1.6|1.60|DuraVision Antivírus Platinum UV|-6.00 a +8.00|-4.00|-|75|||20</x:v>
      </x:c>
    </x:row>
    <x:row r="1664">
      <x:c r="A1664" s="24" t="str">
        <x:v>ZS-7894CF5FDB57</x:v>
      </x:c>
      <x:c r="B1664" s="24" t="str">
        <x:v>ZEISS</x:v>
      </x:c>
      <x:c r="C1664" s="24" t="str">
        <x:v>Visão Simples Jovem</x:v>
      </x:c>
      <x:c r="D1664" s="24" t="str">
        <x:v>Surfaçada</x:v>
      </x:c>
      <x:c r="E1664" s="24" t="str">
        <x:v>SmartLife Young</x:v>
      </x:c>
      <x:c r="F1664" s="24" t="str">
        <x:v>PhotoFusion X</x:v>
      </x:c>
      <x:c r="G1664" s="24" t="str">
        <x:v>1.6</x:v>
      </x:c>
      <x:c r="H1664" s="24" t="str">
        <x:v>1.60</x:v>
      </x:c>
      <x:c r="I1664" s="24" t="str">
        <x:v>DuraVision Platinum UV</x:v>
      </x:c>
      <x:c r="J1664" s="40" t="n">
        <x:v>3788</x:v>
      </x:c>
      <x:c r="K1664" s="24" t="str">
        <x:v>-6.00 a +8.00</x:v>
      </x:c>
      <x:c r="L1664" s="24" t="str">
        <x:v>-4.00</x:v>
      </x:c>
      <x:c r="M1664" s="24" t="str">
        <x:v>-</x:v>
      </x:c>
      <x:c r="N1664" s="24" t="str">
        <x:v>75</x:v>
      </x:c>
      <x:c r="O1664" s="24"/>
      <x:c r="P1664" s="24"/>
      <x:c r="Q1664" s="24" t="str">
        <x:v>DISPONÍVEL</x:v>
      </x:c>
      <x:c r="R1664" s="24" t="str">
        <x:v>Programa de Parcerias ZEISS</x:v>
      </x:c>
      <x:c r="S1664" s="24" t="n">
        <x:v>20</x:v>
      </x:c>
      <x:c r="T1664" s="24" t="str">
        <x:v>tabela_zeiss.pdf</x:v>
      </x:c>
      <x:c r="U1664" s="24" t="str">
        <x:v>ZEISS|Visão Simples Jovem|Surfaçada|SmartLife Young|PhotoFusion X|1.6|1.60|DuraVision Platinum UV|-6.00 a +8.00|-4.00|-|75|||20</x:v>
      </x:c>
    </x:row>
    <x:row r="1665">
      <x:c r="A1665" s="24" t="str">
        <x:v>ZS-362473E7742F</x:v>
      </x:c>
      <x:c r="B1665" s="24" t="str">
        <x:v>ZEISS</x:v>
      </x:c>
      <x:c r="C1665" s="24" t="str">
        <x:v>Visão Simples Jovem</x:v>
      </x:c>
      <x:c r="D1665" s="24" t="str">
        <x:v>Surfaçada</x:v>
      </x:c>
      <x:c r="E1665" s="24" t="str">
        <x:v>SmartLife Young</x:v>
      </x:c>
      <x:c r="F1665" s="24" t="str">
        <x:v>PhotoFusion X</x:v>
      </x:c>
      <x:c r="G1665" s="24" t="str">
        <x:v>1.6</x:v>
      </x:c>
      <x:c r="H1665" s="24" t="str">
        <x:v>1.60</x:v>
      </x:c>
      <x:c r="I1665" s="24" t="str">
        <x:v>DuraVision Silver UV</x:v>
      </x:c>
      <x:c r="J1665" s="40" t="n">
        <x:v>3528</x:v>
      </x:c>
      <x:c r="K1665" s="24" t="str">
        <x:v>-6.00 a +8.00</x:v>
      </x:c>
      <x:c r="L1665" s="24" t="str">
        <x:v>-4.00</x:v>
      </x:c>
      <x:c r="M1665" s="24" t="str">
        <x:v>-</x:v>
      </x:c>
      <x:c r="N1665" s="24" t="str">
        <x:v>75</x:v>
      </x:c>
      <x:c r="O1665" s="24"/>
      <x:c r="P1665" s="24"/>
      <x:c r="Q1665" s="24" t="str">
        <x:v>DISPONÍVEL</x:v>
      </x:c>
      <x:c r="R1665" s="24" t="str">
        <x:v>Programa de Parcerias ZEISS</x:v>
      </x:c>
      <x:c r="S1665" s="24" t="n">
        <x:v>20</x:v>
      </x:c>
      <x:c r="T1665" s="24" t="str">
        <x:v>tabela_zeiss.pdf</x:v>
      </x:c>
      <x:c r="U1665" s="24" t="str">
        <x:v>ZEISS|Visão Simples Jovem|Surfaçada|SmartLife Young|PhotoFusion X|1.6|1.60|DuraVision Silver UV|-6.00 a +8.00|-4.00|-|75|||20</x:v>
      </x:c>
    </x:row>
    <x:row r="1666">
      <x:c r="A1666" s="24" t="str">
        <x:v>ZS-B815B25B92BF</x:v>
      </x:c>
      <x:c r="B1666" s="24" t="str">
        <x:v>ZEISS</x:v>
      </x:c>
      <x:c r="C1666" s="24" t="str">
        <x:v>Visão Simples Jovem</x:v>
      </x:c>
      <x:c r="D1666" s="24" t="str">
        <x:v>Surfaçada</x:v>
      </x:c>
      <x:c r="E1666" s="24" t="str">
        <x:v>SmartLife Young</x:v>
      </x:c>
      <x:c r="F1666" s="24" t="str">
        <x:v>PhotoFusion X</x:v>
      </x:c>
      <x:c r="G1666" s="24" t="str">
        <x:v>1.6</x:v>
      </x:c>
      <x:c r="H1666" s="24" t="str">
        <x:v>1.60</x:v>
      </x:c>
      <x:c r="I1666" s="24" t="str">
        <x:v>DuraVision Chrome UV</x:v>
      </x:c>
      <x:c r="J1666" s="40" t="n">
        <x:v>3038</x:v>
      </x:c>
      <x:c r="K1666" s="24" t="str">
        <x:v>-6.00 a +8.00</x:v>
      </x:c>
      <x:c r="L1666" s="24" t="str">
        <x:v>-4.00</x:v>
      </x:c>
      <x:c r="M1666" s="24" t="str">
        <x:v>-</x:v>
      </x:c>
      <x:c r="N1666" s="24" t="str">
        <x:v>75</x:v>
      </x:c>
      <x:c r="O1666" s="24"/>
      <x:c r="P1666" s="24"/>
      <x:c r="Q1666" s="24" t="str">
        <x:v>DISPONÍVEL</x:v>
      </x:c>
      <x:c r="R1666" s="24" t="str">
        <x:v>Programa de Parcerias ZEISS</x:v>
      </x:c>
      <x:c r="S1666" s="24" t="n">
        <x:v>20</x:v>
      </x:c>
      <x:c r="T1666" s="24" t="str">
        <x:v>tabela_zeiss.pdf</x:v>
      </x:c>
      <x:c r="U1666" s="24" t="str">
        <x:v>ZEISS|Visão Simples Jovem|Surfaçada|SmartLife Young|PhotoFusion X|1.6|1.60|DuraVision Chrome UV|-6.00 a +8.00|-4.00|-|75|||20</x:v>
      </x:c>
    </x:row>
    <x:row r="1667">
      <x:c r="A1667" s="24" t="str">
        <x:v>ZS-59CEFE4E5A3B</x:v>
      </x:c>
      <x:c r="B1667" s="24" t="str">
        <x:v>ZEISS</x:v>
      </x:c>
      <x:c r="C1667" s="24" t="str">
        <x:v>Visão Simples Jovem</x:v>
      </x:c>
      <x:c r="D1667" s="24" t="str">
        <x:v>Surfaçada</x:v>
      </x:c>
      <x:c r="E1667" s="24" t="str">
        <x:v>SmartLife Young</x:v>
      </x:c>
      <x:c r="F1667" s="24" t="str">
        <x:v>PhotoFusion X</x:v>
      </x:c>
      <x:c r="G1667" s="24" t="str">
        <x:v>1.67</x:v>
      </x:c>
      <x:c r="H1667" s="24" t="str">
        <x:v>1.67</x:v>
      </x:c>
      <x:c r="I1667" s="24" t="str">
        <x:v>DuraVision Gold UV</x:v>
      </x:c>
      <x:c r="J1667" s="40" t="n">
        <x:v>5228</x:v>
      </x:c>
      <x:c r="K1667" s="24" t="str">
        <x:v>-8.00 a +8.00</x:v>
      </x:c>
      <x:c r="L1667" s="24" t="str">
        <x:v>-6.00</x:v>
      </x:c>
      <x:c r="M1667" s="24" t="str">
        <x:v>-</x:v>
      </x:c>
      <x:c r="N1667" s="24" t="str">
        <x:v>70</x:v>
      </x:c>
      <x:c r="O1667" s="24"/>
      <x:c r="P1667" s="24"/>
      <x:c r="Q1667" s="24" t="str">
        <x:v>DISPONÍVEL</x:v>
      </x:c>
      <x:c r="R1667" s="24" t="str">
        <x:v>Programa de Parcerias ZEISS</x:v>
      </x:c>
      <x:c r="S1667" s="24" t="n">
        <x:v>20</x:v>
      </x:c>
      <x:c r="T1667" s="24" t="str">
        <x:v>tabela_zeiss.pdf</x:v>
      </x:c>
      <x:c r="U1667" s="24" t="str">
        <x:v>ZEISS|Visão Simples Jovem|Surfaçada|SmartLife Young|PhotoFusion X|1.67|1.67|DuraVision Gold UV|-8.00 a +8.00|-6.00|-|70|||20</x:v>
      </x:c>
    </x:row>
    <x:row r="1668">
      <x:c r="A1668" s="24" t="str">
        <x:v>ZS-68110B1DBCEE</x:v>
      </x:c>
      <x:c r="B1668" s="24" t="str">
        <x:v>ZEISS</x:v>
      </x:c>
      <x:c r="C1668" s="24" t="str">
        <x:v>Visão Simples Jovem</x:v>
      </x:c>
      <x:c r="D1668" s="24" t="str">
        <x:v>Surfaçada</x:v>
      </x:c>
      <x:c r="E1668" s="24" t="str">
        <x:v>SmartLife Young</x:v>
      </x:c>
      <x:c r="F1668" s="24" t="str">
        <x:v>PhotoFusion X</x:v>
      </x:c>
      <x:c r="G1668" s="24" t="str">
        <x:v>1.67</x:v>
      </x:c>
      <x:c r="H1668" s="24" t="str">
        <x:v>1.67</x:v>
      </x:c>
      <x:c r="I1668" s="24" t="str">
        <x:v>DuraVision Antivírus Platinum UV</x:v>
      </x:c>
      <x:c r="J1668" s="40" t="n">
        <x:v>5088</x:v>
      </x:c>
      <x:c r="K1668" s="24" t="str">
        <x:v>-8.00 a +8.00</x:v>
      </x:c>
      <x:c r="L1668" s="24" t="str">
        <x:v>-6.00</x:v>
      </x:c>
      <x:c r="M1668" s="24" t="str">
        <x:v>-</x:v>
      </x:c>
      <x:c r="N1668" s="24" t="str">
        <x:v>70</x:v>
      </x:c>
      <x:c r="O1668" s="24"/>
      <x:c r="P1668" s="24"/>
      <x:c r="Q1668" s="24" t="str">
        <x:v>DISPONÍVEL</x:v>
      </x:c>
      <x:c r="R1668" s="24" t="str">
        <x:v>Programa de Parcerias ZEISS</x:v>
      </x:c>
      <x:c r="S1668" s="24" t="n">
        <x:v>20</x:v>
      </x:c>
      <x:c r="T1668" s="24" t="str">
        <x:v>tabela_zeiss.pdf</x:v>
      </x:c>
      <x:c r="U1668" s="24" t="str">
        <x:v>ZEISS|Visão Simples Jovem|Surfaçada|SmartLife Young|PhotoFusion X|1.67|1.67|DuraVision Antivírus Platinum UV|-8.00 a +8.00|-6.00|-|70|||20</x:v>
      </x:c>
    </x:row>
    <x:row r="1669">
      <x:c r="A1669" s="24" t="str">
        <x:v>ZS-C6B9C8602648</x:v>
      </x:c>
      <x:c r="B1669" s="24" t="str">
        <x:v>ZEISS</x:v>
      </x:c>
      <x:c r="C1669" s="24" t="str">
        <x:v>Visão Simples Jovem</x:v>
      </x:c>
      <x:c r="D1669" s="24" t="str">
        <x:v>Surfaçada</x:v>
      </x:c>
      <x:c r="E1669" s="24" t="str">
        <x:v>SmartLife Young</x:v>
      </x:c>
      <x:c r="F1669" s="24" t="str">
        <x:v>PhotoFusion X</x:v>
      </x:c>
      <x:c r="G1669" s="24" t="str">
        <x:v>1.67</x:v>
      </x:c>
      <x:c r="H1669" s="24" t="str">
        <x:v>1.67</x:v>
      </x:c>
      <x:c r="I1669" s="24" t="str">
        <x:v>DuraVision Platinum UV</x:v>
      </x:c>
      <x:c r="J1669" s="40" t="n">
        <x:v>5088</x:v>
      </x:c>
      <x:c r="K1669" s="24" t="str">
        <x:v>-8.00 a +8.00</x:v>
      </x:c>
      <x:c r="L1669" s="24" t="str">
        <x:v>-6.00</x:v>
      </x:c>
      <x:c r="M1669" s="24" t="str">
        <x:v>-</x:v>
      </x:c>
      <x:c r="N1669" s="24" t="str">
        <x:v>70</x:v>
      </x:c>
      <x:c r="O1669" s="24"/>
      <x:c r="P1669" s="24"/>
      <x:c r="Q1669" s="24" t="str">
        <x:v>DISPONÍVEL</x:v>
      </x:c>
      <x:c r="R1669" s="24" t="str">
        <x:v>Programa de Parcerias ZEISS</x:v>
      </x:c>
      <x:c r="S1669" s="24" t="n">
        <x:v>20</x:v>
      </x:c>
      <x:c r="T1669" s="24" t="str">
        <x:v>tabela_zeiss.pdf</x:v>
      </x:c>
      <x:c r="U1669" s="24" t="str">
        <x:v>ZEISS|Visão Simples Jovem|Surfaçada|SmartLife Young|PhotoFusion X|1.67|1.67|DuraVision Platinum UV|-8.00 a +8.00|-6.00|-|70|||20</x:v>
      </x:c>
    </x:row>
    <x:row r="1670">
      <x:c r="A1670" s="24" t="str">
        <x:v>ZS-724477F3F0E2</x:v>
      </x:c>
      <x:c r="B1670" s="24" t="str">
        <x:v>ZEISS</x:v>
      </x:c>
      <x:c r="C1670" s="24" t="str">
        <x:v>Visão Simples Jovem</x:v>
      </x:c>
      <x:c r="D1670" s="24" t="str">
        <x:v>Surfaçada</x:v>
      </x:c>
      <x:c r="E1670" s="24" t="str">
        <x:v>SmartLife Young</x:v>
      </x:c>
      <x:c r="F1670" s="24" t="str">
        <x:v>PhotoFusion X</x:v>
      </x:c>
      <x:c r="G1670" s="24" t="str">
        <x:v>1.67</x:v>
      </x:c>
      <x:c r="H1670" s="24" t="str">
        <x:v>1.67</x:v>
      </x:c>
      <x:c r="I1670" s="24" t="str">
        <x:v>DuraVision Silver UV</x:v>
      </x:c>
      <x:c r="J1670" s="40" t="n">
        <x:v>4828</x:v>
      </x:c>
      <x:c r="K1670" s="24" t="str">
        <x:v>-8.00 a +8.00</x:v>
      </x:c>
      <x:c r="L1670" s="24" t="str">
        <x:v>-6.00</x:v>
      </x:c>
      <x:c r="M1670" s="24" t="str">
        <x:v>-</x:v>
      </x:c>
      <x:c r="N1670" s="24" t="str">
        <x:v>70</x:v>
      </x:c>
      <x:c r="O1670" s="24"/>
      <x:c r="P1670" s="24"/>
      <x:c r="Q1670" s="24" t="str">
        <x:v>DISPONÍVEL</x:v>
      </x:c>
      <x:c r="R1670" s="24" t="str">
        <x:v>Programa de Parcerias ZEISS</x:v>
      </x:c>
      <x:c r="S1670" s="24" t="n">
        <x:v>20</x:v>
      </x:c>
      <x:c r="T1670" s="24" t="str">
        <x:v>tabela_zeiss.pdf</x:v>
      </x:c>
      <x:c r="U1670" s="24" t="str">
        <x:v>ZEISS|Visão Simples Jovem|Surfaçada|SmartLife Young|PhotoFusion X|1.67|1.67|DuraVision Silver UV|-8.00 a +8.00|-6.00|-|70|||20</x:v>
      </x:c>
    </x:row>
    <x:row r="1671">
      <x:c r="A1671" s="24" t="str">
        <x:v>ZS-9B82B22942E2</x:v>
      </x:c>
      <x:c r="B1671" s="24" t="str">
        <x:v>ZEISS</x:v>
      </x:c>
      <x:c r="C1671" s="24" t="str">
        <x:v>Visão Simples Jovem</x:v>
      </x:c>
      <x:c r="D1671" s="24" t="str">
        <x:v>Surfaçada</x:v>
      </x:c>
      <x:c r="E1671" s="24" t="str">
        <x:v>SmartLife Young</x:v>
      </x:c>
      <x:c r="F1671" s="24" t="str">
        <x:v>PhotoFusion X</x:v>
      </x:c>
      <x:c r="G1671" s="24" t="str">
        <x:v>1.67</x:v>
      </x:c>
      <x:c r="H1671" s="24" t="str">
        <x:v>1.67</x:v>
      </x:c>
      <x:c r="I1671" s="24" t="str">
        <x:v>DuraVision Chrome UV</x:v>
      </x:c>
      <x:c r="J1671" s="40" t="n">
        <x:v>4338</x:v>
      </x:c>
      <x:c r="K1671" s="24" t="str">
        <x:v>-8.00 a +8.00</x:v>
      </x:c>
      <x:c r="L1671" s="24" t="str">
        <x:v>-6.00</x:v>
      </x:c>
      <x:c r="M1671" s="24" t="str">
        <x:v>-</x:v>
      </x:c>
      <x:c r="N1671" s="24" t="str">
        <x:v>70</x:v>
      </x:c>
      <x:c r="O1671" s="24"/>
      <x:c r="P1671" s="24"/>
      <x:c r="Q1671" s="24" t="str">
        <x:v>DISPONÍVEL</x:v>
      </x:c>
      <x:c r="R1671" s="24" t="str">
        <x:v>Programa de Parcerias ZEISS</x:v>
      </x:c>
      <x:c r="S1671" s="24" t="n">
        <x:v>20</x:v>
      </x:c>
      <x:c r="T1671" s="24" t="str">
        <x:v>tabela_zeiss.pdf</x:v>
      </x:c>
      <x:c r="U1671" s="24" t="str">
        <x:v>ZEISS|Visão Simples Jovem|Surfaçada|SmartLife Young|PhotoFusion X|1.67|1.67|DuraVision Chrome UV|-8.00 a +8.00|-6.00|-|70|||20</x:v>
      </x:c>
    </x:row>
    <x:row r="1672">
      <x:c r="A1672" s="24" t="str">
        <x:v>ZS-D980D3B77F85</x:v>
      </x:c>
      <x:c r="B1672" s="24" t="str">
        <x:v>ZEISS</x:v>
      </x:c>
      <x:c r="C1672" s="24" t="str">
        <x:v>Visão Simples Jovem</x:v>
      </x:c>
      <x:c r="D1672" s="24" t="str">
        <x:v>Surfaçada</x:v>
      </x:c>
      <x:c r="E1672" s="24" t="str">
        <x:v>SmartLife Young</x:v>
      </x:c>
      <x:c r="F1672" s="24" t="str">
        <x:v>PhotoFusion X Extra Dark Cinza</x:v>
      </x:c>
      <x:c r="G1672" s="24" t="str">
        <x:v>1.5</x:v>
      </x:c>
      <x:c r="H1672" s="24" t="str">
        <x:v>1.50</x:v>
      </x:c>
      <x:c r="I1672" s="24" t="str">
        <x:v>DuraVision Gold UV</x:v>
      </x:c>
      <x:c r="J1672" s="40" t="n">
        <x:v>3398</x:v>
      </x:c>
      <x:c r="K1672" s="24" t="str">
        <x:v>-6.00 a +6.00</x:v>
      </x:c>
      <x:c r="L1672" s="24" t="str">
        <x:v>-4.00</x:v>
      </x:c>
      <x:c r="M1672" s="24" t="str">
        <x:v>-</x:v>
      </x:c>
      <x:c r="N1672" s="24" t="str">
        <x:v>75</x:v>
      </x:c>
      <x:c r="O1672" s="24"/>
      <x:c r="P1672" s="24"/>
      <x:c r="Q1672" s="24" t="str">
        <x:v>DISPONÍVEL</x:v>
      </x:c>
      <x:c r="R1672" s="24" t="str">
        <x:v>Programa de Parcerias ZEISS</x:v>
      </x:c>
      <x:c r="S1672" s="24" t="n">
        <x:v>20</x:v>
      </x:c>
      <x:c r="T1672" s="24" t="str">
        <x:v>tabela_zeiss.pdf</x:v>
      </x:c>
      <x:c r="U1672" s="24" t="str">
        <x:v>ZEISS|Visão Simples Jovem|Surfaçada|SmartLife Young|PhotoFusion X Extra Dark Cinza|1.5|1.50|DuraVision Gold UV|-6.00 a +6.00|-4.00|-|75|||20</x:v>
      </x:c>
    </x:row>
    <x:row r="1673">
      <x:c r="A1673" s="24" t="str">
        <x:v>ZS-9404F5C5DDA3</x:v>
      </x:c>
      <x:c r="B1673" s="24" t="str">
        <x:v>ZEISS</x:v>
      </x:c>
      <x:c r="C1673" s="24" t="str">
        <x:v>Visão Simples Jovem</x:v>
      </x:c>
      <x:c r="D1673" s="24" t="str">
        <x:v>Surfaçada</x:v>
      </x:c>
      <x:c r="E1673" s="24" t="str">
        <x:v>SmartLife Young</x:v>
      </x:c>
      <x:c r="F1673" s="24" t="str">
        <x:v>PhotoFusion X Extra Dark Cinza</x:v>
      </x:c>
      <x:c r="G1673" s="24" t="str">
        <x:v>1.5</x:v>
      </x:c>
      <x:c r="H1673" s="24" t="str">
        <x:v>1.50</x:v>
      </x:c>
      <x:c r="I1673" s="24" t="str">
        <x:v>DuraVision Antivírus Platinum UV</x:v>
      </x:c>
      <x:c r="J1673" s="40" t="n">
        <x:v>3258</x:v>
      </x:c>
      <x:c r="K1673" s="24" t="str">
        <x:v>-6.00 a +6.00</x:v>
      </x:c>
      <x:c r="L1673" s="24" t="str">
        <x:v>-4.00</x:v>
      </x:c>
      <x:c r="M1673" s="24" t="str">
        <x:v>-</x:v>
      </x:c>
      <x:c r="N1673" s="24" t="str">
        <x:v>75</x:v>
      </x:c>
      <x:c r="O1673" s="24"/>
      <x:c r="P1673" s="24"/>
      <x:c r="Q1673" s="24" t="str">
        <x:v>DISPONÍVEL</x:v>
      </x:c>
      <x:c r="R1673" s="24" t="str">
        <x:v>Programa de Parcerias ZEISS</x:v>
      </x:c>
      <x:c r="S1673" s="24" t="n">
        <x:v>20</x:v>
      </x:c>
      <x:c r="T1673" s="24" t="str">
        <x:v>tabela_zeiss.pdf</x:v>
      </x:c>
      <x:c r="U1673" s="24" t="str">
        <x:v>ZEISS|Visão Simples Jovem|Surfaçada|SmartLife Young|PhotoFusion X Extra Dark Cinza|1.5|1.50|DuraVision Antivírus Platinum UV|-6.00 a +6.00|-4.00|-|75|||20</x:v>
      </x:c>
    </x:row>
    <x:row r="1674">
      <x:c r="A1674" s="24" t="str">
        <x:v>ZS-42D3EDB2EB74</x:v>
      </x:c>
      <x:c r="B1674" s="24" t="str">
        <x:v>ZEISS</x:v>
      </x:c>
      <x:c r="C1674" s="24" t="str">
        <x:v>Visão Simples Jovem</x:v>
      </x:c>
      <x:c r="D1674" s="24" t="str">
        <x:v>Surfaçada</x:v>
      </x:c>
      <x:c r="E1674" s="24" t="str">
        <x:v>SmartLife Young</x:v>
      </x:c>
      <x:c r="F1674" s="24" t="str">
        <x:v>PhotoFusion X Extra Dark Cinza</x:v>
      </x:c>
      <x:c r="G1674" s="24" t="str">
        <x:v>1.5</x:v>
      </x:c>
      <x:c r="H1674" s="24" t="str">
        <x:v>1.50</x:v>
      </x:c>
      <x:c r="I1674" s="24" t="str">
        <x:v>DuraVision Platinum UV</x:v>
      </x:c>
      <x:c r="J1674" s="40" t="n">
        <x:v>3258</x:v>
      </x:c>
      <x:c r="K1674" s="24" t="str">
        <x:v>-6.00 a +6.00</x:v>
      </x:c>
      <x:c r="L1674" s="24" t="str">
        <x:v>-4.00</x:v>
      </x:c>
      <x:c r="M1674" s="24" t="str">
        <x:v>-</x:v>
      </x:c>
      <x:c r="N1674" s="24" t="str">
        <x:v>75</x:v>
      </x:c>
      <x:c r="O1674" s="24"/>
      <x:c r="P1674" s="24"/>
      <x:c r="Q1674" s="24" t="str">
        <x:v>DISPONÍVEL</x:v>
      </x:c>
      <x:c r="R1674" s="24" t="str">
        <x:v>Programa de Parcerias ZEISS</x:v>
      </x:c>
      <x:c r="S1674" s="24" t="n">
        <x:v>20</x:v>
      </x:c>
      <x:c r="T1674" s="24" t="str">
        <x:v>tabela_zeiss.pdf</x:v>
      </x:c>
      <x:c r="U1674" s="24" t="str">
        <x:v>ZEISS|Visão Simples Jovem|Surfaçada|SmartLife Young|PhotoFusion X Extra Dark Cinza|1.5|1.50|DuraVision Platinum UV|-6.00 a +6.00|-4.00|-|75|||20</x:v>
      </x:c>
    </x:row>
    <x:row r="1675">
      <x:c r="A1675" s="24" t="str">
        <x:v>ZS-607C94CF2947</x:v>
      </x:c>
      <x:c r="B1675" s="24" t="str">
        <x:v>ZEISS</x:v>
      </x:c>
      <x:c r="C1675" s="24" t="str">
        <x:v>Visão Simples Jovem</x:v>
      </x:c>
      <x:c r="D1675" s="24" t="str">
        <x:v>Surfaçada</x:v>
      </x:c>
      <x:c r="E1675" s="24" t="str">
        <x:v>SmartLife Young</x:v>
      </x:c>
      <x:c r="F1675" s="24" t="str">
        <x:v>PhotoFusion X Extra Dark Cinza</x:v>
      </x:c>
      <x:c r="G1675" s="24" t="str">
        <x:v>1.5</x:v>
      </x:c>
      <x:c r="H1675" s="24" t="str">
        <x:v>1.50</x:v>
      </x:c>
      <x:c r="I1675" s="24" t="str">
        <x:v>DuraVision Silver UV</x:v>
      </x:c>
      <x:c r="J1675" s="40" t="n">
        <x:v>2998</x:v>
      </x:c>
      <x:c r="K1675" s="24" t="str">
        <x:v>-6.00 a +6.00</x:v>
      </x:c>
      <x:c r="L1675" s="24" t="str">
        <x:v>-4.00</x:v>
      </x:c>
      <x:c r="M1675" s="24" t="str">
        <x:v>-</x:v>
      </x:c>
      <x:c r="N1675" s="24" t="str">
        <x:v>75</x:v>
      </x:c>
      <x:c r="O1675" s="24"/>
      <x:c r="P1675" s="24"/>
      <x:c r="Q1675" s="24" t="str">
        <x:v>DISPONÍVEL</x:v>
      </x:c>
      <x:c r="R1675" s="24" t="str">
        <x:v>Programa de Parcerias ZEISS</x:v>
      </x:c>
      <x:c r="S1675" s="24" t="n">
        <x:v>20</x:v>
      </x:c>
      <x:c r="T1675" s="24" t="str">
        <x:v>tabela_zeiss.pdf</x:v>
      </x:c>
      <x:c r="U1675" s="24" t="str">
        <x:v>ZEISS|Visão Simples Jovem|Surfaçada|SmartLife Young|PhotoFusion X Extra Dark Cinza|1.5|1.50|DuraVision Silver UV|-6.00 a +6.00|-4.00|-|75|||20</x:v>
      </x:c>
    </x:row>
    <x:row r="1676">
      <x:c r="A1676" s="24" t="str">
        <x:v>ZS-0144220923E2</x:v>
      </x:c>
      <x:c r="B1676" s="24" t="str">
        <x:v>ZEISS</x:v>
      </x:c>
      <x:c r="C1676" s="24" t="str">
        <x:v>Visão Simples Jovem</x:v>
      </x:c>
      <x:c r="D1676" s="24" t="str">
        <x:v>Surfaçada</x:v>
      </x:c>
      <x:c r="E1676" s="24" t="str">
        <x:v>SmartLife Young</x:v>
      </x:c>
      <x:c r="F1676" s="24" t="str">
        <x:v>PhotoFusion X Extra Dark Cinza</x:v>
      </x:c>
      <x:c r="G1676" s="24" t="str">
        <x:v>1.5</x:v>
      </x:c>
      <x:c r="H1676" s="24" t="str">
        <x:v>1.50</x:v>
      </x:c>
      <x:c r="I1676" s="24" t="str">
        <x:v>DuraVision Chrome UV</x:v>
      </x:c>
      <x:c r="J1676" s="40" t="n">
        <x:v>2508</x:v>
      </x:c>
      <x:c r="K1676" s="24" t="str">
        <x:v>-6.00 a +6.00</x:v>
      </x:c>
      <x:c r="L1676" s="24" t="str">
        <x:v>-4.00</x:v>
      </x:c>
      <x:c r="M1676" s="24" t="str">
        <x:v>-</x:v>
      </x:c>
      <x:c r="N1676" s="24" t="str">
        <x:v>75</x:v>
      </x:c>
      <x:c r="O1676" s="24"/>
      <x:c r="P1676" s="24"/>
      <x:c r="Q1676" s="24" t="str">
        <x:v>DISPONÍVEL</x:v>
      </x:c>
      <x:c r="R1676" s="24" t="str">
        <x:v>Programa de Parcerias ZEISS</x:v>
      </x:c>
      <x:c r="S1676" s="24" t="n">
        <x:v>20</x:v>
      </x:c>
      <x:c r="T1676" s="24" t="str">
        <x:v>tabela_zeiss.pdf</x:v>
      </x:c>
      <x:c r="U1676" s="24" t="str">
        <x:v>ZEISS|Visão Simples Jovem|Surfaçada|SmartLife Young|PhotoFusion X Extra Dark Cinza|1.5|1.50|DuraVision Chrome UV|-6.00 a +6.00|-4.00|-|75|||20</x:v>
      </x:c>
    </x:row>
    <x:row r="1677">
      <x:c r="A1677" s="24" t="str">
        <x:v>ZS-CD03642FBC44</x:v>
      </x:c>
      <x:c r="B1677" s="24" t="str">
        <x:v>ZEISS</x:v>
      </x:c>
      <x:c r="C1677" s="24" t="str">
        <x:v>Visão Simples Jovem</x:v>
      </x:c>
      <x:c r="D1677" s="24" t="str">
        <x:v>Surfaçada</x:v>
      </x:c>
      <x:c r="E1677" s="24" t="str">
        <x:v>SmartLife Young</x:v>
      </x:c>
      <x:c r="F1677" s="24" t="str">
        <x:v>PhotoFusion X Extra Dark Cinza</x:v>
      </x:c>
      <x:c r="G1677" s="24" t="str">
        <x:v>Poli</x:v>
      </x:c>
      <x:c r="H1677" s="24"/>
      <x:c r="I1677" s="24" t="str">
        <x:v>DuraVision Gold UV</x:v>
      </x:c>
      <x:c r="J1677" s="40" t="n">
        <x:v>3758</x:v>
      </x:c>
      <x:c r="K1677" s="24" t="str">
        <x:v>-10.00 a +8.00</x:v>
      </x:c>
      <x:c r="L1677" s="24" t="str">
        <x:v>-4.00</x:v>
      </x:c>
      <x:c r="M1677" s="24" t="str">
        <x:v>-</x:v>
      </x:c>
      <x:c r="N1677" s="24" t="str">
        <x:v>70</x:v>
      </x:c>
      <x:c r="O1677" s="24"/>
      <x:c r="P1677" s="24"/>
      <x:c r="Q1677" s="24" t="str">
        <x:v>DISPONÍVEL</x:v>
      </x:c>
      <x:c r="R1677" s="24" t="str">
        <x:v>Programa de Parcerias ZEISS</x:v>
      </x:c>
      <x:c r="S1677" s="24" t="n">
        <x:v>20</x:v>
      </x:c>
      <x:c r="T1677" s="24" t="str">
        <x:v>tabela_zeiss.pdf</x:v>
      </x:c>
      <x:c r="U1677" s="24" t="str">
        <x:v>ZEISS|Visão Simples Jovem|Surfaçada|SmartLife Young|PhotoFusion X Extra Dark Cinza|Poli||DuraVision Gold UV|-10.00 a +8.00|-4.00|-|70|||20</x:v>
      </x:c>
    </x:row>
    <x:row r="1678">
      <x:c r="A1678" s="24" t="str">
        <x:v>ZS-E76883FC3746</x:v>
      </x:c>
      <x:c r="B1678" s="24" t="str">
        <x:v>ZEISS</x:v>
      </x:c>
      <x:c r="C1678" s="24" t="str">
        <x:v>Visão Simples Jovem</x:v>
      </x:c>
      <x:c r="D1678" s="24" t="str">
        <x:v>Surfaçada</x:v>
      </x:c>
      <x:c r="E1678" s="24" t="str">
        <x:v>SmartLife Young</x:v>
      </x:c>
      <x:c r="F1678" s="24" t="str">
        <x:v>PhotoFusion X Extra Dark Cinza</x:v>
      </x:c>
      <x:c r="G1678" s="24" t="str">
        <x:v>Poli</x:v>
      </x:c>
      <x:c r="H1678" s="24"/>
      <x:c r="I1678" s="24" t="str">
        <x:v>DuraVision Platinum UV</x:v>
      </x:c>
      <x:c r="J1678" s="40" t="n">
        <x:v>3618</x:v>
      </x:c>
      <x:c r="K1678" s="24" t="str">
        <x:v>-10.00 a +8.00</x:v>
      </x:c>
      <x:c r="L1678" s="24" t="str">
        <x:v>-4.00</x:v>
      </x:c>
      <x:c r="M1678" s="24" t="str">
        <x:v>-</x:v>
      </x:c>
      <x:c r="N1678" s="24" t="str">
        <x:v>70</x:v>
      </x:c>
      <x:c r="O1678" s="24"/>
      <x:c r="P1678" s="24"/>
      <x:c r="Q1678" s="24" t="str">
        <x:v>DISPONÍVEL</x:v>
      </x:c>
      <x:c r="R1678" s="24" t="str">
        <x:v>Programa de Parcerias ZEISS</x:v>
      </x:c>
      <x:c r="S1678" s="24" t="n">
        <x:v>20</x:v>
      </x:c>
      <x:c r="T1678" s="24" t="str">
        <x:v>tabela_zeiss.pdf</x:v>
      </x:c>
      <x:c r="U1678" s="24" t="str">
        <x:v>ZEISS|Visão Simples Jovem|Surfaçada|SmartLife Young|PhotoFusion X Extra Dark Cinza|Poli||DuraVision Platinum UV|-10.00 a +8.00|-4.00|-|70|||20</x:v>
      </x:c>
    </x:row>
    <x:row r="1679">
      <x:c r="A1679" s="24" t="str">
        <x:v>ZS-477CCB09E647</x:v>
      </x:c>
      <x:c r="B1679" s="24" t="str">
        <x:v>ZEISS</x:v>
      </x:c>
      <x:c r="C1679" s="24" t="str">
        <x:v>Visão Simples Jovem</x:v>
      </x:c>
      <x:c r="D1679" s="24" t="str">
        <x:v>Surfaçada</x:v>
      </x:c>
      <x:c r="E1679" s="24" t="str">
        <x:v>SmartLife Young</x:v>
      </x:c>
      <x:c r="F1679" s="24" t="str">
        <x:v>PhotoFusion X Extra Dark Cinza</x:v>
      </x:c>
      <x:c r="G1679" s="24" t="str">
        <x:v>Poli</x:v>
      </x:c>
      <x:c r="H1679" s="24"/>
      <x:c r="I1679" s="24" t="str">
        <x:v>DuraVision Silver UV</x:v>
      </x:c>
      <x:c r="J1679" s="40" t="n">
        <x:v>3358</x:v>
      </x:c>
      <x:c r="K1679" s="24" t="str">
        <x:v>-10.00 a +8.00</x:v>
      </x:c>
      <x:c r="L1679" s="24" t="str">
        <x:v>-4.00</x:v>
      </x:c>
      <x:c r="M1679" s="24" t="str">
        <x:v>-</x:v>
      </x:c>
      <x:c r="N1679" s="24" t="str">
        <x:v>70</x:v>
      </x:c>
      <x:c r="O1679" s="24"/>
      <x:c r="P1679" s="24"/>
      <x:c r="Q1679" s="24" t="str">
        <x:v>DISPONÍVEL</x:v>
      </x:c>
      <x:c r="R1679" s="24" t="str">
        <x:v>Programa de Parcerias ZEISS</x:v>
      </x:c>
      <x:c r="S1679" s="24" t="n">
        <x:v>20</x:v>
      </x:c>
      <x:c r="T1679" s="24" t="str">
        <x:v>tabela_zeiss.pdf</x:v>
      </x:c>
      <x:c r="U1679" s="24" t="str">
        <x:v>ZEISS|Visão Simples Jovem|Surfaçada|SmartLife Young|PhotoFusion X Extra Dark Cinza|Poli||DuraVision Silver UV|-10.00 a +8.00|-4.00|-|70|||20</x:v>
      </x:c>
    </x:row>
    <x:row r="1680">
      <x:c r="A1680" s="24" t="str">
        <x:v>ZS-9FD36206EC00</x:v>
      </x:c>
      <x:c r="B1680" s="24" t="str">
        <x:v>ZEISS</x:v>
      </x:c>
      <x:c r="C1680" s="24" t="str">
        <x:v>Visão Simples Jovem</x:v>
      </x:c>
      <x:c r="D1680" s="24" t="str">
        <x:v>Surfaçada</x:v>
      </x:c>
      <x:c r="E1680" s="24" t="str">
        <x:v>SmartLife Young</x:v>
      </x:c>
      <x:c r="F1680" s="24" t="str">
        <x:v>PhotoFusion X Extra Dark Cinza</x:v>
      </x:c>
      <x:c r="G1680" s="24" t="str">
        <x:v>Poli</x:v>
      </x:c>
      <x:c r="H1680" s="24"/>
      <x:c r="I1680" s="24" t="str">
        <x:v>DuraVision Chrome UV</x:v>
      </x:c>
      <x:c r="J1680" s="40" t="n">
        <x:v>2868</x:v>
      </x:c>
      <x:c r="K1680" s="24" t="str">
        <x:v>-10.00 a +8.00</x:v>
      </x:c>
      <x:c r="L1680" s="24" t="str">
        <x:v>-4.00</x:v>
      </x:c>
      <x:c r="M1680" s="24" t="str">
        <x:v>-</x:v>
      </x:c>
      <x:c r="N1680" s="24" t="str">
        <x:v>70</x:v>
      </x:c>
      <x:c r="O1680" s="24"/>
      <x:c r="P1680" s="24"/>
      <x:c r="Q1680" s="24" t="str">
        <x:v>DISPONÍVEL</x:v>
      </x:c>
      <x:c r="R1680" s="24" t="str">
        <x:v>Programa de Parcerias ZEISS</x:v>
      </x:c>
      <x:c r="S1680" s="24" t="n">
        <x:v>20</x:v>
      </x:c>
      <x:c r="T1680" s="24" t="str">
        <x:v>tabela_zeiss.pdf</x:v>
      </x:c>
      <x:c r="U1680" s="24" t="str">
        <x:v>ZEISS|Visão Simples Jovem|Surfaçada|SmartLife Young|PhotoFusion X Extra Dark Cinza|Poli||DuraVision Chrome UV|-10.00 a +8.00|-4.00|-|70|||20</x:v>
      </x:c>
    </x:row>
    <x:row r="1681">
      <x:c r="A1681" s="24" t="str">
        <x:v>ZS-6F11E66D2220</x:v>
      </x:c>
      <x:c r="B1681" s="24" t="str">
        <x:v>ZEISS</x:v>
      </x:c>
      <x:c r="C1681" s="24" t="str">
        <x:v>Visão Simples Jovem</x:v>
      </x:c>
      <x:c r="D1681" s="24" t="str">
        <x:v>Surfaçada</x:v>
      </x:c>
      <x:c r="E1681" s="24" t="str">
        <x:v>SmartLife Young</x:v>
      </x:c>
      <x:c r="F1681" s="24" t="str">
        <x:v>PhotoFusion X Extra Dark Cinza</x:v>
      </x:c>
      <x:c r="G1681" s="24" t="str">
        <x:v>1.6</x:v>
      </x:c>
      <x:c r="H1681" s="24" t="str">
        <x:v>1.60</x:v>
      </x:c>
      <x:c r="I1681" s="24" t="str">
        <x:v>DuraVision Gold UV</x:v>
      </x:c>
      <x:c r="J1681" s="40" t="n">
        <x:v>3978</x:v>
      </x:c>
      <x:c r="K1681" s="24" t="str">
        <x:v>-6.00 a +8.00</x:v>
      </x:c>
      <x:c r="L1681" s="24" t="str">
        <x:v>-4.00</x:v>
      </x:c>
      <x:c r="M1681" s="24" t="str">
        <x:v>-</x:v>
      </x:c>
      <x:c r="N1681" s="24" t="str">
        <x:v>75</x:v>
      </x:c>
      <x:c r="O1681" s="24"/>
      <x:c r="P1681" s="24"/>
      <x:c r="Q1681" s="24" t="str">
        <x:v>DISPONÍVEL</x:v>
      </x:c>
      <x:c r="R1681" s="24" t="str">
        <x:v>Programa de Parcerias ZEISS</x:v>
      </x:c>
      <x:c r="S1681" s="24" t="n">
        <x:v>20</x:v>
      </x:c>
      <x:c r="T1681" s="24" t="str">
        <x:v>tabela_zeiss.pdf</x:v>
      </x:c>
      <x:c r="U1681" s="24" t="str">
        <x:v>ZEISS|Visão Simples Jovem|Surfaçada|SmartLife Young|PhotoFusion X Extra Dark Cinza|1.6|1.60|DuraVision Gold UV|-6.00 a +8.00|-4.00|-|75|||20</x:v>
      </x:c>
    </x:row>
    <x:row r="1682">
      <x:c r="A1682" s="24" t="str">
        <x:v>ZS-47D778EE04F3</x:v>
      </x:c>
      <x:c r="B1682" s="24" t="str">
        <x:v>ZEISS</x:v>
      </x:c>
      <x:c r="C1682" s="24" t="str">
        <x:v>Visão Simples Jovem</x:v>
      </x:c>
      <x:c r="D1682" s="24" t="str">
        <x:v>Surfaçada</x:v>
      </x:c>
      <x:c r="E1682" s="24" t="str">
        <x:v>SmartLife Young</x:v>
      </x:c>
      <x:c r="F1682" s="24" t="str">
        <x:v>PhotoFusion X Extra Dark Cinza</x:v>
      </x:c>
      <x:c r="G1682" s="24" t="str">
        <x:v>1.6</x:v>
      </x:c>
      <x:c r="H1682" s="24" t="str">
        <x:v>1.60</x:v>
      </x:c>
      <x:c r="I1682" s="24" t="str">
        <x:v>DuraVision Antivírus Platinum UV</x:v>
      </x:c>
      <x:c r="J1682" s="40" t="n">
        <x:v>3838</x:v>
      </x:c>
      <x:c r="K1682" s="24" t="str">
        <x:v>-6.00 a +8.00</x:v>
      </x:c>
      <x:c r="L1682" s="24" t="str">
        <x:v>-4.00</x:v>
      </x:c>
      <x:c r="M1682" s="24" t="str">
        <x:v>-</x:v>
      </x:c>
      <x:c r="N1682" s="24" t="str">
        <x:v>75</x:v>
      </x:c>
      <x:c r="O1682" s="24"/>
      <x:c r="P1682" s="24"/>
      <x:c r="Q1682" s="24" t="str">
        <x:v>DISPONÍVEL</x:v>
      </x:c>
      <x:c r="R1682" s="24" t="str">
        <x:v>Programa de Parcerias ZEISS</x:v>
      </x:c>
      <x:c r="S1682" s="24" t="n">
        <x:v>20</x:v>
      </x:c>
      <x:c r="T1682" s="24" t="str">
        <x:v>tabela_zeiss.pdf</x:v>
      </x:c>
      <x:c r="U1682" s="24" t="str">
        <x:v>ZEISS|Visão Simples Jovem|Surfaçada|SmartLife Young|PhotoFusion X Extra Dark Cinza|1.6|1.60|DuraVision Antivírus Platinum UV|-6.00 a +8.00|-4.00|-|75|||20</x:v>
      </x:c>
    </x:row>
    <x:row r="1683">
      <x:c r="A1683" s="24" t="str">
        <x:v>ZS-6F1E69B0D17A</x:v>
      </x:c>
      <x:c r="B1683" s="24" t="str">
        <x:v>ZEISS</x:v>
      </x:c>
      <x:c r="C1683" s="24" t="str">
        <x:v>Visão Simples Jovem</x:v>
      </x:c>
      <x:c r="D1683" s="24" t="str">
        <x:v>Surfaçada</x:v>
      </x:c>
      <x:c r="E1683" s="24" t="str">
        <x:v>SmartLife Young</x:v>
      </x:c>
      <x:c r="F1683" s="24" t="str">
        <x:v>PhotoFusion X Extra Dark Cinza</x:v>
      </x:c>
      <x:c r="G1683" s="24" t="str">
        <x:v>1.6</x:v>
      </x:c>
      <x:c r="H1683" s="24" t="str">
        <x:v>1.60</x:v>
      </x:c>
      <x:c r="I1683" s="24" t="str">
        <x:v>DuraVision Platinum UV</x:v>
      </x:c>
      <x:c r="J1683" s="40" t="n">
        <x:v>3838</x:v>
      </x:c>
      <x:c r="K1683" s="24" t="str">
        <x:v>-6.00 a +8.00</x:v>
      </x:c>
      <x:c r="L1683" s="24" t="str">
        <x:v>-4.00</x:v>
      </x:c>
      <x:c r="M1683" s="24" t="str">
        <x:v>-</x:v>
      </x:c>
      <x:c r="N1683" s="24" t="str">
        <x:v>75</x:v>
      </x:c>
      <x:c r="O1683" s="24"/>
      <x:c r="P1683" s="24"/>
      <x:c r="Q1683" s="24" t="str">
        <x:v>DISPONÍVEL</x:v>
      </x:c>
      <x:c r="R1683" s="24" t="str">
        <x:v>Programa de Parcerias ZEISS</x:v>
      </x:c>
      <x:c r="S1683" s="24" t="n">
        <x:v>20</x:v>
      </x:c>
      <x:c r="T1683" s="24" t="str">
        <x:v>tabela_zeiss.pdf</x:v>
      </x:c>
      <x:c r="U1683" s="24" t="str">
        <x:v>ZEISS|Visão Simples Jovem|Surfaçada|SmartLife Young|PhotoFusion X Extra Dark Cinza|1.6|1.60|DuraVision Platinum UV|-6.00 a +8.00|-4.00|-|75|||20</x:v>
      </x:c>
    </x:row>
    <x:row r="1684">
      <x:c r="A1684" s="24" t="str">
        <x:v>ZS-50D0CEA620BA</x:v>
      </x:c>
      <x:c r="B1684" s="24" t="str">
        <x:v>ZEISS</x:v>
      </x:c>
      <x:c r="C1684" s="24" t="str">
        <x:v>Visão Simples Jovem</x:v>
      </x:c>
      <x:c r="D1684" s="24" t="str">
        <x:v>Surfaçada</x:v>
      </x:c>
      <x:c r="E1684" s="24" t="str">
        <x:v>SmartLife Young</x:v>
      </x:c>
      <x:c r="F1684" s="24" t="str">
        <x:v>PhotoFusion X Extra Dark Cinza</x:v>
      </x:c>
      <x:c r="G1684" s="24" t="str">
        <x:v>1.6</x:v>
      </x:c>
      <x:c r="H1684" s="24" t="str">
        <x:v>1.60</x:v>
      </x:c>
      <x:c r="I1684" s="24" t="str">
        <x:v>DuraVision Silver UV</x:v>
      </x:c>
      <x:c r="J1684" s="40" t="n">
        <x:v>3578</x:v>
      </x:c>
      <x:c r="K1684" s="24" t="str">
        <x:v>-6.00 a +8.00</x:v>
      </x:c>
      <x:c r="L1684" s="24" t="str">
        <x:v>-4.00</x:v>
      </x:c>
      <x:c r="M1684" s="24" t="str">
        <x:v>-</x:v>
      </x:c>
      <x:c r="N1684" s="24" t="str">
        <x:v>75</x:v>
      </x:c>
      <x:c r="O1684" s="24"/>
      <x:c r="P1684" s="24"/>
      <x:c r="Q1684" s="24" t="str">
        <x:v>DISPONÍVEL</x:v>
      </x:c>
      <x:c r="R1684" s="24" t="str">
        <x:v>Programa de Parcerias ZEISS</x:v>
      </x:c>
      <x:c r="S1684" s="24" t="n">
        <x:v>20</x:v>
      </x:c>
      <x:c r="T1684" s="24" t="str">
        <x:v>tabela_zeiss.pdf</x:v>
      </x:c>
      <x:c r="U1684" s="24" t="str">
        <x:v>ZEISS|Visão Simples Jovem|Surfaçada|SmartLife Young|PhotoFusion X Extra Dark Cinza|1.6|1.60|DuraVision Silver UV|-6.00 a +8.00|-4.00|-|75|||20</x:v>
      </x:c>
    </x:row>
    <x:row r="1685">
      <x:c r="A1685" s="24" t="str">
        <x:v>ZS-7B536CDBA741</x:v>
      </x:c>
      <x:c r="B1685" s="24" t="str">
        <x:v>ZEISS</x:v>
      </x:c>
      <x:c r="C1685" s="24" t="str">
        <x:v>Visão Simples Jovem</x:v>
      </x:c>
      <x:c r="D1685" s="24" t="str">
        <x:v>Surfaçada</x:v>
      </x:c>
      <x:c r="E1685" s="24" t="str">
        <x:v>SmartLife Young</x:v>
      </x:c>
      <x:c r="F1685" s="24" t="str">
        <x:v>PhotoFusion X Extra Dark Cinza</x:v>
      </x:c>
      <x:c r="G1685" s="24" t="str">
        <x:v>1.6</x:v>
      </x:c>
      <x:c r="H1685" s="24" t="str">
        <x:v>1.60</x:v>
      </x:c>
      <x:c r="I1685" s="24" t="str">
        <x:v>DuraVision Chrome UV</x:v>
      </x:c>
      <x:c r="J1685" s="40" t="n">
        <x:v>3088</x:v>
      </x:c>
      <x:c r="K1685" s="24" t="str">
        <x:v>-6.00 a +8.00</x:v>
      </x:c>
      <x:c r="L1685" s="24" t="str">
        <x:v>-4.00</x:v>
      </x:c>
      <x:c r="M1685" s="24" t="str">
        <x:v>-</x:v>
      </x:c>
      <x:c r="N1685" s="24" t="str">
        <x:v>75</x:v>
      </x:c>
      <x:c r="O1685" s="24"/>
      <x:c r="P1685" s="24"/>
      <x:c r="Q1685" s="24" t="str">
        <x:v>DISPONÍVEL</x:v>
      </x:c>
      <x:c r="R1685" s="24" t="str">
        <x:v>Programa de Parcerias ZEISS</x:v>
      </x:c>
      <x:c r="S1685" s="24" t="n">
        <x:v>20</x:v>
      </x:c>
      <x:c r="T1685" s="24" t="str">
        <x:v>tabela_zeiss.pdf</x:v>
      </x:c>
      <x:c r="U1685" s="24" t="str">
        <x:v>ZEISS|Visão Simples Jovem|Surfaçada|SmartLife Young|PhotoFusion X Extra Dark Cinza|1.6|1.60|DuraVision Chrome UV|-6.00 a +8.00|-4.00|-|75|||20</x:v>
      </x:c>
    </x:row>
    <x:row r="1686">
      <x:c r="A1686" s="24" t="str">
        <x:v>ZS-C62579364D20</x:v>
      </x:c>
      <x:c r="B1686" s="24" t="str">
        <x:v>ZEISS</x:v>
      </x:c>
      <x:c r="C1686" s="24" t="str">
        <x:v>Visão Simples Jovem</x:v>
      </x:c>
      <x:c r="D1686" s="24" t="str">
        <x:v>Surfaçada</x:v>
      </x:c>
      <x:c r="E1686" s="24" t="str">
        <x:v>SmartLife Young</x:v>
      </x:c>
      <x:c r="F1686" s="24" t="str">
        <x:v>PhotoFusion X Extra Dark Cinza</x:v>
      </x:c>
      <x:c r="G1686" s="24" t="str">
        <x:v>1.67</x:v>
      </x:c>
      <x:c r="H1686" s="24" t="str">
        <x:v>1.67</x:v>
      </x:c>
      <x:c r="I1686" s="24" t="str">
        <x:v>DuraVision Gold UV</x:v>
      </x:c>
      <x:c r="J1686" s="40" t="n">
        <x:v>5278</x:v>
      </x:c>
      <x:c r="K1686" s="24" t="str">
        <x:v>-8.00 a +8.00</x:v>
      </x:c>
      <x:c r="L1686" s="24" t="str">
        <x:v>-6.00</x:v>
      </x:c>
      <x:c r="M1686" s="24" t="str">
        <x:v>-</x:v>
      </x:c>
      <x:c r="N1686" s="24" t="str">
        <x:v>70</x:v>
      </x:c>
      <x:c r="O1686" s="24"/>
      <x:c r="P1686" s="24"/>
      <x:c r="Q1686" s="24" t="str">
        <x:v>DISPONÍVEL</x:v>
      </x:c>
      <x:c r="R1686" s="24" t="str">
        <x:v>Programa de Parcerias ZEISS</x:v>
      </x:c>
      <x:c r="S1686" s="24" t="n">
        <x:v>20</x:v>
      </x:c>
      <x:c r="T1686" s="24" t="str">
        <x:v>tabela_zeiss.pdf</x:v>
      </x:c>
      <x:c r="U1686" s="24" t="str">
        <x:v>ZEISS|Visão Simples Jovem|Surfaçada|SmartLife Young|PhotoFusion X Extra Dark Cinza|1.67|1.67|DuraVision Gold UV|-8.00 a +8.00|-6.00|-|70|||20</x:v>
      </x:c>
    </x:row>
    <x:row r="1687">
      <x:c r="A1687" s="24" t="str">
        <x:v>ZS-156A52A70CFB</x:v>
      </x:c>
      <x:c r="B1687" s="24" t="str">
        <x:v>ZEISS</x:v>
      </x:c>
      <x:c r="C1687" s="24" t="str">
        <x:v>Visão Simples Jovem</x:v>
      </x:c>
      <x:c r="D1687" s="24" t="str">
        <x:v>Surfaçada</x:v>
      </x:c>
      <x:c r="E1687" s="24" t="str">
        <x:v>SmartLife Young</x:v>
      </x:c>
      <x:c r="F1687" s="24" t="str">
        <x:v>PhotoFusion X Extra Dark Cinza</x:v>
      </x:c>
      <x:c r="G1687" s="24" t="str">
        <x:v>1.67</x:v>
      </x:c>
      <x:c r="H1687" s="24" t="str">
        <x:v>1.67</x:v>
      </x:c>
      <x:c r="I1687" s="24" t="str">
        <x:v>DuraVision Antivírus Platinum UV</x:v>
      </x:c>
      <x:c r="J1687" s="40" t="n">
        <x:v>5138</x:v>
      </x:c>
      <x:c r="K1687" s="24" t="str">
        <x:v>-8.00 a +8.00</x:v>
      </x:c>
      <x:c r="L1687" s="24" t="str">
        <x:v>-6.00</x:v>
      </x:c>
      <x:c r="M1687" s="24" t="str">
        <x:v>-</x:v>
      </x:c>
      <x:c r="N1687" s="24" t="str">
        <x:v>70</x:v>
      </x:c>
      <x:c r="O1687" s="24"/>
      <x:c r="P1687" s="24"/>
      <x:c r="Q1687" s="24" t="str">
        <x:v>DISPONÍVEL</x:v>
      </x:c>
      <x:c r="R1687" s="24" t="str">
        <x:v>Programa de Parcerias ZEISS</x:v>
      </x:c>
      <x:c r="S1687" s="24" t="n">
        <x:v>20</x:v>
      </x:c>
      <x:c r="T1687" s="24" t="str">
        <x:v>tabela_zeiss.pdf</x:v>
      </x:c>
      <x:c r="U1687" s="24" t="str">
        <x:v>ZEISS|Visão Simples Jovem|Surfaçada|SmartLife Young|PhotoFusion X Extra Dark Cinza|1.67|1.67|DuraVision Antivírus Platinum UV|-8.00 a +8.00|-6.00|-|70|||20</x:v>
      </x:c>
    </x:row>
    <x:row r="1688">
      <x:c r="A1688" s="24" t="str">
        <x:v>ZS-CE50526929A5</x:v>
      </x:c>
      <x:c r="B1688" s="24" t="str">
        <x:v>ZEISS</x:v>
      </x:c>
      <x:c r="C1688" s="24" t="str">
        <x:v>Visão Simples Jovem</x:v>
      </x:c>
      <x:c r="D1688" s="24" t="str">
        <x:v>Surfaçada</x:v>
      </x:c>
      <x:c r="E1688" s="24" t="str">
        <x:v>SmartLife Young</x:v>
      </x:c>
      <x:c r="F1688" s="24" t="str">
        <x:v>PhotoFusion X Extra Dark Cinza</x:v>
      </x:c>
      <x:c r="G1688" s="24" t="str">
        <x:v>1.67</x:v>
      </x:c>
      <x:c r="H1688" s="24" t="str">
        <x:v>1.67</x:v>
      </x:c>
      <x:c r="I1688" s="24" t="str">
        <x:v>DuraVision Platinum UV</x:v>
      </x:c>
      <x:c r="J1688" s="40" t="n">
        <x:v>5138</x:v>
      </x:c>
      <x:c r="K1688" s="24" t="str">
        <x:v>-8.00 a +8.00</x:v>
      </x:c>
      <x:c r="L1688" s="24" t="str">
        <x:v>-6.00</x:v>
      </x:c>
      <x:c r="M1688" s="24" t="str">
        <x:v>-</x:v>
      </x:c>
      <x:c r="N1688" s="24" t="str">
        <x:v>70</x:v>
      </x:c>
      <x:c r="O1688" s="24"/>
      <x:c r="P1688" s="24"/>
      <x:c r="Q1688" s="24" t="str">
        <x:v>DISPONÍVEL</x:v>
      </x:c>
      <x:c r="R1688" s="24" t="str">
        <x:v>Programa de Parcerias ZEISS</x:v>
      </x:c>
      <x:c r="S1688" s="24" t="n">
        <x:v>20</x:v>
      </x:c>
      <x:c r="T1688" s="24" t="str">
        <x:v>tabela_zeiss.pdf</x:v>
      </x:c>
      <x:c r="U1688" s="24" t="str">
        <x:v>ZEISS|Visão Simples Jovem|Surfaçada|SmartLife Young|PhotoFusion X Extra Dark Cinza|1.67|1.67|DuraVision Platinum UV|-8.00 a +8.00|-6.00|-|70|||20</x:v>
      </x:c>
    </x:row>
    <x:row r="1689">
      <x:c r="A1689" s="24" t="str">
        <x:v>ZS-02713A6A7F26</x:v>
      </x:c>
      <x:c r="B1689" s="24" t="str">
        <x:v>ZEISS</x:v>
      </x:c>
      <x:c r="C1689" s="24" t="str">
        <x:v>Visão Simples Jovem</x:v>
      </x:c>
      <x:c r="D1689" s="24" t="str">
        <x:v>Surfaçada</x:v>
      </x:c>
      <x:c r="E1689" s="24" t="str">
        <x:v>SmartLife Young</x:v>
      </x:c>
      <x:c r="F1689" s="24" t="str">
        <x:v>PhotoFusion X Extra Dark Cinza</x:v>
      </x:c>
      <x:c r="G1689" s="24" t="str">
        <x:v>1.67</x:v>
      </x:c>
      <x:c r="H1689" s="24" t="str">
        <x:v>1.67</x:v>
      </x:c>
      <x:c r="I1689" s="24" t="str">
        <x:v>DuraVision Silver UV</x:v>
      </x:c>
      <x:c r="J1689" s="40" t="n">
        <x:v>4878</x:v>
      </x:c>
      <x:c r="K1689" s="24" t="str">
        <x:v>-8.00 a +8.00</x:v>
      </x:c>
      <x:c r="L1689" s="24" t="str">
        <x:v>-6.00</x:v>
      </x:c>
      <x:c r="M1689" s="24" t="str">
        <x:v>-</x:v>
      </x:c>
      <x:c r="N1689" s="24" t="str">
        <x:v>70</x:v>
      </x:c>
      <x:c r="O1689" s="24"/>
      <x:c r="P1689" s="24"/>
      <x:c r="Q1689" s="24" t="str">
        <x:v>DISPONÍVEL</x:v>
      </x:c>
      <x:c r="R1689" s="24" t="str">
        <x:v>Programa de Parcerias ZEISS</x:v>
      </x:c>
      <x:c r="S1689" s="24" t="n">
        <x:v>20</x:v>
      </x:c>
      <x:c r="T1689" s="24" t="str">
        <x:v>tabela_zeiss.pdf</x:v>
      </x:c>
      <x:c r="U1689" s="24" t="str">
        <x:v>ZEISS|Visão Simples Jovem|Surfaçada|SmartLife Young|PhotoFusion X Extra Dark Cinza|1.67|1.67|DuraVision Silver UV|-8.00 a +8.00|-6.00|-|70|||20</x:v>
      </x:c>
    </x:row>
    <x:row r="1690">
      <x:c r="A1690" s="24" t="str">
        <x:v>ZS-628B045140BE</x:v>
      </x:c>
      <x:c r="B1690" s="24" t="str">
        <x:v>ZEISS</x:v>
      </x:c>
      <x:c r="C1690" s="24" t="str">
        <x:v>Visão Simples Jovem</x:v>
      </x:c>
      <x:c r="D1690" s="24" t="str">
        <x:v>Surfaçada</x:v>
      </x:c>
      <x:c r="E1690" s="24" t="str">
        <x:v>SmartLife Young</x:v>
      </x:c>
      <x:c r="F1690" s="24" t="str">
        <x:v>PhotoFusion X Extra Dark Cinza</x:v>
      </x:c>
      <x:c r="G1690" s="24" t="str">
        <x:v>1.67</x:v>
      </x:c>
      <x:c r="H1690" s="24" t="str">
        <x:v>1.67</x:v>
      </x:c>
      <x:c r="I1690" s="24" t="str">
        <x:v>DuraVision Chrome UV</x:v>
      </x:c>
      <x:c r="J1690" s="40" t="n">
        <x:v>4388</x:v>
      </x:c>
      <x:c r="K1690" s="24" t="str">
        <x:v>-8.00 a +8.00</x:v>
      </x:c>
      <x:c r="L1690" s="24" t="str">
        <x:v>-6.00</x:v>
      </x:c>
      <x:c r="M1690" s="24" t="str">
        <x:v>-</x:v>
      </x:c>
      <x:c r="N1690" s="24" t="str">
        <x:v>70</x:v>
      </x:c>
      <x:c r="O1690" s="24"/>
      <x:c r="P1690" s="24"/>
      <x:c r="Q1690" s="24" t="str">
        <x:v>DISPONÍVEL</x:v>
      </x:c>
      <x:c r="R1690" s="24" t="str">
        <x:v>Programa de Parcerias ZEISS</x:v>
      </x:c>
      <x:c r="S1690" s="24" t="n">
        <x:v>20</x:v>
      </x:c>
      <x:c r="T1690" s="24" t="str">
        <x:v>tabela_zeiss.pdf</x:v>
      </x:c>
      <x:c r="U1690" s="24" t="str">
        <x:v>ZEISS|Visão Simples Jovem|Surfaçada|SmartLife Young|PhotoFusion X Extra Dark Cinza|1.67|1.67|DuraVision Chrome UV|-8.00 a +8.00|-6.00|-|70|||20</x:v>
      </x:c>
    </x:row>
    <x:row r="1691">
      <x:c r="A1691" s="24" t="str">
        <x:v>ZS-A3F964C03746</x:v>
      </x:c>
      <x:c r="B1691" s="24" t="str">
        <x:v>ZEISS</x:v>
      </x:c>
      <x:c r="C1691" s="24" t="str">
        <x:v>Visão Simples Jovem</x:v>
      </x:c>
      <x:c r="D1691" s="24" t="str">
        <x:v>Surfaçada</x:v>
      </x:c>
      <x:c r="E1691" s="24" t="str">
        <x:v>SmartLife Young</x:v>
      </x:c>
      <x:c r="F1691" s="24" t="str">
        <x:v>Polarizada</x:v>
      </x:c>
      <x:c r="G1691" s="24" t="str">
        <x:v>1.5</x:v>
      </x:c>
      <x:c r="H1691" s="24" t="str">
        <x:v>1.50</x:v>
      </x:c>
      <x:c r="I1691" s="24" t="str">
        <x:v>DuraVision Gold UV</x:v>
      </x:c>
      <x:c r="J1691" s="40" t="n">
        <x:v>3098</x:v>
      </x:c>
      <x:c r="K1691" s="24" t="str">
        <x:v>-6.00 a +6.00</x:v>
      </x:c>
      <x:c r="L1691" s="24" t="str">
        <x:v>-4.00</x:v>
      </x:c>
      <x:c r="M1691" s="24" t="str">
        <x:v>-</x:v>
      </x:c>
      <x:c r="N1691" s="24" t="str">
        <x:v>75</x:v>
      </x:c>
      <x:c r="O1691" s="24"/>
      <x:c r="P1691" s="24"/>
      <x:c r="Q1691" s="24" t="str">
        <x:v>DISPONÍVEL</x:v>
      </x:c>
      <x:c r="R1691" s="24"/>
      <x:c r="S1691" s="24" t="n">
        <x:v>20</x:v>
      </x:c>
      <x:c r="T1691" s="24" t="str">
        <x:v>tabela_zeiss.pdf</x:v>
      </x:c>
      <x:c r="U1691" s="24" t="str">
        <x:v>ZEISS|Visão Simples Jovem|Surfaçada|SmartLife Young|Polarizada|1.5|1.50|DuraVision Gold UV|-6.00 a +6.00|-4.00|-|75|||20</x:v>
      </x:c>
    </x:row>
    <x:row r="1692">
      <x:c r="A1692" s="24" t="str">
        <x:v>ZS-E94D5B2C9347</x:v>
      </x:c>
      <x:c r="B1692" s="24" t="str">
        <x:v>ZEISS</x:v>
      </x:c>
      <x:c r="C1692" s="24" t="str">
        <x:v>Visão Simples Jovem</x:v>
      </x:c>
      <x:c r="D1692" s="24" t="str">
        <x:v>Surfaçada</x:v>
      </x:c>
      <x:c r="E1692" s="24" t="str">
        <x:v>SmartLife Young</x:v>
      </x:c>
      <x:c r="F1692" s="24" t="str">
        <x:v>Polarizada</x:v>
      </x:c>
      <x:c r="G1692" s="24" t="str">
        <x:v>1.5</x:v>
      </x:c>
      <x:c r="H1692" s="24" t="str">
        <x:v>1.50</x:v>
      </x:c>
      <x:c r="I1692" s="24" t="str">
        <x:v>DuraVision Platinum UV</x:v>
      </x:c>
      <x:c r="J1692" s="40" t="n">
        <x:v>2958</x:v>
      </x:c>
      <x:c r="K1692" s="24" t="str">
        <x:v>-6.00 a +6.00</x:v>
      </x:c>
      <x:c r="L1692" s="24" t="str">
        <x:v>-4.00</x:v>
      </x:c>
      <x:c r="M1692" s="24" t="str">
        <x:v>-</x:v>
      </x:c>
      <x:c r="N1692" s="24" t="str">
        <x:v>75</x:v>
      </x:c>
      <x:c r="O1692" s="24"/>
      <x:c r="P1692" s="24"/>
      <x:c r="Q1692" s="24" t="str">
        <x:v>DISPONÍVEL</x:v>
      </x:c>
      <x:c r="R1692" s="24"/>
      <x:c r="S1692" s="24" t="n">
        <x:v>20</x:v>
      </x:c>
      <x:c r="T1692" s="24" t="str">
        <x:v>tabela_zeiss.pdf</x:v>
      </x:c>
      <x:c r="U1692" s="24" t="str">
        <x:v>ZEISS|Visão Simples Jovem|Surfaçada|SmartLife Young|Polarizada|1.5|1.50|DuraVision Platinum UV|-6.00 a +6.00|-4.00|-|75|||20</x:v>
      </x:c>
    </x:row>
    <x:row r="1693">
      <x:c r="A1693" s="24" t="str">
        <x:v>ZS-95C9F5C8B497</x:v>
      </x:c>
      <x:c r="B1693" s="24" t="str">
        <x:v>ZEISS</x:v>
      </x:c>
      <x:c r="C1693" s="24" t="str">
        <x:v>Visão Simples Jovem</x:v>
      </x:c>
      <x:c r="D1693" s="24" t="str">
        <x:v>Surfaçada</x:v>
      </x:c>
      <x:c r="E1693" s="24" t="str">
        <x:v>SmartLife Young</x:v>
      </x:c>
      <x:c r="F1693" s="24" t="str">
        <x:v>Polarizada</x:v>
      </x:c>
      <x:c r="G1693" s="24" t="str">
        <x:v>1.5</x:v>
      </x:c>
      <x:c r="H1693" s="24" t="str">
        <x:v>1.50</x:v>
      </x:c>
      <x:c r="I1693" s="24" t="str">
        <x:v>DuraVision Silver UV</x:v>
      </x:c>
      <x:c r="J1693" s="40" t="n">
        <x:v>2698</x:v>
      </x:c>
      <x:c r="K1693" s="24" t="str">
        <x:v>-6.00 a +6.00</x:v>
      </x:c>
      <x:c r="L1693" s="24" t="str">
        <x:v>-4.00</x:v>
      </x:c>
      <x:c r="M1693" s="24" t="str">
        <x:v>-</x:v>
      </x:c>
      <x:c r="N1693" s="24" t="str">
        <x:v>75</x:v>
      </x:c>
      <x:c r="O1693" s="24"/>
      <x:c r="P1693" s="24"/>
      <x:c r="Q1693" s="24" t="str">
        <x:v>DISPONÍVEL</x:v>
      </x:c>
      <x:c r="R1693" s="24"/>
      <x:c r="S1693" s="24" t="n">
        <x:v>20</x:v>
      </x:c>
      <x:c r="T1693" s="24" t="str">
        <x:v>tabela_zeiss.pdf</x:v>
      </x:c>
      <x:c r="U1693" s="24" t="str">
        <x:v>ZEISS|Visão Simples Jovem|Surfaçada|SmartLife Young|Polarizada|1.5|1.50|DuraVision Silver UV|-6.00 a +6.00|-4.00|-|75|||20</x:v>
      </x:c>
    </x:row>
    <x:row r="1694">
      <x:c r="A1694" s="24" t="str">
        <x:v>ZS-4ABB1784B81E</x:v>
      </x:c>
      <x:c r="B1694" s="24" t="str">
        <x:v>ZEISS</x:v>
      </x:c>
      <x:c r="C1694" s="24" t="str">
        <x:v>Visão Simples Jovem</x:v>
      </x:c>
      <x:c r="D1694" s="24" t="str">
        <x:v>Surfaçada</x:v>
      </x:c>
      <x:c r="E1694" s="24" t="str">
        <x:v>SmartLife Young</x:v>
      </x:c>
      <x:c r="F1694" s="24" t="str">
        <x:v>Polarizada</x:v>
      </x:c>
      <x:c r="G1694" s="24" t="str">
        <x:v>1.5</x:v>
      </x:c>
      <x:c r="H1694" s="24" t="str">
        <x:v>1.50</x:v>
      </x:c>
      <x:c r="I1694" s="24" t="str">
        <x:v>DuraVision Chrome UV</x:v>
      </x:c>
      <x:c r="J1694" s="40" t="n">
        <x:v>2208</x:v>
      </x:c>
      <x:c r="K1694" s="24" t="str">
        <x:v>-6.00 a +6.00</x:v>
      </x:c>
      <x:c r="L1694" s="24" t="str">
        <x:v>-4.00</x:v>
      </x:c>
      <x:c r="M1694" s="24" t="str">
        <x:v>-</x:v>
      </x:c>
      <x:c r="N1694" s="24" t="str">
        <x:v>75</x:v>
      </x:c>
      <x:c r="O1694" s="24"/>
      <x:c r="P1694" s="24"/>
      <x:c r="Q1694" s="24" t="str">
        <x:v>DISPONÍVEL</x:v>
      </x:c>
      <x:c r="R1694" s="24"/>
      <x:c r="S1694" s="24" t="n">
        <x:v>20</x:v>
      </x:c>
      <x:c r="T1694" s="24" t="str">
        <x:v>tabela_zeiss.pdf</x:v>
      </x:c>
      <x:c r="U1694" s="24" t="str">
        <x:v>ZEISS|Visão Simples Jovem|Surfaçada|SmartLife Young|Polarizada|1.5|1.50|DuraVision Chrome UV|-6.00 a +6.00|-4.00|-|75|||20</x:v>
      </x:c>
    </x:row>
    <x:row r="1695">
      <x:c r="A1695" s="24" t="str">
        <x:v>ZS-6E45385AD356</x:v>
      </x:c>
      <x:c r="B1695" s="24" t="str">
        <x:v>ZEISS</x:v>
      </x:c>
      <x:c r="C1695" s="24" t="str">
        <x:v>Visão Simples Jovem</x:v>
      </x:c>
      <x:c r="D1695" s="24" t="str">
        <x:v>Surfaçada</x:v>
      </x:c>
      <x:c r="E1695" s="24" t="str">
        <x:v>SmartLife Young</x:v>
      </x:c>
      <x:c r="F1695" s="24" t="str">
        <x:v>Polarizada</x:v>
      </x:c>
      <x:c r="G1695" s="24" t="str">
        <x:v>1.6</x:v>
      </x:c>
      <x:c r="H1695" s="24" t="str">
        <x:v>1.60</x:v>
      </x:c>
      <x:c r="I1695" s="24" t="str">
        <x:v>DuraVision Gold UV</x:v>
      </x:c>
      <x:c r="J1695" s="40" t="n">
        <x:v>3678</x:v>
      </x:c>
      <x:c r="K1695" s="24" t="str">
        <x:v>-8.00 a +8.00</x:v>
      </x:c>
      <x:c r="L1695" s="24" t="str">
        <x:v>-4.00</x:v>
      </x:c>
      <x:c r="M1695" s="24" t="str">
        <x:v>-</x:v>
      </x:c>
      <x:c r="N1695" s="24" t="str">
        <x:v>70</x:v>
      </x:c>
      <x:c r="O1695" s="24"/>
      <x:c r="P1695" s="24"/>
      <x:c r="Q1695" s="24" t="str">
        <x:v>DISPONÍVEL</x:v>
      </x:c>
      <x:c r="R1695" s="24"/>
      <x:c r="S1695" s="24" t="n">
        <x:v>20</x:v>
      </x:c>
      <x:c r="T1695" s="24" t="str">
        <x:v>tabela_zeiss.pdf</x:v>
      </x:c>
      <x:c r="U1695" s="24" t="str">
        <x:v>ZEISS|Visão Simples Jovem|Surfaçada|SmartLife Young|Polarizada|1.6|1.60|DuraVision Gold UV|-8.00 a +8.00|-4.00|-|70|||20</x:v>
      </x:c>
    </x:row>
    <x:row r="1696">
      <x:c r="A1696" s="24" t="str">
        <x:v>ZS-36CACCA1C0D4</x:v>
      </x:c>
      <x:c r="B1696" s="24" t="str">
        <x:v>ZEISS</x:v>
      </x:c>
      <x:c r="C1696" s="24" t="str">
        <x:v>Visão Simples Jovem</x:v>
      </x:c>
      <x:c r="D1696" s="24" t="str">
        <x:v>Surfaçada</x:v>
      </x:c>
      <x:c r="E1696" s="24" t="str">
        <x:v>SmartLife Young</x:v>
      </x:c>
      <x:c r="F1696" s="24" t="str">
        <x:v>Polarizada</x:v>
      </x:c>
      <x:c r="G1696" s="24" t="str">
        <x:v>1.6</x:v>
      </x:c>
      <x:c r="H1696" s="24" t="str">
        <x:v>1.60</x:v>
      </x:c>
      <x:c r="I1696" s="24" t="str">
        <x:v>DuraVision Platinum UV</x:v>
      </x:c>
      <x:c r="J1696" s="40" t="n">
        <x:v>3538</x:v>
      </x:c>
      <x:c r="K1696" s="24" t="str">
        <x:v>-8.00 a +8.00</x:v>
      </x:c>
      <x:c r="L1696" s="24" t="str">
        <x:v>-4.00</x:v>
      </x:c>
      <x:c r="M1696" s="24" t="str">
        <x:v>-</x:v>
      </x:c>
      <x:c r="N1696" s="24" t="str">
        <x:v>70</x:v>
      </x:c>
      <x:c r="O1696" s="24"/>
      <x:c r="P1696" s="24"/>
      <x:c r="Q1696" s="24" t="str">
        <x:v>DISPONÍVEL</x:v>
      </x:c>
      <x:c r="R1696" s="24"/>
      <x:c r="S1696" s="24" t="n">
        <x:v>20</x:v>
      </x:c>
      <x:c r="T1696" s="24" t="str">
        <x:v>tabela_zeiss.pdf</x:v>
      </x:c>
      <x:c r="U1696" s="24" t="str">
        <x:v>ZEISS|Visão Simples Jovem|Surfaçada|SmartLife Young|Polarizada|1.6|1.60|DuraVision Platinum UV|-8.00 a +8.00|-4.00|-|70|||20</x:v>
      </x:c>
    </x:row>
    <x:row r="1697">
      <x:c r="A1697" s="24" t="str">
        <x:v>ZS-CC72D298E757</x:v>
      </x:c>
      <x:c r="B1697" s="24" t="str">
        <x:v>ZEISS</x:v>
      </x:c>
      <x:c r="C1697" s="24" t="str">
        <x:v>Visão Simples Jovem</x:v>
      </x:c>
      <x:c r="D1697" s="24" t="str">
        <x:v>Surfaçada</x:v>
      </x:c>
      <x:c r="E1697" s="24" t="str">
        <x:v>SmartLife Young</x:v>
      </x:c>
      <x:c r="F1697" s="24" t="str">
        <x:v>Polarizada</x:v>
      </x:c>
      <x:c r="G1697" s="24" t="str">
        <x:v>1.6</x:v>
      </x:c>
      <x:c r="H1697" s="24" t="str">
        <x:v>1.60</x:v>
      </x:c>
      <x:c r="I1697" s="24" t="str">
        <x:v>DuraVision Silver UV</x:v>
      </x:c>
      <x:c r="J1697" s="40" t="n">
        <x:v>3278</x:v>
      </x:c>
      <x:c r="K1697" s="24" t="str">
        <x:v>-8.00 a +8.00</x:v>
      </x:c>
      <x:c r="L1697" s="24" t="str">
        <x:v>-4.00</x:v>
      </x:c>
      <x:c r="M1697" s="24" t="str">
        <x:v>-</x:v>
      </x:c>
      <x:c r="N1697" s="24" t="str">
        <x:v>70</x:v>
      </x:c>
      <x:c r="O1697" s="24"/>
      <x:c r="P1697" s="24"/>
      <x:c r="Q1697" s="24" t="str">
        <x:v>DISPONÍVEL</x:v>
      </x:c>
      <x:c r="R1697" s="24"/>
      <x:c r="S1697" s="24" t="n">
        <x:v>20</x:v>
      </x:c>
      <x:c r="T1697" s="24" t="str">
        <x:v>tabela_zeiss.pdf</x:v>
      </x:c>
      <x:c r="U1697" s="24" t="str">
        <x:v>ZEISS|Visão Simples Jovem|Surfaçada|SmartLife Young|Polarizada|1.6|1.60|DuraVision Silver UV|-8.00 a +8.00|-4.00|-|70|||20</x:v>
      </x:c>
    </x:row>
    <x:row r="1698">
      <x:c r="A1698" s="24" t="str">
        <x:v>ZS-91BCB12318AC</x:v>
      </x:c>
      <x:c r="B1698" s="24" t="str">
        <x:v>ZEISS</x:v>
      </x:c>
      <x:c r="C1698" s="24" t="str">
        <x:v>Visão Simples Jovem</x:v>
      </x:c>
      <x:c r="D1698" s="24" t="str">
        <x:v>Surfaçada</x:v>
      </x:c>
      <x:c r="E1698" s="24" t="str">
        <x:v>SmartLife Young</x:v>
      </x:c>
      <x:c r="F1698" s="24" t="str">
        <x:v>Polarizada</x:v>
      </x:c>
      <x:c r="G1698" s="24" t="str">
        <x:v>1.6</x:v>
      </x:c>
      <x:c r="H1698" s="24" t="str">
        <x:v>1.60</x:v>
      </x:c>
      <x:c r="I1698" s="24" t="str">
        <x:v>DuraVision Chrome UV</x:v>
      </x:c>
      <x:c r="J1698" s="40" t="n">
        <x:v>2788</x:v>
      </x:c>
      <x:c r="K1698" s="24" t="str">
        <x:v>-8.00 a +8.00</x:v>
      </x:c>
      <x:c r="L1698" s="24" t="str">
        <x:v>-4.00</x:v>
      </x:c>
      <x:c r="M1698" s="24" t="str">
        <x:v>-</x:v>
      </x:c>
      <x:c r="N1698" s="24" t="str">
        <x:v>70</x:v>
      </x:c>
      <x:c r="O1698" s="24"/>
      <x:c r="P1698" s="24"/>
      <x:c r="Q1698" s="24" t="str">
        <x:v>DISPONÍVEL</x:v>
      </x:c>
      <x:c r="R1698" s="24"/>
      <x:c r="S1698" s="24" t="n">
        <x:v>20</x:v>
      </x:c>
      <x:c r="T1698" s="24" t="str">
        <x:v>tabela_zeiss.pdf</x:v>
      </x:c>
      <x:c r="U1698" s="24" t="str">
        <x:v>ZEISS|Visão Simples Jovem|Surfaçada|SmartLife Young|Polarizada|1.6|1.60|DuraVision Chrome UV|-8.00 a +8.00|-4.00|-|70|||20</x:v>
      </x:c>
    </x:row>
    <x:row r="1699">
      <x:c r="A1699" s="24" t="str">
        <x:v>ZS-C82A43F2E1A2</x:v>
      </x:c>
      <x:c r="B1699" s="24" t="str">
        <x:v>ZEISS</x:v>
      </x:c>
      <x:c r="C1699" s="24" t="str">
        <x:v>Visão Simples Digital</x:v>
      </x:c>
      <x:c r="D1699" s="24" t="str">
        <x:v>Surfaçada</x:v>
      </x:c>
      <x:c r="E1699" s="24" t="str">
        <x:v>ClearMind Digital Individual 3</x:v>
      </x:c>
      <x:c r="F1699" s="24"/>
      <x:c r="G1699" s="24" t="str">
        <x:v>1.5</x:v>
      </x:c>
      <x:c r="H1699" s="24" t="str">
        <x:v>1.50</x:v>
      </x:c>
      <x:c r="I1699" s="24" t="str">
        <x:v>DuraVision Gold UV</x:v>
      </x:c>
      <x:c r="J1699" s="40" t="n">
        <x:v>2463</x:v>
      </x:c>
      <x:c r="K1699" s="24" t="str">
        <x:v>-6.00 a +4.00</x:v>
      </x:c>
      <x:c r="L1699" s="24" t="str">
        <x:v>-4.00</x:v>
      </x:c>
      <x:c r="M1699" s="24" t="str">
        <x:v>0.50 a 1.25</x:v>
      </x:c>
      <x:c r="N1699" s="24" t="str">
        <x:v>75</x:v>
      </x:c>
      <x:c r="O1699" s="24"/>
      <x:c r="P1699" s="24"/>
      <x:c r="Q1699" s="24" t="str">
        <x:v>DISPONÍVEL</x:v>
      </x:c>
      <x:c r="R1699" s="24" t="str">
        <x:v>Programa de Parcerias ZEISS — categoria Experts</x:v>
      </x:c>
      <x:c r="S1699" s="24" t="n">
        <x:v>26</x:v>
      </x:c>
      <x:c r="T1699" s="24" t="str">
        <x:v>tabela_zeiss.pdf</x:v>
      </x:c>
      <x:c r="U1699" s="24" t="str">
        <x:v>ZEISS|Visão Simples Digital|Surfaçada|ClearMind Digital Individual 3||1.5|1.50|DuraVision Gold UV|-6.00 a +4.00|-4.00|0.50 a 1.25|75|||26</x:v>
      </x:c>
    </x:row>
    <x:row r="1700">
      <x:c r="A1700" s="24" t="str">
        <x:v>ZS-E5067A6335B6</x:v>
      </x:c>
      <x:c r="B1700" s="24" t="str">
        <x:v>ZEISS</x:v>
      </x:c>
      <x:c r="C1700" s="24" t="str">
        <x:v>Visão Simples Digital</x:v>
      </x:c>
      <x:c r="D1700" s="24" t="str">
        <x:v>Surfaçada</x:v>
      </x:c>
      <x:c r="E1700" s="24" t="str">
        <x:v>ClearMind Digital Individual 3</x:v>
      </x:c>
      <x:c r="F1700" s="24"/>
      <x:c r="G1700" s="24" t="str">
        <x:v>1.5</x:v>
      </x:c>
      <x:c r="H1700" s="24" t="str">
        <x:v>1.50</x:v>
      </x:c>
      <x:c r="I1700" s="24" t="str">
        <x:v>DURAVISION® ANTIVÍRUS PLATINUM UV</x:v>
      </x:c>
      <x:c r="J1700" s="40" t="n">
        <x:v>2323</x:v>
      </x:c>
      <x:c r="K1700" s="24" t="str">
        <x:v>-6.00 a +4.00</x:v>
      </x:c>
      <x:c r="L1700" s="24" t="str">
        <x:v>-4.00</x:v>
      </x:c>
      <x:c r="M1700" s="24" t="str">
        <x:v>0.50 a 1.25</x:v>
      </x:c>
      <x:c r="N1700" s="24" t="str">
        <x:v>75</x:v>
      </x:c>
      <x:c r="O1700" s="24"/>
      <x:c r="P1700" s="24"/>
      <x:c r="Q1700" s="24" t="str">
        <x:v>DISPONÍVEL</x:v>
      </x:c>
      <x:c r="R1700" s="24" t="str">
        <x:v>Programa de Parcerias ZEISS — categoria Experts</x:v>
      </x:c>
      <x:c r="S1700" s="24" t="n">
        <x:v>26</x:v>
      </x:c>
      <x:c r="T1700" s="24" t="str">
        <x:v>tabela_zeiss.pdf</x:v>
      </x:c>
      <x:c r="U1700" s="24" t="str">
        <x:v>ZEISS|Visão Simples Digital|Surfaçada|ClearMind Digital Individual 3||1.5|1.50|DURAVISION® ANTIVÍRUS PLATINUM UV|-6.00 a +4.00|-4.00|0.50 a 1.25|75|||26</x:v>
      </x:c>
    </x:row>
    <x:row r="1701">
      <x:c r="A1701" s="24" t="str">
        <x:v>ZS-3A3DFF3C0F8B</x:v>
      </x:c>
      <x:c r="B1701" s="24" t="str">
        <x:v>ZEISS</x:v>
      </x:c>
      <x:c r="C1701" s="24" t="str">
        <x:v>Visão Simples Digital</x:v>
      </x:c>
      <x:c r="D1701" s="24" t="str">
        <x:v>Surfaçada</x:v>
      </x:c>
      <x:c r="E1701" s="24" t="str">
        <x:v>ClearMind Digital Individual 3</x:v>
      </x:c>
      <x:c r="F1701" s="24"/>
      <x:c r="G1701" s="24" t="str">
        <x:v>1.5</x:v>
      </x:c>
      <x:c r="H1701" s="24" t="str">
        <x:v>1.50</x:v>
      </x:c>
      <x:c r="I1701" s="24" t="str">
        <x:v>DuraVision Platinum UV</x:v>
      </x:c>
      <x:c r="J1701" s="40" t="n">
        <x:v>2323</x:v>
      </x:c>
      <x:c r="K1701" s="24" t="str">
        <x:v>-6.00 a +4.00</x:v>
      </x:c>
      <x:c r="L1701" s="24" t="str">
        <x:v>-4.00</x:v>
      </x:c>
      <x:c r="M1701" s="24" t="str">
        <x:v>0.50 a 1.25</x:v>
      </x:c>
      <x:c r="N1701" s="24" t="str">
        <x:v>75</x:v>
      </x:c>
      <x:c r="O1701" s="24"/>
      <x:c r="P1701" s="24"/>
      <x:c r="Q1701" s="24" t="str">
        <x:v>DISPONÍVEL</x:v>
      </x:c>
      <x:c r="R1701" s="24" t="str">
        <x:v>Programa de Parcerias ZEISS — categoria Experts</x:v>
      </x:c>
      <x:c r="S1701" s="24" t="n">
        <x:v>26</x:v>
      </x:c>
      <x:c r="T1701" s="24" t="str">
        <x:v>tabela_zeiss.pdf</x:v>
      </x:c>
      <x:c r="U1701" s="24" t="str">
        <x:v>ZEISS|Visão Simples Digital|Surfaçada|ClearMind Digital Individual 3||1.5|1.50|DuraVision Platinum UV|-6.00 a +4.00|-4.00|0.50 a 1.25|75|||26</x:v>
      </x:c>
    </x:row>
    <x:row r="1702">
      <x:c r="A1702" s="24" t="str">
        <x:v>ZS-A34348CBB102</x:v>
      </x:c>
      <x:c r="B1702" s="24" t="str">
        <x:v>ZEISS</x:v>
      </x:c>
      <x:c r="C1702" s="24" t="str">
        <x:v>Visão Simples Digital</x:v>
      </x:c>
      <x:c r="D1702" s="24" t="str">
        <x:v>Surfaçada</x:v>
      </x:c>
      <x:c r="E1702" s="24" t="str">
        <x:v>ClearMind Digital Individual 3</x:v>
      </x:c>
      <x:c r="F1702" s="24"/>
      <x:c r="G1702" s="24" t="str">
        <x:v>1.5</x:v>
      </x:c>
      <x:c r="H1702" s="24" t="str">
        <x:v>1.50</x:v>
      </x:c>
      <x:c r="I1702" s="24" t="str">
        <x:v>DuraVision Silver UV</x:v>
      </x:c>
      <x:c r="J1702" s="40" t="n">
        <x:v>2063</x:v>
      </x:c>
      <x:c r="K1702" s="24" t="str">
        <x:v>-6.00 a +4.00</x:v>
      </x:c>
      <x:c r="L1702" s="24" t="str">
        <x:v>-4.00</x:v>
      </x:c>
      <x:c r="M1702" s="24" t="str">
        <x:v>0.50 a 1.25</x:v>
      </x:c>
      <x:c r="N1702" s="24" t="str">
        <x:v>75</x:v>
      </x:c>
      <x:c r="O1702" s="24"/>
      <x:c r="P1702" s="24"/>
      <x:c r="Q1702" s="24" t="str">
        <x:v>DISPONÍVEL</x:v>
      </x:c>
      <x:c r="R1702" s="24" t="str">
        <x:v>Programa de Parcerias ZEISS — categoria Experts</x:v>
      </x:c>
      <x:c r="S1702" s="24" t="n">
        <x:v>26</x:v>
      </x:c>
      <x:c r="T1702" s="24" t="str">
        <x:v>tabela_zeiss.pdf</x:v>
      </x:c>
      <x:c r="U1702" s="24" t="str">
        <x:v>ZEISS|Visão Simples Digital|Surfaçada|ClearMind Digital Individual 3||1.5|1.50|DuraVision Silver UV|-6.00 a +4.00|-4.00|0.50 a 1.25|75|||26</x:v>
      </x:c>
    </x:row>
    <x:row r="1703">
      <x:c r="A1703" s="24" t="str">
        <x:v>ZS-B14C09593968</x:v>
      </x:c>
      <x:c r="B1703" s="24" t="str">
        <x:v>ZEISS</x:v>
      </x:c>
      <x:c r="C1703" s="24" t="str">
        <x:v>Visão Simples Digital</x:v>
      </x:c>
      <x:c r="D1703" s="24" t="str">
        <x:v>Surfaçada</x:v>
      </x:c>
      <x:c r="E1703" s="24" t="str">
        <x:v>ClearMind Digital Individual 3</x:v>
      </x:c>
      <x:c r="F1703" s="24"/>
      <x:c r="G1703" s="24" t="str">
        <x:v>1.5</x:v>
      </x:c>
      <x:c r="H1703" s="24" t="str">
        <x:v>1.50</x:v>
      </x:c>
      <x:c r="I1703" s="24" t="str">
        <x:v>DuraVision Chrome UV</x:v>
      </x:c>
      <x:c r="J1703" s="40" t="n">
        <x:v>1573</x:v>
      </x:c>
      <x:c r="K1703" s="24" t="str">
        <x:v>-6.00 a +4.00</x:v>
      </x:c>
      <x:c r="L1703" s="24" t="str">
        <x:v>-4.00</x:v>
      </x:c>
      <x:c r="M1703" s="24" t="str">
        <x:v>0.50 a 1.25</x:v>
      </x:c>
      <x:c r="N1703" s="24" t="str">
        <x:v>75</x:v>
      </x:c>
      <x:c r="O1703" s="24"/>
      <x:c r="P1703" s="24"/>
      <x:c r="Q1703" s="24" t="str">
        <x:v>DISPONÍVEL</x:v>
      </x:c>
      <x:c r="R1703" s="24" t="str">
        <x:v>Programa de Parcerias ZEISS — categoria Experts</x:v>
      </x:c>
      <x:c r="S1703" s="24" t="n">
        <x:v>26</x:v>
      </x:c>
      <x:c r="T1703" s="24" t="str">
        <x:v>tabela_zeiss.pdf</x:v>
      </x:c>
      <x:c r="U1703" s="24" t="str">
        <x:v>ZEISS|Visão Simples Digital|Surfaçada|ClearMind Digital Individual 3||1.5|1.50|DuraVision Chrome UV|-6.00 a +4.00|-4.00|0.50 a 1.25|75|||26</x:v>
      </x:c>
    </x:row>
    <x:row r="1704">
      <x:c r="A1704" s="24" t="str">
        <x:v>ZS-58641530603C</x:v>
      </x:c>
      <x:c r="B1704" s="24" t="str">
        <x:v>ZEISS</x:v>
      </x:c>
      <x:c r="C1704" s="24" t="str">
        <x:v>Visão Simples Digital</x:v>
      </x:c>
      <x:c r="D1704" s="24" t="str">
        <x:v>Surfaçada</x:v>
      </x:c>
      <x:c r="E1704" s="24" t="str">
        <x:v>ClearMind Digital Individual 3</x:v>
      </x:c>
      <x:c r="F1704" s="24"/>
      <x:c r="G1704" s="24" t="str">
        <x:v>Poli</x:v>
      </x:c>
      <x:c r="H1704" s="24"/>
      <x:c r="I1704" s="24" t="str">
        <x:v>DuraVision Gold UV</x:v>
      </x:c>
      <x:c r="J1704" s="40" t="n">
        <x:v>2823</x:v>
      </x:c>
      <x:c r="K1704" s="24" t="str">
        <x:v>-10.00 a +6.00</x:v>
      </x:c>
      <x:c r="L1704" s="24" t="str">
        <x:v>-6.00</x:v>
      </x:c>
      <x:c r="M1704" s="24" t="str">
        <x:v>0.50 a 1.25</x:v>
      </x:c>
      <x:c r="N1704" s="24" t="str">
        <x:v>70</x:v>
      </x:c>
      <x:c r="O1704" s="24"/>
      <x:c r="P1704" s="24"/>
      <x:c r="Q1704" s="24" t="str">
        <x:v>DISPONÍVEL</x:v>
      </x:c>
      <x:c r="R1704" s="24" t="str">
        <x:v>Programa de Parcerias ZEISS — categoria Experts</x:v>
      </x:c>
      <x:c r="S1704" s="24" t="n">
        <x:v>26</x:v>
      </x:c>
      <x:c r="T1704" s="24" t="str">
        <x:v>tabela_zeiss.pdf</x:v>
      </x:c>
      <x:c r="U1704" s="24" t="str">
        <x:v>ZEISS|Visão Simples Digital|Surfaçada|ClearMind Digital Individual 3||Poli||DuraVision Gold UV|-10.00 a +6.00|-6.00|0.50 a 1.25|70|||26</x:v>
      </x:c>
    </x:row>
    <x:row r="1705">
      <x:c r="A1705" s="24" t="str">
        <x:v>ZS-F3D02F423878</x:v>
      </x:c>
      <x:c r="B1705" s="24" t="str">
        <x:v>ZEISS</x:v>
      </x:c>
      <x:c r="C1705" s="24" t="str">
        <x:v>Visão Simples Digital</x:v>
      </x:c>
      <x:c r="D1705" s="24" t="str">
        <x:v>Surfaçada</x:v>
      </x:c>
      <x:c r="E1705" s="24" t="str">
        <x:v>ClearMind Digital Individual 3</x:v>
      </x:c>
      <x:c r="F1705" s="24"/>
      <x:c r="G1705" s="24" t="str">
        <x:v>Poli</x:v>
      </x:c>
      <x:c r="H1705" s="24"/>
      <x:c r="I1705" s="24" t="str">
        <x:v>DuraVision Platinum UV</x:v>
      </x:c>
      <x:c r="J1705" s="40" t="n">
        <x:v>2683</x:v>
      </x:c>
      <x:c r="K1705" s="24" t="str">
        <x:v>-10.00 a +6.00</x:v>
      </x:c>
      <x:c r="L1705" s="24" t="str">
        <x:v>-6.00</x:v>
      </x:c>
      <x:c r="M1705" s="24" t="str">
        <x:v>0.50 a 1.25</x:v>
      </x:c>
      <x:c r="N1705" s="24" t="str">
        <x:v>70</x:v>
      </x:c>
      <x:c r="O1705" s="24"/>
      <x:c r="P1705" s="24"/>
      <x:c r="Q1705" s="24" t="str">
        <x:v>DISPONÍVEL</x:v>
      </x:c>
      <x:c r="R1705" s="24" t="str">
        <x:v>Programa de Parcerias ZEISS — categoria Experts</x:v>
      </x:c>
      <x:c r="S1705" s="24" t="n">
        <x:v>26</x:v>
      </x:c>
      <x:c r="T1705" s="24" t="str">
        <x:v>tabela_zeiss.pdf</x:v>
      </x:c>
      <x:c r="U1705" s="24" t="str">
        <x:v>ZEISS|Visão Simples Digital|Surfaçada|ClearMind Digital Individual 3||Poli||DuraVision Platinum UV|-10.00 a +6.00|-6.00|0.50 a 1.25|70|||26</x:v>
      </x:c>
    </x:row>
    <x:row r="1706">
      <x:c r="A1706" s="24" t="str">
        <x:v>ZS-260ECD3BAD58</x:v>
      </x:c>
      <x:c r="B1706" s="24" t="str">
        <x:v>ZEISS</x:v>
      </x:c>
      <x:c r="C1706" s="24" t="str">
        <x:v>Visão Simples Digital</x:v>
      </x:c>
      <x:c r="D1706" s="24" t="str">
        <x:v>Surfaçada</x:v>
      </x:c>
      <x:c r="E1706" s="24" t="str">
        <x:v>ClearMind Digital Individual 3</x:v>
      </x:c>
      <x:c r="F1706" s="24"/>
      <x:c r="G1706" s="24" t="str">
        <x:v>Poli</x:v>
      </x:c>
      <x:c r="H1706" s="24"/>
      <x:c r="I1706" s="24" t="str">
        <x:v>DuraVision Silver UV</x:v>
      </x:c>
      <x:c r="J1706" s="40" t="n">
        <x:v>2423</x:v>
      </x:c>
      <x:c r="K1706" s="24" t="str">
        <x:v>-10.00 a +6.00</x:v>
      </x:c>
      <x:c r="L1706" s="24" t="str">
        <x:v>-6.00</x:v>
      </x:c>
      <x:c r="M1706" s="24" t="str">
        <x:v>0.50 a 1.25</x:v>
      </x:c>
      <x:c r="N1706" s="24" t="str">
        <x:v>70</x:v>
      </x:c>
      <x:c r="O1706" s="24"/>
      <x:c r="P1706" s="24"/>
      <x:c r="Q1706" s="24" t="str">
        <x:v>DISPONÍVEL</x:v>
      </x:c>
      <x:c r="R1706" s="24" t="str">
        <x:v>Programa de Parcerias ZEISS — categoria Experts</x:v>
      </x:c>
      <x:c r="S1706" s="24" t="n">
        <x:v>26</x:v>
      </x:c>
      <x:c r="T1706" s="24" t="str">
        <x:v>tabela_zeiss.pdf</x:v>
      </x:c>
      <x:c r="U1706" s="24" t="str">
        <x:v>ZEISS|Visão Simples Digital|Surfaçada|ClearMind Digital Individual 3||Poli||DuraVision Silver UV|-10.00 a +6.00|-6.00|0.50 a 1.25|70|||26</x:v>
      </x:c>
    </x:row>
    <x:row r="1707">
      <x:c r="A1707" s="24" t="str">
        <x:v>ZS-D971B51145CA</x:v>
      </x:c>
      <x:c r="B1707" s="24" t="str">
        <x:v>ZEISS</x:v>
      </x:c>
      <x:c r="C1707" s="24" t="str">
        <x:v>Visão Simples Digital</x:v>
      </x:c>
      <x:c r="D1707" s="24" t="str">
        <x:v>Surfaçada</x:v>
      </x:c>
      <x:c r="E1707" s="24" t="str">
        <x:v>ClearMind Digital Individual 3</x:v>
      </x:c>
      <x:c r="F1707" s="24"/>
      <x:c r="G1707" s="24" t="str">
        <x:v>Poli</x:v>
      </x:c>
      <x:c r="H1707" s="24"/>
      <x:c r="I1707" s="24" t="str">
        <x:v>DuraVision Chrome UV</x:v>
      </x:c>
      <x:c r="J1707" s="40" t="n">
        <x:v>1933</x:v>
      </x:c>
      <x:c r="K1707" s="24" t="str">
        <x:v>-10.00 a +6.00</x:v>
      </x:c>
      <x:c r="L1707" s="24" t="str">
        <x:v>-6.00</x:v>
      </x:c>
      <x:c r="M1707" s="24" t="str">
        <x:v>0.50 a 1.25</x:v>
      </x:c>
      <x:c r="N1707" s="24" t="str">
        <x:v>70</x:v>
      </x:c>
      <x:c r="O1707" s="24"/>
      <x:c r="P1707" s="24"/>
      <x:c r="Q1707" s="24" t="str">
        <x:v>DISPONÍVEL</x:v>
      </x:c>
      <x:c r="R1707" s="24" t="str">
        <x:v>Programa de Parcerias ZEISS — categoria Experts</x:v>
      </x:c>
      <x:c r="S1707" s="24" t="n">
        <x:v>26</x:v>
      </x:c>
      <x:c r="T1707" s="24" t="str">
        <x:v>tabela_zeiss.pdf</x:v>
      </x:c>
      <x:c r="U1707" s="24" t="str">
        <x:v>ZEISS|Visão Simples Digital|Surfaçada|ClearMind Digital Individual 3||Poli||DuraVision Chrome UV|-10.00 a +6.00|-6.00|0.50 a 1.25|70|||26</x:v>
      </x:c>
    </x:row>
    <x:row r="1708">
      <x:c r="A1708" s="24" t="str">
        <x:v>ZS-B0549C09587F</x:v>
      </x:c>
      <x:c r="B1708" s="24" t="str">
        <x:v>ZEISS</x:v>
      </x:c>
      <x:c r="C1708" s="24" t="str">
        <x:v>Visão Simples Digital</x:v>
      </x:c>
      <x:c r="D1708" s="24" t="str">
        <x:v>Surfaçada</x:v>
      </x:c>
      <x:c r="E1708" s="24" t="str">
        <x:v>ClearMind Digital Individual 3</x:v>
      </x:c>
      <x:c r="F1708" s="24"/>
      <x:c r="G1708" s="24" t="str">
        <x:v>1.6</x:v>
      </x:c>
      <x:c r="H1708" s="24" t="str">
        <x:v>1.60</x:v>
      </x:c>
      <x:c r="I1708" s="24" t="str">
        <x:v>DuraVision Gold UV</x:v>
      </x:c>
      <x:c r="J1708" s="40" t="n">
        <x:v>3043</x:v>
      </x:c>
      <x:c r="K1708" s="24" t="str">
        <x:v>-7.25 a +6.00</x:v>
      </x:c>
      <x:c r="L1708" s="24" t="str">
        <x:v>-6.00</x:v>
      </x:c>
      <x:c r="M1708" s="24" t="str">
        <x:v>0.50 a 1.25</x:v>
      </x:c>
      <x:c r="N1708" s="24" t="str">
        <x:v>75</x:v>
      </x:c>
      <x:c r="O1708" s="24"/>
      <x:c r="P1708" s="24"/>
      <x:c r="Q1708" s="24" t="str">
        <x:v>DISPONÍVEL</x:v>
      </x:c>
      <x:c r="R1708" s="24" t="str">
        <x:v>Programa de Parcerias ZEISS — categoria Experts</x:v>
      </x:c>
      <x:c r="S1708" s="24" t="n">
        <x:v>26</x:v>
      </x:c>
      <x:c r="T1708" s="24" t="str">
        <x:v>tabela_zeiss.pdf</x:v>
      </x:c>
      <x:c r="U1708" s="24" t="str">
        <x:v>ZEISS|Visão Simples Digital|Surfaçada|ClearMind Digital Individual 3||1.6|1.60|DuraVision Gold UV|-7.25 a +6.00|-6.00|0.50 a 1.25|75|||26</x:v>
      </x:c>
    </x:row>
    <x:row r="1709">
      <x:c r="A1709" s="24" t="str">
        <x:v>ZS-F130F7050A88</x:v>
      </x:c>
      <x:c r="B1709" s="24" t="str">
        <x:v>ZEISS</x:v>
      </x:c>
      <x:c r="C1709" s="24" t="str">
        <x:v>Visão Simples Digital</x:v>
      </x:c>
      <x:c r="D1709" s="24" t="str">
        <x:v>Surfaçada</x:v>
      </x:c>
      <x:c r="E1709" s="24" t="str">
        <x:v>ClearMind Digital Individual 3</x:v>
      </x:c>
      <x:c r="F1709" s="24"/>
      <x:c r="G1709" s="24" t="str">
        <x:v>1.6</x:v>
      </x:c>
      <x:c r="H1709" s="24" t="str">
        <x:v>1.60</x:v>
      </x:c>
      <x:c r="I1709" s="24" t="str">
        <x:v>DURAVISION® ANTIVÍRUS PLATINUM UV</x:v>
      </x:c>
      <x:c r="J1709" s="40" t="n">
        <x:v>2903</x:v>
      </x:c>
      <x:c r="K1709" s="24" t="str">
        <x:v>-7.25 a +6.00</x:v>
      </x:c>
      <x:c r="L1709" s="24" t="str">
        <x:v>-6.00</x:v>
      </x:c>
      <x:c r="M1709" s="24" t="str">
        <x:v>0.50 a 1.25</x:v>
      </x:c>
      <x:c r="N1709" s="24" t="str">
        <x:v>75</x:v>
      </x:c>
      <x:c r="O1709" s="24"/>
      <x:c r="P1709" s="24"/>
      <x:c r="Q1709" s="24" t="str">
        <x:v>DISPONÍVEL</x:v>
      </x:c>
      <x:c r="R1709" s="24" t="str">
        <x:v>Programa de Parcerias ZEISS — categoria Experts</x:v>
      </x:c>
      <x:c r="S1709" s="24" t="n">
        <x:v>26</x:v>
      </x:c>
      <x:c r="T1709" s="24" t="str">
        <x:v>tabela_zeiss.pdf</x:v>
      </x:c>
      <x:c r="U1709" s="24" t="str">
        <x:v>ZEISS|Visão Simples Digital|Surfaçada|ClearMind Digital Individual 3||1.6|1.60|DURAVISION® ANTIVÍRUS PLATINUM UV|-7.25 a +6.00|-6.00|0.50 a 1.25|75|||26</x:v>
      </x:c>
    </x:row>
    <x:row r="1710">
      <x:c r="A1710" s="24" t="str">
        <x:v>ZS-9916587CFA48</x:v>
      </x:c>
      <x:c r="B1710" s="24" t="str">
        <x:v>ZEISS</x:v>
      </x:c>
      <x:c r="C1710" s="24" t="str">
        <x:v>Visão Simples Digital</x:v>
      </x:c>
      <x:c r="D1710" s="24" t="str">
        <x:v>Surfaçada</x:v>
      </x:c>
      <x:c r="E1710" s="24" t="str">
        <x:v>ClearMind Digital Individual 3</x:v>
      </x:c>
      <x:c r="F1710" s="24"/>
      <x:c r="G1710" s="24" t="str">
        <x:v>1.6</x:v>
      </x:c>
      <x:c r="H1710" s="24" t="str">
        <x:v>1.60</x:v>
      </x:c>
      <x:c r="I1710" s="24" t="str">
        <x:v>DuraVision Platinum UV</x:v>
      </x:c>
      <x:c r="J1710" s="40" t="n">
        <x:v>2903</x:v>
      </x:c>
      <x:c r="K1710" s="24" t="str">
        <x:v>-7.25 a +6.00</x:v>
      </x:c>
      <x:c r="L1710" s="24" t="str">
        <x:v>-6.00</x:v>
      </x:c>
      <x:c r="M1710" s="24" t="str">
        <x:v>0.50 a 1.25</x:v>
      </x:c>
      <x:c r="N1710" s="24" t="str">
        <x:v>75</x:v>
      </x:c>
      <x:c r="O1710" s="24"/>
      <x:c r="P1710" s="24"/>
      <x:c r="Q1710" s="24" t="str">
        <x:v>DISPONÍVEL</x:v>
      </x:c>
      <x:c r="R1710" s="24" t="str">
        <x:v>Programa de Parcerias ZEISS — categoria Experts</x:v>
      </x:c>
      <x:c r="S1710" s="24" t="n">
        <x:v>26</x:v>
      </x:c>
      <x:c r="T1710" s="24" t="str">
        <x:v>tabela_zeiss.pdf</x:v>
      </x:c>
      <x:c r="U1710" s="24" t="str">
        <x:v>ZEISS|Visão Simples Digital|Surfaçada|ClearMind Digital Individual 3||1.6|1.60|DuraVision Platinum UV|-7.25 a +6.00|-6.00|0.50 a 1.25|75|||26</x:v>
      </x:c>
    </x:row>
    <x:row r="1711">
      <x:c r="A1711" s="24" t="str">
        <x:v>ZS-F5897473AAB9</x:v>
      </x:c>
      <x:c r="B1711" s="24" t="str">
        <x:v>ZEISS</x:v>
      </x:c>
      <x:c r="C1711" s="24" t="str">
        <x:v>Visão Simples Digital</x:v>
      </x:c>
      <x:c r="D1711" s="24" t="str">
        <x:v>Surfaçada</x:v>
      </x:c>
      <x:c r="E1711" s="24" t="str">
        <x:v>ClearMind Digital Individual 3</x:v>
      </x:c>
      <x:c r="F1711" s="24"/>
      <x:c r="G1711" s="24" t="str">
        <x:v>1.6</x:v>
      </x:c>
      <x:c r="H1711" s="24" t="str">
        <x:v>1.60</x:v>
      </x:c>
      <x:c r="I1711" s="24" t="str">
        <x:v>DuraVision Silver UV</x:v>
      </x:c>
      <x:c r="J1711" s="40" t="n">
        <x:v>2643</x:v>
      </x:c>
      <x:c r="K1711" s="24" t="str">
        <x:v>-7.25 a +6.00</x:v>
      </x:c>
      <x:c r="L1711" s="24" t="str">
        <x:v>-6.00</x:v>
      </x:c>
      <x:c r="M1711" s="24" t="str">
        <x:v>0.50 a 1.25</x:v>
      </x:c>
      <x:c r="N1711" s="24" t="str">
        <x:v>75</x:v>
      </x:c>
      <x:c r="O1711" s="24"/>
      <x:c r="P1711" s="24"/>
      <x:c r="Q1711" s="24" t="str">
        <x:v>DISPONÍVEL</x:v>
      </x:c>
      <x:c r="R1711" s="24" t="str">
        <x:v>Programa de Parcerias ZEISS — categoria Experts</x:v>
      </x:c>
      <x:c r="S1711" s="24" t="n">
        <x:v>26</x:v>
      </x:c>
      <x:c r="T1711" s="24" t="str">
        <x:v>tabela_zeiss.pdf</x:v>
      </x:c>
      <x:c r="U1711" s="24" t="str">
        <x:v>ZEISS|Visão Simples Digital|Surfaçada|ClearMind Digital Individual 3||1.6|1.60|DuraVision Silver UV|-7.25 a +6.00|-6.00|0.50 a 1.25|75|||26</x:v>
      </x:c>
    </x:row>
    <x:row r="1712">
      <x:c r="A1712" s="24" t="str">
        <x:v>ZS-434BF2D10AC6</x:v>
      </x:c>
      <x:c r="B1712" s="24" t="str">
        <x:v>ZEISS</x:v>
      </x:c>
      <x:c r="C1712" s="24" t="str">
        <x:v>Visão Simples Digital</x:v>
      </x:c>
      <x:c r="D1712" s="24" t="str">
        <x:v>Surfaçada</x:v>
      </x:c>
      <x:c r="E1712" s="24" t="str">
        <x:v>ClearMind Digital Individual 3</x:v>
      </x:c>
      <x:c r="F1712" s="24"/>
      <x:c r="G1712" s="24" t="str">
        <x:v>1.6</x:v>
      </x:c>
      <x:c r="H1712" s="24" t="str">
        <x:v>1.60</x:v>
      </x:c>
      <x:c r="I1712" s="24" t="str">
        <x:v>DuraVision Chrome UV</x:v>
      </x:c>
      <x:c r="J1712" s="40" t="n">
        <x:v>2153</x:v>
      </x:c>
      <x:c r="K1712" s="24" t="str">
        <x:v>-7.25 a +6.00</x:v>
      </x:c>
      <x:c r="L1712" s="24" t="str">
        <x:v>-6.00</x:v>
      </x:c>
      <x:c r="M1712" s="24" t="str">
        <x:v>0.50 a 1.25</x:v>
      </x:c>
      <x:c r="N1712" s="24" t="str">
        <x:v>75</x:v>
      </x:c>
      <x:c r="O1712" s="24"/>
      <x:c r="P1712" s="24"/>
      <x:c r="Q1712" s="24" t="str">
        <x:v>DISPONÍVEL</x:v>
      </x:c>
      <x:c r="R1712" s="24" t="str">
        <x:v>Programa de Parcerias ZEISS — categoria Experts</x:v>
      </x:c>
      <x:c r="S1712" s="24" t="n">
        <x:v>26</x:v>
      </x:c>
      <x:c r="T1712" s="24" t="str">
        <x:v>tabela_zeiss.pdf</x:v>
      </x:c>
      <x:c r="U1712" s="24" t="str">
        <x:v>ZEISS|Visão Simples Digital|Surfaçada|ClearMind Digital Individual 3||1.6|1.60|DuraVision Chrome UV|-7.25 a +6.00|-6.00|0.50 a 1.25|75|||26</x:v>
      </x:c>
    </x:row>
    <x:row r="1713">
      <x:c r="A1713" s="24" t="str">
        <x:v>ZS-DBCCD2D41881</x:v>
      </x:c>
      <x:c r="B1713" s="24" t="str">
        <x:v>ZEISS</x:v>
      </x:c>
      <x:c r="C1713" s="24" t="str">
        <x:v>Visão Simples Digital</x:v>
      </x:c>
      <x:c r="D1713" s="24" t="str">
        <x:v>Surfaçada</x:v>
      </x:c>
      <x:c r="E1713" s="24" t="str">
        <x:v>ClearMind Digital Individual 3</x:v>
      </x:c>
      <x:c r="F1713" s="24"/>
      <x:c r="G1713" s="24" t="str">
        <x:v>1.67</x:v>
      </x:c>
      <x:c r="H1713" s="24" t="str">
        <x:v>1.67</x:v>
      </x:c>
      <x:c r="I1713" s="24" t="str">
        <x:v>DuraVision Gold UV</x:v>
      </x:c>
      <x:c r="J1713" s="40" t="n">
        <x:v>4343</x:v>
      </x:c>
      <x:c r="K1713" s="24" t="str">
        <x:v>-8.00 a +8.00</x:v>
      </x:c>
      <x:c r="L1713" s="24" t="str">
        <x:v>-6.00</x:v>
      </x:c>
      <x:c r="M1713" s="24" t="str">
        <x:v>0.50 a 1.25</x:v>
      </x:c>
      <x:c r="N1713" s="24" t="str">
        <x:v>70</x:v>
      </x:c>
      <x:c r="O1713" s="24"/>
      <x:c r="P1713" s="24"/>
      <x:c r="Q1713" s="24" t="str">
        <x:v>DISPONÍVEL</x:v>
      </x:c>
      <x:c r="R1713" s="24" t="str">
        <x:v>Programa de Parcerias ZEISS — categoria Experts</x:v>
      </x:c>
      <x:c r="S1713" s="24" t="n">
        <x:v>26</x:v>
      </x:c>
      <x:c r="T1713" s="24" t="str">
        <x:v>tabela_zeiss.pdf</x:v>
      </x:c>
      <x:c r="U1713" s="24" t="str">
        <x:v>ZEISS|Visão Simples Digital|Surfaçada|ClearMind Digital Individual 3||1.67|1.67|DuraVision Gold UV|-8.00 a +8.00|-6.00|0.50 a 1.25|70|||26</x:v>
      </x:c>
    </x:row>
    <x:row r="1714">
      <x:c r="A1714" s="24" t="str">
        <x:v>ZS-AC521F12F628</x:v>
      </x:c>
      <x:c r="B1714" s="24" t="str">
        <x:v>ZEISS</x:v>
      </x:c>
      <x:c r="C1714" s="24" t="str">
        <x:v>Visão Simples Digital</x:v>
      </x:c>
      <x:c r="D1714" s="24" t="str">
        <x:v>Surfaçada</x:v>
      </x:c>
      <x:c r="E1714" s="24" t="str">
        <x:v>ClearMind Digital Individual 3</x:v>
      </x:c>
      <x:c r="F1714" s="24"/>
      <x:c r="G1714" s="24" t="str">
        <x:v>1.67</x:v>
      </x:c>
      <x:c r="H1714" s="24" t="str">
        <x:v>1.67</x:v>
      </x:c>
      <x:c r="I1714" s="24" t="str">
        <x:v>DURAVISION® ANTIVÍRUS PLATINUM UV</x:v>
      </x:c>
      <x:c r="J1714" s="40" t="n">
        <x:v>4203</x:v>
      </x:c>
      <x:c r="K1714" s="24" t="str">
        <x:v>-8.00 a +8.00</x:v>
      </x:c>
      <x:c r="L1714" s="24" t="str">
        <x:v>-6.00</x:v>
      </x:c>
      <x:c r="M1714" s="24" t="str">
        <x:v>0.50 a 1.25</x:v>
      </x:c>
      <x:c r="N1714" s="24" t="str">
        <x:v>70</x:v>
      </x:c>
      <x:c r="O1714" s="24"/>
      <x:c r="P1714" s="24"/>
      <x:c r="Q1714" s="24" t="str">
        <x:v>DISPONÍVEL</x:v>
      </x:c>
      <x:c r="R1714" s="24" t="str">
        <x:v>Programa de Parcerias ZEISS — categoria Experts</x:v>
      </x:c>
      <x:c r="S1714" s="24" t="n">
        <x:v>26</x:v>
      </x:c>
      <x:c r="T1714" s="24" t="str">
        <x:v>tabela_zeiss.pdf</x:v>
      </x:c>
      <x:c r="U1714" s="24" t="str">
        <x:v>ZEISS|Visão Simples Digital|Surfaçada|ClearMind Digital Individual 3||1.67|1.67|DURAVISION® ANTIVÍRUS PLATINUM UV|-8.00 a +8.00|-6.00|0.50 a 1.25|70|||26</x:v>
      </x:c>
    </x:row>
    <x:row r="1715">
      <x:c r="A1715" s="24" t="str">
        <x:v>ZS-D76752AD1F5F</x:v>
      </x:c>
      <x:c r="B1715" s="24" t="str">
        <x:v>ZEISS</x:v>
      </x:c>
      <x:c r="C1715" s="24" t="str">
        <x:v>Visão Simples Digital</x:v>
      </x:c>
      <x:c r="D1715" s="24" t="str">
        <x:v>Surfaçada</x:v>
      </x:c>
      <x:c r="E1715" s="24" t="str">
        <x:v>ClearMind Digital Individual 3</x:v>
      </x:c>
      <x:c r="F1715" s="24"/>
      <x:c r="G1715" s="24" t="str">
        <x:v>1.67</x:v>
      </x:c>
      <x:c r="H1715" s="24" t="str">
        <x:v>1.67</x:v>
      </x:c>
      <x:c r="I1715" s="24" t="str">
        <x:v>DuraVision Platinum UV</x:v>
      </x:c>
      <x:c r="J1715" s="40" t="n">
        <x:v>4203</x:v>
      </x:c>
      <x:c r="K1715" s="24" t="str">
        <x:v>-8.00 a +8.00</x:v>
      </x:c>
      <x:c r="L1715" s="24" t="str">
        <x:v>-6.00</x:v>
      </x:c>
      <x:c r="M1715" s="24" t="str">
        <x:v>0.50 a 1.25</x:v>
      </x:c>
      <x:c r="N1715" s="24" t="str">
        <x:v>70</x:v>
      </x:c>
      <x:c r="O1715" s="24"/>
      <x:c r="P1715" s="24"/>
      <x:c r="Q1715" s="24" t="str">
        <x:v>DISPONÍVEL</x:v>
      </x:c>
      <x:c r="R1715" s="24" t="str">
        <x:v>Programa de Parcerias ZEISS — categoria Experts</x:v>
      </x:c>
      <x:c r="S1715" s="24" t="n">
        <x:v>26</x:v>
      </x:c>
      <x:c r="T1715" s="24" t="str">
        <x:v>tabela_zeiss.pdf</x:v>
      </x:c>
      <x:c r="U1715" s="24" t="str">
        <x:v>ZEISS|Visão Simples Digital|Surfaçada|ClearMind Digital Individual 3||1.67|1.67|DuraVision Platinum UV|-8.00 a +8.00|-6.00|0.50 a 1.25|70|||26</x:v>
      </x:c>
    </x:row>
    <x:row r="1716">
      <x:c r="A1716" s="24" t="str">
        <x:v>ZS-74BD65B4A754</x:v>
      </x:c>
      <x:c r="B1716" s="24" t="str">
        <x:v>ZEISS</x:v>
      </x:c>
      <x:c r="C1716" s="24" t="str">
        <x:v>Visão Simples Digital</x:v>
      </x:c>
      <x:c r="D1716" s="24" t="str">
        <x:v>Surfaçada</x:v>
      </x:c>
      <x:c r="E1716" s="24" t="str">
        <x:v>ClearMind Digital Individual 3</x:v>
      </x:c>
      <x:c r="F1716" s="24"/>
      <x:c r="G1716" s="24" t="str">
        <x:v>1.67</x:v>
      </x:c>
      <x:c r="H1716" s="24" t="str">
        <x:v>1.67</x:v>
      </x:c>
      <x:c r="I1716" s="24" t="str">
        <x:v>DuraVision Silver UV</x:v>
      </x:c>
      <x:c r="J1716" s="40" t="n">
        <x:v>3943</x:v>
      </x:c>
      <x:c r="K1716" s="24" t="str">
        <x:v>-8.00 a +8.00</x:v>
      </x:c>
      <x:c r="L1716" s="24" t="str">
        <x:v>-6.00</x:v>
      </x:c>
      <x:c r="M1716" s="24" t="str">
        <x:v>0.50 a 1.25</x:v>
      </x:c>
      <x:c r="N1716" s="24" t="str">
        <x:v>70</x:v>
      </x:c>
      <x:c r="O1716" s="24"/>
      <x:c r="P1716" s="24"/>
      <x:c r="Q1716" s="24" t="str">
        <x:v>DISPONÍVEL</x:v>
      </x:c>
      <x:c r="R1716" s="24" t="str">
        <x:v>Programa de Parcerias ZEISS — categoria Experts</x:v>
      </x:c>
      <x:c r="S1716" s="24" t="n">
        <x:v>26</x:v>
      </x:c>
      <x:c r="T1716" s="24" t="str">
        <x:v>tabela_zeiss.pdf</x:v>
      </x:c>
      <x:c r="U1716" s="24" t="str">
        <x:v>ZEISS|Visão Simples Digital|Surfaçada|ClearMind Digital Individual 3||1.67|1.67|DuraVision Silver UV|-8.00 a +8.00|-6.00|0.50 a 1.25|70|||26</x:v>
      </x:c>
    </x:row>
    <x:row r="1717">
      <x:c r="A1717" s="24" t="str">
        <x:v>ZS-03EA4834F8DC</x:v>
      </x:c>
      <x:c r="B1717" s="24" t="str">
        <x:v>ZEISS</x:v>
      </x:c>
      <x:c r="C1717" s="24" t="str">
        <x:v>Visão Simples Digital</x:v>
      </x:c>
      <x:c r="D1717" s="24" t="str">
        <x:v>Surfaçada</x:v>
      </x:c>
      <x:c r="E1717" s="24" t="str">
        <x:v>ClearMind Digital Individual 3</x:v>
      </x:c>
      <x:c r="F1717" s="24"/>
      <x:c r="G1717" s="24" t="str">
        <x:v>1.67</x:v>
      </x:c>
      <x:c r="H1717" s="24" t="str">
        <x:v>1.67</x:v>
      </x:c>
      <x:c r="I1717" s="24" t="str">
        <x:v>DuraVision Chrome UV</x:v>
      </x:c>
      <x:c r="J1717" s="40" t="n">
        <x:v>3453</x:v>
      </x:c>
      <x:c r="K1717" s="24" t="str">
        <x:v>-8.00 a +8.00</x:v>
      </x:c>
      <x:c r="L1717" s="24" t="str">
        <x:v>-6.00</x:v>
      </x:c>
      <x:c r="M1717" s="24" t="str">
        <x:v>0.50 a 1.25</x:v>
      </x:c>
      <x:c r="N1717" s="24" t="str">
        <x:v>70</x:v>
      </x:c>
      <x:c r="O1717" s="24"/>
      <x:c r="P1717" s="24"/>
      <x:c r="Q1717" s="24" t="str">
        <x:v>DISPONÍVEL</x:v>
      </x:c>
      <x:c r="R1717" s="24" t="str">
        <x:v>Programa de Parcerias ZEISS — categoria Experts</x:v>
      </x:c>
      <x:c r="S1717" s="24" t="n">
        <x:v>26</x:v>
      </x:c>
      <x:c r="T1717" s="24" t="str">
        <x:v>tabela_zeiss.pdf</x:v>
      </x:c>
      <x:c r="U1717" s="24" t="str">
        <x:v>ZEISS|Visão Simples Digital|Surfaçada|ClearMind Digital Individual 3||1.67|1.67|DuraVision Chrome UV|-8.00 a +8.00|-6.00|0.50 a 1.25|70|||26</x:v>
      </x:c>
    </x:row>
    <x:row r="1718">
      <x:c r="A1718" s="24" t="str">
        <x:v>ZS-F15F59475BD2</x:v>
      </x:c>
      <x:c r="B1718" s="24" t="str">
        <x:v>ZEISS</x:v>
      </x:c>
      <x:c r="C1718" s="24" t="str">
        <x:v>Visão Simples Digital</x:v>
      </x:c>
      <x:c r="D1718" s="24" t="str">
        <x:v>Surfaçada</x:v>
      </x:c>
      <x:c r="E1718" s="24" t="str">
        <x:v>ClearMind Digital Individual 3</x:v>
      </x:c>
      <x:c r="F1718" s="24"/>
      <x:c r="G1718" s="24" t="str">
        <x:v>1.74</x:v>
      </x:c>
      <x:c r="H1718" s="24" t="str">
        <x:v>1.74</x:v>
      </x:c>
      <x:c r="I1718" s="24" t="str">
        <x:v>DuraVision Gold UV</x:v>
      </x:c>
      <x:c r="J1718" s="40" t="n">
        <x:v>4653</x:v>
      </x:c>
      <x:c r="K1718" s="24" t="str">
        <x:v>-10.00 a +7.00</x:v>
      </x:c>
      <x:c r="L1718" s="24" t="str">
        <x:v>-4.00</x:v>
      </x:c>
      <x:c r="M1718" s="24" t="str">
        <x:v>0.50 a 1.25</x:v>
      </x:c>
      <x:c r="N1718" s="24" t="str">
        <x:v>70 a 75</x:v>
      </x:c>
      <x:c r="O1718" s="24"/>
      <x:c r="P1718" s="24"/>
      <x:c r="Q1718" s="24" t="str">
        <x:v>DISPONÍVEL</x:v>
      </x:c>
      <x:c r="R1718" s="24" t="str">
        <x:v>Programa de Parcerias ZEISS — categoria Experts</x:v>
      </x:c>
      <x:c r="S1718" s="24" t="n">
        <x:v>26</x:v>
      </x:c>
      <x:c r="T1718" s="24" t="str">
        <x:v>tabela_zeiss.pdf</x:v>
      </x:c>
      <x:c r="U1718" s="24" t="str">
        <x:v>ZEISS|Visão Simples Digital|Surfaçada|ClearMind Digital Individual 3||1.74|1.74|DuraVision Gold UV|-10.00 a +7.00|-4.00|0.50 a 1.25|70 a 75|||26</x:v>
      </x:c>
    </x:row>
    <x:row r="1719">
      <x:c r="A1719" s="24" t="str">
        <x:v>ZS-A8F74F053200</x:v>
      </x:c>
      <x:c r="B1719" s="24" t="str">
        <x:v>ZEISS</x:v>
      </x:c>
      <x:c r="C1719" s="24" t="str">
        <x:v>Visão Simples Digital</x:v>
      </x:c>
      <x:c r="D1719" s="24" t="str">
        <x:v>Surfaçada</x:v>
      </x:c>
      <x:c r="E1719" s="24" t="str">
        <x:v>ClearMind Digital Individual 3</x:v>
      </x:c>
      <x:c r="F1719" s="24"/>
      <x:c r="G1719" s="24" t="str">
        <x:v>1.74</x:v>
      </x:c>
      <x:c r="H1719" s="24" t="str">
        <x:v>1.74</x:v>
      </x:c>
      <x:c r="I1719" s="24" t="str">
        <x:v>DuraVision Platinum UV</x:v>
      </x:c>
      <x:c r="J1719" s="40" t="n">
        <x:v>4513</x:v>
      </x:c>
      <x:c r="K1719" s="24" t="str">
        <x:v>-10.00 a +7.00</x:v>
      </x:c>
      <x:c r="L1719" s="24" t="str">
        <x:v>-4.00</x:v>
      </x:c>
      <x:c r="M1719" s="24" t="str">
        <x:v>0.50 a 1.25</x:v>
      </x:c>
      <x:c r="N1719" s="24" t="str">
        <x:v>70 a 75</x:v>
      </x:c>
      <x:c r="O1719" s="24"/>
      <x:c r="P1719" s="24"/>
      <x:c r="Q1719" s="24" t="str">
        <x:v>DISPONÍVEL</x:v>
      </x:c>
      <x:c r="R1719" s="24" t="str">
        <x:v>Programa de Parcerias ZEISS — categoria Experts</x:v>
      </x:c>
      <x:c r="S1719" s="24" t="n">
        <x:v>26</x:v>
      </x:c>
      <x:c r="T1719" s="24" t="str">
        <x:v>tabela_zeiss.pdf</x:v>
      </x:c>
      <x:c r="U1719" s="24" t="str">
        <x:v>ZEISS|Visão Simples Digital|Surfaçada|ClearMind Digital Individual 3||1.74|1.74|DuraVision Platinum UV|-10.00 a +7.00|-4.00|0.50 a 1.25|70 a 75|||26</x:v>
      </x:c>
    </x:row>
    <x:row r="1720">
      <x:c r="A1720" s="24" t="str">
        <x:v>ZS-F37A989A3FE5</x:v>
      </x:c>
      <x:c r="B1720" s="24" t="str">
        <x:v>ZEISS</x:v>
      </x:c>
      <x:c r="C1720" s="24" t="str">
        <x:v>Visão Simples Digital</x:v>
      </x:c>
      <x:c r="D1720" s="24" t="str">
        <x:v>Surfaçada</x:v>
      </x:c>
      <x:c r="E1720" s="24" t="str">
        <x:v>ClearMind Digital Individual 3</x:v>
      </x:c>
      <x:c r="F1720" s="24"/>
      <x:c r="G1720" s="24" t="str">
        <x:v>1.74</x:v>
      </x:c>
      <x:c r="H1720" s="24" t="str">
        <x:v>1.74</x:v>
      </x:c>
      <x:c r="I1720" s="24" t="str">
        <x:v>DuraVision Silver UV</x:v>
      </x:c>
      <x:c r="J1720" s="40" t="n">
        <x:v>4253</x:v>
      </x:c>
      <x:c r="K1720" s="24" t="str">
        <x:v>-10.00 a +7.00</x:v>
      </x:c>
      <x:c r="L1720" s="24" t="str">
        <x:v>-4.00</x:v>
      </x:c>
      <x:c r="M1720" s="24" t="str">
        <x:v>0.50 a 1.25</x:v>
      </x:c>
      <x:c r="N1720" s="24" t="str">
        <x:v>70 a 75</x:v>
      </x:c>
      <x:c r="O1720" s="24"/>
      <x:c r="P1720" s="24"/>
      <x:c r="Q1720" s="24" t="str">
        <x:v>DISPONÍVEL</x:v>
      </x:c>
      <x:c r="R1720" s="24" t="str">
        <x:v>Programa de Parcerias ZEISS — categoria Experts</x:v>
      </x:c>
      <x:c r="S1720" s="24" t="n">
        <x:v>26</x:v>
      </x:c>
      <x:c r="T1720" s="24" t="str">
        <x:v>tabela_zeiss.pdf</x:v>
      </x:c>
      <x:c r="U1720" s="24" t="str">
        <x:v>ZEISS|Visão Simples Digital|Surfaçada|ClearMind Digital Individual 3||1.74|1.74|DuraVision Silver UV|-10.00 a +7.00|-4.00|0.50 a 1.25|70 a 75|||26</x:v>
      </x:c>
    </x:row>
    <x:row r="1721">
      <x:c r="A1721" s="24" t="str">
        <x:v>ZS-9F7B690108A3</x:v>
      </x:c>
      <x:c r="B1721" s="24" t="str">
        <x:v>ZEISS</x:v>
      </x:c>
      <x:c r="C1721" s="24" t="str">
        <x:v>Visão Simples Digital</x:v>
      </x:c>
      <x:c r="D1721" s="24" t="str">
        <x:v>Surfaçada</x:v>
      </x:c>
      <x:c r="E1721" s="24" t="str">
        <x:v>ClearMind Digital Individual 3</x:v>
      </x:c>
      <x:c r="F1721" s="24"/>
      <x:c r="G1721" s="24" t="str">
        <x:v>1.74</x:v>
      </x:c>
      <x:c r="H1721" s="24" t="str">
        <x:v>1.74</x:v>
      </x:c>
      <x:c r="I1721" s="24" t="str">
        <x:v>DuraVision Chrome UV</x:v>
      </x:c>
      <x:c r="J1721" s="40" t="n">
        <x:v>3763</x:v>
      </x:c>
      <x:c r="K1721" s="24" t="str">
        <x:v>-10.00 a +7.00</x:v>
      </x:c>
      <x:c r="L1721" s="24" t="str">
        <x:v>-4.00</x:v>
      </x:c>
      <x:c r="M1721" s="24" t="str">
        <x:v>0.50 a 1.25</x:v>
      </x:c>
      <x:c r="N1721" s="24" t="str">
        <x:v>70 a 75</x:v>
      </x:c>
      <x:c r="O1721" s="24"/>
      <x:c r="P1721" s="24"/>
      <x:c r="Q1721" s="24" t="str">
        <x:v>DISPONÍVEL</x:v>
      </x:c>
      <x:c r="R1721" s="24" t="str">
        <x:v>Programa de Parcerias ZEISS — categoria Experts</x:v>
      </x:c>
      <x:c r="S1721" s="24" t="n">
        <x:v>26</x:v>
      </x:c>
      <x:c r="T1721" s="24" t="str">
        <x:v>tabela_zeiss.pdf</x:v>
      </x:c>
      <x:c r="U1721" s="24" t="str">
        <x:v>ZEISS|Visão Simples Digital|Surfaçada|ClearMind Digital Individual 3||1.74|1.74|DuraVision Chrome UV|-10.00 a +7.00|-4.00|0.50 a 1.25|70 a 75|||26</x:v>
      </x:c>
    </x:row>
    <x:row r="1722">
      <x:c r="A1722" s="24" t="str">
        <x:v>ZS-47E45F3075B8</x:v>
      </x:c>
      <x:c r="B1722" s="24" t="str">
        <x:v>ZEISS</x:v>
      </x:c>
      <x:c r="C1722" s="24" t="str">
        <x:v>Visão Simples Digital</x:v>
      </x:c>
      <x:c r="D1722" s="24" t="str">
        <x:v>Surfaçada</x:v>
      </x:c>
      <x:c r="E1722" s="24" t="str">
        <x:v>ClearMind Digital Individual 3</x:v>
      </x:c>
      <x:c r="F1722" s="24" t="str">
        <x:v>PhotoFusion X</x:v>
      </x:c>
      <x:c r="G1722" s="24" t="str">
        <x:v>1.5</x:v>
      </x:c>
      <x:c r="H1722" s="24" t="str">
        <x:v>1.50</x:v>
      </x:c>
      <x:c r="I1722" s="24" t="str">
        <x:v>DuraVision Gold UV</x:v>
      </x:c>
      <x:c r="J1722" s="40" t="n">
        <x:v>3883</x:v>
      </x:c>
      <x:c r="K1722" s="24" t="str">
        <x:v>-6.00 a +5.50</x:v>
      </x:c>
      <x:c r="L1722" s="24" t="str">
        <x:v>-4.00</x:v>
      </x:c>
      <x:c r="M1722" s="24" t="str">
        <x:v>0.50 a 1.25</x:v>
      </x:c>
      <x:c r="N1722" s="24" t="str">
        <x:v>75</x:v>
      </x:c>
      <x:c r="O1722" s="24"/>
      <x:c r="P1722" s="24"/>
      <x:c r="Q1722" s="24" t="str">
        <x:v>DISPONÍVEL</x:v>
      </x:c>
      <x:c r="R1722" s="24" t="str">
        <x:v>Programa de Parcerias ZEISS — categoria Experts; Programa de Parcerias ZEISS</x:v>
      </x:c>
      <x:c r="S1722" s="24" t="n">
        <x:v>26</x:v>
      </x:c>
      <x:c r="T1722" s="24" t="str">
        <x:v>tabela_zeiss.pdf</x:v>
      </x:c>
      <x:c r="U1722" s="24" t="str">
        <x:v>ZEISS|Visão Simples Digital|Surfaçada|ClearMind Digital Individual 3|PhotoFusion X|1.5|1.50|DuraVision Gold UV|-6.00 a +5.50|-4.00|0.50 a 1.25|75|||26</x:v>
      </x:c>
    </x:row>
    <x:row r="1723">
      <x:c r="A1723" s="24" t="str">
        <x:v>ZS-0D0B458B4247</x:v>
      </x:c>
      <x:c r="B1723" s="24" t="str">
        <x:v>ZEISS</x:v>
      </x:c>
      <x:c r="C1723" s="24" t="str">
        <x:v>Visão Simples Digital</x:v>
      </x:c>
      <x:c r="D1723" s="24" t="str">
        <x:v>Surfaçada</x:v>
      </x:c>
      <x:c r="E1723" s="24" t="str">
        <x:v>ClearMind Digital Individual 3</x:v>
      </x:c>
      <x:c r="F1723" s="24" t="str">
        <x:v>PhotoFusion X</x:v>
      </x:c>
      <x:c r="G1723" s="24" t="str">
        <x:v>1.5</x:v>
      </x:c>
      <x:c r="H1723" s="24" t="str">
        <x:v>1.50</x:v>
      </x:c>
      <x:c r="I1723" s="24" t="str">
        <x:v>DURAVISION® ANTIVÍRUS PLATINUM UV</x:v>
      </x:c>
      <x:c r="J1723" s="40" t="n">
        <x:v>3743</x:v>
      </x:c>
      <x:c r="K1723" s="24" t="str">
        <x:v>-6.00 a +5.50</x:v>
      </x:c>
      <x:c r="L1723" s="24" t="str">
        <x:v>-4.00</x:v>
      </x:c>
      <x:c r="M1723" s="24" t="str">
        <x:v>0.50 a 1.25</x:v>
      </x:c>
      <x:c r="N1723" s="24" t="str">
        <x:v>75</x:v>
      </x:c>
      <x:c r="O1723" s="24"/>
      <x:c r="P1723" s="24"/>
      <x:c r="Q1723" s="24" t="str">
        <x:v>DISPONÍVEL</x:v>
      </x:c>
      <x:c r="R1723" s="24" t="str">
        <x:v>Programa de Parcerias ZEISS — categoria Experts; Programa de Parcerias ZEISS</x:v>
      </x:c>
      <x:c r="S1723" s="24" t="n">
        <x:v>26</x:v>
      </x:c>
      <x:c r="T1723" s="24" t="str">
        <x:v>tabela_zeiss.pdf</x:v>
      </x:c>
      <x:c r="U1723" s="24" t="str">
        <x:v>ZEISS|Visão Simples Digital|Surfaçada|ClearMind Digital Individual 3|PhotoFusion X|1.5|1.50|DURAVISION® ANTIVÍRUS PLATINUM UV|-6.00 a +5.50|-4.00|0.50 a 1.25|75|||26</x:v>
      </x:c>
    </x:row>
    <x:row r="1724">
      <x:c r="A1724" s="24" t="str">
        <x:v>ZS-1B96385F75DA</x:v>
      </x:c>
      <x:c r="B1724" s="24" t="str">
        <x:v>ZEISS</x:v>
      </x:c>
      <x:c r="C1724" s="24" t="str">
        <x:v>Visão Simples Digital</x:v>
      </x:c>
      <x:c r="D1724" s="24" t="str">
        <x:v>Surfaçada</x:v>
      </x:c>
      <x:c r="E1724" s="24" t="str">
        <x:v>ClearMind Digital Individual 3</x:v>
      </x:c>
      <x:c r="F1724" s="24" t="str">
        <x:v>PhotoFusion X</x:v>
      </x:c>
      <x:c r="G1724" s="24" t="str">
        <x:v>1.5</x:v>
      </x:c>
      <x:c r="H1724" s="24" t="str">
        <x:v>1.50</x:v>
      </x:c>
      <x:c r="I1724" s="24" t="str">
        <x:v>DuraVision Platinum UV</x:v>
      </x:c>
      <x:c r="J1724" s="40" t="n">
        <x:v>3743</x:v>
      </x:c>
      <x:c r="K1724" s="24" t="str">
        <x:v>-6.00 a +5.50</x:v>
      </x:c>
      <x:c r="L1724" s="24" t="str">
        <x:v>-4.00</x:v>
      </x:c>
      <x:c r="M1724" s="24" t="str">
        <x:v>0.50 a 1.25</x:v>
      </x:c>
      <x:c r="N1724" s="24" t="str">
        <x:v>75</x:v>
      </x:c>
      <x:c r="O1724" s="24"/>
      <x:c r="P1724" s="24"/>
      <x:c r="Q1724" s="24" t="str">
        <x:v>DISPONÍVEL</x:v>
      </x:c>
      <x:c r="R1724" s="24" t="str">
        <x:v>Programa de Parcerias ZEISS — categoria Experts; Programa de Parcerias ZEISS</x:v>
      </x:c>
      <x:c r="S1724" s="24" t="n">
        <x:v>26</x:v>
      </x:c>
      <x:c r="T1724" s="24" t="str">
        <x:v>tabela_zeiss.pdf</x:v>
      </x:c>
      <x:c r="U1724" s="24" t="str">
        <x:v>ZEISS|Visão Simples Digital|Surfaçada|ClearMind Digital Individual 3|PhotoFusion X|1.5|1.50|DuraVision Platinum UV|-6.00 a +5.50|-4.00|0.50 a 1.25|75|||26</x:v>
      </x:c>
    </x:row>
    <x:row r="1725">
      <x:c r="A1725" s="24" t="str">
        <x:v>ZS-7B5B4A01B5A4</x:v>
      </x:c>
      <x:c r="B1725" s="24" t="str">
        <x:v>ZEISS</x:v>
      </x:c>
      <x:c r="C1725" s="24" t="str">
        <x:v>Visão Simples Digital</x:v>
      </x:c>
      <x:c r="D1725" s="24" t="str">
        <x:v>Surfaçada</x:v>
      </x:c>
      <x:c r="E1725" s="24" t="str">
        <x:v>ClearMind Digital Individual 3</x:v>
      </x:c>
      <x:c r="F1725" s="24" t="str">
        <x:v>PhotoFusion X</x:v>
      </x:c>
      <x:c r="G1725" s="24" t="str">
        <x:v>1.5</x:v>
      </x:c>
      <x:c r="H1725" s="24" t="str">
        <x:v>1.50</x:v>
      </x:c>
      <x:c r="I1725" s="24" t="str">
        <x:v>DuraVision Silver UV</x:v>
      </x:c>
      <x:c r="J1725" s="40" t="n">
        <x:v>3483</x:v>
      </x:c>
      <x:c r="K1725" s="24" t="str">
        <x:v>-6.00 a +5.50</x:v>
      </x:c>
      <x:c r="L1725" s="24" t="str">
        <x:v>-4.00</x:v>
      </x:c>
      <x:c r="M1725" s="24" t="str">
        <x:v>0.50 a 1.25</x:v>
      </x:c>
      <x:c r="N1725" s="24" t="str">
        <x:v>75</x:v>
      </x:c>
      <x:c r="O1725" s="24"/>
      <x:c r="P1725" s="24"/>
      <x:c r="Q1725" s="24" t="str">
        <x:v>DISPONÍVEL</x:v>
      </x:c>
      <x:c r="R1725" s="24" t="str">
        <x:v>Programa de Parcerias ZEISS — categoria Experts; Programa de Parcerias ZEISS</x:v>
      </x:c>
      <x:c r="S1725" s="24" t="n">
        <x:v>26</x:v>
      </x:c>
      <x:c r="T1725" s="24" t="str">
        <x:v>tabela_zeiss.pdf</x:v>
      </x:c>
      <x:c r="U1725" s="24" t="str">
        <x:v>ZEISS|Visão Simples Digital|Surfaçada|ClearMind Digital Individual 3|PhotoFusion X|1.5|1.50|DuraVision Silver UV|-6.00 a +5.50|-4.00|0.50 a 1.25|75|||26</x:v>
      </x:c>
    </x:row>
    <x:row r="1726">
      <x:c r="A1726" s="24" t="str">
        <x:v>ZS-641826820F31</x:v>
      </x:c>
      <x:c r="B1726" s="24" t="str">
        <x:v>ZEISS</x:v>
      </x:c>
      <x:c r="C1726" s="24" t="str">
        <x:v>Visão Simples Digital</x:v>
      </x:c>
      <x:c r="D1726" s="24" t="str">
        <x:v>Surfaçada</x:v>
      </x:c>
      <x:c r="E1726" s="24" t="str">
        <x:v>ClearMind Digital Individual 3</x:v>
      </x:c>
      <x:c r="F1726" s="24" t="str">
        <x:v>PhotoFusion X</x:v>
      </x:c>
      <x:c r="G1726" s="24" t="str">
        <x:v>1.5</x:v>
      </x:c>
      <x:c r="H1726" s="24" t="str">
        <x:v>1.50</x:v>
      </x:c>
      <x:c r="I1726" s="24" t="str">
        <x:v>DuraVision Chrome UV</x:v>
      </x:c>
      <x:c r="J1726" s="40" t="n">
        <x:v>2993</x:v>
      </x:c>
      <x:c r="K1726" s="24" t="str">
        <x:v>-6.00 a +5.50</x:v>
      </x:c>
      <x:c r="L1726" s="24" t="str">
        <x:v>-4.00</x:v>
      </x:c>
      <x:c r="M1726" s="24" t="str">
        <x:v>0.50 a 1.25</x:v>
      </x:c>
      <x:c r="N1726" s="24" t="str">
        <x:v>75</x:v>
      </x:c>
      <x:c r="O1726" s="24"/>
      <x:c r="P1726" s="24"/>
      <x:c r="Q1726" s="24" t="str">
        <x:v>DISPONÍVEL</x:v>
      </x:c>
      <x:c r="R1726" s="24" t="str">
        <x:v>Programa de Parcerias ZEISS — categoria Experts; Programa de Parcerias ZEISS</x:v>
      </x:c>
      <x:c r="S1726" s="24" t="n">
        <x:v>26</x:v>
      </x:c>
      <x:c r="T1726" s="24" t="str">
        <x:v>tabela_zeiss.pdf</x:v>
      </x:c>
      <x:c r="U1726" s="24" t="str">
        <x:v>ZEISS|Visão Simples Digital|Surfaçada|ClearMind Digital Individual 3|PhotoFusion X|1.5|1.50|DuraVision Chrome UV|-6.00 a +5.50|-4.00|0.50 a 1.25|75|||26</x:v>
      </x:c>
    </x:row>
    <x:row r="1727">
      <x:c r="A1727" s="24" t="str">
        <x:v>ZS-683F13527064</x:v>
      </x:c>
      <x:c r="B1727" s="24" t="str">
        <x:v>ZEISS</x:v>
      </x:c>
      <x:c r="C1727" s="24" t="str">
        <x:v>Visão Simples Digital</x:v>
      </x:c>
      <x:c r="D1727" s="24" t="str">
        <x:v>Surfaçada</x:v>
      </x:c>
      <x:c r="E1727" s="24" t="str">
        <x:v>ClearMind Digital Individual 3</x:v>
      </x:c>
      <x:c r="F1727" s="24" t="str">
        <x:v>PhotoFusion X</x:v>
      </x:c>
      <x:c r="G1727" s="24" t="str">
        <x:v>Poli</x:v>
      </x:c>
      <x:c r="H1727" s="24"/>
      <x:c r="I1727" s="24" t="str">
        <x:v>DuraVision Gold UV</x:v>
      </x:c>
      <x:c r="J1727" s="40" t="n">
        <x:v>4243</x:v>
      </x:c>
      <x:c r="K1727" s="24" t="str">
        <x:v>-10.00 a +6.00</x:v>
      </x:c>
      <x:c r="L1727" s="24" t="str">
        <x:v>-6.00</x:v>
      </x:c>
      <x:c r="M1727" s="24" t="str">
        <x:v>0.50 a 1.25</x:v>
      </x:c>
      <x:c r="N1727" s="24" t="str">
        <x:v>70</x:v>
      </x:c>
      <x:c r="O1727" s="24"/>
      <x:c r="P1727" s="24"/>
      <x:c r="Q1727" s="24" t="str">
        <x:v>DISPONÍVEL</x:v>
      </x:c>
      <x:c r="R1727" s="24" t="str">
        <x:v>Programa de Parcerias ZEISS — categoria Experts; Programa de Parcerias ZEISS</x:v>
      </x:c>
      <x:c r="S1727" s="24" t="n">
        <x:v>26</x:v>
      </x:c>
      <x:c r="T1727" s="24" t="str">
        <x:v>tabela_zeiss.pdf</x:v>
      </x:c>
      <x:c r="U1727" s="24" t="str">
        <x:v>ZEISS|Visão Simples Digital|Surfaçada|ClearMind Digital Individual 3|PhotoFusion X|Poli||DuraVision Gold UV|-10.00 a +6.00|-6.00|0.50 a 1.25|70|||26</x:v>
      </x:c>
    </x:row>
    <x:row r="1728">
      <x:c r="A1728" s="24" t="str">
        <x:v>ZS-F6C4F8A47BA3</x:v>
      </x:c>
      <x:c r="B1728" s="24" t="str">
        <x:v>ZEISS</x:v>
      </x:c>
      <x:c r="C1728" s="24" t="str">
        <x:v>Visão Simples Digital</x:v>
      </x:c>
      <x:c r="D1728" s="24" t="str">
        <x:v>Surfaçada</x:v>
      </x:c>
      <x:c r="E1728" s="24" t="str">
        <x:v>ClearMind Digital Individual 3</x:v>
      </x:c>
      <x:c r="F1728" s="24" t="str">
        <x:v>PhotoFusion X</x:v>
      </x:c>
      <x:c r="G1728" s="24" t="str">
        <x:v>Poli</x:v>
      </x:c>
      <x:c r="H1728" s="24"/>
      <x:c r="I1728" s="24" t="str">
        <x:v>DuraVision Platinum UV</x:v>
      </x:c>
      <x:c r="J1728" s="40" t="n">
        <x:v>4103</x:v>
      </x:c>
      <x:c r="K1728" s="24" t="str">
        <x:v>-10.00 a +6.00</x:v>
      </x:c>
      <x:c r="L1728" s="24" t="str">
        <x:v>-6.00</x:v>
      </x:c>
      <x:c r="M1728" s="24" t="str">
        <x:v>0.50 a 1.25</x:v>
      </x:c>
      <x:c r="N1728" s="24" t="str">
        <x:v>70</x:v>
      </x:c>
      <x:c r="O1728" s="24"/>
      <x:c r="P1728" s="24"/>
      <x:c r="Q1728" s="24" t="str">
        <x:v>DISPONÍVEL</x:v>
      </x:c>
      <x:c r="R1728" s="24" t="str">
        <x:v>Programa de Parcerias ZEISS — categoria Experts; Programa de Parcerias ZEISS</x:v>
      </x:c>
      <x:c r="S1728" s="24" t="n">
        <x:v>26</x:v>
      </x:c>
      <x:c r="T1728" s="24" t="str">
        <x:v>tabela_zeiss.pdf</x:v>
      </x:c>
      <x:c r="U1728" s="24" t="str">
        <x:v>ZEISS|Visão Simples Digital|Surfaçada|ClearMind Digital Individual 3|PhotoFusion X|Poli||DuraVision Platinum UV|-10.00 a +6.00|-6.00|0.50 a 1.25|70|||26</x:v>
      </x:c>
    </x:row>
    <x:row r="1729">
      <x:c r="A1729" s="24" t="str">
        <x:v>ZS-96AC2B1BB9A1</x:v>
      </x:c>
      <x:c r="B1729" s="24" t="str">
        <x:v>ZEISS</x:v>
      </x:c>
      <x:c r="C1729" s="24" t="str">
        <x:v>Visão Simples Digital</x:v>
      </x:c>
      <x:c r="D1729" s="24" t="str">
        <x:v>Surfaçada</x:v>
      </x:c>
      <x:c r="E1729" s="24" t="str">
        <x:v>ClearMind Digital Individual 3</x:v>
      </x:c>
      <x:c r="F1729" s="24" t="str">
        <x:v>PhotoFusion X</x:v>
      </x:c>
      <x:c r="G1729" s="24" t="str">
        <x:v>Poli</x:v>
      </x:c>
      <x:c r="H1729" s="24"/>
      <x:c r="I1729" s="24" t="str">
        <x:v>DuraVision Silver UV</x:v>
      </x:c>
      <x:c r="J1729" s="40" t="n">
        <x:v>3843</x:v>
      </x:c>
      <x:c r="K1729" s="24" t="str">
        <x:v>-10.00 a +6.00</x:v>
      </x:c>
      <x:c r="L1729" s="24" t="str">
        <x:v>-6.00</x:v>
      </x:c>
      <x:c r="M1729" s="24" t="str">
        <x:v>0.50 a 1.25</x:v>
      </x:c>
      <x:c r="N1729" s="24" t="str">
        <x:v>70</x:v>
      </x:c>
      <x:c r="O1729" s="24"/>
      <x:c r="P1729" s="24"/>
      <x:c r="Q1729" s="24" t="str">
        <x:v>DISPONÍVEL</x:v>
      </x:c>
      <x:c r="R1729" s="24" t="str">
        <x:v>Programa de Parcerias ZEISS — categoria Experts; Programa de Parcerias ZEISS</x:v>
      </x:c>
      <x:c r="S1729" s="24" t="n">
        <x:v>26</x:v>
      </x:c>
      <x:c r="T1729" s="24" t="str">
        <x:v>tabela_zeiss.pdf</x:v>
      </x:c>
      <x:c r="U1729" s="24" t="str">
        <x:v>ZEISS|Visão Simples Digital|Surfaçada|ClearMind Digital Individual 3|PhotoFusion X|Poli||DuraVision Silver UV|-10.00 a +6.00|-6.00|0.50 a 1.25|70|||26</x:v>
      </x:c>
    </x:row>
    <x:row r="1730">
      <x:c r="A1730" s="24" t="str">
        <x:v>ZS-D94276804208</x:v>
      </x:c>
      <x:c r="B1730" s="24" t="str">
        <x:v>ZEISS</x:v>
      </x:c>
      <x:c r="C1730" s="24" t="str">
        <x:v>Visão Simples Digital</x:v>
      </x:c>
      <x:c r="D1730" s="24" t="str">
        <x:v>Surfaçada</x:v>
      </x:c>
      <x:c r="E1730" s="24" t="str">
        <x:v>ClearMind Digital Individual 3</x:v>
      </x:c>
      <x:c r="F1730" s="24" t="str">
        <x:v>PhotoFusion X</x:v>
      </x:c>
      <x:c r="G1730" s="24" t="str">
        <x:v>Poli</x:v>
      </x:c>
      <x:c r="H1730" s="24"/>
      <x:c r="I1730" s="24" t="str">
        <x:v>DuraVision Chrome UV</x:v>
      </x:c>
      <x:c r="J1730" s="40" t="n">
        <x:v>3353</x:v>
      </x:c>
      <x:c r="K1730" s="24" t="str">
        <x:v>-10.00 a +6.00</x:v>
      </x:c>
      <x:c r="L1730" s="24" t="str">
        <x:v>-6.00</x:v>
      </x:c>
      <x:c r="M1730" s="24" t="str">
        <x:v>0.50 a 1.25</x:v>
      </x:c>
      <x:c r="N1730" s="24" t="str">
        <x:v>70</x:v>
      </x:c>
      <x:c r="O1730" s="24"/>
      <x:c r="P1730" s="24"/>
      <x:c r="Q1730" s="24" t="str">
        <x:v>DISPONÍVEL</x:v>
      </x:c>
      <x:c r="R1730" s="24" t="str">
        <x:v>Programa de Parcerias ZEISS — categoria Experts; Programa de Parcerias ZEISS</x:v>
      </x:c>
      <x:c r="S1730" s="24" t="n">
        <x:v>26</x:v>
      </x:c>
      <x:c r="T1730" s="24" t="str">
        <x:v>tabela_zeiss.pdf</x:v>
      </x:c>
      <x:c r="U1730" s="24" t="str">
        <x:v>ZEISS|Visão Simples Digital|Surfaçada|ClearMind Digital Individual 3|PhotoFusion X|Poli||DuraVision Chrome UV|-10.00 a +6.00|-6.00|0.50 a 1.25|70|||26</x:v>
      </x:c>
    </x:row>
    <x:row r="1731">
      <x:c r="A1731" s="24" t="str">
        <x:v>ZS-8A9D71944EB7</x:v>
      </x:c>
      <x:c r="B1731" s="24" t="str">
        <x:v>ZEISS</x:v>
      </x:c>
      <x:c r="C1731" s="24" t="str">
        <x:v>Visão Simples Digital</x:v>
      </x:c>
      <x:c r="D1731" s="24" t="str">
        <x:v>Surfaçada</x:v>
      </x:c>
      <x:c r="E1731" s="24" t="str">
        <x:v>ClearMind Digital Individual 3</x:v>
      </x:c>
      <x:c r="F1731" s="24" t="str">
        <x:v>PhotoFusion X</x:v>
      </x:c>
      <x:c r="G1731" s="24" t="str">
        <x:v>1.6</x:v>
      </x:c>
      <x:c r="H1731" s="24" t="str">
        <x:v>1.60</x:v>
      </x:c>
      <x:c r="I1731" s="24" t="str">
        <x:v>DuraVision Gold UV</x:v>
      </x:c>
      <x:c r="J1731" s="40" t="n">
        <x:v>4463</x:v>
      </x:c>
      <x:c r="K1731" s="24" t="str">
        <x:v>-7.25 a +6.00</x:v>
      </x:c>
      <x:c r="L1731" s="24" t="str">
        <x:v>-6.00</x:v>
      </x:c>
      <x:c r="M1731" s="24" t="str">
        <x:v>0.50 a 1.25</x:v>
      </x:c>
      <x:c r="N1731" s="24" t="str">
        <x:v>75</x:v>
      </x:c>
      <x:c r="O1731" s="24"/>
      <x:c r="P1731" s="24"/>
      <x:c r="Q1731" s="24" t="str">
        <x:v>DISPONÍVEL</x:v>
      </x:c>
      <x:c r="R1731" s="24" t="str">
        <x:v>Programa de Parcerias ZEISS — categoria Experts; Programa de Parcerias ZEISS</x:v>
      </x:c>
      <x:c r="S1731" s="24" t="n">
        <x:v>26</x:v>
      </x:c>
      <x:c r="T1731" s="24" t="str">
        <x:v>tabela_zeiss.pdf</x:v>
      </x:c>
      <x:c r="U1731" s="24" t="str">
        <x:v>ZEISS|Visão Simples Digital|Surfaçada|ClearMind Digital Individual 3|PhotoFusion X|1.6|1.60|DuraVision Gold UV|-7.25 a +6.00|-6.00|0.50 a 1.25|75|||26</x:v>
      </x:c>
    </x:row>
    <x:row r="1732">
      <x:c r="A1732" s="24" t="str">
        <x:v>ZS-83C5EBD9FD07</x:v>
      </x:c>
      <x:c r="B1732" s="24" t="str">
        <x:v>ZEISS</x:v>
      </x:c>
      <x:c r="C1732" s="24" t="str">
        <x:v>Visão Simples Digital</x:v>
      </x:c>
      <x:c r="D1732" s="24" t="str">
        <x:v>Surfaçada</x:v>
      </x:c>
      <x:c r="E1732" s="24" t="str">
        <x:v>ClearMind Digital Individual 3</x:v>
      </x:c>
      <x:c r="F1732" s="24" t="str">
        <x:v>PhotoFusion X</x:v>
      </x:c>
      <x:c r="G1732" s="24" t="str">
        <x:v>1.6</x:v>
      </x:c>
      <x:c r="H1732" s="24" t="str">
        <x:v>1.60</x:v>
      </x:c>
      <x:c r="I1732" s="24" t="str">
        <x:v>DURAVISION® ANTIVÍRUS PLATINUM UV</x:v>
      </x:c>
      <x:c r="J1732" s="40" t="n">
        <x:v>4323</x:v>
      </x:c>
      <x:c r="K1732" s="24" t="str">
        <x:v>-7.25 a +6.00</x:v>
      </x:c>
      <x:c r="L1732" s="24" t="str">
        <x:v>-6.00</x:v>
      </x:c>
      <x:c r="M1732" s="24" t="str">
        <x:v>0.50 a 1.25</x:v>
      </x:c>
      <x:c r="N1732" s="24" t="str">
        <x:v>75</x:v>
      </x:c>
      <x:c r="O1732" s="24"/>
      <x:c r="P1732" s="24"/>
      <x:c r="Q1732" s="24" t="str">
        <x:v>DISPONÍVEL</x:v>
      </x:c>
      <x:c r="R1732" s="24" t="str">
        <x:v>Programa de Parcerias ZEISS — categoria Experts; Programa de Parcerias ZEISS</x:v>
      </x:c>
      <x:c r="S1732" s="24" t="n">
        <x:v>26</x:v>
      </x:c>
      <x:c r="T1732" s="24" t="str">
        <x:v>tabela_zeiss.pdf</x:v>
      </x:c>
      <x:c r="U1732" s="24" t="str">
        <x:v>ZEISS|Visão Simples Digital|Surfaçada|ClearMind Digital Individual 3|PhotoFusion X|1.6|1.60|DURAVISION® ANTIVÍRUS PLATINUM UV|-7.25 a +6.00|-6.00|0.50 a 1.25|75|||26</x:v>
      </x:c>
    </x:row>
    <x:row r="1733">
      <x:c r="A1733" s="24" t="str">
        <x:v>ZS-E5626EFA89C7</x:v>
      </x:c>
      <x:c r="B1733" s="24" t="str">
        <x:v>ZEISS</x:v>
      </x:c>
      <x:c r="C1733" s="24" t="str">
        <x:v>Visão Simples Digital</x:v>
      </x:c>
      <x:c r="D1733" s="24" t="str">
        <x:v>Surfaçada</x:v>
      </x:c>
      <x:c r="E1733" s="24" t="str">
        <x:v>ClearMind Digital Individual 3</x:v>
      </x:c>
      <x:c r="F1733" s="24" t="str">
        <x:v>PhotoFusion X</x:v>
      </x:c>
      <x:c r="G1733" s="24" t="str">
        <x:v>1.6</x:v>
      </x:c>
      <x:c r="H1733" s="24" t="str">
        <x:v>1.60</x:v>
      </x:c>
      <x:c r="I1733" s="24" t="str">
        <x:v>DuraVision Platinum UV</x:v>
      </x:c>
      <x:c r="J1733" s="40" t="n">
        <x:v>4323</x:v>
      </x:c>
      <x:c r="K1733" s="24" t="str">
        <x:v>-7.25 a +6.00</x:v>
      </x:c>
      <x:c r="L1733" s="24" t="str">
        <x:v>-6.00</x:v>
      </x:c>
      <x:c r="M1733" s="24" t="str">
        <x:v>0.50 a 1.25</x:v>
      </x:c>
      <x:c r="N1733" s="24" t="str">
        <x:v>75</x:v>
      </x:c>
      <x:c r="O1733" s="24"/>
      <x:c r="P1733" s="24"/>
      <x:c r="Q1733" s="24" t="str">
        <x:v>DISPONÍVEL</x:v>
      </x:c>
      <x:c r="R1733" s="24" t="str">
        <x:v>Programa de Parcerias ZEISS — categoria Experts; Programa de Parcerias ZEISS</x:v>
      </x:c>
      <x:c r="S1733" s="24" t="n">
        <x:v>26</x:v>
      </x:c>
      <x:c r="T1733" s="24" t="str">
        <x:v>tabela_zeiss.pdf</x:v>
      </x:c>
      <x:c r="U1733" s="24" t="str">
        <x:v>ZEISS|Visão Simples Digital|Surfaçada|ClearMind Digital Individual 3|PhotoFusion X|1.6|1.60|DuraVision Platinum UV|-7.25 a +6.00|-6.00|0.50 a 1.25|75|||26</x:v>
      </x:c>
    </x:row>
    <x:row r="1734">
      <x:c r="A1734" s="24" t="str">
        <x:v>ZS-8A25CBD10B45</x:v>
      </x:c>
      <x:c r="B1734" s="24" t="str">
        <x:v>ZEISS</x:v>
      </x:c>
      <x:c r="C1734" s="24" t="str">
        <x:v>Visão Simples Digital</x:v>
      </x:c>
      <x:c r="D1734" s="24" t="str">
        <x:v>Surfaçada</x:v>
      </x:c>
      <x:c r="E1734" s="24" t="str">
        <x:v>ClearMind Digital Individual 3</x:v>
      </x:c>
      <x:c r="F1734" s="24" t="str">
        <x:v>PhotoFusion X</x:v>
      </x:c>
      <x:c r="G1734" s="24" t="str">
        <x:v>1.6</x:v>
      </x:c>
      <x:c r="H1734" s="24" t="str">
        <x:v>1.60</x:v>
      </x:c>
      <x:c r="I1734" s="24" t="str">
        <x:v>DuraVision Silver UV</x:v>
      </x:c>
      <x:c r="J1734" s="40" t="n">
        <x:v>4063</x:v>
      </x:c>
      <x:c r="K1734" s="24" t="str">
        <x:v>-7.25 a +6.00</x:v>
      </x:c>
      <x:c r="L1734" s="24" t="str">
        <x:v>-6.00</x:v>
      </x:c>
      <x:c r="M1734" s="24" t="str">
        <x:v>0.50 a 1.25</x:v>
      </x:c>
      <x:c r="N1734" s="24" t="str">
        <x:v>75</x:v>
      </x:c>
      <x:c r="O1734" s="24"/>
      <x:c r="P1734" s="24"/>
      <x:c r="Q1734" s="24" t="str">
        <x:v>DISPONÍVEL</x:v>
      </x:c>
      <x:c r="R1734" s="24" t="str">
        <x:v>Programa de Parcerias ZEISS — categoria Experts; Programa de Parcerias ZEISS</x:v>
      </x:c>
      <x:c r="S1734" s="24" t="n">
        <x:v>26</x:v>
      </x:c>
      <x:c r="T1734" s="24" t="str">
        <x:v>tabela_zeiss.pdf</x:v>
      </x:c>
      <x:c r="U1734" s="24" t="str">
        <x:v>ZEISS|Visão Simples Digital|Surfaçada|ClearMind Digital Individual 3|PhotoFusion X|1.6|1.60|DuraVision Silver UV|-7.25 a +6.00|-6.00|0.50 a 1.25|75|||26</x:v>
      </x:c>
    </x:row>
    <x:row r="1735">
      <x:c r="A1735" s="24" t="str">
        <x:v>ZS-0E1460EE8CB7</x:v>
      </x:c>
      <x:c r="B1735" s="24" t="str">
        <x:v>ZEISS</x:v>
      </x:c>
      <x:c r="C1735" s="24" t="str">
        <x:v>Visão Simples Digital</x:v>
      </x:c>
      <x:c r="D1735" s="24" t="str">
        <x:v>Surfaçada</x:v>
      </x:c>
      <x:c r="E1735" s="24" t="str">
        <x:v>ClearMind Digital Individual 3</x:v>
      </x:c>
      <x:c r="F1735" s="24" t="str">
        <x:v>PhotoFusion X</x:v>
      </x:c>
      <x:c r="G1735" s="24" t="str">
        <x:v>1.6</x:v>
      </x:c>
      <x:c r="H1735" s="24" t="str">
        <x:v>1.60</x:v>
      </x:c>
      <x:c r="I1735" s="24" t="str">
        <x:v>DuraVision Chrome UV</x:v>
      </x:c>
      <x:c r="J1735" s="40" t="n">
        <x:v>3573</x:v>
      </x:c>
      <x:c r="K1735" s="24" t="str">
        <x:v>-7.25 a +6.00</x:v>
      </x:c>
      <x:c r="L1735" s="24" t="str">
        <x:v>-6.00</x:v>
      </x:c>
      <x:c r="M1735" s="24" t="str">
        <x:v>0.50 a 1.25</x:v>
      </x:c>
      <x:c r="N1735" s="24" t="str">
        <x:v>75</x:v>
      </x:c>
      <x:c r="O1735" s="24"/>
      <x:c r="P1735" s="24"/>
      <x:c r="Q1735" s="24" t="str">
        <x:v>DISPONÍVEL</x:v>
      </x:c>
      <x:c r="R1735" s="24" t="str">
        <x:v>Programa de Parcerias ZEISS — categoria Experts; Programa de Parcerias ZEISS</x:v>
      </x:c>
      <x:c r="S1735" s="24" t="n">
        <x:v>26</x:v>
      </x:c>
      <x:c r="T1735" s="24" t="str">
        <x:v>tabela_zeiss.pdf</x:v>
      </x:c>
      <x:c r="U1735" s="24" t="str">
        <x:v>ZEISS|Visão Simples Digital|Surfaçada|ClearMind Digital Individual 3|PhotoFusion X|1.6|1.60|DuraVision Chrome UV|-7.25 a +6.00|-6.00|0.50 a 1.25|75|||26</x:v>
      </x:c>
    </x:row>
    <x:row r="1736">
      <x:c r="A1736" s="24" t="str">
        <x:v>ZS-473315B5AF35</x:v>
      </x:c>
      <x:c r="B1736" s="24" t="str">
        <x:v>ZEISS</x:v>
      </x:c>
      <x:c r="C1736" s="24" t="str">
        <x:v>Visão Simples Digital</x:v>
      </x:c>
      <x:c r="D1736" s="24" t="str">
        <x:v>Surfaçada</x:v>
      </x:c>
      <x:c r="E1736" s="24" t="str">
        <x:v>ClearMind Digital Individual 3</x:v>
      </x:c>
      <x:c r="F1736" s="24" t="str">
        <x:v>PhotoFusion X</x:v>
      </x:c>
      <x:c r="G1736" s="24" t="str">
        <x:v>1.67</x:v>
      </x:c>
      <x:c r="H1736" s="24" t="str">
        <x:v>1.67</x:v>
      </x:c>
      <x:c r="I1736" s="24" t="str">
        <x:v>DuraVision Gold UV</x:v>
      </x:c>
      <x:c r="J1736" s="40" t="n">
        <x:v>5763</x:v>
      </x:c>
      <x:c r="K1736" s="24" t="str">
        <x:v>-8.00 a +8.00</x:v>
      </x:c>
      <x:c r="L1736" s="24" t="str">
        <x:v>-6.00</x:v>
      </x:c>
      <x:c r="M1736" s="24" t="str">
        <x:v>0.50 a 1.25</x:v>
      </x:c>
      <x:c r="N1736" s="24" t="str">
        <x:v>70</x:v>
      </x:c>
      <x:c r="O1736" s="24"/>
      <x:c r="P1736" s="24"/>
      <x:c r="Q1736" s="24" t="str">
        <x:v>DISPONÍVEL</x:v>
      </x:c>
      <x:c r="R1736" s="24" t="str">
        <x:v>Programa de Parcerias ZEISS — categoria Experts; Programa de Parcerias ZEISS</x:v>
      </x:c>
      <x:c r="S1736" s="24" t="n">
        <x:v>26</x:v>
      </x:c>
      <x:c r="T1736" s="24" t="str">
        <x:v>tabela_zeiss.pdf</x:v>
      </x:c>
      <x:c r="U1736" s="24" t="str">
        <x:v>ZEISS|Visão Simples Digital|Surfaçada|ClearMind Digital Individual 3|PhotoFusion X|1.67|1.67|DuraVision Gold UV|-8.00 a +8.00|-6.00|0.50 a 1.25|70|||26</x:v>
      </x:c>
    </x:row>
    <x:row r="1737">
      <x:c r="A1737" s="24" t="str">
        <x:v>ZS-E391F68AB8ED</x:v>
      </x:c>
      <x:c r="B1737" s="24" t="str">
        <x:v>ZEISS</x:v>
      </x:c>
      <x:c r="C1737" s="24" t="str">
        <x:v>Visão Simples Digital</x:v>
      </x:c>
      <x:c r="D1737" s="24" t="str">
        <x:v>Surfaçada</x:v>
      </x:c>
      <x:c r="E1737" s="24" t="str">
        <x:v>ClearMind Digital Individual 3</x:v>
      </x:c>
      <x:c r="F1737" s="24" t="str">
        <x:v>PhotoFusion X</x:v>
      </x:c>
      <x:c r="G1737" s="24" t="str">
        <x:v>1.67</x:v>
      </x:c>
      <x:c r="H1737" s="24" t="str">
        <x:v>1.67</x:v>
      </x:c>
      <x:c r="I1737" s="24" t="str">
        <x:v>DURAVISION® ANTIVÍRUS PLATINUM UV</x:v>
      </x:c>
      <x:c r="J1737" s="40" t="n">
        <x:v>5623</x:v>
      </x:c>
      <x:c r="K1737" s="24" t="str">
        <x:v>-8.00 a +8.00</x:v>
      </x:c>
      <x:c r="L1737" s="24" t="str">
        <x:v>-6.00</x:v>
      </x:c>
      <x:c r="M1737" s="24" t="str">
        <x:v>0.50 a 1.25</x:v>
      </x:c>
      <x:c r="N1737" s="24" t="str">
        <x:v>70</x:v>
      </x:c>
      <x:c r="O1737" s="24"/>
      <x:c r="P1737" s="24"/>
      <x:c r="Q1737" s="24" t="str">
        <x:v>DISPONÍVEL</x:v>
      </x:c>
      <x:c r="R1737" s="24" t="str">
        <x:v>Programa de Parcerias ZEISS — categoria Experts; Programa de Parcerias ZEISS</x:v>
      </x:c>
      <x:c r="S1737" s="24" t="n">
        <x:v>26</x:v>
      </x:c>
      <x:c r="T1737" s="24" t="str">
        <x:v>tabela_zeiss.pdf</x:v>
      </x:c>
      <x:c r="U1737" s="24" t="str">
        <x:v>ZEISS|Visão Simples Digital|Surfaçada|ClearMind Digital Individual 3|PhotoFusion X|1.67|1.67|DURAVISION® ANTIVÍRUS PLATINUM UV|-8.00 a +8.00|-6.00|0.50 a 1.25|70|||26</x:v>
      </x:c>
    </x:row>
    <x:row r="1738">
      <x:c r="A1738" s="24" t="str">
        <x:v>ZS-8ED1EB58C602</x:v>
      </x:c>
      <x:c r="B1738" s="24" t="str">
        <x:v>ZEISS</x:v>
      </x:c>
      <x:c r="C1738" s="24" t="str">
        <x:v>Visão Simples Digital</x:v>
      </x:c>
      <x:c r="D1738" s="24" t="str">
        <x:v>Surfaçada</x:v>
      </x:c>
      <x:c r="E1738" s="24" t="str">
        <x:v>ClearMind Digital Individual 3</x:v>
      </x:c>
      <x:c r="F1738" s="24" t="str">
        <x:v>PhotoFusion X</x:v>
      </x:c>
      <x:c r="G1738" s="24" t="str">
        <x:v>1.67</x:v>
      </x:c>
      <x:c r="H1738" s="24" t="str">
        <x:v>1.67</x:v>
      </x:c>
      <x:c r="I1738" s="24" t="str">
        <x:v>DuraVision Platinum UV</x:v>
      </x:c>
      <x:c r="J1738" s="40" t="n">
        <x:v>5623</x:v>
      </x:c>
      <x:c r="K1738" s="24" t="str">
        <x:v>-8.00 a +8.00</x:v>
      </x:c>
      <x:c r="L1738" s="24" t="str">
        <x:v>-6.00</x:v>
      </x:c>
      <x:c r="M1738" s="24" t="str">
        <x:v>0.50 a 1.25</x:v>
      </x:c>
      <x:c r="N1738" s="24" t="str">
        <x:v>70</x:v>
      </x:c>
      <x:c r="O1738" s="24"/>
      <x:c r="P1738" s="24"/>
      <x:c r="Q1738" s="24" t="str">
        <x:v>DISPONÍVEL</x:v>
      </x:c>
      <x:c r="R1738" s="24" t="str">
        <x:v>Programa de Parcerias ZEISS — categoria Experts; Programa de Parcerias ZEISS</x:v>
      </x:c>
      <x:c r="S1738" s="24" t="n">
        <x:v>26</x:v>
      </x:c>
      <x:c r="T1738" s="24" t="str">
        <x:v>tabela_zeiss.pdf</x:v>
      </x:c>
      <x:c r="U1738" s="24" t="str">
        <x:v>ZEISS|Visão Simples Digital|Surfaçada|ClearMind Digital Individual 3|PhotoFusion X|1.67|1.67|DuraVision Platinum UV|-8.00 a +8.00|-6.00|0.50 a 1.25|70|||26</x:v>
      </x:c>
    </x:row>
    <x:row r="1739">
      <x:c r="A1739" s="24" t="str">
        <x:v>ZS-4FD927E3C271</x:v>
      </x:c>
      <x:c r="B1739" s="24" t="str">
        <x:v>ZEISS</x:v>
      </x:c>
      <x:c r="C1739" s="24" t="str">
        <x:v>Visão Simples Digital</x:v>
      </x:c>
      <x:c r="D1739" s="24" t="str">
        <x:v>Surfaçada</x:v>
      </x:c>
      <x:c r="E1739" s="24" t="str">
        <x:v>ClearMind Digital Individual 3</x:v>
      </x:c>
      <x:c r="F1739" s="24" t="str">
        <x:v>PhotoFusion X</x:v>
      </x:c>
      <x:c r="G1739" s="24" t="str">
        <x:v>1.67</x:v>
      </x:c>
      <x:c r="H1739" s="24" t="str">
        <x:v>1.67</x:v>
      </x:c>
      <x:c r="I1739" s="24" t="str">
        <x:v>DuraVision Silver UV</x:v>
      </x:c>
      <x:c r="J1739" s="40" t="n">
        <x:v>5363</x:v>
      </x:c>
      <x:c r="K1739" s="24" t="str">
        <x:v>-8.00 a +8.00</x:v>
      </x:c>
      <x:c r="L1739" s="24" t="str">
        <x:v>-6.00</x:v>
      </x:c>
      <x:c r="M1739" s="24" t="str">
        <x:v>0.50 a 1.25</x:v>
      </x:c>
      <x:c r="N1739" s="24" t="str">
        <x:v>70</x:v>
      </x:c>
      <x:c r="O1739" s="24"/>
      <x:c r="P1739" s="24"/>
      <x:c r="Q1739" s="24" t="str">
        <x:v>DISPONÍVEL</x:v>
      </x:c>
      <x:c r="R1739" s="24" t="str">
        <x:v>Programa de Parcerias ZEISS — categoria Experts; Programa de Parcerias ZEISS</x:v>
      </x:c>
      <x:c r="S1739" s="24" t="n">
        <x:v>26</x:v>
      </x:c>
      <x:c r="T1739" s="24" t="str">
        <x:v>tabela_zeiss.pdf</x:v>
      </x:c>
      <x:c r="U1739" s="24" t="str">
        <x:v>ZEISS|Visão Simples Digital|Surfaçada|ClearMind Digital Individual 3|PhotoFusion X|1.67|1.67|DuraVision Silver UV|-8.00 a +8.00|-6.00|0.50 a 1.25|70|||26</x:v>
      </x:c>
    </x:row>
    <x:row r="1740">
      <x:c r="A1740" s="24" t="str">
        <x:v>ZS-8DBB25DB86DF</x:v>
      </x:c>
      <x:c r="B1740" s="24" t="str">
        <x:v>ZEISS</x:v>
      </x:c>
      <x:c r="C1740" s="24" t="str">
        <x:v>Visão Simples Digital</x:v>
      </x:c>
      <x:c r="D1740" s="24" t="str">
        <x:v>Surfaçada</x:v>
      </x:c>
      <x:c r="E1740" s="24" t="str">
        <x:v>ClearMind Digital Individual 3</x:v>
      </x:c>
      <x:c r="F1740" s="24" t="str">
        <x:v>PhotoFusion X</x:v>
      </x:c>
      <x:c r="G1740" s="24" t="str">
        <x:v>1.67</x:v>
      </x:c>
      <x:c r="H1740" s="24" t="str">
        <x:v>1.67</x:v>
      </x:c>
      <x:c r="I1740" s="24" t="str">
        <x:v>DuraVision Chrome UV</x:v>
      </x:c>
      <x:c r="J1740" s="40" t="n">
        <x:v>4873</x:v>
      </x:c>
      <x:c r="K1740" s="24" t="str">
        <x:v>-8.00 a +8.00</x:v>
      </x:c>
      <x:c r="L1740" s="24" t="str">
        <x:v>-6.00</x:v>
      </x:c>
      <x:c r="M1740" s="24" t="str">
        <x:v>0.50 a 1.25</x:v>
      </x:c>
      <x:c r="N1740" s="24" t="str">
        <x:v>70</x:v>
      </x:c>
      <x:c r="O1740" s="24"/>
      <x:c r="P1740" s="24"/>
      <x:c r="Q1740" s="24" t="str">
        <x:v>DISPONÍVEL</x:v>
      </x:c>
      <x:c r="R1740" s="24" t="str">
        <x:v>Programa de Parcerias ZEISS — categoria Experts; Programa de Parcerias ZEISS</x:v>
      </x:c>
      <x:c r="S1740" s="24" t="n">
        <x:v>26</x:v>
      </x:c>
      <x:c r="T1740" s="24" t="str">
        <x:v>tabela_zeiss.pdf</x:v>
      </x:c>
      <x:c r="U1740" s="24" t="str">
        <x:v>ZEISS|Visão Simples Digital|Surfaçada|ClearMind Digital Individual 3|PhotoFusion X|1.67|1.67|DuraVision Chrome UV|-8.00 a +8.00|-6.00|0.50 a 1.25|70|||26</x:v>
      </x:c>
    </x:row>
    <x:row r="1741">
      <x:c r="A1741" s="24" t="str">
        <x:v>ZS-89CAC813DC74</x:v>
      </x:c>
      <x:c r="B1741" s="24" t="str">
        <x:v>ZEISS</x:v>
      </x:c>
      <x:c r="C1741" s="24" t="str">
        <x:v>Visão Simples Digital</x:v>
      </x:c>
      <x:c r="D1741" s="24" t="str">
        <x:v>Surfaçada</x:v>
      </x:c>
      <x:c r="E1741" s="24" t="str">
        <x:v>ClearMind Digital Individual 3</x:v>
      </x:c>
      <x:c r="F1741" s="24" t="str">
        <x:v>PhotoFusion X Extra Dark Cinza</x:v>
      </x:c>
      <x:c r="G1741" s="24" t="str">
        <x:v>1.5</x:v>
      </x:c>
      <x:c r="H1741" s="24" t="str">
        <x:v>1.50</x:v>
      </x:c>
      <x:c r="I1741" s="24" t="str">
        <x:v>DuraVision Gold UV</x:v>
      </x:c>
      <x:c r="J1741" s="40" t="n">
        <x:v>3933</x:v>
      </x:c>
      <x:c r="K1741" s="24" t="str">
        <x:v>-6.00 a +5.50</x:v>
      </x:c>
      <x:c r="L1741" s="24" t="str">
        <x:v>-4.00</x:v>
      </x:c>
      <x:c r="M1741" s="24" t="str">
        <x:v>0.50 a 1.25</x:v>
      </x:c>
      <x:c r="N1741" s="24" t="str">
        <x:v>75</x:v>
      </x:c>
      <x:c r="O1741" s="24"/>
      <x:c r="P1741" s="24"/>
      <x:c r="Q1741" s="24" t="str">
        <x:v>DISPONÍVEL</x:v>
      </x:c>
      <x:c r="R1741" s="24" t="str">
        <x:v>Programa de Parcerias ZEISS — categoria Experts; Programa de Parcerias ZEISS</x:v>
      </x:c>
      <x:c r="S1741" s="24" t="n">
        <x:v>26</x:v>
      </x:c>
      <x:c r="T1741" s="24" t="str">
        <x:v>tabela_zeiss.pdf</x:v>
      </x:c>
      <x:c r="U1741" s="24" t="str">
        <x:v>ZEISS|Visão Simples Digital|Surfaçada|ClearMind Digital Individual 3|PhotoFusion X Extra Dark Cinza|1.5|1.50|DuraVision Gold UV|-6.00 a +5.50|-4.00|0.50 a 1.25|75|||26</x:v>
      </x:c>
    </x:row>
    <x:row r="1742">
      <x:c r="A1742" s="24" t="str">
        <x:v>ZS-CF9CF0C773FE</x:v>
      </x:c>
      <x:c r="B1742" s="24" t="str">
        <x:v>ZEISS</x:v>
      </x:c>
      <x:c r="C1742" s="24" t="str">
        <x:v>Visão Simples Digital</x:v>
      </x:c>
      <x:c r="D1742" s="24" t="str">
        <x:v>Surfaçada</x:v>
      </x:c>
      <x:c r="E1742" s="24" t="str">
        <x:v>ClearMind Digital Individual 3</x:v>
      </x:c>
      <x:c r="F1742" s="24" t="str">
        <x:v>PhotoFusion X Extra Dark Cinza</x:v>
      </x:c>
      <x:c r="G1742" s="24" t="str">
        <x:v>1.5</x:v>
      </x:c>
      <x:c r="H1742" s="24" t="str">
        <x:v>1.50</x:v>
      </x:c>
      <x:c r="I1742" s="24" t="str">
        <x:v>DURAVISION® ANTIVÍRUS PLATINUM UV</x:v>
      </x:c>
      <x:c r="J1742" s="40" t="n">
        <x:v>3543</x:v>
      </x:c>
      <x:c r="K1742" s="24" t="str">
        <x:v>-6.00 a +5.50</x:v>
      </x:c>
      <x:c r="L1742" s="24" t="str">
        <x:v>-4.00</x:v>
      </x:c>
      <x:c r="M1742" s="24" t="str">
        <x:v>0.50 a 1.25</x:v>
      </x:c>
      <x:c r="N1742" s="24" t="str">
        <x:v>75</x:v>
      </x:c>
      <x:c r="O1742" s="24"/>
      <x:c r="P1742" s="24"/>
      <x:c r="Q1742" s="24" t="str">
        <x:v>DISPONÍVEL</x:v>
      </x:c>
      <x:c r="R1742" s="24" t="str">
        <x:v>Programa de Parcerias ZEISS — categoria Experts; Programa de Parcerias ZEISS</x:v>
      </x:c>
      <x:c r="S1742" s="24" t="n">
        <x:v>26</x:v>
      </x:c>
      <x:c r="T1742" s="24" t="str">
        <x:v>tabela_zeiss.pdf</x:v>
      </x:c>
      <x:c r="U1742" s="24" t="str">
        <x:v>ZEISS|Visão Simples Digital|Surfaçada|ClearMind Digital Individual 3|PhotoFusion X Extra Dark Cinza|1.5|1.50|DURAVISION® ANTIVÍRUS PLATINUM UV|-6.00 a +5.50|-4.00|0.50 a 1.25|75|||26</x:v>
      </x:c>
    </x:row>
    <x:row r="1743">
      <x:c r="A1743" s="24" t="str">
        <x:v>ZS-9D0086CEB3A6</x:v>
      </x:c>
      <x:c r="B1743" s="24" t="str">
        <x:v>ZEISS</x:v>
      </x:c>
      <x:c r="C1743" s="24" t="str">
        <x:v>Visão Simples Digital</x:v>
      </x:c>
      <x:c r="D1743" s="24" t="str">
        <x:v>Surfaçada</x:v>
      </x:c>
      <x:c r="E1743" s="24" t="str">
        <x:v>ClearMind Digital Individual 3</x:v>
      </x:c>
      <x:c r="F1743" s="24" t="str">
        <x:v>PhotoFusion X Extra Dark Cinza</x:v>
      </x:c>
      <x:c r="G1743" s="24" t="str">
        <x:v>1.5</x:v>
      </x:c>
      <x:c r="H1743" s="24" t="str">
        <x:v>1.50</x:v>
      </x:c>
      <x:c r="I1743" s="24" t="str">
        <x:v>DuraVision Platinum UV</x:v>
      </x:c>
      <x:c r="J1743" s="40" t="n">
        <x:v>3793</x:v>
      </x:c>
      <x:c r="K1743" s="24" t="str">
        <x:v>-6.00 a +5.50</x:v>
      </x:c>
      <x:c r="L1743" s="24" t="str">
        <x:v>-4.00</x:v>
      </x:c>
      <x:c r="M1743" s="24" t="str">
        <x:v>0.50 a 1.25</x:v>
      </x:c>
      <x:c r="N1743" s="24" t="str">
        <x:v>75</x:v>
      </x:c>
      <x:c r="O1743" s="24"/>
      <x:c r="P1743" s="24"/>
      <x:c r="Q1743" s="24" t="str">
        <x:v>DISPONÍVEL</x:v>
      </x:c>
      <x:c r="R1743" s="24" t="str">
        <x:v>Programa de Parcerias ZEISS — categoria Experts; Programa de Parcerias ZEISS</x:v>
      </x:c>
      <x:c r="S1743" s="24" t="n">
        <x:v>26</x:v>
      </x:c>
      <x:c r="T1743" s="24" t="str">
        <x:v>tabela_zeiss.pdf</x:v>
      </x:c>
      <x:c r="U1743" s="24" t="str">
        <x:v>ZEISS|Visão Simples Digital|Surfaçada|ClearMind Digital Individual 3|PhotoFusion X Extra Dark Cinza|1.5|1.50|DuraVision Platinum UV|-6.00 a +5.50|-4.00|0.50 a 1.25|75|||26</x:v>
      </x:c>
    </x:row>
    <x:row r="1744">
      <x:c r="A1744" s="24" t="str">
        <x:v>ZS-4CCDD36B14BC</x:v>
      </x:c>
      <x:c r="B1744" s="24" t="str">
        <x:v>ZEISS</x:v>
      </x:c>
      <x:c r="C1744" s="24" t="str">
        <x:v>Visão Simples Digital</x:v>
      </x:c>
      <x:c r="D1744" s="24" t="str">
        <x:v>Surfaçada</x:v>
      </x:c>
      <x:c r="E1744" s="24" t="str">
        <x:v>ClearMind Digital Individual 3</x:v>
      </x:c>
      <x:c r="F1744" s="24" t="str">
        <x:v>PhotoFusion X Extra Dark Cinza</x:v>
      </x:c>
      <x:c r="G1744" s="24" t="str">
        <x:v>1.5</x:v>
      </x:c>
      <x:c r="H1744" s="24" t="str">
        <x:v>1.50</x:v>
      </x:c>
      <x:c r="I1744" s="24" t="str">
        <x:v>DuraVision Silver UV</x:v>
      </x:c>
      <x:c r="J1744" s="40" t="n">
        <x:v>3533</x:v>
      </x:c>
      <x:c r="K1744" s="24" t="str">
        <x:v>-6.00 a +5.50</x:v>
      </x:c>
      <x:c r="L1744" s="24" t="str">
        <x:v>-4.00</x:v>
      </x:c>
      <x:c r="M1744" s="24" t="str">
        <x:v>0.50 a 1.25</x:v>
      </x:c>
      <x:c r="N1744" s="24" t="str">
        <x:v>75</x:v>
      </x:c>
      <x:c r="O1744" s="24"/>
      <x:c r="P1744" s="24"/>
      <x:c r="Q1744" s="24" t="str">
        <x:v>DISPONÍVEL</x:v>
      </x:c>
      <x:c r="R1744" s="24" t="str">
        <x:v>Programa de Parcerias ZEISS — categoria Experts; Programa de Parcerias ZEISS</x:v>
      </x:c>
      <x:c r="S1744" s="24" t="n">
        <x:v>26</x:v>
      </x:c>
      <x:c r="T1744" s="24" t="str">
        <x:v>tabela_zeiss.pdf</x:v>
      </x:c>
      <x:c r="U1744" s="24" t="str">
        <x:v>ZEISS|Visão Simples Digital|Surfaçada|ClearMind Digital Individual 3|PhotoFusion X Extra Dark Cinza|1.5|1.50|DuraVision Silver UV|-6.00 a +5.50|-4.00|0.50 a 1.25|75|||26</x:v>
      </x:c>
    </x:row>
    <x:row r="1745">
      <x:c r="A1745" s="24" t="str">
        <x:v>ZS-D5446BCB6E2A</x:v>
      </x:c>
      <x:c r="B1745" s="24" t="str">
        <x:v>ZEISS</x:v>
      </x:c>
      <x:c r="C1745" s="24" t="str">
        <x:v>Visão Simples Digital</x:v>
      </x:c>
      <x:c r="D1745" s="24" t="str">
        <x:v>Surfaçada</x:v>
      </x:c>
      <x:c r="E1745" s="24" t="str">
        <x:v>ClearMind Digital Individual 3</x:v>
      </x:c>
      <x:c r="F1745" s="24" t="str">
        <x:v>PhotoFusion X Extra Dark Cinza</x:v>
      </x:c>
      <x:c r="G1745" s="24" t="str">
        <x:v>1.5</x:v>
      </x:c>
      <x:c r="H1745" s="24" t="str">
        <x:v>1.50</x:v>
      </x:c>
      <x:c r="I1745" s="24" t="str">
        <x:v>DuraVision Chrome UV</x:v>
      </x:c>
      <x:c r="J1745" s="40" t="n">
        <x:v>3043</x:v>
      </x:c>
      <x:c r="K1745" s="24" t="str">
        <x:v>-6.00 a +5.50</x:v>
      </x:c>
      <x:c r="L1745" s="24" t="str">
        <x:v>-4.00</x:v>
      </x:c>
      <x:c r="M1745" s="24" t="str">
        <x:v>0.50 a 1.25</x:v>
      </x:c>
      <x:c r="N1745" s="24" t="str">
        <x:v>75</x:v>
      </x:c>
      <x:c r="O1745" s="24"/>
      <x:c r="P1745" s="24"/>
      <x:c r="Q1745" s="24" t="str">
        <x:v>DISPONÍVEL</x:v>
      </x:c>
      <x:c r="R1745" s="24" t="str">
        <x:v>Programa de Parcerias ZEISS — categoria Experts; Programa de Parcerias ZEISS</x:v>
      </x:c>
      <x:c r="S1745" s="24" t="n">
        <x:v>26</x:v>
      </x:c>
      <x:c r="T1745" s="24" t="str">
        <x:v>tabela_zeiss.pdf</x:v>
      </x:c>
      <x:c r="U1745" s="24" t="str">
        <x:v>ZEISS|Visão Simples Digital|Surfaçada|ClearMind Digital Individual 3|PhotoFusion X Extra Dark Cinza|1.5|1.50|DuraVision Chrome UV|-6.00 a +5.50|-4.00|0.50 a 1.25|75|||26</x:v>
      </x:c>
    </x:row>
    <x:row r="1746">
      <x:c r="A1746" s="24" t="str">
        <x:v>ZS-988EDCC281A3</x:v>
      </x:c>
      <x:c r="B1746" s="24" t="str">
        <x:v>ZEISS</x:v>
      </x:c>
      <x:c r="C1746" s="24" t="str">
        <x:v>Visão Simples Digital</x:v>
      </x:c>
      <x:c r="D1746" s="24" t="str">
        <x:v>Surfaçada</x:v>
      </x:c>
      <x:c r="E1746" s="24" t="str">
        <x:v>ClearMind Digital Individual 3</x:v>
      </x:c>
      <x:c r="F1746" s="24" t="str">
        <x:v>PhotoFusion X Extra Dark Cinza</x:v>
      </x:c>
      <x:c r="G1746" s="24" t="str">
        <x:v>Poli</x:v>
      </x:c>
      <x:c r="H1746" s="24"/>
      <x:c r="I1746" s="24" t="str">
        <x:v>DuraVision Gold UV</x:v>
      </x:c>
      <x:c r="J1746" s="40" t="n">
        <x:v>4293</x:v>
      </x:c>
      <x:c r="K1746" s="24" t="str">
        <x:v>-10.00 a +6.00</x:v>
      </x:c>
      <x:c r="L1746" s="24" t="str">
        <x:v>-6.00</x:v>
      </x:c>
      <x:c r="M1746" s="24" t="str">
        <x:v>0.50 a 1.25</x:v>
      </x:c>
      <x:c r="N1746" s="24" t="str">
        <x:v>70</x:v>
      </x:c>
      <x:c r="O1746" s="24"/>
      <x:c r="P1746" s="24"/>
      <x:c r="Q1746" s="24" t="str">
        <x:v>DISPONÍVEL</x:v>
      </x:c>
      <x:c r="R1746" s="24" t="str">
        <x:v>Programa de Parcerias ZEISS — categoria Experts; Programa de Parcerias ZEISS</x:v>
      </x:c>
      <x:c r="S1746" s="24" t="n">
        <x:v>26</x:v>
      </x:c>
      <x:c r="T1746" s="24" t="str">
        <x:v>tabela_zeiss.pdf</x:v>
      </x:c>
      <x:c r="U1746" s="24" t="str">
        <x:v>ZEISS|Visão Simples Digital|Surfaçada|ClearMind Digital Individual 3|PhotoFusion X Extra Dark Cinza|Poli||DuraVision Gold UV|-10.00 a +6.00|-6.00|0.50 a 1.25|70|||26</x:v>
      </x:c>
    </x:row>
    <x:row r="1747">
      <x:c r="A1747" s="24" t="str">
        <x:v>ZS-C7F3872AD7AD</x:v>
      </x:c>
      <x:c r="B1747" s="24" t="str">
        <x:v>ZEISS</x:v>
      </x:c>
      <x:c r="C1747" s="24" t="str">
        <x:v>Visão Simples Digital</x:v>
      </x:c>
      <x:c r="D1747" s="24" t="str">
        <x:v>Surfaçada</x:v>
      </x:c>
      <x:c r="E1747" s="24" t="str">
        <x:v>ClearMind Digital Individual 3</x:v>
      </x:c>
      <x:c r="F1747" s="24" t="str">
        <x:v>PhotoFusion X Extra Dark Cinza</x:v>
      </x:c>
      <x:c r="G1747" s="24" t="str">
        <x:v>Poli</x:v>
      </x:c>
      <x:c r="H1747" s="24"/>
      <x:c r="I1747" s="24" t="str">
        <x:v>DuraVision Platinum UV</x:v>
      </x:c>
      <x:c r="J1747" s="40" t="n">
        <x:v>4153</x:v>
      </x:c>
      <x:c r="K1747" s="24" t="str">
        <x:v>-10.00 a +6.00</x:v>
      </x:c>
      <x:c r="L1747" s="24" t="str">
        <x:v>-6.00</x:v>
      </x:c>
      <x:c r="M1747" s="24" t="str">
        <x:v>0.50 a 1.25</x:v>
      </x:c>
      <x:c r="N1747" s="24" t="str">
        <x:v>70</x:v>
      </x:c>
      <x:c r="O1747" s="24"/>
      <x:c r="P1747" s="24"/>
      <x:c r="Q1747" s="24" t="str">
        <x:v>DISPONÍVEL</x:v>
      </x:c>
      <x:c r="R1747" s="24" t="str">
        <x:v>Programa de Parcerias ZEISS — categoria Experts; Programa de Parcerias ZEISS</x:v>
      </x:c>
      <x:c r="S1747" s="24" t="n">
        <x:v>26</x:v>
      </x:c>
      <x:c r="T1747" s="24" t="str">
        <x:v>tabela_zeiss.pdf</x:v>
      </x:c>
      <x:c r="U1747" s="24" t="str">
        <x:v>ZEISS|Visão Simples Digital|Surfaçada|ClearMind Digital Individual 3|PhotoFusion X Extra Dark Cinza|Poli||DuraVision Platinum UV|-10.00 a +6.00|-6.00|0.50 a 1.25|70|||26</x:v>
      </x:c>
    </x:row>
    <x:row r="1748">
      <x:c r="A1748" s="24" t="str">
        <x:v>ZS-4604D8E50702</x:v>
      </x:c>
      <x:c r="B1748" s="24" t="str">
        <x:v>ZEISS</x:v>
      </x:c>
      <x:c r="C1748" s="24" t="str">
        <x:v>Visão Simples Digital</x:v>
      </x:c>
      <x:c r="D1748" s="24" t="str">
        <x:v>Surfaçada</x:v>
      </x:c>
      <x:c r="E1748" s="24" t="str">
        <x:v>ClearMind Digital Individual 3</x:v>
      </x:c>
      <x:c r="F1748" s="24" t="str">
        <x:v>PhotoFusion X Extra Dark Cinza</x:v>
      </x:c>
      <x:c r="G1748" s="24" t="str">
        <x:v>Poli</x:v>
      </x:c>
      <x:c r="H1748" s="24"/>
      <x:c r="I1748" s="24" t="str">
        <x:v>DuraVision Silver UV</x:v>
      </x:c>
      <x:c r="J1748" s="40" t="n">
        <x:v>3893</x:v>
      </x:c>
      <x:c r="K1748" s="24" t="str">
        <x:v>-10.00 a +6.00</x:v>
      </x:c>
      <x:c r="L1748" s="24" t="str">
        <x:v>-6.00</x:v>
      </x:c>
      <x:c r="M1748" s="24" t="str">
        <x:v>0.50 a 1.25</x:v>
      </x:c>
      <x:c r="N1748" s="24" t="str">
        <x:v>70</x:v>
      </x:c>
      <x:c r="O1748" s="24"/>
      <x:c r="P1748" s="24"/>
      <x:c r="Q1748" s="24" t="str">
        <x:v>DISPONÍVEL</x:v>
      </x:c>
      <x:c r="R1748" s="24" t="str">
        <x:v>Programa de Parcerias ZEISS — categoria Experts; Programa de Parcerias ZEISS</x:v>
      </x:c>
      <x:c r="S1748" s="24" t="n">
        <x:v>26</x:v>
      </x:c>
      <x:c r="T1748" s="24" t="str">
        <x:v>tabela_zeiss.pdf</x:v>
      </x:c>
      <x:c r="U1748" s="24" t="str">
        <x:v>ZEISS|Visão Simples Digital|Surfaçada|ClearMind Digital Individual 3|PhotoFusion X Extra Dark Cinza|Poli||DuraVision Silver UV|-10.00 a +6.00|-6.00|0.50 a 1.25|70|||26</x:v>
      </x:c>
    </x:row>
    <x:row r="1749">
      <x:c r="A1749" s="24" t="str">
        <x:v>ZS-A02C78E4A6D2</x:v>
      </x:c>
      <x:c r="B1749" s="24" t="str">
        <x:v>ZEISS</x:v>
      </x:c>
      <x:c r="C1749" s="24" t="str">
        <x:v>Visão Simples Digital</x:v>
      </x:c>
      <x:c r="D1749" s="24" t="str">
        <x:v>Surfaçada</x:v>
      </x:c>
      <x:c r="E1749" s="24" t="str">
        <x:v>ClearMind Digital Individual 3</x:v>
      </x:c>
      <x:c r="F1749" s="24" t="str">
        <x:v>PhotoFusion X Extra Dark Cinza</x:v>
      </x:c>
      <x:c r="G1749" s="24" t="str">
        <x:v>Poli</x:v>
      </x:c>
      <x:c r="H1749" s="24"/>
      <x:c r="I1749" s="24" t="str">
        <x:v>DuraVision Chrome UV</x:v>
      </x:c>
      <x:c r="J1749" s="40" t="n">
        <x:v>3403</x:v>
      </x:c>
      <x:c r="K1749" s="24" t="str">
        <x:v>-10.00 a +6.00</x:v>
      </x:c>
      <x:c r="L1749" s="24" t="str">
        <x:v>-6.00</x:v>
      </x:c>
      <x:c r="M1749" s="24" t="str">
        <x:v>0.50 a 1.25</x:v>
      </x:c>
      <x:c r="N1749" s="24" t="str">
        <x:v>70</x:v>
      </x:c>
      <x:c r="O1749" s="24"/>
      <x:c r="P1749" s="24"/>
      <x:c r="Q1749" s="24" t="str">
        <x:v>DISPONÍVEL</x:v>
      </x:c>
      <x:c r="R1749" s="24" t="str">
        <x:v>Programa de Parcerias ZEISS — categoria Experts; Programa de Parcerias ZEISS</x:v>
      </x:c>
      <x:c r="S1749" s="24" t="n">
        <x:v>26</x:v>
      </x:c>
      <x:c r="T1749" s="24" t="str">
        <x:v>tabela_zeiss.pdf</x:v>
      </x:c>
      <x:c r="U1749" s="24" t="str">
        <x:v>ZEISS|Visão Simples Digital|Surfaçada|ClearMind Digital Individual 3|PhotoFusion X Extra Dark Cinza|Poli||DuraVision Chrome UV|-10.00 a +6.00|-6.00|0.50 a 1.25|70|||26</x:v>
      </x:c>
    </x:row>
    <x:row r="1750">
      <x:c r="A1750" s="24" t="str">
        <x:v>ZS-3CE6B2548824</x:v>
      </x:c>
      <x:c r="B1750" s="24" t="str">
        <x:v>ZEISS</x:v>
      </x:c>
      <x:c r="C1750" s="24" t="str">
        <x:v>Visão Simples Digital</x:v>
      </x:c>
      <x:c r="D1750" s="24" t="str">
        <x:v>Surfaçada</x:v>
      </x:c>
      <x:c r="E1750" s="24" t="str">
        <x:v>ClearMind Digital Individual 3</x:v>
      </x:c>
      <x:c r="F1750" s="24" t="str">
        <x:v>PhotoFusion X Extra Dark Cinza</x:v>
      </x:c>
      <x:c r="G1750" s="24" t="str">
        <x:v>1.6</x:v>
      </x:c>
      <x:c r="H1750" s="24" t="str">
        <x:v>1.60</x:v>
      </x:c>
      <x:c r="I1750" s="24" t="str">
        <x:v>DuraVision Gold UV</x:v>
      </x:c>
      <x:c r="J1750" s="40" t="n">
        <x:v>4513</x:v>
      </x:c>
      <x:c r="K1750" s="24" t="str">
        <x:v>-7.25 a +6.00</x:v>
      </x:c>
      <x:c r="L1750" s="24" t="str">
        <x:v>-6.00</x:v>
      </x:c>
      <x:c r="M1750" s="24" t="str">
        <x:v>0.50 a 1.25</x:v>
      </x:c>
      <x:c r="N1750" s="24" t="str">
        <x:v>75</x:v>
      </x:c>
      <x:c r="O1750" s="24"/>
      <x:c r="P1750" s="24"/>
      <x:c r="Q1750" s="24" t="str">
        <x:v>DISPONÍVEL</x:v>
      </x:c>
      <x:c r="R1750" s="24" t="str">
        <x:v>Programa de Parcerias ZEISS — categoria Experts; Programa de Parcerias ZEISS</x:v>
      </x:c>
      <x:c r="S1750" s="24" t="n">
        <x:v>26</x:v>
      </x:c>
      <x:c r="T1750" s="24" t="str">
        <x:v>tabela_zeiss.pdf</x:v>
      </x:c>
      <x:c r="U1750" s="24" t="str">
        <x:v>ZEISS|Visão Simples Digital|Surfaçada|ClearMind Digital Individual 3|PhotoFusion X Extra Dark Cinza|1.6|1.60|DuraVision Gold UV|-7.25 a +6.00|-6.00|0.50 a 1.25|75|||26</x:v>
      </x:c>
    </x:row>
    <x:row r="1751">
      <x:c r="A1751" s="24" t="str">
        <x:v>ZS-C63B2161BD37</x:v>
      </x:c>
      <x:c r="B1751" s="24" t="str">
        <x:v>ZEISS</x:v>
      </x:c>
      <x:c r="C1751" s="24" t="str">
        <x:v>Visão Simples Digital</x:v>
      </x:c>
      <x:c r="D1751" s="24" t="str">
        <x:v>Surfaçada</x:v>
      </x:c>
      <x:c r="E1751" s="24" t="str">
        <x:v>ClearMind Digital Individual 3</x:v>
      </x:c>
      <x:c r="F1751" s="24" t="str">
        <x:v>PhotoFusion X Extra Dark Cinza</x:v>
      </x:c>
      <x:c r="G1751" s="24" t="str">
        <x:v>1.6</x:v>
      </x:c>
      <x:c r="H1751" s="24" t="str">
        <x:v>1.60</x:v>
      </x:c>
      <x:c r="I1751" s="24" t="str">
        <x:v>DURAVISION® ANTIVÍRUS PLATINUM UV</x:v>
      </x:c>
      <x:c r="J1751" s="40" t="n">
        <x:v>4123</x:v>
      </x:c>
      <x:c r="K1751" s="24" t="str">
        <x:v>-7.25 a +6.00</x:v>
      </x:c>
      <x:c r="L1751" s="24" t="str">
        <x:v>-6.00</x:v>
      </x:c>
      <x:c r="M1751" s="24" t="str">
        <x:v>0.50 a 1.25</x:v>
      </x:c>
      <x:c r="N1751" s="24" t="str">
        <x:v>75</x:v>
      </x:c>
      <x:c r="O1751" s="24"/>
      <x:c r="P1751" s="24"/>
      <x:c r="Q1751" s="24" t="str">
        <x:v>DISPONÍVEL</x:v>
      </x:c>
      <x:c r="R1751" s="24" t="str">
        <x:v>Programa de Parcerias ZEISS — categoria Experts; Programa de Parcerias ZEISS</x:v>
      </x:c>
      <x:c r="S1751" s="24" t="n">
        <x:v>26</x:v>
      </x:c>
      <x:c r="T1751" s="24" t="str">
        <x:v>tabela_zeiss.pdf</x:v>
      </x:c>
      <x:c r="U1751" s="24" t="str">
        <x:v>ZEISS|Visão Simples Digital|Surfaçada|ClearMind Digital Individual 3|PhotoFusion X Extra Dark Cinza|1.6|1.60|DURAVISION® ANTIVÍRUS PLATINUM UV|-7.25 a +6.00|-6.00|0.50 a 1.25|75|||26</x:v>
      </x:c>
    </x:row>
    <x:row r="1752">
      <x:c r="A1752" s="24" t="str">
        <x:v>ZS-BB25DEDE694D</x:v>
      </x:c>
      <x:c r="B1752" s="24" t="str">
        <x:v>ZEISS</x:v>
      </x:c>
      <x:c r="C1752" s="24" t="str">
        <x:v>Visão Simples Digital</x:v>
      </x:c>
      <x:c r="D1752" s="24" t="str">
        <x:v>Surfaçada</x:v>
      </x:c>
      <x:c r="E1752" s="24" t="str">
        <x:v>ClearMind Digital Individual 3</x:v>
      </x:c>
      <x:c r="F1752" s="24" t="str">
        <x:v>PhotoFusion X Extra Dark Cinza</x:v>
      </x:c>
      <x:c r="G1752" s="24" t="str">
        <x:v>1.6</x:v>
      </x:c>
      <x:c r="H1752" s="24" t="str">
        <x:v>1.60</x:v>
      </x:c>
      <x:c r="I1752" s="24" t="str">
        <x:v>DuraVision Platinum UV</x:v>
      </x:c>
      <x:c r="J1752" s="40" t="n">
        <x:v>4373</x:v>
      </x:c>
      <x:c r="K1752" s="24" t="str">
        <x:v>-7.25 a +6.00</x:v>
      </x:c>
      <x:c r="L1752" s="24" t="str">
        <x:v>-6.00</x:v>
      </x:c>
      <x:c r="M1752" s="24" t="str">
        <x:v>0.50 a 1.25</x:v>
      </x:c>
      <x:c r="N1752" s="24" t="str">
        <x:v>75</x:v>
      </x:c>
      <x:c r="O1752" s="24"/>
      <x:c r="P1752" s="24"/>
      <x:c r="Q1752" s="24" t="str">
        <x:v>DISPONÍVEL</x:v>
      </x:c>
      <x:c r="R1752" s="24" t="str">
        <x:v>Programa de Parcerias ZEISS — categoria Experts; Programa de Parcerias ZEISS</x:v>
      </x:c>
      <x:c r="S1752" s="24" t="n">
        <x:v>26</x:v>
      </x:c>
      <x:c r="T1752" s="24" t="str">
        <x:v>tabela_zeiss.pdf</x:v>
      </x:c>
      <x:c r="U1752" s="24" t="str">
        <x:v>ZEISS|Visão Simples Digital|Surfaçada|ClearMind Digital Individual 3|PhotoFusion X Extra Dark Cinza|1.6|1.60|DuraVision Platinum UV|-7.25 a +6.00|-6.00|0.50 a 1.25|75|||26</x:v>
      </x:c>
    </x:row>
    <x:row r="1753">
      <x:c r="A1753" s="24" t="str">
        <x:v>ZS-2D87A7198325</x:v>
      </x:c>
      <x:c r="B1753" s="24" t="str">
        <x:v>ZEISS</x:v>
      </x:c>
      <x:c r="C1753" s="24" t="str">
        <x:v>Visão Simples Digital</x:v>
      </x:c>
      <x:c r="D1753" s="24" t="str">
        <x:v>Surfaçada</x:v>
      </x:c>
      <x:c r="E1753" s="24" t="str">
        <x:v>ClearMind Digital Individual 3</x:v>
      </x:c>
      <x:c r="F1753" s="24" t="str">
        <x:v>PhotoFusion X Extra Dark Cinza</x:v>
      </x:c>
      <x:c r="G1753" s="24" t="str">
        <x:v>1.6</x:v>
      </x:c>
      <x:c r="H1753" s="24" t="str">
        <x:v>1.60</x:v>
      </x:c>
      <x:c r="I1753" s="24" t="str">
        <x:v>DuraVision Silver UV</x:v>
      </x:c>
      <x:c r="J1753" s="40" t="n">
        <x:v>4113</x:v>
      </x:c>
      <x:c r="K1753" s="24" t="str">
        <x:v>-7.25 a +6.00</x:v>
      </x:c>
      <x:c r="L1753" s="24" t="str">
        <x:v>-6.00</x:v>
      </x:c>
      <x:c r="M1753" s="24" t="str">
        <x:v>0.50 a 1.25</x:v>
      </x:c>
      <x:c r="N1753" s="24" t="str">
        <x:v>75</x:v>
      </x:c>
      <x:c r="O1753" s="24"/>
      <x:c r="P1753" s="24"/>
      <x:c r="Q1753" s="24" t="str">
        <x:v>DISPONÍVEL</x:v>
      </x:c>
      <x:c r="R1753" s="24" t="str">
        <x:v>Programa de Parcerias ZEISS — categoria Experts; Programa de Parcerias ZEISS</x:v>
      </x:c>
      <x:c r="S1753" s="24" t="n">
        <x:v>26</x:v>
      </x:c>
      <x:c r="T1753" s="24" t="str">
        <x:v>tabela_zeiss.pdf</x:v>
      </x:c>
      <x:c r="U1753" s="24" t="str">
        <x:v>ZEISS|Visão Simples Digital|Surfaçada|ClearMind Digital Individual 3|PhotoFusion X Extra Dark Cinza|1.6|1.60|DuraVision Silver UV|-7.25 a +6.00|-6.00|0.50 a 1.25|75|||26</x:v>
      </x:c>
    </x:row>
    <x:row r="1754">
      <x:c r="A1754" s="24" t="str">
        <x:v>ZS-60119D394C41</x:v>
      </x:c>
      <x:c r="B1754" s="24" t="str">
        <x:v>ZEISS</x:v>
      </x:c>
      <x:c r="C1754" s="24" t="str">
        <x:v>Visão Simples Digital</x:v>
      </x:c>
      <x:c r="D1754" s="24" t="str">
        <x:v>Surfaçada</x:v>
      </x:c>
      <x:c r="E1754" s="24" t="str">
        <x:v>ClearMind Digital Individual 3</x:v>
      </x:c>
      <x:c r="F1754" s="24" t="str">
        <x:v>PhotoFusion X Extra Dark Cinza</x:v>
      </x:c>
      <x:c r="G1754" s="24" t="str">
        <x:v>1.6</x:v>
      </x:c>
      <x:c r="H1754" s="24" t="str">
        <x:v>1.60</x:v>
      </x:c>
      <x:c r="I1754" s="24" t="str">
        <x:v>DuraVision Chrome UV</x:v>
      </x:c>
      <x:c r="J1754" s="40" t="n">
        <x:v>3623</x:v>
      </x:c>
      <x:c r="K1754" s="24" t="str">
        <x:v>-7.25 a +6.00</x:v>
      </x:c>
      <x:c r="L1754" s="24" t="str">
        <x:v>-6.00</x:v>
      </x:c>
      <x:c r="M1754" s="24" t="str">
        <x:v>0.50 a 1.25</x:v>
      </x:c>
      <x:c r="N1754" s="24" t="str">
        <x:v>75</x:v>
      </x:c>
      <x:c r="O1754" s="24"/>
      <x:c r="P1754" s="24"/>
      <x:c r="Q1754" s="24" t="str">
        <x:v>DISPONÍVEL</x:v>
      </x:c>
      <x:c r="R1754" s="24" t="str">
        <x:v>Programa de Parcerias ZEISS — categoria Experts; Programa de Parcerias ZEISS</x:v>
      </x:c>
      <x:c r="S1754" s="24" t="n">
        <x:v>26</x:v>
      </x:c>
      <x:c r="T1754" s="24" t="str">
        <x:v>tabela_zeiss.pdf</x:v>
      </x:c>
      <x:c r="U1754" s="24" t="str">
        <x:v>ZEISS|Visão Simples Digital|Surfaçada|ClearMind Digital Individual 3|PhotoFusion X Extra Dark Cinza|1.6|1.60|DuraVision Chrome UV|-7.25 a +6.00|-6.00|0.50 a 1.25|75|||26</x:v>
      </x:c>
    </x:row>
    <x:row r="1755">
      <x:c r="A1755" s="24" t="str">
        <x:v>ZS-037C36CB9542</x:v>
      </x:c>
      <x:c r="B1755" s="24" t="str">
        <x:v>ZEISS</x:v>
      </x:c>
      <x:c r="C1755" s="24" t="str">
        <x:v>Visão Simples Digital</x:v>
      </x:c>
      <x:c r="D1755" s="24" t="str">
        <x:v>Surfaçada</x:v>
      </x:c>
      <x:c r="E1755" s="24" t="str">
        <x:v>ClearMind Digital Individual 3</x:v>
      </x:c>
      <x:c r="F1755" s="24" t="str">
        <x:v>PhotoFusion X Extra Dark Cinza</x:v>
      </x:c>
      <x:c r="G1755" s="24" t="str">
        <x:v>1.67</x:v>
      </x:c>
      <x:c r="H1755" s="24" t="str">
        <x:v>1.67</x:v>
      </x:c>
      <x:c r="I1755" s="24" t="str">
        <x:v>DuraVision Gold UV</x:v>
      </x:c>
      <x:c r="J1755" s="40" t="n">
        <x:v>5813</x:v>
      </x:c>
      <x:c r="K1755" s="24" t="str">
        <x:v>-8.00 a +8.00</x:v>
      </x:c>
      <x:c r="L1755" s="24" t="str">
        <x:v>-6.00</x:v>
      </x:c>
      <x:c r="M1755" s="24" t="str">
        <x:v>0.50 a 1.25</x:v>
      </x:c>
      <x:c r="N1755" s="24" t="str">
        <x:v>70</x:v>
      </x:c>
      <x:c r="O1755" s="24"/>
      <x:c r="P1755" s="24"/>
      <x:c r="Q1755" s="24" t="str">
        <x:v>DISPONÍVEL</x:v>
      </x:c>
      <x:c r="R1755" s="24" t="str">
        <x:v>Programa de Parcerias ZEISS — categoria Experts; Programa de Parcerias ZEISS</x:v>
      </x:c>
      <x:c r="S1755" s="24" t="n">
        <x:v>26</x:v>
      </x:c>
      <x:c r="T1755" s="24" t="str">
        <x:v>tabela_zeiss.pdf</x:v>
      </x:c>
      <x:c r="U1755" s="24" t="str">
        <x:v>ZEISS|Visão Simples Digital|Surfaçada|ClearMind Digital Individual 3|PhotoFusion X Extra Dark Cinza|1.67|1.67|DuraVision Gold UV|-8.00 a +8.00|-6.00|0.50 a 1.25|70|||26</x:v>
      </x:c>
    </x:row>
    <x:row r="1756">
      <x:c r="A1756" s="24" t="str">
        <x:v>ZS-E05516CCC664</x:v>
      </x:c>
      <x:c r="B1756" s="24" t="str">
        <x:v>ZEISS</x:v>
      </x:c>
      <x:c r="C1756" s="24" t="str">
        <x:v>Visão Simples Digital</x:v>
      </x:c>
      <x:c r="D1756" s="24" t="str">
        <x:v>Surfaçada</x:v>
      </x:c>
      <x:c r="E1756" s="24" t="str">
        <x:v>ClearMind Digital Individual 3</x:v>
      </x:c>
      <x:c r="F1756" s="24" t="str">
        <x:v>PhotoFusion X Extra Dark Cinza</x:v>
      </x:c>
      <x:c r="G1756" s="24" t="str">
        <x:v>1.67</x:v>
      </x:c>
      <x:c r="H1756" s="24" t="str">
        <x:v>1.67</x:v>
      </x:c>
      <x:c r="I1756" s="24" t="str">
        <x:v>DURAVISION® ANTIVÍRUS PLATINUM UV</x:v>
      </x:c>
      <x:c r="J1756" s="40" t="n">
        <x:v>5423</x:v>
      </x:c>
      <x:c r="K1756" s="24" t="str">
        <x:v>-8.00 a +8.00</x:v>
      </x:c>
      <x:c r="L1756" s="24" t="str">
        <x:v>-6.00</x:v>
      </x:c>
      <x:c r="M1756" s="24" t="str">
        <x:v>0.50 a 1.25</x:v>
      </x:c>
      <x:c r="N1756" s="24" t="str">
        <x:v>70</x:v>
      </x:c>
      <x:c r="O1756" s="24"/>
      <x:c r="P1756" s="24"/>
      <x:c r="Q1756" s="24" t="str">
        <x:v>DISPONÍVEL</x:v>
      </x:c>
      <x:c r="R1756" s="24" t="str">
        <x:v>Programa de Parcerias ZEISS — categoria Experts; Programa de Parcerias ZEISS</x:v>
      </x:c>
      <x:c r="S1756" s="24" t="n">
        <x:v>26</x:v>
      </x:c>
      <x:c r="T1756" s="24" t="str">
        <x:v>tabela_zeiss.pdf</x:v>
      </x:c>
      <x:c r="U1756" s="24" t="str">
        <x:v>ZEISS|Visão Simples Digital|Surfaçada|ClearMind Digital Individual 3|PhotoFusion X Extra Dark Cinza|1.67|1.67|DURAVISION® ANTIVÍRUS PLATINUM UV|-8.00 a +8.00|-6.00|0.50 a 1.25|70|||26</x:v>
      </x:c>
    </x:row>
    <x:row r="1757">
      <x:c r="A1757" s="24" t="str">
        <x:v>ZS-2A933CF1FAC4</x:v>
      </x:c>
      <x:c r="B1757" s="24" t="str">
        <x:v>ZEISS</x:v>
      </x:c>
      <x:c r="C1757" s="24" t="str">
        <x:v>Visão Simples Digital</x:v>
      </x:c>
      <x:c r="D1757" s="24" t="str">
        <x:v>Surfaçada</x:v>
      </x:c>
      <x:c r="E1757" s="24" t="str">
        <x:v>ClearMind Digital Individual 3</x:v>
      </x:c>
      <x:c r="F1757" s="24" t="str">
        <x:v>PhotoFusion X Extra Dark Cinza</x:v>
      </x:c>
      <x:c r="G1757" s="24" t="str">
        <x:v>1.67</x:v>
      </x:c>
      <x:c r="H1757" s="24" t="str">
        <x:v>1.67</x:v>
      </x:c>
      <x:c r="I1757" s="24" t="str">
        <x:v>DuraVision Platinum UV</x:v>
      </x:c>
      <x:c r="J1757" s="40" t="n">
        <x:v>5673</x:v>
      </x:c>
      <x:c r="K1757" s="24" t="str">
        <x:v>-8.00 a +8.00</x:v>
      </x:c>
      <x:c r="L1757" s="24" t="str">
        <x:v>-6.00</x:v>
      </x:c>
      <x:c r="M1757" s="24" t="str">
        <x:v>0.50 a 1.25</x:v>
      </x:c>
      <x:c r="N1757" s="24" t="str">
        <x:v>70</x:v>
      </x:c>
      <x:c r="O1757" s="24"/>
      <x:c r="P1757" s="24"/>
      <x:c r="Q1757" s="24" t="str">
        <x:v>DISPONÍVEL</x:v>
      </x:c>
      <x:c r="R1757" s="24" t="str">
        <x:v>Programa de Parcerias ZEISS — categoria Experts; Programa de Parcerias ZEISS</x:v>
      </x:c>
      <x:c r="S1757" s="24" t="n">
        <x:v>26</x:v>
      </x:c>
      <x:c r="T1757" s="24" t="str">
        <x:v>tabela_zeiss.pdf</x:v>
      </x:c>
      <x:c r="U1757" s="24" t="str">
        <x:v>ZEISS|Visão Simples Digital|Surfaçada|ClearMind Digital Individual 3|PhotoFusion X Extra Dark Cinza|1.67|1.67|DuraVision Platinum UV|-8.00 a +8.00|-6.00|0.50 a 1.25|70|||26</x:v>
      </x:c>
    </x:row>
    <x:row r="1758">
      <x:c r="A1758" s="24" t="str">
        <x:v>ZS-CF2AB9161F89</x:v>
      </x:c>
      <x:c r="B1758" s="24" t="str">
        <x:v>ZEISS</x:v>
      </x:c>
      <x:c r="C1758" s="24" t="str">
        <x:v>Visão Simples Digital</x:v>
      </x:c>
      <x:c r="D1758" s="24" t="str">
        <x:v>Surfaçada</x:v>
      </x:c>
      <x:c r="E1758" s="24" t="str">
        <x:v>ClearMind Digital Individual 3</x:v>
      </x:c>
      <x:c r="F1758" s="24" t="str">
        <x:v>PhotoFusion X Extra Dark Cinza</x:v>
      </x:c>
      <x:c r="G1758" s="24" t="str">
        <x:v>1.67</x:v>
      </x:c>
      <x:c r="H1758" s="24" t="str">
        <x:v>1.67</x:v>
      </x:c>
      <x:c r="I1758" s="24" t="str">
        <x:v>DuraVision Silver UV</x:v>
      </x:c>
      <x:c r="J1758" s="40" t="n">
        <x:v>5413</x:v>
      </x:c>
      <x:c r="K1758" s="24" t="str">
        <x:v>-8.00 a +8.00</x:v>
      </x:c>
      <x:c r="L1758" s="24" t="str">
        <x:v>-6.00</x:v>
      </x:c>
      <x:c r="M1758" s="24" t="str">
        <x:v>0.50 a 1.25</x:v>
      </x:c>
      <x:c r="N1758" s="24" t="str">
        <x:v>70</x:v>
      </x:c>
      <x:c r="O1758" s="24"/>
      <x:c r="P1758" s="24"/>
      <x:c r="Q1758" s="24" t="str">
        <x:v>DISPONÍVEL</x:v>
      </x:c>
      <x:c r="R1758" s="24" t="str">
        <x:v>Programa de Parcerias ZEISS — categoria Experts; Programa de Parcerias ZEISS</x:v>
      </x:c>
      <x:c r="S1758" s="24" t="n">
        <x:v>26</x:v>
      </x:c>
      <x:c r="T1758" s="24" t="str">
        <x:v>tabela_zeiss.pdf</x:v>
      </x:c>
      <x:c r="U1758" s="24" t="str">
        <x:v>ZEISS|Visão Simples Digital|Surfaçada|ClearMind Digital Individual 3|PhotoFusion X Extra Dark Cinza|1.67|1.67|DuraVision Silver UV|-8.00 a +8.00|-6.00|0.50 a 1.25|70|||26</x:v>
      </x:c>
    </x:row>
    <x:row r="1759">
      <x:c r="A1759" s="24" t="str">
        <x:v>ZS-38186A0C1723</x:v>
      </x:c>
      <x:c r="B1759" s="24" t="str">
        <x:v>ZEISS</x:v>
      </x:c>
      <x:c r="C1759" s="24" t="str">
        <x:v>Visão Simples Digital</x:v>
      </x:c>
      <x:c r="D1759" s="24" t="str">
        <x:v>Surfaçada</x:v>
      </x:c>
      <x:c r="E1759" s="24" t="str">
        <x:v>ClearMind Digital Individual 3</x:v>
      </x:c>
      <x:c r="F1759" s="24" t="str">
        <x:v>PhotoFusion X Extra Dark Cinza</x:v>
      </x:c>
      <x:c r="G1759" s="24" t="str">
        <x:v>1.67</x:v>
      </x:c>
      <x:c r="H1759" s="24" t="str">
        <x:v>1.67</x:v>
      </x:c>
      <x:c r="I1759" s="24" t="str">
        <x:v>DuraVision Chrome UV</x:v>
      </x:c>
      <x:c r="J1759" s="40" t="n">
        <x:v>4923</x:v>
      </x:c>
      <x:c r="K1759" s="24" t="str">
        <x:v>-8.00 a +8.00</x:v>
      </x:c>
      <x:c r="L1759" s="24" t="str">
        <x:v>-6.00</x:v>
      </x:c>
      <x:c r="M1759" s="24" t="str">
        <x:v>0.50 a 1.25</x:v>
      </x:c>
      <x:c r="N1759" s="24" t="str">
        <x:v>70</x:v>
      </x:c>
      <x:c r="O1759" s="24"/>
      <x:c r="P1759" s="24"/>
      <x:c r="Q1759" s="24" t="str">
        <x:v>DISPONÍVEL</x:v>
      </x:c>
      <x:c r="R1759" s="24" t="str">
        <x:v>Programa de Parcerias ZEISS — categoria Experts; Programa de Parcerias ZEISS</x:v>
      </x:c>
      <x:c r="S1759" s="24" t="n">
        <x:v>26</x:v>
      </x:c>
      <x:c r="T1759" s="24" t="str">
        <x:v>tabela_zeiss.pdf</x:v>
      </x:c>
      <x:c r="U1759" s="24" t="str">
        <x:v>ZEISS|Visão Simples Digital|Surfaçada|ClearMind Digital Individual 3|PhotoFusion X Extra Dark Cinza|1.67|1.67|DuraVision Chrome UV|-8.00 a +8.00|-6.00|0.50 a 1.25|70|||26</x:v>
      </x:c>
    </x:row>
    <x:row r="1760">
      <x:c r="A1760" s="24" t="str">
        <x:v>ZS-4619067A5680</x:v>
      </x:c>
      <x:c r="B1760" s="24" t="str">
        <x:v>ZEISS</x:v>
      </x:c>
      <x:c r="C1760" s="24" t="str">
        <x:v>Visão Simples Digital</x:v>
      </x:c>
      <x:c r="D1760" s="24" t="str">
        <x:v>Surfaçada</x:v>
      </x:c>
      <x:c r="E1760" s="24" t="str">
        <x:v>ClearMind Digital Individual 3</x:v>
      </x:c>
      <x:c r="F1760" s="24" t="str">
        <x:v>Polarizada</x:v>
      </x:c>
      <x:c r="G1760" s="24" t="str">
        <x:v>1.5</x:v>
      </x:c>
      <x:c r="H1760" s="24" t="str">
        <x:v>1.50</x:v>
      </x:c>
      <x:c r="I1760" s="24" t="str">
        <x:v>DuraVision Gold UV</x:v>
      </x:c>
      <x:c r="J1760" s="40" t="n">
        <x:v>3303</x:v>
      </x:c>
      <x:c r="K1760" s="24" t="str">
        <x:v>-6.00 a +6.00</x:v>
      </x:c>
      <x:c r="L1760" s="24" t="str">
        <x:v>-4.00</x:v>
      </x:c>
      <x:c r="M1760" s="24" t="str">
        <x:v>0.50 a 1.25</x:v>
      </x:c>
      <x:c r="N1760" s="24" t="str">
        <x:v>70</x:v>
      </x:c>
      <x:c r="O1760" s="24"/>
      <x:c r="P1760" s="24"/>
      <x:c r="Q1760" s="24" t="str">
        <x:v>DISPONÍVEL</x:v>
      </x:c>
      <x:c r="R1760" s="24" t="str">
        <x:v>Programa de Parcerias ZEISS — categoria Experts</x:v>
      </x:c>
      <x:c r="S1760" s="24" t="n">
        <x:v>26</x:v>
      </x:c>
      <x:c r="T1760" s="24" t="str">
        <x:v>tabela_zeiss.pdf</x:v>
      </x:c>
      <x:c r="U1760" s="24" t="str">
        <x:v>ZEISS|Visão Simples Digital|Surfaçada|ClearMind Digital Individual 3|Polarizada|1.5|1.50|DuraVision Gold UV|-6.00 a +6.00|-4.00|0.50 a 1.25|70|||26</x:v>
      </x:c>
    </x:row>
    <x:row r="1761">
      <x:c r="A1761" s="24" t="str">
        <x:v>ZS-3C50B7BB73E9</x:v>
      </x:c>
      <x:c r="B1761" s="24" t="str">
        <x:v>ZEISS</x:v>
      </x:c>
      <x:c r="C1761" s="24" t="str">
        <x:v>Visão Simples Digital</x:v>
      </x:c>
      <x:c r="D1761" s="24" t="str">
        <x:v>Surfaçada</x:v>
      </x:c>
      <x:c r="E1761" s="24" t="str">
        <x:v>ClearMind Digital Individual 3</x:v>
      </x:c>
      <x:c r="F1761" s="24" t="str">
        <x:v>Polarizada</x:v>
      </x:c>
      <x:c r="G1761" s="24" t="str">
        <x:v>1.5</x:v>
      </x:c>
      <x:c r="H1761" s="24" t="str">
        <x:v>1.50</x:v>
      </x:c>
      <x:c r="I1761" s="24" t="str">
        <x:v>DuraVision Platinum UV</x:v>
      </x:c>
      <x:c r="J1761" s="40" t="n">
        <x:v>3163</x:v>
      </x:c>
      <x:c r="K1761" s="24" t="str">
        <x:v>-6.00 a +6.00</x:v>
      </x:c>
      <x:c r="L1761" s="24" t="str">
        <x:v>-4.00</x:v>
      </x:c>
      <x:c r="M1761" s="24" t="str">
        <x:v>0.50 a 1.25</x:v>
      </x:c>
      <x:c r="N1761" s="24" t="str">
        <x:v>70</x:v>
      </x:c>
      <x:c r="O1761" s="24"/>
      <x:c r="P1761" s="24"/>
      <x:c r="Q1761" s="24" t="str">
        <x:v>DISPONÍVEL</x:v>
      </x:c>
      <x:c r="R1761" s="24" t="str">
        <x:v>Programa de Parcerias ZEISS — categoria Experts</x:v>
      </x:c>
      <x:c r="S1761" s="24" t="n">
        <x:v>26</x:v>
      </x:c>
      <x:c r="T1761" s="24" t="str">
        <x:v>tabela_zeiss.pdf</x:v>
      </x:c>
      <x:c r="U1761" s="24" t="str">
        <x:v>ZEISS|Visão Simples Digital|Surfaçada|ClearMind Digital Individual 3|Polarizada|1.5|1.50|DuraVision Platinum UV|-6.00 a +6.00|-4.00|0.50 a 1.25|70|||26</x:v>
      </x:c>
    </x:row>
    <x:row r="1762">
      <x:c r="A1762" s="24" t="str">
        <x:v>ZS-0D64D81A87DC</x:v>
      </x:c>
      <x:c r="B1762" s="24" t="str">
        <x:v>ZEISS</x:v>
      </x:c>
      <x:c r="C1762" s="24" t="str">
        <x:v>Visão Simples Digital</x:v>
      </x:c>
      <x:c r="D1762" s="24" t="str">
        <x:v>Surfaçada</x:v>
      </x:c>
      <x:c r="E1762" s="24" t="str">
        <x:v>ClearMind Digital Individual 3</x:v>
      </x:c>
      <x:c r="F1762" s="24" t="str">
        <x:v>Polarizada</x:v>
      </x:c>
      <x:c r="G1762" s="24" t="str">
        <x:v>1.5</x:v>
      </x:c>
      <x:c r="H1762" s="24" t="str">
        <x:v>1.50</x:v>
      </x:c>
      <x:c r="I1762" s="24" t="str">
        <x:v>DuraVision Silver UV</x:v>
      </x:c>
      <x:c r="J1762" s="40" t="n">
        <x:v>2903</x:v>
      </x:c>
      <x:c r="K1762" s="24" t="str">
        <x:v>-6.00 a +6.00</x:v>
      </x:c>
      <x:c r="L1762" s="24" t="str">
        <x:v>-4.00</x:v>
      </x:c>
      <x:c r="M1762" s="24" t="str">
        <x:v>0.50 a 1.25</x:v>
      </x:c>
      <x:c r="N1762" s="24" t="str">
        <x:v>70</x:v>
      </x:c>
      <x:c r="O1762" s="24"/>
      <x:c r="P1762" s="24"/>
      <x:c r="Q1762" s="24" t="str">
        <x:v>DISPONÍVEL</x:v>
      </x:c>
      <x:c r="R1762" s="24" t="str">
        <x:v>Programa de Parcerias ZEISS — categoria Experts</x:v>
      </x:c>
      <x:c r="S1762" s="24" t="n">
        <x:v>26</x:v>
      </x:c>
      <x:c r="T1762" s="24" t="str">
        <x:v>tabela_zeiss.pdf</x:v>
      </x:c>
      <x:c r="U1762" s="24" t="str">
        <x:v>ZEISS|Visão Simples Digital|Surfaçada|ClearMind Digital Individual 3|Polarizada|1.5|1.50|DuraVision Silver UV|-6.00 a +6.00|-4.00|0.50 a 1.25|70|||26</x:v>
      </x:c>
    </x:row>
    <x:row r="1763">
      <x:c r="A1763" s="24" t="str">
        <x:v>ZS-50C5D5A1C384</x:v>
      </x:c>
      <x:c r="B1763" s="24" t="str">
        <x:v>ZEISS</x:v>
      </x:c>
      <x:c r="C1763" s="24" t="str">
        <x:v>Visão Simples Digital</x:v>
      </x:c>
      <x:c r="D1763" s="24" t="str">
        <x:v>Surfaçada</x:v>
      </x:c>
      <x:c r="E1763" s="24" t="str">
        <x:v>ClearMind Digital Individual 3</x:v>
      </x:c>
      <x:c r="F1763" s="24" t="str">
        <x:v>Polarizada</x:v>
      </x:c>
      <x:c r="G1763" s="24" t="str">
        <x:v>1.5</x:v>
      </x:c>
      <x:c r="H1763" s="24" t="str">
        <x:v>1.50</x:v>
      </x:c>
      <x:c r="I1763" s="24" t="str">
        <x:v>DuraVision Chrome UV</x:v>
      </x:c>
      <x:c r="J1763" s="40" t="n">
        <x:v>2413</x:v>
      </x:c>
      <x:c r="K1763" s="24" t="str">
        <x:v>-6.00 a +6.00</x:v>
      </x:c>
      <x:c r="L1763" s="24" t="str">
        <x:v>-4.00</x:v>
      </x:c>
      <x:c r="M1763" s="24" t="str">
        <x:v>0.50 a 1.25</x:v>
      </x:c>
      <x:c r="N1763" s="24" t="str">
        <x:v>70</x:v>
      </x:c>
      <x:c r="O1763" s="24"/>
      <x:c r="P1763" s="24"/>
      <x:c r="Q1763" s="24" t="str">
        <x:v>DISPONÍVEL</x:v>
      </x:c>
      <x:c r="R1763" s="24" t="str">
        <x:v>Programa de Parcerias ZEISS — categoria Experts</x:v>
      </x:c>
      <x:c r="S1763" s="24" t="n">
        <x:v>26</x:v>
      </x:c>
      <x:c r="T1763" s="24" t="str">
        <x:v>tabela_zeiss.pdf</x:v>
      </x:c>
      <x:c r="U1763" s="24" t="str">
        <x:v>ZEISS|Visão Simples Digital|Surfaçada|ClearMind Digital Individual 3|Polarizada|1.5|1.50|DuraVision Chrome UV|-6.00 a +6.00|-4.00|0.50 a 1.25|70|||26</x:v>
      </x:c>
    </x:row>
    <x:row r="1764">
      <x:c r="A1764" s="24" t="str">
        <x:v>ZS-CDB6878A772D</x:v>
      </x:c>
      <x:c r="B1764" s="24" t="str">
        <x:v>ZEISS</x:v>
      </x:c>
      <x:c r="C1764" s="24" t="str">
        <x:v>Visão Simples Digital</x:v>
      </x:c>
      <x:c r="D1764" s="24" t="str">
        <x:v>Surfaçada</x:v>
      </x:c>
      <x:c r="E1764" s="24" t="str">
        <x:v>ClearMind Digital Individual 3</x:v>
      </x:c>
      <x:c r="F1764" s="24" t="str">
        <x:v>Polarizada</x:v>
      </x:c>
      <x:c r="G1764" s="24" t="str">
        <x:v>1.6</x:v>
      </x:c>
      <x:c r="H1764" s="24" t="str">
        <x:v>1.60</x:v>
      </x:c>
      <x:c r="I1764" s="24" t="str">
        <x:v>DuraVision Gold UV</x:v>
      </x:c>
      <x:c r="J1764" s="40" t="n">
        <x:v>3883</x:v>
      </x:c>
      <x:c r="K1764" s="24" t="str">
        <x:v>-8.00 a +8.00</x:v>
      </x:c>
      <x:c r="L1764" s="24" t="str">
        <x:v>-4.00</x:v>
      </x:c>
      <x:c r="M1764" s="24" t="str">
        <x:v>0.50 a 1.25</x:v>
      </x:c>
      <x:c r="N1764" s="24" t="str">
        <x:v>70</x:v>
      </x:c>
      <x:c r="O1764" s="24"/>
      <x:c r="P1764" s="24"/>
      <x:c r="Q1764" s="24" t="str">
        <x:v>DISPONÍVEL</x:v>
      </x:c>
      <x:c r="R1764" s="24" t="str">
        <x:v>Programa de Parcerias ZEISS — categoria Experts</x:v>
      </x:c>
      <x:c r="S1764" s="24" t="n">
        <x:v>26</x:v>
      </x:c>
      <x:c r="T1764" s="24" t="str">
        <x:v>tabela_zeiss.pdf</x:v>
      </x:c>
      <x:c r="U1764" s="24" t="str">
        <x:v>ZEISS|Visão Simples Digital|Surfaçada|ClearMind Digital Individual 3|Polarizada|1.6|1.60|DuraVision Gold UV|-8.00 a +8.00|-4.00|0.50 a 1.25|70|||26</x:v>
      </x:c>
    </x:row>
    <x:row r="1765">
      <x:c r="A1765" s="24" t="str">
        <x:v>ZS-A6A72C2A4C4A</x:v>
      </x:c>
      <x:c r="B1765" s="24" t="str">
        <x:v>ZEISS</x:v>
      </x:c>
      <x:c r="C1765" s="24" t="str">
        <x:v>Visão Simples Digital</x:v>
      </x:c>
      <x:c r="D1765" s="24" t="str">
        <x:v>Surfaçada</x:v>
      </x:c>
      <x:c r="E1765" s="24" t="str">
        <x:v>ClearMind Digital Individual 3</x:v>
      </x:c>
      <x:c r="F1765" s="24" t="str">
        <x:v>Polarizada</x:v>
      </x:c>
      <x:c r="G1765" s="24" t="str">
        <x:v>1.6</x:v>
      </x:c>
      <x:c r="H1765" s="24" t="str">
        <x:v>1.60</x:v>
      </x:c>
      <x:c r="I1765" s="24" t="str">
        <x:v>DuraVision Platinum UV</x:v>
      </x:c>
      <x:c r="J1765" s="40" t="n">
        <x:v>3743</x:v>
      </x:c>
      <x:c r="K1765" s="24" t="str">
        <x:v>-8.00 a +8.00</x:v>
      </x:c>
      <x:c r="L1765" s="24" t="str">
        <x:v>-4.00</x:v>
      </x:c>
      <x:c r="M1765" s="24" t="str">
        <x:v>0.50 a 1.25</x:v>
      </x:c>
      <x:c r="N1765" s="24" t="str">
        <x:v>70</x:v>
      </x:c>
      <x:c r="O1765" s="24"/>
      <x:c r="P1765" s="24"/>
      <x:c r="Q1765" s="24" t="str">
        <x:v>DISPONÍVEL</x:v>
      </x:c>
      <x:c r="R1765" s="24" t="str">
        <x:v>Programa de Parcerias ZEISS — categoria Experts</x:v>
      </x:c>
      <x:c r="S1765" s="24" t="n">
        <x:v>26</x:v>
      </x:c>
      <x:c r="T1765" s="24" t="str">
        <x:v>tabela_zeiss.pdf</x:v>
      </x:c>
      <x:c r="U1765" s="24" t="str">
        <x:v>ZEISS|Visão Simples Digital|Surfaçada|ClearMind Digital Individual 3|Polarizada|1.6|1.60|DuraVision Platinum UV|-8.00 a +8.00|-4.00|0.50 a 1.25|70|||26</x:v>
      </x:c>
    </x:row>
    <x:row r="1766">
      <x:c r="A1766" s="24" t="str">
        <x:v>ZS-A02479D844A4</x:v>
      </x:c>
      <x:c r="B1766" s="24" t="str">
        <x:v>ZEISS</x:v>
      </x:c>
      <x:c r="C1766" s="24" t="str">
        <x:v>Visão Simples Digital</x:v>
      </x:c>
      <x:c r="D1766" s="24" t="str">
        <x:v>Surfaçada</x:v>
      </x:c>
      <x:c r="E1766" s="24" t="str">
        <x:v>ClearMind Digital Individual 3</x:v>
      </x:c>
      <x:c r="F1766" s="24" t="str">
        <x:v>Polarizada</x:v>
      </x:c>
      <x:c r="G1766" s="24" t="str">
        <x:v>1.6</x:v>
      </x:c>
      <x:c r="H1766" s="24" t="str">
        <x:v>1.60</x:v>
      </x:c>
      <x:c r="I1766" s="24" t="str">
        <x:v>DuraVision Silver UV</x:v>
      </x:c>
      <x:c r="J1766" s="40" t="n">
        <x:v>3483</x:v>
      </x:c>
      <x:c r="K1766" s="24" t="str">
        <x:v>-8.00 a +8.00</x:v>
      </x:c>
      <x:c r="L1766" s="24" t="str">
        <x:v>-4.00</x:v>
      </x:c>
      <x:c r="M1766" s="24" t="str">
        <x:v>0.50 a 1.25</x:v>
      </x:c>
      <x:c r="N1766" s="24" t="str">
        <x:v>70</x:v>
      </x:c>
      <x:c r="O1766" s="24"/>
      <x:c r="P1766" s="24"/>
      <x:c r="Q1766" s="24" t="str">
        <x:v>DISPONÍVEL</x:v>
      </x:c>
      <x:c r="R1766" s="24" t="str">
        <x:v>Programa de Parcerias ZEISS — categoria Experts</x:v>
      </x:c>
      <x:c r="S1766" s="24" t="n">
        <x:v>26</x:v>
      </x:c>
      <x:c r="T1766" s="24" t="str">
        <x:v>tabela_zeiss.pdf</x:v>
      </x:c>
      <x:c r="U1766" s="24" t="str">
        <x:v>ZEISS|Visão Simples Digital|Surfaçada|ClearMind Digital Individual 3|Polarizada|1.6|1.60|DuraVision Silver UV|-8.00 a +8.00|-4.00|0.50 a 1.25|70|||26</x:v>
      </x:c>
    </x:row>
    <x:row r="1767">
      <x:c r="A1767" s="24" t="str">
        <x:v>ZS-AD6DA062E759</x:v>
      </x:c>
      <x:c r="B1767" s="24" t="str">
        <x:v>ZEISS</x:v>
      </x:c>
      <x:c r="C1767" s="24" t="str">
        <x:v>Visão Simples Digital</x:v>
      </x:c>
      <x:c r="D1767" s="24" t="str">
        <x:v>Surfaçada</x:v>
      </x:c>
      <x:c r="E1767" s="24" t="str">
        <x:v>ClearMind Digital Individual 3</x:v>
      </x:c>
      <x:c r="F1767" s="24" t="str">
        <x:v>Polarizada</x:v>
      </x:c>
      <x:c r="G1767" s="24" t="str">
        <x:v>1.6</x:v>
      </x:c>
      <x:c r="H1767" s="24" t="str">
        <x:v>1.60</x:v>
      </x:c>
      <x:c r="I1767" s="24" t="str">
        <x:v>DuraVision Chrome UV</x:v>
      </x:c>
      <x:c r="J1767" s="40" t="n">
        <x:v>2993</x:v>
      </x:c>
      <x:c r="K1767" s="24" t="str">
        <x:v>-8.00 a +8.00</x:v>
      </x:c>
      <x:c r="L1767" s="24" t="str">
        <x:v>-4.00</x:v>
      </x:c>
      <x:c r="M1767" s="24" t="str">
        <x:v>0.50 a 1.25</x:v>
      </x:c>
      <x:c r="N1767" s="24" t="str">
        <x:v>70</x:v>
      </x:c>
      <x:c r="O1767" s="24"/>
      <x:c r="P1767" s="24"/>
      <x:c r="Q1767" s="24" t="str">
        <x:v>DISPONÍVEL</x:v>
      </x:c>
      <x:c r="R1767" s="24" t="str">
        <x:v>Programa de Parcerias ZEISS — categoria Experts</x:v>
      </x:c>
      <x:c r="S1767" s="24" t="n">
        <x:v>26</x:v>
      </x:c>
      <x:c r="T1767" s="24" t="str">
        <x:v>tabela_zeiss.pdf</x:v>
      </x:c>
      <x:c r="U1767" s="24" t="str">
        <x:v>ZEISS|Visão Simples Digital|Surfaçada|ClearMind Digital Individual 3|Polarizada|1.6|1.60|DuraVision Chrome UV|-8.00 a +8.00|-4.00|0.50 a 1.25|70|||26</x:v>
      </x:c>
    </x:row>
    <x:row r="1768">
      <x:c r="A1768" s="24" t="str">
        <x:v>ZS-7F0B9F426DFC</x:v>
      </x:c>
      <x:c r="B1768" s="24" t="str">
        <x:v>ZEISS</x:v>
      </x:c>
      <x:c r="C1768" s="24" t="str">
        <x:v>Visão Simples Digital</x:v>
      </x:c>
      <x:c r="D1768" s="24" t="str">
        <x:v>Surfaçada</x:v>
      </x:c>
      <x:c r="E1768" s="24" t="str">
        <x:v>SmartLife Digital Individual 3</x:v>
      </x:c>
      <x:c r="F1768" s="24"/>
      <x:c r="G1768" s="24" t="str">
        <x:v>1.5</x:v>
      </x:c>
      <x:c r="H1768" s="24" t="str">
        <x:v>1.50</x:v>
      </x:c>
      <x:c r="I1768" s="24" t="str">
        <x:v>DuraVision Gold UV</x:v>
      </x:c>
      <x:c r="J1768" s="40" t="n">
        <x:v>2213</x:v>
      </x:c>
      <x:c r="K1768" s="24" t="str">
        <x:v>-6.00 a +4.00</x:v>
      </x:c>
      <x:c r="L1768" s="24" t="str">
        <x:v>-4.00</x:v>
      </x:c>
      <x:c r="M1768" s="24" t="str">
        <x:v>0.50 a 1.25</x:v>
      </x:c>
      <x:c r="N1768" s="24" t="str">
        <x:v>75</x:v>
      </x:c>
      <x:c r="O1768" s="24"/>
      <x:c r="P1768" s="24"/>
      <x:c r="Q1768" s="24" t="str">
        <x:v>DISPONÍVEL</x:v>
      </x:c>
      <x:c r="R1768" s="24"/>
      <x:c r="S1768" s="24" t="n">
        <x:v>27</x:v>
      </x:c>
      <x:c r="T1768" s="24" t="str">
        <x:v>tabela_zeiss.pdf</x:v>
      </x:c>
      <x:c r="U1768" s="24" t="str">
        <x:v>ZEISS|Visão Simples Digital|Surfaçada|SmartLife Digital Individual 3||1.5|1.50|DuraVision Gold UV|-6.00 a +4.00|-4.00|0.50 a 1.25|75|||27</x:v>
      </x:c>
    </x:row>
    <x:row r="1769">
      <x:c r="A1769" s="24" t="str">
        <x:v>ZS-A1F53BA2FEA6</x:v>
      </x:c>
      <x:c r="B1769" s="24" t="str">
        <x:v>ZEISS</x:v>
      </x:c>
      <x:c r="C1769" s="24" t="str">
        <x:v>Visão Simples Digital</x:v>
      </x:c>
      <x:c r="D1769" s="24" t="str">
        <x:v>Surfaçada</x:v>
      </x:c>
      <x:c r="E1769" s="24" t="str">
        <x:v>SmartLife Digital Individual 3</x:v>
      </x:c>
      <x:c r="F1769" s="24"/>
      <x:c r="G1769" s="24" t="str">
        <x:v>1.5</x:v>
      </x:c>
      <x:c r="H1769" s="24" t="str">
        <x:v>1.50</x:v>
      </x:c>
      <x:c r="I1769" s="24" t="str">
        <x:v>DURAVISION® ANTIVÍRUS PLATINUM UV</x:v>
      </x:c>
      <x:c r="J1769" s="40" t="n">
        <x:v>2073</x:v>
      </x:c>
      <x:c r="K1769" s="24" t="str">
        <x:v>-6.00 a +4.00</x:v>
      </x:c>
      <x:c r="L1769" s="24" t="str">
        <x:v>-4.00</x:v>
      </x:c>
      <x:c r="M1769" s="24" t="str">
        <x:v>0.50 a 1.25</x:v>
      </x:c>
      <x:c r="N1769" s="24" t="str">
        <x:v>75</x:v>
      </x:c>
      <x:c r="O1769" s="24"/>
      <x:c r="P1769" s="24"/>
      <x:c r="Q1769" s="24" t="str">
        <x:v>DISPONÍVEL</x:v>
      </x:c>
      <x:c r="R1769" s="24"/>
      <x:c r="S1769" s="24" t="n">
        <x:v>27</x:v>
      </x:c>
      <x:c r="T1769" s="24" t="str">
        <x:v>tabela_zeiss.pdf</x:v>
      </x:c>
      <x:c r="U1769" s="24" t="str">
        <x:v>ZEISS|Visão Simples Digital|Surfaçada|SmartLife Digital Individual 3||1.5|1.50|DURAVISION® ANTIVÍRUS PLATINUM UV|-6.00 a +4.00|-4.00|0.50 a 1.25|75|||27</x:v>
      </x:c>
    </x:row>
    <x:row r="1770">
      <x:c r="A1770" s="24" t="str">
        <x:v>ZS-D0909E0DA676</x:v>
      </x:c>
      <x:c r="B1770" s="24" t="str">
        <x:v>ZEISS</x:v>
      </x:c>
      <x:c r="C1770" s="24" t="str">
        <x:v>Visão Simples Digital</x:v>
      </x:c>
      <x:c r="D1770" s="24" t="str">
        <x:v>Surfaçada</x:v>
      </x:c>
      <x:c r="E1770" s="24" t="str">
        <x:v>SmartLife Digital Individual 3</x:v>
      </x:c>
      <x:c r="F1770" s="24"/>
      <x:c r="G1770" s="24" t="str">
        <x:v>1.5</x:v>
      </x:c>
      <x:c r="H1770" s="24" t="str">
        <x:v>1.50</x:v>
      </x:c>
      <x:c r="I1770" s="24" t="str">
        <x:v>DuraVision Platinum UV</x:v>
      </x:c>
      <x:c r="J1770" s="40" t="n">
        <x:v>2073</x:v>
      </x:c>
      <x:c r="K1770" s="24" t="str">
        <x:v>-6.00 a +4.00</x:v>
      </x:c>
      <x:c r="L1770" s="24" t="str">
        <x:v>-4.00</x:v>
      </x:c>
      <x:c r="M1770" s="24" t="str">
        <x:v>0.50 a 1.25</x:v>
      </x:c>
      <x:c r="N1770" s="24" t="str">
        <x:v>75</x:v>
      </x:c>
      <x:c r="O1770" s="24"/>
      <x:c r="P1770" s="24"/>
      <x:c r="Q1770" s="24" t="str">
        <x:v>DISPONÍVEL</x:v>
      </x:c>
      <x:c r="R1770" s="24"/>
      <x:c r="S1770" s="24" t="n">
        <x:v>27</x:v>
      </x:c>
      <x:c r="T1770" s="24" t="str">
        <x:v>tabela_zeiss.pdf</x:v>
      </x:c>
      <x:c r="U1770" s="24" t="str">
        <x:v>ZEISS|Visão Simples Digital|Surfaçada|SmartLife Digital Individual 3||1.5|1.50|DuraVision Platinum UV|-6.00 a +4.00|-4.00|0.50 a 1.25|75|||27</x:v>
      </x:c>
    </x:row>
    <x:row r="1771">
      <x:c r="A1771" s="24" t="str">
        <x:v>ZS-5FEA8FE94391</x:v>
      </x:c>
      <x:c r="B1771" s="24" t="str">
        <x:v>ZEISS</x:v>
      </x:c>
      <x:c r="C1771" s="24" t="str">
        <x:v>Visão Simples Digital</x:v>
      </x:c>
      <x:c r="D1771" s="24" t="str">
        <x:v>Surfaçada</x:v>
      </x:c>
      <x:c r="E1771" s="24" t="str">
        <x:v>SmartLife Digital Individual 3</x:v>
      </x:c>
      <x:c r="F1771" s="24"/>
      <x:c r="G1771" s="24" t="str">
        <x:v>1.5</x:v>
      </x:c>
      <x:c r="H1771" s="24" t="str">
        <x:v>1.50</x:v>
      </x:c>
      <x:c r="I1771" s="24" t="str">
        <x:v>DuraVision Silver UV</x:v>
      </x:c>
      <x:c r="J1771" s="40" t="n">
        <x:v>1813</x:v>
      </x:c>
      <x:c r="K1771" s="24" t="str">
        <x:v>-6.00 a +4.00</x:v>
      </x:c>
      <x:c r="L1771" s="24" t="str">
        <x:v>-4.00</x:v>
      </x:c>
      <x:c r="M1771" s="24" t="str">
        <x:v>0.50 a 1.25</x:v>
      </x:c>
      <x:c r="N1771" s="24" t="str">
        <x:v>75</x:v>
      </x:c>
      <x:c r="O1771" s="24"/>
      <x:c r="P1771" s="24"/>
      <x:c r="Q1771" s="24" t="str">
        <x:v>DISPONÍVEL</x:v>
      </x:c>
      <x:c r="R1771" s="24"/>
      <x:c r="S1771" s="24" t="n">
        <x:v>27</x:v>
      </x:c>
      <x:c r="T1771" s="24" t="str">
        <x:v>tabela_zeiss.pdf</x:v>
      </x:c>
      <x:c r="U1771" s="24" t="str">
        <x:v>ZEISS|Visão Simples Digital|Surfaçada|SmartLife Digital Individual 3||1.5|1.50|DuraVision Silver UV|-6.00 a +4.00|-4.00|0.50 a 1.25|75|||27</x:v>
      </x:c>
    </x:row>
    <x:row r="1772">
      <x:c r="A1772" s="24" t="str">
        <x:v>ZS-7D159C373D73</x:v>
      </x:c>
      <x:c r="B1772" s="24" t="str">
        <x:v>ZEISS</x:v>
      </x:c>
      <x:c r="C1772" s="24" t="str">
        <x:v>Visão Simples Digital</x:v>
      </x:c>
      <x:c r="D1772" s="24" t="str">
        <x:v>Surfaçada</x:v>
      </x:c>
      <x:c r="E1772" s="24" t="str">
        <x:v>SmartLife Digital Individual 3</x:v>
      </x:c>
      <x:c r="F1772" s="24"/>
      <x:c r="G1772" s="24" t="str">
        <x:v>1.5</x:v>
      </x:c>
      <x:c r="H1772" s="24" t="str">
        <x:v>1.50</x:v>
      </x:c>
      <x:c r="I1772" s="24" t="str">
        <x:v>DuraVision Chrome UV</x:v>
      </x:c>
      <x:c r="J1772" s="40" t="n">
        <x:v>1323</x:v>
      </x:c>
      <x:c r="K1772" s="24" t="str">
        <x:v>-6.00 a +4.00</x:v>
      </x:c>
      <x:c r="L1772" s="24" t="str">
        <x:v>-4.00</x:v>
      </x:c>
      <x:c r="M1772" s="24" t="str">
        <x:v>0.50 a 1.25</x:v>
      </x:c>
      <x:c r="N1772" s="24" t="str">
        <x:v>75</x:v>
      </x:c>
      <x:c r="O1772" s="24"/>
      <x:c r="P1772" s="24"/>
      <x:c r="Q1772" s="24" t="str">
        <x:v>DISPONÍVEL</x:v>
      </x:c>
      <x:c r="R1772" s="24"/>
      <x:c r="S1772" s="24" t="n">
        <x:v>27</x:v>
      </x:c>
      <x:c r="T1772" s="24" t="str">
        <x:v>tabela_zeiss.pdf</x:v>
      </x:c>
      <x:c r="U1772" s="24" t="str">
        <x:v>ZEISS|Visão Simples Digital|Surfaçada|SmartLife Digital Individual 3||1.5|1.50|DuraVision Chrome UV|-6.00 a +4.00|-4.00|0.50 a 1.25|75|||27</x:v>
      </x:c>
    </x:row>
    <x:row r="1773">
      <x:c r="A1773" s="24" t="str">
        <x:v>ZS-EF02F9E7B0FC</x:v>
      </x:c>
      <x:c r="B1773" s="24" t="str">
        <x:v>ZEISS</x:v>
      </x:c>
      <x:c r="C1773" s="24" t="str">
        <x:v>Visão Simples Digital</x:v>
      </x:c>
      <x:c r="D1773" s="24" t="str">
        <x:v>Surfaçada</x:v>
      </x:c>
      <x:c r="E1773" s="24" t="str">
        <x:v>SmartLife Digital Individual 3</x:v>
      </x:c>
      <x:c r="F1773" s="24"/>
      <x:c r="G1773" s="24" t="str">
        <x:v>Poli</x:v>
      </x:c>
      <x:c r="H1773" s="24"/>
      <x:c r="I1773" s="24" t="str">
        <x:v>DuraVision Gold UV</x:v>
      </x:c>
      <x:c r="J1773" s="40" t="n">
        <x:v>2573</x:v>
      </x:c>
      <x:c r="K1773" s="24" t="str">
        <x:v>-10.00 a +6.00</x:v>
      </x:c>
      <x:c r="L1773" s="24" t="str">
        <x:v>-6.00</x:v>
      </x:c>
      <x:c r="M1773" s="24" t="str">
        <x:v>0.50 a 1.25</x:v>
      </x:c>
      <x:c r="N1773" s="24" t="str">
        <x:v>70</x:v>
      </x:c>
      <x:c r="O1773" s="24"/>
      <x:c r="P1773" s="24"/>
      <x:c r="Q1773" s="24" t="str">
        <x:v>DISPONÍVEL</x:v>
      </x:c>
      <x:c r="R1773" s="24"/>
      <x:c r="S1773" s="24" t="n">
        <x:v>27</x:v>
      </x:c>
      <x:c r="T1773" s="24" t="str">
        <x:v>tabela_zeiss.pdf</x:v>
      </x:c>
      <x:c r="U1773" s="24" t="str">
        <x:v>ZEISS|Visão Simples Digital|Surfaçada|SmartLife Digital Individual 3||Poli||DuraVision Gold UV|-10.00 a +6.00|-6.00|0.50 a 1.25|70|||27</x:v>
      </x:c>
    </x:row>
    <x:row r="1774">
      <x:c r="A1774" s="24" t="str">
        <x:v>ZS-0E4DE3FAFB0C</x:v>
      </x:c>
      <x:c r="B1774" s="24" t="str">
        <x:v>ZEISS</x:v>
      </x:c>
      <x:c r="C1774" s="24" t="str">
        <x:v>Visão Simples Digital</x:v>
      </x:c>
      <x:c r="D1774" s="24" t="str">
        <x:v>Surfaçada</x:v>
      </x:c>
      <x:c r="E1774" s="24" t="str">
        <x:v>SmartLife Digital Individual 3</x:v>
      </x:c>
      <x:c r="F1774" s="24"/>
      <x:c r="G1774" s="24" t="str">
        <x:v>Poli</x:v>
      </x:c>
      <x:c r="H1774" s="24"/>
      <x:c r="I1774" s="24" t="str">
        <x:v>DuraVision Platinum UV</x:v>
      </x:c>
      <x:c r="J1774" s="40" t="n">
        <x:v>2433</x:v>
      </x:c>
      <x:c r="K1774" s="24" t="str">
        <x:v>-10.00 a +6.00</x:v>
      </x:c>
      <x:c r="L1774" s="24" t="str">
        <x:v>-6.00</x:v>
      </x:c>
      <x:c r="M1774" s="24" t="str">
        <x:v>0.50 a 1.25</x:v>
      </x:c>
      <x:c r="N1774" s="24" t="str">
        <x:v>70</x:v>
      </x:c>
      <x:c r="O1774" s="24"/>
      <x:c r="P1774" s="24"/>
      <x:c r="Q1774" s="24" t="str">
        <x:v>DISPONÍVEL</x:v>
      </x:c>
      <x:c r="R1774" s="24"/>
      <x:c r="S1774" s="24" t="n">
        <x:v>27</x:v>
      </x:c>
      <x:c r="T1774" s="24" t="str">
        <x:v>tabela_zeiss.pdf</x:v>
      </x:c>
      <x:c r="U1774" s="24" t="str">
        <x:v>ZEISS|Visão Simples Digital|Surfaçada|SmartLife Digital Individual 3||Poli||DuraVision Platinum UV|-10.00 a +6.00|-6.00|0.50 a 1.25|70|||27</x:v>
      </x:c>
    </x:row>
    <x:row r="1775">
      <x:c r="A1775" s="24" t="str">
        <x:v>ZS-B60F50EF0FC2</x:v>
      </x:c>
      <x:c r="B1775" s="24" t="str">
        <x:v>ZEISS</x:v>
      </x:c>
      <x:c r="C1775" s="24" t="str">
        <x:v>Visão Simples Digital</x:v>
      </x:c>
      <x:c r="D1775" s="24" t="str">
        <x:v>Surfaçada</x:v>
      </x:c>
      <x:c r="E1775" s="24" t="str">
        <x:v>SmartLife Digital Individual 3</x:v>
      </x:c>
      <x:c r="F1775" s="24"/>
      <x:c r="G1775" s="24" t="str">
        <x:v>Poli</x:v>
      </x:c>
      <x:c r="H1775" s="24"/>
      <x:c r="I1775" s="24" t="str">
        <x:v>DuraVision Silver UV</x:v>
      </x:c>
      <x:c r="J1775" s="40" t="n">
        <x:v>2173</x:v>
      </x:c>
      <x:c r="K1775" s="24" t="str">
        <x:v>-10.00 a +6.00</x:v>
      </x:c>
      <x:c r="L1775" s="24" t="str">
        <x:v>-6.00</x:v>
      </x:c>
      <x:c r="M1775" s="24" t="str">
        <x:v>0.50 a 1.25</x:v>
      </x:c>
      <x:c r="N1775" s="24" t="str">
        <x:v>70</x:v>
      </x:c>
      <x:c r="O1775" s="24"/>
      <x:c r="P1775" s="24"/>
      <x:c r="Q1775" s="24" t="str">
        <x:v>DISPONÍVEL</x:v>
      </x:c>
      <x:c r="R1775" s="24"/>
      <x:c r="S1775" s="24" t="n">
        <x:v>27</x:v>
      </x:c>
      <x:c r="T1775" s="24" t="str">
        <x:v>tabela_zeiss.pdf</x:v>
      </x:c>
      <x:c r="U1775" s="24" t="str">
        <x:v>ZEISS|Visão Simples Digital|Surfaçada|SmartLife Digital Individual 3||Poli||DuraVision Silver UV|-10.00 a +6.00|-6.00|0.50 a 1.25|70|||27</x:v>
      </x:c>
    </x:row>
    <x:row r="1776">
      <x:c r="A1776" s="24" t="str">
        <x:v>ZS-377E1E293C0F</x:v>
      </x:c>
      <x:c r="B1776" s="24" t="str">
        <x:v>ZEISS</x:v>
      </x:c>
      <x:c r="C1776" s="24" t="str">
        <x:v>Visão Simples Digital</x:v>
      </x:c>
      <x:c r="D1776" s="24" t="str">
        <x:v>Surfaçada</x:v>
      </x:c>
      <x:c r="E1776" s="24" t="str">
        <x:v>SmartLife Digital Individual 3</x:v>
      </x:c>
      <x:c r="F1776" s="24"/>
      <x:c r="G1776" s="24" t="str">
        <x:v>Poli</x:v>
      </x:c>
      <x:c r="H1776" s="24"/>
      <x:c r="I1776" s="24" t="str">
        <x:v>DuraVision Chrome UV</x:v>
      </x:c>
      <x:c r="J1776" s="40" t="n">
        <x:v>1683</x:v>
      </x:c>
      <x:c r="K1776" s="24" t="str">
        <x:v>-10.00 a +6.00</x:v>
      </x:c>
      <x:c r="L1776" s="24" t="str">
        <x:v>-6.00</x:v>
      </x:c>
      <x:c r="M1776" s="24" t="str">
        <x:v>0.50 a 1.25</x:v>
      </x:c>
      <x:c r="N1776" s="24" t="str">
        <x:v>70</x:v>
      </x:c>
      <x:c r="O1776" s="24"/>
      <x:c r="P1776" s="24"/>
      <x:c r="Q1776" s="24" t="str">
        <x:v>DISPONÍVEL</x:v>
      </x:c>
      <x:c r="R1776" s="24"/>
      <x:c r="S1776" s="24" t="n">
        <x:v>27</x:v>
      </x:c>
      <x:c r="T1776" s="24" t="str">
        <x:v>tabela_zeiss.pdf</x:v>
      </x:c>
      <x:c r="U1776" s="24" t="str">
        <x:v>ZEISS|Visão Simples Digital|Surfaçada|SmartLife Digital Individual 3||Poli||DuraVision Chrome UV|-10.00 a +6.00|-6.00|0.50 a 1.25|70|||27</x:v>
      </x:c>
    </x:row>
    <x:row r="1777">
      <x:c r="A1777" s="24" t="str">
        <x:v>ZS-6697DEE654EB</x:v>
      </x:c>
      <x:c r="B1777" s="24" t="str">
        <x:v>ZEISS</x:v>
      </x:c>
      <x:c r="C1777" s="24" t="str">
        <x:v>Visão Simples Digital</x:v>
      </x:c>
      <x:c r="D1777" s="24" t="str">
        <x:v>Surfaçada</x:v>
      </x:c>
      <x:c r="E1777" s="24" t="str">
        <x:v>SmartLife Digital Individual 3</x:v>
      </x:c>
      <x:c r="F1777" s="24"/>
      <x:c r="G1777" s="24" t="str">
        <x:v>1.6</x:v>
      </x:c>
      <x:c r="H1777" s="24" t="str">
        <x:v>1.60</x:v>
      </x:c>
      <x:c r="I1777" s="24" t="str">
        <x:v>DuraVision Gold UV</x:v>
      </x:c>
      <x:c r="J1777" s="40" t="n">
        <x:v>2793</x:v>
      </x:c>
      <x:c r="K1777" s="24" t="str">
        <x:v>-7.25 a +6.00</x:v>
      </x:c>
      <x:c r="L1777" s="24" t="str">
        <x:v>-6.00</x:v>
      </x:c>
      <x:c r="M1777" s="24" t="str">
        <x:v>0.50 a 1.25</x:v>
      </x:c>
      <x:c r="N1777" s="24" t="str">
        <x:v>75</x:v>
      </x:c>
      <x:c r="O1777" s="24"/>
      <x:c r="P1777" s="24"/>
      <x:c r="Q1777" s="24" t="str">
        <x:v>DISPONÍVEL</x:v>
      </x:c>
      <x:c r="R1777" s="24"/>
      <x:c r="S1777" s="24" t="n">
        <x:v>27</x:v>
      </x:c>
      <x:c r="T1777" s="24" t="str">
        <x:v>tabela_zeiss.pdf</x:v>
      </x:c>
      <x:c r="U1777" s="24" t="str">
        <x:v>ZEISS|Visão Simples Digital|Surfaçada|SmartLife Digital Individual 3||1.6|1.60|DuraVision Gold UV|-7.25 a +6.00|-6.00|0.50 a 1.25|75|||27</x:v>
      </x:c>
    </x:row>
    <x:row r="1778">
      <x:c r="A1778" s="24" t="str">
        <x:v>ZS-E574F407F12C</x:v>
      </x:c>
      <x:c r="B1778" s="24" t="str">
        <x:v>ZEISS</x:v>
      </x:c>
      <x:c r="C1778" s="24" t="str">
        <x:v>Visão Simples Digital</x:v>
      </x:c>
      <x:c r="D1778" s="24" t="str">
        <x:v>Surfaçada</x:v>
      </x:c>
      <x:c r="E1778" s="24" t="str">
        <x:v>SmartLife Digital Individual 3</x:v>
      </x:c>
      <x:c r="F1778" s="24"/>
      <x:c r="G1778" s="24" t="str">
        <x:v>1.6</x:v>
      </x:c>
      <x:c r="H1778" s="24" t="str">
        <x:v>1.60</x:v>
      </x:c>
      <x:c r="I1778" s="24" t="str">
        <x:v>DURAVISION® ANTIVÍRUS PLATINUM UV</x:v>
      </x:c>
      <x:c r="J1778" s="40" t="n">
        <x:v>2653</x:v>
      </x:c>
      <x:c r="K1778" s="24" t="str">
        <x:v>-7.25 a +6.00</x:v>
      </x:c>
      <x:c r="L1778" s="24" t="str">
        <x:v>-6.00</x:v>
      </x:c>
      <x:c r="M1778" s="24" t="str">
        <x:v>0.50 a 1.25</x:v>
      </x:c>
      <x:c r="N1778" s="24" t="str">
        <x:v>75</x:v>
      </x:c>
      <x:c r="O1778" s="24"/>
      <x:c r="P1778" s="24"/>
      <x:c r="Q1778" s="24" t="str">
        <x:v>DISPONÍVEL</x:v>
      </x:c>
      <x:c r="R1778" s="24"/>
      <x:c r="S1778" s="24" t="n">
        <x:v>27</x:v>
      </x:c>
      <x:c r="T1778" s="24" t="str">
        <x:v>tabela_zeiss.pdf</x:v>
      </x:c>
      <x:c r="U1778" s="24" t="str">
        <x:v>ZEISS|Visão Simples Digital|Surfaçada|SmartLife Digital Individual 3||1.6|1.60|DURAVISION® ANTIVÍRUS PLATINUM UV|-7.25 a +6.00|-6.00|0.50 a 1.25|75|||27</x:v>
      </x:c>
    </x:row>
    <x:row r="1779">
      <x:c r="A1779" s="24" t="str">
        <x:v>ZS-EEA30D659CCC</x:v>
      </x:c>
      <x:c r="B1779" s="24" t="str">
        <x:v>ZEISS</x:v>
      </x:c>
      <x:c r="C1779" s="24" t="str">
        <x:v>Visão Simples Digital</x:v>
      </x:c>
      <x:c r="D1779" s="24" t="str">
        <x:v>Surfaçada</x:v>
      </x:c>
      <x:c r="E1779" s="24" t="str">
        <x:v>SmartLife Digital Individual 3</x:v>
      </x:c>
      <x:c r="F1779" s="24"/>
      <x:c r="G1779" s="24" t="str">
        <x:v>1.6</x:v>
      </x:c>
      <x:c r="H1779" s="24" t="str">
        <x:v>1.60</x:v>
      </x:c>
      <x:c r="I1779" s="24" t="str">
        <x:v>DuraVision Platinum UV</x:v>
      </x:c>
      <x:c r="J1779" s="40" t="n">
        <x:v>2653</x:v>
      </x:c>
      <x:c r="K1779" s="24" t="str">
        <x:v>-7.25 a +6.00</x:v>
      </x:c>
      <x:c r="L1779" s="24" t="str">
        <x:v>-6.00</x:v>
      </x:c>
      <x:c r="M1779" s="24" t="str">
        <x:v>0.50 a 1.25</x:v>
      </x:c>
      <x:c r="N1779" s="24" t="str">
        <x:v>75</x:v>
      </x:c>
      <x:c r="O1779" s="24"/>
      <x:c r="P1779" s="24"/>
      <x:c r="Q1779" s="24" t="str">
        <x:v>DISPONÍVEL</x:v>
      </x:c>
      <x:c r="R1779" s="24"/>
      <x:c r="S1779" s="24" t="n">
        <x:v>27</x:v>
      </x:c>
      <x:c r="T1779" s="24" t="str">
        <x:v>tabela_zeiss.pdf</x:v>
      </x:c>
      <x:c r="U1779" s="24" t="str">
        <x:v>ZEISS|Visão Simples Digital|Surfaçada|SmartLife Digital Individual 3||1.6|1.60|DuraVision Platinum UV|-7.25 a +6.00|-6.00|0.50 a 1.25|75|||27</x:v>
      </x:c>
    </x:row>
    <x:row r="1780">
      <x:c r="A1780" s="24" t="str">
        <x:v>ZS-96C554FF0AC5</x:v>
      </x:c>
      <x:c r="B1780" s="24" t="str">
        <x:v>ZEISS</x:v>
      </x:c>
      <x:c r="C1780" s="24" t="str">
        <x:v>Visão Simples Digital</x:v>
      </x:c>
      <x:c r="D1780" s="24" t="str">
        <x:v>Surfaçada</x:v>
      </x:c>
      <x:c r="E1780" s="24" t="str">
        <x:v>SmartLife Digital Individual 3</x:v>
      </x:c>
      <x:c r="F1780" s="24"/>
      <x:c r="G1780" s="24" t="str">
        <x:v>1.6</x:v>
      </x:c>
      <x:c r="H1780" s="24" t="str">
        <x:v>1.60</x:v>
      </x:c>
      <x:c r="I1780" s="24" t="str">
        <x:v>DuraVision Silver UV</x:v>
      </x:c>
      <x:c r="J1780" s="40" t="n">
        <x:v>2393</x:v>
      </x:c>
      <x:c r="K1780" s="24" t="str">
        <x:v>-7.25 a +6.00</x:v>
      </x:c>
      <x:c r="L1780" s="24" t="str">
        <x:v>-6.00</x:v>
      </x:c>
      <x:c r="M1780" s="24" t="str">
        <x:v>0.50 a 1.25</x:v>
      </x:c>
      <x:c r="N1780" s="24" t="str">
        <x:v>75</x:v>
      </x:c>
      <x:c r="O1780" s="24"/>
      <x:c r="P1780" s="24"/>
      <x:c r="Q1780" s="24" t="str">
        <x:v>DISPONÍVEL</x:v>
      </x:c>
      <x:c r="R1780" s="24"/>
      <x:c r="S1780" s="24" t="n">
        <x:v>27</x:v>
      </x:c>
      <x:c r="T1780" s="24" t="str">
        <x:v>tabela_zeiss.pdf</x:v>
      </x:c>
      <x:c r="U1780" s="24" t="str">
        <x:v>ZEISS|Visão Simples Digital|Surfaçada|SmartLife Digital Individual 3||1.6|1.60|DuraVision Silver UV|-7.25 a +6.00|-6.00|0.50 a 1.25|75|||27</x:v>
      </x:c>
    </x:row>
    <x:row r="1781">
      <x:c r="A1781" s="24" t="str">
        <x:v>ZS-DCF5562522A1</x:v>
      </x:c>
      <x:c r="B1781" s="24" t="str">
        <x:v>ZEISS</x:v>
      </x:c>
      <x:c r="C1781" s="24" t="str">
        <x:v>Visão Simples Digital</x:v>
      </x:c>
      <x:c r="D1781" s="24" t="str">
        <x:v>Surfaçada</x:v>
      </x:c>
      <x:c r="E1781" s="24" t="str">
        <x:v>SmartLife Digital Individual 3</x:v>
      </x:c>
      <x:c r="F1781" s="24"/>
      <x:c r="G1781" s="24" t="str">
        <x:v>1.6</x:v>
      </x:c>
      <x:c r="H1781" s="24" t="str">
        <x:v>1.60</x:v>
      </x:c>
      <x:c r="I1781" s="24" t="str">
        <x:v>DuraVision Chrome UV</x:v>
      </x:c>
      <x:c r="J1781" s="40" t="n">
        <x:v>1903</x:v>
      </x:c>
      <x:c r="K1781" s="24" t="str">
        <x:v>-7.25 a +6.00</x:v>
      </x:c>
      <x:c r="L1781" s="24" t="str">
        <x:v>-6.00</x:v>
      </x:c>
      <x:c r="M1781" s="24" t="str">
        <x:v>0.50 a 1.25</x:v>
      </x:c>
      <x:c r="N1781" s="24" t="str">
        <x:v>75</x:v>
      </x:c>
      <x:c r="O1781" s="24"/>
      <x:c r="P1781" s="24"/>
      <x:c r="Q1781" s="24" t="str">
        <x:v>DISPONÍVEL</x:v>
      </x:c>
      <x:c r="R1781" s="24"/>
      <x:c r="S1781" s="24" t="n">
        <x:v>27</x:v>
      </x:c>
      <x:c r="T1781" s="24" t="str">
        <x:v>tabela_zeiss.pdf</x:v>
      </x:c>
      <x:c r="U1781" s="24" t="str">
        <x:v>ZEISS|Visão Simples Digital|Surfaçada|SmartLife Digital Individual 3||1.6|1.60|DuraVision Chrome UV|-7.25 a +6.00|-6.00|0.50 a 1.25|75|||27</x:v>
      </x:c>
    </x:row>
    <x:row r="1782">
      <x:c r="A1782" s="24" t="str">
        <x:v>ZS-40DD6143DB47</x:v>
      </x:c>
      <x:c r="B1782" s="24" t="str">
        <x:v>ZEISS</x:v>
      </x:c>
      <x:c r="C1782" s="24" t="str">
        <x:v>Visão Simples Digital</x:v>
      </x:c>
      <x:c r="D1782" s="24" t="str">
        <x:v>Surfaçada</x:v>
      </x:c>
      <x:c r="E1782" s="24" t="str">
        <x:v>SmartLife Digital Individual 3</x:v>
      </x:c>
      <x:c r="F1782" s="24"/>
      <x:c r="G1782" s="24" t="str">
        <x:v>1.67</x:v>
      </x:c>
      <x:c r="H1782" s="24" t="str">
        <x:v>1.67</x:v>
      </x:c>
      <x:c r="I1782" s="24" t="str">
        <x:v>DuraVision Gold UV</x:v>
      </x:c>
      <x:c r="J1782" s="40" t="n">
        <x:v>4093</x:v>
      </x:c>
      <x:c r="K1782" s="24" t="str">
        <x:v>-8.00 a +8.00</x:v>
      </x:c>
      <x:c r="L1782" s="24" t="str">
        <x:v>-6.00</x:v>
      </x:c>
      <x:c r="M1782" s="24" t="str">
        <x:v>0.50 a 1.25</x:v>
      </x:c>
      <x:c r="N1782" s="24" t="str">
        <x:v>70</x:v>
      </x:c>
      <x:c r="O1782" s="24"/>
      <x:c r="P1782" s="24"/>
      <x:c r="Q1782" s="24" t="str">
        <x:v>DISPONÍVEL</x:v>
      </x:c>
      <x:c r="R1782" s="24"/>
      <x:c r="S1782" s="24" t="n">
        <x:v>27</x:v>
      </x:c>
      <x:c r="T1782" s="24" t="str">
        <x:v>tabela_zeiss.pdf</x:v>
      </x:c>
      <x:c r="U1782" s="24" t="str">
        <x:v>ZEISS|Visão Simples Digital|Surfaçada|SmartLife Digital Individual 3||1.67|1.67|DuraVision Gold UV|-8.00 a +8.00|-6.00|0.50 a 1.25|70|||27</x:v>
      </x:c>
    </x:row>
    <x:row r="1783">
      <x:c r="A1783" s="24" t="str">
        <x:v>ZS-5A077DCA6491</x:v>
      </x:c>
      <x:c r="B1783" s="24" t="str">
        <x:v>ZEISS</x:v>
      </x:c>
      <x:c r="C1783" s="24" t="str">
        <x:v>Visão Simples Digital</x:v>
      </x:c>
      <x:c r="D1783" s="24" t="str">
        <x:v>Surfaçada</x:v>
      </x:c>
      <x:c r="E1783" s="24" t="str">
        <x:v>SmartLife Digital Individual 3</x:v>
      </x:c>
      <x:c r="F1783" s="24"/>
      <x:c r="G1783" s="24" t="str">
        <x:v>1.67</x:v>
      </x:c>
      <x:c r="H1783" s="24" t="str">
        <x:v>1.67</x:v>
      </x:c>
      <x:c r="I1783" s="24" t="str">
        <x:v>DURAVISION® ANTIVÍRUS PLATINUM UV</x:v>
      </x:c>
      <x:c r="J1783" s="40" t="n">
        <x:v>3953</x:v>
      </x:c>
      <x:c r="K1783" s="24" t="str">
        <x:v>-8.00 a +8.00</x:v>
      </x:c>
      <x:c r="L1783" s="24" t="str">
        <x:v>-6.00</x:v>
      </x:c>
      <x:c r="M1783" s="24" t="str">
        <x:v>0.50 a 1.25</x:v>
      </x:c>
      <x:c r="N1783" s="24" t="str">
        <x:v>70</x:v>
      </x:c>
      <x:c r="O1783" s="24"/>
      <x:c r="P1783" s="24"/>
      <x:c r="Q1783" s="24" t="str">
        <x:v>DISPONÍVEL</x:v>
      </x:c>
      <x:c r="R1783" s="24"/>
      <x:c r="S1783" s="24" t="n">
        <x:v>27</x:v>
      </x:c>
      <x:c r="T1783" s="24" t="str">
        <x:v>tabela_zeiss.pdf</x:v>
      </x:c>
      <x:c r="U1783" s="24" t="str">
        <x:v>ZEISS|Visão Simples Digital|Surfaçada|SmartLife Digital Individual 3||1.67|1.67|DURAVISION® ANTIVÍRUS PLATINUM UV|-8.00 a +8.00|-6.00|0.50 a 1.25|70|||27</x:v>
      </x:c>
    </x:row>
    <x:row r="1784">
      <x:c r="A1784" s="24" t="str">
        <x:v>ZS-38AFE2FADB9A</x:v>
      </x:c>
      <x:c r="B1784" s="24" t="str">
        <x:v>ZEISS</x:v>
      </x:c>
      <x:c r="C1784" s="24" t="str">
        <x:v>Visão Simples Digital</x:v>
      </x:c>
      <x:c r="D1784" s="24" t="str">
        <x:v>Surfaçada</x:v>
      </x:c>
      <x:c r="E1784" s="24" t="str">
        <x:v>SmartLife Digital Individual 3</x:v>
      </x:c>
      <x:c r="F1784" s="24"/>
      <x:c r="G1784" s="24" t="str">
        <x:v>1.67</x:v>
      </x:c>
      <x:c r="H1784" s="24" t="str">
        <x:v>1.67</x:v>
      </x:c>
      <x:c r="I1784" s="24" t="str">
        <x:v>DuraVision Platinum UV</x:v>
      </x:c>
      <x:c r="J1784" s="40" t="n">
        <x:v>3953</x:v>
      </x:c>
      <x:c r="K1784" s="24" t="str">
        <x:v>-8.00 a +8.00</x:v>
      </x:c>
      <x:c r="L1784" s="24" t="str">
        <x:v>-6.00</x:v>
      </x:c>
      <x:c r="M1784" s="24" t="str">
        <x:v>0.50 a 1.25</x:v>
      </x:c>
      <x:c r="N1784" s="24" t="str">
        <x:v>70</x:v>
      </x:c>
      <x:c r="O1784" s="24"/>
      <x:c r="P1784" s="24"/>
      <x:c r="Q1784" s="24" t="str">
        <x:v>DISPONÍVEL</x:v>
      </x:c>
      <x:c r="R1784" s="24"/>
      <x:c r="S1784" s="24" t="n">
        <x:v>27</x:v>
      </x:c>
      <x:c r="T1784" s="24" t="str">
        <x:v>tabela_zeiss.pdf</x:v>
      </x:c>
      <x:c r="U1784" s="24" t="str">
        <x:v>ZEISS|Visão Simples Digital|Surfaçada|SmartLife Digital Individual 3||1.67|1.67|DuraVision Platinum UV|-8.00 a +8.00|-6.00|0.50 a 1.25|70|||27</x:v>
      </x:c>
    </x:row>
    <x:row r="1785">
      <x:c r="A1785" s="24" t="str">
        <x:v>ZS-AE7C233A3474</x:v>
      </x:c>
      <x:c r="B1785" s="24" t="str">
        <x:v>ZEISS</x:v>
      </x:c>
      <x:c r="C1785" s="24" t="str">
        <x:v>Visão Simples Digital</x:v>
      </x:c>
      <x:c r="D1785" s="24" t="str">
        <x:v>Surfaçada</x:v>
      </x:c>
      <x:c r="E1785" s="24" t="str">
        <x:v>SmartLife Digital Individual 3</x:v>
      </x:c>
      <x:c r="F1785" s="24"/>
      <x:c r="G1785" s="24" t="str">
        <x:v>1.67</x:v>
      </x:c>
      <x:c r="H1785" s="24" t="str">
        <x:v>1.67</x:v>
      </x:c>
      <x:c r="I1785" s="24" t="str">
        <x:v>DuraVision Silver UV</x:v>
      </x:c>
      <x:c r="J1785" s="40" t="n">
        <x:v>3693</x:v>
      </x:c>
      <x:c r="K1785" s="24" t="str">
        <x:v>-8.00 a +8.00</x:v>
      </x:c>
      <x:c r="L1785" s="24" t="str">
        <x:v>-6.00</x:v>
      </x:c>
      <x:c r="M1785" s="24" t="str">
        <x:v>0.50 a 1.25</x:v>
      </x:c>
      <x:c r="N1785" s="24" t="str">
        <x:v>70</x:v>
      </x:c>
      <x:c r="O1785" s="24"/>
      <x:c r="P1785" s="24"/>
      <x:c r="Q1785" s="24" t="str">
        <x:v>DISPONÍVEL</x:v>
      </x:c>
      <x:c r="R1785" s="24"/>
      <x:c r="S1785" s="24" t="n">
        <x:v>27</x:v>
      </x:c>
      <x:c r="T1785" s="24" t="str">
        <x:v>tabela_zeiss.pdf</x:v>
      </x:c>
      <x:c r="U1785" s="24" t="str">
        <x:v>ZEISS|Visão Simples Digital|Surfaçada|SmartLife Digital Individual 3||1.67|1.67|DuraVision Silver UV|-8.00 a +8.00|-6.00|0.50 a 1.25|70|||27</x:v>
      </x:c>
    </x:row>
    <x:row r="1786">
      <x:c r="A1786" s="24" t="str">
        <x:v>ZS-E35834890871</x:v>
      </x:c>
      <x:c r="B1786" s="24" t="str">
        <x:v>ZEISS</x:v>
      </x:c>
      <x:c r="C1786" s="24" t="str">
        <x:v>Visão Simples Digital</x:v>
      </x:c>
      <x:c r="D1786" s="24" t="str">
        <x:v>Surfaçada</x:v>
      </x:c>
      <x:c r="E1786" s="24" t="str">
        <x:v>SmartLife Digital Individual 3</x:v>
      </x:c>
      <x:c r="F1786" s="24"/>
      <x:c r="G1786" s="24" t="str">
        <x:v>1.67</x:v>
      </x:c>
      <x:c r="H1786" s="24" t="str">
        <x:v>1.67</x:v>
      </x:c>
      <x:c r="I1786" s="24" t="str">
        <x:v>DuraVision Chrome UV</x:v>
      </x:c>
      <x:c r="J1786" s="40" t="n">
        <x:v>3203</x:v>
      </x:c>
      <x:c r="K1786" s="24" t="str">
        <x:v>-8.00 a +8.00</x:v>
      </x:c>
      <x:c r="L1786" s="24" t="str">
        <x:v>-6.00</x:v>
      </x:c>
      <x:c r="M1786" s="24" t="str">
        <x:v>0.50 a 1.25</x:v>
      </x:c>
      <x:c r="N1786" s="24" t="str">
        <x:v>70</x:v>
      </x:c>
      <x:c r="O1786" s="24"/>
      <x:c r="P1786" s="24"/>
      <x:c r="Q1786" s="24" t="str">
        <x:v>DISPONÍVEL</x:v>
      </x:c>
      <x:c r="R1786" s="24"/>
      <x:c r="S1786" s="24" t="n">
        <x:v>27</x:v>
      </x:c>
      <x:c r="T1786" s="24" t="str">
        <x:v>tabela_zeiss.pdf</x:v>
      </x:c>
      <x:c r="U1786" s="24" t="str">
        <x:v>ZEISS|Visão Simples Digital|Surfaçada|SmartLife Digital Individual 3||1.67|1.67|DuraVision Chrome UV|-8.00 a +8.00|-6.00|0.50 a 1.25|70|||27</x:v>
      </x:c>
    </x:row>
    <x:row r="1787">
      <x:c r="A1787" s="24" t="str">
        <x:v>ZS-44BC09C56766</x:v>
      </x:c>
      <x:c r="B1787" s="24" t="str">
        <x:v>ZEISS</x:v>
      </x:c>
      <x:c r="C1787" s="24" t="str">
        <x:v>Visão Simples Digital</x:v>
      </x:c>
      <x:c r="D1787" s="24" t="str">
        <x:v>Surfaçada</x:v>
      </x:c>
      <x:c r="E1787" s="24" t="str">
        <x:v>SmartLife Digital Individual 3</x:v>
      </x:c>
      <x:c r="F1787" s="24"/>
      <x:c r="G1787" s="24" t="str">
        <x:v>1.74</x:v>
      </x:c>
      <x:c r="H1787" s="24" t="str">
        <x:v>1.74</x:v>
      </x:c>
      <x:c r="I1787" s="24" t="str">
        <x:v>DuraVision Gold UV</x:v>
      </x:c>
      <x:c r="J1787" s="40" t="n">
        <x:v>4403</x:v>
      </x:c>
      <x:c r="K1787" s="24" t="str">
        <x:v>-10.00 a +7.00</x:v>
      </x:c>
      <x:c r="L1787" s="24" t="str">
        <x:v>-4.00</x:v>
      </x:c>
      <x:c r="M1787" s="24" t="str">
        <x:v>0.50 a 1.25</x:v>
      </x:c>
      <x:c r="N1787" s="24" t="str">
        <x:v>70 a 75</x:v>
      </x:c>
      <x:c r="O1787" s="24"/>
      <x:c r="P1787" s="24"/>
      <x:c r="Q1787" s="24" t="str">
        <x:v>DISPONÍVEL</x:v>
      </x:c>
      <x:c r="R1787" s="24"/>
      <x:c r="S1787" s="24" t="n">
        <x:v>27</x:v>
      </x:c>
      <x:c r="T1787" s="24" t="str">
        <x:v>tabela_zeiss.pdf</x:v>
      </x:c>
      <x:c r="U1787" s="24" t="str">
        <x:v>ZEISS|Visão Simples Digital|Surfaçada|SmartLife Digital Individual 3||1.74|1.74|DuraVision Gold UV|-10.00 a +7.00|-4.00|0.50 a 1.25|70 a 75|||27</x:v>
      </x:c>
    </x:row>
    <x:row r="1788">
      <x:c r="A1788" s="24" t="str">
        <x:v>ZS-7BBFDA706A25</x:v>
      </x:c>
      <x:c r="B1788" s="24" t="str">
        <x:v>ZEISS</x:v>
      </x:c>
      <x:c r="C1788" s="24" t="str">
        <x:v>Visão Simples Digital</x:v>
      </x:c>
      <x:c r="D1788" s="24" t="str">
        <x:v>Surfaçada</x:v>
      </x:c>
      <x:c r="E1788" s="24" t="str">
        <x:v>SmartLife Digital Individual 3</x:v>
      </x:c>
      <x:c r="F1788" s="24"/>
      <x:c r="G1788" s="24" t="str">
        <x:v>1.74</x:v>
      </x:c>
      <x:c r="H1788" s="24" t="str">
        <x:v>1.74</x:v>
      </x:c>
      <x:c r="I1788" s="24" t="str">
        <x:v>DuraVision Platinum UV</x:v>
      </x:c>
      <x:c r="J1788" s="40" t="n">
        <x:v>4263</x:v>
      </x:c>
      <x:c r="K1788" s="24" t="str">
        <x:v>-10.00 a +7.00</x:v>
      </x:c>
      <x:c r="L1788" s="24" t="str">
        <x:v>-4.00</x:v>
      </x:c>
      <x:c r="M1788" s="24" t="str">
        <x:v>0.50 a 1.25</x:v>
      </x:c>
      <x:c r="N1788" s="24" t="str">
        <x:v>70 a 75</x:v>
      </x:c>
      <x:c r="O1788" s="24"/>
      <x:c r="P1788" s="24"/>
      <x:c r="Q1788" s="24" t="str">
        <x:v>DISPONÍVEL</x:v>
      </x:c>
      <x:c r="R1788" s="24"/>
      <x:c r="S1788" s="24" t="n">
        <x:v>27</x:v>
      </x:c>
      <x:c r="T1788" s="24" t="str">
        <x:v>tabela_zeiss.pdf</x:v>
      </x:c>
      <x:c r="U1788" s="24" t="str">
        <x:v>ZEISS|Visão Simples Digital|Surfaçada|SmartLife Digital Individual 3||1.74|1.74|DuraVision Platinum UV|-10.00 a +7.00|-4.00|0.50 a 1.25|70 a 75|||27</x:v>
      </x:c>
    </x:row>
    <x:row r="1789">
      <x:c r="A1789" s="24" t="str">
        <x:v>ZS-E090627DAD88</x:v>
      </x:c>
      <x:c r="B1789" s="24" t="str">
        <x:v>ZEISS</x:v>
      </x:c>
      <x:c r="C1789" s="24" t="str">
        <x:v>Visão Simples Digital</x:v>
      </x:c>
      <x:c r="D1789" s="24" t="str">
        <x:v>Surfaçada</x:v>
      </x:c>
      <x:c r="E1789" s="24" t="str">
        <x:v>SmartLife Digital Individual 3</x:v>
      </x:c>
      <x:c r="F1789" s="24"/>
      <x:c r="G1789" s="24" t="str">
        <x:v>1.74</x:v>
      </x:c>
      <x:c r="H1789" s="24" t="str">
        <x:v>1.74</x:v>
      </x:c>
      <x:c r="I1789" s="24" t="str">
        <x:v>DuraVision Silver UV</x:v>
      </x:c>
      <x:c r="J1789" s="40" t="n">
        <x:v>4003</x:v>
      </x:c>
      <x:c r="K1789" s="24" t="str">
        <x:v>-10.00 a +7.00</x:v>
      </x:c>
      <x:c r="L1789" s="24" t="str">
        <x:v>-4.00</x:v>
      </x:c>
      <x:c r="M1789" s="24" t="str">
        <x:v>0.50 a 1.25</x:v>
      </x:c>
      <x:c r="N1789" s="24" t="str">
        <x:v>70 a 75</x:v>
      </x:c>
      <x:c r="O1789" s="24"/>
      <x:c r="P1789" s="24"/>
      <x:c r="Q1789" s="24" t="str">
        <x:v>DISPONÍVEL</x:v>
      </x:c>
      <x:c r="R1789" s="24"/>
      <x:c r="S1789" s="24" t="n">
        <x:v>27</x:v>
      </x:c>
      <x:c r="T1789" s="24" t="str">
        <x:v>tabela_zeiss.pdf</x:v>
      </x:c>
      <x:c r="U1789" s="24" t="str">
        <x:v>ZEISS|Visão Simples Digital|Surfaçada|SmartLife Digital Individual 3||1.74|1.74|DuraVision Silver UV|-10.00 a +7.00|-4.00|0.50 a 1.25|70 a 75|||27</x:v>
      </x:c>
    </x:row>
    <x:row r="1790">
      <x:c r="A1790" s="24" t="str">
        <x:v>ZS-B275C21F3B7A</x:v>
      </x:c>
      <x:c r="B1790" s="24" t="str">
        <x:v>ZEISS</x:v>
      </x:c>
      <x:c r="C1790" s="24" t="str">
        <x:v>Visão Simples Digital</x:v>
      </x:c>
      <x:c r="D1790" s="24" t="str">
        <x:v>Surfaçada</x:v>
      </x:c>
      <x:c r="E1790" s="24" t="str">
        <x:v>SmartLife Digital Individual 3</x:v>
      </x:c>
      <x:c r="F1790" s="24"/>
      <x:c r="G1790" s="24" t="str">
        <x:v>1.74</x:v>
      </x:c>
      <x:c r="H1790" s="24" t="str">
        <x:v>1.74</x:v>
      </x:c>
      <x:c r="I1790" s="24" t="str">
        <x:v>DuraVision Chrome UV</x:v>
      </x:c>
      <x:c r="J1790" s="40" t="n">
        <x:v>3513</x:v>
      </x:c>
      <x:c r="K1790" s="24" t="str">
        <x:v>-10.00 a +7.00</x:v>
      </x:c>
      <x:c r="L1790" s="24" t="str">
        <x:v>-4.00</x:v>
      </x:c>
      <x:c r="M1790" s="24" t="str">
        <x:v>0.50 a 1.25</x:v>
      </x:c>
      <x:c r="N1790" s="24" t="str">
        <x:v>70 a 75</x:v>
      </x:c>
      <x:c r="O1790" s="24"/>
      <x:c r="P1790" s="24"/>
      <x:c r="Q1790" s="24" t="str">
        <x:v>DISPONÍVEL</x:v>
      </x:c>
      <x:c r="R1790" s="24"/>
      <x:c r="S1790" s="24" t="n">
        <x:v>27</x:v>
      </x:c>
      <x:c r="T1790" s="24" t="str">
        <x:v>tabela_zeiss.pdf</x:v>
      </x:c>
      <x:c r="U1790" s="24" t="str">
        <x:v>ZEISS|Visão Simples Digital|Surfaçada|SmartLife Digital Individual 3||1.74|1.74|DuraVision Chrome UV|-10.00 a +7.00|-4.00|0.50 a 1.25|70 a 75|||27</x:v>
      </x:c>
    </x:row>
    <x:row r="1791">
      <x:c r="A1791" s="24" t="str">
        <x:v>ZS-984C82E1B1B2</x:v>
      </x:c>
      <x:c r="B1791" s="24" t="str">
        <x:v>ZEISS</x:v>
      </x:c>
      <x:c r="C1791" s="24" t="str">
        <x:v>Visão Simples Digital</x:v>
      </x:c>
      <x:c r="D1791" s="24" t="str">
        <x:v>Surfaçada</x:v>
      </x:c>
      <x:c r="E1791" s="24" t="str">
        <x:v>SmartLife Digital Individual 3</x:v>
      </x:c>
      <x:c r="F1791" s="24" t="str">
        <x:v>PhotoFusion X</x:v>
      </x:c>
      <x:c r="G1791" s="24" t="str">
        <x:v>1.5</x:v>
      </x:c>
      <x:c r="H1791" s="24" t="str">
        <x:v>1.50</x:v>
      </x:c>
      <x:c r="I1791" s="24" t="str">
        <x:v>DuraVision Gold UV</x:v>
      </x:c>
      <x:c r="J1791" s="40" t="n">
        <x:v>3633</x:v>
      </x:c>
      <x:c r="K1791" s="24" t="str">
        <x:v>-6.00 a +5.50</x:v>
      </x:c>
      <x:c r="L1791" s="24" t="str">
        <x:v>-4.00</x:v>
      </x:c>
      <x:c r="M1791" s="24" t="str">
        <x:v>0.50 a 1.25</x:v>
      </x:c>
      <x:c r="N1791" s="24" t="str">
        <x:v>75</x:v>
      </x:c>
      <x:c r="O1791" s="24"/>
      <x:c r="P1791" s="24"/>
      <x:c r="Q1791" s="24" t="str">
        <x:v>DISPONÍVEL</x:v>
      </x:c>
      <x:c r="R1791" s="24" t="str">
        <x:v>Programa de Parcerias ZEISS</x:v>
      </x:c>
      <x:c r="S1791" s="24" t="n">
        <x:v>27</x:v>
      </x:c>
      <x:c r="T1791" s="24" t="str">
        <x:v>tabela_zeiss.pdf</x:v>
      </x:c>
      <x:c r="U1791" s="24" t="str">
        <x:v>ZEISS|Visão Simples Digital|Surfaçada|SmartLife Digital Individual 3|PhotoFusion X|1.5|1.50|DuraVision Gold UV|-6.00 a +5.50|-4.00|0.50 a 1.25|75|||27</x:v>
      </x:c>
    </x:row>
    <x:row r="1792">
      <x:c r="A1792" s="24" t="str">
        <x:v>ZS-FDBB89424F75</x:v>
      </x:c>
      <x:c r="B1792" s="24" t="str">
        <x:v>ZEISS</x:v>
      </x:c>
      <x:c r="C1792" s="24" t="str">
        <x:v>Visão Simples Digital</x:v>
      </x:c>
      <x:c r="D1792" s="24" t="str">
        <x:v>Surfaçada</x:v>
      </x:c>
      <x:c r="E1792" s="24" t="str">
        <x:v>SmartLife Digital Individual 3</x:v>
      </x:c>
      <x:c r="F1792" s="24" t="str">
        <x:v>PhotoFusion X</x:v>
      </x:c>
      <x:c r="G1792" s="24" t="str">
        <x:v>1.5</x:v>
      </x:c>
      <x:c r="H1792" s="24" t="str">
        <x:v>1.50</x:v>
      </x:c>
      <x:c r="I1792" s="24" t="str">
        <x:v>DURAVISION® ANTIVÍRUS PLATINUM UV</x:v>
      </x:c>
      <x:c r="J1792" s="40" t="n">
        <x:v>3493</x:v>
      </x:c>
      <x:c r="K1792" s="24" t="str">
        <x:v>-6.00 a +5.50</x:v>
      </x:c>
      <x:c r="L1792" s="24" t="str">
        <x:v>-4.00</x:v>
      </x:c>
      <x:c r="M1792" s="24" t="str">
        <x:v>0.50 a 1.25</x:v>
      </x:c>
      <x:c r="N1792" s="24" t="str">
        <x:v>75</x:v>
      </x:c>
      <x:c r="O1792" s="24"/>
      <x:c r="P1792" s="24"/>
      <x:c r="Q1792" s="24" t="str">
        <x:v>DISPONÍVEL</x:v>
      </x:c>
      <x:c r="R1792" s="24" t="str">
        <x:v>Programa de Parcerias ZEISS</x:v>
      </x:c>
      <x:c r="S1792" s="24" t="n">
        <x:v>27</x:v>
      </x:c>
      <x:c r="T1792" s="24" t="str">
        <x:v>tabela_zeiss.pdf</x:v>
      </x:c>
      <x:c r="U1792" s="24" t="str">
        <x:v>ZEISS|Visão Simples Digital|Surfaçada|SmartLife Digital Individual 3|PhotoFusion X|1.5|1.50|DURAVISION® ANTIVÍRUS PLATINUM UV|-6.00 a +5.50|-4.00|0.50 a 1.25|75|||27</x:v>
      </x:c>
    </x:row>
    <x:row r="1793">
      <x:c r="A1793" s="24" t="str">
        <x:v>ZS-E520ADF077CB</x:v>
      </x:c>
      <x:c r="B1793" s="24" t="str">
        <x:v>ZEISS</x:v>
      </x:c>
      <x:c r="C1793" s="24" t="str">
        <x:v>Visão Simples Digital</x:v>
      </x:c>
      <x:c r="D1793" s="24" t="str">
        <x:v>Surfaçada</x:v>
      </x:c>
      <x:c r="E1793" s="24" t="str">
        <x:v>SmartLife Digital Individual 3</x:v>
      </x:c>
      <x:c r="F1793" s="24" t="str">
        <x:v>PhotoFusion X</x:v>
      </x:c>
      <x:c r="G1793" s="24" t="str">
        <x:v>1.5</x:v>
      </x:c>
      <x:c r="H1793" s="24" t="str">
        <x:v>1.50</x:v>
      </x:c>
      <x:c r="I1793" s="24" t="str">
        <x:v>DuraVision Platinum UV</x:v>
      </x:c>
      <x:c r="J1793" s="40" t="n">
        <x:v>3493</x:v>
      </x:c>
      <x:c r="K1793" s="24" t="str">
        <x:v>-6.00 a +5.50</x:v>
      </x:c>
      <x:c r="L1793" s="24" t="str">
        <x:v>-4.00</x:v>
      </x:c>
      <x:c r="M1793" s="24" t="str">
        <x:v>0.50 a 1.25</x:v>
      </x:c>
      <x:c r="N1793" s="24" t="str">
        <x:v>75</x:v>
      </x:c>
      <x:c r="O1793" s="24"/>
      <x:c r="P1793" s="24"/>
      <x:c r="Q1793" s="24" t="str">
        <x:v>DISPONÍVEL</x:v>
      </x:c>
      <x:c r="R1793" s="24" t="str">
        <x:v>Programa de Parcerias ZEISS</x:v>
      </x:c>
      <x:c r="S1793" s="24" t="n">
        <x:v>27</x:v>
      </x:c>
      <x:c r="T1793" s="24" t="str">
        <x:v>tabela_zeiss.pdf</x:v>
      </x:c>
      <x:c r="U1793" s="24" t="str">
        <x:v>ZEISS|Visão Simples Digital|Surfaçada|SmartLife Digital Individual 3|PhotoFusion X|1.5|1.50|DuraVision Platinum UV|-6.00 a +5.50|-4.00|0.50 a 1.25|75|||27</x:v>
      </x:c>
    </x:row>
    <x:row r="1794">
      <x:c r="A1794" s="24" t="str">
        <x:v>ZS-B823C683CA25</x:v>
      </x:c>
      <x:c r="B1794" s="24" t="str">
        <x:v>ZEISS</x:v>
      </x:c>
      <x:c r="C1794" s="24" t="str">
        <x:v>Visão Simples Digital</x:v>
      </x:c>
      <x:c r="D1794" s="24" t="str">
        <x:v>Surfaçada</x:v>
      </x:c>
      <x:c r="E1794" s="24" t="str">
        <x:v>SmartLife Digital Individual 3</x:v>
      </x:c>
      <x:c r="F1794" s="24" t="str">
        <x:v>PhotoFusion X</x:v>
      </x:c>
      <x:c r="G1794" s="24" t="str">
        <x:v>1.5</x:v>
      </x:c>
      <x:c r="H1794" s="24" t="str">
        <x:v>1.50</x:v>
      </x:c>
      <x:c r="I1794" s="24" t="str">
        <x:v>DuraVision Silver UV</x:v>
      </x:c>
      <x:c r="J1794" s="40" t="n">
        <x:v>3233</x:v>
      </x:c>
      <x:c r="K1794" s="24" t="str">
        <x:v>-6.00 a +5.50</x:v>
      </x:c>
      <x:c r="L1794" s="24" t="str">
        <x:v>-4.00</x:v>
      </x:c>
      <x:c r="M1794" s="24" t="str">
        <x:v>0.50 a 1.25</x:v>
      </x:c>
      <x:c r="N1794" s="24" t="str">
        <x:v>75</x:v>
      </x:c>
      <x:c r="O1794" s="24"/>
      <x:c r="P1794" s="24"/>
      <x:c r="Q1794" s="24" t="str">
        <x:v>DISPONÍVEL</x:v>
      </x:c>
      <x:c r="R1794" s="24" t="str">
        <x:v>Programa de Parcerias ZEISS</x:v>
      </x:c>
      <x:c r="S1794" s="24" t="n">
        <x:v>27</x:v>
      </x:c>
      <x:c r="T1794" s="24" t="str">
        <x:v>tabela_zeiss.pdf</x:v>
      </x:c>
      <x:c r="U1794" s="24" t="str">
        <x:v>ZEISS|Visão Simples Digital|Surfaçada|SmartLife Digital Individual 3|PhotoFusion X|1.5|1.50|DuraVision Silver UV|-6.00 a +5.50|-4.00|0.50 a 1.25|75|||27</x:v>
      </x:c>
    </x:row>
    <x:row r="1795">
      <x:c r="A1795" s="24" t="str">
        <x:v>ZS-E9CFBEB91A3C</x:v>
      </x:c>
      <x:c r="B1795" s="24" t="str">
        <x:v>ZEISS</x:v>
      </x:c>
      <x:c r="C1795" s="24" t="str">
        <x:v>Visão Simples Digital</x:v>
      </x:c>
      <x:c r="D1795" s="24" t="str">
        <x:v>Surfaçada</x:v>
      </x:c>
      <x:c r="E1795" s="24" t="str">
        <x:v>SmartLife Digital Individual 3</x:v>
      </x:c>
      <x:c r="F1795" s="24" t="str">
        <x:v>PhotoFusion X</x:v>
      </x:c>
      <x:c r="G1795" s="24" t="str">
        <x:v>1.5</x:v>
      </x:c>
      <x:c r="H1795" s="24" t="str">
        <x:v>1.50</x:v>
      </x:c>
      <x:c r="I1795" s="24" t="str">
        <x:v>DuraVision Chrome UV</x:v>
      </x:c>
      <x:c r="J1795" s="40" t="n">
        <x:v>2743</x:v>
      </x:c>
      <x:c r="K1795" s="24" t="str">
        <x:v>-6.00 a +5.50</x:v>
      </x:c>
      <x:c r="L1795" s="24" t="str">
        <x:v>-4.00</x:v>
      </x:c>
      <x:c r="M1795" s="24" t="str">
        <x:v>0.50 a 1.25</x:v>
      </x:c>
      <x:c r="N1795" s="24" t="str">
        <x:v>75</x:v>
      </x:c>
      <x:c r="O1795" s="24"/>
      <x:c r="P1795" s="24"/>
      <x:c r="Q1795" s="24" t="str">
        <x:v>DISPONÍVEL</x:v>
      </x:c>
      <x:c r="R1795" s="24" t="str">
        <x:v>Programa de Parcerias ZEISS</x:v>
      </x:c>
      <x:c r="S1795" s="24" t="n">
        <x:v>27</x:v>
      </x:c>
      <x:c r="T1795" s="24" t="str">
        <x:v>tabela_zeiss.pdf</x:v>
      </x:c>
      <x:c r="U1795" s="24" t="str">
        <x:v>ZEISS|Visão Simples Digital|Surfaçada|SmartLife Digital Individual 3|PhotoFusion X|1.5|1.50|DuraVision Chrome UV|-6.00 a +5.50|-4.00|0.50 a 1.25|75|||27</x:v>
      </x:c>
    </x:row>
    <x:row r="1796">
      <x:c r="A1796" s="24" t="str">
        <x:v>ZS-949AE0E3892B</x:v>
      </x:c>
      <x:c r="B1796" s="24" t="str">
        <x:v>ZEISS</x:v>
      </x:c>
      <x:c r="C1796" s="24" t="str">
        <x:v>Visão Simples Digital</x:v>
      </x:c>
      <x:c r="D1796" s="24" t="str">
        <x:v>Surfaçada</x:v>
      </x:c>
      <x:c r="E1796" s="24" t="str">
        <x:v>SmartLife Digital Individual 3</x:v>
      </x:c>
      <x:c r="F1796" s="24" t="str">
        <x:v>PhotoFusion X</x:v>
      </x:c>
      <x:c r="G1796" s="24" t="str">
        <x:v>Poli</x:v>
      </x:c>
      <x:c r="H1796" s="24"/>
      <x:c r="I1796" s="24" t="str">
        <x:v>DuraVision Gold UV</x:v>
      </x:c>
      <x:c r="J1796" s="40" t="n">
        <x:v>3993</x:v>
      </x:c>
      <x:c r="K1796" s="24" t="str">
        <x:v>-10.00 a +6.00</x:v>
      </x:c>
      <x:c r="L1796" s="24" t="str">
        <x:v>-6.00</x:v>
      </x:c>
      <x:c r="M1796" s="24" t="str">
        <x:v>0.50 a 1.25</x:v>
      </x:c>
      <x:c r="N1796" s="24" t="str">
        <x:v>70</x:v>
      </x:c>
      <x:c r="O1796" s="24"/>
      <x:c r="P1796" s="24"/>
      <x:c r="Q1796" s="24" t="str">
        <x:v>DISPONÍVEL</x:v>
      </x:c>
      <x:c r="R1796" s="24" t="str">
        <x:v>Programa de Parcerias ZEISS</x:v>
      </x:c>
      <x:c r="S1796" s="24" t="n">
        <x:v>27</x:v>
      </x:c>
      <x:c r="T1796" s="24" t="str">
        <x:v>tabela_zeiss.pdf</x:v>
      </x:c>
      <x:c r="U1796" s="24" t="str">
        <x:v>ZEISS|Visão Simples Digital|Surfaçada|SmartLife Digital Individual 3|PhotoFusion X|Poli||DuraVision Gold UV|-10.00 a +6.00|-6.00|0.50 a 1.25|70|||27</x:v>
      </x:c>
    </x:row>
    <x:row r="1797">
      <x:c r="A1797" s="24" t="str">
        <x:v>ZS-77C0620D5D03</x:v>
      </x:c>
      <x:c r="B1797" s="24" t="str">
        <x:v>ZEISS</x:v>
      </x:c>
      <x:c r="C1797" s="24" t="str">
        <x:v>Visão Simples Digital</x:v>
      </x:c>
      <x:c r="D1797" s="24" t="str">
        <x:v>Surfaçada</x:v>
      </x:c>
      <x:c r="E1797" s="24" t="str">
        <x:v>SmartLife Digital Individual 3</x:v>
      </x:c>
      <x:c r="F1797" s="24" t="str">
        <x:v>PhotoFusion X</x:v>
      </x:c>
      <x:c r="G1797" s="24" t="str">
        <x:v>Poli</x:v>
      </x:c>
      <x:c r="H1797" s="24"/>
      <x:c r="I1797" s="24" t="str">
        <x:v>DuraVision Platinum UV</x:v>
      </x:c>
      <x:c r="J1797" s="40" t="n">
        <x:v>3853</x:v>
      </x:c>
      <x:c r="K1797" s="24" t="str">
        <x:v>-10.00 a +6.00</x:v>
      </x:c>
      <x:c r="L1797" s="24" t="str">
        <x:v>-6.00</x:v>
      </x:c>
      <x:c r="M1797" s="24" t="str">
        <x:v>0.50 a 1.25</x:v>
      </x:c>
      <x:c r="N1797" s="24" t="str">
        <x:v>70</x:v>
      </x:c>
      <x:c r="O1797" s="24"/>
      <x:c r="P1797" s="24"/>
      <x:c r="Q1797" s="24" t="str">
        <x:v>DISPONÍVEL</x:v>
      </x:c>
      <x:c r="R1797" s="24" t="str">
        <x:v>Programa de Parcerias ZEISS</x:v>
      </x:c>
      <x:c r="S1797" s="24" t="n">
        <x:v>27</x:v>
      </x:c>
      <x:c r="T1797" s="24" t="str">
        <x:v>tabela_zeiss.pdf</x:v>
      </x:c>
      <x:c r="U1797" s="24" t="str">
        <x:v>ZEISS|Visão Simples Digital|Surfaçada|SmartLife Digital Individual 3|PhotoFusion X|Poli||DuraVision Platinum UV|-10.00 a +6.00|-6.00|0.50 a 1.25|70|||27</x:v>
      </x:c>
    </x:row>
    <x:row r="1798">
      <x:c r="A1798" s="24" t="str">
        <x:v>ZS-44C493DDABCF</x:v>
      </x:c>
      <x:c r="B1798" s="24" t="str">
        <x:v>ZEISS</x:v>
      </x:c>
      <x:c r="C1798" s="24" t="str">
        <x:v>Visão Simples Digital</x:v>
      </x:c>
      <x:c r="D1798" s="24" t="str">
        <x:v>Surfaçada</x:v>
      </x:c>
      <x:c r="E1798" s="24" t="str">
        <x:v>SmartLife Digital Individual 3</x:v>
      </x:c>
      <x:c r="F1798" s="24" t="str">
        <x:v>PhotoFusion X</x:v>
      </x:c>
      <x:c r="G1798" s="24" t="str">
        <x:v>Poli</x:v>
      </x:c>
      <x:c r="H1798" s="24"/>
      <x:c r="I1798" s="24" t="str">
        <x:v>DuraVision Silver UV</x:v>
      </x:c>
      <x:c r="J1798" s="40" t="n">
        <x:v>3593</x:v>
      </x:c>
      <x:c r="K1798" s="24" t="str">
        <x:v>-10.00 a +6.00</x:v>
      </x:c>
      <x:c r="L1798" s="24" t="str">
        <x:v>-6.00</x:v>
      </x:c>
      <x:c r="M1798" s="24" t="str">
        <x:v>0.50 a 1.25</x:v>
      </x:c>
      <x:c r="N1798" s="24" t="str">
        <x:v>70</x:v>
      </x:c>
      <x:c r="O1798" s="24"/>
      <x:c r="P1798" s="24"/>
      <x:c r="Q1798" s="24" t="str">
        <x:v>DISPONÍVEL</x:v>
      </x:c>
      <x:c r="R1798" s="24" t="str">
        <x:v>Programa de Parcerias ZEISS</x:v>
      </x:c>
      <x:c r="S1798" s="24" t="n">
        <x:v>27</x:v>
      </x:c>
      <x:c r="T1798" s="24" t="str">
        <x:v>tabela_zeiss.pdf</x:v>
      </x:c>
      <x:c r="U1798" s="24" t="str">
        <x:v>ZEISS|Visão Simples Digital|Surfaçada|SmartLife Digital Individual 3|PhotoFusion X|Poli||DuraVision Silver UV|-10.00 a +6.00|-6.00|0.50 a 1.25|70|||27</x:v>
      </x:c>
    </x:row>
    <x:row r="1799">
      <x:c r="A1799" s="24" t="str">
        <x:v>ZS-372BB3C13BC1</x:v>
      </x:c>
      <x:c r="B1799" s="24" t="str">
        <x:v>ZEISS</x:v>
      </x:c>
      <x:c r="C1799" s="24" t="str">
        <x:v>Visão Simples Digital</x:v>
      </x:c>
      <x:c r="D1799" s="24" t="str">
        <x:v>Surfaçada</x:v>
      </x:c>
      <x:c r="E1799" s="24" t="str">
        <x:v>SmartLife Digital Individual 3</x:v>
      </x:c>
      <x:c r="F1799" s="24" t="str">
        <x:v>PhotoFusion X</x:v>
      </x:c>
      <x:c r="G1799" s="24" t="str">
        <x:v>Poli</x:v>
      </x:c>
      <x:c r="H1799" s="24"/>
      <x:c r="I1799" s="24" t="str">
        <x:v>DuraVision Chrome UV</x:v>
      </x:c>
      <x:c r="J1799" s="40" t="n">
        <x:v>3103</x:v>
      </x:c>
      <x:c r="K1799" s="24" t="str">
        <x:v>-10.00 a +6.00</x:v>
      </x:c>
      <x:c r="L1799" s="24" t="str">
        <x:v>-6.00</x:v>
      </x:c>
      <x:c r="M1799" s="24" t="str">
        <x:v>0.50 a 1.25</x:v>
      </x:c>
      <x:c r="N1799" s="24" t="str">
        <x:v>70</x:v>
      </x:c>
      <x:c r="O1799" s="24"/>
      <x:c r="P1799" s="24"/>
      <x:c r="Q1799" s="24" t="str">
        <x:v>DISPONÍVEL</x:v>
      </x:c>
      <x:c r="R1799" s="24" t="str">
        <x:v>Programa de Parcerias ZEISS</x:v>
      </x:c>
      <x:c r="S1799" s="24" t="n">
        <x:v>27</x:v>
      </x:c>
      <x:c r="T1799" s="24" t="str">
        <x:v>tabela_zeiss.pdf</x:v>
      </x:c>
      <x:c r="U1799" s="24" t="str">
        <x:v>ZEISS|Visão Simples Digital|Surfaçada|SmartLife Digital Individual 3|PhotoFusion X|Poli||DuraVision Chrome UV|-10.00 a +6.00|-6.00|0.50 a 1.25|70|||27</x:v>
      </x:c>
    </x:row>
    <x:row r="1800">
      <x:c r="A1800" s="24" t="str">
        <x:v>ZS-849301F5A0BF</x:v>
      </x:c>
      <x:c r="B1800" s="24" t="str">
        <x:v>ZEISS</x:v>
      </x:c>
      <x:c r="C1800" s="24" t="str">
        <x:v>Visão Simples Digital</x:v>
      </x:c>
      <x:c r="D1800" s="24" t="str">
        <x:v>Surfaçada</x:v>
      </x:c>
      <x:c r="E1800" s="24" t="str">
        <x:v>SmartLife Digital Individual 3</x:v>
      </x:c>
      <x:c r="F1800" s="24" t="str">
        <x:v>PhotoFusion X</x:v>
      </x:c>
      <x:c r="G1800" s="24" t="str">
        <x:v>1.6</x:v>
      </x:c>
      <x:c r="H1800" s="24" t="str">
        <x:v>1.60</x:v>
      </x:c>
      <x:c r="I1800" s="24" t="str">
        <x:v>DuraVision Gold UV</x:v>
      </x:c>
      <x:c r="J1800" s="40" t="n">
        <x:v>4213</x:v>
      </x:c>
      <x:c r="K1800" s="24" t="str">
        <x:v>-7.25 a +6.00</x:v>
      </x:c>
      <x:c r="L1800" s="24" t="str">
        <x:v>-6.00</x:v>
      </x:c>
      <x:c r="M1800" s="24" t="str">
        <x:v>0.50 a 1.25</x:v>
      </x:c>
      <x:c r="N1800" s="24" t="str">
        <x:v>75</x:v>
      </x:c>
      <x:c r="O1800" s="24"/>
      <x:c r="P1800" s="24"/>
      <x:c r="Q1800" s="24" t="str">
        <x:v>DISPONÍVEL</x:v>
      </x:c>
      <x:c r="R1800" s="24" t="str">
        <x:v>Programa de Parcerias ZEISS</x:v>
      </x:c>
      <x:c r="S1800" s="24" t="n">
        <x:v>27</x:v>
      </x:c>
      <x:c r="T1800" s="24" t="str">
        <x:v>tabela_zeiss.pdf</x:v>
      </x:c>
      <x:c r="U1800" s="24" t="str">
        <x:v>ZEISS|Visão Simples Digital|Surfaçada|SmartLife Digital Individual 3|PhotoFusion X|1.6|1.60|DuraVision Gold UV|-7.25 a +6.00|-6.00|0.50 a 1.25|75|||27</x:v>
      </x:c>
    </x:row>
    <x:row r="1801">
      <x:c r="A1801" s="24" t="str">
        <x:v>ZS-AA36491C441D</x:v>
      </x:c>
      <x:c r="B1801" s="24" t="str">
        <x:v>ZEISS</x:v>
      </x:c>
      <x:c r="C1801" s="24" t="str">
        <x:v>Visão Simples Digital</x:v>
      </x:c>
      <x:c r="D1801" s="24" t="str">
        <x:v>Surfaçada</x:v>
      </x:c>
      <x:c r="E1801" s="24" t="str">
        <x:v>SmartLife Digital Individual 3</x:v>
      </x:c>
      <x:c r="F1801" s="24" t="str">
        <x:v>PhotoFusion X</x:v>
      </x:c>
      <x:c r="G1801" s="24" t="str">
        <x:v>1.6</x:v>
      </x:c>
      <x:c r="H1801" s="24" t="str">
        <x:v>1.60</x:v>
      </x:c>
      <x:c r="I1801" s="24" t="str">
        <x:v>DURAVISION® ANTIVÍRUS PLATINUM UV</x:v>
      </x:c>
      <x:c r="J1801" s="40" t="n">
        <x:v>4073</x:v>
      </x:c>
      <x:c r="K1801" s="24" t="str">
        <x:v>-7.25 a +6.00</x:v>
      </x:c>
      <x:c r="L1801" s="24" t="str">
        <x:v>-6.00</x:v>
      </x:c>
      <x:c r="M1801" s="24" t="str">
        <x:v>0.50 a 1.25</x:v>
      </x:c>
      <x:c r="N1801" s="24" t="str">
        <x:v>75</x:v>
      </x:c>
      <x:c r="O1801" s="24"/>
      <x:c r="P1801" s="24"/>
      <x:c r="Q1801" s="24" t="str">
        <x:v>DISPONÍVEL</x:v>
      </x:c>
      <x:c r="R1801" s="24" t="str">
        <x:v>Programa de Parcerias ZEISS</x:v>
      </x:c>
      <x:c r="S1801" s="24" t="n">
        <x:v>27</x:v>
      </x:c>
      <x:c r="T1801" s="24" t="str">
        <x:v>tabela_zeiss.pdf</x:v>
      </x:c>
      <x:c r="U1801" s="24" t="str">
        <x:v>ZEISS|Visão Simples Digital|Surfaçada|SmartLife Digital Individual 3|PhotoFusion X|1.6|1.60|DURAVISION® ANTIVÍRUS PLATINUM UV|-7.25 a +6.00|-6.00|0.50 a 1.25|75|||27</x:v>
      </x:c>
    </x:row>
    <x:row r="1802">
      <x:c r="A1802" s="24" t="str">
        <x:v>ZS-E7F345ADB4CE</x:v>
      </x:c>
      <x:c r="B1802" s="24" t="str">
        <x:v>ZEISS</x:v>
      </x:c>
      <x:c r="C1802" s="24" t="str">
        <x:v>Visão Simples Digital</x:v>
      </x:c>
      <x:c r="D1802" s="24" t="str">
        <x:v>Surfaçada</x:v>
      </x:c>
      <x:c r="E1802" s="24" t="str">
        <x:v>SmartLife Digital Individual 3</x:v>
      </x:c>
      <x:c r="F1802" s="24" t="str">
        <x:v>PhotoFusion X</x:v>
      </x:c>
      <x:c r="G1802" s="24" t="str">
        <x:v>1.6</x:v>
      </x:c>
      <x:c r="H1802" s="24" t="str">
        <x:v>1.60</x:v>
      </x:c>
      <x:c r="I1802" s="24" t="str">
        <x:v>DuraVision Platinum UV</x:v>
      </x:c>
      <x:c r="J1802" s="40" t="n">
        <x:v>4073</x:v>
      </x:c>
      <x:c r="K1802" s="24" t="str">
        <x:v>-7.25 a +6.00</x:v>
      </x:c>
      <x:c r="L1802" s="24" t="str">
        <x:v>-6.00</x:v>
      </x:c>
      <x:c r="M1802" s="24" t="str">
        <x:v>0.50 a 1.25</x:v>
      </x:c>
      <x:c r="N1802" s="24" t="str">
        <x:v>75</x:v>
      </x:c>
      <x:c r="O1802" s="24"/>
      <x:c r="P1802" s="24"/>
      <x:c r="Q1802" s="24" t="str">
        <x:v>DISPONÍVEL</x:v>
      </x:c>
      <x:c r="R1802" s="24" t="str">
        <x:v>Programa de Parcerias ZEISS</x:v>
      </x:c>
      <x:c r="S1802" s="24" t="n">
        <x:v>27</x:v>
      </x:c>
      <x:c r="T1802" s="24" t="str">
        <x:v>tabela_zeiss.pdf</x:v>
      </x:c>
      <x:c r="U1802" s="24" t="str">
        <x:v>ZEISS|Visão Simples Digital|Surfaçada|SmartLife Digital Individual 3|PhotoFusion X|1.6|1.60|DuraVision Platinum UV|-7.25 a +6.00|-6.00|0.50 a 1.25|75|||27</x:v>
      </x:c>
    </x:row>
    <x:row r="1803">
      <x:c r="A1803" s="24" t="str">
        <x:v>ZS-E24C6FBF2FD4</x:v>
      </x:c>
      <x:c r="B1803" s="24" t="str">
        <x:v>ZEISS</x:v>
      </x:c>
      <x:c r="C1803" s="24" t="str">
        <x:v>Visão Simples Digital</x:v>
      </x:c>
      <x:c r="D1803" s="24" t="str">
        <x:v>Surfaçada</x:v>
      </x:c>
      <x:c r="E1803" s="24" t="str">
        <x:v>SmartLife Digital Individual 3</x:v>
      </x:c>
      <x:c r="F1803" s="24" t="str">
        <x:v>PhotoFusion X</x:v>
      </x:c>
      <x:c r="G1803" s="24" t="str">
        <x:v>1.6</x:v>
      </x:c>
      <x:c r="H1803" s="24" t="str">
        <x:v>1.60</x:v>
      </x:c>
      <x:c r="I1803" s="24" t="str">
        <x:v>DuraVision Silver UV</x:v>
      </x:c>
      <x:c r="J1803" s="40" t="n">
        <x:v>3813</x:v>
      </x:c>
      <x:c r="K1803" s="24" t="str">
        <x:v>-7.25 a +6.00</x:v>
      </x:c>
      <x:c r="L1803" s="24" t="str">
        <x:v>-6.00</x:v>
      </x:c>
      <x:c r="M1803" s="24" t="str">
        <x:v>0.50 a 1.25</x:v>
      </x:c>
      <x:c r="N1803" s="24" t="str">
        <x:v>75</x:v>
      </x:c>
      <x:c r="O1803" s="24"/>
      <x:c r="P1803" s="24"/>
      <x:c r="Q1803" s="24" t="str">
        <x:v>DISPONÍVEL</x:v>
      </x:c>
      <x:c r="R1803" s="24" t="str">
        <x:v>Programa de Parcerias ZEISS</x:v>
      </x:c>
      <x:c r="S1803" s="24" t="n">
        <x:v>27</x:v>
      </x:c>
      <x:c r="T1803" s="24" t="str">
        <x:v>tabela_zeiss.pdf</x:v>
      </x:c>
      <x:c r="U1803" s="24" t="str">
        <x:v>ZEISS|Visão Simples Digital|Surfaçada|SmartLife Digital Individual 3|PhotoFusion X|1.6|1.60|DuraVision Silver UV|-7.25 a +6.00|-6.00|0.50 a 1.25|75|||27</x:v>
      </x:c>
    </x:row>
    <x:row r="1804">
      <x:c r="A1804" s="24" t="str">
        <x:v>ZS-879B8B171DFF</x:v>
      </x:c>
      <x:c r="B1804" s="24" t="str">
        <x:v>ZEISS</x:v>
      </x:c>
      <x:c r="C1804" s="24" t="str">
        <x:v>Visão Simples Digital</x:v>
      </x:c>
      <x:c r="D1804" s="24" t="str">
        <x:v>Surfaçada</x:v>
      </x:c>
      <x:c r="E1804" s="24" t="str">
        <x:v>SmartLife Digital Individual 3</x:v>
      </x:c>
      <x:c r="F1804" s="24" t="str">
        <x:v>PhotoFusion X</x:v>
      </x:c>
      <x:c r="G1804" s="24" t="str">
        <x:v>1.6</x:v>
      </x:c>
      <x:c r="H1804" s="24" t="str">
        <x:v>1.60</x:v>
      </x:c>
      <x:c r="I1804" s="24" t="str">
        <x:v>DuraVision Chrome UV</x:v>
      </x:c>
      <x:c r="J1804" s="40" t="n">
        <x:v>3323</x:v>
      </x:c>
      <x:c r="K1804" s="24" t="str">
        <x:v>-7.25 a +6.00</x:v>
      </x:c>
      <x:c r="L1804" s="24" t="str">
        <x:v>-6.00</x:v>
      </x:c>
      <x:c r="M1804" s="24" t="str">
        <x:v>0.50 a 1.25</x:v>
      </x:c>
      <x:c r="N1804" s="24" t="str">
        <x:v>75</x:v>
      </x:c>
      <x:c r="O1804" s="24"/>
      <x:c r="P1804" s="24"/>
      <x:c r="Q1804" s="24" t="str">
        <x:v>DISPONÍVEL</x:v>
      </x:c>
      <x:c r="R1804" s="24" t="str">
        <x:v>Programa de Parcerias ZEISS</x:v>
      </x:c>
      <x:c r="S1804" s="24" t="n">
        <x:v>27</x:v>
      </x:c>
      <x:c r="T1804" s="24" t="str">
        <x:v>tabela_zeiss.pdf</x:v>
      </x:c>
      <x:c r="U1804" s="24" t="str">
        <x:v>ZEISS|Visão Simples Digital|Surfaçada|SmartLife Digital Individual 3|PhotoFusion X|1.6|1.60|DuraVision Chrome UV|-7.25 a +6.00|-6.00|0.50 a 1.25|75|||27</x:v>
      </x:c>
    </x:row>
    <x:row r="1805">
      <x:c r="A1805" s="24" t="str">
        <x:v>ZS-D8E23D0B8A93</x:v>
      </x:c>
      <x:c r="B1805" s="24" t="str">
        <x:v>ZEISS</x:v>
      </x:c>
      <x:c r="C1805" s="24" t="str">
        <x:v>Visão Simples Digital</x:v>
      </x:c>
      <x:c r="D1805" s="24" t="str">
        <x:v>Surfaçada</x:v>
      </x:c>
      <x:c r="E1805" s="24" t="str">
        <x:v>SmartLife Digital Individual 3</x:v>
      </x:c>
      <x:c r="F1805" s="24" t="str">
        <x:v>PhotoFusion X</x:v>
      </x:c>
      <x:c r="G1805" s="24" t="str">
        <x:v>1.67</x:v>
      </x:c>
      <x:c r="H1805" s="24" t="str">
        <x:v>1.67</x:v>
      </x:c>
      <x:c r="I1805" s="24" t="str">
        <x:v>DuraVision Gold UV</x:v>
      </x:c>
      <x:c r="J1805" s="40" t="n">
        <x:v>5513</x:v>
      </x:c>
      <x:c r="K1805" s="24" t="str">
        <x:v>-8.00 a +8.00</x:v>
      </x:c>
      <x:c r="L1805" s="24" t="str">
        <x:v>-6.00</x:v>
      </x:c>
      <x:c r="M1805" s="24" t="str">
        <x:v>0.50 a 1.25</x:v>
      </x:c>
      <x:c r="N1805" s="24" t="str">
        <x:v>70</x:v>
      </x:c>
      <x:c r="O1805" s="24"/>
      <x:c r="P1805" s="24"/>
      <x:c r="Q1805" s="24" t="str">
        <x:v>DISPONÍVEL</x:v>
      </x:c>
      <x:c r="R1805" s="24" t="str">
        <x:v>Programa de Parcerias ZEISS</x:v>
      </x:c>
      <x:c r="S1805" s="24" t="n">
        <x:v>27</x:v>
      </x:c>
      <x:c r="T1805" s="24" t="str">
        <x:v>tabela_zeiss.pdf</x:v>
      </x:c>
      <x:c r="U1805" s="24" t="str">
        <x:v>ZEISS|Visão Simples Digital|Surfaçada|SmartLife Digital Individual 3|PhotoFusion X|1.67|1.67|DuraVision Gold UV|-8.00 a +8.00|-6.00|0.50 a 1.25|70|||27</x:v>
      </x:c>
    </x:row>
    <x:row r="1806">
      <x:c r="A1806" s="24" t="str">
        <x:v>ZS-FC3BF5E270EC</x:v>
      </x:c>
      <x:c r="B1806" s="24" t="str">
        <x:v>ZEISS</x:v>
      </x:c>
      <x:c r="C1806" s="24" t="str">
        <x:v>Visão Simples Digital</x:v>
      </x:c>
      <x:c r="D1806" s="24" t="str">
        <x:v>Surfaçada</x:v>
      </x:c>
      <x:c r="E1806" s="24" t="str">
        <x:v>SmartLife Digital Individual 3</x:v>
      </x:c>
      <x:c r="F1806" s="24" t="str">
        <x:v>PhotoFusion X</x:v>
      </x:c>
      <x:c r="G1806" s="24" t="str">
        <x:v>1.67</x:v>
      </x:c>
      <x:c r="H1806" s="24" t="str">
        <x:v>1.67</x:v>
      </x:c>
      <x:c r="I1806" s="24" t="str">
        <x:v>DURAVISION® ANTIVÍRUS PLATINUM UV</x:v>
      </x:c>
      <x:c r="J1806" s="40" t="n">
        <x:v>5373</x:v>
      </x:c>
      <x:c r="K1806" s="24" t="str">
        <x:v>-8.00 a +8.00</x:v>
      </x:c>
      <x:c r="L1806" s="24" t="str">
        <x:v>-6.00</x:v>
      </x:c>
      <x:c r="M1806" s="24" t="str">
        <x:v>0.50 a 1.25</x:v>
      </x:c>
      <x:c r="N1806" s="24" t="str">
        <x:v>70</x:v>
      </x:c>
      <x:c r="O1806" s="24"/>
      <x:c r="P1806" s="24"/>
      <x:c r="Q1806" s="24" t="str">
        <x:v>DISPONÍVEL</x:v>
      </x:c>
      <x:c r="R1806" s="24" t="str">
        <x:v>Programa de Parcerias ZEISS</x:v>
      </x:c>
      <x:c r="S1806" s="24" t="n">
        <x:v>27</x:v>
      </x:c>
      <x:c r="T1806" s="24" t="str">
        <x:v>tabela_zeiss.pdf</x:v>
      </x:c>
      <x:c r="U1806" s="24" t="str">
        <x:v>ZEISS|Visão Simples Digital|Surfaçada|SmartLife Digital Individual 3|PhotoFusion X|1.67|1.67|DURAVISION® ANTIVÍRUS PLATINUM UV|-8.00 a +8.00|-6.00|0.50 a 1.25|70|||27</x:v>
      </x:c>
    </x:row>
    <x:row r="1807">
      <x:c r="A1807" s="24" t="str">
        <x:v>ZS-516B2B54BF88</x:v>
      </x:c>
      <x:c r="B1807" s="24" t="str">
        <x:v>ZEISS</x:v>
      </x:c>
      <x:c r="C1807" s="24" t="str">
        <x:v>Visão Simples Digital</x:v>
      </x:c>
      <x:c r="D1807" s="24" t="str">
        <x:v>Surfaçada</x:v>
      </x:c>
      <x:c r="E1807" s="24" t="str">
        <x:v>SmartLife Digital Individual 3</x:v>
      </x:c>
      <x:c r="F1807" s="24" t="str">
        <x:v>PhotoFusion X</x:v>
      </x:c>
      <x:c r="G1807" s="24" t="str">
        <x:v>1.67</x:v>
      </x:c>
      <x:c r="H1807" s="24" t="str">
        <x:v>1.67</x:v>
      </x:c>
      <x:c r="I1807" s="24" t="str">
        <x:v>DuraVision Platinum UV</x:v>
      </x:c>
      <x:c r="J1807" s="40" t="n">
        <x:v>5373</x:v>
      </x:c>
      <x:c r="K1807" s="24" t="str">
        <x:v>-8.00 a +8.00</x:v>
      </x:c>
      <x:c r="L1807" s="24" t="str">
        <x:v>-6.00</x:v>
      </x:c>
      <x:c r="M1807" s="24" t="str">
        <x:v>0.50 a 1.25</x:v>
      </x:c>
      <x:c r="N1807" s="24" t="str">
        <x:v>70</x:v>
      </x:c>
      <x:c r="O1807" s="24"/>
      <x:c r="P1807" s="24"/>
      <x:c r="Q1807" s="24" t="str">
        <x:v>DISPONÍVEL</x:v>
      </x:c>
      <x:c r="R1807" s="24" t="str">
        <x:v>Programa de Parcerias ZEISS</x:v>
      </x:c>
      <x:c r="S1807" s="24" t="n">
        <x:v>27</x:v>
      </x:c>
      <x:c r="T1807" s="24" t="str">
        <x:v>tabela_zeiss.pdf</x:v>
      </x:c>
      <x:c r="U1807" s="24" t="str">
        <x:v>ZEISS|Visão Simples Digital|Surfaçada|SmartLife Digital Individual 3|PhotoFusion X|1.67|1.67|DuraVision Platinum UV|-8.00 a +8.00|-6.00|0.50 a 1.25|70|||27</x:v>
      </x:c>
    </x:row>
    <x:row r="1808">
      <x:c r="A1808" s="24" t="str">
        <x:v>ZS-AF318133F481</x:v>
      </x:c>
      <x:c r="B1808" s="24" t="str">
        <x:v>ZEISS</x:v>
      </x:c>
      <x:c r="C1808" s="24" t="str">
        <x:v>Visão Simples Digital</x:v>
      </x:c>
      <x:c r="D1808" s="24" t="str">
        <x:v>Surfaçada</x:v>
      </x:c>
      <x:c r="E1808" s="24" t="str">
        <x:v>SmartLife Digital Individual 3</x:v>
      </x:c>
      <x:c r="F1808" s="24" t="str">
        <x:v>PhotoFusion X</x:v>
      </x:c>
      <x:c r="G1808" s="24" t="str">
        <x:v>1.67</x:v>
      </x:c>
      <x:c r="H1808" s="24" t="str">
        <x:v>1.67</x:v>
      </x:c>
      <x:c r="I1808" s="24" t="str">
        <x:v>DuraVision Silver UV</x:v>
      </x:c>
      <x:c r="J1808" s="40" t="n">
        <x:v>5113</x:v>
      </x:c>
      <x:c r="K1808" s="24" t="str">
        <x:v>-8.00 a +8.00</x:v>
      </x:c>
      <x:c r="L1808" s="24" t="str">
        <x:v>-6.00</x:v>
      </x:c>
      <x:c r="M1808" s="24" t="str">
        <x:v>0.50 a 1.25</x:v>
      </x:c>
      <x:c r="N1808" s="24" t="str">
        <x:v>70</x:v>
      </x:c>
      <x:c r="O1808" s="24"/>
      <x:c r="P1808" s="24"/>
      <x:c r="Q1808" s="24" t="str">
        <x:v>DISPONÍVEL</x:v>
      </x:c>
      <x:c r="R1808" s="24" t="str">
        <x:v>Programa de Parcerias ZEISS</x:v>
      </x:c>
      <x:c r="S1808" s="24" t="n">
        <x:v>27</x:v>
      </x:c>
      <x:c r="T1808" s="24" t="str">
        <x:v>tabela_zeiss.pdf</x:v>
      </x:c>
      <x:c r="U1808" s="24" t="str">
        <x:v>ZEISS|Visão Simples Digital|Surfaçada|SmartLife Digital Individual 3|PhotoFusion X|1.67|1.67|DuraVision Silver UV|-8.00 a +8.00|-6.00|0.50 a 1.25|70|||27</x:v>
      </x:c>
    </x:row>
    <x:row r="1809">
      <x:c r="A1809" s="24" t="str">
        <x:v>ZS-C2275D986EE6</x:v>
      </x:c>
      <x:c r="B1809" s="24" t="str">
        <x:v>ZEISS</x:v>
      </x:c>
      <x:c r="C1809" s="24" t="str">
        <x:v>Visão Simples Digital</x:v>
      </x:c>
      <x:c r="D1809" s="24" t="str">
        <x:v>Surfaçada</x:v>
      </x:c>
      <x:c r="E1809" s="24" t="str">
        <x:v>SmartLife Digital Individual 3</x:v>
      </x:c>
      <x:c r="F1809" s="24" t="str">
        <x:v>PhotoFusion X</x:v>
      </x:c>
      <x:c r="G1809" s="24" t="str">
        <x:v>1.67</x:v>
      </x:c>
      <x:c r="H1809" s="24" t="str">
        <x:v>1.67</x:v>
      </x:c>
      <x:c r="I1809" s="24" t="str">
        <x:v>DuraVision Chrome UV</x:v>
      </x:c>
      <x:c r="J1809" s="40" t="n">
        <x:v>4623</x:v>
      </x:c>
      <x:c r="K1809" s="24" t="str">
        <x:v>-8.00 a +8.00</x:v>
      </x:c>
      <x:c r="L1809" s="24" t="str">
        <x:v>-6.00</x:v>
      </x:c>
      <x:c r="M1809" s="24" t="str">
        <x:v>0.50 a 1.25</x:v>
      </x:c>
      <x:c r="N1809" s="24" t="str">
        <x:v>70</x:v>
      </x:c>
      <x:c r="O1809" s="24"/>
      <x:c r="P1809" s="24"/>
      <x:c r="Q1809" s="24" t="str">
        <x:v>DISPONÍVEL</x:v>
      </x:c>
      <x:c r="R1809" s="24" t="str">
        <x:v>Programa de Parcerias ZEISS</x:v>
      </x:c>
      <x:c r="S1809" s="24" t="n">
        <x:v>27</x:v>
      </x:c>
      <x:c r="T1809" s="24" t="str">
        <x:v>tabela_zeiss.pdf</x:v>
      </x:c>
      <x:c r="U1809" s="24" t="str">
        <x:v>ZEISS|Visão Simples Digital|Surfaçada|SmartLife Digital Individual 3|PhotoFusion X|1.67|1.67|DuraVision Chrome UV|-8.00 a +8.00|-6.00|0.50 a 1.25|70|||27</x:v>
      </x:c>
    </x:row>
    <x:row r="1810">
      <x:c r="A1810" s="24" t="str">
        <x:v>ZS-F4F9249ED27F</x:v>
      </x:c>
      <x:c r="B1810" s="24" t="str">
        <x:v>ZEISS</x:v>
      </x:c>
      <x:c r="C1810" s="24" t="str">
        <x:v>Visão Simples Digital</x:v>
      </x:c>
      <x:c r="D1810" s="24" t="str">
        <x:v>Surfaçada</x:v>
      </x:c>
      <x:c r="E1810" s="24" t="str">
        <x:v>SmartLife Digital Individual 3</x:v>
      </x:c>
      <x:c r="F1810" s="24" t="str">
        <x:v>PhotoFusion X Extra Dark Cinza</x:v>
      </x:c>
      <x:c r="G1810" s="24" t="str">
        <x:v>1.5</x:v>
      </x:c>
      <x:c r="H1810" s="24" t="str">
        <x:v>1.50</x:v>
      </x:c>
      <x:c r="I1810" s="24" t="str">
        <x:v>DuraVision Gold UV</x:v>
      </x:c>
      <x:c r="J1810" s="40" t="n">
        <x:v>3683</x:v>
      </x:c>
      <x:c r="K1810" s="24" t="str">
        <x:v>-6.00 a +5.50</x:v>
      </x:c>
      <x:c r="L1810" s="24" t="str">
        <x:v>-4.00</x:v>
      </x:c>
      <x:c r="M1810" s="24" t="str">
        <x:v>0.50 a 1.25</x:v>
      </x:c>
      <x:c r="N1810" s="24" t="str">
        <x:v>75</x:v>
      </x:c>
      <x:c r="O1810" s="24"/>
      <x:c r="P1810" s="24"/>
      <x:c r="Q1810" s="24" t="str">
        <x:v>DISPONÍVEL</x:v>
      </x:c>
      <x:c r="R1810" s="24" t="str">
        <x:v>Programa de Parcerias ZEISS</x:v>
      </x:c>
      <x:c r="S1810" s="24" t="n">
        <x:v>27</x:v>
      </x:c>
      <x:c r="T1810" s="24" t="str">
        <x:v>tabela_zeiss.pdf</x:v>
      </x:c>
      <x:c r="U1810" s="24" t="str">
        <x:v>ZEISS|Visão Simples Digital|Surfaçada|SmartLife Digital Individual 3|PhotoFusion X Extra Dark Cinza|1.5|1.50|DuraVision Gold UV|-6.00 a +5.50|-4.00|0.50 a 1.25|75|||27</x:v>
      </x:c>
    </x:row>
    <x:row r="1811">
      <x:c r="A1811" s="24" t="str">
        <x:v>ZS-BA46A2113999</x:v>
      </x:c>
      <x:c r="B1811" s="24" t="str">
        <x:v>ZEISS</x:v>
      </x:c>
      <x:c r="C1811" s="24" t="str">
        <x:v>Visão Simples Digital</x:v>
      </x:c>
      <x:c r="D1811" s="24" t="str">
        <x:v>Surfaçada</x:v>
      </x:c>
      <x:c r="E1811" s="24" t="str">
        <x:v>SmartLife Digital Individual 3</x:v>
      </x:c>
      <x:c r="F1811" s="24" t="str">
        <x:v>PhotoFusion X Extra Dark Cinza</x:v>
      </x:c>
      <x:c r="G1811" s="24" t="str">
        <x:v>1.5</x:v>
      </x:c>
      <x:c r="H1811" s="24" t="str">
        <x:v>1.50</x:v>
      </x:c>
      <x:c r="I1811" s="24" t="str">
        <x:v>DURAVISION® ANTIVÍRUS PLATINUM UV</x:v>
      </x:c>
      <x:c r="J1811" s="40" t="n">
        <x:v>3543</x:v>
      </x:c>
      <x:c r="K1811" s="24" t="str">
        <x:v>-6.00 a +5.50</x:v>
      </x:c>
      <x:c r="L1811" s="24" t="str">
        <x:v>-4.00</x:v>
      </x:c>
      <x:c r="M1811" s="24" t="str">
        <x:v>0.50 a 1.25</x:v>
      </x:c>
      <x:c r="N1811" s="24" t="str">
        <x:v>75</x:v>
      </x:c>
      <x:c r="O1811" s="24"/>
      <x:c r="P1811" s="24"/>
      <x:c r="Q1811" s="24" t="str">
        <x:v>DISPONÍVEL</x:v>
      </x:c>
      <x:c r="R1811" s="24" t="str">
        <x:v>Programa de Parcerias ZEISS</x:v>
      </x:c>
      <x:c r="S1811" s="24" t="n">
        <x:v>27</x:v>
      </x:c>
      <x:c r="T1811" s="24" t="str">
        <x:v>tabela_zeiss.pdf</x:v>
      </x:c>
      <x:c r="U1811" s="24" t="str">
        <x:v>ZEISS|Visão Simples Digital|Surfaçada|SmartLife Digital Individual 3|PhotoFusion X Extra Dark Cinza|1.5|1.50|DURAVISION® ANTIVÍRUS PLATINUM UV|-6.00 a +5.50|-4.00|0.50 a 1.25|75|||27</x:v>
      </x:c>
    </x:row>
    <x:row r="1812">
      <x:c r="A1812" s="24" t="str">
        <x:v>ZS-6FC0110AABE4</x:v>
      </x:c>
      <x:c r="B1812" s="24" t="str">
        <x:v>ZEISS</x:v>
      </x:c>
      <x:c r="C1812" s="24" t="str">
        <x:v>Visão Simples Digital</x:v>
      </x:c>
      <x:c r="D1812" s="24" t="str">
        <x:v>Surfaçada</x:v>
      </x:c>
      <x:c r="E1812" s="24" t="str">
        <x:v>SmartLife Digital Individual 3</x:v>
      </x:c>
      <x:c r="F1812" s="24" t="str">
        <x:v>PhotoFusion X Extra Dark Cinza</x:v>
      </x:c>
      <x:c r="G1812" s="24" t="str">
        <x:v>1.5</x:v>
      </x:c>
      <x:c r="H1812" s="24" t="str">
        <x:v>1.50</x:v>
      </x:c>
      <x:c r="I1812" s="24" t="str">
        <x:v>DuraVision Platinum UV</x:v>
      </x:c>
      <x:c r="J1812" s="40" t="n">
        <x:v>3543</x:v>
      </x:c>
      <x:c r="K1812" s="24" t="str">
        <x:v>-6.00 a +5.50</x:v>
      </x:c>
      <x:c r="L1812" s="24" t="str">
        <x:v>-4.00</x:v>
      </x:c>
      <x:c r="M1812" s="24" t="str">
        <x:v>0.50 a 1.25</x:v>
      </x:c>
      <x:c r="N1812" s="24" t="str">
        <x:v>75</x:v>
      </x:c>
      <x:c r="O1812" s="24"/>
      <x:c r="P1812" s="24"/>
      <x:c r="Q1812" s="24" t="str">
        <x:v>DISPONÍVEL</x:v>
      </x:c>
      <x:c r="R1812" s="24" t="str">
        <x:v>Programa de Parcerias ZEISS</x:v>
      </x:c>
      <x:c r="S1812" s="24" t="n">
        <x:v>27</x:v>
      </x:c>
      <x:c r="T1812" s="24" t="str">
        <x:v>tabela_zeiss.pdf</x:v>
      </x:c>
      <x:c r="U1812" s="24" t="str">
        <x:v>ZEISS|Visão Simples Digital|Surfaçada|SmartLife Digital Individual 3|PhotoFusion X Extra Dark Cinza|1.5|1.50|DuraVision Platinum UV|-6.00 a +5.50|-4.00|0.50 a 1.25|75|||27</x:v>
      </x:c>
    </x:row>
    <x:row r="1813">
      <x:c r="A1813" s="24" t="str">
        <x:v>ZS-243A1C8A7EBE</x:v>
      </x:c>
      <x:c r="B1813" s="24" t="str">
        <x:v>ZEISS</x:v>
      </x:c>
      <x:c r="C1813" s="24" t="str">
        <x:v>Visão Simples Digital</x:v>
      </x:c>
      <x:c r="D1813" s="24" t="str">
        <x:v>Surfaçada</x:v>
      </x:c>
      <x:c r="E1813" s="24" t="str">
        <x:v>SmartLife Digital Individual 3</x:v>
      </x:c>
      <x:c r="F1813" s="24" t="str">
        <x:v>PhotoFusion X Extra Dark Cinza</x:v>
      </x:c>
      <x:c r="G1813" s="24" t="str">
        <x:v>1.5</x:v>
      </x:c>
      <x:c r="H1813" s="24" t="str">
        <x:v>1.50</x:v>
      </x:c>
      <x:c r="I1813" s="24" t="str">
        <x:v>DuraVision Silver UV</x:v>
      </x:c>
      <x:c r="J1813" s="40" t="n">
        <x:v>3283</x:v>
      </x:c>
      <x:c r="K1813" s="24" t="str">
        <x:v>-6.00 a +5.50</x:v>
      </x:c>
      <x:c r="L1813" s="24" t="str">
        <x:v>-4.00</x:v>
      </x:c>
      <x:c r="M1813" s="24" t="str">
        <x:v>0.50 a 1.25</x:v>
      </x:c>
      <x:c r="N1813" s="24" t="str">
        <x:v>75</x:v>
      </x:c>
      <x:c r="O1813" s="24"/>
      <x:c r="P1813" s="24"/>
      <x:c r="Q1813" s="24" t="str">
        <x:v>DISPONÍVEL</x:v>
      </x:c>
      <x:c r="R1813" s="24" t="str">
        <x:v>Programa de Parcerias ZEISS</x:v>
      </x:c>
      <x:c r="S1813" s="24" t="n">
        <x:v>27</x:v>
      </x:c>
      <x:c r="T1813" s="24" t="str">
        <x:v>tabela_zeiss.pdf</x:v>
      </x:c>
      <x:c r="U1813" s="24" t="str">
        <x:v>ZEISS|Visão Simples Digital|Surfaçada|SmartLife Digital Individual 3|PhotoFusion X Extra Dark Cinza|1.5|1.50|DuraVision Silver UV|-6.00 a +5.50|-4.00|0.50 a 1.25|75|||27</x:v>
      </x:c>
    </x:row>
    <x:row r="1814">
      <x:c r="A1814" s="24" t="str">
        <x:v>ZS-AF6446690B58</x:v>
      </x:c>
      <x:c r="B1814" s="24" t="str">
        <x:v>ZEISS</x:v>
      </x:c>
      <x:c r="C1814" s="24" t="str">
        <x:v>Visão Simples Digital</x:v>
      </x:c>
      <x:c r="D1814" s="24" t="str">
        <x:v>Surfaçada</x:v>
      </x:c>
      <x:c r="E1814" s="24" t="str">
        <x:v>SmartLife Digital Individual 3</x:v>
      </x:c>
      <x:c r="F1814" s="24" t="str">
        <x:v>PhotoFusion X Extra Dark Cinza</x:v>
      </x:c>
      <x:c r="G1814" s="24" t="str">
        <x:v>1.5</x:v>
      </x:c>
      <x:c r="H1814" s="24" t="str">
        <x:v>1.50</x:v>
      </x:c>
      <x:c r="I1814" s="24" t="str">
        <x:v>DuraVision Chrome UV</x:v>
      </x:c>
      <x:c r="J1814" s="40" t="n">
        <x:v>2793</x:v>
      </x:c>
      <x:c r="K1814" s="24" t="str">
        <x:v>-6.00 a +5.50</x:v>
      </x:c>
      <x:c r="L1814" s="24" t="str">
        <x:v>-4.00</x:v>
      </x:c>
      <x:c r="M1814" s="24" t="str">
        <x:v>0.50 a 1.25</x:v>
      </x:c>
      <x:c r="N1814" s="24" t="str">
        <x:v>75</x:v>
      </x:c>
      <x:c r="O1814" s="24"/>
      <x:c r="P1814" s="24"/>
      <x:c r="Q1814" s="24" t="str">
        <x:v>DISPONÍVEL</x:v>
      </x:c>
      <x:c r="R1814" s="24" t="str">
        <x:v>Programa de Parcerias ZEISS</x:v>
      </x:c>
      <x:c r="S1814" s="24" t="n">
        <x:v>27</x:v>
      </x:c>
      <x:c r="T1814" s="24" t="str">
        <x:v>tabela_zeiss.pdf</x:v>
      </x:c>
      <x:c r="U1814" s="24" t="str">
        <x:v>ZEISS|Visão Simples Digital|Surfaçada|SmartLife Digital Individual 3|PhotoFusion X Extra Dark Cinza|1.5|1.50|DuraVision Chrome UV|-6.00 a +5.50|-4.00|0.50 a 1.25|75|||27</x:v>
      </x:c>
    </x:row>
    <x:row r="1815">
      <x:c r="A1815" s="24" t="str">
        <x:v>ZS-79673B0ACE4C</x:v>
      </x:c>
      <x:c r="B1815" s="24" t="str">
        <x:v>ZEISS</x:v>
      </x:c>
      <x:c r="C1815" s="24" t="str">
        <x:v>Visão Simples Digital</x:v>
      </x:c>
      <x:c r="D1815" s="24" t="str">
        <x:v>Surfaçada</x:v>
      </x:c>
      <x:c r="E1815" s="24" t="str">
        <x:v>SmartLife Digital Individual 3</x:v>
      </x:c>
      <x:c r="F1815" s="24" t="str">
        <x:v>PhotoFusion X Extra Dark Cinza</x:v>
      </x:c>
      <x:c r="G1815" s="24" t="str">
        <x:v>Poli</x:v>
      </x:c>
      <x:c r="H1815" s="24"/>
      <x:c r="I1815" s="24" t="str">
        <x:v>DuraVision Gold UV</x:v>
      </x:c>
      <x:c r="J1815" s="40" t="n">
        <x:v>4043</x:v>
      </x:c>
      <x:c r="K1815" s="24" t="str">
        <x:v>-10.00 a +6.00</x:v>
      </x:c>
      <x:c r="L1815" s="24" t="str">
        <x:v>-6.00</x:v>
      </x:c>
      <x:c r="M1815" s="24" t="str">
        <x:v>0.50 a 1.25</x:v>
      </x:c>
      <x:c r="N1815" s="24" t="str">
        <x:v>70</x:v>
      </x:c>
      <x:c r="O1815" s="24"/>
      <x:c r="P1815" s="24"/>
      <x:c r="Q1815" s="24" t="str">
        <x:v>DISPONÍVEL</x:v>
      </x:c>
      <x:c r="R1815" s="24" t="str">
        <x:v>Programa de Parcerias ZEISS</x:v>
      </x:c>
      <x:c r="S1815" s="24" t="n">
        <x:v>27</x:v>
      </x:c>
      <x:c r="T1815" s="24" t="str">
        <x:v>tabela_zeiss.pdf</x:v>
      </x:c>
      <x:c r="U1815" s="24" t="str">
        <x:v>ZEISS|Visão Simples Digital|Surfaçada|SmartLife Digital Individual 3|PhotoFusion X Extra Dark Cinza|Poli||DuraVision Gold UV|-10.00 a +6.00|-6.00|0.50 a 1.25|70|||27</x:v>
      </x:c>
    </x:row>
    <x:row r="1816">
      <x:c r="A1816" s="24" t="str">
        <x:v>ZS-ED2E1A465168</x:v>
      </x:c>
      <x:c r="B1816" s="24" t="str">
        <x:v>ZEISS</x:v>
      </x:c>
      <x:c r="C1816" s="24" t="str">
        <x:v>Visão Simples Digital</x:v>
      </x:c>
      <x:c r="D1816" s="24" t="str">
        <x:v>Surfaçada</x:v>
      </x:c>
      <x:c r="E1816" s="24" t="str">
        <x:v>SmartLife Digital Individual 3</x:v>
      </x:c>
      <x:c r="F1816" s="24" t="str">
        <x:v>PhotoFusion X Extra Dark Cinza</x:v>
      </x:c>
      <x:c r="G1816" s="24" t="str">
        <x:v>Poli</x:v>
      </x:c>
      <x:c r="H1816" s="24"/>
      <x:c r="I1816" s="24" t="str">
        <x:v>DuraVision Platinum UV</x:v>
      </x:c>
      <x:c r="J1816" s="40" t="n">
        <x:v>3903</x:v>
      </x:c>
      <x:c r="K1816" s="24" t="str">
        <x:v>-10.00 a +6.00</x:v>
      </x:c>
      <x:c r="L1816" s="24" t="str">
        <x:v>-6.00</x:v>
      </x:c>
      <x:c r="M1816" s="24" t="str">
        <x:v>0.50 a 1.25</x:v>
      </x:c>
      <x:c r="N1816" s="24" t="str">
        <x:v>70</x:v>
      </x:c>
      <x:c r="O1816" s="24"/>
      <x:c r="P1816" s="24"/>
      <x:c r="Q1816" s="24" t="str">
        <x:v>DISPONÍVEL</x:v>
      </x:c>
      <x:c r="R1816" s="24" t="str">
        <x:v>Programa de Parcerias ZEISS</x:v>
      </x:c>
      <x:c r="S1816" s="24" t="n">
        <x:v>27</x:v>
      </x:c>
      <x:c r="T1816" s="24" t="str">
        <x:v>tabela_zeiss.pdf</x:v>
      </x:c>
      <x:c r="U1816" s="24" t="str">
        <x:v>ZEISS|Visão Simples Digital|Surfaçada|SmartLife Digital Individual 3|PhotoFusion X Extra Dark Cinza|Poli||DuraVision Platinum UV|-10.00 a +6.00|-6.00|0.50 a 1.25|70|||27</x:v>
      </x:c>
    </x:row>
    <x:row r="1817">
      <x:c r="A1817" s="24" t="str">
        <x:v>ZS-1239D22AC054</x:v>
      </x:c>
      <x:c r="B1817" s="24" t="str">
        <x:v>ZEISS</x:v>
      </x:c>
      <x:c r="C1817" s="24" t="str">
        <x:v>Visão Simples Digital</x:v>
      </x:c>
      <x:c r="D1817" s="24" t="str">
        <x:v>Surfaçada</x:v>
      </x:c>
      <x:c r="E1817" s="24" t="str">
        <x:v>SmartLife Digital Individual 3</x:v>
      </x:c>
      <x:c r="F1817" s="24" t="str">
        <x:v>PhotoFusion X Extra Dark Cinza</x:v>
      </x:c>
      <x:c r="G1817" s="24" t="str">
        <x:v>Poli</x:v>
      </x:c>
      <x:c r="H1817" s="24"/>
      <x:c r="I1817" s="24" t="str">
        <x:v>DuraVision Silver UV</x:v>
      </x:c>
      <x:c r="J1817" s="40" t="n">
        <x:v>3643</x:v>
      </x:c>
      <x:c r="K1817" s="24" t="str">
        <x:v>-10.00 a +6.00</x:v>
      </x:c>
      <x:c r="L1817" s="24" t="str">
        <x:v>-6.00</x:v>
      </x:c>
      <x:c r="M1817" s="24" t="str">
        <x:v>0.50 a 1.25</x:v>
      </x:c>
      <x:c r="N1817" s="24" t="str">
        <x:v>70</x:v>
      </x:c>
      <x:c r="O1817" s="24"/>
      <x:c r="P1817" s="24"/>
      <x:c r="Q1817" s="24" t="str">
        <x:v>DISPONÍVEL</x:v>
      </x:c>
      <x:c r="R1817" s="24" t="str">
        <x:v>Programa de Parcerias ZEISS</x:v>
      </x:c>
      <x:c r="S1817" s="24" t="n">
        <x:v>27</x:v>
      </x:c>
      <x:c r="T1817" s="24" t="str">
        <x:v>tabela_zeiss.pdf</x:v>
      </x:c>
      <x:c r="U1817" s="24" t="str">
        <x:v>ZEISS|Visão Simples Digital|Surfaçada|SmartLife Digital Individual 3|PhotoFusion X Extra Dark Cinza|Poli||DuraVision Silver UV|-10.00 a +6.00|-6.00|0.50 a 1.25|70|||27</x:v>
      </x:c>
    </x:row>
    <x:row r="1818">
      <x:c r="A1818" s="24" t="str">
        <x:v>ZS-CDE91AD7A57B</x:v>
      </x:c>
      <x:c r="B1818" s="24" t="str">
        <x:v>ZEISS</x:v>
      </x:c>
      <x:c r="C1818" s="24" t="str">
        <x:v>Visão Simples Digital</x:v>
      </x:c>
      <x:c r="D1818" s="24" t="str">
        <x:v>Surfaçada</x:v>
      </x:c>
      <x:c r="E1818" s="24" t="str">
        <x:v>SmartLife Digital Individual 3</x:v>
      </x:c>
      <x:c r="F1818" s="24" t="str">
        <x:v>PhotoFusion X Extra Dark Cinza</x:v>
      </x:c>
      <x:c r="G1818" s="24" t="str">
        <x:v>Poli</x:v>
      </x:c>
      <x:c r="H1818" s="24"/>
      <x:c r="I1818" s="24" t="str">
        <x:v>DuraVision Chrome UV</x:v>
      </x:c>
      <x:c r="J1818" s="40" t="n">
        <x:v>3153</x:v>
      </x:c>
      <x:c r="K1818" s="24" t="str">
        <x:v>-10.00 a +6.00</x:v>
      </x:c>
      <x:c r="L1818" s="24" t="str">
        <x:v>-6.00</x:v>
      </x:c>
      <x:c r="M1818" s="24" t="str">
        <x:v>0.50 a 1.25</x:v>
      </x:c>
      <x:c r="N1818" s="24" t="str">
        <x:v>70</x:v>
      </x:c>
      <x:c r="O1818" s="24"/>
      <x:c r="P1818" s="24"/>
      <x:c r="Q1818" s="24" t="str">
        <x:v>DISPONÍVEL</x:v>
      </x:c>
      <x:c r="R1818" s="24" t="str">
        <x:v>Programa de Parcerias ZEISS</x:v>
      </x:c>
      <x:c r="S1818" s="24" t="n">
        <x:v>27</x:v>
      </x:c>
      <x:c r="T1818" s="24" t="str">
        <x:v>tabela_zeiss.pdf</x:v>
      </x:c>
      <x:c r="U1818" s="24" t="str">
        <x:v>ZEISS|Visão Simples Digital|Surfaçada|SmartLife Digital Individual 3|PhotoFusion X Extra Dark Cinza|Poli||DuraVision Chrome UV|-10.00 a +6.00|-6.00|0.50 a 1.25|70|||27</x:v>
      </x:c>
    </x:row>
    <x:row r="1819">
      <x:c r="A1819" s="24" t="str">
        <x:v>ZS-D8025CA0CD85</x:v>
      </x:c>
      <x:c r="B1819" s="24" t="str">
        <x:v>ZEISS</x:v>
      </x:c>
      <x:c r="C1819" s="24" t="str">
        <x:v>Visão Simples Digital</x:v>
      </x:c>
      <x:c r="D1819" s="24" t="str">
        <x:v>Surfaçada</x:v>
      </x:c>
      <x:c r="E1819" s="24" t="str">
        <x:v>SmartLife Digital Individual 3</x:v>
      </x:c>
      <x:c r="F1819" s="24" t="str">
        <x:v>PhotoFusion X Extra Dark Cinza</x:v>
      </x:c>
      <x:c r="G1819" s="24" t="str">
        <x:v>1.6</x:v>
      </x:c>
      <x:c r="H1819" s="24" t="str">
        <x:v>1.60</x:v>
      </x:c>
      <x:c r="I1819" s="24" t="str">
        <x:v>DuraVision Gold UV</x:v>
      </x:c>
      <x:c r="J1819" s="40" t="n">
        <x:v>4263</x:v>
      </x:c>
      <x:c r="K1819" s="24" t="str">
        <x:v>-7.25 a +6.00</x:v>
      </x:c>
      <x:c r="L1819" s="24" t="str">
        <x:v>-6.00</x:v>
      </x:c>
      <x:c r="M1819" s="24" t="str">
        <x:v>0.50 a 1.25</x:v>
      </x:c>
      <x:c r="N1819" s="24" t="str">
        <x:v>75</x:v>
      </x:c>
      <x:c r="O1819" s="24"/>
      <x:c r="P1819" s="24"/>
      <x:c r="Q1819" s="24" t="str">
        <x:v>DISPONÍVEL</x:v>
      </x:c>
      <x:c r="R1819" s="24" t="str">
        <x:v>Programa de Parcerias ZEISS</x:v>
      </x:c>
      <x:c r="S1819" s="24" t="n">
        <x:v>27</x:v>
      </x:c>
      <x:c r="T1819" s="24" t="str">
        <x:v>tabela_zeiss.pdf</x:v>
      </x:c>
      <x:c r="U1819" s="24" t="str">
        <x:v>ZEISS|Visão Simples Digital|Surfaçada|SmartLife Digital Individual 3|PhotoFusion X Extra Dark Cinza|1.6|1.60|DuraVision Gold UV|-7.25 a +6.00|-6.00|0.50 a 1.25|75|||27</x:v>
      </x:c>
    </x:row>
    <x:row r="1820">
      <x:c r="A1820" s="24" t="str">
        <x:v>ZS-C274990C7754</x:v>
      </x:c>
      <x:c r="B1820" s="24" t="str">
        <x:v>ZEISS</x:v>
      </x:c>
      <x:c r="C1820" s="24" t="str">
        <x:v>Visão Simples Digital</x:v>
      </x:c>
      <x:c r="D1820" s="24" t="str">
        <x:v>Surfaçada</x:v>
      </x:c>
      <x:c r="E1820" s="24" t="str">
        <x:v>SmartLife Digital Individual 3</x:v>
      </x:c>
      <x:c r="F1820" s="24" t="str">
        <x:v>PhotoFusion X Extra Dark Cinza</x:v>
      </x:c>
      <x:c r="G1820" s="24" t="str">
        <x:v>1.6</x:v>
      </x:c>
      <x:c r="H1820" s="24" t="str">
        <x:v>1.60</x:v>
      </x:c>
      <x:c r="I1820" s="24" t="str">
        <x:v>DURAVISION® ANTIVÍRUS PLATINUM UV</x:v>
      </x:c>
      <x:c r="J1820" s="40" t="n">
        <x:v>4123</x:v>
      </x:c>
      <x:c r="K1820" s="24" t="str">
        <x:v>-7.25 a +6.00</x:v>
      </x:c>
      <x:c r="L1820" s="24" t="str">
        <x:v>-6.00</x:v>
      </x:c>
      <x:c r="M1820" s="24" t="str">
        <x:v>0.50 a 1.25</x:v>
      </x:c>
      <x:c r="N1820" s="24" t="str">
        <x:v>75</x:v>
      </x:c>
      <x:c r="O1820" s="24"/>
      <x:c r="P1820" s="24"/>
      <x:c r="Q1820" s="24" t="str">
        <x:v>DISPONÍVEL</x:v>
      </x:c>
      <x:c r="R1820" s="24" t="str">
        <x:v>Programa de Parcerias ZEISS</x:v>
      </x:c>
      <x:c r="S1820" s="24" t="n">
        <x:v>27</x:v>
      </x:c>
      <x:c r="T1820" s="24" t="str">
        <x:v>tabela_zeiss.pdf</x:v>
      </x:c>
      <x:c r="U1820" s="24" t="str">
        <x:v>ZEISS|Visão Simples Digital|Surfaçada|SmartLife Digital Individual 3|PhotoFusion X Extra Dark Cinza|1.6|1.60|DURAVISION® ANTIVÍRUS PLATINUM UV|-7.25 a +6.00|-6.00|0.50 a 1.25|75|||27</x:v>
      </x:c>
    </x:row>
    <x:row r="1821">
      <x:c r="A1821" s="24" t="str">
        <x:v>ZS-5D38583C9FEE</x:v>
      </x:c>
      <x:c r="B1821" s="24" t="str">
        <x:v>ZEISS</x:v>
      </x:c>
      <x:c r="C1821" s="24" t="str">
        <x:v>Visão Simples Digital</x:v>
      </x:c>
      <x:c r="D1821" s="24" t="str">
        <x:v>Surfaçada</x:v>
      </x:c>
      <x:c r="E1821" s="24" t="str">
        <x:v>SmartLife Digital Individual 3</x:v>
      </x:c>
      <x:c r="F1821" s="24" t="str">
        <x:v>PhotoFusion X Extra Dark Cinza</x:v>
      </x:c>
      <x:c r="G1821" s="24" t="str">
        <x:v>1.6</x:v>
      </x:c>
      <x:c r="H1821" s="24" t="str">
        <x:v>1.60</x:v>
      </x:c>
      <x:c r="I1821" s="24" t="str">
        <x:v>DuraVision Platinum UV</x:v>
      </x:c>
      <x:c r="J1821" s="40" t="n">
        <x:v>4123</x:v>
      </x:c>
      <x:c r="K1821" s="24" t="str">
        <x:v>-7.25 a +6.00</x:v>
      </x:c>
      <x:c r="L1821" s="24" t="str">
        <x:v>-6.00</x:v>
      </x:c>
      <x:c r="M1821" s="24" t="str">
        <x:v>0.50 a 1.25</x:v>
      </x:c>
      <x:c r="N1821" s="24" t="str">
        <x:v>75</x:v>
      </x:c>
      <x:c r="O1821" s="24"/>
      <x:c r="P1821" s="24"/>
      <x:c r="Q1821" s="24" t="str">
        <x:v>DISPONÍVEL</x:v>
      </x:c>
      <x:c r="R1821" s="24" t="str">
        <x:v>Programa de Parcerias ZEISS</x:v>
      </x:c>
      <x:c r="S1821" s="24" t="n">
        <x:v>27</x:v>
      </x:c>
      <x:c r="T1821" s="24" t="str">
        <x:v>tabela_zeiss.pdf</x:v>
      </x:c>
      <x:c r="U1821" s="24" t="str">
        <x:v>ZEISS|Visão Simples Digital|Surfaçada|SmartLife Digital Individual 3|PhotoFusion X Extra Dark Cinza|1.6|1.60|DuraVision Platinum UV|-7.25 a +6.00|-6.00|0.50 a 1.25|75|||27</x:v>
      </x:c>
    </x:row>
    <x:row r="1822">
      <x:c r="A1822" s="24" t="str">
        <x:v>ZS-FDBF8AF43CB7</x:v>
      </x:c>
      <x:c r="B1822" s="24" t="str">
        <x:v>ZEISS</x:v>
      </x:c>
      <x:c r="C1822" s="24" t="str">
        <x:v>Visão Simples Digital</x:v>
      </x:c>
      <x:c r="D1822" s="24" t="str">
        <x:v>Surfaçada</x:v>
      </x:c>
      <x:c r="E1822" s="24" t="str">
        <x:v>SmartLife Digital Individual 3</x:v>
      </x:c>
      <x:c r="F1822" s="24" t="str">
        <x:v>PhotoFusion X Extra Dark Cinza</x:v>
      </x:c>
      <x:c r="G1822" s="24" t="str">
        <x:v>1.6</x:v>
      </x:c>
      <x:c r="H1822" s="24" t="str">
        <x:v>1.60</x:v>
      </x:c>
      <x:c r="I1822" s="24" t="str">
        <x:v>DuraVision Silver UV</x:v>
      </x:c>
      <x:c r="J1822" s="40" t="n">
        <x:v>3863</x:v>
      </x:c>
      <x:c r="K1822" s="24" t="str">
        <x:v>-7.25 a +6.00</x:v>
      </x:c>
      <x:c r="L1822" s="24" t="str">
        <x:v>-6.00</x:v>
      </x:c>
      <x:c r="M1822" s="24" t="str">
        <x:v>0.50 a 1.25</x:v>
      </x:c>
      <x:c r="N1822" s="24" t="str">
        <x:v>75</x:v>
      </x:c>
      <x:c r="O1822" s="24"/>
      <x:c r="P1822" s="24"/>
      <x:c r="Q1822" s="24" t="str">
        <x:v>DISPONÍVEL</x:v>
      </x:c>
      <x:c r="R1822" s="24" t="str">
        <x:v>Programa de Parcerias ZEISS</x:v>
      </x:c>
      <x:c r="S1822" s="24" t="n">
        <x:v>27</x:v>
      </x:c>
      <x:c r="T1822" s="24" t="str">
        <x:v>tabela_zeiss.pdf</x:v>
      </x:c>
      <x:c r="U1822" s="24" t="str">
        <x:v>ZEISS|Visão Simples Digital|Surfaçada|SmartLife Digital Individual 3|PhotoFusion X Extra Dark Cinza|1.6|1.60|DuraVision Silver UV|-7.25 a +6.00|-6.00|0.50 a 1.25|75|||27</x:v>
      </x:c>
    </x:row>
    <x:row r="1823">
      <x:c r="A1823" s="24" t="str">
        <x:v>ZS-77F642255C3A</x:v>
      </x:c>
      <x:c r="B1823" s="24" t="str">
        <x:v>ZEISS</x:v>
      </x:c>
      <x:c r="C1823" s="24" t="str">
        <x:v>Visão Simples Digital</x:v>
      </x:c>
      <x:c r="D1823" s="24" t="str">
        <x:v>Surfaçada</x:v>
      </x:c>
      <x:c r="E1823" s="24" t="str">
        <x:v>SmartLife Digital Individual 3</x:v>
      </x:c>
      <x:c r="F1823" s="24" t="str">
        <x:v>PhotoFusion X Extra Dark Cinza</x:v>
      </x:c>
      <x:c r="G1823" s="24" t="str">
        <x:v>1.6</x:v>
      </x:c>
      <x:c r="H1823" s="24" t="str">
        <x:v>1.60</x:v>
      </x:c>
      <x:c r="I1823" s="24" t="str">
        <x:v>DuraVision Chrome UV</x:v>
      </x:c>
      <x:c r="J1823" s="40" t="n">
        <x:v>3373</x:v>
      </x:c>
      <x:c r="K1823" s="24" t="str">
        <x:v>-7.25 a +6.00</x:v>
      </x:c>
      <x:c r="L1823" s="24" t="str">
        <x:v>-6.00</x:v>
      </x:c>
      <x:c r="M1823" s="24" t="str">
        <x:v>0.50 a 1.25</x:v>
      </x:c>
      <x:c r="N1823" s="24" t="str">
        <x:v>75</x:v>
      </x:c>
      <x:c r="O1823" s="24"/>
      <x:c r="P1823" s="24"/>
      <x:c r="Q1823" s="24" t="str">
        <x:v>DISPONÍVEL</x:v>
      </x:c>
      <x:c r="R1823" s="24" t="str">
        <x:v>Programa de Parcerias ZEISS</x:v>
      </x:c>
      <x:c r="S1823" s="24" t="n">
        <x:v>27</x:v>
      </x:c>
      <x:c r="T1823" s="24" t="str">
        <x:v>tabela_zeiss.pdf</x:v>
      </x:c>
      <x:c r="U1823" s="24" t="str">
        <x:v>ZEISS|Visão Simples Digital|Surfaçada|SmartLife Digital Individual 3|PhotoFusion X Extra Dark Cinza|1.6|1.60|DuraVision Chrome UV|-7.25 a +6.00|-6.00|0.50 a 1.25|75|||27</x:v>
      </x:c>
    </x:row>
    <x:row r="1824">
      <x:c r="A1824" s="24" t="str">
        <x:v>ZS-F1BB4C3F87F0</x:v>
      </x:c>
      <x:c r="B1824" s="24" t="str">
        <x:v>ZEISS</x:v>
      </x:c>
      <x:c r="C1824" s="24" t="str">
        <x:v>Visão Simples Digital</x:v>
      </x:c>
      <x:c r="D1824" s="24" t="str">
        <x:v>Surfaçada</x:v>
      </x:c>
      <x:c r="E1824" s="24" t="str">
        <x:v>SmartLife Digital Individual 3</x:v>
      </x:c>
      <x:c r="F1824" s="24" t="str">
        <x:v>PhotoFusion X Extra Dark Cinza</x:v>
      </x:c>
      <x:c r="G1824" s="24" t="str">
        <x:v>1.67</x:v>
      </x:c>
      <x:c r="H1824" s="24" t="str">
        <x:v>1.67</x:v>
      </x:c>
      <x:c r="I1824" s="24" t="str">
        <x:v>DuraVision Gold UV</x:v>
      </x:c>
      <x:c r="J1824" s="40" t="n">
        <x:v>5563</x:v>
      </x:c>
      <x:c r="K1824" s="24" t="str">
        <x:v>-8.00 a +8.00</x:v>
      </x:c>
      <x:c r="L1824" s="24" t="str">
        <x:v>-6.00</x:v>
      </x:c>
      <x:c r="M1824" s="24" t="str">
        <x:v>0.50 a 1.25</x:v>
      </x:c>
      <x:c r="N1824" s="24" t="str">
        <x:v>70</x:v>
      </x:c>
      <x:c r="O1824" s="24"/>
      <x:c r="P1824" s="24"/>
      <x:c r="Q1824" s="24" t="str">
        <x:v>DISPONÍVEL</x:v>
      </x:c>
      <x:c r="R1824" s="24" t="str">
        <x:v>Programa de Parcerias ZEISS</x:v>
      </x:c>
      <x:c r="S1824" s="24" t="n">
        <x:v>27</x:v>
      </x:c>
      <x:c r="T1824" s="24" t="str">
        <x:v>tabela_zeiss.pdf</x:v>
      </x:c>
      <x:c r="U1824" s="24" t="str">
        <x:v>ZEISS|Visão Simples Digital|Surfaçada|SmartLife Digital Individual 3|PhotoFusion X Extra Dark Cinza|1.67|1.67|DuraVision Gold UV|-8.00 a +8.00|-6.00|0.50 a 1.25|70|||27</x:v>
      </x:c>
    </x:row>
    <x:row r="1825">
      <x:c r="A1825" s="24" t="str">
        <x:v>ZS-AEFA19113C0C</x:v>
      </x:c>
      <x:c r="B1825" s="24" t="str">
        <x:v>ZEISS</x:v>
      </x:c>
      <x:c r="C1825" s="24" t="str">
        <x:v>Visão Simples Digital</x:v>
      </x:c>
      <x:c r="D1825" s="24" t="str">
        <x:v>Surfaçada</x:v>
      </x:c>
      <x:c r="E1825" s="24" t="str">
        <x:v>SmartLife Digital Individual 3</x:v>
      </x:c>
      <x:c r="F1825" s="24" t="str">
        <x:v>PhotoFusion X Extra Dark Cinza</x:v>
      </x:c>
      <x:c r="G1825" s="24" t="str">
        <x:v>1.67</x:v>
      </x:c>
      <x:c r="H1825" s="24" t="str">
        <x:v>1.67</x:v>
      </x:c>
      <x:c r="I1825" s="24" t="str">
        <x:v>DURAVISION® ANTIVÍRUS PLATINUM UV</x:v>
      </x:c>
      <x:c r="J1825" s="40" t="n">
        <x:v>5423</x:v>
      </x:c>
      <x:c r="K1825" s="24" t="str">
        <x:v>-8.00 a +8.00</x:v>
      </x:c>
      <x:c r="L1825" s="24" t="str">
        <x:v>-6.00</x:v>
      </x:c>
      <x:c r="M1825" s="24" t="str">
        <x:v>0.50 a 1.25</x:v>
      </x:c>
      <x:c r="N1825" s="24" t="str">
        <x:v>70</x:v>
      </x:c>
      <x:c r="O1825" s="24"/>
      <x:c r="P1825" s="24"/>
      <x:c r="Q1825" s="24" t="str">
        <x:v>DISPONÍVEL</x:v>
      </x:c>
      <x:c r="R1825" s="24" t="str">
        <x:v>Programa de Parcerias ZEISS</x:v>
      </x:c>
      <x:c r="S1825" s="24" t="n">
        <x:v>27</x:v>
      </x:c>
      <x:c r="T1825" s="24" t="str">
        <x:v>tabela_zeiss.pdf</x:v>
      </x:c>
      <x:c r="U1825" s="24" t="str">
        <x:v>ZEISS|Visão Simples Digital|Surfaçada|SmartLife Digital Individual 3|PhotoFusion X Extra Dark Cinza|1.67|1.67|DURAVISION® ANTIVÍRUS PLATINUM UV|-8.00 a +8.00|-6.00|0.50 a 1.25|70|||27</x:v>
      </x:c>
    </x:row>
    <x:row r="1826">
      <x:c r="A1826" s="24" t="str">
        <x:v>ZS-4B9C45B0DD60</x:v>
      </x:c>
      <x:c r="B1826" s="24" t="str">
        <x:v>ZEISS</x:v>
      </x:c>
      <x:c r="C1826" s="24" t="str">
        <x:v>Visão Simples Digital</x:v>
      </x:c>
      <x:c r="D1826" s="24" t="str">
        <x:v>Surfaçada</x:v>
      </x:c>
      <x:c r="E1826" s="24" t="str">
        <x:v>SmartLife Digital Individual 3</x:v>
      </x:c>
      <x:c r="F1826" s="24" t="str">
        <x:v>PhotoFusion X Extra Dark Cinza</x:v>
      </x:c>
      <x:c r="G1826" s="24" t="str">
        <x:v>1.67</x:v>
      </x:c>
      <x:c r="H1826" s="24" t="str">
        <x:v>1.67</x:v>
      </x:c>
      <x:c r="I1826" s="24" t="str">
        <x:v>DuraVision Platinum UV</x:v>
      </x:c>
      <x:c r="J1826" s="40" t="n">
        <x:v>5423</x:v>
      </x:c>
      <x:c r="K1826" s="24" t="str">
        <x:v>-8.00 a +8.00</x:v>
      </x:c>
      <x:c r="L1826" s="24" t="str">
        <x:v>-6.00</x:v>
      </x:c>
      <x:c r="M1826" s="24" t="str">
        <x:v>0.50 a 1.25</x:v>
      </x:c>
      <x:c r="N1826" s="24" t="str">
        <x:v>70</x:v>
      </x:c>
      <x:c r="O1826" s="24"/>
      <x:c r="P1826" s="24"/>
      <x:c r="Q1826" s="24" t="str">
        <x:v>DISPONÍVEL</x:v>
      </x:c>
      <x:c r="R1826" s="24" t="str">
        <x:v>Programa de Parcerias ZEISS</x:v>
      </x:c>
      <x:c r="S1826" s="24" t="n">
        <x:v>27</x:v>
      </x:c>
      <x:c r="T1826" s="24" t="str">
        <x:v>tabela_zeiss.pdf</x:v>
      </x:c>
      <x:c r="U1826" s="24" t="str">
        <x:v>ZEISS|Visão Simples Digital|Surfaçada|SmartLife Digital Individual 3|PhotoFusion X Extra Dark Cinza|1.67|1.67|DuraVision Platinum UV|-8.00 a +8.00|-6.00|0.50 a 1.25|70|||27</x:v>
      </x:c>
    </x:row>
    <x:row r="1827">
      <x:c r="A1827" s="24" t="str">
        <x:v>ZS-0174F84B2666</x:v>
      </x:c>
      <x:c r="B1827" s="24" t="str">
        <x:v>ZEISS</x:v>
      </x:c>
      <x:c r="C1827" s="24" t="str">
        <x:v>Visão Simples Digital</x:v>
      </x:c>
      <x:c r="D1827" s="24" t="str">
        <x:v>Surfaçada</x:v>
      </x:c>
      <x:c r="E1827" s="24" t="str">
        <x:v>SmartLife Digital Individual 3</x:v>
      </x:c>
      <x:c r="F1827" s="24" t="str">
        <x:v>PhotoFusion X Extra Dark Cinza</x:v>
      </x:c>
      <x:c r="G1827" s="24" t="str">
        <x:v>1.67</x:v>
      </x:c>
      <x:c r="H1827" s="24" t="str">
        <x:v>1.67</x:v>
      </x:c>
      <x:c r="I1827" s="24" t="str">
        <x:v>DuraVision Silver UV</x:v>
      </x:c>
      <x:c r="J1827" s="40" t="n">
        <x:v>5163</x:v>
      </x:c>
      <x:c r="K1827" s="24" t="str">
        <x:v>-8.00 a +8.00</x:v>
      </x:c>
      <x:c r="L1827" s="24" t="str">
        <x:v>-6.00</x:v>
      </x:c>
      <x:c r="M1827" s="24" t="str">
        <x:v>0.50 a 1.25</x:v>
      </x:c>
      <x:c r="N1827" s="24" t="str">
        <x:v>70</x:v>
      </x:c>
      <x:c r="O1827" s="24"/>
      <x:c r="P1827" s="24"/>
      <x:c r="Q1827" s="24" t="str">
        <x:v>DISPONÍVEL</x:v>
      </x:c>
      <x:c r="R1827" s="24" t="str">
        <x:v>Programa de Parcerias ZEISS</x:v>
      </x:c>
      <x:c r="S1827" s="24" t="n">
        <x:v>27</x:v>
      </x:c>
      <x:c r="T1827" s="24" t="str">
        <x:v>tabela_zeiss.pdf</x:v>
      </x:c>
      <x:c r="U1827" s="24" t="str">
        <x:v>ZEISS|Visão Simples Digital|Surfaçada|SmartLife Digital Individual 3|PhotoFusion X Extra Dark Cinza|1.67|1.67|DuraVision Silver UV|-8.00 a +8.00|-6.00|0.50 a 1.25|70|||27</x:v>
      </x:c>
    </x:row>
    <x:row r="1828">
      <x:c r="A1828" s="24" t="str">
        <x:v>ZS-E1D5614DD19F</x:v>
      </x:c>
      <x:c r="B1828" s="24" t="str">
        <x:v>ZEISS</x:v>
      </x:c>
      <x:c r="C1828" s="24" t="str">
        <x:v>Visão Simples Digital</x:v>
      </x:c>
      <x:c r="D1828" s="24" t="str">
        <x:v>Surfaçada</x:v>
      </x:c>
      <x:c r="E1828" s="24" t="str">
        <x:v>SmartLife Digital Individual 3</x:v>
      </x:c>
      <x:c r="F1828" s="24" t="str">
        <x:v>PhotoFusion X Extra Dark Cinza</x:v>
      </x:c>
      <x:c r="G1828" s="24" t="str">
        <x:v>1.67</x:v>
      </x:c>
      <x:c r="H1828" s="24" t="str">
        <x:v>1.67</x:v>
      </x:c>
      <x:c r="I1828" s="24" t="str">
        <x:v>DuraVision Chrome UV</x:v>
      </x:c>
      <x:c r="J1828" s="40" t="n">
        <x:v>4673</x:v>
      </x:c>
      <x:c r="K1828" s="24" t="str">
        <x:v>-8.00 a +8.00</x:v>
      </x:c>
      <x:c r="L1828" s="24" t="str">
        <x:v>-6.00</x:v>
      </x:c>
      <x:c r="M1828" s="24" t="str">
        <x:v>0.50 a 1.25</x:v>
      </x:c>
      <x:c r="N1828" s="24" t="str">
        <x:v>70</x:v>
      </x:c>
      <x:c r="O1828" s="24"/>
      <x:c r="P1828" s="24"/>
      <x:c r="Q1828" s="24" t="str">
        <x:v>DISPONÍVEL</x:v>
      </x:c>
      <x:c r="R1828" s="24" t="str">
        <x:v>Programa de Parcerias ZEISS</x:v>
      </x:c>
      <x:c r="S1828" s="24" t="n">
        <x:v>27</x:v>
      </x:c>
      <x:c r="T1828" s="24" t="str">
        <x:v>tabela_zeiss.pdf</x:v>
      </x:c>
      <x:c r="U1828" s="24" t="str">
        <x:v>ZEISS|Visão Simples Digital|Surfaçada|SmartLife Digital Individual 3|PhotoFusion X Extra Dark Cinza|1.67|1.67|DuraVision Chrome UV|-8.00 a +8.00|-6.00|0.50 a 1.25|70|||27</x:v>
      </x:c>
    </x:row>
    <x:row r="1829">
      <x:c r="A1829" s="24" t="str">
        <x:v>ZS-FA64B3872A2C</x:v>
      </x:c>
      <x:c r="B1829" s="24" t="str">
        <x:v>ZEISS</x:v>
      </x:c>
      <x:c r="C1829" s="24" t="str">
        <x:v>Visão Simples Digital</x:v>
      </x:c>
      <x:c r="D1829" s="24" t="str">
        <x:v>Surfaçada</x:v>
      </x:c>
      <x:c r="E1829" s="24" t="str">
        <x:v>SmartLife Digital Individual 3</x:v>
      </x:c>
      <x:c r="F1829" s="24" t="str">
        <x:v>Polarizada</x:v>
      </x:c>
      <x:c r="G1829" s="24" t="str">
        <x:v>1.5</x:v>
      </x:c>
      <x:c r="H1829" s="24" t="str">
        <x:v>1.50</x:v>
      </x:c>
      <x:c r="I1829" s="24" t="str">
        <x:v>DuraVision Gold UV</x:v>
      </x:c>
      <x:c r="J1829" s="40" t="n">
        <x:v>3053</x:v>
      </x:c>
      <x:c r="K1829" s="24" t="str">
        <x:v>-6.00 a +6.00</x:v>
      </x:c>
      <x:c r="L1829" s="24" t="str">
        <x:v>-4.00</x:v>
      </x:c>
      <x:c r="M1829" s="24" t="str">
        <x:v>0.50 a 1.25</x:v>
      </x:c>
      <x:c r="N1829" s="24" t="str">
        <x:v>70</x:v>
      </x:c>
      <x:c r="O1829" s="24"/>
      <x:c r="P1829" s="24"/>
      <x:c r="Q1829" s="24" t="str">
        <x:v>DISPONÍVEL</x:v>
      </x:c>
      <x:c r="R1829" s="24"/>
      <x:c r="S1829" s="24" t="n">
        <x:v>27</x:v>
      </x:c>
      <x:c r="T1829" s="24" t="str">
        <x:v>tabela_zeiss.pdf</x:v>
      </x:c>
      <x:c r="U1829" s="24" t="str">
        <x:v>ZEISS|Visão Simples Digital|Surfaçada|SmartLife Digital Individual 3|Polarizada|1.5|1.50|DuraVision Gold UV|-6.00 a +6.00|-4.00|0.50 a 1.25|70|||27</x:v>
      </x:c>
    </x:row>
    <x:row r="1830">
      <x:c r="A1830" s="24" t="str">
        <x:v>ZS-11EF7B6876CE</x:v>
      </x:c>
      <x:c r="B1830" s="24" t="str">
        <x:v>ZEISS</x:v>
      </x:c>
      <x:c r="C1830" s="24" t="str">
        <x:v>Visão Simples Digital</x:v>
      </x:c>
      <x:c r="D1830" s="24" t="str">
        <x:v>Surfaçada</x:v>
      </x:c>
      <x:c r="E1830" s="24" t="str">
        <x:v>SmartLife Digital Individual 3</x:v>
      </x:c>
      <x:c r="F1830" s="24" t="str">
        <x:v>Polarizada</x:v>
      </x:c>
      <x:c r="G1830" s="24" t="str">
        <x:v>1.5</x:v>
      </x:c>
      <x:c r="H1830" s="24" t="str">
        <x:v>1.50</x:v>
      </x:c>
      <x:c r="I1830" s="24" t="str">
        <x:v>DuraVision Platinum UV</x:v>
      </x:c>
      <x:c r="J1830" s="40" t="n">
        <x:v>2913</x:v>
      </x:c>
      <x:c r="K1830" s="24" t="str">
        <x:v>-6.00 a +6.00</x:v>
      </x:c>
      <x:c r="L1830" s="24" t="str">
        <x:v>-4.00</x:v>
      </x:c>
      <x:c r="M1830" s="24" t="str">
        <x:v>0.50 a 1.25</x:v>
      </x:c>
      <x:c r="N1830" s="24" t="str">
        <x:v>70</x:v>
      </x:c>
      <x:c r="O1830" s="24"/>
      <x:c r="P1830" s="24"/>
      <x:c r="Q1830" s="24" t="str">
        <x:v>DISPONÍVEL</x:v>
      </x:c>
      <x:c r="R1830" s="24"/>
      <x:c r="S1830" s="24" t="n">
        <x:v>27</x:v>
      </x:c>
      <x:c r="T1830" s="24" t="str">
        <x:v>tabela_zeiss.pdf</x:v>
      </x:c>
      <x:c r="U1830" s="24" t="str">
        <x:v>ZEISS|Visão Simples Digital|Surfaçada|SmartLife Digital Individual 3|Polarizada|1.5|1.50|DuraVision Platinum UV|-6.00 a +6.00|-4.00|0.50 a 1.25|70|||27</x:v>
      </x:c>
    </x:row>
    <x:row r="1831">
      <x:c r="A1831" s="24" t="str">
        <x:v>ZS-F9B762A3AD83</x:v>
      </x:c>
      <x:c r="B1831" s="24" t="str">
        <x:v>ZEISS</x:v>
      </x:c>
      <x:c r="C1831" s="24" t="str">
        <x:v>Visão Simples Digital</x:v>
      </x:c>
      <x:c r="D1831" s="24" t="str">
        <x:v>Surfaçada</x:v>
      </x:c>
      <x:c r="E1831" s="24" t="str">
        <x:v>SmartLife Digital Individual 3</x:v>
      </x:c>
      <x:c r="F1831" s="24" t="str">
        <x:v>Polarizada</x:v>
      </x:c>
      <x:c r="G1831" s="24" t="str">
        <x:v>1.5</x:v>
      </x:c>
      <x:c r="H1831" s="24" t="str">
        <x:v>1.50</x:v>
      </x:c>
      <x:c r="I1831" s="24" t="str">
        <x:v>DuraVision Silver UV</x:v>
      </x:c>
      <x:c r="J1831" s="40" t="n">
        <x:v>2653</x:v>
      </x:c>
      <x:c r="K1831" s="24" t="str">
        <x:v>-6.00 a +6.00</x:v>
      </x:c>
      <x:c r="L1831" s="24" t="str">
        <x:v>-4.00</x:v>
      </x:c>
      <x:c r="M1831" s="24" t="str">
        <x:v>0.50 a 1.25</x:v>
      </x:c>
      <x:c r="N1831" s="24" t="str">
        <x:v>70</x:v>
      </x:c>
      <x:c r="O1831" s="24"/>
      <x:c r="P1831" s="24"/>
      <x:c r="Q1831" s="24" t="str">
        <x:v>DISPONÍVEL</x:v>
      </x:c>
      <x:c r="R1831" s="24"/>
      <x:c r="S1831" s="24" t="n">
        <x:v>27</x:v>
      </x:c>
      <x:c r="T1831" s="24" t="str">
        <x:v>tabela_zeiss.pdf</x:v>
      </x:c>
      <x:c r="U1831" s="24" t="str">
        <x:v>ZEISS|Visão Simples Digital|Surfaçada|SmartLife Digital Individual 3|Polarizada|1.5|1.50|DuraVision Silver UV|-6.00 a +6.00|-4.00|0.50 a 1.25|70|||27</x:v>
      </x:c>
    </x:row>
    <x:row r="1832">
      <x:c r="A1832" s="24" t="str">
        <x:v>ZS-DE4FB5CC3101</x:v>
      </x:c>
      <x:c r="B1832" s="24" t="str">
        <x:v>ZEISS</x:v>
      </x:c>
      <x:c r="C1832" s="24" t="str">
        <x:v>Visão Simples Digital</x:v>
      </x:c>
      <x:c r="D1832" s="24" t="str">
        <x:v>Surfaçada</x:v>
      </x:c>
      <x:c r="E1832" s="24" t="str">
        <x:v>SmartLife Digital Individual 3</x:v>
      </x:c>
      <x:c r="F1832" s="24" t="str">
        <x:v>Polarizada</x:v>
      </x:c>
      <x:c r="G1832" s="24" t="str">
        <x:v>1.5</x:v>
      </x:c>
      <x:c r="H1832" s="24" t="str">
        <x:v>1.50</x:v>
      </x:c>
      <x:c r="I1832" s="24" t="str">
        <x:v>DuraVision Chrome UV</x:v>
      </x:c>
      <x:c r="J1832" s="40" t="n">
        <x:v>2163</x:v>
      </x:c>
      <x:c r="K1832" s="24" t="str">
        <x:v>-6.00 a +6.00</x:v>
      </x:c>
      <x:c r="L1832" s="24" t="str">
        <x:v>-4.00</x:v>
      </x:c>
      <x:c r="M1832" s="24" t="str">
        <x:v>0.50 a 1.25</x:v>
      </x:c>
      <x:c r="N1832" s="24" t="str">
        <x:v>70</x:v>
      </x:c>
      <x:c r="O1832" s="24"/>
      <x:c r="P1832" s="24"/>
      <x:c r="Q1832" s="24" t="str">
        <x:v>DISPONÍVEL</x:v>
      </x:c>
      <x:c r="R1832" s="24"/>
      <x:c r="S1832" s="24" t="n">
        <x:v>27</x:v>
      </x:c>
      <x:c r="T1832" s="24" t="str">
        <x:v>tabela_zeiss.pdf</x:v>
      </x:c>
      <x:c r="U1832" s="24" t="str">
        <x:v>ZEISS|Visão Simples Digital|Surfaçada|SmartLife Digital Individual 3|Polarizada|1.5|1.50|DuraVision Chrome UV|-6.00 a +6.00|-4.00|0.50 a 1.25|70|||27</x:v>
      </x:c>
    </x:row>
    <x:row r="1833">
      <x:c r="A1833" s="24" t="str">
        <x:v>ZS-A8A26A6EF8CF</x:v>
      </x:c>
      <x:c r="B1833" s="24" t="str">
        <x:v>ZEISS</x:v>
      </x:c>
      <x:c r="C1833" s="24" t="str">
        <x:v>Visão Simples Digital</x:v>
      </x:c>
      <x:c r="D1833" s="24" t="str">
        <x:v>Surfaçada</x:v>
      </x:c>
      <x:c r="E1833" s="24" t="str">
        <x:v>SmartLife Digital Individual 3</x:v>
      </x:c>
      <x:c r="F1833" s="24" t="str">
        <x:v>Polarizada</x:v>
      </x:c>
      <x:c r="G1833" s="24" t="str">
        <x:v>1.6</x:v>
      </x:c>
      <x:c r="H1833" s="24" t="str">
        <x:v>1.60</x:v>
      </x:c>
      <x:c r="I1833" s="24" t="str">
        <x:v>DuraVision Gold UV</x:v>
      </x:c>
      <x:c r="J1833" s="40" t="n">
        <x:v>3633</x:v>
      </x:c>
      <x:c r="K1833" s="24" t="str">
        <x:v>-8.00 a +8.00</x:v>
      </x:c>
      <x:c r="L1833" s="24" t="str">
        <x:v>-4.00</x:v>
      </x:c>
      <x:c r="M1833" s="24" t="str">
        <x:v>0.50 a 1.25</x:v>
      </x:c>
      <x:c r="N1833" s="24" t="str">
        <x:v>70</x:v>
      </x:c>
      <x:c r="O1833" s="24"/>
      <x:c r="P1833" s="24"/>
      <x:c r="Q1833" s="24" t="str">
        <x:v>DISPONÍVEL</x:v>
      </x:c>
      <x:c r="R1833" s="24"/>
      <x:c r="S1833" s="24" t="n">
        <x:v>27</x:v>
      </x:c>
      <x:c r="T1833" s="24" t="str">
        <x:v>tabela_zeiss.pdf</x:v>
      </x:c>
      <x:c r="U1833" s="24" t="str">
        <x:v>ZEISS|Visão Simples Digital|Surfaçada|SmartLife Digital Individual 3|Polarizada|1.6|1.60|DuraVision Gold UV|-8.00 a +8.00|-4.00|0.50 a 1.25|70|||27</x:v>
      </x:c>
    </x:row>
    <x:row r="1834">
      <x:c r="A1834" s="24" t="str">
        <x:v>ZS-812E8E50A97B</x:v>
      </x:c>
      <x:c r="B1834" s="24" t="str">
        <x:v>ZEISS</x:v>
      </x:c>
      <x:c r="C1834" s="24" t="str">
        <x:v>Visão Simples Digital</x:v>
      </x:c>
      <x:c r="D1834" s="24" t="str">
        <x:v>Surfaçada</x:v>
      </x:c>
      <x:c r="E1834" s="24" t="str">
        <x:v>SmartLife Digital Individual 3</x:v>
      </x:c>
      <x:c r="F1834" s="24" t="str">
        <x:v>Polarizada</x:v>
      </x:c>
      <x:c r="G1834" s="24" t="str">
        <x:v>1.6</x:v>
      </x:c>
      <x:c r="H1834" s="24" t="str">
        <x:v>1.60</x:v>
      </x:c>
      <x:c r="I1834" s="24" t="str">
        <x:v>DuraVision Platinum UV</x:v>
      </x:c>
      <x:c r="J1834" s="40" t="n">
        <x:v>3493</x:v>
      </x:c>
      <x:c r="K1834" s="24" t="str">
        <x:v>-8.00 a +8.00</x:v>
      </x:c>
      <x:c r="L1834" s="24" t="str">
        <x:v>-4.00</x:v>
      </x:c>
      <x:c r="M1834" s="24" t="str">
        <x:v>0.50 a 1.25</x:v>
      </x:c>
      <x:c r="N1834" s="24" t="str">
        <x:v>70</x:v>
      </x:c>
      <x:c r="O1834" s="24"/>
      <x:c r="P1834" s="24"/>
      <x:c r="Q1834" s="24" t="str">
        <x:v>DISPONÍVEL</x:v>
      </x:c>
      <x:c r="R1834" s="24"/>
      <x:c r="S1834" s="24" t="n">
        <x:v>27</x:v>
      </x:c>
      <x:c r="T1834" s="24" t="str">
        <x:v>tabela_zeiss.pdf</x:v>
      </x:c>
      <x:c r="U1834" s="24" t="str">
        <x:v>ZEISS|Visão Simples Digital|Surfaçada|SmartLife Digital Individual 3|Polarizada|1.6|1.60|DuraVision Platinum UV|-8.00 a +8.00|-4.00|0.50 a 1.25|70|||27</x:v>
      </x:c>
    </x:row>
    <x:row r="1835">
      <x:c r="A1835" s="24" t="str">
        <x:v>ZS-5F76D85C5C1D</x:v>
      </x:c>
      <x:c r="B1835" s="24" t="str">
        <x:v>ZEISS</x:v>
      </x:c>
      <x:c r="C1835" s="24" t="str">
        <x:v>Visão Simples Digital</x:v>
      </x:c>
      <x:c r="D1835" s="24" t="str">
        <x:v>Surfaçada</x:v>
      </x:c>
      <x:c r="E1835" s="24" t="str">
        <x:v>SmartLife Digital Individual 3</x:v>
      </x:c>
      <x:c r="F1835" s="24" t="str">
        <x:v>Polarizada</x:v>
      </x:c>
      <x:c r="G1835" s="24" t="str">
        <x:v>1.6</x:v>
      </x:c>
      <x:c r="H1835" s="24" t="str">
        <x:v>1.60</x:v>
      </x:c>
      <x:c r="I1835" s="24" t="str">
        <x:v>DuraVision Silver UV</x:v>
      </x:c>
      <x:c r="J1835" s="40" t="n">
        <x:v>3233</x:v>
      </x:c>
      <x:c r="K1835" s="24" t="str">
        <x:v>-8.00 a +8.00</x:v>
      </x:c>
      <x:c r="L1835" s="24" t="str">
        <x:v>-4.00</x:v>
      </x:c>
      <x:c r="M1835" s="24" t="str">
        <x:v>0.50 a 1.25</x:v>
      </x:c>
      <x:c r="N1835" s="24" t="str">
        <x:v>70</x:v>
      </x:c>
      <x:c r="O1835" s="24"/>
      <x:c r="P1835" s="24"/>
      <x:c r="Q1835" s="24" t="str">
        <x:v>DISPONÍVEL</x:v>
      </x:c>
      <x:c r="R1835" s="24"/>
      <x:c r="S1835" s="24" t="n">
        <x:v>27</x:v>
      </x:c>
      <x:c r="T1835" s="24" t="str">
        <x:v>tabela_zeiss.pdf</x:v>
      </x:c>
      <x:c r="U1835" s="24" t="str">
        <x:v>ZEISS|Visão Simples Digital|Surfaçada|SmartLife Digital Individual 3|Polarizada|1.6|1.60|DuraVision Silver UV|-8.00 a +8.00|-4.00|0.50 a 1.25|70|||27</x:v>
      </x:c>
    </x:row>
    <x:row r="1836">
      <x:c r="A1836" s="24" t="str">
        <x:v>ZS-6D72745C735C</x:v>
      </x:c>
      <x:c r="B1836" s="24" t="str">
        <x:v>ZEISS</x:v>
      </x:c>
      <x:c r="C1836" s="24" t="str">
        <x:v>Visão Simples Digital</x:v>
      </x:c>
      <x:c r="D1836" s="24" t="str">
        <x:v>Surfaçada</x:v>
      </x:c>
      <x:c r="E1836" s="24" t="str">
        <x:v>SmartLife Digital Individual 3</x:v>
      </x:c>
      <x:c r="F1836" s="24" t="str">
        <x:v>Polarizada</x:v>
      </x:c>
      <x:c r="G1836" s="24" t="str">
        <x:v>1.6</x:v>
      </x:c>
      <x:c r="H1836" s="24" t="str">
        <x:v>1.60</x:v>
      </x:c>
      <x:c r="I1836" s="24" t="str">
        <x:v>DuraVision Chrome UV</x:v>
      </x:c>
      <x:c r="J1836" s="40" t="n">
        <x:v>2743</x:v>
      </x:c>
      <x:c r="K1836" s="24" t="str">
        <x:v>-8.00 a +8.00</x:v>
      </x:c>
      <x:c r="L1836" s="24" t="str">
        <x:v>-4.00</x:v>
      </x:c>
      <x:c r="M1836" s="24" t="str">
        <x:v>0.50 a 1.25</x:v>
      </x:c>
      <x:c r="N1836" s="24" t="str">
        <x:v>70</x:v>
      </x:c>
      <x:c r="O1836" s="24"/>
      <x:c r="P1836" s="24"/>
      <x:c r="Q1836" s="24" t="str">
        <x:v>DISPONÍVEL</x:v>
      </x:c>
      <x:c r="R1836" s="24"/>
      <x:c r="S1836" s="24" t="n">
        <x:v>27</x:v>
      </x:c>
      <x:c r="T1836" s="24" t="str">
        <x:v>tabela_zeiss.pdf</x:v>
      </x:c>
      <x:c r="U1836" s="24" t="str">
        <x:v>ZEISS|Visão Simples Digital|Surfaçada|SmartLife Digital Individual 3|Polarizada|1.6|1.60|DuraVision Chrome UV|-8.00 a +8.00|-4.00|0.50 a 1.25|70|||27</x:v>
      </x:c>
    </x:row>
    <x:row r="1837">
      <x:c r="A1837" s="24" t="str">
        <x:v>ZS-AECF56554D03</x:v>
      </x:c>
      <x:c r="B1837" s="24" t="str">
        <x:v>ZEISS</x:v>
      </x:c>
      <x:c r="C1837" s="24" t="str">
        <x:v>Visão Simples Especial</x:v>
      </x:c>
      <x:c r="D1837" s="24" t="str">
        <x:v>Surfaçada</x:v>
      </x:c>
      <x:c r="E1837" s="24" t="str">
        <x:v>DriveSafe</x:v>
      </x:c>
      <x:c r="F1837" s="24"/>
      <x:c r="G1837" s="24" t="str">
        <x:v>1.5</x:v>
      </x:c>
      <x:c r="H1837" s="24" t="str">
        <x:v>1.50</x:v>
      </x:c>
      <x:c r="I1837" s="24" t="str">
        <x:v>DURAVISION® DRIVESAFE</x:v>
      </x:c>
      <x:c r="J1837" s="40" t="n">
        <x:v>2140</x:v>
      </x:c>
      <x:c r="K1837" s="24" t="str">
        <x:v>-6.00 a +6.00</x:v>
      </x:c>
      <x:c r="L1837" s="24" t="str">
        <x:v>-4.00</x:v>
      </x:c>
      <x:c r="M1837" s="24" t="str">
        <x:v>-</x:v>
      </x:c>
      <x:c r="N1837" s="24" t="str">
        <x:v>75</x:v>
      </x:c>
      <x:c r="O1837" s="24"/>
      <x:c r="P1837" s="24"/>
      <x:c r="Q1837" s="24" t="str">
        <x:v>DISPONÍVEL</x:v>
      </x:c>
      <x:c r="R1837" s="24"/>
      <x:c r="S1837" s="24" t="n">
        <x:v>28</x:v>
      </x:c>
      <x:c r="T1837" s="24" t="str">
        <x:v>tabela_zeiss.pdf</x:v>
      </x:c>
      <x:c r="U1837" s="24" t="str">
        <x:v>ZEISS|Visão Simples Especial|Surfaçada|DriveSafe||1.5|1.50|DURAVISION® DRIVESAFE|-6.00 a +6.00|-4.00|-|75|||28</x:v>
      </x:c>
    </x:row>
    <x:row r="1838">
      <x:c r="A1838" s="24" t="str">
        <x:v>ZS-04ECE89BCF4A</x:v>
      </x:c>
      <x:c r="B1838" s="24" t="str">
        <x:v>ZEISS</x:v>
      </x:c>
      <x:c r="C1838" s="24" t="str">
        <x:v>Visão Simples Especial</x:v>
      </x:c>
      <x:c r="D1838" s="24" t="str">
        <x:v>Surfaçada</x:v>
      </x:c>
      <x:c r="E1838" s="24" t="str">
        <x:v>DriveSafe</x:v>
      </x:c>
      <x:c r="F1838" s="24"/>
      <x:c r="G1838" s="24" t="str">
        <x:v>Poli</x:v>
      </x:c>
      <x:c r="H1838" s="24"/>
      <x:c r="I1838" s="24" t="str">
        <x:v>DURAVISION® DRIVESAFE</x:v>
      </x:c>
      <x:c r="J1838" s="40" t="n">
        <x:v>2500</x:v>
      </x:c>
      <x:c r="K1838" s="24" t="str">
        <x:v>-10.00 a +8.00</x:v>
      </x:c>
      <x:c r="L1838" s="24" t="str">
        <x:v>-4.00</x:v>
      </x:c>
      <x:c r="M1838" s="24" t="str">
        <x:v>-</x:v>
      </x:c>
      <x:c r="N1838" s="24" t="str">
        <x:v>70</x:v>
      </x:c>
      <x:c r="O1838" s="24"/>
      <x:c r="P1838" s="24"/>
      <x:c r="Q1838" s="24" t="str">
        <x:v>DISPONÍVEL</x:v>
      </x:c>
      <x:c r="R1838" s="24"/>
      <x:c r="S1838" s="24" t="n">
        <x:v>28</x:v>
      </x:c>
      <x:c r="T1838" s="24" t="str">
        <x:v>tabela_zeiss.pdf</x:v>
      </x:c>
      <x:c r="U1838" s="24" t="str">
        <x:v>ZEISS|Visão Simples Especial|Surfaçada|DriveSafe||Poli||DURAVISION® DRIVESAFE|-10.00 a +8.00|-4.00|-|70|||28</x:v>
      </x:c>
    </x:row>
    <x:row r="1839">
      <x:c r="A1839" s="24" t="str">
        <x:v>ZS-C691FDFD40A6</x:v>
      </x:c>
      <x:c r="B1839" s="24" t="str">
        <x:v>ZEISS</x:v>
      </x:c>
      <x:c r="C1839" s="24" t="str">
        <x:v>Visão Simples Especial</x:v>
      </x:c>
      <x:c r="D1839" s="24" t="str">
        <x:v>Surfaçada</x:v>
      </x:c>
      <x:c r="E1839" s="24" t="str">
        <x:v>DriveSafe</x:v>
      </x:c>
      <x:c r="F1839" s="24"/>
      <x:c r="G1839" s="24" t="str">
        <x:v>1.6</x:v>
      </x:c>
      <x:c r="H1839" s="24" t="str">
        <x:v>1.60</x:v>
      </x:c>
      <x:c r="I1839" s="24" t="str">
        <x:v>DURAVISION® DRIVESAFE</x:v>
      </x:c>
      <x:c r="J1839" s="40" t="n">
        <x:v>2720</x:v>
      </x:c>
      <x:c r="K1839" s="24" t="str">
        <x:v>-6.00 a +6.00</x:v>
      </x:c>
      <x:c r="L1839" s="24" t="str">
        <x:v>-6.00</x:v>
      </x:c>
      <x:c r="M1839" s="24" t="str">
        <x:v>-</x:v>
      </x:c>
      <x:c r="N1839" s="24" t="str">
        <x:v>75</x:v>
      </x:c>
      <x:c r="O1839" s="24"/>
      <x:c r="P1839" s="24"/>
      <x:c r="Q1839" s="24" t="str">
        <x:v>DISPONÍVEL</x:v>
      </x:c>
      <x:c r="R1839" s="24"/>
      <x:c r="S1839" s="24" t="n">
        <x:v>28</x:v>
      </x:c>
      <x:c r="T1839" s="24" t="str">
        <x:v>tabela_zeiss.pdf</x:v>
      </x:c>
      <x:c r="U1839" s="24" t="str">
        <x:v>ZEISS|Visão Simples Especial|Surfaçada|DriveSafe||1.6|1.60|DURAVISION® DRIVESAFE|-6.00 a +6.00|-6.00|-|75|||28</x:v>
      </x:c>
    </x:row>
    <x:row r="1840">
      <x:c r="A1840" s="24" t="str">
        <x:v>ZS-47D273F8BB65</x:v>
      </x:c>
      <x:c r="B1840" s="24" t="str">
        <x:v>ZEISS</x:v>
      </x:c>
      <x:c r="C1840" s="24" t="str">
        <x:v>Visão Simples Especial</x:v>
      </x:c>
      <x:c r="D1840" s="24" t="str">
        <x:v>Surfaçada</x:v>
      </x:c>
      <x:c r="E1840" s="24" t="str">
        <x:v>DriveSafe</x:v>
      </x:c>
      <x:c r="F1840" s="24"/>
      <x:c r="G1840" s="24" t="str">
        <x:v>1.67</x:v>
      </x:c>
      <x:c r="H1840" s="24" t="str">
        <x:v>1.67</x:v>
      </x:c>
      <x:c r="I1840" s="24" t="str">
        <x:v>DURAVISION® DRIVESAFE</x:v>
      </x:c>
      <x:c r="J1840" s="40" t="n">
        <x:v>4020</x:v>
      </x:c>
      <x:c r="K1840" s="24" t="str">
        <x:v>-8.00 a +8.00</x:v>
      </x:c>
      <x:c r="L1840" s="24" t="str">
        <x:v>-6.00</x:v>
      </x:c>
      <x:c r="M1840" s="24" t="str">
        <x:v>-</x:v>
      </x:c>
      <x:c r="N1840" s="24" t="str">
        <x:v>70</x:v>
      </x:c>
      <x:c r="O1840" s="24"/>
      <x:c r="P1840" s="24"/>
      <x:c r="Q1840" s="24" t="str">
        <x:v>DISPONÍVEL</x:v>
      </x:c>
      <x:c r="R1840" s="24"/>
      <x:c r="S1840" s="24" t="n">
        <x:v>28</x:v>
      </x:c>
      <x:c r="T1840" s="24" t="str">
        <x:v>tabela_zeiss.pdf</x:v>
      </x:c>
      <x:c r="U1840" s="24" t="str">
        <x:v>ZEISS|Visão Simples Especial|Surfaçada|DriveSafe||1.67|1.67|DURAVISION® DRIVESAFE|-8.00 a +8.00|-6.00|-|70|||28</x:v>
      </x:c>
    </x:row>
    <x:row r="1841">
      <x:c r="A1841" s="24" t="str">
        <x:v>ZS-9699C2436068</x:v>
      </x:c>
      <x:c r="B1841" s="24" t="str">
        <x:v>ZEISS</x:v>
      </x:c>
      <x:c r="C1841" s="24" t="str">
        <x:v>Visão Simples Especial</x:v>
      </x:c>
      <x:c r="D1841" s="24" t="str">
        <x:v>Surfaçada</x:v>
      </x:c>
      <x:c r="E1841" s="24" t="str">
        <x:v>DriveSafe</x:v>
      </x:c>
      <x:c r="F1841" s="24"/>
      <x:c r="G1841" s="24" t="str">
        <x:v>1.74</x:v>
      </x:c>
      <x:c r="H1841" s="24" t="str">
        <x:v>1.74</x:v>
      </x:c>
      <x:c r="I1841" s="24" t="str">
        <x:v>DURAVISION® DRIVESAFE</x:v>
      </x:c>
      <x:c r="J1841" s="40" t="n">
        <x:v>4330</x:v>
      </x:c>
      <x:c r="K1841" s="24" t="str">
        <x:v>-10.00 a +7.00</x:v>
      </x:c>
      <x:c r="L1841" s="24" t="str">
        <x:v>-4.00</x:v>
      </x:c>
      <x:c r="M1841" s="24" t="str">
        <x:v>-</x:v>
      </x:c>
      <x:c r="N1841" s="24" t="str">
        <x:v>70 a 75</x:v>
      </x:c>
      <x:c r="O1841" s="24"/>
      <x:c r="P1841" s="24"/>
      <x:c r="Q1841" s="24" t="str">
        <x:v>DISPONÍVEL</x:v>
      </x:c>
      <x:c r="R1841" s="24"/>
      <x:c r="S1841" s="24" t="n">
        <x:v>28</x:v>
      </x:c>
      <x:c r="T1841" s="24" t="str">
        <x:v>tabela_zeiss.pdf</x:v>
      </x:c>
      <x:c r="U1841" s="24" t="str">
        <x:v>ZEISS|Visão Simples Especial|Surfaçada|DriveSafe||1.74|1.74|DURAVISION® DRIVESAFE|-10.00 a +7.00|-4.00|-|70 a 75|||28</x:v>
      </x:c>
    </x:row>
    <x:row r="1842">
      <x:c r="A1842" s="24" t="str">
        <x:v>ZS-6EB9E19EFD66</x:v>
      </x:c>
      <x:c r="B1842" s="24" t="str">
        <x:v>ZEISS</x:v>
      </x:c>
      <x:c r="C1842" s="24" t="str">
        <x:v>Visão Simples Especial</x:v>
      </x:c>
      <x:c r="D1842" s="24" t="str">
        <x:v>Surfaçada</x:v>
      </x:c>
      <x:c r="E1842" s="24" t="str">
        <x:v>DriveSafe</x:v>
      </x:c>
      <x:c r="F1842" s="24" t="str">
        <x:v>PhotoFusion X</x:v>
      </x:c>
      <x:c r="G1842" s="24" t="str">
        <x:v>1.5</x:v>
      </x:c>
      <x:c r="H1842" s="24" t="str">
        <x:v>1.50</x:v>
      </x:c>
      <x:c r="I1842" s="24" t="str">
        <x:v>DURAVISION® DRIVESAFE</x:v>
      </x:c>
      <x:c r="J1842" s="40" t="n">
        <x:v>3560</x:v>
      </x:c>
      <x:c r="K1842" s="24" t="str">
        <x:v>-6.00 a +6.00</x:v>
      </x:c>
      <x:c r="L1842" s="24" t="str">
        <x:v>-4.00</x:v>
      </x:c>
      <x:c r="M1842" s="24" t="str">
        <x:v>-</x:v>
      </x:c>
      <x:c r="N1842" s="24" t="str">
        <x:v>75</x:v>
      </x:c>
      <x:c r="O1842" s="24"/>
      <x:c r="P1842" s="24"/>
      <x:c r="Q1842" s="24" t="str">
        <x:v>DISPONÍVEL</x:v>
      </x:c>
      <x:c r="R1842" s="24" t="str">
        <x:v>Programa de Parcerias ZEISS</x:v>
      </x:c>
      <x:c r="S1842" s="24" t="n">
        <x:v>28</x:v>
      </x:c>
      <x:c r="T1842" s="24" t="str">
        <x:v>tabela_zeiss.pdf</x:v>
      </x:c>
      <x:c r="U1842" s="24" t="str">
        <x:v>ZEISS|Visão Simples Especial|Surfaçada|DriveSafe|PhotoFusion X|1.5|1.50|DURAVISION® DRIVESAFE|-6.00 a +6.00|-4.00|-|75|||28</x:v>
      </x:c>
    </x:row>
    <x:row r="1843">
      <x:c r="A1843" s="24" t="str">
        <x:v>ZS-63981115A229</x:v>
      </x:c>
      <x:c r="B1843" s="24" t="str">
        <x:v>ZEISS</x:v>
      </x:c>
      <x:c r="C1843" s="24" t="str">
        <x:v>Visão Simples Especial</x:v>
      </x:c>
      <x:c r="D1843" s="24" t="str">
        <x:v>Surfaçada</x:v>
      </x:c>
      <x:c r="E1843" s="24" t="str">
        <x:v>DriveSafe</x:v>
      </x:c>
      <x:c r="F1843" s="24" t="str">
        <x:v>PhotoFusion X</x:v>
      </x:c>
      <x:c r="G1843" s="24" t="str">
        <x:v>Poli</x:v>
      </x:c>
      <x:c r="H1843" s="24"/>
      <x:c r="I1843" s="24" t="str">
        <x:v>DURAVISION® DRIVESAFE</x:v>
      </x:c>
      <x:c r="J1843" s="40" t="n">
        <x:v>3920</x:v>
      </x:c>
      <x:c r="K1843" s="24" t="str">
        <x:v>-10.00 a +8.00</x:v>
      </x:c>
      <x:c r="L1843" s="24" t="str">
        <x:v>-4.00</x:v>
      </x:c>
      <x:c r="M1843" s="24" t="str">
        <x:v>-</x:v>
      </x:c>
      <x:c r="N1843" s="24" t="str">
        <x:v>70</x:v>
      </x:c>
      <x:c r="O1843" s="24"/>
      <x:c r="P1843" s="24"/>
      <x:c r="Q1843" s="24" t="str">
        <x:v>DISPONÍVEL</x:v>
      </x:c>
      <x:c r="R1843" s="24" t="str">
        <x:v>Programa de Parcerias ZEISS</x:v>
      </x:c>
      <x:c r="S1843" s="24" t="n">
        <x:v>28</x:v>
      </x:c>
      <x:c r="T1843" s="24" t="str">
        <x:v>tabela_zeiss.pdf</x:v>
      </x:c>
      <x:c r="U1843" s="24" t="str">
        <x:v>ZEISS|Visão Simples Especial|Surfaçada|DriveSafe|PhotoFusion X|Poli||DURAVISION® DRIVESAFE|-10.00 a +8.00|-4.00|-|70|||28</x:v>
      </x:c>
    </x:row>
    <x:row r="1844">
      <x:c r="A1844" s="24" t="str">
        <x:v>ZS-B31B650B8D2B</x:v>
      </x:c>
      <x:c r="B1844" s="24" t="str">
        <x:v>ZEISS</x:v>
      </x:c>
      <x:c r="C1844" s="24" t="str">
        <x:v>Visão Simples Especial</x:v>
      </x:c>
      <x:c r="D1844" s="24" t="str">
        <x:v>Surfaçada</x:v>
      </x:c>
      <x:c r="E1844" s="24" t="str">
        <x:v>DriveSafe</x:v>
      </x:c>
      <x:c r="F1844" s="24" t="str">
        <x:v>PhotoFusion X</x:v>
      </x:c>
      <x:c r="G1844" s="24" t="str">
        <x:v>1.6</x:v>
      </x:c>
      <x:c r="H1844" s="24" t="str">
        <x:v>1.60</x:v>
      </x:c>
      <x:c r="I1844" s="24" t="str">
        <x:v>DURAVISION® DRIVESAFE</x:v>
      </x:c>
      <x:c r="J1844" s="40" t="n">
        <x:v>4140</x:v>
      </x:c>
      <x:c r="K1844" s="24" t="str">
        <x:v>-6.00 a +8.00</x:v>
      </x:c>
      <x:c r="L1844" s="24" t="str">
        <x:v>-4.00</x:v>
      </x:c>
      <x:c r="M1844" s="24" t="str">
        <x:v>-</x:v>
      </x:c>
      <x:c r="N1844" s="24" t="str">
        <x:v>75</x:v>
      </x:c>
      <x:c r="O1844" s="24"/>
      <x:c r="P1844" s="24"/>
      <x:c r="Q1844" s="24" t="str">
        <x:v>DISPONÍVEL</x:v>
      </x:c>
      <x:c r="R1844" s="24" t="str">
        <x:v>Programa de Parcerias ZEISS</x:v>
      </x:c>
      <x:c r="S1844" s="24" t="n">
        <x:v>28</x:v>
      </x:c>
      <x:c r="T1844" s="24" t="str">
        <x:v>tabela_zeiss.pdf</x:v>
      </x:c>
      <x:c r="U1844" s="24" t="str">
        <x:v>ZEISS|Visão Simples Especial|Surfaçada|DriveSafe|PhotoFusion X|1.6|1.60|DURAVISION® DRIVESAFE|-6.00 a +8.00|-4.00|-|75|||28</x:v>
      </x:c>
    </x:row>
    <x:row r="1845">
      <x:c r="A1845" s="24" t="str">
        <x:v>ZS-77AFE5AB17EE</x:v>
      </x:c>
      <x:c r="B1845" s="24" t="str">
        <x:v>ZEISS</x:v>
      </x:c>
      <x:c r="C1845" s="24" t="str">
        <x:v>Visão Simples Especial</x:v>
      </x:c>
      <x:c r="D1845" s="24" t="str">
        <x:v>Surfaçada</x:v>
      </x:c>
      <x:c r="E1845" s="24" t="str">
        <x:v>DriveSafe</x:v>
      </x:c>
      <x:c r="F1845" s="24" t="str">
        <x:v>PhotoFusion X</x:v>
      </x:c>
      <x:c r="G1845" s="24" t="str">
        <x:v>1.67</x:v>
      </x:c>
      <x:c r="H1845" s="24" t="str">
        <x:v>1.67</x:v>
      </x:c>
      <x:c r="I1845" s="24" t="str">
        <x:v>DURAVISION® DRIVESAFE</x:v>
      </x:c>
      <x:c r="J1845" s="40" t="n">
        <x:v>5440</x:v>
      </x:c>
      <x:c r="K1845" s="24" t="str">
        <x:v>-8.00 a +8.00</x:v>
      </x:c>
      <x:c r="L1845" s="24" t="str">
        <x:v>-6.00</x:v>
      </x:c>
      <x:c r="M1845" s="24" t="str">
        <x:v>-</x:v>
      </x:c>
      <x:c r="N1845" s="24" t="str">
        <x:v>70</x:v>
      </x:c>
      <x:c r="O1845" s="24"/>
      <x:c r="P1845" s="24"/>
      <x:c r="Q1845" s="24" t="str">
        <x:v>DISPONÍVEL</x:v>
      </x:c>
      <x:c r="R1845" s="24" t="str">
        <x:v>Programa de Parcerias ZEISS</x:v>
      </x:c>
      <x:c r="S1845" s="24" t="n">
        <x:v>28</x:v>
      </x:c>
      <x:c r="T1845" s="24" t="str">
        <x:v>tabela_zeiss.pdf</x:v>
      </x:c>
      <x:c r="U1845" s="24" t="str">
        <x:v>ZEISS|Visão Simples Especial|Surfaçada|DriveSafe|PhotoFusion X|1.67|1.67|DURAVISION® DRIVESAFE|-8.00 a +8.00|-6.00|-|70|||28</x:v>
      </x:c>
    </x:row>
    <x:row r="1846">
      <x:c r="A1846" s="24" t="str">
        <x:v>ZS-875214234F41</x:v>
      </x:c>
      <x:c r="B1846" s="24" t="str">
        <x:v>ZEISS</x:v>
      </x:c>
      <x:c r="C1846" s="24" t="str">
        <x:v>Visão Simples Especial</x:v>
      </x:c>
      <x:c r="D1846" s="24" t="str">
        <x:v>Surfaçada</x:v>
      </x:c>
      <x:c r="E1846" s="24" t="str">
        <x:v>DriveSafe</x:v>
      </x:c>
      <x:c r="F1846" s="24" t="str">
        <x:v>PhotoFusion X Extra Dark Cinza</x:v>
      </x:c>
      <x:c r="G1846" s="24" t="str">
        <x:v>1.5</x:v>
      </x:c>
      <x:c r="H1846" s="24" t="str">
        <x:v>1.50</x:v>
      </x:c>
      <x:c r="I1846" s="24" t="str">
        <x:v>DURAVISION® DRIVESAFE</x:v>
      </x:c>
      <x:c r="J1846" s="40" t="n">
        <x:v>3610</x:v>
      </x:c>
      <x:c r="K1846" s="24" t="str">
        <x:v>-6.00 a +6.00</x:v>
      </x:c>
      <x:c r="L1846" s="24" t="str">
        <x:v>-4.00</x:v>
      </x:c>
      <x:c r="M1846" s="24" t="str">
        <x:v>-</x:v>
      </x:c>
      <x:c r="N1846" s="24" t="str">
        <x:v>75</x:v>
      </x:c>
      <x:c r="O1846" s="24"/>
      <x:c r="P1846" s="24"/>
      <x:c r="Q1846" s="24" t="str">
        <x:v>DISPONÍVEL</x:v>
      </x:c>
      <x:c r="R1846" s="24" t="str">
        <x:v>Programa de Parcerias ZEISS</x:v>
      </x:c>
      <x:c r="S1846" s="24" t="n">
        <x:v>28</x:v>
      </x:c>
      <x:c r="T1846" s="24" t="str">
        <x:v>tabela_zeiss.pdf</x:v>
      </x:c>
      <x:c r="U1846" s="24" t="str">
        <x:v>ZEISS|Visão Simples Especial|Surfaçada|DriveSafe|PhotoFusion X Extra Dark Cinza|1.5|1.50|DURAVISION® DRIVESAFE|-6.00 a +6.00|-4.00|-|75|||28</x:v>
      </x:c>
    </x:row>
    <x:row r="1847">
      <x:c r="A1847" s="24" t="str">
        <x:v>ZS-8B464EC06A3A</x:v>
      </x:c>
      <x:c r="B1847" s="24" t="str">
        <x:v>ZEISS</x:v>
      </x:c>
      <x:c r="C1847" s="24" t="str">
        <x:v>Visão Simples Especial</x:v>
      </x:c>
      <x:c r="D1847" s="24" t="str">
        <x:v>Surfaçada</x:v>
      </x:c>
      <x:c r="E1847" s="24" t="str">
        <x:v>DriveSafe</x:v>
      </x:c>
      <x:c r="F1847" s="24" t="str">
        <x:v>PhotoFusion X Extra Dark Cinza</x:v>
      </x:c>
      <x:c r="G1847" s="24" t="str">
        <x:v>Poli</x:v>
      </x:c>
      <x:c r="H1847" s="24"/>
      <x:c r="I1847" s="24" t="str">
        <x:v>DURAVISION® DRIVESAFE</x:v>
      </x:c>
      <x:c r="J1847" s="40" t="n">
        <x:v>3970</x:v>
      </x:c>
      <x:c r="K1847" s="24" t="str">
        <x:v>-10.00 a +8.00</x:v>
      </x:c>
      <x:c r="L1847" s="24" t="str">
        <x:v>-4.00</x:v>
      </x:c>
      <x:c r="M1847" s="24" t="str">
        <x:v>-</x:v>
      </x:c>
      <x:c r="N1847" s="24" t="str">
        <x:v>70</x:v>
      </x:c>
      <x:c r="O1847" s="24"/>
      <x:c r="P1847" s="24"/>
      <x:c r="Q1847" s="24" t="str">
        <x:v>DISPONÍVEL</x:v>
      </x:c>
      <x:c r="R1847" s="24" t="str">
        <x:v>Programa de Parcerias ZEISS</x:v>
      </x:c>
      <x:c r="S1847" s="24" t="n">
        <x:v>28</x:v>
      </x:c>
      <x:c r="T1847" s="24" t="str">
        <x:v>tabela_zeiss.pdf</x:v>
      </x:c>
      <x:c r="U1847" s="24" t="str">
        <x:v>ZEISS|Visão Simples Especial|Surfaçada|DriveSafe|PhotoFusion X Extra Dark Cinza|Poli||DURAVISION® DRIVESAFE|-10.00 a +8.00|-4.00|-|70|||28</x:v>
      </x:c>
    </x:row>
    <x:row r="1848">
      <x:c r="A1848" s="24" t="str">
        <x:v>ZS-BB90CCF40830</x:v>
      </x:c>
      <x:c r="B1848" s="24" t="str">
        <x:v>ZEISS</x:v>
      </x:c>
      <x:c r="C1848" s="24" t="str">
        <x:v>Visão Simples Especial</x:v>
      </x:c>
      <x:c r="D1848" s="24" t="str">
        <x:v>Surfaçada</x:v>
      </x:c>
      <x:c r="E1848" s="24" t="str">
        <x:v>DriveSafe</x:v>
      </x:c>
      <x:c r="F1848" s="24" t="str">
        <x:v>PhotoFusion X Extra Dark Cinza</x:v>
      </x:c>
      <x:c r="G1848" s="24" t="str">
        <x:v>1.6</x:v>
      </x:c>
      <x:c r="H1848" s="24" t="str">
        <x:v>1.60</x:v>
      </x:c>
      <x:c r="I1848" s="24" t="str">
        <x:v>DURAVISION® DRIVESAFE</x:v>
      </x:c>
      <x:c r="J1848" s="40" t="n">
        <x:v>4190</x:v>
      </x:c>
      <x:c r="K1848" s="24" t="str">
        <x:v>-6.00 a +8.00</x:v>
      </x:c>
      <x:c r="L1848" s="24" t="str">
        <x:v>-4.00</x:v>
      </x:c>
      <x:c r="M1848" s="24" t="str">
        <x:v>-</x:v>
      </x:c>
      <x:c r="N1848" s="24" t="str">
        <x:v>75</x:v>
      </x:c>
      <x:c r="O1848" s="24"/>
      <x:c r="P1848" s="24"/>
      <x:c r="Q1848" s="24" t="str">
        <x:v>DISPONÍVEL</x:v>
      </x:c>
      <x:c r="R1848" s="24" t="str">
        <x:v>Programa de Parcerias ZEISS</x:v>
      </x:c>
      <x:c r="S1848" s="24" t="n">
        <x:v>28</x:v>
      </x:c>
      <x:c r="T1848" s="24" t="str">
        <x:v>tabela_zeiss.pdf</x:v>
      </x:c>
      <x:c r="U1848" s="24" t="str">
        <x:v>ZEISS|Visão Simples Especial|Surfaçada|DriveSafe|PhotoFusion X Extra Dark Cinza|1.6|1.60|DURAVISION® DRIVESAFE|-6.00 a +8.00|-4.00|-|75|||28</x:v>
      </x:c>
    </x:row>
    <x:row r="1849">
      <x:c r="A1849" s="24" t="str">
        <x:v>ZS-5C3F567F1FD1</x:v>
      </x:c>
      <x:c r="B1849" s="24" t="str">
        <x:v>ZEISS</x:v>
      </x:c>
      <x:c r="C1849" s="24" t="str">
        <x:v>Visão Simples Especial</x:v>
      </x:c>
      <x:c r="D1849" s="24" t="str">
        <x:v>Surfaçada</x:v>
      </x:c>
      <x:c r="E1849" s="24" t="str">
        <x:v>DriveSafe</x:v>
      </x:c>
      <x:c r="F1849" s="24" t="str">
        <x:v>PhotoFusion X Extra Dark Cinza</x:v>
      </x:c>
      <x:c r="G1849" s="24" t="str">
        <x:v>1.67</x:v>
      </x:c>
      <x:c r="H1849" s="24" t="str">
        <x:v>1.67</x:v>
      </x:c>
      <x:c r="I1849" s="24" t="str">
        <x:v>DURAVISION® DRIVESAFE</x:v>
      </x:c>
      <x:c r="J1849" s="40" t="n">
        <x:v>5490</x:v>
      </x:c>
      <x:c r="K1849" s="24" t="str">
        <x:v>-8.00 a +8.00</x:v>
      </x:c>
      <x:c r="L1849" s="24" t="str">
        <x:v>-6.00</x:v>
      </x:c>
      <x:c r="M1849" s="24" t="str">
        <x:v>-</x:v>
      </x:c>
      <x:c r="N1849" s="24" t="str">
        <x:v>70</x:v>
      </x:c>
      <x:c r="O1849" s="24"/>
      <x:c r="P1849" s="24"/>
      <x:c r="Q1849" s="24" t="str">
        <x:v>DISPONÍVEL</x:v>
      </x:c>
      <x:c r="R1849" s="24" t="str">
        <x:v>Programa de Parcerias ZEISS</x:v>
      </x:c>
      <x:c r="S1849" s="24" t="n">
        <x:v>28</x:v>
      </x:c>
      <x:c r="T1849" s="24" t="str">
        <x:v>tabela_zeiss.pdf</x:v>
      </x:c>
      <x:c r="U1849" s="24" t="str">
        <x:v>ZEISS|Visão Simples Especial|Surfaçada|DriveSafe|PhotoFusion X Extra Dark Cinza|1.67|1.67|DURAVISION® DRIVESAFE|-8.00 a +8.00|-6.00|-|70|||28</x:v>
      </x:c>
    </x:row>
    <x:row r="1850">
      <x:c r="A1850" s="24" t="str">
        <x:v>ZS-D19661734C6B</x:v>
      </x:c>
      <x:c r="B1850" s="24" t="str">
        <x:v>ZEISS</x:v>
      </x:c>
      <x:c r="C1850" s="24" t="str">
        <x:v>Visão Simples Especial</x:v>
      </x:c>
      <x:c r="D1850" s="24" t="str">
        <x:v>Surfaçada</x:v>
      </x:c>
      <x:c r="E1850" s="24" t="str">
        <x:v>DriveSafe</x:v>
      </x:c>
      <x:c r="F1850" s="24" t="str">
        <x:v>Polarizada</x:v>
      </x:c>
      <x:c r="G1850" s="24" t="str">
        <x:v>1.5</x:v>
      </x:c>
      <x:c r="H1850" s="24" t="str">
        <x:v>1.50</x:v>
      </x:c>
      <x:c r="I1850" s="24" t="str">
        <x:v>DURAVISION® DRIVESAFE</x:v>
      </x:c>
      <x:c r="J1850" s="40" t="n">
        <x:v>2980</x:v>
      </x:c>
      <x:c r="K1850" s="24" t="str">
        <x:v>-6.00 a +6.00</x:v>
      </x:c>
      <x:c r="L1850" s="24" t="str">
        <x:v>-4.00</x:v>
      </x:c>
      <x:c r="M1850" s="24" t="str">
        <x:v>-</x:v>
      </x:c>
      <x:c r="N1850" s="24" t="str">
        <x:v>75</x:v>
      </x:c>
      <x:c r="O1850" s="24"/>
      <x:c r="P1850" s="24"/>
      <x:c r="Q1850" s="24" t="str">
        <x:v>DISPONÍVEL</x:v>
      </x:c>
      <x:c r="R1850" s="24"/>
      <x:c r="S1850" s="24" t="n">
        <x:v>28</x:v>
      </x:c>
      <x:c r="T1850" s="24" t="str">
        <x:v>tabela_zeiss.pdf</x:v>
      </x:c>
      <x:c r="U1850" s="24" t="str">
        <x:v>ZEISS|Visão Simples Especial|Surfaçada|DriveSafe|Polarizada|1.5|1.50|DURAVISION® DRIVESAFE|-6.00 a +6.00|-4.00|-|75|||28</x:v>
      </x:c>
    </x:row>
    <x:row r="1851">
      <x:c r="A1851" s="24" t="str">
        <x:v>ZS-320CF16579D1</x:v>
      </x:c>
      <x:c r="B1851" s="24" t="str">
        <x:v>ZEISS</x:v>
      </x:c>
      <x:c r="C1851" s="24" t="str">
        <x:v>Visão Simples Especial</x:v>
      </x:c>
      <x:c r="D1851" s="24" t="str">
        <x:v>Surfaçada</x:v>
      </x:c>
      <x:c r="E1851" s="24" t="str">
        <x:v>DriveSafe</x:v>
      </x:c>
      <x:c r="F1851" s="24" t="str">
        <x:v>Polarizada</x:v>
      </x:c>
      <x:c r="G1851" s="24" t="str">
        <x:v>1.6</x:v>
      </x:c>
      <x:c r="H1851" s="24" t="str">
        <x:v>1.60</x:v>
      </x:c>
      <x:c r="I1851" s="24" t="str">
        <x:v>DURAVISION® DRIVESAFE</x:v>
      </x:c>
      <x:c r="J1851" s="40" t="n">
        <x:v>3560</x:v>
      </x:c>
      <x:c r="K1851" s="24" t="str">
        <x:v>-8.00 a +8.00</x:v>
      </x:c>
      <x:c r="L1851" s="24" t="str">
        <x:v>-4.00</x:v>
      </x:c>
      <x:c r="M1851" s="24" t="str">
        <x:v>-</x:v>
      </x:c>
      <x:c r="N1851" s="24" t="str">
        <x:v>70</x:v>
      </x:c>
      <x:c r="O1851" s="24"/>
      <x:c r="P1851" s="24"/>
      <x:c r="Q1851" s="24" t="str">
        <x:v>DISPONÍVEL</x:v>
      </x:c>
      <x:c r="R1851" s="24"/>
      <x:c r="S1851" s="24" t="n">
        <x:v>28</x:v>
      </x:c>
      <x:c r="T1851" s="24" t="str">
        <x:v>tabela_zeiss.pdf</x:v>
      </x:c>
      <x:c r="U1851" s="24" t="str">
        <x:v>ZEISS|Visão Simples Especial|Surfaçada|DriveSafe|Polarizada|1.6|1.60|DURAVISION® DRIVESAFE|-8.00 a +8.00|-4.00|-|70|||28</x:v>
      </x:c>
    </x:row>
    <x:row r="1852">
      <x:c r="A1852" s="24" t="str">
        <x:v>ZS-E0238F297EE8</x:v>
      </x:c>
      <x:c r="B1852" s="24" t="str">
        <x:v>ZEISS</x:v>
      </x:c>
      <x:c r="C1852" s="24" t="str">
        <x:v>Visão Simples Especial</x:v>
      </x:c>
      <x:c r="D1852" s="24" t="str">
        <x:v>Surfaçada</x:v>
      </x:c>
      <x:c r="E1852" s="24" t="str">
        <x:v>Sport</x:v>
      </x:c>
      <x:c r="F1852" s="24"/>
      <x:c r="G1852" s="24" t="str">
        <x:v>1.5</x:v>
      </x:c>
      <x:c r="H1852" s="24" t="str">
        <x:v>1.50</x:v>
      </x:c>
      <x:c r="I1852" s="24" t="str">
        <x:v>DuraVision Gold UV</x:v>
      </x:c>
      <x:c r="J1852" s="40" t="n">
        <x:v>2510</x:v>
      </x:c>
      <x:c r="K1852" s="24" t="str">
        <x:v>-4.00 a +4.00</x:v>
      </x:c>
      <x:c r="L1852" s="24" t="str">
        <x:v>-4.00</x:v>
      </x:c>
      <x:c r="M1852" s="24" t="str">
        <x:v>85</x:v>
      </x:c>
      <x:c r="N1852" s="24" t="str">
        <x:v>3.00</x:v>
      </x:c>
      <x:c r="O1852" s="24"/>
      <x:c r="P1852" s="24"/>
      <x:c r="Q1852" s="24" t="str">
        <x:v>DISPONÍVEL</x:v>
      </x:c>
      <x:c r="R1852" s="24"/>
      <x:c r="S1852" s="24" t="n">
        <x:v>29</x:v>
      </x:c>
      <x:c r="T1852" s="24" t="str">
        <x:v>tabela_zeiss.pdf</x:v>
      </x:c>
      <x:c r="U1852" s="24" t="str">
        <x:v>ZEISS|Visão Simples Especial|Surfaçada|Sport||1.5|1.50|DuraVision Gold UV|-4.00 a +4.00|-4.00|85|3.00|||29</x:v>
      </x:c>
    </x:row>
    <x:row r="1853">
      <x:c r="A1853" s="24" t="str">
        <x:v>ZS-FA870410649C</x:v>
      </x:c>
      <x:c r="B1853" s="24" t="str">
        <x:v>ZEISS</x:v>
      </x:c>
      <x:c r="C1853" s="24" t="str">
        <x:v>Visão Simples Especial</x:v>
      </x:c>
      <x:c r="D1853" s="24" t="str">
        <x:v>Surfaçada</x:v>
      </x:c>
      <x:c r="E1853" s="24" t="str">
        <x:v>Sport</x:v>
      </x:c>
      <x:c r="F1853" s="24"/>
      <x:c r="G1853" s="24" t="str">
        <x:v>1.5</x:v>
      </x:c>
      <x:c r="H1853" s="24" t="str">
        <x:v>1.50</x:v>
      </x:c>
      <x:c r="I1853" s="24" t="str">
        <x:v>DURAVISION® ANTIVÍRUS PLATINUM UV</x:v>
      </x:c>
      <x:c r="J1853" s="40" t="n">
        <x:v>2370</x:v>
      </x:c>
      <x:c r="K1853" s="24" t="str">
        <x:v>-4.00 a +4.00</x:v>
      </x:c>
      <x:c r="L1853" s="24" t="str">
        <x:v>-4.00</x:v>
      </x:c>
      <x:c r="M1853" s="24" t="str">
        <x:v>85</x:v>
      </x:c>
      <x:c r="N1853" s="24" t="str">
        <x:v>3.00</x:v>
      </x:c>
      <x:c r="O1853" s="24"/>
      <x:c r="P1853" s="24"/>
      <x:c r="Q1853" s="24" t="str">
        <x:v>DISPONÍVEL</x:v>
      </x:c>
      <x:c r="R1853" s="24"/>
      <x:c r="S1853" s="24" t="n">
        <x:v>29</x:v>
      </x:c>
      <x:c r="T1853" s="24" t="str">
        <x:v>tabela_zeiss.pdf</x:v>
      </x:c>
      <x:c r="U1853" s="24" t="str">
        <x:v>ZEISS|Visão Simples Especial|Surfaçada|Sport||1.5|1.50|DURAVISION® ANTIVÍRUS PLATINUM UV|-4.00 a +4.00|-4.00|85|3.00|||29</x:v>
      </x:c>
    </x:row>
    <x:row r="1854">
      <x:c r="A1854" s="24" t="str">
        <x:v>ZS-73C63E13CF7C</x:v>
      </x:c>
      <x:c r="B1854" s="24" t="str">
        <x:v>ZEISS</x:v>
      </x:c>
      <x:c r="C1854" s="24" t="str">
        <x:v>Visão Simples Especial</x:v>
      </x:c>
      <x:c r="D1854" s="24" t="str">
        <x:v>Surfaçada</x:v>
      </x:c>
      <x:c r="E1854" s="24" t="str">
        <x:v>Sport</x:v>
      </x:c>
      <x:c r="F1854" s="24"/>
      <x:c r="G1854" s="24" t="str">
        <x:v>1.5</x:v>
      </x:c>
      <x:c r="H1854" s="24" t="str">
        <x:v>1.50</x:v>
      </x:c>
      <x:c r="I1854" s="24" t="str">
        <x:v>DuraVision Platinum UV</x:v>
      </x:c>
      <x:c r="J1854" s="40" t="n">
        <x:v>2370</x:v>
      </x:c>
      <x:c r="K1854" s="24" t="str">
        <x:v>-4.00 a +4.00</x:v>
      </x:c>
      <x:c r="L1854" s="24" t="str">
        <x:v>-4.00</x:v>
      </x:c>
      <x:c r="M1854" s="24" t="str">
        <x:v>85</x:v>
      </x:c>
      <x:c r="N1854" s="24" t="str">
        <x:v>3.00</x:v>
      </x:c>
      <x:c r="O1854" s="24"/>
      <x:c r="P1854" s="24"/>
      <x:c r="Q1854" s="24" t="str">
        <x:v>DISPONÍVEL</x:v>
      </x:c>
      <x:c r="R1854" s="24"/>
      <x:c r="S1854" s="24" t="n">
        <x:v>29</x:v>
      </x:c>
      <x:c r="T1854" s="24" t="str">
        <x:v>tabela_zeiss.pdf</x:v>
      </x:c>
      <x:c r="U1854" s="24" t="str">
        <x:v>ZEISS|Visão Simples Especial|Surfaçada|Sport||1.5|1.50|DuraVision Platinum UV|-4.00 a +4.00|-4.00|85|3.00|||29</x:v>
      </x:c>
    </x:row>
    <x:row r="1855">
      <x:c r="A1855" s="24" t="str">
        <x:v>ZS-097A49B5AC81</x:v>
      </x:c>
      <x:c r="B1855" s="24" t="str">
        <x:v>ZEISS</x:v>
      </x:c>
      <x:c r="C1855" s="24" t="str">
        <x:v>Visão Simples Especial</x:v>
      </x:c>
      <x:c r="D1855" s="24" t="str">
        <x:v>Surfaçada</x:v>
      </x:c>
      <x:c r="E1855" s="24" t="str">
        <x:v>Sport</x:v>
      </x:c>
      <x:c r="F1855" s="24"/>
      <x:c r="G1855" s="24" t="str">
        <x:v>1.5</x:v>
      </x:c>
      <x:c r="H1855" s="24" t="str">
        <x:v>1.50</x:v>
      </x:c>
      <x:c r="I1855" s="24" t="str">
        <x:v>DuraVision Silver UV</x:v>
      </x:c>
      <x:c r="J1855" s="40" t="n">
        <x:v>2110</x:v>
      </x:c>
      <x:c r="K1855" s="24" t="str">
        <x:v>-4.00 a +4.00</x:v>
      </x:c>
      <x:c r="L1855" s="24" t="str">
        <x:v>-4.00</x:v>
      </x:c>
      <x:c r="M1855" s="24" t="str">
        <x:v>85</x:v>
      </x:c>
      <x:c r="N1855" s="24" t="str">
        <x:v>3.00</x:v>
      </x:c>
      <x:c r="O1855" s="24"/>
      <x:c r="P1855" s="24"/>
      <x:c r="Q1855" s="24" t="str">
        <x:v>DISPONÍVEL</x:v>
      </x:c>
      <x:c r="R1855" s="24"/>
      <x:c r="S1855" s="24" t="n">
        <x:v>29</x:v>
      </x:c>
      <x:c r="T1855" s="24" t="str">
        <x:v>tabela_zeiss.pdf</x:v>
      </x:c>
      <x:c r="U1855" s="24" t="str">
        <x:v>ZEISS|Visão Simples Especial|Surfaçada|Sport||1.5|1.50|DuraVision Silver UV|-4.00 a +4.00|-4.00|85|3.00|||29</x:v>
      </x:c>
    </x:row>
    <x:row r="1856">
      <x:c r="A1856" s="24" t="str">
        <x:v>ZS-012E4C542C56</x:v>
      </x:c>
      <x:c r="B1856" s="24" t="str">
        <x:v>ZEISS</x:v>
      </x:c>
      <x:c r="C1856" s="24" t="str">
        <x:v>Visão Simples Especial</x:v>
      </x:c>
      <x:c r="D1856" s="24" t="str">
        <x:v>Surfaçada</x:v>
      </x:c>
      <x:c r="E1856" s="24" t="str">
        <x:v>Sport</x:v>
      </x:c>
      <x:c r="F1856" s="24"/>
      <x:c r="G1856" s="24" t="str">
        <x:v>1.5</x:v>
      </x:c>
      <x:c r="H1856" s="24" t="str">
        <x:v>1.50</x:v>
      </x:c>
      <x:c r="I1856" s="24" t="str">
        <x:v>DuraVision Chrome UV</x:v>
      </x:c>
      <x:c r="J1856" s="40" t="n">
        <x:v>1620</x:v>
      </x:c>
      <x:c r="K1856" s="24" t="str">
        <x:v>-4.00 a +4.00</x:v>
      </x:c>
      <x:c r="L1856" s="24" t="str">
        <x:v>-4.00</x:v>
      </x:c>
      <x:c r="M1856" s="24" t="str">
        <x:v>85</x:v>
      </x:c>
      <x:c r="N1856" s="24" t="str">
        <x:v>3.00</x:v>
      </x:c>
      <x:c r="O1856" s="24"/>
      <x:c r="P1856" s="24"/>
      <x:c r="Q1856" s="24" t="str">
        <x:v>DISPONÍVEL</x:v>
      </x:c>
      <x:c r="R1856" s="24"/>
      <x:c r="S1856" s="24" t="n">
        <x:v>29</x:v>
      </x:c>
      <x:c r="T1856" s="24" t="str">
        <x:v>tabela_zeiss.pdf</x:v>
      </x:c>
      <x:c r="U1856" s="24" t="str">
        <x:v>ZEISS|Visão Simples Especial|Surfaçada|Sport||1.5|1.50|DuraVision Chrome UV|-4.00 a +4.00|-4.00|85|3.00|||29</x:v>
      </x:c>
    </x:row>
    <x:row r="1857">
      <x:c r="A1857" s="24" t="str">
        <x:v>ZS-10E1FFB83E7A</x:v>
      </x:c>
      <x:c r="B1857" s="24" t="str">
        <x:v>ZEISS</x:v>
      </x:c>
      <x:c r="C1857" s="24" t="str">
        <x:v>Visão Simples Especial</x:v>
      </x:c>
      <x:c r="D1857" s="24" t="str">
        <x:v>Surfaçada</x:v>
      </x:c>
      <x:c r="E1857" s="24" t="str">
        <x:v>Sport</x:v>
      </x:c>
      <x:c r="F1857" s="24"/>
      <x:c r="G1857" s="24" t="str">
        <x:v>Poli</x:v>
      </x:c>
      <x:c r="H1857" s="24"/>
      <x:c r="I1857" s="24" t="str">
        <x:v>DuraVision Gold UV</x:v>
      </x:c>
      <x:c r="J1857" s="40" t="n">
        <x:v>2870</x:v>
      </x:c>
      <x:c r="K1857" s="24" t="str">
        <x:v>-4.00 a +4.00</x:v>
      </x:c>
      <x:c r="L1857" s="24" t="str">
        <x:v>-4.00</x:v>
      </x:c>
      <x:c r="M1857" s="24" t="str">
        <x:v>83</x:v>
      </x:c>
      <x:c r="N1857" s="24" t="str">
        <x:v>3.00</x:v>
      </x:c>
      <x:c r="O1857" s="24"/>
      <x:c r="P1857" s="24"/>
      <x:c r="Q1857" s="24" t="str">
        <x:v>DISPONÍVEL</x:v>
      </x:c>
      <x:c r="R1857" s="24"/>
      <x:c r="S1857" s="24" t="n">
        <x:v>29</x:v>
      </x:c>
      <x:c r="T1857" s="24" t="str">
        <x:v>tabela_zeiss.pdf</x:v>
      </x:c>
      <x:c r="U1857" s="24" t="str">
        <x:v>ZEISS|Visão Simples Especial|Surfaçada|Sport||Poli||DuraVision Gold UV|-4.00 a +4.00|-4.00|83|3.00|||29</x:v>
      </x:c>
    </x:row>
    <x:row r="1858">
      <x:c r="A1858" s="24" t="str">
        <x:v>ZS-F241BB73B6F6</x:v>
      </x:c>
      <x:c r="B1858" s="24" t="str">
        <x:v>ZEISS</x:v>
      </x:c>
      <x:c r="C1858" s="24" t="str">
        <x:v>Visão Simples Especial</x:v>
      </x:c>
      <x:c r="D1858" s="24" t="str">
        <x:v>Surfaçada</x:v>
      </x:c>
      <x:c r="E1858" s="24" t="str">
        <x:v>Sport</x:v>
      </x:c>
      <x:c r="F1858" s="24"/>
      <x:c r="G1858" s="24" t="str">
        <x:v>Poli</x:v>
      </x:c>
      <x:c r="H1858" s="24"/>
      <x:c r="I1858" s="24" t="str">
        <x:v>DuraVision Platinum UV</x:v>
      </x:c>
      <x:c r="J1858" s="40" t="n">
        <x:v>2730</x:v>
      </x:c>
      <x:c r="K1858" s="24" t="str">
        <x:v>-4.00 a +4.00</x:v>
      </x:c>
      <x:c r="L1858" s="24" t="str">
        <x:v>-4.00</x:v>
      </x:c>
      <x:c r="M1858" s="24" t="str">
        <x:v>83</x:v>
      </x:c>
      <x:c r="N1858" s="24" t="str">
        <x:v>3.00</x:v>
      </x:c>
      <x:c r="O1858" s="24"/>
      <x:c r="P1858" s="24"/>
      <x:c r="Q1858" s="24" t="str">
        <x:v>DISPONÍVEL</x:v>
      </x:c>
      <x:c r="R1858" s="24"/>
      <x:c r="S1858" s="24" t="n">
        <x:v>29</x:v>
      </x:c>
      <x:c r="T1858" s="24" t="str">
        <x:v>tabela_zeiss.pdf</x:v>
      </x:c>
      <x:c r="U1858" s="24" t="str">
        <x:v>ZEISS|Visão Simples Especial|Surfaçada|Sport||Poli||DuraVision Platinum UV|-4.00 a +4.00|-4.00|83|3.00|||29</x:v>
      </x:c>
    </x:row>
    <x:row r="1859">
      <x:c r="A1859" s="24" t="str">
        <x:v>ZS-8B4AC8DF493C</x:v>
      </x:c>
      <x:c r="B1859" s="24" t="str">
        <x:v>ZEISS</x:v>
      </x:c>
      <x:c r="C1859" s="24" t="str">
        <x:v>Visão Simples Especial</x:v>
      </x:c>
      <x:c r="D1859" s="24" t="str">
        <x:v>Surfaçada</x:v>
      </x:c>
      <x:c r="E1859" s="24" t="str">
        <x:v>Sport</x:v>
      </x:c>
      <x:c r="F1859" s="24"/>
      <x:c r="G1859" s="24" t="str">
        <x:v>Poli</x:v>
      </x:c>
      <x:c r="H1859" s="24"/>
      <x:c r="I1859" s="24" t="str">
        <x:v>DuraVision Silver UV</x:v>
      </x:c>
      <x:c r="J1859" s="40" t="n">
        <x:v>2470</x:v>
      </x:c>
      <x:c r="K1859" s="24" t="str">
        <x:v>-4.00 a +4.00</x:v>
      </x:c>
      <x:c r="L1859" s="24" t="str">
        <x:v>-4.00</x:v>
      </x:c>
      <x:c r="M1859" s="24" t="str">
        <x:v>83</x:v>
      </x:c>
      <x:c r="N1859" s="24" t="str">
        <x:v>3.00</x:v>
      </x:c>
      <x:c r="O1859" s="24"/>
      <x:c r="P1859" s="24"/>
      <x:c r="Q1859" s="24" t="str">
        <x:v>DISPONÍVEL</x:v>
      </x:c>
      <x:c r="R1859" s="24"/>
      <x:c r="S1859" s="24" t="n">
        <x:v>29</x:v>
      </x:c>
      <x:c r="T1859" s="24" t="str">
        <x:v>tabela_zeiss.pdf</x:v>
      </x:c>
      <x:c r="U1859" s="24" t="str">
        <x:v>ZEISS|Visão Simples Especial|Surfaçada|Sport||Poli||DuraVision Silver UV|-4.00 a +4.00|-4.00|83|3.00|||29</x:v>
      </x:c>
    </x:row>
    <x:row r="1860">
      <x:c r="A1860" s="24" t="str">
        <x:v>ZS-91F76032791C</x:v>
      </x:c>
      <x:c r="B1860" s="24" t="str">
        <x:v>ZEISS</x:v>
      </x:c>
      <x:c r="C1860" s="24" t="str">
        <x:v>Visão Simples Especial</x:v>
      </x:c>
      <x:c r="D1860" s="24" t="str">
        <x:v>Surfaçada</x:v>
      </x:c>
      <x:c r="E1860" s="24" t="str">
        <x:v>Sport</x:v>
      </x:c>
      <x:c r="F1860" s="24"/>
      <x:c r="G1860" s="24" t="str">
        <x:v>Poli</x:v>
      </x:c>
      <x:c r="H1860" s="24"/>
      <x:c r="I1860" s="24" t="str">
        <x:v>DuraVision Chrome UV</x:v>
      </x:c>
      <x:c r="J1860" s="40" t="n">
        <x:v>1980</x:v>
      </x:c>
      <x:c r="K1860" s="24" t="str">
        <x:v>-4.00 a +4.00</x:v>
      </x:c>
      <x:c r="L1860" s="24" t="str">
        <x:v>-4.00</x:v>
      </x:c>
      <x:c r="M1860" s="24" t="str">
        <x:v>83</x:v>
      </x:c>
      <x:c r="N1860" s="24" t="str">
        <x:v>3.00</x:v>
      </x:c>
      <x:c r="O1860" s="24"/>
      <x:c r="P1860" s="24"/>
      <x:c r="Q1860" s="24" t="str">
        <x:v>DISPONÍVEL</x:v>
      </x:c>
      <x:c r="R1860" s="24"/>
      <x:c r="S1860" s="24" t="n">
        <x:v>29</x:v>
      </x:c>
      <x:c r="T1860" s="24" t="str">
        <x:v>tabela_zeiss.pdf</x:v>
      </x:c>
      <x:c r="U1860" s="24" t="str">
        <x:v>ZEISS|Visão Simples Especial|Surfaçada|Sport||Poli||DuraVision Chrome UV|-4.00 a +4.00|-4.00|83|3.00|||29</x:v>
      </x:c>
    </x:row>
    <x:row r="1861">
      <x:c r="A1861" s="24" t="str">
        <x:v>ZS-CBF42EAB877B</x:v>
      </x:c>
      <x:c r="B1861" s="24" t="str">
        <x:v>ZEISS</x:v>
      </x:c>
      <x:c r="C1861" s="24" t="str">
        <x:v>Visão Simples Especial</x:v>
      </x:c>
      <x:c r="D1861" s="24" t="str">
        <x:v>Surfaçada</x:v>
      </x:c>
      <x:c r="E1861" s="24" t="str">
        <x:v>Sport</x:v>
      </x:c>
      <x:c r="F1861" s="24"/>
      <x:c r="G1861" s="24" t="str">
        <x:v>1.6</x:v>
      </x:c>
      <x:c r="H1861" s="24" t="str">
        <x:v>1.60</x:v>
      </x:c>
      <x:c r="I1861" s="24" t="str">
        <x:v>DuraVision Gold UV</x:v>
      </x:c>
      <x:c r="J1861" s="40" t="n">
        <x:v>3090</x:v>
      </x:c>
      <x:c r="K1861" s="24" t="str">
        <x:v>-4.00 a +4.00</x:v>
      </x:c>
      <x:c r="L1861" s="24" t="str">
        <x:v>-4.00</x:v>
      </x:c>
      <x:c r="M1861" s="24" t="str">
        <x:v>85</x:v>
      </x:c>
      <x:c r="N1861" s="24" t="str">
        <x:v>3.00</x:v>
      </x:c>
      <x:c r="O1861" s="24"/>
      <x:c r="P1861" s="24"/>
      <x:c r="Q1861" s="24" t="str">
        <x:v>DISPONÍVEL</x:v>
      </x:c>
      <x:c r="R1861" s="24"/>
      <x:c r="S1861" s="24" t="n">
        <x:v>29</x:v>
      </x:c>
      <x:c r="T1861" s="24" t="str">
        <x:v>tabela_zeiss.pdf</x:v>
      </x:c>
      <x:c r="U1861" s="24" t="str">
        <x:v>ZEISS|Visão Simples Especial|Surfaçada|Sport||1.6|1.60|DuraVision Gold UV|-4.00 a +4.00|-4.00|85|3.00|||29</x:v>
      </x:c>
    </x:row>
    <x:row r="1862">
      <x:c r="A1862" s="24" t="str">
        <x:v>ZS-642BFD63DF70</x:v>
      </x:c>
      <x:c r="B1862" s="24" t="str">
        <x:v>ZEISS</x:v>
      </x:c>
      <x:c r="C1862" s="24" t="str">
        <x:v>Visão Simples Especial</x:v>
      </x:c>
      <x:c r="D1862" s="24" t="str">
        <x:v>Surfaçada</x:v>
      </x:c>
      <x:c r="E1862" s="24" t="str">
        <x:v>Sport</x:v>
      </x:c>
      <x:c r="F1862" s="24"/>
      <x:c r="G1862" s="24" t="str">
        <x:v>1.6</x:v>
      </x:c>
      <x:c r="H1862" s="24" t="str">
        <x:v>1.60</x:v>
      </x:c>
      <x:c r="I1862" s="24" t="str">
        <x:v>DURAVISION® ANTIVÍRUS PLATINUM UV</x:v>
      </x:c>
      <x:c r="J1862" s="40" t="n">
        <x:v>2950</x:v>
      </x:c>
      <x:c r="K1862" s="24" t="str">
        <x:v>-4.00 a +4.00</x:v>
      </x:c>
      <x:c r="L1862" s="24" t="str">
        <x:v>-4.00</x:v>
      </x:c>
      <x:c r="M1862" s="24" t="str">
        <x:v>85</x:v>
      </x:c>
      <x:c r="N1862" s="24" t="str">
        <x:v>3.00</x:v>
      </x:c>
      <x:c r="O1862" s="24"/>
      <x:c r="P1862" s="24"/>
      <x:c r="Q1862" s="24" t="str">
        <x:v>DISPONÍVEL</x:v>
      </x:c>
      <x:c r="R1862" s="24"/>
      <x:c r="S1862" s="24" t="n">
        <x:v>29</x:v>
      </x:c>
      <x:c r="T1862" s="24" t="str">
        <x:v>tabela_zeiss.pdf</x:v>
      </x:c>
      <x:c r="U1862" s="24" t="str">
        <x:v>ZEISS|Visão Simples Especial|Surfaçada|Sport||1.6|1.60|DURAVISION® ANTIVÍRUS PLATINUM UV|-4.00 a +4.00|-4.00|85|3.00|||29</x:v>
      </x:c>
    </x:row>
    <x:row r="1863">
      <x:c r="A1863" s="24" t="str">
        <x:v>ZS-780F86033628</x:v>
      </x:c>
      <x:c r="B1863" s="24" t="str">
        <x:v>ZEISS</x:v>
      </x:c>
      <x:c r="C1863" s="24" t="str">
        <x:v>Visão Simples Especial</x:v>
      </x:c>
      <x:c r="D1863" s="24" t="str">
        <x:v>Surfaçada</x:v>
      </x:c>
      <x:c r="E1863" s="24" t="str">
        <x:v>Sport</x:v>
      </x:c>
      <x:c r="F1863" s="24"/>
      <x:c r="G1863" s="24" t="str">
        <x:v>1.6</x:v>
      </x:c>
      <x:c r="H1863" s="24" t="str">
        <x:v>1.60</x:v>
      </x:c>
      <x:c r="I1863" s="24" t="str">
        <x:v>DuraVision Platinum UV</x:v>
      </x:c>
      <x:c r="J1863" s="40" t="n">
        <x:v>2950</x:v>
      </x:c>
      <x:c r="K1863" s="24" t="str">
        <x:v>-4.00 a +4.00</x:v>
      </x:c>
      <x:c r="L1863" s="24" t="str">
        <x:v>-4.00</x:v>
      </x:c>
      <x:c r="M1863" s="24" t="str">
        <x:v>85</x:v>
      </x:c>
      <x:c r="N1863" s="24" t="str">
        <x:v>3.00</x:v>
      </x:c>
      <x:c r="O1863" s="24"/>
      <x:c r="P1863" s="24"/>
      <x:c r="Q1863" s="24" t="str">
        <x:v>DISPONÍVEL</x:v>
      </x:c>
      <x:c r="R1863" s="24"/>
      <x:c r="S1863" s="24" t="n">
        <x:v>29</x:v>
      </x:c>
      <x:c r="T1863" s="24" t="str">
        <x:v>tabela_zeiss.pdf</x:v>
      </x:c>
      <x:c r="U1863" s="24" t="str">
        <x:v>ZEISS|Visão Simples Especial|Surfaçada|Sport||1.6|1.60|DuraVision Platinum UV|-4.00 a +4.00|-4.00|85|3.00|||29</x:v>
      </x:c>
    </x:row>
    <x:row r="1864">
      <x:c r="A1864" s="24" t="str">
        <x:v>ZS-F386967FB06D</x:v>
      </x:c>
      <x:c r="B1864" s="24" t="str">
        <x:v>ZEISS</x:v>
      </x:c>
      <x:c r="C1864" s="24" t="str">
        <x:v>Visão Simples Especial</x:v>
      </x:c>
      <x:c r="D1864" s="24" t="str">
        <x:v>Surfaçada</x:v>
      </x:c>
      <x:c r="E1864" s="24" t="str">
        <x:v>Sport</x:v>
      </x:c>
      <x:c r="F1864" s="24"/>
      <x:c r="G1864" s="24" t="str">
        <x:v>1.6</x:v>
      </x:c>
      <x:c r="H1864" s="24" t="str">
        <x:v>1.60</x:v>
      </x:c>
      <x:c r="I1864" s="24" t="str">
        <x:v>DuraVision Silver UV</x:v>
      </x:c>
      <x:c r="J1864" s="40" t="n">
        <x:v>2690</x:v>
      </x:c>
      <x:c r="K1864" s="24" t="str">
        <x:v>-4.00 a +4.00</x:v>
      </x:c>
      <x:c r="L1864" s="24" t="str">
        <x:v>-4.00</x:v>
      </x:c>
      <x:c r="M1864" s="24" t="str">
        <x:v>85</x:v>
      </x:c>
      <x:c r="N1864" s="24" t="str">
        <x:v>3.00</x:v>
      </x:c>
      <x:c r="O1864" s="24"/>
      <x:c r="P1864" s="24"/>
      <x:c r="Q1864" s="24" t="str">
        <x:v>DISPONÍVEL</x:v>
      </x:c>
      <x:c r="R1864" s="24"/>
      <x:c r="S1864" s="24" t="n">
        <x:v>29</x:v>
      </x:c>
      <x:c r="T1864" s="24" t="str">
        <x:v>tabela_zeiss.pdf</x:v>
      </x:c>
      <x:c r="U1864" s="24" t="str">
        <x:v>ZEISS|Visão Simples Especial|Surfaçada|Sport||1.6|1.60|DuraVision Silver UV|-4.00 a +4.00|-4.00|85|3.00|||29</x:v>
      </x:c>
    </x:row>
    <x:row r="1865">
      <x:c r="A1865" s="24" t="str">
        <x:v>ZS-25B957743281</x:v>
      </x:c>
      <x:c r="B1865" s="24" t="str">
        <x:v>ZEISS</x:v>
      </x:c>
      <x:c r="C1865" s="24" t="str">
        <x:v>Visão Simples Especial</x:v>
      </x:c>
      <x:c r="D1865" s="24" t="str">
        <x:v>Surfaçada</x:v>
      </x:c>
      <x:c r="E1865" s="24" t="str">
        <x:v>Sport</x:v>
      </x:c>
      <x:c r="F1865" s="24"/>
      <x:c r="G1865" s="24" t="str">
        <x:v>1.6</x:v>
      </x:c>
      <x:c r="H1865" s="24" t="str">
        <x:v>1.60</x:v>
      </x:c>
      <x:c r="I1865" s="24" t="str">
        <x:v>DuraVision Chrome UV</x:v>
      </x:c>
      <x:c r="J1865" s="40" t="n">
        <x:v>2200</x:v>
      </x:c>
      <x:c r="K1865" s="24" t="str">
        <x:v>-4.00 a +4.00</x:v>
      </x:c>
      <x:c r="L1865" s="24" t="str">
        <x:v>-4.00</x:v>
      </x:c>
      <x:c r="M1865" s="24" t="str">
        <x:v>85</x:v>
      </x:c>
      <x:c r="N1865" s="24" t="str">
        <x:v>3.00</x:v>
      </x:c>
      <x:c r="O1865" s="24"/>
      <x:c r="P1865" s="24"/>
      <x:c r="Q1865" s="24" t="str">
        <x:v>DISPONÍVEL</x:v>
      </x:c>
      <x:c r="R1865" s="24"/>
      <x:c r="S1865" s="24" t="n">
        <x:v>29</x:v>
      </x:c>
      <x:c r="T1865" s="24" t="str">
        <x:v>tabela_zeiss.pdf</x:v>
      </x:c>
      <x:c r="U1865" s="24" t="str">
        <x:v>ZEISS|Visão Simples Especial|Surfaçada|Sport||1.6|1.60|DuraVision Chrome UV|-4.00 a +4.00|-4.00|85|3.00|||29</x:v>
      </x:c>
    </x:row>
    <x:row r="1866">
      <x:c r="A1866" s="24" t="str">
        <x:v>ZS-A6FEBF844819</x:v>
      </x:c>
      <x:c r="B1866" s="24" t="str">
        <x:v>ZEISS</x:v>
      </x:c>
      <x:c r="C1866" s="24" t="str">
        <x:v>Visão Simples Especial</x:v>
      </x:c>
      <x:c r="D1866" s="24" t="str">
        <x:v>Surfaçada</x:v>
      </x:c>
      <x:c r="E1866" s="24" t="str">
        <x:v>Sport</x:v>
      </x:c>
      <x:c r="F1866" s="24" t="str">
        <x:v>PhotoFusion X</x:v>
      </x:c>
      <x:c r="G1866" s="24" t="str">
        <x:v>1.5</x:v>
      </x:c>
      <x:c r="H1866" s="24" t="str">
        <x:v>1.50</x:v>
      </x:c>
      <x:c r="I1866" s="24" t="str">
        <x:v>DuraVision Gold UV</x:v>
      </x:c>
      <x:c r="J1866" s="40" t="n">
        <x:v>3930</x:v>
      </x:c>
      <x:c r="K1866" s="24" t="str">
        <x:v>-4.00 a +4.00</x:v>
      </x:c>
      <x:c r="L1866" s="24" t="str">
        <x:v>-4.00</x:v>
      </x:c>
      <x:c r="M1866" s="24" t="str">
        <x:v>85</x:v>
      </x:c>
      <x:c r="N1866" s="24" t="str">
        <x:v>3.00</x:v>
      </x:c>
      <x:c r="O1866" s="24"/>
      <x:c r="P1866" s="24"/>
      <x:c r="Q1866" s="24" t="str">
        <x:v>DISPONÍVEL</x:v>
      </x:c>
      <x:c r="R1866" s="24" t="str">
        <x:v>Programa de Parcerias ZEISS</x:v>
      </x:c>
      <x:c r="S1866" s="24" t="n">
        <x:v>29</x:v>
      </x:c>
      <x:c r="T1866" s="24" t="str">
        <x:v>tabela_zeiss.pdf</x:v>
      </x:c>
      <x:c r="U1866" s="24" t="str">
        <x:v>ZEISS|Visão Simples Especial|Surfaçada|Sport|PhotoFusion X|1.5|1.50|DuraVision Gold UV|-4.00 a +4.00|-4.00|85|3.00|||29</x:v>
      </x:c>
    </x:row>
    <x:row r="1867">
      <x:c r="A1867" s="24" t="str">
        <x:v>ZS-199048A811A4</x:v>
      </x:c>
      <x:c r="B1867" s="24" t="str">
        <x:v>ZEISS</x:v>
      </x:c>
      <x:c r="C1867" s="24" t="str">
        <x:v>Visão Simples Especial</x:v>
      </x:c>
      <x:c r="D1867" s="24" t="str">
        <x:v>Surfaçada</x:v>
      </x:c>
      <x:c r="E1867" s="24" t="str">
        <x:v>Sport</x:v>
      </x:c>
      <x:c r="F1867" s="24" t="str">
        <x:v>PhotoFusion X</x:v>
      </x:c>
      <x:c r="G1867" s="24" t="str">
        <x:v>1.5</x:v>
      </x:c>
      <x:c r="H1867" s="24" t="str">
        <x:v>1.50</x:v>
      </x:c>
      <x:c r="I1867" s="24" t="str">
        <x:v>DURAVISION® ANTIVÍRUS PLATINUM UV</x:v>
      </x:c>
      <x:c r="J1867" s="40" t="n">
        <x:v>3790</x:v>
      </x:c>
      <x:c r="K1867" s="24" t="str">
        <x:v>-4.00 a +4.00</x:v>
      </x:c>
      <x:c r="L1867" s="24" t="str">
        <x:v>-4.00</x:v>
      </x:c>
      <x:c r="M1867" s="24" t="str">
        <x:v>85</x:v>
      </x:c>
      <x:c r="N1867" s="24" t="str">
        <x:v>3.00</x:v>
      </x:c>
      <x:c r="O1867" s="24"/>
      <x:c r="P1867" s="24"/>
      <x:c r="Q1867" s="24" t="str">
        <x:v>DISPONÍVEL</x:v>
      </x:c>
      <x:c r="R1867" s="24" t="str">
        <x:v>Programa de Parcerias ZEISS</x:v>
      </x:c>
      <x:c r="S1867" s="24" t="n">
        <x:v>29</x:v>
      </x:c>
      <x:c r="T1867" s="24" t="str">
        <x:v>tabela_zeiss.pdf</x:v>
      </x:c>
      <x:c r="U1867" s="24" t="str">
        <x:v>ZEISS|Visão Simples Especial|Surfaçada|Sport|PhotoFusion X|1.5|1.50|DURAVISION® ANTIVÍRUS PLATINUM UV|-4.00 a +4.00|-4.00|85|3.00|||29</x:v>
      </x:c>
    </x:row>
    <x:row r="1868">
      <x:c r="A1868" s="24" t="str">
        <x:v>ZS-33242E1735A4</x:v>
      </x:c>
      <x:c r="B1868" s="24" t="str">
        <x:v>ZEISS</x:v>
      </x:c>
      <x:c r="C1868" s="24" t="str">
        <x:v>Visão Simples Especial</x:v>
      </x:c>
      <x:c r="D1868" s="24" t="str">
        <x:v>Surfaçada</x:v>
      </x:c>
      <x:c r="E1868" s="24" t="str">
        <x:v>Sport</x:v>
      </x:c>
      <x:c r="F1868" s="24" t="str">
        <x:v>PhotoFusion X</x:v>
      </x:c>
      <x:c r="G1868" s="24" t="str">
        <x:v>1.5</x:v>
      </x:c>
      <x:c r="H1868" s="24" t="str">
        <x:v>1.50</x:v>
      </x:c>
      <x:c r="I1868" s="24" t="str">
        <x:v>DuraVision Platinum UV</x:v>
      </x:c>
      <x:c r="J1868" s="40" t="n">
        <x:v>3790</x:v>
      </x:c>
      <x:c r="K1868" s="24" t="str">
        <x:v>-4.00 a +4.00</x:v>
      </x:c>
      <x:c r="L1868" s="24" t="str">
        <x:v>-4.00</x:v>
      </x:c>
      <x:c r="M1868" s="24" t="str">
        <x:v>85</x:v>
      </x:c>
      <x:c r="N1868" s="24" t="str">
        <x:v>3.00</x:v>
      </x:c>
      <x:c r="O1868" s="24"/>
      <x:c r="P1868" s="24"/>
      <x:c r="Q1868" s="24" t="str">
        <x:v>DISPONÍVEL</x:v>
      </x:c>
      <x:c r="R1868" s="24" t="str">
        <x:v>Programa de Parcerias ZEISS</x:v>
      </x:c>
      <x:c r="S1868" s="24" t="n">
        <x:v>29</x:v>
      </x:c>
      <x:c r="T1868" s="24" t="str">
        <x:v>tabela_zeiss.pdf</x:v>
      </x:c>
      <x:c r="U1868" s="24" t="str">
        <x:v>ZEISS|Visão Simples Especial|Surfaçada|Sport|PhotoFusion X|1.5|1.50|DuraVision Platinum UV|-4.00 a +4.00|-4.00|85|3.00|||29</x:v>
      </x:c>
    </x:row>
    <x:row r="1869">
      <x:c r="A1869" s="24" t="str">
        <x:v>ZS-230E6EDD0C6E</x:v>
      </x:c>
      <x:c r="B1869" s="24" t="str">
        <x:v>ZEISS</x:v>
      </x:c>
      <x:c r="C1869" s="24" t="str">
        <x:v>Visão Simples Especial</x:v>
      </x:c>
      <x:c r="D1869" s="24" t="str">
        <x:v>Surfaçada</x:v>
      </x:c>
      <x:c r="E1869" s="24" t="str">
        <x:v>Sport</x:v>
      </x:c>
      <x:c r="F1869" s="24" t="str">
        <x:v>PhotoFusion X</x:v>
      </x:c>
      <x:c r="G1869" s="24" t="str">
        <x:v>1.5</x:v>
      </x:c>
      <x:c r="H1869" s="24" t="str">
        <x:v>1.50</x:v>
      </x:c>
      <x:c r="I1869" s="24" t="str">
        <x:v>DuraVision Silver UV</x:v>
      </x:c>
      <x:c r="J1869" s="40" t="n">
        <x:v>3530</x:v>
      </x:c>
      <x:c r="K1869" s="24" t="str">
        <x:v>-4.00 a +4.00</x:v>
      </x:c>
      <x:c r="L1869" s="24" t="str">
        <x:v>-4.00</x:v>
      </x:c>
      <x:c r="M1869" s="24" t="str">
        <x:v>85</x:v>
      </x:c>
      <x:c r="N1869" s="24" t="str">
        <x:v>3.00</x:v>
      </x:c>
      <x:c r="O1869" s="24"/>
      <x:c r="P1869" s="24"/>
      <x:c r="Q1869" s="24" t="str">
        <x:v>DISPONÍVEL</x:v>
      </x:c>
      <x:c r="R1869" s="24" t="str">
        <x:v>Programa de Parcerias ZEISS</x:v>
      </x:c>
      <x:c r="S1869" s="24" t="n">
        <x:v>29</x:v>
      </x:c>
      <x:c r="T1869" s="24" t="str">
        <x:v>tabela_zeiss.pdf</x:v>
      </x:c>
      <x:c r="U1869" s="24" t="str">
        <x:v>ZEISS|Visão Simples Especial|Surfaçada|Sport|PhotoFusion X|1.5|1.50|DuraVision Silver UV|-4.00 a +4.00|-4.00|85|3.00|||29</x:v>
      </x:c>
    </x:row>
    <x:row r="1870">
      <x:c r="A1870" s="24" t="str">
        <x:v>ZS-DB7E31FB100D</x:v>
      </x:c>
      <x:c r="B1870" s="24" t="str">
        <x:v>ZEISS</x:v>
      </x:c>
      <x:c r="C1870" s="24" t="str">
        <x:v>Visão Simples Especial</x:v>
      </x:c>
      <x:c r="D1870" s="24" t="str">
        <x:v>Surfaçada</x:v>
      </x:c>
      <x:c r="E1870" s="24" t="str">
        <x:v>Sport</x:v>
      </x:c>
      <x:c r="F1870" s="24" t="str">
        <x:v>PhotoFusion X</x:v>
      </x:c>
      <x:c r="G1870" s="24" t="str">
        <x:v>1.5</x:v>
      </x:c>
      <x:c r="H1870" s="24" t="str">
        <x:v>1.50</x:v>
      </x:c>
      <x:c r="I1870" s="24" t="str">
        <x:v>DuraVision Chrome UV</x:v>
      </x:c>
      <x:c r="J1870" s="40" t="n">
        <x:v>3040</x:v>
      </x:c>
      <x:c r="K1870" s="24" t="str">
        <x:v>-4.00 a +4.00</x:v>
      </x:c>
      <x:c r="L1870" s="24" t="str">
        <x:v>-4.00</x:v>
      </x:c>
      <x:c r="M1870" s="24" t="str">
        <x:v>85</x:v>
      </x:c>
      <x:c r="N1870" s="24" t="str">
        <x:v>3.00</x:v>
      </x:c>
      <x:c r="O1870" s="24"/>
      <x:c r="P1870" s="24"/>
      <x:c r="Q1870" s="24" t="str">
        <x:v>DISPONÍVEL</x:v>
      </x:c>
      <x:c r="R1870" s="24" t="str">
        <x:v>Programa de Parcerias ZEISS</x:v>
      </x:c>
      <x:c r="S1870" s="24" t="n">
        <x:v>29</x:v>
      </x:c>
      <x:c r="T1870" s="24" t="str">
        <x:v>tabela_zeiss.pdf</x:v>
      </x:c>
      <x:c r="U1870" s="24" t="str">
        <x:v>ZEISS|Visão Simples Especial|Surfaçada|Sport|PhotoFusion X|1.5|1.50|DuraVision Chrome UV|-4.00 a +4.00|-4.00|85|3.00|||29</x:v>
      </x:c>
    </x:row>
    <x:row r="1871">
      <x:c r="A1871" s="24" t="str">
        <x:v>ZS-4969EEF1902C</x:v>
      </x:c>
      <x:c r="B1871" s="24" t="str">
        <x:v>ZEISS</x:v>
      </x:c>
      <x:c r="C1871" s="24" t="str">
        <x:v>Visão Simples Especial</x:v>
      </x:c>
      <x:c r="D1871" s="24" t="str">
        <x:v>Surfaçada</x:v>
      </x:c>
      <x:c r="E1871" s="24" t="str">
        <x:v>Sport</x:v>
      </x:c>
      <x:c r="F1871" s="24" t="str">
        <x:v>PhotoFusion X</x:v>
      </x:c>
      <x:c r="G1871" s="24" t="str">
        <x:v>Poli</x:v>
      </x:c>
      <x:c r="H1871" s="24"/>
      <x:c r="I1871" s="24" t="str">
        <x:v>DuraVision Platinum UV</x:v>
      </x:c>
      <x:c r="J1871" s="40" t="n">
        <x:v>4150</x:v>
      </x:c>
      <x:c r="K1871" s="24" t="str">
        <x:v>-4.00 a +4.00</x:v>
      </x:c>
      <x:c r="L1871" s="24" t="str">
        <x:v>-4.00</x:v>
      </x:c>
      <x:c r="M1871" s="24" t="str">
        <x:v>80</x:v>
      </x:c>
      <x:c r="N1871" s="24" t="str">
        <x:v>3.00</x:v>
      </x:c>
      <x:c r="O1871" s="24"/>
      <x:c r="P1871" s="24"/>
      <x:c r="Q1871" s="24" t="str">
        <x:v>DISPONÍVEL</x:v>
      </x:c>
      <x:c r="R1871" s="24" t="str">
        <x:v>Programa de Parcerias ZEISS</x:v>
      </x:c>
      <x:c r="S1871" s="24" t="n">
        <x:v>29</x:v>
      </x:c>
      <x:c r="T1871" s="24" t="str">
        <x:v>tabela_zeiss.pdf</x:v>
      </x:c>
      <x:c r="U1871" s="24" t="str">
        <x:v>ZEISS|Visão Simples Especial|Surfaçada|Sport|PhotoFusion X|Poli||DuraVision Platinum UV|-4.00 a +4.00|-4.00|80|3.00|||29</x:v>
      </x:c>
    </x:row>
    <x:row r="1872">
      <x:c r="A1872" s="24" t="str">
        <x:v>ZS-B426EC4558FD</x:v>
      </x:c>
      <x:c r="B1872" s="24" t="str">
        <x:v>ZEISS</x:v>
      </x:c>
      <x:c r="C1872" s="24" t="str">
        <x:v>Visão Simples Especial</x:v>
      </x:c>
      <x:c r="D1872" s="24" t="str">
        <x:v>Surfaçada</x:v>
      </x:c>
      <x:c r="E1872" s="24" t="str">
        <x:v>Sport</x:v>
      </x:c>
      <x:c r="F1872" s="24" t="str">
        <x:v>PhotoFusion X</x:v>
      </x:c>
      <x:c r="G1872" s="24" t="str">
        <x:v>Poli</x:v>
      </x:c>
      <x:c r="H1872" s="24"/>
      <x:c r="I1872" s="24" t="str">
        <x:v>DuraVision Silver UV</x:v>
      </x:c>
      <x:c r="J1872" s="40" t="n">
        <x:v>3890</x:v>
      </x:c>
      <x:c r="K1872" s="24" t="str">
        <x:v>-4.00 a +4.00</x:v>
      </x:c>
      <x:c r="L1872" s="24" t="str">
        <x:v>-4.00</x:v>
      </x:c>
      <x:c r="M1872" s="24" t="str">
        <x:v>80</x:v>
      </x:c>
      <x:c r="N1872" s="24" t="str">
        <x:v>3.00</x:v>
      </x:c>
      <x:c r="O1872" s="24"/>
      <x:c r="P1872" s="24"/>
      <x:c r="Q1872" s="24" t="str">
        <x:v>DISPONÍVEL</x:v>
      </x:c>
      <x:c r="R1872" s="24" t="str">
        <x:v>Programa de Parcerias ZEISS</x:v>
      </x:c>
      <x:c r="S1872" s="24" t="n">
        <x:v>29</x:v>
      </x:c>
      <x:c r="T1872" s="24" t="str">
        <x:v>tabela_zeiss.pdf</x:v>
      </x:c>
      <x:c r="U1872" s="24" t="str">
        <x:v>ZEISS|Visão Simples Especial|Surfaçada|Sport|PhotoFusion X|Poli||DuraVision Silver UV|-4.00 a +4.00|-4.00|80|3.00|||29</x:v>
      </x:c>
    </x:row>
    <x:row r="1873">
      <x:c r="A1873" s="24" t="str">
        <x:v>ZS-E55B54CB6F21</x:v>
      </x:c>
      <x:c r="B1873" s="24" t="str">
        <x:v>ZEISS</x:v>
      </x:c>
      <x:c r="C1873" s="24" t="str">
        <x:v>Visão Simples Especial</x:v>
      </x:c>
      <x:c r="D1873" s="24" t="str">
        <x:v>Surfaçada</x:v>
      </x:c>
      <x:c r="E1873" s="24" t="str">
        <x:v>Sport</x:v>
      </x:c>
      <x:c r="F1873" s="24" t="str">
        <x:v>PhotoFusion X</x:v>
      </x:c>
      <x:c r="G1873" s="24" t="str">
        <x:v>Poli</x:v>
      </x:c>
      <x:c r="H1873" s="24"/>
      <x:c r="I1873" s="24" t="str">
        <x:v>DuraVision Chrome UV</x:v>
      </x:c>
      <x:c r="J1873" s="40" t="n">
        <x:v>3400</x:v>
      </x:c>
      <x:c r="K1873" s="24" t="str">
        <x:v>-4.00 a +4.00</x:v>
      </x:c>
      <x:c r="L1873" s="24" t="str">
        <x:v>-4.00</x:v>
      </x:c>
      <x:c r="M1873" s="24" t="str">
        <x:v>80</x:v>
      </x:c>
      <x:c r="N1873" s="24" t="str">
        <x:v>3.00</x:v>
      </x:c>
      <x:c r="O1873" s="24"/>
      <x:c r="P1873" s="24"/>
      <x:c r="Q1873" s="24" t="str">
        <x:v>DISPONÍVEL</x:v>
      </x:c>
      <x:c r="R1873" s="24" t="str">
        <x:v>Programa de Parcerias ZEISS</x:v>
      </x:c>
      <x:c r="S1873" s="24" t="n">
        <x:v>29</x:v>
      </x:c>
      <x:c r="T1873" s="24" t="str">
        <x:v>tabela_zeiss.pdf</x:v>
      </x:c>
      <x:c r="U1873" s="24" t="str">
        <x:v>ZEISS|Visão Simples Especial|Surfaçada|Sport|PhotoFusion X|Poli||DuraVision Chrome UV|-4.00 a +4.00|-4.00|80|3.00|||29</x:v>
      </x:c>
    </x:row>
    <x:row r="1874">
      <x:c r="A1874" s="24" t="str">
        <x:v>ZS-D69A161E7E45</x:v>
      </x:c>
      <x:c r="B1874" s="24" t="str">
        <x:v>ZEISS</x:v>
      </x:c>
      <x:c r="C1874" s="24" t="str">
        <x:v>Visão Simples Especial</x:v>
      </x:c>
      <x:c r="D1874" s="24" t="str">
        <x:v>Surfaçada</x:v>
      </x:c>
      <x:c r="E1874" s="24" t="str">
        <x:v>Sport</x:v>
      </x:c>
      <x:c r="F1874" s="24" t="str">
        <x:v>PhotoFusion X</x:v>
      </x:c>
      <x:c r="G1874" s="24" t="str">
        <x:v>1.6</x:v>
      </x:c>
      <x:c r="H1874" s="24" t="str">
        <x:v>1.60</x:v>
      </x:c>
      <x:c r="I1874" s="24" t="str">
        <x:v>DuraVision Gold UV</x:v>
      </x:c>
      <x:c r="J1874" s="40" t="n">
        <x:v>4510</x:v>
      </x:c>
      <x:c r="K1874" s="24" t="str">
        <x:v>-4.00 a +4.00</x:v>
      </x:c>
      <x:c r="L1874" s="24" t="str">
        <x:v>-4.00</x:v>
      </x:c>
      <x:c r="M1874" s="24" t="str">
        <x:v>85</x:v>
      </x:c>
      <x:c r="N1874" s="24" t="str">
        <x:v>3.00</x:v>
      </x:c>
      <x:c r="O1874" s="24"/>
      <x:c r="P1874" s="24"/>
      <x:c r="Q1874" s="24" t="str">
        <x:v>DISPONÍVEL</x:v>
      </x:c>
      <x:c r="R1874" s="24" t="str">
        <x:v>Programa de Parcerias ZEISS</x:v>
      </x:c>
      <x:c r="S1874" s="24" t="n">
        <x:v>29</x:v>
      </x:c>
      <x:c r="T1874" s="24" t="str">
        <x:v>tabela_zeiss.pdf</x:v>
      </x:c>
      <x:c r="U1874" s="24" t="str">
        <x:v>ZEISS|Visão Simples Especial|Surfaçada|Sport|PhotoFusion X|1.6|1.60|DuraVision Gold UV|-4.00 a +4.00|-4.00|85|3.00|||29</x:v>
      </x:c>
    </x:row>
    <x:row r="1875">
      <x:c r="A1875" s="24" t="str">
        <x:v>ZS-F23A2A45F72F</x:v>
      </x:c>
      <x:c r="B1875" s="24" t="str">
        <x:v>ZEISS</x:v>
      </x:c>
      <x:c r="C1875" s="24" t="str">
        <x:v>Visão Simples Especial</x:v>
      </x:c>
      <x:c r="D1875" s="24" t="str">
        <x:v>Surfaçada</x:v>
      </x:c>
      <x:c r="E1875" s="24" t="str">
        <x:v>Sport</x:v>
      </x:c>
      <x:c r="F1875" s="24" t="str">
        <x:v>PhotoFusion X</x:v>
      </x:c>
      <x:c r="G1875" s="24" t="str">
        <x:v>1.6</x:v>
      </x:c>
      <x:c r="H1875" s="24" t="str">
        <x:v>1.60</x:v>
      </x:c>
      <x:c r="I1875" s="24" t="str">
        <x:v>DURAVISION® ANTIVÍRUS PLATINUM UV</x:v>
      </x:c>
      <x:c r="J1875" s="40" t="n">
        <x:v>4370</x:v>
      </x:c>
      <x:c r="K1875" s="24" t="str">
        <x:v>-4.00 a +4.00</x:v>
      </x:c>
      <x:c r="L1875" s="24" t="str">
        <x:v>-4.00</x:v>
      </x:c>
      <x:c r="M1875" s="24" t="str">
        <x:v>85</x:v>
      </x:c>
      <x:c r="N1875" s="24" t="str">
        <x:v>3.00</x:v>
      </x:c>
      <x:c r="O1875" s="24"/>
      <x:c r="P1875" s="24"/>
      <x:c r="Q1875" s="24" t="str">
        <x:v>DISPONÍVEL</x:v>
      </x:c>
      <x:c r="R1875" s="24" t="str">
        <x:v>Programa de Parcerias ZEISS</x:v>
      </x:c>
      <x:c r="S1875" s="24" t="n">
        <x:v>29</x:v>
      </x:c>
      <x:c r="T1875" s="24" t="str">
        <x:v>tabela_zeiss.pdf</x:v>
      </x:c>
      <x:c r="U1875" s="24" t="str">
        <x:v>ZEISS|Visão Simples Especial|Surfaçada|Sport|PhotoFusion X|1.6|1.60|DURAVISION® ANTIVÍRUS PLATINUM UV|-4.00 a +4.00|-4.00|85|3.00|||29</x:v>
      </x:c>
    </x:row>
    <x:row r="1876">
      <x:c r="A1876" s="24" t="str">
        <x:v>ZS-033F678FB122</x:v>
      </x:c>
      <x:c r="B1876" s="24" t="str">
        <x:v>ZEISS</x:v>
      </x:c>
      <x:c r="C1876" s="24" t="str">
        <x:v>Visão Simples Especial</x:v>
      </x:c>
      <x:c r="D1876" s="24" t="str">
        <x:v>Surfaçada</x:v>
      </x:c>
      <x:c r="E1876" s="24" t="str">
        <x:v>Sport</x:v>
      </x:c>
      <x:c r="F1876" s="24" t="str">
        <x:v>PhotoFusion X</x:v>
      </x:c>
      <x:c r="G1876" s="24" t="str">
        <x:v>1.6</x:v>
      </x:c>
      <x:c r="H1876" s="24" t="str">
        <x:v>1.60</x:v>
      </x:c>
      <x:c r="I1876" s="24" t="str">
        <x:v>DuraVision Platinum UV</x:v>
      </x:c>
      <x:c r="J1876" s="40" t="n">
        <x:v>4370</x:v>
      </x:c>
      <x:c r="K1876" s="24" t="str">
        <x:v>-4.00 a +4.00</x:v>
      </x:c>
      <x:c r="L1876" s="24" t="str">
        <x:v>-4.00</x:v>
      </x:c>
      <x:c r="M1876" s="24" t="str">
        <x:v>85</x:v>
      </x:c>
      <x:c r="N1876" s="24" t="str">
        <x:v>3.00</x:v>
      </x:c>
      <x:c r="O1876" s="24"/>
      <x:c r="P1876" s="24"/>
      <x:c r="Q1876" s="24" t="str">
        <x:v>DISPONÍVEL</x:v>
      </x:c>
      <x:c r="R1876" s="24" t="str">
        <x:v>Programa de Parcerias ZEISS</x:v>
      </x:c>
      <x:c r="S1876" s="24" t="n">
        <x:v>29</x:v>
      </x:c>
      <x:c r="T1876" s="24" t="str">
        <x:v>tabela_zeiss.pdf</x:v>
      </x:c>
      <x:c r="U1876" s="24" t="str">
        <x:v>ZEISS|Visão Simples Especial|Surfaçada|Sport|PhotoFusion X|1.6|1.60|DuraVision Platinum UV|-4.00 a +4.00|-4.00|85|3.00|||29</x:v>
      </x:c>
    </x:row>
    <x:row r="1877">
      <x:c r="A1877" s="24" t="str">
        <x:v>ZS-4DFBA8120EC0</x:v>
      </x:c>
      <x:c r="B1877" s="24" t="str">
        <x:v>ZEISS</x:v>
      </x:c>
      <x:c r="C1877" s="24" t="str">
        <x:v>Visão Simples Especial</x:v>
      </x:c>
      <x:c r="D1877" s="24" t="str">
        <x:v>Surfaçada</x:v>
      </x:c>
      <x:c r="E1877" s="24" t="str">
        <x:v>Sport</x:v>
      </x:c>
      <x:c r="F1877" s="24" t="str">
        <x:v>PhotoFusion X</x:v>
      </x:c>
      <x:c r="G1877" s="24" t="str">
        <x:v>1.6</x:v>
      </x:c>
      <x:c r="H1877" s="24" t="str">
        <x:v>1.60</x:v>
      </x:c>
      <x:c r="I1877" s="24" t="str">
        <x:v>DuraVision Silver UV</x:v>
      </x:c>
      <x:c r="J1877" s="40" t="n">
        <x:v>4110</x:v>
      </x:c>
      <x:c r="K1877" s="24" t="str">
        <x:v>-4.00 a +4.00</x:v>
      </x:c>
      <x:c r="L1877" s="24" t="str">
        <x:v>-4.00</x:v>
      </x:c>
      <x:c r="M1877" s="24" t="str">
        <x:v>85</x:v>
      </x:c>
      <x:c r="N1877" s="24" t="str">
        <x:v>3.00</x:v>
      </x:c>
      <x:c r="O1877" s="24"/>
      <x:c r="P1877" s="24"/>
      <x:c r="Q1877" s="24" t="str">
        <x:v>DISPONÍVEL</x:v>
      </x:c>
      <x:c r="R1877" s="24" t="str">
        <x:v>Programa de Parcerias ZEISS</x:v>
      </x:c>
      <x:c r="S1877" s="24" t="n">
        <x:v>29</x:v>
      </x:c>
      <x:c r="T1877" s="24" t="str">
        <x:v>tabela_zeiss.pdf</x:v>
      </x:c>
      <x:c r="U1877" s="24" t="str">
        <x:v>ZEISS|Visão Simples Especial|Surfaçada|Sport|PhotoFusion X|1.6|1.60|DuraVision Silver UV|-4.00 a +4.00|-4.00|85|3.00|||29</x:v>
      </x:c>
    </x:row>
    <x:row r="1878">
      <x:c r="A1878" s="24" t="str">
        <x:v>ZS-8D058CCF6766</x:v>
      </x:c>
      <x:c r="B1878" s="24" t="str">
        <x:v>ZEISS</x:v>
      </x:c>
      <x:c r="C1878" s="24" t="str">
        <x:v>Visão Simples Especial</x:v>
      </x:c>
      <x:c r="D1878" s="24" t="str">
        <x:v>Surfaçada</x:v>
      </x:c>
      <x:c r="E1878" s="24" t="str">
        <x:v>Sport</x:v>
      </x:c>
      <x:c r="F1878" s="24" t="str">
        <x:v>PhotoFusion X</x:v>
      </x:c>
      <x:c r="G1878" s="24" t="str">
        <x:v>1.6</x:v>
      </x:c>
      <x:c r="H1878" s="24" t="str">
        <x:v>1.60</x:v>
      </x:c>
      <x:c r="I1878" s="24" t="str">
        <x:v>DuraVision Chrome UV</x:v>
      </x:c>
      <x:c r="J1878" s="40" t="n">
        <x:v>3620</x:v>
      </x:c>
      <x:c r="K1878" s="24" t="str">
        <x:v>-4.00 a +4.00</x:v>
      </x:c>
      <x:c r="L1878" s="24" t="str">
        <x:v>-4.00</x:v>
      </x:c>
      <x:c r="M1878" s="24" t="str">
        <x:v>85</x:v>
      </x:c>
      <x:c r="N1878" s="24" t="str">
        <x:v>3.00</x:v>
      </x:c>
      <x:c r="O1878" s="24"/>
      <x:c r="P1878" s="24"/>
      <x:c r="Q1878" s="24" t="str">
        <x:v>DISPONÍVEL</x:v>
      </x:c>
      <x:c r="R1878" s="24" t="str">
        <x:v>Programa de Parcerias ZEISS</x:v>
      </x:c>
      <x:c r="S1878" s="24" t="n">
        <x:v>29</x:v>
      </x:c>
      <x:c r="T1878" s="24" t="str">
        <x:v>tabela_zeiss.pdf</x:v>
      </x:c>
      <x:c r="U1878" s="24" t="str">
        <x:v>ZEISS|Visão Simples Especial|Surfaçada|Sport|PhotoFusion X|1.6|1.60|DuraVision Chrome UV|-4.00 a +4.00|-4.00|85|3.00|||29</x:v>
      </x:c>
    </x:row>
    <x:row r="1879">
      <x:c r="A1879" s="24" t="str">
        <x:v>ZS-91834CD08F70</x:v>
      </x:c>
      <x:c r="B1879" s="24" t="str">
        <x:v>ZEISS</x:v>
      </x:c>
      <x:c r="C1879" s="24" t="str">
        <x:v>Visão Simples Especial</x:v>
      </x:c>
      <x:c r="D1879" s="24" t="str">
        <x:v>Surfaçada</x:v>
      </x:c>
      <x:c r="E1879" s="24" t="str">
        <x:v>Sport</x:v>
      </x:c>
      <x:c r="F1879" s="24" t="str">
        <x:v>PhotoFusion X Extra Dark Cinza</x:v>
      </x:c>
      <x:c r="G1879" s="24" t="str">
        <x:v>1.5</x:v>
      </x:c>
      <x:c r="H1879" s="24" t="str">
        <x:v>1.50</x:v>
      </x:c>
      <x:c r="I1879" s="24" t="str">
        <x:v>DuraVision Gold UV</x:v>
      </x:c>
      <x:c r="J1879" s="40" t="n">
        <x:v>3980</x:v>
      </x:c>
      <x:c r="K1879" s="24" t="str">
        <x:v>-4.00 a +4.00</x:v>
      </x:c>
      <x:c r="L1879" s="24" t="str">
        <x:v>-4.00</x:v>
      </x:c>
      <x:c r="M1879" s="24" t="str">
        <x:v>85</x:v>
      </x:c>
      <x:c r="N1879" s="24" t="str">
        <x:v>3.00</x:v>
      </x:c>
      <x:c r="O1879" s="24"/>
      <x:c r="P1879" s="24"/>
      <x:c r="Q1879" s="24" t="str">
        <x:v>DISPONÍVEL</x:v>
      </x:c>
      <x:c r="R1879" s="24" t="str">
        <x:v>Programa de Parcerias ZEISS</x:v>
      </x:c>
      <x:c r="S1879" s="24" t="n">
        <x:v>29</x:v>
      </x:c>
      <x:c r="T1879" s="24" t="str">
        <x:v>tabela_zeiss.pdf</x:v>
      </x:c>
      <x:c r="U1879" s="24" t="str">
        <x:v>ZEISS|Visão Simples Especial|Surfaçada|Sport|PhotoFusion X Extra Dark Cinza|1.5|1.50|DuraVision Gold UV|-4.00 a +4.00|-4.00|85|3.00|||29</x:v>
      </x:c>
    </x:row>
    <x:row r="1880">
      <x:c r="A1880" s="24" t="str">
        <x:v>ZS-9D76ED18CA64</x:v>
      </x:c>
      <x:c r="B1880" s="24" t="str">
        <x:v>ZEISS</x:v>
      </x:c>
      <x:c r="C1880" s="24" t="str">
        <x:v>Visão Simples Especial</x:v>
      </x:c>
      <x:c r="D1880" s="24" t="str">
        <x:v>Surfaçada</x:v>
      </x:c>
      <x:c r="E1880" s="24" t="str">
        <x:v>Sport</x:v>
      </x:c>
      <x:c r="F1880" s="24" t="str">
        <x:v>PhotoFusion X Extra Dark Cinza</x:v>
      </x:c>
      <x:c r="G1880" s="24" t="str">
        <x:v>1.5</x:v>
      </x:c>
      <x:c r="H1880" s="24" t="str">
        <x:v>1.50</x:v>
      </x:c>
      <x:c r="I1880" s="24" t="str">
        <x:v>DURAVISION® ANTIVÍRUS PLATINUM UV</x:v>
      </x:c>
      <x:c r="J1880" s="40" t="n">
        <x:v>3840</x:v>
      </x:c>
      <x:c r="K1880" s="24" t="str">
        <x:v>-4.00 a +4.00</x:v>
      </x:c>
      <x:c r="L1880" s="24" t="str">
        <x:v>-4.00</x:v>
      </x:c>
      <x:c r="M1880" s="24" t="str">
        <x:v>85</x:v>
      </x:c>
      <x:c r="N1880" s="24" t="str">
        <x:v>3.00</x:v>
      </x:c>
      <x:c r="O1880" s="24"/>
      <x:c r="P1880" s="24"/>
      <x:c r="Q1880" s="24" t="str">
        <x:v>DISPONÍVEL</x:v>
      </x:c>
      <x:c r="R1880" s="24" t="str">
        <x:v>Programa de Parcerias ZEISS</x:v>
      </x:c>
      <x:c r="S1880" s="24" t="n">
        <x:v>29</x:v>
      </x:c>
      <x:c r="T1880" s="24" t="str">
        <x:v>tabela_zeiss.pdf</x:v>
      </x:c>
      <x:c r="U1880" s="24" t="str">
        <x:v>ZEISS|Visão Simples Especial|Surfaçada|Sport|PhotoFusion X Extra Dark Cinza|1.5|1.50|DURAVISION® ANTIVÍRUS PLATINUM UV|-4.00 a +4.00|-4.00|85|3.00|||29</x:v>
      </x:c>
    </x:row>
    <x:row r="1881">
      <x:c r="A1881" s="24" t="str">
        <x:v>ZS-6281FB22BB0E</x:v>
      </x:c>
      <x:c r="B1881" s="24" t="str">
        <x:v>ZEISS</x:v>
      </x:c>
      <x:c r="C1881" s="24" t="str">
        <x:v>Visão Simples Especial</x:v>
      </x:c>
      <x:c r="D1881" s="24" t="str">
        <x:v>Surfaçada</x:v>
      </x:c>
      <x:c r="E1881" s="24" t="str">
        <x:v>Sport</x:v>
      </x:c>
      <x:c r="F1881" s="24" t="str">
        <x:v>PhotoFusion X Extra Dark Cinza</x:v>
      </x:c>
      <x:c r="G1881" s="24" t="str">
        <x:v>1.5</x:v>
      </x:c>
      <x:c r="H1881" s="24" t="str">
        <x:v>1.50</x:v>
      </x:c>
      <x:c r="I1881" s="24" t="str">
        <x:v>DuraVision Platinum UV</x:v>
      </x:c>
      <x:c r="J1881" s="40" t="n">
        <x:v>3840</x:v>
      </x:c>
      <x:c r="K1881" s="24" t="str">
        <x:v>-4.00 a +4.00</x:v>
      </x:c>
      <x:c r="L1881" s="24" t="str">
        <x:v>-4.00</x:v>
      </x:c>
      <x:c r="M1881" s="24" t="str">
        <x:v>85</x:v>
      </x:c>
      <x:c r="N1881" s="24" t="str">
        <x:v>3.00</x:v>
      </x:c>
      <x:c r="O1881" s="24"/>
      <x:c r="P1881" s="24"/>
      <x:c r="Q1881" s="24" t="str">
        <x:v>DISPONÍVEL</x:v>
      </x:c>
      <x:c r="R1881" s="24" t="str">
        <x:v>Programa de Parcerias ZEISS</x:v>
      </x:c>
      <x:c r="S1881" s="24" t="n">
        <x:v>29</x:v>
      </x:c>
      <x:c r="T1881" s="24" t="str">
        <x:v>tabela_zeiss.pdf</x:v>
      </x:c>
      <x:c r="U1881" s="24" t="str">
        <x:v>ZEISS|Visão Simples Especial|Surfaçada|Sport|PhotoFusion X Extra Dark Cinza|1.5|1.50|DuraVision Platinum UV|-4.00 a +4.00|-4.00|85|3.00|||29</x:v>
      </x:c>
    </x:row>
    <x:row r="1882">
      <x:c r="A1882" s="24" t="str">
        <x:v>ZS-8AF60391A9A1</x:v>
      </x:c>
      <x:c r="B1882" s="24" t="str">
        <x:v>ZEISS</x:v>
      </x:c>
      <x:c r="C1882" s="24" t="str">
        <x:v>Visão Simples Especial</x:v>
      </x:c>
      <x:c r="D1882" s="24" t="str">
        <x:v>Surfaçada</x:v>
      </x:c>
      <x:c r="E1882" s="24" t="str">
        <x:v>Sport</x:v>
      </x:c>
      <x:c r="F1882" s="24" t="str">
        <x:v>PhotoFusion X Extra Dark Cinza</x:v>
      </x:c>
      <x:c r="G1882" s="24" t="str">
        <x:v>1.5</x:v>
      </x:c>
      <x:c r="H1882" s="24" t="str">
        <x:v>1.50</x:v>
      </x:c>
      <x:c r="I1882" s="24" t="str">
        <x:v>DuraVision Silver UV</x:v>
      </x:c>
      <x:c r="J1882" s="40" t="n">
        <x:v>3580</x:v>
      </x:c>
      <x:c r="K1882" s="24" t="str">
        <x:v>-4.00 a +4.00</x:v>
      </x:c>
      <x:c r="L1882" s="24" t="str">
        <x:v>-4.00</x:v>
      </x:c>
      <x:c r="M1882" s="24" t="str">
        <x:v>85</x:v>
      </x:c>
      <x:c r="N1882" s="24" t="str">
        <x:v>3.00</x:v>
      </x:c>
      <x:c r="O1882" s="24"/>
      <x:c r="P1882" s="24"/>
      <x:c r="Q1882" s="24" t="str">
        <x:v>DISPONÍVEL</x:v>
      </x:c>
      <x:c r="R1882" s="24" t="str">
        <x:v>Programa de Parcerias ZEISS</x:v>
      </x:c>
      <x:c r="S1882" s="24" t="n">
        <x:v>29</x:v>
      </x:c>
      <x:c r="T1882" s="24" t="str">
        <x:v>tabela_zeiss.pdf</x:v>
      </x:c>
      <x:c r="U1882" s="24" t="str">
        <x:v>ZEISS|Visão Simples Especial|Surfaçada|Sport|PhotoFusion X Extra Dark Cinza|1.5|1.50|DuraVision Silver UV|-4.00 a +4.00|-4.00|85|3.00|||29</x:v>
      </x:c>
    </x:row>
    <x:row r="1883">
      <x:c r="A1883" s="24" t="str">
        <x:v>ZS-A7FABF64D8C6</x:v>
      </x:c>
      <x:c r="B1883" s="24" t="str">
        <x:v>ZEISS</x:v>
      </x:c>
      <x:c r="C1883" s="24" t="str">
        <x:v>Visão Simples Especial</x:v>
      </x:c>
      <x:c r="D1883" s="24" t="str">
        <x:v>Surfaçada</x:v>
      </x:c>
      <x:c r="E1883" s="24" t="str">
        <x:v>Sport</x:v>
      </x:c>
      <x:c r="F1883" s="24" t="str">
        <x:v>PhotoFusion X Extra Dark Cinza</x:v>
      </x:c>
      <x:c r="G1883" s="24" t="str">
        <x:v>1.5</x:v>
      </x:c>
      <x:c r="H1883" s="24" t="str">
        <x:v>1.50</x:v>
      </x:c>
      <x:c r="I1883" s="24" t="str">
        <x:v>DuraVision Chrome UV</x:v>
      </x:c>
      <x:c r="J1883" s="40" t="n">
        <x:v>3090</x:v>
      </x:c>
      <x:c r="K1883" s="24" t="str">
        <x:v>-4.00 a +4.00</x:v>
      </x:c>
      <x:c r="L1883" s="24" t="str">
        <x:v>-4.00</x:v>
      </x:c>
      <x:c r="M1883" s="24" t="str">
        <x:v>85</x:v>
      </x:c>
      <x:c r="N1883" s="24" t="str">
        <x:v>3.00</x:v>
      </x:c>
      <x:c r="O1883" s="24"/>
      <x:c r="P1883" s="24"/>
      <x:c r="Q1883" s="24" t="str">
        <x:v>DISPONÍVEL</x:v>
      </x:c>
      <x:c r="R1883" s="24" t="str">
        <x:v>Programa de Parcerias ZEISS</x:v>
      </x:c>
      <x:c r="S1883" s="24" t="n">
        <x:v>29</x:v>
      </x:c>
      <x:c r="T1883" s="24" t="str">
        <x:v>tabela_zeiss.pdf</x:v>
      </x:c>
      <x:c r="U1883" s="24" t="str">
        <x:v>ZEISS|Visão Simples Especial|Surfaçada|Sport|PhotoFusion X Extra Dark Cinza|1.5|1.50|DuraVision Chrome UV|-4.00 a +4.00|-4.00|85|3.00|||29</x:v>
      </x:c>
    </x:row>
    <x:row r="1884">
      <x:c r="A1884" s="24" t="str">
        <x:v>ZS-8D65144CE842</x:v>
      </x:c>
      <x:c r="B1884" s="24" t="str">
        <x:v>ZEISS</x:v>
      </x:c>
      <x:c r="C1884" s="24" t="str">
        <x:v>Visão Simples Especial</x:v>
      </x:c>
      <x:c r="D1884" s="24" t="str">
        <x:v>Surfaçada</x:v>
      </x:c>
      <x:c r="E1884" s="24" t="str">
        <x:v>Sport</x:v>
      </x:c>
      <x:c r="F1884" s="24" t="str">
        <x:v>PhotoFusion X Extra Dark Cinza</x:v>
      </x:c>
      <x:c r="G1884" s="24" t="str">
        <x:v>Poli</x:v>
      </x:c>
      <x:c r="H1884" s="24"/>
      <x:c r="I1884" s="24" t="str">
        <x:v>DuraVision Platinum UV</x:v>
      </x:c>
      <x:c r="J1884" s="40" t="n">
        <x:v>4200</x:v>
      </x:c>
      <x:c r="K1884" s="24" t="str">
        <x:v>-4.00 a +4.00</x:v>
      </x:c>
      <x:c r="L1884" s="24" t="str">
        <x:v>-4.00</x:v>
      </x:c>
      <x:c r="M1884" s="24" t="str">
        <x:v>80</x:v>
      </x:c>
      <x:c r="N1884" s="24" t="str">
        <x:v>3.00</x:v>
      </x:c>
      <x:c r="O1884" s="24"/>
      <x:c r="P1884" s="24"/>
      <x:c r="Q1884" s="24" t="str">
        <x:v>DISPONÍVEL</x:v>
      </x:c>
      <x:c r="R1884" s="24" t="str">
        <x:v>Programa de Parcerias ZEISS</x:v>
      </x:c>
      <x:c r="S1884" s="24" t="n">
        <x:v>29</x:v>
      </x:c>
      <x:c r="T1884" s="24" t="str">
        <x:v>tabela_zeiss.pdf</x:v>
      </x:c>
      <x:c r="U1884" s="24" t="str">
        <x:v>ZEISS|Visão Simples Especial|Surfaçada|Sport|PhotoFusion X Extra Dark Cinza|Poli||DuraVision Platinum UV|-4.00 a +4.00|-4.00|80|3.00|||29</x:v>
      </x:c>
    </x:row>
    <x:row r="1885">
      <x:c r="A1885" s="24" t="str">
        <x:v>ZS-AF5E32F651C8</x:v>
      </x:c>
      <x:c r="B1885" s="24" t="str">
        <x:v>ZEISS</x:v>
      </x:c>
      <x:c r="C1885" s="24" t="str">
        <x:v>Visão Simples Especial</x:v>
      </x:c>
      <x:c r="D1885" s="24" t="str">
        <x:v>Surfaçada</x:v>
      </x:c>
      <x:c r="E1885" s="24" t="str">
        <x:v>Sport</x:v>
      </x:c>
      <x:c r="F1885" s="24" t="str">
        <x:v>PhotoFusion X Extra Dark Cinza</x:v>
      </x:c>
      <x:c r="G1885" s="24" t="str">
        <x:v>Poli</x:v>
      </x:c>
      <x:c r="H1885" s="24"/>
      <x:c r="I1885" s="24" t="str">
        <x:v>DuraVision Silver UV</x:v>
      </x:c>
      <x:c r="J1885" s="40" t="n">
        <x:v>3940</x:v>
      </x:c>
      <x:c r="K1885" s="24" t="str">
        <x:v>-4.00 a +4.00</x:v>
      </x:c>
      <x:c r="L1885" s="24" t="str">
        <x:v>-4.00</x:v>
      </x:c>
      <x:c r="M1885" s="24" t="str">
        <x:v>80</x:v>
      </x:c>
      <x:c r="N1885" s="24" t="str">
        <x:v>3.00</x:v>
      </x:c>
      <x:c r="O1885" s="24"/>
      <x:c r="P1885" s="24"/>
      <x:c r="Q1885" s="24" t="str">
        <x:v>DISPONÍVEL</x:v>
      </x:c>
      <x:c r="R1885" s="24" t="str">
        <x:v>Programa de Parcerias ZEISS</x:v>
      </x:c>
      <x:c r="S1885" s="24" t="n">
        <x:v>29</x:v>
      </x:c>
      <x:c r="T1885" s="24" t="str">
        <x:v>tabela_zeiss.pdf</x:v>
      </x:c>
      <x:c r="U1885" s="24" t="str">
        <x:v>ZEISS|Visão Simples Especial|Surfaçada|Sport|PhotoFusion X Extra Dark Cinza|Poli||DuraVision Silver UV|-4.00 a +4.00|-4.00|80|3.00|||29</x:v>
      </x:c>
    </x:row>
    <x:row r="1886">
      <x:c r="A1886" s="24" t="str">
        <x:v>ZS-1FD5B89FCFC1</x:v>
      </x:c>
      <x:c r="B1886" s="24" t="str">
        <x:v>ZEISS</x:v>
      </x:c>
      <x:c r="C1886" s="24" t="str">
        <x:v>Visão Simples Especial</x:v>
      </x:c>
      <x:c r="D1886" s="24" t="str">
        <x:v>Surfaçada</x:v>
      </x:c>
      <x:c r="E1886" s="24" t="str">
        <x:v>Sport</x:v>
      </x:c>
      <x:c r="F1886" s="24" t="str">
        <x:v>PhotoFusion X Extra Dark Cinza</x:v>
      </x:c>
      <x:c r="G1886" s="24" t="str">
        <x:v>Poli</x:v>
      </x:c>
      <x:c r="H1886" s="24"/>
      <x:c r="I1886" s="24" t="str">
        <x:v>DuraVision Chrome UV</x:v>
      </x:c>
      <x:c r="J1886" s="40" t="n">
        <x:v>3450</x:v>
      </x:c>
      <x:c r="K1886" s="24" t="str">
        <x:v>-4.00 a +4.00</x:v>
      </x:c>
      <x:c r="L1886" s="24" t="str">
        <x:v>-4.00</x:v>
      </x:c>
      <x:c r="M1886" s="24" t="str">
        <x:v>80</x:v>
      </x:c>
      <x:c r="N1886" s="24" t="str">
        <x:v>3.00</x:v>
      </x:c>
      <x:c r="O1886" s="24"/>
      <x:c r="P1886" s="24"/>
      <x:c r="Q1886" s="24" t="str">
        <x:v>DISPONÍVEL</x:v>
      </x:c>
      <x:c r="R1886" s="24" t="str">
        <x:v>Programa de Parcerias ZEISS</x:v>
      </x:c>
      <x:c r="S1886" s="24" t="n">
        <x:v>29</x:v>
      </x:c>
      <x:c r="T1886" s="24" t="str">
        <x:v>tabela_zeiss.pdf</x:v>
      </x:c>
      <x:c r="U1886" s="24" t="str">
        <x:v>ZEISS|Visão Simples Especial|Surfaçada|Sport|PhotoFusion X Extra Dark Cinza|Poli||DuraVision Chrome UV|-4.00 a +4.00|-4.00|80|3.00|||29</x:v>
      </x:c>
    </x:row>
    <x:row r="1887">
      <x:c r="A1887" s="24" t="str">
        <x:v>ZS-55632877CE34</x:v>
      </x:c>
      <x:c r="B1887" s="24" t="str">
        <x:v>ZEISS</x:v>
      </x:c>
      <x:c r="C1887" s="24" t="str">
        <x:v>Visão Simples Especial</x:v>
      </x:c>
      <x:c r="D1887" s="24" t="str">
        <x:v>Surfaçada</x:v>
      </x:c>
      <x:c r="E1887" s="24" t="str">
        <x:v>Sport</x:v>
      </x:c>
      <x:c r="F1887" s="24" t="str">
        <x:v>PhotoFusion X Extra Dark Cinza</x:v>
      </x:c>
      <x:c r="G1887" s="24" t="str">
        <x:v>1.6</x:v>
      </x:c>
      <x:c r="H1887" s="24" t="str">
        <x:v>1.60</x:v>
      </x:c>
      <x:c r="I1887" s="24" t="str">
        <x:v>DuraVision Gold UV</x:v>
      </x:c>
      <x:c r="J1887" s="40" t="n">
        <x:v>4560</x:v>
      </x:c>
      <x:c r="K1887" s="24" t="str">
        <x:v>-4.00 a +4.00</x:v>
      </x:c>
      <x:c r="L1887" s="24" t="str">
        <x:v>-4.00</x:v>
      </x:c>
      <x:c r="M1887" s="24" t="str">
        <x:v>85</x:v>
      </x:c>
      <x:c r="N1887" s="24" t="str">
        <x:v>3.00</x:v>
      </x:c>
      <x:c r="O1887" s="24"/>
      <x:c r="P1887" s="24"/>
      <x:c r="Q1887" s="24" t="str">
        <x:v>DISPONÍVEL</x:v>
      </x:c>
      <x:c r="R1887" s="24" t="str">
        <x:v>Programa de Parcerias ZEISS</x:v>
      </x:c>
      <x:c r="S1887" s="24" t="n">
        <x:v>29</x:v>
      </x:c>
      <x:c r="T1887" s="24" t="str">
        <x:v>tabela_zeiss.pdf</x:v>
      </x:c>
      <x:c r="U1887" s="24" t="str">
        <x:v>ZEISS|Visão Simples Especial|Surfaçada|Sport|PhotoFusion X Extra Dark Cinza|1.6|1.60|DuraVision Gold UV|-4.00 a +4.00|-4.00|85|3.00|||29</x:v>
      </x:c>
    </x:row>
    <x:row r="1888">
      <x:c r="A1888" s="24" t="str">
        <x:v>ZS-4200191A3B1F</x:v>
      </x:c>
      <x:c r="B1888" s="24" t="str">
        <x:v>ZEISS</x:v>
      </x:c>
      <x:c r="C1888" s="24" t="str">
        <x:v>Visão Simples Especial</x:v>
      </x:c>
      <x:c r="D1888" s="24" t="str">
        <x:v>Surfaçada</x:v>
      </x:c>
      <x:c r="E1888" s="24" t="str">
        <x:v>Sport</x:v>
      </x:c>
      <x:c r="F1888" s="24" t="str">
        <x:v>PhotoFusion X Extra Dark Cinza</x:v>
      </x:c>
      <x:c r="G1888" s="24" t="str">
        <x:v>1.6</x:v>
      </x:c>
      <x:c r="H1888" s="24" t="str">
        <x:v>1.60</x:v>
      </x:c>
      <x:c r="I1888" s="24" t="str">
        <x:v>DURAVISION® ANTIVÍRUS PLATINUM UV</x:v>
      </x:c>
      <x:c r="J1888" s="40" t="n">
        <x:v>4420</x:v>
      </x:c>
      <x:c r="K1888" s="24" t="str">
        <x:v>-4.00 a +4.00</x:v>
      </x:c>
      <x:c r="L1888" s="24" t="str">
        <x:v>-4.00</x:v>
      </x:c>
      <x:c r="M1888" s="24" t="str">
        <x:v>85</x:v>
      </x:c>
      <x:c r="N1888" s="24" t="str">
        <x:v>3.00</x:v>
      </x:c>
      <x:c r="O1888" s="24"/>
      <x:c r="P1888" s="24"/>
      <x:c r="Q1888" s="24" t="str">
        <x:v>DISPONÍVEL</x:v>
      </x:c>
      <x:c r="R1888" s="24" t="str">
        <x:v>Programa de Parcerias ZEISS</x:v>
      </x:c>
      <x:c r="S1888" s="24" t="n">
        <x:v>29</x:v>
      </x:c>
      <x:c r="T1888" s="24" t="str">
        <x:v>tabela_zeiss.pdf</x:v>
      </x:c>
      <x:c r="U1888" s="24" t="str">
        <x:v>ZEISS|Visão Simples Especial|Surfaçada|Sport|PhotoFusion X Extra Dark Cinza|1.6|1.60|DURAVISION® ANTIVÍRUS PLATINUM UV|-4.00 a +4.00|-4.00|85|3.00|||29</x:v>
      </x:c>
    </x:row>
    <x:row r="1889">
      <x:c r="A1889" s="24" t="str">
        <x:v>ZS-68C97ED1C0E4</x:v>
      </x:c>
      <x:c r="B1889" s="24" t="str">
        <x:v>ZEISS</x:v>
      </x:c>
      <x:c r="C1889" s="24" t="str">
        <x:v>Visão Simples Especial</x:v>
      </x:c>
      <x:c r="D1889" s="24" t="str">
        <x:v>Surfaçada</x:v>
      </x:c>
      <x:c r="E1889" s="24" t="str">
        <x:v>Sport</x:v>
      </x:c>
      <x:c r="F1889" s="24" t="str">
        <x:v>PhotoFusion X Extra Dark Cinza</x:v>
      </x:c>
      <x:c r="G1889" s="24" t="str">
        <x:v>1.6</x:v>
      </x:c>
      <x:c r="H1889" s="24" t="str">
        <x:v>1.60</x:v>
      </x:c>
      <x:c r="I1889" s="24" t="str">
        <x:v>DuraVision Platinum UV</x:v>
      </x:c>
      <x:c r="J1889" s="40" t="n">
        <x:v>4420</x:v>
      </x:c>
      <x:c r="K1889" s="24" t="str">
        <x:v>-4.00 a +4.00</x:v>
      </x:c>
      <x:c r="L1889" s="24" t="str">
        <x:v>-4.00</x:v>
      </x:c>
      <x:c r="M1889" s="24" t="str">
        <x:v>85</x:v>
      </x:c>
      <x:c r="N1889" s="24" t="str">
        <x:v>3.00</x:v>
      </x:c>
      <x:c r="O1889" s="24"/>
      <x:c r="P1889" s="24"/>
      <x:c r="Q1889" s="24" t="str">
        <x:v>DISPONÍVEL</x:v>
      </x:c>
      <x:c r="R1889" s="24" t="str">
        <x:v>Programa de Parcerias ZEISS</x:v>
      </x:c>
      <x:c r="S1889" s="24" t="n">
        <x:v>29</x:v>
      </x:c>
      <x:c r="T1889" s="24" t="str">
        <x:v>tabela_zeiss.pdf</x:v>
      </x:c>
      <x:c r="U1889" s="24" t="str">
        <x:v>ZEISS|Visão Simples Especial|Surfaçada|Sport|PhotoFusion X Extra Dark Cinza|1.6|1.60|DuraVision Platinum UV|-4.00 a +4.00|-4.00|85|3.00|||29</x:v>
      </x:c>
    </x:row>
    <x:row r="1890">
      <x:c r="A1890" s="24" t="str">
        <x:v>ZS-C84A40D9B6B3</x:v>
      </x:c>
      <x:c r="B1890" s="24" t="str">
        <x:v>ZEISS</x:v>
      </x:c>
      <x:c r="C1890" s="24" t="str">
        <x:v>Visão Simples Especial</x:v>
      </x:c>
      <x:c r="D1890" s="24" t="str">
        <x:v>Surfaçada</x:v>
      </x:c>
      <x:c r="E1890" s="24" t="str">
        <x:v>Sport</x:v>
      </x:c>
      <x:c r="F1890" s="24" t="str">
        <x:v>PhotoFusion X Extra Dark Cinza</x:v>
      </x:c>
      <x:c r="G1890" s="24" t="str">
        <x:v>1.6</x:v>
      </x:c>
      <x:c r="H1890" s="24" t="str">
        <x:v>1.60</x:v>
      </x:c>
      <x:c r="I1890" s="24" t="str">
        <x:v>DuraVision Silver UV</x:v>
      </x:c>
      <x:c r="J1890" s="40" t="n">
        <x:v>4160</x:v>
      </x:c>
      <x:c r="K1890" s="24" t="str">
        <x:v>-4.00 a +4.00</x:v>
      </x:c>
      <x:c r="L1890" s="24" t="str">
        <x:v>-4.00</x:v>
      </x:c>
      <x:c r="M1890" s="24" t="str">
        <x:v>85</x:v>
      </x:c>
      <x:c r="N1890" s="24" t="str">
        <x:v>3.00</x:v>
      </x:c>
      <x:c r="O1890" s="24"/>
      <x:c r="P1890" s="24"/>
      <x:c r="Q1890" s="24" t="str">
        <x:v>DISPONÍVEL</x:v>
      </x:c>
      <x:c r="R1890" s="24" t="str">
        <x:v>Programa de Parcerias ZEISS</x:v>
      </x:c>
      <x:c r="S1890" s="24" t="n">
        <x:v>29</x:v>
      </x:c>
      <x:c r="T1890" s="24" t="str">
        <x:v>tabela_zeiss.pdf</x:v>
      </x:c>
      <x:c r="U1890" s="24" t="str">
        <x:v>ZEISS|Visão Simples Especial|Surfaçada|Sport|PhotoFusion X Extra Dark Cinza|1.6|1.60|DuraVision Silver UV|-4.00 a +4.00|-4.00|85|3.00|||29</x:v>
      </x:c>
    </x:row>
    <x:row r="1891">
      <x:c r="A1891" s="24" t="str">
        <x:v>ZS-02837BA91A5D</x:v>
      </x:c>
      <x:c r="B1891" s="24" t="str">
        <x:v>ZEISS</x:v>
      </x:c>
      <x:c r="C1891" s="24" t="str">
        <x:v>Visão Simples Especial</x:v>
      </x:c>
      <x:c r="D1891" s="24" t="str">
        <x:v>Surfaçada</x:v>
      </x:c>
      <x:c r="E1891" s="24" t="str">
        <x:v>Sport</x:v>
      </x:c>
      <x:c r="F1891" s="24" t="str">
        <x:v>PhotoFusion X Extra Dark Cinza</x:v>
      </x:c>
      <x:c r="G1891" s="24" t="str">
        <x:v>1.6</x:v>
      </x:c>
      <x:c r="H1891" s="24" t="str">
        <x:v>1.60</x:v>
      </x:c>
      <x:c r="I1891" s="24" t="str">
        <x:v>DuraVision Chrome UV</x:v>
      </x:c>
      <x:c r="J1891" s="40" t="n">
        <x:v>3670</x:v>
      </x:c>
      <x:c r="K1891" s="24" t="str">
        <x:v>-4.00 a +4.00</x:v>
      </x:c>
      <x:c r="L1891" s="24" t="str">
        <x:v>-4.00</x:v>
      </x:c>
      <x:c r="M1891" s="24" t="str">
        <x:v>85</x:v>
      </x:c>
      <x:c r="N1891" s="24" t="str">
        <x:v>3.00</x:v>
      </x:c>
      <x:c r="O1891" s="24"/>
      <x:c r="P1891" s="24"/>
      <x:c r="Q1891" s="24" t="str">
        <x:v>DISPONÍVEL</x:v>
      </x:c>
      <x:c r="R1891" s="24" t="str">
        <x:v>Programa de Parcerias ZEISS</x:v>
      </x:c>
      <x:c r="S1891" s="24" t="n">
        <x:v>29</x:v>
      </x:c>
      <x:c r="T1891" s="24" t="str">
        <x:v>tabela_zeiss.pdf</x:v>
      </x:c>
      <x:c r="U1891" s="24" t="str">
        <x:v>ZEISS|Visão Simples Especial|Surfaçada|Sport|PhotoFusion X Extra Dark Cinza|1.6|1.60|DuraVision Chrome UV|-4.00 a +4.00|-4.00|85|3.00|||29</x:v>
      </x:c>
    </x:row>
    <x:row r="1892">
      <x:c r="A1892" s="24" t="str">
        <x:v>ZS-40804EBE5467</x:v>
      </x:c>
      <x:c r="B1892" s="24" t="str">
        <x:v>ZEISS</x:v>
      </x:c>
      <x:c r="C1892" s="24" t="str">
        <x:v>Visão Simples Especial</x:v>
      </x:c>
      <x:c r="D1892" s="24" t="str">
        <x:v>Surfaçada</x:v>
      </x:c>
      <x:c r="E1892" s="24" t="str">
        <x:v>Sport</x:v>
      </x:c>
      <x:c r="F1892" s="24" t="str">
        <x:v>Polarizada</x:v>
      </x:c>
      <x:c r="G1892" s="24" t="str">
        <x:v>1.5</x:v>
      </x:c>
      <x:c r="H1892" s="24" t="str">
        <x:v>1.50</x:v>
      </x:c>
      <x:c r="I1892" s="24" t="str">
        <x:v>DuraVision Gold UV</x:v>
      </x:c>
      <x:c r="J1892" s="40" t="n">
        <x:v>3350</x:v>
      </x:c>
      <x:c r="K1892" s="24" t="str">
        <x:v>-4.00 a +4.00</x:v>
      </x:c>
      <x:c r="L1892" s="24" t="str">
        <x:v>-4.00</x:v>
      </x:c>
      <x:c r="M1892" s="24" t="str">
        <x:v>85</x:v>
      </x:c>
      <x:c r="N1892" s="24" t="str">
        <x:v>3.00</x:v>
      </x:c>
      <x:c r="O1892" s="24"/>
      <x:c r="P1892" s="24"/>
      <x:c r="Q1892" s="24" t="str">
        <x:v>DISPONÍVEL</x:v>
      </x:c>
      <x:c r="R1892" s="24"/>
      <x:c r="S1892" s="24" t="n">
        <x:v>29</x:v>
      </x:c>
      <x:c r="T1892" s="24" t="str">
        <x:v>tabela_zeiss.pdf</x:v>
      </x:c>
      <x:c r="U1892" s="24" t="str">
        <x:v>ZEISS|Visão Simples Especial|Surfaçada|Sport|Polarizada|1.5|1.50|DuraVision Gold UV|-4.00 a +4.00|-4.00|85|3.00|||29</x:v>
      </x:c>
    </x:row>
    <x:row r="1893">
      <x:c r="A1893" s="24" t="str">
        <x:v>ZS-3048421DE054</x:v>
      </x:c>
      <x:c r="B1893" s="24" t="str">
        <x:v>ZEISS</x:v>
      </x:c>
      <x:c r="C1893" s="24" t="str">
        <x:v>Visão Simples Especial</x:v>
      </x:c>
      <x:c r="D1893" s="24" t="str">
        <x:v>Surfaçada</x:v>
      </x:c>
      <x:c r="E1893" s="24" t="str">
        <x:v>Sport</x:v>
      </x:c>
      <x:c r="F1893" s="24" t="str">
        <x:v>Polarizada</x:v>
      </x:c>
      <x:c r="G1893" s="24" t="str">
        <x:v>1.5</x:v>
      </x:c>
      <x:c r="H1893" s="24" t="str">
        <x:v>1.50</x:v>
      </x:c>
      <x:c r="I1893" s="24" t="str">
        <x:v>DuraVision Platinum UV</x:v>
      </x:c>
      <x:c r="J1893" s="40" t="n">
        <x:v>3210</x:v>
      </x:c>
      <x:c r="K1893" s="24" t="str">
        <x:v>-4.00 a +4.00</x:v>
      </x:c>
      <x:c r="L1893" s="24" t="str">
        <x:v>-4.00</x:v>
      </x:c>
      <x:c r="M1893" s="24" t="str">
        <x:v>85</x:v>
      </x:c>
      <x:c r="N1893" s="24" t="str">
        <x:v>3.00</x:v>
      </x:c>
      <x:c r="O1893" s="24"/>
      <x:c r="P1893" s="24"/>
      <x:c r="Q1893" s="24" t="str">
        <x:v>DISPONÍVEL</x:v>
      </x:c>
      <x:c r="R1893" s="24"/>
      <x:c r="S1893" s="24" t="n">
        <x:v>29</x:v>
      </x:c>
      <x:c r="T1893" s="24" t="str">
        <x:v>tabela_zeiss.pdf</x:v>
      </x:c>
      <x:c r="U1893" s="24" t="str">
        <x:v>ZEISS|Visão Simples Especial|Surfaçada|Sport|Polarizada|1.5|1.50|DuraVision Platinum UV|-4.00 a +4.00|-4.00|85|3.00|||29</x:v>
      </x:c>
    </x:row>
    <x:row r="1894">
      <x:c r="A1894" s="24" t="str">
        <x:v>ZS-B37E29F02295</x:v>
      </x:c>
      <x:c r="B1894" s="24" t="str">
        <x:v>ZEISS</x:v>
      </x:c>
      <x:c r="C1894" s="24" t="str">
        <x:v>Visão Simples Especial</x:v>
      </x:c>
      <x:c r="D1894" s="24" t="str">
        <x:v>Surfaçada</x:v>
      </x:c>
      <x:c r="E1894" s="24" t="str">
        <x:v>Sport</x:v>
      </x:c>
      <x:c r="F1894" s="24" t="str">
        <x:v>Polarizada</x:v>
      </x:c>
      <x:c r="G1894" s="24" t="str">
        <x:v>1.5</x:v>
      </x:c>
      <x:c r="H1894" s="24" t="str">
        <x:v>1.50</x:v>
      </x:c>
      <x:c r="I1894" s="24" t="str">
        <x:v>DuraVision Silver UV</x:v>
      </x:c>
      <x:c r="J1894" s="40" t="n">
        <x:v>2950</x:v>
      </x:c>
      <x:c r="K1894" s="24" t="str">
        <x:v>-4.00 a +4.00</x:v>
      </x:c>
      <x:c r="L1894" s="24" t="str">
        <x:v>-4.00</x:v>
      </x:c>
      <x:c r="M1894" s="24" t="str">
        <x:v>85</x:v>
      </x:c>
      <x:c r="N1894" s="24" t="str">
        <x:v>3.00</x:v>
      </x:c>
      <x:c r="O1894" s="24"/>
      <x:c r="P1894" s="24"/>
      <x:c r="Q1894" s="24" t="str">
        <x:v>DISPONÍVEL</x:v>
      </x:c>
      <x:c r="R1894" s="24"/>
      <x:c r="S1894" s="24" t="n">
        <x:v>29</x:v>
      </x:c>
      <x:c r="T1894" s="24" t="str">
        <x:v>tabela_zeiss.pdf</x:v>
      </x:c>
      <x:c r="U1894" s="24" t="str">
        <x:v>ZEISS|Visão Simples Especial|Surfaçada|Sport|Polarizada|1.5|1.50|DuraVision Silver UV|-4.00 a +4.00|-4.00|85|3.00|||29</x:v>
      </x:c>
    </x:row>
    <x:row r="1895">
      <x:c r="A1895" s="24" t="str">
        <x:v>ZS-794E5D685609</x:v>
      </x:c>
      <x:c r="B1895" s="24" t="str">
        <x:v>ZEISS</x:v>
      </x:c>
      <x:c r="C1895" s="24" t="str">
        <x:v>Visão Simples Especial</x:v>
      </x:c>
      <x:c r="D1895" s="24" t="str">
        <x:v>Surfaçada</x:v>
      </x:c>
      <x:c r="E1895" s="24" t="str">
        <x:v>Sport</x:v>
      </x:c>
      <x:c r="F1895" s="24" t="str">
        <x:v>Polarizada</x:v>
      </x:c>
      <x:c r="G1895" s="24" t="str">
        <x:v>1.5</x:v>
      </x:c>
      <x:c r="H1895" s="24" t="str">
        <x:v>1.50</x:v>
      </x:c>
      <x:c r="I1895" s="24" t="str">
        <x:v>DuraVision Chrome UV</x:v>
      </x:c>
      <x:c r="J1895" s="40" t="n">
        <x:v>2460</x:v>
      </x:c>
      <x:c r="K1895" s="24" t="str">
        <x:v>-4.00 a +4.00</x:v>
      </x:c>
      <x:c r="L1895" s="24" t="str">
        <x:v>-4.00</x:v>
      </x:c>
      <x:c r="M1895" s="24" t="str">
        <x:v>85</x:v>
      </x:c>
      <x:c r="N1895" s="24" t="str">
        <x:v>3.00</x:v>
      </x:c>
      <x:c r="O1895" s="24"/>
      <x:c r="P1895" s="24"/>
      <x:c r="Q1895" s="24" t="str">
        <x:v>DISPONÍVEL</x:v>
      </x:c>
      <x:c r="R1895" s="24"/>
      <x:c r="S1895" s="24" t="n">
        <x:v>29</x:v>
      </x:c>
      <x:c r="T1895" s="24" t="str">
        <x:v>tabela_zeiss.pdf</x:v>
      </x:c>
      <x:c r="U1895" s="24" t="str">
        <x:v>ZEISS|Visão Simples Especial|Surfaçada|Sport|Polarizada|1.5|1.50|DuraVision Chrome UV|-4.00 a +4.00|-4.00|85|3.00|||29</x:v>
      </x:c>
    </x:row>
    <x:row r="1896">
      <x:c r="A1896" s="24" t="str">
        <x:v>ZS-67D942D0900C</x:v>
      </x:c>
      <x:c r="B1896" s="24" t="str">
        <x:v>ZEISS</x:v>
      </x:c>
      <x:c r="C1896" s="24" t="str">
        <x:v>Visão Simples Especial</x:v>
      </x:c>
      <x:c r="D1896" s="24" t="str">
        <x:v>Surfaçada</x:v>
      </x:c>
      <x:c r="E1896" s="24" t="str">
        <x:v>Sport</x:v>
      </x:c>
      <x:c r="F1896" s="24" t="str">
        <x:v>Polarizada</x:v>
      </x:c>
      <x:c r="G1896" s="24" t="str">
        <x:v>1.6</x:v>
      </x:c>
      <x:c r="H1896" s="24" t="str">
        <x:v>1.60</x:v>
      </x:c>
      <x:c r="I1896" s="24" t="str">
        <x:v>DuraVision Gold UV</x:v>
      </x:c>
      <x:c r="J1896" s="40" t="n">
        <x:v>3930</x:v>
      </x:c>
      <x:c r="K1896" s="24" t="str">
        <x:v>-4.00 a +4.00</x:v>
      </x:c>
      <x:c r="L1896" s="24" t="str">
        <x:v>-4.00</x:v>
      </x:c>
      <x:c r="M1896" s="24" t="str">
        <x:v>85</x:v>
      </x:c>
      <x:c r="N1896" s="24" t="str">
        <x:v>3.00</x:v>
      </x:c>
      <x:c r="O1896" s="24"/>
      <x:c r="P1896" s="24"/>
      <x:c r="Q1896" s="24" t="str">
        <x:v>DISPONÍVEL</x:v>
      </x:c>
      <x:c r="R1896" s="24"/>
      <x:c r="S1896" s="24" t="n">
        <x:v>29</x:v>
      </x:c>
      <x:c r="T1896" s="24" t="str">
        <x:v>tabela_zeiss.pdf</x:v>
      </x:c>
      <x:c r="U1896" s="24" t="str">
        <x:v>ZEISS|Visão Simples Especial|Surfaçada|Sport|Polarizada|1.6|1.60|DuraVision Gold UV|-4.00 a +4.00|-4.00|85|3.00|||29</x:v>
      </x:c>
    </x:row>
    <x:row r="1897">
      <x:c r="A1897" s="24" t="str">
        <x:v>ZS-02A4040E11B0</x:v>
      </x:c>
      <x:c r="B1897" s="24" t="str">
        <x:v>ZEISS</x:v>
      </x:c>
      <x:c r="C1897" s="24" t="str">
        <x:v>Visão Simples Especial</x:v>
      </x:c>
      <x:c r="D1897" s="24" t="str">
        <x:v>Surfaçada</x:v>
      </x:c>
      <x:c r="E1897" s="24" t="str">
        <x:v>Sport</x:v>
      </x:c>
      <x:c r="F1897" s="24" t="str">
        <x:v>Polarizada</x:v>
      </x:c>
      <x:c r="G1897" s="24" t="str">
        <x:v>1.6</x:v>
      </x:c>
      <x:c r="H1897" s="24" t="str">
        <x:v>1.60</x:v>
      </x:c>
      <x:c r="I1897" s="24" t="str">
        <x:v>DuraVision Platinum UV</x:v>
      </x:c>
      <x:c r="J1897" s="40" t="n">
        <x:v>3790</x:v>
      </x:c>
      <x:c r="K1897" s="24" t="str">
        <x:v>-4.00 a +4.00</x:v>
      </x:c>
      <x:c r="L1897" s="24" t="str">
        <x:v>-4.00</x:v>
      </x:c>
      <x:c r="M1897" s="24" t="str">
        <x:v>85</x:v>
      </x:c>
      <x:c r="N1897" s="24" t="str">
        <x:v>3.00</x:v>
      </x:c>
      <x:c r="O1897" s="24"/>
      <x:c r="P1897" s="24"/>
      <x:c r="Q1897" s="24" t="str">
        <x:v>DISPONÍVEL</x:v>
      </x:c>
      <x:c r="R1897" s="24"/>
      <x:c r="S1897" s="24" t="n">
        <x:v>29</x:v>
      </x:c>
      <x:c r="T1897" s="24" t="str">
        <x:v>tabela_zeiss.pdf</x:v>
      </x:c>
      <x:c r="U1897" s="24" t="str">
        <x:v>ZEISS|Visão Simples Especial|Surfaçada|Sport|Polarizada|1.6|1.60|DuraVision Platinum UV|-4.00 a +4.00|-4.00|85|3.00|||29</x:v>
      </x:c>
    </x:row>
    <x:row r="1898">
      <x:c r="A1898" s="24" t="str">
        <x:v>ZS-B365A3128677</x:v>
      </x:c>
      <x:c r="B1898" s="24" t="str">
        <x:v>ZEISS</x:v>
      </x:c>
      <x:c r="C1898" s="24" t="str">
        <x:v>Visão Simples Especial</x:v>
      </x:c>
      <x:c r="D1898" s="24" t="str">
        <x:v>Surfaçada</x:v>
      </x:c>
      <x:c r="E1898" s="24" t="str">
        <x:v>Sport</x:v>
      </x:c>
      <x:c r="F1898" s="24" t="str">
        <x:v>Polarizada</x:v>
      </x:c>
      <x:c r="G1898" s="24" t="str">
        <x:v>1.6</x:v>
      </x:c>
      <x:c r="H1898" s="24" t="str">
        <x:v>1.60</x:v>
      </x:c>
      <x:c r="I1898" s="24" t="str">
        <x:v>DuraVision Silver UV</x:v>
      </x:c>
      <x:c r="J1898" s="40" t="n">
        <x:v>3530</x:v>
      </x:c>
      <x:c r="K1898" s="24" t="str">
        <x:v>-4.00 a +4.00</x:v>
      </x:c>
      <x:c r="L1898" s="24" t="str">
        <x:v>-4.00</x:v>
      </x:c>
      <x:c r="M1898" s="24" t="str">
        <x:v>85</x:v>
      </x:c>
      <x:c r="N1898" s="24" t="str">
        <x:v>3.00</x:v>
      </x:c>
      <x:c r="O1898" s="24"/>
      <x:c r="P1898" s="24"/>
      <x:c r="Q1898" s="24" t="str">
        <x:v>DISPONÍVEL</x:v>
      </x:c>
      <x:c r="R1898" s="24"/>
      <x:c r="S1898" s="24" t="n">
        <x:v>29</x:v>
      </x:c>
      <x:c r="T1898" s="24" t="str">
        <x:v>tabela_zeiss.pdf</x:v>
      </x:c>
      <x:c r="U1898" s="24" t="str">
        <x:v>ZEISS|Visão Simples Especial|Surfaçada|Sport|Polarizada|1.6|1.60|DuraVision Silver UV|-4.00 a +4.00|-4.00|85|3.00|||29</x:v>
      </x:c>
    </x:row>
    <x:row r="1899">
      <x:c r="A1899" s="24" t="str">
        <x:v>ZS-1297A21E547E</x:v>
      </x:c>
      <x:c r="B1899" s="24" t="str">
        <x:v>ZEISS</x:v>
      </x:c>
      <x:c r="C1899" s="24" t="str">
        <x:v>Visão Simples Especial</x:v>
      </x:c>
      <x:c r="D1899" s="24" t="str">
        <x:v>Surfaçada</x:v>
      </x:c>
      <x:c r="E1899" s="24" t="str">
        <x:v>Sport</x:v>
      </x:c>
      <x:c r="F1899" s="24" t="str">
        <x:v>Polarizada</x:v>
      </x:c>
      <x:c r="G1899" s="24" t="str">
        <x:v>1.6</x:v>
      </x:c>
      <x:c r="H1899" s="24" t="str">
        <x:v>1.60</x:v>
      </x:c>
      <x:c r="I1899" s="24" t="str">
        <x:v>DuraVision Chrome UV</x:v>
      </x:c>
      <x:c r="J1899" s="40" t="n">
        <x:v>3040</x:v>
      </x:c>
      <x:c r="K1899" s="24" t="str">
        <x:v>-4.00 a +4.00</x:v>
      </x:c>
      <x:c r="L1899" s="24" t="str">
        <x:v>-4.00</x:v>
      </x:c>
      <x:c r="M1899" s="24" t="str">
        <x:v>85</x:v>
      </x:c>
      <x:c r="N1899" s="24" t="str">
        <x:v>3.00</x:v>
      </x:c>
      <x:c r="O1899" s="24"/>
      <x:c r="P1899" s="24"/>
      <x:c r="Q1899" s="24" t="str">
        <x:v>DISPONÍVEL</x:v>
      </x:c>
      <x:c r="R1899" s="24"/>
      <x:c r="S1899" s="24" t="n">
        <x:v>29</x:v>
      </x:c>
      <x:c r="T1899" s="24" t="str">
        <x:v>tabela_zeiss.pdf</x:v>
      </x:c>
      <x:c r="U1899" s="24" t="str">
        <x:v>ZEISS|Visão Simples Especial|Surfaçada|Sport|Polarizada|1.6|1.60|DuraVision Chrome UV|-4.00 a +4.00|-4.00|85|3.00|||29</x:v>
      </x:c>
    </x:row>
    <x:row r="1900">
      <x:c r="A1900" s="24" t="str">
        <x:v>ZS-53DC269A0259</x:v>
      </x:c>
      <x:c r="B1900" s="24" t="str">
        <x:v>ZEISS</x:v>
      </x:c>
      <x:c r="C1900" s="24" t="str">
        <x:v>Visão Simples Especial</x:v>
      </x:c>
      <x:c r="D1900" s="24" t="str">
        <x:v>Surfaçada</x:v>
      </x:c>
      <x:c r="E1900" s="24" t="str">
        <x:v>EnergizeMe</x:v>
      </x:c>
      <x:c r="F1900" s="24"/>
      <x:c r="G1900" s="24" t="str">
        <x:v>1.5</x:v>
      </x:c>
      <x:c r="H1900" s="24" t="str">
        <x:v>1.50</x:v>
      </x:c>
      <x:c r="I1900" s="24" t="str">
        <x:v>DURAVISION® ANTIVÍRUS PLATINUM UV</x:v>
      </x:c>
      <x:c r="J1900" s="40" t="n">
        <x:v>1454</x:v>
      </x:c>
      <x:c r="K1900" s="24" t="str">
        <x:v>-6.00 a +6.00</x:v>
      </x:c>
      <x:c r="L1900" s="24" t="str">
        <x:v>-4.00</x:v>
      </x:c>
      <x:c r="M1900" s="24" t="str">
        <x:v>75</x:v>
      </x:c>
      <x:c r="N1900" s="24" t="str">
        <x:v>4.00</x:v>
      </x:c>
      <x:c r="O1900" s="24"/>
      <x:c r="P1900" s="24"/>
      <x:c r="Q1900" s="24" t="str">
        <x:v>DISPONÍVEL</x:v>
      </x:c>
      <x:c r="R1900" s="24"/>
      <x:c r="S1900" s="24" t="n">
        <x:v>30</x:v>
      </x:c>
      <x:c r="T1900" s="24" t="str">
        <x:v>tabela_zeiss.pdf</x:v>
      </x:c>
      <x:c r="U1900" s="24" t="str">
        <x:v>ZEISS|Visão Simples Especial|Surfaçada|EnergizeMe||1.5|1.50|DURAVISION® ANTIVÍRUS PLATINUM UV|-6.00 a +6.00|-4.00|75|4.00|||30</x:v>
      </x:c>
    </x:row>
    <x:row r="1901">
      <x:c r="A1901" s="24" t="str">
        <x:v>ZS-9ED10CDF6EC2</x:v>
      </x:c>
      <x:c r="B1901" s="24" t="str">
        <x:v>ZEISS</x:v>
      </x:c>
      <x:c r="C1901" s="24" t="str">
        <x:v>Visão Simples Especial</x:v>
      </x:c>
      <x:c r="D1901" s="24" t="str">
        <x:v>Surfaçada</x:v>
      </x:c>
      <x:c r="E1901" s="24" t="str">
        <x:v>EnergizeMe</x:v>
      </x:c>
      <x:c r="F1901" s="24"/>
      <x:c r="G1901" s="24" t="str">
        <x:v>1.5</x:v>
      </x:c>
      <x:c r="H1901" s="24" t="str">
        <x:v>1.50</x:v>
      </x:c>
      <x:c r="I1901" s="24" t="str">
        <x:v>DuraVision Platinum UV</x:v>
      </x:c>
      <x:c r="J1901" s="40" t="n">
        <x:v>1454</x:v>
      </x:c>
      <x:c r="K1901" s="24" t="str">
        <x:v>-6.00 a +6.00</x:v>
      </x:c>
      <x:c r="L1901" s="24" t="str">
        <x:v>-4.00</x:v>
      </x:c>
      <x:c r="M1901" s="24" t="str">
        <x:v>75</x:v>
      </x:c>
      <x:c r="N1901" s="24" t="str">
        <x:v>4.00</x:v>
      </x:c>
      <x:c r="O1901" s="24"/>
      <x:c r="P1901" s="24"/>
      <x:c r="Q1901" s="24" t="str">
        <x:v>DISPONÍVEL</x:v>
      </x:c>
      <x:c r="R1901" s="24"/>
      <x:c r="S1901" s="24" t="n">
        <x:v>30</x:v>
      </x:c>
      <x:c r="T1901" s="24" t="str">
        <x:v>tabela_zeiss.pdf</x:v>
      </x:c>
      <x:c r="U1901" s="24" t="str">
        <x:v>ZEISS|Visão Simples Especial|Surfaçada|EnergizeMe||1.5|1.50|DuraVision Platinum UV|-6.00 a +6.00|-4.00|75|4.00|||30</x:v>
      </x:c>
    </x:row>
    <x:row r="1902">
      <x:c r="A1902" s="24" t="str">
        <x:v>ZS-754548DD3644</x:v>
      </x:c>
      <x:c r="B1902" s="24" t="str">
        <x:v>ZEISS</x:v>
      </x:c>
      <x:c r="C1902" s="24" t="str">
        <x:v>Visão Simples Especial</x:v>
      </x:c>
      <x:c r="D1902" s="24" t="str">
        <x:v>Surfaçada</x:v>
      </x:c>
      <x:c r="E1902" s="24" t="str">
        <x:v>EnergizeMe</x:v>
      </x:c>
      <x:c r="F1902" s="24"/>
      <x:c r="G1902" s="24" t="str">
        <x:v>Poli</x:v>
      </x:c>
      <x:c r="H1902" s="24"/>
      <x:c r="I1902" s="24" t="str">
        <x:v>DuraVision Platinum UV</x:v>
      </x:c>
      <x:c r="J1902" s="40" t="n">
        <x:v>1814</x:v>
      </x:c>
      <x:c r="K1902" s="24" t="str">
        <x:v>-10.00 a +8.00</x:v>
      </x:c>
      <x:c r="L1902" s="24" t="str">
        <x:v>-4.00</x:v>
      </x:c>
      <x:c r="M1902" s="24" t="str">
        <x:v>70</x:v>
      </x:c>
      <x:c r="N1902" s="24" t="str">
        <x:v>4.00</x:v>
      </x:c>
      <x:c r="O1902" s="24"/>
      <x:c r="P1902" s="24"/>
      <x:c r="Q1902" s="24" t="str">
        <x:v>DISPONÍVEL</x:v>
      </x:c>
      <x:c r="R1902" s="24"/>
      <x:c r="S1902" s="24" t="n">
        <x:v>30</x:v>
      </x:c>
      <x:c r="T1902" s="24" t="str">
        <x:v>tabela_zeiss.pdf</x:v>
      </x:c>
      <x:c r="U1902" s="24" t="str">
        <x:v>ZEISS|Visão Simples Especial|Surfaçada|EnergizeMe||Poli||DuraVision Platinum UV|-10.00 a +8.00|-4.00|70|4.00|||30</x:v>
      </x:c>
    </x:row>
    <x:row r="1903">
      <x:c r="A1903" s="24" t="str">
        <x:v>ZS-245108A0EF1B</x:v>
      </x:c>
      <x:c r="B1903" s="24" t="str">
        <x:v>ZEISS</x:v>
      </x:c>
      <x:c r="C1903" s="24" t="str">
        <x:v>Visão Simples Especial</x:v>
      </x:c>
      <x:c r="D1903" s="24" t="str">
        <x:v>Surfaçada</x:v>
      </x:c>
      <x:c r="E1903" s="24" t="str">
        <x:v>EnergizeMe</x:v>
      </x:c>
      <x:c r="F1903" s="24"/>
      <x:c r="G1903" s="24" t="str">
        <x:v>1.6</x:v>
      </x:c>
      <x:c r="H1903" s="24" t="str">
        <x:v>1.60</x:v>
      </x:c>
      <x:c r="I1903" s="24" t="str">
        <x:v>DURAVISION® ANTIVÍRUS PLATINUM UV</x:v>
      </x:c>
      <x:c r="J1903" s="40" t="n">
        <x:v>2034</x:v>
      </x:c>
      <x:c r="K1903" s="24" t="str">
        <x:v>-6.00 a +6.00</x:v>
      </x:c>
      <x:c r="L1903" s="24" t="str">
        <x:v>-6.00</x:v>
      </x:c>
      <x:c r="M1903" s="24" t="str">
        <x:v>75</x:v>
      </x:c>
      <x:c r="N1903" s="24" t="str">
        <x:v>4.00</x:v>
      </x:c>
      <x:c r="O1903" s="24"/>
      <x:c r="P1903" s="24"/>
      <x:c r="Q1903" s="24" t="str">
        <x:v>DISPONÍVEL</x:v>
      </x:c>
      <x:c r="R1903" s="24"/>
      <x:c r="S1903" s="24" t="n">
        <x:v>30</x:v>
      </x:c>
      <x:c r="T1903" s="24" t="str">
        <x:v>tabela_zeiss.pdf</x:v>
      </x:c>
      <x:c r="U1903" s="24" t="str">
        <x:v>ZEISS|Visão Simples Especial|Surfaçada|EnergizeMe||1.6|1.60|DURAVISION® ANTIVÍRUS PLATINUM UV|-6.00 a +6.00|-6.00|75|4.00|||30</x:v>
      </x:c>
    </x:row>
    <x:row r="1904">
      <x:c r="A1904" s="24" t="str">
        <x:v>ZS-B1AAEDCD4F9C</x:v>
      </x:c>
      <x:c r="B1904" s="24" t="str">
        <x:v>ZEISS</x:v>
      </x:c>
      <x:c r="C1904" s="24" t="str">
        <x:v>Visão Simples Especial</x:v>
      </x:c>
      <x:c r="D1904" s="24" t="str">
        <x:v>Surfaçada</x:v>
      </x:c>
      <x:c r="E1904" s="24" t="str">
        <x:v>EnergizeMe</x:v>
      </x:c>
      <x:c r="F1904" s="24"/>
      <x:c r="G1904" s="24" t="str">
        <x:v>1.6</x:v>
      </x:c>
      <x:c r="H1904" s="24" t="str">
        <x:v>1.60</x:v>
      </x:c>
      <x:c r="I1904" s="24" t="str">
        <x:v>DuraVision Platinum UV</x:v>
      </x:c>
      <x:c r="J1904" s="40" t="n">
        <x:v>2034</x:v>
      </x:c>
      <x:c r="K1904" s="24" t="str">
        <x:v>-6.00 a +6.00</x:v>
      </x:c>
      <x:c r="L1904" s="24" t="str">
        <x:v>-6.00</x:v>
      </x:c>
      <x:c r="M1904" s="24" t="str">
        <x:v>75</x:v>
      </x:c>
      <x:c r="N1904" s="24" t="str">
        <x:v>4.00</x:v>
      </x:c>
      <x:c r="O1904" s="24"/>
      <x:c r="P1904" s="24"/>
      <x:c r="Q1904" s="24" t="str">
        <x:v>DISPONÍVEL</x:v>
      </x:c>
      <x:c r="R1904" s="24"/>
      <x:c r="S1904" s="24" t="n">
        <x:v>30</x:v>
      </x:c>
      <x:c r="T1904" s="24" t="str">
        <x:v>tabela_zeiss.pdf</x:v>
      </x:c>
      <x:c r="U1904" s="24" t="str">
        <x:v>ZEISS|Visão Simples Especial|Surfaçada|EnergizeMe||1.6|1.60|DuraVision Platinum UV|-6.00 a +6.00|-6.00|75|4.00|||30</x:v>
      </x:c>
    </x:row>
    <x:row r="1905">
      <x:c r="A1905" s="24" t="str">
        <x:v>ZS-A8D21FD89EB3</x:v>
      </x:c>
      <x:c r="B1905" s="24" t="str">
        <x:v>ZEISS</x:v>
      </x:c>
      <x:c r="C1905" s="24" t="str">
        <x:v>Visão Simples Especial</x:v>
      </x:c>
      <x:c r="D1905" s="24" t="str">
        <x:v>Surfaçada</x:v>
      </x:c>
      <x:c r="E1905" s="24" t="str">
        <x:v>EnergizeMe</x:v>
      </x:c>
      <x:c r="F1905" s="24"/>
      <x:c r="G1905" s="24" t="str">
        <x:v>1.67</x:v>
      </x:c>
      <x:c r="H1905" s="24" t="str">
        <x:v>1.67</x:v>
      </x:c>
      <x:c r="I1905" s="24" t="str">
        <x:v>DURAVISION® ANTIVÍRUS PLATINUM UV</x:v>
      </x:c>
      <x:c r="J1905" s="40" t="n">
        <x:v>3334</x:v>
      </x:c>
      <x:c r="K1905" s="24" t="str">
        <x:v>-8.00 a +8.00</x:v>
      </x:c>
      <x:c r="L1905" s="24" t="str">
        <x:v>-6.00</x:v>
      </x:c>
      <x:c r="M1905" s="24" t="str">
        <x:v>70</x:v>
      </x:c>
      <x:c r="N1905" s="24" t="str">
        <x:v>4.00</x:v>
      </x:c>
      <x:c r="O1905" s="24"/>
      <x:c r="P1905" s="24"/>
      <x:c r="Q1905" s="24" t="str">
        <x:v>DISPONÍVEL</x:v>
      </x:c>
      <x:c r="R1905" s="24"/>
      <x:c r="S1905" s="24" t="n">
        <x:v>30</x:v>
      </x:c>
      <x:c r="T1905" s="24" t="str">
        <x:v>tabela_zeiss.pdf</x:v>
      </x:c>
      <x:c r="U1905" s="24" t="str">
        <x:v>ZEISS|Visão Simples Especial|Surfaçada|EnergizeMe||1.67|1.67|DURAVISION® ANTIVÍRUS PLATINUM UV|-8.00 a +8.00|-6.00|70|4.00|||30</x:v>
      </x:c>
    </x:row>
    <x:row r="1906">
      <x:c r="A1906" s="24" t="str">
        <x:v>ZS-DE7FD2F6C5D2</x:v>
      </x:c>
      <x:c r="B1906" s="24" t="str">
        <x:v>ZEISS</x:v>
      </x:c>
      <x:c r="C1906" s="24" t="str">
        <x:v>Visão Simples Especial</x:v>
      </x:c>
      <x:c r="D1906" s="24" t="str">
        <x:v>Surfaçada</x:v>
      </x:c>
      <x:c r="E1906" s="24" t="str">
        <x:v>EnergizeMe</x:v>
      </x:c>
      <x:c r="F1906" s="24"/>
      <x:c r="G1906" s="24" t="str">
        <x:v>1.67</x:v>
      </x:c>
      <x:c r="H1906" s="24" t="str">
        <x:v>1.67</x:v>
      </x:c>
      <x:c r="I1906" s="24" t="str">
        <x:v>DuraVision Platinum UV</x:v>
      </x:c>
      <x:c r="J1906" s="40" t="n">
        <x:v>3334</x:v>
      </x:c>
      <x:c r="K1906" s="24" t="str">
        <x:v>-8.00 a +8.00</x:v>
      </x:c>
      <x:c r="L1906" s="24" t="str">
        <x:v>-6.00</x:v>
      </x:c>
      <x:c r="M1906" s="24" t="str">
        <x:v>70</x:v>
      </x:c>
      <x:c r="N1906" s="24" t="str">
        <x:v>4.00</x:v>
      </x:c>
      <x:c r="O1906" s="24"/>
      <x:c r="P1906" s="24"/>
      <x:c r="Q1906" s="24" t="str">
        <x:v>DISPONÍVEL</x:v>
      </x:c>
      <x:c r="R1906" s="24"/>
      <x:c r="S1906" s="24" t="n">
        <x:v>30</x:v>
      </x:c>
      <x:c r="T1906" s="24" t="str">
        <x:v>tabela_zeiss.pdf</x:v>
      </x:c>
      <x:c r="U1906" s="24" t="str">
        <x:v>ZEISS|Visão Simples Especial|Surfaçada|EnergizeMe||1.67|1.67|DuraVision Platinum UV|-8.00 a +8.00|-6.00|70|4.00|||30</x:v>
      </x:c>
    </x:row>
    <x:row r="1907">
      <x:c r="A1907" s="24" t="str">
        <x:v>ZS-F454E75D5AD8</x:v>
      </x:c>
      <x:c r="B1907" s="24" t="str">
        <x:v>ZEISS</x:v>
      </x:c>
      <x:c r="C1907" s="24" t="str">
        <x:v>Visão Simples Especial</x:v>
      </x:c>
      <x:c r="D1907" s="24" t="str">
        <x:v>Surfaçada</x:v>
      </x:c>
      <x:c r="E1907" s="24" t="str">
        <x:v>EnergizeMe</x:v>
      </x:c>
      <x:c r="F1907" s="24"/>
      <x:c r="G1907" s="24" t="str">
        <x:v>1.74</x:v>
      </x:c>
      <x:c r="H1907" s="24" t="str">
        <x:v>1.74</x:v>
      </x:c>
      <x:c r="I1907" s="24" t="str">
        <x:v>DuraVision Platinum UV</x:v>
      </x:c>
      <x:c r="J1907" s="40" t="n">
        <x:v>3644</x:v>
      </x:c>
      <x:c r="K1907" s="24" t="str">
        <x:v>-10.00 a +7.00</x:v>
      </x:c>
      <x:c r="L1907" s="24" t="str">
        <x:v>-6.00</x:v>
      </x:c>
      <x:c r="M1907" s="24" t="str">
        <x:v>70</x:v>
      </x:c>
      <x:c r="N1907" s="24" t="str">
        <x:v>4.00</x:v>
      </x:c>
      <x:c r="O1907" s="24"/>
      <x:c r="P1907" s="24"/>
      <x:c r="Q1907" s="24" t="str">
        <x:v>DISPONÍVEL</x:v>
      </x:c>
      <x:c r="R1907" s="24"/>
      <x:c r="S1907" s="24" t="n">
        <x:v>30</x:v>
      </x:c>
      <x:c r="T1907" s="24" t="str">
        <x:v>tabela_zeiss.pdf</x:v>
      </x:c>
      <x:c r="U1907" s="24" t="str">
        <x:v>ZEISS|Visão Simples Especial|Surfaçada|EnergizeMe||1.74|1.74|DuraVision Platinum UV|-10.00 a +7.00|-6.00|70|4.00|||30</x:v>
      </x:c>
    </x:row>
    <x:row r="1908">
      <x:c r="A1908" s="24" t="str">
        <x:v>ZS-ECB6CCB59B50</x:v>
      </x:c>
      <x:c r="B1908" s="24" t="str">
        <x:v>ZEISS</x:v>
      </x:c>
      <x:c r="C1908" s="24" t="str">
        <x:v>Visão Simples Especial</x:v>
      </x:c>
      <x:c r="D1908" s="24" t="str">
        <x:v>Surfaçada</x:v>
      </x:c>
      <x:c r="E1908" s="24" t="str">
        <x:v>EnergizeMe</x:v>
      </x:c>
      <x:c r="F1908" s="24" t="str">
        <x:v>PhotoFusion X</x:v>
      </x:c>
      <x:c r="G1908" s="24" t="str">
        <x:v>1.5</x:v>
      </x:c>
      <x:c r="H1908" s="24" t="str">
        <x:v>1.50</x:v>
      </x:c>
      <x:c r="I1908" s="24" t="str">
        <x:v>DURAVISION® ANTIVÍRUS PLATINUM UV</x:v>
      </x:c>
      <x:c r="J1908" s="40" t="n">
        <x:v>2874</x:v>
      </x:c>
      <x:c r="K1908" s="24" t="str">
        <x:v>-6.00 a +6.00</x:v>
      </x:c>
      <x:c r="L1908" s="24" t="str">
        <x:v>-4.00</x:v>
      </x:c>
      <x:c r="M1908" s="24" t="str">
        <x:v>75</x:v>
      </x:c>
      <x:c r="N1908" s="24" t="str">
        <x:v>4.00</x:v>
      </x:c>
      <x:c r="O1908" s="24"/>
      <x:c r="P1908" s="24"/>
      <x:c r="Q1908" s="24" t="str">
        <x:v>DISPONÍVEL</x:v>
      </x:c>
      <x:c r="R1908" s="24" t="str">
        <x:v>Programa de Parcerias ZEISS</x:v>
      </x:c>
      <x:c r="S1908" s="24" t="n">
        <x:v>30</x:v>
      </x:c>
      <x:c r="T1908" s="24" t="str">
        <x:v>tabela_zeiss.pdf</x:v>
      </x:c>
      <x:c r="U1908" s="24" t="str">
        <x:v>ZEISS|Visão Simples Especial|Surfaçada|EnergizeMe|PhotoFusion X|1.5|1.50|DURAVISION® ANTIVÍRUS PLATINUM UV|-6.00 a +6.00|-4.00|75|4.00|||30</x:v>
      </x:c>
    </x:row>
    <x:row r="1909">
      <x:c r="A1909" s="24" t="str">
        <x:v>ZS-81D3A0A7EA6A</x:v>
      </x:c>
      <x:c r="B1909" s="24" t="str">
        <x:v>ZEISS</x:v>
      </x:c>
      <x:c r="C1909" s="24" t="str">
        <x:v>Visão Simples Especial</x:v>
      </x:c>
      <x:c r="D1909" s="24" t="str">
        <x:v>Surfaçada</x:v>
      </x:c>
      <x:c r="E1909" s="24" t="str">
        <x:v>EnergizeMe</x:v>
      </x:c>
      <x:c r="F1909" s="24" t="str">
        <x:v>PhotoFusion X</x:v>
      </x:c>
      <x:c r="G1909" s="24" t="str">
        <x:v>1.5</x:v>
      </x:c>
      <x:c r="H1909" s="24" t="str">
        <x:v>1.50</x:v>
      </x:c>
      <x:c r="I1909" s="24" t="str">
        <x:v>DuraVision Platinum UV</x:v>
      </x:c>
      <x:c r="J1909" s="40" t="n">
        <x:v>2874</x:v>
      </x:c>
      <x:c r="K1909" s="24" t="str">
        <x:v>-6.00 a +6.00</x:v>
      </x:c>
      <x:c r="L1909" s="24" t="str">
        <x:v>-4.00</x:v>
      </x:c>
      <x:c r="M1909" s="24" t="str">
        <x:v>75</x:v>
      </x:c>
      <x:c r="N1909" s="24" t="str">
        <x:v>4.00</x:v>
      </x:c>
      <x:c r="O1909" s="24"/>
      <x:c r="P1909" s="24"/>
      <x:c r="Q1909" s="24" t="str">
        <x:v>DISPONÍVEL</x:v>
      </x:c>
      <x:c r="R1909" s="24" t="str">
        <x:v>Programa de Parcerias ZEISS</x:v>
      </x:c>
      <x:c r="S1909" s="24" t="n">
        <x:v>30</x:v>
      </x:c>
      <x:c r="T1909" s="24" t="str">
        <x:v>tabela_zeiss.pdf</x:v>
      </x:c>
      <x:c r="U1909" s="24" t="str">
        <x:v>ZEISS|Visão Simples Especial|Surfaçada|EnergizeMe|PhotoFusion X|1.5|1.50|DuraVision Platinum UV|-6.00 a +6.00|-4.00|75|4.00|||30</x:v>
      </x:c>
    </x:row>
    <x:row r="1910">
      <x:c r="A1910" s="24" t="str">
        <x:v>ZS-85292427F9CC</x:v>
      </x:c>
      <x:c r="B1910" s="24" t="str">
        <x:v>ZEISS</x:v>
      </x:c>
      <x:c r="C1910" s="24" t="str">
        <x:v>Visão Simples Especial</x:v>
      </x:c>
      <x:c r="D1910" s="24" t="str">
        <x:v>Surfaçada</x:v>
      </x:c>
      <x:c r="E1910" s="24" t="str">
        <x:v>EnergizeMe</x:v>
      </x:c>
      <x:c r="F1910" s="24" t="str">
        <x:v>PhotoFusion X</x:v>
      </x:c>
      <x:c r="G1910" s="24" t="str">
        <x:v>Poli</x:v>
      </x:c>
      <x:c r="H1910" s="24"/>
      <x:c r="I1910" s="24" t="str">
        <x:v>DuraVision Platinum UV</x:v>
      </x:c>
      <x:c r="J1910" s="40" t="n">
        <x:v>3234</x:v>
      </x:c>
      <x:c r="K1910" s="24" t="str">
        <x:v>-10.00 a +8.00</x:v>
      </x:c>
      <x:c r="L1910" s="24" t="str">
        <x:v>-4.00</x:v>
      </x:c>
      <x:c r="M1910" s="24" t="str">
        <x:v>70</x:v>
      </x:c>
      <x:c r="N1910" s="24" t="str">
        <x:v>4.00</x:v>
      </x:c>
      <x:c r="O1910" s="24"/>
      <x:c r="P1910" s="24"/>
      <x:c r="Q1910" s="24" t="str">
        <x:v>DISPONÍVEL</x:v>
      </x:c>
      <x:c r="R1910" s="24" t="str">
        <x:v>Programa de Parcerias ZEISS</x:v>
      </x:c>
      <x:c r="S1910" s="24" t="n">
        <x:v>30</x:v>
      </x:c>
      <x:c r="T1910" s="24" t="str">
        <x:v>tabela_zeiss.pdf</x:v>
      </x:c>
      <x:c r="U1910" s="24" t="str">
        <x:v>ZEISS|Visão Simples Especial|Surfaçada|EnergizeMe|PhotoFusion X|Poli||DuraVision Platinum UV|-10.00 a +8.00|-4.00|70|4.00|||30</x:v>
      </x:c>
    </x:row>
    <x:row r="1911">
      <x:c r="A1911" s="24" t="str">
        <x:v>ZS-40B6FC903775</x:v>
      </x:c>
      <x:c r="B1911" s="24" t="str">
        <x:v>ZEISS</x:v>
      </x:c>
      <x:c r="C1911" s="24" t="str">
        <x:v>Visão Simples Especial</x:v>
      </x:c>
      <x:c r="D1911" s="24" t="str">
        <x:v>Surfaçada</x:v>
      </x:c>
      <x:c r="E1911" s="24" t="str">
        <x:v>EnergizeMe</x:v>
      </x:c>
      <x:c r="F1911" s="24" t="str">
        <x:v>PhotoFusion X</x:v>
      </x:c>
      <x:c r="G1911" s="24" t="str">
        <x:v>1.6</x:v>
      </x:c>
      <x:c r="H1911" s="24" t="str">
        <x:v>1.60</x:v>
      </x:c>
      <x:c r="I1911" s="24" t="str">
        <x:v>DURAVISION® ANTIVÍRUS PLATINUM UV</x:v>
      </x:c>
      <x:c r="J1911" s="40" t="n">
        <x:v>3454</x:v>
      </x:c>
      <x:c r="K1911" s="24" t="str">
        <x:v>-6.00 a +8.00</x:v>
      </x:c>
      <x:c r="L1911" s="24" t="str">
        <x:v>-4.00</x:v>
      </x:c>
      <x:c r="M1911" s="24" t="str">
        <x:v>75</x:v>
      </x:c>
      <x:c r="N1911" s="24" t="str">
        <x:v>4.00</x:v>
      </x:c>
      <x:c r="O1911" s="24"/>
      <x:c r="P1911" s="24"/>
      <x:c r="Q1911" s="24" t="str">
        <x:v>DISPONÍVEL</x:v>
      </x:c>
      <x:c r="R1911" s="24" t="str">
        <x:v>Programa de Parcerias ZEISS</x:v>
      </x:c>
      <x:c r="S1911" s="24" t="n">
        <x:v>30</x:v>
      </x:c>
      <x:c r="T1911" s="24" t="str">
        <x:v>tabela_zeiss.pdf</x:v>
      </x:c>
      <x:c r="U1911" s="24" t="str">
        <x:v>ZEISS|Visão Simples Especial|Surfaçada|EnergizeMe|PhotoFusion X|1.6|1.60|DURAVISION® ANTIVÍRUS PLATINUM UV|-6.00 a +8.00|-4.00|75|4.00|||30</x:v>
      </x:c>
    </x:row>
    <x:row r="1912">
      <x:c r="A1912" s="24" t="str">
        <x:v>ZS-E86B1A3E0EE7</x:v>
      </x:c>
      <x:c r="B1912" s="24" t="str">
        <x:v>ZEISS</x:v>
      </x:c>
      <x:c r="C1912" s="24" t="str">
        <x:v>Visão Simples Especial</x:v>
      </x:c>
      <x:c r="D1912" s="24" t="str">
        <x:v>Surfaçada</x:v>
      </x:c>
      <x:c r="E1912" s="24" t="str">
        <x:v>EnergizeMe</x:v>
      </x:c>
      <x:c r="F1912" s="24" t="str">
        <x:v>PhotoFusion X</x:v>
      </x:c>
      <x:c r="G1912" s="24" t="str">
        <x:v>1.6</x:v>
      </x:c>
      <x:c r="H1912" s="24" t="str">
        <x:v>1.60</x:v>
      </x:c>
      <x:c r="I1912" s="24" t="str">
        <x:v>DuraVision Platinum UV</x:v>
      </x:c>
      <x:c r="J1912" s="40" t="n">
        <x:v>3454</x:v>
      </x:c>
      <x:c r="K1912" s="24" t="str">
        <x:v>-6.00 a +8.00</x:v>
      </x:c>
      <x:c r="L1912" s="24" t="str">
        <x:v>-4.00</x:v>
      </x:c>
      <x:c r="M1912" s="24" t="str">
        <x:v>75</x:v>
      </x:c>
      <x:c r="N1912" s="24" t="str">
        <x:v>4.00</x:v>
      </x:c>
      <x:c r="O1912" s="24"/>
      <x:c r="P1912" s="24"/>
      <x:c r="Q1912" s="24" t="str">
        <x:v>DISPONÍVEL</x:v>
      </x:c>
      <x:c r="R1912" s="24" t="str">
        <x:v>Programa de Parcerias ZEISS</x:v>
      </x:c>
      <x:c r="S1912" s="24" t="n">
        <x:v>30</x:v>
      </x:c>
      <x:c r="T1912" s="24" t="str">
        <x:v>tabela_zeiss.pdf</x:v>
      </x:c>
      <x:c r="U1912" s="24" t="str">
        <x:v>ZEISS|Visão Simples Especial|Surfaçada|EnergizeMe|PhotoFusion X|1.6|1.60|DuraVision Platinum UV|-6.00 a +8.00|-4.00|75|4.00|||30</x:v>
      </x:c>
    </x:row>
    <x:row r="1913">
      <x:c r="A1913" s="24" t="str">
        <x:v>ZS-D93A9E1B243D</x:v>
      </x:c>
      <x:c r="B1913" s="24" t="str">
        <x:v>ZEISS</x:v>
      </x:c>
      <x:c r="C1913" s="24" t="str">
        <x:v>Visão Simples Especial</x:v>
      </x:c>
      <x:c r="D1913" s="24" t="str">
        <x:v>Surfaçada</x:v>
      </x:c>
      <x:c r="E1913" s="24" t="str">
        <x:v>EnergizeMe</x:v>
      </x:c>
      <x:c r="F1913" s="24" t="str">
        <x:v>PhotoFusion X</x:v>
      </x:c>
      <x:c r="G1913" s="24" t="str">
        <x:v>1.67</x:v>
      </x:c>
      <x:c r="H1913" s="24" t="str">
        <x:v>1.67</x:v>
      </x:c>
      <x:c r="I1913" s="24" t="str">
        <x:v>DURAVISION® ANTIVÍRUS PLATINUM UV</x:v>
      </x:c>
      <x:c r="J1913" s="40" t="n">
        <x:v>4754</x:v>
      </x:c>
      <x:c r="K1913" s="24" t="str">
        <x:v>-8.00 a +8.00</x:v>
      </x:c>
      <x:c r="L1913" s="24" t="str">
        <x:v>-6.00</x:v>
      </x:c>
      <x:c r="M1913" s="24" t="str">
        <x:v>70</x:v>
      </x:c>
      <x:c r="N1913" s="24" t="str">
        <x:v>4.00</x:v>
      </x:c>
      <x:c r="O1913" s="24"/>
      <x:c r="P1913" s="24"/>
      <x:c r="Q1913" s="24" t="str">
        <x:v>DISPONÍVEL</x:v>
      </x:c>
      <x:c r="R1913" s="24" t="str">
        <x:v>Programa de Parcerias ZEISS</x:v>
      </x:c>
      <x:c r="S1913" s="24" t="n">
        <x:v>30</x:v>
      </x:c>
      <x:c r="T1913" s="24" t="str">
        <x:v>tabela_zeiss.pdf</x:v>
      </x:c>
      <x:c r="U1913" s="24" t="str">
        <x:v>ZEISS|Visão Simples Especial|Surfaçada|EnergizeMe|PhotoFusion X|1.67|1.67|DURAVISION® ANTIVÍRUS PLATINUM UV|-8.00 a +8.00|-6.00|70|4.00|||30</x:v>
      </x:c>
    </x:row>
    <x:row r="1914">
      <x:c r="A1914" s="24" t="str">
        <x:v>ZS-007E4AECDFC3</x:v>
      </x:c>
      <x:c r="B1914" s="24" t="str">
        <x:v>ZEISS</x:v>
      </x:c>
      <x:c r="C1914" s="24" t="str">
        <x:v>Visão Simples Especial</x:v>
      </x:c>
      <x:c r="D1914" s="24" t="str">
        <x:v>Surfaçada</x:v>
      </x:c>
      <x:c r="E1914" s="24" t="str">
        <x:v>EnergizeMe</x:v>
      </x:c>
      <x:c r="F1914" s="24" t="str">
        <x:v>PhotoFusion X</x:v>
      </x:c>
      <x:c r="G1914" s="24" t="str">
        <x:v>1.67</x:v>
      </x:c>
      <x:c r="H1914" s="24" t="str">
        <x:v>1.67</x:v>
      </x:c>
      <x:c r="I1914" s="24" t="str">
        <x:v>DuraVision Platinum UV</x:v>
      </x:c>
      <x:c r="J1914" s="40" t="n">
        <x:v>4754</x:v>
      </x:c>
      <x:c r="K1914" s="24" t="str">
        <x:v>-8.00 a +8.00</x:v>
      </x:c>
      <x:c r="L1914" s="24" t="str">
        <x:v>-6.00</x:v>
      </x:c>
      <x:c r="M1914" s="24" t="str">
        <x:v>70</x:v>
      </x:c>
      <x:c r="N1914" s="24" t="str">
        <x:v>4.00</x:v>
      </x:c>
      <x:c r="O1914" s="24"/>
      <x:c r="P1914" s="24"/>
      <x:c r="Q1914" s="24" t="str">
        <x:v>DISPONÍVEL</x:v>
      </x:c>
      <x:c r="R1914" s="24" t="str">
        <x:v>Programa de Parcerias ZEISS</x:v>
      </x:c>
      <x:c r="S1914" s="24" t="n">
        <x:v>30</x:v>
      </x:c>
      <x:c r="T1914" s="24" t="str">
        <x:v>tabela_zeiss.pdf</x:v>
      </x:c>
      <x:c r="U1914" s="24" t="str">
        <x:v>ZEISS|Visão Simples Especial|Surfaçada|EnergizeMe|PhotoFusion X|1.67|1.67|DuraVision Platinum UV|-8.00 a +8.00|-6.00|70|4.00|||30</x:v>
      </x:c>
    </x:row>
    <x:row r="1915">
      <x:c r="A1915" s="24" t="str">
        <x:v>ZS-9CA2D3E2BFB4</x:v>
      </x:c>
      <x:c r="B1915" s="24" t="str">
        <x:v>ZEISS</x:v>
      </x:c>
      <x:c r="C1915" s="24" t="str">
        <x:v>Visão Simples Especial</x:v>
      </x:c>
      <x:c r="D1915" s="24" t="str">
        <x:v>Surfaçada</x:v>
      </x:c>
      <x:c r="E1915" s="24" t="str">
        <x:v>EnergizeMe</x:v>
      </x:c>
      <x:c r="F1915" s="24" t="str">
        <x:v>PhotoFusion X Extra Dark Cinza</x:v>
      </x:c>
      <x:c r="G1915" s="24" t="str">
        <x:v>1.5</x:v>
      </x:c>
      <x:c r="H1915" s="24" t="str">
        <x:v>1.50</x:v>
      </x:c>
      <x:c r="I1915" s="24" t="str">
        <x:v>DURAVISION® ANTIVÍRUS PLATINUM UV</x:v>
      </x:c>
      <x:c r="J1915" s="40" t="n">
        <x:v>2924</x:v>
      </x:c>
      <x:c r="K1915" s="24" t="str">
        <x:v>-6.00 a +6.00</x:v>
      </x:c>
      <x:c r="L1915" s="24" t="str">
        <x:v>-4.00</x:v>
      </x:c>
      <x:c r="M1915" s="24" t="str">
        <x:v>75</x:v>
      </x:c>
      <x:c r="N1915" s="24" t="str">
        <x:v>4.00</x:v>
      </x:c>
      <x:c r="O1915" s="24"/>
      <x:c r="P1915" s="24"/>
      <x:c r="Q1915" s="24" t="str">
        <x:v>DISPONÍVEL</x:v>
      </x:c>
      <x:c r="R1915" s="24" t="str">
        <x:v>Programa de Parcerias ZEISS</x:v>
      </x:c>
      <x:c r="S1915" s="24" t="n">
        <x:v>30</x:v>
      </x:c>
      <x:c r="T1915" s="24" t="str">
        <x:v>tabela_zeiss.pdf</x:v>
      </x:c>
      <x:c r="U1915" s="24" t="str">
        <x:v>ZEISS|Visão Simples Especial|Surfaçada|EnergizeMe|PhotoFusion X Extra Dark Cinza|1.5|1.50|DURAVISION® ANTIVÍRUS PLATINUM UV|-6.00 a +6.00|-4.00|75|4.00|||30</x:v>
      </x:c>
    </x:row>
    <x:row r="1916">
      <x:c r="A1916" s="24" t="str">
        <x:v>ZS-1EE83136798E</x:v>
      </x:c>
      <x:c r="B1916" s="24" t="str">
        <x:v>ZEISS</x:v>
      </x:c>
      <x:c r="C1916" s="24" t="str">
        <x:v>Visão Simples Especial</x:v>
      </x:c>
      <x:c r="D1916" s="24" t="str">
        <x:v>Surfaçada</x:v>
      </x:c>
      <x:c r="E1916" s="24" t="str">
        <x:v>EnergizeMe</x:v>
      </x:c>
      <x:c r="F1916" s="24" t="str">
        <x:v>PhotoFusion X Extra Dark Cinza</x:v>
      </x:c>
      <x:c r="G1916" s="24" t="str">
        <x:v>1.5</x:v>
      </x:c>
      <x:c r="H1916" s="24" t="str">
        <x:v>1.50</x:v>
      </x:c>
      <x:c r="I1916" s="24" t="str">
        <x:v>DuraVision Platinum UV</x:v>
      </x:c>
      <x:c r="J1916" s="40" t="n">
        <x:v>2924</x:v>
      </x:c>
      <x:c r="K1916" s="24" t="str">
        <x:v>-6.00 a +6.00</x:v>
      </x:c>
      <x:c r="L1916" s="24" t="str">
        <x:v>-4.00</x:v>
      </x:c>
      <x:c r="M1916" s="24" t="str">
        <x:v>75</x:v>
      </x:c>
      <x:c r="N1916" s="24" t="str">
        <x:v>4.00</x:v>
      </x:c>
      <x:c r="O1916" s="24"/>
      <x:c r="P1916" s="24"/>
      <x:c r="Q1916" s="24" t="str">
        <x:v>DISPONÍVEL</x:v>
      </x:c>
      <x:c r="R1916" s="24" t="str">
        <x:v>Programa de Parcerias ZEISS</x:v>
      </x:c>
      <x:c r="S1916" s="24" t="n">
        <x:v>30</x:v>
      </x:c>
      <x:c r="T1916" s="24" t="str">
        <x:v>tabela_zeiss.pdf</x:v>
      </x:c>
      <x:c r="U1916" s="24" t="str">
        <x:v>ZEISS|Visão Simples Especial|Surfaçada|EnergizeMe|PhotoFusion X Extra Dark Cinza|1.5|1.50|DuraVision Platinum UV|-6.00 a +6.00|-4.00|75|4.00|||30</x:v>
      </x:c>
    </x:row>
    <x:row r="1917">
      <x:c r="A1917" s="24" t="str">
        <x:v>ZS-BAFA72FF75D9</x:v>
      </x:c>
      <x:c r="B1917" s="24" t="str">
        <x:v>ZEISS</x:v>
      </x:c>
      <x:c r="C1917" s="24" t="str">
        <x:v>Visão Simples Especial</x:v>
      </x:c>
      <x:c r="D1917" s="24" t="str">
        <x:v>Surfaçada</x:v>
      </x:c>
      <x:c r="E1917" s="24" t="str">
        <x:v>EnergizeMe</x:v>
      </x:c>
      <x:c r="F1917" s="24" t="str">
        <x:v>PhotoFusion X Extra Dark Cinza</x:v>
      </x:c>
      <x:c r="G1917" s="24" t="str">
        <x:v>Poli</x:v>
      </x:c>
      <x:c r="H1917" s="24"/>
      <x:c r="I1917" s="24" t="str">
        <x:v>DuraVision Platinum UV</x:v>
      </x:c>
      <x:c r="J1917" s="40" t="n">
        <x:v>3284</x:v>
      </x:c>
      <x:c r="K1917" s="24" t="str">
        <x:v>-10.00 a +8.00</x:v>
      </x:c>
      <x:c r="L1917" s="24" t="str">
        <x:v>-4.00</x:v>
      </x:c>
      <x:c r="M1917" s="24" t="str">
        <x:v>70</x:v>
      </x:c>
      <x:c r="N1917" s="24" t="str">
        <x:v>4.00</x:v>
      </x:c>
      <x:c r="O1917" s="24"/>
      <x:c r="P1917" s="24"/>
      <x:c r="Q1917" s="24" t="str">
        <x:v>DISPONÍVEL</x:v>
      </x:c>
      <x:c r="R1917" s="24" t="str">
        <x:v>Programa de Parcerias ZEISS</x:v>
      </x:c>
      <x:c r="S1917" s="24" t="n">
        <x:v>30</x:v>
      </x:c>
      <x:c r="T1917" s="24" t="str">
        <x:v>tabela_zeiss.pdf</x:v>
      </x:c>
      <x:c r="U1917" s="24" t="str">
        <x:v>ZEISS|Visão Simples Especial|Surfaçada|EnergizeMe|PhotoFusion X Extra Dark Cinza|Poli||DuraVision Platinum UV|-10.00 a +8.00|-4.00|70|4.00|||30</x:v>
      </x:c>
    </x:row>
    <x:row r="1918">
      <x:c r="A1918" s="24" t="str">
        <x:v>ZS-A90F814F9062</x:v>
      </x:c>
      <x:c r="B1918" s="24" t="str">
        <x:v>ZEISS</x:v>
      </x:c>
      <x:c r="C1918" s="24" t="str">
        <x:v>Visão Simples Especial</x:v>
      </x:c>
      <x:c r="D1918" s="24" t="str">
        <x:v>Surfaçada</x:v>
      </x:c>
      <x:c r="E1918" s="24" t="str">
        <x:v>EnergizeMe</x:v>
      </x:c>
      <x:c r="F1918" s="24" t="str">
        <x:v>PhotoFusion X Extra Dark Cinza</x:v>
      </x:c>
      <x:c r="G1918" s="24" t="str">
        <x:v>1.6</x:v>
      </x:c>
      <x:c r="H1918" s="24" t="str">
        <x:v>1.60</x:v>
      </x:c>
      <x:c r="I1918" s="24" t="str">
        <x:v>DURAVISION® ANTIVÍRUS PLATINUM UV</x:v>
      </x:c>
      <x:c r="J1918" s="40" t="n">
        <x:v>3504</x:v>
      </x:c>
      <x:c r="K1918" s="24" t="str">
        <x:v>-6.00 a +8.00</x:v>
      </x:c>
      <x:c r="L1918" s="24" t="str">
        <x:v>-4.00</x:v>
      </x:c>
      <x:c r="M1918" s="24" t="str">
        <x:v>75</x:v>
      </x:c>
      <x:c r="N1918" s="24" t="str">
        <x:v>4.00</x:v>
      </x:c>
      <x:c r="O1918" s="24"/>
      <x:c r="P1918" s="24"/>
      <x:c r="Q1918" s="24" t="str">
        <x:v>DISPONÍVEL</x:v>
      </x:c>
      <x:c r="R1918" s="24" t="str">
        <x:v>Programa de Parcerias ZEISS</x:v>
      </x:c>
      <x:c r="S1918" s="24" t="n">
        <x:v>30</x:v>
      </x:c>
      <x:c r="T1918" s="24" t="str">
        <x:v>tabela_zeiss.pdf</x:v>
      </x:c>
      <x:c r="U1918" s="24" t="str">
        <x:v>ZEISS|Visão Simples Especial|Surfaçada|EnergizeMe|PhotoFusion X Extra Dark Cinza|1.6|1.60|DURAVISION® ANTIVÍRUS PLATINUM UV|-6.00 a +8.00|-4.00|75|4.00|||30</x:v>
      </x:c>
    </x:row>
    <x:row r="1919">
      <x:c r="A1919" s="24" t="str">
        <x:v>ZS-ED4543A99EFA</x:v>
      </x:c>
      <x:c r="B1919" s="24" t="str">
        <x:v>ZEISS</x:v>
      </x:c>
      <x:c r="C1919" s="24" t="str">
        <x:v>Visão Simples Especial</x:v>
      </x:c>
      <x:c r="D1919" s="24" t="str">
        <x:v>Surfaçada</x:v>
      </x:c>
      <x:c r="E1919" s="24" t="str">
        <x:v>EnergizeMe</x:v>
      </x:c>
      <x:c r="F1919" s="24" t="str">
        <x:v>PhotoFusion X Extra Dark Cinza</x:v>
      </x:c>
      <x:c r="G1919" s="24" t="str">
        <x:v>1.6</x:v>
      </x:c>
      <x:c r="H1919" s="24" t="str">
        <x:v>1.60</x:v>
      </x:c>
      <x:c r="I1919" s="24" t="str">
        <x:v>DuraVision Platinum UV</x:v>
      </x:c>
      <x:c r="J1919" s="40" t="n">
        <x:v>3504</x:v>
      </x:c>
      <x:c r="K1919" s="24" t="str">
        <x:v>-6.00 a +8.00</x:v>
      </x:c>
      <x:c r="L1919" s="24" t="str">
        <x:v>-4.00</x:v>
      </x:c>
      <x:c r="M1919" s="24" t="str">
        <x:v>75</x:v>
      </x:c>
      <x:c r="N1919" s="24" t="str">
        <x:v>4.00</x:v>
      </x:c>
      <x:c r="O1919" s="24"/>
      <x:c r="P1919" s="24"/>
      <x:c r="Q1919" s="24" t="str">
        <x:v>DISPONÍVEL</x:v>
      </x:c>
      <x:c r="R1919" s="24" t="str">
        <x:v>Programa de Parcerias ZEISS</x:v>
      </x:c>
      <x:c r="S1919" s="24" t="n">
        <x:v>30</x:v>
      </x:c>
      <x:c r="T1919" s="24" t="str">
        <x:v>tabela_zeiss.pdf</x:v>
      </x:c>
      <x:c r="U1919" s="24" t="str">
        <x:v>ZEISS|Visão Simples Especial|Surfaçada|EnergizeMe|PhotoFusion X Extra Dark Cinza|1.6|1.60|DuraVision Platinum UV|-6.00 a +8.00|-4.00|75|4.00|||30</x:v>
      </x:c>
    </x:row>
    <x:row r="1920">
      <x:c r="A1920" s="24" t="str">
        <x:v>ZS-575A6F44987C</x:v>
      </x:c>
      <x:c r="B1920" s="24" t="str">
        <x:v>ZEISS</x:v>
      </x:c>
      <x:c r="C1920" s="24" t="str">
        <x:v>Visão Simples Especial</x:v>
      </x:c>
      <x:c r="D1920" s="24" t="str">
        <x:v>Surfaçada</x:v>
      </x:c>
      <x:c r="E1920" s="24" t="str">
        <x:v>EnergizeMe</x:v>
      </x:c>
      <x:c r="F1920" s="24" t="str">
        <x:v>PhotoFusion X Extra Dark Cinza</x:v>
      </x:c>
      <x:c r="G1920" s="24" t="str">
        <x:v>1.67</x:v>
      </x:c>
      <x:c r="H1920" s="24" t="str">
        <x:v>1.67</x:v>
      </x:c>
      <x:c r="I1920" s="24" t="str">
        <x:v>DURAVISION® ANTIVÍRUS PLATINUM UV</x:v>
      </x:c>
      <x:c r="J1920" s="40" t="n">
        <x:v>4804</x:v>
      </x:c>
      <x:c r="K1920" s="24" t="str">
        <x:v>-8.00 a +8.00</x:v>
      </x:c>
      <x:c r="L1920" s="24" t="str">
        <x:v>-6.00</x:v>
      </x:c>
      <x:c r="M1920" s="24" t="str">
        <x:v>70</x:v>
      </x:c>
      <x:c r="N1920" s="24" t="str">
        <x:v>4.00</x:v>
      </x:c>
      <x:c r="O1920" s="24"/>
      <x:c r="P1920" s="24"/>
      <x:c r="Q1920" s="24" t="str">
        <x:v>DISPONÍVEL</x:v>
      </x:c>
      <x:c r="R1920" s="24" t="str">
        <x:v>Programa de Parcerias ZEISS</x:v>
      </x:c>
      <x:c r="S1920" s="24" t="n">
        <x:v>30</x:v>
      </x:c>
      <x:c r="T1920" s="24" t="str">
        <x:v>tabela_zeiss.pdf</x:v>
      </x:c>
      <x:c r="U1920" s="24" t="str">
        <x:v>ZEISS|Visão Simples Especial|Surfaçada|EnergizeMe|PhotoFusion X Extra Dark Cinza|1.67|1.67|DURAVISION® ANTIVÍRUS PLATINUM UV|-8.00 a +8.00|-6.00|70|4.00|||30</x:v>
      </x:c>
    </x:row>
    <x:row r="1921">
      <x:c r="A1921" s="24" t="str">
        <x:v>ZS-8E3AD4375193</x:v>
      </x:c>
      <x:c r="B1921" s="24" t="str">
        <x:v>ZEISS</x:v>
      </x:c>
      <x:c r="C1921" s="24" t="str">
        <x:v>Visão Simples Especial</x:v>
      </x:c>
      <x:c r="D1921" s="24" t="str">
        <x:v>Surfaçada</x:v>
      </x:c>
      <x:c r="E1921" s="24" t="str">
        <x:v>EnergizeMe</x:v>
      </x:c>
      <x:c r="F1921" s="24" t="str">
        <x:v>PhotoFusion X Extra Dark Cinza</x:v>
      </x:c>
      <x:c r="G1921" s="24" t="str">
        <x:v>1.67</x:v>
      </x:c>
      <x:c r="H1921" s="24" t="str">
        <x:v>1.67</x:v>
      </x:c>
      <x:c r="I1921" s="24" t="str">
        <x:v>DuraVision Platinum UV</x:v>
      </x:c>
      <x:c r="J1921" s="40" t="n">
        <x:v>4804</x:v>
      </x:c>
      <x:c r="K1921" s="24" t="str">
        <x:v>-8.00 a +8.00</x:v>
      </x:c>
      <x:c r="L1921" s="24" t="str">
        <x:v>-6.00</x:v>
      </x:c>
      <x:c r="M1921" s="24" t="str">
        <x:v>70</x:v>
      </x:c>
      <x:c r="N1921" s="24" t="str">
        <x:v>4.00</x:v>
      </x:c>
      <x:c r="O1921" s="24"/>
      <x:c r="P1921" s="24"/>
      <x:c r="Q1921" s="24" t="str">
        <x:v>DISPONÍVEL</x:v>
      </x:c>
      <x:c r="R1921" s="24" t="str">
        <x:v>Programa de Parcerias ZEISS</x:v>
      </x:c>
      <x:c r="S1921" s="24" t="n">
        <x:v>30</x:v>
      </x:c>
      <x:c r="T1921" s="24" t="str">
        <x:v>tabela_zeiss.pdf</x:v>
      </x:c>
      <x:c r="U1921" s="24" t="str">
        <x:v>ZEISS|Visão Simples Especial|Surfaçada|EnergizeMe|PhotoFusion X Extra Dark Cinza|1.67|1.67|DuraVision Platinum UV|-8.00 a +8.00|-6.00|70|4.00|||30</x:v>
      </x:c>
    </x:row>
    <x:row r="1922">
      <x:c r="A1922" s="24" t="str">
        <x:v>ZS-E1A244A2FF32</x:v>
      </x:c>
      <x:c r="B1922" s="24" t="str">
        <x:v>ZEISS</x:v>
      </x:c>
      <x:c r="C1922" s="24" t="str">
        <x:v>Progressiva</x:v>
      </x:c>
      <x:c r="D1922" s="24" t="str">
        <x:v>Surfaçada</x:v>
      </x:c>
      <x:c r="E1922" s="24" t="str">
        <x:v>ClearMind Individual 3</x:v>
      </x:c>
      <x:c r="F1922" s="24"/>
      <x:c r="G1922" s="24" t="str">
        <x:v>1.5</x:v>
      </x:c>
      <x:c r="H1922" s="24" t="str">
        <x:v>1.50</x:v>
      </x:c>
      <x:c r="I1922" s="24" t="str">
        <x:v>DuraVision Gold UV</x:v>
      </x:c>
      <x:c r="J1922" s="40" t="n">
        <x:v>12250</x:v>
      </x:c>
      <x:c r="K1922" s="24" t="str">
        <x:v>-6.00 a +4.00</x:v>
      </x:c>
      <x:c r="L1922" s="24" t="str">
        <x:v>-4.00</x:v>
      </x:c>
      <x:c r="M1922" s="24" t="str">
        <x:v>0.75 a 3.50</x:v>
      </x:c>
      <x:c r="N1922" s="24" t="str">
        <x:v>75</x:v>
      </x:c>
      <x:c r="O1922" s="24"/>
      <x:c r="P1922" s="24"/>
      <x:c r="Q1922" s="24" t="str">
        <x:v>DISPONÍVEL</x:v>
      </x:c>
      <x:c r="R1922" s="24" t="str">
        <x:v>Programa de Parcerias ZEISS — categoria Experts</x:v>
      </x:c>
      <x:c r="S1922" s="24" t="n">
        <x:v>32</x:v>
      </x:c>
      <x:c r="T1922" s="24" t="str">
        <x:v>tabela_zeiss.pdf</x:v>
      </x:c>
      <x:c r="U1922" s="24" t="str">
        <x:v>ZEISS|Progressiva|Surfaçada|ClearMind Individual 3||1.5|1.50|DuraVision Gold UV|-6.00 a +4.00|-4.00|0.75 a 3.50|75|||32</x:v>
      </x:c>
    </x:row>
    <x:row r="1923">
      <x:c r="A1923" s="24" t="str">
        <x:v>ZS-9332E6A46078</x:v>
      </x:c>
      <x:c r="B1923" s="24" t="str">
        <x:v>ZEISS</x:v>
      </x:c>
      <x:c r="C1923" s="24" t="str">
        <x:v>Progressiva</x:v>
      </x:c>
      <x:c r="D1923" s="24" t="str">
        <x:v>Surfaçada</x:v>
      </x:c>
      <x:c r="E1923" s="24" t="str">
        <x:v>ClearMind Individual 3</x:v>
      </x:c>
      <x:c r="F1923" s="24"/>
      <x:c r="G1923" s="24" t="str">
        <x:v>1.5</x:v>
      </x:c>
      <x:c r="H1923" s="24" t="str">
        <x:v>1.50</x:v>
      </x:c>
      <x:c r="I1923" s="24" t="str">
        <x:v>DURAVISION® ANTIVÍRUS PLATINUM UV</x:v>
      </x:c>
      <x:c r="J1923" s="40" t="n">
        <x:v>12110</x:v>
      </x:c>
      <x:c r="K1923" s="24" t="str">
        <x:v>-6.00 a +4.00</x:v>
      </x:c>
      <x:c r="L1923" s="24" t="str">
        <x:v>-4.00</x:v>
      </x:c>
      <x:c r="M1923" s="24" t="str">
        <x:v>0.75 a 3.50</x:v>
      </x:c>
      <x:c r="N1923" s="24" t="str">
        <x:v>75</x:v>
      </x:c>
      <x:c r="O1923" s="24"/>
      <x:c r="P1923" s="24"/>
      <x:c r="Q1923" s="24" t="str">
        <x:v>DISPONÍVEL</x:v>
      </x:c>
      <x:c r="R1923" s="24" t="str">
        <x:v>Programa de Parcerias ZEISS — categoria Experts</x:v>
      </x:c>
      <x:c r="S1923" s="24" t="n">
        <x:v>32</x:v>
      </x:c>
      <x:c r="T1923" s="24" t="str">
        <x:v>tabela_zeiss.pdf</x:v>
      </x:c>
      <x:c r="U1923" s="24" t="str">
        <x:v>ZEISS|Progressiva|Surfaçada|ClearMind Individual 3||1.5|1.50|DURAVISION® ANTIVÍRUS PLATINUM UV|-6.00 a +4.00|-4.00|0.75 a 3.50|75|||32</x:v>
      </x:c>
    </x:row>
    <x:row r="1924">
      <x:c r="A1924" s="24" t="str">
        <x:v>ZS-C9239EA5CB5A</x:v>
      </x:c>
      <x:c r="B1924" s="24" t="str">
        <x:v>ZEISS</x:v>
      </x:c>
      <x:c r="C1924" s="24" t="str">
        <x:v>Progressiva</x:v>
      </x:c>
      <x:c r="D1924" s="24" t="str">
        <x:v>Surfaçada</x:v>
      </x:c>
      <x:c r="E1924" s="24" t="str">
        <x:v>ClearMind Individual 3</x:v>
      </x:c>
      <x:c r="F1924" s="24"/>
      <x:c r="G1924" s="24" t="str">
        <x:v>1.5</x:v>
      </x:c>
      <x:c r="H1924" s="24" t="str">
        <x:v>1.50</x:v>
      </x:c>
      <x:c r="I1924" s="24" t="str">
        <x:v>DuraVision Platinum UV</x:v>
      </x:c>
      <x:c r="J1924" s="40" t="n">
        <x:v>12110</x:v>
      </x:c>
      <x:c r="K1924" s="24" t="str">
        <x:v>-6.00 a +4.00</x:v>
      </x:c>
      <x:c r="L1924" s="24" t="str">
        <x:v>-4.00</x:v>
      </x:c>
      <x:c r="M1924" s="24" t="str">
        <x:v>0.75 a 3.50</x:v>
      </x:c>
      <x:c r="N1924" s="24" t="str">
        <x:v>75</x:v>
      </x:c>
      <x:c r="O1924" s="24"/>
      <x:c r="P1924" s="24"/>
      <x:c r="Q1924" s="24" t="str">
        <x:v>DISPONÍVEL</x:v>
      </x:c>
      <x:c r="R1924" s="24" t="str">
        <x:v>Programa de Parcerias ZEISS — categoria Experts</x:v>
      </x:c>
      <x:c r="S1924" s="24" t="n">
        <x:v>32</x:v>
      </x:c>
      <x:c r="T1924" s="24" t="str">
        <x:v>tabela_zeiss.pdf</x:v>
      </x:c>
      <x:c r="U1924" s="24" t="str">
        <x:v>ZEISS|Progressiva|Surfaçada|ClearMind Individual 3||1.5|1.50|DuraVision Platinum UV|-6.00 a +4.00|-4.00|0.75 a 3.50|75|||32</x:v>
      </x:c>
    </x:row>
    <x:row r="1925">
      <x:c r="A1925" s="24" t="str">
        <x:v>ZS-17E4447F97FE</x:v>
      </x:c>
      <x:c r="B1925" s="24" t="str">
        <x:v>ZEISS</x:v>
      </x:c>
      <x:c r="C1925" s="24" t="str">
        <x:v>Progressiva</x:v>
      </x:c>
      <x:c r="D1925" s="24" t="str">
        <x:v>Surfaçada</x:v>
      </x:c>
      <x:c r="E1925" s="24" t="str">
        <x:v>ClearMind Individual 3</x:v>
      </x:c>
      <x:c r="F1925" s="24"/>
      <x:c r="G1925" s="24" t="str">
        <x:v>1.5</x:v>
      </x:c>
      <x:c r="H1925" s="24" t="str">
        <x:v>1.50</x:v>
      </x:c>
      <x:c r="I1925" s="24" t="str">
        <x:v>DuraVision Silver UV</x:v>
      </x:c>
      <x:c r="J1925" s="40" t="n">
        <x:v>11850</x:v>
      </x:c>
      <x:c r="K1925" s="24" t="str">
        <x:v>-6.00 a +4.00</x:v>
      </x:c>
      <x:c r="L1925" s="24" t="str">
        <x:v>-4.00</x:v>
      </x:c>
      <x:c r="M1925" s="24" t="str">
        <x:v>0.75 a 3.50</x:v>
      </x:c>
      <x:c r="N1925" s="24" t="str">
        <x:v>75</x:v>
      </x:c>
      <x:c r="O1925" s="24"/>
      <x:c r="P1925" s="24"/>
      <x:c r="Q1925" s="24" t="str">
        <x:v>DISPONÍVEL</x:v>
      </x:c>
      <x:c r="R1925" s="24" t="str">
        <x:v>Programa de Parcerias ZEISS — categoria Experts</x:v>
      </x:c>
      <x:c r="S1925" s="24" t="n">
        <x:v>32</x:v>
      </x:c>
      <x:c r="T1925" s="24" t="str">
        <x:v>tabela_zeiss.pdf</x:v>
      </x:c>
      <x:c r="U1925" s="24" t="str">
        <x:v>ZEISS|Progressiva|Surfaçada|ClearMind Individual 3||1.5|1.50|DuraVision Silver UV|-6.00 a +4.00|-4.00|0.75 a 3.50|75|||32</x:v>
      </x:c>
    </x:row>
    <x:row r="1926">
      <x:c r="A1926" s="24" t="str">
        <x:v>ZS-2E74EF535736</x:v>
      </x:c>
      <x:c r="B1926" s="24" t="str">
        <x:v>ZEISS</x:v>
      </x:c>
      <x:c r="C1926" s="24" t="str">
        <x:v>Progressiva</x:v>
      </x:c>
      <x:c r="D1926" s="24" t="str">
        <x:v>Surfaçada</x:v>
      </x:c>
      <x:c r="E1926" s="24" t="str">
        <x:v>ClearMind Individual 3</x:v>
      </x:c>
      <x:c r="F1926" s="24"/>
      <x:c r="G1926" s="24" t="str">
        <x:v>1.5</x:v>
      </x:c>
      <x:c r="H1926" s="24" t="str">
        <x:v>1.50</x:v>
      </x:c>
      <x:c r="I1926" s="24" t="str">
        <x:v>DuraVision Chrome UV</x:v>
      </x:c>
      <x:c r="J1926" s="40" t="n">
        <x:v>11360</x:v>
      </x:c>
      <x:c r="K1926" s="24" t="str">
        <x:v>-6.00 a +4.00</x:v>
      </x:c>
      <x:c r="L1926" s="24" t="str">
        <x:v>-4.00</x:v>
      </x:c>
      <x:c r="M1926" s="24" t="str">
        <x:v>0.75 a 3.50</x:v>
      </x:c>
      <x:c r="N1926" s="24" t="str">
        <x:v>75</x:v>
      </x:c>
      <x:c r="O1926" s="24"/>
      <x:c r="P1926" s="24"/>
      <x:c r="Q1926" s="24" t="str">
        <x:v>DISPONÍVEL</x:v>
      </x:c>
      <x:c r="R1926" s="24" t="str">
        <x:v>Programa de Parcerias ZEISS — categoria Experts</x:v>
      </x:c>
      <x:c r="S1926" s="24" t="n">
        <x:v>32</x:v>
      </x:c>
      <x:c r="T1926" s="24" t="str">
        <x:v>tabela_zeiss.pdf</x:v>
      </x:c>
      <x:c r="U1926" s="24" t="str">
        <x:v>ZEISS|Progressiva|Surfaçada|ClearMind Individual 3||1.5|1.50|DuraVision Chrome UV|-6.00 a +4.00|-4.00|0.75 a 3.50|75|||32</x:v>
      </x:c>
    </x:row>
    <x:row r="1927">
      <x:c r="A1927" s="24" t="str">
        <x:v>ZS-976538BAA60B</x:v>
      </x:c>
      <x:c r="B1927" s="24" t="str">
        <x:v>ZEISS</x:v>
      </x:c>
      <x:c r="C1927" s="24" t="str">
        <x:v>Progressiva</x:v>
      </x:c>
      <x:c r="D1927" s="24" t="str">
        <x:v>Surfaçada</x:v>
      </x:c>
      <x:c r="E1927" s="24" t="str">
        <x:v>ClearMind Individual 3</x:v>
      </x:c>
      <x:c r="F1927" s="24"/>
      <x:c r="G1927" s="24" t="str">
        <x:v>Poli</x:v>
      </x:c>
      <x:c r="H1927" s="24"/>
      <x:c r="I1927" s="24" t="str">
        <x:v>DuraVision Gold UV</x:v>
      </x:c>
      <x:c r="J1927" s="40" t="n">
        <x:v>12840</x:v>
      </x:c>
      <x:c r="K1927" s="24" t="str">
        <x:v>-10.00 a +6.00</x:v>
      </x:c>
      <x:c r="L1927" s="24" t="str">
        <x:v>-6.00</x:v>
      </x:c>
      <x:c r="M1927" s="24" t="str">
        <x:v>0.75 a 3.00</x:v>
      </x:c>
      <x:c r="N1927" s="24" t="str">
        <x:v>70</x:v>
      </x:c>
      <x:c r="O1927" s="24"/>
      <x:c r="P1927" s="24"/>
      <x:c r="Q1927" s="24" t="str">
        <x:v>DISPONÍVEL</x:v>
      </x:c>
      <x:c r="R1927" s="24" t="str">
        <x:v>Programa de Parcerias ZEISS — categoria Experts</x:v>
      </x:c>
      <x:c r="S1927" s="24" t="n">
        <x:v>32</x:v>
      </x:c>
      <x:c r="T1927" s="24" t="str">
        <x:v>tabela_zeiss.pdf</x:v>
      </x:c>
      <x:c r="U1927" s="24" t="str">
        <x:v>ZEISS|Progressiva|Surfaçada|ClearMind Individual 3||Poli||DuraVision Gold UV|-10.00 a +6.00|-6.00|0.75 a 3.00|70|||32</x:v>
      </x:c>
    </x:row>
    <x:row r="1928">
      <x:c r="A1928" s="24" t="str">
        <x:v>ZS-1F5598C015EC</x:v>
      </x:c>
      <x:c r="B1928" s="24" t="str">
        <x:v>ZEISS</x:v>
      </x:c>
      <x:c r="C1928" s="24" t="str">
        <x:v>Progressiva</x:v>
      </x:c>
      <x:c r="D1928" s="24" t="str">
        <x:v>Surfaçada</x:v>
      </x:c>
      <x:c r="E1928" s="24" t="str">
        <x:v>ClearMind Individual 3</x:v>
      </x:c>
      <x:c r="F1928" s="24"/>
      <x:c r="G1928" s="24" t="str">
        <x:v>Poli</x:v>
      </x:c>
      <x:c r="H1928" s="24"/>
      <x:c r="I1928" s="24" t="str">
        <x:v>DuraVision Platinum UV</x:v>
      </x:c>
      <x:c r="J1928" s="40" t="n">
        <x:v>12700</x:v>
      </x:c>
      <x:c r="K1928" s="24" t="str">
        <x:v>-10.00 a +6.00</x:v>
      </x:c>
      <x:c r="L1928" s="24" t="str">
        <x:v>-6.00</x:v>
      </x:c>
      <x:c r="M1928" s="24" t="str">
        <x:v>0.75 a 3.00</x:v>
      </x:c>
      <x:c r="N1928" s="24" t="str">
        <x:v>70</x:v>
      </x:c>
      <x:c r="O1928" s="24"/>
      <x:c r="P1928" s="24"/>
      <x:c r="Q1928" s="24" t="str">
        <x:v>DISPONÍVEL</x:v>
      </x:c>
      <x:c r="R1928" s="24" t="str">
        <x:v>Programa de Parcerias ZEISS — categoria Experts</x:v>
      </x:c>
      <x:c r="S1928" s="24" t="n">
        <x:v>32</x:v>
      </x:c>
      <x:c r="T1928" s="24" t="str">
        <x:v>tabela_zeiss.pdf</x:v>
      </x:c>
      <x:c r="U1928" s="24" t="str">
        <x:v>ZEISS|Progressiva|Surfaçada|ClearMind Individual 3||Poli||DuraVision Platinum UV|-10.00 a +6.00|-6.00|0.75 a 3.00|70|||32</x:v>
      </x:c>
    </x:row>
    <x:row r="1929">
      <x:c r="A1929" s="24" t="str">
        <x:v>ZS-975DE591B475</x:v>
      </x:c>
      <x:c r="B1929" s="24" t="str">
        <x:v>ZEISS</x:v>
      </x:c>
      <x:c r="C1929" s="24" t="str">
        <x:v>Progressiva</x:v>
      </x:c>
      <x:c r="D1929" s="24" t="str">
        <x:v>Surfaçada</x:v>
      </x:c>
      <x:c r="E1929" s="24" t="str">
        <x:v>ClearMind Individual 3</x:v>
      </x:c>
      <x:c r="F1929" s="24"/>
      <x:c r="G1929" s="24" t="str">
        <x:v>Poli</x:v>
      </x:c>
      <x:c r="H1929" s="24"/>
      <x:c r="I1929" s="24" t="str">
        <x:v>DuraVision Silver UV</x:v>
      </x:c>
      <x:c r="J1929" s="40" t="n">
        <x:v>12440</x:v>
      </x:c>
      <x:c r="K1929" s="24" t="str">
        <x:v>-10.00 a +6.00</x:v>
      </x:c>
      <x:c r="L1929" s="24" t="str">
        <x:v>-6.00</x:v>
      </x:c>
      <x:c r="M1929" s="24" t="str">
        <x:v>0.75 a 3.00</x:v>
      </x:c>
      <x:c r="N1929" s="24" t="str">
        <x:v>70</x:v>
      </x:c>
      <x:c r="O1929" s="24"/>
      <x:c r="P1929" s="24"/>
      <x:c r="Q1929" s="24" t="str">
        <x:v>DISPONÍVEL</x:v>
      </x:c>
      <x:c r="R1929" s="24" t="str">
        <x:v>Programa de Parcerias ZEISS — categoria Experts</x:v>
      </x:c>
      <x:c r="S1929" s="24" t="n">
        <x:v>32</x:v>
      </x:c>
      <x:c r="T1929" s="24" t="str">
        <x:v>tabela_zeiss.pdf</x:v>
      </x:c>
      <x:c r="U1929" s="24" t="str">
        <x:v>ZEISS|Progressiva|Surfaçada|ClearMind Individual 3||Poli||DuraVision Silver UV|-10.00 a +6.00|-6.00|0.75 a 3.00|70|||32</x:v>
      </x:c>
    </x:row>
    <x:row r="1930">
      <x:c r="A1930" s="24" t="str">
        <x:v>ZS-EBAD2C187FB0</x:v>
      </x:c>
      <x:c r="B1930" s="24" t="str">
        <x:v>ZEISS</x:v>
      </x:c>
      <x:c r="C1930" s="24" t="str">
        <x:v>Progressiva</x:v>
      </x:c>
      <x:c r="D1930" s="24" t="str">
        <x:v>Surfaçada</x:v>
      </x:c>
      <x:c r="E1930" s="24" t="str">
        <x:v>ClearMind Individual 3</x:v>
      </x:c>
      <x:c r="F1930" s="24"/>
      <x:c r="G1930" s="24" t="str">
        <x:v>Poli</x:v>
      </x:c>
      <x:c r="H1930" s="24"/>
      <x:c r="I1930" s="24" t="str">
        <x:v>DuraVision Chrome UV</x:v>
      </x:c>
      <x:c r="J1930" s="40" t="n">
        <x:v>11950</x:v>
      </x:c>
      <x:c r="K1930" s="24" t="str">
        <x:v>-10.00 a +6.00</x:v>
      </x:c>
      <x:c r="L1930" s="24" t="str">
        <x:v>-6.00</x:v>
      </x:c>
      <x:c r="M1930" s="24" t="str">
        <x:v>0.75 a 3.00</x:v>
      </x:c>
      <x:c r="N1930" s="24" t="str">
        <x:v>70</x:v>
      </x:c>
      <x:c r="O1930" s="24"/>
      <x:c r="P1930" s="24"/>
      <x:c r="Q1930" s="24" t="str">
        <x:v>DISPONÍVEL</x:v>
      </x:c>
      <x:c r="R1930" s="24" t="str">
        <x:v>Programa de Parcerias ZEISS — categoria Experts</x:v>
      </x:c>
      <x:c r="S1930" s="24" t="n">
        <x:v>32</x:v>
      </x:c>
      <x:c r="T1930" s="24" t="str">
        <x:v>tabela_zeiss.pdf</x:v>
      </x:c>
      <x:c r="U1930" s="24" t="str">
        <x:v>ZEISS|Progressiva|Surfaçada|ClearMind Individual 3||Poli||DuraVision Chrome UV|-10.00 a +6.00|-6.00|0.75 a 3.00|70|||32</x:v>
      </x:c>
    </x:row>
    <x:row r="1931">
      <x:c r="A1931" s="24" t="str">
        <x:v>ZS-21525022EA8D</x:v>
      </x:c>
      <x:c r="B1931" s="24" t="str">
        <x:v>ZEISS</x:v>
      </x:c>
      <x:c r="C1931" s="24" t="str">
        <x:v>Progressiva</x:v>
      </x:c>
      <x:c r="D1931" s="24" t="str">
        <x:v>Surfaçada</x:v>
      </x:c>
      <x:c r="E1931" s="24" t="str">
        <x:v>ClearMind Individual 3</x:v>
      </x:c>
      <x:c r="F1931" s="24"/>
      <x:c r="G1931" s="24" t="str">
        <x:v>1.6</x:v>
      </x:c>
      <x:c r="H1931" s="24" t="str">
        <x:v>1.60</x:v>
      </x:c>
      <x:c r="I1931" s="24" t="str">
        <x:v>DuraVision Gold UV</x:v>
      </x:c>
      <x:c r="J1931" s="40" t="n">
        <x:v>13500</x:v>
      </x:c>
      <x:c r="K1931" s="24" t="str">
        <x:v>-7.25 a +6.00</x:v>
      </x:c>
      <x:c r="L1931" s="24" t="str">
        <x:v>-6.00</x:v>
      </x:c>
      <x:c r="M1931" s="24" t="str">
        <x:v>0.75 a 3.50</x:v>
      </x:c>
      <x:c r="N1931" s="24" t="str">
        <x:v>75</x:v>
      </x:c>
      <x:c r="O1931" s="24"/>
      <x:c r="P1931" s="24"/>
      <x:c r="Q1931" s="24" t="str">
        <x:v>DISPONÍVEL</x:v>
      </x:c>
      <x:c r="R1931" s="24" t="str">
        <x:v>Programa de Parcerias ZEISS — categoria Experts</x:v>
      </x:c>
      <x:c r="S1931" s="24" t="n">
        <x:v>32</x:v>
      </x:c>
      <x:c r="T1931" s="24" t="str">
        <x:v>tabela_zeiss.pdf</x:v>
      </x:c>
      <x:c r="U1931" s="24" t="str">
        <x:v>ZEISS|Progressiva|Surfaçada|ClearMind Individual 3||1.6|1.60|DuraVision Gold UV|-7.25 a +6.00|-6.00|0.75 a 3.50|75|||32</x:v>
      </x:c>
    </x:row>
    <x:row r="1932">
      <x:c r="A1932" s="24" t="str">
        <x:v>ZS-A869692B7A29</x:v>
      </x:c>
      <x:c r="B1932" s="24" t="str">
        <x:v>ZEISS</x:v>
      </x:c>
      <x:c r="C1932" s="24" t="str">
        <x:v>Progressiva</x:v>
      </x:c>
      <x:c r="D1932" s="24" t="str">
        <x:v>Surfaçada</x:v>
      </x:c>
      <x:c r="E1932" s="24" t="str">
        <x:v>ClearMind Individual 3</x:v>
      </x:c>
      <x:c r="F1932" s="24"/>
      <x:c r="G1932" s="24" t="str">
        <x:v>1.6</x:v>
      </x:c>
      <x:c r="H1932" s="24" t="str">
        <x:v>1.60</x:v>
      </x:c>
      <x:c r="I1932" s="24" t="str">
        <x:v>DURAVISION® ANTIVÍRUS PLATINUM UV</x:v>
      </x:c>
      <x:c r="J1932" s="40" t="n">
        <x:v>13360</x:v>
      </x:c>
      <x:c r="K1932" s="24" t="str">
        <x:v>-7.25 a +6.00</x:v>
      </x:c>
      <x:c r="L1932" s="24" t="str">
        <x:v>-6.00</x:v>
      </x:c>
      <x:c r="M1932" s="24" t="str">
        <x:v>0.75 a 3.50</x:v>
      </x:c>
      <x:c r="N1932" s="24" t="str">
        <x:v>75</x:v>
      </x:c>
      <x:c r="O1932" s="24"/>
      <x:c r="P1932" s="24"/>
      <x:c r="Q1932" s="24" t="str">
        <x:v>DISPONÍVEL</x:v>
      </x:c>
      <x:c r="R1932" s="24" t="str">
        <x:v>Programa de Parcerias ZEISS — categoria Experts</x:v>
      </x:c>
      <x:c r="S1932" s="24" t="n">
        <x:v>32</x:v>
      </x:c>
      <x:c r="T1932" s="24" t="str">
        <x:v>tabela_zeiss.pdf</x:v>
      </x:c>
      <x:c r="U1932" s="24" t="str">
        <x:v>ZEISS|Progressiva|Surfaçada|ClearMind Individual 3||1.6|1.60|DURAVISION® ANTIVÍRUS PLATINUM UV|-7.25 a +6.00|-6.00|0.75 a 3.50|75|||32</x:v>
      </x:c>
    </x:row>
    <x:row r="1933">
      <x:c r="A1933" s="24" t="str">
        <x:v>ZS-AE3F7DBF1DEA</x:v>
      </x:c>
      <x:c r="B1933" s="24" t="str">
        <x:v>ZEISS</x:v>
      </x:c>
      <x:c r="C1933" s="24" t="str">
        <x:v>Progressiva</x:v>
      </x:c>
      <x:c r="D1933" s="24" t="str">
        <x:v>Surfaçada</x:v>
      </x:c>
      <x:c r="E1933" s="24" t="str">
        <x:v>ClearMind Individual 3</x:v>
      </x:c>
      <x:c r="F1933" s="24"/>
      <x:c r="G1933" s="24" t="str">
        <x:v>1.6</x:v>
      </x:c>
      <x:c r="H1933" s="24" t="str">
        <x:v>1.60</x:v>
      </x:c>
      <x:c r="I1933" s="24" t="str">
        <x:v>DuraVision Platinum UV</x:v>
      </x:c>
      <x:c r="J1933" s="40" t="n">
        <x:v>13360</x:v>
      </x:c>
      <x:c r="K1933" s="24" t="str">
        <x:v>-7.25 a +6.00</x:v>
      </x:c>
      <x:c r="L1933" s="24" t="str">
        <x:v>-6.00</x:v>
      </x:c>
      <x:c r="M1933" s="24" t="str">
        <x:v>0.75 a 3.50</x:v>
      </x:c>
      <x:c r="N1933" s="24" t="str">
        <x:v>75</x:v>
      </x:c>
      <x:c r="O1933" s="24"/>
      <x:c r="P1933" s="24"/>
      <x:c r="Q1933" s="24" t="str">
        <x:v>DISPONÍVEL</x:v>
      </x:c>
      <x:c r="R1933" s="24" t="str">
        <x:v>Programa de Parcerias ZEISS — categoria Experts</x:v>
      </x:c>
      <x:c r="S1933" s="24" t="n">
        <x:v>32</x:v>
      </x:c>
      <x:c r="T1933" s="24" t="str">
        <x:v>tabela_zeiss.pdf</x:v>
      </x:c>
      <x:c r="U1933" s="24" t="str">
        <x:v>ZEISS|Progressiva|Surfaçada|ClearMind Individual 3||1.6|1.60|DuraVision Platinum UV|-7.25 a +6.00|-6.00|0.75 a 3.50|75|||32</x:v>
      </x:c>
    </x:row>
    <x:row r="1934">
      <x:c r="A1934" s="24" t="str">
        <x:v>ZS-C84C02C32852</x:v>
      </x:c>
      <x:c r="B1934" s="24" t="str">
        <x:v>ZEISS</x:v>
      </x:c>
      <x:c r="C1934" s="24" t="str">
        <x:v>Progressiva</x:v>
      </x:c>
      <x:c r="D1934" s="24" t="str">
        <x:v>Surfaçada</x:v>
      </x:c>
      <x:c r="E1934" s="24" t="str">
        <x:v>ClearMind Individual 3</x:v>
      </x:c>
      <x:c r="F1934" s="24"/>
      <x:c r="G1934" s="24" t="str">
        <x:v>1.6</x:v>
      </x:c>
      <x:c r="H1934" s="24" t="str">
        <x:v>1.60</x:v>
      </x:c>
      <x:c r="I1934" s="24" t="str">
        <x:v>DuraVision Silver UV</x:v>
      </x:c>
      <x:c r="J1934" s="40" t="n">
        <x:v>13100</x:v>
      </x:c>
      <x:c r="K1934" s="24" t="str">
        <x:v>-7.25 a +6.00</x:v>
      </x:c>
      <x:c r="L1934" s="24" t="str">
        <x:v>-6.00</x:v>
      </x:c>
      <x:c r="M1934" s="24" t="str">
        <x:v>0.75 a 3.50</x:v>
      </x:c>
      <x:c r="N1934" s="24" t="str">
        <x:v>75</x:v>
      </x:c>
      <x:c r="O1934" s="24"/>
      <x:c r="P1934" s="24"/>
      <x:c r="Q1934" s="24" t="str">
        <x:v>DISPONÍVEL</x:v>
      </x:c>
      <x:c r="R1934" s="24" t="str">
        <x:v>Programa de Parcerias ZEISS — categoria Experts</x:v>
      </x:c>
      <x:c r="S1934" s="24" t="n">
        <x:v>32</x:v>
      </x:c>
      <x:c r="T1934" s="24" t="str">
        <x:v>tabela_zeiss.pdf</x:v>
      </x:c>
      <x:c r="U1934" s="24" t="str">
        <x:v>ZEISS|Progressiva|Surfaçada|ClearMind Individual 3||1.6|1.60|DuraVision Silver UV|-7.25 a +6.00|-6.00|0.75 a 3.50|75|||32</x:v>
      </x:c>
    </x:row>
    <x:row r="1935">
      <x:c r="A1935" s="24" t="str">
        <x:v>ZS-A9DEEA669B4F</x:v>
      </x:c>
      <x:c r="B1935" s="24" t="str">
        <x:v>ZEISS</x:v>
      </x:c>
      <x:c r="C1935" s="24" t="str">
        <x:v>Progressiva</x:v>
      </x:c>
      <x:c r="D1935" s="24" t="str">
        <x:v>Surfaçada</x:v>
      </x:c>
      <x:c r="E1935" s="24" t="str">
        <x:v>ClearMind Individual 3</x:v>
      </x:c>
      <x:c r="F1935" s="24"/>
      <x:c r="G1935" s="24" t="str">
        <x:v>1.6</x:v>
      </x:c>
      <x:c r="H1935" s="24" t="str">
        <x:v>1.60</x:v>
      </x:c>
      <x:c r="I1935" s="24" t="str">
        <x:v>DuraVision Chrome UV</x:v>
      </x:c>
      <x:c r="J1935" s="40" t="n">
        <x:v>12610</x:v>
      </x:c>
      <x:c r="K1935" s="24" t="str">
        <x:v>-7.25 a +6.00</x:v>
      </x:c>
      <x:c r="L1935" s="24" t="str">
        <x:v>-6.00</x:v>
      </x:c>
      <x:c r="M1935" s="24" t="str">
        <x:v>0.75 a 3.50</x:v>
      </x:c>
      <x:c r="N1935" s="24" t="str">
        <x:v>75</x:v>
      </x:c>
      <x:c r="O1935" s="24"/>
      <x:c r="P1935" s="24"/>
      <x:c r="Q1935" s="24" t="str">
        <x:v>DISPONÍVEL</x:v>
      </x:c>
      <x:c r="R1935" s="24" t="str">
        <x:v>Programa de Parcerias ZEISS — categoria Experts</x:v>
      </x:c>
      <x:c r="S1935" s="24" t="n">
        <x:v>32</x:v>
      </x:c>
      <x:c r="T1935" s="24" t="str">
        <x:v>tabela_zeiss.pdf</x:v>
      </x:c>
      <x:c r="U1935" s="24" t="str">
        <x:v>ZEISS|Progressiva|Surfaçada|ClearMind Individual 3||1.6|1.60|DuraVision Chrome UV|-7.25 a +6.00|-6.00|0.75 a 3.50|75|||32</x:v>
      </x:c>
    </x:row>
    <x:row r="1936">
      <x:c r="A1936" s="24" t="str">
        <x:v>ZS-01F29685E068</x:v>
      </x:c>
      <x:c r="B1936" s="24" t="str">
        <x:v>ZEISS</x:v>
      </x:c>
      <x:c r="C1936" s="24" t="str">
        <x:v>Progressiva</x:v>
      </x:c>
      <x:c r="D1936" s="24" t="str">
        <x:v>Surfaçada</x:v>
      </x:c>
      <x:c r="E1936" s="24" t="str">
        <x:v>ClearMind Individual 3</x:v>
      </x:c>
      <x:c r="F1936" s="24"/>
      <x:c r="G1936" s="24" t="str">
        <x:v>1.67</x:v>
      </x:c>
      <x:c r="H1936" s="24" t="str">
        <x:v>1.67</x:v>
      </x:c>
      <x:c r="I1936" s="24" t="str">
        <x:v>DuraVision Gold UV</x:v>
      </x:c>
      <x:c r="J1936" s="40" t="n">
        <x:v>15140</x:v>
      </x:c>
      <x:c r="K1936" s="24" t="str">
        <x:v>-8.00 a +8.00</x:v>
      </x:c>
      <x:c r="L1936" s="24" t="str">
        <x:v>-6.00</x:v>
      </x:c>
      <x:c r="M1936" s="24" t="str">
        <x:v>0.75 a 3.00</x:v>
      </x:c>
      <x:c r="N1936" s="24" t="str">
        <x:v>70</x:v>
      </x:c>
      <x:c r="O1936" s="24"/>
      <x:c r="P1936" s="24"/>
      <x:c r="Q1936" s="24" t="str">
        <x:v>DISPONÍVEL</x:v>
      </x:c>
      <x:c r="R1936" s="24" t="str">
        <x:v>Programa de Parcerias ZEISS — categoria Experts</x:v>
      </x:c>
      <x:c r="S1936" s="24" t="n">
        <x:v>32</x:v>
      </x:c>
      <x:c r="T1936" s="24" t="str">
        <x:v>tabela_zeiss.pdf</x:v>
      </x:c>
      <x:c r="U1936" s="24" t="str">
        <x:v>ZEISS|Progressiva|Surfaçada|ClearMind Individual 3||1.67|1.67|DuraVision Gold UV|-8.00 a +8.00|-6.00|0.75 a 3.00|70|||32</x:v>
      </x:c>
    </x:row>
    <x:row r="1937">
      <x:c r="A1937" s="24" t="str">
        <x:v>ZS-459C2081C100</x:v>
      </x:c>
      <x:c r="B1937" s="24" t="str">
        <x:v>ZEISS</x:v>
      </x:c>
      <x:c r="C1937" s="24" t="str">
        <x:v>Progressiva</x:v>
      </x:c>
      <x:c r="D1937" s="24" t="str">
        <x:v>Surfaçada</x:v>
      </x:c>
      <x:c r="E1937" s="24" t="str">
        <x:v>ClearMind Individual 3</x:v>
      </x:c>
      <x:c r="F1937" s="24"/>
      <x:c r="G1937" s="24" t="str">
        <x:v>1.67</x:v>
      </x:c>
      <x:c r="H1937" s="24" t="str">
        <x:v>1.67</x:v>
      </x:c>
      <x:c r="I1937" s="24" t="str">
        <x:v>DURAVISION® ANTIVÍRUS PLATINUM UV</x:v>
      </x:c>
      <x:c r="J1937" s="40" t="n">
        <x:v>15000</x:v>
      </x:c>
      <x:c r="K1937" s="24" t="str">
        <x:v>-8.00 a +8.00</x:v>
      </x:c>
      <x:c r="L1937" s="24" t="str">
        <x:v>-6.00</x:v>
      </x:c>
      <x:c r="M1937" s="24" t="str">
        <x:v>0.75 a 3.00</x:v>
      </x:c>
      <x:c r="N1937" s="24" t="str">
        <x:v>70</x:v>
      </x:c>
      <x:c r="O1937" s="24"/>
      <x:c r="P1937" s="24"/>
      <x:c r="Q1937" s="24" t="str">
        <x:v>DISPONÍVEL</x:v>
      </x:c>
      <x:c r="R1937" s="24" t="str">
        <x:v>Programa de Parcerias ZEISS — categoria Experts</x:v>
      </x:c>
      <x:c r="S1937" s="24" t="n">
        <x:v>32</x:v>
      </x:c>
      <x:c r="T1937" s="24" t="str">
        <x:v>tabela_zeiss.pdf</x:v>
      </x:c>
      <x:c r="U1937" s="24" t="str">
        <x:v>ZEISS|Progressiva|Surfaçada|ClearMind Individual 3||1.67|1.67|DURAVISION® ANTIVÍRUS PLATINUM UV|-8.00 a +8.00|-6.00|0.75 a 3.00|70|||32</x:v>
      </x:c>
    </x:row>
    <x:row r="1938">
      <x:c r="A1938" s="24" t="str">
        <x:v>ZS-BA4F5F8EDC3B</x:v>
      </x:c>
      <x:c r="B1938" s="24" t="str">
        <x:v>ZEISS</x:v>
      </x:c>
      <x:c r="C1938" s="24" t="str">
        <x:v>Progressiva</x:v>
      </x:c>
      <x:c r="D1938" s="24" t="str">
        <x:v>Surfaçada</x:v>
      </x:c>
      <x:c r="E1938" s="24" t="str">
        <x:v>ClearMind Individual 3</x:v>
      </x:c>
      <x:c r="F1938" s="24"/>
      <x:c r="G1938" s="24" t="str">
        <x:v>1.67</x:v>
      </x:c>
      <x:c r="H1938" s="24" t="str">
        <x:v>1.67</x:v>
      </x:c>
      <x:c r="I1938" s="24" t="str">
        <x:v>DuraVision Platinum UV</x:v>
      </x:c>
      <x:c r="J1938" s="40" t="n">
        <x:v>15000</x:v>
      </x:c>
      <x:c r="K1938" s="24" t="str">
        <x:v>-8.00 a +8.00</x:v>
      </x:c>
      <x:c r="L1938" s="24" t="str">
        <x:v>-6.00</x:v>
      </x:c>
      <x:c r="M1938" s="24" t="str">
        <x:v>0.75 a 3.00</x:v>
      </x:c>
      <x:c r="N1938" s="24" t="str">
        <x:v>70</x:v>
      </x:c>
      <x:c r="O1938" s="24"/>
      <x:c r="P1938" s="24"/>
      <x:c r="Q1938" s="24" t="str">
        <x:v>DISPONÍVEL</x:v>
      </x:c>
      <x:c r="R1938" s="24" t="str">
        <x:v>Programa de Parcerias ZEISS — categoria Experts</x:v>
      </x:c>
      <x:c r="S1938" s="24" t="n">
        <x:v>32</x:v>
      </x:c>
      <x:c r="T1938" s="24" t="str">
        <x:v>tabela_zeiss.pdf</x:v>
      </x:c>
      <x:c r="U1938" s="24" t="str">
        <x:v>ZEISS|Progressiva|Surfaçada|ClearMind Individual 3||1.67|1.67|DuraVision Platinum UV|-8.00 a +8.00|-6.00|0.75 a 3.00|70|||32</x:v>
      </x:c>
    </x:row>
    <x:row r="1939">
      <x:c r="A1939" s="24" t="str">
        <x:v>ZS-F0ECCDEE60A1</x:v>
      </x:c>
      <x:c r="B1939" s="24" t="str">
        <x:v>ZEISS</x:v>
      </x:c>
      <x:c r="C1939" s="24" t="str">
        <x:v>Progressiva</x:v>
      </x:c>
      <x:c r="D1939" s="24" t="str">
        <x:v>Surfaçada</x:v>
      </x:c>
      <x:c r="E1939" s="24" t="str">
        <x:v>ClearMind Individual 3</x:v>
      </x:c>
      <x:c r="F1939" s="24"/>
      <x:c r="G1939" s="24" t="str">
        <x:v>1.67</x:v>
      </x:c>
      <x:c r="H1939" s="24" t="str">
        <x:v>1.67</x:v>
      </x:c>
      <x:c r="I1939" s="24" t="str">
        <x:v>DuraVision Silver UV</x:v>
      </x:c>
      <x:c r="J1939" s="40" t="n">
        <x:v>14740</x:v>
      </x:c>
      <x:c r="K1939" s="24" t="str">
        <x:v>-8.00 a +8.00</x:v>
      </x:c>
      <x:c r="L1939" s="24" t="str">
        <x:v>-6.00</x:v>
      </x:c>
      <x:c r="M1939" s="24" t="str">
        <x:v>0.75 a 3.00</x:v>
      </x:c>
      <x:c r="N1939" s="24" t="str">
        <x:v>70</x:v>
      </x:c>
      <x:c r="O1939" s="24"/>
      <x:c r="P1939" s="24"/>
      <x:c r="Q1939" s="24" t="str">
        <x:v>DISPONÍVEL</x:v>
      </x:c>
      <x:c r="R1939" s="24" t="str">
        <x:v>Programa de Parcerias ZEISS — categoria Experts</x:v>
      </x:c>
      <x:c r="S1939" s="24" t="n">
        <x:v>32</x:v>
      </x:c>
      <x:c r="T1939" s="24" t="str">
        <x:v>tabela_zeiss.pdf</x:v>
      </x:c>
      <x:c r="U1939" s="24" t="str">
        <x:v>ZEISS|Progressiva|Surfaçada|ClearMind Individual 3||1.67|1.67|DuraVision Silver UV|-8.00 a +8.00|-6.00|0.75 a 3.00|70|||32</x:v>
      </x:c>
    </x:row>
    <x:row r="1940">
      <x:c r="A1940" s="24" t="str">
        <x:v>ZS-A7FE6781FF33</x:v>
      </x:c>
      <x:c r="B1940" s="24" t="str">
        <x:v>ZEISS</x:v>
      </x:c>
      <x:c r="C1940" s="24" t="str">
        <x:v>Progressiva</x:v>
      </x:c>
      <x:c r="D1940" s="24" t="str">
        <x:v>Surfaçada</x:v>
      </x:c>
      <x:c r="E1940" s="24" t="str">
        <x:v>ClearMind Individual 3</x:v>
      </x:c>
      <x:c r="F1940" s="24"/>
      <x:c r="G1940" s="24" t="str">
        <x:v>1.67</x:v>
      </x:c>
      <x:c r="H1940" s="24" t="str">
        <x:v>1.67</x:v>
      </x:c>
      <x:c r="I1940" s="24" t="str">
        <x:v>DuraVision Chrome UV</x:v>
      </x:c>
      <x:c r="J1940" s="40" t="n">
        <x:v>14250</x:v>
      </x:c>
      <x:c r="K1940" s="24" t="str">
        <x:v>-8.00 a +8.00</x:v>
      </x:c>
      <x:c r="L1940" s="24" t="str">
        <x:v>-6.00</x:v>
      </x:c>
      <x:c r="M1940" s="24" t="str">
        <x:v>0.75 a 3.00</x:v>
      </x:c>
      <x:c r="N1940" s="24" t="str">
        <x:v>70</x:v>
      </x:c>
      <x:c r="O1940" s="24"/>
      <x:c r="P1940" s="24"/>
      <x:c r="Q1940" s="24" t="str">
        <x:v>DISPONÍVEL</x:v>
      </x:c>
      <x:c r="R1940" s="24" t="str">
        <x:v>Programa de Parcerias ZEISS — categoria Experts</x:v>
      </x:c>
      <x:c r="S1940" s="24" t="n">
        <x:v>32</x:v>
      </x:c>
      <x:c r="T1940" s="24" t="str">
        <x:v>tabela_zeiss.pdf</x:v>
      </x:c>
      <x:c r="U1940" s="24" t="str">
        <x:v>ZEISS|Progressiva|Surfaçada|ClearMind Individual 3||1.67|1.67|DuraVision Chrome UV|-8.00 a +8.00|-6.00|0.75 a 3.00|70|||32</x:v>
      </x:c>
    </x:row>
    <x:row r="1941">
      <x:c r="A1941" s="24" t="str">
        <x:v>ZS-D339B533077B</x:v>
      </x:c>
      <x:c r="B1941" s="24" t="str">
        <x:v>ZEISS</x:v>
      </x:c>
      <x:c r="C1941" s="24" t="str">
        <x:v>Progressiva</x:v>
      </x:c>
      <x:c r="D1941" s="24" t="str">
        <x:v>Surfaçada</x:v>
      </x:c>
      <x:c r="E1941" s="24" t="str">
        <x:v>ClearMind Individual 3</x:v>
      </x:c>
      <x:c r="F1941" s="24"/>
      <x:c r="G1941" s="24" t="str">
        <x:v>1.74</x:v>
      </x:c>
      <x:c r="H1941" s="24" t="str">
        <x:v>1.74</x:v>
      </x:c>
      <x:c r="I1941" s="24" t="str">
        <x:v>DuraVision Gold UV</x:v>
      </x:c>
      <x:c r="J1941" s="40" t="n">
        <x:v>16740</x:v>
      </x:c>
      <x:c r="K1941" s="24" t="str">
        <x:v>-10.00 a +7.00</x:v>
      </x:c>
      <x:c r="L1941" s="24" t="str">
        <x:v>-4.00</x:v>
      </x:c>
      <x:c r="M1941" s="24" t="str">
        <x:v>0.75 a 3.50</x:v>
      </x:c>
      <x:c r="N1941" s="24" t="str">
        <x:v>70 a 75</x:v>
      </x:c>
      <x:c r="O1941" s="24"/>
      <x:c r="P1941" s="24"/>
      <x:c r="Q1941" s="24" t="str">
        <x:v>DISPONÍVEL</x:v>
      </x:c>
      <x:c r="R1941" s="24" t="str">
        <x:v>Programa de Parcerias ZEISS — categoria Experts</x:v>
      </x:c>
      <x:c r="S1941" s="24" t="n">
        <x:v>32</x:v>
      </x:c>
      <x:c r="T1941" s="24" t="str">
        <x:v>tabela_zeiss.pdf</x:v>
      </x:c>
      <x:c r="U1941" s="24" t="str">
        <x:v>ZEISS|Progressiva|Surfaçada|ClearMind Individual 3||1.74|1.74|DuraVision Gold UV|-10.00 a +7.00|-4.00|0.75 a 3.50|70 a 75|||32</x:v>
      </x:c>
    </x:row>
    <x:row r="1942">
      <x:c r="A1942" s="24" t="str">
        <x:v>ZS-777AB0D728B1</x:v>
      </x:c>
      <x:c r="B1942" s="24" t="str">
        <x:v>ZEISS</x:v>
      </x:c>
      <x:c r="C1942" s="24" t="str">
        <x:v>Progressiva</x:v>
      </x:c>
      <x:c r="D1942" s="24" t="str">
        <x:v>Surfaçada</x:v>
      </x:c>
      <x:c r="E1942" s="24" t="str">
        <x:v>ClearMind Individual 3</x:v>
      </x:c>
      <x:c r="F1942" s="24"/>
      <x:c r="G1942" s="24" t="str">
        <x:v>1.74</x:v>
      </x:c>
      <x:c r="H1942" s="24" t="str">
        <x:v>1.74</x:v>
      </x:c>
      <x:c r="I1942" s="24" t="str">
        <x:v>DuraVision Platinum UV</x:v>
      </x:c>
      <x:c r="J1942" s="40" t="n">
        <x:v>16600</x:v>
      </x:c>
      <x:c r="K1942" s="24" t="str">
        <x:v>-10.00 a +7.00</x:v>
      </x:c>
      <x:c r="L1942" s="24" t="str">
        <x:v>-4.00</x:v>
      </x:c>
      <x:c r="M1942" s="24" t="str">
        <x:v>0.75 a 3.50</x:v>
      </x:c>
      <x:c r="N1942" s="24" t="str">
        <x:v>70 a 75</x:v>
      </x:c>
      <x:c r="O1942" s="24"/>
      <x:c r="P1942" s="24"/>
      <x:c r="Q1942" s="24" t="str">
        <x:v>DISPONÍVEL</x:v>
      </x:c>
      <x:c r="R1942" s="24" t="str">
        <x:v>Programa de Parcerias ZEISS — categoria Experts</x:v>
      </x:c>
      <x:c r="S1942" s="24" t="n">
        <x:v>32</x:v>
      </x:c>
      <x:c r="T1942" s="24" t="str">
        <x:v>tabela_zeiss.pdf</x:v>
      </x:c>
      <x:c r="U1942" s="24" t="str">
        <x:v>ZEISS|Progressiva|Surfaçada|ClearMind Individual 3||1.74|1.74|DuraVision Platinum UV|-10.00 a +7.00|-4.00|0.75 a 3.50|70 a 75|||32</x:v>
      </x:c>
    </x:row>
    <x:row r="1943">
      <x:c r="A1943" s="24" t="str">
        <x:v>ZS-CC2D9ECF70D2</x:v>
      </x:c>
      <x:c r="B1943" s="24" t="str">
        <x:v>ZEISS</x:v>
      </x:c>
      <x:c r="C1943" s="24" t="str">
        <x:v>Progressiva</x:v>
      </x:c>
      <x:c r="D1943" s="24" t="str">
        <x:v>Surfaçada</x:v>
      </x:c>
      <x:c r="E1943" s="24" t="str">
        <x:v>ClearMind Individual 3</x:v>
      </x:c>
      <x:c r="F1943" s="24"/>
      <x:c r="G1943" s="24" t="str">
        <x:v>1.74</x:v>
      </x:c>
      <x:c r="H1943" s="24" t="str">
        <x:v>1.74</x:v>
      </x:c>
      <x:c r="I1943" s="24" t="str">
        <x:v>DuraVision Silver UV</x:v>
      </x:c>
      <x:c r="J1943" s="40" t="n">
        <x:v>16340</x:v>
      </x:c>
      <x:c r="K1943" s="24" t="str">
        <x:v>-10.00 a +7.00</x:v>
      </x:c>
      <x:c r="L1943" s="24" t="str">
        <x:v>-4.00</x:v>
      </x:c>
      <x:c r="M1943" s="24" t="str">
        <x:v>0.75 a 3.50</x:v>
      </x:c>
      <x:c r="N1943" s="24" t="str">
        <x:v>70 a 75</x:v>
      </x:c>
      <x:c r="O1943" s="24"/>
      <x:c r="P1943" s="24"/>
      <x:c r="Q1943" s="24" t="str">
        <x:v>DISPONÍVEL</x:v>
      </x:c>
      <x:c r="R1943" s="24" t="str">
        <x:v>Programa de Parcerias ZEISS — categoria Experts</x:v>
      </x:c>
      <x:c r="S1943" s="24" t="n">
        <x:v>32</x:v>
      </x:c>
      <x:c r="T1943" s="24" t="str">
        <x:v>tabela_zeiss.pdf</x:v>
      </x:c>
      <x:c r="U1943" s="24" t="str">
        <x:v>ZEISS|Progressiva|Surfaçada|ClearMind Individual 3||1.74|1.74|DuraVision Silver UV|-10.00 a +7.00|-4.00|0.75 a 3.50|70 a 75|||32</x:v>
      </x:c>
    </x:row>
    <x:row r="1944">
      <x:c r="A1944" s="24" t="str">
        <x:v>ZS-445BD719B283</x:v>
      </x:c>
      <x:c r="B1944" s="24" t="str">
        <x:v>ZEISS</x:v>
      </x:c>
      <x:c r="C1944" s="24" t="str">
        <x:v>Progressiva</x:v>
      </x:c>
      <x:c r="D1944" s="24" t="str">
        <x:v>Surfaçada</x:v>
      </x:c>
      <x:c r="E1944" s="24" t="str">
        <x:v>ClearMind Individual 3</x:v>
      </x:c>
      <x:c r="F1944" s="24"/>
      <x:c r="G1944" s="24" t="str">
        <x:v>1.74</x:v>
      </x:c>
      <x:c r="H1944" s="24" t="str">
        <x:v>1.74</x:v>
      </x:c>
      <x:c r="I1944" s="24" t="str">
        <x:v>DuraVision Chrome UV</x:v>
      </x:c>
      <x:c r="J1944" s="40" t="n">
        <x:v>15850</x:v>
      </x:c>
      <x:c r="K1944" s="24" t="str">
        <x:v>-10.00 a +7.00</x:v>
      </x:c>
      <x:c r="L1944" s="24" t="str">
        <x:v>-4.00</x:v>
      </x:c>
      <x:c r="M1944" s="24" t="str">
        <x:v>0.75 a 3.50</x:v>
      </x:c>
      <x:c r="N1944" s="24" t="str">
        <x:v>70 a 75</x:v>
      </x:c>
      <x:c r="O1944" s="24"/>
      <x:c r="P1944" s="24"/>
      <x:c r="Q1944" s="24" t="str">
        <x:v>DISPONÍVEL</x:v>
      </x:c>
      <x:c r="R1944" s="24" t="str">
        <x:v>Programa de Parcerias ZEISS — categoria Experts</x:v>
      </x:c>
      <x:c r="S1944" s="24" t="n">
        <x:v>32</x:v>
      </x:c>
      <x:c r="T1944" s="24" t="str">
        <x:v>tabela_zeiss.pdf</x:v>
      </x:c>
      <x:c r="U1944" s="24" t="str">
        <x:v>ZEISS|Progressiva|Surfaçada|ClearMind Individual 3||1.74|1.74|DuraVision Chrome UV|-10.00 a +7.00|-4.00|0.75 a 3.50|70 a 75|||32</x:v>
      </x:c>
    </x:row>
    <x:row r="1945">
      <x:c r="A1945" s="24" t="str">
        <x:v>ZS-2859E1F86CCF</x:v>
      </x:c>
      <x:c r="B1945" s="24" t="str">
        <x:v>ZEISS</x:v>
      </x:c>
      <x:c r="C1945" s="24" t="str">
        <x:v>Progressiva</x:v>
      </x:c>
      <x:c r="D1945" s="24" t="str">
        <x:v>Surfaçada</x:v>
      </x:c>
      <x:c r="E1945" s="24" t="str">
        <x:v>ClearMind Individual 3</x:v>
      </x:c>
      <x:c r="F1945" s="24" t="str">
        <x:v>PhotoFusion X</x:v>
      </x:c>
      <x:c r="G1945" s="24" t="str">
        <x:v>1.5</x:v>
      </x:c>
      <x:c r="H1945" s="24" t="str">
        <x:v>1.50</x:v>
      </x:c>
      <x:c r="I1945" s="24" t="str">
        <x:v>DuraVision Gold UV</x:v>
      </x:c>
      <x:c r="J1945" s="40" t="n">
        <x:v>13670</x:v>
      </x:c>
      <x:c r="K1945" s="24" t="str">
        <x:v>-6.00 a +5.50</x:v>
      </x:c>
      <x:c r="L1945" s="24" t="str">
        <x:v>-4.00</x:v>
      </x:c>
      <x:c r="M1945" s="24" t="str">
        <x:v>0.75 a 3.00</x:v>
      </x:c>
      <x:c r="N1945" s="24" t="str">
        <x:v>75</x:v>
      </x:c>
      <x:c r="O1945" s="24"/>
      <x:c r="P1945" s="24"/>
      <x:c r="Q1945" s="24" t="str">
        <x:v>DISPONÍVEL</x:v>
      </x:c>
      <x:c r="R1945" s="24" t="str">
        <x:v>Programa de Parcerias ZEISS — categoria Experts; Programa de Parcerias ZEISS</x:v>
      </x:c>
      <x:c r="S1945" s="24" t="n">
        <x:v>32</x:v>
      </x:c>
      <x:c r="T1945" s="24" t="str">
        <x:v>tabela_zeiss.pdf</x:v>
      </x:c>
      <x:c r="U1945" s="24" t="str">
        <x:v>ZEISS|Progressiva|Surfaçada|ClearMind Individual 3|PhotoFusion X|1.5|1.50|DuraVision Gold UV|-6.00 a +5.50|-4.00|0.75 a 3.00|75|||32</x:v>
      </x:c>
    </x:row>
    <x:row r="1946">
      <x:c r="A1946" s="24" t="str">
        <x:v>ZS-C58CB84E6DC3</x:v>
      </x:c>
      <x:c r="B1946" s="24" t="str">
        <x:v>ZEISS</x:v>
      </x:c>
      <x:c r="C1946" s="24" t="str">
        <x:v>Progressiva</x:v>
      </x:c>
      <x:c r="D1946" s="24" t="str">
        <x:v>Surfaçada</x:v>
      </x:c>
      <x:c r="E1946" s="24" t="str">
        <x:v>ClearMind Individual 3</x:v>
      </x:c>
      <x:c r="F1946" s="24" t="str">
        <x:v>PhotoFusion X</x:v>
      </x:c>
      <x:c r="G1946" s="24" t="str">
        <x:v>1.5</x:v>
      </x:c>
      <x:c r="H1946" s="24" t="str">
        <x:v>1.50</x:v>
      </x:c>
      <x:c r="I1946" s="24" t="str">
        <x:v>DURAVISION® ANTIVÍRUS PLATINUM UV</x:v>
      </x:c>
      <x:c r="J1946" s="40" t="n">
        <x:v>13530</x:v>
      </x:c>
      <x:c r="K1946" s="24" t="str">
        <x:v>-6.00 a +5.50</x:v>
      </x:c>
      <x:c r="L1946" s="24" t="str">
        <x:v>-4.00</x:v>
      </x:c>
      <x:c r="M1946" s="24" t="str">
        <x:v>0.75 a 3.00</x:v>
      </x:c>
      <x:c r="N1946" s="24" t="str">
        <x:v>75</x:v>
      </x:c>
      <x:c r="O1946" s="24"/>
      <x:c r="P1946" s="24"/>
      <x:c r="Q1946" s="24" t="str">
        <x:v>DISPONÍVEL</x:v>
      </x:c>
      <x:c r="R1946" s="24" t="str">
        <x:v>Programa de Parcerias ZEISS — categoria Experts; Programa de Parcerias ZEISS</x:v>
      </x:c>
      <x:c r="S1946" s="24" t="n">
        <x:v>32</x:v>
      </x:c>
      <x:c r="T1946" s="24" t="str">
        <x:v>tabela_zeiss.pdf</x:v>
      </x:c>
      <x:c r="U1946" s="24" t="str">
        <x:v>ZEISS|Progressiva|Surfaçada|ClearMind Individual 3|PhotoFusion X|1.5|1.50|DURAVISION® ANTIVÍRUS PLATINUM UV|-6.00 a +5.50|-4.00|0.75 a 3.00|75|||32</x:v>
      </x:c>
    </x:row>
    <x:row r="1947">
      <x:c r="A1947" s="24" t="str">
        <x:v>ZS-782BC1A0C846</x:v>
      </x:c>
      <x:c r="B1947" s="24" t="str">
        <x:v>ZEISS</x:v>
      </x:c>
      <x:c r="C1947" s="24" t="str">
        <x:v>Progressiva</x:v>
      </x:c>
      <x:c r="D1947" s="24" t="str">
        <x:v>Surfaçada</x:v>
      </x:c>
      <x:c r="E1947" s="24" t="str">
        <x:v>ClearMind Individual 3</x:v>
      </x:c>
      <x:c r="F1947" s="24" t="str">
        <x:v>PhotoFusion X</x:v>
      </x:c>
      <x:c r="G1947" s="24" t="str">
        <x:v>1.5</x:v>
      </x:c>
      <x:c r="H1947" s="24" t="str">
        <x:v>1.50</x:v>
      </x:c>
      <x:c r="I1947" s="24" t="str">
        <x:v>DuraVision Platinum UV</x:v>
      </x:c>
      <x:c r="J1947" s="40" t="n">
        <x:v>13530</x:v>
      </x:c>
      <x:c r="K1947" s="24" t="str">
        <x:v>-6.00 a +5.50</x:v>
      </x:c>
      <x:c r="L1947" s="24" t="str">
        <x:v>-4.00</x:v>
      </x:c>
      <x:c r="M1947" s="24" t="str">
        <x:v>0.75 a 3.00</x:v>
      </x:c>
      <x:c r="N1947" s="24" t="str">
        <x:v>75</x:v>
      </x:c>
      <x:c r="O1947" s="24"/>
      <x:c r="P1947" s="24"/>
      <x:c r="Q1947" s="24" t="str">
        <x:v>DISPONÍVEL</x:v>
      </x:c>
      <x:c r="R1947" s="24" t="str">
        <x:v>Programa de Parcerias ZEISS — categoria Experts; Programa de Parcerias ZEISS</x:v>
      </x:c>
      <x:c r="S1947" s="24" t="n">
        <x:v>32</x:v>
      </x:c>
      <x:c r="T1947" s="24" t="str">
        <x:v>tabela_zeiss.pdf</x:v>
      </x:c>
      <x:c r="U1947" s="24" t="str">
        <x:v>ZEISS|Progressiva|Surfaçada|ClearMind Individual 3|PhotoFusion X|1.5|1.50|DuraVision Platinum UV|-6.00 a +5.50|-4.00|0.75 a 3.00|75|||32</x:v>
      </x:c>
    </x:row>
    <x:row r="1948">
      <x:c r="A1948" s="24" t="str">
        <x:v>ZS-D294E6A772BF</x:v>
      </x:c>
      <x:c r="B1948" s="24" t="str">
        <x:v>ZEISS</x:v>
      </x:c>
      <x:c r="C1948" s="24" t="str">
        <x:v>Progressiva</x:v>
      </x:c>
      <x:c r="D1948" s="24" t="str">
        <x:v>Surfaçada</x:v>
      </x:c>
      <x:c r="E1948" s="24" t="str">
        <x:v>ClearMind Individual 3</x:v>
      </x:c>
      <x:c r="F1948" s="24" t="str">
        <x:v>PhotoFusion X</x:v>
      </x:c>
      <x:c r="G1948" s="24" t="str">
        <x:v>1.5</x:v>
      </x:c>
      <x:c r="H1948" s="24" t="str">
        <x:v>1.50</x:v>
      </x:c>
      <x:c r="I1948" s="24" t="str">
        <x:v>DuraVision Silver UV</x:v>
      </x:c>
      <x:c r="J1948" s="40" t="n">
        <x:v>13270</x:v>
      </x:c>
      <x:c r="K1948" s="24" t="str">
        <x:v>-6.00 a +5.50</x:v>
      </x:c>
      <x:c r="L1948" s="24" t="str">
        <x:v>-4.00</x:v>
      </x:c>
      <x:c r="M1948" s="24" t="str">
        <x:v>0.75 a 3.00</x:v>
      </x:c>
      <x:c r="N1948" s="24" t="str">
        <x:v>75</x:v>
      </x:c>
      <x:c r="O1948" s="24"/>
      <x:c r="P1948" s="24"/>
      <x:c r="Q1948" s="24" t="str">
        <x:v>DISPONÍVEL</x:v>
      </x:c>
      <x:c r="R1948" s="24" t="str">
        <x:v>Programa de Parcerias ZEISS — categoria Experts; Programa de Parcerias ZEISS</x:v>
      </x:c>
      <x:c r="S1948" s="24" t="n">
        <x:v>32</x:v>
      </x:c>
      <x:c r="T1948" s="24" t="str">
        <x:v>tabela_zeiss.pdf</x:v>
      </x:c>
      <x:c r="U1948" s="24" t="str">
        <x:v>ZEISS|Progressiva|Surfaçada|ClearMind Individual 3|PhotoFusion X|1.5|1.50|DuraVision Silver UV|-6.00 a +5.50|-4.00|0.75 a 3.00|75|||32</x:v>
      </x:c>
    </x:row>
    <x:row r="1949">
      <x:c r="A1949" s="24" t="str">
        <x:v>ZS-7A8554200838</x:v>
      </x:c>
      <x:c r="B1949" s="24" t="str">
        <x:v>ZEISS</x:v>
      </x:c>
      <x:c r="C1949" s="24" t="str">
        <x:v>Progressiva</x:v>
      </x:c>
      <x:c r="D1949" s="24" t="str">
        <x:v>Surfaçada</x:v>
      </x:c>
      <x:c r="E1949" s="24" t="str">
        <x:v>ClearMind Individual 3</x:v>
      </x:c>
      <x:c r="F1949" s="24" t="str">
        <x:v>PhotoFusion X</x:v>
      </x:c>
      <x:c r="G1949" s="24" t="str">
        <x:v>1.5</x:v>
      </x:c>
      <x:c r="H1949" s="24" t="str">
        <x:v>1.50</x:v>
      </x:c>
      <x:c r="I1949" s="24" t="str">
        <x:v>DuraVision Chrome UV</x:v>
      </x:c>
      <x:c r="J1949" s="40" t="n">
        <x:v>12780</x:v>
      </x:c>
      <x:c r="K1949" s="24" t="str">
        <x:v>-6.00 a +5.50</x:v>
      </x:c>
      <x:c r="L1949" s="24" t="str">
        <x:v>-4.00</x:v>
      </x:c>
      <x:c r="M1949" s="24" t="str">
        <x:v>0.75 a 3.00</x:v>
      </x:c>
      <x:c r="N1949" s="24" t="str">
        <x:v>75</x:v>
      </x:c>
      <x:c r="O1949" s="24"/>
      <x:c r="P1949" s="24"/>
      <x:c r="Q1949" s="24" t="str">
        <x:v>DISPONÍVEL</x:v>
      </x:c>
      <x:c r="R1949" s="24" t="str">
        <x:v>Programa de Parcerias ZEISS — categoria Experts; Programa de Parcerias ZEISS</x:v>
      </x:c>
      <x:c r="S1949" s="24" t="n">
        <x:v>32</x:v>
      </x:c>
      <x:c r="T1949" s="24" t="str">
        <x:v>tabela_zeiss.pdf</x:v>
      </x:c>
      <x:c r="U1949" s="24" t="str">
        <x:v>ZEISS|Progressiva|Surfaçada|ClearMind Individual 3|PhotoFusion X|1.5|1.50|DuraVision Chrome UV|-6.00 a +5.50|-4.00|0.75 a 3.00|75|||32</x:v>
      </x:c>
    </x:row>
    <x:row r="1950">
      <x:c r="A1950" s="24" t="str">
        <x:v>ZS-4D71EBEB9B08</x:v>
      </x:c>
      <x:c r="B1950" s="24" t="str">
        <x:v>ZEISS</x:v>
      </x:c>
      <x:c r="C1950" s="24" t="str">
        <x:v>Progressiva</x:v>
      </x:c>
      <x:c r="D1950" s="24" t="str">
        <x:v>Surfaçada</x:v>
      </x:c>
      <x:c r="E1950" s="24" t="str">
        <x:v>ClearMind Individual 3</x:v>
      </x:c>
      <x:c r="F1950" s="24" t="str">
        <x:v>PhotoFusion X</x:v>
      </x:c>
      <x:c r="G1950" s="24" t="str">
        <x:v>Poli</x:v>
      </x:c>
      <x:c r="H1950" s="24"/>
      <x:c r="I1950" s="24" t="str">
        <x:v>DuraVision Gold UV</x:v>
      </x:c>
      <x:c r="J1950" s="40" t="n">
        <x:v>14260</x:v>
      </x:c>
      <x:c r="K1950" s="24" t="str">
        <x:v>-10.00 a +6.00</x:v>
      </x:c>
      <x:c r="L1950" s="24" t="str">
        <x:v>-6.00</x:v>
      </x:c>
      <x:c r="M1950" s="24" t="str">
        <x:v>0.75 a 3.00</x:v>
      </x:c>
      <x:c r="N1950" s="24" t="str">
        <x:v>70</x:v>
      </x:c>
      <x:c r="O1950" s="24"/>
      <x:c r="P1950" s="24"/>
      <x:c r="Q1950" s="24" t="str">
        <x:v>DISPONÍVEL</x:v>
      </x:c>
      <x:c r="R1950" s="24" t="str">
        <x:v>Programa de Parcerias ZEISS — categoria Experts; Programa de Parcerias ZEISS</x:v>
      </x:c>
      <x:c r="S1950" s="24" t="n">
        <x:v>32</x:v>
      </x:c>
      <x:c r="T1950" s="24" t="str">
        <x:v>tabela_zeiss.pdf</x:v>
      </x:c>
      <x:c r="U1950" s="24" t="str">
        <x:v>ZEISS|Progressiva|Surfaçada|ClearMind Individual 3|PhotoFusion X|Poli||DuraVision Gold UV|-10.00 a +6.00|-6.00|0.75 a 3.00|70|||32</x:v>
      </x:c>
    </x:row>
    <x:row r="1951">
      <x:c r="A1951" s="24" t="str">
        <x:v>ZS-D9570437D7E5</x:v>
      </x:c>
      <x:c r="B1951" s="24" t="str">
        <x:v>ZEISS</x:v>
      </x:c>
      <x:c r="C1951" s="24" t="str">
        <x:v>Progressiva</x:v>
      </x:c>
      <x:c r="D1951" s="24" t="str">
        <x:v>Surfaçada</x:v>
      </x:c>
      <x:c r="E1951" s="24" t="str">
        <x:v>ClearMind Individual 3</x:v>
      </x:c>
      <x:c r="F1951" s="24" t="str">
        <x:v>PhotoFusion X</x:v>
      </x:c>
      <x:c r="G1951" s="24" t="str">
        <x:v>Poli</x:v>
      </x:c>
      <x:c r="H1951" s="24"/>
      <x:c r="I1951" s="24" t="str">
        <x:v>DuraVision Platinum UV</x:v>
      </x:c>
      <x:c r="J1951" s="40" t="n">
        <x:v>14120</x:v>
      </x:c>
      <x:c r="K1951" s="24" t="str">
        <x:v>-10.00 a +6.00</x:v>
      </x:c>
      <x:c r="L1951" s="24" t="str">
        <x:v>-6.00</x:v>
      </x:c>
      <x:c r="M1951" s="24" t="str">
        <x:v>0.75 a 3.00</x:v>
      </x:c>
      <x:c r="N1951" s="24" t="str">
        <x:v>70</x:v>
      </x:c>
      <x:c r="O1951" s="24"/>
      <x:c r="P1951" s="24"/>
      <x:c r="Q1951" s="24" t="str">
        <x:v>DISPONÍVEL</x:v>
      </x:c>
      <x:c r="R1951" s="24" t="str">
        <x:v>Programa de Parcerias ZEISS — categoria Experts; Programa de Parcerias ZEISS</x:v>
      </x:c>
      <x:c r="S1951" s="24" t="n">
        <x:v>32</x:v>
      </x:c>
      <x:c r="T1951" s="24" t="str">
        <x:v>tabela_zeiss.pdf</x:v>
      </x:c>
      <x:c r="U1951" s="24" t="str">
        <x:v>ZEISS|Progressiva|Surfaçada|ClearMind Individual 3|PhotoFusion X|Poli||DuraVision Platinum UV|-10.00 a +6.00|-6.00|0.75 a 3.00|70|||32</x:v>
      </x:c>
    </x:row>
    <x:row r="1952">
      <x:c r="A1952" s="24" t="str">
        <x:v>ZS-0A84246BF317</x:v>
      </x:c>
      <x:c r="B1952" s="24" t="str">
        <x:v>ZEISS</x:v>
      </x:c>
      <x:c r="C1952" s="24" t="str">
        <x:v>Progressiva</x:v>
      </x:c>
      <x:c r="D1952" s="24" t="str">
        <x:v>Surfaçada</x:v>
      </x:c>
      <x:c r="E1952" s="24" t="str">
        <x:v>ClearMind Individual 3</x:v>
      </x:c>
      <x:c r="F1952" s="24" t="str">
        <x:v>PhotoFusion X</x:v>
      </x:c>
      <x:c r="G1952" s="24" t="str">
        <x:v>Poli</x:v>
      </x:c>
      <x:c r="H1952" s="24"/>
      <x:c r="I1952" s="24" t="str">
        <x:v>DuraVision Silver UV</x:v>
      </x:c>
      <x:c r="J1952" s="40" t="n">
        <x:v>13860</x:v>
      </x:c>
      <x:c r="K1952" s="24" t="str">
        <x:v>-10.00 a +6.00</x:v>
      </x:c>
      <x:c r="L1952" s="24" t="str">
        <x:v>-6.00</x:v>
      </x:c>
      <x:c r="M1952" s="24" t="str">
        <x:v>0.75 a 3.00</x:v>
      </x:c>
      <x:c r="N1952" s="24" t="str">
        <x:v>70</x:v>
      </x:c>
      <x:c r="O1952" s="24"/>
      <x:c r="P1952" s="24"/>
      <x:c r="Q1952" s="24" t="str">
        <x:v>DISPONÍVEL</x:v>
      </x:c>
      <x:c r="R1952" s="24" t="str">
        <x:v>Programa de Parcerias ZEISS — categoria Experts; Programa de Parcerias ZEISS</x:v>
      </x:c>
      <x:c r="S1952" s="24" t="n">
        <x:v>32</x:v>
      </x:c>
      <x:c r="T1952" s="24" t="str">
        <x:v>tabela_zeiss.pdf</x:v>
      </x:c>
      <x:c r="U1952" s="24" t="str">
        <x:v>ZEISS|Progressiva|Surfaçada|ClearMind Individual 3|PhotoFusion X|Poli||DuraVision Silver UV|-10.00 a +6.00|-6.00|0.75 a 3.00|70|||32</x:v>
      </x:c>
    </x:row>
    <x:row r="1953">
      <x:c r="A1953" s="24" t="str">
        <x:v>ZS-05907DB5BA26</x:v>
      </x:c>
      <x:c r="B1953" s="24" t="str">
        <x:v>ZEISS</x:v>
      </x:c>
      <x:c r="C1953" s="24" t="str">
        <x:v>Progressiva</x:v>
      </x:c>
      <x:c r="D1953" s="24" t="str">
        <x:v>Surfaçada</x:v>
      </x:c>
      <x:c r="E1953" s="24" t="str">
        <x:v>ClearMind Individual 3</x:v>
      </x:c>
      <x:c r="F1953" s="24" t="str">
        <x:v>PhotoFusion X</x:v>
      </x:c>
      <x:c r="G1953" s="24" t="str">
        <x:v>Poli</x:v>
      </x:c>
      <x:c r="H1953" s="24"/>
      <x:c r="I1953" s="24" t="str">
        <x:v>DuraVision Chrome UV</x:v>
      </x:c>
      <x:c r="J1953" s="40" t="n">
        <x:v>13370</x:v>
      </x:c>
      <x:c r="K1953" s="24" t="str">
        <x:v>-10.00 a +6.00</x:v>
      </x:c>
      <x:c r="L1953" s="24" t="str">
        <x:v>-6.00</x:v>
      </x:c>
      <x:c r="M1953" s="24" t="str">
        <x:v>0.75 a 3.00</x:v>
      </x:c>
      <x:c r="N1953" s="24" t="str">
        <x:v>70</x:v>
      </x:c>
      <x:c r="O1953" s="24"/>
      <x:c r="P1953" s="24"/>
      <x:c r="Q1953" s="24" t="str">
        <x:v>DISPONÍVEL</x:v>
      </x:c>
      <x:c r="R1953" s="24" t="str">
        <x:v>Programa de Parcerias ZEISS — categoria Experts; Programa de Parcerias ZEISS</x:v>
      </x:c>
      <x:c r="S1953" s="24" t="n">
        <x:v>32</x:v>
      </x:c>
      <x:c r="T1953" s="24" t="str">
        <x:v>tabela_zeiss.pdf</x:v>
      </x:c>
      <x:c r="U1953" s="24" t="str">
        <x:v>ZEISS|Progressiva|Surfaçada|ClearMind Individual 3|PhotoFusion X|Poli||DuraVision Chrome UV|-10.00 a +6.00|-6.00|0.75 a 3.00|70|||32</x:v>
      </x:c>
    </x:row>
    <x:row r="1954">
      <x:c r="A1954" s="24" t="str">
        <x:v>ZS-1DFB982E1940</x:v>
      </x:c>
      <x:c r="B1954" s="24" t="str">
        <x:v>ZEISS</x:v>
      </x:c>
      <x:c r="C1954" s="24" t="str">
        <x:v>Progressiva</x:v>
      </x:c>
      <x:c r="D1954" s="24" t="str">
        <x:v>Surfaçada</x:v>
      </x:c>
      <x:c r="E1954" s="24" t="str">
        <x:v>ClearMind Individual 3</x:v>
      </x:c>
      <x:c r="F1954" s="24" t="str">
        <x:v>PhotoFusion X</x:v>
      </x:c>
      <x:c r="G1954" s="24" t="str">
        <x:v>1.6</x:v>
      </x:c>
      <x:c r="H1954" s="24" t="str">
        <x:v>1.60</x:v>
      </x:c>
      <x:c r="I1954" s="24" t="str">
        <x:v>DuraVision Gold UV</x:v>
      </x:c>
      <x:c r="J1954" s="40" t="n">
        <x:v>14920</x:v>
      </x:c>
      <x:c r="K1954" s="24" t="str">
        <x:v>-7.25 a +6.00</x:v>
      </x:c>
      <x:c r="L1954" s="24" t="str">
        <x:v>-6.00</x:v>
      </x:c>
      <x:c r="M1954" s="24" t="str">
        <x:v>0.75 a 3.50</x:v>
      </x:c>
      <x:c r="N1954" s="24" t="str">
        <x:v>75</x:v>
      </x:c>
      <x:c r="O1954" s="24"/>
      <x:c r="P1954" s="24"/>
      <x:c r="Q1954" s="24" t="str">
        <x:v>DISPONÍVEL</x:v>
      </x:c>
      <x:c r="R1954" s="24" t="str">
        <x:v>Programa de Parcerias ZEISS — categoria Experts; Programa de Parcerias ZEISS</x:v>
      </x:c>
      <x:c r="S1954" s="24" t="n">
        <x:v>32</x:v>
      </x:c>
      <x:c r="T1954" s="24" t="str">
        <x:v>tabela_zeiss.pdf</x:v>
      </x:c>
      <x:c r="U1954" s="24" t="str">
        <x:v>ZEISS|Progressiva|Surfaçada|ClearMind Individual 3|PhotoFusion X|1.6|1.60|DuraVision Gold UV|-7.25 a +6.00|-6.00|0.75 a 3.50|75|||32</x:v>
      </x:c>
    </x:row>
    <x:row r="1955">
      <x:c r="A1955" s="24" t="str">
        <x:v>ZS-F1FF24F9AC50</x:v>
      </x:c>
      <x:c r="B1955" s="24" t="str">
        <x:v>ZEISS</x:v>
      </x:c>
      <x:c r="C1955" s="24" t="str">
        <x:v>Progressiva</x:v>
      </x:c>
      <x:c r="D1955" s="24" t="str">
        <x:v>Surfaçada</x:v>
      </x:c>
      <x:c r="E1955" s="24" t="str">
        <x:v>ClearMind Individual 3</x:v>
      </x:c>
      <x:c r="F1955" s="24" t="str">
        <x:v>PhotoFusion X</x:v>
      </x:c>
      <x:c r="G1955" s="24" t="str">
        <x:v>1.6</x:v>
      </x:c>
      <x:c r="H1955" s="24" t="str">
        <x:v>1.60</x:v>
      </x:c>
      <x:c r="I1955" s="24" t="str">
        <x:v>DURAVISION® ANTIVÍRUS PLATINUM UV</x:v>
      </x:c>
      <x:c r="J1955" s="40" t="n">
        <x:v>14780</x:v>
      </x:c>
      <x:c r="K1955" s="24" t="str">
        <x:v>-7.25 a +6.00</x:v>
      </x:c>
      <x:c r="L1955" s="24" t="str">
        <x:v>-6.00</x:v>
      </x:c>
      <x:c r="M1955" s="24" t="str">
        <x:v>0.75 a 3.50</x:v>
      </x:c>
      <x:c r="N1955" s="24" t="str">
        <x:v>75</x:v>
      </x:c>
      <x:c r="O1955" s="24"/>
      <x:c r="P1955" s="24"/>
      <x:c r="Q1955" s="24" t="str">
        <x:v>DISPONÍVEL</x:v>
      </x:c>
      <x:c r="R1955" s="24" t="str">
        <x:v>Programa de Parcerias ZEISS — categoria Experts; Programa de Parcerias ZEISS</x:v>
      </x:c>
      <x:c r="S1955" s="24" t="n">
        <x:v>32</x:v>
      </x:c>
      <x:c r="T1955" s="24" t="str">
        <x:v>tabela_zeiss.pdf</x:v>
      </x:c>
      <x:c r="U1955" s="24" t="str">
        <x:v>ZEISS|Progressiva|Surfaçada|ClearMind Individual 3|PhotoFusion X|1.6|1.60|DURAVISION® ANTIVÍRUS PLATINUM UV|-7.25 a +6.00|-6.00|0.75 a 3.50|75|||32</x:v>
      </x:c>
    </x:row>
    <x:row r="1956">
      <x:c r="A1956" s="24" t="str">
        <x:v>ZS-7985591ACA6E</x:v>
      </x:c>
      <x:c r="B1956" s="24" t="str">
        <x:v>ZEISS</x:v>
      </x:c>
      <x:c r="C1956" s="24" t="str">
        <x:v>Progressiva</x:v>
      </x:c>
      <x:c r="D1956" s="24" t="str">
        <x:v>Surfaçada</x:v>
      </x:c>
      <x:c r="E1956" s="24" t="str">
        <x:v>ClearMind Individual 3</x:v>
      </x:c>
      <x:c r="F1956" s="24" t="str">
        <x:v>PhotoFusion X</x:v>
      </x:c>
      <x:c r="G1956" s="24" t="str">
        <x:v>1.6</x:v>
      </x:c>
      <x:c r="H1956" s="24" t="str">
        <x:v>1.60</x:v>
      </x:c>
      <x:c r="I1956" s="24" t="str">
        <x:v>DuraVision Platinum UV</x:v>
      </x:c>
      <x:c r="J1956" s="40" t="n">
        <x:v>14780</x:v>
      </x:c>
      <x:c r="K1956" s="24" t="str">
        <x:v>-7.25 a +6.00</x:v>
      </x:c>
      <x:c r="L1956" s="24" t="str">
        <x:v>-6.00</x:v>
      </x:c>
      <x:c r="M1956" s="24" t="str">
        <x:v>0.75 a 3.50</x:v>
      </x:c>
      <x:c r="N1956" s="24" t="str">
        <x:v>75</x:v>
      </x:c>
      <x:c r="O1956" s="24"/>
      <x:c r="P1956" s="24"/>
      <x:c r="Q1956" s="24" t="str">
        <x:v>DISPONÍVEL</x:v>
      </x:c>
      <x:c r="R1956" s="24" t="str">
        <x:v>Programa de Parcerias ZEISS — categoria Experts; Programa de Parcerias ZEISS</x:v>
      </x:c>
      <x:c r="S1956" s="24" t="n">
        <x:v>32</x:v>
      </x:c>
      <x:c r="T1956" s="24" t="str">
        <x:v>tabela_zeiss.pdf</x:v>
      </x:c>
      <x:c r="U1956" s="24" t="str">
        <x:v>ZEISS|Progressiva|Surfaçada|ClearMind Individual 3|PhotoFusion X|1.6|1.60|DuraVision Platinum UV|-7.25 a +6.00|-6.00|0.75 a 3.50|75|||32</x:v>
      </x:c>
    </x:row>
    <x:row r="1957">
      <x:c r="A1957" s="24" t="str">
        <x:v>ZS-BD5E573FF969</x:v>
      </x:c>
      <x:c r="B1957" s="24" t="str">
        <x:v>ZEISS</x:v>
      </x:c>
      <x:c r="C1957" s="24" t="str">
        <x:v>Progressiva</x:v>
      </x:c>
      <x:c r="D1957" s="24" t="str">
        <x:v>Surfaçada</x:v>
      </x:c>
      <x:c r="E1957" s="24" t="str">
        <x:v>ClearMind Individual 3</x:v>
      </x:c>
      <x:c r="F1957" s="24" t="str">
        <x:v>PhotoFusion X</x:v>
      </x:c>
      <x:c r="G1957" s="24" t="str">
        <x:v>1.6</x:v>
      </x:c>
      <x:c r="H1957" s="24" t="str">
        <x:v>1.60</x:v>
      </x:c>
      <x:c r="I1957" s="24" t="str">
        <x:v>DuraVision Silver UV</x:v>
      </x:c>
      <x:c r="J1957" s="40" t="n">
        <x:v>14520</x:v>
      </x:c>
      <x:c r="K1957" s="24" t="str">
        <x:v>-7.25 a +6.00</x:v>
      </x:c>
      <x:c r="L1957" s="24" t="str">
        <x:v>-6.00</x:v>
      </x:c>
      <x:c r="M1957" s="24" t="str">
        <x:v>0.75 a 3.50</x:v>
      </x:c>
      <x:c r="N1957" s="24" t="str">
        <x:v>75</x:v>
      </x:c>
      <x:c r="O1957" s="24"/>
      <x:c r="P1957" s="24"/>
      <x:c r="Q1957" s="24" t="str">
        <x:v>DISPONÍVEL</x:v>
      </x:c>
      <x:c r="R1957" s="24" t="str">
        <x:v>Programa de Parcerias ZEISS — categoria Experts; Programa de Parcerias ZEISS</x:v>
      </x:c>
      <x:c r="S1957" s="24" t="n">
        <x:v>32</x:v>
      </x:c>
      <x:c r="T1957" s="24" t="str">
        <x:v>tabela_zeiss.pdf</x:v>
      </x:c>
      <x:c r="U1957" s="24" t="str">
        <x:v>ZEISS|Progressiva|Surfaçada|ClearMind Individual 3|PhotoFusion X|1.6|1.60|DuraVision Silver UV|-7.25 a +6.00|-6.00|0.75 a 3.50|75|||32</x:v>
      </x:c>
    </x:row>
    <x:row r="1958">
      <x:c r="A1958" s="24" t="str">
        <x:v>ZS-C4DC16BF2809</x:v>
      </x:c>
      <x:c r="B1958" s="24" t="str">
        <x:v>ZEISS</x:v>
      </x:c>
      <x:c r="C1958" s="24" t="str">
        <x:v>Progressiva</x:v>
      </x:c>
      <x:c r="D1958" s="24" t="str">
        <x:v>Surfaçada</x:v>
      </x:c>
      <x:c r="E1958" s="24" t="str">
        <x:v>ClearMind Individual 3</x:v>
      </x:c>
      <x:c r="F1958" s="24" t="str">
        <x:v>PhotoFusion X</x:v>
      </x:c>
      <x:c r="G1958" s="24" t="str">
        <x:v>1.6</x:v>
      </x:c>
      <x:c r="H1958" s="24" t="str">
        <x:v>1.60</x:v>
      </x:c>
      <x:c r="I1958" s="24" t="str">
        <x:v>DuraVision Chrome UV</x:v>
      </x:c>
      <x:c r="J1958" s="40" t="n">
        <x:v>14030</x:v>
      </x:c>
      <x:c r="K1958" s="24" t="str">
        <x:v>-7.25 a +6.00</x:v>
      </x:c>
      <x:c r="L1958" s="24" t="str">
        <x:v>-6.00</x:v>
      </x:c>
      <x:c r="M1958" s="24" t="str">
        <x:v>0.75 a 3.50</x:v>
      </x:c>
      <x:c r="N1958" s="24" t="str">
        <x:v>75</x:v>
      </x:c>
      <x:c r="O1958" s="24"/>
      <x:c r="P1958" s="24"/>
      <x:c r="Q1958" s="24" t="str">
        <x:v>DISPONÍVEL</x:v>
      </x:c>
      <x:c r="R1958" s="24" t="str">
        <x:v>Programa de Parcerias ZEISS — categoria Experts; Programa de Parcerias ZEISS</x:v>
      </x:c>
      <x:c r="S1958" s="24" t="n">
        <x:v>32</x:v>
      </x:c>
      <x:c r="T1958" s="24" t="str">
        <x:v>tabela_zeiss.pdf</x:v>
      </x:c>
      <x:c r="U1958" s="24" t="str">
        <x:v>ZEISS|Progressiva|Surfaçada|ClearMind Individual 3|PhotoFusion X|1.6|1.60|DuraVision Chrome UV|-7.25 a +6.00|-6.00|0.75 a 3.50|75|||32</x:v>
      </x:c>
    </x:row>
    <x:row r="1959">
      <x:c r="A1959" s="24" t="str">
        <x:v>ZS-A5A32FB70257</x:v>
      </x:c>
      <x:c r="B1959" s="24" t="str">
        <x:v>ZEISS</x:v>
      </x:c>
      <x:c r="C1959" s="24" t="str">
        <x:v>Progressiva</x:v>
      </x:c>
      <x:c r="D1959" s="24" t="str">
        <x:v>Surfaçada</x:v>
      </x:c>
      <x:c r="E1959" s="24" t="str">
        <x:v>ClearMind Individual 3</x:v>
      </x:c>
      <x:c r="F1959" s="24" t="str">
        <x:v>PhotoFusion X</x:v>
      </x:c>
      <x:c r="G1959" s="24" t="str">
        <x:v>1.67</x:v>
      </x:c>
      <x:c r="H1959" s="24" t="str">
        <x:v>1.67</x:v>
      </x:c>
      <x:c r="I1959" s="24" t="str">
        <x:v>DuraVision Gold UV</x:v>
      </x:c>
      <x:c r="J1959" s="40" t="n">
        <x:v>16560</x:v>
      </x:c>
      <x:c r="K1959" s="24" t="str">
        <x:v>-8.00 a +8.00</x:v>
      </x:c>
      <x:c r="L1959" s="24" t="str">
        <x:v>-6.00</x:v>
      </x:c>
      <x:c r="M1959" s="24" t="str">
        <x:v>0.75 a 3.00</x:v>
      </x:c>
      <x:c r="N1959" s="24" t="str">
        <x:v>70</x:v>
      </x:c>
      <x:c r="O1959" s="24"/>
      <x:c r="P1959" s="24"/>
      <x:c r="Q1959" s="24" t="str">
        <x:v>DISPONÍVEL</x:v>
      </x:c>
      <x:c r="R1959" s="24" t="str">
        <x:v>Programa de Parcerias ZEISS — categoria Experts; Programa de Parcerias ZEISS</x:v>
      </x:c>
      <x:c r="S1959" s="24" t="n">
        <x:v>32</x:v>
      </x:c>
      <x:c r="T1959" s="24" t="str">
        <x:v>tabela_zeiss.pdf</x:v>
      </x:c>
      <x:c r="U1959" s="24" t="str">
        <x:v>ZEISS|Progressiva|Surfaçada|ClearMind Individual 3|PhotoFusion X|1.67|1.67|DuraVision Gold UV|-8.00 a +8.00|-6.00|0.75 a 3.00|70|||32</x:v>
      </x:c>
    </x:row>
    <x:row r="1960">
      <x:c r="A1960" s="24" t="str">
        <x:v>ZS-9309B7D5440A</x:v>
      </x:c>
      <x:c r="B1960" s="24" t="str">
        <x:v>ZEISS</x:v>
      </x:c>
      <x:c r="C1960" s="24" t="str">
        <x:v>Progressiva</x:v>
      </x:c>
      <x:c r="D1960" s="24" t="str">
        <x:v>Surfaçada</x:v>
      </x:c>
      <x:c r="E1960" s="24" t="str">
        <x:v>ClearMind Individual 3</x:v>
      </x:c>
      <x:c r="F1960" s="24" t="str">
        <x:v>PhotoFusion X</x:v>
      </x:c>
      <x:c r="G1960" s="24" t="str">
        <x:v>1.67</x:v>
      </x:c>
      <x:c r="H1960" s="24" t="str">
        <x:v>1.67</x:v>
      </x:c>
      <x:c r="I1960" s="24" t="str">
        <x:v>DURAVISION® ANTIVÍRUS PLATINUM UV</x:v>
      </x:c>
      <x:c r="J1960" s="40" t="n">
        <x:v>16420</x:v>
      </x:c>
      <x:c r="K1960" s="24" t="str">
        <x:v>-8.00 a +8.00</x:v>
      </x:c>
      <x:c r="L1960" s="24" t="str">
        <x:v>-6.00</x:v>
      </x:c>
      <x:c r="M1960" s="24" t="str">
        <x:v>0.75 a 3.00</x:v>
      </x:c>
      <x:c r="N1960" s="24" t="str">
        <x:v>70</x:v>
      </x:c>
      <x:c r="O1960" s="24"/>
      <x:c r="P1960" s="24"/>
      <x:c r="Q1960" s="24" t="str">
        <x:v>DISPONÍVEL</x:v>
      </x:c>
      <x:c r="R1960" s="24" t="str">
        <x:v>Programa de Parcerias ZEISS — categoria Experts; Programa de Parcerias ZEISS</x:v>
      </x:c>
      <x:c r="S1960" s="24" t="n">
        <x:v>32</x:v>
      </x:c>
      <x:c r="T1960" s="24" t="str">
        <x:v>tabela_zeiss.pdf</x:v>
      </x:c>
      <x:c r="U1960" s="24" t="str">
        <x:v>ZEISS|Progressiva|Surfaçada|ClearMind Individual 3|PhotoFusion X|1.67|1.67|DURAVISION® ANTIVÍRUS PLATINUM UV|-8.00 a +8.00|-6.00|0.75 a 3.00|70|||32</x:v>
      </x:c>
    </x:row>
    <x:row r="1961">
      <x:c r="A1961" s="24" t="str">
        <x:v>ZS-C472F8B0F4E1</x:v>
      </x:c>
      <x:c r="B1961" s="24" t="str">
        <x:v>ZEISS</x:v>
      </x:c>
      <x:c r="C1961" s="24" t="str">
        <x:v>Progressiva</x:v>
      </x:c>
      <x:c r="D1961" s="24" t="str">
        <x:v>Surfaçada</x:v>
      </x:c>
      <x:c r="E1961" s="24" t="str">
        <x:v>ClearMind Individual 3</x:v>
      </x:c>
      <x:c r="F1961" s="24" t="str">
        <x:v>PhotoFusion X</x:v>
      </x:c>
      <x:c r="G1961" s="24" t="str">
        <x:v>1.67</x:v>
      </x:c>
      <x:c r="H1961" s="24" t="str">
        <x:v>1.67</x:v>
      </x:c>
      <x:c r="I1961" s="24" t="str">
        <x:v>DuraVision Platinum UV</x:v>
      </x:c>
      <x:c r="J1961" s="40" t="n">
        <x:v>16420</x:v>
      </x:c>
      <x:c r="K1961" s="24" t="str">
        <x:v>-8.00 a +8.00</x:v>
      </x:c>
      <x:c r="L1961" s="24" t="str">
        <x:v>-6.00</x:v>
      </x:c>
      <x:c r="M1961" s="24" t="str">
        <x:v>0.75 a 3.00</x:v>
      </x:c>
      <x:c r="N1961" s="24" t="str">
        <x:v>70</x:v>
      </x:c>
      <x:c r="O1961" s="24"/>
      <x:c r="P1961" s="24"/>
      <x:c r="Q1961" s="24" t="str">
        <x:v>DISPONÍVEL</x:v>
      </x:c>
      <x:c r="R1961" s="24" t="str">
        <x:v>Programa de Parcerias ZEISS — categoria Experts; Programa de Parcerias ZEISS</x:v>
      </x:c>
      <x:c r="S1961" s="24" t="n">
        <x:v>32</x:v>
      </x:c>
      <x:c r="T1961" s="24" t="str">
        <x:v>tabela_zeiss.pdf</x:v>
      </x:c>
      <x:c r="U1961" s="24" t="str">
        <x:v>ZEISS|Progressiva|Surfaçada|ClearMind Individual 3|PhotoFusion X|1.67|1.67|DuraVision Platinum UV|-8.00 a +8.00|-6.00|0.75 a 3.00|70|||32</x:v>
      </x:c>
    </x:row>
    <x:row r="1962">
      <x:c r="A1962" s="24" t="str">
        <x:v>ZS-5EDFC159D20E</x:v>
      </x:c>
      <x:c r="B1962" s="24" t="str">
        <x:v>ZEISS</x:v>
      </x:c>
      <x:c r="C1962" s="24" t="str">
        <x:v>Progressiva</x:v>
      </x:c>
      <x:c r="D1962" s="24" t="str">
        <x:v>Surfaçada</x:v>
      </x:c>
      <x:c r="E1962" s="24" t="str">
        <x:v>ClearMind Individual 3</x:v>
      </x:c>
      <x:c r="F1962" s="24" t="str">
        <x:v>PhotoFusion X</x:v>
      </x:c>
      <x:c r="G1962" s="24" t="str">
        <x:v>1.67</x:v>
      </x:c>
      <x:c r="H1962" s="24" t="str">
        <x:v>1.67</x:v>
      </x:c>
      <x:c r="I1962" s="24" t="str">
        <x:v>DuraVision Silver UV</x:v>
      </x:c>
      <x:c r="J1962" s="40" t="n">
        <x:v>16160</x:v>
      </x:c>
      <x:c r="K1962" s="24" t="str">
        <x:v>-8.00 a +8.00</x:v>
      </x:c>
      <x:c r="L1962" s="24" t="str">
        <x:v>-6.00</x:v>
      </x:c>
      <x:c r="M1962" s="24" t="str">
        <x:v>0.75 a 3.00</x:v>
      </x:c>
      <x:c r="N1962" s="24" t="str">
        <x:v>70</x:v>
      </x:c>
      <x:c r="O1962" s="24"/>
      <x:c r="P1962" s="24"/>
      <x:c r="Q1962" s="24" t="str">
        <x:v>DISPONÍVEL</x:v>
      </x:c>
      <x:c r="R1962" s="24" t="str">
        <x:v>Programa de Parcerias ZEISS — categoria Experts; Programa de Parcerias ZEISS</x:v>
      </x:c>
      <x:c r="S1962" s="24" t="n">
        <x:v>32</x:v>
      </x:c>
      <x:c r="T1962" s="24" t="str">
        <x:v>tabela_zeiss.pdf</x:v>
      </x:c>
      <x:c r="U1962" s="24" t="str">
        <x:v>ZEISS|Progressiva|Surfaçada|ClearMind Individual 3|PhotoFusion X|1.67|1.67|DuraVision Silver UV|-8.00 a +8.00|-6.00|0.75 a 3.00|70|||32</x:v>
      </x:c>
    </x:row>
    <x:row r="1963">
      <x:c r="A1963" s="24" t="str">
        <x:v>ZS-A4DFA1838081</x:v>
      </x:c>
      <x:c r="B1963" s="24" t="str">
        <x:v>ZEISS</x:v>
      </x:c>
      <x:c r="C1963" s="24" t="str">
        <x:v>Progressiva</x:v>
      </x:c>
      <x:c r="D1963" s="24" t="str">
        <x:v>Surfaçada</x:v>
      </x:c>
      <x:c r="E1963" s="24" t="str">
        <x:v>ClearMind Individual 3</x:v>
      </x:c>
      <x:c r="F1963" s="24" t="str">
        <x:v>PhotoFusion X</x:v>
      </x:c>
      <x:c r="G1963" s="24" t="str">
        <x:v>1.67</x:v>
      </x:c>
      <x:c r="H1963" s="24" t="str">
        <x:v>1.67</x:v>
      </x:c>
      <x:c r="I1963" s="24" t="str">
        <x:v>DuraVision Chrome UV</x:v>
      </x:c>
      <x:c r="J1963" s="40" t="n">
        <x:v>15670</x:v>
      </x:c>
      <x:c r="K1963" s="24" t="str">
        <x:v>-8.00 a +8.00</x:v>
      </x:c>
      <x:c r="L1963" s="24" t="str">
        <x:v>-6.00</x:v>
      </x:c>
      <x:c r="M1963" s="24" t="str">
        <x:v>0.75 a 3.00</x:v>
      </x:c>
      <x:c r="N1963" s="24" t="str">
        <x:v>70</x:v>
      </x:c>
      <x:c r="O1963" s="24"/>
      <x:c r="P1963" s="24"/>
      <x:c r="Q1963" s="24" t="str">
        <x:v>DISPONÍVEL</x:v>
      </x:c>
      <x:c r="R1963" s="24" t="str">
        <x:v>Programa de Parcerias ZEISS — categoria Experts; Programa de Parcerias ZEISS</x:v>
      </x:c>
      <x:c r="S1963" s="24" t="n">
        <x:v>32</x:v>
      </x:c>
      <x:c r="T1963" s="24" t="str">
        <x:v>tabela_zeiss.pdf</x:v>
      </x:c>
      <x:c r="U1963" s="24" t="str">
        <x:v>ZEISS|Progressiva|Surfaçada|ClearMind Individual 3|PhotoFusion X|1.67|1.67|DuraVision Chrome UV|-8.00 a +8.00|-6.00|0.75 a 3.00|70|||32</x:v>
      </x:c>
    </x:row>
    <x:row r="1964">
      <x:c r="A1964" s="24" t="str">
        <x:v>ZS-A23B3AB84BE2</x:v>
      </x:c>
      <x:c r="B1964" s="24" t="str">
        <x:v>ZEISS</x:v>
      </x:c>
      <x:c r="C1964" s="24" t="str">
        <x:v>Progressiva</x:v>
      </x:c>
      <x:c r="D1964" s="24" t="str">
        <x:v>Surfaçada</x:v>
      </x:c>
      <x:c r="E1964" s="24" t="str">
        <x:v>ClearMind Individual 3</x:v>
      </x:c>
      <x:c r="F1964" s="24" t="str">
        <x:v>PhotoFusion X Extra Dark Cinza</x:v>
      </x:c>
      <x:c r="G1964" s="24" t="str">
        <x:v>1.5</x:v>
      </x:c>
      <x:c r="H1964" s="24" t="str">
        <x:v>1.50</x:v>
      </x:c>
      <x:c r="I1964" s="24" t="str">
        <x:v>DuraVision Gold UV</x:v>
      </x:c>
      <x:c r="J1964" s="40" t="n">
        <x:v>13720</x:v>
      </x:c>
      <x:c r="K1964" s="24" t="str">
        <x:v>-6.00 a +5.50</x:v>
      </x:c>
      <x:c r="L1964" s="24" t="str">
        <x:v>-4.00</x:v>
      </x:c>
      <x:c r="M1964" s="24" t="str">
        <x:v>0.75 a 3.00</x:v>
      </x:c>
      <x:c r="N1964" s="24" t="str">
        <x:v>75</x:v>
      </x:c>
      <x:c r="O1964" s="24"/>
      <x:c r="P1964" s="24"/>
      <x:c r="Q1964" s="24" t="str">
        <x:v>DISPONÍVEL</x:v>
      </x:c>
      <x:c r="R1964" s="24" t="str">
        <x:v>Programa de Parcerias ZEISS — categoria Experts; Programa de Parcerias ZEISS</x:v>
      </x:c>
      <x:c r="S1964" s="24" t="n">
        <x:v>32</x:v>
      </x:c>
      <x:c r="T1964" s="24" t="str">
        <x:v>tabela_zeiss.pdf</x:v>
      </x:c>
      <x:c r="U1964" s="24" t="str">
        <x:v>ZEISS|Progressiva|Surfaçada|ClearMind Individual 3|PhotoFusion X Extra Dark Cinza|1.5|1.50|DuraVision Gold UV|-6.00 a +5.50|-4.00|0.75 a 3.00|75|||32</x:v>
      </x:c>
    </x:row>
    <x:row r="1965">
      <x:c r="A1965" s="24" t="str">
        <x:v>ZS-9BE217322F18</x:v>
      </x:c>
      <x:c r="B1965" s="24" t="str">
        <x:v>ZEISS</x:v>
      </x:c>
      <x:c r="C1965" s="24" t="str">
        <x:v>Progressiva</x:v>
      </x:c>
      <x:c r="D1965" s="24" t="str">
        <x:v>Surfaçada</x:v>
      </x:c>
      <x:c r="E1965" s="24" t="str">
        <x:v>ClearMind Individual 3</x:v>
      </x:c>
      <x:c r="F1965" s="24" t="str">
        <x:v>PhotoFusion X Extra Dark Cinza</x:v>
      </x:c>
      <x:c r="G1965" s="24" t="str">
        <x:v>1.5</x:v>
      </x:c>
      <x:c r="H1965" s="24" t="str">
        <x:v>1.50</x:v>
      </x:c>
      <x:c r="I1965" s="24" t="str">
        <x:v>DURAVISION® ANTIVÍRUS PLATINUM UV</x:v>
      </x:c>
      <x:c r="J1965" s="40" t="n">
        <x:v>13580</x:v>
      </x:c>
      <x:c r="K1965" s="24" t="str">
        <x:v>-6.00 a +5.50</x:v>
      </x:c>
      <x:c r="L1965" s="24" t="str">
        <x:v>-4.00</x:v>
      </x:c>
      <x:c r="M1965" s="24" t="str">
        <x:v>0.75 a 3.00</x:v>
      </x:c>
      <x:c r="N1965" s="24" t="str">
        <x:v>75</x:v>
      </x:c>
      <x:c r="O1965" s="24"/>
      <x:c r="P1965" s="24"/>
      <x:c r="Q1965" s="24" t="str">
        <x:v>DISPONÍVEL</x:v>
      </x:c>
      <x:c r="R1965" s="24" t="str">
        <x:v>Programa de Parcerias ZEISS — categoria Experts; Programa de Parcerias ZEISS</x:v>
      </x:c>
      <x:c r="S1965" s="24" t="n">
        <x:v>32</x:v>
      </x:c>
      <x:c r="T1965" s="24" t="str">
        <x:v>tabela_zeiss.pdf</x:v>
      </x:c>
      <x:c r="U1965" s="24" t="str">
        <x:v>ZEISS|Progressiva|Surfaçada|ClearMind Individual 3|PhotoFusion X Extra Dark Cinza|1.5|1.50|DURAVISION® ANTIVÍRUS PLATINUM UV|-6.00 a +5.50|-4.00|0.75 a 3.00|75|||32</x:v>
      </x:c>
    </x:row>
    <x:row r="1966">
      <x:c r="A1966" s="24" t="str">
        <x:v>ZS-B151A8092DCE</x:v>
      </x:c>
      <x:c r="B1966" s="24" t="str">
        <x:v>ZEISS</x:v>
      </x:c>
      <x:c r="C1966" s="24" t="str">
        <x:v>Progressiva</x:v>
      </x:c>
      <x:c r="D1966" s="24" t="str">
        <x:v>Surfaçada</x:v>
      </x:c>
      <x:c r="E1966" s="24" t="str">
        <x:v>ClearMind Individual 3</x:v>
      </x:c>
      <x:c r="F1966" s="24" t="str">
        <x:v>PhotoFusion X Extra Dark Cinza</x:v>
      </x:c>
      <x:c r="G1966" s="24" t="str">
        <x:v>1.5</x:v>
      </x:c>
      <x:c r="H1966" s="24" t="str">
        <x:v>1.50</x:v>
      </x:c>
      <x:c r="I1966" s="24" t="str">
        <x:v>DuraVision Platinum UV</x:v>
      </x:c>
      <x:c r="J1966" s="40" t="n">
        <x:v>13580</x:v>
      </x:c>
      <x:c r="K1966" s="24" t="str">
        <x:v>-6.00 a +5.50</x:v>
      </x:c>
      <x:c r="L1966" s="24" t="str">
        <x:v>-4.00</x:v>
      </x:c>
      <x:c r="M1966" s="24" t="str">
        <x:v>0.75 a 3.00</x:v>
      </x:c>
      <x:c r="N1966" s="24" t="str">
        <x:v>75</x:v>
      </x:c>
      <x:c r="O1966" s="24"/>
      <x:c r="P1966" s="24"/>
      <x:c r="Q1966" s="24" t="str">
        <x:v>DISPONÍVEL</x:v>
      </x:c>
      <x:c r="R1966" s="24" t="str">
        <x:v>Programa de Parcerias ZEISS — categoria Experts; Programa de Parcerias ZEISS</x:v>
      </x:c>
      <x:c r="S1966" s="24" t="n">
        <x:v>32</x:v>
      </x:c>
      <x:c r="T1966" s="24" t="str">
        <x:v>tabela_zeiss.pdf</x:v>
      </x:c>
      <x:c r="U1966" s="24" t="str">
        <x:v>ZEISS|Progressiva|Surfaçada|ClearMind Individual 3|PhotoFusion X Extra Dark Cinza|1.5|1.50|DuraVision Platinum UV|-6.00 a +5.50|-4.00|0.75 a 3.00|75|||32</x:v>
      </x:c>
    </x:row>
    <x:row r="1967">
      <x:c r="A1967" s="24" t="str">
        <x:v>ZS-17B81776DD71</x:v>
      </x:c>
      <x:c r="B1967" s="24" t="str">
        <x:v>ZEISS</x:v>
      </x:c>
      <x:c r="C1967" s="24" t="str">
        <x:v>Progressiva</x:v>
      </x:c>
      <x:c r="D1967" s="24" t="str">
        <x:v>Surfaçada</x:v>
      </x:c>
      <x:c r="E1967" s="24" t="str">
        <x:v>ClearMind Individual 3</x:v>
      </x:c>
      <x:c r="F1967" s="24" t="str">
        <x:v>PhotoFusion X Extra Dark Cinza</x:v>
      </x:c>
      <x:c r="G1967" s="24" t="str">
        <x:v>1.5</x:v>
      </x:c>
      <x:c r="H1967" s="24" t="str">
        <x:v>1.50</x:v>
      </x:c>
      <x:c r="I1967" s="24" t="str">
        <x:v>DuraVision Silver UV</x:v>
      </x:c>
      <x:c r="J1967" s="40" t="n">
        <x:v>13320</x:v>
      </x:c>
      <x:c r="K1967" s="24" t="str">
        <x:v>-6.00 a +5.50</x:v>
      </x:c>
      <x:c r="L1967" s="24" t="str">
        <x:v>-4.00</x:v>
      </x:c>
      <x:c r="M1967" s="24" t="str">
        <x:v>0.75 a 3.00</x:v>
      </x:c>
      <x:c r="N1967" s="24" t="str">
        <x:v>75</x:v>
      </x:c>
      <x:c r="O1967" s="24"/>
      <x:c r="P1967" s="24"/>
      <x:c r="Q1967" s="24" t="str">
        <x:v>DISPONÍVEL</x:v>
      </x:c>
      <x:c r="R1967" s="24" t="str">
        <x:v>Programa de Parcerias ZEISS — categoria Experts; Programa de Parcerias ZEISS</x:v>
      </x:c>
      <x:c r="S1967" s="24" t="n">
        <x:v>32</x:v>
      </x:c>
      <x:c r="T1967" s="24" t="str">
        <x:v>tabela_zeiss.pdf</x:v>
      </x:c>
      <x:c r="U1967" s="24" t="str">
        <x:v>ZEISS|Progressiva|Surfaçada|ClearMind Individual 3|PhotoFusion X Extra Dark Cinza|1.5|1.50|DuraVision Silver UV|-6.00 a +5.50|-4.00|0.75 a 3.00|75|||32</x:v>
      </x:c>
    </x:row>
    <x:row r="1968">
      <x:c r="A1968" s="24" t="str">
        <x:v>ZS-378FE7CE1C46</x:v>
      </x:c>
      <x:c r="B1968" s="24" t="str">
        <x:v>ZEISS</x:v>
      </x:c>
      <x:c r="C1968" s="24" t="str">
        <x:v>Progressiva</x:v>
      </x:c>
      <x:c r="D1968" s="24" t="str">
        <x:v>Surfaçada</x:v>
      </x:c>
      <x:c r="E1968" s="24" t="str">
        <x:v>ClearMind Individual 3</x:v>
      </x:c>
      <x:c r="F1968" s="24" t="str">
        <x:v>PhotoFusion X Extra Dark Cinza</x:v>
      </x:c>
      <x:c r="G1968" s="24" t="str">
        <x:v>1.5</x:v>
      </x:c>
      <x:c r="H1968" s="24" t="str">
        <x:v>1.50</x:v>
      </x:c>
      <x:c r="I1968" s="24" t="str">
        <x:v>DuraVision Chrome UV</x:v>
      </x:c>
      <x:c r="J1968" s="40" t="n">
        <x:v>12830</x:v>
      </x:c>
      <x:c r="K1968" s="24" t="str">
        <x:v>-6.00 a +5.50</x:v>
      </x:c>
      <x:c r="L1968" s="24" t="str">
        <x:v>-4.00</x:v>
      </x:c>
      <x:c r="M1968" s="24" t="str">
        <x:v>0.75 a 3.00</x:v>
      </x:c>
      <x:c r="N1968" s="24" t="str">
        <x:v>75</x:v>
      </x:c>
      <x:c r="O1968" s="24"/>
      <x:c r="P1968" s="24"/>
      <x:c r="Q1968" s="24" t="str">
        <x:v>DISPONÍVEL</x:v>
      </x:c>
      <x:c r="R1968" s="24" t="str">
        <x:v>Programa de Parcerias ZEISS — categoria Experts; Programa de Parcerias ZEISS</x:v>
      </x:c>
      <x:c r="S1968" s="24" t="n">
        <x:v>32</x:v>
      </x:c>
      <x:c r="T1968" s="24" t="str">
        <x:v>tabela_zeiss.pdf</x:v>
      </x:c>
      <x:c r="U1968" s="24" t="str">
        <x:v>ZEISS|Progressiva|Surfaçada|ClearMind Individual 3|PhotoFusion X Extra Dark Cinza|1.5|1.50|DuraVision Chrome UV|-6.00 a +5.50|-4.00|0.75 a 3.00|75|||32</x:v>
      </x:c>
    </x:row>
    <x:row r="1969">
      <x:c r="A1969" s="24" t="str">
        <x:v>ZS-BA71F83657E1</x:v>
      </x:c>
      <x:c r="B1969" s="24" t="str">
        <x:v>ZEISS</x:v>
      </x:c>
      <x:c r="C1969" s="24" t="str">
        <x:v>Progressiva</x:v>
      </x:c>
      <x:c r="D1969" s="24" t="str">
        <x:v>Surfaçada</x:v>
      </x:c>
      <x:c r="E1969" s="24" t="str">
        <x:v>ClearMind Individual 3</x:v>
      </x:c>
      <x:c r="F1969" s="24" t="str">
        <x:v>PhotoFusion X Extra Dark Cinza</x:v>
      </x:c>
      <x:c r="G1969" s="24" t="str">
        <x:v>Poli</x:v>
      </x:c>
      <x:c r="H1969" s="24"/>
      <x:c r="I1969" s="24" t="str">
        <x:v>DuraVision Gold UV</x:v>
      </x:c>
      <x:c r="J1969" s="40" t="n">
        <x:v>14310</x:v>
      </x:c>
      <x:c r="K1969" s="24" t="str">
        <x:v>-10.00 a +6.00</x:v>
      </x:c>
      <x:c r="L1969" s="24" t="str">
        <x:v>-6.00</x:v>
      </x:c>
      <x:c r="M1969" s="24" t="str">
        <x:v>0.75 a 3.00</x:v>
      </x:c>
      <x:c r="N1969" s="24" t="str">
        <x:v>70</x:v>
      </x:c>
      <x:c r="O1969" s="24"/>
      <x:c r="P1969" s="24"/>
      <x:c r="Q1969" s="24" t="str">
        <x:v>DISPONÍVEL</x:v>
      </x:c>
      <x:c r="R1969" s="24" t="str">
        <x:v>Programa de Parcerias ZEISS — categoria Experts; Programa de Parcerias ZEISS</x:v>
      </x:c>
      <x:c r="S1969" s="24" t="n">
        <x:v>32</x:v>
      </x:c>
      <x:c r="T1969" s="24" t="str">
        <x:v>tabela_zeiss.pdf</x:v>
      </x:c>
      <x:c r="U1969" s="24" t="str">
        <x:v>ZEISS|Progressiva|Surfaçada|ClearMind Individual 3|PhotoFusion X Extra Dark Cinza|Poli||DuraVision Gold UV|-10.00 a +6.00|-6.00|0.75 a 3.00|70|||32</x:v>
      </x:c>
    </x:row>
    <x:row r="1970">
      <x:c r="A1970" s="24" t="str">
        <x:v>ZS-263784F44145</x:v>
      </x:c>
      <x:c r="B1970" s="24" t="str">
        <x:v>ZEISS</x:v>
      </x:c>
      <x:c r="C1970" s="24" t="str">
        <x:v>Progressiva</x:v>
      </x:c>
      <x:c r="D1970" s="24" t="str">
        <x:v>Surfaçada</x:v>
      </x:c>
      <x:c r="E1970" s="24" t="str">
        <x:v>ClearMind Individual 3</x:v>
      </x:c>
      <x:c r="F1970" s="24" t="str">
        <x:v>PhotoFusion X Extra Dark Cinza</x:v>
      </x:c>
      <x:c r="G1970" s="24" t="str">
        <x:v>Poli</x:v>
      </x:c>
      <x:c r="H1970" s="24"/>
      <x:c r="I1970" s="24" t="str">
        <x:v>DuraVision Platinum UV</x:v>
      </x:c>
      <x:c r="J1970" s="40" t="n">
        <x:v>14170</x:v>
      </x:c>
      <x:c r="K1970" s="24" t="str">
        <x:v>-10.00 a +6.00</x:v>
      </x:c>
      <x:c r="L1970" s="24" t="str">
        <x:v>-6.00</x:v>
      </x:c>
      <x:c r="M1970" s="24" t="str">
        <x:v>0.75 a 3.00</x:v>
      </x:c>
      <x:c r="N1970" s="24" t="str">
        <x:v>70</x:v>
      </x:c>
      <x:c r="O1970" s="24"/>
      <x:c r="P1970" s="24"/>
      <x:c r="Q1970" s="24" t="str">
        <x:v>DISPONÍVEL</x:v>
      </x:c>
      <x:c r="R1970" s="24" t="str">
        <x:v>Programa de Parcerias ZEISS — categoria Experts; Programa de Parcerias ZEISS</x:v>
      </x:c>
      <x:c r="S1970" s="24" t="n">
        <x:v>32</x:v>
      </x:c>
      <x:c r="T1970" s="24" t="str">
        <x:v>tabela_zeiss.pdf</x:v>
      </x:c>
      <x:c r="U1970" s="24" t="str">
        <x:v>ZEISS|Progressiva|Surfaçada|ClearMind Individual 3|PhotoFusion X Extra Dark Cinza|Poli||DuraVision Platinum UV|-10.00 a +6.00|-6.00|0.75 a 3.00|70|||32</x:v>
      </x:c>
    </x:row>
    <x:row r="1971">
      <x:c r="A1971" s="24" t="str">
        <x:v>ZS-DFD02E5C208F</x:v>
      </x:c>
      <x:c r="B1971" s="24" t="str">
        <x:v>ZEISS</x:v>
      </x:c>
      <x:c r="C1971" s="24" t="str">
        <x:v>Progressiva</x:v>
      </x:c>
      <x:c r="D1971" s="24" t="str">
        <x:v>Surfaçada</x:v>
      </x:c>
      <x:c r="E1971" s="24" t="str">
        <x:v>ClearMind Individual 3</x:v>
      </x:c>
      <x:c r="F1971" s="24" t="str">
        <x:v>PhotoFusion X Extra Dark Cinza</x:v>
      </x:c>
      <x:c r="G1971" s="24" t="str">
        <x:v>Poli</x:v>
      </x:c>
      <x:c r="H1971" s="24"/>
      <x:c r="I1971" s="24" t="str">
        <x:v>DuraVision Silver UV</x:v>
      </x:c>
      <x:c r="J1971" s="40" t="n">
        <x:v>13910</x:v>
      </x:c>
      <x:c r="K1971" s="24" t="str">
        <x:v>-10.00 a +6.00</x:v>
      </x:c>
      <x:c r="L1971" s="24" t="str">
        <x:v>-6.00</x:v>
      </x:c>
      <x:c r="M1971" s="24" t="str">
        <x:v>0.75 a 3.00</x:v>
      </x:c>
      <x:c r="N1971" s="24" t="str">
        <x:v>70</x:v>
      </x:c>
      <x:c r="O1971" s="24"/>
      <x:c r="P1971" s="24"/>
      <x:c r="Q1971" s="24" t="str">
        <x:v>DISPONÍVEL</x:v>
      </x:c>
      <x:c r="R1971" s="24" t="str">
        <x:v>Programa de Parcerias ZEISS — categoria Experts; Programa de Parcerias ZEISS</x:v>
      </x:c>
      <x:c r="S1971" s="24" t="n">
        <x:v>32</x:v>
      </x:c>
      <x:c r="T1971" s="24" t="str">
        <x:v>tabela_zeiss.pdf</x:v>
      </x:c>
      <x:c r="U1971" s="24" t="str">
        <x:v>ZEISS|Progressiva|Surfaçada|ClearMind Individual 3|PhotoFusion X Extra Dark Cinza|Poli||DuraVision Silver UV|-10.00 a +6.00|-6.00|0.75 a 3.00|70|||32</x:v>
      </x:c>
    </x:row>
    <x:row r="1972">
      <x:c r="A1972" s="24" t="str">
        <x:v>ZS-2723148B942C</x:v>
      </x:c>
      <x:c r="B1972" s="24" t="str">
        <x:v>ZEISS</x:v>
      </x:c>
      <x:c r="C1972" s="24" t="str">
        <x:v>Progressiva</x:v>
      </x:c>
      <x:c r="D1972" s="24" t="str">
        <x:v>Surfaçada</x:v>
      </x:c>
      <x:c r="E1972" s="24" t="str">
        <x:v>ClearMind Individual 3</x:v>
      </x:c>
      <x:c r="F1972" s="24" t="str">
        <x:v>PhotoFusion X Extra Dark Cinza</x:v>
      </x:c>
      <x:c r="G1972" s="24" t="str">
        <x:v>Poli</x:v>
      </x:c>
      <x:c r="H1972" s="24"/>
      <x:c r="I1972" s="24" t="str">
        <x:v>DuraVision Chrome UV</x:v>
      </x:c>
      <x:c r="J1972" s="40" t="n">
        <x:v>13420</x:v>
      </x:c>
      <x:c r="K1972" s="24" t="str">
        <x:v>-10.00 a +6.00</x:v>
      </x:c>
      <x:c r="L1972" s="24" t="str">
        <x:v>-6.00</x:v>
      </x:c>
      <x:c r="M1972" s="24" t="str">
        <x:v>0.75 a 3.00</x:v>
      </x:c>
      <x:c r="N1972" s="24" t="str">
        <x:v>70</x:v>
      </x:c>
      <x:c r="O1972" s="24"/>
      <x:c r="P1972" s="24"/>
      <x:c r="Q1972" s="24" t="str">
        <x:v>DISPONÍVEL</x:v>
      </x:c>
      <x:c r="R1972" s="24" t="str">
        <x:v>Programa de Parcerias ZEISS — categoria Experts; Programa de Parcerias ZEISS</x:v>
      </x:c>
      <x:c r="S1972" s="24" t="n">
        <x:v>32</x:v>
      </x:c>
      <x:c r="T1972" s="24" t="str">
        <x:v>tabela_zeiss.pdf</x:v>
      </x:c>
      <x:c r="U1972" s="24" t="str">
        <x:v>ZEISS|Progressiva|Surfaçada|ClearMind Individual 3|PhotoFusion X Extra Dark Cinza|Poli||DuraVision Chrome UV|-10.00 a +6.00|-6.00|0.75 a 3.00|70|||32</x:v>
      </x:c>
    </x:row>
    <x:row r="1973">
      <x:c r="A1973" s="24" t="str">
        <x:v>ZS-6B83B2991CCD</x:v>
      </x:c>
      <x:c r="B1973" s="24" t="str">
        <x:v>ZEISS</x:v>
      </x:c>
      <x:c r="C1973" s="24" t="str">
        <x:v>Progressiva</x:v>
      </x:c>
      <x:c r="D1973" s="24" t="str">
        <x:v>Surfaçada</x:v>
      </x:c>
      <x:c r="E1973" s="24" t="str">
        <x:v>ClearMind Individual 3</x:v>
      </x:c>
      <x:c r="F1973" s="24" t="str">
        <x:v>PhotoFusion X Extra Dark Cinza</x:v>
      </x:c>
      <x:c r="G1973" s="24" t="str">
        <x:v>1.6</x:v>
      </x:c>
      <x:c r="H1973" s="24" t="str">
        <x:v>1.60</x:v>
      </x:c>
      <x:c r="I1973" s="24" t="str">
        <x:v>DuraVision Gold UV</x:v>
      </x:c>
      <x:c r="J1973" s="40" t="n">
        <x:v>14970</x:v>
      </x:c>
      <x:c r="K1973" s="24" t="str">
        <x:v>-7.25 a +6.00</x:v>
      </x:c>
      <x:c r="L1973" s="24" t="str">
        <x:v>-6.00</x:v>
      </x:c>
      <x:c r="M1973" s="24" t="str">
        <x:v>0.75 a 3.50</x:v>
      </x:c>
      <x:c r="N1973" s="24" t="str">
        <x:v>75</x:v>
      </x:c>
      <x:c r="O1973" s="24"/>
      <x:c r="P1973" s="24"/>
      <x:c r="Q1973" s="24" t="str">
        <x:v>DISPONÍVEL</x:v>
      </x:c>
      <x:c r="R1973" s="24" t="str">
        <x:v>Programa de Parcerias ZEISS — categoria Experts; Programa de Parcerias ZEISS</x:v>
      </x:c>
      <x:c r="S1973" s="24" t="n">
        <x:v>32</x:v>
      </x:c>
      <x:c r="T1973" s="24" t="str">
        <x:v>tabela_zeiss.pdf</x:v>
      </x:c>
      <x:c r="U1973" s="24" t="str">
        <x:v>ZEISS|Progressiva|Surfaçada|ClearMind Individual 3|PhotoFusion X Extra Dark Cinza|1.6|1.60|DuraVision Gold UV|-7.25 a +6.00|-6.00|0.75 a 3.50|75|||32</x:v>
      </x:c>
    </x:row>
    <x:row r="1974">
      <x:c r="A1974" s="24" t="str">
        <x:v>ZS-8532519ECF4C</x:v>
      </x:c>
      <x:c r="B1974" s="24" t="str">
        <x:v>ZEISS</x:v>
      </x:c>
      <x:c r="C1974" s="24" t="str">
        <x:v>Progressiva</x:v>
      </x:c>
      <x:c r="D1974" s="24" t="str">
        <x:v>Surfaçada</x:v>
      </x:c>
      <x:c r="E1974" s="24" t="str">
        <x:v>ClearMind Individual 3</x:v>
      </x:c>
      <x:c r="F1974" s="24" t="str">
        <x:v>PhotoFusion X Extra Dark Cinza</x:v>
      </x:c>
      <x:c r="G1974" s="24" t="str">
        <x:v>1.6</x:v>
      </x:c>
      <x:c r="H1974" s="24" t="str">
        <x:v>1.60</x:v>
      </x:c>
      <x:c r="I1974" s="24" t="str">
        <x:v>DURAVISION® ANTIVÍRUS PLATINUM UV</x:v>
      </x:c>
      <x:c r="J1974" s="40" t="n">
        <x:v>14830</x:v>
      </x:c>
      <x:c r="K1974" s="24" t="str">
        <x:v>-7.25 a +6.00</x:v>
      </x:c>
      <x:c r="L1974" s="24" t="str">
        <x:v>-6.00</x:v>
      </x:c>
      <x:c r="M1974" s="24" t="str">
        <x:v>0.75 a 3.50</x:v>
      </x:c>
      <x:c r="N1974" s="24" t="str">
        <x:v>75</x:v>
      </x:c>
      <x:c r="O1974" s="24"/>
      <x:c r="P1974" s="24"/>
      <x:c r="Q1974" s="24" t="str">
        <x:v>DISPONÍVEL</x:v>
      </x:c>
      <x:c r="R1974" s="24" t="str">
        <x:v>Programa de Parcerias ZEISS — categoria Experts; Programa de Parcerias ZEISS</x:v>
      </x:c>
      <x:c r="S1974" s="24" t="n">
        <x:v>32</x:v>
      </x:c>
      <x:c r="T1974" s="24" t="str">
        <x:v>tabela_zeiss.pdf</x:v>
      </x:c>
      <x:c r="U1974" s="24" t="str">
        <x:v>ZEISS|Progressiva|Surfaçada|ClearMind Individual 3|PhotoFusion X Extra Dark Cinza|1.6|1.60|DURAVISION® ANTIVÍRUS PLATINUM UV|-7.25 a +6.00|-6.00|0.75 a 3.50|75|||32</x:v>
      </x:c>
    </x:row>
    <x:row r="1975">
      <x:c r="A1975" s="24" t="str">
        <x:v>ZS-FBEA1AB1C0F7</x:v>
      </x:c>
      <x:c r="B1975" s="24" t="str">
        <x:v>ZEISS</x:v>
      </x:c>
      <x:c r="C1975" s="24" t="str">
        <x:v>Progressiva</x:v>
      </x:c>
      <x:c r="D1975" s="24" t="str">
        <x:v>Surfaçada</x:v>
      </x:c>
      <x:c r="E1975" s="24" t="str">
        <x:v>ClearMind Individual 3</x:v>
      </x:c>
      <x:c r="F1975" s="24" t="str">
        <x:v>PhotoFusion X Extra Dark Cinza</x:v>
      </x:c>
      <x:c r="G1975" s="24" t="str">
        <x:v>1.6</x:v>
      </x:c>
      <x:c r="H1975" s="24" t="str">
        <x:v>1.60</x:v>
      </x:c>
      <x:c r="I1975" s="24" t="str">
        <x:v>DuraVision Platinum UV</x:v>
      </x:c>
      <x:c r="J1975" s="40" t="n">
        <x:v>14830</x:v>
      </x:c>
      <x:c r="K1975" s="24" t="str">
        <x:v>-7.25 a +6.00</x:v>
      </x:c>
      <x:c r="L1975" s="24" t="str">
        <x:v>-6.00</x:v>
      </x:c>
      <x:c r="M1975" s="24" t="str">
        <x:v>0.75 a 3.50</x:v>
      </x:c>
      <x:c r="N1975" s="24" t="str">
        <x:v>75</x:v>
      </x:c>
      <x:c r="O1975" s="24"/>
      <x:c r="P1975" s="24"/>
      <x:c r="Q1975" s="24" t="str">
        <x:v>DISPONÍVEL</x:v>
      </x:c>
      <x:c r="R1975" s="24" t="str">
        <x:v>Programa de Parcerias ZEISS — categoria Experts; Programa de Parcerias ZEISS</x:v>
      </x:c>
      <x:c r="S1975" s="24" t="n">
        <x:v>32</x:v>
      </x:c>
      <x:c r="T1975" s="24" t="str">
        <x:v>tabela_zeiss.pdf</x:v>
      </x:c>
      <x:c r="U1975" s="24" t="str">
        <x:v>ZEISS|Progressiva|Surfaçada|ClearMind Individual 3|PhotoFusion X Extra Dark Cinza|1.6|1.60|DuraVision Platinum UV|-7.25 a +6.00|-6.00|0.75 a 3.50|75|||32</x:v>
      </x:c>
    </x:row>
    <x:row r="1976">
      <x:c r="A1976" s="24" t="str">
        <x:v>ZS-979BF5FAA3D6</x:v>
      </x:c>
      <x:c r="B1976" s="24" t="str">
        <x:v>ZEISS</x:v>
      </x:c>
      <x:c r="C1976" s="24" t="str">
        <x:v>Progressiva</x:v>
      </x:c>
      <x:c r="D1976" s="24" t="str">
        <x:v>Surfaçada</x:v>
      </x:c>
      <x:c r="E1976" s="24" t="str">
        <x:v>ClearMind Individual 3</x:v>
      </x:c>
      <x:c r="F1976" s="24" t="str">
        <x:v>PhotoFusion X Extra Dark Cinza</x:v>
      </x:c>
      <x:c r="G1976" s="24" t="str">
        <x:v>1.6</x:v>
      </x:c>
      <x:c r="H1976" s="24" t="str">
        <x:v>1.60</x:v>
      </x:c>
      <x:c r="I1976" s="24" t="str">
        <x:v>DuraVision Silver UV</x:v>
      </x:c>
      <x:c r="J1976" s="40" t="n">
        <x:v>14570</x:v>
      </x:c>
      <x:c r="K1976" s="24" t="str">
        <x:v>-7.25 a +6.00</x:v>
      </x:c>
      <x:c r="L1976" s="24" t="str">
        <x:v>-6.00</x:v>
      </x:c>
      <x:c r="M1976" s="24" t="str">
        <x:v>0.75 a 3.50</x:v>
      </x:c>
      <x:c r="N1976" s="24" t="str">
        <x:v>75</x:v>
      </x:c>
      <x:c r="O1976" s="24"/>
      <x:c r="P1976" s="24"/>
      <x:c r="Q1976" s="24" t="str">
        <x:v>DISPONÍVEL</x:v>
      </x:c>
      <x:c r="R1976" s="24" t="str">
        <x:v>Programa de Parcerias ZEISS — categoria Experts; Programa de Parcerias ZEISS</x:v>
      </x:c>
      <x:c r="S1976" s="24" t="n">
        <x:v>32</x:v>
      </x:c>
      <x:c r="T1976" s="24" t="str">
        <x:v>tabela_zeiss.pdf</x:v>
      </x:c>
      <x:c r="U1976" s="24" t="str">
        <x:v>ZEISS|Progressiva|Surfaçada|ClearMind Individual 3|PhotoFusion X Extra Dark Cinza|1.6|1.60|DuraVision Silver UV|-7.25 a +6.00|-6.00|0.75 a 3.50|75|||32</x:v>
      </x:c>
    </x:row>
    <x:row r="1977">
      <x:c r="A1977" s="24" t="str">
        <x:v>ZS-63D7DCF71C7A</x:v>
      </x:c>
      <x:c r="B1977" s="24" t="str">
        <x:v>ZEISS</x:v>
      </x:c>
      <x:c r="C1977" s="24" t="str">
        <x:v>Progressiva</x:v>
      </x:c>
      <x:c r="D1977" s="24" t="str">
        <x:v>Surfaçada</x:v>
      </x:c>
      <x:c r="E1977" s="24" t="str">
        <x:v>ClearMind Individual 3</x:v>
      </x:c>
      <x:c r="F1977" s="24" t="str">
        <x:v>PhotoFusion X Extra Dark Cinza</x:v>
      </x:c>
      <x:c r="G1977" s="24" t="str">
        <x:v>1.6</x:v>
      </x:c>
      <x:c r="H1977" s="24" t="str">
        <x:v>1.60</x:v>
      </x:c>
      <x:c r="I1977" s="24" t="str">
        <x:v>DuraVision Chrome UV</x:v>
      </x:c>
      <x:c r="J1977" s="40" t="n">
        <x:v>14080</x:v>
      </x:c>
      <x:c r="K1977" s="24" t="str">
        <x:v>-7.25 a +6.00</x:v>
      </x:c>
      <x:c r="L1977" s="24" t="str">
        <x:v>-6.00</x:v>
      </x:c>
      <x:c r="M1977" s="24" t="str">
        <x:v>0.75 a 3.50</x:v>
      </x:c>
      <x:c r="N1977" s="24" t="str">
        <x:v>75</x:v>
      </x:c>
      <x:c r="O1977" s="24"/>
      <x:c r="P1977" s="24"/>
      <x:c r="Q1977" s="24" t="str">
        <x:v>DISPONÍVEL</x:v>
      </x:c>
      <x:c r="R1977" s="24" t="str">
        <x:v>Programa de Parcerias ZEISS — categoria Experts; Programa de Parcerias ZEISS</x:v>
      </x:c>
      <x:c r="S1977" s="24" t="n">
        <x:v>32</x:v>
      </x:c>
      <x:c r="T1977" s="24" t="str">
        <x:v>tabela_zeiss.pdf</x:v>
      </x:c>
      <x:c r="U1977" s="24" t="str">
        <x:v>ZEISS|Progressiva|Surfaçada|ClearMind Individual 3|PhotoFusion X Extra Dark Cinza|1.6|1.60|DuraVision Chrome UV|-7.25 a +6.00|-6.00|0.75 a 3.50|75|||32</x:v>
      </x:c>
    </x:row>
    <x:row r="1978">
      <x:c r="A1978" s="24" t="str">
        <x:v>ZS-4E8D06A43150</x:v>
      </x:c>
      <x:c r="B1978" s="24" t="str">
        <x:v>ZEISS</x:v>
      </x:c>
      <x:c r="C1978" s="24" t="str">
        <x:v>Progressiva</x:v>
      </x:c>
      <x:c r="D1978" s="24" t="str">
        <x:v>Surfaçada</x:v>
      </x:c>
      <x:c r="E1978" s="24" t="str">
        <x:v>ClearMind Individual 3</x:v>
      </x:c>
      <x:c r="F1978" s="24" t="str">
        <x:v>PhotoFusion X Extra Dark Cinza</x:v>
      </x:c>
      <x:c r="G1978" s="24" t="str">
        <x:v>1.67</x:v>
      </x:c>
      <x:c r="H1978" s="24" t="str">
        <x:v>1.67</x:v>
      </x:c>
      <x:c r="I1978" s="24" t="str">
        <x:v>DuraVision Gold UV</x:v>
      </x:c>
      <x:c r="J1978" s="40" t="n">
        <x:v>16610</x:v>
      </x:c>
      <x:c r="K1978" s="24" t="str">
        <x:v>-8.00 a +8.00</x:v>
      </x:c>
      <x:c r="L1978" s="24" t="str">
        <x:v>-6.00</x:v>
      </x:c>
      <x:c r="M1978" s="24" t="str">
        <x:v>0.75 a 3.00</x:v>
      </x:c>
      <x:c r="N1978" s="24" t="str">
        <x:v>70</x:v>
      </x:c>
      <x:c r="O1978" s="24"/>
      <x:c r="P1978" s="24"/>
      <x:c r="Q1978" s="24" t="str">
        <x:v>DISPONÍVEL</x:v>
      </x:c>
      <x:c r="R1978" s="24" t="str">
        <x:v>Programa de Parcerias ZEISS — categoria Experts; Programa de Parcerias ZEISS</x:v>
      </x:c>
      <x:c r="S1978" s="24" t="n">
        <x:v>32</x:v>
      </x:c>
      <x:c r="T1978" s="24" t="str">
        <x:v>tabela_zeiss.pdf</x:v>
      </x:c>
      <x:c r="U1978" s="24" t="str">
        <x:v>ZEISS|Progressiva|Surfaçada|ClearMind Individual 3|PhotoFusion X Extra Dark Cinza|1.67|1.67|DuraVision Gold UV|-8.00 a +8.00|-6.00|0.75 a 3.00|70|||32</x:v>
      </x:c>
    </x:row>
    <x:row r="1979">
      <x:c r="A1979" s="24" t="str">
        <x:v>ZS-B4F3EFC268A7</x:v>
      </x:c>
      <x:c r="B1979" s="24" t="str">
        <x:v>ZEISS</x:v>
      </x:c>
      <x:c r="C1979" s="24" t="str">
        <x:v>Progressiva</x:v>
      </x:c>
      <x:c r="D1979" s="24" t="str">
        <x:v>Surfaçada</x:v>
      </x:c>
      <x:c r="E1979" s="24" t="str">
        <x:v>ClearMind Individual 3</x:v>
      </x:c>
      <x:c r="F1979" s="24" t="str">
        <x:v>PhotoFusion X Extra Dark Cinza</x:v>
      </x:c>
      <x:c r="G1979" s="24" t="str">
        <x:v>1.67</x:v>
      </x:c>
      <x:c r="H1979" s="24" t="str">
        <x:v>1.67</x:v>
      </x:c>
      <x:c r="I1979" s="24" t="str">
        <x:v>DURAVISION® ANTIVÍRUS PLATINUM UV</x:v>
      </x:c>
      <x:c r="J1979" s="40" t="n">
        <x:v>16470</x:v>
      </x:c>
      <x:c r="K1979" s="24" t="str">
        <x:v>-8.00 a +8.00</x:v>
      </x:c>
      <x:c r="L1979" s="24" t="str">
        <x:v>-6.00</x:v>
      </x:c>
      <x:c r="M1979" s="24" t="str">
        <x:v>0.75 a 3.00</x:v>
      </x:c>
      <x:c r="N1979" s="24" t="str">
        <x:v>70</x:v>
      </x:c>
      <x:c r="O1979" s="24"/>
      <x:c r="P1979" s="24"/>
      <x:c r="Q1979" s="24" t="str">
        <x:v>DISPONÍVEL</x:v>
      </x:c>
      <x:c r="R1979" s="24" t="str">
        <x:v>Programa de Parcerias ZEISS — categoria Experts; Programa de Parcerias ZEISS</x:v>
      </x:c>
      <x:c r="S1979" s="24" t="n">
        <x:v>32</x:v>
      </x:c>
      <x:c r="T1979" s="24" t="str">
        <x:v>tabela_zeiss.pdf</x:v>
      </x:c>
      <x:c r="U1979" s="24" t="str">
        <x:v>ZEISS|Progressiva|Surfaçada|ClearMind Individual 3|PhotoFusion X Extra Dark Cinza|1.67|1.67|DURAVISION® ANTIVÍRUS PLATINUM UV|-8.00 a +8.00|-6.00|0.75 a 3.00|70|||32</x:v>
      </x:c>
    </x:row>
    <x:row r="1980">
      <x:c r="A1980" s="24" t="str">
        <x:v>ZS-570EF90A06A1</x:v>
      </x:c>
      <x:c r="B1980" s="24" t="str">
        <x:v>ZEISS</x:v>
      </x:c>
      <x:c r="C1980" s="24" t="str">
        <x:v>Progressiva</x:v>
      </x:c>
      <x:c r="D1980" s="24" t="str">
        <x:v>Surfaçada</x:v>
      </x:c>
      <x:c r="E1980" s="24" t="str">
        <x:v>ClearMind Individual 3</x:v>
      </x:c>
      <x:c r="F1980" s="24" t="str">
        <x:v>PhotoFusion X Extra Dark Cinza</x:v>
      </x:c>
      <x:c r="G1980" s="24" t="str">
        <x:v>1.67</x:v>
      </x:c>
      <x:c r="H1980" s="24" t="str">
        <x:v>1.67</x:v>
      </x:c>
      <x:c r="I1980" s="24" t="str">
        <x:v>DuraVision Platinum UV</x:v>
      </x:c>
      <x:c r="J1980" s="40" t="n">
        <x:v>16470</x:v>
      </x:c>
      <x:c r="K1980" s="24" t="str">
        <x:v>-8.00 a +8.00</x:v>
      </x:c>
      <x:c r="L1980" s="24" t="str">
        <x:v>-6.00</x:v>
      </x:c>
      <x:c r="M1980" s="24" t="str">
        <x:v>0.75 a 3.00</x:v>
      </x:c>
      <x:c r="N1980" s="24" t="str">
        <x:v>70</x:v>
      </x:c>
      <x:c r="O1980" s="24"/>
      <x:c r="P1980" s="24"/>
      <x:c r="Q1980" s="24" t="str">
        <x:v>DISPONÍVEL</x:v>
      </x:c>
      <x:c r="R1980" s="24" t="str">
        <x:v>Programa de Parcerias ZEISS — categoria Experts; Programa de Parcerias ZEISS</x:v>
      </x:c>
      <x:c r="S1980" s="24" t="n">
        <x:v>32</x:v>
      </x:c>
      <x:c r="T1980" s="24" t="str">
        <x:v>tabela_zeiss.pdf</x:v>
      </x:c>
      <x:c r="U1980" s="24" t="str">
        <x:v>ZEISS|Progressiva|Surfaçada|ClearMind Individual 3|PhotoFusion X Extra Dark Cinza|1.67|1.67|DuraVision Platinum UV|-8.00 a +8.00|-6.00|0.75 a 3.00|70|||32</x:v>
      </x:c>
    </x:row>
    <x:row r="1981">
      <x:c r="A1981" s="24" t="str">
        <x:v>ZS-0085BB9FE24B</x:v>
      </x:c>
      <x:c r="B1981" s="24" t="str">
        <x:v>ZEISS</x:v>
      </x:c>
      <x:c r="C1981" s="24" t="str">
        <x:v>Progressiva</x:v>
      </x:c>
      <x:c r="D1981" s="24" t="str">
        <x:v>Surfaçada</x:v>
      </x:c>
      <x:c r="E1981" s="24" t="str">
        <x:v>ClearMind Individual 3</x:v>
      </x:c>
      <x:c r="F1981" s="24" t="str">
        <x:v>PhotoFusion X Extra Dark Cinza</x:v>
      </x:c>
      <x:c r="G1981" s="24" t="str">
        <x:v>1.67</x:v>
      </x:c>
      <x:c r="H1981" s="24" t="str">
        <x:v>1.67</x:v>
      </x:c>
      <x:c r="I1981" s="24" t="str">
        <x:v>DuraVision Silver UV</x:v>
      </x:c>
      <x:c r="J1981" s="40" t="n">
        <x:v>16210</x:v>
      </x:c>
      <x:c r="K1981" s="24" t="str">
        <x:v>-8.00 a +8.00</x:v>
      </x:c>
      <x:c r="L1981" s="24" t="str">
        <x:v>-6.00</x:v>
      </x:c>
      <x:c r="M1981" s="24" t="str">
        <x:v>0.75 a 3.00</x:v>
      </x:c>
      <x:c r="N1981" s="24" t="str">
        <x:v>70</x:v>
      </x:c>
      <x:c r="O1981" s="24"/>
      <x:c r="P1981" s="24"/>
      <x:c r="Q1981" s="24" t="str">
        <x:v>DISPONÍVEL</x:v>
      </x:c>
      <x:c r="R1981" s="24" t="str">
        <x:v>Programa de Parcerias ZEISS — categoria Experts; Programa de Parcerias ZEISS</x:v>
      </x:c>
      <x:c r="S1981" s="24" t="n">
        <x:v>32</x:v>
      </x:c>
      <x:c r="T1981" s="24" t="str">
        <x:v>tabela_zeiss.pdf</x:v>
      </x:c>
      <x:c r="U1981" s="24" t="str">
        <x:v>ZEISS|Progressiva|Surfaçada|ClearMind Individual 3|PhotoFusion X Extra Dark Cinza|1.67|1.67|DuraVision Silver UV|-8.00 a +8.00|-6.00|0.75 a 3.00|70|||32</x:v>
      </x:c>
    </x:row>
    <x:row r="1982">
      <x:c r="A1982" s="24" t="str">
        <x:v>ZS-7C14B19AD9AC</x:v>
      </x:c>
      <x:c r="B1982" s="24" t="str">
        <x:v>ZEISS</x:v>
      </x:c>
      <x:c r="C1982" s="24" t="str">
        <x:v>Progressiva</x:v>
      </x:c>
      <x:c r="D1982" s="24" t="str">
        <x:v>Surfaçada</x:v>
      </x:c>
      <x:c r="E1982" s="24" t="str">
        <x:v>ClearMind Individual 3</x:v>
      </x:c>
      <x:c r="F1982" s="24" t="str">
        <x:v>PhotoFusion X Extra Dark Cinza</x:v>
      </x:c>
      <x:c r="G1982" s="24" t="str">
        <x:v>1.67</x:v>
      </x:c>
      <x:c r="H1982" s="24" t="str">
        <x:v>1.67</x:v>
      </x:c>
      <x:c r="I1982" s="24" t="str">
        <x:v>DuraVision Chrome UV</x:v>
      </x:c>
      <x:c r="J1982" s="40" t="n">
        <x:v>15720</x:v>
      </x:c>
      <x:c r="K1982" s="24" t="str">
        <x:v>-8.00 a +8.00</x:v>
      </x:c>
      <x:c r="L1982" s="24" t="str">
        <x:v>-6.00</x:v>
      </x:c>
      <x:c r="M1982" s="24" t="str">
        <x:v>0.75 a 3.00</x:v>
      </x:c>
      <x:c r="N1982" s="24" t="str">
        <x:v>70</x:v>
      </x:c>
      <x:c r="O1982" s="24"/>
      <x:c r="P1982" s="24"/>
      <x:c r="Q1982" s="24" t="str">
        <x:v>DISPONÍVEL</x:v>
      </x:c>
      <x:c r="R1982" s="24" t="str">
        <x:v>Programa de Parcerias ZEISS — categoria Experts; Programa de Parcerias ZEISS</x:v>
      </x:c>
      <x:c r="S1982" s="24" t="n">
        <x:v>32</x:v>
      </x:c>
      <x:c r="T1982" s="24" t="str">
        <x:v>tabela_zeiss.pdf</x:v>
      </x:c>
      <x:c r="U1982" s="24" t="str">
        <x:v>ZEISS|Progressiva|Surfaçada|ClearMind Individual 3|PhotoFusion X Extra Dark Cinza|1.67|1.67|DuraVision Chrome UV|-8.00 a +8.00|-6.00|0.75 a 3.00|70|||32</x:v>
      </x:c>
    </x:row>
    <x:row r="1983">
      <x:c r="A1983" s="24" t="str">
        <x:v>ZS-03C653C017EF</x:v>
      </x:c>
      <x:c r="B1983" s="24" t="str">
        <x:v>ZEISS</x:v>
      </x:c>
      <x:c r="C1983" s="24" t="str">
        <x:v>Progressiva</x:v>
      </x:c>
      <x:c r="D1983" s="24" t="str">
        <x:v>Surfaçada</x:v>
      </x:c>
      <x:c r="E1983" s="24" t="str">
        <x:v>ClearMind Individual 3</x:v>
      </x:c>
      <x:c r="F1983" s="24" t="str">
        <x:v>Polarizada</x:v>
      </x:c>
      <x:c r="G1983" s="24" t="str">
        <x:v>1.5</x:v>
      </x:c>
      <x:c r="H1983" s="24" t="str">
        <x:v>1.50</x:v>
      </x:c>
      <x:c r="I1983" s="24" t="str">
        <x:v>DuraVision Gold UV</x:v>
      </x:c>
      <x:c r="J1983" s="40" t="n">
        <x:v>13090</x:v>
      </x:c>
      <x:c r="K1983" s="24" t="str">
        <x:v>-6.00 a +6.00</x:v>
      </x:c>
      <x:c r="L1983" s="24" t="str">
        <x:v>-4.00</x:v>
      </x:c>
      <x:c r="M1983" s="24" t="str">
        <x:v>0.75 a 3.50</x:v>
      </x:c>
      <x:c r="N1983" s="24" t="str">
        <x:v>70</x:v>
      </x:c>
      <x:c r="O1983" s="24"/>
      <x:c r="P1983" s="24"/>
      <x:c r="Q1983" s="24" t="str">
        <x:v>DISPONÍVEL</x:v>
      </x:c>
      <x:c r="R1983" s="24" t="str">
        <x:v>Programa de Parcerias ZEISS — categoria Experts</x:v>
      </x:c>
      <x:c r="S1983" s="24" t="n">
        <x:v>32</x:v>
      </x:c>
      <x:c r="T1983" s="24" t="str">
        <x:v>tabela_zeiss.pdf</x:v>
      </x:c>
      <x:c r="U1983" s="24" t="str">
        <x:v>ZEISS|Progressiva|Surfaçada|ClearMind Individual 3|Polarizada|1.5|1.50|DuraVision Gold UV|-6.00 a +6.00|-4.00|0.75 a 3.50|70|||32</x:v>
      </x:c>
    </x:row>
    <x:row r="1984">
      <x:c r="A1984" s="24" t="str">
        <x:v>ZS-E36DC9ABF8EB</x:v>
      </x:c>
      <x:c r="B1984" s="24" t="str">
        <x:v>ZEISS</x:v>
      </x:c>
      <x:c r="C1984" s="24" t="str">
        <x:v>Progressiva</x:v>
      </x:c>
      <x:c r="D1984" s="24" t="str">
        <x:v>Surfaçada</x:v>
      </x:c>
      <x:c r="E1984" s="24" t="str">
        <x:v>ClearMind Individual 3</x:v>
      </x:c>
      <x:c r="F1984" s="24" t="str">
        <x:v>Polarizada</x:v>
      </x:c>
      <x:c r="G1984" s="24" t="str">
        <x:v>1.5</x:v>
      </x:c>
      <x:c r="H1984" s="24" t="str">
        <x:v>1.50</x:v>
      </x:c>
      <x:c r="I1984" s="24" t="str">
        <x:v>DuraVision Platinum UV</x:v>
      </x:c>
      <x:c r="J1984" s="40" t="n">
        <x:v>12950</x:v>
      </x:c>
      <x:c r="K1984" s="24" t="str">
        <x:v>-6.00 a +6.00</x:v>
      </x:c>
      <x:c r="L1984" s="24" t="str">
        <x:v>-4.00</x:v>
      </x:c>
      <x:c r="M1984" s="24" t="str">
        <x:v>0.75 a 3.50</x:v>
      </x:c>
      <x:c r="N1984" s="24" t="str">
        <x:v>70</x:v>
      </x:c>
      <x:c r="O1984" s="24"/>
      <x:c r="P1984" s="24"/>
      <x:c r="Q1984" s="24" t="str">
        <x:v>DISPONÍVEL</x:v>
      </x:c>
      <x:c r="R1984" s="24" t="str">
        <x:v>Programa de Parcerias ZEISS — categoria Experts</x:v>
      </x:c>
      <x:c r="S1984" s="24" t="n">
        <x:v>32</x:v>
      </x:c>
      <x:c r="T1984" s="24" t="str">
        <x:v>tabela_zeiss.pdf</x:v>
      </x:c>
      <x:c r="U1984" s="24" t="str">
        <x:v>ZEISS|Progressiva|Surfaçada|ClearMind Individual 3|Polarizada|1.5|1.50|DuraVision Platinum UV|-6.00 a +6.00|-4.00|0.75 a 3.50|70|||32</x:v>
      </x:c>
    </x:row>
    <x:row r="1985">
      <x:c r="A1985" s="24" t="str">
        <x:v>ZS-3C94A08F2DEC</x:v>
      </x:c>
      <x:c r="B1985" s="24" t="str">
        <x:v>ZEISS</x:v>
      </x:c>
      <x:c r="C1985" s="24" t="str">
        <x:v>Progressiva</x:v>
      </x:c>
      <x:c r="D1985" s="24" t="str">
        <x:v>Surfaçada</x:v>
      </x:c>
      <x:c r="E1985" s="24" t="str">
        <x:v>ClearMind Individual 3</x:v>
      </x:c>
      <x:c r="F1985" s="24" t="str">
        <x:v>Polarizada</x:v>
      </x:c>
      <x:c r="G1985" s="24" t="str">
        <x:v>1.5</x:v>
      </x:c>
      <x:c r="H1985" s="24" t="str">
        <x:v>1.50</x:v>
      </x:c>
      <x:c r="I1985" s="24" t="str">
        <x:v>DuraVision Silver UV</x:v>
      </x:c>
      <x:c r="J1985" s="40" t="n">
        <x:v>12690</x:v>
      </x:c>
      <x:c r="K1985" s="24" t="str">
        <x:v>-6.00 a +6.00</x:v>
      </x:c>
      <x:c r="L1985" s="24" t="str">
        <x:v>-4.00</x:v>
      </x:c>
      <x:c r="M1985" s="24" t="str">
        <x:v>0.75 a 3.50</x:v>
      </x:c>
      <x:c r="N1985" s="24" t="str">
        <x:v>70</x:v>
      </x:c>
      <x:c r="O1985" s="24"/>
      <x:c r="P1985" s="24"/>
      <x:c r="Q1985" s="24" t="str">
        <x:v>DISPONÍVEL</x:v>
      </x:c>
      <x:c r="R1985" s="24" t="str">
        <x:v>Programa de Parcerias ZEISS — categoria Experts</x:v>
      </x:c>
      <x:c r="S1985" s="24" t="n">
        <x:v>32</x:v>
      </x:c>
      <x:c r="T1985" s="24" t="str">
        <x:v>tabela_zeiss.pdf</x:v>
      </x:c>
      <x:c r="U1985" s="24" t="str">
        <x:v>ZEISS|Progressiva|Surfaçada|ClearMind Individual 3|Polarizada|1.5|1.50|DuraVision Silver UV|-6.00 a +6.00|-4.00|0.75 a 3.50|70|||32</x:v>
      </x:c>
    </x:row>
    <x:row r="1986">
      <x:c r="A1986" s="24" t="str">
        <x:v>ZS-5D0F0F16DC91</x:v>
      </x:c>
      <x:c r="B1986" s="24" t="str">
        <x:v>ZEISS</x:v>
      </x:c>
      <x:c r="C1986" s="24" t="str">
        <x:v>Progressiva</x:v>
      </x:c>
      <x:c r="D1986" s="24" t="str">
        <x:v>Surfaçada</x:v>
      </x:c>
      <x:c r="E1986" s="24" t="str">
        <x:v>ClearMind Individual 3</x:v>
      </x:c>
      <x:c r="F1986" s="24" t="str">
        <x:v>Polarizada</x:v>
      </x:c>
      <x:c r="G1986" s="24" t="str">
        <x:v>1.5</x:v>
      </x:c>
      <x:c r="H1986" s="24" t="str">
        <x:v>1.50</x:v>
      </x:c>
      <x:c r="I1986" s="24" t="str">
        <x:v>DuraVision Chrome UV</x:v>
      </x:c>
      <x:c r="J1986" s="40" t="n">
        <x:v>12200</x:v>
      </x:c>
      <x:c r="K1986" s="24" t="str">
        <x:v>-6.00 a +6.00</x:v>
      </x:c>
      <x:c r="L1986" s="24" t="str">
        <x:v>-4.00</x:v>
      </x:c>
      <x:c r="M1986" s="24" t="str">
        <x:v>0.75 a 3.50</x:v>
      </x:c>
      <x:c r="N1986" s="24" t="str">
        <x:v>70</x:v>
      </x:c>
      <x:c r="O1986" s="24"/>
      <x:c r="P1986" s="24"/>
      <x:c r="Q1986" s="24" t="str">
        <x:v>DISPONÍVEL</x:v>
      </x:c>
      <x:c r="R1986" s="24" t="str">
        <x:v>Programa de Parcerias ZEISS — categoria Experts</x:v>
      </x:c>
      <x:c r="S1986" s="24" t="n">
        <x:v>32</x:v>
      </x:c>
      <x:c r="T1986" s="24" t="str">
        <x:v>tabela_zeiss.pdf</x:v>
      </x:c>
      <x:c r="U1986" s="24" t="str">
        <x:v>ZEISS|Progressiva|Surfaçada|ClearMind Individual 3|Polarizada|1.5|1.50|DuraVision Chrome UV|-6.00 a +6.00|-4.00|0.75 a 3.50|70|||32</x:v>
      </x:c>
    </x:row>
    <x:row r="1987">
      <x:c r="A1987" s="24" t="str">
        <x:v>ZS-7B2B811B1BC6</x:v>
      </x:c>
      <x:c r="B1987" s="24" t="str">
        <x:v>ZEISS</x:v>
      </x:c>
      <x:c r="C1987" s="24" t="str">
        <x:v>Progressiva</x:v>
      </x:c>
      <x:c r="D1987" s="24" t="str">
        <x:v>Surfaçada</x:v>
      </x:c>
      <x:c r="E1987" s="24" t="str">
        <x:v>ClearMind Individual 3</x:v>
      </x:c>
      <x:c r="F1987" s="24" t="str">
        <x:v>Polarizada</x:v>
      </x:c>
      <x:c r="G1987" s="24" t="str">
        <x:v>1.5</x:v>
      </x:c>
      <x:c r="H1987" s="24" t="str">
        <x:v>1.50</x:v>
      </x:c>
      <x:c r="I1987" s="24" t="str">
        <x:v>Sem AR</x:v>
      </x:c>
      <x:c r="J1987" s="40" t="n">
        <x:v>11800</x:v>
      </x:c>
      <x:c r="K1987" s="24" t="str">
        <x:v>-6.00 a +6.00</x:v>
      </x:c>
      <x:c r="L1987" s="24" t="str">
        <x:v>-4.00</x:v>
      </x:c>
      <x:c r="M1987" s="24" t="str">
        <x:v>0.75 a 3.50</x:v>
      </x:c>
      <x:c r="N1987" s="24" t="str">
        <x:v>70</x:v>
      </x:c>
      <x:c r="O1987" s="24"/>
      <x:c r="P1987" s="24"/>
      <x:c r="Q1987" s="24" t="str">
        <x:v>DISPONÍVEL</x:v>
      </x:c>
      <x:c r="R1987" s="24" t="str">
        <x:v>Programa de Parcerias ZEISS — categoria Experts</x:v>
      </x:c>
      <x:c r="S1987" s="24" t="n">
        <x:v>32</x:v>
      </x:c>
      <x:c r="T1987" s="24" t="str">
        <x:v>tabela_zeiss.pdf</x:v>
      </x:c>
      <x:c r="U1987" s="24" t="str">
        <x:v>ZEISS|Progressiva|Surfaçada|ClearMind Individual 3|Polarizada|1.5|1.50|Sem AR|-6.00 a +6.00|-4.00|0.75 a 3.50|70|||32</x:v>
      </x:c>
    </x:row>
    <x:row r="1988">
      <x:c r="A1988" s="24" t="str">
        <x:v>ZS-D0AFD9DC6C78</x:v>
      </x:c>
      <x:c r="B1988" s="24" t="str">
        <x:v>ZEISS</x:v>
      </x:c>
      <x:c r="C1988" s="24" t="str">
        <x:v>Progressiva</x:v>
      </x:c>
      <x:c r="D1988" s="24" t="str">
        <x:v>Surfaçada</x:v>
      </x:c>
      <x:c r="E1988" s="24" t="str">
        <x:v>ClearMind Individual 3</x:v>
      </x:c>
      <x:c r="F1988" s="24" t="str">
        <x:v>Polarizada</x:v>
      </x:c>
      <x:c r="G1988" s="24" t="str">
        <x:v>1.6</x:v>
      </x:c>
      <x:c r="H1988" s="24" t="str">
        <x:v>1.60</x:v>
      </x:c>
      <x:c r="I1988" s="24" t="str">
        <x:v>DuraVision Gold UV</x:v>
      </x:c>
      <x:c r="J1988" s="40" t="n">
        <x:v>14340</x:v>
      </x:c>
      <x:c r="K1988" s="24" t="str">
        <x:v>-8.50 a +6.00</x:v>
      </x:c>
      <x:c r="L1988" s="24" t="str">
        <x:v>-4.00</x:v>
      </x:c>
      <x:c r="M1988" s="24" t="str">
        <x:v>0.75 a 3.50</x:v>
      </x:c>
      <x:c r="N1988" s="24" t="str">
        <x:v>70</x:v>
      </x:c>
      <x:c r="O1988" s="24"/>
      <x:c r="P1988" s="24"/>
      <x:c r="Q1988" s="24" t="str">
        <x:v>DISPONÍVEL</x:v>
      </x:c>
      <x:c r="R1988" s="24" t="str">
        <x:v>Programa de Parcerias ZEISS — categoria Experts</x:v>
      </x:c>
      <x:c r="S1988" s="24" t="n">
        <x:v>32</x:v>
      </x:c>
      <x:c r="T1988" s="24" t="str">
        <x:v>tabela_zeiss.pdf</x:v>
      </x:c>
      <x:c r="U1988" s="24" t="str">
        <x:v>ZEISS|Progressiva|Surfaçada|ClearMind Individual 3|Polarizada|1.6|1.60|DuraVision Gold UV|-8.50 a +6.00|-4.00|0.75 a 3.50|70|||32</x:v>
      </x:c>
    </x:row>
    <x:row r="1989">
      <x:c r="A1989" s="24" t="str">
        <x:v>ZS-FA19EAA050FB</x:v>
      </x:c>
      <x:c r="B1989" s="24" t="str">
        <x:v>ZEISS</x:v>
      </x:c>
      <x:c r="C1989" s="24" t="str">
        <x:v>Progressiva</x:v>
      </x:c>
      <x:c r="D1989" s="24" t="str">
        <x:v>Surfaçada</x:v>
      </x:c>
      <x:c r="E1989" s="24" t="str">
        <x:v>ClearMind Individual 3</x:v>
      </x:c>
      <x:c r="F1989" s="24" t="str">
        <x:v>Polarizada</x:v>
      </x:c>
      <x:c r="G1989" s="24" t="str">
        <x:v>1.6</x:v>
      </x:c>
      <x:c r="H1989" s="24" t="str">
        <x:v>1.60</x:v>
      </x:c>
      <x:c r="I1989" s="24" t="str">
        <x:v>DuraVision Platinum UV</x:v>
      </x:c>
      <x:c r="J1989" s="40" t="n">
        <x:v>14200</x:v>
      </x:c>
      <x:c r="K1989" s="24" t="str">
        <x:v>-8.50 a +6.00</x:v>
      </x:c>
      <x:c r="L1989" s="24" t="str">
        <x:v>-4.00</x:v>
      </x:c>
      <x:c r="M1989" s="24" t="str">
        <x:v>0.75 a 3.50</x:v>
      </x:c>
      <x:c r="N1989" s="24" t="str">
        <x:v>70</x:v>
      </x:c>
      <x:c r="O1989" s="24"/>
      <x:c r="P1989" s="24"/>
      <x:c r="Q1989" s="24" t="str">
        <x:v>DISPONÍVEL</x:v>
      </x:c>
      <x:c r="R1989" s="24" t="str">
        <x:v>Programa de Parcerias ZEISS — categoria Experts</x:v>
      </x:c>
      <x:c r="S1989" s="24" t="n">
        <x:v>32</x:v>
      </x:c>
      <x:c r="T1989" s="24" t="str">
        <x:v>tabela_zeiss.pdf</x:v>
      </x:c>
      <x:c r="U1989" s="24" t="str">
        <x:v>ZEISS|Progressiva|Surfaçada|ClearMind Individual 3|Polarizada|1.6|1.60|DuraVision Platinum UV|-8.50 a +6.00|-4.00|0.75 a 3.50|70|||32</x:v>
      </x:c>
    </x:row>
    <x:row r="1990">
      <x:c r="A1990" s="24" t="str">
        <x:v>ZS-3D2E9E1D3020</x:v>
      </x:c>
      <x:c r="B1990" s="24" t="str">
        <x:v>ZEISS</x:v>
      </x:c>
      <x:c r="C1990" s="24" t="str">
        <x:v>Progressiva</x:v>
      </x:c>
      <x:c r="D1990" s="24" t="str">
        <x:v>Surfaçada</x:v>
      </x:c>
      <x:c r="E1990" s="24" t="str">
        <x:v>ClearMind Individual 3</x:v>
      </x:c>
      <x:c r="F1990" s="24" t="str">
        <x:v>Polarizada</x:v>
      </x:c>
      <x:c r="G1990" s="24" t="str">
        <x:v>1.6</x:v>
      </x:c>
      <x:c r="H1990" s="24" t="str">
        <x:v>1.60</x:v>
      </x:c>
      <x:c r="I1990" s="24" t="str">
        <x:v>DuraVision Silver UV</x:v>
      </x:c>
      <x:c r="J1990" s="40" t="n">
        <x:v>13940</x:v>
      </x:c>
      <x:c r="K1990" s="24" t="str">
        <x:v>-8.50 a +6.00</x:v>
      </x:c>
      <x:c r="L1990" s="24" t="str">
        <x:v>-4.00</x:v>
      </x:c>
      <x:c r="M1990" s="24" t="str">
        <x:v>0.75 a 3.50</x:v>
      </x:c>
      <x:c r="N1990" s="24" t="str">
        <x:v>70</x:v>
      </x:c>
      <x:c r="O1990" s="24"/>
      <x:c r="P1990" s="24"/>
      <x:c r="Q1990" s="24" t="str">
        <x:v>DISPONÍVEL</x:v>
      </x:c>
      <x:c r="R1990" s="24" t="str">
        <x:v>Programa de Parcerias ZEISS — categoria Experts</x:v>
      </x:c>
      <x:c r="S1990" s="24" t="n">
        <x:v>32</x:v>
      </x:c>
      <x:c r="T1990" s="24" t="str">
        <x:v>tabela_zeiss.pdf</x:v>
      </x:c>
      <x:c r="U1990" s="24" t="str">
        <x:v>ZEISS|Progressiva|Surfaçada|ClearMind Individual 3|Polarizada|1.6|1.60|DuraVision Silver UV|-8.50 a +6.00|-4.00|0.75 a 3.50|70|||32</x:v>
      </x:c>
    </x:row>
    <x:row r="1991">
      <x:c r="A1991" s="24" t="str">
        <x:v>ZS-84A11A0CC97C</x:v>
      </x:c>
      <x:c r="B1991" s="24" t="str">
        <x:v>ZEISS</x:v>
      </x:c>
      <x:c r="C1991" s="24" t="str">
        <x:v>Progressiva</x:v>
      </x:c>
      <x:c r="D1991" s="24" t="str">
        <x:v>Surfaçada</x:v>
      </x:c>
      <x:c r="E1991" s="24" t="str">
        <x:v>ClearMind Individual 3</x:v>
      </x:c>
      <x:c r="F1991" s="24" t="str">
        <x:v>Polarizada</x:v>
      </x:c>
      <x:c r="G1991" s="24" t="str">
        <x:v>1.6</x:v>
      </x:c>
      <x:c r="H1991" s="24" t="str">
        <x:v>1.60</x:v>
      </x:c>
      <x:c r="I1991" s="24" t="str">
        <x:v>DuraVision Chrome UV</x:v>
      </x:c>
      <x:c r="J1991" s="40" t="n">
        <x:v>13450</x:v>
      </x:c>
      <x:c r="K1991" s="24" t="str">
        <x:v>-8.50 a +6.00</x:v>
      </x:c>
      <x:c r="L1991" s="24" t="str">
        <x:v>-4.00</x:v>
      </x:c>
      <x:c r="M1991" s="24" t="str">
        <x:v>0.75 a 3.50</x:v>
      </x:c>
      <x:c r="N1991" s="24" t="str">
        <x:v>70</x:v>
      </x:c>
      <x:c r="O1991" s="24"/>
      <x:c r="P1991" s="24"/>
      <x:c r="Q1991" s="24" t="str">
        <x:v>DISPONÍVEL</x:v>
      </x:c>
      <x:c r="R1991" s="24" t="str">
        <x:v>Programa de Parcerias ZEISS — categoria Experts</x:v>
      </x:c>
      <x:c r="S1991" s="24" t="n">
        <x:v>32</x:v>
      </x:c>
      <x:c r="T1991" s="24" t="str">
        <x:v>tabela_zeiss.pdf</x:v>
      </x:c>
      <x:c r="U1991" s="24" t="str">
        <x:v>ZEISS|Progressiva|Surfaçada|ClearMind Individual 3|Polarizada|1.6|1.60|DuraVision Chrome UV|-8.50 a +6.00|-4.00|0.75 a 3.50|70|||32</x:v>
      </x:c>
    </x:row>
    <x:row r="1992">
      <x:c r="A1992" s="24" t="str">
        <x:v>ZS-5E3DE4A0E3C7</x:v>
      </x:c>
      <x:c r="B1992" s="24" t="str">
        <x:v>ZEISS</x:v>
      </x:c>
      <x:c r="C1992" s="24" t="str">
        <x:v>Progressiva</x:v>
      </x:c>
      <x:c r="D1992" s="24" t="str">
        <x:v>Surfaçada</x:v>
      </x:c>
      <x:c r="E1992" s="24" t="str">
        <x:v>ClearMind Individual 3</x:v>
      </x:c>
      <x:c r="F1992" s="24" t="str">
        <x:v>Polarizada</x:v>
      </x:c>
      <x:c r="G1992" s="24" t="str">
        <x:v>1.6</x:v>
      </x:c>
      <x:c r="H1992" s="24" t="str">
        <x:v>1.60</x:v>
      </x:c>
      <x:c r="I1992" s="24" t="str">
        <x:v>Sem AR</x:v>
      </x:c>
      <x:c r="J1992" s="40" t="n">
        <x:v>13050</x:v>
      </x:c>
      <x:c r="K1992" s="24" t="str">
        <x:v>-8.50 a +6.00</x:v>
      </x:c>
      <x:c r="L1992" s="24" t="str">
        <x:v>-4.00</x:v>
      </x:c>
      <x:c r="M1992" s="24" t="str">
        <x:v>0.75 a 3.50</x:v>
      </x:c>
      <x:c r="N1992" s="24" t="str">
        <x:v>70</x:v>
      </x:c>
      <x:c r="O1992" s="24"/>
      <x:c r="P1992" s="24"/>
      <x:c r="Q1992" s="24" t="str">
        <x:v>DISPONÍVEL</x:v>
      </x:c>
      <x:c r="R1992" s="24" t="str">
        <x:v>Programa de Parcerias ZEISS — categoria Experts</x:v>
      </x:c>
      <x:c r="S1992" s="24" t="n">
        <x:v>32</x:v>
      </x:c>
      <x:c r="T1992" s="24" t="str">
        <x:v>tabela_zeiss.pdf</x:v>
      </x:c>
      <x:c r="U1992" s="24" t="str">
        <x:v>ZEISS|Progressiva|Surfaçada|ClearMind Individual 3|Polarizada|1.6|1.60|Sem AR|-8.50 a +6.00|-4.00|0.75 a 3.50|70|||32</x:v>
      </x:c>
    </x:row>
    <x:row r="1993">
      <x:c r="A1993" s="24" t="str">
        <x:v>ZS-99BEFAFF522D</x:v>
      </x:c>
      <x:c r="B1993" s="24" t="str">
        <x:v>ZEISS</x:v>
      </x:c>
      <x:c r="C1993" s="24" t="str">
        <x:v>Progressiva</x:v>
      </x:c>
      <x:c r="D1993" s="24" t="str">
        <x:v>Surfaçada</x:v>
      </x:c>
      <x:c r="E1993" s="24" t="str">
        <x:v>ClearMind Superb</x:v>
      </x:c>
      <x:c r="F1993" s="24"/>
      <x:c r="G1993" s="24" t="str">
        <x:v>1.5</x:v>
      </x:c>
      <x:c r="H1993" s="24" t="str">
        <x:v>1.50</x:v>
      </x:c>
      <x:c r="I1993" s="24" t="str">
        <x:v>DuraVision Gold UV</x:v>
      </x:c>
      <x:c r="J1993" s="40" t="n">
        <x:v>8059</x:v>
      </x:c>
      <x:c r="K1993" s="24" t="str">
        <x:v>-6.00 a +4.00</x:v>
      </x:c>
      <x:c r="L1993" s="24" t="str">
        <x:v>-4.00</x:v>
      </x:c>
      <x:c r="M1993" s="24" t="str">
        <x:v>0.75 a 3.50</x:v>
      </x:c>
      <x:c r="N1993" s="24" t="str">
        <x:v>75</x:v>
      </x:c>
      <x:c r="O1993" s="24"/>
      <x:c r="P1993" s="24"/>
      <x:c r="Q1993" s="24" t="str">
        <x:v>DISPONÍVEL</x:v>
      </x:c>
      <x:c r="R1993" s="24" t="str">
        <x:v>Programa de Parcerias ZEISS — categoria Experts</x:v>
      </x:c>
      <x:c r="S1993" s="24" t="n">
        <x:v>33</x:v>
      </x:c>
      <x:c r="T1993" s="24" t="str">
        <x:v>tabela_zeiss.pdf</x:v>
      </x:c>
      <x:c r="U1993" s="24" t="str">
        <x:v>ZEISS|Progressiva|Surfaçada|ClearMind Superb||1.5|1.50|DuraVision Gold UV|-6.00 a +4.00|-4.00|0.75 a 3.50|75|||33</x:v>
      </x:c>
    </x:row>
    <x:row r="1994">
      <x:c r="A1994" s="24" t="str">
        <x:v>ZS-385B33B41F8E</x:v>
      </x:c>
      <x:c r="B1994" s="24" t="str">
        <x:v>ZEISS</x:v>
      </x:c>
      <x:c r="C1994" s="24" t="str">
        <x:v>Progressiva</x:v>
      </x:c>
      <x:c r="D1994" s="24" t="str">
        <x:v>Surfaçada</x:v>
      </x:c>
      <x:c r="E1994" s="24" t="str">
        <x:v>ClearMind Superb</x:v>
      </x:c>
      <x:c r="F1994" s="24"/>
      <x:c r="G1994" s="24" t="str">
        <x:v>1.5</x:v>
      </x:c>
      <x:c r="H1994" s="24" t="str">
        <x:v>1.50</x:v>
      </x:c>
      <x:c r="I1994" s="24" t="str">
        <x:v>DURAVISION® ANTIVÍRUS PLATINUM UV</x:v>
      </x:c>
      <x:c r="J1994" s="40" t="n">
        <x:v>7919</x:v>
      </x:c>
      <x:c r="K1994" s="24" t="str">
        <x:v>-6.00 a +4.00</x:v>
      </x:c>
      <x:c r="L1994" s="24" t="str">
        <x:v>-4.00</x:v>
      </x:c>
      <x:c r="M1994" s="24" t="str">
        <x:v>0.75 a 3.50</x:v>
      </x:c>
      <x:c r="N1994" s="24" t="str">
        <x:v>75</x:v>
      </x:c>
      <x:c r="O1994" s="24"/>
      <x:c r="P1994" s="24"/>
      <x:c r="Q1994" s="24" t="str">
        <x:v>DISPONÍVEL</x:v>
      </x:c>
      <x:c r="R1994" s="24" t="str">
        <x:v>Programa de Parcerias ZEISS — categoria Experts</x:v>
      </x:c>
      <x:c r="S1994" s="24" t="n">
        <x:v>33</x:v>
      </x:c>
      <x:c r="T1994" s="24" t="str">
        <x:v>tabela_zeiss.pdf</x:v>
      </x:c>
      <x:c r="U1994" s="24" t="str">
        <x:v>ZEISS|Progressiva|Surfaçada|ClearMind Superb||1.5|1.50|DURAVISION® ANTIVÍRUS PLATINUM UV|-6.00 a +4.00|-4.00|0.75 a 3.50|75|||33</x:v>
      </x:c>
    </x:row>
    <x:row r="1995">
      <x:c r="A1995" s="24" t="str">
        <x:v>ZS-088AD7E7D281</x:v>
      </x:c>
      <x:c r="B1995" s="24" t="str">
        <x:v>ZEISS</x:v>
      </x:c>
      <x:c r="C1995" s="24" t="str">
        <x:v>Progressiva</x:v>
      </x:c>
      <x:c r="D1995" s="24" t="str">
        <x:v>Surfaçada</x:v>
      </x:c>
      <x:c r="E1995" s="24" t="str">
        <x:v>ClearMind Superb</x:v>
      </x:c>
      <x:c r="F1995" s="24"/>
      <x:c r="G1995" s="24" t="str">
        <x:v>1.5</x:v>
      </x:c>
      <x:c r="H1995" s="24" t="str">
        <x:v>1.50</x:v>
      </x:c>
      <x:c r="I1995" s="24" t="str">
        <x:v>DuraVision Platinum UV</x:v>
      </x:c>
      <x:c r="J1995" s="40" t="n">
        <x:v>7919</x:v>
      </x:c>
      <x:c r="K1995" s="24" t="str">
        <x:v>-6.00 a +4.00</x:v>
      </x:c>
      <x:c r="L1995" s="24" t="str">
        <x:v>-4.00</x:v>
      </x:c>
      <x:c r="M1995" s="24" t="str">
        <x:v>0.75 a 3.50</x:v>
      </x:c>
      <x:c r="N1995" s="24" t="str">
        <x:v>75</x:v>
      </x:c>
      <x:c r="O1995" s="24"/>
      <x:c r="P1995" s="24"/>
      <x:c r="Q1995" s="24" t="str">
        <x:v>DISPONÍVEL</x:v>
      </x:c>
      <x:c r="R1995" s="24" t="str">
        <x:v>Programa de Parcerias ZEISS — categoria Experts</x:v>
      </x:c>
      <x:c r="S1995" s="24" t="n">
        <x:v>33</x:v>
      </x:c>
      <x:c r="T1995" s="24" t="str">
        <x:v>tabela_zeiss.pdf</x:v>
      </x:c>
      <x:c r="U1995" s="24" t="str">
        <x:v>ZEISS|Progressiva|Surfaçada|ClearMind Superb||1.5|1.50|DuraVision Platinum UV|-6.00 a +4.00|-4.00|0.75 a 3.50|75|||33</x:v>
      </x:c>
    </x:row>
    <x:row r="1996">
      <x:c r="A1996" s="24" t="str">
        <x:v>ZS-F1AE5DA1AE19</x:v>
      </x:c>
      <x:c r="B1996" s="24" t="str">
        <x:v>ZEISS</x:v>
      </x:c>
      <x:c r="C1996" s="24" t="str">
        <x:v>Progressiva</x:v>
      </x:c>
      <x:c r="D1996" s="24" t="str">
        <x:v>Surfaçada</x:v>
      </x:c>
      <x:c r="E1996" s="24" t="str">
        <x:v>ClearMind Superb</x:v>
      </x:c>
      <x:c r="F1996" s="24"/>
      <x:c r="G1996" s="24" t="str">
        <x:v>1.5</x:v>
      </x:c>
      <x:c r="H1996" s="24" t="str">
        <x:v>1.50</x:v>
      </x:c>
      <x:c r="I1996" s="24" t="str">
        <x:v>DuraVision Silver UV</x:v>
      </x:c>
      <x:c r="J1996" s="40" t="n">
        <x:v>7659</x:v>
      </x:c>
      <x:c r="K1996" s="24" t="str">
        <x:v>-6.00 a +4.00</x:v>
      </x:c>
      <x:c r="L1996" s="24" t="str">
        <x:v>-4.00</x:v>
      </x:c>
      <x:c r="M1996" s="24" t="str">
        <x:v>0.75 a 3.50</x:v>
      </x:c>
      <x:c r="N1996" s="24" t="str">
        <x:v>75</x:v>
      </x:c>
      <x:c r="O1996" s="24"/>
      <x:c r="P1996" s="24"/>
      <x:c r="Q1996" s="24" t="str">
        <x:v>DISPONÍVEL</x:v>
      </x:c>
      <x:c r="R1996" s="24" t="str">
        <x:v>Programa de Parcerias ZEISS — categoria Experts</x:v>
      </x:c>
      <x:c r="S1996" s="24" t="n">
        <x:v>33</x:v>
      </x:c>
      <x:c r="T1996" s="24" t="str">
        <x:v>tabela_zeiss.pdf</x:v>
      </x:c>
      <x:c r="U1996" s="24" t="str">
        <x:v>ZEISS|Progressiva|Surfaçada|ClearMind Superb||1.5|1.50|DuraVision Silver UV|-6.00 a +4.00|-4.00|0.75 a 3.50|75|||33</x:v>
      </x:c>
    </x:row>
    <x:row r="1997">
      <x:c r="A1997" s="24" t="str">
        <x:v>ZS-5A4E250B3B96</x:v>
      </x:c>
      <x:c r="B1997" s="24" t="str">
        <x:v>ZEISS</x:v>
      </x:c>
      <x:c r="C1997" s="24" t="str">
        <x:v>Progressiva</x:v>
      </x:c>
      <x:c r="D1997" s="24" t="str">
        <x:v>Surfaçada</x:v>
      </x:c>
      <x:c r="E1997" s="24" t="str">
        <x:v>ClearMind Superb</x:v>
      </x:c>
      <x:c r="F1997" s="24"/>
      <x:c r="G1997" s="24" t="str">
        <x:v>1.5</x:v>
      </x:c>
      <x:c r="H1997" s="24" t="str">
        <x:v>1.50</x:v>
      </x:c>
      <x:c r="I1997" s="24" t="str">
        <x:v>DuraVision Chrome UV</x:v>
      </x:c>
      <x:c r="J1997" s="40" t="n">
        <x:v>7169</x:v>
      </x:c>
      <x:c r="K1997" s="24" t="str">
        <x:v>-6.00 a +4.00</x:v>
      </x:c>
      <x:c r="L1997" s="24" t="str">
        <x:v>-4.00</x:v>
      </x:c>
      <x:c r="M1997" s="24" t="str">
        <x:v>0.75 a 3.50</x:v>
      </x:c>
      <x:c r="N1997" s="24" t="str">
        <x:v>75</x:v>
      </x:c>
      <x:c r="O1997" s="24"/>
      <x:c r="P1997" s="24"/>
      <x:c r="Q1997" s="24" t="str">
        <x:v>DISPONÍVEL</x:v>
      </x:c>
      <x:c r="R1997" s="24" t="str">
        <x:v>Programa de Parcerias ZEISS — categoria Experts</x:v>
      </x:c>
      <x:c r="S1997" s="24" t="n">
        <x:v>33</x:v>
      </x:c>
      <x:c r="T1997" s="24" t="str">
        <x:v>tabela_zeiss.pdf</x:v>
      </x:c>
      <x:c r="U1997" s="24" t="str">
        <x:v>ZEISS|Progressiva|Surfaçada|ClearMind Superb||1.5|1.50|DuraVision Chrome UV|-6.00 a +4.00|-4.00|0.75 a 3.50|75|||33</x:v>
      </x:c>
    </x:row>
    <x:row r="1998">
      <x:c r="A1998" s="24" t="str">
        <x:v>ZS-B923FB4B9801</x:v>
      </x:c>
      <x:c r="B1998" s="24" t="str">
        <x:v>ZEISS</x:v>
      </x:c>
      <x:c r="C1998" s="24" t="str">
        <x:v>Progressiva</x:v>
      </x:c>
      <x:c r="D1998" s="24" t="str">
        <x:v>Surfaçada</x:v>
      </x:c>
      <x:c r="E1998" s="24" t="str">
        <x:v>ClearMind Superb</x:v>
      </x:c>
      <x:c r="F1998" s="24"/>
      <x:c r="G1998" s="24" t="str">
        <x:v>Poli</x:v>
      </x:c>
      <x:c r="H1998" s="24"/>
      <x:c r="I1998" s="24" t="str">
        <x:v>DuraVision Gold UV</x:v>
      </x:c>
      <x:c r="J1998" s="40" t="n">
        <x:v>8649</x:v>
      </x:c>
      <x:c r="K1998" s="24" t="str">
        <x:v>-10.00 a +6.00</x:v>
      </x:c>
      <x:c r="L1998" s="24" t="str">
        <x:v>-6.00</x:v>
      </x:c>
      <x:c r="M1998" s="24" t="str">
        <x:v>0.75 a 3.00</x:v>
      </x:c>
      <x:c r="N1998" s="24" t="str">
        <x:v>70</x:v>
      </x:c>
      <x:c r="O1998" s="24"/>
      <x:c r="P1998" s="24"/>
      <x:c r="Q1998" s="24" t="str">
        <x:v>DISPONÍVEL</x:v>
      </x:c>
      <x:c r="R1998" s="24" t="str">
        <x:v>Programa de Parcerias ZEISS — categoria Experts</x:v>
      </x:c>
      <x:c r="S1998" s="24" t="n">
        <x:v>33</x:v>
      </x:c>
      <x:c r="T1998" s="24" t="str">
        <x:v>tabela_zeiss.pdf</x:v>
      </x:c>
      <x:c r="U1998" s="24" t="str">
        <x:v>ZEISS|Progressiva|Surfaçada|ClearMind Superb||Poli||DuraVision Gold UV|-10.00 a +6.00|-6.00|0.75 a 3.00|70|||33</x:v>
      </x:c>
    </x:row>
    <x:row r="1999">
      <x:c r="A1999" s="24" t="str">
        <x:v>ZS-375E5272D5AA</x:v>
      </x:c>
      <x:c r="B1999" s="24" t="str">
        <x:v>ZEISS</x:v>
      </x:c>
      <x:c r="C1999" s="24" t="str">
        <x:v>Progressiva</x:v>
      </x:c>
      <x:c r="D1999" s="24" t="str">
        <x:v>Surfaçada</x:v>
      </x:c>
      <x:c r="E1999" s="24" t="str">
        <x:v>ClearMind Superb</x:v>
      </x:c>
      <x:c r="F1999" s="24"/>
      <x:c r="G1999" s="24" t="str">
        <x:v>Poli</x:v>
      </x:c>
      <x:c r="H1999" s="24"/>
      <x:c r="I1999" s="24" t="str">
        <x:v>DuraVision Platinum UV</x:v>
      </x:c>
      <x:c r="J1999" s="40" t="n">
        <x:v>8509</x:v>
      </x:c>
      <x:c r="K1999" s="24" t="str">
        <x:v>-10.00 a +6.00</x:v>
      </x:c>
      <x:c r="L1999" s="24" t="str">
        <x:v>-6.00</x:v>
      </x:c>
      <x:c r="M1999" s="24" t="str">
        <x:v>0.75 a 3.00</x:v>
      </x:c>
      <x:c r="N1999" s="24" t="str">
        <x:v>70</x:v>
      </x:c>
      <x:c r="O1999" s="24"/>
      <x:c r="P1999" s="24"/>
      <x:c r="Q1999" s="24" t="str">
        <x:v>DISPONÍVEL</x:v>
      </x:c>
      <x:c r="R1999" s="24" t="str">
        <x:v>Programa de Parcerias ZEISS — categoria Experts</x:v>
      </x:c>
      <x:c r="S1999" s="24" t="n">
        <x:v>33</x:v>
      </x:c>
      <x:c r="T1999" s="24" t="str">
        <x:v>tabela_zeiss.pdf</x:v>
      </x:c>
      <x:c r="U1999" s="24" t="str">
        <x:v>ZEISS|Progressiva|Surfaçada|ClearMind Superb||Poli||DuraVision Platinum UV|-10.00 a +6.00|-6.00|0.75 a 3.00|70|||33</x:v>
      </x:c>
    </x:row>
    <x:row r="2000">
      <x:c r="A2000" s="24" t="str">
        <x:v>ZS-CF2A9506B951</x:v>
      </x:c>
      <x:c r="B2000" s="24" t="str">
        <x:v>ZEISS</x:v>
      </x:c>
      <x:c r="C2000" s="24" t="str">
        <x:v>Progressiva</x:v>
      </x:c>
      <x:c r="D2000" s="24" t="str">
        <x:v>Surfaçada</x:v>
      </x:c>
      <x:c r="E2000" s="24" t="str">
        <x:v>ClearMind Superb</x:v>
      </x:c>
      <x:c r="F2000" s="24"/>
      <x:c r="G2000" s="24" t="str">
        <x:v>Poli</x:v>
      </x:c>
      <x:c r="H2000" s="24"/>
      <x:c r="I2000" s="24" t="str">
        <x:v>DuraVision Silver UV</x:v>
      </x:c>
      <x:c r="J2000" s="40" t="n">
        <x:v>8249</x:v>
      </x:c>
      <x:c r="K2000" s="24" t="str">
        <x:v>-10.00 a +6.00</x:v>
      </x:c>
      <x:c r="L2000" s="24" t="str">
        <x:v>-6.00</x:v>
      </x:c>
      <x:c r="M2000" s="24" t="str">
        <x:v>0.75 a 3.00</x:v>
      </x:c>
      <x:c r="N2000" s="24" t="str">
        <x:v>70</x:v>
      </x:c>
      <x:c r="O2000" s="24"/>
      <x:c r="P2000" s="24"/>
      <x:c r="Q2000" s="24" t="str">
        <x:v>DISPONÍVEL</x:v>
      </x:c>
      <x:c r="R2000" s="24" t="str">
        <x:v>Programa de Parcerias ZEISS — categoria Experts</x:v>
      </x:c>
      <x:c r="S2000" s="24" t="n">
        <x:v>33</x:v>
      </x:c>
      <x:c r="T2000" s="24" t="str">
        <x:v>tabela_zeiss.pdf</x:v>
      </x:c>
      <x:c r="U2000" s="24" t="str">
        <x:v>ZEISS|Progressiva|Surfaçada|ClearMind Superb||Poli||DuraVision Silver UV|-10.00 a +6.00|-6.00|0.75 a 3.00|70|||33</x:v>
      </x:c>
    </x:row>
    <x:row r="2001">
      <x:c r="A2001" s="24" t="str">
        <x:v>ZS-A8D997AD61B0</x:v>
      </x:c>
      <x:c r="B2001" s="24" t="str">
        <x:v>ZEISS</x:v>
      </x:c>
      <x:c r="C2001" s="24" t="str">
        <x:v>Progressiva</x:v>
      </x:c>
      <x:c r="D2001" s="24" t="str">
        <x:v>Surfaçada</x:v>
      </x:c>
      <x:c r="E2001" s="24" t="str">
        <x:v>ClearMind Superb</x:v>
      </x:c>
      <x:c r="F2001" s="24"/>
      <x:c r="G2001" s="24" t="str">
        <x:v>Poli</x:v>
      </x:c>
      <x:c r="H2001" s="24"/>
      <x:c r="I2001" s="24" t="str">
        <x:v>DuraVision Chrome UV</x:v>
      </x:c>
      <x:c r="J2001" s="40" t="n">
        <x:v>7759</x:v>
      </x:c>
      <x:c r="K2001" s="24" t="str">
        <x:v>-10.00 a +6.00</x:v>
      </x:c>
      <x:c r="L2001" s="24" t="str">
        <x:v>-6.00</x:v>
      </x:c>
      <x:c r="M2001" s="24" t="str">
        <x:v>0.75 a 3.00</x:v>
      </x:c>
      <x:c r="N2001" s="24" t="str">
        <x:v>70</x:v>
      </x:c>
      <x:c r="O2001" s="24"/>
      <x:c r="P2001" s="24"/>
      <x:c r="Q2001" s="24" t="str">
        <x:v>DISPONÍVEL</x:v>
      </x:c>
      <x:c r="R2001" s="24" t="str">
        <x:v>Programa de Parcerias ZEISS — categoria Experts</x:v>
      </x:c>
      <x:c r="S2001" s="24" t="n">
        <x:v>33</x:v>
      </x:c>
      <x:c r="T2001" s="24" t="str">
        <x:v>tabela_zeiss.pdf</x:v>
      </x:c>
      <x:c r="U2001" s="24" t="str">
        <x:v>ZEISS|Progressiva|Surfaçada|ClearMind Superb||Poli||DuraVision Chrome UV|-10.00 a +6.00|-6.00|0.75 a 3.00|70|||33</x:v>
      </x:c>
    </x:row>
    <x:row r="2002">
      <x:c r="A2002" s="24" t="str">
        <x:v>ZS-9EA6CB1409AC</x:v>
      </x:c>
      <x:c r="B2002" s="24" t="str">
        <x:v>ZEISS</x:v>
      </x:c>
      <x:c r="C2002" s="24" t="str">
        <x:v>Progressiva</x:v>
      </x:c>
      <x:c r="D2002" s="24" t="str">
        <x:v>Surfaçada</x:v>
      </x:c>
      <x:c r="E2002" s="24" t="str">
        <x:v>ClearMind Superb</x:v>
      </x:c>
      <x:c r="F2002" s="24"/>
      <x:c r="G2002" s="24" t="str">
        <x:v>1.6</x:v>
      </x:c>
      <x:c r="H2002" s="24" t="str">
        <x:v>1.60</x:v>
      </x:c>
      <x:c r="I2002" s="24" t="str">
        <x:v>DuraVision Gold UV</x:v>
      </x:c>
      <x:c r="J2002" s="40" t="n">
        <x:v>9309</x:v>
      </x:c>
      <x:c r="K2002" s="24" t="str">
        <x:v>-7.25 a +6.00</x:v>
      </x:c>
      <x:c r="L2002" s="24" t="str">
        <x:v>-6.00</x:v>
      </x:c>
      <x:c r="M2002" s="24" t="str">
        <x:v>0.75 a 3.50</x:v>
      </x:c>
      <x:c r="N2002" s="24" t="str">
        <x:v>75</x:v>
      </x:c>
      <x:c r="O2002" s="24"/>
      <x:c r="P2002" s="24"/>
      <x:c r="Q2002" s="24" t="str">
        <x:v>DISPONÍVEL</x:v>
      </x:c>
      <x:c r="R2002" s="24" t="str">
        <x:v>Programa de Parcerias ZEISS — categoria Experts</x:v>
      </x:c>
      <x:c r="S2002" s="24" t="n">
        <x:v>33</x:v>
      </x:c>
      <x:c r="T2002" s="24" t="str">
        <x:v>tabela_zeiss.pdf</x:v>
      </x:c>
      <x:c r="U2002" s="24" t="str">
        <x:v>ZEISS|Progressiva|Surfaçada|ClearMind Superb||1.6|1.60|DuraVision Gold UV|-7.25 a +6.00|-6.00|0.75 a 3.50|75|||33</x:v>
      </x:c>
    </x:row>
    <x:row r="2003">
      <x:c r="A2003" s="24" t="str">
        <x:v>ZS-65119C33C10B</x:v>
      </x:c>
      <x:c r="B2003" s="24" t="str">
        <x:v>ZEISS</x:v>
      </x:c>
      <x:c r="C2003" s="24" t="str">
        <x:v>Progressiva</x:v>
      </x:c>
      <x:c r="D2003" s="24" t="str">
        <x:v>Surfaçada</x:v>
      </x:c>
      <x:c r="E2003" s="24" t="str">
        <x:v>ClearMind Superb</x:v>
      </x:c>
      <x:c r="F2003" s="24"/>
      <x:c r="G2003" s="24" t="str">
        <x:v>1.6</x:v>
      </x:c>
      <x:c r="H2003" s="24" t="str">
        <x:v>1.60</x:v>
      </x:c>
      <x:c r="I2003" s="24" t="str">
        <x:v>DURAVISION® ANTIVÍRUS PLATINUM UV</x:v>
      </x:c>
      <x:c r="J2003" s="40" t="n">
        <x:v>9169</x:v>
      </x:c>
      <x:c r="K2003" s="24" t="str">
        <x:v>-7.25 a +6.00</x:v>
      </x:c>
      <x:c r="L2003" s="24" t="str">
        <x:v>-6.00</x:v>
      </x:c>
      <x:c r="M2003" s="24" t="str">
        <x:v>0.75 a 3.50</x:v>
      </x:c>
      <x:c r="N2003" s="24" t="str">
        <x:v>75</x:v>
      </x:c>
      <x:c r="O2003" s="24"/>
      <x:c r="P2003" s="24"/>
      <x:c r="Q2003" s="24" t="str">
        <x:v>DISPONÍVEL</x:v>
      </x:c>
      <x:c r="R2003" s="24" t="str">
        <x:v>Programa de Parcerias ZEISS — categoria Experts</x:v>
      </x:c>
      <x:c r="S2003" s="24" t="n">
        <x:v>33</x:v>
      </x:c>
      <x:c r="T2003" s="24" t="str">
        <x:v>tabela_zeiss.pdf</x:v>
      </x:c>
      <x:c r="U2003" s="24" t="str">
        <x:v>ZEISS|Progressiva|Surfaçada|ClearMind Superb||1.6|1.60|DURAVISION® ANTIVÍRUS PLATINUM UV|-7.25 a +6.00|-6.00|0.75 a 3.50|75|||33</x:v>
      </x:c>
    </x:row>
    <x:row r="2004">
      <x:c r="A2004" s="24" t="str">
        <x:v>ZS-8AF3290F74D5</x:v>
      </x:c>
      <x:c r="B2004" s="24" t="str">
        <x:v>ZEISS</x:v>
      </x:c>
      <x:c r="C2004" s="24" t="str">
        <x:v>Progressiva</x:v>
      </x:c>
      <x:c r="D2004" s="24" t="str">
        <x:v>Surfaçada</x:v>
      </x:c>
      <x:c r="E2004" s="24" t="str">
        <x:v>ClearMind Superb</x:v>
      </x:c>
      <x:c r="F2004" s="24"/>
      <x:c r="G2004" s="24" t="str">
        <x:v>1.6</x:v>
      </x:c>
      <x:c r="H2004" s="24" t="str">
        <x:v>1.60</x:v>
      </x:c>
      <x:c r="I2004" s="24" t="str">
        <x:v>DuraVision Platinum UV</x:v>
      </x:c>
      <x:c r="J2004" s="40" t="n">
        <x:v>9169</x:v>
      </x:c>
      <x:c r="K2004" s="24" t="str">
        <x:v>-7.25 a +6.00</x:v>
      </x:c>
      <x:c r="L2004" s="24" t="str">
        <x:v>-6.00</x:v>
      </x:c>
      <x:c r="M2004" s="24" t="str">
        <x:v>0.75 a 3.50</x:v>
      </x:c>
      <x:c r="N2004" s="24" t="str">
        <x:v>75</x:v>
      </x:c>
      <x:c r="O2004" s="24"/>
      <x:c r="P2004" s="24"/>
      <x:c r="Q2004" s="24" t="str">
        <x:v>DISPONÍVEL</x:v>
      </x:c>
      <x:c r="R2004" s="24" t="str">
        <x:v>Programa de Parcerias ZEISS — categoria Experts</x:v>
      </x:c>
      <x:c r="S2004" s="24" t="n">
        <x:v>33</x:v>
      </x:c>
      <x:c r="T2004" s="24" t="str">
        <x:v>tabela_zeiss.pdf</x:v>
      </x:c>
      <x:c r="U2004" s="24" t="str">
        <x:v>ZEISS|Progressiva|Surfaçada|ClearMind Superb||1.6|1.60|DuraVision Platinum UV|-7.25 a +6.00|-6.00|0.75 a 3.50|75|||33</x:v>
      </x:c>
    </x:row>
    <x:row r="2005">
      <x:c r="A2005" s="24" t="str">
        <x:v>ZS-2DB8D64CCCFB</x:v>
      </x:c>
      <x:c r="B2005" s="24" t="str">
        <x:v>ZEISS</x:v>
      </x:c>
      <x:c r="C2005" s="24" t="str">
        <x:v>Progressiva</x:v>
      </x:c>
      <x:c r="D2005" s="24" t="str">
        <x:v>Surfaçada</x:v>
      </x:c>
      <x:c r="E2005" s="24" t="str">
        <x:v>ClearMind Superb</x:v>
      </x:c>
      <x:c r="F2005" s="24"/>
      <x:c r="G2005" s="24" t="str">
        <x:v>1.6</x:v>
      </x:c>
      <x:c r="H2005" s="24" t="str">
        <x:v>1.60</x:v>
      </x:c>
      <x:c r="I2005" s="24" t="str">
        <x:v>DuraVision Silver UV</x:v>
      </x:c>
      <x:c r="J2005" s="40" t="n">
        <x:v>8909</x:v>
      </x:c>
      <x:c r="K2005" s="24" t="str">
        <x:v>-7.25 a +6.00</x:v>
      </x:c>
      <x:c r="L2005" s="24" t="str">
        <x:v>-6.00</x:v>
      </x:c>
      <x:c r="M2005" s="24" t="str">
        <x:v>0.75 a 3.50</x:v>
      </x:c>
      <x:c r="N2005" s="24" t="str">
        <x:v>75</x:v>
      </x:c>
      <x:c r="O2005" s="24"/>
      <x:c r="P2005" s="24"/>
      <x:c r="Q2005" s="24" t="str">
        <x:v>DISPONÍVEL</x:v>
      </x:c>
      <x:c r="R2005" s="24" t="str">
        <x:v>Programa de Parcerias ZEISS — categoria Experts</x:v>
      </x:c>
      <x:c r="S2005" s="24" t="n">
        <x:v>33</x:v>
      </x:c>
      <x:c r="T2005" s="24" t="str">
        <x:v>tabela_zeiss.pdf</x:v>
      </x:c>
      <x:c r="U2005" s="24" t="str">
        <x:v>ZEISS|Progressiva|Surfaçada|ClearMind Superb||1.6|1.60|DuraVision Silver UV|-7.25 a +6.00|-6.00|0.75 a 3.50|75|||33</x:v>
      </x:c>
    </x:row>
    <x:row r="2006">
      <x:c r="A2006" s="24" t="str">
        <x:v>ZS-36A026D1892F</x:v>
      </x:c>
      <x:c r="B2006" s="24" t="str">
        <x:v>ZEISS</x:v>
      </x:c>
      <x:c r="C2006" s="24" t="str">
        <x:v>Progressiva</x:v>
      </x:c>
      <x:c r="D2006" s="24" t="str">
        <x:v>Surfaçada</x:v>
      </x:c>
      <x:c r="E2006" s="24" t="str">
        <x:v>ClearMind Superb</x:v>
      </x:c>
      <x:c r="F2006" s="24"/>
      <x:c r="G2006" s="24" t="str">
        <x:v>1.6</x:v>
      </x:c>
      <x:c r="H2006" s="24" t="str">
        <x:v>1.60</x:v>
      </x:c>
      <x:c r="I2006" s="24" t="str">
        <x:v>DuraVision Chrome UV</x:v>
      </x:c>
      <x:c r="J2006" s="40" t="n">
        <x:v>8419</x:v>
      </x:c>
      <x:c r="K2006" s="24" t="str">
        <x:v>-7.25 a +6.00</x:v>
      </x:c>
      <x:c r="L2006" s="24" t="str">
        <x:v>-6.00</x:v>
      </x:c>
      <x:c r="M2006" s="24" t="str">
        <x:v>0.75 a 3.50</x:v>
      </x:c>
      <x:c r="N2006" s="24" t="str">
        <x:v>75</x:v>
      </x:c>
      <x:c r="O2006" s="24"/>
      <x:c r="P2006" s="24"/>
      <x:c r="Q2006" s="24" t="str">
        <x:v>DISPONÍVEL</x:v>
      </x:c>
      <x:c r="R2006" s="24" t="str">
        <x:v>Programa de Parcerias ZEISS — categoria Experts</x:v>
      </x:c>
      <x:c r="S2006" s="24" t="n">
        <x:v>33</x:v>
      </x:c>
      <x:c r="T2006" s="24" t="str">
        <x:v>tabela_zeiss.pdf</x:v>
      </x:c>
      <x:c r="U2006" s="24" t="str">
        <x:v>ZEISS|Progressiva|Surfaçada|ClearMind Superb||1.6|1.60|DuraVision Chrome UV|-7.25 a +6.00|-6.00|0.75 a 3.50|75|||33</x:v>
      </x:c>
    </x:row>
    <x:row r="2007">
      <x:c r="A2007" s="24" t="str">
        <x:v>ZS-0189DB6E3529</x:v>
      </x:c>
      <x:c r="B2007" s="24" t="str">
        <x:v>ZEISS</x:v>
      </x:c>
      <x:c r="C2007" s="24" t="str">
        <x:v>Progressiva</x:v>
      </x:c>
      <x:c r="D2007" s="24" t="str">
        <x:v>Surfaçada</x:v>
      </x:c>
      <x:c r="E2007" s="24" t="str">
        <x:v>ClearMind Superb</x:v>
      </x:c>
      <x:c r="F2007" s="24"/>
      <x:c r="G2007" s="24" t="str">
        <x:v>1.67</x:v>
      </x:c>
      <x:c r="H2007" s="24" t="str">
        <x:v>1.67</x:v>
      </x:c>
      <x:c r="I2007" s="24" t="str">
        <x:v>DuraVision Gold UV</x:v>
      </x:c>
      <x:c r="J2007" s="40" t="n">
        <x:v>10949</x:v>
      </x:c>
      <x:c r="K2007" s="24" t="str">
        <x:v>-8.00 a +8.00</x:v>
      </x:c>
      <x:c r="L2007" s="24" t="str">
        <x:v>-6.00</x:v>
      </x:c>
      <x:c r="M2007" s="24" t="str">
        <x:v>0.75 a 3.00</x:v>
      </x:c>
      <x:c r="N2007" s="24" t="str">
        <x:v>70</x:v>
      </x:c>
      <x:c r="O2007" s="24"/>
      <x:c r="P2007" s="24"/>
      <x:c r="Q2007" s="24" t="str">
        <x:v>DISPONÍVEL</x:v>
      </x:c>
      <x:c r="R2007" s="24" t="str">
        <x:v>Programa de Parcerias ZEISS — categoria Experts</x:v>
      </x:c>
      <x:c r="S2007" s="24" t="n">
        <x:v>33</x:v>
      </x:c>
      <x:c r="T2007" s="24" t="str">
        <x:v>tabela_zeiss.pdf</x:v>
      </x:c>
      <x:c r="U2007" s="24" t="str">
        <x:v>ZEISS|Progressiva|Surfaçada|ClearMind Superb||1.67|1.67|DuraVision Gold UV|-8.00 a +8.00|-6.00|0.75 a 3.00|70|||33</x:v>
      </x:c>
    </x:row>
    <x:row r="2008">
      <x:c r="A2008" s="24" t="str">
        <x:v>ZS-5AEB3CE608C7</x:v>
      </x:c>
      <x:c r="B2008" s="24" t="str">
        <x:v>ZEISS</x:v>
      </x:c>
      <x:c r="C2008" s="24" t="str">
        <x:v>Progressiva</x:v>
      </x:c>
      <x:c r="D2008" s="24" t="str">
        <x:v>Surfaçada</x:v>
      </x:c>
      <x:c r="E2008" s="24" t="str">
        <x:v>ClearMind Superb</x:v>
      </x:c>
      <x:c r="F2008" s="24"/>
      <x:c r="G2008" s="24" t="str">
        <x:v>1.67</x:v>
      </x:c>
      <x:c r="H2008" s="24" t="str">
        <x:v>1.67</x:v>
      </x:c>
      <x:c r="I2008" s="24" t="str">
        <x:v>DURAVISION® ANTIVÍRUS PLATINUM UV</x:v>
      </x:c>
      <x:c r="J2008" s="40" t="n">
        <x:v>10809</x:v>
      </x:c>
      <x:c r="K2008" s="24" t="str">
        <x:v>-8.00 a +8.00</x:v>
      </x:c>
      <x:c r="L2008" s="24" t="str">
        <x:v>-6.00</x:v>
      </x:c>
      <x:c r="M2008" s="24" t="str">
        <x:v>0.75 a 3.00</x:v>
      </x:c>
      <x:c r="N2008" s="24" t="str">
        <x:v>70</x:v>
      </x:c>
      <x:c r="O2008" s="24"/>
      <x:c r="P2008" s="24"/>
      <x:c r="Q2008" s="24" t="str">
        <x:v>DISPONÍVEL</x:v>
      </x:c>
      <x:c r="R2008" s="24" t="str">
        <x:v>Programa de Parcerias ZEISS — categoria Experts</x:v>
      </x:c>
      <x:c r="S2008" s="24" t="n">
        <x:v>33</x:v>
      </x:c>
      <x:c r="T2008" s="24" t="str">
        <x:v>tabela_zeiss.pdf</x:v>
      </x:c>
      <x:c r="U2008" s="24" t="str">
        <x:v>ZEISS|Progressiva|Surfaçada|ClearMind Superb||1.67|1.67|DURAVISION® ANTIVÍRUS PLATINUM UV|-8.00 a +8.00|-6.00|0.75 a 3.00|70|||33</x:v>
      </x:c>
    </x:row>
    <x:row r="2009">
      <x:c r="A2009" s="24" t="str">
        <x:v>ZS-C9AA6CD1BF0D</x:v>
      </x:c>
      <x:c r="B2009" s="24" t="str">
        <x:v>ZEISS</x:v>
      </x:c>
      <x:c r="C2009" s="24" t="str">
        <x:v>Progressiva</x:v>
      </x:c>
      <x:c r="D2009" s="24" t="str">
        <x:v>Surfaçada</x:v>
      </x:c>
      <x:c r="E2009" s="24" t="str">
        <x:v>ClearMind Superb</x:v>
      </x:c>
      <x:c r="F2009" s="24"/>
      <x:c r="G2009" s="24" t="str">
        <x:v>1.67</x:v>
      </x:c>
      <x:c r="H2009" s="24" t="str">
        <x:v>1.67</x:v>
      </x:c>
      <x:c r="I2009" s="24" t="str">
        <x:v>DuraVision Platinum UV</x:v>
      </x:c>
      <x:c r="J2009" s="40" t="n">
        <x:v>10809</x:v>
      </x:c>
      <x:c r="K2009" s="24" t="str">
        <x:v>-8.00 a +8.00</x:v>
      </x:c>
      <x:c r="L2009" s="24" t="str">
        <x:v>-6.00</x:v>
      </x:c>
      <x:c r="M2009" s="24" t="str">
        <x:v>0.75 a 3.00</x:v>
      </x:c>
      <x:c r="N2009" s="24" t="str">
        <x:v>70</x:v>
      </x:c>
      <x:c r="O2009" s="24"/>
      <x:c r="P2009" s="24"/>
      <x:c r="Q2009" s="24" t="str">
        <x:v>DISPONÍVEL</x:v>
      </x:c>
      <x:c r="R2009" s="24" t="str">
        <x:v>Programa de Parcerias ZEISS — categoria Experts</x:v>
      </x:c>
      <x:c r="S2009" s="24" t="n">
        <x:v>33</x:v>
      </x:c>
      <x:c r="T2009" s="24" t="str">
        <x:v>tabela_zeiss.pdf</x:v>
      </x:c>
      <x:c r="U2009" s="24" t="str">
        <x:v>ZEISS|Progressiva|Surfaçada|ClearMind Superb||1.67|1.67|DuraVision Platinum UV|-8.00 a +8.00|-6.00|0.75 a 3.00|70|||33</x:v>
      </x:c>
    </x:row>
    <x:row r="2010">
      <x:c r="A2010" s="24" t="str">
        <x:v>ZS-05A6DEC2563C</x:v>
      </x:c>
      <x:c r="B2010" s="24" t="str">
        <x:v>ZEISS</x:v>
      </x:c>
      <x:c r="C2010" s="24" t="str">
        <x:v>Progressiva</x:v>
      </x:c>
      <x:c r="D2010" s="24" t="str">
        <x:v>Surfaçada</x:v>
      </x:c>
      <x:c r="E2010" s="24" t="str">
        <x:v>ClearMind Superb</x:v>
      </x:c>
      <x:c r="F2010" s="24"/>
      <x:c r="G2010" s="24" t="str">
        <x:v>1.67</x:v>
      </x:c>
      <x:c r="H2010" s="24" t="str">
        <x:v>1.67</x:v>
      </x:c>
      <x:c r="I2010" s="24" t="str">
        <x:v>DuraVision Silver UV</x:v>
      </x:c>
      <x:c r="J2010" s="40" t="n">
        <x:v>10549</x:v>
      </x:c>
      <x:c r="K2010" s="24" t="str">
        <x:v>-8.00 a +8.00</x:v>
      </x:c>
      <x:c r="L2010" s="24" t="str">
        <x:v>-6.00</x:v>
      </x:c>
      <x:c r="M2010" s="24" t="str">
        <x:v>0.75 a 3.00</x:v>
      </x:c>
      <x:c r="N2010" s="24" t="str">
        <x:v>70</x:v>
      </x:c>
      <x:c r="O2010" s="24"/>
      <x:c r="P2010" s="24"/>
      <x:c r="Q2010" s="24" t="str">
        <x:v>DISPONÍVEL</x:v>
      </x:c>
      <x:c r="R2010" s="24" t="str">
        <x:v>Programa de Parcerias ZEISS — categoria Experts</x:v>
      </x:c>
      <x:c r="S2010" s="24" t="n">
        <x:v>33</x:v>
      </x:c>
      <x:c r="T2010" s="24" t="str">
        <x:v>tabela_zeiss.pdf</x:v>
      </x:c>
      <x:c r="U2010" s="24" t="str">
        <x:v>ZEISS|Progressiva|Surfaçada|ClearMind Superb||1.67|1.67|DuraVision Silver UV|-8.00 a +8.00|-6.00|0.75 a 3.00|70|||33</x:v>
      </x:c>
    </x:row>
    <x:row r="2011">
      <x:c r="A2011" s="24" t="str">
        <x:v>ZS-16B037B8795F</x:v>
      </x:c>
      <x:c r="B2011" s="24" t="str">
        <x:v>ZEISS</x:v>
      </x:c>
      <x:c r="C2011" s="24" t="str">
        <x:v>Progressiva</x:v>
      </x:c>
      <x:c r="D2011" s="24" t="str">
        <x:v>Surfaçada</x:v>
      </x:c>
      <x:c r="E2011" s="24" t="str">
        <x:v>ClearMind Superb</x:v>
      </x:c>
      <x:c r="F2011" s="24"/>
      <x:c r="G2011" s="24" t="str">
        <x:v>1.67</x:v>
      </x:c>
      <x:c r="H2011" s="24" t="str">
        <x:v>1.67</x:v>
      </x:c>
      <x:c r="I2011" s="24" t="str">
        <x:v>DuraVision Chrome UV</x:v>
      </x:c>
      <x:c r="J2011" s="40" t="n">
        <x:v>10059</x:v>
      </x:c>
      <x:c r="K2011" s="24" t="str">
        <x:v>-8.00 a +8.00</x:v>
      </x:c>
      <x:c r="L2011" s="24" t="str">
        <x:v>-6.00</x:v>
      </x:c>
      <x:c r="M2011" s="24" t="str">
        <x:v>0.75 a 3.00</x:v>
      </x:c>
      <x:c r="N2011" s="24" t="str">
        <x:v>70</x:v>
      </x:c>
      <x:c r="O2011" s="24"/>
      <x:c r="P2011" s="24"/>
      <x:c r="Q2011" s="24" t="str">
        <x:v>DISPONÍVEL</x:v>
      </x:c>
      <x:c r="R2011" s="24" t="str">
        <x:v>Programa de Parcerias ZEISS — categoria Experts</x:v>
      </x:c>
      <x:c r="S2011" s="24" t="n">
        <x:v>33</x:v>
      </x:c>
      <x:c r="T2011" s="24" t="str">
        <x:v>tabela_zeiss.pdf</x:v>
      </x:c>
      <x:c r="U2011" s="24" t="str">
        <x:v>ZEISS|Progressiva|Surfaçada|ClearMind Superb||1.67|1.67|DuraVision Chrome UV|-8.00 a +8.00|-6.00|0.75 a 3.00|70|||33</x:v>
      </x:c>
    </x:row>
    <x:row r="2012">
      <x:c r="A2012" s="24" t="str">
        <x:v>ZS-5B9D5A1E392E</x:v>
      </x:c>
      <x:c r="B2012" s="24" t="str">
        <x:v>ZEISS</x:v>
      </x:c>
      <x:c r="C2012" s="24" t="str">
        <x:v>Progressiva</x:v>
      </x:c>
      <x:c r="D2012" s="24" t="str">
        <x:v>Surfaçada</x:v>
      </x:c>
      <x:c r="E2012" s="24" t="str">
        <x:v>ClearMind Superb</x:v>
      </x:c>
      <x:c r="F2012" s="24"/>
      <x:c r="G2012" s="24" t="str">
        <x:v>1.74</x:v>
      </x:c>
      <x:c r="H2012" s="24" t="str">
        <x:v>1.74</x:v>
      </x:c>
      <x:c r="I2012" s="24" t="str">
        <x:v>DuraVision Gold UV</x:v>
      </x:c>
      <x:c r="J2012" s="40" t="n">
        <x:v>12549</x:v>
      </x:c>
      <x:c r="K2012" s="24" t="str">
        <x:v>-10.00 a +7.00</x:v>
      </x:c>
      <x:c r="L2012" s="24" t="str">
        <x:v>-4.00</x:v>
      </x:c>
      <x:c r="M2012" s="24" t="str">
        <x:v>0.75 a 3.50</x:v>
      </x:c>
      <x:c r="N2012" s="24" t="str">
        <x:v>70 a 75</x:v>
      </x:c>
      <x:c r="O2012" s="24"/>
      <x:c r="P2012" s="24"/>
      <x:c r="Q2012" s="24" t="str">
        <x:v>DISPONÍVEL</x:v>
      </x:c>
      <x:c r="R2012" s="24" t="str">
        <x:v>Programa de Parcerias ZEISS — categoria Experts</x:v>
      </x:c>
      <x:c r="S2012" s="24" t="n">
        <x:v>33</x:v>
      </x:c>
      <x:c r="T2012" s="24" t="str">
        <x:v>tabela_zeiss.pdf</x:v>
      </x:c>
      <x:c r="U2012" s="24" t="str">
        <x:v>ZEISS|Progressiva|Surfaçada|ClearMind Superb||1.74|1.74|DuraVision Gold UV|-10.00 a +7.00|-4.00|0.75 a 3.50|70 a 75|||33</x:v>
      </x:c>
    </x:row>
    <x:row r="2013">
      <x:c r="A2013" s="24" t="str">
        <x:v>ZS-2D118F14BEC8</x:v>
      </x:c>
      <x:c r="B2013" s="24" t="str">
        <x:v>ZEISS</x:v>
      </x:c>
      <x:c r="C2013" s="24" t="str">
        <x:v>Progressiva</x:v>
      </x:c>
      <x:c r="D2013" s="24" t="str">
        <x:v>Surfaçada</x:v>
      </x:c>
      <x:c r="E2013" s="24" t="str">
        <x:v>ClearMind Superb</x:v>
      </x:c>
      <x:c r="F2013" s="24"/>
      <x:c r="G2013" s="24" t="str">
        <x:v>1.74</x:v>
      </x:c>
      <x:c r="H2013" s="24" t="str">
        <x:v>1.74</x:v>
      </x:c>
      <x:c r="I2013" s="24" t="str">
        <x:v>DuraVision Platinum UV</x:v>
      </x:c>
      <x:c r="J2013" s="40" t="n">
        <x:v>12409</x:v>
      </x:c>
      <x:c r="K2013" s="24" t="str">
        <x:v>-10.00 a +7.00</x:v>
      </x:c>
      <x:c r="L2013" s="24" t="str">
        <x:v>-4.00</x:v>
      </x:c>
      <x:c r="M2013" s="24" t="str">
        <x:v>0.75 a 3.50</x:v>
      </x:c>
      <x:c r="N2013" s="24" t="str">
        <x:v>70 a 75</x:v>
      </x:c>
      <x:c r="O2013" s="24"/>
      <x:c r="P2013" s="24"/>
      <x:c r="Q2013" s="24" t="str">
        <x:v>DISPONÍVEL</x:v>
      </x:c>
      <x:c r="R2013" s="24" t="str">
        <x:v>Programa de Parcerias ZEISS — categoria Experts</x:v>
      </x:c>
      <x:c r="S2013" s="24" t="n">
        <x:v>33</x:v>
      </x:c>
      <x:c r="T2013" s="24" t="str">
        <x:v>tabela_zeiss.pdf</x:v>
      </x:c>
      <x:c r="U2013" s="24" t="str">
        <x:v>ZEISS|Progressiva|Surfaçada|ClearMind Superb||1.74|1.74|DuraVision Platinum UV|-10.00 a +7.00|-4.00|0.75 a 3.50|70 a 75|||33</x:v>
      </x:c>
    </x:row>
    <x:row r="2014">
      <x:c r="A2014" s="24" t="str">
        <x:v>ZS-D9BC819A8E91</x:v>
      </x:c>
      <x:c r="B2014" s="24" t="str">
        <x:v>ZEISS</x:v>
      </x:c>
      <x:c r="C2014" s="24" t="str">
        <x:v>Progressiva</x:v>
      </x:c>
      <x:c r="D2014" s="24" t="str">
        <x:v>Surfaçada</x:v>
      </x:c>
      <x:c r="E2014" s="24" t="str">
        <x:v>ClearMind Superb</x:v>
      </x:c>
      <x:c r="F2014" s="24"/>
      <x:c r="G2014" s="24" t="str">
        <x:v>1.74</x:v>
      </x:c>
      <x:c r="H2014" s="24" t="str">
        <x:v>1.74</x:v>
      </x:c>
      <x:c r="I2014" s="24" t="str">
        <x:v>DuraVision Silver UV</x:v>
      </x:c>
      <x:c r="J2014" s="40" t="n">
        <x:v>12149</x:v>
      </x:c>
      <x:c r="K2014" s="24" t="str">
        <x:v>-10.00 a +7.00</x:v>
      </x:c>
      <x:c r="L2014" s="24" t="str">
        <x:v>-4.00</x:v>
      </x:c>
      <x:c r="M2014" s="24" t="str">
        <x:v>0.75 a 3.50</x:v>
      </x:c>
      <x:c r="N2014" s="24" t="str">
        <x:v>70 a 75</x:v>
      </x:c>
      <x:c r="O2014" s="24"/>
      <x:c r="P2014" s="24"/>
      <x:c r="Q2014" s="24" t="str">
        <x:v>DISPONÍVEL</x:v>
      </x:c>
      <x:c r="R2014" s="24" t="str">
        <x:v>Programa de Parcerias ZEISS — categoria Experts</x:v>
      </x:c>
      <x:c r="S2014" s="24" t="n">
        <x:v>33</x:v>
      </x:c>
      <x:c r="T2014" s="24" t="str">
        <x:v>tabela_zeiss.pdf</x:v>
      </x:c>
      <x:c r="U2014" s="24" t="str">
        <x:v>ZEISS|Progressiva|Surfaçada|ClearMind Superb||1.74|1.74|DuraVision Silver UV|-10.00 a +7.00|-4.00|0.75 a 3.50|70 a 75|||33</x:v>
      </x:c>
    </x:row>
    <x:row r="2015">
      <x:c r="A2015" s="24" t="str">
        <x:v>ZS-64A4F1905608</x:v>
      </x:c>
      <x:c r="B2015" s="24" t="str">
        <x:v>ZEISS</x:v>
      </x:c>
      <x:c r="C2015" s="24" t="str">
        <x:v>Progressiva</x:v>
      </x:c>
      <x:c r="D2015" s="24" t="str">
        <x:v>Surfaçada</x:v>
      </x:c>
      <x:c r="E2015" s="24" t="str">
        <x:v>ClearMind Superb</x:v>
      </x:c>
      <x:c r="F2015" s="24"/>
      <x:c r="G2015" s="24" t="str">
        <x:v>1.74</x:v>
      </x:c>
      <x:c r="H2015" s="24" t="str">
        <x:v>1.74</x:v>
      </x:c>
      <x:c r="I2015" s="24" t="str">
        <x:v>DuraVision Chrome UV</x:v>
      </x:c>
      <x:c r="J2015" s="40" t="n">
        <x:v>11659</x:v>
      </x:c>
      <x:c r="K2015" s="24" t="str">
        <x:v>-10.00 a +7.00</x:v>
      </x:c>
      <x:c r="L2015" s="24" t="str">
        <x:v>-4.00</x:v>
      </x:c>
      <x:c r="M2015" s="24" t="str">
        <x:v>0.75 a 3.50</x:v>
      </x:c>
      <x:c r="N2015" s="24" t="str">
        <x:v>70 a 75</x:v>
      </x:c>
      <x:c r="O2015" s="24"/>
      <x:c r="P2015" s="24"/>
      <x:c r="Q2015" s="24" t="str">
        <x:v>DISPONÍVEL</x:v>
      </x:c>
      <x:c r="R2015" s="24" t="str">
        <x:v>Programa de Parcerias ZEISS — categoria Experts</x:v>
      </x:c>
      <x:c r="S2015" s="24" t="n">
        <x:v>33</x:v>
      </x:c>
      <x:c r="T2015" s="24" t="str">
        <x:v>tabela_zeiss.pdf</x:v>
      </x:c>
      <x:c r="U2015" s="24" t="str">
        <x:v>ZEISS|Progressiva|Surfaçada|ClearMind Superb||1.74|1.74|DuraVision Chrome UV|-10.00 a +7.00|-4.00|0.75 a 3.50|70 a 75|||33</x:v>
      </x:c>
    </x:row>
    <x:row r="2016">
      <x:c r="A2016" s="24" t="str">
        <x:v>ZS-92AE9C284F25</x:v>
      </x:c>
      <x:c r="B2016" s="24" t="str">
        <x:v>ZEISS</x:v>
      </x:c>
      <x:c r="C2016" s="24" t="str">
        <x:v>Progressiva</x:v>
      </x:c>
      <x:c r="D2016" s="24" t="str">
        <x:v>Surfaçada</x:v>
      </x:c>
      <x:c r="E2016" s="24" t="str">
        <x:v>ClearMind Superb</x:v>
      </x:c>
      <x:c r="F2016" s="24" t="str">
        <x:v>PhotoFusion X</x:v>
      </x:c>
      <x:c r="G2016" s="24" t="str">
        <x:v>1.5</x:v>
      </x:c>
      <x:c r="H2016" s="24" t="str">
        <x:v>1.50</x:v>
      </x:c>
      <x:c r="I2016" s="24" t="str">
        <x:v>DuraVision Gold UV</x:v>
      </x:c>
      <x:c r="J2016" s="40" t="n">
        <x:v>9479</x:v>
      </x:c>
      <x:c r="K2016" s="24" t="str">
        <x:v>-6.00 a +5.50</x:v>
      </x:c>
      <x:c r="L2016" s="24" t="str">
        <x:v>-4.00</x:v>
      </x:c>
      <x:c r="M2016" s="24" t="str">
        <x:v>0.75 a 3.00</x:v>
      </x:c>
      <x:c r="N2016" s="24" t="str">
        <x:v>75</x:v>
      </x:c>
      <x:c r="O2016" s="24"/>
      <x:c r="P2016" s="24"/>
      <x:c r="Q2016" s="24" t="str">
        <x:v>DISPONÍVEL</x:v>
      </x:c>
      <x:c r="R2016" s="24" t="str">
        <x:v>Programa de Parcerias ZEISS — categoria Experts; Programa de Parcerias ZEISS</x:v>
      </x:c>
      <x:c r="S2016" s="24" t="n">
        <x:v>33</x:v>
      </x:c>
      <x:c r="T2016" s="24" t="str">
        <x:v>tabela_zeiss.pdf</x:v>
      </x:c>
      <x:c r="U2016" s="24" t="str">
        <x:v>ZEISS|Progressiva|Surfaçada|ClearMind Superb|PhotoFusion X|1.5|1.50|DuraVision Gold UV|-6.00 a +5.50|-4.00|0.75 a 3.00|75|||33</x:v>
      </x:c>
    </x:row>
    <x:row r="2017">
      <x:c r="A2017" s="24" t="str">
        <x:v>ZS-FBB0D49E12B5</x:v>
      </x:c>
      <x:c r="B2017" s="24" t="str">
        <x:v>ZEISS</x:v>
      </x:c>
      <x:c r="C2017" s="24" t="str">
        <x:v>Progressiva</x:v>
      </x:c>
      <x:c r="D2017" s="24" t="str">
        <x:v>Surfaçada</x:v>
      </x:c>
      <x:c r="E2017" s="24" t="str">
        <x:v>ClearMind Superb</x:v>
      </x:c>
      <x:c r="F2017" s="24" t="str">
        <x:v>PhotoFusion X</x:v>
      </x:c>
      <x:c r="G2017" s="24" t="str">
        <x:v>1.5</x:v>
      </x:c>
      <x:c r="H2017" s="24" t="str">
        <x:v>1.50</x:v>
      </x:c>
      <x:c r="I2017" s="24" t="str">
        <x:v>DURAVISION® ANTIVÍRUS PLATINUM UV</x:v>
      </x:c>
      <x:c r="J2017" s="40" t="n">
        <x:v>9339</x:v>
      </x:c>
      <x:c r="K2017" s="24" t="str">
        <x:v>-6.00 a +5.50</x:v>
      </x:c>
      <x:c r="L2017" s="24" t="str">
        <x:v>-4.00</x:v>
      </x:c>
      <x:c r="M2017" s="24" t="str">
        <x:v>0.75 a 3.00</x:v>
      </x:c>
      <x:c r="N2017" s="24" t="str">
        <x:v>75</x:v>
      </x:c>
      <x:c r="O2017" s="24"/>
      <x:c r="P2017" s="24"/>
      <x:c r="Q2017" s="24" t="str">
        <x:v>DISPONÍVEL</x:v>
      </x:c>
      <x:c r="R2017" s="24" t="str">
        <x:v>Programa de Parcerias ZEISS — categoria Experts; Programa de Parcerias ZEISS</x:v>
      </x:c>
      <x:c r="S2017" s="24" t="n">
        <x:v>33</x:v>
      </x:c>
      <x:c r="T2017" s="24" t="str">
        <x:v>tabela_zeiss.pdf</x:v>
      </x:c>
      <x:c r="U2017" s="24" t="str">
        <x:v>ZEISS|Progressiva|Surfaçada|ClearMind Superb|PhotoFusion X|1.5|1.50|DURAVISION® ANTIVÍRUS PLATINUM UV|-6.00 a +5.50|-4.00|0.75 a 3.00|75|||33</x:v>
      </x:c>
    </x:row>
    <x:row r="2018">
      <x:c r="A2018" s="24" t="str">
        <x:v>ZS-DF5527A7004B</x:v>
      </x:c>
      <x:c r="B2018" s="24" t="str">
        <x:v>ZEISS</x:v>
      </x:c>
      <x:c r="C2018" s="24" t="str">
        <x:v>Progressiva</x:v>
      </x:c>
      <x:c r="D2018" s="24" t="str">
        <x:v>Surfaçada</x:v>
      </x:c>
      <x:c r="E2018" s="24" t="str">
        <x:v>ClearMind Superb</x:v>
      </x:c>
      <x:c r="F2018" s="24" t="str">
        <x:v>PhotoFusion X</x:v>
      </x:c>
      <x:c r="G2018" s="24" t="str">
        <x:v>1.5</x:v>
      </x:c>
      <x:c r="H2018" s="24" t="str">
        <x:v>1.50</x:v>
      </x:c>
      <x:c r="I2018" s="24" t="str">
        <x:v>DuraVision Platinum UV</x:v>
      </x:c>
      <x:c r="J2018" s="40" t="n">
        <x:v>9339</x:v>
      </x:c>
      <x:c r="K2018" s="24" t="str">
        <x:v>-6.00 a +5.50</x:v>
      </x:c>
      <x:c r="L2018" s="24" t="str">
        <x:v>-4.00</x:v>
      </x:c>
      <x:c r="M2018" s="24" t="str">
        <x:v>0.75 a 3.00</x:v>
      </x:c>
      <x:c r="N2018" s="24" t="str">
        <x:v>75</x:v>
      </x:c>
      <x:c r="O2018" s="24"/>
      <x:c r="P2018" s="24"/>
      <x:c r="Q2018" s="24" t="str">
        <x:v>DISPONÍVEL</x:v>
      </x:c>
      <x:c r="R2018" s="24" t="str">
        <x:v>Programa de Parcerias ZEISS — categoria Experts; Programa de Parcerias ZEISS</x:v>
      </x:c>
      <x:c r="S2018" s="24" t="n">
        <x:v>33</x:v>
      </x:c>
      <x:c r="T2018" s="24" t="str">
        <x:v>tabela_zeiss.pdf</x:v>
      </x:c>
      <x:c r="U2018" s="24" t="str">
        <x:v>ZEISS|Progressiva|Surfaçada|ClearMind Superb|PhotoFusion X|1.5|1.50|DuraVision Platinum UV|-6.00 a +5.50|-4.00|0.75 a 3.00|75|||33</x:v>
      </x:c>
    </x:row>
    <x:row r="2019">
      <x:c r="A2019" s="24" t="str">
        <x:v>ZS-A24FE46353FD</x:v>
      </x:c>
      <x:c r="B2019" s="24" t="str">
        <x:v>ZEISS</x:v>
      </x:c>
      <x:c r="C2019" s="24" t="str">
        <x:v>Progressiva</x:v>
      </x:c>
      <x:c r="D2019" s="24" t="str">
        <x:v>Surfaçada</x:v>
      </x:c>
      <x:c r="E2019" s="24" t="str">
        <x:v>ClearMind Superb</x:v>
      </x:c>
      <x:c r="F2019" s="24" t="str">
        <x:v>PhotoFusion X</x:v>
      </x:c>
      <x:c r="G2019" s="24" t="str">
        <x:v>1.5</x:v>
      </x:c>
      <x:c r="H2019" s="24" t="str">
        <x:v>1.50</x:v>
      </x:c>
      <x:c r="I2019" s="24" t="str">
        <x:v>DuraVision Silver UV</x:v>
      </x:c>
      <x:c r="J2019" s="40" t="n">
        <x:v>9079</x:v>
      </x:c>
      <x:c r="K2019" s="24" t="str">
        <x:v>-6.00 a +5.50</x:v>
      </x:c>
      <x:c r="L2019" s="24" t="str">
        <x:v>-4.00</x:v>
      </x:c>
      <x:c r="M2019" s="24" t="str">
        <x:v>0.75 a 3.00</x:v>
      </x:c>
      <x:c r="N2019" s="24" t="str">
        <x:v>75</x:v>
      </x:c>
      <x:c r="O2019" s="24"/>
      <x:c r="P2019" s="24"/>
      <x:c r="Q2019" s="24" t="str">
        <x:v>DISPONÍVEL</x:v>
      </x:c>
      <x:c r="R2019" s="24" t="str">
        <x:v>Programa de Parcerias ZEISS — categoria Experts; Programa de Parcerias ZEISS</x:v>
      </x:c>
      <x:c r="S2019" s="24" t="n">
        <x:v>33</x:v>
      </x:c>
      <x:c r="T2019" s="24" t="str">
        <x:v>tabela_zeiss.pdf</x:v>
      </x:c>
      <x:c r="U2019" s="24" t="str">
        <x:v>ZEISS|Progressiva|Surfaçada|ClearMind Superb|PhotoFusion X|1.5|1.50|DuraVision Silver UV|-6.00 a +5.50|-4.00|0.75 a 3.00|75|||33</x:v>
      </x:c>
    </x:row>
    <x:row r="2020">
      <x:c r="A2020" s="24" t="str">
        <x:v>ZS-AAEC4FF8231E</x:v>
      </x:c>
      <x:c r="B2020" s="24" t="str">
        <x:v>ZEISS</x:v>
      </x:c>
      <x:c r="C2020" s="24" t="str">
        <x:v>Progressiva</x:v>
      </x:c>
      <x:c r="D2020" s="24" t="str">
        <x:v>Surfaçada</x:v>
      </x:c>
      <x:c r="E2020" s="24" t="str">
        <x:v>ClearMind Superb</x:v>
      </x:c>
      <x:c r="F2020" s="24" t="str">
        <x:v>PhotoFusion X</x:v>
      </x:c>
      <x:c r="G2020" s="24" t="str">
        <x:v>1.5</x:v>
      </x:c>
      <x:c r="H2020" s="24" t="str">
        <x:v>1.50</x:v>
      </x:c>
      <x:c r="I2020" s="24" t="str">
        <x:v>DuraVision Chrome UV</x:v>
      </x:c>
      <x:c r="J2020" s="40" t="n">
        <x:v>8589</x:v>
      </x:c>
      <x:c r="K2020" s="24" t="str">
        <x:v>-6.00 a +5.50</x:v>
      </x:c>
      <x:c r="L2020" s="24" t="str">
        <x:v>-4.00</x:v>
      </x:c>
      <x:c r="M2020" s="24" t="str">
        <x:v>0.75 a 3.00</x:v>
      </x:c>
      <x:c r="N2020" s="24" t="str">
        <x:v>75</x:v>
      </x:c>
      <x:c r="O2020" s="24"/>
      <x:c r="P2020" s="24"/>
      <x:c r="Q2020" s="24" t="str">
        <x:v>DISPONÍVEL</x:v>
      </x:c>
      <x:c r="R2020" s="24" t="str">
        <x:v>Programa de Parcerias ZEISS — categoria Experts; Programa de Parcerias ZEISS</x:v>
      </x:c>
      <x:c r="S2020" s="24" t="n">
        <x:v>33</x:v>
      </x:c>
      <x:c r="T2020" s="24" t="str">
        <x:v>tabela_zeiss.pdf</x:v>
      </x:c>
      <x:c r="U2020" s="24" t="str">
        <x:v>ZEISS|Progressiva|Surfaçada|ClearMind Superb|PhotoFusion X|1.5|1.50|DuraVision Chrome UV|-6.00 a +5.50|-4.00|0.75 a 3.00|75|||33</x:v>
      </x:c>
    </x:row>
    <x:row r="2021">
      <x:c r="A2021" s="24" t="str">
        <x:v>ZS-FE26CF605F43</x:v>
      </x:c>
      <x:c r="B2021" s="24" t="str">
        <x:v>ZEISS</x:v>
      </x:c>
      <x:c r="C2021" s="24" t="str">
        <x:v>Progressiva</x:v>
      </x:c>
      <x:c r="D2021" s="24" t="str">
        <x:v>Surfaçada</x:v>
      </x:c>
      <x:c r="E2021" s="24" t="str">
        <x:v>ClearMind Superb</x:v>
      </x:c>
      <x:c r="F2021" s="24" t="str">
        <x:v>PhotoFusion X</x:v>
      </x:c>
      <x:c r="G2021" s="24" t="str">
        <x:v>Poli</x:v>
      </x:c>
      <x:c r="H2021" s="24"/>
      <x:c r="I2021" s="24" t="str">
        <x:v>DuraVision Gold UV</x:v>
      </x:c>
      <x:c r="J2021" s="40" t="n">
        <x:v>10069</x:v>
      </x:c>
      <x:c r="K2021" s="24" t="str">
        <x:v>-10.00 a +6.00</x:v>
      </x:c>
      <x:c r="L2021" s="24" t="str">
        <x:v>-6.00</x:v>
      </x:c>
      <x:c r="M2021" s="24" t="str">
        <x:v>0.75 a 3.00</x:v>
      </x:c>
      <x:c r="N2021" s="24" t="str">
        <x:v>70</x:v>
      </x:c>
      <x:c r="O2021" s="24"/>
      <x:c r="P2021" s="24"/>
      <x:c r="Q2021" s="24" t="str">
        <x:v>DISPONÍVEL</x:v>
      </x:c>
      <x:c r="R2021" s="24" t="str">
        <x:v>Programa de Parcerias ZEISS — categoria Experts; Programa de Parcerias ZEISS</x:v>
      </x:c>
      <x:c r="S2021" s="24" t="n">
        <x:v>33</x:v>
      </x:c>
      <x:c r="T2021" s="24" t="str">
        <x:v>tabela_zeiss.pdf</x:v>
      </x:c>
      <x:c r="U2021" s="24" t="str">
        <x:v>ZEISS|Progressiva|Surfaçada|ClearMind Superb|PhotoFusion X|Poli||DuraVision Gold UV|-10.00 a +6.00|-6.00|0.75 a 3.00|70|||33</x:v>
      </x:c>
    </x:row>
    <x:row r="2022">
      <x:c r="A2022" s="24" t="str">
        <x:v>ZS-C42538BE9DDA</x:v>
      </x:c>
      <x:c r="B2022" s="24" t="str">
        <x:v>ZEISS</x:v>
      </x:c>
      <x:c r="C2022" s="24" t="str">
        <x:v>Progressiva</x:v>
      </x:c>
      <x:c r="D2022" s="24" t="str">
        <x:v>Surfaçada</x:v>
      </x:c>
      <x:c r="E2022" s="24" t="str">
        <x:v>ClearMind Superb</x:v>
      </x:c>
      <x:c r="F2022" s="24" t="str">
        <x:v>PhotoFusion X</x:v>
      </x:c>
      <x:c r="G2022" s="24" t="str">
        <x:v>Poli</x:v>
      </x:c>
      <x:c r="H2022" s="24"/>
      <x:c r="I2022" s="24" t="str">
        <x:v>DuraVision Platinum UV</x:v>
      </x:c>
      <x:c r="J2022" s="40" t="n">
        <x:v>9929</x:v>
      </x:c>
      <x:c r="K2022" s="24" t="str">
        <x:v>-10.00 a +6.00</x:v>
      </x:c>
      <x:c r="L2022" s="24" t="str">
        <x:v>-6.00</x:v>
      </x:c>
      <x:c r="M2022" s="24" t="str">
        <x:v>0.75 a 3.00</x:v>
      </x:c>
      <x:c r="N2022" s="24" t="str">
        <x:v>70</x:v>
      </x:c>
      <x:c r="O2022" s="24"/>
      <x:c r="P2022" s="24"/>
      <x:c r="Q2022" s="24" t="str">
        <x:v>DISPONÍVEL</x:v>
      </x:c>
      <x:c r="R2022" s="24" t="str">
        <x:v>Programa de Parcerias ZEISS — categoria Experts; Programa de Parcerias ZEISS</x:v>
      </x:c>
      <x:c r="S2022" s="24" t="n">
        <x:v>33</x:v>
      </x:c>
      <x:c r="T2022" s="24" t="str">
        <x:v>tabela_zeiss.pdf</x:v>
      </x:c>
      <x:c r="U2022" s="24" t="str">
        <x:v>ZEISS|Progressiva|Surfaçada|ClearMind Superb|PhotoFusion X|Poli||DuraVision Platinum UV|-10.00 a +6.00|-6.00|0.75 a 3.00|70|||33</x:v>
      </x:c>
    </x:row>
    <x:row r="2023">
      <x:c r="A2023" s="24" t="str">
        <x:v>ZS-8F7DAF17082C</x:v>
      </x:c>
      <x:c r="B2023" s="24" t="str">
        <x:v>ZEISS</x:v>
      </x:c>
      <x:c r="C2023" s="24" t="str">
        <x:v>Progressiva</x:v>
      </x:c>
      <x:c r="D2023" s="24" t="str">
        <x:v>Surfaçada</x:v>
      </x:c>
      <x:c r="E2023" s="24" t="str">
        <x:v>ClearMind Superb</x:v>
      </x:c>
      <x:c r="F2023" s="24" t="str">
        <x:v>PhotoFusion X</x:v>
      </x:c>
      <x:c r="G2023" s="24" t="str">
        <x:v>Poli</x:v>
      </x:c>
      <x:c r="H2023" s="24"/>
      <x:c r="I2023" s="24" t="str">
        <x:v>DuraVision Silver UV</x:v>
      </x:c>
      <x:c r="J2023" s="40" t="n">
        <x:v>9669</x:v>
      </x:c>
      <x:c r="K2023" s="24" t="str">
        <x:v>-10.00 a +6.00</x:v>
      </x:c>
      <x:c r="L2023" s="24" t="str">
        <x:v>-6.00</x:v>
      </x:c>
      <x:c r="M2023" s="24" t="str">
        <x:v>0.75 a 3.00</x:v>
      </x:c>
      <x:c r="N2023" s="24" t="str">
        <x:v>70</x:v>
      </x:c>
      <x:c r="O2023" s="24"/>
      <x:c r="P2023" s="24"/>
      <x:c r="Q2023" s="24" t="str">
        <x:v>DISPONÍVEL</x:v>
      </x:c>
      <x:c r="R2023" s="24" t="str">
        <x:v>Programa de Parcerias ZEISS — categoria Experts; Programa de Parcerias ZEISS</x:v>
      </x:c>
      <x:c r="S2023" s="24" t="n">
        <x:v>33</x:v>
      </x:c>
      <x:c r="T2023" s="24" t="str">
        <x:v>tabela_zeiss.pdf</x:v>
      </x:c>
      <x:c r="U2023" s="24" t="str">
        <x:v>ZEISS|Progressiva|Surfaçada|ClearMind Superb|PhotoFusion X|Poli||DuraVision Silver UV|-10.00 a +6.00|-6.00|0.75 a 3.00|70|||33</x:v>
      </x:c>
    </x:row>
    <x:row r="2024">
      <x:c r="A2024" s="24" t="str">
        <x:v>ZS-AFE5C91CEB11</x:v>
      </x:c>
      <x:c r="B2024" s="24" t="str">
        <x:v>ZEISS</x:v>
      </x:c>
      <x:c r="C2024" s="24" t="str">
        <x:v>Progressiva</x:v>
      </x:c>
      <x:c r="D2024" s="24" t="str">
        <x:v>Surfaçada</x:v>
      </x:c>
      <x:c r="E2024" s="24" t="str">
        <x:v>ClearMind Superb</x:v>
      </x:c>
      <x:c r="F2024" s="24" t="str">
        <x:v>PhotoFusion X</x:v>
      </x:c>
      <x:c r="G2024" s="24" t="str">
        <x:v>Poli</x:v>
      </x:c>
      <x:c r="H2024" s="24"/>
      <x:c r="I2024" s="24" t="str">
        <x:v>DuraVision Chrome UV</x:v>
      </x:c>
      <x:c r="J2024" s="40" t="n">
        <x:v>9179</x:v>
      </x:c>
      <x:c r="K2024" s="24" t="str">
        <x:v>-10.00 a +6.00</x:v>
      </x:c>
      <x:c r="L2024" s="24" t="str">
        <x:v>-6.00</x:v>
      </x:c>
      <x:c r="M2024" s="24" t="str">
        <x:v>0.75 a 3.00</x:v>
      </x:c>
      <x:c r="N2024" s="24" t="str">
        <x:v>70</x:v>
      </x:c>
      <x:c r="O2024" s="24"/>
      <x:c r="P2024" s="24"/>
      <x:c r="Q2024" s="24" t="str">
        <x:v>DISPONÍVEL</x:v>
      </x:c>
      <x:c r="R2024" s="24" t="str">
        <x:v>Programa de Parcerias ZEISS — categoria Experts; Programa de Parcerias ZEISS</x:v>
      </x:c>
      <x:c r="S2024" s="24" t="n">
        <x:v>33</x:v>
      </x:c>
      <x:c r="T2024" s="24" t="str">
        <x:v>tabela_zeiss.pdf</x:v>
      </x:c>
      <x:c r="U2024" s="24" t="str">
        <x:v>ZEISS|Progressiva|Surfaçada|ClearMind Superb|PhotoFusion X|Poli||DuraVision Chrome UV|-10.00 a +6.00|-6.00|0.75 a 3.00|70|||33</x:v>
      </x:c>
    </x:row>
    <x:row r="2025">
      <x:c r="A2025" s="24" t="str">
        <x:v>ZS-DE8A358BD7B3</x:v>
      </x:c>
      <x:c r="B2025" s="24" t="str">
        <x:v>ZEISS</x:v>
      </x:c>
      <x:c r="C2025" s="24" t="str">
        <x:v>Progressiva</x:v>
      </x:c>
      <x:c r="D2025" s="24" t="str">
        <x:v>Surfaçada</x:v>
      </x:c>
      <x:c r="E2025" s="24" t="str">
        <x:v>ClearMind Superb</x:v>
      </x:c>
      <x:c r="F2025" s="24" t="str">
        <x:v>PhotoFusion X</x:v>
      </x:c>
      <x:c r="G2025" s="24" t="str">
        <x:v>1.6</x:v>
      </x:c>
      <x:c r="H2025" s="24" t="str">
        <x:v>1.60</x:v>
      </x:c>
      <x:c r="I2025" s="24" t="str">
        <x:v>DuraVision Gold UV</x:v>
      </x:c>
      <x:c r="J2025" s="40" t="n">
        <x:v>10729</x:v>
      </x:c>
      <x:c r="K2025" s="24" t="str">
        <x:v>-7.25 a +6.00</x:v>
      </x:c>
      <x:c r="L2025" s="24" t="str">
        <x:v>-6.00</x:v>
      </x:c>
      <x:c r="M2025" s="24" t="str">
        <x:v>0.75 a 3.50</x:v>
      </x:c>
      <x:c r="N2025" s="24" t="str">
        <x:v>75</x:v>
      </x:c>
      <x:c r="O2025" s="24"/>
      <x:c r="P2025" s="24"/>
      <x:c r="Q2025" s="24" t="str">
        <x:v>DISPONÍVEL</x:v>
      </x:c>
      <x:c r="R2025" s="24" t="str">
        <x:v>Programa de Parcerias ZEISS — categoria Experts; Programa de Parcerias ZEISS</x:v>
      </x:c>
      <x:c r="S2025" s="24" t="n">
        <x:v>33</x:v>
      </x:c>
      <x:c r="T2025" s="24" t="str">
        <x:v>tabela_zeiss.pdf</x:v>
      </x:c>
      <x:c r="U2025" s="24" t="str">
        <x:v>ZEISS|Progressiva|Surfaçada|ClearMind Superb|PhotoFusion X|1.6|1.60|DuraVision Gold UV|-7.25 a +6.00|-6.00|0.75 a 3.50|75|||33</x:v>
      </x:c>
    </x:row>
    <x:row r="2026">
      <x:c r="A2026" s="24" t="str">
        <x:v>ZS-64E1480A2C1B</x:v>
      </x:c>
      <x:c r="B2026" s="24" t="str">
        <x:v>ZEISS</x:v>
      </x:c>
      <x:c r="C2026" s="24" t="str">
        <x:v>Progressiva</x:v>
      </x:c>
      <x:c r="D2026" s="24" t="str">
        <x:v>Surfaçada</x:v>
      </x:c>
      <x:c r="E2026" s="24" t="str">
        <x:v>ClearMind Superb</x:v>
      </x:c>
      <x:c r="F2026" s="24" t="str">
        <x:v>PhotoFusion X</x:v>
      </x:c>
      <x:c r="G2026" s="24" t="str">
        <x:v>1.6</x:v>
      </x:c>
      <x:c r="H2026" s="24" t="str">
        <x:v>1.60</x:v>
      </x:c>
      <x:c r="I2026" s="24" t="str">
        <x:v>DURAVISION® ANTIVÍRUS PLATINUM UV</x:v>
      </x:c>
      <x:c r="J2026" s="40" t="n">
        <x:v>10589</x:v>
      </x:c>
      <x:c r="K2026" s="24" t="str">
        <x:v>-7.25 a +6.00</x:v>
      </x:c>
      <x:c r="L2026" s="24" t="str">
        <x:v>-6.00</x:v>
      </x:c>
      <x:c r="M2026" s="24" t="str">
        <x:v>0.75 a 3.50</x:v>
      </x:c>
      <x:c r="N2026" s="24" t="str">
        <x:v>75</x:v>
      </x:c>
      <x:c r="O2026" s="24"/>
      <x:c r="P2026" s="24"/>
      <x:c r="Q2026" s="24" t="str">
        <x:v>DISPONÍVEL</x:v>
      </x:c>
      <x:c r="R2026" s="24" t="str">
        <x:v>Programa de Parcerias ZEISS — categoria Experts; Programa de Parcerias ZEISS</x:v>
      </x:c>
      <x:c r="S2026" s="24" t="n">
        <x:v>33</x:v>
      </x:c>
      <x:c r="T2026" s="24" t="str">
        <x:v>tabela_zeiss.pdf</x:v>
      </x:c>
      <x:c r="U2026" s="24" t="str">
        <x:v>ZEISS|Progressiva|Surfaçada|ClearMind Superb|PhotoFusion X|1.6|1.60|DURAVISION® ANTIVÍRUS PLATINUM UV|-7.25 a +6.00|-6.00|0.75 a 3.50|75|||33</x:v>
      </x:c>
    </x:row>
    <x:row r="2027">
      <x:c r="A2027" s="24" t="str">
        <x:v>ZS-49664453B91A</x:v>
      </x:c>
      <x:c r="B2027" s="24" t="str">
        <x:v>ZEISS</x:v>
      </x:c>
      <x:c r="C2027" s="24" t="str">
        <x:v>Progressiva</x:v>
      </x:c>
      <x:c r="D2027" s="24" t="str">
        <x:v>Surfaçada</x:v>
      </x:c>
      <x:c r="E2027" s="24" t="str">
        <x:v>ClearMind Superb</x:v>
      </x:c>
      <x:c r="F2027" s="24" t="str">
        <x:v>PhotoFusion X</x:v>
      </x:c>
      <x:c r="G2027" s="24" t="str">
        <x:v>1.6</x:v>
      </x:c>
      <x:c r="H2027" s="24" t="str">
        <x:v>1.60</x:v>
      </x:c>
      <x:c r="I2027" s="24" t="str">
        <x:v>DuraVision Platinum UV</x:v>
      </x:c>
      <x:c r="J2027" s="40" t="n">
        <x:v>10589</x:v>
      </x:c>
      <x:c r="K2027" s="24" t="str">
        <x:v>-7.25 a +6.00</x:v>
      </x:c>
      <x:c r="L2027" s="24" t="str">
        <x:v>-6.00</x:v>
      </x:c>
      <x:c r="M2027" s="24" t="str">
        <x:v>0.75 a 3.50</x:v>
      </x:c>
      <x:c r="N2027" s="24" t="str">
        <x:v>75</x:v>
      </x:c>
      <x:c r="O2027" s="24"/>
      <x:c r="P2027" s="24"/>
      <x:c r="Q2027" s="24" t="str">
        <x:v>DISPONÍVEL</x:v>
      </x:c>
      <x:c r="R2027" s="24" t="str">
        <x:v>Programa de Parcerias ZEISS — categoria Experts; Programa de Parcerias ZEISS</x:v>
      </x:c>
      <x:c r="S2027" s="24" t="n">
        <x:v>33</x:v>
      </x:c>
      <x:c r="T2027" s="24" t="str">
        <x:v>tabela_zeiss.pdf</x:v>
      </x:c>
      <x:c r="U2027" s="24" t="str">
        <x:v>ZEISS|Progressiva|Surfaçada|ClearMind Superb|PhotoFusion X|1.6|1.60|DuraVision Platinum UV|-7.25 a +6.00|-6.00|0.75 a 3.50|75|||33</x:v>
      </x:c>
    </x:row>
    <x:row r="2028">
      <x:c r="A2028" s="24" t="str">
        <x:v>ZS-DD2BD355569B</x:v>
      </x:c>
      <x:c r="B2028" s="24" t="str">
        <x:v>ZEISS</x:v>
      </x:c>
      <x:c r="C2028" s="24" t="str">
        <x:v>Progressiva</x:v>
      </x:c>
      <x:c r="D2028" s="24" t="str">
        <x:v>Surfaçada</x:v>
      </x:c>
      <x:c r="E2028" s="24" t="str">
        <x:v>ClearMind Superb</x:v>
      </x:c>
      <x:c r="F2028" s="24" t="str">
        <x:v>PhotoFusion X</x:v>
      </x:c>
      <x:c r="G2028" s="24" t="str">
        <x:v>1.6</x:v>
      </x:c>
      <x:c r="H2028" s="24" t="str">
        <x:v>1.60</x:v>
      </x:c>
      <x:c r="I2028" s="24" t="str">
        <x:v>DuraVision Silver UV</x:v>
      </x:c>
      <x:c r="J2028" s="40" t="n">
        <x:v>10329</x:v>
      </x:c>
      <x:c r="K2028" s="24" t="str">
        <x:v>-7.25 a +6.00</x:v>
      </x:c>
      <x:c r="L2028" s="24" t="str">
        <x:v>-6.00</x:v>
      </x:c>
      <x:c r="M2028" s="24" t="str">
        <x:v>0.75 a 3.50</x:v>
      </x:c>
      <x:c r="N2028" s="24" t="str">
        <x:v>75</x:v>
      </x:c>
      <x:c r="O2028" s="24"/>
      <x:c r="P2028" s="24"/>
      <x:c r="Q2028" s="24" t="str">
        <x:v>DISPONÍVEL</x:v>
      </x:c>
      <x:c r="R2028" s="24" t="str">
        <x:v>Programa de Parcerias ZEISS — categoria Experts; Programa de Parcerias ZEISS</x:v>
      </x:c>
      <x:c r="S2028" s="24" t="n">
        <x:v>33</x:v>
      </x:c>
      <x:c r="T2028" s="24" t="str">
        <x:v>tabela_zeiss.pdf</x:v>
      </x:c>
      <x:c r="U2028" s="24" t="str">
        <x:v>ZEISS|Progressiva|Surfaçada|ClearMind Superb|PhotoFusion X|1.6|1.60|DuraVision Silver UV|-7.25 a +6.00|-6.00|0.75 a 3.50|75|||33</x:v>
      </x:c>
    </x:row>
    <x:row r="2029">
      <x:c r="A2029" s="24" t="str">
        <x:v>ZS-094A1288CE79</x:v>
      </x:c>
      <x:c r="B2029" s="24" t="str">
        <x:v>ZEISS</x:v>
      </x:c>
      <x:c r="C2029" s="24" t="str">
        <x:v>Progressiva</x:v>
      </x:c>
      <x:c r="D2029" s="24" t="str">
        <x:v>Surfaçada</x:v>
      </x:c>
      <x:c r="E2029" s="24" t="str">
        <x:v>ClearMind Superb</x:v>
      </x:c>
      <x:c r="F2029" s="24" t="str">
        <x:v>PhotoFusion X</x:v>
      </x:c>
      <x:c r="G2029" s="24" t="str">
        <x:v>1.6</x:v>
      </x:c>
      <x:c r="H2029" s="24" t="str">
        <x:v>1.60</x:v>
      </x:c>
      <x:c r="I2029" s="24" t="str">
        <x:v>DuraVision Chrome UV</x:v>
      </x:c>
      <x:c r="J2029" s="40" t="n">
        <x:v>9839</x:v>
      </x:c>
      <x:c r="K2029" s="24" t="str">
        <x:v>-7.25 a +6.00</x:v>
      </x:c>
      <x:c r="L2029" s="24" t="str">
        <x:v>-6.00</x:v>
      </x:c>
      <x:c r="M2029" s="24" t="str">
        <x:v>0.75 a 3.50</x:v>
      </x:c>
      <x:c r="N2029" s="24" t="str">
        <x:v>75</x:v>
      </x:c>
      <x:c r="O2029" s="24"/>
      <x:c r="P2029" s="24"/>
      <x:c r="Q2029" s="24" t="str">
        <x:v>DISPONÍVEL</x:v>
      </x:c>
      <x:c r="R2029" s="24" t="str">
        <x:v>Programa de Parcerias ZEISS — categoria Experts; Programa de Parcerias ZEISS</x:v>
      </x:c>
      <x:c r="S2029" s="24" t="n">
        <x:v>33</x:v>
      </x:c>
      <x:c r="T2029" s="24" t="str">
        <x:v>tabela_zeiss.pdf</x:v>
      </x:c>
      <x:c r="U2029" s="24" t="str">
        <x:v>ZEISS|Progressiva|Surfaçada|ClearMind Superb|PhotoFusion X|1.6|1.60|DuraVision Chrome UV|-7.25 a +6.00|-6.00|0.75 a 3.50|75|||33</x:v>
      </x:c>
    </x:row>
    <x:row r="2030">
      <x:c r="A2030" s="24" t="str">
        <x:v>ZS-C80283636B07</x:v>
      </x:c>
      <x:c r="B2030" s="24" t="str">
        <x:v>ZEISS</x:v>
      </x:c>
      <x:c r="C2030" s="24" t="str">
        <x:v>Progressiva</x:v>
      </x:c>
      <x:c r="D2030" s="24" t="str">
        <x:v>Surfaçada</x:v>
      </x:c>
      <x:c r="E2030" s="24" t="str">
        <x:v>ClearMind Superb</x:v>
      </x:c>
      <x:c r="F2030" s="24" t="str">
        <x:v>PhotoFusion X</x:v>
      </x:c>
      <x:c r="G2030" s="24" t="str">
        <x:v>1.67</x:v>
      </x:c>
      <x:c r="H2030" s="24" t="str">
        <x:v>1.67</x:v>
      </x:c>
      <x:c r="I2030" s="24" t="str">
        <x:v>DuraVision Gold UV</x:v>
      </x:c>
      <x:c r="J2030" s="40" t="n">
        <x:v>12369</x:v>
      </x:c>
      <x:c r="K2030" s="24" t="str">
        <x:v>-8.00 a +8.00</x:v>
      </x:c>
      <x:c r="L2030" s="24" t="str">
        <x:v>-4.00</x:v>
      </x:c>
      <x:c r="M2030" s="24" t="str">
        <x:v>0.75 a 3.00</x:v>
      </x:c>
      <x:c r="N2030" s="24" t="str">
        <x:v>70</x:v>
      </x:c>
      <x:c r="O2030" s="24"/>
      <x:c r="P2030" s="24"/>
      <x:c r="Q2030" s="24" t="str">
        <x:v>DISPONÍVEL</x:v>
      </x:c>
      <x:c r="R2030" s="24" t="str">
        <x:v>Programa de Parcerias ZEISS — categoria Experts; Programa de Parcerias ZEISS</x:v>
      </x:c>
      <x:c r="S2030" s="24" t="n">
        <x:v>33</x:v>
      </x:c>
      <x:c r="T2030" s="24" t="str">
        <x:v>tabela_zeiss.pdf</x:v>
      </x:c>
      <x:c r="U2030" s="24" t="str">
        <x:v>ZEISS|Progressiva|Surfaçada|ClearMind Superb|PhotoFusion X|1.67|1.67|DuraVision Gold UV|-8.00 a +8.00|-4.00|0.75 a 3.00|70|||33</x:v>
      </x:c>
    </x:row>
    <x:row r="2031">
      <x:c r="A2031" s="24" t="str">
        <x:v>ZS-B04891C2519C</x:v>
      </x:c>
      <x:c r="B2031" s="24" t="str">
        <x:v>ZEISS</x:v>
      </x:c>
      <x:c r="C2031" s="24" t="str">
        <x:v>Progressiva</x:v>
      </x:c>
      <x:c r="D2031" s="24" t="str">
        <x:v>Surfaçada</x:v>
      </x:c>
      <x:c r="E2031" s="24" t="str">
        <x:v>ClearMind Superb</x:v>
      </x:c>
      <x:c r="F2031" s="24" t="str">
        <x:v>PhotoFusion X</x:v>
      </x:c>
      <x:c r="G2031" s="24" t="str">
        <x:v>1.67</x:v>
      </x:c>
      <x:c r="H2031" s="24" t="str">
        <x:v>1.67</x:v>
      </x:c>
      <x:c r="I2031" s="24" t="str">
        <x:v>DURAVISION® ANTIVÍRUS PLATINUM UV</x:v>
      </x:c>
      <x:c r="J2031" s="40" t="n">
        <x:v>12229</x:v>
      </x:c>
      <x:c r="K2031" s="24" t="str">
        <x:v>-8.00 a +8.00</x:v>
      </x:c>
      <x:c r="L2031" s="24" t="str">
        <x:v>-4.00</x:v>
      </x:c>
      <x:c r="M2031" s="24" t="str">
        <x:v>0.75 a 3.00</x:v>
      </x:c>
      <x:c r="N2031" s="24" t="str">
        <x:v>70</x:v>
      </x:c>
      <x:c r="O2031" s="24"/>
      <x:c r="P2031" s="24"/>
      <x:c r="Q2031" s="24" t="str">
        <x:v>DISPONÍVEL</x:v>
      </x:c>
      <x:c r="R2031" s="24" t="str">
        <x:v>Programa de Parcerias ZEISS — categoria Experts; Programa de Parcerias ZEISS</x:v>
      </x:c>
      <x:c r="S2031" s="24" t="n">
        <x:v>33</x:v>
      </x:c>
      <x:c r="T2031" s="24" t="str">
        <x:v>tabela_zeiss.pdf</x:v>
      </x:c>
      <x:c r="U2031" s="24" t="str">
        <x:v>ZEISS|Progressiva|Surfaçada|ClearMind Superb|PhotoFusion X|1.67|1.67|DURAVISION® ANTIVÍRUS PLATINUM UV|-8.00 a +8.00|-4.00|0.75 a 3.00|70|||33</x:v>
      </x:c>
    </x:row>
    <x:row r="2032">
      <x:c r="A2032" s="24" t="str">
        <x:v>ZS-1432678C78B9</x:v>
      </x:c>
      <x:c r="B2032" s="24" t="str">
        <x:v>ZEISS</x:v>
      </x:c>
      <x:c r="C2032" s="24" t="str">
        <x:v>Progressiva</x:v>
      </x:c>
      <x:c r="D2032" s="24" t="str">
        <x:v>Surfaçada</x:v>
      </x:c>
      <x:c r="E2032" s="24" t="str">
        <x:v>ClearMind Superb</x:v>
      </x:c>
      <x:c r="F2032" s="24" t="str">
        <x:v>PhotoFusion X</x:v>
      </x:c>
      <x:c r="G2032" s="24" t="str">
        <x:v>1.67</x:v>
      </x:c>
      <x:c r="H2032" s="24" t="str">
        <x:v>1.67</x:v>
      </x:c>
      <x:c r="I2032" s="24" t="str">
        <x:v>DuraVision Platinum UV</x:v>
      </x:c>
      <x:c r="J2032" s="40" t="n">
        <x:v>12229</x:v>
      </x:c>
      <x:c r="K2032" s="24" t="str">
        <x:v>-8.00 a +8.00</x:v>
      </x:c>
      <x:c r="L2032" s="24" t="str">
        <x:v>-4.00</x:v>
      </x:c>
      <x:c r="M2032" s="24" t="str">
        <x:v>0.75 a 3.00</x:v>
      </x:c>
      <x:c r="N2032" s="24" t="str">
        <x:v>70</x:v>
      </x:c>
      <x:c r="O2032" s="24"/>
      <x:c r="P2032" s="24"/>
      <x:c r="Q2032" s="24" t="str">
        <x:v>DISPONÍVEL</x:v>
      </x:c>
      <x:c r="R2032" s="24" t="str">
        <x:v>Programa de Parcerias ZEISS — categoria Experts; Programa de Parcerias ZEISS</x:v>
      </x:c>
      <x:c r="S2032" s="24" t="n">
        <x:v>33</x:v>
      </x:c>
      <x:c r="T2032" s="24" t="str">
        <x:v>tabela_zeiss.pdf</x:v>
      </x:c>
      <x:c r="U2032" s="24" t="str">
        <x:v>ZEISS|Progressiva|Surfaçada|ClearMind Superb|PhotoFusion X|1.67|1.67|DuraVision Platinum UV|-8.00 a +8.00|-4.00|0.75 a 3.00|70|||33</x:v>
      </x:c>
    </x:row>
    <x:row r="2033">
      <x:c r="A2033" s="24" t="str">
        <x:v>ZS-69BC4E47006B</x:v>
      </x:c>
      <x:c r="B2033" s="24" t="str">
        <x:v>ZEISS</x:v>
      </x:c>
      <x:c r="C2033" s="24" t="str">
        <x:v>Progressiva</x:v>
      </x:c>
      <x:c r="D2033" s="24" t="str">
        <x:v>Surfaçada</x:v>
      </x:c>
      <x:c r="E2033" s="24" t="str">
        <x:v>ClearMind Superb</x:v>
      </x:c>
      <x:c r="F2033" s="24" t="str">
        <x:v>PhotoFusion X</x:v>
      </x:c>
      <x:c r="G2033" s="24" t="str">
        <x:v>1.67</x:v>
      </x:c>
      <x:c r="H2033" s="24" t="str">
        <x:v>1.67</x:v>
      </x:c>
      <x:c r="I2033" s="24" t="str">
        <x:v>DuraVision Silver UV</x:v>
      </x:c>
      <x:c r="J2033" s="40" t="n">
        <x:v>11969</x:v>
      </x:c>
      <x:c r="K2033" s="24" t="str">
        <x:v>-8.00 a +8.00</x:v>
      </x:c>
      <x:c r="L2033" s="24" t="str">
        <x:v>-4.00</x:v>
      </x:c>
      <x:c r="M2033" s="24" t="str">
        <x:v>0.75 a 3.00</x:v>
      </x:c>
      <x:c r="N2033" s="24" t="str">
        <x:v>70</x:v>
      </x:c>
      <x:c r="O2033" s="24"/>
      <x:c r="P2033" s="24"/>
      <x:c r="Q2033" s="24" t="str">
        <x:v>DISPONÍVEL</x:v>
      </x:c>
      <x:c r="R2033" s="24" t="str">
        <x:v>Programa de Parcerias ZEISS — categoria Experts; Programa de Parcerias ZEISS</x:v>
      </x:c>
      <x:c r="S2033" s="24" t="n">
        <x:v>33</x:v>
      </x:c>
      <x:c r="T2033" s="24" t="str">
        <x:v>tabela_zeiss.pdf</x:v>
      </x:c>
      <x:c r="U2033" s="24" t="str">
        <x:v>ZEISS|Progressiva|Surfaçada|ClearMind Superb|PhotoFusion X|1.67|1.67|DuraVision Silver UV|-8.00 a +8.00|-4.00|0.75 a 3.00|70|||33</x:v>
      </x:c>
    </x:row>
    <x:row r="2034">
      <x:c r="A2034" s="24" t="str">
        <x:v>ZS-5422132E448C</x:v>
      </x:c>
      <x:c r="B2034" s="24" t="str">
        <x:v>ZEISS</x:v>
      </x:c>
      <x:c r="C2034" s="24" t="str">
        <x:v>Progressiva</x:v>
      </x:c>
      <x:c r="D2034" s="24" t="str">
        <x:v>Surfaçada</x:v>
      </x:c>
      <x:c r="E2034" s="24" t="str">
        <x:v>ClearMind Superb</x:v>
      </x:c>
      <x:c r="F2034" s="24" t="str">
        <x:v>PhotoFusion X</x:v>
      </x:c>
      <x:c r="G2034" s="24" t="str">
        <x:v>1.67</x:v>
      </x:c>
      <x:c r="H2034" s="24" t="str">
        <x:v>1.67</x:v>
      </x:c>
      <x:c r="I2034" s="24" t="str">
        <x:v>DuraVision Chrome UV</x:v>
      </x:c>
      <x:c r="J2034" s="40" t="n">
        <x:v>11479</x:v>
      </x:c>
      <x:c r="K2034" s="24" t="str">
        <x:v>-8.00 a +8.00</x:v>
      </x:c>
      <x:c r="L2034" s="24" t="str">
        <x:v>-4.00</x:v>
      </x:c>
      <x:c r="M2034" s="24" t="str">
        <x:v>0.75 a 3.00</x:v>
      </x:c>
      <x:c r="N2034" s="24" t="str">
        <x:v>70</x:v>
      </x:c>
      <x:c r="O2034" s="24"/>
      <x:c r="P2034" s="24"/>
      <x:c r="Q2034" s="24" t="str">
        <x:v>DISPONÍVEL</x:v>
      </x:c>
      <x:c r="R2034" s="24" t="str">
        <x:v>Programa de Parcerias ZEISS — categoria Experts; Programa de Parcerias ZEISS</x:v>
      </x:c>
      <x:c r="S2034" s="24" t="n">
        <x:v>33</x:v>
      </x:c>
      <x:c r="T2034" s="24" t="str">
        <x:v>tabela_zeiss.pdf</x:v>
      </x:c>
      <x:c r="U2034" s="24" t="str">
        <x:v>ZEISS|Progressiva|Surfaçada|ClearMind Superb|PhotoFusion X|1.67|1.67|DuraVision Chrome UV|-8.00 a +8.00|-4.00|0.75 a 3.00|70|||33</x:v>
      </x:c>
    </x:row>
    <x:row r="2035">
      <x:c r="A2035" s="24" t="str">
        <x:v>ZS-7C292C03E7DB</x:v>
      </x:c>
      <x:c r="B2035" s="24" t="str">
        <x:v>ZEISS</x:v>
      </x:c>
      <x:c r="C2035" s="24" t="str">
        <x:v>Progressiva</x:v>
      </x:c>
      <x:c r="D2035" s="24" t="str">
        <x:v>Surfaçada</x:v>
      </x:c>
      <x:c r="E2035" s="24" t="str">
        <x:v>ClearMind Superb</x:v>
      </x:c>
      <x:c r="F2035" s="24" t="str">
        <x:v>PhotoFusion X Extra Dark Cinza</x:v>
      </x:c>
      <x:c r="G2035" s="24" t="str">
        <x:v>1.5</x:v>
      </x:c>
      <x:c r="H2035" s="24" t="str">
        <x:v>1.50</x:v>
      </x:c>
      <x:c r="I2035" s="24" t="str">
        <x:v>DuraVision Gold UV</x:v>
      </x:c>
      <x:c r="J2035" s="40" t="n">
        <x:v>9529</x:v>
      </x:c>
      <x:c r="K2035" s="24" t="str">
        <x:v>-6.00 a +5.50</x:v>
      </x:c>
      <x:c r="L2035" s="24" t="str">
        <x:v>-4.00</x:v>
      </x:c>
      <x:c r="M2035" s="24" t="str">
        <x:v>0.75 a 3.00</x:v>
      </x:c>
      <x:c r="N2035" s="24" t="str">
        <x:v>75</x:v>
      </x:c>
      <x:c r="O2035" s="24"/>
      <x:c r="P2035" s="24"/>
      <x:c r="Q2035" s="24" t="str">
        <x:v>DISPONÍVEL</x:v>
      </x:c>
      <x:c r="R2035" s="24" t="str">
        <x:v>Programa de Parcerias ZEISS — categoria Experts; Programa de Parcerias ZEISS</x:v>
      </x:c>
      <x:c r="S2035" s="24" t="n">
        <x:v>33</x:v>
      </x:c>
      <x:c r="T2035" s="24" t="str">
        <x:v>tabela_zeiss.pdf</x:v>
      </x:c>
      <x:c r="U2035" s="24" t="str">
        <x:v>ZEISS|Progressiva|Surfaçada|ClearMind Superb|PhotoFusion X Extra Dark Cinza|1.5|1.50|DuraVision Gold UV|-6.00 a +5.50|-4.00|0.75 a 3.00|75|||33</x:v>
      </x:c>
    </x:row>
    <x:row r="2036">
      <x:c r="A2036" s="24" t="str">
        <x:v>ZS-CBB69ECCA4A8</x:v>
      </x:c>
      <x:c r="B2036" s="24" t="str">
        <x:v>ZEISS</x:v>
      </x:c>
      <x:c r="C2036" s="24" t="str">
        <x:v>Progressiva</x:v>
      </x:c>
      <x:c r="D2036" s="24" t="str">
        <x:v>Surfaçada</x:v>
      </x:c>
      <x:c r="E2036" s="24" t="str">
        <x:v>ClearMind Superb</x:v>
      </x:c>
      <x:c r="F2036" s="24" t="str">
        <x:v>PhotoFusion X Extra Dark Cinza</x:v>
      </x:c>
      <x:c r="G2036" s="24" t="str">
        <x:v>1.5</x:v>
      </x:c>
      <x:c r="H2036" s="24" t="str">
        <x:v>1.50</x:v>
      </x:c>
      <x:c r="I2036" s="24" t="str">
        <x:v>DURAVISION® ANTIVÍRUS PLATINUM UV</x:v>
      </x:c>
      <x:c r="J2036" s="40" t="n">
        <x:v>9389</x:v>
      </x:c>
      <x:c r="K2036" s="24" t="str">
        <x:v>-6.00 a +5.50</x:v>
      </x:c>
      <x:c r="L2036" s="24" t="str">
        <x:v>-4.00</x:v>
      </x:c>
      <x:c r="M2036" s="24" t="str">
        <x:v>0.75 a 3.00</x:v>
      </x:c>
      <x:c r="N2036" s="24" t="str">
        <x:v>75</x:v>
      </x:c>
      <x:c r="O2036" s="24"/>
      <x:c r="P2036" s="24"/>
      <x:c r="Q2036" s="24" t="str">
        <x:v>DISPONÍVEL</x:v>
      </x:c>
      <x:c r="R2036" s="24" t="str">
        <x:v>Programa de Parcerias ZEISS — categoria Experts; Programa de Parcerias ZEISS</x:v>
      </x:c>
      <x:c r="S2036" s="24" t="n">
        <x:v>33</x:v>
      </x:c>
      <x:c r="T2036" s="24" t="str">
        <x:v>tabela_zeiss.pdf</x:v>
      </x:c>
      <x:c r="U2036" s="24" t="str">
        <x:v>ZEISS|Progressiva|Surfaçada|ClearMind Superb|PhotoFusion X Extra Dark Cinza|1.5|1.50|DURAVISION® ANTIVÍRUS PLATINUM UV|-6.00 a +5.50|-4.00|0.75 a 3.00|75|||33</x:v>
      </x:c>
    </x:row>
    <x:row r="2037">
      <x:c r="A2037" s="24" t="str">
        <x:v>ZS-28C57D313449</x:v>
      </x:c>
      <x:c r="B2037" s="24" t="str">
        <x:v>ZEISS</x:v>
      </x:c>
      <x:c r="C2037" s="24" t="str">
        <x:v>Progressiva</x:v>
      </x:c>
      <x:c r="D2037" s="24" t="str">
        <x:v>Surfaçada</x:v>
      </x:c>
      <x:c r="E2037" s="24" t="str">
        <x:v>ClearMind Superb</x:v>
      </x:c>
      <x:c r="F2037" s="24" t="str">
        <x:v>PhotoFusion X Extra Dark Cinza</x:v>
      </x:c>
      <x:c r="G2037" s="24" t="str">
        <x:v>1.5</x:v>
      </x:c>
      <x:c r="H2037" s="24" t="str">
        <x:v>1.50</x:v>
      </x:c>
      <x:c r="I2037" s="24" t="str">
        <x:v>DuraVision Platinum UV</x:v>
      </x:c>
      <x:c r="J2037" s="40" t="n">
        <x:v>9389</x:v>
      </x:c>
      <x:c r="K2037" s="24" t="str">
        <x:v>-6.00 a +5.50</x:v>
      </x:c>
      <x:c r="L2037" s="24" t="str">
        <x:v>-4.00</x:v>
      </x:c>
      <x:c r="M2037" s="24" t="str">
        <x:v>0.75 a 3.00</x:v>
      </x:c>
      <x:c r="N2037" s="24" t="str">
        <x:v>75</x:v>
      </x:c>
      <x:c r="O2037" s="24"/>
      <x:c r="P2037" s="24"/>
      <x:c r="Q2037" s="24" t="str">
        <x:v>DISPONÍVEL</x:v>
      </x:c>
      <x:c r="R2037" s="24" t="str">
        <x:v>Programa de Parcerias ZEISS — categoria Experts; Programa de Parcerias ZEISS</x:v>
      </x:c>
      <x:c r="S2037" s="24" t="n">
        <x:v>33</x:v>
      </x:c>
      <x:c r="T2037" s="24" t="str">
        <x:v>tabela_zeiss.pdf</x:v>
      </x:c>
      <x:c r="U2037" s="24" t="str">
        <x:v>ZEISS|Progressiva|Surfaçada|ClearMind Superb|PhotoFusion X Extra Dark Cinza|1.5|1.50|DuraVision Platinum UV|-6.00 a +5.50|-4.00|0.75 a 3.00|75|||33</x:v>
      </x:c>
    </x:row>
    <x:row r="2038">
      <x:c r="A2038" s="24" t="str">
        <x:v>ZS-9816071AE3F9</x:v>
      </x:c>
      <x:c r="B2038" s="24" t="str">
        <x:v>ZEISS</x:v>
      </x:c>
      <x:c r="C2038" s="24" t="str">
        <x:v>Progressiva</x:v>
      </x:c>
      <x:c r="D2038" s="24" t="str">
        <x:v>Surfaçada</x:v>
      </x:c>
      <x:c r="E2038" s="24" t="str">
        <x:v>ClearMind Superb</x:v>
      </x:c>
      <x:c r="F2038" s="24" t="str">
        <x:v>PhotoFusion X Extra Dark Cinza</x:v>
      </x:c>
      <x:c r="G2038" s="24" t="str">
        <x:v>1.5</x:v>
      </x:c>
      <x:c r="H2038" s="24" t="str">
        <x:v>1.50</x:v>
      </x:c>
      <x:c r="I2038" s="24" t="str">
        <x:v>DuraVision Silver UV</x:v>
      </x:c>
      <x:c r="J2038" s="40" t="n">
        <x:v>9129</x:v>
      </x:c>
      <x:c r="K2038" s="24" t="str">
        <x:v>-6.00 a +5.50</x:v>
      </x:c>
      <x:c r="L2038" s="24" t="str">
        <x:v>-4.00</x:v>
      </x:c>
      <x:c r="M2038" s="24" t="str">
        <x:v>0.75 a 3.00</x:v>
      </x:c>
      <x:c r="N2038" s="24" t="str">
        <x:v>75</x:v>
      </x:c>
      <x:c r="O2038" s="24"/>
      <x:c r="P2038" s="24"/>
      <x:c r="Q2038" s="24" t="str">
        <x:v>DISPONÍVEL</x:v>
      </x:c>
      <x:c r="R2038" s="24" t="str">
        <x:v>Programa de Parcerias ZEISS — categoria Experts; Programa de Parcerias ZEISS</x:v>
      </x:c>
      <x:c r="S2038" s="24" t="n">
        <x:v>33</x:v>
      </x:c>
      <x:c r="T2038" s="24" t="str">
        <x:v>tabela_zeiss.pdf</x:v>
      </x:c>
      <x:c r="U2038" s="24" t="str">
        <x:v>ZEISS|Progressiva|Surfaçada|ClearMind Superb|PhotoFusion X Extra Dark Cinza|1.5|1.50|DuraVision Silver UV|-6.00 a +5.50|-4.00|0.75 a 3.00|75|||33</x:v>
      </x:c>
    </x:row>
    <x:row r="2039">
      <x:c r="A2039" s="24" t="str">
        <x:v>ZS-C23BA255EF2A</x:v>
      </x:c>
      <x:c r="B2039" s="24" t="str">
        <x:v>ZEISS</x:v>
      </x:c>
      <x:c r="C2039" s="24" t="str">
        <x:v>Progressiva</x:v>
      </x:c>
      <x:c r="D2039" s="24" t="str">
        <x:v>Surfaçada</x:v>
      </x:c>
      <x:c r="E2039" s="24" t="str">
        <x:v>ClearMind Superb</x:v>
      </x:c>
      <x:c r="F2039" s="24" t="str">
        <x:v>PhotoFusion X Extra Dark Cinza</x:v>
      </x:c>
      <x:c r="G2039" s="24" t="str">
        <x:v>1.5</x:v>
      </x:c>
      <x:c r="H2039" s="24" t="str">
        <x:v>1.50</x:v>
      </x:c>
      <x:c r="I2039" s="24" t="str">
        <x:v>DuraVision Chrome UV</x:v>
      </x:c>
      <x:c r="J2039" s="40" t="n">
        <x:v>8639</x:v>
      </x:c>
      <x:c r="K2039" s="24" t="str">
        <x:v>-6.00 a +5.50</x:v>
      </x:c>
      <x:c r="L2039" s="24" t="str">
        <x:v>-4.00</x:v>
      </x:c>
      <x:c r="M2039" s="24" t="str">
        <x:v>0.75 a 3.00</x:v>
      </x:c>
      <x:c r="N2039" s="24" t="str">
        <x:v>75</x:v>
      </x:c>
      <x:c r="O2039" s="24"/>
      <x:c r="P2039" s="24"/>
      <x:c r="Q2039" s="24" t="str">
        <x:v>DISPONÍVEL</x:v>
      </x:c>
      <x:c r="R2039" s="24" t="str">
        <x:v>Programa de Parcerias ZEISS — categoria Experts; Programa de Parcerias ZEISS</x:v>
      </x:c>
      <x:c r="S2039" s="24" t="n">
        <x:v>33</x:v>
      </x:c>
      <x:c r="T2039" s="24" t="str">
        <x:v>tabela_zeiss.pdf</x:v>
      </x:c>
      <x:c r="U2039" s="24" t="str">
        <x:v>ZEISS|Progressiva|Surfaçada|ClearMind Superb|PhotoFusion X Extra Dark Cinza|1.5|1.50|DuraVision Chrome UV|-6.00 a +5.50|-4.00|0.75 a 3.00|75|||33</x:v>
      </x:c>
    </x:row>
    <x:row r="2040">
      <x:c r="A2040" s="24" t="str">
        <x:v>ZS-823B62A55DCB</x:v>
      </x:c>
      <x:c r="B2040" s="24" t="str">
        <x:v>ZEISS</x:v>
      </x:c>
      <x:c r="C2040" s="24" t="str">
        <x:v>Progressiva</x:v>
      </x:c>
      <x:c r="D2040" s="24" t="str">
        <x:v>Surfaçada</x:v>
      </x:c>
      <x:c r="E2040" s="24" t="str">
        <x:v>ClearMind Superb</x:v>
      </x:c>
      <x:c r="F2040" s="24" t="str">
        <x:v>PhotoFusion X Extra Dark Cinza</x:v>
      </x:c>
      <x:c r="G2040" s="24" t="str">
        <x:v>Poli</x:v>
      </x:c>
      <x:c r="H2040" s="24"/>
      <x:c r="I2040" s="24" t="str">
        <x:v>DuraVision Gold UV</x:v>
      </x:c>
      <x:c r="J2040" s="40" t="n">
        <x:v>10119</x:v>
      </x:c>
      <x:c r="K2040" s="24" t="str">
        <x:v>-10.00 a +6.00</x:v>
      </x:c>
      <x:c r="L2040" s="24" t="str">
        <x:v>-6.00</x:v>
      </x:c>
      <x:c r="M2040" s="24" t="str">
        <x:v>0.75 a 3.00</x:v>
      </x:c>
      <x:c r="N2040" s="24" t="str">
        <x:v>70</x:v>
      </x:c>
      <x:c r="O2040" s="24"/>
      <x:c r="P2040" s="24"/>
      <x:c r="Q2040" s="24" t="str">
        <x:v>DISPONÍVEL</x:v>
      </x:c>
      <x:c r="R2040" s="24" t="str">
        <x:v>Programa de Parcerias ZEISS — categoria Experts; Programa de Parcerias ZEISS</x:v>
      </x:c>
      <x:c r="S2040" s="24" t="n">
        <x:v>33</x:v>
      </x:c>
      <x:c r="T2040" s="24" t="str">
        <x:v>tabela_zeiss.pdf</x:v>
      </x:c>
      <x:c r="U2040" s="24" t="str">
        <x:v>ZEISS|Progressiva|Surfaçada|ClearMind Superb|PhotoFusion X Extra Dark Cinza|Poli||DuraVision Gold UV|-10.00 a +6.00|-6.00|0.75 a 3.00|70|||33</x:v>
      </x:c>
    </x:row>
    <x:row r="2041">
      <x:c r="A2041" s="24" t="str">
        <x:v>ZS-858F423EBB0D</x:v>
      </x:c>
      <x:c r="B2041" s="24" t="str">
        <x:v>ZEISS</x:v>
      </x:c>
      <x:c r="C2041" s="24" t="str">
        <x:v>Progressiva</x:v>
      </x:c>
      <x:c r="D2041" s="24" t="str">
        <x:v>Surfaçada</x:v>
      </x:c>
      <x:c r="E2041" s="24" t="str">
        <x:v>ClearMind Superb</x:v>
      </x:c>
      <x:c r="F2041" s="24" t="str">
        <x:v>PhotoFusion X Extra Dark Cinza</x:v>
      </x:c>
      <x:c r="G2041" s="24" t="str">
        <x:v>Poli</x:v>
      </x:c>
      <x:c r="H2041" s="24"/>
      <x:c r="I2041" s="24" t="str">
        <x:v>DuraVision Platinum UV</x:v>
      </x:c>
      <x:c r="J2041" s="40" t="n">
        <x:v>9979</x:v>
      </x:c>
      <x:c r="K2041" s="24" t="str">
        <x:v>-10.00 a +6.00</x:v>
      </x:c>
      <x:c r="L2041" s="24" t="str">
        <x:v>-6.00</x:v>
      </x:c>
      <x:c r="M2041" s="24" t="str">
        <x:v>0.75 a 3.00</x:v>
      </x:c>
      <x:c r="N2041" s="24" t="str">
        <x:v>70</x:v>
      </x:c>
      <x:c r="O2041" s="24"/>
      <x:c r="P2041" s="24"/>
      <x:c r="Q2041" s="24" t="str">
        <x:v>DISPONÍVEL</x:v>
      </x:c>
      <x:c r="R2041" s="24" t="str">
        <x:v>Programa de Parcerias ZEISS — categoria Experts; Programa de Parcerias ZEISS</x:v>
      </x:c>
      <x:c r="S2041" s="24" t="n">
        <x:v>33</x:v>
      </x:c>
      <x:c r="T2041" s="24" t="str">
        <x:v>tabela_zeiss.pdf</x:v>
      </x:c>
      <x:c r="U2041" s="24" t="str">
        <x:v>ZEISS|Progressiva|Surfaçada|ClearMind Superb|PhotoFusion X Extra Dark Cinza|Poli||DuraVision Platinum UV|-10.00 a +6.00|-6.00|0.75 a 3.00|70|||33</x:v>
      </x:c>
    </x:row>
    <x:row r="2042">
      <x:c r="A2042" s="24" t="str">
        <x:v>ZS-AA9007C29316</x:v>
      </x:c>
      <x:c r="B2042" s="24" t="str">
        <x:v>ZEISS</x:v>
      </x:c>
      <x:c r="C2042" s="24" t="str">
        <x:v>Progressiva</x:v>
      </x:c>
      <x:c r="D2042" s="24" t="str">
        <x:v>Surfaçada</x:v>
      </x:c>
      <x:c r="E2042" s="24" t="str">
        <x:v>ClearMind Superb</x:v>
      </x:c>
      <x:c r="F2042" s="24" t="str">
        <x:v>PhotoFusion X Extra Dark Cinza</x:v>
      </x:c>
      <x:c r="G2042" s="24" t="str">
        <x:v>Poli</x:v>
      </x:c>
      <x:c r="H2042" s="24"/>
      <x:c r="I2042" s="24" t="str">
        <x:v>DuraVision Silver UV</x:v>
      </x:c>
      <x:c r="J2042" s="40" t="n">
        <x:v>9719</x:v>
      </x:c>
      <x:c r="K2042" s="24" t="str">
        <x:v>-10.00 a +6.00</x:v>
      </x:c>
      <x:c r="L2042" s="24" t="str">
        <x:v>-6.00</x:v>
      </x:c>
      <x:c r="M2042" s="24" t="str">
        <x:v>0.75 a 3.00</x:v>
      </x:c>
      <x:c r="N2042" s="24" t="str">
        <x:v>70</x:v>
      </x:c>
      <x:c r="O2042" s="24"/>
      <x:c r="P2042" s="24"/>
      <x:c r="Q2042" s="24" t="str">
        <x:v>DISPONÍVEL</x:v>
      </x:c>
      <x:c r="R2042" s="24" t="str">
        <x:v>Programa de Parcerias ZEISS — categoria Experts; Programa de Parcerias ZEISS</x:v>
      </x:c>
      <x:c r="S2042" s="24" t="n">
        <x:v>33</x:v>
      </x:c>
      <x:c r="T2042" s="24" t="str">
        <x:v>tabela_zeiss.pdf</x:v>
      </x:c>
      <x:c r="U2042" s="24" t="str">
        <x:v>ZEISS|Progressiva|Surfaçada|ClearMind Superb|PhotoFusion X Extra Dark Cinza|Poli||DuraVision Silver UV|-10.00 a +6.00|-6.00|0.75 a 3.00|70|||33</x:v>
      </x:c>
    </x:row>
    <x:row r="2043">
      <x:c r="A2043" s="24" t="str">
        <x:v>ZS-0D2DFFEB2A2D</x:v>
      </x:c>
      <x:c r="B2043" s="24" t="str">
        <x:v>ZEISS</x:v>
      </x:c>
      <x:c r="C2043" s="24" t="str">
        <x:v>Progressiva</x:v>
      </x:c>
      <x:c r="D2043" s="24" t="str">
        <x:v>Surfaçada</x:v>
      </x:c>
      <x:c r="E2043" s="24" t="str">
        <x:v>ClearMind Superb</x:v>
      </x:c>
      <x:c r="F2043" s="24" t="str">
        <x:v>PhotoFusion X Extra Dark Cinza</x:v>
      </x:c>
      <x:c r="G2043" s="24" t="str">
        <x:v>Poli</x:v>
      </x:c>
      <x:c r="H2043" s="24"/>
      <x:c r="I2043" s="24" t="str">
        <x:v>DuraVision Chrome UV</x:v>
      </x:c>
      <x:c r="J2043" s="40" t="n">
        <x:v>9229</x:v>
      </x:c>
      <x:c r="K2043" s="24" t="str">
        <x:v>-10.00 a +6.00</x:v>
      </x:c>
      <x:c r="L2043" s="24" t="str">
        <x:v>-6.00</x:v>
      </x:c>
      <x:c r="M2043" s="24" t="str">
        <x:v>0.75 a 3.00</x:v>
      </x:c>
      <x:c r="N2043" s="24" t="str">
        <x:v>70</x:v>
      </x:c>
      <x:c r="O2043" s="24"/>
      <x:c r="P2043" s="24"/>
      <x:c r="Q2043" s="24" t="str">
        <x:v>DISPONÍVEL</x:v>
      </x:c>
      <x:c r="R2043" s="24" t="str">
        <x:v>Programa de Parcerias ZEISS — categoria Experts; Programa de Parcerias ZEISS</x:v>
      </x:c>
      <x:c r="S2043" s="24" t="n">
        <x:v>33</x:v>
      </x:c>
      <x:c r="T2043" s="24" t="str">
        <x:v>tabela_zeiss.pdf</x:v>
      </x:c>
      <x:c r="U2043" s="24" t="str">
        <x:v>ZEISS|Progressiva|Surfaçada|ClearMind Superb|PhotoFusion X Extra Dark Cinza|Poli||DuraVision Chrome UV|-10.00 a +6.00|-6.00|0.75 a 3.00|70|||33</x:v>
      </x:c>
    </x:row>
    <x:row r="2044">
      <x:c r="A2044" s="24" t="str">
        <x:v>ZS-5793807028D2</x:v>
      </x:c>
      <x:c r="B2044" s="24" t="str">
        <x:v>ZEISS</x:v>
      </x:c>
      <x:c r="C2044" s="24" t="str">
        <x:v>Progressiva</x:v>
      </x:c>
      <x:c r="D2044" s="24" t="str">
        <x:v>Surfaçada</x:v>
      </x:c>
      <x:c r="E2044" s="24" t="str">
        <x:v>ClearMind Superb</x:v>
      </x:c>
      <x:c r="F2044" s="24" t="str">
        <x:v>PhotoFusion X Extra Dark Cinza</x:v>
      </x:c>
      <x:c r="G2044" s="24" t="str">
        <x:v>1.6</x:v>
      </x:c>
      <x:c r="H2044" s="24" t="str">
        <x:v>1.60</x:v>
      </x:c>
      <x:c r="I2044" s="24" t="str">
        <x:v>DuraVision Gold UV</x:v>
      </x:c>
      <x:c r="J2044" s="40" t="n">
        <x:v>10779</x:v>
      </x:c>
      <x:c r="K2044" s="24" t="str">
        <x:v>-7.25 a +6.00</x:v>
      </x:c>
      <x:c r="L2044" s="24" t="str">
        <x:v>-6.00</x:v>
      </x:c>
      <x:c r="M2044" s="24" t="str">
        <x:v>0.75 a 3.50</x:v>
      </x:c>
      <x:c r="N2044" s="24" t="str">
        <x:v>75</x:v>
      </x:c>
      <x:c r="O2044" s="24"/>
      <x:c r="P2044" s="24"/>
      <x:c r="Q2044" s="24" t="str">
        <x:v>DISPONÍVEL</x:v>
      </x:c>
      <x:c r="R2044" s="24" t="str">
        <x:v>Programa de Parcerias ZEISS — categoria Experts; Programa de Parcerias ZEISS</x:v>
      </x:c>
      <x:c r="S2044" s="24" t="n">
        <x:v>33</x:v>
      </x:c>
      <x:c r="T2044" s="24" t="str">
        <x:v>tabela_zeiss.pdf</x:v>
      </x:c>
      <x:c r="U2044" s="24" t="str">
        <x:v>ZEISS|Progressiva|Surfaçada|ClearMind Superb|PhotoFusion X Extra Dark Cinza|1.6|1.60|DuraVision Gold UV|-7.25 a +6.00|-6.00|0.75 a 3.50|75|||33</x:v>
      </x:c>
    </x:row>
    <x:row r="2045">
      <x:c r="A2045" s="24" t="str">
        <x:v>ZS-5BF9FD9AEAFC</x:v>
      </x:c>
      <x:c r="B2045" s="24" t="str">
        <x:v>ZEISS</x:v>
      </x:c>
      <x:c r="C2045" s="24" t="str">
        <x:v>Progressiva</x:v>
      </x:c>
      <x:c r="D2045" s="24" t="str">
        <x:v>Surfaçada</x:v>
      </x:c>
      <x:c r="E2045" s="24" t="str">
        <x:v>ClearMind Superb</x:v>
      </x:c>
      <x:c r="F2045" s="24" t="str">
        <x:v>PhotoFusion X Extra Dark Cinza</x:v>
      </x:c>
      <x:c r="G2045" s="24" t="str">
        <x:v>1.6</x:v>
      </x:c>
      <x:c r="H2045" s="24" t="str">
        <x:v>1.60</x:v>
      </x:c>
      <x:c r="I2045" s="24" t="str">
        <x:v>DURAVISION® ANTIVÍRUS PLATINUM UV</x:v>
      </x:c>
      <x:c r="J2045" s="40" t="n">
        <x:v>10639</x:v>
      </x:c>
      <x:c r="K2045" s="24" t="str">
        <x:v>-7.25 a +6.00</x:v>
      </x:c>
      <x:c r="L2045" s="24" t="str">
        <x:v>-6.00</x:v>
      </x:c>
      <x:c r="M2045" s="24" t="str">
        <x:v>0.75 a 3.50</x:v>
      </x:c>
      <x:c r="N2045" s="24" t="str">
        <x:v>75</x:v>
      </x:c>
      <x:c r="O2045" s="24"/>
      <x:c r="P2045" s="24"/>
      <x:c r="Q2045" s="24" t="str">
        <x:v>DISPONÍVEL</x:v>
      </x:c>
      <x:c r="R2045" s="24" t="str">
        <x:v>Programa de Parcerias ZEISS — categoria Experts; Programa de Parcerias ZEISS</x:v>
      </x:c>
      <x:c r="S2045" s="24" t="n">
        <x:v>33</x:v>
      </x:c>
      <x:c r="T2045" s="24" t="str">
        <x:v>tabela_zeiss.pdf</x:v>
      </x:c>
      <x:c r="U2045" s="24" t="str">
        <x:v>ZEISS|Progressiva|Surfaçada|ClearMind Superb|PhotoFusion X Extra Dark Cinza|1.6|1.60|DURAVISION® ANTIVÍRUS PLATINUM UV|-7.25 a +6.00|-6.00|0.75 a 3.50|75|||33</x:v>
      </x:c>
    </x:row>
    <x:row r="2046">
      <x:c r="A2046" s="24" t="str">
        <x:v>ZS-BDF67142140F</x:v>
      </x:c>
      <x:c r="B2046" s="24" t="str">
        <x:v>ZEISS</x:v>
      </x:c>
      <x:c r="C2046" s="24" t="str">
        <x:v>Progressiva</x:v>
      </x:c>
      <x:c r="D2046" s="24" t="str">
        <x:v>Surfaçada</x:v>
      </x:c>
      <x:c r="E2046" s="24" t="str">
        <x:v>ClearMind Superb</x:v>
      </x:c>
      <x:c r="F2046" s="24" t="str">
        <x:v>PhotoFusion X Extra Dark Cinza</x:v>
      </x:c>
      <x:c r="G2046" s="24" t="str">
        <x:v>1.6</x:v>
      </x:c>
      <x:c r="H2046" s="24" t="str">
        <x:v>1.60</x:v>
      </x:c>
      <x:c r="I2046" s="24" t="str">
        <x:v>DuraVision Platinum UV</x:v>
      </x:c>
      <x:c r="J2046" s="40" t="n">
        <x:v>10639</x:v>
      </x:c>
      <x:c r="K2046" s="24" t="str">
        <x:v>-7.25 a +6.00</x:v>
      </x:c>
      <x:c r="L2046" s="24" t="str">
        <x:v>-6.00</x:v>
      </x:c>
      <x:c r="M2046" s="24" t="str">
        <x:v>0.75 a 3.50</x:v>
      </x:c>
      <x:c r="N2046" s="24" t="str">
        <x:v>75</x:v>
      </x:c>
      <x:c r="O2046" s="24"/>
      <x:c r="P2046" s="24"/>
      <x:c r="Q2046" s="24" t="str">
        <x:v>DISPONÍVEL</x:v>
      </x:c>
      <x:c r="R2046" s="24" t="str">
        <x:v>Programa de Parcerias ZEISS — categoria Experts; Programa de Parcerias ZEISS</x:v>
      </x:c>
      <x:c r="S2046" s="24" t="n">
        <x:v>33</x:v>
      </x:c>
      <x:c r="T2046" s="24" t="str">
        <x:v>tabela_zeiss.pdf</x:v>
      </x:c>
      <x:c r="U2046" s="24" t="str">
        <x:v>ZEISS|Progressiva|Surfaçada|ClearMind Superb|PhotoFusion X Extra Dark Cinza|1.6|1.60|DuraVision Platinum UV|-7.25 a +6.00|-6.00|0.75 a 3.50|75|||33</x:v>
      </x:c>
    </x:row>
    <x:row r="2047">
      <x:c r="A2047" s="24" t="str">
        <x:v>ZS-E0A8C4A2A267</x:v>
      </x:c>
      <x:c r="B2047" s="24" t="str">
        <x:v>ZEISS</x:v>
      </x:c>
      <x:c r="C2047" s="24" t="str">
        <x:v>Progressiva</x:v>
      </x:c>
      <x:c r="D2047" s="24" t="str">
        <x:v>Surfaçada</x:v>
      </x:c>
      <x:c r="E2047" s="24" t="str">
        <x:v>ClearMind Superb</x:v>
      </x:c>
      <x:c r="F2047" s="24" t="str">
        <x:v>PhotoFusion X Extra Dark Cinza</x:v>
      </x:c>
      <x:c r="G2047" s="24" t="str">
        <x:v>1.6</x:v>
      </x:c>
      <x:c r="H2047" s="24" t="str">
        <x:v>1.60</x:v>
      </x:c>
      <x:c r="I2047" s="24" t="str">
        <x:v>DuraVision Silver UV</x:v>
      </x:c>
      <x:c r="J2047" s="40" t="n">
        <x:v>10379</x:v>
      </x:c>
      <x:c r="K2047" s="24" t="str">
        <x:v>-7.25 a +6.00</x:v>
      </x:c>
      <x:c r="L2047" s="24" t="str">
        <x:v>-6.00</x:v>
      </x:c>
      <x:c r="M2047" s="24" t="str">
        <x:v>0.75 a 3.50</x:v>
      </x:c>
      <x:c r="N2047" s="24" t="str">
        <x:v>75</x:v>
      </x:c>
      <x:c r="O2047" s="24"/>
      <x:c r="P2047" s="24"/>
      <x:c r="Q2047" s="24" t="str">
        <x:v>DISPONÍVEL</x:v>
      </x:c>
      <x:c r="R2047" s="24" t="str">
        <x:v>Programa de Parcerias ZEISS — categoria Experts; Programa de Parcerias ZEISS</x:v>
      </x:c>
      <x:c r="S2047" s="24" t="n">
        <x:v>33</x:v>
      </x:c>
      <x:c r="T2047" s="24" t="str">
        <x:v>tabela_zeiss.pdf</x:v>
      </x:c>
      <x:c r="U2047" s="24" t="str">
        <x:v>ZEISS|Progressiva|Surfaçada|ClearMind Superb|PhotoFusion X Extra Dark Cinza|1.6|1.60|DuraVision Silver UV|-7.25 a +6.00|-6.00|0.75 a 3.50|75|||33</x:v>
      </x:c>
    </x:row>
    <x:row r="2048">
      <x:c r="A2048" s="24" t="str">
        <x:v>ZS-F25F0E187E78</x:v>
      </x:c>
      <x:c r="B2048" s="24" t="str">
        <x:v>ZEISS</x:v>
      </x:c>
      <x:c r="C2048" s="24" t="str">
        <x:v>Progressiva</x:v>
      </x:c>
      <x:c r="D2048" s="24" t="str">
        <x:v>Surfaçada</x:v>
      </x:c>
      <x:c r="E2048" s="24" t="str">
        <x:v>ClearMind Superb</x:v>
      </x:c>
      <x:c r="F2048" s="24" t="str">
        <x:v>PhotoFusion X Extra Dark Cinza</x:v>
      </x:c>
      <x:c r="G2048" s="24" t="str">
        <x:v>1.6</x:v>
      </x:c>
      <x:c r="H2048" s="24" t="str">
        <x:v>1.60</x:v>
      </x:c>
      <x:c r="I2048" s="24" t="str">
        <x:v>DuraVision Chrome UV</x:v>
      </x:c>
      <x:c r="J2048" s="40" t="n">
        <x:v>9889</x:v>
      </x:c>
      <x:c r="K2048" s="24" t="str">
        <x:v>-7.25 a +6.00</x:v>
      </x:c>
      <x:c r="L2048" s="24" t="str">
        <x:v>-6.00</x:v>
      </x:c>
      <x:c r="M2048" s="24" t="str">
        <x:v>0.75 a 3.50</x:v>
      </x:c>
      <x:c r="N2048" s="24" t="str">
        <x:v>75</x:v>
      </x:c>
      <x:c r="O2048" s="24"/>
      <x:c r="P2048" s="24"/>
      <x:c r="Q2048" s="24" t="str">
        <x:v>DISPONÍVEL</x:v>
      </x:c>
      <x:c r="R2048" s="24" t="str">
        <x:v>Programa de Parcerias ZEISS — categoria Experts; Programa de Parcerias ZEISS</x:v>
      </x:c>
      <x:c r="S2048" s="24" t="n">
        <x:v>33</x:v>
      </x:c>
      <x:c r="T2048" s="24" t="str">
        <x:v>tabela_zeiss.pdf</x:v>
      </x:c>
      <x:c r="U2048" s="24" t="str">
        <x:v>ZEISS|Progressiva|Surfaçada|ClearMind Superb|PhotoFusion X Extra Dark Cinza|1.6|1.60|DuraVision Chrome UV|-7.25 a +6.00|-6.00|0.75 a 3.50|75|||33</x:v>
      </x:c>
    </x:row>
    <x:row r="2049">
      <x:c r="A2049" s="24" t="str">
        <x:v>ZS-EA709177D25C</x:v>
      </x:c>
      <x:c r="B2049" s="24" t="str">
        <x:v>ZEISS</x:v>
      </x:c>
      <x:c r="C2049" s="24" t="str">
        <x:v>Progressiva</x:v>
      </x:c>
      <x:c r="D2049" s="24" t="str">
        <x:v>Surfaçada</x:v>
      </x:c>
      <x:c r="E2049" s="24" t="str">
        <x:v>ClearMind Superb</x:v>
      </x:c>
      <x:c r="F2049" s="24" t="str">
        <x:v>PhotoFusion X Extra Dark Cinza</x:v>
      </x:c>
      <x:c r="G2049" s="24" t="str">
        <x:v>1.67</x:v>
      </x:c>
      <x:c r="H2049" s="24" t="str">
        <x:v>1.67</x:v>
      </x:c>
      <x:c r="I2049" s="24" t="str">
        <x:v>DuraVision Gold UV</x:v>
      </x:c>
      <x:c r="J2049" s="40" t="n">
        <x:v>12419</x:v>
      </x:c>
      <x:c r="K2049" s="24" t="str">
        <x:v>-8.00 a +8.00</x:v>
      </x:c>
      <x:c r="L2049" s="24" t="str">
        <x:v>-4.00</x:v>
      </x:c>
      <x:c r="M2049" s="24" t="str">
        <x:v>0.75 a 3.00</x:v>
      </x:c>
      <x:c r="N2049" s="24" t="str">
        <x:v>70</x:v>
      </x:c>
      <x:c r="O2049" s="24"/>
      <x:c r="P2049" s="24"/>
      <x:c r="Q2049" s="24" t="str">
        <x:v>DISPONÍVEL</x:v>
      </x:c>
      <x:c r="R2049" s="24" t="str">
        <x:v>Programa de Parcerias ZEISS — categoria Experts; Programa de Parcerias ZEISS</x:v>
      </x:c>
      <x:c r="S2049" s="24" t="n">
        <x:v>33</x:v>
      </x:c>
      <x:c r="T2049" s="24" t="str">
        <x:v>tabela_zeiss.pdf</x:v>
      </x:c>
      <x:c r="U2049" s="24" t="str">
        <x:v>ZEISS|Progressiva|Surfaçada|ClearMind Superb|PhotoFusion X Extra Dark Cinza|1.67|1.67|DuraVision Gold UV|-8.00 a +8.00|-4.00|0.75 a 3.00|70|||33</x:v>
      </x:c>
    </x:row>
    <x:row r="2050">
      <x:c r="A2050" s="24" t="str">
        <x:v>ZS-4CD0EF579278</x:v>
      </x:c>
      <x:c r="B2050" s="24" t="str">
        <x:v>ZEISS</x:v>
      </x:c>
      <x:c r="C2050" s="24" t="str">
        <x:v>Progressiva</x:v>
      </x:c>
      <x:c r="D2050" s="24" t="str">
        <x:v>Surfaçada</x:v>
      </x:c>
      <x:c r="E2050" s="24" t="str">
        <x:v>ClearMind Superb</x:v>
      </x:c>
      <x:c r="F2050" s="24" t="str">
        <x:v>PhotoFusion X Extra Dark Cinza</x:v>
      </x:c>
      <x:c r="G2050" s="24" t="str">
        <x:v>1.67</x:v>
      </x:c>
      <x:c r="H2050" s="24" t="str">
        <x:v>1.67</x:v>
      </x:c>
      <x:c r="I2050" s="24" t="str">
        <x:v>DURAVISION® ANTIVÍRUS PLATINUM UV</x:v>
      </x:c>
      <x:c r="J2050" s="40" t="n">
        <x:v>12279</x:v>
      </x:c>
      <x:c r="K2050" s="24" t="str">
        <x:v>-8.00 a +8.00</x:v>
      </x:c>
      <x:c r="L2050" s="24" t="str">
        <x:v>-4.00</x:v>
      </x:c>
      <x:c r="M2050" s="24" t="str">
        <x:v>0.75 a 3.00</x:v>
      </x:c>
      <x:c r="N2050" s="24" t="str">
        <x:v>70</x:v>
      </x:c>
      <x:c r="O2050" s="24"/>
      <x:c r="P2050" s="24"/>
      <x:c r="Q2050" s="24" t="str">
        <x:v>DISPONÍVEL</x:v>
      </x:c>
      <x:c r="R2050" s="24" t="str">
        <x:v>Programa de Parcerias ZEISS — categoria Experts; Programa de Parcerias ZEISS</x:v>
      </x:c>
      <x:c r="S2050" s="24" t="n">
        <x:v>33</x:v>
      </x:c>
      <x:c r="T2050" s="24" t="str">
        <x:v>tabela_zeiss.pdf</x:v>
      </x:c>
      <x:c r="U2050" s="24" t="str">
        <x:v>ZEISS|Progressiva|Surfaçada|ClearMind Superb|PhotoFusion X Extra Dark Cinza|1.67|1.67|DURAVISION® ANTIVÍRUS PLATINUM UV|-8.00 a +8.00|-4.00|0.75 a 3.00|70|||33</x:v>
      </x:c>
    </x:row>
    <x:row r="2051">
      <x:c r="A2051" s="24" t="str">
        <x:v>ZS-FA823D0BA587</x:v>
      </x:c>
      <x:c r="B2051" s="24" t="str">
        <x:v>ZEISS</x:v>
      </x:c>
      <x:c r="C2051" s="24" t="str">
        <x:v>Progressiva</x:v>
      </x:c>
      <x:c r="D2051" s="24" t="str">
        <x:v>Surfaçada</x:v>
      </x:c>
      <x:c r="E2051" s="24" t="str">
        <x:v>ClearMind Superb</x:v>
      </x:c>
      <x:c r="F2051" s="24" t="str">
        <x:v>PhotoFusion X Extra Dark Cinza</x:v>
      </x:c>
      <x:c r="G2051" s="24" t="str">
        <x:v>1.67</x:v>
      </x:c>
      <x:c r="H2051" s="24" t="str">
        <x:v>1.67</x:v>
      </x:c>
      <x:c r="I2051" s="24" t="str">
        <x:v>DuraVision Platinum UV</x:v>
      </x:c>
      <x:c r="J2051" s="40" t="n">
        <x:v>12279</x:v>
      </x:c>
      <x:c r="K2051" s="24" t="str">
        <x:v>-8.00 a +8.00</x:v>
      </x:c>
      <x:c r="L2051" s="24" t="str">
        <x:v>-4.00</x:v>
      </x:c>
      <x:c r="M2051" s="24" t="str">
        <x:v>0.75 a 3.00</x:v>
      </x:c>
      <x:c r="N2051" s="24" t="str">
        <x:v>70</x:v>
      </x:c>
      <x:c r="O2051" s="24"/>
      <x:c r="P2051" s="24"/>
      <x:c r="Q2051" s="24" t="str">
        <x:v>DISPONÍVEL</x:v>
      </x:c>
      <x:c r="R2051" s="24" t="str">
        <x:v>Programa de Parcerias ZEISS — categoria Experts; Programa de Parcerias ZEISS</x:v>
      </x:c>
      <x:c r="S2051" s="24" t="n">
        <x:v>33</x:v>
      </x:c>
      <x:c r="T2051" s="24" t="str">
        <x:v>tabela_zeiss.pdf</x:v>
      </x:c>
      <x:c r="U2051" s="24" t="str">
        <x:v>ZEISS|Progressiva|Surfaçada|ClearMind Superb|PhotoFusion X Extra Dark Cinza|1.67|1.67|DuraVision Platinum UV|-8.00 a +8.00|-4.00|0.75 a 3.00|70|||33</x:v>
      </x:c>
    </x:row>
    <x:row r="2052">
      <x:c r="A2052" s="24" t="str">
        <x:v>ZS-5FAB06E72646</x:v>
      </x:c>
      <x:c r="B2052" s="24" t="str">
        <x:v>ZEISS</x:v>
      </x:c>
      <x:c r="C2052" s="24" t="str">
        <x:v>Progressiva</x:v>
      </x:c>
      <x:c r="D2052" s="24" t="str">
        <x:v>Surfaçada</x:v>
      </x:c>
      <x:c r="E2052" s="24" t="str">
        <x:v>ClearMind Superb</x:v>
      </x:c>
      <x:c r="F2052" s="24" t="str">
        <x:v>PhotoFusion X Extra Dark Cinza</x:v>
      </x:c>
      <x:c r="G2052" s="24" t="str">
        <x:v>1.67</x:v>
      </x:c>
      <x:c r="H2052" s="24" t="str">
        <x:v>1.67</x:v>
      </x:c>
      <x:c r="I2052" s="24" t="str">
        <x:v>DuraVision Silver UV</x:v>
      </x:c>
      <x:c r="J2052" s="40" t="n">
        <x:v>12019</x:v>
      </x:c>
      <x:c r="K2052" s="24" t="str">
        <x:v>-8.00 a +8.00</x:v>
      </x:c>
      <x:c r="L2052" s="24" t="str">
        <x:v>-4.00</x:v>
      </x:c>
      <x:c r="M2052" s="24" t="str">
        <x:v>0.75 a 3.00</x:v>
      </x:c>
      <x:c r="N2052" s="24" t="str">
        <x:v>70</x:v>
      </x:c>
      <x:c r="O2052" s="24"/>
      <x:c r="P2052" s="24"/>
      <x:c r="Q2052" s="24" t="str">
        <x:v>DISPONÍVEL</x:v>
      </x:c>
      <x:c r="R2052" s="24" t="str">
        <x:v>Programa de Parcerias ZEISS — categoria Experts; Programa de Parcerias ZEISS</x:v>
      </x:c>
      <x:c r="S2052" s="24" t="n">
        <x:v>33</x:v>
      </x:c>
      <x:c r="T2052" s="24" t="str">
        <x:v>tabela_zeiss.pdf</x:v>
      </x:c>
      <x:c r="U2052" s="24" t="str">
        <x:v>ZEISS|Progressiva|Surfaçada|ClearMind Superb|PhotoFusion X Extra Dark Cinza|1.67|1.67|DuraVision Silver UV|-8.00 a +8.00|-4.00|0.75 a 3.00|70|||33</x:v>
      </x:c>
    </x:row>
    <x:row r="2053">
      <x:c r="A2053" s="24" t="str">
        <x:v>ZS-3034DB7002DD</x:v>
      </x:c>
      <x:c r="B2053" s="24" t="str">
        <x:v>ZEISS</x:v>
      </x:c>
      <x:c r="C2053" s="24" t="str">
        <x:v>Progressiva</x:v>
      </x:c>
      <x:c r="D2053" s="24" t="str">
        <x:v>Surfaçada</x:v>
      </x:c>
      <x:c r="E2053" s="24" t="str">
        <x:v>ClearMind Superb</x:v>
      </x:c>
      <x:c r="F2053" s="24" t="str">
        <x:v>PhotoFusion X Extra Dark Cinza</x:v>
      </x:c>
      <x:c r="G2053" s="24" t="str">
        <x:v>1.67</x:v>
      </x:c>
      <x:c r="H2053" s="24" t="str">
        <x:v>1.67</x:v>
      </x:c>
      <x:c r="I2053" s="24" t="str">
        <x:v>DuraVision Chrome UV</x:v>
      </x:c>
      <x:c r="J2053" s="40" t="n">
        <x:v>11529</x:v>
      </x:c>
      <x:c r="K2053" s="24" t="str">
        <x:v>-8.00 a +8.00</x:v>
      </x:c>
      <x:c r="L2053" s="24" t="str">
        <x:v>-4.00</x:v>
      </x:c>
      <x:c r="M2053" s="24" t="str">
        <x:v>0.75 a 3.00</x:v>
      </x:c>
      <x:c r="N2053" s="24" t="str">
        <x:v>70</x:v>
      </x:c>
      <x:c r="O2053" s="24"/>
      <x:c r="P2053" s="24"/>
      <x:c r="Q2053" s="24" t="str">
        <x:v>DISPONÍVEL</x:v>
      </x:c>
      <x:c r="R2053" s="24" t="str">
        <x:v>Programa de Parcerias ZEISS — categoria Experts; Programa de Parcerias ZEISS</x:v>
      </x:c>
      <x:c r="S2053" s="24" t="n">
        <x:v>33</x:v>
      </x:c>
      <x:c r="T2053" s="24" t="str">
        <x:v>tabela_zeiss.pdf</x:v>
      </x:c>
      <x:c r="U2053" s="24" t="str">
        <x:v>ZEISS|Progressiva|Surfaçada|ClearMind Superb|PhotoFusion X Extra Dark Cinza|1.67|1.67|DuraVision Chrome UV|-8.00 a +8.00|-4.00|0.75 a 3.00|70|||33</x:v>
      </x:c>
    </x:row>
    <x:row r="2054">
      <x:c r="A2054" s="24" t="str">
        <x:v>ZS-0A725DFD8121</x:v>
      </x:c>
      <x:c r="B2054" s="24" t="str">
        <x:v>ZEISS</x:v>
      </x:c>
      <x:c r="C2054" s="24" t="str">
        <x:v>Progressiva</x:v>
      </x:c>
      <x:c r="D2054" s="24" t="str">
        <x:v>Surfaçada</x:v>
      </x:c>
      <x:c r="E2054" s="24" t="str">
        <x:v>ClearMind Superb</x:v>
      </x:c>
      <x:c r="F2054" s="24" t="str">
        <x:v>Polarizada</x:v>
      </x:c>
      <x:c r="G2054" s="24" t="str">
        <x:v>1.5</x:v>
      </x:c>
      <x:c r="H2054" s="24" t="str">
        <x:v>1.50</x:v>
      </x:c>
      <x:c r="I2054" s="24" t="str">
        <x:v>DuraVision Gold UV</x:v>
      </x:c>
      <x:c r="J2054" s="40" t="n">
        <x:v>8899</x:v>
      </x:c>
      <x:c r="K2054" s="24" t="str">
        <x:v>-6.00 a +6.00</x:v>
      </x:c>
      <x:c r="L2054" s="24" t="str">
        <x:v>-4.00</x:v>
      </x:c>
      <x:c r="M2054" s="24" t="str">
        <x:v>0.75 a 3.50</x:v>
      </x:c>
      <x:c r="N2054" s="24" t="str">
        <x:v>70</x:v>
      </x:c>
      <x:c r="O2054" s="24"/>
      <x:c r="P2054" s="24"/>
      <x:c r="Q2054" s="24" t="str">
        <x:v>DISPONÍVEL</x:v>
      </x:c>
      <x:c r="R2054" s="24" t="str">
        <x:v>Programa de Parcerias ZEISS — categoria Experts</x:v>
      </x:c>
      <x:c r="S2054" s="24" t="n">
        <x:v>33</x:v>
      </x:c>
      <x:c r="T2054" s="24" t="str">
        <x:v>tabela_zeiss.pdf</x:v>
      </x:c>
      <x:c r="U2054" s="24" t="str">
        <x:v>ZEISS|Progressiva|Surfaçada|ClearMind Superb|Polarizada|1.5|1.50|DuraVision Gold UV|-6.00 a +6.00|-4.00|0.75 a 3.50|70|||33</x:v>
      </x:c>
    </x:row>
    <x:row r="2055">
      <x:c r="A2055" s="24" t="str">
        <x:v>ZS-7E5E1E0E8F55</x:v>
      </x:c>
      <x:c r="B2055" s="24" t="str">
        <x:v>ZEISS</x:v>
      </x:c>
      <x:c r="C2055" s="24" t="str">
        <x:v>Progressiva</x:v>
      </x:c>
      <x:c r="D2055" s="24" t="str">
        <x:v>Surfaçada</x:v>
      </x:c>
      <x:c r="E2055" s="24" t="str">
        <x:v>ClearMind Superb</x:v>
      </x:c>
      <x:c r="F2055" s="24" t="str">
        <x:v>Polarizada</x:v>
      </x:c>
      <x:c r="G2055" s="24" t="str">
        <x:v>1.5</x:v>
      </x:c>
      <x:c r="H2055" s="24" t="str">
        <x:v>1.50</x:v>
      </x:c>
      <x:c r="I2055" s="24" t="str">
        <x:v>DuraVision Platinum UV</x:v>
      </x:c>
      <x:c r="J2055" s="40" t="n">
        <x:v>8759</x:v>
      </x:c>
      <x:c r="K2055" s="24" t="str">
        <x:v>-6.00 a +6.00</x:v>
      </x:c>
      <x:c r="L2055" s="24" t="str">
        <x:v>-4.00</x:v>
      </x:c>
      <x:c r="M2055" s="24" t="str">
        <x:v>0.75 a 3.50</x:v>
      </x:c>
      <x:c r="N2055" s="24" t="str">
        <x:v>70</x:v>
      </x:c>
      <x:c r="O2055" s="24"/>
      <x:c r="P2055" s="24"/>
      <x:c r="Q2055" s="24" t="str">
        <x:v>DISPONÍVEL</x:v>
      </x:c>
      <x:c r="R2055" s="24" t="str">
        <x:v>Programa de Parcerias ZEISS — categoria Experts</x:v>
      </x:c>
      <x:c r="S2055" s="24" t="n">
        <x:v>33</x:v>
      </x:c>
      <x:c r="T2055" s="24" t="str">
        <x:v>tabela_zeiss.pdf</x:v>
      </x:c>
      <x:c r="U2055" s="24" t="str">
        <x:v>ZEISS|Progressiva|Surfaçada|ClearMind Superb|Polarizada|1.5|1.50|DuraVision Platinum UV|-6.00 a +6.00|-4.00|0.75 a 3.50|70|||33</x:v>
      </x:c>
    </x:row>
    <x:row r="2056">
      <x:c r="A2056" s="24" t="str">
        <x:v>ZS-EBB3D0298811</x:v>
      </x:c>
      <x:c r="B2056" s="24" t="str">
        <x:v>ZEISS</x:v>
      </x:c>
      <x:c r="C2056" s="24" t="str">
        <x:v>Progressiva</x:v>
      </x:c>
      <x:c r="D2056" s="24" t="str">
        <x:v>Surfaçada</x:v>
      </x:c>
      <x:c r="E2056" s="24" t="str">
        <x:v>ClearMind Superb</x:v>
      </x:c>
      <x:c r="F2056" s="24" t="str">
        <x:v>Polarizada</x:v>
      </x:c>
      <x:c r="G2056" s="24" t="str">
        <x:v>1.5</x:v>
      </x:c>
      <x:c r="H2056" s="24" t="str">
        <x:v>1.50</x:v>
      </x:c>
      <x:c r="I2056" s="24" t="str">
        <x:v>DuraVision Silver UV</x:v>
      </x:c>
      <x:c r="J2056" s="40" t="n">
        <x:v>8499</x:v>
      </x:c>
      <x:c r="K2056" s="24" t="str">
        <x:v>-6.00 a +6.00</x:v>
      </x:c>
      <x:c r="L2056" s="24" t="str">
        <x:v>-4.00</x:v>
      </x:c>
      <x:c r="M2056" s="24" t="str">
        <x:v>0.75 a 3.50</x:v>
      </x:c>
      <x:c r="N2056" s="24" t="str">
        <x:v>70</x:v>
      </x:c>
      <x:c r="O2056" s="24"/>
      <x:c r="P2056" s="24"/>
      <x:c r="Q2056" s="24" t="str">
        <x:v>DISPONÍVEL</x:v>
      </x:c>
      <x:c r="R2056" s="24" t="str">
        <x:v>Programa de Parcerias ZEISS — categoria Experts</x:v>
      </x:c>
      <x:c r="S2056" s="24" t="n">
        <x:v>33</x:v>
      </x:c>
      <x:c r="T2056" s="24" t="str">
        <x:v>tabela_zeiss.pdf</x:v>
      </x:c>
      <x:c r="U2056" s="24" t="str">
        <x:v>ZEISS|Progressiva|Surfaçada|ClearMind Superb|Polarizada|1.5|1.50|DuraVision Silver UV|-6.00 a +6.00|-4.00|0.75 a 3.50|70|||33</x:v>
      </x:c>
    </x:row>
    <x:row r="2057">
      <x:c r="A2057" s="24" t="str">
        <x:v>ZS-B57013011D11</x:v>
      </x:c>
      <x:c r="B2057" s="24" t="str">
        <x:v>ZEISS</x:v>
      </x:c>
      <x:c r="C2057" s="24" t="str">
        <x:v>Progressiva</x:v>
      </x:c>
      <x:c r="D2057" s="24" t="str">
        <x:v>Surfaçada</x:v>
      </x:c>
      <x:c r="E2057" s="24" t="str">
        <x:v>ClearMind Superb</x:v>
      </x:c>
      <x:c r="F2057" s="24" t="str">
        <x:v>Polarizada</x:v>
      </x:c>
      <x:c r="G2057" s="24" t="str">
        <x:v>1.5</x:v>
      </x:c>
      <x:c r="H2057" s="24" t="str">
        <x:v>1.50</x:v>
      </x:c>
      <x:c r="I2057" s="24" t="str">
        <x:v>DuraVision Chrome UV</x:v>
      </x:c>
      <x:c r="J2057" s="40" t="n">
        <x:v>8009</x:v>
      </x:c>
      <x:c r="K2057" s="24" t="str">
        <x:v>-6.00 a +6.00</x:v>
      </x:c>
      <x:c r="L2057" s="24" t="str">
        <x:v>-4.00</x:v>
      </x:c>
      <x:c r="M2057" s="24" t="str">
        <x:v>0.75 a 3.50</x:v>
      </x:c>
      <x:c r="N2057" s="24" t="str">
        <x:v>70</x:v>
      </x:c>
      <x:c r="O2057" s="24"/>
      <x:c r="P2057" s="24"/>
      <x:c r="Q2057" s="24" t="str">
        <x:v>DISPONÍVEL</x:v>
      </x:c>
      <x:c r="R2057" s="24" t="str">
        <x:v>Programa de Parcerias ZEISS — categoria Experts</x:v>
      </x:c>
      <x:c r="S2057" s="24" t="n">
        <x:v>33</x:v>
      </x:c>
      <x:c r="T2057" s="24" t="str">
        <x:v>tabela_zeiss.pdf</x:v>
      </x:c>
      <x:c r="U2057" s="24" t="str">
        <x:v>ZEISS|Progressiva|Surfaçada|ClearMind Superb|Polarizada|1.5|1.50|DuraVision Chrome UV|-6.00 a +6.00|-4.00|0.75 a 3.50|70|||33</x:v>
      </x:c>
    </x:row>
    <x:row r="2058">
      <x:c r="A2058" s="24" t="str">
        <x:v>ZS-DBEA51BBA106</x:v>
      </x:c>
      <x:c r="B2058" s="24" t="str">
        <x:v>ZEISS</x:v>
      </x:c>
      <x:c r="C2058" s="24" t="str">
        <x:v>Progressiva</x:v>
      </x:c>
      <x:c r="D2058" s="24" t="str">
        <x:v>Surfaçada</x:v>
      </x:c>
      <x:c r="E2058" s="24" t="str">
        <x:v>ClearMind Superb</x:v>
      </x:c>
      <x:c r="F2058" s="24" t="str">
        <x:v>Polarizada</x:v>
      </x:c>
      <x:c r="G2058" s="24" t="str">
        <x:v>1.5</x:v>
      </x:c>
      <x:c r="H2058" s="24" t="str">
        <x:v>1.50</x:v>
      </x:c>
      <x:c r="I2058" s="24" t="str">
        <x:v>Sem AR</x:v>
      </x:c>
      <x:c r="J2058" s="40" t="n">
        <x:v>7609</x:v>
      </x:c>
      <x:c r="K2058" s="24" t="str">
        <x:v>-6.00 a +6.00</x:v>
      </x:c>
      <x:c r="L2058" s="24" t="str">
        <x:v>-4.00</x:v>
      </x:c>
      <x:c r="M2058" s="24" t="str">
        <x:v>0.75 a 3.50</x:v>
      </x:c>
      <x:c r="N2058" s="24" t="str">
        <x:v>70</x:v>
      </x:c>
      <x:c r="O2058" s="24"/>
      <x:c r="P2058" s="24"/>
      <x:c r="Q2058" s="24" t="str">
        <x:v>DISPONÍVEL</x:v>
      </x:c>
      <x:c r="R2058" s="24" t="str">
        <x:v>Programa de Parcerias ZEISS — categoria Experts</x:v>
      </x:c>
      <x:c r="S2058" s="24" t="n">
        <x:v>33</x:v>
      </x:c>
      <x:c r="T2058" s="24" t="str">
        <x:v>tabela_zeiss.pdf</x:v>
      </x:c>
      <x:c r="U2058" s="24" t="str">
        <x:v>ZEISS|Progressiva|Surfaçada|ClearMind Superb|Polarizada|1.5|1.50|Sem AR|-6.00 a +6.00|-4.00|0.75 a 3.50|70|||33</x:v>
      </x:c>
    </x:row>
    <x:row r="2059">
      <x:c r="A2059" s="24" t="str">
        <x:v>ZS-79093794FD74</x:v>
      </x:c>
      <x:c r="B2059" s="24" t="str">
        <x:v>ZEISS</x:v>
      </x:c>
      <x:c r="C2059" s="24" t="str">
        <x:v>Progressiva</x:v>
      </x:c>
      <x:c r="D2059" s="24" t="str">
        <x:v>Surfaçada</x:v>
      </x:c>
      <x:c r="E2059" s="24" t="str">
        <x:v>ClearMind Superb</x:v>
      </x:c>
      <x:c r="F2059" s="24" t="str">
        <x:v>Polarizada</x:v>
      </x:c>
      <x:c r="G2059" s="24" t="str">
        <x:v>1.6</x:v>
      </x:c>
      <x:c r="H2059" s="24" t="str">
        <x:v>1.60</x:v>
      </x:c>
      <x:c r="I2059" s="24" t="str">
        <x:v>DuraVision Gold UV</x:v>
      </x:c>
      <x:c r="J2059" s="40" t="n">
        <x:v>10149</x:v>
      </x:c>
      <x:c r="K2059" s="24" t="str">
        <x:v>-8.50 a +6.00</x:v>
      </x:c>
      <x:c r="L2059" s="24" t="str">
        <x:v>-4.00</x:v>
      </x:c>
      <x:c r="M2059" s="24" t="str">
        <x:v>0.75 a 3.50</x:v>
      </x:c>
      <x:c r="N2059" s="24" t="str">
        <x:v>70</x:v>
      </x:c>
      <x:c r="O2059" s="24"/>
      <x:c r="P2059" s="24"/>
      <x:c r="Q2059" s="24" t="str">
        <x:v>DISPONÍVEL</x:v>
      </x:c>
      <x:c r="R2059" s="24" t="str">
        <x:v>Programa de Parcerias ZEISS — categoria Experts</x:v>
      </x:c>
      <x:c r="S2059" s="24" t="n">
        <x:v>33</x:v>
      </x:c>
      <x:c r="T2059" s="24" t="str">
        <x:v>tabela_zeiss.pdf</x:v>
      </x:c>
      <x:c r="U2059" s="24" t="str">
        <x:v>ZEISS|Progressiva|Surfaçada|ClearMind Superb|Polarizada|1.6|1.60|DuraVision Gold UV|-8.50 a +6.00|-4.00|0.75 a 3.50|70|||33</x:v>
      </x:c>
    </x:row>
    <x:row r="2060">
      <x:c r="A2060" s="24" t="str">
        <x:v>ZS-C5FEE6483CFA</x:v>
      </x:c>
      <x:c r="B2060" s="24" t="str">
        <x:v>ZEISS</x:v>
      </x:c>
      <x:c r="C2060" s="24" t="str">
        <x:v>Progressiva</x:v>
      </x:c>
      <x:c r="D2060" s="24" t="str">
        <x:v>Surfaçada</x:v>
      </x:c>
      <x:c r="E2060" s="24" t="str">
        <x:v>ClearMind Superb</x:v>
      </x:c>
      <x:c r="F2060" s="24" t="str">
        <x:v>Polarizada</x:v>
      </x:c>
      <x:c r="G2060" s="24" t="str">
        <x:v>1.6</x:v>
      </x:c>
      <x:c r="H2060" s="24" t="str">
        <x:v>1.60</x:v>
      </x:c>
      <x:c r="I2060" s="24" t="str">
        <x:v>DuraVision Platinum UV</x:v>
      </x:c>
      <x:c r="J2060" s="40" t="n">
        <x:v>10009</x:v>
      </x:c>
      <x:c r="K2060" s="24" t="str">
        <x:v>-8.50 a +6.00</x:v>
      </x:c>
      <x:c r="L2060" s="24" t="str">
        <x:v>-4.00</x:v>
      </x:c>
      <x:c r="M2060" s="24" t="str">
        <x:v>0.75 a 3.50</x:v>
      </x:c>
      <x:c r="N2060" s="24" t="str">
        <x:v>70</x:v>
      </x:c>
      <x:c r="O2060" s="24"/>
      <x:c r="P2060" s="24"/>
      <x:c r="Q2060" s="24" t="str">
        <x:v>DISPONÍVEL</x:v>
      </x:c>
      <x:c r="R2060" s="24" t="str">
        <x:v>Programa de Parcerias ZEISS — categoria Experts</x:v>
      </x:c>
      <x:c r="S2060" s="24" t="n">
        <x:v>33</x:v>
      </x:c>
      <x:c r="T2060" s="24" t="str">
        <x:v>tabela_zeiss.pdf</x:v>
      </x:c>
      <x:c r="U2060" s="24" t="str">
        <x:v>ZEISS|Progressiva|Surfaçada|ClearMind Superb|Polarizada|1.6|1.60|DuraVision Platinum UV|-8.50 a +6.00|-4.00|0.75 a 3.50|70|||33</x:v>
      </x:c>
    </x:row>
    <x:row r="2061">
      <x:c r="A2061" s="24" t="str">
        <x:v>ZS-D042EF717A0E</x:v>
      </x:c>
      <x:c r="B2061" s="24" t="str">
        <x:v>ZEISS</x:v>
      </x:c>
      <x:c r="C2061" s="24" t="str">
        <x:v>Progressiva</x:v>
      </x:c>
      <x:c r="D2061" s="24" t="str">
        <x:v>Surfaçada</x:v>
      </x:c>
      <x:c r="E2061" s="24" t="str">
        <x:v>ClearMind Superb</x:v>
      </x:c>
      <x:c r="F2061" s="24" t="str">
        <x:v>Polarizada</x:v>
      </x:c>
      <x:c r="G2061" s="24" t="str">
        <x:v>1.6</x:v>
      </x:c>
      <x:c r="H2061" s="24" t="str">
        <x:v>1.60</x:v>
      </x:c>
      <x:c r="I2061" s="24" t="str">
        <x:v>DuraVision Silver UV</x:v>
      </x:c>
      <x:c r="J2061" s="40" t="n">
        <x:v>9749</x:v>
      </x:c>
      <x:c r="K2061" s="24" t="str">
        <x:v>-8.50 a +6.00</x:v>
      </x:c>
      <x:c r="L2061" s="24" t="str">
        <x:v>-4.00</x:v>
      </x:c>
      <x:c r="M2061" s="24" t="str">
        <x:v>0.75 a 3.50</x:v>
      </x:c>
      <x:c r="N2061" s="24" t="str">
        <x:v>70</x:v>
      </x:c>
      <x:c r="O2061" s="24"/>
      <x:c r="P2061" s="24"/>
      <x:c r="Q2061" s="24" t="str">
        <x:v>DISPONÍVEL</x:v>
      </x:c>
      <x:c r="R2061" s="24" t="str">
        <x:v>Programa de Parcerias ZEISS — categoria Experts</x:v>
      </x:c>
      <x:c r="S2061" s="24" t="n">
        <x:v>33</x:v>
      </x:c>
      <x:c r="T2061" s="24" t="str">
        <x:v>tabela_zeiss.pdf</x:v>
      </x:c>
      <x:c r="U2061" s="24" t="str">
        <x:v>ZEISS|Progressiva|Surfaçada|ClearMind Superb|Polarizada|1.6|1.60|DuraVision Silver UV|-8.50 a +6.00|-4.00|0.75 a 3.50|70|||33</x:v>
      </x:c>
    </x:row>
    <x:row r="2062">
      <x:c r="A2062" s="24" t="str">
        <x:v>ZS-C01D0B7FE36A</x:v>
      </x:c>
      <x:c r="B2062" s="24" t="str">
        <x:v>ZEISS</x:v>
      </x:c>
      <x:c r="C2062" s="24" t="str">
        <x:v>Progressiva</x:v>
      </x:c>
      <x:c r="D2062" s="24" t="str">
        <x:v>Surfaçada</x:v>
      </x:c>
      <x:c r="E2062" s="24" t="str">
        <x:v>ClearMind Superb</x:v>
      </x:c>
      <x:c r="F2062" s="24" t="str">
        <x:v>Polarizada</x:v>
      </x:c>
      <x:c r="G2062" s="24" t="str">
        <x:v>1.6</x:v>
      </x:c>
      <x:c r="H2062" s="24" t="str">
        <x:v>1.60</x:v>
      </x:c>
      <x:c r="I2062" s="24" t="str">
        <x:v>DuraVision Chrome UV</x:v>
      </x:c>
      <x:c r="J2062" s="40" t="n">
        <x:v>9259</x:v>
      </x:c>
      <x:c r="K2062" s="24" t="str">
        <x:v>-8.50 a +6.00</x:v>
      </x:c>
      <x:c r="L2062" s="24" t="str">
        <x:v>-4.00</x:v>
      </x:c>
      <x:c r="M2062" s="24" t="str">
        <x:v>0.75 a 3.50</x:v>
      </x:c>
      <x:c r="N2062" s="24" t="str">
        <x:v>70</x:v>
      </x:c>
      <x:c r="O2062" s="24"/>
      <x:c r="P2062" s="24"/>
      <x:c r="Q2062" s="24" t="str">
        <x:v>DISPONÍVEL</x:v>
      </x:c>
      <x:c r="R2062" s="24" t="str">
        <x:v>Programa de Parcerias ZEISS — categoria Experts</x:v>
      </x:c>
      <x:c r="S2062" s="24" t="n">
        <x:v>33</x:v>
      </x:c>
      <x:c r="T2062" s="24" t="str">
        <x:v>tabela_zeiss.pdf</x:v>
      </x:c>
      <x:c r="U2062" s="24" t="str">
        <x:v>ZEISS|Progressiva|Surfaçada|ClearMind Superb|Polarizada|1.6|1.60|DuraVision Chrome UV|-8.50 a +6.00|-4.00|0.75 a 3.50|70|||33</x:v>
      </x:c>
    </x:row>
    <x:row r="2063">
      <x:c r="A2063" s="24" t="str">
        <x:v>ZS-C39D2C285894</x:v>
      </x:c>
      <x:c r="B2063" s="24" t="str">
        <x:v>ZEISS</x:v>
      </x:c>
      <x:c r="C2063" s="24" t="str">
        <x:v>Progressiva</x:v>
      </x:c>
      <x:c r="D2063" s="24" t="str">
        <x:v>Surfaçada</x:v>
      </x:c>
      <x:c r="E2063" s="24" t="str">
        <x:v>ClearMind Superb</x:v>
      </x:c>
      <x:c r="F2063" s="24" t="str">
        <x:v>Polarizada</x:v>
      </x:c>
      <x:c r="G2063" s="24" t="str">
        <x:v>1.6</x:v>
      </x:c>
      <x:c r="H2063" s="24" t="str">
        <x:v>1.60</x:v>
      </x:c>
      <x:c r="I2063" s="24" t="str">
        <x:v>Sem AR</x:v>
      </x:c>
      <x:c r="J2063" s="40" t="n">
        <x:v>8859</x:v>
      </x:c>
      <x:c r="K2063" s="24" t="str">
        <x:v>-8.50 a +6.00</x:v>
      </x:c>
      <x:c r="L2063" s="24" t="str">
        <x:v>-4.00</x:v>
      </x:c>
      <x:c r="M2063" s="24" t="str">
        <x:v>0.75 a 3.50</x:v>
      </x:c>
      <x:c r="N2063" s="24" t="str">
        <x:v>70</x:v>
      </x:c>
      <x:c r="O2063" s="24"/>
      <x:c r="P2063" s="24"/>
      <x:c r="Q2063" s="24" t="str">
        <x:v>DISPONÍVEL</x:v>
      </x:c>
      <x:c r="R2063" s="24" t="str">
        <x:v>Programa de Parcerias ZEISS — categoria Experts</x:v>
      </x:c>
      <x:c r="S2063" s="24" t="n">
        <x:v>33</x:v>
      </x:c>
      <x:c r="T2063" s="24" t="str">
        <x:v>tabela_zeiss.pdf</x:v>
      </x:c>
      <x:c r="U2063" s="24" t="str">
        <x:v>ZEISS|Progressiva|Surfaçada|ClearMind Superb|Polarizada|1.6|1.60|Sem AR|-8.50 a +6.00|-4.00|0.75 a 3.50|70|||33</x:v>
      </x:c>
    </x:row>
    <x:row r="2064">
      <x:c r="A2064" s="24" t="str">
        <x:v>ZS-5EF970BC7762</x:v>
      </x:c>
      <x:c r="B2064" s="24" t="str">
        <x:v>ZEISS</x:v>
      </x:c>
      <x:c r="C2064" s="24" t="str">
        <x:v>Progressiva</x:v>
      </x:c>
      <x:c r="D2064" s="24" t="str">
        <x:v>Surfaçada</x:v>
      </x:c>
      <x:c r="E2064" s="24" t="str">
        <x:v>ClearMind Plus</x:v>
      </x:c>
      <x:c r="F2064" s="24"/>
      <x:c r="G2064" s="24" t="str">
        <x:v>1.5</x:v>
      </x:c>
      <x:c r="H2064" s="24" t="str">
        <x:v>1.50</x:v>
      </x:c>
      <x:c r="I2064" s="24" t="str">
        <x:v>DuraVision Gold UV</x:v>
      </x:c>
      <x:c r="J2064" s="40" t="n">
        <x:v>6929</x:v>
      </x:c>
      <x:c r="K2064" s="24" t="str">
        <x:v>-6.00 a +4.00</x:v>
      </x:c>
      <x:c r="L2064" s="24" t="str">
        <x:v>-4.00</x:v>
      </x:c>
      <x:c r="M2064" s="24" t="str">
        <x:v>0.75 a 3.50</x:v>
      </x:c>
      <x:c r="N2064" s="24" t="str">
        <x:v>75</x:v>
      </x:c>
      <x:c r="O2064" s="24"/>
      <x:c r="P2064" s="24"/>
      <x:c r="Q2064" s="24" t="str">
        <x:v>DISPONÍVEL</x:v>
      </x:c>
      <x:c r="R2064" s="24" t="str">
        <x:v>Programa de Parcerias ZEISS — categoria Experts</x:v>
      </x:c>
      <x:c r="S2064" s="24" t="n">
        <x:v>34</x:v>
      </x:c>
      <x:c r="T2064" s="24" t="str">
        <x:v>tabela_zeiss.pdf</x:v>
      </x:c>
      <x:c r="U2064" s="24" t="str">
        <x:v>ZEISS|Progressiva|Surfaçada|ClearMind Plus||1.5|1.50|DuraVision Gold UV|-6.00 a +4.00|-4.00|0.75 a 3.50|75|||34</x:v>
      </x:c>
    </x:row>
    <x:row r="2065">
      <x:c r="A2065" s="24" t="str">
        <x:v>ZS-B875C74F62B8</x:v>
      </x:c>
      <x:c r="B2065" s="24" t="str">
        <x:v>ZEISS</x:v>
      </x:c>
      <x:c r="C2065" s="24" t="str">
        <x:v>Progressiva</x:v>
      </x:c>
      <x:c r="D2065" s="24" t="str">
        <x:v>Surfaçada</x:v>
      </x:c>
      <x:c r="E2065" s="24" t="str">
        <x:v>ClearMind Plus</x:v>
      </x:c>
      <x:c r="F2065" s="24"/>
      <x:c r="G2065" s="24" t="str">
        <x:v>1.5</x:v>
      </x:c>
      <x:c r="H2065" s="24" t="str">
        <x:v>1.50</x:v>
      </x:c>
      <x:c r="I2065" s="24" t="str">
        <x:v>DURAVISION® ANTIVÍRUS PLATINUM UV</x:v>
      </x:c>
      <x:c r="J2065" s="40" t="n">
        <x:v>6789</x:v>
      </x:c>
      <x:c r="K2065" s="24" t="str">
        <x:v>-6.00 a +4.00</x:v>
      </x:c>
      <x:c r="L2065" s="24" t="str">
        <x:v>-4.00</x:v>
      </x:c>
      <x:c r="M2065" s="24" t="str">
        <x:v>0.75 a 3.50</x:v>
      </x:c>
      <x:c r="N2065" s="24" t="str">
        <x:v>75</x:v>
      </x:c>
      <x:c r="O2065" s="24"/>
      <x:c r="P2065" s="24"/>
      <x:c r="Q2065" s="24" t="str">
        <x:v>DISPONÍVEL</x:v>
      </x:c>
      <x:c r="R2065" s="24" t="str">
        <x:v>Programa de Parcerias ZEISS — categoria Experts</x:v>
      </x:c>
      <x:c r="S2065" s="24" t="n">
        <x:v>34</x:v>
      </x:c>
      <x:c r="T2065" s="24" t="str">
        <x:v>tabela_zeiss.pdf</x:v>
      </x:c>
      <x:c r="U2065" s="24" t="str">
        <x:v>ZEISS|Progressiva|Surfaçada|ClearMind Plus||1.5|1.50|DURAVISION® ANTIVÍRUS PLATINUM UV|-6.00 a +4.00|-4.00|0.75 a 3.50|75|||34</x:v>
      </x:c>
    </x:row>
    <x:row r="2066">
      <x:c r="A2066" s="24" t="str">
        <x:v>ZS-0D8E35C1AF92</x:v>
      </x:c>
      <x:c r="B2066" s="24" t="str">
        <x:v>ZEISS</x:v>
      </x:c>
      <x:c r="C2066" s="24" t="str">
        <x:v>Progressiva</x:v>
      </x:c>
      <x:c r="D2066" s="24" t="str">
        <x:v>Surfaçada</x:v>
      </x:c>
      <x:c r="E2066" s="24" t="str">
        <x:v>ClearMind Plus</x:v>
      </x:c>
      <x:c r="F2066" s="24"/>
      <x:c r="G2066" s="24" t="str">
        <x:v>1.5</x:v>
      </x:c>
      <x:c r="H2066" s="24" t="str">
        <x:v>1.50</x:v>
      </x:c>
      <x:c r="I2066" s="24" t="str">
        <x:v>DuraVision Platinum UV</x:v>
      </x:c>
      <x:c r="J2066" s="40" t="n">
        <x:v>6789</x:v>
      </x:c>
      <x:c r="K2066" s="24" t="str">
        <x:v>-6.00 a +4.00</x:v>
      </x:c>
      <x:c r="L2066" s="24" t="str">
        <x:v>-4.00</x:v>
      </x:c>
      <x:c r="M2066" s="24" t="str">
        <x:v>0.75 a 3.50</x:v>
      </x:c>
      <x:c r="N2066" s="24" t="str">
        <x:v>75</x:v>
      </x:c>
      <x:c r="O2066" s="24"/>
      <x:c r="P2066" s="24"/>
      <x:c r="Q2066" s="24" t="str">
        <x:v>DISPONÍVEL</x:v>
      </x:c>
      <x:c r="R2066" s="24" t="str">
        <x:v>Programa de Parcerias ZEISS — categoria Experts</x:v>
      </x:c>
      <x:c r="S2066" s="24" t="n">
        <x:v>34</x:v>
      </x:c>
      <x:c r="T2066" s="24" t="str">
        <x:v>tabela_zeiss.pdf</x:v>
      </x:c>
      <x:c r="U2066" s="24" t="str">
        <x:v>ZEISS|Progressiva|Surfaçada|ClearMind Plus||1.5|1.50|DuraVision Platinum UV|-6.00 a +4.00|-4.00|0.75 a 3.50|75|||34</x:v>
      </x:c>
    </x:row>
    <x:row r="2067">
      <x:c r="A2067" s="24" t="str">
        <x:v>ZS-3F87C1FA89C4</x:v>
      </x:c>
      <x:c r="B2067" s="24" t="str">
        <x:v>ZEISS</x:v>
      </x:c>
      <x:c r="C2067" s="24" t="str">
        <x:v>Progressiva</x:v>
      </x:c>
      <x:c r="D2067" s="24" t="str">
        <x:v>Surfaçada</x:v>
      </x:c>
      <x:c r="E2067" s="24" t="str">
        <x:v>ClearMind Plus</x:v>
      </x:c>
      <x:c r="F2067" s="24"/>
      <x:c r="G2067" s="24" t="str">
        <x:v>1.5</x:v>
      </x:c>
      <x:c r="H2067" s="24" t="str">
        <x:v>1.50</x:v>
      </x:c>
      <x:c r="I2067" s="24" t="str">
        <x:v>DuraVision Silver UV</x:v>
      </x:c>
      <x:c r="J2067" s="40" t="n">
        <x:v>6529</x:v>
      </x:c>
      <x:c r="K2067" s="24" t="str">
        <x:v>-6.00 a +4.00</x:v>
      </x:c>
      <x:c r="L2067" s="24" t="str">
        <x:v>-4.00</x:v>
      </x:c>
      <x:c r="M2067" s="24" t="str">
        <x:v>0.75 a 3.50</x:v>
      </x:c>
      <x:c r="N2067" s="24" t="str">
        <x:v>75</x:v>
      </x:c>
      <x:c r="O2067" s="24"/>
      <x:c r="P2067" s="24"/>
      <x:c r="Q2067" s="24" t="str">
        <x:v>DISPONÍVEL</x:v>
      </x:c>
      <x:c r="R2067" s="24" t="str">
        <x:v>Programa de Parcerias ZEISS — categoria Experts</x:v>
      </x:c>
      <x:c r="S2067" s="24" t="n">
        <x:v>34</x:v>
      </x:c>
      <x:c r="T2067" s="24" t="str">
        <x:v>tabela_zeiss.pdf</x:v>
      </x:c>
      <x:c r="U2067" s="24" t="str">
        <x:v>ZEISS|Progressiva|Surfaçada|ClearMind Plus||1.5|1.50|DuraVision Silver UV|-6.00 a +4.00|-4.00|0.75 a 3.50|75|||34</x:v>
      </x:c>
    </x:row>
    <x:row r="2068">
      <x:c r="A2068" s="24" t="str">
        <x:v>ZS-0F95A20753E4</x:v>
      </x:c>
      <x:c r="B2068" s="24" t="str">
        <x:v>ZEISS</x:v>
      </x:c>
      <x:c r="C2068" s="24" t="str">
        <x:v>Progressiva</x:v>
      </x:c>
      <x:c r="D2068" s="24" t="str">
        <x:v>Surfaçada</x:v>
      </x:c>
      <x:c r="E2068" s="24" t="str">
        <x:v>ClearMind Plus</x:v>
      </x:c>
      <x:c r="F2068" s="24"/>
      <x:c r="G2068" s="24" t="str">
        <x:v>1.5</x:v>
      </x:c>
      <x:c r="H2068" s="24" t="str">
        <x:v>1.50</x:v>
      </x:c>
      <x:c r="I2068" s="24" t="str">
        <x:v>DuraVision Chrome UV</x:v>
      </x:c>
      <x:c r="J2068" s="40" t="n">
        <x:v>6039</x:v>
      </x:c>
      <x:c r="K2068" s="24" t="str">
        <x:v>-6.00 a +4.00</x:v>
      </x:c>
      <x:c r="L2068" s="24" t="str">
        <x:v>-4.00</x:v>
      </x:c>
      <x:c r="M2068" s="24" t="str">
        <x:v>0.75 a 3.50</x:v>
      </x:c>
      <x:c r="N2068" s="24" t="str">
        <x:v>75</x:v>
      </x:c>
      <x:c r="O2068" s="24"/>
      <x:c r="P2068" s="24"/>
      <x:c r="Q2068" s="24" t="str">
        <x:v>DISPONÍVEL</x:v>
      </x:c>
      <x:c r="R2068" s="24" t="str">
        <x:v>Programa de Parcerias ZEISS — categoria Experts</x:v>
      </x:c>
      <x:c r="S2068" s="24" t="n">
        <x:v>34</x:v>
      </x:c>
      <x:c r="T2068" s="24" t="str">
        <x:v>tabela_zeiss.pdf</x:v>
      </x:c>
      <x:c r="U2068" s="24" t="str">
        <x:v>ZEISS|Progressiva|Surfaçada|ClearMind Plus||1.5|1.50|DuraVision Chrome UV|-6.00 a +4.00|-4.00|0.75 a 3.50|75|||34</x:v>
      </x:c>
    </x:row>
    <x:row r="2069">
      <x:c r="A2069" s="24" t="str">
        <x:v>ZS-8CD84568EE7B</x:v>
      </x:c>
      <x:c r="B2069" s="24" t="str">
        <x:v>ZEISS</x:v>
      </x:c>
      <x:c r="C2069" s="24" t="str">
        <x:v>Progressiva</x:v>
      </x:c>
      <x:c r="D2069" s="24" t="str">
        <x:v>Surfaçada</x:v>
      </x:c>
      <x:c r="E2069" s="24" t="str">
        <x:v>ClearMind Plus</x:v>
      </x:c>
      <x:c r="F2069" s="24"/>
      <x:c r="G2069" s="24" t="str">
        <x:v>Poli</x:v>
      </x:c>
      <x:c r="H2069" s="24"/>
      <x:c r="I2069" s="24" t="str">
        <x:v>DuraVision Gold UV</x:v>
      </x:c>
      <x:c r="J2069" s="40" t="n">
        <x:v>7519</x:v>
      </x:c>
      <x:c r="K2069" s="24" t="str">
        <x:v>-10.00 a +6.00</x:v>
      </x:c>
      <x:c r="L2069" s="24" t="str">
        <x:v>-6.00</x:v>
      </x:c>
      <x:c r="M2069" s="24" t="str">
        <x:v>0.75 a 3.00</x:v>
      </x:c>
      <x:c r="N2069" s="24" t="str">
        <x:v>70</x:v>
      </x:c>
      <x:c r="O2069" s="24"/>
      <x:c r="P2069" s="24"/>
      <x:c r="Q2069" s="24" t="str">
        <x:v>DISPONÍVEL</x:v>
      </x:c>
      <x:c r="R2069" s="24" t="str">
        <x:v>Programa de Parcerias ZEISS — categoria Experts</x:v>
      </x:c>
      <x:c r="S2069" s="24" t="n">
        <x:v>34</x:v>
      </x:c>
      <x:c r="T2069" s="24" t="str">
        <x:v>tabela_zeiss.pdf</x:v>
      </x:c>
      <x:c r="U2069" s="24" t="str">
        <x:v>ZEISS|Progressiva|Surfaçada|ClearMind Plus||Poli||DuraVision Gold UV|-10.00 a +6.00|-6.00|0.75 a 3.00|70|||34</x:v>
      </x:c>
    </x:row>
    <x:row r="2070">
      <x:c r="A2070" s="24" t="str">
        <x:v>ZS-1323F6CBD9C9</x:v>
      </x:c>
      <x:c r="B2070" s="24" t="str">
        <x:v>ZEISS</x:v>
      </x:c>
      <x:c r="C2070" s="24" t="str">
        <x:v>Progressiva</x:v>
      </x:c>
      <x:c r="D2070" s="24" t="str">
        <x:v>Surfaçada</x:v>
      </x:c>
      <x:c r="E2070" s="24" t="str">
        <x:v>ClearMind Plus</x:v>
      </x:c>
      <x:c r="F2070" s="24"/>
      <x:c r="G2070" s="24" t="str">
        <x:v>Poli</x:v>
      </x:c>
      <x:c r="H2070" s="24"/>
      <x:c r="I2070" s="24" t="str">
        <x:v>DuraVision Platinum UV</x:v>
      </x:c>
      <x:c r="J2070" s="40" t="n">
        <x:v>7379</x:v>
      </x:c>
      <x:c r="K2070" s="24" t="str">
        <x:v>-10.00 a +6.00</x:v>
      </x:c>
      <x:c r="L2070" s="24" t="str">
        <x:v>-6.00</x:v>
      </x:c>
      <x:c r="M2070" s="24" t="str">
        <x:v>0.75 a 3.00</x:v>
      </x:c>
      <x:c r="N2070" s="24" t="str">
        <x:v>70</x:v>
      </x:c>
      <x:c r="O2070" s="24"/>
      <x:c r="P2070" s="24"/>
      <x:c r="Q2070" s="24" t="str">
        <x:v>DISPONÍVEL</x:v>
      </x:c>
      <x:c r="R2070" s="24" t="str">
        <x:v>Programa de Parcerias ZEISS — categoria Experts</x:v>
      </x:c>
      <x:c r="S2070" s="24" t="n">
        <x:v>34</x:v>
      </x:c>
      <x:c r="T2070" s="24" t="str">
        <x:v>tabela_zeiss.pdf</x:v>
      </x:c>
      <x:c r="U2070" s="24" t="str">
        <x:v>ZEISS|Progressiva|Surfaçada|ClearMind Plus||Poli||DuraVision Platinum UV|-10.00 a +6.00|-6.00|0.75 a 3.00|70|||34</x:v>
      </x:c>
    </x:row>
    <x:row r="2071">
      <x:c r="A2071" s="24" t="str">
        <x:v>ZS-B52AF0D8F3F4</x:v>
      </x:c>
      <x:c r="B2071" s="24" t="str">
        <x:v>ZEISS</x:v>
      </x:c>
      <x:c r="C2071" s="24" t="str">
        <x:v>Progressiva</x:v>
      </x:c>
      <x:c r="D2071" s="24" t="str">
        <x:v>Surfaçada</x:v>
      </x:c>
      <x:c r="E2071" s="24" t="str">
        <x:v>ClearMind Plus</x:v>
      </x:c>
      <x:c r="F2071" s="24"/>
      <x:c r="G2071" s="24" t="str">
        <x:v>Poli</x:v>
      </x:c>
      <x:c r="H2071" s="24"/>
      <x:c r="I2071" s="24" t="str">
        <x:v>DuraVision Silver UV</x:v>
      </x:c>
      <x:c r="J2071" s="40" t="n">
        <x:v>7119</x:v>
      </x:c>
      <x:c r="K2071" s="24" t="str">
        <x:v>-10.00 a +6.00</x:v>
      </x:c>
      <x:c r="L2071" s="24" t="str">
        <x:v>-6.00</x:v>
      </x:c>
      <x:c r="M2071" s="24" t="str">
        <x:v>0.75 a 3.00</x:v>
      </x:c>
      <x:c r="N2071" s="24" t="str">
        <x:v>70</x:v>
      </x:c>
      <x:c r="O2071" s="24"/>
      <x:c r="P2071" s="24"/>
      <x:c r="Q2071" s="24" t="str">
        <x:v>DISPONÍVEL</x:v>
      </x:c>
      <x:c r="R2071" s="24" t="str">
        <x:v>Programa de Parcerias ZEISS — categoria Experts</x:v>
      </x:c>
      <x:c r="S2071" s="24" t="n">
        <x:v>34</x:v>
      </x:c>
      <x:c r="T2071" s="24" t="str">
        <x:v>tabela_zeiss.pdf</x:v>
      </x:c>
      <x:c r="U2071" s="24" t="str">
        <x:v>ZEISS|Progressiva|Surfaçada|ClearMind Plus||Poli||DuraVision Silver UV|-10.00 a +6.00|-6.00|0.75 a 3.00|70|||34</x:v>
      </x:c>
    </x:row>
    <x:row r="2072">
      <x:c r="A2072" s="24" t="str">
        <x:v>ZS-E0B0DA23E655</x:v>
      </x:c>
      <x:c r="B2072" s="24" t="str">
        <x:v>ZEISS</x:v>
      </x:c>
      <x:c r="C2072" s="24" t="str">
        <x:v>Progressiva</x:v>
      </x:c>
      <x:c r="D2072" s="24" t="str">
        <x:v>Surfaçada</x:v>
      </x:c>
      <x:c r="E2072" s="24" t="str">
        <x:v>ClearMind Plus</x:v>
      </x:c>
      <x:c r="F2072" s="24"/>
      <x:c r="G2072" s="24" t="str">
        <x:v>Poli</x:v>
      </x:c>
      <x:c r="H2072" s="24"/>
      <x:c r="I2072" s="24" t="str">
        <x:v>DuraVision Chrome UV</x:v>
      </x:c>
      <x:c r="J2072" s="40" t="n">
        <x:v>6629</x:v>
      </x:c>
      <x:c r="K2072" s="24" t="str">
        <x:v>-10.00 a +6.00</x:v>
      </x:c>
      <x:c r="L2072" s="24" t="str">
        <x:v>-6.00</x:v>
      </x:c>
      <x:c r="M2072" s="24" t="str">
        <x:v>0.75 a 3.00</x:v>
      </x:c>
      <x:c r="N2072" s="24" t="str">
        <x:v>70</x:v>
      </x:c>
      <x:c r="O2072" s="24"/>
      <x:c r="P2072" s="24"/>
      <x:c r="Q2072" s="24" t="str">
        <x:v>DISPONÍVEL</x:v>
      </x:c>
      <x:c r="R2072" s="24" t="str">
        <x:v>Programa de Parcerias ZEISS — categoria Experts</x:v>
      </x:c>
      <x:c r="S2072" s="24" t="n">
        <x:v>34</x:v>
      </x:c>
      <x:c r="T2072" s="24" t="str">
        <x:v>tabela_zeiss.pdf</x:v>
      </x:c>
      <x:c r="U2072" s="24" t="str">
        <x:v>ZEISS|Progressiva|Surfaçada|ClearMind Plus||Poli||DuraVision Chrome UV|-10.00 a +6.00|-6.00|0.75 a 3.00|70|||34</x:v>
      </x:c>
    </x:row>
    <x:row r="2073">
      <x:c r="A2073" s="24" t="str">
        <x:v>ZS-97484F533F93</x:v>
      </x:c>
      <x:c r="B2073" s="24" t="str">
        <x:v>ZEISS</x:v>
      </x:c>
      <x:c r="C2073" s="24" t="str">
        <x:v>Progressiva</x:v>
      </x:c>
      <x:c r="D2073" s="24" t="str">
        <x:v>Surfaçada</x:v>
      </x:c>
      <x:c r="E2073" s="24" t="str">
        <x:v>ClearMind Plus</x:v>
      </x:c>
      <x:c r="F2073" s="24"/>
      <x:c r="G2073" s="24" t="str">
        <x:v>1.6</x:v>
      </x:c>
      <x:c r="H2073" s="24" t="str">
        <x:v>1.60</x:v>
      </x:c>
      <x:c r="I2073" s="24" t="str">
        <x:v>DuraVision Gold UV</x:v>
      </x:c>
      <x:c r="J2073" s="40" t="n">
        <x:v>8179</x:v>
      </x:c>
      <x:c r="K2073" s="24" t="str">
        <x:v>-7.25 a +6.00</x:v>
      </x:c>
      <x:c r="L2073" s="24" t="str">
        <x:v>-6.00</x:v>
      </x:c>
      <x:c r="M2073" s="24" t="str">
        <x:v>0.75 a 3.50</x:v>
      </x:c>
      <x:c r="N2073" s="24" t="str">
        <x:v>75</x:v>
      </x:c>
      <x:c r="O2073" s="24"/>
      <x:c r="P2073" s="24"/>
      <x:c r="Q2073" s="24" t="str">
        <x:v>DISPONÍVEL</x:v>
      </x:c>
      <x:c r="R2073" s="24" t="str">
        <x:v>Programa de Parcerias ZEISS — categoria Experts</x:v>
      </x:c>
      <x:c r="S2073" s="24" t="n">
        <x:v>34</x:v>
      </x:c>
      <x:c r="T2073" s="24" t="str">
        <x:v>tabela_zeiss.pdf</x:v>
      </x:c>
      <x:c r="U2073" s="24" t="str">
        <x:v>ZEISS|Progressiva|Surfaçada|ClearMind Plus||1.6|1.60|DuraVision Gold UV|-7.25 a +6.00|-6.00|0.75 a 3.50|75|||34</x:v>
      </x:c>
    </x:row>
    <x:row r="2074">
      <x:c r="A2074" s="24" t="str">
        <x:v>ZS-D27016FC5FA6</x:v>
      </x:c>
      <x:c r="B2074" s="24" t="str">
        <x:v>ZEISS</x:v>
      </x:c>
      <x:c r="C2074" s="24" t="str">
        <x:v>Progressiva</x:v>
      </x:c>
      <x:c r="D2074" s="24" t="str">
        <x:v>Surfaçada</x:v>
      </x:c>
      <x:c r="E2074" s="24" t="str">
        <x:v>ClearMind Plus</x:v>
      </x:c>
      <x:c r="F2074" s="24"/>
      <x:c r="G2074" s="24" t="str">
        <x:v>1.6</x:v>
      </x:c>
      <x:c r="H2074" s="24" t="str">
        <x:v>1.60</x:v>
      </x:c>
      <x:c r="I2074" s="24" t="str">
        <x:v>DURAVISION® ANTIVÍRUS PLATINUM UV</x:v>
      </x:c>
      <x:c r="J2074" s="40" t="n">
        <x:v>8039</x:v>
      </x:c>
      <x:c r="K2074" s="24" t="str">
        <x:v>-7.25 a +6.00</x:v>
      </x:c>
      <x:c r="L2074" s="24" t="str">
        <x:v>-6.00</x:v>
      </x:c>
      <x:c r="M2074" s="24" t="str">
        <x:v>0.75 a 3.50</x:v>
      </x:c>
      <x:c r="N2074" s="24" t="str">
        <x:v>75</x:v>
      </x:c>
      <x:c r="O2074" s="24"/>
      <x:c r="P2074" s="24"/>
      <x:c r="Q2074" s="24" t="str">
        <x:v>DISPONÍVEL</x:v>
      </x:c>
      <x:c r="R2074" s="24" t="str">
        <x:v>Programa de Parcerias ZEISS — categoria Experts</x:v>
      </x:c>
      <x:c r="S2074" s="24" t="n">
        <x:v>34</x:v>
      </x:c>
      <x:c r="T2074" s="24" t="str">
        <x:v>tabela_zeiss.pdf</x:v>
      </x:c>
      <x:c r="U2074" s="24" t="str">
        <x:v>ZEISS|Progressiva|Surfaçada|ClearMind Plus||1.6|1.60|DURAVISION® ANTIVÍRUS PLATINUM UV|-7.25 a +6.00|-6.00|0.75 a 3.50|75|||34</x:v>
      </x:c>
    </x:row>
    <x:row r="2075">
      <x:c r="A2075" s="24" t="str">
        <x:v>ZS-169EF28F1E60</x:v>
      </x:c>
      <x:c r="B2075" s="24" t="str">
        <x:v>ZEISS</x:v>
      </x:c>
      <x:c r="C2075" s="24" t="str">
        <x:v>Progressiva</x:v>
      </x:c>
      <x:c r="D2075" s="24" t="str">
        <x:v>Surfaçada</x:v>
      </x:c>
      <x:c r="E2075" s="24" t="str">
        <x:v>ClearMind Plus</x:v>
      </x:c>
      <x:c r="F2075" s="24"/>
      <x:c r="G2075" s="24" t="str">
        <x:v>1.6</x:v>
      </x:c>
      <x:c r="H2075" s="24" t="str">
        <x:v>1.60</x:v>
      </x:c>
      <x:c r="I2075" s="24" t="str">
        <x:v>DuraVision Platinum UV</x:v>
      </x:c>
      <x:c r="J2075" s="40" t="n">
        <x:v>8039</x:v>
      </x:c>
      <x:c r="K2075" s="24" t="str">
        <x:v>-7.25 a +6.00</x:v>
      </x:c>
      <x:c r="L2075" s="24" t="str">
        <x:v>-6.00</x:v>
      </x:c>
      <x:c r="M2075" s="24" t="str">
        <x:v>0.75 a 3.50</x:v>
      </x:c>
      <x:c r="N2075" s="24" t="str">
        <x:v>75</x:v>
      </x:c>
      <x:c r="O2075" s="24"/>
      <x:c r="P2075" s="24"/>
      <x:c r="Q2075" s="24" t="str">
        <x:v>DISPONÍVEL</x:v>
      </x:c>
      <x:c r="R2075" s="24" t="str">
        <x:v>Programa de Parcerias ZEISS — categoria Experts</x:v>
      </x:c>
      <x:c r="S2075" s="24" t="n">
        <x:v>34</x:v>
      </x:c>
      <x:c r="T2075" s="24" t="str">
        <x:v>tabela_zeiss.pdf</x:v>
      </x:c>
      <x:c r="U2075" s="24" t="str">
        <x:v>ZEISS|Progressiva|Surfaçada|ClearMind Plus||1.6|1.60|DuraVision Platinum UV|-7.25 a +6.00|-6.00|0.75 a 3.50|75|||34</x:v>
      </x:c>
    </x:row>
    <x:row r="2076">
      <x:c r="A2076" s="24" t="str">
        <x:v>ZS-00BCC5525CBE</x:v>
      </x:c>
      <x:c r="B2076" s="24" t="str">
        <x:v>ZEISS</x:v>
      </x:c>
      <x:c r="C2076" s="24" t="str">
        <x:v>Progressiva</x:v>
      </x:c>
      <x:c r="D2076" s="24" t="str">
        <x:v>Surfaçada</x:v>
      </x:c>
      <x:c r="E2076" s="24" t="str">
        <x:v>ClearMind Plus</x:v>
      </x:c>
      <x:c r="F2076" s="24"/>
      <x:c r="G2076" s="24" t="str">
        <x:v>1.6</x:v>
      </x:c>
      <x:c r="H2076" s="24" t="str">
        <x:v>1.60</x:v>
      </x:c>
      <x:c r="I2076" s="24" t="str">
        <x:v>DuraVision Silver UV</x:v>
      </x:c>
      <x:c r="J2076" s="40" t="n">
        <x:v>7779</x:v>
      </x:c>
      <x:c r="K2076" s="24" t="str">
        <x:v>-7.25 a +6.00</x:v>
      </x:c>
      <x:c r="L2076" s="24" t="str">
        <x:v>-6.00</x:v>
      </x:c>
      <x:c r="M2076" s="24" t="str">
        <x:v>0.75 a 3.50</x:v>
      </x:c>
      <x:c r="N2076" s="24" t="str">
        <x:v>75</x:v>
      </x:c>
      <x:c r="O2076" s="24"/>
      <x:c r="P2076" s="24"/>
      <x:c r="Q2076" s="24" t="str">
        <x:v>DISPONÍVEL</x:v>
      </x:c>
      <x:c r="R2076" s="24" t="str">
        <x:v>Programa de Parcerias ZEISS — categoria Experts</x:v>
      </x:c>
      <x:c r="S2076" s="24" t="n">
        <x:v>34</x:v>
      </x:c>
      <x:c r="T2076" s="24" t="str">
        <x:v>tabela_zeiss.pdf</x:v>
      </x:c>
      <x:c r="U2076" s="24" t="str">
        <x:v>ZEISS|Progressiva|Surfaçada|ClearMind Plus||1.6|1.60|DuraVision Silver UV|-7.25 a +6.00|-6.00|0.75 a 3.50|75|||34</x:v>
      </x:c>
    </x:row>
    <x:row r="2077">
      <x:c r="A2077" s="24" t="str">
        <x:v>ZS-D2EDA5C78B8E</x:v>
      </x:c>
      <x:c r="B2077" s="24" t="str">
        <x:v>ZEISS</x:v>
      </x:c>
      <x:c r="C2077" s="24" t="str">
        <x:v>Progressiva</x:v>
      </x:c>
      <x:c r="D2077" s="24" t="str">
        <x:v>Surfaçada</x:v>
      </x:c>
      <x:c r="E2077" s="24" t="str">
        <x:v>ClearMind Plus</x:v>
      </x:c>
      <x:c r="F2077" s="24"/>
      <x:c r="G2077" s="24" t="str">
        <x:v>1.6</x:v>
      </x:c>
      <x:c r="H2077" s="24" t="str">
        <x:v>1.60</x:v>
      </x:c>
      <x:c r="I2077" s="24" t="str">
        <x:v>DuraVision Chrome UV</x:v>
      </x:c>
      <x:c r="J2077" s="40" t="n">
        <x:v>7289</x:v>
      </x:c>
      <x:c r="K2077" s="24" t="str">
        <x:v>-7.25 a +6.00</x:v>
      </x:c>
      <x:c r="L2077" s="24" t="str">
        <x:v>-6.00</x:v>
      </x:c>
      <x:c r="M2077" s="24" t="str">
        <x:v>0.75 a 3.50</x:v>
      </x:c>
      <x:c r="N2077" s="24" t="str">
        <x:v>75</x:v>
      </x:c>
      <x:c r="O2077" s="24"/>
      <x:c r="P2077" s="24"/>
      <x:c r="Q2077" s="24" t="str">
        <x:v>DISPONÍVEL</x:v>
      </x:c>
      <x:c r="R2077" s="24" t="str">
        <x:v>Programa de Parcerias ZEISS — categoria Experts</x:v>
      </x:c>
      <x:c r="S2077" s="24" t="n">
        <x:v>34</x:v>
      </x:c>
      <x:c r="T2077" s="24" t="str">
        <x:v>tabela_zeiss.pdf</x:v>
      </x:c>
      <x:c r="U2077" s="24" t="str">
        <x:v>ZEISS|Progressiva|Surfaçada|ClearMind Plus||1.6|1.60|DuraVision Chrome UV|-7.25 a +6.00|-6.00|0.75 a 3.50|75|||34</x:v>
      </x:c>
    </x:row>
    <x:row r="2078">
      <x:c r="A2078" s="24" t="str">
        <x:v>ZS-0D75D9E34E72</x:v>
      </x:c>
      <x:c r="B2078" s="24" t="str">
        <x:v>ZEISS</x:v>
      </x:c>
      <x:c r="C2078" s="24" t="str">
        <x:v>Progressiva</x:v>
      </x:c>
      <x:c r="D2078" s="24" t="str">
        <x:v>Surfaçada</x:v>
      </x:c>
      <x:c r="E2078" s="24" t="str">
        <x:v>ClearMind Plus</x:v>
      </x:c>
      <x:c r="F2078" s="24"/>
      <x:c r="G2078" s="24" t="str">
        <x:v>1.67</x:v>
      </x:c>
      <x:c r="H2078" s="24" t="str">
        <x:v>1.67</x:v>
      </x:c>
      <x:c r="I2078" s="24" t="str">
        <x:v>DuraVision Gold UV</x:v>
      </x:c>
      <x:c r="J2078" s="40" t="n">
        <x:v>9819</x:v>
      </x:c>
      <x:c r="K2078" s="24" t="str">
        <x:v>-8.00 a +8.00</x:v>
      </x:c>
      <x:c r="L2078" s="24" t="str">
        <x:v>-6.00</x:v>
      </x:c>
      <x:c r="M2078" s="24" t="str">
        <x:v>0.75 a 3.00</x:v>
      </x:c>
      <x:c r="N2078" s="24" t="str">
        <x:v>70</x:v>
      </x:c>
      <x:c r="O2078" s="24"/>
      <x:c r="P2078" s="24"/>
      <x:c r="Q2078" s="24" t="str">
        <x:v>DISPONÍVEL</x:v>
      </x:c>
      <x:c r="R2078" s="24" t="str">
        <x:v>Programa de Parcerias ZEISS — categoria Experts</x:v>
      </x:c>
      <x:c r="S2078" s="24" t="n">
        <x:v>34</x:v>
      </x:c>
      <x:c r="T2078" s="24" t="str">
        <x:v>tabela_zeiss.pdf</x:v>
      </x:c>
      <x:c r="U2078" s="24" t="str">
        <x:v>ZEISS|Progressiva|Surfaçada|ClearMind Plus||1.67|1.67|DuraVision Gold UV|-8.00 a +8.00|-6.00|0.75 a 3.00|70|||34</x:v>
      </x:c>
    </x:row>
    <x:row r="2079">
      <x:c r="A2079" s="24" t="str">
        <x:v>ZS-F8B00EFDA1CF</x:v>
      </x:c>
      <x:c r="B2079" s="24" t="str">
        <x:v>ZEISS</x:v>
      </x:c>
      <x:c r="C2079" s="24" t="str">
        <x:v>Progressiva</x:v>
      </x:c>
      <x:c r="D2079" s="24" t="str">
        <x:v>Surfaçada</x:v>
      </x:c>
      <x:c r="E2079" s="24" t="str">
        <x:v>ClearMind Plus</x:v>
      </x:c>
      <x:c r="F2079" s="24"/>
      <x:c r="G2079" s="24" t="str">
        <x:v>1.67</x:v>
      </x:c>
      <x:c r="H2079" s="24" t="str">
        <x:v>1.67</x:v>
      </x:c>
      <x:c r="I2079" s="24" t="str">
        <x:v>DURAVISION® ANTIVÍRUS PLATINUM UV</x:v>
      </x:c>
      <x:c r="J2079" s="40" t="n">
        <x:v>9679</x:v>
      </x:c>
      <x:c r="K2079" s="24" t="str">
        <x:v>-8.00 a +8.00</x:v>
      </x:c>
      <x:c r="L2079" s="24" t="str">
        <x:v>-6.00</x:v>
      </x:c>
      <x:c r="M2079" s="24" t="str">
        <x:v>0.75 a 3.00</x:v>
      </x:c>
      <x:c r="N2079" s="24" t="str">
        <x:v>70</x:v>
      </x:c>
      <x:c r="O2079" s="24"/>
      <x:c r="P2079" s="24"/>
      <x:c r="Q2079" s="24" t="str">
        <x:v>DISPONÍVEL</x:v>
      </x:c>
      <x:c r="R2079" s="24" t="str">
        <x:v>Programa de Parcerias ZEISS — categoria Experts</x:v>
      </x:c>
      <x:c r="S2079" s="24" t="n">
        <x:v>34</x:v>
      </x:c>
      <x:c r="T2079" s="24" t="str">
        <x:v>tabela_zeiss.pdf</x:v>
      </x:c>
      <x:c r="U2079" s="24" t="str">
        <x:v>ZEISS|Progressiva|Surfaçada|ClearMind Plus||1.67|1.67|DURAVISION® ANTIVÍRUS PLATINUM UV|-8.00 a +8.00|-6.00|0.75 a 3.00|70|||34</x:v>
      </x:c>
    </x:row>
    <x:row r="2080">
      <x:c r="A2080" s="24" t="str">
        <x:v>ZS-BDF466D425AE</x:v>
      </x:c>
      <x:c r="B2080" s="24" t="str">
        <x:v>ZEISS</x:v>
      </x:c>
      <x:c r="C2080" s="24" t="str">
        <x:v>Progressiva</x:v>
      </x:c>
      <x:c r="D2080" s="24" t="str">
        <x:v>Surfaçada</x:v>
      </x:c>
      <x:c r="E2080" s="24" t="str">
        <x:v>ClearMind Plus</x:v>
      </x:c>
      <x:c r="F2080" s="24"/>
      <x:c r="G2080" s="24" t="str">
        <x:v>1.67</x:v>
      </x:c>
      <x:c r="H2080" s="24" t="str">
        <x:v>1.67</x:v>
      </x:c>
      <x:c r="I2080" s="24" t="str">
        <x:v>DuraVision Platinum UV</x:v>
      </x:c>
      <x:c r="J2080" s="40" t="n">
        <x:v>9679</x:v>
      </x:c>
      <x:c r="K2080" s="24" t="str">
        <x:v>-8.00 a +8.00</x:v>
      </x:c>
      <x:c r="L2080" s="24" t="str">
        <x:v>-6.00</x:v>
      </x:c>
      <x:c r="M2080" s="24" t="str">
        <x:v>0.75 a 3.00</x:v>
      </x:c>
      <x:c r="N2080" s="24" t="str">
        <x:v>70</x:v>
      </x:c>
      <x:c r="O2080" s="24"/>
      <x:c r="P2080" s="24"/>
      <x:c r="Q2080" s="24" t="str">
        <x:v>DISPONÍVEL</x:v>
      </x:c>
      <x:c r="R2080" s="24" t="str">
        <x:v>Programa de Parcerias ZEISS — categoria Experts</x:v>
      </x:c>
      <x:c r="S2080" s="24" t="n">
        <x:v>34</x:v>
      </x:c>
      <x:c r="T2080" s="24" t="str">
        <x:v>tabela_zeiss.pdf</x:v>
      </x:c>
      <x:c r="U2080" s="24" t="str">
        <x:v>ZEISS|Progressiva|Surfaçada|ClearMind Plus||1.67|1.67|DuraVision Platinum UV|-8.00 a +8.00|-6.00|0.75 a 3.00|70|||34</x:v>
      </x:c>
    </x:row>
    <x:row r="2081">
      <x:c r="A2081" s="24" t="str">
        <x:v>ZS-3FFB6B7C357F</x:v>
      </x:c>
      <x:c r="B2081" s="24" t="str">
        <x:v>ZEISS</x:v>
      </x:c>
      <x:c r="C2081" s="24" t="str">
        <x:v>Progressiva</x:v>
      </x:c>
      <x:c r="D2081" s="24" t="str">
        <x:v>Surfaçada</x:v>
      </x:c>
      <x:c r="E2081" s="24" t="str">
        <x:v>ClearMind Plus</x:v>
      </x:c>
      <x:c r="F2081" s="24"/>
      <x:c r="G2081" s="24" t="str">
        <x:v>1.67</x:v>
      </x:c>
      <x:c r="H2081" s="24" t="str">
        <x:v>1.67</x:v>
      </x:c>
      <x:c r="I2081" s="24" t="str">
        <x:v>DuraVision Silver UV</x:v>
      </x:c>
      <x:c r="J2081" s="40" t="n">
        <x:v>9419</x:v>
      </x:c>
      <x:c r="K2081" s="24" t="str">
        <x:v>-8.00 a +8.00</x:v>
      </x:c>
      <x:c r="L2081" s="24" t="str">
        <x:v>-6.00</x:v>
      </x:c>
      <x:c r="M2081" s="24" t="str">
        <x:v>0.75 a 3.00</x:v>
      </x:c>
      <x:c r="N2081" s="24" t="str">
        <x:v>70</x:v>
      </x:c>
      <x:c r="O2081" s="24"/>
      <x:c r="P2081" s="24"/>
      <x:c r="Q2081" s="24" t="str">
        <x:v>DISPONÍVEL</x:v>
      </x:c>
      <x:c r="R2081" s="24" t="str">
        <x:v>Programa de Parcerias ZEISS — categoria Experts</x:v>
      </x:c>
      <x:c r="S2081" s="24" t="n">
        <x:v>34</x:v>
      </x:c>
      <x:c r="T2081" s="24" t="str">
        <x:v>tabela_zeiss.pdf</x:v>
      </x:c>
      <x:c r="U2081" s="24" t="str">
        <x:v>ZEISS|Progressiva|Surfaçada|ClearMind Plus||1.67|1.67|DuraVision Silver UV|-8.00 a +8.00|-6.00|0.75 a 3.00|70|||34</x:v>
      </x:c>
    </x:row>
    <x:row r="2082">
      <x:c r="A2082" s="24" t="str">
        <x:v>ZS-92A1C5E60202</x:v>
      </x:c>
      <x:c r="B2082" s="24" t="str">
        <x:v>ZEISS</x:v>
      </x:c>
      <x:c r="C2082" s="24" t="str">
        <x:v>Progressiva</x:v>
      </x:c>
      <x:c r="D2082" s="24" t="str">
        <x:v>Surfaçada</x:v>
      </x:c>
      <x:c r="E2082" s="24" t="str">
        <x:v>ClearMind Plus</x:v>
      </x:c>
      <x:c r="F2082" s="24"/>
      <x:c r="G2082" s="24" t="str">
        <x:v>1.67</x:v>
      </x:c>
      <x:c r="H2082" s="24" t="str">
        <x:v>1.67</x:v>
      </x:c>
      <x:c r="I2082" s="24" t="str">
        <x:v>DuraVision Chrome UV</x:v>
      </x:c>
      <x:c r="J2082" s="40" t="n">
        <x:v>8929</x:v>
      </x:c>
      <x:c r="K2082" s="24" t="str">
        <x:v>-8.00 a +8.00</x:v>
      </x:c>
      <x:c r="L2082" s="24" t="str">
        <x:v>-6.00</x:v>
      </x:c>
      <x:c r="M2082" s="24" t="str">
        <x:v>0.75 a 3.00</x:v>
      </x:c>
      <x:c r="N2082" s="24" t="str">
        <x:v>70</x:v>
      </x:c>
      <x:c r="O2082" s="24"/>
      <x:c r="P2082" s="24"/>
      <x:c r="Q2082" s="24" t="str">
        <x:v>DISPONÍVEL</x:v>
      </x:c>
      <x:c r="R2082" s="24" t="str">
        <x:v>Programa de Parcerias ZEISS — categoria Experts</x:v>
      </x:c>
      <x:c r="S2082" s="24" t="n">
        <x:v>34</x:v>
      </x:c>
      <x:c r="T2082" s="24" t="str">
        <x:v>tabela_zeiss.pdf</x:v>
      </x:c>
      <x:c r="U2082" s="24" t="str">
        <x:v>ZEISS|Progressiva|Surfaçada|ClearMind Plus||1.67|1.67|DuraVision Chrome UV|-8.00 a +8.00|-6.00|0.75 a 3.00|70|||34</x:v>
      </x:c>
    </x:row>
    <x:row r="2083">
      <x:c r="A2083" s="24" t="str">
        <x:v>ZS-96453A1BC538</x:v>
      </x:c>
      <x:c r="B2083" s="24" t="str">
        <x:v>ZEISS</x:v>
      </x:c>
      <x:c r="C2083" s="24" t="str">
        <x:v>Progressiva</x:v>
      </x:c>
      <x:c r="D2083" s="24" t="str">
        <x:v>Surfaçada</x:v>
      </x:c>
      <x:c r="E2083" s="24" t="str">
        <x:v>ClearMind Plus</x:v>
      </x:c>
      <x:c r="F2083" s="24"/>
      <x:c r="G2083" s="24" t="str">
        <x:v>1.74</x:v>
      </x:c>
      <x:c r="H2083" s="24" t="str">
        <x:v>1.74</x:v>
      </x:c>
      <x:c r="I2083" s="24" t="str">
        <x:v>DuraVision Gold UV</x:v>
      </x:c>
      <x:c r="J2083" s="40" t="n">
        <x:v>11419</x:v>
      </x:c>
      <x:c r="K2083" s="24" t="str">
        <x:v>-10.00 a +7.00</x:v>
      </x:c>
      <x:c r="L2083" s="24" t="str">
        <x:v>-4.00</x:v>
      </x:c>
      <x:c r="M2083" s="24" t="str">
        <x:v>0.75 a 3.50</x:v>
      </x:c>
      <x:c r="N2083" s="24" t="str">
        <x:v>70 a 75</x:v>
      </x:c>
      <x:c r="O2083" s="24"/>
      <x:c r="P2083" s="24"/>
      <x:c r="Q2083" s="24" t="str">
        <x:v>DISPONÍVEL</x:v>
      </x:c>
      <x:c r="R2083" s="24" t="str">
        <x:v>Programa de Parcerias ZEISS — categoria Experts</x:v>
      </x:c>
      <x:c r="S2083" s="24" t="n">
        <x:v>34</x:v>
      </x:c>
      <x:c r="T2083" s="24" t="str">
        <x:v>tabela_zeiss.pdf</x:v>
      </x:c>
      <x:c r="U2083" s="24" t="str">
        <x:v>ZEISS|Progressiva|Surfaçada|ClearMind Plus||1.74|1.74|DuraVision Gold UV|-10.00 a +7.00|-4.00|0.75 a 3.50|70 a 75|||34</x:v>
      </x:c>
    </x:row>
    <x:row r="2084">
      <x:c r="A2084" s="24" t="str">
        <x:v>ZS-2277C19C87A7</x:v>
      </x:c>
      <x:c r="B2084" s="24" t="str">
        <x:v>ZEISS</x:v>
      </x:c>
      <x:c r="C2084" s="24" t="str">
        <x:v>Progressiva</x:v>
      </x:c>
      <x:c r="D2084" s="24" t="str">
        <x:v>Surfaçada</x:v>
      </x:c>
      <x:c r="E2084" s="24" t="str">
        <x:v>ClearMind Plus</x:v>
      </x:c>
      <x:c r="F2084" s="24"/>
      <x:c r="G2084" s="24" t="str">
        <x:v>1.74</x:v>
      </x:c>
      <x:c r="H2084" s="24" t="str">
        <x:v>1.74</x:v>
      </x:c>
      <x:c r="I2084" s="24" t="str">
        <x:v>DuraVision Platinum UV</x:v>
      </x:c>
      <x:c r="J2084" s="40" t="n">
        <x:v>11279</x:v>
      </x:c>
      <x:c r="K2084" s="24" t="str">
        <x:v>-10.00 a +7.00</x:v>
      </x:c>
      <x:c r="L2084" s="24" t="str">
        <x:v>-4.00</x:v>
      </x:c>
      <x:c r="M2084" s="24" t="str">
        <x:v>0.75 a 3.50</x:v>
      </x:c>
      <x:c r="N2084" s="24" t="str">
        <x:v>70 a 75</x:v>
      </x:c>
      <x:c r="O2084" s="24"/>
      <x:c r="P2084" s="24"/>
      <x:c r="Q2084" s="24" t="str">
        <x:v>DISPONÍVEL</x:v>
      </x:c>
      <x:c r="R2084" s="24" t="str">
        <x:v>Programa de Parcerias ZEISS — categoria Experts</x:v>
      </x:c>
      <x:c r="S2084" s="24" t="n">
        <x:v>34</x:v>
      </x:c>
      <x:c r="T2084" s="24" t="str">
        <x:v>tabela_zeiss.pdf</x:v>
      </x:c>
      <x:c r="U2084" s="24" t="str">
        <x:v>ZEISS|Progressiva|Surfaçada|ClearMind Plus||1.74|1.74|DuraVision Platinum UV|-10.00 a +7.00|-4.00|0.75 a 3.50|70 a 75|||34</x:v>
      </x:c>
    </x:row>
    <x:row r="2085">
      <x:c r="A2085" s="24" t="str">
        <x:v>ZS-4468C99F9834</x:v>
      </x:c>
      <x:c r="B2085" s="24" t="str">
        <x:v>ZEISS</x:v>
      </x:c>
      <x:c r="C2085" s="24" t="str">
        <x:v>Progressiva</x:v>
      </x:c>
      <x:c r="D2085" s="24" t="str">
        <x:v>Surfaçada</x:v>
      </x:c>
      <x:c r="E2085" s="24" t="str">
        <x:v>ClearMind Plus</x:v>
      </x:c>
      <x:c r="F2085" s="24"/>
      <x:c r="G2085" s="24" t="str">
        <x:v>1.74</x:v>
      </x:c>
      <x:c r="H2085" s="24" t="str">
        <x:v>1.74</x:v>
      </x:c>
      <x:c r="I2085" s="24" t="str">
        <x:v>DuraVision Silver UV</x:v>
      </x:c>
      <x:c r="J2085" s="40" t="n">
        <x:v>11019</x:v>
      </x:c>
      <x:c r="K2085" s="24" t="str">
        <x:v>-10.00 a +7.00</x:v>
      </x:c>
      <x:c r="L2085" s="24" t="str">
        <x:v>-4.00</x:v>
      </x:c>
      <x:c r="M2085" s="24" t="str">
        <x:v>0.75 a 3.50</x:v>
      </x:c>
      <x:c r="N2085" s="24" t="str">
        <x:v>70 a 75</x:v>
      </x:c>
      <x:c r="O2085" s="24"/>
      <x:c r="P2085" s="24"/>
      <x:c r="Q2085" s="24" t="str">
        <x:v>DISPONÍVEL</x:v>
      </x:c>
      <x:c r="R2085" s="24" t="str">
        <x:v>Programa de Parcerias ZEISS — categoria Experts</x:v>
      </x:c>
      <x:c r="S2085" s="24" t="n">
        <x:v>34</x:v>
      </x:c>
      <x:c r="T2085" s="24" t="str">
        <x:v>tabela_zeiss.pdf</x:v>
      </x:c>
      <x:c r="U2085" s="24" t="str">
        <x:v>ZEISS|Progressiva|Surfaçada|ClearMind Plus||1.74|1.74|DuraVision Silver UV|-10.00 a +7.00|-4.00|0.75 a 3.50|70 a 75|||34</x:v>
      </x:c>
    </x:row>
    <x:row r="2086">
      <x:c r="A2086" s="24" t="str">
        <x:v>ZS-BD9985F8A468</x:v>
      </x:c>
      <x:c r="B2086" s="24" t="str">
        <x:v>ZEISS</x:v>
      </x:c>
      <x:c r="C2086" s="24" t="str">
        <x:v>Progressiva</x:v>
      </x:c>
      <x:c r="D2086" s="24" t="str">
        <x:v>Surfaçada</x:v>
      </x:c>
      <x:c r="E2086" s="24" t="str">
        <x:v>ClearMind Plus</x:v>
      </x:c>
      <x:c r="F2086" s="24"/>
      <x:c r="G2086" s="24" t="str">
        <x:v>1.74</x:v>
      </x:c>
      <x:c r="H2086" s="24" t="str">
        <x:v>1.74</x:v>
      </x:c>
      <x:c r="I2086" s="24" t="str">
        <x:v>DuraVision Chrome UV</x:v>
      </x:c>
      <x:c r="J2086" s="40" t="n">
        <x:v>10529</x:v>
      </x:c>
      <x:c r="K2086" s="24" t="str">
        <x:v>-10.00 a +7.00</x:v>
      </x:c>
      <x:c r="L2086" s="24" t="str">
        <x:v>-4.00</x:v>
      </x:c>
      <x:c r="M2086" s="24" t="str">
        <x:v>0.75 a 3.50</x:v>
      </x:c>
      <x:c r="N2086" s="24" t="str">
        <x:v>70 a 75</x:v>
      </x:c>
      <x:c r="O2086" s="24"/>
      <x:c r="P2086" s="24"/>
      <x:c r="Q2086" s="24" t="str">
        <x:v>DISPONÍVEL</x:v>
      </x:c>
      <x:c r="R2086" s="24" t="str">
        <x:v>Programa de Parcerias ZEISS — categoria Experts</x:v>
      </x:c>
      <x:c r="S2086" s="24" t="n">
        <x:v>34</x:v>
      </x:c>
      <x:c r="T2086" s="24" t="str">
        <x:v>tabela_zeiss.pdf</x:v>
      </x:c>
      <x:c r="U2086" s="24" t="str">
        <x:v>ZEISS|Progressiva|Surfaçada|ClearMind Plus||1.74|1.74|DuraVision Chrome UV|-10.00 a +7.00|-4.00|0.75 a 3.50|70 a 75|||34</x:v>
      </x:c>
    </x:row>
    <x:row r="2087">
      <x:c r="A2087" s="24" t="str">
        <x:v>ZS-BBB2E418BE40</x:v>
      </x:c>
      <x:c r="B2087" s="24" t="str">
        <x:v>ZEISS</x:v>
      </x:c>
      <x:c r="C2087" s="24" t="str">
        <x:v>Progressiva</x:v>
      </x:c>
      <x:c r="D2087" s="24" t="str">
        <x:v>Surfaçada</x:v>
      </x:c>
      <x:c r="E2087" s="24" t="str">
        <x:v>ClearMind Plus</x:v>
      </x:c>
      <x:c r="F2087" s="24" t="str">
        <x:v>PhotoFusion X</x:v>
      </x:c>
      <x:c r="G2087" s="24" t="str">
        <x:v>1.5</x:v>
      </x:c>
      <x:c r="H2087" s="24" t="str">
        <x:v>1.50</x:v>
      </x:c>
      <x:c r="I2087" s="24" t="str">
        <x:v>DuraVision Gold UV</x:v>
      </x:c>
      <x:c r="J2087" s="40" t="n">
        <x:v>8349</x:v>
      </x:c>
      <x:c r="K2087" s="24" t="str">
        <x:v>-6.00 a +5.50</x:v>
      </x:c>
      <x:c r="L2087" s="24" t="str">
        <x:v>-4.00</x:v>
      </x:c>
      <x:c r="M2087" s="24" t="str">
        <x:v>0.75 a 3.00</x:v>
      </x:c>
      <x:c r="N2087" s="24" t="str">
        <x:v>75</x:v>
      </x:c>
      <x:c r="O2087" s="24"/>
      <x:c r="P2087" s="24"/>
      <x:c r="Q2087" s="24" t="str">
        <x:v>DISPONÍVEL</x:v>
      </x:c>
      <x:c r="R2087" s="24" t="str">
        <x:v>Programa de Parcerias ZEISS — categoria Experts; Programa de Parcerias ZEISS</x:v>
      </x:c>
      <x:c r="S2087" s="24" t="n">
        <x:v>34</x:v>
      </x:c>
      <x:c r="T2087" s="24" t="str">
        <x:v>tabela_zeiss.pdf</x:v>
      </x:c>
      <x:c r="U2087" s="24" t="str">
        <x:v>ZEISS|Progressiva|Surfaçada|ClearMind Plus|PhotoFusion X|1.5|1.50|DuraVision Gold UV|-6.00 a +5.50|-4.00|0.75 a 3.00|75|||34</x:v>
      </x:c>
    </x:row>
    <x:row r="2088">
      <x:c r="A2088" s="24" t="str">
        <x:v>ZS-20B58052B2BE</x:v>
      </x:c>
      <x:c r="B2088" s="24" t="str">
        <x:v>ZEISS</x:v>
      </x:c>
      <x:c r="C2088" s="24" t="str">
        <x:v>Progressiva</x:v>
      </x:c>
      <x:c r="D2088" s="24" t="str">
        <x:v>Surfaçada</x:v>
      </x:c>
      <x:c r="E2088" s="24" t="str">
        <x:v>ClearMind Plus</x:v>
      </x:c>
      <x:c r="F2088" s="24" t="str">
        <x:v>PhotoFusion X</x:v>
      </x:c>
      <x:c r="G2088" s="24" t="str">
        <x:v>1.5</x:v>
      </x:c>
      <x:c r="H2088" s="24" t="str">
        <x:v>1.50</x:v>
      </x:c>
      <x:c r="I2088" s="24" t="str">
        <x:v>DURAVISION® ANTIVÍRUS PLATINUM UV</x:v>
      </x:c>
      <x:c r="J2088" s="40" t="n">
        <x:v>8209</x:v>
      </x:c>
      <x:c r="K2088" s="24" t="str">
        <x:v>-6.00 a +5.50</x:v>
      </x:c>
      <x:c r="L2088" s="24" t="str">
        <x:v>-4.00</x:v>
      </x:c>
      <x:c r="M2088" s="24" t="str">
        <x:v>0.75 a 3.00</x:v>
      </x:c>
      <x:c r="N2088" s="24" t="str">
        <x:v>75</x:v>
      </x:c>
      <x:c r="O2088" s="24"/>
      <x:c r="P2088" s="24"/>
      <x:c r="Q2088" s="24" t="str">
        <x:v>DISPONÍVEL</x:v>
      </x:c>
      <x:c r="R2088" s="24" t="str">
        <x:v>Programa de Parcerias ZEISS — categoria Experts; Programa de Parcerias ZEISS</x:v>
      </x:c>
      <x:c r="S2088" s="24" t="n">
        <x:v>34</x:v>
      </x:c>
      <x:c r="T2088" s="24" t="str">
        <x:v>tabela_zeiss.pdf</x:v>
      </x:c>
      <x:c r="U2088" s="24" t="str">
        <x:v>ZEISS|Progressiva|Surfaçada|ClearMind Plus|PhotoFusion X|1.5|1.50|DURAVISION® ANTIVÍRUS PLATINUM UV|-6.00 a +5.50|-4.00|0.75 a 3.00|75|||34</x:v>
      </x:c>
    </x:row>
    <x:row r="2089">
      <x:c r="A2089" s="24" t="str">
        <x:v>ZS-06C8B3EE67CB</x:v>
      </x:c>
      <x:c r="B2089" s="24" t="str">
        <x:v>ZEISS</x:v>
      </x:c>
      <x:c r="C2089" s="24" t="str">
        <x:v>Progressiva</x:v>
      </x:c>
      <x:c r="D2089" s="24" t="str">
        <x:v>Surfaçada</x:v>
      </x:c>
      <x:c r="E2089" s="24" t="str">
        <x:v>ClearMind Plus</x:v>
      </x:c>
      <x:c r="F2089" s="24" t="str">
        <x:v>PhotoFusion X</x:v>
      </x:c>
      <x:c r="G2089" s="24" t="str">
        <x:v>1.5</x:v>
      </x:c>
      <x:c r="H2089" s="24" t="str">
        <x:v>1.50</x:v>
      </x:c>
      <x:c r="I2089" s="24" t="str">
        <x:v>DuraVision Platinum UV</x:v>
      </x:c>
      <x:c r="J2089" s="40" t="n">
        <x:v>8209</x:v>
      </x:c>
      <x:c r="K2089" s="24" t="str">
        <x:v>-6.00 a +5.50</x:v>
      </x:c>
      <x:c r="L2089" s="24" t="str">
        <x:v>-4.00</x:v>
      </x:c>
      <x:c r="M2089" s="24" t="str">
        <x:v>0.75 a 3.00</x:v>
      </x:c>
      <x:c r="N2089" s="24" t="str">
        <x:v>75</x:v>
      </x:c>
      <x:c r="O2089" s="24"/>
      <x:c r="P2089" s="24"/>
      <x:c r="Q2089" s="24" t="str">
        <x:v>DISPONÍVEL</x:v>
      </x:c>
      <x:c r="R2089" s="24" t="str">
        <x:v>Programa de Parcerias ZEISS — categoria Experts; Programa de Parcerias ZEISS</x:v>
      </x:c>
      <x:c r="S2089" s="24" t="n">
        <x:v>34</x:v>
      </x:c>
      <x:c r="T2089" s="24" t="str">
        <x:v>tabela_zeiss.pdf</x:v>
      </x:c>
      <x:c r="U2089" s="24" t="str">
        <x:v>ZEISS|Progressiva|Surfaçada|ClearMind Plus|PhotoFusion X|1.5|1.50|DuraVision Platinum UV|-6.00 a +5.50|-4.00|0.75 a 3.00|75|||34</x:v>
      </x:c>
    </x:row>
    <x:row r="2090">
      <x:c r="A2090" s="24" t="str">
        <x:v>ZS-2DBA38CBC3C9</x:v>
      </x:c>
      <x:c r="B2090" s="24" t="str">
        <x:v>ZEISS</x:v>
      </x:c>
      <x:c r="C2090" s="24" t="str">
        <x:v>Progressiva</x:v>
      </x:c>
      <x:c r="D2090" s="24" t="str">
        <x:v>Surfaçada</x:v>
      </x:c>
      <x:c r="E2090" s="24" t="str">
        <x:v>ClearMind Plus</x:v>
      </x:c>
      <x:c r="F2090" s="24" t="str">
        <x:v>PhotoFusion X</x:v>
      </x:c>
      <x:c r="G2090" s="24" t="str">
        <x:v>1.5</x:v>
      </x:c>
      <x:c r="H2090" s="24" t="str">
        <x:v>1.50</x:v>
      </x:c>
      <x:c r="I2090" s="24" t="str">
        <x:v>DuraVision Silver UV</x:v>
      </x:c>
      <x:c r="J2090" s="40" t="n">
        <x:v>7949</x:v>
      </x:c>
      <x:c r="K2090" s="24" t="str">
        <x:v>-6.00 a +5.50</x:v>
      </x:c>
      <x:c r="L2090" s="24" t="str">
        <x:v>-4.00</x:v>
      </x:c>
      <x:c r="M2090" s="24" t="str">
        <x:v>0.75 a 3.00</x:v>
      </x:c>
      <x:c r="N2090" s="24" t="str">
        <x:v>75</x:v>
      </x:c>
      <x:c r="O2090" s="24"/>
      <x:c r="P2090" s="24"/>
      <x:c r="Q2090" s="24" t="str">
        <x:v>DISPONÍVEL</x:v>
      </x:c>
      <x:c r="R2090" s="24" t="str">
        <x:v>Programa de Parcerias ZEISS — categoria Experts; Programa de Parcerias ZEISS</x:v>
      </x:c>
      <x:c r="S2090" s="24" t="n">
        <x:v>34</x:v>
      </x:c>
      <x:c r="T2090" s="24" t="str">
        <x:v>tabela_zeiss.pdf</x:v>
      </x:c>
      <x:c r="U2090" s="24" t="str">
        <x:v>ZEISS|Progressiva|Surfaçada|ClearMind Plus|PhotoFusion X|1.5|1.50|DuraVision Silver UV|-6.00 a +5.50|-4.00|0.75 a 3.00|75|||34</x:v>
      </x:c>
    </x:row>
    <x:row r="2091">
      <x:c r="A2091" s="24" t="str">
        <x:v>ZS-073EFA42E331</x:v>
      </x:c>
      <x:c r="B2091" s="24" t="str">
        <x:v>ZEISS</x:v>
      </x:c>
      <x:c r="C2091" s="24" t="str">
        <x:v>Progressiva</x:v>
      </x:c>
      <x:c r="D2091" s="24" t="str">
        <x:v>Surfaçada</x:v>
      </x:c>
      <x:c r="E2091" s="24" t="str">
        <x:v>ClearMind Plus</x:v>
      </x:c>
      <x:c r="F2091" s="24" t="str">
        <x:v>PhotoFusion X</x:v>
      </x:c>
      <x:c r="G2091" s="24" t="str">
        <x:v>1.5</x:v>
      </x:c>
      <x:c r="H2091" s="24" t="str">
        <x:v>1.50</x:v>
      </x:c>
      <x:c r="I2091" s="24" t="str">
        <x:v>DuraVision Chrome UV</x:v>
      </x:c>
      <x:c r="J2091" s="40" t="n">
        <x:v>7459</x:v>
      </x:c>
      <x:c r="K2091" s="24" t="str">
        <x:v>-6.00 a +5.50</x:v>
      </x:c>
      <x:c r="L2091" s="24" t="str">
        <x:v>-4.00</x:v>
      </x:c>
      <x:c r="M2091" s="24" t="str">
        <x:v>0.75 a 3.00</x:v>
      </x:c>
      <x:c r="N2091" s="24" t="str">
        <x:v>75</x:v>
      </x:c>
      <x:c r="O2091" s="24"/>
      <x:c r="P2091" s="24"/>
      <x:c r="Q2091" s="24" t="str">
        <x:v>DISPONÍVEL</x:v>
      </x:c>
      <x:c r="R2091" s="24" t="str">
        <x:v>Programa de Parcerias ZEISS — categoria Experts; Programa de Parcerias ZEISS</x:v>
      </x:c>
      <x:c r="S2091" s="24" t="n">
        <x:v>34</x:v>
      </x:c>
      <x:c r="T2091" s="24" t="str">
        <x:v>tabela_zeiss.pdf</x:v>
      </x:c>
      <x:c r="U2091" s="24" t="str">
        <x:v>ZEISS|Progressiva|Surfaçada|ClearMind Plus|PhotoFusion X|1.5|1.50|DuraVision Chrome UV|-6.00 a +5.50|-4.00|0.75 a 3.00|75|||34</x:v>
      </x:c>
    </x:row>
    <x:row r="2092">
      <x:c r="A2092" s="24" t="str">
        <x:v>ZS-07B5CD5294EA</x:v>
      </x:c>
      <x:c r="B2092" s="24" t="str">
        <x:v>ZEISS</x:v>
      </x:c>
      <x:c r="C2092" s="24" t="str">
        <x:v>Progressiva</x:v>
      </x:c>
      <x:c r="D2092" s="24" t="str">
        <x:v>Surfaçada</x:v>
      </x:c>
      <x:c r="E2092" s="24" t="str">
        <x:v>ClearMind Plus</x:v>
      </x:c>
      <x:c r="F2092" s="24" t="str">
        <x:v>PhotoFusion X</x:v>
      </x:c>
      <x:c r="G2092" s="24" t="str">
        <x:v>Poli</x:v>
      </x:c>
      <x:c r="H2092" s="24"/>
      <x:c r="I2092" s="24" t="str">
        <x:v>DuraVision Gold UV</x:v>
      </x:c>
      <x:c r="J2092" s="40" t="n">
        <x:v>8939</x:v>
      </x:c>
      <x:c r="K2092" s="24" t="str">
        <x:v>-10.00 a +6.00</x:v>
      </x:c>
      <x:c r="L2092" s="24" t="str">
        <x:v>-6.00</x:v>
      </x:c>
      <x:c r="M2092" s="24" t="str">
        <x:v>0.75 a 3.00</x:v>
      </x:c>
      <x:c r="N2092" s="24" t="str">
        <x:v>70</x:v>
      </x:c>
      <x:c r="O2092" s="24"/>
      <x:c r="P2092" s="24"/>
      <x:c r="Q2092" s="24" t="str">
        <x:v>DISPONÍVEL</x:v>
      </x:c>
      <x:c r="R2092" s="24" t="str">
        <x:v>Programa de Parcerias ZEISS — categoria Experts; Programa de Parcerias ZEISS</x:v>
      </x:c>
      <x:c r="S2092" s="24" t="n">
        <x:v>34</x:v>
      </x:c>
      <x:c r="T2092" s="24" t="str">
        <x:v>tabela_zeiss.pdf</x:v>
      </x:c>
      <x:c r="U2092" s="24" t="str">
        <x:v>ZEISS|Progressiva|Surfaçada|ClearMind Plus|PhotoFusion X|Poli||DuraVision Gold UV|-10.00 a +6.00|-6.00|0.75 a 3.00|70|||34</x:v>
      </x:c>
    </x:row>
    <x:row r="2093">
      <x:c r="A2093" s="24" t="str">
        <x:v>ZS-A2F7915203C4</x:v>
      </x:c>
      <x:c r="B2093" s="24" t="str">
        <x:v>ZEISS</x:v>
      </x:c>
      <x:c r="C2093" s="24" t="str">
        <x:v>Progressiva</x:v>
      </x:c>
      <x:c r="D2093" s="24" t="str">
        <x:v>Surfaçada</x:v>
      </x:c>
      <x:c r="E2093" s="24" t="str">
        <x:v>ClearMind Plus</x:v>
      </x:c>
      <x:c r="F2093" s="24" t="str">
        <x:v>PhotoFusion X</x:v>
      </x:c>
      <x:c r="G2093" s="24" t="str">
        <x:v>Poli</x:v>
      </x:c>
      <x:c r="H2093" s="24"/>
      <x:c r="I2093" s="24" t="str">
        <x:v>DuraVision Platinum UV</x:v>
      </x:c>
      <x:c r="J2093" s="40" t="n">
        <x:v>8799</x:v>
      </x:c>
      <x:c r="K2093" s="24" t="str">
        <x:v>-10.00 a +6.00</x:v>
      </x:c>
      <x:c r="L2093" s="24" t="str">
        <x:v>-6.00</x:v>
      </x:c>
      <x:c r="M2093" s="24" t="str">
        <x:v>0.75 a 3.00</x:v>
      </x:c>
      <x:c r="N2093" s="24" t="str">
        <x:v>70</x:v>
      </x:c>
      <x:c r="O2093" s="24"/>
      <x:c r="P2093" s="24"/>
      <x:c r="Q2093" s="24" t="str">
        <x:v>DISPONÍVEL</x:v>
      </x:c>
      <x:c r="R2093" s="24" t="str">
        <x:v>Programa de Parcerias ZEISS — categoria Experts; Programa de Parcerias ZEISS</x:v>
      </x:c>
      <x:c r="S2093" s="24" t="n">
        <x:v>34</x:v>
      </x:c>
      <x:c r="T2093" s="24" t="str">
        <x:v>tabela_zeiss.pdf</x:v>
      </x:c>
      <x:c r="U2093" s="24" t="str">
        <x:v>ZEISS|Progressiva|Surfaçada|ClearMind Plus|PhotoFusion X|Poli||DuraVision Platinum UV|-10.00 a +6.00|-6.00|0.75 a 3.00|70|||34</x:v>
      </x:c>
    </x:row>
    <x:row r="2094">
      <x:c r="A2094" s="24" t="str">
        <x:v>ZS-FFF921936FCC</x:v>
      </x:c>
      <x:c r="B2094" s="24" t="str">
        <x:v>ZEISS</x:v>
      </x:c>
      <x:c r="C2094" s="24" t="str">
        <x:v>Progressiva</x:v>
      </x:c>
      <x:c r="D2094" s="24" t="str">
        <x:v>Surfaçada</x:v>
      </x:c>
      <x:c r="E2094" s="24" t="str">
        <x:v>ClearMind Plus</x:v>
      </x:c>
      <x:c r="F2094" s="24" t="str">
        <x:v>PhotoFusion X</x:v>
      </x:c>
      <x:c r="G2094" s="24" t="str">
        <x:v>Poli</x:v>
      </x:c>
      <x:c r="H2094" s="24"/>
      <x:c r="I2094" s="24" t="str">
        <x:v>DuraVision Silver UV</x:v>
      </x:c>
      <x:c r="J2094" s="40" t="n">
        <x:v>8539</x:v>
      </x:c>
      <x:c r="K2094" s="24" t="str">
        <x:v>-10.00 a +6.00</x:v>
      </x:c>
      <x:c r="L2094" s="24" t="str">
        <x:v>-6.00</x:v>
      </x:c>
      <x:c r="M2094" s="24" t="str">
        <x:v>0.75 a 3.00</x:v>
      </x:c>
      <x:c r="N2094" s="24" t="str">
        <x:v>70</x:v>
      </x:c>
      <x:c r="O2094" s="24"/>
      <x:c r="P2094" s="24"/>
      <x:c r="Q2094" s="24" t="str">
        <x:v>DISPONÍVEL</x:v>
      </x:c>
      <x:c r="R2094" s="24" t="str">
        <x:v>Programa de Parcerias ZEISS — categoria Experts; Programa de Parcerias ZEISS</x:v>
      </x:c>
      <x:c r="S2094" s="24" t="n">
        <x:v>34</x:v>
      </x:c>
      <x:c r="T2094" s="24" t="str">
        <x:v>tabela_zeiss.pdf</x:v>
      </x:c>
      <x:c r="U2094" s="24" t="str">
        <x:v>ZEISS|Progressiva|Surfaçada|ClearMind Plus|PhotoFusion X|Poli||DuraVision Silver UV|-10.00 a +6.00|-6.00|0.75 a 3.00|70|||34</x:v>
      </x:c>
    </x:row>
    <x:row r="2095">
      <x:c r="A2095" s="24" t="str">
        <x:v>ZS-E6B8CA621C72</x:v>
      </x:c>
      <x:c r="B2095" s="24" t="str">
        <x:v>ZEISS</x:v>
      </x:c>
      <x:c r="C2095" s="24" t="str">
        <x:v>Progressiva</x:v>
      </x:c>
      <x:c r="D2095" s="24" t="str">
        <x:v>Surfaçada</x:v>
      </x:c>
      <x:c r="E2095" s="24" t="str">
        <x:v>ClearMind Plus</x:v>
      </x:c>
      <x:c r="F2095" s="24" t="str">
        <x:v>PhotoFusion X</x:v>
      </x:c>
      <x:c r="G2095" s="24" t="str">
        <x:v>Poli</x:v>
      </x:c>
      <x:c r="H2095" s="24"/>
      <x:c r="I2095" s="24" t="str">
        <x:v>DuraVision Chrome UV</x:v>
      </x:c>
      <x:c r="J2095" s="40" t="n">
        <x:v>8049</x:v>
      </x:c>
      <x:c r="K2095" s="24" t="str">
        <x:v>-10.00 a +6.00</x:v>
      </x:c>
      <x:c r="L2095" s="24" t="str">
        <x:v>-6.00</x:v>
      </x:c>
      <x:c r="M2095" s="24" t="str">
        <x:v>0.75 a 3.00</x:v>
      </x:c>
      <x:c r="N2095" s="24" t="str">
        <x:v>70</x:v>
      </x:c>
      <x:c r="O2095" s="24"/>
      <x:c r="P2095" s="24"/>
      <x:c r="Q2095" s="24" t="str">
        <x:v>DISPONÍVEL</x:v>
      </x:c>
      <x:c r="R2095" s="24" t="str">
        <x:v>Programa de Parcerias ZEISS — categoria Experts; Programa de Parcerias ZEISS</x:v>
      </x:c>
      <x:c r="S2095" s="24" t="n">
        <x:v>34</x:v>
      </x:c>
      <x:c r="T2095" s="24" t="str">
        <x:v>tabela_zeiss.pdf</x:v>
      </x:c>
      <x:c r="U2095" s="24" t="str">
        <x:v>ZEISS|Progressiva|Surfaçada|ClearMind Plus|PhotoFusion X|Poli||DuraVision Chrome UV|-10.00 a +6.00|-6.00|0.75 a 3.00|70|||34</x:v>
      </x:c>
    </x:row>
    <x:row r="2096">
      <x:c r="A2096" s="24" t="str">
        <x:v>ZS-B533AC4AB116</x:v>
      </x:c>
      <x:c r="B2096" s="24" t="str">
        <x:v>ZEISS</x:v>
      </x:c>
      <x:c r="C2096" s="24" t="str">
        <x:v>Progressiva</x:v>
      </x:c>
      <x:c r="D2096" s="24" t="str">
        <x:v>Surfaçada</x:v>
      </x:c>
      <x:c r="E2096" s="24" t="str">
        <x:v>ClearMind Plus</x:v>
      </x:c>
      <x:c r="F2096" s="24" t="str">
        <x:v>PhotoFusion X</x:v>
      </x:c>
      <x:c r="G2096" s="24" t="str">
        <x:v>1.6</x:v>
      </x:c>
      <x:c r="H2096" s="24" t="str">
        <x:v>1.60</x:v>
      </x:c>
      <x:c r="I2096" s="24" t="str">
        <x:v>DuraVision Gold UV</x:v>
      </x:c>
      <x:c r="J2096" s="40" t="n">
        <x:v>9599</x:v>
      </x:c>
      <x:c r="K2096" s="24" t="str">
        <x:v>-7.25 a +6.00</x:v>
      </x:c>
      <x:c r="L2096" s="24" t="str">
        <x:v>-6.00</x:v>
      </x:c>
      <x:c r="M2096" s="24" t="str">
        <x:v>0.75 a 3.50</x:v>
      </x:c>
      <x:c r="N2096" s="24" t="str">
        <x:v>75</x:v>
      </x:c>
      <x:c r="O2096" s="24"/>
      <x:c r="P2096" s="24"/>
      <x:c r="Q2096" s="24" t="str">
        <x:v>DISPONÍVEL</x:v>
      </x:c>
      <x:c r="R2096" s="24" t="str">
        <x:v>Programa de Parcerias ZEISS — categoria Experts; Programa de Parcerias ZEISS</x:v>
      </x:c>
      <x:c r="S2096" s="24" t="n">
        <x:v>34</x:v>
      </x:c>
      <x:c r="T2096" s="24" t="str">
        <x:v>tabela_zeiss.pdf</x:v>
      </x:c>
      <x:c r="U2096" s="24" t="str">
        <x:v>ZEISS|Progressiva|Surfaçada|ClearMind Plus|PhotoFusion X|1.6|1.60|DuraVision Gold UV|-7.25 a +6.00|-6.00|0.75 a 3.50|75|||34</x:v>
      </x:c>
    </x:row>
    <x:row r="2097">
      <x:c r="A2097" s="24" t="str">
        <x:v>ZS-1E9BD8E1C044</x:v>
      </x:c>
      <x:c r="B2097" s="24" t="str">
        <x:v>ZEISS</x:v>
      </x:c>
      <x:c r="C2097" s="24" t="str">
        <x:v>Progressiva</x:v>
      </x:c>
      <x:c r="D2097" s="24" t="str">
        <x:v>Surfaçada</x:v>
      </x:c>
      <x:c r="E2097" s="24" t="str">
        <x:v>ClearMind Plus</x:v>
      </x:c>
      <x:c r="F2097" s="24" t="str">
        <x:v>PhotoFusion X</x:v>
      </x:c>
      <x:c r="G2097" s="24" t="str">
        <x:v>1.6</x:v>
      </x:c>
      <x:c r="H2097" s="24" t="str">
        <x:v>1.60</x:v>
      </x:c>
      <x:c r="I2097" s="24" t="str">
        <x:v>DURAVISION® ANTIVÍRUS PLATINUM UV</x:v>
      </x:c>
      <x:c r="J2097" s="40" t="n">
        <x:v>9459</x:v>
      </x:c>
      <x:c r="K2097" s="24" t="str">
        <x:v>-7.25 a +6.00</x:v>
      </x:c>
      <x:c r="L2097" s="24" t="str">
        <x:v>-6.00</x:v>
      </x:c>
      <x:c r="M2097" s="24" t="str">
        <x:v>0.75 a 3.50</x:v>
      </x:c>
      <x:c r="N2097" s="24" t="str">
        <x:v>75</x:v>
      </x:c>
      <x:c r="O2097" s="24"/>
      <x:c r="P2097" s="24"/>
      <x:c r="Q2097" s="24" t="str">
        <x:v>DISPONÍVEL</x:v>
      </x:c>
      <x:c r="R2097" s="24" t="str">
        <x:v>Programa de Parcerias ZEISS — categoria Experts; Programa de Parcerias ZEISS</x:v>
      </x:c>
      <x:c r="S2097" s="24" t="n">
        <x:v>34</x:v>
      </x:c>
      <x:c r="T2097" s="24" t="str">
        <x:v>tabela_zeiss.pdf</x:v>
      </x:c>
      <x:c r="U2097" s="24" t="str">
        <x:v>ZEISS|Progressiva|Surfaçada|ClearMind Plus|PhotoFusion X|1.6|1.60|DURAVISION® ANTIVÍRUS PLATINUM UV|-7.25 a +6.00|-6.00|0.75 a 3.50|75|||34</x:v>
      </x:c>
    </x:row>
    <x:row r="2098">
      <x:c r="A2098" s="24" t="str">
        <x:v>ZS-B57B12D5FF2B</x:v>
      </x:c>
      <x:c r="B2098" s="24" t="str">
        <x:v>ZEISS</x:v>
      </x:c>
      <x:c r="C2098" s="24" t="str">
        <x:v>Progressiva</x:v>
      </x:c>
      <x:c r="D2098" s="24" t="str">
        <x:v>Surfaçada</x:v>
      </x:c>
      <x:c r="E2098" s="24" t="str">
        <x:v>ClearMind Plus</x:v>
      </x:c>
      <x:c r="F2098" s="24" t="str">
        <x:v>PhotoFusion X</x:v>
      </x:c>
      <x:c r="G2098" s="24" t="str">
        <x:v>1.6</x:v>
      </x:c>
      <x:c r="H2098" s="24" t="str">
        <x:v>1.60</x:v>
      </x:c>
      <x:c r="I2098" s="24" t="str">
        <x:v>DuraVision Platinum UV</x:v>
      </x:c>
      <x:c r="J2098" s="40" t="n">
        <x:v>9459</x:v>
      </x:c>
      <x:c r="K2098" s="24" t="str">
        <x:v>-7.25 a +6.00</x:v>
      </x:c>
      <x:c r="L2098" s="24" t="str">
        <x:v>-6.00</x:v>
      </x:c>
      <x:c r="M2098" s="24" t="str">
        <x:v>0.75 a 3.50</x:v>
      </x:c>
      <x:c r="N2098" s="24" t="str">
        <x:v>75</x:v>
      </x:c>
      <x:c r="O2098" s="24"/>
      <x:c r="P2098" s="24"/>
      <x:c r="Q2098" s="24" t="str">
        <x:v>DISPONÍVEL</x:v>
      </x:c>
      <x:c r="R2098" s="24" t="str">
        <x:v>Programa de Parcerias ZEISS — categoria Experts; Programa de Parcerias ZEISS</x:v>
      </x:c>
      <x:c r="S2098" s="24" t="n">
        <x:v>34</x:v>
      </x:c>
      <x:c r="T2098" s="24" t="str">
        <x:v>tabela_zeiss.pdf</x:v>
      </x:c>
      <x:c r="U2098" s="24" t="str">
        <x:v>ZEISS|Progressiva|Surfaçada|ClearMind Plus|PhotoFusion X|1.6|1.60|DuraVision Platinum UV|-7.25 a +6.00|-6.00|0.75 a 3.50|75|||34</x:v>
      </x:c>
    </x:row>
    <x:row r="2099">
      <x:c r="A2099" s="24" t="str">
        <x:v>ZS-F9EF0F37A459</x:v>
      </x:c>
      <x:c r="B2099" s="24" t="str">
        <x:v>ZEISS</x:v>
      </x:c>
      <x:c r="C2099" s="24" t="str">
        <x:v>Progressiva</x:v>
      </x:c>
      <x:c r="D2099" s="24" t="str">
        <x:v>Surfaçada</x:v>
      </x:c>
      <x:c r="E2099" s="24" t="str">
        <x:v>ClearMind Plus</x:v>
      </x:c>
      <x:c r="F2099" s="24" t="str">
        <x:v>PhotoFusion X</x:v>
      </x:c>
      <x:c r="G2099" s="24" t="str">
        <x:v>1.6</x:v>
      </x:c>
      <x:c r="H2099" s="24" t="str">
        <x:v>1.60</x:v>
      </x:c>
      <x:c r="I2099" s="24" t="str">
        <x:v>DuraVision Silver UV</x:v>
      </x:c>
      <x:c r="J2099" s="40" t="n">
        <x:v>9199</x:v>
      </x:c>
      <x:c r="K2099" s="24" t="str">
        <x:v>-7.25 a +6.00</x:v>
      </x:c>
      <x:c r="L2099" s="24" t="str">
        <x:v>-6.00</x:v>
      </x:c>
      <x:c r="M2099" s="24" t="str">
        <x:v>0.75 a 3.50</x:v>
      </x:c>
      <x:c r="N2099" s="24" t="str">
        <x:v>75</x:v>
      </x:c>
      <x:c r="O2099" s="24"/>
      <x:c r="P2099" s="24"/>
      <x:c r="Q2099" s="24" t="str">
        <x:v>DISPONÍVEL</x:v>
      </x:c>
      <x:c r="R2099" s="24" t="str">
        <x:v>Programa de Parcerias ZEISS — categoria Experts; Programa de Parcerias ZEISS</x:v>
      </x:c>
      <x:c r="S2099" s="24" t="n">
        <x:v>34</x:v>
      </x:c>
      <x:c r="T2099" s="24" t="str">
        <x:v>tabela_zeiss.pdf</x:v>
      </x:c>
      <x:c r="U2099" s="24" t="str">
        <x:v>ZEISS|Progressiva|Surfaçada|ClearMind Plus|PhotoFusion X|1.6|1.60|DuraVision Silver UV|-7.25 a +6.00|-6.00|0.75 a 3.50|75|||34</x:v>
      </x:c>
    </x:row>
    <x:row r="2100">
      <x:c r="A2100" s="24" t="str">
        <x:v>ZS-0AF66D24C272</x:v>
      </x:c>
      <x:c r="B2100" s="24" t="str">
        <x:v>ZEISS</x:v>
      </x:c>
      <x:c r="C2100" s="24" t="str">
        <x:v>Progressiva</x:v>
      </x:c>
      <x:c r="D2100" s="24" t="str">
        <x:v>Surfaçada</x:v>
      </x:c>
      <x:c r="E2100" s="24" t="str">
        <x:v>ClearMind Plus</x:v>
      </x:c>
      <x:c r="F2100" s="24" t="str">
        <x:v>PhotoFusion X</x:v>
      </x:c>
      <x:c r="G2100" s="24" t="str">
        <x:v>1.6</x:v>
      </x:c>
      <x:c r="H2100" s="24" t="str">
        <x:v>1.60</x:v>
      </x:c>
      <x:c r="I2100" s="24" t="str">
        <x:v>DuraVision Chrome UV</x:v>
      </x:c>
      <x:c r="J2100" s="40" t="n">
        <x:v>8709</x:v>
      </x:c>
      <x:c r="K2100" s="24" t="str">
        <x:v>-7.25 a +6.00</x:v>
      </x:c>
      <x:c r="L2100" s="24" t="str">
        <x:v>-6.00</x:v>
      </x:c>
      <x:c r="M2100" s="24" t="str">
        <x:v>0.75 a 3.50</x:v>
      </x:c>
      <x:c r="N2100" s="24" t="str">
        <x:v>75</x:v>
      </x:c>
      <x:c r="O2100" s="24"/>
      <x:c r="P2100" s="24"/>
      <x:c r="Q2100" s="24" t="str">
        <x:v>DISPONÍVEL</x:v>
      </x:c>
      <x:c r="R2100" s="24" t="str">
        <x:v>Programa de Parcerias ZEISS — categoria Experts; Programa de Parcerias ZEISS</x:v>
      </x:c>
      <x:c r="S2100" s="24" t="n">
        <x:v>34</x:v>
      </x:c>
      <x:c r="T2100" s="24" t="str">
        <x:v>tabela_zeiss.pdf</x:v>
      </x:c>
      <x:c r="U2100" s="24" t="str">
        <x:v>ZEISS|Progressiva|Surfaçada|ClearMind Plus|PhotoFusion X|1.6|1.60|DuraVision Chrome UV|-7.25 a +6.00|-6.00|0.75 a 3.50|75|||34</x:v>
      </x:c>
    </x:row>
    <x:row r="2101">
      <x:c r="A2101" s="24" t="str">
        <x:v>ZS-38BF7254BCAA</x:v>
      </x:c>
      <x:c r="B2101" s="24" t="str">
        <x:v>ZEISS</x:v>
      </x:c>
      <x:c r="C2101" s="24" t="str">
        <x:v>Progressiva</x:v>
      </x:c>
      <x:c r="D2101" s="24" t="str">
        <x:v>Surfaçada</x:v>
      </x:c>
      <x:c r="E2101" s="24" t="str">
        <x:v>ClearMind Plus</x:v>
      </x:c>
      <x:c r="F2101" s="24" t="str">
        <x:v>PhotoFusion X</x:v>
      </x:c>
      <x:c r="G2101" s="24" t="str">
        <x:v>1.67</x:v>
      </x:c>
      <x:c r="H2101" s="24" t="str">
        <x:v>1.67</x:v>
      </x:c>
      <x:c r="I2101" s="24" t="str">
        <x:v>DuraVision Gold UV</x:v>
      </x:c>
      <x:c r="J2101" s="40" t="n">
        <x:v>11239</x:v>
      </x:c>
      <x:c r="K2101" s="24" t="str">
        <x:v>-8.00 a +8.00</x:v>
      </x:c>
      <x:c r="L2101" s="24" t="str">
        <x:v>-4.00</x:v>
      </x:c>
      <x:c r="M2101" s="24" t="str">
        <x:v>0.75 a 3.00</x:v>
      </x:c>
      <x:c r="N2101" s="24" t="str">
        <x:v>70</x:v>
      </x:c>
      <x:c r="O2101" s="24"/>
      <x:c r="P2101" s="24"/>
      <x:c r="Q2101" s="24" t="str">
        <x:v>DISPONÍVEL</x:v>
      </x:c>
      <x:c r="R2101" s="24" t="str">
        <x:v>Programa de Parcerias ZEISS — categoria Experts; Programa de Parcerias ZEISS</x:v>
      </x:c>
      <x:c r="S2101" s="24" t="n">
        <x:v>34</x:v>
      </x:c>
      <x:c r="T2101" s="24" t="str">
        <x:v>tabela_zeiss.pdf</x:v>
      </x:c>
      <x:c r="U2101" s="24" t="str">
        <x:v>ZEISS|Progressiva|Surfaçada|ClearMind Plus|PhotoFusion X|1.67|1.67|DuraVision Gold UV|-8.00 a +8.00|-4.00|0.75 a 3.00|70|||34</x:v>
      </x:c>
    </x:row>
    <x:row r="2102">
      <x:c r="A2102" s="24" t="str">
        <x:v>ZS-EF1A07B5C9E0</x:v>
      </x:c>
      <x:c r="B2102" s="24" t="str">
        <x:v>ZEISS</x:v>
      </x:c>
      <x:c r="C2102" s="24" t="str">
        <x:v>Progressiva</x:v>
      </x:c>
      <x:c r="D2102" s="24" t="str">
        <x:v>Surfaçada</x:v>
      </x:c>
      <x:c r="E2102" s="24" t="str">
        <x:v>ClearMind Plus</x:v>
      </x:c>
      <x:c r="F2102" s="24" t="str">
        <x:v>PhotoFusion X</x:v>
      </x:c>
      <x:c r="G2102" s="24" t="str">
        <x:v>1.67</x:v>
      </x:c>
      <x:c r="H2102" s="24" t="str">
        <x:v>1.67</x:v>
      </x:c>
      <x:c r="I2102" s="24" t="str">
        <x:v>DURAVISION® ANTIVÍRUS PLATINUM UV</x:v>
      </x:c>
      <x:c r="J2102" s="40" t="n">
        <x:v>11099</x:v>
      </x:c>
      <x:c r="K2102" s="24" t="str">
        <x:v>-8.00 a +8.00</x:v>
      </x:c>
      <x:c r="L2102" s="24" t="str">
        <x:v>-4.00</x:v>
      </x:c>
      <x:c r="M2102" s="24" t="str">
        <x:v>0.75 a 3.00</x:v>
      </x:c>
      <x:c r="N2102" s="24" t="str">
        <x:v>70</x:v>
      </x:c>
      <x:c r="O2102" s="24"/>
      <x:c r="P2102" s="24"/>
      <x:c r="Q2102" s="24" t="str">
        <x:v>DISPONÍVEL</x:v>
      </x:c>
      <x:c r="R2102" s="24" t="str">
        <x:v>Programa de Parcerias ZEISS — categoria Experts; Programa de Parcerias ZEISS</x:v>
      </x:c>
      <x:c r="S2102" s="24" t="n">
        <x:v>34</x:v>
      </x:c>
      <x:c r="T2102" s="24" t="str">
        <x:v>tabela_zeiss.pdf</x:v>
      </x:c>
      <x:c r="U2102" s="24" t="str">
        <x:v>ZEISS|Progressiva|Surfaçada|ClearMind Plus|PhotoFusion X|1.67|1.67|DURAVISION® ANTIVÍRUS PLATINUM UV|-8.00 a +8.00|-4.00|0.75 a 3.00|70|||34</x:v>
      </x:c>
    </x:row>
    <x:row r="2103">
      <x:c r="A2103" s="24" t="str">
        <x:v>ZS-71F8223EC294</x:v>
      </x:c>
      <x:c r="B2103" s="24" t="str">
        <x:v>ZEISS</x:v>
      </x:c>
      <x:c r="C2103" s="24" t="str">
        <x:v>Progressiva</x:v>
      </x:c>
      <x:c r="D2103" s="24" t="str">
        <x:v>Surfaçada</x:v>
      </x:c>
      <x:c r="E2103" s="24" t="str">
        <x:v>ClearMind Plus</x:v>
      </x:c>
      <x:c r="F2103" s="24" t="str">
        <x:v>PhotoFusion X</x:v>
      </x:c>
      <x:c r="G2103" s="24" t="str">
        <x:v>1.67</x:v>
      </x:c>
      <x:c r="H2103" s="24" t="str">
        <x:v>1.67</x:v>
      </x:c>
      <x:c r="I2103" s="24" t="str">
        <x:v>DuraVision Platinum UV</x:v>
      </x:c>
      <x:c r="J2103" s="40" t="n">
        <x:v>11099</x:v>
      </x:c>
      <x:c r="K2103" s="24" t="str">
        <x:v>-8.00 a +8.00</x:v>
      </x:c>
      <x:c r="L2103" s="24" t="str">
        <x:v>-4.00</x:v>
      </x:c>
      <x:c r="M2103" s="24" t="str">
        <x:v>0.75 a 3.00</x:v>
      </x:c>
      <x:c r="N2103" s="24" t="str">
        <x:v>70</x:v>
      </x:c>
      <x:c r="O2103" s="24"/>
      <x:c r="P2103" s="24"/>
      <x:c r="Q2103" s="24" t="str">
        <x:v>DISPONÍVEL</x:v>
      </x:c>
      <x:c r="R2103" s="24" t="str">
        <x:v>Programa de Parcerias ZEISS — categoria Experts; Programa de Parcerias ZEISS</x:v>
      </x:c>
      <x:c r="S2103" s="24" t="n">
        <x:v>34</x:v>
      </x:c>
      <x:c r="T2103" s="24" t="str">
        <x:v>tabela_zeiss.pdf</x:v>
      </x:c>
      <x:c r="U2103" s="24" t="str">
        <x:v>ZEISS|Progressiva|Surfaçada|ClearMind Plus|PhotoFusion X|1.67|1.67|DuraVision Platinum UV|-8.00 a +8.00|-4.00|0.75 a 3.00|70|||34</x:v>
      </x:c>
    </x:row>
    <x:row r="2104">
      <x:c r="A2104" s="24" t="str">
        <x:v>ZS-D509AE4F1E19</x:v>
      </x:c>
      <x:c r="B2104" s="24" t="str">
        <x:v>ZEISS</x:v>
      </x:c>
      <x:c r="C2104" s="24" t="str">
        <x:v>Progressiva</x:v>
      </x:c>
      <x:c r="D2104" s="24" t="str">
        <x:v>Surfaçada</x:v>
      </x:c>
      <x:c r="E2104" s="24" t="str">
        <x:v>ClearMind Plus</x:v>
      </x:c>
      <x:c r="F2104" s="24" t="str">
        <x:v>PhotoFusion X</x:v>
      </x:c>
      <x:c r="G2104" s="24" t="str">
        <x:v>1.67</x:v>
      </x:c>
      <x:c r="H2104" s="24" t="str">
        <x:v>1.67</x:v>
      </x:c>
      <x:c r="I2104" s="24" t="str">
        <x:v>DuraVision Silver UV</x:v>
      </x:c>
      <x:c r="J2104" s="40" t="n">
        <x:v>10839</x:v>
      </x:c>
      <x:c r="K2104" s="24" t="str">
        <x:v>-8.00 a +8.00</x:v>
      </x:c>
      <x:c r="L2104" s="24" t="str">
        <x:v>-4.00</x:v>
      </x:c>
      <x:c r="M2104" s="24" t="str">
        <x:v>0.75 a 3.00</x:v>
      </x:c>
      <x:c r="N2104" s="24" t="str">
        <x:v>70</x:v>
      </x:c>
      <x:c r="O2104" s="24"/>
      <x:c r="P2104" s="24"/>
      <x:c r="Q2104" s="24" t="str">
        <x:v>DISPONÍVEL</x:v>
      </x:c>
      <x:c r="R2104" s="24" t="str">
        <x:v>Programa de Parcerias ZEISS — categoria Experts; Programa de Parcerias ZEISS</x:v>
      </x:c>
      <x:c r="S2104" s="24" t="n">
        <x:v>34</x:v>
      </x:c>
      <x:c r="T2104" s="24" t="str">
        <x:v>tabela_zeiss.pdf</x:v>
      </x:c>
      <x:c r="U2104" s="24" t="str">
        <x:v>ZEISS|Progressiva|Surfaçada|ClearMind Plus|PhotoFusion X|1.67|1.67|DuraVision Silver UV|-8.00 a +8.00|-4.00|0.75 a 3.00|70|||34</x:v>
      </x:c>
    </x:row>
    <x:row r="2105">
      <x:c r="A2105" s="24" t="str">
        <x:v>ZS-811ED928AFF9</x:v>
      </x:c>
      <x:c r="B2105" s="24" t="str">
        <x:v>ZEISS</x:v>
      </x:c>
      <x:c r="C2105" s="24" t="str">
        <x:v>Progressiva</x:v>
      </x:c>
      <x:c r="D2105" s="24" t="str">
        <x:v>Surfaçada</x:v>
      </x:c>
      <x:c r="E2105" s="24" t="str">
        <x:v>ClearMind Plus</x:v>
      </x:c>
      <x:c r="F2105" s="24" t="str">
        <x:v>PhotoFusion X</x:v>
      </x:c>
      <x:c r="G2105" s="24" t="str">
        <x:v>1.67</x:v>
      </x:c>
      <x:c r="H2105" s="24" t="str">
        <x:v>1.67</x:v>
      </x:c>
      <x:c r="I2105" s="24" t="str">
        <x:v>DuraVision Chrome UV</x:v>
      </x:c>
      <x:c r="J2105" s="40" t="n">
        <x:v>10349</x:v>
      </x:c>
      <x:c r="K2105" s="24" t="str">
        <x:v>-8.00 a +8.00</x:v>
      </x:c>
      <x:c r="L2105" s="24" t="str">
        <x:v>-4.00</x:v>
      </x:c>
      <x:c r="M2105" s="24" t="str">
        <x:v>0.75 a 3.00</x:v>
      </x:c>
      <x:c r="N2105" s="24" t="str">
        <x:v>70</x:v>
      </x:c>
      <x:c r="O2105" s="24"/>
      <x:c r="P2105" s="24"/>
      <x:c r="Q2105" s="24" t="str">
        <x:v>DISPONÍVEL</x:v>
      </x:c>
      <x:c r="R2105" s="24" t="str">
        <x:v>Programa de Parcerias ZEISS — categoria Experts; Programa de Parcerias ZEISS</x:v>
      </x:c>
      <x:c r="S2105" s="24" t="n">
        <x:v>34</x:v>
      </x:c>
      <x:c r="T2105" s="24" t="str">
        <x:v>tabela_zeiss.pdf</x:v>
      </x:c>
      <x:c r="U2105" s="24" t="str">
        <x:v>ZEISS|Progressiva|Surfaçada|ClearMind Plus|PhotoFusion X|1.67|1.67|DuraVision Chrome UV|-8.00 a +8.00|-4.00|0.75 a 3.00|70|||34</x:v>
      </x:c>
    </x:row>
    <x:row r="2106">
      <x:c r="A2106" s="24" t="str">
        <x:v>ZS-5230E881FBA4</x:v>
      </x:c>
      <x:c r="B2106" s="24" t="str">
        <x:v>ZEISS</x:v>
      </x:c>
      <x:c r="C2106" s="24" t="str">
        <x:v>Progressiva</x:v>
      </x:c>
      <x:c r="D2106" s="24" t="str">
        <x:v>Surfaçada</x:v>
      </x:c>
      <x:c r="E2106" s="24" t="str">
        <x:v>ClearMind Plus</x:v>
      </x:c>
      <x:c r="F2106" s="24" t="str">
        <x:v>PhotoFusion X Extra Dark Cinza</x:v>
      </x:c>
      <x:c r="G2106" s="24" t="str">
        <x:v>1.5</x:v>
      </x:c>
      <x:c r="H2106" s="24" t="str">
        <x:v>1.50</x:v>
      </x:c>
      <x:c r="I2106" s="24" t="str">
        <x:v>DuraVision Gold UV</x:v>
      </x:c>
      <x:c r="J2106" s="40" t="n">
        <x:v>8399</x:v>
      </x:c>
      <x:c r="K2106" s="24" t="str">
        <x:v>-6.00 a +5.50</x:v>
      </x:c>
      <x:c r="L2106" s="24" t="str">
        <x:v>-4.00</x:v>
      </x:c>
      <x:c r="M2106" s="24" t="str">
        <x:v>0.75 a 3.00</x:v>
      </x:c>
      <x:c r="N2106" s="24" t="str">
        <x:v>75</x:v>
      </x:c>
      <x:c r="O2106" s="24"/>
      <x:c r="P2106" s="24"/>
      <x:c r="Q2106" s="24" t="str">
        <x:v>DISPONÍVEL</x:v>
      </x:c>
      <x:c r="R2106" s="24" t="str">
        <x:v>Programa de Parcerias ZEISS — categoria Experts; Programa de Parcerias ZEISS</x:v>
      </x:c>
      <x:c r="S2106" s="24" t="n">
        <x:v>34</x:v>
      </x:c>
      <x:c r="T2106" s="24" t="str">
        <x:v>tabela_zeiss.pdf</x:v>
      </x:c>
      <x:c r="U2106" s="24" t="str">
        <x:v>ZEISS|Progressiva|Surfaçada|ClearMind Plus|PhotoFusion X Extra Dark Cinza|1.5|1.50|DuraVision Gold UV|-6.00 a +5.50|-4.00|0.75 a 3.00|75|||34</x:v>
      </x:c>
    </x:row>
    <x:row r="2107">
      <x:c r="A2107" s="24" t="str">
        <x:v>ZS-00720713A95E</x:v>
      </x:c>
      <x:c r="B2107" s="24" t="str">
        <x:v>ZEISS</x:v>
      </x:c>
      <x:c r="C2107" s="24" t="str">
        <x:v>Progressiva</x:v>
      </x:c>
      <x:c r="D2107" s="24" t="str">
        <x:v>Surfaçada</x:v>
      </x:c>
      <x:c r="E2107" s="24" t="str">
        <x:v>ClearMind Plus</x:v>
      </x:c>
      <x:c r="F2107" s="24" t="str">
        <x:v>PhotoFusion X Extra Dark Cinza</x:v>
      </x:c>
      <x:c r="G2107" s="24" t="str">
        <x:v>1.5</x:v>
      </x:c>
      <x:c r="H2107" s="24" t="str">
        <x:v>1.50</x:v>
      </x:c>
      <x:c r="I2107" s="24" t="str">
        <x:v>DURAVISION® ANTIVÍRUS PLATINUM UV</x:v>
      </x:c>
      <x:c r="J2107" s="40" t="n">
        <x:v>8259</x:v>
      </x:c>
      <x:c r="K2107" s="24" t="str">
        <x:v>-6.00 a +5.50</x:v>
      </x:c>
      <x:c r="L2107" s="24" t="str">
        <x:v>-4.00</x:v>
      </x:c>
      <x:c r="M2107" s="24" t="str">
        <x:v>0.75 a 3.00</x:v>
      </x:c>
      <x:c r="N2107" s="24" t="str">
        <x:v>75</x:v>
      </x:c>
      <x:c r="O2107" s="24"/>
      <x:c r="P2107" s="24"/>
      <x:c r="Q2107" s="24" t="str">
        <x:v>DISPONÍVEL</x:v>
      </x:c>
      <x:c r="R2107" s="24" t="str">
        <x:v>Programa de Parcerias ZEISS — categoria Experts; Programa de Parcerias ZEISS</x:v>
      </x:c>
      <x:c r="S2107" s="24" t="n">
        <x:v>34</x:v>
      </x:c>
      <x:c r="T2107" s="24" t="str">
        <x:v>tabela_zeiss.pdf</x:v>
      </x:c>
      <x:c r="U2107" s="24" t="str">
        <x:v>ZEISS|Progressiva|Surfaçada|ClearMind Plus|PhotoFusion X Extra Dark Cinza|1.5|1.50|DURAVISION® ANTIVÍRUS PLATINUM UV|-6.00 a +5.50|-4.00|0.75 a 3.00|75|||34</x:v>
      </x:c>
    </x:row>
    <x:row r="2108">
      <x:c r="A2108" s="24" t="str">
        <x:v>ZS-C9BCDD977652</x:v>
      </x:c>
      <x:c r="B2108" s="24" t="str">
        <x:v>ZEISS</x:v>
      </x:c>
      <x:c r="C2108" s="24" t="str">
        <x:v>Progressiva</x:v>
      </x:c>
      <x:c r="D2108" s="24" t="str">
        <x:v>Surfaçada</x:v>
      </x:c>
      <x:c r="E2108" s="24" t="str">
        <x:v>ClearMind Plus</x:v>
      </x:c>
      <x:c r="F2108" s="24" t="str">
        <x:v>PhotoFusion X Extra Dark Cinza</x:v>
      </x:c>
      <x:c r="G2108" s="24" t="str">
        <x:v>1.5</x:v>
      </x:c>
      <x:c r="H2108" s="24" t="str">
        <x:v>1.50</x:v>
      </x:c>
      <x:c r="I2108" s="24" t="str">
        <x:v>DuraVision Platinum UV</x:v>
      </x:c>
      <x:c r="J2108" s="40" t="n">
        <x:v>8259</x:v>
      </x:c>
      <x:c r="K2108" s="24" t="str">
        <x:v>-6.00 a +5.50</x:v>
      </x:c>
      <x:c r="L2108" s="24" t="str">
        <x:v>-4.00</x:v>
      </x:c>
      <x:c r="M2108" s="24" t="str">
        <x:v>0.75 a 3.00</x:v>
      </x:c>
      <x:c r="N2108" s="24" t="str">
        <x:v>75</x:v>
      </x:c>
      <x:c r="O2108" s="24"/>
      <x:c r="P2108" s="24"/>
      <x:c r="Q2108" s="24" t="str">
        <x:v>DISPONÍVEL</x:v>
      </x:c>
      <x:c r="R2108" s="24" t="str">
        <x:v>Programa de Parcerias ZEISS — categoria Experts; Programa de Parcerias ZEISS</x:v>
      </x:c>
      <x:c r="S2108" s="24" t="n">
        <x:v>34</x:v>
      </x:c>
      <x:c r="T2108" s="24" t="str">
        <x:v>tabela_zeiss.pdf</x:v>
      </x:c>
      <x:c r="U2108" s="24" t="str">
        <x:v>ZEISS|Progressiva|Surfaçada|ClearMind Plus|PhotoFusion X Extra Dark Cinza|1.5|1.50|DuraVision Platinum UV|-6.00 a +5.50|-4.00|0.75 a 3.00|75|||34</x:v>
      </x:c>
    </x:row>
    <x:row r="2109">
      <x:c r="A2109" s="24" t="str">
        <x:v>ZS-5975404661DE</x:v>
      </x:c>
      <x:c r="B2109" s="24" t="str">
        <x:v>ZEISS</x:v>
      </x:c>
      <x:c r="C2109" s="24" t="str">
        <x:v>Progressiva</x:v>
      </x:c>
      <x:c r="D2109" s="24" t="str">
        <x:v>Surfaçada</x:v>
      </x:c>
      <x:c r="E2109" s="24" t="str">
        <x:v>ClearMind Plus</x:v>
      </x:c>
      <x:c r="F2109" s="24" t="str">
        <x:v>PhotoFusion X Extra Dark Cinza</x:v>
      </x:c>
      <x:c r="G2109" s="24" t="str">
        <x:v>1.5</x:v>
      </x:c>
      <x:c r="H2109" s="24" t="str">
        <x:v>1.50</x:v>
      </x:c>
      <x:c r="I2109" s="24" t="str">
        <x:v>DuraVision Silver UV</x:v>
      </x:c>
      <x:c r="J2109" s="40" t="n">
        <x:v>7999</x:v>
      </x:c>
      <x:c r="K2109" s="24" t="str">
        <x:v>-6.00 a +5.50</x:v>
      </x:c>
      <x:c r="L2109" s="24" t="str">
        <x:v>-4.00</x:v>
      </x:c>
      <x:c r="M2109" s="24" t="str">
        <x:v>0.75 a 3.00</x:v>
      </x:c>
      <x:c r="N2109" s="24" t="str">
        <x:v>75</x:v>
      </x:c>
      <x:c r="O2109" s="24"/>
      <x:c r="P2109" s="24"/>
      <x:c r="Q2109" s="24" t="str">
        <x:v>DISPONÍVEL</x:v>
      </x:c>
      <x:c r="R2109" s="24" t="str">
        <x:v>Programa de Parcerias ZEISS — categoria Experts; Programa de Parcerias ZEISS</x:v>
      </x:c>
      <x:c r="S2109" s="24" t="n">
        <x:v>34</x:v>
      </x:c>
      <x:c r="T2109" s="24" t="str">
        <x:v>tabela_zeiss.pdf</x:v>
      </x:c>
      <x:c r="U2109" s="24" t="str">
        <x:v>ZEISS|Progressiva|Surfaçada|ClearMind Plus|PhotoFusion X Extra Dark Cinza|1.5|1.50|DuraVision Silver UV|-6.00 a +5.50|-4.00|0.75 a 3.00|75|||34</x:v>
      </x:c>
    </x:row>
    <x:row r="2110">
      <x:c r="A2110" s="24" t="str">
        <x:v>ZS-69619C8938E4</x:v>
      </x:c>
      <x:c r="B2110" s="24" t="str">
        <x:v>ZEISS</x:v>
      </x:c>
      <x:c r="C2110" s="24" t="str">
        <x:v>Progressiva</x:v>
      </x:c>
      <x:c r="D2110" s="24" t="str">
        <x:v>Surfaçada</x:v>
      </x:c>
      <x:c r="E2110" s="24" t="str">
        <x:v>ClearMind Plus</x:v>
      </x:c>
      <x:c r="F2110" s="24" t="str">
        <x:v>PhotoFusion X Extra Dark Cinza</x:v>
      </x:c>
      <x:c r="G2110" s="24" t="str">
        <x:v>1.5</x:v>
      </x:c>
      <x:c r="H2110" s="24" t="str">
        <x:v>1.50</x:v>
      </x:c>
      <x:c r="I2110" s="24" t="str">
        <x:v>DuraVision Chrome UV</x:v>
      </x:c>
      <x:c r="J2110" s="40" t="n">
        <x:v>7509</x:v>
      </x:c>
      <x:c r="K2110" s="24" t="str">
        <x:v>-6.00 a +5.50</x:v>
      </x:c>
      <x:c r="L2110" s="24" t="str">
        <x:v>-4.00</x:v>
      </x:c>
      <x:c r="M2110" s="24" t="str">
        <x:v>0.75 a 3.00</x:v>
      </x:c>
      <x:c r="N2110" s="24" t="str">
        <x:v>75</x:v>
      </x:c>
      <x:c r="O2110" s="24"/>
      <x:c r="P2110" s="24"/>
      <x:c r="Q2110" s="24" t="str">
        <x:v>DISPONÍVEL</x:v>
      </x:c>
      <x:c r="R2110" s="24" t="str">
        <x:v>Programa de Parcerias ZEISS — categoria Experts; Programa de Parcerias ZEISS</x:v>
      </x:c>
      <x:c r="S2110" s="24" t="n">
        <x:v>34</x:v>
      </x:c>
      <x:c r="T2110" s="24" t="str">
        <x:v>tabela_zeiss.pdf</x:v>
      </x:c>
      <x:c r="U2110" s="24" t="str">
        <x:v>ZEISS|Progressiva|Surfaçada|ClearMind Plus|PhotoFusion X Extra Dark Cinza|1.5|1.50|DuraVision Chrome UV|-6.00 a +5.50|-4.00|0.75 a 3.00|75|||34</x:v>
      </x:c>
    </x:row>
    <x:row r="2111">
      <x:c r="A2111" s="24" t="str">
        <x:v>ZS-78276B698F5B</x:v>
      </x:c>
      <x:c r="B2111" s="24" t="str">
        <x:v>ZEISS</x:v>
      </x:c>
      <x:c r="C2111" s="24" t="str">
        <x:v>Progressiva</x:v>
      </x:c>
      <x:c r="D2111" s="24" t="str">
        <x:v>Surfaçada</x:v>
      </x:c>
      <x:c r="E2111" s="24" t="str">
        <x:v>ClearMind Plus</x:v>
      </x:c>
      <x:c r="F2111" s="24" t="str">
        <x:v>PhotoFusion X Extra Dark Cinza</x:v>
      </x:c>
      <x:c r="G2111" s="24" t="str">
        <x:v>Poli</x:v>
      </x:c>
      <x:c r="H2111" s="24"/>
      <x:c r="I2111" s="24" t="str">
        <x:v>DuraVision Gold UV</x:v>
      </x:c>
      <x:c r="J2111" s="40" t="n">
        <x:v>8989</x:v>
      </x:c>
      <x:c r="K2111" s="24" t="str">
        <x:v>-10.00 a +6.00</x:v>
      </x:c>
      <x:c r="L2111" s="24" t="str">
        <x:v>-6.00</x:v>
      </x:c>
      <x:c r="M2111" s="24" t="str">
        <x:v>0.75 a 3.00</x:v>
      </x:c>
      <x:c r="N2111" s="24" t="str">
        <x:v>70</x:v>
      </x:c>
      <x:c r="O2111" s="24"/>
      <x:c r="P2111" s="24"/>
      <x:c r="Q2111" s="24" t="str">
        <x:v>DISPONÍVEL</x:v>
      </x:c>
      <x:c r="R2111" s="24" t="str">
        <x:v>Programa de Parcerias ZEISS — categoria Experts; Programa de Parcerias ZEISS</x:v>
      </x:c>
      <x:c r="S2111" s="24" t="n">
        <x:v>34</x:v>
      </x:c>
      <x:c r="T2111" s="24" t="str">
        <x:v>tabela_zeiss.pdf</x:v>
      </x:c>
      <x:c r="U2111" s="24" t="str">
        <x:v>ZEISS|Progressiva|Surfaçada|ClearMind Plus|PhotoFusion X Extra Dark Cinza|Poli||DuraVision Gold UV|-10.00 a +6.00|-6.00|0.75 a 3.00|70|||34</x:v>
      </x:c>
    </x:row>
    <x:row r="2112">
      <x:c r="A2112" s="24" t="str">
        <x:v>ZS-5F6C9B9220FF</x:v>
      </x:c>
      <x:c r="B2112" s="24" t="str">
        <x:v>ZEISS</x:v>
      </x:c>
      <x:c r="C2112" s="24" t="str">
        <x:v>Progressiva</x:v>
      </x:c>
      <x:c r="D2112" s="24" t="str">
        <x:v>Surfaçada</x:v>
      </x:c>
      <x:c r="E2112" s="24" t="str">
        <x:v>ClearMind Plus</x:v>
      </x:c>
      <x:c r="F2112" s="24" t="str">
        <x:v>PhotoFusion X Extra Dark Cinza</x:v>
      </x:c>
      <x:c r="G2112" s="24" t="str">
        <x:v>Poli</x:v>
      </x:c>
      <x:c r="H2112" s="24"/>
      <x:c r="I2112" s="24" t="str">
        <x:v>DuraVision Platinum UV</x:v>
      </x:c>
      <x:c r="J2112" s="40" t="n">
        <x:v>8849</x:v>
      </x:c>
      <x:c r="K2112" s="24" t="str">
        <x:v>-10.00 a +6.00</x:v>
      </x:c>
      <x:c r="L2112" s="24" t="str">
        <x:v>-6.00</x:v>
      </x:c>
      <x:c r="M2112" s="24" t="str">
        <x:v>0.75 a 3.00</x:v>
      </x:c>
      <x:c r="N2112" s="24" t="str">
        <x:v>70</x:v>
      </x:c>
      <x:c r="O2112" s="24"/>
      <x:c r="P2112" s="24"/>
      <x:c r="Q2112" s="24" t="str">
        <x:v>DISPONÍVEL</x:v>
      </x:c>
      <x:c r="R2112" s="24" t="str">
        <x:v>Programa de Parcerias ZEISS — categoria Experts; Programa de Parcerias ZEISS</x:v>
      </x:c>
      <x:c r="S2112" s="24" t="n">
        <x:v>34</x:v>
      </x:c>
      <x:c r="T2112" s="24" t="str">
        <x:v>tabela_zeiss.pdf</x:v>
      </x:c>
      <x:c r="U2112" s="24" t="str">
        <x:v>ZEISS|Progressiva|Surfaçada|ClearMind Plus|PhotoFusion X Extra Dark Cinza|Poli||DuraVision Platinum UV|-10.00 a +6.00|-6.00|0.75 a 3.00|70|||34</x:v>
      </x:c>
    </x:row>
    <x:row r="2113">
      <x:c r="A2113" s="24" t="str">
        <x:v>ZS-E9786B81E338</x:v>
      </x:c>
      <x:c r="B2113" s="24" t="str">
        <x:v>ZEISS</x:v>
      </x:c>
      <x:c r="C2113" s="24" t="str">
        <x:v>Progressiva</x:v>
      </x:c>
      <x:c r="D2113" s="24" t="str">
        <x:v>Surfaçada</x:v>
      </x:c>
      <x:c r="E2113" s="24" t="str">
        <x:v>ClearMind Plus</x:v>
      </x:c>
      <x:c r="F2113" s="24" t="str">
        <x:v>PhotoFusion X Extra Dark Cinza</x:v>
      </x:c>
      <x:c r="G2113" s="24" t="str">
        <x:v>Poli</x:v>
      </x:c>
      <x:c r="H2113" s="24"/>
      <x:c r="I2113" s="24" t="str">
        <x:v>DuraVision Silver UV</x:v>
      </x:c>
      <x:c r="J2113" s="40" t="n">
        <x:v>8589</x:v>
      </x:c>
      <x:c r="K2113" s="24" t="str">
        <x:v>-10.00 a +6.00</x:v>
      </x:c>
      <x:c r="L2113" s="24" t="str">
        <x:v>-6.00</x:v>
      </x:c>
      <x:c r="M2113" s="24" t="str">
        <x:v>0.75 a 3.00</x:v>
      </x:c>
      <x:c r="N2113" s="24" t="str">
        <x:v>70</x:v>
      </x:c>
      <x:c r="O2113" s="24"/>
      <x:c r="P2113" s="24"/>
      <x:c r="Q2113" s="24" t="str">
        <x:v>DISPONÍVEL</x:v>
      </x:c>
      <x:c r="R2113" s="24" t="str">
        <x:v>Programa de Parcerias ZEISS — categoria Experts; Programa de Parcerias ZEISS</x:v>
      </x:c>
      <x:c r="S2113" s="24" t="n">
        <x:v>34</x:v>
      </x:c>
      <x:c r="T2113" s="24" t="str">
        <x:v>tabela_zeiss.pdf</x:v>
      </x:c>
      <x:c r="U2113" s="24" t="str">
        <x:v>ZEISS|Progressiva|Surfaçada|ClearMind Plus|PhotoFusion X Extra Dark Cinza|Poli||DuraVision Silver UV|-10.00 a +6.00|-6.00|0.75 a 3.00|70|||34</x:v>
      </x:c>
    </x:row>
    <x:row r="2114">
      <x:c r="A2114" s="24" t="str">
        <x:v>ZS-79ACD4DB6535</x:v>
      </x:c>
      <x:c r="B2114" s="24" t="str">
        <x:v>ZEISS</x:v>
      </x:c>
      <x:c r="C2114" s="24" t="str">
        <x:v>Progressiva</x:v>
      </x:c>
      <x:c r="D2114" s="24" t="str">
        <x:v>Surfaçada</x:v>
      </x:c>
      <x:c r="E2114" s="24" t="str">
        <x:v>ClearMind Plus</x:v>
      </x:c>
      <x:c r="F2114" s="24" t="str">
        <x:v>PhotoFusion X Extra Dark Cinza</x:v>
      </x:c>
      <x:c r="G2114" s="24" t="str">
        <x:v>Poli</x:v>
      </x:c>
      <x:c r="H2114" s="24"/>
      <x:c r="I2114" s="24" t="str">
        <x:v>DuraVision Chrome UV</x:v>
      </x:c>
      <x:c r="J2114" s="40" t="n">
        <x:v>8099</x:v>
      </x:c>
      <x:c r="K2114" s="24" t="str">
        <x:v>-10.00 a +6.00</x:v>
      </x:c>
      <x:c r="L2114" s="24" t="str">
        <x:v>-6.00</x:v>
      </x:c>
      <x:c r="M2114" s="24" t="str">
        <x:v>0.75 a 3.00</x:v>
      </x:c>
      <x:c r="N2114" s="24" t="str">
        <x:v>70</x:v>
      </x:c>
      <x:c r="O2114" s="24"/>
      <x:c r="P2114" s="24"/>
      <x:c r="Q2114" s="24" t="str">
        <x:v>DISPONÍVEL</x:v>
      </x:c>
      <x:c r="R2114" s="24" t="str">
        <x:v>Programa de Parcerias ZEISS — categoria Experts; Programa de Parcerias ZEISS</x:v>
      </x:c>
      <x:c r="S2114" s="24" t="n">
        <x:v>34</x:v>
      </x:c>
      <x:c r="T2114" s="24" t="str">
        <x:v>tabela_zeiss.pdf</x:v>
      </x:c>
      <x:c r="U2114" s="24" t="str">
        <x:v>ZEISS|Progressiva|Surfaçada|ClearMind Plus|PhotoFusion X Extra Dark Cinza|Poli||DuraVision Chrome UV|-10.00 a +6.00|-6.00|0.75 a 3.00|70|||34</x:v>
      </x:c>
    </x:row>
    <x:row r="2115">
      <x:c r="A2115" s="24" t="str">
        <x:v>ZS-4A9E8835CF38</x:v>
      </x:c>
      <x:c r="B2115" s="24" t="str">
        <x:v>ZEISS</x:v>
      </x:c>
      <x:c r="C2115" s="24" t="str">
        <x:v>Progressiva</x:v>
      </x:c>
      <x:c r="D2115" s="24" t="str">
        <x:v>Surfaçada</x:v>
      </x:c>
      <x:c r="E2115" s="24" t="str">
        <x:v>ClearMind Plus</x:v>
      </x:c>
      <x:c r="F2115" s="24" t="str">
        <x:v>PhotoFusion X Extra Dark Cinza</x:v>
      </x:c>
      <x:c r="G2115" s="24" t="str">
        <x:v>1.6</x:v>
      </x:c>
      <x:c r="H2115" s="24" t="str">
        <x:v>1.60</x:v>
      </x:c>
      <x:c r="I2115" s="24" t="str">
        <x:v>DuraVision Gold UV</x:v>
      </x:c>
      <x:c r="J2115" s="40" t="n">
        <x:v>9649</x:v>
      </x:c>
      <x:c r="K2115" s="24" t="str">
        <x:v>-7.25 a +6.00</x:v>
      </x:c>
      <x:c r="L2115" s="24" t="str">
        <x:v>-6.00</x:v>
      </x:c>
      <x:c r="M2115" s="24" t="str">
        <x:v>0.75 a 3.50</x:v>
      </x:c>
      <x:c r="N2115" s="24" t="str">
        <x:v>75</x:v>
      </x:c>
      <x:c r="O2115" s="24"/>
      <x:c r="P2115" s="24"/>
      <x:c r="Q2115" s="24" t="str">
        <x:v>DISPONÍVEL</x:v>
      </x:c>
      <x:c r="R2115" s="24" t="str">
        <x:v>Programa de Parcerias ZEISS — categoria Experts; Programa de Parcerias ZEISS</x:v>
      </x:c>
      <x:c r="S2115" s="24" t="n">
        <x:v>34</x:v>
      </x:c>
      <x:c r="T2115" s="24" t="str">
        <x:v>tabela_zeiss.pdf</x:v>
      </x:c>
      <x:c r="U2115" s="24" t="str">
        <x:v>ZEISS|Progressiva|Surfaçada|ClearMind Plus|PhotoFusion X Extra Dark Cinza|1.6|1.60|DuraVision Gold UV|-7.25 a +6.00|-6.00|0.75 a 3.50|75|||34</x:v>
      </x:c>
    </x:row>
    <x:row r="2116">
      <x:c r="A2116" s="24" t="str">
        <x:v>ZS-237B1DF96A5E</x:v>
      </x:c>
      <x:c r="B2116" s="24" t="str">
        <x:v>ZEISS</x:v>
      </x:c>
      <x:c r="C2116" s="24" t="str">
        <x:v>Progressiva</x:v>
      </x:c>
      <x:c r="D2116" s="24" t="str">
        <x:v>Surfaçada</x:v>
      </x:c>
      <x:c r="E2116" s="24" t="str">
        <x:v>ClearMind Plus</x:v>
      </x:c>
      <x:c r="F2116" s="24" t="str">
        <x:v>PhotoFusion X Extra Dark Cinza</x:v>
      </x:c>
      <x:c r="G2116" s="24" t="str">
        <x:v>1.6</x:v>
      </x:c>
      <x:c r="H2116" s="24" t="str">
        <x:v>1.60</x:v>
      </x:c>
      <x:c r="I2116" s="24" t="str">
        <x:v>DURAVISION® ANTIVÍRUS PLATINUM UV</x:v>
      </x:c>
      <x:c r="J2116" s="40" t="n">
        <x:v>9509</x:v>
      </x:c>
      <x:c r="K2116" s="24" t="str">
        <x:v>-7.25 a +6.00</x:v>
      </x:c>
      <x:c r="L2116" s="24" t="str">
        <x:v>-6.00</x:v>
      </x:c>
      <x:c r="M2116" s="24" t="str">
        <x:v>0.75 a 3.50</x:v>
      </x:c>
      <x:c r="N2116" s="24" t="str">
        <x:v>75</x:v>
      </x:c>
      <x:c r="O2116" s="24"/>
      <x:c r="P2116" s="24"/>
      <x:c r="Q2116" s="24" t="str">
        <x:v>DISPONÍVEL</x:v>
      </x:c>
      <x:c r="R2116" s="24" t="str">
        <x:v>Programa de Parcerias ZEISS — categoria Experts; Programa de Parcerias ZEISS</x:v>
      </x:c>
      <x:c r="S2116" s="24" t="n">
        <x:v>34</x:v>
      </x:c>
      <x:c r="T2116" s="24" t="str">
        <x:v>tabela_zeiss.pdf</x:v>
      </x:c>
      <x:c r="U2116" s="24" t="str">
        <x:v>ZEISS|Progressiva|Surfaçada|ClearMind Plus|PhotoFusion X Extra Dark Cinza|1.6|1.60|DURAVISION® ANTIVÍRUS PLATINUM UV|-7.25 a +6.00|-6.00|0.75 a 3.50|75|||34</x:v>
      </x:c>
    </x:row>
    <x:row r="2117">
      <x:c r="A2117" s="24" t="str">
        <x:v>ZS-64574D1839B1</x:v>
      </x:c>
      <x:c r="B2117" s="24" t="str">
        <x:v>ZEISS</x:v>
      </x:c>
      <x:c r="C2117" s="24" t="str">
        <x:v>Progressiva</x:v>
      </x:c>
      <x:c r="D2117" s="24" t="str">
        <x:v>Surfaçada</x:v>
      </x:c>
      <x:c r="E2117" s="24" t="str">
        <x:v>ClearMind Plus</x:v>
      </x:c>
      <x:c r="F2117" s="24" t="str">
        <x:v>PhotoFusion X Extra Dark Cinza</x:v>
      </x:c>
      <x:c r="G2117" s="24" t="str">
        <x:v>1.6</x:v>
      </x:c>
      <x:c r="H2117" s="24" t="str">
        <x:v>1.60</x:v>
      </x:c>
      <x:c r="I2117" s="24" t="str">
        <x:v>DuraVision Platinum UV</x:v>
      </x:c>
      <x:c r="J2117" s="40" t="n">
        <x:v>9509</x:v>
      </x:c>
      <x:c r="K2117" s="24" t="str">
        <x:v>-7.25 a +6.00</x:v>
      </x:c>
      <x:c r="L2117" s="24" t="str">
        <x:v>-6.00</x:v>
      </x:c>
      <x:c r="M2117" s="24" t="str">
        <x:v>0.75 a 3.50</x:v>
      </x:c>
      <x:c r="N2117" s="24" t="str">
        <x:v>75</x:v>
      </x:c>
      <x:c r="O2117" s="24"/>
      <x:c r="P2117" s="24"/>
      <x:c r="Q2117" s="24" t="str">
        <x:v>DISPONÍVEL</x:v>
      </x:c>
      <x:c r="R2117" s="24" t="str">
        <x:v>Programa de Parcerias ZEISS — categoria Experts; Programa de Parcerias ZEISS</x:v>
      </x:c>
      <x:c r="S2117" s="24" t="n">
        <x:v>34</x:v>
      </x:c>
      <x:c r="T2117" s="24" t="str">
        <x:v>tabela_zeiss.pdf</x:v>
      </x:c>
      <x:c r="U2117" s="24" t="str">
        <x:v>ZEISS|Progressiva|Surfaçada|ClearMind Plus|PhotoFusion X Extra Dark Cinza|1.6|1.60|DuraVision Platinum UV|-7.25 a +6.00|-6.00|0.75 a 3.50|75|||34</x:v>
      </x:c>
    </x:row>
    <x:row r="2118">
      <x:c r="A2118" s="24" t="str">
        <x:v>ZS-EB6641EDA118</x:v>
      </x:c>
      <x:c r="B2118" s="24" t="str">
        <x:v>ZEISS</x:v>
      </x:c>
      <x:c r="C2118" s="24" t="str">
        <x:v>Progressiva</x:v>
      </x:c>
      <x:c r="D2118" s="24" t="str">
        <x:v>Surfaçada</x:v>
      </x:c>
      <x:c r="E2118" s="24" t="str">
        <x:v>ClearMind Plus</x:v>
      </x:c>
      <x:c r="F2118" s="24" t="str">
        <x:v>PhotoFusion X Extra Dark Cinza</x:v>
      </x:c>
      <x:c r="G2118" s="24" t="str">
        <x:v>1.6</x:v>
      </x:c>
      <x:c r="H2118" s="24" t="str">
        <x:v>1.60</x:v>
      </x:c>
      <x:c r="I2118" s="24" t="str">
        <x:v>DuraVision Silver UV</x:v>
      </x:c>
      <x:c r="J2118" s="40" t="n">
        <x:v>9249</x:v>
      </x:c>
      <x:c r="K2118" s="24" t="str">
        <x:v>-7.25 a +6.00</x:v>
      </x:c>
      <x:c r="L2118" s="24" t="str">
        <x:v>-6.00</x:v>
      </x:c>
      <x:c r="M2118" s="24" t="str">
        <x:v>0.75 a 3.50</x:v>
      </x:c>
      <x:c r="N2118" s="24" t="str">
        <x:v>75</x:v>
      </x:c>
      <x:c r="O2118" s="24"/>
      <x:c r="P2118" s="24"/>
      <x:c r="Q2118" s="24" t="str">
        <x:v>DISPONÍVEL</x:v>
      </x:c>
      <x:c r="R2118" s="24" t="str">
        <x:v>Programa de Parcerias ZEISS — categoria Experts; Programa de Parcerias ZEISS</x:v>
      </x:c>
      <x:c r="S2118" s="24" t="n">
        <x:v>34</x:v>
      </x:c>
      <x:c r="T2118" s="24" t="str">
        <x:v>tabela_zeiss.pdf</x:v>
      </x:c>
      <x:c r="U2118" s="24" t="str">
        <x:v>ZEISS|Progressiva|Surfaçada|ClearMind Plus|PhotoFusion X Extra Dark Cinza|1.6|1.60|DuraVision Silver UV|-7.25 a +6.00|-6.00|0.75 a 3.50|75|||34</x:v>
      </x:c>
    </x:row>
    <x:row r="2119">
      <x:c r="A2119" s="24" t="str">
        <x:v>ZS-91D400393AFF</x:v>
      </x:c>
      <x:c r="B2119" s="24" t="str">
        <x:v>ZEISS</x:v>
      </x:c>
      <x:c r="C2119" s="24" t="str">
        <x:v>Progressiva</x:v>
      </x:c>
      <x:c r="D2119" s="24" t="str">
        <x:v>Surfaçada</x:v>
      </x:c>
      <x:c r="E2119" s="24" t="str">
        <x:v>ClearMind Plus</x:v>
      </x:c>
      <x:c r="F2119" s="24" t="str">
        <x:v>PhotoFusion X Extra Dark Cinza</x:v>
      </x:c>
      <x:c r="G2119" s="24" t="str">
        <x:v>1.6</x:v>
      </x:c>
      <x:c r="H2119" s="24" t="str">
        <x:v>1.60</x:v>
      </x:c>
      <x:c r="I2119" s="24" t="str">
        <x:v>DuraVision Chrome UV</x:v>
      </x:c>
      <x:c r="J2119" s="40" t="n">
        <x:v>8759</x:v>
      </x:c>
      <x:c r="K2119" s="24" t="str">
        <x:v>-7.25 a +6.00</x:v>
      </x:c>
      <x:c r="L2119" s="24" t="str">
        <x:v>-6.00</x:v>
      </x:c>
      <x:c r="M2119" s="24" t="str">
        <x:v>0.75 a 3.50</x:v>
      </x:c>
      <x:c r="N2119" s="24" t="str">
        <x:v>75</x:v>
      </x:c>
      <x:c r="O2119" s="24"/>
      <x:c r="P2119" s="24"/>
      <x:c r="Q2119" s="24" t="str">
        <x:v>DISPONÍVEL</x:v>
      </x:c>
      <x:c r="R2119" s="24" t="str">
        <x:v>Programa de Parcerias ZEISS — categoria Experts; Programa de Parcerias ZEISS</x:v>
      </x:c>
      <x:c r="S2119" s="24" t="n">
        <x:v>34</x:v>
      </x:c>
      <x:c r="T2119" s="24" t="str">
        <x:v>tabela_zeiss.pdf</x:v>
      </x:c>
      <x:c r="U2119" s="24" t="str">
        <x:v>ZEISS|Progressiva|Surfaçada|ClearMind Plus|PhotoFusion X Extra Dark Cinza|1.6|1.60|DuraVision Chrome UV|-7.25 a +6.00|-6.00|0.75 a 3.50|75|||34</x:v>
      </x:c>
    </x:row>
    <x:row r="2120">
      <x:c r="A2120" s="24" t="str">
        <x:v>ZS-884650BA72B9</x:v>
      </x:c>
      <x:c r="B2120" s="24" t="str">
        <x:v>ZEISS</x:v>
      </x:c>
      <x:c r="C2120" s="24" t="str">
        <x:v>Progressiva</x:v>
      </x:c>
      <x:c r="D2120" s="24" t="str">
        <x:v>Surfaçada</x:v>
      </x:c>
      <x:c r="E2120" s="24" t="str">
        <x:v>ClearMind Plus</x:v>
      </x:c>
      <x:c r="F2120" s="24" t="str">
        <x:v>PhotoFusion X Extra Dark Cinza</x:v>
      </x:c>
      <x:c r="G2120" s="24" t="str">
        <x:v>1.67</x:v>
      </x:c>
      <x:c r="H2120" s="24" t="str">
        <x:v>1.67</x:v>
      </x:c>
      <x:c r="I2120" s="24" t="str">
        <x:v>DuraVision Gold UV</x:v>
      </x:c>
      <x:c r="J2120" s="40" t="n">
        <x:v>11289</x:v>
      </x:c>
      <x:c r="K2120" s="24" t="str">
        <x:v>-8.00 a +8.00</x:v>
      </x:c>
      <x:c r="L2120" s="24" t="str">
        <x:v>-4.00</x:v>
      </x:c>
      <x:c r="M2120" s="24" t="str">
        <x:v>0.75 a 3.00</x:v>
      </x:c>
      <x:c r="N2120" s="24" t="str">
        <x:v>70</x:v>
      </x:c>
      <x:c r="O2120" s="24"/>
      <x:c r="P2120" s="24"/>
      <x:c r="Q2120" s="24" t="str">
        <x:v>DISPONÍVEL</x:v>
      </x:c>
      <x:c r="R2120" s="24" t="str">
        <x:v>Programa de Parcerias ZEISS — categoria Experts; Programa de Parcerias ZEISS</x:v>
      </x:c>
      <x:c r="S2120" s="24" t="n">
        <x:v>34</x:v>
      </x:c>
      <x:c r="T2120" s="24" t="str">
        <x:v>tabela_zeiss.pdf</x:v>
      </x:c>
      <x:c r="U2120" s="24" t="str">
        <x:v>ZEISS|Progressiva|Surfaçada|ClearMind Plus|PhotoFusion X Extra Dark Cinza|1.67|1.67|DuraVision Gold UV|-8.00 a +8.00|-4.00|0.75 a 3.00|70|||34</x:v>
      </x:c>
    </x:row>
    <x:row r="2121">
      <x:c r="A2121" s="24" t="str">
        <x:v>ZS-ED7851E8FCA1</x:v>
      </x:c>
      <x:c r="B2121" s="24" t="str">
        <x:v>ZEISS</x:v>
      </x:c>
      <x:c r="C2121" s="24" t="str">
        <x:v>Progressiva</x:v>
      </x:c>
      <x:c r="D2121" s="24" t="str">
        <x:v>Surfaçada</x:v>
      </x:c>
      <x:c r="E2121" s="24" t="str">
        <x:v>ClearMind Plus</x:v>
      </x:c>
      <x:c r="F2121" s="24" t="str">
        <x:v>PhotoFusion X Extra Dark Cinza</x:v>
      </x:c>
      <x:c r="G2121" s="24" t="str">
        <x:v>1.67</x:v>
      </x:c>
      <x:c r="H2121" s="24" t="str">
        <x:v>1.67</x:v>
      </x:c>
      <x:c r="I2121" s="24" t="str">
        <x:v>DURAVISION® ANTIVÍRUS PLATINUM UV</x:v>
      </x:c>
      <x:c r="J2121" s="40" t="n">
        <x:v>11149</x:v>
      </x:c>
      <x:c r="K2121" s="24" t="str">
        <x:v>-8.00 a +8.00</x:v>
      </x:c>
      <x:c r="L2121" s="24" t="str">
        <x:v>-4.00</x:v>
      </x:c>
      <x:c r="M2121" s="24" t="str">
        <x:v>0.75 a 3.00</x:v>
      </x:c>
      <x:c r="N2121" s="24" t="str">
        <x:v>70</x:v>
      </x:c>
      <x:c r="O2121" s="24"/>
      <x:c r="P2121" s="24"/>
      <x:c r="Q2121" s="24" t="str">
        <x:v>DISPONÍVEL</x:v>
      </x:c>
      <x:c r="R2121" s="24" t="str">
        <x:v>Programa de Parcerias ZEISS — categoria Experts; Programa de Parcerias ZEISS</x:v>
      </x:c>
      <x:c r="S2121" s="24" t="n">
        <x:v>34</x:v>
      </x:c>
      <x:c r="T2121" s="24" t="str">
        <x:v>tabela_zeiss.pdf</x:v>
      </x:c>
      <x:c r="U2121" s="24" t="str">
        <x:v>ZEISS|Progressiva|Surfaçada|ClearMind Plus|PhotoFusion X Extra Dark Cinza|1.67|1.67|DURAVISION® ANTIVÍRUS PLATINUM UV|-8.00 a +8.00|-4.00|0.75 a 3.00|70|||34</x:v>
      </x:c>
    </x:row>
    <x:row r="2122">
      <x:c r="A2122" s="24" t="str">
        <x:v>ZS-73D97E25E00B</x:v>
      </x:c>
      <x:c r="B2122" s="24" t="str">
        <x:v>ZEISS</x:v>
      </x:c>
      <x:c r="C2122" s="24" t="str">
        <x:v>Progressiva</x:v>
      </x:c>
      <x:c r="D2122" s="24" t="str">
        <x:v>Surfaçada</x:v>
      </x:c>
      <x:c r="E2122" s="24" t="str">
        <x:v>ClearMind Plus</x:v>
      </x:c>
      <x:c r="F2122" s="24" t="str">
        <x:v>PhotoFusion X Extra Dark Cinza</x:v>
      </x:c>
      <x:c r="G2122" s="24" t="str">
        <x:v>1.67</x:v>
      </x:c>
      <x:c r="H2122" s="24" t="str">
        <x:v>1.67</x:v>
      </x:c>
      <x:c r="I2122" s="24" t="str">
        <x:v>DuraVision Platinum UV</x:v>
      </x:c>
      <x:c r="J2122" s="40" t="n">
        <x:v>11149</x:v>
      </x:c>
      <x:c r="K2122" s="24" t="str">
        <x:v>-8.00 a +8.00</x:v>
      </x:c>
      <x:c r="L2122" s="24" t="str">
        <x:v>-4.00</x:v>
      </x:c>
      <x:c r="M2122" s="24" t="str">
        <x:v>0.75 a 3.00</x:v>
      </x:c>
      <x:c r="N2122" s="24" t="str">
        <x:v>70</x:v>
      </x:c>
      <x:c r="O2122" s="24"/>
      <x:c r="P2122" s="24"/>
      <x:c r="Q2122" s="24" t="str">
        <x:v>DISPONÍVEL</x:v>
      </x:c>
      <x:c r="R2122" s="24" t="str">
        <x:v>Programa de Parcerias ZEISS — categoria Experts; Programa de Parcerias ZEISS</x:v>
      </x:c>
      <x:c r="S2122" s="24" t="n">
        <x:v>34</x:v>
      </x:c>
      <x:c r="T2122" s="24" t="str">
        <x:v>tabela_zeiss.pdf</x:v>
      </x:c>
      <x:c r="U2122" s="24" t="str">
        <x:v>ZEISS|Progressiva|Surfaçada|ClearMind Plus|PhotoFusion X Extra Dark Cinza|1.67|1.67|DuraVision Platinum UV|-8.00 a +8.00|-4.00|0.75 a 3.00|70|||34</x:v>
      </x:c>
    </x:row>
    <x:row r="2123">
      <x:c r="A2123" s="24" t="str">
        <x:v>ZS-0696A2CCC52A</x:v>
      </x:c>
      <x:c r="B2123" s="24" t="str">
        <x:v>ZEISS</x:v>
      </x:c>
      <x:c r="C2123" s="24" t="str">
        <x:v>Progressiva</x:v>
      </x:c>
      <x:c r="D2123" s="24" t="str">
        <x:v>Surfaçada</x:v>
      </x:c>
      <x:c r="E2123" s="24" t="str">
        <x:v>ClearMind Plus</x:v>
      </x:c>
      <x:c r="F2123" s="24" t="str">
        <x:v>PhotoFusion X Extra Dark Cinza</x:v>
      </x:c>
      <x:c r="G2123" s="24" t="str">
        <x:v>1.67</x:v>
      </x:c>
      <x:c r="H2123" s="24" t="str">
        <x:v>1.67</x:v>
      </x:c>
      <x:c r="I2123" s="24" t="str">
        <x:v>DuraVision Silver UV</x:v>
      </x:c>
      <x:c r="J2123" s="40" t="n">
        <x:v>10889</x:v>
      </x:c>
      <x:c r="K2123" s="24" t="str">
        <x:v>-8.00 a +8.00</x:v>
      </x:c>
      <x:c r="L2123" s="24" t="str">
        <x:v>-4.00</x:v>
      </x:c>
      <x:c r="M2123" s="24" t="str">
        <x:v>0.75 a 3.00</x:v>
      </x:c>
      <x:c r="N2123" s="24" t="str">
        <x:v>70</x:v>
      </x:c>
      <x:c r="O2123" s="24"/>
      <x:c r="P2123" s="24"/>
      <x:c r="Q2123" s="24" t="str">
        <x:v>DISPONÍVEL</x:v>
      </x:c>
      <x:c r="R2123" s="24" t="str">
        <x:v>Programa de Parcerias ZEISS — categoria Experts; Programa de Parcerias ZEISS</x:v>
      </x:c>
      <x:c r="S2123" s="24" t="n">
        <x:v>34</x:v>
      </x:c>
      <x:c r="T2123" s="24" t="str">
        <x:v>tabela_zeiss.pdf</x:v>
      </x:c>
      <x:c r="U2123" s="24" t="str">
        <x:v>ZEISS|Progressiva|Surfaçada|ClearMind Plus|PhotoFusion X Extra Dark Cinza|1.67|1.67|DuraVision Silver UV|-8.00 a +8.00|-4.00|0.75 a 3.00|70|||34</x:v>
      </x:c>
    </x:row>
    <x:row r="2124">
      <x:c r="A2124" s="24" t="str">
        <x:v>ZS-E26FA4BAFB94</x:v>
      </x:c>
      <x:c r="B2124" s="24" t="str">
        <x:v>ZEISS</x:v>
      </x:c>
      <x:c r="C2124" s="24" t="str">
        <x:v>Progressiva</x:v>
      </x:c>
      <x:c r="D2124" s="24" t="str">
        <x:v>Surfaçada</x:v>
      </x:c>
      <x:c r="E2124" s="24" t="str">
        <x:v>ClearMind Plus</x:v>
      </x:c>
      <x:c r="F2124" s="24" t="str">
        <x:v>PhotoFusion X Extra Dark Cinza</x:v>
      </x:c>
      <x:c r="G2124" s="24" t="str">
        <x:v>1.67</x:v>
      </x:c>
      <x:c r="H2124" s="24" t="str">
        <x:v>1.67</x:v>
      </x:c>
      <x:c r="I2124" s="24" t="str">
        <x:v>DuraVision Chrome UV</x:v>
      </x:c>
      <x:c r="J2124" s="40" t="n">
        <x:v>10399</x:v>
      </x:c>
      <x:c r="K2124" s="24" t="str">
        <x:v>-8.00 a +8.00</x:v>
      </x:c>
      <x:c r="L2124" s="24" t="str">
        <x:v>-4.00</x:v>
      </x:c>
      <x:c r="M2124" s="24" t="str">
        <x:v>0.75 a 3.00</x:v>
      </x:c>
      <x:c r="N2124" s="24" t="str">
        <x:v>70</x:v>
      </x:c>
      <x:c r="O2124" s="24"/>
      <x:c r="P2124" s="24"/>
      <x:c r="Q2124" s="24" t="str">
        <x:v>DISPONÍVEL</x:v>
      </x:c>
      <x:c r="R2124" s="24" t="str">
        <x:v>Programa de Parcerias ZEISS — categoria Experts; Programa de Parcerias ZEISS</x:v>
      </x:c>
      <x:c r="S2124" s="24" t="n">
        <x:v>34</x:v>
      </x:c>
      <x:c r="T2124" s="24" t="str">
        <x:v>tabela_zeiss.pdf</x:v>
      </x:c>
      <x:c r="U2124" s="24" t="str">
        <x:v>ZEISS|Progressiva|Surfaçada|ClearMind Plus|PhotoFusion X Extra Dark Cinza|1.67|1.67|DuraVision Chrome UV|-8.00 a +8.00|-4.00|0.75 a 3.00|70|||34</x:v>
      </x:c>
    </x:row>
    <x:row r="2125">
      <x:c r="A2125" s="24" t="str">
        <x:v>ZS-F8C8D65971E8</x:v>
      </x:c>
      <x:c r="B2125" s="24" t="str">
        <x:v>ZEISS</x:v>
      </x:c>
      <x:c r="C2125" s="24" t="str">
        <x:v>Progressiva</x:v>
      </x:c>
      <x:c r="D2125" s="24" t="str">
        <x:v>Surfaçada</x:v>
      </x:c>
      <x:c r="E2125" s="24" t="str">
        <x:v>ClearMind Plus</x:v>
      </x:c>
      <x:c r="F2125" s="24" t="str">
        <x:v>Polarizada</x:v>
      </x:c>
      <x:c r="G2125" s="24" t="str">
        <x:v>1.5</x:v>
      </x:c>
      <x:c r="H2125" s="24" t="str">
        <x:v>1.50</x:v>
      </x:c>
      <x:c r="I2125" s="24" t="str">
        <x:v>DuraVision Gold UV</x:v>
      </x:c>
      <x:c r="J2125" s="40" t="n">
        <x:v>7769</x:v>
      </x:c>
      <x:c r="K2125" s="24" t="str">
        <x:v>-6.00 a +6.00</x:v>
      </x:c>
      <x:c r="L2125" s="24" t="str">
        <x:v>-4.00</x:v>
      </x:c>
      <x:c r="M2125" s="24" t="str">
        <x:v>0.75 a 3.50</x:v>
      </x:c>
      <x:c r="N2125" s="24" t="str">
        <x:v>70</x:v>
      </x:c>
      <x:c r="O2125" s="24"/>
      <x:c r="P2125" s="24"/>
      <x:c r="Q2125" s="24" t="str">
        <x:v>DISPONÍVEL</x:v>
      </x:c>
      <x:c r="R2125" s="24" t="str">
        <x:v>Programa de Parcerias ZEISS — categoria Experts</x:v>
      </x:c>
      <x:c r="S2125" s="24" t="n">
        <x:v>34</x:v>
      </x:c>
      <x:c r="T2125" s="24" t="str">
        <x:v>tabela_zeiss.pdf</x:v>
      </x:c>
      <x:c r="U2125" s="24" t="str">
        <x:v>ZEISS|Progressiva|Surfaçada|ClearMind Plus|Polarizada|1.5|1.50|DuraVision Gold UV|-6.00 a +6.00|-4.00|0.75 a 3.50|70|||34</x:v>
      </x:c>
    </x:row>
    <x:row r="2126">
      <x:c r="A2126" s="24" t="str">
        <x:v>ZS-B5DEDDB0F3C7</x:v>
      </x:c>
      <x:c r="B2126" s="24" t="str">
        <x:v>ZEISS</x:v>
      </x:c>
      <x:c r="C2126" s="24" t="str">
        <x:v>Progressiva</x:v>
      </x:c>
      <x:c r="D2126" s="24" t="str">
        <x:v>Surfaçada</x:v>
      </x:c>
      <x:c r="E2126" s="24" t="str">
        <x:v>ClearMind Plus</x:v>
      </x:c>
      <x:c r="F2126" s="24" t="str">
        <x:v>Polarizada</x:v>
      </x:c>
      <x:c r="G2126" s="24" t="str">
        <x:v>1.5</x:v>
      </x:c>
      <x:c r="H2126" s="24" t="str">
        <x:v>1.50</x:v>
      </x:c>
      <x:c r="I2126" s="24" t="str">
        <x:v>DuraVision Platinum UV</x:v>
      </x:c>
      <x:c r="J2126" s="40" t="n">
        <x:v>7629</x:v>
      </x:c>
      <x:c r="K2126" s="24" t="str">
        <x:v>-6.00 a +6.00</x:v>
      </x:c>
      <x:c r="L2126" s="24" t="str">
        <x:v>-4.00</x:v>
      </x:c>
      <x:c r="M2126" s="24" t="str">
        <x:v>0.75 a 3.50</x:v>
      </x:c>
      <x:c r="N2126" s="24" t="str">
        <x:v>70</x:v>
      </x:c>
      <x:c r="O2126" s="24"/>
      <x:c r="P2126" s="24"/>
      <x:c r="Q2126" s="24" t="str">
        <x:v>DISPONÍVEL</x:v>
      </x:c>
      <x:c r="R2126" s="24" t="str">
        <x:v>Programa de Parcerias ZEISS — categoria Experts</x:v>
      </x:c>
      <x:c r="S2126" s="24" t="n">
        <x:v>34</x:v>
      </x:c>
      <x:c r="T2126" s="24" t="str">
        <x:v>tabela_zeiss.pdf</x:v>
      </x:c>
      <x:c r="U2126" s="24" t="str">
        <x:v>ZEISS|Progressiva|Surfaçada|ClearMind Plus|Polarizada|1.5|1.50|DuraVision Platinum UV|-6.00 a +6.00|-4.00|0.75 a 3.50|70|||34</x:v>
      </x:c>
    </x:row>
    <x:row r="2127">
      <x:c r="A2127" s="24" t="str">
        <x:v>ZS-2577185CDB00</x:v>
      </x:c>
      <x:c r="B2127" s="24" t="str">
        <x:v>ZEISS</x:v>
      </x:c>
      <x:c r="C2127" s="24" t="str">
        <x:v>Progressiva</x:v>
      </x:c>
      <x:c r="D2127" s="24" t="str">
        <x:v>Surfaçada</x:v>
      </x:c>
      <x:c r="E2127" s="24" t="str">
        <x:v>ClearMind Plus</x:v>
      </x:c>
      <x:c r="F2127" s="24" t="str">
        <x:v>Polarizada</x:v>
      </x:c>
      <x:c r="G2127" s="24" t="str">
        <x:v>1.5</x:v>
      </x:c>
      <x:c r="H2127" s="24" t="str">
        <x:v>1.50</x:v>
      </x:c>
      <x:c r="I2127" s="24" t="str">
        <x:v>DuraVision Silver UV</x:v>
      </x:c>
      <x:c r="J2127" s="40" t="n">
        <x:v>7369</x:v>
      </x:c>
      <x:c r="K2127" s="24" t="str">
        <x:v>-6.00 a +6.00</x:v>
      </x:c>
      <x:c r="L2127" s="24" t="str">
        <x:v>-4.00</x:v>
      </x:c>
      <x:c r="M2127" s="24" t="str">
        <x:v>0.75 a 3.50</x:v>
      </x:c>
      <x:c r="N2127" s="24" t="str">
        <x:v>70</x:v>
      </x:c>
      <x:c r="O2127" s="24"/>
      <x:c r="P2127" s="24"/>
      <x:c r="Q2127" s="24" t="str">
        <x:v>DISPONÍVEL</x:v>
      </x:c>
      <x:c r="R2127" s="24" t="str">
        <x:v>Programa de Parcerias ZEISS — categoria Experts</x:v>
      </x:c>
      <x:c r="S2127" s="24" t="n">
        <x:v>34</x:v>
      </x:c>
      <x:c r="T2127" s="24" t="str">
        <x:v>tabela_zeiss.pdf</x:v>
      </x:c>
      <x:c r="U2127" s="24" t="str">
        <x:v>ZEISS|Progressiva|Surfaçada|ClearMind Plus|Polarizada|1.5|1.50|DuraVision Silver UV|-6.00 a +6.00|-4.00|0.75 a 3.50|70|||34</x:v>
      </x:c>
    </x:row>
    <x:row r="2128">
      <x:c r="A2128" s="24" t="str">
        <x:v>ZS-53C163225127</x:v>
      </x:c>
      <x:c r="B2128" s="24" t="str">
        <x:v>ZEISS</x:v>
      </x:c>
      <x:c r="C2128" s="24" t="str">
        <x:v>Progressiva</x:v>
      </x:c>
      <x:c r="D2128" s="24" t="str">
        <x:v>Surfaçada</x:v>
      </x:c>
      <x:c r="E2128" s="24" t="str">
        <x:v>ClearMind Plus</x:v>
      </x:c>
      <x:c r="F2128" s="24" t="str">
        <x:v>Polarizada</x:v>
      </x:c>
      <x:c r="G2128" s="24" t="str">
        <x:v>1.5</x:v>
      </x:c>
      <x:c r="H2128" s="24" t="str">
        <x:v>1.50</x:v>
      </x:c>
      <x:c r="I2128" s="24" t="str">
        <x:v>DuraVision Chrome UV</x:v>
      </x:c>
      <x:c r="J2128" s="40" t="n">
        <x:v>6879</x:v>
      </x:c>
      <x:c r="K2128" s="24" t="str">
        <x:v>-6.00 a +6.00</x:v>
      </x:c>
      <x:c r="L2128" s="24" t="str">
        <x:v>-4.00</x:v>
      </x:c>
      <x:c r="M2128" s="24" t="str">
        <x:v>0.75 a 3.50</x:v>
      </x:c>
      <x:c r="N2128" s="24" t="str">
        <x:v>70</x:v>
      </x:c>
      <x:c r="O2128" s="24"/>
      <x:c r="P2128" s="24"/>
      <x:c r="Q2128" s="24" t="str">
        <x:v>DISPONÍVEL</x:v>
      </x:c>
      <x:c r="R2128" s="24" t="str">
        <x:v>Programa de Parcerias ZEISS — categoria Experts</x:v>
      </x:c>
      <x:c r="S2128" s="24" t="n">
        <x:v>34</x:v>
      </x:c>
      <x:c r="T2128" s="24" t="str">
        <x:v>tabela_zeiss.pdf</x:v>
      </x:c>
      <x:c r="U2128" s="24" t="str">
        <x:v>ZEISS|Progressiva|Surfaçada|ClearMind Plus|Polarizada|1.5|1.50|DuraVision Chrome UV|-6.00 a +6.00|-4.00|0.75 a 3.50|70|||34</x:v>
      </x:c>
    </x:row>
    <x:row r="2129">
      <x:c r="A2129" s="24" t="str">
        <x:v>ZS-DB23B53F2E7B</x:v>
      </x:c>
      <x:c r="B2129" s="24" t="str">
        <x:v>ZEISS</x:v>
      </x:c>
      <x:c r="C2129" s="24" t="str">
        <x:v>Progressiva</x:v>
      </x:c>
      <x:c r="D2129" s="24" t="str">
        <x:v>Surfaçada</x:v>
      </x:c>
      <x:c r="E2129" s="24" t="str">
        <x:v>ClearMind Plus</x:v>
      </x:c>
      <x:c r="F2129" s="24" t="str">
        <x:v>Polarizada</x:v>
      </x:c>
      <x:c r="G2129" s="24" t="str">
        <x:v>1.5</x:v>
      </x:c>
      <x:c r="H2129" s="24" t="str">
        <x:v>1.50</x:v>
      </x:c>
      <x:c r="I2129" s="24" t="str">
        <x:v>Sem AR</x:v>
      </x:c>
      <x:c r="J2129" s="40" t="n">
        <x:v>6479</x:v>
      </x:c>
      <x:c r="K2129" s="24" t="str">
        <x:v>-6.00 a +6.00</x:v>
      </x:c>
      <x:c r="L2129" s="24" t="str">
        <x:v>-4.00</x:v>
      </x:c>
      <x:c r="M2129" s="24" t="str">
        <x:v>0.75 a 3.50</x:v>
      </x:c>
      <x:c r="N2129" s="24" t="str">
        <x:v>70</x:v>
      </x:c>
      <x:c r="O2129" s="24"/>
      <x:c r="P2129" s="24"/>
      <x:c r="Q2129" s="24" t="str">
        <x:v>DISPONÍVEL</x:v>
      </x:c>
      <x:c r="R2129" s="24" t="str">
        <x:v>Programa de Parcerias ZEISS — categoria Experts</x:v>
      </x:c>
      <x:c r="S2129" s="24" t="n">
        <x:v>34</x:v>
      </x:c>
      <x:c r="T2129" s="24" t="str">
        <x:v>tabela_zeiss.pdf</x:v>
      </x:c>
      <x:c r="U2129" s="24" t="str">
        <x:v>ZEISS|Progressiva|Surfaçada|ClearMind Plus|Polarizada|1.5|1.50|Sem AR|-6.00 a +6.00|-4.00|0.75 a 3.50|70|||34</x:v>
      </x:c>
    </x:row>
    <x:row r="2130">
      <x:c r="A2130" s="24" t="str">
        <x:v>ZS-2687879272B6</x:v>
      </x:c>
      <x:c r="B2130" s="24" t="str">
        <x:v>ZEISS</x:v>
      </x:c>
      <x:c r="C2130" s="24" t="str">
        <x:v>Progressiva</x:v>
      </x:c>
      <x:c r="D2130" s="24" t="str">
        <x:v>Surfaçada</x:v>
      </x:c>
      <x:c r="E2130" s="24" t="str">
        <x:v>ClearMind Plus</x:v>
      </x:c>
      <x:c r="F2130" s="24" t="str">
        <x:v>Polarizada</x:v>
      </x:c>
      <x:c r="G2130" s="24" t="str">
        <x:v>1.6</x:v>
      </x:c>
      <x:c r="H2130" s="24" t="str">
        <x:v>1.60</x:v>
      </x:c>
      <x:c r="I2130" s="24" t="str">
        <x:v>DuraVision Gold UV</x:v>
      </x:c>
      <x:c r="J2130" s="40" t="n">
        <x:v>9019</x:v>
      </x:c>
      <x:c r="K2130" s="24" t="str">
        <x:v>-8.50 a +6.00</x:v>
      </x:c>
      <x:c r="L2130" s="24" t="str">
        <x:v>-4.00</x:v>
      </x:c>
      <x:c r="M2130" s="24" t="str">
        <x:v>0.75 a 3.50</x:v>
      </x:c>
      <x:c r="N2130" s="24" t="str">
        <x:v>70</x:v>
      </x:c>
      <x:c r="O2130" s="24"/>
      <x:c r="P2130" s="24"/>
      <x:c r="Q2130" s="24" t="str">
        <x:v>DISPONÍVEL</x:v>
      </x:c>
      <x:c r="R2130" s="24" t="str">
        <x:v>Programa de Parcerias ZEISS — categoria Experts</x:v>
      </x:c>
      <x:c r="S2130" s="24" t="n">
        <x:v>34</x:v>
      </x:c>
      <x:c r="T2130" s="24" t="str">
        <x:v>tabela_zeiss.pdf</x:v>
      </x:c>
      <x:c r="U2130" s="24" t="str">
        <x:v>ZEISS|Progressiva|Surfaçada|ClearMind Plus|Polarizada|1.6|1.60|DuraVision Gold UV|-8.50 a +6.00|-4.00|0.75 a 3.50|70|||34</x:v>
      </x:c>
    </x:row>
    <x:row r="2131">
      <x:c r="A2131" s="24" t="str">
        <x:v>ZS-C5825D62DBBD</x:v>
      </x:c>
      <x:c r="B2131" s="24" t="str">
        <x:v>ZEISS</x:v>
      </x:c>
      <x:c r="C2131" s="24" t="str">
        <x:v>Progressiva</x:v>
      </x:c>
      <x:c r="D2131" s="24" t="str">
        <x:v>Surfaçada</x:v>
      </x:c>
      <x:c r="E2131" s="24" t="str">
        <x:v>ClearMind Plus</x:v>
      </x:c>
      <x:c r="F2131" s="24" t="str">
        <x:v>Polarizada</x:v>
      </x:c>
      <x:c r="G2131" s="24" t="str">
        <x:v>1.6</x:v>
      </x:c>
      <x:c r="H2131" s="24" t="str">
        <x:v>1.60</x:v>
      </x:c>
      <x:c r="I2131" s="24" t="str">
        <x:v>DuraVision Platinum UV</x:v>
      </x:c>
      <x:c r="J2131" s="40" t="n">
        <x:v>8879</x:v>
      </x:c>
      <x:c r="K2131" s="24" t="str">
        <x:v>-8.50 a +6.00</x:v>
      </x:c>
      <x:c r="L2131" s="24" t="str">
        <x:v>-4.00</x:v>
      </x:c>
      <x:c r="M2131" s="24" t="str">
        <x:v>0.75 a 3.50</x:v>
      </x:c>
      <x:c r="N2131" s="24" t="str">
        <x:v>70</x:v>
      </x:c>
      <x:c r="O2131" s="24"/>
      <x:c r="P2131" s="24"/>
      <x:c r="Q2131" s="24" t="str">
        <x:v>DISPONÍVEL</x:v>
      </x:c>
      <x:c r="R2131" s="24" t="str">
        <x:v>Programa de Parcerias ZEISS — categoria Experts</x:v>
      </x:c>
      <x:c r="S2131" s="24" t="n">
        <x:v>34</x:v>
      </x:c>
      <x:c r="T2131" s="24" t="str">
        <x:v>tabela_zeiss.pdf</x:v>
      </x:c>
      <x:c r="U2131" s="24" t="str">
        <x:v>ZEISS|Progressiva|Surfaçada|ClearMind Plus|Polarizada|1.6|1.60|DuraVision Platinum UV|-8.50 a +6.00|-4.00|0.75 a 3.50|70|||34</x:v>
      </x:c>
    </x:row>
    <x:row r="2132">
      <x:c r="A2132" s="24" t="str">
        <x:v>ZS-4E40EABDE1BC</x:v>
      </x:c>
      <x:c r="B2132" s="24" t="str">
        <x:v>ZEISS</x:v>
      </x:c>
      <x:c r="C2132" s="24" t="str">
        <x:v>Progressiva</x:v>
      </x:c>
      <x:c r="D2132" s="24" t="str">
        <x:v>Surfaçada</x:v>
      </x:c>
      <x:c r="E2132" s="24" t="str">
        <x:v>ClearMind Plus</x:v>
      </x:c>
      <x:c r="F2132" s="24" t="str">
        <x:v>Polarizada</x:v>
      </x:c>
      <x:c r="G2132" s="24" t="str">
        <x:v>1.6</x:v>
      </x:c>
      <x:c r="H2132" s="24" t="str">
        <x:v>1.60</x:v>
      </x:c>
      <x:c r="I2132" s="24" t="str">
        <x:v>DuraVision Silver UV</x:v>
      </x:c>
      <x:c r="J2132" s="40" t="n">
        <x:v>8619</x:v>
      </x:c>
      <x:c r="K2132" s="24" t="str">
        <x:v>-8.50 a +6.00</x:v>
      </x:c>
      <x:c r="L2132" s="24" t="str">
        <x:v>-4.00</x:v>
      </x:c>
      <x:c r="M2132" s="24" t="str">
        <x:v>0.75 a 3.50</x:v>
      </x:c>
      <x:c r="N2132" s="24" t="str">
        <x:v>70</x:v>
      </x:c>
      <x:c r="O2132" s="24"/>
      <x:c r="P2132" s="24"/>
      <x:c r="Q2132" s="24" t="str">
        <x:v>DISPONÍVEL</x:v>
      </x:c>
      <x:c r="R2132" s="24" t="str">
        <x:v>Programa de Parcerias ZEISS — categoria Experts</x:v>
      </x:c>
      <x:c r="S2132" s="24" t="n">
        <x:v>34</x:v>
      </x:c>
      <x:c r="T2132" s="24" t="str">
        <x:v>tabela_zeiss.pdf</x:v>
      </x:c>
      <x:c r="U2132" s="24" t="str">
        <x:v>ZEISS|Progressiva|Surfaçada|ClearMind Plus|Polarizada|1.6|1.60|DuraVision Silver UV|-8.50 a +6.00|-4.00|0.75 a 3.50|70|||34</x:v>
      </x:c>
    </x:row>
    <x:row r="2133">
      <x:c r="A2133" s="24" t="str">
        <x:v>ZS-DEF95E30F7C2</x:v>
      </x:c>
      <x:c r="B2133" s="24" t="str">
        <x:v>ZEISS</x:v>
      </x:c>
      <x:c r="C2133" s="24" t="str">
        <x:v>Progressiva</x:v>
      </x:c>
      <x:c r="D2133" s="24" t="str">
        <x:v>Surfaçada</x:v>
      </x:c>
      <x:c r="E2133" s="24" t="str">
        <x:v>ClearMind Plus</x:v>
      </x:c>
      <x:c r="F2133" s="24" t="str">
        <x:v>Polarizada</x:v>
      </x:c>
      <x:c r="G2133" s="24" t="str">
        <x:v>1.6</x:v>
      </x:c>
      <x:c r="H2133" s="24" t="str">
        <x:v>1.60</x:v>
      </x:c>
      <x:c r="I2133" s="24" t="str">
        <x:v>DuraVision Chrome UV</x:v>
      </x:c>
      <x:c r="J2133" s="40" t="n">
        <x:v>8129</x:v>
      </x:c>
      <x:c r="K2133" s="24" t="str">
        <x:v>-8.50 a +6.00</x:v>
      </x:c>
      <x:c r="L2133" s="24" t="str">
        <x:v>-4.00</x:v>
      </x:c>
      <x:c r="M2133" s="24" t="str">
        <x:v>0.75 a 3.50</x:v>
      </x:c>
      <x:c r="N2133" s="24" t="str">
        <x:v>70</x:v>
      </x:c>
      <x:c r="O2133" s="24"/>
      <x:c r="P2133" s="24"/>
      <x:c r="Q2133" s="24" t="str">
        <x:v>DISPONÍVEL</x:v>
      </x:c>
      <x:c r="R2133" s="24" t="str">
        <x:v>Programa de Parcerias ZEISS — categoria Experts</x:v>
      </x:c>
      <x:c r="S2133" s="24" t="n">
        <x:v>34</x:v>
      </x:c>
      <x:c r="T2133" s="24" t="str">
        <x:v>tabela_zeiss.pdf</x:v>
      </x:c>
      <x:c r="U2133" s="24" t="str">
        <x:v>ZEISS|Progressiva|Surfaçada|ClearMind Plus|Polarizada|1.6|1.60|DuraVision Chrome UV|-8.50 a +6.00|-4.00|0.75 a 3.50|70|||34</x:v>
      </x:c>
    </x:row>
    <x:row r="2134">
      <x:c r="A2134" s="24" t="str">
        <x:v>ZS-D3547C7188BA</x:v>
      </x:c>
      <x:c r="B2134" s="24" t="str">
        <x:v>ZEISS</x:v>
      </x:c>
      <x:c r="C2134" s="24" t="str">
        <x:v>Progressiva</x:v>
      </x:c>
      <x:c r="D2134" s="24" t="str">
        <x:v>Surfaçada</x:v>
      </x:c>
      <x:c r="E2134" s="24" t="str">
        <x:v>ClearMind Plus</x:v>
      </x:c>
      <x:c r="F2134" s="24" t="str">
        <x:v>Polarizada</x:v>
      </x:c>
      <x:c r="G2134" s="24" t="str">
        <x:v>1.6</x:v>
      </x:c>
      <x:c r="H2134" s="24" t="str">
        <x:v>1.60</x:v>
      </x:c>
      <x:c r="I2134" s="24" t="str">
        <x:v>Sem AR</x:v>
      </x:c>
      <x:c r="J2134" s="40" t="n">
        <x:v>7729</x:v>
      </x:c>
      <x:c r="K2134" s="24" t="str">
        <x:v>-8.50 a +6.00</x:v>
      </x:c>
      <x:c r="L2134" s="24" t="str">
        <x:v>-4.00</x:v>
      </x:c>
      <x:c r="M2134" s="24" t="str">
        <x:v>0.75 a 3.50</x:v>
      </x:c>
      <x:c r="N2134" s="24" t="str">
        <x:v>70</x:v>
      </x:c>
      <x:c r="O2134" s="24"/>
      <x:c r="P2134" s="24"/>
      <x:c r="Q2134" s="24" t="str">
        <x:v>DISPONÍVEL</x:v>
      </x:c>
      <x:c r="R2134" s="24" t="str">
        <x:v>Programa de Parcerias ZEISS — categoria Experts</x:v>
      </x:c>
      <x:c r="S2134" s="24" t="n">
        <x:v>34</x:v>
      </x:c>
      <x:c r="T2134" s="24" t="str">
        <x:v>tabela_zeiss.pdf</x:v>
      </x:c>
      <x:c r="U2134" s="24" t="str">
        <x:v>ZEISS|Progressiva|Surfaçada|ClearMind Plus|Polarizada|1.6|1.60|Sem AR|-8.50 a +6.00|-4.00|0.75 a 3.50|70|||34</x:v>
      </x:c>
    </x:row>
    <x:row r="2135">
      <x:c r="A2135" s="24" t="str">
        <x:v>ZS-13AE7F7F7211</x:v>
      </x:c>
      <x:c r="B2135" s="24" t="str">
        <x:v>ZEISS</x:v>
      </x:c>
      <x:c r="C2135" s="24" t="str">
        <x:v>Progressiva</x:v>
      </x:c>
      <x:c r="D2135" s="24" t="str">
        <x:v>Surfaçada</x:v>
      </x:c>
      <x:c r="E2135" s="24" t="str">
        <x:v>ClearMind Pure</x:v>
      </x:c>
      <x:c r="F2135" s="24"/>
      <x:c r="G2135" s="24" t="str">
        <x:v>1.5</x:v>
      </x:c>
      <x:c r="H2135" s="24" t="str">
        <x:v>1.50</x:v>
      </x:c>
      <x:c r="I2135" s="24" t="str">
        <x:v>DuraVision Gold UV</x:v>
      </x:c>
      <x:c r="J2135" s="40" t="n">
        <x:v>5912</x:v>
      </x:c>
      <x:c r="K2135" s="24" t="str">
        <x:v>-6.00 a +4.00</x:v>
      </x:c>
      <x:c r="L2135" s="24" t="str">
        <x:v>-4.00</x:v>
      </x:c>
      <x:c r="M2135" s="24" t="str">
        <x:v>0.75 a 3.50</x:v>
      </x:c>
      <x:c r="N2135" s="24" t="str">
        <x:v>75</x:v>
      </x:c>
      <x:c r="O2135" s="24"/>
      <x:c r="P2135" s="24"/>
      <x:c r="Q2135" s="24" t="str">
        <x:v>DISPONÍVEL</x:v>
      </x:c>
      <x:c r="R2135" s="24" t="str">
        <x:v>Programa de Parcerias ZEISS — categoria Experts</x:v>
      </x:c>
      <x:c r="S2135" s="24" t="n">
        <x:v>35</x:v>
      </x:c>
      <x:c r="T2135" s="24" t="str">
        <x:v>tabela_zeiss.pdf</x:v>
      </x:c>
      <x:c r="U2135" s="24" t="str">
        <x:v>ZEISS|Progressiva|Surfaçada|ClearMind Pure||1.5|1.50|DuraVision Gold UV|-6.00 a +4.00|-4.00|0.75 a 3.50|75|||35</x:v>
      </x:c>
    </x:row>
    <x:row r="2136">
      <x:c r="A2136" s="24" t="str">
        <x:v>ZS-DB9FF3E23588</x:v>
      </x:c>
      <x:c r="B2136" s="24" t="str">
        <x:v>ZEISS</x:v>
      </x:c>
      <x:c r="C2136" s="24" t="str">
        <x:v>Progressiva</x:v>
      </x:c>
      <x:c r="D2136" s="24" t="str">
        <x:v>Surfaçada</x:v>
      </x:c>
      <x:c r="E2136" s="24" t="str">
        <x:v>ClearMind Pure</x:v>
      </x:c>
      <x:c r="F2136" s="24"/>
      <x:c r="G2136" s="24" t="str">
        <x:v>1.5</x:v>
      </x:c>
      <x:c r="H2136" s="24" t="str">
        <x:v>1.50</x:v>
      </x:c>
      <x:c r="I2136" s="24" t="str">
        <x:v>DURAVISION® ANTIVÍRUS PLATINUM UV</x:v>
      </x:c>
      <x:c r="J2136" s="40" t="n">
        <x:v>5772</x:v>
      </x:c>
      <x:c r="K2136" s="24" t="str">
        <x:v>-6.00 a +4.00</x:v>
      </x:c>
      <x:c r="L2136" s="24" t="str">
        <x:v>-4.00</x:v>
      </x:c>
      <x:c r="M2136" s="24" t="str">
        <x:v>0.75 a 3.50</x:v>
      </x:c>
      <x:c r="N2136" s="24" t="str">
        <x:v>75</x:v>
      </x:c>
      <x:c r="O2136" s="24"/>
      <x:c r="P2136" s="24"/>
      <x:c r="Q2136" s="24" t="str">
        <x:v>DISPONÍVEL</x:v>
      </x:c>
      <x:c r="R2136" s="24" t="str">
        <x:v>Programa de Parcerias ZEISS — categoria Experts</x:v>
      </x:c>
      <x:c r="S2136" s="24" t="n">
        <x:v>35</x:v>
      </x:c>
      <x:c r="T2136" s="24" t="str">
        <x:v>tabela_zeiss.pdf</x:v>
      </x:c>
      <x:c r="U2136" s="24" t="str">
        <x:v>ZEISS|Progressiva|Surfaçada|ClearMind Pure||1.5|1.50|DURAVISION® ANTIVÍRUS PLATINUM UV|-6.00 a +4.00|-4.00|0.75 a 3.50|75|||35</x:v>
      </x:c>
    </x:row>
    <x:row r="2137">
      <x:c r="A2137" s="24" t="str">
        <x:v>ZS-3BC1CCA4037F</x:v>
      </x:c>
      <x:c r="B2137" s="24" t="str">
        <x:v>ZEISS</x:v>
      </x:c>
      <x:c r="C2137" s="24" t="str">
        <x:v>Progressiva</x:v>
      </x:c>
      <x:c r="D2137" s="24" t="str">
        <x:v>Surfaçada</x:v>
      </x:c>
      <x:c r="E2137" s="24" t="str">
        <x:v>ClearMind Pure</x:v>
      </x:c>
      <x:c r="F2137" s="24"/>
      <x:c r="G2137" s="24" t="str">
        <x:v>1.5</x:v>
      </x:c>
      <x:c r="H2137" s="24" t="str">
        <x:v>1.50</x:v>
      </x:c>
      <x:c r="I2137" s="24" t="str">
        <x:v>DuraVision Platinum UV</x:v>
      </x:c>
      <x:c r="J2137" s="40" t="n">
        <x:v>5772</x:v>
      </x:c>
      <x:c r="K2137" s="24" t="str">
        <x:v>-6.00 a +4.00</x:v>
      </x:c>
      <x:c r="L2137" s="24" t="str">
        <x:v>-4.00</x:v>
      </x:c>
      <x:c r="M2137" s="24" t="str">
        <x:v>0.75 a 3.50</x:v>
      </x:c>
      <x:c r="N2137" s="24" t="str">
        <x:v>75</x:v>
      </x:c>
      <x:c r="O2137" s="24"/>
      <x:c r="P2137" s="24"/>
      <x:c r="Q2137" s="24" t="str">
        <x:v>DISPONÍVEL</x:v>
      </x:c>
      <x:c r="R2137" s="24" t="str">
        <x:v>Programa de Parcerias ZEISS — categoria Experts</x:v>
      </x:c>
      <x:c r="S2137" s="24" t="n">
        <x:v>35</x:v>
      </x:c>
      <x:c r="T2137" s="24" t="str">
        <x:v>tabela_zeiss.pdf</x:v>
      </x:c>
      <x:c r="U2137" s="24" t="str">
        <x:v>ZEISS|Progressiva|Surfaçada|ClearMind Pure||1.5|1.50|DuraVision Platinum UV|-6.00 a +4.00|-4.00|0.75 a 3.50|75|||35</x:v>
      </x:c>
    </x:row>
    <x:row r="2138">
      <x:c r="A2138" s="24" t="str">
        <x:v>ZS-E0A0EF63A6C8</x:v>
      </x:c>
      <x:c r="B2138" s="24" t="str">
        <x:v>ZEISS</x:v>
      </x:c>
      <x:c r="C2138" s="24" t="str">
        <x:v>Progressiva</x:v>
      </x:c>
      <x:c r="D2138" s="24" t="str">
        <x:v>Surfaçada</x:v>
      </x:c>
      <x:c r="E2138" s="24" t="str">
        <x:v>ClearMind Pure</x:v>
      </x:c>
      <x:c r="F2138" s="24"/>
      <x:c r="G2138" s="24" t="str">
        <x:v>1.5</x:v>
      </x:c>
      <x:c r="H2138" s="24" t="str">
        <x:v>1.50</x:v>
      </x:c>
      <x:c r="I2138" s="24" t="str">
        <x:v>DuraVision Silver UV</x:v>
      </x:c>
      <x:c r="J2138" s="40" t="n">
        <x:v>5512</x:v>
      </x:c>
      <x:c r="K2138" s="24" t="str">
        <x:v>-6.00 a +4.00</x:v>
      </x:c>
      <x:c r="L2138" s="24" t="str">
        <x:v>-4.00</x:v>
      </x:c>
      <x:c r="M2138" s="24" t="str">
        <x:v>0.75 a 3.50</x:v>
      </x:c>
      <x:c r="N2138" s="24" t="str">
        <x:v>75</x:v>
      </x:c>
      <x:c r="O2138" s="24"/>
      <x:c r="P2138" s="24"/>
      <x:c r="Q2138" s="24" t="str">
        <x:v>DISPONÍVEL</x:v>
      </x:c>
      <x:c r="R2138" s="24" t="str">
        <x:v>Programa de Parcerias ZEISS — categoria Experts</x:v>
      </x:c>
      <x:c r="S2138" s="24" t="n">
        <x:v>35</x:v>
      </x:c>
      <x:c r="T2138" s="24" t="str">
        <x:v>tabela_zeiss.pdf</x:v>
      </x:c>
      <x:c r="U2138" s="24" t="str">
        <x:v>ZEISS|Progressiva|Surfaçada|ClearMind Pure||1.5|1.50|DuraVision Silver UV|-6.00 a +4.00|-4.00|0.75 a 3.50|75|||35</x:v>
      </x:c>
    </x:row>
    <x:row r="2139">
      <x:c r="A2139" s="24" t="str">
        <x:v>ZS-C4659DE96092</x:v>
      </x:c>
      <x:c r="B2139" s="24" t="str">
        <x:v>ZEISS</x:v>
      </x:c>
      <x:c r="C2139" s="24" t="str">
        <x:v>Progressiva</x:v>
      </x:c>
      <x:c r="D2139" s="24" t="str">
        <x:v>Surfaçada</x:v>
      </x:c>
      <x:c r="E2139" s="24" t="str">
        <x:v>ClearMind Pure</x:v>
      </x:c>
      <x:c r="F2139" s="24"/>
      <x:c r="G2139" s="24" t="str">
        <x:v>1.5</x:v>
      </x:c>
      <x:c r="H2139" s="24" t="str">
        <x:v>1.50</x:v>
      </x:c>
      <x:c r="I2139" s="24" t="str">
        <x:v>DuraVision Chrome UV</x:v>
      </x:c>
      <x:c r="J2139" s="40" t="n">
        <x:v>5022</x:v>
      </x:c>
      <x:c r="K2139" s="24" t="str">
        <x:v>-6.00 a +4.00</x:v>
      </x:c>
      <x:c r="L2139" s="24" t="str">
        <x:v>-4.00</x:v>
      </x:c>
      <x:c r="M2139" s="24" t="str">
        <x:v>0.75 a 3.50</x:v>
      </x:c>
      <x:c r="N2139" s="24" t="str">
        <x:v>75</x:v>
      </x:c>
      <x:c r="O2139" s="24"/>
      <x:c r="P2139" s="24"/>
      <x:c r="Q2139" s="24" t="str">
        <x:v>DISPONÍVEL</x:v>
      </x:c>
      <x:c r="R2139" s="24" t="str">
        <x:v>Programa de Parcerias ZEISS — categoria Experts</x:v>
      </x:c>
      <x:c r="S2139" s="24" t="n">
        <x:v>35</x:v>
      </x:c>
      <x:c r="T2139" s="24" t="str">
        <x:v>tabela_zeiss.pdf</x:v>
      </x:c>
      <x:c r="U2139" s="24" t="str">
        <x:v>ZEISS|Progressiva|Surfaçada|ClearMind Pure||1.5|1.50|DuraVision Chrome UV|-6.00 a +4.00|-4.00|0.75 a 3.50|75|||35</x:v>
      </x:c>
    </x:row>
    <x:row r="2140">
      <x:c r="A2140" s="24" t="str">
        <x:v>ZS-833E54BEF3BF</x:v>
      </x:c>
      <x:c r="B2140" s="24" t="str">
        <x:v>ZEISS</x:v>
      </x:c>
      <x:c r="C2140" s="24" t="str">
        <x:v>Progressiva</x:v>
      </x:c>
      <x:c r="D2140" s="24" t="str">
        <x:v>Surfaçada</x:v>
      </x:c>
      <x:c r="E2140" s="24" t="str">
        <x:v>ClearMind Pure</x:v>
      </x:c>
      <x:c r="F2140" s="24"/>
      <x:c r="G2140" s="24" t="str">
        <x:v>Poli</x:v>
      </x:c>
      <x:c r="H2140" s="24"/>
      <x:c r="I2140" s="24" t="str">
        <x:v>DuraVision Gold UV</x:v>
      </x:c>
      <x:c r="J2140" s="40" t="n">
        <x:v>6502</x:v>
      </x:c>
      <x:c r="K2140" s="24" t="str">
        <x:v>-10.00 a +6.00</x:v>
      </x:c>
      <x:c r="L2140" s="24" t="str">
        <x:v>-6.00</x:v>
      </x:c>
      <x:c r="M2140" s="24" t="str">
        <x:v>0.75 a 3.00</x:v>
      </x:c>
      <x:c r="N2140" s="24" t="str">
        <x:v>70</x:v>
      </x:c>
      <x:c r="O2140" s="24"/>
      <x:c r="P2140" s="24"/>
      <x:c r="Q2140" s="24" t="str">
        <x:v>DISPONÍVEL</x:v>
      </x:c>
      <x:c r="R2140" s="24" t="str">
        <x:v>Programa de Parcerias ZEISS — categoria Experts</x:v>
      </x:c>
      <x:c r="S2140" s="24" t="n">
        <x:v>35</x:v>
      </x:c>
      <x:c r="T2140" s="24" t="str">
        <x:v>tabela_zeiss.pdf</x:v>
      </x:c>
      <x:c r="U2140" s="24" t="str">
        <x:v>ZEISS|Progressiva|Surfaçada|ClearMind Pure||Poli||DuraVision Gold UV|-10.00 a +6.00|-6.00|0.75 a 3.00|70|||35</x:v>
      </x:c>
    </x:row>
    <x:row r="2141">
      <x:c r="A2141" s="24" t="str">
        <x:v>ZS-79BEF1D4E855</x:v>
      </x:c>
      <x:c r="B2141" s="24" t="str">
        <x:v>ZEISS</x:v>
      </x:c>
      <x:c r="C2141" s="24" t="str">
        <x:v>Progressiva</x:v>
      </x:c>
      <x:c r="D2141" s="24" t="str">
        <x:v>Surfaçada</x:v>
      </x:c>
      <x:c r="E2141" s="24" t="str">
        <x:v>ClearMind Pure</x:v>
      </x:c>
      <x:c r="F2141" s="24"/>
      <x:c r="G2141" s="24" t="str">
        <x:v>Poli</x:v>
      </x:c>
      <x:c r="H2141" s="24"/>
      <x:c r="I2141" s="24" t="str">
        <x:v>DuraVision Platinum UV</x:v>
      </x:c>
      <x:c r="J2141" s="40" t="n">
        <x:v>6362</x:v>
      </x:c>
      <x:c r="K2141" s="24" t="str">
        <x:v>-10.00 a +6.00</x:v>
      </x:c>
      <x:c r="L2141" s="24" t="str">
        <x:v>-6.00</x:v>
      </x:c>
      <x:c r="M2141" s="24" t="str">
        <x:v>0.75 a 3.00</x:v>
      </x:c>
      <x:c r="N2141" s="24" t="str">
        <x:v>70</x:v>
      </x:c>
      <x:c r="O2141" s="24"/>
      <x:c r="P2141" s="24"/>
      <x:c r="Q2141" s="24" t="str">
        <x:v>DISPONÍVEL</x:v>
      </x:c>
      <x:c r="R2141" s="24" t="str">
        <x:v>Programa de Parcerias ZEISS — categoria Experts</x:v>
      </x:c>
      <x:c r="S2141" s="24" t="n">
        <x:v>35</x:v>
      </x:c>
      <x:c r="T2141" s="24" t="str">
        <x:v>tabela_zeiss.pdf</x:v>
      </x:c>
      <x:c r="U2141" s="24" t="str">
        <x:v>ZEISS|Progressiva|Surfaçada|ClearMind Pure||Poli||DuraVision Platinum UV|-10.00 a +6.00|-6.00|0.75 a 3.00|70|||35</x:v>
      </x:c>
    </x:row>
    <x:row r="2142">
      <x:c r="A2142" s="24" t="str">
        <x:v>ZS-D47AE1787376</x:v>
      </x:c>
      <x:c r="B2142" s="24" t="str">
        <x:v>ZEISS</x:v>
      </x:c>
      <x:c r="C2142" s="24" t="str">
        <x:v>Progressiva</x:v>
      </x:c>
      <x:c r="D2142" s="24" t="str">
        <x:v>Surfaçada</x:v>
      </x:c>
      <x:c r="E2142" s="24" t="str">
        <x:v>ClearMind Pure</x:v>
      </x:c>
      <x:c r="F2142" s="24"/>
      <x:c r="G2142" s="24" t="str">
        <x:v>Poli</x:v>
      </x:c>
      <x:c r="H2142" s="24"/>
      <x:c r="I2142" s="24" t="str">
        <x:v>DuraVision Silver UV</x:v>
      </x:c>
      <x:c r="J2142" s="40" t="n">
        <x:v>6102</x:v>
      </x:c>
      <x:c r="K2142" s="24" t="str">
        <x:v>-10.00 a +6.00</x:v>
      </x:c>
      <x:c r="L2142" s="24" t="str">
        <x:v>-6.00</x:v>
      </x:c>
      <x:c r="M2142" s="24" t="str">
        <x:v>0.75 a 3.00</x:v>
      </x:c>
      <x:c r="N2142" s="24" t="str">
        <x:v>70</x:v>
      </x:c>
      <x:c r="O2142" s="24"/>
      <x:c r="P2142" s="24"/>
      <x:c r="Q2142" s="24" t="str">
        <x:v>DISPONÍVEL</x:v>
      </x:c>
      <x:c r="R2142" s="24" t="str">
        <x:v>Programa de Parcerias ZEISS — categoria Experts</x:v>
      </x:c>
      <x:c r="S2142" s="24" t="n">
        <x:v>35</x:v>
      </x:c>
      <x:c r="T2142" s="24" t="str">
        <x:v>tabela_zeiss.pdf</x:v>
      </x:c>
      <x:c r="U2142" s="24" t="str">
        <x:v>ZEISS|Progressiva|Surfaçada|ClearMind Pure||Poli||DuraVision Silver UV|-10.00 a +6.00|-6.00|0.75 a 3.00|70|||35</x:v>
      </x:c>
    </x:row>
    <x:row r="2143">
      <x:c r="A2143" s="24" t="str">
        <x:v>ZS-522AF33BAF64</x:v>
      </x:c>
      <x:c r="B2143" s="24" t="str">
        <x:v>ZEISS</x:v>
      </x:c>
      <x:c r="C2143" s="24" t="str">
        <x:v>Progressiva</x:v>
      </x:c>
      <x:c r="D2143" s="24" t="str">
        <x:v>Surfaçada</x:v>
      </x:c>
      <x:c r="E2143" s="24" t="str">
        <x:v>ClearMind Pure</x:v>
      </x:c>
      <x:c r="F2143" s="24"/>
      <x:c r="G2143" s="24" t="str">
        <x:v>Poli</x:v>
      </x:c>
      <x:c r="H2143" s="24"/>
      <x:c r="I2143" s="24" t="str">
        <x:v>DuraVision Chrome UV</x:v>
      </x:c>
      <x:c r="J2143" s="40" t="n">
        <x:v>5612</x:v>
      </x:c>
      <x:c r="K2143" s="24" t="str">
        <x:v>-10.00 a +6.00</x:v>
      </x:c>
      <x:c r="L2143" s="24" t="str">
        <x:v>-6.00</x:v>
      </x:c>
      <x:c r="M2143" s="24" t="str">
        <x:v>0.75 a 3.00</x:v>
      </x:c>
      <x:c r="N2143" s="24" t="str">
        <x:v>70</x:v>
      </x:c>
      <x:c r="O2143" s="24"/>
      <x:c r="P2143" s="24"/>
      <x:c r="Q2143" s="24" t="str">
        <x:v>DISPONÍVEL</x:v>
      </x:c>
      <x:c r="R2143" s="24" t="str">
        <x:v>Programa de Parcerias ZEISS — categoria Experts</x:v>
      </x:c>
      <x:c r="S2143" s="24" t="n">
        <x:v>35</x:v>
      </x:c>
      <x:c r="T2143" s="24" t="str">
        <x:v>tabela_zeiss.pdf</x:v>
      </x:c>
      <x:c r="U2143" s="24" t="str">
        <x:v>ZEISS|Progressiva|Surfaçada|ClearMind Pure||Poli||DuraVision Chrome UV|-10.00 a +6.00|-6.00|0.75 a 3.00|70|||35</x:v>
      </x:c>
    </x:row>
    <x:row r="2144">
      <x:c r="A2144" s="24" t="str">
        <x:v>ZS-11BF5179CF33</x:v>
      </x:c>
      <x:c r="B2144" s="24" t="str">
        <x:v>ZEISS</x:v>
      </x:c>
      <x:c r="C2144" s="24" t="str">
        <x:v>Progressiva</x:v>
      </x:c>
      <x:c r="D2144" s="24" t="str">
        <x:v>Surfaçada</x:v>
      </x:c>
      <x:c r="E2144" s="24" t="str">
        <x:v>ClearMind Pure</x:v>
      </x:c>
      <x:c r="F2144" s="24"/>
      <x:c r="G2144" s="24" t="str">
        <x:v>1.6</x:v>
      </x:c>
      <x:c r="H2144" s="24" t="str">
        <x:v>1.60</x:v>
      </x:c>
      <x:c r="I2144" s="24" t="str">
        <x:v>DuraVision Gold UV</x:v>
      </x:c>
      <x:c r="J2144" s="40" t="n">
        <x:v>7162</x:v>
      </x:c>
      <x:c r="K2144" s="24" t="str">
        <x:v>-7.25 a +6.00</x:v>
      </x:c>
      <x:c r="L2144" s="24" t="str">
        <x:v>-6.00</x:v>
      </x:c>
      <x:c r="M2144" s="24" t="str">
        <x:v>0.75 a 3.50</x:v>
      </x:c>
      <x:c r="N2144" s="24" t="str">
        <x:v>75</x:v>
      </x:c>
      <x:c r="O2144" s="24"/>
      <x:c r="P2144" s="24"/>
      <x:c r="Q2144" s="24" t="str">
        <x:v>DISPONÍVEL</x:v>
      </x:c>
      <x:c r="R2144" s="24" t="str">
        <x:v>Programa de Parcerias ZEISS — categoria Experts</x:v>
      </x:c>
      <x:c r="S2144" s="24" t="n">
        <x:v>35</x:v>
      </x:c>
      <x:c r="T2144" s="24" t="str">
        <x:v>tabela_zeiss.pdf</x:v>
      </x:c>
      <x:c r="U2144" s="24" t="str">
        <x:v>ZEISS|Progressiva|Surfaçada|ClearMind Pure||1.6|1.60|DuraVision Gold UV|-7.25 a +6.00|-6.00|0.75 a 3.50|75|||35</x:v>
      </x:c>
    </x:row>
    <x:row r="2145">
      <x:c r="A2145" s="24" t="str">
        <x:v>ZS-BF31211A3163</x:v>
      </x:c>
      <x:c r="B2145" s="24" t="str">
        <x:v>ZEISS</x:v>
      </x:c>
      <x:c r="C2145" s="24" t="str">
        <x:v>Progressiva</x:v>
      </x:c>
      <x:c r="D2145" s="24" t="str">
        <x:v>Surfaçada</x:v>
      </x:c>
      <x:c r="E2145" s="24" t="str">
        <x:v>ClearMind Pure</x:v>
      </x:c>
      <x:c r="F2145" s="24"/>
      <x:c r="G2145" s="24" t="str">
        <x:v>1.6</x:v>
      </x:c>
      <x:c r="H2145" s="24" t="str">
        <x:v>1.60</x:v>
      </x:c>
      <x:c r="I2145" s="24" t="str">
        <x:v>DURAVISION® ANTIVÍRUS PLATINUM UV</x:v>
      </x:c>
      <x:c r="J2145" s="40" t="n">
        <x:v>7022</x:v>
      </x:c>
      <x:c r="K2145" s="24" t="str">
        <x:v>-7.25 a +6.00</x:v>
      </x:c>
      <x:c r="L2145" s="24" t="str">
        <x:v>-6.00</x:v>
      </x:c>
      <x:c r="M2145" s="24" t="str">
        <x:v>0.75 a 3.50</x:v>
      </x:c>
      <x:c r="N2145" s="24" t="str">
        <x:v>75</x:v>
      </x:c>
      <x:c r="O2145" s="24"/>
      <x:c r="P2145" s="24"/>
      <x:c r="Q2145" s="24" t="str">
        <x:v>DISPONÍVEL</x:v>
      </x:c>
      <x:c r="R2145" s="24" t="str">
        <x:v>Programa de Parcerias ZEISS — categoria Experts</x:v>
      </x:c>
      <x:c r="S2145" s="24" t="n">
        <x:v>35</x:v>
      </x:c>
      <x:c r="T2145" s="24" t="str">
        <x:v>tabela_zeiss.pdf</x:v>
      </x:c>
      <x:c r="U2145" s="24" t="str">
        <x:v>ZEISS|Progressiva|Surfaçada|ClearMind Pure||1.6|1.60|DURAVISION® ANTIVÍRUS PLATINUM UV|-7.25 a +6.00|-6.00|0.75 a 3.50|75|||35</x:v>
      </x:c>
    </x:row>
    <x:row r="2146">
      <x:c r="A2146" s="24" t="str">
        <x:v>ZS-D8635CAD16D7</x:v>
      </x:c>
      <x:c r="B2146" s="24" t="str">
        <x:v>ZEISS</x:v>
      </x:c>
      <x:c r="C2146" s="24" t="str">
        <x:v>Progressiva</x:v>
      </x:c>
      <x:c r="D2146" s="24" t="str">
        <x:v>Surfaçada</x:v>
      </x:c>
      <x:c r="E2146" s="24" t="str">
        <x:v>ClearMind Pure</x:v>
      </x:c>
      <x:c r="F2146" s="24"/>
      <x:c r="G2146" s="24" t="str">
        <x:v>1.6</x:v>
      </x:c>
      <x:c r="H2146" s="24" t="str">
        <x:v>1.60</x:v>
      </x:c>
      <x:c r="I2146" s="24" t="str">
        <x:v>DuraVision Platinum UV</x:v>
      </x:c>
      <x:c r="J2146" s="40" t="n">
        <x:v>7022</x:v>
      </x:c>
      <x:c r="K2146" s="24" t="str">
        <x:v>-7.25 a +6.00</x:v>
      </x:c>
      <x:c r="L2146" s="24" t="str">
        <x:v>-6.00</x:v>
      </x:c>
      <x:c r="M2146" s="24" t="str">
        <x:v>0.75 a 3.50</x:v>
      </x:c>
      <x:c r="N2146" s="24" t="str">
        <x:v>75</x:v>
      </x:c>
      <x:c r="O2146" s="24"/>
      <x:c r="P2146" s="24"/>
      <x:c r="Q2146" s="24" t="str">
        <x:v>DISPONÍVEL</x:v>
      </x:c>
      <x:c r="R2146" s="24" t="str">
        <x:v>Programa de Parcerias ZEISS — categoria Experts</x:v>
      </x:c>
      <x:c r="S2146" s="24" t="n">
        <x:v>35</x:v>
      </x:c>
      <x:c r="T2146" s="24" t="str">
        <x:v>tabela_zeiss.pdf</x:v>
      </x:c>
      <x:c r="U2146" s="24" t="str">
        <x:v>ZEISS|Progressiva|Surfaçada|ClearMind Pure||1.6|1.60|DuraVision Platinum UV|-7.25 a +6.00|-6.00|0.75 a 3.50|75|||35</x:v>
      </x:c>
    </x:row>
    <x:row r="2147">
      <x:c r="A2147" s="24" t="str">
        <x:v>ZS-6767DCBF357F</x:v>
      </x:c>
      <x:c r="B2147" s="24" t="str">
        <x:v>ZEISS</x:v>
      </x:c>
      <x:c r="C2147" s="24" t="str">
        <x:v>Progressiva</x:v>
      </x:c>
      <x:c r="D2147" s="24" t="str">
        <x:v>Surfaçada</x:v>
      </x:c>
      <x:c r="E2147" s="24" t="str">
        <x:v>ClearMind Pure</x:v>
      </x:c>
      <x:c r="F2147" s="24"/>
      <x:c r="G2147" s="24" t="str">
        <x:v>1.6</x:v>
      </x:c>
      <x:c r="H2147" s="24" t="str">
        <x:v>1.60</x:v>
      </x:c>
      <x:c r="I2147" s="24" t="str">
        <x:v>DuraVision Silver UV</x:v>
      </x:c>
      <x:c r="J2147" s="40" t="n">
        <x:v>6762</x:v>
      </x:c>
      <x:c r="K2147" s="24" t="str">
        <x:v>-7.25 a +6.00</x:v>
      </x:c>
      <x:c r="L2147" s="24" t="str">
        <x:v>-6.00</x:v>
      </x:c>
      <x:c r="M2147" s="24" t="str">
        <x:v>0.75 a 3.50</x:v>
      </x:c>
      <x:c r="N2147" s="24" t="str">
        <x:v>75</x:v>
      </x:c>
      <x:c r="O2147" s="24"/>
      <x:c r="P2147" s="24"/>
      <x:c r="Q2147" s="24" t="str">
        <x:v>DISPONÍVEL</x:v>
      </x:c>
      <x:c r="R2147" s="24" t="str">
        <x:v>Programa de Parcerias ZEISS — categoria Experts</x:v>
      </x:c>
      <x:c r="S2147" s="24" t="n">
        <x:v>35</x:v>
      </x:c>
      <x:c r="T2147" s="24" t="str">
        <x:v>tabela_zeiss.pdf</x:v>
      </x:c>
      <x:c r="U2147" s="24" t="str">
        <x:v>ZEISS|Progressiva|Surfaçada|ClearMind Pure||1.6|1.60|DuraVision Silver UV|-7.25 a +6.00|-6.00|0.75 a 3.50|75|||35</x:v>
      </x:c>
    </x:row>
    <x:row r="2148">
      <x:c r="A2148" s="24" t="str">
        <x:v>ZS-13F987D4DD6D</x:v>
      </x:c>
      <x:c r="B2148" s="24" t="str">
        <x:v>ZEISS</x:v>
      </x:c>
      <x:c r="C2148" s="24" t="str">
        <x:v>Progressiva</x:v>
      </x:c>
      <x:c r="D2148" s="24" t="str">
        <x:v>Surfaçada</x:v>
      </x:c>
      <x:c r="E2148" s="24" t="str">
        <x:v>ClearMind Pure</x:v>
      </x:c>
      <x:c r="F2148" s="24"/>
      <x:c r="G2148" s="24" t="str">
        <x:v>1.6</x:v>
      </x:c>
      <x:c r="H2148" s="24" t="str">
        <x:v>1.60</x:v>
      </x:c>
      <x:c r="I2148" s="24" t="str">
        <x:v>DuraVision Chrome UV</x:v>
      </x:c>
      <x:c r="J2148" s="40" t="n">
        <x:v>6272</x:v>
      </x:c>
      <x:c r="K2148" s="24" t="str">
        <x:v>-7.25 a +6.00</x:v>
      </x:c>
      <x:c r="L2148" s="24" t="str">
        <x:v>-6.00</x:v>
      </x:c>
      <x:c r="M2148" s="24" t="str">
        <x:v>0.75 a 3.50</x:v>
      </x:c>
      <x:c r="N2148" s="24" t="str">
        <x:v>75</x:v>
      </x:c>
      <x:c r="O2148" s="24"/>
      <x:c r="P2148" s="24"/>
      <x:c r="Q2148" s="24" t="str">
        <x:v>DISPONÍVEL</x:v>
      </x:c>
      <x:c r="R2148" s="24" t="str">
        <x:v>Programa de Parcerias ZEISS — categoria Experts</x:v>
      </x:c>
      <x:c r="S2148" s="24" t="n">
        <x:v>35</x:v>
      </x:c>
      <x:c r="T2148" s="24" t="str">
        <x:v>tabela_zeiss.pdf</x:v>
      </x:c>
      <x:c r="U2148" s="24" t="str">
        <x:v>ZEISS|Progressiva|Surfaçada|ClearMind Pure||1.6|1.60|DuraVision Chrome UV|-7.25 a +6.00|-6.00|0.75 a 3.50|75|||35</x:v>
      </x:c>
    </x:row>
    <x:row r="2149">
      <x:c r="A2149" s="24" t="str">
        <x:v>ZS-1B1EE6655942</x:v>
      </x:c>
      <x:c r="B2149" s="24" t="str">
        <x:v>ZEISS</x:v>
      </x:c>
      <x:c r="C2149" s="24" t="str">
        <x:v>Progressiva</x:v>
      </x:c>
      <x:c r="D2149" s="24" t="str">
        <x:v>Surfaçada</x:v>
      </x:c>
      <x:c r="E2149" s="24" t="str">
        <x:v>ClearMind Pure</x:v>
      </x:c>
      <x:c r="F2149" s="24"/>
      <x:c r="G2149" s="24" t="str">
        <x:v>1.67</x:v>
      </x:c>
      <x:c r="H2149" s="24" t="str">
        <x:v>1.67</x:v>
      </x:c>
      <x:c r="I2149" s="24" t="str">
        <x:v>DuraVision Gold UV</x:v>
      </x:c>
      <x:c r="J2149" s="40" t="n">
        <x:v>8802</x:v>
      </x:c>
      <x:c r="K2149" s="24" t="str">
        <x:v>-8.00 a +8.00</x:v>
      </x:c>
      <x:c r="L2149" s="24" t="str">
        <x:v>-6.00</x:v>
      </x:c>
      <x:c r="M2149" s="24" t="str">
        <x:v>0.75 a 3.00</x:v>
      </x:c>
      <x:c r="N2149" s="24" t="str">
        <x:v>70</x:v>
      </x:c>
      <x:c r="O2149" s="24"/>
      <x:c r="P2149" s="24"/>
      <x:c r="Q2149" s="24" t="str">
        <x:v>DISPONÍVEL</x:v>
      </x:c>
      <x:c r="R2149" s="24" t="str">
        <x:v>Programa de Parcerias ZEISS — categoria Experts</x:v>
      </x:c>
      <x:c r="S2149" s="24" t="n">
        <x:v>35</x:v>
      </x:c>
      <x:c r="T2149" s="24" t="str">
        <x:v>tabela_zeiss.pdf</x:v>
      </x:c>
      <x:c r="U2149" s="24" t="str">
        <x:v>ZEISS|Progressiva|Surfaçada|ClearMind Pure||1.67|1.67|DuraVision Gold UV|-8.00 a +8.00|-6.00|0.75 a 3.00|70|||35</x:v>
      </x:c>
    </x:row>
    <x:row r="2150">
      <x:c r="A2150" s="24" t="str">
        <x:v>ZS-9B5C48599403</x:v>
      </x:c>
      <x:c r="B2150" s="24" t="str">
        <x:v>ZEISS</x:v>
      </x:c>
      <x:c r="C2150" s="24" t="str">
        <x:v>Progressiva</x:v>
      </x:c>
      <x:c r="D2150" s="24" t="str">
        <x:v>Surfaçada</x:v>
      </x:c>
      <x:c r="E2150" s="24" t="str">
        <x:v>ClearMind Pure</x:v>
      </x:c>
      <x:c r="F2150" s="24"/>
      <x:c r="G2150" s="24" t="str">
        <x:v>1.67</x:v>
      </x:c>
      <x:c r="H2150" s="24" t="str">
        <x:v>1.67</x:v>
      </x:c>
      <x:c r="I2150" s="24" t="str">
        <x:v>DURAVISION® ANTIVÍRUS PLATINUM UV</x:v>
      </x:c>
      <x:c r="J2150" s="40" t="n">
        <x:v>8662</x:v>
      </x:c>
      <x:c r="K2150" s="24" t="str">
        <x:v>-8.00 a +8.00</x:v>
      </x:c>
      <x:c r="L2150" s="24" t="str">
        <x:v>-6.00</x:v>
      </x:c>
      <x:c r="M2150" s="24" t="str">
        <x:v>0.75 a 3.00</x:v>
      </x:c>
      <x:c r="N2150" s="24" t="str">
        <x:v>70</x:v>
      </x:c>
      <x:c r="O2150" s="24"/>
      <x:c r="P2150" s="24"/>
      <x:c r="Q2150" s="24" t="str">
        <x:v>DISPONÍVEL</x:v>
      </x:c>
      <x:c r="R2150" s="24" t="str">
        <x:v>Programa de Parcerias ZEISS — categoria Experts</x:v>
      </x:c>
      <x:c r="S2150" s="24" t="n">
        <x:v>35</x:v>
      </x:c>
      <x:c r="T2150" s="24" t="str">
        <x:v>tabela_zeiss.pdf</x:v>
      </x:c>
      <x:c r="U2150" s="24" t="str">
        <x:v>ZEISS|Progressiva|Surfaçada|ClearMind Pure||1.67|1.67|DURAVISION® ANTIVÍRUS PLATINUM UV|-8.00 a +8.00|-6.00|0.75 a 3.00|70|||35</x:v>
      </x:c>
    </x:row>
    <x:row r="2151">
      <x:c r="A2151" s="24" t="str">
        <x:v>ZS-5D56C0784575</x:v>
      </x:c>
      <x:c r="B2151" s="24" t="str">
        <x:v>ZEISS</x:v>
      </x:c>
      <x:c r="C2151" s="24" t="str">
        <x:v>Progressiva</x:v>
      </x:c>
      <x:c r="D2151" s="24" t="str">
        <x:v>Surfaçada</x:v>
      </x:c>
      <x:c r="E2151" s="24" t="str">
        <x:v>ClearMind Pure</x:v>
      </x:c>
      <x:c r="F2151" s="24"/>
      <x:c r="G2151" s="24" t="str">
        <x:v>1.67</x:v>
      </x:c>
      <x:c r="H2151" s="24" t="str">
        <x:v>1.67</x:v>
      </x:c>
      <x:c r="I2151" s="24" t="str">
        <x:v>DuraVision Platinum UV</x:v>
      </x:c>
      <x:c r="J2151" s="40" t="n">
        <x:v>8662</x:v>
      </x:c>
      <x:c r="K2151" s="24" t="str">
        <x:v>-8.00 a +8.00</x:v>
      </x:c>
      <x:c r="L2151" s="24" t="str">
        <x:v>-6.00</x:v>
      </x:c>
      <x:c r="M2151" s="24" t="str">
        <x:v>0.75 a 3.00</x:v>
      </x:c>
      <x:c r="N2151" s="24" t="str">
        <x:v>70</x:v>
      </x:c>
      <x:c r="O2151" s="24"/>
      <x:c r="P2151" s="24"/>
      <x:c r="Q2151" s="24" t="str">
        <x:v>DISPONÍVEL</x:v>
      </x:c>
      <x:c r="R2151" s="24" t="str">
        <x:v>Programa de Parcerias ZEISS — categoria Experts</x:v>
      </x:c>
      <x:c r="S2151" s="24" t="n">
        <x:v>35</x:v>
      </x:c>
      <x:c r="T2151" s="24" t="str">
        <x:v>tabela_zeiss.pdf</x:v>
      </x:c>
      <x:c r="U2151" s="24" t="str">
        <x:v>ZEISS|Progressiva|Surfaçada|ClearMind Pure||1.67|1.67|DuraVision Platinum UV|-8.00 a +8.00|-6.00|0.75 a 3.00|70|||35</x:v>
      </x:c>
    </x:row>
    <x:row r="2152">
      <x:c r="A2152" s="24" t="str">
        <x:v>ZS-6F8A392A14EA</x:v>
      </x:c>
      <x:c r="B2152" s="24" t="str">
        <x:v>ZEISS</x:v>
      </x:c>
      <x:c r="C2152" s="24" t="str">
        <x:v>Progressiva</x:v>
      </x:c>
      <x:c r="D2152" s="24" t="str">
        <x:v>Surfaçada</x:v>
      </x:c>
      <x:c r="E2152" s="24" t="str">
        <x:v>ClearMind Pure</x:v>
      </x:c>
      <x:c r="F2152" s="24"/>
      <x:c r="G2152" s="24" t="str">
        <x:v>1.67</x:v>
      </x:c>
      <x:c r="H2152" s="24" t="str">
        <x:v>1.67</x:v>
      </x:c>
      <x:c r="I2152" s="24" t="str">
        <x:v>DuraVision Silver UV</x:v>
      </x:c>
      <x:c r="J2152" s="40" t="n">
        <x:v>8402</x:v>
      </x:c>
      <x:c r="K2152" s="24" t="str">
        <x:v>-8.00 a +8.00</x:v>
      </x:c>
      <x:c r="L2152" s="24" t="str">
        <x:v>-6.00</x:v>
      </x:c>
      <x:c r="M2152" s="24" t="str">
        <x:v>0.75 a 3.00</x:v>
      </x:c>
      <x:c r="N2152" s="24" t="str">
        <x:v>70</x:v>
      </x:c>
      <x:c r="O2152" s="24"/>
      <x:c r="P2152" s="24"/>
      <x:c r="Q2152" s="24" t="str">
        <x:v>DISPONÍVEL</x:v>
      </x:c>
      <x:c r="R2152" s="24" t="str">
        <x:v>Programa de Parcerias ZEISS — categoria Experts</x:v>
      </x:c>
      <x:c r="S2152" s="24" t="n">
        <x:v>35</x:v>
      </x:c>
      <x:c r="T2152" s="24" t="str">
        <x:v>tabela_zeiss.pdf</x:v>
      </x:c>
      <x:c r="U2152" s="24" t="str">
        <x:v>ZEISS|Progressiva|Surfaçada|ClearMind Pure||1.67|1.67|DuraVision Silver UV|-8.00 a +8.00|-6.00|0.75 a 3.00|70|||35</x:v>
      </x:c>
    </x:row>
    <x:row r="2153">
      <x:c r="A2153" s="24" t="str">
        <x:v>ZS-204C5498FBEA</x:v>
      </x:c>
      <x:c r="B2153" s="24" t="str">
        <x:v>ZEISS</x:v>
      </x:c>
      <x:c r="C2153" s="24" t="str">
        <x:v>Progressiva</x:v>
      </x:c>
      <x:c r="D2153" s="24" t="str">
        <x:v>Surfaçada</x:v>
      </x:c>
      <x:c r="E2153" s="24" t="str">
        <x:v>ClearMind Pure</x:v>
      </x:c>
      <x:c r="F2153" s="24"/>
      <x:c r="G2153" s="24" t="str">
        <x:v>1.67</x:v>
      </x:c>
      <x:c r="H2153" s="24" t="str">
        <x:v>1.67</x:v>
      </x:c>
      <x:c r="I2153" s="24" t="str">
        <x:v>DuraVision Chrome UV</x:v>
      </x:c>
      <x:c r="J2153" s="40" t="n">
        <x:v>7912</x:v>
      </x:c>
      <x:c r="K2153" s="24" t="str">
        <x:v>-8.00 a +8.00</x:v>
      </x:c>
      <x:c r="L2153" s="24" t="str">
        <x:v>-6.00</x:v>
      </x:c>
      <x:c r="M2153" s="24" t="str">
        <x:v>0.75 a 3.00</x:v>
      </x:c>
      <x:c r="N2153" s="24" t="str">
        <x:v>70</x:v>
      </x:c>
      <x:c r="O2153" s="24"/>
      <x:c r="P2153" s="24"/>
      <x:c r="Q2153" s="24" t="str">
        <x:v>DISPONÍVEL</x:v>
      </x:c>
      <x:c r="R2153" s="24" t="str">
        <x:v>Programa de Parcerias ZEISS — categoria Experts</x:v>
      </x:c>
      <x:c r="S2153" s="24" t="n">
        <x:v>35</x:v>
      </x:c>
      <x:c r="T2153" s="24" t="str">
        <x:v>tabela_zeiss.pdf</x:v>
      </x:c>
      <x:c r="U2153" s="24" t="str">
        <x:v>ZEISS|Progressiva|Surfaçada|ClearMind Pure||1.67|1.67|DuraVision Chrome UV|-8.00 a +8.00|-6.00|0.75 a 3.00|70|||35</x:v>
      </x:c>
    </x:row>
    <x:row r="2154">
      <x:c r="A2154" s="24" t="str">
        <x:v>ZS-4E57646DD514</x:v>
      </x:c>
      <x:c r="B2154" s="24" t="str">
        <x:v>ZEISS</x:v>
      </x:c>
      <x:c r="C2154" s="24" t="str">
        <x:v>Progressiva</x:v>
      </x:c>
      <x:c r="D2154" s="24" t="str">
        <x:v>Surfaçada</x:v>
      </x:c>
      <x:c r="E2154" s="24" t="str">
        <x:v>ClearMind Pure</x:v>
      </x:c>
      <x:c r="F2154" s="24"/>
      <x:c r="G2154" s="24" t="str">
        <x:v>1.74</x:v>
      </x:c>
      <x:c r="H2154" s="24" t="str">
        <x:v>1.74</x:v>
      </x:c>
      <x:c r="I2154" s="24" t="str">
        <x:v>DuraVision Gold UV</x:v>
      </x:c>
      <x:c r="J2154" s="40" t="n">
        <x:v>10402</x:v>
      </x:c>
      <x:c r="K2154" s="24" t="str">
        <x:v>-10.00 a +7.00</x:v>
      </x:c>
      <x:c r="L2154" s="24" t="str">
        <x:v>-4.00</x:v>
      </x:c>
      <x:c r="M2154" s="24" t="str">
        <x:v>0.75 a 3.50</x:v>
      </x:c>
      <x:c r="N2154" s="24" t="str">
        <x:v>70 a 75</x:v>
      </x:c>
      <x:c r="O2154" s="24"/>
      <x:c r="P2154" s="24"/>
      <x:c r="Q2154" s="24" t="str">
        <x:v>DISPONÍVEL</x:v>
      </x:c>
      <x:c r="R2154" s="24" t="str">
        <x:v>Programa de Parcerias ZEISS — categoria Experts</x:v>
      </x:c>
      <x:c r="S2154" s="24" t="n">
        <x:v>35</x:v>
      </x:c>
      <x:c r="T2154" s="24" t="str">
        <x:v>tabela_zeiss.pdf</x:v>
      </x:c>
      <x:c r="U2154" s="24" t="str">
        <x:v>ZEISS|Progressiva|Surfaçada|ClearMind Pure||1.74|1.74|DuraVision Gold UV|-10.00 a +7.00|-4.00|0.75 a 3.50|70 a 75|||35</x:v>
      </x:c>
    </x:row>
    <x:row r="2155">
      <x:c r="A2155" s="24" t="str">
        <x:v>ZS-1FD7F7A02162</x:v>
      </x:c>
      <x:c r="B2155" s="24" t="str">
        <x:v>ZEISS</x:v>
      </x:c>
      <x:c r="C2155" s="24" t="str">
        <x:v>Progressiva</x:v>
      </x:c>
      <x:c r="D2155" s="24" t="str">
        <x:v>Surfaçada</x:v>
      </x:c>
      <x:c r="E2155" s="24" t="str">
        <x:v>ClearMind Pure</x:v>
      </x:c>
      <x:c r="F2155" s="24"/>
      <x:c r="G2155" s="24" t="str">
        <x:v>1.74</x:v>
      </x:c>
      <x:c r="H2155" s="24" t="str">
        <x:v>1.74</x:v>
      </x:c>
      <x:c r="I2155" s="24" t="str">
        <x:v>DuraVision Platinum UV</x:v>
      </x:c>
      <x:c r="J2155" s="40" t="n">
        <x:v>10262</x:v>
      </x:c>
      <x:c r="K2155" s="24" t="str">
        <x:v>-10.00 a +7.00</x:v>
      </x:c>
      <x:c r="L2155" s="24" t="str">
        <x:v>-4.00</x:v>
      </x:c>
      <x:c r="M2155" s="24" t="str">
        <x:v>0.75 a 3.50</x:v>
      </x:c>
      <x:c r="N2155" s="24" t="str">
        <x:v>70 a 75</x:v>
      </x:c>
      <x:c r="O2155" s="24"/>
      <x:c r="P2155" s="24"/>
      <x:c r="Q2155" s="24" t="str">
        <x:v>DISPONÍVEL</x:v>
      </x:c>
      <x:c r="R2155" s="24" t="str">
        <x:v>Programa de Parcerias ZEISS — categoria Experts</x:v>
      </x:c>
      <x:c r="S2155" s="24" t="n">
        <x:v>35</x:v>
      </x:c>
      <x:c r="T2155" s="24" t="str">
        <x:v>tabela_zeiss.pdf</x:v>
      </x:c>
      <x:c r="U2155" s="24" t="str">
        <x:v>ZEISS|Progressiva|Surfaçada|ClearMind Pure||1.74|1.74|DuraVision Platinum UV|-10.00 a +7.00|-4.00|0.75 a 3.50|70 a 75|||35</x:v>
      </x:c>
    </x:row>
    <x:row r="2156">
      <x:c r="A2156" s="24" t="str">
        <x:v>ZS-4B91B12E0C77</x:v>
      </x:c>
      <x:c r="B2156" s="24" t="str">
        <x:v>ZEISS</x:v>
      </x:c>
      <x:c r="C2156" s="24" t="str">
        <x:v>Progressiva</x:v>
      </x:c>
      <x:c r="D2156" s="24" t="str">
        <x:v>Surfaçada</x:v>
      </x:c>
      <x:c r="E2156" s="24" t="str">
        <x:v>ClearMind Pure</x:v>
      </x:c>
      <x:c r="F2156" s="24"/>
      <x:c r="G2156" s="24" t="str">
        <x:v>1.74</x:v>
      </x:c>
      <x:c r="H2156" s="24" t="str">
        <x:v>1.74</x:v>
      </x:c>
      <x:c r="I2156" s="24" t="str">
        <x:v>DuraVision Silver UV</x:v>
      </x:c>
      <x:c r="J2156" s="40" t="n">
        <x:v>10002</x:v>
      </x:c>
      <x:c r="K2156" s="24" t="str">
        <x:v>-10.00 a +7.00</x:v>
      </x:c>
      <x:c r="L2156" s="24" t="str">
        <x:v>-4.00</x:v>
      </x:c>
      <x:c r="M2156" s="24" t="str">
        <x:v>0.75 a 3.50</x:v>
      </x:c>
      <x:c r="N2156" s="24" t="str">
        <x:v>70 a 75</x:v>
      </x:c>
      <x:c r="O2156" s="24"/>
      <x:c r="P2156" s="24"/>
      <x:c r="Q2156" s="24" t="str">
        <x:v>DISPONÍVEL</x:v>
      </x:c>
      <x:c r="R2156" s="24" t="str">
        <x:v>Programa de Parcerias ZEISS — categoria Experts</x:v>
      </x:c>
      <x:c r="S2156" s="24" t="n">
        <x:v>35</x:v>
      </x:c>
      <x:c r="T2156" s="24" t="str">
        <x:v>tabela_zeiss.pdf</x:v>
      </x:c>
      <x:c r="U2156" s="24" t="str">
        <x:v>ZEISS|Progressiva|Surfaçada|ClearMind Pure||1.74|1.74|DuraVision Silver UV|-10.00 a +7.00|-4.00|0.75 a 3.50|70 a 75|||35</x:v>
      </x:c>
    </x:row>
    <x:row r="2157">
      <x:c r="A2157" s="24" t="str">
        <x:v>ZS-ABAF56A06B24</x:v>
      </x:c>
      <x:c r="B2157" s="24" t="str">
        <x:v>ZEISS</x:v>
      </x:c>
      <x:c r="C2157" s="24" t="str">
        <x:v>Progressiva</x:v>
      </x:c>
      <x:c r="D2157" s="24" t="str">
        <x:v>Surfaçada</x:v>
      </x:c>
      <x:c r="E2157" s="24" t="str">
        <x:v>ClearMind Pure</x:v>
      </x:c>
      <x:c r="F2157" s="24"/>
      <x:c r="G2157" s="24" t="str">
        <x:v>1.74</x:v>
      </x:c>
      <x:c r="H2157" s="24" t="str">
        <x:v>1.74</x:v>
      </x:c>
      <x:c r="I2157" s="24" t="str">
        <x:v>DuraVision Chrome UV</x:v>
      </x:c>
      <x:c r="J2157" s="40" t="n">
        <x:v>9512</x:v>
      </x:c>
      <x:c r="K2157" s="24" t="str">
        <x:v>-10.00 a +7.00</x:v>
      </x:c>
      <x:c r="L2157" s="24" t="str">
        <x:v>-4.00</x:v>
      </x:c>
      <x:c r="M2157" s="24" t="str">
        <x:v>0.75 a 3.50</x:v>
      </x:c>
      <x:c r="N2157" s="24" t="str">
        <x:v>70 a 75</x:v>
      </x:c>
      <x:c r="O2157" s="24"/>
      <x:c r="P2157" s="24"/>
      <x:c r="Q2157" s="24" t="str">
        <x:v>DISPONÍVEL</x:v>
      </x:c>
      <x:c r="R2157" s="24" t="str">
        <x:v>Programa de Parcerias ZEISS — categoria Experts</x:v>
      </x:c>
      <x:c r="S2157" s="24" t="n">
        <x:v>35</x:v>
      </x:c>
      <x:c r="T2157" s="24" t="str">
        <x:v>tabela_zeiss.pdf</x:v>
      </x:c>
      <x:c r="U2157" s="24" t="str">
        <x:v>ZEISS|Progressiva|Surfaçada|ClearMind Pure||1.74|1.74|DuraVision Chrome UV|-10.00 a +7.00|-4.00|0.75 a 3.50|70 a 75|||35</x:v>
      </x:c>
    </x:row>
    <x:row r="2158">
      <x:c r="A2158" s="24" t="str">
        <x:v>ZS-0A8F50B8EDC1</x:v>
      </x:c>
      <x:c r="B2158" s="24" t="str">
        <x:v>ZEISS</x:v>
      </x:c>
      <x:c r="C2158" s="24" t="str">
        <x:v>Progressiva</x:v>
      </x:c>
      <x:c r="D2158" s="24" t="str">
        <x:v>Surfaçada</x:v>
      </x:c>
      <x:c r="E2158" s="24" t="str">
        <x:v>ClearMind Pure</x:v>
      </x:c>
      <x:c r="F2158" s="24" t="str">
        <x:v>PhotoFusion X</x:v>
      </x:c>
      <x:c r="G2158" s="24" t="str">
        <x:v>1.5</x:v>
      </x:c>
      <x:c r="H2158" s="24" t="str">
        <x:v>1.50</x:v>
      </x:c>
      <x:c r="I2158" s="24" t="str">
        <x:v>DuraVision Gold UV</x:v>
      </x:c>
      <x:c r="J2158" s="40" t="n">
        <x:v>7332</x:v>
      </x:c>
      <x:c r="K2158" s="24" t="str">
        <x:v>-6.00 a +5.50</x:v>
      </x:c>
      <x:c r="L2158" s="24" t="str">
        <x:v>-4.00</x:v>
      </x:c>
      <x:c r="M2158" s="24" t="str">
        <x:v>0.75 a 3.00</x:v>
      </x:c>
      <x:c r="N2158" s="24" t="str">
        <x:v>75</x:v>
      </x:c>
      <x:c r="O2158" s="24"/>
      <x:c r="P2158" s="24"/>
      <x:c r="Q2158" s="24" t="str">
        <x:v>DISPONÍVEL</x:v>
      </x:c>
      <x:c r="R2158" s="24" t="str">
        <x:v>Programa de Parcerias ZEISS — categoria Experts; Programa de Parcerias ZEISS</x:v>
      </x:c>
      <x:c r="S2158" s="24" t="n">
        <x:v>35</x:v>
      </x:c>
      <x:c r="T2158" s="24" t="str">
        <x:v>tabela_zeiss.pdf</x:v>
      </x:c>
      <x:c r="U2158" s="24" t="str">
        <x:v>ZEISS|Progressiva|Surfaçada|ClearMind Pure|PhotoFusion X|1.5|1.50|DuraVision Gold UV|-6.00 a +5.50|-4.00|0.75 a 3.00|75|||35</x:v>
      </x:c>
    </x:row>
    <x:row r="2159">
      <x:c r="A2159" s="24" t="str">
        <x:v>ZS-DEFD52760985</x:v>
      </x:c>
      <x:c r="B2159" s="24" t="str">
        <x:v>ZEISS</x:v>
      </x:c>
      <x:c r="C2159" s="24" t="str">
        <x:v>Progressiva</x:v>
      </x:c>
      <x:c r="D2159" s="24" t="str">
        <x:v>Surfaçada</x:v>
      </x:c>
      <x:c r="E2159" s="24" t="str">
        <x:v>ClearMind Pure</x:v>
      </x:c>
      <x:c r="F2159" s="24" t="str">
        <x:v>PhotoFusion X</x:v>
      </x:c>
      <x:c r="G2159" s="24" t="str">
        <x:v>1.5</x:v>
      </x:c>
      <x:c r="H2159" s="24" t="str">
        <x:v>1.50</x:v>
      </x:c>
      <x:c r="I2159" s="24" t="str">
        <x:v>DURAVISION® ANTIVÍRUS PLATINUM UV</x:v>
      </x:c>
      <x:c r="J2159" s="40" t="n">
        <x:v>7192</x:v>
      </x:c>
      <x:c r="K2159" s="24" t="str">
        <x:v>-6.00 a +5.50</x:v>
      </x:c>
      <x:c r="L2159" s="24" t="str">
        <x:v>-4.00</x:v>
      </x:c>
      <x:c r="M2159" s="24" t="str">
        <x:v>0.75 a 3.00</x:v>
      </x:c>
      <x:c r="N2159" s="24" t="str">
        <x:v>75</x:v>
      </x:c>
      <x:c r="O2159" s="24"/>
      <x:c r="P2159" s="24"/>
      <x:c r="Q2159" s="24" t="str">
        <x:v>DISPONÍVEL</x:v>
      </x:c>
      <x:c r="R2159" s="24" t="str">
        <x:v>Programa de Parcerias ZEISS — categoria Experts; Programa de Parcerias ZEISS</x:v>
      </x:c>
      <x:c r="S2159" s="24" t="n">
        <x:v>35</x:v>
      </x:c>
      <x:c r="T2159" s="24" t="str">
        <x:v>tabela_zeiss.pdf</x:v>
      </x:c>
      <x:c r="U2159" s="24" t="str">
        <x:v>ZEISS|Progressiva|Surfaçada|ClearMind Pure|PhotoFusion X|1.5|1.50|DURAVISION® ANTIVÍRUS PLATINUM UV|-6.00 a +5.50|-4.00|0.75 a 3.00|75|||35</x:v>
      </x:c>
    </x:row>
    <x:row r="2160">
      <x:c r="A2160" s="24" t="str">
        <x:v>ZS-5DB2E7B20956</x:v>
      </x:c>
      <x:c r="B2160" s="24" t="str">
        <x:v>ZEISS</x:v>
      </x:c>
      <x:c r="C2160" s="24" t="str">
        <x:v>Progressiva</x:v>
      </x:c>
      <x:c r="D2160" s="24" t="str">
        <x:v>Surfaçada</x:v>
      </x:c>
      <x:c r="E2160" s="24" t="str">
        <x:v>ClearMind Pure</x:v>
      </x:c>
      <x:c r="F2160" s="24" t="str">
        <x:v>PhotoFusion X</x:v>
      </x:c>
      <x:c r="G2160" s="24" t="str">
        <x:v>1.5</x:v>
      </x:c>
      <x:c r="H2160" s="24" t="str">
        <x:v>1.50</x:v>
      </x:c>
      <x:c r="I2160" s="24" t="str">
        <x:v>DuraVision Platinum UV</x:v>
      </x:c>
      <x:c r="J2160" s="40" t="n">
        <x:v>7192</x:v>
      </x:c>
      <x:c r="K2160" s="24" t="str">
        <x:v>-6.00 a +5.50</x:v>
      </x:c>
      <x:c r="L2160" s="24" t="str">
        <x:v>-4.00</x:v>
      </x:c>
      <x:c r="M2160" s="24" t="str">
        <x:v>0.75 a 3.00</x:v>
      </x:c>
      <x:c r="N2160" s="24" t="str">
        <x:v>75</x:v>
      </x:c>
      <x:c r="O2160" s="24"/>
      <x:c r="P2160" s="24"/>
      <x:c r="Q2160" s="24" t="str">
        <x:v>DISPONÍVEL</x:v>
      </x:c>
      <x:c r="R2160" s="24" t="str">
        <x:v>Programa de Parcerias ZEISS — categoria Experts; Programa de Parcerias ZEISS</x:v>
      </x:c>
      <x:c r="S2160" s="24" t="n">
        <x:v>35</x:v>
      </x:c>
      <x:c r="T2160" s="24" t="str">
        <x:v>tabela_zeiss.pdf</x:v>
      </x:c>
      <x:c r="U2160" s="24" t="str">
        <x:v>ZEISS|Progressiva|Surfaçada|ClearMind Pure|PhotoFusion X|1.5|1.50|DuraVision Platinum UV|-6.00 a +5.50|-4.00|0.75 a 3.00|75|||35</x:v>
      </x:c>
    </x:row>
    <x:row r="2161">
      <x:c r="A2161" s="24" t="str">
        <x:v>ZS-9FC3E22EA13C</x:v>
      </x:c>
      <x:c r="B2161" s="24" t="str">
        <x:v>ZEISS</x:v>
      </x:c>
      <x:c r="C2161" s="24" t="str">
        <x:v>Progressiva</x:v>
      </x:c>
      <x:c r="D2161" s="24" t="str">
        <x:v>Surfaçada</x:v>
      </x:c>
      <x:c r="E2161" s="24" t="str">
        <x:v>ClearMind Pure</x:v>
      </x:c>
      <x:c r="F2161" s="24" t="str">
        <x:v>PhotoFusion X</x:v>
      </x:c>
      <x:c r="G2161" s="24" t="str">
        <x:v>1.5</x:v>
      </x:c>
      <x:c r="H2161" s="24" t="str">
        <x:v>1.50</x:v>
      </x:c>
      <x:c r="I2161" s="24" t="str">
        <x:v>DuraVision Silver UV</x:v>
      </x:c>
      <x:c r="J2161" s="40" t="n">
        <x:v>6932</x:v>
      </x:c>
      <x:c r="K2161" s="24" t="str">
        <x:v>-6.00 a +5.50</x:v>
      </x:c>
      <x:c r="L2161" s="24" t="str">
        <x:v>-4.00</x:v>
      </x:c>
      <x:c r="M2161" s="24" t="str">
        <x:v>0.75 a 3.00</x:v>
      </x:c>
      <x:c r="N2161" s="24" t="str">
        <x:v>75</x:v>
      </x:c>
      <x:c r="O2161" s="24"/>
      <x:c r="P2161" s="24"/>
      <x:c r="Q2161" s="24" t="str">
        <x:v>DISPONÍVEL</x:v>
      </x:c>
      <x:c r="R2161" s="24" t="str">
        <x:v>Programa de Parcerias ZEISS — categoria Experts; Programa de Parcerias ZEISS</x:v>
      </x:c>
      <x:c r="S2161" s="24" t="n">
        <x:v>35</x:v>
      </x:c>
      <x:c r="T2161" s="24" t="str">
        <x:v>tabela_zeiss.pdf</x:v>
      </x:c>
      <x:c r="U2161" s="24" t="str">
        <x:v>ZEISS|Progressiva|Surfaçada|ClearMind Pure|PhotoFusion X|1.5|1.50|DuraVision Silver UV|-6.00 a +5.50|-4.00|0.75 a 3.00|75|||35</x:v>
      </x:c>
    </x:row>
    <x:row r="2162">
      <x:c r="A2162" s="24" t="str">
        <x:v>ZS-377B4B1642AB</x:v>
      </x:c>
      <x:c r="B2162" s="24" t="str">
        <x:v>ZEISS</x:v>
      </x:c>
      <x:c r="C2162" s="24" t="str">
        <x:v>Progressiva</x:v>
      </x:c>
      <x:c r="D2162" s="24" t="str">
        <x:v>Surfaçada</x:v>
      </x:c>
      <x:c r="E2162" s="24" t="str">
        <x:v>ClearMind Pure</x:v>
      </x:c>
      <x:c r="F2162" s="24" t="str">
        <x:v>PhotoFusion X</x:v>
      </x:c>
      <x:c r="G2162" s="24" t="str">
        <x:v>1.5</x:v>
      </x:c>
      <x:c r="H2162" s="24" t="str">
        <x:v>1.50</x:v>
      </x:c>
      <x:c r="I2162" s="24" t="str">
        <x:v>DuraVision Chrome UV</x:v>
      </x:c>
      <x:c r="J2162" s="40" t="n">
        <x:v>6442</x:v>
      </x:c>
      <x:c r="K2162" s="24" t="str">
        <x:v>-6.00 a +5.50</x:v>
      </x:c>
      <x:c r="L2162" s="24" t="str">
        <x:v>-4.00</x:v>
      </x:c>
      <x:c r="M2162" s="24" t="str">
        <x:v>0.75 a 3.00</x:v>
      </x:c>
      <x:c r="N2162" s="24" t="str">
        <x:v>75</x:v>
      </x:c>
      <x:c r="O2162" s="24"/>
      <x:c r="P2162" s="24"/>
      <x:c r="Q2162" s="24" t="str">
        <x:v>DISPONÍVEL</x:v>
      </x:c>
      <x:c r="R2162" s="24" t="str">
        <x:v>Programa de Parcerias ZEISS — categoria Experts; Programa de Parcerias ZEISS</x:v>
      </x:c>
      <x:c r="S2162" s="24" t="n">
        <x:v>35</x:v>
      </x:c>
      <x:c r="T2162" s="24" t="str">
        <x:v>tabela_zeiss.pdf</x:v>
      </x:c>
      <x:c r="U2162" s="24" t="str">
        <x:v>ZEISS|Progressiva|Surfaçada|ClearMind Pure|PhotoFusion X|1.5|1.50|DuraVision Chrome UV|-6.00 a +5.50|-4.00|0.75 a 3.00|75|||35</x:v>
      </x:c>
    </x:row>
    <x:row r="2163">
      <x:c r="A2163" s="24" t="str">
        <x:v>ZS-AA914BC17034</x:v>
      </x:c>
      <x:c r="B2163" s="24" t="str">
        <x:v>ZEISS</x:v>
      </x:c>
      <x:c r="C2163" s="24" t="str">
        <x:v>Progressiva</x:v>
      </x:c>
      <x:c r="D2163" s="24" t="str">
        <x:v>Surfaçada</x:v>
      </x:c>
      <x:c r="E2163" s="24" t="str">
        <x:v>ClearMind Pure</x:v>
      </x:c>
      <x:c r="F2163" s="24" t="str">
        <x:v>PhotoFusion X</x:v>
      </x:c>
      <x:c r="G2163" s="24" t="str">
        <x:v>Poli</x:v>
      </x:c>
      <x:c r="H2163" s="24"/>
      <x:c r="I2163" s="24" t="str">
        <x:v>DuraVision Gold UV</x:v>
      </x:c>
      <x:c r="J2163" s="40" t="n">
        <x:v>7922</x:v>
      </x:c>
      <x:c r="K2163" s="24" t="str">
        <x:v>-10.00 a +6.00</x:v>
      </x:c>
      <x:c r="L2163" s="24" t="str">
        <x:v>-6.00</x:v>
      </x:c>
      <x:c r="M2163" s="24" t="str">
        <x:v>0.75 a 3.00</x:v>
      </x:c>
      <x:c r="N2163" s="24" t="str">
        <x:v>70</x:v>
      </x:c>
      <x:c r="O2163" s="24"/>
      <x:c r="P2163" s="24"/>
      <x:c r="Q2163" s="24" t="str">
        <x:v>DISPONÍVEL</x:v>
      </x:c>
      <x:c r="R2163" s="24" t="str">
        <x:v>Programa de Parcerias ZEISS — categoria Experts; Programa de Parcerias ZEISS</x:v>
      </x:c>
      <x:c r="S2163" s="24" t="n">
        <x:v>35</x:v>
      </x:c>
      <x:c r="T2163" s="24" t="str">
        <x:v>tabela_zeiss.pdf</x:v>
      </x:c>
      <x:c r="U2163" s="24" t="str">
        <x:v>ZEISS|Progressiva|Surfaçada|ClearMind Pure|PhotoFusion X|Poli||DuraVision Gold UV|-10.00 a +6.00|-6.00|0.75 a 3.00|70|||35</x:v>
      </x:c>
    </x:row>
    <x:row r="2164">
      <x:c r="A2164" s="24" t="str">
        <x:v>ZS-DEC8D502D71D</x:v>
      </x:c>
      <x:c r="B2164" s="24" t="str">
        <x:v>ZEISS</x:v>
      </x:c>
      <x:c r="C2164" s="24" t="str">
        <x:v>Progressiva</x:v>
      </x:c>
      <x:c r="D2164" s="24" t="str">
        <x:v>Surfaçada</x:v>
      </x:c>
      <x:c r="E2164" s="24" t="str">
        <x:v>ClearMind Pure</x:v>
      </x:c>
      <x:c r="F2164" s="24" t="str">
        <x:v>PhotoFusion X</x:v>
      </x:c>
      <x:c r="G2164" s="24" t="str">
        <x:v>Poli</x:v>
      </x:c>
      <x:c r="H2164" s="24"/>
      <x:c r="I2164" s="24" t="str">
        <x:v>DuraVision Platinum UV</x:v>
      </x:c>
      <x:c r="J2164" s="40" t="n">
        <x:v>7782</x:v>
      </x:c>
      <x:c r="K2164" s="24" t="str">
        <x:v>-10.00 a +6.00</x:v>
      </x:c>
      <x:c r="L2164" s="24" t="str">
        <x:v>-6.00</x:v>
      </x:c>
      <x:c r="M2164" s="24" t="str">
        <x:v>0.75 a 3.00</x:v>
      </x:c>
      <x:c r="N2164" s="24" t="str">
        <x:v>70</x:v>
      </x:c>
      <x:c r="O2164" s="24"/>
      <x:c r="P2164" s="24"/>
      <x:c r="Q2164" s="24" t="str">
        <x:v>DISPONÍVEL</x:v>
      </x:c>
      <x:c r="R2164" s="24" t="str">
        <x:v>Programa de Parcerias ZEISS — categoria Experts; Programa de Parcerias ZEISS</x:v>
      </x:c>
      <x:c r="S2164" s="24" t="n">
        <x:v>35</x:v>
      </x:c>
      <x:c r="T2164" s="24" t="str">
        <x:v>tabela_zeiss.pdf</x:v>
      </x:c>
      <x:c r="U2164" s="24" t="str">
        <x:v>ZEISS|Progressiva|Surfaçada|ClearMind Pure|PhotoFusion X|Poli||DuraVision Platinum UV|-10.00 a +6.00|-6.00|0.75 a 3.00|70|||35</x:v>
      </x:c>
    </x:row>
    <x:row r="2165">
      <x:c r="A2165" s="24" t="str">
        <x:v>ZS-A7F8EBF51972</x:v>
      </x:c>
      <x:c r="B2165" s="24" t="str">
        <x:v>ZEISS</x:v>
      </x:c>
      <x:c r="C2165" s="24" t="str">
        <x:v>Progressiva</x:v>
      </x:c>
      <x:c r="D2165" s="24" t="str">
        <x:v>Surfaçada</x:v>
      </x:c>
      <x:c r="E2165" s="24" t="str">
        <x:v>ClearMind Pure</x:v>
      </x:c>
      <x:c r="F2165" s="24" t="str">
        <x:v>PhotoFusion X</x:v>
      </x:c>
      <x:c r="G2165" s="24" t="str">
        <x:v>Poli</x:v>
      </x:c>
      <x:c r="H2165" s="24"/>
      <x:c r="I2165" s="24" t="str">
        <x:v>DuraVision Silver UV</x:v>
      </x:c>
      <x:c r="J2165" s="40" t="n">
        <x:v>7522</x:v>
      </x:c>
      <x:c r="K2165" s="24" t="str">
        <x:v>-10.00 a +6.00</x:v>
      </x:c>
      <x:c r="L2165" s="24" t="str">
        <x:v>-6.00</x:v>
      </x:c>
      <x:c r="M2165" s="24" t="str">
        <x:v>0.75 a 3.00</x:v>
      </x:c>
      <x:c r="N2165" s="24" t="str">
        <x:v>70</x:v>
      </x:c>
      <x:c r="O2165" s="24"/>
      <x:c r="P2165" s="24"/>
      <x:c r="Q2165" s="24" t="str">
        <x:v>DISPONÍVEL</x:v>
      </x:c>
      <x:c r="R2165" s="24" t="str">
        <x:v>Programa de Parcerias ZEISS — categoria Experts; Programa de Parcerias ZEISS</x:v>
      </x:c>
      <x:c r="S2165" s="24" t="n">
        <x:v>35</x:v>
      </x:c>
      <x:c r="T2165" s="24" t="str">
        <x:v>tabela_zeiss.pdf</x:v>
      </x:c>
      <x:c r="U2165" s="24" t="str">
        <x:v>ZEISS|Progressiva|Surfaçada|ClearMind Pure|PhotoFusion X|Poli||DuraVision Silver UV|-10.00 a +6.00|-6.00|0.75 a 3.00|70|||35</x:v>
      </x:c>
    </x:row>
    <x:row r="2166">
      <x:c r="A2166" s="24" t="str">
        <x:v>ZS-9F9189F5D519</x:v>
      </x:c>
      <x:c r="B2166" s="24" t="str">
        <x:v>ZEISS</x:v>
      </x:c>
      <x:c r="C2166" s="24" t="str">
        <x:v>Progressiva</x:v>
      </x:c>
      <x:c r="D2166" s="24" t="str">
        <x:v>Surfaçada</x:v>
      </x:c>
      <x:c r="E2166" s="24" t="str">
        <x:v>ClearMind Pure</x:v>
      </x:c>
      <x:c r="F2166" s="24" t="str">
        <x:v>PhotoFusion X</x:v>
      </x:c>
      <x:c r="G2166" s="24" t="str">
        <x:v>Poli</x:v>
      </x:c>
      <x:c r="H2166" s="24"/>
      <x:c r="I2166" s="24" t="str">
        <x:v>DuraVision Chrome UV</x:v>
      </x:c>
      <x:c r="J2166" s="40" t="n">
        <x:v>7032</x:v>
      </x:c>
      <x:c r="K2166" s="24" t="str">
        <x:v>-10.00 a +6.00</x:v>
      </x:c>
      <x:c r="L2166" s="24" t="str">
        <x:v>-6.00</x:v>
      </x:c>
      <x:c r="M2166" s="24" t="str">
        <x:v>0.75 a 3.00</x:v>
      </x:c>
      <x:c r="N2166" s="24" t="str">
        <x:v>70</x:v>
      </x:c>
      <x:c r="O2166" s="24"/>
      <x:c r="P2166" s="24"/>
      <x:c r="Q2166" s="24" t="str">
        <x:v>DISPONÍVEL</x:v>
      </x:c>
      <x:c r="R2166" s="24" t="str">
        <x:v>Programa de Parcerias ZEISS — categoria Experts; Programa de Parcerias ZEISS</x:v>
      </x:c>
      <x:c r="S2166" s="24" t="n">
        <x:v>35</x:v>
      </x:c>
      <x:c r="T2166" s="24" t="str">
        <x:v>tabela_zeiss.pdf</x:v>
      </x:c>
      <x:c r="U2166" s="24" t="str">
        <x:v>ZEISS|Progressiva|Surfaçada|ClearMind Pure|PhotoFusion X|Poli||DuraVision Chrome UV|-10.00 a +6.00|-6.00|0.75 a 3.00|70|||35</x:v>
      </x:c>
    </x:row>
    <x:row r="2167">
      <x:c r="A2167" s="24" t="str">
        <x:v>ZS-03D88E5333E3</x:v>
      </x:c>
      <x:c r="B2167" s="24" t="str">
        <x:v>ZEISS</x:v>
      </x:c>
      <x:c r="C2167" s="24" t="str">
        <x:v>Progressiva</x:v>
      </x:c>
      <x:c r="D2167" s="24" t="str">
        <x:v>Surfaçada</x:v>
      </x:c>
      <x:c r="E2167" s="24" t="str">
        <x:v>ClearMind Pure</x:v>
      </x:c>
      <x:c r="F2167" s="24" t="str">
        <x:v>PhotoFusion X</x:v>
      </x:c>
      <x:c r="G2167" s="24" t="str">
        <x:v>1.6</x:v>
      </x:c>
      <x:c r="H2167" s="24" t="str">
        <x:v>1.60</x:v>
      </x:c>
      <x:c r="I2167" s="24" t="str">
        <x:v>DuraVision Gold UV</x:v>
      </x:c>
      <x:c r="J2167" s="40" t="n">
        <x:v>8582</x:v>
      </x:c>
      <x:c r="K2167" s="24" t="str">
        <x:v>-7.25 a +6.00</x:v>
      </x:c>
      <x:c r="L2167" s="24" t="str">
        <x:v>-6.00</x:v>
      </x:c>
      <x:c r="M2167" s="24" t="str">
        <x:v>0.75 a 3.50</x:v>
      </x:c>
      <x:c r="N2167" s="24" t="str">
        <x:v>75</x:v>
      </x:c>
      <x:c r="O2167" s="24"/>
      <x:c r="P2167" s="24"/>
      <x:c r="Q2167" s="24" t="str">
        <x:v>DISPONÍVEL</x:v>
      </x:c>
      <x:c r="R2167" s="24" t="str">
        <x:v>Programa de Parcerias ZEISS — categoria Experts; Programa de Parcerias ZEISS</x:v>
      </x:c>
      <x:c r="S2167" s="24" t="n">
        <x:v>35</x:v>
      </x:c>
      <x:c r="T2167" s="24" t="str">
        <x:v>tabela_zeiss.pdf</x:v>
      </x:c>
      <x:c r="U2167" s="24" t="str">
        <x:v>ZEISS|Progressiva|Surfaçada|ClearMind Pure|PhotoFusion X|1.6|1.60|DuraVision Gold UV|-7.25 a +6.00|-6.00|0.75 a 3.50|75|||35</x:v>
      </x:c>
    </x:row>
    <x:row r="2168">
      <x:c r="A2168" s="24" t="str">
        <x:v>ZS-FA4B3E40216E</x:v>
      </x:c>
      <x:c r="B2168" s="24" t="str">
        <x:v>ZEISS</x:v>
      </x:c>
      <x:c r="C2168" s="24" t="str">
        <x:v>Progressiva</x:v>
      </x:c>
      <x:c r="D2168" s="24" t="str">
        <x:v>Surfaçada</x:v>
      </x:c>
      <x:c r="E2168" s="24" t="str">
        <x:v>ClearMind Pure</x:v>
      </x:c>
      <x:c r="F2168" s="24" t="str">
        <x:v>PhotoFusion X</x:v>
      </x:c>
      <x:c r="G2168" s="24" t="str">
        <x:v>1.6</x:v>
      </x:c>
      <x:c r="H2168" s="24" t="str">
        <x:v>1.60</x:v>
      </x:c>
      <x:c r="I2168" s="24" t="str">
        <x:v>DURAVISION® ANTIVÍRUS PLATINUM UV</x:v>
      </x:c>
      <x:c r="J2168" s="40" t="n">
        <x:v>8442</x:v>
      </x:c>
      <x:c r="K2168" s="24" t="str">
        <x:v>-7.25 a +6.00</x:v>
      </x:c>
      <x:c r="L2168" s="24" t="str">
        <x:v>-6.00</x:v>
      </x:c>
      <x:c r="M2168" s="24" t="str">
        <x:v>0.75 a 3.50</x:v>
      </x:c>
      <x:c r="N2168" s="24" t="str">
        <x:v>75</x:v>
      </x:c>
      <x:c r="O2168" s="24"/>
      <x:c r="P2168" s="24"/>
      <x:c r="Q2168" s="24" t="str">
        <x:v>DISPONÍVEL</x:v>
      </x:c>
      <x:c r="R2168" s="24" t="str">
        <x:v>Programa de Parcerias ZEISS — categoria Experts; Programa de Parcerias ZEISS</x:v>
      </x:c>
      <x:c r="S2168" s="24" t="n">
        <x:v>35</x:v>
      </x:c>
      <x:c r="T2168" s="24" t="str">
        <x:v>tabela_zeiss.pdf</x:v>
      </x:c>
      <x:c r="U2168" s="24" t="str">
        <x:v>ZEISS|Progressiva|Surfaçada|ClearMind Pure|PhotoFusion X|1.6|1.60|DURAVISION® ANTIVÍRUS PLATINUM UV|-7.25 a +6.00|-6.00|0.75 a 3.50|75|||35</x:v>
      </x:c>
    </x:row>
    <x:row r="2169">
      <x:c r="A2169" s="24" t="str">
        <x:v>ZS-1FE45683E831</x:v>
      </x:c>
      <x:c r="B2169" s="24" t="str">
        <x:v>ZEISS</x:v>
      </x:c>
      <x:c r="C2169" s="24" t="str">
        <x:v>Progressiva</x:v>
      </x:c>
      <x:c r="D2169" s="24" t="str">
        <x:v>Surfaçada</x:v>
      </x:c>
      <x:c r="E2169" s="24" t="str">
        <x:v>ClearMind Pure</x:v>
      </x:c>
      <x:c r="F2169" s="24" t="str">
        <x:v>PhotoFusion X</x:v>
      </x:c>
      <x:c r="G2169" s="24" t="str">
        <x:v>1.6</x:v>
      </x:c>
      <x:c r="H2169" s="24" t="str">
        <x:v>1.60</x:v>
      </x:c>
      <x:c r="I2169" s="24" t="str">
        <x:v>DuraVision Platinum UV</x:v>
      </x:c>
      <x:c r="J2169" s="40" t="n">
        <x:v>8442</x:v>
      </x:c>
      <x:c r="K2169" s="24" t="str">
        <x:v>-7.25 a +6.00</x:v>
      </x:c>
      <x:c r="L2169" s="24" t="str">
        <x:v>-6.00</x:v>
      </x:c>
      <x:c r="M2169" s="24" t="str">
        <x:v>0.75 a 3.50</x:v>
      </x:c>
      <x:c r="N2169" s="24" t="str">
        <x:v>75</x:v>
      </x:c>
      <x:c r="O2169" s="24"/>
      <x:c r="P2169" s="24"/>
      <x:c r="Q2169" s="24" t="str">
        <x:v>DISPONÍVEL</x:v>
      </x:c>
      <x:c r="R2169" s="24" t="str">
        <x:v>Programa de Parcerias ZEISS — categoria Experts; Programa de Parcerias ZEISS</x:v>
      </x:c>
      <x:c r="S2169" s="24" t="n">
        <x:v>35</x:v>
      </x:c>
      <x:c r="T2169" s="24" t="str">
        <x:v>tabela_zeiss.pdf</x:v>
      </x:c>
      <x:c r="U2169" s="24" t="str">
        <x:v>ZEISS|Progressiva|Surfaçada|ClearMind Pure|PhotoFusion X|1.6|1.60|DuraVision Platinum UV|-7.25 a +6.00|-6.00|0.75 a 3.50|75|||35</x:v>
      </x:c>
    </x:row>
    <x:row r="2170">
      <x:c r="A2170" s="24" t="str">
        <x:v>ZS-C2BB82178015</x:v>
      </x:c>
      <x:c r="B2170" s="24" t="str">
        <x:v>ZEISS</x:v>
      </x:c>
      <x:c r="C2170" s="24" t="str">
        <x:v>Progressiva</x:v>
      </x:c>
      <x:c r="D2170" s="24" t="str">
        <x:v>Surfaçada</x:v>
      </x:c>
      <x:c r="E2170" s="24" t="str">
        <x:v>ClearMind Pure</x:v>
      </x:c>
      <x:c r="F2170" s="24" t="str">
        <x:v>PhotoFusion X</x:v>
      </x:c>
      <x:c r="G2170" s="24" t="str">
        <x:v>1.6</x:v>
      </x:c>
      <x:c r="H2170" s="24" t="str">
        <x:v>1.60</x:v>
      </x:c>
      <x:c r="I2170" s="24" t="str">
        <x:v>DuraVision Silver UV</x:v>
      </x:c>
      <x:c r="J2170" s="40" t="n">
        <x:v>8182</x:v>
      </x:c>
      <x:c r="K2170" s="24" t="str">
        <x:v>-7.25 a +6.00</x:v>
      </x:c>
      <x:c r="L2170" s="24" t="str">
        <x:v>-6.00</x:v>
      </x:c>
      <x:c r="M2170" s="24" t="str">
        <x:v>0.75 a 3.50</x:v>
      </x:c>
      <x:c r="N2170" s="24" t="str">
        <x:v>75</x:v>
      </x:c>
      <x:c r="O2170" s="24"/>
      <x:c r="P2170" s="24"/>
      <x:c r="Q2170" s="24" t="str">
        <x:v>DISPONÍVEL</x:v>
      </x:c>
      <x:c r="R2170" s="24" t="str">
        <x:v>Programa de Parcerias ZEISS — categoria Experts; Programa de Parcerias ZEISS</x:v>
      </x:c>
      <x:c r="S2170" s="24" t="n">
        <x:v>35</x:v>
      </x:c>
      <x:c r="T2170" s="24" t="str">
        <x:v>tabela_zeiss.pdf</x:v>
      </x:c>
      <x:c r="U2170" s="24" t="str">
        <x:v>ZEISS|Progressiva|Surfaçada|ClearMind Pure|PhotoFusion X|1.6|1.60|DuraVision Silver UV|-7.25 a +6.00|-6.00|0.75 a 3.50|75|||35</x:v>
      </x:c>
    </x:row>
    <x:row r="2171">
      <x:c r="A2171" s="24" t="str">
        <x:v>ZS-7BF432FEAFA0</x:v>
      </x:c>
      <x:c r="B2171" s="24" t="str">
        <x:v>ZEISS</x:v>
      </x:c>
      <x:c r="C2171" s="24" t="str">
        <x:v>Progressiva</x:v>
      </x:c>
      <x:c r="D2171" s="24" t="str">
        <x:v>Surfaçada</x:v>
      </x:c>
      <x:c r="E2171" s="24" t="str">
        <x:v>ClearMind Pure</x:v>
      </x:c>
      <x:c r="F2171" s="24" t="str">
        <x:v>PhotoFusion X</x:v>
      </x:c>
      <x:c r="G2171" s="24" t="str">
        <x:v>1.6</x:v>
      </x:c>
      <x:c r="H2171" s="24" t="str">
        <x:v>1.60</x:v>
      </x:c>
      <x:c r="I2171" s="24" t="str">
        <x:v>DuraVision Chrome UV</x:v>
      </x:c>
      <x:c r="J2171" s="40" t="n">
        <x:v>7692</x:v>
      </x:c>
      <x:c r="K2171" s="24" t="str">
        <x:v>-7.25 a +6.00</x:v>
      </x:c>
      <x:c r="L2171" s="24" t="str">
        <x:v>-6.00</x:v>
      </x:c>
      <x:c r="M2171" s="24" t="str">
        <x:v>0.75 a 3.50</x:v>
      </x:c>
      <x:c r="N2171" s="24" t="str">
        <x:v>75</x:v>
      </x:c>
      <x:c r="O2171" s="24"/>
      <x:c r="P2171" s="24"/>
      <x:c r="Q2171" s="24" t="str">
        <x:v>DISPONÍVEL</x:v>
      </x:c>
      <x:c r="R2171" s="24" t="str">
        <x:v>Programa de Parcerias ZEISS — categoria Experts; Programa de Parcerias ZEISS</x:v>
      </x:c>
      <x:c r="S2171" s="24" t="n">
        <x:v>35</x:v>
      </x:c>
      <x:c r="T2171" s="24" t="str">
        <x:v>tabela_zeiss.pdf</x:v>
      </x:c>
      <x:c r="U2171" s="24" t="str">
        <x:v>ZEISS|Progressiva|Surfaçada|ClearMind Pure|PhotoFusion X|1.6|1.60|DuraVision Chrome UV|-7.25 a +6.00|-6.00|0.75 a 3.50|75|||35</x:v>
      </x:c>
    </x:row>
    <x:row r="2172">
      <x:c r="A2172" s="24" t="str">
        <x:v>ZS-6AD690A31F53</x:v>
      </x:c>
      <x:c r="B2172" s="24" t="str">
        <x:v>ZEISS</x:v>
      </x:c>
      <x:c r="C2172" s="24" t="str">
        <x:v>Progressiva</x:v>
      </x:c>
      <x:c r="D2172" s="24" t="str">
        <x:v>Surfaçada</x:v>
      </x:c>
      <x:c r="E2172" s="24" t="str">
        <x:v>ClearMind Pure</x:v>
      </x:c>
      <x:c r="F2172" s="24" t="str">
        <x:v>PhotoFusion X</x:v>
      </x:c>
      <x:c r="G2172" s="24" t="str">
        <x:v>1.67</x:v>
      </x:c>
      <x:c r="H2172" s="24" t="str">
        <x:v>1.67</x:v>
      </x:c>
      <x:c r="I2172" s="24" t="str">
        <x:v>DuraVision Gold UV</x:v>
      </x:c>
      <x:c r="J2172" s="40" t="n">
        <x:v>10222</x:v>
      </x:c>
      <x:c r="K2172" s="24" t="str">
        <x:v>-8.00 a +8.00</x:v>
      </x:c>
      <x:c r="L2172" s="24" t="str">
        <x:v>-4.00</x:v>
      </x:c>
      <x:c r="M2172" s="24" t="str">
        <x:v>0.75 a 3.00</x:v>
      </x:c>
      <x:c r="N2172" s="24" t="str">
        <x:v>70</x:v>
      </x:c>
      <x:c r="O2172" s="24"/>
      <x:c r="P2172" s="24"/>
      <x:c r="Q2172" s="24" t="str">
        <x:v>DISPONÍVEL</x:v>
      </x:c>
      <x:c r="R2172" s="24" t="str">
        <x:v>Programa de Parcerias ZEISS — categoria Experts; Programa de Parcerias ZEISS</x:v>
      </x:c>
      <x:c r="S2172" s="24" t="n">
        <x:v>35</x:v>
      </x:c>
      <x:c r="T2172" s="24" t="str">
        <x:v>tabela_zeiss.pdf</x:v>
      </x:c>
      <x:c r="U2172" s="24" t="str">
        <x:v>ZEISS|Progressiva|Surfaçada|ClearMind Pure|PhotoFusion X|1.67|1.67|DuraVision Gold UV|-8.00 a +8.00|-4.00|0.75 a 3.00|70|||35</x:v>
      </x:c>
    </x:row>
    <x:row r="2173">
      <x:c r="A2173" s="24" t="str">
        <x:v>ZS-FBD40C70846A</x:v>
      </x:c>
      <x:c r="B2173" s="24" t="str">
        <x:v>ZEISS</x:v>
      </x:c>
      <x:c r="C2173" s="24" t="str">
        <x:v>Progressiva</x:v>
      </x:c>
      <x:c r="D2173" s="24" t="str">
        <x:v>Surfaçada</x:v>
      </x:c>
      <x:c r="E2173" s="24" t="str">
        <x:v>ClearMind Pure</x:v>
      </x:c>
      <x:c r="F2173" s="24" t="str">
        <x:v>PhotoFusion X</x:v>
      </x:c>
      <x:c r="G2173" s="24" t="str">
        <x:v>1.67</x:v>
      </x:c>
      <x:c r="H2173" s="24" t="str">
        <x:v>1.67</x:v>
      </x:c>
      <x:c r="I2173" s="24" t="str">
        <x:v>DURAVISION® ANTIVÍRUS PLATINUM UV</x:v>
      </x:c>
      <x:c r="J2173" s="40" t="n">
        <x:v>10082</x:v>
      </x:c>
      <x:c r="K2173" s="24" t="str">
        <x:v>-8.00 a +8.00</x:v>
      </x:c>
      <x:c r="L2173" s="24" t="str">
        <x:v>-4.00</x:v>
      </x:c>
      <x:c r="M2173" s="24" t="str">
        <x:v>0.75 a 3.00</x:v>
      </x:c>
      <x:c r="N2173" s="24" t="str">
        <x:v>70</x:v>
      </x:c>
      <x:c r="O2173" s="24"/>
      <x:c r="P2173" s="24"/>
      <x:c r="Q2173" s="24" t="str">
        <x:v>DISPONÍVEL</x:v>
      </x:c>
      <x:c r="R2173" s="24" t="str">
        <x:v>Programa de Parcerias ZEISS — categoria Experts; Programa de Parcerias ZEISS</x:v>
      </x:c>
      <x:c r="S2173" s="24" t="n">
        <x:v>35</x:v>
      </x:c>
      <x:c r="T2173" s="24" t="str">
        <x:v>tabela_zeiss.pdf</x:v>
      </x:c>
      <x:c r="U2173" s="24" t="str">
        <x:v>ZEISS|Progressiva|Surfaçada|ClearMind Pure|PhotoFusion X|1.67|1.67|DURAVISION® ANTIVÍRUS PLATINUM UV|-8.00 a +8.00|-4.00|0.75 a 3.00|70|||35</x:v>
      </x:c>
    </x:row>
    <x:row r="2174">
      <x:c r="A2174" s="24" t="str">
        <x:v>ZS-7FC5E8753388</x:v>
      </x:c>
      <x:c r="B2174" s="24" t="str">
        <x:v>ZEISS</x:v>
      </x:c>
      <x:c r="C2174" s="24" t="str">
        <x:v>Progressiva</x:v>
      </x:c>
      <x:c r="D2174" s="24" t="str">
        <x:v>Surfaçada</x:v>
      </x:c>
      <x:c r="E2174" s="24" t="str">
        <x:v>ClearMind Pure</x:v>
      </x:c>
      <x:c r="F2174" s="24" t="str">
        <x:v>PhotoFusion X</x:v>
      </x:c>
      <x:c r="G2174" s="24" t="str">
        <x:v>1.67</x:v>
      </x:c>
      <x:c r="H2174" s="24" t="str">
        <x:v>1.67</x:v>
      </x:c>
      <x:c r="I2174" s="24" t="str">
        <x:v>DuraVision Platinum UV</x:v>
      </x:c>
      <x:c r="J2174" s="40" t="n">
        <x:v>10082</x:v>
      </x:c>
      <x:c r="K2174" s="24" t="str">
        <x:v>-8.00 a +8.00</x:v>
      </x:c>
      <x:c r="L2174" s="24" t="str">
        <x:v>-4.00</x:v>
      </x:c>
      <x:c r="M2174" s="24" t="str">
        <x:v>0.75 a 3.00</x:v>
      </x:c>
      <x:c r="N2174" s="24" t="str">
        <x:v>70</x:v>
      </x:c>
      <x:c r="O2174" s="24"/>
      <x:c r="P2174" s="24"/>
      <x:c r="Q2174" s="24" t="str">
        <x:v>DISPONÍVEL</x:v>
      </x:c>
      <x:c r="R2174" s="24" t="str">
        <x:v>Programa de Parcerias ZEISS — categoria Experts; Programa de Parcerias ZEISS</x:v>
      </x:c>
      <x:c r="S2174" s="24" t="n">
        <x:v>35</x:v>
      </x:c>
      <x:c r="T2174" s="24" t="str">
        <x:v>tabela_zeiss.pdf</x:v>
      </x:c>
      <x:c r="U2174" s="24" t="str">
        <x:v>ZEISS|Progressiva|Surfaçada|ClearMind Pure|PhotoFusion X|1.67|1.67|DuraVision Platinum UV|-8.00 a +8.00|-4.00|0.75 a 3.00|70|||35</x:v>
      </x:c>
    </x:row>
    <x:row r="2175">
      <x:c r="A2175" s="24" t="str">
        <x:v>ZS-4BE7DDFBD734</x:v>
      </x:c>
      <x:c r="B2175" s="24" t="str">
        <x:v>ZEISS</x:v>
      </x:c>
      <x:c r="C2175" s="24" t="str">
        <x:v>Progressiva</x:v>
      </x:c>
      <x:c r="D2175" s="24" t="str">
        <x:v>Surfaçada</x:v>
      </x:c>
      <x:c r="E2175" s="24" t="str">
        <x:v>ClearMind Pure</x:v>
      </x:c>
      <x:c r="F2175" s="24" t="str">
        <x:v>PhotoFusion X</x:v>
      </x:c>
      <x:c r="G2175" s="24" t="str">
        <x:v>1.67</x:v>
      </x:c>
      <x:c r="H2175" s="24" t="str">
        <x:v>1.67</x:v>
      </x:c>
      <x:c r="I2175" s="24" t="str">
        <x:v>DuraVision Silver UV</x:v>
      </x:c>
      <x:c r="J2175" s="40" t="n">
        <x:v>9822</x:v>
      </x:c>
      <x:c r="K2175" s="24" t="str">
        <x:v>-8.00 a +8.00</x:v>
      </x:c>
      <x:c r="L2175" s="24" t="str">
        <x:v>-4.00</x:v>
      </x:c>
      <x:c r="M2175" s="24" t="str">
        <x:v>0.75 a 3.00</x:v>
      </x:c>
      <x:c r="N2175" s="24" t="str">
        <x:v>70</x:v>
      </x:c>
      <x:c r="O2175" s="24"/>
      <x:c r="P2175" s="24"/>
      <x:c r="Q2175" s="24" t="str">
        <x:v>DISPONÍVEL</x:v>
      </x:c>
      <x:c r="R2175" s="24" t="str">
        <x:v>Programa de Parcerias ZEISS — categoria Experts; Programa de Parcerias ZEISS</x:v>
      </x:c>
      <x:c r="S2175" s="24" t="n">
        <x:v>35</x:v>
      </x:c>
      <x:c r="T2175" s="24" t="str">
        <x:v>tabela_zeiss.pdf</x:v>
      </x:c>
      <x:c r="U2175" s="24" t="str">
        <x:v>ZEISS|Progressiva|Surfaçada|ClearMind Pure|PhotoFusion X|1.67|1.67|DuraVision Silver UV|-8.00 a +8.00|-4.00|0.75 a 3.00|70|||35</x:v>
      </x:c>
    </x:row>
    <x:row r="2176">
      <x:c r="A2176" s="24" t="str">
        <x:v>ZS-3CBEAAD3395A</x:v>
      </x:c>
      <x:c r="B2176" s="24" t="str">
        <x:v>ZEISS</x:v>
      </x:c>
      <x:c r="C2176" s="24" t="str">
        <x:v>Progressiva</x:v>
      </x:c>
      <x:c r="D2176" s="24" t="str">
        <x:v>Surfaçada</x:v>
      </x:c>
      <x:c r="E2176" s="24" t="str">
        <x:v>ClearMind Pure</x:v>
      </x:c>
      <x:c r="F2176" s="24" t="str">
        <x:v>PhotoFusion X</x:v>
      </x:c>
      <x:c r="G2176" s="24" t="str">
        <x:v>1.67</x:v>
      </x:c>
      <x:c r="H2176" s="24" t="str">
        <x:v>1.67</x:v>
      </x:c>
      <x:c r="I2176" s="24" t="str">
        <x:v>DuraVision Chrome UV</x:v>
      </x:c>
      <x:c r="J2176" s="40" t="n">
        <x:v>9332</x:v>
      </x:c>
      <x:c r="K2176" s="24" t="str">
        <x:v>-8.00 a +8.00</x:v>
      </x:c>
      <x:c r="L2176" s="24" t="str">
        <x:v>-4.00</x:v>
      </x:c>
      <x:c r="M2176" s="24" t="str">
        <x:v>0.75 a 3.00</x:v>
      </x:c>
      <x:c r="N2176" s="24" t="str">
        <x:v>70</x:v>
      </x:c>
      <x:c r="O2176" s="24"/>
      <x:c r="P2176" s="24"/>
      <x:c r="Q2176" s="24" t="str">
        <x:v>DISPONÍVEL</x:v>
      </x:c>
      <x:c r="R2176" s="24" t="str">
        <x:v>Programa de Parcerias ZEISS — categoria Experts; Programa de Parcerias ZEISS</x:v>
      </x:c>
      <x:c r="S2176" s="24" t="n">
        <x:v>35</x:v>
      </x:c>
      <x:c r="T2176" s="24" t="str">
        <x:v>tabela_zeiss.pdf</x:v>
      </x:c>
      <x:c r="U2176" s="24" t="str">
        <x:v>ZEISS|Progressiva|Surfaçada|ClearMind Pure|PhotoFusion X|1.67|1.67|DuraVision Chrome UV|-8.00 a +8.00|-4.00|0.75 a 3.00|70|||35</x:v>
      </x:c>
    </x:row>
    <x:row r="2177">
      <x:c r="A2177" s="24" t="str">
        <x:v>ZS-E3D981CB9228</x:v>
      </x:c>
      <x:c r="B2177" s="24" t="str">
        <x:v>ZEISS</x:v>
      </x:c>
      <x:c r="C2177" s="24" t="str">
        <x:v>Progressiva</x:v>
      </x:c>
      <x:c r="D2177" s="24" t="str">
        <x:v>Surfaçada</x:v>
      </x:c>
      <x:c r="E2177" s="24" t="str">
        <x:v>ClearMind Pure</x:v>
      </x:c>
      <x:c r="F2177" s="24" t="str">
        <x:v>PhotoFusion X Extra Dark Cinza</x:v>
      </x:c>
      <x:c r="G2177" s="24" t="str">
        <x:v>1.5</x:v>
      </x:c>
      <x:c r="H2177" s="24" t="str">
        <x:v>1.50</x:v>
      </x:c>
      <x:c r="I2177" s="24" t="str">
        <x:v>DuraVision Gold UV</x:v>
      </x:c>
      <x:c r="J2177" s="40" t="n">
        <x:v>7382</x:v>
      </x:c>
      <x:c r="K2177" s="24" t="str">
        <x:v>-6.00 a +5.50</x:v>
      </x:c>
      <x:c r="L2177" s="24" t="str">
        <x:v>-4.00</x:v>
      </x:c>
      <x:c r="M2177" s="24" t="str">
        <x:v>0.75 a 3.00</x:v>
      </x:c>
      <x:c r="N2177" s="24" t="str">
        <x:v>75</x:v>
      </x:c>
      <x:c r="O2177" s="24"/>
      <x:c r="P2177" s="24"/>
      <x:c r="Q2177" s="24" t="str">
        <x:v>DISPONÍVEL</x:v>
      </x:c>
      <x:c r="R2177" s="24" t="str">
        <x:v>Programa de Parcerias ZEISS — categoria Experts; Programa de Parcerias ZEISS</x:v>
      </x:c>
      <x:c r="S2177" s="24" t="n">
        <x:v>35</x:v>
      </x:c>
      <x:c r="T2177" s="24" t="str">
        <x:v>tabela_zeiss.pdf</x:v>
      </x:c>
      <x:c r="U2177" s="24" t="str">
        <x:v>ZEISS|Progressiva|Surfaçada|ClearMind Pure|PhotoFusion X Extra Dark Cinza|1.5|1.50|DuraVision Gold UV|-6.00 a +5.50|-4.00|0.75 a 3.00|75|||35</x:v>
      </x:c>
    </x:row>
    <x:row r="2178">
      <x:c r="A2178" s="24" t="str">
        <x:v>ZS-32810D4A554F</x:v>
      </x:c>
      <x:c r="B2178" s="24" t="str">
        <x:v>ZEISS</x:v>
      </x:c>
      <x:c r="C2178" s="24" t="str">
        <x:v>Progressiva</x:v>
      </x:c>
      <x:c r="D2178" s="24" t="str">
        <x:v>Surfaçada</x:v>
      </x:c>
      <x:c r="E2178" s="24" t="str">
        <x:v>ClearMind Pure</x:v>
      </x:c>
      <x:c r="F2178" s="24" t="str">
        <x:v>PhotoFusion X Extra Dark Cinza</x:v>
      </x:c>
      <x:c r="G2178" s="24" t="str">
        <x:v>1.5</x:v>
      </x:c>
      <x:c r="H2178" s="24" t="str">
        <x:v>1.50</x:v>
      </x:c>
      <x:c r="I2178" s="24" t="str">
        <x:v>DURAVISION® ANTIVÍRUS PLATINUM UV</x:v>
      </x:c>
      <x:c r="J2178" s="40" t="n">
        <x:v>7242</x:v>
      </x:c>
      <x:c r="K2178" s="24" t="str">
        <x:v>-6.00 a +5.50</x:v>
      </x:c>
      <x:c r="L2178" s="24" t="str">
        <x:v>-4.00</x:v>
      </x:c>
      <x:c r="M2178" s="24" t="str">
        <x:v>0.75 a 3.00</x:v>
      </x:c>
      <x:c r="N2178" s="24" t="str">
        <x:v>75</x:v>
      </x:c>
      <x:c r="O2178" s="24"/>
      <x:c r="P2178" s="24"/>
      <x:c r="Q2178" s="24" t="str">
        <x:v>DISPONÍVEL</x:v>
      </x:c>
      <x:c r="R2178" s="24" t="str">
        <x:v>Programa de Parcerias ZEISS — categoria Experts; Programa de Parcerias ZEISS</x:v>
      </x:c>
      <x:c r="S2178" s="24" t="n">
        <x:v>35</x:v>
      </x:c>
      <x:c r="T2178" s="24" t="str">
        <x:v>tabela_zeiss.pdf</x:v>
      </x:c>
      <x:c r="U2178" s="24" t="str">
        <x:v>ZEISS|Progressiva|Surfaçada|ClearMind Pure|PhotoFusion X Extra Dark Cinza|1.5|1.50|DURAVISION® ANTIVÍRUS PLATINUM UV|-6.00 a +5.50|-4.00|0.75 a 3.00|75|||35</x:v>
      </x:c>
    </x:row>
    <x:row r="2179">
      <x:c r="A2179" s="24" t="str">
        <x:v>ZS-9906D0617756</x:v>
      </x:c>
      <x:c r="B2179" s="24" t="str">
        <x:v>ZEISS</x:v>
      </x:c>
      <x:c r="C2179" s="24" t="str">
        <x:v>Progressiva</x:v>
      </x:c>
      <x:c r="D2179" s="24" t="str">
        <x:v>Surfaçada</x:v>
      </x:c>
      <x:c r="E2179" s="24" t="str">
        <x:v>ClearMind Pure</x:v>
      </x:c>
      <x:c r="F2179" s="24" t="str">
        <x:v>PhotoFusion X Extra Dark Cinza</x:v>
      </x:c>
      <x:c r="G2179" s="24" t="str">
        <x:v>1.5</x:v>
      </x:c>
      <x:c r="H2179" s="24" t="str">
        <x:v>1.50</x:v>
      </x:c>
      <x:c r="I2179" s="24" t="str">
        <x:v>DuraVision Platinum UV</x:v>
      </x:c>
      <x:c r="J2179" s="40" t="n">
        <x:v>7242</x:v>
      </x:c>
      <x:c r="K2179" s="24" t="str">
        <x:v>-6.00 a +5.50</x:v>
      </x:c>
      <x:c r="L2179" s="24" t="str">
        <x:v>-4.00</x:v>
      </x:c>
      <x:c r="M2179" s="24" t="str">
        <x:v>0.75 a 3.00</x:v>
      </x:c>
      <x:c r="N2179" s="24" t="str">
        <x:v>75</x:v>
      </x:c>
      <x:c r="O2179" s="24"/>
      <x:c r="P2179" s="24"/>
      <x:c r="Q2179" s="24" t="str">
        <x:v>DISPONÍVEL</x:v>
      </x:c>
      <x:c r="R2179" s="24" t="str">
        <x:v>Programa de Parcerias ZEISS — categoria Experts; Programa de Parcerias ZEISS</x:v>
      </x:c>
      <x:c r="S2179" s="24" t="n">
        <x:v>35</x:v>
      </x:c>
      <x:c r="T2179" s="24" t="str">
        <x:v>tabela_zeiss.pdf</x:v>
      </x:c>
      <x:c r="U2179" s="24" t="str">
        <x:v>ZEISS|Progressiva|Surfaçada|ClearMind Pure|PhotoFusion X Extra Dark Cinza|1.5|1.50|DuraVision Platinum UV|-6.00 a +5.50|-4.00|0.75 a 3.00|75|||35</x:v>
      </x:c>
    </x:row>
    <x:row r="2180">
      <x:c r="A2180" s="24" t="str">
        <x:v>ZS-45041B575935</x:v>
      </x:c>
      <x:c r="B2180" s="24" t="str">
        <x:v>ZEISS</x:v>
      </x:c>
      <x:c r="C2180" s="24" t="str">
        <x:v>Progressiva</x:v>
      </x:c>
      <x:c r="D2180" s="24" t="str">
        <x:v>Surfaçada</x:v>
      </x:c>
      <x:c r="E2180" s="24" t="str">
        <x:v>ClearMind Pure</x:v>
      </x:c>
      <x:c r="F2180" s="24" t="str">
        <x:v>PhotoFusion X Extra Dark Cinza</x:v>
      </x:c>
      <x:c r="G2180" s="24" t="str">
        <x:v>1.5</x:v>
      </x:c>
      <x:c r="H2180" s="24" t="str">
        <x:v>1.50</x:v>
      </x:c>
      <x:c r="I2180" s="24" t="str">
        <x:v>DuraVision Silver UV</x:v>
      </x:c>
      <x:c r="J2180" s="40" t="n">
        <x:v>6982</x:v>
      </x:c>
      <x:c r="K2180" s="24" t="str">
        <x:v>-6.00 a +5.50</x:v>
      </x:c>
      <x:c r="L2180" s="24" t="str">
        <x:v>-4.00</x:v>
      </x:c>
      <x:c r="M2180" s="24" t="str">
        <x:v>0.75 a 3.00</x:v>
      </x:c>
      <x:c r="N2180" s="24" t="str">
        <x:v>75</x:v>
      </x:c>
      <x:c r="O2180" s="24"/>
      <x:c r="P2180" s="24"/>
      <x:c r="Q2180" s="24" t="str">
        <x:v>DISPONÍVEL</x:v>
      </x:c>
      <x:c r="R2180" s="24" t="str">
        <x:v>Programa de Parcerias ZEISS — categoria Experts; Programa de Parcerias ZEISS</x:v>
      </x:c>
      <x:c r="S2180" s="24" t="n">
        <x:v>35</x:v>
      </x:c>
      <x:c r="T2180" s="24" t="str">
        <x:v>tabela_zeiss.pdf</x:v>
      </x:c>
      <x:c r="U2180" s="24" t="str">
        <x:v>ZEISS|Progressiva|Surfaçada|ClearMind Pure|PhotoFusion X Extra Dark Cinza|1.5|1.50|DuraVision Silver UV|-6.00 a +5.50|-4.00|0.75 a 3.00|75|||35</x:v>
      </x:c>
    </x:row>
    <x:row r="2181">
      <x:c r="A2181" s="24" t="str">
        <x:v>ZS-0050CA338AE5</x:v>
      </x:c>
      <x:c r="B2181" s="24" t="str">
        <x:v>ZEISS</x:v>
      </x:c>
      <x:c r="C2181" s="24" t="str">
        <x:v>Progressiva</x:v>
      </x:c>
      <x:c r="D2181" s="24" t="str">
        <x:v>Surfaçada</x:v>
      </x:c>
      <x:c r="E2181" s="24" t="str">
        <x:v>ClearMind Pure</x:v>
      </x:c>
      <x:c r="F2181" s="24" t="str">
        <x:v>PhotoFusion X Extra Dark Cinza</x:v>
      </x:c>
      <x:c r="G2181" s="24" t="str">
        <x:v>1.5</x:v>
      </x:c>
      <x:c r="H2181" s="24" t="str">
        <x:v>1.50</x:v>
      </x:c>
      <x:c r="I2181" s="24" t="str">
        <x:v>DuraVision Chrome UV</x:v>
      </x:c>
      <x:c r="J2181" s="40" t="n">
        <x:v>6492</x:v>
      </x:c>
      <x:c r="K2181" s="24" t="str">
        <x:v>-6.00 a +5.50</x:v>
      </x:c>
      <x:c r="L2181" s="24" t="str">
        <x:v>-4.00</x:v>
      </x:c>
      <x:c r="M2181" s="24" t="str">
        <x:v>0.75 a 3.00</x:v>
      </x:c>
      <x:c r="N2181" s="24" t="str">
        <x:v>75</x:v>
      </x:c>
      <x:c r="O2181" s="24"/>
      <x:c r="P2181" s="24"/>
      <x:c r="Q2181" s="24" t="str">
        <x:v>DISPONÍVEL</x:v>
      </x:c>
      <x:c r="R2181" s="24" t="str">
        <x:v>Programa de Parcerias ZEISS — categoria Experts; Programa de Parcerias ZEISS</x:v>
      </x:c>
      <x:c r="S2181" s="24" t="n">
        <x:v>35</x:v>
      </x:c>
      <x:c r="T2181" s="24" t="str">
        <x:v>tabela_zeiss.pdf</x:v>
      </x:c>
      <x:c r="U2181" s="24" t="str">
        <x:v>ZEISS|Progressiva|Surfaçada|ClearMind Pure|PhotoFusion X Extra Dark Cinza|1.5|1.50|DuraVision Chrome UV|-6.00 a +5.50|-4.00|0.75 a 3.00|75|||35</x:v>
      </x:c>
    </x:row>
    <x:row r="2182">
      <x:c r="A2182" s="24" t="str">
        <x:v>ZS-910E5F047A31</x:v>
      </x:c>
      <x:c r="B2182" s="24" t="str">
        <x:v>ZEISS</x:v>
      </x:c>
      <x:c r="C2182" s="24" t="str">
        <x:v>Progressiva</x:v>
      </x:c>
      <x:c r="D2182" s="24" t="str">
        <x:v>Surfaçada</x:v>
      </x:c>
      <x:c r="E2182" s="24" t="str">
        <x:v>ClearMind Pure</x:v>
      </x:c>
      <x:c r="F2182" s="24" t="str">
        <x:v>PhotoFusion X Extra Dark Cinza</x:v>
      </x:c>
      <x:c r="G2182" s="24" t="str">
        <x:v>Poli</x:v>
      </x:c>
      <x:c r="H2182" s="24"/>
      <x:c r="I2182" s="24" t="str">
        <x:v>DuraVision Gold UV</x:v>
      </x:c>
      <x:c r="J2182" s="40" t="n">
        <x:v>7972</x:v>
      </x:c>
      <x:c r="K2182" s="24" t="str">
        <x:v>-10.00 a +6.00</x:v>
      </x:c>
      <x:c r="L2182" s="24" t="str">
        <x:v>-6.00</x:v>
      </x:c>
      <x:c r="M2182" s="24" t="str">
        <x:v>0.75 a 3.00</x:v>
      </x:c>
      <x:c r="N2182" s="24" t="str">
        <x:v>70</x:v>
      </x:c>
      <x:c r="O2182" s="24"/>
      <x:c r="P2182" s="24"/>
      <x:c r="Q2182" s="24" t="str">
        <x:v>DISPONÍVEL</x:v>
      </x:c>
      <x:c r="R2182" s="24" t="str">
        <x:v>Programa de Parcerias ZEISS — categoria Experts; Programa de Parcerias ZEISS</x:v>
      </x:c>
      <x:c r="S2182" s="24" t="n">
        <x:v>35</x:v>
      </x:c>
      <x:c r="T2182" s="24" t="str">
        <x:v>tabela_zeiss.pdf</x:v>
      </x:c>
      <x:c r="U2182" s="24" t="str">
        <x:v>ZEISS|Progressiva|Surfaçada|ClearMind Pure|PhotoFusion X Extra Dark Cinza|Poli||DuraVision Gold UV|-10.00 a +6.00|-6.00|0.75 a 3.00|70|||35</x:v>
      </x:c>
    </x:row>
    <x:row r="2183">
      <x:c r="A2183" s="24" t="str">
        <x:v>ZS-AF3F15983968</x:v>
      </x:c>
      <x:c r="B2183" s="24" t="str">
        <x:v>ZEISS</x:v>
      </x:c>
      <x:c r="C2183" s="24" t="str">
        <x:v>Progressiva</x:v>
      </x:c>
      <x:c r="D2183" s="24" t="str">
        <x:v>Surfaçada</x:v>
      </x:c>
      <x:c r="E2183" s="24" t="str">
        <x:v>ClearMind Pure</x:v>
      </x:c>
      <x:c r="F2183" s="24" t="str">
        <x:v>PhotoFusion X Extra Dark Cinza</x:v>
      </x:c>
      <x:c r="G2183" s="24" t="str">
        <x:v>Poli</x:v>
      </x:c>
      <x:c r="H2183" s="24"/>
      <x:c r="I2183" s="24" t="str">
        <x:v>DuraVision Platinum UV</x:v>
      </x:c>
      <x:c r="J2183" s="40" t="n">
        <x:v>7832</x:v>
      </x:c>
      <x:c r="K2183" s="24" t="str">
        <x:v>-10.00 a +6.00</x:v>
      </x:c>
      <x:c r="L2183" s="24" t="str">
        <x:v>-6.00</x:v>
      </x:c>
      <x:c r="M2183" s="24" t="str">
        <x:v>0.75 a 3.00</x:v>
      </x:c>
      <x:c r="N2183" s="24" t="str">
        <x:v>70</x:v>
      </x:c>
      <x:c r="O2183" s="24"/>
      <x:c r="P2183" s="24"/>
      <x:c r="Q2183" s="24" t="str">
        <x:v>DISPONÍVEL</x:v>
      </x:c>
      <x:c r="R2183" s="24" t="str">
        <x:v>Programa de Parcerias ZEISS — categoria Experts; Programa de Parcerias ZEISS</x:v>
      </x:c>
      <x:c r="S2183" s="24" t="n">
        <x:v>35</x:v>
      </x:c>
      <x:c r="T2183" s="24" t="str">
        <x:v>tabela_zeiss.pdf</x:v>
      </x:c>
      <x:c r="U2183" s="24" t="str">
        <x:v>ZEISS|Progressiva|Surfaçada|ClearMind Pure|PhotoFusion X Extra Dark Cinza|Poli||DuraVision Platinum UV|-10.00 a +6.00|-6.00|0.75 a 3.00|70|||35</x:v>
      </x:c>
    </x:row>
    <x:row r="2184">
      <x:c r="A2184" s="24" t="str">
        <x:v>ZS-15185514DD82</x:v>
      </x:c>
      <x:c r="B2184" s="24" t="str">
        <x:v>ZEISS</x:v>
      </x:c>
      <x:c r="C2184" s="24" t="str">
        <x:v>Progressiva</x:v>
      </x:c>
      <x:c r="D2184" s="24" t="str">
        <x:v>Surfaçada</x:v>
      </x:c>
      <x:c r="E2184" s="24" t="str">
        <x:v>ClearMind Pure</x:v>
      </x:c>
      <x:c r="F2184" s="24" t="str">
        <x:v>PhotoFusion X Extra Dark Cinza</x:v>
      </x:c>
      <x:c r="G2184" s="24" t="str">
        <x:v>Poli</x:v>
      </x:c>
      <x:c r="H2184" s="24"/>
      <x:c r="I2184" s="24" t="str">
        <x:v>DuraVision Silver UV</x:v>
      </x:c>
      <x:c r="J2184" s="40" t="n">
        <x:v>7572</x:v>
      </x:c>
      <x:c r="K2184" s="24" t="str">
        <x:v>-10.00 a +6.00</x:v>
      </x:c>
      <x:c r="L2184" s="24" t="str">
        <x:v>-6.00</x:v>
      </x:c>
      <x:c r="M2184" s="24" t="str">
        <x:v>0.75 a 3.00</x:v>
      </x:c>
      <x:c r="N2184" s="24" t="str">
        <x:v>70</x:v>
      </x:c>
      <x:c r="O2184" s="24"/>
      <x:c r="P2184" s="24"/>
      <x:c r="Q2184" s="24" t="str">
        <x:v>DISPONÍVEL</x:v>
      </x:c>
      <x:c r="R2184" s="24" t="str">
        <x:v>Programa de Parcerias ZEISS — categoria Experts; Programa de Parcerias ZEISS</x:v>
      </x:c>
      <x:c r="S2184" s="24" t="n">
        <x:v>35</x:v>
      </x:c>
      <x:c r="T2184" s="24" t="str">
        <x:v>tabela_zeiss.pdf</x:v>
      </x:c>
      <x:c r="U2184" s="24" t="str">
        <x:v>ZEISS|Progressiva|Surfaçada|ClearMind Pure|PhotoFusion X Extra Dark Cinza|Poli||DuraVision Silver UV|-10.00 a +6.00|-6.00|0.75 a 3.00|70|||35</x:v>
      </x:c>
    </x:row>
    <x:row r="2185">
      <x:c r="A2185" s="24" t="str">
        <x:v>ZS-C5CCCD169629</x:v>
      </x:c>
      <x:c r="B2185" s="24" t="str">
        <x:v>ZEISS</x:v>
      </x:c>
      <x:c r="C2185" s="24" t="str">
        <x:v>Progressiva</x:v>
      </x:c>
      <x:c r="D2185" s="24" t="str">
        <x:v>Surfaçada</x:v>
      </x:c>
      <x:c r="E2185" s="24" t="str">
        <x:v>ClearMind Pure</x:v>
      </x:c>
      <x:c r="F2185" s="24" t="str">
        <x:v>PhotoFusion X Extra Dark Cinza</x:v>
      </x:c>
      <x:c r="G2185" s="24" t="str">
        <x:v>Poli</x:v>
      </x:c>
      <x:c r="H2185" s="24"/>
      <x:c r="I2185" s="24" t="str">
        <x:v>DuraVision Chrome UV</x:v>
      </x:c>
      <x:c r="J2185" s="40" t="n">
        <x:v>7082</x:v>
      </x:c>
      <x:c r="K2185" s="24" t="str">
        <x:v>-10.00 a +6.00</x:v>
      </x:c>
      <x:c r="L2185" s="24" t="str">
        <x:v>-6.00</x:v>
      </x:c>
      <x:c r="M2185" s="24" t="str">
        <x:v>0.75 a 3.00</x:v>
      </x:c>
      <x:c r="N2185" s="24" t="str">
        <x:v>70</x:v>
      </x:c>
      <x:c r="O2185" s="24"/>
      <x:c r="P2185" s="24"/>
      <x:c r="Q2185" s="24" t="str">
        <x:v>DISPONÍVEL</x:v>
      </x:c>
      <x:c r="R2185" s="24" t="str">
        <x:v>Programa de Parcerias ZEISS — categoria Experts; Programa de Parcerias ZEISS</x:v>
      </x:c>
      <x:c r="S2185" s="24" t="n">
        <x:v>35</x:v>
      </x:c>
      <x:c r="T2185" s="24" t="str">
        <x:v>tabela_zeiss.pdf</x:v>
      </x:c>
      <x:c r="U2185" s="24" t="str">
        <x:v>ZEISS|Progressiva|Surfaçada|ClearMind Pure|PhotoFusion X Extra Dark Cinza|Poli||DuraVision Chrome UV|-10.00 a +6.00|-6.00|0.75 a 3.00|70|||35</x:v>
      </x:c>
    </x:row>
    <x:row r="2186">
      <x:c r="A2186" s="24" t="str">
        <x:v>ZS-AC2DF9045AC7</x:v>
      </x:c>
      <x:c r="B2186" s="24" t="str">
        <x:v>ZEISS</x:v>
      </x:c>
      <x:c r="C2186" s="24" t="str">
        <x:v>Progressiva</x:v>
      </x:c>
      <x:c r="D2186" s="24" t="str">
        <x:v>Surfaçada</x:v>
      </x:c>
      <x:c r="E2186" s="24" t="str">
        <x:v>ClearMind Pure</x:v>
      </x:c>
      <x:c r="F2186" s="24" t="str">
        <x:v>PhotoFusion X Extra Dark Cinza</x:v>
      </x:c>
      <x:c r="G2186" s="24" t="str">
        <x:v>1.6</x:v>
      </x:c>
      <x:c r="H2186" s="24" t="str">
        <x:v>1.60</x:v>
      </x:c>
      <x:c r="I2186" s="24" t="str">
        <x:v>DuraVision Gold UV</x:v>
      </x:c>
      <x:c r="J2186" s="40" t="n">
        <x:v>8632</x:v>
      </x:c>
      <x:c r="K2186" s="24" t="str">
        <x:v>-7.25 a +6.00</x:v>
      </x:c>
      <x:c r="L2186" s="24" t="str">
        <x:v>-6.00</x:v>
      </x:c>
      <x:c r="M2186" s="24" t="str">
        <x:v>0.75 a 3.50</x:v>
      </x:c>
      <x:c r="N2186" s="24" t="str">
        <x:v>75</x:v>
      </x:c>
      <x:c r="O2186" s="24"/>
      <x:c r="P2186" s="24"/>
      <x:c r="Q2186" s="24" t="str">
        <x:v>DISPONÍVEL</x:v>
      </x:c>
      <x:c r="R2186" s="24" t="str">
        <x:v>Programa de Parcerias ZEISS — categoria Experts; Programa de Parcerias ZEISS</x:v>
      </x:c>
      <x:c r="S2186" s="24" t="n">
        <x:v>35</x:v>
      </x:c>
      <x:c r="T2186" s="24" t="str">
        <x:v>tabela_zeiss.pdf</x:v>
      </x:c>
      <x:c r="U2186" s="24" t="str">
        <x:v>ZEISS|Progressiva|Surfaçada|ClearMind Pure|PhotoFusion X Extra Dark Cinza|1.6|1.60|DuraVision Gold UV|-7.25 a +6.00|-6.00|0.75 a 3.50|75|||35</x:v>
      </x:c>
    </x:row>
    <x:row r="2187">
      <x:c r="A2187" s="24" t="str">
        <x:v>ZS-CB90A7B154A6</x:v>
      </x:c>
      <x:c r="B2187" s="24" t="str">
        <x:v>ZEISS</x:v>
      </x:c>
      <x:c r="C2187" s="24" t="str">
        <x:v>Progressiva</x:v>
      </x:c>
      <x:c r="D2187" s="24" t="str">
        <x:v>Surfaçada</x:v>
      </x:c>
      <x:c r="E2187" s="24" t="str">
        <x:v>ClearMind Pure</x:v>
      </x:c>
      <x:c r="F2187" s="24" t="str">
        <x:v>PhotoFusion X Extra Dark Cinza</x:v>
      </x:c>
      <x:c r="G2187" s="24" t="str">
        <x:v>1.6</x:v>
      </x:c>
      <x:c r="H2187" s="24" t="str">
        <x:v>1.60</x:v>
      </x:c>
      <x:c r="I2187" s="24" t="str">
        <x:v>DURAVISION® ANTIVÍRUS PLATINUM UV</x:v>
      </x:c>
      <x:c r="J2187" s="40" t="n">
        <x:v>8492</x:v>
      </x:c>
      <x:c r="K2187" s="24" t="str">
        <x:v>-7.25 a +6.00</x:v>
      </x:c>
      <x:c r="L2187" s="24" t="str">
        <x:v>-6.00</x:v>
      </x:c>
      <x:c r="M2187" s="24" t="str">
        <x:v>0.75 a 3.50</x:v>
      </x:c>
      <x:c r="N2187" s="24" t="str">
        <x:v>75</x:v>
      </x:c>
      <x:c r="O2187" s="24"/>
      <x:c r="P2187" s="24"/>
      <x:c r="Q2187" s="24" t="str">
        <x:v>DISPONÍVEL</x:v>
      </x:c>
      <x:c r="R2187" s="24" t="str">
        <x:v>Programa de Parcerias ZEISS — categoria Experts; Programa de Parcerias ZEISS</x:v>
      </x:c>
      <x:c r="S2187" s="24" t="n">
        <x:v>35</x:v>
      </x:c>
      <x:c r="T2187" s="24" t="str">
        <x:v>tabela_zeiss.pdf</x:v>
      </x:c>
      <x:c r="U2187" s="24" t="str">
        <x:v>ZEISS|Progressiva|Surfaçada|ClearMind Pure|PhotoFusion X Extra Dark Cinza|1.6|1.60|DURAVISION® ANTIVÍRUS PLATINUM UV|-7.25 a +6.00|-6.00|0.75 a 3.50|75|||35</x:v>
      </x:c>
    </x:row>
    <x:row r="2188">
      <x:c r="A2188" s="24" t="str">
        <x:v>ZS-4F8C097929C4</x:v>
      </x:c>
      <x:c r="B2188" s="24" t="str">
        <x:v>ZEISS</x:v>
      </x:c>
      <x:c r="C2188" s="24" t="str">
        <x:v>Progressiva</x:v>
      </x:c>
      <x:c r="D2188" s="24" t="str">
        <x:v>Surfaçada</x:v>
      </x:c>
      <x:c r="E2188" s="24" t="str">
        <x:v>ClearMind Pure</x:v>
      </x:c>
      <x:c r="F2188" s="24" t="str">
        <x:v>PhotoFusion X Extra Dark Cinza</x:v>
      </x:c>
      <x:c r="G2188" s="24" t="str">
        <x:v>1.6</x:v>
      </x:c>
      <x:c r="H2188" s="24" t="str">
        <x:v>1.60</x:v>
      </x:c>
      <x:c r="I2188" s="24" t="str">
        <x:v>DuraVision Platinum UV</x:v>
      </x:c>
      <x:c r="J2188" s="40" t="n">
        <x:v>8492</x:v>
      </x:c>
      <x:c r="K2188" s="24" t="str">
        <x:v>-7.25 a +6.00</x:v>
      </x:c>
      <x:c r="L2188" s="24" t="str">
        <x:v>-6.00</x:v>
      </x:c>
      <x:c r="M2188" s="24" t="str">
        <x:v>0.75 a 3.50</x:v>
      </x:c>
      <x:c r="N2188" s="24" t="str">
        <x:v>75</x:v>
      </x:c>
      <x:c r="O2188" s="24"/>
      <x:c r="P2188" s="24"/>
      <x:c r="Q2188" s="24" t="str">
        <x:v>DISPONÍVEL</x:v>
      </x:c>
      <x:c r="R2188" s="24" t="str">
        <x:v>Programa de Parcerias ZEISS — categoria Experts; Programa de Parcerias ZEISS</x:v>
      </x:c>
      <x:c r="S2188" s="24" t="n">
        <x:v>35</x:v>
      </x:c>
      <x:c r="T2188" s="24" t="str">
        <x:v>tabela_zeiss.pdf</x:v>
      </x:c>
      <x:c r="U2188" s="24" t="str">
        <x:v>ZEISS|Progressiva|Surfaçada|ClearMind Pure|PhotoFusion X Extra Dark Cinza|1.6|1.60|DuraVision Platinum UV|-7.25 a +6.00|-6.00|0.75 a 3.50|75|||35</x:v>
      </x:c>
    </x:row>
    <x:row r="2189">
      <x:c r="A2189" s="24" t="str">
        <x:v>ZS-88BF4DB709A9</x:v>
      </x:c>
      <x:c r="B2189" s="24" t="str">
        <x:v>ZEISS</x:v>
      </x:c>
      <x:c r="C2189" s="24" t="str">
        <x:v>Progressiva</x:v>
      </x:c>
      <x:c r="D2189" s="24" t="str">
        <x:v>Surfaçada</x:v>
      </x:c>
      <x:c r="E2189" s="24" t="str">
        <x:v>ClearMind Pure</x:v>
      </x:c>
      <x:c r="F2189" s="24" t="str">
        <x:v>PhotoFusion X Extra Dark Cinza</x:v>
      </x:c>
      <x:c r="G2189" s="24" t="str">
        <x:v>1.6</x:v>
      </x:c>
      <x:c r="H2189" s="24" t="str">
        <x:v>1.60</x:v>
      </x:c>
      <x:c r="I2189" s="24" t="str">
        <x:v>DuraVision Silver UV</x:v>
      </x:c>
      <x:c r="J2189" s="40" t="n">
        <x:v>8232</x:v>
      </x:c>
      <x:c r="K2189" s="24" t="str">
        <x:v>-7.25 a +6.00</x:v>
      </x:c>
      <x:c r="L2189" s="24" t="str">
        <x:v>-6.00</x:v>
      </x:c>
      <x:c r="M2189" s="24" t="str">
        <x:v>0.75 a 3.50</x:v>
      </x:c>
      <x:c r="N2189" s="24" t="str">
        <x:v>75</x:v>
      </x:c>
      <x:c r="O2189" s="24"/>
      <x:c r="P2189" s="24"/>
      <x:c r="Q2189" s="24" t="str">
        <x:v>DISPONÍVEL</x:v>
      </x:c>
      <x:c r="R2189" s="24" t="str">
        <x:v>Programa de Parcerias ZEISS — categoria Experts; Programa de Parcerias ZEISS</x:v>
      </x:c>
      <x:c r="S2189" s="24" t="n">
        <x:v>35</x:v>
      </x:c>
      <x:c r="T2189" s="24" t="str">
        <x:v>tabela_zeiss.pdf</x:v>
      </x:c>
      <x:c r="U2189" s="24" t="str">
        <x:v>ZEISS|Progressiva|Surfaçada|ClearMind Pure|PhotoFusion X Extra Dark Cinza|1.6|1.60|DuraVision Silver UV|-7.25 a +6.00|-6.00|0.75 a 3.50|75|||35</x:v>
      </x:c>
    </x:row>
    <x:row r="2190">
      <x:c r="A2190" s="24" t="str">
        <x:v>ZS-6A7E6F647E55</x:v>
      </x:c>
      <x:c r="B2190" s="24" t="str">
        <x:v>ZEISS</x:v>
      </x:c>
      <x:c r="C2190" s="24" t="str">
        <x:v>Progressiva</x:v>
      </x:c>
      <x:c r="D2190" s="24" t="str">
        <x:v>Surfaçada</x:v>
      </x:c>
      <x:c r="E2190" s="24" t="str">
        <x:v>ClearMind Pure</x:v>
      </x:c>
      <x:c r="F2190" s="24" t="str">
        <x:v>PhotoFusion X Extra Dark Cinza</x:v>
      </x:c>
      <x:c r="G2190" s="24" t="str">
        <x:v>1.6</x:v>
      </x:c>
      <x:c r="H2190" s="24" t="str">
        <x:v>1.60</x:v>
      </x:c>
      <x:c r="I2190" s="24" t="str">
        <x:v>DuraVision Chrome UV</x:v>
      </x:c>
      <x:c r="J2190" s="40" t="n">
        <x:v>7742</x:v>
      </x:c>
      <x:c r="K2190" s="24" t="str">
        <x:v>-7.25 a +6.00</x:v>
      </x:c>
      <x:c r="L2190" s="24" t="str">
        <x:v>-6.00</x:v>
      </x:c>
      <x:c r="M2190" s="24" t="str">
        <x:v>0.75 a 3.50</x:v>
      </x:c>
      <x:c r="N2190" s="24" t="str">
        <x:v>75</x:v>
      </x:c>
      <x:c r="O2190" s="24"/>
      <x:c r="P2190" s="24"/>
      <x:c r="Q2190" s="24" t="str">
        <x:v>DISPONÍVEL</x:v>
      </x:c>
      <x:c r="R2190" s="24" t="str">
        <x:v>Programa de Parcerias ZEISS — categoria Experts; Programa de Parcerias ZEISS</x:v>
      </x:c>
      <x:c r="S2190" s="24" t="n">
        <x:v>35</x:v>
      </x:c>
      <x:c r="T2190" s="24" t="str">
        <x:v>tabela_zeiss.pdf</x:v>
      </x:c>
      <x:c r="U2190" s="24" t="str">
        <x:v>ZEISS|Progressiva|Surfaçada|ClearMind Pure|PhotoFusion X Extra Dark Cinza|1.6|1.60|DuraVision Chrome UV|-7.25 a +6.00|-6.00|0.75 a 3.50|75|||35</x:v>
      </x:c>
    </x:row>
    <x:row r="2191">
      <x:c r="A2191" s="24" t="str">
        <x:v>ZS-32DD3C4E37D8</x:v>
      </x:c>
      <x:c r="B2191" s="24" t="str">
        <x:v>ZEISS</x:v>
      </x:c>
      <x:c r="C2191" s="24" t="str">
        <x:v>Progressiva</x:v>
      </x:c>
      <x:c r="D2191" s="24" t="str">
        <x:v>Surfaçada</x:v>
      </x:c>
      <x:c r="E2191" s="24" t="str">
        <x:v>ClearMind Pure</x:v>
      </x:c>
      <x:c r="F2191" s="24" t="str">
        <x:v>PhotoFusion X Extra Dark Cinza</x:v>
      </x:c>
      <x:c r="G2191" s="24" t="str">
        <x:v>1.67</x:v>
      </x:c>
      <x:c r="H2191" s="24" t="str">
        <x:v>1.67</x:v>
      </x:c>
      <x:c r="I2191" s="24" t="str">
        <x:v>DuraVision Gold UV</x:v>
      </x:c>
      <x:c r="J2191" s="40" t="n">
        <x:v>10272</x:v>
      </x:c>
      <x:c r="K2191" s="24" t="str">
        <x:v>-8.00 a +8.00</x:v>
      </x:c>
      <x:c r="L2191" s="24" t="str">
        <x:v>-4.00</x:v>
      </x:c>
      <x:c r="M2191" s="24" t="str">
        <x:v>0.75 a 3.00</x:v>
      </x:c>
      <x:c r="N2191" s="24" t="str">
        <x:v>70</x:v>
      </x:c>
      <x:c r="O2191" s="24"/>
      <x:c r="P2191" s="24"/>
      <x:c r="Q2191" s="24" t="str">
        <x:v>DISPONÍVEL</x:v>
      </x:c>
      <x:c r="R2191" s="24" t="str">
        <x:v>Programa de Parcerias ZEISS — categoria Experts; Programa de Parcerias ZEISS</x:v>
      </x:c>
      <x:c r="S2191" s="24" t="n">
        <x:v>35</x:v>
      </x:c>
      <x:c r="T2191" s="24" t="str">
        <x:v>tabela_zeiss.pdf</x:v>
      </x:c>
      <x:c r="U2191" s="24" t="str">
        <x:v>ZEISS|Progressiva|Surfaçada|ClearMind Pure|PhotoFusion X Extra Dark Cinza|1.67|1.67|DuraVision Gold UV|-8.00 a +8.00|-4.00|0.75 a 3.00|70|||35</x:v>
      </x:c>
    </x:row>
    <x:row r="2192">
      <x:c r="A2192" s="24" t="str">
        <x:v>ZS-0106E8245FD6</x:v>
      </x:c>
      <x:c r="B2192" s="24" t="str">
        <x:v>ZEISS</x:v>
      </x:c>
      <x:c r="C2192" s="24" t="str">
        <x:v>Progressiva</x:v>
      </x:c>
      <x:c r="D2192" s="24" t="str">
        <x:v>Surfaçada</x:v>
      </x:c>
      <x:c r="E2192" s="24" t="str">
        <x:v>ClearMind Pure</x:v>
      </x:c>
      <x:c r="F2192" s="24" t="str">
        <x:v>PhotoFusion X Extra Dark Cinza</x:v>
      </x:c>
      <x:c r="G2192" s="24" t="str">
        <x:v>1.67</x:v>
      </x:c>
      <x:c r="H2192" s="24" t="str">
        <x:v>1.67</x:v>
      </x:c>
      <x:c r="I2192" s="24" t="str">
        <x:v>DURAVISION® ANTIVÍRUS PLATINUM UV</x:v>
      </x:c>
      <x:c r="J2192" s="40" t="n">
        <x:v>10132</x:v>
      </x:c>
      <x:c r="K2192" s="24" t="str">
        <x:v>-8.00 a +8.00</x:v>
      </x:c>
      <x:c r="L2192" s="24" t="str">
        <x:v>-4.00</x:v>
      </x:c>
      <x:c r="M2192" s="24" t="str">
        <x:v>0.75 a 3.00</x:v>
      </x:c>
      <x:c r="N2192" s="24" t="str">
        <x:v>70</x:v>
      </x:c>
      <x:c r="O2192" s="24"/>
      <x:c r="P2192" s="24"/>
      <x:c r="Q2192" s="24" t="str">
        <x:v>DISPONÍVEL</x:v>
      </x:c>
      <x:c r="R2192" s="24" t="str">
        <x:v>Programa de Parcerias ZEISS — categoria Experts; Programa de Parcerias ZEISS</x:v>
      </x:c>
      <x:c r="S2192" s="24" t="n">
        <x:v>35</x:v>
      </x:c>
      <x:c r="T2192" s="24" t="str">
        <x:v>tabela_zeiss.pdf</x:v>
      </x:c>
      <x:c r="U2192" s="24" t="str">
        <x:v>ZEISS|Progressiva|Surfaçada|ClearMind Pure|PhotoFusion X Extra Dark Cinza|1.67|1.67|DURAVISION® ANTIVÍRUS PLATINUM UV|-8.00 a +8.00|-4.00|0.75 a 3.00|70|||35</x:v>
      </x:c>
    </x:row>
    <x:row r="2193">
      <x:c r="A2193" s="24" t="str">
        <x:v>ZS-1611ECC305B9</x:v>
      </x:c>
      <x:c r="B2193" s="24" t="str">
        <x:v>ZEISS</x:v>
      </x:c>
      <x:c r="C2193" s="24" t="str">
        <x:v>Progressiva</x:v>
      </x:c>
      <x:c r="D2193" s="24" t="str">
        <x:v>Surfaçada</x:v>
      </x:c>
      <x:c r="E2193" s="24" t="str">
        <x:v>ClearMind Pure</x:v>
      </x:c>
      <x:c r="F2193" s="24" t="str">
        <x:v>PhotoFusion X Extra Dark Cinza</x:v>
      </x:c>
      <x:c r="G2193" s="24" t="str">
        <x:v>1.67</x:v>
      </x:c>
      <x:c r="H2193" s="24" t="str">
        <x:v>1.67</x:v>
      </x:c>
      <x:c r="I2193" s="24" t="str">
        <x:v>DuraVision Platinum UV</x:v>
      </x:c>
      <x:c r="J2193" s="40" t="n">
        <x:v>10132</x:v>
      </x:c>
      <x:c r="K2193" s="24" t="str">
        <x:v>-8.00 a +8.00</x:v>
      </x:c>
      <x:c r="L2193" s="24" t="str">
        <x:v>-4.00</x:v>
      </x:c>
      <x:c r="M2193" s="24" t="str">
        <x:v>0.75 a 3.00</x:v>
      </x:c>
      <x:c r="N2193" s="24" t="str">
        <x:v>70</x:v>
      </x:c>
      <x:c r="O2193" s="24"/>
      <x:c r="P2193" s="24"/>
      <x:c r="Q2193" s="24" t="str">
        <x:v>DISPONÍVEL</x:v>
      </x:c>
      <x:c r="R2193" s="24" t="str">
        <x:v>Programa de Parcerias ZEISS — categoria Experts; Programa de Parcerias ZEISS</x:v>
      </x:c>
      <x:c r="S2193" s="24" t="n">
        <x:v>35</x:v>
      </x:c>
      <x:c r="T2193" s="24" t="str">
        <x:v>tabela_zeiss.pdf</x:v>
      </x:c>
      <x:c r="U2193" s="24" t="str">
        <x:v>ZEISS|Progressiva|Surfaçada|ClearMind Pure|PhotoFusion X Extra Dark Cinza|1.67|1.67|DuraVision Platinum UV|-8.00 a +8.00|-4.00|0.75 a 3.00|70|||35</x:v>
      </x:c>
    </x:row>
    <x:row r="2194">
      <x:c r="A2194" s="24" t="str">
        <x:v>ZS-8666421ED909</x:v>
      </x:c>
      <x:c r="B2194" s="24" t="str">
        <x:v>ZEISS</x:v>
      </x:c>
      <x:c r="C2194" s="24" t="str">
        <x:v>Progressiva</x:v>
      </x:c>
      <x:c r="D2194" s="24" t="str">
        <x:v>Surfaçada</x:v>
      </x:c>
      <x:c r="E2194" s="24" t="str">
        <x:v>ClearMind Pure</x:v>
      </x:c>
      <x:c r="F2194" s="24" t="str">
        <x:v>PhotoFusion X Extra Dark Cinza</x:v>
      </x:c>
      <x:c r="G2194" s="24" t="str">
        <x:v>1.67</x:v>
      </x:c>
      <x:c r="H2194" s="24" t="str">
        <x:v>1.67</x:v>
      </x:c>
      <x:c r="I2194" s="24" t="str">
        <x:v>DuraVision Silver UV</x:v>
      </x:c>
      <x:c r="J2194" s="40" t="n">
        <x:v>9872</x:v>
      </x:c>
      <x:c r="K2194" s="24" t="str">
        <x:v>-8.00 a +8.00</x:v>
      </x:c>
      <x:c r="L2194" s="24" t="str">
        <x:v>-4.00</x:v>
      </x:c>
      <x:c r="M2194" s="24" t="str">
        <x:v>0.75 a 3.00</x:v>
      </x:c>
      <x:c r="N2194" s="24" t="str">
        <x:v>70</x:v>
      </x:c>
      <x:c r="O2194" s="24"/>
      <x:c r="P2194" s="24"/>
      <x:c r="Q2194" s="24" t="str">
        <x:v>DISPONÍVEL</x:v>
      </x:c>
      <x:c r="R2194" s="24" t="str">
        <x:v>Programa de Parcerias ZEISS — categoria Experts; Programa de Parcerias ZEISS</x:v>
      </x:c>
      <x:c r="S2194" s="24" t="n">
        <x:v>35</x:v>
      </x:c>
      <x:c r="T2194" s="24" t="str">
        <x:v>tabela_zeiss.pdf</x:v>
      </x:c>
      <x:c r="U2194" s="24" t="str">
        <x:v>ZEISS|Progressiva|Surfaçada|ClearMind Pure|PhotoFusion X Extra Dark Cinza|1.67|1.67|DuraVision Silver UV|-8.00 a +8.00|-4.00|0.75 a 3.00|70|||35</x:v>
      </x:c>
    </x:row>
    <x:row r="2195">
      <x:c r="A2195" s="24" t="str">
        <x:v>ZS-48428DA97084</x:v>
      </x:c>
      <x:c r="B2195" s="24" t="str">
        <x:v>ZEISS</x:v>
      </x:c>
      <x:c r="C2195" s="24" t="str">
        <x:v>Progressiva</x:v>
      </x:c>
      <x:c r="D2195" s="24" t="str">
        <x:v>Surfaçada</x:v>
      </x:c>
      <x:c r="E2195" s="24" t="str">
        <x:v>ClearMind Pure</x:v>
      </x:c>
      <x:c r="F2195" s="24" t="str">
        <x:v>PhotoFusion X Extra Dark Cinza</x:v>
      </x:c>
      <x:c r="G2195" s="24" t="str">
        <x:v>1.67</x:v>
      </x:c>
      <x:c r="H2195" s="24" t="str">
        <x:v>1.67</x:v>
      </x:c>
      <x:c r="I2195" s="24" t="str">
        <x:v>DuraVision Chrome UV</x:v>
      </x:c>
      <x:c r="J2195" s="40" t="n">
        <x:v>9382</x:v>
      </x:c>
      <x:c r="K2195" s="24" t="str">
        <x:v>-8.00 a +8.00</x:v>
      </x:c>
      <x:c r="L2195" s="24" t="str">
        <x:v>-4.00</x:v>
      </x:c>
      <x:c r="M2195" s="24" t="str">
        <x:v>0.75 a 3.00</x:v>
      </x:c>
      <x:c r="N2195" s="24" t="str">
        <x:v>70</x:v>
      </x:c>
      <x:c r="O2195" s="24"/>
      <x:c r="P2195" s="24"/>
      <x:c r="Q2195" s="24" t="str">
        <x:v>DISPONÍVEL</x:v>
      </x:c>
      <x:c r="R2195" s="24" t="str">
        <x:v>Programa de Parcerias ZEISS — categoria Experts; Programa de Parcerias ZEISS</x:v>
      </x:c>
      <x:c r="S2195" s="24" t="n">
        <x:v>35</x:v>
      </x:c>
      <x:c r="T2195" s="24" t="str">
        <x:v>tabela_zeiss.pdf</x:v>
      </x:c>
      <x:c r="U2195" s="24" t="str">
        <x:v>ZEISS|Progressiva|Surfaçada|ClearMind Pure|PhotoFusion X Extra Dark Cinza|1.67|1.67|DuraVision Chrome UV|-8.00 a +8.00|-4.00|0.75 a 3.00|70|||35</x:v>
      </x:c>
    </x:row>
    <x:row r="2196">
      <x:c r="A2196" s="24" t="str">
        <x:v>ZS-30D783228D5D</x:v>
      </x:c>
      <x:c r="B2196" s="24" t="str">
        <x:v>ZEISS</x:v>
      </x:c>
      <x:c r="C2196" s="24" t="str">
        <x:v>Progressiva</x:v>
      </x:c>
      <x:c r="D2196" s="24" t="str">
        <x:v>Surfaçada</x:v>
      </x:c>
      <x:c r="E2196" s="24" t="str">
        <x:v>ClearMind Pure</x:v>
      </x:c>
      <x:c r="F2196" s="24" t="str">
        <x:v>Polarizada</x:v>
      </x:c>
      <x:c r="G2196" s="24" t="str">
        <x:v>1.5</x:v>
      </x:c>
      <x:c r="H2196" s="24" t="str">
        <x:v>1.50</x:v>
      </x:c>
      <x:c r="I2196" s="24" t="str">
        <x:v>DuraVision Gold UV</x:v>
      </x:c>
      <x:c r="J2196" s="40" t="n">
        <x:v>6752</x:v>
      </x:c>
      <x:c r="K2196" s="24" t="str">
        <x:v>-6.00 a +6.00</x:v>
      </x:c>
      <x:c r="L2196" s="24" t="str">
        <x:v>-4.00</x:v>
      </x:c>
      <x:c r="M2196" s="24" t="str">
        <x:v>0.75 a 3.50</x:v>
      </x:c>
      <x:c r="N2196" s="24" t="str">
        <x:v>70</x:v>
      </x:c>
      <x:c r="O2196" s="24"/>
      <x:c r="P2196" s="24"/>
      <x:c r="Q2196" s="24" t="str">
        <x:v>DISPONÍVEL</x:v>
      </x:c>
      <x:c r="R2196" s="24" t="str">
        <x:v>Programa de Parcerias ZEISS — categoria Experts</x:v>
      </x:c>
      <x:c r="S2196" s="24" t="n">
        <x:v>35</x:v>
      </x:c>
      <x:c r="T2196" s="24" t="str">
        <x:v>tabela_zeiss.pdf</x:v>
      </x:c>
      <x:c r="U2196" s="24" t="str">
        <x:v>ZEISS|Progressiva|Surfaçada|ClearMind Pure|Polarizada|1.5|1.50|DuraVision Gold UV|-6.00 a +6.00|-4.00|0.75 a 3.50|70|||35</x:v>
      </x:c>
    </x:row>
    <x:row r="2197">
      <x:c r="A2197" s="24" t="str">
        <x:v>ZS-C77FA865AD68</x:v>
      </x:c>
      <x:c r="B2197" s="24" t="str">
        <x:v>ZEISS</x:v>
      </x:c>
      <x:c r="C2197" s="24" t="str">
        <x:v>Progressiva</x:v>
      </x:c>
      <x:c r="D2197" s="24" t="str">
        <x:v>Surfaçada</x:v>
      </x:c>
      <x:c r="E2197" s="24" t="str">
        <x:v>ClearMind Pure</x:v>
      </x:c>
      <x:c r="F2197" s="24" t="str">
        <x:v>Polarizada</x:v>
      </x:c>
      <x:c r="G2197" s="24" t="str">
        <x:v>1.5</x:v>
      </x:c>
      <x:c r="H2197" s="24" t="str">
        <x:v>1.50</x:v>
      </x:c>
      <x:c r="I2197" s="24" t="str">
        <x:v>DuraVision Platinum UV</x:v>
      </x:c>
      <x:c r="J2197" s="40" t="n">
        <x:v>6612</x:v>
      </x:c>
      <x:c r="K2197" s="24" t="str">
        <x:v>-6.00 a +6.00</x:v>
      </x:c>
      <x:c r="L2197" s="24" t="str">
        <x:v>-4.00</x:v>
      </x:c>
      <x:c r="M2197" s="24" t="str">
        <x:v>0.75 a 3.50</x:v>
      </x:c>
      <x:c r="N2197" s="24" t="str">
        <x:v>70</x:v>
      </x:c>
      <x:c r="O2197" s="24"/>
      <x:c r="P2197" s="24"/>
      <x:c r="Q2197" s="24" t="str">
        <x:v>DISPONÍVEL</x:v>
      </x:c>
      <x:c r="R2197" s="24" t="str">
        <x:v>Programa de Parcerias ZEISS — categoria Experts</x:v>
      </x:c>
      <x:c r="S2197" s="24" t="n">
        <x:v>35</x:v>
      </x:c>
      <x:c r="T2197" s="24" t="str">
        <x:v>tabela_zeiss.pdf</x:v>
      </x:c>
      <x:c r="U2197" s="24" t="str">
        <x:v>ZEISS|Progressiva|Surfaçada|ClearMind Pure|Polarizada|1.5|1.50|DuraVision Platinum UV|-6.00 a +6.00|-4.00|0.75 a 3.50|70|||35</x:v>
      </x:c>
    </x:row>
    <x:row r="2198">
      <x:c r="A2198" s="24" t="str">
        <x:v>ZS-2008A16C4006</x:v>
      </x:c>
      <x:c r="B2198" s="24" t="str">
        <x:v>ZEISS</x:v>
      </x:c>
      <x:c r="C2198" s="24" t="str">
        <x:v>Progressiva</x:v>
      </x:c>
      <x:c r="D2198" s="24" t="str">
        <x:v>Surfaçada</x:v>
      </x:c>
      <x:c r="E2198" s="24" t="str">
        <x:v>ClearMind Pure</x:v>
      </x:c>
      <x:c r="F2198" s="24" t="str">
        <x:v>Polarizada</x:v>
      </x:c>
      <x:c r="G2198" s="24" t="str">
        <x:v>1.5</x:v>
      </x:c>
      <x:c r="H2198" s="24" t="str">
        <x:v>1.50</x:v>
      </x:c>
      <x:c r="I2198" s="24" t="str">
        <x:v>DuraVision Silver UV</x:v>
      </x:c>
      <x:c r="J2198" s="40" t="n">
        <x:v>6352</x:v>
      </x:c>
      <x:c r="K2198" s="24" t="str">
        <x:v>-6.00 a +6.00</x:v>
      </x:c>
      <x:c r="L2198" s="24" t="str">
        <x:v>-4.00</x:v>
      </x:c>
      <x:c r="M2198" s="24" t="str">
        <x:v>0.75 a 3.50</x:v>
      </x:c>
      <x:c r="N2198" s="24" t="str">
        <x:v>70</x:v>
      </x:c>
      <x:c r="O2198" s="24"/>
      <x:c r="P2198" s="24"/>
      <x:c r="Q2198" s="24" t="str">
        <x:v>DISPONÍVEL</x:v>
      </x:c>
      <x:c r="R2198" s="24" t="str">
        <x:v>Programa de Parcerias ZEISS — categoria Experts</x:v>
      </x:c>
      <x:c r="S2198" s="24" t="n">
        <x:v>35</x:v>
      </x:c>
      <x:c r="T2198" s="24" t="str">
        <x:v>tabela_zeiss.pdf</x:v>
      </x:c>
      <x:c r="U2198" s="24" t="str">
        <x:v>ZEISS|Progressiva|Surfaçada|ClearMind Pure|Polarizada|1.5|1.50|DuraVision Silver UV|-6.00 a +6.00|-4.00|0.75 a 3.50|70|||35</x:v>
      </x:c>
    </x:row>
    <x:row r="2199">
      <x:c r="A2199" s="24" t="str">
        <x:v>ZS-8E985875C438</x:v>
      </x:c>
      <x:c r="B2199" s="24" t="str">
        <x:v>ZEISS</x:v>
      </x:c>
      <x:c r="C2199" s="24" t="str">
        <x:v>Progressiva</x:v>
      </x:c>
      <x:c r="D2199" s="24" t="str">
        <x:v>Surfaçada</x:v>
      </x:c>
      <x:c r="E2199" s="24" t="str">
        <x:v>ClearMind Pure</x:v>
      </x:c>
      <x:c r="F2199" s="24" t="str">
        <x:v>Polarizada</x:v>
      </x:c>
      <x:c r="G2199" s="24" t="str">
        <x:v>1.5</x:v>
      </x:c>
      <x:c r="H2199" s="24" t="str">
        <x:v>1.50</x:v>
      </x:c>
      <x:c r="I2199" s="24" t="str">
        <x:v>DuraVision Chrome UV</x:v>
      </x:c>
      <x:c r="J2199" s="40" t="n">
        <x:v>5862</x:v>
      </x:c>
      <x:c r="K2199" s="24" t="str">
        <x:v>-6.00 a +6.00</x:v>
      </x:c>
      <x:c r="L2199" s="24" t="str">
        <x:v>-4.00</x:v>
      </x:c>
      <x:c r="M2199" s="24" t="str">
        <x:v>0.75 a 3.50</x:v>
      </x:c>
      <x:c r="N2199" s="24" t="str">
        <x:v>70</x:v>
      </x:c>
      <x:c r="O2199" s="24"/>
      <x:c r="P2199" s="24"/>
      <x:c r="Q2199" s="24" t="str">
        <x:v>DISPONÍVEL</x:v>
      </x:c>
      <x:c r="R2199" s="24" t="str">
        <x:v>Programa de Parcerias ZEISS — categoria Experts</x:v>
      </x:c>
      <x:c r="S2199" s="24" t="n">
        <x:v>35</x:v>
      </x:c>
      <x:c r="T2199" s="24" t="str">
        <x:v>tabela_zeiss.pdf</x:v>
      </x:c>
      <x:c r="U2199" s="24" t="str">
        <x:v>ZEISS|Progressiva|Surfaçada|ClearMind Pure|Polarizada|1.5|1.50|DuraVision Chrome UV|-6.00 a +6.00|-4.00|0.75 a 3.50|70|||35</x:v>
      </x:c>
    </x:row>
    <x:row r="2200">
      <x:c r="A2200" s="24" t="str">
        <x:v>ZS-49B98317182A</x:v>
      </x:c>
      <x:c r="B2200" s="24" t="str">
        <x:v>ZEISS</x:v>
      </x:c>
      <x:c r="C2200" s="24" t="str">
        <x:v>Progressiva</x:v>
      </x:c>
      <x:c r="D2200" s="24" t="str">
        <x:v>Surfaçada</x:v>
      </x:c>
      <x:c r="E2200" s="24" t="str">
        <x:v>ClearMind Pure</x:v>
      </x:c>
      <x:c r="F2200" s="24" t="str">
        <x:v>Polarizada</x:v>
      </x:c>
      <x:c r="G2200" s="24" t="str">
        <x:v>1.5</x:v>
      </x:c>
      <x:c r="H2200" s="24" t="str">
        <x:v>1.50</x:v>
      </x:c>
      <x:c r="I2200" s="24" t="str">
        <x:v>Sem AR</x:v>
      </x:c>
      <x:c r="J2200" s="40" t="n">
        <x:v>5462</x:v>
      </x:c>
      <x:c r="K2200" s="24" t="str">
        <x:v>-6.00 a +6.00</x:v>
      </x:c>
      <x:c r="L2200" s="24" t="str">
        <x:v>-4.00</x:v>
      </x:c>
      <x:c r="M2200" s="24" t="str">
        <x:v>0.75 a 3.50</x:v>
      </x:c>
      <x:c r="N2200" s="24" t="str">
        <x:v>70</x:v>
      </x:c>
      <x:c r="O2200" s="24"/>
      <x:c r="P2200" s="24"/>
      <x:c r="Q2200" s="24" t="str">
        <x:v>DISPONÍVEL</x:v>
      </x:c>
      <x:c r="R2200" s="24" t="str">
        <x:v>Programa de Parcerias ZEISS — categoria Experts</x:v>
      </x:c>
      <x:c r="S2200" s="24" t="n">
        <x:v>35</x:v>
      </x:c>
      <x:c r="T2200" s="24" t="str">
        <x:v>tabela_zeiss.pdf</x:v>
      </x:c>
      <x:c r="U2200" s="24" t="str">
        <x:v>ZEISS|Progressiva|Surfaçada|ClearMind Pure|Polarizada|1.5|1.50|Sem AR|-6.00 a +6.00|-4.00|0.75 a 3.50|70|||35</x:v>
      </x:c>
    </x:row>
    <x:row r="2201">
      <x:c r="A2201" s="24" t="str">
        <x:v>ZS-EA465108E1D1</x:v>
      </x:c>
      <x:c r="B2201" s="24" t="str">
        <x:v>ZEISS</x:v>
      </x:c>
      <x:c r="C2201" s="24" t="str">
        <x:v>Progressiva</x:v>
      </x:c>
      <x:c r="D2201" s="24" t="str">
        <x:v>Surfaçada</x:v>
      </x:c>
      <x:c r="E2201" s="24" t="str">
        <x:v>ClearMind Pure</x:v>
      </x:c>
      <x:c r="F2201" s="24" t="str">
        <x:v>Polarizada</x:v>
      </x:c>
      <x:c r="G2201" s="24" t="str">
        <x:v>1.6</x:v>
      </x:c>
      <x:c r="H2201" s="24" t="str">
        <x:v>1.60</x:v>
      </x:c>
      <x:c r="I2201" s="24" t="str">
        <x:v>DuraVision Gold UV</x:v>
      </x:c>
      <x:c r="J2201" s="40" t="n">
        <x:v>8002</x:v>
      </x:c>
      <x:c r="K2201" s="24" t="str">
        <x:v>-8.50 a +6.00</x:v>
      </x:c>
      <x:c r="L2201" s="24" t="str">
        <x:v>-4.00</x:v>
      </x:c>
      <x:c r="M2201" s="24" t="str">
        <x:v>0.75 a 3.50</x:v>
      </x:c>
      <x:c r="N2201" s="24" t="str">
        <x:v>70</x:v>
      </x:c>
      <x:c r="O2201" s="24"/>
      <x:c r="P2201" s="24"/>
      <x:c r="Q2201" s="24" t="str">
        <x:v>DISPONÍVEL</x:v>
      </x:c>
      <x:c r="R2201" s="24" t="str">
        <x:v>Programa de Parcerias ZEISS — categoria Experts</x:v>
      </x:c>
      <x:c r="S2201" s="24" t="n">
        <x:v>35</x:v>
      </x:c>
      <x:c r="T2201" s="24" t="str">
        <x:v>tabela_zeiss.pdf</x:v>
      </x:c>
      <x:c r="U2201" s="24" t="str">
        <x:v>ZEISS|Progressiva|Surfaçada|ClearMind Pure|Polarizada|1.6|1.60|DuraVision Gold UV|-8.50 a +6.00|-4.00|0.75 a 3.50|70|||35</x:v>
      </x:c>
    </x:row>
    <x:row r="2202">
      <x:c r="A2202" s="24" t="str">
        <x:v>ZS-ECA2ADD53A0B</x:v>
      </x:c>
      <x:c r="B2202" s="24" t="str">
        <x:v>ZEISS</x:v>
      </x:c>
      <x:c r="C2202" s="24" t="str">
        <x:v>Progressiva</x:v>
      </x:c>
      <x:c r="D2202" s="24" t="str">
        <x:v>Surfaçada</x:v>
      </x:c>
      <x:c r="E2202" s="24" t="str">
        <x:v>ClearMind Pure</x:v>
      </x:c>
      <x:c r="F2202" s="24" t="str">
        <x:v>Polarizada</x:v>
      </x:c>
      <x:c r="G2202" s="24" t="str">
        <x:v>1.6</x:v>
      </x:c>
      <x:c r="H2202" s="24" t="str">
        <x:v>1.60</x:v>
      </x:c>
      <x:c r="I2202" s="24" t="str">
        <x:v>DuraVision Platinum UV</x:v>
      </x:c>
      <x:c r="J2202" s="40" t="n">
        <x:v>7862</x:v>
      </x:c>
      <x:c r="K2202" s="24" t="str">
        <x:v>-8.50 a +6.00</x:v>
      </x:c>
      <x:c r="L2202" s="24" t="str">
        <x:v>-4.00</x:v>
      </x:c>
      <x:c r="M2202" s="24" t="str">
        <x:v>0.75 a 3.50</x:v>
      </x:c>
      <x:c r="N2202" s="24" t="str">
        <x:v>70</x:v>
      </x:c>
      <x:c r="O2202" s="24"/>
      <x:c r="P2202" s="24"/>
      <x:c r="Q2202" s="24" t="str">
        <x:v>DISPONÍVEL</x:v>
      </x:c>
      <x:c r="R2202" s="24" t="str">
        <x:v>Programa de Parcerias ZEISS — categoria Experts</x:v>
      </x:c>
      <x:c r="S2202" s="24" t="n">
        <x:v>35</x:v>
      </x:c>
      <x:c r="T2202" s="24" t="str">
        <x:v>tabela_zeiss.pdf</x:v>
      </x:c>
      <x:c r="U2202" s="24" t="str">
        <x:v>ZEISS|Progressiva|Surfaçada|ClearMind Pure|Polarizada|1.6|1.60|DuraVision Platinum UV|-8.50 a +6.00|-4.00|0.75 a 3.50|70|||35</x:v>
      </x:c>
    </x:row>
    <x:row r="2203">
      <x:c r="A2203" s="24" t="str">
        <x:v>ZS-3FE98AB6768B</x:v>
      </x:c>
      <x:c r="B2203" s="24" t="str">
        <x:v>ZEISS</x:v>
      </x:c>
      <x:c r="C2203" s="24" t="str">
        <x:v>Progressiva</x:v>
      </x:c>
      <x:c r="D2203" s="24" t="str">
        <x:v>Surfaçada</x:v>
      </x:c>
      <x:c r="E2203" s="24" t="str">
        <x:v>ClearMind Pure</x:v>
      </x:c>
      <x:c r="F2203" s="24" t="str">
        <x:v>Polarizada</x:v>
      </x:c>
      <x:c r="G2203" s="24" t="str">
        <x:v>1.6</x:v>
      </x:c>
      <x:c r="H2203" s="24" t="str">
        <x:v>1.60</x:v>
      </x:c>
      <x:c r="I2203" s="24" t="str">
        <x:v>DuraVision Silver UV</x:v>
      </x:c>
      <x:c r="J2203" s="40" t="n">
        <x:v>7602</x:v>
      </x:c>
      <x:c r="K2203" s="24" t="str">
        <x:v>-8.50 a +6.00</x:v>
      </x:c>
      <x:c r="L2203" s="24" t="str">
        <x:v>-4.00</x:v>
      </x:c>
      <x:c r="M2203" s="24" t="str">
        <x:v>0.75 a 3.50</x:v>
      </x:c>
      <x:c r="N2203" s="24" t="str">
        <x:v>70</x:v>
      </x:c>
      <x:c r="O2203" s="24"/>
      <x:c r="P2203" s="24"/>
      <x:c r="Q2203" s="24" t="str">
        <x:v>DISPONÍVEL</x:v>
      </x:c>
      <x:c r="R2203" s="24" t="str">
        <x:v>Programa de Parcerias ZEISS — categoria Experts</x:v>
      </x:c>
      <x:c r="S2203" s="24" t="n">
        <x:v>35</x:v>
      </x:c>
      <x:c r="T2203" s="24" t="str">
        <x:v>tabela_zeiss.pdf</x:v>
      </x:c>
      <x:c r="U2203" s="24" t="str">
        <x:v>ZEISS|Progressiva|Surfaçada|ClearMind Pure|Polarizada|1.6|1.60|DuraVision Silver UV|-8.50 a +6.00|-4.00|0.75 a 3.50|70|||35</x:v>
      </x:c>
    </x:row>
    <x:row r="2204">
      <x:c r="A2204" s="24" t="str">
        <x:v>ZS-F2EB407960A5</x:v>
      </x:c>
      <x:c r="B2204" s="24" t="str">
        <x:v>ZEISS</x:v>
      </x:c>
      <x:c r="C2204" s="24" t="str">
        <x:v>Progressiva</x:v>
      </x:c>
      <x:c r="D2204" s="24" t="str">
        <x:v>Surfaçada</x:v>
      </x:c>
      <x:c r="E2204" s="24" t="str">
        <x:v>ClearMind Pure</x:v>
      </x:c>
      <x:c r="F2204" s="24" t="str">
        <x:v>Polarizada</x:v>
      </x:c>
      <x:c r="G2204" s="24" t="str">
        <x:v>1.6</x:v>
      </x:c>
      <x:c r="H2204" s="24" t="str">
        <x:v>1.60</x:v>
      </x:c>
      <x:c r="I2204" s="24" t="str">
        <x:v>DuraVision Chrome UV</x:v>
      </x:c>
      <x:c r="J2204" s="40" t="n">
        <x:v>7112</x:v>
      </x:c>
      <x:c r="K2204" s="24" t="str">
        <x:v>-8.50 a +6.00</x:v>
      </x:c>
      <x:c r="L2204" s="24" t="str">
        <x:v>-4.00</x:v>
      </x:c>
      <x:c r="M2204" s="24" t="str">
        <x:v>0.75 a 3.50</x:v>
      </x:c>
      <x:c r="N2204" s="24" t="str">
        <x:v>70</x:v>
      </x:c>
      <x:c r="O2204" s="24"/>
      <x:c r="P2204" s="24"/>
      <x:c r="Q2204" s="24" t="str">
        <x:v>DISPONÍVEL</x:v>
      </x:c>
      <x:c r="R2204" s="24" t="str">
        <x:v>Programa de Parcerias ZEISS — categoria Experts</x:v>
      </x:c>
      <x:c r="S2204" s="24" t="n">
        <x:v>35</x:v>
      </x:c>
      <x:c r="T2204" s="24" t="str">
        <x:v>tabela_zeiss.pdf</x:v>
      </x:c>
      <x:c r="U2204" s="24" t="str">
        <x:v>ZEISS|Progressiva|Surfaçada|ClearMind Pure|Polarizada|1.6|1.60|DuraVision Chrome UV|-8.50 a +6.00|-4.00|0.75 a 3.50|70|||35</x:v>
      </x:c>
    </x:row>
    <x:row r="2205">
      <x:c r="A2205" s="24" t="str">
        <x:v>ZS-2345B5EA1CC3</x:v>
      </x:c>
      <x:c r="B2205" s="24" t="str">
        <x:v>ZEISS</x:v>
      </x:c>
      <x:c r="C2205" s="24" t="str">
        <x:v>Progressiva</x:v>
      </x:c>
      <x:c r="D2205" s="24" t="str">
        <x:v>Surfaçada</x:v>
      </x:c>
      <x:c r="E2205" s="24" t="str">
        <x:v>ClearMind Pure</x:v>
      </x:c>
      <x:c r="F2205" s="24" t="str">
        <x:v>Polarizada</x:v>
      </x:c>
      <x:c r="G2205" s="24" t="str">
        <x:v>1.6</x:v>
      </x:c>
      <x:c r="H2205" s="24" t="str">
        <x:v>1.60</x:v>
      </x:c>
      <x:c r="I2205" s="24" t="str">
        <x:v>Sem AR</x:v>
      </x:c>
      <x:c r="J2205" s="40" t="n">
        <x:v>6712</x:v>
      </x:c>
      <x:c r="K2205" s="24" t="str">
        <x:v>-8.50 a +6.00</x:v>
      </x:c>
      <x:c r="L2205" s="24" t="str">
        <x:v>-4.00</x:v>
      </x:c>
      <x:c r="M2205" s="24" t="str">
        <x:v>0.75 a 3.50</x:v>
      </x:c>
      <x:c r="N2205" s="24" t="str">
        <x:v>70</x:v>
      </x:c>
      <x:c r="O2205" s="24"/>
      <x:c r="P2205" s="24"/>
      <x:c r="Q2205" s="24" t="str">
        <x:v>DISPONÍVEL</x:v>
      </x:c>
      <x:c r="R2205" s="24" t="str">
        <x:v>Programa de Parcerias ZEISS — categoria Experts</x:v>
      </x:c>
      <x:c r="S2205" s="24" t="n">
        <x:v>35</x:v>
      </x:c>
      <x:c r="T2205" s="24" t="str">
        <x:v>tabela_zeiss.pdf</x:v>
      </x:c>
      <x:c r="U2205" s="24" t="str">
        <x:v>ZEISS|Progressiva|Surfaçada|ClearMind Pure|Polarizada|1.6|1.60|Sem AR|-8.50 a +6.00|-4.00|0.75 a 3.50|70|||35</x:v>
      </x:c>
    </x:row>
    <x:row r="2206">
      <x:c r="A2206" s="24" t="str">
        <x:v>ZS-72D5841D36BE</x:v>
      </x:c>
      <x:c r="B2206" s="24" t="str">
        <x:v>ZEISS</x:v>
      </x:c>
      <x:c r="C2206" s="24" t="str">
        <x:v>Progressiva</x:v>
      </x:c>
      <x:c r="D2206" s="24" t="str">
        <x:v>Surfaçada</x:v>
      </x:c>
      <x:c r="E2206" s="24" t="str">
        <x:v>SmartLife Individual 3</x:v>
      </x:c>
      <x:c r="F2206" s="24"/>
      <x:c r="G2206" s="24" t="str">
        <x:v>1.5</x:v>
      </x:c>
      <x:c r="H2206" s="24" t="str">
        <x:v>1.50</x:v>
      </x:c>
      <x:c r="I2206" s="24" t="str">
        <x:v>DuraVision Gold UV</x:v>
      </x:c>
      <x:c r="J2206" s="40" t="n">
        <x:v>10989</x:v>
      </x:c>
      <x:c r="K2206" s="24" t="str">
        <x:v>-6.00 a +4.00</x:v>
      </x:c>
      <x:c r="L2206" s="24" t="str">
        <x:v>-4.00</x:v>
      </x:c>
      <x:c r="M2206" s="24" t="str">
        <x:v>0.75 a 3.50</x:v>
      </x:c>
      <x:c r="N2206" s="24" t="str">
        <x:v>75</x:v>
      </x:c>
      <x:c r="O2206" s="24"/>
      <x:c r="P2206" s="24"/>
      <x:c r="Q2206" s="24" t="str">
        <x:v>DISPONÍVEL</x:v>
      </x:c>
      <x:c r="R2206" s="24"/>
      <x:c r="S2206" s="24" t="n">
        <x:v>37</x:v>
      </x:c>
      <x:c r="T2206" s="24" t="str">
        <x:v>tabela_zeiss.pdf</x:v>
      </x:c>
      <x:c r="U2206" s="24" t="str">
        <x:v>ZEISS|Progressiva|Surfaçada|SmartLife Individual 3||1.5|1.50|DuraVision Gold UV|-6.00 a +4.00|-4.00|0.75 a 3.50|75|||37</x:v>
      </x:c>
    </x:row>
    <x:row r="2207">
      <x:c r="A2207" s="24" t="str">
        <x:v>ZS-A2FC5717EC69</x:v>
      </x:c>
      <x:c r="B2207" s="24" t="str">
        <x:v>ZEISS</x:v>
      </x:c>
      <x:c r="C2207" s="24" t="str">
        <x:v>Progressiva</x:v>
      </x:c>
      <x:c r="D2207" s="24" t="str">
        <x:v>Surfaçada</x:v>
      </x:c>
      <x:c r="E2207" s="24" t="str">
        <x:v>SmartLife Individual 3</x:v>
      </x:c>
      <x:c r="F2207" s="24"/>
      <x:c r="G2207" s="24" t="str">
        <x:v>1.5</x:v>
      </x:c>
      <x:c r="H2207" s="24" t="str">
        <x:v>1.50</x:v>
      </x:c>
      <x:c r="I2207" s="24" t="str">
        <x:v>DURAVISION® ANTIVÍRUS PLATINUM UV</x:v>
      </x:c>
      <x:c r="J2207" s="40" t="n">
        <x:v>10849</x:v>
      </x:c>
      <x:c r="K2207" s="24" t="str">
        <x:v>-6.00 a +4.00</x:v>
      </x:c>
      <x:c r="L2207" s="24" t="str">
        <x:v>-4.00</x:v>
      </x:c>
      <x:c r="M2207" s="24" t="str">
        <x:v>0.75 a 3.50</x:v>
      </x:c>
      <x:c r="N2207" s="24" t="str">
        <x:v>75</x:v>
      </x:c>
      <x:c r="O2207" s="24"/>
      <x:c r="P2207" s="24"/>
      <x:c r="Q2207" s="24" t="str">
        <x:v>DISPONÍVEL</x:v>
      </x:c>
      <x:c r="R2207" s="24"/>
      <x:c r="S2207" s="24" t="n">
        <x:v>37</x:v>
      </x:c>
      <x:c r="T2207" s="24" t="str">
        <x:v>tabela_zeiss.pdf</x:v>
      </x:c>
      <x:c r="U2207" s="24" t="str">
        <x:v>ZEISS|Progressiva|Surfaçada|SmartLife Individual 3||1.5|1.50|DURAVISION® ANTIVÍRUS PLATINUM UV|-6.00 a +4.00|-4.00|0.75 a 3.50|75|||37</x:v>
      </x:c>
    </x:row>
    <x:row r="2208">
      <x:c r="A2208" s="24" t="str">
        <x:v>ZS-48CA5574646E</x:v>
      </x:c>
      <x:c r="B2208" s="24" t="str">
        <x:v>ZEISS</x:v>
      </x:c>
      <x:c r="C2208" s="24" t="str">
        <x:v>Progressiva</x:v>
      </x:c>
      <x:c r="D2208" s="24" t="str">
        <x:v>Surfaçada</x:v>
      </x:c>
      <x:c r="E2208" s="24" t="str">
        <x:v>SmartLife Individual 3</x:v>
      </x:c>
      <x:c r="F2208" s="24"/>
      <x:c r="G2208" s="24" t="str">
        <x:v>1.5</x:v>
      </x:c>
      <x:c r="H2208" s="24" t="str">
        <x:v>1.50</x:v>
      </x:c>
      <x:c r="I2208" s="24" t="str">
        <x:v>DuraVision Platinum UV</x:v>
      </x:c>
      <x:c r="J2208" s="40" t="n">
        <x:v>10849</x:v>
      </x:c>
      <x:c r="K2208" s="24" t="str">
        <x:v>-6.00 a +4.00</x:v>
      </x:c>
      <x:c r="L2208" s="24" t="str">
        <x:v>-4.00</x:v>
      </x:c>
      <x:c r="M2208" s="24" t="str">
        <x:v>0.75 a 3.50</x:v>
      </x:c>
      <x:c r="N2208" s="24" t="str">
        <x:v>75</x:v>
      </x:c>
      <x:c r="O2208" s="24"/>
      <x:c r="P2208" s="24"/>
      <x:c r="Q2208" s="24" t="str">
        <x:v>DISPONÍVEL</x:v>
      </x:c>
      <x:c r="R2208" s="24"/>
      <x:c r="S2208" s="24" t="n">
        <x:v>37</x:v>
      </x:c>
      <x:c r="T2208" s="24" t="str">
        <x:v>tabela_zeiss.pdf</x:v>
      </x:c>
      <x:c r="U2208" s="24" t="str">
        <x:v>ZEISS|Progressiva|Surfaçada|SmartLife Individual 3||1.5|1.50|DuraVision Platinum UV|-6.00 a +4.00|-4.00|0.75 a 3.50|75|||37</x:v>
      </x:c>
    </x:row>
    <x:row r="2209">
      <x:c r="A2209" s="24" t="str">
        <x:v>ZS-0AE3AD14D378</x:v>
      </x:c>
      <x:c r="B2209" s="24" t="str">
        <x:v>ZEISS</x:v>
      </x:c>
      <x:c r="C2209" s="24" t="str">
        <x:v>Progressiva</x:v>
      </x:c>
      <x:c r="D2209" s="24" t="str">
        <x:v>Surfaçada</x:v>
      </x:c>
      <x:c r="E2209" s="24" t="str">
        <x:v>SmartLife Individual 3</x:v>
      </x:c>
      <x:c r="F2209" s="24"/>
      <x:c r="G2209" s="24" t="str">
        <x:v>1.5</x:v>
      </x:c>
      <x:c r="H2209" s="24" t="str">
        <x:v>1.50</x:v>
      </x:c>
      <x:c r="I2209" s="24" t="str">
        <x:v>DuraVision Silver UV</x:v>
      </x:c>
      <x:c r="J2209" s="40" t="n">
        <x:v>10589</x:v>
      </x:c>
      <x:c r="K2209" s="24" t="str">
        <x:v>-6.00 a +4.00</x:v>
      </x:c>
      <x:c r="L2209" s="24" t="str">
        <x:v>-4.00</x:v>
      </x:c>
      <x:c r="M2209" s="24" t="str">
        <x:v>0.75 a 3.50</x:v>
      </x:c>
      <x:c r="N2209" s="24" t="str">
        <x:v>75</x:v>
      </x:c>
      <x:c r="O2209" s="24"/>
      <x:c r="P2209" s="24"/>
      <x:c r="Q2209" s="24" t="str">
        <x:v>DISPONÍVEL</x:v>
      </x:c>
      <x:c r="R2209" s="24"/>
      <x:c r="S2209" s="24" t="n">
        <x:v>37</x:v>
      </x:c>
      <x:c r="T2209" s="24" t="str">
        <x:v>tabela_zeiss.pdf</x:v>
      </x:c>
      <x:c r="U2209" s="24" t="str">
        <x:v>ZEISS|Progressiva|Surfaçada|SmartLife Individual 3||1.5|1.50|DuraVision Silver UV|-6.00 a +4.00|-4.00|0.75 a 3.50|75|||37</x:v>
      </x:c>
    </x:row>
    <x:row r="2210">
      <x:c r="A2210" s="24" t="str">
        <x:v>ZS-1EACC9D2DCA9</x:v>
      </x:c>
      <x:c r="B2210" s="24" t="str">
        <x:v>ZEISS</x:v>
      </x:c>
      <x:c r="C2210" s="24" t="str">
        <x:v>Progressiva</x:v>
      </x:c>
      <x:c r="D2210" s="24" t="str">
        <x:v>Surfaçada</x:v>
      </x:c>
      <x:c r="E2210" s="24" t="str">
        <x:v>SmartLife Individual 3</x:v>
      </x:c>
      <x:c r="F2210" s="24"/>
      <x:c r="G2210" s="24" t="str">
        <x:v>1.5</x:v>
      </x:c>
      <x:c r="H2210" s="24" t="str">
        <x:v>1.50</x:v>
      </x:c>
      <x:c r="I2210" s="24" t="str">
        <x:v>DuraVision Chrome UV</x:v>
      </x:c>
      <x:c r="J2210" s="40" t="n">
        <x:v>10099</x:v>
      </x:c>
      <x:c r="K2210" s="24" t="str">
        <x:v>-6.00 a +4.00</x:v>
      </x:c>
      <x:c r="L2210" s="24" t="str">
        <x:v>-4.00</x:v>
      </x:c>
      <x:c r="M2210" s="24" t="str">
        <x:v>0.75 a 3.50</x:v>
      </x:c>
      <x:c r="N2210" s="24" t="str">
        <x:v>75</x:v>
      </x:c>
      <x:c r="O2210" s="24"/>
      <x:c r="P2210" s="24"/>
      <x:c r="Q2210" s="24" t="str">
        <x:v>DISPONÍVEL</x:v>
      </x:c>
      <x:c r="R2210" s="24"/>
      <x:c r="S2210" s="24" t="n">
        <x:v>37</x:v>
      </x:c>
      <x:c r="T2210" s="24" t="str">
        <x:v>tabela_zeiss.pdf</x:v>
      </x:c>
      <x:c r="U2210" s="24" t="str">
        <x:v>ZEISS|Progressiva|Surfaçada|SmartLife Individual 3||1.5|1.50|DuraVision Chrome UV|-6.00 a +4.00|-4.00|0.75 a 3.50|75|||37</x:v>
      </x:c>
    </x:row>
    <x:row r="2211">
      <x:c r="A2211" s="24" t="str">
        <x:v>ZS-6AB67AA82C4E</x:v>
      </x:c>
      <x:c r="B2211" s="24" t="str">
        <x:v>ZEISS</x:v>
      </x:c>
      <x:c r="C2211" s="24" t="str">
        <x:v>Progressiva</x:v>
      </x:c>
      <x:c r="D2211" s="24" t="str">
        <x:v>Surfaçada</x:v>
      </x:c>
      <x:c r="E2211" s="24" t="str">
        <x:v>SmartLife Individual 3</x:v>
      </x:c>
      <x:c r="F2211" s="24"/>
      <x:c r="G2211" s="24" t="str">
        <x:v>Poli</x:v>
      </x:c>
      <x:c r="H2211" s="24"/>
      <x:c r="I2211" s="24" t="str">
        <x:v>DuraVision Gold UV</x:v>
      </x:c>
      <x:c r="J2211" s="40" t="n">
        <x:v>11579</x:v>
      </x:c>
      <x:c r="K2211" s="24" t="str">
        <x:v>-10.00 a +6.00</x:v>
      </x:c>
      <x:c r="L2211" s="24" t="str">
        <x:v>-6.00</x:v>
      </x:c>
      <x:c r="M2211" s="24" t="str">
        <x:v>0.75 a 3.00</x:v>
      </x:c>
      <x:c r="N2211" s="24" t="str">
        <x:v>70</x:v>
      </x:c>
      <x:c r="O2211" s="24"/>
      <x:c r="P2211" s="24"/>
      <x:c r="Q2211" s="24" t="str">
        <x:v>DISPONÍVEL</x:v>
      </x:c>
      <x:c r="R2211" s="24"/>
      <x:c r="S2211" s="24" t="n">
        <x:v>37</x:v>
      </x:c>
      <x:c r="T2211" s="24" t="str">
        <x:v>tabela_zeiss.pdf</x:v>
      </x:c>
      <x:c r="U2211" s="24" t="str">
        <x:v>ZEISS|Progressiva|Surfaçada|SmartLife Individual 3||Poli||DuraVision Gold UV|-10.00 a +6.00|-6.00|0.75 a 3.00|70|||37</x:v>
      </x:c>
    </x:row>
    <x:row r="2212">
      <x:c r="A2212" s="24" t="str">
        <x:v>ZS-E440B50537A5</x:v>
      </x:c>
      <x:c r="B2212" s="24" t="str">
        <x:v>ZEISS</x:v>
      </x:c>
      <x:c r="C2212" s="24" t="str">
        <x:v>Progressiva</x:v>
      </x:c>
      <x:c r="D2212" s="24" t="str">
        <x:v>Surfaçada</x:v>
      </x:c>
      <x:c r="E2212" s="24" t="str">
        <x:v>SmartLife Individual 3</x:v>
      </x:c>
      <x:c r="F2212" s="24"/>
      <x:c r="G2212" s="24" t="str">
        <x:v>Poli</x:v>
      </x:c>
      <x:c r="H2212" s="24"/>
      <x:c r="I2212" s="24" t="str">
        <x:v>DuraVision Platinum UV</x:v>
      </x:c>
      <x:c r="J2212" s="40" t="n">
        <x:v>11439</x:v>
      </x:c>
      <x:c r="K2212" s="24" t="str">
        <x:v>-10.00 a +6.00</x:v>
      </x:c>
      <x:c r="L2212" s="24" t="str">
        <x:v>-6.00</x:v>
      </x:c>
      <x:c r="M2212" s="24" t="str">
        <x:v>0.75 a 3.00</x:v>
      </x:c>
      <x:c r="N2212" s="24" t="str">
        <x:v>70</x:v>
      </x:c>
      <x:c r="O2212" s="24"/>
      <x:c r="P2212" s="24"/>
      <x:c r="Q2212" s="24" t="str">
        <x:v>DISPONÍVEL</x:v>
      </x:c>
      <x:c r="R2212" s="24"/>
      <x:c r="S2212" s="24" t="n">
        <x:v>37</x:v>
      </x:c>
      <x:c r="T2212" s="24" t="str">
        <x:v>tabela_zeiss.pdf</x:v>
      </x:c>
      <x:c r="U2212" s="24" t="str">
        <x:v>ZEISS|Progressiva|Surfaçada|SmartLife Individual 3||Poli||DuraVision Platinum UV|-10.00 a +6.00|-6.00|0.75 a 3.00|70|||37</x:v>
      </x:c>
    </x:row>
    <x:row r="2213">
      <x:c r="A2213" s="24" t="str">
        <x:v>ZS-3CD37A2389DB</x:v>
      </x:c>
      <x:c r="B2213" s="24" t="str">
        <x:v>ZEISS</x:v>
      </x:c>
      <x:c r="C2213" s="24" t="str">
        <x:v>Progressiva</x:v>
      </x:c>
      <x:c r="D2213" s="24" t="str">
        <x:v>Surfaçada</x:v>
      </x:c>
      <x:c r="E2213" s="24" t="str">
        <x:v>SmartLife Individual 3</x:v>
      </x:c>
      <x:c r="F2213" s="24"/>
      <x:c r="G2213" s="24" t="str">
        <x:v>Poli</x:v>
      </x:c>
      <x:c r="H2213" s="24"/>
      <x:c r="I2213" s="24" t="str">
        <x:v>DuraVision Silver UV</x:v>
      </x:c>
      <x:c r="J2213" s="40" t="n">
        <x:v>11179</x:v>
      </x:c>
      <x:c r="K2213" s="24" t="str">
        <x:v>-10.00 a +6.00</x:v>
      </x:c>
      <x:c r="L2213" s="24" t="str">
        <x:v>-6.00</x:v>
      </x:c>
      <x:c r="M2213" s="24" t="str">
        <x:v>0.75 a 3.00</x:v>
      </x:c>
      <x:c r="N2213" s="24" t="str">
        <x:v>70</x:v>
      </x:c>
      <x:c r="O2213" s="24"/>
      <x:c r="P2213" s="24"/>
      <x:c r="Q2213" s="24" t="str">
        <x:v>DISPONÍVEL</x:v>
      </x:c>
      <x:c r="R2213" s="24"/>
      <x:c r="S2213" s="24" t="n">
        <x:v>37</x:v>
      </x:c>
      <x:c r="T2213" s="24" t="str">
        <x:v>tabela_zeiss.pdf</x:v>
      </x:c>
      <x:c r="U2213" s="24" t="str">
        <x:v>ZEISS|Progressiva|Surfaçada|SmartLife Individual 3||Poli||DuraVision Silver UV|-10.00 a +6.00|-6.00|0.75 a 3.00|70|||37</x:v>
      </x:c>
    </x:row>
    <x:row r="2214">
      <x:c r="A2214" s="24" t="str">
        <x:v>ZS-B7B75A3CD91B</x:v>
      </x:c>
      <x:c r="B2214" s="24" t="str">
        <x:v>ZEISS</x:v>
      </x:c>
      <x:c r="C2214" s="24" t="str">
        <x:v>Progressiva</x:v>
      </x:c>
      <x:c r="D2214" s="24" t="str">
        <x:v>Surfaçada</x:v>
      </x:c>
      <x:c r="E2214" s="24" t="str">
        <x:v>SmartLife Individual 3</x:v>
      </x:c>
      <x:c r="F2214" s="24"/>
      <x:c r="G2214" s="24" t="str">
        <x:v>Poli</x:v>
      </x:c>
      <x:c r="H2214" s="24"/>
      <x:c r="I2214" s="24" t="str">
        <x:v>DuraVision Chrome UV</x:v>
      </x:c>
      <x:c r="J2214" s="40" t="n">
        <x:v>10689</x:v>
      </x:c>
      <x:c r="K2214" s="24" t="str">
        <x:v>-10.00 a +6.00</x:v>
      </x:c>
      <x:c r="L2214" s="24" t="str">
        <x:v>-6.00</x:v>
      </x:c>
      <x:c r="M2214" s="24" t="str">
        <x:v>0.75 a 3.00</x:v>
      </x:c>
      <x:c r="N2214" s="24" t="str">
        <x:v>70</x:v>
      </x:c>
      <x:c r="O2214" s="24"/>
      <x:c r="P2214" s="24"/>
      <x:c r="Q2214" s="24" t="str">
        <x:v>DISPONÍVEL</x:v>
      </x:c>
      <x:c r="R2214" s="24"/>
      <x:c r="S2214" s="24" t="n">
        <x:v>37</x:v>
      </x:c>
      <x:c r="T2214" s="24" t="str">
        <x:v>tabela_zeiss.pdf</x:v>
      </x:c>
      <x:c r="U2214" s="24" t="str">
        <x:v>ZEISS|Progressiva|Surfaçada|SmartLife Individual 3||Poli||DuraVision Chrome UV|-10.00 a +6.00|-6.00|0.75 a 3.00|70|||37</x:v>
      </x:c>
    </x:row>
    <x:row r="2215">
      <x:c r="A2215" s="24" t="str">
        <x:v>ZS-818B5C6AEA7A</x:v>
      </x:c>
      <x:c r="B2215" s="24" t="str">
        <x:v>ZEISS</x:v>
      </x:c>
      <x:c r="C2215" s="24" t="str">
        <x:v>Progressiva</x:v>
      </x:c>
      <x:c r="D2215" s="24" t="str">
        <x:v>Surfaçada</x:v>
      </x:c>
      <x:c r="E2215" s="24" t="str">
        <x:v>SmartLife Individual 3</x:v>
      </x:c>
      <x:c r="F2215" s="24"/>
      <x:c r="G2215" s="24" t="str">
        <x:v>1.6</x:v>
      </x:c>
      <x:c r="H2215" s="24" t="str">
        <x:v>1.60</x:v>
      </x:c>
      <x:c r="I2215" s="24" t="str">
        <x:v>DuraVision Gold UV</x:v>
      </x:c>
      <x:c r="J2215" s="40" t="n">
        <x:v>12239</x:v>
      </x:c>
      <x:c r="K2215" s="24" t="str">
        <x:v>-7.25 a +6.00</x:v>
      </x:c>
      <x:c r="L2215" s="24" t="str">
        <x:v>-6.00</x:v>
      </x:c>
      <x:c r="M2215" s="24" t="str">
        <x:v>0.75 a 3.50</x:v>
      </x:c>
      <x:c r="N2215" s="24" t="str">
        <x:v>75</x:v>
      </x:c>
      <x:c r="O2215" s="24"/>
      <x:c r="P2215" s="24"/>
      <x:c r="Q2215" s="24" t="str">
        <x:v>DISPONÍVEL</x:v>
      </x:c>
      <x:c r="R2215" s="24"/>
      <x:c r="S2215" s="24" t="n">
        <x:v>37</x:v>
      </x:c>
      <x:c r="T2215" s="24" t="str">
        <x:v>tabela_zeiss.pdf</x:v>
      </x:c>
      <x:c r="U2215" s="24" t="str">
        <x:v>ZEISS|Progressiva|Surfaçada|SmartLife Individual 3||1.6|1.60|DuraVision Gold UV|-7.25 a +6.00|-6.00|0.75 a 3.50|75|||37</x:v>
      </x:c>
    </x:row>
    <x:row r="2216">
      <x:c r="A2216" s="24" t="str">
        <x:v>ZS-59B9B0BBB84D</x:v>
      </x:c>
      <x:c r="B2216" s="24" t="str">
        <x:v>ZEISS</x:v>
      </x:c>
      <x:c r="C2216" s="24" t="str">
        <x:v>Progressiva</x:v>
      </x:c>
      <x:c r="D2216" s="24" t="str">
        <x:v>Surfaçada</x:v>
      </x:c>
      <x:c r="E2216" s="24" t="str">
        <x:v>SmartLife Individual 3</x:v>
      </x:c>
      <x:c r="F2216" s="24"/>
      <x:c r="G2216" s="24" t="str">
        <x:v>1.6</x:v>
      </x:c>
      <x:c r="H2216" s="24" t="str">
        <x:v>1.60</x:v>
      </x:c>
      <x:c r="I2216" s="24" t="str">
        <x:v>DURAVISION® ANTIVÍRUS PLATINUM UV</x:v>
      </x:c>
      <x:c r="J2216" s="40" t="n">
        <x:v>12099</x:v>
      </x:c>
      <x:c r="K2216" s="24" t="str">
        <x:v>-7.25 a +6.00</x:v>
      </x:c>
      <x:c r="L2216" s="24" t="str">
        <x:v>-6.00</x:v>
      </x:c>
      <x:c r="M2216" s="24" t="str">
        <x:v>0.75 a 3.50</x:v>
      </x:c>
      <x:c r="N2216" s="24" t="str">
        <x:v>75</x:v>
      </x:c>
      <x:c r="O2216" s="24"/>
      <x:c r="P2216" s="24"/>
      <x:c r="Q2216" s="24" t="str">
        <x:v>DISPONÍVEL</x:v>
      </x:c>
      <x:c r="R2216" s="24"/>
      <x:c r="S2216" s="24" t="n">
        <x:v>37</x:v>
      </x:c>
      <x:c r="T2216" s="24" t="str">
        <x:v>tabela_zeiss.pdf</x:v>
      </x:c>
      <x:c r="U2216" s="24" t="str">
        <x:v>ZEISS|Progressiva|Surfaçada|SmartLife Individual 3||1.6|1.60|DURAVISION® ANTIVÍRUS PLATINUM UV|-7.25 a +6.00|-6.00|0.75 a 3.50|75|||37</x:v>
      </x:c>
    </x:row>
    <x:row r="2217">
      <x:c r="A2217" s="24" t="str">
        <x:v>ZS-B6D2B9900C48</x:v>
      </x:c>
      <x:c r="B2217" s="24" t="str">
        <x:v>ZEISS</x:v>
      </x:c>
      <x:c r="C2217" s="24" t="str">
        <x:v>Progressiva</x:v>
      </x:c>
      <x:c r="D2217" s="24" t="str">
        <x:v>Surfaçada</x:v>
      </x:c>
      <x:c r="E2217" s="24" t="str">
        <x:v>SmartLife Individual 3</x:v>
      </x:c>
      <x:c r="F2217" s="24"/>
      <x:c r="G2217" s="24" t="str">
        <x:v>1.6</x:v>
      </x:c>
      <x:c r="H2217" s="24" t="str">
        <x:v>1.60</x:v>
      </x:c>
      <x:c r="I2217" s="24" t="str">
        <x:v>DuraVision Platinum UV</x:v>
      </x:c>
      <x:c r="J2217" s="40" t="n">
        <x:v>12099</x:v>
      </x:c>
      <x:c r="K2217" s="24" t="str">
        <x:v>-7.25 a +6.00</x:v>
      </x:c>
      <x:c r="L2217" s="24" t="str">
        <x:v>-6.00</x:v>
      </x:c>
      <x:c r="M2217" s="24" t="str">
        <x:v>0.75 a 3.50</x:v>
      </x:c>
      <x:c r="N2217" s="24" t="str">
        <x:v>75</x:v>
      </x:c>
      <x:c r="O2217" s="24"/>
      <x:c r="P2217" s="24"/>
      <x:c r="Q2217" s="24" t="str">
        <x:v>DISPONÍVEL</x:v>
      </x:c>
      <x:c r="R2217" s="24"/>
      <x:c r="S2217" s="24" t="n">
        <x:v>37</x:v>
      </x:c>
      <x:c r="T2217" s="24" t="str">
        <x:v>tabela_zeiss.pdf</x:v>
      </x:c>
      <x:c r="U2217" s="24" t="str">
        <x:v>ZEISS|Progressiva|Surfaçada|SmartLife Individual 3||1.6|1.60|DuraVision Platinum UV|-7.25 a +6.00|-6.00|0.75 a 3.50|75|||37</x:v>
      </x:c>
    </x:row>
    <x:row r="2218">
      <x:c r="A2218" s="24" t="str">
        <x:v>ZS-87EAFC410AB9</x:v>
      </x:c>
      <x:c r="B2218" s="24" t="str">
        <x:v>ZEISS</x:v>
      </x:c>
      <x:c r="C2218" s="24" t="str">
        <x:v>Progressiva</x:v>
      </x:c>
      <x:c r="D2218" s="24" t="str">
        <x:v>Surfaçada</x:v>
      </x:c>
      <x:c r="E2218" s="24" t="str">
        <x:v>SmartLife Individual 3</x:v>
      </x:c>
      <x:c r="F2218" s="24"/>
      <x:c r="G2218" s="24" t="str">
        <x:v>1.6</x:v>
      </x:c>
      <x:c r="H2218" s="24" t="str">
        <x:v>1.60</x:v>
      </x:c>
      <x:c r="I2218" s="24" t="str">
        <x:v>DuraVision Silver UV</x:v>
      </x:c>
      <x:c r="J2218" s="40" t="n">
        <x:v>11839</x:v>
      </x:c>
      <x:c r="K2218" s="24" t="str">
        <x:v>-7.25 a +6.00</x:v>
      </x:c>
      <x:c r="L2218" s="24" t="str">
        <x:v>-6.00</x:v>
      </x:c>
      <x:c r="M2218" s="24" t="str">
        <x:v>0.75 a 3.50</x:v>
      </x:c>
      <x:c r="N2218" s="24" t="str">
        <x:v>75</x:v>
      </x:c>
      <x:c r="O2218" s="24"/>
      <x:c r="P2218" s="24"/>
      <x:c r="Q2218" s="24" t="str">
        <x:v>DISPONÍVEL</x:v>
      </x:c>
      <x:c r="R2218" s="24"/>
      <x:c r="S2218" s="24" t="n">
        <x:v>37</x:v>
      </x:c>
      <x:c r="T2218" s="24" t="str">
        <x:v>tabela_zeiss.pdf</x:v>
      </x:c>
      <x:c r="U2218" s="24" t="str">
        <x:v>ZEISS|Progressiva|Surfaçada|SmartLife Individual 3||1.6|1.60|DuraVision Silver UV|-7.25 a +6.00|-6.00|0.75 a 3.50|75|||37</x:v>
      </x:c>
    </x:row>
    <x:row r="2219">
      <x:c r="A2219" s="24" t="str">
        <x:v>ZS-2ACC6B684308</x:v>
      </x:c>
      <x:c r="B2219" s="24" t="str">
        <x:v>ZEISS</x:v>
      </x:c>
      <x:c r="C2219" s="24" t="str">
        <x:v>Progressiva</x:v>
      </x:c>
      <x:c r="D2219" s="24" t="str">
        <x:v>Surfaçada</x:v>
      </x:c>
      <x:c r="E2219" s="24" t="str">
        <x:v>SmartLife Individual 3</x:v>
      </x:c>
      <x:c r="F2219" s="24"/>
      <x:c r="G2219" s="24" t="str">
        <x:v>1.6</x:v>
      </x:c>
      <x:c r="H2219" s="24" t="str">
        <x:v>1.60</x:v>
      </x:c>
      <x:c r="I2219" s="24" t="str">
        <x:v>DuraVision Chrome UV</x:v>
      </x:c>
      <x:c r="J2219" s="40" t="n">
        <x:v>11349</x:v>
      </x:c>
      <x:c r="K2219" s="24" t="str">
        <x:v>-7.25 a +6.00</x:v>
      </x:c>
      <x:c r="L2219" s="24" t="str">
        <x:v>-6.00</x:v>
      </x:c>
      <x:c r="M2219" s="24" t="str">
        <x:v>0.75 a 3.50</x:v>
      </x:c>
      <x:c r="N2219" s="24" t="str">
        <x:v>75</x:v>
      </x:c>
      <x:c r="O2219" s="24"/>
      <x:c r="P2219" s="24"/>
      <x:c r="Q2219" s="24" t="str">
        <x:v>DISPONÍVEL</x:v>
      </x:c>
      <x:c r="R2219" s="24"/>
      <x:c r="S2219" s="24" t="n">
        <x:v>37</x:v>
      </x:c>
      <x:c r="T2219" s="24" t="str">
        <x:v>tabela_zeiss.pdf</x:v>
      </x:c>
      <x:c r="U2219" s="24" t="str">
        <x:v>ZEISS|Progressiva|Surfaçada|SmartLife Individual 3||1.6|1.60|DuraVision Chrome UV|-7.25 a +6.00|-6.00|0.75 a 3.50|75|||37</x:v>
      </x:c>
    </x:row>
    <x:row r="2220">
      <x:c r="A2220" s="24" t="str">
        <x:v>ZS-A9A5464911C1</x:v>
      </x:c>
      <x:c r="B2220" s="24" t="str">
        <x:v>ZEISS</x:v>
      </x:c>
      <x:c r="C2220" s="24" t="str">
        <x:v>Progressiva</x:v>
      </x:c>
      <x:c r="D2220" s="24" t="str">
        <x:v>Surfaçada</x:v>
      </x:c>
      <x:c r="E2220" s="24" t="str">
        <x:v>SmartLife Individual 3</x:v>
      </x:c>
      <x:c r="F2220" s="24"/>
      <x:c r="G2220" s="24" t="str">
        <x:v>1.67</x:v>
      </x:c>
      <x:c r="H2220" s="24" t="str">
        <x:v>1.67</x:v>
      </x:c>
      <x:c r="I2220" s="24" t="str">
        <x:v>DuraVision Gold UV</x:v>
      </x:c>
      <x:c r="J2220" s="40" t="n">
        <x:v>13879</x:v>
      </x:c>
      <x:c r="K2220" s="24" t="str">
        <x:v>-8.00 a +8.00</x:v>
      </x:c>
      <x:c r="L2220" s="24" t="str">
        <x:v>-6.00</x:v>
      </x:c>
      <x:c r="M2220" s="24" t="str">
        <x:v>0.75 a 3.00</x:v>
      </x:c>
      <x:c r="N2220" s="24" t="str">
        <x:v>70</x:v>
      </x:c>
      <x:c r="O2220" s="24"/>
      <x:c r="P2220" s="24"/>
      <x:c r="Q2220" s="24" t="str">
        <x:v>DISPONÍVEL</x:v>
      </x:c>
      <x:c r="R2220" s="24"/>
      <x:c r="S2220" s="24" t="n">
        <x:v>37</x:v>
      </x:c>
      <x:c r="T2220" s="24" t="str">
        <x:v>tabela_zeiss.pdf</x:v>
      </x:c>
      <x:c r="U2220" s="24" t="str">
        <x:v>ZEISS|Progressiva|Surfaçada|SmartLife Individual 3||1.67|1.67|DuraVision Gold UV|-8.00 a +8.00|-6.00|0.75 a 3.00|70|||37</x:v>
      </x:c>
    </x:row>
    <x:row r="2221">
      <x:c r="A2221" s="24" t="str">
        <x:v>ZS-090ECC7D4BFB</x:v>
      </x:c>
      <x:c r="B2221" s="24" t="str">
        <x:v>ZEISS</x:v>
      </x:c>
      <x:c r="C2221" s="24" t="str">
        <x:v>Progressiva</x:v>
      </x:c>
      <x:c r="D2221" s="24" t="str">
        <x:v>Surfaçada</x:v>
      </x:c>
      <x:c r="E2221" s="24" t="str">
        <x:v>SmartLife Individual 3</x:v>
      </x:c>
      <x:c r="F2221" s="24"/>
      <x:c r="G2221" s="24" t="str">
        <x:v>1.67</x:v>
      </x:c>
      <x:c r="H2221" s="24" t="str">
        <x:v>1.67</x:v>
      </x:c>
      <x:c r="I2221" s="24" t="str">
        <x:v>DURAVISION® ANTIVÍRUS PLATINUM UV</x:v>
      </x:c>
      <x:c r="J2221" s="40" t="n">
        <x:v>13739</x:v>
      </x:c>
      <x:c r="K2221" s="24" t="str">
        <x:v>-8.00 a +8.00</x:v>
      </x:c>
      <x:c r="L2221" s="24" t="str">
        <x:v>-6.00</x:v>
      </x:c>
      <x:c r="M2221" s="24" t="str">
        <x:v>0.75 a 3.00</x:v>
      </x:c>
      <x:c r="N2221" s="24" t="str">
        <x:v>70</x:v>
      </x:c>
      <x:c r="O2221" s="24"/>
      <x:c r="P2221" s="24"/>
      <x:c r="Q2221" s="24" t="str">
        <x:v>DISPONÍVEL</x:v>
      </x:c>
      <x:c r="R2221" s="24"/>
      <x:c r="S2221" s="24" t="n">
        <x:v>37</x:v>
      </x:c>
      <x:c r="T2221" s="24" t="str">
        <x:v>tabela_zeiss.pdf</x:v>
      </x:c>
      <x:c r="U2221" s="24" t="str">
        <x:v>ZEISS|Progressiva|Surfaçada|SmartLife Individual 3||1.67|1.67|DURAVISION® ANTIVÍRUS PLATINUM UV|-8.00 a +8.00|-6.00|0.75 a 3.00|70|||37</x:v>
      </x:c>
    </x:row>
    <x:row r="2222">
      <x:c r="A2222" s="24" t="str">
        <x:v>ZS-2DF009AC1845</x:v>
      </x:c>
      <x:c r="B2222" s="24" t="str">
        <x:v>ZEISS</x:v>
      </x:c>
      <x:c r="C2222" s="24" t="str">
        <x:v>Progressiva</x:v>
      </x:c>
      <x:c r="D2222" s="24" t="str">
        <x:v>Surfaçada</x:v>
      </x:c>
      <x:c r="E2222" s="24" t="str">
        <x:v>SmartLife Individual 3</x:v>
      </x:c>
      <x:c r="F2222" s="24"/>
      <x:c r="G2222" s="24" t="str">
        <x:v>1.67</x:v>
      </x:c>
      <x:c r="H2222" s="24" t="str">
        <x:v>1.67</x:v>
      </x:c>
      <x:c r="I2222" s="24" t="str">
        <x:v>DuraVision Platinum UV</x:v>
      </x:c>
      <x:c r="J2222" s="40" t="n">
        <x:v>13739</x:v>
      </x:c>
      <x:c r="K2222" s="24" t="str">
        <x:v>-8.00 a +8.00</x:v>
      </x:c>
      <x:c r="L2222" s="24" t="str">
        <x:v>-6.00</x:v>
      </x:c>
      <x:c r="M2222" s="24" t="str">
        <x:v>0.75 a 3.00</x:v>
      </x:c>
      <x:c r="N2222" s="24" t="str">
        <x:v>70</x:v>
      </x:c>
      <x:c r="O2222" s="24"/>
      <x:c r="P2222" s="24"/>
      <x:c r="Q2222" s="24" t="str">
        <x:v>DISPONÍVEL</x:v>
      </x:c>
      <x:c r="R2222" s="24"/>
      <x:c r="S2222" s="24" t="n">
        <x:v>37</x:v>
      </x:c>
      <x:c r="T2222" s="24" t="str">
        <x:v>tabela_zeiss.pdf</x:v>
      </x:c>
      <x:c r="U2222" s="24" t="str">
        <x:v>ZEISS|Progressiva|Surfaçada|SmartLife Individual 3||1.67|1.67|DuraVision Platinum UV|-8.00 a +8.00|-6.00|0.75 a 3.00|70|||37</x:v>
      </x:c>
    </x:row>
    <x:row r="2223">
      <x:c r="A2223" s="24" t="str">
        <x:v>ZS-5BA647271129</x:v>
      </x:c>
      <x:c r="B2223" s="24" t="str">
        <x:v>ZEISS</x:v>
      </x:c>
      <x:c r="C2223" s="24" t="str">
        <x:v>Progressiva</x:v>
      </x:c>
      <x:c r="D2223" s="24" t="str">
        <x:v>Surfaçada</x:v>
      </x:c>
      <x:c r="E2223" s="24" t="str">
        <x:v>SmartLife Individual 3</x:v>
      </x:c>
      <x:c r="F2223" s="24"/>
      <x:c r="G2223" s="24" t="str">
        <x:v>1.67</x:v>
      </x:c>
      <x:c r="H2223" s="24" t="str">
        <x:v>1.67</x:v>
      </x:c>
      <x:c r="I2223" s="24" t="str">
        <x:v>DuraVision Silver UV</x:v>
      </x:c>
      <x:c r="J2223" s="40" t="n">
        <x:v>13479</x:v>
      </x:c>
      <x:c r="K2223" s="24" t="str">
        <x:v>-8.00 a +8.00</x:v>
      </x:c>
      <x:c r="L2223" s="24" t="str">
        <x:v>-6.00</x:v>
      </x:c>
      <x:c r="M2223" s="24" t="str">
        <x:v>0.75 a 3.00</x:v>
      </x:c>
      <x:c r="N2223" s="24" t="str">
        <x:v>70</x:v>
      </x:c>
      <x:c r="O2223" s="24"/>
      <x:c r="P2223" s="24"/>
      <x:c r="Q2223" s="24" t="str">
        <x:v>DISPONÍVEL</x:v>
      </x:c>
      <x:c r="R2223" s="24"/>
      <x:c r="S2223" s="24" t="n">
        <x:v>37</x:v>
      </x:c>
      <x:c r="T2223" s="24" t="str">
        <x:v>tabela_zeiss.pdf</x:v>
      </x:c>
      <x:c r="U2223" s="24" t="str">
        <x:v>ZEISS|Progressiva|Surfaçada|SmartLife Individual 3||1.67|1.67|DuraVision Silver UV|-8.00 a +8.00|-6.00|0.75 a 3.00|70|||37</x:v>
      </x:c>
    </x:row>
    <x:row r="2224">
      <x:c r="A2224" s="24" t="str">
        <x:v>ZS-7C3D3DF38EFA</x:v>
      </x:c>
      <x:c r="B2224" s="24" t="str">
        <x:v>ZEISS</x:v>
      </x:c>
      <x:c r="C2224" s="24" t="str">
        <x:v>Progressiva</x:v>
      </x:c>
      <x:c r="D2224" s="24" t="str">
        <x:v>Surfaçada</x:v>
      </x:c>
      <x:c r="E2224" s="24" t="str">
        <x:v>SmartLife Individual 3</x:v>
      </x:c>
      <x:c r="F2224" s="24"/>
      <x:c r="G2224" s="24" t="str">
        <x:v>1.67</x:v>
      </x:c>
      <x:c r="H2224" s="24" t="str">
        <x:v>1.67</x:v>
      </x:c>
      <x:c r="I2224" s="24" t="str">
        <x:v>DuraVision Chrome UV</x:v>
      </x:c>
      <x:c r="J2224" s="40" t="n">
        <x:v>12989</x:v>
      </x:c>
      <x:c r="K2224" s="24" t="str">
        <x:v>-8.00 a +8.00</x:v>
      </x:c>
      <x:c r="L2224" s="24" t="str">
        <x:v>-6.00</x:v>
      </x:c>
      <x:c r="M2224" s="24" t="str">
        <x:v>0.75 a 3.00</x:v>
      </x:c>
      <x:c r="N2224" s="24" t="str">
        <x:v>70</x:v>
      </x:c>
      <x:c r="O2224" s="24"/>
      <x:c r="P2224" s="24"/>
      <x:c r="Q2224" s="24" t="str">
        <x:v>DISPONÍVEL</x:v>
      </x:c>
      <x:c r="R2224" s="24"/>
      <x:c r="S2224" s="24" t="n">
        <x:v>37</x:v>
      </x:c>
      <x:c r="T2224" s="24" t="str">
        <x:v>tabela_zeiss.pdf</x:v>
      </x:c>
      <x:c r="U2224" s="24" t="str">
        <x:v>ZEISS|Progressiva|Surfaçada|SmartLife Individual 3||1.67|1.67|DuraVision Chrome UV|-8.00 a +8.00|-6.00|0.75 a 3.00|70|||37</x:v>
      </x:c>
    </x:row>
    <x:row r="2225">
      <x:c r="A2225" s="24" t="str">
        <x:v>ZS-A434DB7C42A4</x:v>
      </x:c>
      <x:c r="B2225" s="24" t="str">
        <x:v>ZEISS</x:v>
      </x:c>
      <x:c r="C2225" s="24" t="str">
        <x:v>Progressiva</x:v>
      </x:c>
      <x:c r="D2225" s="24" t="str">
        <x:v>Surfaçada</x:v>
      </x:c>
      <x:c r="E2225" s="24" t="str">
        <x:v>SmartLife Individual 3</x:v>
      </x:c>
      <x:c r="F2225" s="24"/>
      <x:c r="G2225" s="24" t="str">
        <x:v>1.74</x:v>
      </x:c>
      <x:c r="H2225" s="24" t="str">
        <x:v>1.74</x:v>
      </x:c>
      <x:c r="I2225" s="24" t="str">
        <x:v>DuraVision Gold UV</x:v>
      </x:c>
      <x:c r="J2225" s="40" t="n">
        <x:v>15479</x:v>
      </x:c>
      <x:c r="K2225" s="24" t="str">
        <x:v>-10.00 a +7.00</x:v>
      </x:c>
      <x:c r="L2225" s="24" t="str">
        <x:v>-4.00</x:v>
      </x:c>
      <x:c r="M2225" s="24" t="str">
        <x:v>0.75 a 3.50</x:v>
      </x:c>
      <x:c r="N2225" s="24" t="str">
        <x:v>70 a 75</x:v>
      </x:c>
      <x:c r="O2225" s="24"/>
      <x:c r="P2225" s="24"/>
      <x:c r="Q2225" s="24" t="str">
        <x:v>DISPONÍVEL</x:v>
      </x:c>
      <x:c r="R2225" s="24"/>
      <x:c r="S2225" s="24" t="n">
        <x:v>37</x:v>
      </x:c>
      <x:c r="T2225" s="24" t="str">
        <x:v>tabela_zeiss.pdf</x:v>
      </x:c>
      <x:c r="U2225" s="24" t="str">
        <x:v>ZEISS|Progressiva|Surfaçada|SmartLife Individual 3||1.74|1.74|DuraVision Gold UV|-10.00 a +7.00|-4.00|0.75 a 3.50|70 a 75|||37</x:v>
      </x:c>
    </x:row>
    <x:row r="2226">
      <x:c r="A2226" s="24" t="str">
        <x:v>ZS-D7B1AEA59B09</x:v>
      </x:c>
      <x:c r="B2226" s="24" t="str">
        <x:v>ZEISS</x:v>
      </x:c>
      <x:c r="C2226" s="24" t="str">
        <x:v>Progressiva</x:v>
      </x:c>
      <x:c r="D2226" s="24" t="str">
        <x:v>Surfaçada</x:v>
      </x:c>
      <x:c r="E2226" s="24" t="str">
        <x:v>SmartLife Individual 3</x:v>
      </x:c>
      <x:c r="F2226" s="24"/>
      <x:c r="G2226" s="24" t="str">
        <x:v>1.74</x:v>
      </x:c>
      <x:c r="H2226" s="24" t="str">
        <x:v>1.74</x:v>
      </x:c>
      <x:c r="I2226" s="24" t="str">
        <x:v>DuraVision Platinum UV</x:v>
      </x:c>
      <x:c r="J2226" s="40" t="n">
        <x:v>15339</x:v>
      </x:c>
      <x:c r="K2226" s="24" t="str">
        <x:v>-10.00 a +7.00</x:v>
      </x:c>
      <x:c r="L2226" s="24" t="str">
        <x:v>-4.00</x:v>
      </x:c>
      <x:c r="M2226" s="24" t="str">
        <x:v>0.75 a 3.50</x:v>
      </x:c>
      <x:c r="N2226" s="24" t="str">
        <x:v>70 a 75</x:v>
      </x:c>
      <x:c r="O2226" s="24"/>
      <x:c r="P2226" s="24"/>
      <x:c r="Q2226" s="24" t="str">
        <x:v>DISPONÍVEL</x:v>
      </x:c>
      <x:c r="R2226" s="24"/>
      <x:c r="S2226" s="24" t="n">
        <x:v>37</x:v>
      </x:c>
      <x:c r="T2226" s="24" t="str">
        <x:v>tabela_zeiss.pdf</x:v>
      </x:c>
      <x:c r="U2226" s="24" t="str">
        <x:v>ZEISS|Progressiva|Surfaçada|SmartLife Individual 3||1.74|1.74|DuraVision Platinum UV|-10.00 a +7.00|-4.00|0.75 a 3.50|70 a 75|||37</x:v>
      </x:c>
    </x:row>
    <x:row r="2227">
      <x:c r="A2227" s="24" t="str">
        <x:v>ZS-CF7A576A9BCA</x:v>
      </x:c>
      <x:c r="B2227" s="24" t="str">
        <x:v>ZEISS</x:v>
      </x:c>
      <x:c r="C2227" s="24" t="str">
        <x:v>Progressiva</x:v>
      </x:c>
      <x:c r="D2227" s="24" t="str">
        <x:v>Surfaçada</x:v>
      </x:c>
      <x:c r="E2227" s="24" t="str">
        <x:v>SmartLife Individual 3</x:v>
      </x:c>
      <x:c r="F2227" s="24"/>
      <x:c r="G2227" s="24" t="str">
        <x:v>1.74</x:v>
      </x:c>
      <x:c r="H2227" s="24" t="str">
        <x:v>1.74</x:v>
      </x:c>
      <x:c r="I2227" s="24" t="str">
        <x:v>DuraVision Silver UV</x:v>
      </x:c>
      <x:c r="J2227" s="40" t="n">
        <x:v>15079</x:v>
      </x:c>
      <x:c r="K2227" s="24" t="str">
        <x:v>-10.00 a +7.00</x:v>
      </x:c>
      <x:c r="L2227" s="24" t="str">
        <x:v>-4.00</x:v>
      </x:c>
      <x:c r="M2227" s="24" t="str">
        <x:v>0.75 a 3.50</x:v>
      </x:c>
      <x:c r="N2227" s="24" t="str">
        <x:v>70 a 75</x:v>
      </x:c>
      <x:c r="O2227" s="24"/>
      <x:c r="P2227" s="24"/>
      <x:c r="Q2227" s="24" t="str">
        <x:v>DISPONÍVEL</x:v>
      </x:c>
      <x:c r="R2227" s="24"/>
      <x:c r="S2227" s="24" t="n">
        <x:v>37</x:v>
      </x:c>
      <x:c r="T2227" s="24" t="str">
        <x:v>tabela_zeiss.pdf</x:v>
      </x:c>
      <x:c r="U2227" s="24" t="str">
        <x:v>ZEISS|Progressiva|Surfaçada|SmartLife Individual 3||1.74|1.74|DuraVision Silver UV|-10.00 a +7.00|-4.00|0.75 a 3.50|70 a 75|||37</x:v>
      </x:c>
    </x:row>
    <x:row r="2228">
      <x:c r="A2228" s="24" t="str">
        <x:v>ZS-D0C357F82F6D</x:v>
      </x:c>
      <x:c r="B2228" s="24" t="str">
        <x:v>ZEISS</x:v>
      </x:c>
      <x:c r="C2228" s="24" t="str">
        <x:v>Progressiva</x:v>
      </x:c>
      <x:c r="D2228" s="24" t="str">
        <x:v>Surfaçada</x:v>
      </x:c>
      <x:c r="E2228" s="24" t="str">
        <x:v>SmartLife Individual 3</x:v>
      </x:c>
      <x:c r="F2228" s="24"/>
      <x:c r="G2228" s="24" t="str">
        <x:v>1.74</x:v>
      </x:c>
      <x:c r="H2228" s="24" t="str">
        <x:v>1.74</x:v>
      </x:c>
      <x:c r="I2228" s="24" t="str">
        <x:v>DuraVision Chrome UV</x:v>
      </x:c>
      <x:c r="J2228" s="40" t="n">
        <x:v>14589</x:v>
      </x:c>
      <x:c r="K2228" s="24" t="str">
        <x:v>-10.00 a +7.00</x:v>
      </x:c>
      <x:c r="L2228" s="24" t="str">
        <x:v>-4.00</x:v>
      </x:c>
      <x:c r="M2228" s="24" t="str">
        <x:v>0.75 a 3.50</x:v>
      </x:c>
      <x:c r="N2228" s="24" t="str">
        <x:v>70 a 75</x:v>
      </x:c>
      <x:c r="O2228" s="24"/>
      <x:c r="P2228" s="24"/>
      <x:c r="Q2228" s="24" t="str">
        <x:v>DISPONÍVEL</x:v>
      </x:c>
      <x:c r="R2228" s="24"/>
      <x:c r="S2228" s="24" t="n">
        <x:v>37</x:v>
      </x:c>
      <x:c r="T2228" s="24" t="str">
        <x:v>tabela_zeiss.pdf</x:v>
      </x:c>
      <x:c r="U2228" s="24" t="str">
        <x:v>ZEISS|Progressiva|Surfaçada|SmartLife Individual 3||1.74|1.74|DuraVision Chrome UV|-10.00 a +7.00|-4.00|0.75 a 3.50|70 a 75|||37</x:v>
      </x:c>
    </x:row>
    <x:row r="2229">
      <x:c r="A2229" s="24" t="str">
        <x:v>ZS-FA4C90E9A954</x:v>
      </x:c>
      <x:c r="B2229" s="24" t="str">
        <x:v>ZEISS</x:v>
      </x:c>
      <x:c r="C2229" s="24" t="str">
        <x:v>Progressiva</x:v>
      </x:c>
      <x:c r="D2229" s="24" t="str">
        <x:v>Surfaçada</x:v>
      </x:c>
      <x:c r="E2229" s="24" t="str">
        <x:v>SmartLife Individual 3</x:v>
      </x:c>
      <x:c r="F2229" s="24" t="str">
        <x:v>PhotoFusion X</x:v>
      </x:c>
      <x:c r="G2229" s="24" t="str">
        <x:v>1.5</x:v>
      </x:c>
      <x:c r="H2229" s="24" t="str">
        <x:v>1.50</x:v>
      </x:c>
      <x:c r="I2229" s="24" t="str">
        <x:v>DuraVision Gold UV</x:v>
      </x:c>
      <x:c r="J2229" s="40" t="n">
        <x:v>12409</x:v>
      </x:c>
      <x:c r="K2229" s="24" t="str">
        <x:v>-6.00 a +5.50</x:v>
      </x:c>
      <x:c r="L2229" s="24" t="str">
        <x:v>-4.00</x:v>
      </x:c>
      <x:c r="M2229" s="24" t="str">
        <x:v>0.75 a 3.00</x:v>
      </x:c>
      <x:c r="N2229" s="24" t="str">
        <x:v>75</x:v>
      </x:c>
      <x:c r="O2229" s="24"/>
      <x:c r="P2229" s="24"/>
      <x:c r="Q2229" s="24" t="str">
        <x:v>DISPONÍVEL</x:v>
      </x:c>
      <x:c r="R2229" s="24" t="str">
        <x:v>Programa de Parcerias ZEISS</x:v>
      </x:c>
      <x:c r="S2229" s="24" t="n">
        <x:v>37</x:v>
      </x:c>
      <x:c r="T2229" s="24" t="str">
        <x:v>tabela_zeiss.pdf</x:v>
      </x:c>
      <x:c r="U2229" s="24" t="str">
        <x:v>ZEISS|Progressiva|Surfaçada|SmartLife Individual 3|PhotoFusion X|1.5|1.50|DuraVision Gold UV|-6.00 a +5.50|-4.00|0.75 a 3.00|75|||37</x:v>
      </x:c>
    </x:row>
    <x:row r="2230">
      <x:c r="A2230" s="24" t="str">
        <x:v>ZS-7FF0AC033E11</x:v>
      </x:c>
      <x:c r="B2230" s="24" t="str">
        <x:v>ZEISS</x:v>
      </x:c>
      <x:c r="C2230" s="24" t="str">
        <x:v>Progressiva</x:v>
      </x:c>
      <x:c r="D2230" s="24" t="str">
        <x:v>Surfaçada</x:v>
      </x:c>
      <x:c r="E2230" s="24" t="str">
        <x:v>SmartLife Individual 3</x:v>
      </x:c>
      <x:c r="F2230" s="24" t="str">
        <x:v>PhotoFusion X</x:v>
      </x:c>
      <x:c r="G2230" s="24" t="str">
        <x:v>1.5</x:v>
      </x:c>
      <x:c r="H2230" s="24" t="str">
        <x:v>1.50</x:v>
      </x:c>
      <x:c r="I2230" s="24" t="str">
        <x:v>DURAVISION® ANTIVÍRUS PLATINUM UV</x:v>
      </x:c>
      <x:c r="J2230" s="40" t="n">
        <x:v>12269</x:v>
      </x:c>
      <x:c r="K2230" s="24" t="str">
        <x:v>-6.00 a +5.50</x:v>
      </x:c>
      <x:c r="L2230" s="24" t="str">
        <x:v>-4.00</x:v>
      </x:c>
      <x:c r="M2230" s="24" t="str">
        <x:v>0.75 a 3.00</x:v>
      </x:c>
      <x:c r="N2230" s="24" t="str">
        <x:v>75</x:v>
      </x:c>
      <x:c r="O2230" s="24"/>
      <x:c r="P2230" s="24"/>
      <x:c r="Q2230" s="24" t="str">
        <x:v>DISPONÍVEL</x:v>
      </x:c>
      <x:c r="R2230" s="24" t="str">
        <x:v>Programa de Parcerias ZEISS</x:v>
      </x:c>
      <x:c r="S2230" s="24" t="n">
        <x:v>37</x:v>
      </x:c>
      <x:c r="T2230" s="24" t="str">
        <x:v>tabela_zeiss.pdf</x:v>
      </x:c>
      <x:c r="U2230" s="24" t="str">
        <x:v>ZEISS|Progressiva|Surfaçada|SmartLife Individual 3|PhotoFusion X|1.5|1.50|DURAVISION® ANTIVÍRUS PLATINUM UV|-6.00 a +5.50|-4.00|0.75 a 3.00|75|||37</x:v>
      </x:c>
    </x:row>
    <x:row r="2231">
      <x:c r="A2231" s="24" t="str">
        <x:v>ZS-E054F2DEE285</x:v>
      </x:c>
      <x:c r="B2231" s="24" t="str">
        <x:v>ZEISS</x:v>
      </x:c>
      <x:c r="C2231" s="24" t="str">
        <x:v>Progressiva</x:v>
      </x:c>
      <x:c r="D2231" s="24" t="str">
        <x:v>Surfaçada</x:v>
      </x:c>
      <x:c r="E2231" s="24" t="str">
        <x:v>SmartLife Individual 3</x:v>
      </x:c>
      <x:c r="F2231" s="24" t="str">
        <x:v>PhotoFusion X</x:v>
      </x:c>
      <x:c r="G2231" s="24" t="str">
        <x:v>1.5</x:v>
      </x:c>
      <x:c r="H2231" s="24" t="str">
        <x:v>1.50</x:v>
      </x:c>
      <x:c r="I2231" s="24" t="str">
        <x:v>DuraVision Platinum UV</x:v>
      </x:c>
      <x:c r="J2231" s="40" t="n">
        <x:v>12269</x:v>
      </x:c>
      <x:c r="K2231" s="24" t="str">
        <x:v>-6.00 a +5.50</x:v>
      </x:c>
      <x:c r="L2231" s="24" t="str">
        <x:v>-4.00</x:v>
      </x:c>
      <x:c r="M2231" s="24" t="str">
        <x:v>0.75 a 3.00</x:v>
      </x:c>
      <x:c r="N2231" s="24" t="str">
        <x:v>75</x:v>
      </x:c>
      <x:c r="O2231" s="24"/>
      <x:c r="P2231" s="24"/>
      <x:c r="Q2231" s="24" t="str">
        <x:v>DISPONÍVEL</x:v>
      </x:c>
      <x:c r="R2231" s="24" t="str">
        <x:v>Programa de Parcerias ZEISS</x:v>
      </x:c>
      <x:c r="S2231" s="24" t="n">
        <x:v>37</x:v>
      </x:c>
      <x:c r="T2231" s="24" t="str">
        <x:v>tabela_zeiss.pdf</x:v>
      </x:c>
      <x:c r="U2231" s="24" t="str">
        <x:v>ZEISS|Progressiva|Surfaçada|SmartLife Individual 3|PhotoFusion X|1.5|1.50|DuraVision Platinum UV|-6.00 a +5.50|-4.00|0.75 a 3.00|75|||37</x:v>
      </x:c>
    </x:row>
    <x:row r="2232">
      <x:c r="A2232" s="24" t="str">
        <x:v>ZS-87CF753BBE15</x:v>
      </x:c>
      <x:c r="B2232" s="24" t="str">
        <x:v>ZEISS</x:v>
      </x:c>
      <x:c r="C2232" s="24" t="str">
        <x:v>Progressiva</x:v>
      </x:c>
      <x:c r="D2232" s="24" t="str">
        <x:v>Surfaçada</x:v>
      </x:c>
      <x:c r="E2232" s="24" t="str">
        <x:v>SmartLife Individual 3</x:v>
      </x:c>
      <x:c r="F2232" s="24" t="str">
        <x:v>PhotoFusion X</x:v>
      </x:c>
      <x:c r="G2232" s="24" t="str">
        <x:v>1.5</x:v>
      </x:c>
      <x:c r="H2232" s="24" t="str">
        <x:v>1.50</x:v>
      </x:c>
      <x:c r="I2232" s="24" t="str">
        <x:v>DuraVision Silver UV</x:v>
      </x:c>
      <x:c r="J2232" s="40" t="n">
        <x:v>12009</x:v>
      </x:c>
      <x:c r="K2232" s="24" t="str">
        <x:v>-6.00 a +5.50</x:v>
      </x:c>
      <x:c r="L2232" s="24" t="str">
        <x:v>-4.00</x:v>
      </x:c>
      <x:c r="M2232" s="24" t="str">
        <x:v>0.75 a 3.00</x:v>
      </x:c>
      <x:c r="N2232" s="24" t="str">
        <x:v>75</x:v>
      </x:c>
      <x:c r="O2232" s="24"/>
      <x:c r="P2232" s="24"/>
      <x:c r="Q2232" s="24" t="str">
        <x:v>DISPONÍVEL</x:v>
      </x:c>
      <x:c r="R2232" s="24" t="str">
        <x:v>Programa de Parcerias ZEISS</x:v>
      </x:c>
      <x:c r="S2232" s="24" t="n">
        <x:v>37</x:v>
      </x:c>
      <x:c r="T2232" s="24" t="str">
        <x:v>tabela_zeiss.pdf</x:v>
      </x:c>
      <x:c r="U2232" s="24" t="str">
        <x:v>ZEISS|Progressiva|Surfaçada|SmartLife Individual 3|PhotoFusion X|1.5|1.50|DuraVision Silver UV|-6.00 a +5.50|-4.00|0.75 a 3.00|75|||37</x:v>
      </x:c>
    </x:row>
    <x:row r="2233">
      <x:c r="A2233" s="24" t="str">
        <x:v>ZS-5E9886E5F6B2</x:v>
      </x:c>
      <x:c r="B2233" s="24" t="str">
        <x:v>ZEISS</x:v>
      </x:c>
      <x:c r="C2233" s="24" t="str">
        <x:v>Progressiva</x:v>
      </x:c>
      <x:c r="D2233" s="24" t="str">
        <x:v>Surfaçada</x:v>
      </x:c>
      <x:c r="E2233" s="24" t="str">
        <x:v>SmartLife Individual 3</x:v>
      </x:c>
      <x:c r="F2233" s="24" t="str">
        <x:v>PhotoFusion X</x:v>
      </x:c>
      <x:c r="G2233" s="24" t="str">
        <x:v>1.5</x:v>
      </x:c>
      <x:c r="H2233" s="24" t="str">
        <x:v>1.50</x:v>
      </x:c>
      <x:c r="I2233" s="24" t="str">
        <x:v>DuraVision Chrome UV</x:v>
      </x:c>
      <x:c r="J2233" s="40" t="n">
        <x:v>11519</x:v>
      </x:c>
      <x:c r="K2233" s="24" t="str">
        <x:v>-6.00 a +5.50</x:v>
      </x:c>
      <x:c r="L2233" s="24" t="str">
        <x:v>-4.00</x:v>
      </x:c>
      <x:c r="M2233" s="24" t="str">
        <x:v>0.75 a 3.00</x:v>
      </x:c>
      <x:c r="N2233" s="24" t="str">
        <x:v>75</x:v>
      </x:c>
      <x:c r="O2233" s="24"/>
      <x:c r="P2233" s="24"/>
      <x:c r="Q2233" s="24" t="str">
        <x:v>DISPONÍVEL</x:v>
      </x:c>
      <x:c r="R2233" s="24" t="str">
        <x:v>Programa de Parcerias ZEISS</x:v>
      </x:c>
      <x:c r="S2233" s="24" t="n">
        <x:v>37</x:v>
      </x:c>
      <x:c r="T2233" s="24" t="str">
        <x:v>tabela_zeiss.pdf</x:v>
      </x:c>
      <x:c r="U2233" s="24" t="str">
        <x:v>ZEISS|Progressiva|Surfaçada|SmartLife Individual 3|PhotoFusion X|1.5|1.50|DuraVision Chrome UV|-6.00 a +5.50|-4.00|0.75 a 3.00|75|||37</x:v>
      </x:c>
    </x:row>
    <x:row r="2234">
      <x:c r="A2234" s="24" t="str">
        <x:v>ZS-770450DDB0DC</x:v>
      </x:c>
      <x:c r="B2234" s="24" t="str">
        <x:v>ZEISS</x:v>
      </x:c>
      <x:c r="C2234" s="24" t="str">
        <x:v>Progressiva</x:v>
      </x:c>
      <x:c r="D2234" s="24" t="str">
        <x:v>Surfaçada</x:v>
      </x:c>
      <x:c r="E2234" s="24" t="str">
        <x:v>SmartLife Individual 3</x:v>
      </x:c>
      <x:c r="F2234" s="24" t="str">
        <x:v>PhotoFusion X</x:v>
      </x:c>
      <x:c r="G2234" s="24" t="str">
        <x:v>Poli</x:v>
      </x:c>
      <x:c r="H2234" s="24"/>
      <x:c r="I2234" s="24" t="str">
        <x:v>DuraVision Gold UV</x:v>
      </x:c>
      <x:c r="J2234" s="40" t="n">
        <x:v>12999</x:v>
      </x:c>
      <x:c r="K2234" s="24" t="str">
        <x:v>-10.00 a +6.00</x:v>
      </x:c>
      <x:c r="L2234" s="24" t="str">
        <x:v>-6.00</x:v>
      </x:c>
      <x:c r="M2234" s="24" t="str">
        <x:v>0.75 a 3.00</x:v>
      </x:c>
      <x:c r="N2234" s="24" t="str">
        <x:v>70</x:v>
      </x:c>
      <x:c r="O2234" s="24"/>
      <x:c r="P2234" s="24"/>
      <x:c r="Q2234" s="24" t="str">
        <x:v>DISPONÍVEL</x:v>
      </x:c>
      <x:c r="R2234" s="24" t="str">
        <x:v>Programa de Parcerias ZEISS</x:v>
      </x:c>
      <x:c r="S2234" s="24" t="n">
        <x:v>37</x:v>
      </x:c>
      <x:c r="T2234" s="24" t="str">
        <x:v>tabela_zeiss.pdf</x:v>
      </x:c>
      <x:c r="U2234" s="24" t="str">
        <x:v>ZEISS|Progressiva|Surfaçada|SmartLife Individual 3|PhotoFusion X|Poli||DuraVision Gold UV|-10.00 a +6.00|-6.00|0.75 a 3.00|70|||37</x:v>
      </x:c>
    </x:row>
    <x:row r="2235">
      <x:c r="A2235" s="24" t="str">
        <x:v>ZS-24FFB382BB73</x:v>
      </x:c>
      <x:c r="B2235" s="24" t="str">
        <x:v>ZEISS</x:v>
      </x:c>
      <x:c r="C2235" s="24" t="str">
        <x:v>Progressiva</x:v>
      </x:c>
      <x:c r="D2235" s="24" t="str">
        <x:v>Surfaçada</x:v>
      </x:c>
      <x:c r="E2235" s="24" t="str">
        <x:v>SmartLife Individual 3</x:v>
      </x:c>
      <x:c r="F2235" s="24" t="str">
        <x:v>PhotoFusion X</x:v>
      </x:c>
      <x:c r="G2235" s="24" t="str">
        <x:v>Poli</x:v>
      </x:c>
      <x:c r="H2235" s="24"/>
      <x:c r="I2235" s="24" t="str">
        <x:v>DuraVision Platinum UV</x:v>
      </x:c>
      <x:c r="J2235" s="40" t="n">
        <x:v>12859</x:v>
      </x:c>
      <x:c r="K2235" s="24" t="str">
        <x:v>-10.00 a +6.00</x:v>
      </x:c>
      <x:c r="L2235" s="24" t="str">
        <x:v>-6.00</x:v>
      </x:c>
      <x:c r="M2235" s="24" t="str">
        <x:v>0.75 a 3.00</x:v>
      </x:c>
      <x:c r="N2235" s="24" t="str">
        <x:v>70</x:v>
      </x:c>
      <x:c r="O2235" s="24"/>
      <x:c r="P2235" s="24"/>
      <x:c r="Q2235" s="24" t="str">
        <x:v>DISPONÍVEL</x:v>
      </x:c>
      <x:c r="R2235" s="24" t="str">
        <x:v>Programa de Parcerias ZEISS</x:v>
      </x:c>
      <x:c r="S2235" s="24" t="n">
        <x:v>37</x:v>
      </x:c>
      <x:c r="T2235" s="24" t="str">
        <x:v>tabela_zeiss.pdf</x:v>
      </x:c>
      <x:c r="U2235" s="24" t="str">
        <x:v>ZEISS|Progressiva|Surfaçada|SmartLife Individual 3|PhotoFusion X|Poli||DuraVision Platinum UV|-10.00 a +6.00|-6.00|0.75 a 3.00|70|||37</x:v>
      </x:c>
    </x:row>
    <x:row r="2236">
      <x:c r="A2236" s="24" t="str">
        <x:v>ZS-B7EC101E4CE5</x:v>
      </x:c>
      <x:c r="B2236" s="24" t="str">
        <x:v>ZEISS</x:v>
      </x:c>
      <x:c r="C2236" s="24" t="str">
        <x:v>Progressiva</x:v>
      </x:c>
      <x:c r="D2236" s="24" t="str">
        <x:v>Surfaçada</x:v>
      </x:c>
      <x:c r="E2236" s="24" t="str">
        <x:v>SmartLife Individual 3</x:v>
      </x:c>
      <x:c r="F2236" s="24" t="str">
        <x:v>PhotoFusion X</x:v>
      </x:c>
      <x:c r="G2236" s="24" t="str">
        <x:v>Poli</x:v>
      </x:c>
      <x:c r="H2236" s="24"/>
      <x:c r="I2236" s="24" t="str">
        <x:v>DuraVision Silver UV</x:v>
      </x:c>
      <x:c r="J2236" s="40" t="n">
        <x:v>12599</x:v>
      </x:c>
      <x:c r="K2236" s="24" t="str">
        <x:v>-10.00 a +6.00</x:v>
      </x:c>
      <x:c r="L2236" s="24" t="str">
        <x:v>-6.00</x:v>
      </x:c>
      <x:c r="M2236" s="24" t="str">
        <x:v>0.75 a 3.00</x:v>
      </x:c>
      <x:c r="N2236" s="24" t="str">
        <x:v>70</x:v>
      </x:c>
      <x:c r="O2236" s="24"/>
      <x:c r="P2236" s="24"/>
      <x:c r="Q2236" s="24" t="str">
        <x:v>DISPONÍVEL</x:v>
      </x:c>
      <x:c r="R2236" s="24" t="str">
        <x:v>Programa de Parcerias ZEISS</x:v>
      </x:c>
      <x:c r="S2236" s="24" t="n">
        <x:v>37</x:v>
      </x:c>
      <x:c r="T2236" s="24" t="str">
        <x:v>tabela_zeiss.pdf</x:v>
      </x:c>
      <x:c r="U2236" s="24" t="str">
        <x:v>ZEISS|Progressiva|Surfaçada|SmartLife Individual 3|PhotoFusion X|Poli||DuraVision Silver UV|-10.00 a +6.00|-6.00|0.75 a 3.00|70|||37</x:v>
      </x:c>
    </x:row>
    <x:row r="2237">
      <x:c r="A2237" s="24" t="str">
        <x:v>ZS-8F55ECE6DD03</x:v>
      </x:c>
      <x:c r="B2237" s="24" t="str">
        <x:v>ZEISS</x:v>
      </x:c>
      <x:c r="C2237" s="24" t="str">
        <x:v>Progressiva</x:v>
      </x:c>
      <x:c r="D2237" s="24" t="str">
        <x:v>Surfaçada</x:v>
      </x:c>
      <x:c r="E2237" s="24" t="str">
        <x:v>SmartLife Individual 3</x:v>
      </x:c>
      <x:c r="F2237" s="24" t="str">
        <x:v>PhotoFusion X</x:v>
      </x:c>
      <x:c r="G2237" s="24" t="str">
        <x:v>Poli</x:v>
      </x:c>
      <x:c r="H2237" s="24"/>
      <x:c r="I2237" s="24" t="str">
        <x:v>DuraVision Chrome UV</x:v>
      </x:c>
      <x:c r="J2237" s="40" t="n">
        <x:v>12109</x:v>
      </x:c>
      <x:c r="K2237" s="24" t="str">
        <x:v>-10.00 a +6.00</x:v>
      </x:c>
      <x:c r="L2237" s="24" t="str">
        <x:v>-6.00</x:v>
      </x:c>
      <x:c r="M2237" s="24" t="str">
        <x:v>0.75 a 3.00</x:v>
      </x:c>
      <x:c r="N2237" s="24" t="str">
        <x:v>70</x:v>
      </x:c>
      <x:c r="O2237" s="24"/>
      <x:c r="P2237" s="24"/>
      <x:c r="Q2237" s="24" t="str">
        <x:v>DISPONÍVEL</x:v>
      </x:c>
      <x:c r="R2237" s="24" t="str">
        <x:v>Programa de Parcerias ZEISS</x:v>
      </x:c>
      <x:c r="S2237" s="24" t="n">
        <x:v>37</x:v>
      </x:c>
      <x:c r="T2237" s="24" t="str">
        <x:v>tabela_zeiss.pdf</x:v>
      </x:c>
      <x:c r="U2237" s="24" t="str">
        <x:v>ZEISS|Progressiva|Surfaçada|SmartLife Individual 3|PhotoFusion X|Poli||DuraVision Chrome UV|-10.00 a +6.00|-6.00|0.75 a 3.00|70|||37</x:v>
      </x:c>
    </x:row>
    <x:row r="2238">
      <x:c r="A2238" s="24" t="str">
        <x:v>ZS-FB752BE8A2FE</x:v>
      </x:c>
      <x:c r="B2238" s="24" t="str">
        <x:v>ZEISS</x:v>
      </x:c>
      <x:c r="C2238" s="24" t="str">
        <x:v>Progressiva</x:v>
      </x:c>
      <x:c r="D2238" s="24" t="str">
        <x:v>Surfaçada</x:v>
      </x:c>
      <x:c r="E2238" s="24" t="str">
        <x:v>SmartLife Individual 3</x:v>
      </x:c>
      <x:c r="F2238" s="24" t="str">
        <x:v>PhotoFusion X</x:v>
      </x:c>
      <x:c r="G2238" s="24" t="str">
        <x:v>1.6</x:v>
      </x:c>
      <x:c r="H2238" s="24" t="str">
        <x:v>1.60</x:v>
      </x:c>
      <x:c r="I2238" s="24" t="str">
        <x:v>DuraVision Gold UV</x:v>
      </x:c>
      <x:c r="J2238" s="40" t="n">
        <x:v>13659</x:v>
      </x:c>
      <x:c r="K2238" s="24" t="str">
        <x:v>-7.25 a +6.00</x:v>
      </x:c>
      <x:c r="L2238" s="24" t="str">
        <x:v>-6.00</x:v>
      </x:c>
      <x:c r="M2238" s="24" t="str">
        <x:v>0.75 a 3.50</x:v>
      </x:c>
      <x:c r="N2238" s="24" t="str">
        <x:v>75</x:v>
      </x:c>
      <x:c r="O2238" s="24"/>
      <x:c r="P2238" s="24"/>
      <x:c r="Q2238" s="24" t="str">
        <x:v>DISPONÍVEL</x:v>
      </x:c>
      <x:c r="R2238" s="24" t="str">
        <x:v>Programa de Parcerias ZEISS</x:v>
      </x:c>
      <x:c r="S2238" s="24" t="n">
        <x:v>37</x:v>
      </x:c>
      <x:c r="T2238" s="24" t="str">
        <x:v>tabela_zeiss.pdf</x:v>
      </x:c>
      <x:c r="U2238" s="24" t="str">
        <x:v>ZEISS|Progressiva|Surfaçada|SmartLife Individual 3|PhotoFusion X|1.6|1.60|DuraVision Gold UV|-7.25 a +6.00|-6.00|0.75 a 3.50|75|||37</x:v>
      </x:c>
    </x:row>
    <x:row r="2239">
      <x:c r="A2239" s="24" t="str">
        <x:v>ZS-485DB5D499FE</x:v>
      </x:c>
      <x:c r="B2239" s="24" t="str">
        <x:v>ZEISS</x:v>
      </x:c>
      <x:c r="C2239" s="24" t="str">
        <x:v>Progressiva</x:v>
      </x:c>
      <x:c r="D2239" s="24" t="str">
        <x:v>Surfaçada</x:v>
      </x:c>
      <x:c r="E2239" s="24" t="str">
        <x:v>SmartLife Individual 3</x:v>
      </x:c>
      <x:c r="F2239" s="24" t="str">
        <x:v>PhotoFusion X</x:v>
      </x:c>
      <x:c r="G2239" s="24" t="str">
        <x:v>1.6</x:v>
      </x:c>
      <x:c r="H2239" s="24" t="str">
        <x:v>1.60</x:v>
      </x:c>
      <x:c r="I2239" s="24" t="str">
        <x:v>DURAVISION® ANTIVÍRUS PLATINUM UV</x:v>
      </x:c>
      <x:c r="J2239" s="40" t="n">
        <x:v>13519</x:v>
      </x:c>
      <x:c r="K2239" s="24" t="str">
        <x:v>-7.25 a +6.00</x:v>
      </x:c>
      <x:c r="L2239" s="24" t="str">
        <x:v>-6.00</x:v>
      </x:c>
      <x:c r="M2239" s="24" t="str">
        <x:v>0.75 a 3.50</x:v>
      </x:c>
      <x:c r="N2239" s="24" t="str">
        <x:v>75</x:v>
      </x:c>
      <x:c r="O2239" s="24"/>
      <x:c r="P2239" s="24"/>
      <x:c r="Q2239" s="24" t="str">
        <x:v>DISPONÍVEL</x:v>
      </x:c>
      <x:c r="R2239" s="24" t="str">
        <x:v>Programa de Parcerias ZEISS</x:v>
      </x:c>
      <x:c r="S2239" s="24" t="n">
        <x:v>37</x:v>
      </x:c>
      <x:c r="T2239" s="24" t="str">
        <x:v>tabela_zeiss.pdf</x:v>
      </x:c>
      <x:c r="U2239" s="24" t="str">
        <x:v>ZEISS|Progressiva|Surfaçada|SmartLife Individual 3|PhotoFusion X|1.6|1.60|DURAVISION® ANTIVÍRUS PLATINUM UV|-7.25 a +6.00|-6.00|0.75 a 3.50|75|||37</x:v>
      </x:c>
    </x:row>
    <x:row r="2240">
      <x:c r="A2240" s="24" t="str">
        <x:v>ZS-6B375E09AFFE</x:v>
      </x:c>
      <x:c r="B2240" s="24" t="str">
        <x:v>ZEISS</x:v>
      </x:c>
      <x:c r="C2240" s="24" t="str">
        <x:v>Progressiva</x:v>
      </x:c>
      <x:c r="D2240" s="24" t="str">
        <x:v>Surfaçada</x:v>
      </x:c>
      <x:c r="E2240" s="24" t="str">
        <x:v>SmartLife Individual 3</x:v>
      </x:c>
      <x:c r="F2240" s="24" t="str">
        <x:v>PhotoFusion X</x:v>
      </x:c>
      <x:c r="G2240" s="24" t="str">
        <x:v>1.6</x:v>
      </x:c>
      <x:c r="H2240" s="24" t="str">
        <x:v>1.60</x:v>
      </x:c>
      <x:c r="I2240" s="24" t="str">
        <x:v>DuraVision Platinum UV</x:v>
      </x:c>
      <x:c r="J2240" s="40" t="n">
        <x:v>13519</x:v>
      </x:c>
      <x:c r="K2240" s="24" t="str">
        <x:v>-7.25 a +6.00</x:v>
      </x:c>
      <x:c r="L2240" s="24" t="str">
        <x:v>-6.00</x:v>
      </x:c>
      <x:c r="M2240" s="24" t="str">
        <x:v>0.75 a 3.50</x:v>
      </x:c>
      <x:c r="N2240" s="24" t="str">
        <x:v>75</x:v>
      </x:c>
      <x:c r="O2240" s="24"/>
      <x:c r="P2240" s="24"/>
      <x:c r="Q2240" s="24" t="str">
        <x:v>DISPONÍVEL</x:v>
      </x:c>
      <x:c r="R2240" s="24" t="str">
        <x:v>Programa de Parcerias ZEISS</x:v>
      </x:c>
      <x:c r="S2240" s="24" t="n">
        <x:v>37</x:v>
      </x:c>
      <x:c r="T2240" s="24" t="str">
        <x:v>tabela_zeiss.pdf</x:v>
      </x:c>
      <x:c r="U2240" s="24" t="str">
        <x:v>ZEISS|Progressiva|Surfaçada|SmartLife Individual 3|PhotoFusion X|1.6|1.60|DuraVision Platinum UV|-7.25 a +6.00|-6.00|0.75 a 3.50|75|||37</x:v>
      </x:c>
    </x:row>
    <x:row r="2241">
      <x:c r="A2241" s="24" t="str">
        <x:v>ZS-33B5A386CC5B</x:v>
      </x:c>
      <x:c r="B2241" s="24" t="str">
        <x:v>ZEISS</x:v>
      </x:c>
      <x:c r="C2241" s="24" t="str">
        <x:v>Progressiva</x:v>
      </x:c>
      <x:c r="D2241" s="24" t="str">
        <x:v>Surfaçada</x:v>
      </x:c>
      <x:c r="E2241" s="24" t="str">
        <x:v>SmartLife Individual 3</x:v>
      </x:c>
      <x:c r="F2241" s="24" t="str">
        <x:v>PhotoFusion X</x:v>
      </x:c>
      <x:c r="G2241" s="24" t="str">
        <x:v>1.6</x:v>
      </x:c>
      <x:c r="H2241" s="24" t="str">
        <x:v>1.60</x:v>
      </x:c>
      <x:c r="I2241" s="24" t="str">
        <x:v>DuraVision Silver UV</x:v>
      </x:c>
      <x:c r="J2241" s="40" t="n">
        <x:v>13259</x:v>
      </x:c>
      <x:c r="K2241" s="24" t="str">
        <x:v>-7.25 a +6.00</x:v>
      </x:c>
      <x:c r="L2241" s="24" t="str">
        <x:v>-6.00</x:v>
      </x:c>
      <x:c r="M2241" s="24" t="str">
        <x:v>0.75 a 3.50</x:v>
      </x:c>
      <x:c r="N2241" s="24" t="str">
        <x:v>75</x:v>
      </x:c>
      <x:c r="O2241" s="24"/>
      <x:c r="P2241" s="24"/>
      <x:c r="Q2241" s="24" t="str">
        <x:v>DISPONÍVEL</x:v>
      </x:c>
      <x:c r="R2241" s="24" t="str">
        <x:v>Programa de Parcerias ZEISS</x:v>
      </x:c>
      <x:c r="S2241" s="24" t="n">
        <x:v>37</x:v>
      </x:c>
      <x:c r="T2241" s="24" t="str">
        <x:v>tabela_zeiss.pdf</x:v>
      </x:c>
      <x:c r="U2241" s="24" t="str">
        <x:v>ZEISS|Progressiva|Surfaçada|SmartLife Individual 3|PhotoFusion X|1.6|1.60|DuraVision Silver UV|-7.25 a +6.00|-6.00|0.75 a 3.50|75|||37</x:v>
      </x:c>
    </x:row>
    <x:row r="2242">
      <x:c r="A2242" s="24" t="str">
        <x:v>ZS-FCED23C15A83</x:v>
      </x:c>
      <x:c r="B2242" s="24" t="str">
        <x:v>ZEISS</x:v>
      </x:c>
      <x:c r="C2242" s="24" t="str">
        <x:v>Progressiva</x:v>
      </x:c>
      <x:c r="D2242" s="24" t="str">
        <x:v>Surfaçada</x:v>
      </x:c>
      <x:c r="E2242" s="24" t="str">
        <x:v>SmartLife Individual 3</x:v>
      </x:c>
      <x:c r="F2242" s="24" t="str">
        <x:v>PhotoFusion X</x:v>
      </x:c>
      <x:c r="G2242" s="24" t="str">
        <x:v>1.6</x:v>
      </x:c>
      <x:c r="H2242" s="24" t="str">
        <x:v>1.60</x:v>
      </x:c>
      <x:c r="I2242" s="24" t="str">
        <x:v>DuraVision Chrome UV</x:v>
      </x:c>
      <x:c r="J2242" s="40" t="n">
        <x:v>12769</x:v>
      </x:c>
      <x:c r="K2242" s="24" t="str">
        <x:v>-7.25 a +6.00</x:v>
      </x:c>
      <x:c r="L2242" s="24" t="str">
        <x:v>-6.00</x:v>
      </x:c>
      <x:c r="M2242" s="24" t="str">
        <x:v>0.75 a 3.50</x:v>
      </x:c>
      <x:c r="N2242" s="24" t="str">
        <x:v>75</x:v>
      </x:c>
      <x:c r="O2242" s="24"/>
      <x:c r="P2242" s="24"/>
      <x:c r="Q2242" s="24" t="str">
        <x:v>DISPONÍVEL</x:v>
      </x:c>
      <x:c r="R2242" s="24" t="str">
        <x:v>Programa de Parcerias ZEISS</x:v>
      </x:c>
      <x:c r="S2242" s="24" t="n">
        <x:v>37</x:v>
      </x:c>
      <x:c r="T2242" s="24" t="str">
        <x:v>tabela_zeiss.pdf</x:v>
      </x:c>
      <x:c r="U2242" s="24" t="str">
        <x:v>ZEISS|Progressiva|Surfaçada|SmartLife Individual 3|PhotoFusion X|1.6|1.60|DuraVision Chrome UV|-7.25 a +6.00|-6.00|0.75 a 3.50|75|||37</x:v>
      </x:c>
    </x:row>
    <x:row r="2243">
      <x:c r="A2243" s="24" t="str">
        <x:v>ZS-5548B2340B0D</x:v>
      </x:c>
      <x:c r="B2243" s="24" t="str">
        <x:v>ZEISS</x:v>
      </x:c>
      <x:c r="C2243" s="24" t="str">
        <x:v>Progressiva</x:v>
      </x:c>
      <x:c r="D2243" s="24" t="str">
        <x:v>Surfaçada</x:v>
      </x:c>
      <x:c r="E2243" s="24" t="str">
        <x:v>SmartLife Individual 3</x:v>
      </x:c>
      <x:c r="F2243" s="24" t="str">
        <x:v>PhotoFusion X</x:v>
      </x:c>
      <x:c r="G2243" s="24" t="str">
        <x:v>1.67</x:v>
      </x:c>
      <x:c r="H2243" s="24" t="str">
        <x:v>1.67</x:v>
      </x:c>
      <x:c r="I2243" s="24" t="str">
        <x:v>DuraVision Gold UV</x:v>
      </x:c>
      <x:c r="J2243" s="40" t="n">
        <x:v>15299</x:v>
      </x:c>
      <x:c r="K2243" s="24" t="str">
        <x:v>-8.00 a +8.00</x:v>
      </x:c>
      <x:c r="L2243" s="24" t="str">
        <x:v>-6.00</x:v>
      </x:c>
      <x:c r="M2243" s="24" t="str">
        <x:v>0.75 a 3.00</x:v>
      </x:c>
      <x:c r="N2243" s="24" t="str">
        <x:v>70</x:v>
      </x:c>
      <x:c r="O2243" s="24"/>
      <x:c r="P2243" s="24"/>
      <x:c r="Q2243" s="24" t="str">
        <x:v>DISPONÍVEL</x:v>
      </x:c>
      <x:c r="R2243" s="24" t="str">
        <x:v>Programa de Parcerias ZEISS</x:v>
      </x:c>
      <x:c r="S2243" s="24" t="n">
        <x:v>37</x:v>
      </x:c>
      <x:c r="T2243" s="24" t="str">
        <x:v>tabela_zeiss.pdf</x:v>
      </x:c>
      <x:c r="U2243" s="24" t="str">
        <x:v>ZEISS|Progressiva|Surfaçada|SmartLife Individual 3|PhotoFusion X|1.67|1.67|DuraVision Gold UV|-8.00 a +8.00|-6.00|0.75 a 3.00|70|||37</x:v>
      </x:c>
    </x:row>
    <x:row r="2244">
      <x:c r="A2244" s="24" t="str">
        <x:v>ZS-AF840D4B47DF</x:v>
      </x:c>
      <x:c r="B2244" s="24" t="str">
        <x:v>ZEISS</x:v>
      </x:c>
      <x:c r="C2244" s="24" t="str">
        <x:v>Progressiva</x:v>
      </x:c>
      <x:c r="D2244" s="24" t="str">
        <x:v>Surfaçada</x:v>
      </x:c>
      <x:c r="E2244" s="24" t="str">
        <x:v>SmartLife Individual 3</x:v>
      </x:c>
      <x:c r="F2244" s="24" t="str">
        <x:v>PhotoFusion X</x:v>
      </x:c>
      <x:c r="G2244" s="24" t="str">
        <x:v>1.67</x:v>
      </x:c>
      <x:c r="H2244" s="24" t="str">
        <x:v>1.67</x:v>
      </x:c>
      <x:c r="I2244" s="24" t="str">
        <x:v>DURAVISION® ANTIVÍRUS PLATINUM UV</x:v>
      </x:c>
      <x:c r="J2244" s="40" t="n">
        <x:v>15159</x:v>
      </x:c>
      <x:c r="K2244" s="24" t="str">
        <x:v>-8.00 a +8.00</x:v>
      </x:c>
      <x:c r="L2244" s="24" t="str">
        <x:v>-6.00</x:v>
      </x:c>
      <x:c r="M2244" s="24" t="str">
        <x:v>0.75 a 3.00</x:v>
      </x:c>
      <x:c r="N2244" s="24" t="str">
        <x:v>70</x:v>
      </x:c>
      <x:c r="O2244" s="24"/>
      <x:c r="P2244" s="24"/>
      <x:c r="Q2244" s="24" t="str">
        <x:v>DISPONÍVEL</x:v>
      </x:c>
      <x:c r="R2244" s="24" t="str">
        <x:v>Programa de Parcerias ZEISS</x:v>
      </x:c>
      <x:c r="S2244" s="24" t="n">
        <x:v>37</x:v>
      </x:c>
      <x:c r="T2244" s="24" t="str">
        <x:v>tabela_zeiss.pdf</x:v>
      </x:c>
      <x:c r="U2244" s="24" t="str">
        <x:v>ZEISS|Progressiva|Surfaçada|SmartLife Individual 3|PhotoFusion X|1.67|1.67|DURAVISION® ANTIVÍRUS PLATINUM UV|-8.00 a +8.00|-6.00|0.75 a 3.00|70|||37</x:v>
      </x:c>
    </x:row>
    <x:row r="2245">
      <x:c r="A2245" s="24" t="str">
        <x:v>ZS-0E6A7111073C</x:v>
      </x:c>
      <x:c r="B2245" s="24" t="str">
        <x:v>ZEISS</x:v>
      </x:c>
      <x:c r="C2245" s="24" t="str">
        <x:v>Progressiva</x:v>
      </x:c>
      <x:c r="D2245" s="24" t="str">
        <x:v>Surfaçada</x:v>
      </x:c>
      <x:c r="E2245" s="24" t="str">
        <x:v>SmartLife Individual 3</x:v>
      </x:c>
      <x:c r="F2245" s="24" t="str">
        <x:v>PhotoFusion X</x:v>
      </x:c>
      <x:c r="G2245" s="24" t="str">
        <x:v>1.67</x:v>
      </x:c>
      <x:c r="H2245" s="24" t="str">
        <x:v>1.67</x:v>
      </x:c>
      <x:c r="I2245" s="24" t="str">
        <x:v>DuraVision Platinum UV</x:v>
      </x:c>
      <x:c r="J2245" s="40" t="n">
        <x:v>15159</x:v>
      </x:c>
      <x:c r="K2245" s="24" t="str">
        <x:v>-8.00 a +8.00</x:v>
      </x:c>
      <x:c r="L2245" s="24" t="str">
        <x:v>-6.00</x:v>
      </x:c>
      <x:c r="M2245" s="24" t="str">
        <x:v>0.75 a 3.00</x:v>
      </x:c>
      <x:c r="N2245" s="24" t="str">
        <x:v>70</x:v>
      </x:c>
      <x:c r="O2245" s="24"/>
      <x:c r="P2245" s="24"/>
      <x:c r="Q2245" s="24" t="str">
        <x:v>DISPONÍVEL</x:v>
      </x:c>
      <x:c r="R2245" s="24" t="str">
        <x:v>Programa de Parcerias ZEISS</x:v>
      </x:c>
      <x:c r="S2245" s="24" t="n">
        <x:v>37</x:v>
      </x:c>
      <x:c r="T2245" s="24" t="str">
        <x:v>tabela_zeiss.pdf</x:v>
      </x:c>
      <x:c r="U2245" s="24" t="str">
        <x:v>ZEISS|Progressiva|Surfaçada|SmartLife Individual 3|PhotoFusion X|1.67|1.67|DuraVision Platinum UV|-8.00 a +8.00|-6.00|0.75 a 3.00|70|||37</x:v>
      </x:c>
    </x:row>
    <x:row r="2246">
      <x:c r="A2246" s="24" t="str">
        <x:v>ZS-54BBABE67BA6</x:v>
      </x:c>
      <x:c r="B2246" s="24" t="str">
        <x:v>ZEISS</x:v>
      </x:c>
      <x:c r="C2246" s="24" t="str">
        <x:v>Progressiva</x:v>
      </x:c>
      <x:c r="D2246" s="24" t="str">
        <x:v>Surfaçada</x:v>
      </x:c>
      <x:c r="E2246" s="24" t="str">
        <x:v>SmartLife Individual 3</x:v>
      </x:c>
      <x:c r="F2246" s="24" t="str">
        <x:v>PhotoFusion X</x:v>
      </x:c>
      <x:c r="G2246" s="24" t="str">
        <x:v>1.67</x:v>
      </x:c>
      <x:c r="H2246" s="24" t="str">
        <x:v>1.67</x:v>
      </x:c>
      <x:c r="I2246" s="24" t="str">
        <x:v>DuraVision Silver UV</x:v>
      </x:c>
      <x:c r="J2246" s="40" t="n">
        <x:v>14899</x:v>
      </x:c>
      <x:c r="K2246" s="24" t="str">
        <x:v>-8.00 a +8.00</x:v>
      </x:c>
      <x:c r="L2246" s="24" t="str">
        <x:v>-6.00</x:v>
      </x:c>
      <x:c r="M2246" s="24" t="str">
        <x:v>0.75 a 3.00</x:v>
      </x:c>
      <x:c r="N2246" s="24" t="str">
        <x:v>70</x:v>
      </x:c>
      <x:c r="O2246" s="24"/>
      <x:c r="P2246" s="24"/>
      <x:c r="Q2246" s="24" t="str">
        <x:v>DISPONÍVEL</x:v>
      </x:c>
      <x:c r="R2246" s="24" t="str">
        <x:v>Programa de Parcerias ZEISS</x:v>
      </x:c>
      <x:c r="S2246" s="24" t="n">
        <x:v>37</x:v>
      </x:c>
      <x:c r="T2246" s="24" t="str">
        <x:v>tabela_zeiss.pdf</x:v>
      </x:c>
      <x:c r="U2246" s="24" t="str">
        <x:v>ZEISS|Progressiva|Surfaçada|SmartLife Individual 3|PhotoFusion X|1.67|1.67|DuraVision Silver UV|-8.00 a +8.00|-6.00|0.75 a 3.00|70|||37</x:v>
      </x:c>
    </x:row>
    <x:row r="2247">
      <x:c r="A2247" s="24" t="str">
        <x:v>ZS-E5D91A79DCAE</x:v>
      </x:c>
      <x:c r="B2247" s="24" t="str">
        <x:v>ZEISS</x:v>
      </x:c>
      <x:c r="C2247" s="24" t="str">
        <x:v>Progressiva</x:v>
      </x:c>
      <x:c r="D2247" s="24" t="str">
        <x:v>Surfaçada</x:v>
      </x:c>
      <x:c r="E2247" s="24" t="str">
        <x:v>SmartLife Individual 3</x:v>
      </x:c>
      <x:c r="F2247" s="24" t="str">
        <x:v>PhotoFusion X</x:v>
      </x:c>
      <x:c r="G2247" s="24" t="str">
        <x:v>1.67</x:v>
      </x:c>
      <x:c r="H2247" s="24" t="str">
        <x:v>1.67</x:v>
      </x:c>
      <x:c r="I2247" s="24" t="str">
        <x:v>DuraVision Chrome UV</x:v>
      </x:c>
      <x:c r="J2247" s="40" t="n">
        <x:v>14409</x:v>
      </x:c>
      <x:c r="K2247" s="24" t="str">
        <x:v>-8.00 a +8.00</x:v>
      </x:c>
      <x:c r="L2247" s="24" t="str">
        <x:v>-6.00</x:v>
      </x:c>
      <x:c r="M2247" s="24" t="str">
        <x:v>0.75 a 3.00</x:v>
      </x:c>
      <x:c r="N2247" s="24" t="str">
        <x:v>70</x:v>
      </x:c>
      <x:c r="O2247" s="24"/>
      <x:c r="P2247" s="24"/>
      <x:c r="Q2247" s="24" t="str">
        <x:v>DISPONÍVEL</x:v>
      </x:c>
      <x:c r="R2247" s="24" t="str">
        <x:v>Programa de Parcerias ZEISS</x:v>
      </x:c>
      <x:c r="S2247" s="24" t="n">
        <x:v>37</x:v>
      </x:c>
      <x:c r="T2247" s="24" t="str">
        <x:v>tabela_zeiss.pdf</x:v>
      </x:c>
      <x:c r="U2247" s="24" t="str">
        <x:v>ZEISS|Progressiva|Surfaçada|SmartLife Individual 3|PhotoFusion X|1.67|1.67|DuraVision Chrome UV|-8.00 a +8.00|-6.00|0.75 a 3.00|70|||37</x:v>
      </x:c>
    </x:row>
    <x:row r="2248">
      <x:c r="A2248" s="24" t="str">
        <x:v>ZS-503EFEFD7271</x:v>
      </x:c>
      <x:c r="B2248" s="24" t="str">
        <x:v>ZEISS</x:v>
      </x:c>
      <x:c r="C2248" s="24" t="str">
        <x:v>Progressiva</x:v>
      </x:c>
      <x:c r="D2248" s="24" t="str">
        <x:v>Surfaçada</x:v>
      </x:c>
      <x:c r="E2248" s="24" t="str">
        <x:v>SmartLife Individual 3</x:v>
      </x:c>
      <x:c r="F2248" s="24" t="str">
        <x:v>PhotoFusion X Extra Dark Cinza</x:v>
      </x:c>
      <x:c r="G2248" s="24" t="str">
        <x:v>1.5</x:v>
      </x:c>
      <x:c r="H2248" s="24" t="str">
        <x:v>1.50</x:v>
      </x:c>
      <x:c r="I2248" s="24" t="str">
        <x:v>DuraVision Gold UV</x:v>
      </x:c>
      <x:c r="J2248" s="40" t="n">
        <x:v>12459</x:v>
      </x:c>
      <x:c r="K2248" s="24" t="str">
        <x:v>-6.00 a +5.50</x:v>
      </x:c>
      <x:c r="L2248" s="24" t="str">
        <x:v>-4.00</x:v>
      </x:c>
      <x:c r="M2248" s="24" t="str">
        <x:v>0.75 a 3.00</x:v>
      </x:c>
      <x:c r="N2248" s="24" t="str">
        <x:v>75</x:v>
      </x:c>
      <x:c r="O2248" s="24"/>
      <x:c r="P2248" s="24"/>
      <x:c r="Q2248" s="24" t="str">
        <x:v>DISPONÍVEL</x:v>
      </x:c>
      <x:c r="R2248" s="24" t="str">
        <x:v>Programa de Parcerias ZEISS</x:v>
      </x:c>
      <x:c r="S2248" s="24" t="n">
        <x:v>37</x:v>
      </x:c>
      <x:c r="T2248" s="24" t="str">
        <x:v>tabela_zeiss.pdf</x:v>
      </x:c>
      <x:c r="U2248" s="24" t="str">
        <x:v>ZEISS|Progressiva|Surfaçada|SmartLife Individual 3|PhotoFusion X Extra Dark Cinza|1.5|1.50|DuraVision Gold UV|-6.00 a +5.50|-4.00|0.75 a 3.00|75|||37</x:v>
      </x:c>
    </x:row>
    <x:row r="2249">
      <x:c r="A2249" s="24" t="str">
        <x:v>ZS-AC4377737D45</x:v>
      </x:c>
      <x:c r="B2249" s="24" t="str">
        <x:v>ZEISS</x:v>
      </x:c>
      <x:c r="C2249" s="24" t="str">
        <x:v>Progressiva</x:v>
      </x:c>
      <x:c r="D2249" s="24" t="str">
        <x:v>Surfaçada</x:v>
      </x:c>
      <x:c r="E2249" s="24" t="str">
        <x:v>SmartLife Individual 3</x:v>
      </x:c>
      <x:c r="F2249" s="24" t="str">
        <x:v>PhotoFusion X Extra Dark Cinza</x:v>
      </x:c>
      <x:c r="G2249" s="24" t="str">
        <x:v>1.5</x:v>
      </x:c>
      <x:c r="H2249" s="24" t="str">
        <x:v>1.50</x:v>
      </x:c>
      <x:c r="I2249" s="24" t="str">
        <x:v>DURAVISION® ANTIVÍRUS PLATINUM UV</x:v>
      </x:c>
      <x:c r="J2249" s="40" t="n">
        <x:v>12319</x:v>
      </x:c>
      <x:c r="K2249" s="24" t="str">
        <x:v>-6.00 a +5.50</x:v>
      </x:c>
      <x:c r="L2249" s="24" t="str">
        <x:v>-4.00</x:v>
      </x:c>
      <x:c r="M2249" s="24" t="str">
        <x:v>0.75 a 3.00</x:v>
      </x:c>
      <x:c r="N2249" s="24" t="str">
        <x:v>75</x:v>
      </x:c>
      <x:c r="O2249" s="24"/>
      <x:c r="P2249" s="24"/>
      <x:c r="Q2249" s="24" t="str">
        <x:v>DISPONÍVEL</x:v>
      </x:c>
      <x:c r="R2249" s="24" t="str">
        <x:v>Programa de Parcerias ZEISS</x:v>
      </x:c>
      <x:c r="S2249" s="24" t="n">
        <x:v>37</x:v>
      </x:c>
      <x:c r="T2249" s="24" t="str">
        <x:v>tabela_zeiss.pdf</x:v>
      </x:c>
      <x:c r="U2249" s="24" t="str">
        <x:v>ZEISS|Progressiva|Surfaçada|SmartLife Individual 3|PhotoFusion X Extra Dark Cinza|1.5|1.50|DURAVISION® ANTIVÍRUS PLATINUM UV|-6.00 a +5.50|-4.00|0.75 a 3.00|75|||37</x:v>
      </x:c>
    </x:row>
    <x:row r="2250">
      <x:c r="A2250" s="24" t="str">
        <x:v>ZS-4E920321ADED</x:v>
      </x:c>
      <x:c r="B2250" s="24" t="str">
        <x:v>ZEISS</x:v>
      </x:c>
      <x:c r="C2250" s="24" t="str">
        <x:v>Progressiva</x:v>
      </x:c>
      <x:c r="D2250" s="24" t="str">
        <x:v>Surfaçada</x:v>
      </x:c>
      <x:c r="E2250" s="24" t="str">
        <x:v>SmartLife Individual 3</x:v>
      </x:c>
      <x:c r="F2250" s="24" t="str">
        <x:v>PhotoFusion X Extra Dark Cinza</x:v>
      </x:c>
      <x:c r="G2250" s="24" t="str">
        <x:v>1.5</x:v>
      </x:c>
      <x:c r="H2250" s="24" t="str">
        <x:v>1.50</x:v>
      </x:c>
      <x:c r="I2250" s="24" t="str">
        <x:v>DuraVision Platinum UV</x:v>
      </x:c>
      <x:c r="J2250" s="40" t="n">
        <x:v>12319</x:v>
      </x:c>
      <x:c r="K2250" s="24" t="str">
        <x:v>-6.00 a +5.50</x:v>
      </x:c>
      <x:c r="L2250" s="24" t="str">
        <x:v>-4.00</x:v>
      </x:c>
      <x:c r="M2250" s="24" t="str">
        <x:v>0.75 a 3.00</x:v>
      </x:c>
      <x:c r="N2250" s="24" t="str">
        <x:v>75</x:v>
      </x:c>
      <x:c r="O2250" s="24"/>
      <x:c r="P2250" s="24"/>
      <x:c r="Q2250" s="24" t="str">
        <x:v>DISPONÍVEL</x:v>
      </x:c>
      <x:c r="R2250" s="24" t="str">
        <x:v>Programa de Parcerias ZEISS</x:v>
      </x:c>
      <x:c r="S2250" s="24" t="n">
        <x:v>37</x:v>
      </x:c>
      <x:c r="T2250" s="24" t="str">
        <x:v>tabela_zeiss.pdf</x:v>
      </x:c>
      <x:c r="U2250" s="24" t="str">
        <x:v>ZEISS|Progressiva|Surfaçada|SmartLife Individual 3|PhotoFusion X Extra Dark Cinza|1.5|1.50|DuraVision Platinum UV|-6.00 a +5.50|-4.00|0.75 a 3.00|75|||37</x:v>
      </x:c>
    </x:row>
    <x:row r="2251">
      <x:c r="A2251" s="24" t="str">
        <x:v>ZS-AD589C19DCAE</x:v>
      </x:c>
      <x:c r="B2251" s="24" t="str">
        <x:v>ZEISS</x:v>
      </x:c>
      <x:c r="C2251" s="24" t="str">
        <x:v>Progressiva</x:v>
      </x:c>
      <x:c r="D2251" s="24" t="str">
        <x:v>Surfaçada</x:v>
      </x:c>
      <x:c r="E2251" s="24" t="str">
        <x:v>SmartLife Individual 3</x:v>
      </x:c>
      <x:c r="F2251" s="24" t="str">
        <x:v>PhotoFusion X Extra Dark Cinza</x:v>
      </x:c>
      <x:c r="G2251" s="24" t="str">
        <x:v>1.5</x:v>
      </x:c>
      <x:c r="H2251" s="24" t="str">
        <x:v>1.50</x:v>
      </x:c>
      <x:c r="I2251" s="24" t="str">
        <x:v>DuraVision Silver UV</x:v>
      </x:c>
      <x:c r="J2251" s="40" t="n">
        <x:v>12059</x:v>
      </x:c>
      <x:c r="K2251" s="24" t="str">
        <x:v>-6.00 a +5.50</x:v>
      </x:c>
      <x:c r="L2251" s="24" t="str">
        <x:v>-4.00</x:v>
      </x:c>
      <x:c r="M2251" s="24" t="str">
        <x:v>0.75 a 3.00</x:v>
      </x:c>
      <x:c r="N2251" s="24" t="str">
        <x:v>75</x:v>
      </x:c>
      <x:c r="O2251" s="24"/>
      <x:c r="P2251" s="24"/>
      <x:c r="Q2251" s="24" t="str">
        <x:v>DISPONÍVEL</x:v>
      </x:c>
      <x:c r="R2251" s="24" t="str">
        <x:v>Programa de Parcerias ZEISS</x:v>
      </x:c>
      <x:c r="S2251" s="24" t="n">
        <x:v>37</x:v>
      </x:c>
      <x:c r="T2251" s="24" t="str">
        <x:v>tabela_zeiss.pdf</x:v>
      </x:c>
      <x:c r="U2251" s="24" t="str">
        <x:v>ZEISS|Progressiva|Surfaçada|SmartLife Individual 3|PhotoFusion X Extra Dark Cinza|1.5|1.50|DuraVision Silver UV|-6.00 a +5.50|-4.00|0.75 a 3.00|75|||37</x:v>
      </x:c>
    </x:row>
    <x:row r="2252">
      <x:c r="A2252" s="24" t="str">
        <x:v>ZS-127E0F78D543</x:v>
      </x:c>
      <x:c r="B2252" s="24" t="str">
        <x:v>ZEISS</x:v>
      </x:c>
      <x:c r="C2252" s="24" t="str">
        <x:v>Progressiva</x:v>
      </x:c>
      <x:c r="D2252" s="24" t="str">
        <x:v>Surfaçada</x:v>
      </x:c>
      <x:c r="E2252" s="24" t="str">
        <x:v>SmartLife Individual 3</x:v>
      </x:c>
      <x:c r="F2252" s="24" t="str">
        <x:v>PhotoFusion X Extra Dark Cinza</x:v>
      </x:c>
      <x:c r="G2252" s="24" t="str">
        <x:v>1.5</x:v>
      </x:c>
      <x:c r="H2252" s="24" t="str">
        <x:v>1.50</x:v>
      </x:c>
      <x:c r="I2252" s="24" t="str">
        <x:v>DuraVision Chrome UV</x:v>
      </x:c>
      <x:c r="J2252" s="40" t="n">
        <x:v>11569</x:v>
      </x:c>
      <x:c r="K2252" s="24" t="str">
        <x:v>-6.00 a +5.50</x:v>
      </x:c>
      <x:c r="L2252" s="24" t="str">
        <x:v>-4.00</x:v>
      </x:c>
      <x:c r="M2252" s="24" t="str">
        <x:v>0.75 a 3.00</x:v>
      </x:c>
      <x:c r="N2252" s="24" t="str">
        <x:v>75</x:v>
      </x:c>
      <x:c r="O2252" s="24"/>
      <x:c r="P2252" s="24"/>
      <x:c r="Q2252" s="24" t="str">
        <x:v>DISPONÍVEL</x:v>
      </x:c>
      <x:c r="R2252" s="24" t="str">
        <x:v>Programa de Parcerias ZEISS</x:v>
      </x:c>
      <x:c r="S2252" s="24" t="n">
        <x:v>37</x:v>
      </x:c>
      <x:c r="T2252" s="24" t="str">
        <x:v>tabela_zeiss.pdf</x:v>
      </x:c>
      <x:c r="U2252" s="24" t="str">
        <x:v>ZEISS|Progressiva|Surfaçada|SmartLife Individual 3|PhotoFusion X Extra Dark Cinza|1.5|1.50|DuraVision Chrome UV|-6.00 a +5.50|-4.00|0.75 a 3.00|75|||37</x:v>
      </x:c>
    </x:row>
    <x:row r="2253">
      <x:c r="A2253" s="24" t="str">
        <x:v>ZS-591252CB97E2</x:v>
      </x:c>
      <x:c r="B2253" s="24" t="str">
        <x:v>ZEISS</x:v>
      </x:c>
      <x:c r="C2253" s="24" t="str">
        <x:v>Progressiva</x:v>
      </x:c>
      <x:c r="D2253" s="24" t="str">
        <x:v>Surfaçada</x:v>
      </x:c>
      <x:c r="E2253" s="24" t="str">
        <x:v>SmartLife Individual 3</x:v>
      </x:c>
      <x:c r="F2253" s="24" t="str">
        <x:v>PhotoFusion X Extra Dark Cinza</x:v>
      </x:c>
      <x:c r="G2253" s="24" t="str">
        <x:v>Poli</x:v>
      </x:c>
      <x:c r="H2253" s="24"/>
      <x:c r="I2253" s="24" t="str">
        <x:v>DuraVision Gold UV</x:v>
      </x:c>
      <x:c r="J2253" s="40" t="n">
        <x:v>13049</x:v>
      </x:c>
      <x:c r="K2253" s="24" t="str">
        <x:v>-10.00 a +6.00</x:v>
      </x:c>
      <x:c r="L2253" s="24" t="str">
        <x:v>-6.00</x:v>
      </x:c>
      <x:c r="M2253" s="24" t="str">
        <x:v>0.75 a 3.00</x:v>
      </x:c>
      <x:c r="N2253" s="24" t="str">
        <x:v>70</x:v>
      </x:c>
      <x:c r="O2253" s="24"/>
      <x:c r="P2253" s="24"/>
      <x:c r="Q2253" s="24" t="str">
        <x:v>DISPONÍVEL</x:v>
      </x:c>
      <x:c r="R2253" s="24" t="str">
        <x:v>Programa de Parcerias ZEISS</x:v>
      </x:c>
      <x:c r="S2253" s="24" t="n">
        <x:v>37</x:v>
      </x:c>
      <x:c r="T2253" s="24" t="str">
        <x:v>tabela_zeiss.pdf</x:v>
      </x:c>
      <x:c r="U2253" s="24" t="str">
        <x:v>ZEISS|Progressiva|Surfaçada|SmartLife Individual 3|PhotoFusion X Extra Dark Cinza|Poli||DuraVision Gold UV|-10.00 a +6.00|-6.00|0.75 a 3.00|70|||37</x:v>
      </x:c>
    </x:row>
    <x:row r="2254">
      <x:c r="A2254" s="24" t="str">
        <x:v>ZS-461E37C6DE19</x:v>
      </x:c>
      <x:c r="B2254" s="24" t="str">
        <x:v>ZEISS</x:v>
      </x:c>
      <x:c r="C2254" s="24" t="str">
        <x:v>Progressiva</x:v>
      </x:c>
      <x:c r="D2254" s="24" t="str">
        <x:v>Surfaçada</x:v>
      </x:c>
      <x:c r="E2254" s="24" t="str">
        <x:v>SmartLife Individual 3</x:v>
      </x:c>
      <x:c r="F2254" s="24" t="str">
        <x:v>PhotoFusion X Extra Dark Cinza</x:v>
      </x:c>
      <x:c r="G2254" s="24" t="str">
        <x:v>Poli</x:v>
      </x:c>
      <x:c r="H2254" s="24"/>
      <x:c r="I2254" s="24" t="str">
        <x:v>DuraVision Platinum UV</x:v>
      </x:c>
      <x:c r="J2254" s="40" t="n">
        <x:v>12909</x:v>
      </x:c>
      <x:c r="K2254" s="24" t="str">
        <x:v>-10.00 a +6.00</x:v>
      </x:c>
      <x:c r="L2254" s="24" t="str">
        <x:v>-6.00</x:v>
      </x:c>
      <x:c r="M2254" s="24" t="str">
        <x:v>0.75 a 3.00</x:v>
      </x:c>
      <x:c r="N2254" s="24" t="str">
        <x:v>70</x:v>
      </x:c>
      <x:c r="O2254" s="24"/>
      <x:c r="P2254" s="24"/>
      <x:c r="Q2254" s="24" t="str">
        <x:v>DISPONÍVEL</x:v>
      </x:c>
      <x:c r="R2254" s="24" t="str">
        <x:v>Programa de Parcerias ZEISS</x:v>
      </x:c>
      <x:c r="S2254" s="24" t="n">
        <x:v>37</x:v>
      </x:c>
      <x:c r="T2254" s="24" t="str">
        <x:v>tabela_zeiss.pdf</x:v>
      </x:c>
      <x:c r="U2254" s="24" t="str">
        <x:v>ZEISS|Progressiva|Surfaçada|SmartLife Individual 3|PhotoFusion X Extra Dark Cinza|Poli||DuraVision Platinum UV|-10.00 a +6.00|-6.00|0.75 a 3.00|70|||37</x:v>
      </x:c>
    </x:row>
    <x:row r="2255">
      <x:c r="A2255" s="24" t="str">
        <x:v>ZS-C2BDC58ACDFF</x:v>
      </x:c>
      <x:c r="B2255" s="24" t="str">
        <x:v>ZEISS</x:v>
      </x:c>
      <x:c r="C2255" s="24" t="str">
        <x:v>Progressiva</x:v>
      </x:c>
      <x:c r="D2255" s="24" t="str">
        <x:v>Surfaçada</x:v>
      </x:c>
      <x:c r="E2255" s="24" t="str">
        <x:v>SmartLife Individual 3</x:v>
      </x:c>
      <x:c r="F2255" s="24" t="str">
        <x:v>PhotoFusion X Extra Dark Cinza</x:v>
      </x:c>
      <x:c r="G2255" s="24" t="str">
        <x:v>Poli</x:v>
      </x:c>
      <x:c r="H2255" s="24"/>
      <x:c r="I2255" s="24" t="str">
        <x:v>DuraVision Silver UV</x:v>
      </x:c>
      <x:c r="J2255" s="40" t="n">
        <x:v>12649</x:v>
      </x:c>
      <x:c r="K2255" s="24" t="str">
        <x:v>-10.00 a +6.00</x:v>
      </x:c>
      <x:c r="L2255" s="24" t="str">
        <x:v>-6.00</x:v>
      </x:c>
      <x:c r="M2255" s="24" t="str">
        <x:v>0.75 a 3.00</x:v>
      </x:c>
      <x:c r="N2255" s="24" t="str">
        <x:v>70</x:v>
      </x:c>
      <x:c r="O2255" s="24"/>
      <x:c r="P2255" s="24"/>
      <x:c r="Q2255" s="24" t="str">
        <x:v>DISPONÍVEL</x:v>
      </x:c>
      <x:c r="R2255" s="24" t="str">
        <x:v>Programa de Parcerias ZEISS</x:v>
      </x:c>
      <x:c r="S2255" s="24" t="n">
        <x:v>37</x:v>
      </x:c>
      <x:c r="T2255" s="24" t="str">
        <x:v>tabela_zeiss.pdf</x:v>
      </x:c>
      <x:c r="U2255" s="24" t="str">
        <x:v>ZEISS|Progressiva|Surfaçada|SmartLife Individual 3|PhotoFusion X Extra Dark Cinza|Poli||DuraVision Silver UV|-10.00 a +6.00|-6.00|0.75 a 3.00|70|||37</x:v>
      </x:c>
    </x:row>
    <x:row r="2256">
      <x:c r="A2256" s="24" t="str">
        <x:v>ZS-4A64B801A577</x:v>
      </x:c>
      <x:c r="B2256" s="24" t="str">
        <x:v>ZEISS</x:v>
      </x:c>
      <x:c r="C2256" s="24" t="str">
        <x:v>Progressiva</x:v>
      </x:c>
      <x:c r="D2256" s="24" t="str">
        <x:v>Surfaçada</x:v>
      </x:c>
      <x:c r="E2256" s="24" t="str">
        <x:v>SmartLife Individual 3</x:v>
      </x:c>
      <x:c r="F2256" s="24" t="str">
        <x:v>PhotoFusion X Extra Dark Cinza</x:v>
      </x:c>
      <x:c r="G2256" s="24" t="str">
        <x:v>Poli</x:v>
      </x:c>
      <x:c r="H2256" s="24"/>
      <x:c r="I2256" s="24" t="str">
        <x:v>DuraVision Chrome UV</x:v>
      </x:c>
      <x:c r="J2256" s="40" t="n">
        <x:v>12159</x:v>
      </x:c>
      <x:c r="K2256" s="24" t="str">
        <x:v>-10.00 a +6.00</x:v>
      </x:c>
      <x:c r="L2256" s="24" t="str">
        <x:v>-6.00</x:v>
      </x:c>
      <x:c r="M2256" s="24" t="str">
        <x:v>0.75 a 3.00</x:v>
      </x:c>
      <x:c r="N2256" s="24" t="str">
        <x:v>70</x:v>
      </x:c>
      <x:c r="O2256" s="24"/>
      <x:c r="P2256" s="24"/>
      <x:c r="Q2256" s="24" t="str">
        <x:v>DISPONÍVEL</x:v>
      </x:c>
      <x:c r="R2256" s="24" t="str">
        <x:v>Programa de Parcerias ZEISS</x:v>
      </x:c>
      <x:c r="S2256" s="24" t="n">
        <x:v>37</x:v>
      </x:c>
      <x:c r="T2256" s="24" t="str">
        <x:v>tabela_zeiss.pdf</x:v>
      </x:c>
      <x:c r="U2256" s="24" t="str">
        <x:v>ZEISS|Progressiva|Surfaçada|SmartLife Individual 3|PhotoFusion X Extra Dark Cinza|Poli||DuraVision Chrome UV|-10.00 a +6.00|-6.00|0.75 a 3.00|70|||37</x:v>
      </x:c>
    </x:row>
    <x:row r="2257">
      <x:c r="A2257" s="24" t="str">
        <x:v>ZS-D8CFC262FC0C</x:v>
      </x:c>
      <x:c r="B2257" s="24" t="str">
        <x:v>ZEISS</x:v>
      </x:c>
      <x:c r="C2257" s="24" t="str">
        <x:v>Progressiva</x:v>
      </x:c>
      <x:c r="D2257" s="24" t="str">
        <x:v>Surfaçada</x:v>
      </x:c>
      <x:c r="E2257" s="24" t="str">
        <x:v>SmartLife Individual 3</x:v>
      </x:c>
      <x:c r="F2257" s="24" t="str">
        <x:v>PhotoFusion X Extra Dark Cinza</x:v>
      </x:c>
      <x:c r="G2257" s="24" t="str">
        <x:v>1.6</x:v>
      </x:c>
      <x:c r="H2257" s="24" t="str">
        <x:v>1.60</x:v>
      </x:c>
      <x:c r="I2257" s="24" t="str">
        <x:v>DuraVision Gold UV</x:v>
      </x:c>
      <x:c r="J2257" s="40" t="n">
        <x:v>13709</x:v>
      </x:c>
      <x:c r="K2257" s="24" t="str">
        <x:v>-7.25 a +6.00</x:v>
      </x:c>
      <x:c r="L2257" s="24" t="str">
        <x:v>-6.00</x:v>
      </x:c>
      <x:c r="M2257" s="24" t="str">
        <x:v>0.75 a 3.50</x:v>
      </x:c>
      <x:c r="N2257" s="24" t="str">
        <x:v>75</x:v>
      </x:c>
      <x:c r="O2257" s="24"/>
      <x:c r="P2257" s="24"/>
      <x:c r="Q2257" s="24" t="str">
        <x:v>DISPONÍVEL</x:v>
      </x:c>
      <x:c r="R2257" s="24" t="str">
        <x:v>Programa de Parcerias ZEISS</x:v>
      </x:c>
      <x:c r="S2257" s="24" t="n">
        <x:v>37</x:v>
      </x:c>
      <x:c r="T2257" s="24" t="str">
        <x:v>tabela_zeiss.pdf</x:v>
      </x:c>
      <x:c r="U2257" s="24" t="str">
        <x:v>ZEISS|Progressiva|Surfaçada|SmartLife Individual 3|PhotoFusion X Extra Dark Cinza|1.6|1.60|DuraVision Gold UV|-7.25 a +6.00|-6.00|0.75 a 3.50|75|||37</x:v>
      </x:c>
    </x:row>
    <x:row r="2258">
      <x:c r="A2258" s="24" t="str">
        <x:v>ZS-9FF89E114B66</x:v>
      </x:c>
      <x:c r="B2258" s="24" t="str">
        <x:v>ZEISS</x:v>
      </x:c>
      <x:c r="C2258" s="24" t="str">
        <x:v>Progressiva</x:v>
      </x:c>
      <x:c r="D2258" s="24" t="str">
        <x:v>Surfaçada</x:v>
      </x:c>
      <x:c r="E2258" s="24" t="str">
        <x:v>SmartLife Individual 3</x:v>
      </x:c>
      <x:c r="F2258" s="24" t="str">
        <x:v>PhotoFusion X Extra Dark Cinza</x:v>
      </x:c>
      <x:c r="G2258" s="24" t="str">
        <x:v>1.6</x:v>
      </x:c>
      <x:c r="H2258" s="24" t="str">
        <x:v>1.60</x:v>
      </x:c>
      <x:c r="I2258" s="24" t="str">
        <x:v>DURAVISION® ANTIVÍRUS PLATINUM UV</x:v>
      </x:c>
      <x:c r="J2258" s="40" t="n">
        <x:v>13569</x:v>
      </x:c>
      <x:c r="K2258" s="24" t="str">
        <x:v>-7.25 a +6.00</x:v>
      </x:c>
      <x:c r="L2258" s="24" t="str">
        <x:v>-6.00</x:v>
      </x:c>
      <x:c r="M2258" s="24" t="str">
        <x:v>0.75 a 3.50</x:v>
      </x:c>
      <x:c r="N2258" s="24" t="str">
        <x:v>75</x:v>
      </x:c>
      <x:c r="O2258" s="24"/>
      <x:c r="P2258" s="24"/>
      <x:c r="Q2258" s="24" t="str">
        <x:v>DISPONÍVEL</x:v>
      </x:c>
      <x:c r="R2258" s="24" t="str">
        <x:v>Programa de Parcerias ZEISS</x:v>
      </x:c>
      <x:c r="S2258" s="24" t="n">
        <x:v>37</x:v>
      </x:c>
      <x:c r="T2258" s="24" t="str">
        <x:v>tabela_zeiss.pdf</x:v>
      </x:c>
      <x:c r="U2258" s="24" t="str">
        <x:v>ZEISS|Progressiva|Surfaçada|SmartLife Individual 3|PhotoFusion X Extra Dark Cinza|1.6|1.60|DURAVISION® ANTIVÍRUS PLATINUM UV|-7.25 a +6.00|-6.00|0.75 a 3.50|75|||37</x:v>
      </x:c>
    </x:row>
    <x:row r="2259">
      <x:c r="A2259" s="24" t="str">
        <x:v>ZS-9C00023080F6</x:v>
      </x:c>
      <x:c r="B2259" s="24" t="str">
        <x:v>ZEISS</x:v>
      </x:c>
      <x:c r="C2259" s="24" t="str">
        <x:v>Progressiva</x:v>
      </x:c>
      <x:c r="D2259" s="24" t="str">
        <x:v>Surfaçada</x:v>
      </x:c>
      <x:c r="E2259" s="24" t="str">
        <x:v>SmartLife Individual 3</x:v>
      </x:c>
      <x:c r="F2259" s="24" t="str">
        <x:v>PhotoFusion X Extra Dark Cinza</x:v>
      </x:c>
      <x:c r="G2259" s="24" t="str">
        <x:v>1.6</x:v>
      </x:c>
      <x:c r="H2259" s="24" t="str">
        <x:v>1.60</x:v>
      </x:c>
      <x:c r="I2259" s="24" t="str">
        <x:v>DuraVision Platinum UV</x:v>
      </x:c>
      <x:c r="J2259" s="40" t="n">
        <x:v>13569</x:v>
      </x:c>
      <x:c r="K2259" s="24" t="str">
        <x:v>-7.25 a +6.00</x:v>
      </x:c>
      <x:c r="L2259" s="24" t="str">
        <x:v>-6.00</x:v>
      </x:c>
      <x:c r="M2259" s="24" t="str">
        <x:v>0.75 a 3.50</x:v>
      </x:c>
      <x:c r="N2259" s="24" t="str">
        <x:v>75</x:v>
      </x:c>
      <x:c r="O2259" s="24"/>
      <x:c r="P2259" s="24"/>
      <x:c r="Q2259" s="24" t="str">
        <x:v>DISPONÍVEL</x:v>
      </x:c>
      <x:c r="R2259" s="24" t="str">
        <x:v>Programa de Parcerias ZEISS</x:v>
      </x:c>
      <x:c r="S2259" s="24" t="n">
        <x:v>37</x:v>
      </x:c>
      <x:c r="T2259" s="24" t="str">
        <x:v>tabela_zeiss.pdf</x:v>
      </x:c>
      <x:c r="U2259" s="24" t="str">
        <x:v>ZEISS|Progressiva|Surfaçada|SmartLife Individual 3|PhotoFusion X Extra Dark Cinza|1.6|1.60|DuraVision Platinum UV|-7.25 a +6.00|-6.00|0.75 a 3.50|75|||37</x:v>
      </x:c>
    </x:row>
    <x:row r="2260">
      <x:c r="A2260" s="24" t="str">
        <x:v>ZS-61653107B13E</x:v>
      </x:c>
      <x:c r="B2260" s="24" t="str">
        <x:v>ZEISS</x:v>
      </x:c>
      <x:c r="C2260" s="24" t="str">
        <x:v>Progressiva</x:v>
      </x:c>
      <x:c r="D2260" s="24" t="str">
        <x:v>Surfaçada</x:v>
      </x:c>
      <x:c r="E2260" s="24" t="str">
        <x:v>SmartLife Individual 3</x:v>
      </x:c>
      <x:c r="F2260" s="24" t="str">
        <x:v>PhotoFusion X Extra Dark Cinza</x:v>
      </x:c>
      <x:c r="G2260" s="24" t="str">
        <x:v>1.6</x:v>
      </x:c>
      <x:c r="H2260" s="24" t="str">
        <x:v>1.60</x:v>
      </x:c>
      <x:c r="I2260" s="24" t="str">
        <x:v>DuraVision Silver UV</x:v>
      </x:c>
      <x:c r="J2260" s="40" t="n">
        <x:v>13309</x:v>
      </x:c>
      <x:c r="K2260" s="24" t="str">
        <x:v>-7.25 a +6.00</x:v>
      </x:c>
      <x:c r="L2260" s="24" t="str">
        <x:v>-6.00</x:v>
      </x:c>
      <x:c r="M2260" s="24" t="str">
        <x:v>0.75 a 3.50</x:v>
      </x:c>
      <x:c r="N2260" s="24" t="str">
        <x:v>75</x:v>
      </x:c>
      <x:c r="O2260" s="24"/>
      <x:c r="P2260" s="24"/>
      <x:c r="Q2260" s="24" t="str">
        <x:v>DISPONÍVEL</x:v>
      </x:c>
      <x:c r="R2260" s="24" t="str">
        <x:v>Programa de Parcerias ZEISS</x:v>
      </x:c>
      <x:c r="S2260" s="24" t="n">
        <x:v>37</x:v>
      </x:c>
      <x:c r="T2260" s="24" t="str">
        <x:v>tabela_zeiss.pdf</x:v>
      </x:c>
      <x:c r="U2260" s="24" t="str">
        <x:v>ZEISS|Progressiva|Surfaçada|SmartLife Individual 3|PhotoFusion X Extra Dark Cinza|1.6|1.60|DuraVision Silver UV|-7.25 a +6.00|-6.00|0.75 a 3.50|75|||37</x:v>
      </x:c>
    </x:row>
    <x:row r="2261">
      <x:c r="A2261" s="24" t="str">
        <x:v>ZS-AAF35329A801</x:v>
      </x:c>
      <x:c r="B2261" s="24" t="str">
        <x:v>ZEISS</x:v>
      </x:c>
      <x:c r="C2261" s="24" t="str">
        <x:v>Progressiva</x:v>
      </x:c>
      <x:c r="D2261" s="24" t="str">
        <x:v>Surfaçada</x:v>
      </x:c>
      <x:c r="E2261" s="24" t="str">
        <x:v>SmartLife Individual 3</x:v>
      </x:c>
      <x:c r="F2261" s="24" t="str">
        <x:v>PhotoFusion X Extra Dark Cinza</x:v>
      </x:c>
      <x:c r="G2261" s="24" t="str">
        <x:v>1.6</x:v>
      </x:c>
      <x:c r="H2261" s="24" t="str">
        <x:v>1.60</x:v>
      </x:c>
      <x:c r="I2261" s="24" t="str">
        <x:v>DuraVision Chrome UV</x:v>
      </x:c>
      <x:c r="J2261" s="40" t="n">
        <x:v>12819</x:v>
      </x:c>
      <x:c r="K2261" s="24" t="str">
        <x:v>-7.25 a +6.00</x:v>
      </x:c>
      <x:c r="L2261" s="24" t="str">
        <x:v>-6.00</x:v>
      </x:c>
      <x:c r="M2261" s="24" t="str">
        <x:v>0.75 a 3.50</x:v>
      </x:c>
      <x:c r="N2261" s="24" t="str">
        <x:v>75</x:v>
      </x:c>
      <x:c r="O2261" s="24"/>
      <x:c r="P2261" s="24"/>
      <x:c r="Q2261" s="24" t="str">
        <x:v>DISPONÍVEL</x:v>
      </x:c>
      <x:c r="R2261" s="24" t="str">
        <x:v>Programa de Parcerias ZEISS</x:v>
      </x:c>
      <x:c r="S2261" s="24" t="n">
        <x:v>37</x:v>
      </x:c>
      <x:c r="T2261" s="24" t="str">
        <x:v>tabela_zeiss.pdf</x:v>
      </x:c>
      <x:c r="U2261" s="24" t="str">
        <x:v>ZEISS|Progressiva|Surfaçada|SmartLife Individual 3|PhotoFusion X Extra Dark Cinza|1.6|1.60|DuraVision Chrome UV|-7.25 a +6.00|-6.00|0.75 a 3.50|75|||37</x:v>
      </x:c>
    </x:row>
    <x:row r="2262">
      <x:c r="A2262" s="24" t="str">
        <x:v>ZS-F75D8F221F03</x:v>
      </x:c>
      <x:c r="B2262" s="24" t="str">
        <x:v>ZEISS</x:v>
      </x:c>
      <x:c r="C2262" s="24" t="str">
        <x:v>Progressiva</x:v>
      </x:c>
      <x:c r="D2262" s="24" t="str">
        <x:v>Surfaçada</x:v>
      </x:c>
      <x:c r="E2262" s="24" t="str">
        <x:v>SmartLife Individual 3</x:v>
      </x:c>
      <x:c r="F2262" s="24" t="str">
        <x:v>PhotoFusion X Extra Dark Cinza</x:v>
      </x:c>
      <x:c r="G2262" s="24" t="str">
        <x:v>1.67</x:v>
      </x:c>
      <x:c r="H2262" s="24" t="str">
        <x:v>1.67</x:v>
      </x:c>
      <x:c r="I2262" s="24" t="str">
        <x:v>DuraVision Gold UV</x:v>
      </x:c>
      <x:c r="J2262" s="40" t="n">
        <x:v>15349</x:v>
      </x:c>
      <x:c r="K2262" s="24" t="str">
        <x:v>-8.00 a +8.00</x:v>
      </x:c>
      <x:c r="L2262" s="24" t="str">
        <x:v>-6.00</x:v>
      </x:c>
      <x:c r="M2262" s="24" t="str">
        <x:v>0.75 a 3.00</x:v>
      </x:c>
      <x:c r="N2262" s="24" t="str">
        <x:v>70</x:v>
      </x:c>
      <x:c r="O2262" s="24"/>
      <x:c r="P2262" s="24"/>
      <x:c r="Q2262" s="24" t="str">
        <x:v>DISPONÍVEL</x:v>
      </x:c>
      <x:c r="R2262" s="24" t="str">
        <x:v>Programa de Parcerias ZEISS</x:v>
      </x:c>
      <x:c r="S2262" s="24" t="n">
        <x:v>37</x:v>
      </x:c>
      <x:c r="T2262" s="24" t="str">
        <x:v>tabela_zeiss.pdf</x:v>
      </x:c>
      <x:c r="U2262" s="24" t="str">
        <x:v>ZEISS|Progressiva|Surfaçada|SmartLife Individual 3|PhotoFusion X Extra Dark Cinza|1.67|1.67|DuraVision Gold UV|-8.00 a +8.00|-6.00|0.75 a 3.00|70|||37</x:v>
      </x:c>
    </x:row>
    <x:row r="2263">
      <x:c r="A2263" s="24" t="str">
        <x:v>ZS-569D91068480</x:v>
      </x:c>
      <x:c r="B2263" s="24" t="str">
        <x:v>ZEISS</x:v>
      </x:c>
      <x:c r="C2263" s="24" t="str">
        <x:v>Progressiva</x:v>
      </x:c>
      <x:c r="D2263" s="24" t="str">
        <x:v>Surfaçada</x:v>
      </x:c>
      <x:c r="E2263" s="24" t="str">
        <x:v>SmartLife Individual 3</x:v>
      </x:c>
      <x:c r="F2263" s="24" t="str">
        <x:v>PhotoFusion X Extra Dark Cinza</x:v>
      </x:c>
      <x:c r="G2263" s="24" t="str">
        <x:v>1.67</x:v>
      </x:c>
      <x:c r="H2263" s="24" t="str">
        <x:v>1.67</x:v>
      </x:c>
      <x:c r="I2263" s="24" t="str">
        <x:v>DURAVISION® ANTIVÍRUS PLATINUM UV</x:v>
      </x:c>
      <x:c r="J2263" s="40" t="n">
        <x:v>15209</x:v>
      </x:c>
      <x:c r="K2263" s="24" t="str">
        <x:v>-8.00 a +8.00</x:v>
      </x:c>
      <x:c r="L2263" s="24" t="str">
        <x:v>-6.00</x:v>
      </x:c>
      <x:c r="M2263" s="24" t="str">
        <x:v>0.75 a 3.00</x:v>
      </x:c>
      <x:c r="N2263" s="24" t="str">
        <x:v>70</x:v>
      </x:c>
      <x:c r="O2263" s="24"/>
      <x:c r="P2263" s="24"/>
      <x:c r="Q2263" s="24" t="str">
        <x:v>DISPONÍVEL</x:v>
      </x:c>
      <x:c r="R2263" s="24" t="str">
        <x:v>Programa de Parcerias ZEISS</x:v>
      </x:c>
      <x:c r="S2263" s="24" t="n">
        <x:v>37</x:v>
      </x:c>
      <x:c r="T2263" s="24" t="str">
        <x:v>tabela_zeiss.pdf</x:v>
      </x:c>
      <x:c r="U2263" s="24" t="str">
        <x:v>ZEISS|Progressiva|Surfaçada|SmartLife Individual 3|PhotoFusion X Extra Dark Cinza|1.67|1.67|DURAVISION® ANTIVÍRUS PLATINUM UV|-8.00 a +8.00|-6.00|0.75 a 3.00|70|||37</x:v>
      </x:c>
    </x:row>
    <x:row r="2264">
      <x:c r="A2264" s="24" t="str">
        <x:v>ZS-E7DB60980034</x:v>
      </x:c>
      <x:c r="B2264" s="24" t="str">
        <x:v>ZEISS</x:v>
      </x:c>
      <x:c r="C2264" s="24" t="str">
        <x:v>Progressiva</x:v>
      </x:c>
      <x:c r="D2264" s="24" t="str">
        <x:v>Surfaçada</x:v>
      </x:c>
      <x:c r="E2264" s="24" t="str">
        <x:v>SmartLife Individual 3</x:v>
      </x:c>
      <x:c r="F2264" s="24" t="str">
        <x:v>PhotoFusion X Extra Dark Cinza</x:v>
      </x:c>
      <x:c r="G2264" s="24" t="str">
        <x:v>1.67</x:v>
      </x:c>
      <x:c r="H2264" s="24" t="str">
        <x:v>1.67</x:v>
      </x:c>
      <x:c r="I2264" s="24" t="str">
        <x:v>DuraVision Platinum UV</x:v>
      </x:c>
      <x:c r="J2264" s="40" t="n">
        <x:v>15209</x:v>
      </x:c>
      <x:c r="K2264" s="24" t="str">
        <x:v>-8.00 a +8.00</x:v>
      </x:c>
      <x:c r="L2264" s="24" t="str">
        <x:v>-6.00</x:v>
      </x:c>
      <x:c r="M2264" s="24" t="str">
        <x:v>0.75 a 3.00</x:v>
      </x:c>
      <x:c r="N2264" s="24" t="str">
        <x:v>70</x:v>
      </x:c>
      <x:c r="O2264" s="24"/>
      <x:c r="P2264" s="24"/>
      <x:c r="Q2264" s="24" t="str">
        <x:v>DISPONÍVEL</x:v>
      </x:c>
      <x:c r="R2264" s="24" t="str">
        <x:v>Programa de Parcerias ZEISS</x:v>
      </x:c>
      <x:c r="S2264" s="24" t="n">
        <x:v>37</x:v>
      </x:c>
      <x:c r="T2264" s="24" t="str">
        <x:v>tabela_zeiss.pdf</x:v>
      </x:c>
      <x:c r="U2264" s="24" t="str">
        <x:v>ZEISS|Progressiva|Surfaçada|SmartLife Individual 3|PhotoFusion X Extra Dark Cinza|1.67|1.67|DuraVision Platinum UV|-8.00 a +8.00|-6.00|0.75 a 3.00|70|||37</x:v>
      </x:c>
    </x:row>
    <x:row r="2265">
      <x:c r="A2265" s="24" t="str">
        <x:v>ZS-7C8BA81EA8EB</x:v>
      </x:c>
      <x:c r="B2265" s="24" t="str">
        <x:v>ZEISS</x:v>
      </x:c>
      <x:c r="C2265" s="24" t="str">
        <x:v>Progressiva</x:v>
      </x:c>
      <x:c r="D2265" s="24" t="str">
        <x:v>Surfaçada</x:v>
      </x:c>
      <x:c r="E2265" s="24" t="str">
        <x:v>SmartLife Individual 3</x:v>
      </x:c>
      <x:c r="F2265" s="24" t="str">
        <x:v>PhotoFusion X Extra Dark Cinza</x:v>
      </x:c>
      <x:c r="G2265" s="24" t="str">
        <x:v>1.67</x:v>
      </x:c>
      <x:c r="H2265" s="24" t="str">
        <x:v>1.67</x:v>
      </x:c>
      <x:c r="I2265" s="24" t="str">
        <x:v>DuraVision Silver UV</x:v>
      </x:c>
      <x:c r="J2265" s="40" t="n">
        <x:v>14949</x:v>
      </x:c>
      <x:c r="K2265" s="24" t="str">
        <x:v>-8.00 a +8.00</x:v>
      </x:c>
      <x:c r="L2265" s="24" t="str">
        <x:v>-6.00</x:v>
      </x:c>
      <x:c r="M2265" s="24" t="str">
        <x:v>0.75 a 3.00</x:v>
      </x:c>
      <x:c r="N2265" s="24" t="str">
        <x:v>70</x:v>
      </x:c>
      <x:c r="O2265" s="24"/>
      <x:c r="P2265" s="24"/>
      <x:c r="Q2265" s="24" t="str">
        <x:v>DISPONÍVEL</x:v>
      </x:c>
      <x:c r="R2265" s="24" t="str">
        <x:v>Programa de Parcerias ZEISS</x:v>
      </x:c>
      <x:c r="S2265" s="24" t="n">
        <x:v>37</x:v>
      </x:c>
      <x:c r="T2265" s="24" t="str">
        <x:v>tabela_zeiss.pdf</x:v>
      </x:c>
      <x:c r="U2265" s="24" t="str">
        <x:v>ZEISS|Progressiva|Surfaçada|SmartLife Individual 3|PhotoFusion X Extra Dark Cinza|1.67|1.67|DuraVision Silver UV|-8.00 a +8.00|-6.00|0.75 a 3.00|70|||37</x:v>
      </x:c>
    </x:row>
    <x:row r="2266">
      <x:c r="A2266" s="24" t="str">
        <x:v>ZS-C5E3A4E3589C</x:v>
      </x:c>
      <x:c r="B2266" s="24" t="str">
        <x:v>ZEISS</x:v>
      </x:c>
      <x:c r="C2266" s="24" t="str">
        <x:v>Progressiva</x:v>
      </x:c>
      <x:c r="D2266" s="24" t="str">
        <x:v>Surfaçada</x:v>
      </x:c>
      <x:c r="E2266" s="24" t="str">
        <x:v>SmartLife Individual 3</x:v>
      </x:c>
      <x:c r="F2266" s="24" t="str">
        <x:v>PhotoFusion X Extra Dark Cinza</x:v>
      </x:c>
      <x:c r="G2266" s="24" t="str">
        <x:v>1.67</x:v>
      </x:c>
      <x:c r="H2266" s="24" t="str">
        <x:v>1.67</x:v>
      </x:c>
      <x:c r="I2266" s="24" t="str">
        <x:v>DuraVision Chrome UV</x:v>
      </x:c>
      <x:c r="J2266" s="40" t="n">
        <x:v>14459</x:v>
      </x:c>
      <x:c r="K2266" s="24" t="str">
        <x:v>-8.00 a +8.00</x:v>
      </x:c>
      <x:c r="L2266" s="24" t="str">
        <x:v>-6.00</x:v>
      </x:c>
      <x:c r="M2266" s="24" t="str">
        <x:v>0.75 a 3.00</x:v>
      </x:c>
      <x:c r="N2266" s="24" t="str">
        <x:v>70</x:v>
      </x:c>
      <x:c r="O2266" s="24"/>
      <x:c r="P2266" s="24"/>
      <x:c r="Q2266" s="24" t="str">
        <x:v>DISPONÍVEL</x:v>
      </x:c>
      <x:c r="R2266" s="24" t="str">
        <x:v>Programa de Parcerias ZEISS</x:v>
      </x:c>
      <x:c r="S2266" s="24" t="n">
        <x:v>37</x:v>
      </x:c>
      <x:c r="T2266" s="24" t="str">
        <x:v>tabela_zeiss.pdf</x:v>
      </x:c>
      <x:c r="U2266" s="24" t="str">
        <x:v>ZEISS|Progressiva|Surfaçada|SmartLife Individual 3|PhotoFusion X Extra Dark Cinza|1.67|1.67|DuraVision Chrome UV|-8.00 a +8.00|-6.00|0.75 a 3.00|70|||37</x:v>
      </x:c>
    </x:row>
    <x:row r="2267">
      <x:c r="A2267" s="24" t="str">
        <x:v>ZS-6FEE0AD76B12</x:v>
      </x:c>
      <x:c r="B2267" s="24" t="str">
        <x:v>ZEISS</x:v>
      </x:c>
      <x:c r="C2267" s="24" t="str">
        <x:v>Progressiva</x:v>
      </x:c>
      <x:c r="D2267" s="24" t="str">
        <x:v>Surfaçada</x:v>
      </x:c>
      <x:c r="E2267" s="24" t="str">
        <x:v>SmartLife Individual 3</x:v>
      </x:c>
      <x:c r="F2267" s="24" t="str">
        <x:v>Polarizada</x:v>
      </x:c>
      <x:c r="G2267" s="24" t="str">
        <x:v>1.5</x:v>
      </x:c>
      <x:c r="H2267" s="24" t="str">
        <x:v>1.50</x:v>
      </x:c>
      <x:c r="I2267" s="24" t="str">
        <x:v>DuraVision Gold UV</x:v>
      </x:c>
      <x:c r="J2267" s="40" t="n">
        <x:v>11829</x:v>
      </x:c>
      <x:c r="K2267" s="24" t="str">
        <x:v>-6.00 a +6.00</x:v>
      </x:c>
      <x:c r="L2267" s="24" t="str">
        <x:v>-4.00</x:v>
      </x:c>
      <x:c r="M2267" s="24" t="str">
        <x:v>0.75 a 3.50</x:v>
      </x:c>
      <x:c r="N2267" s="24" t="str">
        <x:v>70</x:v>
      </x:c>
      <x:c r="O2267" s="24"/>
      <x:c r="P2267" s="24"/>
      <x:c r="Q2267" s="24" t="str">
        <x:v>DISPONÍVEL</x:v>
      </x:c>
      <x:c r="R2267" s="24"/>
      <x:c r="S2267" s="24" t="n">
        <x:v>37</x:v>
      </x:c>
      <x:c r="T2267" s="24" t="str">
        <x:v>tabela_zeiss.pdf</x:v>
      </x:c>
      <x:c r="U2267" s="24" t="str">
        <x:v>ZEISS|Progressiva|Surfaçada|SmartLife Individual 3|Polarizada|1.5|1.50|DuraVision Gold UV|-6.00 a +6.00|-4.00|0.75 a 3.50|70|||37</x:v>
      </x:c>
    </x:row>
    <x:row r="2268">
      <x:c r="A2268" s="24" t="str">
        <x:v>ZS-5AFA9F7FC4F1</x:v>
      </x:c>
      <x:c r="B2268" s="24" t="str">
        <x:v>ZEISS</x:v>
      </x:c>
      <x:c r="C2268" s="24" t="str">
        <x:v>Progressiva</x:v>
      </x:c>
      <x:c r="D2268" s="24" t="str">
        <x:v>Surfaçada</x:v>
      </x:c>
      <x:c r="E2268" s="24" t="str">
        <x:v>SmartLife Individual 3</x:v>
      </x:c>
      <x:c r="F2268" s="24" t="str">
        <x:v>Polarizada</x:v>
      </x:c>
      <x:c r="G2268" s="24" t="str">
        <x:v>1.5</x:v>
      </x:c>
      <x:c r="H2268" s="24" t="str">
        <x:v>1.50</x:v>
      </x:c>
      <x:c r="I2268" s="24" t="str">
        <x:v>DuraVision Platinum UV</x:v>
      </x:c>
      <x:c r="J2268" s="40" t="n">
        <x:v>11689</x:v>
      </x:c>
      <x:c r="K2268" s="24" t="str">
        <x:v>-6.00 a +6.00</x:v>
      </x:c>
      <x:c r="L2268" s="24" t="str">
        <x:v>-4.00</x:v>
      </x:c>
      <x:c r="M2268" s="24" t="str">
        <x:v>0.75 a 3.50</x:v>
      </x:c>
      <x:c r="N2268" s="24" t="str">
        <x:v>70</x:v>
      </x:c>
      <x:c r="O2268" s="24"/>
      <x:c r="P2268" s="24"/>
      <x:c r="Q2268" s="24" t="str">
        <x:v>DISPONÍVEL</x:v>
      </x:c>
      <x:c r="R2268" s="24"/>
      <x:c r="S2268" s="24" t="n">
        <x:v>37</x:v>
      </x:c>
      <x:c r="T2268" s="24" t="str">
        <x:v>tabela_zeiss.pdf</x:v>
      </x:c>
      <x:c r="U2268" s="24" t="str">
        <x:v>ZEISS|Progressiva|Surfaçada|SmartLife Individual 3|Polarizada|1.5|1.50|DuraVision Platinum UV|-6.00 a +6.00|-4.00|0.75 a 3.50|70|||37</x:v>
      </x:c>
    </x:row>
    <x:row r="2269">
      <x:c r="A2269" s="24" t="str">
        <x:v>ZS-8E0A0BD2C539</x:v>
      </x:c>
      <x:c r="B2269" s="24" t="str">
        <x:v>ZEISS</x:v>
      </x:c>
      <x:c r="C2269" s="24" t="str">
        <x:v>Progressiva</x:v>
      </x:c>
      <x:c r="D2269" s="24" t="str">
        <x:v>Surfaçada</x:v>
      </x:c>
      <x:c r="E2269" s="24" t="str">
        <x:v>SmartLife Individual 3</x:v>
      </x:c>
      <x:c r="F2269" s="24" t="str">
        <x:v>Polarizada</x:v>
      </x:c>
      <x:c r="G2269" s="24" t="str">
        <x:v>1.5</x:v>
      </x:c>
      <x:c r="H2269" s="24" t="str">
        <x:v>1.50</x:v>
      </x:c>
      <x:c r="I2269" s="24" t="str">
        <x:v>DuraVision Silver UV</x:v>
      </x:c>
      <x:c r="J2269" s="40" t="n">
        <x:v>11429</x:v>
      </x:c>
      <x:c r="K2269" s="24" t="str">
        <x:v>-6.00 a +6.00</x:v>
      </x:c>
      <x:c r="L2269" s="24" t="str">
        <x:v>-4.00</x:v>
      </x:c>
      <x:c r="M2269" s="24" t="str">
        <x:v>0.75 a 3.50</x:v>
      </x:c>
      <x:c r="N2269" s="24" t="str">
        <x:v>70</x:v>
      </x:c>
      <x:c r="O2269" s="24"/>
      <x:c r="P2269" s="24"/>
      <x:c r="Q2269" s="24" t="str">
        <x:v>DISPONÍVEL</x:v>
      </x:c>
      <x:c r="R2269" s="24"/>
      <x:c r="S2269" s="24" t="n">
        <x:v>37</x:v>
      </x:c>
      <x:c r="T2269" s="24" t="str">
        <x:v>tabela_zeiss.pdf</x:v>
      </x:c>
      <x:c r="U2269" s="24" t="str">
        <x:v>ZEISS|Progressiva|Surfaçada|SmartLife Individual 3|Polarizada|1.5|1.50|DuraVision Silver UV|-6.00 a +6.00|-4.00|0.75 a 3.50|70|||37</x:v>
      </x:c>
    </x:row>
    <x:row r="2270">
      <x:c r="A2270" s="24" t="str">
        <x:v>ZS-1C97E44F26E4</x:v>
      </x:c>
      <x:c r="B2270" s="24" t="str">
        <x:v>ZEISS</x:v>
      </x:c>
      <x:c r="C2270" s="24" t="str">
        <x:v>Progressiva</x:v>
      </x:c>
      <x:c r="D2270" s="24" t="str">
        <x:v>Surfaçada</x:v>
      </x:c>
      <x:c r="E2270" s="24" t="str">
        <x:v>SmartLife Individual 3</x:v>
      </x:c>
      <x:c r="F2270" s="24" t="str">
        <x:v>Polarizada</x:v>
      </x:c>
      <x:c r="G2270" s="24" t="str">
        <x:v>1.5</x:v>
      </x:c>
      <x:c r="H2270" s="24" t="str">
        <x:v>1.50</x:v>
      </x:c>
      <x:c r="I2270" s="24" t="str">
        <x:v>DuraVision Chrome UV</x:v>
      </x:c>
      <x:c r="J2270" s="40" t="n">
        <x:v>10939</x:v>
      </x:c>
      <x:c r="K2270" s="24" t="str">
        <x:v>-6.00 a +6.00</x:v>
      </x:c>
      <x:c r="L2270" s="24" t="str">
        <x:v>-4.00</x:v>
      </x:c>
      <x:c r="M2270" s="24" t="str">
        <x:v>0.75 a 3.50</x:v>
      </x:c>
      <x:c r="N2270" s="24" t="str">
        <x:v>70</x:v>
      </x:c>
      <x:c r="O2270" s="24"/>
      <x:c r="P2270" s="24"/>
      <x:c r="Q2270" s="24" t="str">
        <x:v>DISPONÍVEL</x:v>
      </x:c>
      <x:c r="R2270" s="24"/>
      <x:c r="S2270" s="24" t="n">
        <x:v>37</x:v>
      </x:c>
      <x:c r="T2270" s="24" t="str">
        <x:v>tabela_zeiss.pdf</x:v>
      </x:c>
      <x:c r="U2270" s="24" t="str">
        <x:v>ZEISS|Progressiva|Surfaçada|SmartLife Individual 3|Polarizada|1.5|1.50|DuraVision Chrome UV|-6.00 a +6.00|-4.00|0.75 a 3.50|70|||37</x:v>
      </x:c>
    </x:row>
    <x:row r="2271">
      <x:c r="A2271" s="24" t="str">
        <x:v>ZS-932877930BBE</x:v>
      </x:c>
      <x:c r="B2271" s="24" t="str">
        <x:v>ZEISS</x:v>
      </x:c>
      <x:c r="C2271" s="24" t="str">
        <x:v>Progressiva</x:v>
      </x:c>
      <x:c r="D2271" s="24" t="str">
        <x:v>Surfaçada</x:v>
      </x:c>
      <x:c r="E2271" s="24" t="str">
        <x:v>SmartLife Individual 3</x:v>
      </x:c>
      <x:c r="F2271" s="24" t="str">
        <x:v>Polarizada</x:v>
      </x:c>
      <x:c r="G2271" s="24" t="str">
        <x:v>1.5</x:v>
      </x:c>
      <x:c r="H2271" s="24" t="str">
        <x:v>1.50</x:v>
      </x:c>
      <x:c r="I2271" s="24" t="str">
        <x:v>Sem AR</x:v>
      </x:c>
      <x:c r="J2271" s="40" t="n">
        <x:v>10539</x:v>
      </x:c>
      <x:c r="K2271" s="24" t="str">
        <x:v>-6.00 a +6.00</x:v>
      </x:c>
      <x:c r="L2271" s="24" t="str">
        <x:v>-4.00</x:v>
      </x:c>
      <x:c r="M2271" s="24" t="str">
        <x:v>0.75 a 3.50</x:v>
      </x:c>
      <x:c r="N2271" s="24" t="str">
        <x:v>70</x:v>
      </x:c>
      <x:c r="O2271" s="24"/>
      <x:c r="P2271" s="24"/>
      <x:c r="Q2271" s="24" t="str">
        <x:v>DISPONÍVEL</x:v>
      </x:c>
      <x:c r="R2271" s="24"/>
      <x:c r="S2271" s="24" t="n">
        <x:v>37</x:v>
      </x:c>
      <x:c r="T2271" s="24" t="str">
        <x:v>tabela_zeiss.pdf</x:v>
      </x:c>
      <x:c r="U2271" s="24" t="str">
        <x:v>ZEISS|Progressiva|Surfaçada|SmartLife Individual 3|Polarizada|1.5|1.50|Sem AR|-6.00 a +6.00|-4.00|0.75 a 3.50|70|||37</x:v>
      </x:c>
    </x:row>
    <x:row r="2272">
      <x:c r="A2272" s="24" t="str">
        <x:v>ZS-3BC170481567</x:v>
      </x:c>
      <x:c r="B2272" s="24" t="str">
        <x:v>ZEISS</x:v>
      </x:c>
      <x:c r="C2272" s="24" t="str">
        <x:v>Progressiva</x:v>
      </x:c>
      <x:c r="D2272" s="24" t="str">
        <x:v>Surfaçada</x:v>
      </x:c>
      <x:c r="E2272" s="24" t="str">
        <x:v>SmartLife Individual 3</x:v>
      </x:c>
      <x:c r="F2272" s="24" t="str">
        <x:v>Polarizada</x:v>
      </x:c>
      <x:c r="G2272" s="24" t="str">
        <x:v>1.6</x:v>
      </x:c>
      <x:c r="H2272" s="24" t="str">
        <x:v>1.60</x:v>
      </x:c>
      <x:c r="I2272" s="24" t="str">
        <x:v>DuraVision Gold UV</x:v>
      </x:c>
      <x:c r="J2272" s="40" t="n">
        <x:v>13079</x:v>
      </x:c>
      <x:c r="K2272" s="24" t="str">
        <x:v>-8.50 a +6.00</x:v>
      </x:c>
      <x:c r="L2272" s="24" t="str">
        <x:v>-4.00</x:v>
      </x:c>
      <x:c r="M2272" s="24" t="str">
        <x:v>0.75 a 3.50</x:v>
      </x:c>
      <x:c r="N2272" s="24" t="str">
        <x:v>70</x:v>
      </x:c>
      <x:c r="O2272" s="24"/>
      <x:c r="P2272" s="24"/>
      <x:c r="Q2272" s="24" t="str">
        <x:v>DISPONÍVEL</x:v>
      </x:c>
      <x:c r="R2272" s="24"/>
      <x:c r="S2272" s="24" t="n">
        <x:v>37</x:v>
      </x:c>
      <x:c r="T2272" s="24" t="str">
        <x:v>tabela_zeiss.pdf</x:v>
      </x:c>
      <x:c r="U2272" s="24" t="str">
        <x:v>ZEISS|Progressiva|Surfaçada|SmartLife Individual 3|Polarizada|1.6|1.60|DuraVision Gold UV|-8.50 a +6.00|-4.00|0.75 a 3.50|70|||37</x:v>
      </x:c>
    </x:row>
    <x:row r="2273">
      <x:c r="A2273" s="24" t="str">
        <x:v>ZS-ECAD24B667CD</x:v>
      </x:c>
      <x:c r="B2273" s="24" t="str">
        <x:v>ZEISS</x:v>
      </x:c>
      <x:c r="C2273" s="24" t="str">
        <x:v>Progressiva</x:v>
      </x:c>
      <x:c r="D2273" s="24" t="str">
        <x:v>Surfaçada</x:v>
      </x:c>
      <x:c r="E2273" s="24" t="str">
        <x:v>SmartLife Individual 3</x:v>
      </x:c>
      <x:c r="F2273" s="24" t="str">
        <x:v>Polarizada</x:v>
      </x:c>
      <x:c r="G2273" s="24" t="str">
        <x:v>1.6</x:v>
      </x:c>
      <x:c r="H2273" s="24" t="str">
        <x:v>1.60</x:v>
      </x:c>
      <x:c r="I2273" s="24" t="str">
        <x:v>DuraVision Platinum UV</x:v>
      </x:c>
      <x:c r="J2273" s="40" t="n">
        <x:v>12939</x:v>
      </x:c>
      <x:c r="K2273" s="24" t="str">
        <x:v>-8.50 a +6.00</x:v>
      </x:c>
      <x:c r="L2273" s="24" t="str">
        <x:v>-4.00</x:v>
      </x:c>
      <x:c r="M2273" s="24" t="str">
        <x:v>0.75 a 3.50</x:v>
      </x:c>
      <x:c r="N2273" s="24" t="str">
        <x:v>70</x:v>
      </x:c>
      <x:c r="O2273" s="24"/>
      <x:c r="P2273" s="24"/>
      <x:c r="Q2273" s="24" t="str">
        <x:v>DISPONÍVEL</x:v>
      </x:c>
      <x:c r="R2273" s="24"/>
      <x:c r="S2273" s="24" t="n">
        <x:v>37</x:v>
      </x:c>
      <x:c r="T2273" s="24" t="str">
        <x:v>tabela_zeiss.pdf</x:v>
      </x:c>
      <x:c r="U2273" s="24" t="str">
        <x:v>ZEISS|Progressiva|Surfaçada|SmartLife Individual 3|Polarizada|1.6|1.60|DuraVision Platinum UV|-8.50 a +6.00|-4.00|0.75 a 3.50|70|||37</x:v>
      </x:c>
    </x:row>
    <x:row r="2274">
      <x:c r="A2274" s="24" t="str">
        <x:v>ZS-BD60D3E855B4</x:v>
      </x:c>
      <x:c r="B2274" s="24" t="str">
        <x:v>ZEISS</x:v>
      </x:c>
      <x:c r="C2274" s="24" t="str">
        <x:v>Progressiva</x:v>
      </x:c>
      <x:c r="D2274" s="24" t="str">
        <x:v>Surfaçada</x:v>
      </x:c>
      <x:c r="E2274" s="24" t="str">
        <x:v>SmartLife Individual 3</x:v>
      </x:c>
      <x:c r="F2274" s="24" t="str">
        <x:v>Polarizada</x:v>
      </x:c>
      <x:c r="G2274" s="24" t="str">
        <x:v>1.6</x:v>
      </x:c>
      <x:c r="H2274" s="24" t="str">
        <x:v>1.60</x:v>
      </x:c>
      <x:c r="I2274" s="24" t="str">
        <x:v>DuraVision Silver UV</x:v>
      </x:c>
      <x:c r="J2274" s="40" t="n">
        <x:v>12679</x:v>
      </x:c>
      <x:c r="K2274" s="24" t="str">
        <x:v>-8.50 a +6.00</x:v>
      </x:c>
      <x:c r="L2274" s="24" t="str">
        <x:v>-4.00</x:v>
      </x:c>
      <x:c r="M2274" s="24" t="str">
        <x:v>0.75 a 3.50</x:v>
      </x:c>
      <x:c r="N2274" s="24" t="str">
        <x:v>70</x:v>
      </x:c>
      <x:c r="O2274" s="24"/>
      <x:c r="P2274" s="24"/>
      <x:c r="Q2274" s="24" t="str">
        <x:v>DISPONÍVEL</x:v>
      </x:c>
      <x:c r="R2274" s="24"/>
      <x:c r="S2274" s="24" t="n">
        <x:v>37</x:v>
      </x:c>
      <x:c r="T2274" s="24" t="str">
        <x:v>tabela_zeiss.pdf</x:v>
      </x:c>
      <x:c r="U2274" s="24" t="str">
        <x:v>ZEISS|Progressiva|Surfaçada|SmartLife Individual 3|Polarizada|1.6|1.60|DuraVision Silver UV|-8.50 a +6.00|-4.00|0.75 a 3.50|70|||37</x:v>
      </x:c>
    </x:row>
    <x:row r="2275">
      <x:c r="A2275" s="24" t="str">
        <x:v>ZS-FF9BF06FD1D7</x:v>
      </x:c>
      <x:c r="B2275" s="24" t="str">
        <x:v>ZEISS</x:v>
      </x:c>
      <x:c r="C2275" s="24" t="str">
        <x:v>Progressiva</x:v>
      </x:c>
      <x:c r="D2275" s="24" t="str">
        <x:v>Surfaçada</x:v>
      </x:c>
      <x:c r="E2275" s="24" t="str">
        <x:v>SmartLife Individual 3</x:v>
      </x:c>
      <x:c r="F2275" s="24" t="str">
        <x:v>Polarizada</x:v>
      </x:c>
      <x:c r="G2275" s="24" t="str">
        <x:v>1.6</x:v>
      </x:c>
      <x:c r="H2275" s="24" t="str">
        <x:v>1.60</x:v>
      </x:c>
      <x:c r="I2275" s="24" t="str">
        <x:v>DuraVision Chrome UV</x:v>
      </x:c>
      <x:c r="J2275" s="40" t="n">
        <x:v>12189</x:v>
      </x:c>
      <x:c r="K2275" s="24" t="str">
        <x:v>-8.50 a +6.00</x:v>
      </x:c>
      <x:c r="L2275" s="24" t="str">
        <x:v>-4.00</x:v>
      </x:c>
      <x:c r="M2275" s="24" t="str">
        <x:v>0.75 a 3.50</x:v>
      </x:c>
      <x:c r="N2275" s="24" t="str">
        <x:v>70</x:v>
      </x:c>
      <x:c r="O2275" s="24"/>
      <x:c r="P2275" s="24"/>
      <x:c r="Q2275" s="24" t="str">
        <x:v>DISPONÍVEL</x:v>
      </x:c>
      <x:c r="R2275" s="24"/>
      <x:c r="S2275" s="24" t="n">
        <x:v>37</x:v>
      </x:c>
      <x:c r="T2275" s="24" t="str">
        <x:v>tabela_zeiss.pdf</x:v>
      </x:c>
      <x:c r="U2275" s="24" t="str">
        <x:v>ZEISS|Progressiva|Surfaçada|SmartLife Individual 3|Polarizada|1.6|1.60|DuraVision Chrome UV|-8.50 a +6.00|-4.00|0.75 a 3.50|70|||37</x:v>
      </x:c>
    </x:row>
    <x:row r="2276">
      <x:c r="A2276" s="24" t="str">
        <x:v>ZS-F4B124FE3480</x:v>
      </x:c>
      <x:c r="B2276" s="24" t="str">
        <x:v>ZEISS</x:v>
      </x:c>
      <x:c r="C2276" s="24" t="str">
        <x:v>Progressiva</x:v>
      </x:c>
      <x:c r="D2276" s="24" t="str">
        <x:v>Surfaçada</x:v>
      </x:c>
      <x:c r="E2276" s="24" t="str">
        <x:v>SmartLife Individual 3</x:v>
      </x:c>
      <x:c r="F2276" s="24" t="str">
        <x:v>Polarizada</x:v>
      </x:c>
      <x:c r="G2276" s="24" t="str">
        <x:v>1.6</x:v>
      </x:c>
      <x:c r="H2276" s="24" t="str">
        <x:v>1.60</x:v>
      </x:c>
      <x:c r="I2276" s="24" t="str">
        <x:v>Sem AR</x:v>
      </x:c>
      <x:c r="J2276" s="40" t="n">
        <x:v>11789</x:v>
      </x:c>
      <x:c r="K2276" s="24" t="str">
        <x:v>-8.50 a +6.00</x:v>
      </x:c>
      <x:c r="L2276" s="24" t="str">
        <x:v>-4.00</x:v>
      </x:c>
      <x:c r="M2276" s="24" t="str">
        <x:v>0.75 a 3.50</x:v>
      </x:c>
      <x:c r="N2276" s="24" t="str">
        <x:v>70</x:v>
      </x:c>
      <x:c r="O2276" s="24"/>
      <x:c r="P2276" s="24"/>
      <x:c r="Q2276" s="24" t="str">
        <x:v>DISPONÍVEL</x:v>
      </x:c>
      <x:c r="R2276" s="24"/>
      <x:c r="S2276" s="24" t="n">
        <x:v>37</x:v>
      </x:c>
      <x:c r="T2276" s="24" t="str">
        <x:v>tabela_zeiss.pdf</x:v>
      </x:c>
      <x:c r="U2276" s="24" t="str">
        <x:v>ZEISS|Progressiva|Surfaçada|SmartLife Individual 3|Polarizada|1.6|1.60|Sem AR|-8.50 a +6.00|-4.00|0.75 a 3.50|70|||37</x:v>
      </x:c>
    </x:row>
    <x:row r="2277">
      <x:c r="A2277" s="24" t="str">
        <x:v>ZS-1C3B34A6EFD2</x:v>
      </x:c>
      <x:c r="B2277" s="24" t="str">
        <x:v>ZEISS</x:v>
      </x:c>
      <x:c r="C2277" s="24" t="str">
        <x:v>Progressiva</x:v>
      </x:c>
      <x:c r="D2277" s="24" t="str">
        <x:v>Surfaçada</x:v>
      </x:c>
      <x:c r="E2277" s="24" t="str">
        <x:v>SmartLife Superb</x:v>
      </x:c>
      <x:c r="F2277" s="24"/>
      <x:c r="G2277" s="24" t="str">
        <x:v>1.5</x:v>
      </x:c>
      <x:c r="H2277" s="24" t="str">
        <x:v>1.50</x:v>
      </x:c>
      <x:c r="I2277" s="24" t="str">
        <x:v>DuraVision Gold UV</x:v>
      </x:c>
      <x:c r="J2277" s="40" t="n">
        <x:v>7280</x:v>
      </x:c>
      <x:c r="K2277" s="24" t="str">
        <x:v>-6.00 a +4.00</x:v>
      </x:c>
      <x:c r="L2277" s="24" t="str">
        <x:v>-4.00</x:v>
      </x:c>
      <x:c r="M2277" s="24" t="str">
        <x:v>0.75 a 3.50</x:v>
      </x:c>
      <x:c r="N2277" s="24" t="str">
        <x:v>75</x:v>
      </x:c>
      <x:c r="O2277" s="24"/>
      <x:c r="P2277" s="24"/>
      <x:c r="Q2277" s="24" t="str">
        <x:v>DISPONÍVEL</x:v>
      </x:c>
      <x:c r="R2277" s="24"/>
      <x:c r="S2277" s="24" t="n">
        <x:v>38</x:v>
      </x:c>
      <x:c r="T2277" s="24" t="str">
        <x:v>tabela_zeiss.pdf</x:v>
      </x:c>
      <x:c r="U2277" s="24" t="str">
        <x:v>ZEISS|Progressiva|Surfaçada|SmartLife Superb||1.5|1.50|DuraVision Gold UV|-6.00 a +4.00|-4.00|0.75 a 3.50|75|||38</x:v>
      </x:c>
    </x:row>
    <x:row r="2278">
      <x:c r="A2278" s="24" t="str">
        <x:v>ZS-6C9169F9CF71</x:v>
      </x:c>
      <x:c r="B2278" s="24" t="str">
        <x:v>ZEISS</x:v>
      </x:c>
      <x:c r="C2278" s="24" t="str">
        <x:v>Progressiva</x:v>
      </x:c>
      <x:c r="D2278" s="24" t="str">
        <x:v>Surfaçada</x:v>
      </x:c>
      <x:c r="E2278" s="24" t="str">
        <x:v>SmartLife Superb</x:v>
      </x:c>
      <x:c r="F2278" s="24"/>
      <x:c r="G2278" s="24" t="str">
        <x:v>1.5</x:v>
      </x:c>
      <x:c r="H2278" s="24" t="str">
        <x:v>1.50</x:v>
      </x:c>
      <x:c r="I2278" s="24" t="str">
        <x:v>DURAVISION® ANTIVÍRUS PLATINUM UV</x:v>
      </x:c>
      <x:c r="J2278" s="40" t="n">
        <x:v>7140</x:v>
      </x:c>
      <x:c r="K2278" s="24" t="str">
        <x:v>-6.00 a +4.00</x:v>
      </x:c>
      <x:c r="L2278" s="24" t="str">
        <x:v>-4.00</x:v>
      </x:c>
      <x:c r="M2278" s="24" t="str">
        <x:v>0.75 a 3.50</x:v>
      </x:c>
      <x:c r="N2278" s="24" t="str">
        <x:v>75</x:v>
      </x:c>
      <x:c r="O2278" s="24"/>
      <x:c r="P2278" s="24"/>
      <x:c r="Q2278" s="24" t="str">
        <x:v>DISPONÍVEL</x:v>
      </x:c>
      <x:c r="R2278" s="24"/>
      <x:c r="S2278" s="24" t="n">
        <x:v>38</x:v>
      </x:c>
      <x:c r="T2278" s="24" t="str">
        <x:v>tabela_zeiss.pdf</x:v>
      </x:c>
      <x:c r="U2278" s="24" t="str">
        <x:v>ZEISS|Progressiva|Surfaçada|SmartLife Superb||1.5|1.50|DURAVISION® ANTIVÍRUS PLATINUM UV|-6.00 a +4.00|-4.00|0.75 a 3.50|75|||38</x:v>
      </x:c>
    </x:row>
    <x:row r="2279">
      <x:c r="A2279" s="24" t="str">
        <x:v>ZS-1893F41E9EB7</x:v>
      </x:c>
      <x:c r="B2279" s="24" t="str">
        <x:v>ZEISS</x:v>
      </x:c>
      <x:c r="C2279" s="24" t="str">
        <x:v>Progressiva</x:v>
      </x:c>
      <x:c r="D2279" s="24" t="str">
        <x:v>Surfaçada</x:v>
      </x:c>
      <x:c r="E2279" s="24" t="str">
        <x:v>SmartLife Superb</x:v>
      </x:c>
      <x:c r="F2279" s="24"/>
      <x:c r="G2279" s="24" t="str">
        <x:v>1.5</x:v>
      </x:c>
      <x:c r="H2279" s="24" t="str">
        <x:v>1.50</x:v>
      </x:c>
      <x:c r="I2279" s="24" t="str">
        <x:v>DuraVision Platinum UV</x:v>
      </x:c>
      <x:c r="J2279" s="40" t="n">
        <x:v>7140</x:v>
      </x:c>
      <x:c r="K2279" s="24" t="str">
        <x:v>-6.00 a +4.00</x:v>
      </x:c>
      <x:c r="L2279" s="24" t="str">
        <x:v>-4.00</x:v>
      </x:c>
      <x:c r="M2279" s="24" t="str">
        <x:v>0.75 a 3.50</x:v>
      </x:c>
      <x:c r="N2279" s="24" t="str">
        <x:v>75</x:v>
      </x:c>
      <x:c r="O2279" s="24"/>
      <x:c r="P2279" s="24"/>
      <x:c r="Q2279" s="24" t="str">
        <x:v>DISPONÍVEL</x:v>
      </x:c>
      <x:c r="R2279" s="24"/>
      <x:c r="S2279" s="24" t="n">
        <x:v>38</x:v>
      </x:c>
      <x:c r="T2279" s="24" t="str">
        <x:v>tabela_zeiss.pdf</x:v>
      </x:c>
      <x:c r="U2279" s="24" t="str">
        <x:v>ZEISS|Progressiva|Surfaçada|SmartLife Superb||1.5|1.50|DuraVision Platinum UV|-6.00 a +4.00|-4.00|0.75 a 3.50|75|||38</x:v>
      </x:c>
    </x:row>
    <x:row r="2280">
      <x:c r="A2280" s="24" t="str">
        <x:v>ZS-F52C1D482CE8</x:v>
      </x:c>
      <x:c r="B2280" s="24" t="str">
        <x:v>ZEISS</x:v>
      </x:c>
      <x:c r="C2280" s="24" t="str">
        <x:v>Progressiva</x:v>
      </x:c>
      <x:c r="D2280" s="24" t="str">
        <x:v>Surfaçada</x:v>
      </x:c>
      <x:c r="E2280" s="24" t="str">
        <x:v>SmartLife Superb</x:v>
      </x:c>
      <x:c r="F2280" s="24"/>
      <x:c r="G2280" s="24" t="str">
        <x:v>1.5</x:v>
      </x:c>
      <x:c r="H2280" s="24" t="str">
        <x:v>1.50</x:v>
      </x:c>
      <x:c r="I2280" s="24" t="str">
        <x:v>DuraVision Silver UV</x:v>
      </x:c>
      <x:c r="J2280" s="40" t="n">
        <x:v>6880</x:v>
      </x:c>
      <x:c r="K2280" s="24" t="str">
        <x:v>-6.00 a +4.00</x:v>
      </x:c>
      <x:c r="L2280" s="24" t="str">
        <x:v>-4.00</x:v>
      </x:c>
      <x:c r="M2280" s="24" t="str">
        <x:v>0.75 a 3.50</x:v>
      </x:c>
      <x:c r="N2280" s="24" t="str">
        <x:v>75</x:v>
      </x:c>
      <x:c r="O2280" s="24"/>
      <x:c r="P2280" s="24"/>
      <x:c r="Q2280" s="24" t="str">
        <x:v>DISPONÍVEL</x:v>
      </x:c>
      <x:c r="R2280" s="24"/>
      <x:c r="S2280" s="24" t="n">
        <x:v>38</x:v>
      </x:c>
      <x:c r="T2280" s="24" t="str">
        <x:v>tabela_zeiss.pdf</x:v>
      </x:c>
      <x:c r="U2280" s="24" t="str">
        <x:v>ZEISS|Progressiva|Surfaçada|SmartLife Superb||1.5|1.50|DuraVision Silver UV|-6.00 a +4.00|-4.00|0.75 a 3.50|75|||38</x:v>
      </x:c>
    </x:row>
    <x:row r="2281">
      <x:c r="A2281" s="24" t="str">
        <x:v>ZS-4A63423A1600</x:v>
      </x:c>
      <x:c r="B2281" s="24" t="str">
        <x:v>ZEISS</x:v>
      </x:c>
      <x:c r="C2281" s="24" t="str">
        <x:v>Progressiva</x:v>
      </x:c>
      <x:c r="D2281" s="24" t="str">
        <x:v>Surfaçada</x:v>
      </x:c>
      <x:c r="E2281" s="24" t="str">
        <x:v>SmartLife Superb</x:v>
      </x:c>
      <x:c r="F2281" s="24"/>
      <x:c r="G2281" s="24" t="str">
        <x:v>1.5</x:v>
      </x:c>
      <x:c r="H2281" s="24" t="str">
        <x:v>1.50</x:v>
      </x:c>
      <x:c r="I2281" s="24" t="str">
        <x:v>DuraVision Chrome UV</x:v>
      </x:c>
      <x:c r="J2281" s="40" t="n">
        <x:v>6390</x:v>
      </x:c>
      <x:c r="K2281" s="24" t="str">
        <x:v>-6.00 a +4.00</x:v>
      </x:c>
      <x:c r="L2281" s="24" t="str">
        <x:v>-4.00</x:v>
      </x:c>
      <x:c r="M2281" s="24" t="str">
        <x:v>0.75 a 3.50</x:v>
      </x:c>
      <x:c r="N2281" s="24" t="str">
        <x:v>75</x:v>
      </x:c>
      <x:c r="O2281" s="24"/>
      <x:c r="P2281" s="24"/>
      <x:c r="Q2281" s="24" t="str">
        <x:v>DISPONÍVEL</x:v>
      </x:c>
      <x:c r="R2281" s="24"/>
      <x:c r="S2281" s="24" t="n">
        <x:v>38</x:v>
      </x:c>
      <x:c r="T2281" s="24" t="str">
        <x:v>tabela_zeiss.pdf</x:v>
      </x:c>
      <x:c r="U2281" s="24" t="str">
        <x:v>ZEISS|Progressiva|Surfaçada|SmartLife Superb||1.5|1.50|DuraVision Chrome UV|-6.00 a +4.00|-4.00|0.75 a 3.50|75|||38</x:v>
      </x:c>
    </x:row>
    <x:row r="2282">
      <x:c r="A2282" s="24" t="str">
        <x:v>ZS-9EC227658F8A</x:v>
      </x:c>
      <x:c r="B2282" s="24" t="str">
        <x:v>ZEISS</x:v>
      </x:c>
      <x:c r="C2282" s="24" t="str">
        <x:v>Progressiva</x:v>
      </x:c>
      <x:c r="D2282" s="24" t="str">
        <x:v>Surfaçada</x:v>
      </x:c>
      <x:c r="E2282" s="24" t="str">
        <x:v>SmartLife Superb</x:v>
      </x:c>
      <x:c r="F2282" s="24"/>
      <x:c r="G2282" s="24" t="str">
        <x:v>Poli</x:v>
      </x:c>
      <x:c r="H2282" s="24"/>
      <x:c r="I2282" s="24" t="str">
        <x:v>DuraVision Gold UV</x:v>
      </x:c>
      <x:c r="J2282" s="40" t="n">
        <x:v>7870</x:v>
      </x:c>
      <x:c r="K2282" s="24" t="str">
        <x:v>-10.00 a +6.00</x:v>
      </x:c>
      <x:c r="L2282" s="24" t="str">
        <x:v>-6.00</x:v>
      </x:c>
      <x:c r="M2282" s="24" t="str">
        <x:v>0.75 a 3.00</x:v>
      </x:c>
      <x:c r="N2282" s="24" t="str">
        <x:v>70</x:v>
      </x:c>
      <x:c r="O2282" s="24"/>
      <x:c r="P2282" s="24"/>
      <x:c r="Q2282" s="24" t="str">
        <x:v>DISPONÍVEL</x:v>
      </x:c>
      <x:c r="R2282" s="24"/>
      <x:c r="S2282" s="24" t="n">
        <x:v>38</x:v>
      </x:c>
      <x:c r="T2282" s="24" t="str">
        <x:v>tabela_zeiss.pdf</x:v>
      </x:c>
      <x:c r="U2282" s="24" t="str">
        <x:v>ZEISS|Progressiva|Surfaçada|SmartLife Superb||Poli||DuraVision Gold UV|-10.00 a +6.00|-6.00|0.75 a 3.00|70|||38</x:v>
      </x:c>
    </x:row>
    <x:row r="2283">
      <x:c r="A2283" s="24" t="str">
        <x:v>ZS-24AA87EE347D</x:v>
      </x:c>
      <x:c r="B2283" s="24" t="str">
        <x:v>ZEISS</x:v>
      </x:c>
      <x:c r="C2283" s="24" t="str">
        <x:v>Progressiva</x:v>
      </x:c>
      <x:c r="D2283" s="24" t="str">
        <x:v>Surfaçada</x:v>
      </x:c>
      <x:c r="E2283" s="24" t="str">
        <x:v>SmartLife Superb</x:v>
      </x:c>
      <x:c r="F2283" s="24"/>
      <x:c r="G2283" s="24" t="str">
        <x:v>Poli</x:v>
      </x:c>
      <x:c r="H2283" s="24"/>
      <x:c r="I2283" s="24" t="str">
        <x:v>DuraVision Platinum UV</x:v>
      </x:c>
      <x:c r="J2283" s="40" t="n">
        <x:v>7730</x:v>
      </x:c>
      <x:c r="K2283" s="24" t="str">
        <x:v>-10.00 a +6.00</x:v>
      </x:c>
      <x:c r="L2283" s="24" t="str">
        <x:v>-6.00</x:v>
      </x:c>
      <x:c r="M2283" s="24" t="str">
        <x:v>0.75 a 3.00</x:v>
      </x:c>
      <x:c r="N2283" s="24" t="str">
        <x:v>70</x:v>
      </x:c>
      <x:c r="O2283" s="24"/>
      <x:c r="P2283" s="24"/>
      <x:c r="Q2283" s="24" t="str">
        <x:v>DISPONÍVEL</x:v>
      </x:c>
      <x:c r="R2283" s="24"/>
      <x:c r="S2283" s="24" t="n">
        <x:v>38</x:v>
      </x:c>
      <x:c r="T2283" s="24" t="str">
        <x:v>tabela_zeiss.pdf</x:v>
      </x:c>
      <x:c r="U2283" s="24" t="str">
        <x:v>ZEISS|Progressiva|Surfaçada|SmartLife Superb||Poli||DuraVision Platinum UV|-10.00 a +6.00|-6.00|0.75 a 3.00|70|||38</x:v>
      </x:c>
    </x:row>
    <x:row r="2284">
      <x:c r="A2284" s="24" t="str">
        <x:v>ZS-DAD369EC8EB3</x:v>
      </x:c>
      <x:c r="B2284" s="24" t="str">
        <x:v>ZEISS</x:v>
      </x:c>
      <x:c r="C2284" s="24" t="str">
        <x:v>Progressiva</x:v>
      </x:c>
      <x:c r="D2284" s="24" t="str">
        <x:v>Surfaçada</x:v>
      </x:c>
      <x:c r="E2284" s="24" t="str">
        <x:v>SmartLife Superb</x:v>
      </x:c>
      <x:c r="F2284" s="24"/>
      <x:c r="G2284" s="24" t="str">
        <x:v>Poli</x:v>
      </x:c>
      <x:c r="H2284" s="24"/>
      <x:c r="I2284" s="24" t="str">
        <x:v>DuraVision Silver UV</x:v>
      </x:c>
      <x:c r="J2284" s="40" t="n">
        <x:v>7470</x:v>
      </x:c>
      <x:c r="K2284" s="24" t="str">
        <x:v>-10.00 a +6.00</x:v>
      </x:c>
      <x:c r="L2284" s="24" t="str">
        <x:v>-6.00</x:v>
      </x:c>
      <x:c r="M2284" s="24" t="str">
        <x:v>0.75 a 3.00</x:v>
      </x:c>
      <x:c r="N2284" s="24" t="str">
        <x:v>70</x:v>
      </x:c>
      <x:c r="O2284" s="24"/>
      <x:c r="P2284" s="24"/>
      <x:c r="Q2284" s="24" t="str">
        <x:v>DISPONÍVEL</x:v>
      </x:c>
      <x:c r="R2284" s="24"/>
      <x:c r="S2284" s="24" t="n">
        <x:v>38</x:v>
      </x:c>
      <x:c r="T2284" s="24" t="str">
        <x:v>tabela_zeiss.pdf</x:v>
      </x:c>
      <x:c r="U2284" s="24" t="str">
        <x:v>ZEISS|Progressiva|Surfaçada|SmartLife Superb||Poli||DuraVision Silver UV|-10.00 a +6.00|-6.00|0.75 a 3.00|70|||38</x:v>
      </x:c>
    </x:row>
    <x:row r="2285">
      <x:c r="A2285" s="24" t="str">
        <x:v>ZS-864DFBCA971D</x:v>
      </x:c>
      <x:c r="B2285" s="24" t="str">
        <x:v>ZEISS</x:v>
      </x:c>
      <x:c r="C2285" s="24" t="str">
        <x:v>Progressiva</x:v>
      </x:c>
      <x:c r="D2285" s="24" t="str">
        <x:v>Surfaçada</x:v>
      </x:c>
      <x:c r="E2285" s="24" t="str">
        <x:v>SmartLife Superb</x:v>
      </x:c>
      <x:c r="F2285" s="24"/>
      <x:c r="G2285" s="24" t="str">
        <x:v>Poli</x:v>
      </x:c>
      <x:c r="H2285" s="24"/>
      <x:c r="I2285" s="24" t="str">
        <x:v>DuraVision Chrome UV</x:v>
      </x:c>
      <x:c r="J2285" s="40" t="n">
        <x:v>6980</x:v>
      </x:c>
      <x:c r="K2285" s="24" t="str">
        <x:v>-10.00 a +6.00</x:v>
      </x:c>
      <x:c r="L2285" s="24" t="str">
        <x:v>-6.00</x:v>
      </x:c>
      <x:c r="M2285" s="24" t="str">
        <x:v>0.75 a 3.00</x:v>
      </x:c>
      <x:c r="N2285" s="24" t="str">
        <x:v>70</x:v>
      </x:c>
      <x:c r="O2285" s="24"/>
      <x:c r="P2285" s="24"/>
      <x:c r="Q2285" s="24" t="str">
        <x:v>DISPONÍVEL</x:v>
      </x:c>
      <x:c r="R2285" s="24"/>
      <x:c r="S2285" s="24" t="n">
        <x:v>38</x:v>
      </x:c>
      <x:c r="T2285" s="24" t="str">
        <x:v>tabela_zeiss.pdf</x:v>
      </x:c>
      <x:c r="U2285" s="24" t="str">
        <x:v>ZEISS|Progressiva|Surfaçada|SmartLife Superb||Poli||DuraVision Chrome UV|-10.00 a +6.00|-6.00|0.75 a 3.00|70|||38</x:v>
      </x:c>
    </x:row>
    <x:row r="2286">
      <x:c r="A2286" s="24" t="str">
        <x:v>ZS-CC6280413287</x:v>
      </x:c>
      <x:c r="B2286" s="24" t="str">
        <x:v>ZEISS</x:v>
      </x:c>
      <x:c r="C2286" s="24" t="str">
        <x:v>Progressiva</x:v>
      </x:c>
      <x:c r="D2286" s="24" t="str">
        <x:v>Surfaçada</x:v>
      </x:c>
      <x:c r="E2286" s="24" t="str">
        <x:v>SmartLife Superb</x:v>
      </x:c>
      <x:c r="F2286" s="24"/>
      <x:c r="G2286" s="24" t="str">
        <x:v>1.6</x:v>
      </x:c>
      <x:c r="H2286" s="24" t="str">
        <x:v>1.60</x:v>
      </x:c>
      <x:c r="I2286" s="24" t="str">
        <x:v>DuraVision Gold UV</x:v>
      </x:c>
      <x:c r="J2286" s="40" t="n">
        <x:v>8530</x:v>
      </x:c>
      <x:c r="K2286" s="24" t="str">
        <x:v>-7.25 a +6.00</x:v>
      </x:c>
      <x:c r="L2286" s="24" t="str">
        <x:v>-6.00</x:v>
      </x:c>
      <x:c r="M2286" s="24" t="str">
        <x:v>0.75 a 3.50</x:v>
      </x:c>
      <x:c r="N2286" s="24" t="str">
        <x:v>75</x:v>
      </x:c>
      <x:c r="O2286" s="24"/>
      <x:c r="P2286" s="24"/>
      <x:c r="Q2286" s="24" t="str">
        <x:v>DISPONÍVEL</x:v>
      </x:c>
      <x:c r="R2286" s="24"/>
      <x:c r="S2286" s="24" t="n">
        <x:v>38</x:v>
      </x:c>
      <x:c r="T2286" s="24" t="str">
        <x:v>tabela_zeiss.pdf</x:v>
      </x:c>
      <x:c r="U2286" s="24" t="str">
        <x:v>ZEISS|Progressiva|Surfaçada|SmartLife Superb||1.6|1.60|DuraVision Gold UV|-7.25 a +6.00|-6.00|0.75 a 3.50|75|||38</x:v>
      </x:c>
    </x:row>
    <x:row r="2287">
      <x:c r="A2287" s="24" t="str">
        <x:v>ZS-229A28901E14</x:v>
      </x:c>
      <x:c r="B2287" s="24" t="str">
        <x:v>ZEISS</x:v>
      </x:c>
      <x:c r="C2287" s="24" t="str">
        <x:v>Progressiva</x:v>
      </x:c>
      <x:c r="D2287" s="24" t="str">
        <x:v>Surfaçada</x:v>
      </x:c>
      <x:c r="E2287" s="24" t="str">
        <x:v>SmartLife Superb</x:v>
      </x:c>
      <x:c r="F2287" s="24"/>
      <x:c r="G2287" s="24" t="str">
        <x:v>1.6</x:v>
      </x:c>
      <x:c r="H2287" s="24" t="str">
        <x:v>1.60</x:v>
      </x:c>
      <x:c r="I2287" s="24" t="str">
        <x:v>DURAVISION® ANTIVÍRUS PLATINUM UV</x:v>
      </x:c>
      <x:c r="J2287" s="40" t="n">
        <x:v>8390</x:v>
      </x:c>
      <x:c r="K2287" s="24" t="str">
        <x:v>-7.25 a +6.00</x:v>
      </x:c>
      <x:c r="L2287" s="24" t="str">
        <x:v>-6.00</x:v>
      </x:c>
      <x:c r="M2287" s="24" t="str">
        <x:v>0.75 a 3.50</x:v>
      </x:c>
      <x:c r="N2287" s="24" t="str">
        <x:v>75</x:v>
      </x:c>
      <x:c r="O2287" s="24"/>
      <x:c r="P2287" s="24"/>
      <x:c r="Q2287" s="24" t="str">
        <x:v>DISPONÍVEL</x:v>
      </x:c>
      <x:c r="R2287" s="24"/>
      <x:c r="S2287" s="24" t="n">
        <x:v>38</x:v>
      </x:c>
      <x:c r="T2287" s="24" t="str">
        <x:v>tabela_zeiss.pdf</x:v>
      </x:c>
      <x:c r="U2287" s="24" t="str">
        <x:v>ZEISS|Progressiva|Surfaçada|SmartLife Superb||1.6|1.60|DURAVISION® ANTIVÍRUS PLATINUM UV|-7.25 a +6.00|-6.00|0.75 a 3.50|75|||38</x:v>
      </x:c>
    </x:row>
    <x:row r="2288">
      <x:c r="A2288" s="24" t="str">
        <x:v>ZS-D7460ECC4895</x:v>
      </x:c>
      <x:c r="B2288" s="24" t="str">
        <x:v>ZEISS</x:v>
      </x:c>
      <x:c r="C2288" s="24" t="str">
        <x:v>Progressiva</x:v>
      </x:c>
      <x:c r="D2288" s="24" t="str">
        <x:v>Surfaçada</x:v>
      </x:c>
      <x:c r="E2288" s="24" t="str">
        <x:v>SmartLife Superb</x:v>
      </x:c>
      <x:c r="F2288" s="24"/>
      <x:c r="G2288" s="24" t="str">
        <x:v>1.6</x:v>
      </x:c>
      <x:c r="H2288" s="24" t="str">
        <x:v>1.60</x:v>
      </x:c>
      <x:c r="I2288" s="24" t="str">
        <x:v>DuraVision Platinum UV</x:v>
      </x:c>
      <x:c r="J2288" s="40" t="n">
        <x:v>8390</x:v>
      </x:c>
      <x:c r="K2288" s="24" t="str">
        <x:v>-7.25 a +6.00</x:v>
      </x:c>
      <x:c r="L2288" s="24" t="str">
        <x:v>-6.00</x:v>
      </x:c>
      <x:c r="M2288" s="24" t="str">
        <x:v>0.75 a 3.50</x:v>
      </x:c>
      <x:c r="N2288" s="24" t="str">
        <x:v>75</x:v>
      </x:c>
      <x:c r="O2288" s="24"/>
      <x:c r="P2288" s="24"/>
      <x:c r="Q2288" s="24" t="str">
        <x:v>DISPONÍVEL</x:v>
      </x:c>
      <x:c r="R2288" s="24"/>
      <x:c r="S2288" s="24" t="n">
        <x:v>38</x:v>
      </x:c>
      <x:c r="T2288" s="24" t="str">
        <x:v>tabela_zeiss.pdf</x:v>
      </x:c>
      <x:c r="U2288" s="24" t="str">
        <x:v>ZEISS|Progressiva|Surfaçada|SmartLife Superb||1.6|1.60|DuraVision Platinum UV|-7.25 a +6.00|-6.00|0.75 a 3.50|75|||38</x:v>
      </x:c>
    </x:row>
    <x:row r="2289">
      <x:c r="A2289" s="24" t="str">
        <x:v>ZS-D0DD2B320D4C</x:v>
      </x:c>
      <x:c r="B2289" s="24" t="str">
        <x:v>ZEISS</x:v>
      </x:c>
      <x:c r="C2289" s="24" t="str">
        <x:v>Progressiva</x:v>
      </x:c>
      <x:c r="D2289" s="24" t="str">
        <x:v>Surfaçada</x:v>
      </x:c>
      <x:c r="E2289" s="24" t="str">
        <x:v>SmartLife Superb</x:v>
      </x:c>
      <x:c r="F2289" s="24"/>
      <x:c r="G2289" s="24" t="str">
        <x:v>1.6</x:v>
      </x:c>
      <x:c r="H2289" s="24" t="str">
        <x:v>1.60</x:v>
      </x:c>
      <x:c r="I2289" s="24" t="str">
        <x:v>DuraVision Silver UV</x:v>
      </x:c>
      <x:c r="J2289" s="40" t="n">
        <x:v>8130</x:v>
      </x:c>
      <x:c r="K2289" s="24" t="str">
        <x:v>-7.25 a +6.00</x:v>
      </x:c>
      <x:c r="L2289" s="24" t="str">
        <x:v>-6.00</x:v>
      </x:c>
      <x:c r="M2289" s="24" t="str">
        <x:v>0.75 a 3.50</x:v>
      </x:c>
      <x:c r="N2289" s="24" t="str">
        <x:v>75</x:v>
      </x:c>
      <x:c r="O2289" s="24"/>
      <x:c r="P2289" s="24"/>
      <x:c r="Q2289" s="24" t="str">
        <x:v>DISPONÍVEL</x:v>
      </x:c>
      <x:c r="R2289" s="24"/>
      <x:c r="S2289" s="24" t="n">
        <x:v>38</x:v>
      </x:c>
      <x:c r="T2289" s="24" t="str">
        <x:v>tabela_zeiss.pdf</x:v>
      </x:c>
      <x:c r="U2289" s="24" t="str">
        <x:v>ZEISS|Progressiva|Surfaçada|SmartLife Superb||1.6|1.60|DuraVision Silver UV|-7.25 a +6.00|-6.00|0.75 a 3.50|75|||38</x:v>
      </x:c>
    </x:row>
    <x:row r="2290">
      <x:c r="A2290" s="24" t="str">
        <x:v>ZS-0C77F7314E3A</x:v>
      </x:c>
      <x:c r="B2290" s="24" t="str">
        <x:v>ZEISS</x:v>
      </x:c>
      <x:c r="C2290" s="24" t="str">
        <x:v>Progressiva</x:v>
      </x:c>
      <x:c r="D2290" s="24" t="str">
        <x:v>Surfaçada</x:v>
      </x:c>
      <x:c r="E2290" s="24" t="str">
        <x:v>SmartLife Superb</x:v>
      </x:c>
      <x:c r="F2290" s="24"/>
      <x:c r="G2290" s="24" t="str">
        <x:v>1.6</x:v>
      </x:c>
      <x:c r="H2290" s="24" t="str">
        <x:v>1.60</x:v>
      </x:c>
      <x:c r="I2290" s="24" t="str">
        <x:v>DuraVision Chrome UV</x:v>
      </x:c>
      <x:c r="J2290" s="40" t="n">
        <x:v>7640</x:v>
      </x:c>
      <x:c r="K2290" s="24" t="str">
        <x:v>-7.25 a +6.00</x:v>
      </x:c>
      <x:c r="L2290" s="24" t="str">
        <x:v>-6.00</x:v>
      </x:c>
      <x:c r="M2290" s="24" t="str">
        <x:v>0.75 a 3.50</x:v>
      </x:c>
      <x:c r="N2290" s="24" t="str">
        <x:v>75</x:v>
      </x:c>
      <x:c r="O2290" s="24"/>
      <x:c r="P2290" s="24"/>
      <x:c r="Q2290" s="24" t="str">
        <x:v>DISPONÍVEL</x:v>
      </x:c>
      <x:c r="R2290" s="24"/>
      <x:c r="S2290" s="24" t="n">
        <x:v>38</x:v>
      </x:c>
      <x:c r="T2290" s="24" t="str">
        <x:v>tabela_zeiss.pdf</x:v>
      </x:c>
      <x:c r="U2290" s="24" t="str">
        <x:v>ZEISS|Progressiva|Surfaçada|SmartLife Superb||1.6|1.60|DuraVision Chrome UV|-7.25 a +6.00|-6.00|0.75 a 3.50|75|||38</x:v>
      </x:c>
    </x:row>
    <x:row r="2291">
      <x:c r="A2291" s="24" t="str">
        <x:v>ZS-81938E618CC3</x:v>
      </x:c>
      <x:c r="B2291" s="24" t="str">
        <x:v>ZEISS</x:v>
      </x:c>
      <x:c r="C2291" s="24" t="str">
        <x:v>Progressiva</x:v>
      </x:c>
      <x:c r="D2291" s="24" t="str">
        <x:v>Surfaçada</x:v>
      </x:c>
      <x:c r="E2291" s="24" t="str">
        <x:v>SmartLife Superb</x:v>
      </x:c>
      <x:c r="F2291" s="24"/>
      <x:c r="G2291" s="24" t="str">
        <x:v>1.67</x:v>
      </x:c>
      <x:c r="H2291" s="24" t="str">
        <x:v>1.67</x:v>
      </x:c>
      <x:c r="I2291" s="24" t="str">
        <x:v>DuraVision Gold UV</x:v>
      </x:c>
      <x:c r="J2291" s="40" t="n">
        <x:v>10170</x:v>
      </x:c>
      <x:c r="K2291" s="24" t="str">
        <x:v>-8.00 a +8.00</x:v>
      </x:c>
      <x:c r="L2291" s="24" t="str">
        <x:v>-6.00</x:v>
      </x:c>
      <x:c r="M2291" s="24" t="str">
        <x:v>0.75 a 3.00</x:v>
      </x:c>
      <x:c r="N2291" s="24" t="str">
        <x:v>70</x:v>
      </x:c>
      <x:c r="O2291" s="24"/>
      <x:c r="P2291" s="24"/>
      <x:c r="Q2291" s="24" t="str">
        <x:v>DISPONÍVEL</x:v>
      </x:c>
      <x:c r="R2291" s="24"/>
      <x:c r="S2291" s="24" t="n">
        <x:v>38</x:v>
      </x:c>
      <x:c r="T2291" s="24" t="str">
        <x:v>tabela_zeiss.pdf</x:v>
      </x:c>
      <x:c r="U2291" s="24" t="str">
        <x:v>ZEISS|Progressiva|Surfaçada|SmartLife Superb||1.67|1.67|DuraVision Gold UV|-8.00 a +8.00|-6.00|0.75 a 3.00|70|||38</x:v>
      </x:c>
    </x:row>
    <x:row r="2292">
      <x:c r="A2292" s="24" t="str">
        <x:v>ZS-CEB0FECDB49D</x:v>
      </x:c>
      <x:c r="B2292" s="24" t="str">
        <x:v>ZEISS</x:v>
      </x:c>
      <x:c r="C2292" s="24" t="str">
        <x:v>Progressiva</x:v>
      </x:c>
      <x:c r="D2292" s="24" t="str">
        <x:v>Surfaçada</x:v>
      </x:c>
      <x:c r="E2292" s="24" t="str">
        <x:v>SmartLife Superb</x:v>
      </x:c>
      <x:c r="F2292" s="24"/>
      <x:c r="G2292" s="24" t="str">
        <x:v>1.67</x:v>
      </x:c>
      <x:c r="H2292" s="24" t="str">
        <x:v>1.67</x:v>
      </x:c>
      <x:c r="I2292" s="24" t="str">
        <x:v>DURAVISION® ANTIVÍRUS PLATINUM UV</x:v>
      </x:c>
      <x:c r="J2292" s="40" t="n">
        <x:v>10030</x:v>
      </x:c>
      <x:c r="K2292" s="24" t="str">
        <x:v>-8.00 a +8.00</x:v>
      </x:c>
      <x:c r="L2292" s="24" t="str">
        <x:v>-6.00</x:v>
      </x:c>
      <x:c r="M2292" s="24" t="str">
        <x:v>0.75 a 3.00</x:v>
      </x:c>
      <x:c r="N2292" s="24" t="str">
        <x:v>70</x:v>
      </x:c>
      <x:c r="O2292" s="24"/>
      <x:c r="P2292" s="24"/>
      <x:c r="Q2292" s="24" t="str">
        <x:v>DISPONÍVEL</x:v>
      </x:c>
      <x:c r="R2292" s="24"/>
      <x:c r="S2292" s="24" t="n">
        <x:v>38</x:v>
      </x:c>
      <x:c r="T2292" s="24" t="str">
        <x:v>tabela_zeiss.pdf</x:v>
      </x:c>
      <x:c r="U2292" s="24" t="str">
        <x:v>ZEISS|Progressiva|Surfaçada|SmartLife Superb||1.67|1.67|DURAVISION® ANTIVÍRUS PLATINUM UV|-8.00 a +8.00|-6.00|0.75 a 3.00|70|||38</x:v>
      </x:c>
    </x:row>
    <x:row r="2293">
      <x:c r="A2293" s="24" t="str">
        <x:v>ZS-10D49C1569BF</x:v>
      </x:c>
      <x:c r="B2293" s="24" t="str">
        <x:v>ZEISS</x:v>
      </x:c>
      <x:c r="C2293" s="24" t="str">
        <x:v>Progressiva</x:v>
      </x:c>
      <x:c r="D2293" s="24" t="str">
        <x:v>Surfaçada</x:v>
      </x:c>
      <x:c r="E2293" s="24" t="str">
        <x:v>SmartLife Superb</x:v>
      </x:c>
      <x:c r="F2293" s="24"/>
      <x:c r="G2293" s="24" t="str">
        <x:v>1.67</x:v>
      </x:c>
      <x:c r="H2293" s="24" t="str">
        <x:v>1.67</x:v>
      </x:c>
      <x:c r="I2293" s="24" t="str">
        <x:v>DuraVision Platinum UV</x:v>
      </x:c>
      <x:c r="J2293" s="40" t="n">
        <x:v>10030</x:v>
      </x:c>
      <x:c r="K2293" s="24" t="str">
        <x:v>-8.00 a +8.00</x:v>
      </x:c>
      <x:c r="L2293" s="24" t="str">
        <x:v>-6.00</x:v>
      </x:c>
      <x:c r="M2293" s="24" t="str">
        <x:v>0.75 a 3.00</x:v>
      </x:c>
      <x:c r="N2293" s="24" t="str">
        <x:v>70</x:v>
      </x:c>
      <x:c r="O2293" s="24"/>
      <x:c r="P2293" s="24"/>
      <x:c r="Q2293" s="24" t="str">
        <x:v>DISPONÍVEL</x:v>
      </x:c>
      <x:c r="R2293" s="24"/>
      <x:c r="S2293" s="24" t="n">
        <x:v>38</x:v>
      </x:c>
      <x:c r="T2293" s="24" t="str">
        <x:v>tabela_zeiss.pdf</x:v>
      </x:c>
      <x:c r="U2293" s="24" t="str">
        <x:v>ZEISS|Progressiva|Surfaçada|SmartLife Superb||1.67|1.67|DuraVision Platinum UV|-8.00 a +8.00|-6.00|0.75 a 3.00|70|||38</x:v>
      </x:c>
    </x:row>
    <x:row r="2294">
      <x:c r="A2294" s="24" t="str">
        <x:v>ZS-E31E0C1F1218</x:v>
      </x:c>
      <x:c r="B2294" s="24" t="str">
        <x:v>ZEISS</x:v>
      </x:c>
      <x:c r="C2294" s="24" t="str">
        <x:v>Progressiva</x:v>
      </x:c>
      <x:c r="D2294" s="24" t="str">
        <x:v>Surfaçada</x:v>
      </x:c>
      <x:c r="E2294" s="24" t="str">
        <x:v>SmartLife Superb</x:v>
      </x:c>
      <x:c r="F2294" s="24"/>
      <x:c r="G2294" s="24" t="str">
        <x:v>1.67</x:v>
      </x:c>
      <x:c r="H2294" s="24" t="str">
        <x:v>1.67</x:v>
      </x:c>
      <x:c r="I2294" s="24" t="str">
        <x:v>DuraVision Silver UV</x:v>
      </x:c>
      <x:c r="J2294" s="40" t="n">
        <x:v>9770</x:v>
      </x:c>
      <x:c r="K2294" s="24" t="str">
        <x:v>-8.00 a +8.00</x:v>
      </x:c>
      <x:c r="L2294" s="24" t="str">
        <x:v>-6.00</x:v>
      </x:c>
      <x:c r="M2294" s="24" t="str">
        <x:v>0.75 a 3.00</x:v>
      </x:c>
      <x:c r="N2294" s="24" t="str">
        <x:v>70</x:v>
      </x:c>
      <x:c r="O2294" s="24"/>
      <x:c r="P2294" s="24"/>
      <x:c r="Q2294" s="24" t="str">
        <x:v>DISPONÍVEL</x:v>
      </x:c>
      <x:c r="R2294" s="24"/>
      <x:c r="S2294" s="24" t="n">
        <x:v>38</x:v>
      </x:c>
      <x:c r="T2294" s="24" t="str">
        <x:v>tabela_zeiss.pdf</x:v>
      </x:c>
      <x:c r="U2294" s="24" t="str">
        <x:v>ZEISS|Progressiva|Surfaçada|SmartLife Superb||1.67|1.67|DuraVision Silver UV|-8.00 a +8.00|-6.00|0.75 a 3.00|70|||38</x:v>
      </x:c>
    </x:row>
    <x:row r="2295">
      <x:c r="A2295" s="24" t="str">
        <x:v>ZS-47C5E4BDECA4</x:v>
      </x:c>
      <x:c r="B2295" s="24" t="str">
        <x:v>ZEISS</x:v>
      </x:c>
      <x:c r="C2295" s="24" t="str">
        <x:v>Progressiva</x:v>
      </x:c>
      <x:c r="D2295" s="24" t="str">
        <x:v>Surfaçada</x:v>
      </x:c>
      <x:c r="E2295" s="24" t="str">
        <x:v>SmartLife Superb</x:v>
      </x:c>
      <x:c r="F2295" s="24"/>
      <x:c r="G2295" s="24" t="str">
        <x:v>1.67</x:v>
      </x:c>
      <x:c r="H2295" s="24" t="str">
        <x:v>1.67</x:v>
      </x:c>
      <x:c r="I2295" s="24" t="str">
        <x:v>DuraVision Chrome UV</x:v>
      </x:c>
      <x:c r="J2295" s="40" t="n">
        <x:v>9280</x:v>
      </x:c>
      <x:c r="K2295" s="24" t="str">
        <x:v>-8.00 a +8.00</x:v>
      </x:c>
      <x:c r="L2295" s="24" t="str">
        <x:v>-6.00</x:v>
      </x:c>
      <x:c r="M2295" s="24" t="str">
        <x:v>0.75 a 3.00</x:v>
      </x:c>
      <x:c r="N2295" s="24" t="str">
        <x:v>70</x:v>
      </x:c>
      <x:c r="O2295" s="24"/>
      <x:c r="P2295" s="24"/>
      <x:c r="Q2295" s="24" t="str">
        <x:v>DISPONÍVEL</x:v>
      </x:c>
      <x:c r="R2295" s="24"/>
      <x:c r="S2295" s="24" t="n">
        <x:v>38</x:v>
      </x:c>
      <x:c r="T2295" s="24" t="str">
        <x:v>tabela_zeiss.pdf</x:v>
      </x:c>
      <x:c r="U2295" s="24" t="str">
        <x:v>ZEISS|Progressiva|Surfaçada|SmartLife Superb||1.67|1.67|DuraVision Chrome UV|-8.00 a +8.00|-6.00|0.75 a 3.00|70|||38</x:v>
      </x:c>
    </x:row>
    <x:row r="2296">
      <x:c r="A2296" s="24" t="str">
        <x:v>ZS-DD5E8CB173EA</x:v>
      </x:c>
      <x:c r="B2296" s="24" t="str">
        <x:v>ZEISS</x:v>
      </x:c>
      <x:c r="C2296" s="24" t="str">
        <x:v>Progressiva</x:v>
      </x:c>
      <x:c r="D2296" s="24" t="str">
        <x:v>Surfaçada</x:v>
      </x:c>
      <x:c r="E2296" s="24" t="str">
        <x:v>SmartLife Superb</x:v>
      </x:c>
      <x:c r="F2296" s="24"/>
      <x:c r="G2296" s="24" t="str">
        <x:v>1.74</x:v>
      </x:c>
      <x:c r="H2296" s="24" t="str">
        <x:v>1.74</x:v>
      </x:c>
      <x:c r="I2296" s="24" t="str">
        <x:v>DuraVision Gold UV</x:v>
      </x:c>
      <x:c r="J2296" s="40" t="n">
        <x:v>11770</x:v>
      </x:c>
      <x:c r="K2296" s="24" t="str">
        <x:v>-10.00 a +7.00</x:v>
      </x:c>
      <x:c r="L2296" s="24" t="str">
        <x:v>-4.00</x:v>
      </x:c>
      <x:c r="M2296" s="24" t="str">
        <x:v>0.75 a 3.50</x:v>
      </x:c>
      <x:c r="N2296" s="24" t="str">
        <x:v>70 a 75</x:v>
      </x:c>
      <x:c r="O2296" s="24"/>
      <x:c r="P2296" s="24"/>
      <x:c r="Q2296" s="24" t="str">
        <x:v>DISPONÍVEL</x:v>
      </x:c>
      <x:c r="R2296" s="24"/>
      <x:c r="S2296" s="24" t="n">
        <x:v>38</x:v>
      </x:c>
      <x:c r="T2296" s="24" t="str">
        <x:v>tabela_zeiss.pdf</x:v>
      </x:c>
      <x:c r="U2296" s="24" t="str">
        <x:v>ZEISS|Progressiva|Surfaçada|SmartLife Superb||1.74|1.74|DuraVision Gold UV|-10.00 a +7.00|-4.00|0.75 a 3.50|70 a 75|||38</x:v>
      </x:c>
    </x:row>
    <x:row r="2297">
      <x:c r="A2297" s="24" t="str">
        <x:v>ZS-B7A1BB3CA2C5</x:v>
      </x:c>
      <x:c r="B2297" s="24" t="str">
        <x:v>ZEISS</x:v>
      </x:c>
      <x:c r="C2297" s="24" t="str">
        <x:v>Progressiva</x:v>
      </x:c>
      <x:c r="D2297" s="24" t="str">
        <x:v>Surfaçada</x:v>
      </x:c>
      <x:c r="E2297" s="24" t="str">
        <x:v>SmartLife Superb</x:v>
      </x:c>
      <x:c r="F2297" s="24"/>
      <x:c r="G2297" s="24" t="str">
        <x:v>1.74</x:v>
      </x:c>
      <x:c r="H2297" s="24" t="str">
        <x:v>1.74</x:v>
      </x:c>
      <x:c r="I2297" s="24" t="str">
        <x:v>DuraVision Platinum UV</x:v>
      </x:c>
      <x:c r="J2297" s="40" t="n">
        <x:v>11630</x:v>
      </x:c>
      <x:c r="K2297" s="24" t="str">
        <x:v>-10.00 a +7.00</x:v>
      </x:c>
      <x:c r="L2297" s="24" t="str">
        <x:v>-4.00</x:v>
      </x:c>
      <x:c r="M2297" s="24" t="str">
        <x:v>0.75 a 3.50</x:v>
      </x:c>
      <x:c r="N2297" s="24" t="str">
        <x:v>70 a 75</x:v>
      </x:c>
      <x:c r="O2297" s="24"/>
      <x:c r="P2297" s="24"/>
      <x:c r="Q2297" s="24" t="str">
        <x:v>DISPONÍVEL</x:v>
      </x:c>
      <x:c r="R2297" s="24"/>
      <x:c r="S2297" s="24" t="n">
        <x:v>38</x:v>
      </x:c>
      <x:c r="T2297" s="24" t="str">
        <x:v>tabela_zeiss.pdf</x:v>
      </x:c>
      <x:c r="U2297" s="24" t="str">
        <x:v>ZEISS|Progressiva|Surfaçada|SmartLife Superb||1.74|1.74|DuraVision Platinum UV|-10.00 a +7.00|-4.00|0.75 a 3.50|70 a 75|||38</x:v>
      </x:c>
    </x:row>
    <x:row r="2298">
      <x:c r="A2298" s="24" t="str">
        <x:v>ZS-619DA15248A3</x:v>
      </x:c>
      <x:c r="B2298" s="24" t="str">
        <x:v>ZEISS</x:v>
      </x:c>
      <x:c r="C2298" s="24" t="str">
        <x:v>Progressiva</x:v>
      </x:c>
      <x:c r="D2298" s="24" t="str">
        <x:v>Surfaçada</x:v>
      </x:c>
      <x:c r="E2298" s="24" t="str">
        <x:v>SmartLife Superb</x:v>
      </x:c>
      <x:c r="F2298" s="24"/>
      <x:c r="G2298" s="24" t="str">
        <x:v>1.74</x:v>
      </x:c>
      <x:c r="H2298" s="24" t="str">
        <x:v>1.74</x:v>
      </x:c>
      <x:c r="I2298" s="24" t="str">
        <x:v>DuraVision Silver UV</x:v>
      </x:c>
      <x:c r="J2298" s="40" t="n">
        <x:v>11370</x:v>
      </x:c>
      <x:c r="K2298" s="24" t="str">
        <x:v>-10.00 a +7.00</x:v>
      </x:c>
      <x:c r="L2298" s="24" t="str">
        <x:v>-4.00</x:v>
      </x:c>
      <x:c r="M2298" s="24" t="str">
        <x:v>0.75 a 3.50</x:v>
      </x:c>
      <x:c r="N2298" s="24" t="str">
        <x:v>70 a 75</x:v>
      </x:c>
      <x:c r="O2298" s="24"/>
      <x:c r="P2298" s="24"/>
      <x:c r="Q2298" s="24" t="str">
        <x:v>DISPONÍVEL</x:v>
      </x:c>
      <x:c r="R2298" s="24"/>
      <x:c r="S2298" s="24" t="n">
        <x:v>38</x:v>
      </x:c>
      <x:c r="T2298" s="24" t="str">
        <x:v>tabela_zeiss.pdf</x:v>
      </x:c>
      <x:c r="U2298" s="24" t="str">
        <x:v>ZEISS|Progressiva|Surfaçada|SmartLife Superb||1.74|1.74|DuraVision Silver UV|-10.00 a +7.00|-4.00|0.75 a 3.50|70 a 75|||38</x:v>
      </x:c>
    </x:row>
    <x:row r="2299">
      <x:c r="A2299" s="24" t="str">
        <x:v>ZS-B40C7DC885B5</x:v>
      </x:c>
      <x:c r="B2299" s="24" t="str">
        <x:v>ZEISS</x:v>
      </x:c>
      <x:c r="C2299" s="24" t="str">
        <x:v>Progressiva</x:v>
      </x:c>
      <x:c r="D2299" s="24" t="str">
        <x:v>Surfaçada</x:v>
      </x:c>
      <x:c r="E2299" s="24" t="str">
        <x:v>SmartLife Superb</x:v>
      </x:c>
      <x:c r="F2299" s="24"/>
      <x:c r="G2299" s="24" t="str">
        <x:v>1.74</x:v>
      </x:c>
      <x:c r="H2299" s="24" t="str">
        <x:v>1.74</x:v>
      </x:c>
      <x:c r="I2299" s="24" t="str">
        <x:v>DuraVision Chrome UV</x:v>
      </x:c>
      <x:c r="J2299" s="40" t="n">
        <x:v>10880</x:v>
      </x:c>
      <x:c r="K2299" s="24" t="str">
        <x:v>-10.00 a +7.00</x:v>
      </x:c>
      <x:c r="L2299" s="24" t="str">
        <x:v>-4.00</x:v>
      </x:c>
      <x:c r="M2299" s="24" t="str">
        <x:v>0.75 a 3.50</x:v>
      </x:c>
      <x:c r="N2299" s="24" t="str">
        <x:v>70 a 75</x:v>
      </x:c>
      <x:c r="O2299" s="24"/>
      <x:c r="P2299" s="24"/>
      <x:c r="Q2299" s="24" t="str">
        <x:v>DISPONÍVEL</x:v>
      </x:c>
      <x:c r="R2299" s="24"/>
      <x:c r="S2299" s="24" t="n">
        <x:v>38</x:v>
      </x:c>
      <x:c r="T2299" s="24" t="str">
        <x:v>tabela_zeiss.pdf</x:v>
      </x:c>
      <x:c r="U2299" s="24" t="str">
        <x:v>ZEISS|Progressiva|Surfaçada|SmartLife Superb||1.74|1.74|DuraVision Chrome UV|-10.00 a +7.00|-4.00|0.75 a 3.50|70 a 75|||38</x:v>
      </x:c>
    </x:row>
    <x:row r="2300">
      <x:c r="A2300" s="24" t="str">
        <x:v>ZS-12515106ABB5</x:v>
      </x:c>
      <x:c r="B2300" s="24" t="str">
        <x:v>ZEISS</x:v>
      </x:c>
      <x:c r="C2300" s="24" t="str">
        <x:v>Progressiva</x:v>
      </x:c>
      <x:c r="D2300" s="24" t="str">
        <x:v>Surfaçada</x:v>
      </x:c>
      <x:c r="E2300" s="24" t="str">
        <x:v>SmartLife Superb</x:v>
      </x:c>
      <x:c r="F2300" s="24" t="str">
        <x:v>PhotoFusion X</x:v>
      </x:c>
      <x:c r="G2300" s="24" t="str">
        <x:v>1.5</x:v>
      </x:c>
      <x:c r="H2300" s="24" t="str">
        <x:v>1.50</x:v>
      </x:c>
      <x:c r="I2300" s="24" t="str">
        <x:v>DuraVision Gold UV</x:v>
      </x:c>
      <x:c r="J2300" s="40" t="n">
        <x:v>8700</x:v>
      </x:c>
      <x:c r="K2300" s="24" t="str">
        <x:v>-6.00 a +5.50</x:v>
      </x:c>
      <x:c r="L2300" s="24" t="str">
        <x:v>-4.00</x:v>
      </x:c>
      <x:c r="M2300" s="24" t="str">
        <x:v>0.75 a 3.00</x:v>
      </x:c>
      <x:c r="N2300" s="24" t="str">
        <x:v>75</x:v>
      </x:c>
      <x:c r="O2300" s="24"/>
      <x:c r="P2300" s="24"/>
      <x:c r="Q2300" s="24" t="str">
        <x:v>DISPONÍVEL</x:v>
      </x:c>
      <x:c r="R2300" s="24" t="str">
        <x:v>Programa de Parcerias ZEISS</x:v>
      </x:c>
      <x:c r="S2300" s="24" t="n">
        <x:v>38</x:v>
      </x:c>
      <x:c r="T2300" s="24" t="str">
        <x:v>tabela_zeiss.pdf</x:v>
      </x:c>
      <x:c r="U2300" s="24" t="str">
        <x:v>ZEISS|Progressiva|Surfaçada|SmartLife Superb|PhotoFusion X|1.5|1.50|DuraVision Gold UV|-6.00 a +5.50|-4.00|0.75 a 3.00|75|||38</x:v>
      </x:c>
    </x:row>
    <x:row r="2301">
      <x:c r="A2301" s="24" t="str">
        <x:v>ZS-A76F709B5917</x:v>
      </x:c>
      <x:c r="B2301" s="24" t="str">
        <x:v>ZEISS</x:v>
      </x:c>
      <x:c r="C2301" s="24" t="str">
        <x:v>Progressiva</x:v>
      </x:c>
      <x:c r="D2301" s="24" t="str">
        <x:v>Surfaçada</x:v>
      </x:c>
      <x:c r="E2301" s="24" t="str">
        <x:v>SmartLife Superb</x:v>
      </x:c>
      <x:c r="F2301" s="24" t="str">
        <x:v>PhotoFusion X</x:v>
      </x:c>
      <x:c r="G2301" s="24" t="str">
        <x:v>1.5</x:v>
      </x:c>
      <x:c r="H2301" s="24" t="str">
        <x:v>1.50</x:v>
      </x:c>
      <x:c r="I2301" s="24" t="str">
        <x:v>DURAVISION® ANTIVÍRUS PLATINUM UV</x:v>
      </x:c>
      <x:c r="J2301" s="40" t="n">
        <x:v>8560</x:v>
      </x:c>
      <x:c r="K2301" s="24" t="str">
        <x:v>-6.00 a +5.50</x:v>
      </x:c>
      <x:c r="L2301" s="24" t="str">
        <x:v>-4.00</x:v>
      </x:c>
      <x:c r="M2301" s="24" t="str">
        <x:v>0.75 a 3.00</x:v>
      </x:c>
      <x:c r="N2301" s="24" t="str">
        <x:v>75</x:v>
      </x:c>
      <x:c r="O2301" s="24"/>
      <x:c r="P2301" s="24"/>
      <x:c r="Q2301" s="24" t="str">
        <x:v>DISPONÍVEL</x:v>
      </x:c>
      <x:c r="R2301" s="24" t="str">
        <x:v>Programa de Parcerias ZEISS</x:v>
      </x:c>
      <x:c r="S2301" s="24" t="n">
        <x:v>38</x:v>
      </x:c>
      <x:c r="T2301" s="24" t="str">
        <x:v>tabela_zeiss.pdf</x:v>
      </x:c>
      <x:c r="U2301" s="24" t="str">
        <x:v>ZEISS|Progressiva|Surfaçada|SmartLife Superb|PhotoFusion X|1.5|1.50|DURAVISION® ANTIVÍRUS PLATINUM UV|-6.00 a +5.50|-4.00|0.75 a 3.00|75|||38</x:v>
      </x:c>
    </x:row>
    <x:row r="2302">
      <x:c r="A2302" s="24" t="str">
        <x:v>ZS-5E7A203A80A7</x:v>
      </x:c>
      <x:c r="B2302" s="24" t="str">
        <x:v>ZEISS</x:v>
      </x:c>
      <x:c r="C2302" s="24" t="str">
        <x:v>Progressiva</x:v>
      </x:c>
      <x:c r="D2302" s="24" t="str">
        <x:v>Surfaçada</x:v>
      </x:c>
      <x:c r="E2302" s="24" t="str">
        <x:v>SmartLife Superb</x:v>
      </x:c>
      <x:c r="F2302" s="24" t="str">
        <x:v>PhotoFusion X</x:v>
      </x:c>
      <x:c r="G2302" s="24" t="str">
        <x:v>1.5</x:v>
      </x:c>
      <x:c r="H2302" s="24" t="str">
        <x:v>1.50</x:v>
      </x:c>
      <x:c r="I2302" s="24" t="str">
        <x:v>DuraVision Platinum UV</x:v>
      </x:c>
      <x:c r="J2302" s="40" t="n">
        <x:v>8560</x:v>
      </x:c>
      <x:c r="K2302" s="24" t="str">
        <x:v>-6.00 a +5.50</x:v>
      </x:c>
      <x:c r="L2302" s="24" t="str">
        <x:v>-4.00</x:v>
      </x:c>
      <x:c r="M2302" s="24" t="str">
        <x:v>0.75 a 3.00</x:v>
      </x:c>
      <x:c r="N2302" s="24" t="str">
        <x:v>75</x:v>
      </x:c>
      <x:c r="O2302" s="24"/>
      <x:c r="P2302" s="24"/>
      <x:c r="Q2302" s="24" t="str">
        <x:v>DISPONÍVEL</x:v>
      </x:c>
      <x:c r="R2302" s="24" t="str">
        <x:v>Programa de Parcerias ZEISS</x:v>
      </x:c>
      <x:c r="S2302" s="24" t="n">
        <x:v>38</x:v>
      </x:c>
      <x:c r="T2302" s="24" t="str">
        <x:v>tabela_zeiss.pdf</x:v>
      </x:c>
      <x:c r="U2302" s="24" t="str">
        <x:v>ZEISS|Progressiva|Surfaçada|SmartLife Superb|PhotoFusion X|1.5|1.50|DuraVision Platinum UV|-6.00 a +5.50|-4.00|0.75 a 3.00|75|||38</x:v>
      </x:c>
    </x:row>
    <x:row r="2303">
      <x:c r="A2303" s="24" t="str">
        <x:v>ZS-4E844372031B</x:v>
      </x:c>
      <x:c r="B2303" s="24" t="str">
        <x:v>ZEISS</x:v>
      </x:c>
      <x:c r="C2303" s="24" t="str">
        <x:v>Progressiva</x:v>
      </x:c>
      <x:c r="D2303" s="24" t="str">
        <x:v>Surfaçada</x:v>
      </x:c>
      <x:c r="E2303" s="24" t="str">
        <x:v>SmartLife Superb</x:v>
      </x:c>
      <x:c r="F2303" s="24" t="str">
        <x:v>PhotoFusion X</x:v>
      </x:c>
      <x:c r="G2303" s="24" t="str">
        <x:v>1.5</x:v>
      </x:c>
      <x:c r="H2303" s="24" t="str">
        <x:v>1.50</x:v>
      </x:c>
      <x:c r="I2303" s="24" t="str">
        <x:v>DuraVision Silver UV</x:v>
      </x:c>
      <x:c r="J2303" s="40" t="n">
        <x:v>8300</x:v>
      </x:c>
      <x:c r="K2303" s="24" t="str">
        <x:v>-6.00 a +5.50</x:v>
      </x:c>
      <x:c r="L2303" s="24" t="str">
        <x:v>-4.00</x:v>
      </x:c>
      <x:c r="M2303" s="24" t="str">
        <x:v>0.75 a 3.00</x:v>
      </x:c>
      <x:c r="N2303" s="24" t="str">
        <x:v>75</x:v>
      </x:c>
      <x:c r="O2303" s="24"/>
      <x:c r="P2303" s="24"/>
      <x:c r="Q2303" s="24" t="str">
        <x:v>DISPONÍVEL</x:v>
      </x:c>
      <x:c r="R2303" s="24" t="str">
        <x:v>Programa de Parcerias ZEISS</x:v>
      </x:c>
      <x:c r="S2303" s="24" t="n">
        <x:v>38</x:v>
      </x:c>
      <x:c r="T2303" s="24" t="str">
        <x:v>tabela_zeiss.pdf</x:v>
      </x:c>
      <x:c r="U2303" s="24" t="str">
        <x:v>ZEISS|Progressiva|Surfaçada|SmartLife Superb|PhotoFusion X|1.5|1.50|DuraVision Silver UV|-6.00 a +5.50|-4.00|0.75 a 3.00|75|||38</x:v>
      </x:c>
    </x:row>
    <x:row r="2304">
      <x:c r="A2304" s="24" t="str">
        <x:v>ZS-9645F4D8CC0E</x:v>
      </x:c>
      <x:c r="B2304" s="24" t="str">
        <x:v>ZEISS</x:v>
      </x:c>
      <x:c r="C2304" s="24" t="str">
        <x:v>Progressiva</x:v>
      </x:c>
      <x:c r="D2304" s="24" t="str">
        <x:v>Surfaçada</x:v>
      </x:c>
      <x:c r="E2304" s="24" t="str">
        <x:v>SmartLife Superb</x:v>
      </x:c>
      <x:c r="F2304" s="24" t="str">
        <x:v>PhotoFusion X</x:v>
      </x:c>
      <x:c r="G2304" s="24" t="str">
        <x:v>1.5</x:v>
      </x:c>
      <x:c r="H2304" s="24" t="str">
        <x:v>1.50</x:v>
      </x:c>
      <x:c r="I2304" s="24" t="str">
        <x:v>DuraVision Chrome UV</x:v>
      </x:c>
      <x:c r="J2304" s="40" t="n">
        <x:v>7810</x:v>
      </x:c>
      <x:c r="K2304" s="24" t="str">
        <x:v>-6.00 a +5.50</x:v>
      </x:c>
      <x:c r="L2304" s="24" t="str">
        <x:v>-4.00</x:v>
      </x:c>
      <x:c r="M2304" s="24" t="str">
        <x:v>0.75 a 3.00</x:v>
      </x:c>
      <x:c r="N2304" s="24" t="str">
        <x:v>75</x:v>
      </x:c>
      <x:c r="O2304" s="24"/>
      <x:c r="P2304" s="24"/>
      <x:c r="Q2304" s="24" t="str">
        <x:v>DISPONÍVEL</x:v>
      </x:c>
      <x:c r="R2304" s="24" t="str">
        <x:v>Programa de Parcerias ZEISS</x:v>
      </x:c>
      <x:c r="S2304" s="24" t="n">
        <x:v>38</x:v>
      </x:c>
      <x:c r="T2304" s="24" t="str">
        <x:v>tabela_zeiss.pdf</x:v>
      </x:c>
      <x:c r="U2304" s="24" t="str">
        <x:v>ZEISS|Progressiva|Surfaçada|SmartLife Superb|PhotoFusion X|1.5|1.50|DuraVision Chrome UV|-6.00 a +5.50|-4.00|0.75 a 3.00|75|||38</x:v>
      </x:c>
    </x:row>
    <x:row r="2305">
      <x:c r="A2305" s="24" t="str">
        <x:v>ZS-404CDE838BCA</x:v>
      </x:c>
      <x:c r="B2305" s="24" t="str">
        <x:v>ZEISS</x:v>
      </x:c>
      <x:c r="C2305" s="24" t="str">
        <x:v>Progressiva</x:v>
      </x:c>
      <x:c r="D2305" s="24" t="str">
        <x:v>Surfaçada</x:v>
      </x:c>
      <x:c r="E2305" s="24" t="str">
        <x:v>SmartLife Superb</x:v>
      </x:c>
      <x:c r="F2305" s="24" t="str">
        <x:v>PhotoFusion X</x:v>
      </x:c>
      <x:c r="G2305" s="24" t="str">
        <x:v>Poli</x:v>
      </x:c>
      <x:c r="H2305" s="24"/>
      <x:c r="I2305" s="24" t="str">
        <x:v>DuraVision Gold UV</x:v>
      </x:c>
      <x:c r="J2305" s="40" t="n">
        <x:v>9290</x:v>
      </x:c>
      <x:c r="K2305" s="24" t="str">
        <x:v>-10.00 a +6.00</x:v>
      </x:c>
      <x:c r="L2305" s="24" t="str">
        <x:v>-6.00</x:v>
      </x:c>
      <x:c r="M2305" s="24" t="str">
        <x:v>0.75 a 3.00</x:v>
      </x:c>
      <x:c r="N2305" s="24" t="str">
        <x:v>70</x:v>
      </x:c>
      <x:c r="O2305" s="24"/>
      <x:c r="P2305" s="24"/>
      <x:c r="Q2305" s="24" t="str">
        <x:v>DISPONÍVEL</x:v>
      </x:c>
      <x:c r="R2305" s="24" t="str">
        <x:v>Programa de Parcerias ZEISS</x:v>
      </x:c>
      <x:c r="S2305" s="24" t="n">
        <x:v>38</x:v>
      </x:c>
      <x:c r="T2305" s="24" t="str">
        <x:v>tabela_zeiss.pdf</x:v>
      </x:c>
      <x:c r="U2305" s="24" t="str">
        <x:v>ZEISS|Progressiva|Surfaçada|SmartLife Superb|PhotoFusion X|Poli||DuraVision Gold UV|-10.00 a +6.00|-6.00|0.75 a 3.00|70|||38</x:v>
      </x:c>
    </x:row>
    <x:row r="2306">
      <x:c r="A2306" s="24" t="str">
        <x:v>ZS-CA1C1BD03384</x:v>
      </x:c>
      <x:c r="B2306" s="24" t="str">
        <x:v>ZEISS</x:v>
      </x:c>
      <x:c r="C2306" s="24" t="str">
        <x:v>Progressiva</x:v>
      </x:c>
      <x:c r="D2306" s="24" t="str">
        <x:v>Surfaçada</x:v>
      </x:c>
      <x:c r="E2306" s="24" t="str">
        <x:v>SmartLife Superb</x:v>
      </x:c>
      <x:c r="F2306" s="24" t="str">
        <x:v>PhotoFusion X</x:v>
      </x:c>
      <x:c r="G2306" s="24" t="str">
        <x:v>Poli</x:v>
      </x:c>
      <x:c r="H2306" s="24"/>
      <x:c r="I2306" s="24" t="str">
        <x:v>DuraVision Platinum UV</x:v>
      </x:c>
      <x:c r="J2306" s="40" t="n">
        <x:v>9150</x:v>
      </x:c>
      <x:c r="K2306" s="24" t="str">
        <x:v>-10.00 a +6.00</x:v>
      </x:c>
      <x:c r="L2306" s="24" t="str">
        <x:v>-6.00</x:v>
      </x:c>
      <x:c r="M2306" s="24" t="str">
        <x:v>0.75 a 3.00</x:v>
      </x:c>
      <x:c r="N2306" s="24" t="str">
        <x:v>70</x:v>
      </x:c>
      <x:c r="O2306" s="24"/>
      <x:c r="P2306" s="24"/>
      <x:c r="Q2306" s="24" t="str">
        <x:v>DISPONÍVEL</x:v>
      </x:c>
      <x:c r="R2306" s="24" t="str">
        <x:v>Programa de Parcerias ZEISS</x:v>
      </x:c>
      <x:c r="S2306" s="24" t="n">
        <x:v>38</x:v>
      </x:c>
      <x:c r="T2306" s="24" t="str">
        <x:v>tabela_zeiss.pdf</x:v>
      </x:c>
      <x:c r="U2306" s="24" t="str">
        <x:v>ZEISS|Progressiva|Surfaçada|SmartLife Superb|PhotoFusion X|Poli||DuraVision Platinum UV|-10.00 a +6.00|-6.00|0.75 a 3.00|70|||38</x:v>
      </x:c>
    </x:row>
    <x:row r="2307">
      <x:c r="A2307" s="24" t="str">
        <x:v>ZS-A04A500902FD</x:v>
      </x:c>
      <x:c r="B2307" s="24" t="str">
        <x:v>ZEISS</x:v>
      </x:c>
      <x:c r="C2307" s="24" t="str">
        <x:v>Progressiva</x:v>
      </x:c>
      <x:c r="D2307" s="24" t="str">
        <x:v>Surfaçada</x:v>
      </x:c>
      <x:c r="E2307" s="24" t="str">
        <x:v>SmartLife Superb</x:v>
      </x:c>
      <x:c r="F2307" s="24" t="str">
        <x:v>PhotoFusion X</x:v>
      </x:c>
      <x:c r="G2307" s="24" t="str">
        <x:v>Poli</x:v>
      </x:c>
      <x:c r="H2307" s="24"/>
      <x:c r="I2307" s="24" t="str">
        <x:v>DuraVision Silver UV</x:v>
      </x:c>
      <x:c r="J2307" s="40" t="n">
        <x:v>8890</x:v>
      </x:c>
      <x:c r="K2307" s="24" t="str">
        <x:v>-10.00 a +6.00</x:v>
      </x:c>
      <x:c r="L2307" s="24" t="str">
        <x:v>-6.00</x:v>
      </x:c>
      <x:c r="M2307" s="24" t="str">
        <x:v>0.75 a 3.00</x:v>
      </x:c>
      <x:c r="N2307" s="24" t="str">
        <x:v>70</x:v>
      </x:c>
      <x:c r="O2307" s="24"/>
      <x:c r="P2307" s="24"/>
      <x:c r="Q2307" s="24" t="str">
        <x:v>DISPONÍVEL</x:v>
      </x:c>
      <x:c r="R2307" s="24" t="str">
        <x:v>Programa de Parcerias ZEISS</x:v>
      </x:c>
      <x:c r="S2307" s="24" t="n">
        <x:v>38</x:v>
      </x:c>
      <x:c r="T2307" s="24" t="str">
        <x:v>tabela_zeiss.pdf</x:v>
      </x:c>
      <x:c r="U2307" s="24" t="str">
        <x:v>ZEISS|Progressiva|Surfaçada|SmartLife Superb|PhotoFusion X|Poli||DuraVision Silver UV|-10.00 a +6.00|-6.00|0.75 a 3.00|70|||38</x:v>
      </x:c>
    </x:row>
    <x:row r="2308">
      <x:c r="A2308" s="24" t="str">
        <x:v>ZS-67DDF499FBF9</x:v>
      </x:c>
      <x:c r="B2308" s="24" t="str">
        <x:v>ZEISS</x:v>
      </x:c>
      <x:c r="C2308" s="24" t="str">
        <x:v>Progressiva</x:v>
      </x:c>
      <x:c r="D2308" s="24" t="str">
        <x:v>Surfaçada</x:v>
      </x:c>
      <x:c r="E2308" s="24" t="str">
        <x:v>SmartLife Superb</x:v>
      </x:c>
      <x:c r="F2308" s="24" t="str">
        <x:v>PhotoFusion X</x:v>
      </x:c>
      <x:c r="G2308" s="24" t="str">
        <x:v>Poli</x:v>
      </x:c>
      <x:c r="H2308" s="24"/>
      <x:c r="I2308" s="24" t="str">
        <x:v>DuraVision Chrome UV</x:v>
      </x:c>
      <x:c r="J2308" s="40" t="n">
        <x:v>8400</x:v>
      </x:c>
      <x:c r="K2308" s="24" t="str">
        <x:v>-10.00 a +6.00</x:v>
      </x:c>
      <x:c r="L2308" s="24" t="str">
        <x:v>-6.00</x:v>
      </x:c>
      <x:c r="M2308" s="24" t="str">
        <x:v>0.75 a 3.00</x:v>
      </x:c>
      <x:c r="N2308" s="24" t="str">
        <x:v>70</x:v>
      </x:c>
      <x:c r="O2308" s="24"/>
      <x:c r="P2308" s="24"/>
      <x:c r="Q2308" s="24" t="str">
        <x:v>DISPONÍVEL</x:v>
      </x:c>
      <x:c r="R2308" s="24" t="str">
        <x:v>Programa de Parcerias ZEISS</x:v>
      </x:c>
      <x:c r="S2308" s="24" t="n">
        <x:v>38</x:v>
      </x:c>
      <x:c r="T2308" s="24" t="str">
        <x:v>tabela_zeiss.pdf</x:v>
      </x:c>
      <x:c r="U2308" s="24" t="str">
        <x:v>ZEISS|Progressiva|Surfaçada|SmartLife Superb|PhotoFusion X|Poli||DuraVision Chrome UV|-10.00 a +6.00|-6.00|0.75 a 3.00|70|||38</x:v>
      </x:c>
    </x:row>
    <x:row r="2309">
      <x:c r="A2309" s="24" t="str">
        <x:v>ZS-BB7E00430B7D</x:v>
      </x:c>
      <x:c r="B2309" s="24" t="str">
        <x:v>ZEISS</x:v>
      </x:c>
      <x:c r="C2309" s="24" t="str">
        <x:v>Progressiva</x:v>
      </x:c>
      <x:c r="D2309" s="24" t="str">
        <x:v>Surfaçada</x:v>
      </x:c>
      <x:c r="E2309" s="24" t="str">
        <x:v>SmartLife Superb</x:v>
      </x:c>
      <x:c r="F2309" s="24" t="str">
        <x:v>PhotoFusion X</x:v>
      </x:c>
      <x:c r="G2309" s="24" t="str">
        <x:v>1.6</x:v>
      </x:c>
      <x:c r="H2309" s="24" t="str">
        <x:v>1.60</x:v>
      </x:c>
      <x:c r="I2309" s="24" t="str">
        <x:v>DuraVision Gold UV</x:v>
      </x:c>
      <x:c r="J2309" s="40" t="n">
        <x:v>9950</x:v>
      </x:c>
      <x:c r="K2309" s="24" t="str">
        <x:v>-7.25 a +6.00</x:v>
      </x:c>
      <x:c r="L2309" s="24" t="str">
        <x:v>-6.00</x:v>
      </x:c>
      <x:c r="M2309" s="24" t="str">
        <x:v>0.75 a 3.50</x:v>
      </x:c>
      <x:c r="N2309" s="24" t="str">
        <x:v>75</x:v>
      </x:c>
      <x:c r="O2309" s="24"/>
      <x:c r="P2309" s="24"/>
      <x:c r="Q2309" s="24" t="str">
        <x:v>DISPONÍVEL</x:v>
      </x:c>
      <x:c r="R2309" s="24" t="str">
        <x:v>Programa de Parcerias ZEISS</x:v>
      </x:c>
      <x:c r="S2309" s="24" t="n">
        <x:v>38</x:v>
      </x:c>
      <x:c r="T2309" s="24" t="str">
        <x:v>tabela_zeiss.pdf</x:v>
      </x:c>
      <x:c r="U2309" s="24" t="str">
        <x:v>ZEISS|Progressiva|Surfaçada|SmartLife Superb|PhotoFusion X|1.6|1.60|DuraVision Gold UV|-7.25 a +6.00|-6.00|0.75 a 3.50|75|||38</x:v>
      </x:c>
    </x:row>
    <x:row r="2310">
      <x:c r="A2310" s="24" t="str">
        <x:v>ZS-4822A848D8EA</x:v>
      </x:c>
      <x:c r="B2310" s="24" t="str">
        <x:v>ZEISS</x:v>
      </x:c>
      <x:c r="C2310" s="24" t="str">
        <x:v>Progressiva</x:v>
      </x:c>
      <x:c r="D2310" s="24" t="str">
        <x:v>Surfaçada</x:v>
      </x:c>
      <x:c r="E2310" s="24" t="str">
        <x:v>SmartLife Superb</x:v>
      </x:c>
      <x:c r="F2310" s="24" t="str">
        <x:v>PhotoFusion X</x:v>
      </x:c>
      <x:c r="G2310" s="24" t="str">
        <x:v>1.6</x:v>
      </x:c>
      <x:c r="H2310" s="24" t="str">
        <x:v>1.60</x:v>
      </x:c>
      <x:c r="I2310" s="24" t="str">
        <x:v>DURAVISION® ANTIVÍRUS PLATINUM UV</x:v>
      </x:c>
      <x:c r="J2310" s="40" t="n">
        <x:v>9810</x:v>
      </x:c>
      <x:c r="K2310" s="24" t="str">
        <x:v>-7.25 a +6.00</x:v>
      </x:c>
      <x:c r="L2310" s="24" t="str">
        <x:v>-6.00</x:v>
      </x:c>
      <x:c r="M2310" s="24" t="str">
        <x:v>0.75 a 3.50</x:v>
      </x:c>
      <x:c r="N2310" s="24" t="str">
        <x:v>75</x:v>
      </x:c>
      <x:c r="O2310" s="24"/>
      <x:c r="P2310" s="24"/>
      <x:c r="Q2310" s="24" t="str">
        <x:v>DISPONÍVEL</x:v>
      </x:c>
      <x:c r="R2310" s="24" t="str">
        <x:v>Programa de Parcerias ZEISS</x:v>
      </x:c>
      <x:c r="S2310" s="24" t="n">
        <x:v>38</x:v>
      </x:c>
      <x:c r="T2310" s="24" t="str">
        <x:v>tabela_zeiss.pdf</x:v>
      </x:c>
      <x:c r="U2310" s="24" t="str">
        <x:v>ZEISS|Progressiva|Surfaçada|SmartLife Superb|PhotoFusion X|1.6|1.60|DURAVISION® ANTIVÍRUS PLATINUM UV|-7.25 a +6.00|-6.00|0.75 a 3.50|75|||38</x:v>
      </x:c>
    </x:row>
    <x:row r="2311">
      <x:c r="A2311" s="24" t="str">
        <x:v>ZS-A2E0D1DE8118</x:v>
      </x:c>
      <x:c r="B2311" s="24" t="str">
        <x:v>ZEISS</x:v>
      </x:c>
      <x:c r="C2311" s="24" t="str">
        <x:v>Progressiva</x:v>
      </x:c>
      <x:c r="D2311" s="24" t="str">
        <x:v>Surfaçada</x:v>
      </x:c>
      <x:c r="E2311" s="24" t="str">
        <x:v>SmartLife Superb</x:v>
      </x:c>
      <x:c r="F2311" s="24" t="str">
        <x:v>PhotoFusion X</x:v>
      </x:c>
      <x:c r="G2311" s="24" t="str">
        <x:v>1.6</x:v>
      </x:c>
      <x:c r="H2311" s="24" t="str">
        <x:v>1.60</x:v>
      </x:c>
      <x:c r="I2311" s="24" t="str">
        <x:v>DuraVision Platinum UV</x:v>
      </x:c>
      <x:c r="J2311" s="40" t="n">
        <x:v>9810</x:v>
      </x:c>
      <x:c r="K2311" s="24" t="str">
        <x:v>-7.25 a +6.00</x:v>
      </x:c>
      <x:c r="L2311" s="24" t="str">
        <x:v>-6.00</x:v>
      </x:c>
      <x:c r="M2311" s="24" t="str">
        <x:v>0.75 a 3.50</x:v>
      </x:c>
      <x:c r="N2311" s="24" t="str">
        <x:v>75</x:v>
      </x:c>
      <x:c r="O2311" s="24"/>
      <x:c r="P2311" s="24"/>
      <x:c r="Q2311" s="24" t="str">
        <x:v>DISPONÍVEL</x:v>
      </x:c>
      <x:c r="R2311" s="24" t="str">
        <x:v>Programa de Parcerias ZEISS</x:v>
      </x:c>
      <x:c r="S2311" s="24" t="n">
        <x:v>38</x:v>
      </x:c>
      <x:c r="T2311" s="24" t="str">
        <x:v>tabela_zeiss.pdf</x:v>
      </x:c>
      <x:c r="U2311" s="24" t="str">
        <x:v>ZEISS|Progressiva|Surfaçada|SmartLife Superb|PhotoFusion X|1.6|1.60|DuraVision Platinum UV|-7.25 a +6.00|-6.00|0.75 a 3.50|75|||38</x:v>
      </x:c>
    </x:row>
    <x:row r="2312">
      <x:c r="A2312" s="24" t="str">
        <x:v>ZS-02EC59F8A640</x:v>
      </x:c>
      <x:c r="B2312" s="24" t="str">
        <x:v>ZEISS</x:v>
      </x:c>
      <x:c r="C2312" s="24" t="str">
        <x:v>Progressiva</x:v>
      </x:c>
      <x:c r="D2312" s="24" t="str">
        <x:v>Surfaçada</x:v>
      </x:c>
      <x:c r="E2312" s="24" t="str">
        <x:v>SmartLife Superb</x:v>
      </x:c>
      <x:c r="F2312" s="24" t="str">
        <x:v>PhotoFusion X</x:v>
      </x:c>
      <x:c r="G2312" s="24" t="str">
        <x:v>1.6</x:v>
      </x:c>
      <x:c r="H2312" s="24" t="str">
        <x:v>1.60</x:v>
      </x:c>
      <x:c r="I2312" s="24" t="str">
        <x:v>DuraVision Silver UV</x:v>
      </x:c>
      <x:c r="J2312" s="40" t="n">
        <x:v>9550</x:v>
      </x:c>
      <x:c r="K2312" s="24" t="str">
        <x:v>-7.25 a +6.00</x:v>
      </x:c>
      <x:c r="L2312" s="24" t="str">
        <x:v>-6.00</x:v>
      </x:c>
      <x:c r="M2312" s="24" t="str">
        <x:v>0.75 a 3.50</x:v>
      </x:c>
      <x:c r="N2312" s="24" t="str">
        <x:v>75</x:v>
      </x:c>
      <x:c r="O2312" s="24"/>
      <x:c r="P2312" s="24"/>
      <x:c r="Q2312" s="24" t="str">
        <x:v>DISPONÍVEL</x:v>
      </x:c>
      <x:c r="R2312" s="24" t="str">
        <x:v>Programa de Parcerias ZEISS</x:v>
      </x:c>
      <x:c r="S2312" s="24" t="n">
        <x:v>38</x:v>
      </x:c>
      <x:c r="T2312" s="24" t="str">
        <x:v>tabela_zeiss.pdf</x:v>
      </x:c>
      <x:c r="U2312" s="24" t="str">
        <x:v>ZEISS|Progressiva|Surfaçada|SmartLife Superb|PhotoFusion X|1.6|1.60|DuraVision Silver UV|-7.25 a +6.00|-6.00|0.75 a 3.50|75|||38</x:v>
      </x:c>
    </x:row>
    <x:row r="2313">
      <x:c r="A2313" s="24" t="str">
        <x:v>ZS-3BF7A882BFA2</x:v>
      </x:c>
      <x:c r="B2313" s="24" t="str">
        <x:v>ZEISS</x:v>
      </x:c>
      <x:c r="C2313" s="24" t="str">
        <x:v>Progressiva</x:v>
      </x:c>
      <x:c r="D2313" s="24" t="str">
        <x:v>Surfaçada</x:v>
      </x:c>
      <x:c r="E2313" s="24" t="str">
        <x:v>SmartLife Superb</x:v>
      </x:c>
      <x:c r="F2313" s="24" t="str">
        <x:v>PhotoFusion X</x:v>
      </x:c>
      <x:c r="G2313" s="24" t="str">
        <x:v>1.6</x:v>
      </x:c>
      <x:c r="H2313" s="24" t="str">
        <x:v>1.60</x:v>
      </x:c>
      <x:c r="I2313" s="24" t="str">
        <x:v>DuraVision Chrome UV</x:v>
      </x:c>
      <x:c r="J2313" s="40" t="n">
        <x:v>9060</x:v>
      </x:c>
      <x:c r="K2313" s="24" t="str">
        <x:v>-7.25 a +6.00</x:v>
      </x:c>
      <x:c r="L2313" s="24" t="str">
        <x:v>-6.00</x:v>
      </x:c>
      <x:c r="M2313" s="24" t="str">
        <x:v>0.75 a 3.50</x:v>
      </x:c>
      <x:c r="N2313" s="24" t="str">
        <x:v>75</x:v>
      </x:c>
      <x:c r="O2313" s="24"/>
      <x:c r="P2313" s="24"/>
      <x:c r="Q2313" s="24" t="str">
        <x:v>DISPONÍVEL</x:v>
      </x:c>
      <x:c r="R2313" s="24" t="str">
        <x:v>Programa de Parcerias ZEISS</x:v>
      </x:c>
      <x:c r="S2313" s="24" t="n">
        <x:v>38</x:v>
      </x:c>
      <x:c r="T2313" s="24" t="str">
        <x:v>tabela_zeiss.pdf</x:v>
      </x:c>
      <x:c r="U2313" s="24" t="str">
        <x:v>ZEISS|Progressiva|Surfaçada|SmartLife Superb|PhotoFusion X|1.6|1.60|DuraVision Chrome UV|-7.25 a +6.00|-6.00|0.75 a 3.50|75|||38</x:v>
      </x:c>
    </x:row>
    <x:row r="2314">
      <x:c r="A2314" s="24" t="str">
        <x:v>ZS-CF5C3FE3871E</x:v>
      </x:c>
      <x:c r="B2314" s="24" t="str">
        <x:v>ZEISS</x:v>
      </x:c>
      <x:c r="C2314" s="24" t="str">
        <x:v>Progressiva</x:v>
      </x:c>
      <x:c r="D2314" s="24" t="str">
        <x:v>Surfaçada</x:v>
      </x:c>
      <x:c r="E2314" s="24" t="str">
        <x:v>SmartLife Superb</x:v>
      </x:c>
      <x:c r="F2314" s="24" t="str">
        <x:v>PhotoFusion X</x:v>
      </x:c>
      <x:c r="G2314" s="24" t="str">
        <x:v>1.67</x:v>
      </x:c>
      <x:c r="H2314" s="24" t="str">
        <x:v>1.67</x:v>
      </x:c>
      <x:c r="I2314" s="24" t="str">
        <x:v>DuraVision Gold UV</x:v>
      </x:c>
      <x:c r="J2314" s="40" t="n">
        <x:v>11590</x:v>
      </x:c>
      <x:c r="K2314" s="24" t="str">
        <x:v>-8.00 a +8.00</x:v>
      </x:c>
      <x:c r="L2314" s="24" t="str">
        <x:v>-4.00</x:v>
      </x:c>
      <x:c r="M2314" s="24" t="str">
        <x:v>0.75 a 3.00</x:v>
      </x:c>
      <x:c r="N2314" s="24" t="str">
        <x:v>70</x:v>
      </x:c>
      <x:c r="O2314" s="24"/>
      <x:c r="P2314" s="24"/>
      <x:c r="Q2314" s="24" t="str">
        <x:v>DISPONÍVEL</x:v>
      </x:c>
      <x:c r="R2314" s="24" t="str">
        <x:v>Programa de Parcerias ZEISS</x:v>
      </x:c>
      <x:c r="S2314" s="24" t="n">
        <x:v>38</x:v>
      </x:c>
      <x:c r="T2314" s="24" t="str">
        <x:v>tabela_zeiss.pdf</x:v>
      </x:c>
      <x:c r="U2314" s="24" t="str">
        <x:v>ZEISS|Progressiva|Surfaçada|SmartLife Superb|PhotoFusion X|1.67|1.67|DuraVision Gold UV|-8.00 a +8.00|-4.00|0.75 a 3.00|70|||38</x:v>
      </x:c>
    </x:row>
    <x:row r="2315">
      <x:c r="A2315" s="24" t="str">
        <x:v>ZS-89BDC29AEA90</x:v>
      </x:c>
      <x:c r="B2315" s="24" t="str">
        <x:v>ZEISS</x:v>
      </x:c>
      <x:c r="C2315" s="24" t="str">
        <x:v>Progressiva</x:v>
      </x:c>
      <x:c r="D2315" s="24" t="str">
        <x:v>Surfaçada</x:v>
      </x:c>
      <x:c r="E2315" s="24" t="str">
        <x:v>SmartLife Superb</x:v>
      </x:c>
      <x:c r="F2315" s="24" t="str">
        <x:v>PhotoFusion X</x:v>
      </x:c>
      <x:c r="G2315" s="24" t="str">
        <x:v>1.67</x:v>
      </x:c>
      <x:c r="H2315" s="24" t="str">
        <x:v>1.67</x:v>
      </x:c>
      <x:c r="I2315" s="24" t="str">
        <x:v>DURAVISION® ANTIVÍRUS PLATINUM UV</x:v>
      </x:c>
      <x:c r="J2315" s="40" t="n">
        <x:v>11450</x:v>
      </x:c>
      <x:c r="K2315" s="24" t="str">
        <x:v>-8.00 a +8.00</x:v>
      </x:c>
      <x:c r="L2315" s="24" t="str">
        <x:v>-4.00</x:v>
      </x:c>
      <x:c r="M2315" s="24" t="str">
        <x:v>0.75 a 3.00</x:v>
      </x:c>
      <x:c r="N2315" s="24" t="str">
        <x:v>70</x:v>
      </x:c>
      <x:c r="O2315" s="24"/>
      <x:c r="P2315" s="24"/>
      <x:c r="Q2315" s="24" t="str">
        <x:v>DISPONÍVEL</x:v>
      </x:c>
      <x:c r="R2315" s="24" t="str">
        <x:v>Programa de Parcerias ZEISS</x:v>
      </x:c>
      <x:c r="S2315" s="24" t="n">
        <x:v>38</x:v>
      </x:c>
      <x:c r="T2315" s="24" t="str">
        <x:v>tabela_zeiss.pdf</x:v>
      </x:c>
      <x:c r="U2315" s="24" t="str">
        <x:v>ZEISS|Progressiva|Surfaçada|SmartLife Superb|PhotoFusion X|1.67|1.67|DURAVISION® ANTIVÍRUS PLATINUM UV|-8.00 a +8.00|-4.00|0.75 a 3.00|70|||38</x:v>
      </x:c>
    </x:row>
    <x:row r="2316">
      <x:c r="A2316" s="24" t="str">
        <x:v>ZS-F6258087A9E0</x:v>
      </x:c>
      <x:c r="B2316" s="24" t="str">
        <x:v>ZEISS</x:v>
      </x:c>
      <x:c r="C2316" s="24" t="str">
        <x:v>Progressiva</x:v>
      </x:c>
      <x:c r="D2316" s="24" t="str">
        <x:v>Surfaçada</x:v>
      </x:c>
      <x:c r="E2316" s="24" t="str">
        <x:v>SmartLife Superb</x:v>
      </x:c>
      <x:c r="F2316" s="24" t="str">
        <x:v>PhotoFusion X</x:v>
      </x:c>
      <x:c r="G2316" s="24" t="str">
        <x:v>1.67</x:v>
      </x:c>
      <x:c r="H2316" s="24" t="str">
        <x:v>1.67</x:v>
      </x:c>
      <x:c r="I2316" s="24" t="str">
        <x:v>DuraVision Platinum UV</x:v>
      </x:c>
      <x:c r="J2316" s="40" t="n">
        <x:v>11450</x:v>
      </x:c>
      <x:c r="K2316" s="24" t="str">
        <x:v>-8.00 a +8.00</x:v>
      </x:c>
      <x:c r="L2316" s="24" t="str">
        <x:v>-4.00</x:v>
      </x:c>
      <x:c r="M2316" s="24" t="str">
        <x:v>0.75 a 3.00</x:v>
      </x:c>
      <x:c r="N2316" s="24" t="str">
        <x:v>70</x:v>
      </x:c>
      <x:c r="O2316" s="24"/>
      <x:c r="P2316" s="24"/>
      <x:c r="Q2316" s="24" t="str">
        <x:v>DISPONÍVEL</x:v>
      </x:c>
      <x:c r="R2316" s="24" t="str">
        <x:v>Programa de Parcerias ZEISS</x:v>
      </x:c>
      <x:c r="S2316" s="24" t="n">
        <x:v>38</x:v>
      </x:c>
      <x:c r="T2316" s="24" t="str">
        <x:v>tabela_zeiss.pdf</x:v>
      </x:c>
      <x:c r="U2316" s="24" t="str">
        <x:v>ZEISS|Progressiva|Surfaçada|SmartLife Superb|PhotoFusion X|1.67|1.67|DuraVision Platinum UV|-8.00 a +8.00|-4.00|0.75 a 3.00|70|||38</x:v>
      </x:c>
    </x:row>
    <x:row r="2317">
      <x:c r="A2317" s="24" t="str">
        <x:v>ZS-FD522755C93C</x:v>
      </x:c>
      <x:c r="B2317" s="24" t="str">
        <x:v>ZEISS</x:v>
      </x:c>
      <x:c r="C2317" s="24" t="str">
        <x:v>Progressiva</x:v>
      </x:c>
      <x:c r="D2317" s="24" t="str">
        <x:v>Surfaçada</x:v>
      </x:c>
      <x:c r="E2317" s="24" t="str">
        <x:v>SmartLife Superb</x:v>
      </x:c>
      <x:c r="F2317" s="24" t="str">
        <x:v>PhotoFusion X</x:v>
      </x:c>
      <x:c r="G2317" s="24" t="str">
        <x:v>1.67</x:v>
      </x:c>
      <x:c r="H2317" s="24" t="str">
        <x:v>1.67</x:v>
      </x:c>
      <x:c r="I2317" s="24" t="str">
        <x:v>DuraVision Silver UV</x:v>
      </x:c>
      <x:c r="J2317" s="40" t="n">
        <x:v>11190</x:v>
      </x:c>
      <x:c r="K2317" s="24" t="str">
        <x:v>-8.00 a +8.00</x:v>
      </x:c>
      <x:c r="L2317" s="24" t="str">
        <x:v>-4.00</x:v>
      </x:c>
      <x:c r="M2317" s="24" t="str">
        <x:v>0.75 a 3.00</x:v>
      </x:c>
      <x:c r="N2317" s="24" t="str">
        <x:v>70</x:v>
      </x:c>
      <x:c r="O2317" s="24"/>
      <x:c r="P2317" s="24"/>
      <x:c r="Q2317" s="24" t="str">
        <x:v>DISPONÍVEL</x:v>
      </x:c>
      <x:c r="R2317" s="24" t="str">
        <x:v>Programa de Parcerias ZEISS</x:v>
      </x:c>
      <x:c r="S2317" s="24" t="n">
        <x:v>38</x:v>
      </x:c>
      <x:c r="T2317" s="24" t="str">
        <x:v>tabela_zeiss.pdf</x:v>
      </x:c>
      <x:c r="U2317" s="24" t="str">
        <x:v>ZEISS|Progressiva|Surfaçada|SmartLife Superb|PhotoFusion X|1.67|1.67|DuraVision Silver UV|-8.00 a +8.00|-4.00|0.75 a 3.00|70|||38</x:v>
      </x:c>
    </x:row>
    <x:row r="2318">
      <x:c r="A2318" s="24" t="str">
        <x:v>ZS-9C623E133FAC</x:v>
      </x:c>
      <x:c r="B2318" s="24" t="str">
        <x:v>ZEISS</x:v>
      </x:c>
      <x:c r="C2318" s="24" t="str">
        <x:v>Progressiva</x:v>
      </x:c>
      <x:c r="D2318" s="24" t="str">
        <x:v>Surfaçada</x:v>
      </x:c>
      <x:c r="E2318" s="24" t="str">
        <x:v>SmartLife Superb</x:v>
      </x:c>
      <x:c r="F2318" s="24" t="str">
        <x:v>PhotoFusion X</x:v>
      </x:c>
      <x:c r="G2318" s="24" t="str">
        <x:v>1.67</x:v>
      </x:c>
      <x:c r="H2318" s="24" t="str">
        <x:v>1.67</x:v>
      </x:c>
      <x:c r="I2318" s="24" t="str">
        <x:v>DuraVision Chrome UV</x:v>
      </x:c>
      <x:c r="J2318" s="40" t="n">
        <x:v>10700</x:v>
      </x:c>
      <x:c r="K2318" s="24" t="str">
        <x:v>-8.00 a +8.00</x:v>
      </x:c>
      <x:c r="L2318" s="24" t="str">
        <x:v>-4.00</x:v>
      </x:c>
      <x:c r="M2318" s="24" t="str">
        <x:v>0.75 a 3.00</x:v>
      </x:c>
      <x:c r="N2318" s="24" t="str">
        <x:v>70</x:v>
      </x:c>
      <x:c r="O2318" s="24"/>
      <x:c r="P2318" s="24"/>
      <x:c r="Q2318" s="24" t="str">
        <x:v>DISPONÍVEL</x:v>
      </x:c>
      <x:c r="R2318" s="24" t="str">
        <x:v>Programa de Parcerias ZEISS</x:v>
      </x:c>
      <x:c r="S2318" s="24" t="n">
        <x:v>38</x:v>
      </x:c>
      <x:c r="T2318" s="24" t="str">
        <x:v>tabela_zeiss.pdf</x:v>
      </x:c>
      <x:c r="U2318" s="24" t="str">
        <x:v>ZEISS|Progressiva|Surfaçada|SmartLife Superb|PhotoFusion X|1.67|1.67|DuraVision Chrome UV|-8.00 a +8.00|-4.00|0.75 a 3.00|70|||38</x:v>
      </x:c>
    </x:row>
    <x:row r="2319">
      <x:c r="A2319" s="24" t="str">
        <x:v>ZS-9A6F4D4F6B7B</x:v>
      </x:c>
      <x:c r="B2319" s="24" t="str">
        <x:v>ZEISS</x:v>
      </x:c>
      <x:c r="C2319" s="24" t="str">
        <x:v>Progressiva</x:v>
      </x:c>
      <x:c r="D2319" s="24" t="str">
        <x:v>Surfaçada</x:v>
      </x:c>
      <x:c r="E2319" s="24" t="str">
        <x:v>SmartLife Superb</x:v>
      </x:c>
      <x:c r="F2319" s="24" t="str">
        <x:v>PhotoFusion X Extra Dark Cinza</x:v>
      </x:c>
      <x:c r="G2319" s="24" t="str">
        <x:v>1.5</x:v>
      </x:c>
      <x:c r="H2319" s="24" t="str">
        <x:v>1.50</x:v>
      </x:c>
      <x:c r="I2319" s="24" t="str">
        <x:v>DuraVision Gold UV</x:v>
      </x:c>
      <x:c r="J2319" s="40" t="n">
        <x:v>8750</x:v>
      </x:c>
      <x:c r="K2319" s="24" t="str">
        <x:v>-6.00 a +5.50</x:v>
      </x:c>
      <x:c r="L2319" s="24" t="str">
        <x:v>-4.00</x:v>
      </x:c>
      <x:c r="M2319" s="24" t="str">
        <x:v>0.75 a 3.00</x:v>
      </x:c>
      <x:c r="N2319" s="24" t="str">
        <x:v>75</x:v>
      </x:c>
      <x:c r="O2319" s="24"/>
      <x:c r="P2319" s="24"/>
      <x:c r="Q2319" s="24" t="str">
        <x:v>DISPONÍVEL</x:v>
      </x:c>
      <x:c r="R2319" s="24" t="str">
        <x:v>Programa de Parcerias ZEISS</x:v>
      </x:c>
      <x:c r="S2319" s="24" t="n">
        <x:v>38</x:v>
      </x:c>
      <x:c r="T2319" s="24" t="str">
        <x:v>tabela_zeiss.pdf</x:v>
      </x:c>
      <x:c r="U2319" s="24" t="str">
        <x:v>ZEISS|Progressiva|Surfaçada|SmartLife Superb|PhotoFusion X Extra Dark Cinza|1.5|1.50|DuraVision Gold UV|-6.00 a +5.50|-4.00|0.75 a 3.00|75|||38</x:v>
      </x:c>
    </x:row>
    <x:row r="2320">
      <x:c r="A2320" s="24" t="str">
        <x:v>ZS-2B983D6D1017</x:v>
      </x:c>
      <x:c r="B2320" s="24" t="str">
        <x:v>ZEISS</x:v>
      </x:c>
      <x:c r="C2320" s="24" t="str">
        <x:v>Progressiva</x:v>
      </x:c>
      <x:c r="D2320" s="24" t="str">
        <x:v>Surfaçada</x:v>
      </x:c>
      <x:c r="E2320" s="24" t="str">
        <x:v>SmartLife Superb</x:v>
      </x:c>
      <x:c r="F2320" s="24" t="str">
        <x:v>PhotoFusion X Extra Dark Cinza</x:v>
      </x:c>
      <x:c r="G2320" s="24" t="str">
        <x:v>1.5</x:v>
      </x:c>
      <x:c r="H2320" s="24" t="str">
        <x:v>1.50</x:v>
      </x:c>
      <x:c r="I2320" s="24" t="str">
        <x:v>DURAVISION® ANTIVÍRUS PLATINUM UV</x:v>
      </x:c>
      <x:c r="J2320" s="40" t="n">
        <x:v>8560</x:v>
      </x:c>
      <x:c r="K2320" s="24" t="str">
        <x:v>-6.00 a +5.50</x:v>
      </x:c>
      <x:c r="L2320" s="24" t="str">
        <x:v>-4.00</x:v>
      </x:c>
      <x:c r="M2320" s="24" t="str">
        <x:v>0.75 a 3.00</x:v>
      </x:c>
      <x:c r="N2320" s="24" t="str">
        <x:v>75</x:v>
      </x:c>
      <x:c r="O2320" s="24"/>
      <x:c r="P2320" s="24"/>
      <x:c r="Q2320" s="24" t="str">
        <x:v>DISPONÍVEL</x:v>
      </x:c>
      <x:c r="R2320" s="24" t="str">
        <x:v>Programa de Parcerias ZEISS</x:v>
      </x:c>
      <x:c r="S2320" s="24" t="n">
        <x:v>38</x:v>
      </x:c>
      <x:c r="T2320" s="24" t="str">
        <x:v>tabela_zeiss.pdf</x:v>
      </x:c>
      <x:c r="U2320" s="24" t="str">
        <x:v>ZEISS|Progressiva|Surfaçada|SmartLife Superb|PhotoFusion X Extra Dark Cinza|1.5|1.50|DURAVISION® ANTIVÍRUS PLATINUM UV|-6.00 a +5.50|-4.00|0.75 a 3.00|75|||38</x:v>
      </x:c>
    </x:row>
    <x:row r="2321">
      <x:c r="A2321" s="24" t="str">
        <x:v>ZS-A9FD487D44F2</x:v>
      </x:c>
      <x:c r="B2321" s="24" t="str">
        <x:v>ZEISS</x:v>
      </x:c>
      <x:c r="C2321" s="24" t="str">
        <x:v>Progressiva</x:v>
      </x:c>
      <x:c r="D2321" s="24" t="str">
        <x:v>Surfaçada</x:v>
      </x:c>
      <x:c r="E2321" s="24" t="str">
        <x:v>SmartLife Superb</x:v>
      </x:c>
      <x:c r="F2321" s="24" t="str">
        <x:v>PhotoFusion X Extra Dark Cinza</x:v>
      </x:c>
      <x:c r="G2321" s="24" t="str">
        <x:v>1.5</x:v>
      </x:c>
      <x:c r="H2321" s="24" t="str">
        <x:v>1.50</x:v>
      </x:c>
      <x:c r="I2321" s="24" t="str">
        <x:v>DuraVision Platinum UV</x:v>
      </x:c>
      <x:c r="J2321" s="40" t="n">
        <x:v>8610</x:v>
      </x:c>
      <x:c r="K2321" s="24" t="str">
        <x:v>-6.00 a +5.50</x:v>
      </x:c>
      <x:c r="L2321" s="24" t="str">
        <x:v>-4.00</x:v>
      </x:c>
      <x:c r="M2321" s="24" t="str">
        <x:v>0.75 a 3.00</x:v>
      </x:c>
      <x:c r="N2321" s="24" t="str">
        <x:v>75</x:v>
      </x:c>
      <x:c r="O2321" s="24"/>
      <x:c r="P2321" s="24"/>
      <x:c r="Q2321" s="24" t="str">
        <x:v>DISPONÍVEL</x:v>
      </x:c>
      <x:c r="R2321" s="24" t="str">
        <x:v>Programa de Parcerias ZEISS</x:v>
      </x:c>
      <x:c r="S2321" s="24" t="n">
        <x:v>38</x:v>
      </x:c>
      <x:c r="T2321" s="24" t="str">
        <x:v>tabela_zeiss.pdf</x:v>
      </x:c>
      <x:c r="U2321" s="24" t="str">
        <x:v>ZEISS|Progressiva|Surfaçada|SmartLife Superb|PhotoFusion X Extra Dark Cinza|1.5|1.50|DuraVision Platinum UV|-6.00 a +5.50|-4.00|0.75 a 3.00|75|||38</x:v>
      </x:c>
    </x:row>
    <x:row r="2322">
      <x:c r="A2322" s="24" t="str">
        <x:v>ZS-04FBC5930D10</x:v>
      </x:c>
      <x:c r="B2322" s="24" t="str">
        <x:v>ZEISS</x:v>
      </x:c>
      <x:c r="C2322" s="24" t="str">
        <x:v>Progressiva</x:v>
      </x:c>
      <x:c r="D2322" s="24" t="str">
        <x:v>Surfaçada</x:v>
      </x:c>
      <x:c r="E2322" s="24" t="str">
        <x:v>SmartLife Superb</x:v>
      </x:c>
      <x:c r="F2322" s="24" t="str">
        <x:v>PhotoFusion X Extra Dark Cinza</x:v>
      </x:c>
      <x:c r="G2322" s="24" t="str">
        <x:v>1.5</x:v>
      </x:c>
      <x:c r="H2322" s="24" t="str">
        <x:v>1.50</x:v>
      </x:c>
      <x:c r="I2322" s="24" t="str">
        <x:v>DuraVision Silver UV</x:v>
      </x:c>
      <x:c r="J2322" s="40" t="n">
        <x:v>8350</x:v>
      </x:c>
      <x:c r="K2322" s="24" t="str">
        <x:v>-6.00 a +5.50</x:v>
      </x:c>
      <x:c r="L2322" s="24" t="str">
        <x:v>-4.00</x:v>
      </x:c>
      <x:c r="M2322" s="24" t="str">
        <x:v>0.75 a 3.00</x:v>
      </x:c>
      <x:c r="N2322" s="24" t="str">
        <x:v>75</x:v>
      </x:c>
      <x:c r="O2322" s="24"/>
      <x:c r="P2322" s="24"/>
      <x:c r="Q2322" s="24" t="str">
        <x:v>DISPONÍVEL</x:v>
      </x:c>
      <x:c r="R2322" s="24" t="str">
        <x:v>Programa de Parcerias ZEISS</x:v>
      </x:c>
      <x:c r="S2322" s="24" t="n">
        <x:v>38</x:v>
      </x:c>
      <x:c r="T2322" s="24" t="str">
        <x:v>tabela_zeiss.pdf</x:v>
      </x:c>
      <x:c r="U2322" s="24" t="str">
        <x:v>ZEISS|Progressiva|Surfaçada|SmartLife Superb|PhotoFusion X Extra Dark Cinza|1.5|1.50|DuraVision Silver UV|-6.00 a +5.50|-4.00|0.75 a 3.00|75|||38</x:v>
      </x:c>
    </x:row>
    <x:row r="2323">
      <x:c r="A2323" s="24" t="str">
        <x:v>ZS-C318B891369D</x:v>
      </x:c>
      <x:c r="B2323" s="24" t="str">
        <x:v>ZEISS</x:v>
      </x:c>
      <x:c r="C2323" s="24" t="str">
        <x:v>Progressiva</x:v>
      </x:c>
      <x:c r="D2323" s="24" t="str">
        <x:v>Surfaçada</x:v>
      </x:c>
      <x:c r="E2323" s="24" t="str">
        <x:v>SmartLife Superb</x:v>
      </x:c>
      <x:c r="F2323" s="24" t="str">
        <x:v>PhotoFusion X Extra Dark Cinza</x:v>
      </x:c>
      <x:c r="G2323" s="24" t="str">
        <x:v>1.5</x:v>
      </x:c>
      <x:c r="H2323" s="24" t="str">
        <x:v>1.50</x:v>
      </x:c>
      <x:c r="I2323" s="24" t="str">
        <x:v>DuraVision Chrome UV</x:v>
      </x:c>
      <x:c r="J2323" s="40" t="n">
        <x:v>7860</x:v>
      </x:c>
      <x:c r="K2323" s="24" t="str">
        <x:v>-6.00 a +5.50</x:v>
      </x:c>
      <x:c r="L2323" s="24" t="str">
        <x:v>-4.00</x:v>
      </x:c>
      <x:c r="M2323" s="24" t="str">
        <x:v>0.75 a 3.00</x:v>
      </x:c>
      <x:c r="N2323" s="24" t="str">
        <x:v>75</x:v>
      </x:c>
      <x:c r="O2323" s="24"/>
      <x:c r="P2323" s="24"/>
      <x:c r="Q2323" s="24" t="str">
        <x:v>DISPONÍVEL</x:v>
      </x:c>
      <x:c r="R2323" s="24" t="str">
        <x:v>Programa de Parcerias ZEISS</x:v>
      </x:c>
      <x:c r="S2323" s="24" t="n">
        <x:v>38</x:v>
      </x:c>
      <x:c r="T2323" s="24" t="str">
        <x:v>tabela_zeiss.pdf</x:v>
      </x:c>
      <x:c r="U2323" s="24" t="str">
        <x:v>ZEISS|Progressiva|Surfaçada|SmartLife Superb|PhotoFusion X Extra Dark Cinza|1.5|1.50|DuraVision Chrome UV|-6.00 a +5.50|-4.00|0.75 a 3.00|75|||38</x:v>
      </x:c>
    </x:row>
    <x:row r="2324">
      <x:c r="A2324" s="24" t="str">
        <x:v>ZS-8FE5FE9AB4C5</x:v>
      </x:c>
      <x:c r="B2324" s="24" t="str">
        <x:v>ZEISS</x:v>
      </x:c>
      <x:c r="C2324" s="24" t="str">
        <x:v>Progressiva</x:v>
      </x:c>
      <x:c r="D2324" s="24" t="str">
        <x:v>Surfaçada</x:v>
      </x:c>
      <x:c r="E2324" s="24" t="str">
        <x:v>SmartLife Superb</x:v>
      </x:c>
      <x:c r="F2324" s="24" t="str">
        <x:v>PhotoFusion X Extra Dark Cinza</x:v>
      </x:c>
      <x:c r="G2324" s="24" t="str">
        <x:v>Poli</x:v>
      </x:c>
      <x:c r="H2324" s="24"/>
      <x:c r="I2324" s="24" t="str">
        <x:v>DuraVision Gold UV</x:v>
      </x:c>
      <x:c r="J2324" s="40" t="n">
        <x:v>9340</x:v>
      </x:c>
      <x:c r="K2324" s="24" t="str">
        <x:v>-10.00 a +6.00</x:v>
      </x:c>
      <x:c r="L2324" s="24" t="str">
        <x:v>-6.00</x:v>
      </x:c>
      <x:c r="M2324" s="24" t="str">
        <x:v>0.75 a 3.00</x:v>
      </x:c>
      <x:c r="N2324" s="24" t="str">
        <x:v>70</x:v>
      </x:c>
      <x:c r="O2324" s="24"/>
      <x:c r="P2324" s="24"/>
      <x:c r="Q2324" s="24" t="str">
        <x:v>DISPONÍVEL</x:v>
      </x:c>
      <x:c r="R2324" s="24" t="str">
        <x:v>Programa de Parcerias ZEISS</x:v>
      </x:c>
      <x:c r="S2324" s="24" t="n">
        <x:v>38</x:v>
      </x:c>
      <x:c r="T2324" s="24" t="str">
        <x:v>tabela_zeiss.pdf</x:v>
      </x:c>
      <x:c r="U2324" s="24" t="str">
        <x:v>ZEISS|Progressiva|Surfaçada|SmartLife Superb|PhotoFusion X Extra Dark Cinza|Poli||DuraVision Gold UV|-10.00 a +6.00|-6.00|0.75 a 3.00|70|||38</x:v>
      </x:c>
    </x:row>
    <x:row r="2325">
      <x:c r="A2325" s="24" t="str">
        <x:v>ZS-8BDA83E86739</x:v>
      </x:c>
      <x:c r="B2325" s="24" t="str">
        <x:v>ZEISS</x:v>
      </x:c>
      <x:c r="C2325" s="24" t="str">
        <x:v>Progressiva</x:v>
      </x:c>
      <x:c r="D2325" s="24" t="str">
        <x:v>Surfaçada</x:v>
      </x:c>
      <x:c r="E2325" s="24" t="str">
        <x:v>SmartLife Superb</x:v>
      </x:c>
      <x:c r="F2325" s="24" t="str">
        <x:v>PhotoFusion X Extra Dark Cinza</x:v>
      </x:c>
      <x:c r="G2325" s="24" t="str">
        <x:v>Poli</x:v>
      </x:c>
      <x:c r="H2325" s="24"/>
      <x:c r="I2325" s="24" t="str">
        <x:v>DuraVision Platinum UV</x:v>
      </x:c>
      <x:c r="J2325" s="40" t="n">
        <x:v>9200</x:v>
      </x:c>
      <x:c r="K2325" s="24" t="str">
        <x:v>-10.00 a +6.00</x:v>
      </x:c>
      <x:c r="L2325" s="24" t="str">
        <x:v>-6.00</x:v>
      </x:c>
      <x:c r="M2325" s="24" t="str">
        <x:v>0.75 a 3.00</x:v>
      </x:c>
      <x:c r="N2325" s="24" t="str">
        <x:v>70</x:v>
      </x:c>
      <x:c r="O2325" s="24"/>
      <x:c r="P2325" s="24"/>
      <x:c r="Q2325" s="24" t="str">
        <x:v>DISPONÍVEL</x:v>
      </x:c>
      <x:c r="R2325" s="24" t="str">
        <x:v>Programa de Parcerias ZEISS</x:v>
      </x:c>
      <x:c r="S2325" s="24" t="n">
        <x:v>38</x:v>
      </x:c>
      <x:c r="T2325" s="24" t="str">
        <x:v>tabela_zeiss.pdf</x:v>
      </x:c>
      <x:c r="U2325" s="24" t="str">
        <x:v>ZEISS|Progressiva|Surfaçada|SmartLife Superb|PhotoFusion X Extra Dark Cinza|Poli||DuraVision Platinum UV|-10.00 a +6.00|-6.00|0.75 a 3.00|70|||38</x:v>
      </x:c>
    </x:row>
    <x:row r="2326">
      <x:c r="A2326" s="24" t="str">
        <x:v>ZS-E10BB6A99607</x:v>
      </x:c>
      <x:c r="B2326" s="24" t="str">
        <x:v>ZEISS</x:v>
      </x:c>
      <x:c r="C2326" s="24" t="str">
        <x:v>Progressiva</x:v>
      </x:c>
      <x:c r="D2326" s="24" t="str">
        <x:v>Surfaçada</x:v>
      </x:c>
      <x:c r="E2326" s="24" t="str">
        <x:v>SmartLife Superb</x:v>
      </x:c>
      <x:c r="F2326" s="24" t="str">
        <x:v>PhotoFusion X Extra Dark Cinza</x:v>
      </x:c>
      <x:c r="G2326" s="24" t="str">
        <x:v>Poli</x:v>
      </x:c>
      <x:c r="H2326" s="24"/>
      <x:c r="I2326" s="24" t="str">
        <x:v>DuraVision Silver UV</x:v>
      </x:c>
      <x:c r="J2326" s="40" t="n">
        <x:v>8940</x:v>
      </x:c>
      <x:c r="K2326" s="24" t="str">
        <x:v>-10.00 a +6.00</x:v>
      </x:c>
      <x:c r="L2326" s="24" t="str">
        <x:v>-6.00</x:v>
      </x:c>
      <x:c r="M2326" s="24" t="str">
        <x:v>0.75 a 3.00</x:v>
      </x:c>
      <x:c r="N2326" s="24" t="str">
        <x:v>70</x:v>
      </x:c>
      <x:c r="O2326" s="24"/>
      <x:c r="P2326" s="24"/>
      <x:c r="Q2326" s="24" t="str">
        <x:v>DISPONÍVEL</x:v>
      </x:c>
      <x:c r="R2326" s="24" t="str">
        <x:v>Programa de Parcerias ZEISS</x:v>
      </x:c>
      <x:c r="S2326" s="24" t="n">
        <x:v>38</x:v>
      </x:c>
      <x:c r="T2326" s="24" t="str">
        <x:v>tabela_zeiss.pdf</x:v>
      </x:c>
      <x:c r="U2326" s="24" t="str">
        <x:v>ZEISS|Progressiva|Surfaçada|SmartLife Superb|PhotoFusion X Extra Dark Cinza|Poli||DuraVision Silver UV|-10.00 a +6.00|-6.00|0.75 a 3.00|70|||38</x:v>
      </x:c>
    </x:row>
    <x:row r="2327">
      <x:c r="A2327" s="24" t="str">
        <x:v>ZS-6D63BBF07C1E</x:v>
      </x:c>
      <x:c r="B2327" s="24" t="str">
        <x:v>ZEISS</x:v>
      </x:c>
      <x:c r="C2327" s="24" t="str">
        <x:v>Progressiva</x:v>
      </x:c>
      <x:c r="D2327" s="24" t="str">
        <x:v>Surfaçada</x:v>
      </x:c>
      <x:c r="E2327" s="24" t="str">
        <x:v>SmartLife Superb</x:v>
      </x:c>
      <x:c r="F2327" s="24" t="str">
        <x:v>PhotoFusion X Extra Dark Cinza</x:v>
      </x:c>
      <x:c r="G2327" s="24" t="str">
        <x:v>Poli</x:v>
      </x:c>
      <x:c r="H2327" s="24"/>
      <x:c r="I2327" s="24" t="str">
        <x:v>DuraVision Chrome UV</x:v>
      </x:c>
      <x:c r="J2327" s="40" t="n">
        <x:v>8450</x:v>
      </x:c>
      <x:c r="K2327" s="24" t="str">
        <x:v>-10.00 a +6.00</x:v>
      </x:c>
      <x:c r="L2327" s="24" t="str">
        <x:v>-6.00</x:v>
      </x:c>
      <x:c r="M2327" s="24" t="str">
        <x:v>0.75 a 3.00</x:v>
      </x:c>
      <x:c r="N2327" s="24" t="str">
        <x:v>70</x:v>
      </x:c>
      <x:c r="O2327" s="24"/>
      <x:c r="P2327" s="24"/>
      <x:c r="Q2327" s="24" t="str">
        <x:v>DISPONÍVEL</x:v>
      </x:c>
      <x:c r="R2327" s="24" t="str">
        <x:v>Programa de Parcerias ZEISS</x:v>
      </x:c>
      <x:c r="S2327" s="24" t="n">
        <x:v>38</x:v>
      </x:c>
      <x:c r="T2327" s="24" t="str">
        <x:v>tabela_zeiss.pdf</x:v>
      </x:c>
      <x:c r="U2327" s="24" t="str">
        <x:v>ZEISS|Progressiva|Surfaçada|SmartLife Superb|PhotoFusion X Extra Dark Cinza|Poli||DuraVision Chrome UV|-10.00 a +6.00|-6.00|0.75 a 3.00|70|||38</x:v>
      </x:c>
    </x:row>
    <x:row r="2328">
      <x:c r="A2328" s="24" t="str">
        <x:v>ZS-22C70B16AD5F</x:v>
      </x:c>
      <x:c r="B2328" s="24" t="str">
        <x:v>ZEISS</x:v>
      </x:c>
      <x:c r="C2328" s="24" t="str">
        <x:v>Progressiva</x:v>
      </x:c>
      <x:c r="D2328" s="24" t="str">
        <x:v>Surfaçada</x:v>
      </x:c>
      <x:c r="E2328" s="24" t="str">
        <x:v>SmartLife Superb</x:v>
      </x:c>
      <x:c r="F2328" s="24" t="str">
        <x:v>PhotoFusion X Extra Dark Cinza</x:v>
      </x:c>
      <x:c r="G2328" s="24" t="str">
        <x:v>1.6</x:v>
      </x:c>
      <x:c r="H2328" s="24" t="str">
        <x:v>1.60</x:v>
      </x:c>
      <x:c r="I2328" s="24" t="str">
        <x:v>DuraVision Gold UV</x:v>
      </x:c>
      <x:c r="J2328" s="40" t="n">
        <x:v>10000</x:v>
      </x:c>
      <x:c r="K2328" s="24" t="str">
        <x:v>-7.25 a +6.00</x:v>
      </x:c>
      <x:c r="L2328" s="24" t="str">
        <x:v>-6.00</x:v>
      </x:c>
      <x:c r="M2328" s="24" t="str">
        <x:v>0.75 a 3.50</x:v>
      </x:c>
      <x:c r="N2328" s="24" t="str">
        <x:v>75</x:v>
      </x:c>
      <x:c r="O2328" s="24"/>
      <x:c r="P2328" s="24"/>
      <x:c r="Q2328" s="24" t="str">
        <x:v>DISPONÍVEL</x:v>
      </x:c>
      <x:c r="R2328" s="24" t="str">
        <x:v>Programa de Parcerias ZEISS</x:v>
      </x:c>
      <x:c r="S2328" s="24" t="n">
        <x:v>38</x:v>
      </x:c>
      <x:c r="T2328" s="24" t="str">
        <x:v>tabela_zeiss.pdf</x:v>
      </x:c>
      <x:c r="U2328" s="24" t="str">
        <x:v>ZEISS|Progressiva|Surfaçada|SmartLife Superb|PhotoFusion X Extra Dark Cinza|1.6|1.60|DuraVision Gold UV|-7.25 a +6.00|-6.00|0.75 a 3.50|75|||38</x:v>
      </x:c>
    </x:row>
    <x:row r="2329">
      <x:c r="A2329" s="24" t="str">
        <x:v>ZS-7D7CC957F38A</x:v>
      </x:c>
      <x:c r="B2329" s="24" t="str">
        <x:v>ZEISS</x:v>
      </x:c>
      <x:c r="C2329" s="24" t="str">
        <x:v>Progressiva</x:v>
      </x:c>
      <x:c r="D2329" s="24" t="str">
        <x:v>Surfaçada</x:v>
      </x:c>
      <x:c r="E2329" s="24" t="str">
        <x:v>SmartLife Superb</x:v>
      </x:c>
      <x:c r="F2329" s="24" t="str">
        <x:v>PhotoFusion X Extra Dark Cinza</x:v>
      </x:c>
      <x:c r="G2329" s="24" t="str">
        <x:v>1.6</x:v>
      </x:c>
      <x:c r="H2329" s="24" t="str">
        <x:v>1.60</x:v>
      </x:c>
      <x:c r="I2329" s="24" t="str">
        <x:v>DURAVISION® ANTIVÍRUS PLATINUM UV</x:v>
      </x:c>
      <x:c r="J2329" s="40" t="n">
        <x:v>9810</x:v>
      </x:c>
      <x:c r="K2329" s="24" t="str">
        <x:v>-7.25 a +6.00</x:v>
      </x:c>
      <x:c r="L2329" s="24" t="str">
        <x:v>-6.00</x:v>
      </x:c>
      <x:c r="M2329" s="24" t="str">
        <x:v>0.75 a 3.50</x:v>
      </x:c>
      <x:c r="N2329" s="24" t="str">
        <x:v>75</x:v>
      </x:c>
      <x:c r="O2329" s="24"/>
      <x:c r="P2329" s="24"/>
      <x:c r="Q2329" s="24" t="str">
        <x:v>DISPONÍVEL</x:v>
      </x:c>
      <x:c r="R2329" s="24" t="str">
        <x:v>Programa de Parcerias ZEISS</x:v>
      </x:c>
      <x:c r="S2329" s="24" t="n">
        <x:v>38</x:v>
      </x:c>
      <x:c r="T2329" s="24" t="str">
        <x:v>tabela_zeiss.pdf</x:v>
      </x:c>
      <x:c r="U2329" s="24" t="str">
        <x:v>ZEISS|Progressiva|Surfaçada|SmartLife Superb|PhotoFusion X Extra Dark Cinza|1.6|1.60|DURAVISION® ANTIVÍRUS PLATINUM UV|-7.25 a +6.00|-6.00|0.75 a 3.50|75|||38</x:v>
      </x:c>
    </x:row>
    <x:row r="2330">
      <x:c r="A2330" s="24" t="str">
        <x:v>ZS-6D0E2FAA59F3</x:v>
      </x:c>
      <x:c r="B2330" s="24" t="str">
        <x:v>ZEISS</x:v>
      </x:c>
      <x:c r="C2330" s="24" t="str">
        <x:v>Progressiva</x:v>
      </x:c>
      <x:c r="D2330" s="24" t="str">
        <x:v>Surfaçada</x:v>
      </x:c>
      <x:c r="E2330" s="24" t="str">
        <x:v>SmartLife Superb</x:v>
      </x:c>
      <x:c r="F2330" s="24" t="str">
        <x:v>PhotoFusion X Extra Dark Cinza</x:v>
      </x:c>
      <x:c r="G2330" s="24" t="str">
        <x:v>1.6</x:v>
      </x:c>
      <x:c r="H2330" s="24" t="str">
        <x:v>1.60</x:v>
      </x:c>
      <x:c r="I2330" s="24" t="str">
        <x:v>DuraVision Platinum UV</x:v>
      </x:c>
      <x:c r="J2330" s="40" t="n">
        <x:v>9860</x:v>
      </x:c>
      <x:c r="K2330" s="24" t="str">
        <x:v>-7.25 a +6.00</x:v>
      </x:c>
      <x:c r="L2330" s="24" t="str">
        <x:v>-6.00</x:v>
      </x:c>
      <x:c r="M2330" s="24" t="str">
        <x:v>0.75 a 3.50</x:v>
      </x:c>
      <x:c r="N2330" s="24" t="str">
        <x:v>75</x:v>
      </x:c>
      <x:c r="O2330" s="24"/>
      <x:c r="P2330" s="24"/>
      <x:c r="Q2330" s="24" t="str">
        <x:v>DISPONÍVEL</x:v>
      </x:c>
      <x:c r="R2330" s="24" t="str">
        <x:v>Programa de Parcerias ZEISS</x:v>
      </x:c>
      <x:c r="S2330" s="24" t="n">
        <x:v>38</x:v>
      </x:c>
      <x:c r="T2330" s="24" t="str">
        <x:v>tabela_zeiss.pdf</x:v>
      </x:c>
      <x:c r="U2330" s="24" t="str">
        <x:v>ZEISS|Progressiva|Surfaçada|SmartLife Superb|PhotoFusion X Extra Dark Cinza|1.6|1.60|DuraVision Platinum UV|-7.25 a +6.00|-6.00|0.75 a 3.50|75|||38</x:v>
      </x:c>
    </x:row>
    <x:row r="2331">
      <x:c r="A2331" s="24" t="str">
        <x:v>ZS-C66B5B5264A1</x:v>
      </x:c>
      <x:c r="B2331" s="24" t="str">
        <x:v>ZEISS</x:v>
      </x:c>
      <x:c r="C2331" s="24" t="str">
        <x:v>Progressiva</x:v>
      </x:c>
      <x:c r="D2331" s="24" t="str">
        <x:v>Surfaçada</x:v>
      </x:c>
      <x:c r="E2331" s="24" t="str">
        <x:v>SmartLife Superb</x:v>
      </x:c>
      <x:c r="F2331" s="24" t="str">
        <x:v>PhotoFusion X Extra Dark Cinza</x:v>
      </x:c>
      <x:c r="G2331" s="24" t="str">
        <x:v>1.6</x:v>
      </x:c>
      <x:c r="H2331" s="24" t="str">
        <x:v>1.60</x:v>
      </x:c>
      <x:c r="I2331" s="24" t="str">
        <x:v>DuraVision Silver UV</x:v>
      </x:c>
      <x:c r="J2331" s="40" t="n">
        <x:v>9600</x:v>
      </x:c>
      <x:c r="K2331" s="24" t="str">
        <x:v>-7.25 a +6.00</x:v>
      </x:c>
      <x:c r="L2331" s="24" t="str">
        <x:v>-6.00</x:v>
      </x:c>
      <x:c r="M2331" s="24" t="str">
        <x:v>0.75 a 3.50</x:v>
      </x:c>
      <x:c r="N2331" s="24" t="str">
        <x:v>75</x:v>
      </x:c>
      <x:c r="O2331" s="24"/>
      <x:c r="P2331" s="24"/>
      <x:c r="Q2331" s="24" t="str">
        <x:v>DISPONÍVEL</x:v>
      </x:c>
      <x:c r="R2331" s="24" t="str">
        <x:v>Programa de Parcerias ZEISS</x:v>
      </x:c>
      <x:c r="S2331" s="24" t="n">
        <x:v>38</x:v>
      </x:c>
      <x:c r="T2331" s="24" t="str">
        <x:v>tabela_zeiss.pdf</x:v>
      </x:c>
      <x:c r="U2331" s="24" t="str">
        <x:v>ZEISS|Progressiva|Surfaçada|SmartLife Superb|PhotoFusion X Extra Dark Cinza|1.6|1.60|DuraVision Silver UV|-7.25 a +6.00|-6.00|0.75 a 3.50|75|||38</x:v>
      </x:c>
    </x:row>
    <x:row r="2332">
      <x:c r="A2332" s="24" t="str">
        <x:v>ZS-819509D9E1E0</x:v>
      </x:c>
      <x:c r="B2332" s="24" t="str">
        <x:v>ZEISS</x:v>
      </x:c>
      <x:c r="C2332" s="24" t="str">
        <x:v>Progressiva</x:v>
      </x:c>
      <x:c r="D2332" s="24" t="str">
        <x:v>Surfaçada</x:v>
      </x:c>
      <x:c r="E2332" s="24" t="str">
        <x:v>SmartLife Superb</x:v>
      </x:c>
      <x:c r="F2332" s="24" t="str">
        <x:v>PhotoFusion X Extra Dark Cinza</x:v>
      </x:c>
      <x:c r="G2332" s="24" t="str">
        <x:v>1.6</x:v>
      </x:c>
      <x:c r="H2332" s="24" t="str">
        <x:v>1.60</x:v>
      </x:c>
      <x:c r="I2332" s="24" t="str">
        <x:v>DuraVision Chrome UV</x:v>
      </x:c>
      <x:c r="J2332" s="40" t="n">
        <x:v>9110</x:v>
      </x:c>
      <x:c r="K2332" s="24" t="str">
        <x:v>-7.25 a +6.00</x:v>
      </x:c>
      <x:c r="L2332" s="24" t="str">
        <x:v>-6.00</x:v>
      </x:c>
      <x:c r="M2332" s="24" t="str">
        <x:v>0.75 a 3.50</x:v>
      </x:c>
      <x:c r="N2332" s="24" t="str">
        <x:v>75</x:v>
      </x:c>
      <x:c r="O2332" s="24"/>
      <x:c r="P2332" s="24"/>
      <x:c r="Q2332" s="24" t="str">
        <x:v>DISPONÍVEL</x:v>
      </x:c>
      <x:c r="R2332" s="24" t="str">
        <x:v>Programa de Parcerias ZEISS</x:v>
      </x:c>
      <x:c r="S2332" s="24" t="n">
        <x:v>38</x:v>
      </x:c>
      <x:c r="T2332" s="24" t="str">
        <x:v>tabela_zeiss.pdf</x:v>
      </x:c>
      <x:c r="U2332" s="24" t="str">
        <x:v>ZEISS|Progressiva|Surfaçada|SmartLife Superb|PhotoFusion X Extra Dark Cinza|1.6|1.60|DuraVision Chrome UV|-7.25 a +6.00|-6.00|0.75 a 3.50|75|||38</x:v>
      </x:c>
    </x:row>
    <x:row r="2333">
      <x:c r="A2333" s="24" t="str">
        <x:v>ZS-8A8F53D21F5D</x:v>
      </x:c>
      <x:c r="B2333" s="24" t="str">
        <x:v>ZEISS</x:v>
      </x:c>
      <x:c r="C2333" s="24" t="str">
        <x:v>Progressiva</x:v>
      </x:c>
      <x:c r="D2333" s="24" t="str">
        <x:v>Surfaçada</x:v>
      </x:c>
      <x:c r="E2333" s="24" t="str">
        <x:v>SmartLife Superb</x:v>
      </x:c>
      <x:c r="F2333" s="24" t="str">
        <x:v>PhotoFusion X Extra Dark Cinza</x:v>
      </x:c>
      <x:c r="G2333" s="24" t="str">
        <x:v>1.67</x:v>
      </x:c>
      <x:c r="H2333" s="24" t="str">
        <x:v>1.67</x:v>
      </x:c>
      <x:c r="I2333" s="24" t="str">
        <x:v>DuraVision Gold UV</x:v>
      </x:c>
      <x:c r="J2333" s="40" t="n">
        <x:v>11640</x:v>
      </x:c>
      <x:c r="K2333" s="24" t="str">
        <x:v>-8.00 a +8.00</x:v>
      </x:c>
      <x:c r="L2333" s="24" t="str">
        <x:v>-4.00</x:v>
      </x:c>
      <x:c r="M2333" s="24" t="str">
        <x:v>0.75 a 3.00</x:v>
      </x:c>
      <x:c r="N2333" s="24" t="str">
        <x:v>70</x:v>
      </x:c>
      <x:c r="O2333" s="24"/>
      <x:c r="P2333" s="24"/>
      <x:c r="Q2333" s="24" t="str">
        <x:v>DISPONÍVEL</x:v>
      </x:c>
      <x:c r="R2333" s="24" t="str">
        <x:v>Programa de Parcerias ZEISS</x:v>
      </x:c>
      <x:c r="S2333" s="24" t="n">
        <x:v>38</x:v>
      </x:c>
      <x:c r="T2333" s="24" t="str">
        <x:v>tabela_zeiss.pdf</x:v>
      </x:c>
      <x:c r="U2333" s="24" t="str">
        <x:v>ZEISS|Progressiva|Surfaçada|SmartLife Superb|PhotoFusion X Extra Dark Cinza|1.67|1.67|DuraVision Gold UV|-8.00 a +8.00|-4.00|0.75 a 3.00|70|||38</x:v>
      </x:c>
    </x:row>
    <x:row r="2334">
      <x:c r="A2334" s="24" t="str">
        <x:v>ZS-0C065941FFB9</x:v>
      </x:c>
      <x:c r="B2334" s="24" t="str">
        <x:v>ZEISS</x:v>
      </x:c>
      <x:c r="C2334" s="24" t="str">
        <x:v>Progressiva</x:v>
      </x:c>
      <x:c r="D2334" s="24" t="str">
        <x:v>Surfaçada</x:v>
      </x:c>
      <x:c r="E2334" s="24" t="str">
        <x:v>SmartLife Superb</x:v>
      </x:c>
      <x:c r="F2334" s="24" t="str">
        <x:v>PhotoFusion X Extra Dark Cinza</x:v>
      </x:c>
      <x:c r="G2334" s="24" t="str">
        <x:v>1.67</x:v>
      </x:c>
      <x:c r="H2334" s="24" t="str">
        <x:v>1.67</x:v>
      </x:c>
      <x:c r="I2334" s="24" t="str">
        <x:v>DURAVISION® ANTIVÍRUS PLATINUM UV</x:v>
      </x:c>
      <x:c r="J2334" s="40" t="n">
        <x:v>11450</x:v>
      </x:c>
      <x:c r="K2334" s="24" t="str">
        <x:v>-8.00 a +8.00</x:v>
      </x:c>
      <x:c r="L2334" s="24" t="str">
        <x:v>-4.00</x:v>
      </x:c>
      <x:c r="M2334" s="24" t="str">
        <x:v>0.75 a 3.00</x:v>
      </x:c>
      <x:c r="N2334" s="24" t="str">
        <x:v>70</x:v>
      </x:c>
      <x:c r="O2334" s="24"/>
      <x:c r="P2334" s="24"/>
      <x:c r="Q2334" s="24" t="str">
        <x:v>DISPONÍVEL</x:v>
      </x:c>
      <x:c r="R2334" s="24" t="str">
        <x:v>Programa de Parcerias ZEISS</x:v>
      </x:c>
      <x:c r="S2334" s="24" t="n">
        <x:v>38</x:v>
      </x:c>
      <x:c r="T2334" s="24" t="str">
        <x:v>tabela_zeiss.pdf</x:v>
      </x:c>
      <x:c r="U2334" s="24" t="str">
        <x:v>ZEISS|Progressiva|Surfaçada|SmartLife Superb|PhotoFusion X Extra Dark Cinza|1.67|1.67|DURAVISION® ANTIVÍRUS PLATINUM UV|-8.00 a +8.00|-4.00|0.75 a 3.00|70|||38</x:v>
      </x:c>
    </x:row>
    <x:row r="2335">
      <x:c r="A2335" s="24" t="str">
        <x:v>ZS-2D94ADC7D14D</x:v>
      </x:c>
      <x:c r="B2335" s="24" t="str">
        <x:v>ZEISS</x:v>
      </x:c>
      <x:c r="C2335" s="24" t="str">
        <x:v>Progressiva</x:v>
      </x:c>
      <x:c r="D2335" s="24" t="str">
        <x:v>Surfaçada</x:v>
      </x:c>
      <x:c r="E2335" s="24" t="str">
        <x:v>SmartLife Superb</x:v>
      </x:c>
      <x:c r="F2335" s="24" t="str">
        <x:v>PhotoFusion X Extra Dark Cinza</x:v>
      </x:c>
      <x:c r="G2335" s="24" t="str">
        <x:v>1.67</x:v>
      </x:c>
      <x:c r="H2335" s="24" t="str">
        <x:v>1.67</x:v>
      </x:c>
      <x:c r="I2335" s="24" t="str">
        <x:v>DuraVision Platinum UV</x:v>
      </x:c>
      <x:c r="J2335" s="40" t="n">
        <x:v>11500</x:v>
      </x:c>
      <x:c r="K2335" s="24" t="str">
        <x:v>-8.00 a +8.00</x:v>
      </x:c>
      <x:c r="L2335" s="24" t="str">
        <x:v>-4.00</x:v>
      </x:c>
      <x:c r="M2335" s="24" t="str">
        <x:v>0.75 a 3.00</x:v>
      </x:c>
      <x:c r="N2335" s="24" t="str">
        <x:v>70</x:v>
      </x:c>
      <x:c r="O2335" s="24"/>
      <x:c r="P2335" s="24"/>
      <x:c r="Q2335" s="24" t="str">
        <x:v>DISPONÍVEL</x:v>
      </x:c>
      <x:c r="R2335" s="24" t="str">
        <x:v>Programa de Parcerias ZEISS</x:v>
      </x:c>
      <x:c r="S2335" s="24" t="n">
        <x:v>38</x:v>
      </x:c>
      <x:c r="T2335" s="24" t="str">
        <x:v>tabela_zeiss.pdf</x:v>
      </x:c>
      <x:c r="U2335" s="24" t="str">
        <x:v>ZEISS|Progressiva|Surfaçada|SmartLife Superb|PhotoFusion X Extra Dark Cinza|1.67|1.67|DuraVision Platinum UV|-8.00 a +8.00|-4.00|0.75 a 3.00|70|||38</x:v>
      </x:c>
    </x:row>
    <x:row r="2336">
      <x:c r="A2336" s="24" t="str">
        <x:v>ZS-DCF6AA7CA621</x:v>
      </x:c>
      <x:c r="B2336" s="24" t="str">
        <x:v>ZEISS</x:v>
      </x:c>
      <x:c r="C2336" s="24" t="str">
        <x:v>Progressiva</x:v>
      </x:c>
      <x:c r="D2336" s="24" t="str">
        <x:v>Surfaçada</x:v>
      </x:c>
      <x:c r="E2336" s="24" t="str">
        <x:v>SmartLife Superb</x:v>
      </x:c>
      <x:c r="F2336" s="24" t="str">
        <x:v>PhotoFusion X Extra Dark Cinza</x:v>
      </x:c>
      <x:c r="G2336" s="24" t="str">
        <x:v>1.67</x:v>
      </x:c>
      <x:c r="H2336" s="24" t="str">
        <x:v>1.67</x:v>
      </x:c>
      <x:c r="I2336" s="24" t="str">
        <x:v>DuraVision Silver UV</x:v>
      </x:c>
      <x:c r="J2336" s="40" t="n">
        <x:v>11240</x:v>
      </x:c>
      <x:c r="K2336" s="24" t="str">
        <x:v>-8.00 a +8.00</x:v>
      </x:c>
      <x:c r="L2336" s="24" t="str">
        <x:v>-4.00</x:v>
      </x:c>
      <x:c r="M2336" s="24" t="str">
        <x:v>0.75 a 3.00</x:v>
      </x:c>
      <x:c r="N2336" s="24" t="str">
        <x:v>70</x:v>
      </x:c>
      <x:c r="O2336" s="24"/>
      <x:c r="P2336" s="24"/>
      <x:c r="Q2336" s="24" t="str">
        <x:v>DISPONÍVEL</x:v>
      </x:c>
      <x:c r="R2336" s="24" t="str">
        <x:v>Programa de Parcerias ZEISS</x:v>
      </x:c>
      <x:c r="S2336" s="24" t="n">
        <x:v>38</x:v>
      </x:c>
      <x:c r="T2336" s="24" t="str">
        <x:v>tabela_zeiss.pdf</x:v>
      </x:c>
      <x:c r="U2336" s="24" t="str">
        <x:v>ZEISS|Progressiva|Surfaçada|SmartLife Superb|PhotoFusion X Extra Dark Cinza|1.67|1.67|DuraVision Silver UV|-8.00 a +8.00|-4.00|0.75 a 3.00|70|||38</x:v>
      </x:c>
    </x:row>
    <x:row r="2337">
      <x:c r="A2337" s="24" t="str">
        <x:v>ZS-37274184F4AB</x:v>
      </x:c>
      <x:c r="B2337" s="24" t="str">
        <x:v>ZEISS</x:v>
      </x:c>
      <x:c r="C2337" s="24" t="str">
        <x:v>Progressiva</x:v>
      </x:c>
      <x:c r="D2337" s="24" t="str">
        <x:v>Surfaçada</x:v>
      </x:c>
      <x:c r="E2337" s="24" t="str">
        <x:v>SmartLife Superb</x:v>
      </x:c>
      <x:c r="F2337" s="24" t="str">
        <x:v>PhotoFusion X Extra Dark Cinza</x:v>
      </x:c>
      <x:c r="G2337" s="24" t="str">
        <x:v>1.67</x:v>
      </x:c>
      <x:c r="H2337" s="24" t="str">
        <x:v>1.67</x:v>
      </x:c>
      <x:c r="I2337" s="24" t="str">
        <x:v>DuraVision Chrome UV</x:v>
      </x:c>
      <x:c r="J2337" s="40" t="n">
        <x:v>10750</x:v>
      </x:c>
      <x:c r="K2337" s="24" t="str">
        <x:v>-8.00 a +8.00</x:v>
      </x:c>
      <x:c r="L2337" s="24" t="str">
        <x:v>-4.00</x:v>
      </x:c>
      <x:c r="M2337" s="24" t="str">
        <x:v>0.75 a 3.00</x:v>
      </x:c>
      <x:c r="N2337" s="24" t="str">
        <x:v>70</x:v>
      </x:c>
      <x:c r="O2337" s="24"/>
      <x:c r="P2337" s="24"/>
      <x:c r="Q2337" s="24" t="str">
        <x:v>DISPONÍVEL</x:v>
      </x:c>
      <x:c r="R2337" s="24" t="str">
        <x:v>Programa de Parcerias ZEISS</x:v>
      </x:c>
      <x:c r="S2337" s="24" t="n">
        <x:v>38</x:v>
      </x:c>
      <x:c r="T2337" s="24" t="str">
        <x:v>tabela_zeiss.pdf</x:v>
      </x:c>
      <x:c r="U2337" s="24" t="str">
        <x:v>ZEISS|Progressiva|Surfaçada|SmartLife Superb|PhotoFusion X Extra Dark Cinza|1.67|1.67|DuraVision Chrome UV|-8.00 a +8.00|-4.00|0.75 a 3.00|70|||38</x:v>
      </x:c>
    </x:row>
    <x:row r="2338">
      <x:c r="A2338" s="24" t="str">
        <x:v>ZS-888ADC86C875</x:v>
      </x:c>
      <x:c r="B2338" s="24" t="str">
        <x:v>ZEISS</x:v>
      </x:c>
      <x:c r="C2338" s="24" t="str">
        <x:v>Progressiva</x:v>
      </x:c>
      <x:c r="D2338" s="24" t="str">
        <x:v>Surfaçada</x:v>
      </x:c>
      <x:c r="E2338" s="24" t="str">
        <x:v>SmartLife Superb</x:v>
      </x:c>
      <x:c r="F2338" s="24" t="str">
        <x:v>Polarizada</x:v>
      </x:c>
      <x:c r="G2338" s="24" t="str">
        <x:v>1.5</x:v>
      </x:c>
      <x:c r="H2338" s="24" t="str">
        <x:v>1.50</x:v>
      </x:c>
      <x:c r="I2338" s="24" t="str">
        <x:v>DuraVision Gold UV</x:v>
      </x:c>
      <x:c r="J2338" s="40" t="n">
        <x:v>8120</x:v>
      </x:c>
      <x:c r="K2338" s="24" t="str">
        <x:v>-6.00 a +6.00</x:v>
      </x:c>
      <x:c r="L2338" s="24" t="str">
        <x:v>-4.00</x:v>
      </x:c>
      <x:c r="M2338" s="24" t="str">
        <x:v>0.75 a 3.50</x:v>
      </x:c>
      <x:c r="N2338" s="24" t="str">
        <x:v>70</x:v>
      </x:c>
      <x:c r="O2338" s="24"/>
      <x:c r="P2338" s="24"/>
      <x:c r="Q2338" s="24" t="str">
        <x:v>DISPONÍVEL</x:v>
      </x:c>
      <x:c r="R2338" s="24"/>
      <x:c r="S2338" s="24" t="n">
        <x:v>38</x:v>
      </x:c>
      <x:c r="T2338" s="24" t="str">
        <x:v>tabela_zeiss.pdf</x:v>
      </x:c>
      <x:c r="U2338" s="24" t="str">
        <x:v>ZEISS|Progressiva|Surfaçada|SmartLife Superb|Polarizada|1.5|1.50|DuraVision Gold UV|-6.00 a +6.00|-4.00|0.75 a 3.50|70|||38</x:v>
      </x:c>
    </x:row>
    <x:row r="2339">
      <x:c r="A2339" s="24" t="str">
        <x:v>ZS-9325D0A9AD7B</x:v>
      </x:c>
      <x:c r="B2339" s="24" t="str">
        <x:v>ZEISS</x:v>
      </x:c>
      <x:c r="C2339" s="24" t="str">
        <x:v>Progressiva</x:v>
      </x:c>
      <x:c r="D2339" s="24" t="str">
        <x:v>Surfaçada</x:v>
      </x:c>
      <x:c r="E2339" s="24" t="str">
        <x:v>SmartLife Superb</x:v>
      </x:c>
      <x:c r="F2339" s="24" t="str">
        <x:v>Polarizada</x:v>
      </x:c>
      <x:c r="G2339" s="24" t="str">
        <x:v>1.5</x:v>
      </x:c>
      <x:c r="H2339" s="24" t="str">
        <x:v>1.50</x:v>
      </x:c>
      <x:c r="I2339" s="24" t="str">
        <x:v>DuraVision Platinum UV</x:v>
      </x:c>
      <x:c r="J2339" s="40" t="n">
        <x:v>7980</x:v>
      </x:c>
      <x:c r="K2339" s="24" t="str">
        <x:v>-6.00 a +6.00</x:v>
      </x:c>
      <x:c r="L2339" s="24" t="str">
        <x:v>-4.00</x:v>
      </x:c>
      <x:c r="M2339" s="24" t="str">
        <x:v>0.75 a 3.50</x:v>
      </x:c>
      <x:c r="N2339" s="24" t="str">
        <x:v>70</x:v>
      </x:c>
      <x:c r="O2339" s="24"/>
      <x:c r="P2339" s="24"/>
      <x:c r="Q2339" s="24" t="str">
        <x:v>DISPONÍVEL</x:v>
      </x:c>
      <x:c r="R2339" s="24"/>
      <x:c r="S2339" s="24" t="n">
        <x:v>38</x:v>
      </x:c>
      <x:c r="T2339" s="24" t="str">
        <x:v>tabela_zeiss.pdf</x:v>
      </x:c>
      <x:c r="U2339" s="24" t="str">
        <x:v>ZEISS|Progressiva|Surfaçada|SmartLife Superb|Polarizada|1.5|1.50|DuraVision Platinum UV|-6.00 a +6.00|-4.00|0.75 a 3.50|70|||38</x:v>
      </x:c>
    </x:row>
    <x:row r="2340">
      <x:c r="A2340" s="24" t="str">
        <x:v>ZS-83E9FE64FAF1</x:v>
      </x:c>
      <x:c r="B2340" s="24" t="str">
        <x:v>ZEISS</x:v>
      </x:c>
      <x:c r="C2340" s="24" t="str">
        <x:v>Progressiva</x:v>
      </x:c>
      <x:c r="D2340" s="24" t="str">
        <x:v>Surfaçada</x:v>
      </x:c>
      <x:c r="E2340" s="24" t="str">
        <x:v>SmartLife Superb</x:v>
      </x:c>
      <x:c r="F2340" s="24" t="str">
        <x:v>Polarizada</x:v>
      </x:c>
      <x:c r="G2340" s="24" t="str">
        <x:v>1.5</x:v>
      </x:c>
      <x:c r="H2340" s="24" t="str">
        <x:v>1.50</x:v>
      </x:c>
      <x:c r="I2340" s="24" t="str">
        <x:v>DuraVision Silver UV</x:v>
      </x:c>
      <x:c r="J2340" s="40" t="n">
        <x:v>7720</x:v>
      </x:c>
      <x:c r="K2340" s="24" t="str">
        <x:v>-6.00 a +6.00</x:v>
      </x:c>
      <x:c r="L2340" s="24" t="str">
        <x:v>-4.00</x:v>
      </x:c>
      <x:c r="M2340" s="24" t="str">
        <x:v>0.75 a 3.50</x:v>
      </x:c>
      <x:c r="N2340" s="24" t="str">
        <x:v>70</x:v>
      </x:c>
      <x:c r="O2340" s="24"/>
      <x:c r="P2340" s="24"/>
      <x:c r="Q2340" s="24" t="str">
        <x:v>DISPONÍVEL</x:v>
      </x:c>
      <x:c r="R2340" s="24"/>
      <x:c r="S2340" s="24" t="n">
        <x:v>38</x:v>
      </x:c>
      <x:c r="T2340" s="24" t="str">
        <x:v>tabela_zeiss.pdf</x:v>
      </x:c>
      <x:c r="U2340" s="24" t="str">
        <x:v>ZEISS|Progressiva|Surfaçada|SmartLife Superb|Polarizada|1.5|1.50|DuraVision Silver UV|-6.00 a +6.00|-4.00|0.75 a 3.50|70|||38</x:v>
      </x:c>
    </x:row>
    <x:row r="2341">
      <x:c r="A2341" s="24" t="str">
        <x:v>ZS-82EB4FA0A4B9</x:v>
      </x:c>
      <x:c r="B2341" s="24" t="str">
        <x:v>ZEISS</x:v>
      </x:c>
      <x:c r="C2341" s="24" t="str">
        <x:v>Progressiva</x:v>
      </x:c>
      <x:c r="D2341" s="24" t="str">
        <x:v>Surfaçada</x:v>
      </x:c>
      <x:c r="E2341" s="24" t="str">
        <x:v>SmartLife Superb</x:v>
      </x:c>
      <x:c r="F2341" s="24" t="str">
        <x:v>Polarizada</x:v>
      </x:c>
      <x:c r="G2341" s="24" t="str">
        <x:v>1.5</x:v>
      </x:c>
      <x:c r="H2341" s="24" t="str">
        <x:v>1.50</x:v>
      </x:c>
      <x:c r="I2341" s="24" t="str">
        <x:v>DuraVision Chrome UV</x:v>
      </x:c>
      <x:c r="J2341" s="40" t="n">
        <x:v>7230</x:v>
      </x:c>
      <x:c r="K2341" s="24" t="str">
        <x:v>-6.00 a +6.00</x:v>
      </x:c>
      <x:c r="L2341" s="24" t="str">
        <x:v>-4.00</x:v>
      </x:c>
      <x:c r="M2341" s="24" t="str">
        <x:v>0.75 a 3.50</x:v>
      </x:c>
      <x:c r="N2341" s="24" t="str">
        <x:v>70</x:v>
      </x:c>
      <x:c r="O2341" s="24"/>
      <x:c r="P2341" s="24"/>
      <x:c r="Q2341" s="24" t="str">
        <x:v>DISPONÍVEL</x:v>
      </x:c>
      <x:c r="R2341" s="24"/>
      <x:c r="S2341" s="24" t="n">
        <x:v>38</x:v>
      </x:c>
      <x:c r="T2341" s="24" t="str">
        <x:v>tabela_zeiss.pdf</x:v>
      </x:c>
      <x:c r="U2341" s="24" t="str">
        <x:v>ZEISS|Progressiva|Surfaçada|SmartLife Superb|Polarizada|1.5|1.50|DuraVision Chrome UV|-6.00 a +6.00|-4.00|0.75 a 3.50|70|||38</x:v>
      </x:c>
    </x:row>
    <x:row r="2342">
      <x:c r="A2342" s="24" t="str">
        <x:v>ZS-39CCAD8B606F</x:v>
      </x:c>
      <x:c r="B2342" s="24" t="str">
        <x:v>ZEISS</x:v>
      </x:c>
      <x:c r="C2342" s="24" t="str">
        <x:v>Progressiva</x:v>
      </x:c>
      <x:c r="D2342" s="24" t="str">
        <x:v>Surfaçada</x:v>
      </x:c>
      <x:c r="E2342" s="24" t="str">
        <x:v>SmartLife Superb</x:v>
      </x:c>
      <x:c r="F2342" s="24" t="str">
        <x:v>Polarizada</x:v>
      </x:c>
      <x:c r="G2342" s="24" t="str">
        <x:v>1.5</x:v>
      </x:c>
      <x:c r="H2342" s="24" t="str">
        <x:v>1.50</x:v>
      </x:c>
      <x:c r="I2342" s="24" t="str">
        <x:v>Sem AR</x:v>
      </x:c>
      <x:c r="J2342" s="40" t="n">
        <x:v>6830</x:v>
      </x:c>
      <x:c r="K2342" s="24" t="str">
        <x:v>-6.00 a +6.00</x:v>
      </x:c>
      <x:c r="L2342" s="24" t="str">
        <x:v>-4.00</x:v>
      </x:c>
      <x:c r="M2342" s="24" t="str">
        <x:v>0.75 a 3.50</x:v>
      </x:c>
      <x:c r="N2342" s="24" t="str">
        <x:v>70</x:v>
      </x:c>
      <x:c r="O2342" s="24"/>
      <x:c r="P2342" s="24"/>
      <x:c r="Q2342" s="24" t="str">
        <x:v>DISPONÍVEL</x:v>
      </x:c>
      <x:c r="R2342" s="24"/>
      <x:c r="S2342" s="24" t="n">
        <x:v>38</x:v>
      </x:c>
      <x:c r="T2342" s="24" t="str">
        <x:v>tabela_zeiss.pdf</x:v>
      </x:c>
      <x:c r="U2342" s="24" t="str">
        <x:v>ZEISS|Progressiva|Surfaçada|SmartLife Superb|Polarizada|1.5|1.50|Sem AR|-6.00 a +6.00|-4.00|0.75 a 3.50|70|||38</x:v>
      </x:c>
    </x:row>
    <x:row r="2343">
      <x:c r="A2343" s="24" t="str">
        <x:v>ZS-B6534A7B38D6</x:v>
      </x:c>
      <x:c r="B2343" s="24" t="str">
        <x:v>ZEISS</x:v>
      </x:c>
      <x:c r="C2343" s="24" t="str">
        <x:v>Progressiva</x:v>
      </x:c>
      <x:c r="D2343" s="24" t="str">
        <x:v>Surfaçada</x:v>
      </x:c>
      <x:c r="E2343" s="24" t="str">
        <x:v>SmartLife Superb</x:v>
      </x:c>
      <x:c r="F2343" s="24" t="str">
        <x:v>Polarizada</x:v>
      </x:c>
      <x:c r="G2343" s="24" t="str">
        <x:v>1.6</x:v>
      </x:c>
      <x:c r="H2343" s="24" t="str">
        <x:v>1.60</x:v>
      </x:c>
      <x:c r="I2343" s="24" t="str">
        <x:v>DuraVision Gold UV</x:v>
      </x:c>
      <x:c r="J2343" s="40" t="n">
        <x:v>9370</x:v>
      </x:c>
      <x:c r="K2343" s="24" t="str">
        <x:v>-8.50 a +6.00</x:v>
      </x:c>
      <x:c r="L2343" s="24" t="str">
        <x:v>-4.00</x:v>
      </x:c>
      <x:c r="M2343" s="24" t="str">
        <x:v>0.75 a 3.50</x:v>
      </x:c>
      <x:c r="N2343" s="24" t="str">
        <x:v>70</x:v>
      </x:c>
      <x:c r="O2343" s="24"/>
      <x:c r="P2343" s="24"/>
      <x:c r="Q2343" s="24" t="str">
        <x:v>DISPONÍVEL</x:v>
      </x:c>
      <x:c r="R2343" s="24"/>
      <x:c r="S2343" s="24" t="n">
        <x:v>38</x:v>
      </x:c>
      <x:c r="T2343" s="24" t="str">
        <x:v>tabela_zeiss.pdf</x:v>
      </x:c>
      <x:c r="U2343" s="24" t="str">
        <x:v>ZEISS|Progressiva|Surfaçada|SmartLife Superb|Polarizada|1.6|1.60|DuraVision Gold UV|-8.50 a +6.00|-4.00|0.75 a 3.50|70|||38</x:v>
      </x:c>
    </x:row>
    <x:row r="2344">
      <x:c r="A2344" s="24" t="str">
        <x:v>ZS-2E81E2C1DD48</x:v>
      </x:c>
      <x:c r="B2344" s="24" t="str">
        <x:v>ZEISS</x:v>
      </x:c>
      <x:c r="C2344" s="24" t="str">
        <x:v>Progressiva</x:v>
      </x:c>
      <x:c r="D2344" s="24" t="str">
        <x:v>Surfaçada</x:v>
      </x:c>
      <x:c r="E2344" s="24" t="str">
        <x:v>SmartLife Superb</x:v>
      </x:c>
      <x:c r="F2344" s="24" t="str">
        <x:v>Polarizada</x:v>
      </x:c>
      <x:c r="G2344" s="24" t="str">
        <x:v>1.6</x:v>
      </x:c>
      <x:c r="H2344" s="24" t="str">
        <x:v>1.60</x:v>
      </x:c>
      <x:c r="I2344" s="24" t="str">
        <x:v>DuraVision Platinum UV</x:v>
      </x:c>
      <x:c r="J2344" s="40" t="n">
        <x:v>9230</x:v>
      </x:c>
      <x:c r="K2344" s="24" t="str">
        <x:v>-8.50 a +6.00</x:v>
      </x:c>
      <x:c r="L2344" s="24" t="str">
        <x:v>-4.00</x:v>
      </x:c>
      <x:c r="M2344" s="24" t="str">
        <x:v>0.75 a 3.50</x:v>
      </x:c>
      <x:c r="N2344" s="24" t="str">
        <x:v>70</x:v>
      </x:c>
      <x:c r="O2344" s="24"/>
      <x:c r="P2344" s="24"/>
      <x:c r="Q2344" s="24" t="str">
        <x:v>DISPONÍVEL</x:v>
      </x:c>
      <x:c r="R2344" s="24"/>
      <x:c r="S2344" s="24" t="n">
        <x:v>38</x:v>
      </x:c>
      <x:c r="T2344" s="24" t="str">
        <x:v>tabela_zeiss.pdf</x:v>
      </x:c>
      <x:c r="U2344" s="24" t="str">
        <x:v>ZEISS|Progressiva|Surfaçada|SmartLife Superb|Polarizada|1.6|1.60|DuraVision Platinum UV|-8.50 a +6.00|-4.00|0.75 a 3.50|70|||38</x:v>
      </x:c>
    </x:row>
    <x:row r="2345">
      <x:c r="A2345" s="24" t="str">
        <x:v>ZS-4FF9CA844D61</x:v>
      </x:c>
      <x:c r="B2345" s="24" t="str">
        <x:v>ZEISS</x:v>
      </x:c>
      <x:c r="C2345" s="24" t="str">
        <x:v>Progressiva</x:v>
      </x:c>
      <x:c r="D2345" s="24" t="str">
        <x:v>Surfaçada</x:v>
      </x:c>
      <x:c r="E2345" s="24" t="str">
        <x:v>SmartLife Superb</x:v>
      </x:c>
      <x:c r="F2345" s="24" t="str">
        <x:v>Polarizada</x:v>
      </x:c>
      <x:c r="G2345" s="24" t="str">
        <x:v>1.6</x:v>
      </x:c>
      <x:c r="H2345" s="24" t="str">
        <x:v>1.60</x:v>
      </x:c>
      <x:c r="I2345" s="24" t="str">
        <x:v>DuraVision Silver UV</x:v>
      </x:c>
      <x:c r="J2345" s="40" t="n">
        <x:v>8970</x:v>
      </x:c>
      <x:c r="K2345" s="24" t="str">
        <x:v>-8.50 a +6.00</x:v>
      </x:c>
      <x:c r="L2345" s="24" t="str">
        <x:v>-4.00</x:v>
      </x:c>
      <x:c r="M2345" s="24" t="str">
        <x:v>0.75 a 3.50</x:v>
      </x:c>
      <x:c r="N2345" s="24" t="str">
        <x:v>70</x:v>
      </x:c>
      <x:c r="O2345" s="24"/>
      <x:c r="P2345" s="24"/>
      <x:c r="Q2345" s="24" t="str">
        <x:v>DISPONÍVEL</x:v>
      </x:c>
      <x:c r="R2345" s="24"/>
      <x:c r="S2345" s="24" t="n">
        <x:v>38</x:v>
      </x:c>
      <x:c r="T2345" s="24" t="str">
        <x:v>tabela_zeiss.pdf</x:v>
      </x:c>
      <x:c r="U2345" s="24" t="str">
        <x:v>ZEISS|Progressiva|Surfaçada|SmartLife Superb|Polarizada|1.6|1.60|DuraVision Silver UV|-8.50 a +6.00|-4.00|0.75 a 3.50|70|||38</x:v>
      </x:c>
    </x:row>
    <x:row r="2346">
      <x:c r="A2346" s="24" t="str">
        <x:v>ZS-615F90774ABA</x:v>
      </x:c>
      <x:c r="B2346" s="24" t="str">
        <x:v>ZEISS</x:v>
      </x:c>
      <x:c r="C2346" s="24" t="str">
        <x:v>Progressiva</x:v>
      </x:c>
      <x:c r="D2346" s="24" t="str">
        <x:v>Surfaçada</x:v>
      </x:c>
      <x:c r="E2346" s="24" t="str">
        <x:v>SmartLife Superb</x:v>
      </x:c>
      <x:c r="F2346" s="24" t="str">
        <x:v>Polarizada</x:v>
      </x:c>
      <x:c r="G2346" s="24" t="str">
        <x:v>1.6</x:v>
      </x:c>
      <x:c r="H2346" s="24" t="str">
        <x:v>1.60</x:v>
      </x:c>
      <x:c r="I2346" s="24" t="str">
        <x:v>DuraVision Chrome UV</x:v>
      </x:c>
      <x:c r="J2346" s="40" t="n">
        <x:v>8480</x:v>
      </x:c>
      <x:c r="K2346" s="24" t="str">
        <x:v>-8.50 a +6.00</x:v>
      </x:c>
      <x:c r="L2346" s="24" t="str">
        <x:v>-4.00</x:v>
      </x:c>
      <x:c r="M2346" s="24" t="str">
        <x:v>0.75 a 3.50</x:v>
      </x:c>
      <x:c r="N2346" s="24" t="str">
        <x:v>70</x:v>
      </x:c>
      <x:c r="O2346" s="24"/>
      <x:c r="P2346" s="24"/>
      <x:c r="Q2346" s="24" t="str">
        <x:v>DISPONÍVEL</x:v>
      </x:c>
      <x:c r="R2346" s="24"/>
      <x:c r="S2346" s="24" t="n">
        <x:v>38</x:v>
      </x:c>
      <x:c r="T2346" s="24" t="str">
        <x:v>tabela_zeiss.pdf</x:v>
      </x:c>
      <x:c r="U2346" s="24" t="str">
        <x:v>ZEISS|Progressiva|Surfaçada|SmartLife Superb|Polarizada|1.6|1.60|DuraVision Chrome UV|-8.50 a +6.00|-4.00|0.75 a 3.50|70|||38</x:v>
      </x:c>
    </x:row>
    <x:row r="2347">
      <x:c r="A2347" s="24" t="str">
        <x:v>ZS-9AC1EE92A28D</x:v>
      </x:c>
      <x:c r="B2347" s="24" t="str">
        <x:v>ZEISS</x:v>
      </x:c>
      <x:c r="C2347" s="24" t="str">
        <x:v>Progressiva</x:v>
      </x:c>
      <x:c r="D2347" s="24" t="str">
        <x:v>Surfaçada</x:v>
      </x:c>
      <x:c r="E2347" s="24" t="str">
        <x:v>SmartLife Superb</x:v>
      </x:c>
      <x:c r="F2347" s="24" t="str">
        <x:v>Polarizada</x:v>
      </x:c>
      <x:c r="G2347" s="24" t="str">
        <x:v>1.6</x:v>
      </x:c>
      <x:c r="H2347" s="24" t="str">
        <x:v>1.60</x:v>
      </x:c>
      <x:c r="I2347" s="24" t="str">
        <x:v>Sem AR</x:v>
      </x:c>
      <x:c r="J2347" s="40" t="n">
        <x:v>8080</x:v>
      </x:c>
      <x:c r="K2347" s="24" t="str">
        <x:v>-8.50 a +6.00</x:v>
      </x:c>
      <x:c r="L2347" s="24" t="str">
        <x:v>-4.00</x:v>
      </x:c>
      <x:c r="M2347" s="24" t="str">
        <x:v>0.75 a 3.50</x:v>
      </x:c>
      <x:c r="N2347" s="24" t="str">
        <x:v>70</x:v>
      </x:c>
      <x:c r="O2347" s="24"/>
      <x:c r="P2347" s="24"/>
      <x:c r="Q2347" s="24" t="str">
        <x:v>DISPONÍVEL</x:v>
      </x:c>
      <x:c r="R2347" s="24"/>
      <x:c r="S2347" s="24" t="n">
        <x:v>38</x:v>
      </x:c>
      <x:c r="T2347" s="24" t="str">
        <x:v>tabela_zeiss.pdf</x:v>
      </x:c>
      <x:c r="U2347" s="24" t="str">
        <x:v>ZEISS|Progressiva|Surfaçada|SmartLife Superb|Polarizada|1.6|1.60|Sem AR|-8.50 a +6.00|-4.00|0.75 a 3.50|70|||38</x:v>
      </x:c>
    </x:row>
    <x:row r="2348">
      <x:c r="A2348" s="24" t="str">
        <x:v>ZS-997A70CF4FFD</x:v>
      </x:c>
      <x:c r="B2348" s="24" t="str">
        <x:v>ZEISS</x:v>
      </x:c>
      <x:c r="C2348" s="24" t="str">
        <x:v>Progressiva</x:v>
      </x:c>
      <x:c r="D2348" s="24" t="str">
        <x:v>Surfaçada</x:v>
      </x:c>
      <x:c r="E2348" s="24" t="str">
        <x:v>SmartLife Plus</x:v>
      </x:c>
      <x:c r="F2348" s="24"/>
      <x:c r="G2348" s="24" t="str">
        <x:v>1.5</x:v>
      </x:c>
      <x:c r="H2348" s="24" t="str">
        <x:v>1.50</x:v>
      </x:c>
      <x:c r="I2348" s="24" t="str">
        <x:v>DuraVision Gold UV</x:v>
      </x:c>
      <x:c r="J2348" s="40" t="n">
        <x:v>6280</x:v>
      </x:c>
      <x:c r="K2348" s="24" t="str">
        <x:v>-6.00 a +4.00</x:v>
      </x:c>
      <x:c r="L2348" s="24" t="str">
        <x:v>-4.00</x:v>
      </x:c>
      <x:c r="M2348" s="24" t="str">
        <x:v>0.75 a 3.50</x:v>
      </x:c>
      <x:c r="N2348" s="24" t="str">
        <x:v>75</x:v>
      </x:c>
      <x:c r="O2348" s="24"/>
      <x:c r="P2348" s="24"/>
      <x:c r="Q2348" s="24" t="str">
        <x:v>DISPONÍVEL</x:v>
      </x:c>
      <x:c r="R2348" s="24"/>
      <x:c r="S2348" s="24" t="n">
        <x:v>39</x:v>
      </x:c>
      <x:c r="T2348" s="24" t="str">
        <x:v>tabela_zeiss.pdf</x:v>
      </x:c>
      <x:c r="U2348" s="24" t="str">
        <x:v>ZEISS|Progressiva|Surfaçada|SmartLife Plus||1.5|1.50|DuraVision Gold UV|-6.00 a +4.00|-4.00|0.75 a 3.50|75|||39</x:v>
      </x:c>
    </x:row>
    <x:row r="2349">
      <x:c r="A2349" s="24" t="str">
        <x:v>ZS-570029E8700D</x:v>
      </x:c>
      <x:c r="B2349" s="24" t="str">
        <x:v>ZEISS</x:v>
      </x:c>
      <x:c r="C2349" s="24" t="str">
        <x:v>Progressiva</x:v>
      </x:c>
      <x:c r="D2349" s="24" t="str">
        <x:v>Surfaçada</x:v>
      </x:c>
      <x:c r="E2349" s="24" t="str">
        <x:v>SmartLife Plus</x:v>
      </x:c>
      <x:c r="F2349" s="24"/>
      <x:c r="G2349" s="24" t="str">
        <x:v>1.5</x:v>
      </x:c>
      <x:c r="H2349" s="24" t="str">
        <x:v>1.50</x:v>
      </x:c>
      <x:c r="I2349" s="24" t="str">
        <x:v>DURAVISION® ANTIVÍRUS PLATINUM UV</x:v>
      </x:c>
      <x:c r="J2349" s="40" t="n">
        <x:v>6140</x:v>
      </x:c>
      <x:c r="K2349" s="24" t="str">
        <x:v>-6.00 a +4.00</x:v>
      </x:c>
      <x:c r="L2349" s="24" t="str">
        <x:v>-4.00</x:v>
      </x:c>
      <x:c r="M2349" s="24" t="str">
        <x:v>0.75 a 3.50</x:v>
      </x:c>
      <x:c r="N2349" s="24" t="str">
        <x:v>75</x:v>
      </x:c>
      <x:c r="O2349" s="24"/>
      <x:c r="P2349" s="24"/>
      <x:c r="Q2349" s="24" t="str">
        <x:v>DISPONÍVEL</x:v>
      </x:c>
      <x:c r="R2349" s="24"/>
      <x:c r="S2349" s="24" t="n">
        <x:v>39</x:v>
      </x:c>
      <x:c r="T2349" s="24" t="str">
        <x:v>tabela_zeiss.pdf</x:v>
      </x:c>
      <x:c r="U2349" s="24" t="str">
        <x:v>ZEISS|Progressiva|Surfaçada|SmartLife Plus||1.5|1.50|DURAVISION® ANTIVÍRUS PLATINUM UV|-6.00 a +4.00|-4.00|0.75 a 3.50|75|||39</x:v>
      </x:c>
    </x:row>
    <x:row r="2350">
      <x:c r="A2350" s="24" t="str">
        <x:v>ZS-0F8E7A0E8DD7</x:v>
      </x:c>
      <x:c r="B2350" s="24" t="str">
        <x:v>ZEISS</x:v>
      </x:c>
      <x:c r="C2350" s="24" t="str">
        <x:v>Progressiva</x:v>
      </x:c>
      <x:c r="D2350" s="24" t="str">
        <x:v>Surfaçada</x:v>
      </x:c>
      <x:c r="E2350" s="24" t="str">
        <x:v>SmartLife Plus</x:v>
      </x:c>
      <x:c r="F2350" s="24"/>
      <x:c r="G2350" s="24" t="str">
        <x:v>1.5</x:v>
      </x:c>
      <x:c r="H2350" s="24" t="str">
        <x:v>1.50</x:v>
      </x:c>
      <x:c r="I2350" s="24" t="str">
        <x:v>DuraVision Platinum UV</x:v>
      </x:c>
      <x:c r="J2350" s="40" t="n">
        <x:v>6140</x:v>
      </x:c>
      <x:c r="K2350" s="24" t="str">
        <x:v>-6.00 a +4.00</x:v>
      </x:c>
      <x:c r="L2350" s="24" t="str">
        <x:v>-4.00</x:v>
      </x:c>
      <x:c r="M2350" s="24" t="str">
        <x:v>0.75 a 3.50</x:v>
      </x:c>
      <x:c r="N2350" s="24" t="str">
        <x:v>75</x:v>
      </x:c>
      <x:c r="O2350" s="24"/>
      <x:c r="P2350" s="24"/>
      <x:c r="Q2350" s="24" t="str">
        <x:v>DISPONÍVEL</x:v>
      </x:c>
      <x:c r="R2350" s="24"/>
      <x:c r="S2350" s="24" t="n">
        <x:v>39</x:v>
      </x:c>
      <x:c r="T2350" s="24" t="str">
        <x:v>tabela_zeiss.pdf</x:v>
      </x:c>
      <x:c r="U2350" s="24" t="str">
        <x:v>ZEISS|Progressiva|Surfaçada|SmartLife Plus||1.5|1.50|DuraVision Platinum UV|-6.00 a +4.00|-4.00|0.75 a 3.50|75|||39</x:v>
      </x:c>
    </x:row>
    <x:row r="2351">
      <x:c r="A2351" s="24" t="str">
        <x:v>ZS-E6113BDA649F</x:v>
      </x:c>
      <x:c r="B2351" s="24" t="str">
        <x:v>ZEISS</x:v>
      </x:c>
      <x:c r="C2351" s="24" t="str">
        <x:v>Progressiva</x:v>
      </x:c>
      <x:c r="D2351" s="24" t="str">
        <x:v>Surfaçada</x:v>
      </x:c>
      <x:c r="E2351" s="24" t="str">
        <x:v>SmartLife Plus</x:v>
      </x:c>
      <x:c r="F2351" s="24"/>
      <x:c r="G2351" s="24" t="str">
        <x:v>1.5</x:v>
      </x:c>
      <x:c r="H2351" s="24" t="str">
        <x:v>1.50</x:v>
      </x:c>
      <x:c r="I2351" s="24" t="str">
        <x:v>DuraVision Silver UV</x:v>
      </x:c>
      <x:c r="J2351" s="40" t="n">
        <x:v>5880</x:v>
      </x:c>
      <x:c r="K2351" s="24" t="str">
        <x:v>-6.00 a +4.00</x:v>
      </x:c>
      <x:c r="L2351" s="24" t="str">
        <x:v>-4.00</x:v>
      </x:c>
      <x:c r="M2351" s="24" t="str">
        <x:v>0.75 a 3.50</x:v>
      </x:c>
      <x:c r="N2351" s="24" t="str">
        <x:v>75</x:v>
      </x:c>
      <x:c r="O2351" s="24"/>
      <x:c r="P2351" s="24"/>
      <x:c r="Q2351" s="24" t="str">
        <x:v>DISPONÍVEL</x:v>
      </x:c>
      <x:c r="R2351" s="24"/>
      <x:c r="S2351" s="24" t="n">
        <x:v>39</x:v>
      </x:c>
      <x:c r="T2351" s="24" t="str">
        <x:v>tabela_zeiss.pdf</x:v>
      </x:c>
      <x:c r="U2351" s="24" t="str">
        <x:v>ZEISS|Progressiva|Surfaçada|SmartLife Plus||1.5|1.50|DuraVision Silver UV|-6.00 a +4.00|-4.00|0.75 a 3.50|75|||39</x:v>
      </x:c>
    </x:row>
    <x:row r="2352">
      <x:c r="A2352" s="24" t="str">
        <x:v>ZS-6B1AF4C61DBB</x:v>
      </x:c>
      <x:c r="B2352" s="24" t="str">
        <x:v>ZEISS</x:v>
      </x:c>
      <x:c r="C2352" s="24" t="str">
        <x:v>Progressiva</x:v>
      </x:c>
      <x:c r="D2352" s="24" t="str">
        <x:v>Surfaçada</x:v>
      </x:c>
      <x:c r="E2352" s="24" t="str">
        <x:v>SmartLife Plus</x:v>
      </x:c>
      <x:c r="F2352" s="24"/>
      <x:c r="G2352" s="24" t="str">
        <x:v>1.5</x:v>
      </x:c>
      <x:c r="H2352" s="24" t="str">
        <x:v>1.50</x:v>
      </x:c>
      <x:c r="I2352" s="24" t="str">
        <x:v>DuraVision Chrome UV</x:v>
      </x:c>
      <x:c r="J2352" s="40" t="n">
        <x:v>5390</x:v>
      </x:c>
      <x:c r="K2352" s="24" t="str">
        <x:v>-6.00 a +4.00</x:v>
      </x:c>
      <x:c r="L2352" s="24" t="str">
        <x:v>-4.00</x:v>
      </x:c>
      <x:c r="M2352" s="24" t="str">
        <x:v>0.75 a 3.50</x:v>
      </x:c>
      <x:c r="N2352" s="24" t="str">
        <x:v>75</x:v>
      </x:c>
      <x:c r="O2352" s="24"/>
      <x:c r="P2352" s="24"/>
      <x:c r="Q2352" s="24" t="str">
        <x:v>DISPONÍVEL</x:v>
      </x:c>
      <x:c r="R2352" s="24"/>
      <x:c r="S2352" s="24" t="n">
        <x:v>39</x:v>
      </x:c>
      <x:c r="T2352" s="24" t="str">
        <x:v>tabela_zeiss.pdf</x:v>
      </x:c>
      <x:c r="U2352" s="24" t="str">
        <x:v>ZEISS|Progressiva|Surfaçada|SmartLife Plus||1.5|1.50|DuraVision Chrome UV|-6.00 a +4.00|-4.00|0.75 a 3.50|75|||39</x:v>
      </x:c>
    </x:row>
    <x:row r="2353">
      <x:c r="A2353" s="24" t="str">
        <x:v>ZS-64451BFC3B1D</x:v>
      </x:c>
      <x:c r="B2353" s="24" t="str">
        <x:v>ZEISS</x:v>
      </x:c>
      <x:c r="C2353" s="24" t="str">
        <x:v>Progressiva</x:v>
      </x:c>
      <x:c r="D2353" s="24" t="str">
        <x:v>Surfaçada</x:v>
      </x:c>
      <x:c r="E2353" s="24" t="str">
        <x:v>SmartLife Plus</x:v>
      </x:c>
      <x:c r="F2353" s="24"/>
      <x:c r="G2353" s="24" t="str">
        <x:v>Poli</x:v>
      </x:c>
      <x:c r="H2353" s="24"/>
      <x:c r="I2353" s="24" t="str">
        <x:v>DuraVision Gold UV</x:v>
      </x:c>
      <x:c r="J2353" s="40" t="n">
        <x:v>6870</x:v>
      </x:c>
      <x:c r="K2353" s="24" t="str">
        <x:v>-10.00 a +6.00</x:v>
      </x:c>
      <x:c r="L2353" s="24" t="str">
        <x:v>-6.00</x:v>
      </x:c>
      <x:c r="M2353" s="24" t="str">
        <x:v>0.75 a 3.00</x:v>
      </x:c>
      <x:c r="N2353" s="24" t="str">
        <x:v>70</x:v>
      </x:c>
      <x:c r="O2353" s="24"/>
      <x:c r="P2353" s="24"/>
      <x:c r="Q2353" s="24" t="str">
        <x:v>DISPONÍVEL</x:v>
      </x:c>
      <x:c r="R2353" s="24"/>
      <x:c r="S2353" s="24" t="n">
        <x:v>39</x:v>
      </x:c>
      <x:c r="T2353" s="24" t="str">
        <x:v>tabela_zeiss.pdf</x:v>
      </x:c>
      <x:c r="U2353" s="24" t="str">
        <x:v>ZEISS|Progressiva|Surfaçada|SmartLife Plus||Poli||DuraVision Gold UV|-10.00 a +6.00|-6.00|0.75 a 3.00|70|||39</x:v>
      </x:c>
    </x:row>
    <x:row r="2354">
      <x:c r="A2354" s="24" t="str">
        <x:v>ZS-FC3BD2DCACCD</x:v>
      </x:c>
      <x:c r="B2354" s="24" t="str">
        <x:v>ZEISS</x:v>
      </x:c>
      <x:c r="C2354" s="24" t="str">
        <x:v>Progressiva</x:v>
      </x:c>
      <x:c r="D2354" s="24" t="str">
        <x:v>Surfaçada</x:v>
      </x:c>
      <x:c r="E2354" s="24" t="str">
        <x:v>SmartLife Plus</x:v>
      </x:c>
      <x:c r="F2354" s="24"/>
      <x:c r="G2354" s="24" t="str">
        <x:v>Poli</x:v>
      </x:c>
      <x:c r="H2354" s="24"/>
      <x:c r="I2354" s="24" t="str">
        <x:v>DuraVision Platinum UV</x:v>
      </x:c>
      <x:c r="J2354" s="40" t="n">
        <x:v>6730</x:v>
      </x:c>
      <x:c r="K2354" s="24" t="str">
        <x:v>-10.00 a +6.00</x:v>
      </x:c>
      <x:c r="L2354" s="24" t="str">
        <x:v>-6.00</x:v>
      </x:c>
      <x:c r="M2354" s="24" t="str">
        <x:v>0.75 a 3.00</x:v>
      </x:c>
      <x:c r="N2354" s="24" t="str">
        <x:v>70</x:v>
      </x:c>
      <x:c r="O2354" s="24"/>
      <x:c r="P2354" s="24"/>
      <x:c r="Q2354" s="24" t="str">
        <x:v>DISPONÍVEL</x:v>
      </x:c>
      <x:c r="R2354" s="24"/>
      <x:c r="S2354" s="24" t="n">
        <x:v>39</x:v>
      </x:c>
      <x:c r="T2354" s="24" t="str">
        <x:v>tabela_zeiss.pdf</x:v>
      </x:c>
      <x:c r="U2354" s="24" t="str">
        <x:v>ZEISS|Progressiva|Surfaçada|SmartLife Plus||Poli||DuraVision Platinum UV|-10.00 a +6.00|-6.00|0.75 a 3.00|70|||39</x:v>
      </x:c>
    </x:row>
    <x:row r="2355">
      <x:c r="A2355" s="24" t="str">
        <x:v>ZS-1751B32ADFDF</x:v>
      </x:c>
      <x:c r="B2355" s="24" t="str">
        <x:v>ZEISS</x:v>
      </x:c>
      <x:c r="C2355" s="24" t="str">
        <x:v>Progressiva</x:v>
      </x:c>
      <x:c r="D2355" s="24" t="str">
        <x:v>Surfaçada</x:v>
      </x:c>
      <x:c r="E2355" s="24" t="str">
        <x:v>SmartLife Plus</x:v>
      </x:c>
      <x:c r="F2355" s="24"/>
      <x:c r="G2355" s="24" t="str">
        <x:v>Poli</x:v>
      </x:c>
      <x:c r="H2355" s="24"/>
      <x:c r="I2355" s="24" t="str">
        <x:v>DuraVision Silver UV</x:v>
      </x:c>
      <x:c r="J2355" s="40" t="n">
        <x:v>6470</x:v>
      </x:c>
      <x:c r="K2355" s="24" t="str">
        <x:v>-10.00 a +6.00</x:v>
      </x:c>
      <x:c r="L2355" s="24" t="str">
        <x:v>-6.00</x:v>
      </x:c>
      <x:c r="M2355" s="24" t="str">
        <x:v>0.75 a 3.00</x:v>
      </x:c>
      <x:c r="N2355" s="24" t="str">
        <x:v>70</x:v>
      </x:c>
      <x:c r="O2355" s="24"/>
      <x:c r="P2355" s="24"/>
      <x:c r="Q2355" s="24" t="str">
        <x:v>DISPONÍVEL</x:v>
      </x:c>
      <x:c r="R2355" s="24"/>
      <x:c r="S2355" s="24" t="n">
        <x:v>39</x:v>
      </x:c>
      <x:c r="T2355" s="24" t="str">
        <x:v>tabela_zeiss.pdf</x:v>
      </x:c>
      <x:c r="U2355" s="24" t="str">
        <x:v>ZEISS|Progressiva|Surfaçada|SmartLife Plus||Poli||DuraVision Silver UV|-10.00 a +6.00|-6.00|0.75 a 3.00|70|||39</x:v>
      </x:c>
    </x:row>
    <x:row r="2356">
      <x:c r="A2356" s="24" t="str">
        <x:v>ZS-245596AE0E76</x:v>
      </x:c>
      <x:c r="B2356" s="24" t="str">
        <x:v>ZEISS</x:v>
      </x:c>
      <x:c r="C2356" s="24" t="str">
        <x:v>Progressiva</x:v>
      </x:c>
      <x:c r="D2356" s="24" t="str">
        <x:v>Surfaçada</x:v>
      </x:c>
      <x:c r="E2356" s="24" t="str">
        <x:v>SmartLife Plus</x:v>
      </x:c>
      <x:c r="F2356" s="24"/>
      <x:c r="G2356" s="24" t="str">
        <x:v>Poli</x:v>
      </x:c>
      <x:c r="H2356" s="24"/>
      <x:c r="I2356" s="24" t="str">
        <x:v>DuraVision Chrome UV</x:v>
      </x:c>
      <x:c r="J2356" s="40" t="n">
        <x:v>5980</x:v>
      </x:c>
      <x:c r="K2356" s="24" t="str">
        <x:v>-10.00 a +6.00</x:v>
      </x:c>
      <x:c r="L2356" s="24" t="str">
        <x:v>-6.00</x:v>
      </x:c>
      <x:c r="M2356" s="24" t="str">
        <x:v>0.75 a 3.00</x:v>
      </x:c>
      <x:c r="N2356" s="24" t="str">
        <x:v>70</x:v>
      </x:c>
      <x:c r="O2356" s="24"/>
      <x:c r="P2356" s="24"/>
      <x:c r="Q2356" s="24" t="str">
        <x:v>DISPONÍVEL</x:v>
      </x:c>
      <x:c r="R2356" s="24"/>
      <x:c r="S2356" s="24" t="n">
        <x:v>39</x:v>
      </x:c>
      <x:c r="T2356" s="24" t="str">
        <x:v>tabela_zeiss.pdf</x:v>
      </x:c>
      <x:c r="U2356" s="24" t="str">
        <x:v>ZEISS|Progressiva|Surfaçada|SmartLife Plus||Poli||DuraVision Chrome UV|-10.00 a +6.00|-6.00|0.75 a 3.00|70|||39</x:v>
      </x:c>
    </x:row>
    <x:row r="2357">
      <x:c r="A2357" s="24" t="str">
        <x:v>ZS-28FC5770997A</x:v>
      </x:c>
      <x:c r="B2357" s="24" t="str">
        <x:v>ZEISS</x:v>
      </x:c>
      <x:c r="C2357" s="24" t="str">
        <x:v>Progressiva</x:v>
      </x:c>
      <x:c r="D2357" s="24" t="str">
        <x:v>Surfaçada</x:v>
      </x:c>
      <x:c r="E2357" s="24" t="str">
        <x:v>SmartLife Plus</x:v>
      </x:c>
      <x:c r="F2357" s="24"/>
      <x:c r="G2357" s="24" t="str">
        <x:v>1.6</x:v>
      </x:c>
      <x:c r="H2357" s="24" t="str">
        <x:v>1.60</x:v>
      </x:c>
      <x:c r="I2357" s="24" t="str">
        <x:v>DuraVision Gold UV</x:v>
      </x:c>
      <x:c r="J2357" s="40" t="n">
        <x:v>7530</x:v>
      </x:c>
      <x:c r="K2357" s="24" t="str">
        <x:v>-7.25 a +6.00</x:v>
      </x:c>
      <x:c r="L2357" s="24" t="str">
        <x:v>-6.00</x:v>
      </x:c>
      <x:c r="M2357" s="24" t="str">
        <x:v>0.75 a 3.50</x:v>
      </x:c>
      <x:c r="N2357" s="24" t="str">
        <x:v>75</x:v>
      </x:c>
      <x:c r="O2357" s="24"/>
      <x:c r="P2357" s="24"/>
      <x:c r="Q2357" s="24" t="str">
        <x:v>DISPONÍVEL</x:v>
      </x:c>
      <x:c r="R2357" s="24"/>
      <x:c r="S2357" s="24" t="n">
        <x:v>39</x:v>
      </x:c>
      <x:c r="T2357" s="24" t="str">
        <x:v>tabela_zeiss.pdf</x:v>
      </x:c>
      <x:c r="U2357" s="24" t="str">
        <x:v>ZEISS|Progressiva|Surfaçada|SmartLife Plus||1.6|1.60|DuraVision Gold UV|-7.25 a +6.00|-6.00|0.75 a 3.50|75|||39</x:v>
      </x:c>
    </x:row>
    <x:row r="2358">
      <x:c r="A2358" s="24" t="str">
        <x:v>ZS-BE9C8E58AEFB</x:v>
      </x:c>
      <x:c r="B2358" s="24" t="str">
        <x:v>ZEISS</x:v>
      </x:c>
      <x:c r="C2358" s="24" t="str">
        <x:v>Progressiva</x:v>
      </x:c>
      <x:c r="D2358" s="24" t="str">
        <x:v>Surfaçada</x:v>
      </x:c>
      <x:c r="E2358" s="24" t="str">
        <x:v>SmartLife Plus</x:v>
      </x:c>
      <x:c r="F2358" s="24"/>
      <x:c r="G2358" s="24" t="str">
        <x:v>1.6</x:v>
      </x:c>
      <x:c r="H2358" s="24" t="str">
        <x:v>1.60</x:v>
      </x:c>
      <x:c r="I2358" s="24" t="str">
        <x:v>DURAVISION® ANTIVÍRUS PLATINUM UV</x:v>
      </x:c>
      <x:c r="J2358" s="40" t="n">
        <x:v>7390</x:v>
      </x:c>
      <x:c r="K2358" s="24" t="str">
        <x:v>-7.25 a +6.00</x:v>
      </x:c>
      <x:c r="L2358" s="24" t="str">
        <x:v>-6.00</x:v>
      </x:c>
      <x:c r="M2358" s="24" t="str">
        <x:v>0.75 a 3.50</x:v>
      </x:c>
      <x:c r="N2358" s="24" t="str">
        <x:v>75</x:v>
      </x:c>
      <x:c r="O2358" s="24"/>
      <x:c r="P2358" s="24"/>
      <x:c r="Q2358" s="24" t="str">
        <x:v>DISPONÍVEL</x:v>
      </x:c>
      <x:c r="R2358" s="24"/>
      <x:c r="S2358" s="24" t="n">
        <x:v>39</x:v>
      </x:c>
      <x:c r="T2358" s="24" t="str">
        <x:v>tabela_zeiss.pdf</x:v>
      </x:c>
      <x:c r="U2358" s="24" t="str">
        <x:v>ZEISS|Progressiva|Surfaçada|SmartLife Plus||1.6|1.60|DURAVISION® ANTIVÍRUS PLATINUM UV|-7.25 a +6.00|-6.00|0.75 a 3.50|75|||39</x:v>
      </x:c>
    </x:row>
    <x:row r="2359">
      <x:c r="A2359" s="24" t="str">
        <x:v>ZS-1FFE10CE714B</x:v>
      </x:c>
      <x:c r="B2359" s="24" t="str">
        <x:v>ZEISS</x:v>
      </x:c>
      <x:c r="C2359" s="24" t="str">
        <x:v>Progressiva</x:v>
      </x:c>
      <x:c r="D2359" s="24" t="str">
        <x:v>Surfaçada</x:v>
      </x:c>
      <x:c r="E2359" s="24" t="str">
        <x:v>SmartLife Plus</x:v>
      </x:c>
      <x:c r="F2359" s="24"/>
      <x:c r="G2359" s="24" t="str">
        <x:v>1.6</x:v>
      </x:c>
      <x:c r="H2359" s="24" t="str">
        <x:v>1.60</x:v>
      </x:c>
      <x:c r="I2359" s="24" t="str">
        <x:v>DuraVision Platinum UV</x:v>
      </x:c>
      <x:c r="J2359" s="40" t="n">
        <x:v>7390</x:v>
      </x:c>
      <x:c r="K2359" s="24" t="str">
        <x:v>-7.25 a +6.00</x:v>
      </x:c>
      <x:c r="L2359" s="24" t="str">
        <x:v>-6.00</x:v>
      </x:c>
      <x:c r="M2359" s="24" t="str">
        <x:v>0.75 a 3.50</x:v>
      </x:c>
      <x:c r="N2359" s="24" t="str">
        <x:v>75</x:v>
      </x:c>
      <x:c r="O2359" s="24"/>
      <x:c r="P2359" s="24"/>
      <x:c r="Q2359" s="24" t="str">
        <x:v>DISPONÍVEL</x:v>
      </x:c>
      <x:c r="R2359" s="24"/>
      <x:c r="S2359" s="24" t="n">
        <x:v>39</x:v>
      </x:c>
      <x:c r="T2359" s="24" t="str">
        <x:v>tabela_zeiss.pdf</x:v>
      </x:c>
      <x:c r="U2359" s="24" t="str">
        <x:v>ZEISS|Progressiva|Surfaçada|SmartLife Plus||1.6|1.60|DuraVision Platinum UV|-7.25 a +6.00|-6.00|0.75 a 3.50|75|||39</x:v>
      </x:c>
    </x:row>
    <x:row r="2360">
      <x:c r="A2360" s="24" t="str">
        <x:v>ZS-68132C95F936</x:v>
      </x:c>
      <x:c r="B2360" s="24" t="str">
        <x:v>ZEISS</x:v>
      </x:c>
      <x:c r="C2360" s="24" t="str">
        <x:v>Progressiva</x:v>
      </x:c>
      <x:c r="D2360" s="24" t="str">
        <x:v>Surfaçada</x:v>
      </x:c>
      <x:c r="E2360" s="24" t="str">
        <x:v>SmartLife Plus</x:v>
      </x:c>
      <x:c r="F2360" s="24"/>
      <x:c r="G2360" s="24" t="str">
        <x:v>1.6</x:v>
      </x:c>
      <x:c r="H2360" s="24" t="str">
        <x:v>1.60</x:v>
      </x:c>
      <x:c r="I2360" s="24" t="str">
        <x:v>DuraVision Silver UV</x:v>
      </x:c>
      <x:c r="J2360" s="40" t="n">
        <x:v>7130</x:v>
      </x:c>
      <x:c r="K2360" s="24" t="str">
        <x:v>-7.25 a +6.00</x:v>
      </x:c>
      <x:c r="L2360" s="24" t="str">
        <x:v>-6.00</x:v>
      </x:c>
      <x:c r="M2360" s="24" t="str">
        <x:v>0.75 a 3.50</x:v>
      </x:c>
      <x:c r="N2360" s="24" t="str">
        <x:v>75</x:v>
      </x:c>
      <x:c r="O2360" s="24"/>
      <x:c r="P2360" s="24"/>
      <x:c r="Q2360" s="24" t="str">
        <x:v>DISPONÍVEL</x:v>
      </x:c>
      <x:c r="R2360" s="24"/>
      <x:c r="S2360" s="24" t="n">
        <x:v>39</x:v>
      </x:c>
      <x:c r="T2360" s="24" t="str">
        <x:v>tabela_zeiss.pdf</x:v>
      </x:c>
      <x:c r="U2360" s="24" t="str">
        <x:v>ZEISS|Progressiva|Surfaçada|SmartLife Plus||1.6|1.60|DuraVision Silver UV|-7.25 a +6.00|-6.00|0.75 a 3.50|75|||39</x:v>
      </x:c>
    </x:row>
    <x:row r="2361">
      <x:c r="A2361" s="24" t="str">
        <x:v>ZS-FB1B4C854B11</x:v>
      </x:c>
      <x:c r="B2361" s="24" t="str">
        <x:v>ZEISS</x:v>
      </x:c>
      <x:c r="C2361" s="24" t="str">
        <x:v>Progressiva</x:v>
      </x:c>
      <x:c r="D2361" s="24" t="str">
        <x:v>Surfaçada</x:v>
      </x:c>
      <x:c r="E2361" s="24" t="str">
        <x:v>SmartLife Plus</x:v>
      </x:c>
      <x:c r="F2361" s="24"/>
      <x:c r="G2361" s="24" t="str">
        <x:v>1.6</x:v>
      </x:c>
      <x:c r="H2361" s="24" t="str">
        <x:v>1.60</x:v>
      </x:c>
      <x:c r="I2361" s="24" t="str">
        <x:v>DuraVision Chrome UV</x:v>
      </x:c>
      <x:c r="J2361" s="40" t="n">
        <x:v>6640</x:v>
      </x:c>
      <x:c r="K2361" s="24" t="str">
        <x:v>-7.25 a +6.00</x:v>
      </x:c>
      <x:c r="L2361" s="24" t="str">
        <x:v>-6.00</x:v>
      </x:c>
      <x:c r="M2361" s="24" t="str">
        <x:v>0.75 a 3.50</x:v>
      </x:c>
      <x:c r="N2361" s="24" t="str">
        <x:v>75</x:v>
      </x:c>
      <x:c r="O2361" s="24"/>
      <x:c r="P2361" s="24"/>
      <x:c r="Q2361" s="24" t="str">
        <x:v>DISPONÍVEL</x:v>
      </x:c>
      <x:c r="R2361" s="24"/>
      <x:c r="S2361" s="24" t="n">
        <x:v>39</x:v>
      </x:c>
      <x:c r="T2361" s="24" t="str">
        <x:v>tabela_zeiss.pdf</x:v>
      </x:c>
      <x:c r="U2361" s="24" t="str">
        <x:v>ZEISS|Progressiva|Surfaçada|SmartLife Plus||1.6|1.60|DuraVision Chrome UV|-7.25 a +6.00|-6.00|0.75 a 3.50|75|||39</x:v>
      </x:c>
    </x:row>
    <x:row r="2362">
      <x:c r="A2362" s="24" t="str">
        <x:v>ZS-262EAD6E8ECD</x:v>
      </x:c>
      <x:c r="B2362" s="24" t="str">
        <x:v>ZEISS</x:v>
      </x:c>
      <x:c r="C2362" s="24" t="str">
        <x:v>Progressiva</x:v>
      </x:c>
      <x:c r="D2362" s="24" t="str">
        <x:v>Surfaçada</x:v>
      </x:c>
      <x:c r="E2362" s="24" t="str">
        <x:v>SmartLife Plus</x:v>
      </x:c>
      <x:c r="F2362" s="24"/>
      <x:c r="G2362" s="24" t="str">
        <x:v>1.67</x:v>
      </x:c>
      <x:c r="H2362" s="24" t="str">
        <x:v>1.67</x:v>
      </x:c>
      <x:c r="I2362" s="24" t="str">
        <x:v>DuraVision Gold UV</x:v>
      </x:c>
      <x:c r="J2362" s="40" t="n">
        <x:v>9170</x:v>
      </x:c>
      <x:c r="K2362" s="24" t="str">
        <x:v>-8.00 a +8.00</x:v>
      </x:c>
      <x:c r="L2362" s="24" t="str">
        <x:v>-6.00</x:v>
      </x:c>
      <x:c r="M2362" s="24" t="str">
        <x:v>0.75 a 3.00</x:v>
      </x:c>
      <x:c r="N2362" s="24" t="str">
        <x:v>70</x:v>
      </x:c>
      <x:c r="O2362" s="24"/>
      <x:c r="P2362" s="24"/>
      <x:c r="Q2362" s="24" t="str">
        <x:v>DISPONÍVEL</x:v>
      </x:c>
      <x:c r="R2362" s="24"/>
      <x:c r="S2362" s="24" t="n">
        <x:v>39</x:v>
      </x:c>
      <x:c r="T2362" s="24" t="str">
        <x:v>tabela_zeiss.pdf</x:v>
      </x:c>
      <x:c r="U2362" s="24" t="str">
        <x:v>ZEISS|Progressiva|Surfaçada|SmartLife Plus||1.67|1.67|DuraVision Gold UV|-8.00 a +8.00|-6.00|0.75 a 3.00|70|||39</x:v>
      </x:c>
    </x:row>
    <x:row r="2363">
      <x:c r="A2363" s="24" t="str">
        <x:v>ZS-30634119BE80</x:v>
      </x:c>
      <x:c r="B2363" s="24" t="str">
        <x:v>ZEISS</x:v>
      </x:c>
      <x:c r="C2363" s="24" t="str">
        <x:v>Progressiva</x:v>
      </x:c>
      <x:c r="D2363" s="24" t="str">
        <x:v>Surfaçada</x:v>
      </x:c>
      <x:c r="E2363" s="24" t="str">
        <x:v>SmartLife Plus</x:v>
      </x:c>
      <x:c r="F2363" s="24"/>
      <x:c r="G2363" s="24" t="str">
        <x:v>1.67</x:v>
      </x:c>
      <x:c r="H2363" s="24" t="str">
        <x:v>1.67</x:v>
      </x:c>
      <x:c r="I2363" s="24" t="str">
        <x:v>DURAVISION® ANTIVÍRUS PLATINUM UV</x:v>
      </x:c>
      <x:c r="J2363" s="40" t="n">
        <x:v>9030</x:v>
      </x:c>
      <x:c r="K2363" s="24" t="str">
        <x:v>-8.00 a +8.00</x:v>
      </x:c>
      <x:c r="L2363" s="24" t="str">
        <x:v>-6.00</x:v>
      </x:c>
      <x:c r="M2363" s="24" t="str">
        <x:v>0.75 a 3.00</x:v>
      </x:c>
      <x:c r="N2363" s="24" t="str">
        <x:v>70</x:v>
      </x:c>
      <x:c r="O2363" s="24"/>
      <x:c r="P2363" s="24"/>
      <x:c r="Q2363" s="24" t="str">
        <x:v>DISPONÍVEL</x:v>
      </x:c>
      <x:c r="R2363" s="24"/>
      <x:c r="S2363" s="24" t="n">
        <x:v>39</x:v>
      </x:c>
      <x:c r="T2363" s="24" t="str">
        <x:v>tabela_zeiss.pdf</x:v>
      </x:c>
      <x:c r="U2363" s="24" t="str">
        <x:v>ZEISS|Progressiva|Surfaçada|SmartLife Plus||1.67|1.67|DURAVISION® ANTIVÍRUS PLATINUM UV|-8.00 a +8.00|-6.00|0.75 a 3.00|70|||39</x:v>
      </x:c>
    </x:row>
    <x:row r="2364">
      <x:c r="A2364" s="24" t="str">
        <x:v>ZS-1257847E7B57</x:v>
      </x:c>
      <x:c r="B2364" s="24" t="str">
        <x:v>ZEISS</x:v>
      </x:c>
      <x:c r="C2364" s="24" t="str">
        <x:v>Progressiva</x:v>
      </x:c>
      <x:c r="D2364" s="24" t="str">
        <x:v>Surfaçada</x:v>
      </x:c>
      <x:c r="E2364" s="24" t="str">
        <x:v>SmartLife Plus</x:v>
      </x:c>
      <x:c r="F2364" s="24"/>
      <x:c r="G2364" s="24" t="str">
        <x:v>1.67</x:v>
      </x:c>
      <x:c r="H2364" s="24" t="str">
        <x:v>1.67</x:v>
      </x:c>
      <x:c r="I2364" s="24" t="str">
        <x:v>DuraVision Platinum UV</x:v>
      </x:c>
      <x:c r="J2364" s="40" t="n">
        <x:v>9030</x:v>
      </x:c>
      <x:c r="K2364" s="24" t="str">
        <x:v>-8.00 a +8.00</x:v>
      </x:c>
      <x:c r="L2364" s="24" t="str">
        <x:v>-6.00</x:v>
      </x:c>
      <x:c r="M2364" s="24" t="str">
        <x:v>0.75 a 3.00</x:v>
      </x:c>
      <x:c r="N2364" s="24" t="str">
        <x:v>70</x:v>
      </x:c>
      <x:c r="O2364" s="24"/>
      <x:c r="P2364" s="24"/>
      <x:c r="Q2364" s="24" t="str">
        <x:v>DISPONÍVEL</x:v>
      </x:c>
      <x:c r="R2364" s="24"/>
      <x:c r="S2364" s="24" t="n">
        <x:v>39</x:v>
      </x:c>
      <x:c r="T2364" s="24" t="str">
        <x:v>tabela_zeiss.pdf</x:v>
      </x:c>
      <x:c r="U2364" s="24" t="str">
        <x:v>ZEISS|Progressiva|Surfaçada|SmartLife Plus||1.67|1.67|DuraVision Platinum UV|-8.00 a +8.00|-6.00|0.75 a 3.00|70|||39</x:v>
      </x:c>
    </x:row>
    <x:row r="2365">
      <x:c r="A2365" s="24" t="str">
        <x:v>ZS-BA4BD3C3D834</x:v>
      </x:c>
      <x:c r="B2365" s="24" t="str">
        <x:v>ZEISS</x:v>
      </x:c>
      <x:c r="C2365" s="24" t="str">
        <x:v>Progressiva</x:v>
      </x:c>
      <x:c r="D2365" s="24" t="str">
        <x:v>Surfaçada</x:v>
      </x:c>
      <x:c r="E2365" s="24" t="str">
        <x:v>SmartLife Plus</x:v>
      </x:c>
      <x:c r="F2365" s="24"/>
      <x:c r="G2365" s="24" t="str">
        <x:v>1.67</x:v>
      </x:c>
      <x:c r="H2365" s="24" t="str">
        <x:v>1.67</x:v>
      </x:c>
      <x:c r="I2365" s="24" t="str">
        <x:v>DuraVision Silver UV</x:v>
      </x:c>
      <x:c r="J2365" s="40" t="n">
        <x:v>8770</x:v>
      </x:c>
      <x:c r="K2365" s="24" t="str">
        <x:v>-8.00 a +8.00</x:v>
      </x:c>
      <x:c r="L2365" s="24" t="str">
        <x:v>-6.00</x:v>
      </x:c>
      <x:c r="M2365" s="24" t="str">
        <x:v>0.75 a 3.00</x:v>
      </x:c>
      <x:c r="N2365" s="24" t="str">
        <x:v>70</x:v>
      </x:c>
      <x:c r="O2365" s="24"/>
      <x:c r="P2365" s="24"/>
      <x:c r="Q2365" s="24" t="str">
        <x:v>DISPONÍVEL</x:v>
      </x:c>
      <x:c r="R2365" s="24"/>
      <x:c r="S2365" s="24" t="n">
        <x:v>39</x:v>
      </x:c>
      <x:c r="T2365" s="24" t="str">
        <x:v>tabela_zeiss.pdf</x:v>
      </x:c>
      <x:c r="U2365" s="24" t="str">
        <x:v>ZEISS|Progressiva|Surfaçada|SmartLife Plus||1.67|1.67|DuraVision Silver UV|-8.00 a +8.00|-6.00|0.75 a 3.00|70|||39</x:v>
      </x:c>
    </x:row>
    <x:row r="2366">
      <x:c r="A2366" s="24" t="str">
        <x:v>ZS-1CEF3F332F22</x:v>
      </x:c>
      <x:c r="B2366" s="24" t="str">
        <x:v>ZEISS</x:v>
      </x:c>
      <x:c r="C2366" s="24" t="str">
        <x:v>Progressiva</x:v>
      </x:c>
      <x:c r="D2366" s="24" t="str">
        <x:v>Surfaçada</x:v>
      </x:c>
      <x:c r="E2366" s="24" t="str">
        <x:v>SmartLife Plus</x:v>
      </x:c>
      <x:c r="F2366" s="24"/>
      <x:c r="G2366" s="24" t="str">
        <x:v>1.67</x:v>
      </x:c>
      <x:c r="H2366" s="24" t="str">
        <x:v>1.67</x:v>
      </x:c>
      <x:c r="I2366" s="24" t="str">
        <x:v>DuraVision Chrome UV</x:v>
      </x:c>
      <x:c r="J2366" s="40" t="n">
        <x:v>8280</x:v>
      </x:c>
      <x:c r="K2366" s="24" t="str">
        <x:v>-8.00 a +8.00</x:v>
      </x:c>
      <x:c r="L2366" s="24" t="str">
        <x:v>-6.00</x:v>
      </x:c>
      <x:c r="M2366" s="24" t="str">
        <x:v>0.75 a 3.00</x:v>
      </x:c>
      <x:c r="N2366" s="24" t="str">
        <x:v>70</x:v>
      </x:c>
      <x:c r="O2366" s="24"/>
      <x:c r="P2366" s="24"/>
      <x:c r="Q2366" s="24" t="str">
        <x:v>DISPONÍVEL</x:v>
      </x:c>
      <x:c r="R2366" s="24"/>
      <x:c r="S2366" s="24" t="n">
        <x:v>39</x:v>
      </x:c>
      <x:c r="T2366" s="24" t="str">
        <x:v>tabela_zeiss.pdf</x:v>
      </x:c>
      <x:c r="U2366" s="24" t="str">
        <x:v>ZEISS|Progressiva|Surfaçada|SmartLife Plus||1.67|1.67|DuraVision Chrome UV|-8.00 a +8.00|-6.00|0.75 a 3.00|70|||39</x:v>
      </x:c>
    </x:row>
    <x:row r="2367">
      <x:c r="A2367" s="24" t="str">
        <x:v>ZS-C18ABFA8B435</x:v>
      </x:c>
      <x:c r="B2367" s="24" t="str">
        <x:v>ZEISS</x:v>
      </x:c>
      <x:c r="C2367" s="24" t="str">
        <x:v>Progressiva</x:v>
      </x:c>
      <x:c r="D2367" s="24" t="str">
        <x:v>Surfaçada</x:v>
      </x:c>
      <x:c r="E2367" s="24" t="str">
        <x:v>SmartLife Plus</x:v>
      </x:c>
      <x:c r="F2367" s="24"/>
      <x:c r="G2367" s="24" t="str">
        <x:v>1.74</x:v>
      </x:c>
      <x:c r="H2367" s="24" t="str">
        <x:v>1.74</x:v>
      </x:c>
      <x:c r="I2367" s="24" t="str">
        <x:v>DuraVision Gold UV</x:v>
      </x:c>
      <x:c r="J2367" s="40" t="n">
        <x:v>10770</x:v>
      </x:c>
      <x:c r="K2367" s="24" t="str">
        <x:v>-10.00 a +7.00</x:v>
      </x:c>
      <x:c r="L2367" s="24" t="str">
        <x:v>-4.00</x:v>
      </x:c>
      <x:c r="M2367" s="24" t="str">
        <x:v>0.75 a 3.50</x:v>
      </x:c>
      <x:c r="N2367" s="24" t="str">
        <x:v>70 a 75</x:v>
      </x:c>
      <x:c r="O2367" s="24"/>
      <x:c r="P2367" s="24"/>
      <x:c r="Q2367" s="24" t="str">
        <x:v>DISPONÍVEL</x:v>
      </x:c>
      <x:c r="R2367" s="24"/>
      <x:c r="S2367" s="24" t="n">
        <x:v>39</x:v>
      </x:c>
      <x:c r="T2367" s="24" t="str">
        <x:v>tabela_zeiss.pdf</x:v>
      </x:c>
      <x:c r="U2367" s="24" t="str">
        <x:v>ZEISS|Progressiva|Surfaçada|SmartLife Plus||1.74|1.74|DuraVision Gold UV|-10.00 a +7.00|-4.00|0.75 a 3.50|70 a 75|||39</x:v>
      </x:c>
    </x:row>
    <x:row r="2368">
      <x:c r="A2368" s="24" t="str">
        <x:v>ZS-8B2A3A8EB01D</x:v>
      </x:c>
      <x:c r="B2368" s="24" t="str">
        <x:v>ZEISS</x:v>
      </x:c>
      <x:c r="C2368" s="24" t="str">
        <x:v>Progressiva</x:v>
      </x:c>
      <x:c r="D2368" s="24" t="str">
        <x:v>Surfaçada</x:v>
      </x:c>
      <x:c r="E2368" s="24" t="str">
        <x:v>SmartLife Plus</x:v>
      </x:c>
      <x:c r="F2368" s="24"/>
      <x:c r="G2368" s="24" t="str">
        <x:v>1.74</x:v>
      </x:c>
      <x:c r="H2368" s="24" t="str">
        <x:v>1.74</x:v>
      </x:c>
      <x:c r="I2368" s="24" t="str">
        <x:v>DuraVision Platinum UV</x:v>
      </x:c>
      <x:c r="J2368" s="40" t="n">
        <x:v>10630</x:v>
      </x:c>
      <x:c r="K2368" s="24" t="str">
        <x:v>-10.00 a +7.00</x:v>
      </x:c>
      <x:c r="L2368" s="24" t="str">
        <x:v>-4.00</x:v>
      </x:c>
      <x:c r="M2368" s="24" t="str">
        <x:v>0.75 a 3.50</x:v>
      </x:c>
      <x:c r="N2368" s="24" t="str">
        <x:v>70 a 75</x:v>
      </x:c>
      <x:c r="O2368" s="24"/>
      <x:c r="P2368" s="24"/>
      <x:c r="Q2368" s="24" t="str">
        <x:v>DISPONÍVEL</x:v>
      </x:c>
      <x:c r="R2368" s="24"/>
      <x:c r="S2368" s="24" t="n">
        <x:v>39</x:v>
      </x:c>
      <x:c r="T2368" s="24" t="str">
        <x:v>tabela_zeiss.pdf</x:v>
      </x:c>
      <x:c r="U2368" s="24" t="str">
        <x:v>ZEISS|Progressiva|Surfaçada|SmartLife Plus||1.74|1.74|DuraVision Platinum UV|-10.00 a +7.00|-4.00|0.75 a 3.50|70 a 75|||39</x:v>
      </x:c>
    </x:row>
    <x:row r="2369">
      <x:c r="A2369" s="24" t="str">
        <x:v>ZS-B92575640FC4</x:v>
      </x:c>
      <x:c r="B2369" s="24" t="str">
        <x:v>ZEISS</x:v>
      </x:c>
      <x:c r="C2369" s="24" t="str">
        <x:v>Progressiva</x:v>
      </x:c>
      <x:c r="D2369" s="24" t="str">
        <x:v>Surfaçada</x:v>
      </x:c>
      <x:c r="E2369" s="24" t="str">
        <x:v>SmartLife Plus</x:v>
      </x:c>
      <x:c r="F2369" s="24"/>
      <x:c r="G2369" s="24" t="str">
        <x:v>1.74</x:v>
      </x:c>
      <x:c r="H2369" s="24" t="str">
        <x:v>1.74</x:v>
      </x:c>
      <x:c r="I2369" s="24" t="str">
        <x:v>DuraVision Silver UV</x:v>
      </x:c>
      <x:c r="J2369" s="40" t="n">
        <x:v>10370</x:v>
      </x:c>
      <x:c r="K2369" s="24" t="str">
        <x:v>-10.00 a +7.00</x:v>
      </x:c>
      <x:c r="L2369" s="24" t="str">
        <x:v>-4.00</x:v>
      </x:c>
      <x:c r="M2369" s="24" t="str">
        <x:v>0.75 a 3.50</x:v>
      </x:c>
      <x:c r="N2369" s="24" t="str">
        <x:v>70 a 75</x:v>
      </x:c>
      <x:c r="O2369" s="24"/>
      <x:c r="P2369" s="24"/>
      <x:c r="Q2369" s="24" t="str">
        <x:v>DISPONÍVEL</x:v>
      </x:c>
      <x:c r="R2369" s="24"/>
      <x:c r="S2369" s="24" t="n">
        <x:v>39</x:v>
      </x:c>
      <x:c r="T2369" s="24" t="str">
        <x:v>tabela_zeiss.pdf</x:v>
      </x:c>
      <x:c r="U2369" s="24" t="str">
        <x:v>ZEISS|Progressiva|Surfaçada|SmartLife Plus||1.74|1.74|DuraVision Silver UV|-10.00 a +7.00|-4.00|0.75 a 3.50|70 a 75|||39</x:v>
      </x:c>
    </x:row>
    <x:row r="2370">
      <x:c r="A2370" s="24" t="str">
        <x:v>ZS-72DB871D5C9E</x:v>
      </x:c>
      <x:c r="B2370" s="24" t="str">
        <x:v>ZEISS</x:v>
      </x:c>
      <x:c r="C2370" s="24" t="str">
        <x:v>Progressiva</x:v>
      </x:c>
      <x:c r="D2370" s="24" t="str">
        <x:v>Surfaçada</x:v>
      </x:c>
      <x:c r="E2370" s="24" t="str">
        <x:v>SmartLife Plus</x:v>
      </x:c>
      <x:c r="F2370" s="24"/>
      <x:c r="G2370" s="24" t="str">
        <x:v>1.74</x:v>
      </x:c>
      <x:c r="H2370" s="24" t="str">
        <x:v>1.74</x:v>
      </x:c>
      <x:c r="I2370" s="24" t="str">
        <x:v>DuraVision Chrome UV</x:v>
      </x:c>
      <x:c r="J2370" s="40" t="n">
        <x:v>9880</x:v>
      </x:c>
      <x:c r="K2370" s="24" t="str">
        <x:v>-10.00 a +7.00</x:v>
      </x:c>
      <x:c r="L2370" s="24" t="str">
        <x:v>-4.00</x:v>
      </x:c>
      <x:c r="M2370" s="24" t="str">
        <x:v>0.75 a 3.50</x:v>
      </x:c>
      <x:c r="N2370" s="24" t="str">
        <x:v>70 a 75</x:v>
      </x:c>
      <x:c r="O2370" s="24"/>
      <x:c r="P2370" s="24"/>
      <x:c r="Q2370" s="24" t="str">
        <x:v>DISPONÍVEL</x:v>
      </x:c>
      <x:c r="R2370" s="24"/>
      <x:c r="S2370" s="24" t="n">
        <x:v>39</x:v>
      </x:c>
      <x:c r="T2370" s="24" t="str">
        <x:v>tabela_zeiss.pdf</x:v>
      </x:c>
      <x:c r="U2370" s="24" t="str">
        <x:v>ZEISS|Progressiva|Surfaçada|SmartLife Plus||1.74|1.74|DuraVision Chrome UV|-10.00 a +7.00|-4.00|0.75 a 3.50|70 a 75|||39</x:v>
      </x:c>
    </x:row>
    <x:row r="2371">
      <x:c r="A2371" s="24" t="str">
        <x:v>ZS-D67106B2C14B</x:v>
      </x:c>
      <x:c r="B2371" s="24" t="str">
        <x:v>ZEISS</x:v>
      </x:c>
      <x:c r="C2371" s="24" t="str">
        <x:v>Progressiva</x:v>
      </x:c>
      <x:c r="D2371" s="24" t="str">
        <x:v>Surfaçada</x:v>
      </x:c>
      <x:c r="E2371" s="24" t="str">
        <x:v>SmartLife Plus</x:v>
      </x:c>
      <x:c r="F2371" s="24" t="str">
        <x:v>PhotoFusion X</x:v>
      </x:c>
      <x:c r="G2371" s="24" t="str">
        <x:v>1.5</x:v>
      </x:c>
      <x:c r="H2371" s="24" t="str">
        <x:v>1.50</x:v>
      </x:c>
      <x:c r="I2371" s="24" t="str">
        <x:v>DuraVision Gold UV</x:v>
      </x:c>
      <x:c r="J2371" s="40" t="n">
        <x:v>7700</x:v>
      </x:c>
      <x:c r="K2371" s="24" t="str">
        <x:v>-6.00 a +5.50</x:v>
      </x:c>
      <x:c r="L2371" s="24" t="str">
        <x:v>-4.00</x:v>
      </x:c>
      <x:c r="M2371" s="24" t="str">
        <x:v>0.75 a 3.00</x:v>
      </x:c>
      <x:c r="N2371" s="24" t="str">
        <x:v>75</x:v>
      </x:c>
      <x:c r="O2371" s="24"/>
      <x:c r="P2371" s="24"/>
      <x:c r="Q2371" s="24" t="str">
        <x:v>DISPONÍVEL</x:v>
      </x:c>
      <x:c r="R2371" s="24" t="str">
        <x:v>Programa de Parcerias ZEISS</x:v>
      </x:c>
      <x:c r="S2371" s="24" t="n">
        <x:v>39</x:v>
      </x:c>
      <x:c r="T2371" s="24" t="str">
        <x:v>tabela_zeiss.pdf</x:v>
      </x:c>
      <x:c r="U2371" s="24" t="str">
        <x:v>ZEISS|Progressiva|Surfaçada|SmartLife Plus|PhotoFusion X|1.5|1.50|DuraVision Gold UV|-6.00 a +5.50|-4.00|0.75 a 3.00|75|||39</x:v>
      </x:c>
    </x:row>
    <x:row r="2372">
      <x:c r="A2372" s="24" t="str">
        <x:v>ZS-B91EC4ABF156</x:v>
      </x:c>
      <x:c r="B2372" s="24" t="str">
        <x:v>ZEISS</x:v>
      </x:c>
      <x:c r="C2372" s="24" t="str">
        <x:v>Progressiva</x:v>
      </x:c>
      <x:c r="D2372" s="24" t="str">
        <x:v>Surfaçada</x:v>
      </x:c>
      <x:c r="E2372" s="24" t="str">
        <x:v>SmartLife Plus</x:v>
      </x:c>
      <x:c r="F2372" s="24" t="str">
        <x:v>PhotoFusion X</x:v>
      </x:c>
      <x:c r="G2372" s="24" t="str">
        <x:v>1.5</x:v>
      </x:c>
      <x:c r="H2372" s="24" t="str">
        <x:v>1.50</x:v>
      </x:c>
      <x:c r="I2372" s="24" t="str">
        <x:v>DURAVISION® ANTIVÍRUS PLATINUM UV</x:v>
      </x:c>
      <x:c r="J2372" s="40" t="n">
        <x:v>7560</x:v>
      </x:c>
      <x:c r="K2372" s="24" t="str">
        <x:v>-6.00 a +5.50</x:v>
      </x:c>
      <x:c r="L2372" s="24" t="str">
        <x:v>-4.00</x:v>
      </x:c>
      <x:c r="M2372" s="24" t="str">
        <x:v>0.75 a 3.00</x:v>
      </x:c>
      <x:c r="N2372" s="24" t="str">
        <x:v>75</x:v>
      </x:c>
      <x:c r="O2372" s="24"/>
      <x:c r="P2372" s="24"/>
      <x:c r="Q2372" s="24" t="str">
        <x:v>DISPONÍVEL</x:v>
      </x:c>
      <x:c r="R2372" s="24" t="str">
        <x:v>Programa de Parcerias ZEISS</x:v>
      </x:c>
      <x:c r="S2372" s="24" t="n">
        <x:v>39</x:v>
      </x:c>
      <x:c r="T2372" s="24" t="str">
        <x:v>tabela_zeiss.pdf</x:v>
      </x:c>
      <x:c r="U2372" s="24" t="str">
        <x:v>ZEISS|Progressiva|Surfaçada|SmartLife Plus|PhotoFusion X|1.5|1.50|DURAVISION® ANTIVÍRUS PLATINUM UV|-6.00 a +5.50|-4.00|0.75 a 3.00|75|||39</x:v>
      </x:c>
    </x:row>
    <x:row r="2373">
      <x:c r="A2373" s="24" t="str">
        <x:v>ZS-50C0A29FB86C</x:v>
      </x:c>
      <x:c r="B2373" s="24" t="str">
        <x:v>ZEISS</x:v>
      </x:c>
      <x:c r="C2373" s="24" t="str">
        <x:v>Progressiva</x:v>
      </x:c>
      <x:c r="D2373" s="24" t="str">
        <x:v>Surfaçada</x:v>
      </x:c>
      <x:c r="E2373" s="24" t="str">
        <x:v>SmartLife Plus</x:v>
      </x:c>
      <x:c r="F2373" s="24" t="str">
        <x:v>PhotoFusion X</x:v>
      </x:c>
      <x:c r="G2373" s="24" t="str">
        <x:v>1.5</x:v>
      </x:c>
      <x:c r="H2373" s="24" t="str">
        <x:v>1.50</x:v>
      </x:c>
      <x:c r="I2373" s="24" t="str">
        <x:v>DuraVision Platinum UV</x:v>
      </x:c>
      <x:c r="J2373" s="40" t="n">
        <x:v>7560</x:v>
      </x:c>
      <x:c r="K2373" s="24" t="str">
        <x:v>-6.00 a +5.50</x:v>
      </x:c>
      <x:c r="L2373" s="24" t="str">
        <x:v>-4.00</x:v>
      </x:c>
      <x:c r="M2373" s="24" t="str">
        <x:v>0.75 a 3.00</x:v>
      </x:c>
      <x:c r="N2373" s="24" t="str">
        <x:v>75</x:v>
      </x:c>
      <x:c r="O2373" s="24"/>
      <x:c r="P2373" s="24"/>
      <x:c r="Q2373" s="24" t="str">
        <x:v>DISPONÍVEL</x:v>
      </x:c>
      <x:c r="R2373" s="24" t="str">
        <x:v>Programa de Parcerias ZEISS</x:v>
      </x:c>
      <x:c r="S2373" s="24" t="n">
        <x:v>39</x:v>
      </x:c>
      <x:c r="T2373" s="24" t="str">
        <x:v>tabela_zeiss.pdf</x:v>
      </x:c>
      <x:c r="U2373" s="24" t="str">
        <x:v>ZEISS|Progressiva|Surfaçada|SmartLife Plus|PhotoFusion X|1.5|1.50|DuraVision Platinum UV|-6.00 a +5.50|-4.00|0.75 a 3.00|75|||39</x:v>
      </x:c>
    </x:row>
    <x:row r="2374">
      <x:c r="A2374" s="24" t="str">
        <x:v>ZS-19E117055294</x:v>
      </x:c>
      <x:c r="B2374" s="24" t="str">
        <x:v>ZEISS</x:v>
      </x:c>
      <x:c r="C2374" s="24" t="str">
        <x:v>Progressiva</x:v>
      </x:c>
      <x:c r="D2374" s="24" t="str">
        <x:v>Surfaçada</x:v>
      </x:c>
      <x:c r="E2374" s="24" t="str">
        <x:v>SmartLife Plus</x:v>
      </x:c>
      <x:c r="F2374" s="24" t="str">
        <x:v>PhotoFusion X</x:v>
      </x:c>
      <x:c r="G2374" s="24" t="str">
        <x:v>1.5</x:v>
      </x:c>
      <x:c r="H2374" s="24" t="str">
        <x:v>1.50</x:v>
      </x:c>
      <x:c r="I2374" s="24" t="str">
        <x:v>DuraVision Silver UV</x:v>
      </x:c>
      <x:c r="J2374" s="40" t="n">
        <x:v>7300</x:v>
      </x:c>
      <x:c r="K2374" s="24" t="str">
        <x:v>-6.00 a +5.50</x:v>
      </x:c>
      <x:c r="L2374" s="24" t="str">
        <x:v>-4.00</x:v>
      </x:c>
      <x:c r="M2374" s="24" t="str">
        <x:v>0.75 a 3.00</x:v>
      </x:c>
      <x:c r="N2374" s="24" t="str">
        <x:v>75</x:v>
      </x:c>
      <x:c r="O2374" s="24"/>
      <x:c r="P2374" s="24"/>
      <x:c r="Q2374" s="24" t="str">
        <x:v>DISPONÍVEL</x:v>
      </x:c>
      <x:c r="R2374" s="24" t="str">
        <x:v>Programa de Parcerias ZEISS</x:v>
      </x:c>
      <x:c r="S2374" s="24" t="n">
        <x:v>39</x:v>
      </x:c>
      <x:c r="T2374" s="24" t="str">
        <x:v>tabela_zeiss.pdf</x:v>
      </x:c>
      <x:c r="U2374" s="24" t="str">
        <x:v>ZEISS|Progressiva|Surfaçada|SmartLife Plus|PhotoFusion X|1.5|1.50|DuraVision Silver UV|-6.00 a +5.50|-4.00|0.75 a 3.00|75|||39</x:v>
      </x:c>
    </x:row>
    <x:row r="2375">
      <x:c r="A2375" s="24" t="str">
        <x:v>ZS-C813723936D4</x:v>
      </x:c>
      <x:c r="B2375" s="24" t="str">
        <x:v>ZEISS</x:v>
      </x:c>
      <x:c r="C2375" s="24" t="str">
        <x:v>Progressiva</x:v>
      </x:c>
      <x:c r="D2375" s="24" t="str">
        <x:v>Surfaçada</x:v>
      </x:c>
      <x:c r="E2375" s="24" t="str">
        <x:v>SmartLife Plus</x:v>
      </x:c>
      <x:c r="F2375" s="24" t="str">
        <x:v>PhotoFusion X</x:v>
      </x:c>
      <x:c r="G2375" s="24" t="str">
        <x:v>1.5</x:v>
      </x:c>
      <x:c r="H2375" s="24" t="str">
        <x:v>1.50</x:v>
      </x:c>
      <x:c r="I2375" s="24" t="str">
        <x:v>DuraVision Chrome UV</x:v>
      </x:c>
      <x:c r="J2375" s="40" t="n">
        <x:v>6810</x:v>
      </x:c>
      <x:c r="K2375" s="24" t="str">
        <x:v>-6.00 a +5.50</x:v>
      </x:c>
      <x:c r="L2375" s="24" t="str">
        <x:v>-4.00</x:v>
      </x:c>
      <x:c r="M2375" s="24" t="str">
        <x:v>0.75 a 3.00</x:v>
      </x:c>
      <x:c r="N2375" s="24" t="str">
        <x:v>75</x:v>
      </x:c>
      <x:c r="O2375" s="24"/>
      <x:c r="P2375" s="24"/>
      <x:c r="Q2375" s="24" t="str">
        <x:v>DISPONÍVEL</x:v>
      </x:c>
      <x:c r="R2375" s="24" t="str">
        <x:v>Programa de Parcerias ZEISS</x:v>
      </x:c>
      <x:c r="S2375" s="24" t="n">
        <x:v>39</x:v>
      </x:c>
      <x:c r="T2375" s="24" t="str">
        <x:v>tabela_zeiss.pdf</x:v>
      </x:c>
      <x:c r="U2375" s="24" t="str">
        <x:v>ZEISS|Progressiva|Surfaçada|SmartLife Plus|PhotoFusion X|1.5|1.50|DuraVision Chrome UV|-6.00 a +5.50|-4.00|0.75 a 3.00|75|||39</x:v>
      </x:c>
    </x:row>
    <x:row r="2376">
      <x:c r="A2376" s="24" t="str">
        <x:v>ZS-37A8F874DB9C</x:v>
      </x:c>
      <x:c r="B2376" s="24" t="str">
        <x:v>ZEISS</x:v>
      </x:c>
      <x:c r="C2376" s="24" t="str">
        <x:v>Progressiva</x:v>
      </x:c>
      <x:c r="D2376" s="24" t="str">
        <x:v>Surfaçada</x:v>
      </x:c>
      <x:c r="E2376" s="24" t="str">
        <x:v>SmartLife Plus</x:v>
      </x:c>
      <x:c r="F2376" s="24" t="str">
        <x:v>PhotoFusion X</x:v>
      </x:c>
      <x:c r="G2376" s="24" t="str">
        <x:v>Poli</x:v>
      </x:c>
      <x:c r="H2376" s="24"/>
      <x:c r="I2376" s="24" t="str">
        <x:v>DuraVision Gold UV</x:v>
      </x:c>
      <x:c r="J2376" s="40" t="n">
        <x:v>8290</x:v>
      </x:c>
      <x:c r="K2376" s="24" t="str">
        <x:v>-10.00 a +6.00</x:v>
      </x:c>
      <x:c r="L2376" s="24" t="str">
        <x:v>-6.00</x:v>
      </x:c>
      <x:c r="M2376" s="24" t="str">
        <x:v>0.75 a 3.00</x:v>
      </x:c>
      <x:c r="N2376" s="24" t="str">
        <x:v>70</x:v>
      </x:c>
      <x:c r="O2376" s="24"/>
      <x:c r="P2376" s="24"/>
      <x:c r="Q2376" s="24" t="str">
        <x:v>DISPONÍVEL</x:v>
      </x:c>
      <x:c r="R2376" s="24" t="str">
        <x:v>Programa de Parcerias ZEISS</x:v>
      </x:c>
      <x:c r="S2376" s="24" t="n">
        <x:v>39</x:v>
      </x:c>
      <x:c r="T2376" s="24" t="str">
        <x:v>tabela_zeiss.pdf</x:v>
      </x:c>
      <x:c r="U2376" s="24" t="str">
        <x:v>ZEISS|Progressiva|Surfaçada|SmartLife Plus|PhotoFusion X|Poli||DuraVision Gold UV|-10.00 a +6.00|-6.00|0.75 a 3.00|70|||39</x:v>
      </x:c>
    </x:row>
    <x:row r="2377">
      <x:c r="A2377" s="24" t="str">
        <x:v>ZS-F94153B5DC6C</x:v>
      </x:c>
      <x:c r="B2377" s="24" t="str">
        <x:v>ZEISS</x:v>
      </x:c>
      <x:c r="C2377" s="24" t="str">
        <x:v>Progressiva</x:v>
      </x:c>
      <x:c r="D2377" s="24" t="str">
        <x:v>Surfaçada</x:v>
      </x:c>
      <x:c r="E2377" s="24" t="str">
        <x:v>SmartLife Plus</x:v>
      </x:c>
      <x:c r="F2377" s="24" t="str">
        <x:v>PhotoFusion X</x:v>
      </x:c>
      <x:c r="G2377" s="24" t="str">
        <x:v>Poli</x:v>
      </x:c>
      <x:c r="H2377" s="24"/>
      <x:c r="I2377" s="24" t="str">
        <x:v>DuraVision Platinum UV</x:v>
      </x:c>
      <x:c r="J2377" s="40" t="n">
        <x:v>8150</x:v>
      </x:c>
      <x:c r="K2377" s="24" t="str">
        <x:v>-10.00 a +6.00</x:v>
      </x:c>
      <x:c r="L2377" s="24" t="str">
        <x:v>-6.00</x:v>
      </x:c>
      <x:c r="M2377" s="24" t="str">
        <x:v>0.75 a 3.00</x:v>
      </x:c>
      <x:c r="N2377" s="24" t="str">
        <x:v>70</x:v>
      </x:c>
      <x:c r="O2377" s="24"/>
      <x:c r="P2377" s="24"/>
      <x:c r="Q2377" s="24" t="str">
        <x:v>DISPONÍVEL</x:v>
      </x:c>
      <x:c r="R2377" s="24" t="str">
        <x:v>Programa de Parcerias ZEISS</x:v>
      </x:c>
      <x:c r="S2377" s="24" t="n">
        <x:v>39</x:v>
      </x:c>
      <x:c r="T2377" s="24" t="str">
        <x:v>tabela_zeiss.pdf</x:v>
      </x:c>
      <x:c r="U2377" s="24" t="str">
        <x:v>ZEISS|Progressiva|Surfaçada|SmartLife Plus|PhotoFusion X|Poli||DuraVision Platinum UV|-10.00 a +6.00|-6.00|0.75 a 3.00|70|||39</x:v>
      </x:c>
    </x:row>
    <x:row r="2378">
      <x:c r="A2378" s="24" t="str">
        <x:v>ZS-559EE3DF2E2C</x:v>
      </x:c>
      <x:c r="B2378" s="24" t="str">
        <x:v>ZEISS</x:v>
      </x:c>
      <x:c r="C2378" s="24" t="str">
        <x:v>Progressiva</x:v>
      </x:c>
      <x:c r="D2378" s="24" t="str">
        <x:v>Surfaçada</x:v>
      </x:c>
      <x:c r="E2378" s="24" t="str">
        <x:v>SmartLife Plus</x:v>
      </x:c>
      <x:c r="F2378" s="24" t="str">
        <x:v>PhotoFusion X</x:v>
      </x:c>
      <x:c r="G2378" s="24" t="str">
        <x:v>Poli</x:v>
      </x:c>
      <x:c r="H2378" s="24"/>
      <x:c r="I2378" s="24" t="str">
        <x:v>DuraVision Silver UV</x:v>
      </x:c>
      <x:c r="J2378" s="40" t="n">
        <x:v>7890</x:v>
      </x:c>
      <x:c r="K2378" s="24" t="str">
        <x:v>-10.00 a +6.00</x:v>
      </x:c>
      <x:c r="L2378" s="24" t="str">
        <x:v>-6.00</x:v>
      </x:c>
      <x:c r="M2378" s="24" t="str">
        <x:v>0.75 a 3.00</x:v>
      </x:c>
      <x:c r="N2378" s="24" t="str">
        <x:v>70</x:v>
      </x:c>
      <x:c r="O2378" s="24"/>
      <x:c r="P2378" s="24"/>
      <x:c r="Q2378" s="24" t="str">
        <x:v>DISPONÍVEL</x:v>
      </x:c>
      <x:c r="R2378" s="24" t="str">
        <x:v>Programa de Parcerias ZEISS</x:v>
      </x:c>
      <x:c r="S2378" s="24" t="n">
        <x:v>39</x:v>
      </x:c>
      <x:c r="T2378" s="24" t="str">
        <x:v>tabela_zeiss.pdf</x:v>
      </x:c>
      <x:c r="U2378" s="24" t="str">
        <x:v>ZEISS|Progressiva|Surfaçada|SmartLife Plus|PhotoFusion X|Poli||DuraVision Silver UV|-10.00 a +6.00|-6.00|0.75 a 3.00|70|||39</x:v>
      </x:c>
    </x:row>
    <x:row r="2379">
      <x:c r="A2379" s="24" t="str">
        <x:v>ZS-18B6814612F4</x:v>
      </x:c>
      <x:c r="B2379" s="24" t="str">
        <x:v>ZEISS</x:v>
      </x:c>
      <x:c r="C2379" s="24" t="str">
        <x:v>Progressiva</x:v>
      </x:c>
      <x:c r="D2379" s="24" t="str">
        <x:v>Surfaçada</x:v>
      </x:c>
      <x:c r="E2379" s="24" t="str">
        <x:v>SmartLife Plus</x:v>
      </x:c>
      <x:c r="F2379" s="24" t="str">
        <x:v>PhotoFusion X</x:v>
      </x:c>
      <x:c r="G2379" s="24" t="str">
        <x:v>Poli</x:v>
      </x:c>
      <x:c r="H2379" s="24"/>
      <x:c r="I2379" s="24" t="str">
        <x:v>DuraVision Chrome UV</x:v>
      </x:c>
      <x:c r="J2379" s="40" t="n">
        <x:v>7400</x:v>
      </x:c>
      <x:c r="K2379" s="24" t="str">
        <x:v>-10.00 a +6.00</x:v>
      </x:c>
      <x:c r="L2379" s="24" t="str">
        <x:v>-6.00</x:v>
      </x:c>
      <x:c r="M2379" s="24" t="str">
        <x:v>0.75 a 3.00</x:v>
      </x:c>
      <x:c r="N2379" s="24" t="str">
        <x:v>70</x:v>
      </x:c>
      <x:c r="O2379" s="24"/>
      <x:c r="P2379" s="24"/>
      <x:c r="Q2379" s="24" t="str">
        <x:v>DISPONÍVEL</x:v>
      </x:c>
      <x:c r="R2379" s="24" t="str">
        <x:v>Programa de Parcerias ZEISS</x:v>
      </x:c>
      <x:c r="S2379" s="24" t="n">
        <x:v>39</x:v>
      </x:c>
      <x:c r="T2379" s="24" t="str">
        <x:v>tabela_zeiss.pdf</x:v>
      </x:c>
      <x:c r="U2379" s="24" t="str">
        <x:v>ZEISS|Progressiva|Surfaçada|SmartLife Plus|PhotoFusion X|Poli||DuraVision Chrome UV|-10.00 a +6.00|-6.00|0.75 a 3.00|70|||39</x:v>
      </x:c>
    </x:row>
    <x:row r="2380">
      <x:c r="A2380" s="24" t="str">
        <x:v>ZS-6D27D76F005C</x:v>
      </x:c>
      <x:c r="B2380" s="24" t="str">
        <x:v>ZEISS</x:v>
      </x:c>
      <x:c r="C2380" s="24" t="str">
        <x:v>Progressiva</x:v>
      </x:c>
      <x:c r="D2380" s="24" t="str">
        <x:v>Surfaçada</x:v>
      </x:c>
      <x:c r="E2380" s="24" t="str">
        <x:v>SmartLife Plus</x:v>
      </x:c>
      <x:c r="F2380" s="24" t="str">
        <x:v>PhotoFusion X</x:v>
      </x:c>
      <x:c r="G2380" s="24" t="str">
        <x:v>1.6</x:v>
      </x:c>
      <x:c r="H2380" s="24" t="str">
        <x:v>1.60</x:v>
      </x:c>
      <x:c r="I2380" s="24" t="str">
        <x:v>DuraVision Gold UV</x:v>
      </x:c>
      <x:c r="J2380" s="40" t="n">
        <x:v>8950</x:v>
      </x:c>
      <x:c r="K2380" s="24" t="str">
        <x:v>-7.25 a +6.00</x:v>
      </x:c>
      <x:c r="L2380" s="24" t="str">
        <x:v>-6.00</x:v>
      </x:c>
      <x:c r="M2380" s="24" t="str">
        <x:v>0.75 a 3.50</x:v>
      </x:c>
      <x:c r="N2380" s="24" t="str">
        <x:v>75</x:v>
      </x:c>
      <x:c r="O2380" s="24"/>
      <x:c r="P2380" s="24"/>
      <x:c r="Q2380" s="24" t="str">
        <x:v>DISPONÍVEL</x:v>
      </x:c>
      <x:c r="R2380" s="24" t="str">
        <x:v>Programa de Parcerias ZEISS</x:v>
      </x:c>
      <x:c r="S2380" s="24" t="n">
        <x:v>39</x:v>
      </x:c>
      <x:c r="T2380" s="24" t="str">
        <x:v>tabela_zeiss.pdf</x:v>
      </x:c>
      <x:c r="U2380" s="24" t="str">
        <x:v>ZEISS|Progressiva|Surfaçada|SmartLife Plus|PhotoFusion X|1.6|1.60|DuraVision Gold UV|-7.25 a +6.00|-6.00|0.75 a 3.50|75|||39</x:v>
      </x:c>
    </x:row>
    <x:row r="2381">
      <x:c r="A2381" s="24" t="str">
        <x:v>ZS-97D322B049CF</x:v>
      </x:c>
      <x:c r="B2381" s="24" t="str">
        <x:v>ZEISS</x:v>
      </x:c>
      <x:c r="C2381" s="24" t="str">
        <x:v>Progressiva</x:v>
      </x:c>
      <x:c r="D2381" s="24" t="str">
        <x:v>Surfaçada</x:v>
      </x:c>
      <x:c r="E2381" s="24" t="str">
        <x:v>SmartLife Plus</x:v>
      </x:c>
      <x:c r="F2381" s="24" t="str">
        <x:v>PhotoFusion X</x:v>
      </x:c>
      <x:c r="G2381" s="24" t="str">
        <x:v>1.6</x:v>
      </x:c>
      <x:c r="H2381" s="24" t="str">
        <x:v>1.60</x:v>
      </x:c>
      <x:c r="I2381" s="24" t="str">
        <x:v>DURAVISION® ANTIVÍRUS PLATINUM UV</x:v>
      </x:c>
      <x:c r="J2381" s="40" t="n">
        <x:v>8810</x:v>
      </x:c>
      <x:c r="K2381" s="24" t="str">
        <x:v>-7.25 a +6.00</x:v>
      </x:c>
      <x:c r="L2381" s="24" t="str">
        <x:v>-6.00</x:v>
      </x:c>
      <x:c r="M2381" s="24" t="str">
        <x:v>0.75 a 3.50</x:v>
      </x:c>
      <x:c r="N2381" s="24" t="str">
        <x:v>75</x:v>
      </x:c>
      <x:c r="O2381" s="24"/>
      <x:c r="P2381" s="24"/>
      <x:c r="Q2381" s="24" t="str">
        <x:v>DISPONÍVEL</x:v>
      </x:c>
      <x:c r="R2381" s="24" t="str">
        <x:v>Programa de Parcerias ZEISS</x:v>
      </x:c>
      <x:c r="S2381" s="24" t="n">
        <x:v>39</x:v>
      </x:c>
      <x:c r="T2381" s="24" t="str">
        <x:v>tabela_zeiss.pdf</x:v>
      </x:c>
      <x:c r="U2381" s="24" t="str">
        <x:v>ZEISS|Progressiva|Surfaçada|SmartLife Plus|PhotoFusion X|1.6|1.60|DURAVISION® ANTIVÍRUS PLATINUM UV|-7.25 a +6.00|-6.00|0.75 a 3.50|75|||39</x:v>
      </x:c>
    </x:row>
    <x:row r="2382">
      <x:c r="A2382" s="24" t="str">
        <x:v>ZS-47A34FA18179</x:v>
      </x:c>
      <x:c r="B2382" s="24" t="str">
        <x:v>ZEISS</x:v>
      </x:c>
      <x:c r="C2382" s="24" t="str">
        <x:v>Progressiva</x:v>
      </x:c>
      <x:c r="D2382" s="24" t="str">
        <x:v>Surfaçada</x:v>
      </x:c>
      <x:c r="E2382" s="24" t="str">
        <x:v>SmartLife Plus</x:v>
      </x:c>
      <x:c r="F2382" s="24" t="str">
        <x:v>PhotoFusion X</x:v>
      </x:c>
      <x:c r="G2382" s="24" t="str">
        <x:v>1.6</x:v>
      </x:c>
      <x:c r="H2382" s="24" t="str">
        <x:v>1.60</x:v>
      </x:c>
      <x:c r="I2382" s="24" t="str">
        <x:v>DuraVision Platinum UV</x:v>
      </x:c>
      <x:c r="J2382" s="40" t="n">
        <x:v>8810</x:v>
      </x:c>
      <x:c r="K2382" s="24" t="str">
        <x:v>-7.25 a +6.00</x:v>
      </x:c>
      <x:c r="L2382" s="24" t="str">
        <x:v>-6.00</x:v>
      </x:c>
      <x:c r="M2382" s="24" t="str">
        <x:v>0.75 a 3.50</x:v>
      </x:c>
      <x:c r="N2382" s="24" t="str">
        <x:v>75</x:v>
      </x:c>
      <x:c r="O2382" s="24"/>
      <x:c r="P2382" s="24"/>
      <x:c r="Q2382" s="24" t="str">
        <x:v>DISPONÍVEL</x:v>
      </x:c>
      <x:c r="R2382" s="24" t="str">
        <x:v>Programa de Parcerias ZEISS</x:v>
      </x:c>
      <x:c r="S2382" s="24" t="n">
        <x:v>39</x:v>
      </x:c>
      <x:c r="T2382" s="24" t="str">
        <x:v>tabela_zeiss.pdf</x:v>
      </x:c>
      <x:c r="U2382" s="24" t="str">
        <x:v>ZEISS|Progressiva|Surfaçada|SmartLife Plus|PhotoFusion X|1.6|1.60|DuraVision Platinum UV|-7.25 a +6.00|-6.00|0.75 a 3.50|75|||39</x:v>
      </x:c>
    </x:row>
    <x:row r="2383">
      <x:c r="A2383" s="24" t="str">
        <x:v>ZS-107E8E9ACFCD</x:v>
      </x:c>
      <x:c r="B2383" s="24" t="str">
        <x:v>ZEISS</x:v>
      </x:c>
      <x:c r="C2383" s="24" t="str">
        <x:v>Progressiva</x:v>
      </x:c>
      <x:c r="D2383" s="24" t="str">
        <x:v>Surfaçada</x:v>
      </x:c>
      <x:c r="E2383" s="24" t="str">
        <x:v>SmartLife Plus</x:v>
      </x:c>
      <x:c r="F2383" s="24" t="str">
        <x:v>PhotoFusion X</x:v>
      </x:c>
      <x:c r="G2383" s="24" t="str">
        <x:v>1.6</x:v>
      </x:c>
      <x:c r="H2383" s="24" t="str">
        <x:v>1.60</x:v>
      </x:c>
      <x:c r="I2383" s="24" t="str">
        <x:v>DuraVision Silver UV</x:v>
      </x:c>
      <x:c r="J2383" s="40" t="n">
        <x:v>8550</x:v>
      </x:c>
      <x:c r="K2383" s="24" t="str">
        <x:v>-7.25 a +6.00</x:v>
      </x:c>
      <x:c r="L2383" s="24" t="str">
        <x:v>-6.00</x:v>
      </x:c>
      <x:c r="M2383" s="24" t="str">
        <x:v>0.75 a 3.50</x:v>
      </x:c>
      <x:c r="N2383" s="24" t="str">
        <x:v>75</x:v>
      </x:c>
      <x:c r="O2383" s="24"/>
      <x:c r="P2383" s="24"/>
      <x:c r="Q2383" s="24" t="str">
        <x:v>DISPONÍVEL</x:v>
      </x:c>
      <x:c r="R2383" s="24" t="str">
        <x:v>Programa de Parcerias ZEISS</x:v>
      </x:c>
      <x:c r="S2383" s="24" t="n">
        <x:v>39</x:v>
      </x:c>
      <x:c r="T2383" s="24" t="str">
        <x:v>tabela_zeiss.pdf</x:v>
      </x:c>
      <x:c r="U2383" s="24" t="str">
        <x:v>ZEISS|Progressiva|Surfaçada|SmartLife Plus|PhotoFusion X|1.6|1.60|DuraVision Silver UV|-7.25 a +6.00|-6.00|0.75 a 3.50|75|||39</x:v>
      </x:c>
    </x:row>
    <x:row r="2384">
      <x:c r="A2384" s="24" t="str">
        <x:v>ZS-05F4D5559745</x:v>
      </x:c>
      <x:c r="B2384" s="24" t="str">
        <x:v>ZEISS</x:v>
      </x:c>
      <x:c r="C2384" s="24" t="str">
        <x:v>Progressiva</x:v>
      </x:c>
      <x:c r="D2384" s="24" t="str">
        <x:v>Surfaçada</x:v>
      </x:c>
      <x:c r="E2384" s="24" t="str">
        <x:v>SmartLife Plus</x:v>
      </x:c>
      <x:c r="F2384" s="24" t="str">
        <x:v>PhotoFusion X</x:v>
      </x:c>
      <x:c r="G2384" s="24" t="str">
        <x:v>1.6</x:v>
      </x:c>
      <x:c r="H2384" s="24" t="str">
        <x:v>1.60</x:v>
      </x:c>
      <x:c r="I2384" s="24" t="str">
        <x:v>DuraVision Chrome UV</x:v>
      </x:c>
      <x:c r="J2384" s="40" t="n">
        <x:v>8060</x:v>
      </x:c>
      <x:c r="K2384" s="24" t="str">
        <x:v>-7.25 a +6.00</x:v>
      </x:c>
      <x:c r="L2384" s="24" t="str">
        <x:v>-6.00</x:v>
      </x:c>
      <x:c r="M2384" s="24" t="str">
        <x:v>0.75 a 3.50</x:v>
      </x:c>
      <x:c r="N2384" s="24" t="str">
        <x:v>75</x:v>
      </x:c>
      <x:c r="O2384" s="24"/>
      <x:c r="P2384" s="24"/>
      <x:c r="Q2384" s="24" t="str">
        <x:v>DISPONÍVEL</x:v>
      </x:c>
      <x:c r="R2384" s="24" t="str">
        <x:v>Programa de Parcerias ZEISS</x:v>
      </x:c>
      <x:c r="S2384" s="24" t="n">
        <x:v>39</x:v>
      </x:c>
      <x:c r="T2384" s="24" t="str">
        <x:v>tabela_zeiss.pdf</x:v>
      </x:c>
      <x:c r="U2384" s="24" t="str">
        <x:v>ZEISS|Progressiva|Surfaçada|SmartLife Plus|PhotoFusion X|1.6|1.60|DuraVision Chrome UV|-7.25 a +6.00|-6.00|0.75 a 3.50|75|||39</x:v>
      </x:c>
    </x:row>
    <x:row r="2385">
      <x:c r="A2385" s="24" t="str">
        <x:v>ZS-4C6F2B2E3012</x:v>
      </x:c>
      <x:c r="B2385" s="24" t="str">
        <x:v>ZEISS</x:v>
      </x:c>
      <x:c r="C2385" s="24" t="str">
        <x:v>Progressiva</x:v>
      </x:c>
      <x:c r="D2385" s="24" t="str">
        <x:v>Surfaçada</x:v>
      </x:c>
      <x:c r="E2385" s="24" t="str">
        <x:v>SmartLife Plus</x:v>
      </x:c>
      <x:c r="F2385" s="24" t="str">
        <x:v>PhotoFusion X</x:v>
      </x:c>
      <x:c r="G2385" s="24" t="str">
        <x:v>1.67</x:v>
      </x:c>
      <x:c r="H2385" s="24" t="str">
        <x:v>1.67</x:v>
      </x:c>
      <x:c r="I2385" s="24" t="str">
        <x:v>DuraVision Gold UV</x:v>
      </x:c>
      <x:c r="J2385" s="40" t="n">
        <x:v>10590</x:v>
      </x:c>
      <x:c r="K2385" s="24" t="str">
        <x:v>-8.00 a +8.00</x:v>
      </x:c>
      <x:c r="L2385" s="24" t="str">
        <x:v>-4.00</x:v>
      </x:c>
      <x:c r="M2385" s="24" t="str">
        <x:v>0.75 a 3.00</x:v>
      </x:c>
      <x:c r="N2385" s="24" t="str">
        <x:v>70</x:v>
      </x:c>
      <x:c r="O2385" s="24"/>
      <x:c r="P2385" s="24"/>
      <x:c r="Q2385" s="24" t="str">
        <x:v>DISPONÍVEL</x:v>
      </x:c>
      <x:c r="R2385" s="24" t="str">
        <x:v>Programa de Parcerias ZEISS</x:v>
      </x:c>
      <x:c r="S2385" s="24" t="n">
        <x:v>39</x:v>
      </x:c>
      <x:c r="T2385" s="24" t="str">
        <x:v>tabela_zeiss.pdf</x:v>
      </x:c>
      <x:c r="U2385" s="24" t="str">
        <x:v>ZEISS|Progressiva|Surfaçada|SmartLife Plus|PhotoFusion X|1.67|1.67|DuraVision Gold UV|-8.00 a +8.00|-4.00|0.75 a 3.00|70|||39</x:v>
      </x:c>
    </x:row>
    <x:row r="2386">
      <x:c r="A2386" s="24" t="str">
        <x:v>ZS-F428439B5BA4</x:v>
      </x:c>
      <x:c r="B2386" s="24" t="str">
        <x:v>ZEISS</x:v>
      </x:c>
      <x:c r="C2386" s="24" t="str">
        <x:v>Progressiva</x:v>
      </x:c>
      <x:c r="D2386" s="24" t="str">
        <x:v>Surfaçada</x:v>
      </x:c>
      <x:c r="E2386" s="24" t="str">
        <x:v>SmartLife Plus</x:v>
      </x:c>
      <x:c r="F2386" s="24" t="str">
        <x:v>PhotoFusion X</x:v>
      </x:c>
      <x:c r="G2386" s="24" t="str">
        <x:v>1.67</x:v>
      </x:c>
      <x:c r="H2386" s="24" t="str">
        <x:v>1.67</x:v>
      </x:c>
      <x:c r="I2386" s="24" t="str">
        <x:v>DURAVISION® ANTIVÍRUS PLATINUM UV</x:v>
      </x:c>
      <x:c r="J2386" s="40" t="n">
        <x:v>10450</x:v>
      </x:c>
      <x:c r="K2386" s="24" t="str">
        <x:v>-8.00 a +8.00</x:v>
      </x:c>
      <x:c r="L2386" s="24" t="str">
        <x:v>-4.00</x:v>
      </x:c>
      <x:c r="M2386" s="24" t="str">
        <x:v>0.75 a 3.00</x:v>
      </x:c>
      <x:c r="N2386" s="24" t="str">
        <x:v>70</x:v>
      </x:c>
      <x:c r="O2386" s="24"/>
      <x:c r="P2386" s="24"/>
      <x:c r="Q2386" s="24" t="str">
        <x:v>DISPONÍVEL</x:v>
      </x:c>
      <x:c r="R2386" s="24" t="str">
        <x:v>Programa de Parcerias ZEISS</x:v>
      </x:c>
      <x:c r="S2386" s="24" t="n">
        <x:v>39</x:v>
      </x:c>
      <x:c r="T2386" s="24" t="str">
        <x:v>tabela_zeiss.pdf</x:v>
      </x:c>
      <x:c r="U2386" s="24" t="str">
        <x:v>ZEISS|Progressiva|Surfaçada|SmartLife Plus|PhotoFusion X|1.67|1.67|DURAVISION® ANTIVÍRUS PLATINUM UV|-8.00 a +8.00|-4.00|0.75 a 3.00|70|||39</x:v>
      </x:c>
    </x:row>
    <x:row r="2387">
      <x:c r="A2387" s="24" t="str">
        <x:v>ZS-F83B37DC9971</x:v>
      </x:c>
      <x:c r="B2387" s="24" t="str">
        <x:v>ZEISS</x:v>
      </x:c>
      <x:c r="C2387" s="24" t="str">
        <x:v>Progressiva</x:v>
      </x:c>
      <x:c r="D2387" s="24" t="str">
        <x:v>Surfaçada</x:v>
      </x:c>
      <x:c r="E2387" s="24" t="str">
        <x:v>SmartLife Plus</x:v>
      </x:c>
      <x:c r="F2387" s="24" t="str">
        <x:v>PhotoFusion X</x:v>
      </x:c>
      <x:c r="G2387" s="24" t="str">
        <x:v>1.67</x:v>
      </x:c>
      <x:c r="H2387" s="24" t="str">
        <x:v>1.67</x:v>
      </x:c>
      <x:c r="I2387" s="24" t="str">
        <x:v>DuraVision Platinum UV</x:v>
      </x:c>
      <x:c r="J2387" s="40" t="n">
        <x:v>10450</x:v>
      </x:c>
      <x:c r="K2387" s="24" t="str">
        <x:v>-8.00 a +8.00</x:v>
      </x:c>
      <x:c r="L2387" s="24" t="str">
        <x:v>-4.00</x:v>
      </x:c>
      <x:c r="M2387" s="24" t="str">
        <x:v>0.75 a 3.00</x:v>
      </x:c>
      <x:c r="N2387" s="24" t="str">
        <x:v>70</x:v>
      </x:c>
      <x:c r="O2387" s="24"/>
      <x:c r="P2387" s="24"/>
      <x:c r="Q2387" s="24" t="str">
        <x:v>DISPONÍVEL</x:v>
      </x:c>
      <x:c r="R2387" s="24" t="str">
        <x:v>Programa de Parcerias ZEISS</x:v>
      </x:c>
      <x:c r="S2387" s="24" t="n">
        <x:v>39</x:v>
      </x:c>
      <x:c r="T2387" s="24" t="str">
        <x:v>tabela_zeiss.pdf</x:v>
      </x:c>
      <x:c r="U2387" s="24" t="str">
        <x:v>ZEISS|Progressiva|Surfaçada|SmartLife Plus|PhotoFusion X|1.67|1.67|DuraVision Platinum UV|-8.00 a +8.00|-4.00|0.75 a 3.00|70|||39</x:v>
      </x:c>
    </x:row>
    <x:row r="2388">
      <x:c r="A2388" s="24" t="str">
        <x:v>ZS-E2817B82BEAF</x:v>
      </x:c>
      <x:c r="B2388" s="24" t="str">
        <x:v>ZEISS</x:v>
      </x:c>
      <x:c r="C2388" s="24" t="str">
        <x:v>Progressiva</x:v>
      </x:c>
      <x:c r="D2388" s="24" t="str">
        <x:v>Surfaçada</x:v>
      </x:c>
      <x:c r="E2388" s="24" t="str">
        <x:v>SmartLife Plus</x:v>
      </x:c>
      <x:c r="F2388" s="24" t="str">
        <x:v>PhotoFusion X</x:v>
      </x:c>
      <x:c r="G2388" s="24" t="str">
        <x:v>1.67</x:v>
      </x:c>
      <x:c r="H2388" s="24" t="str">
        <x:v>1.67</x:v>
      </x:c>
      <x:c r="I2388" s="24" t="str">
        <x:v>DuraVision Silver UV</x:v>
      </x:c>
      <x:c r="J2388" s="40" t="n">
        <x:v>10190</x:v>
      </x:c>
      <x:c r="K2388" s="24" t="str">
        <x:v>-8.00 a +8.00</x:v>
      </x:c>
      <x:c r="L2388" s="24" t="str">
        <x:v>-4.00</x:v>
      </x:c>
      <x:c r="M2388" s="24" t="str">
        <x:v>0.75 a 3.00</x:v>
      </x:c>
      <x:c r="N2388" s="24" t="str">
        <x:v>70</x:v>
      </x:c>
      <x:c r="O2388" s="24"/>
      <x:c r="P2388" s="24"/>
      <x:c r="Q2388" s="24" t="str">
        <x:v>DISPONÍVEL</x:v>
      </x:c>
      <x:c r="R2388" s="24" t="str">
        <x:v>Programa de Parcerias ZEISS</x:v>
      </x:c>
      <x:c r="S2388" s="24" t="n">
        <x:v>39</x:v>
      </x:c>
      <x:c r="T2388" s="24" t="str">
        <x:v>tabela_zeiss.pdf</x:v>
      </x:c>
      <x:c r="U2388" s="24" t="str">
        <x:v>ZEISS|Progressiva|Surfaçada|SmartLife Plus|PhotoFusion X|1.67|1.67|DuraVision Silver UV|-8.00 a +8.00|-4.00|0.75 a 3.00|70|||39</x:v>
      </x:c>
    </x:row>
    <x:row r="2389">
      <x:c r="A2389" s="24" t="str">
        <x:v>ZS-DA409E3E1E4B</x:v>
      </x:c>
      <x:c r="B2389" s="24" t="str">
        <x:v>ZEISS</x:v>
      </x:c>
      <x:c r="C2389" s="24" t="str">
        <x:v>Progressiva</x:v>
      </x:c>
      <x:c r="D2389" s="24" t="str">
        <x:v>Surfaçada</x:v>
      </x:c>
      <x:c r="E2389" s="24" t="str">
        <x:v>SmartLife Plus</x:v>
      </x:c>
      <x:c r="F2389" s="24" t="str">
        <x:v>PhotoFusion X</x:v>
      </x:c>
      <x:c r="G2389" s="24" t="str">
        <x:v>1.67</x:v>
      </x:c>
      <x:c r="H2389" s="24" t="str">
        <x:v>1.67</x:v>
      </x:c>
      <x:c r="I2389" s="24" t="str">
        <x:v>DuraVision Chrome UV</x:v>
      </x:c>
      <x:c r="J2389" s="40" t="n">
        <x:v>9700</x:v>
      </x:c>
      <x:c r="K2389" s="24" t="str">
        <x:v>-8.00 a +8.00</x:v>
      </x:c>
      <x:c r="L2389" s="24" t="str">
        <x:v>-4.00</x:v>
      </x:c>
      <x:c r="M2389" s="24" t="str">
        <x:v>0.75 a 3.00</x:v>
      </x:c>
      <x:c r="N2389" s="24" t="str">
        <x:v>70</x:v>
      </x:c>
      <x:c r="O2389" s="24"/>
      <x:c r="P2389" s="24"/>
      <x:c r="Q2389" s="24" t="str">
        <x:v>DISPONÍVEL</x:v>
      </x:c>
      <x:c r="R2389" s="24" t="str">
        <x:v>Programa de Parcerias ZEISS</x:v>
      </x:c>
      <x:c r="S2389" s="24" t="n">
        <x:v>39</x:v>
      </x:c>
      <x:c r="T2389" s="24" t="str">
        <x:v>tabela_zeiss.pdf</x:v>
      </x:c>
      <x:c r="U2389" s="24" t="str">
        <x:v>ZEISS|Progressiva|Surfaçada|SmartLife Plus|PhotoFusion X|1.67|1.67|DuraVision Chrome UV|-8.00 a +8.00|-4.00|0.75 a 3.00|70|||39</x:v>
      </x:c>
    </x:row>
    <x:row r="2390">
      <x:c r="A2390" s="24" t="str">
        <x:v>ZS-86B373E38F04</x:v>
      </x:c>
      <x:c r="B2390" s="24" t="str">
        <x:v>ZEISS</x:v>
      </x:c>
      <x:c r="C2390" s="24" t="str">
        <x:v>Progressiva</x:v>
      </x:c>
      <x:c r="D2390" s="24" t="str">
        <x:v>Surfaçada</x:v>
      </x:c>
      <x:c r="E2390" s="24" t="str">
        <x:v>SmartLife Plus</x:v>
      </x:c>
      <x:c r="F2390" s="24" t="str">
        <x:v>PhotoFusion X Extra Dark Cinza</x:v>
      </x:c>
      <x:c r="G2390" s="24" t="str">
        <x:v>1.5</x:v>
      </x:c>
      <x:c r="H2390" s="24" t="str">
        <x:v>1.50</x:v>
      </x:c>
      <x:c r="I2390" s="24" t="str">
        <x:v>DuraVision Gold UV</x:v>
      </x:c>
      <x:c r="J2390" s="40" t="n">
        <x:v>7750</x:v>
      </x:c>
      <x:c r="K2390" s="24" t="str">
        <x:v>-6.00 a +5.50</x:v>
      </x:c>
      <x:c r="L2390" s="24" t="str">
        <x:v>-4.00</x:v>
      </x:c>
      <x:c r="M2390" s="24" t="str">
        <x:v>0.75 a 3.00</x:v>
      </x:c>
      <x:c r="N2390" s="24" t="str">
        <x:v>75</x:v>
      </x:c>
      <x:c r="O2390" s="24"/>
      <x:c r="P2390" s="24"/>
      <x:c r="Q2390" s="24" t="str">
        <x:v>DISPONÍVEL</x:v>
      </x:c>
      <x:c r="R2390" s="24" t="str">
        <x:v>Programa de Parcerias ZEISS</x:v>
      </x:c>
      <x:c r="S2390" s="24" t="n">
        <x:v>39</x:v>
      </x:c>
      <x:c r="T2390" s="24" t="str">
        <x:v>tabela_zeiss.pdf</x:v>
      </x:c>
      <x:c r="U2390" s="24" t="str">
        <x:v>ZEISS|Progressiva|Surfaçada|SmartLife Plus|PhotoFusion X Extra Dark Cinza|1.5|1.50|DuraVision Gold UV|-6.00 a +5.50|-4.00|0.75 a 3.00|75|||39</x:v>
      </x:c>
    </x:row>
    <x:row r="2391">
      <x:c r="A2391" s="24" t="str">
        <x:v>ZS-47BD69E6C2D3</x:v>
      </x:c>
      <x:c r="B2391" s="24" t="str">
        <x:v>ZEISS</x:v>
      </x:c>
      <x:c r="C2391" s="24" t="str">
        <x:v>Progressiva</x:v>
      </x:c>
      <x:c r="D2391" s="24" t="str">
        <x:v>Surfaçada</x:v>
      </x:c>
      <x:c r="E2391" s="24" t="str">
        <x:v>SmartLife Plus</x:v>
      </x:c>
      <x:c r="F2391" s="24" t="str">
        <x:v>PhotoFusion X Extra Dark Cinza</x:v>
      </x:c>
      <x:c r="G2391" s="24" t="str">
        <x:v>1.5</x:v>
      </x:c>
      <x:c r="H2391" s="24" t="str">
        <x:v>1.50</x:v>
      </x:c>
      <x:c r="I2391" s="24" t="str">
        <x:v>DURAVISION® ANTIVÍRUS PLATINUM UV</x:v>
      </x:c>
      <x:c r="J2391" s="40" t="n">
        <x:v>7610</x:v>
      </x:c>
      <x:c r="K2391" s="24" t="str">
        <x:v>-6.00 a +5.50</x:v>
      </x:c>
      <x:c r="L2391" s="24" t="str">
        <x:v>-4.00</x:v>
      </x:c>
      <x:c r="M2391" s="24" t="str">
        <x:v>0.75 a 3.00</x:v>
      </x:c>
      <x:c r="N2391" s="24" t="str">
        <x:v>75</x:v>
      </x:c>
      <x:c r="O2391" s="24"/>
      <x:c r="P2391" s="24"/>
      <x:c r="Q2391" s="24" t="str">
        <x:v>DISPONÍVEL</x:v>
      </x:c>
      <x:c r="R2391" s="24" t="str">
        <x:v>Programa de Parcerias ZEISS</x:v>
      </x:c>
      <x:c r="S2391" s="24" t="n">
        <x:v>39</x:v>
      </x:c>
      <x:c r="T2391" s="24" t="str">
        <x:v>tabela_zeiss.pdf</x:v>
      </x:c>
      <x:c r="U2391" s="24" t="str">
        <x:v>ZEISS|Progressiva|Surfaçada|SmartLife Plus|PhotoFusion X Extra Dark Cinza|1.5|1.50|DURAVISION® ANTIVÍRUS PLATINUM UV|-6.00 a +5.50|-4.00|0.75 a 3.00|75|||39</x:v>
      </x:c>
    </x:row>
    <x:row r="2392">
      <x:c r="A2392" s="24" t="str">
        <x:v>ZS-049260C8172E</x:v>
      </x:c>
      <x:c r="B2392" s="24" t="str">
        <x:v>ZEISS</x:v>
      </x:c>
      <x:c r="C2392" s="24" t="str">
        <x:v>Progressiva</x:v>
      </x:c>
      <x:c r="D2392" s="24" t="str">
        <x:v>Surfaçada</x:v>
      </x:c>
      <x:c r="E2392" s="24" t="str">
        <x:v>SmartLife Plus</x:v>
      </x:c>
      <x:c r="F2392" s="24" t="str">
        <x:v>PhotoFusion X Extra Dark Cinza</x:v>
      </x:c>
      <x:c r="G2392" s="24" t="str">
        <x:v>1.5</x:v>
      </x:c>
      <x:c r="H2392" s="24" t="str">
        <x:v>1.50</x:v>
      </x:c>
      <x:c r="I2392" s="24" t="str">
        <x:v>DuraVision Platinum UV</x:v>
      </x:c>
      <x:c r="J2392" s="40" t="n">
        <x:v>7610</x:v>
      </x:c>
      <x:c r="K2392" s="24" t="str">
        <x:v>-6.00 a +5.50</x:v>
      </x:c>
      <x:c r="L2392" s="24" t="str">
        <x:v>-4.00</x:v>
      </x:c>
      <x:c r="M2392" s="24" t="str">
        <x:v>0.75 a 3.00</x:v>
      </x:c>
      <x:c r="N2392" s="24" t="str">
        <x:v>75</x:v>
      </x:c>
      <x:c r="O2392" s="24"/>
      <x:c r="P2392" s="24"/>
      <x:c r="Q2392" s="24" t="str">
        <x:v>DISPONÍVEL</x:v>
      </x:c>
      <x:c r="R2392" s="24" t="str">
        <x:v>Programa de Parcerias ZEISS</x:v>
      </x:c>
      <x:c r="S2392" s="24" t="n">
        <x:v>39</x:v>
      </x:c>
      <x:c r="T2392" s="24" t="str">
        <x:v>tabela_zeiss.pdf</x:v>
      </x:c>
      <x:c r="U2392" s="24" t="str">
        <x:v>ZEISS|Progressiva|Surfaçada|SmartLife Plus|PhotoFusion X Extra Dark Cinza|1.5|1.50|DuraVision Platinum UV|-6.00 a +5.50|-4.00|0.75 a 3.00|75|||39</x:v>
      </x:c>
    </x:row>
    <x:row r="2393">
      <x:c r="A2393" s="24" t="str">
        <x:v>ZS-482AB52AB64D</x:v>
      </x:c>
      <x:c r="B2393" s="24" t="str">
        <x:v>ZEISS</x:v>
      </x:c>
      <x:c r="C2393" s="24" t="str">
        <x:v>Progressiva</x:v>
      </x:c>
      <x:c r="D2393" s="24" t="str">
        <x:v>Surfaçada</x:v>
      </x:c>
      <x:c r="E2393" s="24" t="str">
        <x:v>SmartLife Plus</x:v>
      </x:c>
      <x:c r="F2393" s="24" t="str">
        <x:v>PhotoFusion X Extra Dark Cinza</x:v>
      </x:c>
      <x:c r="G2393" s="24" t="str">
        <x:v>1.5</x:v>
      </x:c>
      <x:c r="H2393" s="24" t="str">
        <x:v>1.50</x:v>
      </x:c>
      <x:c r="I2393" s="24" t="str">
        <x:v>DuraVision Silver UV</x:v>
      </x:c>
      <x:c r="J2393" s="40" t="n">
        <x:v>7350</x:v>
      </x:c>
      <x:c r="K2393" s="24" t="str">
        <x:v>-6.00 a +5.50</x:v>
      </x:c>
      <x:c r="L2393" s="24" t="str">
        <x:v>-4.00</x:v>
      </x:c>
      <x:c r="M2393" s="24" t="str">
        <x:v>0.75 a 3.00</x:v>
      </x:c>
      <x:c r="N2393" s="24" t="str">
        <x:v>75</x:v>
      </x:c>
      <x:c r="O2393" s="24"/>
      <x:c r="P2393" s="24"/>
      <x:c r="Q2393" s="24" t="str">
        <x:v>DISPONÍVEL</x:v>
      </x:c>
      <x:c r="R2393" s="24" t="str">
        <x:v>Programa de Parcerias ZEISS</x:v>
      </x:c>
      <x:c r="S2393" s="24" t="n">
        <x:v>39</x:v>
      </x:c>
      <x:c r="T2393" s="24" t="str">
        <x:v>tabela_zeiss.pdf</x:v>
      </x:c>
      <x:c r="U2393" s="24" t="str">
        <x:v>ZEISS|Progressiva|Surfaçada|SmartLife Plus|PhotoFusion X Extra Dark Cinza|1.5|1.50|DuraVision Silver UV|-6.00 a +5.50|-4.00|0.75 a 3.00|75|||39</x:v>
      </x:c>
    </x:row>
    <x:row r="2394">
      <x:c r="A2394" s="24" t="str">
        <x:v>ZS-58E3916C0176</x:v>
      </x:c>
      <x:c r="B2394" s="24" t="str">
        <x:v>ZEISS</x:v>
      </x:c>
      <x:c r="C2394" s="24" t="str">
        <x:v>Progressiva</x:v>
      </x:c>
      <x:c r="D2394" s="24" t="str">
        <x:v>Surfaçada</x:v>
      </x:c>
      <x:c r="E2394" s="24" t="str">
        <x:v>SmartLife Plus</x:v>
      </x:c>
      <x:c r="F2394" s="24" t="str">
        <x:v>PhotoFusion X Extra Dark Cinza</x:v>
      </x:c>
      <x:c r="G2394" s="24" t="str">
        <x:v>1.5</x:v>
      </x:c>
      <x:c r="H2394" s="24" t="str">
        <x:v>1.50</x:v>
      </x:c>
      <x:c r="I2394" s="24" t="str">
        <x:v>DuraVision Chrome UV</x:v>
      </x:c>
      <x:c r="J2394" s="40" t="n">
        <x:v>6860</x:v>
      </x:c>
      <x:c r="K2394" s="24" t="str">
        <x:v>-6.00 a +5.50</x:v>
      </x:c>
      <x:c r="L2394" s="24" t="str">
        <x:v>-4.00</x:v>
      </x:c>
      <x:c r="M2394" s="24" t="str">
        <x:v>0.75 a 3.00</x:v>
      </x:c>
      <x:c r="N2394" s="24" t="str">
        <x:v>75</x:v>
      </x:c>
      <x:c r="O2394" s="24"/>
      <x:c r="P2394" s="24"/>
      <x:c r="Q2394" s="24" t="str">
        <x:v>DISPONÍVEL</x:v>
      </x:c>
      <x:c r="R2394" s="24" t="str">
        <x:v>Programa de Parcerias ZEISS</x:v>
      </x:c>
      <x:c r="S2394" s="24" t="n">
        <x:v>39</x:v>
      </x:c>
      <x:c r="T2394" s="24" t="str">
        <x:v>tabela_zeiss.pdf</x:v>
      </x:c>
      <x:c r="U2394" s="24" t="str">
        <x:v>ZEISS|Progressiva|Surfaçada|SmartLife Plus|PhotoFusion X Extra Dark Cinza|1.5|1.50|DuraVision Chrome UV|-6.00 a +5.50|-4.00|0.75 a 3.00|75|||39</x:v>
      </x:c>
    </x:row>
    <x:row r="2395">
      <x:c r="A2395" s="24" t="str">
        <x:v>ZS-A5F2BA893C6F</x:v>
      </x:c>
      <x:c r="B2395" s="24" t="str">
        <x:v>ZEISS</x:v>
      </x:c>
      <x:c r="C2395" s="24" t="str">
        <x:v>Progressiva</x:v>
      </x:c>
      <x:c r="D2395" s="24" t="str">
        <x:v>Surfaçada</x:v>
      </x:c>
      <x:c r="E2395" s="24" t="str">
        <x:v>SmartLife Plus</x:v>
      </x:c>
      <x:c r="F2395" s="24" t="str">
        <x:v>PhotoFusion X Extra Dark Cinza</x:v>
      </x:c>
      <x:c r="G2395" s="24" t="str">
        <x:v>Poli</x:v>
      </x:c>
      <x:c r="H2395" s="24"/>
      <x:c r="I2395" s="24" t="str">
        <x:v>DuraVision Gold UV</x:v>
      </x:c>
      <x:c r="J2395" s="40" t="n">
        <x:v>8340</x:v>
      </x:c>
      <x:c r="K2395" s="24" t="str">
        <x:v>-10.00 a +6.00</x:v>
      </x:c>
      <x:c r="L2395" s="24" t="str">
        <x:v>-6.00</x:v>
      </x:c>
      <x:c r="M2395" s="24" t="str">
        <x:v>0.75 a 3.00</x:v>
      </x:c>
      <x:c r="N2395" s="24" t="str">
        <x:v>70</x:v>
      </x:c>
      <x:c r="O2395" s="24"/>
      <x:c r="P2395" s="24"/>
      <x:c r="Q2395" s="24" t="str">
        <x:v>DISPONÍVEL</x:v>
      </x:c>
      <x:c r="R2395" s="24" t="str">
        <x:v>Programa de Parcerias ZEISS</x:v>
      </x:c>
      <x:c r="S2395" s="24" t="n">
        <x:v>39</x:v>
      </x:c>
      <x:c r="T2395" s="24" t="str">
        <x:v>tabela_zeiss.pdf</x:v>
      </x:c>
      <x:c r="U2395" s="24" t="str">
        <x:v>ZEISS|Progressiva|Surfaçada|SmartLife Plus|PhotoFusion X Extra Dark Cinza|Poli||DuraVision Gold UV|-10.00 a +6.00|-6.00|0.75 a 3.00|70|||39</x:v>
      </x:c>
    </x:row>
    <x:row r="2396">
      <x:c r="A2396" s="24" t="str">
        <x:v>ZS-AB740651CF40</x:v>
      </x:c>
      <x:c r="B2396" s="24" t="str">
        <x:v>ZEISS</x:v>
      </x:c>
      <x:c r="C2396" s="24" t="str">
        <x:v>Progressiva</x:v>
      </x:c>
      <x:c r="D2396" s="24" t="str">
        <x:v>Surfaçada</x:v>
      </x:c>
      <x:c r="E2396" s="24" t="str">
        <x:v>SmartLife Plus</x:v>
      </x:c>
      <x:c r="F2396" s="24" t="str">
        <x:v>PhotoFusion X Extra Dark Cinza</x:v>
      </x:c>
      <x:c r="G2396" s="24" t="str">
        <x:v>Poli</x:v>
      </x:c>
      <x:c r="H2396" s="24"/>
      <x:c r="I2396" s="24" t="str">
        <x:v>DuraVision Platinum UV</x:v>
      </x:c>
      <x:c r="J2396" s="40" t="n">
        <x:v>8200</x:v>
      </x:c>
      <x:c r="K2396" s="24" t="str">
        <x:v>-10.00 a +6.00</x:v>
      </x:c>
      <x:c r="L2396" s="24" t="str">
        <x:v>-6.00</x:v>
      </x:c>
      <x:c r="M2396" s="24" t="str">
        <x:v>0.75 a 3.00</x:v>
      </x:c>
      <x:c r="N2396" s="24" t="str">
        <x:v>70</x:v>
      </x:c>
      <x:c r="O2396" s="24"/>
      <x:c r="P2396" s="24"/>
      <x:c r="Q2396" s="24" t="str">
        <x:v>DISPONÍVEL</x:v>
      </x:c>
      <x:c r="R2396" s="24" t="str">
        <x:v>Programa de Parcerias ZEISS</x:v>
      </x:c>
      <x:c r="S2396" s="24" t="n">
        <x:v>39</x:v>
      </x:c>
      <x:c r="T2396" s="24" t="str">
        <x:v>tabela_zeiss.pdf</x:v>
      </x:c>
      <x:c r="U2396" s="24" t="str">
        <x:v>ZEISS|Progressiva|Surfaçada|SmartLife Plus|PhotoFusion X Extra Dark Cinza|Poli||DuraVision Platinum UV|-10.00 a +6.00|-6.00|0.75 a 3.00|70|||39</x:v>
      </x:c>
    </x:row>
    <x:row r="2397">
      <x:c r="A2397" s="24" t="str">
        <x:v>ZS-BE5C16C6EF43</x:v>
      </x:c>
      <x:c r="B2397" s="24" t="str">
        <x:v>ZEISS</x:v>
      </x:c>
      <x:c r="C2397" s="24" t="str">
        <x:v>Progressiva</x:v>
      </x:c>
      <x:c r="D2397" s="24" t="str">
        <x:v>Surfaçada</x:v>
      </x:c>
      <x:c r="E2397" s="24" t="str">
        <x:v>SmartLife Plus</x:v>
      </x:c>
      <x:c r="F2397" s="24" t="str">
        <x:v>PhotoFusion X Extra Dark Cinza</x:v>
      </x:c>
      <x:c r="G2397" s="24" t="str">
        <x:v>Poli</x:v>
      </x:c>
      <x:c r="H2397" s="24"/>
      <x:c r="I2397" s="24" t="str">
        <x:v>DuraVision Silver UV</x:v>
      </x:c>
      <x:c r="J2397" s="40" t="n">
        <x:v>7940</x:v>
      </x:c>
      <x:c r="K2397" s="24" t="str">
        <x:v>-10.00 a +6.00</x:v>
      </x:c>
      <x:c r="L2397" s="24" t="str">
        <x:v>-6.00</x:v>
      </x:c>
      <x:c r="M2397" s="24" t="str">
        <x:v>0.75 a 3.00</x:v>
      </x:c>
      <x:c r="N2397" s="24" t="str">
        <x:v>70</x:v>
      </x:c>
      <x:c r="O2397" s="24"/>
      <x:c r="P2397" s="24"/>
      <x:c r="Q2397" s="24" t="str">
        <x:v>DISPONÍVEL</x:v>
      </x:c>
      <x:c r="R2397" s="24" t="str">
        <x:v>Programa de Parcerias ZEISS</x:v>
      </x:c>
      <x:c r="S2397" s="24" t="n">
        <x:v>39</x:v>
      </x:c>
      <x:c r="T2397" s="24" t="str">
        <x:v>tabela_zeiss.pdf</x:v>
      </x:c>
      <x:c r="U2397" s="24" t="str">
        <x:v>ZEISS|Progressiva|Surfaçada|SmartLife Plus|PhotoFusion X Extra Dark Cinza|Poli||DuraVision Silver UV|-10.00 a +6.00|-6.00|0.75 a 3.00|70|||39</x:v>
      </x:c>
    </x:row>
    <x:row r="2398">
      <x:c r="A2398" s="24" t="str">
        <x:v>ZS-BE26456350A5</x:v>
      </x:c>
      <x:c r="B2398" s="24" t="str">
        <x:v>ZEISS</x:v>
      </x:c>
      <x:c r="C2398" s="24" t="str">
        <x:v>Progressiva</x:v>
      </x:c>
      <x:c r="D2398" s="24" t="str">
        <x:v>Surfaçada</x:v>
      </x:c>
      <x:c r="E2398" s="24" t="str">
        <x:v>SmartLife Plus</x:v>
      </x:c>
      <x:c r="F2398" s="24" t="str">
        <x:v>PhotoFusion X Extra Dark Cinza</x:v>
      </x:c>
      <x:c r="G2398" s="24" t="str">
        <x:v>Poli</x:v>
      </x:c>
      <x:c r="H2398" s="24"/>
      <x:c r="I2398" s="24" t="str">
        <x:v>DuraVision Chrome UV</x:v>
      </x:c>
      <x:c r="J2398" s="40" t="n">
        <x:v>7450</x:v>
      </x:c>
      <x:c r="K2398" s="24" t="str">
        <x:v>-10.00 a +6.00</x:v>
      </x:c>
      <x:c r="L2398" s="24" t="str">
        <x:v>-6.00</x:v>
      </x:c>
      <x:c r="M2398" s="24" t="str">
        <x:v>0.75 a 3.00</x:v>
      </x:c>
      <x:c r="N2398" s="24" t="str">
        <x:v>70</x:v>
      </x:c>
      <x:c r="O2398" s="24"/>
      <x:c r="P2398" s="24"/>
      <x:c r="Q2398" s="24" t="str">
        <x:v>DISPONÍVEL</x:v>
      </x:c>
      <x:c r="R2398" s="24" t="str">
        <x:v>Programa de Parcerias ZEISS</x:v>
      </x:c>
      <x:c r="S2398" s="24" t="n">
        <x:v>39</x:v>
      </x:c>
      <x:c r="T2398" s="24" t="str">
        <x:v>tabela_zeiss.pdf</x:v>
      </x:c>
      <x:c r="U2398" s="24" t="str">
        <x:v>ZEISS|Progressiva|Surfaçada|SmartLife Plus|PhotoFusion X Extra Dark Cinza|Poli||DuraVision Chrome UV|-10.00 a +6.00|-6.00|0.75 a 3.00|70|||39</x:v>
      </x:c>
    </x:row>
    <x:row r="2399">
      <x:c r="A2399" s="24" t="str">
        <x:v>ZS-7404F6E33041</x:v>
      </x:c>
      <x:c r="B2399" s="24" t="str">
        <x:v>ZEISS</x:v>
      </x:c>
      <x:c r="C2399" s="24" t="str">
        <x:v>Progressiva</x:v>
      </x:c>
      <x:c r="D2399" s="24" t="str">
        <x:v>Surfaçada</x:v>
      </x:c>
      <x:c r="E2399" s="24" t="str">
        <x:v>SmartLife Plus</x:v>
      </x:c>
      <x:c r="F2399" s="24" t="str">
        <x:v>PhotoFusion X Extra Dark Cinza</x:v>
      </x:c>
      <x:c r="G2399" s="24" t="str">
        <x:v>1.6</x:v>
      </x:c>
      <x:c r="H2399" s="24" t="str">
        <x:v>1.60</x:v>
      </x:c>
      <x:c r="I2399" s="24" t="str">
        <x:v>DuraVision Gold UV</x:v>
      </x:c>
      <x:c r="J2399" s="40" t="n">
        <x:v>9000</x:v>
      </x:c>
      <x:c r="K2399" s="24" t="str">
        <x:v>-7.25 a +6.00</x:v>
      </x:c>
      <x:c r="L2399" s="24" t="str">
        <x:v>-6.00</x:v>
      </x:c>
      <x:c r="M2399" s="24" t="str">
        <x:v>0.75 a 3.50</x:v>
      </x:c>
      <x:c r="N2399" s="24" t="str">
        <x:v>75</x:v>
      </x:c>
      <x:c r="O2399" s="24"/>
      <x:c r="P2399" s="24"/>
      <x:c r="Q2399" s="24" t="str">
        <x:v>DISPONÍVEL</x:v>
      </x:c>
      <x:c r="R2399" s="24" t="str">
        <x:v>Programa de Parcerias ZEISS</x:v>
      </x:c>
      <x:c r="S2399" s="24" t="n">
        <x:v>39</x:v>
      </x:c>
      <x:c r="T2399" s="24" t="str">
        <x:v>tabela_zeiss.pdf</x:v>
      </x:c>
      <x:c r="U2399" s="24" t="str">
        <x:v>ZEISS|Progressiva|Surfaçada|SmartLife Plus|PhotoFusion X Extra Dark Cinza|1.6|1.60|DuraVision Gold UV|-7.25 a +6.00|-6.00|0.75 a 3.50|75|||39</x:v>
      </x:c>
    </x:row>
    <x:row r="2400">
      <x:c r="A2400" s="24" t="str">
        <x:v>ZS-52DC73DC5CE6</x:v>
      </x:c>
      <x:c r="B2400" s="24" t="str">
        <x:v>ZEISS</x:v>
      </x:c>
      <x:c r="C2400" s="24" t="str">
        <x:v>Progressiva</x:v>
      </x:c>
      <x:c r="D2400" s="24" t="str">
        <x:v>Surfaçada</x:v>
      </x:c>
      <x:c r="E2400" s="24" t="str">
        <x:v>SmartLife Plus</x:v>
      </x:c>
      <x:c r="F2400" s="24" t="str">
        <x:v>PhotoFusion X Extra Dark Cinza</x:v>
      </x:c>
      <x:c r="G2400" s="24" t="str">
        <x:v>1.6</x:v>
      </x:c>
      <x:c r="H2400" s="24" t="str">
        <x:v>1.60</x:v>
      </x:c>
      <x:c r="I2400" s="24" t="str">
        <x:v>DURAVISION® ANTIVÍRUS PLATINUM UV</x:v>
      </x:c>
      <x:c r="J2400" s="40" t="n">
        <x:v>8860</x:v>
      </x:c>
      <x:c r="K2400" s="24" t="str">
        <x:v>-7.25 a +6.00</x:v>
      </x:c>
      <x:c r="L2400" s="24" t="str">
        <x:v>-6.00</x:v>
      </x:c>
      <x:c r="M2400" s="24" t="str">
        <x:v>0.75 a 3.50</x:v>
      </x:c>
      <x:c r="N2400" s="24" t="str">
        <x:v>75</x:v>
      </x:c>
      <x:c r="O2400" s="24"/>
      <x:c r="P2400" s="24"/>
      <x:c r="Q2400" s="24" t="str">
        <x:v>DISPONÍVEL</x:v>
      </x:c>
      <x:c r="R2400" s="24" t="str">
        <x:v>Programa de Parcerias ZEISS</x:v>
      </x:c>
      <x:c r="S2400" s="24" t="n">
        <x:v>39</x:v>
      </x:c>
      <x:c r="T2400" s="24" t="str">
        <x:v>tabela_zeiss.pdf</x:v>
      </x:c>
      <x:c r="U2400" s="24" t="str">
        <x:v>ZEISS|Progressiva|Surfaçada|SmartLife Plus|PhotoFusion X Extra Dark Cinza|1.6|1.60|DURAVISION® ANTIVÍRUS PLATINUM UV|-7.25 a +6.00|-6.00|0.75 a 3.50|75|||39</x:v>
      </x:c>
    </x:row>
    <x:row r="2401">
      <x:c r="A2401" s="24" t="str">
        <x:v>ZS-B914A8BF85DE</x:v>
      </x:c>
      <x:c r="B2401" s="24" t="str">
        <x:v>ZEISS</x:v>
      </x:c>
      <x:c r="C2401" s="24" t="str">
        <x:v>Progressiva</x:v>
      </x:c>
      <x:c r="D2401" s="24" t="str">
        <x:v>Surfaçada</x:v>
      </x:c>
      <x:c r="E2401" s="24" t="str">
        <x:v>SmartLife Plus</x:v>
      </x:c>
      <x:c r="F2401" s="24" t="str">
        <x:v>PhotoFusion X Extra Dark Cinza</x:v>
      </x:c>
      <x:c r="G2401" s="24" t="str">
        <x:v>1.6</x:v>
      </x:c>
      <x:c r="H2401" s="24" t="str">
        <x:v>1.60</x:v>
      </x:c>
      <x:c r="I2401" s="24" t="str">
        <x:v>DuraVision Platinum UV</x:v>
      </x:c>
      <x:c r="J2401" s="40" t="n">
        <x:v>8860</x:v>
      </x:c>
      <x:c r="K2401" s="24" t="str">
        <x:v>-7.25 a +6.00</x:v>
      </x:c>
      <x:c r="L2401" s="24" t="str">
        <x:v>-6.00</x:v>
      </x:c>
      <x:c r="M2401" s="24" t="str">
        <x:v>0.75 a 3.50</x:v>
      </x:c>
      <x:c r="N2401" s="24" t="str">
        <x:v>75</x:v>
      </x:c>
      <x:c r="O2401" s="24"/>
      <x:c r="P2401" s="24"/>
      <x:c r="Q2401" s="24" t="str">
        <x:v>DISPONÍVEL</x:v>
      </x:c>
      <x:c r="R2401" s="24" t="str">
        <x:v>Programa de Parcerias ZEISS</x:v>
      </x:c>
      <x:c r="S2401" s="24" t="n">
        <x:v>39</x:v>
      </x:c>
      <x:c r="T2401" s="24" t="str">
        <x:v>tabela_zeiss.pdf</x:v>
      </x:c>
      <x:c r="U2401" s="24" t="str">
        <x:v>ZEISS|Progressiva|Surfaçada|SmartLife Plus|PhotoFusion X Extra Dark Cinza|1.6|1.60|DuraVision Platinum UV|-7.25 a +6.00|-6.00|0.75 a 3.50|75|||39</x:v>
      </x:c>
    </x:row>
    <x:row r="2402">
      <x:c r="A2402" s="24" t="str">
        <x:v>ZS-70997A2A11DB</x:v>
      </x:c>
      <x:c r="B2402" s="24" t="str">
        <x:v>ZEISS</x:v>
      </x:c>
      <x:c r="C2402" s="24" t="str">
        <x:v>Progressiva</x:v>
      </x:c>
      <x:c r="D2402" s="24" t="str">
        <x:v>Surfaçada</x:v>
      </x:c>
      <x:c r="E2402" s="24" t="str">
        <x:v>SmartLife Plus</x:v>
      </x:c>
      <x:c r="F2402" s="24" t="str">
        <x:v>PhotoFusion X Extra Dark Cinza</x:v>
      </x:c>
      <x:c r="G2402" s="24" t="str">
        <x:v>1.6</x:v>
      </x:c>
      <x:c r="H2402" s="24" t="str">
        <x:v>1.60</x:v>
      </x:c>
      <x:c r="I2402" s="24" t="str">
        <x:v>DuraVision Silver UV</x:v>
      </x:c>
      <x:c r="J2402" s="40" t="n">
        <x:v>8600</x:v>
      </x:c>
      <x:c r="K2402" s="24" t="str">
        <x:v>-7.25 a +6.00</x:v>
      </x:c>
      <x:c r="L2402" s="24" t="str">
        <x:v>-6.00</x:v>
      </x:c>
      <x:c r="M2402" s="24" t="str">
        <x:v>0.75 a 3.50</x:v>
      </x:c>
      <x:c r="N2402" s="24" t="str">
        <x:v>75</x:v>
      </x:c>
      <x:c r="O2402" s="24"/>
      <x:c r="P2402" s="24"/>
      <x:c r="Q2402" s="24" t="str">
        <x:v>DISPONÍVEL</x:v>
      </x:c>
      <x:c r="R2402" s="24" t="str">
        <x:v>Programa de Parcerias ZEISS</x:v>
      </x:c>
      <x:c r="S2402" s="24" t="n">
        <x:v>39</x:v>
      </x:c>
      <x:c r="T2402" s="24" t="str">
        <x:v>tabela_zeiss.pdf</x:v>
      </x:c>
      <x:c r="U2402" s="24" t="str">
        <x:v>ZEISS|Progressiva|Surfaçada|SmartLife Plus|PhotoFusion X Extra Dark Cinza|1.6|1.60|DuraVision Silver UV|-7.25 a +6.00|-6.00|0.75 a 3.50|75|||39</x:v>
      </x:c>
    </x:row>
    <x:row r="2403">
      <x:c r="A2403" s="24" t="str">
        <x:v>ZS-D2C030ED0D1D</x:v>
      </x:c>
      <x:c r="B2403" s="24" t="str">
        <x:v>ZEISS</x:v>
      </x:c>
      <x:c r="C2403" s="24" t="str">
        <x:v>Progressiva</x:v>
      </x:c>
      <x:c r="D2403" s="24" t="str">
        <x:v>Surfaçada</x:v>
      </x:c>
      <x:c r="E2403" s="24" t="str">
        <x:v>SmartLife Plus</x:v>
      </x:c>
      <x:c r="F2403" s="24" t="str">
        <x:v>PhotoFusion X Extra Dark Cinza</x:v>
      </x:c>
      <x:c r="G2403" s="24" t="str">
        <x:v>1.6</x:v>
      </x:c>
      <x:c r="H2403" s="24" t="str">
        <x:v>1.60</x:v>
      </x:c>
      <x:c r="I2403" s="24" t="str">
        <x:v>DuraVision Chrome UV</x:v>
      </x:c>
      <x:c r="J2403" s="40" t="n">
        <x:v>8110</x:v>
      </x:c>
      <x:c r="K2403" s="24" t="str">
        <x:v>-7.25 a +6.00</x:v>
      </x:c>
      <x:c r="L2403" s="24" t="str">
        <x:v>-6.00</x:v>
      </x:c>
      <x:c r="M2403" s="24" t="str">
        <x:v>0.75 a 3.50</x:v>
      </x:c>
      <x:c r="N2403" s="24" t="str">
        <x:v>75</x:v>
      </x:c>
      <x:c r="O2403" s="24"/>
      <x:c r="P2403" s="24"/>
      <x:c r="Q2403" s="24" t="str">
        <x:v>DISPONÍVEL</x:v>
      </x:c>
      <x:c r="R2403" s="24" t="str">
        <x:v>Programa de Parcerias ZEISS</x:v>
      </x:c>
      <x:c r="S2403" s="24" t="n">
        <x:v>39</x:v>
      </x:c>
      <x:c r="T2403" s="24" t="str">
        <x:v>tabela_zeiss.pdf</x:v>
      </x:c>
      <x:c r="U2403" s="24" t="str">
        <x:v>ZEISS|Progressiva|Surfaçada|SmartLife Plus|PhotoFusion X Extra Dark Cinza|1.6|1.60|DuraVision Chrome UV|-7.25 a +6.00|-6.00|0.75 a 3.50|75|||39</x:v>
      </x:c>
    </x:row>
    <x:row r="2404">
      <x:c r="A2404" s="24" t="str">
        <x:v>ZS-DE10D10EE260</x:v>
      </x:c>
      <x:c r="B2404" s="24" t="str">
        <x:v>ZEISS</x:v>
      </x:c>
      <x:c r="C2404" s="24" t="str">
        <x:v>Progressiva</x:v>
      </x:c>
      <x:c r="D2404" s="24" t="str">
        <x:v>Surfaçada</x:v>
      </x:c>
      <x:c r="E2404" s="24" t="str">
        <x:v>SmartLife Plus</x:v>
      </x:c>
      <x:c r="F2404" s="24" t="str">
        <x:v>PhotoFusion X Extra Dark Cinza</x:v>
      </x:c>
      <x:c r="G2404" s="24" t="str">
        <x:v>1.67</x:v>
      </x:c>
      <x:c r="H2404" s="24" t="str">
        <x:v>1.67</x:v>
      </x:c>
      <x:c r="I2404" s="24" t="str">
        <x:v>DuraVision Gold UV</x:v>
      </x:c>
      <x:c r="J2404" s="40" t="n">
        <x:v>10640</x:v>
      </x:c>
      <x:c r="K2404" s="24" t="str">
        <x:v>-8.00 a +8.00</x:v>
      </x:c>
      <x:c r="L2404" s="24" t="str">
        <x:v>-4.00</x:v>
      </x:c>
      <x:c r="M2404" s="24" t="str">
        <x:v>0.75 a 3.00</x:v>
      </x:c>
      <x:c r="N2404" s="24" t="str">
        <x:v>70</x:v>
      </x:c>
      <x:c r="O2404" s="24"/>
      <x:c r="P2404" s="24"/>
      <x:c r="Q2404" s="24" t="str">
        <x:v>DISPONÍVEL</x:v>
      </x:c>
      <x:c r="R2404" s="24" t="str">
        <x:v>Programa de Parcerias ZEISS</x:v>
      </x:c>
      <x:c r="S2404" s="24" t="n">
        <x:v>39</x:v>
      </x:c>
      <x:c r="T2404" s="24" t="str">
        <x:v>tabela_zeiss.pdf</x:v>
      </x:c>
      <x:c r="U2404" s="24" t="str">
        <x:v>ZEISS|Progressiva|Surfaçada|SmartLife Plus|PhotoFusion X Extra Dark Cinza|1.67|1.67|DuraVision Gold UV|-8.00 a +8.00|-4.00|0.75 a 3.00|70|||39</x:v>
      </x:c>
    </x:row>
    <x:row r="2405">
      <x:c r="A2405" s="24" t="str">
        <x:v>ZS-C1406DE1A247</x:v>
      </x:c>
      <x:c r="B2405" s="24" t="str">
        <x:v>ZEISS</x:v>
      </x:c>
      <x:c r="C2405" s="24" t="str">
        <x:v>Progressiva</x:v>
      </x:c>
      <x:c r="D2405" s="24" t="str">
        <x:v>Surfaçada</x:v>
      </x:c>
      <x:c r="E2405" s="24" t="str">
        <x:v>SmartLife Plus</x:v>
      </x:c>
      <x:c r="F2405" s="24" t="str">
        <x:v>PhotoFusion X Extra Dark Cinza</x:v>
      </x:c>
      <x:c r="G2405" s="24" t="str">
        <x:v>1.67</x:v>
      </x:c>
      <x:c r="H2405" s="24" t="str">
        <x:v>1.67</x:v>
      </x:c>
      <x:c r="I2405" s="24" t="str">
        <x:v>DURAVISION® ANTIVÍRUS PLATINUM UV</x:v>
      </x:c>
      <x:c r="J2405" s="40" t="n">
        <x:v>10500</x:v>
      </x:c>
      <x:c r="K2405" s="24" t="str">
        <x:v>-8.00 a +8.00</x:v>
      </x:c>
      <x:c r="L2405" s="24" t="str">
        <x:v>-4.00</x:v>
      </x:c>
      <x:c r="M2405" s="24" t="str">
        <x:v>0.75 a 3.00</x:v>
      </x:c>
      <x:c r="N2405" s="24" t="str">
        <x:v>70</x:v>
      </x:c>
      <x:c r="O2405" s="24"/>
      <x:c r="P2405" s="24"/>
      <x:c r="Q2405" s="24" t="str">
        <x:v>DISPONÍVEL</x:v>
      </x:c>
      <x:c r="R2405" s="24" t="str">
        <x:v>Programa de Parcerias ZEISS</x:v>
      </x:c>
      <x:c r="S2405" s="24" t="n">
        <x:v>39</x:v>
      </x:c>
      <x:c r="T2405" s="24" t="str">
        <x:v>tabela_zeiss.pdf</x:v>
      </x:c>
      <x:c r="U2405" s="24" t="str">
        <x:v>ZEISS|Progressiva|Surfaçada|SmartLife Plus|PhotoFusion X Extra Dark Cinza|1.67|1.67|DURAVISION® ANTIVÍRUS PLATINUM UV|-8.00 a +8.00|-4.00|0.75 a 3.00|70|||39</x:v>
      </x:c>
    </x:row>
    <x:row r="2406">
      <x:c r="A2406" s="24" t="str">
        <x:v>ZS-00585974793A</x:v>
      </x:c>
      <x:c r="B2406" s="24" t="str">
        <x:v>ZEISS</x:v>
      </x:c>
      <x:c r="C2406" s="24" t="str">
        <x:v>Progressiva</x:v>
      </x:c>
      <x:c r="D2406" s="24" t="str">
        <x:v>Surfaçada</x:v>
      </x:c>
      <x:c r="E2406" s="24" t="str">
        <x:v>SmartLife Plus</x:v>
      </x:c>
      <x:c r="F2406" s="24" t="str">
        <x:v>PhotoFusion X Extra Dark Cinza</x:v>
      </x:c>
      <x:c r="G2406" s="24" t="str">
        <x:v>1.67</x:v>
      </x:c>
      <x:c r="H2406" s="24" t="str">
        <x:v>1.67</x:v>
      </x:c>
      <x:c r="I2406" s="24" t="str">
        <x:v>DuraVision Platinum UV</x:v>
      </x:c>
      <x:c r="J2406" s="40" t="n">
        <x:v>10500</x:v>
      </x:c>
      <x:c r="K2406" s="24" t="str">
        <x:v>-8.00 a +8.00</x:v>
      </x:c>
      <x:c r="L2406" s="24" t="str">
        <x:v>-4.00</x:v>
      </x:c>
      <x:c r="M2406" s="24" t="str">
        <x:v>0.75 a 3.00</x:v>
      </x:c>
      <x:c r="N2406" s="24" t="str">
        <x:v>70</x:v>
      </x:c>
      <x:c r="O2406" s="24"/>
      <x:c r="P2406" s="24"/>
      <x:c r="Q2406" s="24" t="str">
        <x:v>DISPONÍVEL</x:v>
      </x:c>
      <x:c r="R2406" s="24" t="str">
        <x:v>Programa de Parcerias ZEISS</x:v>
      </x:c>
      <x:c r="S2406" s="24" t="n">
        <x:v>39</x:v>
      </x:c>
      <x:c r="T2406" s="24" t="str">
        <x:v>tabela_zeiss.pdf</x:v>
      </x:c>
      <x:c r="U2406" s="24" t="str">
        <x:v>ZEISS|Progressiva|Surfaçada|SmartLife Plus|PhotoFusion X Extra Dark Cinza|1.67|1.67|DuraVision Platinum UV|-8.00 a +8.00|-4.00|0.75 a 3.00|70|||39</x:v>
      </x:c>
    </x:row>
    <x:row r="2407">
      <x:c r="A2407" s="24" t="str">
        <x:v>ZS-95B2021BD188</x:v>
      </x:c>
      <x:c r="B2407" s="24" t="str">
        <x:v>ZEISS</x:v>
      </x:c>
      <x:c r="C2407" s="24" t="str">
        <x:v>Progressiva</x:v>
      </x:c>
      <x:c r="D2407" s="24" t="str">
        <x:v>Surfaçada</x:v>
      </x:c>
      <x:c r="E2407" s="24" t="str">
        <x:v>SmartLife Plus</x:v>
      </x:c>
      <x:c r="F2407" s="24" t="str">
        <x:v>PhotoFusion X Extra Dark Cinza</x:v>
      </x:c>
      <x:c r="G2407" s="24" t="str">
        <x:v>1.67</x:v>
      </x:c>
      <x:c r="H2407" s="24" t="str">
        <x:v>1.67</x:v>
      </x:c>
      <x:c r="I2407" s="24" t="str">
        <x:v>DuraVision Silver UV</x:v>
      </x:c>
      <x:c r="J2407" s="40" t="n">
        <x:v>10240</x:v>
      </x:c>
      <x:c r="K2407" s="24" t="str">
        <x:v>-8.00 a +8.00</x:v>
      </x:c>
      <x:c r="L2407" s="24" t="str">
        <x:v>-4.00</x:v>
      </x:c>
      <x:c r="M2407" s="24" t="str">
        <x:v>0.75 a 3.00</x:v>
      </x:c>
      <x:c r="N2407" s="24" t="str">
        <x:v>70</x:v>
      </x:c>
      <x:c r="O2407" s="24"/>
      <x:c r="P2407" s="24"/>
      <x:c r="Q2407" s="24" t="str">
        <x:v>DISPONÍVEL</x:v>
      </x:c>
      <x:c r="R2407" s="24" t="str">
        <x:v>Programa de Parcerias ZEISS</x:v>
      </x:c>
      <x:c r="S2407" s="24" t="n">
        <x:v>39</x:v>
      </x:c>
      <x:c r="T2407" s="24" t="str">
        <x:v>tabela_zeiss.pdf</x:v>
      </x:c>
      <x:c r="U2407" s="24" t="str">
        <x:v>ZEISS|Progressiva|Surfaçada|SmartLife Plus|PhotoFusion X Extra Dark Cinza|1.67|1.67|DuraVision Silver UV|-8.00 a +8.00|-4.00|0.75 a 3.00|70|||39</x:v>
      </x:c>
    </x:row>
    <x:row r="2408">
      <x:c r="A2408" s="24" t="str">
        <x:v>ZS-15BE37F5F03B</x:v>
      </x:c>
      <x:c r="B2408" s="24" t="str">
        <x:v>ZEISS</x:v>
      </x:c>
      <x:c r="C2408" s="24" t="str">
        <x:v>Progressiva</x:v>
      </x:c>
      <x:c r="D2408" s="24" t="str">
        <x:v>Surfaçada</x:v>
      </x:c>
      <x:c r="E2408" s="24" t="str">
        <x:v>SmartLife Plus</x:v>
      </x:c>
      <x:c r="F2408" s="24" t="str">
        <x:v>PhotoFusion X Extra Dark Cinza</x:v>
      </x:c>
      <x:c r="G2408" s="24" t="str">
        <x:v>1.67</x:v>
      </x:c>
      <x:c r="H2408" s="24" t="str">
        <x:v>1.67</x:v>
      </x:c>
      <x:c r="I2408" s="24" t="str">
        <x:v>DuraVision Chrome UV</x:v>
      </x:c>
      <x:c r="J2408" s="40" t="n">
        <x:v>9750</x:v>
      </x:c>
      <x:c r="K2408" s="24" t="str">
        <x:v>-8.00 a +8.00</x:v>
      </x:c>
      <x:c r="L2408" s="24" t="str">
        <x:v>-4.00</x:v>
      </x:c>
      <x:c r="M2408" s="24" t="str">
        <x:v>0.75 a 3.00</x:v>
      </x:c>
      <x:c r="N2408" s="24" t="str">
        <x:v>70</x:v>
      </x:c>
      <x:c r="O2408" s="24"/>
      <x:c r="P2408" s="24"/>
      <x:c r="Q2408" s="24" t="str">
        <x:v>DISPONÍVEL</x:v>
      </x:c>
      <x:c r="R2408" s="24" t="str">
        <x:v>Programa de Parcerias ZEISS</x:v>
      </x:c>
      <x:c r="S2408" s="24" t="n">
        <x:v>39</x:v>
      </x:c>
      <x:c r="T2408" s="24" t="str">
        <x:v>tabela_zeiss.pdf</x:v>
      </x:c>
      <x:c r="U2408" s="24" t="str">
        <x:v>ZEISS|Progressiva|Surfaçada|SmartLife Plus|PhotoFusion X Extra Dark Cinza|1.67|1.67|DuraVision Chrome UV|-8.00 a +8.00|-4.00|0.75 a 3.00|70|||39</x:v>
      </x:c>
    </x:row>
    <x:row r="2409">
      <x:c r="A2409" s="24" t="str">
        <x:v>ZS-C97163705B5E</x:v>
      </x:c>
      <x:c r="B2409" s="24" t="str">
        <x:v>ZEISS</x:v>
      </x:c>
      <x:c r="C2409" s="24" t="str">
        <x:v>Progressiva</x:v>
      </x:c>
      <x:c r="D2409" s="24" t="str">
        <x:v>Surfaçada</x:v>
      </x:c>
      <x:c r="E2409" s="24" t="str">
        <x:v>SmartLife Plus</x:v>
      </x:c>
      <x:c r="F2409" s="24" t="str">
        <x:v>Polarizada</x:v>
      </x:c>
      <x:c r="G2409" s="24" t="str">
        <x:v>1.5</x:v>
      </x:c>
      <x:c r="H2409" s="24" t="str">
        <x:v>1.50</x:v>
      </x:c>
      <x:c r="I2409" s="24" t="str">
        <x:v>DuraVision Gold UV</x:v>
      </x:c>
      <x:c r="J2409" s="40" t="n">
        <x:v>7120</x:v>
      </x:c>
      <x:c r="K2409" s="24" t="str">
        <x:v>-6.00 a +6.00</x:v>
      </x:c>
      <x:c r="L2409" s="24" t="str">
        <x:v>-4.00</x:v>
      </x:c>
      <x:c r="M2409" s="24" t="str">
        <x:v>0.75 a 3.50</x:v>
      </x:c>
      <x:c r="N2409" s="24" t="str">
        <x:v>70</x:v>
      </x:c>
      <x:c r="O2409" s="24"/>
      <x:c r="P2409" s="24"/>
      <x:c r="Q2409" s="24" t="str">
        <x:v>DISPONÍVEL</x:v>
      </x:c>
      <x:c r="R2409" s="24"/>
      <x:c r="S2409" s="24" t="n">
        <x:v>39</x:v>
      </x:c>
      <x:c r="T2409" s="24" t="str">
        <x:v>tabela_zeiss.pdf</x:v>
      </x:c>
      <x:c r="U2409" s="24" t="str">
        <x:v>ZEISS|Progressiva|Surfaçada|SmartLife Plus|Polarizada|1.5|1.50|DuraVision Gold UV|-6.00 a +6.00|-4.00|0.75 a 3.50|70|||39</x:v>
      </x:c>
    </x:row>
    <x:row r="2410">
      <x:c r="A2410" s="24" t="str">
        <x:v>ZS-4AAA2EFC2666</x:v>
      </x:c>
      <x:c r="B2410" s="24" t="str">
        <x:v>ZEISS</x:v>
      </x:c>
      <x:c r="C2410" s="24" t="str">
        <x:v>Progressiva</x:v>
      </x:c>
      <x:c r="D2410" s="24" t="str">
        <x:v>Surfaçada</x:v>
      </x:c>
      <x:c r="E2410" s="24" t="str">
        <x:v>SmartLife Plus</x:v>
      </x:c>
      <x:c r="F2410" s="24" t="str">
        <x:v>Polarizada</x:v>
      </x:c>
      <x:c r="G2410" s="24" t="str">
        <x:v>1.5</x:v>
      </x:c>
      <x:c r="H2410" s="24" t="str">
        <x:v>1.50</x:v>
      </x:c>
      <x:c r="I2410" s="24" t="str">
        <x:v>DuraVision Platinum UV</x:v>
      </x:c>
      <x:c r="J2410" s="40" t="n">
        <x:v>6980</x:v>
      </x:c>
      <x:c r="K2410" s="24" t="str">
        <x:v>-6.00 a +6.00</x:v>
      </x:c>
      <x:c r="L2410" s="24" t="str">
        <x:v>-4.00</x:v>
      </x:c>
      <x:c r="M2410" s="24" t="str">
        <x:v>0.75 a 3.50</x:v>
      </x:c>
      <x:c r="N2410" s="24" t="str">
        <x:v>70</x:v>
      </x:c>
      <x:c r="O2410" s="24"/>
      <x:c r="P2410" s="24"/>
      <x:c r="Q2410" s="24" t="str">
        <x:v>DISPONÍVEL</x:v>
      </x:c>
      <x:c r="R2410" s="24"/>
      <x:c r="S2410" s="24" t="n">
        <x:v>39</x:v>
      </x:c>
      <x:c r="T2410" s="24" t="str">
        <x:v>tabela_zeiss.pdf</x:v>
      </x:c>
      <x:c r="U2410" s="24" t="str">
        <x:v>ZEISS|Progressiva|Surfaçada|SmartLife Plus|Polarizada|1.5|1.50|DuraVision Platinum UV|-6.00 a +6.00|-4.00|0.75 a 3.50|70|||39</x:v>
      </x:c>
    </x:row>
    <x:row r="2411">
      <x:c r="A2411" s="24" t="str">
        <x:v>ZS-9A0C7064D44D</x:v>
      </x:c>
      <x:c r="B2411" s="24" t="str">
        <x:v>ZEISS</x:v>
      </x:c>
      <x:c r="C2411" s="24" t="str">
        <x:v>Progressiva</x:v>
      </x:c>
      <x:c r="D2411" s="24" t="str">
        <x:v>Surfaçada</x:v>
      </x:c>
      <x:c r="E2411" s="24" t="str">
        <x:v>SmartLife Plus</x:v>
      </x:c>
      <x:c r="F2411" s="24" t="str">
        <x:v>Polarizada</x:v>
      </x:c>
      <x:c r="G2411" s="24" t="str">
        <x:v>1.5</x:v>
      </x:c>
      <x:c r="H2411" s="24" t="str">
        <x:v>1.50</x:v>
      </x:c>
      <x:c r="I2411" s="24" t="str">
        <x:v>DuraVision Silver UV</x:v>
      </x:c>
      <x:c r="J2411" s="40" t="n">
        <x:v>6720</x:v>
      </x:c>
      <x:c r="K2411" s="24" t="str">
        <x:v>-6.00 a +6.00</x:v>
      </x:c>
      <x:c r="L2411" s="24" t="str">
        <x:v>-4.00</x:v>
      </x:c>
      <x:c r="M2411" s="24" t="str">
        <x:v>0.75 a 3.50</x:v>
      </x:c>
      <x:c r="N2411" s="24" t="str">
        <x:v>70</x:v>
      </x:c>
      <x:c r="O2411" s="24"/>
      <x:c r="P2411" s="24"/>
      <x:c r="Q2411" s="24" t="str">
        <x:v>DISPONÍVEL</x:v>
      </x:c>
      <x:c r="R2411" s="24"/>
      <x:c r="S2411" s="24" t="n">
        <x:v>39</x:v>
      </x:c>
      <x:c r="T2411" s="24" t="str">
        <x:v>tabela_zeiss.pdf</x:v>
      </x:c>
      <x:c r="U2411" s="24" t="str">
        <x:v>ZEISS|Progressiva|Surfaçada|SmartLife Plus|Polarizada|1.5|1.50|DuraVision Silver UV|-6.00 a +6.00|-4.00|0.75 a 3.50|70|||39</x:v>
      </x:c>
    </x:row>
    <x:row r="2412">
      <x:c r="A2412" s="24" t="str">
        <x:v>ZS-DE92692C6DDE</x:v>
      </x:c>
      <x:c r="B2412" s="24" t="str">
        <x:v>ZEISS</x:v>
      </x:c>
      <x:c r="C2412" s="24" t="str">
        <x:v>Progressiva</x:v>
      </x:c>
      <x:c r="D2412" s="24" t="str">
        <x:v>Surfaçada</x:v>
      </x:c>
      <x:c r="E2412" s="24" t="str">
        <x:v>SmartLife Plus</x:v>
      </x:c>
      <x:c r="F2412" s="24" t="str">
        <x:v>Polarizada</x:v>
      </x:c>
      <x:c r="G2412" s="24" t="str">
        <x:v>1.5</x:v>
      </x:c>
      <x:c r="H2412" s="24" t="str">
        <x:v>1.50</x:v>
      </x:c>
      <x:c r="I2412" s="24" t="str">
        <x:v>DuraVision Chrome UV</x:v>
      </x:c>
      <x:c r="J2412" s="40" t="n">
        <x:v>6230</x:v>
      </x:c>
      <x:c r="K2412" s="24" t="str">
        <x:v>-6.00 a +6.00</x:v>
      </x:c>
      <x:c r="L2412" s="24" t="str">
        <x:v>-4.00</x:v>
      </x:c>
      <x:c r="M2412" s="24" t="str">
        <x:v>0.75 a 3.50</x:v>
      </x:c>
      <x:c r="N2412" s="24" t="str">
        <x:v>70</x:v>
      </x:c>
      <x:c r="O2412" s="24"/>
      <x:c r="P2412" s="24"/>
      <x:c r="Q2412" s="24" t="str">
        <x:v>DISPONÍVEL</x:v>
      </x:c>
      <x:c r="R2412" s="24"/>
      <x:c r="S2412" s="24" t="n">
        <x:v>39</x:v>
      </x:c>
      <x:c r="T2412" s="24" t="str">
        <x:v>tabela_zeiss.pdf</x:v>
      </x:c>
      <x:c r="U2412" s="24" t="str">
        <x:v>ZEISS|Progressiva|Surfaçada|SmartLife Plus|Polarizada|1.5|1.50|DuraVision Chrome UV|-6.00 a +6.00|-4.00|0.75 a 3.50|70|||39</x:v>
      </x:c>
    </x:row>
    <x:row r="2413">
      <x:c r="A2413" s="24" t="str">
        <x:v>ZS-A3834241DE70</x:v>
      </x:c>
      <x:c r="B2413" s="24" t="str">
        <x:v>ZEISS</x:v>
      </x:c>
      <x:c r="C2413" s="24" t="str">
        <x:v>Progressiva</x:v>
      </x:c>
      <x:c r="D2413" s="24" t="str">
        <x:v>Surfaçada</x:v>
      </x:c>
      <x:c r="E2413" s="24" t="str">
        <x:v>SmartLife Plus</x:v>
      </x:c>
      <x:c r="F2413" s="24" t="str">
        <x:v>Polarizada</x:v>
      </x:c>
      <x:c r="G2413" s="24" t="str">
        <x:v>1.5</x:v>
      </x:c>
      <x:c r="H2413" s="24" t="str">
        <x:v>1.50</x:v>
      </x:c>
      <x:c r="I2413" s="24" t="str">
        <x:v>Sem AR</x:v>
      </x:c>
      <x:c r="J2413" s="40" t="n">
        <x:v>5830</x:v>
      </x:c>
      <x:c r="K2413" s="24" t="str">
        <x:v>-6.00 a +6.00</x:v>
      </x:c>
      <x:c r="L2413" s="24" t="str">
        <x:v>-4.00</x:v>
      </x:c>
      <x:c r="M2413" s="24" t="str">
        <x:v>0.75 a 3.50</x:v>
      </x:c>
      <x:c r="N2413" s="24" t="str">
        <x:v>70</x:v>
      </x:c>
      <x:c r="O2413" s="24"/>
      <x:c r="P2413" s="24"/>
      <x:c r="Q2413" s="24" t="str">
        <x:v>DISPONÍVEL</x:v>
      </x:c>
      <x:c r="R2413" s="24"/>
      <x:c r="S2413" s="24" t="n">
        <x:v>39</x:v>
      </x:c>
      <x:c r="T2413" s="24" t="str">
        <x:v>tabela_zeiss.pdf</x:v>
      </x:c>
      <x:c r="U2413" s="24" t="str">
        <x:v>ZEISS|Progressiva|Surfaçada|SmartLife Plus|Polarizada|1.5|1.50|Sem AR|-6.00 a +6.00|-4.00|0.75 a 3.50|70|||39</x:v>
      </x:c>
    </x:row>
    <x:row r="2414">
      <x:c r="A2414" s="24" t="str">
        <x:v>ZS-A6451F157863</x:v>
      </x:c>
      <x:c r="B2414" s="24" t="str">
        <x:v>ZEISS</x:v>
      </x:c>
      <x:c r="C2414" s="24" t="str">
        <x:v>Progressiva</x:v>
      </x:c>
      <x:c r="D2414" s="24" t="str">
        <x:v>Surfaçada</x:v>
      </x:c>
      <x:c r="E2414" s="24" t="str">
        <x:v>SmartLife Plus</x:v>
      </x:c>
      <x:c r="F2414" s="24" t="str">
        <x:v>Polarizada</x:v>
      </x:c>
      <x:c r="G2414" s="24" t="str">
        <x:v>1.6</x:v>
      </x:c>
      <x:c r="H2414" s="24" t="str">
        <x:v>1.60</x:v>
      </x:c>
      <x:c r="I2414" s="24" t="str">
        <x:v>DuraVision Gold UV</x:v>
      </x:c>
      <x:c r="J2414" s="40" t="n">
        <x:v>8370</x:v>
      </x:c>
      <x:c r="K2414" s="24" t="str">
        <x:v>-8.50 a +6.00</x:v>
      </x:c>
      <x:c r="L2414" s="24" t="str">
        <x:v>-4.00</x:v>
      </x:c>
      <x:c r="M2414" s="24" t="str">
        <x:v>0.75 a 3.50</x:v>
      </x:c>
      <x:c r="N2414" s="24" t="str">
        <x:v>70</x:v>
      </x:c>
      <x:c r="O2414" s="24"/>
      <x:c r="P2414" s="24"/>
      <x:c r="Q2414" s="24" t="str">
        <x:v>DISPONÍVEL</x:v>
      </x:c>
      <x:c r="R2414" s="24"/>
      <x:c r="S2414" s="24" t="n">
        <x:v>39</x:v>
      </x:c>
      <x:c r="T2414" s="24" t="str">
        <x:v>tabela_zeiss.pdf</x:v>
      </x:c>
      <x:c r="U2414" s="24" t="str">
        <x:v>ZEISS|Progressiva|Surfaçada|SmartLife Plus|Polarizada|1.6|1.60|DuraVision Gold UV|-8.50 a +6.00|-4.00|0.75 a 3.50|70|||39</x:v>
      </x:c>
    </x:row>
    <x:row r="2415">
      <x:c r="A2415" s="24" t="str">
        <x:v>ZS-EDDC7736A211</x:v>
      </x:c>
      <x:c r="B2415" s="24" t="str">
        <x:v>ZEISS</x:v>
      </x:c>
      <x:c r="C2415" s="24" t="str">
        <x:v>Progressiva</x:v>
      </x:c>
      <x:c r="D2415" s="24" t="str">
        <x:v>Surfaçada</x:v>
      </x:c>
      <x:c r="E2415" s="24" t="str">
        <x:v>SmartLife Plus</x:v>
      </x:c>
      <x:c r="F2415" s="24" t="str">
        <x:v>Polarizada</x:v>
      </x:c>
      <x:c r="G2415" s="24" t="str">
        <x:v>1.6</x:v>
      </x:c>
      <x:c r="H2415" s="24" t="str">
        <x:v>1.60</x:v>
      </x:c>
      <x:c r="I2415" s="24" t="str">
        <x:v>DuraVision Platinum UV</x:v>
      </x:c>
      <x:c r="J2415" s="40" t="n">
        <x:v>8230</x:v>
      </x:c>
      <x:c r="K2415" s="24" t="str">
        <x:v>-8.50 a +6.00</x:v>
      </x:c>
      <x:c r="L2415" s="24" t="str">
        <x:v>-4.00</x:v>
      </x:c>
      <x:c r="M2415" s="24" t="str">
        <x:v>0.75 a 3.50</x:v>
      </x:c>
      <x:c r="N2415" s="24" t="str">
        <x:v>70</x:v>
      </x:c>
      <x:c r="O2415" s="24"/>
      <x:c r="P2415" s="24"/>
      <x:c r="Q2415" s="24" t="str">
        <x:v>DISPONÍVEL</x:v>
      </x:c>
      <x:c r="R2415" s="24"/>
      <x:c r="S2415" s="24" t="n">
        <x:v>39</x:v>
      </x:c>
      <x:c r="T2415" s="24" t="str">
        <x:v>tabela_zeiss.pdf</x:v>
      </x:c>
      <x:c r="U2415" s="24" t="str">
        <x:v>ZEISS|Progressiva|Surfaçada|SmartLife Plus|Polarizada|1.6|1.60|DuraVision Platinum UV|-8.50 a +6.00|-4.00|0.75 a 3.50|70|||39</x:v>
      </x:c>
    </x:row>
    <x:row r="2416">
      <x:c r="A2416" s="24" t="str">
        <x:v>ZS-E3700C154F05</x:v>
      </x:c>
      <x:c r="B2416" s="24" t="str">
        <x:v>ZEISS</x:v>
      </x:c>
      <x:c r="C2416" s="24" t="str">
        <x:v>Progressiva</x:v>
      </x:c>
      <x:c r="D2416" s="24" t="str">
        <x:v>Surfaçada</x:v>
      </x:c>
      <x:c r="E2416" s="24" t="str">
        <x:v>SmartLife Plus</x:v>
      </x:c>
      <x:c r="F2416" s="24" t="str">
        <x:v>Polarizada</x:v>
      </x:c>
      <x:c r="G2416" s="24" t="str">
        <x:v>1.6</x:v>
      </x:c>
      <x:c r="H2416" s="24" t="str">
        <x:v>1.60</x:v>
      </x:c>
      <x:c r="I2416" s="24" t="str">
        <x:v>DuraVision Silver UV</x:v>
      </x:c>
      <x:c r="J2416" s="40" t="n">
        <x:v>7970</x:v>
      </x:c>
      <x:c r="K2416" s="24" t="str">
        <x:v>-8.50 a +6.00</x:v>
      </x:c>
      <x:c r="L2416" s="24" t="str">
        <x:v>-4.00</x:v>
      </x:c>
      <x:c r="M2416" s="24" t="str">
        <x:v>0.75 a 3.50</x:v>
      </x:c>
      <x:c r="N2416" s="24" t="str">
        <x:v>70</x:v>
      </x:c>
      <x:c r="O2416" s="24"/>
      <x:c r="P2416" s="24"/>
      <x:c r="Q2416" s="24" t="str">
        <x:v>DISPONÍVEL</x:v>
      </x:c>
      <x:c r="R2416" s="24"/>
      <x:c r="S2416" s="24" t="n">
        <x:v>39</x:v>
      </x:c>
      <x:c r="T2416" s="24" t="str">
        <x:v>tabela_zeiss.pdf</x:v>
      </x:c>
      <x:c r="U2416" s="24" t="str">
        <x:v>ZEISS|Progressiva|Surfaçada|SmartLife Plus|Polarizada|1.6|1.60|DuraVision Silver UV|-8.50 a +6.00|-4.00|0.75 a 3.50|70|||39</x:v>
      </x:c>
    </x:row>
    <x:row r="2417">
      <x:c r="A2417" s="24" t="str">
        <x:v>ZS-EA539C8F67A6</x:v>
      </x:c>
      <x:c r="B2417" s="24" t="str">
        <x:v>ZEISS</x:v>
      </x:c>
      <x:c r="C2417" s="24" t="str">
        <x:v>Progressiva</x:v>
      </x:c>
      <x:c r="D2417" s="24" t="str">
        <x:v>Surfaçada</x:v>
      </x:c>
      <x:c r="E2417" s="24" t="str">
        <x:v>SmartLife Plus</x:v>
      </x:c>
      <x:c r="F2417" s="24" t="str">
        <x:v>Polarizada</x:v>
      </x:c>
      <x:c r="G2417" s="24" t="str">
        <x:v>1.6</x:v>
      </x:c>
      <x:c r="H2417" s="24" t="str">
        <x:v>1.60</x:v>
      </x:c>
      <x:c r="I2417" s="24" t="str">
        <x:v>DuraVision Chrome UV</x:v>
      </x:c>
      <x:c r="J2417" s="40" t="n">
        <x:v>7480</x:v>
      </x:c>
      <x:c r="K2417" s="24" t="str">
        <x:v>-8.50 a +6.00</x:v>
      </x:c>
      <x:c r="L2417" s="24" t="str">
        <x:v>-4.00</x:v>
      </x:c>
      <x:c r="M2417" s="24" t="str">
        <x:v>0.75 a 3.50</x:v>
      </x:c>
      <x:c r="N2417" s="24" t="str">
        <x:v>70</x:v>
      </x:c>
      <x:c r="O2417" s="24"/>
      <x:c r="P2417" s="24"/>
      <x:c r="Q2417" s="24" t="str">
        <x:v>DISPONÍVEL</x:v>
      </x:c>
      <x:c r="R2417" s="24"/>
      <x:c r="S2417" s="24" t="n">
        <x:v>39</x:v>
      </x:c>
      <x:c r="T2417" s="24" t="str">
        <x:v>tabela_zeiss.pdf</x:v>
      </x:c>
      <x:c r="U2417" s="24" t="str">
        <x:v>ZEISS|Progressiva|Surfaçada|SmartLife Plus|Polarizada|1.6|1.60|DuraVision Chrome UV|-8.50 a +6.00|-4.00|0.75 a 3.50|70|||39</x:v>
      </x:c>
    </x:row>
    <x:row r="2418">
      <x:c r="A2418" s="24" t="str">
        <x:v>ZS-92D89DAD2972</x:v>
      </x:c>
      <x:c r="B2418" s="24" t="str">
        <x:v>ZEISS</x:v>
      </x:c>
      <x:c r="C2418" s="24" t="str">
        <x:v>Progressiva</x:v>
      </x:c>
      <x:c r="D2418" s="24" t="str">
        <x:v>Surfaçada</x:v>
      </x:c>
      <x:c r="E2418" s="24" t="str">
        <x:v>SmartLife Plus</x:v>
      </x:c>
      <x:c r="F2418" s="24" t="str">
        <x:v>Polarizada</x:v>
      </x:c>
      <x:c r="G2418" s="24" t="str">
        <x:v>1.6</x:v>
      </x:c>
      <x:c r="H2418" s="24" t="str">
        <x:v>1.60</x:v>
      </x:c>
      <x:c r="I2418" s="24" t="str">
        <x:v>Sem AR</x:v>
      </x:c>
      <x:c r="J2418" s="40" t="n">
        <x:v>7080</x:v>
      </x:c>
      <x:c r="K2418" s="24" t="str">
        <x:v>-8.50 a +6.00</x:v>
      </x:c>
      <x:c r="L2418" s="24" t="str">
        <x:v>-4.00</x:v>
      </x:c>
      <x:c r="M2418" s="24" t="str">
        <x:v>0.75 a 3.50</x:v>
      </x:c>
      <x:c r="N2418" s="24" t="str">
        <x:v>70</x:v>
      </x:c>
      <x:c r="O2418" s="24"/>
      <x:c r="P2418" s="24"/>
      <x:c r="Q2418" s="24" t="str">
        <x:v>DISPONÍVEL</x:v>
      </x:c>
      <x:c r="R2418" s="24"/>
      <x:c r="S2418" s="24" t="n">
        <x:v>39</x:v>
      </x:c>
      <x:c r="T2418" s="24" t="str">
        <x:v>tabela_zeiss.pdf</x:v>
      </x:c>
      <x:c r="U2418" s="24" t="str">
        <x:v>ZEISS|Progressiva|Surfaçada|SmartLife Plus|Polarizada|1.6|1.60|Sem AR|-8.50 a +6.00|-4.00|0.75 a 3.50|70|||39</x:v>
      </x:c>
    </x:row>
    <x:row r="2419">
      <x:c r="A2419" s="24" t="str">
        <x:v>ZS-E0DB2B5F466D</x:v>
      </x:c>
      <x:c r="B2419" s="24" t="str">
        <x:v>ZEISS</x:v>
      </x:c>
      <x:c r="C2419" s="24" t="str">
        <x:v>Progressiva</x:v>
      </x:c>
      <x:c r="D2419" s="24" t="str">
        <x:v>Surfaçada</x:v>
      </x:c>
      <x:c r="E2419" s="24" t="str">
        <x:v>SmartLife Pure</x:v>
      </x:c>
      <x:c r="F2419" s="24"/>
      <x:c r="G2419" s="24" t="str">
        <x:v>1.5</x:v>
      </x:c>
      <x:c r="H2419" s="24" t="str">
        <x:v>1.50</x:v>
      </x:c>
      <x:c r="I2419" s="24" t="str">
        <x:v>DuraVision Gold UV</x:v>
      </x:c>
      <x:c r="J2419" s="40" t="n">
        <x:v>5380</x:v>
      </x:c>
      <x:c r="K2419" s="24" t="str">
        <x:v>-6.00 a +4.00</x:v>
      </x:c>
      <x:c r="L2419" s="24" t="str">
        <x:v>-4.00</x:v>
      </x:c>
      <x:c r="M2419" s="24" t="str">
        <x:v>0.75 a 3.50</x:v>
      </x:c>
      <x:c r="N2419" s="24" t="str">
        <x:v>75</x:v>
      </x:c>
      <x:c r="O2419" s="24"/>
      <x:c r="P2419" s="24"/>
      <x:c r="Q2419" s="24" t="str">
        <x:v>DISPONÍVEL</x:v>
      </x:c>
      <x:c r="R2419" s="24"/>
      <x:c r="S2419" s="24" t="n">
        <x:v>40</x:v>
      </x:c>
      <x:c r="T2419" s="24" t="str">
        <x:v>tabela_zeiss.pdf</x:v>
      </x:c>
      <x:c r="U2419" s="24" t="str">
        <x:v>ZEISS|Progressiva|Surfaçada|SmartLife Pure||1.5|1.50|DuraVision Gold UV|-6.00 a +4.00|-4.00|0.75 a 3.50|75|||40</x:v>
      </x:c>
    </x:row>
    <x:row r="2420">
      <x:c r="A2420" s="24" t="str">
        <x:v>ZS-0F1B0A37F09A</x:v>
      </x:c>
      <x:c r="B2420" s="24" t="str">
        <x:v>ZEISS</x:v>
      </x:c>
      <x:c r="C2420" s="24" t="str">
        <x:v>Progressiva</x:v>
      </x:c>
      <x:c r="D2420" s="24" t="str">
        <x:v>Surfaçada</x:v>
      </x:c>
      <x:c r="E2420" s="24" t="str">
        <x:v>SmartLife Pure</x:v>
      </x:c>
      <x:c r="F2420" s="24"/>
      <x:c r="G2420" s="24" t="str">
        <x:v>1.5</x:v>
      </x:c>
      <x:c r="H2420" s="24" t="str">
        <x:v>1.50</x:v>
      </x:c>
      <x:c r="I2420" s="24" t="str">
        <x:v>DURAVISION® ANTIVÍRUS PLATINUM UV</x:v>
      </x:c>
      <x:c r="J2420" s="40" t="n">
        <x:v>5240</x:v>
      </x:c>
      <x:c r="K2420" s="24" t="str">
        <x:v>-6.00 a +4.00</x:v>
      </x:c>
      <x:c r="L2420" s="24" t="str">
        <x:v>-4.00</x:v>
      </x:c>
      <x:c r="M2420" s="24" t="str">
        <x:v>0.75 a 3.50</x:v>
      </x:c>
      <x:c r="N2420" s="24" t="str">
        <x:v>75</x:v>
      </x:c>
      <x:c r="O2420" s="24"/>
      <x:c r="P2420" s="24"/>
      <x:c r="Q2420" s="24" t="str">
        <x:v>DISPONÍVEL</x:v>
      </x:c>
      <x:c r="R2420" s="24"/>
      <x:c r="S2420" s="24" t="n">
        <x:v>40</x:v>
      </x:c>
      <x:c r="T2420" s="24" t="str">
        <x:v>tabela_zeiss.pdf</x:v>
      </x:c>
      <x:c r="U2420" s="24" t="str">
        <x:v>ZEISS|Progressiva|Surfaçada|SmartLife Pure||1.5|1.50|DURAVISION® ANTIVÍRUS PLATINUM UV|-6.00 a +4.00|-4.00|0.75 a 3.50|75|||40</x:v>
      </x:c>
    </x:row>
    <x:row r="2421">
      <x:c r="A2421" s="24" t="str">
        <x:v>ZS-B80FED3BB446</x:v>
      </x:c>
      <x:c r="B2421" s="24" t="str">
        <x:v>ZEISS</x:v>
      </x:c>
      <x:c r="C2421" s="24" t="str">
        <x:v>Progressiva</x:v>
      </x:c>
      <x:c r="D2421" s="24" t="str">
        <x:v>Surfaçada</x:v>
      </x:c>
      <x:c r="E2421" s="24" t="str">
        <x:v>SmartLife Pure</x:v>
      </x:c>
      <x:c r="F2421" s="24"/>
      <x:c r="G2421" s="24" t="str">
        <x:v>1.5</x:v>
      </x:c>
      <x:c r="H2421" s="24" t="str">
        <x:v>1.50</x:v>
      </x:c>
      <x:c r="I2421" s="24" t="str">
        <x:v>DuraVision Platinum UV</x:v>
      </x:c>
      <x:c r="J2421" s="40" t="n">
        <x:v>5240</x:v>
      </x:c>
      <x:c r="K2421" s="24" t="str">
        <x:v>-6.00 a +4.00</x:v>
      </x:c>
      <x:c r="L2421" s="24" t="str">
        <x:v>-4.00</x:v>
      </x:c>
      <x:c r="M2421" s="24" t="str">
        <x:v>0.75 a 3.50</x:v>
      </x:c>
      <x:c r="N2421" s="24" t="str">
        <x:v>75</x:v>
      </x:c>
      <x:c r="O2421" s="24"/>
      <x:c r="P2421" s="24"/>
      <x:c r="Q2421" s="24" t="str">
        <x:v>DISPONÍVEL</x:v>
      </x:c>
      <x:c r="R2421" s="24"/>
      <x:c r="S2421" s="24" t="n">
        <x:v>40</x:v>
      </x:c>
      <x:c r="T2421" s="24" t="str">
        <x:v>tabela_zeiss.pdf</x:v>
      </x:c>
      <x:c r="U2421" s="24" t="str">
        <x:v>ZEISS|Progressiva|Surfaçada|SmartLife Pure||1.5|1.50|DuraVision Platinum UV|-6.00 a +4.00|-4.00|0.75 a 3.50|75|||40</x:v>
      </x:c>
    </x:row>
    <x:row r="2422">
      <x:c r="A2422" s="24" t="str">
        <x:v>ZS-85B406219D0B</x:v>
      </x:c>
      <x:c r="B2422" s="24" t="str">
        <x:v>ZEISS</x:v>
      </x:c>
      <x:c r="C2422" s="24" t="str">
        <x:v>Progressiva</x:v>
      </x:c>
      <x:c r="D2422" s="24" t="str">
        <x:v>Surfaçada</x:v>
      </x:c>
      <x:c r="E2422" s="24" t="str">
        <x:v>SmartLife Pure</x:v>
      </x:c>
      <x:c r="F2422" s="24"/>
      <x:c r="G2422" s="24" t="str">
        <x:v>1.5</x:v>
      </x:c>
      <x:c r="H2422" s="24" t="str">
        <x:v>1.50</x:v>
      </x:c>
      <x:c r="I2422" s="24" t="str">
        <x:v>DuraVision Silver UV</x:v>
      </x:c>
      <x:c r="J2422" s="40" t="n">
        <x:v>4980</x:v>
      </x:c>
      <x:c r="K2422" s="24" t="str">
        <x:v>-6.00 a +4.00</x:v>
      </x:c>
      <x:c r="L2422" s="24" t="str">
        <x:v>-4.00</x:v>
      </x:c>
      <x:c r="M2422" s="24" t="str">
        <x:v>0.75 a 3.50</x:v>
      </x:c>
      <x:c r="N2422" s="24" t="str">
        <x:v>75</x:v>
      </x:c>
      <x:c r="O2422" s="24"/>
      <x:c r="P2422" s="24"/>
      <x:c r="Q2422" s="24" t="str">
        <x:v>DISPONÍVEL</x:v>
      </x:c>
      <x:c r="R2422" s="24"/>
      <x:c r="S2422" s="24" t="n">
        <x:v>40</x:v>
      </x:c>
      <x:c r="T2422" s="24" t="str">
        <x:v>tabela_zeiss.pdf</x:v>
      </x:c>
      <x:c r="U2422" s="24" t="str">
        <x:v>ZEISS|Progressiva|Surfaçada|SmartLife Pure||1.5|1.50|DuraVision Silver UV|-6.00 a +4.00|-4.00|0.75 a 3.50|75|||40</x:v>
      </x:c>
    </x:row>
    <x:row r="2423">
      <x:c r="A2423" s="24" t="str">
        <x:v>ZS-517F1A1C86F8</x:v>
      </x:c>
      <x:c r="B2423" s="24" t="str">
        <x:v>ZEISS</x:v>
      </x:c>
      <x:c r="C2423" s="24" t="str">
        <x:v>Progressiva</x:v>
      </x:c>
      <x:c r="D2423" s="24" t="str">
        <x:v>Surfaçada</x:v>
      </x:c>
      <x:c r="E2423" s="24" t="str">
        <x:v>SmartLife Pure</x:v>
      </x:c>
      <x:c r="F2423" s="24"/>
      <x:c r="G2423" s="24" t="str">
        <x:v>1.5</x:v>
      </x:c>
      <x:c r="H2423" s="24" t="str">
        <x:v>1.50</x:v>
      </x:c>
      <x:c r="I2423" s="24" t="str">
        <x:v>DuraVision Chrome UV</x:v>
      </x:c>
      <x:c r="J2423" s="40" t="n">
        <x:v>4490</x:v>
      </x:c>
      <x:c r="K2423" s="24" t="str">
        <x:v>-6.00 a +4.00</x:v>
      </x:c>
      <x:c r="L2423" s="24" t="str">
        <x:v>-4.00</x:v>
      </x:c>
      <x:c r="M2423" s="24" t="str">
        <x:v>0.75 a 3.50</x:v>
      </x:c>
      <x:c r="N2423" s="24" t="str">
        <x:v>75</x:v>
      </x:c>
      <x:c r="O2423" s="24"/>
      <x:c r="P2423" s="24"/>
      <x:c r="Q2423" s="24" t="str">
        <x:v>DISPONÍVEL</x:v>
      </x:c>
      <x:c r="R2423" s="24"/>
      <x:c r="S2423" s="24" t="n">
        <x:v>40</x:v>
      </x:c>
      <x:c r="T2423" s="24" t="str">
        <x:v>tabela_zeiss.pdf</x:v>
      </x:c>
      <x:c r="U2423" s="24" t="str">
        <x:v>ZEISS|Progressiva|Surfaçada|SmartLife Pure||1.5|1.50|DuraVision Chrome UV|-6.00 a +4.00|-4.00|0.75 a 3.50|75|||40</x:v>
      </x:c>
    </x:row>
    <x:row r="2424">
      <x:c r="A2424" s="24" t="str">
        <x:v>ZS-FB3FC2939297</x:v>
      </x:c>
      <x:c r="B2424" s="24" t="str">
        <x:v>ZEISS</x:v>
      </x:c>
      <x:c r="C2424" s="24" t="str">
        <x:v>Progressiva</x:v>
      </x:c>
      <x:c r="D2424" s="24" t="str">
        <x:v>Surfaçada</x:v>
      </x:c>
      <x:c r="E2424" s="24" t="str">
        <x:v>SmartLife Pure</x:v>
      </x:c>
      <x:c r="F2424" s="24"/>
      <x:c r="G2424" s="24" t="str">
        <x:v>Poli</x:v>
      </x:c>
      <x:c r="H2424" s="24"/>
      <x:c r="I2424" s="24" t="str">
        <x:v>DuraVision Gold UV</x:v>
      </x:c>
      <x:c r="J2424" s="40" t="n">
        <x:v>5970</x:v>
      </x:c>
      <x:c r="K2424" s="24" t="str">
        <x:v>-10.00 a +6.00</x:v>
      </x:c>
      <x:c r="L2424" s="24" t="str">
        <x:v>-6.00</x:v>
      </x:c>
      <x:c r="M2424" s="24" t="str">
        <x:v>0.75 a 3.00</x:v>
      </x:c>
      <x:c r="N2424" s="24" t="str">
        <x:v>70</x:v>
      </x:c>
      <x:c r="O2424" s="24"/>
      <x:c r="P2424" s="24"/>
      <x:c r="Q2424" s="24" t="str">
        <x:v>DISPONÍVEL</x:v>
      </x:c>
      <x:c r="R2424" s="24"/>
      <x:c r="S2424" s="24" t="n">
        <x:v>40</x:v>
      </x:c>
      <x:c r="T2424" s="24" t="str">
        <x:v>tabela_zeiss.pdf</x:v>
      </x:c>
      <x:c r="U2424" s="24" t="str">
        <x:v>ZEISS|Progressiva|Surfaçada|SmartLife Pure||Poli||DuraVision Gold UV|-10.00 a +6.00|-6.00|0.75 a 3.00|70|||40</x:v>
      </x:c>
    </x:row>
    <x:row r="2425">
      <x:c r="A2425" s="24" t="str">
        <x:v>ZS-D617D69B718A</x:v>
      </x:c>
      <x:c r="B2425" s="24" t="str">
        <x:v>ZEISS</x:v>
      </x:c>
      <x:c r="C2425" s="24" t="str">
        <x:v>Progressiva</x:v>
      </x:c>
      <x:c r="D2425" s="24" t="str">
        <x:v>Surfaçada</x:v>
      </x:c>
      <x:c r="E2425" s="24" t="str">
        <x:v>SmartLife Pure</x:v>
      </x:c>
      <x:c r="F2425" s="24"/>
      <x:c r="G2425" s="24" t="str">
        <x:v>Poli</x:v>
      </x:c>
      <x:c r="H2425" s="24"/>
      <x:c r="I2425" s="24" t="str">
        <x:v>DuraVision Platinum UV</x:v>
      </x:c>
      <x:c r="J2425" s="40" t="n">
        <x:v>5830</x:v>
      </x:c>
      <x:c r="K2425" s="24" t="str">
        <x:v>-10.00 a +6.00</x:v>
      </x:c>
      <x:c r="L2425" s="24" t="str">
        <x:v>-6.00</x:v>
      </x:c>
      <x:c r="M2425" s="24" t="str">
        <x:v>0.75 a 3.00</x:v>
      </x:c>
      <x:c r="N2425" s="24" t="str">
        <x:v>70</x:v>
      </x:c>
      <x:c r="O2425" s="24"/>
      <x:c r="P2425" s="24"/>
      <x:c r="Q2425" s="24" t="str">
        <x:v>DISPONÍVEL</x:v>
      </x:c>
      <x:c r="R2425" s="24"/>
      <x:c r="S2425" s="24" t="n">
        <x:v>40</x:v>
      </x:c>
      <x:c r="T2425" s="24" t="str">
        <x:v>tabela_zeiss.pdf</x:v>
      </x:c>
      <x:c r="U2425" s="24" t="str">
        <x:v>ZEISS|Progressiva|Surfaçada|SmartLife Pure||Poli||DuraVision Platinum UV|-10.00 a +6.00|-6.00|0.75 a 3.00|70|||40</x:v>
      </x:c>
    </x:row>
    <x:row r="2426">
      <x:c r="A2426" s="24" t="str">
        <x:v>ZS-2D63E6A5118F</x:v>
      </x:c>
      <x:c r="B2426" s="24" t="str">
        <x:v>ZEISS</x:v>
      </x:c>
      <x:c r="C2426" s="24" t="str">
        <x:v>Progressiva</x:v>
      </x:c>
      <x:c r="D2426" s="24" t="str">
        <x:v>Surfaçada</x:v>
      </x:c>
      <x:c r="E2426" s="24" t="str">
        <x:v>SmartLife Pure</x:v>
      </x:c>
      <x:c r="F2426" s="24"/>
      <x:c r="G2426" s="24" t="str">
        <x:v>Poli</x:v>
      </x:c>
      <x:c r="H2426" s="24"/>
      <x:c r="I2426" s="24" t="str">
        <x:v>DuraVision Silver UV</x:v>
      </x:c>
      <x:c r="J2426" s="40" t="n">
        <x:v>5570</x:v>
      </x:c>
      <x:c r="K2426" s="24" t="str">
        <x:v>-10.00 a +6.00</x:v>
      </x:c>
      <x:c r="L2426" s="24" t="str">
        <x:v>-6.00</x:v>
      </x:c>
      <x:c r="M2426" s="24" t="str">
        <x:v>0.75 a 3.00</x:v>
      </x:c>
      <x:c r="N2426" s="24" t="str">
        <x:v>70</x:v>
      </x:c>
      <x:c r="O2426" s="24"/>
      <x:c r="P2426" s="24"/>
      <x:c r="Q2426" s="24" t="str">
        <x:v>DISPONÍVEL</x:v>
      </x:c>
      <x:c r="R2426" s="24"/>
      <x:c r="S2426" s="24" t="n">
        <x:v>40</x:v>
      </x:c>
      <x:c r="T2426" s="24" t="str">
        <x:v>tabela_zeiss.pdf</x:v>
      </x:c>
      <x:c r="U2426" s="24" t="str">
        <x:v>ZEISS|Progressiva|Surfaçada|SmartLife Pure||Poli||DuraVision Silver UV|-10.00 a +6.00|-6.00|0.75 a 3.00|70|||40</x:v>
      </x:c>
    </x:row>
    <x:row r="2427">
      <x:c r="A2427" s="24" t="str">
        <x:v>ZS-119147916F93</x:v>
      </x:c>
      <x:c r="B2427" s="24" t="str">
        <x:v>ZEISS</x:v>
      </x:c>
      <x:c r="C2427" s="24" t="str">
        <x:v>Progressiva</x:v>
      </x:c>
      <x:c r="D2427" s="24" t="str">
        <x:v>Surfaçada</x:v>
      </x:c>
      <x:c r="E2427" s="24" t="str">
        <x:v>SmartLife Pure</x:v>
      </x:c>
      <x:c r="F2427" s="24"/>
      <x:c r="G2427" s="24" t="str">
        <x:v>Poli</x:v>
      </x:c>
      <x:c r="H2427" s="24"/>
      <x:c r="I2427" s="24" t="str">
        <x:v>DuraVision Chrome UV</x:v>
      </x:c>
      <x:c r="J2427" s="40" t="n">
        <x:v>5080</x:v>
      </x:c>
      <x:c r="K2427" s="24" t="str">
        <x:v>-10.00 a +6.00</x:v>
      </x:c>
      <x:c r="L2427" s="24" t="str">
        <x:v>-6.00</x:v>
      </x:c>
      <x:c r="M2427" s="24" t="str">
        <x:v>0.75 a 3.00</x:v>
      </x:c>
      <x:c r="N2427" s="24" t="str">
        <x:v>70</x:v>
      </x:c>
      <x:c r="O2427" s="24"/>
      <x:c r="P2427" s="24"/>
      <x:c r="Q2427" s="24" t="str">
        <x:v>DISPONÍVEL</x:v>
      </x:c>
      <x:c r="R2427" s="24"/>
      <x:c r="S2427" s="24" t="n">
        <x:v>40</x:v>
      </x:c>
      <x:c r="T2427" s="24" t="str">
        <x:v>tabela_zeiss.pdf</x:v>
      </x:c>
      <x:c r="U2427" s="24" t="str">
        <x:v>ZEISS|Progressiva|Surfaçada|SmartLife Pure||Poli||DuraVision Chrome UV|-10.00 a +6.00|-6.00|0.75 a 3.00|70|||40</x:v>
      </x:c>
    </x:row>
    <x:row r="2428">
      <x:c r="A2428" s="24" t="str">
        <x:v>ZS-65A7BD20DDC4</x:v>
      </x:c>
      <x:c r="B2428" s="24" t="str">
        <x:v>ZEISS</x:v>
      </x:c>
      <x:c r="C2428" s="24" t="str">
        <x:v>Progressiva</x:v>
      </x:c>
      <x:c r="D2428" s="24" t="str">
        <x:v>Surfaçada</x:v>
      </x:c>
      <x:c r="E2428" s="24" t="str">
        <x:v>SmartLife Pure</x:v>
      </x:c>
      <x:c r="F2428" s="24"/>
      <x:c r="G2428" s="24" t="str">
        <x:v>1.6</x:v>
      </x:c>
      <x:c r="H2428" s="24" t="str">
        <x:v>1.60</x:v>
      </x:c>
      <x:c r="I2428" s="24" t="str">
        <x:v>DuraVision Gold UV</x:v>
      </x:c>
      <x:c r="J2428" s="40" t="n">
        <x:v>6630</x:v>
      </x:c>
      <x:c r="K2428" s="24" t="str">
        <x:v>-7.25 a +6.00</x:v>
      </x:c>
      <x:c r="L2428" s="24" t="str">
        <x:v>-6.00</x:v>
      </x:c>
      <x:c r="M2428" s="24" t="str">
        <x:v>0.75 a 3.50</x:v>
      </x:c>
      <x:c r="N2428" s="24" t="str">
        <x:v>75</x:v>
      </x:c>
      <x:c r="O2428" s="24"/>
      <x:c r="P2428" s="24"/>
      <x:c r="Q2428" s="24" t="str">
        <x:v>DISPONÍVEL</x:v>
      </x:c>
      <x:c r="R2428" s="24"/>
      <x:c r="S2428" s="24" t="n">
        <x:v>40</x:v>
      </x:c>
      <x:c r="T2428" s="24" t="str">
        <x:v>tabela_zeiss.pdf</x:v>
      </x:c>
      <x:c r="U2428" s="24" t="str">
        <x:v>ZEISS|Progressiva|Surfaçada|SmartLife Pure||1.6|1.60|DuraVision Gold UV|-7.25 a +6.00|-6.00|0.75 a 3.50|75|||40</x:v>
      </x:c>
    </x:row>
    <x:row r="2429">
      <x:c r="A2429" s="24" t="str">
        <x:v>ZS-14FF875DB6A6</x:v>
      </x:c>
      <x:c r="B2429" s="24" t="str">
        <x:v>ZEISS</x:v>
      </x:c>
      <x:c r="C2429" s="24" t="str">
        <x:v>Progressiva</x:v>
      </x:c>
      <x:c r="D2429" s="24" t="str">
        <x:v>Surfaçada</x:v>
      </x:c>
      <x:c r="E2429" s="24" t="str">
        <x:v>SmartLife Pure</x:v>
      </x:c>
      <x:c r="F2429" s="24"/>
      <x:c r="G2429" s="24" t="str">
        <x:v>1.6</x:v>
      </x:c>
      <x:c r="H2429" s="24" t="str">
        <x:v>1.60</x:v>
      </x:c>
      <x:c r="I2429" s="24" t="str">
        <x:v>DURAVISION® ANTIVÍRUS PLATINUM UV</x:v>
      </x:c>
      <x:c r="J2429" s="40" t="n">
        <x:v>6490</x:v>
      </x:c>
      <x:c r="K2429" s="24" t="str">
        <x:v>-7.25 a +6.00</x:v>
      </x:c>
      <x:c r="L2429" s="24" t="str">
        <x:v>-6.00</x:v>
      </x:c>
      <x:c r="M2429" s="24" t="str">
        <x:v>0.75 a 3.50</x:v>
      </x:c>
      <x:c r="N2429" s="24" t="str">
        <x:v>75</x:v>
      </x:c>
      <x:c r="O2429" s="24"/>
      <x:c r="P2429" s="24"/>
      <x:c r="Q2429" s="24" t="str">
        <x:v>DISPONÍVEL</x:v>
      </x:c>
      <x:c r="R2429" s="24"/>
      <x:c r="S2429" s="24" t="n">
        <x:v>40</x:v>
      </x:c>
      <x:c r="T2429" s="24" t="str">
        <x:v>tabela_zeiss.pdf</x:v>
      </x:c>
      <x:c r="U2429" s="24" t="str">
        <x:v>ZEISS|Progressiva|Surfaçada|SmartLife Pure||1.6|1.60|DURAVISION® ANTIVÍRUS PLATINUM UV|-7.25 a +6.00|-6.00|0.75 a 3.50|75|||40</x:v>
      </x:c>
    </x:row>
    <x:row r="2430">
      <x:c r="A2430" s="24" t="str">
        <x:v>ZS-8A3A50766147</x:v>
      </x:c>
      <x:c r="B2430" s="24" t="str">
        <x:v>ZEISS</x:v>
      </x:c>
      <x:c r="C2430" s="24" t="str">
        <x:v>Progressiva</x:v>
      </x:c>
      <x:c r="D2430" s="24" t="str">
        <x:v>Surfaçada</x:v>
      </x:c>
      <x:c r="E2430" s="24" t="str">
        <x:v>SmartLife Pure</x:v>
      </x:c>
      <x:c r="F2430" s="24"/>
      <x:c r="G2430" s="24" t="str">
        <x:v>1.6</x:v>
      </x:c>
      <x:c r="H2430" s="24" t="str">
        <x:v>1.60</x:v>
      </x:c>
      <x:c r="I2430" s="24" t="str">
        <x:v>DuraVision Platinum UV</x:v>
      </x:c>
      <x:c r="J2430" s="40" t="n">
        <x:v>6490</x:v>
      </x:c>
      <x:c r="K2430" s="24" t="str">
        <x:v>-7.25 a +6.00</x:v>
      </x:c>
      <x:c r="L2430" s="24" t="str">
        <x:v>-6.00</x:v>
      </x:c>
      <x:c r="M2430" s="24" t="str">
        <x:v>0.75 a 3.50</x:v>
      </x:c>
      <x:c r="N2430" s="24" t="str">
        <x:v>75</x:v>
      </x:c>
      <x:c r="O2430" s="24"/>
      <x:c r="P2430" s="24"/>
      <x:c r="Q2430" s="24" t="str">
        <x:v>DISPONÍVEL</x:v>
      </x:c>
      <x:c r="R2430" s="24"/>
      <x:c r="S2430" s="24" t="n">
        <x:v>40</x:v>
      </x:c>
      <x:c r="T2430" s="24" t="str">
        <x:v>tabela_zeiss.pdf</x:v>
      </x:c>
      <x:c r="U2430" s="24" t="str">
        <x:v>ZEISS|Progressiva|Surfaçada|SmartLife Pure||1.6|1.60|DuraVision Platinum UV|-7.25 a +6.00|-6.00|0.75 a 3.50|75|||40</x:v>
      </x:c>
    </x:row>
    <x:row r="2431">
      <x:c r="A2431" s="24" t="str">
        <x:v>ZS-03BC170239B6</x:v>
      </x:c>
      <x:c r="B2431" s="24" t="str">
        <x:v>ZEISS</x:v>
      </x:c>
      <x:c r="C2431" s="24" t="str">
        <x:v>Progressiva</x:v>
      </x:c>
      <x:c r="D2431" s="24" t="str">
        <x:v>Surfaçada</x:v>
      </x:c>
      <x:c r="E2431" s="24" t="str">
        <x:v>SmartLife Pure</x:v>
      </x:c>
      <x:c r="F2431" s="24"/>
      <x:c r="G2431" s="24" t="str">
        <x:v>1.6</x:v>
      </x:c>
      <x:c r="H2431" s="24" t="str">
        <x:v>1.60</x:v>
      </x:c>
      <x:c r="I2431" s="24" t="str">
        <x:v>DuraVision Silver UV</x:v>
      </x:c>
      <x:c r="J2431" s="40" t="n">
        <x:v>6230</x:v>
      </x:c>
      <x:c r="K2431" s="24" t="str">
        <x:v>-7.25 a +6.00</x:v>
      </x:c>
      <x:c r="L2431" s="24" t="str">
        <x:v>-6.00</x:v>
      </x:c>
      <x:c r="M2431" s="24" t="str">
        <x:v>0.75 a 3.50</x:v>
      </x:c>
      <x:c r="N2431" s="24" t="str">
        <x:v>75</x:v>
      </x:c>
      <x:c r="O2431" s="24"/>
      <x:c r="P2431" s="24"/>
      <x:c r="Q2431" s="24" t="str">
        <x:v>DISPONÍVEL</x:v>
      </x:c>
      <x:c r="R2431" s="24"/>
      <x:c r="S2431" s="24" t="n">
        <x:v>40</x:v>
      </x:c>
      <x:c r="T2431" s="24" t="str">
        <x:v>tabela_zeiss.pdf</x:v>
      </x:c>
      <x:c r="U2431" s="24" t="str">
        <x:v>ZEISS|Progressiva|Surfaçada|SmartLife Pure||1.6|1.60|DuraVision Silver UV|-7.25 a +6.00|-6.00|0.75 a 3.50|75|||40</x:v>
      </x:c>
    </x:row>
    <x:row r="2432">
      <x:c r="A2432" s="24" t="str">
        <x:v>ZS-CF9C73505D1B</x:v>
      </x:c>
      <x:c r="B2432" s="24" t="str">
        <x:v>ZEISS</x:v>
      </x:c>
      <x:c r="C2432" s="24" t="str">
        <x:v>Progressiva</x:v>
      </x:c>
      <x:c r="D2432" s="24" t="str">
        <x:v>Surfaçada</x:v>
      </x:c>
      <x:c r="E2432" s="24" t="str">
        <x:v>SmartLife Pure</x:v>
      </x:c>
      <x:c r="F2432" s="24"/>
      <x:c r="G2432" s="24" t="str">
        <x:v>1.6</x:v>
      </x:c>
      <x:c r="H2432" s="24" t="str">
        <x:v>1.60</x:v>
      </x:c>
      <x:c r="I2432" s="24" t="str">
        <x:v>DuraVision Chrome UV</x:v>
      </x:c>
      <x:c r="J2432" s="40" t="n">
        <x:v>5740</x:v>
      </x:c>
      <x:c r="K2432" s="24" t="str">
        <x:v>-7.25 a +6.00</x:v>
      </x:c>
      <x:c r="L2432" s="24" t="str">
        <x:v>-6.00</x:v>
      </x:c>
      <x:c r="M2432" s="24" t="str">
        <x:v>0.75 a 3.50</x:v>
      </x:c>
      <x:c r="N2432" s="24" t="str">
        <x:v>75</x:v>
      </x:c>
      <x:c r="O2432" s="24"/>
      <x:c r="P2432" s="24"/>
      <x:c r="Q2432" s="24" t="str">
        <x:v>DISPONÍVEL</x:v>
      </x:c>
      <x:c r="R2432" s="24"/>
      <x:c r="S2432" s="24" t="n">
        <x:v>40</x:v>
      </x:c>
      <x:c r="T2432" s="24" t="str">
        <x:v>tabela_zeiss.pdf</x:v>
      </x:c>
      <x:c r="U2432" s="24" t="str">
        <x:v>ZEISS|Progressiva|Surfaçada|SmartLife Pure||1.6|1.60|DuraVision Chrome UV|-7.25 a +6.00|-6.00|0.75 a 3.50|75|||40</x:v>
      </x:c>
    </x:row>
    <x:row r="2433">
      <x:c r="A2433" s="24" t="str">
        <x:v>ZS-73AA9752CEE0</x:v>
      </x:c>
      <x:c r="B2433" s="24" t="str">
        <x:v>ZEISS</x:v>
      </x:c>
      <x:c r="C2433" s="24" t="str">
        <x:v>Progressiva</x:v>
      </x:c>
      <x:c r="D2433" s="24" t="str">
        <x:v>Surfaçada</x:v>
      </x:c>
      <x:c r="E2433" s="24" t="str">
        <x:v>SmartLife Pure</x:v>
      </x:c>
      <x:c r="F2433" s="24"/>
      <x:c r="G2433" s="24" t="str">
        <x:v>1.67</x:v>
      </x:c>
      <x:c r="H2433" s="24" t="str">
        <x:v>1.67</x:v>
      </x:c>
      <x:c r="I2433" s="24" t="str">
        <x:v>DuraVision Gold UV</x:v>
      </x:c>
      <x:c r="J2433" s="40" t="n">
        <x:v>8270</x:v>
      </x:c>
      <x:c r="K2433" s="24" t="str">
        <x:v>-8.00 a +8.00</x:v>
      </x:c>
      <x:c r="L2433" s="24" t="str">
        <x:v>-6.00</x:v>
      </x:c>
      <x:c r="M2433" s="24" t="str">
        <x:v>0.75 a 3.00</x:v>
      </x:c>
      <x:c r="N2433" s="24" t="str">
        <x:v>70</x:v>
      </x:c>
      <x:c r="O2433" s="24"/>
      <x:c r="P2433" s="24"/>
      <x:c r="Q2433" s="24" t="str">
        <x:v>DISPONÍVEL</x:v>
      </x:c>
      <x:c r="R2433" s="24"/>
      <x:c r="S2433" s="24" t="n">
        <x:v>40</x:v>
      </x:c>
      <x:c r="T2433" s="24" t="str">
        <x:v>tabela_zeiss.pdf</x:v>
      </x:c>
      <x:c r="U2433" s="24" t="str">
        <x:v>ZEISS|Progressiva|Surfaçada|SmartLife Pure||1.67|1.67|DuraVision Gold UV|-8.00 a +8.00|-6.00|0.75 a 3.00|70|||40</x:v>
      </x:c>
    </x:row>
    <x:row r="2434">
      <x:c r="A2434" s="24" t="str">
        <x:v>ZS-E93396DEE214</x:v>
      </x:c>
      <x:c r="B2434" s="24" t="str">
        <x:v>ZEISS</x:v>
      </x:c>
      <x:c r="C2434" s="24" t="str">
        <x:v>Progressiva</x:v>
      </x:c>
      <x:c r="D2434" s="24" t="str">
        <x:v>Surfaçada</x:v>
      </x:c>
      <x:c r="E2434" s="24" t="str">
        <x:v>SmartLife Pure</x:v>
      </x:c>
      <x:c r="F2434" s="24"/>
      <x:c r="G2434" s="24" t="str">
        <x:v>1.67</x:v>
      </x:c>
      <x:c r="H2434" s="24" t="str">
        <x:v>1.67</x:v>
      </x:c>
      <x:c r="I2434" s="24" t="str">
        <x:v>DURAVISION® ANTIVÍRUS PLATINUM UV</x:v>
      </x:c>
      <x:c r="J2434" s="40" t="n">
        <x:v>8130</x:v>
      </x:c>
      <x:c r="K2434" s="24" t="str">
        <x:v>-8.00 a +8.00</x:v>
      </x:c>
      <x:c r="L2434" s="24" t="str">
        <x:v>-6.00</x:v>
      </x:c>
      <x:c r="M2434" s="24" t="str">
        <x:v>0.75 a 3.00</x:v>
      </x:c>
      <x:c r="N2434" s="24" t="str">
        <x:v>70</x:v>
      </x:c>
      <x:c r="O2434" s="24"/>
      <x:c r="P2434" s="24"/>
      <x:c r="Q2434" s="24" t="str">
        <x:v>DISPONÍVEL</x:v>
      </x:c>
      <x:c r="R2434" s="24"/>
      <x:c r="S2434" s="24" t="n">
        <x:v>40</x:v>
      </x:c>
      <x:c r="T2434" s="24" t="str">
        <x:v>tabela_zeiss.pdf</x:v>
      </x:c>
      <x:c r="U2434" s="24" t="str">
        <x:v>ZEISS|Progressiva|Surfaçada|SmartLife Pure||1.67|1.67|DURAVISION® ANTIVÍRUS PLATINUM UV|-8.00 a +8.00|-6.00|0.75 a 3.00|70|||40</x:v>
      </x:c>
    </x:row>
    <x:row r="2435">
      <x:c r="A2435" s="24" t="str">
        <x:v>ZS-DA31B0A110AF</x:v>
      </x:c>
      <x:c r="B2435" s="24" t="str">
        <x:v>ZEISS</x:v>
      </x:c>
      <x:c r="C2435" s="24" t="str">
        <x:v>Progressiva</x:v>
      </x:c>
      <x:c r="D2435" s="24" t="str">
        <x:v>Surfaçada</x:v>
      </x:c>
      <x:c r="E2435" s="24" t="str">
        <x:v>SmartLife Pure</x:v>
      </x:c>
      <x:c r="F2435" s="24"/>
      <x:c r="G2435" s="24" t="str">
        <x:v>1.67</x:v>
      </x:c>
      <x:c r="H2435" s="24" t="str">
        <x:v>1.67</x:v>
      </x:c>
      <x:c r="I2435" s="24" t="str">
        <x:v>DuraVision Platinum UV</x:v>
      </x:c>
      <x:c r="J2435" s="40" t="n">
        <x:v>8130</x:v>
      </x:c>
      <x:c r="K2435" s="24" t="str">
        <x:v>-8.00 a +8.00</x:v>
      </x:c>
      <x:c r="L2435" s="24" t="str">
        <x:v>-6.00</x:v>
      </x:c>
      <x:c r="M2435" s="24" t="str">
        <x:v>0.75 a 3.00</x:v>
      </x:c>
      <x:c r="N2435" s="24" t="str">
        <x:v>70</x:v>
      </x:c>
      <x:c r="O2435" s="24"/>
      <x:c r="P2435" s="24"/>
      <x:c r="Q2435" s="24" t="str">
        <x:v>DISPONÍVEL</x:v>
      </x:c>
      <x:c r="R2435" s="24"/>
      <x:c r="S2435" s="24" t="n">
        <x:v>40</x:v>
      </x:c>
      <x:c r="T2435" s="24" t="str">
        <x:v>tabela_zeiss.pdf</x:v>
      </x:c>
      <x:c r="U2435" s="24" t="str">
        <x:v>ZEISS|Progressiva|Surfaçada|SmartLife Pure||1.67|1.67|DuraVision Platinum UV|-8.00 a +8.00|-6.00|0.75 a 3.00|70|||40</x:v>
      </x:c>
    </x:row>
    <x:row r="2436">
      <x:c r="A2436" s="24" t="str">
        <x:v>ZS-BBC49A62CB53</x:v>
      </x:c>
      <x:c r="B2436" s="24" t="str">
        <x:v>ZEISS</x:v>
      </x:c>
      <x:c r="C2436" s="24" t="str">
        <x:v>Progressiva</x:v>
      </x:c>
      <x:c r="D2436" s="24" t="str">
        <x:v>Surfaçada</x:v>
      </x:c>
      <x:c r="E2436" s="24" t="str">
        <x:v>SmartLife Pure</x:v>
      </x:c>
      <x:c r="F2436" s="24"/>
      <x:c r="G2436" s="24" t="str">
        <x:v>1.67</x:v>
      </x:c>
      <x:c r="H2436" s="24" t="str">
        <x:v>1.67</x:v>
      </x:c>
      <x:c r="I2436" s="24" t="str">
        <x:v>DuraVision Silver UV</x:v>
      </x:c>
      <x:c r="J2436" s="40" t="n">
        <x:v>7870</x:v>
      </x:c>
      <x:c r="K2436" s="24" t="str">
        <x:v>-8.00 a +8.00</x:v>
      </x:c>
      <x:c r="L2436" s="24" t="str">
        <x:v>-6.00</x:v>
      </x:c>
      <x:c r="M2436" s="24" t="str">
        <x:v>0.75 a 3.00</x:v>
      </x:c>
      <x:c r="N2436" s="24" t="str">
        <x:v>70</x:v>
      </x:c>
      <x:c r="O2436" s="24"/>
      <x:c r="P2436" s="24"/>
      <x:c r="Q2436" s="24" t="str">
        <x:v>DISPONÍVEL</x:v>
      </x:c>
      <x:c r="R2436" s="24"/>
      <x:c r="S2436" s="24" t="n">
        <x:v>40</x:v>
      </x:c>
      <x:c r="T2436" s="24" t="str">
        <x:v>tabela_zeiss.pdf</x:v>
      </x:c>
      <x:c r="U2436" s="24" t="str">
        <x:v>ZEISS|Progressiva|Surfaçada|SmartLife Pure||1.67|1.67|DuraVision Silver UV|-8.00 a +8.00|-6.00|0.75 a 3.00|70|||40</x:v>
      </x:c>
    </x:row>
    <x:row r="2437">
      <x:c r="A2437" s="24" t="str">
        <x:v>ZS-380E994C8985</x:v>
      </x:c>
      <x:c r="B2437" s="24" t="str">
        <x:v>ZEISS</x:v>
      </x:c>
      <x:c r="C2437" s="24" t="str">
        <x:v>Progressiva</x:v>
      </x:c>
      <x:c r="D2437" s="24" t="str">
        <x:v>Surfaçada</x:v>
      </x:c>
      <x:c r="E2437" s="24" t="str">
        <x:v>SmartLife Pure</x:v>
      </x:c>
      <x:c r="F2437" s="24"/>
      <x:c r="G2437" s="24" t="str">
        <x:v>1.67</x:v>
      </x:c>
      <x:c r="H2437" s="24" t="str">
        <x:v>1.67</x:v>
      </x:c>
      <x:c r="I2437" s="24" t="str">
        <x:v>DuraVision Chrome UV</x:v>
      </x:c>
      <x:c r="J2437" s="40" t="n">
        <x:v>7380</x:v>
      </x:c>
      <x:c r="K2437" s="24" t="str">
        <x:v>-8.00 a +8.00</x:v>
      </x:c>
      <x:c r="L2437" s="24" t="str">
        <x:v>-6.00</x:v>
      </x:c>
      <x:c r="M2437" s="24" t="str">
        <x:v>0.75 a 3.00</x:v>
      </x:c>
      <x:c r="N2437" s="24" t="str">
        <x:v>70</x:v>
      </x:c>
      <x:c r="O2437" s="24"/>
      <x:c r="P2437" s="24"/>
      <x:c r="Q2437" s="24" t="str">
        <x:v>DISPONÍVEL</x:v>
      </x:c>
      <x:c r="R2437" s="24"/>
      <x:c r="S2437" s="24" t="n">
        <x:v>40</x:v>
      </x:c>
      <x:c r="T2437" s="24" t="str">
        <x:v>tabela_zeiss.pdf</x:v>
      </x:c>
      <x:c r="U2437" s="24" t="str">
        <x:v>ZEISS|Progressiva|Surfaçada|SmartLife Pure||1.67|1.67|DuraVision Chrome UV|-8.00 a +8.00|-6.00|0.75 a 3.00|70|||40</x:v>
      </x:c>
    </x:row>
    <x:row r="2438">
      <x:c r="A2438" s="24" t="str">
        <x:v>ZS-ED0234E65670</x:v>
      </x:c>
      <x:c r="B2438" s="24" t="str">
        <x:v>ZEISS</x:v>
      </x:c>
      <x:c r="C2438" s="24" t="str">
        <x:v>Progressiva</x:v>
      </x:c>
      <x:c r="D2438" s="24" t="str">
        <x:v>Surfaçada</x:v>
      </x:c>
      <x:c r="E2438" s="24" t="str">
        <x:v>SmartLife Pure</x:v>
      </x:c>
      <x:c r="F2438" s="24"/>
      <x:c r="G2438" s="24" t="str">
        <x:v>1.74</x:v>
      </x:c>
      <x:c r="H2438" s="24" t="str">
        <x:v>1.74</x:v>
      </x:c>
      <x:c r="I2438" s="24" t="str">
        <x:v>DuraVision Gold UV</x:v>
      </x:c>
      <x:c r="J2438" s="40" t="n">
        <x:v>9870</x:v>
      </x:c>
      <x:c r="K2438" s="24" t="str">
        <x:v>-10.00 a +7.00</x:v>
      </x:c>
      <x:c r="L2438" s="24" t="str">
        <x:v>-4.00</x:v>
      </x:c>
      <x:c r="M2438" s="24" t="str">
        <x:v>0.75 a 3.50</x:v>
      </x:c>
      <x:c r="N2438" s="24" t="str">
        <x:v>70 a 75</x:v>
      </x:c>
      <x:c r="O2438" s="24"/>
      <x:c r="P2438" s="24"/>
      <x:c r="Q2438" s="24" t="str">
        <x:v>DISPONÍVEL</x:v>
      </x:c>
      <x:c r="R2438" s="24"/>
      <x:c r="S2438" s="24" t="n">
        <x:v>40</x:v>
      </x:c>
      <x:c r="T2438" s="24" t="str">
        <x:v>tabela_zeiss.pdf</x:v>
      </x:c>
      <x:c r="U2438" s="24" t="str">
        <x:v>ZEISS|Progressiva|Surfaçada|SmartLife Pure||1.74|1.74|DuraVision Gold UV|-10.00 a +7.00|-4.00|0.75 a 3.50|70 a 75|||40</x:v>
      </x:c>
    </x:row>
    <x:row r="2439">
      <x:c r="A2439" s="24" t="str">
        <x:v>ZS-07BCC6DCBBEA</x:v>
      </x:c>
      <x:c r="B2439" s="24" t="str">
        <x:v>ZEISS</x:v>
      </x:c>
      <x:c r="C2439" s="24" t="str">
        <x:v>Progressiva</x:v>
      </x:c>
      <x:c r="D2439" s="24" t="str">
        <x:v>Surfaçada</x:v>
      </x:c>
      <x:c r="E2439" s="24" t="str">
        <x:v>SmartLife Pure</x:v>
      </x:c>
      <x:c r="F2439" s="24"/>
      <x:c r="G2439" s="24" t="str">
        <x:v>1.74</x:v>
      </x:c>
      <x:c r="H2439" s="24" t="str">
        <x:v>1.74</x:v>
      </x:c>
      <x:c r="I2439" s="24" t="str">
        <x:v>DuraVision Platinum UV</x:v>
      </x:c>
      <x:c r="J2439" s="40" t="n">
        <x:v>9730</x:v>
      </x:c>
      <x:c r="K2439" s="24" t="str">
        <x:v>-10.00 a +7.00</x:v>
      </x:c>
      <x:c r="L2439" s="24" t="str">
        <x:v>-4.00</x:v>
      </x:c>
      <x:c r="M2439" s="24" t="str">
        <x:v>0.75 a 3.50</x:v>
      </x:c>
      <x:c r="N2439" s="24" t="str">
        <x:v>70 a 75</x:v>
      </x:c>
      <x:c r="O2439" s="24"/>
      <x:c r="P2439" s="24"/>
      <x:c r="Q2439" s="24" t="str">
        <x:v>DISPONÍVEL</x:v>
      </x:c>
      <x:c r="R2439" s="24"/>
      <x:c r="S2439" s="24" t="n">
        <x:v>40</x:v>
      </x:c>
      <x:c r="T2439" s="24" t="str">
        <x:v>tabela_zeiss.pdf</x:v>
      </x:c>
      <x:c r="U2439" s="24" t="str">
        <x:v>ZEISS|Progressiva|Surfaçada|SmartLife Pure||1.74|1.74|DuraVision Platinum UV|-10.00 a +7.00|-4.00|0.75 a 3.50|70 a 75|||40</x:v>
      </x:c>
    </x:row>
    <x:row r="2440">
      <x:c r="A2440" s="24" t="str">
        <x:v>ZS-9907ACFDDEB1</x:v>
      </x:c>
      <x:c r="B2440" s="24" t="str">
        <x:v>ZEISS</x:v>
      </x:c>
      <x:c r="C2440" s="24" t="str">
        <x:v>Progressiva</x:v>
      </x:c>
      <x:c r="D2440" s="24" t="str">
        <x:v>Surfaçada</x:v>
      </x:c>
      <x:c r="E2440" s="24" t="str">
        <x:v>SmartLife Pure</x:v>
      </x:c>
      <x:c r="F2440" s="24"/>
      <x:c r="G2440" s="24" t="str">
        <x:v>1.74</x:v>
      </x:c>
      <x:c r="H2440" s="24" t="str">
        <x:v>1.74</x:v>
      </x:c>
      <x:c r="I2440" s="24" t="str">
        <x:v>DuraVision Silver UV</x:v>
      </x:c>
      <x:c r="J2440" s="40" t="n">
        <x:v>9470</x:v>
      </x:c>
      <x:c r="K2440" s="24" t="str">
        <x:v>-10.00 a +7.00</x:v>
      </x:c>
      <x:c r="L2440" s="24" t="str">
        <x:v>-4.00</x:v>
      </x:c>
      <x:c r="M2440" s="24" t="str">
        <x:v>0.75 a 3.50</x:v>
      </x:c>
      <x:c r="N2440" s="24" t="str">
        <x:v>70 a 75</x:v>
      </x:c>
      <x:c r="O2440" s="24"/>
      <x:c r="P2440" s="24"/>
      <x:c r="Q2440" s="24" t="str">
        <x:v>DISPONÍVEL</x:v>
      </x:c>
      <x:c r="R2440" s="24"/>
      <x:c r="S2440" s="24" t="n">
        <x:v>40</x:v>
      </x:c>
      <x:c r="T2440" s="24" t="str">
        <x:v>tabela_zeiss.pdf</x:v>
      </x:c>
      <x:c r="U2440" s="24" t="str">
        <x:v>ZEISS|Progressiva|Surfaçada|SmartLife Pure||1.74|1.74|DuraVision Silver UV|-10.00 a +7.00|-4.00|0.75 a 3.50|70 a 75|||40</x:v>
      </x:c>
    </x:row>
    <x:row r="2441">
      <x:c r="A2441" s="24" t="str">
        <x:v>ZS-E5BF898B8ABC</x:v>
      </x:c>
      <x:c r="B2441" s="24" t="str">
        <x:v>ZEISS</x:v>
      </x:c>
      <x:c r="C2441" s="24" t="str">
        <x:v>Progressiva</x:v>
      </x:c>
      <x:c r="D2441" s="24" t="str">
        <x:v>Surfaçada</x:v>
      </x:c>
      <x:c r="E2441" s="24" t="str">
        <x:v>SmartLife Pure</x:v>
      </x:c>
      <x:c r="F2441" s="24"/>
      <x:c r="G2441" s="24" t="str">
        <x:v>1.74</x:v>
      </x:c>
      <x:c r="H2441" s="24" t="str">
        <x:v>1.74</x:v>
      </x:c>
      <x:c r="I2441" s="24" t="str">
        <x:v>DuraVision Chrome UV</x:v>
      </x:c>
      <x:c r="J2441" s="40" t="n">
        <x:v>8980</x:v>
      </x:c>
      <x:c r="K2441" s="24" t="str">
        <x:v>-10.00 a +7.00</x:v>
      </x:c>
      <x:c r="L2441" s="24" t="str">
        <x:v>-4.00</x:v>
      </x:c>
      <x:c r="M2441" s="24" t="str">
        <x:v>0.75 a 3.50</x:v>
      </x:c>
      <x:c r="N2441" s="24" t="str">
        <x:v>70 a 75</x:v>
      </x:c>
      <x:c r="O2441" s="24"/>
      <x:c r="P2441" s="24"/>
      <x:c r="Q2441" s="24" t="str">
        <x:v>DISPONÍVEL</x:v>
      </x:c>
      <x:c r="R2441" s="24"/>
      <x:c r="S2441" s="24" t="n">
        <x:v>40</x:v>
      </x:c>
      <x:c r="T2441" s="24" t="str">
        <x:v>tabela_zeiss.pdf</x:v>
      </x:c>
      <x:c r="U2441" s="24" t="str">
        <x:v>ZEISS|Progressiva|Surfaçada|SmartLife Pure||1.74|1.74|DuraVision Chrome UV|-10.00 a +7.00|-4.00|0.75 a 3.50|70 a 75|||40</x:v>
      </x:c>
    </x:row>
    <x:row r="2442">
      <x:c r="A2442" s="24" t="str">
        <x:v>ZS-1147C19420DA</x:v>
      </x:c>
      <x:c r="B2442" s="24" t="str">
        <x:v>ZEISS</x:v>
      </x:c>
      <x:c r="C2442" s="24" t="str">
        <x:v>Progressiva</x:v>
      </x:c>
      <x:c r="D2442" s="24" t="str">
        <x:v>Surfaçada</x:v>
      </x:c>
      <x:c r="E2442" s="24" t="str">
        <x:v>SmartLife Pure</x:v>
      </x:c>
      <x:c r="F2442" s="24" t="str">
        <x:v>PhotoFusion X</x:v>
      </x:c>
      <x:c r="G2442" s="24" t="str">
        <x:v>1.5</x:v>
      </x:c>
      <x:c r="H2442" s="24" t="str">
        <x:v>1.50</x:v>
      </x:c>
      <x:c r="I2442" s="24" t="str">
        <x:v>DuraVision Gold UV</x:v>
      </x:c>
      <x:c r="J2442" s="40" t="n">
        <x:v>6800</x:v>
      </x:c>
      <x:c r="K2442" s="24" t="str">
        <x:v>-6.00 a +5.50</x:v>
      </x:c>
      <x:c r="L2442" s="24" t="str">
        <x:v>-4.00</x:v>
      </x:c>
      <x:c r="M2442" s="24" t="str">
        <x:v>0.75 a 3.00</x:v>
      </x:c>
      <x:c r="N2442" s="24" t="str">
        <x:v>75</x:v>
      </x:c>
      <x:c r="O2442" s="24"/>
      <x:c r="P2442" s="24"/>
      <x:c r="Q2442" s="24" t="str">
        <x:v>DISPONÍVEL</x:v>
      </x:c>
      <x:c r="R2442" s="24" t="str">
        <x:v>Programa de Parcerias ZEISS</x:v>
      </x:c>
      <x:c r="S2442" s="24" t="n">
        <x:v>40</x:v>
      </x:c>
      <x:c r="T2442" s="24" t="str">
        <x:v>tabela_zeiss.pdf</x:v>
      </x:c>
      <x:c r="U2442" s="24" t="str">
        <x:v>ZEISS|Progressiva|Surfaçada|SmartLife Pure|PhotoFusion X|1.5|1.50|DuraVision Gold UV|-6.00 a +5.50|-4.00|0.75 a 3.00|75|||40</x:v>
      </x:c>
    </x:row>
    <x:row r="2443">
      <x:c r="A2443" s="24" t="str">
        <x:v>ZS-9DA408680202</x:v>
      </x:c>
      <x:c r="B2443" s="24" t="str">
        <x:v>ZEISS</x:v>
      </x:c>
      <x:c r="C2443" s="24" t="str">
        <x:v>Progressiva</x:v>
      </x:c>
      <x:c r="D2443" s="24" t="str">
        <x:v>Surfaçada</x:v>
      </x:c>
      <x:c r="E2443" s="24" t="str">
        <x:v>SmartLife Pure</x:v>
      </x:c>
      <x:c r="F2443" s="24" t="str">
        <x:v>PhotoFusion X</x:v>
      </x:c>
      <x:c r="G2443" s="24" t="str">
        <x:v>1.5</x:v>
      </x:c>
      <x:c r="H2443" s="24" t="str">
        <x:v>1.50</x:v>
      </x:c>
      <x:c r="I2443" s="24" t="str">
        <x:v>DURAVISION® ANTIVÍRUS PLATINUM UV</x:v>
      </x:c>
      <x:c r="J2443" s="40" t="n">
        <x:v>6660</x:v>
      </x:c>
      <x:c r="K2443" s="24" t="str">
        <x:v>-6.00 a +5.50</x:v>
      </x:c>
      <x:c r="L2443" s="24" t="str">
        <x:v>-4.00</x:v>
      </x:c>
      <x:c r="M2443" s="24" t="str">
        <x:v>0.75 a 3.00</x:v>
      </x:c>
      <x:c r="N2443" s="24" t="str">
        <x:v>75</x:v>
      </x:c>
      <x:c r="O2443" s="24"/>
      <x:c r="P2443" s="24"/>
      <x:c r="Q2443" s="24" t="str">
        <x:v>DISPONÍVEL</x:v>
      </x:c>
      <x:c r="R2443" s="24" t="str">
        <x:v>Programa de Parcerias ZEISS</x:v>
      </x:c>
      <x:c r="S2443" s="24" t="n">
        <x:v>40</x:v>
      </x:c>
      <x:c r="T2443" s="24" t="str">
        <x:v>tabela_zeiss.pdf</x:v>
      </x:c>
      <x:c r="U2443" s="24" t="str">
        <x:v>ZEISS|Progressiva|Surfaçada|SmartLife Pure|PhotoFusion X|1.5|1.50|DURAVISION® ANTIVÍRUS PLATINUM UV|-6.00 a +5.50|-4.00|0.75 a 3.00|75|||40</x:v>
      </x:c>
    </x:row>
    <x:row r="2444">
      <x:c r="A2444" s="24" t="str">
        <x:v>ZS-9C35AD6FDFB3</x:v>
      </x:c>
      <x:c r="B2444" s="24" t="str">
        <x:v>ZEISS</x:v>
      </x:c>
      <x:c r="C2444" s="24" t="str">
        <x:v>Progressiva</x:v>
      </x:c>
      <x:c r="D2444" s="24" t="str">
        <x:v>Surfaçada</x:v>
      </x:c>
      <x:c r="E2444" s="24" t="str">
        <x:v>SmartLife Pure</x:v>
      </x:c>
      <x:c r="F2444" s="24" t="str">
        <x:v>PhotoFusion X</x:v>
      </x:c>
      <x:c r="G2444" s="24" t="str">
        <x:v>1.5</x:v>
      </x:c>
      <x:c r="H2444" s="24" t="str">
        <x:v>1.50</x:v>
      </x:c>
      <x:c r="I2444" s="24" t="str">
        <x:v>DuraVision Platinum UV</x:v>
      </x:c>
      <x:c r="J2444" s="40" t="n">
        <x:v>6660</x:v>
      </x:c>
      <x:c r="K2444" s="24" t="str">
        <x:v>-6.00 a +5.50</x:v>
      </x:c>
      <x:c r="L2444" s="24" t="str">
        <x:v>-4.00</x:v>
      </x:c>
      <x:c r="M2444" s="24" t="str">
        <x:v>0.75 a 3.00</x:v>
      </x:c>
      <x:c r="N2444" s="24" t="str">
        <x:v>75</x:v>
      </x:c>
      <x:c r="O2444" s="24"/>
      <x:c r="P2444" s="24"/>
      <x:c r="Q2444" s="24" t="str">
        <x:v>DISPONÍVEL</x:v>
      </x:c>
      <x:c r="R2444" s="24" t="str">
        <x:v>Programa de Parcerias ZEISS</x:v>
      </x:c>
      <x:c r="S2444" s="24" t="n">
        <x:v>40</x:v>
      </x:c>
      <x:c r="T2444" s="24" t="str">
        <x:v>tabela_zeiss.pdf</x:v>
      </x:c>
      <x:c r="U2444" s="24" t="str">
        <x:v>ZEISS|Progressiva|Surfaçada|SmartLife Pure|PhotoFusion X|1.5|1.50|DuraVision Platinum UV|-6.00 a +5.50|-4.00|0.75 a 3.00|75|||40</x:v>
      </x:c>
    </x:row>
    <x:row r="2445">
      <x:c r="A2445" s="24" t="str">
        <x:v>ZS-0CECB32A9105</x:v>
      </x:c>
      <x:c r="B2445" s="24" t="str">
        <x:v>ZEISS</x:v>
      </x:c>
      <x:c r="C2445" s="24" t="str">
        <x:v>Progressiva</x:v>
      </x:c>
      <x:c r="D2445" s="24" t="str">
        <x:v>Surfaçada</x:v>
      </x:c>
      <x:c r="E2445" s="24" t="str">
        <x:v>SmartLife Pure</x:v>
      </x:c>
      <x:c r="F2445" s="24" t="str">
        <x:v>PhotoFusion X</x:v>
      </x:c>
      <x:c r="G2445" s="24" t="str">
        <x:v>1.5</x:v>
      </x:c>
      <x:c r="H2445" s="24" t="str">
        <x:v>1.50</x:v>
      </x:c>
      <x:c r="I2445" s="24" t="str">
        <x:v>DuraVision Silver UV</x:v>
      </x:c>
      <x:c r="J2445" s="40" t="n">
        <x:v>6400</x:v>
      </x:c>
      <x:c r="K2445" s="24" t="str">
        <x:v>-6.00 a +5.50</x:v>
      </x:c>
      <x:c r="L2445" s="24" t="str">
        <x:v>-4.00</x:v>
      </x:c>
      <x:c r="M2445" s="24" t="str">
        <x:v>0.75 a 3.00</x:v>
      </x:c>
      <x:c r="N2445" s="24" t="str">
        <x:v>75</x:v>
      </x:c>
      <x:c r="O2445" s="24"/>
      <x:c r="P2445" s="24"/>
      <x:c r="Q2445" s="24" t="str">
        <x:v>DISPONÍVEL</x:v>
      </x:c>
      <x:c r="R2445" s="24" t="str">
        <x:v>Programa de Parcerias ZEISS</x:v>
      </x:c>
      <x:c r="S2445" s="24" t="n">
        <x:v>40</x:v>
      </x:c>
      <x:c r="T2445" s="24" t="str">
        <x:v>tabela_zeiss.pdf</x:v>
      </x:c>
      <x:c r="U2445" s="24" t="str">
        <x:v>ZEISS|Progressiva|Surfaçada|SmartLife Pure|PhotoFusion X|1.5|1.50|DuraVision Silver UV|-6.00 a +5.50|-4.00|0.75 a 3.00|75|||40</x:v>
      </x:c>
    </x:row>
    <x:row r="2446">
      <x:c r="A2446" s="24" t="str">
        <x:v>ZS-9EA6B0BD34F0</x:v>
      </x:c>
      <x:c r="B2446" s="24" t="str">
        <x:v>ZEISS</x:v>
      </x:c>
      <x:c r="C2446" s="24" t="str">
        <x:v>Progressiva</x:v>
      </x:c>
      <x:c r="D2446" s="24" t="str">
        <x:v>Surfaçada</x:v>
      </x:c>
      <x:c r="E2446" s="24" t="str">
        <x:v>SmartLife Pure</x:v>
      </x:c>
      <x:c r="F2446" s="24" t="str">
        <x:v>PhotoFusion X</x:v>
      </x:c>
      <x:c r="G2446" s="24" t="str">
        <x:v>1.5</x:v>
      </x:c>
      <x:c r="H2446" s="24" t="str">
        <x:v>1.50</x:v>
      </x:c>
      <x:c r="I2446" s="24" t="str">
        <x:v>DuraVision Chrome UV</x:v>
      </x:c>
      <x:c r="J2446" s="40" t="n">
        <x:v>5910</x:v>
      </x:c>
      <x:c r="K2446" s="24" t="str">
        <x:v>-6.00 a +5.50</x:v>
      </x:c>
      <x:c r="L2446" s="24" t="str">
        <x:v>-4.00</x:v>
      </x:c>
      <x:c r="M2446" s="24" t="str">
        <x:v>0.75 a 3.00</x:v>
      </x:c>
      <x:c r="N2446" s="24" t="str">
        <x:v>75</x:v>
      </x:c>
      <x:c r="O2446" s="24"/>
      <x:c r="P2446" s="24"/>
      <x:c r="Q2446" s="24" t="str">
        <x:v>DISPONÍVEL</x:v>
      </x:c>
      <x:c r="R2446" s="24" t="str">
        <x:v>Programa de Parcerias ZEISS</x:v>
      </x:c>
      <x:c r="S2446" s="24" t="n">
        <x:v>40</x:v>
      </x:c>
      <x:c r="T2446" s="24" t="str">
        <x:v>tabela_zeiss.pdf</x:v>
      </x:c>
      <x:c r="U2446" s="24" t="str">
        <x:v>ZEISS|Progressiva|Surfaçada|SmartLife Pure|PhotoFusion X|1.5|1.50|DuraVision Chrome UV|-6.00 a +5.50|-4.00|0.75 a 3.00|75|||40</x:v>
      </x:c>
    </x:row>
    <x:row r="2447">
      <x:c r="A2447" s="24" t="str">
        <x:v>ZS-0B0E98EE9F84</x:v>
      </x:c>
      <x:c r="B2447" s="24" t="str">
        <x:v>ZEISS</x:v>
      </x:c>
      <x:c r="C2447" s="24" t="str">
        <x:v>Progressiva</x:v>
      </x:c>
      <x:c r="D2447" s="24" t="str">
        <x:v>Surfaçada</x:v>
      </x:c>
      <x:c r="E2447" s="24" t="str">
        <x:v>SmartLife Pure</x:v>
      </x:c>
      <x:c r="F2447" s="24" t="str">
        <x:v>PhotoFusion X</x:v>
      </x:c>
      <x:c r="G2447" s="24" t="str">
        <x:v>Poli</x:v>
      </x:c>
      <x:c r="H2447" s="24"/>
      <x:c r="I2447" s="24" t="str">
        <x:v>DuraVision Gold UV</x:v>
      </x:c>
      <x:c r="J2447" s="40" t="n">
        <x:v>7390</x:v>
      </x:c>
      <x:c r="K2447" s="24" t="str">
        <x:v>-10.00 a +6.00</x:v>
      </x:c>
      <x:c r="L2447" s="24" t="str">
        <x:v>-6.00</x:v>
      </x:c>
      <x:c r="M2447" s="24" t="str">
        <x:v>0.75 a 3.00</x:v>
      </x:c>
      <x:c r="N2447" s="24" t="str">
        <x:v>70</x:v>
      </x:c>
      <x:c r="O2447" s="24"/>
      <x:c r="P2447" s="24"/>
      <x:c r="Q2447" s="24" t="str">
        <x:v>DISPONÍVEL</x:v>
      </x:c>
      <x:c r="R2447" s="24" t="str">
        <x:v>Programa de Parcerias ZEISS</x:v>
      </x:c>
      <x:c r="S2447" s="24" t="n">
        <x:v>40</x:v>
      </x:c>
      <x:c r="T2447" s="24" t="str">
        <x:v>tabela_zeiss.pdf</x:v>
      </x:c>
      <x:c r="U2447" s="24" t="str">
        <x:v>ZEISS|Progressiva|Surfaçada|SmartLife Pure|PhotoFusion X|Poli||DuraVision Gold UV|-10.00 a +6.00|-6.00|0.75 a 3.00|70|||40</x:v>
      </x:c>
    </x:row>
    <x:row r="2448">
      <x:c r="A2448" s="24" t="str">
        <x:v>ZS-C51934FD2683</x:v>
      </x:c>
      <x:c r="B2448" s="24" t="str">
        <x:v>ZEISS</x:v>
      </x:c>
      <x:c r="C2448" s="24" t="str">
        <x:v>Progressiva</x:v>
      </x:c>
      <x:c r="D2448" s="24" t="str">
        <x:v>Surfaçada</x:v>
      </x:c>
      <x:c r="E2448" s="24" t="str">
        <x:v>SmartLife Pure</x:v>
      </x:c>
      <x:c r="F2448" s="24" t="str">
        <x:v>PhotoFusion X</x:v>
      </x:c>
      <x:c r="G2448" s="24" t="str">
        <x:v>Poli</x:v>
      </x:c>
      <x:c r="H2448" s="24"/>
      <x:c r="I2448" s="24" t="str">
        <x:v>DuraVision Platinum UV</x:v>
      </x:c>
      <x:c r="J2448" s="40" t="n">
        <x:v>7250</x:v>
      </x:c>
      <x:c r="K2448" s="24" t="str">
        <x:v>-10.00 a +6.00</x:v>
      </x:c>
      <x:c r="L2448" s="24" t="str">
        <x:v>-6.00</x:v>
      </x:c>
      <x:c r="M2448" s="24" t="str">
        <x:v>0.75 a 3.00</x:v>
      </x:c>
      <x:c r="N2448" s="24" t="str">
        <x:v>70</x:v>
      </x:c>
      <x:c r="O2448" s="24"/>
      <x:c r="P2448" s="24"/>
      <x:c r="Q2448" s="24" t="str">
        <x:v>DISPONÍVEL</x:v>
      </x:c>
      <x:c r="R2448" s="24" t="str">
        <x:v>Programa de Parcerias ZEISS</x:v>
      </x:c>
      <x:c r="S2448" s="24" t="n">
        <x:v>40</x:v>
      </x:c>
      <x:c r="T2448" s="24" t="str">
        <x:v>tabela_zeiss.pdf</x:v>
      </x:c>
      <x:c r="U2448" s="24" t="str">
        <x:v>ZEISS|Progressiva|Surfaçada|SmartLife Pure|PhotoFusion X|Poli||DuraVision Platinum UV|-10.00 a +6.00|-6.00|0.75 a 3.00|70|||40</x:v>
      </x:c>
    </x:row>
    <x:row r="2449">
      <x:c r="A2449" s="24" t="str">
        <x:v>ZS-698941AD6570</x:v>
      </x:c>
      <x:c r="B2449" s="24" t="str">
        <x:v>ZEISS</x:v>
      </x:c>
      <x:c r="C2449" s="24" t="str">
        <x:v>Progressiva</x:v>
      </x:c>
      <x:c r="D2449" s="24" t="str">
        <x:v>Surfaçada</x:v>
      </x:c>
      <x:c r="E2449" s="24" t="str">
        <x:v>SmartLife Pure</x:v>
      </x:c>
      <x:c r="F2449" s="24" t="str">
        <x:v>PhotoFusion X</x:v>
      </x:c>
      <x:c r="G2449" s="24" t="str">
        <x:v>Poli</x:v>
      </x:c>
      <x:c r="H2449" s="24"/>
      <x:c r="I2449" s="24" t="str">
        <x:v>DuraVision Silver UV</x:v>
      </x:c>
      <x:c r="J2449" s="40" t="n">
        <x:v>6990</x:v>
      </x:c>
      <x:c r="K2449" s="24" t="str">
        <x:v>-10.00 a +6.00</x:v>
      </x:c>
      <x:c r="L2449" s="24" t="str">
        <x:v>-6.00</x:v>
      </x:c>
      <x:c r="M2449" s="24" t="str">
        <x:v>0.75 a 3.00</x:v>
      </x:c>
      <x:c r="N2449" s="24" t="str">
        <x:v>70</x:v>
      </x:c>
      <x:c r="O2449" s="24"/>
      <x:c r="P2449" s="24"/>
      <x:c r="Q2449" s="24" t="str">
        <x:v>DISPONÍVEL</x:v>
      </x:c>
      <x:c r="R2449" s="24" t="str">
        <x:v>Programa de Parcerias ZEISS</x:v>
      </x:c>
      <x:c r="S2449" s="24" t="n">
        <x:v>40</x:v>
      </x:c>
      <x:c r="T2449" s="24" t="str">
        <x:v>tabela_zeiss.pdf</x:v>
      </x:c>
      <x:c r="U2449" s="24" t="str">
        <x:v>ZEISS|Progressiva|Surfaçada|SmartLife Pure|PhotoFusion X|Poli||DuraVision Silver UV|-10.00 a +6.00|-6.00|0.75 a 3.00|70|||40</x:v>
      </x:c>
    </x:row>
    <x:row r="2450">
      <x:c r="A2450" s="24" t="str">
        <x:v>ZS-AF0D74AE3B38</x:v>
      </x:c>
      <x:c r="B2450" s="24" t="str">
        <x:v>ZEISS</x:v>
      </x:c>
      <x:c r="C2450" s="24" t="str">
        <x:v>Progressiva</x:v>
      </x:c>
      <x:c r="D2450" s="24" t="str">
        <x:v>Surfaçada</x:v>
      </x:c>
      <x:c r="E2450" s="24" t="str">
        <x:v>SmartLife Pure</x:v>
      </x:c>
      <x:c r="F2450" s="24" t="str">
        <x:v>PhotoFusion X</x:v>
      </x:c>
      <x:c r="G2450" s="24" t="str">
        <x:v>Poli</x:v>
      </x:c>
      <x:c r="H2450" s="24"/>
      <x:c r="I2450" s="24" t="str">
        <x:v>DuraVision Chrome UV</x:v>
      </x:c>
      <x:c r="J2450" s="40" t="n">
        <x:v>6500</x:v>
      </x:c>
      <x:c r="K2450" s="24" t="str">
        <x:v>-10.00 a +6.00</x:v>
      </x:c>
      <x:c r="L2450" s="24" t="str">
        <x:v>-6.00</x:v>
      </x:c>
      <x:c r="M2450" s="24" t="str">
        <x:v>0.75 a 3.00</x:v>
      </x:c>
      <x:c r="N2450" s="24" t="str">
        <x:v>70</x:v>
      </x:c>
      <x:c r="O2450" s="24"/>
      <x:c r="P2450" s="24"/>
      <x:c r="Q2450" s="24" t="str">
        <x:v>DISPONÍVEL</x:v>
      </x:c>
      <x:c r="R2450" s="24" t="str">
        <x:v>Programa de Parcerias ZEISS</x:v>
      </x:c>
      <x:c r="S2450" s="24" t="n">
        <x:v>40</x:v>
      </x:c>
      <x:c r="T2450" s="24" t="str">
        <x:v>tabela_zeiss.pdf</x:v>
      </x:c>
      <x:c r="U2450" s="24" t="str">
        <x:v>ZEISS|Progressiva|Surfaçada|SmartLife Pure|PhotoFusion X|Poli||DuraVision Chrome UV|-10.00 a +6.00|-6.00|0.75 a 3.00|70|||40</x:v>
      </x:c>
    </x:row>
    <x:row r="2451">
      <x:c r="A2451" s="24" t="str">
        <x:v>ZS-710D013D6368</x:v>
      </x:c>
      <x:c r="B2451" s="24" t="str">
        <x:v>ZEISS</x:v>
      </x:c>
      <x:c r="C2451" s="24" t="str">
        <x:v>Progressiva</x:v>
      </x:c>
      <x:c r="D2451" s="24" t="str">
        <x:v>Surfaçada</x:v>
      </x:c>
      <x:c r="E2451" s="24" t="str">
        <x:v>SmartLife Pure</x:v>
      </x:c>
      <x:c r="F2451" s="24" t="str">
        <x:v>PhotoFusion X</x:v>
      </x:c>
      <x:c r="G2451" s="24" t="str">
        <x:v>1.6</x:v>
      </x:c>
      <x:c r="H2451" s="24" t="str">
        <x:v>1.60</x:v>
      </x:c>
      <x:c r="I2451" s="24" t="str">
        <x:v>DuraVision Gold UV</x:v>
      </x:c>
      <x:c r="J2451" s="40" t="n">
        <x:v>8050</x:v>
      </x:c>
      <x:c r="K2451" s="24" t="str">
        <x:v>-7.25 a +6.00</x:v>
      </x:c>
      <x:c r="L2451" s="24" t="str">
        <x:v>-6.00</x:v>
      </x:c>
      <x:c r="M2451" s="24" t="str">
        <x:v>0.75 a 3.50</x:v>
      </x:c>
      <x:c r="N2451" s="24" t="str">
        <x:v>75</x:v>
      </x:c>
      <x:c r="O2451" s="24"/>
      <x:c r="P2451" s="24"/>
      <x:c r="Q2451" s="24" t="str">
        <x:v>DISPONÍVEL</x:v>
      </x:c>
      <x:c r="R2451" s="24" t="str">
        <x:v>Programa de Parcerias ZEISS</x:v>
      </x:c>
      <x:c r="S2451" s="24" t="n">
        <x:v>40</x:v>
      </x:c>
      <x:c r="T2451" s="24" t="str">
        <x:v>tabela_zeiss.pdf</x:v>
      </x:c>
      <x:c r="U2451" s="24" t="str">
        <x:v>ZEISS|Progressiva|Surfaçada|SmartLife Pure|PhotoFusion X|1.6|1.60|DuraVision Gold UV|-7.25 a +6.00|-6.00|0.75 a 3.50|75|||40</x:v>
      </x:c>
    </x:row>
    <x:row r="2452">
      <x:c r="A2452" s="24" t="str">
        <x:v>ZS-79E2A9EB96DE</x:v>
      </x:c>
      <x:c r="B2452" s="24" t="str">
        <x:v>ZEISS</x:v>
      </x:c>
      <x:c r="C2452" s="24" t="str">
        <x:v>Progressiva</x:v>
      </x:c>
      <x:c r="D2452" s="24" t="str">
        <x:v>Surfaçada</x:v>
      </x:c>
      <x:c r="E2452" s="24" t="str">
        <x:v>SmartLife Pure</x:v>
      </x:c>
      <x:c r="F2452" s="24" t="str">
        <x:v>PhotoFusion X</x:v>
      </x:c>
      <x:c r="G2452" s="24" t="str">
        <x:v>1.6</x:v>
      </x:c>
      <x:c r="H2452" s="24" t="str">
        <x:v>1.60</x:v>
      </x:c>
      <x:c r="I2452" s="24" t="str">
        <x:v>DURAVISION® ANTIVÍRUS PLATINUM UV</x:v>
      </x:c>
      <x:c r="J2452" s="40" t="n">
        <x:v>7910</x:v>
      </x:c>
      <x:c r="K2452" s="24" t="str">
        <x:v>-7.25 a +6.00</x:v>
      </x:c>
      <x:c r="L2452" s="24" t="str">
        <x:v>-6.00</x:v>
      </x:c>
      <x:c r="M2452" s="24" t="str">
        <x:v>0.75 a 3.50</x:v>
      </x:c>
      <x:c r="N2452" s="24" t="str">
        <x:v>75</x:v>
      </x:c>
      <x:c r="O2452" s="24"/>
      <x:c r="P2452" s="24"/>
      <x:c r="Q2452" s="24" t="str">
        <x:v>DISPONÍVEL</x:v>
      </x:c>
      <x:c r="R2452" s="24" t="str">
        <x:v>Programa de Parcerias ZEISS</x:v>
      </x:c>
      <x:c r="S2452" s="24" t="n">
        <x:v>40</x:v>
      </x:c>
      <x:c r="T2452" s="24" t="str">
        <x:v>tabela_zeiss.pdf</x:v>
      </x:c>
      <x:c r="U2452" s="24" t="str">
        <x:v>ZEISS|Progressiva|Surfaçada|SmartLife Pure|PhotoFusion X|1.6|1.60|DURAVISION® ANTIVÍRUS PLATINUM UV|-7.25 a +6.00|-6.00|0.75 a 3.50|75|||40</x:v>
      </x:c>
    </x:row>
    <x:row r="2453">
      <x:c r="A2453" s="24" t="str">
        <x:v>ZS-411B2F6C98C6</x:v>
      </x:c>
      <x:c r="B2453" s="24" t="str">
        <x:v>ZEISS</x:v>
      </x:c>
      <x:c r="C2453" s="24" t="str">
        <x:v>Progressiva</x:v>
      </x:c>
      <x:c r="D2453" s="24" t="str">
        <x:v>Surfaçada</x:v>
      </x:c>
      <x:c r="E2453" s="24" t="str">
        <x:v>SmartLife Pure</x:v>
      </x:c>
      <x:c r="F2453" s="24" t="str">
        <x:v>PhotoFusion X</x:v>
      </x:c>
      <x:c r="G2453" s="24" t="str">
        <x:v>1.6</x:v>
      </x:c>
      <x:c r="H2453" s="24" t="str">
        <x:v>1.60</x:v>
      </x:c>
      <x:c r="I2453" s="24" t="str">
        <x:v>DuraVision Platinum UV</x:v>
      </x:c>
      <x:c r="J2453" s="40" t="n">
        <x:v>7910</x:v>
      </x:c>
      <x:c r="K2453" s="24" t="str">
        <x:v>-7.25 a +6.00</x:v>
      </x:c>
      <x:c r="L2453" s="24" t="str">
        <x:v>-6.00</x:v>
      </x:c>
      <x:c r="M2453" s="24" t="str">
        <x:v>0.75 a 3.50</x:v>
      </x:c>
      <x:c r="N2453" s="24" t="str">
        <x:v>75</x:v>
      </x:c>
      <x:c r="O2453" s="24"/>
      <x:c r="P2453" s="24"/>
      <x:c r="Q2453" s="24" t="str">
        <x:v>DISPONÍVEL</x:v>
      </x:c>
      <x:c r="R2453" s="24" t="str">
        <x:v>Programa de Parcerias ZEISS</x:v>
      </x:c>
      <x:c r="S2453" s="24" t="n">
        <x:v>40</x:v>
      </x:c>
      <x:c r="T2453" s="24" t="str">
        <x:v>tabela_zeiss.pdf</x:v>
      </x:c>
      <x:c r="U2453" s="24" t="str">
        <x:v>ZEISS|Progressiva|Surfaçada|SmartLife Pure|PhotoFusion X|1.6|1.60|DuraVision Platinum UV|-7.25 a +6.00|-6.00|0.75 a 3.50|75|||40</x:v>
      </x:c>
    </x:row>
    <x:row r="2454">
      <x:c r="A2454" s="24" t="str">
        <x:v>ZS-52C20ECEFC58</x:v>
      </x:c>
      <x:c r="B2454" s="24" t="str">
        <x:v>ZEISS</x:v>
      </x:c>
      <x:c r="C2454" s="24" t="str">
        <x:v>Progressiva</x:v>
      </x:c>
      <x:c r="D2454" s="24" t="str">
        <x:v>Surfaçada</x:v>
      </x:c>
      <x:c r="E2454" s="24" t="str">
        <x:v>SmartLife Pure</x:v>
      </x:c>
      <x:c r="F2454" s="24" t="str">
        <x:v>PhotoFusion X</x:v>
      </x:c>
      <x:c r="G2454" s="24" t="str">
        <x:v>1.6</x:v>
      </x:c>
      <x:c r="H2454" s="24" t="str">
        <x:v>1.60</x:v>
      </x:c>
      <x:c r="I2454" s="24" t="str">
        <x:v>DuraVision Silver UV</x:v>
      </x:c>
      <x:c r="J2454" s="40" t="n">
        <x:v>7650</x:v>
      </x:c>
      <x:c r="K2454" s="24" t="str">
        <x:v>-7.25 a +6.00</x:v>
      </x:c>
      <x:c r="L2454" s="24" t="str">
        <x:v>-6.00</x:v>
      </x:c>
      <x:c r="M2454" s="24" t="str">
        <x:v>0.75 a 3.50</x:v>
      </x:c>
      <x:c r="N2454" s="24" t="str">
        <x:v>75</x:v>
      </x:c>
      <x:c r="O2454" s="24"/>
      <x:c r="P2454" s="24"/>
      <x:c r="Q2454" s="24" t="str">
        <x:v>DISPONÍVEL</x:v>
      </x:c>
      <x:c r="R2454" s="24" t="str">
        <x:v>Programa de Parcerias ZEISS</x:v>
      </x:c>
      <x:c r="S2454" s="24" t="n">
        <x:v>40</x:v>
      </x:c>
      <x:c r="T2454" s="24" t="str">
        <x:v>tabela_zeiss.pdf</x:v>
      </x:c>
      <x:c r="U2454" s="24" t="str">
        <x:v>ZEISS|Progressiva|Surfaçada|SmartLife Pure|PhotoFusion X|1.6|1.60|DuraVision Silver UV|-7.25 a +6.00|-6.00|0.75 a 3.50|75|||40</x:v>
      </x:c>
    </x:row>
    <x:row r="2455">
      <x:c r="A2455" s="24" t="str">
        <x:v>ZS-6E964E7FD6B6</x:v>
      </x:c>
      <x:c r="B2455" s="24" t="str">
        <x:v>ZEISS</x:v>
      </x:c>
      <x:c r="C2455" s="24" t="str">
        <x:v>Progressiva</x:v>
      </x:c>
      <x:c r="D2455" s="24" t="str">
        <x:v>Surfaçada</x:v>
      </x:c>
      <x:c r="E2455" s="24" t="str">
        <x:v>SmartLife Pure</x:v>
      </x:c>
      <x:c r="F2455" s="24" t="str">
        <x:v>PhotoFusion X</x:v>
      </x:c>
      <x:c r="G2455" s="24" t="str">
        <x:v>1.6</x:v>
      </x:c>
      <x:c r="H2455" s="24" t="str">
        <x:v>1.60</x:v>
      </x:c>
      <x:c r="I2455" s="24" t="str">
        <x:v>DuraVision Chrome UV</x:v>
      </x:c>
      <x:c r="J2455" s="40" t="n">
        <x:v>7160</x:v>
      </x:c>
      <x:c r="K2455" s="24" t="str">
        <x:v>-7.25 a +6.00</x:v>
      </x:c>
      <x:c r="L2455" s="24" t="str">
        <x:v>-6.00</x:v>
      </x:c>
      <x:c r="M2455" s="24" t="str">
        <x:v>0.75 a 3.50</x:v>
      </x:c>
      <x:c r="N2455" s="24" t="str">
        <x:v>75</x:v>
      </x:c>
      <x:c r="O2455" s="24"/>
      <x:c r="P2455" s="24"/>
      <x:c r="Q2455" s="24" t="str">
        <x:v>DISPONÍVEL</x:v>
      </x:c>
      <x:c r="R2455" s="24" t="str">
        <x:v>Programa de Parcerias ZEISS</x:v>
      </x:c>
      <x:c r="S2455" s="24" t="n">
        <x:v>40</x:v>
      </x:c>
      <x:c r="T2455" s="24" t="str">
        <x:v>tabela_zeiss.pdf</x:v>
      </x:c>
      <x:c r="U2455" s="24" t="str">
        <x:v>ZEISS|Progressiva|Surfaçada|SmartLife Pure|PhotoFusion X|1.6|1.60|DuraVision Chrome UV|-7.25 a +6.00|-6.00|0.75 a 3.50|75|||40</x:v>
      </x:c>
    </x:row>
    <x:row r="2456">
      <x:c r="A2456" s="24" t="str">
        <x:v>ZS-9F999BC49DA0</x:v>
      </x:c>
      <x:c r="B2456" s="24" t="str">
        <x:v>ZEISS</x:v>
      </x:c>
      <x:c r="C2456" s="24" t="str">
        <x:v>Progressiva</x:v>
      </x:c>
      <x:c r="D2456" s="24" t="str">
        <x:v>Surfaçada</x:v>
      </x:c>
      <x:c r="E2456" s="24" t="str">
        <x:v>SmartLife Pure</x:v>
      </x:c>
      <x:c r="F2456" s="24" t="str">
        <x:v>PhotoFusion X</x:v>
      </x:c>
      <x:c r="G2456" s="24" t="str">
        <x:v>1.67</x:v>
      </x:c>
      <x:c r="H2456" s="24" t="str">
        <x:v>1.67</x:v>
      </x:c>
      <x:c r="I2456" s="24" t="str">
        <x:v>DuraVision Gold UV</x:v>
      </x:c>
      <x:c r="J2456" s="40" t="n">
        <x:v>9690</x:v>
      </x:c>
      <x:c r="K2456" s="24" t="str">
        <x:v>-8.00 a +8.00</x:v>
      </x:c>
      <x:c r="L2456" s="24" t="str">
        <x:v>-4.00</x:v>
      </x:c>
      <x:c r="M2456" s="24" t="str">
        <x:v>0.75 a 3.00</x:v>
      </x:c>
      <x:c r="N2456" s="24" t="str">
        <x:v>70</x:v>
      </x:c>
      <x:c r="O2456" s="24"/>
      <x:c r="P2456" s="24"/>
      <x:c r="Q2456" s="24" t="str">
        <x:v>DISPONÍVEL</x:v>
      </x:c>
      <x:c r="R2456" s="24" t="str">
        <x:v>Programa de Parcerias ZEISS</x:v>
      </x:c>
      <x:c r="S2456" s="24" t="n">
        <x:v>40</x:v>
      </x:c>
      <x:c r="T2456" s="24" t="str">
        <x:v>tabela_zeiss.pdf</x:v>
      </x:c>
      <x:c r="U2456" s="24" t="str">
        <x:v>ZEISS|Progressiva|Surfaçada|SmartLife Pure|PhotoFusion X|1.67|1.67|DuraVision Gold UV|-8.00 a +8.00|-4.00|0.75 a 3.00|70|||40</x:v>
      </x:c>
    </x:row>
    <x:row r="2457">
      <x:c r="A2457" s="24" t="str">
        <x:v>ZS-9E0CC374B1A2</x:v>
      </x:c>
      <x:c r="B2457" s="24" t="str">
        <x:v>ZEISS</x:v>
      </x:c>
      <x:c r="C2457" s="24" t="str">
        <x:v>Progressiva</x:v>
      </x:c>
      <x:c r="D2457" s="24" t="str">
        <x:v>Surfaçada</x:v>
      </x:c>
      <x:c r="E2457" s="24" t="str">
        <x:v>SmartLife Pure</x:v>
      </x:c>
      <x:c r="F2457" s="24" t="str">
        <x:v>PhotoFusion X</x:v>
      </x:c>
      <x:c r="G2457" s="24" t="str">
        <x:v>1.67</x:v>
      </x:c>
      <x:c r="H2457" s="24" t="str">
        <x:v>1.67</x:v>
      </x:c>
      <x:c r="I2457" s="24" t="str">
        <x:v>DURAVISION® ANTIVÍRUS PLATINUM UV</x:v>
      </x:c>
      <x:c r="J2457" s="40" t="n">
        <x:v>9550</x:v>
      </x:c>
      <x:c r="K2457" s="24" t="str">
        <x:v>-8.00 a +8.00</x:v>
      </x:c>
      <x:c r="L2457" s="24" t="str">
        <x:v>-4.00</x:v>
      </x:c>
      <x:c r="M2457" s="24" t="str">
        <x:v>0.75 a 3.00</x:v>
      </x:c>
      <x:c r="N2457" s="24" t="str">
        <x:v>70</x:v>
      </x:c>
      <x:c r="O2457" s="24"/>
      <x:c r="P2457" s="24"/>
      <x:c r="Q2457" s="24" t="str">
        <x:v>DISPONÍVEL</x:v>
      </x:c>
      <x:c r="R2457" s="24" t="str">
        <x:v>Programa de Parcerias ZEISS</x:v>
      </x:c>
      <x:c r="S2457" s="24" t="n">
        <x:v>40</x:v>
      </x:c>
      <x:c r="T2457" s="24" t="str">
        <x:v>tabela_zeiss.pdf</x:v>
      </x:c>
      <x:c r="U2457" s="24" t="str">
        <x:v>ZEISS|Progressiva|Surfaçada|SmartLife Pure|PhotoFusion X|1.67|1.67|DURAVISION® ANTIVÍRUS PLATINUM UV|-8.00 a +8.00|-4.00|0.75 a 3.00|70|||40</x:v>
      </x:c>
    </x:row>
    <x:row r="2458">
      <x:c r="A2458" s="24" t="str">
        <x:v>ZS-DD12DE332BDA</x:v>
      </x:c>
      <x:c r="B2458" s="24" t="str">
        <x:v>ZEISS</x:v>
      </x:c>
      <x:c r="C2458" s="24" t="str">
        <x:v>Progressiva</x:v>
      </x:c>
      <x:c r="D2458" s="24" t="str">
        <x:v>Surfaçada</x:v>
      </x:c>
      <x:c r="E2458" s="24" t="str">
        <x:v>SmartLife Pure</x:v>
      </x:c>
      <x:c r="F2458" s="24" t="str">
        <x:v>PhotoFusion X</x:v>
      </x:c>
      <x:c r="G2458" s="24" t="str">
        <x:v>1.67</x:v>
      </x:c>
      <x:c r="H2458" s="24" t="str">
        <x:v>1.67</x:v>
      </x:c>
      <x:c r="I2458" s="24" t="str">
        <x:v>DuraVision Platinum UV</x:v>
      </x:c>
      <x:c r="J2458" s="40" t="n">
        <x:v>9550</x:v>
      </x:c>
      <x:c r="K2458" s="24" t="str">
        <x:v>-8.00 a +8.00</x:v>
      </x:c>
      <x:c r="L2458" s="24" t="str">
        <x:v>-4.00</x:v>
      </x:c>
      <x:c r="M2458" s="24" t="str">
        <x:v>0.75 a 3.00</x:v>
      </x:c>
      <x:c r="N2458" s="24" t="str">
        <x:v>70</x:v>
      </x:c>
      <x:c r="O2458" s="24"/>
      <x:c r="P2458" s="24"/>
      <x:c r="Q2458" s="24" t="str">
        <x:v>DISPONÍVEL</x:v>
      </x:c>
      <x:c r="R2458" s="24" t="str">
        <x:v>Programa de Parcerias ZEISS</x:v>
      </x:c>
      <x:c r="S2458" s="24" t="n">
        <x:v>40</x:v>
      </x:c>
      <x:c r="T2458" s="24" t="str">
        <x:v>tabela_zeiss.pdf</x:v>
      </x:c>
      <x:c r="U2458" s="24" t="str">
        <x:v>ZEISS|Progressiva|Surfaçada|SmartLife Pure|PhotoFusion X|1.67|1.67|DuraVision Platinum UV|-8.00 a +8.00|-4.00|0.75 a 3.00|70|||40</x:v>
      </x:c>
    </x:row>
    <x:row r="2459">
      <x:c r="A2459" s="24" t="str">
        <x:v>ZS-3A3833D64884</x:v>
      </x:c>
      <x:c r="B2459" s="24" t="str">
        <x:v>ZEISS</x:v>
      </x:c>
      <x:c r="C2459" s="24" t="str">
        <x:v>Progressiva</x:v>
      </x:c>
      <x:c r="D2459" s="24" t="str">
        <x:v>Surfaçada</x:v>
      </x:c>
      <x:c r="E2459" s="24" t="str">
        <x:v>SmartLife Pure</x:v>
      </x:c>
      <x:c r="F2459" s="24" t="str">
        <x:v>PhotoFusion X</x:v>
      </x:c>
      <x:c r="G2459" s="24" t="str">
        <x:v>1.67</x:v>
      </x:c>
      <x:c r="H2459" s="24" t="str">
        <x:v>1.67</x:v>
      </x:c>
      <x:c r="I2459" s="24" t="str">
        <x:v>DuraVision Silver UV</x:v>
      </x:c>
      <x:c r="J2459" s="40" t="n">
        <x:v>9290</x:v>
      </x:c>
      <x:c r="K2459" s="24" t="str">
        <x:v>-8.00 a +8.00</x:v>
      </x:c>
      <x:c r="L2459" s="24" t="str">
        <x:v>-4.00</x:v>
      </x:c>
      <x:c r="M2459" s="24" t="str">
        <x:v>0.75 a 3.00</x:v>
      </x:c>
      <x:c r="N2459" s="24" t="str">
        <x:v>70</x:v>
      </x:c>
      <x:c r="O2459" s="24"/>
      <x:c r="P2459" s="24"/>
      <x:c r="Q2459" s="24" t="str">
        <x:v>DISPONÍVEL</x:v>
      </x:c>
      <x:c r="R2459" s="24" t="str">
        <x:v>Programa de Parcerias ZEISS</x:v>
      </x:c>
      <x:c r="S2459" s="24" t="n">
        <x:v>40</x:v>
      </x:c>
      <x:c r="T2459" s="24" t="str">
        <x:v>tabela_zeiss.pdf</x:v>
      </x:c>
      <x:c r="U2459" s="24" t="str">
        <x:v>ZEISS|Progressiva|Surfaçada|SmartLife Pure|PhotoFusion X|1.67|1.67|DuraVision Silver UV|-8.00 a +8.00|-4.00|0.75 a 3.00|70|||40</x:v>
      </x:c>
    </x:row>
    <x:row r="2460">
      <x:c r="A2460" s="24" t="str">
        <x:v>ZS-CEB9C9DA20CB</x:v>
      </x:c>
      <x:c r="B2460" s="24" t="str">
        <x:v>ZEISS</x:v>
      </x:c>
      <x:c r="C2460" s="24" t="str">
        <x:v>Progressiva</x:v>
      </x:c>
      <x:c r="D2460" s="24" t="str">
        <x:v>Surfaçada</x:v>
      </x:c>
      <x:c r="E2460" s="24" t="str">
        <x:v>SmartLife Pure</x:v>
      </x:c>
      <x:c r="F2460" s="24" t="str">
        <x:v>PhotoFusion X</x:v>
      </x:c>
      <x:c r="G2460" s="24" t="str">
        <x:v>1.67</x:v>
      </x:c>
      <x:c r="H2460" s="24" t="str">
        <x:v>1.67</x:v>
      </x:c>
      <x:c r="I2460" s="24" t="str">
        <x:v>DuraVision Chrome UV</x:v>
      </x:c>
      <x:c r="J2460" s="40" t="n">
        <x:v>8800</x:v>
      </x:c>
      <x:c r="K2460" s="24" t="str">
        <x:v>-8.00 a +8.00</x:v>
      </x:c>
      <x:c r="L2460" s="24" t="str">
        <x:v>-4.00</x:v>
      </x:c>
      <x:c r="M2460" s="24" t="str">
        <x:v>0.75 a 3.00</x:v>
      </x:c>
      <x:c r="N2460" s="24" t="str">
        <x:v>70</x:v>
      </x:c>
      <x:c r="O2460" s="24"/>
      <x:c r="P2460" s="24"/>
      <x:c r="Q2460" s="24" t="str">
        <x:v>DISPONÍVEL</x:v>
      </x:c>
      <x:c r="R2460" s="24" t="str">
        <x:v>Programa de Parcerias ZEISS</x:v>
      </x:c>
      <x:c r="S2460" s="24" t="n">
        <x:v>40</x:v>
      </x:c>
      <x:c r="T2460" s="24" t="str">
        <x:v>tabela_zeiss.pdf</x:v>
      </x:c>
      <x:c r="U2460" s="24" t="str">
        <x:v>ZEISS|Progressiva|Surfaçada|SmartLife Pure|PhotoFusion X|1.67|1.67|DuraVision Chrome UV|-8.00 a +8.00|-4.00|0.75 a 3.00|70|||40</x:v>
      </x:c>
    </x:row>
    <x:row r="2461">
      <x:c r="A2461" s="24" t="str">
        <x:v>ZS-87BCDF984F85</x:v>
      </x:c>
      <x:c r="B2461" s="24" t="str">
        <x:v>ZEISS</x:v>
      </x:c>
      <x:c r="C2461" s="24" t="str">
        <x:v>Progressiva</x:v>
      </x:c>
      <x:c r="D2461" s="24" t="str">
        <x:v>Surfaçada</x:v>
      </x:c>
      <x:c r="E2461" s="24" t="str">
        <x:v>SmartLife Pure</x:v>
      </x:c>
      <x:c r="F2461" s="24" t="str">
        <x:v>PhotoFusion X Extra Dark Cinza</x:v>
      </x:c>
      <x:c r="G2461" s="24" t="str">
        <x:v>1.5</x:v>
      </x:c>
      <x:c r="H2461" s="24" t="str">
        <x:v>1.50</x:v>
      </x:c>
      <x:c r="I2461" s="24" t="str">
        <x:v>DuraVision Gold UV</x:v>
      </x:c>
      <x:c r="J2461" s="40" t="n">
        <x:v>6850</x:v>
      </x:c>
      <x:c r="K2461" s="24" t="str">
        <x:v>-6.00 a +5.50</x:v>
      </x:c>
      <x:c r="L2461" s="24" t="str">
        <x:v>-4.00</x:v>
      </x:c>
      <x:c r="M2461" s="24" t="str">
        <x:v>0.75 a 3.00</x:v>
      </x:c>
      <x:c r="N2461" s="24" t="str">
        <x:v>75</x:v>
      </x:c>
      <x:c r="O2461" s="24"/>
      <x:c r="P2461" s="24"/>
      <x:c r="Q2461" s="24" t="str">
        <x:v>DISPONÍVEL</x:v>
      </x:c>
      <x:c r="R2461" s="24" t="str">
        <x:v>Programa de Parcerias ZEISS</x:v>
      </x:c>
      <x:c r="S2461" s="24" t="n">
        <x:v>40</x:v>
      </x:c>
      <x:c r="T2461" s="24" t="str">
        <x:v>tabela_zeiss.pdf</x:v>
      </x:c>
      <x:c r="U2461" s="24" t="str">
        <x:v>ZEISS|Progressiva|Surfaçada|SmartLife Pure|PhotoFusion X Extra Dark Cinza|1.5|1.50|DuraVision Gold UV|-6.00 a +5.50|-4.00|0.75 a 3.00|75|||40</x:v>
      </x:c>
    </x:row>
    <x:row r="2462">
      <x:c r="A2462" s="24" t="str">
        <x:v>ZS-3040B22CBEC7</x:v>
      </x:c>
      <x:c r="B2462" s="24" t="str">
        <x:v>ZEISS</x:v>
      </x:c>
      <x:c r="C2462" s="24" t="str">
        <x:v>Progressiva</x:v>
      </x:c>
      <x:c r="D2462" s="24" t="str">
        <x:v>Surfaçada</x:v>
      </x:c>
      <x:c r="E2462" s="24" t="str">
        <x:v>SmartLife Pure</x:v>
      </x:c>
      <x:c r="F2462" s="24" t="str">
        <x:v>PhotoFusion X Extra Dark Cinza</x:v>
      </x:c>
      <x:c r="G2462" s="24" t="str">
        <x:v>1.5</x:v>
      </x:c>
      <x:c r="H2462" s="24" t="str">
        <x:v>1.50</x:v>
      </x:c>
      <x:c r="I2462" s="24" t="str">
        <x:v>DURAVISION® ANTIVÍRUS PLATINUM UV</x:v>
      </x:c>
      <x:c r="J2462" s="40" t="n">
        <x:v>6710</x:v>
      </x:c>
      <x:c r="K2462" s="24" t="str">
        <x:v>-6.00 a +5.50</x:v>
      </x:c>
      <x:c r="L2462" s="24" t="str">
        <x:v>-4.00</x:v>
      </x:c>
      <x:c r="M2462" s="24" t="str">
        <x:v>0.75 a 3.00</x:v>
      </x:c>
      <x:c r="N2462" s="24" t="str">
        <x:v>75</x:v>
      </x:c>
      <x:c r="O2462" s="24"/>
      <x:c r="P2462" s="24"/>
      <x:c r="Q2462" s="24" t="str">
        <x:v>DISPONÍVEL</x:v>
      </x:c>
      <x:c r="R2462" s="24" t="str">
        <x:v>Programa de Parcerias ZEISS</x:v>
      </x:c>
      <x:c r="S2462" s="24" t="n">
        <x:v>40</x:v>
      </x:c>
      <x:c r="T2462" s="24" t="str">
        <x:v>tabela_zeiss.pdf</x:v>
      </x:c>
      <x:c r="U2462" s="24" t="str">
        <x:v>ZEISS|Progressiva|Surfaçada|SmartLife Pure|PhotoFusion X Extra Dark Cinza|1.5|1.50|DURAVISION® ANTIVÍRUS PLATINUM UV|-6.00 a +5.50|-4.00|0.75 a 3.00|75|||40</x:v>
      </x:c>
    </x:row>
    <x:row r="2463">
      <x:c r="A2463" s="24" t="str">
        <x:v>ZS-98DB81D9CC35</x:v>
      </x:c>
      <x:c r="B2463" s="24" t="str">
        <x:v>ZEISS</x:v>
      </x:c>
      <x:c r="C2463" s="24" t="str">
        <x:v>Progressiva</x:v>
      </x:c>
      <x:c r="D2463" s="24" t="str">
        <x:v>Surfaçada</x:v>
      </x:c>
      <x:c r="E2463" s="24" t="str">
        <x:v>SmartLife Pure</x:v>
      </x:c>
      <x:c r="F2463" s="24" t="str">
        <x:v>PhotoFusion X Extra Dark Cinza</x:v>
      </x:c>
      <x:c r="G2463" s="24" t="str">
        <x:v>1.5</x:v>
      </x:c>
      <x:c r="H2463" s="24" t="str">
        <x:v>1.50</x:v>
      </x:c>
      <x:c r="I2463" s="24" t="str">
        <x:v>DuraVision Platinum UV</x:v>
      </x:c>
      <x:c r="J2463" s="40" t="n">
        <x:v>6710</x:v>
      </x:c>
      <x:c r="K2463" s="24" t="str">
        <x:v>-6.00 a +5.50</x:v>
      </x:c>
      <x:c r="L2463" s="24" t="str">
        <x:v>-4.00</x:v>
      </x:c>
      <x:c r="M2463" s="24" t="str">
        <x:v>0.75 a 3.00</x:v>
      </x:c>
      <x:c r="N2463" s="24" t="str">
        <x:v>75</x:v>
      </x:c>
      <x:c r="O2463" s="24"/>
      <x:c r="P2463" s="24"/>
      <x:c r="Q2463" s="24" t="str">
        <x:v>DISPONÍVEL</x:v>
      </x:c>
      <x:c r="R2463" s="24" t="str">
        <x:v>Programa de Parcerias ZEISS</x:v>
      </x:c>
      <x:c r="S2463" s="24" t="n">
        <x:v>40</x:v>
      </x:c>
      <x:c r="T2463" s="24" t="str">
        <x:v>tabela_zeiss.pdf</x:v>
      </x:c>
      <x:c r="U2463" s="24" t="str">
        <x:v>ZEISS|Progressiva|Surfaçada|SmartLife Pure|PhotoFusion X Extra Dark Cinza|1.5|1.50|DuraVision Platinum UV|-6.00 a +5.50|-4.00|0.75 a 3.00|75|||40</x:v>
      </x:c>
    </x:row>
    <x:row r="2464">
      <x:c r="A2464" s="24" t="str">
        <x:v>ZS-01C43CA409F8</x:v>
      </x:c>
      <x:c r="B2464" s="24" t="str">
        <x:v>ZEISS</x:v>
      </x:c>
      <x:c r="C2464" s="24" t="str">
        <x:v>Progressiva</x:v>
      </x:c>
      <x:c r="D2464" s="24" t="str">
        <x:v>Surfaçada</x:v>
      </x:c>
      <x:c r="E2464" s="24" t="str">
        <x:v>SmartLife Pure</x:v>
      </x:c>
      <x:c r="F2464" s="24" t="str">
        <x:v>PhotoFusion X Extra Dark Cinza</x:v>
      </x:c>
      <x:c r="G2464" s="24" t="str">
        <x:v>1.5</x:v>
      </x:c>
      <x:c r="H2464" s="24" t="str">
        <x:v>1.50</x:v>
      </x:c>
      <x:c r="I2464" s="24" t="str">
        <x:v>DuraVision Silver UV</x:v>
      </x:c>
      <x:c r="J2464" s="40" t="n">
        <x:v>6450</x:v>
      </x:c>
      <x:c r="K2464" s="24" t="str">
        <x:v>-6.00 a +5.50</x:v>
      </x:c>
      <x:c r="L2464" s="24" t="str">
        <x:v>-4.00</x:v>
      </x:c>
      <x:c r="M2464" s="24" t="str">
        <x:v>0.75 a 3.00</x:v>
      </x:c>
      <x:c r="N2464" s="24" t="str">
        <x:v>75</x:v>
      </x:c>
      <x:c r="O2464" s="24"/>
      <x:c r="P2464" s="24"/>
      <x:c r="Q2464" s="24" t="str">
        <x:v>DISPONÍVEL</x:v>
      </x:c>
      <x:c r="R2464" s="24" t="str">
        <x:v>Programa de Parcerias ZEISS</x:v>
      </x:c>
      <x:c r="S2464" s="24" t="n">
        <x:v>40</x:v>
      </x:c>
      <x:c r="T2464" s="24" t="str">
        <x:v>tabela_zeiss.pdf</x:v>
      </x:c>
      <x:c r="U2464" s="24" t="str">
        <x:v>ZEISS|Progressiva|Surfaçada|SmartLife Pure|PhotoFusion X Extra Dark Cinza|1.5|1.50|DuraVision Silver UV|-6.00 a +5.50|-4.00|0.75 a 3.00|75|||40</x:v>
      </x:c>
    </x:row>
    <x:row r="2465">
      <x:c r="A2465" s="24" t="str">
        <x:v>ZS-65F667B7E569</x:v>
      </x:c>
      <x:c r="B2465" s="24" t="str">
        <x:v>ZEISS</x:v>
      </x:c>
      <x:c r="C2465" s="24" t="str">
        <x:v>Progressiva</x:v>
      </x:c>
      <x:c r="D2465" s="24" t="str">
        <x:v>Surfaçada</x:v>
      </x:c>
      <x:c r="E2465" s="24" t="str">
        <x:v>SmartLife Pure</x:v>
      </x:c>
      <x:c r="F2465" s="24" t="str">
        <x:v>PhotoFusion X Extra Dark Cinza</x:v>
      </x:c>
      <x:c r="G2465" s="24" t="str">
        <x:v>1.5</x:v>
      </x:c>
      <x:c r="H2465" s="24" t="str">
        <x:v>1.50</x:v>
      </x:c>
      <x:c r="I2465" s="24" t="str">
        <x:v>DuraVision Chrome UV</x:v>
      </x:c>
      <x:c r="J2465" s="40" t="n">
        <x:v>5960</x:v>
      </x:c>
      <x:c r="K2465" s="24" t="str">
        <x:v>-6.00 a +5.50</x:v>
      </x:c>
      <x:c r="L2465" s="24" t="str">
        <x:v>-4.00</x:v>
      </x:c>
      <x:c r="M2465" s="24" t="str">
        <x:v>0.75 a 3.00</x:v>
      </x:c>
      <x:c r="N2465" s="24" t="str">
        <x:v>75</x:v>
      </x:c>
      <x:c r="O2465" s="24"/>
      <x:c r="P2465" s="24"/>
      <x:c r="Q2465" s="24" t="str">
        <x:v>DISPONÍVEL</x:v>
      </x:c>
      <x:c r="R2465" s="24" t="str">
        <x:v>Programa de Parcerias ZEISS</x:v>
      </x:c>
      <x:c r="S2465" s="24" t="n">
        <x:v>40</x:v>
      </x:c>
      <x:c r="T2465" s="24" t="str">
        <x:v>tabela_zeiss.pdf</x:v>
      </x:c>
      <x:c r="U2465" s="24" t="str">
        <x:v>ZEISS|Progressiva|Surfaçada|SmartLife Pure|PhotoFusion X Extra Dark Cinza|1.5|1.50|DuraVision Chrome UV|-6.00 a +5.50|-4.00|0.75 a 3.00|75|||40</x:v>
      </x:c>
    </x:row>
    <x:row r="2466">
      <x:c r="A2466" s="24" t="str">
        <x:v>ZS-3C5072616BF2</x:v>
      </x:c>
      <x:c r="B2466" s="24" t="str">
        <x:v>ZEISS</x:v>
      </x:c>
      <x:c r="C2466" s="24" t="str">
        <x:v>Progressiva</x:v>
      </x:c>
      <x:c r="D2466" s="24" t="str">
        <x:v>Surfaçada</x:v>
      </x:c>
      <x:c r="E2466" s="24" t="str">
        <x:v>SmartLife Pure</x:v>
      </x:c>
      <x:c r="F2466" s="24" t="str">
        <x:v>PhotoFusion X Extra Dark Cinza</x:v>
      </x:c>
      <x:c r="G2466" s="24" t="str">
        <x:v>Poli</x:v>
      </x:c>
      <x:c r="H2466" s="24"/>
      <x:c r="I2466" s="24" t="str">
        <x:v>DuraVision Gold UV</x:v>
      </x:c>
      <x:c r="J2466" s="40" t="n">
        <x:v>7440</x:v>
      </x:c>
      <x:c r="K2466" s="24" t="str">
        <x:v>-10.00 a +6.00</x:v>
      </x:c>
      <x:c r="L2466" s="24" t="str">
        <x:v>-6.00</x:v>
      </x:c>
      <x:c r="M2466" s="24" t="str">
        <x:v>0.75 a 3.00</x:v>
      </x:c>
      <x:c r="N2466" s="24" t="str">
        <x:v>70</x:v>
      </x:c>
      <x:c r="O2466" s="24"/>
      <x:c r="P2466" s="24"/>
      <x:c r="Q2466" s="24" t="str">
        <x:v>DISPONÍVEL</x:v>
      </x:c>
      <x:c r="R2466" s="24" t="str">
        <x:v>Programa de Parcerias ZEISS</x:v>
      </x:c>
      <x:c r="S2466" s="24" t="n">
        <x:v>40</x:v>
      </x:c>
      <x:c r="T2466" s="24" t="str">
        <x:v>tabela_zeiss.pdf</x:v>
      </x:c>
      <x:c r="U2466" s="24" t="str">
        <x:v>ZEISS|Progressiva|Surfaçada|SmartLife Pure|PhotoFusion X Extra Dark Cinza|Poli||DuraVision Gold UV|-10.00 a +6.00|-6.00|0.75 a 3.00|70|||40</x:v>
      </x:c>
    </x:row>
    <x:row r="2467">
      <x:c r="A2467" s="24" t="str">
        <x:v>ZS-2E4095091088</x:v>
      </x:c>
      <x:c r="B2467" s="24" t="str">
        <x:v>ZEISS</x:v>
      </x:c>
      <x:c r="C2467" s="24" t="str">
        <x:v>Progressiva</x:v>
      </x:c>
      <x:c r="D2467" s="24" t="str">
        <x:v>Surfaçada</x:v>
      </x:c>
      <x:c r="E2467" s="24" t="str">
        <x:v>SmartLife Pure</x:v>
      </x:c>
      <x:c r="F2467" s="24" t="str">
        <x:v>PhotoFusion X Extra Dark Cinza</x:v>
      </x:c>
      <x:c r="G2467" s="24" t="str">
        <x:v>Poli</x:v>
      </x:c>
      <x:c r="H2467" s="24"/>
      <x:c r="I2467" s="24" t="str">
        <x:v>DuraVision Platinum UV</x:v>
      </x:c>
      <x:c r="J2467" s="40" t="n">
        <x:v>7300</x:v>
      </x:c>
      <x:c r="K2467" s="24" t="str">
        <x:v>-10.00 a +6.00</x:v>
      </x:c>
      <x:c r="L2467" s="24" t="str">
        <x:v>-6.00</x:v>
      </x:c>
      <x:c r="M2467" s="24" t="str">
        <x:v>0.75 a 3.00</x:v>
      </x:c>
      <x:c r="N2467" s="24" t="str">
        <x:v>70</x:v>
      </x:c>
      <x:c r="O2467" s="24"/>
      <x:c r="P2467" s="24"/>
      <x:c r="Q2467" s="24" t="str">
        <x:v>DISPONÍVEL</x:v>
      </x:c>
      <x:c r="R2467" s="24" t="str">
        <x:v>Programa de Parcerias ZEISS</x:v>
      </x:c>
      <x:c r="S2467" s="24" t="n">
        <x:v>40</x:v>
      </x:c>
      <x:c r="T2467" s="24" t="str">
        <x:v>tabela_zeiss.pdf</x:v>
      </x:c>
      <x:c r="U2467" s="24" t="str">
        <x:v>ZEISS|Progressiva|Surfaçada|SmartLife Pure|PhotoFusion X Extra Dark Cinza|Poli||DuraVision Platinum UV|-10.00 a +6.00|-6.00|0.75 a 3.00|70|||40</x:v>
      </x:c>
    </x:row>
    <x:row r="2468">
      <x:c r="A2468" s="24" t="str">
        <x:v>ZS-927F063E3326</x:v>
      </x:c>
      <x:c r="B2468" s="24" t="str">
        <x:v>ZEISS</x:v>
      </x:c>
      <x:c r="C2468" s="24" t="str">
        <x:v>Progressiva</x:v>
      </x:c>
      <x:c r="D2468" s="24" t="str">
        <x:v>Surfaçada</x:v>
      </x:c>
      <x:c r="E2468" s="24" t="str">
        <x:v>SmartLife Pure</x:v>
      </x:c>
      <x:c r="F2468" s="24" t="str">
        <x:v>PhotoFusion X Extra Dark Cinza</x:v>
      </x:c>
      <x:c r="G2468" s="24" t="str">
        <x:v>Poli</x:v>
      </x:c>
      <x:c r="H2468" s="24"/>
      <x:c r="I2468" s="24" t="str">
        <x:v>DuraVision Silver UV</x:v>
      </x:c>
      <x:c r="J2468" s="40" t="n">
        <x:v>7040</x:v>
      </x:c>
      <x:c r="K2468" s="24" t="str">
        <x:v>-10.00 a +6.00</x:v>
      </x:c>
      <x:c r="L2468" s="24" t="str">
        <x:v>-6.00</x:v>
      </x:c>
      <x:c r="M2468" s="24" t="str">
        <x:v>0.75 a 3.00</x:v>
      </x:c>
      <x:c r="N2468" s="24" t="str">
        <x:v>70</x:v>
      </x:c>
      <x:c r="O2468" s="24"/>
      <x:c r="P2468" s="24"/>
      <x:c r="Q2468" s="24" t="str">
        <x:v>DISPONÍVEL</x:v>
      </x:c>
      <x:c r="R2468" s="24" t="str">
        <x:v>Programa de Parcerias ZEISS</x:v>
      </x:c>
      <x:c r="S2468" s="24" t="n">
        <x:v>40</x:v>
      </x:c>
      <x:c r="T2468" s="24" t="str">
        <x:v>tabela_zeiss.pdf</x:v>
      </x:c>
      <x:c r="U2468" s="24" t="str">
        <x:v>ZEISS|Progressiva|Surfaçada|SmartLife Pure|PhotoFusion X Extra Dark Cinza|Poli||DuraVision Silver UV|-10.00 a +6.00|-6.00|0.75 a 3.00|70|||40</x:v>
      </x:c>
    </x:row>
    <x:row r="2469">
      <x:c r="A2469" s="24" t="str">
        <x:v>ZS-59794DFD4D71</x:v>
      </x:c>
      <x:c r="B2469" s="24" t="str">
        <x:v>ZEISS</x:v>
      </x:c>
      <x:c r="C2469" s="24" t="str">
        <x:v>Progressiva</x:v>
      </x:c>
      <x:c r="D2469" s="24" t="str">
        <x:v>Surfaçada</x:v>
      </x:c>
      <x:c r="E2469" s="24" t="str">
        <x:v>SmartLife Pure</x:v>
      </x:c>
      <x:c r="F2469" s="24" t="str">
        <x:v>PhotoFusion X Extra Dark Cinza</x:v>
      </x:c>
      <x:c r="G2469" s="24" t="str">
        <x:v>Poli</x:v>
      </x:c>
      <x:c r="H2469" s="24"/>
      <x:c r="I2469" s="24" t="str">
        <x:v>DuraVision Chrome UV</x:v>
      </x:c>
      <x:c r="J2469" s="40" t="n">
        <x:v>6550</x:v>
      </x:c>
      <x:c r="K2469" s="24" t="str">
        <x:v>-10.00 a +6.00</x:v>
      </x:c>
      <x:c r="L2469" s="24" t="str">
        <x:v>-6.00</x:v>
      </x:c>
      <x:c r="M2469" s="24" t="str">
        <x:v>0.75 a 3.00</x:v>
      </x:c>
      <x:c r="N2469" s="24" t="str">
        <x:v>70</x:v>
      </x:c>
      <x:c r="O2469" s="24"/>
      <x:c r="P2469" s="24"/>
      <x:c r="Q2469" s="24" t="str">
        <x:v>DISPONÍVEL</x:v>
      </x:c>
      <x:c r="R2469" s="24" t="str">
        <x:v>Programa de Parcerias ZEISS</x:v>
      </x:c>
      <x:c r="S2469" s="24" t="n">
        <x:v>40</x:v>
      </x:c>
      <x:c r="T2469" s="24" t="str">
        <x:v>tabela_zeiss.pdf</x:v>
      </x:c>
      <x:c r="U2469" s="24" t="str">
        <x:v>ZEISS|Progressiva|Surfaçada|SmartLife Pure|PhotoFusion X Extra Dark Cinza|Poli||DuraVision Chrome UV|-10.00 a +6.00|-6.00|0.75 a 3.00|70|||40</x:v>
      </x:c>
    </x:row>
    <x:row r="2470">
      <x:c r="A2470" s="24" t="str">
        <x:v>ZS-3D81336B9E2B</x:v>
      </x:c>
      <x:c r="B2470" s="24" t="str">
        <x:v>ZEISS</x:v>
      </x:c>
      <x:c r="C2470" s="24" t="str">
        <x:v>Progressiva</x:v>
      </x:c>
      <x:c r="D2470" s="24" t="str">
        <x:v>Surfaçada</x:v>
      </x:c>
      <x:c r="E2470" s="24" t="str">
        <x:v>SmartLife Pure</x:v>
      </x:c>
      <x:c r="F2470" s="24" t="str">
        <x:v>PhotoFusion X Extra Dark Cinza</x:v>
      </x:c>
      <x:c r="G2470" s="24" t="str">
        <x:v>1.6</x:v>
      </x:c>
      <x:c r="H2470" s="24" t="str">
        <x:v>1.60</x:v>
      </x:c>
      <x:c r="I2470" s="24" t="str">
        <x:v>DuraVision Gold UV</x:v>
      </x:c>
      <x:c r="J2470" s="40" t="n">
        <x:v>8100</x:v>
      </x:c>
      <x:c r="K2470" s="24" t="str">
        <x:v>-7.25 a +6.00</x:v>
      </x:c>
      <x:c r="L2470" s="24" t="str">
        <x:v>-6.00</x:v>
      </x:c>
      <x:c r="M2470" s="24" t="str">
        <x:v>0.75 a 3.50</x:v>
      </x:c>
      <x:c r="N2470" s="24" t="str">
        <x:v>75</x:v>
      </x:c>
      <x:c r="O2470" s="24"/>
      <x:c r="P2470" s="24"/>
      <x:c r="Q2470" s="24" t="str">
        <x:v>DISPONÍVEL</x:v>
      </x:c>
      <x:c r="R2470" s="24" t="str">
        <x:v>Programa de Parcerias ZEISS</x:v>
      </x:c>
      <x:c r="S2470" s="24" t="n">
        <x:v>40</x:v>
      </x:c>
      <x:c r="T2470" s="24" t="str">
        <x:v>tabela_zeiss.pdf</x:v>
      </x:c>
      <x:c r="U2470" s="24" t="str">
        <x:v>ZEISS|Progressiva|Surfaçada|SmartLife Pure|PhotoFusion X Extra Dark Cinza|1.6|1.60|DuraVision Gold UV|-7.25 a +6.00|-6.00|0.75 a 3.50|75|||40</x:v>
      </x:c>
    </x:row>
    <x:row r="2471">
      <x:c r="A2471" s="24" t="str">
        <x:v>ZS-7D31FD3FE0D7</x:v>
      </x:c>
      <x:c r="B2471" s="24" t="str">
        <x:v>ZEISS</x:v>
      </x:c>
      <x:c r="C2471" s="24" t="str">
        <x:v>Progressiva</x:v>
      </x:c>
      <x:c r="D2471" s="24" t="str">
        <x:v>Surfaçada</x:v>
      </x:c>
      <x:c r="E2471" s="24" t="str">
        <x:v>SmartLife Pure</x:v>
      </x:c>
      <x:c r="F2471" s="24" t="str">
        <x:v>PhotoFusion X Extra Dark Cinza</x:v>
      </x:c>
      <x:c r="G2471" s="24" t="str">
        <x:v>1.6</x:v>
      </x:c>
      <x:c r="H2471" s="24" t="str">
        <x:v>1.60</x:v>
      </x:c>
      <x:c r="I2471" s="24" t="str">
        <x:v>DURAVISION® ANTIVÍRUS PLATINUM UV</x:v>
      </x:c>
      <x:c r="J2471" s="40" t="n">
        <x:v>7960</x:v>
      </x:c>
      <x:c r="K2471" s="24" t="str">
        <x:v>-7.25 a +6.00</x:v>
      </x:c>
      <x:c r="L2471" s="24" t="str">
        <x:v>-6.00</x:v>
      </x:c>
      <x:c r="M2471" s="24" t="str">
        <x:v>0.75 a 3.50</x:v>
      </x:c>
      <x:c r="N2471" s="24" t="str">
        <x:v>75</x:v>
      </x:c>
      <x:c r="O2471" s="24"/>
      <x:c r="P2471" s="24"/>
      <x:c r="Q2471" s="24" t="str">
        <x:v>DISPONÍVEL</x:v>
      </x:c>
      <x:c r="R2471" s="24" t="str">
        <x:v>Programa de Parcerias ZEISS</x:v>
      </x:c>
      <x:c r="S2471" s="24" t="n">
        <x:v>40</x:v>
      </x:c>
      <x:c r="T2471" s="24" t="str">
        <x:v>tabela_zeiss.pdf</x:v>
      </x:c>
      <x:c r="U2471" s="24" t="str">
        <x:v>ZEISS|Progressiva|Surfaçada|SmartLife Pure|PhotoFusion X Extra Dark Cinza|1.6|1.60|DURAVISION® ANTIVÍRUS PLATINUM UV|-7.25 a +6.00|-6.00|0.75 a 3.50|75|||40</x:v>
      </x:c>
    </x:row>
    <x:row r="2472">
      <x:c r="A2472" s="24" t="str">
        <x:v>ZS-6837D323142C</x:v>
      </x:c>
      <x:c r="B2472" s="24" t="str">
        <x:v>ZEISS</x:v>
      </x:c>
      <x:c r="C2472" s="24" t="str">
        <x:v>Progressiva</x:v>
      </x:c>
      <x:c r="D2472" s="24" t="str">
        <x:v>Surfaçada</x:v>
      </x:c>
      <x:c r="E2472" s="24" t="str">
        <x:v>SmartLife Pure</x:v>
      </x:c>
      <x:c r="F2472" s="24" t="str">
        <x:v>PhotoFusion X Extra Dark Cinza</x:v>
      </x:c>
      <x:c r="G2472" s="24" t="str">
        <x:v>1.6</x:v>
      </x:c>
      <x:c r="H2472" s="24" t="str">
        <x:v>1.60</x:v>
      </x:c>
      <x:c r="I2472" s="24" t="str">
        <x:v>DuraVision Platinum UV</x:v>
      </x:c>
      <x:c r="J2472" s="40" t="n">
        <x:v>7960</x:v>
      </x:c>
      <x:c r="K2472" s="24" t="str">
        <x:v>-7.25 a +6.00</x:v>
      </x:c>
      <x:c r="L2472" s="24" t="str">
        <x:v>-6.00</x:v>
      </x:c>
      <x:c r="M2472" s="24" t="str">
        <x:v>0.75 a 3.50</x:v>
      </x:c>
      <x:c r="N2472" s="24" t="str">
        <x:v>75</x:v>
      </x:c>
      <x:c r="O2472" s="24"/>
      <x:c r="P2472" s="24"/>
      <x:c r="Q2472" s="24" t="str">
        <x:v>DISPONÍVEL</x:v>
      </x:c>
      <x:c r="R2472" s="24" t="str">
        <x:v>Programa de Parcerias ZEISS</x:v>
      </x:c>
      <x:c r="S2472" s="24" t="n">
        <x:v>40</x:v>
      </x:c>
      <x:c r="T2472" s="24" t="str">
        <x:v>tabela_zeiss.pdf</x:v>
      </x:c>
      <x:c r="U2472" s="24" t="str">
        <x:v>ZEISS|Progressiva|Surfaçada|SmartLife Pure|PhotoFusion X Extra Dark Cinza|1.6|1.60|DuraVision Platinum UV|-7.25 a +6.00|-6.00|0.75 a 3.50|75|||40</x:v>
      </x:c>
    </x:row>
    <x:row r="2473">
      <x:c r="A2473" s="24" t="str">
        <x:v>ZS-75AA8CEBEA22</x:v>
      </x:c>
      <x:c r="B2473" s="24" t="str">
        <x:v>ZEISS</x:v>
      </x:c>
      <x:c r="C2473" s="24" t="str">
        <x:v>Progressiva</x:v>
      </x:c>
      <x:c r="D2473" s="24" t="str">
        <x:v>Surfaçada</x:v>
      </x:c>
      <x:c r="E2473" s="24" t="str">
        <x:v>SmartLife Pure</x:v>
      </x:c>
      <x:c r="F2473" s="24" t="str">
        <x:v>PhotoFusion X Extra Dark Cinza</x:v>
      </x:c>
      <x:c r="G2473" s="24" t="str">
        <x:v>1.6</x:v>
      </x:c>
      <x:c r="H2473" s="24" t="str">
        <x:v>1.60</x:v>
      </x:c>
      <x:c r="I2473" s="24" t="str">
        <x:v>DuraVision Silver UV</x:v>
      </x:c>
      <x:c r="J2473" s="40" t="n">
        <x:v>7700</x:v>
      </x:c>
      <x:c r="K2473" s="24" t="str">
        <x:v>-7.25 a +6.00</x:v>
      </x:c>
      <x:c r="L2473" s="24" t="str">
        <x:v>-6.00</x:v>
      </x:c>
      <x:c r="M2473" s="24" t="str">
        <x:v>0.75 a 3.50</x:v>
      </x:c>
      <x:c r="N2473" s="24" t="str">
        <x:v>75</x:v>
      </x:c>
      <x:c r="O2473" s="24"/>
      <x:c r="P2473" s="24"/>
      <x:c r="Q2473" s="24" t="str">
        <x:v>DISPONÍVEL</x:v>
      </x:c>
      <x:c r="R2473" s="24" t="str">
        <x:v>Programa de Parcerias ZEISS</x:v>
      </x:c>
      <x:c r="S2473" s="24" t="n">
        <x:v>40</x:v>
      </x:c>
      <x:c r="T2473" s="24" t="str">
        <x:v>tabela_zeiss.pdf</x:v>
      </x:c>
      <x:c r="U2473" s="24" t="str">
        <x:v>ZEISS|Progressiva|Surfaçada|SmartLife Pure|PhotoFusion X Extra Dark Cinza|1.6|1.60|DuraVision Silver UV|-7.25 a +6.00|-6.00|0.75 a 3.50|75|||40</x:v>
      </x:c>
    </x:row>
    <x:row r="2474">
      <x:c r="A2474" s="24" t="str">
        <x:v>ZS-C46C3B993FE2</x:v>
      </x:c>
      <x:c r="B2474" s="24" t="str">
        <x:v>ZEISS</x:v>
      </x:c>
      <x:c r="C2474" s="24" t="str">
        <x:v>Progressiva</x:v>
      </x:c>
      <x:c r="D2474" s="24" t="str">
        <x:v>Surfaçada</x:v>
      </x:c>
      <x:c r="E2474" s="24" t="str">
        <x:v>SmartLife Pure</x:v>
      </x:c>
      <x:c r="F2474" s="24" t="str">
        <x:v>PhotoFusion X Extra Dark Cinza</x:v>
      </x:c>
      <x:c r="G2474" s="24" t="str">
        <x:v>1.6</x:v>
      </x:c>
      <x:c r="H2474" s="24" t="str">
        <x:v>1.60</x:v>
      </x:c>
      <x:c r="I2474" s="24" t="str">
        <x:v>DuraVision Chrome UV</x:v>
      </x:c>
      <x:c r="J2474" s="40" t="n">
        <x:v>7210</x:v>
      </x:c>
      <x:c r="K2474" s="24" t="str">
        <x:v>-7.25 a +6.00</x:v>
      </x:c>
      <x:c r="L2474" s="24" t="str">
        <x:v>-6.00</x:v>
      </x:c>
      <x:c r="M2474" s="24" t="str">
        <x:v>0.75 a 3.50</x:v>
      </x:c>
      <x:c r="N2474" s="24" t="str">
        <x:v>75</x:v>
      </x:c>
      <x:c r="O2474" s="24"/>
      <x:c r="P2474" s="24"/>
      <x:c r="Q2474" s="24" t="str">
        <x:v>DISPONÍVEL</x:v>
      </x:c>
      <x:c r="R2474" s="24" t="str">
        <x:v>Programa de Parcerias ZEISS</x:v>
      </x:c>
      <x:c r="S2474" s="24" t="n">
        <x:v>40</x:v>
      </x:c>
      <x:c r="T2474" s="24" t="str">
        <x:v>tabela_zeiss.pdf</x:v>
      </x:c>
      <x:c r="U2474" s="24" t="str">
        <x:v>ZEISS|Progressiva|Surfaçada|SmartLife Pure|PhotoFusion X Extra Dark Cinza|1.6|1.60|DuraVision Chrome UV|-7.25 a +6.00|-6.00|0.75 a 3.50|75|||40</x:v>
      </x:c>
    </x:row>
    <x:row r="2475">
      <x:c r="A2475" s="24" t="str">
        <x:v>ZS-92BA6BDD4F1A</x:v>
      </x:c>
      <x:c r="B2475" s="24" t="str">
        <x:v>ZEISS</x:v>
      </x:c>
      <x:c r="C2475" s="24" t="str">
        <x:v>Progressiva</x:v>
      </x:c>
      <x:c r="D2475" s="24" t="str">
        <x:v>Surfaçada</x:v>
      </x:c>
      <x:c r="E2475" s="24" t="str">
        <x:v>SmartLife Pure</x:v>
      </x:c>
      <x:c r="F2475" s="24" t="str">
        <x:v>PhotoFusion X Extra Dark Cinza</x:v>
      </x:c>
      <x:c r="G2475" s="24" t="str">
        <x:v>1.67</x:v>
      </x:c>
      <x:c r="H2475" s="24" t="str">
        <x:v>1.67</x:v>
      </x:c>
      <x:c r="I2475" s="24" t="str">
        <x:v>DuraVision Gold UV</x:v>
      </x:c>
      <x:c r="J2475" s="40" t="n">
        <x:v>9740</x:v>
      </x:c>
      <x:c r="K2475" s="24" t="str">
        <x:v>-8.00 a +8.00</x:v>
      </x:c>
      <x:c r="L2475" s="24" t="str">
        <x:v>-4.00</x:v>
      </x:c>
      <x:c r="M2475" s="24" t="str">
        <x:v>0.75 a 3.00</x:v>
      </x:c>
      <x:c r="N2475" s="24" t="str">
        <x:v>70</x:v>
      </x:c>
      <x:c r="O2475" s="24"/>
      <x:c r="P2475" s="24"/>
      <x:c r="Q2475" s="24" t="str">
        <x:v>DISPONÍVEL</x:v>
      </x:c>
      <x:c r="R2475" s="24" t="str">
        <x:v>Programa de Parcerias ZEISS</x:v>
      </x:c>
      <x:c r="S2475" s="24" t="n">
        <x:v>40</x:v>
      </x:c>
      <x:c r="T2475" s="24" t="str">
        <x:v>tabela_zeiss.pdf</x:v>
      </x:c>
      <x:c r="U2475" s="24" t="str">
        <x:v>ZEISS|Progressiva|Surfaçada|SmartLife Pure|PhotoFusion X Extra Dark Cinza|1.67|1.67|DuraVision Gold UV|-8.00 a +8.00|-4.00|0.75 a 3.00|70|||40</x:v>
      </x:c>
    </x:row>
    <x:row r="2476">
      <x:c r="A2476" s="24" t="str">
        <x:v>ZS-5A29C77F3148</x:v>
      </x:c>
      <x:c r="B2476" s="24" t="str">
        <x:v>ZEISS</x:v>
      </x:c>
      <x:c r="C2476" s="24" t="str">
        <x:v>Progressiva</x:v>
      </x:c>
      <x:c r="D2476" s="24" t="str">
        <x:v>Surfaçada</x:v>
      </x:c>
      <x:c r="E2476" s="24" t="str">
        <x:v>SmartLife Pure</x:v>
      </x:c>
      <x:c r="F2476" s="24" t="str">
        <x:v>PhotoFusion X Extra Dark Cinza</x:v>
      </x:c>
      <x:c r="G2476" s="24" t="str">
        <x:v>1.67</x:v>
      </x:c>
      <x:c r="H2476" s="24" t="str">
        <x:v>1.67</x:v>
      </x:c>
      <x:c r="I2476" s="24" t="str">
        <x:v>DURAVISION® ANTIVÍRUS PLATINUM UV</x:v>
      </x:c>
      <x:c r="J2476" s="40" t="n">
        <x:v>9600</x:v>
      </x:c>
      <x:c r="K2476" s="24" t="str">
        <x:v>-8.00 a +8.00</x:v>
      </x:c>
      <x:c r="L2476" s="24" t="str">
        <x:v>-4.00</x:v>
      </x:c>
      <x:c r="M2476" s="24" t="str">
        <x:v>0.75 a 3.00</x:v>
      </x:c>
      <x:c r="N2476" s="24" t="str">
        <x:v>70</x:v>
      </x:c>
      <x:c r="O2476" s="24"/>
      <x:c r="P2476" s="24"/>
      <x:c r="Q2476" s="24" t="str">
        <x:v>DISPONÍVEL</x:v>
      </x:c>
      <x:c r="R2476" s="24" t="str">
        <x:v>Programa de Parcerias ZEISS</x:v>
      </x:c>
      <x:c r="S2476" s="24" t="n">
        <x:v>40</x:v>
      </x:c>
      <x:c r="T2476" s="24" t="str">
        <x:v>tabela_zeiss.pdf</x:v>
      </x:c>
      <x:c r="U2476" s="24" t="str">
        <x:v>ZEISS|Progressiva|Surfaçada|SmartLife Pure|PhotoFusion X Extra Dark Cinza|1.67|1.67|DURAVISION® ANTIVÍRUS PLATINUM UV|-8.00 a +8.00|-4.00|0.75 a 3.00|70|||40</x:v>
      </x:c>
    </x:row>
    <x:row r="2477">
      <x:c r="A2477" s="24" t="str">
        <x:v>ZS-13F676332B02</x:v>
      </x:c>
      <x:c r="B2477" s="24" t="str">
        <x:v>ZEISS</x:v>
      </x:c>
      <x:c r="C2477" s="24" t="str">
        <x:v>Progressiva</x:v>
      </x:c>
      <x:c r="D2477" s="24" t="str">
        <x:v>Surfaçada</x:v>
      </x:c>
      <x:c r="E2477" s="24" t="str">
        <x:v>SmartLife Pure</x:v>
      </x:c>
      <x:c r="F2477" s="24" t="str">
        <x:v>PhotoFusion X Extra Dark Cinza</x:v>
      </x:c>
      <x:c r="G2477" s="24" t="str">
        <x:v>1.67</x:v>
      </x:c>
      <x:c r="H2477" s="24" t="str">
        <x:v>1.67</x:v>
      </x:c>
      <x:c r="I2477" s="24" t="str">
        <x:v>DuraVision Platinum UV</x:v>
      </x:c>
      <x:c r="J2477" s="40" t="n">
        <x:v>9600</x:v>
      </x:c>
      <x:c r="K2477" s="24" t="str">
        <x:v>-8.00 a +8.00</x:v>
      </x:c>
      <x:c r="L2477" s="24" t="str">
        <x:v>-4.00</x:v>
      </x:c>
      <x:c r="M2477" s="24" t="str">
        <x:v>0.75 a 3.00</x:v>
      </x:c>
      <x:c r="N2477" s="24" t="str">
        <x:v>70</x:v>
      </x:c>
      <x:c r="O2477" s="24"/>
      <x:c r="P2477" s="24"/>
      <x:c r="Q2477" s="24" t="str">
        <x:v>DISPONÍVEL</x:v>
      </x:c>
      <x:c r="R2477" s="24" t="str">
        <x:v>Programa de Parcerias ZEISS</x:v>
      </x:c>
      <x:c r="S2477" s="24" t="n">
        <x:v>40</x:v>
      </x:c>
      <x:c r="T2477" s="24" t="str">
        <x:v>tabela_zeiss.pdf</x:v>
      </x:c>
      <x:c r="U2477" s="24" t="str">
        <x:v>ZEISS|Progressiva|Surfaçada|SmartLife Pure|PhotoFusion X Extra Dark Cinza|1.67|1.67|DuraVision Platinum UV|-8.00 a +8.00|-4.00|0.75 a 3.00|70|||40</x:v>
      </x:c>
    </x:row>
    <x:row r="2478">
      <x:c r="A2478" s="24" t="str">
        <x:v>ZS-61592F69E582</x:v>
      </x:c>
      <x:c r="B2478" s="24" t="str">
        <x:v>ZEISS</x:v>
      </x:c>
      <x:c r="C2478" s="24" t="str">
        <x:v>Progressiva</x:v>
      </x:c>
      <x:c r="D2478" s="24" t="str">
        <x:v>Surfaçada</x:v>
      </x:c>
      <x:c r="E2478" s="24" t="str">
        <x:v>SmartLife Pure</x:v>
      </x:c>
      <x:c r="F2478" s="24" t="str">
        <x:v>PhotoFusion X Extra Dark Cinza</x:v>
      </x:c>
      <x:c r="G2478" s="24" t="str">
        <x:v>1.67</x:v>
      </x:c>
      <x:c r="H2478" s="24" t="str">
        <x:v>1.67</x:v>
      </x:c>
      <x:c r="I2478" s="24" t="str">
        <x:v>DuraVision Silver UV</x:v>
      </x:c>
      <x:c r="J2478" s="40" t="n">
        <x:v>9340</x:v>
      </x:c>
      <x:c r="K2478" s="24" t="str">
        <x:v>-8.00 a +8.00</x:v>
      </x:c>
      <x:c r="L2478" s="24" t="str">
        <x:v>-4.00</x:v>
      </x:c>
      <x:c r="M2478" s="24" t="str">
        <x:v>0.75 a 3.00</x:v>
      </x:c>
      <x:c r="N2478" s="24" t="str">
        <x:v>70</x:v>
      </x:c>
      <x:c r="O2478" s="24"/>
      <x:c r="P2478" s="24"/>
      <x:c r="Q2478" s="24" t="str">
        <x:v>DISPONÍVEL</x:v>
      </x:c>
      <x:c r="R2478" s="24" t="str">
        <x:v>Programa de Parcerias ZEISS</x:v>
      </x:c>
      <x:c r="S2478" s="24" t="n">
        <x:v>40</x:v>
      </x:c>
      <x:c r="T2478" s="24" t="str">
        <x:v>tabela_zeiss.pdf</x:v>
      </x:c>
      <x:c r="U2478" s="24" t="str">
        <x:v>ZEISS|Progressiva|Surfaçada|SmartLife Pure|PhotoFusion X Extra Dark Cinza|1.67|1.67|DuraVision Silver UV|-8.00 a +8.00|-4.00|0.75 a 3.00|70|||40</x:v>
      </x:c>
    </x:row>
    <x:row r="2479">
      <x:c r="A2479" s="24" t="str">
        <x:v>ZS-489507DF53E8</x:v>
      </x:c>
      <x:c r="B2479" s="24" t="str">
        <x:v>ZEISS</x:v>
      </x:c>
      <x:c r="C2479" s="24" t="str">
        <x:v>Progressiva</x:v>
      </x:c>
      <x:c r="D2479" s="24" t="str">
        <x:v>Surfaçada</x:v>
      </x:c>
      <x:c r="E2479" s="24" t="str">
        <x:v>SmartLife Pure</x:v>
      </x:c>
      <x:c r="F2479" s="24" t="str">
        <x:v>PhotoFusion X Extra Dark Cinza</x:v>
      </x:c>
      <x:c r="G2479" s="24" t="str">
        <x:v>1.67</x:v>
      </x:c>
      <x:c r="H2479" s="24" t="str">
        <x:v>1.67</x:v>
      </x:c>
      <x:c r="I2479" s="24" t="str">
        <x:v>DuraVision Chrome UV</x:v>
      </x:c>
      <x:c r="J2479" s="40" t="n">
        <x:v>8850</x:v>
      </x:c>
      <x:c r="K2479" s="24" t="str">
        <x:v>-8.00 a +8.00</x:v>
      </x:c>
      <x:c r="L2479" s="24" t="str">
        <x:v>-4.00</x:v>
      </x:c>
      <x:c r="M2479" s="24" t="str">
        <x:v>0.75 a 3.00</x:v>
      </x:c>
      <x:c r="N2479" s="24" t="str">
        <x:v>70</x:v>
      </x:c>
      <x:c r="O2479" s="24"/>
      <x:c r="P2479" s="24"/>
      <x:c r="Q2479" s="24" t="str">
        <x:v>DISPONÍVEL</x:v>
      </x:c>
      <x:c r="R2479" s="24" t="str">
        <x:v>Programa de Parcerias ZEISS</x:v>
      </x:c>
      <x:c r="S2479" s="24" t="n">
        <x:v>40</x:v>
      </x:c>
      <x:c r="T2479" s="24" t="str">
        <x:v>tabela_zeiss.pdf</x:v>
      </x:c>
      <x:c r="U2479" s="24" t="str">
        <x:v>ZEISS|Progressiva|Surfaçada|SmartLife Pure|PhotoFusion X Extra Dark Cinza|1.67|1.67|DuraVision Chrome UV|-8.00 a +8.00|-4.00|0.75 a 3.00|70|||40</x:v>
      </x:c>
    </x:row>
    <x:row r="2480">
      <x:c r="A2480" s="24" t="str">
        <x:v>ZS-17878B2A26C7</x:v>
      </x:c>
      <x:c r="B2480" s="24" t="str">
        <x:v>ZEISS</x:v>
      </x:c>
      <x:c r="C2480" s="24" t="str">
        <x:v>Progressiva</x:v>
      </x:c>
      <x:c r="D2480" s="24" t="str">
        <x:v>Surfaçada</x:v>
      </x:c>
      <x:c r="E2480" s="24" t="str">
        <x:v>SmartLife Pure</x:v>
      </x:c>
      <x:c r="F2480" s="24" t="str">
        <x:v>Polarizada</x:v>
      </x:c>
      <x:c r="G2480" s="24" t="str">
        <x:v>1.5</x:v>
      </x:c>
      <x:c r="H2480" s="24" t="str">
        <x:v>1.50</x:v>
      </x:c>
      <x:c r="I2480" s="24" t="str">
        <x:v>DuraVision Gold UV</x:v>
      </x:c>
      <x:c r="J2480" s="40" t="n">
        <x:v>6220</x:v>
      </x:c>
      <x:c r="K2480" s="24" t="str">
        <x:v>-6.00 a +6.00</x:v>
      </x:c>
      <x:c r="L2480" s="24" t="str">
        <x:v>-4.00</x:v>
      </x:c>
      <x:c r="M2480" s="24" t="str">
        <x:v>0.75 a 3.50</x:v>
      </x:c>
      <x:c r="N2480" s="24" t="str">
        <x:v>70</x:v>
      </x:c>
      <x:c r="O2480" s="24"/>
      <x:c r="P2480" s="24"/>
      <x:c r="Q2480" s="24" t="str">
        <x:v>DISPONÍVEL</x:v>
      </x:c>
      <x:c r="R2480" s="24"/>
      <x:c r="S2480" s="24" t="n">
        <x:v>40</x:v>
      </x:c>
      <x:c r="T2480" s="24" t="str">
        <x:v>tabela_zeiss.pdf</x:v>
      </x:c>
      <x:c r="U2480" s="24" t="str">
        <x:v>ZEISS|Progressiva|Surfaçada|SmartLife Pure|Polarizada|1.5|1.50|DuraVision Gold UV|-6.00 a +6.00|-4.00|0.75 a 3.50|70|||40</x:v>
      </x:c>
    </x:row>
    <x:row r="2481">
      <x:c r="A2481" s="24" t="str">
        <x:v>ZS-2E703E5BCDFF</x:v>
      </x:c>
      <x:c r="B2481" s="24" t="str">
        <x:v>ZEISS</x:v>
      </x:c>
      <x:c r="C2481" s="24" t="str">
        <x:v>Progressiva</x:v>
      </x:c>
      <x:c r="D2481" s="24" t="str">
        <x:v>Surfaçada</x:v>
      </x:c>
      <x:c r="E2481" s="24" t="str">
        <x:v>SmartLife Pure</x:v>
      </x:c>
      <x:c r="F2481" s="24" t="str">
        <x:v>Polarizada</x:v>
      </x:c>
      <x:c r="G2481" s="24" t="str">
        <x:v>1.5</x:v>
      </x:c>
      <x:c r="H2481" s="24" t="str">
        <x:v>1.50</x:v>
      </x:c>
      <x:c r="I2481" s="24" t="str">
        <x:v>DuraVision Platinum UV</x:v>
      </x:c>
      <x:c r="J2481" s="40" t="n">
        <x:v>6080</x:v>
      </x:c>
      <x:c r="K2481" s="24" t="str">
        <x:v>-6.00 a +6.00</x:v>
      </x:c>
      <x:c r="L2481" s="24" t="str">
        <x:v>-4.00</x:v>
      </x:c>
      <x:c r="M2481" s="24" t="str">
        <x:v>0.75 a 3.50</x:v>
      </x:c>
      <x:c r="N2481" s="24" t="str">
        <x:v>70</x:v>
      </x:c>
      <x:c r="O2481" s="24"/>
      <x:c r="P2481" s="24"/>
      <x:c r="Q2481" s="24" t="str">
        <x:v>DISPONÍVEL</x:v>
      </x:c>
      <x:c r="R2481" s="24"/>
      <x:c r="S2481" s="24" t="n">
        <x:v>40</x:v>
      </x:c>
      <x:c r="T2481" s="24" t="str">
        <x:v>tabela_zeiss.pdf</x:v>
      </x:c>
      <x:c r="U2481" s="24" t="str">
        <x:v>ZEISS|Progressiva|Surfaçada|SmartLife Pure|Polarizada|1.5|1.50|DuraVision Platinum UV|-6.00 a +6.00|-4.00|0.75 a 3.50|70|||40</x:v>
      </x:c>
    </x:row>
    <x:row r="2482">
      <x:c r="A2482" s="24" t="str">
        <x:v>ZS-1A09E9089B22</x:v>
      </x:c>
      <x:c r="B2482" s="24" t="str">
        <x:v>ZEISS</x:v>
      </x:c>
      <x:c r="C2482" s="24" t="str">
        <x:v>Progressiva</x:v>
      </x:c>
      <x:c r="D2482" s="24" t="str">
        <x:v>Surfaçada</x:v>
      </x:c>
      <x:c r="E2482" s="24" t="str">
        <x:v>SmartLife Pure</x:v>
      </x:c>
      <x:c r="F2482" s="24" t="str">
        <x:v>Polarizada</x:v>
      </x:c>
      <x:c r="G2482" s="24" t="str">
        <x:v>1.5</x:v>
      </x:c>
      <x:c r="H2482" s="24" t="str">
        <x:v>1.50</x:v>
      </x:c>
      <x:c r="I2482" s="24" t="str">
        <x:v>DuraVision Silver UV</x:v>
      </x:c>
      <x:c r="J2482" s="40" t="n">
        <x:v>5820</x:v>
      </x:c>
      <x:c r="K2482" s="24" t="str">
        <x:v>-6.00 a +6.00</x:v>
      </x:c>
      <x:c r="L2482" s="24" t="str">
        <x:v>-4.00</x:v>
      </x:c>
      <x:c r="M2482" s="24" t="str">
        <x:v>0.75 a 3.50</x:v>
      </x:c>
      <x:c r="N2482" s="24" t="str">
        <x:v>70</x:v>
      </x:c>
      <x:c r="O2482" s="24"/>
      <x:c r="P2482" s="24"/>
      <x:c r="Q2482" s="24" t="str">
        <x:v>DISPONÍVEL</x:v>
      </x:c>
      <x:c r="R2482" s="24"/>
      <x:c r="S2482" s="24" t="n">
        <x:v>40</x:v>
      </x:c>
      <x:c r="T2482" s="24" t="str">
        <x:v>tabela_zeiss.pdf</x:v>
      </x:c>
      <x:c r="U2482" s="24" t="str">
        <x:v>ZEISS|Progressiva|Surfaçada|SmartLife Pure|Polarizada|1.5|1.50|DuraVision Silver UV|-6.00 a +6.00|-4.00|0.75 a 3.50|70|||40</x:v>
      </x:c>
    </x:row>
    <x:row r="2483">
      <x:c r="A2483" s="24" t="str">
        <x:v>ZS-B993355A04C4</x:v>
      </x:c>
      <x:c r="B2483" s="24" t="str">
        <x:v>ZEISS</x:v>
      </x:c>
      <x:c r="C2483" s="24" t="str">
        <x:v>Progressiva</x:v>
      </x:c>
      <x:c r="D2483" s="24" t="str">
        <x:v>Surfaçada</x:v>
      </x:c>
      <x:c r="E2483" s="24" t="str">
        <x:v>SmartLife Pure</x:v>
      </x:c>
      <x:c r="F2483" s="24" t="str">
        <x:v>Polarizada</x:v>
      </x:c>
      <x:c r="G2483" s="24" t="str">
        <x:v>1.5</x:v>
      </x:c>
      <x:c r="H2483" s="24" t="str">
        <x:v>1.50</x:v>
      </x:c>
      <x:c r="I2483" s="24" t="str">
        <x:v>DuraVision Chrome UV</x:v>
      </x:c>
      <x:c r="J2483" s="40" t="n">
        <x:v>5330</x:v>
      </x:c>
      <x:c r="K2483" s="24" t="str">
        <x:v>-6.00 a +6.00</x:v>
      </x:c>
      <x:c r="L2483" s="24" t="str">
        <x:v>-4.00</x:v>
      </x:c>
      <x:c r="M2483" s="24" t="str">
        <x:v>0.75 a 3.50</x:v>
      </x:c>
      <x:c r="N2483" s="24" t="str">
        <x:v>70</x:v>
      </x:c>
      <x:c r="O2483" s="24"/>
      <x:c r="P2483" s="24"/>
      <x:c r="Q2483" s="24" t="str">
        <x:v>DISPONÍVEL</x:v>
      </x:c>
      <x:c r="R2483" s="24"/>
      <x:c r="S2483" s="24" t="n">
        <x:v>40</x:v>
      </x:c>
      <x:c r="T2483" s="24" t="str">
        <x:v>tabela_zeiss.pdf</x:v>
      </x:c>
      <x:c r="U2483" s="24" t="str">
        <x:v>ZEISS|Progressiva|Surfaçada|SmartLife Pure|Polarizada|1.5|1.50|DuraVision Chrome UV|-6.00 a +6.00|-4.00|0.75 a 3.50|70|||40</x:v>
      </x:c>
    </x:row>
    <x:row r="2484">
      <x:c r="A2484" s="24" t="str">
        <x:v>ZS-1D7033A2513B</x:v>
      </x:c>
      <x:c r="B2484" s="24" t="str">
        <x:v>ZEISS</x:v>
      </x:c>
      <x:c r="C2484" s="24" t="str">
        <x:v>Progressiva</x:v>
      </x:c>
      <x:c r="D2484" s="24" t="str">
        <x:v>Surfaçada</x:v>
      </x:c>
      <x:c r="E2484" s="24" t="str">
        <x:v>SmartLife Pure</x:v>
      </x:c>
      <x:c r="F2484" s="24" t="str">
        <x:v>Polarizada</x:v>
      </x:c>
      <x:c r="G2484" s="24" t="str">
        <x:v>1.5</x:v>
      </x:c>
      <x:c r="H2484" s="24" t="str">
        <x:v>1.50</x:v>
      </x:c>
      <x:c r="I2484" s="24" t="str">
        <x:v>Sem AR</x:v>
      </x:c>
      <x:c r="J2484" s="40" t="n">
        <x:v>4930</x:v>
      </x:c>
      <x:c r="K2484" s="24" t="str">
        <x:v>-6.00 a +6.00</x:v>
      </x:c>
      <x:c r="L2484" s="24" t="str">
        <x:v>-4.00</x:v>
      </x:c>
      <x:c r="M2484" s="24" t="str">
        <x:v>0.75 a 3.50</x:v>
      </x:c>
      <x:c r="N2484" s="24" t="str">
        <x:v>70</x:v>
      </x:c>
      <x:c r="O2484" s="24"/>
      <x:c r="P2484" s="24"/>
      <x:c r="Q2484" s="24" t="str">
        <x:v>DISPONÍVEL</x:v>
      </x:c>
      <x:c r="R2484" s="24"/>
      <x:c r="S2484" s="24" t="n">
        <x:v>40</x:v>
      </x:c>
      <x:c r="T2484" s="24" t="str">
        <x:v>tabela_zeiss.pdf</x:v>
      </x:c>
      <x:c r="U2484" s="24" t="str">
        <x:v>ZEISS|Progressiva|Surfaçada|SmartLife Pure|Polarizada|1.5|1.50|Sem AR|-6.00 a +6.00|-4.00|0.75 a 3.50|70|||40</x:v>
      </x:c>
    </x:row>
    <x:row r="2485">
      <x:c r="A2485" s="24" t="str">
        <x:v>ZS-757F48C59E84</x:v>
      </x:c>
      <x:c r="B2485" s="24" t="str">
        <x:v>ZEISS</x:v>
      </x:c>
      <x:c r="C2485" s="24" t="str">
        <x:v>Progressiva</x:v>
      </x:c>
      <x:c r="D2485" s="24" t="str">
        <x:v>Surfaçada</x:v>
      </x:c>
      <x:c r="E2485" s="24" t="str">
        <x:v>SmartLife Pure</x:v>
      </x:c>
      <x:c r="F2485" s="24" t="str">
        <x:v>Polarizada</x:v>
      </x:c>
      <x:c r="G2485" s="24" t="str">
        <x:v>1.6</x:v>
      </x:c>
      <x:c r="H2485" s="24" t="str">
        <x:v>1.60</x:v>
      </x:c>
      <x:c r="I2485" s="24" t="str">
        <x:v>DuraVision Gold UV</x:v>
      </x:c>
      <x:c r="J2485" s="40" t="n">
        <x:v>7470</x:v>
      </x:c>
      <x:c r="K2485" s="24" t="str">
        <x:v>-8.50 a +6.00</x:v>
      </x:c>
      <x:c r="L2485" s="24" t="str">
        <x:v>-4.00</x:v>
      </x:c>
      <x:c r="M2485" s="24" t="str">
        <x:v>0.75 a 3.50</x:v>
      </x:c>
      <x:c r="N2485" s="24" t="str">
        <x:v>70</x:v>
      </x:c>
      <x:c r="O2485" s="24"/>
      <x:c r="P2485" s="24"/>
      <x:c r="Q2485" s="24" t="str">
        <x:v>DISPONÍVEL</x:v>
      </x:c>
      <x:c r="R2485" s="24"/>
      <x:c r="S2485" s="24" t="n">
        <x:v>40</x:v>
      </x:c>
      <x:c r="T2485" s="24" t="str">
        <x:v>tabela_zeiss.pdf</x:v>
      </x:c>
      <x:c r="U2485" s="24" t="str">
        <x:v>ZEISS|Progressiva|Surfaçada|SmartLife Pure|Polarizada|1.6|1.60|DuraVision Gold UV|-8.50 a +6.00|-4.00|0.75 a 3.50|70|||40</x:v>
      </x:c>
    </x:row>
    <x:row r="2486">
      <x:c r="A2486" s="24" t="str">
        <x:v>ZS-5A1D894814FE</x:v>
      </x:c>
      <x:c r="B2486" s="24" t="str">
        <x:v>ZEISS</x:v>
      </x:c>
      <x:c r="C2486" s="24" t="str">
        <x:v>Progressiva</x:v>
      </x:c>
      <x:c r="D2486" s="24" t="str">
        <x:v>Surfaçada</x:v>
      </x:c>
      <x:c r="E2486" s="24" t="str">
        <x:v>SmartLife Pure</x:v>
      </x:c>
      <x:c r="F2486" s="24" t="str">
        <x:v>Polarizada</x:v>
      </x:c>
      <x:c r="G2486" s="24" t="str">
        <x:v>1.6</x:v>
      </x:c>
      <x:c r="H2486" s="24" t="str">
        <x:v>1.60</x:v>
      </x:c>
      <x:c r="I2486" s="24" t="str">
        <x:v>DuraVision Platinum UV</x:v>
      </x:c>
      <x:c r="J2486" s="40" t="n">
        <x:v>7330</x:v>
      </x:c>
      <x:c r="K2486" s="24" t="str">
        <x:v>-8.50 a +6.00</x:v>
      </x:c>
      <x:c r="L2486" s="24" t="str">
        <x:v>-4.00</x:v>
      </x:c>
      <x:c r="M2486" s="24" t="str">
        <x:v>0.75 a 3.50</x:v>
      </x:c>
      <x:c r="N2486" s="24" t="str">
        <x:v>70</x:v>
      </x:c>
      <x:c r="O2486" s="24"/>
      <x:c r="P2486" s="24"/>
      <x:c r="Q2486" s="24" t="str">
        <x:v>DISPONÍVEL</x:v>
      </x:c>
      <x:c r="R2486" s="24"/>
      <x:c r="S2486" s="24" t="n">
        <x:v>40</x:v>
      </x:c>
      <x:c r="T2486" s="24" t="str">
        <x:v>tabela_zeiss.pdf</x:v>
      </x:c>
      <x:c r="U2486" s="24" t="str">
        <x:v>ZEISS|Progressiva|Surfaçada|SmartLife Pure|Polarizada|1.6|1.60|DuraVision Platinum UV|-8.50 a +6.00|-4.00|0.75 a 3.50|70|||40</x:v>
      </x:c>
    </x:row>
    <x:row r="2487">
      <x:c r="A2487" s="24" t="str">
        <x:v>ZS-CACA6655DC83</x:v>
      </x:c>
      <x:c r="B2487" s="24" t="str">
        <x:v>ZEISS</x:v>
      </x:c>
      <x:c r="C2487" s="24" t="str">
        <x:v>Progressiva</x:v>
      </x:c>
      <x:c r="D2487" s="24" t="str">
        <x:v>Surfaçada</x:v>
      </x:c>
      <x:c r="E2487" s="24" t="str">
        <x:v>SmartLife Pure</x:v>
      </x:c>
      <x:c r="F2487" s="24" t="str">
        <x:v>Polarizada</x:v>
      </x:c>
      <x:c r="G2487" s="24" t="str">
        <x:v>1.6</x:v>
      </x:c>
      <x:c r="H2487" s="24" t="str">
        <x:v>1.60</x:v>
      </x:c>
      <x:c r="I2487" s="24" t="str">
        <x:v>DuraVision Silver UV</x:v>
      </x:c>
      <x:c r="J2487" s="40" t="n">
        <x:v>7070</x:v>
      </x:c>
      <x:c r="K2487" s="24" t="str">
        <x:v>-8.50 a +6.00</x:v>
      </x:c>
      <x:c r="L2487" s="24" t="str">
        <x:v>-4.00</x:v>
      </x:c>
      <x:c r="M2487" s="24" t="str">
        <x:v>0.75 a 3.50</x:v>
      </x:c>
      <x:c r="N2487" s="24" t="str">
        <x:v>70</x:v>
      </x:c>
      <x:c r="O2487" s="24"/>
      <x:c r="P2487" s="24"/>
      <x:c r="Q2487" s="24" t="str">
        <x:v>DISPONÍVEL</x:v>
      </x:c>
      <x:c r="R2487" s="24"/>
      <x:c r="S2487" s="24" t="n">
        <x:v>40</x:v>
      </x:c>
      <x:c r="T2487" s="24" t="str">
        <x:v>tabela_zeiss.pdf</x:v>
      </x:c>
      <x:c r="U2487" s="24" t="str">
        <x:v>ZEISS|Progressiva|Surfaçada|SmartLife Pure|Polarizada|1.6|1.60|DuraVision Silver UV|-8.50 a +6.00|-4.00|0.75 a 3.50|70|||40</x:v>
      </x:c>
    </x:row>
    <x:row r="2488">
      <x:c r="A2488" s="24" t="str">
        <x:v>ZS-42AD2E6AA526</x:v>
      </x:c>
      <x:c r="B2488" s="24" t="str">
        <x:v>ZEISS</x:v>
      </x:c>
      <x:c r="C2488" s="24" t="str">
        <x:v>Progressiva</x:v>
      </x:c>
      <x:c r="D2488" s="24" t="str">
        <x:v>Surfaçada</x:v>
      </x:c>
      <x:c r="E2488" s="24" t="str">
        <x:v>SmartLife Pure</x:v>
      </x:c>
      <x:c r="F2488" s="24" t="str">
        <x:v>Polarizada</x:v>
      </x:c>
      <x:c r="G2488" s="24" t="str">
        <x:v>1.6</x:v>
      </x:c>
      <x:c r="H2488" s="24" t="str">
        <x:v>1.60</x:v>
      </x:c>
      <x:c r="I2488" s="24" t="str">
        <x:v>DuraVision Chrome UV</x:v>
      </x:c>
      <x:c r="J2488" s="40" t="n">
        <x:v>6580</x:v>
      </x:c>
      <x:c r="K2488" s="24" t="str">
        <x:v>-8.50 a +6.00</x:v>
      </x:c>
      <x:c r="L2488" s="24" t="str">
        <x:v>-4.00</x:v>
      </x:c>
      <x:c r="M2488" s="24" t="str">
        <x:v>0.75 a 3.50</x:v>
      </x:c>
      <x:c r="N2488" s="24" t="str">
        <x:v>70</x:v>
      </x:c>
      <x:c r="O2488" s="24"/>
      <x:c r="P2488" s="24"/>
      <x:c r="Q2488" s="24" t="str">
        <x:v>DISPONÍVEL</x:v>
      </x:c>
      <x:c r="R2488" s="24"/>
      <x:c r="S2488" s="24" t="n">
        <x:v>40</x:v>
      </x:c>
      <x:c r="T2488" s="24" t="str">
        <x:v>tabela_zeiss.pdf</x:v>
      </x:c>
      <x:c r="U2488" s="24" t="str">
        <x:v>ZEISS|Progressiva|Surfaçada|SmartLife Pure|Polarizada|1.6|1.60|DuraVision Chrome UV|-8.50 a +6.00|-4.00|0.75 a 3.50|70|||40</x:v>
      </x:c>
    </x:row>
    <x:row r="2489">
      <x:c r="A2489" s="24" t="str">
        <x:v>ZS-106C80768AC6</x:v>
      </x:c>
      <x:c r="B2489" s="24" t="str">
        <x:v>ZEISS</x:v>
      </x:c>
      <x:c r="C2489" s="24" t="str">
        <x:v>Progressiva</x:v>
      </x:c>
      <x:c r="D2489" s="24" t="str">
        <x:v>Surfaçada</x:v>
      </x:c>
      <x:c r="E2489" s="24" t="str">
        <x:v>SmartLife Pure</x:v>
      </x:c>
      <x:c r="F2489" s="24" t="str">
        <x:v>Polarizada</x:v>
      </x:c>
      <x:c r="G2489" s="24" t="str">
        <x:v>1.6</x:v>
      </x:c>
      <x:c r="H2489" s="24" t="str">
        <x:v>1.60</x:v>
      </x:c>
      <x:c r="I2489" s="24" t="str">
        <x:v>Sem AR</x:v>
      </x:c>
      <x:c r="J2489" s="40" t="n">
        <x:v>6180</x:v>
      </x:c>
      <x:c r="K2489" s="24" t="str">
        <x:v>-8.50 a +6.00</x:v>
      </x:c>
      <x:c r="L2489" s="24" t="str">
        <x:v>-4.00</x:v>
      </x:c>
      <x:c r="M2489" s="24" t="str">
        <x:v>0.75 a 3.50</x:v>
      </x:c>
      <x:c r="N2489" s="24" t="str">
        <x:v>70</x:v>
      </x:c>
      <x:c r="O2489" s="24"/>
      <x:c r="P2489" s="24"/>
      <x:c r="Q2489" s="24" t="str">
        <x:v>DISPONÍVEL</x:v>
      </x:c>
      <x:c r="R2489" s="24"/>
      <x:c r="S2489" s="24" t="n">
        <x:v>40</x:v>
      </x:c>
      <x:c r="T2489" s="24" t="str">
        <x:v>tabela_zeiss.pdf</x:v>
      </x:c>
      <x:c r="U2489" s="24" t="str">
        <x:v>ZEISS|Progressiva|Surfaçada|SmartLife Pure|Polarizada|1.6|1.60|Sem AR|-8.50 a +6.00|-4.00|0.75 a 3.50|70|||40</x:v>
      </x:c>
    </x:row>
    <x:row r="2490">
      <x:c r="A2490" s="24" t="str">
        <x:v>ZS-F8D148014D2A</x:v>
      </x:c>
      <x:c r="B2490" s="24" t="str">
        <x:v>ZEISS</x:v>
      </x:c>
      <x:c r="C2490" s="24" t="str">
        <x:v>Progressiva</x:v>
      </x:c>
      <x:c r="D2490" s="24" t="str">
        <x:v>Surfaçada</x:v>
      </x:c>
      <x:c r="E2490" s="24" t="str">
        <x:v>SmartLife Essential</x:v>
      </x:c>
      <x:c r="F2490" s="24"/>
      <x:c r="G2490" s="24" t="str">
        <x:v>1.5</x:v>
      </x:c>
      <x:c r="H2490" s="24" t="str">
        <x:v>1.50</x:v>
      </x:c>
      <x:c r="I2490" s="24" t="str">
        <x:v>DuraVision Gold UV</x:v>
      </x:c>
      <x:c r="J2490" s="40" t="n">
        <x:v>4480</x:v>
      </x:c>
      <x:c r="K2490" s="24" t="str">
        <x:v>-6.00 a +4.00</x:v>
      </x:c>
      <x:c r="L2490" s="24" t="str">
        <x:v>-4.00</x:v>
      </x:c>
      <x:c r="M2490" s="24" t="str">
        <x:v>0.75 a 3.50</x:v>
      </x:c>
      <x:c r="N2490" s="24" t="str">
        <x:v>75</x:v>
      </x:c>
      <x:c r="O2490" s="24"/>
      <x:c r="P2490" s="24"/>
      <x:c r="Q2490" s="24" t="str">
        <x:v>DISPONÍVEL</x:v>
      </x:c>
      <x:c r="R2490" s="24"/>
      <x:c r="S2490" s="24" t="n">
        <x:v>41</x:v>
      </x:c>
      <x:c r="T2490" s="24" t="str">
        <x:v>tabela_zeiss.pdf</x:v>
      </x:c>
      <x:c r="U2490" s="24" t="str">
        <x:v>ZEISS|Progressiva|Surfaçada|SmartLife Essential||1.5|1.50|DuraVision Gold UV|-6.00 a +4.00|-4.00|0.75 a 3.50|75|||41</x:v>
      </x:c>
    </x:row>
    <x:row r="2491">
      <x:c r="A2491" s="24" t="str">
        <x:v>ZS-2B8B10494D20</x:v>
      </x:c>
      <x:c r="B2491" s="24" t="str">
        <x:v>ZEISS</x:v>
      </x:c>
      <x:c r="C2491" s="24" t="str">
        <x:v>Progressiva</x:v>
      </x:c>
      <x:c r="D2491" s="24" t="str">
        <x:v>Surfaçada</x:v>
      </x:c>
      <x:c r="E2491" s="24" t="str">
        <x:v>SmartLife Essential</x:v>
      </x:c>
      <x:c r="F2491" s="24"/>
      <x:c r="G2491" s="24" t="str">
        <x:v>1.5</x:v>
      </x:c>
      <x:c r="H2491" s="24" t="str">
        <x:v>1.50</x:v>
      </x:c>
      <x:c r="I2491" s="24" t="str">
        <x:v>DuraVision Platinum UV</x:v>
      </x:c>
      <x:c r="J2491" s="40" t="n">
        <x:v>4340</x:v>
      </x:c>
      <x:c r="K2491" s="24" t="str">
        <x:v>-6.00 a +4.00</x:v>
      </x:c>
      <x:c r="L2491" s="24" t="str">
        <x:v>-4.00</x:v>
      </x:c>
      <x:c r="M2491" s="24" t="str">
        <x:v>0.75 a 3.50</x:v>
      </x:c>
      <x:c r="N2491" s="24" t="str">
        <x:v>75</x:v>
      </x:c>
      <x:c r="O2491" s="24"/>
      <x:c r="P2491" s="24"/>
      <x:c r="Q2491" s="24" t="str">
        <x:v>DISPONÍVEL</x:v>
      </x:c>
      <x:c r="R2491" s="24"/>
      <x:c r="S2491" s="24" t="n">
        <x:v>41</x:v>
      </x:c>
      <x:c r="T2491" s="24" t="str">
        <x:v>tabela_zeiss.pdf</x:v>
      </x:c>
      <x:c r="U2491" s="24" t="str">
        <x:v>ZEISS|Progressiva|Surfaçada|SmartLife Essential||1.5|1.50|DuraVision Platinum UV|-6.00 a +4.00|-4.00|0.75 a 3.50|75|||41</x:v>
      </x:c>
    </x:row>
    <x:row r="2492">
      <x:c r="A2492" s="24" t="str">
        <x:v>ZS-2BD8F35C0037</x:v>
      </x:c>
      <x:c r="B2492" s="24" t="str">
        <x:v>ZEISS</x:v>
      </x:c>
      <x:c r="C2492" s="24" t="str">
        <x:v>Progressiva</x:v>
      </x:c>
      <x:c r="D2492" s="24" t="str">
        <x:v>Surfaçada</x:v>
      </x:c>
      <x:c r="E2492" s="24" t="str">
        <x:v>SmartLife Essential</x:v>
      </x:c>
      <x:c r="F2492" s="24"/>
      <x:c r="G2492" s="24" t="str">
        <x:v>1.5</x:v>
      </x:c>
      <x:c r="H2492" s="24" t="str">
        <x:v>1.50</x:v>
      </x:c>
      <x:c r="I2492" s="24" t="str">
        <x:v>DuraVision Silver UV</x:v>
      </x:c>
      <x:c r="J2492" s="40" t="n">
        <x:v>4080</x:v>
      </x:c>
      <x:c r="K2492" s="24" t="str">
        <x:v>-6.00 a +4.00</x:v>
      </x:c>
      <x:c r="L2492" s="24" t="str">
        <x:v>-4.00</x:v>
      </x:c>
      <x:c r="M2492" s="24" t="str">
        <x:v>0.75 a 3.50</x:v>
      </x:c>
      <x:c r="N2492" s="24" t="str">
        <x:v>75</x:v>
      </x:c>
      <x:c r="O2492" s="24"/>
      <x:c r="P2492" s="24"/>
      <x:c r="Q2492" s="24" t="str">
        <x:v>DISPONÍVEL</x:v>
      </x:c>
      <x:c r="R2492" s="24"/>
      <x:c r="S2492" s="24" t="n">
        <x:v>41</x:v>
      </x:c>
      <x:c r="T2492" s="24" t="str">
        <x:v>tabela_zeiss.pdf</x:v>
      </x:c>
      <x:c r="U2492" s="24" t="str">
        <x:v>ZEISS|Progressiva|Surfaçada|SmartLife Essential||1.5|1.50|DuraVision Silver UV|-6.00 a +4.00|-4.00|0.75 a 3.50|75|||41</x:v>
      </x:c>
    </x:row>
    <x:row r="2493">
      <x:c r="A2493" s="24" t="str">
        <x:v>ZS-C64696F6009E</x:v>
      </x:c>
      <x:c r="B2493" s="24" t="str">
        <x:v>ZEISS</x:v>
      </x:c>
      <x:c r="C2493" s="24" t="str">
        <x:v>Progressiva</x:v>
      </x:c>
      <x:c r="D2493" s="24" t="str">
        <x:v>Surfaçada</x:v>
      </x:c>
      <x:c r="E2493" s="24" t="str">
        <x:v>SmartLife Essential</x:v>
      </x:c>
      <x:c r="F2493" s="24"/>
      <x:c r="G2493" s="24" t="str">
        <x:v>1.5</x:v>
      </x:c>
      <x:c r="H2493" s="24" t="str">
        <x:v>1.50</x:v>
      </x:c>
      <x:c r="I2493" s="24" t="str">
        <x:v>DuraVision Chrome UV</x:v>
      </x:c>
      <x:c r="J2493" s="40" t="n">
        <x:v>3590</x:v>
      </x:c>
      <x:c r="K2493" s="24" t="str">
        <x:v>-6.00 a +4.00</x:v>
      </x:c>
      <x:c r="L2493" s="24" t="str">
        <x:v>-4.00</x:v>
      </x:c>
      <x:c r="M2493" s="24" t="str">
        <x:v>0.75 a 3.50</x:v>
      </x:c>
      <x:c r="N2493" s="24" t="str">
        <x:v>75</x:v>
      </x:c>
      <x:c r="O2493" s="24"/>
      <x:c r="P2493" s="24"/>
      <x:c r="Q2493" s="24" t="str">
        <x:v>DISPONÍVEL</x:v>
      </x:c>
      <x:c r="R2493" s="24"/>
      <x:c r="S2493" s="24" t="n">
        <x:v>41</x:v>
      </x:c>
      <x:c r="T2493" s="24" t="str">
        <x:v>tabela_zeiss.pdf</x:v>
      </x:c>
      <x:c r="U2493" s="24" t="str">
        <x:v>ZEISS|Progressiva|Surfaçada|SmartLife Essential||1.5|1.50|DuraVision Chrome UV|-6.00 a +4.00|-4.00|0.75 a 3.50|75|||41</x:v>
      </x:c>
    </x:row>
    <x:row r="2494">
      <x:c r="A2494" s="24" t="str">
        <x:v>ZS-171B5AB5381E</x:v>
      </x:c>
      <x:c r="B2494" s="24" t="str">
        <x:v>ZEISS</x:v>
      </x:c>
      <x:c r="C2494" s="24" t="str">
        <x:v>Progressiva</x:v>
      </x:c>
      <x:c r="D2494" s="24" t="str">
        <x:v>Surfaçada</x:v>
      </x:c>
      <x:c r="E2494" s="24" t="str">
        <x:v>SmartLife Essential</x:v>
      </x:c>
      <x:c r="F2494" s="24"/>
      <x:c r="G2494" s="24" t="str">
        <x:v>Poli</x:v>
      </x:c>
      <x:c r="H2494" s="24"/>
      <x:c r="I2494" s="24" t="str">
        <x:v>DuraVision Gold UV</x:v>
      </x:c>
      <x:c r="J2494" s="40" t="n">
        <x:v>5070</x:v>
      </x:c>
      <x:c r="K2494" s="24" t="str">
        <x:v>-10.00 a +6.00</x:v>
      </x:c>
      <x:c r="L2494" s="24" t="str">
        <x:v>-6.00</x:v>
      </x:c>
      <x:c r="M2494" s="24" t="str">
        <x:v>0.75 a 3.00</x:v>
      </x:c>
      <x:c r="N2494" s="24" t="str">
        <x:v>75</x:v>
      </x:c>
      <x:c r="O2494" s="24"/>
      <x:c r="P2494" s="24"/>
      <x:c r="Q2494" s="24" t="str">
        <x:v>DISPONÍVEL</x:v>
      </x:c>
      <x:c r="R2494" s="24"/>
      <x:c r="S2494" s="24" t="n">
        <x:v>41</x:v>
      </x:c>
      <x:c r="T2494" s="24" t="str">
        <x:v>tabela_zeiss.pdf</x:v>
      </x:c>
      <x:c r="U2494" s="24" t="str">
        <x:v>ZEISS|Progressiva|Surfaçada|SmartLife Essential||Poli||DuraVision Gold UV|-10.00 a +6.00|-6.00|0.75 a 3.00|75|||41</x:v>
      </x:c>
    </x:row>
    <x:row r="2495">
      <x:c r="A2495" s="24" t="str">
        <x:v>ZS-1CD20E3A557B</x:v>
      </x:c>
      <x:c r="B2495" s="24" t="str">
        <x:v>ZEISS</x:v>
      </x:c>
      <x:c r="C2495" s="24" t="str">
        <x:v>Progressiva</x:v>
      </x:c>
      <x:c r="D2495" s="24" t="str">
        <x:v>Surfaçada</x:v>
      </x:c>
      <x:c r="E2495" s="24" t="str">
        <x:v>SmartLife Essential</x:v>
      </x:c>
      <x:c r="F2495" s="24"/>
      <x:c r="G2495" s="24" t="str">
        <x:v>Poli</x:v>
      </x:c>
      <x:c r="H2495" s="24"/>
      <x:c r="I2495" s="24" t="str">
        <x:v>DuraVision Platinum UV</x:v>
      </x:c>
      <x:c r="J2495" s="40" t="n">
        <x:v>4930</x:v>
      </x:c>
      <x:c r="K2495" s="24" t="str">
        <x:v>-10.00 a +6.00</x:v>
      </x:c>
      <x:c r="L2495" s="24" t="str">
        <x:v>-6.00</x:v>
      </x:c>
      <x:c r="M2495" s="24" t="str">
        <x:v>0.75 a 3.00</x:v>
      </x:c>
      <x:c r="N2495" s="24" t="str">
        <x:v>75</x:v>
      </x:c>
      <x:c r="O2495" s="24"/>
      <x:c r="P2495" s="24"/>
      <x:c r="Q2495" s="24" t="str">
        <x:v>DISPONÍVEL</x:v>
      </x:c>
      <x:c r="R2495" s="24"/>
      <x:c r="S2495" s="24" t="n">
        <x:v>41</x:v>
      </x:c>
      <x:c r="T2495" s="24" t="str">
        <x:v>tabela_zeiss.pdf</x:v>
      </x:c>
      <x:c r="U2495" s="24" t="str">
        <x:v>ZEISS|Progressiva|Surfaçada|SmartLife Essential||Poli||DuraVision Platinum UV|-10.00 a +6.00|-6.00|0.75 a 3.00|75|||41</x:v>
      </x:c>
    </x:row>
    <x:row r="2496">
      <x:c r="A2496" s="24" t="str">
        <x:v>ZS-6FEF41F6A4D2</x:v>
      </x:c>
      <x:c r="B2496" s="24" t="str">
        <x:v>ZEISS</x:v>
      </x:c>
      <x:c r="C2496" s="24" t="str">
        <x:v>Progressiva</x:v>
      </x:c>
      <x:c r="D2496" s="24" t="str">
        <x:v>Surfaçada</x:v>
      </x:c>
      <x:c r="E2496" s="24" t="str">
        <x:v>SmartLife Essential</x:v>
      </x:c>
      <x:c r="F2496" s="24"/>
      <x:c r="G2496" s="24" t="str">
        <x:v>Poli</x:v>
      </x:c>
      <x:c r="H2496" s="24"/>
      <x:c r="I2496" s="24" t="str">
        <x:v>DuraVision Silver UV</x:v>
      </x:c>
      <x:c r="J2496" s="40" t="n">
        <x:v>4670</x:v>
      </x:c>
      <x:c r="K2496" s="24" t="str">
        <x:v>-10.00 a +6.00</x:v>
      </x:c>
      <x:c r="L2496" s="24" t="str">
        <x:v>-6.00</x:v>
      </x:c>
      <x:c r="M2496" s="24" t="str">
        <x:v>0.75 a 3.00</x:v>
      </x:c>
      <x:c r="N2496" s="24" t="str">
        <x:v>75</x:v>
      </x:c>
      <x:c r="O2496" s="24"/>
      <x:c r="P2496" s="24"/>
      <x:c r="Q2496" s="24" t="str">
        <x:v>DISPONÍVEL</x:v>
      </x:c>
      <x:c r="R2496" s="24"/>
      <x:c r="S2496" s="24" t="n">
        <x:v>41</x:v>
      </x:c>
      <x:c r="T2496" s="24" t="str">
        <x:v>tabela_zeiss.pdf</x:v>
      </x:c>
      <x:c r="U2496" s="24" t="str">
        <x:v>ZEISS|Progressiva|Surfaçada|SmartLife Essential||Poli||DuraVision Silver UV|-10.00 a +6.00|-6.00|0.75 a 3.00|75|||41</x:v>
      </x:c>
    </x:row>
    <x:row r="2497">
      <x:c r="A2497" s="24" t="str">
        <x:v>ZS-FAE0E594CF28</x:v>
      </x:c>
      <x:c r="B2497" s="24" t="str">
        <x:v>ZEISS</x:v>
      </x:c>
      <x:c r="C2497" s="24" t="str">
        <x:v>Progressiva</x:v>
      </x:c>
      <x:c r="D2497" s="24" t="str">
        <x:v>Surfaçada</x:v>
      </x:c>
      <x:c r="E2497" s="24" t="str">
        <x:v>SmartLife Essential</x:v>
      </x:c>
      <x:c r="F2497" s="24"/>
      <x:c r="G2497" s="24" t="str">
        <x:v>Poli</x:v>
      </x:c>
      <x:c r="H2497" s="24"/>
      <x:c r="I2497" s="24" t="str">
        <x:v>DuraVision Chrome UV</x:v>
      </x:c>
      <x:c r="J2497" s="40" t="n">
        <x:v>4180</x:v>
      </x:c>
      <x:c r="K2497" s="24" t="str">
        <x:v>-10.00 a +6.00</x:v>
      </x:c>
      <x:c r="L2497" s="24" t="str">
        <x:v>-6.00</x:v>
      </x:c>
      <x:c r="M2497" s="24" t="str">
        <x:v>0.75 a 3.00</x:v>
      </x:c>
      <x:c r="N2497" s="24" t="str">
        <x:v>75</x:v>
      </x:c>
      <x:c r="O2497" s="24"/>
      <x:c r="P2497" s="24"/>
      <x:c r="Q2497" s="24" t="str">
        <x:v>DISPONÍVEL</x:v>
      </x:c>
      <x:c r="R2497" s="24"/>
      <x:c r="S2497" s="24" t="n">
        <x:v>41</x:v>
      </x:c>
      <x:c r="T2497" s="24" t="str">
        <x:v>tabela_zeiss.pdf</x:v>
      </x:c>
      <x:c r="U2497" s="24" t="str">
        <x:v>ZEISS|Progressiva|Surfaçada|SmartLife Essential||Poli||DuraVision Chrome UV|-10.00 a +6.00|-6.00|0.75 a 3.00|75|||41</x:v>
      </x:c>
    </x:row>
    <x:row r="2498">
      <x:c r="A2498" s="24" t="str">
        <x:v>ZS-830348AC9C42</x:v>
      </x:c>
      <x:c r="B2498" s="24" t="str">
        <x:v>ZEISS</x:v>
      </x:c>
      <x:c r="C2498" s="24" t="str">
        <x:v>Progressiva</x:v>
      </x:c>
      <x:c r="D2498" s="24" t="str">
        <x:v>Surfaçada</x:v>
      </x:c>
      <x:c r="E2498" s="24" t="str">
        <x:v>SmartLife Essential</x:v>
      </x:c>
      <x:c r="F2498" s="24"/>
      <x:c r="G2498" s="24" t="str">
        <x:v>1.6</x:v>
      </x:c>
      <x:c r="H2498" s="24" t="str">
        <x:v>1.60</x:v>
      </x:c>
      <x:c r="I2498" s="24" t="str">
        <x:v>DuraVision Gold UV</x:v>
      </x:c>
      <x:c r="J2498" s="40" t="n">
        <x:v>5730</x:v>
      </x:c>
      <x:c r="K2498" s="24" t="str">
        <x:v>-7.25 a +6.00</x:v>
      </x:c>
      <x:c r="L2498" s="24" t="str">
        <x:v>-6.00</x:v>
      </x:c>
      <x:c r="M2498" s="24" t="str">
        <x:v>0.75 a 3.50</x:v>
      </x:c>
      <x:c r="N2498" s="24" t="str">
        <x:v>75</x:v>
      </x:c>
      <x:c r="O2498" s="24"/>
      <x:c r="P2498" s="24"/>
      <x:c r="Q2498" s="24" t="str">
        <x:v>DISPONÍVEL</x:v>
      </x:c>
      <x:c r="R2498" s="24"/>
      <x:c r="S2498" s="24" t="n">
        <x:v>41</x:v>
      </x:c>
      <x:c r="T2498" s="24" t="str">
        <x:v>tabela_zeiss.pdf</x:v>
      </x:c>
      <x:c r="U2498" s="24" t="str">
        <x:v>ZEISS|Progressiva|Surfaçada|SmartLife Essential||1.6|1.60|DuraVision Gold UV|-7.25 a +6.00|-6.00|0.75 a 3.50|75|||41</x:v>
      </x:c>
    </x:row>
    <x:row r="2499">
      <x:c r="A2499" s="24" t="str">
        <x:v>ZS-D8B279241033</x:v>
      </x:c>
      <x:c r="B2499" s="24" t="str">
        <x:v>ZEISS</x:v>
      </x:c>
      <x:c r="C2499" s="24" t="str">
        <x:v>Progressiva</x:v>
      </x:c>
      <x:c r="D2499" s="24" t="str">
        <x:v>Surfaçada</x:v>
      </x:c>
      <x:c r="E2499" s="24" t="str">
        <x:v>SmartLife Essential</x:v>
      </x:c>
      <x:c r="F2499" s="24"/>
      <x:c r="G2499" s="24" t="str">
        <x:v>1.6</x:v>
      </x:c>
      <x:c r="H2499" s="24" t="str">
        <x:v>1.60</x:v>
      </x:c>
      <x:c r="I2499" s="24" t="str">
        <x:v>DuraVision Platinum UV</x:v>
      </x:c>
      <x:c r="J2499" s="40" t="n">
        <x:v>5590</x:v>
      </x:c>
      <x:c r="K2499" s="24" t="str">
        <x:v>-7.25 a +6.00</x:v>
      </x:c>
      <x:c r="L2499" s="24" t="str">
        <x:v>-6.00</x:v>
      </x:c>
      <x:c r="M2499" s="24" t="str">
        <x:v>0.75 a 3.50</x:v>
      </x:c>
      <x:c r="N2499" s="24" t="str">
        <x:v>75</x:v>
      </x:c>
      <x:c r="O2499" s="24"/>
      <x:c r="P2499" s="24"/>
      <x:c r="Q2499" s="24" t="str">
        <x:v>DISPONÍVEL</x:v>
      </x:c>
      <x:c r="R2499" s="24"/>
      <x:c r="S2499" s="24" t="n">
        <x:v>41</x:v>
      </x:c>
      <x:c r="T2499" s="24" t="str">
        <x:v>tabela_zeiss.pdf</x:v>
      </x:c>
      <x:c r="U2499" s="24" t="str">
        <x:v>ZEISS|Progressiva|Surfaçada|SmartLife Essential||1.6|1.60|DuraVision Platinum UV|-7.25 a +6.00|-6.00|0.75 a 3.50|75|||41</x:v>
      </x:c>
    </x:row>
    <x:row r="2500">
      <x:c r="A2500" s="24" t="str">
        <x:v>ZS-45DE1E4B7CD1</x:v>
      </x:c>
      <x:c r="B2500" s="24" t="str">
        <x:v>ZEISS</x:v>
      </x:c>
      <x:c r="C2500" s="24" t="str">
        <x:v>Progressiva</x:v>
      </x:c>
      <x:c r="D2500" s="24" t="str">
        <x:v>Surfaçada</x:v>
      </x:c>
      <x:c r="E2500" s="24" t="str">
        <x:v>SmartLife Essential</x:v>
      </x:c>
      <x:c r="F2500" s="24"/>
      <x:c r="G2500" s="24" t="str">
        <x:v>1.6</x:v>
      </x:c>
      <x:c r="H2500" s="24" t="str">
        <x:v>1.60</x:v>
      </x:c>
      <x:c r="I2500" s="24" t="str">
        <x:v>DuraVision Silver UV</x:v>
      </x:c>
      <x:c r="J2500" s="40" t="n">
        <x:v>5330</x:v>
      </x:c>
      <x:c r="K2500" s="24" t="str">
        <x:v>-7.25 a +6.00</x:v>
      </x:c>
      <x:c r="L2500" s="24" t="str">
        <x:v>-6.00</x:v>
      </x:c>
      <x:c r="M2500" s="24" t="str">
        <x:v>0.75 a 3.50</x:v>
      </x:c>
      <x:c r="N2500" s="24" t="str">
        <x:v>75</x:v>
      </x:c>
      <x:c r="O2500" s="24"/>
      <x:c r="P2500" s="24"/>
      <x:c r="Q2500" s="24" t="str">
        <x:v>DISPONÍVEL</x:v>
      </x:c>
      <x:c r="R2500" s="24"/>
      <x:c r="S2500" s="24" t="n">
        <x:v>41</x:v>
      </x:c>
      <x:c r="T2500" s="24" t="str">
        <x:v>tabela_zeiss.pdf</x:v>
      </x:c>
      <x:c r="U2500" s="24" t="str">
        <x:v>ZEISS|Progressiva|Surfaçada|SmartLife Essential||1.6|1.60|DuraVision Silver UV|-7.25 a +6.00|-6.00|0.75 a 3.50|75|||41</x:v>
      </x:c>
    </x:row>
    <x:row r="2501">
      <x:c r="A2501" s="24" t="str">
        <x:v>ZS-AB68426AAA2A</x:v>
      </x:c>
      <x:c r="B2501" s="24" t="str">
        <x:v>ZEISS</x:v>
      </x:c>
      <x:c r="C2501" s="24" t="str">
        <x:v>Progressiva</x:v>
      </x:c>
      <x:c r="D2501" s="24" t="str">
        <x:v>Surfaçada</x:v>
      </x:c>
      <x:c r="E2501" s="24" t="str">
        <x:v>SmartLife Essential</x:v>
      </x:c>
      <x:c r="F2501" s="24"/>
      <x:c r="G2501" s="24" t="str">
        <x:v>1.6</x:v>
      </x:c>
      <x:c r="H2501" s="24" t="str">
        <x:v>1.60</x:v>
      </x:c>
      <x:c r="I2501" s="24" t="str">
        <x:v>DuraVision Chrome UV</x:v>
      </x:c>
      <x:c r="J2501" s="40" t="n">
        <x:v>4840</x:v>
      </x:c>
      <x:c r="K2501" s="24" t="str">
        <x:v>-7.25 a +6.00</x:v>
      </x:c>
      <x:c r="L2501" s="24" t="str">
        <x:v>-6.00</x:v>
      </x:c>
      <x:c r="M2501" s="24" t="str">
        <x:v>0.75 a 3.50</x:v>
      </x:c>
      <x:c r="N2501" s="24" t="str">
        <x:v>75</x:v>
      </x:c>
      <x:c r="O2501" s="24"/>
      <x:c r="P2501" s="24"/>
      <x:c r="Q2501" s="24" t="str">
        <x:v>DISPONÍVEL</x:v>
      </x:c>
      <x:c r="R2501" s="24"/>
      <x:c r="S2501" s="24" t="n">
        <x:v>41</x:v>
      </x:c>
      <x:c r="T2501" s="24" t="str">
        <x:v>tabela_zeiss.pdf</x:v>
      </x:c>
      <x:c r="U2501" s="24" t="str">
        <x:v>ZEISS|Progressiva|Surfaçada|SmartLife Essential||1.6|1.60|DuraVision Chrome UV|-7.25 a +6.00|-6.00|0.75 a 3.50|75|||41</x:v>
      </x:c>
    </x:row>
    <x:row r="2502">
      <x:c r="A2502" s="24" t="str">
        <x:v>ZS-B65F5361EA69</x:v>
      </x:c>
      <x:c r="B2502" s="24" t="str">
        <x:v>ZEISS</x:v>
      </x:c>
      <x:c r="C2502" s="24" t="str">
        <x:v>Progressiva</x:v>
      </x:c>
      <x:c r="D2502" s="24" t="str">
        <x:v>Surfaçada</x:v>
      </x:c>
      <x:c r="E2502" s="24" t="str">
        <x:v>SmartLife Essential</x:v>
      </x:c>
      <x:c r="F2502" s="24"/>
      <x:c r="G2502" s="24" t="str">
        <x:v>1.67</x:v>
      </x:c>
      <x:c r="H2502" s="24" t="str">
        <x:v>1.67</x:v>
      </x:c>
      <x:c r="I2502" s="24" t="str">
        <x:v>DuraVision Gold UV</x:v>
      </x:c>
      <x:c r="J2502" s="40" t="n">
        <x:v>7370</x:v>
      </x:c>
      <x:c r="K2502" s="24" t="str">
        <x:v>-10.00 a +6.00</x:v>
      </x:c>
      <x:c r="L2502" s="24" t="str">
        <x:v>-6.00</x:v>
      </x:c>
      <x:c r="M2502" s="24" t="str">
        <x:v>0.75 a 3.00</x:v>
      </x:c>
      <x:c r="N2502" s="24" t="str">
        <x:v>70</x:v>
      </x:c>
      <x:c r="O2502" s="24"/>
      <x:c r="P2502" s="24"/>
      <x:c r="Q2502" s="24" t="str">
        <x:v>DISPONÍVEL</x:v>
      </x:c>
      <x:c r="R2502" s="24"/>
      <x:c r="S2502" s="24" t="n">
        <x:v>41</x:v>
      </x:c>
      <x:c r="T2502" s="24" t="str">
        <x:v>tabela_zeiss.pdf</x:v>
      </x:c>
      <x:c r="U2502" s="24" t="str">
        <x:v>ZEISS|Progressiva|Surfaçada|SmartLife Essential||1.67|1.67|DuraVision Gold UV|-10.00 a +6.00|-6.00|0.75 a 3.00|70|||41</x:v>
      </x:c>
    </x:row>
    <x:row r="2503">
      <x:c r="A2503" s="24" t="str">
        <x:v>ZS-DAE81FB5776D</x:v>
      </x:c>
      <x:c r="B2503" s="24" t="str">
        <x:v>ZEISS</x:v>
      </x:c>
      <x:c r="C2503" s="24" t="str">
        <x:v>Progressiva</x:v>
      </x:c>
      <x:c r="D2503" s="24" t="str">
        <x:v>Surfaçada</x:v>
      </x:c>
      <x:c r="E2503" s="24" t="str">
        <x:v>SmartLife Essential</x:v>
      </x:c>
      <x:c r="F2503" s="24"/>
      <x:c r="G2503" s="24" t="str">
        <x:v>1.67</x:v>
      </x:c>
      <x:c r="H2503" s="24" t="str">
        <x:v>1.67</x:v>
      </x:c>
      <x:c r="I2503" s="24" t="str">
        <x:v>DuraVision Platinum UV</x:v>
      </x:c>
      <x:c r="J2503" s="40" t="n">
        <x:v>7230</x:v>
      </x:c>
      <x:c r="K2503" s="24" t="str">
        <x:v>-10.00 a +6.00</x:v>
      </x:c>
      <x:c r="L2503" s="24" t="str">
        <x:v>-6.00</x:v>
      </x:c>
      <x:c r="M2503" s="24" t="str">
        <x:v>0.75 a 3.00</x:v>
      </x:c>
      <x:c r="N2503" s="24" t="str">
        <x:v>70</x:v>
      </x:c>
      <x:c r="O2503" s="24"/>
      <x:c r="P2503" s="24"/>
      <x:c r="Q2503" s="24" t="str">
        <x:v>DISPONÍVEL</x:v>
      </x:c>
      <x:c r="R2503" s="24"/>
      <x:c r="S2503" s="24" t="n">
        <x:v>41</x:v>
      </x:c>
      <x:c r="T2503" s="24" t="str">
        <x:v>tabela_zeiss.pdf</x:v>
      </x:c>
      <x:c r="U2503" s="24" t="str">
        <x:v>ZEISS|Progressiva|Surfaçada|SmartLife Essential||1.67|1.67|DuraVision Platinum UV|-10.00 a +6.00|-6.00|0.75 a 3.00|70|||41</x:v>
      </x:c>
    </x:row>
    <x:row r="2504">
      <x:c r="A2504" s="24" t="str">
        <x:v>ZS-B302CBA51448</x:v>
      </x:c>
      <x:c r="B2504" s="24" t="str">
        <x:v>ZEISS</x:v>
      </x:c>
      <x:c r="C2504" s="24" t="str">
        <x:v>Progressiva</x:v>
      </x:c>
      <x:c r="D2504" s="24" t="str">
        <x:v>Surfaçada</x:v>
      </x:c>
      <x:c r="E2504" s="24" t="str">
        <x:v>SmartLife Essential</x:v>
      </x:c>
      <x:c r="F2504" s="24"/>
      <x:c r="G2504" s="24" t="str">
        <x:v>1.67</x:v>
      </x:c>
      <x:c r="H2504" s="24" t="str">
        <x:v>1.67</x:v>
      </x:c>
      <x:c r="I2504" s="24" t="str">
        <x:v>DuraVision Silver UV</x:v>
      </x:c>
      <x:c r="J2504" s="40" t="n">
        <x:v>6970</x:v>
      </x:c>
      <x:c r="K2504" s="24" t="str">
        <x:v>-10.00 a +6.00</x:v>
      </x:c>
      <x:c r="L2504" s="24" t="str">
        <x:v>-6.00</x:v>
      </x:c>
      <x:c r="M2504" s="24" t="str">
        <x:v>0.75 a 3.00</x:v>
      </x:c>
      <x:c r="N2504" s="24" t="str">
        <x:v>70</x:v>
      </x:c>
      <x:c r="O2504" s="24"/>
      <x:c r="P2504" s="24"/>
      <x:c r="Q2504" s="24" t="str">
        <x:v>DISPONÍVEL</x:v>
      </x:c>
      <x:c r="R2504" s="24"/>
      <x:c r="S2504" s="24" t="n">
        <x:v>41</x:v>
      </x:c>
      <x:c r="T2504" s="24" t="str">
        <x:v>tabela_zeiss.pdf</x:v>
      </x:c>
      <x:c r="U2504" s="24" t="str">
        <x:v>ZEISS|Progressiva|Surfaçada|SmartLife Essential||1.67|1.67|DuraVision Silver UV|-10.00 a +6.00|-6.00|0.75 a 3.00|70|||41</x:v>
      </x:c>
    </x:row>
    <x:row r="2505">
      <x:c r="A2505" s="24" t="str">
        <x:v>ZS-61D4D6047A3E</x:v>
      </x:c>
      <x:c r="B2505" s="24" t="str">
        <x:v>ZEISS</x:v>
      </x:c>
      <x:c r="C2505" s="24" t="str">
        <x:v>Progressiva</x:v>
      </x:c>
      <x:c r="D2505" s="24" t="str">
        <x:v>Surfaçada</x:v>
      </x:c>
      <x:c r="E2505" s="24" t="str">
        <x:v>SmartLife Essential</x:v>
      </x:c>
      <x:c r="F2505" s="24"/>
      <x:c r="G2505" s="24" t="str">
        <x:v>1.67</x:v>
      </x:c>
      <x:c r="H2505" s="24" t="str">
        <x:v>1.67</x:v>
      </x:c>
      <x:c r="I2505" s="24" t="str">
        <x:v>DuraVision Chrome UV</x:v>
      </x:c>
      <x:c r="J2505" s="40" t="n">
        <x:v>6480</x:v>
      </x:c>
      <x:c r="K2505" s="24" t="str">
        <x:v>-10.00 a +6.00</x:v>
      </x:c>
      <x:c r="L2505" s="24" t="str">
        <x:v>-6.00</x:v>
      </x:c>
      <x:c r="M2505" s="24" t="str">
        <x:v>0.75 a 3.00</x:v>
      </x:c>
      <x:c r="N2505" s="24" t="str">
        <x:v>70</x:v>
      </x:c>
      <x:c r="O2505" s="24"/>
      <x:c r="P2505" s="24"/>
      <x:c r="Q2505" s="24" t="str">
        <x:v>DISPONÍVEL</x:v>
      </x:c>
      <x:c r="R2505" s="24"/>
      <x:c r="S2505" s="24" t="n">
        <x:v>41</x:v>
      </x:c>
      <x:c r="T2505" s="24" t="str">
        <x:v>tabela_zeiss.pdf</x:v>
      </x:c>
      <x:c r="U2505" s="24" t="str">
        <x:v>ZEISS|Progressiva|Surfaçada|SmartLife Essential||1.67|1.67|DuraVision Chrome UV|-10.00 a +6.00|-6.00|0.75 a 3.00|70|||41</x:v>
      </x:c>
    </x:row>
    <x:row r="2506">
      <x:c r="A2506" s="24" t="str">
        <x:v>ZS-D0B2EF62EFA8</x:v>
      </x:c>
      <x:c r="B2506" s="24" t="str">
        <x:v>ZEISS</x:v>
      </x:c>
      <x:c r="C2506" s="24" t="str">
        <x:v>Progressiva</x:v>
      </x:c>
      <x:c r="D2506" s="24" t="str">
        <x:v>Surfaçada</x:v>
      </x:c>
      <x:c r="E2506" s="24" t="str">
        <x:v>SmartLife Essential</x:v>
      </x:c>
      <x:c r="F2506" s="24"/>
      <x:c r="G2506" s="24" t="str">
        <x:v>1.74</x:v>
      </x:c>
      <x:c r="H2506" s="24" t="str">
        <x:v>1.74</x:v>
      </x:c>
      <x:c r="I2506" s="24" t="str">
        <x:v>DuraVision Gold UV</x:v>
      </x:c>
      <x:c r="J2506" s="40" t="n">
        <x:v>8970</x:v>
      </x:c>
      <x:c r="K2506" s="24" t="str">
        <x:v>-10.00 a +7.00</x:v>
      </x:c>
      <x:c r="L2506" s="24" t="str">
        <x:v>-4.00</x:v>
      </x:c>
      <x:c r="M2506" s="24" t="str">
        <x:v>0.75 a 3.50</x:v>
      </x:c>
      <x:c r="N2506" s="24" t="str">
        <x:v>70 a 75</x:v>
      </x:c>
      <x:c r="O2506" s="24"/>
      <x:c r="P2506" s="24"/>
      <x:c r="Q2506" s="24" t="str">
        <x:v>DISPONÍVEL</x:v>
      </x:c>
      <x:c r="R2506" s="24"/>
      <x:c r="S2506" s="24" t="n">
        <x:v>41</x:v>
      </x:c>
      <x:c r="T2506" s="24" t="str">
        <x:v>tabela_zeiss.pdf</x:v>
      </x:c>
      <x:c r="U2506" s="24" t="str">
        <x:v>ZEISS|Progressiva|Surfaçada|SmartLife Essential||1.74|1.74|DuraVision Gold UV|-10.00 a +7.00|-4.00|0.75 a 3.50|70 a 75|||41</x:v>
      </x:c>
    </x:row>
    <x:row r="2507">
      <x:c r="A2507" s="24" t="str">
        <x:v>ZS-09D80FA3FA2D</x:v>
      </x:c>
      <x:c r="B2507" s="24" t="str">
        <x:v>ZEISS</x:v>
      </x:c>
      <x:c r="C2507" s="24" t="str">
        <x:v>Progressiva</x:v>
      </x:c>
      <x:c r="D2507" s="24" t="str">
        <x:v>Surfaçada</x:v>
      </x:c>
      <x:c r="E2507" s="24" t="str">
        <x:v>SmartLife Essential</x:v>
      </x:c>
      <x:c r="F2507" s="24"/>
      <x:c r="G2507" s="24" t="str">
        <x:v>1.74</x:v>
      </x:c>
      <x:c r="H2507" s="24" t="str">
        <x:v>1.74</x:v>
      </x:c>
      <x:c r="I2507" s="24" t="str">
        <x:v>DuraVision Platinum UV</x:v>
      </x:c>
      <x:c r="J2507" s="40" t="n">
        <x:v>8830</x:v>
      </x:c>
      <x:c r="K2507" s="24" t="str">
        <x:v>-10.00 a +7.00</x:v>
      </x:c>
      <x:c r="L2507" s="24" t="str">
        <x:v>-4.00</x:v>
      </x:c>
      <x:c r="M2507" s="24" t="str">
        <x:v>0.75 a 3.50</x:v>
      </x:c>
      <x:c r="N2507" s="24" t="str">
        <x:v>70 a 75</x:v>
      </x:c>
      <x:c r="O2507" s="24"/>
      <x:c r="P2507" s="24"/>
      <x:c r="Q2507" s="24" t="str">
        <x:v>DISPONÍVEL</x:v>
      </x:c>
      <x:c r="R2507" s="24"/>
      <x:c r="S2507" s="24" t="n">
        <x:v>41</x:v>
      </x:c>
      <x:c r="T2507" s="24" t="str">
        <x:v>tabela_zeiss.pdf</x:v>
      </x:c>
      <x:c r="U2507" s="24" t="str">
        <x:v>ZEISS|Progressiva|Surfaçada|SmartLife Essential||1.74|1.74|DuraVision Platinum UV|-10.00 a +7.00|-4.00|0.75 a 3.50|70 a 75|||41</x:v>
      </x:c>
    </x:row>
    <x:row r="2508">
      <x:c r="A2508" s="24" t="str">
        <x:v>ZS-3B5C7CF2CF83</x:v>
      </x:c>
      <x:c r="B2508" s="24" t="str">
        <x:v>ZEISS</x:v>
      </x:c>
      <x:c r="C2508" s="24" t="str">
        <x:v>Progressiva</x:v>
      </x:c>
      <x:c r="D2508" s="24" t="str">
        <x:v>Surfaçada</x:v>
      </x:c>
      <x:c r="E2508" s="24" t="str">
        <x:v>SmartLife Essential</x:v>
      </x:c>
      <x:c r="F2508" s="24"/>
      <x:c r="G2508" s="24" t="str">
        <x:v>1.74</x:v>
      </x:c>
      <x:c r="H2508" s="24" t="str">
        <x:v>1.74</x:v>
      </x:c>
      <x:c r="I2508" s="24" t="str">
        <x:v>DuraVision Silver UV</x:v>
      </x:c>
      <x:c r="J2508" s="40" t="n">
        <x:v>8570</x:v>
      </x:c>
      <x:c r="K2508" s="24" t="str">
        <x:v>-10.00 a +7.00</x:v>
      </x:c>
      <x:c r="L2508" s="24" t="str">
        <x:v>-4.00</x:v>
      </x:c>
      <x:c r="M2508" s="24" t="str">
        <x:v>0.75 a 3.50</x:v>
      </x:c>
      <x:c r="N2508" s="24" t="str">
        <x:v>70 a 75</x:v>
      </x:c>
      <x:c r="O2508" s="24"/>
      <x:c r="P2508" s="24"/>
      <x:c r="Q2508" s="24" t="str">
        <x:v>DISPONÍVEL</x:v>
      </x:c>
      <x:c r="R2508" s="24"/>
      <x:c r="S2508" s="24" t="n">
        <x:v>41</x:v>
      </x:c>
      <x:c r="T2508" s="24" t="str">
        <x:v>tabela_zeiss.pdf</x:v>
      </x:c>
      <x:c r="U2508" s="24" t="str">
        <x:v>ZEISS|Progressiva|Surfaçada|SmartLife Essential||1.74|1.74|DuraVision Silver UV|-10.00 a +7.00|-4.00|0.75 a 3.50|70 a 75|||41</x:v>
      </x:c>
    </x:row>
    <x:row r="2509">
      <x:c r="A2509" s="24" t="str">
        <x:v>ZS-46373A4FC2EA</x:v>
      </x:c>
      <x:c r="B2509" s="24" t="str">
        <x:v>ZEISS</x:v>
      </x:c>
      <x:c r="C2509" s="24" t="str">
        <x:v>Progressiva</x:v>
      </x:c>
      <x:c r="D2509" s="24" t="str">
        <x:v>Surfaçada</x:v>
      </x:c>
      <x:c r="E2509" s="24" t="str">
        <x:v>SmartLife Essential</x:v>
      </x:c>
      <x:c r="F2509" s="24"/>
      <x:c r="G2509" s="24" t="str">
        <x:v>1.74</x:v>
      </x:c>
      <x:c r="H2509" s="24" t="str">
        <x:v>1.74</x:v>
      </x:c>
      <x:c r="I2509" s="24" t="str">
        <x:v>DuraVision Chrome UV</x:v>
      </x:c>
      <x:c r="J2509" s="40" t="n">
        <x:v>8080</x:v>
      </x:c>
      <x:c r="K2509" s="24" t="str">
        <x:v>-10.00 a +7.00</x:v>
      </x:c>
      <x:c r="L2509" s="24" t="str">
        <x:v>-4.00</x:v>
      </x:c>
      <x:c r="M2509" s="24" t="str">
        <x:v>0.75 a 3.50</x:v>
      </x:c>
      <x:c r="N2509" s="24" t="str">
        <x:v>70 a 75</x:v>
      </x:c>
      <x:c r="O2509" s="24"/>
      <x:c r="P2509" s="24"/>
      <x:c r="Q2509" s="24" t="str">
        <x:v>DISPONÍVEL</x:v>
      </x:c>
      <x:c r="R2509" s="24"/>
      <x:c r="S2509" s="24" t="n">
        <x:v>41</x:v>
      </x:c>
      <x:c r="T2509" s="24" t="str">
        <x:v>tabela_zeiss.pdf</x:v>
      </x:c>
      <x:c r="U2509" s="24" t="str">
        <x:v>ZEISS|Progressiva|Surfaçada|SmartLife Essential||1.74|1.74|DuraVision Chrome UV|-10.00 a +7.00|-4.00|0.75 a 3.50|70 a 75|||41</x:v>
      </x:c>
    </x:row>
    <x:row r="2510">
      <x:c r="A2510" s="24" t="str">
        <x:v>ZS-E59E35BD1D0C</x:v>
      </x:c>
      <x:c r="B2510" s="24" t="str">
        <x:v>ZEISS</x:v>
      </x:c>
      <x:c r="C2510" s="24" t="str">
        <x:v>Progressiva</x:v>
      </x:c>
      <x:c r="D2510" s="24" t="str">
        <x:v>Surfaçada</x:v>
      </x:c>
      <x:c r="E2510" s="24" t="str">
        <x:v>SmartLife Essential</x:v>
      </x:c>
      <x:c r="F2510" s="24" t="str">
        <x:v>PhotoFusion X</x:v>
      </x:c>
      <x:c r="G2510" s="24" t="str">
        <x:v>1.5</x:v>
      </x:c>
      <x:c r="H2510" s="24" t="str">
        <x:v>1.50</x:v>
      </x:c>
      <x:c r="I2510" s="24" t="str">
        <x:v>DuraVision Gold UV</x:v>
      </x:c>
      <x:c r="J2510" s="40" t="n">
        <x:v>5900</x:v>
      </x:c>
      <x:c r="K2510" s="24" t="str">
        <x:v>-6.00 a +5.00</x:v>
      </x:c>
      <x:c r="L2510" s="24" t="str">
        <x:v>-4.00</x:v>
      </x:c>
      <x:c r="M2510" s="24" t="str">
        <x:v>0.75 a 3.00</x:v>
      </x:c>
      <x:c r="N2510" s="24" t="str">
        <x:v>75</x:v>
      </x:c>
      <x:c r="O2510" s="24"/>
      <x:c r="P2510" s="24"/>
      <x:c r="Q2510" s="24" t="str">
        <x:v>DISPONÍVEL</x:v>
      </x:c>
      <x:c r="R2510" s="24" t="str">
        <x:v>Programa de Parcerias ZEISS</x:v>
      </x:c>
      <x:c r="S2510" s="24" t="n">
        <x:v>41</x:v>
      </x:c>
      <x:c r="T2510" s="24" t="str">
        <x:v>tabela_zeiss.pdf</x:v>
      </x:c>
      <x:c r="U2510" s="24" t="str">
        <x:v>ZEISS|Progressiva|Surfaçada|SmartLife Essential|PhotoFusion X|1.5|1.50|DuraVision Gold UV|-6.00 a +5.00|-4.00|0.75 a 3.00|75|||41</x:v>
      </x:c>
    </x:row>
    <x:row r="2511">
      <x:c r="A2511" s="24" t="str">
        <x:v>ZS-E5C42E978C42</x:v>
      </x:c>
      <x:c r="B2511" s="24" t="str">
        <x:v>ZEISS</x:v>
      </x:c>
      <x:c r="C2511" s="24" t="str">
        <x:v>Progressiva</x:v>
      </x:c>
      <x:c r="D2511" s="24" t="str">
        <x:v>Surfaçada</x:v>
      </x:c>
      <x:c r="E2511" s="24" t="str">
        <x:v>SmartLife Essential</x:v>
      </x:c>
      <x:c r="F2511" s="24" t="str">
        <x:v>PhotoFusion X</x:v>
      </x:c>
      <x:c r="G2511" s="24" t="str">
        <x:v>1.5</x:v>
      </x:c>
      <x:c r="H2511" s="24" t="str">
        <x:v>1.50</x:v>
      </x:c>
      <x:c r="I2511" s="24" t="str">
        <x:v>DuraVision Platinum UV</x:v>
      </x:c>
      <x:c r="J2511" s="40" t="n">
        <x:v>5760</x:v>
      </x:c>
      <x:c r="K2511" s="24" t="str">
        <x:v>-6.00 a +5.00</x:v>
      </x:c>
      <x:c r="L2511" s="24" t="str">
        <x:v>-4.00</x:v>
      </x:c>
      <x:c r="M2511" s="24" t="str">
        <x:v>0.75 a 3.00</x:v>
      </x:c>
      <x:c r="N2511" s="24" t="str">
        <x:v>75</x:v>
      </x:c>
      <x:c r="O2511" s="24"/>
      <x:c r="P2511" s="24"/>
      <x:c r="Q2511" s="24" t="str">
        <x:v>DISPONÍVEL</x:v>
      </x:c>
      <x:c r="R2511" s="24" t="str">
        <x:v>Programa de Parcerias ZEISS</x:v>
      </x:c>
      <x:c r="S2511" s="24" t="n">
        <x:v>41</x:v>
      </x:c>
      <x:c r="T2511" s="24" t="str">
        <x:v>tabela_zeiss.pdf</x:v>
      </x:c>
      <x:c r="U2511" s="24" t="str">
        <x:v>ZEISS|Progressiva|Surfaçada|SmartLife Essential|PhotoFusion X|1.5|1.50|DuraVision Platinum UV|-6.00 a +5.00|-4.00|0.75 a 3.00|75|||41</x:v>
      </x:c>
    </x:row>
    <x:row r="2512">
      <x:c r="A2512" s="24" t="str">
        <x:v>ZS-E378C3DC5F31</x:v>
      </x:c>
      <x:c r="B2512" s="24" t="str">
        <x:v>ZEISS</x:v>
      </x:c>
      <x:c r="C2512" s="24" t="str">
        <x:v>Progressiva</x:v>
      </x:c>
      <x:c r="D2512" s="24" t="str">
        <x:v>Surfaçada</x:v>
      </x:c>
      <x:c r="E2512" s="24" t="str">
        <x:v>SmartLife Essential</x:v>
      </x:c>
      <x:c r="F2512" s="24" t="str">
        <x:v>PhotoFusion X</x:v>
      </x:c>
      <x:c r="G2512" s="24" t="str">
        <x:v>1.5</x:v>
      </x:c>
      <x:c r="H2512" s="24" t="str">
        <x:v>1.50</x:v>
      </x:c>
      <x:c r="I2512" s="24" t="str">
        <x:v>DuraVision Silver UV</x:v>
      </x:c>
      <x:c r="J2512" s="40" t="n">
        <x:v>5500</x:v>
      </x:c>
      <x:c r="K2512" s="24" t="str">
        <x:v>-6.00 a +5.00</x:v>
      </x:c>
      <x:c r="L2512" s="24" t="str">
        <x:v>-4.00</x:v>
      </x:c>
      <x:c r="M2512" s="24" t="str">
        <x:v>0.75 a 3.00</x:v>
      </x:c>
      <x:c r="N2512" s="24" t="str">
        <x:v>75</x:v>
      </x:c>
      <x:c r="O2512" s="24"/>
      <x:c r="P2512" s="24"/>
      <x:c r="Q2512" s="24" t="str">
        <x:v>DISPONÍVEL</x:v>
      </x:c>
      <x:c r="R2512" s="24" t="str">
        <x:v>Programa de Parcerias ZEISS</x:v>
      </x:c>
      <x:c r="S2512" s="24" t="n">
        <x:v>41</x:v>
      </x:c>
      <x:c r="T2512" s="24" t="str">
        <x:v>tabela_zeiss.pdf</x:v>
      </x:c>
      <x:c r="U2512" s="24" t="str">
        <x:v>ZEISS|Progressiva|Surfaçada|SmartLife Essential|PhotoFusion X|1.5|1.50|DuraVision Silver UV|-6.00 a +5.00|-4.00|0.75 a 3.00|75|||41</x:v>
      </x:c>
    </x:row>
    <x:row r="2513">
      <x:c r="A2513" s="24" t="str">
        <x:v>ZS-A58A304A4EE7</x:v>
      </x:c>
      <x:c r="B2513" s="24" t="str">
        <x:v>ZEISS</x:v>
      </x:c>
      <x:c r="C2513" s="24" t="str">
        <x:v>Progressiva</x:v>
      </x:c>
      <x:c r="D2513" s="24" t="str">
        <x:v>Surfaçada</x:v>
      </x:c>
      <x:c r="E2513" s="24" t="str">
        <x:v>SmartLife Essential</x:v>
      </x:c>
      <x:c r="F2513" s="24" t="str">
        <x:v>PhotoFusion X</x:v>
      </x:c>
      <x:c r="G2513" s="24" t="str">
        <x:v>1.5</x:v>
      </x:c>
      <x:c r="H2513" s="24" t="str">
        <x:v>1.50</x:v>
      </x:c>
      <x:c r="I2513" s="24" t="str">
        <x:v>DuraVision Chrome UV</x:v>
      </x:c>
      <x:c r="J2513" s="40" t="n">
        <x:v>5010</x:v>
      </x:c>
      <x:c r="K2513" s="24" t="str">
        <x:v>-6.00 a +5.00</x:v>
      </x:c>
      <x:c r="L2513" s="24" t="str">
        <x:v>-4.00</x:v>
      </x:c>
      <x:c r="M2513" s="24" t="str">
        <x:v>0.75 a 3.00</x:v>
      </x:c>
      <x:c r="N2513" s="24" t="str">
        <x:v>75</x:v>
      </x:c>
      <x:c r="O2513" s="24"/>
      <x:c r="P2513" s="24"/>
      <x:c r="Q2513" s="24" t="str">
        <x:v>DISPONÍVEL</x:v>
      </x:c>
      <x:c r="R2513" s="24" t="str">
        <x:v>Programa de Parcerias ZEISS</x:v>
      </x:c>
      <x:c r="S2513" s="24" t="n">
        <x:v>41</x:v>
      </x:c>
      <x:c r="T2513" s="24" t="str">
        <x:v>tabela_zeiss.pdf</x:v>
      </x:c>
      <x:c r="U2513" s="24" t="str">
        <x:v>ZEISS|Progressiva|Surfaçada|SmartLife Essential|PhotoFusion X|1.5|1.50|DuraVision Chrome UV|-6.00 a +5.00|-4.00|0.75 a 3.00|75|||41</x:v>
      </x:c>
    </x:row>
    <x:row r="2514">
      <x:c r="A2514" s="24" t="str">
        <x:v>ZS-549581FDB17E</x:v>
      </x:c>
      <x:c r="B2514" s="24" t="str">
        <x:v>ZEISS</x:v>
      </x:c>
      <x:c r="C2514" s="24" t="str">
        <x:v>Progressiva</x:v>
      </x:c>
      <x:c r="D2514" s="24" t="str">
        <x:v>Surfaçada</x:v>
      </x:c>
      <x:c r="E2514" s="24" t="str">
        <x:v>SmartLife Essential</x:v>
      </x:c>
      <x:c r="F2514" s="24" t="str">
        <x:v>PhotoFusion X</x:v>
      </x:c>
      <x:c r="G2514" s="24" t="str">
        <x:v>Poli</x:v>
      </x:c>
      <x:c r="H2514" s="24"/>
      <x:c r="I2514" s="24" t="str">
        <x:v>DuraVision Gold UV</x:v>
      </x:c>
      <x:c r="J2514" s="40" t="n">
        <x:v>6490</x:v>
      </x:c>
      <x:c r="K2514" s="24" t="str">
        <x:v>-10.00 a +6.00</x:v>
      </x:c>
      <x:c r="L2514" s="24" t="str">
        <x:v>-6.00</x:v>
      </x:c>
      <x:c r="M2514" s="24" t="str">
        <x:v>0.75 a 3.00</x:v>
      </x:c>
      <x:c r="N2514" s="24" t="str">
        <x:v>72</x:v>
      </x:c>
      <x:c r="O2514" s="24"/>
      <x:c r="P2514" s="24"/>
      <x:c r="Q2514" s="24" t="str">
        <x:v>DISPONÍVEL</x:v>
      </x:c>
      <x:c r="R2514" s="24" t="str">
        <x:v>Programa de Parcerias ZEISS</x:v>
      </x:c>
      <x:c r="S2514" s="24" t="n">
        <x:v>41</x:v>
      </x:c>
      <x:c r="T2514" s="24" t="str">
        <x:v>tabela_zeiss.pdf</x:v>
      </x:c>
      <x:c r="U2514" s="24" t="str">
        <x:v>ZEISS|Progressiva|Surfaçada|SmartLife Essential|PhotoFusion X|Poli||DuraVision Gold UV|-10.00 a +6.00|-6.00|0.75 a 3.00|72|||41</x:v>
      </x:c>
    </x:row>
    <x:row r="2515">
      <x:c r="A2515" s="24" t="str">
        <x:v>ZS-FC639DF643C9</x:v>
      </x:c>
      <x:c r="B2515" s="24" t="str">
        <x:v>ZEISS</x:v>
      </x:c>
      <x:c r="C2515" s="24" t="str">
        <x:v>Progressiva</x:v>
      </x:c>
      <x:c r="D2515" s="24" t="str">
        <x:v>Surfaçada</x:v>
      </x:c>
      <x:c r="E2515" s="24" t="str">
        <x:v>SmartLife Essential</x:v>
      </x:c>
      <x:c r="F2515" s="24" t="str">
        <x:v>PhotoFusion X</x:v>
      </x:c>
      <x:c r="G2515" s="24" t="str">
        <x:v>Poli</x:v>
      </x:c>
      <x:c r="H2515" s="24"/>
      <x:c r="I2515" s="24" t="str">
        <x:v>DuraVision Platinum UV</x:v>
      </x:c>
      <x:c r="J2515" s="40" t="n">
        <x:v>6350</x:v>
      </x:c>
      <x:c r="K2515" s="24" t="str">
        <x:v>-10.00 a +6.00</x:v>
      </x:c>
      <x:c r="L2515" s="24" t="str">
        <x:v>-6.00</x:v>
      </x:c>
      <x:c r="M2515" s="24" t="str">
        <x:v>0.75 a 3.00</x:v>
      </x:c>
      <x:c r="N2515" s="24" t="str">
        <x:v>72</x:v>
      </x:c>
      <x:c r="O2515" s="24"/>
      <x:c r="P2515" s="24"/>
      <x:c r="Q2515" s="24" t="str">
        <x:v>DISPONÍVEL</x:v>
      </x:c>
      <x:c r="R2515" s="24" t="str">
        <x:v>Programa de Parcerias ZEISS</x:v>
      </x:c>
      <x:c r="S2515" s="24" t="n">
        <x:v>41</x:v>
      </x:c>
      <x:c r="T2515" s="24" t="str">
        <x:v>tabela_zeiss.pdf</x:v>
      </x:c>
      <x:c r="U2515" s="24" t="str">
        <x:v>ZEISS|Progressiva|Surfaçada|SmartLife Essential|PhotoFusion X|Poli||DuraVision Platinum UV|-10.00 a +6.00|-6.00|0.75 a 3.00|72|||41</x:v>
      </x:c>
    </x:row>
    <x:row r="2516">
      <x:c r="A2516" s="24" t="str">
        <x:v>ZS-6DEC38F1587C</x:v>
      </x:c>
      <x:c r="B2516" s="24" t="str">
        <x:v>ZEISS</x:v>
      </x:c>
      <x:c r="C2516" s="24" t="str">
        <x:v>Progressiva</x:v>
      </x:c>
      <x:c r="D2516" s="24" t="str">
        <x:v>Surfaçada</x:v>
      </x:c>
      <x:c r="E2516" s="24" t="str">
        <x:v>SmartLife Essential</x:v>
      </x:c>
      <x:c r="F2516" s="24" t="str">
        <x:v>PhotoFusion X</x:v>
      </x:c>
      <x:c r="G2516" s="24" t="str">
        <x:v>Poli</x:v>
      </x:c>
      <x:c r="H2516" s="24"/>
      <x:c r="I2516" s="24" t="str">
        <x:v>DuraVision Silver UV</x:v>
      </x:c>
      <x:c r="J2516" s="40" t="n">
        <x:v>6090</x:v>
      </x:c>
      <x:c r="K2516" s="24" t="str">
        <x:v>-10.00 a +6.00</x:v>
      </x:c>
      <x:c r="L2516" s="24" t="str">
        <x:v>-6.00</x:v>
      </x:c>
      <x:c r="M2516" s="24" t="str">
        <x:v>0.75 a 3.00</x:v>
      </x:c>
      <x:c r="N2516" s="24" t="str">
        <x:v>72</x:v>
      </x:c>
      <x:c r="O2516" s="24"/>
      <x:c r="P2516" s="24"/>
      <x:c r="Q2516" s="24" t="str">
        <x:v>DISPONÍVEL</x:v>
      </x:c>
      <x:c r="R2516" s="24" t="str">
        <x:v>Programa de Parcerias ZEISS</x:v>
      </x:c>
      <x:c r="S2516" s="24" t="n">
        <x:v>41</x:v>
      </x:c>
      <x:c r="T2516" s="24" t="str">
        <x:v>tabela_zeiss.pdf</x:v>
      </x:c>
      <x:c r="U2516" s="24" t="str">
        <x:v>ZEISS|Progressiva|Surfaçada|SmartLife Essential|PhotoFusion X|Poli||DuraVision Silver UV|-10.00 a +6.00|-6.00|0.75 a 3.00|72|||41</x:v>
      </x:c>
    </x:row>
    <x:row r="2517">
      <x:c r="A2517" s="24" t="str">
        <x:v>ZS-62C3AA841E47</x:v>
      </x:c>
      <x:c r="B2517" s="24" t="str">
        <x:v>ZEISS</x:v>
      </x:c>
      <x:c r="C2517" s="24" t="str">
        <x:v>Progressiva</x:v>
      </x:c>
      <x:c r="D2517" s="24" t="str">
        <x:v>Surfaçada</x:v>
      </x:c>
      <x:c r="E2517" s="24" t="str">
        <x:v>SmartLife Essential</x:v>
      </x:c>
      <x:c r="F2517" s="24" t="str">
        <x:v>PhotoFusion X</x:v>
      </x:c>
      <x:c r="G2517" s="24" t="str">
        <x:v>Poli</x:v>
      </x:c>
      <x:c r="H2517" s="24"/>
      <x:c r="I2517" s="24" t="str">
        <x:v>DuraVision Chrome UV</x:v>
      </x:c>
      <x:c r="J2517" s="40" t="n">
        <x:v>5600</x:v>
      </x:c>
      <x:c r="K2517" s="24" t="str">
        <x:v>-10.00 a +6.00</x:v>
      </x:c>
      <x:c r="L2517" s="24" t="str">
        <x:v>-6.00</x:v>
      </x:c>
      <x:c r="M2517" s="24" t="str">
        <x:v>0.75 a 3.00</x:v>
      </x:c>
      <x:c r="N2517" s="24" t="str">
        <x:v>72</x:v>
      </x:c>
      <x:c r="O2517" s="24"/>
      <x:c r="P2517" s="24"/>
      <x:c r="Q2517" s="24" t="str">
        <x:v>DISPONÍVEL</x:v>
      </x:c>
      <x:c r="R2517" s="24" t="str">
        <x:v>Programa de Parcerias ZEISS</x:v>
      </x:c>
      <x:c r="S2517" s="24" t="n">
        <x:v>41</x:v>
      </x:c>
      <x:c r="T2517" s="24" t="str">
        <x:v>tabela_zeiss.pdf</x:v>
      </x:c>
      <x:c r="U2517" s="24" t="str">
        <x:v>ZEISS|Progressiva|Surfaçada|SmartLife Essential|PhotoFusion X|Poli||DuraVision Chrome UV|-10.00 a +6.00|-6.00|0.75 a 3.00|72|||41</x:v>
      </x:c>
    </x:row>
    <x:row r="2518">
      <x:c r="A2518" s="24" t="str">
        <x:v>ZS-930CFBE6798B</x:v>
      </x:c>
      <x:c r="B2518" s="24" t="str">
        <x:v>ZEISS</x:v>
      </x:c>
      <x:c r="C2518" s="24" t="str">
        <x:v>Progressiva</x:v>
      </x:c>
      <x:c r="D2518" s="24" t="str">
        <x:v>Surfaçada</x:v>
      </x:c>
      <x:c r="E2518" s="24" t="str">
        <x:v>SmartLife Essential</x:v>
      </x:c>
      <x:c r="F2518" s="24" t="str">
        <x:v>PhotoFusion X</x:v>
      </x:c>
      <x:c r="G2518" s="24" t="str">
        <x:v>1.6</x:v>
      </x:c>
      <x:c r="H2518" s="24" t="str">
        <x:v>1.60</x:v>
      </x:c>
      <x:c r="I2518" s="24" t="str">
        <x:v>DuraVision Gold UV</x:v>
      </x:c>
      <x:c r="J2518" s="40" t="n">
        <x:v>7150</x:v>
      </x:c>
      <x:c r="K2518" s="24" t="str">
        <x:v>-7.25 a +6.00</x:v>
      </x:c>
      <x:c r="L2518" s="24" t="str">
        <x:v>-6.00</x:v>
      </x:c>
      <x:c r="M2518" s="24" t="str">
        <x:v>0.75 a 3.50</x:v>
      </x:c>
      <x:c r="N2518" s="24" t="str">
        <x:v>75</x:v>
      </x:c>
      <x:c r="O2518" s="24"/>
      <x:c r="P2518" s="24"/>
      <x:c r="Q2518" s="24" t="str">
        <x:v>DISPONÍVEL</x:v>
      </x:c>
      <x:c r="R2518" s="24" t="str">
        <x:v>Programa de Parcerias ZEISS</x:v>
      </x:c>
      <x:c r="S2518" s="24" t="n">
        <x:v>41</x:v>
      </x:c>
      <x:c r="T2518" s="24" t="str">
        <x:v>tabela_zeiss.pdf</x:v>
      </x:c>
      <x:c r="U2518" s="24" t="str">
        <x:v>ZEISS|Progressiva|Surfaçada|SmartLife Essential|PhotoFusion X|1.6|1.60|DuraVision Gold UV|-7.25 a +6.00|-6.00|0.75 a 3.50|75|||41</x:v>
      </x:c>
    </x:row>
    <x:row r="2519">
      <x:c r="A2519" s="24" t="str">
        <x:v>ZS-D216374F23E9</x:v>
      </x:c>
      <x:c r="B2519" s="24" t="str">
        <x:v>ZEISS</x:v>
      </x:c>
      <x:c r="C2519" s="24" t="str">
        <x:v>Progressiva</x:v>
      </x:c>
      <x:c r="D2519" s="24" t="str">
        <x:v>Surfaçada</x:v>
      </x:c>
      <x:c r="E2519" s="24" t="str">
        <x:v>SmartLife Essential</x:v>
      </x:c>
      <x:c r="F2519" s="24" t="str">
        <x:v>PhotoFusion X</x:v>
      </x:c>
      <x:c r="G2519" s="24" t="str">
        <x:v>1.6</x:v>
      </x:c>
      <x:c r="H2519" s="24" t="str">
        <x:v>1.60</x:v>
      </x:c>
      <x:c r="I2519" s="24" t="str">
        <x:v>DuraVision Platinum UV</x:v>
      </x:c>
      <x:c r="J2519" s="40" t="n">
        <x:v>7010</x:v>
      </x:c>
      <x:c r="K2519" s="24" t="str">
        <x:v>-7.25 a +6.00</x:v>
      </x:c>
      <x:c r="L2519" s="24" t="str">
        <x:v>-6.00</x:v>
      </x:c>
      <x:c r="M2519" s="24" t="str">
        <x:v>0.75 a 3.50</x:v>
      </x:c>
      <x:c r="N2519" s="24" t="str">
        <x:v>75</x:v>
      </x:c>
      <x:c r="O2519" s="24"/>
      <x:c r="P2519" s="24"/>
      <x:c r="Q2519" s="24" t="str">
        <x:v>DISPONÍVEL</x:v>
      </x:c>
      <x:c r="R2519" s="24" t="str">
        <x:v>Programa de Parcerias ZEISS</x:v>
      </x:c>
      <x:c r="S2519" s="24" t="n">
        <x:v>41</x:v>
      </x:c>
      <x:c r="T2519" s="24" t="str">
        <x:v>tabela_zeiss.pdf</x:v>
      </x:c>
      <x:c r="U2519" s="24" t="str">
        <x:v>ZEISS|Progressiva|Surfaçada|SmartLife Essential|PhotoFusion X|1.6|1.60|DuraVision Platinum UV|-7.25 a +6.00|-6.00|0.75 a 3.50|75|||41</x:v>
      </x:c>
    </x:row>
    <x:row r="2520">
      <x:c r="A2520" s="24" t="str">
        <x:v>ZS-A699900889E7</x:v>
      </x:c>
      <x:c r="B2520" s="24" t="str">
        <x:v>ZEISS</x:v>
      </x:c>
      <x:c r="C2520" s="24" t="str">
        <x:v>Progressiva</x:v>
      </x:c>
      <x:c r="D2520" s="24" t="str">
        <x:v>Surfaçada</x:v>
      </x:c>
      <x:c r="E2520" s="24" t="str">
        <x:v>SmartLife Essential</x:v>
      </x:c>
      <x:c r="F2520" s="24" t="str">
        <x:v>PhotoFusion X</x:v>
      </x:c>
      <x:c r="G2520" s="24" t="str">
        <x:v>1.6</x:v>
      </x:c>
      <x:c r="H2520" s="24" t="str">
        <x:v>1.60</x:v>
      </x:c>
      <x:c r="I2520" s="24" t="str">
        <x:v>DuraVision Silver UV</x:v>
      </x:c>
      <x:c r="J2520" s="40" t="n">
        <x:v>6750</x:v>
      </x:c>
      <x:c r="K2520" s="24" t="str">
        <x:v>-7.25 a +6.00</x:v>
      </x:c>
      <x:c r="L2520" s="24" t="str">
        <x:v>-6.00</x:v>
      </x:c>
      <x:c r="M2520" s="24" t="str">
        <x:v>0.75 a 3.50</x:v>
      </x:c>
      <x:c r="N2520" s="24" t="str">
        <x:v>75</x:v>
      </x:c>
      <x:c r="O2520" s="24"/>
      <x:c r="P2520" s="24"/>
      <x:c r="Q2520" s="24" t="str">
        <x:v>DISPONÍVEL</x:v>
      </x:c>
      <x:c r="R2520" s="24" t="str">
        <x:v>Programa de Parcerias ZEISS</x:v>
      </x:c>
      <x:c r="S2520" s="24" t="n">
        <x:v>41</x:v>
      </x:c>
      <x:c r="T2520" s="24" t="str">
        <x:v>tabela_zeiss.pdf</x:v>
      </x:c>
      <x:c r="U2520" s="24" t="str">
        <x:v>ZEISS|Progressiva|Surfaçada|SmartLife Essential|PhotoFusion X|1.6|1.60|DuraVision Silver UV|-7.25 a +6.00|-6.00|0.75 a 3.50|75|||41</x:v>
      </x:c>
    </x:row>
    <x:row r="2521">
      <x:c r="A2521" s="24" t="str">
        <x:v>ZS-B42A106377E2</x:v>
      </x:c>
      <x:c r="B2521" s="24" t="str">
        <x:v>ZEISS</x:v>
      </x:c>
      <x:c r="C2521" s="24" t="str">
        <x:v>Progressiva</x:v>
      </x:c>
      <x:c r="D2521" s="24" t="str">
        <x:v>Surfaçada</x:v>
      </x:c>
      <x:c r="E2521" s="24" t="str">
        <x:v>SmartLife Essential</x:v>
      </x:c>
      <x:c r="F2521" s="24" t="str">
        <x:v>PhotoFusion X</x:v>
      </x:c>
      <x:c r="G2521" s="24" t="str">
        <x:v>1.6</x:v>
      </x:c>
      <x:c r="H2521" s="24" t="str">
        <x:v>1.60</x:v>
      </x:c>
      <x:c r="I2521" s="24" t="str">
        <x:v>DuraVision Chrome UV</x:v>
      </x:c>
      <x:c r="J2521" s="40" t="n">
        <x:v>6260</x:v>
      </x:c>
      <x:c r="K2521" s="24" t="str">
        <x:v>-7.25 a +6.00</x:v>
      </x:c>
      <x:c r="L2521" s="24" t="str">
        <x:v>-6.00</x:v>
      </x:c>
      <x:c r="M2521" s="24" t="str">
        <x:v>0.75 a 3.50</x:v>
      </x:c>
      <x:c r="N2521" s="24" t="str">
        <x:v>75</x:v>
      </x:c>
      <x:c r="O2521" s="24"/>
      <x:c r="P2521" s="24"/>
      <x:c r="Q2521" s="24" t="str">
        <x:v>DISPONÍVEL</x:v>
      </x:c>
      <x:c r="R2521" s="24" t="str">
        <x:v>Programa de Parcerias ZEISS</x:v>
      </x:c>
      <x:c r="S2521" s="24" t="n">
        <x:v>41</x:v>
      </x:c>
      <x:c r="T2521" s="24" t="str">
        <x:v>tabela_zeiss.pdf</x:v>
      </x:c>
      <x:c r="U2521" s="24" t="str">
        <x:v>ZEISS|Progressiva|Surfaçada|SmartLife Essential|PhotoFusion X|1.6|1.60|DuraVision Chrome UV|-7.25 a +6.00|-6.00|0.75 a 3.50|75|||41</x:v>
      </x:c>
    </x:row>
    <x:row r="2522">
      <x:c r="A2522" s="24" t="str">
        <x:v>ZS-4A75EECB2FEC</x:v>
      </x:c>
      <x:c r="B2522" s="24" t="str">
        <x:v>ZEISS</x:v>
      </x:c>
      <x:c r="C2522" s="24" t="str">
        <x:v>Progressiva</x:v>
      </x:c>
      <x:c r="D2522" s="24" t="str">
        <x:v>Surfaçada</x:v>
      </x:c>
      <x:c r="E2522" s="24" t="str">
        <x:v>SmartLife Essential</x:v>
      </x:c>
      <x:c r="F2522" s="24" t="str">
        <x:v>PhotoFusion X</x:v>
      </x:c>
      <x:c r="G2522" s="24" t="str">
        <x:v>1.67</x:v>
      </x:c>
      <x:c r="H2522" s="24" t="str">
        <x:v>1.67</x:v>
      </x:c>
      <x:c r="I2522" s="24" t="str">
        <x:v>DuraVision Gold UV</x:v>
      </x:c>
      <x:c r="J2522" s="40" t="n">
        <x:v>8790</x:v>
      </x:c>
      <x:c r="K2522" s="24" t="str">
        <x:v>-10.00 a +6.00</x:v>
      </x:c>
      <x:c r="L2522" s="24" t="str">
        <x:v>-6.00</x:v>
      </x:c>
      <x:c r="M2522" s="24" t="str">
        <x:v>0.75 a 3.00</x:v>
      </x:c>
      <x:c r="N2522" s="24" t="str">
        <x:v>70</x:v>
      </x:c>
      <x:c r="O2522" s="24"/>
      <x:c r="P2522" s="24"/>
      <x:c r="Q2522" s="24" t="str">
        <x:v>DISPONÍVEL</x:v>
      </x:c>
      <x:c r="R2522" s="24" t="str">
        <x:v>Programa de Parcerias ZEISS</x:v>
      </x:c>
      <x:c r="S2522" s="24" t="n">
        <x:v>41</x:v>
      </x:c>
      <x:c r="T2522" s="24" t="str">
        <x:v>tabela_zeiss.pdf</x:v>
      </x:c>
      <x:c r="U2522" s="24" t="str">
        <x:v>ZEISS|Progressiva|Surfaçada|SmartLife Essential|PhotoFusion X|1.67|1.67|DuraVision Gold UV|-10.00 a +6.00|-6.00|0.75 a 3.00|70|||41</x:v>
      </x:c>
    </x:row>
    <x:row r="2523">
      <x:c r="A2523" s="24" t="str">
        <x:v>ZS-B0A9BD0FC928</x:v>
      </x:c>
      <x:c r="B2523" s="24" t="str">
        <x:v>ZEISS</x:v>
      </x:c>
      <x:c r="C2523" s="24" t="str">
        <x:v>Progressiva</x:v>
      </x:c>
      <x:c r="D2523" s="24" t="str">
        <x:v>Surfaçada</x:v>
      </x:c>
      <x:c r="E2523" s="24" t="str">
        <x:v>SmartLife Essential</x:v>
      </x:c>
      <x:c r="F2523" s="24" t="str">
        <x:v>PhotoFusion X</x:v>
      </x:c>
      <x:c r="G2523" s="24" t="str">
        <x:v>1.67</x:v>
      </x:c>
      <x:c r="H2523" s="24" t="str">
        <x:v>1.67</x:v>
      </x:c>
      <x:c r="I2523" s="24" t="str">
        <x:v>DuraVision Platinum UV</x:v>
      </x:c>
      <x:c r="J2523" s="40" t="n">
        <x:v>8650</x:v>
      </x:c>
      <x:c r="K2523" s="24" t="str">
        <x:v>-10.00 a +6.00</x:v>
      </x:c>
      <x:c r="L2523" s="24" t="str">
        <x:v>-6.00</x:v>
      </x:c>
      <x:c r="M2523" s="24" t="str">
        <x:v>0.75 a 3.00</x:v>
      </x:c>
      <x:c r="N2523" s="24" t="str">
        <x:v>70</x:v>
      </x:c>
      <x:c r="O2523" s="24"/>
      <x:c r="P2523" s="24"/>
      <x:c r="Q2523" s="24" t="str">
        <x:v>DISPONÍVEL</x:v>
      </x:c>
      <x:c r="R2523" s="24" t="str">
        <x:v>Programa de Parcerias ZEISS</x:v>
      </x:c>
      <x:c r="S2523" s="24" t="n">
        <x:v>41</x:v>
      </x:c>
      <x:c r="T2523" s="24" t="str">
        <x:v>tabela_zeiss.pdf</x:v>
      </x:c>
      <x:c r="U2523" s="24" t="str">
        <x:v>ZEISS|Progressiva|Surfaçada|SmartLife Essential|PhotoFusion X|1.67|1.67|DuraVision Platinum UV|-10.00 a +6.00|-6.00|0.75 a 3.00|70|||41</x:v>
      </x:c>
    </x:row>
    <x:row r="2524">
      <x:c r="A2524" s="24" t="str">
        <x:v>ZS-D58C0FFF85C0</x:v>
      </x:c>
      <x:c r="B2524" s="24" t="str">
        <x:v>ZEISS</x:v>
      </x:c>
      <x:c r="C2524" s="24" t="str">
        <x:v>Progressiva</x:v>
      </x:c>
      <x:c r="D2524" s="24" t="str">
        <x:v>Surfaçada</x:v>
      </x:c>
      <x:c r="E2524" s="24" t="str">
        <x:v>SmartLife Essential</x:v>
      </x:c>
      <x:c r="F2524" s="24" t="str">
        <x:v>PhotoFusion X</x:v>
      </x:c>
      <x:c r="G2524" s="24" t="str">
        <x:v>1.67</x:v>
      </x:c>
      <x:c r="H2524" s="24" t="str">
        <x:v>1.67</x:v>
      </x:c>
      <x:c r="I2524" s="24" t="str">
        <x:v>DuraVision Silver UV</x:v>
      </x:c>
      <x:c r="J2524" s="40" t="n">
        <x:v>8390</x:v>
      </x:c>
      <x:c r="K2524" s="24" t="str">
        <x:v>-10.00 a +6.00</x:v>
      </x:c>
      <x:c r="L2524" s="24" t="str">
        <x:v>-6.00</x:v>
      </x:c>
      <x:c r="M2524" s="24" t="str">
        <x:v>0.75 a 3.00</x:v>
      </x:c>
      <x:c r="N2524" s="24" t="str">
        <x:v>70</x:v>
      </x:c>
      <x:c r="O2524" s="24"/>
      <x:c r="P2524" s="24"/>
      <x:c r="Q2524" s="24" t="str">
        <x:v>DISPONÍVEL</x:v>
      </x:c>
      <x:c r="R2524" s="24" t="str">
        <x:v>Programa de Parcerias ZEISS</x:v>
      </x:c>
      <x:c r="S2524" s="24" t="n">
        <x:v>41</x:v>
      </x:c>
      <x:c r="T2524" s="24" t="str">
        <x:v>tabela_zeiss.pdf</x:v>
      </x:c>
      <x:c r="U2524" s="24" t="str">
        <x:v>ZEISS|Progressiva|Surfaçada|SmartLife Essential|PhotoFusion X|1.67|1.67|DuraVision Silver UV|-10.00 a +6.00|-6.00|0.75 a 3.00|70|||41</x:v>
      </x:c>
    </x:row>
    <x:row r="2525">
      <x:c r="A2525" s="24" t="str">
        <x:v>ZS-6CFBB727BD0F</x:v>
      </x:c>
      <x:c r="B2525" s="24" t="str">
        <x:v>ZEISS</x:v>
      </x:c>
      <x:c r="C2525" s="24" t="str">
        <x:v>Progressiva</x:v>
      </x:c>
      <x:c r="D2525" s="24" t="str">
        <x:v>Surfaçada</x:v>
      </x:c>
      <x:c r="E2525" s="24" t="str">
        <x:v>SmartLife Essential</x:v>
      </x:c>
      <x:c r="F2525" s="24" t="str">
        <x:v>PhotoFusion X</x:v>
      </x:c>
      <x:c r="G2525" s="24" t="str">
        <x:v>1.67</x:v>
      </x:c>
      <x:c r="H2525" s="24" t="str">
        <x:v>1.67</x:v>
      </x:c>
      <x:c r="I2525" s="24" t="str">
        <x:v>DuraVision Chrome UV</x:v>
      </x:c>
      <x:c r="J2525" s="40" t="n">
        <x:v>7900</x:v>
      </x:c>
      <x:c r="K2525" s="24" t="str">
        <x:v>-10.00 a +6.00</x:v>
      </x:c>
      <x:c r="L2525" s="24" t="str">
        <x:v>-6.00</x:v>
      </x:c>
      <x:c r="M2525" s="24" t="str">
        <x:v>0.75 a 3.00</x:v>
      </x:c>
      <x:c r="N2525" s="24" t="str">
        <x:v>70</x:v>
      </x:c>
      <x:c r="O2525" s="24"/>
      <x:c r="P2525" s="24"/>
      <x:c r="Q2525" s="24" t="str">
        <x:v>DISPONÍVEL</x:v>
      </x:c>
      <x:c r="R2525" s="24" t="str">
        <x:v>Programa de Parcerias ZEISS</x:v>
      </x:c>
      <x:c r="S2525" s="24" t="n">
        <x:v>41</x:v>
      </x:c>
      <x:c r="T2525" s="24" t="str">
        <x:v>tabela_zeiss.pdf</x:v>
      </x:c>
      <x:c r="U2525" s="24" t="str">
        <x:v>ZEISS|Progressiva|Surfaçada|SmartLife Essential|PhotoFusion X|1.67|1.67|DuraVision Chrome UV|-10.00 a +6.00|-6.00|0.75 a 3.00|70|||41</x:v>
      </x:c>
    </x:row>
    <x:row r="2526">
      <x:c r="A2526" s="24" t="str">
        <x:v>ZS-5D5DB47E4873</x:v>
      </x:c>
      <x:c r="B2526" s="24" t="str">
        <x:v>ZEISS</x:v>
      </x:c>
      <x:c r="C2526" s="24" t="str">
        <x:v>Progressiva</x:v>
      </x:c>
      <x:c r="D2526" s="24" t="str">
        <x:v>Surfaçada</x:v>
      </x:c>
      <x:c r="E2526" s="24" t="str">
        <x:v>SmartLife Essential</x:v>
      </x:c>
      <x:c r="F2526" s="24" t="str">
        <x:v>PhotoFusion X Extra Dark Cinza</x:v>
      </x:c>
      <x:c r="G2526" s="24" t="str">
        <x:v>1.5</x:v>
      </x:c>
      <x:c r="H2526" s="24" t="str">
        <x:v>1.50</x:v>
      </x:c>
      <x:c r="I2526" s="24" t="str">
        <x:v>DuraVision Gold UV</x:v>
      </x:c>
      <x:c r="J2526" s="40" t="n">
        <x:v>5950</x:v>
      </x:c>
      <x:c r="K2526" s="24" t="str">
        <x:v>-6.00 a +5.00</x:v>
      </x:c>
      <x:c r="L2526" s="24" t="str">
        <x:v>-4.00</x:v>
      </x:c>
      <x:c r="M2526" s="24" t="str">
        <x:v>0.75 a 3.00</x:v>
      </x:c>
      <x:c r="N2526" s="24" t="str">
        <x:v>75</x:v>
      </x:c>
      <x:c r="O2526" s="24"/>
      <x:c r="P2526" s="24"/>
      <x:c r="Q2526" s="24" t="str">
        <x:v>DISPONÍVEL</x:v>
      </x:c>
      <x:c r="R2526" s="24" t="str">
        <x:v>Programa de Parcerias ZEISS</x:v>
      </x:c>
      <x:c r="S2526" s="24" t="n">
        <x:v>41</x:v>
      </x:c>
      <x:c r="T2526" s="24" t="str">
        <x:v>tabela_zeiss.pdf</x:v>
      </x:c>
      <x:c r="U2526" s="24" t="str">
        <x:v>ZEISS|Progressiva|Surfaçada|SmartLife Essential|PhotoFusion X Extra Dark Cinza|1.5|1.50|DuraVision Gold UV|-6.00 a +5.00|-4.00|0.75 a 3.00|75|||41</x:v>
      </x:c>
    </x:row>
    <x:row r="2527">
      <x:c r="A2527" s="24" t="str">
        <x:v>ZS-DF78AF1E0DCF</x:v>
      </x:c>
      <x:c r="B2527" s="24" t="str">
        <x:v>ZEISS</x:v>
      </x:c>
      <x:c r="C2527" s="24" t="str">
        <x:v>Progressiva</x:v>
      </x:c>
      <x:c r="D2527" s="24" t="str">
        <x:v>Surfaçada</x:v>
      </x:c>
      <x:c r="E2527" s="24" t="str">
        <x:v>SmartLife Essential</x:v>
      </x:c>
      <x:c r="F2527" s="24" t="str">
        <x:v>PhotoFusion X Extra Dark Cinza</x:v>
      </x:c>
      <x:c r="G2527" s="24" t="str">
        <x:v>1.5</x:v>
      </x:c>
      <x:c r="H2527" s="24" t="str">
        <x:v>1.50</x:v>
      </x:c>
      <x:c r="I2527" s="24" t="str">
        <x:v>DuraVision Platinum UV</x:v>
      </x:c>
      <x:c r="J2527" s="40" t="n">
        <x:v>5810</x:v>
      </x:c>
      <x:c r="K2527" s="24" t="str">
        <x:v>-6.00 a +5.00</x:v>
      </x:c>
      <x:c r="L2527" s="24" t="str">
        <x:v>-4.00</x:v>
      </x:c>
      <x:c r="M2527" s="24" t="str">
        <x:v>0.75 a 3.00</x:v>
      </x:c>
      <x:c r="N2527" s="24" t="str">
        <x:v>75</x:v>
      </x:c>
      <x:c r="O2527" s="24"/>
      <x:c r="P2527" s="24"/>
      <x:c r="Q2527" s="24" t="str">
        <x:v>DISPONÍVEL</x:v>
      </x:c>
      <x:c r="R2527" s="24" t="str">
        <x:v>Programa de Parcerias ZEISS</x:v>
      </x:c>
      <x:c r="S2527" s="24" t="n">
        <x:v>41</x:v>
      </x:c>
      <x:c r="T2527" s="24" t="str">
        <x:v>tabela_zeiss.pdf</x:v>
      </x:c>
      <x:c r="U2527" s="24" t="str">
        <x:v>ZEISS|Progressiva|Surfaçada|SmartLife Essential|PhotoFusion X Extra Dark Cinza|1.5|1.50|DuraVision Platinum UV|-6.00 a +5.00|-4.00|0.75 a 3.00|75|||41</x:v>
      </x:c>
    </x:row>
    <x:row r="2528">
      <x:c r="A2528" s="24" t="str">
        <x:v>ZS-0C21C9996708</x:v>
      </x:c>
      <x:c r="B2528" s="24" t="str">
        <x:v>ZEISS</x:v>
      </x:c>
      <x:c r="C2528" s="24" t="str">
        <x:v>Progressiva</x:v>
      </x:c>
      <x:c r="D2528" s="24" t="str">
        <x:v>Surfaçada</x:v>
      </x:c>
      <x:c r="E2528" s="24" t="str">
        <x:v>SmartLife Essential</x:v>
      </x:c>
      <x:c r="F2528" s="24" t="str">
        <x:v>PhotoFusion X Extra Dark Cinza</x:v>
      </x:c>
      <x:c r="G2528" s="24" t="str">
        <x:v>1.5</x:v>
      </x:c>
      <x:c r="H2528" s="24" t="str">
        <x:v>1.50</x:v>
      </x:c>
      <x:c r="I2528" s="24" t="str">
        <x:v>DuraVision Silver UV</x:v>
      </x:c>
      <x:c r="J2528" s="40" t="n">
        <x:v>5550</x:v>
      </x:c>
      <x:c r="K2528" s="24" t="str">
        <x:v>-6.00 a +5.00</x:v>
      </x:c>
      <x:c r="L2528" s="24" t="str">
        <x:v>-4.00</x:v>
      </x:c>
      <x:c r="M2528" s="24" t="str">
        <x:v>0.75 a 3.00</x:v>
      </x:c>
      <x:c r="N2528" s="24" t="str">
        <x:v>75</x:v>
      </x:c>
      <x:c r="O2528" s="24"/>
      <x:c r="P2528" s="24"/>
      <x:c r="Q2528" s="24" t="str">
        <x:v>DISPONÍVEL</x:v>
      </x:c>
      <x:c r="R2528" s="24" t="str">
        <x:v>Programa de Parcerias ZEISS</x:v>
      </x:c>
      <x:c r="S2528" s="24" t="n">
        <x:v>41</x:v>
      </x:c>
      <x:c r="T2528" s="24" t="str">
        <x:v>tabela_zeiss.pdf</x:v>
      </x:c>
      <x:c r="U2528" s="24" t="str">
        <x:v>ZEISS|Progressiva|Surfaçada|SmartLife Essential|PhotoFusion X Extra Dark Cinza|1.5|1.50|DuraVision Silver UV|-6.00 a +5.00|-4.00|0.75 a 3.00|75|||41</x:v>
      </x:c>
    </x:row>
    <x:row r="2529">
      <x:c r="A2529" s="24" t="str">
        <x:v>ZS-A9E9A8F85DFD</x:v>
      </x:c>
      <x:c r="B2529" s="24" t="str">
        <x:v>ZEISS</x:v>
      </x:c>
      <x:c r="C2529" s="24" t="str">
        <x:v>Progressiva</x:v>
      </x:c>
      <x:c r="D2529" s="24" t="str">
        <x:v>Surfaçada</x:v>
      </x:c>
      <x:c r="E2529" s="24" t="str">
        <x:v>SmartLife Essential</x:v>
      </x:c>
      <x:c r="F2529" s="24" t="str">
        <x:v>PhotoFusion X Extra Dark Cinza</x:v>
      </x:c>
      <x:c r="G2529" s="24" t="str">
        <x:v>1.5</x:v>
      </x:c>
      <x:c r="H2529" s="24" t="str">
        <x:v>1.50</x:v>
      </x:c>
      <x:c r="I2529" s="24" t="str">
        <x:v>DuraVision Chrome UV</x:v>
      </x:c>
      <x:c r="J2529" s="40" t="n">
        <x:v>5060</x:v>
      </x:c>
      <x:c r="K2529" s="24" t="str">
        <x:v>-6.00 a +5.00</x:v>
      </x:c>
      <x:c r="L2529" s="24" t="str">
        <x:v>-4.00</x:v>
      </x:c>
      <x:c r="M2529" s="24" t="str">
        <x:v>0.75 a 3.00</x:v>
      </x:c>
      <x:c r="N2529" s="24" t="str">
        <x:v>75</x:v>
      </x:c>
      <x:c r="O2529" s="24"/>
      <x:c r="P2529" s="24"/>
      <x:c r="Q2529" s="24" t="str">
        <x:v>DISPONÍVEL</x:v>
      </x:c>
      <x:c r="R2529" s="24" t="str">
        <x:v>Programa de Parcerias ZEISS</x:v>
      </x:c>
      <x:c r="S2529" s="24" t="n">
        <x:v>41</x:v>
      </x:c>
      <x:c r="T2529" s="24" t="str">
        <x:v>tabela_zeiss.pdf</x:v>
      </x:c>
      <x:c r="U2529" s="24" t="str">
        <x:v>ZEISS|Progressiva|Surfaçada|SmartLife Essential|PhotoFusion X Extra Dark Cinza|1.5|1.50|DuraVision Chrome UV|-6.00 a +5.00|-4.00|0.75 a 3.00|75|||41</x:v>
      </x:c>
    </x:row>
    <x:row r="2530">
      <x:c r="A2530" s="24" t="str">
        <x:v>ZS-0FD9CE1050AF</x:v>
      </x:c>
      <x:c r="B2530" s="24" t="str">
        <x:v>ZEISS</x:v>
      </x:c>
      <x:c r="C2530" s="24" t="str">
        <x:v>Progressiva</x:v>
      </x:c>
      <x:c r="D2530" s="24" t="str">
        <x:v>Surfaçada</x:v>
      </x:c>
      <x:c r="E2530" s="24" t="str">
        <x:v>SmartLife Essential</x:v>
      </x:c>
      <x:c r="F2530" s="24" t="str">
        <x:v>PhotoFusion X Extra Dark Cinza</x:v>
      </x:c>
      <x:c r="G2530" s="24" t="str">
        <x:v>Poli</x:v>
      </x:c>
      <x:c r="H2530" s="24"/>
      <x:c r="I2530" s="24" t="str">
        <x:v>DuraVision Gold UV</x:v>
      </x:c>
      <x:c r="J2530" s="40" t="n">
        <x:v>6540</x:v>
      </x:c>
      <x:c r="K2530" s="24" t="str">
        <x:v>-10.00 a +6.00</x:v>
      </x:c>
      <x:c r="L2530" s="24" t="str">
        <x:v>-6.00</x:v>
      </x:c>
      <x:c r="M2530" s="24" t="str">
        <x:v>0.75 a 3.00</x:v>
      </x:c>
      <x:c r="N2530" s="24" t="str">
        <x:v>72</x:v>
      </x:c>
      <x:c r="O2530" s="24"/>
      <x:c r="P2530" s="24"/>
      <x:c r="Q2530" s="24" t="str">
        <x:v>DISPONÍVEL</x:v>
      </x:c>
      <x:c r="R2530" s="24" t="str">
        <x:v>Programa de Parcerias ZEISS</x:v>
      </x:c>
      <x:c r="S2530" s="24" t="n">
        <x:v>41</x:v>
      </x:c>
      <x:c r="T2530" s="24" t="str">
        <x:v>tabela_zeiss.pdf</x:v>
      </x:c>
      <x:c r="U2530" s="24" t="str">
        <x:v>ZEISS|Progressiva|Surfaçada|SmartLife Essential|PhotoFusion X Extra Dark Cinza|Poli||DuraVision Gold UV|-10.00 a +6.00|-6.00|0.75 a 3.00|72|||41</x:v>
      </x:c>
    </x:row>
    <x:row r="2531">
      <x:c r="A2531" s="24" t="str">
        <x:v>ZS-019D8AC743B7</x:v>
      </x:c>
      <x:c r="B2531" s="24" t="str">
        <x:v>ZEISS</x:v>
      </x:c>
      <x:c r="C2531" s="24" t="str">
        <x:v>Progressiva</x:v>
      </x:c>
      <x:c r="D2531" s="24" t="str">
        <x:v>Surfaçada</x:v>
      </x:c>
      <x:c r="E2531" s="24" t="str">
        <x:v>SmartLife Essential</x:v>
      </x:c>
      <x:c r="F2531" s="24" t="str">
        <x:v>PhotoFusion X Extra Dark Cinza</x:v>
      </x:c>
      <x:c r="G2531" s="24" t="str">
        <x:v>Poli</x:v>
      </x:c>
      <x:c r="H2531" s="24"/>
      <x:c r="I2531" s="24" t="str">
        <x:v>DuraVision Platinum UV</x:v>
      </x:c>
      <x:c r="J2531" s="40" t="n">
        <x:v>6400</x:v>
      </x:c>
      <x:c r="K2531" s="24" t="str">
        <x:v>-10.00 a +6.00</x:v>
      </x:c>
      <x:c r="L2531" s="24" t="str">
        <x:v>-6.00</x:v>
      </x:c>
      <x:c r="M2531" s="24" t="str">
        <x:v>0.75 a 3.00</x:v>
      </x:c>
      <x:c r="N2531" s="24" t="str">
        <x:v>72</x:v>
      </x:c>
      <x:c r="O2531" s="24"/>
      <x:c r="P2531" s="24"/>
      <x:c r="Q2531" s="24" t="str">
        <x:v>DISPONÍVEL</x:v>
      </x:c>
      <x:c r="R2531" s="24" t="str">
        <x:v>Programa de Parcerias ZEISS</x:v>
      </x:c>
      <x:c r="S2531" s="24" t="n">
        <x:v>41</x:v>
      </x:c>
      <x:c r="T2531" s="24" t="str">
        <x:v>tabela_zeiss.pdf</x:v>
      </x:c>
      <x:c r="U2531" s="24" t="str">
        <x:v>ZEISS|Progressiva|Surfaçada|SmartLife Essential|PhotoFusion X Extra Dark Cinza|Poli||DuraVision Platinum UV|-10.00 a +6.00|-6.00|0.75 a 3.00|72|||41</x:v>
      </x:c>
    </x:row>
    <x:row r="2532">
      <x:c r="A2532" s="24" t="str">
        <x:v>ZS-CE7BA02D663C</x:v>
      </x:c>
      <x:c r="B2532" s="24" t="str">
        <x:v>ZEISS</x:v>
      </x:c>
      <x:c r="C2532" s="24" t="str">
        <x:v>Progressiva</x:v>
      </x:c>
      <x:c r="D2532" s="24" t="str">
        <x:v>Surfaçada</x:v>
      </x:c>
      <x:c r="E2532" s="24" t="str">
        <x:v>SmartLife Essential</x:v>
      </x:c>
      <x:c r="F2532" s="24" t="str">
        <x:v>PhotoFusion X Extra Dark Cinza</x:v>
      </x:c>
      <x:c r="G2532" s="24" t="str">
        <x:v>Poli</x:v>
      </x:c>
      <x:c r="H2532" s="24"/>
      <x:c r="I2532" s="24" t="str">
        <x:v>DuraVision Silver UV</x:v>
      </x:c>
      <x:c r="J2532" s="40" t="n">
        <x:v>6140</x:v>
      </x:c>
      <x:c r="K2532" s="24" t="str">
        <x:v>-10.00 a +6.00</x:v>
      </x:c>
      <x:c r="L2532" s="24" t="str">
        <x:v>-6.00</x:v>
      </x:c>
      <x:c r="M2532" s="24" t="str">
        <x:v>0.75 a 3.00</x:v>
      </x:c>
      <x:c r="N2532" s="24" t="str">
        <x:v>72</x:v>
      </x:c>
      <x:c r="O2532" s="24"/>
      <x:c r="P2532" s="24"/>
      <x:c r="Q2532" s="24" t="str">
        <x:v>DISPONÍVEL</x:v>
      </x:c>
      <x:c r="R2532" s="24" t="str">
        <x:v>Programa de Parcerias ZEISS</x:v>
      </x:c>
      <x:c r="S2532" s="24" t="n">
        <x:v>41</x:v>
      </x:c>
      <x:c r="T2532" s="24" t="str">
        <x:v>tabela_zeiss.pdf</x:v>
      </x:c>
      <x:c r="U2532" s="24" t="str">
        <x:v>ZEISS|Progressiva|Surfaçada|SmartLife Essential|PhotoFusion X Extra Dark Cinza|Poli||DuraVision Silver UV|-10.00 a +6.00|-6.00|0.75 a 3.00|72|||41</x:v>
      </x:c>
    </x:row>
    <x:row r="2533">
      <x:c r="A2533" s="24" t="str">
        <x:v>ZS-D81FB3DF2BA9</x:v>
      </x:c>
      <x:c r="B2533" s="24" t="str">
        <x:v>ZEISS</x:v>
      </x:c>
      <x:c r="C2533" s="24" t="str">
        <x:v>Progressiva</x:v>
      </x:c>
      <x:c r="D2533" s="24" t="str">
        <x:v>Surfaçada</x:v>
      </x:c>
      <x:c r="E2533" s="24" t="str">
        <x:v>SmartLife Essential</x:v>
      </x:c>
      <x:c r="F2533" s="24" t="str">
        <x:v>PhotoFusion X Extra Dark Cinza</x:v>
      </x:c>
      <x:c r="G2533" s="24" t="str">
        <x:v>Poli</x:v>
      </x:c>
      <x:c r="H2533" s="24"/>
      <x:c r="I2533" s="24" t="str">
        <x:v>DuraVision Chrome UV</x:v>
      </x:c>
      <x:c r="J2533" s="40" t="n">
        <x:v>5650</x:v>
      </x:c>
      <x:c r="K2533" s="24" t="str">
        <x:v>-10.00 a +6.00</x:v>
      </x:c>
      <x:c r="L2533" s="24" t="str">
        <x:v>-6.00</x:v>
      </x:c>
      <x:c r="M2533" s="24" t="str">
        <x:v>0.75 a 3.00</x:v>
      </x:c>
      <x:c r="N2533" s="24" t="str">
        <x:v>72</x:v>
      </x:c>
      <x:c r="O2533" s="24"/>
      <x:c r="P2533" s="24"/>
      <x:c r="Q2533" s="24" t="str">
        <x:v>DISPONÍVEL</x:v>
      </x:c>
      <x:c r="R2533" s="24" t="str">
        <x:v>Programa de Parcerias ZEISS</x:v>
      </x:c>
      <x:c r="S2533" s="24" t="n">
        <x:v>41</x:v>
      </x:c>
      <x:c r="T2533" s="24" t="str">
        <x:v>tabela_zeiss.pdf</x:v>
      </x:c>
      <x:c r="U2533" s="24" t="str">
        <x:v>ZEISS|Progressiva|Surfaçada|SmartLife Essential|PhotoFusion X Extra Dark Cinza|Poli||DuraVision Chrome UV|-10.00 a +6.00|-6.00|0.75 a 3.00|72|||41</x:v>
      </x:c>
    </x:row>
    <x:row r="2534">
      <x:c r="A2534" s="24" t="str">
        <x:v>ZS-08E908EEBCBC</x:v>
      </x:c>
      <x:c r="B2534" s="24" t="str">
        <x:v>ZEISS</x:v>
      </x:c>
      <x:c r="C2534" s="24" t="str">
        <x:v>Progressiva</x:v>
      </x:c>
      <x:c r="D2534" s="24" t="str">
        <x:v>Surfaçada</x:v>
      </x:c>
      <x:c r="E2534" s="24" t="str">
        <x:v>SmartLife Essential</x:v>
      </x:c>
      <x:c r="F2534" s="24" t="str">
        <x:v>PhotoFusion X Extra Dark Cinza</x:v>
      </x:c>
      <x:c r="G2534" s="24" t="str">
        <x:v>1.6</x:v>
      </x:c>
      <x:c r="H2534" s="24" t="str">
        <x:v>1.60</x:v>
      </x:c>
      <x:c r="I2534" s="24" t="str">
        <x:v>DuraVision Gold UV</x:v>
      </x:c>
      <x:c r="J2534" s="40" t="n">
        <x:v>7200</x:v>
      </x:c>
      <x:c r="K2534" s="24" t="str">
        <x:v>-7.25 a +6.00</x:v>
      </x:c>
      <x:c r="L2534" s="24" t="str">
        <x:v>-6.00</x:v>
      </x:c>
      <x:c r="M2534" s="24" t="str">
        <x:v>0.75 a 3.50</x:v>
      </x:c>
      <x:c r="N2534" s="24" t="str">
        <x:v>75</x:v>
      </x:c>
      <x:c r="O2534" s="24"/>
      <x:c r="P2534" s="24"/>
      <x:c r="Q2534" s="24" t="str">
        <x:v>DISPONÍVEL</x:v>
      </x:c>
      <x:c r="R2534" s="24" t="str">
        <x:v>Programa de Parcerias ZEISS</x:v>
      </x:c>
      <x:c r="S2534" s="24" t="n">
        <x:v>41</x:v>
      </x:c>
      <x:c r="T2534" s="24" t="str">
        <x:v>tabela_zeiss.pdf</x:v>
      </x:c>
      <x:c r="U2534" s="24" t="str">
        <x:v>ZEISS|Progressiva|Surfaçada|SmartLife Essential|PhotoFusion X Extra Dark Cinza|1.6|1.60|DuraVision Gold UV|-7.25 a +6.00|-6.00|0.75 a 3.50|75|||41</x:v>
      </x:c>
    </x:row>
    <x:row r="2535">
      <x:c r="A2535" s="24" t="str">
        <x:v>ZS-4AA820841B8A</x:v>
      </x:c>
      <x:c r="B2535" s="24" t="str">
        <x:v>ZEISS</x:v>
      </x:c>
      <x:c r="C2535" s="24" t="str">
        <x:v>Progressiva</x:v>
      </x:c>
      <x:c r="D2535" s="24" t="str">
        <x:v>Surfaçada</x:v>
      </x:c>
      <x:c r="E2535" s="24" t="str">
        <x:v>SmartLife Essential</x:v>
      </x:c>
      <x:c r="F2535" s="24" t="str">
        <x:v>PhotoFusion X Extra Dark Cinza</x:v>
      </x:c>
      <x:c r="G2535" s="24" t="str">
        <x:v>1.6</x:v>
      </x:c>
      <x:c r="H2535" s="24" t="str">
        <x:v>1.60</x:v>
      </x:c>
      <x:c r="I2535" s="24" t="str">
        <x:v>DuraVision Platinum UV</x:v>
      </x:c>
      <x:c r="J2535" s="40" t="n">
        <x:v>7060</x:v>
      </x:c>
      <x:c r="K2535" s="24" t="str">
        <x:v>-7.25 a +6.00</x:v>
      </x:c>
      <x:c r="L2535" s="24" t="str">
        <x:v>-6.00</x:v>
      </x:c>
      <x:c r="M2535" s="24" t="str">
        <x:v>0.75 a 3.50</x:v>
      </x:c>
      <x:c r="N2535" s="24" t="str">
        <x:v>75</x:v>
      </x:c>
      <x:c r="O2535" s="24"/>
      <x:c r="P2535" s="24"/>
      <x:c r="Q2535" s="24" t="str">
        <x:v>DISPONÍVEL</x:v>
      </x:c>
      <x:c r="R2535" s="24" t="str">
        <x:v>Programa de Parcerias ZEISS</x:v>
      </x:c>
      <x:c r="S2535" s="24" t="n">
        <x:v>41</x:v>
      </x:c>
      <x:c r="T2535" s="24" t="str">
        <x:v>tabela_zeiss.pdf</x:v>
      </x:c>
      <x:c r="U2535" s="24" t="str">
        <x:v>ZEISS|Progressiva|Surfaçada|SmartLife Essential|PhotoFusion X Extra Dark Cinza|1.6|1.60|DuraVision Platinum UV|-7.25 a +6.00|-6.00|0.75 a 3.50|75|||41</x:v>
      </x:c>
    </x:row>
    <x:row r="2536">
      <x:c r="A2536" s="24" t="str">
        <x:v>ZS-4924D4EC1A87</x:v>
      </x:c>
      <x:c r="B2536" s="24" t="str">
        <x:v>ZEISS</x:v>
      </x:c>
      <x:c r="C2536" s="24" t="str">
        <x:v>Progressiva</x:v>
      </x:c>
      <x:c r="D2536" s="24" t="str">
        <x:v>Surfaçada</x:v>
      </x:c>
      <x:c r="E2536" s="24" t="str">
        <x:v>SmartLife Essential</x:v>
      </x:c>
      <x:c r="F2536" s="24" t="str">
        <x:v>PhotoFusion X Extra Dark Cinza</x:v>
      </x:c>
      <x:c r="G2536" s="24" t="str">
        <x:v>1.6</x:v>
      </x:c>
      <x:c r="H2536" s="24" t="str">
        <x:v>1.60</x:v>
      </x:c>
      <x:c r="I2536" s="24" t="str">
        <x:v>DuraVision Silver UV</x:v>
      </x:c>
      <x:c r="J2536" s="40" t="n">
        <x:v>6800</x:v>
      </x:c>
      <x:c r="K2536" s="24" t="str">
        <x:v>-7.25 a +6.00</x:v>
      </x:c>
      <x:c r="L2536" s="24" t="str">
        <x:v>-6.00</x:v>
      </x:c>
      <x:c r="M2536" s="24" t="str">
        <x:v>0.75 a 3.50</x:v>
      </x:c>
      <x:c r="N2536" s="24" t="str">
        <x:v>75</x:v>
      </x:c>
      <x:c r="O2536" s="24"/>
      <x:c r="P2536" s="24"/>
      <x:c r="Q2536" s="24" t="str">
        <x:v>DISPONÍVEL</x:v>
      </x:c>
      <x:c r="R2536" s="24" t="str">
        <x:v>Programa de Parcerias ZEISS</x:v>
      </x:c>
      <x:c r="S2536" s="24" t="n">
        <x:v>41</x:v>
      </x:c>
      <x:c r="T2536" s="24" t="str">
        <x:v>tabela_zeiss.pdf</x:v>
      </x:c>
      <x:c r="U2536" s="24" t="str">
        <x:v>ZEISS|Progressiva|Surfaçada|SmartLife Essential|PhotoFusion X Extra Dark Cinza|1.6|1.60|DuraVision Silver UV|-7.25 a +6.00|-6.00|0.75 a 3.50|75|||41</x:v>
      </x:c>
    </x:row>
    <x:row r="2537">
      <x:c r="A2537" s="24" t="str">
        <x:v>ZS-FC890E44AA65</x:v>
      </x:c>
      <x:c r="B2537" s="24" t="str">
        <x:v>ZEISS</x:v>
      </x:c>
      <x:c r="C2537" s="24" t="str">
        <x:v>Progressiva</x:v>
      </x:c>
      <x:c r="D2537" s="24" t="str">
        <x:v>Surfaçada</x:v>
      </x:c>
      <x:c r="E2537" s="24" t="str">
        <x:v>SmartLife Essential</x:v>
      </x:c>
      <x:c r="F2537" s="24" t="str">
        <x:v>PhotoFusion X Extra Dark Cinza</x:v>
      </x:c>
      <x:c r="G2537" s="24" t="str">
        <x:v>1.6</x:v>
      </x:c>
      <x:c r="H2537" s="24" t="str">
        <x:v>1.60</x:v>
      </x:c>
      <x:c r="I2537" s="24" t="str">
        <x:v>DuraVision Chrome UV</x:v>
      </x:c>
      <x:c r="J2537" s="40" t="n">
        <x:v>6310</x:v>
      </x:c>
      <x:c r="K2537" s="24" t="str">
        <x:v>-7.25 a +6.00</x:v>
      </x:c>
      <x:c r="L2537" s="24" t="str">
        <x:v>-6.00</x:v>
      </x:c>
      <x:c r="M2537" s="24" t="str">
        <x:v>0.75 a 3.50</x:v>
      </x:c>
      <x:c r="N2537" s="24" t="str">
        <x:v>75</x:v>
      </x:c>
      <x:c r="O2537" s="24"/>
      <x:c r="P2537" s="24"/>
      <x:c r="Q2537" s="24" t="str">
        <x:v>DISPONÍVEL</x:v>
      </x:c>
      <x:c r="R2537" s="24" t="str">
        <x:v>Programa de Parcerias ZEISS</x:v>
      </x:c>
      <x:c r="S2537" s="24" t="n">
        <x:v>41</x:v>
      </x:c>
      <x:c r="T2537" s="24" t="str">
        <x:v>tabela_zeiss.pdf</x:v>
      </x:c>
      <x:c r="U2537" s="24" t="str">
        <x:v>ZEISS|Progressiva|Surfaçada|SmartLife Essential|PhotoFusion X Extra Dark Cinza|1.6|1.60|DuraVision Chrome UV|-7.25 a +6.00|-6.00|0.75 a 3.50|75|||41</x:v>
      </x:c>
    </x:row>
    <x:row r="2538">
      <x:c r="A2538" s="24" t="str">
        <x:v>ZS-DB91AF0C6E87</x:v>
      </x:c>
      <x:c r="B2538" s="24" t="str">
        <x:v>ZEISS</x:v>
      </x:c>
      <x:c r="C2538" s="24" t="str">
        <x:v>Progressiva</x:v>
      </x:c>
      <x:c r="D2538" s="24" t="str">
        <x:v>Surfaçada</x:v>
      </x:c>
      <x:c r="E2538" s="24" t="str">
        <x:v>SmartLife Essential</x:v>
      </x:c>
      <x:c r="F2538" s="24" t="str">
        <x:v>PhotoFusion X Extra Dark Cinza</x:v>
      </x:c>
      <x:c r="G2538" s="24" t="str">
        <x:v>1.67</x:v>
      </x:c>
      <x:c r="H2538" s="24" t="str">
        <x:v>1.67</x:v>
      </x:c>
      <x:c r="I2538" s="24" t="str">
        <x:v>DuraVision Gold UV</x:v>
      </x:c>
      <x:c r="J2538" s="40" t="n">
        <x:v>8840</x:v>
      </x:c>
      <x:c r="K2538" s="24" t="str">
        <x:v>-10.00 a +6.00</x:v>
      </x:c>
      <x:c r="L2538" s="24" t="str">
        <x:v>-6.00</x:v>
      </x:c>
      <x:c r="M2538" s="24" t="str">
        <x:v>0.75 a 3.00</x:v>
      </x:c>
      <x:c r="N2538" s="24" t="str">
        <x:v>70</x:v>
      </x:c>
      <x:c r="O2538" s="24"/>
      <x:c r="P2538" s="24"/>
      <x:c r="Q2538" s="24" t="str">
        <x:v>DISPONÍVEL</x:v>
      </x:c>
      <x:c r="R2538" s="24" t="str">
        <x:v>Programa de Parcerias ZEISS</x:v>
      </x:c>
      <x:c r="S2538" s="24" t="n">
        <x:v>41</x:v>
      </x:c>
      <x:c r="T2538" s="24" t="str">
        <x:v>tabela_zeiss.pdf</x:v>
      </x:c>
      <x:c r="U2538" s="24" t="str">
        <x:v>ZEISS|Progressiva|Surfaçada|SmartLife Essential|PhotoFusion X Extra Dark Cinza|1.67|1.67|DuraVision Gold UV|-10.00 a +6.00|-6.00|0.75 a 3.00|70|||41</x:v>
      </x:c>
    </x:row>
    <x:row r="2539">
      <x:c r="A2539" s="24" t="str">
        <x:v>ZS-67D0A24606BF</x:v>
      </x:c>
      <x:c r="B2539" s="24" t="str">
        <x:v>ZEISS</x:v>
      </x:c>
      <x:c r="C2539" s="24" t="str">
        <x:v>Progressiva</x:v>
      </x:c>
      <x:c r="D2539" s="24" t="str">
        <x:v>Surfaçada</x:v>
      </x:c>
      <x:c r="E2539" s="24" t="str">
        <x:v>SmartLife Essential</x:v>
      </x:c>
      <x:c r="F2539" s="24" t="str">
        <x:v>PhotoFusion X Extra Dark Cinza</x:v>
      </x:c>
      <x:c r="G2539" s="24" t="str">
        <x:v>1.67</x:v>
      </x:c>
      <x:c r="H2539" s="24" t="str">
        <x:v>1.67</x:v>
      </x:c>
      <x:c r="I2539" s="24" t="str">
        <x:v>DuraVision Platinum UV</x:v>
      </x:c>
      <x:c r="J2539" s="40" t="n">
        <x:v>8700</x:v>
      </x:c>
      <x:c r="K2539" s="24" t="str">
        <x:v>-10.00 a +6.00</x:v>
      </x:c>
      <x:c r="L2539" s="24" t="str">
        <x:v>-6.00</x:v>
      </x:c>
      <x:c r="M2539" s="24" t="str">
        <x:v>0.75 a 3.00</x:v>
      </x:c>
      <x:c r="N2539" s="24" t="str">
        <x:v>70</x:v>
      </x:c>
      <x:c r="O2539" s="24"/>
      <x:c r="P2539" s="24"/>
      <x:c r="Q2539" s="24" t="str">
        <x:v>DISPONÍVEL</x:v>
      </x:c>
      <x:c r="R2539" s="24" t="str">
        <x:v>Programa de Parcerias ZEISS</x:v>
      </x:c>
      <x:c r="S2539" s="24" t="n">
        <x:v>41</x:v>
      </x:c>
      <x:c r="T2539" s="24" t="str">
        <x:v>tabela_zeiss.pdf</x:v>
      </x:c>
      <x:c r="U2539" s="24" t="str">
        <x:v>ZEISS|Progressiva|Surfaçada|SmartLife Essential|PhotoFusion X Extra Dark Cinza|1.67|1.67|DuraVision Platinum UV|-10.00 a +6.00|-6.00|0.75 a 3.00|70|||41</x:v>
      </x:c>
    </x:row>
    <x:row r="2540">
      <x:c r="A2540" s="24" t="str">
        <x:v>ZS-6B00125BE704</x:v>
      </x:c>
      <x:c r="B2540" s="24" t="str">
        <x:v>ZEISS</x:v>
      </x:c>
      <x:c r="C2540" s="24" t="str">
        <x:v>Progressiva</x:v>
      </x:c>
      <x:c r="D2540" s="24" t="str">
        <x:v>Surfaçada</x:v>
      </x:c>
      <x:c r="E2540" s="24" t="str">
        <x:v>SmartLife Essential</x:v>
      </x:c>
      <x:c r="F2540" s="24" t="str">
        <x:v>PhotoFusion X Extra Dark Cinza</x:v>
      </x:c>
      <x:c r="G2540" s="24" t="str">
        <x:v>1.67</x:v>
      </x:c>
      <x:c r="H2540" s="24" t="str">
        <x:v>1.67</x:v>
      </x:c>
      <x:c r="I2540" s="24" t="str">
        <x:v>DuraVision Silver UV</x:v>
      </x:c>
      <x:c r="J2540" s="40" t="n">
        <x:v>8440</x:v>
      </x:c>
      <x:c r="K2540" s="24" t="str">
        <x:v>-10.00 a +6.00</x:v>
      </x:c>
      <x:c r="L2540" s="24" t="str">
        <x:v>-6.00</x:v>
      </x:c>
      <x:c r="M2540" s="24" t="str">
        <x:v>0.75 a 3.00</x:v>
      </x:c>
      <x:c r="N2540" s="24" t="str">
        <x:v>70</x:v>
      </x:c>
      <x:c r="O2540" s="24"/>
      <x:c r="P2540" s="24"/>
      <x:c r="Q2540" s="24" t="str">
        <x:v>DISPONÍVEL</x:v>
      </x:c>
      <x:c r="R2540" s="24" t="str">
        <x:v>Programa de Parcerias ZEISS</x:v>
      </x:c>
      <x:c r="S2540" s="24" t="n">
        <x:v>41</x:v>
      </x:c>
      <x:c r="T2540" s="24" t="str">
        <x:v>tabela_zeiss.pdf</x:v>
      </x:c>
      <x:c r="U2540" s="24" t="str">
        <x:v>ZEISS|Progressiva|Surfaçada|SmartLife Essential|PhotoFusion X Extra Dark Cinza|1.67|1.67|DuraVision Silver UV|-10.00 a +6.00|-6.00|0.75 a 3.00|70|||41</x:v>
      </x:c>
    </x:row>
    <x:row r="2541">
      <x:c r="A2541" s="24" t="str">
        <x:v>ZS-99E7E8BE9283</x:v>
      </x:c>
      <x:c r="B2541" s="24" t="str">
        <x:v>ZEISS</x:v>
      </x:c>
      <x:c r="C2541" s="24" t="str">
        <x:v>Progressiva</x:v>
      </x:c>
      <x:c r="D2541" s="24" t="str">
        <x:v>Surfaçada</x:v>
      </x:c>
      <x:c r="E2541" s="24" t="str">
        <x:v>SmartLife Essential</x:v>
      </x:c>
      <x:c r="F2541" s="24" t="str">
        <x:v>PhotoFusion X Extra Dark Cinza</x:v>
      </x:c>
      <x:c r="G2541" s="24" t="str">
        <x:v>1.67</x:v>
      </x:c>
      <x:c r="H2541" s="24" t="str">
        <x:v>1.67</x:v>
      </x:c>
      <x:c r="I2541" s="24" t="str">
        <x:v>DuraVision Chrome UV</x:v>
      </x:c>
      <x:c r="J2541" s="40" t="n">
        <x:v>7950</x:v>
      </x:c>
      <x:c r="K2541" s="24" t="str">
        <x:v>-10.00 a +6.00</x:v>
      </x:c>
      <x:c r="L2541" s="24" t="str">
        <x:v>-6.00</x:v>
      </x:c>
      <x:c r="M2541" s="24" t="str">
        <x:v>0.75 a 3.00</x:v>
      </x:c>
      <x:c r="N2541" s="24" t="str">
        <x:v>70</x:v>
      </x:c>
      <x:c r="O2541" s="24"/>
      <x:c r="P2541" s="24"/>
      <x:c r="Q2541" s="24" t="str">
        <x:v>DISPONÍVEL</x:v>
      </x:c>
      <x:c r="R2541" s="24" t="str">
        <x:v>Programa de Parcerias ZEISS</x:v>
      </x:c>
      <x:c r="S2541" s="24" t="n">
        <x:v>41</x:v>
      </x:c>
      <x:c r="T2541" s="24" t="str">
        <x:v>tabela_zeiss.pdf</x:v>
      </x:c>
      <x:c r="U2541" s="24" t="str">
        <x:v>ZEISS|Progressiva|Surfaçada|SmartLife Essential|PhotoFusion X Extra Dark Cinza|1.67|1.67|DuraVision Chrome UV|-10.00 a +6.00|-6.00|0.75 a 3.00|70|||41</x:v>
      </x:c>
    </x:row>
    <x:row r="2542">
      <x:c r="A2542" s="24" t="str">
        <x:v>ZS-3A9C8DD0716C</x:v>
      </x:c>
      <x:c r="B2542" s="24" t="str">
        <x:v>ZEISS</x:v>
      </x:c>
      <x:c r="C2542" s="24" t="str">
        <x:v>Progressiva</x:v>
      </x:c>
      <x:c r="D2542" s="24" t="str">
        <x:v>Surfaçada</x:v>
      </x:c>
      <x:c r="E2542" s="24" t="str">
        <x:v>SmartLife Essential</x:v>
      </x:c>
      <x:c r="F2542" s="24" t="str">
        <x:v>Polarizada</x:v>
      </x:c>
      <x:c r="G2542" s="24" t="str">
        <x:v>1.5</x:v>
      </x:c>
      <x:c r="H2542" s="24" t="str">
        <x:v>1.50</x:v>
      </x:c>
      <x:c r="I2542" s="24" t="str">
        <x:v>DuraVision Gold UV</x:v>
      </x:c>
      <x:c r="J2542" s="40" t="n">
        <x:v>5320</x:v>
      </x:c>
      <x:c r="K2542" s="24" t="str">
        <x:v>-6.00 a +6.00</x:v>
      </x:c>
      <x:c r="L2542" s="24" t="str">
        <x:v>-4.00</x:v>
      </x:c>
      <x:c r="M2542" s="24" t="str">
        <x:v>0.75 a 3.50</x:v>
      </x:c>
      <x:c r="N2542" s="24" t="str">
        <x:v>75</x:v>
      </x:c>
      <x:c r="O2542" s="24"/>
      <x:c r="P2542" s="24"/>
      <x:c r="Q2542" s="24" t="str">
        <x:v>DISPONÍVEL</x:v>
      </x:c>
      <x:c r="R2542" s="24"/>
      <x:c r="S2542" s="24" t="n">
        <x:v>41</x:v>
      </x:c>
      <x:c r="T2542" s="24" t="str">
        <x:v>tabela_zeiss.pdf</x:v>
      </x:c>
      <x:c r="U2542" s="24" t="str">
        <x:v>ZEISS|Progressiva|Surfaçada|SmartLife Essential|Polarizada|1.5|1.50|DuraVision Gold UV|-6.00 a +6.00|-4.00|0.75 a 3.50|75|||41</x:v>
      </x:c>
    </x:row>
    <x:row r="2543">
      <x:c r="A2543" s="24" t="str">
        <x:v>ZS-7ACF376E14B1</x:v>
      </x:c>
      <x:c r="B2543" s="24" t="str">
        <x:v>ZEISS</x:v>
      </x:c>
      <x:c r="C2543" s="24" t="str">
        <x:v>Progressiva</x:v>
      </x:c>
      <x:c r="D2543" s="24" t="str">
        <x:v>Surfaçada</x:v>
      </x:c>
      <x:c r="E2543" s="24" t="str">
        <x:v>SmartLife Essential</x:v>
      </x:c>
      <x:c r="F2543" s="24" t="str">
        <x:v>Polarizada</x:v>
      </x:c>
      <x:c r="G2543" s="24" t="str">
        <x:v>1.5</x:v>
      </x:c>
      <x:c r="H2543" s="24" t="str">
        <x:v>1.50</x:v>
      </x:c>
      <x:c r="I2543" s="24" t="str">
        <x:v>DuraVision Platinum UV</x:v>
      </x:c>
      <x:c r="J2543" s="40" t="n">
        <x:v>5180</x:v>
      </x:c>
      <x:c r="K2543" s="24" t="str">
        <x:v>-6.00 a +6.00</x:v>
      </x:c>
      <x:c r="L2543" s="24" t="str">
        <x:v>-4.00</x:v>
      </x:c>
      <x:c r="M2543" s="24" t="str">
        <x:v>0.75 a 3.50</x:v>
      </x:c>
      <x:c r="N2543" s="24" t="str">
        <x:v>75</x:v>
      </x:c>
      <x:c r="O2543" s="24"/>
      <x:c r="P2543" s="24"/>
      <x:c r="Q2543" s="24" t="str">
        <x:v>DISPONÍVEL</x:v>
      </x:c>
      <x:c r="R2543" s="24"/>
      <x:c r="S2543" s="24" t="n">
        <x:v>41</x:v>
      </x:c>
      <x:c r="T2543" s="24" t="str">
        <x:v>tabela_zeiss.pdf</x:v>
      </x:c>
      <x:c r="U2543" s="24" t="str">
        <x:v>ZEISS|Progressiva|Surfaçada|SmartLife Essential|Polarizada|1.5|1.50|DuraVision Platinum UV|-6.00 a +6.00|-4.00|0.75 a 3.50|75|||41</x:v>
      </x:c>
    </x:row>
    <x:row r="2544">
      <x:c r="A2544" s="24" t="str">
        <x:v>ZS-3C5D6BEE0C03</x:v>
      </x:c>
      <x:c r="B2544" s="24" t="str">
        <x:v>ZEISS</x:v>
      </x:c>
      <x:c r="C2544" s="24" t="str">
        <x:v>Progressiva</x:v>
      </x:c>
      <x:c r="D2544" s="24" t="str">
        <x:v>Surfaçada</x:v>
      </x:c>
      <x:c r="E2544" s="24" t="str">
        <x:v>SmartLife Essential</x:v>
      </x:c>
      <x:c r="F2544" s="24" t="str">
        <x:v>Polarizada</x:v>
      </x:c>
      <x:c r="G2544" s="24" t="str">
        <x:v>1.5</x:v>
      </x:c>
      <x:c r="H2544" s="24" t="str">
        <x:v>1.50</x:v>
      </x:c>
      <x:c r="I2544" s="24" t="str">
        <x:v>DuraVision Silver UV</x:v>
      </x:c>
      <x:c r="J2544" s="40" t="n">
        <x:v>4920</x:v>
      </x:c>
      <x:c r="K2544" s="24" t="str">
        <x:v>-6.00 a +6.00</x:v>
      </x:c>
      <x:c r="L2544" s="24" t="str">
        <x:v>-4.00</x:v>
      </x:c>
      <x:c r="M2544" s="24" t="str">
        <x:v>0.75 a 3.50</x:v>
      </x:c>
      <x:c r="N2544" s="24" t="str">
        <x:v>75</x:v>
      </x:c>
      <x:c r="O2544" s="24"/>
      <x:c r="P2544" s="24"/>
      <x:c r="Q2544" s="24" t="str">
        <x:v>DISPONÍVEL</x:v>
      </x:c>
      <x:c r="R2544" s="24"/>
      <x:c r="S2544" s="24" t="n">
        <x:v>41</x:v>
      </x:c>
      <x:c r="T2544" s="24" t="str">
        <x:v>tabela_zeiss.pdf</x:v>
      </x:c>
      <x:c r="U2544" s="24" t="str">
        <x:v>ZEISS|Progressiva|Surfaçada|SmartLife Essential|Polarizada|1.5|1.50|DuraVision Silver UV|-6.00 a +6.00|-4.00|0.75 a 3.50|75|||41</x:v>
      </x:c>
    </x:row>
    <x:row r="2545">
      <x:c r="A2545" s="24" t="str">
        <x:v>ZS-E0127D17E935</x:v>
      </x:c>
      <x:c r="B2545" s="24" t="str">
        <x:v>ZEISS</x:v>
      </x:c>
      <x:c r="C2545" s="24" t="str">
        <x:v>Progressiva</x:v>
      </x:c>
      <x:c r="D2545" s="24" t="str">
        <x:v>Surfaçada</x:v>
      </x:c>
      <x:c r="E2545" s="24" t="str">
        <x:v>SmartLife Essential</x:v>
      </x:c>
      <x:c r="F2545" s="24" t="str">
        <x:v>Polarizada</x:v>
      </x:c>
      <x:c r="G2545" s="24" t="str">
        <x:v>1.5</x:v>
      </x:c>
      <x:c r="H2545" s="24" t="str">
        <x:v>1.50</x:v>
      </x:c>
      <x:c r="I2545" s="24" t="str">
        <x:v>DuraVision Chrome UV</x:v>
      </x:c>
      <x:c r="J2545" s="40" t="n">
        <x:v>4430</x:v>
      </x:c>
      <x:c r="K2545" s="24" t="str">
        <x:v>-6.00 a +6.00</x:v>
      </x:c>
      <x:c r="L2545" s="24" t="str">
        <x:v>-4.00</x:v>
      </x:c>
      <x:c r="M2545" s="24" t="str">
        <x:v>0.75 a 3.50</x:v>
      </x:c>
      <x:c r="N2545" s="24" t="str">
        <x:v>75</x:v>
      </x:c>
      <x:c r="O2545" s="24"/>
      <x:c r="P2545" s="24"/>
      <x:c r="Q2545" s="24" t="str">
        <x:v>DISPONÍVEL</x:v>
      </x:c>
      <x:c r="R2545" s="24"/>
      <x:c r="S2545" s="24" t="n">
        <x:v>41</x:v>
      </x:c>
      <x:c r="T2545" s="24" t="str">
        <x:v>tabela_zeiss.pdf</x:v>
      </x:c>
      <x:c r="U2545" s="24" t="str">
        <x:v>ZEISS|Progressiva|Surfaçada|SmartLife Essential|Polarizada|1.5|1.50|DuraVision Chrome UV|-6.00 a +6.00|-4.00|0.75 a 3.50|75|||41</x:v>
      </x:c>
    </x:row>
    <x:row r="2546">
      <x:c r="A2546" s="24" t="str">
        <x:v>ZS-835EF95E52B0</x:v>
      </x:c>
      <x:c r="B2546" s="24" t="str">
        <x:v>ZEISS</x:v>
      </x:c>
      <x:c r="C2546" s="24" t="str">
        <x:v>Progressiva</x:v>
      </x:c>
      <x:c r="D2546" s="24" t="str">
        <x:v>Surfaçada</x:v>
      </x:c>
      <x:c r="E2546" s="24" t="str">
        <x:v>SmartLife Essential</x:v>
      </x:c>
      <x:c r="F2546" s="24" t="str">
        <x:v>Polarizada</x:v>
      </x:c>
      <x:c r="G2546" s="24" t="str">
        <x:v>1.5</x:v>
      </x:c>
      <x:c r="H2546" s="24" t="str">
        <x:v>1.50</x:v>
      </x:c>
      <x:c r="I2546" s="24" t="str">
        <x:v>Sem AR</x:v>
      </x:c>
      <x:c r="J2546" s="40" t="n">
        <x:v>4030</x:v>
      </x:c>
      <x:c r="K2546" s="24" t="str">
        <x:v>-6.00 a +6.00</x:v>
      </x:c>
      <x:c r="L2546" s="24" t="str">
        <x:v>-4.00</x:v>
      </x:c>
      <x:c r="M2546" s="24" t="str">
        <x:v>0.75 a 3.50</x:v>
      </x:c>
      <x:c r="N2546" s="24" t="str">
        <x:v>75</x:v>
      </x:c>
      <x:c r="O2546" s="24"/>
      <x:c r="P2546" s="24"/>
      <x:c r="Q2546" s="24" t="str">
        <x:v>DISPONÍVEL</x:v>
      </x:c>
      <x:c r="R2546" s="24"/>
      <x:c r="S2546" s="24" t="n">
        <x:v>41</x:v>
      </x:c>
      <x:c r="T2546" s="24" t="str">
        <x:v>tabela_zeiss.pdf</x:v>
      </x:c>
      <x:c r="U2546" s="24" t="str">
        <x:v>ZEISS|Progressiva|Surfaçada|SmartLife Essential|Polarizada|1.5|1.50|Sem AR|-6.00 a +6.00|-4.00|0.75 a 3.50|75|||41</x:v>
      </x:c>
    </x:row>
    <x:row r="2547">
      <x:c r="A2547" s="24" t="str">
        <x:v>ZS-113936B0CBE4</x:v>
      </x:c>
      <x:c r="B2547" s="24" t="str">
        <x:v>ZEISS</x:v>
      </x:c>
      <x:c r="C2547" s="24" t="str">
        <x:v>Progressiva</x:v>
      </x:c>
      <x:c r="D2547" s="24" t="str">
        <x:v>Surfaçada</x:v>
      </x:c>
      <x:c r="E2547" s="24" t="str">
        <x:v>SmartLife Essential</x:v>
      </x:c>
      <x:c r="F2547" s="24" t="str">
        <x:v>Polarizada</x:v>
      </x:c>
      <x:c r="G2547" s="24" t="str">
        <x:v>1.6</x:v>
      </x:c>
      <x:c r="H2547" s="24" t="str">
        <x:v>1.60</x:v>
      </x:c>
      <x:c r="I2547" s="24" t="str">
        <x:v>DuraVision Gold UV</x:v>
      </x:c>
      <x:c r="J2547" s="40" t="n">
        <x:v>6570</x:v>
      </x:c>
      <x:c r="K2547" s="24" t="str">
        <x:v>-8.50 a +6.00</x:v>
      </x:c>
      <x:c r="L2547" s="24" t="str">
        <x:v>-4.00</x:v>
      </x:c>
      <x:c r="M2547" s="24" t="str">
        <x:v>0.75 a 3.50</x:v>
      </x:c>
      <x:c r="N2547" s="24" t="str">
        <x:v>70</x:v>
      </x:c>
      <x:c r="O2547" s="24"/>
      <x:c r="P2547" s="24"/>
      <x:c r="Q2547" s="24" t="str">
        <x:v>DISPONÍVEL</x:v>
      </x:c>
      <x:c r="R2547" s="24"/>
      <x:c r="S2547" s="24" t="n">
        <x:v>41</x:v>
      </x:c>
      <x:c r="T2547" s="24" t="str">
        <x:v>tabela_zeiss.pdf</x:v>
      </x:c>
      <x:c r="U2547" s="24" t="str">
        <x:v>ZEISS|Progressiva|Surfaçada|SmartLife Essential|Polarizada|1.6|1.60|DuraVision Gold UV|-8.50 a +6.00|-4.00|0.75 a 3.50|70|||41</x:v>
      </x:c>
    </x:row>
    <x:row r="2548">
      <x:c r="A2548" s="24" t="str">
        <x:v>ZS-4CC30DBCB56B</x:v>
      </x:c>
      <x:c r="B2548" s="24" t="str">
        <x:v>ZEISS</x:v>
      </x:c>
      <x:c r="C2548" s="24" t="str">
        <x:v>Progressiva</x:v>
      </x:c>
      <x:c r="D2548" s="24" t="str">
        <x:v>Surfaçada</x:v>
      </x:c>
      <x:c r="E2548" s="24" t="str">
        <x:v>SmartLife Essential</x:v>
      </x:c>
      <x:c r="F2548" s="24" t="str">
        <x:v>Polarizada</x:v>
      </x:c>
      <x:c r="G2548" s="24" t="str">
        <x:v>1.6</x:v>
      </x:c>
      <x:c r="H2548" s="24" t="str">
        <x:v>1.60</x:v>
      </x:c>
      <x:c r="I2548" s="24" t="str">
        <x:v>DuraVision Platinum UV</x:v>
      </x:c>
      <x:c r="J2548" s="40" t="n">
        <x:v>6430</x:v>
      </x:c>
      <x:c r="K2548" s="24" t="str">
        <x:v>-8.50 a +6.00</x:v>
      </x:c>
      <x:c r="L2548" s="24" t="str">
        <x:v>-4.00</x:v>
      </x:c>
      <x:c r="M2548" s="24" t="str">
        <x:v>0.75 a 3.50</x:v>
      </x:c>
      <x:c r="N2548" s="24" t="str">
        <x:v>70</x:v>
      </x:c>
      <x:c r="O2548" s="24"/>
      <x:c r="P2548" s="24"/>
      <x:c r="Q2548" s="24" t="str">
        <x:v>DISPONÍVEL</x:v>
      </x:c>
      <x:c r="R2548" s="24"/>
      <x:c r="S2548" s="24" t="n">
        <x:v>41</x:v>
      </x:c>
      <x:c r="T2548" s="24" t="str">
        <x:v>tabela_zeiss.pdf</x:v>
      </x:c>
      <x:c r="U2548" s="24" t="str">
        <x:v>ZEISS|Progressiva|Surfaçada|SmartLife Essential|Polarizada|1.6|1.60|DuraVision Platinum UV|-8.50 a +6.00|-4.00|0.75 a 3.50|70|||41</x:v>
      </x:c>
    </x:row>
    <x:row r="2549">
      <x:c r="A2549" s="24" t="str">
        <x:v>ZS-91B362B3D804</x:v>
      </x:c>
      <x:c r="B2549" s="24" t="str">
        <x:v>ZEISS</x:v>
      </x:c>
      <x:c r="C2549" s="24" t="str">
        <x:v>Progressiva</x:v>
      </x:c>
      <x:c r="D2549" s="24" t="str">
        <x:v>Surfaçada</x:v>
      </x:c>
      <x:c r="E2549" s="24" t="str">
        <x:v>SmartLife Essential</x:v>
      </x:c>
      <x:c r="F2549" s="24" t="str">
        <x:v>Polarizada</x:v>
      </x:c>
      <x:c r="G2549" s="24" t="str">
        <x:v>1.6</x:v>
      </x:c>
      <x:c r="H2549" s="24" t="str">
        <x:v>1.60</x:v>
      </x:c>
      <x:c r="I2549" s="24" t="str">
        <x:v>DuraVision Silver UV</x:v>
      </x:c>
      <x:c r="J2549" s="40" t="n">
        <x:v>6170</x:v>
      </x:c>
      <x:c r="K2549" s="24" t="str">
        <x:v>-8.50 a +6.00</x:v>
      </x:c>
      <x:c r="L2549" s="24" t="str">
        <x:v>-4.00</x:v>
      </x:c>
      <x:c r="M2549" s="24" t="str">
        <x:v>0.75 a 3.50</x:v>
      </x:c>
      <x:c r="N2549" s="24" t="str">
        <x:v>70</x:v>
      </x:c>
      <x:c r="O2549" s="24"/>
      <x:c r="P2549" s="24"/>
      <x:c r="Q2549" s="24" t="str">
        <x:v>DISPONÍVEL</x:v>
      </x:c>
      <x:c r="R2549" s="24"/>
      <x:c r="S2549" s="24" t="n">
        <x:v>41</x:v>
      </x:c>
      <x:c r="T2549" s="24" t="str">
        <x:v>tabela_zeiss.pdf</x:v>
      </x:c>
      <x:c r="U2549" s="24" t="str">
        <x:v>ZEISS|Progressiva|Surfaçada|SmartLife Essential|Polarizada|1.6|1.60|DuraVision Silver UV|-8.50 a +6.00|-4.00|0.75 a 3.50|70|||41</x:v>
      </x:c>
    </x:row>
    <x:row r="2550">
      <x:c r="A2550" s="24" t="str">
        <x:v>ZS-1E45F1D0C0D8</x:v>
      </x:c>
      <x:c r="B2550" s="24" t="str">
        <x:v>ZEISS</x:v>
      </x:c>
      <x:c r="C2550" s="24" t="str">
        <x:v>Progressiva</x:v>
      </x:c>
      <x:c r="D2550" s="24" t="str">
        <x:v>Surfaçada</x:v>
      </x:c>
      <x:c r="E2550" s="24" t="str">
        <x:v>SmartLife Essential</x:v>
      </x:c>
      <x:c r="F2550" s="24" t="str">
        <x:v>Polarizada</x:v>
      </x:c>
      <x:c r="G2550" s="24" t="str">
        <x:v>1.6</x:v>
      </x:c>
      <x:c r="H2550" s="24" t="str">
        <x:v>1.60</x:v>
      </x:c>
      <x:c r="I2550" s="24" t="str">
        <x:v>DuraVision Chrome UV</x:v>
      </x:c>
      <x:c r="J2550" s="40" t="n">
        <x:v>5680</x:v>
      </x:c>
      <x:c r="K2550" s="24" t="str">
        <x:v>-8.50 a +6.00</x:v>
      </x:c>
      <x:c r="L2550" s="24" t="str">
        <x:v>-4.00</x:v>
      </x:c>
      <x:c r="M2550" s="24" t="str">
        <x:v>0.75 a 3.50</x:v>
      </x:c>
      <x:c r="N2550" s="24" t="str">
        <x:v>70</x:v>
      </x:c>
      <x:c r="O2550" s="24"/>
      <x:c r="P2550" s="24"/>
      <x:c r="Q2550" s="24" t="str">
        <x:v>DISPONÍVEL</x:v>
      </x:c>
      <x:c r="R2550" s="24"/>
      <x:c r="S2550" s="24" t="n">
        <x:v>41</x:v>
      </x:c>
      <x:c r="T2550" s="24" t="str">
        <x:v>tabela_zeiss.pdf</x:v>
      </x:c>
      <x:c r="U2550" s="24" t="str">
        <x:v>ZEISS|Progressiva|Surfaçada|SmartLife Essential|Polarizada|1.6|1.60|DuraVision Chrome UV|-8.50 a +6.00|-4.00|0.75 a 3.50|70|||41</x:v>
      </x:c>
    </x:row>
    <x:row r="2551">
      <x:c r="A2551" s="24" t="str">
        <x:v>ZS-2A8B07ECD668</x:v>
      </x:c>
      <x:c r="B2551" s="24" t="str">
        <x:v>ZEISS</x:v>
      </x:c>
      <x:c r="C2551" s="24" t="str">
        <x:v>Progressiva</x:v>
      </x:c>
      <x:c r="D2551" s="24" t="str">
        <x:v>Surfaçada</x:v>
      </x:c>
      <x:c r="E2551" s="24" t="str">
        <x:v>SmartLife Essential</x:v>
      </x:c>
      <x:c r="F2551" s="24" t="str">
        <x:v>Polarizada</x:v>
      </x:c>
      <x:c r="G2551" s="24" t="str">
        <x:v>1.6</x:v>
      </x:c>
      <x:c r="H2551" s="24" t="str">
        <x:v>1.60</x:v>
      </x:c>
      <x:c r="I2551" s="24" t="str">
        <x:v>Sem AR</x:v>
      </x:c>
      <x:c r="J2551" s="40" t="n">
        <x:v>5280</x:v>
      </x:c>
      <x:c r="K2551" s="24" t="str">
        <x:v>-8.50 a +6.00</x:v>
      </x:c>
      <x:c r="L2551" s="24" t="str">
        <x:v>-4.00</x:v>
      </x:c>
      <x:c r="M2551" s="24" t="str">
        <x:v>0.75 a 3.50</x:v>
      </x:c>
      <x:c r="N2551" s="24" t="str">
        <x:v>70</x:v>
      </x:c>
      <x:c r="O2551" s="24"/>
      <x:c r="P2551" s="24"/>
      <x:c r="Q2551" s="24" t="str">
        <x:v>DISPONÍVEL</x:v>
      </x:c>
      <x:c r="R2551" s="24"/>
      <x:c r="S2551" s="24" t="n">
        <x:v>41</x:v>
      </x:c>
      <x:c r="T2551" s="24" t="str">
        <x:v>tabela_zeiss.pdf</x:v>
      </x:c>
      <x:c r="U2551" s="24" t="str">
        <x:v>ZEISS|Progressiva|Surfaçada|SmartLife Essential|Polarizada|1.6|1.60|Sem AR|-8.50 a +6.00|-4.00|0.75 a 3.50|70|||41</x:v>
      </x:c>
    </x:row>
    <x:row r="2552">
      <x:c r="A2552" s="24" t="str">
        <x:v>ZS-194651A71191</x:v>
      </x:c>
      <x:c r="B2552" s="24" t="str">
        <x:v>ZEISS</x:v>
      </x:c>
      <x:c r="C2552" s="24" t="str">
        <x:v>Progressiva</x:v>
      </x:c>
      <x:c r="D2552" s="24" t="str">
        <x:v>Surfaçada</x:v>
      </x:c>
      <x:c r="E2552" s="24" t="str">
        <x:v>Light 2 3Dv</x:v>
      </x:c>
      <x:c r="F2552" s="24"/>
      <x:c r="G2552" s="24" t="str">
        <x:v>1.5</x:v>
      </x:c>
      <x:c r="H2552" s="24" t="str">
        <x:v>1.50</x:v>
      </x:c>
      <x:c r="I2552" s="24" t="str">
        <x:v>DuraVision Gold UV</x:v>
      </x:c>
      <x:c r="J2552" s="40" t="n">
        <x:v>4089</x:v>
      </x:c>
      <x:c r="K2552" s="24" t="str">
        <x:v>-6.00 a +4.00</x:v>
      </x:c>
      <x:c r="L2552" s="24" t="str">
        <x:v>-4.00</x:v>
      </x:c>
      <x:c r="M2552" s="24" t="str">
        <x:v>0.75 a 3.50</x:v>
      </x:c>
      <x:c r="N2552" s="24" t="str">
        <x:v>75</x:v>
      </x:c>
      <x:c r="O2552" s="24"/>
      <x:c r="P2552" s="24"/>
      <x:c r="Q2552" s="24" t="str">
        <x:v>DISPONÍVEL</x:v>
      </x:c>
      <x:c r="R2552" s="24"/>
      <x:c r="S2552" s="24" t="n">
        <x:v>43</x:v>
      </x:c>
      <x:c r="T2552" s="24" t="str">
        <x:v>tabela_zeiss.pdf</x:v>
      </x:c>
      <x:c r="U2552" s="24" t="str">
        <x:v>ZEISS|Progressiva|Surfaçada|Light 2 3Dv||1.5|1.50|DuraVision Gold UV|-6.00 a +4.00|-4.00|0.75 a 3.50|75|||43</x:v>
      </x:c>
    </x:row>
    <x:row r="2553">
      <x:c r="A2553" s="24" t="str">
        <x:v>ZS-914EC0FD88ED</x:v>
      </x:c>
      <x:c r="B2553" s="24" t="str">
        <x:v>ZEISS</x:v>
      </x:c>
      <x:c r="C2553" s="24" t="str">
        <x:v>Progressiva</x:v>
      </x:c>
      <x:c r="D2553" s="24" t="str">
        <x:v>Surfaçada</x:v>
      </x:c>
      <x:c r="E2553" s="24" t="str">
        <x:v>Light 2 3Dv</x:v>
      </x:c>
      <x:c r="F2553" s="24"/>
      <x:c r="G2553" s="24" t="str">
        <x:v>1.5</x:v>
      </x:c>
      <x:c r="H2553" s="24" t="str">
        <x:v>1.50</x:v>
      </x:c>
      <x:c r="I2553" s="24" t="str">
        <x:v>DURAVISION® ANTIVÍRUS PLATINUM UV</x:v>
      </x:c>
      <x:c r="J2553" s="40" t="n">
        <x:v>3949</x:v>
      </x:c>
      <x:c r="K2553" s="24" t="str">
        <x:v>-6.00 a +4.00</x:v>
      </x:c>
      <x:c r="L2553" s="24" t="str">
        <x:v>-4.00</x:v>
      </x:c>
      <x:c r="M2553" s="24" t="str">
        <x:v>0.75 a 3.50</x:v>
      </x:c>
      <x:c r="N2553" s="24" t="str">
        <x:v>75</x:v>
      </x:c>
      <x:c r="O2553" s="24"/>
      <x:c r="P2553" s="24"/>
      <x:c r="Q2553" s="24" t="str">
        <x:v>DISPONÍVEL</x:v>
      </x:c>
      <x:c r="R2553" s="24"/>
      <x:c r="S2553" s="24" t="n">
        <x:v>43</x:v>
      </x:c>
      <x:c r="T2553" s="24" t="str">
        <x:v>tabela_zeiss.pdf</x:v>
      </x:c>
      <x:c r="U2553" s="24" t="str">
        <x:v>ZEISS|Progressiva|Surfaçada|Light 2 3Dv||1.5|1.50|DURAVISION® ANTIVÍRUS PLATINUM UV|-6.00 a +4.00|-4.00|0.75 a 3.50|75|||43</x:v>
      </x:c>
    </x:row>
    <x:row r="2554">
      <x:c r="A2554" s="24" t="str">
        <x:v>ZS-53E43C4467C6</x:v>
      </x:c>
      <x:c r="B2554" s="24" t="str">
        <x:v>ZEISS</x:v>
      </x:c>
      <x:c r="C2554" s="24" t="str">
        <x:v>Progressiva</x:v>
      </x:c>
      <x:c r="D2554" s="24" t="str">
        <x:v>Surfaçada</x:v>
      </x:c>
      <x:c r="E2554" s="24" t="str">
        <x:v>Light 2 3Dv</x:v>
      </x:c>
      <x:c r="F2554" s="24"/>
      <x:c r="G2554" s="24" t="str">
        <x:v>1.5</x:v>
      </x:c>
      <x:c r="H2554" s="24" t="str">
        <x:v>1.50</x:v>
      </x:c>
      <x:c r="I2554" s="24" t="str">
        <x:v>DuraVision Platinum UV</x:v>
      </x:c>
      <x:c r="J2554" s="40" t="n">
        <x:v>3949</x:v>
      </x:c>
      <x:c r="K2554" s="24" t="str">
        <x:v>-6.00 a +4.00</x:v>
      </x:c>
      <x:c r="L2554" s="24" t="str">
        <x:v>-4.00</x:v>
      </x:c>
      <x:c r="M2554" s="24" t="str">
        <x:v>0.75 a 3.50</x:v>
      </x:c>
      <x:c r="N2554" s="24" t="str">
        <x:v>75</x:v>
      </x:c>
      <x:c r="O2554" s="24"/>
      <x:c r="P2554" s="24"/>
      <x:c r="Q2554" s="24" t="str">
        <x:v>DISPONÍVEL</x:v>
      </x:c>
      <x:c r="R2554" s="24"/>
      <x:c r="S2554" s="24" t="n">
        <x:v>43</x:v>
      </x:c>
      <x:c r="T2554" s="24" t="str">
        <x:v>tabela_zeiss.pdf</x:v>
      </x:c>
      <x:c r="U2554" s="24" t="str">
        <x:v>ZEISS|Progressiva|Surfaçada|Light 2 3Dv||1.5|1.50|DuraVision Platinum UV|-6.00 a +4.00|-4.00|0.75 a 3.50|75|||43</x:v>
      </x:c>
    </x:row>
    <x:row r="2555">
      <x:c r="A2555" s="24" t="str">
        <x:v>ZS-22183864FB34</x:v>
      </x:c>
      <x:c r="B2555" s="24" t="str">
        <x:v>ZEISS</x:v>
      </x:c>
      <x:c r="C2555" s="24" t="str">
        <x:v>Progressiva</x:v>
      </x:c>
      <x:c r="D2555" s="24" t="str">
        <x:v>Surfaçada</x:v>
      </x:c>
      <x:c r="E2555" s="24" t="str">
        <x:v>Light 2 3Dv</x:v>
      </x:c>
      <x:c r="F2555" s="24"/>
      <x:c r="G2555" s="24" t="str">
        <x:v>1.5</x:v>
      </x:c>
      <x:c r="H2555" s="24" t="str">
        <x:v>1.50</x:v>
      </x:c>
      <x:c r="I2555" s="24" t="str">
        <x:v>DuraVision Silver UV</x:v>
      </x:c>
      <x:c r="J2555" s="40" t="n">
        <x:v>3689</x:v>
      </x:c>
      <x:c r="K2555" s="24" t="str">
        <x:v>-6.00 a +4.00</x:v>
      </x:c>
      <x:c r="L2555" s="24" t="str">
        <x:v>-4.00</x:v>
      </x:c>
      <x:c r="M2555" s="24" t="str">
        <x:v>0.75 a 3.50</x:v>
      </x:c>
      <x:c r="N2555" s="24" t="str">
        <x:v>75</x:v>
      </x:c>
      <x:c r="O2555" s="24"/>
      <x:c r="P2555" s="24"/>
      <x:c r="Q2555" s="24" t="str">
        <x:v>DISPONÍVEL</x:v>
      </x:c>
      <x:c r="R2555" s="24"/>
      <x:c r="S2555" s="24" t="n">
        <x:v>43</x:v>
      </x:c>
      <x:c r="T2555" s="24" t="str">
        <x:v>tabela_zeiss.pdf</x:v>
      </x:c>
      <x:c r="U2555" s="24" t="str">
        <x:v>ZEISS|Progressiva|Surfaçada|Light 2 3Dv||1.5|1.50|DuraVision Silver UV|-6.00 a +4.00|-4.00|0.75 a 3.50|75|||43</x:v>
      </x:c>
    </x:row>
    <x:row r="2556">
      <x:c r="A2556" s="24" t="str">
        <x:v>ZS-E61773CBA41B</x:v>
      </x:c>
      <x:c r="B2556" s="24" t="str">
        <x:v>ZEISS</x:v>
      </x:c>
      <x:c r="C2556" s="24" t="str">
        <x:v>Progressiva</x:v>
      </x:c>
      <x:c r="D2556" s="24" t="str">
        <x:v>Surfaçada</x:v>
      </x:c>
      <x:c r="E2556" s="24" t="str">
        <x:v>Light 2 3Dv</x:v>
      </x:c>
      <x:c r="F2556" s="24"/>
      <x:c r="G2556" s="24" t="str">
        <x:v>1.5</x:v>
      </x:c>
      <x:c r="H2556" s="24" t="str">
        <x:v>1.50</x:v>
      </x:c>
      <x:c r="I2556" s="24" t="str">
        <x:v>DuraVision Chrome UV</x:v>
      </x:c>
      <x:c r="J2556" s="40" t="n">
        <x:v>3199</x:v>
      </x:c>
      <x:c r="K2556" s="24" t="str">
        <x:v>-6.00 a +4.00</x:v>
      </x:c>
      <x:c r="L2556" s="24" t="str">
        <x:v>-4.00</x:v>
      </x:c>
      <x:c r="M2556" s="24" t="str">
        <x:v>0.75 a 3.50</x:v>
      </x:c>
      <x:c r="N2556" s="24" t="str">
        <x:v>75</x:v>
      </x:c>
      <x:c r="O2556" s="24"/>
      <x:c r="P2556" s="24"/>
      <x:c r="Q2556" s="24" t="str">
        <x:v>DISPONÍVEL</x:v>
      </x:c>
      <x:c r="R2556" s="24"/>
      <x:c r="S2556" s="24" t="n">
        <x:v>43</x:v>
      </x:c>
      <x:c r="T2556" s="24" t="str">
        <x:v>tabela_zeiss.pdf</x:v>
      </x:c>
      <x:c r="U2556" s="24" t="str">
        <x:v>ZEISS|Progressiva|Surfaçada|Light 2 3Dv||1.5|1.50|DuraVision Chrome UV|-6.00 a +4.00|-4.00|0.75 a 3.50|75|||43</x:v>
      </x:c>
    </x:row>
    <x:row r="2557">
      <x:c r="A2557" s="24" t="str">
        <x:v>ZS-9187D473411C</x:v>
      </x:c>
      <x:c r="B2557" s="24" t="str">
        <x:v>ZEISS</x:v>
      </x:c>
      <x:c r="C2557" s="24" t="str">
        <x:v>Progressiva</x:v>
      </x:c>
      <x:c r="D2557" s="24" t="str">
        <x:v>Surfaçada</x:v>
      </x:c>
      <x:c r="E2557" s="24" t="str">
        <x:v>Light 2 3Dv</x:v>
      </x:c>
      <x:c r="F2557" s="24"/>
      <x:c r="G2557" s="24" t="str">
        <x:v>1.5</x:v>
      </x:c>
      <x:c r="H2557" s="24" t="str">
        <x:v>1.50</x:v>
      </x:c>
      <x:c r="I2557" s="24" t="str">
        <x:v>Sem AR</x:v>
      </x:c>
      <x:c r="J2557" s="40" t="n">
        <x:v>2799</x:v>
      </x:c>
      <x:c r="K2557" s="24" t="str">
        <x:v>-6.00 a +4.00</x:v>
      </x:c>
      <x:c r="L2557" s="24" t="str">
        <x:v>-4.00</x:v>
      </x:c>
      <x:c r="M2557" s="24" t="str">
        <x:v>0.75 a 3.50</x:v>
      </x:c>
      <x:c r="N2557" s="24" t="str">
        <x:v>75</x:v>
      </x:c>
      <x:c r="O2557" s="24"/>
      <x:c r="P2557" s="24"/>
      <x:c r="Q2557" s="24" t="str">
        <x:v>DISPONÍVEL</x:v>
      </x:c>
      <x:c r="R2557" s="24"/>
      <x:c r="S2557" s="24" t="n">
        <x:v>43</x:v>
      </x:c>
      <x:c r="T2557" s="24" t="str">
        <x:v>tabela_zeiss.pdf</x:v>
      </x:c>
      <x:c r="U2557" s="24" t="str">
        <x:v>ZEISS|Progressiva|Surfaçada|Light 2 3Dv||1.5|1.50|Sem AR|-6.00 a +4.00|-4.00|0.75 a 3.50|75|||43</x:v>
      </x:c>
    </x:row>
    <x:row r="2558">
      <x:c r="A2558" s="24" t="str">
        <x:v>ZS-5F3016566BFC</x:v>
      </x:c>
      <x:c r="B2558" s="24" t="str">
        <x:v>ZEISS</x:v>
      </x:c>
      <x:c r="C2558" s="24" t="str">
        <x:v>Progressiva</x:v>
      </x:c>
      <x:c r="D2558" s="24" t="str">
        <x:v>Surfaçada</x:v>
      </x:c>
      <x:c r="E2558" s="24" t="str">
        <x:v>Light 2 3Dv</x:v>
      </x:c>
      <x:c r="F2558" s="24"/>
      <x:c r="G2558" s="24" t="str">
        <x:v>Poli</x:v>
      </x:c>
      <x:c r="H2558" s="24"/>
      <x:c r="I2558" s="24" t="str">
        <x:v>DuraVision Gold UV</x:v>
      </x:c>
      <x:c r="J2558" s="40" t="n">
        <x:v>4449</x:v>
      </x:c>
      <x:c r="K2558" s="24" t="str">
        <x:v>-10.00 a +6.00</x:v>
      </x:c>
      <x:c r="L2558" s="24" t="str">
        <x:v>-6.00</x:v>
      </x:c>
      <x:c r="M2558" s="24" t="str">
        <x:v>0.75 a 3.00</x:v>
      </x:c>
      <x:c r="N2558" s="24" t="str">
        <x:v>75</x:v>
      </x:c>
      <x:c r="O2558" s="24"/>
      <x:c r="P2558" s="24"/>
      <x:c r="Q2558" s="24" t="str">
        <x:v>DISPONÍVEL</x:v>
      </x:c>
      <x:c r="R2558" s="24"/>
      <x:c r="S2558" s="24" t="n">
        <x:v>43</x:v>
      </x:c>
      <x:c r="T2558" s="24" t="str">
        <x:v>tabela_zeiss.pdf</x:v>
      </x:c>
      <x:c r="U2558" s="24" t="str">
        <x:v>ZEISS|Progressiva|Surfaçada|Light 2 3Dv||Poli||DuraVision Gold UV|-10.00 a +6.00|-6.00|0.75 a 3.00|75|||43</x:v>
      </x:c>
    </x:row>
    <x:row r="2559">
      <x:c r="A2559" s="24" t="str">
        <x:v>ZS-580128DECFF9</x:v>
      </x:c>
      <x:c r="B2559" s="24" t="str">
        <x:v>ZEISS</x:v>
      </x:c>
      <x:c r="C2559" s="24" t="str">
        <x:v>Progressiva</x:v>
      </x:c>
      <x:c r="D2559" s="24" t="str">
        <x:v>Surfaçada</x:v>
      </x:c>
      <x:c r="E2559" s="24" t="str">
        <x:v>Light 2 3Dv</x:v>
      </x:c>
      <x:c r="F2559" s="24"/>
      <x:c r="G2559" s="24" t="str">
        <x:v>Poli</x:v>
      </x:c>
      <x:c r="H2559" s="24"/>
      <x:c r="I2559" s="24" t="str">
        <x:v>DuraVision Platinum UV</x:v>
      </x:c>
      <x:c r="J2559" s="40" t="n">
        <x:v>4309</x:v>
      </x:c>
      <x:c r="K2559" s="24" t="str">
        <x:v>-10.00 a +6.00</x:v>
      </x:c>
      <x:c r="L2559" s="24" t="str">
        <x:v>-6.00</x:v>
      </x:c>
      <x:c r="M2559" s="24" t="str">
        <x:v>0.75 a 3.00</x:v>
      </x:c>
      <x:c r="N2559" s="24" t="str">
        <x:v>75</x:v>
      </x:c>
      <x:c r="O2559" s="24"/>
      <x:c r="P2559" s="24"/>
      <x:c r="Q2559" s="24" t="str">
        <x:v>DISPONÍVEL</x:v>
      </x:c>
      <x:c r="R2559" s="24"/>
      <x:c r="S2559" s="24" t="n">
        <x:v>43</x:v>
      </x:c>
      <x:c r="T2559" s="24" t="str">
        <x:v>tabela_zeiss.pdf</x:v>
      </x:c>
      <x:c r="U2559" s="24" t="str">
        <x:v>ZEISS|Progressiva|Surfaçada|Light 2 3Dv||Poli||DuraVision Platinum UV|-10.00 a +6.00|-6.00|0.75 a 3.00|75|||43</x:v>
      </x:c>
    </x:row>
    <x:row r="2560">
      <x:c r="A2560" s="24" t="str">
        <x:v>ZS-4892F0A8A50C</x:v>
      </x:c>
      <x:c r="B2560" s="24" t="str">
        <x:v>ZEISS</x:v>
      </x:c>
      <x:c r="C2560" s="24" t="str">
        <x:v>Progressiva</x:v>
      </x:c>
      <x:c r="D2560" s="24" t="str">
        <x:v>Surfaçada</x:v>
      </x:c>
      <x:c r="E2560" s="24" t="str">
        <x:v>Light 2 3Dv</x:v>
      </x:c>
      <x:c r="F2560" s="24"/>
      <x:c r="G2560" s="24" t="str">
        <x:v>Poli</x:v>
      </x:c>
      <x:c r="H2560" s="24"/>
      <x:c r="I2560" s="24" t="str">
        <x:v>DuraVision Silver UV</x:v>
      </x:c>
      <x:c r="J2560" s="40" t="n">
        <x:v>4049</x:v>
      </x:c>
      <x:c r="K2560" s="24" t="str">
        <x:v>-10.00 a +6.00</x:v>
      </x:c>
      <x:c r="L2560" s="24" t="str">
        <x:v>-6.00</x:v>
      </x:c>
      <x:c r="M2560" s="24" t="str">
        <x:v>0.75 a 3.00</x:v>
      </x:c>
      <x:c r="N2560" s="24" t="str">
        <x:v>75</x:v>
      </x:c>
      <x:c r="O2560" s="24"/>
      <x:c r="P2560" s="24"/>
      <x:c r="Q2560" s="24" t="str">
        <x:v>DISPONÍVEL</x:v>
      </x:c>
      <x:c r="R2560" s="24"/>
      <x:c r="S2560" s="24" t="n">
        <x:v>43</x:v>
      </x:c>
      <x:c r="T2560" s="24" t="str">
        <x:v>tabela_zeiss.pdf</x:v>
      </x:c>
      <x:c r="U2560" s="24" t="str">
        <x:v>ZEISS|Progressiva|Surfaçada|Light 2 3Dv||Poli||DuraVision Silver UV|-10.00 a +6.00|-6.00|0.75 a 3.00|75|||43</x:v>
      </x:c>
    </x:row>
    <x:row r="2561">
      <x:c r="A2561" s="24" t="str">
        <x:v>ZS-2C54459781D2</x:v>
      </x:c>
      <x:c r="B2561" s="24" t="str">
        <x:v>ZEISS</x:v>
      </x:c>
      <x:c r="C2561" s="24" t="str">
        <x:v>Progressiva</x:v>
      </x:c>
      <x:c r="D2561" s="24" t="str">
        <x:v>Surfaçada</x:v>
      </x:c>
      <x:c r="E2561" s="24" t="str">
        <x:v>Light 2 3Dv</x:v>
      </x:c>
      <x:c r="F2561" s="24"/>
      <x:c r="G2561" s="24" t="str">
        <x:v>Poli</x:v>
      </x:c>
      <x:c r="H2561" s="24"/>
      <x:c r="I2561" s="24" t="str">
        <x:v>DuraVision Chrome UV</x:v>
      </x:c>
      <x:c r="J2561" s="40" t="n">
        <x:v>3559</x:v>
      </x:c>
      <x:c r="K2561" s="24" t="str">
        <x:v>-10.00 a +6.00</x:v>
      </x:c>
      <x:c r="L2561" s="24" t="str">
        <x:v>-6.00</x:v>
      </x:c>
      <x:c r="M2561" s="24" t="str">
        <x:v>0.75 a 3.00</x:v>
      </x:c>
      <x:c r="N2561" s="24" t="str">
        <x:v>75</x:v>
      </x:c>
      <x:c r="O2561" s="24"/>
      <x:c r="P2561" s="24"/>
      <x:c r="Q2561" s="24" t="str">
        <x:v>DISPONÍVEL</x:v>
      </x:c>
      <x:c r="R2561" s="24"/>
      <x:c r="S2561" s="24" t="n">
        <x:v>43</x:v>
      </x:c>
      <x:c r="T2561" s="24" t="str">
        <x:v>tabela_zeiss.pdf</x:v>
      </x:c>
      <x:c r="U2561" s="24" t="str">
        <x:v>ZEISS|Progressiva|Surfaçada|Light 2 3Dv||Poli||DuraVision Chrome UV|-10.00 a +6.00|-6.00|0.75 a 3.00|75|||43</x:v>
      </x:c>
    </x:row>
    <x:row r="2562">
      <x:c r="A2562" s="24" t="str">
        <x:v>ZS-E519F7739DDF</x:v>
      </x:c>
      <x:c r="B2562" s="24" t="str">
        <x:v>ZEISS</x:v>
      </x:c>
      <x:c r="C2562" s="24" t="str">
        <x:v>Progressiva</x:v>
      </x:c>
      <x:c r="D2562" s="24" t="str">
        <x:v>Surfaçada</x:v>
      </x:c>
      <x:c r="E2562" s="24" t="str">
        <x:v>Light 2 3Dv</x:v>
      </x:c>
      <x:c r="F2562" s="24"/>
      <x:c r="G2562" s="24" t="str">
        <x:v>Poli</x:v>
      </x:c>
      <x:c r="H2562" s="24"/>
      <x:c r="I2562" s="24" t="str">
        <x:v>Sem AR</x:v>
      </x:c>
      <x:c r="J2562" s="40" t="n">
        <x:v>3159</x:v>
      </x:c>
      <x:c r="K2562" s="24" t="str">
        <x:v>-10.00 a +6.00</x:v>
      </x:c>
      <x:c r="L2562" s="24" t="str">
        <x:v>-6.00</x:v>
      </x:c>
      <x:c r="M2562" s="24" t="str">
        <x:v>0.75 a 3.00</x:v>
      </x:c>
      <x:c r="N2562" s="24" t="str">
        <x:v>75</x:v>
      </x:c>
      <x:c r="O2562" s="24"/>
      <x:c r="P2562" s="24"/>
      <x:c r="Q2562" s="24" t="str">
        <x:v>DISPONÍVEL</x:v>
      </x:c>
      <x:c r="R2562" s="24"/>
      <x:c r="S2562" s="24" t="n">
        <x:v>43</x:v>
      </x:c>
      <x:c r="T2562" s="24" t="str">
        <x:v>tabela_zeiss.pdf</x:v>
      </x:c>
      <x:c r="U2562" s="24" t="str">
        <x:v>ZEISS|Progressiva|Surfaçada|Light 2 3Dv||Poli||Sem AR|-10.00 a +6.00|-6.00|0.75 a 3.00|75|||43</x:v>
      </x:c>
    </x:row>
    <x:row r="2563">
      <x:c r="A2563" s="24" t="str">
        <x:v>ZS-34C9E6BC1A36</x:v>
      </x:c>
      <x:c r="B2563" s="24" t="str">
        <x:v>ZEISS</x:v>
      </x:c>
      <x:c r="C2563" s="24" t="str">
        <x:v>Progressiva</x:v>
      </x:c>
      <x:c r="D2563" s="24" t="str">
        <x:v>Surfaçada</x:v>
      </x:c>
      <x:c r="E2563" s="24" t="str">
        <x:v>Light 2 3Dv</x:v>
      </x:c>
      <x:c r="F2563" s="24"/>
      <x:c r="G2563" s="24" t="str">
        <x:v>1.6</x:v>
      </x:c>
      <x:c r="H2563" s="24" t="str">
        <x:v>1.60</x:v>
      </x:c>
      <x:c r="I2563" s="24" t="str">
        <x:v>DuraVision Gold UV</x:v>
      </x:c>
      <x:c r="J2563" s="40" t="n">
        <x:v>4669</x:v>
      </x:c>
      <x:c r="K2563" s="24" t="str">
        <x:v>-7.25 a +6.00</x:v>
      </x:c>
      <x:c r="L2563" s="24" t="str">
        <x:v>-6.00</x:v>
      </x:c>
      <x:c r="M2563" s="24" t="str">
        <x:v>0.75 a 3.50</x:v>
      </x:c>
      <x:c r="N2563" s="24" t="str">
        <x:v>75</x:v>
      </x:c>
      <x:c r="O2563" s="24"/>
      <x:c r="P2563" s="24"/>
      <x:c r="Q2563" s="24" t="str">
        <x:v>DISPONÍVEL</x:v>
      </x:c>
      <x:c r="R2563" s="24"/>
      <x:c r="S2563" s="24" t="n">
        <x:v>43</x:v>
      </x:c>
      <x:c r="T2563" s="24" t="str">
        <x:v>tabela_zeiss.pdf</x:v>
      </x:c>
      <x:c r="U2563" s="24" t="str">
        <x:v>ZEISS|Progressiva|Surfaçada|Light 2 3Dv||1.6|1.60|DuraVision Gold UV|-7.25 a +6.00|-6.00|0.75 a 3.50|75|||43</x:v>
      </x:c>
    </x:row>
    <x:row r="2564">
      <x:c r="A2564" s="24" t="str">
        <x:v>ZS-E94A57065C44</x:v>
      </x:c>
      <x:c r="B2564" s="24" t="str">
        <x:v>ZEISS</x:v>
      </x:c>
      <x:c r="C2564" s="24" t="str">
        <x:v>Progressiva</x:v>
      </x:c>
      <x:c r="D2564" s="24" t="str">
        <x:v>Surfaçada</x:v>
      </x:c>
      <x:c r="E2564" s="24" t="str">
        <x:v>Light 2 3Dv</x:v>
      </x:c>
      <x:c r="F2564" s="24"/>
      <x:c r="G2564" s="24" t="str">
        <x:v>1.6</x:v>
      </x:c>
      <x:c r="H2564" s="24" t="str">
        <x:v>1.60</x:v>
      </x:c>
      <x:c r="I2564" s="24" t="str">
        <x:v>DURAVISION® ANTIVÍRUS PLATINUM UV</x:v>
      </x:c>
      <x:c r="J2564" s="40" t="n">
        <x:v>4529</x:v>
      </x:c>
      <x:c r="K2564" s="24" t="str">
        <x:v>-7.25 a +6.00</x:v>
      </x:c>
      <x:c r="L2564" s="24" t="str">
        <x:v>-6.00</x:v>
      </x:c>
      <x:c r="M2564" s="24" t="str">
        <x:v>0.75 a 3.50</x:v>
      </x:c>
      <x:c r="N2564" s="24" t="str">
        <x:v>75</x:v>
      </x:c>
      <x:c r="O2564" s="24"/>
      <x:c r="P2564" s="24"/>
      <x:c r="Q2564" s="24" t="str">
        <x:v>DISPONÍVEL</x:v>
      </x:c>
      <x:c r="R2564" s="24"/>
      <x:c r="S2564" s="24" t="n">
        <x:v>43</x:v>
      </x:c>
      <x:c r="T2564" s="24" t="str">
        <x:v>tabela_zeiss.pdf</x:v>
      </x:c>
      <x:c r="U2564" s="24" t="str">
        <x:v>ZEISS|Progressiva|Surfaçada|Light 2 3Dv||1.6|1.60|DURAVISION® ANTIVÍRUS PLATINUM UV|-7.25 a +6.00|-6.00|0.75 a 3.50|75|||43</x:v>
      </x:c>
    </x:row>
    <x:row r="2565">
      <x:c r="A2565" s="24" t="str">
        <x:v>ZS-DB5C0111F93A</x:v>
      </x:c>
      <x:c r="B2565" s="24" t="str">
        <x:v>ZEISS</x:v>
      </x:c>
      <x:c r="C2565" s="24" t="str">
        <x:v>Progressiva</x:v>
      </x:c>
      <x:c r="D2565" s="24" t="str">
        <x:v>Surfaçada</x:v>
      </x:c>
      <x:c r="E2565" s="24" t="str">
        <x:v>Light 2 3Dv</x:v>
      </x:c>
      <x:c r="F2565" s="24"/>
      <x:c r="G2565" s="24" t="str">
        <x:v>1.6</x:v>
      </x:c>
      <x:c r="H2565" s="24" t="str">
        <x:v>1.60</x:v>
      </x:c>
      <x:c r="I2565" s="24" t="str">
        <x:v>DuraVision Platinum UV</x:v>
      </x:c>
      <x:c r="J2565" s="40" t="n">
        <x:v>4529</x:v>
      </x:c>
      <x:c r="K2565" s="24" t="str">
        <x:v>-7.25 a +6.00</x:v>
      </x:c>
      <x:c r="L2565" s="24" t="str">
        <x:v>-6.00</x:v>
      </x:c>
      <x:c r="M2565" s="24" t="str">
        <x:v>0.75 a 3.50</x:v>
      </x:c>
      <x:c r="N2565" s="24" t="str">
        <x:v>75</x:v>
      </x:c>
      <x:c r="O2565" s="24"/>
      <x:c r="P2565" s="24"/>
      <x:c r="Q2565" s="24" t="str">
        <x:v>DISPONÍVEL</x:v>
      </x:c>
      <x:c r="R2565" s="24"/>
      <x:c r="S2565" s="24" t="n">
        <x:v>43</x:v>
      </x:c>
      <x:c r="T2565" s="24" t="str">
        <x:v>tabela_zeiss.pdf</x:v>
      </x:c>
      <x:c r="U2565" s="24" t="str">
        <x:v>ZEISS|Progressiva|Surfaçada|Light 2 3Dv||1.6|1.60|DuraVision Platinum UV|-7.25 a +6.00|-6.00|0.75 a 3.50|75|||43</x:v>
      </x:c>
    </x:row>
    <x:row r="2566">
      <x:c r="A2566" s="24" t="str">
        <x:v>ZS-3ADA4CB34086</x:v>
      </x:c>
      <x:c r="B2566" s="24" t="str">
        <x:v>ZEISS</x:v>
      </x:c>
      <x:c r="C2566" s="24" t="str">
        <x:v>Progressiva</x:v>
      </x:c>
      <x:c r="D2566" s="24" t="str">
        <x:v>Surfaçada</x:v>
      </x:c>
      <x:c r="E2566" s="24" t="str">
        <x:v>Light 2 3Dv</x:v>
      </x:c>
      <x:c r="F2566" s="24"/>
      <x:c r="G2566" s="24" t="str">
        <x:v>1.6</x:v>
      </x:c>
      <x:c r="H2566" s="24" t="str">
        <x:v>1.60</x:v>
      </x:c>
      <x:c r="I2566" s="24" t="str">
        <x:v>DuraVision Silver UV</x:v>
      </x:c>
      <x:c r="J2566" s="40" t="n">
        <x:v>4269</x:v>
      </x:c>
      <x:c r="K2566" s="24" t="str">
        <x:v>-7.25 a +6.00</x:v>
      </x:c>
      <x:c r="L2566" s="24" t="str">
        <x:v>-6.00</x:v>
      </x:c>
      <x:c r="M2566" s="24" t="str">
        <x:v>0.75 a 3.50</x:v>
      </x:c>
      <x:c r="N2566" s="24" t="str">
        <x:v>75</x:v>
      </x:c>
      <x:c r="O2566" s="24"/>
      <x:c r="P2566" s="24"/>
      <x:c r="Q2566" s="24" t="str">
        <x:v>DISPONÍVEL</x:v>
      </x:c>
      <x:c r="R2566" s="24"/>
      <x:c r="S2566" s="24" t="n">
        <x:v>43</x:v>
      </x:c>
      <x:c r="T2566" s="24" t="str">
        <x:v>tabela_zeiss.pdf</x:v>
      </x:c>
      <x:c r="U2566" s="24" t="str">
        <x:v>ZEISS|Progressiva|Surfaçada|Light 2 3Dv||1.6|1.60|DuraVision Silver UV|-7.25 a +6.00|-6.00|0.75 a 3.50|75|||43</x:v>
      </x:c>
    </x:row>
    <x:row r="2567">
      <x:c r="A2567" s="24" t="str">
        <x:v>ZS-BA693C191CE3</x:v>
      </x:c>
      <x:c r="B2567" s="24" t="str">
        <x:v>ZEISS</x:v>
      </x:c>
      <x:c r="C2567" s="24" t="str">
        <x:v>Progressiva</x:v>
      </x:c>
      <x:c r="D2567" s="24" t="str">
        <x:v>Surfaçada</x:v>
      </x:c>
      <x:c r="E2567" s="24" t="str">
        <x:v>Light 2 3Dv</x:v>
      </x:c>
      <x:c r="F2567" s="24"/>
      <x:c r="G2567" s="24" t="str">
        <x:v>1.6</x:v>
      </x:c>
      <x:c r="H2567" s="24" t="str">
        <x:v>1.60</x:v>
      </x:c>
      <x:c r="I2567" s="24" t="str">
        <x:v>DuraVision Chrome UV</x:v>
      </x:c>
      <x:c r="J2567" s="40" t="n">
        <x:v>3779</x:v>
      </x:c>
      <x:c r="K2567" s="24" t="str">
        <x:v>-7.25 a +6.00</x:v>
      </x:c>
      <x:c r="L2567" s="24" t="str">
        <x:v>-6.00</x:v>
      </x:c>
      <x:c r="M2567" s="24" t="str">
        <x:v>0.75 a 3.50</x:v>
      </x:c>
      <x:c r="N2567" s="24" t="str">
        <x:v>75</x:v>
      </x:c>
      <x:c r="O2567" s="24"/>
      <x:c r="P2567" s="24"/>
      <x:c r="Q2567" s="24" t="str">
        <x:v>DISPONÍVEL</x:v>
      </x:c>
      <x:c r="R2567" s="24"/>
      <x:c r="S2567" s="24" t="n">
        <x:v>43</x:v>
      </x:c>
      <x:c r="T2567" s="24" t="str">
        <x:v>tabela_zeiss.pdf</x:v>
      </x:c>
      <x:c r="U2567" s="24" t="str">
        <x:v>ZEISS|Progressiva|Surfaçada|Light 2 3Dv||1.6|1.60|DuraVision Chrome UV|-7.25 a +6.00|-6.00|0.75 a 3.50|75|||43</x:v>
      </x:c>
    </x:row>
    <x:row r="2568">
      <x:c r="A2568" s="24" t="str">
        <x:v>ZS-19663438AE05</x:v>
      </x:c>
      <x:c r="B2568" s="24" t="str">
        <x:v>ZEISS</x:v>
      </x:c>
      <x:c r="C2568" s="24" t="str">
        <x:v>Progressiva</x:v>
      </x:c>
      <x:c r="D2568" s="24" t="str">
        <x:v>Surfaçada</x:v>
      </x:c>
      <x:c r="E2568" s="24" t="str">
        <x:v>Light 2 3Dv</x:v>
      </x:c>
      <x:c r="F2568" s="24"/>
      <x:c r="G2568" s="24" t="str">
        <x:v>1.67</x:v>
      </x:c>
      <x:c r="H2568" s="24" t="str">
        <x:v>1.67</x:v>
      </x:c>
      <x:c r="I2568" s="24" t="str">
        <x:v>DuraVision Gold UV</x:v>
      </x:c>
      <x:c r="J2568" s="40" t="n">
        <x:v>5969</x:v>
      </x:c>
      <x:c r="K2568" s="24" t="str">
        <x:v>-10.00 a +6.00</x:v>
      </x:c>
      <x:c r="L2568" s="24" t="str">
        <x:v>-6.00</x:v>
      </x:c>
      <x:c r="M2568" s="24" t="str">
        <x:v>0.75 a 3.00</x:v>
      </x:c>
      <x:c r="N2568" s="24" t="str">
        <x:v>70</x:v>
      </x:c>
      <x:c r="O2568" s="24"/>
      <x:c r="P2568" s="24"/>
      <x:c r="Q2568" s="24" t="str">
        <x:v>DISPONÍVEL</x:v>
      </x:c>
      <x:c r="R2568" s="24"/>
      <x:c r="S2568" s="24" t="n">
        <x:v>43</x:v>
      </x:c>
      <x:c r="T2568" s="24" t="str">
        <x:v>tabela_zeiss.pdf</x:v>
      </x:c>
      <x:c r="U2568" s="24" t="str">
        <x:v>ZEISS|Progressiva|Surfaçada|Light 2 3Dv||1.67|1.67|DuraVision Gold UV|-10.00 a +6.00|-6.00|0.75 a 3.00|70|||43</x:v>
      </x:c>
    </x:row>
    <x:row r="2569">
      <x:c r="A2569" s="24" t="str">
        <x:v>ZS-C3083EC99704</x:v>
      </x:c>
      <x:c r="B2569" s="24" t="str">
        <x:v>ZEISS</x:v>
      </x:c>
      <x:c r="C2569" s="24" t="str">
        <x:v>Progressiva</x:v>
      </x:c>
      <x:c r="D2569" s="24" t="str">
        <x:v>Surfaçada</x:v>
      </x:c>
      <x:c r="E2569" s="24" t="str">
        <x:v>Light 2 3Dv</x:v>
      </x:c>
      <x:c r="F2569" s="24"/>
      <x:c r="G2569" s="24" t="str">
        <x:v>1.67</x:v>
      </x:c>
      <x:c r="H2569" s="24" t="str">
        <x:v>1.67</x:v>
      </x:c>
      <x:c r="I2569" s="24" t="str">
        <x:v>DURAVISION® ANTIVÍRUS PLATINUM UV</x:v>
      </x:c>
      <x:c r="J2569" s="40" t="n">
        <x:v>5829</x:v>
      </x:c>
      <x:c r="K2569" s="24" t="str">
        <x:v>-10.00 a +6.00</x:v>
      </x:c>
      <x:c r="L2569" s="24" t="str">
        <x:v>-6.00</x:v>
      </x:c>
      <x:c r="M2569" s="24" t="str">
        <x:v>0.75 a 3.00</x:v>
      </x:c>
      <x:c r="N2569" s="24" t="str">
        <x:v>70</x:v>
      </x:c>
      <x:c r="O2569" s="24"/>
      <x:c r="P2569" s="24"/>
      <x:c r="Q2569" s="24" t="str">
        <x:v>DISPONÍVEL</x:v>
      </x:c>
      <x:c r="R2569" s="24"/>
      <x:c r="S2569" s="24" t="n">
        <x:v>43</x:v>
      </x:c>
      <x:c r="T2569" s="24" t="str">
        <x:v>tabela_zeiss.pdf</x:v>
      </x:c>
      <x:c r="U2569" s="24" t="str">
        <x:v>ZEISS|Progressiva|Surfaçada|Light 2 3Dv||1.67|1.67|DURAVISION® ANTIVÍRUS PLATINUM UV|-10.00 a +6.00|-6.00|0.75 a 3.00|70|||43</x:v>
      </x:c>
    </x:row>
    <x:row r="2570">
      <x:c r="A2570" s="24" t="str">
        <x:v>ZS-51F7983DB372</x:v>
      </x:c>
      <x:c r="B2570" s="24" t="str">
        <x:v>ZEISS</x:v>
      </x:c>
      <x:c r="C2570" s="24" t="str">
        <x:v>Progressiva</x:v>
      </x:c>
      <x:c r="D2570" s="24" t="str">
        <x:v>Surfaçada</x:v>
      </x:c>
      <x:c r="E2570" s="24" t="str">
        <x:v>Light 2 3Dv</x:v>
      </x:c>
      <x:c r="F2570" s="24"/>
      <x:c r="G2570" s="24" t="str">
        <x:v>1.67</x:v>
      </x:c>
      <x:c r="H2570" s="24" t="str">
        <x:v>1.67</x:v>
      </x:c>
      <x:c r="I2570" s="24" t="str">
        <x:v>DuraVision Platinum UV</x:v>
      </x:c>
      <x:c r="J2570" s="40" t="n">
        <x:v>5829</x:v>
      </x:c>
      <x:c r="K2570" s="24" t="str">
        <x:v>-10.00 a +6.00</x:v>
      </x:c>
      <x:c r="L2570" s="24" t="str">
        <x:v>-6.00</x:v>
      </x:c>
      <x:c r="M2570" s="24" t="str">
        <x:v>0.75 a 3.00</x:v>
      </x:c>
      <x:c r="N2570" s="24" t="str">
        <x:v>70</x:v>
      </x:c>
      <x:c r="O2570" s="24"/>
      <x:c r="P2570" s="24"/>
      <x:c r="Q2570" s="24" t="str">
        <x:v>DISPONÍVEL</x:v>
      </x:c>
      <x:c r="R2570" s="24"/>
      <x:c r="S2570" s="24" t="n">
        <x:v>43</x:v>
      </x:c>
      <x:c r="T2570" s="24" t="str">
        <x:v>tabela_zeiss.pdf</x:v>
      </x:c>
      <x:c r="U2570" s="24" t="str">
        <x:v>ZEISS|Progressiva|Surfaçada|Light 2 3Dv||1.67|1.67|DuraVision Platinum UV|-10.00 a +6.00|-6.00|0.75 a 3.00|70|||43</x:v>
      </x:c>
    </x:row>
    <x:row r="2571">
      <x:c r="A2571" s="24" t="str">
        <x:v>ZS-9873B760102D</x:v>
      </x:c>
      <x:c r="B2571" s="24" t="str">
        <x:v>ZEISS</x:v>
      </x:c>
      <x:c r="C2571" s="24" t="str">
        <x:v>Progressiva</x:v>
      </x:c>
      <x:c r="D2571" s="24" t="str">
        <x:v>Surfaçada</x:v>
      </x:c>
      <x:c r="E2571" s="24" t="str">
        <x:v>Light 2 3Dv</x:v>
      </x:c>
      <x:c r="F2571" s="24"/>
      <x:c r="G2571" s="24" t="str">
        <x:v>1.67</x:v>
      </x:c>
      <x:c r="H2571" s="24" t="str">
        <x:v>1.67</x:v>
      </x:c>
      <x:c r="I2571" s="24" t="str">
        <x:v>DuraVision Silver UV</x:v>
      </x:c>
      <x:c r="J2571" s="40" t="n">
        <x:v>5569</x:v>
      </x:c>
      <x:c r="K2571" s="24" t="str">
        <x:v>-10.00 a +6.00</x:v>
      </x:c>
      <x:c r="L2571" s="24" t="str">
        <x:v>-6.00</x:v>
      </x:c>
      <x:c r="M2571" s="24" t="str">
        <x:v>0.75 a 3.00</x:v>
      </x:c>
      <x:c r="N2571" s="24" t="str">
        <x:v>70</x:v>
      </x:c>
      <x:c r="O2571" s="24"/>
      <x:c r="P2571" s="24"/>
      <x:c r="Q2571" s="24" t="str">
        <x:v>DISPONÍVEL</x:v>
      </x:c>
      <x:c r="R2571" s="24"/>
      <x:c r="S2571" s="24" t="n">
        <x:v>43</x:v>
      </x:c>
      <x:c r="T2571" s="24" t="str">
        <x:v>tabela_zeiss.pdf</x:v>
      </x:c>
      <x:c r="U2571" s="24" t="str">
        <x:v>ZEISS|Progressiva|Surfaçada|Light 2 3Dv||1.67|1.67|DuraVision Silver UV|-10.00 a +6.00|-6.00|0.75 a 3.00|70|||43</x:v>
      </x:c>
    </x:row>
    <x:row r="2572">
      <x:c r="A2572" s="24" t="str">
        <x:v>ZS-62B9D49CFC08</x:v>
      </x:c>
      <x:c r="B2572" s="24" t="str">
        <x:v>ZEISS</x:v>
      </x:c>
      <x:c r="C2572" s="24" t="str">
        <x:v>Progressiva</x:v>
      </x:c>
      <x:c r="D2572" s="24" t="str">
        <x:v>Surfaçada</x:v>
      </x:c>
      <x:c r="E2572" s="24" t="str">
        <x:v>Light 2 3Dv</x:v>
      </x:c>
      <x:c r="F2572" s="24"/>
      <x:c r="G2572" s="24" t="str">
        <x:v>1.67</x:v>
      </x:c>
      <x:c r="H2572" s="24" t="str">
        <x:v>1.67</x:v>
      </x:c>
      <x:c r="I2572" s="24" t="str">
        <x:v>DuraVision Chrome UV</x:v>
      </x:c>
      <x:c r="J2572" s="40" t="n">
        <x:v>5079</x:v>
      </x:c>
      <x:c r="K2572" s="24" t="str">
        <x:v>-10.00 a +6.00</x:v>
      </x:c>
      <x:c r="L2572" s="24" t="str">
        <x:v>-6.00</x:v>
      </x:c>
      <x:c r="M2572" s="24" t="str">
        <x:v>0.75 a 3.00</x:v>
      </x:c>
      <x:c r="N2572" s="24" t="str">
        <x:v>70</x:v>
      </x:c>
      <x:c r="O2572" s="24"/>
      <x:c r="P2572" s="24"/>
      <x:c r="Q2572" s="24" t="str">
        <x:v>DISPONÍVEL</x:v>
      </x:c>
      <x:c r="R2572" s="24"/>
      <x:c r="S2572" s="24" t="n">
        <x:v>43</x:v>
      </x:c>
      <x:c r="T2572" s="24" t="str">
        <x:v>tabela_zeiss.pdf</x:v>
      </x:c>
      <x:c r="U2572" s="24" t="str">
        <x:v>ZEISS|Progressiva|Surfaçada|Light 2 3Dv||1.67|1.67|DuraVision Chrome UV|-10.00 a +6.00|-6.00|0.75 a 3.00|70|||43</x:v>
      </x:c>
    </x:row>
    <x:row r="2573">
      <x:c r="A2573" s="24" t="str">
        <x:v>ZS-A7A770D18EB3</x:v>
      </x:c>
      <x:c r="B2573" s="24" t="str">
        <x:v>ZEISS</x:v>
      </x:c>
      <x:c r="C2573" s="24" t="str">
        <x:v>Progressiva</x:v>
      </x:c>
      <x:c r="D2573" s="24" t="str">
        <x:v>Surfaçada</x:v>
      </x:c>
      <x:c r="E2573" s="24" t="str">
        <x:v>Light 2 3Dv</x:v>
      </x:c>
      <x:c r="F2573" s="24"/>
      <x:c r="G2573" s="24" t="str">
        <x:v>1.74</x:v>
      </x:c>
      <x:c r="H2573" s="24" t="str">
        <x:v>1.74</x:v>
      </x:c>
      <x:c r="I2573" s="24" t="str">
        <x:v>DuraVision Gold UV</x:v>
      </x:c>
      <x:c r="J2573" s="40" t="n">
        <x:v>6279</x:v>
      </x:c>
      <x:c r="K2573" s="24" t="str">
        <x:v>-10.00 a +7.00</x:v>
      </x:c>
      <x:c r="L2573" s="24" t="str">
        <x:v>-4.00</x:v>
      </x:c>
      <x:c r="M2573" s="24" t="str">
        <x:v>0.75 a 3.50</x:v>
      </x:c>
      <x:c r="N2573" s="24" t="str">
        <x:v>70 a 75</x:v>
      </x:c>
      <x:c r="O2573" s="24"/>
      <x:c r="P2573" s="24"/>
      <x:c r="Q2573" s="24" t="str">
        <x:v>DISPONÍVEL</x:v>
      </x:c>
      <x:c r="R2573" s="24"/>
      <x:c r="S2573" s="24" t="n">
        <x:v>43</x:v>
      </x:c>
      <x:c r="T2573" s="24" t="str">
        <x:v>tabela_zeiss.pdf</x:v>
      </x:c>
      <x:c r="U2573" s="24" t="str">
        <x:v>ZEISS|Progressiva|Surfaçada|Light 2 3Dv||1.74|1.74|DuraVision Gold UV|-10.00 a +7.00|-4.00|0.75 a 3.50|70 a 75|||43</x:v>
      </x:c>
    </x:row>
    <x:row r="2574">
      <x:c r="A2574" s="24" t="str">
        <x:v>ZS-070363696B8B</x:v>
      </x:c>
      <x:c r="B2574" s="24" t="str">
        <x:v>ZEISS</x:v>
      </x:c>
      <x:c r="C2574" s="24" t="str">
        <x:v>Progressiva</x:v>
      </x:c>
      <x:c r="D2574" s="24" t="str">
        <x:v>Surfaçada</x:v>
      </x:c>
      <x:c r="E2574" s="24" t="str">
        <x:v>Light 2 3Dv</x:v>
      </x:c>
      <x:c r="F2574" s="24"/>
      <x:c r="G2574" s="24" t="str">
        <x:v>1.74</x:v>
      </x:c>
      <x:c r="H2574" s="24" t="str">
        <x:v>1.74</x:v>
      </x:c>
      <x:c r="I2574" s="24" t="str">
        <x:v>DuraVision Platinum UV</x:v>
      </x:c>
      <x:c r="J2574" s="40" t="n">
        <x:v>6139</x:v>
      </x:c>
      <x:c r="K2574" s="24" t="str">
        <x:v>-10.00 a +7.00</x:v>
      </x:c>
      <x:c r="L2574" s="24" t="str">
        <x:v>-4.00</x:v>
      </x:c>
      <x:c r="M2574" s="24" t="str">
        <x:v>0.75 a 3.50</x:v>
      </x:c>
      <x:c r="N2574" s="24" t="str">
        <x:v>70 a 75</x:v>
      </x:c>
      <x:c r="O2574" s="24"/>
      <x:c r="P2574" s="24"/>
      <x:c r="Q2574" s="24" t="str">
        <x:v>DISPONÍVEL</x:v>
      </x:c>
      <x:c r="R2574" s="24"/>
      <x:c r="S2574" s="24" t="n">
        <x:v>43</x:v>
      </x:c>
      <x:c r="T2574" s="24" t="str">
        <x:v>tabela_zeiss.pdf</x:v>
      </x:c>
      <x:c r="U2574" s="24" t="str">
        <x:v>ZEISS|Progressiva|Surfaçada|Light 2 3Dv||1.74|1.74|DuraVision Platinum UV|-10.00 a +7.00|-4.00|0.75 a 3.50|70 a 75|||43</x:v>
      </x:c>
    </x:row>
    <x:row r="2575">
      <x:c r="A2575" s="24" t="str">
        <x:v>ZS-F242CF13E3C5</x:v>
      </x:c>
      <x:c r="B2575" s="24" t="str">
        <x:v>ZEISS</x:v>
      </x:c>
      <x:c r="C2575" s="24" t="str">
        <x:v>Progressiva</x:v>
      </x:c>
      <x:c r="D2575" s="24" t="str">
        <x:v>Surfaçada</x:v>
      </x:c>
      <x:c r="E2575" s="24" t="str">
        <x:v>Light 2 3Dv</x:v>
      </x:c>
      <x:c r="F2575" s="24"/>
      <x:c r="G2575" s="24" t="str">
        <x:v>1.74</x:v>
      </x:c>
      <x:c r="H2575" s="24" t="str">
        <x:v>1.74</x:v>
      </x:c>
      <x:c r="I2575" s="24" t="str">
        <x:v>DuraVision Silver UV</x:v>
      </x:c>
      <x:c r="J2575" s="40" t="n">
        <x:v>5879</x:v>
      </x:c>
      <x:c r="K2575" s="24" t="str">
        <x:v>-10.00 a +7.00</x:v>
      </x:c>
      <x:c r="L2575" s="24" t="str">
        <x:v>-4.00</x:v>
      </x:c>
      <x:c r="M2575" s="24" t="str">
        <x:v>0.75 a 3.50</x:v>
      </x:c>
      <x:c r="N2575" s="24" t="str">
        <x:v>70 a 75</x:v>
      </x:c>
      <x:c r="O2575" s="24"/>
      <x:c r="P2575" s="24"/>
      <x:c r="Q2575" s="24" t="str">
        <x:v>DISPONÍVEL</x:v>
      </x:c>
      <x:c r="R2575" s="24"/>
      <x:c r="S2575" s="24" t="n">
        <x:v>43</x:v>
      </x:c>
      <x:c r="T2575" s="24" t="str">
        <x:v>tabela_zeiss.pdf</x:v>
      </x:c>
      <x:c r="U2575" s="24" t="str">
        <x:v>ZEISS|Progressiva|Surfaçada|Light 2 3Dv||1.74|1.74|DuraVision Silver UV|-10.00 a +7.00|-4.00|0.75 a 3.50|70 a 75|||43</x:v>
      </x:c>
    </x:row>
    <x:row r="2576">
      <x:c r="A2576" s="24" t="str">
        <x:v>ZS-16B2D6618A40</x:v>
      </x:c>
      <x:c r="B2576" s="24" t="str">
        <x:v>ZEISS</x:v>
      </x:c>
      <x:c r="C2576" s="24" t="str">
        <x:v>Progressiva</x:v>
      </x:c>
      <x:c r="D2576" s="24" t="str">
        <x:v>Surfaçada</x:v>
      </x:c>
      <x:c r="E2576" s="24" t="str">
        <x:v>Light 2 3Dv</x:v>
      </x:c>
      <x:c r="F2576" s="24"/>
      <x:c r="G2576" s="24" t="str">
        <x:v>1.74</x:v>
      </x:c>
      <x:c r="H2576" s="24" t="str">
        <x:v>1.74</x:v>
      </x:c>
      <x:c r="I2576" s="24" t="str">
        <x:v>DuraVision Chrome UV</x:v>
      </x:c>
      <x:c r="J2576" s="40" t="n">
        <x:v>5389</x:v>
      </x:c>
      <x:c r="K2576" s="24" t="str">
        <x:v>-10.00 a +7.00</x:v>
      </x:c>
      <x:c r="L2576" s="24" t="str">
        <x:v>-4.00</x:v>
      </x:c>
      <x:c r="M2576" s="24" t="str">
        <x:v>0.75 a 3.50</x:v>
      </x:c>
      <x:c r="N2576" s="24" t="str">
        <x:v>70 a 75</x:v>
      </x:c>
      <x:c r="O2576" s="24"/>
      <x:c r="P2576" s="24"/>
      <x:c r="Q2576" s="24" t="str">
        <x:v>DISPONÍVEL</x:v>
      </x:c>
      <x:c r="R2576" s="24"/>
      <x:c r="S2576" s="24" t="n">
        <x:v>43</x:v>
      </x:c>
      <x:c r="T2576" s="24" t="str">
        <x:v>tabela_zeiss.pdf</x:v>
      </x:c>
      <x:c r="U2576" s="24" t="str">
        <x:v>ZEISS|Progressiva|Surfaçada|Light 2 3Dv||1.74|1.74|DuraVision Chrome UV|-10.00 a +7.00|-4.00|0.75 a 3.50|70 a 75|||43</x:v>
      </x:c>
    </x:row>
    <x:row r="2577">
      <x:c r="A2577" s="24" t="str">
        <x:v>ZS-3A5F7282416E</x:v>
      </x:c>
      <x:c r="B2577" s="24" t="str">
        <x:v>ZEISS</x:v>
      </x:c>
      <x:c r="C2577" s="24" t="str">
        <x:v>Progressiva</x:v>
      </x:c>
      <x:c r="D2577" s="24" t="str">
        <x:v>Surfaçada</x:v>
      </x:c>
      <x:c r="E2577" s="24" t="str">
        <x:v>Light 2 3Dv</x:v>
      </x:c>
      <x:c r="F2577" s="24" t="str">
        <x:v>PhotoFusion X</x:v>
      </x:c>
      <x:c r="G2577" s="24" t="str">
        <x:v>1.5</x:v>
      </x:c>
      <x:c r="H2577" s="24" t="str">
        <x:v>1.50</x:v>
      </x:c>
      <x:c r="I2577" s="24" t="str">
        <x:v>DuraVision Gold UV</x:v>
      </x:c>
      <x:c r="J2577" s="40" t="n">
        <x:v>5509</x:v>
      </x:c>
      <x:c r="K2577" s="24" t="str">
        <x:v>-6.00 a +5.00</x:v>
      </x:c>
      <x:c r="L2577" s="24" t="str">
        <x:v>-4.00</x:v>
      </x:c>
      <x:c r="M2577" s="24" t="str">
        <x:v>0.75 a 3.00</x:v>
      </x:c>
      <x:c r="N2577" s="24" t="str">
        <x:v>75</x:v>
      </x:c>
      <x:c r="O2577" s="24"/>
      <x:c r="P2577" s="24"/>
      <x:c r="Q2577" s="24" t="str">
        <x:v>DISPONÍVEL</x:v>
      </x:c>
      <x:c r="R2577" s="24" t="str">
        <x:v>Programa de Parcerias ZEISS</x:v>
      </x:c>
      <x:c r="S2577" s="24" t="n">
        <x:v>43</x:v>
      </x:c>
      <x:c r="T2577" s="24" t="str">
        <x:v>tabela_zeiss.pdf</x:v>
      </x:c>
      <x:c r="U2577" s="24" t="str">
        <x:v>ZEISS|Progressiva|Surfaçada|Light 2 3Dv|PhotoFusion X|1.5|1.50|DuraVision Gold UV|-6.00 a +5.00|-4.00|0.75 a 3.00|75|||43</x:v>
      </x:c>
    </x:row>
    <x:row r="2578">
      <x:c r="A2578" s="24" t="str">
        <x:v>ZS-2CB5E013CF01</x:v>
      </x:c>
      <x:c r="B2578" s="24" t="str">
        <x:v>ZEISS</x:v>
      </x:c>
      <x:c r="C2578" s="24" t="str">
        <x:v>Progressiva</x:v>
      </x:c>
      <x:c r="D2578" s="24" t="str">
        <x:v>Surfaçada</x:v>
      </x:c>
      <x:c r="E2578" s="24" t="str">
        <x:v>Light 2 3Dv</x:v>
      </x:c>
      <x:c r="F2578" s="24" t="str">
        <x:v>PhotoFusion X</x:v>
      </x:c>
      <x:c r="G2578" s="24" t="str">
        <x:v>1.5</x:v>
      </x:c>
      <x:c r="H2578" s="24" t="str">
        <x:v>1.50</x:v>
      </x:c>
      <x:c r="I2578" s="24" t="str">
        <x:v>DURAVISION® ANTIVÍRUS PLATINUM UV</x:v>
      </x:c>
      <x:c r="J2578" s="40" t="n">
        <x:v>5369</x:v>
      </x:c>
      <x:c r="K2578" s="24" t="str">
        <x:v>-6.00 a +5.00</x:v>
      </x:c>
      <x:c r="L2578" s="24" t="str">
        <x:v>-4.00</x:v>
      </x:c>
      <x:c r="M2578" s="24" t="str">
        <x:v>0.75 a 3.00</x:v>
      </x:c>
      <x:c r="N2578" s="24" t="str">
        <x:v>75</x:v>
      </x:c>
      <x:c r="O2578" s="24"/>
      <x:c r="P2578" s="24"/>
      <x:c r="Q2578" s="24" t="str">
        <x:v>DISPONÍVEL</x:v>
      </x:c>
      <x:c r="R2578" s="24" t="str">
        <x:v>Programa de Parcerias ZEISS</x:v>
      </x:c>
      <x:c r="S2578" s="24" t="n">
        <x:v>43</x:v>
      </x:c>
      <x:c r="T2578" s="24" t="str">
        <x:v>tabela_zeiss.pdf</x:v>
      </x:c>
      <x:c r="U2578" s="24" t="str">
        <x:v>ZEISS|Progressiva|Surfaçada|Light 2 3Dv|PhotoFusion X|1.5|1.50|DURAVISION® ANTIVÍRUS PLATINUM UV|-6.00 a +5.00|-4.00|0.75 a 3.00|75|||43</x:v>
      </x:c>
    </x:row>
    <x:row r="2579">
      <x:c r="A2579" s="24" t="str">
        <x:v>ZS-520A8CD36762</x:v>
      </x:c>
      <x:c r="B2579" s="24" t="str">
        <x:v>ZEISS</x:v>
      </x:c>
      <x:c r="C2579" s="24" t="str">
        <x:v>Progressiva</x:v>
      </x:c>
      <x:c r="D2579" s="24" t="str">
        <x:v>Surfaçada</x:v>
      </x:c>
      <x:c r="E2579" s="24" t="str">
        <x:v>Light 2 3Dv</x:v>
      </x:c>
      <x:c r="F2579" s="24" t="str">
        <x:v>PhotoFusion X</x:v>
      </x:c>
      <x:c r="G2579" s="24" t="str">
        <x:v>1.5</x:v>
      </x:c>
      <x:c r="H2579" s="24" t="str">
        <x:v>1.50</x:v>
      </x:c>
      <x:c r="I2579" s="24" t="str">
        <x:v>DuraVision Platinum UV</x:v>
      </x:c>
      <x:c r="J2579" s="40" t="n">
        <x:v>5369</x:v>
      </x:c>
      <x:c r="K2579" s="24" t="str">
        <x:v>-6.00 a +5.00</x:v>
      </x:c>
      <x:c r="L2579" s="24" t="str">
        <x:v>-4.00</x:v>
      </x:c>
      <x:c r="M2579" s="24" t="str">
        <x:v>0.75 a 3.00</x:v>
      </x:c>
      <x:c r="N2579" s="24" t="str">
        <x:v>75</x:v>
      </x:c>
      <x:c r="O2579" s="24"/>
      <x:c r="P2579" s="24"/>
      <x:c r="Q2579" s="24" t="str">
        <x:v>DISPONÍVEL</x:v>
      </x:c>
      <x:c r="R2579" s="24" t="str">
        <x:v>Programa de Parcerias ZEISS</x:v>
      </x:c>
      <x:c r="S2579" s="24" t="n">
        <x:v>43</x:v>
      </x:c>
      <x:c r="T2579" s="24" t="str">
        <x:v>tabela_zeiss.pdf</x:v>
      </x:c>
      <x:c r="U2579" s="24" t="str">
        <x:v>ZEISS|Progressiva|Surfaçada|Light 2 3Dv|PhotoFusion X|1.5|1.50|DuraVision Platinum UV|-6.00 a +5.00|-4.00|0.75 a 3.00|75|||43</x:v>
      </x:c>
    </x:row>
    <x:row r="2580">
      <x:c r="A2580" s="24" t="str">
        <x:v>ZS-FCF2E01A8EC4</x:v>
      </x:c>
      <x:c r="B2580" s="24" t="str">
        <x:v>ZEISS</x:v>
      </x:c>
      <x:c r="C2580" s="24" t="str">
        <x:v>Progressiva</x:v>
      </x:c>
      <x:c r="D2580" s="24" t="str">
        <x:v>Surfaçada</x:v>
      </x:c>
      <x:c r="E2580" s="24" t="str">
        <x:v>Light 2 3Dv</x:v>
      </x:c>
      <x:c r="F2580" s="24" t="str">
        <x:v>PhotoFusion X</x:v>
      </x:c>
      <x:c r="G2580" s="24" t="str">
        <x:v>1.5</x:v>
      </x:c>
      <x:c r="H2580" s="24" t="str">
        <x:v>1.50</x:v>
      </x:c>
      <x:c r="I2580" s="24" t="str">
        <x:v>DuraVision Silver UV</x:v>
      </x:c>
      <x:c r="J2580" s="40" t="n">
        <x:v>5109</x:v>
      </x:c>
      <x:c r="K2580" s="24" t="str">
        <x:v>-6.00 a +5.00</x:v>
      </x:c>
      <x:c r="L2580" s="24" t="str">
        <x:v>-4.00</x:v>
      </x:c>
      <x:c r="M2580" s="24" t="str">
        <x:v>0.75 a 3.00</x:v>
      </x:c>
      <x:c r="N2580" s="24" t="str">
        <x:v>75</x:v>
      </x:c>
      <x:c r="O2580" s="24"/>
      <x:c r="P2580" s="24"/>
      <x:c r="Q2580" s="24" t="str">
        <x:v>DISPONÍVEL</x:v>
      </x:c>
      <x:c r="R2580" s="24" t="str">
        <x:v>Programa de Parcerias ZEISS</x:v>
      </x:c>
      <x:c r="S2580" s="24" t="n">
        <x:v>43</x:v>
      </x:c>
      <x:c r="T2580" s="24" t="str">
        <x:v>tabela_zeiss.pdf</x:v>
      </x:c>
      <x:c r="U2580" s="24" t="str">
        <x:v>ZEISS|Progressiva|Surfaçada|Light 2 3Dv|PhotoFusion X|1.5|1.50|DuraVision Silver UV|-6.00 a +5.00|-4.00|0.75 a 3.00|75|||43</x:v>
      </x:c>
    </x:row>
    <x:row r="2581">
      <x:c r="A2581" s="24" t="str">
        <x:v>ZS-45D6A9411367</x:v>
      </x:c>
      <x:c r="B2581" s="24" t="str">
        <x:v>ZEISS</x:v>
      </x:c>
      <x:c r="C2581" s="24" t="str">
        <x:v>Progressiva</x:v>
      </x:c>
      <x:c r="D2581" s="24" t="str">
        <x:v>Surfaçada</x:v>
      </x:c>
      <x:c r="E2581" s="24" t="str">
        <x:v>Light 2 3Dv</x:v>
      </x:c>
      <x:c r="F2581" s="24" t="str">
        <x:v>PhotoFusion X</x:v>
      </x:c>
      <x:c r="G2581" s="24" t="str">
        <x:v>1.5</x:v>
      </x:c>
      <x:c r="H2581" s="24" t="str">
        <x:v>1.50</x:v>
      </x:c>
      <x:c r="I2581" s="24" t="str">
        <x:v>DuraVision Chrome UV</x:v>
      </x:c>
      <x:c r="J2581" s="40" t="n">
        <x:v>4619</x:v>
      </x:c>
      <x:c r="K2581" s="24" t="str">
        <x:v>-6.00 a +5.00</x:v>
      </x:c>
      <x:c r="L2581" s="24" t="str">
        <x:v>-4.00</x:v>
      </x:c>
      <x:c r="M2581" s="24" t="str">
        <x:v>0.75 a 3.00</x:v>
      </x:c>
      <x:c r="N2581" s="24" t="str">
        <x:v>75</x:v>
      </x:c>
      <x:c r="O2581" s="24"/>
      <x:c r="P2581" s="24"/>
      <x:c r="Q2581" s="24" t="str">
        <x:v>DISPONÍVEL</x:v>
      </x:c>
      <x:c r="R2581" s="24" t="str">
        <x:v>Programa de Parcerias ZEISS</x:v>
      </x:c>
      <x:c r="S2581" s="24" t="n">
        <x:v>43</x:v>
      </x:c>
      <x:c r="T2581" s="24" t="str">
        <x:v>tabela_zeiss.pdf</x:v>
      </x:c>
      <x:c r="U2581" s="24" t="str">
        <x:v>ZEISS|Progressiva|Surfaçada|Light 2 3Dv|PhotoFusion X|1.5|1.50|DuraVision Chrome UV|-6.00 a +5.00|-4.00|0.75 a 3.00|75|||43</x:v>
      </x:c>
    </x:row>
    <x:row r="2582">
      <x:c r="A2582" s="24" t="str">
        <x:v>ZS-EBA42AB616C3</x:v>
      </x:c>
      <x:c r="B2582" s="24" t="str">
        <x:v>ZEISS</x:v>
      </x:c>
      <x:c r="C2582" s="24" t="str">
        <x:v>Progressiva</x:v>
      </x:c>
      <x:c r="D2582" s="24" t="str">
        <x:v>Surfaçada</x:v>
      </x:c>
      <x:c r="E2582" s="24" t="str">
        <x:v>Light 2 3Dv</x:v>
      </x:c>
      <x:c r="F2582" s="24" t="str">
        <x:v>PhotoFusion X</x:v>
      </x:c>
      <x:c r="G2582" s="24" t="str">
        <x:v>1.5</x:v>
      </x:c>
      <x:c r="H2582" s="24" t="str">
        <x:v>1.50</x:v>
      </x:c>
      <x:c r="I2582" s="24" t="str">
        <x:v>Sem AR</x:v>
      </x:c>
      <x:c r="J2582" s="40" t="n">
        <x:v>4219</x:v>
      </x:c>
      <x:c r="K2582" s="24" t="str">
        <x:v>-6.00 a +5.00</x:v>
      </x:c>
      <x:c r="L2582" s="24" t="str">
        <x:v>-4.00</x:v>
      </x:c>
      <x:c r="M2582" s="24" t="str">
        <x:v>0.75 a 3.00</x:v>
      </x:c>
      <x:c r="N2582" s="24" t="str">
        <x:v>75</x:v>
      </x:c>
      <x:c r="O2582" s="24"/>
      <x:c r="P2582" s="24"/>
      <x:c r="Q2582" s="24" t="str">
        <x:v>DISPONÍVEL</x:v>
      </x:c>
      <x:c r="R2582" s="24" t="str">
        <x:v>Programa de Parcerias ZEISS</x:v>
      </x:c>
      <x:c r="S2582" s="24" t="n">
        <x:v>43</x:v>
      </x:c>
      <x:c r="T2582" s="24" t="str">
        <x:v>tabela_zeiss.pdf</x:v>
      </x:c>
      <x:c r="U2582" s="24" t="str">
        <x:v>ZEISS|Progressiva|Surfaçada|Light 2 3Dv|PhotoFusion X|1.5|1.50|Sem AR|-6.00 a +5.00|-4.00|0.75 a 3.00|75|||43</x:v>
      </x:c>
    </x:row>
    <x:row r="2583">
      <x:c r="A2583" s="24" t="str">
        <x:v>ZS-61E29553B187</x:v>
      </x:c>
      <x:c r="B2583" s="24" t="str">
        <x:v>ZEISS</x:v>
      </x:c>
      <x:c r="C2583" s="24" t="str">
        <x:v>Progressiva</x:v>
      </x:c>
      <x:c r="D2583" s="24" t="str">
        <x:v>Surfaçada</x:v>
      </x:c>
      <x:c r="E2583" s="24" t="str">
        <x:v>Light 2 3Dv</x:v>
      </x:c>
      <x:c r="F2583" s="24" t="str">
        <x:v>PhotoFusion X</x:v>
      </x:c>
      <x:c r="G2583" s="24" t="str">
        <x:v>Poli</x:v>
      </x:c>
      <x:c r="H2583" s="24"/>
      <x:c r="I2583" s="24" t="str">
        <x:v>DuraVision Gold UV</x:v>
      </x:c>
      <x:c r="J2583" s="40" t="n">
        <x:v>5869</x:v>
      </x:c>
      <x:c r="K2583" s="24" t="str">
        <x:v>-10.00 a +6.00</x:v>
      </x:c>
      <x:c r="L2583" s="24" t="str">
        <x:v>-6.00</x:v>
      </x:c>
      <x:c r="M2583" s="24" t="str">
        <x:v>0.75 a 3.00</x:v>
      </x:c>
      <x:c r="N2583" s="24" t="str">
        <x:v>72</x:v>
      </x:c>
      <x:c r="O2583" s="24"/>
      <x:c r="P2583" s="24"/>
      <x:c r="Q2583" s="24" t="str">
        <x:v>DISPONÍVEL</x:v>
      </x:c>
      <x:c r="R2583" s="24" t="str">
        <x:v>Programa de Parcerias ZEISS</x:v>
      </x:c>
      <x:c r="S2583" s="24" t="n">
        <x:v>43</x:v>
      </x:c>
      <x:c r="T2583" s="24" t="str">
        <x:v>tabela_zeiss.pdf</x:v>
      </x:c>
      <x:c r="U2583" s="24" t="str">
        <x:v>ZEISS|Progressiva|Surfaçada|Light 2 3Dv|PhotoFusion X|Poli||DuraVision Gold UV|-10.00 a +6.00|-6.00|0.75 a 3.00|72|||43</x:v>
      </x:c>
    </x:row>
    <x:row r="2584">
      <x:c r="A2584" s="24" t="str">
        <x:v>ZS-D63AFB888B3A</x:v>
      </x:c>
      <x:c r="B2584" s="24" t="str">
        <x:v>ZEISS</x:v>
      </x:c>
      <x:c r="C2584" s="24" t="str">
        <x:v>Progressiva</x:v>
      </x:c>
      <x:c r="D2584" s="24" t="str">
        <x:v>Surfaçada</x:v>
      </x:c>
      <x:c r="E2584" s="24" t="str">
        <x:v>Light 2 3Dv</x:v>
      </x:c>
      <x:c r="F2584" s="24" t="str">
        <x:v>PhotoFusion X</x:v>
      </x:c>
      <x:c r="G2584" s="24" t="str">
        <x:v>Poli</x:v>
      </x:c>
      <x:c r="H2584" s="24"/>
      <x:c r="I2584" s="24" t="str">
        <x:v>DuraVision Platinum UV</x:v>
      </x:c>
      <x:c r="J2584" s="40" t="n">
        <x:v>5729</x:v>
      </x:c>
      <x:c r="K2584" s="24" t="str">
        <x:v>-10.00 a +6.00</x:v>
      </x:c>
      <x:c r="L2584" s="24" t="str">
        <x:v>-6.00</x:v>
      </x:c>
      <x:c r="M2584" s="24" t="str">
        <x:v>0.75 a 3.00</x:v>
      </x:c>
      <x:c r="N2584" s="24" t="str">
        <x:v>72</x:v>
      </x:c>
      <x:c r="O2584" s="24"/>
      <x:c r="P2584" s="24"/>
      <x:c r="Q2584" s="24" t="str">
        <x:v>DISPONÍVEL</x:v>
      </x:c>
      <x:c r="R2584" s="24" t="str">
        <x:v>Programa de Parcerias ZEISS</x:v>
      </x:c>
      <x:c r="S2584" s="24" t="n">
        <x:v>43</x:v>
      </x:c>
      <x:c r="T2584" s="24" t="str">
        <x:v>tabela_zeiss.pdf</x:v>
      </x:c>
      <x:c r="U2584" s="24" t="str">
        <x:v>ZEISS|Progressiva|Surfaçada|Light 2 3Dv|PhotoFusion X|Poli||DuraVision Platinum UV|-10.00 a +6.00|-6.00|0.75 a 3.00|72|||43</x:v>
      </x:c>
    </x:row>
    <x:row r="2585">
      <x:c r="A2585" s="24" t="str">
        <x:v>ZS-161682EE52E8</x:v>
      </x:c>
      <x:c r="B2585" s="24" t="str">
        <x:v>ZEISS</x:v>
      </x:c>
      <x:c r="C2585" s="24" t="str">
        <x:v>Progressiva</x:v>
      </x:c>
      <x:c r="D2585" s="24" t="str">
        <x:v>Surfaçada</x:v>
      </x:c>
      <x:c r="E2585" s="24" t="str">
        <x:v>Light 2 3Dv</x:v>
      </x:c>
      <x:c r="F2585" s="24" t="str">
        <x:v>PhotoFusion X</x:v>
      </x:c>
      <x:c r="G2585" s="24" t="str">
        <x:v>Poli</x:v>
      </x:c>
      <x:c r="H2585" s="24"/>
      <x:c r="I2585" s="24" t="str">
        <x:v>DuraVision Silver UV</x:v>
      </x:c>
      <x:c r="J2585" s="40" t="n">
        <x:v>5469</x:v>
      </x:c>
      <x:c r="K2585" s="24" t="str">
        <x:v>-10.00 a +6.00</x:v>
      </x:c>
      <x:c r="L2585" s="24" t="str">
        <x:v>-6.00</x:v>
      </x:c>
      <x:c r="M2585" s="24" t="str">
        <x:v>0.75 a 3.00</x:v>
      </x:c>
      <x:c r="N2585" s="24" t="str">
        <x:v>72</x:v>
      </x:c>
      <x:c r="O2585" s="24"/>
      <x:c r="P2585" s="24"/>
      <x:c r="Q2585" s="24" t="str">
        <x:v>DISPONÍVEL</x:v>
      </x:c>
      <x:c r="R2585" s="24" t="str">
        <x:v>Programa de Parcerias ZEISS</x:v>
      </x:c>
      <x:c r="S2585" s="24" t="n">
        <x:v>43</x:v>
      </x:c>
      <x:c r="T2585" s="24" t="str">
        <x:v>tabela_zeiss.pdf</x:v>
      </x:c>
      <x:c r="U2585" s="24" t="str">
        <x:v>ZEISS|Progressiva|Surfaçada|Light 2 3Dv|PhotoFusion X|Poli||DuraVision Silver UV|-10.00 a +6.00|-6.00|0.75 a 3.00|72|||43</x:v>
      </x:c>
    </x:row>
    <x:row r="2586">
      <x:c r="A2586" s="24" t="str">
        <x:v>ZS-13AD4908FD07</x:v>
      </x:c>
      <x:c r="B2586" s="24" t="str">
        <x:v>ZEISS</x:v>
      </x:c>
      <x:c r="C2586" s="24" t="str">
        <x:v>Progressiva</x:v>
      </x:c>
      <x:c r="D2586" s="24" t="str">
        <x:v>Surfaçada</x:v>
      </x:c>
      <x:c r="E2586" s="24" t="str">
        <x:v>Light 2 3Dv</x:v>
      </x:c>
      <x:c r="F2586" s="24" t="str">
        <x:v>PhotoFusion X</x:v>
      </x:c>
      <x:c r="G2586" s="24" t="str">
        <x:v>Poli</x:v>
      </x:c>
      <x:c r="H2586" s="24"/>
      <x:c r="I2586" s="24" t="str">
        <x:v>DuraVision Chrome UV</x:v>
      </x:c>
      <x:c r="J2586" s="40" t="n">
        <x:v>4979</x:v>
      </x:c>
      <x:c r="K2586" s="24" t="str">
        <x:v>-10.00 a +6.00</x:v>
      </x:c>
      <x:c r="L2586" s="24" t="str">
        <x:v>-6.00</x:v>
      </x:c>
      <x:c r="M2586" s="24" t="str">
        <x:v>0.75 a 3.00</x:v>
      </x:c>
      <x:c r="N2586" s="24" t="str">
        <x:v>72</x:v>
      </x:c>
      <x:c r="O2586" s="24"/>
      <x:c r="P2586" s="24"/>
      <x:c r="Q2586" s="24" t="str">
        <x:v>DISPONÍVEL</x:v>
      </x:c>
      <x:c r="R2586" s="24" t="str">
        <x:v>Programa de Parcerias ZEISS</x:v>
      </x:c>
      <x:c r="S2586" s="24" t="n">
        <x:v>43</x:v>
      </x:c>
      <x:c r="T2586" s="24" t="str">
        <x:v>tabela_zeiss.pdf</x:v>
      </x:c>
      <x:c r="U2586" s="24" t="str">
        <x:v>ZEISS|Progressiva|Surfaçada|Light 2 3Dv|PhotoFusion X|Poli||DuraVision Chrome UV|-10.00 a +6.00|-6.00|0.75 a 3.00|72|||43</x:v>
      </x:c>
    </x:row>
    <x:row r="2587">
      <x:c r="A2587" s="24" t="str">
        <x:v>ZS-D83D4B955A85</x:v>
      </x:c>
      <x:c r="B2587" s="24" t="str">
        <x:v>ZEISS</x:v>
      </x:c>
      <x:c r="C2587" s="24" t="str">
        <x:v>Progressiva</x:v>
      </x:c>
      <x:c r="D2587" s="24" t="str">
        <x:v>Surfaçada</x:v>
      </x:c>
      <x:c r="E2587" s="24" t="str">
        <x:v>Light 2 3Dv</x:v>
      </x:c>
      <x:c r="F2587" s="24" t="str">
        <x:v>PhotoFusion X</x:v>
      </x:c>
      <x:c r="G2587" s="24" t="str">
        <x:v>Poli</x:v>
      </x:c>
      <x:c r="H2587" s="24"/>
      <x:c r="I2587" s="24" t="str">
        <x:v>Sem AR</x:v>
      </x:c>
      <x:c r="J2587" s="40" t="n">
        <x:v>4579</x:v>
      </x:c>
      <x:c r="K2587" s="24" t="str">
        <x:v>-10.00 a +6.00</x:v>
      </x:c>
      <x:c r="L2587" s="24" t="str">
        <x:v>-6.00</x:v>
      </x:c>
      <x:c r="M2587" s="24" t="str">
        <x:v>0.75 a 3.00</x:v>
      </x:c>
      <x:c r="N2587" s="24" t="str">
        <x:v>72</x:v>
      </x:c>
      <x:c r="O2587" s="24"/>
      <x:c r="P2587" s="24"/>
      <x:c r="Q2587" s="24" t="str">
        <x:v>DISPONÍVEL</x:v>
      </x:c>
      <x:c r="R2587" s="24" t="str">
        <x:v>Programa de Parcerias ZEISS</x:v>
      </x:c>
      <x:c r="S2587" s="24" t="n">
        <x:v>43</x:v>
      </x:c>
      <x:c r="T2587" s="24" t="str">
        <x:v>tabela_zeiss.pdf</x:v>
      </x:c>
      <x:c r="U2587" s="24" t="str">
        <x:v>ZEISS|Progressiva|Surfaçada|Light 2 3Dv|PhotoFusion X|Poli||Sem AR|-10.00 a +6.00|-6.00|0.75 a 3.00|72|||43</x:v>
      </x:c>
    </x:row>
    <x:row r="2588">
      <x:c r="A2588" s="24" t="str">
        <x:v>ZS-6AFC93D61A40</x:v>
      </x:c>
      <x:c r="B2588" s="24" t="str">
        <x:v>ZEISS</x:v>
      </x:c>
      <x:c r="C2588" s="24" t="str">
        <x:v>Progressiva</x:v>
      </x:c>
      <x:c r="D2588" s="24" t="str">
        <x:v>Surfaçada</x:v>
      </x:c>
      <x:c r="E2588" s="24" t="str">
        <x:v>Light 2 3Dv</x:v>
      </x:c>
      <x:c r="F2588" s="24" t="str">
        <x:v>PhotoFusion X</x:v>
      </x:c>
      <x:c r="G2588" s="24" t="str">
        <x:v>1.6</x:v>
      </x:c>
      <x:c r="H2588" s="24" t="str">
        <x:v>1.60</x:v>
      </x:c>
      <x:c r="I2588" s="24" t="str">
        <x:v>DuraVision Gold UV</x:v>
      </x:c>
      <x:c r="J2588" s="40" t="n">
        <x:v>6089</x:v>
      </x:c>
      <x:c r="K2588" s="24" t="str">
        <x:v>-7.25 a +6.00</x:v>
      </x:c>
      <x:c r="L2588" s="24" t="str">
        <x:v>-6.00</x:v>
      </x:c>
      <x:c r="M2588" s="24" t="str">
        <x:v>0.75 a 3.50</x:v>
      </x:c>
      <x:c r="N2588" s="24" t="str">
        <x:v>75</x:v>
      </x:c>
      <x:c r="O2588" s="24"/>
      <x:c r="P2588" s="24"/>
      <x:c r="Q2588" s="24" t="str">
        <x:v>DISPONÍVEL</x:v>
      </x:c>
      <x:c r="R2588" s="24" t="str">
        <x:v>Programa de Parcerias ZEISS</x:v>
      </x:c>
      <x:c r="S2588" s="24" t="n">
        <x:v>43</x:v>
      </x:c>
      <x:c r="T2588" s="24" t="str">
        <x:v>tabela_zeiss.pdf</x:v>
      </x:c>
      <x:c r="U2588" s="24" t="str">
        <x:v>ZEISS|Progressiva|Surfaçada|Light 2 3Dv|PhotoFusion X|1.6|1.60|DuraVision Gold UV|-7.25 a +6.00|-6.00|0.75 a 3.50|75|||43</x:v>
      </x:c>
    </x:row>
    <x:row r="2589">
      <x:c r="A2589" s="24" t="str">
        <x:v>ZS-F3A00E68B6A8</x:v>
      </x:c>
      <x:c r="B2589" s="24" t="str">
        <x:v>ZEISS</x:v>
      </x:c>
      <x:c r="C2589" s="24" t="str">
        <x:v>Progressiva</x:v>
      </x:c>
      <x:c r="D2589" s="24" t="str">
        <x:v>Surfaçada</x:v>
      </x:c>
      <x:c r="E2589" s="24" t="str">
        <x:v>Light 2 3Dv</x:v>
      </x:c>
      <x:c r="F2589" s="24" t="str">
        <x:v>PhotoFusion X</x:v>
      </x:c>
      <x:c r="G2589" s="24" t="str">
        <x:v>1.6</x:v>
      </x:c>
      <x:c r="H2589" s="24" t="str">
        <x:v>1.60</x:v>
      </x:c>
      <x:c r="I2589" s="24" t="str">
        <x:v>DURAVISION® ANTIVÍRUS PLATINUM UV</x:v>
      </x:c>
      <x:c r="J2589" s="40" t="n">
        <x:v>5949</x:v>
      </x:c>
      <x:c r="K2589" s="24" t="str">
        <x:v>-7.25 a +6.00</x:v>
      </x:c>
      <x:c r="L2589" s="24" t="str">
        <x:v>-6.00</x:v>
      </x:c>
      <x:c r="M2589" s="24" t="str">
        <x:v>0.75 a 3.50</x:v>
      </x:c>
      <x:c r="N2589" s="24" t="str">
        <x:v>75</x:v>
      </x:c>
      <x:c r="O2589" s="24"/>
      <x:c r="P2589" s="24"/>
      <x:c r="Q2589" s="24" t="str">
        <x:v>DISPONÍVEL</x:v>
      </x:c>
      <x:c r="R2589" s="24" t="str">
        <x:v>Programa de Parcerias ZEISS</x:v>
      </x:c>
      <x:c r="S2589" s="24" t="n">
        <x:v>43</x:v>
      </x:c>
      <x:c r="T2589" s="24" t="str">
        <x:v>tabela_zeiss.pdf</x:v>
      </x:c>
      <x:c r="U2589" s="24" t="str">
        <x:v>ZEISS|Progressiva|Surfaçada|Light 2 3Dv|PhotoFusion X|1.6|1.60|DURAVISION® ANTIVÍRUS PLATINUM UV|-7.25 a +6.00|-6.00|0.75 a 3.50|75|||43</x:v>
      </x:c>
    </x:row>
    <x:row r="2590">
      <x:c r="A2590" s="24" t="str">
        <x:v>ZS-2BB5B0BB6FCB</x:v>
      </x:c>
      <x:c r="B2590" s="24" t="str">
        <x:v>ZEISS</x:v>
      </x:c>
      <x:c r="C2590" s="24" t="str">
        <x:v>Progressiva</x:v>
      </x:c>
      <x:c r="D2590" s="24" t="str">
        <x:v>Surfaçada</x:v>
      </x:c>
      <x:c r="E2590" s="24" t="str">
        <x:v>Light 2 3Dv</x:v>
      </x:c>
      <x:c r="F2590" s="24" t="str">
        <x:v>PhotoFusion X</x:v>
      </x:c>
      <x:c r="G2590" s="24" t="str">
        <x:v>1.6</x:v>
      </x:c>
      <x:c r="H2590" s="24" t="str">
        <x:v>1.60</x:v>
      </x:c>
      <x:c r="I2590" s="24" t="str">
        <x:v>DuraVision Platinum UV</x:v>
      </x:c>
      <x:c r="J2590" s="40" t="n">
        <x:v>5949</x:v>
      </x:c>
      <x:c r="K2590" s="24" t="str">
        <x:v>-7.25 a +6.00</x:v>
      </x:c>
      <x:c r="L2590" s="24" t="str">
        <x:v>-6.00</x:v>
      </x:c>
      <x:c r="M2590" s="24" t="str">
        <x:v>0.75 a 3.50</x:v>
      </x:c>
      <x:c r="N2590" s="24" t="str">
        <x:v>75</x:v>
      </x:c>
      <x:c r="O2590" s="24"/>
      <x:c r="P2590" s="24"/>
      <x:c r="Q2590" s="24" t="str">
        <x:v>DISPONÍVEL</x:v>
      </x:c>
      <x:c r="R2590" s="24" t="str">
        <x:v>Programa de Parcerias ZEISS</x:v>
      </x:c>
      <x:c r="S2590" s="24" t="n">
        <x:v>43</x:v>
      </x:c>
      <x:c r="T2590" s="24" t="str">
        <x:v>tabela_zeiss.pdf</x:v>
      </x:c>
      <x:c r="U2590" s="24" t="str">
        <x:v>ZEISS|Progressiva|Surfaçada|Light 2 3Dv|PhotoFusion X|1.6|1.60|DuraVision Platinum UV|-7.25 a +6.00|-6.00|0.75 a 3.50|75|||43</x:v>
      </x:c>
    </x:row>
    <x:row r="2591">
      <x:c r="A2591" s="24" t="str">
        <x:v>ZS-0D2DF93B1150</x:v>
      </x:c>
      <x:c r="B2591" s="24" t="str">
        <x:v>ZEISS</x:v>
      </x:c>
      <x:c r="C2591" s="24" t="str">
        <x:v>Progressiva</x:v>
      </x:c>
      <x:c r="D2591" s="24" t="str">
        <x:v>Surfaçada</x:v>
      </x:c>
      <x:c r="E2591" s="24" t="str">
        <x:v>Light 2 3Dv</x:v>
      </x:c>
      <x:c r="F2591" s="24" t="str">
        <x:v>PhotoFusion X</x:v>
      </x:c>
      <x:c r="G2591" s="24" t="str">
        <x:v>1.6</x:v>
      </x:c>
      <x:c r="H2591" s="24" t="str">
        <x:v>1.60</x:v>
      </x:c>
      <x:c r="I2591" s="24" t="str">
        <x:v>DuraVision Silver UV</x:v>
      </x:c>
      <x:c r="J2591" s="40" t="n">
        <x:v>5689</x:v>
      </x:c>
      <x:c r="K2591" s="24" t="str">
        <x:v>-7.25 a +6.00</x:v>
      </x:c>
      <x:c r="L2591" s="24" t="str">
        <x:v>-6.00</x:v>
      </x:c>
      <x:c r="M2591" s="24" t="str">
        <x:v>0.75 a 3.50</x:v>
      </x:c>
      <x:c r="N2591" s="24" t="str">
        <x:v>75</x:v>
      </x:c>
      <x:c r="O2591" s="24"/>
      <x:c r="P2591" s="24"/>
      <x:c r="Q2591" s="24" t="str">
        <x:v>DISPONÍVEL</x:v>
      </x:c>
      <x:c r="R2591" s="24" t="str">
        <x:v>Programa de Parcerias ZEISS</x:v>
      </x:c>
      <x:c r="S2591" s="24" t="n">
        <x:v>43</x:v>
      </x:c>
      <x:c r="T2591" s="24" t="str">
        <x:v>tabela_zeiss.pdf</x:v>
      </x:c>
      <x:c r="U2591" s="24" t="str">
        <x:v>ZEISS|Progressiva|Surfaçada|Light 2 3Dv|PhotoFusion X|1.6|1.60|DuraVision Silver UV|-7.25 a +6.00|-6.00|0.75 a 3.50|75|||43</x:v>
      </x:c>
    </x:row>
    <x:row r="2592">
      <x:c r="A2592" s="24" t="str">
        <x:v>ZS-B43D235822F0</x:v>
      </x:c>
      <x:c r="B2592" s="24" t="str">
        <x:v>ZEISS</x:v>
      </x:c>
      <x:c r="C2592" s="24" t="str">
        <x:v>Progressiva</x:v>
      </x:c>
      <x:c r="D2592" s="24" t="str">
        <x:v>Surfaçada</x:v>
      </x:c>
      <x:c r="E2592" s="24" t="str">
        <x:v>Light 2 3Dv</x:v>
      </x:c>
      <x:c r="F2592" s="24" t="str">
        <x:v>PhotoFusion X</x:v>
      </x:c>
      <x:c r="G2592" s="24" t="str">
        <x:v>1.6</x:v>
      </x:c>
      <x:c r="H2592" s="24" t="str">
        <x:v>1.60</x:v>
      </x:c>
      <x:c r="I2592" s="24" t="str">
        <x:v>DuraVision Chrome UV</x:v>
      </x:c>
      <x:c r="J2592" s="40" t="n">
        <x:v>5199</x:v>
      </x:c>
      <x:c r="K2592" s="24" t="str">
        <x:v>-7.25 a +6.00</x:v>
      </x:c>
      <x:c r="L2592" s="24" t="str">
        <x:v>-6.00</x:v>
      </x:c>
      <x:c r="M2592" s="24" t="str">
        <x:v>0.75 a 3.50</x:v>
      </x:c>
      <x:c r="N2592" s="24" t="str">
        <x:v>75</x:v>
      </x:c>
      <x:c r="O2592" s="24"/>
      <x:c r="P2592" s="24"/>
      <x:c r="Q2592" s="24" t="str">
        <x:v>DISPONÍVEL</x:v>
      </x:c>
      <x:c r="R2592" s="24" t="str">
        <x:v>Programa de Parcerias ZEISS</x:v>
      </x:c>
      <x:c r="S2592" s="24" t="n">
        <x:v>43</x:v>
      </x:c>
      <x:c r="T2592" s="24" t="str">
        <x:v>tabela_zeiss.pdf</x:v>
      </x:c>
      <x:c r="U2592" s="24" t="str">
        <x:v>ZEISS|Progressiva|Surfaçada|Light 2 3Dv|PhotoFusion X|1.6|1.60|DuraVision Chrome UV|-7.25 a +6.00|-6.00|0.75 a 3.50|75|||43</x:v>
      </x:c>
    </x:row>
    <x:row r="2593">
      <x:c r="A2593" s="24" t="str">
        <x:v>ZS-797E8C0390EF</x:v>
      </x:c>
      <x:c r="B2593" s="24" t="str">
        <x:v>ZEISS</x:v>
      </x:c>
      <x:c r="C2593" s="24" t="str">
        <x:v>Progressiva</x:v>
      </x:c>
      <x:c r="D2593" s="24" t="str">
        <x:v>Surfaçada</x:v>
      </x:c>
      <x:c r="E2593" s="24" t="str">
        <x:v>Light 2 3Dv</x:v>
      </x:c>
      <x:c r="F2593" s="24" t="str">
        <x:v>PhotoFusion X</x:v>
      </x:c>
      <x:c r="G2593" s="24" t="str">
        <x:v>1.67</x:v>
      </x:c>
      <x:c r="H2593" s="24" t="str">
        <x:v>1.67</x:v>
      </x:c>
      <x:c r="I2593" s="24" t="str">
        <x:v>DuraVision Gold UV</x:v>
      </x:c>
      <x:c r="J2593" s="40" t="n">
        <x:v>7389</x:v>
      </x:c>
      <x:c r="K2593" s="24" t="str">
        <x:v>-10.00 a +6.00</x:v>
      </x:c>
      <x:c r="L2593" s="24" t="str">
        <x:v>-6.00</x:v>
      </x:c>
      <x:c r="M2593" s="24" t="str">
        <x:v>0.75 a 3.00</x:v>
      </x:c>
      <x:c r="N2593" s="24" t="str">
        <x:v>70</x:v>
      </x:c>
      <x:c r="O2593" s="24"/>
      <x:c r="P2593" s="24"/>
      <x:c r="Q2593" s="24" t="str">
        <x:v>DISPONÍVEL</x:v>
      </x:c>
      <x:c r="R2593" s="24" t="str">
        <x:v>Programa de Parcerias ZEISS</x:v>
      </x:c>
      <x:c r="S2593" s="24" t="n">
        <x:v>43</x:v>
      </x:c>
      <x:c r="T2593" s="24" t="str">
        <x:v>tabela_zeiss.pdf</x:v>
      </x:c>
      <x:c r="U2593" s="24" t="str">
        <x:v>ZEISS|Progressiva|Surfaçada|Light 2 3Dv|PhotoFusion X|1.67|1.67|DuraVision Gold UV|-10.00 a +6.00|-6.00|0.75 a 3.00|70|||43</x:v>
      </x:c>
    </x:row>
    <x:row r="2594">
      <x:c r="A2594" s="24" t="str">
        <x:v>ZS-BDFDE0A1A58E</x:v>
      </x:c>
      <x:c r="B2594" s="24" t="str">
        <x:v>ZEISS</x:v>
      </x:c>
      <x:c r="C2594" s="24" t="str">
        <x:v>Progressiva</x:v>
      </x:c>
      <x:c r="D2594" s="24" t="str">
        <x:v>Surfaçada</x:v>
      </x:c>
      <x:c r="E2594" s="24" t="str">
        <x:v>Light 2 3Dv</x:v>
      </x:c>
      <x:c r="F2594" s="24" t="str">
        <x:v>PhotoFusion X</x:v>
      </x:c>
      <x:c r="G2594" s="24" t="str">
        <x:v>1.67</x:v>
      </x:c>
      <x:c r="H2594" s="24" t="str">
        <x:v>1.67</x:v>
      </x:c>
      <x:c r="I2594" s="24" t="str">
        <x:v>DURAVISION® ANTIVÍRUS PLATINUM UV</x:v>
      </x:c>
      <x:c r="J2594" s="40" t="n">
        <x:v>7249</x:v>
      </x:c>
      <x:c r="K2594" s="24" t="str">
        <x:v>-10.00 a +6.00</x:v>
      </x:c>
      <x:c r="L2594" s="24" t="str">
        <x:v>-6.00</x:v>
      </x:c>
      <x:c r="M2594" s="24" t="str">
        <x:v>0.75 a 3.00</x:v>
      </x:c>
      <x:c r="N2594" s="24" t="str">
        <x:v>70</x:v>
      </x:c>
      <x:c r="O2594" s="24"/>
      <x:c r="P2594" s="24"/>
      <x:c r="Q2594" s="24" t="str">
        <x:v>DISPONÍVEL</x:v>
      </x:c>
      <x:c r="R2594" s="24" t="str">
        <x:v>Programa de Parcerias ZEISS</x:v>
      </x:c>
      <x:c r="S2594" s="24" t="n">
        <x:v>43</x:v>
      </x:c>
      <x:c r="T2594" s="24" t="str">
        <x:v>tabela_zeiss.pdf</x:v>
      </x:c>
      <x:c r="U2594" s="24" t="str">
        <x:v>ZEISS|Progressiva|Surfaçada|Light 2 3Dv|PhotoFusion X|1.67|1.67|DURAVISION® ANTIVÍRUS PLATINUM UV|-10.00 a +6.00|-6.00|0.75 a 3.00|70|||43</x:v>
      </x:c>
    </x:row>
    <x:row r="2595">
      <x:c r="A2595" s="24" t="str">
        <x:v>ZS-E7363C877DD6</x:v>
      </x:c>
      <x:c r="B2595" s="24" t="str">
        <x:v>ZEISS</x:v>
      </x:c>
      <x:c r="C2595" s="24" t="str">
        <x:v>Progressiva</x:v>
      </x:c>
      <x:c r="D2595" s="24" t="str">
        <x:v>Surfaçada</x:v>
      </x:c>
      <x:c r="E2595" s="24" t="str">
        <x:v>Light 2 3Dv</x:v>
      </x:c>
      <x:c r="F2595" s="24" t="str">
        <x:v>PhotoFusion X</x:v>
      </x:c>
      <x:c r="G2595" s="24" t="str">
        <x:v>1.67</x:v>
      </x:c>
      <x:c r="H2595" s="24" t="str">
        <x:v>1.67</x:v>
      </x:c>
      <x:c r="I2595" s="24" t="str">
        <x:v>DuraVision Platinum UV</x:v>
      </x:c>
      <x:c r="J2595" s="40" t="n">
        <x:v>7249</x:v>
      </x:c>
      <x:c r="K2595" s="24" t="str">
        <x:v>-10.00 a +6.00</x:v>
      </x:c>
      <x:c r="L2595" s="24" t="str">
        <x:v>-6.00</x:v>
      </x:c>
      <x:c r="M2595" s="24" t="str">
        <x:v>0.75 a 3.00</x:v>
      </x:c>
      <x:c r="N2595" s="24" t="str">
        <x:v>70</x:v>
      </x:c>
      <x:c r="O2595" s="24"/>
      <x:c r="P2595" s="24"/>
      <x:c r="Q2595" s="24" t="str">
        <x:v>DISPONÍVEL</x:v>
      </x:c>
      <x:c r="R2595" s="24" t="str">
        <x:v>Programa de Parcerias ZEISS</x:v>
      </x:c>
      <x:c r="S2595" s="24" t="n">
        <x:v>43</x:v>
      </x:c>
      <x:c r="T2595" s="24" t="str">
        <x:v>tabela_zeiss.pdf</x:v>
      </x:c>
      <x:c r="U2595" s="24" t="str">
        <x:v>ZEISS|Progressiva|Surfaçada|Light 2 3Dv|PhotoFusion X|1.67|1.67|DuraVision Platinum UV|-10.00 a +6.00|-6.00|0.75 a 3.00|70|||43</x:v>
      </x:c>
    </x:row>
    <x:row r="2596">
      <x:c r="A2596" s="24" t="str">
        <x:v>ZS-CF152DA2D796</x:v>
      </x:c>
      <x:c r="B2596" s="24" t="str">
        <x:v>ZEISS</x:v>
      </x:c>
      <x:c r="C2596" s="24" t="str">
        <x:v>Progressiva</x:v>
      </x:c>
      <x:c r="D2596" s="24" t="str">
        <x:v>Surfaçada</x:v>
      </x:c>
      <x:c r="E2596" s="24" t="str">
        <x:v>Light 2 3Dv</x:v>
      </x:c>
      <x:c r="F2596" s="24" t="str">
        <x:v>PhotoFusion X</x:v>
      </x:c>
      <x:c r="G2596" s="24" t="str">
        <x:v>1.67</x:v>
      </x:c>
      <x:c r="H2596" s="24" t="str">
        <x:v>1.67</x:v>
      </x:c>
      <x:c r="I2596" s="24" t="str">
        <x:v>DuraVision Silver UV</x:v>
      </x:c>
      <x:c r="J2596" s="40" t="n">
        <x:v>6989</x:v>
      </x:c>
      <x:c r="K2596" s="24" t="str">
        <x:v>-10.00 a +6.00</x:v>
      </x:c>
      <x:c r="L2596" s="24" t="str">
        <x:v>-6.00</x:v>
      </x:c>
      <x:c r="M2596" s="24" t="str">
        <x:v>0.75 a 3.00</x:v>
      </x:c>
      <x:c r="N2596" s="24" t="str">
        <x:v>70</x:v>
      </x:c>
      <x:c r="O2596" s="24"/>
      <x:c r="P2596" s="24"/>
      <x:c r="Q2596" s="24" t="str">
        <x:v>DISPONÍVEL</x:v>
      </x:c>
      <x:c r="R2596" s="24" t="str">
        <x:v>Programa de Parcerias ZEISS</x:v>
      </x:c>
      <x:c r="S2596" s="24" t="n">
        <x:v>43</x:v>
      </x:c>
      <x:c r="T2596" s="24" t="str">
        <x:v>tabela_zeiss.pdf</x:v>
      </x:c>
      <x:c r="U2596" s="24" t="str">
        <x:v>ZEISS|Progressiva|Surfaçada|Light 2 3Dv|PhotoFusion X|1.67|1.67|DuraVision Silver UV|-10.00 a +6.00|-6.00|0.75 a 3.00|70|||43</x:v>
      </x:c>
    </x:row>
    <x:row r="2597">
      <x:c r="A2597" s="24" t="str">
        <x:v>ZS-E50A2BA4EFA6</x:v>
      </x:c>
      <x:c r="B2597" s="24" t="str">
        <x:v>ZEISS</x:v>
      </x:c>
      <x:c r="C2597" s="24" t="str">
        <x:v>Progressiva</x:v>
      </x:c>
      <x:c r="D2597" s="24" t="str">
        <x:v>Surfaçada</x:v>
      </x:c>
      <x:c r="E2597" s="24" t="str">
        <x:v>Light 2 3Dv</x:v>
      </x:c>
      <x:c r="F2597" s="24" t="str">
        <x:v>PhotoFusion X</x:v>
      </x:c>
      <x:c r="G2597" s="24" t="str">
        <x:v>1.67</x:v>
      </x:c>
      <x:c r="H2597" s="24" t="str">
        <x:v>1.67</x:v>
      </x:c>
      <x:c r="I2597" s="24" t="str">
        <x:v>DuraVision Chrome UV</x:v>
      </x:c>
      <x:c r="J2597" s="40" t="n">
        <x:v>6499</x:v>
      </x:c>
      <x:c r="K2597" s="24" t="str">
        <x:v>-10.00 a +6.00</x:v>
      </x:c>
      <x:c r="L2597" s="24" t="str">
        <x:v>-6.00</x:v>
      </x:c>
      <x:c r="M2597" s="24" t="str">
        <x:v>0.75 a 3.00</x:v>
      </x:c>
      <x:c r="N2597" s="24" t="str">
        <x:v>70</x:v>
      </x:c>
      <x:c r="O2597" s="24"/>
      <x:c r="P2597" s="24"/>
      <x:c r="Q2597" s="24" t="str">
        <x:v>DISPONÍVEL</x:v>
      </x:c>
      <x:c r="R2597" s="24" t="str">
        <x:v>Programa de Parcerias ZEISS</x:v>
      </x:c>
      <x:c r="S2597" s="24" t="n">
        <x:v>43</x:v>
      </x:c>
      <x:c r="T2597" s="24" t="str">
        <x:v>tabela_zeiss.pdf</x:v>
      </x:c>
      <x:c r="U2597" s="24" t="str">
        <x:v>ZEISS|Progressiva|Surfaçada|Light 2 3Dv|PhotoFusion X|1.67|1.67|DuraVision Chrome UV|-10.00 a +6.00|-6.00|0.75 a 3.00|70|||43</x:v>
      </x:c>
    </x:row>
    <x:row r="2598">
      <x:c r="A2598" s="24" t="str">
        <x:v>ZS-53368882DC17</x:v>
      </x:c>
      <x:c r="B2598" s="24" t="str">
        <x:v>ZEISS</x:v>
      </x:c>
      <x:c r="C2598" s="24" t="str">
        <x:v>Progressiva</x:v>
      </x:c>
      <x:c r="D2598" s="24" t="str">
        <x:v>Surfaçada</x:v>
      </x:c>
      <x:c r="E2598" s="24" t="str">
        <x:v>Light 2 3Dv</x:v>
      </x:c>
      <x:c r="F2598" s="24" t="str">
        <x:v>PhotoFusion X Extra Dark Cinza</x:v>
      </x:c>
      <x:c r="G2598" s="24" t="str">
        <x:v>1.5</x:v>
      </x:c>
      <x:c r="H2598" s="24" t="str">
        <x:v>1.50</x:v>
      </x:c>
      <x:c r="I2598" s="24" t="str">
        <x:v>DuraVision Gold UV</x:v>
      </x:c>
      <x:c r="J2598" s="40" t="n">
        <x:v>5559</x:v>
      </x:c>
      <x:c r="K2598" s="24" t="str">
        <x:v>-6.00 a +5.00</x:v>
      </x:c>
      <x:c r="L2598" s="24" t="str">
        <x:v>-4.00</x:v>
      </x:c>
      <x:c r="M2598" s="24" t="str">
        <x:v>0.75 a 3.00</x:v>
      </x:c>
      <x:c r="N2598" s="24" t="str">
        <x:v>75</x:v>
      </x:c>
      <x:c r="O2598" s="24"/>
      <x:c r="P2598" s="24"/>
      <x:c r="Q2598" s="24" t="str">
        <x:v>DISPONÍVEL</x:v>
      </x:c>
      <x:c r="R2598" s="24" t="str">
        <x:v>Programa de Parcerias ZEISS</x:v>
      </x:c>
      <x:c r="S2598" s="24" t="n">
        <x:v>43</x:v>
      </x:c>
      <x:c r="T2598" s="24" t="str">
        <x:v>tabela_zeiss.pdf</x:v>
      </x:c>
      <x:c r="U2598" s="24" t="str">
        <x:v>ZEISS|Progressiva|Surfaçada|Light 2 3Dv|PhotoFusion X Extra Dark Cinza|1.5|1.50|DuraVision Gold UV|-6.00 a +5.00|-4.00|0.75 a 3.00|75|||43</x:v>
      </x:c>
    </x:row>
    <x:row r="2599">
      <x:c r="A2599" s="24" t="str">
        <x:v>ZS-606AE1ACE1CE</x:v>
      </x:c>
      <x:c r="B2599" s="24" t="str">
        <x:v>ZEISS</x:v>
      </x:c>
      <x:c r="C2599" s="24" t="str">
        <x:v>Progressiva</x:v>
      </x:c>
      <x:c r="D2599" s="24" t="str">
        <x:v>Surfaçada</x:v>
      </x:c>
      <x:c r="E2599" s="24" t="str">
        <x:v>Light 2 3Dv</x:v>
      </x:c>
      <x:c r="F2599" s="24" t="str">
        <x:v>PhotoFusion X Extra Dark Cinza</x:v>
      </x:c>
      <x:c r="G2599" s="24" t="str">
        <x:v>1.5</x:v>
      </x:c>
      <x:c r="H2599" s="24" t="str">
        <x:v>1.50</x:v>
      </x:c>
      <x:c r="I2599" s="24" t="str">
        <x:v>DURAVISION® ANTIVÍRUS PLATINUM UV</x:v>
      </x:c>
      <x:c r="J2599" s="40" t="n">
        <x:v>5419</x:v>
      </x:c>
      <x:c r="K2599" s="24" t="str">
        <x:v>-6.00 a +5.00</x:v>
      </x:c>
      <x:c r="L2599" s="24" t="str">
        <x:v>-4.00</x:v>
      </x:c>
      <x:c r="M2599" s="24" t="str">
        <x:v>0.75 a 3.00</x:v>
      </x:c>
      <x:c r="N2599" s="24" t="str">
        <x:v>75</x:v>
      </x:c>
      <x:c r="O2599" s="24"/>
      <x:c r="P2599" s="24"/>
      <x:c r="Q2599" s="24" t="str">
        <x:v>DISPONÍVEL</x:v>
      </x:c>
      <x:c r="R2599" s="24" t="str">
        <x:v>Programa de Parcerias ZEISS</x:v>
      </x:c>
      <x:c r="S2599" s="24" t="n">
        <x:v>43</x:v>
      </x:c>
      <x:c r="T2599" s="24" t="str">
        <x:v>tabela_zeiss.pdf</x:v>
      </x:c>
      <x:c r="U2599" s="24" t="str">
        <x:v>ZEISS|Progressiva|Surfaçada|Light 2 3Dv|PhotoFusion X Extra Dark Cinza|1.5|1.50|DURAVISION® ANTIVÍRUS PLATINUM UV|-6.00 a +5.00|-4.00|0.75 a 3.00|75|||43</x:v>
      </x:c>
    </x:row>
    <x:row r="2600">
      <x:c r="A2600" s="24" t="str">
        <x:v>ZS-7A8BEF202970</x:v>
      </x:c>
      <x:c r="B2600" s="24" t="str">
        <x:v>ZEISS</x:v>
      </x:c>
      <x:c r="C2600" s="24" t="str">
        <x:v>Progressiva</x:v>
      </x:c>
      <x:c r="D2600" s="24" t="str">
        <x:v>Surfaçada</x:v>
      </x:c>
      <x:c r="E2600" s="24" t="str">
        <x:v>Light 2 3Dv</x:v>
      </x:c>
      <x:c r="F2600" s="24" t="str">
        <x:v>PhotoFusion X Extra Dark Cinza</x:v>
      </x:c>
      <x:c r="G2600" s="24" t="str">
        <x:v>1.5</x:v>
      </x:c>
      <x:c r="H2600" s="24" t="str">
        <x:v>1.50</x:v>
      </x:c>
      <x:c r="I2600" s="24" t="str">
        <x:v>DuraVision Platinum UV</x:v>
      </x:c>
      <x:c r="J2600" s="40" t="n">
        <x:v>5419</x:v>
      </x:c>
      <x:c r="K2600" s="24" t="str">
        <x:v>-6.00 a +5.00</x:v>
      </x:c>
      <x:c r="L2600" s="24" t="str">
        <x:v>-4.00</x:v>
      </x:c>
      <x:c r="M2600" s="24" t="str">
        <x:v>0.75 a 3.00</x:v>
      </x:c>
      <x:c r="N2600" s="24" t="str">
        <x:v>75</x:v>
      </x:c>
      <x:c r="O2600" s="24"/>
      <x:c r="P2600" s="24"/>
      <x:c r="Q2600" s="24" t="str">
        <x:v>DISPONÍVEL</x:v>
      </x:c>
      <x:c r="R2600" s="24" t="str">
        <x:v>Programa de Parcerias ZEISS</x:v>
      </x:c>
      <x:c r="S2600" s="24" t="n">
        <x:v>43</x:v>
      </x:c>
      <x:c r="T2600" s="24" t="str">
        <x:v>tabela_zeiss.pdf</x:v>
      </x:c>
      <x:c r="U2600" s="24" t="str">
        <x:v>ZEISS|Progressiva|Surfaçada|Light 2 3Dv|PhotoFusion X Extra Dark Cinza|1.5|1.50|DuraVision Platinum UV|-6.00 a +5.00|-4.00|0.75 a 3.00|75|||43</x:v>
      </x:c>
    </x:row>
    <x:row r="2601">
      <x:c r="A2601" s="24" t="str">
        <x:v>ZS-82862CC961FA</x:v>
      </x:c>
      <x:c r="B2601" s="24" t="str">
        <x:v>ZEISS</x:v>
      </x:c>
      <x:c r="C2601" s="24" t="str">
        <x:v>Progressiva</x:v>
      </x:c>
      <x:c r="D2601" s="24" t="str">
        <x:v>Surfaçada</x:v>
      </x:c>
      <x:c r="E2601" s="24" t="str">
        <x:v>Light 2 3Dv</x:v>
      </x:c>
      <x:c r="F2601" s="24" t="str">
        <x:v>PhotoFusion X Extra Dark Cinza</x:v>
      </x:c>
      <x:c r="G2601" s="24" t="str">
        <x:v>1.5</x:v>
      </x:c>
      <x:c r="H2601" s="24" t="str">
        <x:v>1.50</x:v>
      </x:c>
      <x:c r="I2601" s="24" t="str">
        <x:v>DuraVision Silver UV</x:v>
      </x:c>
      <x:c r="J2601" s="40" t="n">
        <x:v>5159</x:v>
      </x:c>
      <x:c r="K2601" s="24" t="str">
        <x:v>-6.00 a +5.00</x:v>
      </x:c>
      <x:c r="L2601" s="24" t="str">
        <x:v>-4.00</x:v>
      </x:c>
      <x:c r="M2601" s="24" t="str">
        <x:v>0.75 a 3.00</x:v>
      </x:c>
      <x:c r="N2601" s="24" t="str">
        <x:v>75</x:v>
      </x:c>
      <x:c r="O2601" s="24"/>
      <x:c r="P2601" s="24"/>
      <x:c r="Q2601" s="24" t="str">
        <x:v>DISPONÍVEL</x:v>
      </x:c>
      <x:c r="R2601" s="24" t="str">
        <x:v>Programa de Parcerias ZEISS</x:v>
      </x:c>
      <x:c r="S2601" s="24" t="n">
        <x:v>43</x:v>
      </x:c>
      <x:c r="T2601" s="24" t="str">
        <x:v>tabela_zeiss.pdf</x:v>
      </x:c>
      <x:c r="U2601" s="24" t="str">
        <x:v>ZEISS|Progressiva|Surfaçada|Light 2 3Dv|PhotoFusion X Extra Dark Cinza|1.5|1.50|DuraVision Silver UV|-6.00 a +5.00|-4.00|0.75 a 3.00|75|||43</x:v>
      </x:c>
    </x:row>
    <x:row r="2602">
      <x:c r="A2602" s="24" t="str">
        <x:v>ZS-DE42D344F5E1</x:v>
      </x:c>
      <x:c r="B2602" s="24" t="str">
        <x:v>ZEISS</x:v>
      </x:c>
      <x:c r="C2602" s="24" t="str">
        <x:v>Progressiva</x:v>
      </x:c>
      <x:c r="D2602" s="24" t="str">
        <x:v>Surfaçada</x:v>
      </x:c>
      <x:c r="E2602" s="24" t="str">
        <x:v>Light 2 3Dv</x:v>
      </x:c>
      <x:c r="F2602" s="24" t="str">
        <x:v>PhotoFusion X Extra Dark Cinza</x:v>
      </x:c>
      <x:c r="G2602" s="24" t="str">
        <x:v>1.5</x:v>
      </x:c>
      <x:c r="H2602" s="24" t="str">
        <x:v>1.50</x:v>
      </x:c>
      <x:c r="I2602" s="24" t="str">
        <x:v>DuraVision Chrome UV</x:v>
      </x:c>
      <x:c r="J2602" s="40" t="n">
        <x:v>4669</x:v>
      </x:c>
      <x:c r="K2602" s="24" t="str">
        <x:v>-6.00 a +5.00</x:v>
      </x:c>
      <x:c r="L2602" s="24" t="str">
        <x:v>-4.00</x:v>
      </x:c>
      <x:c r="M2602" s="24" t="str">
        <x:v>0.75 a 3.00</x:v>
      </x:c>
      <x:c r="N2602" s="24" t="str">
        <x:v>75</x:v>
      </x:c>
      <x:c r="O2602" s="24"/>
      <x:c r="P2602" s="24"/>
      <x:c r="Q2602" s="24" t="str">
        <x:v>DISPONÍVEL</x:v>
      </x:c>
      <x:c r="R2602" s="24" t="str">
        <x:v>Programa de Parcerias ZEISS</x:v>
      </x:c>
      <x:c r="S2602" s="24" t="n">
        <x:v>43</x:v>
      </x:c>
      <x:c r="T2602" s="24" t="str">
        <x:v>tabela_zeiss.pdf</x:v>
      </x:c>
      <x:c r="U2602" s="24" t="str">
        <x:v>ZEISS|Progressiva|Surfaçada|Light 2 3Dv|PhotoFusion X Extra Dark Cinza|1.5|1.50|DuraVision Chrome UV|-6.00 a +5.00|-4.00|0.75 a 3.00|75|||43</x:v>
      </x:c>
    </x:row>
    <x:row r="2603">
      <x:c r="A2603" s="24" t="str">
        <x:v>ZS-9701CBCAC9D1</x:v>
      </x:c>
      <x:c r="B2603" s="24" t="str">
        <x:v>ZEISS</x:v>
      </x:c>
      <x:c r="C2603" s="24" t="str">
        <x:v>Progressiva</x:v>
      </x:c>
      <x:c r="D2603" s="24" t="str">
        <x:v>Surfaçada</x:v>
      </x:c>
      <x:c r="E2603" s="24" t="str">
        <x:v>Light 2 3Dv</x:v>
      </x:c>
      <x:c r="F2603" s="24" t="str">
        <x:v>PhotoFusion X Extra Dark Cinza</x:v>
      </x:c>
      <x:c r="G2603" s="24" t="str">
        <x:v>1.5</x:v>
      </x:c>
      <x:c r="H2603" s="24" t="str">
        <x:v>1.50</x:v>
      </x:c>
      <x:c r="I2603" s="24" t="str">
        <x:v>Sem AR</x:v>
      </x:c>
      <x:c r="J2603" s="40" t="n">
        <x:v>4269</x:v>
      </x:c>
      <x:c r="K2603" s="24" t="str">
        <x:v>-6.00 a +5.00</x:v>
      </x:c>
      <x:c r="L2603" s="24" t="str">
        <x:v>-4.00</x:v>
      </x:c>
      <x:c r="M2603" s="24" t="str">
        <x:v>0.75 a 3.00</x:v>
      </x:c>
      <x:c r="N2603" s="24" t="str">
        <x:v>75</x:v>
      </x:c>
      <x:c r="O2603" s="24"/>
      <x:c r="P2603" s="24"/>
      <x:c r="Q2603" s="24" t="str">
        <x:v>DISPONÍVEL</x:v>
      </x:c>
      <x:c r="R2603" s="24" t="str">
        <x:v>Programa de Parcerias ZEISS</x:v>
      </x:c>
      <x:c r="S2603" s="24" t="n">
        <x:v>43</x:v>
      </x:c>
      <x:c r="T2603" s="24" t="str">
        <x:v>tabela_zeiss.pdf</x:v>
      </x:c>
      <x:c r="U2603" s="24" t="str">
        <x:v>ZEISS|Progressiva|Surfaçada|Light 2 3Dv|PhotoFusion X Extra Dark Cinza|1.5|1.50|Sem AR|-6.00 a +5.00|-4.00|0.75 a 3.00|75|||43</x:v>
      </x:c>
    </x:row>
    <x:row r="2604">
      <x:c r="A2604" s="24" t="str">
        <x:v>ZS-6B431C51BB0E</x:v>
      </x:c>
      <x:c r="B2604" s="24" t="str">
        <x:v>ZEISS</x:v>
      </x:c>
      <x:c r="C2604" s="24" t="str">
        <x:v>Progressiva</x:v>
      </x:c>
      <x:c r="D2604" s="24" t="str">
        <x:v>Surfaçada</x:v>
      </x:c>
      <x:c r="E2604" s="24" t="str">
        <x:v>Light 2 3Dv</x:v>
      </x:c>
      <x:c r="F2604" s="24" t="str">
        <x:v>PhotoFusion X Extra Dark Cinza</x:v>
      </x:c>
      <x:c r="G2604" s="24" t="str">
        <x:v>Poli</x:v>
      </x:c>
      <x:c r="H2604" s="24"/>
      <x:c r="I2604" s="24" t="str">
        <x:v>DuraVision Gold UV</x:v>
      </x:c>
      <x:c r="J2604" s="40" t="n">
        <x:v>5919</x:v>
      </x:c>
      <x:c r="K2604" s="24" t="str">
        <x:v>-10.00 a +6.00</x:v>
      </x:c>
      <x:c r="L2604" s="24" t="str">
        <x:v>-6.00</x:v>
      </x:c>
      <x:c r="M2604" s="24" t="str">
        <x:v>0.75 a 3.00</x:v>
      </x:c>
      <x:c r="N2604" s="24" t="str">
        <x:v>72</x:v>
      </x:c>
      <x:c r="O2604" s="24"/>
      <x:c r="P2604" s="24"/>
      <x:c r="Q2604" s="24" t="str">
        <x:v>DISPONÍVEL</x:v>
      </x:c>
      <x:c r="R2604" s="24" t="str">
        <x:v>Programa de Parcerias ZEISS</x:v>
      </x:c>
      <x:c r="S2604" s="24" t="n">
        <x:v>43</x:v>
      </x:c>
      <x:c r="T2604" s="24" t="str">
        <x:v>tabela_zeiss.pdf</x:v>
      </x:c>
      <x:c r="U2604" s="24" t="str">
        <x:v>ZEISS|Progressiva|Surfaçada|Light 2 3Dv|PhotoFusion X Extra Dark Cinza|Poli||DuraVision Gold UV|-10.00 a +6.00|-6.00|0.75 a 3.00|72|||43</x:v>
      </x:c>
    </x:row>
    <x:row r="2605">
      <x:c r="A2605" s="24" t="str">
        <x:v>ZS-9BE53E1A846C</x:v>
      </x:c>
      <x:c r="B2605" s="24" t="str">
        <x:v>ZEISS</x:v>
      </x:c>
      <x:c r="C2605" s="24" t="str">
        <x:v>Progressiva</x:v>
      </x:c>
      <x:c r="D2605" s="24" t="str">
        <x:v>Surfaçada</x:v>
      </x:c>
      <x:c r="E2605" s="24" t="str">
        <x:v>Light 2 3Dv</x:v>
      </x:c>
      <x:c r="F2605" s="24" t="str">
        <x:v>PhotoFusion X Extra Dark Cinza</x:v>
      </x:c>
      <x:c r="G2605" s="24" t="str">
        <x:v>Poli</x:v>
      </x:c>
      <x:c r="H2605" s="24"/>
      <x:c r="I2605" s="24" t="str">
        <x:v>DuraVision Platinum UV</x:v>
      </x:c>
      <x:c r="J2605" s="40" t="n">
        <x:v>5779</x:v>
      </x:c>
      <x:c r="K2605" s="24" t="str">
        <x:v>-10.00 a +6.00</x:v>
      </x:c>
      <x:c r="L2605" s="24" t="str">
        <x:v>-6.00</x:v>
      </x:c>
      <x:c r="M2605" s="24" t="str">
        <x:v>0.75 a 3.00</x:v>
      </x:c>
      <x:c r="N2605" s="24" t="str">
        <x:v>72</x:v>
      </x:c>
      <x:c r="O2605" s="24"/>
      <x:c r="P2605" s="24"/>
      <x:c r="Q2605" s="24" t="str">
        <x:v>DISPONÍVEL</x:v>
      </x:c>
      <x:c r="R2605" s="24" t="str">
        <x:v>Programa de Parcerias ZEISS</x:v>
      </x:c>
      <x:c r="S2605" s="24" t="n">
        <x:v>43</x:v>
      </x:c>
      <x:c r="T2605" s="24" t="str">
        <x:v>tabela_zeiss.pdf</x:v>
      </x:c>
      <x:c r="U2605" s="24" t="str">
        <x:v>ZEISS|Progressiva|Surfaçada|Light 2 3Dv|PhotoFusion X Extra Dark Cinza|Poli||DuraVision Platinum UV|-10.00 a +6.00|-6.00|0.75 a 3.00|72|||43</x:v>
      </x:c>
    </x:row>
    <x:row r="2606">
      <x:c r="A2606" s="24" t="str">
        <x:v>ZS-75D82A8BF7B9</x:v>
      </x:c>
      <x:c r="B2606" s="24" t="str">
        <x:v>ZEISS</x:v>
      </x:c>
      <x:c r="C2606" s="24" t="str">
        <x:v>Progressiva</x:v>
      </x:c>
      <x:c r="D2606" s="24" t="str">
        <x:v>Surfaçada</x:v>
      </x:c>
      <x:c r="E2606" s="24" t="str">
        <x:v>Light 2 3Dv</x:v>
      </x:c>
      <x:c r="F2606" s="24" t="str">
        <x:v>PhotoFusion X Extra Dark Cinza</x:v>
      </x:c>
      <x:c r="G2606" s="24" t="str">
        <x:v>Poli</x:v>
      </x:c>
      <x:c r="H2606" s="24"/>
      <x:c r="I2606" s="24" t="str">
        <x:v>DuraVision Silver UV</x:v>
      </x:c>
      <x:c r="J2606" s="40" t="n">
        <x:v>5519</x:v>
      </x:c>
      <x:c r="K2606" s="24" t="str">
        <x:v>-10.00 a +6.00</x:v>
      </x:c>
      <x:c r="L2606" s="24" t="str">
        <x:v>-6.00</x:v>
      </x:c>
      <x:c r="M2606" s="24" t="str">
        <x:v>0.75 a 3.00</x:v>
      </x:c>
      <x:c r="N2606" s="24" t="str">
        <x:v>72</x:v>
      </x:c>
      <x:c r="O2606" s="24"/>
      <x:c r="P2606" s="24"/>
      <x:c r="Q2606" s="24" t="str">
        <x:v>DISPONÍVEL</x:v>
      </x:c>
      <x:c r="R2606" s="24" t="str">
        <x:v>Programa de Parcerias ZEISS</x:v>
      </x:c>
      <x:c r="S2606" s="24" t="n">
        <x:v>43</x:v>
      </x:c>
      <x:c r="T2606" s="24" t="str">
        <x:v>tabela_zeiss.pdf</x:v>
      </x:c>
      <x:c r="U2606" s="24" t="str">
        <x:v>ZEISS|Progressiva|Surfaçada|Light 2 3Dv|PhotoFusion X Extra Dark Cinza|Poli||DuraVision Silver UV|-10.00 a +6.00|-6.00|0.75 a 3.00|72|||43</x:v>
      </x:c>
    </x:row>
    <x:row r="2607">
      <x:c r="A2607" s="24" t="str">
        <x:v>ZS-83777CA97CE3</x:v>
      </x:c>
      <x:c r="B2607" s="24" t="str">
        <x:v>ZEISS</x:v>
      </x:c>
      <x:c r="C2607" s="24" t="str">
        <x:v>Progressiva</x:v>
      </x:c>
      <x:c r="D2607" s="24" t="str">
        <x:v>Surfaçada</x:v>
      </x:c>
      <x:c r="E2607" s="24" t="str">
        <x:v>Light 2 3Dv</x:v>
      </x:c>
      <x:c r="F2607" s="24" t="str">
        <x:v>PhotoFusion X Extra Dark Cinza</x:v>
      </x:c>
      <x:c r="G2607" s="24" t="str">
        <x:v>Poli</x:v>
      </x:c>
      <x:c r="H2607" s="24"/>
      <x:c r="I2607" s="24" t="str">
        <x:v>DuraVision Chrome UV</x:v>
      </x:c>
      <x:c r="J2607" s="40" t="n">
        <x:v>5029</x:v>
      </x:c>
      <x:c r="K2607" s="24" t="str">
        <x:v>-10.00 a +6.00</x:v>
      </x:c>
      <x:c r="L2607" s="24" t="str">
        <x:v>-6.00</x:v>
      </x:c>
      <x:c r="M2607" s="24" t="str">
        <x:v>0.75 a 3.00</x:v>
      </x:c>
      <x:c r="N2607" s="24" t="str">
        <x:v>72</x:v>
      </x:c>
      <x:c r="O2607" s="24"/>
      <x:c r="P2607" s="24"/>
      <x:c r="Q2607" s="24" t="str">
        <x:v>DISPONÍVEL</x:v>
      </x:c>
      <x:c r="R2607" s="24" t="str">
        <x:v>Programa de Parcerias ZEISS</x:v>
      </x:c>
      <x:c r="S2607" s="24" t="n">
        <x:v>43</x:v>
      </x:c>
      <x:c r="T2607" s="24" t="str">
        <x:v>tabela_zeiss.pdf</x:v>
      </x:c>
      <x:c r="U2607" s="24" t="str">
        <x:v>ZEISS|Progressiva|Surfaçada|Light 2 3Dv|PhotoFusion X Extra Dark Cinza|Poli||DuraVision Chrome UV|-10.00 a +6.00|-6.00|0.75 a 3.00|72|||43</x:v>
      </x:c>
    </x:row>
    <x:row r="2608">
      <x:c r="A2608" s="24" t="str">
        <x:v>ZS-F2EA88F97B14</x:v>
      </x:c>
      <x:c r="B2608" s="24" t="str">
        <x:v>ZEISS</x:v>
      </x:c>
      <x:c r="C2608" s="24" t="str">
        <x:v>Progressiva</x:v>
      </x:c>
      <x:c r="D2608" s="24" t="str">
        <x:v>Surfaçada</x:v>
      </x:c>
      <x:c r="E2608" s="24" t="str">
        <x:v>Light 2 3Dv</x:v>
      </x:c>
      <x:c r="F2608" s="24" t="str">
        <x:v>PhotoFusion X Extra Dark Cinza</x:v>
      </x:c>
      <x:c r="G2608" s="24" t="str">
        <x:v>Poli</x:v>
      </x:c>
      <x:c r="H2608" s="24"/>
      <x:c r="I2608" s="24" t="str">
        <x:v>Sem AR</x:v>
      </x:c>
      <x:c r="J2608" s="40" t="n">
        <x:v>4629</x:v>
      </x:c>
      <x:c r="K2608" s="24" t="str">
        <x:v>-10.00 a +6.00</x:v>
      </x:c>
      <x:c r="L2608" s="24" t="str">
        <x:v>-6.00</x:v>
      </x:c>
      <x:c r="M2608" s="24" t="str">
        <x:v>0.75 a 3.00</x:v>
      </x:c>
      <x:c r="N2608" s="24" t="str">
        <x:v>72</x:v>
      </x:c>
      <x:c r="O2608" s="24"/>
      <x:c r="P2608" s="24"/>
      <x:c r="Q2608" s="24" t="str">
        <x:v>DISPONÍVEL</x:v>
      </x:c>
      <x:c r="R2608" s="24" t="str">
        <x:v>Programa de Parcerias ZEISS</x:v>
      </x:c>
      <x:c r="S2608" s="24" t="n">
        <x:v>43</x:v>
      </x:c>
      <x:c r="T2608" s="24" t="str">
        <x:v>tabela_zeiss.pdf</x:v>
      </x:c>
      <x:c r="U2608" s="24" t="str">
        <x:v>ZEISS|Progressiva|Surfaçada|Light 2 3Dv|PhotoFusion X Extra Dark Cinza|Poli||Sem AR|-10.00 a +6.00|-6.00|0.75 a 3.00|72|||43</x:v>
      </x:c>
    </x:row>
    <x:row r="2609">
      <x:c r="A2609" s="24" t="str">
        <x:v>ZS-550095C47790</x:v>
      </x:c>
      <x:c r="B2609" s="24" t="str">
        <x:v>ZEISS</x:v>
      </x:c>
      <x:c r="C2609" s="24" t="str">
        <x:v>Progressiva</x:v>
      </x:c>
      <x:c r="D2609" s="24" t="str">
        <x:v>Surfaçada</x:v>
      </x:c>
      <x:c r="E2609" s="24" t="str">
        <x:v>Light 2 3Dv</x:v>
      </x:c>
      <x:c r="F2609" s="24" t="str">
        <x:v>PhotoFusion X Extra Dark Cinza</x:v>
      </x:c>
      <x:c r="G2609" s="24" t="str">
        <x:v>1.6</x:v>
      </x:c>
      <x:c r="H2609" s="24" t="str">
        <x:v>1.60</x:v>
      </x:c>
      <x:c r="I2609" s="24" t="str">
        <x:v>DuraVision Gold UV</x:v>
      </x:c>
      <x:c r="J2609" s="40" t="n">
        <x:v>6139</x:v>
      </x:c>
      <x:c r="K2609" s="24" t="str">
        <x:v>-7.25 a +6.00</x:v>
      </x:c>
      <x:c r="L2609" s="24" t="str">
        <x:v>-6.00</x:v>
      </x:c>
      <x:c r="M2609" s="24" t="str">
        <x:v>0.75 a 3.50</x:v>
      </x:c>
      <x:c r="N2609" s="24" t="str">
        <x:v>75</x:v>
      </x:c>
      <x:c r="O2609" s="24"/>
      <x:c r="P2609" s="24"/>
      <x:c r="Q2609" s="24" t="str">
        <x:v>DISPONÍVEL</x:v>
      </x:c>
      <x:c r="R2609" s="24" t="str">
        <x:v>Programa de Parcerias ZEISS</x:v>
      </x:c>
      <x:c r="S2609" s="24" t="n">
        <x:v>43</x:v>
      </x:c>
      <x:c r="T2609" s="24" t="str">
        <x:v>tabela_zeiss.pdf</x:v>
      </x:c>
      <x:c r="U2609" s="24" t="str">
        <x:v>ZEISS|Progressiva|Surfaçada|Light 2 3Dv|PhotoFusion X Extra Dark Cinza|1.6|1.60|DuraVision Gold UV|-7.25 a +6.00|-6.00|0.75 a 3.50|75|||43</x:v>
      </x:c>
    </x:row>
    <x:row r="2610">
      <x:c r="A2610" s="24" t="str">
        <x:v>ZS-AA291113D032</x:v>
      </x:c>
      <x:c r="B2610" s="24" t="str">
        <x:v>ZEISS</x:v>
      </x:c>
      <x:c r="C2610" s="24" t="str">
        <x:v>Progressiva</x:v>
      </x:c>
      <x:c r="D2610" s="24" t="str">
        <x:v>Surfaçada</x:v>
      </x:c>
      <x:c r="E2610" s="24" t="str">
        <x:v>Light 2 3Dv</x:v>
      </x:c>
      <x:c r="F2610" s="24" t="str">
        <x:v>PhotoFusion X Extra Dark Cinza</x:v>
      </x:c>
      <x:c r="G2610" s="24" t="str">
        <x:v>1.6</x:v>
      </x:c>
      <x:c r="H2610" s="24" t="str">
        <x:v>1.60</x:v>
      </x:c>
      <x:c r="I2610" s="24" t="str">
        <x:v>DURAVISION® ANTIVÍRUS PLATINUM UV</x:v>
      </x:c>
      <x:c r="J2610" s="40" t="n">
        <x:v>5999</x:v>
      </x:c>
      <x:c r="K2610" s="24" t="str">
        <x:v>-7.25 a +6.00</x:v>
      </x:c>
      <x:c r="L2610" s="24" t="str">
        <x:v>-6.00</x:v>
      </x:c>
      <x:c r="M2610" s="24" t="str">
        <x:v>0.75 a 3.50</x:v>
      </x:c>
      <x:c r="N2610" s="24" t="str">
        <x:v>75</x:v>
      </x:c>
      <x:c r="O2610" s="24"/>
      <x:c r="P2610" s="24"/>
      <x:c r="Q2610" s="24" t="str">
        <x:v>DISPONÍVEL</x:v>
      </x:c>
      <x:c r="R2610" s="24" t="str">
        <x:v>Programa de Parcerias ZEISS</x:v>
      </x:c>
      <x:c r="S2610" s="24" t="n">
        <x:v>43</x:v>
      </x:c>
      <x:c r="T2610" s="24" t="str">
        <x:v>tabela_zeiss.pdf</x:v>
      </x:c>
      <x:c r="U2610" s="24" t="str">
        <x:v>ZEISS|Progressiva|Surfaçada|Light 2 3Dv|PhotoFusion X Extra Dark Cinza|1.6|1.60|DURAVISION® ANTIVÍRUS PLATINUM UV|-7.25 a +6.00|-6.00|0.75 a 3.50|75|||43</x:v>
      </x:c>
    </x:row>
    <x:row r="2611">
      <x:c r="A2611" s="24" t="str">
        <x:v>ZS-48AC1E934906</x:v>
      </x:c>
      <x:c r="B2611" s="24" t="str">
        <x:v>ZEISS</x:v>
      </x:c>
      <x:c r="C2611" s="24" t="str">
        <x:v>Progressiva</x:v>
      </x:c>
      <x:c r="D2611" s="24" t="str">
        <x:v>Surfaçada</x:v>
      </x:c>
      <x:c r="E2611" s="24" t="str">
        <x:v>Light 2 3Dv</x:v>
      </x:c>
      <x:c r="F2611" s="24" t="str">
        <x:v>PhotoFusion X Extra Dark Cinza</x:v>
      </x:c>
      <x:c r="G2611" s="24" t="str">
        <x:v>1.6</x:v>
      </x:c>
      <x:c r="H2611" s="24" t="str">
        <x:v>1.60</x:v>
      </x:c>
      <x:c r="I2611" s="24" t="str">
        <x:v>DuraVision Platinum UV</x:v>
      </x:c>
      <x:c r="J2611" s="40" t="n">
        <x:v>5999</x:v>
      </x:c>
      <x:c r="K2611" s="24" t="str">
        <x:v>-7.25 a +6.00</x:v>
      </x:c>
      <x:c r="L2611" s="24" t="str">
        <x:v>-6.00</x:v>
      </x:c>
      <x:c r="M2611" s="24" t="str">
        <x:v>0.75 a 3.50</x:v>
      </x:c>
      <x:c r="N2611" s="24" t="str">
        <x:v>75</x:v>
      </x:c>
      <x:c r="O2611" s="24"/>
      <x:c r="P2611" s="24"/>
      <x:c r="Q2611" s="24" t="str">
        <x:v>DISPONÍVEL</x:v>
      </x:c>
      <x:c r="R2611" s="24" t="str">
        <x:v>Programa de Parcerias ZEISS</x:v>
      </x:c>
      <x:c r="S2611" s="24" t="n">
        <x:v>43</x:v>
      </x:c>
      <x:c r="T2611" s="24" t="str">
        <x:v>tabela_zeiss.pdf</x:v>
      </x:c>
      <x:c r="U2611" s="24" t="str">
        <x:v>ZEISS|Progressiva|Surfaçada|Light 2 3Dv|PhotoFusion X Extra Dark Cinza|1.6|1.60|DuraVision Platinum UV|-7.25 a +6.00|-6.00|0.75 a 3.50|75|||43</x:v>
      </x:c>
    </x:row>
    <x:row r="2612">
      <x:c r="A2612" s="24" t="str">
        <x:v>ZS-A4A7F2624154</x:v>
      </x:c>
      <x:c r="B2612" s="24" t="str">
        <x:v>ZEISS</x:v>
      </x:c>
      <x:c r="C2612" s="24" t="str">
        <x:v>Progressiva</x:v>
      </x:c>
      <x:c r="D2612" s="24" t="str">
        <x:v>Surfaçada</x:v>
      </x:c>
      <x:c r="E2612" s="24" t="str">
        <x:v>Light 2 3Dv</x:v>
      </x:c>
      <x:c r="F2612" s="24" t="str">
        <x:v>PhotoFusion X Extra Dark Cinza</x:v>
      </x:c>
      <x:c r="G2612" s="24" t="str">
        <x:v>1.6</x:v>
      </x:c>
      <x:c r="H2612" s="24" t="str">
        <x:v>1.60</x:v>
      </x:c>
      <x:c r="I2612" s="24" t="str">
        <x:v>DuraVision Silver UV</x:v>
      </x:c>
      <x:c r="J2612" s="40" t="n">
        <x:v>5739</x:v>
      </x:c>
      <x:c r="K2612" s="24" t="str">
        <x:v>-7.25 a +6.00</x:v>
      </x:c>
      <x:c r="L2612" s="24" t="str">
        <x:v>-6.00</x:v>
      </x:c>
      <x:c r="M2612" s="24" t="str">
        <x:v>0.75 a 3.50</x:v>
      </x:c>
      <x:c r="N2612" s="24" t="str">
        <x:v>75</x:v>
      </x:c>
      <x:c r="O2612" s="24"/>
      <x:c r="P2612" s="24"/>
      <x:c r="Q2612" s="24" t="str">
        <x:v>DISPONÍVEL</x:v>
      </x:c>
      <x:c r="R2612" s="24" t="str">
        <x:v>Programa de Parcerias ZEISS</x:v>
      </x:c>
      <x:c r="S2612" s="24" t="n">
        <x:v>43</x:v>
      </x:c>
      <x:c r="T2612" s="24" t="str">
        <x:v>tabela_zeiss.pdf</x:v>
      </x:c>
      <x:c r="U2612" s="24" t="str">
        <x:v>ZEISS|Progressiva|Surfaçada|Light 2 3Dv|PhotoFusion X Extra Dark Cinza|1.6|1.60|DuraVision Silver UV|-7.25 a +6.00|-6.00|0.75 a 3.50|75|||43</x:v>
      </x:c>
    </x:row>
    <x:row r="2613">
      <x:c r="A2613" s="24" t="str">
        <x:v>ZS-980B3A89FD03</x:v>
      </x:c>
      <x:c r="B2613" s="24" t="str">
        <x:v>ZEISS</x:v>
      </x:c>
      <x:c r="C2613" s="24" t="str">
        <x:v>Progressiva</x:v>
      </x:c>
      <x:c r="D2613" s="24" t="str">
        <x:v>Surfaçada</x:v>
      </x:c>
      <x:c r="E2613" s="24" t="str">
        <x:v>Light 2 3Dv</x:v>
      </x:c>
      <x:c r="F2613" s="24" t="str">
        <x:v>PhotoFusion X Extra Dark Cinza</x:v>
      </x:c>
      <x:c r="G2613" s="24" t="str">
        <x:v>1.6</x:v>
      </x:c>
      <x:c r="H2613" s="24" t="str">
        <x:v>1.60</x:v>
      </x:c>
      <x:c r="I2613" s="24" t="str">
        <x:v>DuraVision Chrome UV</x:v>
      </x:c>
      <x:c r="J2613" s="40" t="n">
        <x:v>5249</x:v>
      </x:c>
      <x:c r="K2613" s="24" t="str">
        <x:v>-7.25 a +6.00</x:v>
      </x:c>
      <x:c r="L2613" s="24" t="str">
        <x:v>-6.00</x:v>
      </x:c>
      <x:c r="M2613" s="24" t="str">
        <x:v>0.75 a 3.50</x:v>
      </x:c>
      <x:c r="N2613" s="24" t="str">
        <x:v>75</x:v>
      </x:c>
      <x:c r="O2613" s="24"/>
      <x:c r="P2613" s="24"/>
      <x:c r="Q2613" s="24" t="str">
        <x:v>DISPONÍVEL</x:v>
      </x:c>
      <x:c r="R2613" s="24" t="str">
        <x:v>Programa de Parcerias ZEISS</x:v>
      </x:c>
      <x:c r="S2613" s="24" t="n">
        <x:v>43</x:v>
      </x:c>
      <x:c r="T2613" s="24" t="str">
        <x:v>tabela_zeiss.pdf</x:v>
      </x:c>
      <x:c r="U2613" s="24" t="str">
        <x:v>ZEISS|Progressiva|Surfaçada|Light 2 3Dv|PhotoFusion X Extra Dark Cinza|1.6|1.60|DuraVision Chrome UV|-7.25 a +6.00|-6.00|0.75 a 3.50|75|||43</x:v>
      </x:c>
    </x:row>
    <x:row r="2614">
      <x:c r="A2614" s="24" t="str">
        <x:v>ZS-D4B0D2A195BE</x:v>
      </x:c>
      <x:c r="B2614" s="24" t="str">
        <x:v>ZEISS</x:v>
      </x:c>
      <x:c r="C2614" s="24" t="str">
        <x:v>Progressiva</x:v>
      </x:c>
      <x:c r="D2614" s="24" t="str">
        <x:v>Surfaçada</x:v>
      </x:c>
      <x:c r="E2614" s="24" t="str">
        <x:v>Light 2 3Dv</x:v>
      </x:c>
      <x:c r="F2614" s="24" t="str">
        <x:v>PhotoFusion X Extra Dark Cinza</x:v>
      </x:c>
      <x:c r="G2614" s="24" t="str">
        <x:v>1.67</x:v>
      </x:c>
      <x:c r="H2614" s="24" t="str">
        <x:v>1.67</x:v>
      </x:c>
      <x:c r="I2614" s="24" t="str">
        <x:v>DuraVision Gold UV</x:v>
      </x:c>
      <x:c r="J2614" s="40" t="n">
        <x:v>7439</x:v>
      </x:c>
      <x:c r="K2614" s="24" t="str">
        <x:v>-10.00 a +6.00</x:v>
      </x:c>
      <x:c r="L2614" s="24" t="str">
        <x:v>-6.00</x:v>
      </x:c>
      <x:c r="M2614" s="24" t="str">
        <x:v>0.75 a 3.00</x:v>
      </x:c>
      <x:c r="N2614" s="24" t="str">
        <x:v>70</x:v>
      </x:c>
      <x:c r="O2614" s="24"/>
      <x:c r="P2614" s="24"/>
      <x:c r="Q2614" s="24" t="str">
        <x:v>DISPONÍVEL</x:v>
      </x:c>
      <x:c r="R2614" s="24" t="str">
        <x:v>Programa de Parcerias ZEISS</x:v>
      </x:c>
      <x:c r="S2614" s="24" t="n">
        <x:v>43</x:v>
      </x:c>
      <x:c r="T2614" s="24" t="str">
        <x:v>tabela_zeiss.pdf</x:v>
      </x:c>
      <x:c r="U2614" s="24" t="str">
        <x:v>ZEISS|Progressiva|Surfaçada|Light 2 3Dv|PhotoFusion X Extra Dark Cinza|1.67|1.67|DuraVision Gold UV|-10.00 a +6.00|-6.00|0.75 a 3.00|70|||43</x:v>
      </x:c>
    </x:row>
    <x:row r="2615">
      <x:c r="A2615" s="24" t="str">
        <x:v>ZS-D58FC9AB2CE9</x:v>
      </x:c>
      <x:c r="B2615" s="24" t="str">
        <x:v>ZEISS</x:v>
      </x:c>
      <x:c r="C2615" s="24" t="str">
        <x:v>Progressiva</x:v>
      </x:c>
      <x:c r="D2615" s="24" t="str">
        <x:v>Surfaçada</x:v>
      </x:c>
      <x:c r="E2615" s="24" t="str">
        <x:v>Light 2 3Dv</x:v>
      </x:c>
      <x:c r="F2615" s="24" t="str">
        <x:v>PhotoFusion X Extra Dark Cinza</x:v>
      </x:c>
      <x:c r="G2615" s="24" t="str">
        <x:v>1.67</x:v>
      </x:c>
      <x:c r="H2615" s="24" t="str">
        <x:v>1.67</x:v>
      </x:c>
      <x:c r="I2615" s="24" t="str">
        <x:v>DURAVISION® ANTIVÍRUS PLATINUM UV</x:v>
      </x:c>
      <x:c r="J2615" s="40" t="n">
        <x:v>7299</x:v>
      </x:c>
      <x:c r="K2615" s="24" t="str">
        <x:v>-10.00 a +6.00</x:v>
      </x:c>
      <x:c r="L2615" s="24" t="str">
        <x:v>-6.00</x:v>
      </x:c>
      <x:c r="M2615" s="24" t="str">
        <x:v>0.75 a 3.00</x:v>
      </x:c>
      <x:c r="N2615" s="24" t="str">
        <x:v>70</x:v>
      </x:c>
      <x:c r="O2615" s="24"/>
      <x:c r="P2615" s="24"/>
      <x:c r="Q2615" s="24" t="str">
        <x:v>DISPONÍVEL</x:v>
      </x:c>
      <x:c r="R2615" s="24" t="str">
        <x:v>Programa de Parcerias ZEISS</x:v>
      </x:c>
      <x:c r="S2615" s="24" t="n">
        <x:v>43</x:v>
      </x:c>
      <x:c r="T2615" s="24" t="str">
        <x:v>tabela_zeiss.pdf</x:v>
      </x:c>
      <x:c r="U2615" s="24" t="str">
        <x:v>ZEISS|Progressiva|Surfaçada|Light 2 3Dv|PhotoFusion X Extra Dark Cinza|1.67|1.67|DURAVISION® ANTIVÍRUS PLATINUM UV|-10.00 a +6.00|-6.00|0.75 a 3.00|70|||43</x:v>
      </x:c>
    </x:row>
    <x:row r="2616">
      <x:c r="A2616" s="24" t="str">
        <x:v>ZS-3AFE640DB01E</x:v>
      </x:c>
      <x:c r="B2616" s="24" t="str">
        <x:v>ZEISS</x:v>
      </x:c>
      <x:c r="C2616" s="24" t="str">
        <x:v>Progressiva</x:v>
      </x:c>
      <x:c r="D2616" s="24" t="str">
        <x:v>Surfaçada</x:v>
      </x:c>
      <x:c r="E2616" s="24" t="str">
        <x:v>Light 2 3Dv</x:v>
      </x:c>
      <x:c r="F2616" s="24" t="str">
        <x:v>PhotoFusion X Extra Dark Cinza</x:v>
      </x:c>
      <x:c r="G2616" s="24" t="str">
        <x:v>1.67</x:v>
      </x:c>
      <x:c r="H2616" s="24" t="str">
        <x:v>1.67</x:v>
      </x:c>
      <x:c r="I2616" s="24" t="str">
        <x:v>DuraVision Platinum UV</x:v>
      </x:c>
      <x:c r="J2616" s="40" t="n">
        <x:v>7299</x:v>
      </x:c>
      <x:c r="K2616" s="24" t="str">
        <x:v>-10.00 a +6.00</x:v>
      </x:c>
      <x:c r="L2616" s="24" t="str">
        <x:v>-6.00</x:v>
      </x:c>
      <x:c r="M2616" s="24" t="str">
        <x:v>0.75 a 3.00</x:v>
      </x:c>
      <x:c r="N2616" s="24" t="str">
        <x:v>70</x:v>
      </x:c>
      <x:c r="O2616" s="24"/>
      <x:c r="P2616" s="24"/>
      <x:c r="Q2616" s="24" t="str">
        <x:v>DISPONÍVEL</x:v>
      </x:c>
      <x:c r="R2616" s="24" t="str">
        <x:v>Programa de Parcerias ZEISS</x:v>
      </x:c>
      <x:c r="S2616" s="24" t="n">
        <x:v>43</x:v>
      </x:c>
      <x:c r="T2616" s="24" t="str">
        <x:v>tabela_zeiss.pdf</x:v>
      </x:c>
      <x:c r="U2616" s="24" t="str">
        <x:v>ZEISS|Progressiva|Surfaçada|Light 2 3Dv|PhotoFusion X Extra Dark Cinza|1.67|1.67|DuraVision Platinum UV|-10.00 a +6.00|-6.00|0.75 a 3.00|70|||43</x:v>
      </x:c>
    </x:row>
    <x:row r="2617">
      <x:c r="A2617" s="24" t="str">
        <x:v>ZS-E0F968B9341A</x:v>
      </x:c>
      <x:c r="B2617" s="24" t="str">
        <x:v>ZEISS</x:v>
      </x:c>
      <x:c r="C2617" s="24" t="str">
        <x:v>Progressiva</x:v>
      </x:c>
      <x:c r="D2617" s="24" t="str">
        <x:v>Surfaçada</x:v>
      </x:c>
      <x:c r="E2617" s="24" t="str">
        <x:v>Light 2 3Dv</x:v>
      </x:c>
      <x:c r="F2617" s="24" t="str">
        <x:v>PhotoFusion X Extra Dark Cinza</x:v>
      </x:c>
      <x:c r="G2617" s="24" t="str">
        <x:v>1.67</x:v>
      </x:c>
      <x:c r="H2617" s="24" t="str">
        <x:v>1.67</x:v>
      </x:c>
      <x:c r="I2617" s="24" t="str">
        <x:v>DuraVision Silver UV</x:v>
      </x:c>
      <x:c r="J2617" s="40" t="n">
        <x:v>7039</x:v>
      </x:c>
      <x:c r="K2617" s="24" t="str">
        <x:v>-10.00 a +6.00</x:v>
      </x:c>
      <x:c r="L2617" s="24" t="str">
        <x:v>-6.00</x:v>
      </x:c>
      <x:c r="M2617" s="24" t="str">
        <x:v>0.75 a 3.00</x:v>
      </x:c>
      <x:c r="N2617" s="24" t="str">
        <x:v>70</x:v>
      </x:c>
      <x:c r="O2617" s="24"/>
      <x:c r="P2617" s="24"/>
      <x:c r="Q2617" s="24" t="str">
        <x:v>DISPONÍVEL</x:v>
      </x:c>
      <x:c r="R2617" s="24" t="str">
        <x:v>Programa de Parcerias ZEISS</x:v>
      </x:c>
      <x:c r="S2617" s="24" t="n">
        <x:v>43</x:v>
      </x:c>
      <x:c r="T2617" s="24" t="str">
        <x:v>tabela_zeiss.pdf</x:v>
      </x:c>
      <x:c r="U2617" s="24" t="str">
        <x:v>ZEISS|Progressiva|Surfaçada|Light 2 3Dv|PhotoFusion X Extra Dark Cinza|1.67|1.67|DuraVision Silver UV|-10.00 a +6.00|-6.00|0.75 a 3.00|70|||43</x:v>
      </x:c>
    </x:row>
    <x:row r="2618">
      <x:c r="A2618" s="24" t="str">
        <x:v>ZS-AA97C1E3E753</x:v>
      </x:c>
      <x:c r="B2618" s="24" t="str">
        <x:v>ZEISS</x:v>
      </x:c>
      <x:c r="C2618" s="24" t="str">
        <x:v>Progressiva</x:v>
      </x:c>
      <x:c r="D2618" s="24" t="str">
        <x:v>Surfaçada</x:v>
      </x:c>
      <x:c r="E2618" s="24" t="str">
        <x:v>Light 2 3Dv</x:v>
      </x:c>
      <x:c r="F2618" s="24" t="str">
        <x:v>PhotoFusion X Extra Dark Cinza</x:v>
      </x:c>
      <x:c r="G2618" s="24" t="str">
        <x:v>1.67</x:v>
      </x:c>
      <x:c r="H2618" s="24" t="str">
        <x:v>1.67</x:v>
      </x:c>
      <x:c r="I2618" s="24" t="str">
        <x:v>DuraVision Chrome UV</x:v>
      </x:c>
      <x:c r="J2618" s="40" t="n">
        <x:v>6549</x:v>
      </x:c>
      <x:c r="K2618" s="24" t="str">
        <x:v>-10.00 a +6.00</x:v>
      </x:c>
      <x:c r="L2618" s="24" t="str">
        <x:v>-6.00</x:v>
      </x:c>
      <x:c r="M2618" s="24" t="str">
        <x:v>0.75 a 3.00</x:v>
      </x:c>
      <x:c r="N2618" s="24" t="str">
        <x:v>70</x:v>
      </x:c>
      <x:c r="O2618" s="24"/>
      <x:c r="P2618" s="24"/>
      <x:c r="Q2618" s="24" t="str">
        <x:v>DISPONÍVEL</x:v>
      </x:c>
      <x:c r="R2618" s="24" t="str">
        <x:v>Programa de Parcerias ZEISS</x:v>
      </x:c>
      <x:c r="S2618" s="24" t="n">
        <x:v>43</x:v>
      </x:c>
      <x:c r="T2618" s="24" t="str">
        <x:v>tabela_zeiss.pdf</x:v>
      </x:c>
      <x:c r="U2618" s="24" t="str">
        <x:v>ZEISS|Progressiva|Surfaçada|Light 2 3Dv|PhotoFusion X Extra Dark Cinza|1.67|1.67|DuraVision Chrome UV|-10.00 a +6.00|-6.00|0.75 a 3.00|70|||43</x:v>
      </x:c>
    </x:row>
    <x:row r="2619">
      <x:c r="A2619" s="24" t="str">
        <x:v>ZS-3343B27C564F</x:v>
      </x:c>
      <x:c r="B2619" s="24" t="str">
        <x:v>ZEISS</x:v>
      </x:c>
      <x:c r="C2619" s="24" t="str">
        <x:v>Progressiva</x:v>
      </x:c>
      <x:c r="D2619" s="24" t="str">
        <x:v>Surfaçada</x:v>
      </x:c>
      <x:c r="E2619" s="24" t="str">
        <x:v>Light 2 3Dv</x:v>
      </x:c>
      <x:c r="F2619" s="24" t="str">
        <x:v>Polarizada</x:v>
      </x:c>
      <x:c r="G2619" s="24" t="str">
        <x:v>1.5</x:v>
      </x:c>
      <x:c r="H2619" s="24" t="str">
        <x:v>1.50</x:v>
      </x:c>
      <x:c r="I2619" s="24" t="str">
        <x:v>DuraVision Gold UV</x:v>
      </x:c>
      <x:c r="J2619" s="40" t="n">
        <x:v>4929</x:v>
      </x:c>
      <x:c r="K2619" s="24" t="str">
        <x:v>-6.00 a +6.00</x:v>
      </x:c>
      <x:c r="L2619" s="24" t="str">
        <x:v>-4.00</x:v>
      </x:c>
      <x:c r="M2619" s="24" t="str">
        <x:v>0.75 a 3.50</x:v>
      </x:c>
      <x:c r="N2619" s="24" t="str">
        <x:v>75</x:v>
      </x:c>
      <x:c r="O2619" s="24"/>
      <x:c r="P2619" s="24"/>
      <x:c r="Q2619" s="24" t="str">
        <x:v>DISPONÍVEL</x:v>
      </x:c>
      <x:c r="R2619" s="24"/>
      <x:c r="S2619" s="24" t="n">
        <x:v>43</x:v>
      </x:c>
      <x:c r="T2619" s="24" t="str">
        <x:v>tabela_zeiss.pdf</x:v>
      </x:c>
      <x:c r="U2619" s="24" t="str">
        <x:v>ZEISS|Progressiva|Surfaçada|Light 2 3Dv|Polarizada|1.5|1.50|DuraVision Gold UV|-6.00 a +6.00|-4.00|0.75 a 3.50|75|||43</x:v>
      </x:c>
    </x:row>
    <x:row r="2620">
      <x:c r="A2620" s="24" t="str">
        <x:v>ZS-5EBFD0B431C9</x:v>
      </x:c>
      <x:c r="B2620" s="24" t="str">
        <x:v>ZEISS</x:v>
      </x:c>
      <x:c r="C2620" s="24" t="str">
        <x:v>Progressiva</x:v>
      </x:c>
      <x:c r="D2620" s="24" t="str">
        <x:v>Surfaçada</x:v>
      </x:c>
      <x:c r="E2620" s="24" t="str">
        <x:v>Light 2 3Dv</x:v>
      </x:c>
      <x:c r="F2620" s="24" t="str">
        <x:v>Polarizada</x:v>
      </x:c>
      <x:c r="G2620" s="24" t="str">
        <x:v>1.5</x:v>
      </x:c>
      <x:c r="H2620" s="24" t="str">
        <x:v>1.50</x:v>
      </x:c>
      <x:c r="I2620" s="24" t="str">
        <x:v>DuraVision Platinum UV</x:v>
      </x:c>
      <x:c r="J2620" s="40" t="n">
        <x:v>4789</x:v>
      </x:c>
      <x:c r="K2620" s="24" t="str">
        <x:v>-6.00 a +6.00</x:v>
      </x:c>
      <x:c r="L2620" s="24" t="str">
        <x:v>-4.00</x:v>
      </x:c>
      <x:c r="M2620" s="24" t="str">
        <x:v>0.75 a 3.50</x:v>
      </x:c>
      <x:c r="N2620" s="24" t="str">
        <x:v>75</x:v>
      </x:c>
      <x:c r="O2620" s="24"/>
      <x:c r="P2620" s="24"/>
      <x:c r="Q2620" s="24" t="str">
        <x:v>DISPONÍVEL</x:v>
      </x:c>
      <x:c r="R2620" s="24"/>
      <x:c r="S2620" s="24" t="n">
        <x:v>43</x:v>
      </x:c>
      <x:c r="T2620" s="24" t="str">
        <x:v>tabela_zeiss.pdf</x:v>
      </x:c>
      <x:c r="U2620" s="24" t="str">
        <x:v>ZEISS|Progressiva|Surfaçada|Light 2 3Dv|Polarizada|1.5|1.50|DuraVision Platinum UV|-6.00 a +6.00|-4.00|0.75 a 3.50|75|||43</x:v>
      </x:c>
    </x:row>
    <x:row r="2621">
      <x:c r="A2621" s="24" t="str">
        <x:v>ZS-128D98267CA4</x:v>
      </x:c>
      <x:c r="B2621" s="24" t="str">
        <x:v>ZEISS</x:v>
      </x:c>
      <x:c r="C2621" s="24" t="str">
        <x:v>Progressiva</x:v>
      </x:c>
      <x:c r="D2621" s="24" t="str">
        <x:v>Surfaçada</x:v>
      </x:c>
      <x:c r="E2621" s="24" t="str">
        <x:v>Light 2 3Dv</x:v>
      </x:c>
      <x:c r="F2621" s="24" t="str">
        <x:v>Polarizada</x:v>
      </x:c>
      <x:c r="G2621" s="24" t="str">
        <x:v>1.5</x:v>
      </x:c>
      <x:c r="H2621" s="24" t="str">
        <x:v>1.50</x:v>
      </x:c>
      <x:c r="I2621" s="24" t="str">
        <x:v>DuraVision Silver UV</x:v>
      </x:c>
      <x:c r="J2621" s="40" t="n">
        <x:v>4529</x:v>
      </x:c>
      <x:c r="K2621" s="24" t="str">
        <x:v>-6.00 a +6.00</x:v>
      </x:c>
      <x:c r="L2621" s="24" t="str">
        <x:v>-4.00</x:v>
      </x:c>
      <x:c r="M2621" s="24" t="str">
        <x:v>0.75 a 3.50</x:v>
      </x:c>
      <x:c r="N2621" s="24" t="str">
        <x:v>75</x:v>
      </x:c>
      <x:c r="O2621" s="24"/>
      <x:c r="P2621" s="24"/>
      <x:c r="Q2621" s="24" t="str">
        <x:v>DISPONÍVEL</x:v>
      </x:c>
      <x:c r="R2621" s="24"/>
      <x:c r="S2621" s="24" t="n">
        <x:v>43</x:v>
      </x:c>
      <x:c r="T2621" s="24" t="str">
        <x:v>tabela_zeiss.pdf</x:v>
      </x:c>
      <x:c r="U2621" s="24" t="str">
        <x:v>ZEISS|Progressiva|Surfaçada|Light 2 3Dv|Polarizada|1.5|1.50|DuraVision Silver UV|-6.00 a +6.00|-4.00|0.75 a 3.50|75|||43</x:v>
      </x:c>
    </x:row>
    <x:row r="2622">
      <x:c r="A2622" s="24" t="str">
        <x:v>ZS-7E111BCDCC36</x:v>
      </x:c>
      <x:c r="B2622" s="24" t="str">
        <x:v>ZEISS</x:v>
      </x:c>
      <x:c r="C2622" s="24" t="str">
        <x:v>Progressiva</x:v>
      </x:c>
      <x:c r="D2622" s="24" t="str">
        <x:v>Surfaçada</x:v>
      </x:c>
      <x:c r="E2622" s="24" t="str">
        <x:v>Light 2 3Dv</x:v>
      </x:c>
      <x:c r="F2622" s="24" t="str">
        <x:v>Polarizada</x:v>
      </x:c>
      <x:c r="G2622" s="24" t="str">
        <x:v>1.5</x:v>
      </x:c>
      <x:c r="H2622" s="24" t="str">
        <x:v>1.50</x:v>
      </x:c>
      <x:c r="I2622" s="24" t="str">
        <x:v>DuraVision Chrome UV</x:v>
      </x:c>
      <x:c r="J2622" s="40" t="n">
        <x:v>4039</x:v>
      </x:c>
      <x:c r="K2622" s="24" t="str">
        <x:v>-6.00 a +6.00</x:v>
      </x:c>
      <x:c r="L2622" s="24" t="str">
        <x:v>-4.00</x:v>
      </x:c>
      <x:c r="M2622" s="24" t="str">
        <x:v>0.75 a 3.50</x:v>
      </x:c>
      <x:c r="N2622" s="24" t="str">
        <x:v>75</x:v>
      </x:c>
      <x:c r="O2622" s="24"/>
      <x:c r="P2622" s="24"/>
      <x:c r="Q2622" s="24" t="str">
        <x:v>DISPONÍVEL</x:v>
      </x:c>
      <x:c r="R2622" s="24"/>
      <x:c r="S2622" s="24" t="n">
        <x:v>43</x:v>
      </x:c>
      <x:c r="T2622" s="24" t="str">
        <x:v>tabela_zeiss.pdf</x:v>
      </x:c>
      <x:c r="U2622" s="24" t="str">
        <x:v>ZEISS|Progressiva|Surfaçada|Light 2 3Dv|Polarizada|1.5|1.50|DuraVision Chrome UV|-6.00 a +6.00|-4.00|0.75 a 3.50|75|||43</x:v>
      </x:c>
    </x:row>
    <x:row r="2623">
      <x:c r="A2623" s="24" t="str">
        <x:v>ZS-2219A0390334</x:v>
      </x:c>
      <x:c r="B2623" s="24" t="str">
        <x:v>ZEISS</x:v>
      </x:c>
      <x:c r="C2623" s="24" t="str">
        <x:v>Progressiva</x:v>
      </x:c>
      <x:c r="D2623" s="24" t="str">
        <x:v>Surfaçada</x:v>
      </x:c>
      <x:c r="E2623" s="24" t="str">
        <x:v>Light 2 3Dv</x:v>
      </x:c>
      <x:c r="F2623" s="24" t="str">
        <x:v>Polarizada</x:v>
      </x:c>
      <x:c r="G2623" s="24" t="str">
        <x:v>1.5</x:v>
      </x:c>
      <x:c r="H2623" s="24" t="str">
        <x:v>1.50</x:v>
      </x:c>
      <x:c r="I2623" s="24" t="str">
        <x:v>Sem AR</x:v>
      </x:c>
      <x:c r="J2623" s="40" t="n">
        <x:v>3639</x:v>
      </x:c>
      <x:c r="K2623" s="24" t="str">
        <x:v>-6.00 a +6.00</x:v>
      </x:c>
      <x:c r="L2623" s="24" t="str">
        <x:v>-4.00</x:v>
      </x:c>
      <x:c r="M2623" s="24" t="str">
        <x:v>0.75 a 3.50</x:v>
      </x:c>
      <x:c r="N2623" s="24" t="str">
        <x:v>75</x:v>
      </x:c>
      <x:c r="O2623" s="24"/>
      <x:c r="P2623" s="24"/>
      <x:c r="Q2623" s="24" t="str">
        <x:v>DISPONÍVEL</x:v>
      </x:c>
      <x:c r="R2623" s="24"/>
      <x:c r="S2623" s="24" t="n">
        <x:v>43</x:v>
      </x:c>
      <x:c r="T2623" s="24" t="str">
        <x:v>tabela_zeiss.pdf</x:v>
      </x:c>
      <x:c r="U2623" s="24" t="str">
        <x:v>ZEISS|Progressiva|Surfaçada|Light 2 3Dv|Polarizada|1.5|1.50|Sem AR|-6.00 a +6.00|-4.00|0.75 a 3.50|75|||43</x:v>
      </x:c>
    </x:row>
    <x:row r="2624">
      <x:c r="A2624" s="24" t="str">
        <x:v>ZS-69C206F5AEA2</x:v>
      </x:c>
      <x:c r="B2624" s="24" t="str">
        <x:v>ZEISS</x:v>
      </x:c>
      <x:c r="C2624" s="24" t="str">
        <x:v>Progressiva</x:v>
      </x:c>
      <x:c r="D2624" s="24" t="str">
        <x:v>Surfaçada</x:v>
      </x:c>
      <x:c r="E2624" s="24" t="str">
        <x:v>Light 2 3Dv</x:v>
      </x:c>
      <x:c r="F2624" s="24" t="str">
        <x:v>Polarizada</x:v>
      </x:c>
      <x:c r="G2624" s="24" t="str">
        <x:v>1.6</x:v>
      </x:c>
      <x:c r="H2624" s="24" t="str">
        <x:v>1.60</x:v>
      </x:c>
      <x:c r="I2624" s="24" t="str">
        <x:v>DuraVision Gold UV</x:v>
      </x:c>
      <x:c r="J2624" s="40" t="n">
        <x:v>5509</x:v>
      </x:c>
      <x:c r="K2624" s="24" t="str">
        <x:v>-8.50 a +6.00</x:v>
      </x:c>
      <x:c r="L2624" s="24" t="str">
        <x:v>-4.00</x:v>
      </x:c>
      <x:c r="M2624" s="24" t="str">
        <x:v>0.75 a 3.50</x:v>
      </x:c>
      <x:c r="N2624" s="24" t="str">
        <x:v>70</x:v>
      </x:c>
      <x:c r="O2624" s="24"/>
      <x:c r="P2624" s="24"/>
      <x:c r="Q2624" s="24" t="str">
        <x:v>DISPONÍVEL</x:v>
      </x:c>
      <x:c r="R2624" s="24"/>
      <x:c r="S2624" s="24" t="n">
        <x:v>43</x:v>
      </x:c>
      <x:c r="T2624" s="24" t="str">
        <x:v>tabela_zeiss.pdf</x:v>
      </x:c>
      <x:c r="U2624" s="24" t="str">
        <x:v>ZEISS|Progressiva|Surfaçada|Light 2 3Dv|Polarizada|1.6|1.60|DuraVision Gold UV|-8.50 a +6.00|-4.00|0.75 a 3.50|70|||43</x:v>
      </x:c>
    </x:row>
    <x:row r="2625">
      <x:c r="A2625" s="24" t="str">
        <x:v>ZS-9DD748D3538D</x:v>
      </x:c>
      <x:c r="B2625" s="24" t="str">
        <x:v>ZEISS</x:v>
      </x:c>
      <x:c r="C2625" s="24" t="str">
        <x:v>Progressiva</x:v>
      </x:c>
      <x:c r="D2625" s="24" t="str">
        <x:v>Surfaçada</x:v>
      </x:c>
      <x:c r="E2625" s="24" t="str">
        <x:v>Light 2 3Dv</x:v>
      </x:c>
      <x:c r="F2625" s="24" t="str">
        <x:v>Polarizada</x:v>
      </x:c>
      <x:c r="G2625" s="24" t="str">
        <x:v>1.6</x:v>
      </x:c>
      <x:c r="H2625" s="24" t="str">
        <x:v>1.60</x:v>
      </x:c>
      <x:c r="I2625" s="24" t="str">
        <x:v>DuraVision Platinum UV</x:v>
      </x:c>
      <x:c r="J2625" s="40" t="n">
        <x:v>5369</x:v>
      </x:c>
      <x:c r="K2625" s="24" t="str">
        <x:v>-8.50 a +6.00</x:v>
      </x:c>
      <x:c r="L2625" s="24" t="str">
        <x:v>-4.00</x:v>
      </x:c>
      <x:c r="M2625" s="24" t="str">
        <x:v>0.75 a 3.50</x:v>
      </x:c>
      <x:c r="N2625" s="24" t="str">
        <x:v>70</x:v>
      </x:c>
      <x:c r="O2625" s="24"/>
      <x:c r="P2625" s="24"/>
      <x:c r="Q2625" s="24" t="str">
        <x:v>DISPONÍVEL</x:v>
      </x:c>
      <x:c r="R2625" s="24"/>
      <x:c r="S2625" s="24" t="n">
        <x:v>43</x:v>
      </x:c>
      <x:c r="T2625" s="24" t="str">
        <x:v>tabela_zeiss.pdf</x:v>
      </x:c>
      <x:c r="U2625" s="24" t="str">
        <x:v>ZEISS|Progressiva|Surfaçada|Light 2 3Dv|Polarizada|1.6|1.60|DuraVision Platinum UV|-8.50 a +6.00|-4.00|0.75 a 3.50|70|||43</x:v>
      </x:c>
    </x:row>
    <x:row r="2626">
      <x:c r="A2626" s="24" t="str">
        <x:v>ZS-66C6308170C9</x:v>
      </x:c>
      <x:c r="B2626" s="24" t="str">
        <x:v>ZEISS</x:v>
      </x:c>
      <x:c r="C2626" s="24" t="str">
        <x:v>Progressiva</x:v>
      </x:c>
      <x:c r="D2626" s="24" t="str">
        <x:v>Surfaçada</x:v>
      </x:c>
      <x:c r="E2626" s="24" t="str">
        <x:v>Light 2 3Dv</x:v>
      </x:c>
      <x:c r="F2626" s="24" t="str">
        <x:v>Polarizada</x:v>
      </x:c>
      <x:c r="G2626" s="24" t="str">
        <x:v>1.6</x:v>
      </x:c>
      <x:c r="H2626" s="24" t="str">
        <x:v>1.60</x:v>
      </x:c>
      <x:c r="I2626" s="24" t="str">
        <x:v>DuraVision Silver UV</x:v>
      </x:c>
      <x:c r="J2626" s="40" t="n">
        <x:v>5109</x:v>
      </x:c>
      <x:c r="K2626" s="24" t="str">
        <x:v>-8.50 a +6.00</x:v>
      </x:c>
      <x:c r="L2626" s="24" t="str">
        <x:v>-4.00</x:v>
      </x:c>
      <x:c r="M2626" s="24" t="str">
        <x:v>0.75 a 3.50</x:v>
      </x:c>
      <x:c r="N2626" s="24" t="str">
        <x:v>70</x:v>
      </x:c>
      <x:c r="O2626" s="24"/>
      <x:c r="P2626" s="24"/>
      <x:c r="Q2626" s="24" t="str">
        <x:v>DISPONÍVEL</x:v>
      </x:c>
      <x:c r="R2626" s="24"/>
      <x:c r="S2626" s="24" t="n">
        <x:v>43</x:v>
      </x:c>
      <x:c r="T2626" s="24" t="str">
        <x:v>tabela_zeiss.pdf</x:v>
      </x:c>
      <x:c r="U2626" s="24" t="str">
        <x:v>ZEISS|Progressiva|Surfaçada|Light 2 3Dv|Polarizada|1.6|1.60|DuraVision Silver UV|-8.50 a +6.00|-4.00|0.75 a 3.50|70|||43</x:v>
      </x:c>
    </x:row>
    <x:row r="2627">
      <x:c r="A2627" s="24" t="str">
        <x:v>ZS-A4662D3CF1BC</x:v>
      </x:c>
      <x:c r="B2627" s="24" t="str">
        <x:v>ZEISS</x:v>
      </x:c>
      <x:c r="C2627" s="24" t="str">
        <x:v>Progressiva</x:v>
      </x:c>
      <x:c r="D2627" s="24" t="str">
        <x:v>Surfaçada</x:v>
      </x:c>
      <x:c r="E2627" s="24" t="str">
        <x:v>Light 2 3Dv</x:v>
      </x:c>
      <x:c r="F2627" s="24" t="str">
        <x:v>Polarizada</x:v>
      </x:c>
      <x:c r="G2627" s="24" t="str">
        <x:v>1.6</x:v>
      </x:c>
      <x:c r="H2627" s="24" t="str">
        <x:v>1.60</x:v>
      </x:c>
      <x:c r="I2627" s="24" t="str">
        <x:v>DuraVision Chrome UV</x:v>
      </x:c>
      <x:c r="J2627" s="40" t="n">
        <x:v>4619</x:v>
      </x:c>
      <x:c r="K2627" s="24" t="str">
        <x:v>-8.50 a +6.00</x:v>
      </x:c>
      <x:c r="L2627" s="24" t="str">
        <x:v>-4.00</x:v>
      </x:c>
      <x:c r="M2627" s="24" t="str">
        <x:v>0.75 a 3.50</x:v>
      </x:c>
      <x:c r="N2627" s="24" t="str">
        <x:v>70</x:v>
      </x:c>
      <x:c r="O2627" s="24"/>
      <x:c r="P2627" s="24"/>
      <x:c r="Q2627" s="24" t="str">
        <x:v>DISPONÍVEL</x:v>
      </x:c>
      <x:c r="R2627" s="24"/>
      <x:c r="S2627" s="24" t="n">
        <x:v>43</x:v>
      </x:c>
      <x:c r="T2627" s="24" t="str">
        <x:v>tabela_zeiss.pdf</x:v>
      </x:c>
      <x:c r="U2627" s="24" t="str">
        <x:v>ZEISS|Progressiva|Surfaçada|Light 2 3Dv|Polarizada|1.6|1.60|DuraVision Chrome UV|-8.50 a +6.00|-4.00|0.75 a 3.50|70|||43</x:v>
      </x:c>
    </x:row>
    <x:row r="2628">
      <x:c r="A2628" s="24" t="str">
        <x:v>ZS-822BA9FC319E</x:v>
      </x:c>
      <x:c r="B2628" s="24" t="str">
        <x:v>ZEISS</x:v>
      </x:c>
      <x:c r="C2628" s="24" t="str">
        <x:v>Progressiva</x:v>
      </x:c>
      <x:c r="D2628" s="24" t="str">
        <x:v>Surfaçada</x:v>
      </x:c>
      <x:c r="E2628" s="24" t="str">
        <x:v>Light 2 3Dv</x:v>
      </x:c>
      <x:c r="F2628" s="24" t="str">
        <x:v>Polarizada</x:v>
      </x:c>
      <x:c r="G2628" s="24" t="str">
        <x:v>1.6</x:v>
      </x:c>
      <x:c r="H2628" s="24" t="str">
        <x:v>1.60</x:v>
      </x:c>
      <x:c r="I2628" s="24" t="str">
        <x:v>Sem AR</x:v>
      </x:c>
      <x:c r="J2628" s="40" t="n">
        <x:v>4219</x:v>
      </x:c>
      <x:c r="K2628" s="24" t="str">
        <x:v>-8.50 a +6.00</x:v>
      </x:c>
      <x:c r="L2628" s="24" t="str">
        <x:v>-4.00</x:v>
      </x:c>
      <x:c r="M2628" s="24" t="str">
        <x:v>0.75 a 3.50</x:v>
      </x:c>
      <x:c r="N2628" s="24" t="str">
        <x:v>70</x:v>
      </x:c>
      <x:c r="O2628" s="24"/>
      <x:c r="P2628" s="24"/>
      <x:c r="Q2628" s="24" t="str">
        <x:v>DISPONÍVEL</x:v>
      </x:c>
      <x:c r="R2628" s="24"/>
      <x:c r="S2628" s="24" t="n">
        <x:v>43</x:v>
      </x:c>
      <x:c r="T2628" s="24" t="str">
        <x:v>tabela_zeiss.pdf</x:v>
      </x:c>
      <x:c r="U2628" s="24" t="str">
        <x:v>ZEISS|Progressiva|Surfaçada|Light 2 3Dv|Polarizada|1.6|1.60|Sem AR|-8.50 a +6.00|-4.00|0.75 a 3.50|70|||43</x:v>
      </x:c>
    </x:row>
    <x:row r="2629">
      <x:c r="A2629" s="24" t="str">
        <x:v>ZS-CCBBCB782478</x:v>
      </x:c>
      <x:c r="B2629" s="24" t="str">
        <x:v>ZEISS</x:v>
      </x:c>
      <x:c r="C2629" s="24" t="str">
        <x:v>Progressiva</x:v>
      </x:c>
      <x:c r="D2629" s="24" t="str">
        <x:v>Surfaçada</x:v>
      </x:c>
      <x:c r="E2629" s="24" t="str">
        <x:v>Light 2 3D</x:v>
      </x:c>
      <x:c r="F2629" s="24"/>
      <x:c r="G2629" s="24" t="str">
        <x:v>1.5</x:v>
      </x:c>
      <x:c r="H2629" s="24" t="str">
        <x:v>1.50</x:v>
      </x:c>
      <x:c r="I2629" s="24" t="str">
        <x:v>DuraVision Gold UV</x:v>
      </x:c>
      <x:c r="J2629" s="40" t="n">
        <x:v>3339</x:v>
      </x:c>
      <x:c r="K2629" s="24" t="str">
        <x:v>-6.00 a +4.00</x:v>
      </x:c>
      <x:c r="L2629" s="24" t="str">
        <x:v>-4.00</x:v>
      </x:c>
      <x:c r="M2629" s="24" t="str">
        <x:v>0.75 a 3.50</x:v>
      </x:c>
      <x:c r="N2629" s="24" t="str">
        <x:v>75</x:v>
      </x:c>
      <x:c r="O2629" s="24"/>
      <x:c r="P2629" s="24"/>
      <x:c r="Q2629" s="24" t="str">
        <x:v>DISPONÍVEL</x:v>
      </x:c>
      <x:c r="R2629" s="24"/>
      <x:c r="S2629" s="24" t="n">
        <x:v>44</x:v>
      </x:c>
      <x:c r="T2629" s="24" t="str">
        <x:v>tabela_zeiss.pdf</x:v>
      </x:c>
      <x:c r="U2629" s="24" t="str">
        <x:v>ZEISS|Progressiva|Surfaçada|Light 2 3D||1.5|1.50|DuraVision Gold UV|-6.00 a +4.00|-4.00|0.75 a 3.50|75|||44</x:v>
      </x:c>
    </x:row>
    <x:row r="2630">
      <x:c r="A2630" s="24" t="str">
        <x:v>ZS-9892AF608B34</x:v>
      </x:c>
      <x:c r="B2630" s="24" t="str">
        <x:v>ZEISS</x:v>
      </x:c>
      <x:c r="C2630" s="24" t="str">
        <x:v>Progressiva</x:v>
      </x:c>
      <x:c r="D2630" s="24" t="str">
        <x:v>Surfaçada</x:v>
      </x:c>
      <x:c r="E2630" s="24" t="str">
        <x:v>Light 2 3D</x:v>
      </x:c>
      <x:c r="F2630" s="24"/>
      <x:c r="G2630" s="24" t="str">
        <x:v>1.5</x:v>
      </x:c>
      <x:c r="H2630" s="24" t="str">
        <x:v>1.50</x:v>
      </x:c>
      <x:c r="I2630" s="24" t="str">
        <x:v>DURAVISION® ANTIVÍRUS PLATINUM UV</x:v>
      </x:c>
      <x:c r="J2630" s="40" t="n">
        <x:v>3199</x:v>
      </x:c>
      <x:c r="K2630" s="24" t="str">
        <x:v>-6.00 a +4.00</x:v>
      </x:c>
      <x:c r="L2630" s="24" t="str">
        <x:v>-4.00</x:v>
      </x:c>
      <x:c r="M2630" s="24" t="str">
        <x:v>0.75 a 3.50</x:v>
      </x:c>
      <x:c r="N2630" s="24" t="str">
        <x:v>75</x:v>
      </x:c>
      <x:c r="O2630" s="24"/>
      <x:c r="P2630" s="24"/>
      <x:c r="Q2630" s="24" t="str">
        <x:v>DISPONÍVEL</x:v>
      </x:c>
      <x:c r="R2630" s="24"/>
      <x:c r="S2630" s="24" t="n">
        <x:v>44</x:v>
      </x:c>
      <x:c r="T2630" s="24" t="str">
        <x:v>tabela_zeiss.pdf</x:v>
      </x:c>
      <x:c r="U2630" s="24" t="str">
        <x:v>ZEISS|Progressiva|Surfaçada|Light 2 3D||1.5|1.50|DURAVISION® ANTIVÍRUS PLATINUM UV|-6.00 a +4.00|-4.00|0.75 a 3.50|75|||44</x:v>
      </x:c>
    </x:row>
    <x:row r="2631">
      <x:c r="A2631" s="24" t="str">
        <x:v>ZS-AB25D0F21261</x:v>
      </x:c>
      <x:c r="B2631" s="24" t="str">
        <x:v>ZEISS</x:v>
      </x:c>
      <x:c r="C2631" s="24" t="str">
        <x:v>Progressiva</x:v>
      </x:c>
      <x:c r="D2631" s="24" t="str">
        <x:v>Surfaçada</x:v>
      </x:c>
      <x:c r="E2631" s="24" t="str">
        <x:v>Light 2 3D</x:v>
      </x:c>
      <x:c r="F2631" s="24"/>
      <x:c r="G2631" s="24" t="str">
        <x:v>1.5</x:v>
      </x:c>
      <x:c r="H2631" s="24" t="str">
        <x:v>1.50</x:v>
      </x:c>
      <x:c r="I2631" s="24" t="str">
        <x:v>DuraVision Platinum UV</x:v>
      </x:c>
      <x:c r="J2631" s="40" t="n">
        <x:v>3199</x:v>
      </x:c>
      <x:c r="K2631" s="24" t="str">
        <x:v>-6.00 a +4.00</x:v>
      </x:c>
      <x:c r="L2631" s="24" t="str">
        <x:v>-4.00</x:v>
      </x:c>
      <x:c r="M2631" s="24" t="str">
        <x:v>0.75 a 3.50</x:v>
      </x:c>
      <x:c r="N2631" s="24" t="str">
        <x:v>75</x:v>
      </x:c>
      <x:c r="O2631" s="24"/>
      <x:c r="P2631" s="24"/>
      <x:c r="Q2631" s="24" t="str">
        <x:v>DISPONÍVEL</x:v>
      </x:c>
      <x:c r="R2631" s="24"/>
      <x:c r="S2631" s="24" t="n">
        <x:v>44</x:v>
      </x:c>
      <x:c r="T2631" s="24" t="str">
        <x:v>tabela_zeiss.pdf</x:v>
      </x:c>
      <x:c r="U2631" s="24" t="str">
        <x:v>ZEISS|Progressiva|Surfaçada|Light 2 3D||1.5|1.50|DuraVision Platinum UV|-6.00 a +4.00|-4.00|0.75 a 3.50|75|||44</x:v>
      </x:c>
    </x:row>
    <x:row r="2632">
      <x:c r="A2632" s="24" t="str">
        <x:v>ZS-53D09DF598A4</x:v>
      </x:c>
      <x:c r="B2632" s="24" t="str">
        <x:v>ZEISS</x:v>
      </x:c>
      <x:c r="C2632" s="24" t="str">
        <x:v>Progressiva</x:v>
      </x:c>
      <x:c r="D2632" s="24" t="str">
        <x:v>Surfaçada</x:v>
      </x:c>
      <x:c r="E2632" s="24" t="str">
        <x:v>Light 2 3D</x:v>
      </x:c>
      <x:c r="F2632" s="24"/>
      <x:c r="G2632" s="24" t="str">
        <x:v>1.5</x:v>
      </x:c>
      <x:c r="H2632" s="24" t="str">
        <x:v>1.50</x:v>
      </x:c>
      <x:c r="I2632" s="24" t="str">
        <x:v>DuraVision Silver UV</x:v>
      </x:c>
      <x:c r="J2632" s="40" t="n">
        <x:v>2939</x:v>
      </x:c>
      <x:c r="K2632" s="24" t="str">
        <x:v>-6.00 a +4.00</x:v>
      </x:c>
      <x:c r="L2632" s="24" t="str">
        <x:v>-4.00</x:v>
      </x:c>
      <x:c r="M2632" s="24" t="str">
        <x:v>0.75 a 3.50</x:v>
      </x:c>
      <x:c r="N2632" s="24" t="str">
        <x:v>75</x:v>
      </x:c>
      <x:c r="O2632" s="24"/>
      <x:c r="P2632" s="24"/>
      <x:c r="Q2632" s="24" t="str">
        <x:v>DISPONÍVEL</x:v>
      </x:c>
      <x:c r="R2632" s="24"/>
      <x:c r="S2632" s="24" t="n">
        <x:v>44</x:v>
      </x:c>
      <x:c r="T2632" s="24" t="str">
        <x:v>tabela_zeiss.pdf</x:v>
      </x:c>
      <x:c r="U2632" s="24" t="str">
        <x:v>ZEISS|Progressiva|Surfaçada|Light 2 3D||1.5|1.50|DuraVision Silver UV|-6.00 a +4.00|-4.00|0.75 a 3.50|75|||44</x:v>
      </x:c>
    </x:row>
    <x:row r="2633">
      <x:c r="A2633" s="24" t="str">
        <x:v>ZS-C888B7DF2D56</x:v>
      </x:c>
      <x:c r="B2633" s="24" t="str">
        <x:v>ZEISS</x:v>
      </x:c>
      <x:c r="C2633" s="24" t="str">
        <x:v>Progressiva</x:v>
      </x:c>
      <x:c r="D2633" s="24" t="str">
        <x:v>Surfaçada</x:v>
      </x:c>
      <x:c r="E2633" s="24" t="str">
        <x:v>Light 2 3D</x:v>
      </x:c>
      <x:c r="F2633" s="24"/>
      <x:c r="G2633" s="24" t="str">
        <x:v>1.5</x:v>
      </x:c>
      <x:c r="H2633" s="24" t="str">
        <x:v>1.50</x:v>
      </x:c>
      <x:c r="I2633" s="24" t="str">
        <x:v>DuraVision Chrome UV</x:v>
      </x:c>
      <x:c r="J2633" s="40" t="n">
        <x:v>2449</x:v>
      </x:c>
      <x:c r="K2633" s="24" t="str">
        <x:v>-6.00 a +4.00</x:v>
      </x:c>
      <x:c r="L2633" s="24" t="str">
        <x:v>-4.00</x:v>
      </x:c>
      <x:c r="M2633" s="24" t="str">
        <x:v>0.75 a 3.50</x:v>
      </x:c>
      <x:c r="N2633" s="24" t="str">
        <x:v>75</x:v>
      </x:c>
      <x:c r="O2633" s="24"/>
      <x:c r="P2633" s="24"/>
      <x:c r="Q2633" s="24" t="str">
        <x:v>DISPONÍVEL</x:v>
      </x:c>
      <x:c r="R2633" s="24"/>
      <x:c r="S2633" s="24" t="n">
        <x:v>44</x:v>
      </x:c>
      <x:c r="T2633" s="24" t="str">
        <x:v>tabela_zeiss.pdf</x:v>
      </x:c>
      <x:c r="U2633" s="24" t="str">
        <x:v>ZEISS|Progressiva|Surfaçada|Light 2 3D||1.5|1.50|DuraVision Chrome UV|-6.00 a +4.00|-4.00|0.75 a 3.50|75|||44</x:v>
      </x:c>
    </x:row>
    <x:row r="2634">
      <x:c r="A2634" s="24" t="str">
        <x:v>ZS-2E3EE4BA5D23</x:v>
      </x:c>
      <x:c r="B2634" s="24" t="str">
        <x:v>ZEISS</x:v>
      </x:c>
      <x:c r="C2634" s="24" t="str">
        <x:v>Progressiva</x:v>
      </x:c>
      <x:c r="D2634" s="24" t="str">
        <x:v>Surfaçada</x:v>
      </x:c>
      <x:c r="E2634" s="24" t="str">
        <x:v>Light 2 3D</x:v>
      </x:c>
      <x:c r="F2634" s="24"/>
      <x:c r="G2634" s="24" t="str">
        <x:v>1.5</x:v>
      </x:c>
      <x:c r="H2634" s="24" t="str">
        <x:v>1.50</x:v>
      </x:c>
      <x:c r="I2634" s="24" t="str">
        <x:v>Sem AR</x:v>
      </x:c>
      <x:c r="J2634" s="40" t="n">
        <x:v>2049</x:v>
      </x:c>
      <x:c r="K2634" s="24" t="str">
        <x:v>-6.00 a +4.00</x:v>
      </x:c>
      <x:c r="L2634" s="24" t="str">
        <x:v>-4.00</x:v>
      </x:c>
      <x:c r="M2634" s="24" t="str">
        <x:v>0.75 a 3.50</x:v>
      </x:c>
      <x:c r="N2634" s="24" t="str">
        <x:v>75</x:v>
      </x:c>
      <x:c r="O2634" s="24"/>
      <x:c r="P2634" s="24"/>
      <x:c r="Q2634" s="24" t="str">
        <x:v>DISPONÍVEL</x:v>
      </x:c>
      <x:c r="R2634" s="24"/>
      <x:c r="S2634" s="24" t="n">
        <x:v>44</x:v>
      </x:c>
      <x:c r="T2634" s="24" t="str">
        <x:v>tabela_zeiss.pdf</x:v>
      </x:c>
      <x:c r="U2634" s="24" t="str">
        <x:v>ZEISS|Progressiva|Surfaçada|Light 2 3D||1.5|1.50|Sem AR|-6.00 a +4.00|-4.00|0.75 a 3.50|75|||44</x:v>
      </x:c>
    </x:row>
    <x:row r="2635">
      <x:c r="A2635" s="24" t="str">
        <x:v>ZS-ACAB6E7F3BC8</x:v>
      </x:c>
      <x:c r="B2635" s="24" t="str">
        <x:v>ZEISS</x:v>
      </x:c>
      <x:c r="C2635" s="24" t="str">
        <x:v>Progressiva</x:v>
      </x:c>
      <x:c r="D2635" s="24" t="str">
        <x:v>Surfaçada</x:v>
      </x:c>
      <x:c r="E2635" s="24" t="str">
        <x:v>Light 2 3D</x:v>
      </x:c>
      <x:c r="F2635" s="24"/>
      <x:c r="G2635" s="24" t="str">
        <x:v>Poli</x:v>
      </x:c>
      <x:c r="H2635" s="24"/>
      <x:c r="I2635" s="24" t="str">
        <x:v>DuraVision Gold UV</x:v>
      </x:c>
      <x:c r="J2635" s="40" t="n">
        <x:v>3699</x:v>
      </x:c>
      <x:c r="K2635" s="24" t="str">
        <x:v>-10.00 a +6.00</x:v>
      </x:c>
      <x:c r="L2635" s="24" t="str">
        <x:v>-6.00</x:v>
      </x:c>
      <x:c r="M2635" s="24" t="str">
        <x:v>0.75 a 3.00</x:v>
      </x:c>
      <x:c r="N2635" s="24" t="str">
        <x:v>75</x:v>
      </x:c>
      <x:c r="O2635" s="24"/>
      <x:c r="P2635" s="24"/>
      <x:c r="Q2635" s="24" t="str">
        <x:v>DISPONÍVEL</x:v>
      </x:c>
      <x:c r="R2635" s="24"/>
      <x:c r="S2635" s="24" t="n">
        <x:v>44</x:v>
      </x:c>
      <x:c r="T2635" s="24" t="str">
        <x:v>tabela_zeiss.pdf</x:v>
      </x:c>
      <x:c r="U2635" s="24" t="str">
        <x:v>ZEISS|Progressiva|Surfaçada|Light 2 3D||Poli||DuraVision Gold UV|-10.00 a +6.00|-6.00|0.75 a 3.00|75|||44</x:v>
      </x:c>
    </x:row>
    <x:row r="2636">
      <x:c r="A2636" s="24" t="str">
        <x:v>ZS-E525EC0F4B66</x:v>
      </x:c>
      <x:c r="B2636" s="24" t="str">
        <x:v>ZEISS</x:v>
      </x:c>
      <x:c r="C2636" s="24" t="str">
        <x:v>Progressiva</x:v>
      </x:c>
      <x:c r="D2636" s="24" t="str">
        <x:v>Surfaçada</x:v>
      </x:c>
      <x:c r="E2636" s="24" t="str">
        <x:v>Light 2 3D</x:v>
      </x:c>
      <x:c r="F2636" s="24"/>
      <x:c r="G2636" s="24" t="str">
        <x:v>Poli</x:v>
      </x:c>
      <x:c r="H2636" s="24"/>
      <x:c r="I2636" s="24" t="str">
        <x:v>DuraVision Platinum UV</x:v>
      </x:c>
      <x:c r="J2636" s="40" t="n">
        <x:v>3559</x:v>
      </x:c>
      <x:c r="K2636" s="24" t="str">
        <x:v>-10.00 a +6.00</x:v>
      </x:c>
      <x:c r="L2636" s="24" t="str">
        <x:v>-6.00</x:v>
      </x:c>
      <x:c r="M2636" s="24" t="str">
        <x:v>0.75 a 3.00</x:v>
      </x:c>
      <x:c r="N2636" s="24" t="str">
        <x:v>75</x:v>
      </x:c>
      <x:c r="O2636" s="24"/>
      <x:c r="P2636" s="24"/>
      <x:c r="Q2636" s="24" t="str">
        <x:v>DISPONÍVEL</x:v>
      </x:c>
      <x:c r="R2636" s="24"/>
      <x:c r="S2636" s="24" t="n">
        <x:v>44</x:v>
      </x:c>
      <x:c r="T2636" s="24" t="str">
        <x:v>tabela_zeiss.pdf</x:v>
      </x:c>
      <x:c r="U2636" s="24" t="str">
        <x:v>ZEISS|Progressiva|Surfaçada|Light 2 3D||Poli||DuraVision Platinum UV|-10.00 a +6.00|-6.00|0.75 a 3.00|75|||44</x:v>
      </x:c>
    </x:row>
    <x:row r="2637">
      <x:c r="A2637" s="24" t="str">
        <x:v>ZS-9F00E3ABEB6D</x:v>
      </x:c>
      <x:c r="B2637" s="24" t="str">
        <x:v>ZEISS</x:v>
      </x:c>
      <x:c r="C2637" s="24" t="str">
        <x:v>Progressiva</x:v>
      </x:c>
      <x:c r="D2637" s="24" t="str">
        <x:v>Surfaçada</x:v>
      </x:c>
      <x:c r="E2637" s="24" t="str">
        <x:v>Light 2 3D</x:v>
      </x:c>
      <x:c r="F2637" s="24"/>
      <x:c r="G2637" s="24" t="str">
        <x:v>Poli</x:v>
      </x:c>
      <x:c r="H2637" s="24"/>
      <x:c r="I2637" s="24" t="str">
        <x:v>DuraVision Silver UV</x:v>
      </x:c>
      <x:c r="J2637" s="40" t="n">
        <x:v>3299</x:v>
      </x:c>
      <x:c r="K2637" s="24" t="str">
        <x:v>-10.00 a +6.00</x:v>
      </x:c>
      <x:c r="L2637" s="24" t="str">
        <x:v>-6.00</x:v>
      </x:c>
      <x:c r="M2637" s="24" t="str">
        <x:v>0.75 a 3.00</x:v>
      </x:c>
      <x:c r="N2637" s="24" t="str">
        <x:v>75</x:v>
      </x:c>
      <x:c r="O2637" s="24"/>
      <x:c r="P2637" s="24"/>
      <x:c r="Q2637" s="24" t="str">
        <x:v>DISPONÍVEL</x:v>
      </x:c>
      <x:c r="R2637" s="24"/>
      <x:c r="S2637" s="24" t="n">
        <x:v>44</x:v>
      </x:c>
      <x:c r="T2637" s="24" t="str">
        <x:v>tabela_zeiss.pdf</x:v>
      </x:c>
      <x:c r="U2637" s="24" t="str">
        <x:v>ZEISS|Progressiva|Surfaçada|Light 2 3D||Poli||DuraVision Silver UV|-10.00 a +6.00|-6.00|0.75 a 3.00|75|||44</x:v>
      </x:c>
    </x:row>
    <x:row r="2638">
      <x:c r="A2638" s="24" t="str">
        <x:v>ZS-B31784266C1F</x:v>
      </x:c>
      <x:c r="B2638" s="24" t="str">
        <x:v>ZEISS</x:v>
      </x:c>
      <x:c r="C2638" s="24" t="str">
        <x:v>Progressiva</x:v>
      </x:c>
      <x:c r="D2638" s="24" t="str">
        <x:v>Surfaçada</x:v>
      </x:c>
      <x:c r="E2638" s="24" t="str">
        <x:v>Light 2 3D</x:v>
      </x:c>
      <x:c r="F2638" s="24"/>
      <x:c r="G2638" s="24" t="str">
        <x:v>Poli</x:v>
      </x:c>
      <x:c r="H2638" s="24"/>
      <x:c r="I2638" s="24" t="str">
        <x:v>DuraVision Chrome UV</x:v>
      </x:c>
      <x:c r="J2638" s="40" t="n">
        <x:v>2809</x:v>
      </x:c>
      <x:c r="K2638" s="24" t="str">
        <x:v>-10.00 a +6.00</x:v>
      </x:c>
      <x:c r="L2638" s="24" t="str">
        <x:v>-6.00</x:v>
      </x:c>
      <x:c r="M2638" s="24" t="str">
        <x:v>0.75 a 3.00</x:v>
      </x:c>
      <x:c r="N2638" s="24" t="str">
        <x:v>75</x:v>
      </x:c>
      <x:c r="O2638" s="24"/>
      <x:c r="P2638" s="24"/>
      <x:c r="Q2638" s="24" t="str">
        <x:v>DISPONÍVEL</x:v>
      </x:c>
      <x:c r="R2638" s="24"/>
      <x:c r="S2638" s="24" t="n">
        <x:v>44</x:v>
      </x:c>
      <x:c r="T2638" s="24" t="str">
        <x:v>tabela_zeiss.pdf</x:v>
      </x:c>
      <x:c r="U2638" s="24" t="str">
        <x:v>ZEISS|Progressiva|Surfaçada|Light 2 3D||Poli||DuraVision Chrome UV|-10.00 a +6.00|-6.00|0.75 a 3.00|75|||44</x:v>
      </x:c>
    </x:row>
    <x:row r="2639">
      <x:c r="A2639" s="24" t="str">
        <x:v>ZS-B448C719AE80</x:v>
      </x:c>
      <x:c r="B2639" s="24" t="str">
        <x:v>ZEISS</x:v>
      </x:c>
      <x:c r="C2639" s="24" t="str">
        <x:v>Progressiva</x:v>
      </x:c>
      <x:c r="D2639" s="24" t="str">
        <x:v>Surfaçada</x:v>
      </x:c>
      <x:c r="E2639" s="24" t="str">
        <x:v>Light 2 3D</x:v>
      </x:c>
      <x:c r="F2639" s="24"/>
      <x:c r="G2639" s="24" t="str">
        <x:v>Poli</x:v>
      </x:c>
      <x:c r="H2639" s="24"/>
      <x:c r="I2639" s="24" t="str">
        <x:v>Sem AR</x:v>
      </x:c>
      <x:c r="J2639" s="40" t="n">
        <x:v>2409</x:v>
      </x:c>
      <x:c r="K2639" s="24" t="str">
        <x:v>-10.00 a +6.00</x:v>
      </x:c>
      <x:c r="L2639" s="24" t="str">
        <x:v>-6.00</x:v>
      </x:c>
      <x:c r="M2639" s="24" t="str">
        <x:v>0.75 a 3.00</x:v>
      </x:c>
      <x:c r="N2639" s="24" t="str">
        <x:v>75</x:v>
      </x:c>
      <x:c r="O2639" s="24"/>
      <x:c r="P2639" s="24"/>
      <x:c r="Q2639" s="24" t="str">
        <x:v>DISPONÍVEL</x:v>
      </x:c>
      <x:c r="R2639" s="24"/>
      <x:c r="S2639" s="24" t="n">
        <x:v>44</x:v>
      </x:c>
      <x:c r="T2639" s="24" t="str">
        <x:v>tabela_zeiss.pdf</x:v>
      </x:c>
      <x:c r="U2639" s="24" t="str">
        <x:v>ZEISS|Progressiva|Surfaçada|Light 2 3D||Poli||Sem AR|-10.00 a +6.00|-6.00|0.75 a 3.00|75|||44</x:v>
      </x:c>
    </x:row>
    <x:row r="2640">
      <x:c r="A2640" s="24" t="str">
        <x:v>ZS-88DD5AD397C6</x:v>
      </x:c>
      <x:c r="B2640" s="24" t="str">
        <x:v>ZEISS</x:v>
      </x:c>
      <x:c r="C2640" s="24" t="str">
        <x:v>Progressiva</x:v>
      </x:c>
      <x:c r="D2640" s="24" t="str">
        <x:v>Surfaçada</x:v>
      </x:c>
      <x:c r="E2640" s="24" t="str">
        <x:v>Light 2 3D</x:v>
      </x:c>
      <x:c r="F2640" s="24"/>
      <x:c r="G2640" s="24" t="str">
        <x:v>1.6</x:v>
      </x:c>
      <x:c r="H2640" s="24" t="str">
        <x:v>1.60</x:v>
      </x:c>
      <x:c r="I2640" s="24" t="str">
        <x:v>DuraVision Gold UV</x:v>
      </x:c>
      <x:c r="J2640" s="40" t="n">
        <x:v>3919</x:v>
      </x:c>
      <x:c r="K2640" s="24" t="str">
        <x:v>-7.25 a +6.00</x:v>
      </x:c>
      <x:c r="L2640" s="24" t="str">
        <x:v>-6.00</x:v>
      </x:c>
      <x:c r="M2640" s="24" t="str">
        <x:v>0.75 a 3.50</x:v>
      </x:c>
      <x:c r="N2640" s="24" t="str">
        <x:v>75</x:v>
      </x:c>
      <x:c r="O2640" s="24"/>
      <x:c r="P2640" s="24"/>
      <x:c r="Q2640" s="24" t="str">
        <x:v>DISPONÍVEL</x:v>
      </x:c>
      <x:c r="R2640" s="24"/>
      <x:c r="S2640" s="24" t="n">
        <x:v>44</x:v>
      </x:c>
      <x:c r="T2640" s="24" t="str">
        <x:v>tabela_zeiss.pdf</x:v>
      </x:c>
      <x:c r="U2640" s="24" t="str">
        <x:v>ZEISS|Progressiva|Surfaçada|Light 2 3D||1.6|1.60|DuraVision Gold UV|-7.25 a +6.00|-6.00|0.75 a 3.50|75|||44</x:v>
      </x:c>
    </x:row>
    <x:row r="2641">
      <x:c r="A2641" s="24" t="str">
        <x:v>ZS-904463FB4A28</x:v>
      </x:c>
      <x:c r="B2641" s="24" t="str">
        <x:v>ZEISS</x:v>
      </x:c>
      <x:c r="C2641" s="24" t="str">
        <x:v>Progressiva</x:v>
      </x:c>
      <x:c r="D2641" s="24" t="str">
        <x:v>Surfaçada</x:v>
      </x:c>
      <x:c r="E2641" s="24" t="str">
        <x:v>Light 2 3D</x:v>
      </x:c>
      <x:c r="F2641" s="24"/>
      <x:c r="G2641" s="24" t="str">
        <x:v>1.6</x:v>
      </x:c>
      <x:c r="H2641" s="24" t="str">
        <x:v>1.60</x:v>
      </x:c>
      <x:c r="I2641" s="24" t="str">
        <x:v>DURAVISION® ANTIVÍRUS PLATINUM UV</x:v>
      </x:c>
      <x:c r="J2641" s="40" t="n">
        <x:v>3779</x:v>
      </x:c>
      <x:c r="K2641" s="24" t="str">
        <x:v>-7.25 a +6.00</x:v>
      </x:c>
      <x:c r="L2641" s="24" t="str">
        <x:v>-6.00</x:v>
      </x:c>
      <x:c r="M2641" s="24" t="str">
        <x:v>0.75 a 3.50</x:v>
      </x:c>
      <x:c r="N2641" s="24" t="str">
        <x:v>75</x:v>
      </x:c>
      <x:c r="O2641" s="24"/>
      <x:c r="P2641" s="24"/>
      <x:c r="Q2641" s="24" t="str">
        <x:v>DISPONÍVEL</x:v>
      </x:c>
      <x:c r="R2641" s="24"/>
      <x:c r="S2641" s="24" t="n">
        <x:v>44</x:v>
      </x:c>
      <x:c r="T2641" s="24" t="str">
        <x:v>tabela_zeiss.pdf</x:v>
      </x:c>
      <x:c r="U2641" s="24" t="str">
        <x:v>ZEISS|Progressiva|Surfaçada|Light 2 3D||1.6|1.60|DURAVISION® ANTIVÍRUS PLATINUM UV|-7.25 a +6.00|-6.00|0.75 a 3.50|75|||44</x:v>
      </x:c>
    </x:row>
    <x:row r="2642">
      <x:c r="A2642" s="24" t="str">
        <x:v>ZS-6B403093AC81</x:v>
      </x:c>
      <x:c r="B2642" s="24" t="str">
        <x:v>ZEISS</x:v>
      </x:c>
      <x:c r="C2642" s="24" t="str">
        <x:v>Progressiva</x:v>
      </x:c>
      <x:c r="D2642" s="24" t="str">
        <x:v>Surfaçada</x:v>
      </x:c>
      <x:c r="E2642" s="24" t="str">
        <x:v>Light 2 3D</x:v>
      </x:c>
      <x:c r="F2642" s="24"/>
      <x:c r="G2642" s="24" t="str">
        <x:v>1.6</x:v>
      </x:c>
      <x:c r="H2642" s="24" t="str">
        <x:v>1.60</x:v>
      </x:c>
      <x:c r="I2642" s="24" t="str">
        <x:v>DuraVision Platinum UV</x:v>
      </x:c>
      <x:c r="J2642" s="40" t="n">
        <x:v>3779</x:v>
      </x:c>
      <x:c r="K2642" s="24" t="str">
        <x:v>-7.25 a +6.00</x:v>
      </x:c>
      <x:c r="L2642" s="24" t="str">
        <x:v>-6.00</x:v>
      </x:c>
      <x:c r="M2642" s="24" t="str">
        <x:v>0.75 a 3.50</x:v>
      </x:c>
      <x:c r="N2642" s="24" t="str">
        <x:v>75</x:v>
      </x:c>
      <x:c r="O2642" s="24"/>
      <x:c r="P2642" s="24"/>
      <x:c r="Q2642" s="24" t="str">
        <x:v>DISPONÍVEL</x:v>
      </x:c>
      <x:c r="R2642" s="24"/>
      <x:c r="S2642" s="24" t="n">
        <x:v>44</x:v>
      </x:c>
      <x:c r="T2642" s="24" t="str">
        <x:v>tabela_zeiss.pdf</x:v>
      </x:c>
      <x:c r="U2642" s="24" t="str">
        <x:v>ZEISS|Progressiva|Surfaçada|Light 2 3D||1.6|1.60|DuraVision Platinum UV|-7.25 a +6.00|-6.00|0.75 a 3.50|75|||44</x:v>
      </x:c>
    </x:row>
    <x:row r="2643">
      <x:c r="A2643" s="24" t="str">
        <x:v>ZS-590A9F0DB96A</x:v>
      </x:c>
      <x:c r="B2643" s="24" t="str">
        <x:v>ZEISS</x:v>
      </x:c>
      <x:c r="C2643" s="24" t="str">
        <x:v>Progressiva</x:v>
      </x:c>
      <x:c r="D2643" s="24" t="str">
        <x:v>Surfaçada</x:v>
      </x:c>
      <x:c r="E2643" s="24" t="str">
        <x:v>Light 2 3D</x:v>
      </x:c>
      <x:c r="F2643" s="24"/>
      <x:c r="G2643" s="24" t="str">
        <x:v>1.6</x:v>
      </x:c>
      <x:c r="H2643" s="24" t="str">
        <x:v>1.60</x:v>
      </x:c>
      <x:c r="I2643" s="24" t="str">
        <x:v>DuraVision Silver UV</x:v>
      </x:c>
      <x:c r="J2643" s="40" t="n">
        <x:v>3519</x:v>
      </x:c>
      <x:c r="K2643" s="24" t="str">
        <x:v>-7.25 a +6.00</x:v>
      </x:c>
      <x:c r="L2643" s="24" t="str">
        <x:v>-6.00</x:v>
      </x:c>
      <x:c r="M2643" s="24" t="str">
        <x:v>0.75 a 3.50</x:v>
      </x:c>
      <x:c r="N2643" s="24" t="str">
        <x:v>75</x:v>
      </x:c>
      <x:c r="O2643" s="24"/>
      <x:c r="P2643" s="24"/>
      <x:c r="Q2643" s="24" t="str">
        <x:v>DISPONÍVEL</x:v>
      </x:c>
      <x:c r="R2643" s="24"/>
      <x:c r="S2643" s="24" t="n">
        <x:v>44</x:v>
      </x:c>
      <x:c r="T2643" s="24" t="str">
        <x:v>tabela_zeiss.pdf</x:v>
      </x:c>
      <x:c r="U2643" s="24" t="str">
        <x:v>ZEISS|Progressiva|Surfaçada|Light 2 3D||1.6|1.60|DuraVision Silver UV|-7.25 a +6.00|-6.00|0.75 a 3.50|75|||44</x:v>
      </x:c>
    </x:row>
    <x:row r="2644">
      <x:c r="A2644" s="24" t="str">
        <x:v>ZS-D5838A864B90</x:v>
      </x:c>
      <x:c r="B2644" s="24" t="str">
        <x:v>ZEISS</x:v>
      </x:c>
      <x:c r="C2644" s="24" t="str">
        <x:v>Progressiva</x:v>
      </x:c>
      <x:c r="D2644" s="24" t="str">
        <x:v>Surfaçada</x:v>
      </x:c>
      <x:c r="E2644" s="24" t="str">
        <x:v>Light 2 3D</x:v>
      </x:c>
      <x:c r="F2644" s="24"/>
      <x:c r="G2644" s="24" t="str">
        <x:v>1.6</x:v>
      </x:c>
      <x:c r="H2644" s="24" t="str">
        <x:v>1.60</x:v>
      </x:c>
      <x:c r="I2644" s="24" t="str">
        <x:v>DuraVision Chrome UV</x:v>
      </x:c>
      <x:c r="J2644" s="40" t="n">
        <x:v>3029</x:v>
      </x:c>
      <x:c r="K2644" s="24" t="str">
        <x:v>-7.25 a +6.00</x:v>
      </x:c>
      <x:c r="L2644" s="24" t="str">
        <x:v>-6.00</x:v>
      </x:c>
      <x:c r="M2644" s="24" t="str">
        <x:v>0.75 a 3.50</x:v>
      </x:c>
      <x:c r="N2644" s="24" t="str">
        <x:v>75</x:v>
      </x:c>
      <x:c r="O2644" s="24"/>
      <x:c r="P2644" s="24"/>
      <x:c r="Q2644" s="24" t="str">
        <x:v>DISPONÍVEL</x:v>
      </x:c>
      <x:c r="R2644" s="24"/>
      <x:c r="S2644" s="24" t="n">
        <x:v>44</x:v>
      </x:c>
      <x:c r="T2644" s="24" t="str">
        <x:v>tabela_zeiss.pdf</x:v>
      </x:c>
      <x:c r="U2644" s="24" t="str">
        <x:v>ZEISS|Progressiva|Surfaçada|Light 2 3D||1.6|1.60|DuraVision Chrome UV|-7.25 a +6.00|-6.00|0.75 a 3.50|75|||44</x:v>
      </x:c>
    </x:row>
    <x:row r="2645">
      <x:c r="A2645" s="24" t="str">
        <x:v>ZS-D893550A5359</x:v>
      </x:c>
      <x:c r="B2645" s="24" t="str">
        <x:v>ZEISS</x:v>
      </x:c>
      <x:c r="C2645" s="24" t="str">
        <x:v>Progressiva</x:v>
      </x:c>
      <x:c r="D2645" s="24" t="str">
        <x:v>Surfaçada</x:v>
      </x:c>
      <x:c r="E2645" s="24" t="str">
        <x:v>Light 2 3D</x:v>
      </x:c>
      <x:c r="F2645" s="24"/>
      <x:c r="G2645" s="24" t="str">
        <x:v>1.67</x:v>
      </x:c>
      <x:c r="H2645" s="24" t="str">
        <x:v>1.67</x:v>
      </x:c>
      <x:c r="I2645" s="24" t="str">
        <x:v>DuraVision Gold UV</x:v>
      </x:c>
      <x:c r="J2645" s="40" t="n">
        <x:v>5219</x:v>
      </x:c>
      <x:c r="K2645" s="24" t="str">
        <x:v>-10.00 a +6.00</x:v>
      </x:c>
      <x:c r="L2645" s="24" t="str">
        <x:v>-6.00</x:v>
      </x:c>
      <x:c r="M2645" s="24" t="str">
        <x:v>0.75 a 3.00</x:v>
      </x:c>
      <x:c r="N2645" s="24" t="str">
        <x:v>70</x:v>
      </x:c>
      <x:c r="O2645" s="24"/>
      <x:c r="P2645" s="24"/>
      <x:c r="Q2645" s="24" t="str">
        <x:v>DISPONÍVEL</x:v>
      </x:c>
      <x:c r="R2645" s="24"/>
      <x:c r="S2645" s="24" t="n">
        <x:v>44</x:v>
      </x:c>
      <x:c r="T2645" s="24" t="str">
        <x:v>tabela_zeiss.pdf</x:v>
      </x:c>
      <x:c r="U2645" s="24" t="str">
        <x:v>ZEISS|Progressiva|Surfaçada|Light 2 3D||1.67|1.67|DuraVision Gold UV|-10.00 a +6.00|-6.00|0.75 a 3.00|70|||44</x:v>
      </x:c>
    </x:row>
    <x:row r="2646">
      <x:c r="A2646" s="24" t="str">
        <x:v>ZS-3669F7A4C341</x:v>
      </x:c>
      <x:c r="B2646" s="24" t="str">
        <x:v>ZEISS</x:v>
      </x:c>
      <x:c r="C2646" s="24" t="str">
        <x:v>Progressiva</x:v>
      </x:c>
      <x:c r="D2646" s="24" t="str">
        <x:v>Surfaçada</x:v>
      </x:c>
      <x:c r="E2646" s="24" t="str">
        <x:v>Light 2 3D</x:v>
      </x:c>
      <x:c r="F2646" s="24"/>
      <x:c r="G2646" s="24" t="str">
        <x:v>1.67</x:v>
      </x:c>
      <x:c r="H2646" s="24" t="str">
        <x:v>1.67</x:v>
      </x:c>
      <x:c r="I2646" s="24" t="str">
        <x:v>DURAVISION® ANTIVÍRUS PLATINUM UV</x:v>
      </x:c>
      <x:c r="J2646" s="40" t="n">
        <x:v>5079</x:v>
      </x:c>
      <x:c r="K2646" s="24" t="str">
        <x:v>-10.00 a +6.00</x:v>
      </x:c>
      <x:c r="L2646" s="24" t="str">
        <x:v>-6.00</x:v>
      </x:c>
      <x:c r="M2646" s="24" t="str">
        <x:v>0.75 a 3.00</x:v>
      </x:c>
      <x:c r="N2646" s="24" t="str">
        <x:v>70</x:v>
      </x:c>
      <x:c r="O2646" s="24"/>
      <x:c r="P2646" s="24"/>
      <x:c r="Q2646" s="24" t="str">
        <x:v>DISPONÍVEL</x:v>
      </x:c>
      <x:c r="R2646" s="24"/>
      <x:c r="S2646" s="24" t="n">
        <x:v>44</x:v>
      </x:c>
      <x:c r="T2646" s="24" t="str">
        <x:v>tabela_zeiss.pdf</x:v>
      </x:c>
      <x:c r="U2646" s="24" t="str">
        <x:v>ZEISS|Progressiva|Surfaçada|Light 2 3D||1.67|1.67|DURAVISION® ANTIVÍRUS PLATINUM UV|-10.00 a +6.00|-6.00|0.75 a 3.00|70|||44</x:v>
      </x:c>
    </x:row>
    <x:row r="2647">
      <x:c r="A2647" s="24" t="str">
        <x:v>ZS-EB1795FE52EE</x:v>
      </x:c>
      <x:c r="B2647" s="24" t="str">
        <x:v>ZEISS</x:v>
      </x:c>
      <x:c r="C2647" s="24" t="str">
        <x:v>Progressiva</x:v>
      </x:c>
      <x:c r="D2647" s="24" t="str">
        <x:v>Surfaçada</x:v>
      </x:c>
      <x:c r="E2647" s="24" t="str">
        <x:v>Light 2 3D</x:v>
      </x:c>
      <x:c r="F2647" s="24"/>
      <x:c r="G2647" s="24" t="str">
        <x:v>1.67</x:v>
      </x:c>
      <x:c r="H2647" s="24" t="str">
        <x:v>1.67</x:v>
      </x:c>
      <x:c r="I2647" s="24" t="str">
        <x:v>DuraVision Platinum UV</x:v>
      </x:c>
      <x:c r="J2647" s="40" t="n">
        <x:v>5079</x:v>
      </x:c>
      <x:c r="K2647" s="24" t="str">
        <x:v>-10.00 a +6.00</x:v>
      </x:c>
      <x:c r="L2647" s="24" t="str">
        <x:v>-6.00</x:v>
      </x:c>
      <x:c r="M2647" s="24" t="str">
        <x:v>0.75 a 3.00</x:v>
      </x:c>
      <x:c r="N2647" s="24" t="str">
        <x:v>70</x:v>
      </x:c>
      <x:c r="O2647" s="24"/>
      <x:c r="P2647" s="24"/>
      <x:c r="Q2647" s="24" t="str">
        <x:v>DISPONÍVEL</x:v>
      </x:c>
      <x:c r="R2647" s="24"/>
      <x:c r="S2647" s="24" t="n">
        <x:v>44</x:v>
      </x:c>
      <x:c r="T2647" s="24" t="str">
        <x:v>tabela_zeiss.pdf</x:v>
      </x:c>
      <x:c r="U2647" s="24" t="str">
        <x:v>ZEISS|Progressiva|Surfaçada|Light 2 3D||1.67|1.67|DuraVision Platinum UV|-10.00 a +6.00|-6.00|0.75 a 3.00|70|||44</x:v>
      </x:c>
    </x:row>
    <x:row r="2648">
      <x:c r="A2648" s="24" t="str">
        <x:v>ZS-551F10D830FA</x:v>
      </x:c>
      <x:c r="B2648" s="24" t="str">
        <x:v>ZEISS</x:v>
      </x:c>
      <x:c r="C2648" s="24" t="str">
        <x:v>Progressiva</x:v>
      </x:c>
      <x:c r="D2648" s="24" t="str">
        <x:v>Surfaçada</x:v>
      </x:c>
      <x:c r="E2648" s="24" t="str">
        <x:v>Light 2 3D</x:v>
      </x:c>
      <x:c r="F2648" s="24"/>
      <x:c r="G2648" s="24" t="str">
        <x:v>1.67</x:v>
      </x:c>
      <x:c r="H2648" s="24" t="str">
        <x:v>1.67</x:v>
      </x:c>
      <x:c r="I2648" s="24" t="str">
        <x:v>DuraVision Silver UV</x:v>
      </x:c>
      <x:c r="J2648" s="40" t="n">
        <x:v>4819</x:v>
      </x:c>
      <x:c r="K2648" s="24" t="str">
        <x:v>-10.00 a +6.00</x:v>
      </x:c>
      <x:c r="L2648" s="24" t="str">
        <x:v>-6.00</x:v>
      </x:c>
      <x:c r="M2648" s="24" t="str">
        <x:v>0.75 a 3.00</x:v>
      </x:c>
      <x:c r="N2648" s="24" t="str">
        <x:v>70</x:v>
      </x:c>
      <x:c r="O2648" s="24"/>
      <x:c r="P2648" s="24"/>
      <x:c r="Q2648" s="24" t="str">
        <x:v>DISPONÍVEL</x:v>
      </x:c>
      <x:c r="R2648" s="24"/>
      <x:c r="S2648" s="24" t="n">
        <x:v>44</x:v>
      </x:c>
      <x:c r="T2648" s="24" t="str">
        <x:v>tabela_zeiss.pdf</x:v>
      </x:c>
      <x:c r="U2648" s="24" t="str">
        <x:v>ZEISS|Progressiva|Surfaçada|Light 2 3D||1.67|1.67|DuraVision Silver UV|-10.00 a +6.00|-6.00|0.75 a 3.00|70|||44</x:v>
      </x:c>
    </x:row>
    <x:row r="2649">
      <x:c r="A2649" s="24" t="str">
        <x:v>ZS-9AD39E20825D</x:v>
      </x:c>
      <x:c r="B2649" s="24" t="str">
        <x:v>ZEISS</x:v>
      </x:c>
      <x:c r="C2649" s="24" t="str">
        <x:v>Progressiva</x:v>
      </x:c>
      <x:c r="D2649" s="24" t="str">
        <x:v>Surfaçada</x:v>
      </x:c>
      <x:c r="E2649" s="24" t="str">
        <x:v>Light 2 3D</x:v>
      </x:c>
      <x:c r="F2649" s="24"/>
      <x:c r="G2649" s="24" t="str">
        <x:v>1.67</x:v>
      </x:c>
      <x:c r="H2649" s="24" t="str">
        <x:v>1.67</x:v>
      </x:c>
      <x:c r="I2649" s="24" t="str">
        <x:v>DuraVision Chrome UV</x:v>
      </x:c>
      <x:c r="J2649" s="40" t="n">
        <x:v>4329</x:v>
      </x:c>
      <x:c r="K2649" s="24" t="str">
        <x:v>-10.00 a +6.00</x:v>
      </x:c>
      <x:c r="L2649" s="24" t="str">
        <x:v>-6.00</x:v>
      </x:c>
      <x:c r="M2649" s="24" t="str">
        <x:v>0.75 a 3.00</x:v>
      </x:c>
      <x:c r="N2649" s="24" t="str">
        <x:v>70</x:v>
      </x:c>
      <x:c r="O2649" s="24"/>
      <x:c r="P2649" s="24"/>
      <x:c r="Q2649" s="24" t="str">
        <x:v>DISPONÍVEL</x:v>
      </x:c>
      <x:c r="R2649" s="24"/>
      <x:c r="S2649" s="24" t="n">
        <x:v>44</x:v>
      </x:c>
      <x:c r="T2649" s="24" t="str">
        <x:v>tabela_zeiss.pdf</x:v>
      </x:c>
      <x:c r="U2649" s="24" t="str">
        <x:v>ZEISS|Progressiva|Surfaçada|Light 2 3D||1.67|1.67|DuraVision Chrome UV|-10.00 a +6.00|-6.00|0.75 a 3.00|70|||44</x:v>
      </x:c>
    </x:row>
    <x:row r="2650">
      <x:c r="A2650" s="24" t="str">
        <x:v>ZS-F0F24CEDC148</x:v>
      </x:c>
      <x:c r="B2650" s="24" t="str">
        <x:v>ZEISS</x:v>
      </x:c>
      <x:c r="C2650" s="24" t="str">
        <x:v>Progressiva</x:v>
      </x:c>
      <x:c r="D2650" s="24" t="str">
        <x:v>Surfaçada</x:v>
      </x:c>
      <x:c r="E2650" s="24" t="str">
        <x:v>Light 2 3D</x:v>
      </x:c>
      <x:c r="F2650" s="24"/>
      <x:c r="G2650" s="24" t="str">
        <x:v>1.74</x:v>
      </x:c>
      <x:c r="H2650" s="24" t="str">
        <x:v>1.74</x:v>
      </x:c>
      <x:c r="I2650" s="24" t="str">
        <x:v>DuraVision Gold UV</x:v>
      </x:c>
      <x:c r="J2650" s="40" t="n">
        <x:v>5529</x:v>
      </x:c>
      <x:c r="K2650" s="24" t="str">
        <x:v>-10.00 a +7.00</x:v>
      </x:c>
      <x:c r="L2650" s="24" t="str">
        <x:v>-4.00</x:v>
      </x:c>
      <x:c r="M2650" s="24" t="str">
        <x:v>0.75 a 3.50</x:v>
      </x:c>
      <x:c r="N2650" s="24" t="str">
        <x:v>70 a 75</x:v>
      </x:c>
      <x:c r="O2650" s="24"/>
      <x:c r="P2650" s="24"/>
      <x:c r="Q2650" s="24" t="str">
        <x:v>DISPONÍVEL</x:v>
      </x:c>
      <x:c r="R2650" s="24"/>
      <x:c r="S2650" s="24" t="n">
        <x:v>44</x:v>
      </x:c>
      <x:c r="T2650" s="24" t="str">
        <x:v>tabela_zeiss.pdf</x:v>
      </x:c>
      <x:c r="U2650" s="24" t="str">
        <x:v>ZEISS|Progressiva|Surfaçada|Light 2 3D||1.74|1.74|DuraVision Gold UV|-10.00 a +7.00|-4.00|0.75 a 3.50|70 a 75|||44</x:v>
      </x:c>
    </x:row>
    <x:row r="2651">
      <x:c r="A2651" s="24" t="str">
        <x:v>ZS-F1A13158E72A</x:v>
      </x:c>
      <x:c r="B2651" s="24" t="str">
        <x:v>ZEISS</x:v>
      </x:c>
      <x:c r="C2651" s="24" t="str">
        <x:v>Progressiva</x:v>
      </x:c>
      <x:c r="D2651" s="24" t="str">
        <x:v>Surfaçada</x:v>
      </x:c>
      <x:c r="E2651" s="24" t="str">
        <x:v>Light 2 3D</x:v>
      </x:c>
      <x:c r="F2651" s="24"/>
      <x:c r="G2651" s="24" t="str">
        <x:v>1.74</x:v>
      </x:c>
      <x:c r="H2651" s="24" t="str">
        <x:v>1.74</x:v>
      </x:c>
      <x:c r="I2651" s="24" t="str">
        <x:v>DuraVision Platinum UV</x:v>
      </x:c>
      <x:c r="J2651" s="40" t="n">
        <x:v>5389</x:v>
      </x:c>
      <x:c r="K2651" s="24" t="str">
        <x:v>-10.00 a +7.00</x:v>
      </x:c>
      <x:c r="L2651" s="24" t="str">
        <x:v>-4.00</x:v>
      </x:c>
      <x:c r="M2651" s="24" t="str">
        <x:v>0.75 a 3.50</x:v>
      </x:c>
      <x:c r="N2651" s="24" t="str">
        <x:v>70 a 75</x:v>
      </x:c>
      <x:c r="O2651" s="24"/>
      <x:c r="P2651" s="24"/>
      <x:c r="Q2651" s="24" t="str">
        <x:v>DISPONÍVEL</x:v>
      </x:c>
      <x:c r="R2651" s="24"/>
      <x:c r="S2651" s="24" t="n">
        <x:v>44</x:v>
      </x:c>
      <x:c r="T2651" s="24" t="str">
        <x:v>tabela_zeiss.pdf</x:v>
      </x:c>
      <x:c r="U2651" s="24" t="str">
        <x:v>ZEISS|Progressiva|Surfaçada|Light 2 3D||1.74|1.74|DuraVision Platinum UV|-10.00 a +7.00|-4.00|0.75 a 3.50|70 a 75|||44</x:v>
      </x:c>
    </x:row>
    <x:row r="2652">
      <x:c r="A2652" s="24" t="str">
        <x:v>ZS-073D39A62626</x:v>
      </x:c>
      <x:c r="B2652" s="24" t="str">
        <x:v>ZEISS</x:v>
      </x:c>
      <x:c r="C2652" s="24" t="str">
        <x:v>Progressiva</x:v>
      </x:c>
      <x:c r="D2652" s="24" t="str">
        <x:v>Surfaçada</x:v>
      </x:c>
      <x:c r="E2652" s="24" t="str">
        <x:v>Light 2 3D</x:v>
      </x:c>
      <x:c r="F2652" s="24"/>
      <x:c r="G2652" s="24" t="str">
        <x:v>1.74</x:v>
      </x:c>
      <x:c r="H2652" s="24" t="str">
        <x:v>1.74</x:v>
      </x:c>
      <x:c r="I2652" s="24" t="str">
        <x:v>DuraVision Silver UV</x:v>
      </x:c>
      <x:c r="J2652" s="40" t="n">
        <x:v>5129</x:v>
      </x:c>
      <x:c r="K2652" s="24" t="str">
        <x:v>-10.00 a +7.00</x:v>
      </x:c>
      <x:c r="L2652" s="24" t="str">
        <x:v>-4.00</x:v>
      </x:c>
      <x:c r="M2652" s="24" t="str">
        <x:v>0.75 a 3.50</x:v>
      </x:c>
      <x:c r="N2652" s="24" t="str">
        <x:v>70 a 75</x:v>
      </x:c>
      <x:c r="O2652" s="24"/>
      <x:c r="P2652" s="24"/>
      <x:c r="Q2652" s="24" t="str">
        <x:v>DISPONÍVEL</x:v>
      </x:c>
      <x:c r="R2652" s="24"/>
      <x:c r="S2652" s="24" t="n">
        <x:v>44</x:v>
      </x:c>
      <x:c r="T2652" s="24" t="str">
        <x:v>tabela_zeiss.pdf</x:v>
      </x:c>
      <x:c r="U2652" s="24" t="str">
        <x:v>ZEISS|Progressiva|Surfaçada|Light 2 3D||1.74|1.74|DuraVision Silver UV|-10.00 a +7.00|-4.00|0.75 a 3.50|70 a 75|||44</x:v>
      </x:c>
    </x:row>
    <x:row r="2653">
      <x:c r="A2653" s="24" t="str">
        <x:v>ZS-E757FA6A744F</x:v>
      </x:c>
      <x:c r="B2653" s="24" t="str">
        <x:v>ZEISS</x:v>
      </x:c>
      <x:c r="C2653" s="24" t="str">
        <x:v>Progressiva</x:v>
      </x:c>
      <x:c r="D2653" s="24" t="str">
        <x:v>Surfaçada</x:v>
      </x:c>
      <x:c r="E2653" s="24" t="str">
        <x:v>Light 2 3D</x:v>
      </x:c>
      <x:c r="F2653" s="24"/>
      <x:c r="G2653" s="24" t="str">
        <x:v>1.74</x:v>
      </x:c>
      <x:c r="H2653" s="24" t="str">
        <x:v>1.74</x:v>
      </x:c>
      <x:c r="I2653" s="24" t="str">
        <x:v>DuraVision Chrome UV</x:v>
      </x:c>
      <x:c r="J2653" s="40" t="n">
        <x:v>4639</x:v>
      </x:c>
      <x:c r="K2653" s="24" t="str">
        <x:v>-10.00 a +7.00</x:v>
      </x:c>
      <x:c r="L2653" s="24" t="str">
        <x:v>-4.00</x:v>
      </x:c>
      <x:c r="M2653" s="24" t="str">
        <x:v>0.75 a 3.50</x:v>
      </x:c>
      <x:c r="N2653" s="24" t="str">
        <x:v>70 a 75</x:v>
      </x:c>
      <x:c r="O2653" s="24"/>
      <x:c r="P2653" s="24"/>
      <x:c r="Q2653" s="24" t="str">
        <x:v>DISPONÍVEL</x:v>
      </x:c>
      <x:c r="R2653" s="24"/>
      <x:c r="S2653" s="24" t="n">
        <x:v>44</x:v>
      </x:c>
      <x:c r="T2653" s="24" t="str">
        <x:v>tabela_zeiss.pdf</x:v>
      </x:c>
      <x:c r="U2653" s="24" t="str">
        <x:v>ZEISS|Progressiva|Surfaçada|Light 2 3D||1.74|1.74|DuraVision Chrome UV|-10.00 a +7.00|-4.00|0.75 a 3.50|70 a 75|||44</x:v>
      </x:c>
    </x:row>
    <x:row r="2654">
      <x:c r="A2654" s="24" t="str">
        <x:v>ZS-F5847282AE5D</x:v>
      </x:c>
      <x:c r="B2654" s="24" t="str">
        <x:v>ZEISS</x:v>
      </x:c>
      <x:c r="C2654" s="24" t="str">
        <x:v>Progressiva</x:v>
      </x:c>
      <x:c r="D2654" s="24" t="str">
        <x:v>Surfaçada</x:v>
      </x:c>
      <x:c r="E2654" s="24" t="str">
        <x:v>Light 2 3D</x:v>
      </x:c>
      <x:c r="F2654" s="24" t="str">
        <x:v>PhotoFusion X</x:v>
      </x:c>
      <x:c r="G2654" s="24" t="str">
        <x:v>1.5</x:v>
      </x:c>
      <x:c r="H2654" s="24" t="str">
        <x:v>1.50</x:v>
      </x:c>
      <x:c r="I2654" s="24" t="str">
        <x:v>DuraVision Gold UV</x:v>
      </x:c>
      <x:c r="J2654" s="40" t="n">
        <x:v>4759</x:v>
      </x:c>
      <x:c r="K2654" s="24" t="str">
        <x:v>-6.00 a +5.00</x:v>
      </x:c>
      <x:c r="L2654" s="24" t="str">
        <x:v>-4.00</x:v>
      </x:c>
      <x:c r="M2654" s="24" t="str">
        <x:v>0.75 a 3.00</x:v>
      </x:c>
      <x:c r="N2654" s="24" t="str">
        <x:v>75</x:v>
      </x:c>
      <x:c r="O2654" s="24"/>
      <x:c r="P2654" s="24"/>
      <x:c r="Q2654" s="24" t="str">
        <x:v>DISPONÍVEL</x:v>
      </x:c>
      <x:c r="R2654" s="24" t="str">
        <x:v>Programa de Parcerias ZEISS</x:v>
      </x:c>
      <x:c r="S2654" s="24" t="n">
        <x:v>44</x:v>
      </x:c>
      <x:c r="T2654" s="24" t="str">
        <x:v>tabela_zeiss.pdf</x:v>
      </x:c>
      <x:c r="U2654" s="24" t="str">
        <x:v>ZEISS|Progressiva|Surfaçada|Light 2 3D|PhotoFusion X|1.5|1.50|DuraVision Gold UV|-6.00 a +5.00|-4.00|0.75 a 3.00|75|||44</x:v>
      </x:c>
    </x:row>
    <x:row r="2655">
      <x:c r="A2655" s="24" t="str">
        <x:v>ZS-ED807FABD742</x:v>
      </x:c>
      <x:c r="B2655" s="24" t="str">
        <x:v>ZEISS</x:v>
      </x:c>
      <x:c r="C2655" s="24" t="str">
        <x:v>Progressiva</x:v>
      </x:c>
      <x:c r="D2655" s="24" t="str">
        <x:v>Surfaçada</x:v>
      </x:c>
      <x:c r="E2655" s="24" t="str">
        <x:v>Light 2 3D</x:v>
      </x:c>
      <x:c r="F2655" s="24" t="str">
        <x:v>PhotoFusion X</x:v>
      </x:c>
      <x:c r="G2655" s="24" t="str">
        <x:v>1.5</x:v>
      </x:c>
      <x:c r="H2655" s="24" t="str">
        <x:v>1.50</x:v>
      </x:c>
      <x:c r="I2655" s="24" t="str">
        <x:v>DURAVISION® ANTIVÍRUS PLATINUM UV</x:v>
      </x:c>
      <x:c r="J2655" s="40" t="n">
        <x:v>4619</x:v>
      </x:c>
      <x:c r="K2655" s="24" t="str">
        <x:v>-6.00 a +5.00</x:v>
      </x:c>
      <x:c r="L2655" s="24" t="str">
        <x:v>-4.00</x:v>
      </x:c>
      <x:c r="M2655" s="24" t="str">
        <x:v>0.75 a 3.00</x:v>
      </x:c>
      <x:c r="N2655" s="24" t="str">
        <x:v>75</x:v>
      </x:c>
      <x:c r="O2655" s="24"/>
      <x:c r="P2655" s="24"/>
      <x:c r="Q2655" s="24" t="str">
        <x:v>DISPONÍVEL</x:v>
      </x:c>
      <x:c r="R2655" s="24" t="str">
        <x:v>Programa de Parcerias ZEISS</x:v>
      </x:c>
      <x:c r="S2655" s="24" t="n">
        <x:v>44</x:v>
      </x:c>
      <x:c r="T2655" s="24" t="str">
        <x:v>tabela_zeiss.pdf</x:v>
      </x:c>
      <x:c r="U2655" s="24" t="str">
        <x:v>ZEISS|Progressiva|Surfaçada|Light 2 3D|PhotoFusion X|1.5|1.50|DURAVISION® ANTIVÍRUS PLATINUM UV|-6.00 a +5.00|-4.00|0.75 a 3.00|75|||44</x:v>
      </x:c>
    </x:row>
    <x:row r="2656">
      <x:c r="A2656" s="24" t="str">
        <x:v>ZS-25D2CC2A9EC6</x:v>
      </x:c>
      <x:c r="B2656" s="24" t="str">
        <x:v>ZEISS</x:v>
      </x:c>
      <x:c r="C2656" s="24" t="str">
        <x:v>Progressiva</x:v>
      </x:c>
      <x:c r="D2656" s="24" t="str">
        <x:v>Surfaçada</x:v>
      </x:c>
      <x:c r="E2656" s="24" t="str">
        <x:v>Light 2 3D</x:v>
      </x:c>
      <x:c r="F2656" s="24" t="str">
        <x:v>PhotoFusion X</x:v>
      </x:c>
      <x:c r="G2656" s="24" t="str">
        <x:v>1.5</x:v>
      </x:c>
      <x:c r="H2656" s="24" t="str">
        <x:v>1.50</x:v>
      </x:c>
      <x:c r="I2656" s="24" t="str">
        <x:v>DuraVision Platinum UV</x:v>
      </x:c>
      <x:c r="J2656" s="40" t="n">
        <x:v>4619</x:v>
      </x:c>
      <x:c r="K2656" s="24" t="str">
        <x:v>-6.00 a +5.00</x:v>
      </x:c>
      <x:c r="L2656" s="24" t="str">
        <x:v>-4.00</x:v>
      </x:c>
      <x:c r="M2656" s="24" t="str">
        <x:v>0.75 a 3.00</x:v>
      </x:c>
      <x:c r="N2656" s="24" t="str">
        <x:v>75</x:v>
      </x:c>
      <x:c r="O2656" s="24"/>
      <x:c r="P2656" s="24"/>
      <x:c r="Q2656" s="24" t="str">
        <x:v>DISPONÍVEL</x:v>
      </x:c>
      <x:c r="R2656" s="24" t="str">
        <x:v>Programa de Parcerias ZEISS</x:v>
      </x:c>
      <x:c r="S2656" s="24" t="n">
        <x:v>44</x:v>
      </x:c>
      <x:c r="T2656" s="24" t="str">
        <x:v>tabela_zeiss.pdf</x:v>
      </x:c>
      <x:c r="U2656" s="24" t="str">
        <x:v>ZEISS|Progressiva|Surfaçada|Light 2 3D|PhotoFusion X|1.5|1.50|DuraVision Platinum UV|-6.00 a +5.00|-4.00|0.75 a 3.00|75|||44</x:v>
      </x:c>
    </x:row>
    <x:row r="2657">
      <x:c r="A2657" s="24" t="str">
        <x:v>ZS-209A35A5BFC6</x:v>
      </x:c>
      <x:c r="B2657" s="24" t="str">
        <x:v>ZEISS</x:v>
      </x:c>
      <x:c r="C2657" s="24" t="str">
        <x:v>Progressiva</x:v>
      </x:c>
      <x:c r="D2657" s="24" t="str">
        <x:v>Surfaçada</x:v>
      </x:c>
      <x:c r="E2657" s="24" t="str">
        <x:v>Light 2 3D</x:v>
      </x:c>
      <x:c r="F2657" s="24" t="str">
        <x:v>PhotoFusion X</x:v>
      </x:c>
      <x:c r="G2657" s="24" t="str">
        <x:v>1.5</x:v>
      </x:c>
      <x:c r="H2657" s="24" t="str">
        <x:v>1.50</x:v>
      </x:c>
      <x:c r="I2657" s="24" t="str">
        <x:v>DuraVision Silver UV</x:v>
      </x:c>
      <x:c r="J2657" s="40" t="n">
        <x:v>4359</x:v>
      </x:c>
      <x:c r="K2657" s="24" t="str">
        <x:v>-6.00 a +5.00</x:v>
      </x:c>
      <x:c r="L2657" s="24" t="str">
        <x:v>-4.00</x:v>
      </x:c>
      <x:c r="M2657" s="24" t="str">
        <x:v>0.75 a 3.00</x:v>
      </x:c>
      <x:c r="N2657" s="24" t="str">
        <x:v>75</x:v>
      </x:c>
      <x:c r="O2657" s="24"/>
      <x:c r="P2657" s="24"/>
      <x:c r="Q2657" s="24" t="str">
        <x:v>DISPONÍVEL</x:v>
      </x:c>
      <x:c r="R2657" s="24" t="str">
        <x:v>Programa de Parcerias ZEISS</x:v>
      </x:c>
      <x:c r="S2657" s="24" t="n">
        <x:v>44</x:v>
      </x:c>
      <x:c r="T2657" s="24" t="str">
        <x:v>tabela_zeiss.pdf</x:v>
      </x:c>
      <x:c r="U2657" s="24" t="str">
        <x:v>ZEISS|Progressiva|Surfaçada|Light 2 3D|PhotoFusion X|1.5|1.50|DuraVision Silver UV|-6.00 a +5.00|-4.00|0.75 a 3.00|75|||44</x:v>
      </x:c>
    </x:row>
    <x:row r="2658">
      <x:c r="A2658" s="24" t="str">
        <x:v>ZS-BC77941BACE0</x:v>
      </x:c>
      <x:c r="B2658" s="24" t="str">
        <x:v>ZEISS</x:v>
      </x:c>
      <x:c r="C2658" s="24" t="str">
        <x:v>Progressiva</x:v>
      </x:c>
      <x:c r="D2658" s="24" t="str">
        <x:v>Surfaçada</x:v>
      </x:c>
      <x:c r="E2658" s="24" t="str">
        <x:v>Light 2 3D</x:v>
      </x:c>
      <x:c r="F2658" s="24" t="str">
        <x:v>PhotoFusion X</x:v>
      </x:c>
      <x:c r="G2658" s="24" t="str">
        <x:v>1.5</x:v>
      </x:c>
      <x:c r="H2658" s="24" t="str">
        <x:v>1.50</x:v>
      </x:c>
      <x:c r="I2658" s="24" t="str">
        <x:v>DuraVision Chrome UV</x:v>
      </x:c>
      <x:c r="J2658" s="40" t="n">
        <x:v>3869</x:v>
      </x:c>
      <x:c r="K2658" s="24" t="str">
        <x:v>-6.00 a +5.00</x:v>
      </x:c>
      <x:c r="L2658" s="24" t="str">
        <x:v>-4.00</x:v>
      </x:c>
      <x:c r="M2658" s="24" t="str">
        <x:v>0.75 a 3.00</x:v>
      </x:c>
      <x:c r="N2658" s="24" t="str">
        <x:v>75</x:v>
      </x:c>
      <x:c r="O2658" s="24"/>
      <x:c r="P2658" s="24"/>
      <x:c r="Q2658" s="24" t="str">
        <x:v>DISPONÍVEL</x:v>
      </x:c>
      <x:c r="R2658" s="24" t="str">
        <x:v>Programa de Parcerias ZEISS</x:v>
      </x:c>
      <x:c r="S2658" s="24" t="n">
        <x:v>44</x:v>
      </x:c>
      <x:c r="T2658" s="24" t="str">
        <x:v>tabela_zeiss.pdf</x:v>
      </x:c>
      <x:c r="U2658" s="24" t="str">
        <x:v>ZEISS|Progressiva|Surfaçada|Light 2 3D|PhotoFusion X|1.5|1.50|DuraVision Chrome UV|-6.00 a +5.00|-4.00|0.75 a 3.00|75|||44</x:v>
      </x:c>
    </x:row>
    <x:row r="2659">
      <x:c r="A2659" s="24" t="str">
        <x:v>ZS-AF65A2872E53</x:v>
      </x:c>
      <x:c r="B2659" s="24" t="str">
        <x:v>ZEISS</x:v>
      </x:c>
      <x:c r="C2659" s="24" t="str">
        <x:v>Progressiva</x:v>
      </x:c>
      <x:c r="D2659" s="24" t="str">
        <x:v>Surfaçada</x:v>
      </x:c>
      <x:c r="E2659" s="24" t="str">
        <x:v>Light 2 3D</x:v>
      </x:c>
      <x:c r="F2659" s="24" t="str">
        <x:v>PhotoFusion X</x:v>
      </x:c>
      <x:c r="G2659" s="24" t="str">
        <x:v>1.5</x:v>
      </x:c>
      <x:c r="H2659" s="24" t="str">
        <x:v>1.50</x:v>
      </x:c>
      <x:c r="I2659" s="24" t="str">
        <x:v>Sem AR</x:v>
      </x:c>
      <x:c r="J2659" s="40" t="n">
        <x:v>3469</x:v>
      </x:c>
      <x:c r="K2659" s="24" t="str">
        <x:v>-6.00 a +5.00</x:v>
      </x:c>
      <x:c r="L2659" s="24" t="str">
        <x:v>-4.00</x:v>
      </x:c>
      <x:c r="M2659" s="24" t="str">
        <x:v>0.75 a 3.00</x:v>
      </x:c>
      <x:c r="N2659" s="24" t="str">
        <x:v>75</x:v>
      </x:c>
      <x:c r="O2659" s="24"/>
      <x:c r="P2659" s="24"/>
      <x:c r="Q2659" s="24" t="str">
        <x:v>DISPONÍVEL</x:v>
      </x:c>
      <x:c r="R2659" s="24" t="str">
        <x:v>Programa de Parcerias ZEISS</x:v>
      </x:c>
      <x:c r="S2659" s="24" t="n">
        <x:v>44</x:v>
      </x:c>
      <x:c r="T2659" s="24" t="str">
        <x:v>tabela_zeiss.pdf</x:v>
      </x:c>
      <x:c r="U2659" s="24" t="str">
        <x:v>ZEISS|Progressiva|Surfaçada|Light 2 3D|PhotoFusion X|1.5|1.50|Sem AR|-6.00 a +5.00|-4.00|0.75 a 3.00|75|||44</x:v>
      </x:c>
    </x:row>
    <x:row r="2660">
      <x:c r="A2660" s="24" t="str">
        <x:v>ZS-49317C5AA531</x:v>
      </x:c>
      <x:c r="B2660" s="24" t="str">
        <x:v>ZEISS</x:v>
      </x:c>
      <x:c r="C2660" s="24" t="str">
        <x:v>Progressiva</x:v>
      </x:c>
      <x:c r="D2660" s="24" t="str">
        <x:v>Surfaçada</x:v>
      </x:c>
      <x:c r="E2660" s="24" t="str">
        <x:v>Light 2 3D</x:v>
      </x:c>
      <x:c r="F2660" s="24" t="str">
        <x:v>PhotoFusion X</x:v>
      </x:c>
      <x:c r="G2660" s="24" t="str">
        <x:v>Poli</x:v>
      </x:c>
      <x:c r="H2660" s="24"/>
      <x:c r="I2660" s="24" t="str">
        <x:v>DuraVision Gold UV</x:v>
      </x:c>
      <x:c r="J2660" s="40" t="n">
        <x:v>5119</x:v>
      </x:c>
      <x:c r="K2660" s="24" t="str">
        <x:v>-10.00 a +6.00</x:v>
      </x:c>
      <x:c r="L2660" s="24" t="str">
        <x:v>-6.00</x:v>
      </x:c>
      <x:c r="M2660" s="24" t="str">
        <x:v>0.75 a 3.00</x:v>
      </x:c>
      <x:c r="N2660" s="24" t="str">
        <x:v>72</x:v>
      </x:c>
      <x:c r="O2660" s="24"/>
      <x:c r="P2660" s="24"/>
      <x:c r="Q2660" s="24" t="str">
        <x:v>DISPONÍVEL</x:v>
      </x:c>
      <x:c r="R2660" s="24" t="str">
        <x:v>Programa de Parcerias ZEISS</x:v>
      </x:c>
      <x:c r="S2660" s="24" t="n">
        <x:v>44</x:v>
      </x:c>
      <x:c r="T2660" s="24" t="str">
        <x:v>tabela_zeiss.pdf</x:v>
      </x:c>
      <x:c r="U2660" s="24" t="str">
        <x:v>ZEISS|Progressiva|Surfaçada|Light 2 3D|PhotoFusion X|Poli||DuraVision Gold UV|-10.00 a +6.00|-6.00|0.75 a 3.00|72|||44</x:v>
      </x:c>
    </x:row>
    <x:row r="2661">
      <x:c r="A2661" s="24" t="str">
        <x:v>ZS-47FAF600817E</x:v>
      </x:c>
      <x:c r="B2661" s="24" t="str">
        <x:v>ZEISS</x:v>
      </x:c>
      <x:c r="C2661" s="24" t="str">
        <x:v>Progressiva</x:v>
      </x:c>
      <x:c r="D2661" s="24" t="str">
        <x:v>Surfaçada</x:v>
      </x:c>
      <x:c r="E2661" s="24" t="str">
        <x:v>Light 2 3D</x:v>
      </x:c>
      <x:c r="F2661" s="24" t="str">
        <x:v>PhotoFusion X</x:v>
      </x:c>
      <x:c r="G2661" s="24" t="str">
        <x:v>Poli</x:v>
      </x:c>
      <x:c r="H2661" s="24"/>
      <x:c r="I2661" s="24" t="str">
        <x:v>DuraVision Platinum UV</x:v>
      </x:c>
      <x:c r="J2661" s="40" t="n">
        <x:v>4979</x:v>
      </x:c>
      <x:c r="K2661" s="24" t="str">
        <x:v>-10.00 a +6.00</x:v>
      </x:c>
      <x:c r="L2661" s="24" t="str">
        <x:v>-6.00</x:v>
      </x:c>
      <x:c r="M2661" s="24" t="str">
        <x:v>0.75 a 3.00</x:v>
      </x:c>
      <x:c r="N2661" s="24" t="str">
        <x:v>72</x:v>
      </x:c>
      <x:c r="O2661" s="24"/>
      <x:c r="P2661" s="24"/>
      <x:c r="Q2661" s="24" t="str">
        <x:v>DISPONÍVEL</x:v>
      </x:c>
      <x:c r="R2661" s="24" t="str">
        <x:v>Programa de Parcerias ZEISS</x:v>
      </x:c>
      <x:c r="S2661" s="24" t="n">
        <x:v>44</x:v>
      </x:c>
      <x:c r="T2661" s="24" t="str">
        <x:v>tabela_zeiss.pdf</x:v>
      </x:c>
      <x:c r="U2661" s="24" t="str">
        <x:v>ZEISS|Progressiva|Surfaçada|Light 2 3D|PhotoFusion X|Poli||DuraVision Platinum UV|-10.00 a +6.00|-6.00|0.75 a 3.00|72|||44</x:v>
      </x:c>
    </x:row>
    <x:row r="2662">
      <x:c r="A2662" s="24" t="str">
        <x:v>ZS-3F092526DAE5</x:v>
      </x:c>
      <x:c r="B2662" s="24" t="str">
        <x:v>ZEISS</x:v>
      </x:c>
      <x:c r="C2662" s="24" t="str">
        <x:v>Progressiva</x:v>
      </x:c>
      <x:c r="D2662" s="24" t="str">
        <x:v>Surfaçada</x:v>
      </x:c>
      <x:c r="E2662" s="24" t="str">
        <x:v>Light 2 3D</x:v>
      </x:c>
      <x:c r="F2662" s="24" t="str">
        <x:v>PhotoFusion X</x:v>
      </x:c>
      <x:c r="G2662" s="24" t="str">
        <x:v>Poli</x:v>
      </x:c>
      <x:c r="H2662" s="24"/>
      <x:c r="I2662" s="24" t="str">
        <x:v>DuraVision Silver UV</x:v>
      </x:c>
      <x:c r="J2662" s="40" t="n">
        <x:v>4719</x:v>
      </x:c>
      <x:c r="K2662" s="24" t="str">
        <x:v>-10.00 a +6.00</x:v>
      </x:c>
      <x:c r="L2662" s="24" t="str">
        <x:v>-6.00</x:v>
      </x:c>
      <x:c r="M2662" s="24" t="str">
        <x:v>0.75 a 3.00</x:v>
      </x:c>
      <x:c r="N2662" s="24" t="str">
        <x:v>72</x:v>
      </x:c>
      <x:c r="O2662" s="24"/>
      <x:c r="P2662" s="24"/>
      <x:c r="Q2662" s="24" t="str">
        <x:v>DISPONÍVEL</x:v>
      </x:c>
      <x:c r="R2662" s="24" t="str">
        <x:v>Programa de Parcerias ZEISS</x:v>
      </x:c>
      <x:c r="S2662" s="24" t="n">
        <x:v>44</x:v>
      </x:c>
      <x:c r="T2662" s="24" t="str">
        <x:v>tabela_zeiss.pdf</x:v>
      </x:c>
      <x:c r="U2662" s="24" t="str">
        <x:v>ZEISS|Progressiva|Surfaçada|Light 2 3D|PhotoFusion X|Poli||DuraVision Silver UV|-10.00 a +6.00|-6.00|0.75 a 3.00|72|||44</x:v>
      </x:c>
    </x:row>
    <x:row r="2663">
      <x:c r="A2663" s="24" t="str">
        <x:v>ZS-1AE123110C7E</x:v>
      </x:c>
      <x:c r="B2663" s="24" t="str">
        <x:v>ZEISS</x:v>
      </x:c>
      <x:c r="C2663" s="24" t="str">
        <x:v>Progressiva</x:v>
      </x:c>
      <x:c r="D2663" s="24" t="str">
        <x:v>Surfaçada</x:v>
      </x:c>
      <x:c r="E2663" s="24" t="str">
        <x:v>Light 2 3D</x:v>
      </x:c>
      <x:c r="F2663" s="24" t="str">
        <x:v>PhotoFusion X</x:v>
      </x:c>
      <x:c r="G2663" s="24" t="str">
        <x:v>Poli</x:v>
      </x:c>
      <x:c r="H2663" s="24"/>
      <x:c r="I2663" s="24" t="str">
        <x:v>DuraVision Chrome UV</x:v>
      </x:c>
      <x:c r="J2663" s="40" t="n">
        <x:v>4229</x:v>
      </x:c>
      <x:c r="K2663" s="24" t="str">
        <x:v>-10.00 a +6.00</x:v>
      </x:c>
      <x:c r="L2663" s="24" t="str">
        <x:v>-6.00</x:v>
      </x:c>
      <x:c r="M2663" s="24" t="str">
        <x:v>0.75 a 3.00</x:v>
      </x:c>
      <x:c r="N2663" s="24" t="str">
        <x:v>72</x:v>
      </x:c>
      <x:c r="O2663" s="24"/>
      <x:c r="P2663" s="24"/>
      <x:c r="Q2663" s="24" t="str">
        <x:v>DISPONÍVEL</x:v>
      </x:c>
      <x:c r="R2663" s="24" t="str">
        <x:v>Programa de Parcerias ZEISS</x:v>
      </x:c>
      <x:c r="S2663" s="24" t="n">
        <x:v>44</x:v>
      </x:c>
      <x:c r="T2663" s="24" t="str">
        <x:v>tabela_zeiss.pdf</x:v>
      </x:c>
      <x:c r="U2663" s="24" t="str">
        <x:v>ZEISS|Progressiva|Surfaçada|Light 2 3D|PhotoFusion X|Poli||DuraVision Chrome UV|-10.00 a +6.00|-6.00|0.75 a 3.00|72|||44</x:v>
      </x:c>
    </x:row>
    <x:row r="2664">
      <x:c r="A2664" s="24" t="str">
        <x:v>ZS-DF0126C08D9A</x:v>
      </x:c>
      <x:c r="B2664" s="24" t="str">
        <x:v>ZEISS</x:v>
      </x:c>
      <x:c r="C2664" s="24" t="str">
        <x:v>Progressiva</x:v>
      </x:c>
      <x:c r="D2664" s="24" t="str">
        <x:v>Surfaçada</x:v>
      </x:c>
      <x:c r="E2664" s="24" t="str">
        <x:v>Light 2 3D</x:v>
      </x:c>
      <x:c r="F2664" s="24" t="str">
        <x:v>PhotoFusion X</x:v>
      </x:c>
      <x:c r="G2664" s="24" t="str">
        <x:v>Poli</x:v>
      </x:c>
      <x:c r="H2664" s="24"/>
      <x:c r="I2664" s="24" t="str">
        <x:v>Sem AR</x:v>
      </x:c>
      <x:c r="J2664" s="40" t="n">
        <x:v>3829</x:v>
      </x:c>
      <x:c r="K2664" s="24" t="str">
        <x:v>-10.00 a +6.00</x:v>
      </x:c>
      <x:c r="L2664" s="24" t="str">
        <x:v>-6.00</x:v>
      </x:c>
      <x:c r="M2664" s="24" t="str">
        <x:v>0.75 a 3.00</x:v>
      </x:c>
      <x:c r="N2664" s="24" t="str">
        <x:v>72</x:v>
      </x:c>
      <x:c r="O2664" s="24"/>
      <x:c r="P2664" s="24"/>
      <x:c r="Q2664" s="24" t="str">
        <x:v>DISPONÍVEL</x:v>
      </x:c>
      <x:c r="R2664" s="24" t="str">
        <x:v>Programa de Parcerias ZEISS</x:v>
      </x:c>
      <x:c r="S2664" s="24" t="n">
        <x:v>44</x:v>
      </x:c>
      <x:c r="T2664" s="24" t="str">
        <x:v>tabela_zeiss.pdf</x:v>
      </x:c>
      <x:c r="U2664" s="24" t="str">
        <x:v>ZEISS|Progressiva|Surfaçada|Light 2 3D|PhotoFusion X|Poli||Sem AR|-10.00 a +6.00|-6.00|0.75 a 3.00|72|||44</x:v>
      </x:c>
    </x:row>
    <x:row r="2665">
      <x:c r="A2665" s="24" t="str">
        <x:v>ZS-43DD8A555654</x:v>
      </x:c>
      <x:c r="B2665" s="24" t="str">
        <x:v>ZEISS</x:v>
      </x:c>
      <x:c r="C2665" s="24" t="str">
        <x:v>Progressiva</x:v>
      </x:c>
      <x:c r="D2665" s="24" t="str">
        <x:v>Surfaçada</x:v>
      </x:c>
      <x:c r="E2665" s="24" t="str">
        <x:v>Light 2 3D</x:v>
      </x:c>
      <x:c r="F2665" s="24" t="str">
        <x:v>PhotoFusion X</x:v>
      </x:c>
      <x:c r="G2665" s="24" t="str">
        <x:v>1.6</x:v>
      </x:c>
      <x:c r="H2665" s="24" t="str">
        <x:v>1.60</x:v>
      </x:c>
      <x:c r="I2665" s="24" t="str">
        <x:v>DuraVision Gold UV</x:v>
      </x:c>
      <x:c r="J2665" s="40" t="n">
        <x:v>5339</x:v>
      </x:c>
      <x:c r="K2665" s="24" t="str">
        <x:v>-7.25 a +6.00</x:v>
      </x:c>
      <x:c r="L2665" s="24" t="str">
        <x:v>-6.00</x:v>
      </x:c>
      <x:c r="M2665" s="24" t="str">
        <x:v>0.75 a 3.50</x:v>
      </x:c>
      <x:c r="N2665" s="24" t="str">
        <x:v>75</x:v>
      </x:c>
      <x:c r="O2665" s="24"/>
      <x:c r="P2665" s="24"/>
      <x:c r="Q2665" s="24" t="str">
        <x:v>DISPONÍVEL</x:v>
      </x:c>
      <x:c r="R2665" s="24" t="str">
        <x:v>Programa de Parcerias ZEISS</x:v>
      </x:c>
      <x:c r="S2665" s="24" t="n">
        <x:v>44</x:v>
      </x:c>
      <x:c r="T2665" s="24" t="str">
        <x:v>tabela_zeiss.pdf</x:v>
      </x:c>
      <x:c r="U2665" s="24" t="str">
        <x:v>ZEISS|Progressiva|Surfaçada|Light 2 3D|PhotoFusion X|1.6|1.60|DuraVision Gold UV|-7.25 a +6.00|-6.00|0.75 a 3.50|75|||44</x:v>
      </x:c>
    </x:row>
    <x:row r="2666">
      <x:c r="A2666" s="24" t="str">
        <x:v>ZS-8BF46C889536</x:v>
      </x:c>
      <x:c r="B2666" s="24" t="str">
        <x:v>ZEISS</x:v>
      </x:c>
      <x:c r="C2666" s="24" t="str">
        <x:v>Progressiva</x:v>
      </x:c>
      <x:c r="D2666" s="24" t="str">
        <x:v>Surfaçada</x:v>
      </x:c>
      <x:c r="E2666" s="24" t="str">
        <x:v>Light 2 3D</x:v>
      </x:c>
      <x:c r="F2666" s="24" t="str">
        <x:v>PhotoFusion X</x:v>
      </x:c>
      <x:c r="G2666" s="24" t="str">
        <x:v>1.6</x:v>
      </x:c>
      <x:c r="H2666" s="24" t="str">
        <x:v>1.60</x:v>
      </x:c>
      <x:c r="I2666" s="24" t="str">
        <x:v>DURAVISION® ANTIVÍRUS PLATINUM UV</x:v>
      </x:c>
      <x:c r="J2666" s="40" t="n">
        <x:v>5199</x:v>
      </x:c>
      <x:c r="K2666" s="24" t="str">
        <x:v>-7.25 a +6.00</x:v>
      </x:c>
      <x:c r="L2666" s="24" t="str">
        <x:v>-6.00</x:v>
      </x:c>
      <x:c r="M2666" s="24" t="str">
        <x:v>0.75 a 3.50</x:v>
      </x:c>
      <x:c r="N2666" s="24" t="str">
        <x:v>75</x:v>
      </x:c>
      <x:c r="O2666" s="24"/>
      <x:c r="P2666" s="24"/>
      <x:c r="Q2666" s="24" t="str">
        <x:v>DISPONÍVEL</x:v>
      </x:c>
      <x:c r="R2666" s="24" t="str">
        <x:v>Programa de Parcerias ZEISS</x:v>
      </x:c>
      <x:c r="S2666" s="24" t="n">
        <x:v>44</x:v>
      </x:c>
      <x:c r="T2666" s="24" t="str">
        <x:v>tabela_zeiss.pdf</x:v>
      </x:c>
      <x:c r="U2666" s="24" t="str">
        <x:v>ZEISS|Progressiva|Surfaçada|Light 2 3D|PhotoFusion X|1.6|1.60|DURAVISION® ANTIVÍRUS PLATINUM UV|-7.25 a +6.00|-6.00|0.75 a 3.50|75|||44</x:v>
      </x:c>
    </x:row>
    <x:row r="2667">
      <x:c r="A2667" s="24" t="str">
        <x:v>ZS-FD31FAA8AFBE</x:v>
      </x:c>
      <x:c r="B2667" s="24" t="str">
        <x:v>ZEISS</x:v>
      </x:c>
      <x:c r="C2667" s="24" t="str">
        <x:v>Progressiva</x:v>
      </x:c>
      <x:c r="D2667" s="24" t="str">
        <x:v>Surfaçada</x:v>
      </x:c>
      <x:c r="E2667" s="24" t="str">
        <x:v>Light 2 3D</x:v>
      </x:c>
      <x:c r="F2667" s="24" t="str">
        <x:v>PhotoFusion X</x:v>
      </x:c>
      <x:c r="G2667" s="24" t="str">
        <x:v>1.6</x:v>
      </x:c>
      <x:c r="H2667" s="24" t="str">
        <x:v>1.60</x:v>
      </x:c>
      <x:c r="I2667" s="24" t="str">
        <x:v>DuraVision Platinum UV</x:v>
      </x:c>
      <x:c r="J2667" s="40" t="n">
        <x:v>5199</x:v>
      </x:c>
      <x:c r="K2667" s="24" t="str">
        <x:v>-7.25 a +6.00</x:v>
      </x:c>
      <x:c r="L2667" s="24" t="str">
        <x:v>-6.00</x:v>
      </x:c>
      <x:c r="M2667" s="24" t="str">
        <x:v>0.75 a 3.50</x:v>
      </x:c>
      <x:c r="N2667" s="24" t="str">
        <x:v>75</x:v>
      </x:c>
      <x:c r="O2667" s="24"/>
      <x:c r="P2667" s="24"/>
      <x:c r="Q2667" s="24" t="str">
        <x:v>DISPONÍVEL</x:v>
      </x:c>
      <x:c r="R2667" s="24" t="str">
        <x:v>Programa de Parcerias ZEISS</x:v>
      </x:c>
      <x:c r="S2667" s="24" t="n">
        <x:v>44</x:v>
      </x:c>
      <x:c r="T2667" s="24" t="str">
        <x:v>tabela_zeiss.pdf</x:v>
      </x:c>
      <x:c r="U2667" s="24" t="str">
        <x:v>ZEISS|Progressiva|Surfaçada|Light 2 3D|PhotoFusion X|1.6|1.60|DuraVision Platinum UV|-7.25 a +6.00|-6.00|0.75 a 3.50|75|||44</x:v>
      </x:c>
    </x:row>
    <x:row r="2668">
      <x:c r="A2668" s="24" t="str">
        <x:v>ZS-A26DA144FFAF</x:v>
      </x:c>
      <x:c r="B2668" s="24" t="str">
        <x:v>ZEISS</x:v>
      </x:c>
      <x:c r="C2668" s="24" t="str">
        <x:v>Progressiva</x:v>
      </x:c>
      <x:c r="D2668" s="24" t="str">
        <x:v>Surfaçada</x:v>
      </x:c>
      <x:c r="E2668" s="24" t="str">
        <x:v>Light 2 3D</x:v>
      </x:c>
      <x:c r="F2668" s="24" t="str">
        <x:v>PhotoFusion X</x:v>
      </x:c>
      <x:c r="G2668" s="24" t="str">
        <x:v>1.6</x:v>
      </x:c>
      <x:c r="H2668" s="24" t="str">
        <x:v>1.60</x:v>
      </x:c>
      <x:c r="I2668" s="24" t="str">
        <x:v>DuraVision Silver UV</x:v>
      </x:c>
      <x:c r="J2668" s="40" t="n">
        <x:v>4939</x:v>
      </x:c>
      <x:c r="K2668" s="24" t="str">
        <x:v>-7.25 a +6.00</x:v>
      </x:c>
      <x:c r="L2668" s="24" t="str">
        <x:v>-6.00</x:v>
      </x:c>
      <x:c r="M2668" s="24" t="str">
        <x:v>0.75 a 3.50</x:v>
      </x:c>
      <x:c r="N2668" s="24" t="str">
        <x:v>75</x:v>
      </x:c>
      <x:c r="O2668" s="24"/>
      <x:c r="P2668" s="24"/>
      <x:c r="Q2668" s="24" t="str">
        <x:v>DISPONÍVEL</x:v>
      </x:c>
      <x:c r="R2668" s="24" t="str">
        <x:v>Programa de Parcerias ZEISS</x:v>
      </x:c>
      <x:c r="S2668" s="24" t="n">
        <x:v>44</x:v>
      </x:c>
      <x:c r="T2668" s="24" t="str">
        <x:v>tabela_zeiss.pdf</x:v>
      </x:c>
      <x:c r="U2668" s="24" t="str">
        <x:v>ZEISS|Progressiva|Surfaçada|Light 2 3D|PhotoFusion X|1.6|1.60|DuraVision Silver UV|-7.25 a +6.00|-6.00|0.75 a 3.50|75|||44</x:v>
      </x:c>
    </x:row>
    <x:row r="2669">
      <x:c r="A2669" s="24" t="str">
        <x:v>ZS-AF5709A06685</x:v>
      </x:c>
      <x:c r="B2669" s="24" t="str">
        <x:v>ZEISS</x:v>
      </x:c>
      <x:c r="C2669" s="24" t="str">
        <x:v>Progressiva</x:v>
      </x:c>
      <x:c r="D2669" s="24" t="str">
        <x:v>Surfaçada</x:v>
      </x:c>
      <x:c r="E2669" s="24" t="str">
        <x:v>Light 2 3D</x:v>
      </x:c>
      <x:c r="F2669" s="24" t="str">
        <x:v>PhotoFusion X</x:v>
      </x:c>
      <x:c r="G2669" s="24" t="str">
        <x:v>1.6</x:v>
      </x:c>
      <x:c r="H2669" s="24" t="str">
        <x:v>1.60</x:v>
      </x:c>
      <x:c r="I2669" s="24" t="str">
        <x:v>DuraVision Chrome UV</x:v>
      </x:c>
      <x:c r="J2669" s="40" t="n">
        <x:v>4449</x:v>
      </x:c>
      <x:c r="K2669" s="24" t="str">
        <x:v>-7.25 a +6.00</x:v>
      </x:c>
      <x:c r="L2669" s="24" t="str">
        <x:v>-6.00</x:v>
      </x:c>
      <x:c r="M2669" s="24" t="str">
        <x:v>0.75 a 3.50</x:v>
      </x:c>
      <x:c r="N2669" s="24" t="str">
        <x:v>75</x:v>
      </x:c>
      <x:c r="O2669" s="24"/>
      <x:c r="P2669" s="24"/>
      <x:c r="Q2669" s="24" t="str">
        <x:v>DISPONÍVEL</x:v>
      </x:c>
      <x:c r="R2669" s="24" t="str">
        <x:v>Programa de Parcerias ZEISS</x:v>
      </x:c>
      <x:c r="S2669" s="24" t="n">
        <x:v>44</x:v>
      </x:c>
      <x:c r="T2669" s="24" t="str">
        <x:v>tabela_zeiss.pdf</x:v>
      </x:c>
      <x:c r="U2669" s="24" t="str">
        <x:v>ZEISS|Progressiva|Surfaçada|Light 2 3D|PhotoFusion X|1.6|1.60|DuraVision Chrome UV|-7.25 a +6.00|-6.00|0.75 a 3.50|75|||44</x:v>
      </x:c>
    </x:row>
    <x:row r="2670">
      <x:c r="A2670" s="24" t="str">
        <x:v>ZS-39F5F9DCAF3A</x:v>
      </x:c>
      <x:c r="B2670" s="24" t="str">
        <x:v>ZEISS</x:v>
      </x:c>
      <x:c r="C2670" s="24" t="str">
        <x:v>Progressiva</x:v>
      </x:c>
      <x:c r="D2670" s="24" t="str">
        <x:v>Surfaçada</x:v>
      </x:c>
      <x:c r="E2670" s="24" t="str">
        <x:v>Light 2 3D</x:v>
      </x:c>
      <x:c r="F2670" s="24" t="str">
        <x:v>PhotoFusion X</x:v>
      </x:c>
      <x:c r="G2670" s="24" t="str">
        <x:v>1.67</x:v>
      </x:c>
      <x:c r="H2670" s="24" t="str">
        <x:v>1.67</x:v>
      </x:c>
      <x:c r="I2670" s="24" t="str">
        <x:v>DuraVision Gold UV</x:v>
      </x:c>
      <x:c r="J2670" s="40" t="n">
        <x:v>6639</x:v>
      </x:c>
      <x:c r="K2670" s="24" t="str">
        <x:v>-10.00 a +6.00</x:v>
      </x:c>
      <x:c r="L2670" s="24" t="str">
        <x:v>-6.00</x:v>
      </x:c>
      <x:c r="M2670" s="24" t="str">
        <x:v>0.75 a 3.00</x:v>
      </x:c>
      <x:c r="N2670" s="24" t="str">
        <x:v>70</x:v>
      </x:c>
      <x:c r="O2670" s="24"/>
      <x:c r="P2670" s="24"/>
      <x:c r="Q2670" s="24" t="str">
        <x:v>DISPONÍVEL</x:v>
      </x:c>
      <x:c r="R2670" s="24" t="str">
        <x:v>Programa de Parcerias ZEISS</x:v>
      </x:c>
      <x:c r="S2670" s="24" t="n">
        <x:v>44</x:v>
      </x:c>
      <x:c r="T2670" s="24" t="str">
        <x:v>tabela_zeiss.pdf</x:v>
      </x:c>
      <x:c r="U2670" s="24" t="str">
        <x:v>ZEISS|Progressiva|Surfaçada|Light 2 3D|PhotoFusion X|1.67|1.67|DuraVision Gold UV|-10.00 a +6.00|-6.00|0.75 a 3.00|70|||44</x:v>
      </x:c>
    </x:row>
    <x:row r="2671">
      <x:c r="A2671" s="24" t="str">
        <x:v>ZS-C02E34ADFF02</x:v>
      </x:c>
      <x:c r="B2671" s="24" t="str">
        <x:v>ZEISS</x:v>
      </x:c>
      <x:c r="C2671" s="24" t="str">
        <x:v>Progressiva</x:v>
      </x:c>
      <x:c r="D2671" s="24" t="str">
        <x:v>Surfaçada</x:v>
      </x:c>
      <x:c r="E2671" s="24" t="str">
        <x:v>Light 2 3D</x:v>
      </x:c>
      <x:c r="F2671" s="24" t="str">
        <x:v>PhotoFusion X</x:v>
      </x:c>
      <x:c r="G2671" s="24" t="str">
        <x:v>1.67</x:v>
      </x:c>
      <x:c r="H2671" s="24" t="str">
        <x:v>1.67</x:v>
      </x:c>
      <x:c r="I2671" s="24" t="str">
        <x:v>DURAVISION® ANTIVÍRUS PLATINUM UV</x:v>
      </x:c>
      <x:c r="J2671" s="40" t="n">
        <x:v>6499</x:v>
      </x:c>
      <x:c r="K2671" s="24" t="str">
        <x:v>-10.00 a +6.00</x:v>
      </x:c>
      <x:c r="L2671" s="24" t="str">
        <x:v>-6.00</x:v>
      </x:c>
      <x:c r="M2671" s="24" t="str">
        <x:v>0.75 a 3.00</x:v>
      </x:c>
      <x:c r="N2671" s="24" t="str">
        <x:v>70</x:v>
      </x:c>
      <x:c r="O2671" s="24"/>
      <x:c r="P2671" s="24"/>
      <x:c r="Q2671" s="24" t="str">
        <x:v>DISPONÍVEL</x:v>
      </x:c>
      <x:c r="R2671" s="24" t="str">
        <x:v>Programa de Parcerias ZEISS</x:v>
      </x:c>
      <x:c r="S2671" s="24" t="n">
        <x:v>44</x:v>
      </x:c>
      <x:c r="T2671" s="24" t="str">
        <x:v>tabela_zeiss.pdf</x:v>
      </x:c>
      <x:c r="U2671" s="24" t="str">
        <x:v>ZEISS|Progressiva|Surfaçada|Light 2 3D|PhotoFusion X|1.67|1.67|DURAVISION® ANTIVÍRUS PLATINUM UV|-10.00 a +6.00|-6.00|0.75 a 3.00|70|||44</x:v>
      </x:c>
    </x:row>
    <x:row r="2672">
      <x:c r="A2672" s="24" t="str">
        <x:v>ZS-BDF47483D10D</x:v>
      </x:c>
      <x:c r="B2672" s="24" t="str">
        <x:v>ZEISS</x:v>
      </x:c>
      <x:c r="C2672" s="24" t="str">
        <x:v>Progressiva</x:v>
      </x:c>
      <x:c r="D2672" s="24" t="str">
        <x:v>Surfaçada</x:v>
      </x:c>
      <x:c r="E2672" s="24" t="str">
        <x:v>Light 2 3D</x:v>
      </x:c>
      <x:c r="F2672" s="24" t="str">
        <x:v>PhotoFusion X</x:v>
      </x:c>
      <x:c r="G2672" s="24" t="str">
        <x:v>1.67</x:v>
      </x:c>
      <x:c r="H2672" s="24" t="str">
        <x:v>1.67</x:v>
      </x:c>
      <x:c r="I2672" s="24" t="str">
        <x:v>DuraVision Platinum UV</x:v>
      </x:c>
      <x:c r="J2672" s="40" t="n">
        <x:v>6499</x:v>
      </x:c>
      <x:c r="K2672" s="24" t="str">
        <x:v>-10.00 a +6.00</x:v>
      </x:c>
      <x:c r="L2672" s="24" t="str">
        <x:v>-6.00</x:v>
      </x:c>
      <x:c r="M2672" s="24" t="str">
        <x:v>0.75 a 3.00</x:v>
      </x:c>
      <x:c r="N2672" s="24" t="str">
        <x:v>70</x:v>
      </x:c>
      <x:c r="O2672" s="24"/>
      <x:c r="P2672" s="24"/>
      <x:c r="Q2672" s="24" t="str">
        <x:v>DISPONÍVEL</x:v>
      </x:c>
      <x:c r="R2672" s="24" t="str">
        <x:v>Programa de Parcerias ZEISS</x:v>
      </x:c>
      <x:c r="S2672" s="24" t="n">
        <x:v>44</x:v>
      </x:c>
      <x:c r="T2672" s="24" t="str">
        <x:v>tabela_zeiss.pdf</x:v>
      </x:c>
      <x:c r="U2672" s="24" t="str">
        <x:v>ZEISS|Progressiva|Surfaçada|Light 2 3D|PhotoFusion X|1.67|1.67|DuraVision Platinum UV|-10.00 a +6.00|-6.00|0.75 a 3.00|70|||44</x:v>
      </x:c>
    </x:row>
    <x:row r="2673">
      <x:c r="A2673" s="24" t="str">
        <x:v>ZS-D3A44CB59D98</x:v>
      </x:c>
      <x:c r="B2673" s="24" t="str">
        <x:v>ZEISS</x:v>
      </x:c>
      <x:c r="C2673" s="24" t="str">
        <x:v>Progressiva</x:v>
      </x:c>
      <x:c r="D2673" s="24" t="str">
        <x:v>Surfaçada</x:v>
      </x:c>
      <x:c r="E2673" s="24" t="str">
        <x:v>Light 2 3D</x:v>
      </x:c>
      <x:c r="F2673" s="24" t="str">
        <x:v>PhotoFusion X</x:v>
      </x:c>
      <x:c r="G2673" s="24" t="str">
        <x:v>1.67</x:v>
      </x:c>
      <x:c r="H2673" s="24" t="str">
        <x:v>1.67</x:v>
      </x:c>
      <x:c r="I2673" s="24" t="str">
        <x:v>DuraVision Silver UV</x:v>
      </x:c>
      <x:c r="J2673" s="40" t="n">
        <x:v>6239</x:v>
      </x:c>
      <x:c r="K2673" s="24" t="str">
        <x:v>-10.00 a +6.00</x:v>
      </x:c>
      <x:c r="L2673" s="24" t="str">
        <x:v>-6.00</x:v>
      </x:c>
      <x:c r="M2673" s="24" t="str">
        <x:v>0.75 a 3.00</x:v>
      </x:c>
      <x:c r="N2673" s="24" t="str">
        <x:v>70</x:v>
      </x:c>
      <x:c r="O2673" s="24"/>
      <x:c r="P2673" s="24"/>
      <x:c r="Q2673" s="24" t="str">
        <x:v>DISPONÍVEL</x:v>
      </x:c>
      <x:c r="R2673" s="24" t="str">
        <x:v>Programa de Parcerias ZEISS</x:v>
      </x:c>
      <x:c r="S2673" s="24" t="n">
        <x:v>44</x:v>
      </x:c>
      <x:c r="T2673" s="24" t="str">
        <x:v>tabela_zeiss.pdf</x:v>
      </x:c>
      <x:c r="U2673" s="24" t="str">
        <x:v>ZEISS|Progressiva|Surfaçada|Light 2 3D|PhotoFusion X|1.67|1.67|DuraVision Silver UV|-10.00 a +6.00|-6.00|0.75 a 3.00|70|||44</x:v>
      </x:c>
    </x:row>
    <x:row r="2674">
      <x:c r="A2674" s="24" t="str">
        <x:v>ZS-2E67B2B7119F</x:v>
      </x:c>
      <x:c r="B2674" s="24" t="str">
        <x:v>ZEISS</x:v>
      </x:c>
      <x:c r="C2674" s="24" t="str">
        <x:v>Progressiva</x:v>
      </x:c>
      <x:c r="D2674" s="24" t="str">
        <x:v>Surfaçada</x:v>
      </x:c>
      <x:c r="E2674" s="24" t="str">
        <x:v>Light 2 3D</x:v>
      </x:c>
      <x:c r="F2674" s="24" t="str">
        <x:v>PhotoFusion X</x:v>
      </x:c>
      <x:c r="G2674" s="24" t="str">
        <x:v>1.67</x:v>
      </x:c>
      <x:c r="H2674" s="24" t="str">
        <x:v>1.67</x:v>
      </x:c>
      <x:c r="I2674" s="24" t="str">
        <x:v>DuraVision Chrome UV</x:v>
      </x:c>
      <x:c r="J2674" s="40" t="n">
        <x:v>5749</x:v>
      </x:c>
      <x:c r="K2674" s="24" t="str">
        <x:v>-10.00 a +6.00</x:v>
      </x:c>
      <x:c r="L2674" s="24" t="str">
        <x:v>-6.00</x:v>
      </x:c>
      <x:c r="M2674" s="24" t="str">
        <x:v>0.75 a 3.00</x:v>
      </x:c>
      <x:c r="N2674" s="24" t="str">
        <x:v>70</x:v>
      </x:c>
      <x:c r="O2674" s="24"/>
      <x:c r="P2674" s="24"/>
      <x:c r="Q2674" s="24" t="str">
        <x:v>DISPONÍVEL</x:v>
      </x:c>
      <x:c r="R2674" s="24" t="str">
        <x:v>Programa de Parcerias ZEISS</x:v>
      </x:c>
      <x:c r="S2674" s="24" t="n">
        <x:v>44</x:v>
      </x:c>
      <x:c r="T2674" s="24" t="str">
        <x:v>tabela_zeiss.pdf</x:v>
      </x:c>
      <x:c r="U2674" s="24" t="str">
        <x:v>ZEISS|Progressiva|Surfaçada|Light 2 3D|PhotoFusion X|1.67|1.67|DuraVision Chrome UV|-10.00 a +6.00|-6.00|0.75 a 3.00|70|||44</x:v>
      </x:c>
    </x:row>
    <x:row r="2675">
      <x:c r="A2675" s="24" t="str">
        <x:v>ZS-F3D69F275CBC</x:v>
      </x:c>
      <x:c r="B2675" s="24" t="str">
        <x:v>ZEISS</x:v>
      </x:c>
      <x:c r="C2675" s="24" t="str">
        <x:v>Progressiva</x:v>
      </x:c>
      <x:c r="D2675" s="24" t="str">
        <x:v>Surfaçada</x:v>
      </x:c>
      <x:c r="E2675" s="24" t="str">
        <x:v>Light 2 3D</x:v>
      </x:c>
      <x:c r="F2675" s="24" t="str">
        <x:v>PhotoFusion X Extra Dark Cinza</x:v>
      </x:c>
      <x:c r="G2675" s="24" t="str">
        <x:v>1.5</x:v>
      </x:c>
      <x:c r="H2675" s="24" t="str">
        <x:v>1.50</x:v>
      </x:c>
      <x:c r="I2675" s="24" t="str">
        <x:v>DuraVision Gold UV</x:v>
      </x:c>
      <x:c r="J2675" s="40" t="n">
        <x:v>4809</x:v>
      </x:c>
      <x:c r="K2675" s="24" t="str">
        <x:v>-6.00 a +5.00</x:v>
      </x:c>
      <x:c r="L2675" s="24" t="str">
        <x:v>-4.00</x:v>
      </x:c>
      <x:c r="M2675" s="24" t="str">
        <x:v>0.75 a 3.00</x:v>
      </x:c>
      <x:c r="N2675" s="24" t="str">
        <x:v>75</x:v>
      </x:c>
      <x:c r="O2675" s="24"/>
      <x:c r="P2675" s="24"/>
      <x:c r="Q2675" s="24" t="str">
        <x:v>DISPONÍVEL</x:v>
      </x:c>
      <x:c r="R2675" s="24" t="str">
        <x:v>Programa de Parcerias ZEISS</x:v>
      </x:c>
      <x:c r="S2675" s="24" t="n">
        <x:v>44</x:v>
      </x:c>
      <x:c r="T2675" s="24" t="str">
        <x:v>tabela_zeiss.pdf</x:v>
      </x:c>
      <x:c r="U2675" s="24" t="str">
        <x:v>ZEISS|Progressiva|Surfaçada|Light 2 3D|PhotoFusion X Extra Dark Cinza|1.5|1.50|DuraVision Gold UV|-6.00 a +5.00|-4.00|0.75 a 3.00|75|||44</x:v>
      </x:c>
    </x:row>
    <x:row r="2676">
      <x:c r="A2676" s="24" t="str">
        <x:v>ZS-C66AAC53A2F2</x:v>
      </x:c>
      <x:c r="B2676" s="24" t="str">
        <x:v>ZEISS</x:v>
      </x:c>
      <x:c r="C2676" s="24" t="str">
        <x:v>Progressiva</x:v>
      </x:c>
      <x:c r="D2676" s="24" t="str">
        <x:v>Surfaçada</x:v>
      </x:c>
      <x:c r="E2676" s="24" t="str">
        <x:v>Light 2 3D</x:v>
      </x:c>
      <x:c r="F2676" s="24" t="str">
        <x:v>PhotoFusion X Extra Dark Cinza</x:v>
      </x:c>
      <x:c r="G2676" s="24" t="str">
        <x:v>1.5</x:v>
      </x:c>
      <x:c r="H2676" s="24" t="str">
        <x:v>1.50</x:v>
      </x:c>
      <x:c r="I2676" s="24" t="str">
        <x:v>DURAVISION® ANTIVÍRUS PLATINUM UV</x:v>
      </x:c>
      <x:c r="J2676" s="40" t="n">
        <x:v>4669</x:v>
      </x:c>
      <x:c r="K2676" s="24" t="str">
        <x:v>-6.00 a +5.00</x:v>
      </x:c>
      <x:c r="L2676" s="24" t="str">
        <x:v>-4.00</x:v>
      </x:c>
      <x:c r="M2676" s="24" t="str">
        <x:v>0.75 a 3.00</x:v>
      </x:c>
      <x:c r="N2676" s="24" t="str">
        <x:v>75</x:v>
      </x:c>
      <x:c r="O2676" s="24"/>
      <x:c r="P2676" s="24"/>
      <x:c r="Q2676" s="24" t="str">
        <x:v>DISPONÍVEL</x:v>
      </x:c>
      <x:c r="R2676" s="24" t="str">
        <x:v>Programa de Parcerias ZEISS</x:v>
      </x:c>
      <x:c r="S2676" s="24" t="n">
        <x:v>44</x:v>
      </x:c>
      <x:c r="T2676" s="24" t="str">
        <x:v>tabela_zeiss.pdf</x:v>
      </x:c>
      <x:c r="U2676" s="24" t="str">
        <x:v>ZEISS|Progressiva|Surfaçada|Light 2 3D|PhotoFusion X Extra Dark Cinza|1.5|1.50|DURAVISION® ANTIVÍRUS PLATINUM UV|-6.00 a +5.00|-4.00|0.75 a 3.00|75|||44</x:v>
      </x:c>
    </x:row>
    <x:row r="2677">
      <x:c r="A2677" s="24" t="str">
        <x:v>ZS-1D58DDBB3579</x:v>
      </x:c>
      <x:c r="B2677" s="24" t="str">
        <x:v>ZEISS</x:v>
      </x:c>
      <x:c r="C2677" s="24" t="str">
        <x:v>Progressiva</x:v>
      </x:c>
      <x:c r="D2677" s="24" t="str">
        <x:v>Surfaçada</x:v>
      </x:c>
      <x:c r="E2677" s="24" t="str">
        <x:v>Light 2 3D</x:v>
      </x:c>
      <x:c r="F2677" s="24" t="str">
        <x:v>PhotoFusion X Extra Dark Cinza</x:v>
      </x:c>
      <x:c r="G2677" s="24" t="str">
        <x:v>1.5</x:v>
      </x:c>
      <x:c r="H2677" s="24" t="str">
        <x:v>1.50</x:v>
      </x:c>
      <x:c r="I2677" s="24" t="str">
        <x:v>DuraVision Platinum UV</x:v>
      </x:c>
      <x:c r="J2677" s="40" t="n">
        <x:v>4669</x:v>
      </x:c>
      <x:c r="K2677" s="24" t="str">
        <x:v>-6.00 a +5.00</x:v>
      </x:c>
      <x:c r="L2677" s="24" t="str">
        <x:v>-4.00</x:v>
      </x:c>
      <x:c r="M2677" s="24" t="str">
        <x:v>0.75 a 3.00</x:v>
      </x:c>
      <x:c r="N2677" s="24" t="str">
        <x:v>75</x:v>
      </x:c>
      <x:c r="O2677" s="24"/>
      <x:c r="P2677" s="24"/>
      <x:c r="Q2677" s="24" t="str">
        <x:v>DISPONÍVEL</x:v>
      </x:c>
      <x:c r="R2677" s="24" t="str">
        <x:v>Programa de Parcerias ZEISS</x:v>
      </x:c>
      <x:c r="S2677" s="24" t="n">
        <x:v>44</x:v>
      </x:c>
      <x:c r="T2677" s="24" t="str">
        <x:v>tabela_zeiss.pdf</x:v>
      </x:c>
      <x:c r="U2677" s="24" t="str">
        <x:v>ZEISS|Progressiva|Surfaçada|Light 2 3D|PhotoFusion X Extra Dark Cinza|1.5|1.50|DuraVision Platinum UV|-6.00 a +5.00|-4.00|0.75 a 3.00|75|||44</x:v>
      </x:c>
    </x:row>
    <x:row r="2678">
      <x:c r="A2678" s="24" t="str">
        <x:v>ZS-7BFBB05BCD83</x:v>
      </x:c>
      <x:c r="B2678" s="24" t="str">
        <x:v>ZEISS</x:v>
      </x:c>
      <x:c r="C2678" s="24" t="str">
        <x:v>Progressiva</x:v>
      </x:c>
      <x:c r="D2678" s="24" t="str">
        <x:v>Surfaçada</x:v>
      </x:c>
      <x:c r="E2678" s="24" t="str">
        <x:v>Light 2 3D</x:v>
      </x:c>
      <x:c r="F2678" s="24" t="str">
        <x:v>PhotoFusion X Extra Dark Cinza</x:v>
      </x:c>
      <x:c r="G2678" s="24" t="str">
        <x:v>1.5</x:v>
      </x:c>
      <x:c r="H2678" s="24" t="str">
        <x:v>1.50</x:v>
      </x:c>
      <x:c r="I2678" s="24" t="str">
        <x:v>DuraVision Silver UV</x:v>
      </x:c>
      <x:c r="J2678" s="40" t="n">
        <x:v>4409</x:v>
      </x:c>
      <x:c r="K2678" s="24" t="str">
        <x:v>-6.00 a +5.00</x:v>
      </x:c>
      <x:c r="L2678" s="24" t="str">
        <x:v>-4.00</x:v>
      </x:c>
      <x:c r="M2678" s="24" t="str">
        <x:v>0.75 a 3.00</x:v>
      </x:c>
      <x:c r="N2678" s="24" t="str">
        <x:v>75</x:v>
      </x:c>
      <x:c r="O2678" s="24"/>
      <x:c r="P2678" s="24"/>
      <x:c r="Q2678" s="24" t="str">
        <x:v>DISPONÍVEL</x:v>
      </x:c>
      <x:c r="R2678" s="24" t="str">
        <x:v>Programa de Parcerias ZEISS</x:v>
      </x:c>
      <x:c r="S2678" s="24" t="n">
        <x:v>44</x:v>
      </x:c>
      <x:c r="T2678" s="24" t="str">
        <x:v>tabela_zeiss.pdf</x:v>
      </x:c>
      <x:c r="U2678" s="24" t="str">
        <x:v>ZEISS|Progressiva|Surfaçada|Light 2 3D|PhotoFusion X Extra Dark Cinza|1.5|1.50|DuraVision Silver UV|-6.00 a +5.00|-4.00|0.75 a 3.00|75|||44</x:v>
      </x:c>
    </x:row>
    <x:row r="2679">
      <x:c r="A2679" s="24" t="str">
        <x:v>ZS-7529FDC7A90E</x:v>
      </x:c>
      <x:c r="B2679" s="24" t="str">
        <x:v>ZEISS</x:v>
      </x:c>
      <x:c r="C2679" s="24" t="str">
        <x:v>Progressiva</x:v>
      </x:c>
      <x:c r="D2679" s="24" t="str">
        <x:v>Surfaçada</x:v>
      </x:c>
      <x:c r="E2679" s="24" t="str">
        <x:v>Light 2 3D</x:v>
      </x:c>
      <x:c r="F2679" s="24" t="str">
        <x:v>PhotoFusion X Extra Dark Cinza</x:v>
      </x:c>
      <x:c r="G2679" s="24" t="str">
        <x:v>1.5</x:v>
      </x:c>
      <x:c r="H2679" s="24" t="str">
        <x:v>1.50</x:v>
      </x:c>
      <x:c r="I2679" s="24" t="str">
        <x:v>DuraVision Chrome UV</x:v>
      </x:c>
      <x:c r="J2679" s="40" t="n">
        <x:v>3919</x:v>
      </x:c>
      <x:c r="K2679" s="24" t="str">
        <x:v>-6.00 a +5.00</x:v>
      </x:c>
      <x:c r="L2679" s="24" t="str">
        <x:v>-4.00</x:v>
      </x:c>
      <x:c r="M2679" s="24" t="str">
        <x:v>0.75 a 3.00</x:v>
      </x:c>
      <x:c r="N2679" s="24" t="str">
        <x:v>75</x:v>
      </x:c>
      <x:c r="O2679" s="24"/>
      <x:c r="P2679" s="24"/>
      <x:c r="Q2679" s="24" t="str">
        <x:v>DISPONÍVEL</x:v>
      </x:c>
      <x:c r="R2679" s="24" t="str">
        <x:v>Programa de Parcerias ZEISS</x:v>
      </x:c>
      <x:c r="S2679" s="24" t="n">
        <x:v>44</x:v>
      </x:c>
      <x:c r="T2679" s="24" t="str">
        <x:v>tabela_zeiss.pdf</x:v>
      </x:c>
      <x:c r="U2679" s="24" t="str">
        <x:v>ZEISS|Progressiva|Surfaçada|Light 2 3D|PhotoFusion X Extra Dark Cinza|1.5|1.50|DuraVision Chrome UV|-6.00 a +5.00|-4.00|0.75 a 3.00|75|||44</x:v>
      </x:c>
    </x:row>
    <x:row r="2680">
      <x:c r="A2680" s="24" t="str">
        <x:v>ZS-D9C471AFDCE6</x:v>
      </x:c>
      <x:c r="B2680" s="24" t="str">
        <x:v>ZEISS</x:v>
      </x:c>
      <x:c r="C2680" s="24" t="str">
        <x:v>Progressiva</x:v>
      </x:c>
      <x:c r="D2680" s="24" t="str">
        <x:v>Surfaçada</x:v>
      </x:c>
      <x:c r="E2680" s="24" t="str">
        <x:v>Light 2 3D</x:v>
      </x:c>
      <x:c r="F2680" s="24" t="str">
        <x:v>PhotoFusion X Extra Dark Cinza</x:v>
      </x:c>
      <x:c r="G2680" s="24" t="str">
        <x:v>1.5</x:v>
      </x:c>
      <x:c r="H2680" s="24" t="str">
        <x:v>1.50</x:v>
      </x:c>
      <x:c r="I2680" s="24" t="str">
        <x:v>Sem AR</x:v>
      </x:c>
      <x:c r="J2680" s="40" t="n">
        <x:v>3519</x:v>
      </x:c>
      <x:c r="K2680" s="24" t="str">
        <x:v>-6.00 a +5.00</x:v>
      </x:c>
      <x:c r="L2680" s="24" t="str">
        <x:v>-4.00</x:v>
      </x:c>
      <x:c r="M2680" s="24" t="str">
        <x:v>0.75 a 3.00</x:v>
      </x:c>
      <x:c r="N2680" s="24" t="str">
        <x:v>75</x:v>
      </x:c>
      <x:c r="O2680" s="24"/>
      <x:c r="P2680" s="24"/>
      <x:c r="Q2680" s="24" t="str">
        <x:v>DISPONÍVEL</x:v>
      </x:c>
      <x:c r="R2680" s="24" t="str">
        <x:v>Programa de Parcerias ZEISS</x:v>
      </x:c>
      <x:c r="S2680" s="24" t="n">
        <x:v>44</x:v>
      </x:c>
      <x:c r="T2680" s="24" t="str">
        <x:v>tabela_zeiss.pdf</x:v>
      </x:c>
      <x:c r="U2680" s="24" t="str">
        <x:v>ZEISS|Progressiva|Surfaçada|Light 2 3D|PhotoFusion X Extra Dark Cinza|1.5|1.50|Sem AR|-6.00 a +5.00|-4.00|0.75 a 3.00|75|||44</x:v>
      </x:c>
    </x:row>
    <x:row r="2681">
      <x:c r="A2681" s="24" t="str">
        <x:v>ZS-83E11EB86EF6</x:v>
      </x:c>
      <x:c r="B2681" s="24" t="str">
        <x:v>ZEISS</x:v>
      </x:c>
      <x:c r="C2681" s="24" t="str">
        <x:v>Progressiva</x:v>
      </x:c>
      <x:c r="D2681" s="24" t="str">
        <x:v>Surfaçada</x:v>
      </x:c>
      <x:c r="E2681" s="24" t="str">
        <x:v>Light 2 3D</x:v>
      </x:c>
      <x:c r="F2681" s="24" t="str">
        <x:v>PhotoFusion X Extra Dark Cinza</x:v>
      </x:c>
      <x:c r="G2681" s="24" t="str">
        <x:v>Poli</x:v>
      </x:c>
      <x:c r="H2681" s="24"/>
      <x:c r="I2681" s="24" t="str">
        <x:v>DuraVision Gold UV</x:v>
      </x:c>
      <x:c r="J2681" s="40" t="n">
        <x:v>5169</x:v>
      </x:c>
      <x:c r="K2681" s="24" t="str">
        <x:v>-10.00 a +6.00</x:v>
      </x:c>
      <x:c r="L2681" s="24" t="str">
        <x:v>-6.00</x:v>
      </x:c>
      <x:c r="M2681" s="24" t="str">
        <x:v>0.75 a 3.00</x:v>
      </x:c>
      <x:c r="N2681" s="24" t="str">
        <x:v>72</x:v>
      </x:c>
      <x:c r="O2681" s="24"/>
      <x:c r="P2681" s="24"/>
      <x:c r="Q2681" s="24" t="str">
        <x:v>DISPONÍVEL</x:v>
      </x:c>
      <x:c r="R2681" s="24" t="str">
        <x:v>Programa de Parcerias ZEISS</x:v>
      </x:c>
      <x:c r="S2681" s="24" t="n">
        <x:v>44</x:v>
      </x:c>
      <x:c r="T2681" s="24" t="str">
        <x:v>tabela_zeiss.pdf</x:v>
      </x:c>
      <x:c r="U2681" s="24" t="str">
        <x:v>ZEISS|Progressiva|Surfaçada|Light 2 3D|PhotoFusion X Extra Dark Cinza|Poli||DuraVision Gold UV|-10.00 a +6.00|-6.00|0.75 a 3.00|72|||44</x:v>
      </x:c>
    </x:row>
    <x:row r="2682">
      <x:c r="A2682" s="24" t="str">
        <x:v>ZS-6344DE23FCDF</x:v>
      </x:c>
      <x:c r="B2682" s="24" t="str">
        <x:v>ZEISS</x:v>
      </x:c>
      <x:c r="C2682" s="24" t="str">
        <x:v>Progressiva</x:v>
      </x:c>
      <x:c r="D2682" s="24" t="str">
        <x:v>Surfaçada</x:v>
      </x:c>
      <x:c r="E2682" s="24" t="str">
        <x:v>Light 2 3D</x:v>
      </x:c>
      <x:c r="F2682" s="24" t="str">
        <x:v>PhotoFusion X Extra Dark Cinza</x:v>
      </x:c>
      <x:c r="G2682" s="24" t="str">
        <x:v>Poli</x:v>
      </x:c>
      <x:c r="H2682" s="24"/>
      <x:c r="I2682" s="24" t="str">
        <x:v>DuraVision Platinum UV</x:v>
      </x:c>
      <x:c r="J2682" s="40" t="n">
        <x:v>5029</x:v>
      </x:c>
      <x:c r="K2682" s="24" t="str">
        <x:v>-10.00 a +6.00</x:v>
      </x:c>
      <x:c r="L2682" s="24" t="str">
        <x:v>-6.00</x:v>
      </x:c>
      <x:c r="M2682" s="24" t="str">
        <x:v>0.75 a 3.00</x:v>
      </x:c>
      <x:c r="N2682" s="24" t="str">
        <x:v>72</x:v>
      </x:c>
      <x:c r="O2682" s="24"/>
      <x:c r="P2682" s="24"/>
      <x:c r="Q2682" s="24" t="str">
        <x:v>DISPONÍVEL</x:v>
      </x:c>
      <x:c r="R2682" s="24" t="str">
        <x:v>Programa de Parcerias ZEISS</x:v>
      </x:c>
      <x:c r="S2682" s="24" t="n">
        <x:v>44</x:v>
      </x:c>
      <x:c r="T2682" s="24" t="str">
        <x:v>tabela_zeiss.pdf</x:v>
      </x:c>
      <x:c r="U2682" s="24" t="str">
        <x:v>ZEISS|Progressiva|Surfaçada|Light 2 3D|PhotoFusion X Extra Dark Cinza|Poli||DuraVision Platinum UV|-10.00 a +6.00|-6.00|0.75 a 3.00|72|||44</x:v>
      </x:c>
    </x:row>
    <x:row r="2683">
      <x:c r="A2683" s="24" t="str">
        <x:v>ZS-626976CBAA68</x:v>
      </x:c>
      <x:c r="B2683" s="24" t="str">
        <x:v>ZEISS</x:v>
      </x:c>
      <x:c r="C2683" s="24" t="str">
        <x:v>Progressiva</x:v>
      </x:c>
      <x:c r="D2683" s="24" t="str">
        <x:v>Surfaçada</x:v>
      </x:c>
      <x:c r="E2683" s="24" t="str">
        <x:v>Light 2 3D</x:v>
      </x:c>
      <x:c r="F2683" s="24" t="str">
        <x:v>PhotoFusion X Extra Dark Cinza</x:v>
      </x:c>
      <x:c r="G2683" s="24" t="str">
        <x:v>Poli</x:v>
      </x:c>
      <x:c r="H2683" s="24"/>
      <x:c r="I2683" s="24" t="str">
        <x:v>DuraVision Silver UV</x:v>
      </x:c>
      <x:c r="J2683" s="40" t="n">
        <x:v>4769</x:v>
      </x:c>
      <x:c r="K2683" s="24" t="str">
        <x:v>-10.00 a +6.00</x:v>
      </x:c>
      <x:c r="L2683" s="24" t="str">
        <x:v>-6.00</x:v>
      </x:c>
      <x:c r="M2683" s="24" t="str">
        <x:v>0.75 a 3.00</x:v>
      </x:c>
      <x:c r="N2683" s="24" t="str">
        <x:v>72</x:v>
      </x:c>
      <x:c r="O2683" s="24"/>
      <x:c r="P2683" s="24"/>
      <x:c r="Q2683" s="24" t="str">
        <x:v>DISPONÍVEL</x:v>
      </x:c>
      <x:c r="R2683" s="24" t="str">
        <x:v>Programa de Parcerias ZEISS</x:v>
      </x:c>
      <x:c r="S2683" s="24" t="n">
        <x:v>44</x:v>
      </x:c>
      <x:c r="T2683" s="24" t="str">
        <x:v>tabela_zeiss.pdf</x:v>
      </x:c>
      <x:c r="U2683" s="24" t="str">
        <x:v>ZEISS|Progressiva|Surfaçada|Light 2 3D|PhotoFusion X Extra Dark Cinza|Poli||DuraVision Silver UV|-10.00 a +6.00|-6.00|0.75 a 3.00|72|||44</x:v>
      </x:c>
    </x:row>
    <x:row r="2684">
      <x:c r="A2684" s="24" t="str">
        <x:v>ZS-F0EB38FA767C</x:v>
      </x:c>
      <x:c r="B2684" s="24" t="str">
        <x:v>ZEISS</x:v>
      </x:c>
      <x:c r="C2684" s="24" t="str">
        <x:v>Progressiva</x:v>
      </x:c>
      <x:c r="D2684" s="24" t="str">
        <x:v>Surfaçada</x:v>
      </x:c>
      <x:c r="E2684" s="24" t="str">
        <x:v>Light 2 3D</x:v>
      </x:c>
      <x:c r="F2684" s="24" t="str">
        <x:v>PhotoFusion X Extra Dark Cinza</x:v>
      </x:c>
      <x:c r="G2684" s="24" t="str">
        <x:v>Poli</x:v>
      </x:c>
      <x:c r="H2684" s="24"/>
      <x:c r="I2684" s="24" t="str">
        <x:v>DuraVision Chrome UV</x:v>
      </x:c>
      <x:c r="J2684" s="40" t="n">
        <x:v>4279</x:v>
      </x:c>
      <x:c r="K2684" s="24" t="str">
        <x:v>-10.00 a +6.00</x:v>
      </x:c>
      <x:c r="L2684" s="24" t="str">
        <x:v>-6.00</x:v>
      </x:c>
      <x:c r="M2684" s="24" t="str">
        <x:v>0.75 a 3.00</x:v>
      </x:c>
      <x:c r="N2684" s="24" t="str">
        <x:v>72</x:v>
      </x:c>
      <x:c r="O2684" s="24"/>
      <x:c r="P2684" s="24"/>
      <x:c r="Q2684" s="24" t="str">
        <x:v>DISPONÍVEL</x:v>
      </x:c>
      <x:c r="R2684" s="24" t="str">
        <x:v>Programa de Parcerias ZEISS</x:v>
      </x:c>
      <x:c r="S2684" s="24" t="n">
        <x:v>44</x:v>
      </x:c>
      <x:c r="T2684" s="24" t="str">
        <x:v>tabela_zeiss.pdf</x:v>
      </x:c>
      <x:c r="U2684" s="24" t="str">
        <x:v>ZEISS|Progressiva|Surfaçada|Light 2 3D|PhotoFusion X Extra Dark Cinza|Poli||DuraVision Chrome UV|-10.00 a +6.00|-6.00|0.75 a 3.00|72|||44</x:v>
      </x:c>
    </x:row>
    <x:row r="2685">
      <x:c r="A2685" s="24" t="str">
        <x:v>ZS-9A25BF3CDC09</x:v>
      </x:c>
      <x:c r="B2685" s="24" t="str">
        <x:v>ZEISS</x:v>
      </x:c>
      <x:c r="C2685" s="24" t="str">
        <x:v>Progressiva</x:v>
      </x:c>
      <x:c r="D2685" s="24" t="str">
        <x:v>Surfaçada</x:v>
      </x:c>
      <x:c r="E2685" s="24" t="str">
        <x:v>Light 2 3D</x:v>
      </x:c>
      <x:c r="F2685" s="24" t="str">
        <x:v>PhotoFusion X Extra Dark Cinza</x:v>
      </x:c>
      <x:c r="G2685" s="24" t="str">
        <x:v>Poli</x:v>
      </x:c>
      <x:c r="H2685" s="24"/>
      <x:c r="I2685" s="24" t="str">
        <x:v>Sem AR</x:v>
      </x:c>
      <x:c r="J2685" s="40" t="n">
        <x:v>3879</x:v>
      </x:c>
      <x:c r="K2685" s="24" t="str">
        <x:v>-10.00 a +6.00</x:v>
      </x:c>
      <x:c r="L2685" s="24" t="str">
        <x:v>-6.00</x:v>
      </x:c>
      <x:c r="M2685" s="24" t="str">
        <x:v>0.75 a 3.00</x:v>
      </x:c>
      <x:c r="N2685" s="24" t="str">
        <x:v>72</x:v>
      </x:c>
      <x:c r="O2685" s="24"/>
      <x:c r="P2685" s="24"/>
      <x:c r="Q2685" s="24" t="str">
        <x:v>DISPONÍVEL</x:v>
      </x:c>
      <x:c r="R2685" s="24" t="str">
        <x:v>Programa de Parcerias ZEISS</x:v>
      </x:c>
      <x:c r="S2685" s="24" t="n">
        <x:v>44</x:v>
      </x:c>
      <x:c r="T2685" s="24" t="str">
        <x:v>tabela_zeiss.pdf</x:v>
      </x:c>
      <x:c r="U2685" s="24" t="str">
        <x:v>ZEISS|Progressiva|Surfaçada|Light 2 3D|PhotoFusion X Extra Dark Cinza|Poli||Sem AR|-10.00 a +6.00|-6.00|0.75 a 3.00|72|||44</x:v>
      </x:c>
    </x:row>
    <x:row r="2686">
      <x:c r="A2686" s="24" t="str">
        <x:v>ZS-C4F35F51D571</x:v>
      </x:c>
      <x:c r="B2686" s="24" t="str">
        <x:v>ZEISS</x:v>
      </x:c>
      <x:c r="C2686" s="24" t="str">
        <x:v>Progressiva</x:v>
      </x:c>
      <x:c r="D2686" s="24" t="str">
        <x:v>Surfaçada</x:v>
      </x:c>
      <x:c r="E2686" s="24" t="str">
        <x:v>Light 2 3D</x:v>
      </x:c>
      <x:c r="F2686" s="24" t="str">
        <x:v>PhotoFusion X Extra Dark Cinza</x:v>
      </x:c>
      <x:c r="G2686" s="24" t="str">
        <x:v>1.6</x:v>
      </x:c>
      <x:c r="H2686" s="24" t="str">
        <x:v>1.60</x:v>
      </x:c>
      <x:c r="I2686" s="24" t="str">
        <x:v>DuraVision Gold UV</x:v>
      </x:c>
      <x:c r="J2686" s="40" t="n">
        <x:v>5389</x:v>
      </x:c>
      <x:c r="K2686" s="24" t="str">
        <x:v>-7.25 a +6.00</x:v>
      </x:c>
      <x:c r="L2686" s="24" t="str">
        <x:v>-6.00</x:v>
      </x:c>
      <x:c r="M2686" s="24" t="str">
        <x:v>0.75 a 3.50</x:v>
      </x:c>
      <x:c r="N2686" s="24" t="str">
        <x:v>75</x:v>
      </x:c>
      <x:c r="O2686" s="24"/>
      <x:c r="P2686" s="24"/>
      <x:c r="Q2686" s="24" t="str">
        <x:v>DISPONÍVEL</x:v>
      </x:c>
      <x:c r="R2686" s="24" t="str">
        <x:v>Programa de Parcerias ZEISS</x:v>
      </x:c>
      <x:c r="S2686" s="24" t="n">
        <x:v>44</x:v>
      </x:c>
      <x:c r="T2686" s="24" t="str">
        <x:v>tabela_zeiss.pdf</x:v>
      </x:c>
      <x:c r="U2686" s="24" t="str">
        <x:v>ZEISS|Progressiva|Surfaçada|Light 2 3D|PhotoFusion X Extra Dark Cinza|1.6|1.60|DuraVision Gold UV|-7.25 a +6.00|-6.00|0.75 a 3.50|75|||44</x:v>
      </x:c>
    </x:row>
    <x:row r="2687">
      <x:c r="A2687" s="24" t="str">
        <x:v>ZS-28AA952FF26D</x:v>
      </x:c>
      <x:c r="B2687" s="24" t="str">
        <x:v>ZEISS</x:v>
      </x:c>
      <x:c r="C2687" s="24" t="str">
        <x:v>Progressiva</x:v>
      </x:c>
      <x:c r="D2687" s="24" t="str">
        <x:v>Surfaçada</x:v>
      </x:c>
      <x:c r="E2687" s="24" t="str">
        <x:v>Light 2 3D</x:v>
      </x:c>
      <x:c r="F2687" s="24" t="str">
        <x:v>PhotoFusion X Extra Dark Cinza</x:v>
      </x:c>
      <x:c r="G2687" s="24" t="str">
        <x:v>1.6</x:v>
      </x:c>
      <x:c r="H2687" s="24" t="str">
        <x:v>1.60</x:v>
      </x:c>
      <x:c r="I2687" s="24" t="str">
        <x:v>DURAVISION® ANTIVÍRUS PLATINUM UV</x:v>
      </x:c>
      <x:c r="J2687" s="40" t="n">
        <x:v>5249</x:v>
      </x:c>
      <x:c r="K2687" s="24" t="str">
        <x:v>-7.25 a +6.00</x:v>
      </x:c>
      <x:c r="L2687" s="24" t="str">
        <x:v>-6.00</x:v>
      </x:c>
      <x:c r="M2687" s="24" t="str">
        <x:v>0.75 a 3.50</x:v>
      </x:c>
      <x:c r="N2687" s="24" t="str">
        <x:v>75</x:v>
      </x:c>
      <x:c r="O2687" s="24"/>
      <x:c r="P2687" s="24"/>
      <x:c r="Q2687" s="24" t="str">
        <x:v>DISPONÍVEL</x:v>
      </x:c>
      <x:c r="R2687" s="24" t="str">
        <x:v>Programa de Parcerias ZEISS</x:v>
      </x:c>
      <x:c r="S2687" s="24" t="n">
        <x:v>44</x:v>
      </x:c>
      <x:c r="T2687" s="24" t="str">
        <x:v>tabela_zeiss.pdf</x:v>
      </x:c>
      <x:c r="U2687" s="24" t="str">
        <x:v>ZEISS|Progressiva|Surfaçada|Light 2 3D|PhotoFusion X Extra Dark Cinza|1.6|1.60|DURAVISION® ANTIVÍRUS PLATINUM UV|-7.25 a +6.00|-6.00|0.75 a 3.50|75|||44</x:v>
      </x:c>
    </x:row>
    <x:row r="2688">
      <x:c r="A2688" s="24" t="str">
        <x:v>ZS-6ACBDDB172F7</x:v>
      </x:c>
      <x:c r="B2688" s="24" t="str">
        <x:v>ZEISS</x:v>
      </x:c>
      <x:c r="C2688" s="24" t="str">
        <x:v>Progressiva</x:v>
      </x:c>
      <x:c r="D2688" s="24" t="str">
        <x:v>Surfaçada</x:v>
      </x:c>
      <x:c r="E2688" s="24" t="str">
        <x:v>Light 2 3D</x:v>
      </x:c>
      <x:c r="F2688" s="24" t="str">
        <x:v>PhotoFusion X Extra Dark Cinza</x:v>
      </x:c>
      <x:c r="G2688" s="24" t="str">
        <x:v>1.6</x:v>
      </x:c>
      <x:c r="H2688" s="24" t="str">
        <x:v>1.60</x:v>
      </x:c>
      <x:c r="I2688" s="24" t="str">
        <x:v>DuraVision Platinum UV</x:v>
      </x:c>
      <x:c r="J2688" s="40" t="n">
        <x:v>5249</x:v>
      </x:c>
      <x:c r="K2688" s="24" t="str">
        <x:v>-7.25 a +6.00</x:v>
      </x:c>
      <x:c r="L2688" s="24" t="str">
        <x:v>-6.00</x:v>
      </x:c>
      <x:c r="M2688" s="24" t="str">
        <x:v>0.75 a 3.50</x:v>
      </x:c>
      <x:c r="N2688" s="24" t="str">
        <x:v>75</x:v>
      </x:c>
      <x:c r="O2688" s="24"/>
      <x:c r="P2688" s="24"/>
      <x:c r="Q2688" s="24" t="str">
        <x:v>DISPONÍVEL</x:v>
      </x:c>
      <x:c r="R2688" s="24" t="str">
        <x:v>Programa de Parcerias ZEISS</x:v>
      </x:c>
      <x:c r="S2688" s="24" t="n">
        <x:v>44</x:v>
      </x:c>
      <x:c r="T2688" s="24" t="str">
        <x:v>tabela_zeiss.pdf</x:v>
      </x:c>
      <x:c r="U2688" s="24" t="str">
        <x:v>ZEISS|Progressiva|Surfaçada|Light 2 3D|PhotoFusion X Extra Dark Cinza|1.6|1.60|DuraVision Platinum UV|-7.25 a +6.00|-6.00|0.75 a 3.50|75|||44</x:v>
      </x:c>
    </x:row>
    <x:row r="2689">
      <x:c r="A2689" s="24" t="str">
        <x:v>ZS-8AE030E46E10</x:v>
      </x:c>
      <x:c r="B2689" s="24" t="str">
        <x:v>ZEISS</x:v>
      </x:c>
      <x:c r="C2689" s="24" t="str">
        <x:v>Progressiva</x:v>
      </x:c>
      <x:c r="D2689" s="24" t="str">
        <x:v>Surfaçada</x:v>
      </x:c>
      <x:c r="E2689" s="24" t="str">
        <x:v>Light 2 3D</x:v>
      </x:c>
      <x:c r="F2689" s="24" t="str">
        <x:v>PhotoFusion X Extra Dark Cinza</x:v>
      </x:c>
      <x:c r="G2689" s="24" t="str">
        <x:v>1.6</x:v>
      </x:c>
      <x:c r="H2689" s="24" t="str">
        <x:v>1.60</x:v>
      </x:c>
      <x:c r="I2689" s="24" t="str">
        <x:v>DuraVision Silver UV</x:v>
      </x:c>
      <x:c r="J2689" s="40" t="n">
        <x:v>4989</x:v>
      </x:c>
      <x:c r="K2689" s="24" t="str">
        <x:v>-7.25 a +6.00</x:v>
      </x:c>
      <x:c r="L2689" s="24" t="str">
        <x:v>-6.00</x:v>
      </x:c>
      <x:c r="M2689" s="24" t="str">
        <x:v>0.75 a 3.50</x:v>
      </x:c>
      <x:c r="N2689" s="24" t="str">
        <x:v>75</x:v>
      </x:c>
      <x:c r="O2689" s="24"/>
      <x:c r="P2689" s="24"/>
      <x:c r="Q2689" s="24" t="str">
        <x:v>DISPONÍVEL</x:v>
      </x:c>
      <x:c r="R2689" s="24" t="str">
        <x:v>Programa de Parcerias ZEISS</x:v>
      </x:c>
      <x:c r="S2689" s="24" t="n">
        <x:v>44</x:v>
      </x:c>
      <x:c r="T2689" s="24" t="str">
        <x:v>tabela_zeiss.pdf</x:v>
      </x:c>
      <x:c r="U2689" s="24" t="str">
        <x:v>ZEISS|Progressiva|Surfaçada|Light 2 3D|PhotoFusion X Extra Dark Cinza|1.6|1.60|DuraVision Silver UV|-7.25 a +6.00|-6.00|0.75 a 3.50|75|||44</x:v>
      </x:c>
    </x:row>
    <x:row r="2690">
      <x:c r="A2690" s="24" t="str">
        <x:v>ZS-759E64030B4B</x:v>
      </x:c>
      <x:c r="B2690" s="24" t="str">
        <x:v>ZEISS</x:v>
      </x:c>
      <x:c r="C2690" s="24" t="str">
        <x:v>Progressiva</x:v>
      </x:c>
      <x:c r="D2690" s="24" t="str">
        <x:v>Surfaçada</x:v>
      </x:c>
      <x:c r="E2690" s="24" t="str">
        <x:v>Light 2 3D</x:v>
      </x:c>
      <x:c r="F2690" s="24" t="str">
        <x:v>PhotoFusion X Extra Dark Cinza</x:v>
      </x:c>
      <x:c r="G2690" s="24" t="str">
        <x:v>1.6</x:v>
      </x:c>
      <x:c r="H2690" s="24" t="str">
        <x:v>1.60</x:v>
      </x:c>
      <x:c r="I2690" s="24" t="str">
        <x:v>DuraVision Chrome UV</x:v>
      </x:c>
      <x:c r="J2690" s="40" t="n">
        <x:v>4499</x:v>
      </x:c>
      <x:c r="K2690" s="24" t="str">
        <x:v>-7.25 a +6.00</x:v>
      </x:c>
      <x:c r="L2690" s="24" t="str">
        <x:v>-6.00</x:v>
      </x:c>
      <x:c r="M2690" s="24" t="str">
        <x:v>0.75 a 3.50</x:v>
      </x:c>
      <x:c r="N2690" s="24" t="str">
        <x:v>75</x:v>
      </x:c>
      <x:c r="O2690" s="24"/>
      <x:c r="P2690" s="24"/>
      <x:c r="Q2690" s="24" t="str">
        <x:v>DISPONÍVEL</x:v>
      </x:c>
      <x:c r="R2690" s="24" t="str">
        <x:v>Programa de Parcerias ZEISS</x:v>
      </x:c>
      <x:c r="S2690" s="24" t="n">
        <x:v>44</x:v>
      </x:c>
      <x:c r="T2690" s="24" t="str">
        <x:v>tabela_zeiss.pdf</x:v>
      </x:c>
      <x:c r="U2690" s="24" t="str">
        <x:v>ZEISS|Progressiva|Surfaçada|Light 2 3D|PhotoFusion X Extra Dark Cinza|1.6|1.60|DuraVision Chrome UV|-7.25 a +6.00|-6.00|0.75 a 3.50|75|||44</x:v>
      </x:c>
    </x:row>
    <x:row r="2691">
      <x:c r="A2691" s="24" t="str">
        <x:v>ZS-A2149B3575B0</x:v>
      </x:c>
      <x:c r="B2691" s="24" t="str">
        <x:v>ZEISS</x:v>
      </x:c>
      <x:c r="C2691" s="24" t="str">
        <x:v>Progressiva</x:v>
      </x:c>
      <x:c r="D2691" s="24" t="str">
        <x:v>Surfaçada</x:v>
      </x:c>
      <x:c r="E2691" s="24" t="str">
        <x:v>Light 2 3D</x:v>
      </x:c>
      <x:c r="F2691" s="24" t="str">
        <x:v>PhotoFusion X Extra Dark Cinza</x:v>
      </x:c>
      <x:c r="G2691" s="24" t="str">
        <x:v>1.67</x:v>
      </x:c>
      <x:c r="H2691" s="24" t="str">
        <x:v>1.67</x:v>
      </x:c>
      <x:c r="I2691" s="24" t="str">
        <x:v>DuraVision Gold UV</x:v>
      </x:c>
      <x:c r="J2691" s="40" t="n">
        <x:v>6689</x:v>
      </x:c>
      <x:c r="K2691" s="24" t="str">
        <x:v>-10.00 a +6.00</x:v>
      </x:c>
      <x:c r="L2691" s="24" t="str">
        <x:v>-6.00</x:v>
      </x:c>
      <x:c r="M2691" s="24" t="str">
        <x:v>0.75 a 3.00</x:v>
      </x:c>
      <x:c r="N2691" s="24" t="str">
        <x:v>70</x:v>
      </x:c>
      <x:c r="O2691" s="24"/>
      <x:c r="P2691" s="24"/>
      <x:c r="Q2691" s="24" t="str">
        <x:v>DISPONÍVEL</x:v>
      </x:c>
      <x:c r="R2691" s="24" t="str">
        <x:v>Programa de Parcerias ZEISS</x:v>
      </x:c>
      <x:c r="S2691" s="24" t="n">
        <x:v>44</x:v>
      </x:c>
      <x:c r="T2691" s="24" t="str">
        <x:v>tabela_zeiss.pdf</x:v>
      </x:c>
      <x:c r="U2691" s="24" t="str">
        <x:v>ZEISS|Progressiva|Surfaçada|Light 2 3D|PhotoFusion X Extra Dark Cinza|1.67|1.67|DuraVision Gold UV|-10.00 a +6.00|-6.00|0.75 a 3.00|70|||44</x:v>
      </x:c>
    </x:row>
    <x:row r="2692">
      <x:c r="A2692" s="24" t="str">
        <x:v>ZS-F15DE95D75AB</x:v>
      </x:c>
      <x:c r="B2692" s="24" t="str">
        <x:v>ZEISS</x:v>
      </x:c>
      <x:c r="C2692" s="24" t="str">
        <x:v>Progressiva</x:v>
      </x:c>
      <x:c r="D2692" s="24" t="str">
        <x:v>Surfaçada</x:v>
      </x:c>
      <x:c r="E2692" s="24" t="str">
        <x:v>Light 2 3D</x:v>
      </x:c>
      <x:c r="F2692" s="24" t="str">
        <x:v>PhotoFusion X Extra Dark Cinza</x:v>
      </x:c>
      <x:c r="G2692" s="24" t="str">
        <x:v>1.67</x:v>
      </x:c>
      <x:c r="H2692" s="24" t="str">
        <x:v>1.67</x:v>
      </x:c>
      <x:c r="I2692" s="24" t="str">
        <x:v>DURAVISION® ANTIVÍRUS PLATINUM UV</x:v>
      </x:c>
      <x:c r="J2692" s="40" t="n">
        <x:v>6549</x:v>
      </x:c>
      <x:c r="K2692" s="24" t="str">
        <x:v>-10.00 a +6.00</x:v>
      </x:c>
      <x:c r="L2692" s="24" t="str">
        <x:v>-6.00</x:v>
      </x:c>
      <x:c r="M2692" s="24" t="str">
        <x:v>0.75 a 3.00</x:v>
      </x:c>
      <x:c r="N2692" s="24" t="str">
        <x:v>70</x:v>
      </x:c>
      <x:c r="O2692" s="24"/>
      <x:c r="P2692" s="24"/>
      <x:c r="Q2692" s="24" t="str">
        <x:v>DISPONÍVEL</x:v>
      </x:c>
      <x:c r="R2692" s="24" t="str">
        <x:v>Programa de Parcerias ZEISS</x:v>
      </x:c>
      <x:c r="S2692" s="24" t="n">
        <x:v>44</x:v>
      </x:c>
      <x:c r="T2692" s="24" t="str">
        <x:v>tabela_zeiss.pdf</x:v>
      </x:c>
      <x:c r="U2692" s="24" t="str">
        <x:v>ZEISS|Progressiva|Surfaçada|Light 2 3D|PhotoFusion X Extra Dark Cinza|1.67|1.67|DURAVISION® ANTIVÍRUS PLATINUM UV|-10.00 a +6.00|-6.00|0.75 a 3.00|70|||44</x:v>
      </x:c>
    </x:row>
    <x:row r="2693">
      <x:c r="A2693" s="24" t="str">
        <x:v>ZS-0D58E8FDC3D1</x:v>
      </x:c>
      <x:c r="B2693" s="24" t="str">
        <x:v>ZEISS</x:v>
      </x:c>
      <x:c r="C2693" s="24" t="str">
        <x:v>Progressiva</x:v>
      </x:c>
      <x:c r="D2693" s="24" t="str">
        <x:v>Surfaçada</x:v>
      </x:c>
      <x:c r="E2693" s="24" t="str">
        <x:v>Light 2 3D</x:v>
      </x:c>
      <x:c r="F2693" s="24" t="str">
        <x:v>PhotoFusion X Extra Dark Cinza</x:v>
      </x:c>
      <x:c r="G2693" s="24" t="str">
        <x:v>1.67</x:v>
      </x:c>
      <x:c r="H2693" s="24" t="str">
        <x:v>1.67</x:v>
      </x:c>
      <x:c r="I2693" s="24" t="str">
        <x:v>DuraVision Platinum UV</x:v>
      </x:c>
      <x:c r="J2693" s="40" t="n">
        <x:v>6549</x:v>
      </x:c>
      <x:c r="K2693" s="24" t="str">
        <x:v>-10.00 a +6.00</x:v>
      </x:c>
      <x:c r="L2693" s="24" t="str">
        <x:v>-6.00</x:v>
      </x:c>
      <x:c r="M2693" s="24" t="str">
        <x:v>0.75 a 3.00</x:v>
      </x:c>
      <x:c r="N2693" s="24" t="str">
        <x:v>70</x:v>
      </x:c>
      <x:c r="O2693" s="24"/>
      <x:c r="P2693" s="24"/>
      <x:c r="Q2693" s="24" t="str">
        <x:v>DISPONÍVEL</x:v>
      </x:c>
      <x:c r="R2693" s="24" t="str">
        <x:v>Programa de Parcerias ZEISS</x:v>
      </x:c>
      <x:c r="S2693" s="24" t="n">
        <x:v>44</x:v>
      </x:c>
      <x:c r="T2693" s="24" t="str">
        <x:v>tabela_zeiss.pdf</x:v>
      </x:c>
      <x:c r="U2693" s="24" t="str">
        <x:v>ZEISS|Progressiva|Surfaçada|Light 2 3D|PhotoFusion X Extra Dark Cinza|1.67|1.67|DuraVision Platinum UV|-10.00 a +6.00|-6.00|0.75 a 3.00|70|||44</x:v>
      </x:c>
    </x:row>
    <x:row r="2694">
      <x:c r="A2694" s="24" t="str">
        <x:v>ZS-124EBFEF404B</x:v>
      </x:c>
      <x:c r="B2694" s="24" t="str">
        <x:v>ZEISS</x:v>
      </x:c>
      <x:c r="C2694" s="24" t="str">
        <x:v>Progressiva</x:v>
      </x:c>
      <x:c r="D2694" s="24" t="str">
        <x:v>Surfaçada</x:v>
      </x:c>
      <x:c r="E2694" s="24" t="str">
        <x:v>Light 2 3D</x:v>
      </x:c>
      <x:c r="F2694" s="24" t="str">
        <x:v>PhotoFusion X Extra Dark Cinza</x:v>
      </x:c>
      <x:c r="G2694" s="24" t="str">
        <x:v>1.67</x:v>
      </x:c>
      <x:c r="H2694" s="24" t="str">
        <x:v>1.67</x:v>
      </x:c>
      <x:c r="I2694" s="24" t="str">
        <x:v>DuraVision Silver UV</x:v>
      </x:c>
      <x:c r="J2694" s="40" t="n">
        <x:v>6289</x:v>
      </x:c>
      <x:c r="K2694" s="24" t="str">
        <x:v>-10.00 a +6.00</x:v>
      </x:c>
      <x:c r="L2694" s="24" t="str">
        <x:v>-6.00</x:v>
      </x:c>
      <x:c r="M2694" s="24" t="str">
        <x:v>0.75 a 3.00</x:v>
      </x:c>
      <x:c r="N2694" s="24" t="str">
        <x:v>70</x:v>
      </x:c>
      <x:c r="O2694" s="24"/>
      <x:c r="P2694" s="24"/>
      <x:c r="Q2694" s="24" t="str">
        <x:v>DISPONÍVEL</x:v>
      </x:c>
      <x:c r="R2694" s="24" t="str">
        <x:v>Programa de Parcerias ZEISS</x:v>
      </x:c>
      <x:c r="S2694" s="24" t="n">
        <x:v>44</x:v>
      </x:c>
      <x:c r="T2694" s="24" t="str">
        <x:v>tabela_zeiss.pdf</x:v>
      </x:c>
      <x:c r="U2694" s="24" t="str">
        <x:v>ZEISS|Progressiva|Surfaçada|Light 2 3D|PhotoFusion X Extra Dark Cinza|1.67|1.67|DuraVision Silver UV|-10.00 a +6.00|-6.00|0.75 a 3.00|70|||44</x:v>
      </x:c>
    </x:row>
    <x:row r="2695">
      <x:c r="A2695" s="24" t="str">
        <x:v>ZS-14A10F73718B</x:v>
      </x:c>
      <x:c r="B2695" s="24" t="str">
        <x:v>ZEISS</x:v>
      </x:c>
      <x:c r="C2695" s="24" t="str">
        <x:v>Progressiva</x:v>
      </x:c>
      <x:c r="D2695" s="24" t="str">
        <x:v>Surfaçada</x:v>
      </x:c>
      <x:c r="E2695" s="24" t="str">
        <x:v>Light 2 3D</x:v>
      </x:c>
      <x:c r="F2695" s="24" t="str">
        <x:v>PhotoFusion X Extra Dark Cinza</x:v>
      </x:c>
      <x:c r="G2695" s="24" t="str">
        <x:v>1.67</x:v>
      </x:c>
      <x:c r="H2695" s="24" t="str">
        <x:v>1.67</x:v>
      </x:c>
      <x:c r="I2695" s="24" t="str">
        <x:v>DuraVision Chrome UV</x:v>
      </x:c>
      <x:c r="J2695" s="40" t="n">
        <x:v>5799</x:v>
      </x:c>
      <x:c r="K2695" s="24" t="str">
        <x:v>-10.00 a +6.00</x:v>
      </x:c>
      <x:c r="L2695" s="24" t="str">
        <x:v>-6.00</x:v>
      </x:c>
      <x:c r="M2695" s="24" t="str">
        <x:v>0.75 a 3.00</x:v>
      </x:c>
      <x:c r="N2695" s="24" t="str">
        <x:v>70</x:v>
      </x:c>
      <x:c r="O2695" s="24"/>
      <x:c r="P2695" s="24"/>
      <x:c r="Q2695" s="24" t="str">
        <x:v>DISPONÍVEL</x:v>
      </x:c>
      <x:c r="R2695" s="24" t="str">
        <x:v>Programa de Parcerias ZEISS</x:v>
      </x:c>
      <x:c r="S2695" s="24" t="n">
        <x:v>44</x:v>
      </x:c>
      <x:c r="T2695" s="24" t="str">
        <x:v>tabela_zeiss.pdf</x:v>
      </x:c>
      <x:c r="U2695" s="24" t="str">
        <x:v>ZEISS|Progressiva|Surfaçada|Light 2 3D|PhotoFusion X Extra Dark Cinza|1.67|1.67|DuraVision Chrome UV|-10.00 a +6.00|-6.00|0.75 a 3.00|70|||44</x:v>
      </x:c>
    </x:row>
    <x:row r="2696">
      <x:c r="A2696" s="24" t="str">
        <x:v>ZS-DE63EC5B812D</x:v>
      </x:c>
      <x:c r="B2696" s="24" t="str">
        <x:v>ZEISS</x:v>
      </x:c>
      <x:c r="C2696" s="24" t="str">
        <x:v>Progressiva</x:v>
      </x:c>
      <x:c r="D2696" s="24" t="str">
        <x:v>Surfaçada</x:v>
      </x:c>
      <x:c r="E2696" s="24" t="str">
        <x:v>Light 2 3D</x:v>
      </x:c>
      <x:c r="F2696" s="24" t="str">
        <x:v>Polarizada</x:v>
      </x:c>
      <x:c r="G2696" s="24" t="str">
        <x:v>1.5</x:v>
      </x:c>
      <x:c r="H2696" s="24" t="str">
        <x:v>1.50</x:v>
      </x:c>
      <x:c r="I2696" s="24" t="str">
        <x:v>DuraVision Gold UV</x:v>
      </x:c>
      <x:c r="J2696" s="40" t="n">
        <x:v>4179</x:v>
      </x:c>
      <x:c r="K2696" s="24" t="str">
        <x:v>-6.00 a +6.00</x:v>
      </x:c>
      <x:c r="L2696" s="24" t="str">
        <x:v>-4.00</x:v>
      </x:c>
      <x:c r="M2696" s="24" t="str">
        <x:v>0.75 a 3.50</x:v>
      </x:c>
      <x:c r="N2696" s="24" t="str">
        <x:v>75</x:v>
      </x:c>
      <x:c r="O2696" s="24"/>
      <x:c r="P2696" s="24"/>
      <x:c r="Q2696" s="24" t="str">
        <x:v>DISPONÍVEL</x:v>
      </x:c>
      <x:c r="R2696" s="24"/>
      <x:c r="S2696" s="24" t="n">
        <x:v>44</x:v>
      </x:c>
      <x:c r="T2696" s="24" t="str">
        <x:v>tabela_zeiss.pdf</x:v>
      </x:c>
      <x:c r="U2696" s="24" t="str">
        <x:v>ZEISS|Progressiva|Surfaçada|Light 2 3D|Polarizada|1.5|1.50|DuraVision Gold UV|-6.00 a +6.00|-4.00|0.75 a 3.50|75|||44</x:v>
      </x:c>
    </x:row>
    <x:row r="2697">
      <x:c r="A2697" s="24" t="str">
        <x:v>ZS-A60DFF053ED8</x:v>
      </x:c>
      <x:c r="B2697" s="24" t="str">
        <x:v>ZEISS</x:v>
      </x:c>
      <x:c r="C2697" s="24" t="str">
        <x:v>Progressiva</x:v>
      </x:c>
      <x:c r="D2697" s="24" t="str">
        <x:v>Surfaçada</x:v>
      </x:c>
      <x:c r="E2697" s="24" t="str">
        <x:v>Light 2 3D</x:v>
      </x:c>
      <x:c r="F2697" s="24" t="str">
        <x:v>Polarizada</x:v>
      </x:c>
      <x:c r="G2697" s="24" t="str">
        <x:v>1.5</x:v>
      </x:c>
      <x:c r="H2697" s="24" t="str">
        <x:v>1.50</x:v>
      </x:c>
      <x:c r="I2697" s="24" t="str">
        <x:v>DuraVision Platinum UV</x:v>
      </x:c>
      <x:c r="J2697" s="40" t="n">
        <x:v>4039</x:v>
      </x:c>
      <x:c r="K2697" s="24" t="str">
        <x:v>-6.00 a +6.00</x:v>
      </x:c>
      <x:c r="L2697" s="24" t="str">
        <x:v>-4.00</x:v>
      </x:c>
      <x:c r="M2697" s="24" t="str">
        <x:v>0.75 a 3.50</x:v>
      </x:c>
      <x:c r="N2697" s="24" t="str">
        <x:v>75</x:v>
      </x:c>
      <x:c r="O2697" s="24"/>
      <x:c r="P2697" s="24"/>
      <x:c r="Q2697" s="24" t="str">
        <x:v>DISPONÍVEL</x:v>
      </x:c>
      <x:c r="R2697" s="24"/>
      <x:c r="S2697" s="24" t="n">
        <x:v>44</x:v>
      </x:c>
      <x:c r="T2697" s="24" t="str">
        <x:v>tabela_zeiss.pdf</x:v>
      </x:c>
      <x:c r="U2697" s="24" t="str">
        <x:v>ZEISS|Progressiva|Surfaçada|Light 2 3D|Polarizada|1.5|1.50|DuraVision Platinum UV|-6.00 a +6.00|-4.00|0.75 a 3.50|75|||44</x:v>
      </x:c>
    </x:row>
    <x:row r="2698">
      <x:c r="A2698" s="24" t="str">
        <x:v>ZS-6B6904238777</x:v>
      </x:c>
      <x:c r="B2698" s="24" t="str">
        <x:v>ZEISS</x:v>
      </x:c>
      <x:c r="C2698" s="24" t="str">
        <x:v>Progressiva</x:v>
      </x:c>
      <x:c r="D2698" s="24" t="str">
        <x:v>Surfaçada</x:v>
      </x:c>
      <x:c r="E2698" s="24" t="str">
        <x:v>Light 2 3D</x:v>
      </x:c>
      <x:c r="F2698" s="24" t="str">
        <x:v>Polarizada</x:v>
      </x:c>
      <x:c r="G2698" s="24" t="str">
        <x:v>1.5</x:v>
      </x:c>
      <x:c r="H2698" s="24" t="str">
        <x:v>1.50</x:v>
      </x:c>
      <x:c r="I2698" s="24" t="str">
        <x:v>DuraVision Silver UV</x:v>
      </x:c>
      <x:c r="J2698" s="40" t="n">
        <x:v>3779</x:v>
      </x:c>
      <x:c r="K2698" s="24" t="str">
        <x:v>-6.00 a +6.00</x:v>
      </x:c>
      <x:c r="L2698" s="24" t="str">
        <x:v>-4.00</x:v>
      </x:c>
      <x:c r="M2698" s="24" t="str">
        <x:v>0.75 a 3.50</x:v>
      </x:c>
      <x:c r="N2698" s="24" t="str">
        <x:v>75</x:v>
      </x:c>
      <x:c r="O2698" s="24"/>
      <x:c r="P2698" s="24"/>
      <x:c r="Q2698" s="24" t="str">
        <x:v>DISPONÍVEL</x:v>
      </x:c>
      <x:c r="R2698" s="24"/>
      <x:c r="S2698" s="24" t="n">
        <x:v>44</x:v>
      </x:c>
      <x:c r="T2698" s="24" t="str">
        <x:v>tabela_zeiss.pdf</x:v>
      </x:c>
      <x:c r="U2698" s="24" t="str">
        <x:v>ZEISS|Progressiva|Surfaçada|Light 2 3D|Polarizada|1.5|1.50|DuraVision Silver UV|-6.00 a +6.00|-4.00|0.75 a 3.50|75|||44</x:v>
      </x:c>
    </x:row>
    <x:row r="2699">
      <x:c r="A2699" s="24" t="str">
        <x:v>ZS-574C48EFCE6B</x:v>
      </x:c>
      <x:c r="B2699" s="24" t="str">
        <x:v>ZEISS</x:v>
      </x:c>
      <x:c r="C2699" s="24" t="str">
        <x:v>Progressiva</x:v>
      </x:c>
      <x:c r="D2699" s="24" t="str">
        <x:v>Surfaçada</x:v>
      </x:c>
      <x:c r="E2699" s="24" t="str">
        <x:v>Light 2 3D</x:v>
      </x:c>
      <x:c r="F2699" s="24" t="str">
        <x:v>Polarizada</x:v>
      </x:c>
      <x:c r="G2699" s="24" t="str">
        <x:v>1.5</x:v>
      </x:c>
      <x:c r="H2699" s="24" t="str">
        <x:v>1.50</x:v>
      </x:c>
      <x:c r="I2699" s="24" t="str">
        <x:v>DuraVision Chrome UV</x:v>
      </x:c>
      <x:c r="J2699" s="40" t="n">
        <x:v>3289</x:v>
      </x:c>
      <x:c r="K2699" s="24" t="str">
        <x:v>-6.00 a +6.00</x:v>
      </x:c>
      <x:c r="L2699" s="24" t="str">
        <x:v>-4.00</x:v>
      </x:c>
      <x:c r="M2699" s="24" t="str">
        <x:v>0.75 a 3.50</x:v>
      </x:c>
      <x:c r="N2699" s="24" t="str">
        <x:v>75</x:v>
      </x:c>
      <x:c r="O2699" s="24"/>
      <x:c r="P2699" s="24"/>
      <x:c r="Q2699" s="24" t="str">
        <x:v>DISPONÍVEL</x:v>
      </x:c>
      <x:c r="R2699" s="24"/>
      <x:c r="S2699" s="24" t="n">
        <x:v>44</x:v>
      </x:c>
      <x:c r="T2699" s="24" t="str">
        <x:v>tabela_zeiss.pdf</x:v>
      </x:c>
      <x:c r="U2699" s="24" t="str">
        <x:v>ZEISS|Progressiva|Surfaçada|Light 2 3D|Polarizada|1.5|1.50|DuraVision Chrome UV|-6.00 a +6.00|-4.00|0.75 a 3.50|75|||44</x:v>
      </x:c>
    </x:row>
    <x:row r="2700">
      <x:c r="A2700" s="24" t="str">
        <x:v>ZS-B7497F39248D</x:v>
      </x:c>
      <x:c r="B2700" s="24" t="str">
        <x:v>ZEISS</x:v>
      </x:c>
      <x:c r="C2700" s="24" t="str">
        <x:v>Progressiva</x:v>
      </x:c>
      <x:c r="D2700" s="24" t="str">
        <x:v>Surfaçada</x:v>
      </x:c>
      <x:c r="E2700" s="24" t="str">
        <x:v>Light 2 3D</x:v>
      </x:c>
      <x:c r="F2700" s="24" t="str">
        <x:v>Polarizada</x:v>
      </x:c>
      <x:c r="G2700" s="24" t="str">
        <x:v>1.5</x:v>
      </x:c>
      <x:c r="H2700" s="24" t="str">
        <x:v>1.50</x:v>
      </x:c>
      <x:c r="I2700" s="24" t="str">
        <x:v>Sem AR</x:v>
      </x:c>
      <x:c r="J2700" s="40" t="n">
        <x:v>2889</x:v>
      </x:c>
      <x:c r="K2700" s="24" t="str">
        <x:v>-6.00 a +6.00</x:v>
      </x:c>
      <x:c r="L2700" s="24" t="str">
        <x:v>-4.00</x:v>
      </x:c>
      <x:c r="M2700" s="24" t="str">
        <x:v>0.75 a 3.50</x:v>
      </x:c>
      <x:c r="N2700" s="24" t="str">
        <x:v>75</x:v>
      </x:c>
      <x:c r="O2700" s="24"/>
      <x:c r="P2700" s="24"/>
      <x:c r="Q2700" s="24" t="str">
        <x:v>DISPONÍVEL</x:v>
      </x:c>
      <x:c r="R2700" s="24"/>
      <x:c r="S2700" s="24" t="n">
        <x:v>44</x:v>
      </x:c>
      <x:c r="T2700" s="24" t="str">
        <x:v>tabela_zeiss.pdf</x:v>
      </x:c>
      <x:c r="U2700" s="24" t="str">
        <x:v>ZEISS|Progressiva|Surfaçada|Light 2 3D|Polarizada|1.5|1.50|Sem AR|-6.00 a +6.00|-4.00|0.75 a 3.50|75|||44</x:v>
      </x:c>
    </x:row>
    <x:row r="2701">
      <x:c r="A2701" s="24" t="str">
        <x:v>ZS-1C81CB263CB5</x:v>
      </x:c>
      <x:c r="B2701" s="24" t="str">
        <x:v>ZEISS</x:v>
      </x:c>
      <x:c r="C2701" s="24" t="str">
        <x:v>Progressiva</x:v>
      </x:c>
      <x:c r="D2701" s="24" t="str">
        <x:v>Surfaçada</x:v>
      </x:c>
      <x:c r="E2701" s="24" t="str">
        <x:v>Light 2 3D</x:v>
      </x:c>
      <x:c r="F2701" s="24" t="str">
        <x:v>Polarizada</x:v>
      </x:c>
      <x:c r="G2701" s="24" t="str">
        <x:v>1.6</x:v>
      </x:c>
      <x:c r="H2701" s="24" t="str">
        <x:v>1.60</x:v>
      </x:c>
      <x:c r="I2701" s="24" t="str">
        <x:v>DuraVision Gold UV</x:v>
      </x:c>
      <x:c r="J2701" s="40" t="n">
        <x:v>4759</x:v>
      </x:c>
      <x:c r="K2701" s="24" t="str">
        <x:v>-8.50 a +6.00</x:v>
      </x:c>
      <x:c r="L2701" s="24" t="str">
        <x:v>-4.00</x:v>
      </x:c>
      <x:c r="M2701" s="24" t="str">
        <x:v>0.75 a 3.50</x:v>
      </x:c>
      <x:c r="N2701" s="24" t="str">
        <x:v>70</x:v>
      </x:c>
      <x:c r="O2701" s="24"/>
      <x:c r="P2701" s="24"/>
      <x:c r="Q2701" s="24" t="str">
        <x:v>DISPONÍVEL</x:v>
      </x:c>
      <x:c r="R2701" s="24"/>
      <x:c r="S2701" s="24" t="n">
        <x:v>44</x:v>
      </x:c>
      <x:c r="T2701" s="24" t="str">
        <x:v>tabela_zeiss.pdf</x:v>
      </x:c>
      <x:c r="U2701" s="24" t="str">
        <x:v>ZEISS|Progressiva|Surfaçada|Light 2 3D|Polarizada|1.6|1.60|DuraVision Gold UV|-8.50 a +6.00|-4.00|0.75 a 3.50|70|||44</x:v>
      </x:c>
    </x:row>
    <x:row r="2702">
      <x:c r="A2702" s="24" t="str">
        <x:v>ZS-46F61C9D0D4E</x:v>
      </x:c>
      <x:c r="B2702" s="24" t="str">
        <x:v>ZEISS</x:v>
      </x:c>
      <x:c r="C2702" s="24" t="str">
        <x:v>Progressiva</x:v>
      </x:c>
      <x:c r="D2702" s="24" t="str">
        <x:v>Surfaçada</x:v>
      </x:c>
      <x:c r="E2702" s="24" t="str">
        <x:v>Light 2 3D</x:v>
      </x:c>
      <x:c r="F2702" s="24" t="str">
        <x:v>Polarizada</x:v>
      </x:c>
      <x:c r="G2702" s="24" t="str">
        <x:v>1.6</x:v>
      </x:c>
      <x:c r="H2702" s="24" t="str">
        <x:v>1.60</x:v>
      </x:c>
      <x:c r="I2702" s="24" t="str">
        <x:v>DuraVision Platinum UV</x:v>
      </x:c>
      <x:c r="J2702" s="40" t="n">
        <x:v>4619</x:v>
      </x:c>
      <x:c r="K2702" s="24" t="str">
        <x:v>-8.50 a +6.00</x:v>
      </x:c>
      <x:c r="L2702" s="24" t="str">
        <x:v>-4.00</x:v>
      </x:c>
      <x:c r="M2702" s="24" t="str">
        <x:v>0.75 a 3.50</x:v>
      </x:c>
      <x:c r="N2702" s="24" t="str">
        <x:v>70</x:v>
      </x:c>
      <x:c r="O2702" s="24"/>
      <x:c r="P2702" s="24"/>
      <x:c r="Q2702" s="24" t="str">
        <x:v>DISPONÍVEL</x:v>
      </x:c>
      <x:c r="R2702" s="24"/>
      <x:c r="S2702" s="24" t="n">
        <x:v>44</x:v>
      </x:c>
      <x:c r="T2702" s="24" t="str">
        <x:v>tabela_zeiss.pdf</x:v>
      </x:c>
      <x:c r="U2702" s="24" t="str">
        <x:v>ZEISS|Progressiva|Surfaçada|Light 2 3D|Polarizada|1.6|1.60|DuraVision Platinum UV|-8.50 a +6.00|-4.00|0.75 a 3.50|70|||44</x:v>
      </x:c>
    </x:row>
    <x:row r="2703">
      <x:c r="A2703" s="24" t="str">
        <x:v>ZS-8683954B662B</x:v>
      </x:c>
      <x:c r="B2703" s="24" t="str">
        <x:v>ZEISS</x:v>
      </x:c>
      <x:c r="C2703" s="24" t="str">
        <x:v>Progressiva</x:v>
      </x:c>
      <x:c r="D2703" s="24" t="str">
        <x:v>Surfaçada</x:v>
      </x:c>
      <x:c r="E2703" s="24" t="str">
        <x:v>Light 2 3D</x:v>
      </x:c>
      <x:c r="F2703" s="24" t="str">
        <x:v>Polarizada</x:v>
      </x:c>
      <x:c r="G2703" s="24" t="str">
        <x:v>1.6</x:v>
      </x:c>
      <x:c r="H2703" s="24" t="str">
        <x:v>1.60</x:v>
      </x:c>
      <x:c r="I2703" s="24" t="str">
        <x:v>DuraVision Silver UV</x:v>
      </x:c>
      <x:c r="J2703" s="40" t="n">
        <x:v>4359</x:v>
      </x:c>
      <x:c r="K2703" s="24" t="str">
        <x:v>-8.50 a +6.00</x:v>
      </x:c>
      <x:c r="L2703" s="24" t="str">
        <x:v>-4.00</x:v>
      </x:c>
      <x:c r="M2703" s="24" t="str">
        <x:v>0.75 a 3.50</x:v>
      </x:c>
      <x:c r="N2703" s="24" t="str">
        <x:v>70</x:v>
      </x:c>
      <x:c r="O2703" s="24"/>
      <x:c r="P2703" s="24"/>
      <x:c r="Q2703" s="24" t="str">
        <x:v>DISPONÍVEL</x:v>
      </x:c>
      <x:c r="R2703" s="24"/>
      <x:c r="S2703" s="24" t="n">
        <x:v>44</x:v>
      </x:c>
      <x:c r="T2703" s="24" t="str">
        <x:v>tabela_zeiss.pdf</x:v>
      </x:c>
      <x:c r="U2703" s="24" t="str">
        <x:v>ZEISS|Progressiva|Surfaçada|Light 2 3D|Polarizada|1.6|1.60|DuraVision Silver UV|-8.50 a +6.00|-4.00|0.75 a 3.50|70|||44</x:v>
      </x:c>
    </x:row>
    <x:row r="2704">
      <x:c r="A2704" s="24" t="str">
        <x:v>ZS-7DE7AC4DC286</x:v>
      </x:c>
      <x:c r="B2704" s="24" t="str">
        <x:v>ZEISS</x:v>
      </x:c>
      <x:c r="C2704" s="24" t="str">
        <x:v>Progressiva</x:v>
      </x:c>
      <x:c r="D2704" s="24" t="str">
        <x:v>Surfaçada</x:v>
      </x:c>
      <x:c r="E2704" s="24" t="str">
        <x:v>Light 2 3D</x:v>
      </x:c>
      <x:c r="F2704" s="24" t="str">
        <x:v>Polarizada</x:v>
      </x:c>
      <x:c r="G2704" s="24" t="str">
        <x:v>1.6</x:v>
      </x:c>
      <x:c r="H2704" s="24" t="str">
        <x:v>1.60</x:v>
      </x:c>
      <x:c r="I2704" s="24" t="str">
        <x:v>DuraVision Chrome UV</x:v>
      </x:c>
      <x:c r="J2704" s="40" t="n">
        <x:v>3869</x:v>
      </x:c>
      <x:c r="K2704" s="24" t="str">
        <x:v>-8.50 a +6.00</x:v>
      </x:c>
      <x:c r="L2704" s="24" t="str">
        <x:v>-4.00</x:v>
      </x:c>
      <x:c r="M2704" s="24" t="str">
        <x:v>0.75 a 3.50</x:v>
      </x:c>
      <x:c r="N2704" s="24" t="str">
        <x:v>70</x:v>
      </x:c>
      <x:c r="O2704" s="24"/>
      <x:c r="P2704" s="24"/>
      <x:c r="Q2704" s="24" t="str">
        <x:v>DISPONÍVEL</x:v>
      </x:c>
      <x:c r="R2704" s="24"/>
      <x:c r="S2704" s="24" t="n">
        <x:v>44</x:v>
      </x:c>
      <x:c r="T2704" s="24" t="str">
        <x:v>tabela_zeiss.pdf</x:v>
      </x:c>
      <x:c r="U2704" s="24" t="str">
        <x:v>ZEISS|Progressiva|Surfaçada|Light 2 3D|Polarizada|1.6|1.60|DuraVision Chrome UV|-8.50 a +6.00|-4.00|0.75 a 3.50|70|||44</x:v>
      </x:c>
    </x:row>
    <x:row r="2705">
      <x:c r="A2705" s="24" t="str">
        <x:v>ZS-5FD3FAF3DD89</x:v>
      </x:c>
      <x:c r="B2705" s="24" t="str">
        <x:v>ZEISS</x:v>
      </x:c>
      <x:c r="C2705" s="24" t="str">
        <x:v>Progressiva</x:v>
      </x:c>
      <x:c r="D2705" s="24" t="str">
        <x:v>Surfaçada</x:v>
      </x:c>
      <x:c r="E2705" s="24" t="str">
        <x:v>Light 2 3D</x:v>
      </x:c>
      <x:c r="F2705" s="24" t="str">
        <x:v>Polarizada</x:v>
      </x:c>
      <x:c r="G2705" s="24" t="str">
        <x:v>1.6</x:v>
      </x:c>
      <x:c r="H2705" s="24" t="str">
        <x:v>1.60</x:v>
      </x:c>
      <x:c r="I2705" s="24" t="str">
        <x:v>Sem AR</x:v>
      </x:c>
      <x:c r="J2705" s="40" t="n">
        <x:v>3469</x:v>
      </x:c>
      <x:c r="K2705" s="24" t="str">
        <x:v>-8.50 a +6.00</x:v>
      </x:c>
      <x:c r="L2705" s="24" t="str">
        <x:v>-4.00</x:v>
      </x:c>
      <x:c r="M2705" s="24" t="str">
        <x:v>0.75 a 3.50</x:v>
      </x:c>
      <x:c r="N2705" s="24" t="str">
        <x:v>70</x:v>
      </x:c>
      <x:c r="O2705" s="24"/>
      <x:c r="P2705" s="24"/>
      <x:c r="Q2705" s="24" t="str">
        <x:v>DISPONÍVEL</x:v>
      </x:c>
      <x:c r="R2705" s="24"/>
      <x:c r="S2705" s="24" t="n">
        <x:v>44</x:v>
      </x:c>
      <x:c r="T2705" s="24" t="str">
        <x:v>tabela_zeiss.pdf</x:v>
      </x:c>
      <x:c r="U2705" s="24" t="str">
        <x:v>ZEISS|Progressiva|Surfaçada|Light 2 3D|Polarizada|1.6|1.60|Sem AR|-8.50 a +6.00|-4.00|0.75 a 3.50|70|||44</x:v>
      </x:c>
    </x:row>
    <x:row r="2706">
      <x:c r="A2706" s="24" t="str">
        <x:v>ZS-04E8675C50E7</x:v>
      </x:c>
      <x:c r="B2706" s="24" t="str">
        <x:v>ZEISS</x:v>
      </x:c>
      <x:c r="C2706" s="24" t="str">
        <x:v>Progressiva</x:v>
      </x:c>
      <x:c r="D2706" s="24" t="str">
        <x:v>Surfaçada</x:v>
      </x:c>
      <x:c r="E2706" s="24" t="str">
        <x:v>Light 2 D</x:v>
      </x:c>
      <x:c r="F2706" s="24"/>
      <x:c r="G2706" s="24" t="str">
        <x:v>1.5</x:v>
      </x:c>
      <x:c r="H2706" s="24" t="str">
        <x:v>1.50</x:v>
      </x:c>
      <x:c r="I2706" s="24" t="str">
        <x:v>DuraVision Gold UV</x:v>
      </x:c>
      <x:c r="J2706" s="40" t="n">
        <x:v>2639</x:v>
      </x:c>
      <x:c r="K2706" s="24" t="str">
        <x:v>-9.00 a +6.00</x:v>
      </x:c>
      <x:c r="L2706" s="24" t="str">
        <x:v>-4.00</x:v>
      </x:c>
      <x:c r="M2706" s="24" t="str">
        <x:v>1.00 a 3.50</x:v>
      </x:c>
      <x:c r="N2706" s="24" t="str">
        <x:v>75</x:v>
      </x:c>
      <x:c r="O2706" s="24"/>
      <x:c r="P2706" s="24"/>
      <x:c r="Q2706" s="24" t="str">
        <x:v>DISPONÍVEL</x:v>
      </x:c>
      <x:c r="R2706" s="24"/>
      <x:c r="S2706" s="24" t="n">
        <x:v>45</x:v>
      </x:c>
      <x:c r="T2706" s="24" t="str">
        <x:v>tabela_zeiss.pdf</x:v>
      </x:c>
      <x:c r="U2706" s="24" t="str">
        <x:v>ZEISS|Progressiva|Surfaçada|Light 2 D||1.5|1.50|DuraVision Gold UV|-9.00 a +6.00|-4.00|1.00 a 3.50|75|||45</x:v>
      </x:c>
    </x:row>
    <x:row r="2707">
      <x:c r="A2707" s="24" t="str">
        <x:v>ZS-E12F7CFBE772</x:v>
      </x:c>
      <x:c r="B2707" s="24" t="str">
        <x:v>ZEISS</x:v>
      </x:c>
      <x:c r="C2707" s="24" t="str">
        <x:v>Progressiva</x:v>
      </x:c>
      <x:c r="D2707" s="24" t="str">
        <x:v>Surfaçada</x:v>
      </x:c>
      <x:c r="E2707" s="24" t="str">
        <x:v>Light 2 D</x:v>
      </x:c>
      <x:c r="F2707" s="24"/>
      <x:c r="G2707" s="24" t="str">
        <x:v>1.5</x:v>
      </x:c>
      <x:c r="H2707" s="24" t="str">
        <x:v>1.50</x:v>
      </x:c>
      <x:c r="I2707" s="24" t="str">
        <x:v>DURAVISION® ANTIVÍRUS PLATINUM UV</x:v>
      </x:c>
      <x:c r="J2707" s="40" t="n">
        <x:v>2499</x:v>
      </x:c>
      <x:c r="K2707" s="24" t="str">
        <x:v>-9.00 a +6.00</x:v>
      </x:c>
      <x:c r="L2707" s="24" t="str">
        <x:v>-4.00</x:v>
      </x:c>
      <x:c r="M2707" s="24" t="str">
        <x:v>1.00 a 3.50</x:v>
      </x:c>
      <x:c r="N2707" s="24" t="str">
        <x:v>75</x:v>
      </x:c>
      <x:c r="O2707" s="24"/>
      <x:c r="P2707" s="24"/>
      <x:c r="Q2707" s="24" t="str">
        <x:v>DISPONÍVEL</x:v>
      </x:c>
      <x:c r="R2707" s="24"/>
      <x:c r="S2707" s="24" t="n">
        <x:v>45</x:v>
      </x:c>
      <x:c r="T2707" s="24" t="str">
        <x:v>tabela_zeiss.pdf</x:v>
      </x:c>
      <x:c r="U2707" s="24" t="str">
        <x:v>ZEISS|Progressiva|Surfaçada|Light 2 D||1.5|1.50|DURAVISION® ANTIVÍRUS PLATINUM UV|-9.00 a +6.00|-4.00|1.00 a 3.50|75|||45</x:v>
      </x:c>
    </x:row>
    <x:row r="2708">
      <x:c r="A2708" s="24" t="str">
        <x:v>ZS-7E82036D9EB9</x:v>
      </x:c>
      <x:c r="B2708" s="24" t="str">
        <x:v>ZEISS</x:v>
      </x:c>
      <x:c r="C2708" s="24" t="str">
        <x:v>Progressiva</x:v>
      </x:c>
      <x:c r="D2708" s="24" t="str">
        <x:v>Surfaçada</x:v>
      </x:c>
      <x:c r="E2708" s="24" t="str">
        <x:v>Light 2 D</x:v>
      </x:c>
      <x:c r="F2708" s="24"/>
      <x:c r="G2708" s="24" t="str">
        <x:v>1.5</x:v>
      </x:c>
      <x:c r="H2708" s="24" t="str">
        <x:v>1.50</x:v>
      </x:c>
      <x:c r="I2708" s="24" t="str">
        <x:v>DuraVision Platinum UV</x:v>
      </x:c>
      <x:c r="J2708" s="40" t="n">
        <x:v>2499</x:v>
      </x:c>
      <x:c r="K2708" s="24" t="str">
        <x:v>-9.00 a +6.00</x:v>
      </x:c>
      <x:c r="L2708" s="24" t="str">
        <x:v>-4.00</x:v>
      </x:c>
      <x:c r="M2708" s="24" t="str">
        <x:v>1.00 a 3.50</x:v>
      </x:c>
      <x:c r="N2708" s="24" t="str">
        <x:v>75</x:v>
      </x:c>
      <x:c r="O2708" s="24"/>
      <x:c r="P2708" s="24"/>
      <x:c r="Q2708" s="24" t="str">
        <x:v>DISPONÍVEL</x:v>
      </x:c>
      <x:c r="R2708" s="24"/>
      <x:c r="S2708" s="24" t="n">
        <x:v>45</x:v>
      </x:c>
      <x:c r="T2708" s="24" t="str">
        <x:v>tabela_zeiss.pdf</x:v>
      </x:c>
      <x:c r="U2708" s="24" t="str">
        <x:v>ZEISS|Progressiva|Surfaçada|Light 2 D||1.5|1.50|DuraVision Platinum UV|-9.00 a +6.00|-4.00|1.00 a 3.50|75|||45</x:v>
      </x:c>
    </x:row>
    <x:row r="2709">
      <x:c r="A2709" s="24" t="str">
        <x:v>ZS-E4E3BF0EF2C5</x:v>
      </x:c>
      <x:c r="B2709" s="24" t="str">
        <x:v>ZEISS</x:v>
      </x:c>
      <x:c r="C2709" s="24" t="str">
        <x:v>Progressiva</x:v>
      </x:c>
      <x:c r="D2709" s="24" t="str">
        <x:v>Surfaçada</x:v>
      </x:c>
      <x:c r="E2709" s="24" t="str">
        <x:v>Light 2 D</x:v>
      </x:c>
      <x:c r="F2709" s="24"/>
      <x:c r="G2709" s="24" t="str">
        <x:v>1.5</x:v>
      </x:c>
      <x:c r="H2709" s="24" t="str">
        <x:v>1.50</x:v>
      </x:c>
      <x:c r="I2709" s="24" t="str">
        <x:v>DuraVision Silver UV</x:v>
      </x:c>
      <x:c r="J2709" s="40" t="n">
        <x:v>2239</x:v>
      </x:c>
      <x:c r="K2709" s="24" t="str">
        <x:v>-9.00 a +6.00</x:v>
      </x:c>
      <x:c r="L2709" s="24" t="str">
        <x:v>-4.00</x:v>
      </x:c>
      <x:c r="M2709" s="24" t="str">
        <x:v>1.00 a 3.50</x:v>
      </x:c>
      <x:c r="N2709" s="24" t="str">
        <x:v>75</x:v>
      </x:c>
      <x:c r="O2709" s="24"/>
      <x:c r="P2709" s="24"/>
      <x:c r="Q2709" s="24" t="str">
        <x:v>DISPONÍVEL</x:v>
      </x:c>
      <x:c r="R2709" s="24"/>
      <x:c r="S2709" s="24" t="n">
        <x:v>45</x:v>
      </x:c>
      <x:c r="T2709" s="24" t="str">
        <x:v>tabela_zeiss.pdf</x:v>
      </x:c>
      <x:c r="U2709" s="24" t="str">
        <x:v>ZEISS|Progressiva|Surfaçada|Light 2 D||1.5|1.50|DuraVision Silver UV|-9.00 a +6.00|-4.00|1.00 a 3.50|75|||45</x:v>
      </x:c>
    </x:row>
    <x:row r="2710">
      <x:c r="A2710" s="24" t="str">
        <x:v>ZS-F2EFBBC3D6A2</x:v>
      </x:c>
      <x:c r="B2710" s="24" t="str">
        <x:v>ZEISS</x:v>
      </x:c>
      <x:c r="C2710" s="24" t="str">
        <x:v>Progressiva</x:v>
      </x:c>
      <x:c r="D2710" s="24" t="str">
        <x:v>Surfaçada</x:v>
      </x:c>
      <x:c r="E2710" s="24" t="str">
        <x:v>Light 2 D</x:v>
      </x:c>
      <x:c r="F2710" s="24"/>
      <x:c r="G2710" s="24" t="str">
        <x:v>1.5</x:v>
      </x:c>
      <x:c r="H2710" s="24" t="str">
        <x:v>1.50</x:v>
      </x:c>
      <x:c r="I2710" s="24" t="str">
        <x:v>DuraVision Chrome UV</x:v>
      </x:c>
      <x:c r="J2710" s="40" t="n">
        <x:v>1749</x:v>
      </x:c>
      <x:c r="K2710" s="24" t="str">
        <x:v>-9.00 a +6.00</x:v>
      </x:c>
      <x:c r="L2710" s="24" t="str">
        <x:v>-4.00</x:v>
      </x:c>
      <x:c r="M2710" s="24" t="str">
        <x:v>1.00 a 3.50</x:v>
      </x:c>
      <x:c r="N2710" s="24" t="str">
        <x:v>75</x:v>
      </x:c>
      <x:c r="O2710" s="24"/>
      <x:c r="P2710" s="24"/>
      <x:c r="Q2710" s="24" t="str">
        <x:v>DISPONÍVEL</x:v>
      </x:c>
      <x:c r="R2710" s="24"/>
      <x:c r="S2710" s="24" t="n">
        <x:v>45</x:v>
      </x:c>
      <x:c r="T2710" s="24" t="str">
        <x:v>tabela_zeiss.pdf</x:v>
      </x:c>
      <x:c r="U2710" s="24" t="str">
        <x:v>ZEISS|Progressiva|Surfaçada|Light 2 D||1.5|1.50|DuraVision Chrome UV|-9.00 a +6.00|-4.00|1.00 a 3.50|75|||45</x:v>
      </x:c>
    </x:row>
    <x:row r="2711">
      <x:c r="A2711" s="24" t="str">
        <x:v>ZS-FB488611898E</x:v>
      </x:c>
      <x:c r="B2711" s="24" t="str">
        <x:v>ZEISS</x:v>
      </x:c>
      <x:c r="C2711" s="24" t="str">
        <x:v>Progressiva</x:v>
      </x:c>
      <x:c r="D2711" s="24" t="str">
        <x:v>Surfaçada</x:v>
      </x:c>
      <x:c r="E2711" s="24" t="str">
        <x:v>Light 2 D</x:v>
      </x:c>
      <x:c r="F2711" s="24"/>
      <x:c r="G2711" s="24" t="str">
        <x:v>1.5</x:v>
      </x:c>
      <x:c r="H2711" s="24" t="str">
        <x:v>1.50</x:v>
      </x:c>
      <x:c r="I2711" s="24" t="str">
        <x:v>Sem AR</x:v>
      </x:c>
      <x:c r="J2711" s="40" t="n">
        <x:v>1349</x:v>
      </x:c>
      <x:c r="K2711" s="24" t="str">
        <x:v>-9.00 a +6.00</x:v>
      </x:c>
      <x:c r="L2711" s="24" t="str">
        <x:v>-4.00</x:v>
      </x:c>
      <x:c r="M2711" s="24" t="str">
        <x:v>1.00 a 3.50</x:v>
      </x:c>
      <x:c r="N2711" s="24" t="str">
        <x:v>75</x:v>
      </x:c>
      <x:c r="O2711" s="24"/>
      <x:c r="P2711" s="24"/>
      <x:c r="Q2711" s="24" t="str">
        <x:v>DISPONÍVEL</x:v>
      </x:c>
      <x:c r="R2711" s="24"/>
      <x:c r="S2711" s="24" t="n">
        <x:v>45</x:v>
      </x:c>
      <x:c r="T2711" s="24" t="str">
        <x:v>tabela_zeiss.pdf</x:v>
      </x:c>
      <x:c r="U2711" s="24" t="str">
        <x:v>ZEISS|Progressiva|Surfaçada|Light 2 D||1.5|1.50|Sem AR|-9.00 a +6.00|-4.00|1.00 a 3.50|75|||45</x:v>
      </x:c>
    </x:row>
    <x:row r="2712">
      <x:c r="A2712" s="24" t="str">
        <x:v>ZS-66A50555C6C1</x:v>
      </x:c>
      <x:c r="B2712" s="24" t="str">
        <x:v>ZEISS</x:v>
      </x:c>
      <x:c r="C2712" s="24" t="str">
        <x:v>Progressiva</x:v>
      </x:c>
      <x:c r="D2712" s="24" t="str">
        <x:v>Surfaçada</x:v>
      </x:c>
      <x:c r="E2712" s="24" t="str">
        <x:v>Light 2 D</x:v>
      </x:c>
      <x:c r="F2712" s="24"/>
      <x:c r="G2712" s="24" t="str">
        <x:v>Poli</x:v>
      </x:c>
      <x:c r="H2712" s="24"/>
      <x:c r="I2712" s="24" t="str">
        <x:v>DuraVision Gold UV</x:v>
      </x:c>
      <x:c r="J2712" s="40" t="n">
        <x:v>2999</x:v>
      </x:c>
      <x:c r="K2712" s="24" t="str">
        <x:v>-10.00 a +6.00</x:v>
      </x:c>
      <x:c r="L2712" s="24" t="str">
        <x:v>-4.00</x:v>
      </x:c>
      <x:c r="M2712" s="24" t="str">
        <x:v>1.00 a 3.00</x:v>
      </x:c>
      <x:c r="N2712" s="24" t="str">
        <x:v>75</x:v>
      </x:c>
      <x:c r="O2712" s="24"/>
      <x:c r="P2712" s="24"/>
      <x:c r="Q2712" s="24" t="str">
        <x:v>DISPONÍVEL</x:v>
      </x:c>
      <x:c r="R2712" s="24"/>
      <x:c r="S2712" s="24" t="n">
        <x:v>45</x:v>
      </x:c>
      <x:c r="T2712" s="24" t="str">
        <x:v>tabela_zeiss.pdf</x:v>
      </x:c>
      <x:c r="U2712" s="24" t="str">
        <x:v>ZEISS|Progressiva|Surfaçada|Light 2 D||Poli||DuraVision Gold UV|-10.00 a +6.00|-4.00|1.00 a 3.00|75|||45</x:v>
      </x:c>
    </x:row>
    <x:row r="2713">
      <x:c r="A2713" s="24" t="str">
        <x:v>ZS-29B1B01BA633</x:v>
      </x:c>
      <x:c r="B2713" s="24" t="str">
        <x:v>ZEISS</x:v>
      </x:c>
      <x:c r="C2713" s="24" t="str">
        <x:v>Progressiva</x:v>
      </x:c>
      <x:c r="D2713" s="24" t="str">
        <x:v>Surfaçada</x:v>
      </x:c>
      <x:c r="E2713" s="24" t="str">
        <x:v>Light 2 D</x:v>
      </x:c>
      <x:c r="F2713" s="24"/>
      <x:c r="G2713" s="24" t="str">
        <x:v>Poli</x:v>
      </x:c>
      <x:c r="H2713" s="24"/>
      <x:c r="I2713" s="24" t="str">
        <x:v>DuraVision Platinum UV</x:v>
      </x:c>
      <x:c r="J2713" s="40" t="n">
        <x:v>2859</x:v>
      </x:c>
      <x:c r="K2713" s="24" t="str">
        <x:v>-10.00 a +6.00</x:v>
      </x:c>
      <x:c r="L2713" s="24" t="str">
        <x:v>-4.00</x:v>
      </x:c>
      <x:c r="M2713" s="24" t="str">
        <x:v>1.00 a 3.00</x:v>
      </x:c>
      <x:c r="N2713" s="24" t="str">
        <x:v>75</x:v>
      </x:c>
      <x:c r="O2713" s="24"/>
      <x:c r="P2713" s="24"/>
      <x:c r="Q2713" s="24" t="str">
        <x:v>DISPONÍVEL</x:v>
      </x:c>
      <x:c r="R2713" s="24"/>
      <x:c r="S2713" s="24" t="n">
        <x:v>45</x:v>
      </x:c>
      <x:c r="T2713" s="24" t="str">
        <x:v>tabela_zeiss.pdf</x:v>
      </x:c>
      <x:c r="U2713" s="24" t="str">
        <x:v>ZEISS|Progressiva|Surfaçada|Light 2 D||Poli||DuraVision Platinum UV|-10.00 a +6.00|-4.00|1.00 a 3.00|75|||45</x:v>
      </x:c>
    </x:row>
    <x:row r="2714">
      <x:c r="A2714" s="24" t="str">
        <x:v>ZS-8B2294DFCAC3</x:v>
      </x:c>
      <x:c r="B2714" s="24" t="str">
        <x:v>ZEISS</x:v>
      </x:c>
      <x:c r="C2714" s="24" t="str">
        <x:v>Progressiva</x:v>
      </x:c>
      <x:c r="D2714" s="24" t="str">
        <x:v>Surfaçada</x:v>
      </x:c>
      <x:c r="E2714" s="24" t="str">
        <x:v>Light 2 D</x:v>
      </x:c>
      <x:c r="F2714" s="24"/>
      <x:c r="G2714" s="24" t="str">
        <x:v>Poli</x:v>
      </x:c>
      <x:c r="H2714" s="24"/>
      <x:c r="I2714" s="24" t="str">
        <x:v>DuraVision Silver UV</x:v>
      </x:c>
      <x:c r="J2714" s="40" t="n">
        <x:v>2599</x:v>
      </x:c>
      <x:c r="K2714" s="24" t="str">
        <x:v>-10.00 a +6.00</x:v>
      </x:c>
      <x:c r="L2714" s="24" t="str">
        <x:v>-4.00</x:v>
      </x:c>
      <x:c r="M2714" s="24" t="str">
        <x:v>1.00 a 3.00</x:v>
      </x:c>
      <x:c r="N2714" s="24" t="str">
        <x:v>75</x:v>
      </x:c>
      <x:c r="O2714" s="24"/>
      <x:c r="P2714" s="24"/>
      <x:c r="Q2714" s="24" t="str">
        <x:v>DISPONÍVEL</x:v>
      </x:c>
      <x:c r="R2714" s="24"/>
      <x:c r="S2714" s="24" t="n">
        <x:v>45</x:v>
      </x:c>
      <x:c r="T2714" s="24" t="str">
        <x:v>tabela_zeiss.pdf</x:v>
      </x:c>
      <x:c r="U2714" s="24" t="str">
        <x:v>ZEISS|Progressiva|Surfaçada|Light 2 D||Poli||DuraVision Silver UV|-10.00 a +6.00|-4.00|1.00 a 3.00|75|||45</x:v>
      </x:c>
    </x:row>
    <x:row r="2715">
      <x:c r="A2715" s="24" t="str">
        <x:v>ZS-FABE31B043A6</x:v>
      </x:c>
      <x:c r="B2715" s="24" t="str">
        <x:v>ZEISS</x:v>
      </x:c>
      <x:c r="C2715" s="24" t="str">
        <x:v>Progressiva</x:v>
      </x:c>
      <x:c r="D2715" s="24" t="str">
        <x:v>Surfaçada</x:v>
      </x:c>
      <x:c r="E2715" s="24" t="str">
        <x:v>Light 2 D</x:v>
      </x:c>
      <x:c r="F2715" s="24"/>
      <x:c r="G2715" s="24" t="str">
        <x:v>Poli</x:v>
      </x:c>
      <x:c r="H2715" s="24"/>
      <x:c r="I2715" s="24" t="str">
        <x:v>DuraVision Chrome UV</x:v>
      </x:c>
      <x:c r="J2715" s="40" t="n">
        <x:v>2109</x:v>
      </x:c>
      <x:c r="K2715" s="24" t="str">
        <x:v>-10.00 a +6.00</x:v>
      </x:c>
      <x:c r="L2715" s="24" t="str">
        <x:v>-4.00</x:v>
      </x:c>
      <x:c r="M2715" s="24" t="str">
        <x:v>1.00 a 3.00</x:v>
      </x:c>
      <x:c r="N2715" s="24" t="str">
        <x:v>75</x:v>
      </x:c>
      <x:c r="O2715" s="24"/>
      <x:c r="P2715" s="24"/>
      <x:c r="Q2715" s="24" t="str">
        <x:v>DISPONÍVEL</x:v>
      </x:c>
      <x:c r="R2715" s="24"/>
      <x:c r="S2715" s="24" t="n">
        <x:v>45</x:v>
      </x:c>
      <x:c r="T2715" s="24" t="str">
        <x:v>tabela_zeiss.pdf</x:v>
      </x:c>
      <x:c r="U2715" s="24" t="str">
        <x:v>ZEISS|Progressiva|Surfaçada|Light 2 D||Poli||DuraVision Chrome UV|-10.00 a +6.00|-4.00|1.00 a 3.00|75|||45</x:v>
      </x:c>
    </x:row>
    <x:row r="2716">
      <x:c r="A2716" s="24" t="str">
        <x:v>ZS-0DC970849381</x:v>
      </x:c>
      <x:c r="B2716" s="24" t="str">
        <x:v>ZEISS</x:v>
      </x:c>
      <x:c r="C2716" s="24" t="str">
        <x:v>Progressiva</x:v>
      </x:c>
      <x:c r="D2716" s="24" t="str">
        <x:v>Surfaçada</x:v>
      </x:c>
      <x:c r="E2716" s="24" t="str">
        <x:v>Light 2 D</x:v>
      </x:c>
      <x:c r="F2716" s="24"/>
      <x:c r="G2716" s="24" t="str">
        <x:v>Poli</x:v>
      </x:c>
      <x:c r="H2716" s="24"/>
      <x:c r="I2716" s="24" t="str">
        <x:v>Sem AR</x:v>
      </x:c>
      <x:c r="J2716" s="40" t="n">
        <x:v>1709</x:v>
      </x:c>
      <x:c r="K2716" s="24" t="str">
        <x:v>-10.00 a +6.00</x:v>
      </x:c>
      <x:c r="L2716" s="24" t="str">
        <x:v>-4.00</x:v>
      </x:c>
      <x:c r="M2716" s="24" t="str">
        <x:v>1.00 a 3.00</x:v>
      </x:c>
      <x:c r="N2716" s="24" t="str">
        <x:v>75</x:v>
      </x:c>
      <x:c r="O2716" s="24"/>
      <x:c r="P2716" s="24"/>
      <x:c r="Q2716" s="24" t="str">
        <x:v>DISPONÍVEL</x:v>
      </x:c>
      <x:c r="R2716" s="24"/>
      <x:c r="S2716" s="24" t="n">
        <x:v>45</x:v>
      </x:c>
      <x:c r="T2716" s="24" t="str">
        <x:v>tabela_zeiss.pdf</x:v>
      </x:c>
      <x:c r="U2716" s="24" t="str">
        <x:v>ZEISS|Progressiva|Surfaçada|Light 2 D||Poli||Sem AR|-10.00 a +6.00|-4.00|1.00 a 3.00|75|||45</x:v>
      </x:c>
    </x:row>
    <x:row r="2717">
      <x:c r="A2717" s="24" t="str">
        <x:v>ZS-098EBE5E19E6</x:v>
      </x:c>
      <x:c r="B2717" s="24" t="str">
        <x:v>ZEISS</x:v>
      </x:c>
      <x:c r="C2717" s="24" t="str">
        <x:v>Progressiva</x:v>
      </x:c>
      <x:c r="D2717" s="24" t="str">
        <x:v>Surfaçada</x:v>
      </x:c>
      <x:c r="E2717" s="24" t="str">
        <x:v>Light 2 D</x:v>
      </x:c>
      <x:c r="F2717" s="24"/>
      <x:c r="G2717" s="24" t="str">
        <x:v>1.6</x:v>
      </x:c>
      <x:c r="H2717" s="24" t="str">
        <x:v>1.60</x:v>
      </x:c>
      <x:c r="I2717" s="24" t="str">
        <x:v>DuraVision Gold UV</x:v>
      </x:c>
      <x:c r="J2717" s="40" t="n">
        <x:v>3219</x:v>
      </x:c>
      <x:c r="K2717" s="24" t="str">
        <x:v>-9.00 a +6.00</x:v>
      </x:c>
      <x:c r="L2717" s="24" t="str">
        <x:v>-4.00</x:v>
      </x:c>
      <x:c r="M2717" s="24" t="str">
        <x:v>1.00 a 3.50</x:v>
      </x:c>
      <x:c r="N2717" s="24" t="str">
        <x:v>75</x:v>
      </x:c>
      <x:c r="O2717" s="24"/>
      <x:c r="P2717" s="24"/>
      <x:c r="Q2717" s="24" t="str">
        <x:v>DISPONÍVEL</x:v>
      </x:c>
      <x:c r="R2717" s="24"/>
      <x:c r="S2717" s="24" t="n">
        <x:v>45</x:v>
      </x:c>
      <x:c r="T2717" s="24" t="str">
        <x:v>tabela_zeiss.pdf</x:v>
      </x:c>
      <x:c r="U2717" s="24" t="str">
        <x:v>ZEISS|Progressiva|Surfaçada|Light 2 D||1.6|1.60|DuraVision Gold UV|-9.00 a +6.00|-4.00|1.00 a 3.50|75|||45</x:v>
      </x:c>
    </x:row>
    <x:row r="2718">
      <x:c r="A2718" s="24" t="str">
        <x:v>ZS-FCAD95C07E38</x:v>
      </x:c>
      <x:c r="B2718" s="24" t="str">
        <x:v>ZEISS</x:v>
      </x:c>
      <x:c r="C2718" s="24" t="str">
        <x:v>Progressiva</x:v>
      </x:c>
      <x:c r="D2718" s="24" t="str">
        <x:v>Surfaçada</x:v>
      </x:c>
      <x:c r="E2718" s="24" t="str">
        <x:v>Light 2 D</x:v>
      </x:c>
      <x:c r="F2718" s="24"/>
      <x:c r="G2718" s="24" t="str">
        <x:v>1.6</x:v>
      </x:c>
      <x:c r="H2718" s="24" t="str">
        <x:v>1.60</x:v>
      </x:c>
      <x:c r="I2718" s="24" t="str">
        <x:v>DURAVISION® ANTIVÍRUS PLATINUM UV</x:v>
      </x:c>
      <x:c r="J2718" s="40" t="n">
        <x:v>3079</x:v>
      </x:c>
      <x:c r="K2718" s="24" t="str">
        <x:v>-9.00 a +6.00</x:v>
      </x:c>
      <x:c r="L2718" s="24" t="str">
        <x:v>-4.00</x:v>
      </x:c>
      <x:c r="M2718" s="24" t="str">
        <x:v>1.00 a 3.50</x:v>
      </x:c>
      <x:c r="N2718" s="24" t="str">
        <x:v>75</x:v>
      </x:c>
      <x:c r="O2718" s="24"/>
      <x:c r="P2718" s="24"/>
      <x:c r="Q2718" s="24" t="str">
        <x:v>DISPONÍVEL</x:v>
      </x:c>
      <x:c r="R2718" s="24"/>
      <x:c r="S2718" s="24" t="n">
        <x:v>45</x:v>
      </x:c>
      <x:c r="T2718" s="24" t="str">
        <x:v>tabela_zeiss.pdf</x:v>
      </x:c>
      <x:c r="U2718" s="24" t="str">
        <x:v>ZEISS|Progressiva|Surfaçada|Light 2 D||1.6|1.60|DURAVISION® ANTIVÍRUS PLATINUM UV|-9.00 a +6.00|-4.00|1.00 a 3.50|75|||45</x:v>
      </x:c>
    </x:row>
    <x:row r="2719">
      <x:c r="A2719" s="24" t="str">
        <x:v>ZS-BB7FB24C0194</x:v>
      </x:c>
      <x:c r="B2719" s="24" t="str">
        <x:v>ZEISS</x:v>
      </x:c>
      <x:c r="C2719" s="24" t="str">
        <x:v>Progressiva</x:v>
      </x:c>
      <x:c r="D2719" s="24" t="str">
        <x:v>Surfaçada</x:v>
      </x:c>
      <x:c r="E2719" s="24" t="str">
        <x:v>Light 2 D</x:v>
      </x:c>
      <x:c r="F2719" s="24"/>
      <x:c r="G2719" s="24" t="str">
        <x:v>1.6</x:v>
      </x:c>
      <x:c r="H2719" s="24" t="str">
        <x:v>1.60</x:v>
      </x:c>
      <x:c r="I2719" s="24" t="str">
        <x:v>DuraVision Platinum UV</x:v>
      </x:c>
      <x:c r="J2719" s="40" t="n">
        <x:v>3079</x:v>
      </x:c>
      <x:c r="K2719" s="24" t="str">
        <x:v>-9.00 a +6.00</x:v>
      </x:c>
      <x:c r="L2719" s="24" t="str">
        <x:v>-4.00</x:v>
      </x:c>
      <x:c r="M2719" s="24" t="str">
        <x:v>1.00 a 3.50</x:v>
      </x:c>
      <x:c r="N2719" s="24" t="str">
        <x:v>75</x:v>
      </x:c>
      <x:c r="O2719" s="24"/>
      <x:c r="P2719" s="24"/>
      <x:c r="Q2719" s="24" t="str">
        <x:v>DISPONÍVEL</x:v>
      </x:c>
      <x:c r="R2719" s="24"/>
      <x:c r="S2719" s="24" t="n">
        <x:v>45</x:v>
      </x:c>
      <x:c r="T2719" s="24" t="str">
        <x:v>tabela_zeiss.pdf</x:v>
      </x:c>
      <x:c r="U2719" s="24" t="str">
        <x:v>ZEISS|Progressiva|Surfaçada|Light 2 D||1.6|1.60|DuraVision Platinum UV|-9.00 a +6.00|-4.00|1.00 a 3.50|75|||45</x:v>
      </x:c>
    </x:row>
    <x:row r="2720">
      <x:c r="A2720" s="24" t="str">
        <x:v>ZS-074DFFE81AB8</x:v>
      </x:c>
      <x:c r="B2720" s="24" t="str">
        <x:v>ZEISS</x:v>
      </x:c>
      <x:c r="C2720" s="24" t="str">
        <x:v>Progressiva</x:v>
      </x:c>
      <x:c r="D2720" s="24" t="str">
        <x:v>Surfaçada</x:v>
      </x:c>
      <x:c r="E2720" s="24" t="str">
        <x:v>Light 2 D</x:v>
      </x:c>
      <x:c r="F2720" s="24"/>
      <x:c r="G2720" s="24" t="str">
        <x:v>1.6</x:v>
      </x:c>
      <x:c r="H2720" s="24" t="str">
        <x:v>1.60</x:v>
      </x:c>
      <x:c r="I2720" s="24" t="str">
        <x:v>DuraVision Silver UV</x:v>
      </x:c>
      <x:c r="J2720" s="40" t="n">
        <x:v>2819</x:v>
      </x:c>
      <x:c r="K2720" s="24" t="str">
        <x:v>-9.00 a +6.00</x:v>
      </x:c>
      <x:c r="L2720" s="24" t="str">
        <x:v>-4.00</x:v>
      </x:c>
      <x:c r="M2720" s="24" t="str">
        <x:v>1.00 a 3.50</x:v>
      </x:c>
      <x:c r="N2720" s="24" t="str">
        <x:v>75</x:v>
      </x:c>
      <x:c r="O2720" s="24"/>
      <x:c r="P2720" s="24"/>
      <x:c r="Q2720" s="24" t="str">
        <x:v>DISPONÍVEL</x:v>
      </x:c>
      <x:c r="R2720" s="24"/>
      <x:c r="S2720" s="24" t="n">
        <x:v>45</x:v>
      </x:c>
      <x:c r="T2720" s="24" t="str">
        <x:v>tabela_zeiss.pdf</x:v>
      </x:c>
      <x:c r="U2720" s="24" t="str">
        <x:v>ZEISS|Progressiva|Surfaçada|Light 2 D||1.6|1.60|DuraVision Silver UV|-9.00 a +6.00|-4.00|1.00 a 3.50|75|||45</x:v>
      </x:c>
    </x:row>
    <x:row r="2721">
      <x:c r="A2721" s="24" t="str">
        <x:v>ZS-4994C3C9293F</x:v>
      </x:c>
      <x:c r="B2721" s="24" t="str">
        <x:v>ZEISS</x:v>
      </x:c>
      <x:c r="C2721" s="24" t="str">
        <x:v>Progressiva</x:v>
      </x:c>
      <x:c r="D2721" s="24" t="str">
        <x:v>Surfaçada</x:v>
      </x:c>
      <x:c r="E2721" s="24" t="str">
        <x:v>Light 2 D</x:v>
      </x:c>
      <x:c r="F2721" s="24"/>
      <x:c r="G2721" s="24" t="str">
        <x:v>1.6</x:v>
      </x:c>
      <x:c r="H2721" s="24" t="str">
        <x:v>1.60</x:v>
      </x:c>
      <x:c r="I2721" s="24" t="str">
        <x:v>DuraVision Chrome UV</x:v>
      </x:c>
      <x:c r="J2721" s="40" t="n">
        <x:v>2329</x:v>
      </x:c>
      <x:c r="K2721" s="24" t="str">
        <x:v>-9.00 a +6.00</x:v>
      </x:c>
      <x:c r="L2721" s="24" t="str">
        <x:v>-4.00</x:v>
      </x:c>
      <x:c r="M2721" s="24" t="str">
        <x:v>1.00 a 3.50</x:v>
      </x:c>
      <x:c r="N2721" s="24" t="str">
        <x:v>75</x:v>
      </x:c>
      <x:c r="O2721" s="24"/>
      <x:c r="P2721" s="24"/>
      <x:c r="Q2721" s="24" t="str">
        <x:v>DISPONÍVEL</x:v>
      </x:c>
      <x:c r="R2721" s="24"/>
      <x:c r="S2721" s="24" t="n">
        <x:v>45</x:v>
      </x:c>
      <x:c r="T2721" s="24" t="str">
        <x:v>tabela_zeiss.pdf</x:v>
      </x:c>
      <x:c r="U2721" s="24" t="str">
        <x:v>ZEISS|Progressiva|Surfaçada|Light 2 D||1.6|1.60|DuraVision Chrome UV|-9.00 a +6.00|-4.00|1.00 a 3.50|75|||45</x:v>
      </x:c>
    </x:row>
    <x:row r="2722">
      <x:c r="A2722" s="24" t="str">
        <x:v>ZS-8A533687E207</x:v>
      </x:c>
      <x:c r="B2722" s="24" t="str">
        <x:v>ZEISS</x:v>
      </x:c>
      <x:c r="C2722" s="24" t="str">
        <x:v>Progressiva</x:v>
      </x:c>
      <x:c r="D2722" s="24" t="str">
        <x:v>Surfaçada</x:v>
      </x:c>
      <x:c r="E2722" s="24" t="str">
        <x:v>Light 2 D</x:v>
      </x:c>
      <x:c r="F2722" s="24"/>
      <x:c r="G2722" s="24" t="str">
        <x:v>1.67</x:v>
      </x:c>
      <x:c r="H2722" s="24" t="str">
        <x:v>1.67</x:v>
      </x:c>
      <x:c r="I2722" s="24" t="str">
        <x:v>DuraVision Gold UV</x:v>
      </x:c>
      <x:c r="J2722" s="40" t="n">
        <x:v>4519</x:v>
      </x:c>
      <x:c r="K2722" s="24" t="str">
        <x:v>-10.00 a +6.00</x:v>
      </x:c>
      <x:c r="L2722" s="24" t="str">
        <x:v>-4.00</x:v>
      </x:c>
      <x:c r="M2722" s="24" t="str">
        <x:v>1.00 a 3.00</x:v>
      </x:c>
      <x:c r="N2722" s="24" t="str">
        <x:v>75</x:v>
      </x:c>
      <x:c r="O2722" s="24"/>
      <x:c r="P2722" s="24"/>
      <x:c r="Q2722" s="24" t="str">
        <x:v>DISPONÍVEL</x:v>
      </x:c>
      <x:c r="R2722" s="24"/>
      <x:c r="S2722" s="24" t="n">
        <x:v>45</x:v>
      </x:c>
      <x:c r="T2722" s="24" t="str">
        <x:v>tabela_zeiss.pdf</x:v>
      </x:c>
      <x:c r="U2722" s="24" t="str">
        <x:v>ZEISS|Progressiva|Surfaçada|Light 2 D||1.67|1.67|DuraVision Gold UV|-10.00 a +6.00|-4.00|1.00 a 3.00|75|||45</x:v>
      </x:c>
    </x:row>
    <x:row r="2723">
      <x:c r="A2723" s="24" t="str">
        <x:v>ZS-3FB073B2101D</x:v>
      </x:c>
      <x:c r="B2723" s="24" t="str">
        <x:v>ZEISS</x:v>
      </x:c>
      <x:c r="C2723" s="24" t="str">
        <x:v>Progressiva</x:v>
      </x:c>
      <x:c r="D2723" s="24" t="str">
        <x:v>Surfaçada</x:v>
      </x:c>
      <x:c r="E2723" s="24" t="str">
        <x:v>Light 2 D</x:v>
      </x:c>
      <x:c r="F2723" s="24"/>
      <x:c r="G2723" s="24" t="str">
        <x:v>1.67</x:v>
      </x:c>
      <x:c r="H2723" s="24" t="str">
        <x:v>1.67</x:v>
      </x:c>
      <x:c r="I2723" s="24" t="str">
        <x:v>DURAVISION® ANTIVÍRUS PLATINUM UV</x:v>
      </x:c>
      <x:c r="J2723" s="40" t="n">
        <x:v>4379</x:v>
      </x:c>
      <x:c r="K2723" s="24" t="str">
        <x:v>-10.00 a +6.00</x:v>
      </x:c>
      <x:c r="L2723" s="24" t="str">
        <x:v>-4.00</x:v>
      </x:c>
      <x:c r="M2723" s="24" t="str">
        <x:v>1.00 a 3.00</x:v>
      </x:c>
      <x:c r="N2723" s="24" t="str">
        <x:v>75</x:v>
      </x:c>
      <x:c r="O2723" s="24"/>
      <x:c r="P2723" s="24"/>
      <x:c r="Q2723" s="24" t="str">
        <x:v>DISPONÍVEL</x:v>
      </x:c>
      <x:c r="R2723" s="24"/>
      <x:c r="S2723" s="24" t="n">
        <x:v>45</x:v>
      </x:c>
      <x:c r="T2723" s="24" t="str">
        <x:v>tabela_zeiss.pdf</x:v>
      </x:c>
      <x:c r="U2723" s="24" t="str">
        <x:v>ZEISS|Progressiva|Surfaçada|Light 2 D||1.67|1.67|DURAVISION® ANTIVÍRUS PLATINUM UV|-10.00 a +6.00|-4.00|1.00 a 3.00|75|||45</x:v>
      </x:c>
    </x:row>
    <x:row r="2724">
      <x:c r="A2724" s="24" t="str">
        <x:v>ZS-67223AA7067A</x:v>
      </x:c>
      <x:c r="B2724" s="24" t="str">
        <x:v>ZEISS</x:v>
      </x:c>
      <x:c r="C2724" s="24" t="str">
        <x:v>Progressiva</x:v>
      </x:c>
      <x:c r="D2724" s="24" t="str">
        <x:v>Surfaçada</x:v>
      </x:c>
      <x:c r="E2724" s="24" t="str">
        <x:v>Light 2 D</x:v>
      </x:c>
      <x:c r="F2724" s="24"/>
      <x:c r="G2724" s="24" t="str">
        <x:v>1.67</x:v>
      </x:c>
      <x:c r="H2724" s="24" t="str">
        <x:v>1.67</x:v>
      </x:c>
      <x:c r="I2724" s="24" t="str">
        <x:v>DuraVision Platinum UV</x:v>
      </x:c>
      <x:c r="J2724" s="40" t="n">
        <x:v>4379</x:v>
      </x:c>
      <x:c r="K2724" s="24" t="str">
        <x:v>-10.00 a +6.00</x:v>
      </x:c>
      <x:c r="L2724" s="24" t="str">
        <x:v>-4.00</x:v>
      </x:c>
      <x:c r="M2724" s="24" t="str">
        <x:v>1.00 a 3.00</x:v>
      </x:c>
      <x:c r="N2724" s="24" t="str">
        <x:v>75</x:v>
      </x:c>
      <x:c r="O2724" s="24"/>
      <x:c r="P2724" s="24"/>
      <x:c r="Q2724" s="24" t="str">
        <x:v>DISPONÍVEL</x:v>
      </x:c>
      <x:c r="R2724" s="24"/>
      <x:c r="S2724" s="24" t="n">
        <x:v>45</x:v>
      </x:c>
      <x:c r="T2724" s="24" t="str">
        <x:v>tabela_zeiss.pdf</x:v>
      </x:c>
      <x:c r="U2724" s="24" t="str">
        <x:v>ZEISS|Progressiva|Surfaçada|Light 2 D||1.67|1.67|DuraVision Platinum UV|-10.00 a +6.00|-4.00|1.00 a 3.00|75|||45</x:v>
      </x:c>
    </x:row>
    <x:row r="2725">
      <x:c r="A2725" s="24" t="str">
        <x:v>ZS-7937B6FFA8D8</x:v>
      </x:c>
      <x:c r="B2725" s="24" t="str">
        <x:v>ZEISS</x:v>
      </x:c>
      <x:c r="C2725" s="24" t="str">
        <x:v>Progressiva</x:v>
      </x:c>
      <x:c r="D2725" s="24" t="str">
        <x:v>Surfaçada</x:v>
      </x:c>
      <x:c r="E2725" s="24" t="str">
        <x:v>Light 2 D</x:v>
      </x:c>
      <x:c r="F2725" s="24"/>
      <x:c r="G2725" s="24" t="str">
        <x:v>1.67</x:v>
      </x:c>
      <x:c r="H2725" s="24" t="str">
        <x:v>1.67</x:v>
      </x:c>
      <x:c r="I2725" s="24" t="str">
        <x:v>DuraVision Silver UV</x:v>
      </x:c>
      <x:c r="J2725" s="40" t="n">
        <x:v>4119</x:v>
      </x:c>
      <x:c r="K2725" s="24" t="str">
        <x:v>-10.00 a +6.00</x:v>
      </x:c>
      <x:c r="L2725" s="24" t="str">
        <x:v>-4.00</x:v>
      </x:c>
      <x:c r="M2725" s="24" t="str">
        <x:v>1.00 a 3.00</x:v>
      </x:c>
      <x:c r="N2725" s="24" t="str">
        <x:v>75</x:v>
      </x:c>
      <x:c r="O2725" s="24"/>
      <x:c r="P2725" s="24"/>
      <x:c r="Q2725" s="24" t="str">
        <x:v>DISPONÍVEL</x:v>
      </x:c>
      <x:c r="R2725" s="24"/>
      <x:c r="S2725" s="24" t="n">
        <x:v>45</x:v>
      </x:c>
      <x:c r="T2725" s="24" t="str">
        <x:v>tabela_zeiss.pdf</x:v>
      </x:c>
      <x:c r="U2725" s="24" t="str">
        <x:v>ZEISS|Progressiva|Surfaçada|Light 2 D||1.67|1.67|DuraVision Silver UV|-10.00 a +6.00|-4.00|1.00 a 3.00|75|||45</x:v>
      </x:c>
    </x:row>
    <x:row r="2726">
      <x:c r="A2726" s="24" t="str">
        <x:v>ZS-1755E250CFDB</x:v>
      </x:c>
      <x:c r="B2726" s="24" t="str">
        <x:v>ZEISS</x:v>
      </x:c>
      <x:c r="C2726" s="24" t="str">
        <x:v>Progressiva</x:v>
      </x:c>
      <x:c r="D2726" s="24" t="str">
        <x:v>Surfaçada</x:v>
      </x:c>
      <x:c r="E2726" s="24" t="str">
        <x:v>Light 2 D</x:v>
      </x:c>
      <x:c r="F2726" s="24"/>
      <x:c r="G2726" s="24" t="str">
        <x:v>1.67</x:v>
      </x:c>
      <x:c r="H2726" s="24" t="str">
        <x:v>1.67</x:v>
      </x:c>
      <x:c r="I2726" s="24" t="str">
        <x:v>DuraVision Chrome UV</x:v>
      </x:c>
      <x:c r="J2726" s="40" t="n">
        <x:v>3629</x:v>
      </x:c>
      <x:c r="K2726" s="24" t="str">
        <x:v>-10.00 a +6.00</x:v>
      </x:c>
      <x:c r="L2726" s="24" t="str">
        <x:v>-4.00</x:v>
      </x:c>
      <x:c r="M2726" s="24" t="str">
        <x:v>1.00 a 3.00</x:v>
      </x:c>
      <x:c r="N2726" s="24" t="str">
        <x:v>75</x:v>
      </x:c>
      <x:c r="O2726" s="24"/>
      <x:c r="P2726" s="24"/>
      <x:c r="Q2726" s="24" t="str">
        <x:v>DISPONÍVEL</x:v>
      </x:c>
      <x:c r="R2726" s="24"/>
      <x:c r="S2726" s="24" t="n">
        <x:v>45</x:v>
      </x:c>
      <x:c r="T2726" s="24" t="str">
        <x:v>tabela_zeiss.pdf</x:v>
      </x:c>
      <x:c r="U2726" s="24" t="str">
        <x:v>ZEISS|Progressiva|Surfaçada|Light 2 D||1.67|1.67|DuraVision Chrome UV|-10.00 a +6.00|-4.00|1.00 a 3.00|75|||45</x:v>
      </x:c>
    </x:row>
    <x:row r="2727">
      <x:c r="A2727" s="24" t="str">
        <x:v>ZS-F22EB4D7FB71</x:v>
      </x:c>
      <x:c r="B2727" s="24" t="str">
        <x:v>ZEISS</x:v>
      </x:c>
      <x:c r="C2727" s="24" t="str">
        <x:v>Progressiva</x:v>
      </x:c>
      <x:c r="D2727" s="24" t="str">
        <x:v>Surfaçada</x:v>
      </x:c>
      <x:c r="E2727" s="24" t="str">
        <x:v>Light 2 D</x:v>
      </x:c>
      <x:c r="F2727" s="24"/>
      <x:c r="G2727" s="24" t="str">
        <x:v>1.74</x:v>
      </x:c>
      <x:c r="H2727" s="24" t="str">
        <x:v>1.74</x:v>
      </x:c>
      <x:c r="I2727" s="24" t="str">
        <x:v>DuraVision Gold UV</x:v>
      </x:c>
      <x:c r="J2727" s="40" t="n">
        <x:v>4829</x:v>
      </x:c>
      <x:c r="K2727" s="24" t="str">
        <x:v>-10.00 a +7.00</x:v>
      </x:c>
      <x:c r="L2727" s="24" t="str">
        <x:v>-4.00</x:v>
      </x:c>
      <x:c r="M2727" s="24" t="str">
        <x:v>0.75 a 3.50</x:v>
      </x:c>
      <x:c r="N2727" s="24" t="str">
        <x:v>70 a 75</x:v>
      </x:c>
      <x:c r="O2727" s="24"/>
      <x:c r="P2727" s="24"/>
      <x:c r="Q2727" s="24" t="str">
        <x:v>DISPONÍVEL</x:v>
      </x:c>
      <x:c r="R2727" s="24"/>
      <x:c r="S2727" s="24" t="n">
        <x:v>45</x:v>
      </x:c>
      <x:c r="T2727" s="24" t="str">
        <x:v>tabela_zeiss.pdf</x:v>
      </x:c>
      <x:c r="U2727" s="24" t="str">
        <x:v>ZEISS|Progressiva|Surfaçada|Light 2 D||1.74|1.74|DuraVision Gold UV|-10.00 a +7.00|-4.00|0.75 a 3.50|70 a 75|||45</x:v>
      </x:c>
    </x:row>
    <x:row r="2728">
      <x:c r="A2728" s="24" t="str">
        <x:v>ZS-664CC8177EC8</x:v>
      </x:c>
      <x:c r="B2728" s="24" t="str">
        <x:v>ZEISS</x:v>
      </x:c>
      <x:c r="C2728" s="24" t="str">
        <x:v>Progressiva</x:v>
      </x:c>
      <x:c r="D2728" s="24" t="str">
        <x:v>Surfaçada</x:v>
      </x:c>
      <x:c r="E2728" s="24" t="str">
        <x:v>Light 2 D</x:v>
      </x:c>
      <x:c r="F2728" s="24"/>
      <x:c r="G2728" s="24" t="str">
        <x:v>1.74</x:v>
      </x:c>
      <x:c r="H2728" s="24" t="str">
        <x:v>1.74</x:v>
      </x:c>
      <x:c r="I2728" s="24" t="str">
        <x:v>DuraVision Platinum UV</x:v>
      </x:c>
      <x:c r="J2728" s="40" t="n">
        <x:v>4689</x:v>
      </x:c>
      <x:c r="K2728" s="24" t="str">
        <x:v>-10.00 a +7.00</x:v>
      </x:c>
      <x:c r="L2728" s="24" t="str">
        <x:v>-4.00</x:v>
      </x:c>
      <x:c r="M2728" s="24" t="str">
        <x:v>0.75 a 3.50</x:v>
      </x:c>
      <x:c r="N2728" s="24" t="str">
        <x:v>70 a 75</x:v>
      </x:c>
      <x:c r="O2728" s="24"/>
      <x:c r="P2728" s="24"/>
      <x:c r="Q2728" s="24" t="str">
        <x:v>DISPONÍVEL</x:v>
      </x:c>
      <x:c r="R2728" s="24"/>
      <x:c r="S2728" s="24" t="n">
        <x:v>45</x:v>
      </x:c>
      <x:c r="T2728" s="24" t="str">
        <x:v>tabela_zeiss.pdf</x:v>
      </x:c>
      <x:c r="U2728" s="24" t="str">
        <x:v>ZEISS|Progressiva|Surfaçada|Light 2 D||1.74|1.74|DuraVision Platinum UV|-10.00 a +7.00|-4.00|0.75 a 3.50|70 a 75|||45</x:v>
      </x:c>
    </x:row>
    <x:row r="2729">
      <x:c r="A2729" s="24" t="str">
        <x:v>ZS-E5673758A42A</x:v>
      </x:c>
      <x:c r="B2729" s="24" t="str">
        <x:v>ZEISS</x:v>
      </x:c>
      <x:c r="C2729" s="24" t="str">
        <x:v>Progressiva</x:v>
      </x:c>
      <x:c r="D2729" s="24" t="str">
        <x:v>Surfaçada</x:v>
      </x:c>
      <x:c r="E2729" s="24" t="str">
        <x:v>Light 2 D</x:v>
      </x:c>
      <x:c r="F2729" s="24"/>
      <x:c r="G2729" s="24" t="str">
        <x:v>1.74</x:v>
      </x:c>
      <x:c r="H2729" s="24" t="str">
        <x:v>1.74</x:v>
      </x:c>
      <x:c r="I2729" s="24" t="str">
        <x:v>DuraVision Silver UV</x:v>
      </x:c>
      <x:c r="J2729" s="40" t="n">
        <x:v>4429</x:v>
      </x:c>
      <x:c r="K2729" s="24" t="str">
        <x:v>-10.00 a +7.00</x:v>
      </x:c>
      <x:c r="L2729" s="24" t="str">
        <x:v>-4.00</x:v>
      </x:c>
      <x:c r="M2729" s="24" t="str">
        <x:v>0.75 a 3.50</x:v>
      </x:c>
      <x:c r="N2729" s="24" t="str">
        <x:v>70 a 75</x:v>
      </x:c>
      <x:c r="O2729" s="24"/>
      <x:c r="P2729" s="24"/>
      <x:c r="Q2729" s="24" t="str">
        <x:v>DISPONÍVEL</x:v>
      </x:c>
      <x:c r="R2729" s="24"/>
      <x:c r="S2729" s="24" t="n">
        <x:v>45</x:v>
      </x:c>
      <x:c r="T2729" s="24" t="str">
        <x:v>tabela_zeiss.pdf</x:v>
      </x:c>
      <x:c r="U2729" s="24" t="str">
        <x:v>ZEISS|Progressiva|Surfaçada|Light 2 D||1.74|1.74|DuraVision Silver UV|-10.00 a +7.00|-4.00|0.75 a 3.50|70 a 75|||45</x:v>
      </x:c>
    </x:row>
    <x:row r="2730">
      <x:c r="A2730" s="24" t="str">
        <x:v>ZS-958463913099</x:v>
      </x:c>
      <x:c r="B2730" s="24" t="str">
        <x:v>ZEISS</x:v>
      </x:c>
      <x:c r="C2730" s="24" t="str">
        <x:v>Progressiva</x:v>
      </x:c>
      <x:c r="D2730" s="24" t="str">
        <x:v>Surfaçada</x:v>
      </x:c>
      <x:c r="E2730" s="24" t="str">
        <x:v>Light 2 D</x:v>
      </x:c>
      <x:c r="F2730" s="24"/>
      <x:c r="G2730" s="24" t="str">
        <x:v>1.74</x:v>
      </x:c>
      <x:c r="H2730" s="24" t="str">
        <x:v>1.74</x:v>
      </x:c>
      <x:c r="I2730" s="24" t="str">
        <x:v>DuraVision Chrome UV</x:v>
      </x:c>
      <x:c r="J2730" s="40" t="n">
        <x:v>3939</x:v>
      </x:c>
      <x:c r="K2730" s="24" t="str">
        <x:v>-10.00 a +7.00</x:v>
      </x:c>
      <x:c r="L2730" s="24" t="str">
        <x:v>-4.00</x:v>
      </x:c>
      <x:c r="M2730" s="24" t="str">
        <x:v>0.75 a 3.50</x:v>
      </x:c>
      <x:c r="N2730" s="24" t="str">
        <x:v>70 a 75</x:v>
      </x:c>
      <x:c r="O2730" s="24"/>
      <x:c r="P2730" s="24"/>
      <x:c r="Q2730" s="24" t="str">
        <x:v>DISPONÍVEL</x:v>
      </x:c>
      <x:c r="R2730" s="24"/>
      <x:c r="S2730" s="24" t="n">
        <x:v>45</x:v>
      </x:c>
      <x:c r="T2730" s="24" t="str">
        <x:v>tabela_zeiss.pdf</x:v>
      </x:c>
      <x:c r="U2730" s="24" t="str">
        <x:v>ZEISS|Progressiva|Surfaçada|Light 2 D||1.74|1.74|DuraVision Chrome UV|-10.00 a +7.00|-4.00|0.75 a 3.50|70 a 75|||45</x:v>
      </x:c>
    </x:row>
    <x:row r="2731">
      <x:c r="A2731" s="24" t="str">
        <x:v>ZS-BB1F9C195433</x:v>
      </x:c>
      <x:c r="B2731" s="24" t="str">
        <x:v>ZEISS</x:v>
      </x:c>
      <x:c r="C2731" s="24" t="str">
        <x:v>Progressiva</x:v>
      </x:c>
      <x:c r="D2731" s="24" t="str">
        <x:v>Surfaçada</x:v>
      </x:c>
      <x:c r="E2731" s="24" t="str">
        <x:v>Light 2 D</x:v>
      </x:c>
      <x:c r="F2731" s="24" t="str">
        <x:v>PhotoFusion X</x:v>
      </x:c>
      <x:c r="G2731" s="24" t="str">
        <x:v>1.5</x:v>
      </x:c>
      <x:c r="H2731" s="24" t="str">
        <x:v>1.50</x:v>
      </x:c>
      <x:c r="I2731" s="24" t="str">
        <x:v>DuraVision Gold UV</x:v>
      </x:c>
      <x:c r="J2731" s="40" t="n">
        <x:v>4059</x:v>
      </x:c>
      <x:c r="K2731" s="24" t="str">
        <x:v>-9.00 a +6.00</x:v>
      </x:c>
      <x:c r="L2731" s="24" t="str">
        <x:v>-4.00</x:v>
      </x:c>
      <x:c r="M2731" s="24" t="str">
        <x:v>1.00 a 3.50</x:v>
      </x:c>
      <x:c r="N2731" s="24" t="str">
        <x:v>75</x:v>
      </x:c>
      <x:c r="O2731" s="24"/>
      <x:c r="P2731" s="24"/>
      <x:c r="Q2731" s="24" t="str">
        <x:v>DISPONÍVEL</x:v>
      </x:c>
      <x:c r="R2731" s="24" t="str">
        <x:v>Programa de Parcerias ZEISS</x:v>
      </x:c>
      <x:c r="S2731" s="24" t="n">
        <x:v>45</x:v>
      </x:c>
      <x:c r="T2731" s="24" t="str">
        <x:v>tabela_zeiss.pdf</x:v>
      </x:c>
      <x:c r="U2731" s="24" t="str">
        <x:v>ZEISS|Progressiva|Surfaçada|Light 2 D|PhotoFusion X|1.5|1.50|DuraVision Gold UV|-9.00 a +6.00|-4.00|1.00 a 3.50|75|||45</x:v>
      </x:c>
    </x:row>
    <x:row r="2732">
      <x:c r="A2732" s="24" t="str">
        <x:v>ZS-9650917A0C50</x:v>
      </x:c>
      <x:c r="B2732" s="24" t="str">
        <x:v>ZEISS</x:v>
      </x:c>
      <x:c r="C2732" s="24" t="str">
        <x:v>Progressiva</x:v>
      </x:c>
      <x:c r="D2732" s="24" t="str">
        <x:v>Surfaçada</x:v>
      </x:c>
      <x:c r="E2732" s="24" t="str">
        <x:v>Light 2 D</x:v>
      </x:c>
      <x:c r="F2732" s="24" t="str">
        <x:v>PhotoFusion X</x:v>
      </x:c>
      <x:c r="G2732" s="24" t="str">
        <x:v>1.5</x:v>
      </x:c>
      <x:c r="H2732" s="24" t="str">
        <x:v>1.50</x:v>
      </x:c>
      <x:c r="I2732" s="24" t="str">
        <x:v>DURAVISION® ANTIVÍRUS PLATINUM UV</x:v>
      </x:c>
      <x:c r="J2732" s="40" t="n">
        <x:v>3919</x:v>
      </x:c>
      <x:c r="K2732" s="24" t="str">
        <x:v>-9.00 a +6.00</x:v>
      </x:c>
      <x:c r="L2732" s="24" t="str">
        <x:v>-4.00</x:v>
      </x:c>
      <x:c r="M2732" s="24" t="str">
        <x:v>1.00 a 3.50</x:v>
      </x:c>
      <x:c r="N2732" s="24" t="str">
        <x:v>75</x:v>
      </x:c>
      <x:c r="O2732" s="24"/>
      <x:c r="P2732" s="24"/>
      <x:c r="Q2732" s="24" t="str">
        <x:v>DISPONÍVEL</x:v>
      </x:c>
      <x:c r="R2732" s="24" t="str">
        <x:v>Programa de Parcerias ZEISS</x:v>
      </x:c>
      <x:c r="S2732" s="24" t="n">
        <x:v>45</x:v>
      </x:c>
      <x:c r="T2732" s="24" t="str">
        <x:v>tabela_zeiss.pdf</x:v>
      </x:c>
      <x:c r="U2732" s="24" t="str">
        <x:v>ZEISS|Progressiva|Surfaçada|Light 2 D|PhotoFusion X|1.5|1.50|DURAVISION® ANTIVÍRUS PLATINUM UV|-9.00 a +6.00|-4.00|1.00 a 3.50|75|||45</x:v>
      </x:c>
    </x:row>
    <x:row r="2733">
      <x:c r="A2733" s="24" t="str">
        <x:v>ZS-E198A0B7BDD5</x:v>
      </x:c>
      <x:c r="B2733" s="24" t="str">
        <x:v>ZEISS</x:v>
      </x:c>
      <x:c r="C2733" s="24" t="str">
        <x:v>Progressiva</x:v>
      </x:c>
      <x:c r="D2733" s="24" t="str">
        <x:v>Surfaçada</x:v>
      </x:c>
      <x:c r="E2733" s="24" t="str">
        <x:v>Light 2 D</x:v>
      </x:c>
      <x:c r="F2733" s="24" t="str">
        <x:v>PhotoFusion X</x:v>
      </x:c>
      <x:c r="G2733" s="24" t="str">
        <x:v>1.5</x:v>
      </x:c>
      <x:c r="H2733" s="24" t="str">
        <x:v>1.50</x:v>
      </x:c>
      <x:c r="I2733" s="24" t="str">
        <x:v>DuraVision Platinum UV</x:v>
      </x:c>
      <x:c r="J2733" s="40" t="n">
        <x:v>3919</x:v>
      </x:c>
      <x:c r="K2733" s="24" t="str">
        <x:v>-9.00 a +6.00</x:v>
      </x:c>
      <x:c r="L2733" s="24" t="str">
        <x:v>-4.00</x:v>
      </x:c>
      <x:c r="M2733" s="24" t="str">
        <x:v>1.00 a 3.50</x:v>
      </x:c>
      <x:c r="N2733" s="24" t="str">
        <x:v>75</x:v>
      </x:c>
      <x:c r="O2733" s="24"/>
      <x:c r="P2733" s="24"/>
      <x:c r="Q2733" s="24" t="str">
        <x:v>DISPONÍVEL</x:v>
      </x:c>
      <x:c r="R2733" s="24" t="str">
        <x:v>Programa de Parcerias ZEISS</x:v>
      </x:c>
      <x:c r="S2733" s="24" t="n">
        <x:v>45</x:v>
      </x:c>
      <x:c r="T2733" s="24" t="str">
        <x:v>tabela_zeiss.pdf</x:v>
      </x:c>
      <x:c r="U2733" s="24" t="str">
        <x:v>ZEISS|Progressiva|Surfaçada|Light 2 D|PhotoFusion X|1.5|1.50|DuraVision Platinum UV|-9.00 a +6.00|-4.00|1.00 a 3.50|75|||45</x:v>
      </x:c>
    </x:row>
    <x:row r="2734">
      <x:c r="A2734" s="24" t="str">
        <x:v>ZS-9BAF91E8AE5D</x:v>
      </x:c>
      <x:c r="B2734" s="24" t="str">
        <x:v>ZEISS</x:v>
      </x:c>
      <x:c r="C2734" s="24" t="str">
        <x:v>Progressiva</x:v>
      </x:c>
      <x:c r="D2734" s="24" t="str">
        <x:v>Surfaçada</x:v>
      </x:c>
      <x:c r="E2734" s="24" t="str">
        <x:v>Light 2 D</x:v>
      </x:c>
      <x:c r="F2734" s="24" t="str">
        <x:v>PhotoFusion X</x:v>
      </x:c>
      <x:c r="G2734" s="24" t="str">
        <x:v>1.5</x:v>
      </x:c>
      <x:c r="H2734" s="24" t="str">
        <x:v>1.50</x:v>
      </x:c>
      <x:c r="I2734" s="24" t="str">
        <x:v>DuraVision Silver UV</x:v>
      </x:c>
      <x:c r="J2734" s="40" t="n">
        <x:v>3659</x:v>
      </x:c>
      <x:c r="K2734" s="24" t="str">
        <x:v>-9.00 a +6.00</x:v>
      </x:c>
      <x:c r="L2734" s="24" t="str">
        <x:v>-4.00</x:v>
      </x:c>
      <x:c r="M2734" s="24" t="str">
        <x:v>1.00 a 3.50</x:v>
      </x:c>
      <x:c r="N2734" s="24" t="str">
        <x:v>75</x:v>
      </x:c>
      <x:c r="O2734" s="24"/>
      <x:c r="P2734" s="24"/>
      <x:c r="Q2734" s="24" t="str">
        <x:v>DISPONÍVEL</x:v>
      </x:c>
      <x:c r="R2734" s="24" t="str">
        <x:v>Programa de Parcerias ZEISS</x:v>
      </x:c>
      <x:c r="S2734" s="24" t="n">
        <x:v>45</x:v>
      </x:c>
      <x:c r="T2734" s="24" t="str">
        <x:v>tabela_zeiss.pdf</x:v>
      </x:c>
      <x:c r="U2734" s="24" t="str">
        <x:v>ZEISS|Progressiva|Surfaçada|Light 2 D|PhotoFusion X|1.5|1.50|DuraVision Silver UV|-9.00 a +6.00|-4.00|1.00 a 3.50|75|||45</x:v>
      </x:c>
    </x:row>
    <x:row r="2735">
      <x:c r="A2735" s="24" t="str">
        <x:v>ZS-3FEE4688CEA7</x:v>
      </x:c>
      <x:c r="B2735" s="24" t="str">
        <x:v>ZEISS</x:v>
      </x:c>
      <x:c r="C2735" s="24" t="str">
        <x:v>Progressiva</x:v>
      </x:c>
      <x:c r="D2735" s="24" t="str">
        <x:v>Surfaçada</x:v>
      </x:c>
      <x:c r="E2735" s="24" t="str">
        <x:v>Light 2 D</x:v>
      </x:c>
      <x:c r="F2735" s="24" t="str">
        <x:v>PhotoFusion X</x:v>
      </x:c>
      <x:c r="G2735" s="24" t="str">
        <x:v>1.5</x:v>
      </x:c>
      <x:c r="H2735" s="24" t="str">
        <x:v>1.50</x:v>
      </x:c>
      <x:c r="I2735" s="24" t="str">
        <x:v>DuraVision Chrome UV</x:v>
      </x:c>
      <x:c r="J2735" s="40" t="n">
        <x:v>3169</x:v>
      </x:c>
      <x:c r="K2735" s="24" t="str">
        <x:v>-9.00 a +6.00</x:v>
      </x:c>
      <x:c r="L2735" s="24" t="str">
        <x:v>-4.00</x:v>
      </x:c>
      <x:c r="M2735" s="24" t="str">
        <x:v>1.00 a 3.50</x:v>
      </x:c>
      <x:c r="N2735" s="24" t="str">
        <x:v>75</x:v>
      </x:c>
      <x:c r="O2735" s="24"/>
      <x:c r="P2735" s="24"/>
      <x:c r="Q2735" s="24" t="str">
        <x:v>DISPONÍVEL</x:v>
      </x:c>
      <x:c r="R2735" s="24" t="str">
        <x:v>Programa de Parcerias ZEISS</x:v>
      </x:c>
      <x:c r="S2735" s="24" t="n">
        <x:v>45</x:v>
      </x:c>
      <x:c r="T2735" s="24" t="str">
        <x:v>tabela_zeiss.pdf</x:v>
      </x:c>
      <x:c r="U2735" s="24" t="str">
        <x:v>ZEISS|Progressiva|Surfaçada|Light 2 D|PhotoFusion X|1.5|1.50|DuraVision Chrome UV|-9.00 a +6.00|-4.00|1.00 a 3.50|75|||45</x:v>
      </x:c>
    </x:row>
    <x:row r="2736">
      <x:c r="A2736" s="24" t="str">
        <x:v>ZS-C41B76FE9232</x:v>
      </x:c>
      <x:c r="B2736" s="24" t="str">
        <x:v>ZEISS</x:v>
      </x:c>
      <x:c r="C2736" s="24" t="str">
        <x:v>Progressiva</x:v>
      </x:c>
      <x:c r="D2736" s="24" t="str">
        <x:v>Surfaçada</x:v>
      </x:c>
      <x:c r="E2736" s="24" t="str">
        <x:v>Light 2 D</x:v>
      </x:c>
      <x:c r="F2736" s="24" t="str">
        <x:v>PhotoFusion X</x:v>
      </x:c>
      <x:c r="G2736" s="24" t="str">
        <x:v>1.5</x:v>
      </x:c>
      <x:c r="H2736" s="24" t="str">
        <x:v>1.50</x:v>
      </x:c>
      <x:c r="I2736" s="24" t="str">
        <x:v>Sem AR</x:v>
      </x:c>
      <x:c r="J2736" s="40" t="n">
        <x:v>2769</x:v>
      </x:c>
      <x:c r="K2736" s="24" t="str">
        <x:v>-9.00 a +6.00</x:v>
      </x:c>
      <x:c r="L2736" s="24" t="str">
        <x:v>-4.00</x:v>
      </x:c>
      <x:c r="M2736" s="24" t="str">
        <x:v>1.00 a 3.50</x:v>
      </x:c>
      <x:c r="N2736" s="24" t="str">
        <x:v>75</x:v>
      </x:c>
      <x:c r="O2736" s="24"/>
      <x:c r="P2736" s="24"/>
      <x:c r="Q2736" s="24" t="str">
        <x:v>DISPONÍVEL</x:v>
      </x:c>
      <x:c r="R2736" s="24" t="str">
        <x:v>Programa de Parcerias ZEISS</x:v>
      </x:c>
      <x:c r="S2736" s="24" t="n">
        <x:v>45</x:v>
      </x:c>
      <x:c r="T2736" s="24" t="str">
        <x:v>tabela_zeiss.pdf</x:v>
      </x:c>
      <x:c r="U2736" s="24" t="str">
        <x:v>ZEISS|Progressiva|Surfaçada|Light 2 D|PhotoFusion X|1.5|1.50|Sem AR|-9.00 a +6.00|-4.00|1.00 a 3.50|75|||45</x:v>
      </x:c>
    </x:row>
    <x:row r="2737">
      <x:c r="A2737" s="24" t="str">
        <x:v>ZS-E24F73AFABDA</x:v>
      </x:c>
      <x:c r="B2737" s="24" t="str">
        <x:v>ZEISS</x:v>
      </x:c>
      <x:c r="C2737" s="24" t="str">
        <x:v>Progressiva</x:v>
      </x:c>
      <x:c r="D2737" s="24" t="str">
        <x:v>Surfaçada</x:v>
      </x:c>
      <x:c r="E2737" s="24" t="str">
        <x:v>Light 2 D</x:v>
      </x:c>
      <x:c r="F2737" s="24" t="str">
        <x:v>PhotoFusion X</x:v>
      </x:c>
      <x:c r="G2737" s="24" t="str">
        <x:v>Poli</x:v>
      </x:c>
      <x:c r="H2737" s="24"/>
      <x:c r="I2737" s="24" t="str">
        <x:v>DuraVision Gold UV</x:v>
      </x:c>
      <x:c r="J2737" s="40" t="n">
        <x:v>4419</x:v>
      </x:c>
      <x:c r="K2737" s="24" t="str">
        <x:v>-10.00 a +6.00</x:v>
      </x:c>
      <x:c r="L2737" s="24" t="str">
        <x:v>-4.00</x:v>
      </x:c>
      <x:c r="M2737" s="24" t="str">
        <x:v>1.00 a 3.00</x:v>
      </x:c>
      <x:c r="N2737" s="24" t="str">
        <x:v>72</x:v>
      </x:c>
      <x:c r="O2737" s="24"/>
      <x:c r="P2737" s="24"/>
      <x:c r="Q2737" s="24" t="str">
        <x:v>DISPONÍVEL</x:v>
      </x:c>
      <x:c r="R2737" s="24" t="str">
        <x:v>Programa de Parcerias ZEISS</x:v>
      </x:c>
      <x:c r="S2737" s="24" t="n">
        <x:v>45</x:v>
      </x:c>
      <x:c r="T2737" s="24" t="str">
        <x:v>tabela_zeiss.pdf</x:v>
      </x:c>
      <x:c r="U2737" s="24" t="str">
        <x:v>ZEISS|Progressiva|Surfaçada|Light 2 D|PhotoFusion X|Poli||DuraVision Gold UV|-10.00 a +6.00|-4.00|1.00 a 3.00|72|||45</x:v>
      </x:c>
    </x:row>
    <x:row r="2738">
      <x:c r="A2738" s="24" t="str">
        <x:v>ZS-28F6B75E21C4</x:v>
      </x:c>
      <x:c r="B2738" s="24" t="str">
        <x:v>ZEISS</x:v>
      </x:c>
      <x:c r="C2738" s="24" t="str">
        <x:v>Progressiva</x:v>
      </x:c>
      <x:c r="D2738" s="24" t="str">
        <x:v>Surfaçada</x:v>
      </x:c>
      <x:c r="E2738" s="24" t="str">
        <x:v>Light 2 D</x:v>
      </x:c>
      <x:c r="F2738" s="24" t="str">
        <x:v>PhotoFusion X</x:v>
      </x:c>
      <x:c r="G2738" s="24" t="str">
        <x:v>Poli</x:v>
      </x:c>
      <x:c r="H2738" s="24"/>
      <x:c r="I2738" s="24" t="str">
        <x:v>DuraVision Platinum UV</x:v>
      </x:c>
      <x:c r="J2738" s="40" t="n">
        <x:v>4279</x:v>
      </x:c>
      <x:c r="K2738" s="24" t="str">
        <x:v>-10.00 a +6.00</x:v>
      </x:c>
      <x:c r="L2738" s="24" t="str">
        <x:v>-4.00</x:v>
      </x:c>
      <x:c r="M2738" s="24" t="str">
        <x:v>1.00 a 3.00</x:v>
      </x:c>
      <x:c r="N2738" s="24" t="str">
        <x:v>72</x:v>
      </x:c>
      <x:c r="O2738" s="24"/>
      <x:c r="P2738" s="24"/>
      <x:c r="Q2738" s="24" t="str">
        <x:v>DISPONÍVEL</x:v>
      </x:c>
      <x:c r="R2738" s="24" t="str">
        <x:v>Programa de Parcerias ZEISS</x:v>
      </x:c>
      <x:c r="S2738" s="24" t="n">
        <x:v>45</x:v>
      </x:c>
      <x:c r="T2738" s="24" t="str">
        <x:v>tabela_zeiss.pdf</x:v>
      </x:c>
      <x:c r="U2738" s="24" t="str">
        <x:v>ZEISS|Progressiva|Surfaçada|Light 2 D|PhotoFusion X|Poli||DuraVision Platinum UV|-10.00 a +6.00|-4.00|1.00 a 3.00|72|||45</x:v>
      </x:c>
    </x:row>
    <x:row r="2739">
      <x:c r="A2739" s="24" t="str">
        <x:v>ZS-9EDADE7A3438</x:v>
      </x:c>
      <x:c r="B2739" s="24" t="str">
        <x:v>ZEISS</x:v>
      </x:c>
      <x:c r="C2739" s="24" t="str">
        <x:v>Progressiva</x:v>
      </x:c>
      <x:c r="D2739" s="24" t="str">
        <x:v>Surfaçada</x:v>
      </x:c>
      <x:c r="E2739" s="24" t="str">
        <x:v>Light 2 D</x:v>
      </x:c>
      <x:c r="F2739" s="24" t="str">
        <x:v>PhotoFusion X</x:v>
      </x:c>
      <x:c r="G2739" s="24" t="str">
        <x:v>Poli</x:v>
      </x:c>
      <x:c r="H2739" s="24"/>
      <x:c r="I2739" s="24" t="str">
        <x:v>DuraVision Silver UV</x:v>
      </x:c>
      <x:c r="J2739" s="40" t="n">
        <x:v>4019</x:v>
      </x:c>
      <x:c r="K2739" s="24" t="str">
        <x:v>-10.00 a +6.00</x:v>
      </x:c>
      <x:c r="L2739" s="24" t="str">
        <x:v>-4.00</x:v>
      </x:c>
      <x:c r="M2739" s="24" t="str">
        <x:v>1.00 a 3.00</x:v>
      </x:c>
      <x:c r="N2739" s="24" t="str">
        <x:v>72</x:v>
      </x:c>
      <x:c r="O2739" s="24"/>
      <x:c r="P2739" s="24"/>
      <x:c r="Q2739" s="24" t="str">
        <x:v>DISPONÍVEL</x:v>
      </x:c>
      <x:c r="R2739" s="24" t="str">
        <x:v>Programa de Parcerias ZEISS</x:v>
      </x:c>
      <x:c r="S2739" s="24" t="n">
        <x:v>45</x:v>
      </x:c>
      <x:c r="T2739" s="24" t="str">
        <x:v>tabela_zeiss.pdf</x:v>
      </x:c>
      <x:c r="U2739" s="24" t="str">
        <x:v>ZEISS|Progressiva|Surfaçada|Light 2 D|PhotoFusion X|Poli||DuraVision Silver UV|-10.00 a +6.00|-4.00|1.00 a 3.00|72|||45</x:v>
      </x:c>
    </x:row>
    <x:row r="2740">
      <x:c r="A2740" s="24" t="str">
        <x:v>ZS-9CAE11F09EAF</x:v>
      </x:c>
      <x:c r="B2740" s="24" t="str">
        <x:v>ZEISS</x:v>
      </x:c>
      <x:c r="C2740" s="24" t="str">
        <x:v>Progressiva</x:v>
      </x:c>
      <x:c r="D2740" s="24" t="str">
        <x:v>Surfaçada</x:v>
      </x:c>
      <x:c r="E2740" s="24" t="str">
        <x:v>Light 2 D</x:v>
      </x:c>
      <x:c r="F2740" s="24" t="str">
        <x:v>PhotoFusion X</x:v>
      </x:c>
      <x:c r="G2740" s="24" t="str">
        <x:v>Poli</x:v>
      </x:c>
      <x:c r="H2740" s="24"/>
      <x:c r="I2740" s="24" t="str">
        <x:v>DuraVision Chrome UV</x:v>
      </x:c>
      <x:c r="J2740" s="40" t="n">
        <x:v>3529</x:v>
      </x:c>
      <x:c r="K2740" s="24" t="str">
        <x:v>-10.00 a +6.00</x:v>
      </x:c>
      <x:c r="L2740" s="24" t="str">
        <x:v>-4.00</x:v>
      </x:c>
      <x:c r="M2740" s="24" t="str">
        <x:v>1.00 a 3.00</x:v>
      </x:c>
      <x:c r="N2740" s="24" t="str">
        <x:v>72</x:v>
      </x:c>
      <x:c r="O2740" s="24"/>
      <x:c r="P2740" s="24"/>
      <x:c r="Q2740" s="24" t="str">
        <x:v>DISPONÍVEL</x:v>
      </x:c>
      <x:c r="R2740" s="24" t="str">
        <x:v>Programa de Parcerias ZEISS</x:v>
      </x:c>
      <x:c r="S2740" s="24" t="n">
        <x:v>45</x:v>
      </x:c>
      <x:c r="T2740" s="24" t="str">
        <x:v>tabela_zeiss.pdf</x:v>
      </x:c>
      <x:c r="U2740" s="24" t="str">
        <x:v>ZEISS|Progressiva|Surfaçada|Light 2 D|PhotoFusion X|Poli||DuraVision Chrome UV|-10.00 a +6.00|-4.00|1.00 a 3.00|72|||45</x:v>
      </x:c>
    </x:row>
    <x:row r="2741">
      <x:c r="A2741" s="24" t="str">
        <x:v>ZS-B411D8D76BDE</x:v>
      </x:c>
      <x:c r="B2741" s="24" t="str">
        <x:v>ZEISS</x:v>
      </x:c>
      <x:c r="C2741" s="24" t="str">
        <x:v>Progressiva</x:v>
      </x:c>
      <x:c r="D2741" s="24" t="str">
        <x:v>Surfaçada</x:v>
      </x:c>
      <x:c r="E2741" s="24" t="str">
        <x:v>Light 2 D</x:v>
      </x:c>
      <x:c r="F2741" s="24" t="str">
        <x:v>PhotoFusion X</x:v>
      </x:c>
      <x:c r="G2741" s="24" t="str">
        <x:v>Poli</x:v>
      </x:c>
      <x:c r="H2741" s="24"/>
      <x:c r="I2741" s="24" t="str">
        <x:v>Sem AR</x:v>
      </x:c>
      <x:c r="J2741" s="40" t="n">
        <x:v>3129</x:v>
      </x:c>
      <x:c r="K2741" s="24" t="str">
        <x:v>-10.00 a +6.00</x:v>
      </x:c>
      <x:c r="L2741" s="24" t="str">
        <x:v>-4.00</x:v>
      </x:c>
      <x:c r="M2741" s="24" t="str">
        <x:v>1.00 a 3.00</x:v>
      </x:c>
      <x:c r="N2741" s="24" t="str">
        <x:v>72</x:v>
      </x:c>
      <x:c r="O2741" s="24"/>
      <x:c r="P2741" s="24"/>
      <x:c r="Q2741" s="24" t="str">
        <x:v>DISPONÍVEL</x:v>
      </x:c>
      <x:c r="R2741" s="24" t="str">
        <x:v>Programa de Parcerias ZEISS</x:v>
      </x:c>
      <x:c r="S2741" s="24" t="n">
        <x:v>45</x:v>
      </x:c>
      <x:c r="T2741" s="24" t="str">
        <x:v>tabela_zeiss.pdf</x:v>
      </x:c>
      <x:c r="U2741" s="24" t="str">
        <x:v>ZEISS|Progressiva|Surfaçada|Light 2 D|PhotoFusion X|Poli||Sem AR|-10.00 a +6.00|-4.00|1.00 a 3.00|72|||45</x:v>
      </x:c>
    </x:row>
    <x:row r="2742">
      <x:c r="A2742" s="24" t="str">
        <x:v>ZS-56496DD113C1</x:v>
      </x:c>
      <x:c r="B2742" s="24" t="str">
        <x:v>ZEISS</x:v>
      </x:c>
      <x:c r="C2742" s="24" t="str">
        <x:v>Progressiva</x:v>
      </x:c>
      <x:c r="D2742" s="24" t="str">
        <x:v>Surfaçada</x:v>
      </x:c>
      <x:c r="E2742" s="24" t="str">
        <x:v>Light 2 D</x:v>
      </x:c>
      <x:c r="F2742" s="24" t="str">
        <x:v>PhotoFusion X</x:v>
      </x:c>
      <x:c r="G2742" s="24" t="str">
        <x:v>1.6</x:v>
      </x:c>
      <x:c r="H2742" s="24" t="str">
        <x:v>1.60</x:v>
      </x:c>
      <x:c r="I2742" s="24" t="str">
        <x:v>DuraVision Gold UV</x:v>
      </x:c>
      <x:c r="J2742" s="40" t="n">
        <x:v>4639</x:v>
      </x:c>
      <x:c r="K2742" s="24" t="str">
        <x:v>-9.00 a +6.00</x:v>
      </x:c>
      <x:c r="L2742" s="24" t="str">
        <x:v>-4.00</x:v>
      </x:c>
      <x:c r="M2742" s="24" t="str">
        <x:v>1.00 a 3.50</x:v>
      </x:c>
      <x:c r="N2742" s="24" t="str">
        <x:v>75</x:v>
      </x:c>
      <x:c r="O2742" s="24"/>
      <x:c r="P2742" s="24"/>
      <x:c r="Q2742" s="24" t="str">
        <x:v>DISPONÍVEL</x:v>
      </x:c>
      <x:c r="R2742" s="24" t="str">
        <x:v>Programa de Parcerias ZEISS</x:v>
      </x:c>
      <x:c r="S2742" s="24" t="n">
        <x:v>45</x:v>
      </x:c>
      <x:c r="T2742" s="24" t="str">
        <x:v>tabela_zeiss.pdf</x:v>
      </x:c>
      <x:c r="U2742" s="24" t="str">
        <x:v>ZEISS|Progressiva|Surfaçada|Light 2 D|PhotoFusion X|1.6|1.60|DuraVision Gold UV|-9.00 a +6.00|-4.00|1.00 a 3.50|75|||45</x:v>
      </x:c>
    </x:row>
    <x:row r="2743">
      <x:c r="A2743" s="24" t="str">
        <x:v>ZS-E70AA6E4478C</x:v>
      </x:c>
      <x:c r="B2743" s="24" t="str">
        <x:v>ZEISS</x:v>
      </x:c>
      <x:c r="C2743" s="24" t="str">
        <x:v>Progressiva</x:v>
      </x:c>
      <x:c r="D2743" s="24" t="str">
        <x:v>Surfaçada</x:v>
      </x:c>
      <x:c r="E2743" s="24" t="str">
        <x:v>Light 2 D</x:v>
      </x:c>
      <x:c r="F2743" s="24" t="str">
        <x:v>PhotoFusion X</x:v>
      </x:c>
      <x:c r="G2743" s="24" t="str">
        <x:v>1.6</x:v>
      </x:c>
      <x:c r="H2743" s="24" t="str">
        <x:v>1.60</x:v>
      </x:c>
      <x:c r="I2743" s="24" t="str">
        <x:v>DURAVISION® ANTIVÍRUS PLATINUM UV</x:v>
      </x:c>
      <x:c r="J2743" s="40" t="n">
        <x:v>4499</x:v>
      </x:c>
      <x:c r="K2743" s="24" t="str">
        <x:v>-9.00 a +6.00</x:v>
      </x:c>
      <x:c r="L2743" s="24" t="str">
        <x:v>-4.00</x:v>
      </x:c>
      <x:c r="M2743" s="24" t="str">
        <x:v>1.00 a 3.50</x:v>
      </x:c>
      <x:c r="N2743" s="24" t="str">
        <x:v>75</x:v>
      </x:c>
      <x:c r="O2743" s="24"/>
      <x:c r="P2743" s="24"/>
      <x:c r="Q2743" s="24" t="str">
        <x:v>DISPONÍVEL</x:v>
      </x:c>
      <x:c r="R2743" s="24" t="str">
        <x:v>Programa de Parcerias ZEISS</x:v>
      </x:c>
      <x:c r="S2743" s="24" t="n">
        <x:v>45</x:v>
      </x:c>
      <x:c r="T2743" s="24" t="str">
        <x:v>tabela_zeiss.pdf</x:v>
      </x:c>
      <x:c r="U2743" s="24" t="str">
        <x:v>ZEISS|Progressiva|Surfaçada|Light 2 D|PhotoFusion X|1.6|1.60|DURAVISION® ANTIVÍRUS PLATINUM UV|-9.00 a +6.00|-4.00|1.00 a 3.50|75|||45</x:v>
      </x:c>
    </x:row>
    <x:row r="2744">
      <x:c r="A2744" s="24" t="str">
        <x:v>ZS-C12A36E5373B</x:v>
      </x:c>
      <x:c r="B2744" s="24" t="str">
        <x:v>ZEISS</x:v>
      </x:c>
      <x:c r="C2744" s="24" t="str">
        <x:v>Progressiva</x:v>
      </x:c>
      <x:c r="D2744" s="24" t="str">
        <x:v>Surfaçada</x:v>
      </x:c>
      <x:c r="E2744" s="24" t="str">
        <x:v>Light 2 D</x:v>
      </x:c>
      <x:c r="F2744" s="24" t="str">
        <x:v>PhotoFusion X</x:v>
      </x:c>
      <x:c r="G2744" s="24" t="str">
        <x:v>1.6</x:v>
      </x:c>
      <x:c r="H2744" s="24" t="str">
        <x:v>1.60</x:v>
      </x:c>
      <x:c r="I2744" s="24" t="str">
        <x:v>DuraVision Platinum UV</x:v>
      </x:c>
      <x:c r="J2744" s="40" t="n">
        <x:v>4499</x:v>
      </x:c>
      <x:c r="K2744" s="24" t="str">
        <x:v>-9.00 a +6.00</x:v>
      </x:c>
      <x:c r="L2744" s="24" t="str">
        <x:v>-4.00</x:v>
      </x:c>
      <x:c r="M2744" s="24" t="str">
        <x:v>1.00 a 3.50</x:v>
      </x:c>
      <x:c r="N2744" s="24" t="str">
        <x:v>75</x:v>
      </x:c>
      <x:c r="O2744" s="24"/>
      <x:c r="P2744" s="24"/>
      <x:c r="Q2744" s="24" t="str">
        <x:v>DISPONÍVEL</x:v>
      </x:c>
      <x:c r="R2744" s="24" t="str">
        <x:v>Programa de Parcerias ZEISS</x:v>
      </x:c>
      <x:c r="S2744" s="24" t="n">
        <x:v>45</x:v>
      </x:c>
      <x:c r="T2744" s="24" t="str">
        <x:v>tabela_zeiss.pdf</x:v>
      </x:c>
      <x:c r="U2744" s="24" t="str">
        <x:v>ZEISS|Progressiva|Surfaçada|Light 2 D|PhotoFusion X|1.6|1.60|DuraVision Platinum UV|-9.00 a +6.00|-4.00|1.00 a 3.50|75|||45</x:v>
      </x:c>
    </x:row>
    <x:row r="2745">
      <x:c r="A2745" s="24" t="str">
        <x:v>ZS-A2ED1A1BE8E2</x:v>
      </x:c>
      <x:c r="B2745" s="24" t="str">
        <x:v>ZEISS</x:v>
      </x:c>
      <x:c r="C2745" s="24" t="str">
        <x:v>Progressiva</x:v>
      </x:c>
      <x:c r="D2745" s="24" t="str">
        <x:v>Surfaçada</x:v>
      </x:c>
      <x:c r="E2745" s="24" t="str">
        <x:v>Light 2 D</x:v>
      </x:c>
      <x:c r="F2745" s="24" t="str">
        <x:v>PhotoFusion X</x:v>
      </x:c>
      <x:c r="G2745" s="24" t="str">
        <x:v>1.6</x:v>
      </x:c>
      <x:c r="H2745" s="24" t="str">
        <x:v>1.60</x:v>
      </x:c>
      <x:c r="I2745" s="24" t="str">
        <x:v>DuraVision Silver UV</x:v>
      </x:c>
      <x:c r="J2745" s="40" t="n">
        <x:v>4239</x:v>
      </x:c>
      <x:c r="K2745" s="24" t="str">
        <x:v>-9.00 a +6.00</x:v>
      </x:c>
      <x:c r="L2745" s="24" t="str">
        <x:v>-4.00</x:v>
      </x:c>
      <x:c r="M2745" s="24" t="str">
        <x:v>1.00 a 3.50</x:v>
      </x:c>
      <x:c r="N2745" s="24" t="str">
        <x:v>75</x:v>
      </x:c>
      <x:c r="O2745" s="24"/>
      <x:c r="P2745" s="24"/>
      <x:c r="Q2745" s="24" t="str">
        <x:v>DISPONÍVEL</x:v>
      </x:c>
      <x:c r="R2745" s="24" t="str">
        <x:v>Programa de Parcerias ZEISS</x:v>
      </x:c>
      <x:c r="S2745" s="24" t="n">
        <x:v>45</x:v>
      </x:c>
      <x:c r="T2745" s="24" t="str">
        <x:v>tabela_zeiss.pdf</x:v>
      </x:c>
      <x:c r="U2745" s="24" t="str">
        <x:v>ZEISS|Progressiva|Surfaçada|Light 2 D|PhotoFusion X|1.6|1.60|DuraVision Silver UV|-9.00 a +6.00|-4.00|1.00 a 3.50|75|||45</x:v>
      </x:c>
    </x:row>
    <x:row r="2746">
      <x:c r="A2746" s="24" t="str">
        <x:v>ZS-4B65CEBD126B</x:v>
      </x:c>
      <x:c r="B2746" s="24" t="str">
        <x:v>ZEISS</x:v>
      </x:c>
      <x:c r="C2746" s="24" t="str">
        <x:v>Progressiva</x:v>
      </x:c>
      <x:c r="D2746" s="24" t="str">
        <x:v>Surfaçada</x:v>
      </x:c>
      <x:c r="E2746" s="24" t="str">
        <x:v>Light 2 D</x:v>
      </x:c>
      <x:c r="F2746" s="24" t="str">
        <x:v>PhotoFusion X</x:v>
      </x:c>
      <x:c r="G2746" s="24" t="str">
        <x:v>1.6</x:v>
      </x:c>
      <x:c r="H2746" s="24" t="str">
        <x:v>1.60</x:v>
      </x:c>
      <x:c r="I2746" s="24" t="str">
        <x:v>DuraVision Chrome UV</x:v>
      </x:c>
      <x:c r="J2746" s="40" t="n">
        <x:v>3749</x:v>
      </x:c>
      <x:c r="K2746" s="24" t="str">
        <x:v>-9.00 a +6.00</x:v>
      </x:c>
      <x:c r="L2746" s="24" t="str">
        <x:v>-4.00</x:v>
      </x:c>
      <x:c r="M2746" s="24" t="str">
        <x:v>1.00 a 3.50</x:v>
      </x:c>
      <x:c r="N2746" s="24" t="str">
        <x:v>75</x:v>
      </x:c>
      <x:c r="O2746" s="24"/>
      <x:c r="P2746" s="24"/>
      <x:c r="Q2746" s="24" t="str">
        <x:v>DISPONÍVEL</x:v>
      </x:c>
      <x:c r="R2746" s="24" t="str">
        <x:v>Programa de Parcerias ZEISS</x:v>
      </x:c>
      <x:c r="S2746" s="24" t="n">
        <x:v>45</x:v>
      </x:c>
      <x:c r="T2746" s="24" t="str">
        <x:v>tabela_zeiss.pdf</x:v>
      </x:c>
      <x:c r="U2746" s="24" t="str">
        <x:v>ZEISS|Progressiva|Surfaçada|Light 2 D|PhotoFusion X|1.6|1.60|DuraVision Chrome UV|-9.00 a +6.00|-4.00|1.00 a 3.50|75|||45</x:v>
      </x:c>
    </x:row>
    <x:row r="2747">
      <x:c r="A2747" s="24" t="str">
        <x:v>ZS-36D5182CEE06</x:v>
      </x:c>
      <x:c r="B2747" s="24" t="str">
        <x:v>ZEISS</x:v>
      </x:c>
      <x:c r="C2747" s="24" t="str">
        <x:v>Progressiva</x:v>
      </x:c>
      <x:c r="D2747" s="24" t="str">
        <x:v>Surfaçada</x:v>
      </x:c>
      <x:c r="E2747" s="24" t="str">
        <x:v>Light 2 D</x:v>
      </x:c>
      <x:c r="F2747" s="24" t="str">
        <x:v>PhotoFusion X</x:v>
      </x:c>
      <x:c r="G2747" s="24" t="str">
        <x:v>1.67</x:v>
      </x:c>
      <x:c r="H2747" s="24" t="str">
        <x:v>1.67</x:v>
      </x:c>
      <x:c r="I2747" s="24" t="str">
        <x:v>DuraVision Gold UV</x:v>
      </x:c>
      <x:c r="J2747" s="40" t="n">
        <x:v>5939</x:v>
      </x:c>
      <x:c r="K2747" s="24" t="str">
        <x:v>-10.00 a +6.00</x:v>
      </x:c>
      <x:c r="L2747" s="24" t="str">
        <x:v>-4.00</x:v>
      </x:c>
      <x:c r="M2747" s="24" t="str">
        <x:v>1.00 a 3.00</x:v>
      </x:c>
      <x:c r="N2747" s="24" t="str">
        <x:v>75</x:v>
      </x:c>
      <x:c r="O2747" s="24"/>
      <x:c r="P2747" s="24"/>
      <x:c r="Q2747" s="24" t="str">
        <x:v>DISPONÍVEL</x:v>
      </x:c>
      <x:c r="R2747" s="24" t="str">
        <x:v>Programa de Parcerias ZEISS</x:v>
      </x:c>
      <x:c r="S2747" s="24" t="n">
        <x:v>45</x:v>
      </x:c>
      <x:c r="T2747" s="24" t="str">
        <x:v>tabela_zeiss.pdf</x:v>
      </x:c>
      <x:c r="U2747" s="24" t="str">
        <x:v>ZEISS|Progressiva|Surfaçada|Light 2 D|PhotoFusion X|1.67|1.67|DuraVision Gold UV|-10.00 a +6.00|-4.00|1.00 a 3.00|75|||45</x:v>
      </x:c>
    </x:row>
    <x:row r="2748">
      <x:c r="A2748" s="24" t="str">
        <x:v>ZS-9972B3D0F4D5</x:v>
      </x:c>
      <x:c r="B2748" s="24" t="str">
        <x:v>ZEISS</x:v>
      </x:c>
      <x:c r="C2748" s="24" t="str">
        <x:v>Progressiva</x:v>
      </x:c>
      <x:c r="D2748" s="24" t="str">
        <x:v>Surfaçada</x:v>
      </x:c>
      <x:c r="E2748" s="24" t="str">
        <x:v>Light 2 D</x:v>
      </x:c>
      <x:c r="F2748" s="24" t="str">
        <x:v>PhotoFusion X</x:v>
      </x:c>
      <x:c r="G2748" s="24" t="str">
        <x:v>1.67</x:v>
      </x:c>
      <x:c r="H2748" s="24" t="str">
        <x:v>1.67</x:v>
      </x:c>
      <x:c r="I2748" s="24" t="str">
        <x:v>DURAVISION® ANTIVÍRUS PLATINUM UV</x:v>
      </x:c>
      <x:c r="J2748" s="40" t="n">
        <x:v>5799</x:v>
      </x:c>
      <x:c r="K2748" s="24" t="str">
        <x:v>-10.00 a +6.00</x:v>
      </x:c>
      <x:c r="L2748" s="24" t="str">
        <x:v>-4.00</x:v>
      </x:c>
      <x:c r="M2748" s="24" t="str">
        <x:v>1.00 a 3.00</x:v>
      </x:c>
      <x:c r="N2748" s="24" t="str">
        <x:v>75</x:v>
      </x:c>
      <x:c r="O2748" s="24"/>
      <x:c r="P2748" s="24"/>
      <x:c r="Q2748" s="24" t="str">
        <x:v>DISPONÍVEL</x:v>
      </x:c>
      <x:c r="R2748" s="24" t="str">
        <x:v>Programa de Parcerias ZEISS</x:v>
      </x:c>
      <x:c r="S2748" s="24" t="n">
        <x:v>45</x:v>
      </x:c>
      <x:c r="T2748" s="24" t="str">
        <x:v>tabela_zeiss.pdf</x:v>
      </x:c>
      <x:c r="U2748" s="24" t="str">
        <x:v>ZEISS|Progressiva|Surfaçada|Light 2 D|PhotoFusion X|1.67|1.67|DURAVISION® ANTIVÍRUS PLATINUM UV|-10.00 a +6.00|-4.00|1.00 a 3.00|75|||45</x:v>
      </x:c>
    </x:row>
    <x:row r="2749">
      <x:c r="A2749" s="24" t="str">
        <x:v>ZS-03ACE45FA2CF</x:v>
      </x:c>
      <x:c r="B2749" s="24" t="str">
        <x:v>ZEISS</x:v>
      </x:c>
      <x:c r="C2749" s="24" t="str">
        <x:v>Progressiva</x:v>
      </x:c>
      <x:c r="D2749" s="24" t="str">
        <x:v>Surfaçada</x:v>
      </x:c>
      <x:c r="E2749" s="24" t="str">
        <x:v>Light 2 D</x:v>
      </x:c>
      <x:c r="F2749" s="24" t="str">
        <x:v>PhotoFusion X</x:v>
      </x:c>
      <x:c r="G2749" s="24" t="str">
        <x:v>1.67</x:v>
      </x:c>
      <x:c r="H2749" s="24" t="str">
        <x:v>1.67</x:v>
      </x:c>
      <x:c r="I2749" s="24" t="str">
        <x:v>DuraVision Platinum UV</x:v>
      </x:c>
      <x:c r="J2749" s="40" t="n">
        <x:v>5799</x:v>
      </x:c>
      <x:c r="K2749" s="24" t="str">
        <x:v>-10.00 a +6.00</x:v>
      </x:c>
      <x:c r="L2749" s="24" t="str">
        <x:v>-4.00</x:v>
      </x:c>
      <x:c r="M2749" s="24" t="str">
        <x:v>1.00 a 3.00</x:v>
      </x:c>
      <x:c r="N2749" s="24" t="str">
        <x:v>75</x:v>
      </x:c>
      <x:c r="O2749" s="24"/>
      <x:c r="P2749" s="24"/>
      <x:c r="Q2749" s="24" t="str">
        <x:v>DISPONÍVEL</x:v>
      </x:c>
      <x:c r="R2749" s="24" t="str">
        <x:v>Programa de Parcerias ZEISS</x:v>
      </x:c>
      <x:c r="S2749" s="24" t="n">
        <x:v>45</x:v>
      </x:c>
      <x:c r="T2749" s="24" t="str">
        <x:v>tabela_zeiss.pdf</x:v>
      </x:c>
      <x:c r="U2749" s="24" t="str">
        <x:v>ZEISS|Progressiva|Surfaçada|Light 2 D|PhotoFusion X|1.67|1.67|DuraVision Platinum UV|-10.00 a +6.00|-4.00|1.00 a 3.00|75|||45</x:v>
      </x:c>
    </x:row>
    <x:row r="2750">
      <x:c r="A2750" s="24" t="str">
        <x:v>ZS-481C49C33850</x:v>
      </x:c>
      <x:c r="B2750" s="24" t="str">
        <x:v>ZEISS</x:v>
      </x:c>
      <x:c r="C2750" s="24" t="str">
        <x:v>Progressiva</x:v>
      </x:c>
      <x:c r="D2750" s="24" t="str">
        <x:v>Surfaçada</x:v>
      </x:c>
      <x:c r="E2750" s="24" t="str">
        <x:v>Light 2 D</x:v>
      </x:c>
      <x:c r="F2750" s="24" t="str">
        <x:v>PhotoFusion X</x:v>
      </x:c>
      <x:c r="G2750" s="24" t="str">
        <x:v>1.67</x:v>
      </x:c>
      <x:c r="H2750" s="24" t="str">
        <x:v>1.67</x:v>
      </x:c>
      <x:c r="I2750" s="24" t="str">
        <x:v>DuraVision Silver UV</x:v>
      </x:c>
      <x:c r="J2750" s="40" t="n">
        <x:v>5539</x:v>
      </x:c>
      <x:c r="K2750" s="24" t="str">
        <x:v>-10.00 a +6.00</x:v>
      </x:c>
      <x:c r="L2750" s="24" t="str">
        <x:v>-4.00</x:v>
      </x:c>
      <x:c r="M2750" s="24" t="str">
        <x:v>1.00 a 3.00</x:v>
      </x:c>
      <x:c r="N2750" s="24" t="str">
        <x:v>75</x:v>
      </x:c>
      <x:c r="O2750" s="24"/>
      <x:c r="P2750" s="24"/>
      <x:c r="Q2750" s="24" t="str">
        <x:v>DISPONÍVEL</x:v>
      </x:c>
      <x:c r="R2750" s="24" t="str">
        <x:v>Programa de Parcerias ZEISS</x:v>
      </x:c>
      <x:c r="S2750" s="24" t="n">
        <x:v>45</x:v>
      </x:c>
      <x:c r="T2750" s="24" t="str">
        <x:v>tabela_zeiss.pdf</x:v>
      </x:c>
      <x:c r="U2750" s="24" t="str">
        <x:v>ZEISS|Progressiva|Surfaçada|Light 2 D|PhotoFusion X|1.67|1.67|DuraVision Silver UV|-10.00 a +6.00|-4.00|1.00 a 3.00|75|||45</x:v>
      </x:c>
    </x:row>
    <x:row r="2751">
      <x:c r="A2751" s="24" t="str">
        <x:v>ZS-C9B984C7C546</x:v>
      </x:c>
      <x:c r="B2751" s="24" t="str">
        <x:v>ZEISS</x:v>
      </x:c>
      <x:c r="C2751" s="24" t="str">
        <x:v>Progressiva</x:v>
      </x:c>
      <x:c r="D2751" s="24" t="str">
        <x:v>Surfaçada</x:v>
      </x:c>
      <x:c r="E2751" s="24" t="str">
        <x:v>Light 2 D</x:v>
      </x:c>
      <x:c r="F2751" s="24" t="str">
        <x:v>PhotoFusion X</x:v>
      </x:c>
      <x:c r="G2751" s="24" t="str">
        <x:v>1.67</x:v>
      </x:c>
      <x:c r="H2751" s="24" t="str">
        <x:v>1.67</x:v>
      </x:c>
      <x:c r="I2751" s="24" t="str">
        <x:v>DuraVision Chrome UV</x:v>
      </x:c>
      <x:c r="J2751" s="40" t="n">
        <x:v>5049</x:v>
      </x:c>
      <x:c r="K2751" s="24" t="str">
        <x:v>-10.00 a +6.00</x:v>
      </x:c>
      <x:c r="L2751" s="24" t="str">
        <x:v>-4.00</x:v>
      </x:c>
      <x:c r="M2751" s="24" t="str">
        <x:v>1.00 a 3.00</x:v>
      </x:c>
      <x:c r="N2751" s="24" t="str">
        <x:v>75</x:v>
      </x:c>
      <x:c r="O2751" s="24"/>
      <x:c r="P2751" s="24"/>
      <x:c r="Q2751" s="24" t="str">
        <x:v>DISPONÍVEL</x:v>
      </x:c>
      <x:c r="R2751" s="24" t="str">
        <x:v>Programa de Parcerias ZEISS</x:v>
      </x:c>
      <x:c r="S2751" s="24" t="n">
        <x:v>45</x:v>
      </x:c>
      <x:c r="T2751" s="24" t="str">
        <x:v>tabela_zeiss.pdf</x:v>
      </x:c>
      <x:c r="U2751" s="24" t="str">
        <x:v>ZEISS|Progressiva|Surfaçada|Light 2 D|PhotoFusion X|1.67|1.67|DuraVision Chrome UV|-10.00 a +6.00|-4.00|1.00 a 3.00|75|||45</x:v>
      </x:c>
    </x:row>
    <x:row r="2752">
      <x:c r="A2752" s="24" t="str">
        <x:v>ZS-5513D25E4622</x:v>
      </x:c>
      <x:c r="B2752" s="24" t="str">
        <x:v>ZEISS</x:v>
      </x:c>
      <x:c r="C2752" s="24" t="str">
        <x:v>Progressiva</x:v>
      </x:c>
      <x:c r="D2752" s="24" t="str">
        <x:v>Surfaçada</x:v>
      </x:c>
      <x:c r="E2752" s="24" t="str">
        <x:v>Light 2 D</x:v>
      </x:c>
      <x:c r="F2752" s="24" t="str">
        <x:v>PhotoFusion X Extra Dark Cinza</x:v>
      </x:c>
      <x:c r="G2752" s="24" t="str">
        <x:v>1.5</x:v>
      </x:c>
      <x:c r="H2752" s="24" t="str">
        <x:v>1.50</x:v>
      </x:c>
      <x:c r="I2752" s="24" t="str">
        <x:v>DuraVision Gold UV</x:v>
      </x:c>
      <x:c r="J2752" s="40" t="n">
        <x:v>4109</x:v>
      </x:c>
      <x:c r="K2752" s="24" t="str">
        <x:v>-9.00 a +6.00</x:v>
      </x:c>
      <x:c r="L2752" s="24" t="str">
        <x:v>-4.00</x:v>
      </x:c>
      <x:c r="M2752" s="24" t="str">
        <x:v>1.00 a 3.50</x:v>
      </x:c>
      <x:c r="N2752" s="24" t="str">
        <x:v>75</x:v>
      </x:c>
      <x:c r="O2752" s="24"/>
      <x:c r="P2752" s="24"/>
      <x:c r="Q2752" s="24" t="str">
        <x:v>DISPONÍVEL</x:v>
      </x:c>
      <x:c r="R2752" s="24" t="str">
        <x:v>Programa de Parcerias ZEISS</x:v>
      </x:c>
      <x:c r="S2752" s="24" t="n">
        <x:v>45</x:v>
      </x:c>
      <x:c r="T2752" s="24" t="str">
        <x:v>tabela_zeiss.pdf</x:v>
      </x:c>
      <x:c r="U2752" s="24" t="str">
        <x:v>ZEISS|Progressiva|Surfaçada|Light 2 D|PhotoFusion X Extra Dark Cinza|1.5|1.50|DuraVision Gold UV|-9.00 a +6.00|-4.00|1.00 a 3.50|75|||45</x:v>
      </x:c>
    </x:row>
    <x:row r="2753">
      <x:c r="A2753" s="24" t="str">
        <x:v>ZS-D909B53B04F1</x:v>
      </x:c>
      <x:c r="B2753" s="24" t="str">
        <x:v>ZEISS</x:v>
      </x:c>
      <x:c r="C2753" s="24" t="str">
        <x:v>Progressiva</x:v>
      </x:c>
      <x:c r="D2753" s="24" t="str">
        <x:v>Surfaçada</x:v>
      </x:c>
      <x:c r="E2753" s="24" t="str">
        <x:v>Light 2 D</x:v>
      </x:c>
      <x:c r="F2753" s="24" t="str">
        <x:v>PhotoFusion X Extra Dark Cinza</x:v>
      </x:c>
      <x:c r="G2753" s="24" t="str">
        <x:v>1.5</x:v>
      </x:c>
      <x:c r="H2753" s="24" t="str">
        <x:v>1.50</x:v>
      </x:c>
      <x:c r="I2753" s="24" t="str">
        <x:v>DURAVISION® ANTIVÍRUS PLATINUM UV</x:v>
      </x:c>
      <x:c r="J2753" s="40" t="n">
        <x:v>3699</x:v>
      </x:c>
      <x:c r="K2753" s="24" t="str">
        <x:v>-9.00 a +6.00</x:v>
      </x:c>
      <x:c r="L2753" s="24" t="str">
        <x:v>-4.00</x:v>
      </x:c>
      <x:c r="M2753" s="24" t="str">
        <x:v>1.00 a 3.50</x:v>
      </x:c>
      <x:c r="N2753" s="24" t="str">
        <x:v>75</x:v>
      </x:c>
      <x:c r="O2753" s="24"/>
      <x:c r="P2753" s="24"/>
      <x:c r="Q2753" s="24" t="str">
        <x:v>DISPONÍVEL</x:v>
      </x:c>
      <x:c r="R2753" s="24" t="str">
        <x:v>Programa de Parcerias ZEISS</x:v>
      </x:c>
      <x:c r="S2753" s="24" t="n">
        <x:v>45</x:v>
      </x:c>
      <x:c r="T2753" s="24" t="str">
        <x:v>tabela_zeiss.pdf</x:v>
      </x:c>
      <x:c r="U2753" s="24" t="str">
        <x:v>ZEISS|Progressiva|Surfaçada|Light 2 D|PhotoFusion X Extra Dark Cinza|1.5|1.50|DURAVISION® ANTIVÍRUS PLATINUM UV|-9.00 a +6.00|-4.00|1.00 a 3.50|75|||45</x:v>
      </x:c>
    </x:row>
    <x:row r="2754">
      <x:c r="A2754" s="24" t="str">
        <x:v>ZS-A6E77F858472</x:v>
      </x:c>
      <x:c r="B2754" s="24" t="str">
        <x:v>ZEISS</x:v>
      </x:c>
      <x:c r="C2754" s="24" t="str">
        <x:v>Progressiva</x:v>
      </x:c>
      <x:c r="D2754" s="24" t="str">
        <x:v>Surfaçada</x:v>
      </x:c>
      <x:c r="E2754" s="24" t="str">
        <x:v>Light 2 D</x:v>
      </x:c>
      <x:c r="F2754" s="24" t="str">
        <x:v>PhotoFusion X Extra Dark Cinza</x:v>
      </x:c>
      <x:c r="G2754" s="24" t="str">
        <x:v>1.5</x:v>
      </x:c>
      <x:c r="H2754" s="24" t="str">
        <x:v>1.50</x:v>
      </x:c>
      <x:c r="I2754" s="24" t="str">
        <x:v>DuraVision Platinum UV</x:v>
      </x:c>
      <x:c r="J2754" s="40" t="n">
        <x:v>3969</x:v>
      </x:c>
      <x:c r="K2754" s="24" t="str">
        <x:v>-9.00 a +6.00</x:v>
      </x:c>
      <x:c r="L2754" s="24" t="str">
        <x:v>-4.00</x:v>
      </x:c>
      <x:c r="M2754" s="24" t="str">
        <x:v>1.00 a 3.50</x:v>
      </x:c>
      <x:c r="N2754" s="24" t="str">
        <x:v>75</x:v>
      </x:c>
      <x:c r="O2754" s="24"/>
      <x:c r="P2754" s="24"/>
      <x:c r="Q2754" s="24" t="str">
        <x:v>DISPONÍVEL</x:v>
      </x:c>
      <x:c r="R2754" s="24" t="str">
        <x:v>Programa de Parcerias ZEISS</x:v>
      </x:c>
      <x:c r="S2754" s="24" t="n">
        <x:v>45</x:v>
      </x:c>
      <x:c r="T2754" s="24" t="str">
        <x:v>tabela_zeiss.pdf</x:v>
      </x:c>
      <x:c r="U2754" s="24" t="str">
        <x:v>ZEISS|Progressiva|Surfaçada|Light 2 D|PhotoFusion X Extra Dark Cinza|1.5|1.50|DuraVision Platinum UV|-9.00 a +6.00|-4.00|1.00 a 3.50|75|||45</x:v>
      </x:c>
    </x:row>
    <x:row r="2755">
      <x:c r="A2755" s="24" t="str">
        <x:v>ZS-0453DFA979FF</x:v>
      </x:c>
      <x:c r="B2755" s="24" t="str">
        <x:v>ZEISS</x:v>
      </x:c>
      <x:c r="C2755" s="24" t="str">
        <x:v>Progressiva</x:v>
      </x:c>
      <x:c r="D2755" s="24" t="str">
        <x:v>Surfaçada</x:v>
      </x:c>
      <x:c r="E2755" s="24" t="str">
        <x:v>Light 2 D</x:v>
      </x:c>
      <x:c r="F2755" s="24" t="str">
        <x:v>PhotoFusion X Extra Dark Cinza</x:v>
      </x:c>
      <x:c r="G2755" s="24" t="str">
        <x:v>1.5</x:v>
      </x:c>
      <x:c r="H2755" s="24" t="str">
        <x:v>1.50</x:v>
      </x:c>
      <x:c r="I2755" s="24" t="str">
        <x:v>DuraVision Silver UV</x:v>
      </x:c>
      <x:c r="J2755" s="40" t="n">
        <x:v>3709</x:v>
      </x:c>
      <x:c r="K2755" s="24" t="str">
        <x:v>-9.00 a +6.00</x:v>
      </x:c>
      <x:c r="L2755" s="24" t="str">
        <x:v>-4.00</x:v>
      </x:c>
      <x:c r="M2755" s="24" t="str">
        <x:v>1.00 a 3.50</x:v>
      </x:c>
      <x:c r="N2755" s="24" t="str">
        <x:v>75</x:v>
      </x:c>
      <x:c r="O2755" s="24"/>
      <x:c r="P2755" s="24"/>
      <x:c r="Q2755" s="24" t="str">
        <x:v>DISPONÍVEL</x:v>
      </x:c>
      <x:c r="R2755" s="24" t="str">
        <x:v>Programa de Parcerias ZEISS</x:v>
      </x:c>
      <x:c r="S2755" s="24" t="n">
        <x:v>45</x:v>
      </x:c>
      <x:c r="T2755" s="24" t="str">
        <x:v>tabela_zeiss.pdf</x:v>
      </x:c>
      <x:c r="U2755" s="24" t="str">
        <x:v>ZEISS|Progressiva|Surfaçada|Light 2 D|PhotoFusion X Extra Dark Cinza|1.5|1.50|DuraVision Silver UV|-9.00 a +6.00|-4.00|1.00 a 3.50|75|||45</x:v>
      </x:c>
    </x:row>
    <x:row r="2756">
      <x:c r="A2756" s="24" t="str">
        <x:v>ZS-578DFBE9FEDD</x:v>
      </x:c>
      <x:c r="B2756" s="24" t="str">
        <x:v>ZEISS</x:v>
      </x:c>
      <x:c r="C2756" s="24" t="str">
        <x:v>Progressiva</x:v>
      </x:c>
      <x:c r="D2756" s="24" t="str">
        <x:v>Surfaçada</x:v>
      </x:c>
      <x:c r="E2756" s="24" t="str">
        <x:v>Light 2 D</x:v>
      </x:c>
      <x:c r="F2756" s="24" t="str">
        <x:v>PhotoFusion X Extra Dark Cinza</x:v>
      </x:c>
      <x:c r="G2756" s="24" t="str">
        <x:v>1.5</x:v>
      </x:c>
      <x:c r="H2756" s="24" t="str">
        <x:v>1.50</x:v>
      </x:c>
      <x:c r="I2756" s="24" t="str">
        <x:v>DuraVision Chrome UV</x:v>
      </x:c>
      <x:c r="J2756" s="40" t="n">
        <x:v>3219</x:v>
      </x:c>
      <x:c r="K2756" s="24" t="str">
        <x:v>-9.00 a +6.00</x:v>
      </x:c>
      <x:c r="L2756" s="24" t="str">
        <x:v>-4.00</x:v>
      </x:c>
      <x:c r="M2756" s="24" t="str">
        <x:v>1.00 a 3.50</x:v>
      </x:c>
      <x:c r="N2756" s="24" t="str">
        <x:v>75</x:v>
      </x:c>
      <x:c r="O2756" s="24"/>
      <x:c r="P2756" s="24"/>
      <x:c r="Q2756" s="24" t="str">
        <x:v>DISPONÍVEL</x:v>
      </x:c>
      <x:c r="R2756" s="24" t="str">
        <x:v>Programa de Parcerias ZEISS</x:v>
      </x:c>
      <x:c r="S2756" s="24" t="n">
        <x:v>45</x:v>
      </x:c>
      <x:c r="T2756" s="24" t="str">
        <x:v>tabela_zeiss.pdf</x:v>
      </x:c>
      <x:c r="U2756" s="24" t="str">
        <x:v>ZEISS|Progressiva|Surfaçada|Light 2 D|PhotoFusion X Extra Dark Cinza|1.5|1.50|DuraVision Chrome UV|-9.00 a +6.00|-4.00|1.00 a 3.50|75|||45</x:v>
      </x:c>
    </x:row>
    <x:row r="2757">
      <x:c r="A2757" s="24" t="str">
        <x:v>ZS-80E74F2DE666</x:v>
      </x:c>
      <x:c r="B2757" s="24" t="str">
        <x:v>ZEISS</x:v>
      </x:c>
      <x:c r="C2757" s="24" t="str">
        <x:v>Progressiva</x:v>
      </x:c>
      <x:c r="D2757" s="24" t="str">
        <x:v>Surfaçada</x:v>
      </x:c>
      <x:c r="E2757" s="24" t="str">
        <x:v>Light 2 D</x:v>
      </x:c>
      <x:c r="F2757" s="24" t="str">
        <x:v>PhotoFusion X Extra Dark Cinza</x:v>
      </x:c>
      <x:c r="G2757" s="24" t="str">
        <x:v>1.5</x:v>
      </x:c>
      <x:c r="H2757" s="24" t="str">
        <x:v>1.50</x:v>
      </x:c>
      <x:c r="I2757" s="24" t="str">
        <x:v>Sem AR</x:v>
      </x:c>
      <x:c r="J2757" s="40" t="n">
        <x:v>2819</x:v>
      </x:c>
      <x:c r="K2757" s="24" t="str">
        <x:v>-9.00 a +6.00</x:v>
      </x:c>
      <x:c r="L2757" s="24" t="str">
        <x:v>-4.00</x:v>
      </x:c>
      <x:c r="M2757" s="24" t="str">
        <x:v>1.00 a 3.50</x:v>
      </x:c>
      <x:c r="N2757" s="24" t="str">
        <x:v>75</x:v>
      </x:c>
      <x:c r="O2757" s="24"/>
      <x:c r="P2757" s="24"/>
      <x:c r="Q2757" s="24" t="str">
        <x:v>DISPONÍVEL</x:v>
      </x:c>
      <x:c r="R2757" s="24" t="str">
        <x:v>Programa de Parcerias ZEISS</x:v>
      </x:c>
      <x:c r="S2757" s="24" t="n">
        <x:v>45</x:v>
      </x:c>
      <x:c r="T2757" s="24" t="str">
        <x:v>tabela_zeiss.pdf</x:v>
      </x:c>
      <x:c r="U2757" s="24" t="str">
        <x:v>ZEISS|Progressiva|Surfaçada|Light 2 D|PhotoFusion X Extra Dark Cinza|1.5|1.50|Sem AR|-9.00 a +6.00|-4.00|1.00 a 3.50|75|||45</x:v>
      </x:c>
    </x:row>
    <x:row r="2758">
      <x:c r="A2758" s="24" t="str">
        <x:v>ZS-12E168935315</x:v>
      </x:c>
      <x:c r="B2758" s="24" t="str">
        <x:v>ZEISS</x:v>
      </x:c>
      <x:c r="C2758" s="24" t="str">
        <x:v>Progressiva</x:v>
      </x:c>
      <x:c r="D2758" s="24" t="str">
        <x:v>Surfaçada</x:v>
      </x:c>
      <x:c r="E2758" s="24" t="str">
        <x:v>Light 2 D</x:v>
      </x:c>
      <x:c r="F2758" s="24" t="str">
        <x:v>PhotoFusion X Extra Dark Cinza</x:v>
      </x:c>
      <x:c r="G2758" s="24" t="str">
        <x:v>Poli</x:v>
      </x:c>
      <x:c r="H2758" s="24"/>
      <x:c r="I2758" s="24" t="str">
        <x:v>DuraVision Gold UV</x:v>
      </x:c>
      <x:c r="J2758" s="40" t="n">
        <x:v>4469</x:v>
      </x:c>
      <x:c r="K2758" s="24" t="str">
        <x:v>-10.00 a +6.00</x:v>
      </x:c>
      <x:c r="L2758" s="24" t="str">
        <x:v>-4.00</x:v>
      </x:c>
      <x:c r="M2758" s="24" t="str">
        <x:v>1.00 a 3.00</x:v>
      </x:c>
      <x:c r="N2758" s="24" t="str">
        <x:v>72</x:v>
      </x:c>
      <x:c r="O2758" s="24"/>
      <x:c r="P2758" s="24"/>
      <x:c r="Q2758" s="24" t="str">
        <x:v>DISPONÍVEL</x:v>
      </x:c>
      <x:c r="R2758" s="24" t="str">
        <x:v>Programa de Parcerias ZEISS</x:v>
      </x:c>
      <x:c r="S2758" s="24" t="n">
        <x:v>45</x:v>
      </x:c>
      <x:c r="T2758" s="24" t="str">
        <x:v>tabela_zeiss.pdf</x:v>
      </x:c>
      <x:c r="U2758" s="24" t="str">
        <x:v>ZEISS|Progressiva|Surfaçada|Light 2 D|PhotoFusion X Extra Dark Cinza|Poli||DuraVision Gold UV|-10.00 a +6.00|-4.00|1.00 a 3.00|72|||45</x:v>
      </x:c>
    </x:row>
    <x:row r="2759">
      <x:c r="A2759" s="24" t="str">
        <x:v>ZS-B5CE0D6C12C1</x:v>
      </x:c>
      <x:c r="B2759" s="24" t="str">
        <x:v>ZEISS</x:v>
      </x:c>
      <x:c r="C2759" s="24" t="str">
        <x:v>Progressiva</x:v>
      </x:c>
      <x:c r="D2759" s="24" t="str">
        <x:v>Surfaçada</x:v>
      </x:c>
      <x:c r="E2759" s="24" t="str">
        <x:v>Light 2 D</x:v>
      </x:c>
      <x:c r="F2759" s="24" t="str">
        <x:v>PhotoFusion X Extra Dark Cinza</x:v>
      </x:c>
      <x:c r="G2759" s="24" t="str">
        <x:v>Poli</x:v>
      </x:c>
      <x:c r="H2759" s="24"/>
      <x:c r="I2759" s="24" t="str">
        <x:v>DuraVision Platinum UV</x:v>
      </x:c>
      <x:c r="J2759" s="40" t="n">
        <x:v>4329</x:v>
      </x:c>
      <x:c r="K2759" s="24" t="str">
        <x:v>-10.00 a +6.00</x:v>
      </x:c>
      <x:c r="L2759" s="24" t="str">
        <x:v>-4.00</x:v>
      </x:c>
      <x:c r="M2759" s="24" t="str">
        <x:v>1.00 a 3.00</x:v>
      </x:c>
      <x:c r="N2759" s="24" t="str">
        <x:v>72</x:v>
      </x:c>
      <x:c r="O2759" s="24"/>
      <x:c r="P2759" s="24"/>
      <x:c r="Q2759" s="24" t="str">
        <x:v>DISPONÍVEL</x:v>
      </x:c>
      <x:c r="R2759" s="24" t="str">
        <x:v>Programa de Parcerias ZEISS</x:v>
      </x:c>
      <x:c r="S2759" s="24" t="n">
        <x:v>45</x:v>
      </x:c>
      <x:c r="T2759" s="24" t="str">
        <x:v>tabela_zeiss.pdf</x:v>
      </x:c>
      <x:c r="U2759" s="24" t="str">
        <x:v>ZEISS|Progressiva|Surfaçada|Light 2 D|PhotoFusion X Extra Dark Cinza|Poli||DuraVision Platinum UV|-10.00 a +6.00|-4.00|1.00 a 3.00|72|||45</x:v>
      </x:c>
    </x:row>
    <x:row r="2760">
      <x:c r="A2760" s="24" t="str">
        <x:v>ZS-B3C01508BC42</x:v>
      </x:c>
      <x:c r="B2760" s="24" t="str">
        <x:v>ZEISS</x:v>
      </x:c>
      <x:c r="C2760" s="24" t="str">
        <x:v>Progressiva</x:v>
      </x:c>
      <x:c r="D2760" s="24" t="str">
        <x:v>Surfaçada</x:v>
      </x:c>
      <x:c r="E2760" s="24" t="str">
        <x:v>Light 2 D</x:v>
      </x:c>
      <x:c r="F2760" s="24" t="str">
        <x:v>PhotoFusion X Extra Dark Cinza</x:v>
      </x:c>
      <x:c r="G2760" s="24" t="str">
        <x:v>Poli</x:v>
      </x:c>
      <x:c r="H2760" s="24"/>
      <x:c r="I2760" s="24" t="str">
        <x:v>DuraVision Silver UV</x:v>
      </x:c>
      <x:c r="J2760" s="40" t="n">
        <x:v>4069</x:v>
      </x:c>
      <x:c r="K2760" s="24" t="str">
        <x:v>-10.00 a +6.00</x:v>
      </x:c>
      <x:c r="L2760" s="24" t="str">
        <x:v>-4.00</x:v>
      </x:c>
      <x:c r="M2760" s="24" t="str">
        <x:v>1.00 a 3.00</x:v>
      </x:c>
      <x:c r="N2760" s="24" t="str">
        <x:v>72</x:v>
      </x:c>
      <x:c r="O2760" s="24"/>
      <x:c r="P2760" s="24"/>
      <x:c r="Q2760" s="24" t="str">
        <x:v>DISPONÍVEL</x:v>
      </x:c>
      <x:c r="R2760" s="24" t="str">
        <x:v>Programa de Parcerias ZEISS</x:v>
      </x:c>
      <x:c r="S2760" s="24" t="n">
        <x:v>45</x:v>
      </x:c>
      <x:c r="T2760" s="24" t="str">
        <x:v>tabela_zeiss.pdf</x:v>
      </x:c>
      <x:c r="U2760" s="24" t="str">
        <x:v>ZEISS|Progressiva|Surfaçada|Light 2 D|PhotoFusion X Extra Dark Cinza|Poli||DuraVision Silver UV|-10.00 a +6.00|-4.00|1.00 a 3.00|72|||45</x:v>
      </x:c>
    </x:row>
    <x:row r="2761">
      <x:c r="A2761" s="24" t="str">
        <x:v>ZS-A4639E29CE37</x:v>
      </x:c>
      <x:c r="B2761" s="24" t="str">
        <x:v>ZEISS</x:v>
      </x:c>
      <x:c r="C2761" s="24" t="str">
        <x:v>Progressiva</x:v>
      </x:c>
      <x:c r="D2761" s="24" t="str">
        <x:v>Surfaçada</x:v>
      </x:c>
      <x:c r="E2761" s="24" t="str">
        <x:v>Light 2 D</x:v>
      </x:c>
      <x:c r="F2761" s="24" t="str">
        <x:v>PhotoFusion X Extra Dark Cinza</x:v>
      </x:c>
      <x:c r="G2761" s="24" t="str">
        <x:v>Poli</x:v>
      </x:c>
      <x:c r="H2761" s="24"/>
      <x:c r="I2761" s="24" t="str">
        <x:v>DuraVision Chrome UV</x:v>
      </x:c>
      <x:c r="J2761" s="40" t="n">
        <x:v>3579</x:v>
      </x:c>
      <x:c r="K2761" s="24" t="str">
        <x:v>-10.00 a +6.00</x:v>
      </x:c>
      <x:c r="L2761" s="24" t="str">
        <x:v>-4.00</x:v>
      </x:c>
      <x:c r="M2761" s="24" t="str">
        <x:v>1.00 a 3.00</x:v>
      </x:c>
      <x:c r="N2761" s="24" t="str">
        <x:v>72</x:v>
      </x:c>
      <x:c r="O2761" s="24"/>
      <x:c r="P2761" s="24"/>
      <x:c r="Q2761" s="24" t="str">
        <x:v>DISPONÍVEL</x:v>
      </x:c>
      <x:c r="R2761" s="24" t="str">
        <x:v>Programa de Parcerias ZEISS</x:v>
      </x:c>
      <x:c r="S2761" s="24" t="n">
        <x:v>45</x:v>
      </x:c>
      <x:c r="T2761" s="24" t="str">
        <x:v>tabela_zeiss.pdf</x:v>
      </x:c>
      <x:c r="U2761" s="24" t="str">
        <x:v>ZEISS|Progressiva|Surfaçada|Light 2 D|PhotoFusion X Extra Dark Cinza|Poli||DuraVision Chrome UV|-10.00 a +6.00|-4.00|1.00 a 3.00|72|||45</x:v>
      </x:c>
    </x:row>
    <x:row r="2762">
      <x:c r="A2762" s="24" t="str">
        <x:v>ZS-19BC2D99C409</x:v>
      </x:c>
      <x:c r="B2762" s="24" t="str">
        <x:v>ZEISS</x:v>
      </x:c>
      <x:c r="C2762" s="24" t="str">
        <x:v>Progressiva</x:v>
      </x:c>
      <x:c r="D2762" s="24" t="str">
        <x:v>Surfaçada</x:v>
      </x:c>
      <x:c r="E2762" s="24" t="str">
        <x:v>Light 2 D</x:v>
      </x:c>
      <x:c r="F2762" s="24" t="str">
        <x:v>PhotoFusion X Extra Dark Cinza</x:v>
      </x:c>
      <x:c r="G2762" s="24" t="str">
        <x:v>Poli</x:v>
      </x:c>
      <x:c r="H2762" s="24"/>
      <x:c r="I2762" s="24" t="str">
        <x:v>Sem AR</x:v>
      </x:c>
      <x:c r="J2762" s="40" t="n">
        <x:v>3179</x:v>
      </x:c>
      <x:c r="K2762" s="24" t="str">
        <x:v>-10.00 a +6.00</x:v>
      </x:c>
      <x:c r="L2762" s="24" t="str">
        <x:v>-4.00</x:v>
      </x:c>
      <x:c r="M2762" s="24" t="str">
        <x:v>1.00 a 3.00</x:v>
      </x:c>
      <x:c r="N2762" s="24" t="str">
        <x:v>72</x:v>
      </x:c>
      <x:c r="O2762" s="24"/>
      <x:c r="P2762" s="24"/>
      <x:c r="Q2762" s="24" t="str">
        <x:v>DISPONÍVEL</x:v>
      </x:c>
      <x:c r="R2762" s="24" t="str">
        <x:v>Programa de Parcerias ZEISS</x:v>
      </x:c>
      <x:c r="S2762" s="24" t="n">
        <x:v>45</x:v>
      </x:c>
      <x:c r="T2762" s="24" t="str">
        <x:v>tabela_zeiss.pdf</x:v>
      </x:c>
      <x:c r="U2762" s="24" t="str">
        <x:v>ZEISS|Progressiva|Surfaçada|Light 2 D|PhotoFusion X Extra Dark Cinza|Poli||Sem AR|-10.00 a +6.00|-4.00|1.00 a 3.00|72|||45</x:v>
      </x:c>
    </x:row>
    <x:row r="2763">
      <x:c r="A2763" s="24" t="str">
        <x:v>ZS-6D1F9D52C503</x:v>
      </x:c>
      <x:c r="B2763" s="24" t="str">
        <x:v>ZEISS</x:v>
      </x:c>
      <x:c r="C2763" s="24" t="str">
        <x:v>Progressiva</x:v>
      </x:c>
      <x:c r="D2763" s="24" t="str">
        <x:v>Surfaçada</x:v>
      </x:c>
      <x:c r="E2763" s="24" t="str">
        <x:v>Light 2 D</x:v>
      </x:c>
      <x:c r="F2763" s="24" t="str">
        <x:v>PhotoFusion X Extra Dark Cinza</x:v>
      </x:c>
      <x:c r="G2763" s="24" t="str">
        <x:v>1.6</x:v>
      </x:c>
      <x:c r="H2763" s="24" t="str">
        <x:v>1.60</x:v>
      </x:c>
      <x:c r="I2763" s="24" t="str">
        <x:v>DuraVision Gold UV</x:v>
      </x:c>
      <x:c r="J2763" s="40" t="n">
        <x:v>4689</x:v>
      </x:c>
      <x:c r="K2763" s="24" t="str">
        <x:v>-9.00 a +6.00</x:v>
      </x:c>
      <x:c r="L2763" s="24" t="str">
        <x:v>-4.00</x:v>
      </x:c>
      <x:c r="M2763" s="24" t="str">
        <x:v>1.00 a 3.50</x:v>
      </x:c>
      <x:c r="N2763" s="24" t="str">
        <x:v>75</x:v>
      </x:c>
      <x:c r="O2763" s="24"/>
      <x:c r="P2763" s="24"/>
      <x:c r="Q2763" s="24" t="str">
        <x:v>DISPONÍVEL</x:v>
      </x:c>
      <x:c r="R2763" s="24" t="str">
        <x:v>Programa de Parcerias ZEISS</x:v>
      </x:c>
      <x:c r="S2763" s="24" t="n">
        <x:v>45</x:v>
      </x:c>
      <x:c r="T2763" s="24" t="str">
        <x:v>tabela_zeiss.pdf</x:v>
      </x:c>
      <x:c r="U2763" s="24" t="str">
        <x:v>ZEISS|Progressiva|Surfaçada|Light 2 D|PhotoFusion X Extra Dark Cinza|1.6|1.60|DuraVision Gold UV|-9.00 a +6.00|-4.00|1.00 a 3.50|75|||45</x:v>
      </x:c>
    </x:row>
    <x:row r="2764">
      <x:c r="A2764" s="24" t="str">
        <x:v>ZS-A12E1F6BEE1C</x:v>
      </x:c>
      <x:c r="B2764" s="24" t="str">
        <x:v>ZEISS</x:v>
      </x:c>
      <x:c r="C2764" s="24" t="str">
        <x:v>Progressiva</x:v>
      </x:c>
      <x:c r="D2764" s="24" t="str">
        <x:v>Surfaçada</x:v>
      </x:c>
      <x:c r="E2764" s="24" t="str">
        <x:v>Light 2 D</x:v>
      </x:c>
      <x:c r="F2764" s="24" t="str">
        <x:v>PhotoFusion X Extra Dark Cinza</x:v>
      </x:c>
      <x:c r="G2764" s="24" t="str">
        <x:v>1.6</x:v>
      </x:c>
      <x:c r="H2764" s="24" t="str">
        <x:v>1.60</x:v>
      </x:c>
      <x:c r="I2764" s="24" t="str">
        <x:v>DURAVISION® ANTIVÍRUS PLATINUM UV</x:v>
      </x:c>
      <x:c r="J2764" s="40" t="n">
        <x:v>4244</x:v>
      </x:c>
      <x:c r="K2764" s="24" t="str">
        <x:v>-9.00 a +6.00</x:v>
      </x:c>
      <x:c r="L2764" s="24" t="str">
        <x:v>-4.00</x:v>
      </x:c>
      <x:c r="M2764" s="24" t="str">
        <x:v>1.00 a 3.50</x:v>
      </x:c>
      <x:c r="N2764" s="24" t="str">
        <x:v>75</x:v>
      </x:c>
      <x:c r="O2764" s="24"/>
      <x:c r="P2764" s="24"/>
      <x:c r="Q2764" s="24" t="str">
        <x:v>DISPONÍVEL</x:v>
      </x:c>
      <x:c r="R2764" s="24" t="str">
        <x:v>Programa de Parcerias ZEISS</x:v>
      </x:c>
      <x:c r="S2764" s="24" t="n">
        <x:v>45</x:v>
      </x:c>
      <x:c r="T2764" s="24" t="str">
        <x:v>tabela_zeiss.pdf</x:v>
      </x:c>
      <x:c r="U2764" s="24" t="str">
        <x:v>ZEISS|Progressiva|Surfaçada|Light 2 D|PhotoFusion X Extra Dark Cinza|1.6|1.60|DURAVISION® ANTIVÍRUS PLATINUM UV|-9.00 a +6.00|-4.00|1.00 a 3.50|75|||45</x:v>
      </x:c>
    </x:row>
    <x:row r="2765">
      <x:c r="A2765" s="24" t="str">
        <x:v>ZS-88225F30EAD3</x:v>
      </x:c>
      <x:c r="B2765" s="24" t="str">
        <x:v>ZEISS</x:v>
      </x:c>
      <x:c r="C2765" s="24" t="str">
        <x:v>Progressiva</x:v>
      </x:c>
      <x:c r="D2765" s="24" t="str">
        <x:v>Surfaçada</x:v>
      </x:c>
      <x:c r="E2765" s="24" t="str">
        <x:v>Light 2 D</x:v>
      </x:c>
      <x:c r="F2765" s="24" t="str">
        <x:v>PhotoFusion X Extra Dark Cinza</x:v>
      </x:c>
      <x:c r="G2765" s="24" t="str">
        <x:v>1.6</x:v>
      </x:c>
      <x:c r="H2765" s="24" t="str">
        <x:v>1.60</x:v>
      </x:c>
      <x:c r="I2765" s="24" t="str">
        <x:v>DuraVision Platinum UV</x:v>
      </x:c>
      <x:c r="J2765" s="40" t="n">
        <x:v>4549</x:v>
      </x:c>
      <x:c r="K2765" s="24" t="str">
        <x:v>-9.00 a +6.00</x:v>
      </x:c>
      <x:c r="L2765" s="24" t="str">
        <x:v>-4.00</x:v>
      </x:c>
      <x:c r="M2765" s="24" t="str">
        <x:v>1.00 a 3.50</x:v>
      </x:c>
      <x:c r="N2765" s="24" t="str">
        <x:v>75</x:v>
      </x:c>
      <x:c r="O2765" s="24"/>
      <x:c r="P2765" s="24"/>
      <x:c r="Q2765" s="24" t="str">
        <x:v>DISPONÍVEL</x:v>
      </x:c>
      <x:c r="R2765" s="24" t="str">
        <x:v>Programa de Parcerias ZEISS</x:v>
      </x:c>
      <x:c r="S2765" s="24" t="n">
        <x:v>45</x:v>
      </x:c>
      <x:c r="T2765" s="24" t="str">
        <x:v>tabela_zeiss.pdf</x:v>
      </x:c>
      <x:c r="U2765" s="24" t="str">
        <x:v>ZEISS|Progressiva|Surfaçada|Light 2 D|PhotoFusion X Extra Dark Cinza|1.6|1.60|DuraVision Platinum UV|-9.00 a +6.00|-4.00|1.00 a 3.50|75|||45</x:v>
      </x:c>
    </x:row>
    <x:row r="2766">
      <x:c r="A2766" s="24" t="str">
        <x:v>ZS-B7AB5DD23C8E</x:v>
      </x:c>
      <x:c r="B2766" s="24" t="str">
        <x:v>ZEISS</x:v>
      </x:c>
      <x:c r="C2766" s="24" t="str">
        <x:v>Progressiva</x:v>
      </x:c>
      <x:c r="D2766" s="24" t="str">
        <x:v>Surfaçada</x:v>
      </x:c>
      <x:c r="E2766" s="24" t="str">
        <x:v>Light 2 D</x:v>
      </x:c>
      <x:c r="F2766" s="24" t="str">
        <x:v>PhotoFusion X Extra Dark Cinza</x:v>
      </x:c>
      <x:c r="G2766" s="24" t="str">
        <x:v>1.6</x:v>
      </x:c>
      <x:c r="H2766" s="24" t="str">
        <x:v>1.60</x:v>
      </x:c>
      <x:c r="I2766" s="24" t="str">
        <x:v>DuraVision Silver UV</x:v>
      </x:c>
      <x:c r="J2766" s="40" t="n">
        <x:v>4289</x:v>
      </x:c>
      <x:c r="K2766" s="24" t="str">
        <x:v>-9.00 a +6.00</x:v>
      </x:c>
      <x:c r="L2766" s="24" t="str">
        <x:v>-4.00</x:v>
      </x:c>
      <x:c r="M2766" s="24" t="str">
        <x:v>1.00 a 3.50</x:v>
      </x:c>
      <x:c r="N2766" s="24" t="str">
        <x:v>75</x:v>
      </x:c>
      <x:c r="O2766" s="24"/>
      <x:c r="P2766" s="24"/>
      <x:c r="Q2766" s="24" t="str">
        <x:v>DISPONÍVEL</x:v>
      </x:c>
      <x:c r="R2766" s="24" t="str">
        <x:v>Programa de Parcerias ZEISS</x:v>
      </x:c>
      <x:c r="S2766" s="24" t="n">
        <x:v>45</x:v>
      </x:c>
      <x:c r="T2766" s="24" t="str">
        <x:v>tabela_zeiss.pdf</x:v>
      </x:c>
      <x:c r="U2766" s="24" t="str">
        <x:v>ZEISS|Progressiva|Surfaçada|Light 2 D|PhotoFusion X Extra Dark Cinza|1.6|1.60|DuraVision Silver UV|-9.00 a +6.00|-4.00|1.00 a 3.50|75|||45</x:v>
      </x:c>
    </x:row>
    <x:row r="2767">
      <x:c r="A2767" s="24" t="str">
        <x:v>ZS-B3B6705A821D</x:v>
      </x:c>
      <x:c r="B2767" s="24" t="str">
        <x:v>ZEISS</x:v>
      </x:c>
      <x:c r="C2767" s="24" t="str">
        <x:v>Progressiva</x:v>
      </x:c>
      <x:c r="D2767" s="24" t="str">
        <x:v>Surfaçada</x:v>
      </x:c>
      <x:c r="E2767" s="24" t="str">
        <x:v>Light 2 D</x:v>
      </x:c>
      <x:c r="F2767" s="24" t="str">
        <x:v>PhotoFusion X Extra Dark Cinza</x:v>
      </x:c>
      <x:c r="G2767" s="24" t="str">
        <x:v>1.6</x:v>
      </x:c>
      <x:c r="H2767" s="24" t="str">
        <x:v>1.60</x:v>
      </x:c>
      <x:c r="I2767" s="24" t="str">
        <x:v>DuraVision Chrome UV</x:v>
      </x:c>
      <x:c r="J2767" s="40" t="n">
        <x:v>3799</x:v>
      </x:c>
      <x:c r="K2767" s="24" t="str">
        <x:v>-9.00 a +6.00</x:v>
      </x:c>
      <x:c r="L2767" s="24" t="str">
        <x:v>-4.00</x:v>
      </x:c>
      <x:c r="M2767" s="24" t="str">
        <x:v>1.00 a 3.50</x:v>
      </x:c>
      <x:c r="N2767" s="24" t="str">
        <x:v>75</x:v>
      </x:c>
      <x:c r="O2767" s="24"/>
      <x:c r="P2767" s="24"/>
      <x:c r="Q2767" s="24" t="str">
        <x:v>DISPONÍVEL</x:v>
      </x:c>
      <x:c r="R2767" s="24" t="str">
        <x:v>Programa de Parcerias ZEISS</x:v>
      </x:c>
      <x:c r="S2767" s="24" t="n">
        <x:v>45</x:v>
      </x:c>
      <x:c r="T2767" s="24" t="str">
        <x:v>tabela_zeiss.pdf</x:v>
      </x:c>
      <x:c r="U2767" s="24" t="str">
        <x:v>ZEISS|Progressiva|Surfaçada|Light 2 D|PhotoFusion X Extra Dark Cinza|1.6|1.60|DuraVision Chrome UV|-9.00 a +6.00|-4.00|1.00 a 3.50|75|||45</x:v>
      </x:c>
    </x:row>
    <x:row r="2768">
      <x:c r="A2768" s="24" t="str">
        <x:v>ZS-3B46EDD88653</x:v>
      </x:c>
      <x:c r="B2768" s="24" t="str">
        <x:v>ZEISS</x:v>
      </x:c>
      <x:c r="C2768" s="24" t="str">
        <x:v>Progressiva</x:v>
      </x:c>
      <x:c r="D2768" s="24" t="str">
        <x:v>Surfaçada</x:v>
      </x:c>
      <x:c r="E2768" s="24" t="str">
        <x:v>Light 2 D</x:v>
      </x:c>
      <x:c r="F2768" s="24" t="str">
        <x:v>PhotoFusion X Extra Dark Cinza</x:v>
      </x:c>
      <x:c r="G2768" s="24" t="str">
        <x:v>1.67</x:v>
      </x:c>
      <x:c r="H2768" s="24" t="str">
        <x:v>1.67</x:v>
      </x:c>
      <x:c r="I2768" s="24" t="str">
        <x:v>DuraVision Gold UV</x:v>
      </x:c>
      <x:c r="J2768" s="40" t="n">
        <x:v>5989</x:v>
      </x:c>
      <x:c r="K2768" s="24" t="str">
        <x:v>-10.00 a +6.00</x:v>
      </x:c>
      <x:c r="L2768" s="24" t="str">
        <x:v>-4.00</x:v>
      </x:c>
      <x:c r="M2768" s="24" t="str">
        <x:v>1.00 a 3.00</x:v>
      </x:c>
      <x:c r="N2768" s="24" t="str">
        <x:v>75</x:v>
      </x:c>
      <x:c r="O2768" s="24"/>
      <x:c r="P2768" s="24"/>
      <x:c r="Q2768" s="24" t="str">
        <x:v>DISPONÍVEL</x:v>
      </x:c>
      <x:c r="R2768" s="24" t="str">
        <x:v>Programa de Parcerias ZEISS</x:v>
      </x:c>
      <x:c r="S2768" s="24" t="n">
        <x:v>45</x:v>
      </x:c>
      <x:c r="T2768" s="24" t="str">
        <x:v>tabela_zeiss.pdf</x:v>
      </x:c>
      <x:c r="U2768" s="24" t="str">
        <x:v>ZEISS|Progressiva|Surfaçada|Light 2 D|PhotoFusion X Extra Dark Cinza|1.67|1.67|DuraVision Gold UV|-10.00 a +6.00|-4.00|1.00 a 3.00|75|||45</x:v>
      </x:c>
    </x:row>
    <x:row r="2769">
      <x:c r="A2769" s="24" t="str">
        <x:v>ZS-FB2CF779C4C8</x:v>
      </x:c>
      <x:c r="B2769" s="24" t="str">
        <x:v>ZEISS</x:v>
      </x:c>
      <x:c r="C2769" s="24" t="str">
        <x:v>Progressiva</x:v>
      </x:c>
      <x:c r="D2769" s="24" t="str">
        <x:v>Surfaçada</x:v>
      </x:c>
      <x:c r="E2769" s="24" t="str">
        <x:v>Light 2 D</x:v>
      </x:c>
      <x:c r="F2769" s="24" t="str">
        <x:v>PhotoFusion X Extra Dark Cinza</x:v>
      </x:c>
      <x:c r="G2769" s="24" t="str">
        <x:v>1.67</x:v>
      </x:c>
      <x:c r="H2769" s="24" t="str">
        <x:v>1.67</x:v>
      </x:c>
      <x:c r="I2769" s="24" t="str">
        <x:v>DURAVISION® ANTIVÍRUS PLATINUM UV</x:v>
      </x:c>
      <x:c r="J2769" s="40" t="n">
        <x:v>5429</x:v>
      </x:c>
      <x:c r="K2769" s="24" t="str">
        <x:v>-10.00 a +6.00</x:v>
      </x:c>
      <x:c r="L2769" s="24" t="str">
        <x:v>-4.00</x:v>
      </x:c>
      <x:c r="M2769" s="24" t="str">
        <x:v>1.00 a 3.00</x:v>
      </x:c>
      <x:c r="N2769" s="24" t="str">
        <x:v>75</x:v>
      </x:c>
      <x:c r="O2769" s="24"/>
      <x:c r="P2769" s="24"/>
      <x:c r="Q2769" s="24" t="str">
        <x:v>DISPONÍVEL</x:v>
      </x:c>
      <x:c r="R2769" s="24" t="str">
        <x:v>Programa de Parcerias ZEISS</x:v>
      </x:c>
      <x:c r="S2769" s="24" t="n">
        <x:v>45</x:v>
      </x:c>
      <x:c r="T2769" s="24" t="str">
        <x:v>tabela_zeiss.pdf</x:v>
      </x:c>
      <x:c r="U2769" s="24" t="str">
        <x:v>ZEISS|Progressiva|Surfaçada|Light 2 D|PhotoFusion X Extra Dark Cinza|1.67|1.67|DURAVISION® ANTIVÍRUS PLATINUM UV|-10.00 a +6.00|-4.00|1.00 a 3.00|75|||45</x:v>
      </x:c>
    </x:row>
    <x:row r="2770">
      <x:c r="A2770" s="24" t="str">
        <x:v>ZS-90EB61F6455A</x:v>
      </x:c>
      <x:c r="B2770" s="24" t="str">
        <x:v>ZEISS</x:v>
      </x:c>
      <x:c r="C2770" s="24" t="str">
        <x:v>Progressiva</x:v>
      </x:c>
      <x:c r="D2770" s="24" t="str">
        <x:v>Surfaçada</x:v>
      </x:c>
      <x:c r="E2770" s="24" t="str">
        <x:v>Light 2 D</x:v>
      </x:c>
      <x:c r="F2770" s="24" t="str">
        <x:v>PhotoFusion X Extra Dark Cinza</x:v>
      </x:c>
      <x:c r="G2770" s="24" t="str">
        <x:v>1.67</x:v>
      </x:c>
      <x:c r="H2770" s="24" t="str">
        <x:v>1.67</x:v>
      </x:c>
      <x:c r="I2770" s="24" t="str">
        <x:v>DuraVision Platinum UV</x:v>
      </x:c>
      <x:c r="J2770" s="40" t="n">
        <x:v>5849</x:v>
      </x:c>
      <x:c r="K2770" s="24" t="str">
        <x:v>-10.00 a +6.00</x:v>
      </x:c>
      <x:c r="L2770" s="24" t="str">
        <x:v>-4.00</x:v>
      </x:c>
      <x:c r="M2770" s="24" t="str">
        <x:v>1.00 a 3.00</x:v>
      </x:c>
      <x:c r="N2770" s="24" t="str">
        <x:v>75</x:v>
      </x:c>
      <x:c r="O2770" s="24"/>
      <x:c r="P2770" s="24"/>
      <x:c r="Q2770" s="24" t="str">
        <x:v>DISPONÍVEL</x:v>
      </x:c>
      <x:c r="R2770" s="24" t="str">
        <x:v>Programa de Parcerias ZEISS</x:v>
      </x:c>
      <x:c r="S2770" s="24" t="n">
        <x:v>45</x:v>
      </x:c>
      <x:c r="T2770" s="24" t="str">
        <x:v>tabela_zeiss.pdf</x:v>
      </x:c>
      <x:c r="U2770" s="24" t="str">
        <x:v>ZEISS|Progressiva|Surfaçada|Light 2 D|PhotoFusion X Extra Dark Cinza|1.67|1.67|DuraVision Platinum UV|-10.00 a +6.00|-4.00|1.00 a 3.00|75|||45</x:v>
      </x:c>
    </x:row>
    <x:row r="2771">
      <x:c r="A2771" s="24" t="str">
        <x:v>ZS-E6F4C52BB117</x:v>
      </x:c>
      <x:c r="B2771" s="24" t="str">
        <x:v>ZEISS</x:v>
      </x:c>
      <x:c r="C2771" s="24" t="str">
        <x:v>Progressiva</x:v>
      </x:c>
      <x:c r="D2771" s="24" t="str">
        <x:v>Surfaçada</x:v>
      </x:c>
      <x:c r="E2771" s="24" t="str">
        <x:v>Light 2 D</x:v>
      </x:c>
      <x:c r="F2771" s="24" t="str">
        <x:v>PhotoFusion X Extra Dark Cinza</x:v>
      </x:c>
      <x:c r="G2771" s="24" t="str">
        <x:v>1.67</x:v>
      </x:c>
      <x:c r="H2771" s="24" t="str">
        <x:v>1.67</x:v>
      </x:c>
      <x:c r="I2771" s="24" t="str">
        <x:v>DuraVision Silver UV</x:v>
      </x:c>
      <x:c r="J2771" s="40" t="n">
        <x:v>5589</x:v>
      </x:c>
      <x:c r="K2771" s="24" t="str">
        <x:v>-10.00 a +6.00</x:v>
      </x:c>
      <x:c r="L2771" s="24" t="str">
        <x:v>-4.00</x:v>
      </x:c>
      <x:c r="M2771" s="24" t="str">
        <x:v>1.00 a 3.00</x:v>
      </x:c>
      <x:c r="N2771" s="24" t="str">
        <x:v>75</x:v>
      </x:c>
      <x:c r="O2771" s="24"/>
      <x:c r="P2771" s="24"/>
      <x:c r="Q2771" s="24" t="str">
        <x:v>DISPONÍVEL</x:v>
      </x:c>
      <x:c r="R2771" s="24" t="str">
        <x:v>Programa de Parcerias ZEISS</x:v>
      </x:c>
      <x:c r="S2771" s="24" t="n">
        <x:v>45</x:v>
      </x:c>
      <x:c r="T2771" s="24" t="str">
        <x:v>tabela_zeiss.pdf</x:v>
      </x:c>
      <x:c r="U2771" s="24" t="str">
        <x:v>ZEISS|Progressiva|Surfaçada|Light 2 D|PhotoFusion X Extra Dark Cinza|1.67|1.67|DuraVision Silver UV|-10.00 a +6.00|-4.00|1.00 a 3.00|75|||45</x:v>
      </x:c>
    </x:row>
    <x:row r="2772">
      <x:c r="A2772" s="24" t="str">
        <x:v>ZS-5BDC1D3977A5</x:v>
      </x:c>
      <x:c r="B2772" s="24" t="str">
        <x:v>ZEISS</x:v>
      </x:c>
      <x:c r="C2772" s="24" t="str">
        <x:v>Progressiva</x:v>
      </x:c>
      <x:c r="D2772" s="24" t="str">
        <x:v>Surfaçada</x:v>
      </x:c>
      <x:c r="E2772" s="24" t="str">
        <x:v>Light 2 D</x:v>
      </x:c>
      <x:c r="F2772" s="24" t="str">
        <x:v>PhotoFusion X Extra Dark Cinza</x:v>
      </x:c>
      <x:c r="G2772" s="24" t="str">
        <x:v>1.67</x:v>
      </x:c>
      <x:c r="H2772" s="24" t="str">
        <x:v>1.67</x:v>
      </x:c>
      <x:c r="I2772" s="24" t="str">
        <x:v>DuraVision Chrome UV</x:v>
      </x:c>
      <x:c r="J2772" s="40" t="n">
        <x:v>5099</x:v>
      </x:c>
      <x:c r="K2772" s="24" t="str">
        <x:v>-10.00 a +6.00</x:v>
      </x:c>
      <x:c r="L2772" s="24" t="str">
        <x:v>-4.00</x:v>
      </x:c>
      <x:c r="M2772" s="24" t="str">
        <x:v>1.00 a 3.00</x:v>
      </x:c>
      <x:c r="N2772" s="24" t="str">
        <x:v>75</x:v>
      </x:c>
      <x:c r="O2772" s="24"/>
      <x:c r="P2772" s="24"/>
      <x:c r="Q2772" s="24" t="str">
        <x:v>DISPONÍVEL</x:v>
      </x:c>
      <x:c r="R2772" s="24" t="str">
        <x:v>Programa de Parcerias ZEISS</x:v>
      </x:c>
      <x:c r="S2772" s="24" t="n">
        <x:v>45</x:v>
      </x:c>
      <x:c r="T2772" s="24" t="str">
        <x:v>tabela_zeiss.pdf</x:v>
      </x:c>
      <x:c r="U2772" s="24" t="str">
        <x:v>ZEISS|Progressiva|Surfaçada|Light 2 D|PhotoFusion X Extra Dark Cinza|1.67|1.67|DuraVision Chrome UV|-10.00 a +6.00|-4.00|1.00 a 3.00|75|||45</x:v>
      </x:c>
    </x:row>
    <x:row r="2773">
      <x:c r="A2773" s="24" t="str">
        <x:v>ZS-D9B6B8FBF020</x:v>
      </x:c>
      <x:c r="B2773" s="24" t="str">
        <x:v>ZEISS</x:v>
      </x:c>
      <x:c r="C2773" s="24" t="str">
        <x:v>Progressiva</x:v>
      </x:c>
      <x:c r="D2773" s="24" t="str">
        <x:v>Surfaçada</x:v>
      </x:c>
      <x:c r="E2773" s="24" t="str">
        <x:v>Light 2 D</x:v>
      </x:c>
      <x:c r="F2773" s="24" t="str">
        <x:v>Polarizada</x:v>
      </x:c>
      <x:c r="G2773" s="24" t="str">
        <x:v>1.5</x:v>
      </x:c>
      <x:c r="H2773" s="24" t="str">
        <x:v>1.50</x:v>
      </x:c>
      <x:c r="I2773" s="24" t="str">
        <x:v>DuraVision Gold UV</x:v>
      </x:c>
      <x:c r="J2773" s="40" t="n">
        <x:v>3479</x:v>
      </x:c>
      <x:c r="K2773" s="24" t="str">
        <x:v>-9.00 a +6.00</x:v>
      </x:c>
      <x:c r="L2773" s="24" t="str">
        <x:v>-4.00</x:v>
      </x:c>
      <x:c r="M2773" s="24" t="str">
        <x:v>1.00 a 3.50</x:v>
      </x:c>
      <x:c r="N2773" s="24" t="str">
        <x:v>75</x:v>
      </x:c>
      <x:c r="O2773" s="24"/>
      <x:c r="P2773" s="24"/>
      <x:c r="Q2773" s="24" t="str">
        <x:v>DISPONÍVEL</x:v>
      </x:c>
      <x:c r="R2773" s="24"/>
      <x:c r="S2773" s="24" t="n">
        <x:v>45</x:v>
      </x:c>
      <x:c r="T2773" s="24" t="str">
        <x:v>tabela_zeiss.pdf</x:v>
      </x:c>
      <x:c r="U2773" s="24" t="str">
        <x:v>ZEISS|Progressiva|Surfaçada|Light 2 D|Polarizada|1.5|1.50|DuraVision Gold UV|-9.00 a +6.00|-4.00|1.00 a 3.50|75|||45</x:v>
      </x:c>
    </x:row>
    <x:row r="2774">
      <x:c r="A2774" s="24" t="str">
        <x:v>ZS-9896E26CCD40</x:v>
      </x:c>
      <x:c r="B2774" s="24" t="str">
        <x:v>ZEISS</x:v>
      </x:c>
      <x:c r="C2774" s="24" t="str">
        <x:v>Progressiva</x:v>
      </x:c>
      <x:c r="D2774" s="24" t="str">
        <x:v>Surfaçada</x:v>
      </x:c>
      <x:c r="E2774" s="24" t="str">
        <x:v>Light 2 D</x:v>
      </x:c>
      <x:c r="F2774" s="24" t="str">
        <x:v>Polarizada</x:v>
      </x:c>
      <x:c r="G2774" s="24" t="str">
        <x:v>1.5</x:v>
      </x:c>
      <x:c r="H2774" s="24" t="str">
        <x:v>1.50</x:v>
      </x:c>
      <x:c r="I2774" s="24" t="str">
        <x:v>DuraVision Platinum UV</x:v>
      </x:c>
      <x:c r="J2774" s="40" t="n">
        <x:v>3339</x:v>
      </x:c>
      <x:c r="K2774" s="24" t="str">
        <x:v>-9.00 a +6.00</x:v>
      </x:c>
      <x:c r="L2774" s="24" t="str">
        <x:v>-4.00</x:v>
      </x:c>
      <x:c r="M2774" s="24" t="str">
        <x:v>1.00 a 3.50</x:v>
      </x:c>
      <x:c r="N2774" s="24" t="str">
        <x:v>75</x:v>
      </x:c>
      <x:c r="O2774" s="24"/>
      <x:c r="P2774" s="24"/>
      <x:c r="Q2774" s="24" t="str">
        <x:v>DISPONÍVEL</x:v>
      </x:c>
      <x:c r="R2774" s="24"/>
      <x:c r="S2774" s="24" t="n">
        <x:v>45</x:v>
      </x:c>
      <x:c r="T2774" s="24" t="str">
        <x:v>tabela_zeiss.pdf</x:v>
      </x:c>
      <x:c r="U2774" s="24" t="str">
        <x:v>ZEISS|Progressiva|Surfaçada|Light 2 D|Polarizada|1.5|1.50|DuraVision Platinum UV|-9.00 a +6.00|-4.00|1.00 a 3.50|75|||45</x:v>
      </x:c>
    </x:row>
    <x:row r="2775">
      <x:c r="A2775" s="24" t="str">
        <x:v>ZS-0035B0080172</x:v>
      </x:c>
      <x:c r="B2775" s="24" t="str">
        <x:v>ZEISS</x:v>
      </x:c>
      <x:c r="C2775" s="24" t="str">
        <x:v>Progressiva</x:v>
      </x:c>
      <x:c r="D2775" s="24" t="str">
        <x:v>Surfaçada</x:v>
      </x:c>
      <x:c r="E2775" s="24" t="str">
        <x:v>Light 2 D</x:v>
      </x:c>
      <x:c r="F2775" s="24" t="str">
        <x:v>Polarizada</x:v>
      </x:c>
      <x:c r="G2775" s="24" t="str">
        <x:v>1.5</x:v>
      </x:c>
      <x:c r="H2775" s="24" t="str">
        <x:v>1.50</x:v>
      </x:c>
      <x:c r="I2775" s="24" t="str">
        <x:v>DuraVision Silver UV</x:v>
      </x:c>
      <x:c r="J2775" s="40" t="n">
        <x:v>3079</x:v>
      </x:c>
      <x:c r="K2775" s="24" t="str">
        <x:v>-9.00 a +6.00</x:v>
      </x:c>
      <x:c r="L2775" s="24" t="str">
        <x:v>-4.00</x:v>
      </x:c>
      <x:c r="M2775" s="24" t="str">
        <x:v>1.00 a 3.50</x:v>
      </x:c>
      <x:c r="N2775" s="24" t="str">
        <x:v>75</x:v>
      </x:c>
      <x:c r="O2775" s="24"/>
      <x:c r="P2775" s="24"/>
      <x:c r="Q2775" s="24" t="str">
        <x:v>DISPONÍVEL</x:v>
      </x:c>
      <x:c r="R2775" s="24"/>
      <x:c r="S2775" s="24" t="n">
        <x:v>45</x:v>
      </x:c>
      <x:c r="T2775" s="24" t="str">
        <x:v>tabela_zeiss.pdf</x:v>
      </x:c>
      <x:c r="U2775" s="24" t="str">
        <x:v>ZEISS|Progressiva|Surfaçada|Light 2 D|Polarizada|1.5|1.50|DuraVision Silver UV|-9.00 a +6.00|-4.00|1.00 a 3.50|75|||45</x:v>
      </x:c>
    </x:row>
    <x:row r="2776">
      <x:c r="A2776" s="24" t="str">
        <x:v>ZS-EDEBA44C434C</x:v>
      </x:c>
      <x:c r="B2776" s="24" t="str">
        <x:v>ZEISS</x:v>
      </x:c>
      <x:c r="C2776" s="24" t="str">
        <x:v>Progressiva</x:v>
      </x:c>
      <x:c r="D2776" s="24" t="str">
        <x:v>Surfaçada</x:v>
      </x:c>
      <x:c r="E2776" s="24" t="str">
        <x:v>Light 2 D</x:v>
      </x:c>
      <x:c r="F2776" s="24" t="str">
        <x:v>Polarizada</x:v>
      </x:c>
      <x:c r="G2776" s="24" t="str">
        <x:v>1.5</x:v>
      </x:c>
      <x:c r="H2776" s="24" t="str">
        <x:v>1.50</x:v>
      </x:c>
      <x:c r="I2776" s="24" t="str">
        <x:v>DuraVision Chrome UV</x:v>
      </x:c>
      <x:c r="J2776" s="40" t="n">
        <x:v>2589</x:v>
      </x:c>
      <x:c r="K2776" s="24" t="str">
        <x:v>-9.00 a +6.00</x:v>
      </x:c>
      <x:c r="L2776" s="24" t="str">
        <x:v>-4.00</x:v>
      </x:c>
      <x:c r="M2776" s="24" t="str">
        <x:v>1.00 a 3.50</x:v>
      </x:c>
      <x:c r="N2776" s="24" t="str">
        <x:v>75</x:v>
      </x:c>
      <x:c r="O2776" s="24"/>
      <x:c r="P2776" s="24"/>
      <x:c r="Q2776" s="24" t="str">
        <x:v>DISPONÍVEL</x:v>
      </x:c>
      <x:c r="R2776" s="24"/>
      <x:c r="S2776" s="24" t="n">
        <x:v>45</x:v>
      </x:c>
      <x:c r="T2776" s="24" t="str">
        <x:v>tabela_zeiss.pdf</x:v>
      </x:c>
      <x:c r="U2776" s="24" t="str">
        <x:v>ZEISS|Progressiva|Surfaçada|Light 2 D|Polarizada|1.5|1.50|DuraVision Chrome UV|-9.00 a +6.00|-4.00|1.00 a 3.50|75|||45</x:v>
      </x:c>
    </x:row>
    <x:row r="2777">
      <x:c r="A2777" s="24" t="str">
        <x:v>ZS-2E8B8EC688DB</x:v>
      </x:c>
      <x:c r="B2777" s="24" t="str">
        <x:v>ZEISS</x:v>
      </x:c>
      <x:c r="C2777" s="24" t="str">
        <x:v>Progressiva</x:v>
      </x:c>
      <x:c r="D2777" s="24" t="str">
        <x:v>Surfaçada</x:v>
      </x:c>
      <x:c r="E2777" s="24" t="str">
        <x:v>Light 2 D</x:v>
      </x:c>
      <x:c r="F2777" s="24" t="str">
        <x:v>Polarizada</x:v>
      </x:c>
      <x:c r="G2777" s="24" t="str">
        <x:v>1.5</x:v>
      </x:c>
      <x:c r="H2777" s="24" t="str">
        <x:v>1.50</x:v>
      </x:c>
      <x:c r="I2777" s="24" t="str">
        <x:v>Sem AR</x:v>
      </x:c>
      <x:c r="J2777" s="40" t="n">
        <x:v>2189</x:v>
      </x:c>
      <x:c r="K2777" s="24" t="str">
        <x:v>-9.00 a +6.00</x:v>
      </x:c>
      <x:c r="L2777" s="24" t="str">
        <x:v>-4.00</x:v>
      </x:c>
      <x:c r="M2777" s="24" t="str">
        <x:v>1.00 a 3.50</x:v>
      </x:c>
      <x:c r="N2777" s="24" t="str">
        <x:v>75</x:v>
      </x:c>
      <x:c r="O2777" s="24"/>
      <x:c r="P2777" s="24"/>
      <x:c r="Q2777" s="24" t="str">
        <x:v>DISPONÍVEL</x:v>
      </x:c>
      <x:c r="R2777" s="24"/>
      <x:c r="S2777" s="24" t="n">
        <x:v>45</x:v>
      </x:c>
      <x:c r="T2777" s="24" t="str">
        <x:v>tabela_zeiss.pdf</x:v>
      </x:c>
      <x:c r="U2777" s="24" t="str">
        <x:v>ZEISS|Progressiva|Surfaçada|Light 2 D|Polarizada|1.5|1.50|Sem AR|-9.00 a +6.00|-4.00|1.00 a 3.50|75|||45</x:v>
      </x:c>
    </x:row>
    <x:row r="2778">
      <x:c r="A2778" s="24" t="str">
        <x:v>ZS-A500F171AB95</x:v>
      </x:c>
      <x:c r="B2778" s="24" t="str">
        <x:v>ZEISS</x:v>
      </x:c>
      <x:c r="C2778" s="24" t="str">
        <x:v>Progressiva</x:v>
      </x:c>
      <x:c r="D2778" s="24" t="str">
        <x:v>Surfaçada</x:v>
      </x:c>
      <x:c r="E2778" s="24" t="str">
        <x:v>Light 2 D</x:v>
      </x:c>
      <x:c r="F2778" s="24" t="str">
        <x:v>Polarizada</x:v>
      </x:c>
      <x:c r="G2778" s="24" t="str">
        <x:v>1.6</x:v>
      </x:c>
      <x:c r="H2778" s="24" t="str">
        <x:v>1.60</x:v>
      </x:c>
      <x:c r="I2778" s="24" t="str">
        <x:v>DuraVision Gold UV</x:v>
      </x:c>
      <x:c r="J2778" s="40" t="n">
        <x:v>4059</x:v>
      </x:c>
      <x:c r="K2778" s="24" t="str">
        <x:v>-10.00 a +6.00</x:v>
      </x:c>
      <x:c r="L2778" s="24" t="str">
        <x:v>-4.00</x:v>
      </x:c>
      <x:c r="M2778" s="24" t="str">
        <x:v>1.00 a 3.00</x:v>
      </x:c>
      <x:c r="N2778" s="24" t="str">
        <x:v>75</x:v>
      </x:c>
      <x:c r="O2778" s="24"/>
      <x:c r="P2778" s="24"/>
      <x:c r="Q2778" s="24" t="str">
        <x:v>DISPONÍVEL</x:v>
      </x:c>
      <x:c r="R2778" s="24"/>
      <x:c r="S2778" s="24" t="n">
        <x:v>45</x:v>
      </x:c>
      <x:c r="T2778" s="24" t="str">
        <x:v>tabela_zeiss.pdf</x:v>
      </x:c>
      <x:c r="U2778" s="24" t="str">
        <x:v>ZEISS|Progressiva|Surfaçada|Light 2 D|Polarizada|1.6|1.60|DuraVision Gold UV|-10.00 a +6.00|-4.00|1.00 a 3.00|75|||45</x:v>
      </x:c>
    </x:row>
    <x:row r="2779">
      <x:c r="A2779" s="24" t="str">
        <x:v>ZS-33F0DCD196C3</x:v>
      </x:c>
      <x:c r="B2779" s="24" t="str">
        <x:v>ZEISS</x:v>
      </x:c>
      <x:c r="C2779" s="24" t="str">
        <x:v>Progressiva</x:v>
      </x:c>
      <x:c r="D2779" s="24" t="str">
        <x:v>Surfaçada</x:v>
      </x:c>
      <x:c r="E2779" s="24" t="str">
        <x:v>Light 2 D</x:v>
      </x:c>
      <x:c r="F2779" s="24" t="str">
        <x:v>Polarizada</x:v>
      </x:c>
      <x:c r="G2779" s="24" t="str">
        <x:v>1.6</x:v>
      </x:c>
      <x:c r="H2779" s="24" t="str">
        <x:v>1.60</x:v>
      </x:c>
      <x:c r="I2779" s="24" t="str">
        <x:v>DuraVision Platinum UV</x:v>
      </x:c>
      <x:c r="J2779" s="40" t="n">
        <x:v>3919</x:v>
      </x:c>
      <x:c r="K2779" s="24" t="str">
        <x:v>-10.00 a +6.00</x:v>
      </x:c>
      <x:c r="L2779" s="24" t="str">
        <x:v>-4.00</x:v>
      </x:c>
      <x:c r="M2779" s="24" t="str">
        <x:v>1.00 a 3.00</x:v>
      </x:c>
      <x:c r="N2779" s="24" t="str">
        <x:v>75</x:v>
      </x:c>
      <x:c r="O2779" s="24"/>
      <x:c r="P2779" s="24"/>
      <x:c r="Q2779" s="24" t="str">
        <x:v>DISPONÍVEL</x:v>
      </x:c>
      <x:c r="R2779" s="24"/>
      <x:c r="S2779" s="24" t="n">
        <x:v>45</x:v>
      </x:c>
      <x:c r="T2779" s="24" t="str">
        <x:v>tabela_zeiss.pdf</x:v>
      </x:c>
      <x:c r="U2779" s="24" t="str">
        <x:v>ZEISS|Progressiva|Surfaçada|Light 2 D|Polarizada|1.6|1.60|DuraVision Platinum UV|-10.00 a +6.00|-4.00|1.00 a 3.00|75|||45</x:v>
      </x:c>
    </x:row>
    <x:row r="2780">
      <x:c r="A2780" s="24" t="str">
        <x:v>ZS-9655C7F5F9BB</x:v>
      </x:c>
      <x:c r="B2780" s="24" t="str">
        <x:v>ZEISS</x:v>
      </x:c>
      <x:c r="C2780" s="24" t="str">
        <x:v>Progressiva</x:v>
      </x:c>
      <x:c r="D2780" s="24" t="str">
        <x:v>Surfaçada</x:v>
      </x:c>
      <x:c r="E2780" s="24" t="str">
        <x:v>Light 2 D</x:v>
      </x:c>
      <x:c r="F2780" s="24" t="str">
        <x:v>Polarizada</x:v>
      </x:c>
      <x:c r="G2780" s="24" t="str">
        <x:v>1.6</x:v>
      </x:c>
      <x:c r="H2780" s="24" t="str">
        <x:v>1.60</x:v>
      </x:c>
      <x:c r="I2780" s="24" t="str">
        <x:v>DuraVision Silver UV</x:v>
      </x:c>
      <x:c r="J2780" s="40" t="n">
        <x:v>3659</x:v>
      </x:c>
      <x:c r="K2780" s="24" t="str">
        <x:v>-10.00 a +6.00</x:v>
      </x:c>
      <x:c r="L2780" s="24" t="str">
        <x:v>-4.00</x:v>
      </x:c>
      <x:c r="M2780" s="24" t="str">
        <x:v>1.00 a 3.00</x:v>
      </x:c>
      <x:c r="N2780" s="24" t="str">
        <x:v>75</x:v>
      </x:c>
      <x:c r="O2780" s="24"/>
      <x:c r="P2780" s="24"/>
      <x:c r="Q2780" s="24" t="str">
        <x:v>DISPONÍVEL</x:v>
      </x:c>
      <x:c r="R2780" s="24"/>
      <x:c r="S2780" s="24" t="n">
        <x:v>45</x:v>
      </x:c>
      <x:c r="T2780" s="24" t="str">
        <x:v>tabela_zeiss.pdf</x:v>
      </x:c>
      <x:c r="U2780" s="24" t="str">
        <x:v>ZEISS|Progressiva|Surfaçada|Light 2 D|Polarizada|1.6|1.60|DuraVision Silver UV|-10.00 a +6.00|-4.00|1.00 a 3.00|75|||45</x:v>
      </x:c>
    </x:row>
    <x:row r="2781">
      <x:c r="A2781" s="24" t="str">
        <x:v>ZS-426C3E065608</x:v>
      </x:c>
      <x:c r="B2781" s="24" t="str">
        <x:v>ZEISS</x:v>
      </x:c>
      <x:c r="C2781" s="24" t="str">
        <x:v>Progressiva</x:v>
      </x:c>
      <x:c r="D2781" s="24" t="str">
        <x:v>Surfaçada</x:v>
      </x:c>
      <x:c r="E2781" s="24" t="str">
        <x:v>Light 2 D</x:v>
      </x:c>
      <x:c r="F2781" s="24" t="str">
        <x:v>Polarizada</x:v>
      </x:c>
      <x:c r="G2781" s="24" t="str">
        <x:v>1.6</x:v>
      </x:c>
      <x:c r="H2781" s="24" t="str">
        <x:v>1.60</x:v>
      </x:c>
      <x:c r="I2781" s="24" t="str">
        <x:v>DuraVision Chrome UV</x:v>
      </x:c>
      <x:c r="J2781" s="40" t="n">
        <x:v>3169</x:v>
      </x:c>
      <x:c r="K2781" s="24" t="str">
        <x:v>-10.00 a +6.00</x:v>
      </x:c>
      <x:c r="L2781" s="24" t="str">
        <x:v>-4.00</x:v>
      </x:c>
      <x:c r="M2781" s="24" t="str">
        <x:v>1.00 a 3.00</x:v>
      </x:c>
      <x:c r="N2781" s="24" t="str">
        <x:v>75</x:v>
      </x:c>
      <x:c r="O2781" s="24"/>
      <x:c r="P2781" s="24"/>
      <x:c r="Q2781" s="24" t="str">
        <x:v>DISPONÍVEL</x:v>
      </x:c>
      <x:c r="R2781" s="24"/>
      <x:c r="S2781" s="24" t="n">
        <x:v>45</x:v>
      </x:c>
      <x:c r="T2781" s="24" t="str">
        <x:v>tabela_zeiss.pdf</x:v>
      </x:c>
      <x:c r="U2781" s="24" t="str">
        <x:v>ZEISS|Progressiva|Surfaçada|Light 2 D|Polarizada|1.6|1.60|DuraVision Chrome UV|-10.00 a +6.00|-4.00|1.00 a 3.00|75|||45</x:v>
      </x:c>
    </x:row>
    <x:row r="2782">
      <x:c r="A2782" s="24" t="str">
        <x:v>ZS-2D43541B42D4</x:v>
      </x:c>
      <x:c r="B2782" s="24" t="str">
        <x:v>ZEISS</x:v>
      </x:c>
      <x:c r="C2782" s="24" t="str">
        <x:v>Progressiva</x:v>
      </x:c>
      <x:c r="D2782" s="24" t="str">
        <x:v>Surfaçada</x:v>
      </x:c>
      <x:c r="E2782" s="24" t="str">
        <x:v>Light 2 D</x:v>
      </x:c>
      <x:c r="F2782" s="24" t="str">
        <x:v>Polarizada</x:v>
      </x:c>
      <x:c r="G2782" s="24" t="str">
        <x:v>1.6</x:v>
      </x:c>
      <x:c r="H2782" s="24" t="str">
        <x:v>1.60</x:v>
      </x:c>
      <x:c r="I2782" s="24" t="str">
        <x:v>Sem AR</x:v>
      </x:c>
      <x:c r="J2782" s="40" t="n">
        <x:v>2769</x:v>
      </x:c>
      <x:c r="K2782" s="24" t="str">
        <x:v>-10.00 a +6.00</x:v>
      </x:c>
      <x:c r="L2782" s="24" t="str">
        <x:v>-4.00</x:v>
      </x:c>
      <x:c r="M2782" s="24" t="str">
        <x:v>1.00 a 3.00</x:v>
      </x:c>
      <x:c r="N2782" s="24" t="str">
        <x:v>75</x:v>
      </x:c>
      <x:c r="O2782" s="24"/>
      <x:c r="P2782" s="24"/>
      <x:c r="Q2782" s="24" t="str">
        <x:v>DISPONÍVEL</x:v>
      </x:c>
      <x:c r="R2782" s="24"/>
      <x:c r="S2782" s="24" t="n">
        <x:v>45</x:v>
      </x:c>
      <x:c r="T2782" s="24" t="str">
        <x:v>tabela_zeiss.pdf</x:v>
      </x:c>
      <x:c r="U2782" s="24" t="str">
        <x:v>ZEISS|Progressiva|Surfaçada|Light 2 D|Polarizada|1.6|1.60|Sem AR|-10.00 a +6.00|-4.00|1.00 a 3.00|75|||45</x:v>
      </x:c>
    </x:row>
    <x:row r="2783">
      <x:c r="A2783" s="24" t="str">
        <x:v>ZS-5AFDFBBED453</x:v>
      </x:c>
      <x:c r="B2783" s="24" t="str">
        <x:v>ZEISS</x:v>
      </x:c>
      <x:c r="C2783" s="24" t="str">
        <x:v>Progressiva</x:v>
      </x:c>
      <x:c r="D2783" s="24" t="str">
        <x:v>Surfaçada</x:v>
      </x:c>
      <x:c r="E2783" s="24" t="str">
        <x:v>GT2</x:v>
      </x:c>
      <x:c r="F2783" s="24"/>
      <x:c r="G2783" s="24" t="str">
        <x:v>1.5</x:v>
      </x:c>
      <x:c r="H2783" s="24" t="str">
        <x:v>1.50</x:v>
      </x:c>
      <x:c r="I2783" s="24" t="str">
        <x:v>DuraVision Gold UV</x:v>
      </x:c>
      <x:c r="J2783" s="40" t="n">
        <x:v>1989</x:v>
      </x:c>
      <x:c r="K2783" s="24" t="str">
        <x:v>-7.00 a +5.00</x:v>
      </x:c>
      <x:c r="L2783" s="24" t="str">
        <x:v>-4.00</x:v>
      </x:c>
      <x:c r="M2783" s="24" t="str">
        <x:v>1.00 a 3.50</x:v>
      </x:c>
      <x:c r="N2783" s="24" t="str">
        <x:v>75</x:v>
      </x:c>
      <x:c r="O2783" s="24"/>
      <x:c r="P2783" s="24"/>
      <x:c r="Q2783" s="24" t="str">
        <x:v>DISPONÍVEL</x:v>
      </x:c>
      <x:c r="R2783" s="24"/>
      <x:c r="S2783" s="24" t="n">
        <x:v>46</x:v>
      </x:c>
      <x:c r="T2783" s="24" t="str">
        <x:v>tabela_zeiss.pdf</x:v>
      </x:c>
      <x:c r="U2783" s="24" t="str">
        <x:v>ZEISS|Progressiva|Surfaçada|GT2||1.5|1.50|DuraVision Gold UV|-7.00 a +5.00|-4.00|1.00 a 3.50|75|||46</x:v>
      </x:c>
    </x:row>
    <x:row r="2784">
      <x:c r="A2784" s="24" t="str">
        <x:v>ZS-A0A7DE4CE7DE</x:v>
      </x:c>
      <x:c r="B2784" s="24" t="str">
        <x:v>ZEISS</x:v>
      </x:c>
      <x:c r="C2784" s="24" t="str">
        <x:v>Progressiva</x:v>
      </x:c>
      <x:c r="D2784" s="24" t="str">
        <x:v>Surfaçada</x:v>
      </x:c>
      <x:c r="E2784" s="24" t="str">
        <x:v>GT2</x:v>
      </x:c>
      <x:c r="F2784" s="24"/>
      <x:c r="G2784" s="24" t="str">
        <x:v>1.5</x:v>
      </x:c>
      <x:c r="H2784" s="24" t="str">
        <x:v>1.50</x:v>
      </x:c>
      <x:c r="I2784" s="24" t="str">
        <x:v>DuraVision Platinum UV</x:v>
      </x:c>
      <x:c r="J2784" s="40" t="n">
        <x:v>1849</x:v>
      </x:c>
      <x:c r="K2784" s="24" t="str">
        <x:v>-7.00 a +5.00</x:v>
      </x:c>
      <x:c r="L2784" s="24" t="str">
        <x:v>-4.00</x:v>
      </x:c>
      <x:c r="M2784" s="24" t="str">
        <x:v>1.00 a 3.50</x:v>
      </x:c>
      <x:c r="N2784" s="24" t="str">
        <x:v>75</x:v>
      </x:c>
      <x:c r="O2784" s="24"/>
      <x:c r="P2784" s="24"/>
      <x:c r="Q2784" s="24" t="str">
        <x:v>DISPONÍVEL</x:v>
      </x:c>
      <x:c r="R2784" s="24"/>
      <x:c r="S2784" s="24" t="n">
        <x:v>46</x:v>
      </x:c>
      <x:c r="T2784" s="24" t="str">
        <x:v>tabela_zeiss.pdf</x:v>
      </x:c>
      <x:c r="U2784" s="24" t="str">
        <x:v>ZEISS|Progressiva|Surfaçada|GT2||1.5|1.50|DuraVision Platinum UV|-7.00 a +5.00|-4.00|1.00 a 3.50|75|||46</x:v>
      </x:c>
    </x:row>
    <x:row r="2785">
      <x:c r="A2785" s="24" t="str">
        <x:v>ZS-87AD812FF176</x:v>
      </x:c>
      <x:c r="B2785" s="24" t="str">
        <x:v>ZEISS</x:v>
      </x:c>
      <x:c r="C2785" s="24" t="str">
        <x:v>Progressiva</x:v>
      </x:c>
      <x:c r="D2785" s="24" t="str">
        <x:v>Surfaçada</x:v>
      </x:c>
      <x:c r="E2785" s="24" t="str">
        <x:v>GT2</x:v>
      </x:c>
      <x:c r="F2785" s="24"/>
      <x:c r="G2785" s="24" t="str">
        <x:v>1.5</x:v>
      </x:c>
      <x:c r="H2785" s="24" t="str">
        <x:v>1.50</x:v>
      </x:c>
      <x:c r="I2785" s="24" t="str">
        <x:v>DuraVision Silver UV</x:v>
      </x:c>
      <x:c r="J2785" s="40" t="n">
        <x:v>1589</x:v>
      </x:c>
      <x:c r="K2785" s="24" t="str">
        <x:v>-7.00 a +5.00</x:v>
      </x:c>
      <x:c r="L2785" s="24" t="str">
        <x:v>-4.00</x:v>
      </x:c>
      <x:c r="M2785" s="24" t="str">
        <x:v>1.00 a 3.50</x:v>
      </x:c>
      <x:c r="N2785" s="24" t="str">
        <x:v>75</x:v>
      </x:c>
      <x:c r="O2785" s="24"/>
      <x:c r="P2785" s="24"/>
      <x:c r="Q2785" s="24" t="str">
        <x:v>DISPONÍVEL</x:v>
      </x:c>
      <x:c r="R2785" s="24"/>
      <x:c r="S2785" s="24" t="n">
        <x:v>46</x:v>
      </x:c>
      <x:c r="T2785" s="24" t="str">
        <x:v>tabela_zeiss.pdf</x:v>
      </x:c>
      <x:c r="U2785" s="24" t="str">
        <x:v>ZEISS|Progressiva|Surfaçada|GT2||1.5|1.50|DuraVision Silver UV|-7.00 a +5.00|-4.00|1.00 a 3.50|75|||46</x:v>
      </x:c>
    </x:row>
    <x:row r="2786">
      <x:c r="A2786" s="24" t="str">
        <x:v>ZS-B3185707B0FC</x:v>
      </x:c>
      <x:c r="B2786" s="24" t="str">
        <x:v>ZEISS</x:v>
      </x:c>
      <x:c r="C2786" s="24" t="str">
        <x:v>Progressiva</x:v>
      </x:c>
      <x:c r="D2786" s="24" t="str">
        <x:v>Surfaçada</x:v>
      </x:c>
      <x:c r="E2786" s="24" t="str">
        <x:v>GT2</x:v>
      </x:c>
      <x:c r="F2786" s="24"/>
      <x:c r="G2786" s="24" t="str">
        <x:v>1.5</x:v>
      </x:c>
      <x:c r="H2786" s="24" t="str">
        <x:v>1.50</x:v>
      </x:c>
      <x:c r="I2786" s="24" t="str">
        <x:v>DuraVision Chrome UV</x:v>
      </x:c>
      <x:c r="J2786" s="40" t="n">
        <x:v>1099</x:v>
      </x:c>
      <x:c r="K2786" s="24" t="str">
        <x:v>-7.00 a +5.00</x:v>
      </x:c>
      <x:c r="L2786" s="24" t="str">
        <x:v>-4.00</x:v>
      </x:c>
      <x:c r="M2786" s="24" t="str">
        <x:v>1.00 a 3.50</x:v>
      </x:c>
      <x:c r="N2786" s="24" t="str">
        <x:v>75</x:v>
      </x:c>
      <x:c r="O2786" s="24"/>
      <x:c r="P2786" s="24"/>
      <x:c r="Q2786" s="24" t="str">
        <x:v>DISPONÍVEL</x:v>
      </x:c>
      <x:c r="R2786" s="24"/>
      <x:c r="S2786" s="24" t="n">
        <x:v>46</x:v>
      </x:c>
      <x:c r="T2786" s="24" t="str">
        <x:v>tabela_zeiss.pdf</x:v>
      </x:c>
      <x:c r="U2786" s="24" t="str">
        <x:v>ZEISS|Progressiva|Surfaçada|GT2||1.5|1.50|DuraVision Chrome UV|-7.00 a +5.00|-4.00|1.00 a 3.50|75|||46</x:v>
      </x:c>
    </x:row>
    <x:row r="2787">
      <x:c r="A2787" s="24" t="str">
        <x:v>ZS-C464789F12B6</x:v>
      </x:c>
      <x:c r="B2787" s="24" t="str">
        <x:v>ZEISS</x:v>
      </x:c>
      <x:c r="C2787" s="24" t="str">
        <x:v>Progressiva</x:v>
      </x:c>
      <x:c r="D2787" s="24" t="str">
        <x:v>Surfaçada</x:v>
      </x:c>
      <x:c r="E2787" s="24" t="str">
        <x:v>GT2</x:v>
      </x:c>
      <x:c r="F2787" s="24"/>
      <x:c r="G2787" s="24" t="str">
        <x:v>1.5</x:v>
      </x:c>
      <x:c r="H2787" s="24" t="str">
        <x:v>1.50</x:v>
      </x:c>
      <x:c r="I2787" s="24" t="str">
        <x:v>Sem AR</x:v>
      </x:c>
      <x:c r="J2787" s="40" t="n">
        <x:v>699</x:v>
      </x:c>
      <x:c r="K2787" s="24" t="str">
        <x:v>-7.00 a +5.00</x:v>
      </x:c>
      <x:c r="L2787" s="24" t="str">
        <x:v>-4.00</x:v>
      </x:c>
      <x:c r="M2787" s="24" t="str">
        <x:v>1.00 a 3.50</x:v>
      </x:c>
      <x:c r="N2787" s="24" t="str">
        <x:v>75</x:v>
      </x:c>
      <x:c r="O2787" s="24"/>
      <x:c r="P2787" s="24"/>
      <x:c r="Q2787" s="24" t="str">
        <x:v>DISPONÍVEL</x:v>
      </x:c>
      <x:c r="R2787" s="24"/>
      <x:c r="S2787" s="24" t="n">
        <x:v>46</x:v>
      </x:c>
      <x:c r="T2787" s="24" t="str">
        <x:v>tabela_zeiss.pdf</x:v>
      </x:c>
      <x:c r="U2787" s="24" t="str">
        <x:v>ZEISS|Progressiva|Surfaçada|GT2||1.5|1.50|Sem AR|-7.00 a +5.00|-4.00|1.00 a 3.50|75|||46</x:v>
      </x:c>
    </x:row>
    <x:row r="2788">
      <x:c r="A2788" s="24" t="str">
        <x:v>ZS-11FDB2AFB58C</x:v>
      </x:c>
      <x:c r="B2788" s="24" t="str">
        <x:v>ZEISS</x:v>
      </x:c>
      <x:c r="C2788" s="24" t="str">
        <x:v>Progressiva</x:v>
      </x:c>
      <x:c r="D2788" s="24" t="str">
        <x:v>Surfaçada</x:v>
      </x:c>
      <x:c r="E2788" s="24" t="str">
        <x:v>GT2</x:v>
      </x:c>
      <x:c r="F2788" s="24"/>
      <x:c r="G2788" s="24" t="str">
        <x:v>Poli</x:v>
      </x:c>
      <x:c r="H2788" s="24"/>
      <x:c r="I2788" s="24" t="str">
        <x:v>DuraVision Gold UV</x:v>
      </x:c>
      <x:c r="J2788" s="40" t="n">
        <x:v>2349</x:v>
      </x:c>
      <x:c r="K2788" s="24" t="str">
        <x:v>-10.00 a +6.00</x:v>
      </x:c>
      <x:c r="L2788" s="24" t="str">
        <x:v>-6.00</x:v>
      </x:c>
      <x:c r="M2788" s="24" t="str">
        <x:v>1.00 a 3.00</x:v>
      </x:c>
      <x:c r="N2788" s="24" t="str">
        <x:v>75</x:v>
      </x:c>
      <x:c r="O2788" s="24"/>
      <x:c r="P2788" s="24"/>
      <x:c r="Q2788" s="24" t="str">
        <x:v>DISPONÍVEL</x:v>
      </x:c>
      <x:c r="R2788" s="24"/>
      <x:c r="S2788" s="24" t="n">
        <x:v>46</x:v>
      </x:c>
      <x:c r="T2788" s="24" t="str">
        <x:v>tabela_zeiss.pdf</x:v>
      </x:c>
      <x:c r="U2788" s="24" t="str">
        <x:v>ZEISS|Progressiva|Surfaçada|GT2||Poli||DuraVision Gold UV|-10.00 a +6.00|-6.00|1.00 a 3.00|75|||46</x:v>
      </x:c>
    </x:row>
    <x:row r="2789">
      <x:c r="A2789" s="24" t="str">
        <x:v>ZS-B8543CA26F07</x:v>
      </x:c>
      <x:c r="B2789" s="24" t="str">
        <x:v>ZEISS</x:v>
      </x:c>
      <x:c r="C2789" s="24" t="str">
        <x:v>Progressiva</x:v>
      </x:c>
      <x:c r="D2789" s="24" t="str">
        <x:v>Surfaçada</x:v>
      </x:c>
      <x:c r="E2789" s="24" t="str">
        <x:v>GT2</x:v>
      </x:c>
      <x:c r="F2789" s="24"/>
      <x:c r="G2789" s="24" t="str">
        <x:v>Poli</x:v>
      </x:c>
      <x:c r="H2789" s="24"/>
      <x:c r="I2789" s="24" t="str">
        <x:v>DuraVision Platinum UV</x:v>
      </x:c>
      <x:c r="J2789" s="40" t="n">
        <x:v>2209</x:v>
      </x:c>
      <x:c r="K2789" s="24" t="str">
        <x:v>-10.00 a +6.00</x:v>
      </x:c>
      <x:c r="L2789" s="24" t="str">
        <x:v>-6.00</x:v>
      </x:c>
      <x:c r="M2789" s="24" t="str">
        <x:v>1.00 a 3.00</x:v>
      </x:c>
      <x:c r="N2789" s="24" t="str">
        <x:v>75</x:v>
      </x:c>
      <x:c r="O2789" s="24"/>
      <x:c r="P2789" s="24"/>
      <x:c r="Q2789" s="24" t="str">
        <x:v>DISPONÍVEL</x:v>
      </x:c>
      <x:c r="R2789" s="24"/>
      <x:c r="S2789" s="24" t="n">
        <x:v>46</x:v>
      </x:c>
      <x:c r="T2789" s="24" t="str">
        <x:v>tabela_zeiss.pdf</x:v>
      </x:c>
      <x:c r="U2789" s="24" t="str">
        <x:v>ZEISS|Progressiva|Surfaçada|GT2||Poli||DuraVision Platinum UV|-10.00 a +6.00|-6.00|1.00 a 3.00|75|||46</x:v>
      </x:c>
    </x:row>
    <x:row r="2790">
      <x:c r="A2790" s="24" t="str">
        <x:v>ZS-36887A7B2186</x:v>
      </x:c>
      <x:c r="B2790" s="24" t="str">
        <x:v>ZEISS</x:v>
      </x:c>
      <x:c r="C2790" s="24" t="str">
        <x:v>Progressiva</x:v>
      </x:c>
      <x:c r="D2790" s="24" t="str">
        <x:v>Surfaçada</x:v>
      </x:c>
      <x:c r="E2790" s="24" t="str">
        <x:v>GT2</x:v>
      </x:c>
      <x:c r="F2790" s="24"/>
      <x:c r="G2790" s="24" t="str">
        <x:v>Poli</x:v>
      </x:c>
      <x:c r="H2790" s="24"/>
      <x:c r="I2790" s="24" t="str">
        <x:v>DuraVision Silver UV</x:v>
      </x:c>
      <x:c r="J2790" s="40" t="n">
        <x:v>1949</x:v>
      </x:c>
      <x:c r="K2790" s="24" t="str">
        <x:v>-10.00 a +6.00</x:v>
      </x:c>
      <x:c r="L2790" s="24" t="str">
        <x:v>-6.00</x:v>
      </x:c>
      <x:c r="M2790" s="24" t="str">
        <x:v>1.00 a 3.00</x:v>
      </x:c>
      <x:c r="N2790" s="24" t="str">
        <x:v>75</x:v>
      </x:c>
      <x:c r="O2790" s="24"/>
      <x:c r="P2790" s="24"/>
      <x:c r="Q2790" s="24" t="str">
        <x:v>DISPONÍVEL</x:v>
      </x:c>
      <x:c r="R2790" s="24"/>
      <x:c r="S2790" s="24" t="n">
        <x:v>46</x:v>
      </x:c>
      <x:c r="T2790" s="24" t="str">
        <x:v>tabela_zeiss.pdf</x:v>
      </x:c>
      <x:c r="U2790" s="24" t="str">
        <x:v>ZEISS|Progressiva|Surfaçada|GT2||Poli||DuraVision Silver UV|-10.00 a +6.00|-6.00|1.00 a 3.00|75|||46</x:v>
      </x:c>
    </x:row>
    <x:row r="2791">
      <x:c r="A2791" s="24" t="str">
        <x:v>ZS-0B97EC909231</x:v>
      </x:c>
      <x:c r="B2791" s="24" t="str">
        <x:v>ZEISS</x:v>
      </x:c>
      <x:c r="C2791" s="24" t="str">
        <x:v>Progressiva</x:v>
      </x:c>
      <x:c r="D2791" s="24" t="str">
        <x:v>Surfaçada</x:v>
      </x:c>
      <x:c r="E2791" s="24" t="str">
        <x:v>GT2</x:v>
      </x:c>
      <x:c r="F2791" s="24"/>
      <x:c r="G2791" s="24" t="str">
        <x:v>Poli</x:v>
      </x:c>
      <x:c r="H2791" s="24"/>
      <x:c r="I2791" s="24" t="str">
        <x:v>DuraVision Chrome UV</x:v>
      </x:c>
      <x:c r="J2791" s="40" t="n">
        <x:v>1459</x:v>
      </x:c>
      <x:c r="K2791" s="24" t="str">
        <x:v>-10.00 a +6.00</x:v>
      </x:c>
      <x:c r="L2791" s="24" t="str">
        <x:v>-6.00</x:v>
      </x:c>
      <x:c r="M2791" s="24" t="str">
        <x:v>1.00 a 3.00</x:v>
      </x:c>
      <x:c r="N2791" s="24" t="str">
        <x:v>75</x:v>
      </x:c>
      <x:c r="O2791" s="24"/>
      <x:c r="P2791" s="24"/>
      <x:c r="Q2791" s="24" t="str">
        <x:v>DISPONÍVEL</x:v>
      </x:c>
      <x:c r="R2791" s="24"/>
      <x:c r="S2791" s="24" t="n">
        <x:v>46</x:v>
      </x:c>
      <x:c r="T2791" s="24" t="str">
        <x:v>tabela_zeiss.pdf</x:v>
      </x:c>
      <x:c r="U2791" s="24" t="str">
        <x:v>ZEISS|Progressiva|Surfaçada|GT2||Poli||DuraVision Chrome UV|-10.00 a +6.00|-6.00|1.00 a 3.00|75|||46</x:v>
      </x:c>
    </x:row>
    <x:row r="2792">
      <x:c r="A2792" s="24" t="str">
        <x:v>ZS-84BB1C5BEE90</x:v>
      </x:c>
      <x:c r="B2792" s="24" t="str">
        <x:v>ZEISS</x:v>
      </x:c>
      <x:c r="C2792" s="24" t="str">
        <x:v>Progressiva</x:v>
      </x:c>
      <x:c r="D2792" s="24" t="str">
        <x:v>Surfaçada</x:v>
      </x:c>
      <x:c r="E2792" s="24" t="str">
        <x:v>GT2</x:v>
      </x:c>
      <x:c r="F2792" s="24"/>
      <x:c r="G2792" s="24" t="str">
        <x:v>Poli</x:v>
      </x:c>
      <x:c r="H2792" s="24"/>
      <x:c r="I2792" s="24" t="str">
        <x:v>Sem AR</x:v>
      </x:c>
      <x:c r="J2792" s="40" t="n">
        <x:v>1059</x:v>
      </x:c>
      <x:c r="K2792" s="24" t="str">
        <x:v>-10.00 a +6.00</x:v>
      </x:c>
      <x:c r="L2792" s="24" t="str">
        <x:v>-6.00</x:v>
      </x:c>
      <x:c r="M2792" s="24" t="str">
        <x:v>1.00 a 3.00</x:v>
      </x:c>
      <x:c r="N2792" s="24" t="str">
        <x:v>75</x:v>
      </x:c>
      <x:c r="O2792" s="24"/>
      <x:c r="P2792" s="24"/>
      <x:c r="Q2792" s="24" t="str">
        <x:v>DISPONÍVEL</x:v>
      </x:c>
      <x:c r="R2792" s="24"/>
      <x:c r="S2792" s="24" t="n">
        <x:v>46</x:v>
      </x:c>
      <x:c r="T2792" s="24" t="str">
        <x:v>tabela_zeiss.pdf</x:v>
      </x:c>
      <x:c r="U2792" s="24" t="str">
        <x:v>ZEISS|Progressiva|Surfaçada|GT2||Poli||Sem AR|-10.00 a +6.00|-6.00|1.00 a 3.00|75|||46</x:v>
      </x:c>
    </x:row>
    <x:row r="2793">
      <x:c r="A2793" s="24" t="str">
        <x:v>ZS-6D2C090CB7B8</x:v>
      </x:c>
      <x:c r="B2793" s="24" t="str">
        <x:v>ZEISS</x:v>
      </x:c>
      <x:c r="C2793" s="24" t="str">
        <x:v>Progressiva</x:v>
      </x:c>
      <x:c r="D2793" s="24" t="str">
        <x:v>Surfaçada</x:v>
      </x:c>
      <x:c r="E2793" s="24" t="str">
        <x:v>GT2</x:v>
      </x:c>
      <x:c r="F2793" s="24"/>
      <x:c r="G2793" s="24" t="str">
        <x:v>1.60</x:v>
      </x:c>
      <x:c r="H2793" s="24" t="str">
        <x:v>1.60</x:v>
      </x:c>
      <x:c r="I2793" s="24" t="str">
        <x:v>DuraVision Gold UV</x:v>
      </x:c>
      <x:c r="J2793" s="40" t="n">
        <x:v>2569</x:v>
      </x:c>
      <x:c r="K2793" s="24" t="str">
        <x:v>-12.00 a -7.50</x:v>
      </x:c>
      <x:c r="L2793" s="24" t="str">
        <x:v>-6.00</x:v>
      </x:c>
      <x:c r="M2793" s="24" t="str">
        <x:v>1.00 a 3.00</x:v>
      </x:c>
      <x:c r="N2793" s="24" t="str">
        <x:v>74</x:v>
      </x:c>
      <x:c r="O2793" s="24"/>
      <x:c r="P2793" s="24"/>
      <x:c r="Q2793" s="24" t="str">
        <x:v>DISPONÍVEL</x:v>
      </x:c>
      <x:c r="R2793" s="24"/>
      <x:c r="S2793" s="24" t="n">
        <x:v>46</x:v>
      </x:c>
      <x:c r="T2793" s="24" t="str">
        <x:v>tabela_zeiss.pdf</x:v>
      </x:c>
      <x:c r="U2793" s="24" t="str">
        <x:v>ZEISS|Progressiva|Surfaçada|GT2||1.60|1.60|DuraVision Gold UV|-12.00 a -7.50|-6.00|1.00 a 3.00|74|||46</x:v>
      </x:c>
    </x:row>
    <x:row r="2794">
      <x:c r="A2794" s="24" t="str">
        <x:v>ZS-21708C42D92C</x:v>
      </x:c>
      <x:c r="B2794" s="24" t="str">
        <x:v>ZEISS</x:v>
      </x:c>
      <x:c r="C2794" s="24" t="str">
        <x:v>Progressiva</x:v>
      </x:c>
      <x:c r="D2794" s="24" t="str">
        <x:v>Surfaçada</x:v>
      </x:c>
      <x:c r="E2794" s="24" t="str">
        <x:v>GT2</x:v>
      </x:c>
      <x:c r="F2794" s="24"/>
      <x:c r="G2794" s="24" t="str">
        <x:v>1.60</x:v>
      </x:c>
      <x:c r="H2794" s="24" t="str">
        <x:v>1.60</x:v>
      </x:c>
      <x:c r="I2794" s="24" t="str">
        <x:v>DuraVision Platinum UV</x:v>
      </x:c>
      <x:c r="J2794" s="40" t="n">
        <x:v>2429</x:v>
      </x:c>
      <x:c r="K2794" s="24" t="str">
        <x:v>-12.00 a -7.50</x:v>
      </x:c>
      <x:c r="L2794" s="24" t="str">
        <x:v>-6.00</x:v>
      </x:c>
      <x:c r="M2794" s="24" t="str">
        <x:v>1.00 a 3.00</x:v>
      </x:c>
      <x:c r="N2794" s="24" t="str">
        <x:v>74</x:v>
      </x:c>
      <x:c r="O2794" s="24"/>
      <x:c r="P2794" s="24"/>
      <x:c r="Q2794" s="24" t="str">
        <x:v>DISPONÍVEL</x:v>
      </x:c>
      <x:c r="R2794" s="24"/>
      <x:c r="S2794" s="24" t="n">
        <x:v>46</x:v>
      </x:c>
      <x:c r="T2794" s="24" t="str">
        <x:v>tabela_zeiss.pdf</x:v>
      </x:c>
      <x:c r="U2794" s="24" t="str">
        <x:v>ZEISS|Progressiva|Surfaçada|GT2||1.60|1.60|DuraVision Platinum UV|-12.00 a -7.50|-6.00|1.00 a 3.00|74|||46</x:v>
      </x:c>
    </x:row>
    <x:row r="2795">
      <x:c r="A2795" s="24" t="str">
        <x:v>ZS-804C0BF80BD6</x:v>
      </x:c>
      <x:c r="B2795" s="24" t="str">
        <x:v>ZEISS</x:v>
      </x:c>
      <x:c r="C2795" s="24" t="str">
        <x:v>Progressiva</x:v>
      </x:c>
      <x:c r="D2795" s="24" t="str">
        <x:v>Surfaçada</x:v>
      </x:c>
      <x:c r="E2795" s="24" t="str">
        <x:v>GT2</x:v>
      </x:c>
      <x:c r="F2795" s="24"/>
      <x:c r="G2795" s="24" t="str">
        <x:v>1.60</x:v>
      </x:c>
      <x:c r="H2795" s="24" t="str">
        <x:v>1.60</x:v>
      </x:c>
      <x:c r="I2795" s="24" t="str">
        <x:v>DuraVision Silver UV</x:v>
      </x:c>
      <x:c r="J2795" s="40" t="n">
        <x:v>2169</x:v>
      </x:c>
      <x:c r="K2795" s="24" t="str">
        <x:v>-12.00 a -7.50</x:v>
      </x:c>
      <x:c r="L2795" s="24" t="str">
        <x:v>-6.00</x:v>
      </x:c>
      <x:c r="M2795" s="24" t="str">
        <x:v>1.00 a 3.00</x:v>
      </x:c>
      <x:c r="N2795" s="24" t="str">
        <x:v>74</x:v>
      </x:c>
      <x:c r="O2795" s="24"/>
      <x:c r="P2795" s="24"/>
      <x:c r="Q2795" s="24" t="str">
        <x:v>DISPONÍVEL</x:v>
      </x:c>
      <x:c r="R2795" s="24"/>
      <x:c r="S2795" s="24" t="n">
        <x:v>46</x:v>
      </x:c>
      <x:c r="T2795" s="24" t="str">
        <x:v>tabela_zeiss.pdf</x:v>
      </x:c>
      <x:c r="U2795" s="24" t="str">
        <x:v>ZEISS|Progressiva|Surfaçada|GT2||1.60|1.60|DuraVision Silver UV|-12.00 a -7.50|-6.00|1.00 a 3.00|74|||46</x:v>
      </x:c>
    </x:row>
    <x:row r="2796">
      <x:c r="A2796" s="24" t="str">
        <x:v>ZS-69E1647B66F8</x:v>
      </x:c>
      <x:c r="B2796" s="24" t="str">
        <x:v>ZEISS</x:v>
      </x:c>
      <x:c r="C2796" s="24" t="str">
        <x:v>Progressiva</x:v>
      </x:c>
      <x:c r="D2796" s="24" t="str">
        <x:v>Surfaçada</x:v>
      </x:c>
      <x:c r="E2796" s="24" t="str">
        <x:v>GT2</x:v>
      </x:c>
      <x:c r="F2796" s="24"/>
      <x:c r="G2796" s="24" t="str">
        <x:v>1.60</x:v>
      </x:c>
      <x:c r="H2796" s="24" t="str">
        <x:v>1.60</x:v>
      </x:c>
      <x:c r="I2796" s="24" t="str">
        <x:v>DuraVision Chrome UV</x:v>
      </x:c>
      <x:c r="J2796" s="40" t="n">
        <x:v>1679</x:v>
      </x:c>
      <x:c r="K2796" s="24" t="str">
        <x:v>-12.00 a -7.50</x:v>
      </x:c>
      <x:c r="L2796" s="24" t="str">
        <x:v>-6.00</x:v>
      </x:c>
      <x:c r="M2796" s="24" t="str">
        <x:v>1.00 a 3.00</x:v>
      </x:c>
      <x:c r="N2796" s="24" t="str">
        <x:v>74</x:v>
      </x:c>
      <x:c r="O2796" s="24"/>
      <x:c r="P2796" s="24"/>
      <x:c r="Q2796" s="24" t="str">
        <x:v>DISPONÍVEL</x:v>
      </x:c>
      <x:c r="R2796" s="24"/>
      <x:c r="S2796" s="24" t="n">
        <x:v>46</x:v>
      </x:c>
      <x:c r="T2796" s="24" t="str">
        <x:v>tabela_zeiss.pdf</x:v>
      </x:c>
      <x:c r="U2796" s="24" t="str">
        <x:v>ZEISS|Progressiva|Surfaçada|GT2||1.60|1.60|DuraVision Chrome UV|-12.00 a -7.50|-6.00|1.00 a 3.00|74|||46</x:v>
      </x:c>
    </x:row>
    <x:row r="2797">
      <x:c r="A2797" s="24" t="str">
        <x:v>ZS-F3014365C662</x:v>
      </x:c>
      <x:c r="B2797" s="24" t="str">
        <x:v>ZEISS</x:v>
      </x:c>
      <x:c r="C2797" s="24" t="str">
        <x:v>Progressiva</x:v>
      </x:c>
      <x:c r="D2797" s="24" t="str">
        <x:v>Surfaçada</x:v>
      </x:c>
      <x:c r="E2797" s="24" t="str">
        <x:v>GT2</x:v>
      </x:c>
      <x:c r="F2797" s="24"/>
      <x:c r="G2797" s="24" t="str">
        <x:v>1.67</x:v>
      </x:c>
      <x:c r="H2797" s="24" t="str">
        <x:v>1.67</x:v>
      </x:c>
      <x:c r="I2797" s="24" t="str">
        <x:v>DuraVision Gold UV</x:v>
      </x:c>
      <x:c r="J2797" s="40" t="n">
        <x:v>3869</x:v>
      </x:c>
      <x:c r="K2797" s="24" t="str">
        <x:v>-12.00 a -7.50</x:v>
      </x:c>
      <x:c r="L2797" s="24" t="str">
        <x:v>-6.00</x:v>
      </x:c>
      <x:c r="M2797" s="24" t="str">
        <x:v>1.00 a 3.00</x:v>
      </x:c>
      <x:c r="N2797" s="24" t="str">
        <x:v>74</x:v>
      </x:c>
      <x:c r="O2797" s="24"/>
      <x:c r="P2797" s="24"/>
      <x:c r="Q2797" s="24" t="str">
        <x:v>DISPONÍVEL</x:v>
      </x:c>
      <x:c r="R2797" s="24"/>
      <x:c r="S2797" s="24" t="n">
        <x:v>46</x:v>
      </x:c>
      <x:c r="T2797" s="24" t="str">
        <x:v>tabela_zeiss.pdf</x:v>
      </x:c>
      <x:c r="U2797" s="24" t="str">
        <x:v>ZEISS|Progressiva|Surfaçada|GT2||1.67|1.67|DuraVision Gold UV|-12.00 a -7.50|-6.00|1.00 a 3.00|74|||46</x:v>
      </x:c>
    </x:row>
    <x:row r="2798">
      <x:c r="A2798" s="24" t="str">
        <x:v>ZS-CB3F2AD60CC2</x:v>
      </x:c>
      <x:c r="B2798" s="24" t="str">
        <x:v>ZEISS</x:v>
      </x:c>
      <x:c r="C2798" s="24" t="str">
        <x:v>Progressiva</x:v>
      </x:c>
      <x:c r="D2798" s="24" t="str">
        <x:v>Surfaçada</x:v>
      </x:c>
      <x:c r="E2798" s="24" t="str">
        <x:v>GT2</x:v>
      </x:c>
      <x:c r="F2798" s="24"/>
      <x:c r="G2798" s="24" t="str">
        <x:v>1.67</x:v>
      </x:c>
      <x:c r="H2798" s="24" t="str">
        <x:v>1.67</x:v>
      </x:c>
      <x:c r="I2798" s="24" t="str">
        <x:v>DuraVision Platinum UV</x:v>
      </x:c>
      <x:c r="J2798" s="40" t="n">
        <x:v>3729</x:v>
      </x:c>
      <x:c r="K2798" s="24" t="str">
        <x:v>-12.00 a -7.50</x:v>
      </x:c>
      <x:c r="L2798" s="24" t="str">
        <x:v>-6.00</x:v>
      </x:c>
      <x:c r="M2798" s="24" t="str">
        <x:v>1.00 a 3.00</x:v>
      </x:c>
      <x:c r="N2798" s="24" t="str">
        <x:v>74</x:v>
      </x:c>
      <x:c r="O2798" s="24"/>
      <x:c r="P2798" s="24"/>
      <x:c r="Q2798" s="24" t="str">
        <x:v>DISPONÍVEL</x:v>
      </x:c>
      <x:c r="R2798" s="24"/>
      <x:c r="S2798" s="24" t="n">
        <x:v>46</x:v>
      </x:c>
      <x:c r="T2798" s="24" t="str">
        <x:v>tabela_zeiss.pdf</x:v>
      </x:c>
      <x:c r="U2798" s="24" t="str">
        <x:v>ZEISS|Progressiva|Surfaçada|GT2||1.67|1.67|DuraVision Platinum UV|-12.00 a -7.50|-6.00|1.00 a 3.00|74|||46</x:v>
      </x:c>
    </x:row>
    <x:row r="2799">
      <x:c r="A2799" s="24" t="str">
        <x:v>ZS-336D8AA504CA</x:v>
      </x:c>
      <x:c r="B2799" s="24" t="str">
        <x:v>ZEISS</x:v>
      </x:c>
      <x:c r="C2799" s="24" t="str">
        <x:v>Progressiva</x:v>
      </x:c>
      <x:c r="D2799" s="24" t="str">
        <x:v>Surfaçada</x:v>
      </x:c>
      <x:c r="E2799" s="24" t="str">
        <x:v>GT2</x:v>
      </x:c>
      <x:c r="F2799" s="24"/>
      <x:c r="G2799" s="24" t="str">
        <x:v>1.67</x:v>
      </x:c>
      <x:c r="H2799" s="24" t="str">
        <x:v>1.67</x:v>
      </x:c>
      <x:c r="I2799" s="24" t="str">
        <x:v>DuraVision Silver UV</x:v>
      </x:c>
      <x:c r="J2799" s="40" t="n">
        <x:v>3469</x:v>
      </x:c>
      <x:c r="K2799" s="24" t="str">
        <x:v>-12.00 a -7.50</x:v>
      </x:c>
      <x:c r="L2799" s="24" t="str">
        <x:v>-6.00</x:v>
      </x:c>
      <x:c r="M2799" s="24" t="str">
        <x:v>1.00 a 3.00</x:v>
      </x:c>
      <x:c r="N2799" s="24" t="str">
        <x:v>74</x:v>
      </x:c>
      <x:c r="O2799" s="24"/>
      <x:c r="P2799" s="24"/>
      <x:c r="Q2799" s="24" t="str">
        <x:v>DISPONÍVEL</x:v>
      </x:c>
      <x:c r="R2799" s="24"/>
      <x:c r="S2799" s="24" t="n">
        <x:v>46</x:v>
      </x:c>
      <x:c r="T2799" s="24" t="str">
        <x:v>tabela_zeiss.pdf</x:v>
      </x:c>
      <x:c r="U2799" s="24" t="str">
        <x:v>ZEISS|Progressiva|Surfaçada|GT2||1.67|1.67|DuraVision Silver UV|-12.00 a -7.50|-6.00|1.00 a 3.00|74|||46</x:v>
      </x:c>
    </x:row>
    <x:row r="2800">
      <x:c r="A2800" s="24" t="str">
        <x:v>ZS-61DB2F9AD1B6</x:v>
      </x:c>
      <x:c r="B2800" s="24" t="str">
        <x:v>ZEISS</x:v>
      </x:c>
      <x:c r="C2800" s="24" t="str">
        <x:v>Progressiva</x:v>
      </x:c>
      <x:c r="D2800" s="24" t="str">
        <x:v>Surfaçada</x:v>
      </x:c>
      <x:c r="E2800" s="24" t="str">
        <x:v>GT2</x:v>
      </x:c>
      <x:c r="F2800" s="24"/>
      <x:c r="G2800" s="24" t="str">
        <x:v>1.67</x:v>
      </x:c>
      <x:c r="H2800" s="24" t="str">
        <x:v>1.67</x:v>
      </x:c>
      <x:c r="I2800" s="24" t="str">
        <x:v>DuraVision Chrome UV</x:v>
      </x:c>
      <x:c r="J2800" s="40" t="n">
        <x:v>2979</x:v>
      </x:c>
      <x:c r="K2800" s="24" t="str">
        <x:v>-12.00 a -7.50</x:v>
      </x:c>
      <x:c r="L2800" s="24" t="str">
        <x:v>-6.00</x:v>
      </x:c>
      <x:c r="M2800" s="24" t="str">
        <x:v>1.00 a 3.00</x:v>
      </x:c>
      <x:c r="N2800" s="24" t="str">
        <x:v>74</x:v>
      </x:c>
      <x:c r="O2800" s="24"/>
      <x:c r="P2800" s="24"/>
      <x:c r="Q2800" s="24" t="str">
        <x:v>DISPONÍVEL</x:v>
      </x:c>
      <x:c r="R2800" s="24"/>
      <x:c r="S2800" s="24" t="n">
        <x:v>46</x:v>
      </x:c>
      <x:c r="T2800" s="24" t="str">
        <x:v>tabela_zeiss.pdf</x:v>
      </x:c>
      <x:c r="U2800" s="24" t="str">
        <x:v>ZEISS|Progressiva|Surfaçada|GT2||1.67|1.67|DuraVision Chrome UV|-12.00 a -7.50|-6.00|1.00 a 3.00|74|||46</x:v>
      </x:c>
    </x:row>
    <x:row r="2801">
      <x:c r="A2801" s="24" t="str">
        <x:v>ZS-9885450B195B</x:v>
      </x:c>
      <x:c r="B2801" s="24" t="str">
        <x:v>ZEISS</x:v>
      </x:c>
      <x:c r="C2801" s="24" t="str">
        <x:v>Progressiva</x:v>
      </x:c>
      <x:c r="D2801" s="24" t="str">
        <x:v>Surfaçada</x:v>
      </x:c>
      <x:c r="E2801" s="24" t="str">
        <x:v>GT2</x:v>
      </x:c>
      <x:c r="F2801" s="24" t="str">
        <x:v>PhotoFusion X</x:v>
      </x:c>
      <x:c r="G2801" s="24" t="str">
        <x:v>1.5</x:v>
      </x:c>
      <x:c r="H2801" s="24" t="str">
        <x:v>1.50</x:v>
      </x:c>
      <x:c r="I2801" s="24" t="str">
        <x:v>DuraVision Gold UV</x:v>
      </x:c>
      <x:c r="J2801" s="40" t="n">
        <x:v>3409</x:v>
      </x:c>
      <x:c r="K2801" s="24" t="str">
        <x:v>-7.00 a +5.00</x:v>
      </x:c>
      <x:c r="L2801" s="24" t="str">
        <x:v>-4.00</x:v>
      </x:c>
      <x:c r="M2801" s="24" t="str">
        <x:v>1.00 a 3.00</x:v>
      </x:c>
      <x:c r="N2801" s="24" t="str">
        <x:v>72</x:v>
      </x:c>
      <x:c r="O2801" s="24"/>
      <x:c r="P2801" s="24"/>
      <x:c r="Q2801" s="24" t="str">
        <x:v>DISPONÍVEL</x:v>
      </x:c>
      <x:c r="R2801" s="24" t="str">
        <x:v>Programa de Parcerias ZEISS</x:v>
      </x:c>
      <x:c r="S2801" s="24" t="n">
        <x:v>46</x:v>
      </x:c>
      <x:c r="T2801" s="24" t="str">
        <x:v>tabela_zeiss.pdf</x:v>
      </x:c>
      <x:c r="U2801" s="24" t="str">
        <x:v>ZEISS|Progressiva|Surfaçada|GT2|PhotoFusion X|1.5|1.50|DuraVision Gold UV|-7.00 a +5.00|-4.00|1.00 a 3.00|72|||46</x:v>
      </x:c>
    </x:row>
    <x:row r="2802">
      <x:c r="A2802" s="24" t="str">
        <x:v>ZS-B1C2920024C3</x:v>
      </x:c>
      <x:c r="B2802" s="24" t="str">
        <x:v>ZEISS</x:v>
      </x:c>
      <x:c r="C2802" s="24" t="str">
        <x:v>Progressiva</x:v>
      </x:c>
      <x:c r="D2802" s="24" t="str">
        <x:v>Surfaçada</x:v>
      </x:c>
      <x:c r="E2802" s="24" t="str">
        <x:v>GT2</x:v>
      </x:c>
      <x:c r="F2802" s="24" t="str">
        <x:v>PhotoFusion X</x:v>
      </x:c>
      <x:c r="G2802" s="24" t="str">
        <x:v>1.5</x:v>
      </x:c>
      <x:c r="H2802" s="24" t="str">
        <x:v>1.50</x:v>
      </x:c>
      <x:c r="I2802" s="24" t="str">
        <x:v>DuraVision Platinum UV</x:v>
      </x:c>
      <x:c r="J2802" s="40" t="n">
        <x:v>3269</x:v>
      </x:c>
      <x:c r="K2802" s="24" t="str">
        <x:v>-7.00 a +5.00</x:v>
      </x:c>
      <x:c r="L2802" s="24" t="str">
        <x:v>-4.00</x:v>
      </x:c>
      <x:c r="M2802" s="24" t="str">
        <x:v>1.00 a 3.00</x:v>
      </x:c>
      <x:c r="N2802" s="24" t="str">
        <x:v>72</x:v>
      </x:c>
      <x:c r="O2802" s="24"/>
      <x:c r="P2802" s="24"/>
      <x:c r="Q2802" s="24" t="str">
        <x:v>DISPONÍVEL</x:v>
      </x:c>
      <x:c r="R2802" s="24" t="str">
        <x:v>Programa de Parcerias ZEISS</x:v>
      </x:c>
      <x:c r="S2802" s="24" t="n">
        <x:v>46</x:v>
      </x:c>
      <x:c r="T2802" s="24" t="str">
        <x:v>tabela_zeiss.pdf</x:v>
      </x:c>
      <x:c r="U2802" s="24" t="str">
        <x:v>ZEISS|Progressiva|Surfaçada|GT2|PhotoFusion X|1.5|1.50|DuraVision Platinum UV|-7.00 a +5.00|-4.00|1.00 a 3.00|72|||46</x:v>
      </x:c>
    </x:row>
    <x:row r="2803">
      <x:c r="A2803" s="24" t="str">
        <x:v>ZS-002942F122E8</x:v>
      </x:c>
      <x:c r="B2803" s="24" t="str">
        <x:v>ZEISS</x:v>
      </x:c>
      <x:c r="C2803" s="24" t="str">
        <x:v>Progressiva</x:v>
      </x:c>
      <x:c r="D2803" s="24" t="str">
        <x:v>Surfaçada</x:v>
      </x:c>
      <x:c r="E2803" s="24" t="str">
        <x:v>GT2</x:v>
      </x:c>
      <x:c r="F2803" s="24" t="str">
        <x:v>PhotoFusion X</x:v>
      </x:c>
      <x:c r="G2803" s="24" t="str">
        <x:v>1.5</x:v>
      </x:c>
      <x:c r="H2803" s="24" t="str">
        <x:v>1.50</x:v>
      </x:c>
      <x:c r="I2803" s="24" t="str">
        <x:v>DuraVision Silver UV</x:v>
      </x:c>
      <x:c r="J2803" s="40" t="n">
        <x:v>3009</x:v>
      </x:c>
      <x:c r="K2803" s="24" t="str">
        <x:v>-7.00 a +5.00</x:v>
      </x:c>
      <x:c r="L2803" s="24" t="str">
        <x:v>-4.00</x:v>
      </x:c>
      <x:c r="M2803" s="24" t="str">
        <x:v>1.00 a 3.00</x:v>
      </x:c>
      <x:c r="N2803" s="24" t="str">
        <x:v>72</x:v>
      </x:c>
      <x:c r="O2803" s="24"/>
      <x:c r="P2803" s="24"/>
      <x:c r="Q2803" s="24" t="str">
        <x:v>DISPONÍVEL</x:v>
      </x:c>
      <x:c r="R2803" s="24" t="str">
        <x:v>Programa de Parcerias ZEISS</x:v>
      </x:c>
      <x:c r="S2803" s="24" t="n">
        <x:v>46</x:v>
      </x:c>
      <x:c r="T2803" s="24" t="str">
        <x:v>tabela_zeiss.pdf</x:v>
      </x:c>
      <x:c r="U2803" s="24" t="str">
        <x:v>ZEISS|Progressiva|Surfaçada|GT2|PhotoFusion X|1.5|1.50|DuraVision Silver UV|-7.00 a +5.00|-4.00|1.00 a 3.00|72|||46</x:v>
      </x:c>
    </x:row>
    <x:row r="2804">
      <x:c r="A2804" s="24" t="str">
        <x:v>ZS-5956065BBECE</x:v>
      </x:c>
      <x:c r="B2804" s="24" t="str">
        <x:v>ZEISS</x:v>
      </x:c>
      <x:c r="C2804" s="24" t="str">
        <x:v>Progressiva</x:v>
      </x:c>
      <x:c r="D2804" s="24" t="str">
        <x:v>Surfaçada</x:v>
      </x:c>
      <x:c r="E2804" s="24" t="str">
        <x:v>GT2</x:v>
      </x:c>
      <x:c r="F2804" s="24" t="str">
        <x:v>PhotoFusion X</x:v>
      </x:c>
      <x:c r="G2804" s="24" t="str">
        <x:v>1.5</x:v>
      </x:c>
      <x:c r="H2804" s="24" t="str">
        <x:v>1.50</x:v>
      </x:c>
      <x:c r="I2804" s="24" t="str">
        <x:v>DuraVision Chrome UV</x:v>
      </x:c>
      <x:c r="J2804" s="40" t="n">
        <x:v>2519</x:v>
      </x:c>
      <x:c r="K2804" s="24" t="str">
        <x:v>-7.00 a +5.00</x:v>
      </x:c>
      <x:c r="L2804" s="24" t="str">
        <x:v>-4.00</x:v>
      </x:c>
      <x:c r="M2804" s="24" t="str">
        <x:v>1.00 a 3.00</x:v>
      </x:c>
      <x:c r="N2804" s="24" t="str">
        <x:v>72</x:v>
      </x:c>
      <x:c r="O2804" s="24"/>
      <x:c r="P2804" s="24"/>
      <x:c r="Q2804" s="24" t="str">
        <x:v>DISPONÍVEL</x:v>
      </x:c>
      <x:c r="R2804" s="24" t="str">
        <x:v>Programa de Parcerias ZEISS</x:v>
      </x:c>
      <x:c r="S2804" s="24" t="n">
        <x:v>46</x:v>
      </x:c>
      <x:c r="T2804" s="24" t="str">
        <x:v>tabela_zeiss.pdf</x:v>
      </x:c>
      <x:c r="U2804" s="24" t="str">
        <x:v>ZEISS|Progressiva|Surfaçada|GT2|PhotoFusion X|1.5|1.50|DuraVision Chrome UV|-7.00 a +5.00|-4.00|1.00 a 3.00|72|||46</x:v>
      </x:c>
    </x:row>
    <x:row r="2805">
      <x:c r="A2805" s="24" t="str">
        <x:v>ZS-7BE0BE1EAF4C</x:v>
      </x:c>
      <x:c r="B2805" s="24" t="str">
        <x:v>ZEISS</x:v>
      </x:c>
      <x:c r="C2805" s="24" t="str">
        <x:v>Progressiva</x:v>
      </x:c>
      <x:c r="D2805" s="24" t="str">
        <x:v>Surfaçada</x:v>
      </x:c>
      <x:c r="E2805" s="24" t="str">
        <x:v>GT2</x:v>
      </x:c>
      <x:c r="F2805" s="24" t="str">
        <x:v>PhotoFusion X</x:v>
      </x:c>
      <x:c r="G2805" s="24" t="str">
        <x:v>1.5</x:v>
      </x:c>
      <x:c r="H2805" s="24" t="str">
        <x:v>1.50</x:v>
      </x:c>
      <x:c r="I2805" s="24" t="str">
        <x:v>Sem AR</x:v>
      </x:c>
      <x:c r="J2805" s="40" t="n">
        <x:v>2119</x:v>
      </x:c>
      <x:c r="K2805" s="24" t="str">
        <x:v>-7.00 a +5.00</x:v>
      </x:c>
      <x:c r="L2805" s="24" t="str">
        <x:v>-4.00</x:v>
      </x:c>
      <x:c r="M2805" s="24" t="str">
        <x:v>1.00 a 3.00</x:v>
      </x:c>
      <x:c r="N2805" s="24" t="str">
        <x:v>72</x:v>
      </x:c>
      <x:c r="O2805" s="24"/>
      <x:c r="P2805" s="24"/>
      <x:c r="Q2805" s="24" t="str">
        <x:v>DISPONÍVEL</x:v>
      </x:c>
      <x:c r="R2805" s="24" t="str">
        <x:v>Programa de Parcerias ZEISS</x:v>
      </x:c>
      <x:c r="S2805" s="24" t="n">
        <x:v>46</x:v>
      </x:c>
      <x:c r="T2805" s="24" t="str">
        <x:v>tabela_zeiss.pdf</x:v>
      </x:c>
      <x:c r="U2805" s="24" t="str">
        <x:v>ZEISS|Progressiva|Surfaçada|GT2|PhotoFusion X|1.5|1.50|Sem AR|-7.00 a +5.00|-4.00|1.00 a 3.00|72|||46</x:v>
      </x:c>
    </x:row>
    <x:row r="2806">
      <x:c r="A2806" s="24" t="str">
        <x:v>ZS-80E34996EF45</x:v>
      </x:c>
      <x:c r="B2806" s="24" t="str">
        <x:v>ZEISS</x:v>
      </x:c>
      <x:c r="C2806" s="24" t="str">
        <x:v>Progressiva</x:v>
      </x:c>
      <x:c r="D2806" s="24" t="str">
        <x:v>Surfaçada</x:v>
      </x:c>
      <x:c r="E2806" s="24" t="str">
        <x:v>GT2</x:v>
      </x:c>
      <x:c r="F2806" s="24" t="str">
        <x:v>PhotoFusion X</x:v>
      </x:c>
      <x:c r="G2806" s="24" t="str">
        <x:v>Poli</x:v>
      </x:c>
      <x:c r="H2806" s="24"/>
      <x:c r="I2806" s="24" t="str">
        <x:v>DuraVision Gold UV</x:v>
      </x:c>
      <x:c r="J2806" s="40" t="n">
        <x:v>3769</x:v>
      </x:c>
      <x:c r="K2806" s="24" t="str">
        <x:v>-10.00 a +6.00</x:v>
      </x:c>
      <x:c r="L2806" s="24" t="str">
        <x:v>-6.00</x:v>
      </x:c>
      <x:c r="M2806" s="24" t="str">
        <x:v>1.00 a 3.00</x:v>
      </x:c>
      <x:c r="N2806" s="24" t="str">
        <x:v>72</x:v>
      </x:c>
      <x:c r="O2806" s="24"/>
      <x:c r="P2806" s="24"/>
      <x:c r="Q2806" s="24" t="str">
        <x:v>DISPONÍVEL</x:v>
      </x:c>
      <x:c r="R2806" s="24" t="str">
        <x:v>Programa de Parcerias ZEISS</x:v>
      </x:c>
      <x:c r="S2806" s="24" t="n">
        <x:v>46</x:v>
      </x:c>
      <x:c r="T2806" s="24" t="str">
        <x:v>tabela_zeiss.pdf</x:v>
      </x:c>
      <x:c r="U2806" s="24" t="str">
        <x:v>ZEISS|Progressiva|Surfaçada|GT2|PhotoFusion X|Poli||DuraVision Gold UV|-10.00 a +6.00|-6.00|1.00 a 3.00|72|||46</x:v>
      </x:c>
    </x:row>
    <x:row r="2807">
      <x:c r="A2807" s="24" t="str">
        <x:v>ZS-77965C419A71</x:v>
      </x:c>
      <x:c r="B2807" s="24" t="str">
        <x:v>ZEISS</x:v>
      </x:c>
      <x:c r="C2807" s="24" t="str">
        <x:v>Progressiva</x:v>
      </x:c>
      <x:c r="D2807" s="24" t="str">
        <x:v>Surfaçada</x:v>
      </x:c>
      <x:c r="E2807" s="24" t="str">
        <x:v>GT2</x:v>
      </x:c>
      <x:c r="F2807" s="24" t="str">
        <x:v>PhotoFusion X</x:v>
      </x:c>
      <x:c r="G2807" s="24" t="str">
        <x:v>Poli</x:v>
      </x:c>
      <x:c r="H2807" s="24"/>
      <x:c r="I2807" s="24" t="str">
        <x:v>DuraVision Platinum UV</x:v>
      </x:c>
      <x:c r="J2807" s="40" t="n">
        <x:v>3629</x:v>
      </x:c>
      <x:c r="K2807" s="24" t="str">
        <x:v>-10.00 a +6.00</x:v>
      </x:c>
      <x:c r="L2807" s="24" t="str">
        <x:v>-6.00</x:v>
      </x:c>
      <x:c r="M2807" s="24" t="str">
        <x:v>1.00 a 3.00</x:v>
      </x:c>
      <x:c r="N2807" s="24" t="str">
        <x:v>72</x:v>
      </x:c>
      <x:c r="O2807" s="24"/>
      <x:c r="P2807" s="24"/>
      <x:c r="Q2807" s="24" t="str">
        <x:v>DISPONÍVEL</x:v>
      </x:c>
      <x:c r="R2807" s="24" t="str">
        <x:v>Programa de Parcerias ZEISS</x:v>
      </x:c>
      <x:c r="S2807" s="24" t="n">
        <x:v>46</x:v>
      </x:c>
      <x:c r="T2807" s="24" t="str">
        <x:v>tabela_zeiss.pdf</x:v>
      </x:c>
      <x:c r="U2807" s="24" t="str">
        <x:v>ZEISS|Progressiva|Surfaçada|GT2|PhotoFusion X|Poli||DuraVision Platinum UV|-10.00 a +6.00|-6.00|1.00 a 3.00|72|||46</x:v>
      </x:c>
    </x:row>
    <x:row r="2808">
      <x:c r="A2808" s="24" t="str">
        <x:v>ZS-7FC01C8C6DFF</x:v>
      </x:c>
      <x:c r="B2808" s="24" t="str">
        <x:v>ZEISS</x:v>
      </x:c>
      <x:c r="C2808" s="24" t="str">
        <x:v>Progressiva</x:v>
      </x:c>
      <x:c r="D2808" s="24" t="str">
        <x:v>Surfaçada</x:v>
      </x:c>
      <x:c r="E2808" s="24" t="str">
        <x:v>GT2</x:v>
      </x:c>
      <x:c r="F2808" s="24" t="str">
        <x:v>PhotoFusion X</x:v>
      </x:c>
      <x:c r="G2808" s="24" t="str">
        <x:v>Poli</x:v>
      </x:c>
      <x:c r="H2808" s="24"/>
      <x:c r="I2808" s="24" t="str">
        <x:v>DuraVision Silver UV</x:v>
      </x:c>
      <x:c r="J2808" s="40" t="n">
        <x:v>3369</x:v>
      </x:c>
      <x:c r="K2808" s="24" t="str">
        <x:v>-10.00 a +6.00</x:v>
      </x:c>
      <x:c r="L2808" s="24" t="str">
        <x:v>-6.00</x:v>
      </x:c>
      <x:c r="M2808" s="24" t="str">
        <x:v>1.00 a 3.00</x:v>
      </x:c>
      <x:c r="N2808" s="24" t="str">
        <x:v>72</x:v>
      </x:c>
      <x:c r="O2808" s="24"/>
      <x:c r="P2808" s="24"/>
      <x:c r="Q2808" s="24" t="str">
        <x:v>DISPONÍVEL</x:v>
      </x:c>
      <x:c r="R2808" s="24" t="str">
        <x:v>Programa de Parcerias ZEISS</x:v>
      </x:c>
      <x:c r="S2808" s="24" t="n">
        <x:v>46</x:v>
      </x:c>
      <x:c r="T2808" s="24" t="str">
        <x:v>tabela_zeiss.pdf</x:v>
      </x:c>
      <x:c r="U2808" s="24" t="str">
        <x:v>ZEISS|Progressiva|Surfaçada|GT2|PhotoFusion X|Poli||DuraVision Silver UV|-10.00 a +6.00|-6.00|1.00 a 3.00|72|||46</x:v>
      </x:c>
    </x:row>
    <x:row r="2809">
      <x:c r="A2809" s="24" t="str">
        <x:v>ZS-855BB808D803</x:v>
      </x:c>
      <x:c r="B2809" s="24" t="str">
        <x:v>ZEISS</x:v>
      </x:c>
      <x:c r="C2809" s="24" t="str">
        <x:v>Progressiva</x:v>
      </x:c>
      <x:c r="D2809" s="24" t="str">
        <x:v>Surfaçada</x:v>
      </x:c>
      <x:c r="E2809" s="24" t="str">
        <x:v>GT2</x:v>
      </x:c>
      <x:c r="F2809" s="24" t="str">
        <x:v>PhotoFusion X</x:v>
      </x:c>
      <x:c r="G2809" s="24" t="str">
        <x:v>Poli</x:v>
      </x:c>
      <x:c r="H2809" s="24"/>
      <x:c r="I2809" s="24" t="str">
        <x:v>DuraVision Chrome UV</x:v>
      </x:c>
      <x:c r="J2809" s="40" t="n">
        <x:v>2879</x:v>
      </x:c>
      <x:c r="K2809" s="24" t="str">
        <x:v>-10.00 a +6.00</x:v>
      </x:c>
      <x:c r="L2809" s="24" t="str">
        <x:v>-6.00</x:v>
      </x:c>
      <x:c r="M2809" s="24" t="str">
        <x:v>1.00 a 3.00</x:v>
      </x:c>
      <x:c r="N2809" s="24" t="str">
        <x:v>72</x:v>
      </x:c>
      <x:c r="O2809" s="24"/>
      <x:c r="P2809" s="24"/>
      <x:c r="Q2809" s="24" t="str">
        <x:v>DISPONÍVEL</x:v>
      </x:c>
      <x:c r="R2809" s="24" t="str">
        <x:v>Programa de Parcerias ZEISS</x:v>
      </x:c>
      <x:c r="S2809" s="24" t="n">
        <x:v>46</x:v>
      </x:c>
      <x:c r="T2809" s="24" t="str">
        <x:v>tabela_zeiss.pdf</x:v>
      </x:c>
      <x:c r="U2809" s="24" t="str">
        <x:v>ZEISS|Progressiva|Surfaçada|GT2|PhotoFusion X|Poli||DuraVision Chrome UV|-10.00 a +6.00|-6.00|1.00 a 3.00|72|||46</x:v>
      </x:c>
    </x:row>
    <x:row r="2810">
      <x:c r="A2810" s="24" t="str">
        <x:v>ZS-8C066B3263CF</x:v>
      </x:c>
      <x:c r="B2810" s="24" t="str">
        <x:v>ZEISS</x:v>
      </x:c>
      <x:c r="C2810" s="24" t="str">
        <x:v>Progressiva</x:v>
      </x:c>
      <x:c r="D2810" s="24" t="str">
        <x:v>Surfaçada</x:v>
      </x:c>
      <x:c r="E2810" s="24" t="str">
        <x:v>GT2</x:v>
      </x:c>
      <x:c r="F2810" s="24" t="str">
        <x:v>PhotoFusion X</x:v>
      </x:c>
      <x:c r="G2810" s="24" t="str">
        <x:v>Poli</x:v>
      </x:c>
      <x:c r="H2810" s="24"/>
      <x:c r="I2810" s="24" t="str">
        <x:v>Sem AR</x:v>
      </x:c>
      <x:c r="J2810" s="40" t="n">
        <x:v>2479</x:v>
      </x:c>
      <x:c r="K2810" s="24" t="str">
        <x:v>-10.00 a +6.00</x:v>
      </x:c>
      <x:c r="L2810" s="24" t="str">
        <x:v>-6.00</x:v>
      </x:c>
      <x:c r="M2810" s="24" t="str">
        <x:v>1.00 a 3.00</x:v>
      </x:c>
      <x:c r="N2810" s="24" t="str">
        <x:v>72</x:v>
      </x:c>
      <x:c r="O2810" s="24"/>
      <x:c r="P2810" s="24"/>
      <x:c r="Q2810" s="24" t="str">
        <x:v>DISPONÍVEL</x:v>
      </x:c>
      <x:c r="R2810" s="24" t="str">
        <x:v>Programa de Parcerias ZEISS</x:v>
      </x:c>
      <x:c r="S2810" s="24" t="n">
        <x:v>46</x:v>
      </x:c>
      <x:c r="T2810" s="24" t="str">
        <x:v>tabela_zeiss.pdf</x:v>
      </x:c>
      <x:c r="U2810" s="24" t="str">
        <x:v>ZEISS|Progressiva|Surfaçada|GT2|PhotoFusion X|Poli||Sem AR|-10.00 a +6.00|-6.00|1.00 a 3.00|72|||46</x:v>
      </x:c>
    </x:row>
    <x:row r="2811">
      <x:c r="A2811" s="24" t="str">
        <x:v>ZS-0EC0B7EFEF37</x:v>
      </x:c>
      <x:c r="B2811" s="24" t="str">
        <x:v>ZEISS</x:v>
      </x:c>
      <x:c r="C2811" s="24" t="str">
        <x:v>Progressiva</x:v>
      </x:c>
      <x:c r="D2811" s="24" t="str">
        <x:v>Surfaçada</x:v>
      </x:c>
      <x:c r="E2811" s="24" t="str">
        <x:v>GT2</x:v>
      </x:c>
      <x:c r="F2811" s="24" t="str">
        <x:v>PhotoFusion X</x:v>
      </x:c>
      <x:c r="G2811" s="24" t="str">
        <x:v>1.60</x:v>
      </x:c>
      <x:c r="H2811" s="24" t="str">
        <x:v>1.60</x:v>
      </x:c>
      <x:c r="I2811" s="24" t="str">
        <x:v>DuraVision Gold UV</x:v>
      </x:c>
      <x:c r="J2811" s="40" t="n">
        <x:v>3989</x:v>
      </x:c>
      <x:c r="K2811" s="24" t="str">
        <x:v>-12.00 a -7.50</x:v>
      </x:c>
      <x:c r="L2811" s="24" t="str">
        <x:v>-6.00</x:v>
      </x:c>
      <x:c r="M2811" s="24" t="str">
        <x:v>1.00 a 3.00</x:v>
      </x:c>
      <x:c r="N2811" s="24" t="str">
        <x:v>74</x:v>
      </x:c>
      <x:c r="O2811" s="24"/>
      <x:c r="P2811" s="24"/>
      <x:c r="Q2811" s="24" t="str">
        <x:v>DISPONÍVEL</x:v>
      </x:c>
      <x:c r="R2811" s="24" t="str">
        <x:v>Programa de Parcerias ZEISS</x:v>
      </x:c>
      <x:c r="S2811" s="24" t="n">
        <x:v>46</x:v>
      </x:c>
      <x:c r="T2811" s="24" t="str">
        <x:v>tabela_zeiss.pdf</x:v>
      </x:c>
      <x:c r="U2811" s="24" t="str">
        <x:v>ZEISS|Progressiva|Surfaçada|GT2|PhotoFusion X|1.60|1.60|DuraVision Gold UV|-12.00 a -7.50|-6.00|1.00 a 3.00|74|||46</x:v>
      </x:c>
    </x:row>
    <x:row r="2812">
      <x:c r="A2812" s="24" t="str">
        <x:v>ZS-37833744A512</x:v>
      </x:c>
      <x:c r="B2812" s="24" t="str">
        <x:v>ZEISS</x:v>
      </x:c>
      <x:c r="C2812" s="24" t="str">
        <x:v>Progressiva</x:v>
      </x:c>
      <x:c r="D2812" s="24" t="str">
        <x:v>Surfaçada</x:v>
      </x:c>
      <x:c r="E2812" s="24" t="str">
        <x:v>GT2</x:v>
      </x:c>
      <x:c r="F2812" s="24" t="str">
        <x:v>PhotoFusion X</x:v>
      </x:c>
      <x:c r="G2812" s="24" t="str">
        <x:v>1.60</x:v>
      </x:c>
      <x:c r="H2812" s="24" t="str">
        <x:v>1.60</x:v>
      </x:c>
      <x:c r="I2812" s="24" t="str">
        <x:v>DuraVision Platinum UV</x:v>
      </x:c>
      <x:c r="J2812" s="40" t="n">
        <x:v>3849</x:v>
      </x:c>
      <x:c r="K2812" s="24" t="str">
        <x:v>-12.00 a -7.50</x:v>
      </x:c>
      <x:c r="L2812" s="24" t="str">
        <x:v>-6.00</x:v>
      </x:c>
      <x:c r="M2812" s="24" t="str">
        <x:v>1.00 a 3.00</x:v>
      </x:c>
      <x:c r="N2812" s="24" t="str">
        <x:v>74</x:v>
      </x:c>
      <x:c r="O2812" s="24"/>
      <x:c r="P2812" s="24"/>
      <x:c r="Q2812" s="24" t="str">
        <x:v>DISPONÍVEL</x:v>
      </x:c>
      <x:c r="R2812" s="24" t="str">
        <x:v>Programa de Parcerias ZEISS</x:v>
      </x:c>
      <x:c r="S2812" s="24" t="n">
        <x:v>46</x:v>
      </x:c>
      <x:c r="T2812" s="24" t="str">
        <x:v>tabela_zeiss.pdf</x:v>
      </x:c>
      <x:c r="U2812" s="24" t="str">
        <x:v>ZEISS|Progressiva|Surfaçada|GT2|PhotoFusion X|1.60|1.60|DuraVision Platinum UV|-12.00 a -7.50|-6.00|1.00 a 3.00|74|||46</x:v>
      </x:c>
    </x:row>
    <x:row r="2813">
      <x:c r="A2813" s="24" t="str">
        <x:v>ZS-FF7C868C93AD</x:v>
      </x:c>
      <x:c r="B2813" s="24" t="str">
        <x:v>ZEISS</x:v>
      </x:c>
      <x:c r="C2813" s="24" t="str">
        <x:v>Progressiva</x:v>
      </x:c>
      <x:c r="D2813" s="24" t="str">
        <x:v>Surfaçada</x:v>
      </x:c>
      <x:c r="E2813" s="24" t="str">
        <x:v>GT2</x:v>
      </x:c>
      <x:c r="F2813" s="24" t="str">
        <x:v>PhotoFusion X</x:v>
      </x:c>
      <x:c r="G2813" s="24" t="str">
        <x:v>1.60</x:v>
      </x:c>
      <x:c r="H2813" s="24" t="str">
        <x:v>1.60</x:v>
      </x:c>
      <x:c r="I2813" s="24" t="str">
        <x:v>DuraVision Silver UV</x:v>
      </x:c>
      <x:c r="J2813" s="40" t="n">
        <x:v>3589</x:v>
      </x:c>
      <x:c r="K2813" s="24" t="str">
        <x:v>-12.00 a -7.50</x:v>
      </x:c>
      <x:c r="L2813" s="24" t="str">
        <x:v>-6.00</x:v>
      </x:c>
      <x:c r="M2813" s="24" t="str">
        <x:v>1.00 a 3.00</x:v>
      </x:c>
      <x:c r="N2813" s="24" t="str">
        <x:v>74</x:v>
      </x:c>
      <x:c r="O2813" s="24"/>
      <x:c r="P2813" s="24"/>
      <x:c r="Q2813" s="24" t="str">
        <x:v>DISPONÍVEL</x:v>
      </x:c>
      <x:c r="R2813" s="24" t="str">
        <x:v>Programa de Parcerias ZEISS</x:v>
      </x:c>
      <x:c r="S2813" s="24" t="n">
        <x:v>46</x:v>
      </x:c>
      <x:c r="T2813" s="24" t="str">
        <x:v>tabela_zeiss.pdf</x:v>
      </x:c>
      <x:c r="U2813" s="24" t="str">
        <x:v>ZEISS|Progressiva|Surfaçada|GT2|PhotoFusion X|1.60|1.60|DuraVision Silver UV|-12.00 a -7.50|-6.00|1.00 a 3.00|74|||46</x:v>
      </x:c>
    </x:row>
    <x:row r="2814">
      <x:c r="A2814" s="24" t="str">
        <x:v>ZS-ADD11956A27A</x:v>
      </x:c>
      <x:c r="B2814" s="24" t="str">
        <x:v>ZEISS</x:v>
      </x:c>
      <x:c r="C2814" s="24" t="str">
        <x:v>Progressiva</x:v>
      </x:c>
      <x:c r="D2814" s="24" t="str">
        <x:v>Surfaçada</x:v>
      </x:c>
      <x:c r="E2814" s="24" t="str">
        <x:v>GT2</x:v>
      </x:c>
      <x:c r="F2814" s="24" t="str">
        <x:v>PhotoFusion X</x:v>
      </x:c>
      <x:c r="G2814" s="24" t="str">
        <x:v>1.60</x:v>
      </x:c>
      <x:c r="H2814" s="24" t="str">
        <x:v>1.60</x:v>
      </x:c>
      <x:c r="I2814" s="24" t="str">
        <x:v>DuraVision Chrome UV</x:v>
      </x:c>
      <x:c r="J2814" s="40" t="n">
        <x:v>3099</x:v>
      </x:c>
      <x:c r="K2814" s="24" t="str">
        <x:v>-12.00 a -7.50</x:v>
      </x:c>
      <x:c r="L2814" s="24" t="str">
        <x:v>-6.00</x:v>
      </x:c>
      <x:c r="M2814" s="24" t="str">
        <x:v>1.00 a 3.00</x:v>
      </x:c>
      <x:c r="N2814" s="24" t="str">
        <x:v>74</x:v>
      </x:c>
      <x:c r="O2814" s="24"/>
      <x:c r="P2814" s="24"/>
      <x:c r="Q2814" s="24" t="str">
        <x:v>DISPONÍVEL</x:v>
      </x:c>
      <x:c r="R2814" s="24" t="str">
        <x:v>Programa de Parcerias ZEISS</x:v>
      </x:c>
      <x:c r="S2814" s="24" t="n">
        <x:v>46</x:v>
      </x:c>
      <x:c r="T2814" s="24" t="str">
        <x:v>tabela_zeiss.pdf</x:v>
      </x:c>
      <x:c r="U2814" s="24" t="str">
        <x:v>ZEISS|Progressiva|Surfaçada|GT2|PhotoFusion X|1.60|1.60|DuraVision Chrome UV|-12.00 a -7.50|-6.00|1.00 a 3.00|74|||46</x:v>
      </x:c>
    </x:row>
    <x:row r="2815">
      <x:c r="A2815" s="24" t="str">
        <x:v>ZS-54045368A17C</x:v>
      </x:c>
      <x:c r="B2815" s="24" t="str">
        <x:v>ZEISS</x:v>
      </x:c>
      <x:c r="C2815" s="24" t="str">
        <x:v>Progressiva</x:v>
      </x:c>
      <x:c r="D2815" s="24" t="str">
        <x:v>Surfaçada</x:v>
      </x:c>
      <x:c r="E2815" s="24" t="str">
        <x:v>GT2</x:v>
      </x:c>
      <x:c r="F2815" s="24" t="str">
        <x:v>PhotoFusion X</x:v>
      </x:c>
      <x:c r="G2815" s="24" t="str">
        <x:v>1.67</x:v>
      </x:c>
      <x:c r="H2815" s="24" t="str">
        <x:v>1.67</x:v>
      </x:c>
      <x:c r="I2815" s="24" t="str">
        <x:v>DuraVision Gold UV</x:v>
      </x:c>
      <x:c r="J2815" s="40" t="n">
        <x:v>5289</x:v>
      </x:c>
      <x:c r="K2815" s="24" t="str">
        <x:v>-12.00 a -7.50</x:v>
      </x:c>
      <x:c r="L2815" s="24" t="str">
        <x:v>-6.00</x:v>
      </x:c>
      <x:c r="M2815" s="24" t="str">
        <x:v>1.00 a 3.00</x:v>
      </x:c>
      <x:c r="N2815" s="24" t="str">
        <x:v>74</x:v>
      </x:c>
      <x:c r="O2815" s="24"/>
      <x:c r="P2815" s="24"/>
      <x:c r="Q2815" s="24" t="str">
        <x:v>DISPONÍVEL</x:v>
      </x:c>
      <x:c r="R2815" s="24" t="str">
        <x:v>Programa de Parcerias ZEISS</x:v>
      </x:c>
      <x:c r="S2815" s="24" t="n">
        <x:v>46</x:v>
      </x:c>
      <x:c r="T2815" s="24" t="str">
        <x:v>tabela_zeiss.pdf</x:v>
      </x:c>
      <x:c r="U2815" s="24" t="str">
        <x:v>ZEISS|Progressiva|Surfaçada|GT2|PhotoFusion X|1.67|1.67|DuraVision Gold UV|-12.00 a -7.50|-6.00|1.00 a 3.00|74|||46</x:v>
      </x:c>
    </x:row>
    <x:row r="2816">
      <x:c r="A2816" s="24" t="str">
        <x:v>ZS-FBAE95784816</x:v>
      </x:c>
      <x:c r="B2816" s="24" t="str">
        <x:v>ZEISS</x:v>
      </x:c>
      <x:c r="C2816" s="24" t="str">
        <x:v>Progressiva</x:v>
      </x:c>
      <x:c r="D2816" s="24" t="str">
        <x:v>Surfaçada</x:v>
      </x:c>
      <x:c r="E2816" s="24" t="str">
        <x:v>GT2</x:v>
      </x:c>
      <x:c r="F2816" s="24" t="str">
        <x:v>PhotoFusion X</x:v>
      </x:c>
      <x:c r="G2816" s="24" t="str">
        <x:v>1.67</x:v>
      </x:c>
      <x:c r="H2816" s="24" t="str">
        <x:v>1.67</x:v>
      </x:c>
      <x:c r="I2816" s="24" t="str">
        <x:v>DuraVision Platinum UV</x:v>
      </x:c>
      <x:c r="J2816" s="40" t="n">
        <x:v>5149</x:v>
      </x:c>
      <x:c r="K2816" s="24" t="str">
        <x:v>-12.00 a -7.50</x:v>
      </x:c>
      <x:c r="L2816" s="24" t="str">
        <x:v>-6.00</x:v>
      </x:c>
      <x:c r="M2816" s="24" t="str">
        <x:v>1.00 a 3.00</x:v>
      </x:c>
      <x:c r="N2816" s="24" t="str">
        <x:v>74</x:v>
      </x:c>
      <x:c r="O2816" s="24"/>
      <x:c r="P2816" s="24"/>
      <x:c r="Q2816" s="24" t="str">
        <x:v>DISPONÍVEL</x:v>
      </x:c>
      <x:c r="R2816" s="24" t="str">
        <x:v>Programa de Parcerias ZEISS</x:v>
      </x:c>
      <x:c r="S2816" s="24" t="n">
        <x:v>46</x:v>
      </x:c>
      <x:c r="T2816" s="24" t="str">
        <x:v>tabela_zeiss.pdf</x:v>
      </x:c>
      <x:c r="U2816" s="24" t="str">
        <x:v>ZEISS|Progressiva|Surfaçada|GT2|PhotoFusion X|1.67|1.67|DuraVision Platinum UV|-12.00 a -7.50|-6.00|1.00 a 3.00|74|||46</x:v>
      </x:c>
    </x:row>
    <x:row r="2817">
      <x:c r="A2817" s="24" t="str">
        <x:v>ZS-DF56E0118F42</x:v>
      </x:c>
      <x:c r="B2817" s="24" t="str">
        <x:v>ZEISS</x:v>
      </x:c>
      <x:c r="C2817" s="24" t="str">
        <x:v>Progressiva</x:v>
      </x:c>
      <x:c r="D2817" s="24" t="str">
        <x:v>Surfaçada</x:v>
      </x:c>
      <x:c r="E2817" s="24" t="str">
        <x:v>GT2</x:v>
      </x:c>
      <x:c r="F2817" s="24" t="str">
        <x:v>PhotoFusion X</x:v>
      </x:c>
      <x:c r="G2817" s="24" t="str">
        <x:v>1.67</x:v>
      </x:c>
      <x:c r="H2817" s="24" t="str">
        <x:v>1.67</x:v>
      </x:c>
      <x:c r="I2817" s="24" t="str">
        <x:v>DuraVision Silver UV</x:v>
      </x:c>
      <x:c r="J2817" s="40" t="n">
        <x:v>4889</x:v>
      </x:c>
      <x:c r="K2817" s="24" t="str">
        <x:v>-12.00 a -7.50</x:v>
      </x:c>
      <x:c r="L2817" s="24" t="str">
        <x:v>-6.00</x:v>
      </x:c>
      <x:c r="M2817" s="24" t="str">
        <x:v>1.00 a 3.00</x:v>
      </x:c>
      <x:c r="N2817" s="24" t="str">
        <x:v>74</x:v>
      </x:c>
      <x:c r="O2817" s="24"/>
      <x:c r="P2817" s="24"/>
      <x:c r="Q2817" s="24" t="str">
        <x:v>DISPONÍVEL</x:v>
      </x:c>
      <x:c r="R2817" s="24" t="str">
        <x:v>Programa de Parcerias ZEISS</x:v>
      </x:c>
      <x:c r="S2817" s="24" t="n">
        <x:v>46</x:v>
      </x:c>
      <x:c r="T2817" s="24" t="str">
        <x:v>tabela_zeiss.pdf</x:v>
      </x:c>
      <x:c r="U2817" s="24" t="str">
        <x:v>ZEISS|Progressiva|Surfaçada|GT2|PhotoFusion X|1.67|1.67|DuraVision Silver UV|-12.00 a -7.50|-6.00|1.00 a 3.00|74|||46</x:v>
      </x:c>
    </x:row>
    <x:row r="2818">
      <x:c r="A2818" s="24" t="str">
        <x:v>ZS-222560D8DFC1</x:v>
      </x:c>
      <x:c r="B2818" s="24" t="str">
        <x:v>ZEISS</x:v>
      </x:c>
      <x:c r="C2818" s="24" t="str">
        <x:v>Progressiva</x:v>
      </x:c>
      <x:c r="D2818" s="24" t="str">
        <x:v>Surfaçada</x:v>
      </x:c>
      <x:c r="E2818" s="24" t="str">
        <x:v>GT2</x:v>
      </x:c>
      <x:c r="F2818" s="24" t="str">
        <x:v>PhotoFusion X</x:v>
      </x:c>
      <x:c r="G2818" s="24" t="str">
        <x:v>1.67</x:v>
      </x:c>
      <x:c r="H2818" s="24" t="str">
        <x:v>1.67</x:v>
      </x:c>
      <x:c r="I2818" s="24" t="str">
        <x:v>DuraVision Chrome UV</x:v>
      </x:c>
      <x:c r="J2818" s="40" t="n">
        <x:v>4399</x:v>
      </x:c>
      <x:c r="K2818" s="24" t="str">
        <x:v>-12.00 a -7.50</x:v>
      </x:c>
      <x:c r="L2818" s="24" t="str">
        <x:v>-6.00</x:v>
      </x:c>
      <x:c r="M2818" s="24" t="str">
        <x:v>1.00 a 3.00</x:v>
      </x:c>
      <x:c r="N2818" s="24" t="str">
        <x:v>74</x:v>
      </x:c>
      <x:c r="O2818" s="24"/>
      <x:c r="P2818" s="24"/>
      <x:c r="Q2818" s="24" t="str">
        <x:v>DISPONÍVEL</x:v>
      </x:c>
      <x:c r="R2818" s="24" t="str">
        <x:v>Programa de Parcerias ZEISS</x:v>
      </x:c>
      <x:c r="S2818" s="24" t="n">
        <x:v>46</x:v>
      </x:c>
      <x:c r="T2818" s="24" t="str">
        <x:v>tabela_zeiss.pdf</x:v>
      </x:c>
      <x:c r="U2818" s="24" t="str">
        <x:v>ZEISS|Progressiva|Surfaçada|GT2|PhotoFusion X|1.67|1.67|DuraVision Chrome UV|-12.00 a -7.50|-6.00|1.00 a 3.00|74|||46</x:v>
      </x:c>
    </x:row>
    <x:row r="2819">
      <x:c r="A2819" s="24" t="str">
        <x:v>ZS-DD2E35668B29</x:v>
      </x:c>
      <x:c r="B2819" s="24" t="str">
        <x:v>ZEISS</x:v>
      </x:c>
      <x:c r="C2819" s="24" t="str">
        <x:v>Progressiva</x:v>
      </x:c>
      <x:c r="D2819" s="24" t="str">
        <x:v>Surfaçada</x:v>
      </x:c>
      <x:c r="E2819" s="24" t="str">
        <x:v>GT2</x:v>
      </x:c>
      <x:c r="F2819" s="24" t="str">
        <x:v>PhotoFusion X Extra Dark Cinza</x:v>
      </x:c>
      <x:c r="G2819" s="24" t="str">
        <x:v>1.5</x:v>
      </x:c>
      <x:c r="H2819" s="24" t="str">
        <x:v>1.50</x:v>
      </x:c>
      <x:c r="I2819" s="24" t="str">
        <x:v>DuraVision Gold UV</x:v>
      </x:c>
      <x:c r="J2819" s="40" t="n">
        <x:v>3459</x:v>
      </x:c>
      <x:c r="K2819" s="24" t="str">
        <x:v>-7.00 a +5.00</x:v>
      </x:c>
      <x:c r="L2819" s="24" t="str">
        <x:v>-4.00</x:v>
      </x:c>
      <x:c r="M2819" s="24" t="str">
        <x:v>1.00 a 3.00</x:v>
      </x:c>
      <x:c r="N2819" s="24" t="str">
        <x:v>72</x:v>
      </x:c>
      <x:c r="O2819" s="24"/>
      <x:c r="P2819" s="24"/>
      <x:c r="Q2819" s="24" t="str">
        <x:v>DISPONÍVEL</x:v>
      </x:c>
      <x:c r="R2819" s="24" t="str">
        <x:v>Programa de Parcerias ZEISS</x:v>
      </x:c>
      <x:c r="S2819" s="24" t="n">
        <x:v>46</x:v>
      </x:c>
      <x:c r="T2819" s="24" t="str">
        <x:v>tabela_zeiss.pdf</x:v>
      </x:c>
      <x:c r="U2819" s="24" t="str">
        <x:v>ZEISS|Progressiva|Surfaçada|GT2|PhotoFusion X Extra Dark Cinza|1.5|1.50|DuraVision Gold UV|-7.00 a +5.00|-4.00|1.00 a 3.00|72|||46</x:v>
      </x:c>
    </x:row>
    <x:row r="2820">
      <x:c r="A2820" s="24" t="str">
        <x:v>ZS-FB30AC205D83</x:v>
      </x:c>
      <x:c r="B2820" s="24" t="str">
        <x:v>ZEISS</x:v>
      </x:c>
      <x:c r="C2820" s="24" t="str">
        <x:v>Progressiva</x:v>
      </x:c>
      <x:c r="D2820" s="24" t="str">
        <x:v>Surfaçada</x:v>
      </x:c>
      <x:c r="E2820" s="24" t="str">
        <x:v>GT2</x:v>
      </x:c>
      <x:c r="F2820" s="24" t="str">
        <x:v>PhotoFusion X Extra Dark Cinza</x:v>
      </x:c>
      <x:c r="G2820" s="24" t="str">
        <x:v>1.5</x:v>
      </x:c>
      <x:c r="H2820" s="24" t="str">
        <x:v>1.50</x:v>
      </x:c>
      <x:c r="I2820" s="24" t="str">
        <x:v>DuraVision Platinum UV</x:v>
      </x:c>
      <x:c r="J2820" s="40" t="n">
        <x:v>3319</x:v>
      </x:c>
      <x:c r="K2820" s="24" t="str">
        <x:v>-7.00 a +5.00</x:v>
      </x:c>
      <x:c r="L2820" s="24" t="str">
        <x:v>-4.00</x:v>
      </x:c>
      <x:c r="M2820" s="24" t="str">
        <x:v>1.00 a 3.00</x:v>
      </x:c>
      <x:c r="N2820" s="24" t="str">
        <x:v>72</x:v>
      </x:c>
      <x:c r="O2820" s="24"/>
      <x:c r="P2820" s="24"/>
      <x:c r="Q2820" s="24" t="str">
        <x:v>DISPONÍVEL</x:v>
      </x:c>
      <x:c r="R2820" s="24" t="str">
        <x:v>Programa de Parcerias ZEISS</x:v>
      </x:c>
      <x:c r="S2820" s="24" t="n">
        <x:v>46</x:v>
      </x:c>
      <x:c r="T2820" s="24" t="str">
        <x:v>tabela_zeiss.pdf</x:v>
      </x:c>
      <x:c r="U2820" s="24" t="str">
        <x:v>ZEISS|Progressiva|Surfaçada|GT2|PhotoFusion X Extra Dark Cinza|1.5|1.50|DuraVision Platinum UV|-7.00 a +5.00|-4.00|1.00 a 3.00|72|||46</x:v>
      </x:c>
    </x:row>
    <x:row r="2821">
      <x:c r="A2821" s="24" t="str">
        <x:v>ZS-2FC617B70B09</x:v>
      </x:c>
      <x:c r="B2821" s="24" t="str">
        <x:v>ZEISS</x:v>
      </x:c>
      <x:c r="C2821" s="24" t="str">
        <x:v>Progressiva</x:v>
      </x:c>
      <x:c r="D2821" s="24" t="str">
        <x:v>Surfaçada</x:v>
      </x:c>
      <x:c r="E2821" s="24" t="str">
        <x:v>GT2</x:v>
      </x:c>
      <x:c r="F2821" s="24" t="str">
        <x:v>PhotoFusion X Extra Dark Cinza</x:v>
      </x:c>
      <x:c r="G2821" s="24" t="str">
        <x:v>1.5</x:v>
      </x:c>
      <x:c r="H2821" s="24" t="str">
        <x:v>1.50</x:v>
      </x:c>
      <x:c r="I2821" s="24" t="str">
        <x:v>DuraVision Silver UV</x:v>
      </x:c>
      <x:c r="J2821" s="40" t="n">
        <x:v>3059</x:v>
      </x:c>
      <x:c r="K2821" s="24" t="str">
        <x:v>-7.00 a +5.00</x:v>
      </x:c>
      <x:c r="L2821" s="24" t="str">
        <x:v>-4.00</x:v>
      </x:c>
      <x:c r="M2821" s="24" t="str">
        <x:v>1.00 a 3.00</x:v>
      </x:c>
      <x:c r="N2821" s="24" t="str">
        <x:v>72</x:v>
      </x:c>
      <x:c r="O2821" s="24"/>
      <x:c r="P2821" s="24"/>
      <x:c r="Q2821" s="24" t="str">
        <x:v>DISPONÍVEL</x:v>
      </x:c>
      <x:c r="R2821" s="24" t="str">
        <x:v>Programa de Parcerias ZEISS</x:v>
      </x:c>
      <x:c r="S2821" s="24" t="n">
        <x:v>46</x:v>
      </x:c>
      <x:c r="T2821" s="24" t="str">
        <x:v>tabela_zeiss.pdf</x:v>
      </x:c>
      <x:c r="U2821" s="24" t="str">
        <x:v>ZEISS|Progressiva|Surfaçada|GT2|PhotoFusion X Extra Dark Cinza|1.5|1.50|DuraVision Silver UV|-7.00 a +5.00|-4.00|1.00 a 3.00|72|||46</x:v>
      </x:c>
    </x:row>
    <x:row r="2822">
      <x:c r="A2822" s="24" t="str">
        <x:v>ZS-72BD93C3EC6E</x:v>
      </x:c>
      <x:c r="B2822" s="24" t="str">
        <x:v>ZEISS</x:v>
      </x:c>
      <x:c r="C2822" s="24" t="str">
        <x:v>Progressiva</x:v>
      </x:c>
      <x:c r="D2822" s="24" t="str">
        <x:v>Surfaçada</x:v>
      </x:c>
      <x:c r="E2822" s="24" t="str">
        <x:v>GT2</x:v>
      </x:c>
      <x:c r="F2822" s="24" t="str">
        <x:v>PhotoFusion X Extra Dark Cinza</x:v>
      </x:c>
      <x:c r="G2822" s="24" t="str">
        <x:v>1.5</x:v>
      </x:c>
      <x:c r="H2822" s="24" t="str">
        <x:v>1.50</x:v>
      </x:c>
      <x:c r="I2822" s="24" t="str">
        <x:v>DuraVision Chrome UV</x:v>
      </x:c>
      <x:c r="J2822" s="40" t="n">
        <x:v>2569</x:v>
      </x:c>
      <x:c r="K2822" s="24" t="str">
        <x:v>-7.00 a +5.00</x:v>
      </x:c>
      <x:c r="L2822" s="24" t="str">
        <x:v>-4.00</x:v>
      </x:c>
      <x:c r="M2822" s="24" t="str">
        <x:v>1.00 a 3.00</x:v>
      </x:c>
      <x:c r="N2822" s="24" t="str">
        <x:v>72</x:v>
      </x:c>
      <x:c r="O2822" s="24"/>
      <x:c r="P2822" s="24"/>
      <x:c r="Q2822" s="24" t="str">
        <x:v>DISPONÍVEL</x:v>
      </x:c>
      <x:c r="R2822" s="24" t="str">
        <x:v>Programa de Parcerias ZEISS</x:v>
      </x:c>
      <x:c r="S2822" s="24" t="n">
        <x:v>46</x:v>
      </x:c>
      <x:c r="T2822" s="24" t="str">
        <x:v>tabela_zeiss.pdf</x:v>
      </x:c>
      <x:c r="U2822" s="24" t="str">
        <x:v>ZEISS|Progressiva|Surfaçada|GT2|PhotoFusion X Extra Dark Cinza|1.5|1.50|DuraVision Chrome UV|-7.00 a +5.00|-4.00|1.00 a 3.00|72|||46</x:v>
      </x:c>
    </x:row>
    <x:row r="2823">
      <x:c r="A2823" s="24" t="str">
        <x:v>ZS-EDDFE7FF2C84</x:v>
      </x:c>
      <x:c r="B2823" s="24" t="str">
        <x:v>ZEISS</x:v>
      </x:c>
      <x:c r="C2823" s="24" t="str">
        <x:v>Progressiva</x:v>
      </x:c>
      <x:c r="D2823" s="24" t="str">
        <x:v>Surfaçada</x:v>
      </x:c>
      <x:c r="E2823" s="24" t="str">
        <x:v>GT2</x:v>
      </x:c>
      <x:c r="F2823" s="24" t="str">
        <x:v>PhotoFusion X Extra Dark Cinza</x:v>
      </x:c>
      <x:c r="G2823" s="24" t="str">
        <x:v>1.5</x:v>
      </x:c>
      <x:c r="H2823" s="24" t="str">
        <x:v>1.50</x:v>
      </x:c>
      <x:c r="I2823" s="24" t="str">
        <x:v>Sem AR</x:v>
      </x:c>
      <x:c r="J2823" s="40" t="n">
        <x:v>2169</x:v>
      </x:c>
      <x:c r="K2823" s="24" t="str">
        <x:v>-7.00 a +5.00</x:v>
      </x:c>
      <x:c r="L2823" s="24" t="str">
        <x:v>-4.00</x:v>
      </x:c>
      <x:c r="M2823" s="24" t="str">
        <x:v>1.00 a 3.00</x:v>
      </x:c>
      <x:c r="N2823" s="24" t="str">
        <x:v>72</x:v>
      </x:c>
      <x:c r="O2823" s="24"/>
      <x:c r="P2823" s="24"/>
      <x:c r="Q2823" s="24" t="str">
        <x:v>DISPONÍVEL</x:v>
      </x:c>
      <x:c r="R2823" s="24" t="str">
        <x:v>Programa de Parcerias ZEISS</x:v>
      </x:c>
      <x:c r="S2823" s="24" t="n">
        <x:v>46</x:v>
      </x:c>
      <x:c r="T2823" s="24" t="str">
        <x:v>tabela_zeiss.pdf</x:v>
      </x:c>
      <x:c r="U2823" s="24" t="str">
        <x:v>ZEISS|Progressiva|Surfaçada|GT2|PhotoFusion X Extra Dark Cinza|1.5|1.50|Sem AR|-7.00 a +5.00|-4.00|1.00 a 3.00|72|||46</x:v>
      </x:c>
    </x:row>
    <x:row r="2824">
      <x:c r="A2824" s="24" t="str">
        <x:v>ZS-E80E78B72F94</x:v>
      </x:c>
      <x:c r="B2824" s="24" t="str">
        <x:v>ZEISS</x:v>
      </x:c>
      <x:c r="C2824" s="24" t="str">
        <x:v>Progressiva</x:v>
      </x:c>
      <x:c r="D2824" s="24" t="str">
        <x:v>Surfaçada</x:v>
      </x:c>
      <x:c r="E2824" s="24" t="str">
        <x:v>GT2</x:v>
      </x:c>
      <x:c r="F2824" s="24" t="str">
        <x:v>PhotoFusion X Extra Dark Cinza</x:v>
      </x:c>
      <x:c r="G2824" s="24" t="str">
        <x:v>Poli</x:v>
      </x:c>
      <x:c r="H2824" s="24"/>
      <x:c r="I2824" s="24" t="str">
        <x:v>DuraVision Gold UV</x:v>
      </x:c>
      <x:c r="J2824" s="40" t="n">
        <x:v>3819</x:v>
      </x:c>
      <x:c r="K2824" s="24" t="str">
        <x:v>-10.00 a +6.00</x:v>
      </x:c>
      <x:c r="L2824" s="24" t="str">
        <x:v>-6.00</x:v>
      </x:c>
      <x:c r="M2824" s="24" t="str">
        <x:v>1.00 a 3.00</x:v>
      </x:c>
      <x:c r="N2824" s="24" t="str">
        <x:v>72</x:v>
      </x:c>
      <x:c r="O2824" s="24"/>
      <x:c r="P2824" s="24"/>
      <x:c r="Q2824" s="24" t="str">
        <x:v>DISPONÍVEL</x:v>
      </x:c>
      <x:c r="R2824" s="24" t="str">
        <x:v>Programa de Parcerias ZEISS</x:v>
      </x:c>
      <x:c r="S2824" s="24" t="n">
        <x:v>46</x:v>
      </x:c>
      <x:c r="T2824" s="24" t="str">
        <x:v>tabela_zeiss.pdf</x:v>
      </x:c>
      <x:c r="U2824" s="24" t="str">
        <x:v>ZEISS|Progressiva|Surfaçada|GT2|PhotoFusion X Extra Dark Cinza|Poli||DuraVision Gold UV|-10.00 a +6.00|-6.00|1.00 a 3.00|72|||46</x:v>
      </x:c>
    </x:row>
    <x:row r="2825">
      <x:c r="A2825" s="24" t="str">
        <x:v>ZS-407F1BE032C5</x:v>
      </x:c>
      <x:c r="B2825" s="24" t="str">
        <x:v>ZEISS</x:v>
      </x:c>
      <x:c r="C2825" s="24" t="str">
        <x:v>Progressiva</x:v>
      </x:c>
      <x:c r="D2825" s="24" t="str">
        <x:v>Surfaçada</x:v>
      </x:c>
      <x:c r="E2825" s="24" t="str">
        <x:v>GT2</x:v>
      </x:c>
      <x:c r="F2825" s="24" t="str">
        <x:v>PhotoFusion X Extra Dark Cinza</x:v>
      </x:c>
      <x:c r="G2825" s="24" t="str">
        <x:v>Poli</x:v>
      </x:c>
      <x:c r="H2825" s="24"/>
      <x:c r="I2825" s="24" t="str">
        <x:v>DuraVision Platinum UV</x:v>
      </x:c>
      <x:c r="J2825" s="40" t="n">
        <x:v>3679</x:v>
      </x:c>
      <x:c r="K2825" s="24" t="str">
        <x:v>-10.00 a +6.00</x:v>
      </x:c>
      <x:c r="L2825" s="24" t="str">
        <x:v>-6.00</x:v>
      </x:c>
      <x:c r="M2825" s="24" t="str">
        <x:v>1.00 a 3.00</x:v>
      </x:c>
      <x:c r="N2825" s="24" t="str">
        <x:v>72</x:v>
      </x:c>
      <x:c r="O2825" s="24"/>
      <x:c r="P2825" s="24"/>
      <x:c r="Q2825" s="24" t="str">
        <x:v>DISPONÍVEL</x:v>
      </x:c>
      <x:c r="R2825" s="24" t="str">
        <x:v>Programa de Parcerias ZEISS</x:v>
      </x:c>
      <x:c r="S2825" s="24" t="n">
        <x:v>46</x:v>
      </x:c>
      <x:c r="T2825" s="24" t="str">
        <x:v>tabela_zeiss.pdf</x:v>
      </x:c>
      <x:c r="U2825" s="24" t="str">
        <x:v>ZEISS|Progressiva|Surfaçada|GT2|PhotoFusion X Extra Dark Cinza|Poli||DuraVision Platinum UV|-10.00 a +6.00|-6.00|1.00 a 3.00|72|||46</x:v>
      </x:c>
    </x:row>
    <x:row r="2826">
      <x:c r="A2826" s="24" t="str">
        <x:v>ZS-1DEABF66E2E5</x:v>
      </x:c>
      <x:c r="B2826" s="24" t="str">
        <x:v>ZEISS</x:v>
      </x:c>
      <x:c r="C2826" s="24" t="str">
        <x:v>Progressiva</x:v>
      </x:c>
      <x:c r="D2826" s="24" t="str">
        <x:v>Surfaçada</x:v>
      </x:c>
      <x:c r="E2826" s="24" t="str">
        <x:v>GT2</x:v>
      </x:c>
      <x:c r="F2826" s="24" t="str">
        <x:v>PhotoFusion X Extra Dark Cinza</x:v>
      </x:c>
      <x:c r="G2826" s="24" t="str">
        <x:v>Poli</x:v>
      </x:c>
      <x:c r="H2826" s="24"/>
      <x:c r="I2826" s="24" t="str">
        <x:v>DuraVision Silver UV</x:v>
      </x:c>
      <x:c r="J2826" s="40" t="n">
        <x:v>3419</x:v>
      </x:c>
      <x:c r="K2826" s="24" t="str">
        <x:v>-10.00 a +6.00</x:v>
      </x:c>
      <x:c r="L2826" s="24" t="str">
        <x:v>-6.00</x:v>
      </x:c>
      <x:c r="M2826" s="24" t="str">
        <x:v>1.00 a 3.00</x:v>
      </x:c>
      <x:c r="N2826" s="24" t="str">
        <x:v>72</x:v>
      </x:c>
      <x:c r="O2826" s="24"/>
      <x:c r="P2826" s="24"/>
      <x:c r="Q2826" s="24" t="str">
        <x:v>DISPONÍVEL</x:v>
      </x:c>
      <x:c r="R2826" s="24" t="str">
        <x:v>Programa de Parcerias ZEISS</x:v>
      </x:c>
      <x:c r="S2826" s="24" t="n">
        <x:v>46</x:v>
      </x:c>
      <x:c r="T2826" s="24" t="str">
        <x:v>tabela_zeiss.pdf</x:v>
      </x:c>
      <x:c r="U2826" s="24" t="str">
        <x:v>ZEISS|Progressiva|Surfaçada|GT2|PhotoFusion X Extra Dark Cinza|Poli||DuraVision Silver UV|-10.00 a +6.00|-6.00|1.00 a 3.00|72|||46</x:v>
      </x:c>
    </x:row>
    <x:row r="2827">
      <x:c r="A2827" s="24" t="str">
        <x:v>ZS-25B060BC2217</x:v>
      </x:c>
      <x:c r="B2827" s="24" t="str">
        <x:v>ZEISS</x:v>
      </x:c>
      <x:c r="C2827" s="24" t="str">
        <x:v>Progressiva</x:v>
      </x:c>
      <x:c r="D2827" s="24" t="str">
        <x:v>Surfaçada</x:v>
      </x:c>
      <x:c r="E2827" s="24" t="str">
        <x:v>GT2</x:v>
      </x:c>
      <x:c r="F2827" s="24" t="str">
        <x:v>PhotoFusion X Extra Dark Cinza</x:v>
      </x:c>
      <x:c r="G2827" s="24" t="str">
        <x:v>Poli</x:v>
      </x:c>
      <x:c r="H2827" s="24"/>
      <x:c r="I2827" s="24" t="str">
        <x:v>DuraVision Chrome UV</x:v>
      </x:c>
      <x:c r="J2827" s="40" t="n">
        <x:v>2929</x:v>
      </x:c>
      <x:c r="K2827" s="24" t="str">
        <x:v>-10.00 a +6.00</x:v>
      </x:c>
      <x:c r="L2827" s="24" t="str">
        <x:v>-6.00</x:v>
      </x:c>
      <x:c r="M2827" s="24" t="str">
        <x:v>1.00 a 3.00</x:v>
      </x:c>
      <x:c r="N2827" s="24" t="str">
        <x:v>72</x:v>
      </x:c>
      <x:c r="O2827" s="24"/>
      <x:c r="P2827" s="24"/>
      <x:c r="Q2827" s="24" t="str">
        <x:v>DISPONÍVEL</x:v>
      </x:c>
      <x:c r="R2827" s="24" t="str">
        <x:v>Programa de Parcerias ZEISS</x:v>
      </x:c>
      <x:c r="S2827" s="24" t="n">
        <x:v>46</x:v>
      </x:c>
      <x:c r="T2827" s="24" t="str">
        <x:v>tabela_zeiss.pdf</x:v>
      </x:c>
      <x:c r="U2827" s="24" t="str">
        <x:v>ZEISS|Progressiva|Surfaçada|GT2|PhotoFusion X Extra Dark Cinza|Poli||DuraVision Chrome UV|-10.00 a +6.00|-6.00|1.00 a 3.00|72|||46</x:v>
      </x:c>
    </x:row>
    <x:row r="2828">
      <x:c r="A2828" s="24" t="str">
        <x:v>ZS-F91A5E18C8D3</x:v>
      </x:c>
      <x:c r="B2828" s="24" t="str">
        <x:v>ZEISS</x:v>
      </x:c>
      <x:c r="C2828" s="24" t="str">
        <x:v>Progressiva</x:v>
      </x:c>
      <x:c r="D2828" s="24" t="str">
        <x:v>Surfaçada</x:v>
      </x:c>
      <x:c r="E2828" s="24" t="str">
        <x:v>GT2</x:v>
      </x:c>
      <x:c r="F2828" s="24" t="str">
        <x:v>PhotoFusion X Extra Dark Cinza</x:v>
      </x:c>
      <x:c r="G2828" s="24" t="str">
        <x:v>Poli</x:v>
      </x:c>
      <x:c r="H2828" s="24"/>
      <x:c r="I2828" s="24" t="str">
        <x:v>Sem AR</x:v>
      </x:c>
      <x:c r="J2828" s="40" t="n">
        <x:v>2529</x:v>
      </x:c>
      <x:c r="K2828" s="24" t="str">
        <x:v>-10.00 a +6.00</x:v>
      </x:c>
      <x:c r="L2828" s="24" t="str">
        <x:v>-6.00</x:v>
      </x:c>
      <x:c r="M2828" s="24" t="str">
        <x:v>1.00 a 3.00</x:v>
      </x:c>
      <x:c r="N2828" s="24" t="str">
        <x:v>72</x:v>
      </x:c>
      <x:c r="O2828" s="24"/>
      <x:c r="P2828" s="24"/>
      <x:c r="Q2828" s="24" t="str">
        <x:v>DISPONÍVEL</x:v>
      </x:c>
      <x:c r="R2828" s="24" t="str">
        <x:v>Programa de Parcerias ZEISS</x:v>
      </x:c>
      <x:c r="S2828" s="24" t="n">
        <x:v>46</x:v>
      </x:c>
      <x:c r="T2828" s="24" t="str">
        <x:v>tabela_zeiss.pdf</x:v>
      </x:c>
      <x:c r="U2828" s="24" t="str">
        <x:v>ZEISS|Progressiva|Surfaçada|GT2|PhotoFusion X Extra Dark Cinza|Poli||Sem AR|-10.00 a +6.00|-6.00|1.00 a 3.00|72|||46</x:v>
      </x:c>
    </x:row>
    <x:row r="2829">
      <x:c r="A2829" s="24" t="str">
        <x:v>ZS-D67D19C25FDE</x:v>
      </x:c>
      <x:c r="B2829" s="24" t="str">
        <x:v>ZEISS</x:v>
      </x:c>
      <x:c r="C2829" s="24" t="str">
        <x:v>Progressiva</x:v>
      </x:c>
      <x:c r="D2829" s="24" t="str">
        <x:v>Surfaçada</x:v>
      </x:c>
      <x:c r="E2829" s="24" t="str">
        <x:v>GT2</x:v>
      </x:c>
      <x:c r="F2829" s="24" t="str">
        <x:v>PhotoFusion X Extra Dark Cinza</x:v>
      </x:c>
      <x:c r="G2829" s="24" t="str">
        <x:v>1.60</x:v>
      </x:c>
      <x:c r="H2829" s="24" t="str">
        <x:v>1.60</x:v>
      </x:c>
      <x:c r="I2829" s="24" t="str">
        <x:v>DuraVision Gold UV</x:v>
      </x:c>
      <x:c r="J2829" s="40" t="n">
        <x:v>4039</x:v>
      </x:c>
      <x:c r="K2829" s="24" t="str">
        <x:v>-12.00 a -7.50</x:v>
      </x:c>
      <x:c r="L2829" s="24" t="str">
        <x:v>-6.00</x:v>
      </x:c>
      <x:c r="M2829" s="24" t="str">
        <x:v>1.00 a 3.00</x:v>
      </x:c>
      <x:c r="N2829" s="24" t="str">
        <x:v>74</x:v>
      </x:c>
      <x:c r="O2829" s="24"/>
      <x:c r="P2829" s="24"/>
      <x:c r="Q2829" s="24" t="str">
        <x:v>DISPONÍVEL</x:v>
      </x:c>
      <x:c r="R2829" s="24" t="str">
        <x:v>Programa de Parcerias ZEISS</x:v>
      </x:c>
      <x:c r="S2829" s="24" t="n">
        <x:v>46</x:v>
      </x:c>
      <x:c r="T2829" s="24" t="str">
        <x:v>tabela_zeiss.pdf</x:v>
      </x:c>
      <x:c r="U2829" s="24" t="str">
        <x:v>ZEISS|Progressiva|Surfaçada|GT2|PhotoFusion X Extra Dark Cinza|1.60|1.60|DuraVision Gold UV|-12.00 a -7.50|-6.00|1.00 a 3.00|74|||46</x:v>
      </x:c>
    </x:row>
    <x:row r="2830">
      <x:c r="A2830" s="24" t="str">
        <x:v>ZS-6D9766274D1D</x:v>
      </x:c>
      <x:c r="B2830" s="24" t="str">
        <x:v>ZEISS</x:v>
      </x:c>
      <x:c r="C2830" s="24" t="str">
        <x:v>Progressiva</x:v>
      </x:c>
      <x:c r="D2830" s="24" t="str">
        <x:v>Surfaçada</x:v>
      </x:c>
      <x:c r="E2830" s="24" t="str">
        <x:v>GT2</x:v>
      </x:c>
      <x:c r="F2830" s="24" t="str">
        <x:v>PhotoFusion X Extra Dark Cinza</x:v>
      </x:c>
      <x:c r="G2830" s="24" t="str">
        <x:v>1.60</x:v>
      </x:c>
      <x:c r="H2830" s="24" t="str">
        <x:v>1.60</x:v>
      </x:c>
      <x:c r="I2830" s="24" t="str">
        <x:v>DuraVision Platinum UV</x:v>
      </x:c>
      <x:c r="J2830" s="40" t="n">
        <x:v>3899</x:v>
      </x:c>
      <x:c r="K2830" s="24" t="str">
        <x:v>-12.00 a -7.50</x:v>
      </x:c>
      <x:c r="L2830" s="24" t="str">
        <x:v>-6.00</x:v>
      </x:c>
      <x:c r="M2830" s="24" t="str">
        <x:v>1.00 a 3.00</x:v>
      </x:c>
      <x:c r="N2830" s="24" t="str">
        <x:v>74</x:v>
      </x:c>
      <x:c r="O2830" s="24"/>
      <x:c r="P2830" s="24"/>
      <x:c r="Q2830" s="24" t="str">
        <x:v>DISPONÍVEL</x:v>
      </x:c>
      <x:c r="R2830" s="24" t="str">
        <x:v>Programa de Parcerias ZEISS</x:v>
      </x:c>
      <x:c r="S2830" s="24" t="n">
        <x:v>46</x:v>
      </x:c>
      <x:c r="T2830" s="24" t="str">
        <x:v>tabela_zeiss.pdf</x:v>
      </x:c>
      <x:c r="U2830" s="24" t="str">
        <x:v>ZEISS|Progressiva|Surfaçada|GT2|PhotoFusion X Extra Dark Cinza|1.60|1.60|DuraVision Platinum UV|-12.00 a -7.50|-6.00|1.00 a 3.00|74|||46</x:v>
      </x:c>
    </x:row>
    <x:row r="2831">
      <x:c r="A2831" s="24" t="str">
        <x:v>ZS-9DE1E7036874</x:v>
      </x:c>
      <x:c r="B2831" s="24" t="str">
        <x:v>ZEISS</x:v>
      </x:c>
      <x:c r="C2831" s="24" t="str">
        <x:v>Progressiva</x:v>
      </x:c>
      <x:c r="D2831" s="24" t="str">
        <x:v>Surfaçada</x:v>
      </x:c>
      <x:c r="E2831" s="24" t="str">
        <x:v>GT2</x:v>
      </x:c>
      <x:c r="F2831" s="24" t="str">
        <x:v>PhotoFusion X Extra Dark Cinza</x:v>
      </x:c>
      <x:c r="G2831" s="24" t="str">
        <x:v>1.60</x:v>
      </x:c>
      <x:c r="H2831" s="24" t="str">
        <x:v>1.60</x:v>
      </x:c>
      <x:c r="I2831" s="24" t="str">
        <x:v>DuraVision Silver UV</x:v>
      </x:c>
      <x:c r="J2831" s="40" t="n">
        <x:v>3639</x:v>
      </x:c>
      <x:c r="K2831" s="24" t="str">
        <x:v>-12.00 a -7.50</x:v>
      </x:c>
      <x:c r="L2831" s="24" t="str">
        <x:v>-6.00</x:v>
      </x:c>
      <x:c r="M2831" s="24" t="str">
        <x:v>1.00 a 3.00</x:v>
      </x:c>
      <x:c r="N2831" s="24" t="str">
        <x:v>74</x:v>
      </x:c>
      <x:c r="O2831" s="24"/>
      <x:c r="P2831" s="24"/>
      <x:c r="Q2831" s="24" t="str">
        <x:v>DISPONÍVEL</x:v>
      </x:c>
      <x:c r="R2831" s="24" t="str">
        <x:v>Programa de Parcerias ZEISS</x:v>
      </x:c>
      <x:c r="S2831" s="24" t="n">
        <x:v>46</x:v>
      </x:c>
      <x:c r="T2831" s="24" t="str">
        <x:v>tabela_zeiss.pdf</x:v>
      </x:c>
      <x:c r="U2831" s="24" t="str">
        <x:v>ZEISS|Progressiva|Surfaçada|GT2|PhotoFusion X Extra Dark Cinza|1.60|1.60|DuraVision Silver UV|-12.00 a -7.50|-6.00|1.00 a 3.00|74|||46</x:v>
      </x:c>
    </x:row>
    <x:row r="2832">
      <x:c r="A2832" s="24" t="str">
        <x:v>ZS-6390EA042DA5</x:v>
      </x:c>
      <x:c r="B2832" s="24" t="str">
        <x:v>ZEISS</x:v>
      </x:c>
      <x:c r="C2832" s="24" t="str">
        <x:v>Progressiva</x:v>
      </x:c>
      <x:c r="D2832" s="24" t="str">
        <x:v>Surfaçada</x:v>
      </x:c>
      <x:c r="E2832" s="24" t="str">
        <x:v>GT2</x:v>
      </x:c>
      <x:c r="F2832" s="24" t="str">
        <x:v>PhotoFusion X Extra Dark Cinza</x:v>
      </x:c>
      <x:c r="G2832" s="24" t="str">
        <x:v>1.60</x:v>
      </x:c>
      <x:c r="H2832" s="24" t="str">
        <x:v>1.60</x:v>
      </x:c>
      <x:c r="I2832" s="24" t="str">
        <x:v>DuraVision Chrome UV</x:v>
      </x:c>
      <x:c r="J2832" s="40" t="n">
        <x:v>3149</x:v>
      </x:c>
      <x:c r="K2832" s="24" t="str">
        <x:v>-12.00 a -7.50</x:v>
      </x:c>
      <x:c r="L2832" s="24" t="str">
        <x:v>-6.00</x:v>
      </x:c>
      <x:c r="M2832" s="24" t="str">
        <x:v>1.00 a 3.00</x:v>
      </x:c>
      <x:c r="N2832" s="24" t="str">
        <x:v>74</x:v>
      </x:c>
      <x:c r="O2832" s="24"/>
      <x:c r="P2832" s="24"/>
      <x:c r="Q2832" s="24" t="str">
        <x:v>DISPONÍVEL</x:v>
      </x:c>
      <x:c r="R2832" s="24" t="str">
        <x:v>Programa de Parcerias ZEISS</x:v>
      </x:c>
      <x:c r="S2832" s="24" t="n">
        <x:v>46</x:v>
      </x:c>
      <x:c r="T2832" s="24" t="str">
        <x:v>tabela_zeiss.pdf</x:v>
      </x:c>
      <x:c r="U2832" s="24" t="str">
        <x:v>ZEISS|Progressiva|Surfaçada|GT2|PhotoFusion X Extra Dark Cinza|1.60|1.60|DuraVision Chrome UV|-12.00 a -7.50|-6.00|1.00 a 3.00|74|||46</x:v>
      </x:c>
    </x:row>
    <x:row r="2833">
      <x:c r="A2833" s="24" t="str">
        <x:v>ZS-8D89DD184CB1</x:v>
      </x:c>
      <x:c r="B2833" s="24" t="str">
        <x:v>ZEISS</x:v>
      </x:c>
      <x:c r="C2833" s="24" t="str">
        <x:v>Progressiva</x:v>
      </x:c>
      <x:c r="D2833" s="24" t="str">
        <x:v>Surfaçada</x:v>
      </x:c>
      <x:c r="E2833" s="24" t="str">
        <x:v>GT2</x:v>
      </x:c>
      <x:c r="F2833" s="24" t="str">
        <x:v>PhotoFusion X Extra Dark Cinza</x:v>
      </x:c>
      <x:c r="G2833" s="24" t="str">
        <x:v>1.67</x:v>
      </x:c>
      <x:c r="H2833" s="24" t="str">
        <x:v>1.67</x:v>
      </x:c>
      <x:c r="I2833" s="24" t="str">
        <x:v>DuraVision Gold UV</x:v>
      </x:c>
      <x:c r="J2833" s="40" t="n">
        <x:v>5339</x:v>
      </x:c>
      <x:c r="K2833" s="24" t="str">
        <x:v>-12.00 a -7.50</x:v>
      </x:c>
      <x:c r="L2833" s="24" t="str">
        <x:v>-6.00</x:v>
      </x:c>
      <x:c r="M2833" s="24" t="str">
        <x:v>1.00 a 3.00</x:v>
      </x:c>
      <x:c r="N2833" s="24" t="str">
        <x:v>74</x:v>
      </x:c>
      <x:c r="O2833" s="24"/>
      <x:c r="P2833" s="24"/>
      <x:c r="Q2833" s="24" t="str">
        <x:v>DISPONÍVEL</x:v>
      </x:c>
      <x:c r="R2833" s="24" t="str">
        <x:v>Programa de Parcerias ZEISS</x:v>
      </x:c>
      <x:c r="S2833" s="24" t="n">
        <x:v>46</x:v>
      </x:c>
      <x:c r="T2833" s="24" t="str">
        <x:v>tabela_zeiss.pdf</x:v>
      </x:c>
      <x:c r="U2833" s="24" t="str">
        <x:v>ZEISS|Progressiva|Surfaçada|GT2|PhotoFusion X Extra Dark Cinza|1.67|1.67|DuraVision Gold UV|-12.00 a -7.50|-6.00|1.00 a 3.00|74|||46</x:v>
      </x:c>
    </x:row>
    <x:row r="2834">
      <x:c r="A2834" s="24" t="str">
        <x:v>ZS-17A4836E37E9</x:v>
      </x:c>
      <x:c r="B2834" s="24" t="str">
        <x:v>ZEISS</x:v>
      </x:c>
      <x:c r="C2834" s="24" t="str">
        <x:v>Progressiva</x:v>
      </x:c>
      <x:c r="D2834" s="24" t="str">
        <x:v>Surfaçada</x:v>
      </x:c>
      <x:c r="E2834" s="24" t="str">
        <x:v>GT2</x:v>
      </x:c>
      <x:c r="F2834" s="24" t="str">
        <x:v>PhotoFusion X Extra Dark Cinza</x:v>
      </x:c>
      <x:c r="G2834" s="24" t="str">
        <x:v>1.67</x:v>
      </x:c>
      <x:c r="H2834" s="24" t="str">
        <x:v>1.67</x:v>
      </x:c>
      <x:c r="I2834" s="24" t="str">
        <x:v>DuraVision Platinum UV</x:v>
      </x:c>
      <x:c r="J2834" s="40" t="n">
        <x:v>5199</x:v>
      </x:c>
      <x:c r="K2834" s="24" t="str">
        <x:v>-12.00 a -7.50</x:v>
      </x:c>
      <x:c r="L2834" s="24" t="str">
        <x:v>-6.00</x:v>
      </x:c>
      <x:c r="M2834" s="24" t="str">
        <x:v>1.00 a 3.00</x:v>
      </x:c>
      <x:c r="N2834" s="24" t="str">
        <x:v>74</x:v>
      </x:c>
      <x:c r="O2834" s="24"/>
      <x:c r="P2834" s="24"/>
      <x:c r="Q2834" s="24" t="str">
        <x:v>DISPONÍVEL</x:v>
      </x:c>
      <x:c r="R2834" s="24" t="str">
        <x:v>Programa de Parcerias ZEISS</x:v>
      </x:c>
      <x:c r="S2834" s="24" t="n">
        <x:v>46</x:v>
      </x:c>
      <x:c r="T2834" s="24" t="str">
        <x:v>tabela_zeiss.pdf</x:v>
      </x:c>
      <x:c r="U2834" s="24" t="str">
        <x:v>ZEISS|Progressiva|Surfaçada|GT2|PhotoFusion X Extra Dark Cinza|1.67|1.67|DuraVision Platinum UV|-12.00 a -7.50|-6.00|1.00 a 3.00|74|||46</x:v>
      </x:c>
    </x:row>
    <x:row r="2835">
      <x:c r="A2835" s="24" t="str">
        <x:v>ZS-96819DCC9D12</x:v>
      </x:c>
      <x:c r="B2835" s="24" t="str">
        <x:v>ZEISS</x:v>
      </x:c>
      <x:c r="C2835" s="24" t="str">
        <x:v>Progressiva</x:v>
      </x:c>
      <x:c r="D2835" s="24" t="str">
        <x:v>Surfaçada</x:v>
      </x:c>
      <x:c r="E2835" s="24" t="str">
        <x:v>GT2</x:v>
      </x:c>
      <x:c r="F2835" s="24" t="str">
        <x:v>PhotoFusion X Extra Dark Cinza</x:v>
      </x:c>
      <x:c r="G2835" s="24" t="str">
        <x:v>1.67</x:v>
      </x:c>
      <x:c r="H2835" s="24" t="str">
        <x:v>1.67</x:v>
      </x:c>
      <x:c r="I2835" s="24" t="str">
        <x:v>DuraVision Silver UV</x:v>
      </x:c>
      <x:c r="J2835" s="40" t="n">
        <x:v>4939</x:v>
      </x:c>
      <x:c r="K2835" s="24" t="str">
        <x:v>-12.00 a -7.50</x:v>
      </x:c>
      <x:c r="L2835" s="24" t="str">
        <x:v>-6.00</x:v>
      </x:c>
      <x:c r="M2835" s="24" t="str">
        <x:v>1.00 a 3.00</x:v>
      </x:c>
      <x:c r="N2835" s="24" t="str">
        <x:v>74</x:v>
      </x:c>
      <x:c r="O2835" s="24"/>
      <x:c r="P2835" s="24"/>
      <x:c r="Q2835" s="24" t="str">
        <x:v>DISPONÍVEL</x:v>
      </x:c>
      <x:c r="R2835" s="24" t="str">
        <x:v>Programa de Parcerias ZEISS</x:v>
      </x:c>
      <x:c r="S2835" s="24" t="n">
        <x:v>46</x:v>
      </x:c>
      <x:c r="T2835" s="24" t="str">
        <x:v>tabela_zeiss.pdf</x:v>
      </x:c>
      <x:c r="U2835" s="24" t="str">
        <x:v>ZEISS|Progressiva|Surfaçada|GT2|PhotoFusion X Extra Dark Cinza|1.67|1.67|DuraVision Silver UV|-12.00 a -7.50|-6.00|1.00 a 3.00|74|||46</x:v>
      </x:c>
    </x:row>
    <x:row r="2836">
      <x:c r="A2836" s="24" t="str">
        <x:v>ZS-E3A940978E63</x:v>
      </x:c>
      <x:c r="B2836" s="24" t="str">
        <x:v>ZEISS</x:v>
      </x:c>
      <x:c r="C2836" s="24" t="str">
        <x:v>Progressiva</x:v>
      </x:c>
      <x:c r="D2836" s="24" t="str">
        <x:v>Surfaçada</x:v>
      </x:c>
      <x:c r="E2836" s="24" t="str">
        <x:v>GT2</x:v>
      </x:c>
      <x:c r="F2836" s="24" t="str">
        <x:v>PhotoFusion X Extra Dark Cinza</x:v>
      </x:c>
      <x:c r="G2836" s="24" t="str">
        <x:v>1.67</x:v>
      </x:c>
      <x:c r="H2836" s="24" t="str">
        <x:v>1.67</x:v>
      </x:c>
      <x:c r="I2836" s="24" t="str">
        <x:v>DuraVision Chrome UV</x:v>
      </x:c>
      <x:c r="J2836" s="40" t="n">
        <x:v>4449</x:v>
      </x:c>
      <x:c r="K2836" s="24" t="str">
        <x:v>-12.00 a -7.50</x:v>
      </x:c>
      <x:c r="L2836" s="24" t="str">
        <x:v>-6.00</x:v>
      </x:c>
      <x:c r="M2836" s="24" t="str">
        <x:v>1.00 a 3.00</x:v>
      </x:c>
      <x:c r="N2836" s="24" t="str">
        <x:v>74</x:v>
      </x:c>
      <x:c r="O2836" s="24"/>
      <x:c r="P2836" s="24"/>
      <x:c r="Q2836" s="24" t="str">
        <x:v>DISPONÍVEL</x:v>
      </x:c>
      <x:c r="R2836" s="24" t="str">
        <x:v>Programa de Parcerias ZEISS</x:v>
      </x:c>
      <x:c r="S2836" s="24" t="n">
        <x:v>46</x:v>
      </x:c>
      <x:c r="T2836" s="24" t="str">
        <x:v>tabela_zeiss.pdf</x:v>
      </x:c>
      <x:c r="U2836" s="24" t="str">
        <x:v>ZEISS|Progressiva|Surfaçada|GT2|PhotoFusion X Extra Dark Cinza|1.67|1.67|DuraVision Chrome UV|-12.00 a -7.50|-6.00|1.00 a 3.00|74|||46</x:v>
      </x:c>
    </x:row>
    <x:row r="2837">
      <x:c r="A2837" s="24" t="str">
        <x:v>ZS-9E0F4F4EA396</x:v>
      </x:c>
      <x:c r="B2837" s="24" t="str">
        <x:v>ZEISS</x:v>
      </x:c>
      <x:c r="C2837" s="24" t="str">
        <x:v>Progressiva</x:v>
      </x:c>
      <x:c r="D2837" s="24" t="str">
        <x:v>Surfaçada</x:v>
      </x:c>
      <x:c r="E2837" s="24" t="str">
        <x:v>ClassicPlus</x:v>
      </x:c>
      <x:c r="F2837" s="24"/>
      <x:c r="G2837" s="24" t="str">
        <x:v>1.5</x:v>
      </x:c>
      <x:c r="H2837" s="24" t="str">
        <x:v>1.50</x:v>
      </x:c>
      <x:c r="I2837" s="24" t="str">
        <x:v>DuraVision Gold UV</x:v>
      </x:c>
      <x:c r="J2837" s="40" t="n">
        <x:v>1589</x:v>
      </x:c>
      <x:c r="K2837" s="24" t="str">
        <x:v>-7.00 a +5.00</x:v>
      </x:c>
      <x:c r="L2837" s="24" t="str">
        <x:v>-4.00</x:v>
      </x:c>
      <x:c r="M2837" s="24" t="str">
        <x:v>1.00 a 3.50</x:v>
      </x:c>
      <x:c r="N2837" s="24" t="str">
        <x:v>75</x:v>
      </x:c>
      <x:c r="O2837" s="24"/>
      <x:c r="P2837" s="24"/>
      <x:c r="Q2837" s="24" t="str">
        <x:v>DISPONÍVEL</x:v>
      </x:c>
      <x:c r="R2837" s="24"/>
      <x:c r="S2837" s="24" t="n">
        <x:v>47</x:v>
      </x:c>
      <x:c r="T2837" s="24" t="str">
        <x:v>tabela_zeiss.pdf</x:v>
      </x:c>
      <x:c r="U2837" s="24" t="str">
        <x:v>ZEISS|Progressiva|Surfaçada|ClassicPlus||1.5|1.50|DuraVision Gold UV|-7.00 a +5.00|-4.00|1.00 a 3.50|75|||47</x:v>
      </x:c>
    </x:row>
    <x:row r="2838">
      <x:c r="A2838" s="24" t="str">
        <x:v>ZS-3B79A8CF99C0</x:v>
      </x:c>
      <x:c r="B2838" s="24" t="str">
        <x:v>ZEISS</x:v>
      </x:c>
      <x:c r="C2838" s="24" t="str">
        <x:v>Progressiva</x:v>
      </x:c>
      <x:c r="D2838" s="24" t="str">
        <x:v>Surfaçada</x:v>
      </x:c>
      <x:c r="E2838" s="24" t="str">
        <x:v>ClassicPlus</x:v>
      </x:c>
      <x:c r="F2838" s="24"/>
      <x:c r="G2838" s="24" t="str">
        <x:v>1.5</x:v>
      </x:c>
      <x:c r="H2838" s="24" t="str">
        <x:v>1.50</x:v>
      </x:c>
      <x:c r="I2838" s="24" t="str">
        <x:v>DuraVision Platinum UV</x:v>
      </x:c>
      <x:c r="J2838" s="40" t="n">
        <x:v>1449</x:v>
      </x:c>
      <x:c r="K2838" s="24" t="str">
        <x:v>-7.00 a +5.00</x:v>
      </x:c>
      <x:c r="L2838" s="24" t="str">
        <x:v>-4.00</x:v>
      </x:c>
      <x:c r="M2838" s="24" t="str">
        <x:v>1.00 a 3.50</x:v>
      </x:c>
      <x:c r="N2838" s="24" t="str">
        <x:v>75</x:v>
      </x:c>
      <x:c r="O2838" s="24"/>
      <x:c r="P2838" s="24"/>
      <x:c r="Q2838" s="24" t="str">
        <x:v>DISPONÍVEL</x:v>
      </x:c>
      <x:c r="R2838" s="24"/>
      <x:c r="S2838" s="24" t="n">
        <x:v>47</x:v>
      </x:c>
      <x:c r="T2838" s="24" t="str">
        <x:v>tabela_zeiss.pdf</x:v>
      </x:c>
      <x:c r="U2838" s="24" t="str">
        <x:v>ZEISS|Progressiva|Surfaçada|ClassicPlus||1.5|1.50|DuraVision Platinum UV|-7.00 a +5.00|-4.00|1.00 a 3.50|75|||47</x:v>
      </x:c>
    </x:row>
    <x:row r="2839">
      <x:c r="A2839" s="24" t="str">
        <x:v>ZS-CE6849BE70DE</x:v>
      </x:c>
      <x:c r="B2839" s="24" t="str">
        <x:v>ZEISS</x:v>
      </x:c>
      <x:c r="C2839" s="24" t="str">
        <x:v>Progressiva</x:v>
      </x:c>
      <x:c r="D2839" s="24" t="str">
        <x:v>Surfaçada</x:v>
      </x:c>
      <x:c r="E2839" s="24" t="str">
        <x:v>ClassicPlus</x:v>
      </x:c>
      <x:c r="F2839" s="24"/>
      <x:c r="G2839" s="24" t="str">
        <x:v>1.5</x:v>
      </x:c>
      <x:c r="H2839" s="24" t="str">
        <x:v>1.50</x:v>
      </x:c>
      <x:c r="I2839" s="24" t="str">
        <x:v>DuraVision Silver UV</x:v>
      </x:c>
      <x:c r="J2839" s="40" t="n">
        <x:v>1189</x:v>
      </x:c>
      <x:c r="K2839" s="24" t="str">
        <x:v>-7.00 a +5.00</x:v>
      </x:c>
      <x:c r="L2839" s="24" t="str">
        <x:v>-4.00</x:v>
      </x:c>
      <x:c r="M2839" s="24" t="str">
        <x:v>1.00 a 3.50</x:v>
      </x:c>
      <x:c r="N2839" s="24" t="str">
        <x:v>75</x:v>
      </x:c>
      <x:c r="O2839" s="24"/>
      <x:c r="P2839" s="24"/>
      <x:c r="Q2839" s="24" t="str">
        <x:v>DISPONÍVEL</x:v>
      </x:c>
      <x:c r="R2839" s="24"/>
      <x:c r="S2839" s="24" t="n">
        <x:v>47</x:v>
      </x:c>
      <x:c r="T2839" s="24" t="str">
        <x:v>tabela_zeiss.pdf</x:v>
      </x:c>
      <x:c r="U2839" s="24" t="str">
        <x:v>ZEISS|Progressiva|Surfaçada|ClassicPlus||1.5|1.50|DuraVision Silver UV|-7.00 a +5.00|-4.00|1.00 a 3.50|75|||47</x:v>
      </x:c>
    </x:row>
    <x:row r="2840">
      <x:c r="A2840" s="24" t="str">
        <x:v>ZS-A8B58AF82DF4</x:v>
      </x:c>
      <x:c r="B2840" s="24" t="str">
        <x:v>ZEISS</x:v>
      </x:c>
      <x:c r="C2840" s="24" t="str">
        <x:v>Progressiva</x:v>
      </x:c>
      <x:c r="D2840" s="24" t="str">
        <x:v>Surfaçada</x:v>
      </x:c>
      <x:c r="E2840" s="24" t="str">
        <x:v>ClassicPlus</x:v>
      </x:c>
      <x:c r="F2840" s="24"/>
      <x:c r="G2840" s="24" t="str">
        <x:v>1.5</x:v>
      </x:c>
      <x:c r="H2840" s="24" t="str">
        <x:v>1.50</x:v>
      </x:c>
      <x:c r="I2840" s="24" t="str">
        <x:v>DuraVision Chrome UV</x:v>
      </x:c>
      <x:c r="J2840" s="40" t="n">
        <x:v>699</x:v>
      </x:c>
      <x:c r="K2840" s="24" t="str">
        <x:v>-7.00 a +5.00</x:v>
      </x:c>
      <x:c r="L2840" s="24" t="str">
        <x:v>-4.00</x:v>
      </x:c>
      <x:c r="M2840" s="24" t="str">
        <x:v>1.00 a 3.50</x:v>
      </x:c>
      <x:c r="N2840" s="24" t="str">
        <x:v>75</x:v>
      </x:c>
      <x:c r="O2840" s="24"/>
      <x:c r="P2840" s="24"/>
      <x:c r="Q2840" s="24" t="str">
        <x:v>DISPONÍVEL</x:v>
      </x:c>
      <x:c r="R2840" s="24"/>
      <x:c r="S2840" s="24" t="n">
        <x:v>47</x:v>
      </x:c>
      <x:c r="T2840" s="24" t="str">
        <x:v>tabela_zeiss.pdf</x:v>
      </x:c>
      <x:c r="U2840" s="24" t="str">
        <x:v>ZEISS|Progressiva|Surfaçada|ClassicPlus||1.5|1.50|DuraVision Chrome UV|-7.00 a +5.00|-4.00|1.00 a 3.50|75|||47</x:v>
      </x:c>
    </x:row>
    <x:row r="2841">
      <x:c r="A2841" s="24" t="str">
        <x:v>ZS-08C63EE05B04</x:v>
      </x:c>
      <x:c r="B2841" s="24" t="str">
        <x:v>ZEISS</x:v>
      </x:c>
      <x:c r="C2841" s="24" t="str">
        <x:v>Progressiva</x:v>
      </x:c>
      <x:c r="D2841" s="24" t="str">
        <x:v>Surfaçada</x:v>
      </x:c>
      <x:c r="E2841" s="24" t="str">
        <x:v>ClassicPlus</x:v>
      </x:c>
      <x:c r="F2841" s="24"/>
      <x:c r="G2841" s="24" t="str">
        <x:v>Poli</x:v>
      </x:c>
      <x:c r="H2841" s="24"/>
      <x:c r="I2841" s="24" t="str">
        <x:v>DuraVision Gold UV</x:v>
      </x:c>
      <x:c r="J2841" s="40" t="n">
        <x:v>1889</x:v>
      </x:c>
      <x:c r="K2841" s="24" t="str">
        <x:v>-10.00 a +6.00</x:v>
      </x:c>
      <x:c r="L2841" s="24" t="str">
        <x:v>-6.00</x:v>
      </x:c>
      <x:c r="M2841" s="24" t="str">
        <x:v>1.00 a 3.00</x:v>
      </x:c>
      <x:c r="N2841" s="24" t="str">
        <x:v>75</x:v>
      </x:c>
      <x:c r="O2841" s="24"/>
      <x:c r="P2841" s="24"/>
      <x:c r="Q2841" s="24" t="str">
        <x:v>DISPONÍVEL</x:v>
      </x:c>
      <x:c r="R2841" s="24"/>
      <x:c r="S2841" s="24" t="n">
        <x:v>47</x:v>
      </x:c>
      <x:c r="T2841" s="24" t="str">
        <x:v>tabela_zeiss.pdf</x:v>
      </x:c>
      <x:c r="U2841" s="24" t="str">
        <x:v>ZEISS|Progressiva|Surfaçada|ClassicPlus||Poli||DuraVision Gold UV|-10.00 a +6.00|-6.00|1.00 a 3.00|75|||47</x:v>
      </x:c>
    </x:row>
    <x:row r="2842">
      <x:c r="A2842" s="24" t="str">
        <x:v>ZS-4A15011639A0</x:v>
      </x:c>
      <x:c r="B2842" s="24" t="str">
        <x:v>ZEISS</x:v>
      </x:c>
      <x:c r="C2842" s="24" t="str">
        <x:v>Progressiva</x:v>
      </x:c>
      <x:c r="D2842" s="24" t="str">
        <x:v>Surfaçada</x:v>
      </x:c>
      <x:c r="E2842" s="24" t="str">
        <x:v>ClassicPlus</x:v>
      </x:c>
      <x:c r="F2842" s="24"/>
      <x:c r="G2842" s="24" t="str">
        <x:v>Poli</x:v>
      </x:c>
      <x:c r="H2842" s="24"/>
      <x:c r="I2842" s="24" t="str">
        <x:v>DuraVision Platinum UV</x:v>
      </x:c>
      <x:c r="J2842" s="40" t="n">
        <x:v>1749</x:v>
      </x:c>
      <x:c r="K2842" s="24" t="str">
        <x:v>-10.00 a +6.00</x:v>
      </x:c>
      <x:c r="L2842" s="24" t="str">
        <x:v>-6.00</x:v>
      </x:c>
      <x:c r="M2842" s="24" t="str">
        <x:v>1.00 a 3.00</x:v>
      </x:c>
      <x:c r="N2842" s="24" t="str">
        <x:v>75</x:v>
      </x:c>
      <x:c r="O2842" s="24"/>
      <x:c r="P2842" s="24"/>
      <x:c r="Q2842" s="24" t="str">
        <x:v>DISPONÍVEL</x:v>
      </x:c>
      <x:c r="R2842" s="24"/>
      <x:c r="S2842" s="24" t="n">
        <x:v>47</x:v>
      </x:c>
      <x:c r="T2842" s="24" t="str">
        <x:v>tabela_zeiss.pdf</x:v>
      </x:c>
      <x:c r="U2842" s="24" t="str">
        <x:v>ZEISS|Progressiva|Surfaçada|ClassicPlus||Poli||DuraVision Platinum UV|-10.00 a +6.00|-6.00|1.00 a 3.00|75|||47</x:v>
      </x:c>
    </x:row>
    <x:row r="2843">
      <x:c r="A2843" s="24" t="str">
        <x:v>ZS-21824A020A41</x:v>
      </x:c>
      <x:c r="B2843" s="24" t="str">
        <x:v>ZEISS</x:v>
      </x:c>
      <x:c r="C2843" s="24" t="str">
        <x:v>Progressiva</x:v>
      </x:c>
      <x:c r="D2843" s="24" t="str">
        <x:v>Surfaçada</x:v>
      </x:c>
      <x:c r="E2843" s="24" t="str">
        <x:v>ClassicPlus</x:v>
      </x:c>
      <x:c r="F2843" s="24"/>
      <x:c r="G2843" s="24" t="str">
        <x:v>Poli</x:v>
      </x:c>
      <x:c r="H2843" s="24"/>
      <x:c r="I2843" s="24" t="str">
        <x:v>DuraVision Silver UV</x:v>
      </x:c>
      <x:c r="J2843" s="40" t="n">
        <x:v>1489</x:v>
      </x:c>
      <x:c r="K2843" s="24" t="str">
        <x:v>-10.00 a +6.00</x:v>
      </x:c>
      <x:c r="L2843" s="24" t="str">
        <x:v>-6.00</x:v>
      </x:c>
      <x:c r="M2843" s="24" t="str">
        <x:v>1.00 a 3.00</x:v>
      </x:c>
      <x:c r="N2843" s="24" t="str">
        <x:v>75</x:v>
      </x:c>
      <x:c r="O2843" s="24"/>
      <x:c r="P2843" s="24"/>
      <x:c r="Q2843" s="24" t="str">
        <x:v>DISPONÍVEL</x:v>
      </x:c>
      <x:c r="R2843" s="24"/>
      <x:c r="S2843" s="24" t="n">
        <x:v>47</x:v>
      </x:c>
      <x:c r="T2843" s="24" t="str">
        <x:v>tabela_zeiss.pdf</x:v>
      </x:c>
      <x:c r="U2843" s="24" t="str">
        <x:v>ZEISS|Progressiva|Surfaçada|ClassicPlus||Poli||DuraVision Silver UV|-10.00 a +6.00|-6.00|1.00 a 3.00|75|||47</x:v>
      </x:c>
    </x:row>
    <x:row r="2844">
      <x:c r="A2844" s="24" t="str">
        <x:v>ZS-C1ECDDA52BB1</x:v>
      </x:c>
      <x:c r="B2844" s="24" t="str">
        <x:v>ZEISS</x:v>
      </x:c>
      <x:c r="C2844" s="24" t="str">
        <x:v>Progressiva</x:v>
      </x:c>
      <x:c r="D2844" s="24" t="str">
        <x:v>Surfaçada</x:v>
      </x:c>
      <x:c r="E2844" s="24" t="str">
        <x:v>ClassicPlus</x:v>
      </x:c>
      <x:c r="F2844" s="24"/>
      <x:c r="G2844" s="24" t="str">
        <x:v>Poli</x:v>
      </x:c>
      <x:c r="H2844" s="24"/>
      <x:c r="I2844" s="24" t="str">
        <x:v>DuraVision Chrome UV</x:v>
      </x:c>
      <x:c r="J2844" s="40" t="n">
        <x:v>999</x:v>
      </x:c>
      <x:c r="K2844" s="24" t="str">
        <x:v>-10.00 a +6.00</x:v>
      </x:c>
      <x:c r="L2844" s="24" t="str">
        <x:v>-6.00</x:v>
      </x:c>
      <x:c r="M2844" s="24" t="str">
        <x:v>1.00 a 3.00</x:v>
      </x:c>
      <x:c r="N2844" s="24" t="str">
        <x:v>75</x:v>
      </x:c>
      <x:c r="O2844" s="24"/>
      <x:c r="P2844" s="24"/>
      <x:c r="Q2844" s="24" t="str">
        <x:v>DISPONÍVEL</x:v>
      </x:c>
      <x:c r="R2844" s="24"/>
      <x:c r="S2844" s="24" t="n">
        <x:v>47</x:v>
      </x:c>
      <x:c r="T2844" s="24" t="str">
        <x:v>tabela_zeiss.pdf</x:v>
      </x:c>
      <x:c r="U2844" s="24" t="str">
        <x:v>ZEISS|Progressiva|Surfaçada|ClassicPlus||Poli||DuraVision Chrome UV|-10.00 a +6.00|-6.00|1.00 a 3.00|75|||47</x:v>
      </x:c>
    </x:row>
    <x:row r="2845">
      <x:c r="A2845" s="24" t="str">
        <x:v>ZS-C3342817D475</x:v>
      </x:c>
      <x:c r="B2845" s="24" t="str">
        <x:v>ZEISS</x:v>
      </x:c>
      <x:c r="C2845" s="24" t="str">
        <x:v>Progressiva</x:v>
      </x:c>
      <x:c r="D2845" s="24" t="str">
        <x:v>Surfaçada</x:v>
      </x:c>
      <x:c r="E2845" s="24" t="str">
        <x:v>ClassicPlus</x:v>
      </x:c>
      <x:c r="F2845" s="24"/>
      <x:c r="G2845" s="24" t="str">
        <x:v>1.60</x:v>
      </x:c>
      <x:c r="H2845" s="24" t="str">
        <x:v>1.60</x:v>
      </x:c>
      <x:c r="I2845" s="24" t="str">
        <x:v>DuraVision Gold UV</x:v>
      </x:c>
      <x:c r="J2845" s="40" t="n">
        <x:v>2169</x:v>
      </x:c>
      <x:c r="K2845" s="24" t="str">
        <x:v>-12.00 a -7.50</x:v>
      </x:c>
      <x:c r="L2845" s="24" t="str">
        <x:v>-6.00</x:v>
      </x:c>
      <x:c r="M2845" s="24" t="str">
        <x:v>1.00 a 3.00</x:v>
      </x:c>
      <x:c r="N2845" s="24" t="str">
        <x:v>74</x:v>
      </x:c>
      <x:c r="O2845" s="24"/>
      <x:c r="P2845" s="24"/>
      <x:c r="Q2845" s="24" t="str">
        <x:v>DISPONÍVEL</x:v>
      </x:c>
      <x:c r="R2845" s="24"/>
      <x:c r="S2845" s="24" t="n">
        <x:v>47</x:v>
      </x:c>
      <x:c r="T2845" s="24" t="str">
        <x:v>tabela_zeiss.pdf</x:v>
      </x:c>
      <x:c r="U2845" s="24" t="str">
        <x:v>ZEISS|Progressiva|Surfaçada|ClassicPlus||1.60|1.60|DuraVision Gold UV|-12.00 a -7.50|-6.00|1.00 a 3.00|74|||47</x:v>
      </x:c>
    </x:row>
    <x:row r="2846">
      <x:c r="A2846" s="24" t="str">
        <x:v>ZS-58B007396180</x:v>
      </x:c>
      <x:c r="B2846" s="24" t="str">
        <x:v>ZEISS</x:v>
      </x:c>
      <x:c r="C2846" s="24" t="str">
        <x:v>Progressiva</x:v>
      </x:c>
      <x:c r="D2846" s="24" t="str">
        <x:v>Surfaçada</x:v>
      </x:c>
      <x:c r="E2846" s="24" t="str">
        <x:v>ClassicPlus</x:v>
      </x:c>
      <x:c r="F2846" s="24"/>
      <x:c r="G2846" s="24" t="str">
        <x:v>1.60</x:v>
      </x:c>
      <x:c r="H2846" s="24" t="str">
        <x:v>1.60</x:v>
      </x:c>
      <x:c r="I2846" s="24" t="str">
        <x:v>DuraVision Platinum UV</x:v>
      </x:c>
      <x:c r="J2846" s="40" t="n">
        <x:v>2029</x:v>
      </x:c>
      <x:c r="K2846" s="24" t="str">
        <x:v>-12.00 a -7.50</x:v>
      </x:c>
      <x:c r="L2846" s="24" t="str">
        <x:v>-6.00</x:v>
      </x:c>
      <x:c r="M2846" s="24" t="str">
        <x:v>1.00 a 3.00</x:v>
      </x:c>
      <x:c r="N2846" s="24" t="str">
        <x:v>74</x:v>
      </x:c>
      <x:c r="O2846" s="24"/>
      <x:c r="P2846" s="24"/>
      <x:c r="Q2846" s="24" t="str">
        <x:v>DISPONÍVEL</x:v>
      </x:c>
      <x:c r="R2846" s="24"/>
      <x:c r="S2846" s="24" t="n">
        <x:v>47</x:v>
      </x:c>
      <x:c r="T2846" s="24" t="str">
        <x:v>tabela_zeiss.pdf</x:v>
      </x:c>
      <x:c r="U2846" s="24" t="str">
        <x:v>ZEISS|Progressiva|Surfaçada|ClassicPlus||1.60|1.60|DuraVision Platinum UV|-12.00 a -7.50|-6.00|1.00 a 3.00|74|||47</x:v>
      </x:c>
    </x:row>
    <x:row r="2847">
      <x:c r="A2847" s="24" t="str">
        <x:v>ZS-4F8CFCDD2FF3</x:v>
      </x:c>
      <x:c r="B2847" s="24" t="str">
        <x:v>ZEISS</x:v>
      </x:c>
      <x:c r="C2847" s="24" t="str">
        <x:v>Progressiva</x:v>
      </x:c>
      <x:c r="D2847" s="24" t="str">
        <x:v>Surfaçada</x:v>
      </x:c>
      <x:c r="E2847" s="24" t="str">
        <x:v>ClassicPlus</x:v>
      </x:c>
      <x:c r="F2847" s="24"/>
      <x:c r="G2847" s="24" t="str">
        <x:v>1.60</x:v>
      </x:c>
      <x:c r="H2847" s="24" t="str">
        <x:v>1.60</x:v>
      </x:c>
      <x:c r="I2847" s="24" t="str">
        <x:v>DuraVision Silver UV</x:v>
      </x:c>
      <x:c r="J2847" s="40" t="n">
        <x:v>1769</x:v>
      </x:c>
      <x:c r="K2847" s="24" t="str">
        <x:v>-12.00 a -7.50</x:v>
      </x:c>
      <x:c r="L2847" s="24" t="str">
        <x:v>-6.00</x:v>
      </x:c>
      <x:c r="M2847" s="24" t="str">
        <x:v>1.00 a 3.00</x:v>
      </x:c>
      <x:c r="N2847" s="24" t="str">
        <x:v>74</x:v>
      </x:c>
      <x:c r="O2847" s="24"/>
      <x:c r="P2847" s="24"/>
      <x:c r="Q2847" s="24" t="str">
        <x:v>DISPONÍVEL</x:v>
      </x:c>
      <x:c r="R2847" s="24"/>
      <x:c r="S2847" s="24" t="n">
        <x:v>47</x:v>
      </x:c>
      <x:c r="T2847" s="24" t="str">
        <x:v>tabela_zeiss.pdf</x:v>
      </x:c>
      <x:c r="U2847" s="24" t="str">
        <x:v>ZEISS|Progressiva|Surfaçada|ClassicPlus||1.60|1.60|DuraVision Silver UV|-12.00 a -7.50|-6.00|1.00 a 3.00|74|||47</x:v>
      </x:c>
    </x:row>
    <x:row r="2848">
      <x:c r="A2848" s="24" t="str">
        <x:v>ZS-D4BC03A67EB9</x:v>
      </x:c>
      <x:c r="B2848" s="24" t="str">
        <x:v>ZEISS</x:v>
      </x:c>
      <x:c r="C2848" s="24" t="str">
        <x:v>Progressiva</x:v>
      </x:c>
      <x:c r="D2848" s="24" t="str">
        <x:v>Surfaçada</x:v>
      </x:c>
      <x:c r="E2848" s="24" t="str">
        <x:v>ClassicPlus</x:v>
      </x:c>
      <x:c r="F2848" s="24"/>
      <x:c r="G2848" s="24" t="str">
        <x:v>1.60</x:v>
      </x:c>
      <x:c r="H2848" s="24" t="str">
        <x:v>1.60</x:v>
      </x:c>
      <x:c r="I2848" s="24" t="str">
        <x:v>DuraVision Chrome UV</x:v>
      </x:c>
      <x:c r="J2848" s="40" t="n">
        <x:v>1279</x:v>
      </x:c>
      <x:c r="K2848" s="24" t="str">
        <x:v>-12.00 a -7.50</x:v>
      </x:c>
      <x:c r="L2848" s="24" t="str">
        <x:v>-6.00</x:v>
      </x:c>
      <x:c r="M2848" s="24" t="str">
        <x:v>1.00 a 3.00</x:v>
      </x:c>
      <x:c r="N2848" s="24" t="str">
        <x:v>74</x:v>
      </x:c>
      <x:c r="O2848" s="24"/>
      <x:c r="P2848" s="24"/>
      <x:c r="Q2848" s="24" t="str">
        <x:v>DISPONÍVEL</x:v>
      </x:c>
      <x:c r="R2848" s="24"/>
      <x:c r="S2848" s="24" t="n">
        <x:v>47</x:v>
      </x:c>
      <x:c r="T2848" s="24" t="str">
        <x:v>tabela_zeiss.pdf</x:v>
      </x:c>
      <x:c r="U2848" s="24" t="str">
        <x:v>ZEISS|Progressiva|Surfaçada|ClassicPlus||1.60|1.60|DuraVision Chrome UV|-12.00 a -7.50|-6.00|1.00 a 3.00|74|||47</x:v>
      </x:c>
    </x:row>
    <x:row r="2849">
      <x:c r="A2849" s="24" t="str">
        <x:v>ZS-164813C003A4</x:v>
      </x:c>
      <x:c r="B2849" s="24" t="str">
        <x:v>ZEISS</x:v>
      </x:c>
      <x:c r="C2849" s="24" t="str">
        <x:v>Progressiva</x:v>
      </x:c>
      <x:c r="D2849" s="24" t="str">
        <x:v>Surfaçada</x:v>
      </x:c>
      <x:c r="E2849" s="24" t="str">
        <x:v>ClassicPlus</x:v>
      </x:c>
      <x:c r="F2849" s="24"/>
      <x:c r="G2849" s="24" t="str">
        <x:v>1.67</x:v>
      </x:c>
      <x:c r="H2849" s="24" t="str">
        <x:v>1.67</x:v>
      </x:c>
      <x:c r="I2849" s="24" t="str">
        <x:v>DuraVision Gold UV</x:v>
      </x:c>
      <x:c r="J2849" s="40" t="n">
        <x:v>3469</x:v>
      </x:c>
      <x:c r="K2849" s="24" t="str">
        <x:v>-12.00 a -7.50</x:v>
      </x:c>
      <x:c r="L2849" s="24" t="str">
        <x:v>-6.00</x:v>
      </x:c>
      <x:c r="M2849" s="24" t="str">
        <x:v>1.00 a 3.00</x:v>
      </x:c>
      <x:c r="N2849" s="24" t="str">
        <x:v>74</x:v>
      </x:c>
      <x:c r="O2849" s="24"/>
      <x:c r="P2849" s="24"/>
      <x:c r="Q2849" s="24" t="str">
        <x:v>DISPONÍVEL</x:v>
      </x:c>
      <x:c r="R2849" s="24"/>
      <x:c r="S2849" s="24" t="n">
        <x:v>47</x:v>
      </x:c>
      <x:c r="T2849" s="24" t="str">
        <x:v>tabela_zeiss.pdf</x:v>
      </x:c>
      <x:c r="U2849" s="24" t="str">
        <x:v>ZEISS|Progressiva|Surfaçada|ClassicPlus||1.67|1.67|DuraVision Gold UV|-12.00 a -7.50|-6.00|1.00 a 3.00|74|||47</x:v>
      </x:c>
    </x:row>
    <x:row r="2850">
      <x:c r="A2850" s="24" t="str">
        <x:v>ZS-300533FDF230</x:v>
      </x:c>
      <x:c r="B2850" s="24" t="str">
        <x:v>ZEISS</x:v>
      </x:c>
      <x:c r="C2850" s="24" t="str">
        <x:v>Progressiva</x:v>
      </x:c>
      <x:c r="D2850" s="24" t="str">
        <x:v>Surfaçada</x:v>
      </x:c>
      <x:c r="E2850" s="24" t="str">
        <x:v>ClassicPlus</x:v>
      </x:c>
      <x:c r="F2850" s="24"/>
      <x:c r="G2850" s="24" t="str">
        <x:v>1.67</x:v>
      </x:c>
      <x:c r="H2850" s="24" t="str">
        <x:v>1.67</x:v>
      </x:c>
      <x:c r="I2850" s="24" t="str">
        <x:v>DuraVision Platinum UV</x:v>
      </x:c>
      <x:c r="J2850" s="40" t="n">
        <x:v>3329</x:v>
      </x:c>
      <x:c r="K2850" s="24" t="str">
        <x:v>-12.00 a -7.50</x:v>
      </x:c>
      <x:c r="L2850" s="24" t="str">
        <x:v>-6.00</x:v>
      </x:c>
      <x:c r="M2850" s="24" t="str">
        <x:v>1.00 a 3.00</x:v>
      </x:c>
      <x:c r="N2850" s="24" t="str">
        <x:v>74</x:v>
      </x:c>
      <x:c r="O2850" s="24"/>
      <x:c r="P2850" s="24"/>
      <x:c r="Q2850" s="24" t="str">
        <x:v>DISPONÍVEL</x:v>
      </x:c>
      <x:c r="R2850" s="24"/>
      <x:c r="S2850" s="24" t="n">
        <x:v>47</x:v>
      </x:c>
      <x:c r="T2850" s="24" t="str">
        <x:v>tabela_zeiss.pdf</x:v>
      </x:c>
      <x:c r="U2850" s="24" t="str">
        <x:v>ZEISS|Progressiva|Surfaçada|ClassicPlus||1.67|1.67|DuraVision Platinum UV|-12.00 a -7.50|-6.00|1.00 a 3.00|74|||47</x:v>
      </x:c>
    </x:row>
    <x:row r="2851">
      <x:c r="A2851" s="24" t="str">
        <x:v>ZS-6F088E7A1926</x:v>
      </x:c>
      <x:c r="B2851" s="24" t="str">
        <x:v>ZEISS</x:v>
      </x:c>
      <x:c r="C2851" s="24" t="str">
        <x:v>Progressiva</x:v>
      </x:c>
      <x:c r="D2851" s="24" t="str">
        <x:v>Surfaçada</x:v>
      </x:c>
      <x:c r="E2851" s="24" t="str">
        <x:v>ClassicPlus</x:v>
      </x:c>
      <x:c r="F2851" s="24"/>
      <x:c r="G2851" s="24" t="str">
        <x:v>1.67</x:v>
      </x:c>
      <x:c r="H2851" s="24" t="str">
        <x:v>1.67</x:v>
      </x:c>
      <x:c r="I2851" s="24" t="str">
        <x:v>DuraVision Silver UV</x:v>
      </x:c>
      <x:c r="J2851" s="40" t="n">
        <x:v>3069</x:v>
      </x:c>
      <x:c r="K2851" s="24" t="str">
        <x:v>-12.00 a -7.50</x:v>
      </x:c>
      <x:c r="L2851" s="24" t="str">
        <x:v>-6.00</x:v>
      </x:c>
      <x:c r="M2851" s="24" t="str">
        <x:v>1.00 a 3.00</x:v>
      </x:c>
      <x:c r="N2851" s="24" t="str">
        <x:v>74</x:v>
      </x:c>
      <x:c r="O2851" s="24"/>
      <x:c r="P2851" s="24"/>
      <x:c r="Q2851" s="24" t="str">
        <x:v>DISPONÍVEL</x:v>
      </x:c>
      <x:c r="R2851" s="24"/>
      <x:c r="S2851" s="24" t="n">
        <x:v>47</x:v>
      </x:c>
      <x:c r="T2851" s="24" t="str">
        <x:v>tabela_zeiss.pdf</x:v>
      </x:c>
      <x:c r="U2851" s="24" t="str">
        <x:v>ZEISS|Progressiva|Surfaçada|ClassicPlus||1.67|1.67|DuraVision Silver UV|-12.00 a -7.50|-6.00|1.00 a 3.00|74|||47</x:v>
      </x:c>
    </x:row>
    <x:row r="2852">
      <x:c r="A2852" s="24" t="str">
        <x:v>ZS-C44D562DD2ED</x:v>
      </x:c>
      <x:c r="B2852" s="24" t="str">
        <x:v>ZEISS</x:v>
      </x:c>
      <x:c r="C2852" s="24" t="str">
        <x:v>Progressiva</x:v>
      </x:c>
      <x:c r="D2852" s="24" t="str">
        <x:v>Surfaçada</x:v>
      </x:c>
      <x:c r="E2852" s="24" t="str">
        <x:v>ClassicPlus</x:v>
      </x:c>
      <x:c r="F2852" s="24"/>
      <x:c r="G2852" s="24" t="str">
        <x:v>1.67</x:v>
      </x:c>
      <x:c r="H2852" s="24" t="str">
        <x:v>1.67</x:v>
      </x:c>
      <x:c r="I2852" s="24" t="str">
        <x:v>DuraVision Chrome UV</x:v>
      </x:c>
      <x:c r="J2852" s="40" t="n">
        <x:v>2579</x:v>
      </x:c>
      <x:c r="K2852" s="24" t="str">
        <x:v>-12.00 a -7.50</x:v>
      </x:c>
      <x:c r="L2852" s="24" t="str">
        <x:v>-6.00</x:v>
      </x:c>
      <x:c r="M2852" s="24" t="str">
        <x:v>1.00 a 3.00</x:v>
      </x:c>
      <x:c r="N2852" s="24" t="str">
        <x:v>74</x:v>
      </x:c>
      <x:c r="O2852" s="24"/>
      <x:c r="P2852" s="24"/>
      <x:c r="Q2852" s="24" t="str">
        <x:v>DISPONÍVEL</x:v>
      </x:c>
      <x:c r="R2852" s="24"/>
      <x:c r="S2852" s="24" t="n">
        <x:v>47</x:v>
      </x:c>
      <x:c r="T2852" s="24" t="str">
        <x:v>tabela_zeiss.pdf</x:v>
      </x:c>
      <x:c r="U2852" s="24" t="str">
        <x:v>ZEISS|Progressiva|Surfaçada|ClassicPlus||1.67|1.67|DuraVision Chrome UV|-12.00 a -7.50|-6.00|1.00 a 3.00|74|||47</x:v>
      </x:c>
    </x:row>
    <x:row r="2853">
      <x:c r="A2853" s="24" t="str">
        <x:v>ZS-F9C544E6B40E</x:v>
      </x:c>
      <x:c r="B2853" s="24" t="str">
        <x:v>ZEISS</x:v>
      </x:c>
      <x:c r="C2853" s="24" t="str">
        <x:v>Progressiva</x:v>
      </x:c>
      <x:c r="D2853" s="24" t="str">
        <x:v>Surfaçada</x:v>
      </x:c>
      <x:c r="E2853" s="24" t="str">
        <x:v>ClassicPlus</x:v>
      </x:c>
      <x:c r="F2853" s="24" t="str">
        <x:v>PhotoFusion X</x:v>
      </x:c>
      <x:c r="G2853" s="24" t="str">
        <x:v>1.5</x:v>
      </x:c>
      <x:c r="H2853" s="24" t="str">
        <x:v>1.50</x:v>
      </x:c>
      <x:c r="I2853" s="24" t="str">
        <x:v>DuraVision Gold UV</x:v>
      </x:c>
      <x:c r="J2853" s="40" t="n">
        <x:v>2679</x:v>
      </x:c>
      <x:c r="K2853" s="24" t="str">
        <x:v>-7.00 a +5.00</x:v>
      </x:c>
      <x:c r="L2853" s="24" t="str">
        <x:v>-4.00</x:v>
      </x:c>
      <x:c r="M2853" s="24" t="str">
        <x:v>1.00 a 3.00</x:v>
      </x:c>
      <x:c r="N2853" s="24" t="str">
        <x:v>72</x:v>
      </x:c>
      <x:c r="O2853" s="24"/>
      <x:c r="P2853" s="24"/>
      <x:c r="Q2853" s="24" t="str">
        <x:v>DISPONÍVEL</x:v>
      </x:c>
      <x:c r="R2853" s="24" t="str">
        <x:v>Programa de Parcerias ZEISS</x:v>
      </x:c>
      <x:c r="S2853" s="24" t="n">
        <x:v>47</x:v>
      </x:c>
      <x:c r="T2853" s="24" t="str">
        <x:v>tabela_zeiss.pdf</x:v>
      </x:c>
      <x:c r="U2853" s="24" t="str">
        <x:v>ZEISS|Progressiva|Surfaçada|ClassicPlus|PhotoFusion X|1.5|1.50|DuraVision Gold UV|-7.00 a +5.00|-4.00|1.00 a 3.00|72|||47</x:v>
      </x:c>
    </x:row>
    <x:row r="2854">
      <x:c r="A2854" s="24" t="str">
        <x:v>ZS-FE51CA86F54C</x:v>
      </x:c>
      <x:c r="B2854" s="24" t="str">
        <x:v>ZEISS</x:v>
      </x:c>
      <x:c r="C2854" s="24" t="str">
        <x:v>Progressiva</x:v>
      </x:c>
      <x:c r="D2854" s="24" t="str">
        <x:v>Surfaçada</x:v>
      </x:c>
      <x:c r="E2854" s="24" t="str">
        <x:v>ClassicPlus</x:v>
      </x:c>
      <x:c r="F2854" s="24" t="str">
        <x:v>PhotoFusion X</x:v>
      </x:c>
      <x:c r="G2854" s="24" t="str">
        <x:v>1.5</x:v>
      </x:c>
      <x:c r="H2854" s="24" t="str">
        <x:v>1.50</x:v>
      </x:c>
      <x:c r="I2854" s="24" t="str">
        <x:v>DuraVision Platinum UV</x:v>
      </x:c>
      <x:c r="J2854" s="40" t="n">
        <x:v>2539</x:v>
      </x:c>
      <x:c r="K2854" s="24" t="str">
        <x:v>-7.00 a +5.00</x:v>
      </x:c>
      <x:c r="L2854" s="24" t="str">
        <x:v>-4.00</x:v>
      </x:c>
      <x:c r="M2854" s="24" t="str">
        <x:v>1.00 a 3.00</x:v>
      </x:c>
      <x:c r="N2854" s="24" t="str">
        <x:v>72</x:v>
      </x:c>
      <x:c r="O2854" s="24"/>
      <x:c r="P2854" s="24"/>
      <x:c r="Q2854" s="24" t="str">
        <x:v>DISPONÍVEL</x:v>
      </x:c>
      <x:c r="R2854" s="24" t="str">
        <x:v>Programa de Parcerias ZEISS</x:v>
      </x:c>
      <x:c r="S2854" s="24" t="n">
        <x:v>47</x:v>
      </x:c>
      <x:c r="T2854" s="24" t="str">
        <x:v>tabela_zeiss.pdf</x:v>
      </x:c>
      <x:c r="U2854" s="24" t="str">
        <x:v>ZEISS|Progressiva|Surfaçada|ClassicPlus|PhotoFusion X|1.5|1.50|DuraVision Platinum UV|-7.00 a +5.00|-4.00|1.00 a 3.00|72|||47</x:v>
      </x:c>
    </x:row>
    <x:row r="2855">
      <x:c r="A2855" s="24" t="str">
        <x:v>ZS-EF72E4F3FC5B</x:v>
      </x:c>
      <x:c r="B2855" s="24" t="str">
        <x:v>ZEISS</x:v>
      </x:c>
      <x:c r="C2855" s="24" t="str">
        <x:v>Progressiva</x:v>
      </x:c>
      <x:c r="D2855" s="24" t="str">
        <x:v>Surfaçada</x:v>
      </x:c>
      <x:c r="E2855" s="24" t="str">
        <x:v>ClassicPlus</x:v>
      </x:c>
      <x:c r="F2855" s="24" t="str">
        <x:v>PhotoFusion X</x:v>
      </x:c>
      <x:c r="G2855" s="24" t="str">
        <x:v>1.5</x:v>
      </x:c>
      <x:c r="H2855" s="24" t="str">
        <x:v>1.50</x:v>
      </x:c>
      <x:c r="I2855" s="24" t="str">
        <x:v>DuraVision Silver UV</x:v>
      </x:c>
      <x:c r="J2855" s="40" t="n">
        <x:v>2279</x:v>
      </x:c>
      <x:c r="K2855" s="24" t="str">
        <x:v>-7.00 a +5.00</x:v>
      </x:c>
      <x:c r="L2855" s="24" t="str">
        <x:v>-4.00</x:v>
      </x:c>
      <x:c r="M2855" s="24" t="str">
        <x:v>1.00 a 3.00</x:v>
      </x:c>
      <x:c r="N2855" s="24" t="str">
        <x:v>72</x:v>
      </x:c>
      <x:c r="O2855" s="24"/>
      <x:c r="P2855" s="24"/>
      <x:c r="Q2855" s="24" t="str">
        <x:v>DISPONÍVEL</x:v>
      </x:c>
      <x:c r="R2855" s="24" t="str">
        <x:v>Programa de Parcerias ZEISS</x:v>
      </x:c>
      <x:c r="S2855" s="24" t="n">
        <x:v>47</x:v>
      </x:c>
      <x:c r="T2855" s="24" t="str">
        <x:v>tabela_zeiss.pdf</x:v>
      </x:c>
      <x:c r="U2855" s="24" t="str">
        <x:v>ZEISS|Progressiva|Surfaçada|ClassicPlus|PhotoFusion X|1.5|1.50|DuraVision Silver UV|-7.00 a +5.00|-4.00|1.00 a 3.00|72|||47</x:v>
      </x:c>
    </x:row>
    <x:row r="2856">
      <x:c r="A2856" s="24" t="str">
        <x:v>ZS-5611B2E9A828</x:v>
      </x:c>
      <x:c r="B2856" s="24" t="str">
        <x:v>ZEISS</x:v>
      </x:c>
      <x:c r="C2856" s="24" t="str">
        <x:v>Progressiva</x:v>
      </x:c>
      <x:c r="D2856" s="24" t="str">
        <x:v>Surfaçada</x:v>
      </x:c>
      <x:c r="E2856" s="24" t="str">
        <x:v>ClassicPlus</x:v>
      </x:c>
      <x:c r="F2856" s="24" t="str">
        <x:v>PhotoFusion X</x:v>
      </x:c>
      <x:c r="G2856" s="24" t="str">
        <x:v>1.5</x:v>
      </x:c>
      <x:c r="H2856" s="24" t="str">
        <x:v>1.50</x:v>
      </x:c>
      <x:c r="I2856" s="24" t="str">
        <x:v>DuraVision Chrome UV</x:v>
      </x:c>
      <x:c r="J2856" s="40" t="n">
        <x:v>1789</x:v>
      </x:c>
      <x:c r="K2856" s="24" t="str">
        <x:v>-7.00 a +5.00</x:v>
      </x:c>
      <x:c r="L2856" s="24" t="str">
        <x:v>-4.00</x:v>
      </x:c>
      <x:c r="M2856" s="24" t="str">
        <x:v>1.00 a 3.00</x:v>
      </x:c>
      <x:c r="N2856" s="24" t="str">
        <x:v>72</x:v>
      </x:c>
      <x:c r="O2856" s="24"/>
      <x:c r="P2856" s="24"/>
      <x:c r="Q2856" s="24" t="str">
        <x:v>DISPONÍVEL</x:v>
      </x:c>
      <x:c r="R2856" s="24" t="str">
        <x:v>Programa de Parcerias ZEISS</x:v>
      </x:c>
      <x:c r="S2856" s="24" t="n">
        <x:v>47</x:v>
      </x:c>
      <x:c r="T2856" s="24" t="str">
        <x:v>tabela_zeiss.pdf</x:v>
      </x:c>
      <x:c r="U2856" s="24" t="str">
        <x:v>ZEISS|Progressiva|Surfaçada|ClassicPlus|PhotoFusion X|1.5|1.50|DuraVision Chrome UV|-7.00 a +5.00|-4.00|1.00 a 3.00|72|||47</x:v>
      </x:c>
    </x:row>
    <x:row r="2857">
      <x:c r="A2857" s="24" t="str">
        <x:v>ZS-747DBA704D8B</x:v>
      </x:c>
      <x:c r="B2857" s="24" t="str">
        <x:v>ZEISS</x:v>
      </x:c>
      <x:c r="C2857" s="24" t="str">
        <x:v>Progressiva</x:v>
      </x:c>
      <x:c r="D2857" s="24" t="str">
        <x:v>Surfaçada</x:v>
      </x:c>
      <x:c r="E2857" s="24" t="str">
        <x:v>ClassicPlus</x:v>
      </x:c>
      <x:c r="F2857" s="24" t="str">
        <x:v>PhotoFusion X</x:v>
      </x:c>
      <x:c r="G2857" s="24" t="str">
        <x:v>Poli</x:v>
      </x:c>
      <x:c r="H2857" s="24"/>
      <x:c r="I2857" s="24" t="str">
        <x:v>DuraVision Gold UV</x:v>
      </x:c>
      <x:c r="J2857" s="40" t="n">
        <x:v>2979</x:v>
      </x:c>
      <x:c r="K2857" s="24" t="str">
        <x:v>-10.00 a +6.00</x:v>
      </x:c>
      <x:c r="L2857" s="24" t="str">
        <x:v>-6.00</x:v>
      </x:c>
      <x:c r="M2857" s="24" t="str">
        <x:v>1.00 a 3.00</x:v>
      </x:c>
      <x:c r="N2857" s="24" t="str">
        <x:v>72</x:v>
      </x:c>
      <x:c r="O2857" s="24"/>
      <x:c r="P2857" s="24"/>
      <x:c r="Q2857" s="24" t="str">
        <x:v>DISPONÍVEL</x:v>
      </x:c>
      <x:c r="R2857" s="24" t="str">
        <x:v>Programa de Parcerias ZEISS</x:v>
      </x:c>
      <x:c r="S2857" s="24" t="n">
        <x:v>47</x:v>
      </x:c>
      <x:c r="T2857" s="24" t="str">
        <x:v>tabela_zeiss.pdf</x:v>
      </x:c>
      <x:c r="U2857" s="24" t="str">
        <x:v>ZEISS|Progressiva|Surfaçada|ClassicPlus|PhotoFusion X|Poli||DuraVision Gold UV|-10.00 a +6.00|-6.00|1.00 a 3.00|72|||47</x:v>
      </x:c>
    </x:row>
    <x:row r="2858">
      <x:c r="A2858" s="24" t="str">
        <x:v>ZS-CB8C47D3AE1B</x:v>
      </x:c>
      <x:c r="B2858" s="24" t="str">
        <x:v>ZEISS</x:v>
      </x:c>
      <x:c r="C2858" s="24" t="str">
        <x:v>Progressiva</x:v>
      </x:c>
      <x:c r="D2858" s="24" t="str">
        <x:v>Surfaçada</x:v>
      </x:c>
      <x:c r="E2858" s="24" t="str">
        <x:v>ClassicPlus</x:v>
      </x:c>
      <x:c r="F2858" s="24" t="str">
        <x:v>PhotoFusion X</x:v>
      </x:c>
      <x:c r="G2858" s="24" t="str">
        <x:v>Poli</x:v>
      </x:c>
      <x:c r="H2858" s="24"/>
      <x:c r="I2858" s="24" t="str">
        <x:v>DuraVision Platinum UV</x:v>
      </x:c>
      <x:c r="J2858" s="40" t="n">
        <x:v>2839</x:v>
      </x:c>
      <x:c r="K2858" s="24" t="str">
        <x:v>-10.00 a +6.00</x:v>
      </x:c>
      <x:c r="L2858" s="24" t="str">
        <x:v>-6.00</x:v>
      </x:c>
      <x:c r="M2858" s="24" t="str">
        <x:v>1.00 a 3.00</x:v>
      </x:c>
      <x:c r="N2858" s="24" t="str">
        <x:v>72</x:v>
      </x:c>
      <x:c r="O2858" s="24"/>
      <x:c r="P2858" s="24"/>
      <x:c r="Q2858" s="24" t="str">
        <x:v>DISPONÍVEL</x:v>
      </x:c>
      <x:c r="R2858" s="24" t="str">
        <x:v>Programa de Parcerias ZEISS</x:v>
      </x:c>
      <x:c r="S2858" s="24" t="n">
        <x:v>47</x:v>
      </x:c>
      <x:c r="T2858" s="24" t="str">
        <x:v>tabela_zeiss.pdf</x:v>
      </x:c>
      <x:c r="U2858" s="24" t="str">
        <x:v>ZEISS|Progressiva|Surfaçada|ClassicPlus|PhotoFusion X|Poli||DuraVision Platinum UV|-10.00 a +6.00|-6.00|1.00 a 3.00|72|||47</x:v>
      </x:c>
    </x:row>
    <x:row r="2859">
      <x:c r="A2859" s="24" t="str">
        <x:v>ZS-FAA2A26D11DB</x:v>
      </x:c>
      <x:c r="B2859" s="24" t="str">
        <x:v>ZEISS</x:v>
      </x:c>
      <x:c r="C2859" s="24" t="str">
        <x:v>Progressiva</x:v>
      </x:c>
      <x:c r="D2859" s="24" t="str">
        <x:v>Surfaçada</x:v>
      </x:c>
      <x:c r="E2859" s="24" t="str">
        <x:v>ClassicPlus</x:v>
      </x:c>
      <x:c r="F2859" s="24" t="str">
        <x:v>PhotoFusion X</x:v>
      </x:c>
      <x:c r="G2859" s="24" t="str">
        <x:v>Poli</x:v>
      </x:c>
      <x:c r="H2859" s="24"/>
      <x:c r="I2859" s="24" t="str">
        <x:v>DuraVision Silver UV</x:v>
      </x:c>
      <x:c r="J2859" s="40" t="n">
        <x:v>2579</x:v>
      </x:c>
      <x:c r="K2859" s="24" t="str">
        <x:v>-10.00 a +6.00</x:v>
      </x:c>
      <x:c r="L2859" s="24" t="str">
        <x:v>-6.00</x:v>
      </x:c>
      <x:c r="M2859" s="24" t="str">
        <x:v>1.00 a 3.00</x:v>
      </x:c>
      <x:c r="N2859" s="24" t="str">
        <x:v>72</x:v>
      </x:c>
      <x:c r="O2859" s="24"/>
      <x:c r="P2859" s="24"/>
      <x:c r="Q2859" s="24" t="str">
        <x:v>DISPONÍVEL</x:v>
      </x:c>
      <x:c r="R2859" s="24" t="str">
        <x:v>Programa de Parcerias ZEISS</x:v>
      </x:c>
      <x:c r="S2859" s="24" t="n">
        <x:v>47</x:v>
      </x:c>
      <x:c r="T2859" s="24" t="str">
        <x:v>tabela_zeiss.pdf</x:v>
      </x:c>
      <x:c r="U2859" s="24" t="str">
        <x:v>ZEISS|Progressiva|Surfaçada|ClassicPlus|PhotoFusion X|Poli||DuraVision Silver UV|-10.00 a +6.00|-6.00|1.00 a 3.00|72|||47</x:v>
      </x:c>
    </x:row>
    <x:row r="2860">
      <x:c r="A2860" s="24" t="str">
        <x:v>ZS-3018243B4621</x:v>
      </x:c>
      <x:c r="B2860" s="24" t="str">
        <x:v>ZEISS</x:v>
      </x:c>
      <x:c r="C2860" s="24" t="str">
        <x:v>Progressiva</x:v>
      </x:c>
      <x:c r="D2860" s="24" t="str">
        <x:v>Surfaçada</x:v>
      </x:c>
      <x:c r="E2860" s="24" t="str">
        <x:v>ClassicPlus</x:v>
      </x:c>
      <x:c r="F2860" s="24" t="str">
        <x:v>PhotoFusion X</x:v>
      </x:c>
      <x:c r="G2860" s="24" t="str">
        <x:v>Poli</x:v>
      </x:c>
      <x:c r="H2860" s="24"/>
      <x:c r="I2860" s="24" t="str">
        <x:v>DuraVision Chrome UV</x:v>
      </x:c>
      <x:c r="J2860" s="40" t="n">
        <x:v>2089</x:v>
      </x:c>
      <x:c r="K2860" s="24" t="str">
        <x:v>-10.00 a +6.00</x:v>
      </x:c>
      <x:c r="L2860" s="24" t="str">
        <x:v>-6.00</x:v>
      </x:c>
      <x:c r="M2860" s="24" t="str">
        <x:v>1.00 a 3.00</x:v>
      </x:c>
      <x:c r="N2860" s="24" t="str">
        <x:v>72</x:v>
      </x:c>
      <x:c r="O2860" s="24"/>
      <x:c r="P2860" s="24"/>
      <x:c r="Q2860" s="24" t="str">
        <x:v>DISPONÍVEL</x:v>
      </x:c>
      <x:c r="R2860" s="24" t="str">
        <x:v>Programa de Parcerias ZEISS</x:v>
      </x:c>
      <x:c r="S2860" s="24" t="n">
        <x:v>47</x:v>
      </x:c>
      <x:c r="T2860" s="24" t="str">
        <x:v>tabela_zeiss.pdf</x:v>
      </x:c>
      <x:c r="U2860" s="24" t="str">
        <x:v>ZEISS|Progressiva|Surfaçada|ClassicPlus|PhotoFusion X|Poli||DuraVision Chrome UV|-10.00 a +6.00|-6.00|1.00 a 3.00|72|||47</x:v>
      </x:c>
    </x:row>
    <x:row r="2861">
      <x:c r="A2861" s="24" t="str">
        <x:v>ZS-EFECF43AABCD</x:v>
      </x:c>
      <x:c r="B2861" s="24" t="str">
        <x:v>ZEISS</x:v>
      </x:c>
      <x:c r="C2861" s="24" t="str">
        <x:v>Progressiva</x:v>
      </x:c>
      <x:c r="D2861" s="24" t="str">
        <x:v>Surfaçada</x:v>
      </x:c>
      <x:c r="E2861" s="24" t="str">
        <x:v>ClassicPlus</x:v>
      </x:c>
      <x:c r="F2861" s="24" t="str">
        <x:v>PhotoFusion X</x:v>
      </x:c>
      <x:c r="G2861" s="24" t="str">
        <x:v>1.60</x:v>
      </x:c>
      <x:c r="H2861" s="24" t="str">
        <x:v>1.60</x:v>
      </x:c>
      <x:c r="I2861" s="24" t="str">
        <x:v>DuraVision Gold UV</x:v>
      </x:c>
      <x:c r="J2861" s="40" t="n">
        <x:v>3259</x:v>
      </x:c>
      <x:c r="K2861" s="24" t="str">
        <x:v>-12.00 a -7.50</x:v>
      </x:c>
      <x:c r="L2861" s="24" t="str">
        <x:v>-6.00</x:v>
      </x:c>
      <x:c r="M2861" s="24" t="str">
        <x:v>1.00 a 3.00</x:v>
      </x:c>
      <x:c r="N2861" s="24" t="str">
        <x:v>74</x:v>
      </x:c>
      <x:c r="O2861" s="24"/>
      <x:c r="P2861" s="24"/>
      <x:c r="Q2861" s="24" t="str">
        <x:v>DISPONÍVEL</x:v>
      </x:c>
      <x:c r="R2861" s="24" t="str">
        <x:v>Programa de Parcerias ZEISS</x:v>
      </x:c>
      <x:c r="S2861" s="24" t="n">
        <x:v>47</x:v>
      </x:c>
      <x:c r="T2861" s="24" t="str">
        <x:v>tabela_zeiss.pdf</x:v>
      </x:c>
      <x:c r="U2861" s="24" t="str">
        <x:v>ZEISS|Progressiva|Surfaçada|ClassicPlus|PhotoFusion X|1.60|1.60|DuraVision Gold UV|-12.00 a -7.50|-6.00|1.00 a 3.00|74|||47</x:v>
      </x:c>
    </x:row>
    <x:row r="2862">
      <x:c r="A2862" s="24" t="str">
        <x:v>ZS-040C5A147C13</x:v>
      </x:c>
      <x:c r="B2862" s="24" t="str">
        <x:v>ZEISS</x:v>
      </x:c>
      <x:c r="C2862" s="24" t="str">
        <x:v>Progressiva</x:v>
      </x:c>
      <x:c r="D2862" s="24" t="str">
        <x:v>Surfaçada</x:v>
      </x:c>
      <x:c r="E2862" s="24" t="str">
        <x:v>ClassicPlus</x:v>
      </x:c>
      <x:c r="F2862" s="24" t="str">
        <x:v>PhotoFusion X</x:v>
      </x:c>
      <x:c r="G2862" s="24" t="str">
        <x:v>1.60</x:v>
      </x:c>
      <x:c r="H2862" s="24" t="str">
        <x:v>1.60</x:v>
      </x:c>
      <x:c r="I2862" s="24" t="str">
        <x:v>DuraVision Platinum UV</x:v>
      </x:c>
      <x:c r="J2862" s="40" t="n">
        <x:v>3119</x:v>
      </x:c>
      <x:c r="K2862" s="24" t="str">
        <x:v>-12.00 a -7.50</x:v>
      </x:c>
      <x:c r="L2862" s="24" t="str">
        <x:v>-6.00</x:v>
      </x:c>
      <x:c r="M2862" s="24" t="str">
        <x:v>1.00 a 3.00</x:v>
      </x:c>
      <x:c r="N2862" s="24" t="str">
        <x:v>74</x:v>
      </x:c>
      <x:c r="O2862" s="24"/>
      <x:c r="P2862" s="24"/>
      <x:c r="Q2862" s="24" t="str">
        <x:v>DISPONÍVEL</x:v>
      </x:c>
      <x:c r="R2862" s="24" t="str">
        <x:v>Programa de Parcerias ZEISS</x:v>
      </x:c>
      <x:c r="S2862" s="24" t="n">
        <x:v>47</x:v>
      </x:c>
      <x:c r="T2862" s="24" t="str">
        <x:v>tabela_zeiss.pdf</x:v>
      </x:c>
      <x:c r="U2862" s="24" t="str">
        <x:v>ZEISS|Progressiva|Surfaçada|ClassicPlus|PhotoFusion X|1.60|1.60|DuraVision Platinum UV|-12.00 a -7.50|-6.00|1.00 a 3.00|74|||47</x:v>
      </x:c>
    </x:row>
    <x:row r="2863">
      <x:c r="A2863" s="24" t="str">
        <x:v>ZS-B25252460996</x:v>
      </x:c>
      <x:c r="B2863" s="24" t="str">
        <x:v>ZEISS</x:v>
      </x:c>
      <x:c r="C2863" s="24" t="str">
        <x:v>Progressiva</x:v>
      </x:c>
      <x:c r="D2863" s="24" t="str">
        <x:v>Surfaçada</x:v>
      </x:c>
      <x:c r="E2863" s="24" t="str">
        <x:v>ClassicPlus</x:v>
      </x:c>
      <x:c r="F2863" s="24" t="str">
        <x:v>PhotoFusion X</x:v>
      </x:c>
      <x:c r="G2863" s="24" t="str">
        <x:v>1.60</x:v>
      </x:c>
      <x:c r="H2863" s="24" t="str">
        <x:v>1.60</x:v>
      </x:c>
      <x:c r="I2863" s="24" t="str">
        <x:v>DuraVision Silver UV</x:v>
      </x:c>
      <x:c r="J2863" s="40" t="n">
        <x:v>2859</x:v>
      </x:c>
      <x:c r="K2863" s="24" t="str">
        <x:v>-12.00 a -7.50</x:v>
      </x:c>
      <x:c r="L2863" s="24" t="str">
        <x:v>-6.00</x:v>
      </x:c>
      <x:c r="M2863" s="24" t="str">
        <x:v>1.00 a 3.00</x:v>
      </x:c>
      <x:c r="N2863" s="24" t="str">
        <x:v>74</x:v>
      </x:c>
      <x:c r="O2863" s="24"/>
      <x:c r="P2863" s="24"/>
      <x:c r="Q2863" s="24" t="str">
        <x:v>DISPONÍVEL</x:v>
      </x:c>
      <x:c r="R2863" s="24" t="str">
        <x:v>Programa de Parcerias ZEISS</x:v>
      </x:c>
      <x:c r="S2863" s="24" t="n">
        <x:v>47</x:v>
      </x:c>
      <x:c r="T2863" s="24" t="str">
        <x:v>tabela_zeiss.pdf</x:v>
      </x:c>
      <x:c r="U2863" s="24" t="str">
        <x:v>ZEISS|Progressiva|Surfaçada|ClassicPlus|PhotoFusion X|1.60|1.60|DuraVision Silver UV|-12.00 a -7.50|-6.00|1.00 a 3.00|74|||47</x:v>
      </x:c>
    </x:row>
    <x:row r="2864">
      <x:c r="A2864" s="24" t="str">
        <x:v>ZS-F40CF8042B33</x:v>
      </x:c>
      <x:c r="B2864" s="24" t="str">
        <x:v>ZEISS</x:v>
      </x:c>
      <x:c r="C2864" s="24" t="str">
        <x:v>Progressiva</x:v>
      </x:c>
      <x:c r="D2864" s="24" t="str">
        <x:v>Surfaçada</x:v>
      </x:c>
      <x:c r="E2864" s="24" t="str">
        <x:v>ClassicPlus</x:v>
      </x:c>
      <x:c r="F2864" s="24" t="str">
        <x:v>PhotoFusion X</x:v>
      </x:c>
      <x:c r="G2864" s="24" t="str">
        <x:v>1.60</x:v>
      </x:c>
      <x:c r="H2864" s="24" t="str">
        <x:v>1.60</x:v>
      </x:c>
      <x:c r="I2864" s="24" t="str">
        <x:v>DuraVision Chrome UV</x:v>
      </x:c>
      <x:c r="J2864" s="40" t="n">
        <x:v>2369</x:v>
      </x:c>
      <x:c r="K2864" s="24" t="str">
        <x:v>-12.00 a -7.50</x:v>
      </x:c>
      <x:c r="L2864" s="24" t="str">
        <x:v>-6.00</x:v>
      </x:c>
      <x:c r="M2864" s="24" t="str">
        <x:v>1.00 a 3.00</x:v>
      </x:c>
      <x:c r="N2864" s="24" t="str">
        <x:v>74</x:v>
      </x:c>
      <x:c r="O2864" s="24"/>
      <x:c r="P2864" s="24"/>
      <x:c r="Q2864" s="24" t="str">
        <x:v>DISPONÍVEL</x:v>
      </x:c>
      <x:c r="R2864" s="24" t="str">
        <x:v>Programa de Parcerias ZEISS</x:v>
      </x:c>
      <x:c r="S2864" s="24" t="n">
        <x:v>47</x:v>
      </x:c>
      <x:c r="T2864" s="24" t="str">
        <x:v>tabela_zeiss.pdf</x:v>
      </x:c>
      <x:c r="U2864" s="24" t="str">
        <x:v>ZEISS|Progressiva|Surfaçada|ClassicPlus|PhotoFusion X|1.60|1.60|DuraVision Chrome UV|-12.00 a -7.50|-6.00|1.00 a 3.00|74|||47</x:v>
      </x:c>
    </x:row>
    <x:row r="2865">
      <x:c r="A2865" s="24" t="str">
        <x:v>ZS-B1CEF29055E9</x:v>
      </x:c>
      <x:c r="B2865" s="24" t="str">
        <x:v>ZEISS</x:v>
      </x:c>
      <x:c r="C2865" s="24" t="str">
        <x:v>Progressiva</x:v>
      </x:c>
      <x:c r="D2865" s="24" t="str">
        <x:v>Surfaçada</x:v>
      </x:c>
      <x:c r="E2865" s="24" t="str">
        <x:v>ClassicPlus</x:v>
      </x:c>
      <x:c r="F2865" s="24" t="str">
        <x:v>PhotoFusion X</x:v>
      </x:c>
      <x:c r="G2865" s="24" t="str">
        <x:v>1.67</x:v>
      </x:c>
      <x:c r="H2865" s="24" t="str">
        <x:v>1.67</x:v>
      </x:c>
      <x:c r="I2865" s="24" t="str">
        <x:v>DuraVision Gold UV</x:v>
      </x:c>
      <x:c r="J2865" s="40" t="n">
        <x:v>4559</x:v>
      </x:c>
      <x:c r="K2865" s="24" t="str">
        <x:v>-12.00 a -7.50</x:v>
      </x:c>
      <x:c r="L2865" s="24" t="str">
        <x:v>-6.00</x:v>
      </x:c>
      <x:c r="M2865" s="24" t="str">
        <x:v>1.00 a 3.00</x:v>
      </x:c>
      <x:c r="N2865" s="24" t="str">
        <x:v>74</x:v>
      </x:c>
      <x:c r="O2865" s="24"/>
      <x:c r="P2865" s="24"/>
      <x:c r="Q2865" s="24" t="str">
        <x:v>DISPONÍVEL</x:v>
      </x:c>
      <x:c r="R2865" s="24" t="str">
        <x:v>Programa de Parcerias ZEISS</x:v>
      </x:c>
      <x:c r="S2865" s="24" t="n">
        <x:v>47</x:v>
      </x:c>
      <x:c r="T2865" s="24" t="str">
        <x:v>tabela_zeiss.pdf</x:v>
      </x:c>
      <x:c r="U2865" s="24" t="str">
        <x:v>ZEISS|Progressiva|Surfaçada|ClassicPlus|PhotoFusion X|1.67|1.67|DuraVision Gold UV|-12.00 a -7.50|-6.00|1.00 a 3.00|74|||47</x:v>
      </x:c>
    </x:row>
    <x:row r="2866">
      <x:c r="A2866" s="24" t="str">
        <x:v>ZS-677EF2024662</x:v>
      </x:c>
      <x:c r="B2866" s="24" t="str">
        <x:v>ZEISS</x:v>
      </x:c>
      <x:c r="C2866" s="24" t="str">
        <x:v>Progressiva</x:v>
      </x:c>
      <x:c r="D2866" s="24" t="str">
        <x:v>Surfaçada</x:v>
      </x:c>
      <x:c r="E2866" s="24" t="str">
        <x:v>ClassicPlus</x:v>
      </x:c>
      <x:c r="F2866" s="24" t="str">
        <x:v>PhotoFusion X</x:v>
      </x:c>
      <x:c r="G2866" s="24" t="str">
        <x:v>1.67</x:v>
      </x:c>
      <x:c r="H2866" s="24" t="str">
        <x:v>1.67</x:v>
      </x:c>
      <x:c r="I2866" s="24" t="str">
        <x:v>DuraVision Platinum UV</x:v>
      </x:c>
      <x:c r="J2866" s="40" t="n">
        <x:v>4419</x:v>
      </x:c>
      <x:c r="K2866" s="24" t="str">
        <x:v>-12.00 a -7.50</x:v>
      </x:c>
      <x:c r="L2866" s="24" t="str">
        <x:v>-6.00</x:v>
      </x:c>
      <x:c r="M2866" s="24" t="str">
        <x:v>1.00 a 3.00</x:v>
      </x:c>
      <x:c r="N2866" s="24" t="str">
        <x:v>74</x:v>
      </x:c>
      <x:c r="O2866" s="24"/>
      <x:c r="P2866" s="24"/>
      <x:c r="Q2866" s="24" t="str">
        <x:v>DISPONÍVEL</x:v>
      </x:c>
      <x:c r="R2866" s="24" t="str">
        <x:v>Programa de Parcerias ZEISS</x:v>
      </x:c>
      <x:c r="S2866" s="24" t="n">
        <x:v>47</x:v>
      </x:c>
      <x:c r="T2866" s="24" t="str">
        <x:v>tabela_zeiss.pdf</x:v>
      </x:c>
      <x:c r="U2866" s="24" t="str">
        <x:v>ZEISS|Progressiva|Surfaçada|ClassicPlus|PhotoFusion X|1.67|1.67|DuraVision Platinum UV|-12.00 a -7.50|-6.00|1.00 a 3.00|74|||47</x:v>
      </x:c>
    </x:row>
    <x:row r="2867">
      <x:c r="A2867" s="24" t="str">
        <x:v>ZS-661F26D6C584</x:v>
      </x:c>
      <x:c r="B2867" s="24" t="str">
        <x:v>ZEISS</x:v>
      </x:c>
      <x:c r="C2867" s="24" t="str">
        <x:v>Progressiva</x:v>
      </x:c>
      <x:c r="D2867" s="24" t="str">
        <x:v>Surfaçada</x:v>
      </x:c>
      <x:c r="E2867" s="24" t="str">
        <x:v>ClassicPlus</x:v>
      </x:c>
      <x:c r="F2867" s="24" t="str">
        <x:v>PhotoFusion X</x:v>
      </x:c>
      <x:c r="G2867" s="24" t="str">
        <x:v>1.67</x:v>
      </x:c>
      <x:c r="H2867" s="24" t="str">
        <x:v>1.67</x:v>
      </x:c>
      <x:c r="I2867" s="24" t="str">
        <x:v>DuraVision Silver UV</x:v>
      </x:c>
      <x:c r="J2867" s="40" t="n">
        <x:v>4159</x:v>
      </x:c>
      <x:c r="K2867" s="24" t="str">
        <x:v>-12.00 a -7.50</x:v>
      </x:c>
      <x:c r="L2867" s="24" t="str">
        <x:v>-6.00</x:v>
      </x:c>
      <x:c r="M2867" s="24" t="str">
        <x:v>1.00 a 3.00</x:v>
      </x:c>
      <x:c r="N2867" s="24" t="str">
        <x:v>74</x:v>
      </x:c>
      <x:c r="O2867" s="24"/>
      <x:c r="P2867" s="24"/>
      <x:c r="Q2867" s="24" t="str">
        <x:v>DISPONÍVEL</x:v>
      </x:c>
      <x:c r="R2867" s="24" t="str">
        <x:v>Programa de Parcerias ZEISS</x:v>
      </x:c>
      <x:c r="S2867" s="24" t="n">
        <x:v>47</x:v>
      </x:c>
      <x:c r="T2867" s="24" t="str">
        <x:v>tabela_zeiss.pdf</x:v>
      </x:c>
      <x:c r="U2867" s="24" t="str">
        <x:v>ZEISS|Progressiva|Surfaçada|ClassicPlus|PhotoFusion X|1.67|1.67|DuraVision Silver UV|-12.00 a -7.50|-6.00|1.00 a 3.00|74|||47</x:v>
      </x:c>
    </x:row>
    <x:row r="2868">
      <x:c r="A2868" s="24" t="str">
        <x:v>ZS-5D2072460C5D</x:v>
      </x:c>
      <x:c r="B2868" s="24" t="str">
        <x:v>ZEISS</x:v>
      </x:c>
      <x:c r="C2868" s="24" t="str">
        <x:v>Progressiva</x:v>
      </x:c>
      <x:c r="D2868" s="24" t="str">
        <x:v>Surfaçada</x:v>
      </x:c>
      <x:c r="E2868" s="24" t="str">
        <x:v>ClassicPlus</x:v>
      </x:c>
      <x:c r="F2868" s="24" t="str">
        <x:v>PhotoFusion X</x:v>
      </x:c>
      <x:c r="G2868" s="24" t="str">
        <x:v>1.67</x:v>
      </x:c>
      <x:c r="H2868" s="24" t="str">
        <x:v>1.67</x:v>
      </x:c>
      <x:c r="I2868" s="24" t="str">
        <x:v>DuraVision Chrome UV</x:v>
      </x:c>
      <x:c r="J2868" s="40" t="n">
        <x:v>3669</x:v>
      </x:c>
      <x:c r="K2868" s="24" t="str">
        <x:v>-12.00 a -7.50</x:v>
      </x:c>
      <x:c r="L2868" s="24" t="str">
        <x:v>-6.00</x:v>
      </x:c>
      <x:c r="M2868" s="24" t="str">
        <x:v>1.00 a 3.00</x:v>
      </x:c>
      <x:c r="N2868" s="24" t="str">
        <x:v>74</x:v>
      </x:c>
      <x:c r="O2868" s="24"/>
      <x:c r="P2868" s="24"/>
      <x:c r="Q2868" s="24" t="str">
        <x:v>DISPONÍVEL</x:v>
      </x:c>
      <x:c r="R2868" s="24" t="str">
        <x:v>Programa de Parcerias ZEISS</x:v>
      </x:c>
      <x:c r="S2868" s="24" t="n">
        <x:v>47</x:v>
      </x:c>
      <x:c r="T2868" s="24" t="str">
        <x:v>tabela_zeiss.pdf</x:v>
      </x:c>
      <x:c r="U2868" s="24" t="str">
        <x:v>ZEISS|Progressiva|Surfaçada|ClassicPlus|PhotoFusion X|1.67|1.67|DuraVision Chrome UV|-12.00 a -7.50|-6.00|1.00 a 3.00|74|||47</x:v>
      </x:c>
    </x:row>
    <x:row r="2869">
      <x:c r="A2869" s="24" t="str">
        <x:v>ZS-0A4A3DEEADCA</x:v>
      </x:c>
      <x:c r="B2869" s="24" t="str">
        <x:v>ZEISS</x:v>
      </x:c>
      <x:c r="C2869" s="24" t="str">
        <x:v>Progressiva</x:v>
      </x:c>
      <x:c r="D2869" s="24" t="str">
        <x:v>Surfaçada</x:v>
      </x:c>
      <x:c r="E2869" s="24" t="str">
        <x:v>ClassicPlus</x:v>
      </x:c>
      <x:c r="F2869" s="24" t="str">
        <x:v>PhotoFusion X Extra Dark Cinza</x:v>
      </x:c>
      <x:c r="G2869" s="24" t="str">
        <x:v>1.5</x:v>
      </x:c>
      <x:c r="H2869" s="24" t="str">
        <x:v>1.50</x:v>
      </x:c>
      <x:c r="I2869" s="24" t="str">
        <x:v>DuraVision Gold UV</x:v>
      </x:c>
      <x:c r="J2869" s="40" t="n">
        <x:v>2729</x:v>
      </x:c>
      <x:c r="K2869" s="24" t="str">
        <x:v>-7.00 a +5.00</x:v>
      </x:c>
      <x:c r="L2869" s="24" t="str">
        <x:v>-4.00</x:v>
      </x:c>
      <x:c r="M2869" s="24" t="str">
        <x:v>1.00 a 3.00</x:v>
      </x:c>
      <x:c r="N2869" s="24" t="str">
        <x:v>72</x:v>
      </x:c>
      <x:c r="O2869" s="24"/>
      <x:c r="P2869" s="24"/>
      <x:c r="Q2869" s="24" t="str">
        <x:v>DISPONÍVEL</x:v>
      </x:c>
      <x:c r="R2869" s="24" t="str">
        <x:v>Programa de Parcerias ZEISS</x:v>
      </x:c>
      <x:c r="S2869" s="24" t="n">
        <x:v>47</x:v>
      </x:c>
      <x:c r="T2869" s="24" t="str">
        <x:v>tabela_zeiss.pdf</x:v>
      </x:c>
      <x:c r="U2869" s="24" t="str">
        <x:v>ZEISS|Progressiva|Surfaçada|ClassicPlus|PhotoFusion X Extra Dark Cinza|1.5|1.50|DuraVision Gold UV|-7.00 a +5.00|-4.00|1.00 a 3.00|72|||47</x:v>
      </x:c>
    </x:row>
    <x:row r="2870">
      <x:c r="A2870" s="24" t="str">
        <x:v>ZS-196D32C65049</x:v>
      </x:c>
      <x:c r="B2870" s="24" t="str">
        <x:v>ZEISS</x:v>
      </x:c>
      <x:c r="C2870" s="24" t="str">
        <x:v>Progressiva</x:v>
      </x:c>
      <x:c r="D2870" s="24" t="str">
        <x:v>Surfaçada</x:v>
      </x:c>
      <x:c r="E2870" s="24" t="str">
        <x:v>ClassicPlus</x:v>
      </x:c>
      <x:c r="F2870" s="24" t="str">
        <x:v>PhotoFusion X Extra Dark Cinza</x:v>
      </x:c>
      <x:c r="G2870" s="24" t="str">
        <x:v>1.5</x:v>
      </x:c>
      <x:c r="H2870" s="24" t="str">
        <x:v>1.50</x:v>
      </x:c>
      <x:c r="I2870" s="24" t="str">
        <x:v>DuraVision Platinum UV</x:v>
      </x:c>
      <x:c r="J2870" s="40" t="n">
        <x:v>2589</x:v>
      </x:c>
      <x:c r="K2870" s="24" t="str">
        <x:v>-7.00 a +5.00</x:v>
      </x:c>
      <x:c r="L2870" s="24" t="str">
        <x:v>-4.00</x:v>
      </x:c>
      <x:c r="M2870" s="24" t="str">
        <x:v>1.00 a 3.00</x:v>
      </x:c>
      <x:c r="N2870" s="24" t="str">
        <x:v>72</x:v>
      </x:c>
      <x:c r="O2870" s="24"/>
      <x:c r="P2870" s="24"/>
      <x:c r="Q2870" s="24" t="str">
        <x:v>DISPONÍVEL</x:v>
      </x:c>
      <x:c r="R2870" s="24" t="str">
        <x:v>Programa de Parcerias ZEISS</x:v>
      </x:c>
      <x:c r="S2870" s="24" t="n">
        <x:v>47</x:v>
      </x:c>
      <x:c r="T2870" s="24" t="str">
        <x:v>tabela_zeiss.pdf</x:v>
      </x:c>
      <x:c r="U2870" s="24" t="str">
        <x:v>ZEISS|Progressiva|Surfaçada|ClassicPlus|PhotoFusion X Extra Dark Cinza|1.5|1.50|DuraVision Platinum UV|-7.00 a +5.00|-4.00|1.00 a 3.00|72|||47</x:v>
      </x:c>
    </x:row>
    <x:row r="2871">
      <x:c r="A2871" s="24" t="str">
        <x:v>ZS-CCCAB679E7CE</x:v>
      </x:c>
      <x:c r="B2871" s="24" t="str">
        <x:v>ZEISS</x:v>
      </x:c>
      <x:c r="C2871" s="24" t="str">
        <x:v>Progressiva</x:v>
      </x:c>
      <x:c r="D2871" s="24" t="str">
        <x:v>Surfaçada</x:v>
      </x:c>
      <x:c r="E2871" s="24" t="str">
        <x:v>ClassicPlus</x:v>
      </x:c>
      <x:c r="F2871" s="24" t="str">
        <x:v>PhotoFusion X Extra Dark Cinza</x:v>
      </x:c>
      <x:c r="G2871" s="24" t="str">
        <x:v>1.5</x:v>
      </x:c>
      <x:c r="H2871" s="24" t="str">
        <x:v>1.50</x:v>
      </x:c>
      <x:c r="I2871" s="24" t="str">
        <x:v>DuraVision Silver UV</x:v>
      </x:c>
      <x:c r="J2871" s="40" t="n">
        <x:v>2329</x:v>
      </x:c>
      <x:c r="K2871" s="24" t="str">
        <x:v>-7.00 a +5.00</x:v>
      </x:c>
      <x:c r="L2871" s="24" t="str">
        <x:v>-4.00</x:v>
      </x:c>
      <x:c r="M2871" s="24" t="str">
        <x:v>1.00 a 3.00</x:v>
      </x:c>
      <x:c r="N2871" s="24" t="str">
        <x:v>72</x:v>
      </x:c>
      <x:c r="O2871" s="24"/>
      <x:c r="P2871" s="24"/>
      <x:c r="Q2871" s="24" t="str">
        <x:v>DISPONÍVEL</x:v>
      </x:c>
      <x:c r="R2871" s="24" t="str">
        <x:v>Programa de Parcerias ZEISS</x:v>
      </x:c>
      <x:c r="S2871" s="24" t="n">
        <x:v>47</x:v>
      </x:c>
      <x:c r="T2871" s="24" t="str">
        <x:v>tabela_zeiss.pdf</x:v>
      </x:c>
      <x:c r="U2871" s="24" t="str">
        <x:v>ZEISS|Progressiva|Surfaçada|ClassicPlus|PhotoFusion X Extra Dark Cinza|1.5|1.50|DuraVision Silver UV|-7.00 a +5.00|-4.00|1.00 a 3.00|72|||47</x:v>
      </x:c>
    </x:row>
    <x:row r="2872">
      <x:c r="A2872" s="24" t="str">
        <x:v>ZS-BFF519FF7F48</x:v>
      </x:c>
      <x:c r="B2872" s="24" t="str">
        <x:v>ZEISS</x:v>
      </x:c>
      <x:c r="C2872" s="24" t="str">
        <x:v>Progressiva</x:v>
      </x:c>
      <x:c r="D2872" s="24" t="str">
        <x:v>Surfaçada</x:v>
      </x:c>
      <x:c r="E2872" s="24" t="str">
        <x:v>ClassicPlus</x:v>
      </x:c>
      <x:c r="F2872" s="24" t="str">
        <x:v>PhotoFusion X Extra Dark Cinza</x:v>
      </x:c>
      <x:c r="G2872" s="24" t="str">
        <x:v>1.5</x:v>
      </x:c>
      <x:c r="H2872" s="24" t="str">
        <x:v>1.50</x:v>
      </x:c>
      <x:c r="I2872" s="24" t="str">
        <x:v>DuraVision Chrome UV</x:v>
      </x:c>
      <x:c r="J2872" s="40" t="n">
        <x:v>1839</x:v>
      </x:c>
      <x:c r="K2872" s="24" t="str">
        <x:v>-7.00 a +5.00</x:v>
      </x:c>
      <x:c r="L2872" s="24" t="str">
        <x:v>-4.00</x:v>
      </x:c>
      <x:c r="M2872" s="24" t="str">
        <x:v>1.00 a 3.00</x:v>
      </x:c>
      <x:c r="N2872" s="24" t="str">
        <x:v>72</x:v>
      </x:c>
      <x:c r="O2872" s="24"/>
      <x:c r="P2872" s="24"/>
      <x:c r="Q2872" s="24" t="str">
        <x:v>DISPONÍVEL</x:v>
      </x:c>
      <x:c r="R2872" s="24" t="str">
        <x:v>Programa de Parcerias ZEISS</x:v>
      </x:c>
      <x:c r="S2872" s="24" t="n">
        <x:v>47</x:v>
      </x:c>
      <x:c r="T2872" s="24" t="str">
        <x:v>tabela_zeiss.pdf</x:v>
      </x:c>
      <x:c r="U2872" s="24" t="str">
        <x:v>ZEISS|Progressiva|Surfaçada|ClassicPlus|PhotoFusion X Extra Dark Cinza|1.5|1.50|DuraVision Chrome UV|-7.00 a +5.00|-4.00|1.00 a 3.00|72|||47</x:v>
      </x:c>
    </x:row>
    <x:row r="2873">
      <x:c r="A2873" s="24" t="str">
        <x:v>ZS-81B0E581B764</x:v>
      </x:c>
      <x:c r="B2873" s="24" t="str">
        <x:v>ZEISS</x:v>
      </x:c>
      <x:c r="C2873" s="24" t="str">
        <x:v>Progressiva</x:v>
      </x:c>
      <x:c r="D2873" s="24" t="str">
        <x:v>Surfaçada</x:v>
      </x:c>
      <x:c r="E2873" s="24" t="str">
        <x:v>ClassicPlus</x:v>
      </x:c>
      <x:c r="F2873" s="24" t="str">
        <x:v>PhotoFusion X Extra Dark Cinza</x:v>
      </x:c>
      <x:c r="G2873" s="24" t="str">
        <x:v>Poli</x:v>
      </x:c>
      <x:c r="H2873" s="24"/>
      <x:c r="I2873" s="24" t="str">
        <x:v>DuraVision Gold UV</x:v>
      </x:c>
      <x:c r="J2873" s="40" t="n">
        <x:v>3029</x:v>
      </x:c>
      <x:c r="K2873" s="24" t="str">
        <x:v>-10.00 a +6.00</x:v>
      </x:c>
      <x:c r="L2873" s="24" t="str">
        <x:v>-6.00</x:v>
      </x:c>
      <x:c r="M2873" s="24" t="str">
        <x:v>1.00 a 3.00</x:v>
      </x:c>
      <x:c r="N2873" s="24" t="str">
        <x:v>72</x:v>
      </x:c>
      <x:c r="O2873" s="24"/>
      <x:c r="P2873" s="24"/>
      <x:c r="Q2873" s="24" t="str">
        <x:v>DISPONÍVEL</x:v>
      </x:c>
      <x:c r="R2873" s="24" t="str">
        <x:v>Programa de Parcerias ZEISS</x:v>
      </x:c>
      <x:c r="S2873" s="24" t="n">
        <x:v>47</x:v>
      </x:c>
      <x:c r="T2873" s="24" t="str">
        <x:v>tabela_zeiss.pdf</x:v>
      </x:c>
      <x:c r="U2873" s="24" t="str">
        <x:v>ZEISS|Progressiva|Surfaçada|ClassicPlus|PhotoFusion X Extra Dark Cinza|Poli||DuraVision Gold UV|-10.00 a +6.00|-6.00|1.00 a 3.00|72|||47</x:v>
      </x:c>
    </x:row>
    <x:row r="2874">
      <x:c r="A2874" s="24" t="str">
        <x:v>ZS-CE6408426C51</x:v>
      </x:c>
      <x:c r="B2874" s="24" t="str">
        <x:v>ZEISS</x:v>
      </x:c>
      <x:c r="C2874" s="24" t="str">
        <x:v>Progressiva</x:v>
      </x:c>
      <x:c r="D2874" s="24" t="str">
        <x:v>Surfaçada</x:v>
      </x:c>
      <x:c r="E2874" s="24" t="str">
        <x:v>ClassicPlus</x:v>
      </x:c>
      <x:c r="F2874" s="24" t="str">
        <x:v>PhotoFusion X Extra Dark Cinza</x:v>
      </x:c>
      <x:c r="G2874" s="24" t="str">
        <x:v>Poli</x:v>
      </x:c>
      <x:c r="H2874" s="24"/>
      <x:c r="I2874" s="24" t="str">
        <x:v>DuraVision Platinum UV</x:v>
      </x:c>
      <x:c r="J2874" s="40" t="n">
        <x:v>2889</x:v>
      </x:c>
      <x:c r="K2874" s="24" t="str">
        <x:v>-10.00 a +6.00</x:v>
      </x:c>
      <x:c r="L2874" s="24" t="str">
        <x:v>-6.00</x:v>
      </x:c>
      <x:c r="M2874" s="24" t="str">
        <x:v>1.00 a 3.00</x:v>
      </x:c>
      <x:c r="N2874" s="24" t="str">
        <x:v>72</x:v>
      </x:c>
      <x:c r="O2874" s="24"/>
      <x:c r="P2874" s="24"/>
      <x:c r="Q2874" s="24" t="str">
        <x:v>DISPONÍVEL</x:v>
      </x:c>
      <x:c r="R2874" s="24" t="str">
        <x:v>Programa de Parcerias ZEISS</x:v>
      </x:c>
      <x:c r="S2874" s="24" t="n">
        <x:v>47</x:v>
      </x:c>
      <x:c r="T2874" s="24" t="str">
        <x:v>tabela_zeiss.pdf</x:v>
      </x:c>
      <x:c r="U2874" s="24" t="str">
        <x:v>ZEISS|Progressiva|Surfaçada|ClassicPlus|PhotoFusion X Extra Dark Cinza|Poli||DuraVision Platinum UV|-10.00 a +6.00|-6.00|1.00 a 3.00|72|||47</x:v>
      </x:c>
    </x:row>
    <x:row r="2875">
      <x:c r="A2875" s="24" t="str">
        <x:v>ZS-CB2AE1998EC3</x:v>
      </x:c>
      <x:c r="B2875" s="24" t="str">
        <x:v>ZEISS</x:v>
      </x:c>
      <x:c r="C2875" s="24" t="str">
        <x:v>Progressiva</x:v>
      </x:c>
      <x:c r="D2875" s="24" t="str">
        <x:v>Surfaçada</x:v>
      </x:c>
      <x:c r="E2875" s="24" t="str">
        <x:v>ClassicPlus</x:v>
      </x:c>
      <x:c r="F2875" s="24" t="str">
        <x:v>PhotoFusion X Extra Dark Cinza</x:v>
      </x:c>
      <x:c r="G2875" s="24" t="str">
        <x:v>Poli</x:v>
      </x:c>
      <x:c r="H2875" s="24"/>
      <x:c r="I2875" s="24" t="str">
        <x:v>DuraVision Silver UV</x:v>
      </x:c>
      <x:c r="J2875" s="40" t="n">
        <x:v>2629</x:v>
      </x:c>
      <x:c r="K2875" s="24" t="str">
        <x:v>-10.00 a +6.00</x:v>
      </x:c>
      <x:c r="L2875" s="24" t="str">
        <x:v>-6.00</x:v>
      </x:c>
      <x:c r="M2875" s="24" t="str">
        <x:v>1.00 a 3.00</x:v>
      </x:c>
      <x:c r="N2875" s="24" t="str">
        <x:v>72</x:v>
      </x:c>
      <x:c r="O2875" s="24"/>
      <x:c r="P2875" s="24"/>
      <x:c r="Q2875" s="24" t="str">
        <x:v>DISPONÍVEL</x:v>
      </x:c>
      <x:c r="R2875" s="24" t="str">
        <x:v>Programa de Parcerias ZEISS</x:v>
      </x:c>
      <x:c r="S2875" s="24" t="n">
        <x:v>47</x:v>
      </x:c>
      <x:c r="T2875" s="24" t="str">
        <x:v>tabela_zeiss.pdf</x:v>
      </x:c>
      <x:c r="U2875" s="24" t="str">
        <x:v>ZEISS|Progressiva|Surfaçada|ClassicPlus|PhotoFusion X Extra Dark Cinza|Poli||DuraVision Silver UV|-10.00 a +6.00|-6.00|1.00 a 3.00|72|||47</x:v>
      </x:c>
    </x:row>
    <x:row r="2876">
      <x:c r="A2876" s="24" t="str">
        <x:v>ZS-C48690564148</x:v>
      </x:c>
      <x:c r="B2876" s="24" t="str">
        <x:v>ZEISS</x:v>
      </x:c>
      <x:c r="C2876" s="24" t="str">
        <x:v>Progressiva</x:v>
      </x:c>
      <x:c r="D2876" s="24" t="str">
        <x:v>Surfaçada</x:v>
      </x:c>
      <x:c r="E2876" s="24" t="str">
        <x:v>ClassicPlus</x:v>
      </x:c>
      <x:c r="F2876" s="24" t="str">
        <x:v>PhotoFusion X Extra Dark Cinza</x:v>
      </x:c>
      <x:c r="G2876" s="24" t="str">
        <x:v>Poli</x:v>
      </x:c>
      <x:c r="H2876" s="24"/>
      <x:c r="I2876" s="24" t="str">
        <x:v>DuraVision Chrome UV</x:v>
      </x:c>
      <x:c r="J2876" s="40" t="n">
        <x:v>2139</x:v>
      </x:c>
      <x:c r="K2876" s="24" t="str">
        <x:v>-10.00 a +6.00</x:v>
      </x:c>
      <x:c r="L2876" s="24" t="str">
        <x:v>-6.00</x:v>
      </x:c>
      <x:c r="M2876" s="24" t="str">
        <x:v>1.00 a 3.00</x:v>
      </x:c>
      <x:c r="N2876" s="24" t="str">
        <x:v>72</x:v>
      </x:c>
      <x:c r="O2876" s="24"/>
      <x:c r="P2876" s="24"/>
      <x:c r="Q2876" s="24" t="str">
        <x:v>DISPONÍVEL</x:v>
      </x:c>
      <x:c r="R2876" s="24" t="str">
        <x:v>Programa de Parcerias ZEISS</x:v>
      </x:c>
      <x:c r="S2876" s="24" t="n">
        <x:v>47</x:v>
      </x:c>
      <x:c r="T2876" s="24" t="str">
        <x:v>tabela_zeiss.pdf</x:v>
      </x:c>
      <x:c r="U2876" s="24" t="str">
        <x:v>ZEISS|Progressiva|Surfaçada|ClassicPlus|PhotoFusion X Extra Dark Cinza|Poli||DuraVision Chrome UV|-10.00 a +6.00|-6.00|1.00 a 3.00|72|||47</x:v>
      </x:c>
    </x:row>
    <x:row r="2877">
      <x:c r="A2877" s="24" t="str">
        <x:v>ZS-4F74CB785E94</x:v>
      </x:c>
      <x:c r="B2877" s="24" t="str">
        <x:v>ZEISS</x:v>
      </x:c>
      <x:c r="C2877" s="24" t="str">
        <x:v>Progressiva</x:v>
      </x:c>
      <x:c r="D2877" s="24" t="str">
        <x:v>Surfaçada</x:v>
      </x:c>
      <x:c r="E2877" s="24" t="str">
        <x:v>ClassicPlus</x:v>
      </x:c>
      <x:c r="F2877" s="24" t="str">
        <x:v>PhotoFusion X Extra Dark Cinza</x:v>
      </x:c>
      <x:c r="G2877" s="24" t="str">
        <x:v>1.60</x:v>
      </x:c>
      <x:c r="H2877" s="24" t="str">
        <x:v>1.60</x:v>
      </x:c>
      <x:c r="I2877" s="24" t="str">
        <x:v>DuraVision Gold UV</x:v>
      </x:c>
      <x:c r="J2877" s="40" t="n">
        <x:v>3309</x:v>
      </x:c>
      <x:c r="K2877" s="24" t="str">
        <x:v>-12.00 a -7.50</x:v>
      </x:c>
      <x:c r="L2877" s="24" t="str">
        <x:v>-6.00</x:v>
      </x:c>
      <x:c r="M2877" s="24" t="str">
        <x:v>1.00 a 3.00</x:v>
      </x:c>
      <x:c r="N2877" s="24" t="str">
        <x:v>74</x:v>
      </x:c>
      <x:c r="O2877" s="24"/>
      <x:c r="P2877" s="24"/>
      <x:c r="Q2877" s="24" t="str">
        <x:v>DISPONÍVEL</x:v>
      </x:c>
      <x:c r="R2877" s="24" t="str">
        <x:v>Programa de Parcerias ZEISS</x:v>
      </x:c>
      <x:c r="S2877" s="24" t="n">
        <x:v>47</x:v>
      </x:c>
      <x:c r="T2877" s="24" t="str">
        <x:v>tabela_zeiss.pdf</x:v>
      </x:c>
      <x:c r="U2877" s="24" t="str">
        <x:v>ZEISS|Progressiva|Surfaçada|ClassicPlus|PhotoFusion X Extra Dark Cinza|1.60|1.60|DuraVision Gold UV|-12.00 a -7.50|-6.00|1.00 a 3.00|74|||47</x:v>
      </x:c>
    </x:row>
    <x:row r="2878">
      <x:c r="A2878" s="24" t="str">
        <x:v>ZS-3990AF86623D</x:v>
      </x:c>
      <x:c r="B2878" s="24" t="str">
        <x:v>ZEISS</x:v>
      </x:c>
      <x:c r="C2878" s="24" t="str">
        <x:v>Progressiva</x:v>
      </x:c>
      <x:c r="D2878" s="24" t="str">
        <x:v>Surfaçada</x:v>
      </x:c>
      <x:c r="E2878" s="24" t="str">
        <x:v>ClassicPlus</x:v>
      </x:c>
      <x:c r="F2878" s="24" t="str">
        <x:v>PhotoFusion X Extra Dark Cinza</x:v>
      </x:c>
      <x:c r="G2878" s="24" t="str">
        <x:v>1.60</x:v>
      </x:c>
      <x:c r="H2878" s="24" t="str">
        <x:v>1.60</x:v>
      </x:c>
      <x:c r="I2878" s="24" t="str">
        <x:v>DuraVision Platinum UV</x:v>
      </x:c>
      <x:c r="J2878" s="40" t="n">
        <x:v>3169</x:v>
      </x:c>
      <x:c r="K2878" s="24" t="str">
        <x:v>-12.00 a -7.50</x:v>
      </x:c>
      <x:c r="L2878" s="24" t="str">
        <x:v>-6.00</x:v>
      </x:c>
      <x:c r="M2878" s="24" t="str">
        <x:v>1.00 a 3.00</x:v>
      </x:c>
      <x:c r="N2878" s="24" t="str">
        <x:v>74</x:v>
      </x:c>
      <x:c r="O2878" s="24"/>
      <x:c r="P2878" s="24"/>
      <x:c r="Q2878" s="24" t="str">
        <x:v>DISPONÍVEL</x:v>
      </x:c>
      <x:c r="R2878" s="24" t="str">
        <x:v>Programa de Parcerias ZEISS</x:v>
      </x:c>
      <x:c r="S2878" s="24" t="n">
        <x:v>47</x:v>
      </x:c>
      <x:c r="T2878" s="24" t="str">
        <x:v>tabela_zeiss.pdf</x:v>
      </x:c>
      <x:c r="U2878" s="24" t="str">
        <x:v>ZEISS|Progressiva|Surfaçada|ClassicPlus|PhotoFusion X Extra Dark Cinza|1.60|1.60|DuraVision Platinum UV|-12.00 a -7.50|-6.00|1.00 a 3.00|74|||47</x:v>
      </x:c>
    </x:row>
    <x:row r="2879">
      <x:c r="A2879" s="24" t="str">
        <x:v>ZS-AB7862ABC082</x:v>
      </x:c>
      <x:c r="B2879" s="24" t="str">
        <x:v>ZEISS</x:v>
      </x:c>
      <x:c r="C2879" s="24" t="str">
        <x:v>Progressiva</x:v>
      </x:c>
      <x:c r="D2879" s="24" t="str">
        <x:v>Surfaçada</x:v>
      </x:c>
      <x:c r="E2879" s="24" t="str">
        <x:v>ClassicPlus</x:v>
      </x:c>
      <x:c r="F2879" s="24" t="str">
        <x:v>PhotoFusion X Extra Dark Cinza</x:v>
      </x:c>
      <x:c r="G2879" s="24" t="str">
        <x:v>1.60</x:v>
      </x:c>
      <x:c r="H2879" s="24" t="str">
        <x:v>1.60</x:v>
      </x:c>
      <x:c r="I2879" s="24" t="str">
        <x:v>DuraVision Silver UV</x:v>
      </x:c>
      <x:c r="J2879" s="40" t="n">
        <x:v>2909</x:v>
      </x:c>
      <x:c r="K2879" s="24" t="str">
        <x:v>-12.00 a -7.50</x:v>
      </x:c>
      <x:c r="L2879" s="24" t="str">
        <x:v>-6.00</x:v>
      </x:c>
      <x:c r="M2879" s="24" t="str">
        <x:v>1.00 a 3.00</x:v>
      </x:c>
      <x:c r="N2879" s="24" t="str">
        <x:v>74</x:v>
      </x:c>
      <x:c r="O2879" s="24"/>
      <x:c r="P2879" s="24"/>
      <x:c r="Q2879" s="24" t="str">
        <x:v>DISPONÍVEL</x:v>
      </x:c>
      <x:c r="R2879" s="24" t="str">
        <x:v>Programa de Parcerias ZEISS</x:v>
      </x:c>
      <x:c r="S2879" s="24" t="n">
        <x:v>47</x:v>
      </x:c>
      <x:c r="T2879" s="24" t="str">
        <x:v>tabela_zeiss.pdf</x:v>
      </x:c>
      <x:c r="U2879" s="24" t="str">
        <x:v>ZEISS|Progressiva|Surfaçada|ClassicPlus|PhotoFusion X Extra Dark Cinza|1.60|1.60|DuraVision Silver UV|-12.00 a -7.50|-6.00|1.00 a 3.00|74|||47</x:v>
      </x:c>
    </x:row>
    <x:row r="2880">
      <x:c r="A2880" s="24" t="str">
        <x:v>ZS-2605A1D7740F</x:v>
      </x:c>
      <x:c r="B2880" s="24" t="str">
        <x:v>ZEISS</x:v>
      </x:c>
      <x:c r="C2880" s="24" t="str">
        <x:v>Progressiva</x:v>
      </x:c>
      <x:c r="D2880" s="24" t="str">
        <x:v>Surfaçada</x:v>
      </x:c>
      <x:c r="E2880" s="24" t="str">
        <x:v>ClassicPlus</x:v>
      </x:c>
      <x:c r="F2880" s="24" t="str">
        <x:v>PhotoFusion X Extra Dark Cinza</x:v>
      </x:c>
      <x:c r="G2880" s="24" t="str">
        <x:v>1.60</x:v>
      </x:c>
      <x:c r="H2880" s="24" t="str">
        <x:v>1.60</x:v>
      </x:c>
      <x:c r="I2880" s="24" t="str">
        <x:v>DuraVision Chrome UV</x:v>
      </x:c>
      <x:c r="J2880" s="40" t="n">
        <x:v>2419</x:v>
      </x:c>
      <x:c r="K2880" s="24" t="str">
        <x:v>-12.00 a -7.50</x:v>
      </x:c>
      <x:c r="L2880" s="24" t="str">
        <x:v>-6.00</x:v>
      </x:c>
      <x:c r="M2880" s="24" t="str">
        <x:v>1.00 a 3.00</x:v>
      </x:c>
      <x:c r="N2880" s="24" t="str">
        <x:v>74</x:v>
      </x:c>
      <x:c r="O2880" s="24"/>
      <x:c r="P2880" s="24"/>
      <x:c r="Q2880" s="24" t="str">
        <x:v>DISPONÍVEL</x:v>
      </x:c>
      <x:c r="R2880" s="24" t="str">
        <x:v>Programa de Parcerias ZEISS</x:v>
      </x:c>
      <x:c r="S2880" s="24" t="n">
        <x:v>47</x:v>
      </x:c>
      <x:c r="T2880" s="24" t="str">
        <x:v>tabela_zeiss.pdf</x:v>
      </x:c>
      <x:c r="U2880" s="24" t="str">
        <x:v>ZEISS|Progressiva|Surfaçada|ClassicPlus|PhotoFusion X Extra Dark Cinza|1.60|1.60|DuraVision Chrome UV|-12.00 a -7.50|-6.00|1.00 a 3.00|74|||47</x:v>
      </x:c>
    </x:row>
    <x:row r="2881">
      <x:c r="A2881" s="24" t="str">
        <x:v>ZS-AF93D06AB9B7</x:v>
      </x:c>
      <x:c r="B2881" s="24" t="str">
        <x:v>ZEISS</x:v>
      </x:c>
      <x:c r="C2881" s="24" t="str">
        <x:v>Progressiva</x:v>
      </x:c>
      <x:c r="D2881" s="24" t="str">
        <x:v>Surfaçada</x:v>
      </x:c>
      <x:c r="E2881" s="24" t="str">
        <x:v>ClassicPlus</x:v>
      </x:c>
      <x:c r="F2881" s="24" t="str">
        <x:v>PhotoFusion X Extra Dark Cinza</x:v>
      </x:c>
      <x:c r="G2881" s="24" t="str">
        <x:v>1.67</x:v>
      </x:c>
      <x:c r="H2881" s="24" t="str">
        <x:v>1.67</x:v>
      </x:c>
      <x:c r="I2881" s="24" t="str">
        <x:v>DuraVision Gold UV</x:v>
      </x:c>
      <x:c r="J2881" s="40" t="n">
        <x:v>4609</x:v>
      </x:c>
      <x:c r="K2881" s="24" t="str">
        <x:v>-12.00 a -7.50</x:v>
      </x:c>
      <x:c r="L2881" s="24" t="str">
        <x:v>-6.00</x:v>
      </x:c>
      <x:c r="M2881" s="24" t="str">
        <x:v>1.00 a 3.00</x:v>
      </x:c>
      <x:c r="N2881" s="24" t="str">
        <x:v>74</x:v>
      </x:c>
      <x:c r="O2881" s="24"/>
      <x:c r="P2881" s="24"/>
      <x:c r="Q2881" s="24" t="str">
        <x:v>DISPONÍVEL</x:v>
      </x:c>
      <x:c r="R2881" s="24" t="str">
        <x:v>Programa de Parcerias ZEISS</x:v>
      </x:c>
      <x:c r="S2881" s="24" t="n">
        <x:v>47</x:v>
      </x:c>
      <x:c r="T2881" s="24" t="str">
        <x:v>tabela_zeiss.pdf</x:v>
      </x:c>
      <x:c r="U2881" s="24" t="str">
        <x:v>ZEISS|Progressiva|Surfaçada|ClassicPlus|PhotoFusion X Extra Dark Cinza|1.67|1.67|DuraVision Gold UV|-12.00 a -7.50|-6.00|1.00 a 3.00|74|||47</x:v>
      </x:c>
    </x:row>
    <x:row r="2882">
      <x:c r="A2882" s="24" t="str">
        <x:v>ZS-75F82D924654</x:v>
      </x:c>
      <x:c r="B2882" s="24" t="str">
        <x:v>ZEISS</x:v>
      </x:c>
      <x:c r="C2882" s="24" t="str">
        <x:v>Progressiva</x:v>
      </x:c>
      <x:c r="D2882" s="24" t="str">
        <x:v>Surfaçada</x:v>
      </x:c>
      <x:c r="E2882" s="24" t="str">
        <x:v>ClassicPlus</x:v>
      </x:c>
      <x:c r="F2882" s="24" t="str">
        <x:v>PhotoFusion X Extra Dark Cinza</x:v>
      </x:c>
      <x:c r="G2882" s="24" t="str">
        <x:v>1.67</x:v>
      </x:c>
      <x:c r="H2882" s="24" t="str">
        <x:v>1.67</x:v>
      </x:c>
      <x:c r="I2882" s="24" t="str">
        <x:v>DuraVision Platinum UV</x:v>
      </x:c>
      <x:c r="J2882" s="40" t="n">
        <x:v>4469</x:v>
      </x:c>
      <x:c r="K2882" s="24" t="str">
        <x:v>-12.00 a -7.50</x:v>
      </x:c>
      <x:c r="L2882" s="24" t="str">
        <x:v>-6.00</x:v>
      </x:c>
      <x:c r="M2882" s="24" t="str">
        <x:v>1.00 a 3.00</x:v>
      </x:c>
      <x:c r="N2882" s="24" t="str">
        <x:v>74</x:v>
      </x:c>
      <x:c r="O2882" s="24"/>
      <x:c r="P2882" s="24"/>
      <x:c r="Q2882" s="24" t="str">
        <x:v>DISPONÍVEL</x:v>
      </x:c>
      <x:c r="R2882" s="24" t="str">
        <x:v>Programa de Parcerias ZEISS</x:v>
      </x:c>
      <x:c r="S2882" s="24" t="n">
        <x:v>47</x:v>
      </x:c>
      <x:c r="T2882" s="24" t="str">
        <x:v>tabela_zeiss.pdf</x:v>
      </x:c>
      <x:c r="U2882" s="24" t="str">
        <x:v>ZEISS|Progressiva|Surfaçada|ClassicPlus|PhotoFusion X Extra Dark Cinza|1.67|1.67|DuraVision Platinum UV|-12.00 a -7.50|-6.00|1.00 a 3.00|74|||47</x:v>
      </x:c>
    </x:row>
    <x:row r="2883">
      <x:c r="A2883" s="24" t="str">
        <x:v>ZS-072B8217A97C</x:v>
      </x:c>
      <x:c r="B2883" s="24" t="str">
        <x:v>ZEISS</x:v>
      </x:c>
      <x:c r="C2883" s="24" t="str">
        <x:v>Progressiva</x:v>
      </x:c>
      <x:c r="D2883" s="24" t="str">
        <x:v>Surfaçada</x:v>
      </x:c>
      <x:c r="E2883" s="24" t="str">
        <x:v>ClassicPlus</x:v>
      </x:c>
      <x:c r="F2883" s="24" t="str">
        <x:v>PhotoFusion X Extra Dark Cinza</x:v>
      </x:c>
      <x:c r="G2883" s="24" t="str">
        <x:v>1.67</x:v>
      </x:c>
      <x:c r="H2883" s="24" t="str">
        <x:v>1.67</x:v>
      </x:c>
      <x:c r="I2883" s="24" t="str">
        <x:v>DuraVision Silver UV</x:v>
      </x:c>
      <x:c r="J2883" s="40" t="n">
        <x:v>4209</x:v>
      </x:c>
      <x:c r="K2883" s="24" t="str">
        <x:v>-12.00 a -7.50</x:v>
      </x:c>
      <x:c r="L2883" s="24" t="str">
        <x:v>-6.00</x:v>
      </x:c>
      <x:c r="M2883" s="24" t="str">
        <x:v>1.00 a 3.00</x:v>
      </x:c>
      <x:c r="N2883" s="24" t="str">
        <x:v>74</x:v>
      </x:c>
      <x:c r="O2883" s="24"/>
      <x:c r="P2883" s="24"/>
      <x:c r="Q2883" s="24" t="str">
        <x:v>DISPONÍVEL</x:v>
      </x:c>
      <x:c r="R2883" s="24" t="str">
        <x:v>Programa de Parcerias ZEISS</x:v>
      </x:c>
      <x:c r="S2883" s="24" t="n">
        <x:v>47</x:v>
      </x:c>
      <x:c r="T2883" s="24" t="str">
        <x:v>tabela_zeiss.pdf</x:v>
      </x:c>
      <x:c r="U2883" s="24" t="str">
        <x:v>ZEISS|Progressiva|Surfaçada|ClassicPlus|PhotoFusion X Extra Dark Cinza|1.67|1.67|DuraVision Silver UV|-12.00 a -7.50|-6.00|1.00 a 3.00|74|||47</x:v>
      </x:c>
    </x:row>
    <x:row r="2884">
      <x:c r="A2884" s="24" t="str">
        <x:v>ZS-612CC7983C3F</x:v>
      </x:c>
      <x:c r="B2884" s="24" t="str">
        <x:v>ZEISS</x:v>
      </x:c>
      <x:c r="C2884" s="24" t="str">
        <x:v>Progressiva</x:v>
      </x:c>
      <x:c r="D2884" s="24" t="str">
        <x:v>Surfaçada</x:v>
      </x:c>
      <x:c r="E2884" s="24" t="str">
        <x:v>ClassicPlus</x:v>
      </x:c>
      <x:c r="F2884" s="24" t="str">
        <x:v>PhotoFusion X Extra Dark Cinza</x:v>
      </x:c>
      <x:c r="G2884" s="24" t="str">
        <x:v>1.67</x:v>
      </x:c>
      <x:c r="H2884" s="24" t="str">
        <x:v>1.67</x:v>
      </x:c>
      <x:c r="I2884" s="24" t="str">
        <x:v>DuraVision Chrome UV</x:v>
      </x:c>
      <x:c r="J2884" s="40" t="n">
        <x:v>3719</x:v>
      </x:c>
      <x:c r="K2884" s="24" t="str">
        <x:v>-12.00 a -7.50</x:v>
      </x:c>
      <x:c r="L2884" s="24" t="str">
        <x:v>-6.00</x:v>
      </x:c>
      <x:c r="M2884" s="24" t="str">
        <x:v>1.00 a 3.00</x:v>
      </x:c>
      <x:c r="N2884" s="24" t="str">
        <x:v>74</x:v>
      </x:c>
      <x:c r="O2884" s="24"/>
      <x:c r="P2884" s="24"/>
      <x:c r="Q2884" s="24" t="str">
        <x:v>DISPONÍVEL</x:v>
      </x:c>
      <x:c r="R2884" s="24" t="str">
        <x:v>Programa de Parcerias ZEISS</x:v>
      </x:c>
      <x:c r="S2884" s="24" t="n">
        <x:v>47</x:v>
      </x:c>
      <x:c r="T2884" s="24" t="str">
        <x:v>tabela_zeiss.pdf</x:v>
      </x:c>
      <x:c r="U2884" s="24" t="str">
        <x:v>ZEISS|Progressiva|Surfaçada|ClassicPlus|PhotoFusion X Extra Dark Cinza|1.67|1.67|DuraVision Chrome UV|-12.00 a -7.50|-6.00|1.00 a 3.00|74|||47</x:v>
      </x:c>
    </x:row>
    <x:row r="2885">
      <x:c r="A2885" s="24" t="str">
        <x:v>ZS-AA08B8BFE1B0</x:v>
      </x:c>
      <x:c r="B2885" s="24" t="str">
        <x:v>ZEISS</x:v>
      </x:c>
      <x:c r="C2885" s="24" t="str">
        <x:v>Ocupacional</x:v>
      </x:c>
      <x:c r="D2885" s="24" t="str">
        <x:v>Surfaçada</x:v>
      </x:c>
      <x:c r="E2885" s="24" t="str">
        <x:v>OfficeLens Individual</x:v>
      </x:c>
      <x:c r="F2885" s="24"/>
      <x:c r="G2885" s="24" t="str">
        <x:v>1.5</x:v>
      </x:c>
      <x:c r="H2885" s="24" t="str">
        <x:v>1.50</x:v>
      </x:c>
      <x:c r="I2885" s="24" t="str">
        <x:v>DuraVision Gold UV</x:v>
      </x:c>
      <x:c r="J2885" s="40" t="n">
        <x:v>3880</x:v>
      </x:c>
      <x:c r="K2885" s="24" t="str">
        <x:v>-6.00 a +4.00</x:v>
      </x:c>
      <x:c r="L2885" s="24" t="str">
        <x:v>-4.00</x:v>
      </x:c>
      <x:c r="M2885" s="24" t="str">
        <x:v>0.75 a 3.50</x:v>
      </x:c>
      <x:c r="N2885" s="24" t="str">
        <x:v>75</x:v>
      </x:c>
      <x:c r="O2885" s="24"/>
      <x:c r="P2885" s="24"/>
      <x:c r="Q2885" s="24" t="str">
        <x:v>DISPONÍVEL</x:v>
      </x:c>
      <x:c r="R2885" s="24"/>
      <x:c r="S2885" s="24" t="n">
        <x:v>49</x:v>
      </x:c>
      <x:c r="T2885" s="24" t="str">
        <x:v>tabela_zeiss.pdf</x:v>
      </x:c>
      <x:c r="U2885" s="24" t="str">
        <x:v>ZEISS|Ocupacional|Surfaçada|OfficeLens Individual||1.5|1.50|DuraVision Gold UV|-6.00 a +4.00|-4.00|0.75 a 3.50|75|||49</x:v>
      </x:c>
    </x:row>
    <x:row r="2886">
      <x:c r="A2886" s="24" t="str">
        <x:v>ZS-C36638F1EFB2</x:v>
      </x:c>
      <x:c r="B2886" s="24" t="str">
        <x:v>ZEISS</x:v>
      </x:c>
      <x:c r="C2886" s="24" t="str">
        <x:v>Ocupacional</x:v>
      </x:c>
      <x:c r="D2886" s="24" t="str">
        <x:v>Surfaçada</x:v>
      </x:c>
      <x:c r="E2886" s="24" t="str">
        <x:v>OfficeLens Individual</x:v>
      </x:c>
      <x:c r="F2886" s="24"/>
      <x:c r="G2886" s="24" t="str">
        <x:v>1.5</x:v>
      </x:c>
      <x:c r="H2886" s="24" t="str">
        <x:v>1.50</x:v>
      </x:c>
      <x:c r="I2886" s="24" t="str">
        <x:v>DURAVISION® ANTIVÍRUS PLATINUM UV</x:v>
      </x:c>
      <x:c r="J2886" s="40" t="n">
        <x:v>3740</x:v>
      </x:c>
      <x:c r="K2886" s="24" t="str">
        <x:v>-6.00 a +4.00</x:v>
      </x:c>
      <x:c r="L2886" s="24" t="str">
        <x:v>-4.00</x:v>
      </x:c>
      <x:c r="M2886" s="24" t="str">
        <x:v>0.75 a 3.50</x:v>
      </x:c>
      <x:c r="N2886" s="24" t="str">
        <x:v>75</x:v>
      </x:c>
      <x:c r="O2886" s="24"/>
      <x:c r="P2886" s="24"/>
      <x:c r="Q2886" s="24" t="str">
        <x:v>DISPONÍVEL</x:v>
      </x:c>
      <x:c r="R2886" s="24"/>
      <x:c r="S2886" s="24" t="n">
        <x:v>49</x:v>
      </x:c>
      <x:c r="T2886" s="24" t="str">
        <x:v>tabela_zeiss.pdf</x:v>
      </x:c>
      <x:c r="U2886" s="24" t="str">
        <x:v>ZEISS|Ocupacional|Surfaçada|OfficeLens Individual||1.5|1.50|DURAVISION® ANTIVÍRUS PLATINUM UV|-6.00 a +4.00|-4.00|0.75 a 3.50|75|||49</x:v>
      </x:c>
    </x:row>
    <x:row r="2887">
      <x:c r="A2887" s="24" t="str">
        <x:v>ZS-F3AA3E164B02</x:v>
      </x:c>
      <x:c r="B2887" s="24" t="str">
        <x:v>ZEISS</x:v>
      </x:c>
      <x:c r="C2887" s="24" t="str">
        <x:v>Ocupacional</x:v>
      </x:c>
      <x:c r="D2887" s="24" t="str">
        <x:v>Surfaçada</x:v>
      </x:c>
      <x:c r="E2887" s="24" t="str">
        <x:v>OfficeLens Individual</x:v>
      </x:c>
      <x:c r="F2887" s="24"/>
      <x:c r="G2887" s="24" t="str">
        <x:v>1.5</x:v>
      </x:c>
      <x:c r="H2887" s="24" t="str">
        <x:v>1.50</x:v>
      </x:c>
      <x:c r="I2887" s="24" t="str">
        <x:v>DuraVision Platinum UV</x:v>
      </x:c>
      <x:c r="J2887" s="40" t="n">
        <x:v>3740</x:v>
      </x:c>
      <x:c r="K2887" s="24" t="str">
        <x:v>-6.00 a +4.00</x:v>
      </x:c>
      <x:c r="L2887" s="24" t="str">
        <x:v>-4.00</x:v>
      </x:c>
      <x:c r="M2887" s="24" t="str">
        <x:v>0.75 a 3.50</x:v>
      </x:c>
      <x:c r="N2887" s="24" t="str">
        <x:v>75</x:v>
      </x:c>
      <x:c r="O2887" s="24"/>
      <x:c r="P2887" s="24"/>
      <x:c r="Q2887" s="24" t="str">
        <x:v>DISPONÍVEL</x:v>
      </x:c>
      <x:c r="R2887" s="24"/>
      <x:c r="S2887" s="24" t="n">
        <x:v>49</x:v>
      </x:c>
      <x:c r="T2887" s="24" t="str">
        <x:v>tabela_zeiss.pdf</x:v>
      </x:c>
      <x:c r="U2887" s="24" t="str">
        <x:v>ZEISS|Ocupacional|Surfaçada|OfficeLens Individual||1.5|1.50|DuraVision Platinum UV|-6.00 a +4.00|-4.00|0.75 a 3.50|75|||49</x:v>
      </x:c>
    </x:row>
    <x:row r="2888">
      <x:c r="A2888" s="24" t="str">
        <x:v>ZS-0AE560B94002</x:v>
      </x:c>
      <x:c r="B2888" s="24" t="str">
        <x:v>ZEISS</x:v>
      </x:c>
      <x:c r="C2888" s="24" t="str">
        <x:v>Ocupacional</x:v>
      </x:c>
      <x:c r="D2888" s="24" t="str">
        <x:v>Surfaçada</x:v>
      </x:c>
      <x:c r="E2888" s="24" t="str">
        <x:v>OfficeLens Individual</x:v>
      </x:c>
      <x:c r="F2888" s="24"/>
      <x:c r="G2888" s="24" t="str">
        <x:v>1.5</x:v>
      </x:c>
      <x:c r="H2888" s="24" t="str">
        <x:v>1.50</x:v>
      </x:c>
      <x:c r="I2888" s="24" t="str">
        <x:v>DuraVision Silver UV</x:v>
      </x:c>
      <x:c r="J2888" s="40" t="n">
        <x:v>3480</x:v>
      </x:c>
      <x:c r="K2888" s="24" t="str">
        <x:v>-6.00 a +4.00</x:v>
      </x:c>
      <x:c r="L2888" s="24" t="str">
        <x:v>-4.00</x:v>
      </x:c>
      <x:c r="M2888" s="24" t="str">
        <x:v>0.75 a 3.50</x:v>
      </x:c>
      <x:c r="N2888" s="24" t="str">
        <x:v>75</x:v>
      </x:c>
      <x:c r="O2888" s="24"/>
      <x:c r="P2888" s="24"/>
      <x:c r="Q2888" s="24" t="str">
        <x:v>DISPONÍVEL</x:v>
      </x:c>
      <x:c r="R2888" s="24"/>
      <x:c r="S2888" s="24" t="n">
        <x:v>49</x:v>
      </x:c>
      <x:c r="T2888" s="24" t="str">
        <x:v>tabela_zeiss.pdf</x:v>
      </x:c>
      <x:c r="U2888" s="24" t="str">
        <x:v>ZEISS|Ocupacional|Surfaçada|OfficeLens Individual||1.5|1.50|DuraVision Silver UV|-6.00 a +4.00|-4.00|0.75 a 3.50|75|||49</x:v>
      </x:c>
    </x:row>
    <x:row r="2889">
      <x:c r="A2889" s="24" t="str">
        <x:v>ZS-7A6BC5D24E3C</x:v>
      </x:c>
      <x:c r="B2889" s="24" t="str">
        <x:v>ZEISS</x:v>
      </x:c>
      <x:c r="C2889" s="24" t="str">
        <x:v>Ocupacional</x:v>
      </x:c>
      <x:c r="D2889" s="24" t="str">
        <x:v>Surfaçada</x:v>
      </x:c>
      <x:c r="E2889" s="24" t="str">
        <x:v>OfficeLens Individual</x:v>
      </x:c>
      <x:c r="F2889" s="24"/>
      <x:c r="G2889" s="24" t="str">
        <x:v>1.5</x:v>
      </x:c>
      <x:c r="H2889" s="24" t="str">
        <x:v>1.50</x:v>
      </x:c>
      <x:c r="I2889" s="24" t="str">
        <x:v>DuraVision Chrome UV</x:v>
      </x:c>
      <x:c r="J2889" s="40" t="n">
        <x:v>2990</x:v>
      </x:c>
      <x:c r="K2889" s="24" t="str">
        <x:v>-6.00 a +4.00</x:v>
      </x:c>
      <x:c r="L2889" s="24" t="str">
        <x:v>-4.00</x:v>
      </x:c>
      <x:c r="M2889" s="24" t="str">
        <x:v>0.75 a 3.50</x:v>
      </x:c>
      <x:c r="N2889" s="24" t="str">
        <x:v>75</x:v>
      </x:c>
      <x:c r="O2889" s="24"/>
      <x:c r="P2889" s="24"/>
      <x:c r="Q2889" s="24" t="str">
        <x:v>DISPONÍVEL</x:v>
      </x:c>
      <x:c r="R2889" s="24"/>
      <x:c r="S2889" s="24" t="n">
        <x:v>49</x:v>
      </x:c>
      <x:c r="T2889" s="24" t="str">
        <x:v>tabela_zeiss.pdf</x:v>
      </x:c>
      <x:c r="U2889" s="24" t="str">
        <x:v>ZEISS|Ocupacional|Surfaçada|OfficeLens Individual||1.5|1.50|DuraVision Chrome UV|-6.00 a +4.00|-4.00|0.75 a 3.50|75|||49</x:v>
      </x:c>
    </x:row>
    <x:row r="2890">
      <x:c r="A2890" s="24" t="str">
        <x:v>ZS-82ED067DDCDA</x:v>
      </x:c>
      <x:c r="B2890" s="24" t="str">
        <x:v>ZEISS</x:v>
      </x:c>
      <x:c r="C2890" s="24" t="str">
        <x:v>Ocupacional</x:v>
      </x:c>
      <x:c r="D2890" s="24" t="str">
        <x:v>Surfaçada</x:v>
      </x:c>
      <x:c r="E2890" s="24" t="str">
        <x:v>OfficeLens Individual</x:v>
      </x:c>
      <x:c r="F2890" s="24"/>
      <x:c r="G2890" s="24" t="str">
        <x:v>Poli</x:v>
      </x:c>
      <x:c r="H2890" s="24"/>
      <x:c r="I2890" s="24" t="str">
        <x:v>DuraVision Gold UV</x:v>
      </x:c>
      <x:c r="J2890" s="40" t="n">
        <x:v>4470</x:v>
      </x:c>
      <x:c r="K2890" s="24" t="str">
        <x:v>-10.00 a +6.00</x:v>
      </x:c>
      <x:c r="L2890" s="24" t="str">
        <x:v>-4.00</x:v>
      </x:c>
      <x:c r="M2890" s="24" t="str">
        <x:v>0.75 a 4.00</x:v>
      </x:c>
      <x:c r="N2890" s="24" t="str">
        <x:v>75</x:v>
      </x:c>
      <x:c r="O2890" s="24"/>
      <x:c r="P2890" s="24"/>
      <x:c r="Q2890" s="24" t="str">
        <x:v>DISPONÍVEL</x:v>
      </x:c>
      <x:c r="R2890" s="24"/>
      <x:c r="S2890" s="24" t="n">
        <x:v>49</x:v>
      </x:c>
      <x:c r="T2890" s="24" t="str">
        <x:v>tabela_zeiss.pdf</x:v>
      </x:c>
      <x:c r="U2890" s="24" t="str">
        <x:v>ZEISS|Ocupacional|Surfaçada|OfficeLens Individual||Poli||DuraVision Gold UV|-10.00 a +6.00|-4.00|0.75 a 4.00|75|||49</x:v>
      </x:c>
    </x:row>
    <x:row r="2891">
      <x:c r="A2891" s="24" t="str">
        <x:v>ZS-452FA7D1E251</x:v>
      </x:c>
      <x:c r="B2891" s="24" t="str">
        <x:v>ZEISS</x:v>
      </x:c>
      <x:c r="C2891" s="24" t="str">
        <x:v>Ocupacional</x:v>
      </x:c>
      <x:c r="D2891" s="24" t="str">
        <x:v>Surfaçada</x:v>
      </x:c>
      <x:c r="E2891" s="24" t="str">
        <x:v>OfficeLens Individual</x:v>
      </x:c>
      <x:c r="F2891" s="24"/>
      <x:c r="G2891" s="24" t="str">
        <x:v>Poli</x:v>
      </x:c>
      <x:c r="H2891" s="24"/>
      <x:c r="I2891" s="24" t="str">
        <x:v>DuraVision Platinum UV</x:v>
      </x:c>
      <x:c r="J2891" s="40" t="n">
        <x:v>4330</x:v>
      </x:c>
      <x:c r="K2891" s="24" t="str">
        <x:v>-10.00 a +6.00</x:v>
      </x:c>
      <x:c r="L2891" s="24" t="str">
        <x:v>-4.00</x:v>
      </x:c>
      <x:c r="M2891" s="24" t="str">
        <x:v>0.75 a 4.00</x:v>
      </x:c>
      <x:c r="N2891" s="24" t="str">
        <x:v>75</x:v>
      </x:c>
      <x:c r="O2891" s="24"/>
      <x:c r="P2891" s="24"/>
      <x:c r="Q2891" s="24" t="str">
        <x:v>DISPONÍVEL</x:v>
      </x:c>
      <x:c r="R2891" s="24"/>
      <x:c r="S2891" s="24" t="n">
        <x:v>49</x:v>
      </x:c>
      <x:c r="T2891" s="24" t="str">
        <x:v>tabela_zeiss.pdf</x:v>
      </x:c>
      <x:c r="U2891" s="24" t="str">
        <x:v>ZEISS|Ocupacional|Surfaçada|OfficeLens Individual||Poli||DuraVision Platinum UV|-10.00 a +6.00|-4.00|0.75 a 4.00|75|||49</x:v>
      </x:c>
    </x:row>
    <x:row r="2892">
      <x:c r="A2892" s="24" t="str">
        <x:v>ZS-E059ECFAFD66</x:v>
      </x:c>
      <x:c r="B2892" s="24" t="str">
        <x:v>ZEISS</x:v>
      </x:c>
      <x:c r="C2892" s="24" t="str">
        <x:v>Ocupacional</x:v>
      </x:c>
      <x:c r="D2892" s="24" t="str">
        <x:v>Surfaçada</x:v>
      </x:c>
      <x:c r="E2892" s="24" t="str">
        <x:v>OfficeLens Individual</x:v>
      </x:c>
      <x:c r="F2892" s="24"/>
      <x:c r="G2892" s="24" t="str">
        <x:v>Poli</x:v>
      </x:c>
      <x:c r="H2892" s="24"/>
      <x:c r="I2892" s="24" t="str">
        <x:v>DuraVision Silver UV</x:v>
      </x:c>
      <x:c r="J2892" s="40" t="n">
        <x:v>4070</x:v>
      </x:c>
      <x:c r="K2892" s="24" t="str">
        <x:v>-10.00 a +6.00</x:v>
      </x:c>
      <x:c r="L2892" s="24" t="str">
        <x:v>-4.00</x:v>
      </x:c>
      <x:c r="M2892" s="24" t="str">
        <x:v>0.75 a 4.00</x:v>
      </x:c>
      <x:c r="N2892" s="24" t="str">
        <x:v>75</x:v>
      </x:c>
      <x:c r="O2892" s="24"/>
      <x:c r="P2892" s="24"/>
      <x:c r="Q2892" s="24" t="str">
        <x:v>DISPONÍVEL</x:v>
      </x:c>
      <x:c r="R2892" s="24"/>
      <x:c r="S2892" s="24" t="n">
        <x:v>49</x:v>
      </x:c>
      <x:c r="T2892" s="24" t="str">
        <x:v>tabela_zeiss.pdf</x:v>
      </x:c>
      <x:c r="U2892" s="24" t="str">
        <x:v>ZEISS|Ocupacional|Surfaçada|OfficeLens Individual||Poli||DuraVision Silver UV|-10.00 a +6.00|-4.00|0.75 a 4.00|75|||49</x:v>
      </x:c>
    </x:row>
    <x:row r="2893">
      <x:c r="A2893" s="24" t="str">
        <x:v>ZS-C8681C3C7908</x:v>
      </x:c>
      <x:c r="B2893" s="24" t="str">
        <x:v>ZEISS</x:v>
      </x:c>
      <x:c r="C2893" s="24" t="str">
        <x:v>Ocupacional</x:v>
      </x:c>
      <x:c r="D2893" s="24" t="str">
        <x:v>Surfaçada</x:v>
      </x:c>
      <x:c r="E2893" s="24" t="str">
        <x:v>OfficeLens Individual</x:v>
      </x:c>
      <x:c r="F2893" s="24"/>
      <x:c r="G2893" s="24" t="str">
        <x:v>Poli</x:v>
      </x:c>
      <x:c r="H2893" s="24"/>
      <x:c r="I2893" s="24" t="str">
        <x:v>DuraVision Chrome UV</x:v>
      </x:c>
      <x:c r="J2893" s="40" t="n">
        <x:v>3580</x:v>
      </x:c>
      <x:c r="K2893" s="24" t="str">
        <x:v>-10.00 a +6.00</x:v>
      </x:c>
      <x:c r="L2893" s="24" t="str">
        <x:v>-4.00</x:v>
      </x:c>
      <x:c r="M2893" s="24" t="str">
        <x:v>0.75 a 4.00</x:v>
      </x:c>
      <x:c r="N2893" s="24" t="str">
        <x:v>75</x:v>
      </x:c>
      <x:c r="O2893" s="24"/>
      <x:c r="P2893" s="24"/>
      <x:c r="Q2893" s="24" t="str">
        <x:v>DISPONÍVEL</x:v>
      </x:c>
      <x:c r="R2893" s="24"/>
      <x:c r="S2893" s="24" t="n">
        <x:v>49</x:v>
      </x:c>
      <x:c r="T2893" s="24" t="str">
        <x:v>tabela_zeiss.pdf</x:v>
      </x:c>
      <x:c r="U2893" s="24" t="str">
        <x:v>ZEISS|Ocupacional|Surfaçada|OfficeLens Individual||Poli||DuraVision Chrome UV|-10.00 a +6.00|-4.00|0.75 a 4.00|75|||49</x:v>
      </x:c>
    </x:row>
    <x:row r="2894">
      <x:c r="A2894" s="24" t="str">
        <x:v>ZS-6F904B3030A1</x:v>
      </x:c>
      <x:c r="B2894" s="24" t="str">
        <x:v>ZEISS</x:v>
      </x:c>
      <x:c r="C2894" s="24" t="str">
        <x:v>Ocupacional</x:v>
      </x:c>
      <x:c r="D2894" s="24" t="str">
        <x:v>Surfaçada</x:v>
      </x:c>
      <x:c r="E2894" s="24" t="str">
        <x:v>OfficeLens Individual</x:v>
      </x:c>
      <x:c r="F2894" s="24"/>
      <x:c r="G2894" s="24" t="str">
        <x:v>1.6</x:v>
      </x:c>
      <x:c r="H2894" s="24" t="str">
        <x:v>1.60</x:v>
      </x:c>
      <x:c r="I2894" s="24" t="str">
        <x:v>DuraVision Gold UV</x:v>
      </x:c>
      <x:c r="J2894" s="40" t="n">
        <x:v>5130</x:v>
      </x:c>
      <x:c r="K2894" s="24" t="str">
        <x:v>-5.00 a +6.00</x:v>
      </x:c>
      <x:c r="L2894" s="24" t="str">
        <x:v>-6.00</x:v>
      </x:c>
      <x:c r="M2894" s="24" t="str">
        <x:v>0.75 a 4.00</x:v>
      </x:c>
      <x:c r="N2894" s="24" t="str">
        <x:v>75</x:v>
      </x:c>
      <x:c r="O2894" s="24"/>
      <x:c r="P2894" s="24"/>
      <x:c r="Q2894" s="24" t="str">
        <x:v>DISPONÍVEL</x:v>
      </x:c>
      <x:c r="R2894" s="24"/>
      <x:c r="S2894" s="24" t="n">
        <x:v>49</x:v>
      </x:c>
      <x:c r="T2894" s="24" t="str">
        <x:v>tabela_zeiss.pdf</x:v>
      </x:c>
      <x:c r="U2894" s="24" t="str">
        <x:v>ZEISS|Ocupacional|Surfaçada|OfficeLens Individual||1.6|1.60|DuraVision Gold UV|-5.00 a +6.00|-6.00|0.75 a 4.00|75|||49</x:v>
      </x:c>
    </x:row>
    <x:row r="2895">
      <x:c r="A2895" s="24" t="str">
        <x:v>ZS-FE4F7EDF9CEE</x:v>
      </x:c>
      <x:c r="B2895" s="24" t="str">
        <x:v>ZEISS</x:v>
      </x:c>
      <x:c r="C2895" s="24" t="str">
        <x:v>Ocupacional</x:v>
      </x:c>
      <x:c r="D2895" s="24" t="str">
        <x:v>Surfaçada</x:v>
      </x:c>
      <x:c r="E2895" s="24" t="str">
        <x:v>OfficeLens Individual</x:v>
      </x:c>
      <x:c r="F2895" s="24"/>
      <x:c r="G2895" s="24" t="str">
        <x:v>1.6</x:v>
      </x:c>
      <x:c r="H2895" s="24" t="str">
        <x:v>1.60</x:v>
      </x:c>
      <x:c r="I2895" s="24" t="str">
        <x:v>DURAVISION® ANTIVÍRUS PLATINUM UV</x:v>
      </x:c>
      <x:c r="J2895" s="40" t="n">
        <x:v>4990</x:v>
      </x:c>
      <x:c r="K2895" s="24" t="str">
        <x:v>-5.00 a +6.00</x:v>
      </x:c>
      <x:c r="L2895" s="24" t="str">
        <x:v>-6.00</x:v>
      </x:c>
      <x:c r="M2895" s="24" t="str">
        <x:v>0.75 a 4.00</x:v>
      </x:c>
      <x:c r="N2895" s="24" t="str">
        <x:v>75</x:v>
      </x:c>
      <x:c r="O2895" s="24"/>
      <x:c r="P2895" s="24"/>
      <x:c r="Q2895" s="24" t="str">
        <x:v>DISPONÍVEL</x:v>
      </x:c>
      <x:c r="R2895" s="24"/>
      <x:c r="S2895" s="24" t="n">
        <x:v>49</x:v>
      </x:c>
      <x:c r="T2895" s="24" t="str">
        <x:v>tabela_zeiss.pdf</x:v>
      </x:c>
      <x:c r="U2895" s="24" t="str">
        <x:v>ZEISS|Ocupacional|Surfaçada|OfficeLens Individual||1.6|1.60|DURAVISION® ANTIVÍRUS PLATINUM UV|-5.00 a +6.00|-6.00|0.75 a 4.00|75|||49</x:v>
      </x:c>
    </x:row>
    <x:row r="2896">
      <x:c r="A2896" s="24" t="str">
        <x:v>ZS-BDC95BEF9907</x:v>
      </x:c>
      <x:c r="B2896" s="24" t="str">
        <x:v>ZEISS</x:v>
      </x:c>
      <x:c r="C2896" s="24" t="str">
        <x:v>Ocupacional</x:v>
      </x:c>
      <x:c r="D2896" s="24" t="str">
        <x:v>Surfaçada</x:v>
      </x:c>
      <x:c r="E2896" s="24" t="str">
        <x:v>OfficeLens Individual</x:v>
      </x:c>
      <x:c r="F2896" s="24"/>
      <x:c r="G2896" s="24" t="str">
        <x:v>1.6</x:v>
      </x:c>
      <x:c r="H2896" s="24" t="str">
        <x:v>1.60</x:v>
      </x:c>
      <x:c r="I2896" s="24" t="str">
        <x:v>DuraVision Platinum UV</x:v>
      </x:c>
      <x:c r="J2896" s="40" t="n">
        <x:v>4990</x:v>
      </x:c>
      <x:c r="K2896" s="24" t="str">
        <x:v>-5.00 a +6.00</x:v>
      </x:c>
      <x:c r="L2896" s="24" t="str">
        <x:v>-6.00</x:v>
      </x:c>
      <x:c r="M2896" s="24" t="str">
        <x:v>0.75 a 4.00</x:v>
      </x:c>
      <x:c r="N2896" s="24" t="str">
        <x:v>75</x:v>
      </x:c>
      <x:c r="O2896" s="24"/>
      <x:c r="P2896" s="24"/>
      <x:c r="Q2896" s="24" t="str">
        <x:v>DISPONÍVEL</x:v>
      </x:c>
      <x:c r="R2896" s="24"/>
      <x:c r="S2896" s="24" t="n">
        <x:v>49</x:v>
      </x:c>
      <x:c r="T2896" s="24" t="str">
        <x:v>tabela_zeiss.pdf</x:v>
      </x:c>
      <x:c r="U2896" s="24" t="str">
        <x:v>ZEISS|Ocupacional|Surfaçada|OfficeLens Individual||1.6|1.60|DuraVision Platinum UV|-5.00 a +6.00|-6.00|0.75 a 4.00|75|||49</x:v>
      </x:c>
    </x:row>
    <x:row r="2897">
      <x:c r="A2897" s="24" t="str">
        <x:v>ZS-77BD035A5664</x:v>
      </x:c>
      <x:c r="B2897" s="24" t="str">
        <x:v>ZEISS</x:v>
      </x:c>
      <x:c r="C2897" s="24" t="str">
        <x:v>Ocupacional</x:v>
      </x:c>
      <x:c r="D2897" s="24" t="str">
        <x:v>Surfaçada</x:v>
      </x:c>
      <x:c r="E2897" s="24" t="str">
        <x:v>OfficeLens Individual</x:v>
      </x:c>
      <x:c r="F2897" s="24"/>
      <x:c r="G2897" s="24" t="str">
        <x:v>1.6</x:v>
      </x:c>
      <x:c r="H2897" s="24" t="str">
        <x:v>1.60</x:v>
      </x:c>
      <x:c r="I2897" s="24" t="str">
        <x:v>DuraVision Silver UV</x:v>
      </x:c>
      <x:c r="J2897" s="40" t="n">
        <x:v>4730</x:v>
      </x:c>
      <x:c r="K2897" s="24" t="str">
        <x:v>-5.00 a +6.00</x:v>
      </x:c>
      <x:c r="L2897" s="24" t="str">
        <x:v>-6.00</x:v>
      </x:c>
      <x:c r="M2897" s="24" t="str">
        <x:v>0.75 a 4.00</x:v>
      </x:c>
      <x:c r="N2897" s="24" t="str">
        <x:v>75</x:v>
      </x:c>
      <x:c r="O2897" s="24"/>
      <x:c r="P2897" s="24"/>
      <x:c r="Q2897" s="24" t="str">
        <x:v>DISPONÍVEL</x:v>
      </x:c>
      <x:c r="R2897" s="24"/>
      <x:c r="S2897" s="24" t="n">
        <x:v>49</x:v>
      </x:c>
      <x:c r="T2897" s="24" t="str">
        <x:v>tabela_zeiss.pdf</x:v>
      </x:c>
      <x:c r="U2897" s="24" t="str">
        <x:v>ZEISS|Ocupacional|Surfaçada|OfficeLens Individual||1.6|1.60|DuraVision Silver UV|-5.00 a +6.00|-6.00|0.75 a 4.00|75|||49</x:v>
      </x:c>
    </x:row>
    <x:row r="2898">
      <x:c r="A2898" s="24" t="str">
        <x:v>ZS-F11DB36920E4</x:v>
      </x:c>
      <x:c r="B2898" s="24" t="str">
        <x:v>ZEISS</x:v>
      </x:c>
      <x:c r="C2898" s="24" t="str">
        <x:v>Ocupacional</x:v>
      </x:c>
      <x:c r="D2898" s="24" t="str">
        <x:v>Surfaçada</x:v>
      </x:c>
      <x:c r="E2898" s="24" t="str">
        <x:v>OfficeLens Individual</x:v>
      </x:c>
      <x:c r="F2898" s="24"/>
      <x:c r="G2898" s="24" t="str">
        <x:v>1.6</x:v>
      </x:c>
      <x:c r="H2898" s="24" t="str">
        <x:v>1.60</x:v>
      </x:c>
      <x:c r="I2898" s="24" t="str">
        <x:v>DuraVision Chrome UV</x:v>
      </x:c>
      <x:c r="J2898" s="40" t="n">
        <x:v>4240</x:v>
      </x:c>
      <x:c r="K2898" s="24" t="str">
        <x:v>-5.00 a +6.00</x:v>
      </x:c>
      <x:c r="L2898" s="24" t="str">
        <x:v>-6.00</x:v>
      </x:c>
      <x:c r="M2898" s="24" t="str">
        <x:v>0.75 a 4.00</x:v>
      </x:c>
      <x:c r="N2898" s="24" t="str">
        <x:v>75</x:v>
      </x:c>
      <x:c r="O2898" s="24"/>
      <x:c r="P2898" s="24"/>
      <x:c r="Q2898" s="24" t="str">
        <x:v>DISPONÍVEL</x:v>
      </x:c>
      <x:c r="R2898" s="24"/>
      <x:c r="S2898" s="24" t="n">
        <x:v>49</x:v>
      </x:c>
      <x:c r="T2898" s="24" t="str">
        <x:v>tabela_zeiss.pdf</x:v>
      </x:c>
      <x:c r="U2898" s="24" t="str">
        <x:v>ZEISS|Ocupacional|Surfaçada|OfficeLens Individual||1.6|1.60|DuraVision Chrome UV|-5.00 a +6.00|-6.00|0.75 a 4.00|75|||49</x:v>
      </x:c>
    </x:row>
    <x:row r="2899">
      <x:c r="A2899" s="24" t="str">
        <x:v>ZS-5BCC69AF4A67</x:v>
      </x:c>
      <x:c r="B2899" s="24" t="str">
        <x:v>ZEISS</x:v>
      </x:c>
      <x:c r="C2899" s="24" t="str">
        <x:v>Ocupacional</x:v>
      </x:c>
      <x:c r="D2899" s="24" t="str">
        <x:v>Surfaçada</x:v>
      </x:c>
      <x:c r="E2899" s="24" t="str">
        <x:v>OfficeLens Individual</x:v>
      </x:c>
      <x:c r="F2899" s="24"/>
      <x:c r="G2899" s="24" t="str">
        <x:v>1.67</x:v>
      </x:c>
      <x:c r="H2899" s="24" t="str">
        <x:v>1.67</x:v>
      </x:c>
      <x:c r="I2899" s="24" t="str">
        <x:v>DuraVision Gold UV</x:v>
      </x:c>
      <x:c r="J2899" s="40" t="n">
        <x:v>6770</x:v>
      </x:c>
      <x:c r="K2899" s="24" t="str">
        <x:v>-8.00 a +8.00</x:v>
      </x:c>
      <x:c r="L2899" s="24" t="str">
        <x:v>-6.00</x:v>
      </x:c>
      <x:c r="M2899" s="24" t="str">
        <x:v>0.75 a 3.50</x:v>
      </x:c>
      <x:c r="N2899" s="24" t="str">
        <x:v>70</x:v>
      </x:c>
      <x:c r="O2899" s="24"/>
      <x:c r="P2899" s="24"/>
      <x:c r="Q2899" s="24" t="str">
        <x:v>DISPONÍVEL</x:v>
      </x:c>
      <x:c r="R2899" s="24"/>
      <x:c r="S2899" s="24" t="n">
        <x:v>49</x:v>
      </x:c>
      <x:c r="T2899" s="24" t="str">
        <x:v>tabela_zeiss.pdf</x:v>
      </x:c>
      <x:c r="U2899" s="24" t="str">
        <x:v>ZEISS|Ocupacional|Surfaçada|OfficeLens Individual||1.67|1.67|DuraVision Gold UV|-8.00 a +8.00|-6.00|0.75 a 3.50|70|||49</x:v>
      </x:c>
    </x:row>
    <x:row r="2900">
      <x:c r="A2900" s="24" t="str">
        <x:v>ZS-FBA0A49A2606</x:v>
      </x:c>
      <x:c r="B2900" s="24" t="str">
        <x:v>ZEISS</x:v>
      </x:c>
      <x:c r="C2900" s="24" t="str">
        <x:v>Ocupacional</x:v>
      </x:c>
      <x:c r="D2900" s="24" t="str">
        <x:v>Surfaçada</x:v>
      </x:c>
      <x:c r="E2900" s="24" t="str">
        <x:v>OfficeLens Individual</x:v>
      </x:c>
      <x:c r="F2900" s="24"/>
      <x:c r="G2900" s="24" t="str">
        <x:v>1.67</x:v>
      </x:c>
      <x:c r="H2900" s="24" t="str">
        <x:v>1.67</x:v>
      </x:c>
      <x:c r="I2900" s="24" t="str">
        <x:v>DURAVISION® ANTIVÍRUS PLATINUM UV</x:v>
      </x:c>
      <x:c r="J2900" s="40" t="n">
        <x:v>6630</x:v>
      </x:c>
      <x:c r="K2900" s="24" t="str">
        <x:v>-8.00 a +8.00</x:v>
      </x:c>
      <x:c r="L2900" s="24" t="str">
        <x:v>-6.00</x:v>
      </x:c>
      <x:c r="M2900" s="24" t="str">
        <x:v>0.75 a 3.50</x:v>
      </x:c>
      <x:c r="N2900" s="24" t="str">
        <x:v>70</x:v>
      </x:c>
      <x:c r="O2900" s="24"/>
      <x:c r="P2900" s="24"/>
      <x:c r="Q2900" s="24" t="str">
        <x:v>DISPONÍVEL</x:v>
      </x:c>
      <x:c r="R2900" s="24"/>
      <x:c r="S2900" s="24" t="n">
        <x:v>49</x:v>
      </x:c>
      <x:c r="T2900" s="24" t="str">
        <x:v>tabela_zeiss.pdf</x:v>
      </x:c>
      <x:c r="U2900" s="24" t="str">
        <x:v>ZEISS|Ocupacional|Surfaçada|OfficeLens Individual||1.67|1.67|DURAVISION® ANTIVÍRUS PLATINUM UV|-8.00 a +8.00|-6.00|0.75 a 3.50|70|||49</x:v>
      </x:c>
    </x:row>
    <x:row r="2901">
      <x:c r="A2901" s="24" t="str">
        <x:v>ZS-C288003DF3BC</x:v>
      </x:c>
      <x:c r="B2901" s="24" t="str">
        <x:v>ZEISS</x:v>
      </x:c>
      <x:c r="C2901" s="24" t="str">
        <x:v>Ocupacional</x:v>
      </x:c>
      <x:c r="D2901" s="24" t="str">
        <x:v>Surfaçada</x:v>
      </x:c>
      <x:c r="E2901" s="24" t="str">
        <x:v>OfficeLens Individual</x:v>
      </x:c>
      <x:c r="F2901" s="24"/>
      <x:c r="G2901" s="24" t="str">
        <x:v>1.67</x:v>
      </x:c>
      <x:c r="H2901" s="24" t="str">
        <x:v>1.67</x:v>
      </x:c>
      <x:c r="I2901" s="24" t="str">
        <x:v>DuraVision Platinum UV</x:v>
      </x:c>
      <x:c r="J2901" s="40" t="n">
        <x:v>6630</x:v>
      </x:c>
      <x:c r="K2901" s="24" t="str">
        <x:v>-8.00 a +8.00</x:v>
      </x:c>
      <x:c r="L2901" s="24" t="str">
        <x:v>-6.00</x:v>
      </x:c>
      <x:c r="M2901" s="24" t="str">
        <x:v>0.75 a 3.50</x:v>
      </x:c>
      <x:c r="N2901" s="24" t="str">
        <x:v>70</x:v>
      </x:c>
      <x:c r="O2901" s="24"/>
      <x:c r="P2901" s="24"/>
      <x:c r="Q2901" s="24" t="str">
        <x:v>DISPONÍVEL</x:v>
      </x:c>
      <x:c r="R2901" s="24"/>
      <x:c r="S2901" s="24" t="n">
        <x:v>49</x:v>
      </x:c>
      <x:c r="T2901" s="24" t="str">
        <x:v>tabela_zeiss.pdf</x:v>
      </x:c>
      <x:c r="U2901" s="24" t="str">
        <x:v>ZEISS|Ocupacional|Surfaçada|OfficeLens Individual||1.67|1.67|DuraVision Platinum UV|-8.00 a +8.00|-6.00|0.75 a 3.50|70|||49</x:v>
      </x:c>
    </x:row>
    <x:row r="2902">
      <x:c r="A2902" s="24" t="str">
        <x:v>ZS-C81821820D1E</x:v>
      </x:c>
      <x:c r="B2902" s="24" t="str">
        <x:v>ZEISS</x:v>
      </x:c>
      <x:c r="C2902" s="24" t="str">
        <x:v>Ocupacional</x:v>
      </x:c>
      <x:c r="D2902" s="24" t="str">
        <x:v>Surfaçada</x:v>
      </x:c>
      <x:c r="E2902" s="24" t="str">
        <x:v>OfficeLens Individual</x:v>
      </x:c>
      <x:c r="F2902" s="24"/>
      <x:c r="G2902" s="24" t="str">
        <x:v>1.67</x:v>
      </x:c>
      <x:c r="H2902" s="24" t="str">
        <x:v>1.67</x:v>
      </x:c>
      <x:c r="I2902" s="24" t="str">
        <x:v>DuraVision Silver UV</x:v>
      </x:c>
      <x:c r="J2902" s="40" t="n">
        <x:v>6370</x:v>
      </x:c>
      <x:c r="K2902" s="24" t="str">
        <x:v>-8.00 a +8.00</x:v>
      </x:c>
      <x:c r="L2902" s="24" t="str">
        <x:v>-6.00</x:v>
      </x:c>
      <x:c r="M2902" s="24" t="str">
        <x:v>0.75 a 3.50</x:v>
      </x:c>
      <x:c r="N2902" s="24" t="str">
        <x:v>70</x:v>
      </x:c>
      <x:c r="O2902" s="24"/>
      <x:c r="P2902" s="24"/>
      <x:c r="Q2902" s="24" t="str">
        <x:v>DISPONÍVEL</x:v>
      </x:c>
      <x:c r="R2902" s="24"/>
      <x:c r="S2902" s="24" t="n">
        <x:v>49</x:v>
      </x:c>
      <x:c r="T2902" s="24" t="str">
        <x:v>tabela_zeiss.pdf</x:v>
      </x:c>
      <x:c r="U2902" s="24" t="str">
        <x:v>ZEISS|Ocupacional|Surfaçada|OfficeLens Individual||1.67|1.67|DuraVision Silver UV|-8.00 a +8.00|-6.00|0.75 a 3.50|70|||49</x:v>
      </x:c>
    </x:row>
    <x:row r="2903">
      <x:c r="A2903" s="24" t="str">
        <x:v>ZS-458F2DA3DC79</x:v>
      </x:c>
      <x:c r="B2903" s="24" t="str">
        <x:v>ZEISS</x:v>
      </x:c>
      <x:c r="C2903" s="24" t="str">
        <x:v>Ocupacional</x:v>
      </x:c>
      <x:c r="D2903" s="24" t="str">
        <x:v>Surfaçada</x:v>
      </x:c>
      <x:c r="E2903" s="24" t="str">
        <x:v>OfficeLens Individual</x:v>
      </x:c>
      <x:c r="F2903" s="24"/>
      <x:c r="G2903" s="24" t="str">
        <x:v>1.67</x:v>
      </x:c>
      <x:c r="H2903" s="24" t="str">
        <x:v>1.67</x:v>
      </x:c>
      <x:c r="I2903" s="24" t="str">
        <x:v>DuraVision Chrome UV</x:v>
      </x:c>
      <x:c r="J2903" s="40" t="n">
        <x:v>5880</x:v>
      </x:c>
      <x:c r="K2903" s="24" t="str">
        <x:v>-8.00 a +8.00</x:v>
      </x:c>
      <x:c r="L2903" s="24" t="str">
        <x:v>-6.00</x:v>
      </x:c>
      <x:c r="M2903" s="24" t="str">
        <x:v>0.75 a 3.50</x:v>
      </x:c>
      <x:c r="N2903" s="24" t="str">
        <x:v>70</x:v>
      </x:c>
      <x:c r="O2903" s="24"/>
      <x:c r="P2903" s="24"/>
      <x:c r="Q2903" s="24" t="str">
        <x:v>DISPONÍVEL</x:v>
      </x:c>
      <x:c r="R2903" s="24"/>
      <x:c r="S2903" s="24" t="n">
        <x:v>49</x:v>
      </x:c>
      <x:c r="T2903" s="24" t="str">
        <x:v>tabela_zeiss.pdf</x:v>
      </x:c>
      <x:c r="U2903" s="24" t="str">
        <x:v>ZEISS|Ocupacional|Surfaçada|OfficeLens Individual||1.67|1.67|DuraVision Chrome UV|-8.00 a +8.00|-6.00|0.75 a 3.50|70|||49</x:v>
      </x:c>
    </x:row>
    <x:row r="2904">
      <x:c r="A2904" s="24" t="str">
        <x:v>ZS-01B4C99BB609</x:v>
      </x:c>
      <x:c r="B2904" s="24" t="str">
        <x:v>ZEISS</x:v>
      </x:c>
      <x:c r="C2904" s="24" t="str">
        <x:v>Ocupacional</x:v>
      </x:c>
      <x:c r="D2904" s="24" t="str">
        <x:v>Surfaçada</x:v>
      </x:c>
      <x:c r="E2904" s="24" t="str">
        <x:v>OfficeLens Individual</x:v>
      </x:c>
      <x:c r="F2904" s="24"/>
      <x:c r="G2904" s="24" t="str">
        <x:v>1.74</x:v>
      </x:c>
      <x:c r="H2904" s="24" t="str">
        <x:v>1.74</x:v>
      </x:c>
      <x:c r="I2904" s="24" t="str">
        <x:v>DuraVision Gold UV</x:v>
      </x:c>
      <x:c r="J2904" s="40" t="n">
        <x:v>8370</x:v>
      </x:c>
      <x:c r="K2904" s="24" t="str">
        <x:v>-10.00 a +7.00</x:v>
      </x:c>
      <x:c r="L2904" s="24" t="str">
        <x:v>-4.00</x:v>
      </x:c>
      <x:c r="M2904" s="24" t="str">
        <x:v>0.75 a 3.50</x:v>
      </x:c>
      <x:c r="N2904" s="24" t="str">
        <x:v>70 a 75</x:v>
      </x:c>
      <x:c r="O2904" s="24"/>
      <x:c r="P2904" s="24"/>
      <x:c r="Q2904" s="24" t="str">
        <x:v>DISPONÍVEL</x:v>
      </x:c>
      <x:c r="R2904" s="24"/>
      <x:c r="S2904" s="24" t="n">
        <x:v>49</x:v>
      </x:c>
      <x:c r="T2904" s="24" t="str">
        <x:v>tabela_zeiss.pdf</x:v>
      </x:c>
      <x:c r="U2904" s="24" t="str">
        <x:v>ZEISS|Ocupacional|Surfaçada|OfficeLens Individual||1.74|1.74|DuraVision Gold UV|-10.00 a +7.00|-4.00|0.75 a 3.50|70 a 75|||49</x:v>
      </x:c>
    </x:row>
    <x:row r="2905">
      <x:c r="A2905" s="24" t="str">
        <x:v>ZS-C55DD5C2FDA8</x:v>
      </x:c>
      <x:c r="B2905" s="24" t="str">
        <x:v>ZEISS</x:v>
      </x:c>
      <x:c r="C2905" s="24" t="str">
        <x:v>Ocupacional</x:v>
      </x:c>
      <x:c r="D2905" s="24" t="str">
        <x:v>Surfaçada</x:v>
      </x:c>
      <x:c r="E2905" s="24" t="str">
        <x:v>OfficeLens Individual</x:v>
      </x:c>
      <x:c r="F2905" s="24"/>
      <x:c r="G2905" s="24" t="str">
        <x:v>1.74</x:v>
      </x:c>
      <x:c r="H2905" s="24" t="str">
        <x:v>1.74</x:v>
      </x:c>
      <x:c r="I2905" s="24" t="str">
        <x:v>DuraVision Platinum UV</x:v>
      </x:c>
      <x:c r="J2905" s="40" t="n">
        <x:v>8230</x:v>
      </x:c>
      <x:c r="K2905" s="24" t="str">
        <x:v>-10.00 a +7.00</x:v>
      </x:c>
      <x:c r="L2905" s="24" t="str">
        <x:v>-4.00</x:v>
      </x:c>
      <x:c r="M2905" s="24" t="str">
        <x:v>0.75 a 3.50</x:v>
      </x:c>
      <x:c r="N2905" s="24" t="str">
        <x:v>70 a 75</x:v>
      </x:c>
      <x:c r="O2905" s="24"/>
      <x:c r="P2905" s="24"/>
      <x:c r="Q2905" s="24" t="str">
        <x:v>DISPONÍVEL</x:v>
      </x:c>
      <x:c r="R2905" s="24"/>
      <x:c r="S2905" s="24" t="n">
        <x:v>49</x:v>
      </x:c>
      <x:c r="T2905" s="24" t="str">
        <x:v>tabela_zeiss.pdf</x:v>
      </x:c>
      <x:c r="U2905" s="24" t="str">
        <x:v>ZEISS|Ocupacional|Surfaçada|OfficeLens Individual||1.74|1.74|DuraVision Platinum UV|-10.00 a +7.00|-4.00|0.75 a 3.50|70 a 75|||49</x:v>
      </x:c>
    </x:row>
    <x:row r="2906">
      <x:c r="A2906" s="24" t="str">
        <x:v>ZS-8263CAFB7268</x:v>
      </x:c>
      <x:c r="B2906" s="24" t="str">
        <x:v>ZEISS</x:v>
      </x:c>
      <x:c r="C2906" s="24" t="str">
        <x:v>Ocupacional</x:v>
      </x:c>
      <x:c r="D2906" s="24" t="str">
        <x:v>Surfaçada</x:v>
      </x:c>
      <x:c r="E2906" s="24" t="str">
        <x:v>OfficeLens Individual</x:v>
      </x:c>
      <x:c r="F2906" s="24"/>
      <x:c r="G2906" s="24" t="str">
        <x:v>1.74</x:v>
      </x:c>
      <x:c r="H2906" s="24" t="str">
        <x:v>1.74</x:v>
      </x:c>
      <x:c r="I2906" s="24" t="str">
        <x:v>DuraVision Silver UV</x:v>
      </x:c>
      <x:c r="J2906" s="40" t="n">
        <x:v>7970</x:v>
      </x:c>
      <x:c r="K2906" s="24" t="str">
        <x:v>-10.00 a +7.00</x:v>
      </x:c>
      <x:c r="L2906" s="24" t="str">
        <x:v>-4.00</x:v>
      </x:c>
      <x:c r="M2906" s="24" t="str">
        <x:v>0.75 a 3.50</x:v>
      </x:c>
      <x:c r="N2906" s="24" t="str">
        <x:v>70 a 75</x:v>
      </x:c>
      <x:c r="O2906" s="24"/>
      <x:c r="P2906" s="24"/>
      <x:c r="Q2906" s="24" t="str">
        <x:v>DISPONÍVEL</x:v>
      </x:c>
      <x:c r="R2906" s="24"/>
      <x:c r="S2906" s="24" t="n">
        <x:v>49</x:v>
      </x:c>
      <x:c r="T2906" s="24" t="str">
        <x:v>tabela_zeiss.pdf</x:v>
      </x:c>
      <x:c r="U2906" s="24" t="str">
        <x:v>ZEISS|Ocupacional|Surfaçada|OfficeLens Individual||1.74|1.74|DuraVision Silver UV|-10.00 a +7.00|-4.00|0.75 a 3.50|70 a 75|||49</x:v>
      </x:c>
    </x:row>
    <x:row r="2907">
      <x:c r="A2907" s="24" t="str">
        <x:v>ZS-7EC49F97B5C1</x:v>
      </x:c>
      <x:c r="B2907" s="24" t="str">
        <x:v>ZEISS</x:v>
      </x:c>
      <x:c r="C2907" s="24" t="str">
        <x:v>Ocupacional</x:v>
      </x:c>
      <x:c r="D2907" s="24" t="str">
        <x:v>Surfaçada</x:v>
      </x:c>
      <x:c r="E2907" s="24" t="str">
        <x:v>OfficeLens Individual</x:v>
      </x:c>
      <x:c r="F2907" s="24"/>
      <x:c r="G2907" s="24" t="str">
        <x:v>1.74</x:v>
      </x:c>
      <x:c r="H2907" s="24" t="str">
        <x:v>1.74</x:v>
      </x:c>
      <x:c r="I2907" s="24" t="str">
        <x:v>DuraVision Chrome UV</x:v>
      </x:c>
      <x:c r="J2907" s="40" t="n">
        <x:v>7480</x:v>
      </x:c>
      <x:c r="K2907" s="24" t="str">
        <x:v>-10.00 a +7.00</x:v>
      </x:c>
      <x:c r="L2907" s="24" t="str">
        <x:v>-4.00</x:v>
      </x:c>
      <x:c r="M2907" s="24" t="str">
        <x:v>0.75 a 3.50</x:v>
      </x:c>
      <x:c r="N2907" s="24" t="str">
        <x:v>70 a 75</x:v>
      </x:c>
      <x:c r="O2907" s="24"/>
      <x:c r="P2907" s="24"/>
      <x:c r="Q2907" s="24" t="str">
        <x:v>DISPONÍVEL</x:v>
      </x:c>
      <x:c r="R2907" s="24"/>
      <x:c r="S2907" s="24" t="n">
        <x:v>49</x:v>
      </x:c>
      <x:c r="T2907" s="24" t="str">
        <x:v>tabela_zeiss.pdf</x:v>
      </x:c>
      <x:c r="U2907" s="24" t="str">
        <x:v>ZEISS|Ocupacional|Surfaçada|OfficeLens Individual||1.74|1.74|DuraVision Chrome UV|-10.00 a +7.00|-4.00|0.75 a 3.50|70 a 75|||49</x:v>
      </x:c>
    </x:row>
    <x:row r="2908">
      <x:c r="A2908" s="24" t="str">
        <x:v>ZS-0126C6BEE2D2</x:v>
      </x:c>
      <x:c r="B2908" s="24" t="str">
        <x:v>ZEISS</x:v>
      </x:c>
      <x:c r="C2908" s="24" t="str">
        <x:v>Ocupacional</x:v>
      </x:c>
      <x:c r="D2908" s="24" t="str">
        <x:v>Surfaçada</x:v>
      </x:c>
      <x:c r="E2908" s="24" t="str">
        <x:v>OfficeLens Superb Room/Near</x:v>
      </x:c>
      <x:c r="F2908" s="24"/>
      <x:c r="G2908" s="24" t="str">
        <x:v>1.5</x:v>
      </x:c>
      <x:c r="H2908" s="24" t="str">
        <x:v>1.50</x:v>
      </x:c>
      <x:c r="I2908" s="24" t="str">
        <x:v>DuraVision Gold UV</x:v>
      </x:c>
      <x:c r="J2908" s="40" t="n">
        <x:v>2700</x:v>
      </x:c>
      <x:c r="K2908" s="24" t="str">
        <x:v>-6.00 a +4.00</x:v>
      </x:c>
      <x:c r="L2908" s="24" t="str">
        <x:v>-4.00</x:v>
      </x:c>
      <x:c r="M2908" s="24" t="str">
        <x:v>0.75 a 3.50</x:v>
      </x:c>
      <x:c r="N2908" s="24" t="str">
        <x:v>75</x:v>
      </x:c>
      <x:c r="O2908" s="24"/>
      <x:c r="P2908" s="24"/>
      <x:c r="Q2908" s="24" t="str">
        <x:v>DISPONÍVEL</x:v>
      </x:c>
      <x:c r="R2908" s="24"/>
      <x:c r="S2908" s="24" t="n">
        <x:v>49</x:v>
      </x:c>
      <x:c r="T2908" s="24" t="str">
        <x:v>tabela_zeiss.pdf</x:v>
      </x:c>
      <x:c r="U2908" s="24" t="str">
        <x:v>ZEISS|Ocupacional|Surfaçada|OfficeLens Superb Room/Near||1.5|1.50|DuraVision Gold UV|-6.00 a +4.00|-4.00|0.75 a 3.50|75|||49</x:v>
      </x:c>
    </x:row>
    <x:row r="2909">
      <x:c r="A2909" s="24" t="str">
        <x:v>ZS-49E44B3F50AB</x:v>
      </x:c>
      <x:c r="B2909" s="24" t="str">
        <x:v>ZEISS</x:v>
      </x:c>
      <x:c r="C2909" s="24" t="str">
        <x:v>Ocupacional</x:v>
      </x:c>
      <x:c r="D2909" s="24" t="str">
        <x:v>Surfaçada</x:v>
      </x:c>
      <x:c r="E2909" s="24" t="str">
        <x:v>OfficeLens Superb Room/Near</x:v>
      </x:c>
      <x:c r="F2909" s="24"/>
      <x:c r="G2909" s="24" t="str">
        <x:v>1.5</x:v>
      </x:c>
      <x:c r="H2909" s="24" t="str">
        <x:v>1.50</x:v>
      </x:c>
      <x:c r="I2909" s="24" t="str">
        <x:v>DURAVISION® ANTIVÍRUS PLATINUM UV</x:v>
      </x:c>
      <x:c r="J2909" s="40" t="n">
        <x:v>2560</x:v>
      </x:c>
      <x:c r="K2909" s="24" t="str">
        <x:v>-6.00 a +4.00</x:v>
      </x:c>
      <x:c r="L2909" s="24" t="str">
        <x:v>-4.00</x:v>
      </x:c>
      <x:c r="M2909" s="24" t="str">
        <x:v>0.75 a 3.50</x:v>
      </x:c>
      <x:c r="N2909" s="24" t="str">
        <x:v>75</x:v>
      </x:c>
      <x:c r="O2909" s="24"/>
      <x:c r="P2909" s="24"/>
      <x:c r="Q2909" s="24" t="str">
        <x:v>DISPONÍVEL</x:v>
      </x:c>
      <x:c r="R2909" s="24"/>
      <x:c r="S2909" s="24" t="n">
        <x:v>49</x:v>
      </x:c>
      <x:c r="T2909" s="24" t="str">
        <x:v>tabela_zeiss.pdf</x:v>
      </x:c>
      <x:c r="U2909" s="24" t="str">
        <x:v>ZEISS|Ocupacional|Surfaçada|OfficeLens Superb Room/Near||1.5|1.50|DURAVISION® ANTIVÍRUS PLATINUM UV|-6.00 a +4.00|-4.00|0.75 a 3.50|75|||49</x:v>
      </x:c>
    </x:row>
    <x:row r="2910">
      <x:c r="A2910" s="24" t="str">
        <x:v>ZS-21EBAF9BECB1</x:v>
      </x:c>
      <x:c r="B2910" s="24" t="str">
        <x:v>ZEISS</x:v>
      </x:c>
      <x:c r="C2910" s="24" t="str">
        <x:v>Ocupacional</x:v>
      </x:c>
      <x:c r="D2910" s="24" t="str">
        <x:v>Surfaçada</x:v>
      </x:c>
      <x:c r="E2910" s="24" t="str">
        <x:v>OfficeLens Superb Room/Near</x:v>
      </x:c>
      <x:c r="F2910" s="24"/>
      <x:c r="G2910" s="24" t="str">
        <x:v>1.5</x:v>
      </x:c>
      <x:c r="H2910" s="24" t="str">
        <x:v>1.50</x:v>
      </x:c>
      <x:c r="I2910" s="24" t="str">
        <x:v>DuraVision Platinum UV</x:v>
      </x:c>
      <x:c r="J2910" s="40" t="n">
        <x:v>2560</x:v>
      </x:c>
      <x:c r="K2910" s="24" t="str">
        <x:v>-6.00 a +4.00</x:v>
      </x:c>
      <x:c r="L2910" s="24" t="str">
        <x:v>-4.00</x:v>
      </x:c>
      <x:c r="M2910" s="24" t="str">
        <x:v>0.75 a 3.50</x:v>
      </x:c>
      <x:c r="N2910" s="24" t="str">
        <x:v>75</x:v>
      </x:c>
      <x:c r="O2910" s="24"/>
      <x:c r="P2910" s="24"/>
      <x:c r="Q2910" s="24" t="str">
        <x:v>DISPONÍVEL</x:v>
      </x:c>
      <x:c r="R2910" s="24"/>
      <x:c r="S2910" s="24" t="n">
        <x:v>49</x:v>
      </x:c>
      <x:c r="T2910" s="24" t="str">
        <x:v>tabela_zeiss.pdf</x:v>
      </x:c>
      <x:c r="U2910" s="24" t="str">
        <x:v>ZEISS|Ocupacional|Surfaçada|OfficeLens Superb Room/Near||1.5|1.50|DuraVision Platinum UV|-6.00 a +4.00|-4.00|0.75 a 3.50|75|||49</x:v>
      </x:c>
    </x:row>
    <x:row r="2911">
      <x:c r="A2911" s="24" t="str">
        <x:v>ZS-1D509362627D</x:v>
      </x:c>
      <x:c r="B2911" s="24" t="str">
        <x:v>ZEISS</x:v>
      </x:c>
      <x:c r="C2911" s="24" t="str">
        <x:v>Ocupacional</x:v>
      </x:c>
      <x:c r="D2911" s="24" t="str">
        <x:v>Surfaçada</x:v>
      </x:c>
      <x:c r="E2911" s="24" t="str">
        <x:v>OfficeLens Superb Room/Near</x:v>
      </x:c>
      <x:c r="F2911" s="24"/>
      <x:c r="G2911" s="24" t="str">
        <x:v>1.5</x:v>
      </x:c>
      <x:c r="H2911" s="24" t="str">
        <x:v>1.50</x:v>
      </x:c>
      <x:c r="I2911" s="24" t="str">
        <x:v>DuraVision Silver UV</x:v>
      </x:c>
      <x:c r="J2911" s="40" t="n">
        <x:v>2300</x:v>
      </x:c>
      <x:c r="K2911" s="24" t="str">
        <x:v>-6.00 a +4.00</x:v>
      </x:c>
      <x:c r="L2911" s="24" t="str">
        <x:v>-4.00</x:v>
      </x:c>
      <x:c r="M2911" s="24" t="str">
        <x:v>0.75 a 3.50</x:v>
      </x:c>
      <x:c r="N2911" s="24" t="str">
        <x:v>75</x:v>
      </x:c>
      <x:c r="O2911" s="24"/>
      <x:c r="P2911" s="24"/>
      <x:c r="Q2911" s="24" t="str">
        <x:v>DISPONÍVEL</x:v>
      </x:c>
      <x:c r="R2911" s="24"/>
      <x:c r="S2911" s="24" t="n">
        <x:v>49</x:v>
      </x:c>
      <x:c r="T2911" s="24" t="str">
        <x:v>tabela_zeiss.pdf</x:v>
      </x:c>
      <x:c r="U2911" s="24" t="str">
        <x:v>ZEISS|Ocupacional|Surfaçada|OfficeLens Superb Room/Near||1.5|1.50|DuraVision Silver UV|-6.00 a +4.00|-4.00|0.75 a 3.50|75|||49</x:v>
      </x:c>
    </x:row>
    <x:row r="2912">
      <x:c r="A2912" s="24" t="str">
        <x:v>ZS-AB80E9AED5F8</x:v>
      </x:c>
      <x:c r="B2912" s="24" t="str">
        <x:v>ZEISS</x:v>
      </x:c>
      <x:c r="C2912" s="24" t="str">
        <x:v>Ocupacional</x:v>
      </x:c>
      <x:c r="D2912" s="24" t="str">
        <x:v>Surfaçada</x:v>
      </x:c>
      <x:c r="E2912" s="24" t="str">
        <x:v>OfficeLens Superb Room/Near</x:v>
      </x:c>
      <x:c r="F2912" s="24"/>
      <x:c r="G2912" s="24" t="str">
        <x:v>1.5</x:v>
      </x:c>
      <x:c r="H2912" s="24" t="str">
        <x:v>1.50</x:v>
      </x:c>
      <x:c r="I2912" s="24" t="str">
        <x:v>DuraVision Chrome UV</x:v>
      </x:c>
      <x:c r="J2912" s="40" t="n">
        <x:v>1810</x:v>
      </x:c>
      <x:c r="K2912" s="24" t="str">
        <x:v>-6.00 a +4.00</x:v>
      </x:c>
      <x:c r="L2912" s="24" t="str">
        <x:v>-4.00</x:v>
      </x:c>
      <x:c r="M2912" s="24" t="str">
        <x:v>0.75 a 3.50</x:v>
      </x:c>
      <x:c r="N2912" s="24" t="str">
        <x:v>75</x:v>
      </x:c>
      <x:c r="O2912" s="24"/>
      <x:c r="P2912" s="24"/>
      <x:c r="Q2912" s="24" t="str">
        <x:v>DISPONÍVEL</x:v>
      </x:c>
      <x:c r="R2912" s="24"/>
      <x:c r="S2912" s="24" t="n">
        <x:v>49</x:v>
      </x:c>
      <x:c r="T2912" s="24" t="str">
        <x:v>tabela_zeiss.pdf</x:v>
      </x:c>
      <x:c r="U2912" s="24" t="str">
        <x:v>ZEISS|Ocupacional|Surfaçada|OfficeLens Superb Room/Near||1.5|1.50|DuraVision Chrome UV|-6.00 a +4.00|-4.00|0.75 a 3.50|75|||49</x:v>
      </x:c>
    </x:row>
    <x:row r="2913">
      <x:c r="A2913" s="24" t="str">
        <x:v>ZS-144BAA2F78E4</x:v>
      </x:c>
      <x:c r="B2913" s="24" t="str">
        <x:v>ZEISS</x:v>
      </x:c>
      <x:c r="C2913" s="24" t="str">
        <x:v>Ocupacional</x:v>
      </x:c>
      <x:c r="D2913" s="24" t="str">
        <x:v>Surfaçada</x:v>
      </x:c>
      <x:c r="E2913" s="24" t="str">
        <x:v>OfficeLens Superb Room/Near</x:v>
      </x:c>
      <x:c r="F2913" s="24"/>
      <x:c r="G2913" s="24" t="str">
        <x:v>Poli</x:v>
      </x:c>
      <x:c r="H2913" s="24"/>
      <x:c r="I2913" s="24" t="str">
        <x:v>DuraVision Gold UV</x:v>
      </x:c>
      <x:c r="J2913" s="40" t="n">
        <x:v>3290</x:v>
      </x:c>
      <x:c r="K2913" s="24" t="str">
        <x:v>-10.00 a +6.00</x:v>
      </x:c>
      <x:c r="L2913" s="24" t="str">
        <x:v>-4.00</x:v>
      </x:c>
      <x:c r="M2913" s="24" t="str">
        <x:v>0.75 a 4.00</x:v>
      </x:c>
      <x:c r="N2913" s="24" t="str">
        <x:v>75</x:v>
      </x:c>
      <x:c r="O2913" s="24"/>
      <x:c r="P2913" s="24"/>
      <x:c r="Q2913" s="24" t="str">
        <x:v>DISPONÍVEL</x:v>
      </x:c>
      <x:c r="R2913" s="24"/>
      <x:c r="S2913" s="24" t="n">
        <x:v>49</x:v>
      </x:c>
      <x:c r="T2913" s="24" t="str">
        <x:v>tabela_zeiss.pdf</x:v>
      </x:c>
      <x:c r="U2913" s="24" t="str">
        <x:v>ZEISS|Ocupacional|Surfaçada|OfficeLens Superb Room/Near||Poli||DuraVision Gold UV|-10.00 a +6.00|-4.00|0.75 a 4.00|75|||49</x:v>
      </x:c>
    </x:row>
    <x:row r="2914">
      <x:c r="A2914" s="24" t="str">
        <x:v>ZS-C95D57D37E9A</x:v>
      </x:c>
      <x:c r="B2914" s="24" t="str">
        <x:v>ZEISS</x:v>
      </x:c>
      <x:c r="C2914" s="24" t="str">
        <x:v>Ocupacional</x:v>
      </x:c>
      <x:c r="D2914" s="24" t="str">
        <x:v>Surfaçada</x:v>
      </x:c>
      <x:c r="E2914" s="24" t="str">
        <x:v>OfficeLens Superb Room/Near</x:v>
      </x:c>
      <x:c r="F2914" s="24"/>
      <x:c r="G2914" s="24" t="str">
        <x:v>Poli</x:v>
      </x:c>
      <x:c r="H2914" s="24"/>
      <x:c r="I2914" s="24" t="str">
        <x:v>DuraVision Platinum UV</x:v>
      </x:c>
      <x:c r="J2914" s="40" t="n">
        <x:v>3150</x:v>
      </x:c>
      <x:c r="K2914" s="24" t="str">
        <x:v>-10.00 a +6.00</x:v>
      </x:c>
      <x:c r="L2914" s="24" t="str">
        <x:v>-4.00</x:v>
      </x:c>
      <x:c r="M2914" s="24" t="str">
        <x:v>0.75 a 4.00</x:v>
      </x:c>
      <x:c r="N2914" s="24" t="str">
        <x:v>75</x:v>
      </x:c>
      <x:c r="O2914" s="24"/>
      <x:c r="P2914" s="24"/>
      <x:c r="Q2914" s="24" t="str">
        <x:v>DISPONÍVEL</x:v>
      </x:c>
      <x:c r="R2914" s="24"/>
      <x:c r="S2914" s="24" t="n">
        <x:v>49</x:v>
      </x:c>
      <x:c r="T2914" s="24" t="str">
        <x:v>tabela_zeiss.pdf</x:v>
      </x:c>
      <x:c r="U2914" s="24" t="str">
        <x:v>ZEISS|Ocupacional|Surfaçada|OfficeLens Superb Room/Near||Poli||DuraVision Platinum UV|-10.00 a +6.00|-4.00|0.75 a 4.00|75|||49</x:v>
      </x:c>
    </x:row>
    <x:row r="2915">
      <x:c r="A2915" s="24" t="str">
        <x:v>ZS-7CD32D35BBEC</x:v>
      </x:c>
      <x:c r="B2915" s="24" t="str">
        <x:v>ZEISS</x:v>
      </x:c>
      <x:c r="C2915" s="24" t="str">
        <x:v>Ocupacional</x:v>
      </x:c>
      <x:c r="D2915" s="24" t="str">
        <x:v>Surfaçada</x:v>
      </x:c>
      <x:c r="E2915" s="24" t="str">
        <x:v>OfficeLens Superb Room/Near</x:v>
      </x:c>
      <x:c r="F2915" s="24"/>
      <x:c r="G2915" s="24" t="str">
        <x:v>Poli</x:v>
      </x:c>
      <x:c r="H2915" s="24"/>
      <x:c r="I2915" s="24" t="str">
        <x:v>DuraVision Silver UV</x:v>
      </x:c>
      <x:c r="J2915" s="40" t="n">
        <x:v>2890</x:v>
      </x:c>
      <x:c r="K2915" s="24" t="str">
        <x:v>-10.00 a +6.00</x:v>
      </x:c>
      <x:c r="L2915" s="24" t="str">
        <x:v>-4.00</x:v>
      </x:c>
      <x:c r="M2915" s="24" t="str">
        <x:v>0.75 a 4.00</x:v>
      </x:c>
      <x:c r="N2915" s="24" t="str">
        <x:v>75</x:v>
      </x:c>
      <x:c r="O2915" s="24"/>
      <x:c r="P2915" s="24"/>
      <x:c r="Q2915" s="24" t="str">
        <x:v>DISPONÍVEL</x:v>
      </x:c>
      <x:c r="R2915" s="24"/>
      <x:c r="S2915" s="24" t="n">
        <x:v>49</x:v>
      </x:c>
      <x:c r="T2915" s="24" t="str">
        <x:v>tabela_zeiss.pdf</x:v>
      </x:c>
      <x:c r="U2915" s="24" t="str">
        <x:v>ZEISS|Ocupacional|Surfaçada|OfficeLens Superb Room/Near||Poli||DuraVision Silver UV|-10.00 a +6.00|-4.00|0.75 a 4.00|75|||49</x:v>
      </x:c>
    </x:row>
    <x:row r="2916">
      <x:c r="A2916" s="24" t="str">
        <x:v>ZS-1E514E4E1488</x:v>
      </x:c>
      <x:c r="B2916" s="24" t="str">
        <x:v>ZEISS</x:v>
      </x:c>
      <x:c r="C2916" s="24" t="str">
        <x:v>Ocupacional</x:v>
      </x:c>
      <x:c r="D2916" s="24" t="str">
        <x:v>Surfaçada</x:v>
      </x:c>
      <x:c r="E2916" s="24" t="str">
        <x:v>OfficeLens Superb Room/Near</x:v>
      </x:c>
      <x:c r="F2916" s="24"/>
      <x:c r="G2916" s="24" t="str">
        <x:v>Poli</x:v>
      </x:c>
      <x:c r="H2916" s="24"/>
      <x:c r="I2916" s="24" t="str">
        <x:v>DuraVision Chrome UV</x:v>
      </x:c>
      <x:c r="J2916" s="40" t="n">
        <x:v>2400</x:v>
      </x:c>
      <x:c r="K2916" s="24" t="str">
        <x:v>-10.00 a +6.00</x:v>
      </x:c>
      <x:c r="L2916" s="24" t="str">
        <x:v>-4.00</x:v>
      </x:c>
      <x:c r="M2916" s="24" t="str">
        <x:v>0.75 a 4.00</x:v>
      </x:c>
      <x:c r="N2916" s="24" t="str">
        <x:v>75</x:v>
      </x:c>
      <x:c r="O2916" s="24"/>
      <x:c r="P2916" s="24"/>
      <x:c r="Q2916" s="24" t="str">
        <x:v>DISPONÍVEL</x:v>
      </x:c>
      <x:c r="R2916" s="24"/>
      <x:c r="S2916" s="24" t="n">
        <x:v>49</x:v>
      </x:c>
      <x:c r="T2916" s="24" t="str">
        <x:v>tabela_zeiss.pdf</x:v>
      </x:c>
      <x:c r="U2916" s="24" t="str">
        <x:v>ZEISS|Ocupacional|Surfaçada|OfficeLens Superb Room/Near||Poli||DuraVision Chrome UV|-10.00 a +6.00|-4.00|0.75 a 4.00|75|||49</x:v>
      </x:c>
    </x:row>
    <x:row r="2917">
      <x:c r="A2917" s="24" t="str">
        <x:v>ZS-E0B532CCF25E</x:v>
      </x:c>
      <x:c r="B2917" s="24" t="str">
        <x:v>ZEISS</x:v>
      </x:c>
      <x:c r="C2917" s="24" t="str">
        <x:v>Ocupacional</x:v>
      </x:c>
      <x:c r="D2917" s="24" t="str">
        <x:v>Surfaçada</x:v>
      </x:c>
      <x:c r="E2917" s="24" t="str">
        <x:v>OfficeLens Superb Room/Near</x:v>
      </x:c>
      <x:c r="F2917" s="24"/>
      <x:c r="G2917" s="24" t="str">
        <x:v>1.6</x:v>
      </x:c>
      <x:c r="H2917" s="24" t="str">
        <x:v>1.60</x:v>
      </x:c>
      <x:c r="I2917" s="24" t="str">
        <x:v>DuraVision Gold UV</x:v>
      </x:c>
      <x:c r="J2917" s="40" t="n">
        <x:v>3950</x:v>
      </x:c>
      <x:c r="K2917" s="24" t="str">
        <x:v>-5.00 a +6.00</x:v>
      </x:c>
      <x:c r="L2917" s="24" t="str">
        <x:v>-6.00</x:v>
      </x:c>
      <x:c r="M2917" s="24" t="str">
        <x:v>0.75 a 4.00</x:v>
      </x:c>
      <x:c r="N2917" s="24" t="str">
        <x:v>75</x:v>
      </x:c>
      <x:c r="O2917" s="24"/>
      <x:c r="P2917" s="24"/>
      <x:c r="Q2917" s="24" t="str">
        <x:v>DISPONÍVEL</x:v>
      </x:c>
      <x:c r="R2917" s="24"/>
      <x:c r="S2917" s="24" t="n">
        <x:v>49</x:v>
      </x:c>
      <x:c r="T2917" s="24" t="str">
        <x:v>tabela_zeiss.pdf</x:v>
      </x:c>
      <x:c r="U2917" s="24" t="str">
        <x:v>ZEISS|Ocupacional|Surfaçada|OfficeLens Superb Room/Near||1.6|1.60|DuraVision Gold UV|-5.00 a +6.00|-6.00|0.75 a 4.00|75|||49</x:v>
      </x:c>
    </x:row>
    <x:row r="2918">
      <x:c r="A2918" s="24" t="str">
        <x:v>ZS-5C6CD4686D1C</x:v>
      </x:c>
      <x:c r="B2918" s="24" t="str">
        <x:v>ZEISS</x:v>
      </x:c>
      <x:c r="C2918" s="24" t="str">
        <x:v>Ocupacional</x:v>
      </x:c>
      <x:c r="D2918" s="24" t="str">
        <x:v>Surfaçada</x:v>
      </x:c>
      <x:c r="E2918" s="24" t="str">
        <x:v>OfficeLens Superb Room/Near</x:v>
      </x:c>
      <x:c r="F2918" s="24"/>
      <x:c r="G2918" s="24" t="str">
        <x:v>1.6</x:v>
      </x:c>
      <x:c r="H2918" s="24" t="str">
        <x:v>1.60</x:v>
      </x:c>
      <x:c r="I2918" s="24" t="str">
        <x:v>DURAVISION® ANTIVÍRUS PLATINUM UV</x:v>
      </x:c>
      <x:c r="J2918" s="40" t="n">
        <x:v>3810</x:v>
      </x:c>
      <x:c r="K2918" s="24" t="str">
        <x:v>-5.00 a +6.00</x:v>
      </x:c>
      <x:c r="L2918" s="24" t="str">
        <x:v>-6.00</x:v>
      </x:c>
      <x:c r="M2918" s="24" t="str">
        <x:v>0.75 a 4.00</x:v>
      </x:c>
      <x:c r="N2918" s="24" t="str">
        <x:v>75</x:v>
      </x:c>
      <x:c r="O2918" s="24"/>
      <x:c r="P2918" s="24"/>
      <x:c r="Q2918" s="24" t="str">
        <x:v>DISPONÍVEL</x:v>
      </x:c>
      <x:c r="R2918" s="24"/>
      <x:c r="S2918" s="24" t="n">
        <x:v>49</x:v>
      </x:c>
      <x:c r="T2918" s="24" t="str">
        <x:v>tabela_zeiss.pdf</x:v>
      </x:c>
      <x:c r="U2918" s="24" t="str">
        <x:v>ZEISS|Ocupacional|Surfaçada|OfficeLens Superb Room/Near||1.6|1.60|DURAVISION® ANTIVÍRUS PLATINUM UV|-5.00 a +6.00|-6.00|0.75 a 4.00|75|||49</x:v>
      </x:c>
    </x:row>
    <x:row r="2919">
      <x:c r="A2919" s="24" t="str">
        <x:v>ZS-A8B23274FAF8</x:v>
      </x:c>
      <x:c r="B2919" s="24" t="str">
        <x:v>ZEISS</x:v>
      </x:c>
      <x:c r="C2919" s="24" t="str">
        <x:v>Ocupacional</x:v>
      </x:c>
      <x:c r="D2919" s="24" t="str">
        <x:v>Surfaçada</x:v>
      </x:c>
      <x:c r="E2919" s="24" t="str">
        <x:v>OfficeLens Superb Room/Near</x:v>
      </x:c>
      <x:c r="F2919" s="24"/>
      <x:c r="G2919" s="24" t="str">
        <x:v>1.6</x:v>
      </x:c>
      <x:c r="H2919" s="24" t="str">
        <x:v>1.60</x:v>
      </x:c>
      <x:c r="I2919" s="24" t="str">
        <x:v>DuraVision Platinum UV</x:v>
      </x:c>
      <x:c r="J2919" s="40" t="n">
        <x:v>3810</x:v>
      </x:c>
      <x:c r="K2919" s="24" t="str">
        <x:v>-5.00 a +6.00</x:v>
      </x:c>
      <x:c r="L2919" s="24" t="str">
        <x:v>-6.00</x:v>
      </x:c>
      <x:c r="M2919" s="24" t="str">
        <x:v>0.75 a 4.00</x:v>
      </x:c>
      <x:c r="N2919" s="24" t="str">
        <x:v>75</x:v>
      </x:c>
      <x:c r="O2919" s="24"/>
      <x:c r="P2919" s="24"/>
      <x:c r="Q2919" s="24" t="str">
        <x:v>DISPONÍVEL</x:v>
      </x:c>
      <x:c r="R2919" s="24"/>
      <x:c r="S2919" s="24" t="n">
        <x:v>49</x:v>
      </x:c>
      <x:c r="T2919" s="24" t="str">
        <x:v>tabela_zeiss.pdf</x:v>
      </x:c>
      <x:c r="U2919" s="24" t="str">
        <x:v>ZEISS|Ocupacional|Surfaçada|OfficeLens Superb Room/Near||1.6|1.60|DuraVision Platinum UV|-5.00 a +6.00|-6.00|0.75 a 4.00|75|||49</x:v>
      </x:c>
    </x:row>
    <x:row r="2920">
      <x:c r="A2920" s="24" t="str">
        <x:v>ZS-73F0E30663A5</x:v>
      </x:c>
      <x:c r="B2920" s="24" t="str">
        <x:v>ZEISS</x:v>
      </x:c>
      <x:c r="C2920" s="24" t="str">
        <x:v>Ocupacional</x:v>
      </x:c>
      <x:c r="D2920" s="24" t="str">
        <x:v>Surfaçada</x:v>
      </x:c>
      <x:c r="E2920" s="24" t="str">
        <x:v>OfficeLens Superb Room/Near</x:v>
      </x:c>
      <x:c r="F2920" s="24"/>
      <x:c r="G2920" s="24" t="str">
        <x:v>1.6</x:v>
      </x:c>
      <x:c r="H2920" s="24" t="str">
        <x:v>1.60</x:v>
      </x:c>
      <x:c r="I2920" s="24" t="str">
        <x:v>DuraVision Silver UV</x:v>
      </x:c>
      <x:c r="J2920" s="40" t="n">
        <x:v>3550</x:v>
      </x:c>
      <x:c r="K2920" s="24" t="str">
        <x:v>-5.00 a +6.00</x:v>
      </x:c>
      <x:c r="L2920" s="24" t="str">
        <x:v>-6.00</x:v>
      </x:c>
      <x:c r="M2920" s="24" t="str">
        <x:v>0.75 a 4.00</x:v>
      </x:c>
      <x:c r="N2920" s="24" t="str">
        <x:v>75</x:v>
      </x:c>
      <x:c r="O2920" s="24"/>
      <x:c r="P2920" s="24"/>
      <x:c r="Q2920" s="24" t="str">
        <x:v>DISPONÍVEL</x:v>
      </x:c>
      <x:c r="R2920" s="24"/>
      <x:c r="S2920" s="24" t="n">
        <x:v>49</x:v>
      </x:c>
      <x:c r="T2920" s="24" t="str">
        <x:v>tabela_zeiss.pdf</x:v>
      </x:c>
      <x:c r="U2920" s="24" t="str">
        <x:v>ZEISS|Ocupacional|Surfaçada|OfficeLens Superb Room/Near||1.6|1.60|DuraVision Silver UV|-5.00 a +6.00|-6.00|0.75 a 4.00|75|||49</x:v>
      </x:c>
    </x:row>
    <x:row r="2921">
      <x:c r="A2921" s="24" t="str">
        <x:v>ZS-BCE9D78811CC</x:v>
      </x:c>
      <x:c r="B2921" s="24" t="str">
        <x:v>ZEISS</x:v>
      </x:c>
      <x:c r="C2921" s="24" t="str">
        <x:v>Ocupacional</x:v>
      </x:c>
      <x:c r="D2921" s="24" t="str">
        <x:v>Surfaçada</x:v>
      </x:c>
      <x:c r="E2921" s="24" t="str">
        <x:v>OfficeLens Superb Room/Near</x:v>
      </x:c>
      <x:c r="F2921" s="24"/>
      <x:c r="G2921" s="24" t="str">
        <x:v>1.6</x:v>
      </x:c>
      <x:c r="H2921" s="24" t="str">
        <x:v>1.60</x:v>
      </x:c>
      <x:c r="I2921" s="24" t="str">
        <x:v>DuraVision Chrome UV</x:v>
      </x:c>
      <x:c r="J2921" s="40" t="n">
        <x:v>3060</x:v>
      </x:c>
      <x:c r="K2921" s="24" t="str">
        <x:v>-5.00 a +6.00</x:v>
      </x:c>
      <x:c r="L2921" s="24" t="str">
        <x:v>-6.00</x:v>
      </x:c>
      <x:c r="M2921" s="24" t="str">
        <x:v>0.75 a 4.00</x:v>
      </x:c>
      <x:c r="N2921" s="24" t="str">
        <x:v>75</x:v>
      </x:c>
      <x:c r="O2921" s="24"/>
      <x:c r="P2921" s="24"/>
      <x:c r="Q2921" s="24" t="str">
        <x:v>DISPONÍVEL</x:v>
      </x:c>
      <x:c r="R2921" s="24"/>
      <x:c r="S2921" s="24" t="n">
        <x:v>49</x:v>
      </x:c>
      <x:c r="T2921" s="24" t="str">
        <x:v>tabela_zeiss.pdf</x:v>
      </x:c>
      <x:c r="U2921" s="24" t="str">
        <x:v>ZEISS|Ocupacional|Surfaçada|OfficeLens Superb Room/Near||1.6|1.60|DuraVision Chrome UV|-5.00 a +6.00|-6.00|0.75 a 4.00|75|||49</x:v>
      </x:c>
    </x:row>
    <x:row r="2922">
      <x:c r="A2922" s="24" t="str">
        <x:v>ZS-A12C0E8ABFD8</x:v>
      </x:c>
      <x:c r="B2922" s="24" t="str">
        <x:v>ZEISS</x:v>
      </x:c>
      <x:c r="C2922" s="24" t="str">
        <x:v>Ocupacional</x:v>
      </x:c>
      <x:c r="D2922" s="24" t="str">
        <x:v>Surfaçada</x:v>
      </x:c>
      <x:c r="E2922" s="24" t="str">
        <x:v>OfficeLens Superb Room/Near</x:v>
      </x:c>
      <x:c r="F2922" s="24"/>
      <x:c r="G2922" s="24" t="str">
        <x:v>1.67</x:v>
      </x:c>
      <x:c r="H2922" s="24" t="str">
        <x:v>1.67</x:v>
      </x:c>
      <x:c r="I2922" s="24" t="str">
        <x:v>DuraVision Gold UV</x:v>
      </x:c>
      <x:c r="J2922" s="40" t="n">
        <x:v>5590</x:v>
      </x:c>
      <x:c r="K2922" s="24" t="str">
        <x:v>-8.00 a +8.00</x:v>
      </x:c>
      <x:c r="L2922" s="24" t="str">
        <x:v>-6.00</x:v>
      </x:c>
      <x:c r="M2922" s="24" t="str">
        <x:v>0.75 a 3.50</x:v>
      </x:c>
      <x:c r="N2922" s="24" t="str">
        <x:v>70</x:v>
      </x:c>
      <x:c r="O2922" s="24"/>
      <x:c r="P2922" s="24"/>
      <x:c r="Q2922" s="24" t="str">
        <x:v>DISPONÍVEL</x:v>
      </x:c>
      <x:c r="R2922" s="24"/>
      <x:c r="S2922" s="24" t="n">
        <x:v>49</x:v>
      </x:c>
      <x:c r="T2922" s="24" t="str">
        <x:v>tabela_zeiss.pdf</x:v>
      </x:c>
      <x:c r="U2922" s="24" t="str">
        <x:v>ZEISS|Ocupacional|Surfaçada|OfficeLens Superb Room/Near||1.67|1.67|DuraVision Gold UV|-8.00 a +8.00|-6.00|0.75 a 3.50|70|||49</x:v>
      </x:c>
    </x:row>
    <x:row r="2923">
      <x:c r="A2923" s="24" t="str">
        <x:v>ZS-6D608625062E</x:v>
      </x:c>
      <x:c r="B2923" s="24" t="str">
        <x:v>ZEISS</x:v>
      </x:c>
      <x:c r="C2923" s="24" t="str">
        <x:v>Ocupacional</x:v>
      </x:c>
      <x:c r="D2923" s="24" t="str">
        <x:v>Surfaçada</x:v>
      </x:c>
      <x:c r="E2923" s="24" t="str">
        <x:v>OfficeLens Superb Room/Near</x:v>
      </x:c>
      <x:c r="F2923" s="24"/>
      <x:c r="G2923" s="24" t="str">
        <x:v>1.67</x:v>
      </x:c>
      <x:c r="H2923" s="24" t="str">
        <x:v>1.67</x:v>
      </x:c>
      <x:c r="I2923" s="24" t="str">
        <x:v>DURAVISION® ANTIVÍRUS PLATINUM UV</x:v>
      </x:c>
      <x:c r="J2923" s="40" t="n">
        <x:v>5450</x:v>
      </x:c>
      <x:c r="K2923" s="24" t="str">
        <x:v>-8.00 a +8.00</x:v>
      </x:c>
      <x:c r="L2923" s="24" t="str">
        <x:v>-6.00</x:v>
      </x:c>
      <x:c r="M2923" s="24" t="str">
        <x:v>0.75 a 3.50</x:v>
      </x:c>
      <x:c r="N2923" s="24" t="str">
        <x:v>70</x:v>
      </x:c>
      <x:c r="O2923" s="24"/>
      <x:c r="P2923" s="24"/>
      <x:c r="Q2923" s="24" t="str">
        <x:v>DISPONÍVEL</x:v>
      </x:c>
      <x:c r="R2923" s="24"/>
      <x:c r="S2923" s="24" t="n">
        <x:v>49</x:v>
      </x:c>
      <x:c r="T2923" s="24" t="str">
        <x:v>tabela_zeiss.pdf</x:v>
      </x:c>
      <x:c r="U2923" s="24" t="str">
        <x:v>ZEISS|Ocupacional|Surfaçada|OfficeLens Superb Room/Near||1.67|1.67|DURAVISION® ANTIVÍRUS PLATINUM UV|-8.00 a +8.00|-6.00|0.75 a 3.50|70|||49</x:v>
      </x:c>
    </x:row>
    <x:row r="2924">
      <x:c r="A2924" s="24" t="str">
        <x:v>ZS-15F4F3B2C6B1</x:v>
      </x:c>
      <x:c r="B2924" s="24" t="str">
        <x:v>ZEISS</x:v>
      </x:c>
      <x:c r="C2924" s="24" t="str">
        <x:v>Ocupacional</x:v>
      </x:c>
      <x:c r="D2924" s="24" t="str">
        <x:v>Surfaçada</x:v>
      </x:c>
      <x:c r="E2924" s="24" t="str">
        <x:v>OfficeLens Superb Room/Near</x:v>
      </x:c>
      <x:c r="F2924" s="24"/>
      <x:c r="G2924" s="24" t="str">
        <x:v>1.67</x:v>
      </x:c>
      <x:c r="H2924" s="24" t="str">
        <x:v>1.67</x:v>
      </x:c>
      <x:c r="I2924" s="24" t="str">
        <x:v>DuraVision Platinum UV</x:v>
      </x:c>
      <x:c r="J2924" s="40" t="n">
        <x:v>5450</x:v>
      </x:c>
      <x:c r="K2924" s="24" t="str">
        <x:v>-8.00 a +8.00</x:v>
      </x:c>
      <x:c r="L2924" s="24" t="str">
        <x:v>-6.00</x:v>
      </x:c>
      <x:c r="M2924" s="24" t="str">
        <x:v>0.75 a 3.50</x:v>
      </x:c>
      <x:c r="N2924" s="24" t="str">
        <x:v>70</x:v>
      </x:c>
      <x:c r="O2924" s="24"/>
      <x:c r="P2924" s="24"/>
      <x:c r="Q2924" s="24" t="str">
        <x:v>DISPONÍVEL</x:v>
      </x:c>
      <x:c r="R2924" s="24"/>
      <x:c r="S2924" s="24" t="n">
        <x:v>49</x:v>
      </x:c>
      <x:c r="T2924" s="24" t="str">
        <x:v>tabela_zeiss.pdf</x:v>
      </x:c>
      <x:c r="U2924" s="24" t="str">
        <x:v>ZEISS|Ocupacional|Surfaçada|OfficeLens Superb Room/Near||1.67|1.67|DuraVision Platinum UV|-8.00 a +8.00|-6.00|0.75 a 3.50|70|||49</x:v>
      </x:c>
    </x:row>
    <x:row r="2925">
      <x:c r="A2925" s="24" t="str">
        <x:v>ZS-247B1AB7083C</x:v>
      </x:c>
      <x:c r="B2925" s="24" t="str">
        <x:v>ZEISS</x:v>
      </x:c>
      <x:c r="C2925" s="24" t="str">
        <x:v>Ocupacional</x:v>
      </x:c>
      <x:c r="D2925" s="24" t="str">
        <x:v>Surfaçada</x:v>
      </x:c>
      <x:c r="E2925" s="24" t="str">
        <x:v>OfficeLens Superb Room/Near</x:v>
      </x:c>
      <x:c r="F2925" s="24"/>
      <x:c r="G2925" s="24" t="str">
        <x:v>1.67</x:v>
      </x:c>
      <x:c r="H2925" s="24" t="str">
        <x:v>1.67</x:v>
      </x:c>
      <x:c r="I2925" s="24" t="str">
        <x:v>DuraVision Silver UV</x:v>
      </x:c>
      <x:c r="J2925" s="40" t="n">
        <x:v>5190</x:v>
      </x:c>
      <x:c r="K2925" s="24" t="str">
        <x:v>-8.00 a +8.00</x:v>
      </x:c>
      <x:c r="L2925" s="24" t="str">
        <x:v>-6.00</x:v>
      </x:c>
      <x:c r="M2925" s="24" t="str">
        <x:v>0.75 a 3.50</x:v>
      </x:c>
      <x:c r="N2925" s="24" t="str">
        <x:v>70</x:v>
      </x:c>
      <x:c r="O2925" s="24"/>
      <x:c r="P2925" s="24"/>
      <x:c r="Q2925" s="24" t="str">
        <x:v>DISPONÍVEL</x:v>
      </x:c>
      <x:c r="R2925" s="24"/>
      <x:c r="S2925" s="24" t="n">
        <x:v>49</x:v>
      </x:c>
      <x:c r="T2925" s="24" t="str">
        <x:v>tabela_zeiss.pdf</x:v>
      </x:c>
      <x:c r="U2925" s="24" t="str">
        <x:v>ZEISS|Ocupacional|Surfaçada|OfficeLens Superb Room/Near||1.67|1.67|DuraVision Silver UV|-8.00 a +8.00|-6.00|0.75 a 3.50|70|||49</x:v>
      </x:c>
    </x:row>
    <x:row r="2926">
      <x:c r="A2926" s="24" t="str">
        <x:v>ZS-D733E1E481B7</x:v>
      </x:c>
      <x:c r="B2926" s="24" t="str">
        <x:v>ZEISS</x:v>
      </x:c>
      <x:c r="C2926" s="24" t="str">
        <x:v>Ocupacional</x:v>
      </x:c>
      <x:c r="D2926" s="24" t="str">
        <x:v>Surfaçada</x:v>
      </x:c>
      <x:c r="E2926" s="24" t="str">
        <x:v>OfficeLens Superb Room/Near</x:v>
      </x:c>
      <x:c r="F2926" s="24"/>
      <x:c r="G2926" s="24" t="str">
        <x:v>1.67</x:v>
      </x:c>
      <x:c r="H2926" s="24" t="str">
        <x:v>1.67</x:v>
      </x:c>
      <x:c r="I2926" s="24" t="str">
        <x:v>DuraVision Chrome UV</x:v>
      </x:c>
      <x:c r="J2926" s="40" t="n">
        <x:v>4700</x:v>
      </x:c>
      <x:c r="K2926" s="24" t="str">
        <x:v>-8.00 a +8.00</x:v>
      </x:c>
      <x:c r="L2926" s="24" t="str">
        <x:v>-6.00</x:v>
      </x:c>
      <x:c r="M2926" s="24" t="str">
        <x:v>0.75 a 3.50</x:v>
      </x:c>
      <x:c r="N2926" s="24" t="str">
        <x:v>70</x:v>
      </x:c>
      <x:c r="O2926" s="24"/>
      <x:c r="P2926" s="24"/>
      <x:c r="Q2926" s="24" t="str">
        <x:v>DISPONÍVEL</x:v>
      </x:c>
      <x:c r="R2926" s="24"/>
      <x:c r="S2926" s="24" t="n">
        <x:v>49</x:v>
      </x:c>
      <x:c r="T2926" s="24" t="str">
        <x:v>tabela_zeiss.pdf</x:v>
      </x:c>
      <x:c r="U2926" s="24" t="str">
        <x:v>ZEISS|Ocupacional|Surfaçada|OfficeLens Superb Room/Near||1.67|1.67|DuraVision Chrome UV|-8.00 a +8.00|-6.00|0.75 a 3.50|70|||49</x:v>
      </x:c>
    </x:row>
    <x:row r="2927">
      <x:c r="A2927" s="24" t="str">
        <x:v>ZS-FF88EBD8004A</x:v>
      </x:c>
      <x:c r="B2927" s="24" t="str">
        <x:v>ZEISS</x:v>
      </x:c>
      <x:c r="C2927" s="24" t="str">
        <x:v>Ocupacional</x:v>
      </x:c>
      <x:c r="D2927" s="24" t="str">
        <x:v>Surfaçada</x:v>
      </x:c>
      <x:c r="E2927" s="24" t="str">
        <x:v>OfficeLens Superb Room/Near</x:v>
      </x:c>
      <x:c r="F2927" s="24"/>
      <x:c r="G2927" s="24" t="str">
        <x:v>1.74</x:v>
      </x:c>
      <x:c r="H2927" s="24" t="str">
        <x:v>1.74</x:v>
      </x:c>
      <x:c r="I2927" s="24" t="str">
        <x:v>DuraVision Gold UV</x:v>
      </x:c>
      <x:c r="J2927" s="40" t="n">
        <x:v>7190</x:v>
      </x:c>
      <x:c r="K2927" s="24" t="str">
        <x:v>-10.00 a +7.00</x:v>
      </x:c>
      <x:c r="L2927" s="24" t="str">
        <x:v>-4.00</x:v>
      </x:c>
      <x:c r="M2927" s="24" t="str">
        <x:v>0.75 a 3.50</x:v>
      </x:c>
      <x:c r="N2927" s="24" t="str">
        <x:v>70 a 75</x:v>
      </x:c>
      <x:c r="O2927" s="24"/>
      <x:c r="P2927" s="24"/>
      <x:c r="Q2927" s="24" t="str">
        <x:v>DISPONÍVEL</x:v>
      </x:c>
      <x:c r="R2927" s="24"/>
      <x:c r="S2927" s="24" t="n">
        <x:v>49</x:v>
      </x:c>
      <x:c r="T2927" s="24" t="str">
        <x:v>tabela_zeiss.pdf</x:v>
      </x:c>
      <x:c r="U2927" s="24" t="str">
        <x:v>ZEISS|Ocupacional|Surfaçada|OfficeLens Superb Room/Near||1.74|1.74|DuraVision Gold UV|-10.00 a +7.00|-4.00|0.75 a 3.50|70 a 75|||49</x:v>
      </x:c>
    </x:row>
    <x:row r="2928">
      <x:c r="A2928" s="24" t="str">
        <x:v>ZS-5175B387F7B0</x:v>
      </x:c>
      <x:c r="B2928" s="24" t="str">
        <x:v>ZEISS</x:v>
      </x:c>
      <x:c r="C2928" s="24" t="str">
        <x:v>Ocupacional</x:v>
      </x:c>
      <x:c r="D2928" s="24" t="str">
        <x:v>Surfaçada</x:v>
      </x:c>
      <x:c r="E2928" s="24" t="str">
        <x:v>OfficeLens Superb Room/Near</x:v>
      </x:c>
      <x:c r="F2928" s="24"/>
      <x:c r="G2928" s="24" t="str">
        <x:v>1.74</x:v>
      </x:c>
      <x:c r="H2928" s="24" t="str">
        <x:v>1.74</x:v>
      </x:c>
      <x:c r="I2928" s="24" t="str">
        <x:v>DuraVision Platinum UV</x:v>
      </x:c>
      <x:c r="J2928" s="40" t="n">
        <x:v>7050</x:v>
      </x:c>
      <x:c r="K2928" s="24" t="str">
        <x:v>-10.00 a +7.00</x:v>
      </x:c>
      <x:c r="L2928" s="24" t="str">
        <x:v>-4.00</x:v>
      </x:c>
      <x:c r="M2928" s="24" t="str">
        <x:v>0.75 a 3.50</x:v>
      </x:c>
      <x:c r="N2928" s="24" t="str">
        <x:v>70 a 75</x:v>
      </x:c>
      <x:c r="O2928" s="24"/>
      <x:c r="P2928" s="24"/>
      <x:c r="Q2928" s="24" t="str">
        <x:v>DISPONÍVEL</x:v>
      </x:c>
      <x:c r="R2928" s="24"/>
      <x:c r="S2928" s="24" t="n">
        <x:v>49</x:v>
      </x:c>
      <x:c r="T2928" s="24" t="str">
        <x:v>tabela_zeiss.pdf</x:v>
      </x:c>
      <x:c r="U2928" s="24" t="str">
        <x:v>ZEISS|Ocupacional|Surfaçada|OfficeLens Superb Room/Near||1.74|1.74|DuraVision Platinum UV|-10.00 a +7.00|-4.00|0.75 a 3.50|70 a 75|||49</x:v>
      </x:c>
    </x:row>
    <x:row r="2929">
      <x:c r="A2929" s="24" t="str">
        <x:v>ZS-BEF0E51FE647</x:v>
      </x:c>
      <x:c r="B2929" s="24" t="str">
        <x:v>ZEISS</x:v>
      </x:c>
      <x:c r="C2929" s="24" t="str">
        <x:v>Ocupacional</x:v>
      </x:c>
      <x:c r="D2929" s="24" t="str">
        <x:v>Surfaçada</x:v>
      </x:c>
      <x:c r="E2929" s="24" t="str">
        <x:v>OfficeLens Superb Room/Near</x:v>
      </x:c>
      <x:c r="F2929" s="24"/>
      <x:c r="G2929" s="24" t="str">
        <x:v>1.74</x:v>
      </x:c>
      <x:c r="H2929" s="24" t="str">
        <x:v>1.74</x:v>
      </x:c>
      <x:c r="I2929" s="24" t="str">
        <x:v>DuraVision Silver UV</x:v>
      </x:c>
      <x:c r="J2929" s="40" t="n">
        <x:v>6790</x:v>
      </x:c>
      <x:c r="K2929" s="24" t="str">
        <x:v>-10.00 a +7.00</x:v>
      </x:c>
      <x:c r="L2929" s="24" t="str">
        <x:v>-4.00</x:v>
      </x:c>
      <x:c r="M2929" s="24" t="str">
        <x:v>0.75 a 3.50</x:v>
      </x:c>
      <x:c r="N2929" s="24" t="str">
        <x:v>70 a 75</x:v>
      </x:c>
      <x:c r="O2929" s="24"/>
      <x:c r="P2929" s="24"/>
      <x:c r="Q2929" s="24" t="str">
        <x:v>DISPONÍVEL</x:v>
      </x:c>
      <x:c r="R2929" s="24"/>
      <x:c r="S2929" s="24" t="n">
        <x:v>49</x:v>
      </x:c>
      <x:c r="T2929" s="24" t="str">
        <x:v>tabela_zeiss.pdf</x:v>
      </x:c>
      <x:c r="U2929" s="24" t="str">
        <x:v>ZEISS|Ocupacional|Surfaçada|OfficeLens Superb Room/Near||1.74|1.74|DuraVision Silver UV|-10.00 a +7.00|-4.00|0.75 a 3.50|70 a 75|||49</x:v>
      </x:c>
    </x:row>
    <x:row r="2930">
      <x:c r="A2930" s="24" t="str">
        <x:v>ZS-A2DE5CE2B163</x:v>
      </x:c>
      <x:c r="B2930" s="24" t="str">
        <x:v>ZEISS</x:v>
      </x:c>
      <x:c r="C2930" s="24" t="str">
        <x:v>Ocupacional</x:v>
      </x:c>
      <x:c r="D2930" s="24" t="str">
        <x:v>Surfaçada</x:v>
      </x:c>
      <x:c r="E2930" s="24" t="str">
        <x:v>OfficeLens Superb Room/Near</x:v>
      </x:c>
      <x:c r="F2930" s="24"/>
      <x:c r="G2930" s="24" t="str">
        <x:v>1.74</x:v>
      </x:c>
      <x:c r="H2930" s="24" t="str">
        <x:v>1.74</x:v>
      </x:c>
      <x:c r="I2930" s="24" t="str">
        <x:v>DuraVision Chrome UV</x:v>
      </x:c>
      <x:c r="J2930" s="40" t="n">
        <x:v>6300</x:v>
      </x:c>
      <x:c r="K2930" s="24" t="str">
        <x:v>-10.00 a +7.00</x:v>
      </x:c>
      <x:c r="L2930" s="24" t="str">
        <x:v>-4.00</x:v>
      </x:c>
      <x:c r="M2930" s="24" t="str">
        <x:v>0.75 a 3.50</x:v>
      </x:c>
      <x:c r="N2930" s="24" t="str">
        <x:v>70 a 75</x:v>
      </x:c>
      <x:c r="O2930" s="24"/>
      <x:c r="P2930" s="24"/>
      <x:c r="Q2930" s="24" t="str">
        <x:v>DISPONÍVEL</x:v>
      </x:c>
      <x:c r="R2930" s="24"/>
      <x:c r="S2930" s="24" t="n">
        <x:v>49</x:v>
      </x:c>
      <x:c r="T2930" s="24" t="str">
        <x:v>tabela_zeiss.pdf</x:v>
      </x:c>
      <x:c r="U2930" s="24" t="str">
        <x:v>ZEISS|Ocupacional|Surfaçada|OfficeLens Superb Room/Near||1.74|1.74|DuraVision Chrome UV|-10.00 a +7.00|-4.00|0.75 a 3.50|70 a 75|||49</x:v>
      </x:c>
    </x:row>
    <x:row r="2931">
      <x:c r="A2931" s="24" t="str">
        <x:v>ZS-007F9D8A263D</x:v>
      </x:c>
      <x:c r="B2931" s="24" t="str">
        <x:v>ZEISS</x:v>
      </x:c>
      <x:c r="C2931" s="24" t="str">
        <x:v>Progressiva Especial</x:v>
      </x:c>
      <x:c r="D2931" s="24" t="str">
        <x:v>Surfaçada</x:v>
      </x:c>
      <x:c r="E2931" s="24" t="str">
        <x:v>Individual DriveSafe</x:v>
      </x:c>
      <x:c r="F2931" s="24"/>
      <x:c r="G2931" s="24" t="str">
        <x:v>1.5</x:v>
      </x:c>
      <x:c r="H2931" s="24" t="str">
        <x:v>1.50</x:v>
      </x:c>
      <x:c r="I2931" s="24" t="str">
        <x:v>DURAVISION® DRIVESAFE</x:v>
      </x:c>
      <x:c r="J2931" s="40" t="n">
        <x:v>4990</x:v>
      </x:c>
      <x:c r="K2931" s="24" t="str">
        <x:v>-6.00 a +4.00</x:v>
      </x:c>
      <x:c r="L2931" s="24" t="str">
        <x:v>-4.00</x:v>
      </x:c>
      <x:c r="M2931" s="24" t="str">
        <x:v>0.75 a 3.50</x:v>
      </x:c>
      <x:c r="N2931" s="24" t="str">
        <x:v>75</x:v>
      </x:c>
      <x:c r="O2931" s="24"/>
      <x:c r="P2931" s="24"/>
      <x:c r="Q2931" s="24" t="str">
        <x:v>DISPONÍVEL</x:v>
      </x:c>
      <x:c r="R2931" s="24"/>
      <x:c r="S2931" s="24" t="n">
        <x:v>50</x:v>
      </x:c>
      <x:c r="T2931" s="24" t="str">
        <x:v>tabela_zeiss.pdf</x:v>
      </x:c>
      <x:c r="U2931" s="24" t="str">
        <x:v>ZEISS|Progressiva Especial|Surfaçada|Individual DriveSafe||1.5|1.50|DURAVISION® DRIVESAFE|-6.00 a +4.00|-4.00|0.75 a 3.50|75|||50</x:v>
      </x:c>
    </x:row>
    <x:row r="2932">
      <x:c r="A2932" s="24" t="str">
        <x:v>ZS-A194CFE46EB1</x:v>
      </x:c>
      <x:c r="B2932" s="24" t="str">
        <x:v>ZEISS</x:v>
      </x:c>
      <x:c r="C2932" s="24" t="str">
        <x:v>Progressiva Especial</x:v>
      </x:c>
      <x:c r="D2932" s="24" t="str">
        <x:v>Surfaçada</x:v>
      </x:c>
      <x:c r="E2932" s="24" t="str">
        <x:v>Individual DriveSafe</x:v>
      </x:c>
      <x:c r="F2932" s="24"/>
      <x:c r="G2932" s="24" t="str">
        <x:v>Poli</x:v>
      </x:c>
      <x:c r="H2932" s="24"/>
      <x:c r="I2932" s="24" t="str">
        <x:v>DURAVISION® DRIVESAFE</x:v>
      </x:c>
      <x:c r="J2932" s="40" t="n">
        <x:v>5350</x:v>
      </x:c>
      <x:c r="K2932" s="24" t="str">
        <x:v>-10.00 a +6.00</x:v>
      </x:c>
      <x:c r="L2932" s="24" t="str">
        <x:v>-6.00</x:v>
      </x:c>
      <x:c r="M2932" s="24" t="str">
        <x:v>0.75 a 3.00</x:v>
      </x:c>
      <x:c r="N2932" s="24" t="str">
        <x:v>70</x:v>
      </x:c>
      <x:c r="O2932" s="24"/>
      <x:c r="P2932" s="24"/>
      <x:c r="Q2932" s="24" t="str">
        <x:v>DISPONÍVEL</x:v>
      </x:c>
      <x:c r="R2932" s="24"/>
      <x:c r="S2932" s="24" t="n">
        <x:v>50</x:v>
      </x:c>
      <x:c r="T2932" s="24" t="str">
        <x:v>tabela_zeiss.pdf</x:v>
      </x:c>
      <x:c r="U2932" s="24" t="str">
        <x:v>ZEISS|Progressiva Especial|Surfaçada|Individual DriveSafe||Poli||DURAVISION® DRIVESAFE|-10.00 a +6.00|-6.00|0.75 a 3.00|70|||50</x:v>
      </x:c>
    </x:row>
    <x:row r="2933">
      <x:c r="A2933" s="24" t="str">
        <x:v>ZS-29281E8AA372</x:v>
      </x:c>
      <x:c r="B2933" s="24" t="str">
        <x:v>ZEISS</x:v>
      </x:c>
      <x:c r="C2933" s="24" t="str">
        <x:v>Progressiva Especial</x:v>
      </x:c>
      <x:c r="D2933" s="24" t="str">
        <x:v>Surfaçada</x:v>
      </x:c>
      <x:c r="E2933" s="24" t="str">
        <x:v>Individual DriveSafe</x:v>
      </x:c>
      <x:c r="F2933" s="24"/>
      <x:c r="G2933" s="24" t="str">
        <x:v>1.6</x:v>
      </x:c>
      <x:c r="H2933" s="24" t="str">
        <x:v>1.60</x:v>
      </x:c>
      <x:c r="I2933" s="24" t="str">
        <x:v>DURAVISION® DRIVESAFE</x:v>
      </x:c>
      <x:c r="J2933" s="40" t="n">
        <x:v>5570</x:v>
      </x:c>
      <x:c r="K2933" s="24" t="str">
        <x:v>-7.25 a +6.00</x:v>
      </x:c>
      <x:c r="L2933" s="24" t="str">
        <x:v>-6.00</x:v>
      </x:c>
      <x:c r="M2933" s="24" t="str">
        <x:v>0.75 a 3.50</x:v>
      </x:c>
      <x:c r="N2933" s="24" t="str">
        <x:v>75</x:v>
      </x:c>
      <x:c r="O2933" s="24"/>
      <x:c r="P2933" s="24"/>
      <x:c r="Q2933" s="24" t="str">
        <x:v>DISPONÍVEL</x:v>
      </x:c>
      <x:c r="R2933" s="24"/>
      <x:c r="S2933" s="24" t="n">
        <x:v>50</x:v>
      </x:c>
      <x:c r="T2933" s="24" t="str">
        <x:v>tabela_zeiss.pdf</x:v>
      </x:c>
      <x:c r="U2933" s="24" t="str">
        <x:v>ZEISS|Progressiva Especial|Surfaçada|Individual DriveSafe||1.6|1.60|DURAVISION® DRIVESAFE|-7.25 a +6.00|-6.00|0.75 a 3.50|75|||50</x:v>
      </x:c>
    </x:row>
    <x:row r="2934">
      <x:c r="A2934" s="24" t="str">
        <x:v>ZS-630AACA5CFDD</x:v>
      </x:c>
      <x:c r="B2934" s="24" t="str">
        <x:v>ZEISS</x:v>
      </x:c>
      <x:c r="C2934" s="24" t="str">
        <x:v>Progressiva Especial</x:v>
      </x:c>
      <x:c r="D2934" s="24" t="str">
        <x:v>Surfaçada</x:v>
      </x:c>
      <x:c r="E2934" s="24" t="str">
        <x:v>Individual DriveSafe</x:v>
      </x:c>
      <x:c r="F2934" s="24"/>
      <x:c r="G2934" s="24" t="str">
        <x:v>1.67</x:v>
      </x:c>
      <x:c r="H2934" s="24" t="str">
        <x:v>1.67</x:v>
      </x:c>
      <x:c r="I2934" s="24" t="str">
        <x:v>DURAVISION® DRIVESAFE</x:v>
      </x:c>
      <x:c r="J2934" s="40" t="n">
        <x:v>6870</x:v>
      </x:c>
      <x:c r="K2934" s="24" t="str">
        <x:v>-8.00 a +8.00</x:v>
      </x:c>
      <x:c r="L2934" s="24" t="str">
        <x:v>-6.00</x:v>
      </x:c>
      <x:c r="M2934" s="24" t="str">
        <x:v>0.75 a 3.50</x:v>
      </x:c>
      <x:c r="N2934" s="24" t="str">
        <x:v>70</x:v>
      </x:c>
      <x:c r="O2934" s="24"/>
      <x:c r="P2934" s="24"/>
      <x:c r="Q2934" s="24" t="str">
        <x:v>DISPONÍVEL</x:v>
      </x:c>
      <x:c r="R2934" s="24"/>
      <x:c r="S2934" s="24" t="n">
        <x:v>50</x:v>
      </x:c>
      <x:c r="T2934" s="24" t="str">
        <x:v>tabela_zeiss.pdf</x:v>
      </x:c>
      <x:c r="U2934" s="24" t="str">
        <x:v>ZEISS|Progressiva Especial|Surfaçada|Individual DriveSafe||1.67|1.67|DURAVISION® DRIVESAFE|-8.00 a +8.00|-6.00|0.75 a 3.50|70|||50</x:v>
      </x:c>
    </x:row>
    <x:row r="2935">
      <x:c r="A2935" s="24" t="str">
        <x:v>ZS-6C7A00E0F3F5</x:v>
      </x:c>
      <x:c r="B2935" s="24" t="str">
        <x:v>ZEISS</x:v>
      </x:c>
      <x:c r="C2935" s="24" t="str">
        <x:v>Progressiva Especial</x:v>
      </x:c>
      <x:c r="D2935" s="24" t="str">
        <x:v>Surfaçada</x:v>
      </x:c>
      <x:c r="E2935" s="24" t="str">
        <x:v>Individual DriveSafe</x:v>
      </x:c>
      <x:c r="F2935" s="24"/>
      <x:c r="G2935" s="24" t="str">
        <x:v>1.74</x:v>
      </x:c>
      <x:c r="H2935" s="24" t="str">
        <x:v>1.74</x:v>
      </x:c>
      <x:c r="I2935" s="24" t="str">
        <x:v>DURAVISION® DRIVESAFE</x:v>
      </x:c>
      <x:c r="J2935" s="40" t="n">
        <x:v>7180</x:v>
      </x:c>
      <x:c r="K2935" s="24" t="str">
        <x:v>-10.00 a +7.00</x:v>
      </x:c>
      <x:c r="L2935" s="24" t="str">
        <x:v>-4.00</x:v>
      </x:c>
      <x:c r="M2935" s="24" t="str">
        <x:v>0.75 a 3.50</x:v>
      </x:c>
      <x:c r="N2935" s="24" t="str">
        <x:v>70 a 75</x:v>
      </x:c>
      <x:c r="O2935" s="24"/>
      <x:c r="P2935" s="24"/>
      <x:c r="Q2935" s="24" t="str">
        <x:v>DISPONÍVEL</x:v>
      </x:c>
      <x:c r="R2935" s="24"/>
      <x:c r="S2935" s="24" t="n">
        <x:v>50</x:v>
      </x:c>
      <x:c r="T2935" s="24" t="str">
        <x:v>tabela_zeiss.pdf</x:v>
      </x:c>
      <x:c r="U2935" s="24" t="str">
        <x:v>ZEISS|Progressiva Especial|Surfaçada|Individual DriveSafe||1.74|1.74|DURAVISION® DRIVESAFE|-10.00 a +7.00|-4.00|0.75 a 3.50|70 a 75|||50</x:v>
      </x:c>
    </x:row>
    <x:row r="2936">
      <x:c r="A2936" s="24" t="str">
        <x:v>ZS-1B7A90E13A28</x:v>
      </x:c>
      <x:c r="B2936" s="24" t="str">
        <x:v>ZEISS</x:v>
      </x:c>
      <x:c r="C2936" s="24" t="str">
        <x:v>Progressiva Especial</x:v>
      </x:c>
      <x:c r="D2936" s="24" t="str">
        <x:v>Surfaçada</x:v>
      </x:c>
      <x:c r="E2936" s="24" t="str">
        <x:v>Individual DriveSafe</x:v>
      </x:c>
      <x:c r="F2936" s="24" t="str">
        <x:v>PhotoFusion X</x:v>
      </x:c>
      <x:c r="G2936" s="24" t="str">
        <x:v>1.5</x:v>
      </x:c>
      <x:c r="H2936" s="24" t="str">
        <x:v>1.50</x:v>
      </x:c>
      <x:c r="I2936" s="24" t="str">
        <x:v>DURAVISION® DRIVESAFE</x:v>
      </x:c>
      <x:c r="J2936" s="40" t="n">
        <x:v>6410</x:v>
      </x:c>
      <x:c r="K2936" s="24" t="str">
        <x:v>-6.00 a +5.50</x:v>
      </x:c>
      <x:c r="L2936" s="24" t="str">
        <x:v>-4.00</x:v>
      </x:c>
      <x:c r="M2936" s="24" t="str">
        <x:v>0.75 a 3.00</x:v>
      </x:c>
      <x:c r="N2936" s="24" t="str">
        <x:v>75</x:v>
      </x:c>
      <x:c r="O2936" s="24"/>
      <x:c r="P2936" s="24"/>
      <x:c r="Q2936" s="24" t="str">
        <x:v>DISPONÍVEL</x:v>
      </x:c>
      <x:c r="R2936" s="24" t="str">
        <x:v>Programa de Parcerias ZEISS</x:v>
      </x:c>
      <x:c r="S2936" s="24" t="n">
        <x:v>50</x:v>
      </x:c>
      <x:c r="T2936" s="24" t="str">
        <x:v>tabela_zeiss.pdf</x:v>
      </x:c>
      <x:c r="U2936" s="24" t="str">
        <x:v>ZEISS|Progressiva Especial|Surfaçada|Individual DriveSafe|PhotoFusion X|1.5|1.50|DURAVISION® DRIVESAFE|-6.00 a +5.50|-4.00|0.75 a 3.00|75|||50</x:v>
      </x:c>
    </x:row>
    <x:row r="2937">
      <x:c r="A2937" s="24" t="str">
        <x:v>ZS-FD5F86C198BC</x:v>
      </x:c>
      <x:c r="B2937" s="24" t="str">
        <x:v>ZEISS</x:v>
      </x:c>
      <x:c r="C2937" s="24" t="str">
        <x:v>Progressiva Especial</x:v>
      </x:c>
      <x:c r="D2937" s="24" t="str">
        <x:v>Surfaçada</x:v>
      </x:c>
      <x:c r="E2937" s="24" t="str">
        <x:v>Individual DriveSafe</x:v>
      </x:c>
      <x:c r="F2937" s="24" t="str">
        <x:v>PhotoFusion X</x:v>
      </x:c>
      <x:c r="G2937" s="24" t="str">
        <x:v>Poli</x:v>
      </x:c>
      <x:c r="H2937" s="24"/>
      <x:c r="I2937" s="24" t="str">
        <x:v>DURAVISION® DRIVESAFE</x:v>
      </x:c>
      <x:c r="J2937" s="40" t="n">
        <x:v>6770</x:v>
      </x:c>
      <x:c r="K2937" s="24" t="str">
        <x:v>-10.00 a +6.00</x:v>
      </x:c>
      <x:c r="L2937" s="24" t="str">
        <x:v>-6.00</x:v>
      </x:c>
      <x:c r="M2937" s="24" t="str">
        <x:v>0.75 a 3.00</x:v>
      </x:c>
      <x:c r="N2937" s="24" t="str">
        <x:v>70</x:v>
      </x:c>
      <x:c r="O2937" s="24"/>
      <x:c r="P2937" s="24"/>
      <x:c r="Q2937" s="24" t="str">
        <x:v>DISPONÍVEL</x:v>
      </x:c>
      <x:c r="R2937" s="24" t="str">
        <x:v>Programa de Parcerias ZEISS</x:v>
      </x:c>
      <x:c r="S2937" s="24" t="n">
        <x:v>50</x:v>
      </x:c>
      <x:c r="T2937" s="24" t="str">
        <x:v>tabela_zeiss.pdf</x:v>
      </x:c>
      <x:c r="U2937" s="24" t="str">
        <x:v>ZEISS|Progressiva Especial|Surfaçada|Individual DriveSafe|PhotoFusion X|Poli||DURAVISION® DRIVESAFE|-10.00 a +6.00|-6.00|0.75 a 3.00|70|||50</x:v>
      </x:c>
    </x:row>
    <x:row r="2938">
      <x:c r="A2938" s="24" t="str">
        <x:v>ZS-BA8CDA368A1C</x:v>
      </x:c>
      <x:c r="B2938" s="24" t="str">
        <x:v>ZEISS</x:v>
      </x:c>
      <x:c r="C2938" s="24" t="str">
        <x:v>Progressiva Especial</x:v>
      </x:c>
      <x:c r="D2938" s="24" t="str">
        <x:v>Surfaçada</x:v>
      </x:c>
      <x:c r="E2938" s="24" t="str">
        <x:v>Individual DriveSafe</x:v>
      </x:c>
      <x:c r="F2938" s="24" t="str">
        <x:v>PhotoFusion X</x:v>
      </x:c>
      <x:c r="G2938" s="24" t="str">
        <x:v>1.6</x:v>
      </x:c>
      <x:c r="H2938" s="24" t="str">
        <x:v>1.60</x:v>
      </x:c>
      <x:c r="I2938" s="24" t="str">
        <x:v>DURAVISION® DRIVESAFE</x:v>
      </x:c>
      <x:c r="J2938" s="40" t="n">
        <x:v>6990</x:v>
      </x:c>
      <x:c r="K2938" s="24" t="str">
        <x:v>-7.25 a +6.00</x:v>
      </x:c>
      <x:c r="L2938" s="24" t="str">
        <x:v>-6.00</x:v>
      </x:c>
      <x:c r="M2938" s="24" t="str">
        <x:v>0.75 a 3.50</x:v>
      </x:c>
      <x:c r="N2938" s="24" t="str">
        <x:v>75</x:v>
      </x:c>
      <x:c r="O2938" s="24"/>
      <x:c r="P2938" s="24"/>
      <x:c r="Q2938" s="24" t="str">
        <x:v>DISPONÍVEL</x:v>
      </x:c>
      <x:c r="R2938" s="24" t="str">
        <x:v>Programa de Parcerias ZEISS</x:v>
      </x:c>
      <x:c r="S2938" s="24" t="n">
        <x:v>50</x:v>
      </x:c>
      <x:c r="T2938" s="24" t="str">
        <x:v>tabela_zeiss.pdf</x:v>
      </x:c>
      <x:c r="U2938" s="24" t="str">
        <x:v>ZEISS|Progressiva Especial|Surfaçada|Individual DriveSafe|PhotoFusion X|1.6|1.60|DURAVISION® DRIVESAFE|-7.25 a +6.00|-6.00|0.75 a 3.50|75|||50</x:v>
      </x:c>
    </x:row>
    <x:row r="2939">
      <x:c r="A2939" s="24" t="str">
        <x:v>ZS-8CA077E41201</x:v>
      </x:c>
      <x:c r="B2939" s="24" t="str">
        <x:v>ZEISS</x:v>
      </x:c>
      <x:c r="C2939" s="24" t="str">
        <x:v>Progressiva Especial</x:v>
      </x:c>
      <x:c r="D2939" s="24" t="str">
        <x:v>Surfaçada</x:v>
      </x:c>
      <x:c r="E2939" s="24" t="str">
        <x:v>Individual DriveSafe</x:v>
      </x:c>
      <x:c r="F2939" s="24" t="str">
        <x:v>PhotoFusion X</x:v>
      </x:c>
      <x:c r="G2939" s="24" t="str">
        <x:v>1.67</x:v>
      </x:c>
      <x:c r="H2939" s="24" t="str">
        <x:v>1.67</x:v>
      </x:c>
      <x:c r="I2939" s="24" t="str">
        <x:v>DURAVISION® DRIVESAFE</x:v>
      </x:c>
      <x:c r="J2939" s="40" t="n">
        <x:v>8290</x:v>
      </x:c>
      <x:c r="K2939" s="24" t="str">
        <x:v>-8.00 a +8.00</x:v>
      </x:c>
      <x:c r="L2939" s="24" t="str">
        <x:v>-6.00</x:v>
      </x:c>
      <x:c r="M2939" s="24" t="str">
        <x:v>0.75 a 3.50</x:v>
      </x:c>
      <x:c r="N2939" s="24" t="str">
        <x:v>70</x:v>
      </x:c>
      <x:c r="O2939" s="24"/>
      <x:c r="P2939" s="24"/>
      <x:c r="Q2939" s="24" t="str">
        <x:v>DISPONÍVEL</x:v>
      </x:c>
      <x:c r="R2939" s="24" t="str">
        <x:v>Programa de Parcerias ZEISS</x:v>
      </x:c>
      <x:c r="S2939" s="24" t="n">
        <x:v>50</x:v>
      </x:c>
      <x:c r="T2939" s="24" t="str">
        <x:v>tabela_zeiss.pdf</x:v>
      </x:c>
      <x:c r="U2939" s="24" t="str">
        <x:v>ZEISS|Progressiva Especial|Surfaçada|Individual DriveSafe|PhotoFusion X|1.67|1.67|DURAVISION® DRIVESAFE|-8.00 a +8.00|-6.00|0.75 a 3.50|70|||50</x:v>
      </x:c>
    </x:row>
    <x:row r="2940">
      <x:c r="A2940" s="24" t="str">
        <x:v>ZS-66CFE896E37D</x:v>
      </x:c>
      <x:c r="B2940" s="24" t="str">
        <x:v>ZEISS</x:v>
      </x:c>
      <x:c r="C2940" s="24" t="str">
        <x:v>Progressiva Especial</x:v>
      </x:c>
      <x:c r="D2940" s="24" t="str">
        <x:v>Surfaçada</x:v>
      </x:c>
      <x:c r="E2940" s="24" t="str">
        <x:v>Individual DriveSafe</x:v>
      </x:c>
      <x:c r="F2940" s="24" t="str">
        <x:v>PhotoFusion X Extra Dark Cinza</x:v>
      </x:c>
      <x:c r="G2940" s="24" t="str">
        <x:v>1.5</x:v>
      </x:c>
      <x:c r="H2940" s="24" t="str">
        <x:v>1.50</x:v>
      </x:c>
      <x:c r="I2940" s="24" t="str">
        <x:v>DURAVISION® DRIVESAFE</x:v>
      </x:c>
      <x:c r="J2940" s="40" t="n">
        <x:v>6460</x:v>
      </x:c>
      <x:c r="K2940" s="24" t="str">
        <x:v>-6.00 a +5.50</x:v>
      </x:c>
      <x:c r="L2940" s="24" t="str">
        <x:v>-4.00</x:v>
      </x:c>
      <x:c r="M2940" s="24" t="str">
        <x:v>0.75 a 3.00</x:v>
      </x:c>
      <x:c r="N2940" s="24" t="str">
        <x:v>75</x:v>
      </x:c>
      <x:c r="O2940" s="24"/>
      <x:c r="P2940" s="24"/>
      <x:c r="Q2940" s="24" t="str">
        <x:v>DISPONÍVEL</x:v>
      </x:c>
      <x:c r="R2940" s="24" t="str">
        <x:v>Programa de Parcerias ZEISS</x:v>
      </x:c>
      <x:c r="S2940" s="24" t="n">
        <x:v>50</x:v>
      </x:c>
      <x:c r="T2940" s="24" t="str">
        <x:v>tabela_zeiss.pdf</x:v>
      </x:c>
      <x:c r="U2940" s="24" t="str">
        <x:v>ZEISS|Progressiva Especial|Surfaçada|Individual DriveSafe|PhotoFusion X Extra Dark Cinza|1.5|1.50|DURAVISION® DRIVESAFE|-6.00 a +5.50|-4.00|0.75 a 3.00|75|||50</x:v>
      </x:c>
    </x:row>
    <x:row r="2941">
      <x:c r="A2941" s="24" t="str">
        <x:v>ZS-09B0D0F431C4</x:v>
      </x:c>
      <x:c r="B2941" s="24" t="str">
        <x:v>ZEISS</x:v>
      </x:c>
      <x:c r="C2941" s="24" t="str">
        <x:v>Progressiva Especial</x:v>
      </x:c>
      <x:c r="D2941" s="24" t="str">
        <x:v>Surfaçada</x:v>
      </x:c>
      <x:c r="E2941" s="24" t="str">
        <x:v>Individual DriveSafe</x:v>
      </x:c>
      <x:c r="F2941" s="24" t="str">
        <x:v>PhotoFusion X Extra Dark Cinza</x:v>
      </x:c>
      <x:c r="G2941" s="24" t="str">
        <x:v>Poli</x:v>
      </x:c>
      <x:c r="H2941" s="24"/>
      <x:c r="I2941" s="24" t="str">
        <x:v>DURAVISION® DRIVESAFE</x:v>
      </x:c>
      <x:c r="J2941" s="40" t="n">
        <x:v>6820</x:v>
      </x:c>
      <x:c r="K2941" s="24" t="str">
        <x:v>-10.00 a +6.00</x:v>
      </x:c>
      <x:c r="L2941" s="24" t="str">
        <x:v>-6.00</x:v>
      </x:c>
      <x:c r="M2941" s="24" t="str">
        <x:v>0.75 a 3.00</x:v>
      </x:c>
      <x:c r="N2941" s="24" t="str">
        <x:v>70</x:v>
      </x:c>
      <x:c r="O2941" s="24"/>
      <x:c r="P2941" s="24"/>
      <x:c r="Q2941" s="24" t="str">
        <x:v>DISPONÍVEL</x:v>
      </x:c>
      <x:c r="R2941" s="24" t="str">
        <x:v>Programa de Parcerias ZEISS</x:v>
      </x:c>
      <x:c r="S2941" s="24" t="n">
        <x:v>50</x:v>
      </x:c>
      <x:c r="T2941" s="24" t="str">
        <x:v>tabela_zeiss.pdf</x:v>
      </x:c>
      <x:c r="U2941" s="24" t="str">
        <x:v>ZEISS|Progressiva Especial|Surfaçada|Individual DriveSafe|PhotoFusion X Extra Dark Cinza|Poli||DURAVISION® DRIVESAFE|-10.00 a +6.00|-6.00|0.75 a 3.00|70|||50</x:v>
      </x:c>
    </x:row>
    <x:row r="2942">
      <x:c r="A2942" s="24" t="str">
        <x:v>ZS-0DABA7EF6BA3</x:v>
      </x:c>
      <x:c r="B2942" s="24" t="str">
        <x:v>ZEISS</x:v>
      </x:c>
      <x:c r="C2942" s="24" t="str">
        <x:v>Progressiva Especial</x:v>
      </x:c>
      <x:c r="D2942" s="24" t="str">
        <x:v>Surfaçada</x:v>
      </x:c>
      <x:c r="E2942" s="24" t="str">
        <x:v>Individual DriveSafe</x:v>
      </x:c>
      <x:c r="F2942" s="24" t="str">
        <x:v>PhotoFusion X Extra Dark Cinza</x:v>
      </x:c>
      <x:c r="G2942" s="24" t="str">
        <x:v>1.6</x:v>
      </x:c>
      <x:c r="H2942" s="24" t="str">
        <x:v>1.60</x:v>
      </x:c>
      <x:c r="I2942" s="24" t="str">
        <x:v>DURAVISION® DRIVESAFE</x:v>
      </x:c>
      <x:c r="J2942" s="40" t="n">
        <x:v>7040</x:v>
      </x:c>
      <x:c r="K2942" s="24" t="str">
        <x:v>-7.25 a +6.00</x:v>
      </x:c>
      <x:c r="L2942" s="24" t="str">
        <x:v>-6.00</x:v>
      </x:c>
      <x:c r="M2942" s="24" t="str">
        <x:v>0.75 a 3.50</x:v>
      </x:c>
      <x:c r="N2942" s="24" t="str">
        <x:v>75</x:v>
      </x:c>
      <x:c r="O2942" s="24"/>
      <x:c r="P2942" s="24"/>
      <x:c r="Q2942" s="24" t="str">
        <x:v>DISPONÍVEL</x:v>
      </x:c>
      <x:c r="R2942" s="24" t="str">
        <x:v>Programa de Parcerias ZEISS</x:v>
      </x:c>
      <x:c r="S2942" s="24" t="n">
        <x:v>50</x:v>
      </x:c>
      <x:c r="T2942" s="24" t="str">
        <x:v>tabela_zeiss.pdf</x:v>
      </x:c>
      <x:c r="U2942" s="24" t="str">
        <x:v>ZEISS|Progressiva Especial|Surfaçada|Individual DriveSafe|PhotoFusion X Extra Dark Cinza|1.6|1.60|DURAVISION® DRIVESAFE|-7.25 a +6.00|-6.00|0.75 a 3.50|75|||50</x:v>
      </x:c>
    </x:row>
    <x:row r="2943">
      <x:c r="A2943" s="24" t="str">
        <x:v>ZS-80865E360B6C</x:v>
      </x:c>
      <x:c r="B2943" s="24" t="str">
        <x:v>ZEISS</x:v>
      </x:c>
      <x:c r="C2943" s="24" t="str">
        <x:v>Progressiva Especial</x:v>
      </x:c>
      <x:c r="D2943" s="24" t="str">
        <x:v>Surfaçada</x:v>
      </x:c>
      <x:c r="E2943" s="24" t="str">
        <x:v>Individual DriveSafe</x:v>
      </x:c>
      <x:c r="F2943" s="24" t="str">
        <x:v>PhotoFusion X Extra Dark Cinza</x:v>
      </x:c>
      <x:c r="G2943" s="24" t="str">
        <x:v>1.67</x:v>
      </x:c>
      <x:c r="H2943" s="24" t="str">
        <x:v>1.67</x:v>
      </x:c>
      <x:c r="I2943" s="24" t="str">
        <x:v>DURAVISION® DRIVESAFE</x:v>
      </x:c>
      <x:c r="J2943" s="40" t="n">
        <x:v>8340</x:v>
      </x:c>
      <x:c r="K2943" s="24" t="str">
        <x:v>-8.00 a +8.00</x:v>
      </x:c>
      <x:c r="L2943" s="24" t="str">
        <x:v>-6.00</x:v>
      </x:c>
      <x:c r="M2943" s="24" t="str">
        <x:v>0.75 a 3.50</x:v>
      </x:c>
      <x:c r="N2943" s="24" t="str">
        <x:v>70</x:v>
      </x:c>
      <x:c r="O2943" s="24"/>
      <x:c r="P2943" s="24"/>
      <x:c r="Q2943" s="24" t="str">
        <x:v>DISPONÍVEL</x:v>
      </x:c>
      <x:c r="R2943" s="24" t="str">
        <x:v>Programa de Parcerias ZEISS</x:v>
      </x:c>
      <x:c r="S2943" s="24" t="n">
        <x:v>50</x:v>
      </x:c>
      <x:c r="T2943" s="24" t="str">
        <x:v>tabela_zeiss.pdf</x:v>
      </x:c>
      <x:c r="U2943" s="24" t="str">
        <x:v>ZEISS|Progressiva Especial|Surfaçada|Individual DriveSafe|PhotoFusion X Extra Dark Cinza|1.67|1.67|DURAVISION® DRIVESAFE|-8.00 a +8.00|-6.00|0.75 a 3.50|70|||50</x:v>
      </x:c>
    </x:row>
    <x:row r="2944">
      <x:c r="A2944" s="24" t="str">
        <x:v>ZS-1F9C5231A145</x:v>
      </x:c>
      <x:c r="B2944" s="24" t="str">
        <x:v>ZEISS</x:v>
      </x:c>
      <x:c r="C2944" s="24" t="str">
        <x:v>Progressiva Especial</x:v>
      </x:c>
      <x:c r="D2944" s="24" t="str">
        <x:v>Surfaçada</x:v>
      </x:c>
      <x:c r="E2944" s="24" t="str">
        <x:v>Individual DriveSafe</x:v>
      </x:c>
      <x:c r="F2944" s="24" t="str">
        <x:v>Polarizada</x:v>
      </x:c>
      <x:c r="G2944" s="24" t="str">
        <x:v>1.5</x:v>
      </x:c>
      <x:c r="H2944" s="24" t="str">
        <x:v>1.50</x:v>
      </x:c>
      <x:c r="I2944" s="24" t="str">
        <x:v>DURAVISION® DRIVESAFE</x:v>
      </x:c>
      <x:c r="J2944" s="40" t="n">
        <x:v>5830</x:v>
      </x:c>
      <x:c r="K2944" s="24" t="str">
        <x:v>-6.00 a +6.00</x:v>
      </x:c>
      <x:c r="L2944" s="24" t="str">
        <x:v>-4.00</x:v>
      </x:c>
      <x:c r="M2944" s="24" t="str">
        <x:v>0.75 a 3.50</x:v>
      </x:c>
      <x:c r="N2944" s="24" t="str">
        <x:v>70</x:v>
      </x:c>
      <x:c r="O2944" s="24"/>
      <x:c r="P2944" s="24"/>
      <x:c r="Q2944" s="24" t="str">
        <x:v>DISPONÍVEL</x:v>
      </x:c>
      <x:c r="R2944" s="24"/>
      <x:c r="S2944" s="24" t="n">
        <x:v>50</x:v>
      </x:c>
      <x:c r="T2944" s="24" t="str">
        <x:v>tabela_zeiss.pdf</x:v>
      </x:c>
      <x:c r="U2944" s="24" t="str">
        <x:v>ZEISS|Progressiva Especial|Surfaçada|Individual DriveSafe|Polarizada|1.5|1.50|DURAVISION® DRIVESAFE|-6.00 a +6.00|-4.00|0.75 a 3.50|70|||50</x:v>
      </x:c>
    </x:row>
    <x:row r="2945">
      <x:c r="A2945" s="24" t="str">
        <x:v>ZS-075176A5B5E5</x:v>
      </x:c>
      <x:c r="B2945" s="24" t="str">
        <x:v>ZEISS</x:v>
      </x:c>
      <x:c r="C2945" s="24" t="str">
        <x:v>Progressiva Especial</x:v>
      </x:c>
      <x:c r="D2945" s="24" t="str">
        <x:v>Surfaçada</x:v>
      </x:c>
      <x:c r="E2945" s="24" t="str">
        <x:v>Individual DriveSafe</x:v>
      </x:c>
      <x:c r="F2945" s="24" t="str">
        <x:v>Polarizada</x:v>
      </x:c>
      <x:c r="G2945" s="24" t="str">
        <x:v>1.6</x:v>
      </x:c>
      <x:c r="H2945" s="24" t="str">
        <x:v>1.60</x:v>
      </x:c>
      <x:c r="I2945" s="24" t="str">
        <x:v>DURAVISION® DRIVESAFE</x:v>
      </x:c>
      <x:c r="J2945" s="40" t="n">
        <x:v>6410</x:v>
      </x:c>
      <x:c r="K2945" s="24" t="str">
        <x:v>-8.50 a +6.00</x:v>
      </x:c>
      <x:c r="L2945" s="24" t="str">
        <x:v>-4.00</x:v>
      </x:c>
      <x:c r="M2945" s="24" t="str">
        <x:v>0.75 a 3.50</x:v>
      </x:c>
      <x:c r="N2945" s="24" t="str">
        <x:v>70</x:v>
      </x:c>
      <x:c r="O2945" s="24"/>
      <x:c r="P2945" s="24"/>
      <x:c r="Q2945" s="24" t="str">
        <x:v>DISPONÍVEL</x:v>
      </x:c>
      <x:c r="R2945" s="24"/>
      <x:c r="S2945" s="24" t="n">
        <x:v>50</x:v>
      </x:c>
      <x:c r="T2945" s="24" t="str">
        <x:v>tabela_zeiss.pdf</x:v>
      </x:c>
      <x:c r="U2945" s="24" t="str">
        <x:v>ZEISS|Progressiva Especial|Surfaçada|Individual DriveSafe|Polarizada|1.6|1.60|DURAVISION® DRIVESAFE|-8.50 a +6.00|-4.00|0.75 a 3.50|70|||50</x:v>
      </x:c>
    </x:row>
    <x:row r="2946">
      <x:c r="A2946" s="24" t="str">
        <x:v>ZS-569C0557AD5B</x:v>
      </x:c>
      <x:c r="B2946" s="24" t="str">
        <x:v>ZEISS</x:v>
      </x:c>
      <x:c r="C2946" s="24" t="str">
        <x:v>Progressiva Especial</x:v>
      </x:c>
      <x:c r="D2946" s="24" t="str">
        <x:v>Surfaçada</x:v>
      </x:c>
      <x:c r="E2946" s="24" t="str">
        <x:v>Individual Sport</x:v>
      </x:c>
      <x:c r="F2946" s="24"/>
      <x:c r="G2946" s="24" t="str">
        <x:v>1.5</x:v>
      </x:c>
      <x:c r="H2946" s="24" t="str">
        <x:v>1.50</x:v>
      </x:c>
      <x:c r="I2946" s="24" t="str">
        <x:v>DuraVision Gold UV</x:v>
      </x:c>
      <x:c r="J2946" s="40" t="n">
        <x:v>4754</x:v>
      </x:c>
      <x:c r="K2946" s="24" t="str">
        <x:v>-4.00 a +4.00</x:v>
      </x:c>
      <x:c r="L2946" s="24" t="str">
        <x:v>-4.00</x:v>
      </x:c>
      <x:c r="M2946" s="24" t="str">
        <x:v>1.00 a 3.50</x:v>
      </x:c>
      <x:c r="N2946" s="24" t="str">
        <x:v>80</x:v>
      </x:c>
      <x:c r="O2946" s="24"/>
      <x:c r="P2946" s="24"/>
      <x:c r="Q2946" s="24" t="str">
        <x:v>DISPONÍVEL</x:v>
      </x:c>
      <x:c r="R2946" s="24"/>
      <x:c r="S2946" s="24" t="n">
        <x:v>51</x:v>
      </x:c>
      <x:c r="T2946" s="24" t="str">
        <x:v>tabela_zeiss.pdf</x:v>
      </x:c>
      <x:c r="U2946" s="24" t="str">
        <x:v>ZEISS|Progressiva Especial|Surfaçada|Individual Sport||1.5|1.50|DuraVision Gold UV|-4.00 a +4.00|-4.00|1.00 a 3.50|80|||51</x:v>
      </x:c>
    </x:row>
    <x:row r="2947">
      <x:c r="A2947" s="24" t="str">
        <x:v>ZS-271D9DD8BF41</x:v>
      </x:c>
      <x:c r="B2947" s="24" t="str">
        <x:v>ZEISS</x:v>
      </x:c>
      <x:c r="C2947" s="24" t="str">
        <x:v>Progressiva Especial</x:v>
      </x:c>
      <x:c r="D2947" s="24" t="str">
        <x:v>Surfaçada</x:v>
      </x:c>
      <x:c r="E2947" s="24" t="str">
        <x:v>Individual Sport</x:v>
      </x:c>
      <x:c r="F2947" s="24"/>
      <x:c r="G2947" s="24" t="str">
        <x:v>1.5</x:v>
      </x:c>
      <x:c r="H2947" s="24" t="str">
        <x:v>1.50</x:v>
      </x:c>
      <x:c r="I2947" s="24" t="str">
        <x:v>DURAVISION® ANTIVÍRUS PLATINUM UV</x:v>
      </x:c>
      <x:c r="J2947" s="40" t="n">
        <x:v>4614</x:v>
      </x:c>
      <x:c r="K2947" s="24" t="str">
        <x:v>-4.00 a +4.00</x:v>
      </x:c>
      <x:c r="L2947" s="24" t="str">
        <x:v>-4.00</x:v>
      </x:c>
      <x:c r="M2947" s="24" t="str">
        <x:v>1.00 a 3.50</x:v>
      </x:c>
      <x:c r="N2947" s="24" t="str">
        <x:v>80</x:v>
      </x:c>
      <x:c r="O2947" s="24"/>
      <x:c r="P2947" s="24"/>
      <x:c r="Q2947" s="24" t="str">
        <x:v>DISPONÍVEL</x:v>
      </x:c>
      <x:c r="R2947" s="24"/>
      <x:c r="S2947" s="24" t="n">
        <x:v>51</x:v>
      </x:c>
      <x:c r="T2947" s="24" t="str">
        <x:v>tabela_zeiss.pdf</x:v>
      </x:c>
      <x:c r="U2947" s="24" t="str">
        <x:v>ZEISS|Progressiva Especial|Surfaçada|Individual Sport||1.5|1.50|DURAVISION® ANTIVÍRUS PLATINUM UV|-4.00 a +4.00|-4.00|1.00 a 3.50|80|||51</x:v>
      </x:c>
    </x:row>
    <x:row r="2948">
      <x:c r="A2948" s="24" t="str">
        <x:v>ZS-C5F78DEC131C</x:v>
      </x:c>
      <x:c r="B2948" s="24" t="str">
        <x:v>ZEISS</x:v>
      </x:c>
      <x:c r="C2948" s="24" t="str">
        <x:v>Progressiva Especial</x:v>
      </x:c>
      <x:c r="D2948" s="24" t="str">
        <x:v>Surfaçada</x:v>
      </x:c>
      <x:c r="E2948" s="24" t="str">
        <x:v>Individual Sport</x:v>
      </x:c>
      <x:c r="F2948" s="24"/>
      <x:c r="G2948" s="24" t="str">
        <x:v>1.5</x:v>
      </x:c>
      <x:c r="H2948" s="24" t="str">
        <x:v>1.50</x:v>
      </x:c>
      <x:c r="I2948" s="24" t="str">
        <x:v>DuraVision Platinum UV</x:v>
      </x:c>
      <x:c r="J2948" s="40" t="n">
        <x:v>4614</x:v>
      </x:c>
      <x:c r="K2948" s="24" t="str">
        <x:v>-4.00 a +4.00</x:v>
      </x:c>
      <x:c r="L2948" s="24" t="str">
        <x:v>-4.00</x:v>
      </x:c>
      <x:c r="M2948" s="24" t="str">
        <x:v>1.00 a 3.50</x:v>
      </x:c>
      <x:c r="N2948" s="24" t="str">
        <x:v>80</x:v>
      </x:c>
      <x:c r="O2948" s="24"/>
      <x:c r="P2948" s="24"/>
      <x:c r="Q2948" s="24" t="str">
        <x:v>DISPONÍVEL</x:v>
      </x:c>
      <x:c r="R2948" s="24"/>
      <x:c r="S2948" s="24" t="n">
        <x:v>51</x:v>
      </x:c>
      <x:c r="T2948" s="24" t="str">
        <x:v>tabela_zeiss.pdf</x:v>
      </x:c>
      <x:c r="U2948" s="24" t="str">
        <x:v>ZEISS|Progressiva Especial|Surfaçada|Individual Sport||1.5|1.50|DuraVision Platinum UV|-4.00 a +4.00|-4.00|1.00 a 3.50|80|||51</x:v>
      </x:c>
    </x:row>
    <x:row r="2949">
      <x:c r="A2949" s="24" t="str">
        <x:v>ZS-112C5AC6B0D2</x:v>
      </x:c>
      <x:c r="B2949" s="24" t="str">
        <x:v>ZEISS</x:v>
      </x:c>
      <x:c r="C2949" s="24" t="str">
        <x:v>Progressiva Especial</x:v>
      </x:c>
      <x:c r="D2949" s="24" t="str">
        <x:v>Surfaçada</x:v>
      </x:c>
      <x:c r="E2949" s="24" t="str">
        <x:v>Individual Sport</x:v>
      </x:c>
      <x:c r="F2949" s="24"/>
      <x:c r="G2949" s="24" t="str">
        <x:v>1.5</x:v>
      </x:c>
      <x:c r="H2949" s="24" t="str">
        <x:v>1.50</x:v>
      </x:c>
      <x:c r="I2949" s="24" t="str">
        <x:v>DuraVision Silver UV</x:v>
      </x:c>
      <x:c r="J2949" s="40" t="n">
        <x:v>4354</x:v>
      </x:c>
      <x:c r="K2949" s="24" t="str">
        <x:v>-4.00 a +4.00</x:v>
      </x:c>
      <x:c r="L2949" s="24" t="str">
        <x:v>-4.00</x:v>
      </x:c>
      <x:c r="M2949" s="24" t="str">
        <x:v>1.00 a 3.50</x:v>
      </x:c>
      <x:c r="N2949" s="24" t="str">
        <x:v>80</x:v>
      </x:c>
      <x:c r="O2949" s="24"/>
      <x:c r="P2949" s="24"/>
      <x:c r="Q2949" s="24" t="str">
        <x:v>DISPONÍVEL</x:v>
      </x:c>
      <x:c r="R2949" s="24"/>
      <x:c r="S2949" s="24" t="n">
        <x:v>51</x:v>
      </x:c>
      <x:c r="T2949" s="24" t="str">
        <x:v>tabela_zeiss.pdf</x:v>
      </x:c>
      <x:c r="U2949" s="24" t="str">
        <x:v>ZEISS|Progressiva Especial|Surfaçada|Individual Sport||1.5|1.50|DuraVision Silver UV|-4.00 a +4.00|-4.00|1.00 a 3.50|80|||51</x:v>
      </x:c>
    </x:row>
    <x:row r="2950">
      <x:c r="A2950" s="24" t="str">
        <x:v>ZS-D62A3AE90757</x:v>
      </x:c>
      <x:c r="B2950" s="24" t="str">
        <x:v>ZEISS</x:v>
      </x:c>
      <x:c r="C2950" s="24" t="str">
        <x:v>Progressiva Especial</x:v>
      </x:c>
      <x:c r="D2950" s="24" t="str">
        <x:v>Surfaçada</x:v>
      </x:c>
      <x:c r="E2950" s="24" t="str">
        <x:v>Individual Sport</x:v>
      </x:c>
      <x:c r="F2950" s="24"/>
      <x:c r="G2950" s="24" t="str">
        <x:v>1.5</x:v>
      </x:c>
      <x:c r="H2950" s="24" t="str">
        <x:v>1.50</x:v>
      </x:c>
      <x:c r="I2950" s="24" t="str">
        <x:v>DuraVision Chrome UV</x:v>
      </x:c>
      <x:c r="J2950" s="40" t="n">
        <x:v>3864</x:v>
      </x:c>
      <x:c r="K2950" s="24" t="str">
        <x:v>-4.00 a +4.00</x:v>
      </x:c>
      <x:c r="L2950" s="24" t="str">
        <x:v>-4.00</x:v>
      </x:c>
      <x:c r="M2950" s="24" t="str">
        <x:v>1.00 a 3.50</x:v>
      </x:c>
      <x:c r="N2950" s="24" t="str">
        <x:v>80</x:v>
      </x:c>
      <x:c r="O2950" s="24"/>
      <x:c r="P2950" s="24"/>
      <x:c r="Q2950" s="24" t="str">
        <x:v>DISPONÍVEL</x:v>
      </x:c>
      <x:c r="R2950" s="24"/>
      <x:c r="S2950" s="24" t="n">
        <x:v>51</x:v>
      </x:c>
      <x:c r="T2950" s="24" t="str">
        <x:v>tabela_zeiss.pdf</x:v>
      </x:c>
      <x:c r="U2950" s="24" t="str">
        <x:v>ZEISS|Progressiva Especial|Surfaçada|Individual Sport||1.5|1.50|DuraVision Chrome UV|-4.00 a +4.00|-4.00|1.00 a 3.50|80|||51</x:v>
      </x:c>
    </x:row>
    <x:row r="2951">
      <x:c r="A2951" s="24" t="str">
        <x:v>ZS-6B77C1306FA3</x:v>
      </x:c>
      <x:c r="B2951" s="24" t="str">
        <x:v>ZEISS</x:v>
      </x:c>
      <x:c r="C2951" s="24" t="str">
        <x:v>Progressiva Especial</x:v>
      </x:c>
      <x:c r="D2951" s="24" t="str">
        <x:v>Surfaçada</x:v>
      </x:c>
      <x:c r="E2951" s="24" t="str">
        <x:v>Individual Sport</x:v>
      </x:c>
      <x:c r="F2951" s="24"/>
      <x:c r="G2951" s="24" t="str">
        <x:v>Poli</x:v>
      </x:c>
      <x:c r="H2951" s="24"/>
      <x:c r="I2951" s="24" t="str">
        <x:v>DuraVision Gold UV</x:v>
      </x:c>
      <x:c r="J2951" s="40" t="n">
        <x:v>5344</x:v>
      </x:c>
      <x:c r="K2951" s="24" t="str">
        <x:v>-4.00 a +4.00</x:v>
      </x:c>
      <x:c r="L2951" s="24" t="str">
        <x:v>-4.00</x:v>
      </x:c>
      <x:c r="M2951" s="24" t="str">
        <x:v>1.00 a 3.50</x:v>
      </x:c>
      <x:c r="N2951" s="24" t="str">
        <x:v>82</x:v>
      </x:c>
      <x:c r="O2951" s="24"/>
      <x:c r="P2951" s="24"/>
      <x:c r="Q2951" s="24" t="str">
        <x:v>DISPONÍVEL</x:v>
      </x:c>
      <x:c r="R2951" s="24"/>
      <x:c r="S2951" s="24" t="n">
        <x:v>51</x:v>
      </x:c>
      <x:c r="T2951" s="24" t="str">
        <x:v>tabela_zeiss.pdf</x:v>
      </x:c>
      <x:c r="U2951" s="24" t="str">
        <x:v>ZEISS|Progressiva Especial|Surfaçada|Individual Sport||Poli||DuraVision Gold UV|-4.00 a +4.00|-4.00|1.00 a 3.50|82|||51</x:v>
      </x:c>
    </x:row>
    <x:row r="2952">
      <x:c r="A2952" s="24" t="str">
        <x:v>ZS-E6321ADE18C8</x:v>
      </x:c>
      <x:c r="B2952" s="24" t="str">
        <x:v>ZEISS</x:v>
      </x:c>
      <x:c r="C2952" s="24" t="str">
        <x:v>Progressiva Especial</x:v>
      </x:c>
      <x:c r="D2952" s="24" t="str">
        <x:v>Surfaçada</x:v>
      </x:c>
      <x:c r="E2952" s="24" t="str">
        <x:v>Individual Sport</x:v>
      </x:c>
      <x:c r="F2952" s="24"/>
      <x:c r="G2952" s="24" t="str">
        <x:v>Poli</x:v>
      </x:c>
      <x:c r="H2952" s="24"/>
      <x:c r="I2952" s="24" t="str">
        <x:v>DuraVision Platinum UV</x:v>
      </x:c>
      <x:c r="J2952" s="40" t="n">
        <x:v>5204</x:v>
      </x:c>
      <x:c r="K2952" s="24" t="str">
        <x:v>-4.00 a +4.00</x:v>
      </x:c>
      <x:c r="L2952" s="24" t="str">
        <x:v>-4.00</x:v>
      </x:c>
      <x:c r="M2952" s="24" t="str">
        <x:v>1.00 a 3.50</x:v>
      </x:c>
      <x:c r="N2952" s="24" t="str">
        <x:v>82</x:v>
      </x:c>
      <x:c r="O2952" s="24"/>
      <x:c r="P2952" s="24"/>
      <x:c r="Q2952" s="24" t="str">
        <x:v>DISPONÍVEL</x:v>
      </x:c>
      <x:c r="R2952" s="24"/>
      <x:c r="S2952" s="24" t="n">
        <x:v>51</x:v>
      </x:c>
      <x:c r="T2952" s="24" t="str">
        <x:v>tabela_zeiss.pdf</x:v>
      </x:c>
      <x:c r="U2952" s="24" t="str">
        <x:v>ZEISS|Progressiva Especial|Surfaçada|Individual Sport||Poli||DuraVision Platinum UV|-4.00 a +4.00|-4.00|1.00 a 3.50|82|||51</x:v>
      </x:c>
    </x:row>
    <x:row r="2953">
      <x:c r="A2953" s="24" t="str">
        <x:v>ZS-B204B705F0CA</x:v>
      </x:c>
      <x:c r="B2953" s="24" t="str">
        <x:v>ZEISS</x:v>
      </x:c>
      <x:c r="C2953" s="24" t="str">
        <x:v>Progressiva Especial</x:v>
      </x:c>
      <x:c r="D2953" s="24" t="str">
        <x:v>Surfaçada</x:v>
      </x:c>
      <x:c r="E2953" s="24" t="str">
        <x:v>Individual Sport</x:v>
      </x:c>
      <x:c r="F2953" s="24"/>
      <x:c r="G2953" s="24" t="str">
        <x:v>Poli</x:v>
      </x:c>
      <x:c r="H2953" s="24"/>
      <x:c r="I2953" s="24" t="str">
        <x:v>DuraVision Silver UV</x:v>
      </x:c>
      <x:c r="J2953" s="40" t="n">
        <x:v>4944</x:v>
      </x:c>
      <x:c r="K2953" s="24" t="str">
        <x:v>-4.00 a +4.00</x:v>
      </x:c>
      <x:c r="L2953" s="24" t="str">
        <x:v>-4.00</x:v>
      </x:c>
      <x:c r="M2953" s="24" t="str">
        <x:v>1.00 a 3.50</x:v>
      </x:c>
      <x:c r="N2953" s="24" t="str">
        <x:v>82</x:v>
      </x:c>
      <x:c r="O2953" s="24"/>
      <x:c r="P2953" s="24"/>
      <x:c r="Q2953" s="24" t="str">
        <x:v>DISPONÍVEL</x:v>
      </x:c>
      <x:c r="R2953" s="24"/>
      <x:c r="S2953" s="24" t="n">
        <x:v>51</x:v>
      </x:c>
      <x:c r="T2953" s="24" t="str">
        <x:v>tabela_zeiss.pdf</x:v>
      </x:c>
      <x:c r="U2953" s="24" t="str">
        <x:v>ZEISS|Progressiva Especial|Surfaçada|Individual Sport||Poli||DuraVision Silver UV|-4.00 a +4.00|-4.00|1.00 a 3.50|82|||51</x:v>
      </x:c>
    </x:row>
    <x:row r="2954">
      <x:c r="A2954" s="24" t="str">
        <x:v>ZS-760AF7A929C4</x:v>
      </x:c>
      <x:c r="B2954" s="24" t="str">
        <x:v>ZEISS</x:v>
      </x:c>
      <x:c r="C2954" s="24" t="str">
        <x:v>Progressiva Especial</x:v>
      </x:c>
      <x:c r="D2954" s="24" t="str">
        <x:v>Surfaçada</x:v>
      </x:c>
      <x:c r="E2954" s="24" t="str">
        <x:v>Individual Sport</x:v>
      </x:c>
      <x:c r="F2954" s="24"/>
      <x:c r="G2954" s="24" t="str">
        <x:v>Poli</x:v>
      </x:c>
      <x:c r="H2954" s="24"/>
      <x:c r="I2954" s="24" t="str">
        <x:v>DuraVision Chrome UV</x:v>
      </x:c>
      <x:c r="J2954" s="40" t="n">
        <x:v>4454</x:v>
      </x:c>
      <x:c r="K2954" s="24" t="str">
        <x:v>-4.00 a +4.00</x:v>
      </x:c>
      <x:c r="L2954" s="24" t="str">
        <x:v>-4.00</x:v>
      </x:c>
      <x:c r="M2954" s="24" t="str">
        <x:v>1.00 a 3.50</x:v>
      </x:c>
      <x:c r="N2954" s="24" t="str">
        <x:v>82</x:v>
      </x:c>
      <x:c r="O2954" s="24"/>
      <x:c r="P2954" s="24"/>
      <x:c r="Q2954" s="24" t="str">
        <x:v>DISPONÍVEL</x:v>
      </x:c>
      <x:c r="R2954" s="24"/>
      <x:c r="S2954" s="24" t="n">
        <x:v>51</x:v>
      </x:c>
      <x:c r="T2954" s="24" t="str">
        <x:v>tabela_zeiss.pdf</x:v>
      </x:c>
      <x:c r="U2954" s="24" t="str">
        <x:v>ZEISS|Progressiva Especial|Surfaçada|Individual Sport||Poli||DuraVision Chrome UV|-4.00 a +4.00|-4.00|1.00 a 3.50|82|||51</x:v>
      </x:c>
    </x:row>
    <x:row r="2955">
      <x:c r="A2955" s="24" t="str">
        <x:v>ZS-DB81EF2381C9</x:v>
      </x:c>
      <x:c r="B2955" s="24" t="str">
        <x:v>ZEISS</x:v>
      </x:c>
      <x:c r="C2955" s="24" t="str">
        <x:v>Progressiva Especial</x:v>
      </x:c>
      <x:c r="D2955" s="24" t="str">
        <x:v>Surfaçada</x:v>
      </x:c>
      <x:c r="E2955" s="24" t="str">
        <x:v>Individual Sport</x:v>
      </x:c>
      <x:c r="F2955" s="24"/>
      <x:c r="G2955" s="24" t="str">
        <x:v>1.6</x:v>
      </x:c>
      <x:c r="H2955" s="24" t="str">
        <x:v>1.60</x:v>
      </x:c>
      <x:c r="I2955" s="24" t="str">
        <x:v>DuraVision Gold UV</x:v>
      </x:c>
      <x:c r="J2955" s="40" t="n">
        <x:v>6004</x:v>
      </x:c>
      <x:c r="K2955" s="24" t="str">
        <x:v>-4.00 a +4.00</x:v>
      </x:c>
      <x:c r="L2955" s="24" t="str">
        <x:v>-4.00</x:v>
      </x:c>
      <x:c r="M2955" s="24" t="str">
        <x:v>1.00 a 3.50</x:v>
      </x:c>
      <x:c r="N2955" s="24" t="str">
        <x:v>83</x:v>
      </x:c>
      <x:c r="O2955" s="24"/>
      <x:c r="P2955" s="24"/>
      <x:c r="Q2955" s="24" t="str">
        <x:v>DISPONÍVEL</x:v>
      </x:c>
      <x:c r="R2955" s="24"/>
      <x:c r="S2955" s="24" t="n">
        <x:v>51</x:v>
      </x:c>
      <x:c r="T2955" s="24" t="str">
        <x:v>tabela_zeiss.pdf</x:v>
      </x:c>
      <x:c r="U2955" s="24" t="str">
        <x:v>ZEISS|Progressiva Especial|Surfaçada|Individual Sport||1.6|1.60|DuraVision Gold UV|-4.00 a +4.00|-4.00|1.00 a 3.50|83|||51</x:v>
      </x:c>
    </x:row>
    <x:row r="2956">
      <x:c r="A2956" s="24" t="str">
        <x:v>ZS-651A004C780D</x:v>
      </x:c>
      <x:c r="B2956" s="24" t="str">
        <x:v>ZEISS</x:v>
      </x:c>
      <x:c r="C2956" s="24" t="str">
        <x:v>Progressiva Especial</x:v>
      </x:c>
      <x:c r="D2956" s="24" t="str">
        <x:v>Surfaçada</x:v>
      </x:c>
      <x:c r="E2956" s="24" t="str">
        <x:v>Individual Sport</x:v>
      </x:c>
      <x:c r="F2956" s="24"/>
      <x:c r="G2956" s="24" t="str">
        <x:v>1.6</x:v>
      </x:c>
      <x:c r="H2956" s="24" t="str">
        <x:v>1.60</x:v>
      </x:c>
      <x:c r="I2956" s="24" t="str">
        <x:v>DURAVISION® ANTIVÍRUS PLATINUM UV</x:v>
      </x:c>
      <x:c r="J2956" s="40" t="n">
        <x:v>5864</x:v>
      </x:c>
      <x:c r="K2956" s="24" t="str">
        <x:v>-4.00 a +4.00</x:v>
      </x:c>
      <x:c r="L2956" s="24" t="str">
        <x:v>-4.00</x:v>
      </x:c>
      <x:c r="M2956" s="24" t="str">
        <x:v>1.00 a 3.50</x:v>
      </x:c>
      <x:c r="N2956" s="24" t="str">
        <x:v>83</x:v>
      </x:c>
      <x:c r="O2956" s="24"/>
      <x:c r="P2956" s="24"/>
      <x:c r="Q2956" s="24" t="str">
        <x:v>DISPONÍVEL</x:v>
      </x:c>
      <x:c r="R2956" s="24"/>
      <x:c r="S2956" s="24" t="n">
        <x:v>51</x:v>
      </x:c>
      <x:c r="T2956" s="24" t="str">
        <x:v>tabela_zeiss.pdf</x:v>
      </x:c>
      <x:c r="U2956" s="24" t="str">
        <x:v>ZEISS|Progressiva Especial|Surfaçada|Individual Sport||1.6|1.60|DURAVISION® ANTIVÍRUS PLATINUM UV|-4.00 a +4.00|-4.00|1.00 a 3.50|83|||51</x:v>
      </x:c>
    </x:row>
    <x:row r="2957">
      <x:c r="A2957" s="24" t="str">
        <x:v>ZS-29075F1268DA</x:v>
      </x:c>
      <x:c r="B2957" s="24" t="str">
        <x:v>ZEISS</x:v>
      </x:c>
      <x:c r="C2957" s="24" t="str">
        <x:v>Progressiva Especial</x:v>
      </x:c>
      <x:c r="D2957" s="24" t="str">
        <x:v>Surfaçada</x:v>
      </x:c>
      <x:c r="E2957" s="24" t="str">
        <x:v>Individual Sport</x:v>
      </x:c>
      <x:c r="F2957" s="24"/>
      <x:c r="G2957" s="24" t="str">
        <x:v>1.6</x:v>
      </x:c>
      <x:c r="H2957" s="24" t="str">
        <x:v>1.60</x:v>
      </x:c>
      <x:c r="I2957" s="24" t="str">
        <x:v>DuraVision Platinum UV</x:v>
      </x:c>
      <x:c r="J2957" s="40" t="n">
        <x:v>5864</x:v>
      </x:c>
      <x:c r="K2957" s="24" t="str">
        <x:v>-4.00 a +4.00</x:v>
      </x:c>
      <x:c r="L2957" s="24" t="str">
        <x:v>-4.00</x:v>
      </x:c>
      <x:c r="M2957" s="24" t="str">
        <x:v>1.00 a 3.50</x:v>
      </x:c>
      <x:c r="N2957" s="24" t="str">
        <x:v>83</x:v>
      </x:c>
      <x:c r="O2957" s="24"/>
      <x:c r="P2957" s="24"/>
      <x:c r="Q2957" s="24" t="str">
        <x:v>DISPONÍVEL</x:v>
      </x:c>
      <x:c r="R2957" s="24"/>
      <x:c r="S2957" s="24" t="n">
        <x:v>51</x:v>
      </x:c>
      <x:c r="T2957" s="24" t="str">
        <x:v>tabela_zeiss.pdf</x:v>
      </x:c>
      <x:c r="U2957" s="24" t="str">
        <x:v>ZEISS|Progressiva Especial|Surfaçada|Individual Sport||1.6|1.60|DuraVision Platinum UV|-4.00 a +4.00|-4.00|1.00 a 3.50|83|||51</x:v>
      </x:c>
    </x:row>
    <x:row r="2958">
      <x:c r="A2958" s="24" t="str">
        <x:v>ZS-590A72473E15</x:v>
      </x:c>
      <x:c r="B2958" s="24" t="str">
        <x:v>ZEISS</x:v>
      </x:c>
      <x:c r="C2958" s="24" t="str">
        <x:v>Progressiva Especial</x:v>
      </x:c>
      <x:c r="D2958" s="24" t="str">
        <x:v>Surfaçada</x:v>
      </x:c>
      <x:c r="E2958" s="24" t="str">
        <x:v>Individual Sport</x:v>
      </x:c>
      <x:c r="F2958" s="24"/>
      <x:c r="G2958" s="24" t="str">
        <x:v>1.6</x:v>
      </x:c>
      <x:c r="H2958" s="24" t="str">
        <x:v>1.60</x:v>
      </x:c>
      <x:c r="I2958" s="24" t="str">
        <x:v>DuraVision Silver UV</x:v>
      </x:c>
      <x:c r="J2958" s="40" t="n">
        <x:v>5604</x:v>
      </x:c>
      <x:c r="K2958" s="24" t="str">
        <x:v>-4.00 a +4.00</x:v>
      </x:c>
      <x:c r="L2958" s="24" t="str">
        <x:v>-4.00</x:v>
      </x:c>
      <x:c r="M2958" s="24" t="str">
        <x:v>1.00 a 3.50</x:v>
      </x:c>
      <x:c r="N2958" s="24" t="str">
        <x:v>83</x:v>
      </x:c>
      <x:c r="O2958" s="24"/>
      <x:c r="P2958" s="24"/>
      <x:c r="Q2958" s="24" t="str">
        <x:v>DISPONÍVEL</x:v>
      </x:c>
      <x:c r="R2958" s="24"/>
      <x:c r="S2958" s="24" t="n">
        <x:v>51</x:v>
      </x:c>
      <x:c r="T2958" s="24" t="str">
        <x:v>tabela_zeiss.pdf</x:v>
      </x:c>
      <x:c r="U2958" s="24" t="str">
        <x:v>ZEISS|Progressiva Especial|Surfaçada|Individual Sport||1.6|1.60|DuraVision Silver UV|-4.00 a +4.00|-4.00|1.00 a 3.50|83|||51</x:v>
      </x:c>
    </x:row>
    <x:row r="2959">
      <x:c r="A2959" s="24" t="str">
        <x:v>ZS-8F3C9332F638</x:v>
      </x:c>
      <x:c r="B2959" s="24" t="str">
        <x:v>ZEISS</x:v>
      </x:c>
      <x:c r="C2959" s="24" t="str">
        <x:v>Progressiva Especial</x:v>
      </x:c>
      <x:c r="D2959" s="24" t="str">
        <x:v>Surfaçada</x:v>
      </x:c>
      <x:c r="E2959" s="24" t="str">
        <x:v>Individual Sport</x:v>
      </x:c>
      <x:c r="F2959" s="24"/>
      <x:c r="G2959" s="24" t="str">
        <x:v>1.6</x:v>
      </x:c>
      <x:c r="H2959" s="24" t="str">
        <x:v>1.60</x:v>
      </x:c>
      <x:c r="I2959" s="24" t="str">
        <x:v>DuraVision Chrome UV</x:v>
      </x:c>
      <x:c r="J2959" s="40" t="n">
        <x:v>5114</x:v>
      </x:c>
      <x:c r="K2959" s="24" t="str">
        <x:v>-4.00 a +4.00</x:v>
      </x:c>
      <x:c r="L2959" s="24" t="str">
        <x:v>-4.00</x:v>
      </x:c>
      <x:c r="M2959" s="24" t="str">
        <x:v>1.00 a 3.50</x:v>
      </x:c>
      <x:c r="N2959" s="24" t="str">
        <x:v>83</x:v>
      </x:c>
      <x:c r="O2959" s="24"/>
      <x:c r="P2959" s="24"/>
      <x:c r="Q2959" s="24" t="str">
        <x:v>DISPONÍVEL</x:v>
      </x:c>
      <x:c r="R2959" s="24"/>
      <x:c r="S2959" s="24" t="n">
        <x:v>51</x:v>
      </x:c>
      <x:c r="T2959" s="24" t="str">
        <x:v>tabela_zeiss.pdf</x:v>
      </x:c>
      <x:c r="U2959" s="24" t="str">
        <x:v>ZEISS|Progressiva Especial|Surfaçada|Individual Sport||1.6|1.60|DuraVision Chrome UV|-4.00 a +4.00|-4.00|1.00 a 3.50|83|||51</x:v>
      </x:c>
    </x:row>
    <x:row r="2960">
      <x:c r="A2960" s="24" t="str">
        <x:v>ZS-CEDCF10DC278</x:v>
      </x:c>
      <x:c r="B2960" s="24" t="str">
        <x:v>ZEISS</x:v>
      </x:c>
      <x:c r="C2960" s="24" t="str">
        <x:v>Progressiva Especial</x:v>
      </x:c>
      <x:c r="D2960" s="24" t="str">
        <x:v>Surfaçada</x:v>
      </x:c>
      <x:c r="E2960" s="24" t="str">
        <x:v>Individual Sport</x:v>
      </x:c>
      <x:c r="F2960" s="24" t="str">
        <x:v>PhotoFusion X</x:v>
      </x:c>
      <x:c r="G2960" s="24" t="str">
        <x:v>1.5</x:v>
      </x:c>
      <x:c r="H2960" s="24" t="str">
        <x:v>1.50</x:v>
      </x:c>
      <x:c r="I2960" s="24" t="str">
        <x:v>DuraVision Gold UV</x:v>
      </x:c>
      <x:c r="J2960" s="40" t="n">
        <x:v>6174</x:v>
      </x:c>
      <x:c r="K2960" s="24" t="str">
        <x:v>-4.00 a +4.00</x:v>
      </x:c>
      <x:c r="L2960" s="24" t="str">
        <x:v>-4.00</x:v>
      </x:c>
      <x:c r="M2960" s="24" t="str">
        <x:v>1.00 a 3.50</x:v>
      </x:c>
      <x:c r="N2960" s="24" t="str">
        <x:v>80</x:v>
      </x:c>
      <x:c r="O2960" s="24"/>
      <x:c r="P2960" s="24"/>
      <x:c r="Q2960" s="24" t="str">
        <x:v>DISPONÍVEL</x:v>
      </x:c>
      <x:c r="R2960" s="24" t="str">
        <x:v>Programa de Parcerias ZEISS</x:v>
      </x:c>
      <x:c r="S2960" s="24" t="n">
        <x:v>51</x:v>
      </x:c>
      <x:c r="T2960" s="24" t="str">
        <x:v>tabela_zeiss.pdf</x:v>
      </x:c>
      <x:c r="U2960" s="24" t="str">
        <x:v>ZEISS|Progressiva Especial|Surfaçada|Individual Sport|PhotoFusion X|1.5|1.50|DuraVision Gold UV|-4.00 a +4.00|-4.00|1.00 a 3.50|80|||51</x:v>
      </x:c>
    </x:row>
    <x:row r="2961">
      <x:c r="A2961" s="24" t="str">
        <x:v>ZS-90769A6DD8D3</x:v>
      </x:c>
      <x:c r="B2961" s="24" t="str">
        <x:v>ZEISS</x:v>
      </x:c>
      <x:c r="C2961" s="24" t="str">
        <x:v>Progressiva Especial</x:v>
      </x:c>
      <x:c r="D2961" s="24" t="str">
        <x:v>Surfaçada</x:v>
      </x:c>
      <x:c r="E2961" s="24" t="str">
        <x:v>Individual Sport</x:v>
      </x:c>
      <x:c r="F2961" s="24" t="str">
        <x:v>PhotoFusion X</x:v>
      </x:c>
      <x:c r="G2961" s="24" t="str">
        <x:v>1.5</x:v>
      </x:c>
      <x:c r="H2961" s="24" t="str">
        <x:v>1.50</x:v>
      </x:c>
      <x:c r="I2961" s="24" t="str">
        <x:v>DURAVISION® ANTIVÍRUS PLATINUM UV</x:v>
      </x:c>
      <x:c r="J2961" s="40" t="n">
        <x:v>6034</x:v>
      </x:c>
      <x:c r="K2961" s="24" t="str">
        <x:v>-4.00 a +4.00</x:v>
      </x:c>
      <x:c r="L2961" s="24" t="str">
        <x:v>-4.00</x:v>
      </x:c>
      <x:c r="M2961" s="24" t="str">
        <x:v>1.00 a 3.50</x:v>
      </x:c>
      <x:c r="N2961" s="24" t="str">
        <x:v>80</x:v>
      </x:c>
      <x:c r="O2961" s="24"/>
      <x:c r="P2961" s="24"/>
      <x:c r="Q2961" s="24" t="str">
        <x:v>DISPONÍVEL</x:v>
      </x:c>
      <x:c r="R2961" s="24" t="str">
        <x:v>Programa de Parcerias ZEISS</x:v>
      </x:c>
      <x:c r="S2961" s="24" t="n">
        <x:v>51</x:v>
      </x:c>
      <x:c r="T2961" s="24" t="str">
        <x:v>tabela_zeiss.pdf</x:v>
      </x:c>
      <x:c r="U2961" s="24" t="str">
        <x:v>ZEISS|Progressiva Especial|Surfaçada|Individual Sport|PhotoFusion X|1.5|1.50|DURAVISION® ANTIVÍRUS PLATINUM UV|-4.00 a +4.00|-4.00|1.00 a 3.50|80|||51</x:v>
      </x:c>
    </x:row>
    <x:row r="2962">
      <x:c r="A2962" s="24" t="str">
        <x:v>ZS-0FEEDDDFEB4F</x:v>
      </x:c>
      <x:c r="B2962" s="24" t="str">
        <x:v>ZEISS</x:v>
      </x:c>
      <x:c r="C2962" s="24" t="str">
        <x:v>Progressiva Especial</x:v>
      </x:c>
      <x:c r="D2962" s="24" t="str">
        <x:v>Surfaçada</x:v>
      </x:c>
      <x:c r="E2962" s="24" t="str">
        <x:v>Individual Sport</x:v>
      </x:c>
      <x:c r="F2962" s="24" t="str">
        <x:v>PhotoFusion X</x:v>
      </x:c>
      <x:c r="G2962" s="24" t="str">
        <x:v>1.5</x:v>
      </x:c>
      <x:c r="H2962" s="24" t="str">
        <x:v>1.50</x:v>
      </x:c>
      <x:c r="I2962" s="24" t="str">
        <x:v>DuraVision Platinum UV</x:v>
      </x:c>
      <x:c r="J2962" s="40" t="n">
        <x:v>6034</x:v>
      </x:c>
      <x:c r="K2962" s="24" t="str">
        <x:v>-4.00 a +4.00</x:v>
      </x:c>
      <x:c r="L2962" s="24" t="str">
        <x:v>-4.00</x:v>
      </x:c>
      <x:c r="M2962" s="24" t="str">
        <x:v>1.00 a 3.50</x:v>
      </x:c>
      <x:c r="N2962" s="24" t="str">
        <x:v>80</x:v>
      </x:c>
      <x:c r="O2962" s="24"/>
      <x:c r="P2962" s="24"/>
      <x:c r="Q2962" s="24" t="str">
        <x:v>DISPONÍVEL</x:v>
      </x:c>
      <x:c r="R2962" s="24" t="str">
        <x:v>Programa de Parcerias ZEISS</x:v>
      </x:c>
      <x:c r="S2962" s="24" t="n">
        <x:v>51</x:v>
      </x:c>
      <x:c r="T2962" s="24" t="str">
        <x:v>tabela_zeiss.pdf</x:v>
      </x:c>
      <x:c r="U2962" s="24" t="str">
        <x:v>ZEISS|Progressiva Especial|Surfaçada|Individual Sport|PhotoFusion X|1.5|1.50|DuraVision Platinum UV|-4.00 a +4.00|-4.00|1.00 a 3.50|80|||51</x:v>
      </x:c>
    </x:row>
    <x:row r="2963">
      <x:c r="A2963" s="24" t="str">
        <x:v>ZS-4B936155F0A6</x:v>
      </x:c>
      <x:c r="B2963" s="24" t="str">
        <x:v>ZEISS</x:v>
      </x:c>
      <x:c r="C2963" s="24" t="str">
        <x:v>Progressiva Especial</x:v>
      </x:c>
      <x:c r="D2963" s="24" t="str">
        <x:v>Surfaçada</x:v>
      </x:c>
      <x:c r="E2963" s="24" t="str">
        <x:v>Individual Sport</x:v>
      </x:c>
      <x:c r="F2963" s="24" t="str">
        <x:v>PhotoFusion X</x:v>
      </x:c>
      <x:c r="G2963" s="24" t="str">
        <x:v>1.5</x:v>
      </x:c>
      <x:c r="H2963" s="24" t="str">
        <x:v>1.50</x:v>
      </x:c>
      <x:c r="I2963" s="24" t="str">
        <x:v>DuraVision Silver UV</x:v>
      </x:c>
      <x:c r="J2963" s="40" t="n">
        <x:v>5774</x:v>
      </x:c>
      <x:c r="K2963" s="24" t="str">
        <x:v>-4.00 a +4.00</x:v>
      </x:c>
      <x:c r="L2963" s="24" t="str">
        <x:v>-4.00</x:v>
      </x:c>
      <x:c r="M2963" s="24" t="str">
        <x:v>1.00 a 3.50</x:v>
      </x:c>
      <x:c r="N2963" s="24" t="str">
        <x:v>80</x:v>
      </x:c>
      <x:c r="O2963" s="24"/>
      <x:c r="P2963" s="24"/>
      <x:c r="Q2963" s="24" t="str">
        <x:v>DISPONÍVEL</x:v>
      </x:c>
      <x:c r="R2963" s="24" t="str">
        <x:v>Programa de Parcerias ZEISS</x:v>
      </x:c>
      <x:c r="S2963" s="24" t="n">
        <x:v>51</x:v>
      </x:c>
      <x:c r="T2963" s="24" t="str">
        <x:v>tabela_zeiss.pdf</x:v>
      </x:c>
      <x:c r="U2963" s="24" t="str">
        <x:v>ZEISS|Progressiva Especial|Surfaçada|Individual Sport|PhotoFusion X|1.5|1.50|DuraVision Silver UV|-4.00 a +4.00|-4.00|1.00 a 3.50|80|||51</x:v>
      </x:c>
    </x:row>
    <x:row r="2964">
      <x:c r="A2964" s="24" t="str">
        <x:v>ZS-7AB3A618A493</x:v>
      </x:c>
      <x:c r="B2964" s="24" t="str">
        <x:v>ZEISS</x:v>
      </x:c>
      <x:c r="C2964" s="24" t="str">
        <x:v>Progressiva Especial</x:v>
      </x:c>
      <x:c r="D2964" s="24" t="str">
        <x:v>Surfaçada</x:v>
      </x:c>
      <x:c r="E2964" s="24" t="str">
        <x:v>Individual Sport</x:v>
      </x:c>
      <x:c r="F2964" s="24" t="str">
        <x:v>PhotoFusion X</x:v>
      </x:c>
      <x:c r="G2964" s="24" t="str">
        <x:v>1.5</x:v>
      </x:c>
      <x:c r="H2964" s="24" t="str">
        <x:v>1.50</x:v>
      </x:c>
      <x:c r="I2964" s="24" t="str">
        <x:v>DuraVision Chrome UV</x:v>
      </x:c>
      <x:c r="J2964" s="40" t="n">
        <x:v>5284</x:v>
      </x:c>
      <x:c r="K2964" s="24" t="str">
        <x:v>-4.00 a +4.00</x:v>
      </x:c>
      <x:c r="L2964" s="24" t="str">
        <x:v>-4.00</x:v>
      </x:c>
      <x:c r="M2964" s="24" t="str">
        <x:v>1.00 a 3.50</x:v>
      </x:c>
      <x:c r="N2964" s="24" t="str">
        <x:v>80</x:v>
      </x:c>
      <x:c r="O2964" s="24"/>
      <x:c r="P2964" s="24"/>
      <x:c r="Q2964" s="24" t="str">
        <x:v>DISPONÍVEL</x:v>
      </x:c>
      <x:c r="R2964" s="24" t="str">
        <x:v>Programa de Parcerias ZEISS</x:v>
      </x:c>
      <x:c r="S2964" s="24" t="n">
        <x:v>51</x:v>
      </x:c>
      <x:c r="T2964" s="24" t="str">
        <x:v>tabela_zeiss.pdf</x:v>
      </x:c>
      <x:c r="U2964" s="24" t="str">
        <x:v>ZEISS|Progressiva Especial|Surfaçada|Individual Sport|PhotoFusion X|1.5|1.50|DuraVision Chrome UV|-4.00 a +4.00|-4.00|1.00 a 3.50|80|||51</x:v>
      </x:c>
    </x:row>
    <x:row r="2965">
      <x:c r="A2965" s="24" t="str">
        <x:v>ZS-ECBAFBB4C5E0</x:v>
      </x:c>
      <x:c r="B2965" s="24" t="str">
        <x:v>ZEISS</x:v>
      </x:c>
      <x:c r="C2965" s="24" t="str">
        <x:v>Progressiva Especial</x:v>
      </x:c>
      <x:c r="D2965" s="24" t="str">
        <x:v>Surfaçada</x:v>
      </x:c>
      <x:c r="E2965" s="24" t="str">
        <x:v>Individual Sport</x:v>
      </x:c>
      <x:c r="F2965" s="24" t="str">
        <x:v>PhotoFusion X</x:v>
      </x:c>
      <x:c r="G2965" s="24" t="str">
        <x:v>Poli</x:v>
      </x:c>
      <x:c r="H2965" s="24"/>
      <x:c r="I2965" s="24" t="str">
        <x:v>DuraVision Gold UV</x:v>
      </x:c>
      <x:c r="J2965" s="40" t="n">
        <x:v>6764</x:v>
      </x:c>
      <x:c r="K2965" s="24" t="str">
        <x:v>-4.00 a +4.00</x:v>
      </x:c>
      <x:c r="L2965" s="24" t="str">
        <x:v>-4.00</x:v>
      </x:c>
      <x:c r="M2965" s="24" t="str">
        <x:v>1.00 a 3.50</x:v>
      </x:c>
      <x:c r="N2965" s="24" t="str">
        <x:v>80</x:v>
      </x:c>
      <x:c r="O2965" s="24"/>
      <x:c r="P2965" s="24"/>
      <x:c r="Q2965" s="24" t="str">
        <x:v>DISPONÍVEL</x:v>
      </x:c>
      <x:c r="R2965" s="24" t="str">
        <x:v>Programa de Parcerias ZEISS</x:v>
      </x:c>
      <x:c r="S2965" s="24" t="n">
        <x:v>51</x:v>
      </x:c>
      <x:c r="T2965" s="24" t="str">
        <x:v>tabela_zeiss.pdf</x:v>
      </x:c>
      <x:c r="U2965" s="24" t="str">
        <x:v>ZEISS|Progressiva Especial|Surfaçada|Individual Sport|PhotoFusion X|Poli||DuraVision Gold UV|-4.00 a +4.00|-4.00|1.00 a 3.50|80|||51</x:v>
      </x:c>
    </x:row>
    <x:row r="2966">
      <x:c r="A2966" s="24" t="str">
        <x:v>ZS-64500D9A32E7</x:v>
      </x:c>
      <x:c r="B2966" s="24" t="str">
        <x:v>ZEISS</x:v>
      </x:c>
      <x:c r="C2966" s="24" t="str">
        <x:v>Progressiva Especial</x:v>
      </x:c>
      <x:c r="D2966" s="24" t="str">
        <x:v>Surfaçada</x:v>
      </x:c>
      <x:c r="E2966" s="24" t="str">
        <x:v>Individual Sport</x:v>
      </x:c>
      <x:c r="F2966" s="24" t="str">
        <x:v>PhotoFusion X</x:v>
      </x:c>
      <x:c r="G2966" s="24" t="str">
        <x:v>Poli</x:v>
      </x:c>
      <x:c r="H2966" s="24"/>
      <x:c r="I2966" s="24" t="str">
        <x:v>DuraVision Platinum UV</x:v>
      </x:c>
      <x:c r="J2966" s="40" t="n">
        <x:v>6624</x:v>
      </x:c>
      <x:c r="K2966" s="24" t="str">
        <x:v>-4.00 a +4.00</x:v>
      </x:c>
      <x:c r="L2966" s="24" t="str">
        <x:v>-4.00</x:v>
      </x:c>
      <x:c r="M2966" s="24" t="str">
        <x:v>1.00 a 3.50</x:v>
      </x:c>
      <x:c r="N2966" s="24" t="str">
        <x:v>80</x:v>
      </x:c>
      <x:c r="O2966" s="24"/>
      <x:c r="P2966" s="24"/>
      <x:c r="Q2966" s="24" t="str">
        <x:v>DISPONÍVEL</x:v>
      </x:c>
      <x:c r="R2966" s="24" t="str">
        <x:v>Programa de Parcerias ZEISS</x:v>
      </x:c>
      <x:c r="S2966" s="24" t="n">
        <x:v>51</x:v>
      </x:c>
      <x:c r="T2966" s="24" t="str">
        <x:v>tabela_zeiss.pdf</x:v>
      </x:c>
      <x:c r="U2966" s="24" t="str">
        <x:v>ZEISS|Progressiva Especial|Surfaçada|Individual Sport|PhotoFusion X|Poli||DuraVision Platinum UV|-4.00 a +4.00|-4.00|1.00 a 3.50|80|||51</x:v>
      </x:c>
    </x:row>
    <x:row r="2967">
      <x:c r="A2967" s="24" t="str">
        <x:v>ZS-4E1BE39E1F3F</x:v>
      </x:c>
      <x:c r="B2967" s="24" t="str">
        <x:v>ZEISS</x:v>
      </x:c>
      <x:c r="C2967" s="24" t="str">
        <x:v>Progressiva Especial</x:v>
      </x:c>
      <x:c r="D2967" s="24" t="str">
        <x:v>Surfaçada</x:v>
      </x:c>
      <x:c r="E2967" s="24" t="str">
        <x:v>Individual Sport</x:v>
      </x:c>
      <x:c r="F2967" s="24" t="str">
        <x:v>PhotoFusion X</x:v>
      </x:c>
      <x:c r="G2967" s="24" t="str">
        <x:v>Poli</x:v>
      </x:c>
      <x:c r="H2967" s="24"/>
      <x:c r="I2967" s="24" t="str">
        <x:v>DuraVision Silver UV</x:v>
      </x:c>
      <x:c r="J2967" s="40" t="n">
        <x:v>6364</x:v>
      </x:c>
      <x:c r="K2967" s="24" t="str">
        <x:v>-4.00 a +4.00</x:v>
      </x:c>
      <x:c r="L2967" s="24" t="str">
        <x:v>-4.00</x:v>
      </x:c>
      <x:c r="M2967" s="24" t="str">
        <x:v>1.00 a 3.50</x:v>
      </x:c>
      <x:c r="N2967" s="24" t="str">
        <x:v>80</x:v>
      </x:c>
      <x:c r="O2967" s="24"/>
      <x:c r="P2967" s="24"/>
      <x:c r="Q2967" s="24" t="str">
        <x:v>DISPONÍVEL</x:v>
      </x:c>
      <x:c r="R2967" s="24" t="str">
        <x:v>Programa de Parcerias ZEISS</x:v>
      </x:c>
      <x:c r="S2967" s="24" t="n">
        <x:v>51</x:v>
      </x:c>
      <x:c r="T2967" s="24" t="str">
        <x:v>tabela_zeiss.pdf</x:v>
      </x:c>
      <x:c r="U2967" s="24" t="str">
        <x:v>ZEISS|Progressiva Especial|Surfaçada|Individual Sport|PhotoFusion X|Poli||DuraVision Silver UV|-4.00 a +4.00|-4.00|1.00 a 3.50|80|||51</x:v>
      </x:c>
    </x:row>
    <x:row r="2968">
      <x:c r="A2968" s="24" t="str">
        <x:v>ZS-C60777F115EF</x:v>
      </x:c>
      <x:c r="B2968" s="24" t="str">
        <x:v>ZEISS</x:v>
      </x:c>
      <x:c r="C2968" s="24" t="str">
        <x:v>Progressiva Especial</x:v>
      </x:c>
      <x:c r="D2968" s="24" t="str">
        <x:v>Surfaçada</x:v>
      </x:c>
      <x:c r="E2968" s="24" t="str">
        <x:v>Individual Sport</x:v>
      </x:c>
      <x:c r="F2968" s="24" t="str">
        <x:v>PhotoFusion X</x:v>
      </x:c>
      <x:c r="G2968" s="24" t="str">
        <x:v>Poli</x:v>
      </x:c>
      <x:c r="H2968" s="24"/>
      <x:c r="I2968" s="24" t="str">
        <x:v>DuraVision Chrome UV</x:v>
      </x:c>
      <x:c r="J2968" s="40" t="n">
        <x:v>5874</x:v>
      </x:c>
      <x:c r="K2968" s="24" t="str">
        <x:v>-4.00 a +4.00</x:v>
      </x:c>
      <x:c r="L2968" s="24" t="str">
        <x:v>-4.00</x:v>
      </x:c>
      <x:c r="M2968" s="24" t="str">
        <x:v>1.00 a 3.50</x:v>
      </x:c>
      <x:c r="N2968" s="24" t="str">
        <x:v>80</x:v>
      </x:c>
      <x:c r="O2968" s="24"/>
      <x:c r="P2968" s="24"/>
      <x:c r="Q2968" s="24" t="str">
        <x:v>DISPONÍVEL</x:v>
      </x:c>
      <x:c r="R2968" s="24" t="str">
        <x:v>Programa de Parcerias ZEISS</x:v>
      </x:c>
      <x:c r="S2968" s="24" t="n">
        <x:v>51</x:v>
      </x:c>
      <x:c r="T2968" s="24" t="str">
        <x:v>tabela_zeiss.pdf</x:v>
      </x:c>
      <x:c r="U2968" s="24" t="str">
        <x:v>ZEISS|Progressiva Especial|Surfaçada|Individual Sport|PhotoFusion X|Poli||DuraVision Chrome UV|-4.00 a +4.00|-4.00|1.00 a 3.50|80|||51</x:v>
      </x:c>
    </x:row>
    <x:row r="2969">
      <x:c r="A2969" s="24" t="str">
        <x:v>ZS-C526C9DF6B30</x:v>
      </x:c>
      <x:c r="B2969" s="24" t="str">
        <x:v>ZEISS</x:v>
      </x:c>
      <x:c r="C2969" s="24" t="str">
        <x:v>Progressiva Especial</x:v>
      </x:c>
      <x:c r="D2969" s="24" t="str">
        <x:v>Surfaçada</x:v>
      </x:c>
      <x:c r="E2969" s="24" t="str">
        <x:v>Individual Sport</x:v>
      </x:c>
      <x:c r="F2969" s="24" t="str">
        <x:v>PhotoFusion X</x:v>
      </x:c>
      <x:c r="G2969" s="24" t="str">
        <x:v>1.6</x:v>
      </x:c>
      <x:c r="H2969" s="24" t="str">
        <x:v>1.60</x:v>
      </x:c>
      <x:c r="I2969" s="24" t="str">
        <x:v>DuraVision Gold UV</x:v>
      </x:c>
      <x:c r="J2969" s="40" t="n">
        <x:v>7424</x:v>
      </x:c>
      <x:c r="K2969" s="24" t="str">
        <x:v>-4.00 a +4.00</x:v>
      </x:c>
      <x:c r="L2969" s="24" t="str">
        <x:v>-4.00</x:v>
      </x:c>
      <x:c r="M2969" s="24" t="str">
        <x:v>1.00 a 3.50</x:v>
      </x:c>
      <x:c r="N2969" s="24" t="str">
        <x:v>83</x:v>
      </x:c>
      <x:c r="O2969" s="24"/>
      <x:c r="P2969" s="24"/>
      <x:c r="Q2969" s="24" t="str">
        <x:v>DISPONÍVEL</x:v>
      </x:c>
      <x:c r="R2969" s="24" t="str">
        <x:v>Programa de Parcerias ZEISS</x:v>
      </x:c>
      <x:c r="S2969" s="24" t="n">
        <x:v>51</x:v>
      </x:c>
      <x:c r="T2969" s="24" t="str">
        <x:v>tabela_zeiss.pdf</x:v>
      </x:c>
      <x:c r="U2969" s="24" t="str">
        <x:v>ZEISS|Progressiva Especial|Surfaçada|Individual Sport|PhotoFusion X|1.6|1.60|DuraVision Gold UV|-4.00 a +4.00|-4.00|1.00 a 3.50|83|||51</x:v>
      </x:c>
    </x:row>
    <x:row r="2970">
      <x:c r="A2970" s="24" t="str">
        <x:v>ZS-EE06A85ABA51</x:v>
      </x:c>
      <x:c r="B2970" s="24" t="str">
        <x:v>ZEISS</x:v>
      </x:c>
      <x:c r="C2970" s="24" t="str">
        <x:v>Progressiva Especial</x:v>
      </x:c>
      <x:c r="D2970" s="24" t="str">
        <x:v>Surfaçada</x:v>
      </x:c>
      <x:c r="E2970" s="24" t="str">
        <x:v>Individual Sport</x:v>
      </x:c>
      <x:c r="F2970" s="24" t="str">
        <x:v>PhotoFusion X</x:v>
      </x:c>
      <x:c r="G2970" s="24" t="str">
        <x:v>1.6</x:v>
      </x:c>
      <x:c r="H2970" s="24" t="str">
        <x:v>1.60</x:v>
      </x:c>
      <x:c r="I2970" s="24" t="str">
        <x:v>DURAVISION® ANTIVÍRUS PLATINUM UV</x:v>
      </x:c>
      <x:c r="J2970" s="40" t="n">
        <x:v>7284</x:v>
      </x:c>
      <x:c r="K2970" s="24" t="str">
        <x:v>-4.00 a +4.00</x:v>
      </x:c>
      <x:c r="L2970" s="24" t="str">
        <x:v>-4.00</x:v>
      </x:c>
      <x:c r="M2970" s="24" t="str">
        <x:v>1.00 a 3.50</x:v>
      </x:c>
      <x:c r="N2970" s="24" t="str">
        <x:v>83</x:v>
      </x:c>
      <x:c r="O2970" s="24"/>
      <x:c r="P2970" s="24"/>
      <x:c r="Q2970" s="24" t="str">
        <x:v>DISPONÍVEL</x:v>
      </x:c>
      <x:c r="R2970" s="24" t="str">
        <x:v>Programa de Parcerias ZEISS</x:v>
      </x:c>
      <x:c r="S2970" s="24" t="n">
        <x:v>51</x:v>
      </x:c>
      <x:c r="T2970" s="24" t="str">
        <x:v>tabela_zeiss.pdf</x:v>
      </x:c>
      <x:c r="U2970" s="24" t="str">
        <x:v>ZEISS|Progressiva Especial|Surfaçada|Individual Sport|PhotoFusion X|1.6|1.60|DURAVISION® ANTIVÍRUS PLATINUM UV|-4.00 a +4.00|-4.00|1.00 a 3.50|83|||51</x:v>
      </x:c>
    </x:row>
    <x:row r="2971">
      <x:c r="A2971" s="24" t="str">
        <x:v>ZS-834FBC8CA082</x:v>
      </x:c>
      <x:c r="B2971" s="24" t="str">
        <x:v>ZEISS</x:v>
      </x:c>
      <x:c r="C2971" s="24" t="str">
        <x:v>Progressiva Especial</x:v>
      </x:c>
      <x:c r="D2971" s="24" t="str">
        <x:v>Surfaçada</x:v>
      </x:c>
      <x:c r="E2971" s="24" t="str">
        <x:v>Individual Sport</x:v>
      </x:c>
      <x:c r="F2971" s="24" t="str">
        <x:v>PhotoFusion X</x:v>
      </x:c>
      <x:c r="G2971" s="24" t="str">
        <x:v>1.6</x:v>
      </x:c>
      <x:c r="H2971" s="24" t="str">
        <x:v>1.60</x:v>
      </x:c>
      <x:c r="I2971" s="24" t="str">
        <x:v>DuraVision Platinum UV</x:v>
      </x:c>
      <x:c r="J2971" s="40" t="n">
        <x:v>7284</x:v>
      </x:c>
      <x:c r="K2971" s="24" t="str">
        <x:v>-4.00 a +4.00</x:v>
      </x:c>
      <x:c r="L2971" s="24" t="str">
        <x:v>-4.00</x:v>
      </x:c>
      <x:c r="M2971" s="24" t="str">
        <x:v>1.00 a 3.50</x:v>
      </x:c>
      <x:c r="N2971" s="24" t="str">
        <x:v>83</x:v>
      </x:c>
      <x:c r="O2971" s="24"/>
      <x:c r="P2971" s="24"/>
      <x:c r="Q2971" s="24" t="str">
        <x:v>DISPONÍVEL</x:v>
      </x:c>
      <x:c r="R2971" s="24" t="str">
        <x:v>Programa de Parcerias ZEISS</x:v>
      </x:c>
      <x:c r="S2971" s="24" t="n">
        <x:v>51</x:v>
      </x:c>
      <x:c r="T2971" s="24" t="str">
        <x:v>tabela_zeiss.pdf</x:v>
      </x:c>
      <x:c r="U2971" s="24" t="str">
        <x:v>ZEISS|Progressiva Especial|Surfaçada|Individual Sport|PhotoFusion X|1.6|1.60|DuraVision Platinum UV|-4.00 a +4.00|-4.00|1.00 a 3.50|83|||51</x:v>
      </x:c>
    </x:row>
    <x:row r="2972">
      <x:c r="A2972" s="24" t="str">
        <x:v>ZS-CDC884F3D636</x:v>
      </x:c>
      <x:c r="B2972" s="24" t="str">
        <x:v>ZEISS</x:v>
      </x:c>
      <x:c r="C2972" s="24" t="str">
        <x:v>Progressiva Especial</x:v>
      </x:c>
      <x:c r="D2972" s="24" t="str">
        <x:v>Surfaçada</x:v>
      </x:c>
      <x:c r="E2972" s="24" t="str">
        <x:v>Individual Sport</x:v>
      </x:c>
      <x:c r="F2972" s="24" t="str">
        <x:v>PhotoFusion X</x:v>
      </x:c>
      <x:c r="G2972" s="24" t="str">
        <x:v>1.6</x:v>
      </x:c>
      <x:c r="H2972" s="24" t="str">
        <x:v>1.60</x:v>
      </x:c>
      <x:c r="I2972" s="24" t="str">
        <x:v>DuraVision Silver UV</x:v>
      </x:c>
      <x:c r="J2972" s="40" t="n">
        <x:v>7024</x:v>
      </x:c>
      <x:c r="K2972" s="24" t="str">
        <x:v>-4.00 a +4.00</x:v>
      </x:c>
      <x:c r="L2972" s="24" t="str">
        <x:v>-4.00</x:v>
      </x:c>
      <x:c r="M2972" s="24" t="str">
        <x:v>1.00 a 3.50</x:v>
      </x:c>
      <x:c r="N2972" s="24" t="str">
        <x:v>83</x:v>
      </x:c>
      <x:c r="O2972" s="24"/>
      <x:c r="P2972" s="24"/>
      <x:c r="Q2972" s="24" t="str">
        <x:v>DISPONÍVEL</x:v>
      </x:c>
      <x:c r="R2972" s="24" t="str">
        <x:v>Programa de Parcerias ZEISS</x:v>
      </x:c>
      <x:c r="S2972" s="24" t="n">
        <x:v>51</x:v>
      </x:c>
      <x:c r="T2972" s="24" t="str">
        <x:v>tabela_zeiss.pdf</x:v>
      </x:c>
      <x:c r="U2972" s="24" t="str">
        <x:v>ZEISS|Progressiva Especial|Surfaçada|Individual Sport|PhotoFusion X|1.6|1.60|DuraVision Silver UV|-4.00 a +4.00|-4.00|1.00 a 3.50|83|||51</x:v>
      </x:c>
    </x:row>
    <x:row r="2973">
      <x:c r="A2973" s="24" t="str">
        <x:v>ZS-BD7B4D0EEB97</x:v>
      </x:c>
      <x:c r="B2973" s="24" t="str">
        <x:v>ZEISS</x:v>
      </x:c>
      <x:c r="C2973" s="24" t="str">
        <x:v>Progressiva Especial</x:v>
      </x:c>
      <x:c r="D2973" s="24" t="str">
        <x:v>Surfaçada</x:v>
      </x:c>
      <x:c r="E2973" s="24" t="str">
        <x:v>Individual Sport</x:v>
      </x:c>
      <x:c r="F2973" s="24" t="str">
        <x:v>PhotoFusion X</x:v>
      </x:c>
      <x:c r="G2973" s="24" t="str">
        <x:v>1.6</x:v>
      </x:c>
      <x:c r="H2973" s="24" t="str">
        <x:v>1.60</x:v>
      </x:c>
      <x:c r="I2973" s="24" t="str">
        <x:v>DuraVision Chrome UV</x:v>
      </x:c>
      <x:c r="J2973" s="40" t="n">
        <x:v>6534</x:v>
      </x:c>
      <x:c r="K2973" s="24" t="str">
        <x:v>-4.00 a +4.00</x:v>
      </x:c>
      <x:c r="L2973" s="24" t="str">
        <x:v>-4.00</x:v>
      </x:c>
      <x:c r="M2973" s="24" t="str">
        <x:v>1.00 a 3.50</x:v>
      </x:c>
      <x:c r="N2973" s="24" t="str">
        <x:v>83</x:v>
      </x:c>
      <x:c r="O2973" s="24"/>
      <x:c r="P2973" s="24"/>
      <x:c r="Q2973" s="24" t="str">
        <x:v>DISPONÍVEL</x:v>
      </x:c>
      <x:c r="R2973" s="24" t="str">
        <x:v>Programa de Parcerias ZEISS</x:v>
      </x:c>
      <x:c r="S2973" s="24" t="n">
        <x:v>51</x:v>
      </x:c>
      <x:c r="T2973" s="24" t="str">
        <x:v>tabela_zeiss.pdf</x:v>
      </x:c>
      <x:c r="U2973" s="24" t="str">
        <x:v>ZEISS|Progressiva Especial|Surfaçada|Individual Sport|PhotoFusion X|1.6|1.60|DuraVision Chrome UV|-4.00 a +4.00|-4.00|1.00 a 3.50|83|||51</x:v>
      </x:c>
    </x:row>
    <x:row r="2974">
      <x:c r="A2974" s="24" t="str">
        <x:v>ZS-4B613A22CAE0</x:v>
      </x:c>
      <x:c r="B2974" s="24" t="str">
        <x:v>ZEISS</x:v>
      </x:c>
      <x:c r="C2974" s="24" t="str">
        <x:v>Progressiva Especial</x:v>
      </x:c>
      <x:c r="D2974" s="24" t="str">
        <x:v>Surfaçada</x:v>
      </x:c>
      <x:c r="E2974" s="24" t="str">
        <x:v>Individual Sport</x:v>
      </x:c>
      <x:c r="F2974" s="24" t="str">
        <x:v>PhotoFusion X Extra Dark Cinza</x:v>
      </x:c>
      <x:c r="G2974" s="24" t="str">
        <x:v>1.5</x:v>
      </x:c>
      <x:c r="H2974" s="24" t="str">
        <x:v>1.50</x:v>
      </x:c>
      <x:c r="I2974" s="24" t="str">
        <x:v>DuraVision Gold UV</x:v>
      </x:c>
      <x:c r="J2974" s="40" t="n">
        <x:v>6224</x:v>
      </x:c>
      <x:c r="K2974" s="24" t="str">
        <x:v>-4.00 a +4.00</x:v>
      </x:c>
      <x:c r="L2974" s="24" t="str">
        <x:v>-4.00</x:v>
      </x:c>
      <x:c r="M2974" s="24" t="str">
        <x:v>1.00 a 3.50</x:v>
      </x:c>
      <x:c r="N2974" s="24" t="str">
        <x:v>80</x:v>
      </x:c>
      <x:c r="O2974" s="24"/>
      <x:c r="P2974" s="24"/>
      <x:c r="Q2974" s="24" t="str">
        <x:v>DISPONÍVEL</x:v>
      </x:c>
      <x:c r="R2974" s="24" t="str">
        <x:v>Programa de Parcerias ZEISS</x:v>
      </x:c>
      <x:c r="S2974" s="24" t="n">
        <x:v>51</x:v>
      </x:c>
      <x:c r="T2974" s="24" t="str">
        <x:v>tabela_zeiss.pdf</x:v>
      </x:c>
      <x:c r="U2974" s="24" t="str">
        <x:v>ZEISS|Progressiva Especial|Surfaçada|Individual Sport|PhotoFusion X Extra Dark Cinza|1.5|1.50|DuraVision Gold UV|-4.00 a +4.00|-4.00|1.00 a 3.50|80|||51</x:v>
      </x:c>
    </x:row>
    <x:row r="2975">
      <x:c r="A2975" s="24" t="str">
        <x:v>ZS-03902EA64902</x:v>
      </x:c>
      <x:c r="B2975" s="24" t="str">
        <x:v>ZEISS</x:v>
      </x:c>
      <x:c r="C2975" s="24" t="str">
        <x:v>Progressiva Especial</x:v>
      </x:c>
      <x:c r="D2975" s="24" t="str">
        <x:v>Surfaçada</x:v>
      </x:c>
      <x:c r="E2975" s="24" t="str">
        <x:v>Individual Sport</x:v>
      </x:c>
      <x:c r="F2975" s="24" t="str">
        <x:v>PhotoFusion X Extra Dark Cinza</x:v>
      </x:c>
      <x:c r="G2975" s="24" t="str">
        <x:v>1.5</x:v>
      </x:c>
      <x:c r="H2975" s="24" t="str">
        <x:v>1.50</x:v>
      </x:c>
      <x:c r="I2975" s="24" t="str">
        <x:v>DURAVISION® ANTIVÍRUS PLATINUM UV</x:v>
      </x:c>
      <x:c r="J2975" s="40" t="n">
        <x:v>6084</x:v>
      </x:c>
      <x:c r="K2975" s="24" t="str">
        <x:v>-4.00 a +4.00</x:v>
      </x:c>
      <x:c r="L2975" s="24" t="str">
        <x:v>-4.00</x:v>
      </x:c>
      <x:c r="M2975" s="24" t="str">
        <x:v>1.00 a 3.50</x:v>
      </x:c>
      <x:c r="N2975" s="24" t="str">
        <x:v>80</x:v>
      </x:c>
      <x:c r="O2975" s="24"/>
      <x:c r="P2975" s="24"/>
      <x:c r="Q2975" s="24" t="str">
        <x:v>DISPONÍVEL</x:v>
      </x:c>
      <x:c r="R2975" s="24" t="str">
        <x:v>Programa de Parcerias ZEISS</x:v>
      </x:c>
      <x:c r="S2975" s="24" t="n">
        <x:v>51</x:v>
      </x:c>
      <x:c r="T2975" s="24" t="str">
        <x:v>tabela_zeiss.pdf</x:v>
      </x:c>
      <x:c r="U2975" s="24" t="str">
        <x:v>ZEISS|Progressiva Especial|Surfaçada|Individual Sport|PhotoFusion X Extra Dark Cinza|1.5|1.50|DURAVISION® ANTIVÍRUS PLATINUM UV|-4.00 a +4.00|-4.00|1.00 a 3.50|80|||51</x:v>
      </x:c>
    </x:row>
    <x:row r="2976">
      <x:c r="A2976" s="24" t="str">
        <x:v>ZS-55EA61BB3189</x:v>
      </x:c>
      <x:c r="B2976" s="24" t="str">
        <x:v>ZEISS</x:v>
      </x:c>
      <x:c r="C2976" s="24" t="str">
        <x:v>Progressiva Especial</x:v>
      </x:c>
      <x:c r="D2976" s="24" t="str">
        <x:v>Surfaçada</x:v>
      </x:c>
      <x:c r="E2976" s="24" t="str">
        <x:v>Individual Sport</x:v>
      </x:c>
      <x:c r="F2976" s="24" t="str">
        <x:v>PhotoFusion X Extra Dark Cinza</x:v>
      </x:c>
      <x:c r="G2976" s="24" t="str">
        <x:v>1.5</x:v>
      </x:c>
      <x:c r="H2976" s="24" t="str">
        <x:v>1.50</x:v>
      </x:c>
      <x:c r="I2976" s="24" t="str">
        <x:v>DuraVision Platinum UV</x:v>
      </x:c>
      <x:c r="J2976" s="40" t="n">
        <x:v>6084</x:v>
      </x:c>
      <x:c r="K2976" s="24" t="str">
        <x:v>-4.00 a +4.00</x:v>
      </x:c>
      <x:c r="L2976" s="24" t="str">
        <x:v>-4.00</x:v>
      </x:c>
      <x:c r="M2976" s="24" t="str">
        <x:v>1.00 a 3.50</x:v>
      </x:c>
      <x:c r="N2976" s="24" t="str">
        <x:v>80</x:v>
      </x:c>
      <x:c r="O2976" s="24"/>
      <x:c r="P2976" s="24"/>
      <x:c r="Q2976" s="24" t="str">
        <x:v>DISPONÍVEL</x:v>
      </x:c>
      <x:c r="R2976" s="24" t="str">
        <x:v>Programa de Parcerias ZEISS</x:v>
      </x:c>
      <x:c r="S2976" s="24" t="n">
        <x:v>51</x:v>
      </x:c>
      <x:c r="T2976" s="24" t="str">
        <x:v>tabela_zeiss.pdf</x:v>
      </x:c>
      <x:c r="U2976" s="24" t="str">
        <x:v>ZEISS|Progressiva Especial|Surfaçada|Individual Sport|PhotoFusion X Extra Dark Cinza|1.5|1.50|DuraVision Platinum UV|-4.00 a +4.00|-4.00|1.00 a 3.50|80|||51</x:v>
      </x:c>
    </x:row>
    <x:row r="2977">
      <x:c r="A2977" s="24" t="str">
        <x:v>ZS-A64307783D32</x:v>
      </x:c>
      <x:c r="B2977" s="24" t="str">
        <x:v>ZEISS</x:v>
      </x:c>
      <x:c r="C2977" s="24" t="str">
        <x:v>Progressiva Especial</x:v>
      </x:c>
      <x:c r="D2977" s="24" t="str">
        <x:v>Surfaçada</x:v>
      </x:c>
      <x:c r="E2977" s="24" t="str">
        <x:v>Individual Sport</x:v>
      </x:c>
      <x:c r="F2977" s="24" t="str">
        <x:v>PhotoFusion X Extra Dark Cinza</x:v>
      </x:c>
      <x:c r="G2977" s="24" t="str">
        <x:v>1.5</x:v>
      </x:c>
      <x:c r="H2977" s="24" t="str">
        <x:v>1.50</x:v>
      </x:c>
      <x:c r="I2977" s="24" t="str">
        <x:v>DuraVision Silver UV</x:v>
      </x:c>
      <x:c r="J2977" s="40" t="n">
        <x:v>5824</x:v>
      </x:c>
      <x:c r="K2977" s="24" t="str">
        <x:v>-4.00 a +4.00</x:v>
      </x:c>
      <x:c r="L2977" s="24" t="str">
        <x:v>-4.00</x:v>
      </x:c>
      <x:c r="M2977" s="24" t="str">
        <x:v>1.00 a 3.50</x:v>
      </x:c>
      <x:c r="N2977" s="24" t="str">
        <x:v>80</x:v>
      </x:c>
      <x:c r="O2977" s="24"/>
      <x:c r="P2977" s="24"/>
      <x:c r="Q2977" s="24" t="str">
        <x:v>DISPONÍVEL</x:v>
      </x:c>
      <x:c r="R2977" s="24" t="str">
        <x:v>Programa de Parcerias ZEISS</x:v>
      </x:c>
      <x:c r="S2977" s="24" t="n">
        <x:v>51</x:v>
      </x:c>
      <x:c r="T2977" s="24" t="str">
        <x:v>tabela_zeiss.pdf</x:v>
      </x:c>
      <x:c r="U2977" s="24" t="str">
        <x:v>ZEISS|Progressiva Especial|Surfaçada|Individual Sport|PhotoFusion X Extra Dark Cinza|1.5|1.50|DuraVision Silver UV|-4.00 a +4.00|-4.00|1.00 a 3.50|80|||51</x:v>
      </x:c>
    </x:row>
    <x:row r="2978">
      <x:c r="A2978" s="24" t="str">
        <x:v>ZS-F9E403469E50</x:v>
      </x:c>
      <x:c r="B2978" s="24" t="str">
        <x:v>ZEISS</x:v>
      </x:c>
      <x:c r="C2978" s="24" t="str">
        <x:v>Progressiva Especial</x:v>
      </x:c>
      <x:c r="D2978" s="24" t="str">
        <x:v>Surfaçada</x:v>
      </x:c>
      <x:c r="E2978" s="24" t="str">
        <x:v>Individual Sport</x:v>
      </x:c>
      <x:c r="F2978" s="24" t="str">
        <x:v>PhotoFusion X Extra Dark Cinza</x:v>
      </x:c>
      <x:c r="G2978" s="24" t="str">
        <x:v>1.5</x:v>
      </x:c>
      <x:c r="H2978" s="24" t="str">
        <x:v>1.50</x:v>
      </x:c>
      <x:c r="I2978" s="24" t="str">
        <x:v>DuraVision Chrome UV</x:v>
      </x:c>
      <x:c r="J2978" s="40" t="n">
        <x:v>5334</x:v>
      </x:c>
      <x:c r="K2978" s="24" t="str">
        <x:v>-4.00 a +4.00</x:v>
      </x:c>
      <x:c r="L2978" s="24" t="str">
        <x:v>-4.00</x:v>
      </x:c>
      <x:c r="M2978" s="24" t="str">
        <x:v>1.00 a 3.50</x:v>
      </x:c>
      <x:c r="N2978" s="24" t="str">
        <x:v>80</x:v>
      </x:c>
      <x:c r="O2978" s="24"/>
      <x:c r="P2978" s="24"/>
      <x:c r="Q2978" s="24" t="str">
        <x:v>DISPONÍVEL</x:v>
      </x:c>
      <x:c r="R2978" s="24" t="str">
        <x:v>Programa de Parcerias ZEISS</x:v>
      </x:c>
      <x:c r="S2978" s="24" t="n">
        <x:v>51</x:v>
      </x:c>
      <x:c r="T2978" s="24" t="str">
        <x:v>tabela_zeiss.pdf</x:v>
      </x:c>
      <x:c r="U2978" s="24" t="str">
        <x:v>ZEISS|Progressiva Especial|Surfaçada|Individual Sport|PhotoFusion X Extra Dark Cinza|1.5|1.50|DuraVision Chrome UV|-4.00 a +4.00|-4.00|1.00 a 3.50|80|||51</x:v>
      </x:c>
    </x:row>
    <x:row r="2979">
      <x:c r="A2979" s="24" t="str">
        <x:v>ZS-01001DFA3E6C</x:v>
      </x:c>
      <x:c r="B2979" s="24" t="str">
        <x:v>ZEISS</x:v>
      </x:c>
      <x:c r="C2979" s="24" t="str">
        <x:v>Progressiva Especial</x:v>
      </x:c>
      <x:c r="D2979" s="24" t="str">
        <x:v>Surfaçada</x:v>
      </x:c>
      <x:c r="E2979" s="24" t="str">
        <x:v>Individual Sport</x:v>
      </x:c>
      <x:c r="F2979" s="24" t="str">
        <x:v>PhotoFusion X Extra Dark Cinza</x:v>
      </x:c>
      <x:c r="G2979" s="24" t="str">
        <x:v>Poli</x:v>
      </x:c>
      <x:c r="H2979" s="24"/>
      <x:c r="I2979" s="24" t="str">
        <x:v>DuraVision Gold UV</x:v>
      </x:c>
      <x:c r="J2979" s="40" t="n">
        <x:v>6814</x:v>
      </x:c>
      <x:c r="K2979" s="24" t="str">
        <x:v>-4.00 a +4.00</x:v>
      </x:c>
      <x:c r="L2979" s="24" t="str">
        <x:v>-4.00</x:v>
      </x:c>
      <x:c r="M2979" s="24" t="str">
        <x:v>1.00 a 3.50</x:v>
      </x:c>
      <x:c r="N2979" s="24" t="str">
        <x:v>80</x:v>
      </x:c>
      <x:c r="O2979" s="24"/>
      <x:c r="P2979" s="24"/>
      <x:c r="Q2979" s="24" t="str">
        <x:v>DISPONÍVEL</x:v>
      </x:c>
      <x:c r="R2979" s="24" t="str">
        <x:v>Programa de Parcerias ZEISS</x:v>
      </x:c>
      <x:c r="S2979" s="24" t="n">
        <x:v>51</x:v>
      </x:c>
      <x:c r="T2979" s="24" t="str">
        <x:v>tabela_zeiss.pdf</x:v>
      </x:c>
      <x:c r="U2979" s="24" t="str">
        <x:v>ZEISS|Progressiva Especial|Surfaçada|Individual Sport|PhotoFusion X Extra Dark Cinza|Poli||DuraVision Gold UV|-4.00 a +4.00|-4.00|1.00 a 3.50|80|||51</x:v>
      </x:c>
    </x:row>
    <x:row r="2980">
      <x:c r="A2980" s="24" t="str">
        <x:v>ZS-BE413BEF5DDD</x:v>
      </x:c>
      <x:c r="B2980" s="24" t="str">
        <x:v>ZEISS</x:v>
      </x:c>
      <x:c r="C2980" s="24" t="str">
        <x:v>Progressiva Especial</x:v>
      </x:c>
      <x:c r="D2980" s="24" t="str">
        <x:v>Surfaçada</x:v>
      </x:c>
      <x:c r="E2980" s="24" t="str">
        <x:v>Individual Sport</x:v>
      </x:c>
      <x:c r="F2980" s="24" t="str">
        <x:v>PhotoFusion X Extra Dark Cinza</x:v>
      </x:c>
      <x:c r="G2980" s="24" t="str">
        <x:v>Poli</x:v>
      </x:c>
      <x:c r="H2980" s="24"/>
      <x:c r="I2980" s="24" t="str">
        <x:v>DuraVision Platinum UV</x:v>
      </x:c>
      <x:c r="J2980" s="40" t="n">
        <x:v>6674</x:v>
      </x:c>
      <x:c r="K2980" s="24" t="str">
        <x:v>-4.00 a +4.00</x:v>
      </x:c>
      <x:c r="L2980" s="24" t="str">
        <x:v>-4.00</x:v>
      </x:c>
      <x:c r="M2980" s="24" t="str">
        <x:v>1.00 a 3.50</x:v>
      </x:c>
      <x:c r="N2980" s="24" t="str">
        <x:v>80</x:v>
      </x:c>
      <x:c r="O2980" s="24"/>
      <x:c r="P2980" s="24"/>
      <x:c r="Q2980" s="24" t="str">
        <x:v>DISPONÍVEL</x:v>
      </x:c>
      <x:c r="R2980" s="24" t="str">
        <x:v>Programa de Parcerias ZEISS</x:v>
      </x:c>
      <x:c r="S2980" s="24" t="n">
        <x:v>51</x:v>
      </x:c>
      <x:c r="T2980" s="24" t="str">
        <x:v>tabela_zeiss.pdf</x:v>
      </x:c>
      <x:c r="U2980" s="24" t="str">
        <x:v>ZEISS|Progressiva Especial|Surfaçada|Individual Sport|PhotoFusion X Extra Dark Cinza|Poli||DuraVision Platinum UV|-4.00 a +4.00|-4.00|1.00 a 3.50|80|||51</x:v>
      </x:c>
    </x:row>
    <x:row r="2981">
      <x:c r="A2981" s="24" t="str">
        <x:v>ZS-6A39A093BEEE</x:v>
      </x:c>
      <x:c r="B2981" s="24" t="str">
        <x:v>ZEISS</x:v>
      </x:c>
      <x:c r="C2981" s="24" t="str">
        <x:v>Progressiva Especial</x:v>
      </x:c>
      <x:c r="D2981" s="24" t="str">
        <x:v>Surfaçada</x:v>
      </x:c>
      <x:c r="E2981" s="24" t="str">
        <x:v>Individual Sport</x:v>
      </x:c>
      <x:c r="F2981" s="24" t="str">
        <x:v>PhotoFusion X Extra Dark Cinza</x:v>
      </x:c>
      <x:c r="G2981" s="24" t="str">
        <x:v>Poli</x:v>
      </x:c>
      <x:c r="H2981" s="24"/>
      <x:c r="I2981" s="24" t="str">
        <x:v>DuraVision Silver UV</x:v>
      </x:c>
      <x:c r="J2981" s="40" t="n">
        <x:v>6414</x:v>
      </x:c>
      <x:c r="K2981" s="24" t="str">
        <x:v>-4.00 a +4.00</x:v>
      </x:c>
      <x:c r="L2981" s="24" t="str">
        <x:v>-4.00</x:v>
      </x:c>
      <x:c r="M2981" s="24" t="str">
        <x:v>1.00 a 3.50</x:v>
      </x:c>
      <x:c r="N2981" s="24" t="str">
        <x:v>80</x:v>
      </x:c>
      <x:c r="O2981" s="24"/>
      <x:c r="P2981" s="24"/>
      <x:c r="Q2981" s="24" t="str">
        <x:v>DISPONÍVEL</x:v>
      </x:c>
      <x:c r="R2981" s="24" t="str">
        <x:v>Programa de Parcerias ZEISS</x:v>
      </x:c>
      <x:c r="S2981" s="24" t="n">
        <x:v>51</x:v>
      </x:c>
      <x:c r="T2981" s="24" t="str">
        <x:v>tabela_zeiss.pdf</x:v>
      </x:c>
      <x:c r="U2981" s="24" t="str">
        <x:v>ZEISS|Progressiva Especial|Surfaçada|Individual Sport|PhotoFusion X Extra Dark Cinza|Poli||DuraVision Silver UV|-4.00 a +4.00|-4.00|1.00 a 3.50|80|||51</x:v>
      </x:c>
    </x:row>
    <x:row r="2982">
      <x:c r="A2982" s="24" t="str">
        <x:v>ZS-91B89EF69BF5</x:v>
      </x:c>
      <x:c r="B2982" s="24" t="str">
        <x:v>ZEISS</x:v>
      </x:c>
      <x:c r="C2982" s="24" t="str">
        <x:v>Progressiva Especial</x:v>
      </x:c>
      <x:c r="D2982" s="24" t="str">
        <x:v>Surfaçada</x:v>
      </x:c>
      <x:c r="E2982" s="24" t="str">
        <x:v>Individual Sport</x:v>
      </x:c>
      <x:c r="F2982" s="24" t="str">
        <x:v>PhotoFusion X Extra Dark Cinza</x:v>
      </x:c>
      <x:c r="G2982" s="24" t="str">
        <x:v>Poli</x:v>
      </x:c>
      <x:c r="H2982" s="24"/>
      <x:c r="I2982" s="24" t="str">
        <x:v>DuraVision Chrome UV</x:v>
      </x:c>
      <x:c r="J2982" s="40" t="n">
        <x:v>5924</x:v>
      </x:c>
      <x:c r="K2982" s="24" t="str">
        <x:v>-4.00 a +4.00</x:v>
      </x:c>
      <x:c r="L2982" s="24" t="str">
        <x:v>-4.00</x:v>
      </x:c>
      <x:c r="M2982" s="24" t="str">
        <x:v>1.00 a 3.50</x:v>
      </x:c>
      <x:c r="N2982" s="24" t="str">
        <x:v>80</x:v>
      </x:c>
      <x:c r="O2982" s="24"/>
      <x:c r="P2982" s="24"/>
      <x:c r="Q2982" s="24" t="str">
        <x:v>DISPONÍVEL</x:v>
      </x:c>
      <x:c r="R2982" s="24" t="str">
        <x:v>Programa de Parcerias ZEISS</x:v>
      </x:c>
      <x:c r="S2982" s="24" t="n">
        <x:v>51</x:v>
      </x:c>
      <x:c r="T2982" s="24" t="str">
        <x:v>tabela_zeiss.pdf</x:v>
      </x:c>
      <x:c r="U2982" s="24" t="str">
        <x:v>ZEISS|Progressiva Especial|Surfaçada|Individual Sport|PhotoFusion X Extra Dark Cinza|Poli||DuraVision Chrome UV|-4.00 a +4.00|-4.00|1.00 a 3.50|80|||51</x:v>
      </x:c>
    </x:row>
    <x:row r="2983">
      <x:c r="A2983" s="24" t="str">
        <x:v>ZS-6E1F348D30BD</x:v>
      </x:c>
      <x:c r="B2983" s="24" t="str">
        <x:v>ZEISS</x:v>
      </x:c>
      <x:c r="C2983" s="24" t="str">
        <x:v>Progressiva Especial</x:v>
      </x:c>
      <x:c r="D2983" s="24" t="str">
        <x:v>Surfaçada</x:v>
      </x:c>
      <x:c r="E2983" s="24" t="str">
        <x:v>Individual Sport</x:v>
      </x:c>
      <x:c r="F2983" s="24" t="str">
        <x:v>PhotoFusion X Extra Dark Cinza</x:v>
      </x:c>
      <x:c r="G2983" s="24" t="str">
        <x:v>1.6</x:v>
      </x:c>
      <x:c r="H2983" s="24" t="str">
        <x:v>1.60</x:v>
      </x:c>
      <x:c r="I2983" s="24" t="str">
        <x:v>DuraVision Gold UV</x:v>
      </x:c>
      <x:c r="J2983" s="40" t="n">
        <x:v>7474</x:v>
      </x:c>
      <x:c r="K2983" s="24" t="str">
        <x:v>-4.00 a +4.00</x:v>
      </x:c>
      <x:c r="L2983" s="24" t="str">
        <x:v>-4.00</x:v>
      </x:c>
      <x:c r="M2983" s="24" t="str">
        <x:v>1.00 a 3.50</x:v>
      </x:c>
      <x:c r="N2983" s="24" t="str">
        <x:v>83</x:v>
      </x:c>
      <x:c r="O2983" s="24"/>
      <x:c r="P2983" s="24"/>
      <x:c r="Q2983" s="24" t="str">
        <x:v>DISPONÍVEL</x:v>
      </x:c>
      <x:c r="R2983" s="24" t="str">
        <x:v>Programa de Parcerias ZEISS</x:v>
      </x:c>
      <x:c r="S2983" s="24" t="n">
        <x:v>51</x:v>
      </x:c>
      <x:c r="T2983" s="24" t="str">
        <x:v>tabela_zeiss.pdf</x:v>
      </x:c>
      <x:c r="U2983" s="24" t="str">
        <x:v>ZEISS|Progressiva Especial|Surfaçada|Individual Sport|PhotoFusion X Extra Dark Cinza|1.6|1.60|DuraVision Gold UV|-4.00 a +4.00|-4.00|1.00 a 3.50|83|||51</x:v>
      </x:c>
    </x:row>
    <x:row r="2984">
      <x:c r="A2984" s="24" t="str">
        <x:v>ZS-3D68826635B4</x:v>
      </x:c>
      <x:c r="B2984" s="24" t="str">
        <x:v>ZEISS</x:v>
      </x:c>
      <x:c r="C2984" s="24" t="str">
        <x:v>Progressiva Especial</x:v>
      </x:c>
      <x:c r="D2984" s="24" t="str">
        <x:v>Surfaçada</x:v>
      </x:c>
      <x:c r="E2984" s="24" t="str">
        <x:v>Individual Sport</x:v>
      </x:c>
      <x:c r="F2984" s="24" t="str">
        <x:v>PhotoFusion X Extra Dark Cinza</x:v>
      </x:c>
      <x:c r="G2984" s="24" t="str">
        <x:v>1.6</x:v>
      </x:c>
      <x:c r="H2984" s="24" t="str">
        <x:v>1.60</x:v>
      </x:c>
      <x:c r="I2984" s="24" t="str">
        <x:v>DURAVISION® ANTIVÍRUS PLATINUM UV</x:v>
      </x:c>
      <x:c r="J2984" s="40" t="n">
        <x:v>7334</x:v>
      </x:c>
      <x:c r="K2984" s="24" t="str">
        <x:v>-4.00 a +4.00</x:v>
      </x:c>
      <x:c r="L2984" s="24" t="str">
        <x:v>-4.00</x:v>
      </x:c>
      <x:c r="M2984" s="24" t="str">
        <x:v>1.00 a 3.50</x:v>
      </x:c>
      <x:c r="N2984" s="24" t="str">
        <x:v>83</x:v>
      </x:c>
      <x:c r="O2984" s="24"/>
      <x:c r="P2984" s="24"/>
      <x:c r="Q2984" s="24" t="str">
        <x:v>DISPONÍVEL</x:v>
      </x:c>
      <x:c r="R2984" s="24" t="str">
        <x:v>Programa de Parcerias ZEISS</x:v>
      </x:c>
      <x:c r="S2984" s="24" t="n">
        <x:v>51</x:v>
      </x:c>
      <x:c r="T2984" s="24" t="str">
        <x:v>tabela_zeiss.pdf</x:v>
      </x:c>
      <x:c r="U2984" s="24" t="str">
        <x:v>ZEISS|Progressiva Especial|Surfaçada|Individual Sport|PhotoFusion X Extra Dark Cinza|1.6|1.60|DURAVISION® ANTIVÍRUS PLATINUM UV|-4.00 a +4.00|-4.00|1.00 a 3.50|83|||51</x:v>
      </x:c>
    </x:row>
    <x:row r="2985">
      <x:c r="A2985" s="24" t="str">
        <x:v>ZS-96E2C5BB0F08</x:v>
      </x:c>
      <x:c r="B2985" s="24" t="str">
        <x:v>ZEISS</x:v>
      </x:c>
      <x:c r="C2985" s="24" t="str">
        <x:v>Progressiva Especial</x:v>
      </x:c>
      <x:c r="D2985" s="24" t="str">
        <x:v>Surfaçada</x:v>
      </x:c>
      <x:c r="E2985" s="24" t="str">
        <x:v>Individual Sport</x:v>
      </x:c>
      <x:c r="F2985" s="24" t="str">
        <x:v>PhotoFusion X Extra Dark Cinza</x:v>
      </x:c>
      <x:c r="G2985" s="24" t="str">
        <x:v>1.6</x:v>
      </x:c>
      <x:c r="H2985" s="24" t="str">
        <x:v>1.60</x:v>
      </x:c>
      <x:c r="I2985" s="24" t="str">
        <x:v>DuraVision Platinum UV</x:v>
      </x:c>
      <x:c r="J2985" s="40" t="n">
        <x:v>7334</x:v>
      </x:c>
      <x:c r="K2985" s="24" t="str">
        <x:v>-4.00 a +4.00</x:v>
      </x:c>
      <x:c r="L2985" s="24" t="str">
        <x:v>-4.00</x:v>
      </x:c>
      <x:c r="M2985" s="24" t="str">
        <x:v>1.00 a 3.50</x:v>
      </x:c>
      <x:c r="N2985" s="24" t="str">
        <x:v>83</x:v>
      </x:c>
      <x:c r="O2985" s="24"/>
      <x:c r="P2985" s="24"/>
      <x:c r="Q2985" s="24" t="str">
        <x:v>DISPONÍVEL</x:v>
      </x:c>
      <x:c r="R2985" s="24" t="str">
        <x:v>Programa de Parcerias ZEISS</x:v>
      </x:c>
      <x:c r="S2985" s="24" t="n">
        <x:v>51</x:v>
      </x:c>
      <x:c r="T2985" s="24" t="str">
        <x:v>tabela_zeiss.pdf</x:v>
      </x:c>
      <x:c r="U2985" s="24" t="str">
        <x:v>ZEISS|Progressiva Especial|Surfaçada|Individual Sport|PhotoFusion X Extra Dark Cinza|1.6|1.60|DuraVision Platinum UV|-4.00 a +4.00|-4.00|1.00 a 3.50|83|||51</x:v>
      </x:c>
    </x:row>
    <x:row r="2986">
      <x:c r="A2986" s="24" t="str">
        <x:v>ZS-D074A7139A01</x:v>
      </x:c>
      <x:c r="B2986" s="24" t="str">
        <x:v>ZEISS</x:v>
      </x:c>
      <x:c r="C2986" s="24" t="str">
        <x:v>Progressiva Especial</x:v>
      </x:c>
      <x:c r="D2986" s="24" t="str">
        <x:v>Surfaçada</x:v>
      </x:c>
      <x:c r="E2986" s="24" t="str">
        <x:v>Individual Sport</x:v>
      </x:c>
      <x:c r="F2986" s="24" t="str">
        <x:v>PhotoFusion X Extra Dark Cinza</x:v>
      </x:c>
      <x:c r="G2986" s="24" t="str">
        <x:v>1.6</x:v>
      </x:c>
      <x:c r="H2986" s="24" t="str">
        <x:v>1.60</x:v>
      </x:c>
      <x:c r="I2986" s="24" t="str">
        <x:v>DuraVision Silver UV</x:v>
      </x:c>
      <x:c r="J2986" s="40" t="n">
        <x:v>7074</x:v>
      </x:c>
      <x:c r="K2986" s="24" t="str">
        <x:v>-4.00 a +4.00</x:v>
      </x:c>
      <x:c r="L2986" s="24" t="str">
        <x:v>-4.00</x:v>
      </x:c>
      <x:c r="M2986" s="24" t="str">
        <x:v>1.00 a 3.50</x:v>
      </x:c>
      <x:c r="N2986" s="24" t="str">
        <x:v>83</x:v>
      </x:c>
      <x:c r="O2986" s="24"/>
      <x:c r="P2986" s="24"/>
      <x:c r="Q2986" s="24" t="str">
        <x:v>DISPONÍVEL</x:v>
      </x:c>
      <x:c r="R2986" s="24" t="str">
        <x:v>Programa de Parcerias ZEISS</x:v>
      </x:c>
      <x:c r="S2986" s="24" t="n">
        <x:v>51</x:v>
      </x:c>
      <x:c r="T2986" s="24" t="str">
        <x:v>tabela_zeiss.pdf</x:v>
      </x:c>
      <x:c r="U2986" s="24" t="str">
        <x:v>ZEISS|Progressiva Especial|Surfaçada|Individual Sport|PhotoFusion X Extra Dark Cinza|1.6|1.60|DuraVision Silver UV|-4.00 a +4.00|-4.00|1.00 a 3.50|83|||51</x:v>
      </x:c>
    </x:row>
    <x:row r="2987">
      <x:c r="A2987" s="24" t="str">
        <x:v>ZS-862F993C1D23</x:v>
      </x:c>
      <x:c r="B2987" s="24" t="str">
        <x:v>ZEISS</x:v>
      </x:c>
      <x:c r="C2987" s="24" t="str">
        <x:v>Progressiva Especial</x:v>
      </x:c>
      <x:c r="D2987" s="24" t="str">
        <x:v>Surfaçada</x:v>
      </x:c>
      <x:c r="E2987" s="24" t="str">
        <x:v>Individual Sport</x:v>
      </x:c>
      <x:c r="F2987" s="24" t="str">
        <x:v>PhotoFusion X Extra Dark Cinza</x:v>
      </x:c>
      <x:c r="G2987" s="24" t="str">
        <x:v>1.6</x:v>
      </x:c>
      <x:c r="H2987" s="24" t="str">
        <x:v>1.60</x:v>
      </x:c>
      <x:c r="I2987" s="24" t="str">
        <x:v>DuraVision Chrome UV</x:v>
      </x:c>
      <x:c r="J2987" s="40" t="n">
        <x:v>6584</x:v>
      </x:c>
      <x:c r="K2987" s="24" t="str">
        <x:v>-4.00 a +4.00</x:v>
      </x:c>
      <x:c r="L2987" s="24" t="str">
        <x:v>-4.00</x:v>
      </x:c>
      <x:c r="M2987" s="24" t="str">
        <x:v>1.00 a 3.50</x:v>
      </x:c>
      <x:c r="N2987" s="24" t="str">
        <x:v>83</x:v>
      </x:c>
      <x:c r="O2987" s="24"/>
      <x:c r="P2987" s="24"/>
      <x:c r="Q2987" s="24" t="str">
        <x:v>DISPONÍVEL</x:v>
      </x:c>
      <x:c r="R2987" s="24" t="str">
        <x:v>Programa de Parcerias ZEISS</x:v>
      </x:c>
      <x:c r="S2987" s="24" t="n">
        <x:v>51</x:v>
      </x:c>
      <x:c r="T2987" s="24" t="str">
        <x:v>tabela_zeiss.pdf</x:v>
      </x:c>
      <x:c r="U2987" s="24" t="str">
        <x:v>ZEISS|Progressiva Especial|Surfaçada|Individual Sport|PhotoFusion X Extra Dark Cinza|1.6|1.60|DuraVision Chrome UV|-4.00 a +4.00|-4.00|1.00 a 3.50|83|||51</x:v>
      </x:c>
    </x:row>
    <x:row r="2988">
      <x:c r="A2988" s="24" t="str">
        <x:v>ZS-25B794C583A9</x:v>
      </x:c>
      <x:c r="B2988" s="24" t="str">
        <x:v>ZEISS</x:v>
      </x:c>
      <x:c r="C2988" s="24" t="str">
        <x:v>Progressiva Especial</x:v>
      </x:c>
      <x:c r="D2988" s="24" t="str">
        <x:v>Surfaçada</x:v>
      </x:c>
      <x:c r="E2988" s="24" t="str">
        <x:v>Individual Sport</x:v>
      </x:c>
      <x:c r="F2988" s="24" t="str">
        <x:v>Polarizada</x:v>
      </x:c>
      <x:c r="G2988" s="24" t="str">
        <x:v>1.5</x:v>
      </x:c>
      <x:c r="H2988" s="24" t="str">
        <x:v>1.50</x:v>
      </x:c>
      <x:c r="I2988" s="24" t="str">
        <x:v>DuraVision Gold UV</x:v>
      </x:c>
      <x:c r="J2988" s="40" t="n">
        <x:v>5594</x:v>
      </x:c>
      <x:c r="K2988" s="24" t="str">
        <x:v>-4.00 a +4.00</x:v>
      </x:c>
      <x:c r="L2988" s="24" t="str">
        <x:v>-4.00</x:v>
      </x:c>
      <x:c r="M2988" s="24" t="str">
        <x:v>1.00 a 3.50</x:v>
      </x:c>
      <x:c r="N2988" s="24" t="str">
        <x:v>80</x:v>
      </x:c>
      <x:c r="O2988" s="24"/>
      <x:c r="P2988" s="24"/>
      <x:c r="Q2988" s="24" t="str">
        <x:v>DISPONÍVEL</x:v>
      </x:c>
      <x:c r="R2988" s="24"/>
      <x:c r="S2988" s="24" t="n">
        <x:v>51</x:v>
      </x:c>
      <x:c r="T2988" s="24" t="str">
        <x:v>tabela_zeiss.pdf</x:v>
      </x:c>
      <x:c r="U2988" s="24" t="str">
        <x:v>ZEISS|Progressiva Especial|Surfaçada|Individual Sport|Polarizada|1.5|1.50|DuraVision Gold UV|-4.00 a +4.00|-4.00|1.00 a 3.50|80|||51</x:v>
      </x:c>
    </x:row>
    <x:row r="2989">
      <x:c r="A2989" s="24" t="str">
        <x:v>ZS-F4E0B6450B71</x:v>
      </x:c>
      <x:c r="B2989" s="24" t="str">
        <x:v>ZEISS</x:v>
      </x:c>
      <x:c r="C2989" s="24" t="str">
        <x:v>Progressiva Especial</x:v>
      </x:c>
      <x:c r="D2989" s="24" t="str">
        <x:v>Surfaçada</x:v>
      </x:c>
      <x:c r="E2989" s="24" t="str">
        <x:v>Individual Sport</x:v>
      </x:c>
      <x:c r="F2989" s="24" t="str">
        <x:v>Polarizada</x:v>
      </x:c>
      <x:c r="G2989" s="24" t="str">
        <x:v>1.5</x:v>
      </x:c>
      <x:c r="H2989" s="24" t="str">
        <x:v>1.50</x:v>
      </x:c>
      <x:c r="I2989" s="24" t="str">
        <x:v>DuraVision Platinum UV</x:v>
      </x:c>
      <x:c r="J2989" s="40" t="n">
        <x:v>5454</x:v>
      </x:c>
      <x:c r="K2989" s="24" t="str">
        <x:v>-4.00 a +4.00</x:v>
      </x:c>
      <x:c r="L2989" s="24" t="str">
        <x:v>-4.00</x:v>
      </x:c>
      <x:c r="M2989" s="24" t="str">
        <x:v>1.00 a 3.50</x:v>
      </x:c>
      <x:c r="N2989" s="24" t="str">
        <x:v>80</x:v>
      </x:c>
      <x:c r="O2989" s="24"/>
      <x:c r="P2989" s="24"/>
      <x:c r="Q2989" s="24" t="str">
        <x:v>DISPONÍVEL</x:v>
      </x:c>
      <x:c r="R2989" s="24"/>
      <x:c r="S2989" s="24" t="n">
        <x:v>51</x:v>
      </x:c>
      <x:c r="T2989" s="24" t="str">
        <x:v>tabela_zeiss.pdf</x:v>
      </x:c>
      <x:c r="U2989" s="24" t="str">
        <x:v>ZEISS|Progressiva Especial|Surfaçada|Individual Sport|Polarizada|1.5|1.50|DuraVision Platinum UV|-4.00 a +4.00|-4.00|1.00 a 3.50|80|||51</x:v>
      </x:c>
    </x:row>
    <x:row r="2990">
      <x:c r="A2990" s="24" t="str">
        <x:v>ZS-DF48B6FEE184</x:v>
      </x:c>
      <x:c r="B2990" s="24" t="str">
        <x:v>ZEISS</x:v>
      </x:c>
      <x:c r="C2990" s="24" t="str">
        <x:v>Progressiva Especial</x:v>
      </x:c>
      <x:c r="D2990" s="24" t="str">
        <x:v>Surfaçada</x:v>
      </x:c>
      <x:c r="E2990" s="24" t="str">
        <x:v>Individual Sport</x:v>
      </x:c>
      <x:c r="F2990" s="24" t="str">
        <x:v>Polarizada</x:v>
      </x:c>
      <x:c r="G2990" s="24" t="str">
        <x:v>1.5</x:v>
      </x:c>
      <x:c r="H2990" s="24" t="str">
        <x:v>1.50</x:v>
      </x:c>
      <x:c r="I2990" s="24" t="str">
        <x:v>DuraVision Silver UV</x:v>
      </x:c>
      <x:c r="J2990" s="40" t="n">
        <x:v>5194</x:v>
      </x:c>
      <x:c r="K2990" s="24" t="str">
        <x:v>-4.00 a +4.00</x:v>
      </x:c>
      <x:c r="L2990" s="24" t="str">
        <x:v>-4.00</x:v>
      </x:c>
      <x:c r="M2990" s="24" t="str">
        <x:v>1.00 a 3.50</x:v>
      </x:c>
      <x:c r="N2990" s="24" t="str">
        <x:v>80</x:v>
      </x:c>
      <x:c r="O2990" s="24"/>
      <x:c r="P2990" s="24"/>
      <x:c r="Q2990" s="24" t="str">
        <x:v>DISPONÍVEL</x:v>
      </x:c>
      <x:c r="R2990" s="24"/>
      <x:c r="S2990" s="24" t="n">
        <x:v>51</x:v>
      </x:c>
      <x:c r="T2990" s="24" t="str">
        <x:v>tabela_zeiss.pdf</x:v>
      </x:c>
      <x:c r="U2990" s="24" t="str">
        <x:v>ZEISS|Progressiva Especial|Surfaçada|Individual Sport|Polarizada|1.5|1.50|DuraVision Silver UV|-4.00 a +4.00|-4.00|1.00 a 3.50|80|||51</x:v>
      </x:c>
    </x:row>
    <x:row r="2991">
      <x:c r="A2991" s="24" t="str">
        <x:v>ZS-9962E8E84EB9</x:v>
      </x:c>
      <x:c r="B2991" s="24" t="str">
        <x:v>ZEISS</x:v>
      </x:c>
      <x:c r="C2991" s="24" t="str">
        <x:v>Progressiva Especial</x:v>
      </x:c>
      <x:c r="D2991" s="24" t="str">
        <x:v>Surfaçada</x:v>
      </x:c>
      <x:c r="E2991" s="24" t="str">
        <x:v>Individual Sport</x:v>
      </x:c>
      <x:c r="F2991" s="24" t="str">
        <x:v>Polarizada</x:v>
      </x:c>
      <x:c r="G2991" s="24" t="str">
        <x:v>1.5</x:v>
      </x:c>
      <x:c r="H2991" s="24" t="str">
        <x:v>1.50</x:v>
      </x:c>
      <x:c r="I2991" s="24" t="str">
        <x:v>DuraVision Chrome UV</x:v>
      </x:c>
      <x:c r="J2991" s="40" t="n">
        <x:v>4704</x:v>
      </x:c>
      <x:c r="K2991" s="24" t="str">
        <x:v>-4.00 a +4.00</x:v>
      </x:c>
      <x:c r="L2991" s="24" t="str">
        <x:v>-4.00</x:v>
      </x:c>
      <x:c r="M2991" s="24" t="str">
        <x:v>1.00 a 3.50</x:v>
      </x:c>
      <x:c r="N2991" s="24" t="str">
        <x:v>80</x:v>
      </x:c>
      <x:c r="O2991" s="24"/>
      <x:c r="P2991" s="24"/>
      <x:c r="Q2991" s="24" t="str">
        <x:v>DISPONÍVEL</x:v>
      </x:c>
      <x:c r="R2991" s="24"/>
      <x:c r="S2991" s="24" t="n">
        <x:v>51</x:v>
      </x:c>
      <x:c r="T2991" s="24" t="str">
        <x:v>tabela_zeiss.pdf</x:v>
      </x:c>
      <x:c r="U2991" s="24" t="str">
        <x:v>ZEISS|Progressiva Especial|Surfaçada|Individual Sport|Polarizada|1.5|1.50|DuraVision Chrome UV|-4.00 a +4.00|-4.00|1.00 a 3.50|80|||51</x:v>
      </x:c>
    </x:row>
    <x:row r="2992">
      <x:c r="A2992" s="24" t="str">
        <x:v>ZS-F37E6F10079E</x:v>
      </x:c>
      <x:c r="B2992" s="24" t="str">
        <x:v>ZEISS</x:v>
      </x:c>
      <x:c r="C2992" s="24" t="str">
        <x:v>Progressiva Especial</x:v>
      </x:c>
      <x:c r="D2992" s="24" t="str">
        <x:v>Surfaçada</x:v>
      </x:c>
      <x:c r="E2992" s="24" t="str">
        <x:v>Individual Sport</x:v>
      </x:c>
      <x:c r="F2992" s="24" t="str">
        <x:v>Polarizada</x:v>
      </x:c>
      <x:c r="G2992" s="24" t="str">
        <x:v>1.6</x:v>
      </x:c>
      <x:c r="H2992" s="24" t="str">
        <x:v>1.60</x:v>
      </x:c>
      <x:c r="I2992" s="24" t="str">
        <x:v>DuraVision Gold UV</x:v>
      </x:c>
      <x:c r="J2992" s="40" t="n">
        <x:v>6844</x:v>
      </x:c>
      <x:c r="K2992" s="24" t="str">
        <x:v>-4.00 a +4.00</x:v>
      </x:c>
      <x:c r="L2992" s="24" t="str">
        <x:v>-4.00</x:v>
      </x:c>
      <x:c r="M2992" s="24" t="str">
        <x:v>1.00 a 3.50</x:v>
      </x:c>
      <x:c r="N2992" s="24" t="str">
        <x:v>82</x:v>
      </x:c>
      <x:c r="O2992" s="24"/>
      <x:c r="P2992" s="24"/>
      <x:c r="Q2992" s="24" t="str">
        <x:v>DISPONÍVEL</x:v>
      </x:c>
      <x:c r="R2992" s="24"/>
      <x:c r="S2992" s="24" t="n">
        <x:v>51</x:v>
      </x:c>
      <x:c r="T2992" s="24" t="str">
        <x:v>tabela_zeiss.pdf</x:v>
      </x:c>
      <x:c r="U2992" s="24" t="str">
        <x:v>ZEISS|Progressiva Especial|Surfaçada|Individual Sport|Polarizada|1.6|1.60|DuraVision Gold UV|-4.00 a +4.00|-4.00|1.00 a 3.50|82|||51</x:v>
      </x:c>
    </x:row>
    <x:row r="2993">
      <x:c r="A2993" s="24" t="str">
        <x:v>ZS-8907174FFDEC</x:v>
      </x:c>
      <x:c r="B2993" s="24" t="str">
        <x:v>ZEISS</x:v>
      </x:c>
      <x:c r="C2993" s="24" t="str">
        <x:v>Progressiva Especial</x:v>
      </x:c>
      <x:c r="D2993" s="24" t="str">
        <x:v>Surfaçada</x:v>
      </x:c>
      <x:c r="E2993" s="24" t="str">
        <x:v>Individual Sport</x:v>
      </x:c>
      <x:c r="F2993" s="24" t="str">
        <x:v>Polarizada</x:v>
      </x:c>
      <x:c r="G2993" s="24" t="str">
        <x:v>1.6</x:v>
      </x:c>
      <x:c r="H2993" s="24" t="str">
        <x:v>1.60</x:v>
      </x:c>
      <x:c r="I2993" s="24" t="str">
        <x:v>DuraVision Platinum UV</x:v>
      </x:c>
      <x:c r="J2993" s="40" t="n">
        <x:v>6704</x:v>
      </x:c>
      <x:c r="K2993" s="24" t="str">
        <x:v>-4.00 a +4.00</x:v>
      </x:c>
      <x:c r="L2993" s="24" t="str">
        <x:v>-4.00</x:v>
      </x:c>
      <x:c r="M2993" s="24" t="str">
        <x:v>1.00 a 3.50</x:v>
      </x:c>
      <x:c r="N2993" s="24" t="str">
        <x:v>82</x:v>
      </x:c>
      <x:c r="O2993" s="24"/>
      <x:c r="P2993" s="24"/>
      <x:c r="Q2993" s="24" t="str">
        <x:v>DISPONÍVEL</x:v>
      </x:c>
      <x:c r="R2993" s="24"/>
      <x:c r="S2993" s="24" t="n">
        <x:v>51</x:v>
      </x:c>
      <x:c r="T2993" s="24" t="str">
        <x:v>tabela_zeiss.pdf</x:v>
      </x:c>
      <x:c r="U2993" s="24" t="str">
        <x:v>ZEISS|Progressiva Especial|Surfaçada|Individual Sport|Polarizada|1.6|1.60|DuraVision Platinum UV|-4.00 a +4.00|-4.00|1.00 a 3.50|82|||51</x:v>
      </x:c>
    </x:row>
    <x:row r="2994">
      <x:c r="A2994" s="24" t="str">
        <x:v>ZS-1997E6B46F23</x:v>
      </x:c>
      <x:c r="B2994" s="24" t="str">
        <x:v>ZEISS</x:v>
      </x:c>
      <x:c r="C2994" s="24" t="str">
        <x:v>Progressiva Especial</x:v>
      </x:c>
      <x:c r="D2994" s="24" t="str">
        <x:v>Surfaçada</x:v>
      </x:c>
      <x:c r="E2994" s="24" t="str">
        <x:v>Individual Sport</x:v>
      </x:c>
      <x:c r="F2994" s="24" t="str">
        <x:v>Polarizada</x:v>
      </x:c>
      <x:c r="G2994" s="24" t="str">
        <x:v>1.6</x:v>
      </x:c>
      <x:c r="H2994" s="24" t="str">
        <x:v>1.60</x:v>
      </x:c>
      <x:c r="I2994" s="24" t="str">
        <x:v>DuraVision Silver UV</x:v>
      </x:c>
      <x:c r="J2994" s="40" t="n">
        <x:v>6444</x:v>
      </x:c>
      <x:c r="K2994" s="24" t="str">
        <x:v>-4.00 a +4.00</x:v>
      </x:c>
      <x:c r="L2994" s="24" t="str">
        <x:v>-4.00</x:v>
      </x:c>
      <x:c r="M2994" s="24" t="str">
        <x:v>1.00 a 3.50</x:v>
      </x:c>
      <x:c r="N2994" s="24" t="str">
        <x:v>82</x:v>
      </x:c>
      <x:c r="O2994" s="24"/>
      <x:c r="P2994" s="24"/>
      <x:c r="Q2994" s="24" t="str">
        <x:v>DISPONÍVEL</x:v>
      </x:c>
      <x:c r="R2994" s="24"/>
      <x:c r="S2994" s="24" t="n">
        <x:v>51</x:v>
      </x:c>
      <x:c r="T2994" s="24" t="str">
        <x:v>tabela_zeiss.pdf</x:v>
      </x:c>
      <x:c r="U2994" s="24" t="str">
        <x:v>ZEISS|Progressiva Especial|Surfaçada|Individual Sport|Polarizada|1.6|1.60|DuraVision Silver UV|-4.00 a +4.00|-4.00|1.00 a 3.50|82|||51</x:v>
      </x:c>
    </x:row>
    <x:row r="2995">
      <x:c r="A2995" s="24" t="str">
        <x:v>ZS-7D6FF12CB671</x:v>
      </x:c>
      <x:c r="B2995" s="24" t="str">
        <x:v>ZEISS</x:v>
      </x:c>
      <x:c r="C2995" s="24" t="str">
        <x:v>Progressiva Especial</x:v>
      </x:c>
      <x:c r="D2995" s="24" t="str">
        <x:v>Surfaçada</x:v>
      </x:c>
      <x:c r="E2995" s="24" t="str">
        <x:v>Individual Sport</x:v>
      </x:c>
      <x:c r="F2995" s="24" t="str">
        <x:v>Polarizada</x:v>
      </x:c>
      <x:c r="G2995" s="24" t="str">
        <x:v>1.6</x:v>
      </x:c>
      <x:c r="H2995" s="24" t="str">
        <x:v>1.60</x:v>
      </x:c>
      <x:c r="I2995" s="24" t="str">
        <x:v>DuraVision Chrome UV</x:v>
      </x:c>
      <x:c r="J2995" s="40" t="n">
        <x:v>5954</x:v>
      </x:c>
      <x:c r="K2995" s="24" t="str">
        <x:v>-4.00 a +4.00</x:v>
      </x:c>
      <x:c r="L2995" s="24" t="str">
        <x:v>-4.00</x:v>
      </x:c>
      <x:c r="M2995" s="24" t="str">
        <x:v>1.00 a 3.50</x:v>
      </x:c>
      <x:c r="N2995" s="24" t="str">
        <x:v>82</x:v>
      </x:c>
      <x:c r="O2995" s="24"/>
      <x:c r="P2995" s="24"/>
      <x:c r="Q2995" s="24" t="str">
        <x:v>DISPONÍVEL</x:v>
      </x:c>
      <x:c r="R2995" s="24"/>
      <x:c r="S2995" s="24" t="n">
        <x:v>51</x:v>
      </x:c>
      <x:c r="T2995" s="24" t="str">
        <x:v>tabela_zeiss.pdf</x:v>
      </x:c>
      <x:c r="U2995" s="24" t="str">
        <x:v>ZEISS|Progressiva Especial|Surfaçada|Individual Sport|Polarizada|1.6|1.60|DuraVision Chrome UV|-4.00 a +4.00|-4.00|1.00 a 3.50|82|||51</x:v>
      </x:c>
    </x:row>
    <x:row r="2996">
      <x:c r="A2996" s="24" t="str">
        <x:v>ZS-AC95D8E3C51E</x:v>
      </x:c>
      <x:c r="B2996" s="24" t="str">
        <x:v>ZEISS</x:v>
      </x:c>
      <x:c r="C2996" s="24" t="str">
        <x:v>AdaptiveSun</x:v>
      </x:c>
      <x:c r="D2996" s="24" t="str">
        <x:v>Surfaçada</x:v>
      </x:c>
      <x:c r="E2996" s="24" t="str">
        <x:v>SmartLife Visão Simples Individual AdaptiveSun</x:v>
      </x:c>
      <x:c r="F2996" s="24" t="str">
        <x:v>AdaptiveSun</x:v>
      </x:c>
      <x:c r="G2996" s="24" t="str">
        <x:v>1.5</x:v>
      </x:c>
      <x:c r="H2996" s="24" t="str">
        <x:v>1.50</x:v>
      </x:c>
      <x:c r="I2996" s="24" t="str">
        <x:v>DuraVision Platinum UV</x:v>
      </x:c>
      <x:c r="J2996" s="40" t="n">
        <x:v>3509</x:v>
      </x:c>
      <x:c r="K2996" s="24" t="str">
        <x:v>-4.00 a +4.00
-6.00 a +6.00</x:v>
      </x:c>
      <x:c r="L2996" s="24" t="str">
        <x:v>-4.00
-4.00</x:v>
      </x:c>
      <x:c r="M2996" s="24" t="str">
        <x:v>-</x:v>
      </x:c>
      <x:c r="N2996" s="24" t="str">
        <x:v>75/80
70/75</x:v>
      </x:c>
      <x:c r="O2996" s="24"/>
      <x:c r="P2996" s="24"/>
      <x:c r="Q2996" s="24" t="str">
        <x:v>DISPONÍVEL</x:v>
      </x:c>
      <x:c r="R2996" s="24" t="str">
        <x:v>Programa de Parcerias ZEISS — categoria Experts</x:v>
      </x:c>
      <x:c r="S2996" s="24" t="n">
        <x:v>52</x:v>
      </x:c>
      <x:c r="T2996" s="24" t="str">
        <x:v>tabela_zeiss.pdf</x:v>
      </x:c>
      <x:c r="U2996" s="24" t="str">
        <x:v>ZEISS|AdaptiveSun|Surfaçada|SmartLife Visão Simples Individual AdaptiveSun|AdaptiveSun|1.5|1.50|DuraVision Platinum UV|-4.00 a +4.00
-6.00 a +6.00|-4.00
-4.00|-|75/80
70/75|||52</x:v>
      </x:c>
    </x:row>
    <x:row r="2997">
      <x:c r="A2997" s="24" t="str">
        <x:v>ZS-2B9BC4B3D323</x:v>
      </x:c>
      <x:c r="B2997" s="24" t="str">
        <x:v>ZEISS</x:v>
      </x:c>
      <x:c r="C2997" s="24" t="str">
        <x:v>AdaptiveSun</x:v>
      </x:c>
      <x:c r="D2997" s="24" t="str">
        <x:v>Surfaçada</x:v>
      </x:c>
      <x:c r="E2997" s="24" t="str">
        <x:v>SmartLife Visão Simples Individual AdaptiveSun</x:v>
      </x:c>
      <x:c r="F2997" s="24" t="str">
        <x:v>AdaptiveSun</x:v>
      </x:c>
      <x:c r="G2997" s="24" t="str">
        <x:v>1.5</x:v>
      </x:c>
      <x:c r="H2997" s="24" t="str">
        <x:v>1.50</x:v>
      </x:c>
      <x:c r="I2997" s="24" t="str">
        <x:v>DuraVision Silver UV</x:v>
      </x:c>
      <x:c r="J2997" s="40" t="n">
        <x:v>3249</x:v>
      </x:c>
      <x:c r="K2997" s="24" t="str">
        <x:v>-4.00 a +4.00
-6.00 a +6.00</x:v>
      </x:c>
      <x:c r="L2997" s="24" t="str">
        <x:v>-4.00
-4.00</x:v>
      </x:c>
      <x:c r="M2997" s="24" t="str">
        <x:v>-</x:v>
      </x:c>
      <x:c r="N2997" s="24" t="str">
        <x:v>75/80
70/75</x:v>
      </x:c>
      <x:c r="O2997" s="24"/>
      <x:c r="P2997" s="24"/>
      <x:c r="Q2997" s="24" t="str">
        <x:v>DISPONÍVEL</x:v>
      </x:c>
      <x:c r="R2997" s="24" t="str">
        <x:v>Programa de Parcerias ZEISS — categoria Experts</x:v>
      </x:c>
      <x:c r="S2997" s="24" t="n">
        <x:v>52</x:v>
      </x:c>
      <x:c r="T2997" s="24" t="str">
        <x:v>tabela_zeiss.pdf</x:v>
      </x:c>
      <x:c r="U2997" s="24" t="str">
        <x:v>ZEISS|AdaptiveSun|Surfaçada|SmartLife Visão Simples Individual AdaptiveSun|AdaptiveSun|1.5|1.50|DuraVision Silver UV|-4.00 a +4.00
-6.00 a +6.00|-4.00
-4.00|-|75/80
70/75|||52</x:v>
      </x:c>
    </x:row>
    <x:row r="2998">
      <x:c r="A2998" s="24" t="str">
        <x:v>ZS-6AA06E242E1A</x:v>
      </x:c>
      <x:c r="B2998" s="24" t="str">
        <x:v>ZEISS</x:v>
      </x:c>
      <x:c r="C2998" s="24" t="str">
        <x:v>AdaptiveSun</x:v>
      </x:c>
      <x:c r="D2998" s="24" t="str">
        <x:v>Surfaçada</x:v>
      </x:c>
      <x:c r="E2998" s="24" t="str">
        <x:v>SmartLife Visão Simples Individual AdaptiveSun</x:v>
      </x:c>
      <x:c r="F2998" s="24" t="str">
        <x:v>AdaptiveSun</x:v>
      </x:c>
      <x:c r="G2998" s="24" t="str">
        <x:v>1.5</x:v>
      </x:c>
      <x:c r="H2998" s="24" t="str">
        <x:v>1.50</x:v>
      </x:c>
      <x:c r="I2998" s="24" t="str">
        <x:v>DuraVision Chrome UV</x:v>
      </x:c>
      <x:c r="J2998" s="40" t="n">
        <x:v>2759</x:v>
      </x:c>
      <x:c r="K2998" s="24" t="str">
        <x:v>-4.00 a +4.00
-6.00 a +6.00</x:v>
      </x:c>
      <x:c r="L2998" s="24" t="str">
        <x:v>-4.00
-4.00</x:v>
      </x:c>
      <x:c r="M2998" s="24" t="str">
        <x:v>-</x:v>
      </x:c>
      <x:c r="N2998" s="24" t="str">
        <x:v>75/80
70/75</x:v>
      </x:c>
      <x:c r="O2998" s="24"/>
      <x:c r="P2998" s="24"/>
      <x:c r="Q2998" s="24" t="str">
        <x:v>DISPONÍVEL</x:v>
      </x:c>
      <x:c r="R2998" s="24" t="str">
        <x:v>Programa de Parcerias ZEISS — categoria Experts</x:v>
      </x:c>
      <x:c r="S2998" s="24" t="n">
        <x:v>52</x:v>
      </x:c>
      <x:c r="T2998" s="24" t="str">
        <x:v>tabela_zeiss.pdf</x:v>
      </x:c>
      <x:c r="U2998" s="24" t="str">
        <x:v>ZEISS|AdaptiveSun|Surfaçada|SmartLife Visão Simples Individual AdaptiveSun|AdaptiveSun|1.5|1.50|DuraVision Chrome UV|-4.00 a +4.00
-6.00 a +6.00|-4.00
-4.00|-|75/80
70/75|||52</x:v>
      </x:c>
    </x:row>
    <x:row r="2999">
      <x:c r="A2999" s="24" t="str">
        <x:v>ZS-E9A86684005D</x:v>
      </x:c>
      <x:c r="B2999" s="24" t="str">
        <x:v>ZEISS</x:v>
      </x:c>
      <x:c r="C2999" s="24" t="str">
        <x:v>AdaptiveSun</x:v>
      </x:c>
      <x:c r="D2999" s="24" t="str">
        <x:v>Surfaçada</x:v>
      </x:c>
      <x:c r="E2999" s="24" t="str">
        <x:v>SmartLife Visão Simples Individual AdaptiveSun</x:v>
      </x:c>
      <x:c r="F2999" s="24" t="str">
        <x:v>AdaptiveSun</x:v>
      </x:c>
      <x:c r="G2999" s="24" t="str">
        <x:v>1.5</x:v>
      </x:c>
      <x:c r="H2999" s="24" t="str">
        <x:v>1.50</x:v>
      </x:c>
      <x:c r="I2999" s="24" t="str">
        <x:v>Sem AR</x:v>
      </x:c>
      <x:c r="J2999" s="40" t="n">
        <x:v>2359</x:v>
      </x:c>
      <x:c r="K2999" s="24" t="str">
        <x:v>-4.00 a +4.00
-6.00 a +6.00</x:v>
      </x:c>
      <x:c r="L2999" s="24" t="str">
        <x:v>-4.00
-4.00</x:v>
      </x:c>
      <x:c r="M2999" s="24" t="str">
        <x:v>-</x:v>
      </x:c>
      <x:c r="N2999" s="24" t="str">
        <x:v>75/80
70/75</x:v>
      </x:c>
      <x:c r="O2999" s="24"/>
      <x:c r="P2999" s="24"/>
      <x:c r="Q2999" s="24" t="str">
        <x:v>DISPONÍVEL</x:v>
      </x:c>
      <x:c r="R2999" s="24" t="str">
        <x:v>Programa de Parcerias ZEISS — categoria Experts</x:v>
      </x:c>
      <x:c r="S2999" s="24" t="n">
        <x:v>52</x:v>
      </x:c>
      <x:c r="T2999" s="24" t="str">
        <x:v>tabela_zeiss.pdf</x:v>
      </x:c>
      <x:c r="U2999" s="24" t="str">
        <x:v>ZEISS|AdaptiveSun|Surfaçada|SmartLife Visão Simples Individual AdaptiveSun|AdaptiveSun|1.5|1.50|Sem AR|-4.00 a +4.00
-6.00 a +6.00|-4.00
-4.00|-|75/80
70/75|||52</x:v>
      </x:c>
    </x:row>
    <x:row r="3000">
      <x:c r="A3000" s="24" t="str">
        <x:v>ZS-B4C9055F89BE</x:v>
      </x:c>
      <x:c r="B3000" s="24" t="str">
        <x:v>ZEISS</x:v>
      </x:c>
      <x:c r="C3000" s="24" t="str">
        <x:v>AdaptiveSun</x:v>
      </x:c>
      <x:c r="D3000" s="24" t="str">
        <x:v>Surfaçada</x:v>
      </x:c>
      <x:c r="E3000" s="24" t="str">
        <x:v>SmartLife Visão Simples Individual AdaptiveSun</x:v>
      </x:c>
      <x:c r="F3000" s="24" t="str">
        <x:v>AdaptiveSun</x:v>
      </x:c>
      <x:c r="G3000" s="24" t="str">
        <x:v>1.6</x:v>
      </x:c>
      <x:c r="H3000" s="24" t="str">
        <x:v>1.60</x:v>
      </x:c>
      <x:c r="I3000" s="24" t="str">
        <x:v>DuraVision Platinum UV</x:v>
      </x:c>
      <x:c r="J3000" s="40" t="n">
        <x:v>4089</x:v>
      </x:c>
      <x:c r="K3000" s="24" t="str">
        <x:v>-6.00 a +6.00
-10.00 a +8.00</x:v>
      </x:c>
      <x:c r="L3000" s="24" t="str">
        <x:v>-4.00
-6.00</x:v>
      </x:c>
      <x:c r="M3000" s="24" t="str">
        <x:v>-</x:v>
      </x:c>
      <x:c r="N3000" s="24" t="str">
        <x:v>75/80
70/75</x:v>
      </x:c>
      <x:c r="O3000" s="24"/>
      <x:c r="P3000" s="24"/>
      <x:c r="Q3000" s="24" t="str">
        <x:v>DISPONÍVEL</x:v>
      </x:c>
      <x:c r="R3000" s="24" t="str">
        <x:v>Programa de Parcerias ZEISS — categoria Experts</x:v>
      </x:c>
      <x:c r="S3000" s="24" t="n">
        <x:v>52</x:v>
      </x:c>
      <x:c r="T3000" s="24" t="str">
        <x:v>tabela_zeiss.pdf</x:v>
      </x:c>
      <x:c r="U3000" s="24" t="str">
        <x:v>ZEISS|AdaptiveSun|Surfaçada|SmartLife Visão Simples Individual AdaptiveSun|AdaptiveSun|1.6|1.60|DuraVision Platinum UV|-6.00 a +6.00
-10.00 a +8.00|-4.00
-6.00|-|75/80
70/75|||52</x:v>
      </x:c>
    </x:row>
    <x:row r="3001">
      <x:c r="A3001" s="24" t="str">
        <x:v>ZS-218940280AA0</x:v>
      </x:c>
      <x:c r="B3001" s="24" t="str">
        <x:v>ZEISS</x:v>
      </x:c>
      <x:c r="C3001" s="24" t="str">
        <x:v>AdaptiveSun</x:v>
      </x:c>
      <x:c r="D3001" s="24" t="str">
        <x:v>Surfaçada</x:v>
      </x:c>
      <x:c r="E3001" s="24" t="str">
        <x:v>SmartLife Visão Simples Individual AdaptiveSun</x:v>
      </x:c>
      <x:c r="F3001" s="24" t="str">
        <x:v>AdaptiveSun</x:v>
      </x:c>
      <x:c r="G3001" s="24" t="str">
        <x:v>1.6</x:v>
      </x:c>
      <x:c r="H3001" s="24" t="str">
        <x:v>1.60</x:v>
      </x:c>
      <x:c r="I3001" s="24" t="str">
        <x:v>DuraVision Silver UV</x:v>
      </x:c>
      <x:c r="J3001" s="40" t="n">
        <x:v>3829</x:v>
      </x:c>
      <x:c r="K3001" s="24" t="str">
        <x:v>-6.00 a +6.00
-10.00 a +8.00</x:v>
      </x:c>
      <x:c r="L3001" s="24" t="str">
        <x:v>-4.00
-6.00</x:v>
      </x:c>
      <x:c r="M3001" s="24" t="str">
        <x:v>-</x:v>
      </x:c>
      <x:c r="N3001" s="24" t="str">
        <x:v>75/80
70/75</x:v>
      </x:c>
      <x:c r="O3001" s="24"/>
      <x:c r="P3001" s="24"/>
      <x:c r="Q3001" s="24" t="str">
        <x:v>DISPONÍVEL</x:v>
      </x:c>
      <x:c r="R3001" s="24" t="str">
        <x:v>Programa de Parcerias ZEISS — categoria Experts</x:v>
      </x:c>
      <x:c r="S3001" s="24" t="n">
        <x:v>52</x:v>
      </x:c>
      <x:c r="T3001" s="24" t="str">
        <x:v>tabela_zeiss.pdf</x:v>
      </x:c>
      <x:c r="U3001" s="24" t="str">
        <x:v>ZEISS|AdaptiveSun|Surfaçada|SmartLife Visão Simples Individual AdaptiveSun|AdaptiveSun|1.6|1.60|DuraVision Silver UV|-6.00 a +6.00
-10.00 a +8.00|-4.00
-6.00|-|75/80
70/75|||52</x:v>
      </x:c>
    </x:row>
    <x:row r="3002">
      <x:c r="A3002" s="24" t="str">
        <x:v>ZS-732C2BEC48D4</x:v>
      </x:c>
      <x:c r="B3002" s="24" t="str">
        <x:v>ZEISS</x:v>
      </x:c>
      <x:c r="C3002" s="24" t="str">
        <x:v>AdaptiveSun</x:v>
      </x:c>
      <x:c r="D3002" s="24" t="str">
        <x:v>Surfaçada</x:v>
      </x:c>
      <x:c r="E3002" s="24" t="str">
        <x:v>SmartLife Visão Simples Individual AdaptiveSun</x:v>
      </x:c>
      <x:c r="F3002" s="24" t="str">
        <x:v>AdaptiveSun</x:v>
      </x:c>
      <x:c r="G3002" s="24" t="str">
        <x:v>1.6</x:v>
      </x:c>
      <x:c r="H3002" s="24" t="str">
        <x:v>1.60</x:v>
      </x:c>
      <x:c r="I3002" s="24" t="str">
        <x:v>DuraVision Chrome UV</x:v>
      </x:c>
      <x:c r="J3002" s="40" t="n">
        <x:v>3339</x:v>
      </x:c>
      <x:c r="K3002" s="24" t="str">
        <x:v>-6.00 a +6.00
-10.00 a +8.00</x:v>
      </x:c>
      <x:c r="L3002" s="24" t="str">
        <x:v>-4.00
-6.00</x:v>
      </x:c>
      <x:c r="M3002" s="24" t="str">
        <x:v>-</x:v>
      </x:c>
      <x:c r="N3002" s="24" t="str">
        <x:v>75/80
70/75</x:v>
      </x:c>
      <x:c r="O3002" s="24"/>
      <x:c r="P3002" s="24"/>
      <x:c r="Q3002" s="24" t="str">
        <x:v>DISPONÍVEL</x:v>
      </x:c>
      <x:c r="R3002" s="24" t="str">
        <x:v>Programa de Parcerias ZEISS — categoria Experts</x:v>
      </x:c>
      <x:c r="S3002" s="24" t="n">
        <x:v>52</x:v>
      </x:c>
      <x:c r="T3002" s="24" t="str">
        <x:v>tabela_zeiss.pdf</x:v>
      </x:c>
      <x:c r="U3002" s="24" t="str">
        <x:v>ZEISS|AdaptiveSun|Surfaçada|SmartLife Visão Simples Individual AdaptiveSun|AdaptiveSun|1.6|1.60|DuraVision Chrome UV|-6.00 a +6.00
-10.00 a +8.00|-4.00
-6.00|-|75/80
70/75|||52</x:v>
      </x:c>
    </x:row>
    <x:row r="3003">
      <x:c r="A3003" s="24" t="str">
        <x:v>ZS-0663B7A7E825</x:v>
      </x:c>
      <x:c r="B3003" s="24" t="str">
        <x:v>ZEISS</x:v>
      </x:c>
      <x:c r="C3003" s="24" t="str">
        <x:v>AdaptiveSun</x:v>
      </x:c>
      <x:c r="D3003" s="24" t="str">
        <x:v>Surfaçada</x:v>
      </x:c>
      <x:c r="E3003" s="24" t="str">
        <x:v>SmartLife Visão Simples Individual AdaptiveSun</x:v>
      </x:c>
      <x:c r="F3003" s="24" t="str">
        <x:v>AdaptiveSun</x:v>
      </x:c>
      <x:c r="G3003" s="24" t="str">
        <x:v>1.6</x:v>
      </x:c>
      <x:c r="H3003" s="24" t="str">
        <x:v>1.60</x:v>
      </x:c>
      <x:c r="I3003" s="24" t="str">
        <x:v>Sem AR</x:v>
      </x:c>
      <x:c r="J3003" s="40" t="n">
        <x:v>2939</x:v>
      </x:c>
      <x:c r="K3003" s="24" t="str">
        <x:v>-6.00 a +6.00
-10.00 a +8.00</x:v>
      </x:c>
      <x:c r="L3003" s="24" t="str">
        <x:v>-4.00
-6.00</x:v>
      </x:c>
      <x:c r="M3003" s="24" t="str">
        <x:v>-</x:v>
      </x:c>
      <x:c r="N3003" s="24" t="str">
        <x:v>75/80
70/75</x:v>
      </x:c>
      <x:c r="O3003" s="24"/>
      <x:c r="P3003" s="24"/>
      <x:c r="Q3003" s="24" t="str">
        <x:v>DISPONÍVEL</x:v>
      </x:c>
      <x:c r="R3003" s="24" t="str">
        <x:v>Programa de Parcerias ZEISS — categoria Experts</x:v>
      </x:c>
      <x:c r="S3003" s="24" t="n">
        <x:v>52</x:v>
      </x:c>
      <x:c r="T3003" s="24" t="str">
        <x:v>tabela_zeiss.pdf</x:v>
      </x:c>
      <x:c r="U3003" s="24" t="str">
        <x:v>ZEISS|AdaptiveSun|Surfaçada|SmartLife Visão Simples Individual AdaptiveSun|AdaptiveSun|1.6|1.60|Sem AR|-6.00 a +6.00
-10.00 a +8.00|-4.00
-6.00|-|75/80
70/75|||52</x:v>
      </x:c>
    </x:row>
    <x:row r="3004">
      <x:c r="A3004" s="24" t="str">
        <x:v>ZS-27661ABE1A3C</x:v>
      </x:c>
      <x:c r="B3004" s="24" t="str">
        <x:v>ZEISS</x:v>
      </x:c>
      <x:c r="C3004" s="24" t="str">
        <x:v>AdaptiveSun</x:v>
      </x:c>
      <x:c r="D3004" s="24" t="str">
        <x:v>Surfaçada</x:v>
      </x:c>
      <x:c r="E3004" s="24" t="str">
        <x:v>SmartLife Visão Simples Individual AdaptiveSun</x:v>
      </x:c>
      <x:c r="F3004" s="24" t="str">
        <x:v>AdaptiveSun</x:v>
      </x:c>
      <x:c r="G3004" s="24" t="str">
        <x:v>1.67</x:v>
      </x:c>
      <x:c r="H3004" s="24" t="str">
        <x:v>1.67</x:v>
      </x:c>
      <x:c r="I3004" s="24" t="str">
        <x:v>DuraVision Platinum UV</x:v>
      </x:c>
      <x:c r="J3004" s="40" t="n">
        <x:v>5389</x:v>
      </x:c>
      <x:c r="K3004" s="24" t="str">
        <x:v>-10.00 a +8.00
-12.00 a +8.00</x:v>
      </x:c>
      <x:c r="L3004" s="24" t="str">
        <x:v>-4.00
-6.00</x:v>
      </x:c>
      <x:c r="M3004" s="24" t="str">
        <x:v>-</x:v>
      </x:c>
      <x:c r="N3004" s="24" t="str">
        <x:v>70/75
65/70</x:v>
      </x:c>
      <x:c r="O3004" s="24"/>
      <x:c r="P3004" s="24"/>
      <x:c r="Q3004" s="24" t="str">
        <x:v>DISPONÍVEL</x:v>
      </x:c>
      <x:c r="R3004" s="24" t="str">
        <x:v>Programa de Parcerias ZEISS — categoria Experts</x:v>
      </x:c>
      <x:c r="S3004" s="24" t="n">
        <x:v>52</x:v>
      </x:c>
      <x:c r="T3004" s="24" t="str">
        <x:v>tabela_zeiss.pdf</x:v>
      </x:c>
      <x:c r="U3004" s="24" t="str">
        <x:v>ZEISS|AdaptiveSun|Surfaçada|SmartLife Visão Simples Individual AdaptiveSun|AdaptiveSun|1.67|1.67|DuraVision Platinum UV|-10.00 a +8.00
-12.00 a +8.00|-4.00
-6.00|-|70/75
65/70|||52</x:v>
      </x:c>
    </x:row>
    <x:row r="3005">
      <x:c r="A3005" s="24" t="str">
        <x:v>ZS-6AA5A292B76F</x:v>
      </x:c>
      <x:c r="B3005" s="24" t="str">
        <x:v>ZEISS</x:v>
      </x:c>
      <x:c r="C3005" s="24" t="str">
        <x:v>AdaptiveSun</x:v>
      </x:c>
      <x:c r="D3005" s="24" t="str">
        <x:v>Surfaçada</x:v>
      </x:c>
      <x:c r="E3005" s="24" t="str">
        <x:v>SmartLife Visão Simples Individual AdaptiveSun</x:v>
      </x:c>
      <x:c r="F3005" s="24" t="str">
        <x:v>AdaptiveSun</x:v>
      </x:c>
      <x:c r="G3005" s="24" t="str">
        <x:v>1.67</x:v>
      </x:c>
      <x:c r="H3005" s="24" t="str">
        <x:v>1.67</x:v>
      </x:c>
      <x:c r="I3005" s="24" t="str">
        <x:v>DuraVision Silver UV</x:v>
      </x:c>
      <x:c r="J3005" s="40" t="n">
        <x:v>5129</x:v>
      </x:c>
      <x:c r="K3005" s="24" t="str">
        <x:v>-10.00 a +8.00
-12.00 a +8.00</x:v>
      </x:c>
      <x:c r="L3005" s="24" t="str">
        <x:v>-4.00
-6.00</x:v>
      </x:c>
      <x:c r="M3005" s="24" t="str">
        <x:v>-</x:v>
      </x:c>
      <x:c r="N3005" s="24" t="str">
        <x:v>70/75
65/70</x:v>
      </x:c>
      <x:c r="O3005" s="24"/>
      <x:c r="P3005" s="24"/>
      <x:c r="Q3005" s="24" t="str">
        <x:v>DISPONÍVEL</x:v>
      </x:c>
      <x:c r="R3005" s="24" t="str">
        <x:v>Programa de Parcerias ZEISS — categoria Experts</x:v>
      </x:c>
      <x:c r="S3005" s="24" t="n">
        <x:v>52</x:v>
      </x:c>
      <x:c r="T3005" s="24" t="str">
        <x:v>tabela_zeiss.pdf</x:v>
      </x:c>
      <x:c r="U3005" s="24" t="str">
        <x:v>ZEISS|AdaptiveSun|Surfaçada|SmartLife Visão Simples Individual AdaptiveSun|AdaptiveSun|1.67|1.67|DuraVision Silver UV|-10.00 a +8.00
-12.00 a +8.00|-4.00
-6.00|-|70/75
65/70|||52</x:v>
      </x:c>
    </x:row>
    <x:row r="3006">
      <x:c r="A3006" s="24" t="str">
        <x:v>ZS-06FB72ACD681</x:v>
      </x:c>
      <x:c r="B3006" s="24" t="str">
        <x:v>ZEISS</x:v>
      </x:c>
      <x:c r="C3006" s="24" t="str">
        <x:v>AdaptiveSun</x:v>
      </x:c>
      <x:c r="D3006" s="24" t="str">
        <x:v>Surfaçada</x:v>
      </x:c>
      <x:c r="E3006" s="24" t="str">
        <x:v>SmartLife Visão Simples Individual AdaptiveSun</x:v>
      </x:c>
      <x:c r="F3006" s="24" t="str">
        <x:v>AdaptiveSun</x:v>
      </x:c>
      <x:c r="G3006" s="24" t="str">
        <x:v>1.67</x:v>
      </x:c>
      <x:c r="H3006" s="24" t="str">
        <x:v>1.67</x:v>
      </x:c>
      <x:c r="I3006" s="24" t="str">
        <x:v>DuraVision Chrome UV</x:v>
      </x:c>
      <x:c r="J3006" s="40" t="n">
        <x:v>4639</x:v>
      </x:c>
      <x:c r="K3006" s="24" t="str">
        <x:v>-10.00 a +8.00
-12.00 a +8.00</x:v>
      </x:c>
      <x:c r="L3006" s="24" t="str">
        <x:v>-4.00
-6.00</x:v>
      </x:c>
      <x:c r="M3006" s="24" t="str">
        <x:v>-</x:v>
      </x:c>
      <x:c r="N3006" s="24" t="str">
        <x:v>70/75
65/70</x:v>
      </x:c>
      <x:c r="O3006" s="24"/>
      <x:c r="P3006" s="24"/>
      <x:c r="Q3006" s="24" t="str">
        <x:v>DISPONÍVEL</x:v>
      </x:c>
      <x:c r="R3006" s="24" t="str">
        <x:v>Programa de Parcerias ZEISS — categoria Experts</x:v>
      </x:c>
      <x:c r="S3006" s="24" t="n">
        <x:v>52</x:v>
      </x:c>
      <x:c r="T3006" s="24" t="str">
        <x:v>tabela_zeiss.pdf</x:v>
      </x:c>
      <x:c r="U3006" s="24" t="str">
        <x:v>ZEISS|AdaptiveSun|Surfaçada|SmartLife Visão Simples Individual AdaptiveSun|AdaptiveSun|1.67|1.67|DuraVision Chrome UV|-10.00 a +8.00
-12.00 a +8.00|-4.00
-6.00|-|70/75
65/70|||52</x:v>
      </x:c>
    </x:row>
    <x:row r="3007">
      <x:c r="A3007" s="24" t="str">
        <x:v>ZS-D1F00CE854BB</x:v>
      </x:c>
      <x:c r="B3007" s="24" t="str">
        <x:v>ZEISS</x:v>
      </x:c>
      <x:c r="C3007" s="24" t="str">
        <x:v>AdaptiveSun</x:v>
      </x:c>
      <x:c r="D3007" s="24" t="str">
        <x:v>Surfaçada</x:v>
      </x:c>
      <x:c r="E3007" s="24" t="str">
        <x:v>SmartLife Visão Simples Individual AdaptiveSun</x:v>
      </x:c>
      <x:c r="F3007" s="24" t="str">
        <x:v>AdaptiveSun</x:v>
      </x:c>
      <x:c r="G3007" s="24" t="str">
        <x:v>1.67</x:v>
      </x:c>
      <x:c r="H3007" s="24" t="str">
        <x:v>1.67</x:v>
      </x:c>
      <x:c r="I3007" s="24" t="str">
        <x:v>Sem AR</x:v>
      </x:c>
      <x:c r="J3007" s="40" t="n">
        <x:v>4239</x:v>
      </x:c>
      <x:c r="K3007" s="24" t="str">
        <x:v>-10.00 a +8.00
-12.00 a +8.00</x:v>
      </x:c>
      <x:c r="L3007" s="24" t="str">
        <x:v>-4.00
-6.00</x:v>
      </x:c>
      <x:c r="M3007" s="24" t="str">
        <x:v>-</x:v>
      </x:c>
      <x:c r="N3007" s="24" t="str">
        <x:v>70/75
65/70</x:v>
      </x:c>
      <x:c r="O3007" s="24"/>
      <x:c r="P3007" s="24"/>
      <x:c r="Q3007" s="24" t="str">
        <x:v>DISPONÍVEL</x:v>
      </x:c>
      <x:c r="R3007" s="24" t="str">
        <x:v>Programa de Parcerias ZEISS — categoria Experts</x:v>
      </x:c>
      <x:c r="S3007" s="24" t="n">
        <x:v>52</x:v>
      </x:c>
      <x:c r="T3007" s="24" t="str">
        <x:v>tabela_zeiss.pdf</x:v>
      </x:c>
      <x:c r="U3007" s="24" t="str">
        <x:v>ZEISS|AdaptiveSun|Surfaçada|SmartLife Visão Simples Individual AdaptiveSun|AdaptiveSun|1.67|1.67|Sem AR|-10.00 a +8.00
-12.00 a +8.00|-4.00
-6.00|-|70/75
65/70|||52</x:v>
      </x:c>
    </x:row>
    <x:row r="3008">
      <x:c r="A3008" s="24" t="str">
        <x:v>ZS-384A3215808C</x:v>
      </x:c>
      <x:c r="B3008" s="24" t="str">
        <x:v>ZEISS</x:v>
      </x:c>
      <x:c r="C3008" s="24" t="str">
        <x:v>AdaptiveSun</x:v>
      </x:c>
      <x:c r="D3008" s="24" t="str">
        <x:v>Surfaçada</x:v>
      </x:c>
      <x:c r="E3008" s="24" t="str">
        <x:v>SmartLife Visão Simples AdaptiveSun</x:v>
      </x:c>
      <x:c r="F3008" s="24" t="str">
        <x:v>AdaptiveSun</x:v>
      </x:c>
      <x:c r="G3008" s="24" t="str">
        <x:v>1.5</x:v>
      </x:c>
      <x:c r="H3008" s="24" t="str">
        <x:v>1.50</x:v>
      </x:c>
      <x:c r="I3008" s="24" t="str">
        <x:v>DuraVision Platinum UV</x:v>
      </x:c>
      <x:c r="J3008" s="40" t="n">
        <x:v>3359</x:v>
      </x:c>
      <x:c r="K3008" s="24" t="str">
        <x:v>-4.00 a +4.00
-6.00 a +6.00</x:v>
      </x:c>
      <x:c r="L3008" s="24" t="str">
        <x:v>-4.00
-4.00</x:v>
      </x:c>
      <x:c r="M3008" s="24" t="str">
        <x:v>-</x:v>
      </x:c>
      <x:c r="N3008" s="24" t="str">
        <x:v>75/80
70/75</x:v>
      </x:c>
      <x:c r="O3008" s="24"/>
      <x:c r="P3008" s="24"/>
      <x:c r="Q3008" s="24" t="str">
        <x:v>DISPONÍVEL</x:v>
      </x:c>
      <x:c r="R3008" s="24" t="str">
        <x:v>Programa de Parcerias ZEISS — categoria Experts</x:v>
      </x:c>
      <x:c r="S3008" s="24" t="n">
        <x:v>52</x:v>
      </x:c>
      <x:c r="T3008" s="24" t="str">
        <x:v>tabela_zeiss.pdf</x:v>
      </x:c>
      <x:c r="U3008" s="24" t="str">
        <x:v>ZEISS|AdaptiveSun|Surfaçada|SmartLife Visão Simples AdaptiveSun|AdaptiveSun|1.5|1.50|DuraVision Platinum UV|-4.00 a +4.00
-6.00 a +6.00|-4.00
-4.00|-|75/80
70/75|||52</x:v>
      </x:c>
    </x:row>
    <x:row r="3009">
      <x:c r="A3009" s="24" t="str">
        <x:v>ZS-865C4EA215C3</x:v>
      </x:c>
      <x:c r="B3009" s="24" t="str">
        <x:v>ZEISS</x:v>
      </x:c>
      <x:c r="C3009" s="24" t="str">
        <x:v>AdaptiveSun</x:v>
      </x:c>
      <x:c r="D3009" s="24" t="str">
        <x:v>Surfaçada</x:v>
      </x:c>
      <x:c r="E3009" s="24" t="str">
        <x:v>SmartLife Visão Simples AdaptiveSun</x:v>
      </x:c>
      <x:c r="F3009" s="24" t="str">
        <x:v>AdaptiveSun</x:v>
      </x:c>
      <x:c r="G3009" s="24" t="str">
        <x:v>1.5</x:v>
      </x:c>
      <x:c r="H3009" s="24" t="str">
        <x:v>1.50</x:v>
      </x:c>
      <x:c r="I3009" s="24" t="str">
        <x:v>DuraVision Silver UV</x:v>
      </x:c>
      <x:c r="J3009" s="40" t="n">
        <x:v>3219</x:v>
      </x:c>
      <x:c r="K3009" s="24" t="str">
        <x:v>-4.00 a +4.00
-6.00 a +6.00</x:v>
      </x:c>
      <x:c r="L3009" s="24" t="str">
        <x:v>-4.00
-4.00</x:v>
      </x:c>
      <x:c r="M3009" s="24" t="str">
        <x:v>-</x:v>
      </x:c>
      <x:c r="N3009" s="24" t="str">
        <x:v>75/80
70/75</x:v>
      </x:c>
      <x:c r="O3009" s="24"/>
      <x:c r="P3009" s="24"/>
      <x:c r="Q3009" s="24" t="str">
        <x:v>DISPONÍVEL</x:v>
      </x:c>
      <x:c r="R3009" s="24" t="str">
        <x:v>Programa de Parcerias ZEISS — categoria Experts</x:v>
      </x:c>
      <x:c r="S3009" s="24" t="n">
        <x:v>52</x:v>
      </x:c>
      <x:c r="T3009" s="24" t="str">
        <x:v>tabela_zeiss.pdf</x:v>
      </x:c>
      <x:c r="U3009" s="24" t="str">
        <x:v>ZEISS|AdaptiveSun|Surfaçada|SmartLife Visão Simples AdaptiveSun|AdaptiveSun|1.5|1.50|DuraVision Silver UV|-4.00 a +4.00
-6.00 a +6.00|-4.00
-4.00|-|75/80
70/75|||52</x:v>
      </x:c>
    </x:row>
    <x:row r="3010">
      <x:c r="A3010" s="24" t="str">
        <x:v>ZS-A9842BD7C876</x:v>
      </x:c>
      <x:c r="B3010" s="24" t="str">
        <x:v>ZEISS</x:v>
      </x:c>
      <x:c r="C3010" s="24" t="str">
        <x:v>AdaptiveSun</x:v>
      </x:c>
      <x:c r="D3010" s="24" t="str">
        <x:v>Surfaçada</x:v>
      </x:c>
      <x:c r="E3010" s="24" t="str">
        <x:v>SmartLife Visão Simples AdaptiveSun</x:v>
      </x:c>
      <x:c r="F3010" s="24" t="str">
        <x:v>AdaptiveSun</x:v>
      </x:c>
      <x:c r="G3010" s="24" t="str">
        <x:v>1.5</x:v>
      </x:c>
      <x:c r="H3010" s="24" t="str">
        <x:v>1.50</x:v>
      </x:c>
      <x:c r="I3010" s="24" t="str">
        <x:v>DuraVision Chrome UV</x:v>
      </x:c>
      <x:c r="J3010" s="40" t="n">
        <x:v>2959</x:v>
      </x:c>
      <x:c r="K3010" s="24" t="str">
        <x:v>-4.00 a +4.00
-6.00 a +6.00</x:v>
      </x:c>
      <x:c r="L3010" s="24" t="str">
        <x:v>-4.00
-4.00</x:v>
      </x:c>
      <x:c r="M3010" s="24" t="str">
        <x:v>-</x:v>
      </x:c>
      <x:c r="N3010" s="24" t="str">
        <x:v>75/80
70/75</x:v>
      </x:c>
      <x:c r="O3010" s="24"/>
      <x:c r="P3010" s="24"/>
      <x:c r="Q3010" s="24" t="str">
        <x:v>DISPONÍVEL</x:v>
      </x:c>
      <x:c r="R3010" s="24" t="str">
        <x:v>Programa de Parcerias ZEISS — categoria Experts</x:v>
      </x:c>
      <x:c r="S3010" s="24" t="n">
        <x:v>52</x:v>
      </x:c>
      <x:c r="T3010" s="24" t="str">
        <x:v>tabela_zeiss.pdf</x:v>
      </x:c>
      <x:c r="U3010" s="24" t="str">
        <x:v>ZEISS|AdaptiveSun|Surfaçada|SmartLife Visão Simples AdaptiveSun|AdaptiveSun|1.5|1.50|DuraVision Chrome UV|-4.00 a +4.00
-6.00 a +6.00|-4.00
-4.00|-|75/80
70/75|||52</x:v>
      </x:c>
    </x:row>
    <x:row r="3011">
      <x:c r="A3011" s="24" t="str">
        <x:v>ZS-35F4679EE405</x:v>
      </x:c>
      <x:c r="B3011" s="24" t="str">
        <x:v>ZEISS</x:v>
      </x:c>
      <x:c r="C3011" s="24" t="str">
        <x:v>AdaptiveSun</x:v>
      </x:c>
      <x:c r="D3011" s="24" t="str">
        <x:v>Surfaçada</x:v>
      </x:c>
      <x:c r="E3011" s="24" t="str">
        <x:v>SmartLife Visão Simples AdaptiveSun</x:v>
      </x:c>
      <x:c r="F3011" s="24" t="str">
        <x:v>AdaptiveSun</x:v>
      </x:c>
      <x:c r="G3011" s="24" t="str">
        <x:v>1.5</x:v>
      </x:c>
      <x:c r="H3011" s="24" t="str">
        <x:v>1.50</x:v>
      </x:c>
      <x:c r="I3011" s="24" t="str">
        <x:v>Sem AR</x:v>
      </x:c>
      <x:c r="J3011" s="40" t="n">
        <x:v>2069</x:v>
      </x:c>
      <x:c r="K3011" s="24" t="str">
        <x:v>-4.00 a +4.00
-6.00 a +6.00</x:v>
      </x:c>
      <x:c r="L3011" s="24" t="str">
        <x:v>-4.00
-4.00</x:v>
      </x:c>
      <x:c r="M3011" s="24" t="str">
        <x:v>-</x:v>
      </x:c>
      <x:c r="N3011" s="24" t="str">
        <x:v>75/80
70/75</x:v>
      </x:c>
      <x:c r="O3011" s="24"/>
      <x:c r="P3011" s="24"/>
      <x:c r="Q3011" s="24" t="str">
        <x:v>DISPONÍVEL</x:v>
      </x:c>
      <x:c r="R3011" s="24" t="str">
        <x:v>Programa de Parcerias ZEISS — categoria Experts</x:v>
      </x:c>
      <x:c r="S3011" s="24" t="n">
        <x:v>52</x:v>
      </x:c>
      <x:c r="T3011" s="24" t="str">
        <x:v>tabela_zeiss.pdf</x:v>
      </x:c>
      <x:c r="U3011" s="24" t="str">
        <x:v>ZEISS|AdaptiveSun|Surfaçada|SmartLife Visão Simples AdaptiveSun|AdaptiveSun|1.5|1.50|Sem AR|-4.00 a +4.00
-6.00 a +6.00|-4.00
-4.00|-|75/80
70/75|||52</x:v>
      </x:c>
    </x:row>
    <x:row r="3012">
      <x:c r="A3012" s="24" t="str">
        <x:v>ZS-9B2680CA1140</x:v>
      </x:c>
      <x:c r="B3012" s="24" t="str">
        <x:v>ZEISS</x:v>
      </x:c>
      <x:c r="C3012" s="24" t="str">
        <x:v>AdaptiveSun</x:v>
      </x:c>
      <x:c r="D3012" s="24" t="str">
        <x:v>Surfaçada</x:v>
      </x:c>
      <x:c r="E3012" s="24" t="str">
        <x:v>SmartLife Visão Simples AdaptiveSun</x:v>
      </x:c>
      <x:c r="F3012" s="24" t="str">
        <x:v>AdaptiveSun</x:v>
      </x:c>
      <x:c r="G3012" s="24" t="str">
        <x:v>1.6</x:v>
      </x:c>
      <x:c r="H3012" s="24" t="str">
        <x:v>1.60</x:v>
      </x:c>
      <x:c r="I3012" s="24" t="str">
        <x:v>DuraVision Platinum UV</x:v>
      </x:c>
      <x:c r="J3012" s="40" t="n">
        <x:v>3939</x:v>
      </x:c>
      <x:c r="K3012" s="24" t="str">
        <x:v>-6.00 a +6.00
-10.00 a +8.00</x:v>
      </x:c>
      <x:c r="L3012" s="24" t="str">
        <x:v>-4.00
-6.00</x:v>
      </x:c>
      <x:c r="M3012" s="24" t="str">
        <x:v>-</x:v>
      </x:c>
      <x:c r="N3012" s="24" t="str">
        <x:v>75/80
70/75</x:v>
      </x:c>
      <x:c r="O3012" s="24"/>
      <x:c r="P3012" s="24"/>
      <x:c r="Q3012" s="24" t="str">
        <x:v>DISPONÍVEL</x:v>
      </x:c>
      <x:c r="R3012" s="24" t="str">
        <x:v>Programa de Parcerias ZEISS — categoria Experts</x:v>
      </x:c>
      <x:c r="S3012" s="24" t="n">
        <x:v>52</x:v>
      </x:c>
      <x:c r="T3012" s="24" t="str">
        <x:v>tabela_zeiss.pdf</x:v>
      </x:c>
      <x:c r="U3012" s="24" t="str">
        <x:v>ZEISS|AdaptiveSun|Surfaçada|SmartLife Visão Simples AdaptiveSun|AdaptiveSun|1.6|1.60|DuraVision Platinum UV|-6.00 a +6.00
-10.00 a +8.00|-4.00
-6.00|-|75/80
70/75|||52</x:v>
      </x:c>
    </x:row>
    <x:row r="3013">
      <x:c r="A3013" s="24" t="str">
        <x:v>ZS-D0F45FE94E05</x:v>
      </x:c>
      <x:c r="B3013" s="24" t="str">
        <x:v>ZEISS</x:v>
      </x:c>
      <x:c r="C3013" s="24" t="str">
        <x:v>AdaptiveSun</x:v>
      </x:c>
      <x:c r="D3013" s="24" t="str">
        <x:v>Surfaçada</x:v>
      </x:c>
      <x:c r="E3013" s="24" t="str">
        <x:v>SmartLife Visão Simples AdaptiveSun</x:v>
      </x:c>
      <x:c r="F3013" s="24" t="str">
        <x:v>AdaptiveSun</x:v>
      </x:c>
      <x:c r="G3013" s="24" t="str">
        <x:v>1.6</x:v>
      </x:c>
      <x:c r="H3013" s="24" t="str">
        <x:v>1.60</x:v>
      </x:c>
      <x:c r="I3013" s="24" t="str">
        <x:v>DuraVision Silver UV</x:v>
      </x:c>
      <x:c r="J3013" s="40" t="n">
        <x:v>3799</x:v>
      </x:c>
      <x:c r="K3013" s="24" t="str">
        <x:v>-6.00 a +6.00
-10.00 a +8.00</x:v>
      </x:c>
      <x:c r="L3013" s="24" t="str">
        <x:v>-4.00
-6.00</x:v>
      </x:c>
      <x:c r="M3013" s="24" t="str">
        <x:v>-</x:v>
      </x:c>
      <x:c r="N3013" s="24" t="str">
        <x:v>75/80
70/75</x:v>
      </x:c>
      <x:c r="O3013" s="24"/>
      <x:c r="P3013" s="24"/>
      <x:c r="Q3013" s="24" t="str">
        <x:v>DISPONÍVEL</x:v>
      </x:c>
      <x:c r="R3013" s="24" t="str">
        <x:v>Programa de Parcerias ZEISS — categoria Experts</x:v>
      </x:c>
      <x:c r="S3013" s="24" t="n">
        <x:v>52</x:v>
      </x:c>
      <x:c r="T3013" s="24" t="str">
        <x:v>tabela_zeiss.pdf</x:v>
      </x:c>
      <x:c r="U3013" s="24" t="str">
        <x:v>ZEISS|AdaptiveSun|Surfaçada|SmartLife Visão Simples AdaptiveSun|AdaptiveSun|1.6|1.60|DuraVision Silver UV|-6.00 a +6.00
-10.00 a +8.00|-4.00
-6.00|-|75/80
70/75|||52</x:v>
      </x:c>
    </x:row>
    <x:row r="3014">
      <x:c r="A3014" s="24" t="str">
        <x:v>ZS-AA59B1AD2A76</x:v>
      </x:c>
      <x:c r="B3014" s="24" t="str">
        <x:v>ZEISS</x:v>
      </x:c>
      <x:c r="C3014" s="24" t="str">
        <x:v>AdaptiveSun</x:v>
      </x:c>
      <x:c r="D3014" s="24" t="str">
        <x:v>Surfaçada</x:v>
      </x:c>
      <x:c r="E3014" s="24" t="str">
        <x:v>SmartLife Visão Simples AdaptiveSun</x:v>
      </x:c>
      <x:c r="F3014" s="24" t="str">
        <x:v>AdaptiveSun</x:v>
      </x:c>
      <x:c r="G3014" s="24" t="str">
        <x:v>1.6</x:v>
      </x:c>
      <x:c r="H3014" s="24" t="str">
        <x:v>1.60</x:v>
      </x:c>
      <x:c r="I3014" s="24" t="str">
        <x:v>DuraVision Chrome UV</x:v>
      </x:c>
      <x:c r="J3014" s="40" t="n">
        <x:v>3539</x:v>
      </x:c>
      <x:c r="K3014" s="24" t="str">
        <x:v>-6.00 a +6.00
-10.00 a +8.00</x:v>
      </x:c>
      <x:c r="L3014" s="24" t="str">
        <x:v>-4.00
-6.00</x:v>
      </x:c>
      <x:c r="M3014" s="24" t="str">
        <x:v>-</x:v>
      </x:c>
      <x:c r="N3014" s="24" t="str">
        <x:v>75/80
70/75</x:v>
      </x:c>
      <x:c r="O3014" s="24"/>
      <x:c r="P3014" s="24"/>
      <x:c r="Q3014" s="24" t="str">
        <x:v>DISPONÍVEL</x:v>
      </x:c>
      <x:c r="R3014" s="24" t="str">
        <x:v>Programa de Parcerias ZEISS — categoria Experts</x:v>
      </x:c>
      <x:c r="S3014" s="24" t="n">
        <x:v>52</x:v>
      </x:c>
      <x:c r="T3014" s="24" t="str">
        <x:v>tabela_zeiss.pdf</x:v>
      </x:c>
      <x:c r="U3014" s="24" t="str">
        <x:v>ZEISS|AdaptiveSun|Surfaçada|SmartLife Visão Simples AdaptiveSun|AdaptiveSun|1.6|1.60|DuraVision Chrome UV|-6.00 a +6.00
-10.00 a +8.00|-4.00
-6.00|-|75/80
70/75|||52</x:v>
      </x:c>
    </x:row>
    <x:row r="3015">
      <x:c r="A3015" s="24" t="str">
        <x:v>ZS-9BECE20FBC56</x:v>
      </x:c>
      <x:c r="B3015" s="24" t="str">
        <x:v>ZEISS</x:v>
      </x:c>
      <x:c r="C3015" s="24" t="str">
        <x:v>AdaptiveSun</x:v>
      </x:c>
      <x:c r="D3015" s="24" t="str">
        <x:v>Surfaçada</x:v>
      </x:c>
      <x:c r="E3015" s="24" t="str">
        <x:v>SmartLife Visão Simples AdaptiveSun</x:v>
      </x:c>
      <x:c r="F3015" s="24" t="str">
        <x:v>AdaptiveSun</x:v>
      </x:c>
      <x:c r="G3015" s="24" t="str">
        <x:v>1.6</x:v>
      </x:c>
      <x:c r="H3015" s="24" t="str">
        <x:v>1.60</x:v>
      </x:c>
      <x:c r="I3015" s="24" t="str">
        <x:v>Sem AR</x:v>
      </x:c>
      <x:c r="J3015" s="40" t="n">
        <x:v>2649</x:v>
      </x:c>
      <x:c r="K3015" s="24" t="str">
        <x:v>-6.00 a +6.00
-10.00 a +8.00</x:v>
      </x:c>
      <x:c r="L3015" s="24" t="str">
        <x:v>-4.00
-6.00</x:v>
      </x:c>
      <x:c r="M3015" s="24" t="str">
        <x:v>-</x:v>
      </x:c>
      <x:c r="N3015" s="24" t="str">
        <x:v>75/80
70/75</x:v>
      </x:c>
      <x:c r="O3015" s="24"/>
      <x:c r="P3015" s="24"/>
      <x:c r="Q3015" s="24" t="str">
        <x:v>DISPONÍVEL</x:v>
      </x:c>
      <x:c r="R3015" s="24" t="str">
        <x:v>Programa de Parcerias ZEISS — categoria Experts</x:v>
      </x:c>
      <x:c r="S3015" s="24" t="n">
        <x:v>52</x:v>
      </x:c>
      <x:c r="T3015" s="24" t="str">
        <x:v>tabela_zeiss.pdf</x:v>
      </x:c>
      <x:c r="U3015" s="24" t="str">
        <x:v>ZEISS|AdaptiveSun|Surfaçada|SmartLife Visão Simples AdaptiveSun|AdaptiveSun|1.6|1.60|Sem AR|-6.00 a +6.00
-10.00 a +8.00|-4.00
-6.00|-|75/80
70/75|||52</x:v>
      </x:c>
    </x:row>
    <x:row r="3016">
      <x:c r="A3016" s="24" t="str">
        <x:v>ZS-40695468F327</x:v>
      </x:c>
      <x:c r="B3016" s="24" t="str">
        <x:v>ZEISS</x:v>
      </x:c>
      <x:c r="C3016" s="24" t="str">
        <x:v>AdaptiveSun</x:v>
      </x:c>
      <x:c r="D3016" s="24" t="str">
        <x:v>Surfaçada</x:v>
      </x:c>
      <x:c r="E3016" s="24" t="str">
        <x:v>SmartLife Visão Simples AdaptiveSun</x:v>
      </x:c>
      <x:c r="F3016" s="24" t="str">
        <x:v>AdaptiveSun</x:v>
      </x:c>
      <x:c r="G3016" s="24" t="str">
        <x:v>1.67</x:v>
      </x:c>
      <x:c r="H3016" s="24" t="str">
        <x:v>1.67</x:v>
      </x:c>
      <x:c r="I3016" s="24" t="str">
        <x:v>DuraVision Platinum UV</x:v>
      </x:c>
      <x:c r="J3016" s="40" t="n">
        <x:v>5239</x:v>
      </x:c>
      <x:c r="K3016" s="24" t="str">
        <x:v>-10.00 a +8.00
-12.00 a +8.00</x:v>
      </x:c>
      <x:c r="L3016" s="24" t="str">
        <x:v>-4.00
-6.00</x:v>
      </x:c>
      <x:c r="M3016" s="24" t="str">
        <x:v>-</x:v>
      </x:c>
      <x:c r="N3016" s="24" t="str">
        <x:v>70/75
65/70</x:v>
      </x:c>
      <x:c r="O3016" s="24"/>
      <x:c r="P3016" s="24"/>
      <x:c r="Q3016" s="24" t="str">
        <x:v>DISPONÍVEL</x:v>
      </x:c>
      <x:c r="R3016" s="24" t="str">
        <x:v>Programa de Parcerias ZEISS — categoria Experts</x:v>
      </x:c>
      <x:c r="S3016" s="24" t="n">
        <x:v>52</x:v>
      </x:c>
      <x:c r="T3016" s="24" t="str">
        <x:v>tabela_zeiss.pdf</x:v>
      </x:c>
      <x:c r="U3016" s="24" t="str">
        <x:v>ZEISS|AdaptiveSun|Surfaçada|SmartLife Visão Simples AdaptiveSun|AdaptiveSun|1.67|1.67|DuraVision Platinum UV|-10.00 a +8.00
-12.00 a +8.00|-4.00
-6.00|-|70/75
65/70|||52</x:v>
      </x:c>
    </x:row>
    <x:row r="3017">
      <x:c r="A3017" s="24" t="str">
        <x:v>ZS-8B4C864F1CC5</x:v>
      </x:c>
      <x:c r="B3017" s="24" t="str">
        <x:v>ZEISS</x:v>
      </x:c>
      <x:c r="C3017" s="24" t="str">
        <x:v>AdaptiveSun</x:v>
      </x:c>
      <x:c r="D3017" s="24" t="str">
        <x:v>Surfaçada</x:v>
      </x:c>
      <x:c r="E3017" s="24" t="str">
        <x:v>SmartLife Visão Simples AdaptiveSun</x:v>
      </x:c>
      <x:c r="F3017" s="24" t="str">
        <x:v>AdaptiveSun</x:v>
      </x:c>
      <x:c r="G3017" s="24" t="str">
        <x:v>1.67</x:v>
      </x:c>
      <x:c r="H3017" s="24" t="str">
        <x:v>1.67</x:v>
      </x:c>
      <x:c r="I3017" s="24" t="str">
        <x:v>DuraVision Silver UV</x:v>
      </x:c>
      <x:c r="J3017" s="40" t="n">
        <x:v>5099</x:v>
      </x:c>
      <x:c r="K3017" s="24" t="str">
        <x:v>-10.00 a +8.00
-12.00 a +8.00</x:v>
      </x:c>
      <x:c r="L3017" s="24" t="str">
        <x:v>-4.00
-6.00</x:v>
      </x:c>
      <x:c r="M3017" s="24" t="str">
        <x:v>-</x:v>
      </x:c>
      <x:c r="N3017" s="24" t="str">
        <x:v>70/75
65/70</x:v>
      </x:c>
      <x:c r="O3017" s="24"/>
      <x:c r="P3017" s="24"/>
      <x:c r="Q3017" s="24" t="str">
        <x:v>DISPONÍVEL</x:v>
      </x:c>
      <x:c r="R3017" s="24" t="str">
        <x:v>Programa de Parcerias ZEISS — categoria Experts</x:v>
      </x:c>
      <x:c r="S3017" s="24" t="n">
        <x:v>52</x:v>
      </x:c>
      <x:c r="T3017" s="24" t="str">
        <x:v>tabela_zeiss.pdf</x:v>
      </x:c>
      <x:c r="U3017" s="24" t="str">
        <x:v>ZEISS|AdaptiveSun|Surfaçada|SmartLife Visão Simples AdaptiveSun|AdaptiveSun|1.67|1.67|DuraVision Silver UV|-10.00 a +8.00
-12.00 a +8.00|-4.00
-6.00|-|70/75
65/70|||52</x:v>
      </x:c>
    </x:row>
    <x:row r="3018">
      <x:c r="A3018" s="24" t="str">
        <x:v>ZS-5D28CED30A16</x:v>
      </x:c>
      <x:c r="B3018" s="24" t="str">
        <x:v>ZEISS</x:v>
      </x:c>
      <x:c r="C3018" s="24" t="str">
        <x:v>AdaptiveSun</x:v>
      </x:c>
      <x:c r="D3018" s="24" t="str">
        <x:v>Surfaçada</x:v>
      </x:c>
      <x:c r="E3018" s="24" t="str">
        <x:v>SmartLife Visão Simples AdaptiveSun</x:v>
      </x:c>
      <x:c r="F3018" s="24" t="str">
        <x:v>AdaptiveSun</x:v>
      </x:c>
      <x:c r="G3018" s="24" t="str">
        <x:v>1.67</x:v>
      </x:c>
      <x:c r="H3018" s="24" t="str">
        <x:v>1.67</x:v>
      </x:c>
      <x:c r="I3018" s="24" t="str">
        <x:v>DuraVision Chrome UV</x:v>
      </x:c>
      <x:c r="J3018" s="40" t="n">
        <x:v>4839</x:v>
      </x:c>
      <x:c r="K3018" s="24" t="str">
        <x:v>-10.00 a +8.00
-12.00 a +8.00</x:v>
      </x:c>
      <x:c r="L3018" s="24" t="str">
        <x:v>-4.00
-6.00</x:v>
      </x:c>
      <x:c r="M3018" s="24" t="str">
        <x:v>-</x:v>
      </x:c>
      <x:c r="N3018" s="24" t="str">
        <x:v>70/75
65/70</x:v>
      </x:c>
      <x:c r="O3018" s="24"/>
      <x:c r="P3018" s="24"/>
      <x:c r="Q3018" s="24" t="str">
        <x:v>DISPONÍVEL</x:v>
      </x:c>
      <x:c r="R3018" s="24" t="str">
        <x:v>Programa de Parcerias ZEISS — categoria Experts</x:v>
      </x:c>
      <x:c r="S3018" s="24" t="n">
        <x:v>52</x:v>
      </x:c>
      <x:c r="T3018" s="24" t="str">
        <x:v>tabela_zeiss.pdf</x:v>
      </x:c>
      <x:c r="U3018" s="24" t="str">
        <x:v>ZEISS|AdaptiveSun|Surfaçada|SmartLife Visão Simples AdaptiveSun|AdaptiveSun|1.67|1.67|DuraVision Chrome UV|-10.00 a +8.00
-12.00 a +8.00|-4.00
-6.00|-|70/75
65/70|||52</x:v>
      </x:c>
    </x:row>
    <x:row r="3019">
      <x:c r="A3019" s="24" t="str">
        <x:v>ZS-352F478C7ABD</x:v>
      </x:c>
      <x:c r="B3019" s="24" t="str">
        <x:v>ZEISS</x:v>
      </x:c>
      <x:c r="C3019" s="24" t="str">
        <x:v>AdaptiveSun</x:v>
      </x:c>
      <x:c r="D3019" s="24" t="str">
        <x:v>Surfaçada</x:v>
      </x:c>
      <x:c r="E3019" s="24" t="str">
        <x:v>SmartLife Visão Simples AdaptiveSun</x:v>
      </x:c>
      <x:c r="F3019" s="24" t="str">
        <x:v>AdaptiveSun</x:v>
      </x:c>
      <x:c r="G3019" s="24" t="str">
        <x:v>1.67</x:v>
      </x:c>
      <x:c r="H3019" s="24" t="str">
        <x:v>1.67</x:v>
      </x:c>
      <x:c r="I3019" s="24" t="str">
        <x:v>Sem AR</x:v>
      </x:c>
      <x:c r="J3019" s="40" t="n">
        <x:v>3949</x:v>
      </x:c>
      <x:c r="K3019" s="24" t="str">
        <x:v>-10.00 a +8.00
-12.00 a +8.00</x:v>
      </x:c>
      <x:c r="L3019" s="24" t="str">
        <x:v>-4.00
-6.00</x:v>
      </x:c>
      <x:c r="M3019" s="24" t="str">
        <x:v>-</x:v>
      </x:c>
      <x:c r="N3019" s="24" t="str">
        <x:v>70/75
65/70</x:v>
      </x:c>
      <x:c r="O3019" s="24"/>
      <x:c r="P3019" s="24"/>
      <x:c r="Q3019" s="24" t="str">
        <x:v>DISPONÍVEL</x:v>
      </x:c>
      <x:c r="R3019" s="24" t="str">
        <x:v>Programa de Parcerias ZEISS — categoria Experts</x:v>
      </x:c>
      <x:c r="S3019" s="24" t="n">
        <x:v>52</x:v>
      </x:c>
      <x:c r="T3019" s="24" t="str">
        <x:v>tabela_zeiss.pdf</x:v>
      </x:c>
      <x:c r="U3019" s="24" t="str">
        <x:v>ZEISS|AdaptiveSun|Surfaçada|SmartLife Visão Simples AdaptiveSun|AdaptiveSun|1.67|1.67|Sem AR|-10.00 a +8.00
-12.00 a +8.00|-4.00
-6.00|-|70/75
65/70|||52</x:v>
      </x:c>
    </x:row>
    <x:row r="3020">
      <x:c r="A3020" s="24" t="str">
        <x:v>ZS-06B7971397BE</x:v>
      </x:c>
      <x:c r="B3020" s="24" t="str">
        <x:v>ZEISS</x:v>
      </x:c>
      <x:c r="C3020" s="24" t="str">
        <x:v>AdaptiveSun</x:v>
      </x:c>
      <x:c r="D3020" s="24" t="str">
        <x:v>Surfaçada</x:v>
      </x:c>
      <x:c r="E3020" s="24" t="str">
        <x:v>EnergizeMe Visão Simples AdaptiveSun</x:v>
      </x:c>
      <x:c r="F3020" s="24" t="str">
        <x:v>AdaptiveSun</x:v>
      </x:c>
      <x:c r="G3020" s="24" t="str">
        <x:v>1.5</x:v>
      </x:c>
      <x:c r="H3020" s="24" t="str">
        <x:v>1.50</x:v>
      </x:c>
      <x:c r="I3020" s="24" t="str">
        <x:v>DuraVision Platinum UV</x:v>
      </x:c>
      <x:c r="J3020" s="40" t="n">
        <x:v>2874</x:v>
      </x:c>
      <x:c r="K3020" s="24" t="str">
        <x:v>-6.00 a +4.00
-7.00 a +5.00</x:v>
      </x:c>
      <x:c r="L3020" s="24" t="str">
        <x:v>-4.00</x:v>
      </x:c>
      <x:c r="M3020" s="24" t="str">
        <x:v>-</x:v>
      </x:c>
      <x:c r="N3020" s="24" t="str">
        <x:v>75/80
70/75</x:v>
      </x:c>
      <x:c r="O3020" s="24"/>
      <x:c r="P3020" s="24"/>
      <x:c r="Q3020" s="24" t="str">
        <x:v>DISPONÍVEL</x:v>
      </x:c>
      <x:c r="R3020" s="24" t="str">
        <x:v>Programa de Parcerias ZEISS — categoria Experts</x:v>
      </x:c>
      <x:c r="S3020" s="24" t="n">
        <x:v>52</x:v>
      </x:c>
      <x:c r="T3020" s="24" t="str">
        <x:v>tabela_zeiss.pdf</x:v>
      </x:c>
      <x:c r="U3020" s="24" t="str">
        <x:v>ZEISS|AdaptiveSun|Surfaçada|EnergizeMe Visão Simples AdaptiveSun|AdaptiveSun|1.5|1.50|DuraVision Platinum UV|-6.00 a +4.00
-7.00 a +5.00|-4.00|-|75/80
70/75|||52</x:v>
      </x:c>
    </x:row>
    <x:row r="3021">
      <x:c r="A3021" s="24" t="str">
        <x:v>ZS-0305EEECCB61</x:v>
      </x:c>
      <x:c r="B3021" s="24" t="str">
        <x:v>ZEISS</x:v>
      </x:c>
      <x:c r="C3021" s="24" t="str">
        <x:v>AdaptiveSun</x:v>
      </x:c>
      <x:c r="D3021" s="24" t="str">
        <x:v>Surfaçada</x:v>
      </x:c>
      <x:c r="E3021" s="24" t="str">
        <x:v>EnergizeMe Visão Simples AdaptiveSun</x:v>
      </x:c>
      <x:c r="F3021" s="24" t="str">
        <x:v>AdaptiveSun</x:v>
      </x:c>
      <x:c r="G3021" s="24" t="str">
        <x:v>1.6</x:v>
      </x:c>
      <x:c r="H3021" s="24" t="str">
        <x:v>1.60</x:v>
      </x:c>
      <x:c r="I3021" s="24" t="str">
        <x:v>DuraVision Platinum UV</x:v>
      </x:c>
      <x:c r="J3021" s="40" t="n">
        <x:v>3454</x:v>
      </x:c>
      <x:c r="K3021" s="24" t="str">
        <x:v>-5.00 a +6.00
-10.00 a +6.00</x:v>
      </x:c>
      <x:c r="L3021" s="24" t="str">
        <x:v>-4.00
-6.00</x:v>
      </x:c>
      <x:c r="M3021" s="24" t="str">
        <x:v>-</x:v>
      </x:c>
      <x:c r="N3021" s="24" t="str">
        <x:v>75/80
70/75</x:v>
      </x:c>
      <x:c r="O3021" s="24"/>
      <x:c r="P3021" s="24"/>
      <x:c r="Q3021" s="24" t="str">
        <x:v>DISPONÍVEL</x:v>
      </x:c>
      <x:c r="R3021" s="24" t="str">
        <x:v>Programa de Parcerias ZEISS — categoria Experts</x:v>
      </x:c>
      <x:c r="S3021" s="24" t="n">
        <x:v>52</x:v>
      </x:c>
      <x:c r="T3021" s="24" t="str">
        <x:v>tabela_zeiss.pdf</x:v>
      </x:c>
      <x:c r="U3021" s="24" t="str">
        <x:v>ZEISS|AdaptiveSun|Surfaçada|EnergizeMe Visão Simples AdaptiveSun|AdaptiveSun|1.6|1.60|DuraVision Platinum UV|-5.00 a +6.00
-10.00 a +6.00|-4.00
-6.00|-|75/80
70/75|||52</x:v>
      </x:c>
    </x:row>
    <x:row r="3022">
      <x:c r="A3022" s="24" t="str">
        <x:v>ZS-1C22AE1AC255</x:v>
      </x:c>
      <x:c r="B3022" s="24" t="str">
        <x:v>ZEISS</x:v>
      </x:c>
      <x:c r="C3022" s="24" t="str">
        <x:v>AdaptiveSun</x:v>
      </x:c>
      <x:c r="D3022" s="24" t="str">
        <x:v>Surfaçada</x:v>
      </x:c>
      <x:c r="E3022" s="24" t="str">
        <x:v>EnergizeMe Visão Simples AdaptiveSun</x:v>
      </x:c>
      <x:c r="F3022" s="24" t="str">
        <x:v>AdaptiveSun</x:v>
      </x:c>
      <x:c r="G3022" s="24" t="str">
        <x:v>1.67</x:v>
      </x:c>
      <x:c r="H3022" s="24" t="str">
        <x:v>1.67</x:v>
      </x:c>
      <x:c r="I3022" s="24" t="str">
        <x:v>DuraVision Platinum UV</x:v>
      </x:c>
      <x:c r="J3022" s="40" t="n">
        <x:v>4754</x:v>
      </x:c>
      <x:c r="K3022" s="24" t="str">
        <x:v>-10.00 a +8.00
-12.00 a +8.00</x:v>
      </x:c>
      <x:c r="L3022" s="24" t="str">
        <x:v>-4.00
-6.00</x:v>
      </x:c>
      <x:c r="M3022" s="24" t="str">
        <x:v>-</x:v>
      </x:c>
      <x:c r="N3022" s="24" t="str">
        <x:v>70/75
65/70</x:v>
      </x:c>
      <x:c r="O3022" s="24"/>
      <x:c r="P3022" s="24"/>
      <x:c r="Q3022" s="24" t="str">
        <x:v>DISPONÍVEL</x:v>
      </x:c>
      <x:c r="R3022" s="24" t="str">
        <x:v>Programa de Parcerias ZEISS — categoria Experts</x:v>
      </x:c>
      <x:c r="S3022" s="24" t="n">
        <x:v>52</x:v>
      </x:c>
      <x:c r="T3022" s="24" t="str">
        <x:v>tabela_zeiss.pdf</x:v>
      </x:c>
      <x:c r="U3022" s="24" t="str">
        <x:v>ZEISS|AdaptiveSun|Surfaçada|EnergizeMe Visão Simples AdaptiveSun|AdaptiveSun|1.67|1.67|DuraVision Platinum UV|-10.00 a +8.00
-12.00 a +8.00|-4.00
-6.00|-|70/75
65/70|||52</x:v>
      </x:c>
    </x:row>
    <x:row r="3023">
      <x:c r="A3023" s="24" t="str">
        <x:v>ZS-B25209BD4B56</x:v>
      </x:c>
      <x:c r="B3023" s="24" t="str">
        <x:v>ZEISS</x:v>
      </x:c>
      <x:c r="C3023" s="24" t="str">
        <x:v>AdaptiveSun</x:v>
      </x:c>
      <x:c r="D3023" s="24" t="str">
        <x:v>Surfaçada</x:v>
      </x:c>
      <x:c r="E3023" s="24" t="str">
        <x:v>Individual Sport Visão Simples AdaptiveSun</x:v>
      </x:c>
      <x:c r="F3023" s="24" t="str">
        <x:v>AdaptiveSun PhotoFusion Cinza</x:v>
      </x:c>
      <x:c r="G3023" s="24" t="str">
        <x:v>1.5</x:v>
      </x:c>
      <x:c r="H3023" s="24" t="str">
        <x:v>1.50</x:v>
      </x:c>
      <x:c r="I3023" s="24" t="str">
        <x:v>DuraVision Platinum UV</x:v>
      </x:c>
      <x:c r="J3023" s="40" t="n">
        <x:v>3790</x:v>
      </x:c>
      <x:c r="K3023" s="24" t="str">
        <x:v>-5.00 a +5.00</x:v>
      </x:c>
      <x:c r="L3023" s="24" t="str">
        <x:v>-4.00</x:v>
      </x:c>
      <x:c r="M3023" s="24" t="str">
        <x:v>-</x:v>
      </x:c>
      <x:c r="N3023" s="24" t="str">
        <x:v>80/90</x:v>
      </x:c>
      <x:c r="O3023" s="24"/>
      <x:c r="P3023" s="24"/>
      <x:c r="Q3023" s="24" t="str">
        <x:v>DISPONÍVEL</x:v>
      </x:c>
      <x:c r="R3023" s="24" t="str">
        <x:v>Programa de Parcerias ZEISS — categoria Experts</x:v>
      </x:c>
      <x:c r="S3023" s="24" t="n">
        <x:v>52</x:v>
      </x:c>
      <x:c r="T3023" s="24" t="str">
        <x:v>tabela_zeiss.pdf</x:v>
      </x:c>
      <x:c r="U3023" s="24" t="str">
        <x:v>ZEISS|AdaptiveSun|Surfaçada|Individual Sport Visão Simples AdaptiveSun|AdaptiveSun PhotoFusion Cinza|1.5|1.50|DuraVision Platinum UV|-5.00 a +5.00|-4.00|-|80/90|||52</x:v>
      </x:c>
    </x:row>
    <x:row r="3024">
      <x:c r="A3024" s="24" t="str">
        <x:v>ZS-72F52C4DC74E</x:v>
      </x:c>
      <x:c r="B3024" s="24" t="str">
        <x:v>ZEISS</x:v>
      </x:c>
      <x:c r="C3024" s="24" t="str">
        <x:v>AdaptiveSun</x:v>
      </x:c>
      <x:c r="D3024" s="24" t="str">
        <x:v>Surfaçada</x:v>
      </x:c>
      <x:c r="E3024" s="24" t="str">
        <x:v>Individual Sport Visão Simples AdaptiveSun</x:v>
      </x:c>
      <x:c r="F3024" s="24" t="str">
        <x:v>AdaptiveSun PhotoFusion Cinza</x:v>
      </x:c>
      <x:c r="G3024" s="24" t="str">
        <x:v>1.5</x:v>
      </x:c>
      <x:c r="H3024" s="24" t="str">
        <x:v>1.50</x:v>
      </x:c>
      <x:c r="I3024" s="24" t="str">
        <x:v>DuraVision Silver UV</x:v>
      </x:c>
      <x:c r="J3024" s="40" t="n">
        <x:v>3530</x:v>
      </x:c>
      <x:c r="K3024" s="24" t="str">
        <x:v>-5.00 a +5.00</x:v>
      </x:c>
      <x:c r="L3024" s="24" t="str">
        <x:v>-4.00</x:v>
      </x:c>
      <x:c r="M3024" s="24" t="str">
        <x:v>-</x:v>
      </x:c>
      <x:c r="N3024" s="24" t="str">
        <x:v>80/90</x:v>
      </x:c>
      <x:c r="O3024" s="24"/>
      <x:c r="P3024" s="24"/>
      <x:c r="Q3024" s="24" t="str">
        <x:v>DISPONÍVEL</x:v>
      </x:c>
      <x:c r="R3024" s="24" t="str">
        <x:v>Programa de Parcerias ZEISS — categoria Experts</x:v>
      </x:c>
      <x:c r="S3024" s="24" t="n">
        <x:v>52</x:v>
      </x:c>
      <x:c r="T3024" s="24" t="str">
        <x:v>tabela_zeiss.pdf</x:v>
      </x:c>
      <x:c r="U3024" s="24" t="str">
        <x:v>ZEISS|AdaptiveSun|Surfaçada|Individual Sport Visão Simples AdaptiveSun|AdaptiveSun PhotoFusion Cinza|1.5|1.50|DuraVision Silver UV|-5.00 a +5.00|-4.00|-|80/90|||52</x:v>
      </x:c>
    </x:row>
    <x:row r="3025">
      <x:c r="A3025" s="24" t="str">
        <x:v>ZS-E1295F0FA714</x:v>
      </x:c>
      <x:c r="B3025" s="24" t="str">
        <x:v>ZEISS</x:v>
      </x:c>
      <x:c r="C3025" s="24" t="str">
        <x:v>AdaptiveSun</x:v>
      </x:c>
      <x:c r="D3025" s="24" t="str">
        <x:v>Surfaçada</x:v>
      </x:c>
      <x:c r="E3025" s="24" t="str">
        <x:v>Individual Sport Visão Simples AdaptiveSun</x:v>
      </x:c>
      <x:c r="F3025" s="24" t="str">
        <x:v>AdaptiveSun PhotoFusion Cinza</x:v>
      </x:c>
      <x:c r="G3025" s="24" t="str">
        <x:v>1.5</x:v>
      </x:c>
      <x:c r="H3025" s="24" t="str">
        <x:v>1.50</x:v>
      </x:c>
      <x:c r="I3025" s="24" t="str">
        <x:v>DuraVision Chrome UV</x:v>
      </x:c>
      <x:c r="J3025" s="40" t="n">
        <x:v>3040</x:v>
      </x:c>
      <x:c r="K3025" s="24" t="str">
        <x:v>-5.00 a +5.00</x:v>
      </x:c>
      <x:c r="L3025" s="24" t="str">
        <x:v>-4.00</x:v>
      </x:c>
      <x:c r="M3025" s="24" t="str">
        <x:v>-</x:v>
      </x:c>
      <x:c r="N3025" s="24" t="str">
        <x:v>80/90</x:v>
      </x:c>
      <x:c r="O3025" s="24"/>
      <x:c r="P3025" s="24"/>
      <x:c r="Q3025" s="24" t="str">
        <x:v>DISPONÍVEL</x:v>
      </x:c>
      <x:c r="R3025" s="24" t="str">
        <x:v>Programa de Parcerias ZEISS — categoria Experts</x:v>
      </x:c>
      <x:c r="S3025" s="24" t="n">
        <x:v>52</x:v>
      </x:c>
      <x:c r="T3025" s="24" t="str">
        <x:v>tabela_zeiss.pdf</x:v>
      </x:c>
      <x:c r="U3025" s="24" t="str">
        <x:v>ZEISS|AdaptiveSun|Surfaçada|Individual Sport Visão Simples AdaptiveSun|AdaptiveSun PhotoFusion Cinza|1.5|1.50|DuraVision Chrome UV|-5.00 a +5.00|-4.00|-|80/90|||52</x:v>
      </x:c>
    </x:row>
    <x:row r="3026">
      <x:c r="A3026" s="24" t="str">
        <x:v>ZS-D2E2077755FD</x:v>
      </x:c>
      <x:c r="B3026" s="24" t="str">
        <x:v>ZEISS</x:v>
      </x:c>
      <x:c r="C3026" s="24" t="str">
        <x:v>AdaptiveSun</x:v>
      </x:c>
      <x:c r="D3026" s="24" t="str">
        <x:v>Surfaçada</x:v>
      </x:c>
      <x:c r="E3026" s="24" t="str">
        <x:v>Individual Sport Visão Simples AdaptiveSun</x:v>
      </x:c>
      <x:c r="F3026" s="24" t="str">
        <x:v>AdaptiveSun PhotoFusion Cinza</x:v>
      </x:c>
      <x:c r="G3026" s="24" t="str">
        <x:v>1.5</x:v>
      </x:c>
      <x:c r="H3026" s="24" t="str">
        <x:v>1.50</x:v>
      </x:c>
      <x:c r="I3026" s="24" t="str">
        <x:v>Sem AR</x:v>
      </x:c>
      <x:c r="J3026" s="40" t="n">
        <x:v>2640</x:v>
      </x:c>
      <x:c r="K3026" s="24" t="str">
        <x:v>-5.00 a +5.00</x:v>
      </x:c>
      <x:c r="L3026" s="24" t="str">
        <x:v>-4.00</x:v>
      </x:c>
      <x:c r="M3026" s="24" t="str">
        <x:v>-</x:v>
      </x:c>
      <x:c r="N3026" s="24" t="str">
        <x:v>80/90</x:v>
      </x:c>
      <x:c r="O3026" s="24"/>
      <x:c r="P3026" s="24"/>
      <x:c r="Q3026" s="24" t="str">
        <x:v>DISPONÍVEL</x:v>
      </x:c>
      <x:c r="R3026" s="24" t="str">
        <x:v>Programa de Parcerias ZEISS — categoria Experts</x:v>
      </x:c>
      <x:c r="S3026" s="24" t="n">
        <x:v>52</x:v>
      </x:c>
      <x:c r="T3026" s="24" t="str">
        <x:v>tabela_zeiss.pdf</x:v>
      </x:c>
      <x:c r="U3026" s="24" t="str">
        <x:v>ZEISS|AdaptiveSun|Surfaçada|Individual Sport Visão Simples AdaptiveSun|AdaptiveSun PhotoFusion Cinza|1.5|1.50|Sem AR|-5.00 a +5.00|-4.00|-|80/90|||52</x:v>
      </x:c>
    </x:row>
    <x:row r="3027">
      <x:c r="A3027" s="24" t="str">
        <x:v>ZS-AAEE58592363</x:v>
      </x:c>
      <x:c r="B3027" s="24" t="str">
        <x:v>ZEISS</x:v>
      </x:c>
      <x:c r="C3027" s="24" t="str">
        <x:v>AdaptiveSun</x:v>
      </x:c>
      <x:c r="D3027" s="24" t="str">
        <x:v>Surfaçada</x:v>
      </x:c>
      <x:c r="E3027" s="24" t="str">
        <x:v>Individual Sport Visão Simples AdaptiveSun</x:v>
      </x:c>
      <x:c r="F3027" s="24" t="str">
        <x:v>AdaptiveSun PhotoFusion Cinza</x:v>
      </x:c>
      <x:c r="G3027" s="24" t="str">
        <x:v>1.6</x:v>
      </x:c>
      <x:c r="H3027" s="24" t="str">
        <x:v>1.60</x:v>
      </x:c>
      <x:c r="I3027" s="24" t="str">
        <x:v>DuraVision Platinum UV</x:v>
      </x:c>
      <x:c r="J3027" s="40" t="n">
        <x:v>4370</x:v>
      </x:c>
      <x:c r="K3027" s="24" t="str">
        <x:v>-6.00 a +6.00</x:v>
      </x:c>
      <x:c r="L3027" s="24" t="str">
        <x:v>-6.00</x:v>
      </x:c>
      <x:c r="M3027" s="24" t="str">
        <x:v>-</x:v>
      </x:c>
      <x:c r="N3027" s="24" t="str">
        <x:v>80/90</x:v>
      </x:c>
      <x:c r="O3027" s="24"/>
      <x:c r="P3027" s="24"/>
      <x:c r="Q3027" s="24" t="str">
        <x:v>DISPONÍVEL</x:v>
      </x:c>
      <x:c r="R3027" s="24" t="str">
        <x:v>Programa de Parcerias ZEISS — categoria Experts</x:v>
      </x:c>
      <x:c r="S3027" s="24" t="n">
        <x:v>52</x:v>
      </x:c>
      <x:c r="T3027" s="24" t="str">
        <x:v>tabela_zeiss.pdf</x:v>
      </x:c>
      <x:c r="U3027" s="24" t="str">
        <x:v>ZEISS|AdaptiveSun|Surfaçada|Individual Sport Visão Simples AdaptiveSun|AdaptiveSun PhotoFusion Cinza|1.6|1.60|DuraVision Platinum UV|-6.00 a +6.00|-6.00|-|80/90|||52</x:v>
      </x:c>
    </x:row>
    <x:row r="3028">
      <x:c r="A3028" s="24" t="str">
        <x:v>ZS-2E8C7749C975</x:v>
      </x:c>
      <x:c r="B3028" s="24" t="str">
        <x:v>ZEISS</x:v>
      </x:c>
      <x:c r="C3028" s="24" t="str">
        <x:v>AdaptiveSun</x:v>
      </x:c>
      <x:c r="D3028" s="24" t="str">
        <x:v>Surfaçada</x:v>
      </x:c>
      <x:c r="E3028" s="24" t="str">
        <x:v>Individual Sport Visão Simples AdaptiveSun</x:v>
      </x:c>
      <x:c r="F3028" s="24" t="str">
        <x:v>AdaptiveSun PhotoFusion Cinza</x:v>
      </x:c>
      <x:c r="G3028" s="24" t="str">
        <x:v>1.6</x:v>
      </x:c>
      <x:c r="H3028" s="24" t="str">
        <x:v>1.60</x:v>
      </x:c>
      <x:c r="I3028" s="24" t="str">
        <x:v>DuraVision Silver UV</x:v>
      </x:c>
      <x:c r="J3028" s="40" t="n">
        <x:v>4110</x:v>
      </x:c>
      <x:c r="K3028" s="24" t="str">
        <x:v>-6.00 a +6.00</x:v>
      </x:c>
      <x:c r="L3028" s="24" t="str">
        <x:v>-6.00</x:v>
      </x:c>
      <x:c r="M3028" s="24" t="str">
        <x:v>-</x:v>
      </x:c>
      <x:c r="N3028" s="24" t="str">
        <x:v>80/90</x:v>
      </x:c>
      <x:c r="O3028" s="24"/>
      <x:c r="P3028" s="24"/>
      <x:c r="Q3028" s="24" t="str">
        <x:v>DISPONÍVEL</x:v>
      </x:c>
      <x:c r="R3028" s="24" t="str">
        <x:v>Programa de Parcerias ZEISS — categoria Experts</x:v>
      </x:c>
      <x:c r="S3028" s="24" t="n">
        <x:v>52</x:v>
      </x:c>
      <x:c r="T3028" s="24" t="str">
        <x:v>tabela_zeiss.pdf</x:v>
      </x:c>
      <x:c r="U3028" s="24" t="str">
        <x:v>ZEISS|AdaptiveSun|Surfaçada|Individual Sport Visão Simples AdaptiveSun|AdaptiveSun PhotoFusion Cinza|1.6|1.60|DuraVision Silver UV|-6.00 a +6.00|-6.00|-|80/90|||52</x:v>
      </x:c>
    </x:row>
    <x:row r="3029">
      <x:c r="A3029" s="24" t="str">
        <x:v>ZS-6844D7F69AB6</x:v>
      </x:c>
      <x:c r="B3029" s="24" t="str">
        <x:v>ZEISS</x:v>
      </x:c>
      <x:c r="C3029" s="24" t="str">
        <x:v>AdaptiveSun</x:v>
      </x:c>
      <x:c r="D3029" s="24" t="str">
        <x:v>Surfaçada</x:v>
      </x:c>
      <x:c r="E3029" s="24" t="str">
        <x:v>Individual Sport Visão Simples AdaptiveSun</x:v>
      </x:c>
      <x:c r="F3029" s="24" t="str">
        <x:v>AdaptiveSun PhotoFusion Cinza</x:v>
      </x:c>
      <x:c r="G3029" s="24" t="str">
        <x:v>1.6</x:v>
      </x:c>
      <x:c r="H3029" s="24" t="str">
        <x:v>1.60</x:v>
      </x:c>
      <x:c r="I3029" s="24" t="str">
        <x:v>DuraVision Chrome UV</x:v>
      </x:c>
      <x:c r="J3029" s="40" t="n">
        <x:v>3620</x:v>
      </x:c>
      <x:c r="K3029" s="24" t="str">
        <x:v>-6.00 a +6.00</x:v>
      </x:c>
      <x:c r="L3029" s="24" t="str">
        <x:v>-6.00</x:v>
      </x:c>
      <x:c r="M3029" s="24" t="str">
        <x:v>-</x:v>
      </x:c>
      <x:c r="N3029" s="24" t="str">
        <x:v>80/90</x:v>
      </x:c>
      <x:c r="O3029" s="24"/>
      <x:c r="P3029" s="24"/>
      <x:c r="Q3029" s="24" t="str">
        <x:v>DISPONÍVEL</x:v>
      </x:c>
      <x:c r="R3029" s="24" t="str">
        <x:v>Programa de Parcerias ZEISS — categoria Experts</x:v>
      </x:c>
      <x:c r="S3029" s="24" t="n">
        <x:v>52</x:v>
      </x:c>
      <x:c r="T3029" s="24" t="str">
        <x:v>tabela_zeiss.pdf</x:v>
      </x:c>
      <x:c r="U3029" s="24" t="str">
        <x:v>ZEISS|AdaptiveSun|Surfaçada|Individual Sport Visão Simples AdaptiveSun|AdaptiveSun PhotoFusion Cinza|1.6|1.60|DuraVision Chrome UV|-6.00 a +6.00|-6.00|-|80/90|||52</x:v>
      </x:c>
    </x:row>
    <x:row r="3030">
      <x:c r="A3030" s="24" t="str">
        <x:v>ZS-76BD5E6B8E81</x:v>
      </x:c>
      <x:c r="B3030" s="24" t="str">
        <x:v>ZEISS</x:v>
      </x:c>
      <x:c r="C3030" s="24" t="str">
        <x:v>AdaptiveSun</x:v>
      </x:c>
      <x:c r="D3030" s="24" t="str">
        <x:v>Surfaçada</x:v>
      </x:c>
      <x:c r="E3030" s="24" t="str">
        <x:v>Individual Sport Visão Simples AdaptiveSun</x:v>
      </x:c>
      <x:c r="F3030" s="24" t="str">
        <x:v>AdaptiveSun PhotoFusion Cinza</x:v>
      </x:c>
      <x:c r="G3030" s="24" t="str">
        <x:v>1.6</x:v>
      </x:c>
      <x:c r="H3030" s="24" t="str">
        <x:v>1.60</x:v>
      </x:c>
      <x:c r="I3030" s="24" t="str">
        <x:v>Sem AR</x:v>
      </x:c>
      <x:c r="J3030" s="40" t="n">
        <x:v>3220</x:v>
      </x:c>
      <x:c r="K3030" s="24" t="str">
        <x:v>-6.00 a +6.00</x:v>
      </x:c>
      <x:c r="L3030" s="24" t="str">
        <x:v>-6.00</x:v>
      </x:c>
      <x:c r="M3030" s="24" t="str">
        <x:v>-</x:v>
      </x:c>
      <x:c r="N3030" s="24" t="str">
        <x:v>80/90</x:v>
      </x:c>
      <x:c r="O3030" s="24"/>
      <x:c r="P3030" s="24"/>
      <x:c r="Q3030" s="24" t="str">
        <x:v>DISPONÍVEL</x:v>
      </x:c>
      <x:c r="R3030" s="24" t="str">
        <x:v>Programa de Parcerias ZEISS — categoria Experts</x:v>
      </x:c>
      <x:c r="S3030" s="24" t="n">
        <x:v>52</x:v>
      </x:c>
      <x:c r="T3030" s="24" t="str">
        <x:v>tabela_zeiss.pdf</x:v>
      </x:c>
      <x:c r="U3030" s="24" t="str">
        <x:v>ZEISS|AdaptiveSun|Surfaçada|Individual Sport Visão Simples AdaptiveSun|AdaptiveSun PhotoFusion Cinza|1.6|1.60|Sem AR|-6.00 a +6.00|-6.00|-|80/90|||52</x:v>
      </x:c>
    </x:row>
    <x:row r="3031">
      <x:c r="A3031" s="24" t="str">
        <x:v>ZS-D62292190AF9</x:v>
      </x:c>
      <x:c r="B3031" s="24" t="str">
        <x:v>ZEISS</x:v>
      </x:c>
      <x:c r="C3031" s="24" t="str">
        <x:v>AdaptiveSun</x:v>
      </x:c>
      <x:c r="D3031" s="24" t="str">
        <x:v>Surfaçada</x:v>
      </x:c>
      <x:c r="E3031" s="24" t="str">
        <x:v>Individual Sport Progressiva AdaptiveSun</x:v>
      </x:c>
      <x:c r="F3031" s="24" t="str">
        <x:v>AdaptiveSun PhotoFusion Cinza</x:v>
      </x:c>
      <x:c r="G3031" s="24" t="str">
        <x:v>1.5</x:v>
      </x:c>
      <x:c r="H3031" s="24" t="str">
        <x:v>1.50</x:v>
      </x:c>
      <x:c r="I3031" s="24" t="str">
        <x:v>DuraVision Platinum UV</x:v>
      </x:c>
      <x:c r="J3031" s="40" t="n">
        <x:v>6034</x:v>
      </x:c>
      <x:c r="K3031" s="24" t="str">
        <x:v>-5.00 a +5.00
-5.00 a +5.00</x:v>
      </x:c>
      <x:c r="L3031" s="24" t="str">
        <x:v>-4.00</x:v>
      </x:c>
      <x:c r="M3031" s="24" t="str">
        <x:v>0.75 a 3.50</x:v>
      </x:c>
      <x:c r="N3031" s="24" t="str">
        <x:v>80/90
75/85</x:v>
      </x:c>
      <x:c r="O3031" s="24"/>
      <x:c r="P3031" s="24"/>
      <x:c r="Q3031" s="24" t="str">
        <x:v>DISPONÍVEL</x:v>
      </x:c>
      <x:c r="R3031" s="24" t="str">
        <x:v>Programa de Parcerias ZEISS — categoria Experts</x:v>
      </x:c>
      <x:c r="S3031" s="24" t="n">
        <x:v>52</x:v>
      </x:c>
      <x:c r="T3031" s="24" t="str">
        <x:v>tabela_zeiss.pdf</x:v>
      </x:c>
      <x:c r="U3031" s="24" t="str">
        <x:v>ZEISS|AdaptiveSun|Surfaçada|Individual Sport Progressiva AdaptiveSun|AdaptiveSun PhotoFusion Cinza|1.5|1.50|DuraVision Platinum UV|-5.00 a +5.00
-5.00 a +5.00|-4.00|0.75 a 3.50|80/90
75/85|||52</x:v>
      </x:c>
    </x:row>
    <x:row r="3032">
      <x:c r="A3032" s="24" t="str">
        <x:v>ZS-4E0556132599</x:v>
      </x:c>
      <x:c r="B3032" s="24" t="str">
        <x:v>ZEISS</x:v>
      </x:c>
      <x:c r="C3032" s="24" t="str">
        <x:v>AdaptiveSun</x:v>
      </x:c>
      <x:c r="D3032" s="24" t="str">
        <x:v>Surfaçada</x:v>
      </x:c>
      <x:c r="E3032" s="24" t="str">
        <x:v>Individual Sport Progressiva AdaptiveSun</x:v>
      </x:c>
      <x:c r="F3032" s="24" t="str">
        <x:v>AdaptiveSun PhotoFusion Cinza</x:v>
      </x:c>
      <x:c r="G3032" s="24" t="str">
        <x:v>1.5</x:v>
      </x:c>
      <x:c r="H3032" s="24" t="str">
        <x:v>1.50</x:v>
      </x:c>
      <x:c r="I3032" s="24" t="str">
        <x:v>DuraVision Silver UV</x:v>
      </x:c>
      <x:c r="J3032" s="40" t="n">
        <x:v>5774</x:v>
      </x:c>
      <x:c r="K3032" s="24" t="str">
        <x:v>-5.00 a +5.00
-5.00 a +5.00</x:v>
      </x:c>
      <x:c r="L3032" s="24" t="str">
        <x:v>-4.00</x:v>
      </x:c>
      <x:c r="M3032" s="24" t="str">
        <x:v>0.75 a 3.50</x:v>
      </x:c>
      <x:c r="N3032" s="24" t="str">
        <x:v>80/90
75/85</x:v>
      </x:c>
      <x:c r="O3032" s="24"/>
      <x:c r="P3032" s="24"/>
      <x:c r="Q3032" s="24" t="str">
        <x:v>DISPONÍVEL</x:v>
      </x:c>
      <x:c r="R3032" s="24" t="str">
        <x:v>Programa de Parcerias ZEISS — categoria Experts</x:v>
      </x:c>
      <x:c r="S3032" s="24" t="n">
        <x:v>52</x:v>
      </x:c>
      <x:c r="T3032" s="24" t="str">
        <x:v>tabela_zeiss.pdf</x:v>
      </x:c>
      <x:c r="U3032" s="24" t="str">
        <x:v>ZEISS|AdaptiveSun|Surfaçada|Individual Sport Progressiva AdaptiveSun|AdaptiveSun PhotoFusion Cinza|1.5|1.50|DuraVision Silver UV|-5.00 a +5.00
-5.00 a +5.00|-4.00|0.75 a 3.50|80/90
75/85|||52</x:v>
      </x:c>
    </x:row>
    <x:row r="3033">
      <x:c r="A3033" s="24" t="str">
        <x:v>ZS-6082130970CA</x:v>
      </x:c>
      <x:c r="B3033" s="24" t="str">
        <x:v>ZEISS</x:v>
      </x:c>
      <x:c r="C3033" s="24" t="str">
        <x:v>AdaptiveSun</x:v>
      </x:c>
      <x:c r="D3033" s="24" t="str">
        <x:v>Surfaçada</x:v>
      </x:c>
      <x:c r="E3033" s="24" t="str">
        <x:v>Individual Sport Progressiva AdaptiveSun</x:v>
      </x:c>
      <x:c r="F3033" s="24" t="str">
        <x:v>AdaptiveSun PhotoFusion Cinza</x:v>
      </x:c>
      <x:c r="G3033" s="24" t="str">
        <x:v>1.5</x:v>
      </x:c>
      <x:c r="H3033" s="24" t="str">
        <x:v>1.50</x:v>
      </x:c>
      <x:c r="I3033" s="24" t="str">
        <x:v>DuraVision Chrome UV</x:v>
      </x:c>
      <x:c r="J3033" s="40" t="n">
        <x:v>5284</x:v>
      </x:c>
      <x:c r="K3033" s="24" t="str">
        <x:v>-5.00 a +5.00
-5.00 a +5.00</x:v>
      </x:c>
      <x:c r="L3033" s="24" t="str">
        <x:v>-4.00</x:v>
      </x:c>
      <x:c r="M3033" s="24" t="str">
        <x:v>0.75 a 3.50</x:v>
      </x:c>
      <x:c r="N3033" s="24" t="str">
        <x:v>80/90
75/85</x:v>
      </x:c>
      <x:c r="O3033" s="24"/>
      <x:c r="P3033" s="24"/>
      <x:c r="Q3033" s="24" t="str">
        <x:v>DISPONÍVEL</x:v>
      </x:c>
      <x:c r="R3033" s="24" t="str">
        <x:v>Programa de Parcerias ZEISS — categoria Experts</x:v>
      </x:c>
      <x:c r="S3033" s="24" t="n">
        <x:v>52</x:v>
      </x:c>
      <x:c r="T3033" s="24" t="str">
        <x:v>tabela_zeiss.pdf</x:v>
      </x:c>
      <x:c r="U3033" s="24" t="str">
        <x:v>ZEISS|AdaptiveSun|Surfaçada|Individual Sport Progressiva AdaptiveSun|AdaptiveSun PhotoFusion Cinza|1.5|1.50|DuraVision Chrome UV|-5.00 a +5.00
-5.00 a +5.00|-4.00|0.75 a 3.50|80/90
75/85|||52</x:v>
      </x:c>
    </x:row>
    <x:row r="3034">
      <x:c r="A3034" s="24" t="str">
        <x:v>ZS-5E1BCEAA98A7</x:v>
      </x:c>
      <x:c r="B3034" s="24" t="str">
        <x:v>ZEISS</x:v>
      </x:c>
      <x:c r="C3034" s="24" t="str">
        <x:v>AdaptiveSun</x:v>
      </x:c>
      <x:c r="D3034" s="24" t="str">
        <x:v>Surfaçada</x:v>
      </x:c>
      <x:c r="E3034" s="24" t="str">
        <x:v>Individual Sport Progressiva AdaptiveSun</x:v>
      </x:c>
      <x:c r="F3034" s="24" t="str">
        <x:v>AdaptiveSun PhotoFusion Cinza</x:v>
      </x:c>
      <x:c r="G3034" s="24" t="str">
        <x:v>1.5</x:v>
      </x:c>
      <x:c r="H3034" s="24" t="str">
        <x:v>1.50</x:v>
      </x:c>
      <x:c r="I3034" s="24" t="str">
        <x:v>Sem AR</x:v>
      </x:c>
      <x:c r="J3034" s="40" t="n">
        <x:v>4884</x:v>
      </x:c>
      <x:c r="K3034" s="24" t="str">
        <x:v>-5.00 a +5.00
-5.00 a +5.00</x:v>
      </x:c>
      <x:c r="L3034" s="24" t="str">
        <x:v>-4.00</x:v>
      </x:c>
      <x:c r="M3034" s="24" t="str">
        <x:v>0.75 a 3.50</x:v>
      </x:c>
      <x:c r="N3034" s="24" t="str">
        <x:v>80/90
75/85</x:v>
      </x:c>
      <x:c r="O3034" s="24"/>
      <x:c r="P3034" s="24"/>
      <x:c r="Q3034" s="24" t="str">
        <x:v>DISPONÍVEL</x:v>
      </x:c>
      <x:c r="R3034" s="24" t="str">
        <x:v>Programa de Parcerias ZEISS — categoria Experts</x:v>
      </x:c>
      <x:c r="S3034" s="24" t="n">
        <x:v>52</x:v>
      </x:c>
      <x:c r="T3034" s="24" t="str">
        <x:v>tabela_zeiss.pdf</x:v>
      </x:c>
      <x:c r="U3034" s="24" t="str">
        <x:v>ZEISS|AdaptiveSun|Surfaçada|Individual Sport Progressiva AdaptiveSun|AdaptiveSun PhotoFusion Cinza|1.5|1.50|Sem AR|-5.00 a +5.00
-5.00 a +5.00|-4.00|0.75 a 3.50|80/90
75/85|||52</x:v>
      </x:c>
    </x:row>
    <x:row r="3035">
      <x:c r="A3035" s="24" t="str">
        <x:v>ZS-41D4F8BB3550</x:v>
      </x:c>
      <x:c r="B3035" s="24" t="str">
        <x:v>ZEISS</x:v>
      </x:c>
      <x:c r="C3035" s="24" t="str">
        <x:v>AdaptiveSun</x:v>
      </x:c>
      <x:c r="D3035" s="24" t="str">
        <x:v>Surfaçada</x:v>
      </x:c>
      <x:c r="E3035" s="24" t="str">
        <x:v>Individual Sport Progressiva AdaptiveSun</x:v>
      </x:c>
      <x:c r="F3035" s="24" t="str">
        <x:v>AdaptiveSun PhotoFusion Cinza</x:v>
      </x:c>
      <x:c r="G3035" s="24" t="str">
        <x:v>1.6</x:v>
      </x:c>
      <x:c r="H3035" s="24" t="str">
        <x:v>1.60</x:v>
      </x:c>
      <x:c r="I3035" s="24" t="str">
        <x:v>DuraVision Platinum UV</x:v>
      </x:c>
      <x:c r="J3035" s="40" t="n">
        <x:v>7284</x:v>
      </x:c>
      <x:c r="K3035" s="24" t="str">
        <x:v>-6.00 a +6.00
-5.00 a +5.00</x:v>
      </x:c>
      <x:c r="L3035" s="24" t="str">
        <x:v>-6.00</x:v>
      </x:c>
      <x:c r="M3035" s="24" t="str">
        <x:v>0.75 a 3.50</x:v>
      </x:c>
      <x:c r="N3035" s="24" t="str">
        <x:v>80/90
75/85</x:v>
      </x:c>
      <x:c r="O3035" s="24"/>
      <x:c r="P3035" s="24"/>
      <x:c r="Q3035" s="24" t="str">
        <x:v>DISPONÍVEL</x:v>
      </x:c>
      <x:c r="R3035" s="24" t="str">
        <x:v>Programa de Parcerias ZEISS — categoria Experts</x:v>
      </x:c>
      <x:c r="S3035" s="24" t="n">
        <x:v>52</x:v>
      </x:c>
      <x:c r="T3035" s="24" t="str">
        <x:v>tabela_zeiss.pdf</x:v>
      </x:c>
      <x:c r="U3035" s="24" t="str">
        <x:v>ZEISS|AdaptiveSun|Surfaçada|Individual Sport Progressiva AdaptiveSun|AdaptiveSun PhotoFusion Cinza|1.6|1.60|DuraVision Platinum UV|-6.00 a +6.00
-5.00 a +5.00|-6.00|0.75 a 3.50|80/90
75/85|||52</x:v>
      </x:c>
    </x:row>
    <x:row r="3036">
      <x:c r="A3036" s="24" t="str">
        <x:v>ZS-E9BE86B538D3</x:v>
      </x:c>
      <x:c r="B3036" s="24" t="str">
        <x:v>ZEISS</x:v>
      </x:c>
      <x:c r="C3036" s="24" t="str">
        <x:v>AdaptiveSun</x:v>
      </x:c>
      <x:c r="D3036" s="24" t="str">
        <x:v>Surfaçada</x:v>
      </x:c>
      <x:c r="E3036" s="24" t="str">
        <x:v>Individual Sport Progressiva AdaptiveSun</x:v>
      </x:c>
      <x:c r="F3036" s="24" t="str">
        <x:v>AdaptiveSun PhotoFusion Cinza</x:v>
      </x:c>
      <x:c r="G3036" s="24" t="str">
        <x:v>1.6</x:v>
      </x:c>
      <x:c r="H3036" s="24" t="str">
        <x:v>1.60</x:v>
      </x:c>
      <x:c r="I3036" s="24" t="str">
        <x:v>DuraVision Silver UV</x:v>
      </x:c>
      <x:c r="J3036" s="40" t="n">
        <x:v>7024</x:v>
      </x:c>
      <x:c r="K3036" s="24" t="str">
        <x:v>-6.00 a +6.00
-5.00 a +5.00</x:v>
      </x:c>
      <x:c r="L3036" s="24" t="str">
        <x:v>-6.00</x:v>
      </x:c>
      <x:c r="M3036" s="24" t="str">
        <x:v>0.75 a 3.50</x:v>
      </x:c>
      <x:c r="N3036" s="24" t="str">
        <x:v>80/90
75/85</x:v>
      </x:c>
      <x:c r="O3036" s="24"/>
      <x:c r="P3036" s="24"/>
      <x:c r="Q3036" s="24" t="str">
        <x:v>DISPONÍVEL</x:v>
      </x:c>
      <x:c r="R3036" s="24" t="str">
        <x:v>Programa de Parcerias ZEISS — categoria Experts</x:v>
      </x:c>
      <x:c r="S3036" s="24" t="n">
        <x:v>52</x:v>
      </x:c>
      <x:c r="T3036" s="24" t="str">
        <x:v>tabela_zeiss.pdf</x:v>
      </x:c>
      <x:c r="U3036" s="24" t="str">
        <x:v>ZEISS|AdaptiveSun|Surfaçada|Individual Sport Progressiva AdaptiveSun|AdaptiveSun PhotoFusion Cinza|1.6|1.60|DuraVision Silver UV|-6.00 a +6.00
-5.00 a +5.00|-6.00|0.75 a 3.50|80/90
75/85|||52</x:v>
      </x:c>
    </x:row>
    <x:row r="3037">
      <x:c r="A3037" s="24" t="str">
        <x:v>ZS-BF46D0A4A12D</x:v>
      </x:c>
      <x:c r="B3037" s="24" t="str">
        <x:v>ZEISS</x:v>
      </x:c>
      <x:c r="C3037" s="24" t="str">
        <x:v>AdaptiveSun</x:v>
      </x:c>
      <x:c r="D3037" s="24" t="str">
        <x:v>Surfaçada</x:v>
      </x:c>
      <x:c r="E3037" s="24" t="str">
        <x:v>Individual Sport Progressiva AdaptiveSun</x:v>
      </x:c>
      <x:c r="F3037" s="24" t="str">
        <x:v>AdaptiveSun PhotoFusion Cinza</x:v>
      </x:c>
      <x:c r="G3037" s="24" t="str">
        <x:v>1.6</x:v>
      </x:c>
      <x:c r="H3037" s="24" t="str">
        <x:v>1.60</x:v>
      </x:c>
      <x:c r="I3037" s="24" t="str">
        <x:v>DuraVision Chrome UV</x:v>
      </x:c>
      <x:c r="J3037" s="40" t="n">
        <x:v>6534</x:v>
      </x:c>
      <x:c r="K3037" s="24" t="str">
        <x:v>-6.00 a +6.00
-5.00 a +5.00</x:v>
      </x:c>
      <x:c r="L3037" s="24" t="str">
        <x:v>-6.00</x:v>
      </x:c>
      <x:c r="M3037" s="24" t="str">
        <x:v>0.75 a 3.50</x:v>
      </x:c>
      <x:c r="N3037" s="24" t="str">
        <x:v>80/90
75/85</x:v>
      </x:c>
      <x:c r="O3037" s="24"/>
      <x:c r="P3037" s="24"/>
      <x:c r="Q3037" s="24" t="str">
        <x:v>DISPONÍVEL</x:v>
      </x:c>
      <x:c r="R3037" s="24" t="str">
        <x:v>Programa de Parcerias ZEISS — categoria Experts</x:v>
      </x:c>
      <x:c r="S3037" s="24" t="n">
        <x:v>52</x:v>
      </x:c>
      <x:c r="T3037" s="24" t="str">
        <x:v>tabela_zeiss.pdf</x:v>
      </x:c>
      <x:c r="U3037" s="24" t="str">
        <x:v>ZEISS|AdaptiveSun|Surfaçada|Individual Sport Progressiva AdaptiveSun|AdaptiveSun PhotoFusion Cinza|1.6|1.60|DuraVision Chrome UV|-6.00 a +6.00
-5.00 a +5.00|-6.00|0.75 a 3.50|80/90
75/85|||52</x:v>
      </x:c>
    </x:row>
    <x:row r="3038">
      <x:c r="A3038" s="24" t="str">
        <x:v>ZS-F56974AE4D88</x:v>
      </x:c>
      <x:c r="B3038" s="24" t="str">
        <x:v>ZEISS</x:v>
      </x:c>
      <x:c r="C3038" s="24" t="str">
        <x:v>AdaptiveSun</x:v>
      </x:c>
      <x:c r="D3038" s="24" t="str">
        <x:v>Surfaçada</x:v>
      </x:c>
      <x:c r="E3038" s="24" t="str">
        <x:v>Individual Sport Progressiva AdaptiveSun</x:v>
      </x:c>
      <x:c r="F3038" s="24" t="str">
        <x:v>AdaptiveSun PhotoFusion Cinza</x:v>
      </x:c>
      <x:c r="G3038" s="24" t="str">
        <x:v>1.6</x:v>
      </x:c>
      <x:c r="H3038" s="24" t="str">
        <x:v>1.60</x:v>
      </x:c>
      <x:c r="I3038" s="24" t="str">
        <x:v>Sem AR</x:v>
      </x:c>
      <x:c r="J3038" s="40" t="n">
        <x:v>6134</x:v>
      </x:c>
      <x:c r="K3038" s="24" t="str">
        <x:v>-6.00 a +6.00
-5.00 a +5.00</x:v>
      </x:c>
      <x:c r="L3038" s="24" t="str">
        <x:v>-6.00</x:v>
      </x:c>
      <x:c r="M3038" s="24" t="str">
        <x:v>0.75 a 3.50</x:v>
      </x:c>
      <x:c r="N3038" s="24" t="str">
        <x:v>80/90
75/85</x:v>
      </x:c>
      <x:c r="O3038" s="24"/>
      <x:c r="P3038" s="24"/>
      <x:c r="Q3038" s="24" t="str">
        <x:v>DISPONÍVEL</x:v>
      </x:c>
      <x:c r="R3038" s="24" t="str">
        <x:v>Programa de Parcerias ZEISS — categoria Experts</x:v>
      </x:c>
      <x:c r="S3038" s="24" t="n">
        <x:v>52</x:v>
      </x:c>
      <x:c r="T3038" s="24" t="str">
        <x:v>tabela_zeiss.pdf</x:v>
      </x:c>
      <x:c r="U3038" s="24" t="str">
        <x:v>ZEISS|AdaptiveSun|Surfaçada|Individual Sport Progressiva AdaptiveSun|AdaptiveSun PhotoFusion Cinza|1.6|1.60|Sem AR|-6.00 a +6.00
-5.00 a +5.00|-6.00|0.75 a 3.50|80/90
75/85|||52</x:v>
      </x:c>
    </x:row>
    <x:row r="3039">
      <x:c r="A3039" s="24" t="str">
        <x:v>ZS-251FF924FCC4</x:v>
      </x:c>
      <x:c r="B3039" s="24" t="str">
        <x:v>ZEISS</x:v>
      </x:c>
      <x:c r="C3039" s="24" t="str">
        <x:v>Progressiva AdaptiveSun</x:v>
      </x:c>
      <x:c r="D3039" s="24" t="str">
        <x:v>Surfaçada</x:v>
      </x:c>
      <x:c r="E3039" s="24" t="str">
        <x:v>SmartLife Individual AdaptiveSun</x:v>
      </x:c>
      <x:c r="F3039" s="24" t="str">
        <x:v>AdaptiveSun</x:v>
      </x:c>
      <x:c r="G3039" s="24" t="str">
        <x:v>1.5</x:v>
      </x:c>
      <x:c r="H3039" s="24" t="str">
        <x:v>1.50</x:v>
      </x:c>
      <x:c r="I3039" s="24" t="str">
        <x:v>DuraVision Platinum UV</x:v>
      </x:c>
      <x:c r="J3039" s="40" t="n">
        <x:v>12269</x:v>
      </x:c>
      <x:c r="K3039" s="24" t="str">
        <x:v>-6.00 a +4.00
-7.00 a +5.00</x:v>
      </x:c>
      <x:c r="L3039" s="24" t="str">
        <x:v>-4.00</x:v>
      </x:c>
      <x:c r="M3039" s="24" t="str">
        <x:v>0.75 a 3.50</x:v>
      </x:c>
      <x:c r="N3039" s="24" t="str">
        <x:v>75/80
70/75</x:v>
      </x:c>
      <x:c r="O3039" s="24"/>
      <x:c r="P3039" s="24"/>
      <x:c r="Q3039" s="24" t="str">
        <x:v>DISPONÍVEL</x:v>
      </x:c>
      <x:c r="R3039" s="24" t="str">
        <x:v>Programa de Parcerias ZEISS — categoria Experts</x:v>
      </x:c>
      <x:c r="S3039" s="24" t="n">
        <x:v>53</x:v>
      </x:c>
      <x:c r="T3039" s="24" t="str">
        <x:v>tabela_zeiss.pdf</x:v>
      </x:c>
      <x:c r="U3039" s="24" t="str">
        <x:v>ZEISS|Progressiva AdaptiveSun|Surfaçada|SmartLife Individual AdaptiveSun|AdaptiveSun|1.5|1.50|DuraVision Platinum UV|-6.00 a +4.00
-7.00 a +5.00|-4.00|0.75 a 3.50|75/80
70/75|||53</x:v>
      </x:c>
    </x:row>
    <x:row r="3040">
      <x:c r="A3040" s="24" t="str">
        <x:v>ZS-2155A00DDDE2</x:v>
      </x:c>
      <x:c r="B3040" s="24" t="str">
        <x:v>ZEISS</x:v>
      </x:c>
      <x:c r="C3040" s="24" t="str">
        <x:v>Progressiva AdaptiveSun</x:v>
      </x:c>
      <x:c r="D3040" s="24" t="str">
        <x:v>Surfaçada</x:v>
      </x:c>
      <x:c r="E3040" s="24" t="str">
        <x:v>SmartLife Individual AdaptiveSun</x:v>
      </x:c>
      <x:c r="F3040" s="24" t="str">
        <x:v>AdaptiveSun</x:v>
      </x:c>
      <x:c r="G3040" s="24" t="str">
        <x:v>1.5</x:v>
      </x:c>
      <x:c r="H3040" s="24" t="str">
        <x:v>1.50</x:v>
      </x:c>
      <x:c r="I3040" s="24" t="str">
        <x:v>DuraVision Silver UV</x:v>
      </x:c>
      <x:c r="J3040" s="40" t="n">
        <x:v>12009</x:v>
      </x:c>
      <x:c r="K3040" s="24" t="str">
        <x:v>-6.00 a +4.00
-7.00 a +5.00</x:v>
      </x:c>
      <x:c r="L3040" s="24" t="str">
        <x:v>-4.00</x:v>
      </x:c>
      <x:c r="M3040" s="24" t="str">
        <x:v>0.75 a 3.50</x:v>
      </x:c>
      <x:c r="N3040" s="24" t="str">
        <x:v>75/80
70/75</x:v>
      </x:c>
      <x:c r="O3040" s="24"/>
      <x:c r="P3040" s="24"/>
      <x:c r="Q3040" s="24" t="str">
        <x:v>DISPONÍVEL</x:v>
      </x:c>
      <x:c r="R3040" s="24" t="str">
        <x:v>Programa de Parcerias ZEISS — categoria Experts</x:v>
      </x:c>
      <x:c r="S3040" s="24" t="n">
        <x:v>53</x:v>
      </x:c>
      <x:c r="T3040" s="24" t="str">
        <x:v>tabela_zeiss.pdf</x:v>
      </x:c>
      <x:c r="U3040" s="24" t="str">
        <x:v>ZEISS|Progressiva AdaptiveSun|Surfaçada|SmartLife Individual AdaptiveSun|AdaptiveSun|1.5|1.50|DuraVision Silver UV|-6.00 a +4.00
-7.00 a +5.00|-4.00|0.75 a 3.50|75/80
70/75|||53</x:v>
      </x:c>
    </x:row>
    <x:row r="3041">
      <x:c r="A3041" s="24" t="str">
        <x:v>ZS-F671F530DDAE</x:v>
      </x:c>
      <x:c r="B3041" s="24" t="str">
        <x:v>ZEISS</x:v>
      </x:c>
      <x:c r="C3041" s="24" t="str">
        <x:v>Progressiva AdaptiveSun</x:v>
      </x:c>
      <x:c r="D3041" s="24" t="str">
        <x:v>Surfaçada</x:v>
      </x:c>
      <x:c r="E3041" s="24" t="str">
        <x:v>SmartLife Individual AdaptiveSun</x:v>
      </x:c>
      <x:c r="F3041" s="24" t="str">
        <x:v>AdaptiveSun</x:v>
      </x:c>
      <x:c r="G3041" s="24" t="str">
        <x:v>1.5</x:v>
      </x:c>
      <x:c r="H3041" s="24" t="str">
        <x:v>1.50</x:v>
      </x:c>
      <x:c r="I3041" s="24" t="str">
        <x:v>DuraVision Chrome UV</x:v>
      </x:c>
      <x:c r="J3041" s="40" t="n">
        <x:v>11519</x:v>
      </x:c>
      <x:c r="K3041" s="24" t="str">
        <x:v>-6.00 a +4.00
-7.00 a +5.00</x:v>
      </x:c>
      <x:c r="L3041" s="24" t="str">
        <x:v>-4.00</x:v>
      </x:c>
      <x:c r="M3041" s="24" t="str">
        <x:v>0.75 a 3.50</x:v>
      </x:c>
      <x:c r="N3041" s="24" t="str">
        <x:v>75/80
70/75</x:v>
      </x:c>
      <x:c r="O3041" s="24"/>
      <x:c r="P3041" s="24"/>
      <x:c r="Q3041" s="24" t="str">
        <x:v>DISPONÍVEL</x:v>
      </x:c>
      <x:c r="R3041" s="24" t="str">
        <x:v>Programa de Parcerias ZEISS — categoria Experts</x:v>
      </x:c>
      <x:c r="S3041" s="24" t="n">
        <x:v>53</x:v>
      </x:c>
      <x:c r="T3041" s="24" t="str">
        <x:v>tabela_zeiss.pdf</x:v>
      </x:c>
      <x:c r="U3041" s="24" t="str">
        <x:v>ZEISS|Progressiva AdaptiveSun|Surfaçada|SmartLife Individual AdaptiveSun|AdaptiveSun|1.5|1.50|DuraVision Chrome UV|-6.00 a +4.00
-7.00 a +5.00|-4.00|0.75 a 3.50|75/80
70/75|||53</x:v>
      </x:c>
    </x:row>
    <x:row r="3042">
      <x:c r="A3042" s="24" t="str">
        <x:v>ZS-FBF760F5D6B1</x:v>
      </x:c>
      <x:c r="B3042" s="24" t="str">
        <x:v>ZEISS</x:v>
      </x:c>
      <x:c r="C3042" s="24" t="str">
        <x:v>Progressiva AdaptiveSun</x:v>
      </x:c>
      <x:c r="D3042" s="24" t="str">
        <x:v>Surfaçada</x:v>
      </x:c>
      <x:c r="E3042" s="24" t="str">
        <x:v>SmartLife Individual AdaptiveSun</x:v>
      </x:c>
      <x:c r="F3042" s="24" t="str">
        <x:v>AdaptiveSun</x:v>
      </x:c>
      <x:c r="G3042" s="24" t="str">
        <x:v>1.5</x:v>
      </x:c>
      <x:c r="H3042" s="24" t="str">
        <x:v>1.50</x:v>
      </x:c>
      <x:c r="I3042" s="24" t="str">
        <x:v>Sem AR</x:v>
      </x:c>
      <x:c r="J3042" s="40" t="n">
        <x:v>11119</x:v>
      </x:c>
      <x:c r="K3042" s="24" t="str">
        <x:v>-6.00 a +4.00
-7.00 a +5.00</x:v>
      </x:c>
      <x:c r="L3042" s="24" t="str">
        <x:v>-4.00</x:v>
      </x:c>
      <x:c r="M3042" s="24" t="str">
        <x:v>0.75 a 3.50</x:v>
      </x:c>
      <x:c r="N3042" s="24" t="str">
        <x:v>75/80
70/75</x:v>
      </x:c>
      <x:c r="O3042" s="24"/>
      <x:c r="P3042" s="24"/>
      <x:c r="Q3042" s="24" t="str">
        <x:v>DISPONÍVEL</x:v>
      </x:c>
      <x:c r="R3042" s="24" t="str">
        <x:v>Programa de Parcerias ZEISS — categoria Experts</x:v>
      </x:c>
      <x:c r="S3042" s="24" t="n">
        <x:v>53</x:v>
      </x:c>
      <x:c r="T3042" s="24" t="str">
        <x:v>tabela_zeiss.pdf</x:v>
      </x:c>
      <x:c r="U3042" s="24" t="str">
        <x:v>ZEISS|Progressiva AdaptiveSun|Surfaçada|SmartLife Individual AdaptiveSun|AdaptiveSun|1.5|1.50|Sem AR|-6.00 a +4.00
-7.00 a +5.00|-4.00|0.75 a 3.50|75/80
70/75|||53</x:v>
      </x:c>
    </x:row>
    <x:row r="3043">
      <x:c r="A3043" s="24" t="str">
        <x:v>ZS-388D7A061692</x:v>
      </x:c>
      <x:c r="B3043" s="24" t="str">
        <x:v>ZEISS</x:v>
      </x:c>
      <x:c r="C3043" s="24" t="str">
        <x:v>Progressiva AdaptiveSun</x:v>
      </x:c>
      <x:c r="D3043" s="24" t="str">
        <x:v>Surfaçada</x:v>
      </x:c>
      <x:c r="E3043" s="24" t="str">
        <x:v>SmartLife Individual AdaptiveSun</x:v>
      </x:c>
      <x:c r="F3043" s="24" t="str">
        <x:v>AdaptiveSun</x:v>
      </x:c>
      <x:c r="G3043" s="24" t="str">
        <x:v>1.6</x:v>
      </x:c>
      <x:c r="H3043" s="24" t="str">
        <x:v>1.60</x:v>
      </x:c>
      <x:c r="I3043" s="24" t="str">
        <x:v>DuraVision Platinum UV</x:v>
      </x:c>
      <x:c r="J3043" s="40" t="n">
        <x:v>13519</x:v>
      </x:c>
      <x:c r="K3043" s="24" t="str">
        <x:v>-5.00 a +6.00
-10.00 a +6.00</x:v>
      </x:c>
      <x:c r="L3043" s="24" t="str">
        <x:v>-4.00
-6.00</x:v>
      </x:c>
      <x:c r="M3043" s="24" t="str">
        <x:v>0.75 a 4.00</x:v>
      </x:c>
      <x:c r="N3043" s="24" t="str">
        <x:v>75/80
70/75</x:v>
      </x:c>
      <x:c r="O3043" s="24"/>
      <x:c r="P3043" s="24"/>
      <x:c r="Q3043" s="24" t="str">
        <x:v>DISPONÍVEL</x:v>
      </x:c>
      <x:c r="R3043" s="24" t="str">
        <x:v>Programa de Parcerias ZEISS — categoria Experts</x:v>
      </x:c>
      <x:c r="S3043" s="24" t="n">
        <x:v>53</x:v>
      </x:c>
      <x:c r="T3043" s="24" t="str">
        <x:v>tabela_zeiss.pdf</x:v>
      </x:c>
      <x:c r="U3043" s="24" t="str">
        <x:v>ZEISS|Progressiva AdaptiveSun|Surfaçada|SmartLife Individual AdaptiveSun|AdaptiveSun|1.6|1.60|DuraVision Platinum UV|-5.00 a +6.00
-10.00 a +6.00|-4.00
-6.00|0.75 a 4.00|75/80
70/75|||53</x:v>
      </x:c>
    </x:row>
    <x:row r="3044">
      <x:c r="A3044" s="24" t="str">
        <x:v>ZS-A25CA781E740</x:v>
      </x:c>
      <x:c r="B3044" s="24" t="str">
        <x:v>ZEISS</x:v>
      </x:c>
      <x:c r="C3044" s="24" t="str">
        <x:v>Progressiva AdaptiveSun</x:v>
      </x:c>
      <x:c r="D3044" s="24" t="str">
        <x:v>Surfaçada</x:v>
      </x:c>
      <x:c r="E3044" s="24" t="str">
        <x:v>SmartLife Individual AdaptiveSun</x:v>
      </x:c>
      <x:c r="F3044" s="24" t="str">
        <x:v>AdaptiveSun</x:v>
      </x:c>
      <x:c r="G3044" s="24" t="str">
        <x:v>1.6</x:v>
      </x:c>
      <x:c r="H3044" s="24" t="str">
        <x:v>1.60</x:v>
      </x:c>
      <x:c r="I3044" s="24" t="str">
        <x:v>DuraVision Silver UV</x:v>
      </x:c>
      <x:c r="J3044" s="40" t="n">
        <x:v>13259</x:v>
      </x:c>
      <x:c r="K3044" s="24" t="str">
        <x:v>-5.00 a +6.00
-10.00 a +6.00</x:v>
      </x:c>
      <x:c r="L3044" s="24" t="str">
        <x:v>-4.00
-6.00</x:v>
      </x:c>
      <x:c r="M3044" s="24" t="str">
        <x:v>0.75 a 4.00</x:v>
      </x:c>
      <x:c r="N3044" s="24" t="str">
        <x:v>75/80
70/75</x:v>
      </x:c>
      <x:c r="O3044" s="24"/>
      <x:c r="P3044" s="24"/>
      <x:c r="Q3044" s="24" t="str">
        <x:v>DISPONÍVEL</x:v>
      </x:c>
      <x:c r="R3044" s="24" t="str">
        <x:v>Programa de Parcerias ZEISS — categoria Experts</x:v>
      </x:c>
      <x:c r="S3044" s="24" t="n">
        <x:v>53</x:v>
      </x:c>
      <x:c r="T3044" s="24" t="str">
        <x:v>tabela_zeiss.pdf</x:v>
      </x:c>
      <x:c r="U3044" s="24" t="str">
        <x:v>ZEISS|Progressiva AdaptiveSun|Surfaçada|SmartLife Individual AdaptiveSun|AdaptiveSun|1.6|1.60|DuraVision Silver UV|-5.00 a +6.00
-10.00 a +6.00|-4.00
-6.00|0.75 a 4.00|75/80
70/75|||53</x:v>
      </x:c>
    </x:row>
    <x:row r="3045">
      <x:c r="A3045" s="24" t="str">
        <x:v>ZS-15045A46CD8B</x:v>
      </x:c>
      <x:c r="B3045" s="24" t="str">
        <x:v>ZEISS</x:v>
      </x:c>
      <x:c r="C3045" s="24" t="str">
        <x:v>Progressiva AdaptiveSun</x:v>
      </x:c>
      <x:c r="D3045" s="24" t="str">
        <x:v>Surfaçada</x:v>
      </x:c>
      <x:c r="E3045" s="24" t="str">
        <x:v>SmartLife Individual AdaptiveSun</x:v>
      </x:c>
      <x:c r="F3045" s="24" t="str">
        <x:v>AdaptiveSun</x:v>
      </x:c>
      <x:c r="G3045" s="24" t="str">
        <x:v>1.6</x:v>
      </x:c>
      <x:c r="H3045" s="24" t="str">
        <x:v>1.60</x:v>
      </x:c>
      <x:c r="I3045" s="24" t="str">
        <x:v>DuraVision Chrome UV</x:v>
      </x:c>
      <x:c r="J3045" s="40" t="n">
        <x:v>12769</x:v>
      </x:c>
      <x:c r="K3045" s="24" t="str">
        <x:v>-5.00 a +6.00
-10.00 a +6.00</x:v>
      </x:c>
      <x:c r="L3045" s="24" t="str">
        <x:v>-4.00
-6.00</x:v>
      </x:c>
      <x:c r="M3045" s="24" t="str">
        <x:v>0.75 a 4.00</x:v>
      </x:c>
      <x:c r="N3045" s="24" t="str">
        <x:v>75/80
70/75</x:v>
      </x:c>
      <x:c r="O3045" s="24"/>
      <x:c r="P3045" s="24"/>
      <x:c r="Q3045" s="24" t="str">
        <x:v>DISPONÍVEL</x:v>
      </x:c>
      <x:c r="R3045" s="24" t="str">
        <x:v>Programa de Parcerias ZEISS — categoria Experts</x:v>
      </x:c>
      <x:c r="S3045" s="24" t="n">
        <x:v>53</x:v>
      </x:c>
      <x:c r="T3045" s="24" t="str">
        <x:v>tabela_zeiss.pdf</x:v>
      </x:c>
      <x:c r="U3045" s="24" t="str">
        <x:v>ZEISS|Progressiva AdaptiveSun|Surfaçada|SmartLife Individual AdaptiveSun|AdaptiveSun|1.6|1.60|DuraVision Chrome UV|-5.00 a +6.00
-10.00 a +6.00|-4.00
-6.00|0.75 a 4.00|75/80
70/75|||53</x:v>
      </x:c>
    </x:row>
    <x:row r="3046">
      <x:c r="A3046" s="24" t="str">
        <x:v>ZS-E24144D8C161</x:v>
      </x:c>
      <x:c r="B3046" s="24" t="str">
        <x:v>ZEISS</x:v>
      </x:c>
      <x:c r="C3046" s="24" t="str">
        <x:v>Progressiva AdaptiveSun</x:v>
      </x:c>
      <x:c r="D3046" s="24" t="str">
        <x:v>Surfaçada</x:v>
      </x:c>
      <x:c r="E3046" s="24" t="str">
        <x:v>SmartLife Individual AdaptiveSun</x:v>
      </x:c>
      <x:c r="F3046" s="24" t="str">
        <x:v>AdaptiveSun</x:v>
      </x:c>
      <x:c r="G3046" s="24" t="str">
        <x:v>1.6</x:v>
      </x:c>
      <x:c r="H3046" s="24" t="str">
        <x:v>1.60</x:v>
      </x:c>
      <x:c r="I3046" s="24" t="str">
        <x:v>Sem AR</x:v>
      </x:c>
      <x:c r="J3046" s="40" t="n">
        <x:v>12369</x:v>
      </x:c>
      <x:c r="K3046" s="24" t="str">
        <x:v>-5.00 a +6.00
-10.00 a +6.00</x:v>
      </x:c>
      <x:c r="L3046" s="24" t="str">
        <x:v>-4.00
-6.00</x:v>
      </x:c>
      <x:c r="M3046" s="24" t="str">
        <x:v>0.75 a 4.00</x:v>
      </x:c>
      <x:c r="N3046" s="24" t="str">
        <x:v>75/80
70/75</x:v>
      </x:c>
      <x:c r="O3046" s="24"/>
      <x:c r="P3046" s="24"/>
      <x:c r="Q3046" s="24" t="str">
        <x:v>DISPONÍVEL</x:v>
      </x:c>
      <x:c r="R3046" s="24" t="str">
        <x:v>Programa de Parcerias ZEISS — categoria Experts</x:v>
      </x:c>
      <x:c r="S3046" s="24" t="n">
        <x:v>53</x:v>
      </x:c>
      <x:c r="T3046" s="24" t="str">
        <x:v>tabela_zeiss.pdf</x:v>
      </x:c>
      <x:c r="U3046" s="24" t="str">
        <x:v>ZEISS|Progressiva AdaptiveSun|Surfaçada|SmartLife Individual AdaptiveSun|AdaptiveSun|1.6|1.60|Sem AR|-5.00 a +6.00
-10.00 a +6.00|-4.00
-6.00|0.75 a 4.00|75/80
70/75|||53</x:v>
      </x:c>
    </x:row>
    <x:row r="3047">
      <x:c r="A3047" s="24" t="str">
        <x:v>ZS-FE77D59FFFD3</x:v>
      </x:c>
      <x:c r="B3047" s="24" t="str">
        <x:v>ZEISS</x:v>
      </x:c>
      <x:c r="C3047" s="24" t="str">
        <x:v>Progressiva AdaptiveSun</x:v>
      </x:c>
      <x:c r="D3047" s="24" t="str">
        <x:v>Surfaçada</x:v>
      </x:c>
      <x:c r="E3047" s="24" t="str">
        <x:v>SmartLife Individual AdaptiveSun</x:v>
      </x:c>
      <x:c r="F3047" s="24" t="str">
        <x:v>AdaptiveSun</x:v>
      </x:c>
      <x:c r="G3047" s="24" t="str">
        <x:v>1.67</x:v>
      </x:c>
      <x:c r="H3047" s="24" t="str">
        <x:v>1.67</x:v>
      </x:c>
      <x:c r="I3047" s="24" t="str">
        <x:v>DuraVision Platinum UV</x:v>
      </x:c>
      <x:c r="J3047" s="40" t="n">
        <x:v>15159</x:v>
      </x:c>
      <x:c r="K3047" s="24" t="str">
        <x:v>-10.00 a +8.00
-12.00 a +8.00</x:v>
      </x:c>
      <x:c r="L3047" s="24" t="str">
        <x:v>-4.00
-6.00</x:v>
      </x:c>
      <x:c r="M3047" s="24" t="str">
        <x:v>0.75 a 3.50</x:v>
      </x:c>
      <x:c r="N3047" s="24" t="str">
        <x:v>70/75
65/70</x:v>
      </x:c>
      <x:c r="O3047" s="24"/>
      <x:c r="P3047" s="24"/>
      <x:c r="Q3047" s="24" t="str">
        <x:v>DISPONÍVEL</x:v>
      </x:c>
      <x:c r="R3047" s="24" t="str">
        <x:v>Programa de Parcerias ZEISS — categoria Experts</x:v>
      </x:c>
      <x:c r="S3047" s="24" t="n">
        <x:v>53</x:v>
      </x:c>
      <x:c r="T3047" s="24" t="str">
        <x:v>tabela_zeiss.pdf</x:v>
      </x:c>
      <x:c r="U3047" s="24" t="str">
        <x:v>ZEISS|Progressiva AdaptiveSun|Surfaçada|SmartLife Individual AdaptiveSun|AdaptiveSun|1.67|1.67|DuraVision Platinum UV|-10.00 a +8.00
-12.00 a +8.00|-4.00
-6.00|0.75 a 3.50|70/75
65/70|||53</x:v>
      </x:c>
    </x:row>
    <x:row r="3048">
      <x:c r="A3048" s="24" t="str">
        <x:v>ZS-B6E1E98B6100</x:v>
      </x:c>
      <x:c r="B3048" s="24" t="str">
        <x:v>ZEISS</x:v>
      </x:c>
      <x:c r="C3048" s="24" t="str">
        <x:v>Progressiva AdaptiveSun</x:v>
      </x:c>
      <x:c r="D3048" s="24" t="str">
        <x:v>Surfaçada</x:v>
      </x:c>
      <x:c r="E3048" s="24" t="str">
        <x:v>SmartLife Individual AdaptiveSun</x:v>
      </x:c>
      <x:c r="F3048" s="24" t="str">
        <x:v>AdaptiveSun</x:v>
      </x:c>
      <x:c r="G3048" s="24" t="str">
        <x:v>1.67</x:v>
      </x:c>
      <x:c r="H3048" s="24" t="str">
        <x:v>1.67</x:v>
      </x:c>
      <x:c r="I3048" s="24" t="str">
        <x:v>DuraVision Silver UV</x:v>
      </x:c>
      <x:c r="J3048" s="40" t="n">
        <x:v>14899</x:v>
      </x:c>
      <x:c r="K3048" s="24" t="str">
        <x:v>-10.00 a +8.00
-12.00 a +8.00</x:v>
      </x:c>
      <x:c r="L3048" s="24" t="str">
        <x:v>-4.00
-6.00</x:v>
      </x:c>
      <x:c r="M3048" s="24" t="str">
        <x:v>0.75 a 3.50</x:v>
      </x:c>
      <x:c r="N3048" s="24" t="str">
        <x:v>70/75
65/70</x:v>
      </x:c>
      <x:c r="O3048" s="24"/>
      <x:c r="P3048" s="24"/>
      <x:c r="Q3048" s="24" t="str">
        <x:v>DISPONÍVEL</x:v>
      </x:c>
      <x:c r="R3048" s="24" t="str">
        <x:v>Programa de Parcerias ZEISS — categoria Experts</x:v>
      </x:c>
      <x:c r="S3048" s="24" t="n">
        <x:v>53</x:v>
      </x:c>
      <x:c r="T3048" s="24" t="str">
        <x:v>tabela_zeiss.pdf</x:v>
      </x:c>
      <x:c r="U3048" s="24" t="str">
        <x:v>ZEISS|Progressiva AdaptiveSun|Surfaçada|SmartLife Individual AdaptiveSun|AdaptiveSun|1.67|1.67|DuraVision Silver UV|-10.00 a +8.00
-12.00 a +8.00|-4.00
-6.00|0.75 a 3.50|70/75
65/70|||53</x:v>
      </x:c>
    </x:row>
    <x:row r="3049">
      <x:c r="A3049" s="24" t="str">
        <x:v>ZS-5899D21FD48E</x:v>
      </x:c>
      <x:c r="B3049" s="24" t="str">
        <x:v>ZEISS</x:v>
      </x:c>
      <x:c r="C3049" s="24" t="str">
        <x:v>Progressiva AdaptiveSun</x:v>
      </x:c>
      <x:c r="D3049" s="24" t="str">
        <x:v>Surfaçada</x:v>
      </x:c>
      <x:c r="E3049" s="24" t="str">
        <x:v>SmartLife Individual AdaptiveSun</x:v>
      </x:c>
      <x:c r="F3049" s="24" t="str">
        <x:v>AdaptiveSun</x:v>
      </x:c>
      <x:c r="G3049" s="24" t="str">
        <x:v>1.67</x:v>
      </x:c>
      <x:c r="H3049" s="24" t="str">
        <x:v>1.67</x:v>
      </x:c>
      <x:c r="I3049" s="24" t="str">
        <x:v>DuraVision Chrome UV</x:v>
      </x:c>
      <x:c r="J3049" s="40" t="n">
        <x:v>14409</x:v>
      </x:c>
      <x:c r="K3049" s="24" t="str">
        <x:v>-10.00 a +8.00
-12.00 a +8.00</x:v>
      </x:c>
      <x:c r="L3049" s="24" t="str">
        <x:v>-4.00
-6.00</x:v>
      </x:c>
      <x:c r="M3049" s="24" t="str">
        <x:v>0.75 a 3.50</x:v>
      </x:c>
      <x:c r="N3049" s="24" t="str">
        <x:v>70/75
65/70</x:v>
      </x:c>
      <x:c r="O3049" s="24"/>
      <x:c r="P3049" s="24"/>
      <x:c r="Q3049" s="24" t="str">
        <x:v>DISPONÍVEL</x:v>
      </x:c>
      <x:c r="R3049" s="24" t="str">
        <x:v>Programa de Parcerias ZEISS — categoria Experts</x:v>
      </x:c>
      <x:c r="S3049" s="24" t="n">
        <x:v>53</x:v>
      </x:c>
      <x:c r="T3049" s="24" t="str">
        <x:v>tabela_zeiss.pdf</x:v>
      </x:c>
      <x:c r="U3049" s="24" t="str">
        <x:v>ZEISS|Progressiva AdaptiveSun|Surfaçada|SmartLife Individual AdaptiveSun|AdaptiveSun|1.67|1.67|DuraVision Chrome UV|-10.00 a +8.00
-12.00 a +8.00|-4.00
-6.00|0.75 a 3.50|70/75
65/70|||53</x:v>
      </x:c>
    </x:row>
    <x:row r="3050">
      <x:c r="A3050" s="24" t="str">
        <x:v>ZS-299360A12BC6</x:v>
      </x:c>
      <x:c r="B3050" s="24" t="str">
        <x:v>ZEISS</x:v>
      </x:c>
      <x:c r="C3050" s="24" t="str">
        <x:v>Progressiva AdaptiveSun</x:v>
      </x:c>
      <x:c r="D3050" s="24" t="str">
        <x:v>Surfaçada</x:v>
      </x:c>
      <x:c r="E3050" s="24" t="str">
        <x:v>SmartLife Individual AdaptiveSun</x:v>
      </x:c>
      <x:c r="F3050" s="24" t="str">
        <x:v>AdaptiveSun</x:v>
      </x:c>
      <x:c r="G3050" s="24" t="str">
        <x:v>1.67</x:v>
      </x:c>
      <x:c r="H3050" s="24" t="str">
        <x:v>1.67</x:v>
      </x:c>
      <x:c r="I3050" s="24" t="str">
        <x:v>Sem AR</x:v>
      </x:c>
      <x:c r="J3050" s="40" t="n">
        <x:v>14009</x:v>
      </x:c>
      <x:c r="K3050" s="24" t="str">
        <x:v>-10.00 a +8.00
-12.00 a +8.00</x:v>
      </x:c>
      <x:c r="L3050" s="24" t="str">
        <x:v>-4.00
-6.00</x:v>
      </x:c>
      <x:c r="M3050" s="24" t="str">
        <x:v>0.75 a 3.50</x:v>
      </x:c>
      <x:c r="N3050" s="24" t="str">
        <x:v>70/75
65/70</x:v>
      </x:c>
      <x:c r="O3050" s="24"/>
      <x:c r="P3050" s="24"/>
      <x:c r="Q3050" s="24" t="str">
        <x:v>DISPONÍVEL</x:v>
      </x:c>
      <x:c r="R3050" s="24" t="str">
        <x:v>Programa de Parcerias ZEISS — categoria Experts</x:v>
      </x:c>
      <x:c r="S3050" s="24" t="n">
        <x:v>53</x:v>
      </x:c>
      <x:c r="T3050" s="24" t="str">
        <x:v>tabela_zeiss.pdf</x:v>
      </x:c>
      <x:c r="U3050" s="24" t="str">
        <x:v>ZEISS|Progressiva AdaptiveSun|Surfaçada|SmartLife Individual AdaptiveSun|AdaptiveSun|1.67|1.67|Sem AR|-10.00 a +8.00
-12.00 a +8.00|-4.00
-6.00|0.75 a 3.50|70/75
65/70|||53</x:v>
      </x:c>
    </x:row>
    <x:row r="3051">
      <x:c r="A3051" s="24" t="str">
        <x:v>ZS-B5E373FFFE8E</x:v>
      </x:c>
      <x:c r="B3051" s="24" t="str">
        <x:v>ZEISS</x:v>
      </x:c>
      <x:c r="C3051" s="24" t="str">
        <x:v>Progressiva AdaptiveSun</x:v>
      </x:c>
      <x:c r="D3051" s="24" t="str">
        <x:v>Surfaçada</x:v>
      </x:c>
      <x:c r="E3051" s="24" t="str">
        <x:v>SmartLife Superb AdaptiveSun</x:v>
      </x:c>
      <x:c r="F3051" s="24" t="str">
        <x:v>AdaptiveSun</x:v>
      </x:c>
      <x:c r="G3051" s="24" t="str">
        <x:v>1.5</x:v>
      </x:c>
      <x:c r="H3051" s="24" t="str">
        <x:v>1.50</x:v>
      </x:c>
      <x:c r="I3051" s="24" t="str">
        <x:v>DuraVision Platinum UV</x:v>
      </x:c>
      <x:c r="J3051" s="40" t="n">
        <x:v>8560</x:v>
      </x:c>
      <x:c r="K3051" s="24" t="str">
        <x:v>-6.00 a +4.00
-7.00 a +5.00</x:v>
      </x:c>
      <x:c r="L3051" s="24" t="str">
        <x:v>-4.00</x:v>
      </x:c>
      <x:c r="M3051" s="24" t="str">
        <x:v>0.75 a 3.50</x:v>
      </x:c>
      <x:c r="N3051" s="24" t="str">
        <x:v>75/80
70/75</x:v>
      </x:c>
      <x:c r="O3051" s="24"/>
      <x:c r="P3051" s="24"/>
      <x:c r="Q3051" s="24" t="str">
        <x:v>DISPONÍVEL</x:v>
      </x:c>
      <x:c r="R3051" s="24" t="str">
        <x:v>Programa de Parcerias ZEISS — categoria Experts</x:v>
      </x:c>
      <x:c r="S3051" s="24" t="n">
        <x:v>53</x:v>
      </x:c>
      <x:c r="T3051" s="24" t="str">
        <x:v>tabela_zeiss.pdf</x:v>
      </x:c>
      <x:c r="U3051" s="24" t="str">
        <x:v>ZEISS|Progressiva AdaptiveSun|Surfaçada|SmartLife Superb AdaptiveSun|AdaptiveSun|1.5|1.50|DuraVision Platinum UV|-6.00 a +4.00
-7.00 a +5.00|-4.00|0.75 a 3.50|75/80
70/75|||53</x:v>
      </x:c>
    </x:row>
    <x:row r="3052">
      <x:c r="A3052" s="24" t="str">
        <x:v>ZS-587167E7F11F</x:v>
      </x:c>
      <x:c r="B3052" s="24" t="str">
        <x:v>ZEISS</x:v>
      </x:c>
      <x:c r="C3052" s="24" t="str">
        <x:v>Progressiva AdaptiveSun</x:v>
      </x:c>
      <x:c r="D3052" s="24" t="str">
        <x:v>Surfaçada</x:v>
      </x:c>
      <x:c r="E3052" s="24" t="str">
        <x:v>SmartLife Superb AdaptiveSun</x:v>
      </x:c>
      <x:c r="F3052" s="24" t="str">
        <x:v>AdaptiveSun</x:v>
      </x:c>
      <x:c r="G3052" s="24" t="str">
        <x:v>1.5</x:v>
      </x:c>
      <x:c r="H3052" s="24" t="str">
        <x:v>1.50</x:v>
      </x:c>
      <x:c r="I3052" s="24" t="str">
        <x:v>DuraVision Silver UV</x:v>
      </x:c>
      <x:c r="J3052" s="40" t="n">
        <x:v>8300</x:v>
      </x:c>
      <x:c r="K3052" s="24" t="str">
        <x:v>-6.00 a +4.00
-7.00 a +5.00</x:v>
      </x:c>
      <x:c r="L3052" s="24" t="str">
        <x:v>-4.00</x:v>
      </x:c>
      <x:c r="M3052" s="24" t="str">
        <x:v>0.75 a 3.50</x:v>
      </x:c>
      <x:c r="N3052" s="24" t="str">
        <x:v>75/80
70/75</x:v>
      </x:c>
      <x:c r="O3052" s="24"/>
      <x:c r="P3052" s="24"/>
      <x:c r="Q3052" s="24" t="str">
        <x:v>DISPONÍVEL</x:v>
      </x:c>
      <x:c r="R3052" s="24" t="str">
        <x:v>Programa de Parcerias ZEISS — categoria Experts</x:v>
      </x:c>
      <x:c r="S3052" s="24" t="n">
        <x:v>53</x:v>
      </x:c>
      <x:c r="T3052" s="24" t="str">
        <x:v>tabela_zeiss.pdf</x:v>
      </x:c>
      <x:c r="U3052" s="24" t="str">
        <x:v>ZEISS|Progressiva AdaptiveSun|Surfaçada|SmartLife Superb AdaptiveSun|AdaptiveSun|1.5|1.50|DuraVision Silver UV|-6.00 a +4.00
-7.00 a +5.00|-4.00|0.75 a 3.50|75/80
70/75|||53</x:v>
      </x:c>
    </x:row>
    <x:row r="3053">
      <x:c r="A3053" s="24" t="str">
        <x:v>ZS-63AADE311F95</x:v>
      </x:c>
      <x:c r="B3053" s="24" t="str">
        <x:v>ZEISS</x:v>
      </x:c>
      <x:c r="C3053" s="24" t="str">
        <x:v>Progressiva AdaptiveSun</x:v>
      </x:c>
      <x:c r="D3053" s="24" t="str">
        <x:v>Surfaçada</x:v>
      </x:c>
      <x:c r="E3053" s="24" t="str">
        <x:v>SmartLife Superb AdaptiveSun</x:v>
      </x:c>
      <x:c r="F3053" s="24" t="str">
        <x:v>AdaptiveSun</x:v>
      </x:c>
      <x:c r="G3053" s="24" t="str">
        <x:v>1.5</x:v>
      </x:c>
      <x:c r="H3053" s="24" t="str">
        <x:v>1.50</x:v>
      </x:c>
      <x:c r="I3053" s="24" t="str">
        <x:v>DuraVision Chrome UV</x:v>
      </x:c>
      <x:c r="J3053" s="40" t="n">
        <x:v>7810</x:v>
      </x:c>
      <x:c r="K3053" s="24" t="str">
        <x:v>-6.00 a +4.00
-7.00 a +5.00</x:v>
      </x:c>
      <x:c r="L3053" s="24" t="str">
        <x:v>-4.00</x:v>
      </x:c>
      <x:c r="M3053" s="24" t="str">
        <x:v>0.75 a 3.50</x:v>
      </x:c>
      <x:c r="N3053" s="24" t="str">
        <x:v>75/80
70/75</x:v>
      </x:c>
      <x:c r="O3053" s="24"/>
      <x:c r="P3053" s="24"/>
      <x:c r="Q3053" s="24" t="str">
        <x:v>DISPONÍVEL</x:v>
      </x:c>
      <x:c r="R3053" s="24" t="str">
        <x:v>Programa de Parcerias ZEISS — categoria Experts</x:v>
      </x:c>
      <x:c r="S3053" s="24" t="n">
        <x:v>53</x:v>
      </x:c>
      <x:c r="T3053" s="24" t="str">
        <x:v>tabela_zeiss.pdf</x:v>
      </x:c>
      <x:c r="U3053" s="24" t="str">
        <x:v>ZEISS|Progressiva AdaptiveSun|Surfaçada|SmartLife Superb AdaptiveSun|AdaptiveSun|1.5|1.50|DuraVision Chrome UV|-6.00 a +4.00
-7.00 a +5.00|-4.00|0.75 a 3.50|75/80
70/75|||53</x:v>
      </x:c>
    </x:row>
    <x:row r="3054">
      <x:c r="A3054" s="24" t="str">
        <x:v>ZS-B9157E332BE1</x:v>
      </x:c>
      <x:c r="B3054" s="24" t="str">
        <x:v>ZEISS</x:v>
      </x:c>
      <x:c r="C3054" s="24" t="str">
        <x:v>Progressiva AdaptiveSun</x:v>
      </x:c>
      <x:c r="D3054" s="24" t="str">
        <x:v>Surfaçada</x:v>
      </x:c>
      <x:c r="E3054" s="24" t="str">
        <x:v>SmartLife Superb AdaptiveSun</x:v>
      </x:c>
      <x:c r="F3054" s="24" t="str">
        <x:v>AdaptiveSun</x:v>
      </x:c>
      <x:c r="G3054" s="24" t="str">
        <x:v>1.5</x:v>
      </x:c>
      <x:c r="H3054" s="24" t="str">
        <x:v>1.50</x:v>
      </x:c>
      <x:c r="I3054" s="24" t="str">
        <x:v>Sem AR</x:v>
      </x:c>
      <x:c r="J3054" s="40" t="n">
        <x:v>7410</x:v>
      </x:c>
      <x:c r="K3054" s="24" t="str">
        <x:v>-6.00 a +4.00
-7.00 a +5.00</x:v>
      </x:c>
      <x:c r="L3054" s="24" t="str">
        <x:v>-4.00</x:v>
      </x:c>
      <x:c r="M3054" s="24" t="str">
        <x:v>0.75 a 3.50</x:v>
      </x:c>
      <x:c r="N3054" s="24" t="str">
        <x:v>75/80
70/75</x:v>
      </x:c>
      <x:c r="O3054" s="24"/>
      <x:c r="P3054" s="24"/>
      <x:c r="Q3054" s="24" t="str">
        <x:v>DISPONÍVEL</x:v>
      </x:c>
      <x:c r="R3054" s="24" t="str">
        <x:v>Programa de Parcerias ZEISS — categoria Experts</x:v>
      </x:c>
      <x:c r="S3054" s="24" t="n">
        <x:v>53</x:v>
      </x:c>
      <x:c r="T3054" s="24" t="str">
        <x:v>tabela_zeiss.pdf</x:v>
      </x:c>
      <x:c r="U3054" s="24" t="str">
        <x:v>ZEISS|Progressiva AdaptiveSun|Surfaçada|SmartLife Superb AdaptiveSun|AdaptiveSun|1.5|1.50|Sem AR|-6.00 a +4.00
-7.00 a +5.00|-4.00|0.75 a 3.50|75/80
70/75|||53</x:v>
      </x:c>
    </x:row>
    <x:row r="3055">
      <x:c r="A3055" s="24" t="str">
        <x:v>ZS-E91325E38AF4</x:v>
      </x:c>
      <x:c r="B3055" s="24" t="str">
        <x:v>ZEISS</x:v>
      </x:c>
      <x:c r="C3055" s="24" t="str">
        <x:v>Progressiva AdaptiveSun</x:v>
      </x:c>
      <x:c r="D3055" s="24" t="str">
        <x:v>Surfaçada</x:v>
      </x:c>
      <x:c r="E3055" s="24" t="str">
        <x:v>SmartLife Superb AdaptiveSun</x:v>
      </x:c>
      <x:c r="F3055" s="24" t="str">
        <x:v>AdaptiveSun</x:v>
      </x:c>
      <x:c r="G3055" s="24" t="str">
        <x:v>1.6</x:v>
      </x:c>
      <x:c r="H3055" s="24" t="str">
        <x:v>1.60</x:v>
      </x:c>
      <x:c r="I3055" s="24" t="str">
        <x:v>DuraVision Platinum UV</x:v>
      </x:c>
      <x:c r="J3055" s="40" t="n">
        <x:v>9810</x:v>
      </x:c>
      <x:c r="K3055" s="24" t="str">
        <x:v>-5.00 a +6.00
-10.00 a +6.00</x:v>
      </x:c>
      <x:c r="L3055" s="24" t="str">
        <x:v>-4.00
-6.00</x:v>
      </x:c>
      <x:c r="M3055" s="24" t="str">
        <x:v>0.75 a 4.00</x:v>
      </x:c>
      <x:c r="N3055" s="24" t="str">
        <x:v>75/80
70/75</x:v>
      </x:c>
      <x:c r="O3055" s="24"/>
      <x:c r="P3055" s="24"/>
      <x:c r="Q3055" s="24" t="str">
        <x:v>DISPONÍVEL</x:v>
      </x:c>
      <x:c r="R3055" s="24" t="str">
        <x:v>Programa de Parcerias ZEISS — categoria Experts</x:v>
      </x:c>
      <x:c r="S3055" s="24" t="n">
        <x:v>53</x:v>
      </x:c>
      <x:c r="T3055" s="24" t="str">
        <x:v>tabela_zeiss.pdf</x:v>
      </x:c>
      <x:c r="U3055" s="24" t="str">
        <x:v>ZEISS|Progressiva AdaptiveSun|Surfaçada|SmartLife Superb AdaptiveSun|AdaptiveSun|1.6|1.60|DuraVision Platinum UV|-5.00 a +6.00
-10.00 a +6.00|-4.00
-6.00|0.75 a 4.00|75/80
70/75|||53</x:v>
      </x:c>
    </x:row>
    <x:row r="3056">
      <x:c r="A3056" s="24" t="str">
        <x:v>ZS-8737DD0F3943</x:v>
      </x:c>
      <x:c r="B3056" s="24" t="str">
        <x:v>ZEISS</x:v>
      </x:c>
      <x:c r="C3056" s="24" t="str">
        <x:v>Progressiva AdaptiveSun</x:v>
      </x:c>
      <x:c r="D3056" s="24" t="str">
        <x:v>Surfaçada</x:v>
      </x:c>
      <x:c r="E3056" s="24" t="str">
        <x:v>SmartLife Superb AdaptiveSun</x:v>
      </x:c>
      <x:c r="F3056" s="24" t="str">
        <x:v>AdaptiveSun</x:v>
      </x:c>
      <x:c r="G3056" s="24" t="str">
        <x:v>1.6</x:v>
      </x:c>
      <x:c r="H3056" s="24" t="str">
        <x:v>1.60</x:v>
      </x:c>
      <x:c r="I3056" s="24" t="str">
        <x:v>DuraVision Silver UV</x:v>
      </x:c>
      <x:c r="J3056" s="40" t="n">
        <x:v>9550</x:v>
      </x:c>
      <x:c r="K3056" s="24" t="str">
        <x:v>-5.00 a +6.00
-10.00 a +6.00</x:v>
      </x:c>
      <x:c r="L3056" s="24" t="str">
        <x:v>-4.00
-6.00</x:v>
      </x:c>
      <x:c r="M3056" s="24" t="str">
        <x:v>0.75 a 4.00</x:v>
      </x:c>
      <x:c r="N3056" s="24" t="str">
        <x:v>75/80
70/75</x:v>
      </x:c>
      <x:c r="O3056" s="24"/>
      <x:c r="P3056" s="24"/>
      <x:c r="Q3056" s="24" t="str">
        <x:v>DISPONÍVEL</x:v>
      </x:c>
      <x:c r="R3056" s="24" t="str">
        <x:v>Programa de Parcerias ZEISS — categoria Experts</x:v>
      </x:c>
      <x:c r="S3056" s="24" t="n">
        <x:v>53</x:v>
      </x:c>
      <x:c r="T3056" s="24" t="str">
        <x:v>tabela_zeiss.pdf</x:v>
      </x:c>
      <x:c r="U3056" s="24" t="str">
        <x:v>ZEISS|Progressiva AdaptiveSun|Surfaçada|SmartLife Superb AdaptiveSun|AdaptiveSun|1.6|1.60|DuraVision Silver UV|-5.00 a +6.00
-10.00 a +6.00|-4.00
-6.00|0.75 a 4.00|75/80
70/75|||53</x:v>
      </x:c>
    </x:row>
    <x:row r="3057">
      <x:c r="A3057" s="24" t="str">
        <x:v>ZS-DA2F71127424</x:v>
      </x:c>
      <x:c r="B3057" s="24" t="str">
        <x:v>ZEISS</x:v>
      </x:c>
      <x:c r="C3057" s="24" t="str">
        <x:v>Progressiva AdaptiveSun</x:v>
      </x:c>
      <x:c r="D3057" s="24" t="str">
        <x:v>Surfaçada</x:v>
      </x:c>
      <x:c r="E3057" s="24" t="str">
        <x:v>SmartLife Superb AdaptiveSun</x:v>
      </x:c>
      <x:c r="F3057" s="24" t="str">
        <x:v>AdaptiveSun</x:v>
      </x:c>
      <x:c r="G3057" s="24" t="str">
        <x:v>1.6</x:v>
      </x:c>
      <x:c r="H3057" s="24" t="str">
        <x:v>1.60</x:v>
      </x:c>
      <x:c r="I3057" s="24" t="str">
        <x:v>DuraVision Chrome UV</x:v>
      </x:c>
      <x:c r="J3057" s="40" t="n">
        <x:v>9060</x:v>
      </x:c>
      <x:c r="K3057" s="24" t="str">
        <x:v>-5.00 a +6.00
-10.00 a +6.00</x:v>
      </x:c>
      <x:c r="L3057" s="24" t="str">
        <x:v>-4.00
-6.00</x:v>
      </x:c>
      <x:c r="M3057" s="24" t="str">
        <x:v>0.75 a 4.00</x:v>
      </x:c>
      <x:c r="N3057" s="24" t="str">
        <x:v>75/80
70/75</x:v>
      </x:c>
      <x:c r="O3057" s="24"/>
      <x:c r="P3057" s="24"/>
      <x:c r="Q3057" s="24" t="str">
        <x:v>DISPONÍVEL</x:v>
      </x:c>
      <x:c r="R3057" s="24" t="str">
        <x:v>Programa de Parcerias ZEISS — categoria Experts</x:v>
      </x:c>
      <x:c r="S3057" s="24" t="n">
        <x:v>53</x:v>
      </x:c>
      <x:c r="T3057" s="24" t="str">
        <x:v>tabela_zeiss.pdf</x:v>
      </x:c>
      <x:c r="U3057" s="24" t="str">
        <x:v>ZEISS|Progressiva AdaptiveSun|Surfaçada|SmartLife Superb AdaptiveSun|AdaptiveSun|1.6|1.60|DuraVision Chrome UV|-5.00 a +6.00
-10.00 a +6.00|-4.00
-6.00|0.75 a 4.00|75/80
70/75|||53</x:v>
      </x:c>
    </x:row>
    <x:row r="3058">
      <x:c r="A3058" s="24" t="str">
        <x:v>ZS-5F28BA31A4FF</x:v>
      </x:c>
      <x:c r="B3058" s="24" t="str">
        <x:v>ZEISS</x:v>
      </x:c>
      <x:c r="C3058" s="24" t="str">
        <x:v>Progressiva AdaptiveSun</x:v>
      </x:c>
      <x:c r="D3058" s="24" t="str">
        <x:v>Surfaçada</x:v>
      </x:c>
      <x:c r="E3058" s="24" t="str">
        <x:v>SmartLife Superb AdaptiveSun</x:v>
      </x:c>
      <x:c r="F3058" s="24" t="str">
        <x:v>AdaptiveSun</x:v>
      </x:c>
      <x:c r="G3058" s="24" t="str">
        <x:v>1.6</x:v>
      </x:c>
      <x:c r="H3058" s="24" t="str">
        <x:v>1.60</x:v>
      </x:c>
      <x:c r="I3058" s="24" t="str">
        <x:v>Sem AR</x:v>
      </x:c>
      <x:c r="J3058" s="40" t="n">
        <x:v>8660</x:v>
      </x:c>
      <x:c r="K3058" s="24" t="str">
        <x:v>-5.00 a +6.00
-10.00 a +6.00</x:v>
      </x:c>
      <x:c r="L3058" s="24" t="str">
        <x:v>-4.00
-6.00</x:v>
      </x:c>
      <x:c r="M3058" s="24" t="str">
        <x:v>0.75 a 4.00</x:v>
      </x:c>
      <x:c r="N3058" s="24" t="str">
        <x:v>75/80
70/75</x:v>
      </x:c>
      <x:c r="O3058" s="24"/>
      <x:c r="P3058" s="24"/>
      <x:c r="Q3058" s="24" t="str">
        <x:v>DISPONÍVEL</x:v>
      </x:c>
      <x:c r="R3058" s="24" t="str">
        <x:v>Programa de Parcerias ZEISS — categoria Experts</x:v>
      </x:c>
      <x:c r="S3058" s="24" t="n">
        <x:v>53</x:v>
      </x:c>
      <x:c r="T3058" s="24" t="str">
        <x:v>tabela_zeiss.pdf</x:v>
      </x:c>
      <x:c r="U3058" s="24" t="str">
        <x:v>ZEISS|Progressiva AdaptiveSun|Surfaçada|SmartLife Superb AdaptiveSun|AdaptiveSun|1.6|1.60|Sem AR|-5.00 a +6.00
-10.00 a +6.00|-4.00
-6.00|0.75 a 4.00|75/80
70/75|||53</x:v>
      </x:c>
    </x:row>
    <x:row r="3059">
      <x:c r="A3059" s="24" t="str">
        <x:v>ZS-FB8A3578EE2B</x:v>
      </x:c>
      <x:c r="B3059" s="24" t="str">
        <x:v>ZEISS</x:v>
      </x:c>
      <x:c r="C3059" s="24" t="str">
        <x:v>Progressiva AdaptiveSun</x:v>
      </x:c>
      <x:c r="D3059" s="24" t="str">
        <x:v>Surfaçada</x:v>
      </x:c>
      <x:c r="E3059" s="24" t="str">
        <x:v>SmartLife Superb AdaptiveSun</x:v>
      </x:c>
      <x:c r="F3059" s="24" t="str">
        <x:v>AdaptiveSun</x:v>
      </x:c>
      <x:c r="G3059" s="24" t="str">
        <x:v>1.67</x:v>
      </x:c>
      <x:c r="H3059" s="24" t="str">
        <x:v>1.67</x:v>
      </x:c>
      <x:c r="I3059" s="24" t="str">
        <x:v>DuraVision Platinum UV</x:v>
      </x:c>
      <x:c r="J3059" s="40" t="n">
        <x:v>11450</x:v>
      </x:c>
      <x:c r="K3059" s="24" t="str">
        <x:v>-10.00 a +8.00
-12.00 a +8.00</x:v>
      </x:c>
      <x:c r="L3059" s="24" t="str">
        <x:v>-4.00
-6.00</x:v>
      </x:c>
      <x:c r="M3059" s="24" t="str">
        <x:v>0.75 a 3.50</x:v>
      </x:c>
      <x:c r="N3059" s="24" t="str">
        <x:v>70/75
65/70</x:v>
      </x:c>
      <x:c r="O3059" s="24"/>
      <x:c r="P3059" s="24"/>
      <x:c r="Q3059" s="24" t="str">
        <x:v>DISPONÍVEL</x:v>
      </x:c>
      <x:c r="R3059" s="24" t="str">
        <x:v>Programa de Parcerias ZEISS — categoria Experts</x:v>
      </x:c>
      <x:c r="S3059" s="24" t="n">
        <x:v>53</x:v>
      </x:c>
      <x:c r="T3059" s="24" t="str">
        <x:v>tabela_zeiss.pdf</x:v>
      </x:c>
      <x:c r="U3059" s="24" t="str">
        <x:v>ZEISS|Progressiva AdaptiveSun|Surfaçada|SmartLife Superb AdaptiveSun|AdaptiveSun|1.67|1.67|DuraVision Platinum UV|-10.00 a +8.00
-12.00 a +8.00|-4.00
-6.00|0.75 a 3.50|70/75
65/70|||53</x:v>
      </x:c>
    </x:row>
    <x:row r="3060">
      <x:c r="A3060" s="24" t="str">
        <x:v>ZS-A21EFC92AC01</x:v>
      </x:c>
      <x:c r="B3060" s="24" t="str">
        <x:v>ZEISS</x:v>
      </x:c>
      <x:c r="C3060" s="24" t="str">
        <x:v>Progressiva AdaptiveSun</x:v>
      </x:c>
      <x:c r="D3060" s="24" t="str">
        <x:v>Surfaçada</x:v>
      </x:c>
      <x:c r="E3060" s="24" t="str">
        <x:v>SmartLife Superb AdaptiveSun</x:v>
      </x:c>
      <x:c r="F3060" s="24" t="str">
        <x:v>AdaptiveSun</x:v>
      </x:c>
      <x:c r="G3060" s="24" t="str">
        <x:v>1.67</x:v>
      </x:c>
      <x:c r="H3060" s="24" t="str">
        <x:v>1.67</x:v>
      </x:c>
      <x:c r="I3060" s="24" t="str">
        <x:v>DuraVision Silver UV</x:v>
      </x:c>
      <x:c r="J3060" s="40" t="n">
        <x:v>11190</x:v>
      </x:c>
      <x:c r="K3060" s="24" t="str">
        <x:v>-10.00 a +8.00
-12.00 a +8.00</x:v>
      </x:c>
      <x:c r="L3060" s="24" t="str">
        <x:v>-4.00
-6.00</x:v>
      </x:c>
      <x:c r="M3060" s="24" t="str">
        <x:v>0.75 a 3.50</x:v>
      </x:c>
      <x:c r="N3060" s="24" t="str">
        <x:v>70/75
65/70</x:v>
      </x:c>
      <x:c r="O3060" s="24"/>
      <x:c r="P3060" s="24"/>
      <x:c r="Q3060" s="24" t="str">
        <x:v>DISPONÍVEL</x:v>
      </x:c>
      <x:c r="R3060" s="24" t="str">
        <x:v>Programa de Parcerias ZEISS — categoria Experts</x:v>
      </x:c>
      <x:c r="S3060" s="24" t="n">
        <x:v>53</x:v>
      </x:c>
      <x:c r="T3060" s="24" t="str">
        <x:v>tabela_zeiss.pdf</x:v>
      </x:c>
      <x:c r="U3060" s="24" t="str">
        <x:v>ZEISS|Progressiva AdaptiveSun|Surfaçada|SmartLife Superb AdaptiveSun|AdaptiveSun|1.67|1.67|DuraVision Silver UV|-10.00 a +8.00
-12.00 a +8.00|-4.00
-6.00|0.75 a 3.50|70/75
65/70|||53</x:v>
      </x:c>
    </x:row>
    <x:row r="3061">
      <x:c r="A3061" s="24" t="str">
        <x:v>ZS-C3FFFDE84793</x:v>
      </x:c>
      <x:c r="B3061" s="24" t="str">
        <x:v>ZEISS</x:v>
      </x:c>
      <x:c r="C3061" s="24" t="str">
        <x:v>Progressiva AdaptiveSun</x:v>
      </x:c>
      <x:c r="D3061" s="24" t="str">
        <x:v>Surfaçada</x:v>
      </x:c>
      <x:c r="E3061" s="24" t="str">
        <x:v>SmartLife Superb AdaptiveSun</x:v>
      </x:c>
      <x:c r="F3061" s="24" t="str">
        <x:v>AdaptiveSun</x:v>
      </x:c>
      <x:c r="G3061" s="24" t="str">
        <x:v>1.67</x:v>
      </x:c>
      <x:c r="H3061" s="24" t="str">
        <x:v>1.67</x:v>
      </x:c>
      <x:c r="I3061" s="24" t="str">
        <x:v>DuraVision Chrome UV</x:v>
      </x:c>
      <x:c r="J3061" s="40" t="n">
        <x:v>10700</x:v>
      </x:c>
      <x:c r="K3061" s="24" t="str">
        <x:v>-10.00 a +8.00
-12.00 a +8.00</x:v>
      </x:c>
      <x:c r="L3061" s="24" t="str">
        <x:v>-4.00
-6.00</x:v>
      </x:c>
      <x:c r="M3061" s="24" t="str">
        <x:v>0.75 a 3.50</x:v>
      </x:c>
      <x:c r="N3061" s="24" t="str">
        <x:v>70/75
65/70</x:v>
      </x:c>
      <x:c r="O3061" s="24"/>
      <x:c r="P3061" s="24"/>
      <x:c r="Q3061" s="24" t="str">
        <x:v>DISPONÍVEL</x:v>
      </x:c>
      <x:c r="R3061" s="24" t="str">
        <x:v>Programa de Parcerias ZEISS — categoria Experts</x:v>
      </x:c>
      <x:c r="S3061" s="24" t="n">
        <x:v>53</x:v>
      </x:c>
      <x:c r="T3061" s="24" t="str">
        <x:v>tabela_zeiss.pdf</x:v>
      </x:c>
      <x:c r="U3061" s="24" t="str">
        <x:v>ZEISS|Progressiva AdaptiveSun|Surfaçada|SmartLife Superb AdaptiveSun|AdaptiveSun|1.67|1.67|DuraVision Chrome UV|-10.00 a +8.00
-12.00 a +8.00|-4.00
-6.00|0.75 a 3.50|70/75
65/70|||53</x:v>
      </x:c>
    </x:row>
    <x:row r="3062">
      <x:c r="A3062" s="24" t="str">
        <x:v>ZS-C0F66964E778</x:v>
      </x:c>
      <x:c r="B3062" s="24" t="str">
        <x:v>ZEISS</x:v>
      </x:c>
      <x:c r="C3062" s="24" t="str">
        <x:v>Progressiva AdaptiveSun</x:v>
      </x:c>
      <x:c r="D3062" s="24" t="str">
        <x:v>Surfaçada</x:v>
      </x:c>
      <x:c r="E3062" s="24" t="str">
        <x:v>SmartLife Superb AdaptiveSun</x:v>
      </x:c>
      <x:c r="F3062" s="24" t="str">
        <x:v>AdaptiveSun</x:v>
      </x:c>
      <x:c r="G3062" s="24" t="str">
        <x:v>1.67</x:v>
      </x:c>
      <x:c r="H3062" s="24" t="str">
        <x:v>1.67</x:v>
      </x:c>
      <x:c r="I3062" s="24" t="str">
        <x:v>Sem AR</x:v>
      </x:c>
      <x:c r="J3062" s="40" t="n">
        <x:v>10300</x:v>
      </x:c>
      <x:c r="K3062" s="24" t="str">
        <x:v>-10.00 a +8.00
-12.00 a +8.00</x:v>
      </x:c>
      <x:c r="L3062" s="24" t="str">
        <x:v>-4.00
-6.00</x:v>
      </x:c>
      <x:c r="M3062" s="24" t="str">
        <x:v>0.75 a 3.50</x:v>
      </x:c>
      <x:c r="N3062" s="24" t="str">
        <x:v>70/75
65/70</x:v>
      </x:c>
      <x:c r="O3062" s="24"/>
      <x:c r="P3062" s="24"/>
      <x:c r="Q3062" s="24" t="str">
        <x:v>DISPONÍVEL</x:v>
      </x:c>
      <x:c r="R3062" s="24" t="str">
        <x:v>Programa de Parcerias ZEISS — categoria Experts</x:v>
      </x:c>
      <x:c r="S3062" s="24" t="n">
        <x:v>53</x:v>
      </x:c>
      <x:c r="T3062" s="24" t="str">
        <x:v>tabela_zeiss.pdf</x:v>
      </x:c>
      <x:c r="U3062" s="24" t="str">
        <x:v>ZEISS|Progressiva AdaptiveSun|Surfaçada|SmartLife Superb AdaptiveSun|AdaptiveSun|1.67|1.67|Sem AR|-10.00 a +8.00
-12.00 a +8.00|-4.00
-6.00|0.75 a 3.50|70/75
65/70|||53</x:v>
      </x:c>
    </x:row>
    <x:row r="3063">
      <x:c r="A3063" s="24" t="str">
        <x:v>ZS-E0E8FDBD40BF</x:v>
      </x:c>
      <x:c r="B3063" s="24" t="str">
        <x:v>ZEISS</x:v>
      </x:c>
      <x:c r="C3063" s="24" t="str">
        <x:v>Progressiva AdaptiveSun</x:v>
      </x:c>
      <x:c r="D3063" s="24" t="str">
        <x:v>Surfaçada</x:v>
      </x:c>
      <x:c r="E3063" s="24" t="str">
        <x:v>SmartLife Plus AdaptiveSun</x:v>
      </x:c>
      <x:c r="F3063" s="24" t="str">
        <x:v>AdaptiveSun</x:v>
      </x:c>
      <x:c r="G3063" s="24" t="str">
        <x:v>1.5</x:v>
      </x:c>
      <x:c r="H3063" s="24" t="str">
        <x:v>1.50</x:v>
      </x:c>
      <x:c r="I3063" s="24" t="str">
        <x:v>DuraVision Platinum UV</x:v>
      </x:c>
      <x:c r="J3063" s="40" t="n">
        <x:v>7560</x:v>
      </x:c>
      <x:c r="K3063" s="24" t="str">
        <x:v>-6.00 a +4.00
-7.00 a +5.00</x:v>
      </x:c>
      <x:c r="L3063" s="24" t="str">
        <x:v>-4.00</x:v>
      </x:c>
      <x:c r="M3063" s="24" t="str">
        <x:v>0.75 a 3.50</x:v>
      </x:c>
      <x:c r="N3063" s="24" t="str">
        <x:v>75/80
70/75</x:v>
      </x:c>
      <x:c r="O3063" s="24"/>
      <x:c r="P3063" s="24"/>
      <x:c r="Q3063" s="24" t="str">
        <x:v>DISPONÍVEL</x:v>
      </x:c>
      <x:c r="R3063" s="24" t="str">
        <x:v>Programa de Parcerias ZEISS — categoria Experts</x:v>
      </x:c>
      <x:c r="S3063" s="24" t="n">
        <x:v>53</x:v>
      </x:c>
      <x:c r="T3063" s="24" t="str">
        <x:v>tabela_zeiss.pdf</x:v>
      </x:c>
      <x:c r="U3063" s="24" t="str">
        <x:v>ZEISS|Progressiva AdaptiveSun|Surfaçada|SmartLife Plus AdaptiveSun|AdaptiveSun|1.5|1.50|DuraVision Platinum UV|-6.00 a +4.00
-7.00 a +5.00|-4.00|0.75 a 3.50|75/80
70/75|||53</x:v>
      </x:c>
    </x:row>
    <x:row r="3064">
      <x:c r="A3064" s="24" t="str">
        <x:v>ZS-77DF213516BB</x:v>
      </x:c>
      <x:c r="B3064" s="24" t="str">
        <x:v>ZEISS</x:v>
      </x:c>
      <x:c r="C3064" s="24" t="str">
        <x:v>Progressiva AdaptiveSun</x:v>
      </x:c>
      <x:c r="D3064" s="24" t="str">
        <x:v>Surfaçada</x:v>
      </x:c>
      <x:c r="E3064" s="24" t="str">
        <x:v>SmartLife Plus AdaptiveSun</x:v>
      </x:c>
      <x:c r="F3064" s="24" t="str">
        <x:v>AdaptiveSun</x:v>
      </x:c>
      <x:c r="G3064" s="24" t="str">
        <x:v>1.5</x:v>
      </x:c>
      <x:c r="H3064" s="24" t="str">
        <x:v>1.50</x:v>
      </x:c>
      <x:c r="I3064" s="24" t="str">
        <x:v>DuraVision Silver UV</x:v>
      </x:c>
      <x:c r="J3064" s="40" t="n">
        <x:v>7300</x:v>
      </x:c>
      <x:c r="K3064" s="24" t="str">
        <x:v>-6.00 a +4.00
-7.00 a +5.00</x:v>
      </x:c>
      <x:c r="L3064" s="24" t="str">
        <x:v>-4.00</x:v>
      </x:c>
      <x:c r="M3064" s="24" t="str">
        <x:v>0.75 a 3.50</x:v>
      </x:c>
      <x:c r="N3064" s="24" t="str">
        <x:v>75/80
70/75</x:v>
      </x:c>
      <x:c r="O3064" s="24"/>
      <x:c r="P3064" s="24"/>
      <x:c r="Q3064" s="24" t="str">
        <x:v>DISPONÍVEL</x:v>
      </x:c>
      <x:c r="R3064" s="24" t="str">
        <x:v>Programa de Parcerias ZEISS — categoria Experts</x:v>
      </x:c>
      <x:c r="S3064" s="24" t="n">
        <x:v>53</x:v>
      </x:c>
      <x:c r="T3064" s="24" t="str">
        <x:v>tabela_zeiss.pdf</x:v>
      </x:c>
      <x:c r="U3064" s="24" t="str">
        <x:v>ZEISS|Progressiva AdaptiveSun|Surfaçada|SmartLife Plus AdaptiveSun|AdaptiveSun|1.5|1.50|DuraVision Silver UV|-6.00 a +4.00
-7.00 a +5.00|-4.00|0.75 a 3.50|75/80
70/75|||53</x:v>
      </x:c>
    </x:row>
    <x:row r="3065">
      <x:c r="A3065" s="24" t="str">
        <x:v>ZS-6B92D9AE8ACE</x:v>
      </x:c>
      <x:c r="B3065" s="24" t="str">
        <x:v>ZEISS</x:v>
      </x:c>
      <x:c r="C3065" s="24" t="str">
        <x:v>Progressiva AdaptiveSun</x:v>
      </x:c>
      <x:c r="D3065" s="24" t="str">
        <x:v>Surfaçada</x:v>
      </x:c>
      <x:c r="E3065" s="24" t="str">
        <x:v>SmartLife Plus AdaptiveSun</x:v>
      </x:c>
      <x:c r="F3065" s="24" t="str">
        <x:v>AdaptiveSun</x:v>
      </x:c>
      <x:c r="G3065" s="24" t="str">
        <x:v>1.5</x:v>
      </x:c>
      <x:c r="H3065" s="24" t="str">
        <x:v>1.50</x:v>
      </x:c>
      <x:c r="I3065" s="24" t="str">
        <x:v>DuraVision Chrome UV</x:v>
      </x:c>
      <x:c r="J3065" s="40" t="n">
        <x:v>6810</x:v>
      </x:c>
      <x:c r="K3065" s="24" t="str">
        <x:v>-6.00 a +4.00
-7.00 a +5.00</x:v>
      </x:c>
      <x:c r="L3065" s="24" t="str">
        <x:v>-4.00</x:v>
      </x:c>
      <x:c r="M3065" s="24" t="str">
        <x:v>0.75 a 3.50</x:v>
      </x:c>
      <x:c r="N3065" s="24" t="str">
        <x:v>75/80
70/75</x:v>
      </x:c>
      <x:c r="O3065" s="24"/>
      <x:c r="P3065" s="24"/>
      <x:c r="Q3065" s="24" t="str">
        <x:v>DISPONÍVEL</x:v>
      </x:c>
      <x:c r="R3065" s="24" t="str">
        <x:v>Programa de Parcerias ZEISS — categoria Experts</x:v>
      </x:c>
      <x:c r="S3065" s="24" t="n">
        <x:v>53</x:v>
      </x:c>
      <x:c r="T3065" s="24" t="str">
        <x:v>tabela_zeiss.pdf</x:v>
      </x:c>
      <x:c r="U3065" s="24" t="str">
        <x:v>ZEISS|Progressiva AdaptiveSun|Surfaçada|SmartLife Plus AdaptiveSun|AdaptiveSun|1.5|1.50|DuraVision Chrome UV|-6.00 a +4.00
-7.00 a +5.00|-4.00|0.75 a 3.50|75/80
70/75|||53</x:v>
      </x:c>
    </x:row>
    <x:row r="3066">
      <x:c r="A3066" s="24" t="str">
        <x:v>ZS-14B6EA7B5130</x:v>
      </x:c>
      <x:c r="B3066" s="24" t="str">
        <x:v>ZEISS</x:v>
      </x:c>
      <x:c r="C3066" s="24" t="str">
        <x:v>Progressiva AdaptiveSun</x:v>
      </x:c>
      <x:c r="D3066" s="24" t="str">
        <x:v>Surfaçada</x:v>
      </x:c>
      <x:c r="E3066" s="24" t="str">
        <x:v>SmartLife Plus AdaptiveSun</x:v>
      </x:c>
      <x:c r="F3066" s="24" t="str">
        <x:v>AdaptiveSun</x:v>
      </x:c>
      <x:c r="G3066" s="24" t="str">
        <x:v>1.5</x:v>
      </x:c>
      <x:c r="H3066" s="24" t="str">
        <x:v>1.50</x:v>
      </x:c>
      <x:c r="I3066" s="24" t="str">
        <x:v>Sem AR</x:v>
      </x:c>
      <x:c r="J3066" s="40" t="n">
        <x:v>6410</x:v>
      </x:c>
      <x:c r="K3066" s="24" t="str">
        <x:v>-6.00 a +4.00
-7.00 a +5.00</x:v>
      </x:c>
      <x:c r="L3066" s="24" t="str">
        <x:v>-4.00</x:v>
      </x:c>
      <x:c r="M3066" s="24" t="str">
        <x:v>0.75 a 3.50</x:v>
      </x:c>
      <x:c r="N3066" s="24" t="str">
        <x:v>75/80
70/75</x:v>
      </x:c>
      <x:c r="O3066" s="24"/>
      <x:c r="P3066" s="24"/>
      <x:c r="Q3066" s="24" t="str">
        <x:v>DISPONÍVEL</x:v>
      </x:c>
      <x:c r="R3066" s="24" t="str">
        <x:v>Programa de Parcerias ZEISS — categoria Experts</x:v>
      </x:c>
      <x:c r="S3066" s="24" t="n">
        <x:v>53</x:v>
      </x:c>
      <x:c r="T3066" s="24" t="str">
        <x:v>tabela_zeiss.pdf</x:v>
      </x:c>
      <x:c r="U3066" s="24" t="str">
        <x:v>ZEISS|Progressiva AdaptiveSun|Surfaçada|SmartLife Plus AdaptiveSun|AdaptiveSun|1.5|1.50|Sem AR|-6.00 a +4.00
-7.00 a +5.00|-4.00|0.75 a 3.50|75/80
70/75|||53</x:v>
      </x:c>
    </x:row>
    <x:row r="3067">
      <x:c r="A3067" s="24" t="str">
        <x:v>ZS-3338B4853634</x:v>
      </x:c>
      <x:c r="B3067" s="24" t="str">
        <x:v>ZEISS</x:v>
      </x:c>
      <x:c r="C3067" s="24" t="str">
        <x:v>Progressiva AdaptiveSun</x:v>
      </x:c>
      <x:c r="D3067" s="24" t="str">
        <x:v>Surfaçada</x:v>
      </x:c>
      <x:c r="E3067" s="24" t="str">
        <x:v>SmartLife Plus AdaptiveSun</x:v>
      </x:c>
      <x:c r="F3067" s="24" t="str">
        <x:v>AdaptiveSun</x:v>
      </x:c>
      <x:c r="G3067" s="24" t="str">
        <x:v>1.6</x:v>
      </x:c>
      <x:c r="H3067" s="24" t="str">
        <x:v>1.60</x:v>
      </x:c>
      <x:c r="I3067" s="24" t="str">
        <x:v>DuraVision Platinum UV</x:v>
      </x:c>
      <x:c r="J3067" s="40" t="n">
        <x:v>8810</x:v>
      </x:c>
      <x:c r="K3067" s="24" t="str">
        <x:v>-5.00 a +6.00
-10.00 a +6.00</x:v>
      </x:c>
      <x:c r="L3067" s="24" t="str">
        <x:v>-4.00
-6.00</x:v>
      </x:c>
      <x:c r="M3067" s="24" t="str">
        <x:v>0.75 a 4.00</x:v>
      </x:c>
      <x:c r="N3067" s="24" t="str">
        <x:v>75/80
70/75</x:v>
      </x:c>
      <x:c r="O3067" s="24"/>
      <x:c r="P3067" s="24"/>
      <x:c r="Q3067" s="24" t="str">
        <x:v>DISPONÍVEL</x:v>
      </x:c>
      <x:c r="R3067" s="24" t="str">
        <x:v>Programa de Parcerias ZEISS — categoria Experts</x:v>
      </x:c>
      <x:c r="S3067" s="24" t="n">
        <x:v>53</x:v>
      </x:c>
      <x:c r="T3067" s="24" t="str">
        <x:v>tabela_zeiss.pdf</x:v>
      </x:c>
      <x:c r="U3067" s="24" t="str">
        <x:v>ZEISS|Progressiva AdaptiveSun|Surfaçada|SmartLife Plus AdaptiveSun|AdaptiveSun|1.6|1.60|DuraVision Platinum UV|-5.00 a +6.00
-10.00 a +6.00|-4.00
-6.00|0.75 a 4.00|75/80
70/75|||53</x:v>
      </x:c>
    </x:row>
    <x:row r="3068">
      <x:c r="A3068" s="24" t="str">
        <x:v>ZS-B8560BEDEC72</x:v>
      </x:c>
      <x:c r="B3068" s="24" t="str">
        <x:v>ZEISS</x:v>
      </x:c>
      <x:c r="C3068" s="24" t="str">
        <x:v>Progressiva AdaptiveSun</x:v>
      </x:c>
      <x:c r="D3068" s="24" t="str">
        <x:v>Surfaçada</x:v>
      </x:c>
      <x:c r="E3068" s="24" t="str">
        <x:v>SmartLife Plus AdaptiveSun</x:v>
      </x:c>
      <x:c r="F3068" s="24" t="str">
        <x:v>AdaptiveSun</x:v>
      </x:c>
      <x:c r="G3068" s="24" t="str">
        <x:v>1.6</x:v>
      </x:c>
      <x:c r="H3068" s="24" t="str">
        <x:v>1.60</x:v>
      </x:c>
      <x:c r="I3068" s="24" t="str">
        <x:v>DuraVision Silver UV</x:v>
      </x:c>
      <x:c r="J3068" s="40" t="n">
        <x:v>8550</x:v>
      </x:c>
      <x:c r="K3068" s="24" t="str">
        <x:v>-5.00 a +6.00
-10.00 a +6.00</x:v>
      </x:c>
      <x:c r="L3068" s="24" t="str">
        <x:v>-4.00
-6.00</x:v>
      </x:c>
      <x:c r="M3068" s="24" t="str">
        <x:v>0.75 a 4.00</x:v>
      </x:c>
      <x:c r="N3068" s="24" t="str">
        <x:v>75/80
70/75</x:v>
      </x:c>
      <x:c r="O3068" s="24"/>
      <x:c r="P3068" s="24"/>
      <x:c r="Q3068" s="24" t="str">
        <x:v>DISPONÍVEL</x:v>
      </x:c>
      <x:c r="R3068" s="24" t="str">
        <x:v>Programa de Parcerias ZEISS — categoria Experts</x:v>
      </x:c>
      <x:c r="S3068" s="24" t="n">
        <x:v>53</x:v>
      </x:c>
      <x:c r="T3068" s="24" t="str">
        <x:v>tabela_zeiss.pdf</x:v>
      </x:c>
      <x:c r="U3068" s="24" t="str">
        <x:v>ZEISS|Progressiva AdaptiveSun|Surfaçada|SmartLife Plus AdaptiveSun|AdaptiveSun|1.6|1.60|DuraVision Silver UV|-5.00 a +6.00
-10.00 a +6.00|-4.00
-6.00|0.75 a 4.00|75/80
70/75|||53</x:v>
      </x:c>
    </x:row>
    <x:row r="3069">
      <x:c r="A3069" s="24" t="str">
        <x:v>ZS-2F5704632CA4</x:v>
      </x:c>
      <x:c r="B3069" s="24" t="str">
        <x:v>ZEISS</x:v>
      </x:c>
      <x:c r="C3069" s="24" t="str">
        <x:v>Progressiva AdaptiveSun</x:v>
      </x:c>
      <x:c r="D3069" s="24" t="str">
        <x:v>Surfaçada</x:v>
      </x:c>
      <x:c r="E3069" s="24" t="str">
        <x:v>SmartLife Plus AdaptiveSun</x:v>
      </x:c>
      <x:c r="F3069" s="24" t="str">
        <x:v>AdaptiveSun</x:v>
      </x:c>
      <x:c r="G3069" s="24" t="str">
        <x:v>1.6</x:v>
      </x:c>
      <x:c r="H3069" s="24" t="str">
        <x:v>1.60</x:v>
      </x:c>
      <x:c r="I3069" s="24" t="str">
        <x:v>DuraVision Chrome UV</x:v>
      </x:c>
      <x:c r="J3069" s="40" t="n">
        <x:v>8060</x:v>
      </x:c>
      <x:c r="K3069" s="24" t="str">
        <x:v>-5.00 a +6.00
-10.00 a +6.00</x:v>
      </x:c>
      <x:c r="L3069" s="24" t="str">
        <x:v>-4.00
-6.00</x:v>
      </x:c>
      <x:c r="M3069" s="24" t="str">
        <x:v>0.75 a 4.00</x:v>
      </x:c>
      <x:c r="N3069" s="24" t="str">
        <x:v>75/80
70/75</x:v>
      </x:c>
      <x:c r="O3069" s="24"/>
      <x:c r="P3069" s="24"/>
      <x:c r="Q3069" s="24" t="str">
        <x:v>DISPONÍVEL</x:v>
      </x:c>
      <x:c r="R3069" s="24" t="str">
        <x:v>Programa de Parcerias ZEISS — categoria Experts</x:v>
      </x:c>
      <x:c r="S3069" s="24" t="n">
        <x:v>53</x:v>
      </x:c>
      <x:c r="T3069" s="24" t="str">
        <x:v>tabela_zeiss.pdf</x:v>
      </x:c>
      <x:c r="U3069" s="24" t="str">
        <x:v>ZEISS|Progressiva AdaptiveSun|Surfaçada|SmartLife Plus AdaptiveSun|AdaptiveSun|1.6|1.60|DuraVision Chrome UV|-5.00 a +6.00
-10.00 a +6.00|-4.00
-6.00|0.75 a 4.00|75/80
70/75|||53</x:v>
      </x:c>
    </x:row>
    <x:row r="3070">
      <x:c r="A3070" s="24" t="str">
        <x:v>ZS-82EFBC6DD646</x:v>
      </x:c>
      <x:c r="B3070" s="24" t="str">
        <x:v>ZEISS</x:v>
      </x:c>
      <x:c r="C3070" s="24" t="str">
        <x:v>Progressiva AdaptiveSun</x:v>
      </x:c>
      <x:c r="D3070" s="24" t="str">
        <x:v>Surfaçada</x:v>
      </x:c>
      <x:c r="E3070" s="24" t="str">
        <x:v>SmartLife Plus AdaptiveSun</x:v>
      </x:c>
      <x:c r="F3070" s="24" t="str">
        <x:v>AdaptiveSun</x:v>
      </x:c>
      <x:c r="G3070" s="24" t="str">
        <x:v>1.6</x:v>
      </x:c>
      <x:c r="H3070" s="24" t="str">
        <x:v>1.60</x:v>
      </x:c>
      <x:c r="I3070" s="24" t="str">
        <x:v>Sem AR</x:v>
      </x:c>
      <x:c r="J3070" s="40" t="n">
        <x:v>7660</x:v>
      </x:c>
      <x:c r="K3070" s="24" t="str">
        <x:v>-5.00 a +6.00
-10.00 a +6.00</x:v>
      </x:c>
      <x:c r="L3070" s="24" t="str">
        <x:v>-4.00
-6.00</x:v>
      </x:c>
      <x:c r="M3070" s="24" t="str">
        <x:v>0.75 a 4.00</x:v>
      </x:c>
      <x:c r="N3070" s="24" t="str">
        <x:v>75/80
70/75</x:v>
      </x:c>
      <x:c r="O3070" s="24"/>
      <x:c r="P3070" s="24"/>
      <x:c r="Q3070" s="24" t="str">
        <x:v>DISPONÍVEL</x:v>
      </x:c>
      <x:c r="R3070" s="24" t="str">
        <x:v>Programa de Parcerias ZEISS — categoria Experts</x:v>
      </x:c>
      <x:c r="S3070" s="24" t="n">
        <x:v>53</x:v>
      </x:c>
      <x:c r="T3070" s="24" t="str">
        <x:v>tabela_zeiss.pdf</x:v>
      </x:c>
      <x:c r="U3070" s="24" t="str">
        <x:v>ZEISS|Progressiva AdaptiveSun|Surfaçada|SmartLife Plus AdaptiveSun|AdaptiveSun|1.6|1.60|Sem AR|-5.00 a +6.00
-10.00 a +6.00|-4.00
-6.00|0.75 a 4.00|75/80
70/75|||53</x:v>
      </x:c>
    </x:row>
    <x:row r="3071">
      <x:c r="A3071" s="24" t="str">
        <x:v>ZS-7EF57954C6FE</x:v>
      </x:c>
      <x:c r="B3071" s="24" t="str">
        <x:v>ZEISS</x:v>
      </x:c>
      <x:c r="C3071" s="24" t="str">
        <x:v>Progressiva AdaptiveSun</x:v>
      </x:c>
      <x:c r="D3071" s="24" t="str">
        <x:v>Surfaçada</x:v>
      </x:c>
      <x:c r="E3071" s="24" t="str">
        <x:v>SmartLife Plus AdaptiveSun</x:v>
      </x:c>
      <x:c r="F3071" s="24" t="str">
        <x:v>AdaptiveSun</x:v>
      </x:c>
      <x:c r="G3071" s="24" t="str">
        <x:v>1.67</x:v>
      </x:c>
      <x:c r="H3071" s="24" t="str">
        <x:v>1.67</x:v>
      </x:c>
      <x:c r="I3071" s="24" t="str">
        <x:v>DuraVision Platinum UV</x:v>
      </x:c>
      <x:c r="J3071" s="40" t="n">
        <x:v>10450</x:v>
      </x:c>
      <x:c r="K3071" s="24" t="str">
        <x:v>-10.00 a +8.00
-12.00 a +8.00</x:v>
      </x:c>
      <x:c r="L3071" s="24" t="str">
        <x:v>-4.00
-6.00</x:v>
      </x:c>
      <x:c r="M3071" s="24" t="str">
        <x:v>0.75 a 3.50</x:v>
      </x:c>
      <x:c r="N3071" s="24" t="str">
        <x:v>70/75
65/70</x:v>
      </x:c>
      <x:c r="O3071" s="24"/>
      <x:c r="P3071" s="24"/>
      <x:c r="Q3071" s="24" t="str">
        <x:v>DISPONÍVEL</x:v>
      </x:c>
      <x:c r="R3071" s="24" t="str">
        <x:v>Programa de Parcerias ZEISS — categoria Experts</x:v>
      </x:c>
      <x:c r="S3071" s="24" t="n">
        <x:v>53</x:v>
      </x:c>
      <x:c r="T3071" s="24" t="str">
        <x:v>tabela_zeiss.pdf</x:v>
      </x:c>
      <x:c r="U3071" s="24" t="str">
        <x:v>ZEISS|Progressiva AdaptiveSun|Surfaçada|SmartLife Plus AdaptiveSun|AdaptiveSun|1.67|1.67|DuraVision Platinum UV|-10.00 a +8.00
-12.00 a +8.00|-4.00
-6.00|0.75 a 3.50|70/75
65/70|||53</x:v>
      </x:c>
    </x:row>
    <x:row r="3072">
      <x:c r="A3072" s="24" t="str">
        <x:v>ZS-F51C65C94C32</x:v>
      </x:c>
      <x:c r="B3072" s="24" t="str">
        <x:v>ZEISS</x:v>
      </x:c>
      <x:c r="C3072" s="24" t="str">
        <x:v>Progressiva AdaptiveSun</x:v>
      </x:c>
      <x:c r="D3072" s="24" t="str">
        <x:v>Surfaçada</x:v>
      </x:c>
      <x:c r="E3072" s="24" t="str">
        <x:v>SmartLife Plus AdaptiveSun</x:v>
      </x:c>
      <x:c r="F3072" s="24" t="str">
        <x:v>AdaptiveSun</x:v>
      </x:c>
      <x:c r="G3072" s="24" t="str">
        <x:v>1.67</x:v>
      </x:c>
      <x:c r="H3072" s="24" t="str">
        <x:v>1.67</x:v>
      </x:c>
      <x:c r="I3072" s="24" t="str">
        <x:v>DuraVision Silver UV</x:v>
      </x:c>
      <x:c r="J3072" s="40" t="n">
        <x:v>10190</x:v>
      </x:c>
      <x:c r="K3072" s="24" t="str">
        <x:v>-10.00 a +8.00
-12.00 a +8.00</x:v>
      </x:c>
      <x:c r="L3072" s="24" t="str">
        <x:v>-4.00
-6.00</x:v>
      </x:c>
      <x:c r="M3072" s="24" t="str">
        <x:v>0.75 a 3.50</x:v>
      </x:c>
      <x:c r="N3072" s="24" t="str">
        <x:v>70/75
65/70</x:v>
      </x:c>
      <x:c r="O3072" s="24"/>
      <x:c r="P3072" s="24"/>
      <x:c r="Q3072" s="24" t="str">
        <x:v>DISPONÍVEL</x:v>
      </x:c>
      <x:c r="R3072" s="24" t="str">
        <x:v>Programa de Parcerias ZEISS — categoria Experts</x:v>
      </x:c>
      <x:c r="S3072" s="24" t="n">
        <x:v>53</x:v>
      </x:c>
      <x:c r="T3072" s="24" t="str">
        <x:v>tabela_zeiss.pdf</x:v>
      </x:c>
      <x:c r="U3072" s="24" t="str">
        <x:v>ZEISS|Progressiva AdaptiveSun|Surfaçada|SmartLife Plus AdaptiveSun|AdaptiveSun|1.67|1.67|DuraVision Silver UV|-10.00 a +8.00
-12.00 a +8.00|-4.00
-6.00|0.75 a 3.50|70/75
65/70|||53</x:v>
      </x:c>
    </x:row>
    <x:row r="3073">
      <x:c r="A3073" s="24" t="str">
        <x:v>ZS-385481975AE8</x:v>
      </x:c>
      <x:c r="B3073" s="24" t="str">
        <x:v>ZEISS</x:v>
      </x:c>
      <x:c r="C3073" s="24" t="str">
        <x:v>Progressiva AdaptiveSun</x:v>
      </x:c>
      <x:c r="D3073" s="24" t="str">
        <x:v>Surfaçada</x:v>
      </x:c>
      <x:c r="E3073" s="24" t="str">
        <x:v>SmartLife Plus AdaptiveSun</x:v>
      </x:c>
      <x:c r="F3073" s="24" t="str">
        <x:v>AdaptiveSun</x:v>
      </x:c>
      <x:c r="G3073" s="24" t="str">
        <x:v>1.67</x:v>
      </x:c>
      <x:c r="H3073" s="24" t="str">
        <x:v>1.67</x:v>
      </x:c>
      <x:c r="I3073" s="24" t="str">
        <x:v>DuraVision Chrome UV</x:v>
      </x:c>
      <x:c r="J3073" s="40" t="n">
        <x:v>9700</x:v>
      </x:c>
      <x:c r="K3073" s="24" t="str">
        <x:v>-10.00 a +8.00
-12.00 a +8.00</x:v>
      </x:c>
      <x:c r="L3073" s="24" t="str">
        <x:v>-4.00
-6.00</x:v>
      </x:c>
      <x:c r="M3073" s="24" t="str">
        <x:v>0.75 a 3.50</x:v>
      </x:c>
      <x:c r="N3073" s="24" t="str">
        <x:v>70/75
65/70</x:v>
      </x:c>
      <x:c r="O3073" s="24"/>
      <x:c r="P3073" s="24"/>
      <x:c r="Q3073" s="24" t="str">
        <x:v>DISPONÍVEL</x:v>
      </x:c>
      <x:c r="R3073" s="24" t="str">
        <x:v>Programa de Parcerias ZEISS — categoria Experts</x:v>
      </x:c>
      <x:c r="S3073" s="24" t="n">
        <x:v>53</x:v>
      </x:c>
      <x:c r="T3073" s="24" t="str">
        <x:v>tabela_zeiss.pdf</x:v>
      </x:c>
      <x:c r="U3073" s="24" t="str">
        <x:v>ZEISS|Progressiva AdaptiveSun|Surfaçada|SmartLife Plus AdaptiveSun|AdaptiveSun|1.67|1.67|DuraVision Chrome UV|-10.00 a +8.00
-12.00 a +8.00|-4.00
-6.00|0.75 a 3.50|70/75
65/70|||53</x:v>
      </x:c>
    </x:row>
    <x:row r="3074">
      <x:c r="A3074" s="24" t="str">
        <x:v>ZS-BE67EECF66EF</x:v>
      </x:c>
      <x:c r="B3074" s="24" t="str">
        <x:v>ZEISS</x:v>
      </x:c>
      <x:c r="C3074" s="24" t="str">
        <x:v>Progressiva AdaptiveSun</x:v>
      </x:c>
      <x:c r="D3074" s="24" t="str">
        <x:v>Surfaçada</x:v>
      </x:c>
      <x:c r="E3074" s="24" t="str">
        <x:v>SmartLife Plus AdaptiveSun</x:v>
      </x:c>
      <x:c r="F3074" s="24" t="str">
        <x:v>AdaptiveSun</x:v>
      </x:c>
      <x:c r="G3074" s="24" t="str">
        <x:v>1.67</x:v>
      </x:c>
      <x:c r="H3074" s="24" t="str">
        <x:v>1.67</x:v>
      </x:c>
      <x:c r="I3074" s="24" t="str">
        <x:v>Sem AR</x:v>
      </x:c>
      <x:c r="J3074" s="40" t="n">
        <x:v>9300</x:v>
      </x:c>
      <x:c r="K3074" s="24" t="str">
        <x:v>-10.00 a +8.00
-12.00 a +8.00</x:v>
      </x:c>
      <x:c r="L3074" s="24" t="str">
        <x:v>-4.00
-6.00</x:v>
      </x:c>
      <x:c r="M3074" s="24" t="str">
        <x:v>0.75 a 3.50</x:v>
      </x:c>
      <x:c r="N3074" s="24" t="str">
        <x:v>70/75
65/70</x:v>
      </x:c>
      <x:c r="O3074" s="24"/>
      <x:c r="P3074" s="24"/>
      <x:c r="Q3074" s="24" t="str">
        <x:v>DISPONÍVEL</x:v>
      </x:c>
      <x:c r="R3074" s="24" t="str">
        <x:v>Programa de Parcerias ZEISS — categoria Experts</x:v>
      </x:c>
      <x:c r="S3074" s="24" t="n">
        <x:v>53</x:v>
      </x:c>
      <x:c r="T3074" s="24" t="str">
        <x:v>tabela_zeiss.pdf</x:v>
      </x:c>
      <x:c r="U3074" s="24" t="str">
        <x:v>ZEISS|Progressiva AdaptiveSun|Surfaçada|SmartLife Plus AdaptiveSun|AdaptiveSun|1.67|1.67|Sem AR|-10.00 a +8.00
-12.00 a +8.00|-4.00
-6.00|0.75 a 3.50|70/75
65/70|||53</x:v>
      </x:c>
    </x:row>
    <x:row r="3075">
      <x:c r="A3075" s="24" t="str">
        <x:v>ZS-179196A6BA97</x:v>
      </x:c>
      <x:c r="B3075" s="24" t="str">
        <x:v>ZEISS</x:v>
      </x:c>
      <x:c r="C3075" s="24" t="str">
        <x:v>Progressiva AdaptiveSun</x:v>
      </x:c>
      <x:c r="D3075" s="24" t="str">
        <x:v>Surfaçada</x:v>
      </x:c>
      <x:c r="E3075" s="24" t="str">
        <x:v>SmartLife Pure AdaptiveSun</x:v>
      </x:c>
      <x:c r="F3075" s="24" t="str">
        <x:v>AdaptiveSun</x:v>
      </x:c>
      <x:c r="G3075" s="24" t="str">
        <x:v>1.5</x:v>
      </x:c>
      <x:c r="H3075" s="24" t="str">
        <x:v>1.50</x:v>
      </x:c>
      <x:c r="I3075" s="24" t="str">
        <x:v>DuraVision Platinum UV</x:v>
      </x:c>
      <x:c r="J3075" s="40" t="n">
        <x:v>6660</x:v>
      </x:c>
      <x:c r="K3075" s="24" t="str">
        <x:v>-6.00 a +4.00
-7.00 a +5.00</x:v>
      </x:c>
      <x:c r="L3075" s="24" t="str">
        <x:v>-4.00</x:v>
      </x:c>
      <x:c r="M3075" s="24" t="str">
        <x:v>0.75 a 3.50</x:v>
      </x:c>
      <x:c r="N3075" s="24" t="str">
        <x:v>75/80
70/75</x:v>
      </x:c>
      <x:c r="O3075" s="24"/>
      <x:c r="P3075" s="24"/>
      <x:c r="Q3075" s="24" t="str">
        <x:v>DISPONÍVEL</x:v>
      </x:c>
      <x:c r="R3075" s="24" t="str">
        <x:v>Programa de Parcerias ZEISS — categoria Experts</x:v>
      </x:c>
      <x:c r="S3075" s="24" t="n">
        <x:v>53</x:v>
      </x:c>
      <x:c r="T3075" s="24" t="str">
        <x:v>tabela_zeiss.pdf</x:v>
      </x:c>
      <x:c r="U3075" s="24" t="str">
        <x:v>ZEISS|Progressiva AdaptiveSun|Surfaçada|SmartLife Pure AdaptiveSun|AdaptiveSun|1.5|1.50|DuraVision Platinum UV|-6.00 a +4.00
-7.00 a +5.00|-4.00|0.75 a 3.50|75/80
70/75|||53</x:v>
      </x:c>
    </x:row>
    <x:row r="3076">
      <x:c r="A3076" s="24" t="str">
        <x:v>ZS-8D1C13B3D339</x:v>
      </x:c>
      <x:c r="B3076" s="24" t="str">
        <x:v>ZEISS</x:v>
      </x:c>
      <x:c r="C3076" s="24" t="str">
        <x:v>Progressiva AdaptiveSun</x:v>
      </x:c>
      <x:c r="D3076" s="24" t="str">
        <x:v>Surfaçada</x:v>
      </x:c>
      <x:c r="E3076" s="24" t="str">
        <x:v>SmartLife Pure AdaptiveSun</x:v>
      </x:c>
      <x:c r="F3076" s="24" t="str">
        <x:v>AdaptiveSun</x:v>
      </x:c>
      <x:c r="G3076" s="24" t="str">
        <x:v>1.5</x:v>
      </x:c>
      <x:c r="H3076" s="24" t="str">
        <x:v>1.50</x:v>
      </x:c>
      <x:c r="I3076" s="24" t="str">
        <x:v>DuraVision Silver UV</x:v>
      </x:c>
      <x:c r="J3076" s="40" t="n">
        <x:v>6400</x:v>
      </x:c>
      <x:c r="K3076" s="24" t="str">
        <x:v>-6.00 a +4.00
-7.00 a +5.00</x:v>
      </x:c>
      <x:c r="L3076" s="24" t="str">
        <x:v>-4.00</x:v>
      </x:c>
      <x:c r="M3076" s="24" t="str">
        <x:v>0.75 a 3.50</x:v>
      </x:c>
      <x:c r="N3076" s="24" t="str">
        <x:v>75/80
70/75</x:v>
      </x:c>
      <x:c r="O3076" s="24"/>
      <x:c r="P3076" s="24"/>
      <x:c r="Q3076" s="24" t="str">
        <x:v>DISPONÍVEL</x:v>
      </x:c>
      <x:c r="R3076" s="24" t="str">
        <x:v>Programa de Parcerias ZEISS — categoria Experts</x:v>
      </x:c>
      <x:c r="S3076" s="24" t="n">
        <x:v>53</x:v>
      </x:c>
      <x:c r="T3076" s="24" t="str">
        <x:v>tabela_zeiss.pdf</x:v>
      </x:c>
      <x:c r="U3076" s="24" t="str">
        <x:v>ZEISS|Progressiva AdaptiveSun|Surfaçada|SmartLife Pure AdaptiveSun|AdaptiveSun|1.5|1.50|DuraVision Silver UV|-6.00 a +4.00
-7.00 a +5.00|-4.00|0.75 a 3.50|75/80
70/75|||53</x:v>
      </x:c>
    </x:row>
    <x:row r="3077">
      <x:c r="A3077" s="24" t="str">
        <x:v>ZS-DF76D40EEF4A</x:v>
      </x:c>
      <x:c r="B3077" s="24" t="str">
        <x:v>ZEISS</x:v>
      </x:c>
      <x:c r="C3077" s="24" t="str">
        <x:v>Progressiva AdaptiveSun</x:v>
      </x:c>
      <x:c r="D3077" s="24" t="str">
        <x:v>Surfaçada</x:v>
      </x:c>
      <x:c r="E3077" s="24" t="str">
        <x:v>SmartLife Pure AdaptiveSun</x:v>
      </x:c>
      <x:c r="F3077" s="24" t="str">
        <x:v>AdaptiveSun</x:v>
      </x:c>
      <x:c r="G3077" s="24" t="str">
        <x:v>1.5</x:v>
      </x:c>
      <x:c r="H3077" s="24" t="str">
        <x:v>1.50</x:v>
      </x:c>
      <x:c r="I3077" s="24" t="str">
        <x:v>DuraVision Chrome UV</x:v>
      </x:c>
      <x:c r="J3077" s="40" t="n">
        <x:v>5910</x:v>
      </x:c>
      <x:c r="K3077" s="24" t="str">
        <x:v>-6.00 a +4.00
-7.00 a +5.00</x:v>
      </x:c>
      <x:c r="L3077" s="24" t="str">
        <x:v>-4.00</x:v>
      </x:c>
      <x:c r="M3077" s="24" t="str">
        <x:v>0.75 a 3.50</x:v>
      </x:c>
      <x:c r="N3077" s="24" t="str">
        <x:v>75/80
70/75</x:v>
      </x:c>
      <x:c r="O3077" s="24"/>
      <x:c r="P3077" s="24"/>
      <x:c r="Q3077" s="24" t="str">
        <x:v>DISPONÍVEL</x:v>
      </x:c>
      <x:c r="R3077" s="24" t="str">
        <x:v>Programa de Parcerias ZEISS — categoria Experts</x:v>
      </x:c>
      <x:c r="S3077" s="24" t="n">
        <x:v>53</x:v>
      </x:c>
      <x:c r="T3077" s="24" t="str">
        <x:v>tabela_zeiss.pdf</x:v>
      </x:c>
      <x:c r="U3077" s="24" t="str">
        <x:v>ZEISS|Progressiva AdaptiveSun|Surfaçada|SmartLife Pure AdaptiveSun|AdaptiveSun|1.5|1.50|DuraVision Chrome UV|-6.00 a +4.00
-7.00 a +5.00|-4.00|0.75 a 3.50|75/80
70/75|||53</x:v>
      </x:c>
    </x:row>
    <x:row r="3078">
      <x:c r="A3078" s="24" t="str">
        <x:v>ZS-B4334B574F0C</x:v>
      </x:c>
      <x:c r="B3078" s="24" t="str">
        <x:v>ZEISS</x:v>
      </x:c>
      <x:c r="C3078" s="24" t="str">
        <x:v>Progressiva AdaptiveSun</x:v>
      </x:c>
      <x:c r="D3078" s="24" t="str">
        <x:v>Surfaçada</x:v>
      </x:c>
      <x:c r="E3078" s="24" t="str">
        <x:v>SmartLife Pure AdaptiveSun</x:v>
      </x:c>
      <x:c r="F3078" s="24" t="str">
        <x:v>AdaptiveSun</x:v>
      </x:c>
      <x:c r="G3078" s="24" t="str">
        <x:v>1.5</x:v>
      </x:c>
      <x:c r="H3078" s="24" t="str">
        <x:v>1.50</x:v>
      </x:c>
      <x:c r="I3078" s="24" t="str">
        <x:v>Sem AR</x:v>
      </x:c>
      <x:c r="J3078" s="40" t="n">
        <x:v>5510</x:v>
      </x:c>
      <x:c r="K3078" s="24" t="str">
        <x:v>-6.00 a +4.00
-7.00 a +5.00</x:v>
      </x:c>
      <x:c r="L3078" s="24" t="str">
        <x:v>-4.00</x:v>
      </x:c>
      <x:c r="M3078" s="24" t="str">
        <x:v>0.75 a 3.50</x:v>
      </x:c>
      <x:c r="N3078" s="24" t="str">
        <x:v>75/80
70/75</x:v>
      </x:c>
      <x:c r="O3078" s="24"/>
      <x:c r="P3078" s="24"/>
      <x:c r="Q3078" s="24" t="str">
        <x:v>DISPONÍVEL</x:v>
      </x:c>
      <x:c r="R3078" s="24" t="str">
        <x:v>Programa de Parcerias ZEISS — categoria Experts</x:v>
      </x:c>
      <x:c r="S3078" s="24" t="n">
        <x:v>53</x:v>
      </x:c>
      <x:c r="T3078" s="24" t="str">
        <x:v>tabela_zeiss.pdf</x:v>
      </x:c>
      <x:c r="U3078" s="24" t="str">
        <x:v>ZEISS|Progressiva AdaptiveSun|Surfaçada|SmartLife Pure AdaptiveSun|AdaptiveSun|1.5|1.50|Sem AR|-6.00 a +4.00
-7.00 a +5.00|-4.00|0.75 a 3.50|75/80
70/75|||53</x:v>
      </x:c>
    </x:row>
    <x:row r="3079">
      <x:c r="A3079" s="24" t="str">
        <x:v>ZS-E7983B35B9EC</x:v>
      </x:c>
      <x:c r="B3079" s="24" t="str">
        <x:v>ZEISS</x:v>
      </x:c>
      <x:c r="C3079" s="24" t="str">
        <x:v>Progressiva AdaptiveSun</x:v>
      </x:c>
      <x:c r="D3079" s="24" t="str">
        <x:v>Surfaçada</x:v>
      </x:c>
      <x:c r="E3079" s="24" t="str">
        <x:v>SmartLife Pure AdaptiveSun</x:v>
      </x:c>
      <x:c r="F3079" s="24" t="str">
        <x:v>AdaptiveSun</x:v>
      </x:c>
      <x:c r="G3079" s="24" t="str">
        <x:v>1.6</x:v>
      </x:c>
      <x:c r="H3079" s="24" t="str">
        <x:v>1.60</x:v>
      </x:c>
      <x:c r="I3079" s="24" t="str">
        <x:v>DuraVision Platinum UV</x:v>
      </x:c>
      <x:c r="J3079" s="40" t="n">
        <x:v>7910</x:v>
      </x:c>
      <x:c r="K3079" s="24" t="str">
        <x:v>-5.00 a +6.00
-10.00 a +6.00</x:v>
      </x:c>
      <x:c r="L3079" s="24" t="str">
        <x:v>-4.00
-6.00</x:v>
      </x:c>
      <x:c r="M3079" s="24" t="str">
        <x:v>0.75 a 4.00</x:v>
      </x:c>
      <x:c r="N3079" s="24" t="str">
        <x:v>75/80
70/75</x:v>
      </x:c>
      <x:c r="O3079" s="24"/>
      <x:c r="P3079" s="24"/>
      <x:c r="Q3079" s="24" t="str">
        <x:v>DISPONÍVEL</x:v>
      </x:c>
      <x:c r="R3079" s="24" t="str">
        <x:v>Programa de Parcerias ZEISS — categoria Experts</x:v>
      </x:c>
      <x:c r="S3079" s="24" t="n">
        <x:v>53</x:v>
      </x:c>
      <x:c r="T3079" s="24" t="str">
        <x:v>tabela_zeiss.pdf</x:v>
      </x:c>
      <x:c r="U3079" s="24" t="str">
        <x:v>ZEISS|Progressiva AdaptiveSun|Surfaçada|SmartLife Pure AdaptiveSun|AdaptiveSun|1.6|1.60|DuraVision Platinum UV|-5.00 a +6.00
-10.00 a +6.00|-4.00
-6.00|0.75 a 4.00|75/80
70/75|||53</x:v>
      </x:c>
    </x:row>
    <x:row r="3080">
      <x:c r="A3080" s="24" t="str">
        <x:v>ZS-2520B9FDED03</x:v>
      </x:c>
      <x:c r="B3080" s="24" t="str">
        <x:v>ZEISS</x:v>
      </x:c>
      <x:c r="C3080" s="24" t="str">
        <x:v>Progressiva AdaptiveSun</x:v>
      </x:c>
      <x:c r="D3080" s="24" t="str">
        <x:v>Surfaçada</x:v>
      </x:c>
      <x:c r="E3080" s="24" t="str">
        <x:v>SmartLife Pure AdaptiveSun</x:v>
      </x:c>
      <x:c r="F3080" s="24" t="str">
        <x:v>AdaptiveSun</x:v>
      </x:c>
      <x:c r="G3080" s="24" t="str">
        <x:v>1.6</x:v>
      </x:c>
      <x:c r="H3080" s="24" t="str">
        <x:v>1.60</x:v>
      </x:c>
      <x:c r="I3080" s="24" t="str">
        <x:v>DuraVision Silver UV</x:v>
      </x:c>
      <x:c r="J3080" s="40" t="n">
        <x:v>7650</x:v>
      </x:c>
      <x:c r="K3080" s="24" t="str">
        <x:v>-5.00 a +6.00
-10.00 a +6.00</x:v>
      </x:c>
      <x:c r="L3080" s="24" t="str">
        <x:v>-4.00
-6.00</x:v>
      </x:c>
      <x:c r="M3080" s="24" t="str">
        <x:v>0.75 a 4.00</x:v>
      </x:c>
      <x:c r="N3080" s="24" t="str">
        <x:v>75/80
70/75</x:v>
      </x:c>
      <x:c r="O3080" s="24"/>
      <x:c r="P3080" s="24"/>
      <x:c r="Q3080" s="24" t="str">
        <x:v>DISPONÍVEL</x:v>
      </x:c>
      <x:c r="R3080" s="24" t="str">
        <x:v>Programa de Parcerias ZEISS — categoria Experts</x:v>
      </x:c>
      <x:c r="S3080" s="24" t="n">
        <x:v>53</x:v>
      </x:c>
      <x:c r="T3080" s="24" t="str">
        <x:v>tabela_zeiss.pdf</x:v>
      </x:c>
      <x:c r="U3080" s="24" t="str">
        <x:v>ZEISS|Progressiva AdaptiveSun|Surfaçada|SmartLife Pure AdaptiveSun|AdaptiveSun|1.6|1.60|DuraVision Silver UV|-5.00 a +6.00
-10.00 a +6.00|-4.00
-6.00|0.75 a 4.00|75/80
70/75|||53</x:v>
      </x:c>
    </x:row>
    <x:row r="3081">
      <x:c r="A3081" s="24" t="str">
        <x:v>ZS-5D8CD628FB28</x:v>
      </x:c>
      <x:c r="B3081" s="24" t="str">
        <x:v>ZEISS</x:v>
      </x:c>
      <x:c r="C3081" s="24" t="str">
        <x:v>Progressiva AdaptiveSun</x:v>
      </x:c>
      <x:c r="D3081" s="24" t="str">
        <x:v>Surfaçada</x:v>
      </x:c>
      <x:c r="E3081" s="24" t="str">
        <x:v>SmartLife Pure AdaptiveSun</x:v>
      </x:c>
      <x:c r="F3081" s="24" t="str">
        <x:v>AdaptiveSun</x:v>
      </x:c>
      <x:c r="G3081" s="24" t="str">
        <x:v>1.6</x:v>
      </x:c>
      <x:c r="H3081" s="24" t="str">
        <x:v>1.60</x:v>
      </x:c>
      <x:c r="I3081" s="24" t="str">
        <x:v>DuraVision Chrome UV</x:v>
      </x:c>
      <x:c r="J3081" s="40" t="n">
        <x:v>7160</x:v>
      </x:c>
      <x:c r="K3081" s="24" t="str">
        <x:v>-5.00 a +6.00
-10.00 a +6.00</x:v>
      </x:c>
      <x:c r="L3081" s="24" t="str">
        <x:v>-4.00
-6.00</x:v>
      </x:c>
      <x:c r="M3081" s="24" t="str">
        <x:v>0.75 a 4.00</x:v>
      </x:c>
      <x:c r="N3081" s="24" t="str">
        <x:v>75/80
70/75</x:v>
      </x:c>
      <x:c r="O3081" s="24"/>
      <x:c r="P3081" s="24"/>
      <x:c r="Q3081" s="24" t="str">
        <x:v>DISPONÍVEL</x:v>
      </x:c>
      <x:c r="R3081" s="24" t="str">
        <x:v>Programa de Parcerias ZEISS — categoria Experts</x:v>
      </x:c>
      <x:c r="S3081" s="24" t="n">
        <x:v>53</x:v>
      </x:c>
      <x:c r="T3081" s="24" t="str">
        <x:v>tabela_zeiss.pdf</x:v>
      </x:c>
      <x:c r="U3081" s="24" t="str">
        <x:v>ZEISS|Progressiva AdaptiveSun|Surfaçada|SmartLife Pure AdaptiveSun|AdaptiveSun|1.6|1.60|DuraVision Chrome UV|-5.00 a +6.00
-10.00 a +6.00|-4.00
-6.00|0.75 a 4.00|75/80
70/75|||53</x:v>
      </x:c>
    </x:row>
    <x:row r="3082">
      <x:c r="A3082" s="24" t="str">
        <x:v>ZS-E6C762D9AE2D</x:v>
      </x:c>
      <x:c r="B3082" s="24" t="str">
        <x:v>ZEISS</x:v>
      </x:c>
      <x:c r="C3082" s="24" t="str">
        <x:v>Progressiva AdaptiveSun</x:v>
      </x:c>
      <x:c r="D3082" s="24" t="str">
        <x:v>Surfaçada</x:v>
      </x:c>
      <x:c r="E3082" s="24" t="str">
        <x:v>SmartLife Pure AdaptiveSun</x:v>
      </x:c>
      <x:c r="F3082" s="24" t="str">
        <x:v>AdaptiveSun</x:v>
      </x:c>
      <x:c r="G3082" s="24" t="str">
        <x:v>1.6</x:v>
      </x:c>
      <x:c r="H3082" s="24" t="str">
        <x:v>1.60</x:v>
      </x:c>
      <x:c r="I3082" s="24" t="str">
        <x:v>Sem AR</x:v>
      </x:c>
      <x:c r="J3082" s="40" t="n">
        <x:v>6760</x:v>
      </x:c>
      <x:c r="K3082" s="24" t="str">
        <x:v>-5.00 a +6.00
-10.00 a +6.00</x:v>
      </x:c>
      <x:c r="L3082" s="24" t="str">
        <x:v>-4.00
-6.00</x:v>
      </x:c>
      <x:c r="M3082" s="24" t="str">
        <x:v>0.75 a 4.00</x:v>
      </x:c>
      <x:c r="N3082" s="24" t="str">
        <x:v>75/80
70/75</x:v>
      </x:c>
      <x:c r="O3082" s="24"/>
      <x:c r="P3082" s="24"/>
      <x:c r="Q3082" s="24" t="str">
        <x:v>DISPONÍVEL</x:v>
      </x:c>
      <x:c r="R3082" s="24" t="str">
        <x:v>Programa de Parcerias ZEISS — categoria Experts</x:v>
      </x:c>
      <x:c r="S3082" s="24" t="n">
        <x:v>53</x:v>
      </x:c>
      <x:c r="T3082" s="24" t="str">
        <x:v>tabela_zeiss.pdf</x:v>
      </x:c>
      <x:c r="U3082" s="24" t="str">
        <x:v>ZEISS|Progressiva AdaptiveSun|Surfaçada|SmartLife Pure AdaptiveSun|AdaptiveSun|1.6|1.60|Sem AR|-5.00 a +6.00
-10.00 a +6.00|-4.00
-6.00|0.75 a 4.00|75/80
70/75|||53</x:v>
      </x:c>
    </x:row>
    <x:row r="3083">
      <x:c r="A3083" s="24" t="str">
        <x:v>ZS-ABEC996DB75B</x:v>
      </x:c>
      <x:c r="B3083" s="24" t="str">
        <x:v>ZEISS</x:v>
      </x:c>
      <x:c r="C3083" s="24" t="str">
        <x:v>Progressiva AdaptiveSun</x:v>
      </x:c>
      <x:c r="D3083" s="24" t="str">
        <x:v>Surfaçada</x:v>
      </x:c>
      <x:c r="E3083" s="24" t="str">
        <x:v>SmartLife Pure AdaptiveSun</x:v>
      </x:c>
      <x:c r="F3083" s="24" t="str">
        <x:v>AdaptiveSun</x:v>
      </x:c>
      <x:c r="G3083" s="24" t="str">
        <x:v>1.67</x:v>
      </x:c>
      <x:c r="H3083" s="24" t="str">
        <x:v>1.67</x:v>
      </x:c>
      <x:c r="I3083" s="24" t="str">
        <x:v>DuraVision Platinum UV</x:v>
      </x:c>
      <x:c r="J3083" s="40" t="n">
        <x:v>9550</x:v>
      </x:c>
      <x:c r="K3083" s="24" t="str">
        <x:v>-10.00 a +8.00
-12.00 a +8.00</x:v>
      </x:c>
      <x:c r="L3083" s="24" t="str">
        <x:v>-4.00
-6.00</x:v>
      </x:c>
      <x:c r="M3083" s="24" t="str">
        <x:v>0.75 a 3.50</x:v>
      </x:c>
      <x:c r="N3083" s="24" t="str">
        <x:v>70/75
65/70</x:v>
      </x:c>
      <x:c r="O3083" s="24"/>
      <x:c r="P3083" s="24"/>
      <x:c r="Q3083" s="24" t="str">
        <x:v>DISPONÍVEL</x:v>
      </x:c>
      <x:c r="R3083" s="24" t="str">
        <x:v>Programa de Parcerias ZEISS — categoria Experts</x:v>
      </x:c>
      <x:c r="S3083" s="24" t="n">
        <x:v>53</x:v>
      </x:c>
      <x:c r="T3083" s="24" t="str">
        <x:v>tabela_zeiss.pdf</x:v>
      </x:c>
      <x:c r="U3083" s="24" t="str">
        <x:v>ZEISS|Progressiva AdaptiveSun|Surfaçada|SmartLife Pure AdaptiveSun|AdaptiveSun|1.67|1.67|DuraVision Platinum UV|-10.00 a +8.00
-12.00 a +8.00|-4.00
-6.00|0.75 a 3.50|70/75
65/70|||53</x:v>
      </x:c>
    </x:row>
    <x:row r="3084">
      <x:c r="A3084" s="24" t="str">
        <x:v>ZS-E60E536383C6</x:v>
      </x:c>
      <x:c r="B3084" s="24" t="str">
        <x:v>ZEISS</x:v>
      </x:c>
      <x:c r="C3084" s="24" t="str">
        <x:v>Progressiva AdaptiveSun</x:v>
      </x:c>
      <x:c r="D3084" s="24" t="str">
        <x:v>Surfaçada</x:v>
      </x:c>
      <x:c r="E3084" s="24" t="str">
        <x:v>SmartLife Pure AdaptiveSun</x:v>
      </x:c>
      <x:c r="F3084" s="24" t="str">
        <x:v>AdaptiveSun</x:v>
      </x:c>
      <x:c r="G3084" s="24" t="str">
        <x:v>1.67</x:v>
      </x:c>
      <x:c r="H3084" s="24" t="str">
        <x:v>1.67</x:v>
      </x:c>
      <x:c r="I3084" s="24" t="str">
        <x:v>DuraVision Silver UV</x:v>
      </x:c>
      <x:c r="J3084" s="40" t="n">
        <x:v>9290</x:v>
      </x:c>
      <x:c r="K3084" s="24" t="str">
        <x:v>-10.00 a +8.00
-12.00 a +8.00</x:v>
      </x:c>
      <x:c r="L3084" s="24" t="str">
        <x:v>-4.00
-6.00</x:v>
      </x:c>
      <x:c r="M3084" s="24" t="str">
        <x:v>0.75 a 3.50</x:v>
      </x:c>
      <x:c r="N3084" s="24" t="str">
        <x:v>70/75
65/70</x:v>
      </x:c>
      <x:c r="O3084" s="24"/>
      <x:c r="P3084" s="24"/>
      <x:c r="Q3084" s="24" t="str">
        <x:v>DISPONÍVEL</x:v>
      </x:c>
      <x:c r="R3084" s="24" t="str">
        <x:v>Programa de Parcerias ZEISS — categoria Experts</x:v>
      </x:c>
      <x:c r="S3084" s="24" t="n">
        <x:v>53</x:v>
      </x:c>
      <x:c r="T3084" s="24" t="str">
        <x:v>tabela_zeiss.pdf</x:v>
      </x:c>
      <x:c r="U3084" s="24" t="str">
        <x:v>ZEISS|Progressiva AdaptiveSun|Surfaçada|SmartLife Pure AdaptiveSun|AdaptiveSun|1.67|1.67|DuraVision Silver UV|-10.00 a +8.00
-12.00 a +8.00|-4.00
-6.00|0.75 a 3.50|70/75
65/70|||53</x:v>
      </x:c>
    </x:row>
    <x:row r="3085">
      <x:c r="A3085" s="24" t="str">
        <x:v>ZS-123A23B44B28</x:v>
      </x:c>
      <x:c r="B3085" s="24" t="str">
        <x:v>ZEISS</x:v>
      </x:c>
      <x:c r="C3085" s="24" t="str">
        <x:v>Progressiva AdaptiveSun</x:v>
      </x:c>
      <x:c r="D3085" s="24" t="str">
        <x:v>Surfaçada</x:v>
      </x:c>
      <x:c r="E3085" s="24" t="str">
        <x:v>SmartLife Pure AdaptiveSun</x:v>
      </x:c>
      <x:c r="F3085" s="24" t="str">
        <x:v>AdaptiveSun</x:v>
      </x:c>
      <x:c r="G3085" s="24" t="str">
        <x:v>1.67</x:v>
      </x:c>
      <x:c r="H3085" s="24" t="str">
        <x:v>1.67</x:v>
      </x:c>
      <x:c r="I3085" s="24" t="str">
        <x:v>DuraVision Chrome UV</x:v>
      </x:c>
      <x:c r="J3085" s="40" t="n">
        <x:v>8800</x:v>
      </x:c>
      <x:c r="K3085" s="24" t="str">
        <x:v>-10.00 a +8.00
-12.00 a +8.00</x:v>
      </x:c>
      <x:c r="L3085" s="24" t="str">
        <x:v>-4.00
-6.00</x:v>
      </x:c>
      <x:c r="M3085" s="24" t="str">
        <x:v>0.75 a 3.50</x:v>
      </x:c>
      <x:c r="N3085" s="24" t="str">
        <x:v>70/75
65/70</x:v>
      </x:c>
      <x:c r="O3085" s="24"/>
      <x:c r="P3085" s="24"/>
      <x:c r="Q3085" s="24" t="str">
        <x:v>DISPONÍVEL</x:v>
      </x:c>
      <x:c r="R3085" s="24" t="str">
        <x:v>Programa de Parcerias ZEISS — categoria Experts</x:v>
      </x:c>
      <x:c r="S3085" s="24" t="n">
        <x:v>53</x:v>
      </x:c>
      <x:c r="T3085" s="24" t="str">
        <x:v>tabela_zeiss.pdf</x:v>
      </x:c>
      <x:c r="U3085" s="24" t="str">
        <x:v>ZEISS|Progressiva AdaptiveSun|Surfaçada|SmartLife Pure AdaptiveSun|AdaptiveSun|1.67|1.67|DuraVision Chrome UV|-10.00 a +8.00
-12.00 a +8.00|-4.00
-6.00|0.75 a 3.50|70/75
65/70|||53</x:v>
      </x:c>
    </x:row>
    <x:row r="3086">
      <x:c r="A3086" s="24" t="str">
        <x:v>ZS-C37757C5F421</x:v>
      </x:c>
      <x:c r="B3086" s="24" t="str">
        <x:v>ZEISS</x:v>
      </x:c>
      <x:c r="C3086" s="24" t="str">
        <x:v>Progressiva AdaptiveSun</x:v>
      </x:c>
      <x:c r="D3086" s="24" t="str">
        <x:v>Surfaçada</x:v>
      </x:c>
      <x:c r="E3086" s="24" t="str">
        <x:v>SmartLife Pure AdaptiveSun</x:v>
      </x:c>
      <x:c r="F3086" s="24" t="str">
        <x:v>AdaptiveSun</x:v>
      </x:c>
      <x:c r="G3086" s="24" t="str">
        <x:v>1.67</x:v>
      </x:c>
      <x:c r="H3086" s="24" t="str">
        <x:v>1.67</x:v>
      </x:c>
      <x:c r="I3086" s="24" t="str">
        <x:v>Sem AR</x:v>
      </x:c>
      <x:c r="J3086" s="40" t="n">
        <x:v>8400</x:v>
      </x:c>
      <x:c r="K3086" s="24" t="str">
        <x:v>-10.00 a +8.00
-12.00 a +8.00</x:v>
      </x:c>
      <x:c r="L3086" s="24" t="str">
        <x:v>-4.00
-6.00</x:v>
      </x:c>
      <x:c r="M3086" s="24" t="str">
        <x:v>0.75 a 3.50</x:v>
      </x:c>
      <x:c r="N3086" s="24" t="str">
        <x:v>70/75
65/70</x:v>
      </x:c>
      <x:c r="O3086" s="24"/>
      <x:c r="P3086" s="24"/>
      <x:c r="Q3086" s="24" t="str">
        <x:v>DISPONÍVEL</x:v>
      </x:c>
      <x:c r="R3086" s="24" t="str">
        <x:v>Programa de Parcerias ZEISS — categoria Experts</x:v>
      </x:c>
      <x:c r="S3086" s="24" t="n">
        <x:v>53</x:v>
      </x:c>
      <x:c r="T3086" s="24" t="str">
        <x:v>tabela_zeiss.pdf</x:v>
      </x:c>
      <x:c r="U3086" s="24" t="str">
        <x:v>ZEISS|Progressiva AdaptiveSun|Surfaçada|SmartLife Pure AdaptiveSun|AdaptiveSun|1.67|1.67|Sem AR|-10.00 a +8.00
-12.00 a +8.00|-4.00
-6.00|0.75 a 3.50|70/75
65/70|||53</x:v>
      </x:c>
    </x:row>
    <x:row r="3087">
      <x:c r="A3087" s="24" t="str">
        <x:v>ZS-33A06BD61C7D</x:v>
      </x:c>
      <x:c r="B3087" s="24" t="str">
        <x:v>ZEISS</x:v>
      </x:c>
      <x:c r="C3087" s="24" t="str">
        <x:v>Asiana</x:v>
      </x:c>
      <x:c r="D3087" s="24" t="str">
        <x:v>Surfaçada</x:v>
      </x:c>
      <x:c r="E3087" s="24" t="str">
        <x:v>Asiana</x:v>
      </x:c>
      <x:c r="F3087" s="24" t="str">
        <x:v>Asiana</x:v>
      </x:c>
      <x:c r="G3087" s="24" t="str">
        <x:v>1.5</x:v>
      </x:c>
      <x:c r="H3087" s="24" t="str">
        <x:v>1.50</x:v>
      </x:c>
      <x:c r="I3087" s="24" t="str">
        <x:v>DuraVision Gold UV</x:v>
      </x:c>
      <x:c r="J3087" s="40" t="n">
        <x:v>2270</x:v>
      </x:c>
      <x:c r="K3087" s="24" t="str">
        <x:v>-6.00 a +6.00</x:v>
      </x:c>
      <x:c r="L3087" s="24" t="str">
        <x:v>6.00</x:v>
      </x:c>
      <x:c r="M3087" s="24" t="str">
        <x:v>0.50</x:v>
      </x:c>
      <x:c r="N3087" s="24" t="str">
        <x:v>75/80</x:v>
      </x:c>
      <x:c r="O3087" s="24"/>
      <x:c r="P3087" s="24"/>
      <x:c r="Q3087" s="24" t="str">
        <x:v>DISPONÍVEL</x:v>
      </x:c>
      <x:c r="R3087" s="24"/>
      <x:c r="S3087" s="24" t="n">
        <x:v>54</x:v>
      </x:c>
      <x:c r="T3087" s="24" t="str">
        <x:v>tabela_zeiss.pdf</x:v>
      </x:c>
      <x:c r="U3087" s="24" t="str">
        <x:v>ZEISS|Asiana|Surfaçada|Asiana|Asiana|1.5|1.50|DuraVision Gold UV|-6.00 a +6.00|6.00|0.50|75/80|||54</x:v>
      </x:c>
    </x:row>
    <x:row r="3088">
      <x:c r="A3088" s="24" t="str">
        <x:v>ZS-3C322D7F0B1F</x:v>
      </x:c>
      <x:c r="B3088" s="24" t="str">
        <x:v>ZEISS</x:v>
      </x:c>
      <x:c r="C3088" s="24" t="str">
        <x:v>Asiana</x:v>
      </x:c>
      <x:c r="D3088" s="24" t="str">
        <x:v>Surfaçada</x:v>
      </x:c>
      <x:c r="E3088" s="24" t="str">
        <x:v>Asiana</x:v>
      </x:c>
      <x:c r="F3088" s="24" t="str">
        <x:v>Asiana</x:v>
      </x:c>
      <x:c r="G3088" s="24" t="str">
        <x:v>1.5</x:v>
      </x:c>
      <x:c r="H3088" s="24" t="str">
        <x:v>1.50</x:v>
      </x:c>
      <x:c r="I3088" s="24" t="str">
        <x:v>DURAVISION® ANTIVÍRUS PLATINUM UV</x:v>
      </x:c>
      <x:c r="J3088" s="40" t="n">
        <x:v>2130</x:v>
      </x:c>
      <x:c r="K3088" s="24" t="str">
        <x:v>-6.00 a +6.00</x:v>
      </x:c>
      <x:c r="L3088" s="24" t="str">
        <x:v>6.00</x:v>
      </x:c>
      <x:c r="M3088" s="24" t="str">
        <x:v>0.50</x:v>
      </x:c>
      <x:c r="N3088" s="24" t="str">
        <x:v>75/80</x:v>
      </x:c>
      <x:c r="O3088" s="24"/>
      <x:c r="P3088" s="24"/>
      <x:c r="Q3088" s="24" t="str">
        <x:v>DISPONÍVEL</x:v>
      </x:c>
      <x:c r="R3088" s="24"/>
      <x:c r="S3088" s="24" t="n">
        <x:v>54</x:v>
      </x:c>
      <x:c r="T3088" s="24" t="str">
        <x:v>tabela_zeiss.pdf</x:v>
      </x:c>
      <x:c r="U3088" s="24" t="str">
        <x:v>ZEISS|Asiana|Surfaçada|Asiana|Asiana|1.5|1.50|DURAVISION® ANTIVÍRUS PLATINUM UV|-6.00 a +6.00|6.00|0.50|75/80|||54</x:v>
      </x:c>
    </x:row>
    <x:row r="3089">
      <x:c r="A3089" s="24" t="str">
        <x:v>ZS-015D03893AF2</x:v>
      </x:c>
      <x:c r="B3089" s="24" t="str">
        <x:v>ZEISS</x:v>
      </x:c>
      <x:c r="C3089" s="24" t="str">
        <x:v>Asiana</x:v>
      </x:c>
      <x:c r="D3089" s="24" t="str">
        <x:v>Surfaçada</x:v>
      </x:c>
      <x:c r="E3089" s="24" t="str">
        <x:v>Asiana</x:v>
      </x:c>
      <x:c r="F3089" s="24" t="str">
        <x:v>Asiana</x:v>
      </x:c>
      <x:c r="G3089" s="24" t="str">
        <x:v>1.5</x:v>
      </x:c>
      <x:c r="H3089" s="24" t="str">
        <x:v>1.50</x:v>
      </x:c>
      <x:c r="I3089" s="24" t="str">
        <x:v>DuraVision Platinum UV</x:v>
      </x:c>
      <x:c r="J3089" s="40" t="n">
        <x:v>2130</x:v>
      </x:c>
      <x:c r="K3089" s="24" t="str">
        <x:v>-6.00 a +6.00</x:v>
      </x:c>
      <x:c r="L3089" s="24" t="str">
        <x:v>6.00</x:v>
      </x:c>
      <x:c r="M3089" s="24" t="str">
        <x:v>0.50</x:v>
      </x:c>
      <x:c r="N3089" s="24" t="str">
        <x:v>75/80</x:v>
      </x:c>
      <x:c r="O3089" s="24"/>
      <x:c r="P3089" s="24"/>
      <x:c r="Q3089" s="24" t="str">
        <x:v>DISPONÍVEL</x:v>
      </x:c>
      <x:c r="R3089" s="24"/>
      <x:c r="S3089" s="24" t="n">
        <x:v>54</x:v>
      </x:c>
      <x:c r="T3089" s="24" t="str">
        <x:v>tabela_zeiss.pdf</x:v>
      </x:c>
      <x:c r="U3089" s="24" t="str">
        <x:v>ZEISS|Asiana|Surfaçada|Asiana|Asiana|1.5|1.50|DuraVision Platinum UV|-6.00 a +6.00|6.00|0.50|75/80|||54</x:v>
      </x:c>
    </x:row>
    <x:row r="3090">
      <x:c r="A3090" s="24" t="str">
        <x:v>ZS-862731A0CECC</x:v>
      </x:c>
      <x:c r="B3090" s="24" t="str">
        <x:v>ZEISS</x:v>
      </x:c>
      <x:c r="C3090" s="24" t="str">
        <x:v>Asiana</x:v>
      </x:c>
      <x:c r="D3090" s="24" t="str">
        <x:v>Surfaçada</x:v>
      </x:c>
      <x:c r="E3090" s="24" t="str">
        <x:v>Asiana</x:v>
      </x:c>
      <x:c r="F3090" s="24" t="str">
        <x:v>Asiana</x:v>
      </x:c>
      <x:c r="G3090" s="24" t="str">
        <x:v>1.5</x:v>
      </x:c>
      <x:c r="H3090" s="24" t="str">
        <x:v>1.50</x:v>
      </x:c>
      <x:c r="I3090" s="24" t="str">
        <x:v>DuraVision Silver UV</x:v>
      </x:c>
      <x:c r="J3090" s="40" t="n">
        <x:v>1870</x:v>
      </x:c>
      <x:c r="K3090" s="24" t="str">
        <x:v>-6.00 a +6.00</x:v>
      </x:c>
      <x:c r="L3090" s="24" t="str">
        <x:v>6.00</x:v>
      </x:c>
      <x:c r="M3090" s="24" t="str">
        <x:v>0.50</x:v>
      </x:c>
      <x:c r="N3090" s="24" t="str">
        <x:v>75/80</x:v>
      </x:c>
      <x:c r="O3090" s="24"/>
      <x:c r="P3090" s="24"/>
      <x:c r="Q3090" s="24" t="str">
        <x:v>DISPONÍVEL</x:v>
      </x:c>
      <x:c r="R3090" s="24"/>
      <x:c r="S3090" s="24" t="n">
        <x:v>54</x:v>
      </x:c>
      <x:c r="T3090" s="24" t="str">
        <x:v>tabela_zeiss.pdf</x:v>
      </x:c>
      <x:c r="U3090" s="24" t="str">
        <x:v>ZEISS|Asiana|Surfaçada|Asiana|Asiana|1.5|1.50|DuraVision Silver UV|-6.00 a +6.00|6.00|0.50|75/80|||54</x:v>
      </x:c>
    </x:row>
    <x:row r="3091">
      <x:c r="A3091" s="24" t="str">
        <x:v>ZS-08D974C73044</x:v>
      </x:c>
      <x:c r="B3091" s="24" t="str">
        <x:v>ZEISS</x:v>
      </x:c>
      <x:c r="C3091" s="24" t="str">
        <x:v>Asiana</x:v>
      </x:c>
      <x:c r="D3091" s="24" t="str">
        <x:v>Surfaçada</x:v>
      </x:c>
      <x:c r="E3091" s="24" t="str">
        <x:v>Asiana</x:v>
      </x:c>
      <x:c r="F3091" s="24" t="str">
        <x:v>Asiana</x:v>
      </x:c>
      <x:c r="G3091" s="24" t="str">
        <x:v>1.5</x:v>
      </x:c>
      <x:c r="H3091" s="24" t="str">
        <x:v>1.50</x:v>
      </x:c>
      <x:c r="I3091" s="24" t="str">
        <x:v>DuraVision Chrome UV</x:v>
      </x:c>
      <x:c r="J3091" s="40" t="n">
        <x:v>1380</x:v>
      </x:c>
      <x:c r="K3091" s="24" t="str">
        <x:v>-6.00 a +6.00</x:v>
      </x:c>
      <x:c r="L3091" s="24" t="str">
        <x:v>6.00</x:v>
      </x:c>
      <x:c r="M3091" s="24" t="str">
        <x:v>0.50</x:v>
      </x:c>
      <x:c r="N3091" s="24" t="str">
        <x:v>75/80</x:v>
      </x:c>
      <x:c r="O3091" s="24"/>
      <x:c r="P3091" s="24"/>
      <x:c r="Q3091" s="24" t="str">
        <x:v>DISPONÍVEL</x:v>
      </x:c>
      <x:c r="R3091" s="24"/>
      <x:c r="S3091" s="24" t="n">
        <x:v>54</x:v>
      </x:c>
      <x:c r="T3091" s="24" t="str">
        <x:v>tabela_zeiss.pdf</x:v>
      </x:c>
      <x:c r="U3091" s="24" t="str">
        <x:v>ZEISS|Asiana|Surfaçada|Asiana|Asiana|1.5|1.50|DuraVision Chrome UV|-6.00 a +6.00|6.00|0.50|75/80|||54</x:v>
      </x:c>
    </x:row>
    <x:row r="3092">
      <x:c r="A3092" s="24" t="str">
        <x:v>ZS-A0FEAC5A3516</x:v>
      </x:c>
      <x:c r="B3092" s="24" t="str">
        <x:v>ZEISS</x:v>
      </x:c>
      <x:c r="C3092" s="24" t="str">
        <x:v>Asiana</x:v>
      </x:c>
      <x:c r="D3092" s="24" t="str">
        <x:v>Surfaçada</x:v>
      </x:c>
      <x:c r="E3092" s="24" t="str">
        <x:v>Asiana</x:v>
      </x:c>
      <x:c r="F3092" s="24" t="str">
        <x:v>Asiana</x:v>
      </x:c>
      <x:c r="G3092" s="24" t="str">
        <x:v>1.6</x:v>
      </x:c>
      <x:c r="H3092" s="24" t="str">
        <x:v>1.60</x:v>
      </x:c>
      <x:c r="I3092" s="24" t="str">
        <x:v>DuraVision Gold UV</x:v>
      </x:c>
      <x:c r="J3092" s="40" t="n">
        <x:v>3520</x:v>
      </x:c>
      <x:c r="K3092" s="24" t="str">
        <x:v>-10.00 a +8.00</x:v>
      </x:c>
      <x:c r="L3092" s="24" t="str">
        <x:v>6.00</x:v>
      </x:c>
      <x:c r="M3092" s="24" t="str">
        <x:v>0.50</x:v>
      </x:c>
      <x:c r="N3092" s="24" t="str">
        <x:v>70/75</x:v>
      </x:c>
      <x:c r="O3092" s="24"/>
      <x:c r="P3092" s="24"/>
      <x:c r="Q3092" s="24" t="str">
        <x:v>DISPONÍVEL</x:v>
      </x:c>
      <x:c r="R3092" s="24"/>
      <x:c r="S3092" s="24" t="n">
        <x:v>54</x:v>
      </x:c>
      <x:c r="T3092" s="24" t="str">
        <x:v>tabela_zeiss.pdf</x:v>
      </x:c>
      <x:c r="U3092" s="24" t="str">
        <x:v>ZEISS|Asiana|Surfaçada|Asiana|Asiana|1.6|1.60|DuraVision Gold UV|-10.00 a +8.00|6.00|0.50|70/75|||54</x:v>
      </x:c>
    </x:row>
    <x:row r="3093">
      <x:c r="A3093" s="24" t="str">
        <x:v>ZS-7DA07ABC757C</x:v>
      </x:c>
      <x:c r="B3093" s="24" t="str">
        <x:v>ZEISS</x:v>
      </x:c>
      <x:c r="C3093" s="24" t="str">
        <x:v>Asiana</x:v>
      </x:c>
      <x:c r="D3093" s="24" t="str">
        <x:v>Surfaçada</x:v>
      </x:c>
      <x:c r="E3093" s="24" t="str">
        <x:v>Asiana</x:v>
      </x:c>
      <x:c r="F3093" s="24" t="str">
        <x:v>Asiana</x:v>
      </x:c>
      <x:c r="G3093" s="24" t="str">
        <x:v>1.6</x:v>
      </x:c>
      <x:c r="H3093" s="24" t="str">
        <x:v>1.60</x:v>
      </x:c>
      <x:c r="I3093" s="24" t="str">
        <x:v>DURAVISION® ANTIVÍRUS PLATINUM UV</x:v>
      </x:c>
      <x:c r="J3093" s="40" t="n">
        <x:v>3380</x:v>
      </x:c>
      <x:c r="K3093" s="24" t="str">
        <x:v>-10.00 a +8.00</x:v>
      </x:c>
      <x:c r="L3093" s="24" t="str">
        <x:v>6.00</x:v>
      </x:c>
      <x:c r="M3093" s="24" t="str">
        <x:v>0.50</x:v>
      </x:c>
      <x:c r="N3093" s="24" t="str">
        <x:v>70/75</x:v>
      </x:c>
      <x:c r="O3093" s="24"/>
      <x:c r="P3093" s="24"/>
      <x:c r="Q3093" s="24" t="str">
        <x:v>DISPONÍVEL</x:v>
      </x:c>
      <x:c r="R3093" s="24"/>
      <x:c r="S3093" s="24" t="n">
        <x:v>54</x:v>
      </x:c>
      <x:c r="T3093" s="24" t="str">
        <x:v>tabela_zeiss.pdf</x:v>
      </x:c>
      <x:c r="U3093" s="24" t="str">
        <x:v>ZEISS|Asiana|Surfaçada|Asiana|Asiana|1.6|1.60|DURAVISION® ANTIVÍRUS PLATINUM UV|-10.00 a +8.00|6.00|0.50|70/75|||54</x:v>
      </x:c>
    </x:row>
    <x:row r="3094">
      <x:c r="A3094" s="24" t="str">
        <x:v>ZS-1A28C70CC81C</x:v>
      </x:c>
      <x:c r="B3094" s="24" t="str">
        <x:v>ZEISS</x:v>
      </x:c>
      <x:c r="C3094" s="24" t="str">
        <x:v>Asiana</x:v>
      </x:c>
      <x:c r="D3094" s="24" t="str">
        <x:v>Surfaçada</x:v>
      </x:c>
      <x:c r="E3094" s="24" t="str">
        <x:v>Asiana</x:v>
      </x:c>
      <x:c r="F3094" s="24" t="str">
        <x:v>Asiana</x:v>
      </x:c>
      <x:c r="G3094" s="24" t="str">
        <x:v>1.6</x:v>
      </x:c>
      <x:c r="H3094" s="24" t="str">
        <x:v>1.60</x:v>
      </x:c>
      <x:c r="I3094" s="24" t="str">
        <x:v>DuraVision Platinum UV</x:v>
      </x:c>
      <x:c r="J3094" s="40" t="n">
        <x:v>3380</x:v>
      </x:c>
      <x:c r="K3094" s="24" t="str">
        <x:v>-10.00 a +8.00</x:v>
      </x:c>
      <x:c r="L3094" s="24" t="str">
        <x:v>6.00</x:v>
      </x:c>
      <x:c r="M3094" s="24" t="str">
        <x:v>0.50</x:v>
      </x:c>
      <x:c r="N3094" s="24" t="str">
        <x:v>70/75</x:v>
      </x:c>
      <x:c r="O3094" s="24"/>
      <x:c r="P3094" s="24"/>
      <x:c r="Q3094" s="24" t="str">
        <x:v>DISPONÍVEL</x:v>
      </x:c>
      <x:c r="R3094" s="24"/>
      <x:c r="S3094" s="24" t="n">
        <x:v>54</x:v>
      </x:c>
      <x:c r="T3094" s="24" t="str">
        <x:v>tabela_zeiss.pdf</x:v>
      </x:c>
      <x:c r="U3094" s="24" t="str">
        <x:v>ZEISS|Asiana|Surfaçada|Asiana|Asiana|1.6|1.60|DuraVision Platinum UV|-10.00 a +8.00|6.00|0.50|70/75|||54</x:v>
      </x:c>
    </x:row>
    <x:row r="3095">
      <x:c r="A3095" s="24" t="str">
        <x:v>ZS-BBB5FD44420F</x:v>
      </x:c>
      <x:c r="B3095" s="24" t="str">
        <x:v>ZEISS</x:v>
      </x:c>
      <x:c r="C3095" s="24" t="str">
        <x:v>Asiana</x:v>
      </x:c>
      <x:c r="D3095" s="24" t="str">
        <x:v>Surfaçada</x:v>
      </x:c>
      <x:c r="E3095" s="24" t="str">
        <x:v>Asiana</x:v>
      </x:c>
      <x:c r="F3095" s="24" t="str">
        <x:v>Asiana</x:v>
      </x:c>
      <x:c r="G3095" s="24" t="str">
        <x:v>1.6</x:v>
      </x:c>
      <x:c r="H3095" s="24" t="str">
        <x:v>1.60</x:v>
      </x:c>
      <x:c r="I3095" s="24" t="str">
        <x:v>DuraVision Silver UV</x:v>
      </x:c>
      <x:c r="J3095" s="40" t="n">
        <x:v>3120</x:v>
      </x:c>
      <x:c r="K3095" s="24" t="str">
        <x:v>-10.00 a +8.00</x:v>
      </x:c>
      <x:c r="L3095" s="24" t="str">
        <x:v>6.00</x:v>
      </x:c>
      <x:c r="M3095" s="24" t="str">
        <x:v>0.50</x:v>
      </x:c>
      <x:c r="N3095" s="24" t="str">
        <x:v>70/75</x:v>
      </x:c>
      <x:c r="O3095" s="24"/>
      <x:c r="P3095" s="24"/>
      <x:c r="Q3095" s="24" t="str">
        <x:v>DISPONÍVEL</x:v>
      </x:c>
      <x:c r="R3095" s="24"/>
      <x:c r="S3095" s="24" t="n">
        <x:v>54</x:v>
      </x:c>
      <x:c r="T3095" s="24" t="str">
        <x:v>tabela_zeiss.pdf</x:v>
      </x:c>
      <x:c r="U3095" s="24" t="str">
        <x:v>ZEISS|Asiana|Surfaçada|Asiana|Asiana|1.6|1.60|DuraVision Silver UV|-10.00 a +8.00|6.00|0.50|70/75|||54</x:v>
      </x:c>
    </x:row>
    <x:row r="3096">
      <x:c r="A3096" s="24" t="str">
        <x:v>ZS-D9E01F06D059</x:v>
      </x:c>
      <x:c r="B3096" s="24" t="str">
        <x:v>ZEISS</x:v>
      </x:c>
      <x:c r="C3096" s="24" t="str">
        <x:v>Asiana</x:v>
      </x:c>
      <x:c r="D3096" s="24" t="str">
        <x:v>Surfaçada</x:v>
      </x:c>
      <x:c r="E3096" s="24" t="str">
        <x:v>Asiana</x:v>
      </x:c>
      <x:c r="F3096" s="24" t="str">
        <x:v>Asiana</x:v>
      </x:c>
      <x:c r="G3096" s="24" t="str">
        <x:v>1.6</x:v>
      </x:c>
      <x:c r="H3096" s="24" t="str">
        <x:v>1.60</x:v>
      </x:c>
      <x:c r="I3096" s="24" t="str">
        <x:v>DuraVision Chrome UV</x:v>
      </x:c>
      <x:c r="J3096" s="40" t="n">
        <x:v>2630</x:v>
      </x:c>
      <x:c r="K3096" s="24" t="str">
        <x:v>-10.00 a +8.00</x:v>
      </x:c>
      <x:c r="L3096" s="24" t="str">
        <x:v>6.00</x:v>
      </x:c>
      <x:c r="M3096" s="24" t="str">
        <x:v>0.50</x:v>
      </x:c>
      <x:c r="N3096" s="24" t="str">
        <x:v>70/75</x:v>
      </x:c>
      <x:c r="O3096" s="24"/>
      <x:c r="P3096" s="24"/>
      <x:c r="Q3096" s="24" t="str">
        <x:v>DISPONÍVEL</x:v>
      </x:c>
      <x:c r="R3096" s="24"/>
      <x:c r="S3096" s="24" t="n">
        <x:v>54</x:v>
      </x:c>
      <x:c r="T3096" s="24" t="str">
        <x:v>tabela_zeiss.pdf</x:v>
      </x:c>
      <x:c r="U3096" s="24" t="str">
        <x:v>ZEISS|Asiana|Surfaçada|Asiana|Asiana|1.6|1.60|DuraVision Chrome UV|-10.00 a +8.00|6.00|0.50|70/75|||54</x:v>
      </x:c>
    </x:row>
    <x:row r="3097">
      <x:c r="A3097" s="24" t="str">
        <x:v>ZS-411C28557A8B</x:v>
      </x:c>
      <x:c r="B3097" s="24" t="str">
        <x:v>ZEISS</x:v>
      </x:c>
      <x:c r="C3097" s="24" t="str">
        <x:v>Asiana</x:v>
      </x:c>
      <x:c r="D3097" s="24" t="str">
        <x:v>Surfaçada</x:v>
      </x:c>
      <x:c r="E3097" s="24" t="str">
        <x:v>Asiana</x:v>
      </x:c>
      <x:c r="F3097" s="24" t="str">
        <x:v>Asiana</x:v>
      </x:c>
      <x:c r="G3097" s="24" t="str">
        <x:v>1.67</x:v>
      </x:c>
      <x:c r="H3097" s="24" t="str">
        <x:v>1.67</x:v>
      </x:c>
      <x:c r="I3097" s="24" t="str">
        <x:v>DuraVision Gold UV</x:v>
      </x:c>
      <x:c r="J3097" s="40" t="n">
        <x:v>5160</x:v>
      </x:c>
      <x:c r="K3097" s="24" t="str">
        <x:v>-10.00 a +8.00</x:v>
      </x:c>
      <x:c r="L3097" s="24" t="str">
        <x:v>6.00</x:v>
      </x:c>
      <x:c r="M3097" s="24" t="str">
        <x:v>0.50</x:v>
      </x:c>
      <x:c r="N3097" s="24" t="str">
        <x:v>70/75</x:v>
      </x:c>
      <x:c r="O3097" s="24"/>
      <x:c r="P3097" s="24"/>
      <x:c r="Q3097" s="24" t="str">
        <x:v>DISPONÍVEL</x:v>
      </x:c>
      <x:c r="R3097" s="24"/>
      <x:c r="S3097" s="24" t="n">
        <x:v>54</x:v>
      </x:c>
      <x:c r="T3097" s="24" t="str">
        <x:v>tabela_zeiss.pdf</x:v>
      </x:c>
      <x:c r="U3097" s="24" t="str">
        <x:v>ZEISS|Asiana|Surfaçada|Asiana|Asiana|1.67|1.67|DuraVision Gold UV|-10.00 a +8.00|6.00|0.50|70/75|||54</x:v>
      </x:c>
    </x:row>
    <x:row r="3098">
      <x:c r="A3098" s="24" t="str">
        <x:v>ZS-5ED56E1E0FA9</x:v>
      </x:c>
      <x:c r="B3098" s="24" t="str">
        <x:v>ZEISS</x:v>
      </x:c>
      <x:c r="C3098" s="24" t="str">
        <x:v>Asiana</x:v>
      </x:c>
      <x:c r="D3098" s="24" t="str">
        <x:v>Surfaçada</x:v>
      </x:c>
      <x:c r="E3098" s="24" t="str">
        <x:v>Asiana</x:v>
      </x:c>
      <x:c r="F3098" s="24" t="str">
        <x:v>Asiana</x:v>
      </x:c>
      <x:c r="G3098" s="24" t="str">
        <x:v>1.67</x:v>
      </x:c>
      <x:c r="H3098" s="24" t="str">
        <x:v>1.67</x:v>
      </x:c>
      <x:c r="I3098" s="24" t="str">
        <x:v>DURAVISION® ANTIVÍRUS PLATINUM UV</x:v>
      </x:c>
      <x:c r="J3098" s="40" t="n">
        <x:v>5020</x:v>
      </x:c>
      <x:c r="K3098" s="24" t="str">
        <x:v>-10.00 a +8.00</x:v>
      </x:c>
      <x:c r="L3098" s="24" t="str">
        <x:v>6.00</x:v>
      </x:c>
      <x:c r="M3098" s="24" t="str">
        <x:v>0.50</x:v>
      </x:c>
      <x:c r="N3098" s="24" t="str">
        <x:v>70/75</x:v>
      </x:c>
      <x:c r="O3098" s="24"/>
      <x:c r="P3098" s="24"/>
      <x:c r="Q3098" s="24" t="str">
        <x:v>DISPONÍVEL</x:v>
      </x:c>
      <x:c r="R3098" s="24"/>
      <x:c r="S3098" s="24" t="n">
        <x:v>54</x:v>
      </x:c>
      <x:c r="T3098" s="24" t="str">
        <x:v>tabela_zeiss.pdf</x:v>
      </x:c>
      <x:c r="U3098" s="24" t="str">
        <x:v>ZEISS|Asiana|Surfaçada|Asiana|Asiana|1.67|1.67|DURAVISION® ANTIVÍRUS PLATINUM UV|-10.00 a +8.00|6.00|0.50|70/75|||54</x:v>
      </x:c>
    </x:row>
    <x:row r="3099">
      <x:c r="A3099" s="24" t="str">
        <x:v>ZS-302E856EDE56</x:v>
      </x:c>
      <x:c r="B3099" s="24" t="str">
        <x:v>ZEISS</x:v>
      </x:c>
      <x:c r="C3099" s="24" t="str">
        <x:v>Asiana</x:v>
      </x:c>
      <x:c r="D3099" s="24" t="str">
        <x:v>Surfaçada</x:v>
      </x:c>
      <x:c r="E3099" s="24" t="str">
        <x:v>Asiana</x:v>
      </x:c>
      <x:c r="F3099" s="24" t="str">
        <x:v>Asiana</x:v>
      </x:c>
      <x:c r="G3099" s="24" t="str">
        <x:v>1.67</x:v>
      </x:c>
      <x:c r="H3099" s="24" t="str">
        <x:v>1.67</x:v>
      </x:c>
      <x:c r="I3099" s="24" t="str">
        <x:v>DuraVision Platinum UV</x:v>
      </x:c>
      <x:c r="J3099" s="40" t="n">
        <x:v>5020</x:v>
      </x:c>
      <x:c r="K3099" s="24" t="str">
        <x:v>-10.00 a +8.00</x:v>
      </x:c>
      <x:c r="L3099" s="24" t="str">
        <x:v>6.00</x:v>
      </x:c>
      <x:c r="M3099" s="24" t="str">
        <x:v>0.50</x:v>
      </x:c>
      <x:c r="N3099" s="24" t="str">
        <x:v>70/75</x:v>
      </x:c>
      <x:c r="O3099" s="24"/>
      <x:c r="P3099" s="24"/>
      <x:c r="Q3099" s="24" t="str">
        <x:v>DISPONÍVEL</x:v>
      </x:c>
      <x:c r="R3099" s="24"/>
      <x:c r="S3099" s="24" t="n">
        <x:v>54</x:v>
      </x:c>
      <x:c r="T3099" s="24" t="str">
        <x:v>tabela_zeiss.pdf</x:v>
      </x:c>
      <x:c r="U3099" s="24" t="str">
        <x:v>ZEISS|Asiana|Surfaçada|Asiana|Asiana|1.67|1.67|DuraVision Platinum UV|-10.00 a +8.00|6.00|0.50|70/75|||54</x:v>
      </x:c>
    </x:row>
    <x:row r="3100">
      <x:c r="A3100" s="24" t="str">
        <x:v>ZS-1DA261B1D7B1</x:v>
      </x:c>
      <x:c r="B3100" s="24" t="str">
        <x:v>ZEISS</x:v>
      </x:c>
      <x:c r="C3100" s="24" t="str">
        <x:v>Asiana</x:v>
      </x:c>
      <x:c r="D3100" s="24" t="str">
        <x:v>Surfaçada</x:v>
      </x:c>
      <x:c r="E3100" s="24" t="str">
        <x:v>Asiana</x:v>
      </x:c>
      <x:c r="F3100" s="24" t="str">
        <x:v>Asiana</x:v>
      </x:c>
      <x:c r="G3100" s="24" t="str">
        <x:v>1.67</x:v>
      </x:c>
      <x:c r="H3100" s="24" t="str">
        <x:v>1.67</x:v>
      </x:c>
      <x:c r="I3100" s="24" t="str">
        <x:v>DuraVision Silver UV</x:v>
      </x:c>
      <x:c r="J3100" s="40" t="n">
        <x:v>4760</x:v>
      </x:c>
      <x:c r="K3100" s="24" t="str">
        <x:v>-10.00 a +8.00</x:v>
      </x:c>
      <x:c r="L3100" s="24" t="str">
        <x:v>6.00</x:v>
      </x:c>
      <x:c r="M3100" s="24" t="str">
        <x:v>0.50</x:v>
      </x:c>
      <x:c r="N3100" s="24" t="str">
        <x:v>70/75</x:v>
      </x:c>
      <x:c r="O3100" s="24"/>
      <x:c r="P3100" s="24"/>
      <x:c r="Q3100" s="24" t="str">
        <x:v>DISPONÍVEL</x:v>
      </x:c>
      <x:c r="R3100" s="24"/>
      <x:c r="S3100" s="24" t="n">
        <x:v>54</x:v>
      </x:c>
      <x:c r="T3100" s="24" t="str">
        <x:v>tabela_zeiss.pdf</x:v>
      </x:c>
      <x:c r="U3100" s="24" t="str">
        <x:v>ZEISS|Asiana|Surfaçada|Asiana|Asiana|1.67|1.67|DuraVision Silver UV|-10.00 a +8.00|6.00|0.50|70/75|||54</x:v>
      </x:c>
    </x:row>
    <x:row r="3101">
      <x:c r="A3101" s="24" t="str">
        <x:v>ZS-4950DB4A1CC2</x:v>
      </x:c>
      <x:c r="B3101" s="24" t="str">
        <x:v>ZEISS</x:v>
      </x:c>
      <x:c r="C3101" s="24" t="str">
        <x:v>Asiana</x:v>
      </x:c>
      <x:c r="D3101" s="24" t="str">
        <x:v>Surfaçada</x:v>
      </x:c>
      <x:c r="E3101" s="24" t="str">
        <x:v>Asiana</x:v>
      </x:c>
      <x:c r="F3101" s="24" t="str">
        <x:v>Asiana</x:v>
      </x:c>
      <x:c r="G3101" s="24" t="str">
        <x:v>1.67</x:v>
      </x:c>
      <x:c r="H3101" s="24" t="str">
        <x:v>1.67</x:v>
      </x:c>
      <x:c r="I3101" s="24" t="str">
        <x:v>DuraVision Chrome UV</x:v>
      </x:c>
      <x:c r="J3101" s="40" t="n">
        <x:v>4270</x:v>
      </x:c>
      <x:c r="K3101" s="24" t="str">
        <x:v>-10.00 a +8.00</x:v>
      </x:c>
      <x:c r="L3101" s="24" t="str">
        <x:v>6.00</x:v>
      </x:c>
      <x:c r="M3101" s="24" t="str">
        <x:v>0.50</x:v>
      </x:c>
      <x:c r="N3101" s="24" t="str">
        <x:v>70/75</x:v>
      </x:c>
      <x:c r="O3101" s="24"/>
      <x:c r="P3101" s="24"/>
      <x:c r="Q3101" s="24" t="str">
        <x:v>DISPONÍVEL</x:v>
      </x:c>
      <x:c r="R3101" s="24"/>
      <x:c r="S3101" s="24" t="n">
        <x:v>54</x:v>
      </x:c>
      <x:c r="T3101" s="24" t="str">
        <x:v>tabela_zeiss.pdf</x:v>
      </x:c>
      <x:c r="U3101" s="24" t="str">
        <x:v>ZEISS|Asiana|Surfaçada|Asiana|Asiana|1.67|1.67|DuraVision Chrome UV|-10.00 a +8.00|6.00|0.50|70/75|||54</x:v>
      </x:c>
    </x:row>
    <x:row r="3102">
      <x:c r="A3102" s="24" t="str">
        <x:v>ZS-0AD7381DBED4</x:v>
      </x:c>
      <x:c r="B3102" s="24" t="str">
        <x:v>ZEISS</x:v>
      </x:c>
      <x:c r="C3102" s="24" t="str">
        <x:v>Asiana</x:v>
      </x:c>
      <x:c r="D3102" s="24" t="str">
        <x:v>Surfaçada</x:v>
      </x:c>
      <x:c r="E3102" s="24" t="str">
        <x:v>Asiana</x:v>
      </x:c>
      <x:c r="F3102" s="24" t="str">
        <x:v>Asiana</x:v>
      </x:c>
      <x:c r="G3102" s="24" t="str">
        <x:v>1.74</x:v>
      </x:c>
      <x:c r="H3102" s="24" t="str">
        <x:v>1.74</x:v>
      </x:c>
      <x:c r="I3102" s="24" t="str">
        <x:v>DuraVision Gold UV</x:v>
      </x:c>
      <x:c r="J3102" s="40" t="n">
        <x:v>6760</x:v>
      </x:c>
      <x:c r="K3102" s="24" t="str">
        <x:v>-10.00 a +7.00</x:v>
      </x:c>
      <x:c r="L3102" s="24" t="str">
        <x:v>6.00</x:v>
      </x:c>
      <x:c r="M3102" s="24" t="str">
        <x:v>0.50</x:v>
      </x:c>
      <x:c r="N3102" s="24" t="str">
        <x:v>70/75</x:v>
      </x:c>
      <x:c r="O3102" s="24"/>
      <x:c r="P3102" s="24"/>
      <x:c r="Q3102" s="24" t="str">
        <x:v>DISPONÍVEL</x:v>
      </x:c>
      <x:c r="R3102" s="24"/>
      <x:c r="S3102" s="24" t="n">
        <x:v>54</x:v>
      </x:c>
      <x:c r="T3102" s="24" t="str">
        <x:v>tabela_zeiss.pdf</x:v>
      </x:c>
      <x:c r="U3102" s="24" t="str">
        <x:v>ZEISS|Asiana|Surfaçada|Asiana|Asiana|1.74|1.74|DuraVision Gold UV|-10.00 a +7.00|6.00|0.50|70/75|||54</x:v>
      </x:c>
    </x:row>
    <x:row r="3103">
      <x:c r="A3103" s="24" t="str">
        <x:v>ZS-EEA12A2FBE7C</x:v>
      </x:c>
      <x:c r="B3103" s="24" t="str">
        <x:v>ZEISS</x:v>
      </x:c>
      <x:c r="C3103" s="24" t="str">
        <x:v>Asiana</x:v>
      </x:c>
      <x:c r="D3103" s="24" t="str">
        <x:v>Surfaçada</x:v>
      </x:c>
      <x:c r="E3103" s="24" t="str">
        <x:v>Asiana</x:v>
      </x:c>
      <x:c r="F3103" s="24" t="str">
        <x:v>Asiana</x:v>
      </x:c>
      <x:c r="G3103" s="24" t="str">
        <x:v>1.74</x:v>
      </x:c>
      <x:c r="H3103" s="24" t="str">
        <x:v>1.74</x:v>
      </x:c>
      <x:c r="I3103" s="24" t="str">
        <x:v>DuraVision Platinum UV</x:v>
      </x:c>
      <x:c r="J3103" s="40" t="n">
        <x:v>6620</x:v>
      </x:c>
      <x:c r="K3103" s="24" t="str">
        <x:v>-10.00 a +7.00</x:v>
      </x:c>
      <x:c r="L3103" s="24" t="str">
        <x:v>6.00</x:v>
      </x:c>
      <x:c r="M3103" s="24" t="str">
        <x:v>0.50</x:v>
      </x:c>
      <x:c r="N3103" s="24" t="str">
        <x:v>70/75</x:v>
      </x:c>
      <x:c r="O3103" s="24"/>
      <x:c r="P3103" s="24"/>
      <x:c r="Q3103" s="24" t="str">
        <x:v>DISPONÍVEL</x:v>
      </x:c>
      <x:c r="R3103" s="24"/>
      <x:c r="S3103" s="24" t="n">
        <x:v>54</x:v>
      </x:c>
      <x:c r="T3103" s="24" t="str">
        <x:v>tabela_zeiss.pdf</x:v>
      </x:c>
      <x:c r="U3103" s="24" t="str">
        <x:v>ZEISS|Asiana|Surfaçada|Asiana|Asiana|1.74|1.74|DuraVision Platinum UV|-10.00 a +7.00|6.00|0.50|70/75|||54</x:v>
      </x:c>
    </x:row>
    <x:row r="3104">
      <x:c r="A3104" s="24" t="str">
        <x:v>ZS-A1D78EE9021E</x:v>
      </x:c>
      <x:c r="B3104" s="24" t="str">
        <x:v>ZEISS</x:v>
      </x:c>
      <x:c r="C3104" s="24" t="str">
        <x:v>Asiana</x:v>
      </x:c>
      <x:c r="D3104" s="24" t="str">
        <x:v>Surfaçada</x:v>
      </x:c>
      <x:c r="E3104" s="24" t="str">
        <x:v>Asiana</x:v>
      </x:c>
      <x:c r="F3104" s="24" t="str">
        <x:v>Asiana</x:v>
      </x:c>
      <x:c r="G3104" s="24" t="str">
        <x:v>1.74</x:v>
      </x:c>
      <x:c r="H3104" s="24" t="str">
        <x:v>1.74</x:v>
      </x:c>
      <x:c r="I3104" s="24" t="str">
        <x:v>DuraVision Silver UV</x:v>
      </x:c>
      <x:c r="J3104" s="40" t="n">
        <x:v>6360</x:v>
      </x:c>
      <x:c r="K3104" s="24" t="str">
        <x:v>-10.00 a +7.00</x:v>
      </x:c>
      <x:c r="L3104" s="24" t="str">
        <x:v>6.00</x:v>
      </x:c>
      <x:c r="M3104" s="24" t="str">
        <x:v>0.50</x:v>
      </x:c>
      <x:c r="N3104" s="24" t="str">
        <x:v>70/75</x:v>
      </x:c>
      <x:c r="O3104" s="24"/>
      <x:c r="P3104" s="24"/>
      <x:c r="Q3104" s="24" t="str">
        <x:v>DISPONÍVEL</x:v>
      </x:c>
      <x:c r="R3104" s="24"/>
      <x:c r="S3104" s="24" t="n">
        <x:v>54</x:v>
      </x:c>
      <x:c r="T3104" s="24" t="str">
        <x:v>tabela_zeiss.pdf</x:v>
      </x:c>
      <x:c r="U3104" s="24" t="str">
        <x:v>ZEISS|Asiana|Surfaçada|Asiana|Asiana|1.74|1.74|DuraVision Silver UV|-10.00 a +7.00|6.00|0.50|70/75|||54</x:v>
      </x:c>
    </x:row>
    <x:row r="3105">
      <x:c r="A3105" s="24" t="str">
        <x:v>ZS-E8549928FA05</x:v>
      </x:c>
      <x:c r="B3105" s="24" t="str">
        <x:v>ZEISS</x:v>
      </x:c>
      <x:c r="C3105" s="24" t="str">
        <x:v>Asiana</x:v>
      </x:c>
      <x:c r="D3105" s="24" t="str">
        <x:v>Surfaçada</x:v>
      </x:c>
      <x:c r="E3105" s="24" t="str">
        <x:v>Asiana</x:v>
      </x:c>
      <x:c r="F3105" s="24" t="str">
        <x:v>Asiana</x:v>
      </x:c>
      <x:c r="G3105" s="24" t="str">
        <x:v>1.74</x:v>
      </x:c>
      <x:c r="H3105" s="24" t="str">
        <x:v>1.74</x:v>
      </x:c>
      <x:c r="I3105" s="24" t="str">
        <x:v>DuraVision Chrome UV</x:v>
      </x:c>
      <x:c r="J3105" s="40" t="n">
        <x:v>5870</x:v>
      </x:c>
      <x:c r="K3105" s="24" t="str">
        <x:v>-10.00 a +7.00</x:v>
      </x:c>
      <x:c r="L3105" s="24" t="str">
        <x:v>6.00</x:v>
      </x:c>
      <x:c r="M3105" s="24" t="str">
        <x:v>0.50</x:v>
      </x:c>
      <x:c r="N3105" s="24" t="str">
        <x:v>70/75</x:v>
      </x:c>
      <x:c r="O3105" s="24"/>
      <x:c r="P3105" s="24"/>
      <x:c r="Q3105" s="24" t="str">
        <x:v>DISPONÍVEL</x:v>
      </x:c>
      <x:c r="R3105" s="24"/>
      <x:c r="S3105" s="24" t="n">
        <x:v>54</x:v>
      </x:c>
      <x:c r="T3105" s="24" t="str">
        <x:v>tabela_zeiss.pdf</x:v>
      </x:c>
      <x:c r="U3105" s="24" t="str">
        <x:v>ZEISS|Asiana|Surfaçada|Asiana|Asiana|1.74|1.74|DuraVision Chrome UV|-10.00 a +7.00|6.00|0.50|70/75|||54</x:v>
      </x:c>
    </x:row>
    <x:row r="3106">
      <x:c r="A3106" s="24" t="str">
        <x:v>ZS-F0F1378C2000</x:v>
      </x:c>
      <x:c r="B3106" s="24" t="str">
        <x:v>ZEISS</x:v>
      </x:c>
      <x:c r="C3106" s="24" t="str">
        <x:v>Asiana</x:v>
      </x:c>
      <x:c r="D3106" s="24" t="str">
        <x:v>Surfaçada</x:v>
      </x:c>
      <x:c r="E3106" s="24" t="str">
        <x:v>Asiana</x:v>
      </x:c>
      <x:c r="F3106" s="24" t="str">
        <x:v>PhotoFusion X</x:v>
      </x:c>
      <x:c r="G3106" s="24" t="str">
        <x:v>1.5</x:v>
      </x:c>
      <x:c r="H3106" s="24" t="str">
        <x:v>1.50</x:v>
      </x:c>
      <x:c r="I3106" s="24" t="str">
        <x:v>DuraVision Gold UV</x:v>
      </x:c>
      <x:c r="J3106" s="40" t="n">
        <x:v>3690</x:v>
      </x:c>
      <x:c r="K3106" s="24" t="str">
        <x:v>-6.00 a +4.00</x:v>
      </x:c>
      <x:c r="L3106" s="24" t="str">
        <x:v>4.00</x:v>
      </x:c>
      <x:c r="M3106" s="24" t="str">
        <x:v>0.50</x:v>
      </x:c>
      <x:c r="N3106" s="24" t="str">
        <x:v>75/80</x:v>
      </x:c>
      <x:c r="O3106" s="24"/>
      <x:c r="P3106" s="24"/>
      <x:c r="Q3106" s="24" t="str">
        <x:v>DISPONÍVEL</x:v>
      </x:c>
      <x:c r="R3106" s="24" t="str">
        <x:v>Programa de Parcerias ZEISS</x:v>
      </x:c>
      <x:c r="S3106" s="24" t="n">
        <x:v>54</x:v>
      </x:c>
      <x:c r="T3106" s="24" t="str">
        <x:v>tabela_zeiss.pdf</x:v>
      </x:c>
      <x:c r="U3106" s="24" t="str">
        <x:v>ZEISS|Asiana|Surfaçada|Asiana|PhotoFusion X|1.5|1.50|DuraVision Gold UV|-6.00 a +4.00|4.00|0.50|75/80|||54</x:v>
      </x:c>
    </x:row>
    <x:row r="3107">
      <x:c r="A3107" s="24" t="str">
        <x:v>ZS-C6A5EEF3866D</x:v>
      </x:c>
      <x:c r="B3107" s="24" t="str">
        <x:v>ZEISS</x:v>
      </x:c>
      <x:c r="C3107" s="24" t="str">
        <x:v>Asiana</x:v>
      </x:c>
      <x:c r="D3107" s="24" t="str">
        <x:v>Surfaçada</x:v>
      </x:c>
      <x:c r="E3107" s="24" t="str">
        <x:v>Asiana</x:v>
      </x:c>
      <x:c r="F3107" s="24" t="str">
        <x:v>PhotoFusion X</x:v>
      </x:c>
      <x:c r="G3107" s="24" t="str">
        <x:v>1.5</x:v>
      </x:c>
      <x:c r="H3107" s="24" t="str">
        <x:v>1.50</x:v>
      </x:c>
      <x:c r="I3107" s="24" t="str">
        <x:v>DURAVISION® ANTIVÍRUS PLATINUM UV</x:v>
      </x:c>
      <x:c r="J3107" s="40" t="n">
        <x:v>3550</x:v>
      </x:c>
      <x:c r="K3107" s="24" t="str">
        <x:v>-6.00 a +4.00</x:v>
      </x:c>
      <x:c r="L3107" s="24" t="str">
        <x:v>4.00</x:v>
      </x:c>
      <x:c r="M3107" s="24" t="str">
        <x:v>0.50</x:v>
      </x:c>
      <x:c r="N3107" s="24" t="str">
        <x:v>75/80</x:v>
      </x:c>
      <x:c r="O3107" s="24"/>
      <x:c r="P3107" s="24"/>
      <x:c r="Q3107" s="24" t="str">
        <x:v>DISPONÍVEL</x:v>
      </x:c>
      <x:c r="R3107" s="24" t="str">
        <x:v>Programa de Parcerias ZEISS</x:v>
      </x:c>
      <x:c r="S3107" s="24" t="n">
        <x:v>54</x:v>
      </x:c>
      <x:c r="T3107" s="24" t="str">
        <x:v>tabela_zeiss.pdf</x:v>
      </x:c>
      <x:c r="U3107" s="24" t="str">
        <x:v>ZEISS|Asiana|Surfaçada|Asiana|PhotoFusion X|1.5|1.50|DURAVISION® ANTIVÍRUS PLATINUM UV|-6.00 a +4.00|4.00|0.50|75/80|||54</x:v>
      </x:c>
    </x:row>
    <x:row r="3108">
      <x:c r="A3108" s="24" t="str">
        <x:v>ZS-9D0ED91B81FA</x:v>
      </x:c>
      <x:c r="B3108" s="24" t="str">
        <x:v>ZEISS</x:v>
      </x:c>
      <x:c r="C3108" s="24" t="str">
        <x:v>Asiana</x:v>
      </x:c>
      <x:c r="D3108" s="24" t="str">
        <x:v>Surfaçada</x:v>
      </x:c>
      <x:c r="E3108" s="24" t="str">
        <x:v>Asiana</x:v>
      </x:c>
      <x:c r="F3108" s="24" t="str">
        <x:v>PhotoFusion X</x:v>
      </x:c>
      <x:c r="G3108" s="24" t="str">
        <x:v>1.5</x:v>
      </x:c>
      <x:c r="H3108" s="24" t="str">
        <x:v>1.50</x:v>
      </x:c>
      <x:c r="I3108" s="24" t="str">
        <x:v>DuraVision Platinum UV</x:v>
      </x:c>
      <x:c r="J3108" s="40" t="n">
        <x:v>3550</x:v>
      </x:c>
      <x:c r="K3108" s="24" t="str">
        <x:v>-6.00 a +4.00</x:v>
      </x:c>
      <x:c r="L3108" s="24" t="str">
        <x:v>4.00</x:v>
      </x:c>
      <x:c r="M3108" s="24" t="str">
        <x:v>0.50</x:v>
      </x:c>
      <x:c r="N3108" s="24" t="str">
        <x:v>75/80</x:v>
      </x:c>
      <x:c r="O3108" s="24"/>
      <x:c r="P3108" s="24"/>
      <x:c r="Q3108" s="24" t="str">
        <x:v>DISPONÍVEL</x:v>
      </x:c>
      <x:c r="R3108" s="24" t="str">
        <x:v>Programa de Parcerias ZEISS</x:v>
      </x:c>
      <x:c r="S3108" s="24" t="n">
        <x:v>54</x:v>
      </x:c>
      <x:c r="T3108" s="24" t="str">
        <x:v>tabela_zeiss.pdf</x:v>
      </x:c>
      <x:c r="U3108" s="24" t="str">
        <x:v>ZEISS|Asiana|Surfaçada|Asiana|PhotoFusion X|1.5|1.50|DuraVision Platinum UV|-6.00 a +4.00|4.00|0.50|75/80|||54</x:v>
      </x:c>
    </x:row>
    <x:row r="3109">
      <x:c r="A3109" s="24" t="str">
        <x:v>ZS-3AA073148044</x:v>
      </x:c>
      <x:c r="B3109" s="24" t="str">
        <x:v>ZEISS</x:v>
      </x:c>
      <x:c r="C3109" s="24" t="str">
        <x:v>Asiana</x:v>
      </x:c>
      <x:c r="D3109" s="24" t="str">
        <x:v>Surfaçada</x:v>
      </x:c>
      <x:c r="E3109" s="24" t="str">
        <x:v>Asiana</x:v>
      </x:c>
      <x:c r="F3109" s="24" t="str">
        <x:v>PhotoFusion X</x:v>
      </x:c>
      <x:c r="G3109" s="24" t="str">
        <x:v>1.5</x:v>
      </x:c>
      <x:c r="H3109" s="24" t="str">
        <x:v>1.50</x:v>
      </x:c>
      <x:c r="I3109" s="24" t="str">
        <x:v>DuraVision Silver UV</x:v>
      </x:c>
      <x:c r="J3109" s="40" t="n">
        <x:v>3290</x:v>
      </x:c>
      <x:c r="K3109" s="24" t="str">
        <x:v>-6.00 a +4.00</x:v>
      </x:c>
      <x:c r="L3109" s="24" t="str">
        <x:v>4.00</x:v>
      </x:c>
      <x:c r="M3109" s="24" t="str">
        <x:v>0.50</x:v>
      </x:c>
      <x:c r="N3109" s="24" t="str">
        <x:v>75/80</x:v>
      </x:c>
      <x:c r="O3109" s="24"/>
      <x:c r="P3109" s="24"/>
      <x:c r="Q3109" s="24" t="str">
        <x:v>DISPONÍVEL</x:v>
      </x:c>
      <x:c r="R3109" s="24" t="str">
        <x:v>Programa de Parcerias ZEISS</x:v>
      </x:c>
      <x:c r="S3109" s="24" t="n">
        <x:v>54</x:v>
      </x:c>
      <x:c r="T3109" s="24" t="str">
        <x:v>tabela_zeiss.pdf</x:v>
      </x:c>
      <x:c r="U3109" s="24" t="str">
        <x:v>ZEISS|Asiana|Surfaçada|Asiana|PhotoFusion X|1.5|1.50|DuraVision Silver UV|-6.00 a +4.00|4.00|0.50|75/80|||54</x:v>
      </x:c>
    </x:row>
    <x:row r="3110">
      <x:c r="A3110" s="24" t="str">
        <x:v>ZS-EB5DBD79D79E</x:v>
      </x:c>
      <x:c r="B3110" s="24" t="str">
        <x:v>ZEISS</x:v>
      </x:c>
      <x:c r="C3110" s="24" t="str">
        <x:v>Asiana</x:v>
      </x:c>
      <x:c r="D3110" s="24" t="str">
        <x:v>Surfaçada</x:v>
      </x:c>
      <x:c r="E3110" s="24" t="str">
        <x:v>Asiana</x:v>
      </x:c>
      <x:c r="F3110" s="24" t="str">
        <x:v>PhotoFusion X</x:v>
      </x:c>
      <x:c r="G3110" s="24" t="str">
        <x:v>1.5</x:v>
      </x:c>
      <x:c r="H3110" s="24" t="str">
        <x:v>1.50</x:v>
      </x:c>
      <x:c r="I3110" s="24" t="str">
        <x:v>DuraVision Chrome UV</x:v>
      </x:c>
      <x:c r="J3110" s="40" t="n">
        <x:v>2800</x:v>
      </x:c>
      <x:c r="K3110" s="24" t="str">
        <x:v>-6.00 a +4.00</x:v>
      </x:c>
      <x:c r="L3110" s="24" t="str">
        <x:v>4.00</x:v>
      </x:c>
      <x:c r="M3110" s="24" t="str">
        <x:v>0.50</x:v>
      </x:c>
      <x:c r="N3110" s="24" t="str">
        <x:v>75/80</x:v>
      </x:c>
      <x:c r="O3110" s="24"/>
      <x:c r="P3110" s="24"/>
      <x:c r="Q3110" s="24" t="str">
        <x:v>DISPONÍVEL</x:v>
      </x:c>
      <x:c r="R3110" s="24" t="str">
        <x:v>Programa de Parcerias ZEISS</x:v>
      </x:c>
      <x:c r="S3110" s="24" t="n">
        <x:v>54</x:v>
      </x:c>
      <x:c r="T3110" s="24" t="str">
        <x:v>tabela_zeiss.pdf</x:v>
      </x:c>
      <x:c r="U3110" s="24" t="str">
        <x:v>ZEISS|Asiana|Surfaçada|Asiana|PhotoFusion X|1.5|1.50|DuraVision Chrome UV|-6.00 a +4.00|4.00|0.50|75/80|||54</x:v>
      </x:c>
    </x:row>
    <x:row r="3111">
      <x:c r="A3111" s="24" t="str">
        <x:v>ZS-920360A7C90A</x:v>
      </x:c>
      <x:c r="B3111" s="24" t="str">
        <x:v>ZEISS</x:v>
      </x:c>
      <x:c r="C3111" s="24" t="str">
        <x:v>Asiana</x:v>
      </x:c>
      <x:c r="D3111" s="24" t="str">
        <x:v>Surfaçada</x:v>
      </x:c>
      <x:c r="E3111" s="24" t="str">
        <x:v>Asiana</x:v>
      </x:c>
      <x:c r="F3111" s="24" t="str">
        <x:v>PhotoFusion X</x:v>
      </x:c>
      <x:c r="G3111" s="24" t="str">
        <x:v>1.6</x:v>
      </x:c>
      <x:c r="H3111" s="24" t="str">
        <x:v>1.60</x:v>
      </x:c>
      <x:c r="I3111" s="24" t="str">
        <x:v>DuraVision Gold UV</x:v>
      </x:c>
      <x:c r="J3111" s="40" t="n">
        <x:v>4940</x:v>
      </x:c>
      <x:c r="K3111" s="24" t="str">
        <x:v>-10.00 a +6.00</x:v>
      </x:c>
      <x:c r="L3111" s="24" t="str">
        <x:v>6.00</x:v>
      </x:c>
      <x:c r="M3111" s="24" t="str">
        <x:v>0.50</x:v>
      </x:c>
      <x:c r="N3111" s="24" t="str">
        <x:v>70/75</x:v>
      </x:c>
      <x:c r="O3111" s="24"/>
      <x:c r="P3111" s="24"/>
      <x:c r="Q3111" s="24" t="str">
        <x:v>DISPONÍVEL</x:v>
      </x:c>
      <x:c r="R3111" s="24" t="str">
        <x:v>Programa de Parcerias ZEISS</x:v>
      </x:c>
      <x:c r="S3111" s="24" t="n">
        <x:v>54</x:v>
      </x:c>
      <x:c r="T3111" s="24" t="str">
        <x:v>tabela_zeiss.pdf</x:v>
      </x:c>
      <x:c r="U3111" s="24" t="str">
        <x:v>ZEISS|Asiana|Surfaçada|Asiana|PhotoFusion X|1.6|1.60|DuraVision Gold UV|-10.00 a +6.00|6.00|0.50|70/75|||54</x:v>
      </x:c>
    </x:row>
    <x:row r="3112">
      <x:c r="A3112" s="24" t="str">
        <x:v>ZS-A69DCFE7C428</x:v>
      </x:c>
      <x:c r="B3112" s="24" t="str">
        <x:v>ZEISS</x:v>
      </x:c>
      <x:c r="C3112" s="24" t="str">
        <x:v>Asiana</x:v>
      </x:c>
      <x:c r="D3112" s="24" t="str">
        <x:v>Surfaçada</x:v>
      </x:c>
      <x:c r="E3112" s="24" t="str">
        <x:v>Asiana</x:v>
      </x:c>
      <x:c r="F3112" s="24" t="str">
        <x:v>PhotoFusion X</x:v>
      </x:c>
      <x:c r="G3112" s="24" t="str">
        <x:v>1.6</x:v>
      </x:c>
      <x:c r="H3112" s="24" t="str">
        <x:v>1.60</x:v>
      </x:c>
      <x:c r="I3112" s="24" t="str">
        <x:v>DURAVISION® ANTIVÍRUS PLATINUM UV</x:v>
      </x:c>
      <x:c r="J3112" s="40" t="n">
        <x:v>4800</x:v>
      </x:c>
      <x:c r="K3112" s="24" t="str">
        <x:v>-10.00 a +6.00</x:v>
      </x:c>
      <x:c r="L3112" s="24" t="str">
        <x:v>6.00</x:v>
      </x:c>
      <x:c r="M3112" s="24" t="str">
        <x:v>0.50</x:v>
      </x:c>
      <x:c r="N3112" s="24" t="str">
        <x:v>70/75</x:v>
      </x:c>
      <x:c r="O3112" s="24"/>
      <x:c r="P3112" s="24"/>
      <x:c r="Q3112" s="24" t="str">
        <x:v>DISPONÍVEL</x:v>
      </x:c>
      <x:c r="R3112" s="24" t="str">
        <x:v>Programa de Parcerias ZEISS</x:v>
      </x:c>
      <x:c r="S3112" s="24" t="n">
        <x:v>54</x:v>
      </x:c>
      <x:c r="T3112" s="24" t="str">
        <x:v>tabela_zeiss.pdf</x:v>
      </x:c>
      <x:c r="U3112" s="24" t="str">
        <x:v>ZEISS|Asiana|Surfaçada|Asiana|PhotoFusion X|1.6|1.60|DURAVISION® ANTIVÍRUS PLATINUM UV|-10.00 a +6.00|6.00|0.50|70/75|||54</x:v>
      </x:c>
    </x:row>
    <x:row r="3113">
      <x:c r="A3113" s="24" t="str">
        <x:v>ZS-9CFD2477EEBC</x:v>
      </x:c>
      <x:c r="B3113" s="24" t="str">
        <x:v>ZEISS</x:v>
      </x:c>
      <x:c r="C3113" s="24" t="str">
        <x:v>Asiana</x:v>
      </x:c>
      <x:c r="D3113" s="24" t="str">
        <x:v>Surfaçada</x:v>
      </x:c>
      <x:c r="E3113" s="24" t="str">
        <x:v>Asiana</x:v>
      </x:c>
      <x:c r="F3113" s="24" t="str">
        <x:v>PhotoFusion X</x:v>
      </x:c>
      <x:c r="G3113" s="24" t="str">
        <x:v>1.6</x:v>
      </x:c>
      <x:c r="H3113" s="24" t="str">
        <x:v>1.60</x:v>
      </x:c>
      <x:c r="I3113" s="24" t="str">
        <x:v>DuraVision Platinum UV</x:v>
      </x:c>
      <x:c r="J3113" s="40" t="n">
        <x:v>4800</x:v>
      </x:c>
      <x:c r="K3113" s="24" t="str">
        <x:v>-10.00 a +6.00</x:v>
      </x:c>
      <x:c r="L3113" s="24" t="str">
        <x:v>6.00</x:v>
      </x:c>
      <x:c r="M3113" s="24" t="str">
        <x:v>0.50</x:v>
      </x:c>
      <x:c r="N3113" s="24" t="str">
        <x:v>70/75</x:v>
      </x:c>
      <x:c r="O3113" s="24"/>
      <x:c r="P3113" s="24"/>
      <x:c r="Q3113" s="24" t="str">
        <x:v>DISPONÍVEL</x:v>
      </x:c>
      <x:c r="R3113" s="24" t="str">
        <x:v>Programa de Parcerias ZEISS</x:v>
      </x:c>
      <x:c r="S3113" s="24" t="n">
        <x:v>54</x:v>
      </x:c>
      <x:c r="T3113" s="24" t="str">
        <x:v>tabela_zeiss.pdf</x:v>
      </x:c>
      <x:c r="U3113" s="24" t="str">
        <x:v>ZEISS|Asiana|Surfaçada|Asiana|PhotoFusion X|1.6|1.60|DuraVision Platinum UV|-10.00 a +6.00|6.00|0.50|70/75|||54</x:v>
      </x:c>
    </x:row>
    <x:row r="3114">
      <x:c r="A3114" s="24" t="str">
        <x:v>ZS-656D0151BAAD</x:v>
      </x:c>
      <x:c r="B3114" s="24" t="str">
        <x:v>ZEISS</x:v>
      </x:c>
      <x:c r="C3114" s="24" t="str">
        <x:v>Asiana</x:v>
      </x:c>
      <x:c r="D3114" s="24" t="str">
        <x:v>Surfaçada</x:v>
      </x:c>
      <x:c r="E3114" s="24" t="str">
        <x:v>Asiana</x:v>
      </x:c>
      <x:c r="F3114" s="24" t="str">
        <x:v>PhotoFusion X</x:v>
      </x:c>
      <x:c r="G3114" s="24" t="str">
        <x:v>1.6</x:v>
      </x:c>
      <x:c r="H3114" s="24" t="str">
        <x:v>1.60</x:v>
      </x:c>
      <x:c r="I3114" s="24" t="str">
        <x:v>DuraVision Silver UV</x:v>
      </x:c>
      <x:c r="J3114" s="40" t="n">
        <x:v>4540</x:v>
      </x:c>
      <x:c r="K3114" s="24" t="str">
        <x:v>-10.00 a +6.00</x:v>
      </x:c>
      <x:c r="L3114" s="24" t="str">
        <x:v>6.00</x:v>
      </x:c>
      <x:c r="M3114" s="24" t="str">
        <x:v>0.50</x:v>
      </x:c>
      <x:c r="N3114" s="24" t="str">
        <x:v>70/75</x:v>
      </x:c>
      <x:c r="O3114" s="24"/>
      <x:c r="P3114" s="24"/>
      <x:c r="Q3114" s="24" t="str">
        <x:v>DISPONÍVEL</x:v>
      </x:c>
      <x:c r="R3114" s="24" t="str">
        <x:v>Programa de Parcerias ZEISS</x:v>
      </x:c>
      <x:c r="S3114" s="24" t="n">
        <x:v>54</x:v>
      </x:c>
      <x:c r="T3114" s="24" t="str">
        <x:v>tabela_zeiss.pdf</x:v>
      </x:c>
      <x:c r="U3114" s="24" t="str">
        <x:v>ZEISS|Asiana|Surfaçada|Asiana|PhotoFusion X|1.6|1.60|DuraVision Silver UV|-10.00 a +6.00|6.00|0.50|70/75|||54</x:v>
      </x:c>
    </x:row>
    <x:row r="3115">
      <x:c r="A3115" s="24" t="str">
        <x:v>ZS-6FF2D32EFA91</x:v>
      </x:c>
      <x:c r="B3115" s="24" t="str">
        <x:v>ZEISS</x:v>
      </x:c>
      <x:c r="C3115" s="24" t="str">
        <x:v>Asiana</x:v>
      </x:c>
      <x:c r="D3115" s="24" t="str">
        <x:v>Surfaçada</x:v>
      </x:c>
      <x:c r="E3115" s="24" t="str">
        <x:v>Asiana</x:v>
      </x:c>
      <x:c r="F3115" s="24" t="str">
        <x:v>PhotoFusion X</x:v>
      </x:c>
      <x:c r="G3115" s="24" t="str">
        <x:v>1.6</x:v>
      </x:c>
      <x:c r="H3115" s="24" t="str">
        <x:v>1.60</x:v>
      </x:c>
      <x:c r="I3115" s="24" t="str">
        <x:v>DuraVision Chrome UV</x:v>
      </x:c>
      <x:c r="J3115" s="40" t="n">
        <x:v>4050</x:v>
      </x:c>
      <x:c r="K3115" s="24" t="str">
        <x:v>-10.00 a +6.00</x:v>
      </x:c>
      <x:c r="L3115" s="24" t="str">
        <x:v>6.00</x:v>
      </x:c>
      <x:c r="M3115" s="24" t="str">
        <x:v>0.50</x:v>
      </x:c>
      <x:c r="N3115" s="24" t="str">
        <x:v>70/75</x:v>
      </x:c>
      <x:c r="O3115" s="24"/>
      <x:c r="P3115" s="24"/>
      <x:c r="Q3115" s="24" t="str">
        <x:v>DISPONÍVEL</x:v>
      </x:c>
      <x:c r="R3115" s="24" t="str">
        <x:v>Programa de Parcerias ZEISS</x:v>
      </x:c>
      <x:c r="S3115" s="24" t="n">
        <x:v>54</x:v>
      </x:c>
      <x:c r="T3115" s="24" t="str">
        <x:v>tabela_zeiss.pdf</x:v>
      </x:c>
      <x:c r="U3115" s="24" t="str">
        <x:v>ZEISS|Asiana|Surfaçada|Asiana|PhotoFusion X|1.6|1.60|DuraVision Chrome UV|-10.00 a +6.00|6.00|0.50|70/75|||54</x:v>
      </x:c>
    </x:row>
    <x:row r="3116">
      <x:c r="A3116" s="24" t="str">
        <x:v>ZS-3043F0503E4E</x:v>
      </x:c>
      <x:c r="B3116" s="24" t="str">
        <x:v>ZEISS</x:v>
      </x:c>
      <x:c r="C3116" s="24" t="str">
        <x:v>Asiana</x:v>
      </x:c>
      <x:c r="D3116" s="24" t="str">
        <x:v>Surfaçada</x:v>
      </x:c>
      <x:c r="E3116" s="24" t="str">
        <x:v>Asiana</x:v>
      </x:c>
      <x:c r="F3116" s="24" t="str">
        <x:v>PhotoFusion X</x:v>
      </x:c>
      <x:c r="G3116" s="24" t="str">
        <x:v>1.67</x:v>
      </x:c>
      <x:c r="H3116" s="24" t="str">
        <x:v>1.67</x:v>
      </x:c>
      <x:c r="I3116" s="24" t="str">
        <x:v>DuraVision Gold UV</x:v>
      </x:c>
      <x:c r="J3116" s="40" t="n">
        <x:v>6580</x:v>
      </x:c>
      <x:c r="K3116" s="24" t="str">
        <x:v>-10.00 a +8.00</x:v>
      </x:c>
      <x:c r="L3116" s="24" t="str">
        <x:v>4.00</x:v>
      </x:c>
      <x:c r="M3116" s="24" t="str">
        <x:v>0.50</x:v>
      </x:c>
      <x:c r="N3116" s="24" t="str">
        <x:v>70/75</x:v>
      </x:c>
      <x:c r="O3116" s="24"/>
      <x:c r="P3116" s="24"/>
      <x:c r="Q3116" s="24" t="str">
        <x:v>DISPONÍVEL</x:v>
      </x:c>
      <x:c r="R3116" s="24" t="str">
        <x:v>Programa de Parcerias ZEISS</x:v>
      </x:c>
      <x:c r="S3116" s="24" t="n">
        <x:v>54</x:v>
      </x:c>
      <x:c r="T3116" s="24" t="str">
        <x:v>tabela_zeiss.pdf</x:v>
      </x:c>
      <x:c r="U3116" s="24" t="str">
        <x:v>ZEISS|Asiana|Surfaçada|Asiana|PhotoFusion X|1.67|1.67|DuraVision Gold UV|-10.00 a +8.00|4.00|0.50|70/75|||54</x:v>
      </x:c>
    </x:row>
    <x:row r="3117">
      <x:c r="A3117" s="24" t="str">
        <x:v>ZS-EA43EE8E192A</x:v>
      </x:c>
      <x:c r="B3117" s="24" t="str">
        <x:v>ZEISS</x:v>
      </x:c>
      <x:c r="C3117" s="24" t="str">
        <x:v>Asiana</x:v>
      </x:c>
      <x:c r="D3117" s="24" t="str">
        <x:v>Surfaçada</x:v>
      </x:c>
      <x:c r="E3117" s="24" t="str">
        <x:v>Asiana</x:v>
      </x:c>
      <x:c r="F3117" s="24" t="str">
        <x:v>PhotoFusion X</x:v>
      </x:c>
      <x:c r="G3117" s="24" t="str">
        <x:v>1.67</x:v>
      </x:c>
      <x:c r="H3117" s="24" t="str">
        <x:v>1.67</x:v>
      </x:c>
      <x:c r="I3117" s="24" t="str">
        <x:v>DURAVISION® ANTIVÍRUS PLATINUM UV</x:v>
      </x:c>
      <x:c r="J3117" s="40" t="n">
        <x:v>6440</x:v>
      </x:c>
      <x:c r="K3117" s="24" t="str">
        <x:v>-10.00 a +8.00</x:v>
      </x:c>
      <x:c r="L3117" s="24" t="str">
        <x:v>4.00</x:v>
      </x:c>
      <x:c r="M3117" s="24" t="str">
        <x:v>0.50</x:v>
      </x:c>
      <x:c r="N3117" s="24" t="str">
        <x:v>70/75</x:v>
      </x:c>
      <x:c r="O3117" s="24"/>
      <x:c r="P3117" s="24"/>
      <x:c r="Q3117" s="24" t="str">
        <x:v>DISPONÍVEL</x:v>
      </x:c>
      <x:c r="R3117" s="24" t="str">
        <x:v>Programa de Parcerias ZEISS</x:v>
      </x:c>
      <x:c r="S3117" s="24" t="n">
        <x:v>54</x:v>
      </x:c>
      <x:c r="T3117" s="24" t="str">
        <x:v>tabela_zeiss.pdf</x:v>
      </x:c>
      <x:c r="U3117" s="24" t="str">
        <x:v>ZEISS|Asiana|Surfaçada|Asiana|PhotoFusion X|1.67|1.67|DURAVISION® ANTIVÍRUS PLATINUM UV|-10.00 a +8.00|4.00|0.50|70/75|||54</x:v>
      </x:c>
    </x:row>
    <x:row r="3118">
      <x:c r="A3118" s="24" t="str">
        <x:v>ZS-5DE321FCADB7</x:v>
      </x:c>
      <x:c r="B3118" s="24" t="str">
        <x:v>ZEISS</x:v>
      </x:c>
      <x:c r="C3118" s="24" t="str">
        <x:v>Asiana</x:v>
      </x:c>
      <x:c r="D3118" s="24" t="str">
        <x:v>Surfaçada</x:v>
      </x:c>
      <x:c r="E3118" s="24" t="str">
        <x:v>Asiana</x:v>
      </x:c>
      <x:c r="F3118" s="24" t="str">
        <x:v>PhotoFusion X</x:v>
      </x:c>
      <x:c r="G3118" s="24" t="str">
        <x:v>1.67</x:v>
      </x:c>
      <x:c r="H3118" s="24" t="str">
        <x:v>1.67</x:v>
      </x:c>
      <x:c r="I3118" s="24" t="str">
        <x:v>DuraVision Platinum UV</x:v>
      </x:c>
      <x:c r="J3118" s="40" t="n">
        <x:v>6440</x:v>
      </x:c>
      <x:c r="K3118" s="24" t="str">
        <x:v>-10.00 a +8.00</x:v>
      </x:c>
      <x:c r="L3118" s="24" t="str">
        <x:v>4.00</x:v>
      </x:c>
      <x:c r="M3118" s="24" t="str">
        <x:v>0.50</x:v>
      </x:c>
      <x:c r="N3118" s="24" t="str">
        <x:v>70/75</x:v>
      </x:c>
      <x:c r="O3118" s="24"/>
      <x:c r="P3118" s="24"/>
      <x:c r="Q3118" s="24" t="str">
        <x:v>DISPONÍVEL</x:v>
      </x:c>
      <x:c r="R3118" s="24" t="str">
        <x:v>Programa de Parcerias ZEISS</x:v>
      </x:c>
      <x:c r="S3118" s="24" t="n">
        <x:v>54</x:v>
      </x:c>
      <x:c r="T3118" s="24" t="str">
        <x:v>tabela_zeiss.pdf</x:v>
      </x:c>
      <x:c r="U3118" s="24" t="str">
        <x:v>ZEISS|Asiana|Surfaçada|Asiana|PhotoFusion X|1.67|1.67|DuraVision Platinum UV|-10.00 a +8.00|4.00|0.50|70/75|||54</x:v>
      </x:c>
    </x:row>
    <x:row r="3119">
      <x:c r="A3119" s="24" t="str">
        <x:v>ZS-05597484F032</x:v>
      </x:c>
      <x:c r="B3119" s="24" t="str">
        <x:v>ZEISS</x:v>
      </x:c>
      <x:c r="C3119" s="24" t="str">
        <x:v>Asiana</x:v>
      </x:c>
      <x:c r="D3119" s="24" t="str">
        <x:v>Surfaçada</x:v>
      </x:c>
      <x:c r="E3119" s="24" t="str">
        <x:v>Asiana</x:v>
      </x:c>
      <x:c r="F3119" s="24" t="str">
        <x:v>PhotoFusion X</x:v>
      </x:c>
      <x:c r="G3119" s="24" t="str">
        <x:v>1.67</x:v>
      </x:c>
      <x:c r="H3119" s="24" t="str">
        <x:v>1.67</x:v>
      </x:c>
      <x:c r="I3119" s="24" t="str">
        <x:v>DuraVision Silver UV</x:v>
      </x:c>
      <x:c r="J3119" s="40" t="n">
        <x:v>6180</x:v>
      </x:c>
      <x:c r="K3119" s="24" t="str">
        <x:v>-10.00 a +8.00</x:v>
      </x:c>
      <x:c r="L3119" s="24" t="str">
        <x:v>4.00</x:v>
      </x:c>
      <x:c r="M3119" s="24" t="str">
        <x:v>0.50</x:v>
      </x:c>
      <x:c r="N3119" s="24" t="str">
        <x:v>70/75</x:v>
      </x:c>
      <x:c r="O3119" s="24"/>
      <x:c r="P3119" s="24"/>
      <x:c r="Q3119" s="24" t="str">
        <x:v>DISPONÍVEL</x:v>
      </x:c>
      <x:c r="R3119" s="24" t="str">
        <x:v>Programa de Parcerias ZEISS</x:v>
      </x:c>
      <x:c r="S3119" s="24" t="n">
        <x:v>54</x:v>
      </x:c>
      <x:c r="T3119" s="24" t="str">
        <x:v>tabela_zeiss.pdf</x:v>
      </x:c>
      <x:c r="U3119" s="24" t="str">
        <x:v>ZEISS|Asiana|Surfaçada|Asiana|PhotoFusion X|1.67|1.67|DuraVision Silver UV|-10.00 a +8.00|4.00|0.50|70/75|||54</x:v>
      </x:c>
    </x:row>
    <x:row r="3120">
      <x:c r="A3120" s="24" t="str">
        <x:v>ZS-5BDA8DBCFA26</x:v>
      </x:c>
      <x:c r="B3120" s="24" t="str">
        <x:v>ZEISS</x:v>
      </x:c>
      <x:c r="C3120" s="24" t="str">
        <x:v>Asiana</x:v>
      </x:c>
      <x:c r="D3120" s="24" t="str">
        <x:v>Surfaçada</x:v>
      </x:c>
      <x:c r="E3120" s="24" t="str">
        <x:v>Asiana</x:v>
      </x:c>
      <x:c r="F3120" s="24" t="str">
        <x:v>PhotoFusion X</x:v>
      </x:c>
      <x:c r="G3120" s="24" t="str">
        <x:v>1.67</x:v>
      </x:c>
      <x:c r="H3120" s="24" t="str">
        <x:v>1.67</x:v>
      </x:c>
      <x:c r="I3120" s="24" t="str">
        <x:v>DuraVision Chrome UV</x:v>
      </x:c>
      <x:c r="J3120" s="40" t="n">
        <x:v>5690</x:v>
      </x:c>
      <x:c r="K3120" s="24" t="str">
        <x:v>-10.00 a +8.00</x:v>
      </x:c>
      <x:c r="L3120" s="24" t="str">
        <x:v>4.00</x:v>
      </x:c>
      <x:c r="M3120" s="24" t="str">
        <x:v>0.50</x:v>
      </x:c>
      <x:c r="N3120" s="24" t="str">
        <x:v>70/75</x:v>
      </x:c>
      <x:c r="O3120" s="24"/>
      <x:c r="P3120" s="24"/>
      <x:c r="Q3120" s="24" t="str">
        <x:v>DISPONÍVEL</x:v>
      </x:c>
      <x:c r="R3120" s="24" t="str">
        <x:v>Programa de Parcerias ZEISS</x:v>
      </x:c>
      <x:c r="S3120" s="24" t="n">
        <x:v>54</x:v>
      </x:c>
      <x:c r="T3120" s="24" t="str">
        <x:v>tabela_zeiss.pdf</x:v>
      </x:c>
      <x:c r="U3120" s="24" t="str">
        <x:v>ZEISS|Asiana|Surfaçada|Asiana|PhotoFusion X|1.67|1.67|DuraVision Chrome UV|-10.00 a +8.00|4.00|0.50|70/75|||54</x:v>
      </x:c>
    </x:row>
    <x:row r="3121">
      <x:c r="A3121" s="24" t="str">
        <x:v>ZS-3F21D99F881D</x:v>
      </x:c>
      <x:c r="B3121" s="24" t="str">
        <x:v>ZEISS</x:v>
      </x:c>
      <x:c r="C3121" s="24" t="str">
        <x:v>Asiana</x:v>
      </x:c>
      <x:c r="D3121" s="24" t="str">
        <x:v>Surfaçada</x:v>
      </x:c>
      <x:c r="E3121" s="24" t="str">
        <x:v>Asiana</x:v>
      </x:c>
      <x:c r="F3121" s="24" t="str">
        <x:v>PhotoFusion X Extra Dark Cinza</x:v>
      </x:c>
      <x:c r="G3121" s="24" t="str">
        <x:v>1.5</x:v>
      </x:c>
      <x:c r="H3121" s="24" t="str">
        <x:v>1.50</x:v>
      </x:c>
      <x:c r="I3121" s="24" t="str">
        <x:v>DuraVision Gold UV</x:v>
      </x:c>
      <x:c r="J3121" s="40" t="n">
        <x:v>3740</x:v>
      </x:c>
      <x:c r="K3121" s="24" t="str">
        <x:v>-6.00 a +4.00</x:v>
      </x:c>
      <x:c r="L3121" s="24" t="str">
        <x:v>4.00</x:v>
      </x:c>
      <x:c r="M3121" s="24" t="str">
        <x:v>0.50</x:v>
      </x:c>
      <x:c r="N3121" s="24" t="str">
        <x:v>75/80</x:v>
      </x:c>
      <x:c r="O3121" s="24"/>
      <x:c r="P3121" s="24"/>
      <x:c r="Q3121" s="24" t="str">
        <x:v>DISPONÍVEL</x:v>
      </x:c>
      <x:c r="R3121" s="24" t="str">
        <x:v>Programa de Parcerias ZEISS</x:v>
      </x:c>
      <x:c r="S3121" s="24" t="n">
        <x:v>54</x:v>
      </x:c>
      <x:c r="T3121" s="24" t="str">
        <x:v>tabela_zeiss.pdf</x:v>
      </x:c>
      <x:c r="U3121" s="24" t="str">
        <x:v>ZEISS|Asiana|Surfaçada|Asiana|PhotoFusion X Extra Dark Cinza|1.5|1.50|DuraVision Gold UV|-6.00 a +4.00|4.00|0.50|75/80|||54</x:v>
      </x:c>
    </x:row>
    <x:row r="3122">
      <x:c r="A3122" s="24" t="str">
        <x:v>ZS-F63D8E3C245C</x:v>
      </x:c>
      <x:c r="B3122" s="24" t="str">
        <x:v>ZEISS</x:v>
      </x:c>
      <x:c r="C3122" s="24" t="str">
        <x:v>Asiana</x:v>
      </x:c>
      <x:c r="D3122" s="24" t="str">
        <x:v>Surfaçada</x:v>
      </x:c>
      <x:c r="E3122" s="24" t="str">
        <x:v>Asiana</x:v>
      </x:c>
      <x:c r="F3122" s="24" t="str">
        <x:v>PhotoFusion X Extra Dark Cinza</x:v>
      </x:c>
      <x:c r="G3122" s="24" t="str">
        <x:v>1.5</x:v>
      </x:c>
      <x:c r="H3122" s="24" t="str">
        <x:v>1.50</x:v>
      </x:c>
      <x:c r="I3122" s="24" t="str">
        <x:v>DURAVISION® ANTIVÍRUS PLATINUM UV</x:v>
      </x:c>
      <x:c r="J3122" s="40" t="n">
        <x:v>3600</x:v>
      </x:c>
      <x:c r="K3122" s="24" t="str">
        <x:v>-6.00 a +4.00</x:v>
      </x:c>
      <x:c r="L3122" s="24" t="str">
        <x:v>4.00</x:v>
      </x:c>
      <x:c r="M3122" s="24" t="str">
        <x:v>0.50</x:v>
      </x:c>
      <x:c r="N3122" s="24" t="str">
        <x:v>75/80</x:v>
      </x:c>
      <x:c r="O3122" s="24"/>
      <x:c r="P3122" s="24"/>
      <x:c r="Q3122" s="24" t="str">
        <x:v>DISPONÍVEL</x:v>
      </x:c>
      <x:c r="R3122" s="24" t="str">
        <x:v>Programa de Parcerias ZEISS</x:v>
      </x:c>
      <x:c r="S3122" s="24" t="n">
        <x:v>54</x:v>
      </x:c>
      <x:c r="T3122" s="24" t="str">
        <x:v>tabela_zeiss.pdf</x:v>
      </x:c>
      <x:c r="U3122" s="24" t="str">
        <x:v>ZEISS|Asiana|Surfaçada|Asiana|PhotoFusion X Extra Dark Cinza|1.5|1.50|DURAVISION® ANTIVÍRUS PLATINUM UV|-6.00 a +4.00|4.00|0.50|75/80|||54</x:v>
      </x:c>
    </x:row>
    <x:row r="3123">
      <x:c r="A3123" s="24" t="str">
        <x:v>ZS-BD3ABE720AFE</x:v>
      </x:c>
      <x:c r="B3123" s="24" t="str">
        <x:v>ZEISS</x:v>
      </x:c>
      <x:c r="C3123" s="24" t="str">
        <x:v>Asiana</x:v>
      </x:c>
      <x:c r="D3123" s="24" t="str">
        <x:v>Surfaçada</x:v>
      </x:c>
      <x:c r="E3123" s="24" t="str">
        <x:v>Asiana</x:v>
      </x:c>
      <x:c r="F3123" s="24" t="str">
        <x:v>PhotoFusion X Extra Dark Cinza</x:v>
      </x:c>
      <x:c r="G3123" s="24" t="str">
        <x:v>1.5</x:v>
      </x:c>
      <x:c r="H3123" s="24" t="str">
        <x:v>1.50</x:v>
      </x:c>
      <x:c r="I3123" s="24" t="str">
        <x:v>DuraVision Platinum UV</x:v>
      </x:c>
      <x:c r="J3123" s="40" t="n">
        <x:v>3600</x:v>
      </x:c>
      <x:c r="K3123" s="24" t="str">
        <x:v>-6.00 a +4.00</x:v>
      </x:c>
      <x:c r="L3123" s="24" t="str">
        <x:v>4.00</x:v>
      </x:c>
      <x:c r="M3123" s="24" t="str">
        <x:v>0.50</x:v>
      </x:c>
      <x:c r="N3123" s="24" t="str">
        <x:v>75/80</x:v>
      </x:c>
      <x:c r="O3123" s="24"/>
      <x:c r="P3123" s="24"/>
      <x:c r="Q3123" s="24" t="str">
        <x:v>DISPONÍVEL</x:v>
      </x:c>
      <x:c r="R3123" s="24" t="str">
        <x:v>Programa de Parcerias ZEISS</x:v>
      </x:c>
      <x:c r="S3123" s="24" t="n">
        <x:v>54</x:v>
      </x:c>
      <x:c r="T3123" s="24" t="str">
        <x:v>tabela_zeiss.pdf</x:v>
      </x:c>
      <x:c r="U3123" s="24" t="str">
        <x:v>ZEISS|Asiana|Surfaçada|Asiana|PhotoFusion X Extra Dark Cinza|1.5|1.50|DuraVision Platinum UV|-6.00 a +4.00|4.00|0.50|75/80|||54</x:v>
      </x:c>
    </x:row>
    <x:row r="3124">
      <x:c r="A3124" s="24" t="str">
        <x:v>ZS-41893299CB7B</x:v>
      </x:c>
      <x:c r="B3124" s="24" t="str">
        <x:v>ZEISS</x:v>
      </x:c>
      <x:c r="C3124" s="24" t="str">
        <x:v>Asiana</x:v>
      </x:c>
      <x:c r="D3124" s="24" t="str">
        <x:v>Surfaçada</x:v>
      </x:c>
      <x:c r="E3124" s="24" t="str">
        <x:v>Asiana</x:v>
      </x:c>
      <x:c r="F3124" s="24" t="str">
        <x:v>PhotoFusion X Extra Dark Cinza</x:v>
      </x:c>
      <x:c r="G3124" s="24" t="str">
        <x:v>1.5</x:v>
      </x:c>
      <x:c r="H3124" s="24" t="str">
        <x:v>1.50</x:v>
      </x:c>
      <x:c r="I3124" s="24" t="str">
        <x:v>DuraVision Silver UV</x:v>
      </x:c>
      <x:c r="J3124" s="40" t="n">
        <x:v>3340</x:v>
      </x:c>
      <x:c r="K3124" s="24" t="str">
        <x:v>-6.00 a +4.00</x:v>
      </x:c>
      <x:c r="L3124" s="24" t="str">
        <x:v>4.00</x:v>
      </x:c>
      <x:c r="M3124" s="24" t="str">
        <x:v>0.50</x:v>
      </x:c>
      <x:c r="N3124" s="24" t="str">
        <x:v>75/80</x:v>
      </x:c>
      <x:c r="O3124" s="24"/>
      <x:c r="P3124" s="24"/>
      <x:c r="Q3124" s="24" t="str">
        <x:v>DISPONÍVEL</x:v>
      </x:c>
      <x:c r="R3124" s="24" t="str">
        <x:v>Programa de Parcerias ZEISS</x:v>
      </x:c>
      <x:c r="S3124" s="24" t="n">
        <x:v>54</x:v>
      </x:c>
      <x:c r="T3124" s="24" t="str">
        <x:v>tabela_zeiss.pdf</x:v>
      </x:c>
      <x:c r="U3124" s="24" t="str">
        <x:v>ZEISS|Asiana|Surfaçada|Asiana|PhotoFusion X Extra Dark Cinza|1.5|1.50|DuraVision Silver UV|-6.00 a +4.00|4.00|0.50|75/80|||54</x:v>
      </x:c>
    </x:row>
    <x:row r="3125">
      <x:c r="A3125" s="24" t="str">
        <x:v>ZS-4DABB9CCDFE3</x:v>
      </x:c>
      <x:c r="B3125" s="24" t="str">
        <x:v>ZEISS</x:v>
      </x:c>
      <x:c r="C3125" s="24" t="str">
        <x:v>Asiana</x:v>
      </x:c>
      <x:c r="D3125" s="24" t="str">
        <x:v>Surfaçada</x:v>
      </x:c>
      <x:c r="E3125" s="24" t="str">
        <x:v>Asiana</x:v>
      </x:c>
      <x:c r="F3125" s="24" t="str">
        <x:v>PhotoFusion X Extra Dark Cinza</x:v>
      </x:c>
      <x:c r="G3125" s="24" t="str">
        <x:v>1.5</x:v>
      </x:c>
      <x:c r="H3125" s="24" t="str">
        <x:v>1.50</x:v>
      </x:c>
      <x:c r="I3125" s="24" t="str">
        <x:v>DuraVision Chrome UV</x:v>
      </x:c>
      <x:c r="J3125" s="40" t="n">
        <x:v>2850</x:v>
      </x:c>
      <x:c r="K3125" s="24" t="str">
        <x:v>-6.00 a +4.00</x:v>
      </x:c>
      <x:c r="L3125" s="24" t="str">
        <x:v>4.00</x:v>
      </x:c>
      <x:c r="M3125" s="24" t="str">
        <x:v>0.50</x:v>
      </x:c>
      <x:c r="N3125" s="24" t="str">
        <x:v>75/80</x:v>
      </x:c>
      <x:c r="O3125" s="24"/>
      <x:c r="P3125" s="24"/>
      <x:c r="Q3125" s="24" t="str">
        <x:v>DISPONÍVEL</x:v>
      </x:c>
      <x:c r="R3125" s="24" t="str">
        <x:v>Programa de Parcerias ZEISS</x:v>
      </x:c>
      <x:c r="S3125" s="24" t="n">
        <x:v>54</x:v>
      </x:c>
      <x:c r="T3125" s="24" t="str">
        <x:v>tabela_zeiss.pdf</x:v>
      </x:c>
      <x:c r="U3125" s="24" t="str">
        <x:v>ZEISS|Asiana|Surfaçada|Asiana|PhotoFusion X Extra Dark Cinza|1.5|1.50|DuraVision Chrome UV|-6.00 a +4.00|4.00|0.50|75/80|||54</x:v>
      </x:c>
    </x:row>
    <x:row r="3126">
      <x:c r="A3126" s="24" t="str">
        <x:v>ZS-16166D963021</x:v>
      </x:c>
      <x:c r="B3126" s="24" t="str">
        <x:v>ZEISS</x:v>
      </x:c>
      <x:c r="C3126" s="24" t="str">
        <x:v>Asiana</x:v>
      </x:c>
      <x:c r="D3126" s="24" t="str">
        <x:v>Surfaçada</x:v>
      </x:c>
      <x:c r="E3126" s="24" t="str">
        <x:v>Asiana</x:v>
      </x:c>
      <x:c r="F3126" s="24" t="str">
        <x:v>PhotoFusion X Extra Dark Cinza</x:v>
      </x:c>
      <x:c r="G3126" s="24" t="str">
        <x:v>1.6</x:v>
      </x:c>
      <x:c r="H3126" s="24" t="str">
        <x:v>1.60</x:v>
      </x:c>
      <x:c r="I3126" s="24" t="str">
        <x:v>DuraVision Gold UV</x:v>
      </x:c>
      <x:c r="J3126" s="40" t="n">
        <x:v>4990</x:v>
      </x:c>
      <x:c r="K3126" s="24" t="str">
        <x:v>-10.00 a +6.00</x:v>
      </x:c>
      <x:c r="L3126" s="24" t="str">
        <x:v>6.00</x:v>
      </x:c>
      <x:c r="M3126" s="24" t="str">
        <x:v>0.50</x:v>
      </x:c>
      <x:c r="N3126" s="24" t="str">
        <x:v>70/75</x:v>
      </x:c>
      <x:c r="O3126" s="24"/>
      <x:c r="P3126" s="24"/>
      <x:c r="Q3126" s="24" t="str">
        <x:v>DISPONÍVEL</x:v>
      </x:c>
      <x:c r="R3126" s="24" t="str">
        <x:v>Programa de Parcerias ZEISS</x:v>
      </x:c>
      <x:c r="S3126" s="24" t="n">
        <x:v>54</x:v>
      </x:c>
      <x:c r="T3126" s="24" t="str">
        <x:v>tabela_zeiss.pdf</x:v>
      </x:c>
      <x:c r="U3126" s="24" t="str">
        <x:v>ZEISS|Asiana|Surfaçada|Asiana|PhotoFusion X Extra Dark Cinza|1.6|1.60|DuraVision Gold UV|-10.00 a +6.00|6.00|0.50|70/75|||54</x:v>
      </x:c>
    </x:row>
    <x:row r="3127">
      <x:c r="A3127" s="24" t="str">
        <x:v>ZS-CC63755FF206</x:v>
      </x:c>
      <x:c r="B3127" s="24" t="str">
        <x:v>ZEISS</x:v>
      </x:c>
      <x:c r="C3127" s="24" t="str">
        <x:v>Asiana</x:v>
      </x:c>
      <x:c r="D3127" s="24" t="str">
        <x:v>Surfaçada</x:v>
      </x:c>
      <x:c r="E3127" s="24" t="str">
        <x:v>Asiana</x:v>
      </x:c>
      <x:c r="F3127" s="24" t="str">
        <x:v>PhotoFusion X Extra Dark Cinza</x:v>
      </x:c>
      <x:c r="G3127" s="24" t="str">
        <x:v>1.6</x:v>
      </x:c>
      <x:c r="H3127" s="24" t="str">
        <x:v>1.60</x:v>
      </x:c>
      <x:c r="I3127" s="24" t="str">
        <x:v>DURAVISION® ANTIVÍRUS PLATINUM UV</x:v>
      </x:c>
      <x:c r="J3127" s="40" t="n">
        <x:v>4850</x:v>
      </x:c>
      <x:c r="K3127" s="24" t="str">
        <x:v>-10.00 a +6.00</x:v>
      </x:c>
      <x:c r="L3127" s="24" t="str">
        <x:v>6.00</x:v>
      </x:c>
      <x:c r="M3127" s="24" t="str">
        <x:v>0.50</x:v>
      </x:c>
      <x:c r="N3127" s="24" t="str">
        <x:v>70/75</x:v>
      </x:c>
      <x:c r="O3127" s="24"/>
      <x:c r="P3127" s="24"/>
      <x:c r="Q3127" s="24" t="str">
        <x:v>DISPONÍVEL</x:v>
      </x:c>
      <x:c r="R3127" s="24" t="str">
        <x:v>Programa de Parcerias ZEISS</x:v>
      </x:c>
      <x:c r="S3127" s="24" t="n">
        <x:v>54</x:v>
      </x:c>
      <x:c r="T3127" s="24" t="str">
        <x:v>tabela_zeiss.pdf</x:v>
      </x:c>
      <x:c r="U3127" s="24" t="str">
        <x:v>ZEISS|Asiana|Surfaçada|Asiana|PhotoFusion X Extra Dark Cinza|1.6|1.60|DURAVISION® ANTIVÍRUS PLATINUM UV|-10.00 a +6.00|6.00|0.50|70/75|||54</x:v>
      </x:c>
    </x:row>
    <x:row r="3128">
      <x:c r="A3128" s="24" t="str">
        <x:v>ZS-6F2ED394458F</x:v>
      </x:c>
      <x:c r="B3128" s="24" t="str">
        <x:v>ZEISS</x:v>
      </x:c>
      <x:c r="C3128" s="24" t="str">
        <x:v>Asiana</x:v>
      </x:c>
      <x:c r="D3128" s="24" t="str">
        <x:v>Surfaçada</x:v>
      </x:c>
      <x:c r="E3128" s="24" t="str">
        <x:v>Asiana</x:v>
      </x:c>
      <x:c r="F3128" s="24" t="str">
        <x:v>PhotoFusion X Extra Dark Cinza</x:v>
      </x:c>
      <x:c r="G3128" s="24" t="str">
        <x:v>1.6</x:v>
      </x:c>
      <x:c r="H3128" s="24" t="str">
        <x:v>1.60</x:v>
      </x:c>
      <x:c r="I3128" s="24" t="str">
        <x:v>DuraVision Platinum UV</x:v>
      </x:c>
      <x:c r="J3128" s="40" t="n">
        <x:v>4850</x:v>
      </x:c>
      <x:c r="K3128" s="24" t="str">
        <x:v>-10.00 a +6.00</x:v>
      </x:c>
      <x:c r="L3128" s="24" t="str">
        <x:v>6.00</x:v>
      </x:c>
      <x:c r="M3128" s="24" t="str">
        <x:v>0.50</x:v>
      </x:c>
      <x:c r="N3128" s="24" t="str">
        <x:v>70/75</x:v>
      </x:c>
      <x:c r="O3128" s="24"/>
      <x:c r="P3128" s="24"/>
      <x:c r="Q3128" s="24" t="str">
        <x:v>DISPONÍVEL</x:v>
      </x:c>
      <x:c r="R3128" s="24" t="str">
        <x:v>Programa de Parcerias ZEISS</x:v>
      </x:c>
      <x:c r="S3128" s="24" t="n">
        <x:v>54</x:v>
      </x:c>
      <x:c r="T3128" s="24" t="str">
        <x:v>tabela_zeiss.pdf</x:v>
      </x:c>
      <x:c r="U3128" s="24" t="str">
        <x:v>ZEISS|Asiana|Surfaçada|Asiana|PhotoFusion X Extra Dark Cinza|1.6|1.60|DuraVision Platinum UV|-10.00 a +6.00|6.00|0.50|70/75|||54</x:v>
      </x:c>
    </x:row>
    <x:row r="3129">
      <x:c r="A3129" s="24" t="str">
        <x:v>ZS-E627DF1CD662</x:v>
      </x:c>
      <x:c r="B3129" s="24" t="str">
        <x:v>ZEISS</x:v>
      </x:c>
      <x:c r="C3129" s="24" t="str">
        <x:v>Asiana</x:v>
      </x:c>
      <x:c r="D3129" s="24" t="str">
        <x:v>Surfaçada</x:v>
      </x:c>
      <x:c r="E3129" s="24" t="str">
        <x:v>Asiana</x:v>
      </x:c>
      <x:c r="F3129" s="24" t="str">
        <x:v>PhotoFusion X Extra Dark Cinza</x:v>
      </x:c>
      <x:c r="G3129" s="24" t="str">
        <x:v>1.6</x:v>
      </x:c>
      <x:c r="H3129" s="24" t="str">
        <x:v>1.60</x:v>
      </x:c>
      <x:c r="I3129" s="24" t="str">
        <x:v>DuraVision Silver UV</x:v>
      </x:c>
      <x:c r="J3129" s="40" t="n">
        <x:v>4590</x:v>
      </x:c>
      <x:c r="K3129" s="24" t="str">
        <x:v>-10.00 a +6.00</x:v>
      </x:c>
      <x:c r="L3129" s="24" t="str">
        <x:v>6.00</x:v>
      </x:c>
      <x:c r="M3129" s="24" t="str">
        <x:v>0.50</x:v>
      </x:c>
      <x:c r="N3129" s="24" t="str">
        <x:v>70/75</x:v>
      </x:c>
      <x:c r="O3129" s="24"/>
      <x:c r="P3129" s="24"/>
      <x:c r="Q3129" s="24" t="str">
        <x:v>DISPONÍVEL</x:v>
      </x:c>
      <x:c r="R3129" s="24" t="str">
        <x:v>Programa de Parcerias ZEISS</x:v>
      </x:c>
      <x:c r="S3129" s="24" t="n">
        <x:v>54</x:v>
      </x:c>
      <x:c r="T3129" s="24" t="str">
        <x:v>tabela_zeiss.pdf</x:v>
      </x:c>
      <x:c r="U3129" s="24" t="str">
        <x:v>ZEISS|Asiana|Surfaçada|Asiana|PhotoFusion X Extra Dark Cinza|1.6|1.60|DuraVision Silver UV|-10.00 a +6.00|6.00|0.50|70/75|||54</x:v>
      </x:c>
    </x:row>
    <x:row r="3130">
      <x:c r="A3130" s="24" t="str">
        <x:v>ZS-00508C87F461</x:v>
      </x:c>
      <x:c r="B3130" s="24" t="str">
        <x:v>ZEISS</x:v>
      </x:c>
      <x:c r="C3130" s="24" t="str">
        <x:v>Asiana</x:v>
      </x:c>
      <x:c r="D3130" s="24" t="str">
        <x:v>Surfaçada</x:v>
      </x:c>
      <x:c r="E3130" s="24" t="str">
        <x:v>Asiana</x:v>
      </x:c>
      <x:c r="F3130" s="24" t="str">
        <x:v>PhotoFusion X Extra Dark Cinza</x:v>
      </x:c>
      <x:c r="G3130" s="24" t="str">
        <x:v>1.6</x:v>
      </x:c>
      <x:c r="H3130" s="24" t="str">
        <x:v>1.60</x:v>
      </x:c>
      <x:c r="I3130" s="24" t="str">
        <x:v>DuraVision Chrome UV</x:v>
      </x:c>
      <x:c r="J3130" s="40" t="n">
        <x:v>4100</x:v>
      </x:c>
      <x:c r="K3130" s="24" t="str">
        <x:v>-10.00 a +6.00</x:v>
      </x:c>
      <x:c r="L3130" s="24" t="str">
        <x:v>6.00</x:v>
      </x:c>
      <x:c r="M3130" s="24" t="str">
        <x:v>0.50</x:v>
      </x:c>
      <x:c r="N3130" s="24" t="str">
        <x:v>70/75</x:v>
      </x:c>
      <x:c r="O3130" s="24"/>
      <x:c r="P3130" s="24"/>
      <x:c r="Q3130" s="24" t="str">
        <x:v>DISPONÍVEL</x:v>
      </x:c>
      <x:c r="R3130" s="24" t="str">
        <x:v>Programa de Parcerias ZEISS</x:v>
      </x:c>
      <x:c r="S3130" s="24" t="n">
        <x:v>54</x:v>
      </x:c>
      <x:c r="T3130" s="24" t="str">
        <x:v>tabela_zeiss.pdf</x:v>
      </x:c>
      <x:c r="U3130" s="24" t="str">
        <x:v>ZEISS|Asiana|Surfaçada|Asiana|PhotoFusion X Extra Dark Cinza|1.6|1.60|DuraVision Chrome UV|-10.00 a +6.00|6.00|0.50|70/75|||54</x:v>
      </x:c>
    </x:row>
    <x:row r="3131">
      <x:c r="A3131" s="24" t="str">
        <x:v>ZS-A4AA50F5B19E</x:v>
      </x:c>
      <x:c r="B3131" s="24" t="str">
        <x:v>ZEISS</x:v>
      </x:c>
      <x:c r="C3131" s="24" t="str">
        <x:v>Asiana</x:v>
      </x:c>
      <x:c r="D3131" s="24" t="str">
        <x:v>Surfaçada</x:v>
      </x:c>
      <x:c r="E3131" s="24" t="str">
        <x:v>Asiana</x:v>
      </x:c>
      <x:c r="F3131" s="24" t="str">
        <x:v>PhotoFusion X Extra Dark Cinza</x:v>
      </x:c>
      <x:c r="G3131" s="24" t="str">
        <x:v>1.67</x:v>
      </x:c>
      <x:c r="H3131" s="24" t="str">
        <x:v>1.67</x:v>
      </x:c>
      <x:c r="I3131" s="24" t="str">
        <x:v>DuraVision Gold UV</x:v>
      </x:c>
      <x:c r="J3131" s="40" t="n">
        <x:v>6630</x:v>
      </x:c>
      <x:c r="K3131" s="24" t="str">
        <x:v>-10.00 a +8.00</x:v>
      </x:c>
      <x:c r="L3131" s="24" t="str">
        <x:v>4.00</x:v>
      </x:c>
      <x:c r="M3131" s="24" t="str">
        <x:v>0.50</x:v>
      </x:c>
      <x:c r="N3131" s="24" t="str">
        <x:v>70/75</x:v>
      </x:c>
      <x:c r="O3131" s="24"/>
      <x:c r="P3131" s="24"/>
      <x:c r="Q3131" s="24" t="str">
        <x:v>DISPONÍVEL</x:v>
      </x:c>
      <x:c r="R3131" s="24" t="str">
        <x:v>Programa de Parcerias ZEISS</x:v>
      </x:c>
      <x:c r="S3131" s="24" t="n">
        <x:v>54</x:v>
      </x:c>
      <x:c r="T3131" s="24" t="str">
        <x:v>tabela_zeiss.pdf</x:v>
      </x:c>
      <x:c r="U3131" s="24" t="str">
        <x:v>ZEISS|Asiana|Surfaçada|Asiana|PhotoFusion X Extra Dark Cinza|1.67|1.67|DuraVision Gold UV|-10.00 a +8.00|4.00|0.50|70/75|||54</x:v>
      </x:c>
    </x:row>
    <x:row r="3132">
      <x:c r="A3132" s="24" t="str">
        <x:v>ZS-DC3566D157B6</x:v>
      </x:c>
      <x:c r="B3132" s="24" t="str">
        <x:v>ZEISS</x:v>
      </x:c>
      <x:c r="C3132" s="24" t="str">
        <x:v>Asiana</x:v>
      </x:c>
      <x:c r="D3132" s="24" t="str">
        <x:v>Surfaçada</x:v>
      </x:c>
      <x:c r="E3132" s="24" t="str">
        <x:v>Asiana</x:v>
      </x:c>
      <x:c r="F3132" s="24" t="str">
        <x:v>PhotoFusion X Extra Dark Cinza</x:v>
      </x:c>
      <x:c r="G3132" s="24" t="str">
        <x:v>1.67</x:v>
      </x:c>
      <x:c r="H3132" s="24" t="str">
        <x:v>1.67</x:v>
      </x:c>
      <x:c r="I3132" s="24" t="str">
        <x:v>DURAVISION® ANTIVÍRUS PLATINUM UV</x:v>
      </x:c>
      <x:c r="J3132" s="40" t="n">
        <x:v>6490</x:v>
      </x:c>
      <x:c r="K3132" s="24" t="str">
        <x:v>-10.00 a +8.00</x:v>
      </x:c>
      <x:c r="L3132" s="24" t="str">
        <x:v>4.00</x:v>
      </x:c>
      <x:c r="M3132" s="24" t="str">
        <x:v>0.50</x:v>
      </x:c>
      <x:c r="N3132" s="24" t="str">
        <x:v>70/75</x:v>
      </x:c>
      <x:c r="O3132" s="24"/>
      <x:c r="P3132" s="24"/>
      <x:c r="Q3132" s="24" t="str">
        <x:v>DISPONÍVEL</x:v>
      </x:c>
      <x:c r="R3132" s="24" t="str">
        <x:v>Programa de Parcerias ZEISS</x:v>
      </x:c>
      <x:c r="S3132" s="24" t="n">
        <x:v>54</x:v>
      </x:c>
      <x:c r="T3132" s="24" t="str">
        <x:v>tabela_zeiss.pdf</x:v>
      </x:c>
      <x:c r="U3132" s="24" t="str">
        <x:v>ZEISS|Asiana|Surfaçada|Asiana|PhotoFusion X Extra Dark Cinza|1.67|1.67|DURAVISION® ANTIVÍRUS PLATINUM UV|-10.00 a +8.00|4.00|0.50|70/75|||54</x:v>
      </x:c>
    </x:row>
    <x:row r="3133">
      <x:c r="A3133" s="24" t="str">
        <x:v>ZS-64459089CCA5</x:v>
      </x:c>
      <x:c r="B3133" s="24" t="str">
        <x:v>ZEISS</x:v>
      </x:c>
      <x:c r="C3133" s="24" t="str">
        <x:v>Asiana</x:v>
      </x:c>
      <x:c r="D3133" s="24" t="str">
        <x:v>Surfaçada</x:v>
      </x:c>
      <x:c r="E3133" s="24" t="str">
        <x:v>Asiana</x:v>
      </x:c>
      <x:c r="F3133" s="24" t="str">
        <x:v>PhotoFusion X Extra Dark Cinza</x:v>
      </x:c>
      <x:c r="G3133" s="24" t="str">
        <x:v>1.67</x:v>
      </x:c>
      <x:c r="H3133" s="24" t="str">
        <x:v>1.67</x:v>
      </x:c>
      <x:c r="I3133" s="24" t="str">
        <x:v>DuraVision Platinum UV</x:v>
      </x:c>
      <x:c r="J3133" s="40" t="n">
        <x:v>6490</x:v>
      </x:c>
      <x:c r="K3133" s="24" t="str">
        <x:v>-10.00 a +8.00</x:v>
      </x:c>
      <x:c r="L3133" s="24" t="str">
        <x:v>4.00</x:v>
      </x:c>
      <x:c r="M3133" s="24" t="str">
        <x:v>0.50</x:v>
      </x:c>
      <x:c r="N3133" s="24" t="str">
        <x:v>70/75</x:v>
      </x:c>
      <x:c r="O3133" s="24"/>
      <x:c r="P3133" s="24"/>
      <x:c r="Q3133" s="24" t="str">
        <x:v>DISPONÍVEL</x:v>
      </x:c>
      <x:c r="R3133" s="24" t="str">
        <x:v>Programa de Parcerias ZEISS</x:v>
      </x:c>
      <x:c r="S3133" s="24" t="n">
        <x:v>54</x:v>
      </x:c>
      <x:c r="T3133" s="24" t="str">
        <x:v>tabela_zeiss.pdf</x:v>
      </x:c>
      <x:c r="U3133" s="24" t="str">
        <x:v>ZEISS|Asiana|Surfaçada|Asiana|PhotoFusion X Extra Dark Cinza|1.67|1.67|DuraVision Platinum UV|-10.00 a +8.00|4.00|0.50|70/75|||54</x:v>
      </x:c>
    </x:row>
    <x:row r="3134">
      <x:c r="A3134" s="24" t="str">
        <x:v>ZS-6D0283EB8965</x:v>
      </x:c>
      <x:c r="B3134" s="24" t="str">
        <x:v>ZEISS</x:v>
      </x:c>
      <x:c r="C3134" s="24" t="str">
        <x:v>Asiana</x:v>
      </x:c>
      <x:c r="D3134" s="24" t="str">
        <x:v>Surfaçada</x:v>
      </x:c>
      <x:c r="E3134" s="24" t="str">
        <x:v>Asiana</x:v>
      </x:c>
      <x:c r="F3134" s="24" t="str">
        <x:v>PhotoFusion X Extra Dark Cinza</x:v>
      </x:c>
      <x:c r="G3134" s="24" t="str">
        <x:v>1.67</x:v>
      </x:c>
      <x:c r="H3134" s="24" t="str">
        <x:v>1.67</x:v>
      </x:c>
      <x:c r="I3134" s="24" t="str">
        <x:v>DuraVision Silver UV</x:v>
      </x:c>
      <x:c r="J3134" s="40" t="n">
        <x:v>6230</x:v>
      </x:c>
      <x:c r="K3134" s="24" t="str">
        <x:v>-10.00 a +8.00</x:v>
      </x:c>
      <x:c r="L3134" s="24" t="str">
        <x:v>4.00</x:v>
      </x:c>
      <x:c r="M3134" s="24" t="str">
        <x:v>0.50</x:v>
      </x:c>
      <x:c r="N3134" s="24" t="str">
        <x:v>70/75</x:v>
      </x:c>
      <x:c r="O3134" s="24"/>
      <x:c r="P3134" s="24"/>
      <x:c r="Q3134" s="24" t="str">
        <x:v>DISPONÍVEL</x:v>
      </x:c>
      <x:c r="R3134" s="24" t="str">
        <x:v>Programa de Parcerias ZEISS</x:v>
      </x:c>
      <x:c r="S3134" s="24" t="n">
        <x:v>54</x:v>
      </x:c>
      <x:c r="T3134" s="24" t="str">
        <x:v>tabela_zeiss.pdf</x:v>
      </x:c>
      <x:c r="U3134" s="24" t="str">
        <x:v>ZEISS|Asiana|Surfaçada|Asiana|PhotoFusion X Extra Dark Cinza|1.67|1.67|DuraVision Silver UV|-10.00 a +8.00|4.00|0.50|70/75|||54</x:v>
      </x:c>
    </x:row>
    <x:row r="3135">
      <x:c r="A3135" s="24" t="str">
        <x:v>ZS-F16B88714F05</x:v>
      </x:c>
      <x:c r="B3135" s="24" t="str">
        <x:v>ZEISS</x:v>
      </x:c>
      <x:c r="C3135" s="24" t="str">
        <x:v>Asiana</x:v>
      </x:c>
      <x:c r="D3135" s="24" t="str">
        <x:v>Surfaçada</x:v>
      </x:c>
      <x:c r="E3135" s="24" t="str">
        <x:v>Asiana</x:v>
      </x:c>
      <x:c r="F3135" s="24" t="str">
        <x:v>PhotoFusion X Extra Dark Cinza</x:v>
      </x:c>
      <x:c r="G3135" s="24" t="str">
        <x:v>1.67</x:v>
      </x:c>
      <x:c r="H3135" s="24" t="str">
        <x:v>1.67</x:v>
      </x:c>
      <x:c r="I3135" s="24" t="str">
        <x:v>DuraVision Chrome UV</x:v>
      </x:c>
      <x:c r="J3135" s="40" t="n">
        <x:v>5740</x:v>
      </x:c>
      <x:c r="K3135" s="24" t="str">
        <x:v>-10.00 a +8.00</x:v>
      </x:c>
      <x:c r="L3135" s="24" t="str">
        <x:v>4.00</x:v>
      </x:c>
      <x:c r="M3135" s="24" t="str">
        <x:v>0.50</x:v>
      </x:c>
      <x:c r="N3135" s="24" t="str">
        <x:v>70/75</x:v>
      </x:c>
      <x:c r="O3135" s="24"/>
      <x:c r="P3135" s="24"/>
      <x:c r="Q3135" s="24" t="str">
        <x:v>DISPONÍVEL</x:v>
      </x:c>
      <x:c r="R3135" s="24" t="str">
        <x:v>Programa de Parcerias ZEISS</x:v>
      </x:c>
      <x:c r="S3135" s="24" t="n">
        <x:v>54</x:v>
      </x:c>
      <x:c r="T3135" s="24" t="str">
        <x:v>tabela_zeiss.pdf</x:v>
      </x:c>
      <x:c r="U3135" s="24" t="str">
        <x:v>ZEISS|Asiana|Surfaçada|Asiana|PhotoFusion X Extra Dark Cinza|1.67|1.67|DuraVision Chrome UV|-10.00 a +8.00|4.00|0.50|70/75|||54</x:v>
      </x:c>
    </x:row>
    <x:row r="3136">
      <x:c r="A3136" s="24" t="str">
        <x:v>ZS-110A232B41EC</x:v>
      </x:c>
      <x:c r="B3136" s="24" t="str">
        <x:v>ZEISS</x:v>
      </x:c>
      <x:c r="C3136" s="24" t="str">
        <x:v>Asiana</x:v>
      </x:c>
      <x:c r="D3136" s="24" t="str">
        <x:v>Surfaçada</x:v>
      </x:c>
      <x:c r="E3136" s="24" t="str">
        <x:v>Asiana</x:v>
      </x:c>
      <x:c r="F3136" s="24" t="str">
        <x:v>Asiana</x:v>
      </x:c>
      <x:c r="G3136" s="24" t="str">
        <x:v>1.5</x:v>
      </x:c>
      <x:c r="H3136" s="24" t="str">
        <x:v>1.50</x:v>
      </x:c>
      <x:c r="I3136" s="24" t="str">
        <x:v>DuraVision Gold UV</x:v>
      </x:c>
      <x:c r="J3136" s="40" t="n">
        <x:v>6070</x:v>
      </x:c>
      <x:c r="K3136" s="24" t="str">
        <x:v>-6.00 a +6.00</x:v>
      </x:c>
      <x:c r="L3136" s="24" t="str">
        <x:v>6.00</x:v>
      </x:c>
      <x:c r="M3136" s="24" t="str">
        <x:v>3.50</x:v>
      </x:c>
      <x:c r="N3136" s="24" t="str">
        <x:v>75/80</x:v>
      </x:c>
      <x:c r="O3136" s="24"/>
      <x:c r="P3136" s="24"/>
      <x:c r="Q3136" s="24" t="str">
        <x:v>DISPONÍVEL</x:v>
      </x:c>
      <x:c r="R3136" s="24"/>
      <x:c r="S3136" s="24" t="n">
        <x:v>55</x:v>
      </x:c>
      <x:c r="T3136" s="24" t="str">
        <x:v>tabela_zeiss.pdf</x:v>
      </x:c>
      <x:c r="U3136" s="24" t="str">
        <x:v>ZEISS|Asiana|Surfaçada|Asiana|Asiana|1.5|1.50|DuraVision Gold UV|-6.00 a +6.00|6.00|3.50|75/80|||55</x:v>
      </x:c>
    </x:row>
    <x:row r="3137">
      <x:c r="A3137" s="24" t="str">
        <x:v>ZS-FA78B05B41EC</x:v>
      </x:c>
      <x:c r="B3137" s="24" t="str">
        <x:v>ZEISS</x:v>
      </x:c>
      <x:c r="C3137" s="24" t="str">
        <x:v>Asiana</x:v>
      </x:c>
      <x:c r="D3137" s="24" t="str">
        <x:v>Surfaçada</x:v>
      </x:c>
      <x:c r="E3137" s="24" t="str">
        <x:v>Asiana</x:v>
      </x:c>
      <x:c r="F3137" s="24" t="str">
        <x:v>Asiana</x:v>
      </x:c>
      <x:c r="G3137" s="24" t="str">
        <x:v>1.5</x:v>
      </x:c>
      <x:c r="H3137" s="24" t="str">
        <x:v>1.50</x:v>
      </x:c>
      <x:c r="I3137" s="24" t="str">
        <x:v>DURAVISION® ANTIVÍRUS PLATINUM UV</x:v>
      </x:c>
      <x:c r="J3137" s="40" t="n">
        <x:v>5930</x:v>
      </x:c>
      <x:c r="K3137" s="24" t="str">
        <x:v>-6.00 a +6.00</x:v>
      </x:c>
      <x:c r="L3137" s="24" t="str">
        <x:v>6.00</x:v>
      </x:c>
      <x:c r="M3137" s="24" t="str">
        <x:v>3.50</x:v>
      </x:c>
      <x:c r="N3137" s="24" t="str">
        <x:v>75/80</x:v>
      </x:c>
      <x:c r="O3137" s="24"/>
      <x:c r="P3137" s="24"/>
      <x:c r="Q3137" s="24" t="str">
        <x:v>DISPONÍVEL</x:v>
      </x:c>
      <x:c r="R3137" s="24"/>
      <x:c r="S3137" s="24" t="n">
        <x:v>55</x:v>
      </x:c>
      <x:c r="T3137" s="24" t="str">
        <x:v>tabela_zeiss.pdf</x:v>
      </x:c>
      <x:c r="U3137" s="24" t="str">
        <x:v>ZEISS|Asiana|Surfaçada|Asiana|Asiana|1.5|1.50|DURAVISION® ANTIVÍRUS PLATINUM UV|-6.00 a +6.00|6.00|3.50|75/80|||55</x:v>
      </x:c>
    </x:row>
    <x:row r="3138">
      <x:c r="A3138" s="24" t="str">
        <x:v>ZS-30CF2E6FE257</x:v>
      </x:c>
      <x:c r="B3138" s="24" t="str">
        <x:v>ZEISS</x:v>
      </x:c>
      <x:c r="C3138" s="24" t="str">
        <x:v>Asiana</x:v>
      </x:c>
      <x:c r="D3138" s="24" t="str">
        <x:v>Surfaçada</x:v>
      </x:c>
      <x:c r="E3138" s="24" t="str">
        <x:v>Asiana</x:v>
      </x:c>
      <x:c r="F3138" s="24" t="str">
        <x:v>Asiana</x:v>
      </x:c>
      <x:c r="G3138" s="24" t="str">
        <x:v>1.5</x:v>
      </x:c>
      <x:c r="H3138" s="24" t="str">
        <x:v>1.50</x:v>
      </x:c>
      <x:c r="I3138" s="24" t="str">
        <x:v>DuraVision Platinum UV</x:v>
      </x:c>
      <x:c r="J3138" s="40" t="n">
        <x:v>5930</x:v>
      </x:c>
      <x:c r="K3138" s="24" t="str">
        <x:v>-6.00 a +6.00</x:v>
      </x:c>
      <x:c r="L3138" s="24" t="str">
        <x:v>6.00</x:v>
      </x:c>
      <x:c r="M3138" s="24" t="str">
        <x:v>3.50</x:v>
      </x:c>
      <x:c r="N3138" s="24" t="str">
        <x:v>75/80</x:v>
      </x:c>
      <x:c r="O3138" s="24"/>
      <x:c r="P3138" s="24"/>
      <x:c r="Q3138" s="24" t="str">
        <x:v>DISPONÍVEL</x:v>
      </x:c>
      <x:c r="R3138" s="24"/>
      <x:c r="S3138" s="24" t="n">
        <x:v>55</x:v>
      </x:c>
      <x:c r="T3138" s="24" t="str">
        <x:v>tabela_zeiss.pdf</x:v>
      </x:c>
      <x:c r="U3138" s="24" t="str">
        <x:v>ZEISS|Asiana|Surfaçada|Asiana|Asiana|1.5|1.50|DuraVision Platinum UV|-6.00 a +6.00|6.00|3.50|75/80|||55</x:v>
      </x:c>
    </x:row>
    <x:row r="3139">
      <x:c r="A3139" s="24" t="str">
        <x:v>ZS-1C469864C5AE</x:v>
      </x:c>
      <x:c r="B3139" s="24" t="str">
        <x:v>ZEISS</x:v>
      </x:c>
      <x:c r="C3139" s="24" t="str">
        <x:v>Asiana</x:v>
      </x:c>
      <x:c r="D3139" s="24" t="str">
        <x:v>Surfaçada</x:v>
      </x:c>
      <x:c r="E3139" s="24" t="str">
        <x:v>Asiana</x:v>
      </x:c>
      <x:c r="F3139" s="24" t="str">
        <x:v>Asiana</x:v>
      </x:c>
      <x:c r="G3139" s="24" t="str">
        <x:v>1.5</x:v>
      </x:c>
      <x:c r="H3139" s="24" t="str">
        <x:v>1.50</x:v>
      </x:c>
      <x:c r="I3139" s="24" t="str">
        <x:v>DuraVision Silver UV</x:v>
      </x:c>
      <x:c r="J3139" s="40" t="n">
        <x:v>5670</x:v>
      </x:c>
      <x:c r="K3139" s="24" t="str">
        <x:v>-6.00 a +6.00</x:v>
      </x:c>
      <x:c r="L3139" s="24" t="str">
        <x:v>6.00</x:v>
      </x:c>
      <x:c r="M3139" s="24" t="str">
        <x:v>3.50</x:v>
      </x:c>
      <x:c r="N3139" s="24" t="str">
        <x:v>75/80</x:v>
      </x:c>
      <x:c r="O3139" s="24"/>
      <x:c r="P3139" s="24"/>
      <x:c r="Q3139" s="24" t="str">
        <x:v>DISPONÍVEL</x:v>
      </x:c>
      <x:c r="R3139" s="24"/>
      <x:c r="S3139" s="24" t="n">
        <x:v>55</x:v>
      </x:c>
      <x:c r="T3139" s="24" t="str">
        <x:v>tabela_zeiss.pdf</x:v>
      </x:c>
      <x:c r="U3139" s="24" t="str">
        <x:v>ZEISS|Asiana|Surfaçada|Asiana|Asiana|1.5|1.50|DuraVision Silver UV|-6.00 a +6.00|6.00|3.50|75/80|||55</x:v>
      </x:c>
    </x:row>
    <x:row r="3140">
      <x:c r="A3140" s="24" t="str">
        <x:v>ZS-AE237FE0BE3D</x:v>
      </x:c>
      <x:c r="B3140" s="24" t="str">
        <x:v>ZEISS</x:v>
      </x:c>
      <x:c r="C3140" s="24" t="str">
        <x:v>Asiana</x:v>
      </x:c>
      <x:c r="D3140" s="24" t="str">
        <x:v>Surfaçada</x:v>
      </x:c>
      <x:c r="E3140" s="24" t="str">
        <x:v>Asiana</x:v>
      </x:c>
      <x:c r="F3140" s="24" t="str">
        <x:v>Asiana</x:v>
      </x:c>
      <x:c r="G3140" s="24" t="str">
        <x:v>1.5</x:v>
      </x:c>
      <x:c r="H3140" s="24" t="str">
        <x:v>1.50</x:v>
      </x:c>
      <x:c r="I3140" s="24" t="str">
        <x:v>DuraVision Chrome UV</x:v>
      </x:c>
      <x:c r="J3140" s="40" t="n">
        <x:v>5180</x:v>
      </x:c>
      <x:c r="K3140" s="24" t="str">
        <x:v>-6.00 a +6.00</x:v>
      </x:c>
      <x:c r="L3140" s="24" t="str">
        <x:v>6.00</x:v>
      </x:c>
      <x:c r="M3140" s="24" t="str">
        <x:v>3.50</x:v>
      </x:c>
      <x:c r="N3140" s="24" t="str">
        <x:v>75/80</x:v>
      </x:c>
      <x:c r="O3140" s="24"/>
      <x:c r="P3140" s="24"/>
      <x:c r="Q3140" s="24" t="str">
        <x:v>DISPONÍVEL</x:v>
      </x:c>
      <x:c r="R3140" s="24"/>
      <x:c r="S3140" s="24" t="n">
        <x:v>55</x:v>
      </x:c>
      <x:c r="T3140" s="24" t="str">
        <x:v>tabela_zeiss.pdf</x:v>
      </x:c>
      <x:c r="U3140" s="24" t="str">
        <x:v>ZEISS|Asiana|Surfaçada|Asiana|Asiana|1.5|1.50|DuraVision Chrome UV|-6.00 a +6.00|6.00|3.50|75/80|||55</x:v>
      </x:c>
    </x:row>
    <x:row r="3141">
      <x:c r="A3141" s="24" t="str">
        <x:v>ZS-E7337D33433F</x:v>
      </x:c>
      <x:c r="B3141" s="24" t="str">
        <x:v>ZEISS</x:v>
      </x:c>
      <x:c r="C3141" s="24" t="str">
        <x:v>Asiana</x:v>
      </x:c>
      <x:c r="D3141" s="24" t="str">
        <x:v>Surfaçada</x:v>
      </x:c>
      <x:c r="E3141" s="24" t="str">
        <x:v>Asiana</x:v>
      </x:c>
      <x:c r="F3141" s="24" t="str">
        <x:v>Asiana</x:v>
      </x:c>
      <x:c r="G3141" s="24" t="str">
        <x:v>1.6</x:v>
      </x:c>
      <x:c r="H3141" s="24" t="str">
        <x:v>1.60</x:v>
      </x:c>
      <x:c r="I3141" s="24" t="str">
        <x:v>DuraVision Gold UV</x:v>
      </x:c>
      <x:c r="J3141" s="40" t="n">
        <x:v>7320</x:v>
      </x:c>
      <x:c r="K3141" s="24" t="str">
        <x:v>-10.00 a +8.00</x:v>
      </x:c>
      <x:c r="L3141" s="24" t="str">
        <x:v>6.00</x:v>
      </x:c>
      <x:c r="M3141" s="24" t="str">
        <x:v>4.00</x:v>
      </x:c>
      <x:c r="N3141" s="24" t="str">
        <x:v>70/75</x:v>
      </x:c>
      <x:c r="O3141" s="24"/>
      <x:c r="P3141" s="24"/>
      <x:c r="Q3141" s="24" t="str">
        <x:v>DISPONÍVEL</x:v>
      </x:c>
      <x:c r="R3141" s="24"/>
      <x:c r="S3141" s="24" t="n">
        <x:v>55</x:v>
      </x:c>
      <x:c r="T3141" s="24" t="str">
        <x:v>tabela_zeiss.pdf</x:v>
      </x:c>
      <x:c r="U3141" s="24" t="str">
        <x:v>ZEISS|Asiana|Surfaçada|Asiana|Asiana|1.6|1.60|DuraVision Gold UV|-10.00 a +8.00|6.00|4.00|70/75|||55</x:v>
      </x:c>
    </x:row>
    <x:row r="3142">
      <x:c r="A3142" s="24" t="str">
        <x:v>ZS-9E43F6A9C177</x:v>
      </x:c>
      <x:c r="B3142" s="24" t="str">
        <x:v>ZEISS</x:v>
      </x:c>
      <x:c r="C3142" s="24" t="str">
        <x:v>Asiana</x:v>
      </x:c>
      <x:c r="D3142" s="24" t="str">
        <x:v>Surfaçada</x:v>
      </x:c>
      <x:c r="E3142" s="24" t="str">
        <x:v>Asiana</x:v>
      </x:c>
      <x:c r="F3142" s="24" t="str">
        <x:v>Asiana</x:v>
      </x:c>
      <x:c r="G3142" s="24" t="str">
        <x:v>1.6</x:v>
      </x:c>
      <x:c r="H3142" s="24" t="str">
        <x:v>1.60</x:v>
      </x:c>
      <x:c r="I3142" s="24" t="str">
        <x:v>DURAVISION® ANTIVÍRUS PLATINUM UV</x:v>
      </x:c>
      <x:c r="J3142" s="40" t="n">
        <x:v>7180</x:v>
      </x:c>
      <x:c r="K3142" s="24" t="str">
        <x:v>-10.00 a +8.00</x:v>
      </x:c>
      <x:c r="L3142" s="24" t="str">
        <x:v>6.00</x:v>
      </x:c>
      <x:c r="M3142" s="24" t="str">
        <x:v>4.00</x:v>
      </x:c>
      <x:c r="N3142" s="24" t="str">
        <x:v>70/75</x:v>
      </x:c>
      <x:c r="O3142" s="24"/>
      <x:c r="P3142" s="24"/>
      <x:c r="Q3142" s="24" t="str">
        <x:v>DISPONÍVEL</x:v>
      </x:c>
      <x:c r="R3142" s="24"/>
      <x:c r="S3142" s="24" t="n">
        <x:v>55</x:v>
      </x:c>
      <x:c r="T3142" s="24" t="str">
        <x:v>tabela_zeiss.pdf</x:v>
      </x:c>
      <x:c r="U3142" s="24" t="str">
        <x:v>ZEISS|Asiana|Surfaçada|Asiana|Asiana|1.6|1.60|DURAVISION® ANTIVÍRUS PLATINUM UV|-10.00 a +8.00|6.00|4.00|70/75|||55</x:v>
      </x:c>
    </x:row>
    <x:row r="3143">
      <x:c r="A3143" s="24" t="str">
        <x:v>ZS-E3AD54E87DCE</x:v>
      </x:c>
      <x:c r="B3143" s="24" t="str">
        <x:v>ZEISS</x:v>
      </x:c>
      <x:c r="C3143" s="24" t="str">
        <x:v>Asiana</x:v>
      </x:c>
      <x:c r="D3143" s="24" t="str">
        <x:v>Surfaçada</x:v>
      </x:c>
      <x:c r="E3143" s="24" t="str">
        <x:v>Asiana</x:v>
      </x:c>
      <x:c r="F3143" s="24" t="str">
        <x:v>Asiana</x:v>
      </x:c>
      <x:c r="G3143" s="24" t="str">
        <x:v>1.6</x:v>
      </x:c>
      <x:c r="H3143" s="24" t="str">
        <x:v>1.60</x:v>
      </x:c>
      <x:c r="I3143" s="24" t="str">
        <x:v>DuraVision Platinum UV</x:v>
      </x:c>
      <x:c r="J3143" s="40" t="n">
        <x:v>7180</x:v>
      </x:c>
      <x:c r="K3143" s="24" t="str">
        <x:v>-10.00 a +8.00</x:v>
      </x:c>
      <x:c r="L3143" s="24" t="str">
        <x:v>6.00</x:v>
      </x:c>
      <x:c r="M3143" s="24" t="str">
        <x:v>4.00</x:v>
      </x:c>
      <x:c r="N3143" s="24" t="str">
        <x:v>70/75</x:v>
      </x:c>
      <x:c r="O3143" s="24"/>
      <x:c r="P3143" s="24"/>
      <x:c r="Q3143" s="24" t="str">
        <x:v>DISPONÍVEL</x:v>
      </x:c>
      <x:c r="R3143" s="24"/>
      <x:c r="S3143" s="24" t="n">
        <x:v>55</x:v>
      </x:c>
      <x:c r="T3143" s="24" t="str">
        <x:v>tabela_zeiss.pdf</x:v>
      </x:c>
      <x:c r="U3143" s="24" t="str">
        <x:v>ZEISS|Asiana|Surfaçada|Asiana|Asiana|1.6|1.60|DuraVision Platinum UV|-10.00 a +8.00|6.00|4.00|70/75|||55</x:v>
      </x:c>
    </x:row>
    <x:row r="3144">
      <x:c r="A3144" s="24" t="str">
        <x:v>ZS-FB1D2EEF9CA6</x:v>
      </x:c>
      <x:c r="B3144" s="24" t="str">
        <x:v>ZEISS</x:v>
      </x:c>
      <x:c r="C3144" s="24" t="str">
        <x:v>Asiana</x:v>
      </x:c>
      <x:c r="D3144" s="24" t="str">
        <x:v>Surfaçada</x:v>
      </x:c>
      <x:c r="E3144" s="24" t="str">
        <x:v>Asiana</x:v>
      </x:c>
      <x:c r="F3144" s="24" t="str">
        <x:v>Asiana</x:v>
      </x:c>
      <x:c r="G3144" s="24" t="str">
        <x:v>1.6</x:v>
      </x:c>
      <x:c r="H3144" s="24" t="str">
        <x:v>1.60</x:v>
      </x:c>
      <x:c r="I3144" s="24" t="str">
        <x:v>DuraVision Silver UV</x:v>
      </x:c>
      <x:c r="J3144" s="40" t="n">
        <x:v>6920</x:v>
      </x:c>
      <x:c r="K3144" s="24" t="str">
        <x:v>-10.00 a +8.00</x:v>
      </x:c>
      <x:c r="L3144" s="24" t="str">
        <x:v>6.00</x:v>
      </x:c>
      <x:c r="M3144" s="24" t="str">
        <x:v>4.00</x:v>
      </x:c>
      <x:c r="N3144" s="24" t="str">
        <x:v>70/75</x:v>
      </x:c>
      <x:c r="O3144" s="24"/>
      <x:c r="P3144" s="24"/>
      <x:c r="Q3144" s="24" t="str">
        <x:v>DISPONÍVEL</x:v>
      </x:c>
      <x:c r="R3144" s="24"/>
      <x:c r="S3144" s="24" t="n">
        <x:v>55</x:v>
      </x:c>
      <x:c r="T3144" s="24" t="str">
        <x:v>tabela_zeiss.pdf</x:v>
      </x:c>
      <x:c r="U3144" s="24" t="str">
        <x:v>ZEISS|Asiana|Surfaçada|Asiana|Asiana|1.6|1.60|DuraVision Silver UV|-10.00 a +8.00|6.00|4.00|70/75|||55</x:v>
      </x:c>
    </x:row>
    <x:row r="3145">
      <x:c r="A3145" s="24" t="str">
        <x:v>ZS-5BB49FB18500</x:v>
      </x:c>
      <x:c r="B3145" s="24" t="str">
        <x:v>ZEISS</x:v>
      </x:c>
      <x:c r="C3145" s="24" t="str">
        <x:v>Asiana</x:v>
      </x:c>
      <x:c r="D3145" s="24" t="str">
        <x:v>Surfaçada</x:v>
      </x:c>
      <x:c r="E3145" s="24" t="str">
        <x:v>Asiana</x:v>
      </x:c>
      <x:c r="F3145" s="24" t="str">
        <x:v>Asiana</x:v>
      </x:c>
      <x:c r="G3145" s="24" t="str">
        <x:v>1.6</x:v>
      </x:c>
      <x:c r="H3145" s="24" t="str">
        <x:v>1.60</x:v>
      </x:c>
      <x:c r="I3145" s="24" t="str">
        <x:v>DuraVision Chrome UV</x:v>
      </x:c>
      <x:c r="J3145" s="40" t="n">
        <x:v>6430</x:v>
      </x:c>
      <x:c r="K3145" s="24" t="str">
        <x:v>-10.00 a +8.00</x:v>
      </x:c>
      <x:c r="L3145" s="24" t="str">
        <x:v>6.00</x:v>
      </x:c>
      <x:c r="M3145" s="24" t="str">
        <x:v>4.00</x:v>
      </x:c>
      <x:c r="N3145" s="24" t="str">
        <x:v>70/75</x:v>
      </x:c>
      <x:c r="O3145" s="24"/>
      <x:c r="P3145" s="24"/>
      <x:c r="Q3145" s="24" t="str">
        <x:v>DISPONÍVEL</x:v>
      </x:c>
      <x:c r="R3145" s="24"/>
      <x:c r="S3145" s="24" t="n">
        <x:v>55</x:v>
      </x:c>
      <x:c r="T3145" s="24" t="str">
        <x:v>tabela_zeiss.pdf</x:v>
      </x:c>
      <x:c r="U3145" s="24" t="str">
        <x:v>ZEISS|Asiana|Surfaçada|Asiana|Asiana|1.6|1.60|DuraVision Chrome UV|-10.00 a +8.00|6.00|4.00|70/75|||55</x:v>
      </x:c>
    </x:row>
    <x:row r="3146">
      <x:c r="A3146" s="24" t="str">
        <x:v>ZS-0650E192E44F</x:v>
      </x:c>
      <x:c r="B3146" s="24" t="str">
        <x:v>ZEISS</x:v>
      </x:c>
      <x:c r="C3146" s="24" t="str">
        <x:v>Asiana</x:v>
      </x:c>
      <x:c r="D3146" s="24" t="str">
        <x:v>Surfaçada</x:v>
      </x:c>
      <x:c r="E3146" s="24" t="str">
        <x:v>Asiana</x:v>
      </x:c>
      <x:c r="F3146" s="24" t="str">
        <x:v>Asiana</x:v>
      </x:c>
      <x:c r="G3146" s="24" t="str">
        <x:v>1.67</x:v>
      </x:c>
      <x:c r="H3146" s="24" t="str">
        <x:v>1.67</x:v>
      </x:c>
      <x:c r="I3146" s="24" t="str">
        <x:v>DuraVision Gold UV</x:v>
      </x:c>
      <x:c r="J3146" s="40" t="n">
        <x:v>8960</x:v>
      </x:c>
      <x:c r="K3146" s="24" t="str">
        <x:v>-10.00 a +8.00</x:v>
      </x:c>
      <x:c r="L3146" s="24" t="str">
        <x:v>6.00</x:v>
      </x:c>
      <x:c r="M3146" s="24" t="str">
        <x:v>3.50</x:v>
      </x:c>
      <x:c r="N3146" s="24" t="str">
        <x:v>70/75</x:v>
      </x:c>
      <x:c r="O3146" s="24"/>
      <x:c r="P3146" s="24"/>
      <x:c r="Q3146" s="24" t="str">
        <x:v>DISPONÍVEL</x:v>
      </x:c>
      <x:c r="R3146" s="24"/>
      <x:c r="S3146" s="24" t="n">
        <x:v>55</x:v>
      </x:c>
      <x:c r="T3146" s="24" t="str">
        <x:v>tabela_zeiss.pdf</x:v>
      </x:c>
      <x:c r="U3146" s="24" t="str">
        <x:v>ZEISS|Asiana|Surfaçada|Asiana|Asiana|1.67|1.67|DuraVision Gold UV|-10.00 a +8.00|6.00|3.50|70/75|||55</x:v>
      </x:c>
    </x:row>
    <x:row r="3147">
      <x:c r="A3147" s="24" t="str">
        <x:v>ZS-3A8EEA5E7000</x:v>
      </x:c>
      <x:c r="B3147" s="24" t="str">
        <x:v>ZEISS</x:v>
      </x:c>
      <x:c r="C3147" s="24" t="str">
        <x:v>Asiana</x:v>
      </x:c>
      <x:c r="D3147" s="24" t="str">
        <x:v>Surfaçada</x:v>
      </x:c>
      <x:c r="E3147" s="24" t="str">
        <x:v>Asiana</x:v>
      </x:c>
      <x:c r="F3147" s="24" t="str">
        <x:v>Asiana</x:v>
      </x:c>
      <x:c r="G3147" s="24" t="str">
        <x:v>1.67</x:v>
      </x:c>
      <x:c r="H3147" s="24" t="str">
        <x:v>1.67</x:v>
      </x:c>
      <x:c r="I3147" s="24" t="str">
        <x:v>DURAVISION® ANTIVÍRUS PLATINUM UV</x:v>
      </x:c>
      <x:c r="J3147" s="40" t="n">
        <x:v>8820</x:v>
      </x:c>
      <x:c r="K3147" s="24" t="str">
        <x:v>-10.00 a +8.00</x:v>
      </x:c>
      <x:c r="L3147" s="24" t="str">
        <x:v>6.00</x:v>
      </x:c>
      <x:c r="M3147" s="24" t="str">
        <x:v>3.50</x:v>
      </x:c>
      <x:c r="N3147" s="24" t="str">
        <x:v>70/75</x:v>
      </x:c>
      <x:c r="O3147" s="24"/>
      <x:c r="P3147" s="24"/>
      <x:c r="Q3147" s="24" t="str">
        <x:v>DISPONÍVEL</x:v>
      </x:c>
      <x:c r="R3147" s="24"/>
      <x:c r="S3147" s="24" t="n">
        <x:v>55</x:v>
      </x:c>
      <x:c r="T3147" s="24" t="str">
        <x:v>tabela_zeiss.pdf</x:v>
      </x:c>
      <x:c r="U3147" s="24" t="str">
        <x:v>ZEISS|Asiana|Surfaçada|Asiana|Asiana|1.67|1.67|DURAVISION® ANTIVÍRUS PLATINUM UV|-10.00 a +8.00|6.00|3.50|70/75|||55</x:v>
      </x:c>
    </x:row>
    <x:row r="3148">
      <x:c r="A3148" s="24" t="str">
        <x:v>ZS-8FAEBEDFF2A7</x:v>
      </x:c>
      <x:c r="B3148" s="24" t="str">
        <x:v>ZEISS</x:v>
      </x:c>
      <x:c r="C3148" s="24" t="str">
        <x:v>Asiana</x:v>
      </x:c>
      <x:c r="D3148" s="24" t="str">
        <x:v>Surfaçada</x:v>
      </x:c>
      <x:c r="E3148" s="24" t="str">
        <x:v>Asiana</x:v>
      </x:c>
      <x:c r="F3148" s="24" t="str">
        <x:v>Asiana</x:v>
      </x:c>
      <x:c r="G3148" s="24" t="str">
        <x:v>1.67</x:v>
      </x:c>
      <x:c r="H3148" s="24" t="str">
        <x:v>1.67</x:v>
      </x:c>
      <x:c r="I3148" s="24" t="str">
        <x:v>DuraVision Platinum UV</x:v>
      </x:c>
      <x:c r="J3148" s="40" t="n">
        <x:v>8820</x:v>
      </x:c>
      <x:c r="K3148" s="24" t="str">
        <x:v>-10.00 a +8.00</x:v>
      </x:c>
      <x:c r="L3148" s="24" t="str">
        <x:v>6.00</x:v>
      </x:c>
      <x:c r="M3148" s="24" t="str">
        <x:v>3.50</x:v>
      </x:c>
      <x:c r="N3148" s="24" t="str">
        <x:v>70/75</x:v>
      </x:c>
      <x:c r="O3148" s="24"/>
      <x:c r="P3148" s="24"/>
      <x:c r="Q3148" s="24" t="str">
        <x:v>DISPONÍVEL</x:v>
      </x:c>
      <x:c r="R3148" s="24"/>
      <x:c r="S3148" s="24" t="n">
        <x:v>55</x:v>
      </x:c>
      <x:c r="T3148" s="24" t="str">
        <x:v>tabela_zeiss.pdf</x:v>
      </x:c>
      <x:c r="U3148" s="24" t="str">
        <x:v>ZEISS|Asiana|Surfaçada|Asiana|Asiana|1.67|1.67|DuraVision Platinum UV|-10.00 a +8.00|6.00|3.50|70/75|||55</x:v>
      </x:c>
    </x:row>
    <x:row r="3149">
      <x:c r="A3149" s="24" t="str">
        <x:v>ZS-56D86C8CF4CB</x:v>
      </x:c>
      <x:c r="B3149" s="24" t="str">
        <x:v>ZEISS</x:v>
      </x:c>
      <x:c r="C3149" s="24" t="str">
        <x:v>Asiana</x:v>
      </x:c>
      <x:c r="D3149" s="24" t="str">
        <x:v>Surfaçada</x:v>
      </x:c>
      <x:c r="E3149" s="24" t="str">
        <x:v>Asiana</x:v>
      </x:c>
      <x:c r="F3149" s="24" t="str">
        <x:v>Asiana</x:v>
      </x:c>
      <x:c r="G3149" s="24" t="str">
        <x:v>1.67</x:v>
      </x:c>
      <x:c r="H3149" s="24" t="str">
        <x:v>1.67</x:v>
      </x:c>
      <x:c r="I3149" s="24" t="str">
        <x:v>DuraVision Silver UV</x:v>
      </x:c>
      <x:c r="J3149" s="40" t="n">
        <x:v>8560</x:v>
      </x:c>
      <x:c r="K3149" s="24" t="str">
        <x:v>-10.00 a +8.00</x:v>
      </x:c>
      <x:c r="L3149" s="24" t="str">
        <x:v>6.00</x:v>
      </x:c>
      <x:c r="M3149" s="24" t="str">
        <x:v>3.50</x:v>
      </x:c>
      <x:c r="N3149" s="24" t="str">
        <x:v>70/75</x:v>
      </x:c>
      <x:c r="O3149" s="24"/>
      <x:c r="P3149" s="24"/>
      <x:c r="Q3149" s="24" t="str">
        <x:v>DISPONÍVEL</x:v>
      </x:c>
      <x:c r="R3149" s="24"/>
      <x:c r="S3149" s="24" t="n">
        <x:v>55</x:v>
      </x:c>
      <x:c r="T3149" s="24" t="str">
        <x:v>tabela_zeiss.pdf</x:v>
      </x:c>
      <x:c r="U3149" s="24" t="str">
        <x:v>ZEISS|Asiana|Surfaçada|Asiana|Asiana|1.67|1.67|DuraVision Silver UV|-10.00 a +8.00|6.00|3.50|70/75|||55</x:v>
      </x:c>
    </x:row>
    <x:row r="3150">
      <x:c r="A3150" s="24" t="str">
        <x:v>ZS-596A5F3B9BD8</x:v>
      </x:c>
      <x:c r="B3150" s="24" t="str">
        <x:v>ZEISS</x:v>
      </x:c>
      <x:c r="C3150" s="24" t="str">
        <x:v>Asiana</x:v>
      </x:c>
      <x:c r="D3150" s="24" t="str">
        <x:v>Surfaçada</x:v>
      </x:c>
      <x:c r="E3150" s="24" t="str">
        <x:v>Asiana</x:v>
      </x:c>
      <x:c r="F3150" s="24" t="str">
        <x:v>Asiana</x:v>
      </x:c>
      <x:c r="G3150" s="24" t="str">
        <x:v>1.67</x:v>
      </x:c>
      <x:c r="H3150" s="24" t="str">
        <x:v>1.67</x:v>
      </x:c>
      <x:c r="I3150" s="24" t="str">
        <x:v>DuraVision Chrome UV</x:v>
      </x:c>
      <x:c r="J3150" s="40" t="n">
        <x:v>8070</x:v>
      </x:c>
      <x:c r="K3150" s="24" t="str">
        <x:v>-10.00 a +8.00</x:v>
      </x:c>
      <x:c r="L3150" s="24" t="str">
        <x:v>6.00</x:v>
      </x:c>
      <x:c r="M3150" s="24" t="str">
        <x:v>3.50</x:v>
      </x:c>
      <x:c r="N3150" s="24" t="str">
        <x:v>70/75</x:v>
      </x:c>
      <x:c r="O3150" s="24"/>
      <x:c r="P3150" s="24"/>
      <x:c r="Q3150" s="24" t="str">
        <x:v>DISPONÍVEL</x:v>
      </x:c>
      <x:c r="R3150" s="24"/>
      <x:c r="S3150" s="24" t="n">
        <x:v>55</x:v>
      </x:c>
      <x:c r="T3150" s="24" t="str">
        <x:v>tabela_zeiss.pdf</x:v>
      </x:c>
      <x:c r="U3150" s="24" t="str">
        <x:v>ZEISS|Asiana|Surfaçada|Asiana|Asiana|1.67|1.67|DuraVision Chrome UV|-10.00 a +8.00|6.00|3.50|70/75|||55</x:v>
      </x:c>
    </x:row>
    <x:row r="3151">
      <x:c r="A3151" s="24" t="str">
        <x:v>ZS-AAA84DF89569</x:v>
      </x:c>
      <x:c r="B3151" s="24" t="str">
        <x:v>ZEISS</x:v>
      </x:c>
      <x:c r="C3151" s="24" t="str">
        <x:v>Asiana</x:v>
      </x:c>
      <x:c r="D3151" s="24" t="str">
        <x:v>Surfaçada</x:v>
      </x:c>
      <x:c r="E3151" s="24" t="str">
        <x:v>Asiana</x:v>
      </x:c>
      <x:c r="F3151" s="24" t="str">
        <x:v>PhotoFusion X</x:v>
      </x:c>
      <x:c r="G3151" s="24" t="str">
        <x:v>1.5</x:v>
      </x:c>
      <x:c r="H3151" s="24" t="str">
        <x:v>1.50</x:v>
      </x:c>
      <x:c r="I3151" s="24" t="str">
        <x:v>DuraVision Gold UV</x:v>
      </x:c>
      <x:c r="J3151" s="40" t="n">
        <x:v>7490</x:v>
      </x:c>
      <x:c r="K3151" s="24" t="str">
        <x:v>-6.00 a +4.00</x:v>
      </x:c>
      <x:c r="L3151" s="24" t="str">
        <x:v>4.00</x:v>
      </x:c>
      <x:c r="M3151" s="24" t="str">
        <x:v>3.50</x:v>
      </x:c>
      <x:c r="N3151" s="24" t="str">
        <x:v>75/80</x:v>
      </x:c>
      <x:c r="O3151" s="24"/>
      <x:c r="P3151" s="24"/>
      <x:c r="Q3151" s="24" t="str">
        <x:v>DISPONÍVEL</x:v>
      </x:c>
      <x:c r="R3151" s="24" t="str">
        <x:v>Programa de Parcerias ZEISS</x:v>
      </x:c>
      <x:c r="S3151" s="24" t="n">
        <x:v>55</x:v>
      </x:c>
      <x:c r="T3151" s="24" t="str">
        <x:v>tabela_zeiss.pdf</x:v>
      </x:c>
      <x:c r="U3151" s="24" t="str">
        <x:v>ZEISS|Asiana|Surfaçada|Asiana|PhotoFusion X|1.5|1.50|DuraVision Gold UV|-6.00 a +4.00|4.00|3.50|75/80|||55</x:v>
      </x:c>
    </x:row>
    <x:row r="3152">
      <x:c r="A3152" s="24" t="str">
        <x:v>ZS-B280432CD913</x:v>
      </x:c>
      <x:c r="B3152" s="24" t="str">
        <x:v>ZEISS</x:v>
      </x:c>
      <x:c r="C3152" s="24" t="str">
        <x:v>Asiana</x:v>
      </x:c>
      <x:c r="D3152" s="24" t="str">
        <x:v>Surfaçada</x:v>
      </x:c>
      <x:c r="E3152" s="24" t="str">
        <x:v>Asiana</x:v>
      </x:c>
      <x:c r="F3152" s="24" t="str">
        <x:v>PhotoFusion X</x:v>
      </x:c>
      <x:c r="G3152" s="24" t="str">
        <x:v>1.5</x:v>
      </x:c>
      <x:c r="H3152" s="24" t="str">
        <x:v>1.50</x:v>
      </x:c>
      <x:c r="I3152" s="24" t="str">
        <x:v>DURAVISION® ANTIVÍRUS PLATINUM UV</x:v>
      </x:c>
      <x:c r="J3152" s="40" t="n">
        <x:v>7350</x:v>
      </x:c>
      <x:c r="K3152" s="24" t="str">
        <x:v>-6.00 a +4.00</x:v>
      </x:c>
      <x:c r="L3152" s="24" t="str">
        <x:v>4.00</x:v>
      </x:c>
      <x:c r="M3152" s="24" t="str">
        <x:v>3.50</x:v>
      </x:c>
      <x:c r="N3152" s="24" t="str">
        <x:v>75/80</x:v>
      </x:c>
      <x:c r="O3152" s="24"/>
      <x:c r="P3152" s="24"/>
      <x:c r="Q3152" s="24" t="str">
        <x:v>DISPONÍVEL</x:v>
      </x:c>
      <x:c r="R3152" s="24" t="str">
        <x:v>Programa de Parcerias ZEISS</x:v>
      </x:c>
      <x:c r="S3152" s="24" t="n">
        <x:v>55</x:v>
      </x:c>
      <x:c r="T3152" s="24" t="str">
        <x:v>tabela_zeiss.pdf</x:v>
      </x:c>
      <x:c r="U3152" s="24" t="str">
        <x:v>ZEISS|Asiana|Surfaçada|Asiana|PhotoFusion X|1.5|1.50|DURAVISION® ANTIVÍRUS PLATINUM UV|-6.00 a +4.00|4.00|3.50|75/80|||55</x:v>
      </x:c>
    </x:row>
    <x:row r="3153">
      <x:c r="A3153" s="24" t="str">
        <x:v>ZS-44834186638C</x:v>
      </x:c>
      <x:c r="B3153" s="24" t="str">
        <x:v>ZEISS</x:v>
      </x:c>
      <x:c r="C3153" s="24" t="str">
        <x:v>Asiana</x:v>
      </x:c>
      <x:c r="D3153" s="24" t="str">
        <x:v>Surfaçada</x:v>
      </x:c>
      <x:c r="E3153" s="24" t="str">
        <x:v>Asiana</x:v>
      </x:c>
      <x:c r="F3153" s="24" t="str">
        <x:v>PhotoFusion X</x:v>
      </x:c>
      <x:c r="G3153" s="24" t="str">
        <x:v>1.5</x:v>
      </x:c>
      <x:c r="H3153" s="24" t="str">
        <x:v>1.50</x:v>
      </x:c>
      <x:c r="I3153" s="24" t="str">
        <x:v>DuraVision Platinum UV</x:v>
      </x:c>
      <x:c r="J3153" s="40" t="n">
        <x:v>7350</x:v>
      </x:c>
      <x:c r="K3153" s="24" t="str">
        <x:v>-6.00 a +4.00</x:v>
      </x:c>
      <x:c r="L3153" s="24" t="str">
        <x:v>4.00</x:v>
      </x:c>
      <x:c r="M3153" s="24" t="str">
        <x:v>3.50</x:v>
      </x:c>
      <x:c r="N3153" s="24" t="str">
        <x:v>75/80</x:v>
      </x:c>
      <x:c r="O3153" s="24"/>
      <x:c r="P3153" s="24"/>
      <x:c r="Q3153" s="24" t="str">
        <x:v>DISPONÍVEL</x:v>
      </x:c>
      <x:c r="R3153" s="24" t="str">
        <x:v>Programa de Parcerias ZEISS</x:v>
      </x:c>
      <x:c r="S3153" s="24" t="n">
        <x:v>55</x:v>
      </x:c>
      <x:c r="T3153" s="24" t="str">
        <x:v>tabela_zeiss.pdf</x:v>
      </x:c>
      <x:c r="U3153" s="24" t="str">
        <x:v>ZEISS|Asiana|Surfaçada|Asiana|PhotoFusion X|1.5|1.50|DuraVision Platinum UV|-6.00 a +4.00|4.00|3.50|75/80|||55</x:v>
      </x:c>
    </x:row>
    <x:row r="3154">
      <x:c r="A3154" s="24" t="str">
        <x:v>ZS-B8D080BFE6E5</x:v>
      </x:c>
      <x:c r="B3154" s="24" t="str">
        <x:v>ZEISS</x:v>
      </x:c>
      <x:c r="C3154" s="24" t="str">
        <x:v>Asiana</x:v>
      </x:c>
      <x:c r="D3154" s="24" t="str">
        <x:v>Surfaçada</x:v>
      </x:c>
      <x:c r="E3154" s="24" t="str">
        <x:v>Asiana</x:v>
      </x:c>
      <x:c r="F3154" s="24" t="str">
        <x:v>PhotoFusion X</x:v>
      </x:c>
      <x:c r="G3154" s="24" t="str">
        <x:v>1.5</x:v>
      </x:c>
      <x:c r="H3154" s="24" t="str">
        <x:v>1.50</x:v>
      </x:c>
      <x:c r="I3154" s="24" t="str">
        <x:v>DuraVision Silver UV</x:v>
      </x:c>
      <x:c r="J3154" s="40" t="n">
        <x:v>7090</x:v>
      </x:c>
      <x:c r="K3154" s="24" t="str">
        <x:v>-6.00 a +4.00</x:v>
      </x:c>
      <x:c r="L3154" s="24" t="str">
        <x:v>4.00</x:v>
      </x:c>
      <x:c r="M3154" s="24" t="str">
        <x:v>3.50</x:v>
      </x:c>
      <x:c r="N3154" s="24" t="str">
        <x:v>75/80</x:v>
      </x:c>
      <x:c r="O3154" s="24"/>
      <x:c r="P3154" s="24"/>
      <x:c r="Q3154" s="24" t="str">
        <x:v>DISPONÍVEL</x:v>
      </x:c>
      <x:c r="R3154" s="24" t="str">
        <x:v>Programa de Parcerias ZEISS</x:v>
      </x:c>
      <x:c r="S3154" s="24" t="n">
        <x:v>55</x:v>
      </x:c>
      <x:c r="T3154" s="24" t="str">
        <x:v>tabela_zeiss.pdf</x:v>
      </x:c>
      <x:c r="U3154" s="24" t="str">
        <x:v>ZEISS|Asiana|Surfaçada|Asiana|PhotoFusion X|1.5|1.50|DuraVision Silver UV|-6.00 a +4.00|4.00|3.50|75/80|||55</x:v>
      </x:c>
    </x:row>
    <x:row r="3155">
      <x:c r="A3155" s="24" t="str">
        <x:v>ZS-2381853DA45A</x:v>
      </x:c>
      <x:c r="B3155" s="24" t="str">
        <x:v>ZEISS</x:v>
      </x:c>
      <x:c r="C3155" s="24" t="str">
        <x:v>Asiana</x:v>
      </x:c>
      <x:c r="D3155" s="24" t="str">
        <x:v>Surfaçada</x:v>
      </x:c>
      <x:c r="E3155" s="24" t="str">
        <x:v>Asiana</x:v>
      </x:c>
      <x:c r="F3155" s="24" t="str">
        <x:v>PhotoFusion X</x:v>
      </x:c>
      <x:c r="G3155" s="24" t="str">
        <x:v>1.5</x:v>
      </x:c>
      <x:c r="H3155" s="24" t="str">
        <x:v>1.50</x:v>
      </x:c>
      <x:c r="I3155" s="24" t="str">
        <x:v>DuraVision Chrome UV</x:v>
      </x:c>
      <x:c r="J3155" s="40" t="n">
        <x:v>6600</x:v>
      </x:c>
      <x:c r="K3155" s="24" t="str">
        <x:v>-6.00 a +4.00</x:v>
      </x:c>
      <x:c r="L3155" s="24" t="str">
        <x:v>4.00</x:v>
      </x:c>
      <x:c r="M3155" s="24" t="str">
        <x:v>3.50</x:v>
      </x:c>
      <x:c r="N3155" s="24" t="str">
        <x:v>75/80</x:v>
      </x:c>
      <x:c r="O3155" s="24"/>
      <x:c r="P3155" s="24"/>
      <x:c r="Q3155" s="24" t="str">
        <x:v>DISPONÍVEL</x:v>
      </x:c>
      <x:c r="R3155" s="24" t="str">
        <x:v>Programa de Parcerias ZEISS</x:v>
      </x:c>
      <x:c r="S3155" s="24" t="n">
        <x:v>55</x:v>
      </x:c>
      <x:c r="T3155" s="24" t="str">
        <x:v>tabela_zeiss.pdf</x:v>
      </x:c>
      <x:c r="U3155" s="24" t="str">
        <x:v>ZEISS|Asiana|Surfaçada|Asiana|PhotoFusion X|1.5|1.50|DuraVision Chrome UV|-6.00 a +4.00|4.00|3.50|75/80|||55</x:v>
      </x:c>
    </x:row>
    <x:row r="3156">
      <x:c r="A3156" s="24" t="str">
        <x:v>ZS-3577649CD069</x:v>
      </x:c>
      <x:c r="B3156" s="24" t="str">
        <x:v>ZEISS</x:v>
      </x:c>
      <x:c r="C3156" s="24" t="str">
        <x:v>Asiana</x:v>
      </x:c>
      <x:c r="D3156" s="24" t="str">
        <x:v>Surfaçada</x:v>
      </x:c>
      <x:c r="E3156" s="24" t="str">
        <x:v>Asiana</x:v>
      </x:c>
      <x:c r="F3156" s="24" t="str">
        <x:v>PhotoFusion X</x:v>
      </x:c>
      <x:c r="G3156" s="24" t="str">
        <x:v>1.6</x:v>
      </x:c>
      <x:c r="H3156" s="24" t="str">
        <x:v>1.60</x:v>
      </x:c>
      <x:c r="I3156" s="24" t="str">
        <x:v>DuraVision Gold UV</x:v>
      </x:c>
      <x:c r="J3156" s="40" t="n">
        <x:v>8740</x:v>
      </x:c>
      <x:c r="K3156" s="24" t="str">
        <x:v>-10.00 a +6.00</x:v>
      </x:c>
      <x:c r="L3156" s="24" t="str">
        <x:v>6.00</x:v>
      </x:c>
      <x:c r="M3156" s="24" t="str">
        <x:v>4.00</x:v>
      </x:c>
      <x:c r="N3156" s="24" t="str">
        <x:v>70/75</x:v>
      </x:c>
      <x:c r="O3156" s="24"/>
      <x:c r="P3156" s="24"/>
      <x:c r="Q3156" s="24" t="str">
        <x:v>DISPONÍVEL</x:v>
      </x:c>
      <x:c r="R3156" s="24" t="str">
        <x:v>Programa de Parcerias ZEISS</x:v>
      </x:c>
      <x:c r="S3156" s="24" t="n">
        <x:v>55</x:v>
      </x:c>
      <x:c r="T3156" s="24" t="str">
        <x:v>tabela_zeiss.pdf</x:v>
      </x:c>
      <x:c r="U3156" s="24" t="str">
        <x:v>ZEISS|Asiana|Surfaçada|Asiana|PhotoFusion X|1.6|1.60|DuraVision Gold UV|-10.00 a +6.00|6.00|4.00|70/75|||55</x:v>
      </x:c>
    </x:row>
    <x:row r="3157">
      <x:c r="A3157" s="24" t="str">
        <x:v>ZS-1AE701C1A7AE</x:v>
      </x:c>
      <x:c r="B3157" s="24" t="str">
        <x:v>ZEISS</x:v>
      </x:c>
      <x:c r="C3157" s="24" t="str">
        <x:v>Asiana</x:v>
      </x:c>
      <x:c r="D3157" s="24" t="str">
        <x:v>Surfaçada</x:v>
      </x:c>
      <x:c r="E3157" s="24" t="str">
        <x:v>Asiana</x:v>
      </x:c>
      <x:c r="F3157" s="24" t="str">
        <x:v>PhotoFusion X</x:v>
      </x:c>
      <x:c r="G3157" s="24" t="str">
        <x:v>1.6</x:v>
      </x:c>
      <x:c r="H3157" s="24" t="str">
        <x:v>1.60</x:v>
      </x:c>
      <x:c r="I3157" s="24" t="str">
        <x:v>DURAVISION® ANTIVÍRUS PLATINUM UV</x:v>
      </x:c>
      <x:c r="J3157" s="40" t="n">
        <x:v>8600</x:v>
      </x:c>
      <x:c r="K3157" s="24" t="str">
        <x:v>-10.00 a +6.00</x:v>
      </x:c>
      <x:c r="L3157" s="24" t="str">
        <x:v>6.00</x:v>
      </x:c>
      <x:c r="M3157" s="24" t="str">
        <x:v>4.00</x:v>
      </x:c>
      <x:c r="N3157" s="24" t="str">
        <x:v>70/75</x:v>
      </x:c>
      <x:c r="O3157" s="24"/>
      <x:c r="P3157" s="24"/>
      <x:c r="Q3157" s="24" t="str">
        <x:v>DISPONÍVEL</x:v>
      </x:c>
      <x:c r="R3157" s="24" t="str">
        <x:v>Programa de Parcerias ZEISS</x:v>
      </x:c>
      <x:c r="S3157" s="24" t="n">
        <x:v>55</x:v>
      </x:c>
      <x:c r="T3157" s="24" t="str">
        <x:v>tabela_zeiss.pdf</x:v>
      </x:c>
      <x:c r="U3157" s="24" t="str">
        <x:v>ZEISS|Asiana|Surfaçada|Asiana|PhotoFusion X|1.6|1.60|DURAVISION® ANTIVÍRUS PLATINUM UV|-10.00 a +6.00|6.00|4.00|70/75|||55</x:v>
      </x:c>
    </x:row>
    <x:row r="3158">
      <x:c r="A3158" s="24" t="str">
        <x:v>ZS-F88F0236C9F3</x:v>
      </x:c>
      <x:c r="B3158" s="24" t="str">
        <x:v>ZEISS</x:v>
      </x:c>
      <x:c r="C3158" s="24" t="str">
        <x:v>Asiana</x:v>
      </x:c>
      <x:c r="D3158" s="24" t="str">
        <x:v>Surfaçada</x:v>
      </x:c>
      <x:c r="E3158" s="24" t="str">
        <x:v>Asiana</x:v>
      </x:c>
      <x:c r="F3158" s="24" t="str">
        <x:v>PhotoFusion X</x:v>
      </x:c>
      <x:c r="G3158" s="24" t="str">
        <x:v>1.6</x:v>
      </x:c>
      <x:c r="H3158" s="24" t="str">
        <x:v>1.60</x:v>
      </x:c>
      <x:c r="I3158" s="24" t="str">
        <x:v>DuraVision Platinum UV</x:v>
      </x:c>
      <x:c r="J3158" s="40" t="n">
        <x:v>8600</x:v>
      </x:c>
      <x:c r="K3158" s="24" t="str">
        <x:v>-10.00 a +6.00</x:v>
      </x:c>
      <x:c r="L3158" s="24" t="str">
        <x:v>6.00</x:v>
      </x:c>
      <x:c r="M3158" s="24" t="str">
        <x:v>4.00</x:v>
      </x:c>
      <x:c r="N3158" s="24" t="str">
        <x:v>70/75</x:v>
      </x:c>
      <x:c r="O3158" s="24"/>
      <x:c r="P3158" s="24"/>
      <x:c r="Q3158" s="24" t="str">
        <x:v>DISPONÍVEL</x:v>
      </x:c>
      <x:c r="R3158" s="24" t="str">
        <x:v>Programa de Parcerias ZEISS</x:v>
      </x:c>
      <x:c r="S3158" s="24" t="n">
        <x:v>55</x:v>
      </x:c>
      <x:c r="T3158" s="24" t="str">
        <x:v>tabela_zeiss.pdf</x:v>
      </x:c>
      <x:c r="U3158" s="24" t="str">
        <x:v>ZEISS|Asiana|Surfaçada|Asiana|PhotoFusion X|1.6|1.60|DuraVision Platinum UV|-10.00 a +6.00|6.00|4.00|70/75|||55</x:v>
      </x:c>
    </x:row>
    <x:row r="3159">
      <x:c r="A3159" s="24" t="str">
        <x:v>ZS-A43ACA8AD62E</x:v>
      </x:c>
      <x:c r="B3159" s="24" t="str">
        <x:v>ZEISS</x:v>
      </x:c>
      <x:c r="C3159" s="24" t="str">
        <x:v>Asiana</x:v>
      </x:c>
      <x:c r="D3159" s="24" t="str">
        <x:v>Surfaçada</x:v>
      </x:c>
      <x:c r="E3159" s="24" t="str">
        <x:v>Asiana</x:v>
      </x:c>
      <x:c r="F3159" s="24" t="str">
        <x:v>PhotoFusion X</x:v>
      </x:c>
      <x:c r="G3159" s="24" t="str">
        <x:v>1.6</x:v>
      </x:c>
      <x:c r="H3159" s="24" t="str">
        <x:v>1.60</x:v>
      </x:c>
      <x:c r="I3159" s="24" t="str">
        <x:v>DuraVision Silver UV</x:v>
      </x:c>
      <x:c r="J3159" s="40" t="n">
        <x:v>8340</x:v>
      </x:c>
      <x:c r="K3159" s="24" t="str">
        <x:v>-10.00 a +6.00</x:v>
      </x:c>
      <x:c r="L3159" s="24" t="str">
        <x:v>6.00</x:v>
      </x:c>
      <x:c r="M3159" s="24" t="str">
        <x:v>4.00</x:v>
      </x:c>
      <x:c r="N3159" s="24" t="str">
        <x:v>70/75</x:v>
      </x:c>
      <x:c r="O3159" s="24"/>
      <x:c r="P3159" s="24"/>
      <x:c r="Q3159" s="24" t="str">
        <x:v>DISPONÍVEL</x:v>
      </x:c>
      <x:c r="R3159" s="24" t="str">
        <x:v>Programa de Parcerias ZEISS</x:v>
      </x:c>
      <x:c r="S3159" s="24" t="n">
        <x:v>55</x:v>
      </x:c>
      <x:c r="T3159" s="24" t="str">
        <x:v>tabela_zeiss.pdf</x:v>
      </x:c>
      <x:c r="U3159" s="24" t="str">
        <x:v>ZEISS|Asiana|Surfaçada|Asiana|PhotoFusion X|1.6|1.60|DuraVision Silver UV|-10.00 a +6.00|6.00|4.00|70/75|||55</x:v>
      </x:c>
    </x:row>
    <x:row r="3160">
      <x:c r="A3160" s="24" t="str">
        <x:v>ZS-54A4C4F80433</x:v>
      </x:c>
      <x:c r="B3160" s="24" t="str">
        <x:v>ZEISS</x:v>
      </x:c>
      <x:c r="C3160" s="24" t="str">
        <x:v>Asiana</x:v>
      </x:c>
      <x:c r="D3160" s="24" t="str">
        <x:v>Surfaçada</x:v>
      </x:c>
      <x:c r="E3160" s="24" t="str">
        <x:v>Asiana</x:v>
      </x:c>
      <x:c r="F3160" s="24" t="str">
        <x:v>PhotoFusion X</x:v>
      </x:c>
      <x:c r="G3160" s="24" t="str">
        <x:v>1.6</x:v>
      </x:c>
      <x:c r="H3160" s="24" t="str">
        <x:v>1.60</x:v>
      </x:c>
      <x:c r="I3160" s="24" t="str">
        <x:v>DuraVision Chrome UV</x:v>
      </x:c>
      <x:c r="J3160" s="40" t="n">
        <x:v>7850</x:v>
      </x:c>
      <x:c r="K3160" s="24" t="str">
        <x:v>-10.00 a +6.00</x:v>
      </x:c>
      <x:c r="L3160" s="24" t="str">
        <x:v>6.00</x:v>
      </x:c>
      <x:c r="M3160" s="24" t="str">
        <x:v>4.00</x:v>
      </x:c>
      <x:c r="N3160" s="24" t="str">
        <x:v>70/75</x:v>
      </x:c>
      <x:c r="O3160" s="24"/>
      <x:c r="P3160" s="24"/>
      <x:c r="Q3160" s="24" t="str">
        <x:v>DISPONÍVEL</x:v>
      </x:c>
      <x:c r="R3160" s="24" t="str">
        <x:v>Programa de Parcerias ZEISS</x:v>
      </x:c>
      <x:c r="S3160" s="24" t="n">
        <x:v>55</x:v>
      </x:c>
      <x:c r="T3160" s="24" t="str">
        <x:v>tabela_zeiss.pdf</x:v>
      </x:c>
      <x:c r="U3160" s="24" t="str">
        <x:v>ZEISS|Asiana|Surfaçada|Asiana|PhotoFusion X|1.6|1.60|DuraVision Chrome UV|-10.00 a +6.00|6.00|4.00|70/75|||55</x:v>
      </x:c>
    </x:row>
    <x:row r="3161">
      <x:c r="A3161" s="24" t="str">
        <x:v>ZS-F88BD48EBE57</x:v>
      </x:c>
      <x:c r="B3161" s="24" t="str">
        <x:v>ZEISS</x:v>
      </x:c>
      <x:c r="C3161" s="24" t="str">
        <x:v>Asiana</x:v>
      </x:c>
      <x:c r="D3161" s="24" t="str">
        <x:v>Surfaçada</x:v>
      </x:c>
      <x:c r="E3161" s="24" t="str">
        <x:v>Asiana</x:v>
      </x:c>
      <x:c r="F3161" s="24" t="str">
        <x:v>PhotoFusion X</x:v>
      </x:c>
      <x:c r="G3161" s="24" t="str">
        <x:v>1.67</x:v>
      </x:c>
      <x:c r="H3161" s="24" t="str">
        <x:v>1.67</x:v>
      </x:c>
      <x:c r="I3161" s="24" t="str">
        <x:v>DuraVision Gold UV</x:v>
      </x:c>
      <x:c r="J3161" s="40" t="n">
        <x:v>10380</x:v>
      </x:c>
      <x:c r="K3161" s="24" t="str">
        <x:v>-10.00 a +8.00</x:v>
      </x:c>
      <x:c r="L3161" s="24" t="str">
        <x:v>4.00</x:v>
      </x:c>
      <x:c r="M3161" s="24" t="str">
        <x:v>3.50</x:v>
      </x:c>
      <x:c r="N3161" s="24" t="str">
        <x:v>70/75</x:v>
      </x:c>
      <x:c r="O3161" s="24"/>
      <x:c r="P3161" s="24"/>
      <x:c r="Q3161" s="24" t="str">
        <x:v>DISPONÍVEL</x:v>
      </x:c>
      <x:c r="R3161" s="24" t="str">
        <x:v>Programa de Parcerias ZEISS</x:v>
      </x:c>
      <x:c r="S3161" s="24" t="n">
        <x:v>55</x:v>
      </x:c>
      <x:c r="T3161" s="24" t="str">
        <x:v>tabela_zeiss.pdf</x:v>
      </x:c>
      <x:c r="U3161" s="24" t="str">
        <x:v>ZEISS|Asiana|Surfaçada|Asiana|PhotoFusion X|1.67|1.67|DuraVision Gold UV|-10.00 a +8.00|4.00|3.50|70/75|||55</x:v>
      </x:c>
    </x:row>
    <x:row r="3162">
      <x:c r="A3162" s="24" t="str">
        <x:v>ZS-5352009BAF67</x:v>
      </x:c>
      <x:c r="B3162" s="24" t="str">
        <x:v>ZEISS</x:v>
      </x:c>
      <x:c r="C3162" s="24" t="str">
        <x:v>Asiana</x:v>
      </x:c>
      <x:c r="D3162" s="24" t="str">
        <x:v>Surfaçada</x:v>
      </x:c>
      <x:c r="E3162" s="24" t="str">
        <x:v>Asiana</x:v>
      </x:c>
      <x:c r="F3162" s="24" t="str">
        <x:v>PhotoFusion X</x:v>
      </x:c>
      <x:c r="G3162" s="24" t="str">
        <x:v>1.67</x:v>
      </x:c>
      <x:c r="H3162" s="24" t="str">
        <x:v>1.67</x:v>
      </x:c>
      <x:c r="I3162" s="24" t="str">
        <x:v>DURAVISION® ANTIVÍRUS PLATINUM UV</x:v>
      </x:c>
      <x:c r="J3162" s="40" t="n">
        <x:v>10240</x:v>
      </x:c>
      <x:c r="K3162" s="24" t="str">
        <x:v>-10.00 a +8.00</x:v>
      </x:c>
      <x:c r="L3162" s="24" t="str">
        <x:v>4.00</x:v>
      </x:c>
      <x:c r="M3162" s="24" t="str">
        <x:v>3.50</x:v>
      </x:c>
      <x:c r="N3162" s="24" t="str">
        <x:v>70/75</x:v>
      </x:c>
      <x:c r="O3162" s="24"/>
      <x:c r="P3162" s="24"/>
      <x:c r="Q3162" s="24" t="str">
        <x:v>DISPONÍVEL</x:v>
      </x:c>
      <x:c r="R3162" s="24" t="str">
        <x:v>Programa de Parcerias ZEISS</x:v>
      </x:c>
      <x:c r="S3162" s="24" t="n">
        <x:v>55</x:v>
      </x:c>
      <x:c r="T3162" s="24" t="str">
        <x:v>tabela_zeiss.pdf</x:v>
      </x:c>
      <x:c r="U3162" s="24" t="str">
        <x:v>ZEISS|Asiana|Surfaçada|Asiana|PhotoFusion X|1.67|1.67|DURAVISION® ANTIVÍRUS PLATINUM UV|-10.00 a +8.00|4.00|3.50|70/75|||55</x:v>
      </x:c>
    </x:row>
    <x:row r="3163">
      <x:c r="A3163" s="24" t="str">
        <x:v>ZS-69ED1AD931EC</x:v>
      </x:c>
      <x:c r="B3163" s="24" t="str">
        <x:v>ZEISS</x:v>
      </x:c>
      <x:c r="C3163" s="24" t="str">
        <x:v>Asiana</x:v>
      </x:c>
      <x:c r="D3163" s="24" t="str">
        <x:v>Surfaçada</x:v>
      </x:c>
      <x:c r="E3163" s="24" t="str">
        <x:v>Asiana</x:v>
      </x:c>
      <x:c r="F3163" s="24" t="str">
        <x:v>PhotoFusion X</x:v>
      </x:c>
      <x:c r="G3163" s="24" t="str">
        <x:v>1.67</x:v>
      </x:c>
      <x:c r="H3163" s="24" t="str">
        <x:v>1.67</x:v>
      </x:c>
      <x:c r="I3163" s="24" t="str">
        <x:v>DuraVision Platinum UV</x:v>
      </x:c>
      <x:c r="J3163" s="40" t="n">
        <x:v>10240</x:v>
      </x:c>
      <x:c r="K3163" s="24" t="str">
        <x:v>-10.00 a +8.00</x:v>
      </x:c>
      <x:c r="L3163" s="24" t="str">
        <x:v>4.00</x:v>
      </x:c>
      <x:c r="M3163" s="24" t="str">
        <x:v>3.50</x:v>
      </x:c>
      <x:c r="N3163" s="24" t="str">
        <x:v>70/75</x:v>
      </x:c>
      <x:c r="O3163" s="24"/>
      <x:c r="P3163" s="24"/>
      <x:c r="Q3163" s="24" t="str">
        <x:v>DISPONÍVEL</x:v>
      </x:c>
      <x:c r="R3163" s="24" t="str">
        <x:v>Programa de Parcerias ZEISS</x:v>
      </x:c>
      <x:c r="S3163" s="24" t="n">
        <x:v>55</x:v>
      </x:c>
      <x:c r="T3163" s="24" t="str">
        <x:v>tabela_zeiss.pdf</x:v>
      </x:c>
      <x:c r="U3163" s="24" t="str">
        <x:v>ZEISS|Asiana|Surfaçada|Asiana|PhotoFusion X|1.67|1.67|DuraVision Platinum UV|-10.00 a +8.00|4.00|3.50|70/75|||55</x:v>
      </x:c>
    </x:row>
    <x:row r="3164">
      <x:c r="A3164" s="24" t="str">
        <x:v>ZS-662F187F1877</x:v>
      </x:c>
      <x:c r="B3164" s="24" t="str">
        <x:v>ZEISS</x:v>
      </x:c>
      <x:c r="C3164" s="24" t="str">
        <x:v>Asiana</x:v>
      </x:c>
      <x:c r="D3164" s="24" t="str">
        <x:v>Surfaçada</x:v>
      </x:c>
      <x:c r="E3164" s="24" t="str">
        <x:v>Asiana</x:v>
      </x:c>
      <x:c r="F3164" s="24" t="str">
        <x:v>PhotoFusion X</x:v>
      </x:c>
      <x:c r="G3164" s="24" t="str">
        <x:v>1.67</x:v>
      </x:c>
      <x:c r="H3164" s="24" t="str">
        <x:v>1.67</x:v>
      </x:c>
      <x:c r="I3164" s="24" t="str">
        <x:v>DuraVision Silver UV</x:v>
      </x:c>
      <x:c r="J3164" s="40" t="n">
        <x:v>9980</x:v>
      </x:c>
      <x:c r="K3164" s="24" t="str">
        <x:v>-10.00 a +8.00</x:v>
      </x:c>
      <x:c r="L3164" s="24" t="str">
        <x:v>4.00</x:v>
      </x:c>
      <x:c r="M3164" s="24" t="str">
        <x:v>3.50</x:v>
      </x:c>
      <x:c r="N3164" s="24" t="str">
        <x:v>70/75</x:v>
      </x:c>
      <x:c r="O3164" s="24"/>
      <x:c r="P3164" s="24"/>
      <x:c r="Q3164" s="24" t="str">
        <x:v>DISPONÍVEL</x:v>
      </x:c>
      <x:c r="R3164" s="24" t="str">
        <x:v>Programa de Parcerias ZEISS</x:v>
      </x:c>
      <x:c r="S3164" s="24" t="n">
        <x:v>55</x:v>
      </x:c>
      <x:c r="T3164" s="24" t="str">
        <x:v>tabela_zeiss.pdf</x:v>
      </x:c>
      <x:c r="U3164" s="24" t="str">
        <x:v>ZEISS|Asiana|Surfaçada|Asiana|PhotoFusion X|1.67|1.67|DuraVision Silver UV|-10.00 a +8.00|4.00|3.50|70/75|||55</x:v>
      </x:c>
    </x:row>
    <x:row r="3165">
      <x:c r="A3165" s="24" t="str">
        <x:v>ZS-68C39215EFAA</x:v>
      </x:c>
      <x:c r="B3165" s="24" t="str">
        <x:v>ZEISS</x:v>
      </x:c>
      <x:c r="C3165" s="24" t="str">
        <x:v>Asiana</x:v>
      </x:c>
      <x:c r="D3165" s="24" t="str">
        <x:v>Surfaçada</x:v>
      </x:c>
      <x:c r="E3165" s="24" t="str">
        <x:v>Asiana</x:v>
      </x:c>
      <x:c r="F3165" s="24" t="str">
        <x:v>PhotoFusion X</x:v>
      </x:c>
      <x:c r="G3165" s="24" t="str">
        <x:v>1.67</x:v>
      </x:c>
      <x:c r="H3165" s="24" t="str">
        <x:v>1.67</x:v>
      </x:c>
      <x:c r="I3165" s="24" t="str">
        <x:v>DuraVision Chrome UV</x:v>
      </x:c>
      <x:c r="J3165" s="40" t="n">
        <x:v>9490</x:v>
      </x:c>
      <x:c r="K3165" s="24" t="str">
        <x:v>-10.00 a +8.00</x:v>
      </x:c>
      <x:c r="L3165" s="24" t="str">
        <x:v>4.00</x:v>
      </x:c>
      <x:c r="M3165" s="24" t="str">
        <x:v>3.50</x:v>
      </x:c>
      <x:c r="N3165" s="24" t="str">
        <x:v>70/75</x:v>
      </x:c>
      <x:c r="O3165" s="24"/>
      <x:c r="P3165" s="24"/>
      <x:c r="Q3165" s="24" t="str">
        <x:v>DISPONÍVEL</x:v>
      </x:c>
      <x:c r="R3165" s="24" t="str">
        <x:v>Programa de Parcerias ZEISS</x:v>
      </x:c>
      <x:c r="S3165" s="24" t="n">
        <x:v>55</x:v>
      </x:c>
      <x:c r="T3165" s="24" t="str">
        <x:v>tabela_zeiss.pdf</x:v>
      </x:c>
      <x:c r="U3165" s="24" t="str">
        <x:v>ZEISS|Asiana|Surfaçada|Asiana|PhotoFusion X|1.67|1.67|DuraVision Chrome UV|-10.00 a +8.00|4.00|3.50|70/75|||55</x:v>
      </x:c>
    </x:row>
    <x:row r="3166">
      <x:c r="A3166" s="24" t="str">
        <x:v>ZS-D8956AA81436</x:v>
      </x:c>
      <x:c r="B3166" s="24" t="str">
        <x:v>ZEISS</x:v>
      </x:c>
      <x:c r="C3166" s="24" t="str">
        <x:v>Asiana</x:v>
      </x:c>
      <x:c r="D3166" s="24" t="str">
        <x:v>Surfaçada</x:v>
      </x:c>
      <x:c r="E3166" s="24" t="str">
        <x:v>Asiana</x:v>
      </x:c>
      <x:c r="F3166" s="24" t="str">
        <x:v>PhotoFusion X Extra Dark Cinza</x:v>
      </x:c>
      <x:c r="G3166" s="24" t="str">
        <x:v>1.5</x:v>
      </x:c>
      <x:c r="H3166" s="24" t="str">
        <x:v>1.50</x:v>
      </x:c>
      <x:c r="I3166" s="24" t="str">
        <x:v>DuraVision Gold UV</x:v>
      </x:c>
      <x:c r="J3166" s="40" t="n">
        <x:v>7540</x:v>
      </x:c>
      <x:c r="K3166" s="24" t="str">
        <x:v>-6.00 a +4.00</x:v>
      </x:c>
      <x:c r="L3166" s="24" t="str">
        <x:v>4.00</x:v>
      </x:c>
      <x:c r="M3166" s="24" t="str">
        <x:v>3.50</x:v>
      </x:c>
      <x:c r="N3166" s="24" t="str">
        <x:v>75/80</x:v>
      </x:c>
      <x:c r="O3166" s="24"/>
      <x:c r="P3166" s="24"/>
      <x:c r="Q3166" s="24" t="str">
        <x:v>DISPONÍVEL</x:v>
      </x:c>
      <x:c r="R3166" s="24" t="str">
        <x:v>Programa de Parcerias ZEISS</x:v>
      </x:c>
      <x:c r="S3166" s="24" t="n">
        <x:v>55</x:v>
      </x:c>
      <x:c r="T3166" s="24" t="str">
        <x:v>tabela_zeiss.pdf</x:v>
      </x:c>
      <x:c r="U3166" s="24" t="str">
        <x:v>ZEISS|Asiana|Surfaçada|Asiana|PhotoFusion X Extra Dark Cinza|1.5|1.50|DuraVision Gold UV|-6.00 a +4.00|4.00|3.50|75/80|||55</x:v>
      </x:c>
    </x:row>
    <x:row r="3167">
      <x:c r="A3167" s="24" t="str">
        <x:v>ZS-F45E81EF89DA</x:v>
      </x:c>
      <x:c r="B3167" s="24" t="str">
        <x:v>ZEISS</x:v>
      </x:c>
      <x:c r="C3167" s="24" t="str">
        <x:v>Asiana</x:v>
      </x:c>
      <x:c r="D3167" s="24" t="str">
        <x:v>Surfaçada</x:v>
      </x:c>
      <x:c r="E3167" s="24" t="str">
        <x:v>Asiana</x:v>
      </x:c>
      <x:c r="F3167" s="24" t="str">
        <x:v>PhotoFusion X Extra Dark Cinza</x:v>
      </x:c>
      <x:c r="G3167" s="24" t="str">
        <x:v>1.5</x:v>
      </x:c>
      <x:c r="H3167" s="24" t="str">
        <x:v>1.50</x:v>
      </x:c>
      <x:c r="I3167" s="24" t="str">
        <x:v>DURAVISION® ANTIVÍRUS PLATINUM UV</x:v>
      </x:c>
      <x:c r="J3167" s="40" t="n">
        <x:v>7400</x:v>
      </x:c>
      <x:c r="K3167" s="24" t="str">
        <x:v>-6.00 a +4.00</x:v>
      </x:c>
      <x:c r="L3167" s="24" t="str">
        <x:v>4.00</x:v>
      </x:c>
      <x:c r="M3167" s="24" t="str">
        <x:v>3.50</x:v>
      </x:c>
      <x:c r="N3167" s="24" t="str">
        <x:v>75/80</x:v>
      </x:c>
      <x:c r="O3167" s="24"/>
      <x:c r="P3167" s="24"/>
      <x:c r="Q3167" s="24" t="str">
        <x:v>DISPONÍVEL</x:v>
      </x:c>
      <x:c r="R3167" s="24" t="str">
        <x:v>Programa de Parcerias ZEISS</x:v>
      </x:c>
      <x:c r="S3167" s="24" t="n">
        <x:v>55</x:v>
      </x:c>
      <x:c r="T3167" s="24" t="str">
        <x:v>tabela_zeiss.pdf</x:v>
      </x:c>
      <x:c r="U3167" s="24" t="str">
        <x:v>ZEISS|Asiana|Surfaçada|Asiana|PhotoFusion X Extra Dark Cinza|1.5|1.50|DURAVISION® ANTIVÍRUS PLATINUM UV|-6.00 a +4.00|4.00|3.50|75/80|||55</x:v>
      </x:c>
    </x:row>
    <x:row r="3168">
      <x:c r="A3168" s="24" t="str">
        <x:v>ZS-8EA479FFB19C</x:v>
      </x:c>
      <x:c r="B3168" s="24" t="str">
        <x:v>ZEISS</x:v>
      </x:c>
      <x:c r="C3168" s="24" t="str">
        <x:v>Asiana</x:v>
      </x:c>
      <x:c r="D3168" s="24" t="str">
        <x:v>Surfaçada</x:v>
      </x:c>
      <x:c r="E3168" s="24" t="str">
        <x:v>Asiana</x:v>
      </x:c>
      <x:c r="F3168" s="24" t="str">
        <x:v>PhotoFusion X Extra Dark Cinza</x:v>
      </x:c>
      <x:c r="G3168" s="24" t="str">
        <x:v>1.5</x:v>
      </x:c>
      <x:c r="H3168" s="24" t="str">
        <x:v>1.50</x:v>
      </x:c>
      <x:c r="I3168" s="24" t="str">
        <x:v>DuraVision Platinum UV</x:v>
      </x:c>
      <x:c r="J3168" s="40" t="n">
        <x:v>7400</x:v>
      </x:c>
      <x:c r="K3168" s="24" t="str">
        <x:v>-6.00 a +4.00</x:v>
      </x:c>
      <x:c r="L3168" s="24" t="str">
        <x:v>4.00</x:v>
      </x:c>
      <x:c r="M3168" s="24" t="str">
        <x:v>3.50</x:v>
      </x:c>
      <x:c r="N3168" s="24" t="str">
        <x:v>75/80</x:v>
      </x:c>
      <x:c r="O3168" s="24"/>
      <x:c r="P3168" s="24"/>
      <x:c r="Q3168" s="24" t="str">
        <x:v>DISPONÍVEL</x:v>
      </x:c>
      <x:c r="R3168" s="24" t="str">
        <x:v>Programa de Parcerias ZEISS</x:v>
      </x:c>
      <x:c r="S3168" s="24" t="n">
        <x:v>55</x:v>
      </x:c>
      <x:c r="T3168" s="24" t="str">
        <x:v>tabela_zeiss.pdf</x:v>
      </x:c>
      <x:c r="U3168" s="24" t="str">
        <x:v>ZEISS|Asiana|Surfaçada|Asiana|PhotoFusion X Extra Dark Cinza|1.5|1.50|DuraVision Platinum UV|-6.00 a +4.00|4.00|3.50|75/80|||55</x:v>
      </x:c>
    </x:row>
    <x:row r="3169">
      <x:c r="A3169" s="24" t="str">
        <x:v>ZS-AFE7C0486137</x:v>
      </x:c>
      <x:c r="B3169" s="24" t="str">
        <x:v>ZEISS</x:v>
      </x:c>
      <x:c r="C3169" s="24" t="str">
        <x:v>Asiana</x:v>
      </x:c>
      <x:c r="D3169" s="24" t="str">
        <x:v>Surfaçada</x:v>
      </x:c>
      <x:c r="E3169" s="24" t="str">
        <x:v>Asiana</x:v>
      </x:c>
      <x:c r="F3169" s="24" t="str">
        <x:v>PhotoFusion X Extra Dark Cinza</x:v>
      </x:c>
      <x:c r="G3169" s="24" t="str">
        <x:v>1.5</x:v>
      </x:c>
      <x:c r="H3169" s="24" t="str">
        <x:v>1.50</x:v>
      </x:c>
      <x:c r="I3169" s="24" t="str">
        <x:v>DuraVision Silver UV</x:v>
      </x:c>
      <x:c r="J3169" s="40" t="n">
        <x:v>7140</x:v>
      </x:c>
      <x:c r="K3169" s="24" t="str">
        <x:v>-6.00 a +4.00</x:v>
      </x:c>
      <x:c r="L3169" s="24" t="str">
        <x:v>4.00</x:v>
      </x:c>
      <x:c r="M3169" s="24" t="str">
        <x:v>3.50</x:v>
      </x:c>
      <x:c r="N3169" s="24" t="str">
        <x:v>75/80</x:v>
      </x:c>
      <x:c r="O3169" s="24"/>
      <x:c r="P3169" s="24"/>
      <x:c r="Q3169" s="24" t="str">
        <x:v>DISPONÍVEL</x:v>
      </x:c>
      <x:c r="R3169" s="24" t="str">
        <x:v>Programa de Parcerias ZEISS</x:v>
      </x:c>
      <x:c r="S3169" s="24" t="n">
        <x:v>55</x:v>
      </x:c>
      <x:c r="T3169" s="24" t="str">
        <x:v>tabela_zeiss.pdf</x:v>
      </x:c>
      <x:c r="U3169" s="24" t="str">
        <x:v>ZEISS|Asiana|Surfaçada|Asiana|PhotoFusion X Extra Dark Cinza|1.5|1.50|DuraVision Silver UV|-6.00 a +4.00|4.00|3.50|75/80|||55</x:v>
      </x:c>
    </x:row>
    <x:row r="3170">
      <x:c r="A3170" s="24" t="str">
        <x:v>ZS-84F03754809E</x:v>
      </x:c>
      <x:c r="B3170" s="24" t="str">
        <x:v>ZEISS</x:v>
      </x:c>
      <x:c r="C3170" s="24" t="str">
        <x:v>Asiana</x:v>
      </x:c>
      <x:c r="D3170" s="24" t="str">
        <x:v>Surfaçada</x:v>
      </x:c>
      <x:c r="E3170" s="24" t="str">
        <x:v>Asiana</x:v>
      </x:c>
      <x:c r="F3170" s="24" t="str">
        <x:v>PhotoFusion X Extra Dark Cinza</x:v>
      </x:c>
      <x:c r="G3170" s="24" t="str">
        <x:v>1.5</x:v>
      </x:c>
      <x:c r="H3170" s="24" t="str">
        <x:v>1.50</x:v>
      </x:c>
      <x:c r="I3170" s="24" t="str">
        <x:v>DuraVision Chrome UV</x:v>
      </x:c>
      <x:c r="J3170" s="40" t="n">
        <x:v>6650</x:v>
      </x:c>
      <x:c r="K3170" s="24" t="str">
        <x:v>-6.00 a +4.00</x:v>
      </x:c>
      <x:c r="L3170" s="24" t="str">
        <x:v>4.00</x:v>
      </x:c>
      <x:c r="M3170" s="24" t="str">
        <x:v>3.50</x:v>
      </x:c>
      <x:c r="N3170" s="24" t="str">
        <x:v>75/80</x:v>
      </x:c>
      <x:c r="O3170" s="24"/>
      <x:c r="P3170" s="24"/>
      <x:c r="Q3170" s="24" t="str">
        <x:v>DISPONÍVEL</x:v>
      </x:c>
      <x:c r="R3170" s="24" t="str">
        <x:v>Programa de Parcerias ZEISS</x:v>
      </x:c>
      <x:c r="S3170" s="24" t="n">
        <x:v>55</x:v>
      </x:c>
      <x:c r="T3170" s="24" t="str">
        <x:v>tabela_zeiss.pdf</x:v>
      </x:c>
      <x:c r="U3170" s="24" t="str">
        <x:v>ZEISS|Asiana|Surfaçada|Asiana|PhotoFusion X Extra Dark Cinza|1.5|1.50|DuraVision Chrome UV|-6.00 a +4.00|4.00|3.50|75/80|||55</x:v>
      </x:c>
    </x:row>
    <x:row r="3171">
      <x:c r="A3171" s="24" t="str">
        <x:v>ZS-52E2CEB2526B</x:v>
      </x:c>
      <x:c r="B3171" s="24" t="str">
        <x:v>ZEISS</x:v>
      </x:c>
      <x:c r="C3171" s="24" t="str">
        <x:v>Asiana</x:v>
      </x:c>
      <x:c r="D3171" s="24" t="str">
        <x:v>Surfaçada</x:v>
      </x:c>
      <x:c r="E3171" s="24" t="str">
        <x:v>Asiana</x:v>
      </x:c>
      <x:c r="F3171" s="24" t="str">
        <x:v>PhotoFusion X Extra Dark Cinza</x:v>
      </x:c>
      <x:c r="G3171" s="24" t="str">
        <x:v>1.6</x:v>
      </x:c>
      <x:c r="H3171" s="24" t="str">
        <x:v>1.60</x:v>
      </x:c>
      <x:c r="I3171" s="24" t="str">
        <x:v>DuraVision Gold UV</x:v>
      </x:c>
      <x:c r="J3171" s="40" t="n">
        <x:v>8790</x:v>
      </x:c>
      <x:c r="K3171" s="24" t="str">
        <x:v>-10.00 a +6.00</x:v>
      </x:c>
      <x:c r="L3171" s="24" t="str">
        <x:v>6.00</x:v>
      </x:c>
      <x:c r="M3171" s="24" t="str">
        <x:v>4.00</x:v>
      </x:c>
      <x:c r="N3171" s="24" t="str">
        <x:v>70/75</x:v>
      </x:c>
      <x:c r="O3171" s="24"/>
      <x:c r="P3171" s="24"/>
      <x:c r="Q3171" s="24" t="str">
        <x:v>DISPONÍVEL</x:v>
      </x:c>
      <x:c r="R3171" s="24" t="str">
        <x:v>Programa de Parcerias ZEISS</x:v>
      </x:c>
      <x:c r="S3171" s="24" t="n">
        <x:v>55</x:v>
      </x:c>
      <x:c r="T3171" s="24" t="str">
        <x:v>tabela_zeiss.pdf</x:v>
      </x:c>
      <x:c r="U3171" s="24" t="str">
        <x:v>ZEISS|Asiana|Surfaçada|Asiana|PhotoFusion X Extra Dark Cinza|1.6|1.60|DuraVision Gold UV|-10.00 a +6.00|6.00|4.00|70/75|||55</x:v>
      </x:c>
    </x:row>
    <x:row r="3172">
      <x:c r="A3172" s="24" t="str">
        <x:v>ZS-C8D804162E1E</x:v>
      </x:c>
      <x:c r="B3172" s="24" t="str">
        <x:v>ZEISS</x:v>
      </x:c>
      <x:c r="C3172" s="24" t="str">
        <x:v>Asiana</x:v>
      </x:c>
      <x:c r="D3172" s="24" t="str">
        <x:v>Surfaçada</x:v>
      </x:c>
      <x:c r="E3172" s="24" t="str">
        <x:v>Asiana</x:v>
      </x:c>
      <x:c r="F3172" s="24" t="str">
        <x:v>PhotoFusion X Extra Dark Cinza</x:v>
      </x:c>
      <x:c r="G3172" s="24" t="str">
        <x:v>1.6</x:v>
      </x:c>
      <x:c r="H3172" s="24" t="str">
        <x:v>1.60</x:v>
      </x:c>
      <x:c r="I3172" s="24" t="str">
        <x:v>DURAVISION® ANTIVÍRUS PLATINUM UV</x:v>
      </x:c>
      <x:c r="J3172" s="40" t="n">
        <x:v>8650</x:v>
      </x:c>
      <x:c r="K3172" s="24" t="str">
        <x:v>-10.00 a +6.00</x:v>
      </x:c>
      <x:c r="L3172" s="24" t="str">
        <x:v>6.00</x:v>
      </x:c>
      <x:c r="M3172" s="24" t="str">
        <x:v>4.00</x:v>
      </x:c>
      <x:c r="N3172" s="24" t="str">
        <x:v>70/75</x:v>
      </x:c>
      <x:c r="O3172" s="24"/>
      <x:c r="P3172" s="24"/>
      <x:c r="Q3172" s="24" t="str">
        <x:v>DISPONÍVEL</x:v>
      </x:c>
      <x:c r="R3172" s="24" t="str">
        <x:v>Programa de Parcerias ZEISS</x:v>
      </x:c>
      <x:c r="S3172" s="24" t="n">
        <x:v>55</x:v>
      </x:c>
      <x:c r="T3172" s="24" t="str">
        <x:v>tabela_zeiss.pdf</x:v>
      </x:c>
      <x:c r="U3172" s="24" t="str">
        <x:v>ZEISS|Asiana|Surfaçada|Asiana|PhotoFusion X Extra Dark Cinza|1.6|1.60|DURAVISION® ANTIVÍRUS PLATINUM UV|-10.00 a +6.00|6.00|4.00|70/75|||55</x:v>
      </x:c>
    </x:row>
    <x:row r="3173">
      <x:c r="A3173" s="24" t="str">
        <x:v>ZS-550B49BE4E93</x:v>
      </x:c>
      <x:c r="B3173" s="24" t="str">
        <x:v>ZEISS</x:v>
      </x:c>
      <x:c r="C3173" s="24" t="str">
        <x:v>Asiana</x:v>
      </x:c>
      <x:c r="D3173" s="24" t="str">
        <x:v>Surfaçada</x:v>
      </x:c>
      <x:c r="E3173" s="24" t="str">
        <x:v>Asiana</x:v>
      </x:c>
      <x:c r="F3173" s="24" t="str">
        <x:v>PhotoFusion X Extra Dark Cinza</x:v>
      </x:c>
      <x:c r="G3173" s="24" t="str">
        <x:v>1.6</x:v>
      </x:c>
      <x:c r="H3173" s="24" t="str">
        <x:v>1.60</x:v>
      </x:c>
      <x:c r="I3173" s="24" t="str">
        <x:v>DuraVision Platinum UV</x:v>
      </x:c>
      <x:c r="J3173" s="40" t="n">
        <x:v>8650</x:v>
      </x:c>
      <x:c r="K3173" s="24" t="str">
        <x:v>-10.00 a +6.00</x:v>
      </x:c>
      <x:c r="L3173" s="24" t="str">
        <x:v>6.00</x:v>
      </x:c>
      <x:c r="M3173" s="24" t="str">
        <x:v>4.00</x:v>
      </x:c>
      <x:c r="N3173" s="24" t="str">
        <x:v>70/75</x:v>
      </x:c>
      <x:c r="O3173" s="24"/>
      <x:c r="P3173" s="24"/>
      <x:c r="Q3173" s="24" t="str">
        <x:v>DISPONÍVEL</x:v>
      </x:c>
      <x:c r="R3173" s="24" t="str">
        <x:v>Programa de Parcerias ZEISS</x:v>
      </x:c>
      <x:c r="S3173" s="24" t="n">
        <x:v>55</x:v>
      </x:c>
      <x:c r="T3173" s="24" t="str">
        <x:v>tabela_zeiss.pdf</x:v>
      </x:c>
      <x:c r="U3173" s="24" t="str">
        <x:v>ZEISS|Asiana|Surfaçada|Asiana|PhotoFusion X Extra Dark Cinza|1.6|1.60|DuraVision Platinum UV|-10.00 a +6.00|6.00|4.00|70/75|||55</x:v>
      </x:c>
    </x:row>
    <x:row r="3174">
      <x:c r="A3174" s="24" t="str">
        <x:v>ZS-20678FD3D4B7</x:v>
      </x:c>
      <x:c r="B3174" s="24" t="str">
        <x:v>ZEISS</x:v>
      </x:c>
      <x:c r="C3174" s="24" t="str">
        <x:v>Asiana</x:v>
      </x:c>
      <x:c r="D3174" s="24" t="str">
        <x:v>Surfaçada</x:v>
      </x:c>
      <x:c r="E3174" s="24" t="str">
        <x:v>Asiana</x:v>
      </x:c>
      <x:c r="F3174" s="24" t="str">
        <x:v>PhotoFusion X Extra Dark Cinza</x:v>
      </x:c>
      <x:c r="G3174" s="24" t="str">
        <x:v>1.6</x:v>
      </x:c>
      <x:c r="H3174" s="24" t="str">
        <x:v>1.60</x:v>
      </x:c>
      <x:c r="I3174" s="24" t="str">
        <x:v>DuraVision Silver UV</x:v>
      </x:c>
      <x:c r="J3174" s="40" t="n">
        <x:v>8390</x:v>
      </x:c>
      <x:c r="K3174" s="24" t="str">
        <x:v>-10.00 a +6.00</x:v>
      </x:c>
      <x:c r="L3174" s="24" t="str">
        <x:v>6.00</x:v>
      </x:c>
      <x:c r="M3174" s="24" t="str">
        <x:v>4.00</x:v>
      </x:c>
      <x:c r="N3174" s="24" t="str">
        <x:v>70/75</x:v>
      </x:c>
      <x:c r="O3174" s="24"/>
      <x:c r="P3174" s="24"/>
      <x:c r="Q3174" s="24" t="str">
        <x:v>DISPONÍVEL</x:v>
      </x:c>
      <x:c r="R3174" s="24" t="str">
        <x:v>Programa de Parcerias ZEISS</x:v>
      </x:c>
      <x:c r="S3174" s="24" t="n">
        <x:v>55</x:v>
      </x:c>
      <x:c r="T3174" s="24" t="str">
        <x:v>tabela_zeiss.pdf</x:v>
      </x:c>
      <x:c r="U3174" s="24" t="str">
        <x:v>ZEISS|Asiana|Surfaçada|Asiana|PhotoFusion X Extra Dark Cinza|1.6|1.60|DuraVision Silver UV|-10.00 a +6.00|6.00|4.00|70/75|||55</x:v>
      </x:c>
    </x:row>
    <x:row r="3175">
      <x:c r="A3175" s="24" t="str">
        <x:v>ZS-976654DD0F46</x:v>
      </x:c>
      <x:c r="B3175" s="24" t="str">
        <x:v>ZEISS</x:v>
      </x:c>
      <x:c r="C3175" s="24" t="str">
        <x:v>Asiana</x:v>
      </x:c>
      <x:c r="D3175" s="24" t="str">
        <x:v>Surfaçada</x:v>
      </x:c>
      <x:c r="E3175" s="24" t="str">
        <x:v>Asiana</x:v>
      </x:c>
      <x:c r="F3175" s="24" t="str">
        <x:v>PhotoFusion X Extra Dark Cinza</x:v>
      </x:c>
      <x:c r="G3175" s="24" t="str">
        <x:v>1.6</x:v>
      </x:c>
      <x:c r="H3175" s="24" t="str">
        <x:v>1.60</x:v>
      </x:c>
      <x:c r="I3175" s="24" t="str">
        <x:v>DuraVision Chrome UV</x:v>
      </x:c>
      <x:c r="J3175" s="40" t="n">
        <x:v>7900</x:v>
      </x:c>
      <x:c r="K3175" s="24" t="str">
        <x:v>-10.00 a +6.00</x:v>
      </x:c>
      <x:c r="L3175" s="24" t="str">
        <x:v>6.00</x:v>
      </x:c>
      <x:c r="M3175" s="24" t="str">
        <x:v>4.00</x:v>
      </x:c>
      <x:c r="N3175" s="24" t="str">
        <x:v>70/75</x:v>
      </x:c>
      <x:c r="O3175" s="24"/>
      <x:c r="P3175" s="24"/>
      <x:c r="Q3175" s="24" t="str">
        <x:v>DISPONÍVEL</x:v>
      </x:c>
      <x:c r="R3175" s="24" t="str">
        <x:v>Programa de Parcerias ZEISS</x:v>
      </x:c>
      <x:c r="S3175" s="24" t="n">
        <x:v>55</x:v>
      </x:c>
      <x:c r="T3175" s="24" t="str">
        <x:v>tabela_zeiss.pdf</x:v>
      </x:c>
      <x:c r="U3175" s="24" t="str">
        <x:v>ZEISS|Asiana|Surfaçada|Asiana|PhotoFusion X Extra Dark Cinza|1.6|1.60|DuraVision Chrome UV|-10.00 a +6.00|6.00|4.00|70/75|||55</x:v>
      </x:c>
    </x:row>
    <x:row r="3176">
      <x:c r="A3176" s="24" t="str">
        <x:v>ZS-850DE9787F6A</x:v>
      </x:c>
      <x:c r="B3176" s="24" t="str">
        <x:v>ZEISS</x:v>
      </x:c>
      <x:c r="C3176" s="24" t="str">
        <x:v>Asiana</x:v>
      </x:c>
      <x:c r="D3176" s="24" t="str">
        <x:v>Surfaçada</x:v>
      </x:c>
      <x:c r="E3176" s="24" t="str">
        <x:v>Asiana</x:v>
      </x:c>
      <x:c r="F3176" s="24" t="str">
        <x:v>PhotoFusion X Extra Dark Cinza</x:v>
      </x:c>
      <x:c r="G3176" s="24" t="str">
        <x:v>1.67</x:v>
      </x:c>
      <x:c r="H3176" s="24" t="str">
        <x:v>1.67</x:v>
      </x:c>
      <x:c r="I3176" s="24" t="str">
        <x:v>DuraVision Gold UV</x:v>
      </x:c>
      <x:c r="J3176" s="40" t="n">
        <x:v>10430</x:v>
      </x:c>
      <x:c r="K3176" s="24" t="str">
        <x:v>-10.00 a +8.00</x:v>
      </x:c>
      <x:c r="L3176" s="24" t="str">
        <x:v>4.00</x:v>
      </x:c>
      <x:c r="M3176" s="24" t="str">
        <x:v>3.50</x:v>
      </x:c>
      <x:c r="N3176" s="24" t="str">
        <x:v>70/75</x:v>
      </x:c>
      <x:c r="O3176" s="24"/>
      <x:c r="P3176" s="24"/>
      <x:c r="Q3176" s="24" t="str">
        <x:v>DISPONÍVEL</x:v>
      </x:c>
      <x:c r="R3176" s="24" t="str">
        <x:v>Programa de Parcerias ZEISS</x:v>
      </x:c>
      <x:c r="S3176" s="24" t="n">
        <x:v>55</x:v>
      </x:c>
      <x:c r="T3176" s="24" t="str">
        <x:v>tabela_zeiss.pdf</x:v>
      </x:c>
      <x:c r="U3176" s="24" t="str">
        <x:v>ZEISS|Asiana|Surfaçada|Asiana|PhotoFusion X Extra Dark Cinza|1.67|1.67|DuraVision Gold UV|-10.00 a +8.00|4.00|3.50|70/75|||55</x:v>
      </x:c>
    </x:row>
    <x:row r="3177">
      <x:c r="A3177" s="24" t="str">
        <x:v>ZS-EDB7232C4E95</x:v>
      </x:c>
      <x:c r="B3177" s="24" t="str">
        <x:v>ZEISS</x:v>
      </x:c>
      <x:c r="C3177" s="24" t="str">
        <x:v>Asiana</x:v>
      </x:c>
      <x:c r="D3177" s="24" t="str">
        <x:v>Surfaçada</x:v>
      </x:c>
      <x:c r="E3177" s="24" t="str">
        <x:v>Asiana</x:v>
      </x:c>
      <x:c r="F3177" s="24" t="str">
        <x:v>PhotoFusion X Extra Dark Cinza</x:v>
      </x:c>
      <x:c r="G3177" s="24" t="str">
        <x:v>1.67</x:v>
      </x:c>
      <x:c r="H3177" s="24" t="str">
        <x:v>1.67</x:v>
      </x:c>
      <x:c r="I3177" s="24" t="str">
        <x:v>DURAVISION® ANTIVÍRUS PLATINUM UV</x:v>
      </x:c>
      <x:c r="J3177" s="40" t="n">
        <x:v>10290</x:v>
      </x:c>
      <x:c r="K3177" s="24" t="str">
        <x:v>-10.00 a +8.00</x:v>
      </x:c>
      <x:c r="L3177" s="24" t="str">
        <x:v>4.00</x:v>
      </x:c>
      <x:c r="M3177" s="24" t="str">
        <x:v>3.50</x:v>
      </x:c>
      <x:c r="N3177" s="24" t="str">
        <x:v>70/75</x:v>
      </x:c>
      <x:c r="O3177" s="24"/>
      <x:c r="P3177" s="24"/>
      <x:c r="Q3177" s="24" t="str">
        <x:v>DISPONÍVEL</x:v>
      </x:c>
      <x:c r="R3177" s="24" t="str">
        <x:v>Programa de Parcerias ZEISS</x:v>
      </x:c>
      <x:c r="S3177" s="24" t="n">
        <x:v>55</x:v>
      </x:c>
      <x:c r="T3177" s="24" t="str">
        <x:v>tabela_zeiss.pdf</x:v>
      </x:c>
      <x:c r="U3177" s="24" t="str">
        <x:v>ZEISS|Asiana|Surfaçada|Asiana|PhotoFusion X Extra Dark Cinza|1.67|1.67|DURAVISION® ANTIVÍRUS PLATINUM UV|-10.00 a +8.00|4.00|3.50|70/75|||55</x:v>
      </x:c>
    </x:row>
    <x:row r="3178">
      <x:c r="A3178" s="24" t="str">
        <x:v>ZS-D9049A0B2403</x:v>
      </x:c>
      <x:c r="B3178" s="24" t="str">
        <x:v>ZEISS</x:v>
      </x:c>
      <x:c r="C3178" s="24" t="str">
        <x:v>Asiana</x:v>
      </x:c>
      <x:c r="D3178" s="24" t="str">
        <x:v>Surfaçada</x:v>
      </x:c>
      <x:c r="E3178" s="24" t="str">
        <x:v>Asiana</x:v>
      </x:c>
      <x:c r="F3178" s="24" t="str">
        <x:v>PhotoFusion X Extra Dark Cinza</x:v>
      </x:c>
      <x:c r="G3178" s="24" t="str">
        <x:v>1.67</x:v>
      </x:c>
      <x:c r="H3178" s="24" t="str">
        <x:v>1.67</x:v>
      </x:c>
      <x:c r="I3178" s="24" t="str">
        <x:v>DuraVision Platinum UV</x:v>
      </x:c>
      <x:c r="J3178" s="40" t="n">
        <x:v>10290</x:v>
      </x:c>
      <x:c r="K3178" s="24" t="str">
        <x:v>-10.00 a +8.00</x:v>
      </x:c>
      <x:c r="L3178" s="24" t="str">
        <x:v>4.00</x:v>
      </x:c>
      <x:c r="M3178" s="24" t="str">
        <x:v>3.50</x:v>
      </x:c>
      <x:c r="N3178" s="24" t="str">
        <x:v>70/75</x:v>
      </x:c>
      <x:c r="O3178" s="24"/>
      <x:c r="P3178" s="24"/>
      <x:c r="Q3178" s="24" t="str">
        <x:v>DISPONÍVEL</x:v>
      </x:c>
      <x:c r="R3178" s="24" t="str">
        <x:v>Programa de Parcerias ZEISS</x:v>
      </x:c>
      <x:c r="S3178" s="24" t="n">
        <x:v>55</x:v>
      </x:c>
      <x:c r="T3178" s="24" t="str">
        <x:v>tabela_zeiss.pdf</x:v>
      </x:c>
      <x:c r="U3178" s="24" t="str">
        <x:v>ZEISS|Asiana|Surfaçada|Asiana|PhotoFusion X Extra Dark Cinza|1.67|1.67|DuraVision Platinum UV|-10.00 a +8.00|4.00|3.50|70/75|||55</x:v>
      </x:c>
    </x:row>
    <x:row r="3179">
      <x:c r="A3179" s="24" t="str">
        <x:v>ZS-48DCE69EBA05</x:v>
      </x:c>
      <x:c r="B3179" s="24" t="str">
        <x:v>ZEISS</x:v>
      </x:c>
      <x:c r="C3179" s="24" t="str">
        <x:v>Asiana</x:v>
      </x:c>
      <x:c r="D3179" s="24" t="str">
        <x:v>Surfaçada</x:v>
      </x:c>
      <x:c r="E3179" s="24" t="str">
        <x:v>Asiana</x:v>
      </x:c>
      <x:c r="F3179" s="24" t="str">
        <x:v>PhotoFusion X Extra Dark Cinza</x:v>
      </x:c>
      <x:c r="G3179" s="24" t="str">
        <x:v>1.67</x:v>
      </x:c>
      <x:c r="H3179" s="24" t="str">
        <x:v>1.67</x:v>
      </x:c>
      <x:c r="I3179" s="24" t="str">
        <x:v>DuraVision Silver UV</x:v>
      </x:c>
      <x:c r="J3179" s="40" t="n">
        <x:v>10030</x:v>
      </x:c>
      <x:c r="K3179" s="24" t="str">
        <x:v>-10.00 a +8.00</x:v>
      </x:c>
      <x:c r="L3179" s="24" t="str">
        <x:v>4.00</x:v>
      </x:c>
      <x:c r="M3179" s="24" t="str">
        <x:v>3.50</x:v>
      </x:c>
      <x:c r="N3179" s="24" t="str">
        <x:v>70/75</x:v>
      </x:c>
      <x:c r="O3179" s="24"/>
      <x:c r="P3179" s="24"/>
      <x:c r="Q3179" s="24" t="str">
        <x:v>DISPONÍVEL</x:v>
      </x:c>
      <x:c r="R3179" s="24" t="str">
        <x:v>Programa de Parcerias ZEISS</x:v>
      </x:c>
      <x:c r="S3179" s="24" t="n">
        <x:v>55</x:v>
      </x:c>
      <x:c r="T3179" s="24" t="str">
        <x:v>tabela_zeiss.pdf</x:v>
      </x:c>
      <x:c r="U3179" s="24" t="str">
        <x:v>ZEISS|Asiana|Surfaçada|Asiana|PhotoFusion X Extra Dark Cinza|1.67|1.67|DuraVision Silver UV|-10.00 a +8.00|4.00|3.50|70/75|||55</x:v>
      </x:c>
    </x:row>
    <x:row r="3180">
      <x:c r="A3180" s="24" t="str">
        <x:v>ZS-A901DD61E27E</x:v>
      </x:c>
      <x:c r="B3180" s="24" t="str">
        <x:v>ZEISS</x:v>
      </x:c>
      <x:c r="C3180" s="24" t="str">
        <x:v>Asiana</x:v>
      </x:c>
      <x:c r="D3180" s="24" t="str">
        <x:v>Surfaçada</x:v>
      </x:c>
      <x:c r="E3180" s="24" t="str">
        <x:v>Asiana</x:v>
      </x:c>
      <x:c r="F3180" s="24" t="str">
        <x:v>PhotoFusion X Extra Dark Cinza</x:v>
      </x:c>
      <x:c r="G3180" s="24" t="str">
        <x:v>1.67</x:v>
      </x:c>
      <x:c r="H3180" s="24" t="str">
        <x:v>1.67</x:v>
      </x:c>
      <x:c r="I3180" s="24" t="str">
        <x:v>DuraVision Chrome UV</x:v>
      </x:c>
      <x:c r="J3180" s="40" t="n">
        <x:v>9540</x:v>
      </x:c>
      <x:c r="K3180" s="24" t="str">
        <x:v>-10.00 a +8.00</x:v>
      </x:c>
      <x:c r="L3180" s="24" t="str">
        <x:v>4.00</x:v>
      </x:c>
      <x:c r="M3180" s="24" t="str">
        <x:v>3.50</x:v>
      </x:c>
      <x:c r="N3180" s="24" t="str">
        <x:v>70/75</x:v>
      </x:c>
      <x:c r="O3180" s="24"/>
      <x:c r="P3180" s="24"/>
      <x:c r="Q3180" s="24" t="str">
        <x:v>DISPONÍVEL</x:v>
      </x:c>
      <x:c r="R3180" s="24" t="str">
        <x:v>Programa de Parcerias ZEISS</x:v>
      </x:c>
      <x:c r="S3180" s="24" t="n">
        <x:v>55</x:v>
      </x:c>
      <x:c r="T3180" s="24" t="str">
        <x:v>tabela_zeiss.pdf</x:v>
      </x:c>
      <x:c r="U3180" s="24" t="str">
        <x:v>ZEISS|Asiana|Surfaçada|Asiana|PhotoFusion X Extra Dark Cinza|1.67|1.67|DuraVision Chrome UV|-10.00 a +8.00|4.00|3.50|70/75|||55</x:v>
      </x:c>
    </x:row>
    <x:row r="3181">
      <x:c r="A3181" s="24" t="str">
        <x:v>ZS-B3952E87C202</x:v>
      </x:c>
      <x:c r="B3181" s="24" t="str">
        <x:v>ZEISS</x:v>
      </x:c>
      <x:c r="C3181" s="24" t="str">
        <x:v>Asiana</x:v>
      </x:c>
      <x:c r="D3181" s="24" t="str">
        <x:v>Surfaçada</x:v>
      </x:c>
      <x:c r="E3181" s="24" t="str">
        <x:v>Asiana</x:v>
      </x:c>
      <x:c r="F3181" s="24" t="str">
        <x:v>Asiana</x:v>
      </x:c>
      <x:c r="G3181" s="24" t="str">
        <x:v>1.5</x:v>
      </x:c>
      <x:c r="H3181" s="24" t="str">
        <x:v>1.50</x:v>
      </x:c>
      <x:c r="I3181" s="24" t="str">
        <x:v>DURAVISION® ANTIVÍRUS PLATINUM UV</x:v>
      </x:c>
      <x:c r="J3181" s="40" t="n">
        <x:v>1260</x:v>
      </x:c>
      <x:c r="K3181" s="24" t="str">
        <x:v>-6.00 a +6.00</x:v>
      </x:c>
      <x:c r="L3181" s="24" t="str">
        <x:v>6.00</x:v>
      </x:c>
      <x:c r="M3181" s="24" t="str">
        <x:v>0.50</x:v>
      </x:c>
      <x:c r="N3181" s="24" t="str">
        <x:v>75/80</x:v>
      </x:c>
      <x:c r="O3181" s="24"/>
      <x:c r="P3181" s="24"/>
      <x:c r="Q3181" s="24" t="str">
        <x:v>DISPONÍVEL</x:v>
      </x:c>
      <x:c r="R3181" s="24"/>
      <x:c r="S3181" s="24" t="n">
        <x:v>55</x:v>
      </x:c>
      <x:c r="T3181" s="24" t="str">
        <x:v>tabela_zeiss.pdf</x:v>
      </x:c>
      <x:c r="U3181" s="24" t="str">
        <x:v>ZEISS|Asiana|Surfaçada|Asiana|Asiana|1.5|1.50|DURAVISION® ANTIVÍRUS PLATINUM UV|-6.00 a +6.00|6.00|0.50|75/80|||55</x:v>
      </x:c>
    </x:row>
    <x:row r="3182">
      <x:c r="A3182" s="24" t="str">
        <x:v>ZS-A6A1C030867E</x:v>
      </x:c>
      <x:c r="B3182" s="24" t="str">
        <x:v>ZEISS</x:v>
      </x:c>
      <x:c r="C3182" s="24" t="str">
        <x:v>Asiana</x:v>
      </x:c>
      <x:c r="D3182" s="24" t="str">
        <x:v>Surfaçada</x:v>
      </x:c>
      <x:c r="E3182" s="24" t="str">
        <x:v>Asiana</x:v>
      </x:c>
      <x:c r="F3182" s="24" t="str">
        <x:v>Asiana</x:v>
      </x:c>
      <x:c r="G3182" s="24" t="str">
        <x:v>1.6</x:v>
      </x:c>
      <x:c r="H3182" s="24" t="str">
        <x:v>1.60</x:v>
      </x:c>
      <x:c r="I3182" s="24" t="str">
        <x:v>DURAVISION® ANTIVÍRUS PLATINUM UV</x:v>
      </x:c>
      <x:c r="J3182" s="40" t="n">
        <x:v>2510</x:v>
      </x:c>
      <x:c r="K3182" s="24" t="str">
        <x:v>-10.00 a +8.00</x:v>
      </x:c>
      <x:c r="L3182" s="24" t="str">
        <x:v>6.00</x:v>
      </x:c>
      <x:c r="M3182" s="24" t="str">
        <x:v>0.50</x:v>
      </x:c>
      <x:c r="N3182" s="24" t="str">
        <x:v>70/75</x:v>
      </x:c>
      <x:c r="O3182" s="24"/>
      <x:c r="P3182" s="24"/>
      <x:c r="Q3182" s="24" t="str">
        <x:v>DISPONÍVEL</x:v>
      </x:c>
      <x:c r="R3182" s="24"/>
      <x:c r="S3182" s="24" t="n">
        <x:v>55</x:v>
      </x:c>
      <x:c r="T3182" s="24" t="str">
        <x:v>tabela_zeiss.pdf</x:v>
      </x:c>
      <x:c r="U3182" s="24" t="str">
        <x:v>ZEISS|Asiana|Surfaçada|Asiana|Asiana|1.6|1.60|DURAVISION® ANTIVÍRUS PLATINUM UV|-10.00 a +8.00|6.00|0.50|70/75|||55</x:v>
      </x:c>
    </x:row>
    <x:row r="3183">
      <x:c r="A3183" s="24" t="str">
        <x:v>ZS-FA367702E637</x:v>
      </x:c>
      <x:c r="B3183" s="24" t="str">
        <x:v>ZEISS</x:v>
      </x:c>
      <x:c r="C3183" s="24" t="str">
        <x:v>Asiana</x:v>
      </x:c>
      <x:c r="D3183" s="24" t="str">
        <x:v>Surfaçada</x:v>
      </x:c>
      <x:c r="E3183" s="24" t="str">
        <x:v>Asiana</x:v>
      </x:c>
      <x:c r="F3183" s="24" t="str">
        <x:v>Asiana</x:v>
      </x:c>
      <x:c r="G3183" s="24" t="str">
        <x:v>1.67</x:v>
      </x:c>
      <x:c r="H3183" s="24" t="str">
        <x:v>1.67</x:v>
      </x:c>
      <x:c r="I3183" s="24" t="str">
        <x:v>DURAVISION® ANTIVÍRUS PLATINUM UV</x:v>
      </x:c>
      <x:c r="J3183" s="40" t="n">
        <x:v>4150</x:v>
      </x:c>
      <x:c r="K3183" s="24" t="str">
        <x:v>-10.00 a +8.00</x:v>
      </x:c>
      <x:c r="L3183" s="24" t="str">
        <x:v>6.00</x:v>
      </x:c>
      <x:c r="M3183" s="24" t="str">
        <x:v>0.50</x:v>
      </x:c>
      <x:c r="N3183" s="24" t="str">
        <x:v>70/75</x:v>
      </x:c>
      <x:c r="O3183" s="24"/>
      <x:c r="P3183" s="24"/>
      <x:c r="Q3183" s="24" t="str">
        <x:v>DISPONÍVEL</x:v>
      </x:c>
      <x:c r="R3183" s="24"/>
      <x:c r="S3183" s="24" t="n">
        <x:v>55</x:v>
      </x:c>
      <x:c r="T3183" s="24" t="str">
        <x:v>tabela_zeiss.pdf</x:v>
      </x:c>
      <x:c r="U3183" s="24" t="str">
        <x:v>ZEISS|Asiana|Surfaçada|Asiana|Asiana|1.67|1.67|DURAVISION® ANTIVÍRUS PLATINUM UV|-10.00 a +8.00|6.00|0.50|70/75|||55</x:v>
      </x:c>
    </x:row>
    <x:row r="3184">
      <x:c r="A3184" s="24" t="str">
        <x:v>ZS-5D6DB296F3D1</x:v>
      </x:c>
      <x:c r="B3184" s="24" t="str">
        <x:v>ZEISS</x:v>
      </x:c>
      <x:c r="C3184" s="24" t="str">
        <x:v>Asiana</x:v>
      </x:c>
      <x:c r="D3184" s="24" t="str">
        <x:v>Surfaçada</x:v>
      </x:c>
      <x:c r="E3184" s="24" t="str">
        <x:v>Asiana</x:v>
      </x:c>
      <x:c r="F3184" s="24" t="str">
        <x:v>Asiana</x:v>
      </x:c>
      <x:c r="G3184" s="24" t="str">
        <x:v>1.74</x:v>
      </x:c>
      <x:c r="H3184" s="24" t="str">
        <x:v>1.74</x:v>
      </x:c>
      <x:c r="I3184" s="24" t="str">
        <x:v>DURAVISION® ANTIVÍRUS PLATINUM UV</x:v>
      </x:c>
      <x:c r="J3184" s="40" t="n">
        <x:v>5750</x:v>
      </x:c>
      <x:c r="K3184" s="24" t="str">
        <x:v>-10.00 a +7.00</x:v>
      </x:c>
      <x:c r="L3184" s="24" t="str">
        <x:v>6.00</x:v>
      </x:c>
      <x:c r="M3184" s="24" t="str">
        <x:v>0.50</x:v>
      </x:c>
      <x:c r="N3184" s="24" t="str">
        <x:v>70/75</x:v>
      </x:c>
      <x:c r="O3184" s="24"/>
      <x:c r="P3184" s="24"/>
      <x:c r="Q3184" s="24" t="str">
        <x:v>DISPONÍVEL</x:v>
      </x:c>
      <x:c r="R3184" s="24"/>
      <x:c r="S3184" s="24" t="n">
        <x:v>55</x:v>
      </x:c>
      <x:c r="T3184" s="24" t="str">
        <x:v>tabela_zeiss.pdf</x:v>
      </x:c>
      <x:c r="U3184" s="24" t="str">
        <x:v>ZEISS|Asiana|Surfaçada|Asiana|Asiana|1.74|1.74|DURAVISION® ANTIVÍRUS PLATINUM UV|-10.00 a +7.00|6.00|0.50|70/75|||55</x:v>
      </x:c>
    </x:row>
    <x:row r="3185">
      <x:c r="A3185" s="24" t="str">
        <x:v>ZS-392A34BE2CDC</x:v>
      </x:c>
      <x:c r="B3185" s="24" t="str">
        <x:v>ZEISS</x:v>
      </x:c>
      <x:c r="C3185" s="24" t="str">
        <x:v>Asiana</x:v>
      </x:c>
      <x:c r="D3185" s="24" t="str">
        <x:v>Surfaçada</x:v>
      </x:c>
      <x:c r="E3185" s="24" t="str">
        <x:v>Asiana</x:v>
      </x:c>
      <x:c r="F3185" s="24" t="str">
        <x:v>PhotoFusion X</x:v>
      </x:c>
      <x:c r="G3185" s="24" t="str">
        <x:v>1.5</x:v>
      </x:c>
      <x:c r="H3185" s="24" t="str">
        <x:v>1.50</x:v>
      </x:c>
      <x:c r="I3185" s="24" t="str">
        <x:v>DURAVISION® ANTIVÍRUS PLATINUM UV</x:v>
      </x:c>
      <x:c r="J3185" s="40" t="n">
        <x:v>2680</x:v>
      </x:c>
      <x:c r="K3185" s="24" t="str">
        <x:v>-6.00 a +4.00</x:v>
      </x:c>
      <x:c r="L3185" s="24" t="str">
        <x:v>4.00</x:v>
      </x:c>
      <x:c r="M3185" s="24" t="str">
        <x:v>0.50</x:v>
      </x:c>
      <x:c r="N3185" s="24" t="str">
        <x:v>75/80</x:v>
      </x:c>
      <x:c r="O3185" s="24"/>
      <x:c r="P3185" s="24"/>
      <x:c r="Q3185" s="24" t="str">
        <x:v>DISPONÍVEL</x:v>
      </x:c>
      <x:c r="R3185" s="24" t="str">
        <x:v>Programa de Parcerias ZEISS</x:v>
      </x:c>
      <x:c r="S3185" s="24" t="n">
        <x:v>55</x:v>
      </x:c>
      <x:c r="T3185" s="24" t="str">
        <x:v>tabela_zeiss.pdf</x:v>
      </x:c>
      <x:c r="U3185" s="24" t="str">
        <x:v>ZEISS|Asiana|Surfaçada|Asiana|PhotoFusion X|1.5|1.50|DURAVISION® ANTIVÍRUS PLATINUM UV|-6.00 a +4.00|4.00|0.50|75/80|||55</x:v>
      </x:c>
    </x:row>
    <x:row r="3186">
      <x:c r="A3186" s="24" t="str">
        <x:v>ZS-C295CC88FA7C</x:v>
      </x:c>
      <x:c r="B3186" s="24" t="str">
        <x:v>ZEISS</x:v>
      </x:c>
      <x:c r="C3186" s="24" t="str">
        <x:v>Asiana</x:v>
      </x:c>
      <x:c r="D3186" s="24" t="str">
        <x:v>Surfaçada</x:v>
      </x:c>
      <x:c r="E3186" s="24" t="str">
        <x:v>Asiana</x:v>
      </x:c>
      <x:c r="F3186" s="24" t="str">
        <x:v>PhotoFusion X</x:v>
      </x:c>
      <x:c r="G3186" s="24" t="str">
        <x:v>1.6</x:v>
      </x:c>
      <x:c r="H3186" s="24" t="str">
        <x:v>1.60</x:v>
      </x:c>
      <x:c r="I3186" s="24" t="str">
        <x:v>DURAVISION® ANTIVÍRUS PLATINUM UV</x:v>
      </x:c>
      <x:c r="J3186" s="40" t="n">
        <x:v>3930</x:v>
      </x:c>
      <x:c r="K3186" s="24" t="str">
        <x:v>-10.00 a +6.00</x:v>
      </x:c>
      <x:c r="L3186" s="24" t="str">
        <x:v>6.00</x:v>
      </x:c>
      <x:c r="M3186" s="24" t="str">
        <x:v>0.50</x:v>
      </x:c>
      <x:c r="N3186" s="24" t="str">
        <x:v>70/75</x:v>
      </x:c>
      <x:c r="O3186" s="24"/>
      <x:c r="P3186" s="24"/>
      <x:c r="Q3186" s="24" t="str">
        <x:v>DISPONÍVEL</x:v>
      </x:c>
      <x:c r="R3186" s="24" t="str">
        <x:v>Programa de Parcerias ZEISS</x:v>
      </x:c>
      <x:c r="S3186" s="24" t="n">
        <x:v>55</x:v>
      </x:c>
      <x:c r="T3186" s="24" t="str">
        <x:v>tabela_zeiss.pdf</x:v>
      </x:c>
      <x:c r="U3186" s="24" t="str">
        <x:v>ZEISS|Asiana|Surfaçada|Asiana|PhotoFusion X|1.6|1.60|DURAVISION® ANTIVÍRUS PLATINUM UV|-10.00 a +6.00|6.00|0.50|70/75|||55</x:v>
      </x:c>
    </x:row>
    <x:row r="3187">
      <x:c r="A3187" s="24" t="str">
        <x:v>ZS-16F80D230214</x:v>
      </x:c>
      <x:c r="B3187" s="24" t="str">
        <x:v>ZEISS</x:v>
      </x:c>
      <x:c r="C3187" s="24" t="str">
        <x:v>Asiana</x:v>
      </x:c>
      <x:c r="D3187" s="24" t="str">
        <x:v>Surfaçada</x:v>
      </x:c>
      <x:c r="E3187" s="24" t="str">
        <x:v>Asiana</x:v>
      </x:c>
      <x:c r="F3187" s="24" t="str">
        <x:v>PhotoFusion X</x:v>
      </x:c>
      <x:c r="G3187" s="24" t="str">
        <x:v>1.67</x:v>
      </x:c>
      <x:c r="H3187" s="24" t="str">
        <x:v>1.67</x:v>
      </x:c>
      <x:c r="I3187" s="24" t="str">
        <x:v>DURAVISION® ANTIVÍRUS PLATINUM UV</x:v>
      </x:c>
      <x:c r="J3187" s="40" t="n">
        <x:v>5570</x:v>
      </x:c>
      <x:c r="K3187" s="24" t="str">
        <x:v>-10.00 a +8.00</x:v>
      </x:c>
      <x:c r="L3187" s="24" t="str">
        <x:v>4.00</x:v>
      </x:c>
      <x:c r="M3187" s="24" t="str">
        <x:v>0.50</x:v>
      </x:c>
      <x:c r="N3187" s="24" t="str">
        <x:v>70/75</x:v>
      </x:c>
      <x:c r="O3187" s="24"/>
      <x:c r="P3187" s="24"/>
      <x:c r="Q3187" s="24" t="str">
        <x:v>DISPONÍVEL</x:v>
      </x:c>
      <x:c r="R3187" s="24" t="str">
        <x:v>Programa de Parcerias ZEISS</x:v>
      </x:c>
      <x:c r="S3187" s="24" t="n">
        <x:v>55</x:v>
      </x:c>
      <x:c r="T3187" s="24" t="str">
        <x:v>tabela_zeiss.pdf</x:v>
      </x:c>
      <x:c r="U3187" s="24" t="str">
        <x:v>ZEISS|Asiana|Surfaçada|Asiana|PhotoFusion X|1.67|1.67|DURAVISION® ANTIVÍRUS PLATINUM UV|-10.00 a +8.00|4.00|0.50|70/75|||55</x:v>
      </x:c>
    </x:row>
    <x:row r="3188">
      <x:c r="A3188" s="24" t="str">
        <x:v>ZS-94FC7FE75210</x:v>
      </x:c>
      <x:c r="B3188" s="24" t="str">
        <x:v>ZEISS</x:v>
      </x:c>
      <x:c r="C3188" s="24" t="str">
        <x:v>Asiana</x:v>
      </x:c>
      <x:c r="D3188" s="24" t="str">
        <x:v>Surfaçada</x:v>
      </x:c>
      <x:c r="E3188" s="24" t="str">
        <x:v>Asiana</x:v>
      </x:c>
      <x:c r="F3188" s="24" t="str">
        <x:v>PhotoFusion X Extra Dark Cinza</x:v>
      </x:c>
      <x:c r="G3188" s="24" t="str">
        <x:v>1.5</x:v>
      </x:c>
      <x:c r="H3188" s="24" t="str">
        <x:v>1.50</x:v>
      </x:c>
      <x:c r="I3188" s="24" t="str">
        <x:v>DURAVISION® ANTIVÍRUS PLATINUM UV</x:v>
      </x:c>
      <x:c r="J3188" s="40" t="n">
        <x:v>2730</x:v>
      </x:c>
      <x:c r="K3188" s="24" t="str">
        <x:v>-6.00 a +4.00</x:v>
      </x:c>
      <x:c r="L3188" s="24" t="str">
        <x:v>4.00</x:v>
      </x:c>
      <x:c r="M3188" s="24" t="str">
        <x:v>0.50</x:v>
      </x:c>
      <x:c r="N3188" s="24" t="str">
        <x:v>75/80</x:v>
      </x:c>
      <x:c r="O3188" s="24"/>
      <x:c r="P3188" s="24"/>
      <x:c r="Q3188" s="24" t="str">
        <x:v>DISPONÍVEL</x:v>
      </x:c>
      <x:c r="R3188" s="24" t="str">
        <x:v>Programa de Parcerias ZEISS</x:v>
      </x:c>
      <x:c r="S3188" s="24" t="n">
        <x:v>55</x:v>
      </x:c>
      <x:c r="T3188" s="24" t="str">
        <x:v>tabela_zeiss.pdf</x:v>
      </x:c>
      <x:c r="U3188" s="24" t="str">
        <x:v>ZEISS|Asiana|Surfaçada|Asiana|PhotoFusion X Extra Dark Cinza|1.5|1.50|DURAVISION® ANTIVÍRUS PLATINUM UV|-6.00 a +4.00|4.00|0.50|75/80|||55</x:v>
      </x:c>
    </x:row>
    <x:row r="3189">
      <x:c r="A3189" s="24" t="str">
        <x:v>ZS-3EEBFF79B9CE</x:v>
      </x:c>
      <x:c r="B3189" s="24" t="str">
        <x:v>ZEISS</x:v>
      </x:c>
      <x:c r="C3189" s="24" t="str">
        <x:v>Asiana</x:v>
      </x:c>
      <x:c r="D3189" s="24" t="str">
        <x:v>Surfaçada</x:v>
      </x:c>
      <x:c r="E3189" s="24" t="str">
        <x:v>Asiana</x:v>
      </x:c>
      <x:c r="F3189" s="24" t="str">
        <x:v>PhotoFusion X Extra Dark Cinza</x:v>
      </x:c>
      <x:c r="G3189" s="24" t="str">
        <x:v>1.6</x:v>
      </x:c>
      <x:c r="H3189" s="24" t="str">
        <x:v>1.60</x:v>
      </x:c>
      <x:c r="I3189" s="24" t="str">
        <x:v>DURAVISION® ANTIVÍRUS PLATINUM UV</x:v>
      </x:c>
      <x:c r="J3189" s="40" t="n">
        <x:v>3980</x:v>
      </x:c>
      <x:c r="K3189" s="24" t="str">
        <x:v>-10.00 a +6.00</x:v>
      </x:c>
      <x:c r="L3189" s="24" t="str">
        <x:v>6.00</x:v>
      </x:c>
      <x:c r="M3189" s="24" t="str">
        <x:v>0.50</x:v>
      </x:c>
      <x:c r="N3189" s="24" t="str">
        <x:v>70/75</x:v>
      </x:c>
      <x:c r="O3189" s="24"/>
      <x:c r="P3189" s="24"/>
      <x:c r="Q3189" s="24" t="str">
        <x:v>DISPONÍVEL</x:v>
      </x:c>
      <x:c r="R3189" s="24" t="str">
        <x:v>Programa de Parcerias ZEISS</x:v>
      </x:c>
      <x:c r="S3189" s="24" t="n">
        <x:v>55</x:v>
      </x:c>
      <x:c r="T3189" s="24" t="str">
        <x:v>tabela_zeiss.pdf</x:v>
      </x:c>
      <x:c r="U3189" s="24" t="str">
        <x:v>ZEISS|Asiana|Surfaçada|Asiana|PhotoFusion X Extra Dark Cinza|1.6|1.60|DURAVISION® ANTIVÍRUS PLATINUM UV|-10.00 a +6.00|6.00|0.50|70/75|||55</x:v>
      </x:c>
    </x:row>
    <x:row r="3190">
      <x:c r="A3190" s="24" t="str">
        <x:v>ZS-77057EA18A95</x:v>
      </x:c>
      <x:c r="B3190" s="24" t="str">
        <x:v>ZEISS</x:v>
      </x:c>
      <x:c r="C3190" s="24" t="str">
        <x:v>Asiana</x:v>
      </x:c>
      <x:c r="D3190" s="24" t="str">
        <x:v>Surfaçada</x:v>
      </x:c>
      <x:c r="E3190" s="24" t="str">
        <x:v>Asiana</x:v>
      </x:c>
      <x:c r="F3190" s="24" t="str">
        <x:v>PhotoFusion X Extra Dark Cinza</x:v>
      </x:c>
      <x:c r="G3190" s="24" t="str">
        <x:v>1.67</x:v>
      </x:c>
      <x:c r="H3190" s="24" t="str">
        <x:v>1.67</x:v>
      </x:c>
      <x:c r="I3190" s="24" t="str">
        <x:v>DURAVISION® ANTIVÍRUS PLATINUM UV</x:v>
      </x:c>
      <x:c r="J3190" s="40" t="n">
        <x:v>5620</x:v>
      </x:c>
      <x:c r="K3190" s="24" t="str">
        <x:v>-10.00 a +8.00</x:v>
      </x:c>
      <x:c r="L3190" s="24" t="str">
        <x:v>4.00</x:v>
      </x:c>
      <x:c r="M3190" s="24" t="str">
        <x:v>0.50</x:v>
      </x:c>
      <x:c r="N3190" s="24" t="str">
        <x:v>70/75</x:v>
      </x:c>
      <x:c r="O3190" s="24"/>
      <x:c r="P3190" s="24"/>
      <x:c r="Q3190" s="24" t="str">
        <x:v>DISPONÍVEL</x:v>
      </x:c>
      <x:c r="R3190" s="24" t="str">
        <x:v>Programa de Parcerias ZEISS</x:v>
      </x:c>
      <x:c r="S3190" s="24" t="n">
        <x:v>55</x:v>
      </x:c>
      <x:c r="T3190" s="24" t="str">
        <x:v>tabela_zeiss.pdf</x:v>
      </x:c>
      <x:c r="U3190" s="24" t="str">
        <x:v>ZEISS|Asiana|Surfaçada|Asiana|PhotoFusion X Extra Dark Cinza|1.67|1.67|DURAVISION® ANTIVÍRUS PLATINUM UV|-10.00 a +8.00|4.00|0.50|70/75|||55</x:v>
      </x:c>
    </x:row>
    <x:row r="3191">
      <x:c r="A3191" s="24" t="str">
        <x:v>ZS-3D8358AFFD40</x:v>
      </x:c>
      <x:c r="B3191" s="24" t="str">
        <x:v>ZEISS</x:v>
      </x:c>
      <x:c r="C3191" s="24" t="str">
        <x:v>Controle de Miopia</x:v>
      </x:c>
      <x:c r="D3191" s="24" t="str">
        <x:v>Surfaçada</x:v>
      </x:c>
      <x:c r="E3191" s="24" t="str">
        <x:v>MyoCare</x:v>
      </x:c>
      <x:c r="F3191" s="24"/>
      <x:c r="G3191" s="24" t="str">
        <x:v>Poli</x:v>
      </x:c>
      <x:c r="H3191" s="24"/>
      <x:c r="I3191" s="24" t="str">
        <x:v>DuraVision Platinum UV</x:v>
      </x:c>
      <x:c r="J3191" s="40" t="n">
        <x:v>1999</x:v>
      </x:c>
      <x:c r="K3191" s="24" t="str">
        <x:v>0.00 a -9.00</x:v>
      </x:c>
      <x:c r="L3191" s="24" t="str">
        <x:v>-6.00</x:v>
      </x:c>
      <x:c r="M3191" s="24"/>
      <x:c r="N3191" s="24" t="str">
        <x:v>65/70/75</x:v>
      </x:c>
      <x:c r="O3191" s="24"/>
      <x:c r="P3191" s="24"/>
      <x:c r="Q3191" s="24" t="str">
        <x:v>DISPONÍVEL</x:v>
      </x:c>
      <x:c r="R3191" s="24"/>
      <x:c r="S3191" s="24" t="n">
        <x:v>19</x:v>
      </x:c>
      <x:c r="T3191" s="24" t="str">
        <x:v>tabela_zeiss.pdf</x:v>
      </x:c>
      <x:c r="U3191" s="24" t="str">
        <x:v>ZEISS|Controle de Miopia|Surfaçada|MyoCare||Poli||DuraVision Platinum UV|0.00 a -9.00|-6.00||65/70/75|||19</x:v>
      </x:c>
    </x:row>
    <x:row r="3192">
      <x:c r="A3192" s="24" t="str">
        <x:v>ZS-6198AE307DC8</x:v>
      </x:c>
      <x:c r="B3192" s="24" t="str">
        <x:v>ZEISS</x:v>
      </x:c>
      <x:c r="C3192" s="24" t="str">
        <x:v>Controle de Miopia</x:v>
      </x:c>
      <x:c r="D3192" s="24" t="str">
        <x:v>Surfaçada</x:v>
      </x:c>
      <x:c r="E3192" s="24" t="str">
        <x:v>MyoCare</x:v>
      </x:c>
      <x:c r="F3192" s="24"/>
      <x:c r="G3192" s="24" t="str">
        <x:v>1.6</x:v>
      </x:c>
      <x:c r="H3192" s="24" t="str">
        <x:v>1.60</x:v>
      </x:c>
      <x:c r="I3192" s="24" t="str">
        <x:v>DuraVision Platinum UV</x:v>
      </x:c>
      <x:c r="J3192" s="40" t="n">
        <x:v>2399</x:v>
      </x:c>
      <x:c r="K3192" s="24" t="str">
        <x:v>0.00 a -9.00</x:v>
      </x:c>
      <x:c r="L3192" s="24" t="str">
        <x:v>-6.00</x:v>
      </x:c>
      <x:c r="M3192" s="24"/>
      <x:c r="N3192" s="24" t="str">
        <x:v>65/70/73</x:v>
      </x:c>
      <x:c r="O3192" s="24"/>
      <x:c r="P3192" s="24"/>
      <x:c r="Q3192" s="24" t="str">
        <x:v>DISPONÍVEL</x:v>
      </x:c>
      <x:c r="R3192" s="24"/>
      <x:c r="S3192" s="24" t="n">
        <x:v>19</x:v>
      </x:c>
      <x:c r="T3192" s="24" t="str">
        <x:v>tabela_zeiss.pdf</x:v>
      </x:c>
      <x:c r="U3192" s="24" t="str">
        <x:v>ZEISS|Controle de Miopia|Surfaçada|MyoCare||1.6|1.60|DuraVision Platinum UV|0.00 a -9.00|-6.00||65/70/73|||19</x:v>
      </x:c>
    </x:row>
    <x:row r="3193">
      <x:c r="A3193" s="24" t="str">
        <x:v>ZS-585E91894C39</x:v>
      </x:c>
      <x:c r="B3193" s="24" t="str">
        <x:v>ZEISS</x:v>
      </x:c>
      <x:c r="C3193" s="24" t="str">
        <x:v>Controle de Miopia</x:v>
      </x:c>
      <x:c r="D3193" s="24" t="str">
        <x:v>Surfaçada</x:v>
      </x:c>
      <x:c r="E3193" s="24" t="str">
        <x:v>MyoCare</x:v>
      </x:c>
      <x:c r="F3193" s="24"/>
      <x:c r="G3193" s="24" t="str">
        <x:v>1.67</x:v>
      </x:c>
      <x:c r="H3193" s="24" t="str">
        <x:v>1.67</x:v>
      </x:c>
      <x:c r="I3193" s="24" t="str">
        <x:v>DuraVision Platinum UV</x:v>
      </x:c>
      <x:c r="J3193" s="40" t="n">
        <x:v>2699</x:v>
      </x:c>
      <x:c r="K3193" s="24" t="str">
        <x:v>-2.00 a -10.00</x:v>
      </x:c>
      <x:c r="L3193" s="24" t="str">
        <x:v>-6.00</x:v>
      </x:c>
      <x:c r="M3193" s="24"/>
      <x:c r="N3193" s="24" t="str">
        <x:v>65/70/73</x:v>
      </x:c>
      <x:c r="O3193" s="24"/>
      <x:c r="P3193" s="24"/>
      <x:c r="Q3193" s="24" t="str">
        <x:v>DISPONÍVEL</x:v>
      </x:c>
      <x:c r="R3193" s="24"/>
      <x:c r="S3193" s="24" t="n">
        <x:v>19</x:v>
      </x:c>
      <x:c r="T3193" s="24" t="str">
        <x:v>tabela_zeiss.pdf</x:v>
      </x:c>
      <x:c r="U3193" s="24" t="str">
        <x:v>ZEISS|Controle de Miopia|Surfaçada|MyoCare||1.67|1.67|DuraVision Platinum UV|-2.00 a -10.00|-6.00||65/70/73|||19</x:v>
      </x:c>
    </x:row>
    <x:row r="3194">
      <x:c r="A3194" s="24" t="str">
        <x:v>ZS-E12759829DA8</x:v>
      </x:c>
      <x:c r="B3194" s="24" t="str">
        <x:v>ZEISS</x:v>
      </x:c>
      <x:c r="C3194" s="24" t="str">
        <x:v>Controle de Miopia</x:v>
      </x:c>
      <x:c r="D3194" s="24" t="str">
        <x:v>Surfaçada</x:v>
      </x:c>
      <x:c r="E3194" s="24" t="str">
        <x:v>MyoCare S</x:v>
      </x:c>
      <x:c r="F3194" s="24"/>
      <x:c r="G3194" s="24" t="str">
        <x:v>Poli</x:v>
      </x:c>
      <x:c r="H3194" s="24"/>
      <x:c r="I3194" s="24" t="str">
        <x:v>DuraVision Platinum UV</x:v>
      </x:c>
      <x:c r="J3194" s="40" t="n">
        <x:v>1999</x:v>
      </x:c>
      <x:c r="K3194" s="24" t="str">
        <x:v>0.00 a -9.00</x:v>
      </x:c>
      <x:c r="L3194" s="24" t="str">
        <x:v>-6.00</x:v>
      </x:c>
      <x:c r="M3194" s="24"/>
      <x:c r="N3194" s="24" t="str">
        <x:v>65/70/75</x:v>
      </x:c>
      <x:c r="O3194" s="24"/>
      <x:c r="P3194" s="24"/>
      <x:c r="Q3194" s="24" t="str">
        <x:v>DISPONÍVEL</x:v>
      </x:c>
      <x:c r="R3194" s="24"/>
      <x:c r="S3194" s="24" t="n">
        <x:v>19</x:v>
      </x:c>
      <x:c r="T3194" s="24" t="str">
        <x:v>tabela_zeiss.pdf</x:v>
      </x:c>
      <x:c r="U3194" s="24" t="str">
        <x:v>ZEISS|Controle de Miopia|Surfaçada|MyoCare S||Poli||DuraVision Platinum UV|0.00 a -9.00|-6.00||65/70/75|||19</x:v>
      </x:c>
    </x:row>
    <x:row r="3195">
      <x:c r="A3195" s="24" t="str">
        <x:v>ZS-B66CCE75157B</x:v>
      </x:c>
      <x:c r="B3195" s="24" t="str">
        <x:v>ZEISS</x:v>
      </x:c>
      <x:c r="C3195" s="24" t="str">
        <x:v>Controle de Miopia</x:v>
      </x:c>
      <x:c r="D3195" s="24" t="str">
        <x:v>Surfaçada</x:v>
      </x:c>
      <x:c r="E3195" s="24" t="str">
        <x:v>MyoCare S</x:v>
      </x:c>
      <x:c r="F3195" s="24"/>
      <x:c r="G3195" s="24" t="str">
        <x:v>1.6</x:v>
      </x:c>
      <x:c r="H3195" s="24" t="str">
        <x:v>1.60</x:v>
      </x:c>
      <x:c r="I3195" s="24" t="str">
        <x:v>DuraVision Platinum UV</x:v>
      </x:c>
      <x:c r="J3195" s="40" t="n">
        <x:v>2399</x:v>
      </x:c>
      <x:c r="K3195" s="24" t="str">
        <x:v>0.00 a -9.00</x:v>
      </x:c>
      <x:c r="L3195" s="24" t="str">
        <x:v>-6.00</x:v>
      </x:c>
      <x:c r="M3195" s="24"/>
      <x:c r="N3195" s="24" t="str">
        <x:v>65/70/73</x:v>
      </x:c>
      <x:c r="O3195" s="24"/>
      <x:c r="P3195" s="24"/>
      <x:c r="Q3195" s="24" t="str">
        <x:v>DISPONÍVEL</x:v>
      </x:c>
      <x:c r="R3195" s="24"/>
      <x:c r="S3195" s="24" t="n">
        <x:v>19</x:v>
      </x:c>
      <x:c r="T3195" s="24" t="str">
        <x:v>tabela_zeiss.pdf</x:v>
      </x:c>
      <x:c r="U3195" s="24" t="str">
        <x:v>ZEISS|Controle de Miopia|Surfaçada|MyoCare S||1.6|1.60|DuraVision Platinum UV|0.00 a -9.00|-6.00||65/70/73|||19</x:v>
      </x:c>
    </x:row>
    <x:row r="3196">
      <x:c r="A3196" s="24" t="str">
        <x:v>ZS-30518C809DC1</x:v>
      </x:c>
      <x:c r="B3196" s="24" t="str">
        <x:v>ZEISS</x:v>
      </x:c>
      <x:c r="C3196" s="24" t="str">
        <x:v>Controle de Miopia</x:v>
      </x:c>
      <x:c r="D3196" s="24" t="str">
        <x:v>Surfaçada</x:v>
      </x:c>
      <x:c r="E3196" s="24" t="str">
        <x:v>MyoCare S</x:v>
      </x:c>
      <x:c r="F3196" s="24"/>
      <x:c r="G3196" s="24" t="str">
        <x:v>1.67</x:v>
      </x:c>
      <x:c r="H3196" s="24" t="str">
        <x:v>1.67</x:v>
      </x:c>
      <x:c r="I3196" s="24" t="str">
        <x:v>DuraVision Platinum UV</x:v>
      </x:c>
      <x:c r="J3196" s="40" t="n">
        <x:v>2699</x:v>
      </x:c>
      <x:c r="K3196" s="24" t="str">
        <x:v>-2.00 a -10.00</x:v>
      </x:c>
      <x:c r="L3196" s="24" t="str">
        <x:v>-6.00</x:v>
      </x:c>
      <x:c r="M3196" s="24"/>
      <x:c r="N3196" s="24" t="str">
        <x:v>65/70/73</x:v>
      </x:c>
      <x:c r="O3196" s="24"/>
      <x:c r="P3196" s="24"/>
      <x:c r="Q3196" s="24" t="str">
        <x:v>DISPONÍVEL</x:v>
      </x:c>
      <x:c r="R3196" s="24"/>
      <x:c r="S3196" s="24" t="n">
        <x:v>19</x:v>
      </x:c>
      <x:c r="T3196" s="24" t="str">
        <x:v>tabela_zeiss.pdf</x:v>
      </x:c>
      <x:c r="U3196" s="24" t="str">
        <x:v>ZEISS|Controle de Miopia|Surfaçada|MyoCare S||1.67|1.67|DuraVision Platinum UV|-2.00 a -10.00|-6.00||65/70/73|||19</x:v>
      </x:c>
    </x:row>
    <x:row r="3197">
      <x:c r="A3197" s="24" t="str">
        <x:v>ZS-BCE2072EA295</x:v>
      </x:c>
      <x:c r="B3197" s="24" t="str">
        <x:v>ZEISS</x:v>
      </x:c>
      <x:c r="C3197" s="24" t="str">
        <x:v>Lentes Prontas</x:v>
      </x:c>
      <x:c r="D3197" s="24" t="str">
        <x:v>Pronta</x:v>
      </x:c>
      <x:c r="E3197" s="24" t="str">
        <x:v>MyoCare Pronta</x:v>
      </x:c>
      <x:c r="F3197" s="24" t="str">
        <x:v>MyoCare &amp; MyoCare S</x:v>
      </x:c>
      <x:c r="G3197" s="24" t="str">
        <x:v>Poli</x:v>
      </x:c>
      <x:c r="H3197" s="24"/>
      <x:c r="I3197" s="24" t="str">
        <x:v>Padrão</x:v>
      </x:c>
      <x:c r="J3197" s="40" t="n">
        <x:v>1300</x:v>
      </x:c>
      <x:c r="K3197" s="24"/>
      <x:c r="L3197" s="24"/>
      <x:c r="M3197" s="24"/>
      <x:c r="N3197" s="24"/>
      <x:c r="O3197" s="24"/>
      <x:c r="P3197" s="24"/>
      <x:c r="Q3197" s="24" t="str">
        <x:v>DISPONÍVEL</x:v>
      </x:c>
      <x:c r="R3197" s="24"/>
      <x:c r="S3197" s="24" t="n">
        <x:v>19</x:v>
      </x:c>
      <x:c r="T3197" s="24" t="str">
        <x:v>tabela_zeiss.pdf</x:v>
      </x:c>
      <x:c r="U3197" s="24" t="str">
        <x:v>ZEISS|Lentes Prontas|Pronta|MyoCare Pronta|MyoCare &amp; MyoCare S|Poli||Padrão|||||||19</x:v>
      </x:c>
    </x:row>
    <x:row r="3198">
      <x:c r="A3198" s="24" t="str">
        <x:v>ZS-171EE231D898</x:v>
      </x:c>
      <x:c r="B3198" s="24" t="str">
        <x:v>ZEISS</x:v>
      </x:c>
      <x:c r="C3198" s="24" t="str">
        <x:v>Lentes Prontas</x:v>
      </x:c>
      <x:c r="D3198" s="24" t="str">
        <x:v>Pronta</x:v>
      </x:c>
      <x:c r="E3198" s="24" t="str">
        <x:v>ClearView</x:v>
      </x:c>
      <x:c r="F3198" s="24"/>
      <x:c r="G3198" s="24" t="str">
        <x:v>1.5</x:v>
      </x:c>
      <x:c r="H3198" s="24" t="str">
        <x:v>1.50</x:v>
      </x:c>
      <x:c r="I3198" s="24" t="str">
        <x:v>DuraVision Gold UV</x:v>
      </x:c>
      <x:c r="J3198" s="40" t="n">
        <x:v>990</x:v>
      </x:c>
      <x:c r="K3198" s="24"/>
      <x:c r="L3198" s="24"/>
      <x:c r="M3198" s="24"/>
      <x:c r="N3198" s="24"/>
      <x:c r="O3198" s="24"/>
      <x:c r="P3198" s="24"/>
      <x:c r="Q3198" s="24" t="str">
        <x:v>DISPONÍVEL</x:v>
      </x:c>
      <x:c r="R3198" s="24"/>
      <x:c r="S3198" s="24" t="n">
        <x:v>21</x:v>
      </x:c>
      <x:c r="T3198" s="24" t="str">
        <x:v>tabela_zeiss.pdf</x:v>
      </x:c>
      <x:c r="U3198" s="24" t="str">
        <x:v>ZEISS|Lentes Prontas|Pronta|ClearView||1.5|1.50|DuraVision Gold UV|||||||21</x:v>
      </x:c>
    </x:row>
    <x:row r="3199">
      <x:c r="A3199" s="24" t="str">
        <x:v>ZS-958248D9B7ED</x:v>
      </x:c>
      <x:c r="B3199" s="24" t="str">
        <x:v>ZEISS</x:v>
      </x:c>
      <x:c r="C3199" s="24" t="str">
        <x:v>Lentes Prontas</x:v>
      </x:c>
      <x:c r="D3199" s="24" t="str">
        <x:v>Pronta</x:v>
      </x:c>
      <x:c r="E3199" s="24" t="str">
        <x:v>ClearView</x:v>
      </x:c>
      <x:c r="F3199" s="24"/>
      <x:c r="G3199" s="24" t="str">
        <x:v>1.5</x:v>
      </x:c>
      <x:c r="H3199" s="24" t="str">
        <x:v>1.50</x:v>
      </x:c>
      <x:c r="I3199" s="24" t="str">
        <x:v>DuraVision Platinum UV</x:v>
      </x:c>
      <x:c r="J3199" s="40" t="n">
        <x:v>890</x:v>
      </x:c>
      <x:c r="K3199" s="24"/>
      <x:c r="L3199" s="24"/>
      <x:c r="M3199" s="24"/>
      <x:c r="N3199" s="24"/>
      <x:c r="O3199" s="24"/>
      <x:c r="P3199" s="24"/>
      <x:c r="Q3199" s="24" t="str">
        <x:v>DISPONÍVEL</x:v>
      </x:c>
      <x:c r="R3199" s="24"/>
      <x:c r="S3199" s="24" t="n">
        <x:v>21</x:v>
      </x:c>
      <x:c r="T3199" s="24" t="str">
        <x:v>tabela_zeiss.pdf</x:v>
      </x:c>
      <x:c r="U3199" s="24" t="str">
        <x:v>ZEISS|Lentes Prontas|Pronta|ClearView||1.5|1.50|DuraVision Platinum UV|||||||21</x:v>
      </x:c>
    </x:row>
    <x:row r="3200">
      <x:c r="A3200" s="24" t="str">
        <x:v>ZS-13E37A8D965C</x:v>
      </x:c>
      <x:c r="B3200" s="24" t="str">
        <x:v>ZEISS</x:v>
      </x:c>
      <x:c r="C3200" s="24" t="str">
        <x:v>Lentes Prontas</x:v>
      </x:c>
      <x:c r="D3200" s="24" t="str">
        <x:v>Pronta</x:v>
      </x:c>
      <x:c r="E3200" s="24" t="str">
        <x:v>ClearView</x:v>
      </x:c>
      <x:c r="F3200" s="24"/>
      <x:c r="G3200" s="24" t="str">
        <x:v>1.5</x:v>
      </x:c>
      <x:c r="H3200" s="24" t="str">
        <x:v>1.50</x:v>
      </x:c>
      <x:c r="I3200" s="24" t="str">
        <x:v>DuraVision Silver UV</x:v>
      </x:c>
      <x:c r="J3200" s="40" t="n">
        <x:v>699</x:v>
      </x:c>
      <x:c r="K3200" s="24"/>
      <x:c r="L3200" s="24"/>
      <x:c r="M3200" s="24"/>
      <x:c r="N3200" s="24"/>
      <x:c r="O3200" s="24"/>
      <x:c r="P3200" s="24"/>
      <x:c r="Q3200" s="24" t="str">
        <x:v>DISPONÍVEL</x:v>
      </x:c>
      <x:c r="R3200" s="24"/>
      <x:c r="S3200" s="24" t="n">
        <x:v>21</x:v>
      </x:c>
      <x:c r="T3200" s="24" t="str">
        <x:v>tabela_zeiss.pdf</x:v>
      </x:c>
      <x:c r="U3200" s="24" t="str">
        <x:v>ZEISS|Lentes Prontas|Pronta|ClearView||1.5|1.50|DuraVision Silver UV|||||||21</x:v>
      </x:c>
    </x:row>
    <x:row r="3201">
      <x:c r="A3201" s="24" t="str">
        <x:v>ZS-4EE4E116F1B5</x:v>
      </x:c>
      <x:c r="B3201" s="24" t="str">
        <x:v>ZEISS</x:v>
      </x:c>
      <x:c r="C3201" s="24" t="str">
        <x:v>Lentes Prontas</x:v>
      </x:c>
      <x:c r="D3201" s="24" t="str">
        <x:v>Pronta</x:v>
      </x:c>
      <x:c r="E3201" s="24" t="str">
        <x:v>ClearView</x:v>
      </x:c>
      <x:c r="F3201" s="24"/>
      <x:c r="G3201" s="24" t="str">
        <x:v>1.5</x:v>
      </x:c>
      <x:c r="H3201" s="24" t="str">
        <x:v>1.50</x:v>
      </x:c>
      <x:c r="I3201" s="24" t="str">
        <x:v>DuraVision Chrome UV</x:v>
      </x:c>
      <x:c r="J3201" s="40" t="n">
        <x:v>489</x:v>
      </x:c>
      <x:c r="K3201" s="24"/>
      <x:c r="L3201" s="24"/>
      <x:c r="M3201" s="24"/>
      <x:c r="N3201" s="24"/>
      <x:c r="O3201" s="24"/>
      <x:c r="P3201" s="24"/>
      <x:c r="Q3201" s="24" t="str">
        <x:v>DISPONÍVEL</x:v>
      </x:c>
      <x:c r="R3201" s="24"/>
      <x:c r="S3201" s="24" t="n">
        <x:v>21</x:v>
      </x:c>
      <x:c r="T3201" s="24" t="str">
        <x:v>tabela_zeiss.pdf</x:v>
      </x:c>
      <x:c r="U3201" s="24" t="str">
        <x:v>ZEISS|Lentes Prontas|Pronta|ClearView||1.5|1.50|DuraVision Chrome UV|||||||21</x:v>
      </x:c>
    </x:row>
    <x:row r="3202">
      <x:c r="A3202" s="24" t="str">
        <x:v>ZS-2A98E3C391C6</x:v>
      </x:c>
      <x:c r="B3202" s="24" t="str">
        <x:v>ZEISS</x:v>
      </x:c>
      <x:c r="C3202" s="24" t="str">
        <x:v>Lentes Prontas</x:v>
      </x:c>
      <x:c r="D3202" s="24" t="str">
        <x:v>Pronta</x:v>
      </x:c>
      <x:c r="E3202" s="24" t="str">
        <x:v>ClearView</x:v>
      </x:c>
      <x:c r="F3202" s="24"/>
      <x:c r="G3202" s="24" t="str">
        <x:v>Poli</x:v>
      </x:c>
      <x:c r="H3202" s="24"/>
      <x:c r="I3202" s="24" t="str">
        <x:v>DuraVision Gold UV</x:v>
      </x:c>
      <x:c r="J3202" s="40" t="n">
        <x:v>1252</x:v>
      </x:c>
      <x:c r="K3202" s="24"/>
      <x:c r="L3202" s="24"/>
      <x:c r="M3202" s="24"/>
      <x:c r="N3202" s="24"/>
      <x:c r="O3202" s="24"/>
      <x:c r="P3202" s="24"/>
      <x:c r="Q3202" s="24" t="str">
        <x:v>DISPONÍVEL</x:v>
      </x:c>
      <x:c r="R3202" s="24"/>
      <x:c r="S3202" s="24" t="n">
        <x:v>21</x:v>
      </x:c>
      <x:c r="T3202" s="24" t="str">
        <x:v>tabela_zeiss.pdf</x:v>
      </x:c>
      <x:c r="U3202" s="24" t="str">
        <x:v>ZEISS|Lentes Prontas|Pronta|ClearView||Poli||DuraVision Gold UV|||||||21</x:v>
      </x:c>
    </x:row>
    <x:row r="3203">
      <x:c r="A3203" s="24" t="str">
        <x:v>ZS-C3F4B205114D</x:v>
      </x:c>
      <x:c r="B3203" s="24" t="str">
        <x:v>ZEISS</x:v>
      </x:c>
      <x:c r="C3203" s="24" t="str">
        <x:v>Lentes Prontas</x:v>
      </x:c>
      <x:c r="D3203" s="24" t="str">
        <x:v>Pronta</x:v>
      </x:c>
      <x:c r="E3203" s="24" t="str">
        <x:v>ClearView</x:v>
      </x:c>
      <x:c r="F3203" s="24"/>
      <x:c r="G3203" s="24" t="str">
        <x:v>Poli</x:v>
      </x:c>
      <x:c r="H3203" s="24"/>
      <x:c r="I3203" s="24" t="str">
        <x:v>DuraVision Platinum UV</x:v>
      </x:c>
      <x:c r="J3203" s="40" t="n">
        <x:v>1149</x:v>
      </x:c>
      <x:c r="K3203" s="24"/>
      <x:c r="L3203" s="24"/>
      <x:c r="M3203" s="24"/>
      <x:c r="N3203" s="24"/>
      <x:c r="O3203" s="24"/>
      <x:c r="P3203" s="24"/>
      <x:c r="Q3203" s="24" t="str">
        <x:v>DISPONÍVEL</x:v>
      </x:c>
      <x:c r="R3203" s="24"/>
      <x:c r="S3203" s="24" t="n">
        <x:v>21</x:v>
      </x:c>
      <x:c r="T3203" s="24" t="str">
        <x:v>tabela_zeiss.pdf</x:v>
      </x:c>
      <x:c r="U3203" s="24" t="str">
        <x:v>ZEISS|Lentes Prontas|Pronta|ClearView||Poli||DuraVision Platinum UV|||||||21</x:v>
      </x:c>
    </x:row>
    <x:row r="3204">
      <x:c r="A3204" s="24" t="str">
        <x:v>ZS-6960D43BB1A2</x:v>
      </x:c>
      <x:c r="B3204" s="24" t="str">
        <x:v>ZEISS</x:v>
      </x:c>
      <x:c r="C3204" s="24" t="str">
        <x:v>Lentes Prontas</x:v>
      </x:c>
      <x:c r="D3204" s="24" t="str">
        <x:v>Pronta</x:v>
      </x:c>
      <x:c r="E3204" s="24" t="str">
        <x:v>ClearView</x:v>
      </x:c>
      <x:c r="F3204" s="24"/>
      <x:c r="G3204" s="24" t="str">
        <x:v>Poli</x:v>
      </x:c>
      <x:c r="H3204" s="24"/>
      <x:c r="I3204" s="24" t="str">
        <x:v>DuraVision Silver UV</x:v>
      </x:c>
      <x:c r="J3204" s="40" t="n">
        <x:v>886</x:v>
      </x:c>
      <x:c r="K3204" s="24"/>
      <x:c r="L3204" s="24"/>
      <x:c r="M3204" s="24"/>
      <x:c r="N3204" s="24"/>
      <x:c r="O3204" s="24"/>
      <x:c r="P3204" s="24"/>
      <x:c r="Q3204" s="24" t="str">
        <x:v>DISPONÍVEL</x:v>
      </x:c>
      <x:c r="R3204" s="24"/>
      <x:c r="S3204" s="24" t="n">
        <x:v>21</x:v>
      </x:c>
      <x:c r="T3204" s="24" t="str">
        <x:v>tabela_zeiss.pdf</x:v>
      </x:c>
      <x:c r="U3204" s="24" t="str">
        <x:v>ZEISS|Lentes Prontas|Pronta|ClearView||Poli||DuraVision Silver UV|||||||21</x:v>
      </x:c>
    </x:row>
    <x:row r="3205">
      <x:c r="A3205" s="24" t="str">
        <x:v>ZS-F1521651F4E3</x:v>
      </x:c>
      <x:c r="B3205" s="24" t="str">
        <x:v>ZEISS</x:v>
      </x:c>
      <x:c r="C3205" s="24" t="str">
        <x:v>Lentes Prontas</x:v>
      </x:c>
      <x:c r="D3205" s="24" t="str">
        <x:v>Pronta</x:v>
      </x:c>
      <x:c r="E3205" s="24" t="str">
        <x:v>ClearView</x:v>
      </x:c>
      <x:c r="F3205" s="24"/>
      <x:c r="G3205" s="24" t="str">
        <x:v>Poli</x:v>
      </x:c>
      <x:c r="H3205" s="24"/>
      <x:c r="I3205" s="24" t="str">
        <x:v>DuraVision Chrome UV</x:v>
      </x:c>
      <x:c r="J3205" s="40" t="n">
        <x:v>699</x:v>
      </x:c>
      <x:c r="K3205" s="24"/>
      <x:c r="L3205" s="24"/>
      <x:c r="M3205" s="24"/>
      <x:c r="N3205" s="24"/>
      <x:c r="O3205" s="24"/>
      <x:c r="P3205" s="24"/>
      <x:c r="Q3205" s="24" t="str">
        <x:v>DISPONÍVEL</x:v>
      </x:c>
      <x:c r="R3205" s="24"/>
      <x:c r="S3205" s="24" t="n">
        <x:v>21</x:v>
      </x:c>
      <x:c r="T3205" s="24" t="str">
        <x:v>tabela_zeiss.pdf</x:v>
      </x:c>
      <x:c r="U3205" s="24" t="str">
        <x:v>ZEISS|Lentes Prontas|Pronta|ClearView||Poli||DuraVision Chrome UV|||||||21</x:v>
      </x:c>
    </x:row>
    <x:row r="3206">
      <x:c r="A3206" s="24" t="str">
        <x:v>ZS-D815AC80E79C</x:v>
      </x:c>
      <x:c r="B3206" s="24" t="str">
        <x:v>ZEISS</x:v>
      </x:c>
      <x:c r="C3206" s="24" t="str">
        <x:v>Lentes Prontas</x:v>
      </x:c>
      <x:c r="D3206" s="24" t="str">
        <x:v>Pronta</x:v>
      </x:c>
      <x:c r="E3206" s="24" t="str">
        <x:v>ClearView</x:v>
      </x:c>
      <x:c r="F3206" s="24"/>
      <x:c r="G3206" s="24" t="str">
        <x:v>1.6</x:v>
      </x:c>
      <x:c r="H3206" s="24" t="str">
        <x:v>1.60</x:v>
      </x:c>
      <x:c r="I3206" s="24" t="str">
        <x:v>DuraVision Gold UV</x:v>
      </x:c>
      <x:c r="J3206" s="40" t="n">
        <x:v>1357</x:v>
      </x:c>
      <x:c r="K3206" s="24"/>
      <x:c r="L3206" s="24"/>
      <x:c r="M3206" s="24"/>
      <x:c r="N3206" s="24"/>
      <x:c r="O3206" s="24"/>
      <x:c r="P3206" s="24"/>
      <x:c r="Q3206" s="24" t="str">
        <x:v>DISPONÍVEL</x:v>
      </x:c>
      <x:c r="R3206" s="24"/>
      <x:c r="S3206" s="24" t="n">
        <x:v>21</x:v>
      </x:c>
      <x:c r="T3206" s="24" t="str">
        <x:v>tabela_zeiss.pdf</x:v>
      </x:c>
      <x:c r="U3206" s="24" t="str">
        <x:v>ZEISS|Lentes Prontas|Pronta|ClearView||1.6|1.60|DuraVision Gold UV|||||||21</x:v>
      </x:c>
    </x:row>
    <x:row r="3207">
      <x:c r="A3207" s="24" t="str">
        <x:v>ZS-6DE8D0102FAD</x:v>
      </x:c>
      <x:c r="B3207" s="24" t="str">
        <x:v>ZEISS</x:v>
      </x:c>
      <x:c r="C3207" s="24" t="str">
        <x:v>Lentes Prontas</x:v>
      </x:c>
      <x:c r="D3207" s="24" t="str">
        <x:v>Pronta</x:v>
      </x:c>
      <x:c r="E3207" s="24" t="str">
        <x:v>ClearView</x:v>
      </x:c>
      <x:c r="F3207" s="24"/>
      <x:c r="G3207" s="24" t="str">
        <x:v>1.6</x:v>
      </x:c>
      <x:c r="H3207" s="24" t="str">
        <x:v>1.60</x:v>
      </x:c>
      <x:c r="I3207" s="24" t="str">
        <x:v>DuraVision Platinum UV</x:v>
      </x:c>
      <x:c r="J3207" s="40" t="n">
        <x:v>1269</x:v>
      </x:c>
      <x:c r="K3207" s="24"/>
      <x:c r="L3207" s="24"/>
      <x:c r="M3207" s="24"/>
      <x:c r="N3207" s="24"/>
      <x:c r="O3207" s="24"/>
      <x:c r="P3207" s="24"/>
      <x:c r="Q3207" s="24" t="str">
        <x:v>DISPONÍVEL</x:v>
      </x:c>
      <x:c r="R3207" s="24"/>
      <x:c r="S3207" s="24" t="n">
        <x:v>21</x:v>
      </x:c>
      <x:c r="T3207" s="24" t="str">
        <x:v>tabela_zeiss.pdf</x:v>
      </x:c>
      <x:c r="U3207" s="24" t="str">
        <x:v>ZEISS|Lentes Prontas|Pronta|ClearView||1.6|1.60|DuraVision Platinum UV|||||||21</x:v>
      </x:c>
    </x:row>
    <x:row r="3208">
      <x:c r="A3208" s="24" t="str">
        <x:v>ZS-D25C192F9AA3</x:v>
      </x:c>
      <x:c r="B3208" s="24" t="str">
        <x:v>ZEISS</x:v>
      </x:c>
      <x:c r="C3208" s="24" t="str">
        <x:v>Lentes Prontas</x:v>
      </x:c>
      <x:c r="D3208" s="24" t="str">
        <x:v>Pronta</x:v>
      </x:c>
      <x:c r="E3208" s="24" t="str">
        <x:v>ClearView</x:v>
      </x:c>
      <x:c r="F3208" s="24"/>
      <x:c r="G3208" s="24" t="str">
        <x:v>1.6</x:v>
      </x:c>
      <x:c r="H3208" s="24" t="str">
        <x:v>1.60</x:v>
      </x:c>
      <x:c r="I3208" s="24" t="str">
        <x:v>DuraVision Silver UV</x:v>
      </x:c>
      <x:c r="J3208" s="40" t="n">
        <x:v>1090</x:v>
      </x:c>
      <x:c r="K3208" s="24"/>
      <x:c r="L3208" s="24"/>
      <x:c r="M3208" s="24"/>
      <x:c r="N3208" s="24"/>
      <x:c r="O3208" s="24"/>
      <x:c r="P3208" s="24"/>
      <x:c r="Q3208" s="24" t="str">
        <x:v>DISPONÍVEL</x:v>
      </x:c>
      <x:c r="R3208" s="24"/>
      <x:c r="S3208" s="24" t="n">
        <x:v>21</x:v>
      </x:c>
      <x:c r="T3208" s="24" t="str">
        <x:v>tabela_zeiss.pdf</x:v>
      </x:c>
      <x:c r="U3208" s="24" t="str">
        <x:v>ZEISS|Lentes Prontas|Pronta|ClearView||1.6|1.60|DuraVision Silver UV|||||||21</x:v>
      </x:c>
    </x:row>
    <x:row r="3209">
      <x:c r="A3209" s="24" t="str">
        <x:v>ZS-95FE91FCECA9</x:v>
      </x:c>
      <x:c r="B3209" s="24" t="str">
        <x:v>ZEISS</x:v>
      </x:c>
      <x:c r="C3209" s="24" t="str">
        <x:v>Lentes Prontas</x:v>
      </x:c>
      <x:c r="D3209" s="24" t="str">
        <x:v>Pronta</x:v>
      </x:c>
      <x:c r="E3209" s="24" t="str">
        <x:v>ClearView</x:v>
      </x:c>
      <x:c r="F3209" s="24"/>
      <x:c r="G3209" s="24" t="str">
        <x:v>1.6</x:v>
      </x:c>
      <x:c r="H3209" s="24" t="str">
        <x:v>1.60</x:v>
      </x:c>
      <x:c r="I3209" s="24" t="str">
        <x:v>DuraVision Chrome UV</x:v>
      </x:c>
      <x:c r="J3209" s="40" t="n">
        <x:v>899</x:v>
      </x:c>
      <x:c r="K3209" s="24"/>
      <x:c r="L3209" s="24"/>
      <x:c r="M3209" s="24"/>
      <x:c r="N3209" s="24"/>
      <x:c r="O3209" s="24"/>
      <x:c r="P3209" s="24"/>
      <x:c r="Q3209" s="24" t="str">
        <x:v>DISPONÍVEL</x:v>
      </x:c>
      <x:c r="R3209" s="24"/>
      <x:c r="S3209" s="24" t="n">
        <x:v>21</x:v>
      </x:c>
      <x:c r="T3209" s="24" t="str">
        <x:v>tabela_zeiss.pdf</x:v>
      </x:c>
      <x:c r="U3209" s="24" t="str">
        <x:v>ZEISS|Lentes Prontas|Pronta|ClearView||1.6|1.60|DuraVision Chrome UV|||||||21</x:v>
      </x:c>
    </x:row>
    <x:row r="3210">
      <x:c r="A3210" s="24" t="str">
        <x:v>ZS-D9E36F616E63</x:v>
      </x:c>
      <x:c r="B3210" s="24" t="str">
        <x:v>ZEISS</x:v>
      </x:c>
      <x:c r="C3210" s="24" t="str">
        <x:v>Lentes Prontas</x:v>
      </x:c>
      <x:c r="D3210" s="24" t="str">
        <x:v>Pronta</x:v>
      </x:c>
      <x:c r="E3210" s="24" t="str">
        <x:v>ClearView</x:v>
      </x:c>
      <x:c r="F3210" s="24"/>
      <x:c r="G3210" s="24" t="str">
        <x:v>1.67</x:v>
      </x:c>
      <x:c r="H3210" s="24" t="str">
        <x:v>1.67</x:v>
      </x:c>
      <x:c r="I3210" s="24" t="str">
        <x:v>DuraVision Gold UV</x:v>
      </x:c>
      <x:c r="J3210" s="40" t="n">
        <x:v>1672</x:v>
      </x:c>
      <x:c r="K3210" s="24"/>
      <x:c r="L3210" s="24"/>
      <x:c r="M3210" s="24"/>
      <x:c r="N3210" s="24"/>
      <x:c r="O3210" s="24"/>
      <x:c r="P3210" s="24"/>
      <x:c r="Q3210" s="24" t="str">
        <x:v>DISPONÍVEL</x:v>
      </x:c>
      <x:c r="R3210" s="24"/>
      <x:c r="S3210" s="24" t="n">
        <x:v>21</x:v>
      </x:c>
      <x:c r="T3210" s="24" t="str">
        <x:v>tabela_zeiss.pdf</x:v>
      </x:c>
      <x:c r="U3210" s="24" t="str">
        <x:v>ZEISS|Lentes Prontas|Pronta|ClearView||1.67|1.67|DuraVision Gold UV|||||||21</x:v>
      </x:c>
    </x:row>
    <x:row r="3211">
      <x:c r="A3211" s="24" t="str">
        <x:v>ZS-95B57D901DB6</x:v>
      </x:c>
      <x:c r="B3211" s="24" t="str">
        <x:v>ZEISS</x:v>
      </x:c>
      <x:c r="C3211" s="24" t="str">
        <x:v>Lentes Prontas</x:v>
      </x:c>
      <x:c r="D3211" s="24" t="str">
        <x:v>Pronta</x:v>
      </x:c>
      <x:c r="E3211" s="24" t="str">
        <x:v>ClearView</x:v>
      </x:c>
      <x:c r="F3211" s="24"/>
      <x:c r="G3211" s="24" t="str">
        <x:v>1.67</x:v>
      </x:c>
      <x:c r="H3211" s="24" t="str">
        <x:v>1.67</x:v>
      </x:c>
      <x:c r="I3211" s="24" t="str">
        <x:v>DuraVision Platinum UV</x:v>
      </x:c>
      <x:c r="J3211" s="40" t="n">
        <x:v>1605</x:v>
      </x:c>
      <x:c r="K3211" s="24"/>
      <x:c r="L3211" s="24"/>
      <x:c r="M3211" s="24"/>
      <x:c r="N3211" s="24"/>
      <x:c r="O3211" s="24"/>
      <x:c r="P3211" s="24"/>
      <x:c r="Q3211" s="24" t="str">
        <x:v>DISPONÍVEL</x:v>
      </x:c>
      <x:c r="R3211" s="24"/>
      <x:c r="S3211" s="24" t="n">
        <x:v>21</x:v>
      </x:c>
      <x:c r="T3211" s="24" t="str">
        <x:v>tabela_zeiss.pdf</x:v>
      </x:c>
      <x:c r="U3211" s="24" t="str">
        <x:v>ZEISS|Lentes Prontas|Pronta|ClearView||1.67|1.67|DuraVision Platinum UV|||||||21</x:v>
      </x:c>
    </x:row>
    <x:row r="3212">
      <x:c r="A3212" s="24" t="str">
        <x:v>ZS-AE7441DD1930</x:v>
      </x:c>
      <x:c r="B3212" s="24" t="str">
        <x:v>ZEISS</x:v>
      </x:c>
      <x:c r="C3212" s="24" t="str">
        <x:v>Lentes Prontas</x:v>
      </x:c>
      <x:c r="D3212" s="24" t="str">
        <x:v>Pronta</x:v>
      </x:c>
      <x:c r="E3212" s="24" t="str">
        <x:v>ClearView</x:v>
      </x:c>
      <x:c r="F3212" s="24"/>
      <x:c r="G3212" s="24" t="str">
        <x:v>1.67</x:v>
      </x:c>
      <x:c r="H3212" s="24" t="str">
        <x:v>1.67</x:v>
      </x:c>
      <x:c r="I3212" s="24" t="str">
        <x:v>DuraVision Silver UV</x:v>
      </x:c>
      <x:c r="J3212" s="40" t="n">
        <x:v>1420</x:v>
      </x:c>
      <x:c r="K3212" s="24"/>
      <x:c r="L3212" s="24"/>
      <x:c r="M3212" s="24"/>
      <x:c r="N3212" s="24"/>
      <x:c r="O3212" s="24"/>
      <x:c r="P3212" s="24"/>
      <x:c r="Q3212" s="24" t="str">
        <x:v>DISPONÍVEL</x:v>
      </x:c>
      <x:c r="R3212" s="24"/>
      <x:c r="S3212" s="24" t="n">
        <x:v>21</x:v>
      </x:c>
      <x:c r="T3212" s="24" t="str">
        <x:v>tabela_zeiss.pdf</x:v>
      </x:c>
      <x:c r="U3212" s="24" t="str">
        <x:v>ZEISS|Lentes Prontas|Pronta|ClearView||1.67|1.67|DuraVision Silver UV|||||||21</x:v>
      </x:c>
    </x:row>
    <x:row r="3213">
      <x:c r="A3213" s="24" t="str">
        <x:v>ZS-CE150AAA205B</x:v>
      </x:c>
      <x:c r="B3213" s="24" t="str">
        <x:v>ZEISS</x:v>
      </x:c>
      <x:c r="C3213" s="24" t="str">
        <x:v>Lentes Prontas</x:v>
      </x:c>
      <x:c r="D3213" s="24" t="str">
        <x:v>Pronta</x:v>
      </x:c>
      <x:c r="E3213" s="24" t="str">
        <x:v>ClearView</x:v>
      </x:c>
      <x:c r="F3213" s="24"/>
      <x:c r="G3213" s="24" t="str">
        <x:v>1.74</x:v>
      </x:c>
      <x:c r="H3213" s="24" t="str">
        <x:v>1.74</x:v>
      </x:c>
      <x:c r="I3213" s="24" t="str">
        <x:v>DuraVision Gold UV</x:v>
      </x:c>
      <x:c r="J3213" s="40" t="n">
        <x:v>2292</x:v>
      </x:c>
      <x:c r="K3213" s="24"/>
      <x:c r="L3213" s="24"/>
      <x:c r="M3213" s="24"/>
      <x:c r="N3213" s="24"/>
      <x:c r="O3213" s="24"/>
      <x:c r="P3213" s="24"/>
      <x:c r="Q3213" s="24" t="str">
        <x:v>DISPONÍVEL</x:v>
      </x:c>
      <x:c r="R3213" s="24"/>
      <x:c r="S3213" s="24" t="n">
        <x:v>21</x:v>
      </x:c>
      <x:c r="T3213" s="24" t="str">
        <x:v>tabela_zeiss.pdf</x:v>
      </x:c>
      <x:c r="U3213" s="24" t="str">
        <x:v>ZEISS|Lentes Prontas|Pronta|ClearView||1.74|1.74|DuraVision Gold UV|||||||21</x:v>
      </x:c>
    </x:row>
    <x:row r="3214">
      <x:c r="A3214" s="24" t="str">
        <x:v>ZS-1228EA4734C7</x:v>
      </x:c>
      <x:c r="B3214" s="24" t="str">
        <x:v>ZEISS</x:v>
      </x:c>
      <x:c r="C3214" s="24" t="str">
        <x:v>Lentes Prontas</x:v>
      </x:c>
      <x:c r="D3214" s="24" t="str">
        <x:v>Pronta</x:v>
      </x:c>
      <x:c r="E3214" s="24" t="str">
        <x:v>ClearView</x:v>
      </x:c>
      <x:c r="F3214" s="24"/>
      <x:c r="G3214" s="24" t="str">
        <x:v>1.74</x:v>
      </x:c>
      <x:c r="H3214" s="24" t="str">
        <x:v>1.74</x:v>
      </x:c>
      <x:c r="I3214" s="24" t="str">
        <x:v>DuraVision Platinum UV</x:v>
      </x:c>
      <x:c r="J3214" s="40" t="n">
        <x:v>2255</x:v>
      </x:c>
      <x:c r="K3214" s="24"/>
      <x:c r="L3214" s="24"/>
      <x:c r="M3214" s="24"/>
      <x:c r="N3214" s="24"/>
      <x:c r="O3214" s="24"/>
      <x:c r="P3214" s="24"/>
      <x:c r="Q3214" s="24" t="str">
        <x:v>DISPONÍVEL</x:v>
      </x:c>
      <x:c r="R3214" s="24"/>
      <x:c r="S3214" s="24" t="n">
        <x:v>21</x:v>
      </x:c>
      <x:c r="T3214" s="24" t="str">
        <x:v>tabela_zeiss.pdf</x:v>
      </x:c>
      <x:c r="U3214" s="24" t="str">
        <x:v>ZEISS|Lentes Prontas|Pronta|ClearView||1.74|1.74|DuraVision Platinum UV|||||||21</x:v>
      </x:c>
    </x:row>
    <x:row r="3215">
      <x:c r="A3215" s="24" t="str">
        <x:v>ZS-3240A3CD3954</x:v>
      </x:c>
      <x:c r="B3215" s="24" t="str">
        <x:v>ZEISS</x:v>
      </x:c>
      <x:c r="C3215" s="24" t="str">
        <x:v>Lentes Prontas</x:v>
      </x:c>
      <x:c r="D3215" s="24" t="str">
        <x:v>Pronta</x:v>
      </x:c>
      <x:c r="E3215" s="24" t="str">
        <x:v>ClearView</x:v>
      </x:c>
      <x:c r="F3215" s="24" t="str">
        <x:v>PhotoFusion X Extra Dark Cinza</x:v>
      </x:c>
      <x:c r="G3215" s="24" t="str">
        <x:v>1.5</x:v>
      </x:c>
      <x:c r="H3215" s="24" t="str">
        <x:v>1.50</x:v>
      </x:c>
      <x:c r="I3215" s="24" t="str">
        <x:v>DuraVision Platinum UV</x:v>
      </x:c>
      <x:c r="J3215" s="40" t="n">
        <x:v>1340</x:v>
      </x:c>
      <x:c r="K3215" s="24"/>
      <x:c r="L3215" s="24"/>
      <x:c r="M3215" s="24"/>
      <x:c r="N3215" s="24"/>
      <x:c r="O3215" s="24"/>
      <x:c r="P3215" s="24"/>
      <x:c r="Q3215" s="24" t="str">
        <x:v>DISPONÍVEL</x:v>
      </x:c>
      <x:c r="R3215" s="24" t="str">
        <x:v>Programa de Parcerias ZEISS</x:v>
      </x:c>
      <x:c r="S3215" s="24" t="n">
        <x:v>21</x:v>
      </x:c>
      <x:c r="T3215" s="24" t="str">
        <x:v>tabela_zeiss.pdf</x:v>
      </x:c>
      <x:c r="U3215" s="24" t="str">
        <x:v>ZEISS|Lentes Prontas|Pronta|ClearView|PhotoFusion X Extra Dark Cinza|1.5|1.50|DuraVision Platinum UV|||||||21</x:v>
      </x:c>
    </x:row>
    <x:row r="3216">
      <x:c r="A3216" s="24" t="str">
        <x:v>ZS-B48C8933CF5B</x:v>
      </x:c>
      <x:c r="B3216" s="24" t="str">
        <x:v>ZEISS</x:v>
      </x:c>
      <x:c r="C3216" s="24" t="str">
        <x:v>Lentes Prontas</x:v>
      </x:c>
      <x:c r="D3216" s="24" t="str">
        <x:v>Pronta</x:v>
      </x:c>
      <x:c r="E3216" s="24" t="str">
        <x:v>ClearView</x:v>
      </x:c>
      <x:c r="F3216" s="24" t="str">
        <x:v>PhotoFusion X</x:v>
      </x:c>
      <x:c r="G3216" s="24" t="str">
        <x:v>1.5</x:v>
      </x:c>
      <x:c r="H3216" s="24" t="str">
        <x:v>1.50</x:v>
      </x:c>
      <x:c r="I3216" s="24" t="str">
        <x:v>DuraVision Chrome UV</x:v>
      </x:c>
      <x:c r="J3216" s="40" t="n">
        <x:v>1049</x:v>
      </x:c>
      <x:c r="K3216" s="24"/>
      <x:c r="L3216" s="24"/>
      <x:c r="M3216" s="24"/>
      <x:c r="N3216" s="24"/>
      <x:c r="O3216" s="24"/>
      <x:c r="P3216" s="24"/>
      <x:c r="Q3216" s="24" t="str">
        <x:v>DISPONÍVEL</x:v>
      </x:c>
      <x:c r="R3216" s="24" t="str">
        <x:v>Programa de Parcerias ZEISS</x:v>
      </x:c>
      <x:c r="S3216" s="24" t="n">
        <x:v>21</x:v>
      </x:c>
      <x:c r="T3216" s="24" t="str">
        <x:v>tabela_zeiss.pdf</x:v>
      </x:c>
      <x:c r="U3216" s="24" t="str">
        <x:v>ZEISS|Lentes Prontas|Pronta|ClearView|PhotoFusion X|1.5|1.50|DuraVision Chrome UV|||||||21</x:v>
      </x:c>
    </x:row>
    <x:row r="3217">
      <x:c r="A3217" s="24" t="str">
        <x:v>ZS-5DDE1722D79F</x:v>
      </x:c>
      <x:c r="B3217" s="24" t="str">
        <x:v>ZEISS</x:v>
      </x:c>
      <x:c r="C3217" s="24" t="str">
        <x:v>Lentes Prontas</x:v>
      </x:c>
      <x:c r="D3217" s="24" t="str">
        <x:v>Pronta</x:v>
      </x:c>
      <x:c r="E3217" s="24" t="str">
        <x:v>ClearView</x:v>
      </x:c>
      <x:c r="F3217" s="24" t="str">
        <x:v>PhotoFusion X Extra Dark Cinza</x:v>
      </x:c>
      <x:c r="G3217" s="24" t="str">
        <x:v>1.60</x:v>
      </x:c>
      <x:c r="H3217" s="24" t="str">
        <x:v>1.60</x:v>
      </x:c>
      <x:c r="I3217" s="24" t="str">
        <x:v>DuraVision Platinum UV</x:v>
      </x:c>
      <x:c r="J3217" s="40" t="n">
        <x:v>1539</x:v>
      </x:c>
      <x:c r="K3217" s="24"/>
      <x:c r="L3217" s="24"/>
      <x:c r="M3217" s="24"/>
      <x:c r="N3217" s="24"/>
      <x:c r="O3217" s="24"/>
      <x:c r="P3217" s="24"/>
      <x:c r="Q3217" s="24" t="str">
        <x:v>DISPONÍVEL</x:v>
      </x:c>
      <x:c r="R3217" s="24" t="str">
        <x:v>Programa de Parcerias ZEISS</x:v>
      </x:c>
      <x:c r="S3217" s="24" t="n">
        <x:v>21</x:v>
      </x:c>
      <x:c r="T3217" s="24" t="str">
        <x:v>tabela_zeiss.pdf</x:v>
      </x:c>
      <x:c r="U3217" s="24" t="str">
        <x:v>ZEISS|Lentes Prontas|Pronta|ClearView|PhotoFusion X Extra Dark Cinza|1.60|1.60|DuraVision Platinum UV|||||||21</x:v>
      </x:c>
    </x:row>
    <x:row r="3218">
      <x:c r="A3218" s="24" t="str">
        <x:v>ZS-023423772D3C</x:v>
      </x:c>
      <x:c r="B3218" s="24" t="str">
        <x:v>ZEISS</x:v>
      </x:c>
      <x:c r="C3218" s="24" t="str">
        <x:v>Lentes Prontas</x:v>
      </x:c>
      <x:c r="D3218" s="24" t="str">
        <x:v>Pronta</x:v>
      </x:c>
      <x:c r="E3218" s="24" t="str">
        <x:v>ClassicPlus</x:v>
      </x:c>
      <x:c r="F3218" s="24"/>
      <x:c r="G3218" s="24" t="str">
        <x:v>1.5</x:v>
      </x:c>
      <x:c r="H3218" s="24" t="str">
        <x:v>1.50</x:v>
      </x:c>
      <x:c r="I3218" s="24" t="str">
        <x:v>DuraVision Chrome UV</x:v>
      </x:c>
      <x:c r="J3218" s="40" t="n">
        <x:v>279</x:v>
      </x:c>
      <x:c r="K3218" s="24" t="str">
        <x:v>+0.25 a +4.00 / 0.00 a -4.00</x:v>
      </x:c>
      <x:c r="L3218" s="24" t="str">
        <x:v>-2.00</x:v>
      </x:c>
      <x:c r="M3218" s="24"/>
      <x:c r="N3218" s="24" t="str">
        <x:v>65/75mm</x:v>
      </x:c>
      <x:c r="O3218" s="24"/>
      <x:c r="P3218" s="24"/>
      <x:c r="Q3218" s="24" t="str">
        <x:v>DISPONÍVEL</x:v>
      </x:c>
      <x:c r="R3218" s="24"/>
      <x:c r="S3218" s="24" t="n">
        <x:v>25</x:v>
      </x:c>
      <x:c r="T3218" s="24" t="str">
        <x:v>tabela_zeiss.pdf</x:v>
      </x:c>
      <x:c r="U3218" s="24" t="str">
        <x:v>ZEISS|Lentes Prontas|Pronta|ClassicPlus||1.5|1.50|DuraVision Chrome UV|+0.25 a +4.00 / 0.00 a -4.00|-2.00||65/75mm|||25</x:v>
      </x:c>
    </x:row>
    <x:row r="3219">
      <x:c r="A3219" s="24" t="str">
        <x:v>ZS-50C641763D78</x:v>
      </x:c>
      <x:c r="B3219" s="24" t="str">
        <x:v>ZEISS</x:v>
      </x:c>
      <x:c r="C3219" s="24" t="str">
        <x:v>Lentes Prontas</x:v>
      </x:c>
      <x:c r="D3219" s="24" t="str">
        <x:v>Pronta</x:v>
      </x:c>
      <x:c r="E3219" s="24" t="str">
        <x:v>ClassicPlus</x:v>
      </x:c>
      <x:c r="F3219" s="24"/>
      <x:c r="G3219" s="24" t="str">
        <x:v>Poli</x:v>
      </x:c>
      <x:c r="H3219" s="24"/>
      <x:c r="I3219" s="24" t="str">
        <x:v>DuraVision Chrome UV</x:v>
      </x:c>
      <x:c r="J3219" s="40" t="n">
        <x:v>399</x:v>
      </x:c>
      <x:c r="K3219" s="24" t="str">
        <x:v>+0.25 a +4.00 / 0.00 a -6.00</x:v>
      </x:c>
      <x:c r="L3219" s="24" t="str">
        <x:v>-2.00</x:v>
      </x:c>
      <x:c r="M3219" s="24"/>
      <x:c r="N3219" s="24" t="str">
        <x:v>65/75mm</x:v>
      </x:c>
      <x:c r="O3219" s="24"/>
      <x:c r="P3219" s="24"/>
      <x:c r="Q3219" s="24" t="str">
        <x:v>DISPONÍVEL</x:v>
      </x:c>
      <x:c r="R3219" s="24"/>
      <x:c r="S3219" s="24" t="n">
        <x:v>25</x:v>
      </x:c>
      <x:c r="T3219" s="24" t="str">
        <x:v>tabela_zeiss.pdf</x:v>
      </x:c>
      <x:c r="U3219" s="24" t="str">
        <x:v>ZEISS|Lentes Prontas|Pronta|ClassicPlus||Poli||DuraVision Chrome UV|+0.25 a +4.00 / 0.00 a -6.00|-2.00||65/75mm|||25</x:v>
      </x:c>
    </x:row>
  </x:sheetData>
  <x:pageMargins left="0.7" right="0.7" top="0.75" bottom="0.75" header="0.3" footer="0.3"/>
  <x:tableParts count="1">
    <x:tablePart xmlns:r="http://schemas.openxmlformats.org/officeDocument/2006/relationships" r:id="R9e1c98fde155417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 ht="30" customHeight="1">
      <x:c r="A1" s="31" t="str">
        <x:v>SKU_ATIVO</x:v>
      </x:c>
      <x:c r="B1" s="31" t="str">
        <x:v>MARCAS</x:v>
      </x:c>
      <x:c r="C1" s="31" t="str">
        <x:v>CATEGORIAS</x:v>
      </x:c>
      <x:c r="D1" s="31" t="str">
        <x:v>TIPOS_LENTE</x:v>
      </x:c>
      <x:c r="E1" s="31" t="str">
        <x:v>PRODUTOS</x:v>
      </x:c>
      <x:c r="F1" s="31" t="str">
        <x:v>OPCOES</x:v>
      </x:c>
      <x:c r="G1" s="31" t="str">
        <x:v>MATERIAIS</x:v>
      </x:c>
      <x:c r="H1" s="31" t="str">
        <x:v>INDICES</x:v>
      </x:c>
      <x:c r="I1" s="31" t="str">
        <x:v>TRATAMENTOS</x:v>
      </x:c>
      <x:c r="J1" s="31" t="str">
        <x:v>STATUS</x:v>
      </x:c>
    </x:row>
    <x:row r="2">
      <x:c r="A2" t="str">
        <x:v>HY-3AE6539B67D4</x:v>
      </x:c>
      <x:c r="B2" t="str">
        <x:v>HOYA</x:v>
      </x:c>
      <x:c r="C2" t="str">
        <x:v>AdaptiveSun</x:v>
      </x:c>
      <x:c r="D2" t="str">
        <x:v>Netline</x:v>
      </x:c>
      <x:c r="E2" t="str">
        <x:v>Asiana</x:v>
      </x:c>
      <x:c r="F2" t="str">
        <x:v>AdaptiveSun</x:v>
      </x:c>
      <x:c r="G2" t="str">
        <x:v>1.5</x:v>
      </x:c>
      <x:c r="H2" t="str">
        <x:v>1.50</x:v>
      </x:c>
      <x:c r="I2" t="str">
        <x:v>Antirreflexo EnRoute</x:v>
      </x:c>
      <x:c r="J2" t="str">
        <x:v>DISPONÍVEL</x:v>
      </x:c>
    </x:row>
    <x:row r="3">
      <x:c r="A3" t="str">
        <x:v>HY-5E6600382789</x:v>
      </x:c>
      <x:c r="B3" t="str">
        <x:v>Rodenstock</x:v>
      </x:c>
      <x:c r="C3" t="str">
        <x:v>Asiana</x:v>
      </x:c>
      <x:c r="D3" t="str">
        <x:v>Pronta</x:v>
      </x:c>
      <x:c r="E3" t="str">
        <x:v>ClassicPlus</x:v>
      </x:c>
      <x:c r="F3" t="str">
        <x:v>AdaptiveSun PhotoFusion Cinza</x:v>
      </x:c>
      <x:c r="G3" t="str">
        <x:v>1.5 com AR Hidrocoat 2</x:v>
      </x:c>
      <x:c r="H3" t="str">
        <x:v>1.53</x:v>
      </x:c>
      <x:c r="I3" t="str">
        <x:v>Antirreflexo MiYOSMART</x:v>
      </x:c>
      <x:c r="J3" t="str">
        <x:v>ESTOQUE LIMITADO</x:v>
      </x:c>
    </x:row>
    <x:row r="4">
      <x:c r="A4" t="str">
        <x:v>HY-02D9A50491FD</x:v>
      </x:c>
      <x:c r="B4" t="str">
        <x:v>ZEISS</x:v>
      </x:c>
      <x:c r="C4" t="str">
        <x:v>Bifocal</x:v>
      </x:c>
      <x:c r="D4" t="str">
        <x:v>Surfaçada</x:v>
      </x:c>
      <x:c r="E4" t="str">
        <x:v>ClearMind Digital Individual 3</x:v>
      </x:c>
      <x:c r="F4" t="str">
        <x:v>Asiana</x:v>
      </x:c>
      <x:c r="G4" t="str">
        <x:v>1.5 Ergo PC/Book/Room</x:v>
      </x:c>
      <x:c r="H4" t="str">
        <x:v>1.54</x:v>
      </x:c>
      <x:c r="I4" t="str">
        <x:v>CleanExtra</x:v>
      </x:c>
      <x:c r="J4"/>
    </x:row>
    <x:row r="5">
      <x:c r="A5" t="str">
        <x:v>HY-7CC3AF0CECB8</x:v>
      </x:c>
      <x:c r="B5"/>
      <x:c r="C5" t="str">
        <x:v>Controle de Miopia</x:v>
      </x:c>
      <x:c r="D5"/>
      <x:c r="E5" t="str">
        <x:v>ClearMind Individual 3</x:v>
      </x:c>
      <x:c r="F5" t="str">
        <x:v>Chameleon</x:v>
      </x:c>
      <x:c r="G5" t="str">
        <x:v>1.54</x:v>
      </x:c>
      <x:c r="H5" t="str">
        <x:v>1.56</x:v>
      </x:c>
      <x:c r="I5" t="str">
        <x:v>DuraVision Antivírus Platinum UV</x:v>
      </x:c>
      <x:c r="J5"/>
    </x:row>
    <x:row r="6">
      <x:c r="A6" t="str">
        <x:v>HY-6CB7A47790F2</x:v>
      </x:c>
      <x:c r="B6"/>
      <x:c r="C6" t="str">
        <x:v>Especial Digital</x:v>
      </x:c>
      <x:c r="D6"/>
      <x:c r="E6" t="str">
        <x:v>ClearMind Plus</x:v>
      </x:c>
      <x:c r="F6" t="str">
        <x:v>Clear</x:v>
      </x:c>
      <x:c r="G6" t="str">
        <x:v>1.6</x:v>
      </x:c>
      <x:c r="H6" t="str">
        <x:v>1.59</x:v>
      </x:c>
      <x:c r="I6" t="str">
        <x:v>DuraVision Chrome UV</x:v>
      </x:c>
      <x:c r="J6"/>
    </x:row>
    <x:row r="7">
      <x:c r="A7" t="str">
        <x:v>HY-211160319A4D</x:v>
      </x:c>
      <x:c r="B7"/>
      <x:c r="C7" t="str">
        <x:v>Lentes Prontas</x:v>
      </x:c>
      <x:c r="D7"/>
      <x:c r="E7" t="str">
        <x:v>ClearMind Pure</x:v>
      </x:c>
      <x:c r="F7" t="str">
        <x:v>COLORIDAS</x:v>
      </x:c>
      <x:c r="G7" t="str">
        <x:v>1.6 com AR Hidrocoat 2</x:v>
      </x:c>
      <x:c r="H7" t="str">
        <x:v>1.60</x:v>
      </x:c>
      <x:c r="I7" t="str">
        <x:v>DuraVision Gold UV</x:v>
      </x:c>
      <x:c r="J7"/>
    </x:row>
    <x:row r="8">
      <x:c r="A8" t="str">
        <x:v>HY-14A26D62E732</x:v>
      </x:c>
      <x:c r="B8"/>
      <x:c r="C8" t="str">
        <x:v>Mono Plus B.I.G. NORM</x:v>
      </x:c>
      <x:c r="D8"/>
      <x:c r="E8" t="str">
        <x:v>ClearMind Superb</x:v>
      </x:c>
      <x:c r="F8" t="str">
        <x:v>ColorMatic® 3</x:v>
      </x:c>
      <x:c r="G8" t="str">
        <x:v>1.6 Ergo PC/Book/Room</x:v>
      </x:c>
      <x:c r="H8" t="str">
        <x:v>1.67</x:v>
      </x:c>
      <x:c r="I8" t="str">
        <x:v>DuraVision Platinum UV</x:v>
      </x:c>
      <x:c r="J8"/>
    </x:row>
    <x:row r="9">
      <x:c r="A9" t="str">
        <x:v>HY-02BA43DD7BD1</x:v>
      </x:c>
      <x:c r="B9"/>
      <x:c r="C9" t="str">
        <x:v>Monofocal Acabada</x:v>
      </x:c>
      <x:c r="D9"/>
      <x:c r="E9" t="str">
        <x:v>ClearView</x:v>
      </x:c>
      <x:c r="F9" t="str">
        <x:v>ColorMatic® 3 | X</x:v>
      </x:c>
      <x:c r="G9" t="str">
        <x:v>1.60</x:v>
      </x:c>
      <x:c r="H9" t="str">
        <x:v>1.74</x:v>
      </x:c>
      <x:c r="I9" t="str">
        <x:v>DuraVision Silver UV</x:v>
      </x:c>
      <x:c r="J9"/>
    </x:row>
    <x:row r="10">
      <x:c r="A10" t="str">
        <x:v>HY-94AA9390BFDA</x:v>
      </x:c>
      <x:c r="B10"/>
      <x:c r="C10" t="str">
        <x:v>Monofocal B.I.G. NORM</x:v>
      </x:c>
      <x:c r="D10"/>
      <x:c r="E10" t="str">
        <x:v>Cosmolit Mono Plus B.I.G. NORM</x:v>
      </x:c>
      <x:c r="F10" t="str">
        <x:v>Fotossensível</x:v>
      </x:c>
      <x:c r="G10" t="str">
        <x:v>1.67</x:v>
      </x:c>
      <x:c r="H10"/>
      <x:c r="I10" t="str">
        <x:v>DURAVISION® ANTIVÍRUS PLATINUM UV</x:v>
      </x:c>
      <x:c r="J10"/>
    </x:row>
    <x:row r="11">
      <x:c r="A11" t="str">
        <x:v>HY-75F279478FAA</x:v>
      </x:c>
      <x:c r="B11"/>
      <x:c r="C11" t="str">
        <x:v>Monofocal Rodenstock</x:v>
      </x:c>
      <x:c r="D11"/>
      <x:c r="E11" t="str">
        <x:v>Cosmolit Surfaçada</x:v>
      </x:c>
      <x:c r="F11" t="str">
        <x:v>INCOLOR</x:v>
      </x:c>
      <x:c r="G11" t="str">
        <x:v>1.67 com AR Hidrocoat 2</x:v>
      </x:c>
      <x:c r="H11"/>
      <x:c r="I11" t="str">
        <x:v>DURAVISION® DRIVESAFE</x:v>
      </x:c>
      <x:c r="J11"/>
    </x:row>
    <x:row r="12">
      <x:c r="A12" t="str">
        <x:v>HY-F90296F8E0B0</x:v>
      </x:c>
      <x:c r="B12"/>
      <x:c r="C12" t="str">
        <x:v>Netline</x:v>
      </x:c>
      <x:c r="D12"/>
      <x:c r="E12" t="str">
        <x:v>Cosmolit Surfaçadas B.I.G. NORM</x:v>
      </x:c>
      <x:c r="F12" t="str">
        <x:v>MyoCare &amp; MyoCare S</x:v>
      </x:c>
      <x:c r="G12" t="str">
        <x:v>1.67 Ergo PC/Book/Room</x:v>
      </x:c>
      <x:c r="H12"/>
      <x:c r="I12" t="str">
        <x:v>DURAVISION® GOLD</x:v>
      </x:c>
      <x:c r="J12"/>
    </x:row>
    <x:row r="13">
      <x:c r="A13" t="str">
        <x:v>HY-C074A9F561F4</x:v>
      </x:c>
      <x:c r="B13"/>
      <x:c r="C13" t="str">
        <x:v>Ocupacional</x:v>
      </x:c>
      <x:c r="D13"/>
      <x:c r="E13" t="str">
        <x:v>DriveSafe</x:v>
      </x:c>
      <x:c r="F13" t="str">
        <x:v>PhotoFusion X</x:v>
      </x:c>
      <x:c r="G13" t="str">
        <x:v>1.74</x:v>
      </x:c>
      <x:c r="H13"/>
      <x:c r="I13" t="str">
        <x:v>Hi-Vision Aqua</x:v>
      </x:c>
      <x:c r="J13"/>
    </x:row>
    <x:row r="14">
      <x:c r="A14" t="str">
        <x:v>HY-6D6DE8790A37</x:v>
      </x:c>
      <x:c r="B14"/>
      <x:c r="C14" t="str">
        <x:v>Ocupacional B.I.G. NORM</x:v>
      </x:c>
      <x:c r="D14"/>
      <x:c r="E14" t="str">
        <x:v>EnergizeMe</x:v>
      </x:c>
      <x:c r="F14" t="str">
        <x:v>PhotoFusion X Extra Dark Cinza</x:v>
      </x:c>
      <x:c r="G14" t="str">
        <x:v>1.74 com AR Hidrocoat 2</x:v>
      </x:c>
      <x:c r="H14"/>
      <x:c r="I14" t="str">
        <x:v>Hi-Vision Hard</x:v>
      </x:c>
      <x:c r="J14"/>
    </x:row>
    <x:row r="15">
      <x:c r="A15" t="str">
        <x:v>HY-E9BFEEEC3820</x:v>
      </x:c>
      <x:c r="B15"/>
      <x:c r="C15" t="str">
        <x:v>Progressiva</x:v>
      </x:c>
      <x:c r="D15"/>
      <x:c r="E15" t="str">
        <x:v>EnergizeMe Visão Simples AdaptiveSun</x:v>
      </x:c>
      <x:c r="F15" t="str">
        <x:v>Polarizada</x:v>
      </x:c>
      <x:c r="G15" t="str">
        <x:v>1.74 Ergo PC/Book/Room</x:v>
      </x:c>
      <x:c r="H15"/>
      <x:c r="I15" t="str">
        <x:v>Hi-Vision LongLife</x:v>
      </x:c>
      <x:c r="J15"/>
    </x:row>
    <x:row r="16">
      <x:c r="A16" t="str">
        <x:v>HY-26A23FE49031</x:v>
      </x:c>
      <x:c r="B16"/>
      <x:c r="C16" t="str">
        <x:v>Progressiva AdaptiveSun</x:v>
      </x:c>
      <x:c r="D16"/>
      <x:c r="E16" t="str">
        <x:v>GT2</x:v>
      </x:c>
      <x:c r="F16" t="str">
        <x:v>POLARIZADO</x:v>
      </x:c>
      <x:c r="G16" t="str">
        <x:v>EYAS 2.0</x:v>
      </x:c>
      <x:c r="H16"/>
      <x:c r="I16" t="str">
        <x:v>Hi-Vision LongLife BlueControl</x:v>
      </x:c>
      <x:c r="J16"/>
    </x:row>
    <x:row r="17">
      <x:c r="A17" t="str">
        <x:v>HY-9751785BED83</x:v>
      </x:c>
      <x:c r="B17"/>
      <x:c r="C17" t="str">
        <x:v>Progressiva B.I.G. NORM</x:v>
      </x:c>
      <x:c r="D17"/>
      <x:c r="E17" t="str">
        <x:v>Hilux</x:v>
      </x:c>
      <x:c r="F17" t="str">
        <x:v>PRO410</x:v>
      </x:c>
      <x:c r="G17" t="str">
        <x:v>EYNOA</x:v>
      </x:c>
      <x:c r="H17"/>
      <x:c r="I17" t="str">
        <x:v>Hi-Vision LongLife UVControl</x:v>
      </x:c>
      <x:c r="J17"/>
    </x:row>
    <x:row r="18">
      <x:c r="A18" t="str">
        <x:v>HY-C0C613FF5EF0</x:v>
      </x:c>
      <x:c r="B18"/>
      <x:c r="C18" t="str">
        <x:v>Progressiva Especial</x:v>
      </x:c>
      <x:c r="D18"/>
      <x:c r="E18" t="str">
        <x:v>HOYA Amplitude</x:v>
      </x:c>
      <x:c r="F18" t="str">
        <x:v>SENSITY 2</x:v>
      </x:c>
      <x:c r="G18" t="str">
        <x:v>EYVIA</x:v>
      </x:c>
      <x:c r="H18"/>
      <x:c r="I18" t="str">
        <x:v>Hi-Vision Meiryo</x:v>
      </x:c>
      <x:c r="J18"/>
    </x:row>
    <x:row r="19">
      <x:c r="A19" t="str">
        <x:v>HY-B830E7ED744F</x:v>
      </x:c>
      <x:c r="B19"/>
      <x:c r="C19" t="str">
        <x:v>Progressiva Freeform</x:v>
      </x:c>
      <x:c r="D19"/>
      <x:c r="E19" t="str">
        <x:v>HOYA Argos</x:v>
      </x:c>
      <x:c r="F19" t="str">
        <x:v>SENSITY ORIGINAL</x:v>
      </x:c>
      <x:c r="G19" t="str">
        <x:v>ORGANIC</x:v>
      </x:c>
      <x:c r="H19"/>
      <x:c r="I19" t="str">
        <x:v>Hi-Vision Sun Pro</x:v>
      </x:c>
      <x:c r="J19"/>
    </x:row>
    <x:row r="20">
      <x:c r="A20" t="str">
        <x:v>HY-EAD0D4B7BC2A</x:v>
      </x:c>
      <x:c r="B20"/>
      <x:c r="C20" t="str">
        <x:v>Progressiva ILT</x:v>
      </x:c>
      <x:c r="D20"/>
      <x:c r="E20" t="str">
        <x:v>HOYA SYNC III</x:v>
      </x:c>
      <x:c r="F20" t="str">
        <x:v>SENSITY SHINE</x:v>
      </x:c>
      <x:c r="G20" t="str">
        <x:v>Perfalit</x:v>
      </x:c>
      <x:c r="H20"/>
      <x:c r="I20" t="str">
        <x:v>HydroCoat 2</x:v>
      </x:c>
      <x:c r="J20"/>
    </x:row>
    <x:row r="21">
      <x:c r="A21" t="str">
        <x:v>HY-A52EAE418881</x:v>
      </x:c>
      <x:c r="B21"/>
      <x:c r="C21" t="str">
        <x:v>Visão Simples</x:v>
      </x:c>
      <x:c r="D21"/>
      <x:c r="E21" t="str">
        <x:v>Hoyalux Balansis</x:v>
      </x:c>
      <x:c r="F21" t="str">
        <x:v>Sunbird</x:v>
      </x:c>
      <x:c r="G21" t="str">
        <x:v>PNX</x:v>
      </x:c>
      <x:c r="H21"/>
      <x:c r="I21" t="str">
        <x:v>LayR Balance</x:v>
      </x:c>
      <x:c r="J21"/>
    </x:row>
    <x:row r="22">
      <x:c r="A22" t="str">
        <x:v>HY-8361FD09E4B6</x:v>
      </x:c>
      <x:c r="B22"/>
      <x:c r="C22" t="str">
        <x:v>Visão Simples Digital</x:v>
      </x:c>
      <x:c r="D22"/>
      <x:c r="E22" t="str">
        <x:v>Hoyalux Daynamic</x:v>
      </x:c>
      <x:c r="F22"/>
      <x:c r="G22" t="str">
        <x:v>Poli</x:v>
      </x:c>
      <x:c r="H22"/>
      <x:c r="I22" t="str">
        <x:v>LayR X-tra Clean</x:v>
      </x:c>
      <x:c r="J22"/>
    </x:row>
    <x:row r="23">
      <x:c r="A23" t="str">
        <x:v>HY-1352CD65917E</x:v>
      </x:c>
      <x:c r="B23"/>
      <x:c r="C23" t="str">
        <x:v>Visão Simples Especial</x:v>
      </x:c>
      <x:c r="D23"/>
      <x:c r="E23" t="str">
        <x:v>Hoyalux EnRoute</x:v>
      </x:c>
      <x:c r="F23"/>
      <x:c r="G23" t="str">
        <x:v>POLI</x:v>
      </x:c>
      <x:c r="H23"/>
      <x:c r="I23" t="str">
        <x:v>Light Mirror</x:v>
      </x:c>
      <x:c r="J23"/>
    </x:row>
    <x:row r="24">
      <x:c r="A24" t="str">
        <x:v>HY-72877F8748FF</x:v>
      </x:c>
      <x:c r="B24"/>
      <x:c r="C24" t="str">
        <x:v>Visão Simples Jovem</x:v>
      </x:c>
      <x:c r="D24"/>
      <x:c r="E24" t="str">
        <x:v>Hoyalux iD LifeStyle 4</x:v>
      </x:c>
      <x:c r="F24"/>
      <x:c r="G24"/>
      <x:c r="H24"/>
      <x:c r="I24" t="str">
        <x:v>No-Risk BlueControl</x:v>
      </x:c>
      <x:c r="J24"/>
    </x:row>
    <x:row r="25">
      <x:c r="A25" t="str">
        <x:v>HY-BB883D9FD7EA</x:v>
      </x:c>
      <x:c r="B25"/>
      <x:c r="C25"/>
      <x:c r="D25"/>
      <x:c r="E25" t="str">
        <x:v>Hoyalux iD LifeStyle 4i</x:v>
      </x:c>
      <x:c r="F25"/>
      <x:c r="G25"/>
      <x:c r="H25"/>
      <x:c r="I25" t="str">
        <x:v>Padrão</x:v>
      </x:c>
      <x:c r="J25"/>
    </x:row>
    <x:row r="26">
      <x:c r="A26" t="str">
        <x:v>HY-8167C2D63F1B</x:v>
      </x:c>
      <x:c r="B26"/>
      <x:c r="C26"/>
      <x:c r="D26"/>
      <x:c r="E26" t="str">
        <x:v>Hoyalux iD MySelf</x:v>
      </x:c>
      <x:c r="F26"/>
      <x:c r="G26"/>
      <x:c r="H26"/>
      <x:c r="I26" t="str">
        <x:v>Pentax Blue</x:v>
      </x:c>
      <x:c r="J26"/>
    </x:row>
    <x:row r="27">
      <x:c r="A27" t="str">
        <x:v>HY-D3ACAA74FE62</x:v>
      </x:c>
      <x:c r="B27"/>
      <x:c r="C27"/>
      <x:c r="D27"/>
      <x:c r="E27" t="str">
        <x:v>Hoyalux iD MyStyle V+</x:v>
      </x:c>
      <x:c r="F27"/>
      <x:c r="G27"/>
      <x:c r="H27"/>
      <x:c r="I27" t="str">
        <x:v>Pentax Photo Grey</x:v>
      </x:c>
      <x:c r="J27"/>
    </x:row>
    <x:row r="28">
      <x:c r="A28" t="str">
        <x:v>HY-A551C2327900</x:v>
      </x:c>
      <x:c r="B28"/>
      <x:c r="C28"/>
      <x:c r="D28"/>
      <x:c r="E28" t="str">
        <x:v>Hoyalux iD WorkStyle 3</x:v>
      </x:c>
      <x:c r="F28"/>
      <x:c r="G28"/>
      <x:c r="H28"/>
      <x:c r="I28" t="str">
        <x:v>ROAD</x:v>
      </x:c>
      <x:c r="J28"/>
    </x:row>
    <x:row r="29">
      <x:c r="A29" t="str">
        <x:v>HY-D9FC250B6153</x:v>
      </x:c>
      <x:c r="B29"/>
      <x:c r="C29"/>
      <x:c r="D29"/>
      <x:c r="E29" t="str">
        <x:v>Hoyalux Sportive</x:v>
      </x:c>
      <x:c r="F29"/>
      <x:c r="G29"/>
      <x:c r="H29"/>
      <x:c r="I29" t="str">
        <x:v>Sem AR</x:v>
      </x:c>
      <x:c r="J29"/>
    </x:row>
    <x:row r="30">
      <x:c r="A30" t="str">
        <x:v>HY-A30A2367B56C</x:v>
      </x:c>
      <x:c r="B30"/>
      <x:c r="C30"/>
      <x:c r="D30"/>
      <x:c r="E30" t="str">
        <x:v>Hoyalux WorkSmart Room</x:v>
      </x:c>
      <x:c r="F30"/>
      <x:c r="G30"/>
      <x:c r="H30"/>
      <x:c r="I30" t="str">
        <x:v>Solitaire 2 Protect</x:v>
      </x:c>
      <x:c r="J30"/>
    </x:row>
    <x:row r="31">
      <x:c r="A31" t="str">
        <x:v>HY-9B9E249A582B</x:v>
      </x:c>
      <x:c r="B31"/>
      <x:c r="C31"/>
      <x:c r="D31"/>
      <x:c r="E31" t="str">
        <x:v>Impression B.I.G. NORM</x:v>
      </x:c>
      <x:c r="F31"/>
      <x:c r="G31"/>
      <x:c r="H31"/>
      <x:c r="I31" t="str">
        <x:v>Solitaire 2 Protect Balance</x:v>
      </x:c>
      <x:c r="J31"/>
    </x:row>
    <x:row r="32">
      <x:c r="A32" t="str">
        <x:v>HY-951429034C3A</x:v>
      </x:c>
      <x:c r="B32"/>
      <x:c r="C32"/>
      <x:c r="D32"/>
      <x:c r="E32" t="str">
        <x:v>Impression Ergo B.I.G. NORM</x:v>
      </x:c>
      <x:c r="F32"/>
      <x:c r="G32"/>
      <x:c r="H32"/>
      <x:c r="I32" t="str">
        <x:v>Solitaire 2 Protect Plus</x:v>
      </x:c>
      <x:c r="J32"/>
    </x:row>
    <x:row r="33">
      <x:c r="A33" t="str">
        <x:v>HY-22BE9469D16B</x:v>
      </x:c>
      <x:c r="B33"/>
      <x:c r="C33"/>
      <x:c r="D33"/>
      <x:c r="E33" t="str">
        <x:v>Impression EyeLT 2</x:v>
      </x:c>
      <x:c r="F33"/>
      <x:c r="G33"/>
      <x:c r="H33"/>
      <x:c r="I33" t="str">
        <x:v>Solitaire ECO 2</x:v>
      </x:c>
      <x:c r="J33"/>
    </x:row>
    <x:row r="34">
      <x:c r="A34" t="str">
        <x:v>HY-68DC5C1332C2</x:v>
      </x:c>
      <x:c r="B34"/>
      <x:c r="C34"/>
      <x:c r="D34"/>
      <x:c r="E34" t="str">
        <x:v>Impression Mono Plus B.I.G. NORM</x:v>
      </x:c>
      <x:c r="F34"/>
      <x:c r="G34"/>
      <x:c r="H34"/>
      <x:c r="I34" t="str">
        <x:v>Solitaire Protect</x:v>
      </x:c>
      <x:c r="J34"/>
    </x:row>
    <x:row r="35">
      <x:c r="A35" t="str">
        <x:v>HY-9D9DF9DB45CA</x:v>
      </x:c>
      <x:c r="B35"/>
      <x:c r="C35"/>
      <x:c r="D35"/>
      <x:c r="E35" t="str">
        <x:v>Impression Monofocais B.I.G. NORM</x:v>
      </x:c>
      <x:c r="F35"/>
      <x:c r="G35"/>
      <x:c r="H35"/>
      <x:c r="I35" t="str">
        <x:v>Solitaire Protect Plus</x:v>
      </x:c>
      <x:c r="J35"/>
    </x:row>
    <x:row r="36">
      <x:c r="A36" t="str">
        <x:v>HY-52D936C9EC30</x:v>
      </x:c>
      <x:c r="B36"/>
      <x:c r="C36"/>
      <x:c r="D36"/>
      <x:c r="E36" t="str">
        <x:v>Individual DriveSafe</x:v>
      </x:c>
      <x:c r="F36"/>
      <x:c r="G36"/>
      <x:c r="H36"/>
      <x:c r="I36" t="str">
        <x:v>Solitaire X-tra Clean</x:v>
      </x:c>
      <x:c r="J36"/>
    </x:row>
    <x:row r="37">
      <x:c r="A37" t="str">
        <x:v>HY-E7C8028C1865</x:v>
      </x:c>
      <x:c r="B37"/>
      <x:c r="C37"/>
      <x:c r="D37"/>
      <x:c r="E37" t="str">
        <x:v>Individual Sport</x:v>
      </x:c>
      <x:c r="F37"/>
      <x:c r="G37"/>
      <x:c r="H37"/>
      <x:c r="I37"/>
      <x:c r="J37"/>
    </x:row>
    <x:row r="38">
      <x:c r="A38" t="str">
        <x:v>HY-0B23B5BB6FF0</x:v>
      </x:c>
      <x:c r="B38"/>
      <x:c r="C38"/>
      <x:c r="D38"/>
      <x:c r="E38" t="str">
        <x:v>Individual Sport Progressiva AdaptiveSun</x:v>
      </x:c>
      <x:c r="F38"/>
      <x:c r="G38"/>
      <x:c r="H38"/>
      <x:c r="I38"/>
      <x:c r="J38"/>
    </x:row>
    <x:row r="39">
      <x:c r="A39" t="str">
        <x:v>HY-F0D3433CE6FF</x:v>
      </x:c>
      <x:c r="B39"/>
      <x:c r="C39"/>
      <x:c r="D39"/>
      <x:c r="E39" t="str">
        <x:v>Individual Sport Visão Simples AdaptiveSun</x:v>
      </x:c>
      <x:c r="F39"/>
      <x:c r="G39"/>
      <x:c r="H39"/>
      <x:c r="I39"/>
      <x:c r="J39"/>
    </x:row>
    <x:row r="40">
      <x:c r="A40" t="str">
        <x:v>HY-DA4BDFAD3A6A</x:v>
      </x:c>
      <x:c r="B40"/>
      <x:c r="C40"/>
      <x:c r="D40"/>
      <x:c r="E40" t="str">
        <x:v>Light 2</x:v>
      </x:c>
      <x:c r="F40"/>
      <x:c r="G40"/>
      <x:c r="H40"/>
      <x:c r="I40"/>
      <x:c r="J40"/>
    </x:row>
    <x:row r="41">
      <x:c r="A41" t="str">
        <x:v>HY-C01D0826B42B</x:v>
      </x:c>
      <x:c r="B41"/>
      <x:c r="C41"/>
      <x:c r="D41"/>
      <x:c r="E41" t="str">
        <x:v>Light 2 3D</x:v>
      </x:c>
      <x:c r="F41"/>
      <x:c r="G41"/>
      <x:c r="H41"/>
      <x:c r="I41"/>
      <x:c r="J41"/>
    </x:row>
    <x:row r="42">
      <x:c r="A42" t="str">
        <x:v>HY-60F03D7487C0</x:v>
      </x:c>
      <x:c r="B42"/>
      <x:c r="C42"/>
      <x:c r="D42"/>
      <x:c r="E42" t="str">
        <x:v>Light 2 3Dv</x:v>
      </x:c>
      <x:c r="F42"/>
      <x:c r="G42"/>
      <x:c r="H42"/>
      <x:c r="I42"/>
      <x:c r="J42"/>
    </x:row>
    <x:row r="43">
      <x:c r="A43" t="str">
        <x:v>HY-2EE50E26A147</x:v>
      </x:c>
      <x:c r="B43"/>
      <x:c r="C43"/>
      <x:c r="D43"/>
      <x:c r="E43" t="str">
        <x:v>Light 2 D</x:v>
      </x:c>
      <x:c r="F43"/>
      <x:c r="G43"/>
      <x:c r="H43"/>
      <x:c r="I43"/>
      <x:c r="J43"/>
    </x:row>
    <x:row r="44">
      <x:c r="A44" t="str">
        <x:v>HY-8597CED7AE34</x:v>
      </x:c>
      <x:c r="B44"/>
      <x:c r="C44"/>
      <x:c r="D44"/>
      <x:c r="E44" t="str">
        <x:v>MiYOSMART</x:v>
      </x:c>
      <x:c r="F44"/>
      <x:c r="G44"/>
      <x:c r="H44"/>
      <x:c r="I44"/>
      <x:c r="J44"/>
    </x:row>
    <x:row r="45">
      <x:c r="A45" t="str">
        <x:v>HY-09A29B2D7032</x:v>
      </x:c>
      <x:c r="B45"/>
      <x:c r="C45"/>
      <x:c r="D45"/>
      <x:c r="E45" t="str">
        <x:v>Multigressiv B.I.G. NORM</x:v>
      </x:c>
      <x:c r="F45"/>
      <x:c r="G45"/>
      <x:c r="H45"/>
      <x:c r="I45"/>
      <x:c r="J45"/>
    </x:row>
    <x:row r="46">
      <x:c r="A46" t="str">
        <x:v>HY-C6EC803D6E46</x:v>
      </x:c>
      <x:c r="B46"/>
      <x:c r="C46"/>
      <x:c r="D46"/>
      <x:c r="E46" t="str">
        <x:v>Multigressiv Ergo B.I.G. NORM</x:v>
      </x:c>
      <x:c r="F46"/>
      <x:c r="G46"/>
      <x:c r="H46"/>
      <x:c r="I46"/>
      <x:c r="J46"/>
    </x:row>
    <x:row r="47">
      <x:c r="A47" t="str">
        <x:v>HY-6314A168864B</x:v>
      </x:c>
      <x:c r="B47"/>
      <x:c r="C47"/>
      <x:c r="D47"/>
      <x:c r="E47" t="str">
        <x:v>Multigressiv Mono Plus B.I.G. NORM</x:v>
      </x:c>
      <x:c r="F47"/>
      <x:c r="G47"/>
      <x:c r="H47"/>
      <x:c r="I47"/>
      <x:c r="J47"/>
    </x:row>
    <x:row r="48">
      <x:c r="A48" t="str">
        <x:v>HY-37D807599C4F</x:v>
      </x:c>
      <x:c r="B48"/>
      <x:c r="C48"/>
      <x:c r="D48"/>
      <x:c r="E48" t="str">
        <x:v>Multigressiv Monofocais B.I.G. NORM</x:v>
      </x:c>
      <x:c r="F48"/>
      <x:c r="G48"/>
      <x:c r="H48"/>
      <x:c r="I48"/>
      <x:c r="J48"/>
    </x:row>
    <x:row r="49">
      <x:c r="A49" t="str">
        <x:v>HY-4740A10D9B30</x:v>
      </x:c>
      <x:c r="B49"/>
      <x:c r="C49"/>
      <x:c r="D49"/>
      <x:c r="E49" t="str">
        <x:v>Multigressiv MyView 2</x:v>
      </x:c>
      <x:c r="F49"/>
      <x:c r="G49"/>
      <x:c r="H49"/>
      <x:c r="I49"/>
      <x:c r="J49"/>
    </x:row>
    <x:row r="50">
      <x:c r="A50" t="str">
        <x:v>HY-29FA67945225</x:v>
      </x:c>
      <x:c r="B50"/>
      <x:c r="C50"/>
      <x:c r="D50"/>
      <x:c r="E50" t="str">
        <x:v>MyoCare</x:v>
      </x:c>
      <x:c r="F50"/>
      <x:c r="G50"/>
      <x:c r="H50"/>
      <x:c r="I50"/>
      <x:c r="J50"/>
    </x:row>
    <x:row r="51">
      <x:c r="A51" t="str">
        <x:v>HY-71DCA2020CCE</x:v>
      </x:c>
      <x:c r="B51"/>
      <x:c r="C51"/>
      <x:c r="D51"/>
      <x:c r="E51" t="str">
        <x:v>MyoCare Pronta</x:v>
      </x:c>
      <x:c r="F51"/>
      <x:c r="G51"/>
      <x:c r="H51"/>
      <x:c r="I51"/>
      <x:c r="J51"/>
    </x:row>
    <x:row r="52">
      <x:c r="A52" t="str">
        <x:v>HY-372DA71A6A62</x:v>
      </x:c>
      <x:c r="B52"/>
      <x:c r="C52"/>
      <x:c r="D52"/>
      <x:c r="E52" t="str">
        <x:v>MyoCare S</x:v>
      </x:c>
      <x:c r="F52"/>
      <x:c r="G52"/>
      <x:c r="H52"/>
      <x:c r="I52"/>
      <x:c r="J52"/>
    </x:row>
    <x:row r="53">
      <x:c r="A53" t="str">
        <x:v>HY-BEBB6CE66041</x:v>
      </x:c>
      <x:c r="B53"/>
      <x:c r="C53"/>
      <x:c r="D53"/>
      <x:c r="E53" t="str">
        <x:v>Netline Mono E</x:v>
      </x:c>
      <x:c r="F53"/>
      <x:c r="G53"/>
      <x:c r="H53"/>
      <x:c r="I53"/>
      <x:c r="J53"/>
    </x:row>
    <x:row r="54">
      <x:c r="A54" t="str">
        <x:v>HY-2D2B0E6EE983</x:v>
      </x:c>
      <x:c r="B54"/>
      <x:c r="C54"/>
      <x:c r="D54"/>
      <x:c r="E54" t="str">
        <x:v>Nulux</x:v>
      </x:c>
      <x:c r="F54"/>
      <x:c r="G54"/>
      <x:c r="H54"/>
      <x:c r="I54"/>
      <x:c r="J54"/>
    </x:row>
    <x:row r="55">
      <x:c r="A55" t="str">
        <x:v>HY-5511C93B23CB</x:v>
      </x:c>
      <x:c r="B55"/>
      <x:c r="C55"/>
      <x:c r="D55"/>
      <x:c r="E55" t="str">
        <x:v>Nulux iDentity V+</x:v>
      </x:c>
      <x:c r="F55"/>
      <x:c r="G55"/>
      <x:c r="H55"/>
      <x:c r="I55"/>
      <x:c r="J55"/>
    </x:row>
    <x:row r="56">
      <x:c r="A56" t="str">
        <x:v>HY-8E7C2A7ED7BE</x:v>
      </x:c>
      <x:c r="B56"/>
      <x:c r="C56"/>
      <x:c r="D56"/>
      <x:c r="E56" t="str">
        <x:v>Nulux Sportive</x:v>
      </x:c>
      <x:c r="F56"/>
      <x:c r="G56"/>
      <x:c r="H56"/>
      <x:c r="I56"/>
      <x:c r="J56"/>
    </x:row>
    <x:row r="57">
      <x:c r="A57" t="str">
        <x:v>HY-2D93EDCB58AD</x:v>
      </x:c>
      <x:c r="B57"/>
      <x:c r="C57"/>
      <x:c r="D57"/>
      <x:c r="E57" t="str">
        <x:v>Nulux TrueForm</x:v>
      </x:c>
      <x:c r="F57"/>
      <x:c r="G57"/>
      <x:c r="H57"/>
      <x:c r="I57"/>
      <x:c r="J57"/>
    </x:row>
    <x:row r="58">
      <x:c r="A58" t="str">
        <x:v>HY-994FF6116814</x:v>
      </x:c>
      <x:c r="B58"/>
      <x:c r="C58"/>
      <x:c r="D58"/>
      <x:c r="E58" t="str">
        <x:v>OfficeLens Individual</x:v>
      </x:c>
      <x:c r="F58"/>
      <x:c r="G58"/>
      <x:c r="H58"/>
      <x:c r="I58"/>
      <x:c r="J58"/>
    </x:row>
    <x:row r="59">
      <x:c r="A59" t="str">
        <x:v>HY-D84BF6C21DD2</x:v>
      </x:c>
      <x:c r="B59"/>
      <x:c r="C59"/>
      <x:c r="D59"/>
      <x:c r="E59" t="str">
        <x:v>OfficeLens Superb Room/Near</x:v>
      </x:c>
      <x:c r="F59"/>
      <x:c r="G59"/>
      <x:c r="H59"/>
      <x:c r="I59"/>
      <x:c r="J59"/>
    </x:row>
    <x:row r="60">
      <x:c r="A60" t="str">
        <x:v>HY-342166FB604E</x:v>
      </x:c>
      <x:c r="B60"/>
      <x:c r="C60"/>
      <x:c r="D60"/>
      <x:c r="E60" t="str">
        <x:v>Pentax Blue</x:v>
      </x:c>
      <x:c r="F60"/>
      <x:c r="G60"/>
      <x:c r="H60"/>
      <x:c r="I60"/>
      <x:c r="J60"/>
    </x:row>
    <x:row r="61">
      <x:c r="A61" t="str">
        <x:v>HY-013F740A8725</x:v>
      </x:c>
      <x:c r="B61"/>
      <x:c r="C61"/>
      <x:c r="D61"/>
      <x:c r="E61" t="str">
        <x:v>Pentax Photo Grey</x:v>
      </x:c>
      <x:c r="F61"/>
      <x:c r="G61"/>
      <x:c r="H61"/>
      <x:c r="I61"/>
      <x:c r="J61"/>
    </x:row>
    <x:row r="62">
      <x:c r="A62" t="str">
        <x:v>HY-C543FD31A418</x:v>
      </x:c>
      <x:c r="B62"/>
      <x:c r="C62"/>
      <x:c r="D62"/>
      <x:c r="E62" t="str">
        <x:v>Perfalit</x:v>
      </x:c>
      <x:c r="F62"/>
      <x:c r="G62"/>
      <x:c r="H62"/>
      <x:c r="I62"/>
      <x:c r="J62"/>
    </x:row>
    <x:row r="63">
      <x:c r="A63" t="str">
        <x:v>HY-B73E628C0F84</x:v>
      </x:c>
      <x:c r="B63"/>
      <x:c r="C63"/>
      <x:c r="D63"/>
      <x:c r="E63" t="str">
        <x:v>Progressiv B.I.G. NORM</x:v>
      </x:c>
      <x:c r="F63"/>
      <x:c r="G63"/>
      <x:c r="H63"/>
      <x:c r="I63"/>
      <x:c r="J63"/>
    </x:row>
    <x:row r="64">
      <x:c r="A64" t="str">
        <x:v>HY-5EF1EC205B4F</x:v>
      </x:c>
      <x:c r="B64"/>
      <x:c r="C64"/>
      <x:c r="D64"/>
      <x:c r="E64" t="str">
        <x:v>Progressiv E</x:v>
      </x:c>
      <x:c r="F64"/>
      <x:c r="G64"/>
      <x:c r="H64"/>
      <x:c r="I64"/>
      <x:c r="J64"/>
    </x:row>
    <x:row r="65">
      <x:c r="A65" t="str">
        <x:v>HY-F171ABBEAAB1</x:v>
      </x:c>
      <x:c r="B65"/>
      <x:c r="C65"/>
      <x:c r="D65"/>
      <x:c r="E65" t="str">
        <x:v>Progressiv E.Max</x:v>
      </x:c>
      <x:c r="F65"/>
      <x:c r="G65"/>
      <x:c r="H65"/>
      <x:c r="I65"/>
      <x:c r="J65"/>
    </x:row>
    <x:row r="66">
      <x:c r="A66" t="str">
        <x:v>HY-96C5C5B4AB5D</x:v>
      </x:c>
      <x:c r="B66"/>
      <x:c r="C66"/>
      <x:c r="D66"/>
      <x:c r="E66" t="str">
        <x:v>Progressiv E.Pro</x:v>
      </x:c>
      <x:c r="F66"/>
      <x:c r="G66"/>
      <x:c r="H66"/>
      <x:c r="I66"/>
      <x:c r="J66"/>
    </x:row>
    <x:row r="67">
      <x:c r="A67" t="str">
        <x:v>HY-2782FFAFEEEE</x:v>
      </x:c>
      <x:c r="B67"/>
      <x:c r="C67"/>
      <x:c r="D67"/>
      <x:c r="E67" t="str">
        <x:v>Progressiv Ergo B.I.G. NORM</x:v>
      </x:c>
      <x:c r="F67"/>
      <x:c r="G67"/>
      <x:c r="H67"/>
      <x:c r="I67"/>
      <x:c r="J67"/>
    </x:row>
    <x:row r="68">
      <x:c r="A68" t="str">
        <x:v>HY-24293285E9BC</x:v>
      </x:c>
      <x:c r="B68"/>
      <x:c r="C68"/>
      <x:c r="D68"/>
      <x:c r="E68" t="str">
        <x:v>Progressiv Life</x:v>
      </x:c>
      <x:c r="F68"/>
      <x:c r="G68"/>
      <x:c r="H68"/>
      <x:c r="I68"/>
      <x:c r="J68"/>
    </x:row>
    <x:row r="69">
      <x:c r="A69" t="str">
        <x:v>HY-A63B61A40E43</x:v>
      </x:c>
      <x:c r="B69"/>
      <x:c r="C69"/>
      <x:c r="D69"/>
      <x:c r="E69" t="str">
        <x:v>Progressiv Life 3D</x:v>
      </x:c>
      <x:c r="F69"/>
      <x:c r="G69"/>
      <x:c r="H69"/>
      <x:c r="I69"/>
      <x:c r="J69"/>
    </x:row>
    <x:row r="70">
      <x:c r="A70" t="str">
        <x:v>HY-610EC71297E2</x:v>
      </x:c>
      <x:c r="B70"/>
      <x:c r="C70"/>
      <x:c r="D70"/>
      <x:c r="E70" t="str">
        <x:v>Progressiv Si Digital</x:v>
      </x:c>
      <x:c r="F70"/>
      <x:c r="G70"/>
      <x:c r="H70"/>
      <x:c r="I70"/>
      <x:c r="J70"/>
    </x:row>
    <x:row r="71">
      <x:c r="A71" t="str">
        <x:v>HY-99C0D2EE9D8A</x:v>
      </x:c>
      <x:c r="B71"/>
      <x:c r="C71"/>
      <x:c r="D71"/>
      <x:c r="E71" t="str">
        <x:v>Rodenstock MyCon</x:v>
      </x:c>
      <x:c r="F71"/>
      <x:c r="G71"/>
      <x:c r="H71"/>
      <x:c r="I71"/>
      <x:c r="J71"/>
    </x:row>
    <x:row r="72">
      <x:c r="A72" t="str">
        <x:v>HY-BCDBF8DB9D16</x:v>
      </x:c>
      <x:c r="B72"/>
      <x:c r="C72"/>
      <x:c r="D72"/>
      <x:c r="E72" t="str">
        <x:v>Rodenstock MyCon 2</x:v>
      </x:c>
      <x:c r="F72"/>
      <x:c r="G72"/>
      <x:c r="H72"/>
      <x:c r="I72"/>
      <x:c r="J72"/>
    </x:row>
    <x:row r="73">
      <x:c r="A73" t="str">
        <x:v>HY-C3C70D60BB85</x:v>
      </x:c>
      <x:c r="B73"/>
      <x:c r="C73"/>
      <x:c r="D73"/>
      <x:c r="E73" t="str">
        <x:v>Smart Bifo</x:v>
      </x:c>
      <x:c r="F73"/>
      <x:c r="G73"/>
      <x:c r="H73"/>
      <x:c r="I73"/>
      <x:c r="J73"/>
    </x:row>
    <x:row r="74">
      <x:c r="A74" t="str">
        <x:v>HY-D761BEB8BEB2</x:v>
      </x:c>
      <x:c r="B74"/>
      <x:c r="C74"/>
      <x:c r="D74"/>
      <x:c r="E74" t="str">
        <x:v>SmartLife</x:v>
      </x:c>
      <x:c r="F74"/>
      <x:c r="G74"/>
      <x:c r="H74"/>
      <x:c r="I74"/>
      <x:c r="J74"/>
    </x:row>
    <x:row r="75">
      <x:c r="A75" t="str">
        <x:v>HY-E3112E425769</x:v>
      </x:c>
      <x:c r="B75"/>
      <x:c r="C75"/>
      <x:c r="D75"/>
      <x:c r="E75" t="str">
        <x:v>SmartLife Digital Individual 3</x:v>
      </x:c>
      <x:c r="F75"/>
      <x:c r="G75"/>
      <x:c r="H75"/>
      <x:c r="I75"/>
      <x:c r="J75"/>
    </x:row>
    <x:row r="76">
      <x:c r="A76" t="str">
        <x:v>HY-EFC5306EB71D</x:v>
      </x:c>
      <x:c r="B76"/>
      <x:c r="C76"/>
      <x:c r="D76"/>
      <x:c r="E76" t="str">
        <x:v>SmartLife Essential</x:v>
      </x:c>
      <x:c r="F76"/>
      <x:c r="G76"/>
      <x:c r="H76"/>
      <x:c r="I76"/>
      <x:c r="J76"/>
    </x:row>
    <x:row r="77">
      <x:c r="A77" t="str">
        <x:v>HY-6D62E1E5847C</x:v>
      </x:c>
      <x:c r="B77"/>
      <x:c r="C77"/>
      <x:c r="D77"/>
      <x:c r="E77" t="str">
        <x:v>SmartLife Individual 3</x:v>
      </x:c>
      <x:c r="F77"/>
      <x:c r="G77"/>
      <x:c r="H77"/>
      <x:c r="I77"/>
      <x:c r="J77"/>
    </x:row>
    <x:row r="78">
      <x:c r="A78" t="str">
        <x:v>HY-D9960925CDB4</x:v>
      </x:c>
      <x:c r="B78"/>
      <x:c r="C78"/>
      <x:c r="D78"/>
      <x:c r="E78" t="str">
        <x:v>SmartLife Individual AdaptiveSun</x:v>
      </x:c>
      <x:c r="F78"/>
      <x:c r="G78"/>
      <x:c r="H78"/>
      <x:c r="I78"/>
      <x:c r="J78"/>
    </x:row>
    <x:row r="79">
      <x:c r="A79" t="str">
        <x:v>HY-02CFB38F93C1</x:v>
      </x:c>
      <x:c r="B79"/>
      <x:c r="C79"/>
      <x:c r="D79"/>
      <x:c r="E79" t="str">
        <x:v>SmartLife Plus</x:v>
      </x:c>
      <x:c r="F79"/>
      <x:c r="G79"/>
      <x:c r="H79"/>
      <x:c r="I79"/>
      <x:c r="J79"/>
    </x:row>
    <x:row r="80">
      <x:c r="A80" t="str">
        <x:v>HY-E53B240580B6</x:v>
      </x:c>
      <x:c r="B80"/>
      <x:c r="C80"/>
      <x:c r="D80"/>
      <x:c r="E80" t="str">
        <x:v>SmartLife Plus AdaptiveSun</x:v>
      </x:c>
      <x:c r="F80"/>
      <x:c r="G80"/>
      <x:c r="H80"/>
      <x:c r="I80"/>
      <x:c r="J80"/>
    </x:row>
    <x:row r="81">
      <x:c r="A81" t="str">
        <x:v>HY-B5006109A8F7</x:v>
      </x:c>
      <x:c r="B81"/>
      <x:c r="C81"/>
      <x:c r="D81"/>
      <x:c r="E81" t="str">
        <x:v>SmartLife Pure</x:v>
      </x:c>
      <x:c r="F81"/>
      <x:c r="G81"/>
      <x:c r="H81"/>
      <x:c r="I81"/>
      <x:c r="J81"/>
    </x:row>
    <x:row r="82">
      <x:c r="A82" t="str">
        <x:v>HY-34C350A7F42A</x:v>
      </x:c>
      <x:c r="B82"/>
      <x:c r="C82"/>
      <x:c r="D82"/>
      <x:c r="E82" t="str">
        <x:v>SmartLife Pure AdaptiveSun</x:v>
      </x:c>
      <x:c r="F82"/>
      <x:c r="G82"/>
      <x:c r="H82"/>
      <x:c r="I82"/>
      <x:c r="J82"/>
    </x:row>
    <x:row r="83">
      <x:c r="A83" t="str">
        <x:v>HY-C47AB8999993</x:v>
      </x:c>
      <x:c r="B83"/>
      <x:c r="C83"/>
      <x:c r="D83"/>
      <x:c r="E83" t="str">
        <x:v>SmartLife Superb</x:v>
      </x:c>
      <x:c r="F83"/>
      <x:c r="G83"/>
      <x:c r="H83"/>
      <x:c r="I83"/>
      <x:c r="J83"/>
    </x:row>
    <x:row r="84">
      <x:c r="A84" t="str">
        <x:v>HY-6FA2C8D693FB</x:v>
      </x:c>
      <x:c r="B84"/>
      <x:c r="C84"/>
      <x:c r="D84"/>
      <x:c r="E84" t="str">
        <x:v>SmartLife Superb AdaptiveSun</x:v>
      </x:c>
      <x:c r="F84"/>
      <x:c r="G84"/>
      <x:c r="H84"/>
      <x:c r="I84"/>
      <x:c r="J84"/>
    </x:row>
    <x:row r="85">
      <x:c r="A85" t="str">
        <x:v>HY-C92D908ECF4A</x:v>
      </x:c>
      <x:c r="B85"/>
      <x:c r="C85"/>
      <x:c r="D85"/>
      <x:c r="E85" t="str">
        <x:v>SmartLife Visão Simples AdaptiveSun</x:v>
      </x:c>
      <x:c r="F85"/>
      <x:c r="G85"/>
      <x:c r="H85"/>
      <x:c r="I85"/>
      <x:c r="J85"/>
    </x:row>
    <x:row r="86">
      <x:c r="A86" t="str">
        <x:v>HY-294C1D32E2B2</x:v>
      </x:c>
      <x:c r="B86"/>
      <x:c r="C86"/>
      <x:c r="D86"/>
      <x:c r="E86" t="str">
        <x:v>SmartLife Visão Simples Individual AdaptiveSun</x:v>
      </x:c>
      <x:c r="F86"/>
      <x:c r="G86"/>
      <x:c r="H86"/>
      <x:c r="I86"/>
      <x:c r="J86"/>
    </x:row>
    <x:row r="87">
      <x:c r="A87" t="str">
        <x:v>HY-EC1BFA9C0556</x:v>
      </x:c>
      <x:c r="B87"/>
      <x:c r="C87"/>
      <x:c r="D87"/>
      <x:c r="E87" t="str">
        <x:v>SmartLife Young</x:v>
      </x:c>
      <x:c r="F87"/>
      <x:c r="G87"/>
      <x:c r="H87"/>
      <x:c r="I87"/>
      <x:c r="J87"/>
    </x:row>
    <x:row r="88">
      <x:c r="A88" t="str">
        <x:v>HY-B1F812E676A5</x:v>
      </x:c>
      <x:c r="B88"/>
      <x:c r="C88"/>
      <x:c r="D88"/>
      <x:c r="E88" t="str">
        <x:v>Sport</x:v>
      </x:c>
      <x:c r="F88"/>
      <x:c r="G88"/>
      <x:c r="H88"/>
      <x:c r="I88"/>
      <x:c r="J88"/>
    </x:row>
    <x:row r="89">
      <x:c r="A89" t="str">
        <x:v>HY-4C4FC71F27E0</x:v>
      </x:c>
      <x:c r="B89"/>
      <x:c r="C89"/>
      <x:c r="D89"/>
      <x:c r="E89"/>
      <x:c r="F89"/>
      <x:c r="G89"/>
      <x:c r="H89"/>
      <x:c r="I89"/>
      <x:c r="J89"/>
    </x:row>
    <x:row r="90">
      <x:c r="A90" t="str">
        <x:v>HY-B5CE6F871E9C</x:v>
      </x:c>
      <x:c r="B90"/>
      <x:c r="C90"/>
      <x:c r="D90"/>
      <x:c r="E90"/>
      <x:c r="F90"/>
      <x:c r="G90"/>
      <x:c r="H90"/>
      <x:c r="I90"/>
      <x:c r="J90"/>
    </x:row>
    <x:row r="91">
      <x:c r="A91" t="str">
        <x:v>HY-61306230377B</x:v>
      </x:c>
      <x:c r="B91"/>
      <x:c r="C91"/>
      <x:c r="D91"/>
      <x:c r="E91"/>
      <x:c r="F91"/>
      <x:c r="G91"/>
      <x:c r="H91"/>
      <x:c r="I91"/>
      <x:c r="J91"/>
    </x:row>
    <x:row r="92">
      <x:c r="A92" t="str">
        <x:v>HY-42FB0AD1A55F</x:v>
      </x:c>
      <x:c r="B92"/>
      <x:c r="C92"/>
      <x:c r="D92"/>
      <x:c r="E92"/>
      <x:c r="F92"/>
      <x:c r="G92"/>
      <x:c r="H92"/>
      <x:c r="I92"/>
      <x:c r="J92"/>
    </x:row>
    <x:row r="93">
      <x:c r="A93" t="str">
        <x:v>HY-8DF7FF6AF816</x:v>
      </x:c>
      <x:c r="B93"/>
      <x:c r="C93"/>
      <x:c r="D93"/>
      <x:c r="E93"/>
      <x:c r="F93"/>
      <x:c r="G93"/>
      <x:c r="H93"/>
      <x:c r="I93"/>
      <x:c r="J93"/>
    </x:row>
    <x:row r="94">
      <x:c r="A94" t="str">
        <x:v>HY-15E399460B86</x:v>
      </x:c>
      <x:c r="B94"/>
      <x:c r="C94"/>
      <x:c r="D94"/>
      <x:c r="E94"/>
      <x:c r="F94"/>
      <x:c r="G94"/>
      <x:c r="H94"/>
      <x:c r="I94"/>
      <x:c r="J94"/>
    </x:row>
    <x:row r="95">
      <x:c r="A95" t="str">
        <x:v>HY-03579A830B77</x:v>
      </x:c>
      <x:c r="B95"/>
      <x:c r="C95"/>
      <x:c r="D95"/>
      <x:c r="E95"/>
      <x:c r="F95"/>
      <x:c r="G95"/>
      <x:c r="H95"/>
      <x:c r="I95"/>
      <x:c r="J95"/>
    </x:row>
    <x:row r="96">
      <x:c r="A96" t="str">
        <x:v>HY-5089DD0A742B</x:v>
      </x:c>
      <x:c r="B96"/>
      <x:c r="C96"/>
      <x:c r="D96"/>
      <x:c r="E96"/>
      <x:c r="F96"/>
      <x:c r="G96"/>
      <x:c r="H96"/>
      <x:c r="I96"/>
      <x:c r="J96"/>
    </x:row>
    <x:row r="97">
      <x:c r="A97" t="str">
        <x:v>HY-E50EA9D6B3C9</x:v>
      </x:c>
      <x:c r="B97"/>
      <x:c r="C97"/>
      <x:c r="D97"/>
      <x:c r="E97"/>
      <x:c r="F97"/>
      <x:c r="G97"/>
      <x:c r="H97"/>
      <x:c r="I97"/>
      <x:c r="J97"/>
    </x:row>
    <x:row r="98">
      <x:c r="A98" t="str">
        <x:v>HY-EC8B3F2C6C4B</x:v>
      </x:c>
      <x:c r="B98"/>
      <x:c r="C98"/>
      <x:c r="D98"/>
      <x:c r="E98"/>
      <x:c r="F98"/>
      <x:c r="G98"/>
      <x:c r="H98"/>
      <x:c r="I98"/>
      <x:c r="J98"/>
    </x:row>
    <x:row r="99">
      <x:c r="A99" t="str">
        <x:v>HY-FE69512AA580</x:v>
      </x:c>
      <x:c r="B99"/>
      <x:c r="C99"/>
      <x:c r="D99"/>
      <x:c r="E99"/>
      <x:c r="F99"/>
      <x:c r="G99"/>
      <x:c r="H99"/>
      <x:c r="I99"/>
      <x:c r="J99"/>
    </x:row>
    <x:row r="100">
      <x:c r="A100" t="str">
        <x:v>HY-A1F6557127D4</x:v>
      </x:c>
      <x:c r="B100"/>
      <x:c r="C100"/>
      <x:c r="D100"/>
      <x:c r="E100"/>
      <x:c r="F100"/>
      <x:c r="G100"/>
      <x:c r="H100"/>
      <x:c r="I100"/>
      <x:c r="J100"/>
    </x:row>
    <x:row r="101">
      <x:c r="A101" t="str">
        <x:v>HY-A5CCAAB26183</x:v>
      </x:c>
      <x:c r="B101"/>
      <x:c r="C101"/>
      <x:c r="D101"/>
      <x:c r="E101"/>
      <x:c r="F101"/>
      <x:c r="G101"/>
      <x:c r="H101"/>
      <x:c r="I101"/>
      <x:c r="J101"/>
    </x:row>
    <x:row r="102">
      <x:c r="A102" t="str">
        <x:v>HY-4115229838D1</x:v>
      </x:c>
      <x:c r="B102"/>
      <x:c r="C102"/>
      <x:c r="D102"/>
      <x:c r="E102"/>
      <x:c r="F102"/>
      <x:c r="G102"/>
      <x:c r="H102"/>
      <x:c r="I102"/>
      <x:c r="J102"/>
    </x:row>
    <x:row r="103">
      <x:c r="A103" t="str">
        <x:v>HY-6E9940BFB20A</x:v>
      </x:c>
      <x:c r="B103"/>
      <x:c r="C103"/>
      <x:c r="D103"/>
      <x:c r="E103"/>
      <x:c r="F103"/>
      <x:c r="G103"/>
      <x:c r="H103"/>
      <x:c r="I103"/>
      <x:c r="J103"/>
    </x:row>
    <x:row r="104">
      <x:c r="A104" t="str">
        <x:v>HY-BC359C45DB08</x:v>
      </x:c>
      <x:c r="B104"/>
      <x:c r="C104"/>
      <x:c r="D104"/>
      <x:c r="E104"/>
      <x:c r="F104"/>
      <x:c r="G104"/>
      <x:c r="H104"/>
      <x:c r="I104"/>
      <x:c r="J104"/>
    </x:row>
    <x:row r="105">
      <x:c r="A105" t="str">
        <x:v>HY-636D60561B42</x:v>
      </x:c>
      <x:c r="B105"/>
      <x:c r="C105"/>
      <x:c r="D105"/>
      <x:c r="E105"/>
      <x:c r="F105"/>
      <x:c r="G105"/>
      <x:c r="H105"/>
      <x:c r="I105"/>
      <x:c r="J105"/>
    </x:row>
    <x:row r="106">
      <x:c r="A106" t="str">
        <x:v>HY-EB21E6999D4C</x:v>
      </x:c>
      <x:c r="B106"/>
      <x:c r="C106"/>
      <x:c r="D106"/>
      <x:c r="E106"/>
      <x:c r="F106"/>
      <x:c r="G106"/>
      <x:c r="H106"/>
      <x:c r="I106"/>
      <x:c r="J106"/>
    </x:row>
    <x:row r="107">
      <x:c r="A107" t="str">
        <x:v>HY-270ECE18D7CA</x:v>
      </x:c>
      <x:c r="B107"/>
      <x:c r="C107"/>
      <x:c r="D107"/>
      <x:c r="E107"/>
      <x:c r="F107"/>
      <x:c r="G107"/>
      <x:c r="H107"/>
      <x:c r="I107"/>
      <x:c r="J107"/>
    </x:row>
    <x:row r="108">
      <x:c r="A108" t="str">
        <x:v>HY-1EA0850CDC5C</x:v>
      </x:c>
      <x:c r="B108"/>
      <x:c r="C108"/>
      <x:c r="D108"/>
      <x:c r="E108"/>
      <x:c r="F108"/>
      <x:c r="G108"/>
      <x:c r="H108"/>
      <x:c r="I108"/>
      <x:c r="J108"/>
    </x:row>
    <x:row r="109">
      <x:c r="A109" t="str">
        <x:v>HY-64E8085CB3C9</x:v>
      </x:c>
      <x:c r="B109"/>
      <x:c r="C109"/>
      <x:c r="D109"/>
      <x:c r="E109"/>
      <x:c r="F109"/>
      <x:c r="G109"/>
      <x:c r="H109"/>
      <x:c r="I109"/>
      <x:c r="J109"/>
    </x:row>
    <x:row r="110">
      <x:c r="A110" t="str">
        <x:v>HY-82F8729AC302</x:v>
      </x:c>
      <x:c r="B110"/>
      <x:c r="C110"/>
      <x:c r="D110"/>
      <x:c r="E110"/>
      <x:c r="F110"/>
      <x:c r="G110"/>
      <x:c r="H110"/>
      <x:c r="I110"/>
      <x:c r="J110"/>
    </x:row>
    <x:row r="111">
      <x:c r="A111" t="str">
        <x:v>HY-F66135D1D7B3</x:v>
      </x:c>
      <x:c r="B111"/>
      <x:c r="C111"/>
      <x:c r="D111"/>
      <x:c r="E111"/>
      <x:c r="F111"/>
      <x:c r="G111"/>
      <x:c r="H111"/>
      <x:c r="I111"/>
      <x:c r="J111"/>
    </x:row>
    <x:row r="112">
      <x:c r="A112" t="str">
        <x:v>HY-FDCA0F2289EC</x:v>
      </x:c>
      <x:c r="B112"/>
      <x:c r="C112"/>
      <x:c r="D112"/>
      <x:c r="E112"/>
      <x:c r="F112"/>
      <x:c r="G112"/>
      <x:c r="H112"/>
      <x:c r="I112"/>
      <x:c r="J112"/>
    </x:row>
    <x:row r="113">
      <x:c r="A113" t="str">
        <x:v>HY-8622B660DCAB</x:v>
      </x:c>
      <x:c r="B113"/>
      <x:c r="C113"/>
      <x:c r="D113"/>
      <x:c r="E113"/>
      <x:c r="F113"/>
      <x:c r="G113"/>
      <x:c r="H113"/>
      <x:c r="I113"/>
      <x:c r="J113"/>
    </x:row>
    <x:row r="114">
      <x:c r="A114" t="str">
        <x:v>HY-E6FAB0F5CF7A</x:v>
      </x:c>
      <x:c r="B114"/>
      <x:c r="C114"/>
      <x:c r="D114"/>
      <x:c r="E114"/>
      <x:c r="F114"/>
      <x:c r="G114"/>
      <x:c r="H114"/>
      <x:c r="I114"/>
      <x:c r="J114"/>
    </x:row>
    <x:row r="115">
      <x:c r="A115" t="str">
        <x:v>HY-9EB6D4C2E384</x:v>
      </x:c>
      <x:c r="B115"/>
      <x:c r="C115"/>
      <x:c r="D115"/>
      <x:c r="E115"/>
      <x:c r="F115"/>
      <x:c r="G115"/>
      <x:c r="H115"/>
      <x:c r="I115"/>
      <x:c r="J115"/>
    </x:row>
    <x:row r="116">
      <x:c r="A116" t="str">
        <x:v>HY-533C0598A2D2</x:v>
      </x:c>
      <x:c r="B116"/>
      <x:c r="C116"/>
      <x:c r="D116"/>
      <x:c r="E116"/>
      <x:c r="F116"/>
      <x:c r="G116"/>
      <x:c r="H116"/>
      <x:c r="I116"/>
      <x:c r="J116"/>
    </x:row>
    <x:row r="117">
      <x:c r="A117" t="str">
        <x:v>HY-9322DC80C2FC</x:v>
      </x:c>
      <x:c r="B117"/>
      <x:c r="C117"/>
      <x:c r="D117"/>
      <x:c r="E117"/>
      <x:c r="F117"/>
      <x:c r="G117"/>
      <x:c r="H117"/>
      <x:c r="I117"/>
      <x:c r="J117"/>
    </x:row>
    <x:row r="118">
      <x:c r="A118" t="str">
        <x:v>HY-FBFD7ACD16CB</x:v>
      </x:c>
      <x:c r="B118"/>
      <x:c r="C118"/>
      <x:c r="D118"/>
      <x:c r="E118"/>
      <x:c r="F118"/>
      <x:c r="G118"/>
      <x:c r="H118"/>
      <x:c r="I118"/>
      <x:c r="J118"/>
    </x:row>
    <x:row r="119">
      <x:c r="A119" t="str">
        <x:v>HY-06C1F15E0FD9</x:v>
      </x:c>
      <x:c r="B119"/>
      <x:c r="C119"/>
      <x:c r="D119"/>
      <x:c r="E119"/>
      <x:c r="F119"/>
      <x:c r="G119"/>
      <x:c r="H119"/>
      <x:c r="I119"/>
      <x:c r="J119"/>
    </x:row>
    <x:row r="120">
      <x:c r="A120" t="str">
        <x:v>HY-375B1848B6D3</x:v>
      </x:c>
      <x:c r="B120"/>
      <x:c r="C120"/>
      <x:c r="D120"/>
      <x:c r="E120"/>
      <x:c r="F120"/>
      <x:c r="G120"/>
      <x:c r="H120"/>
      <x:c r="I120"/>
      <x:c r="J120"/>
    </x:row>
    <x:row r="121">
      <x:c r="A121" t="str">
        <x:v>HY-561504A136BB</x:v>
      </x:c>
      <x:c r="B121"/>
      <x:c r="C121"/>
      <x:c r="D121"/>
      <x:c r="E121"/>
      <x:c r="F121"/>
      <x:c r="G121"/>
      <x:c r="H121"/>
      <x:c r="I121"/>
      <x:c r="J121"/>
    </x:row>
    <x:row r="122">
      <x:c r="A122" t="str">
        <x:v>HY-3ADC487789CA</x:v>
      </x:c>
      <x:c r="B122"/>
      <x:c r="C122"/>
      <x:c r="D122"/>
      <x:c r="E122"/>
      <x:c r="F122"/>
      <x:c r="G122"/>
      <x:c r="H122"/>
      <x:c r="I122"/>
      <x:c r="J122"/>
    </x:row>
    <x:row r="123">
      <x:c r="A123" t="str">
        <x:v>HY-A9DA77E14E0C</x:v>
      </x:c>
      <x:c r="B123"/>
      <x:c r="C123"/>
      <x:c r="D123"/>
      <x:c r="E123"/>
      <x:c r="F123"/>
      <x:c r="G123"/>
      <x:c r="H123"/>
      <x:c r="I123"/>
      <x:c r="J123"/>
    </x:row>
    <x:row r="124">
      <x:c r="A124" t="str">
        <x:v>HY-A1146E354454</x:v>
      </x:c>
      <x:c r="B124"/>
      <x:c r="C124"/>
      <x:c r="D124"/>
      <x:c r="E124"/>
      <x:c r="F124"/>
      <x:c r="G124"/>
      <x:c r="H124"/>
      <x:c r="I124"/>
      <x:c r="J124"/>
    </x:row>
    <x:row r="125">
      <x:c r="A125" t="str">
        <x:v>HY-8BD8CCAC7D67</x:v>
      </x:c>
      <x:c r="B125"/>
      <x:c r="C125"/>
      <x:c r="D125"/>
      <x:c r="E125"/>
      <x:c r="F125"/>
      <x:c r="G125"/>
      <x:c r="H125"/>
      <x:c r="I125"/>
      <x:c r="J125"/>
    </x:row>
    <x:row r="126">
      <x:c r="A126" t="str">
        <x:v>HY-90266500DFC9</x:v>
      </x:c>
      <x:c r="B126"/>
      <x:c r="C126"/>
      <x:c r="D126"/>
      <x:c r="E126"/>
      <x:c r="F126"/>
      <x:c r="G126"/>
      <x:c r="H126"/>
      <x:c r="I126"/>
      <x:c r="J126"/>
    </x:row>
    <x:row r="127">
      <x:c r="A127" t="str">
        <x:v>HY-179137F448AE</x:v>
      </x:c>
      <x:c r="B127"/>
      <x:c r="C127"/>
      <x:c r="D127"/>
      <x:c r="E127"/>
      <x:c r="F127"/>
      <x:c r="G127"/>
      <x:c r="H127"/>
      <x:c r="I127"/>
      <x:c r="J127"/>
    </x:row>
    <x:row r="128">
      <x:c r="A128" t="str">
        <x:v>HY-B837A86EBB85</x:v>
      </x:c>
      <x:c r="B128"/>
      <x:c r="C128"/>
      <x:c r="D128"/>
      <x:c r="E128"/>
      <x:c r="F128"/>
      <x:c r="G128"/>
      <x:c r="H128"/>
      <x:c r="I128"/>
      <x:c r="J128"/>
    </x:row>
    <x:row r="129">
      <x:c r="A129" t="str">
        <x:v>HY-1B9E10655B76</x:v>
      </x:c>
      <x:c r="B129"/>
      <x:c r="C129"/>
      <x:c r="D129"/>
      <x:c r="E129"/>
      <x:c r="F129"/>
      <x:c r="G129"/>
      <x:c r="H129"/>
      <x:c r="I129"/>
      <x:c r="J129"/>
    </x:row>
    <x:row r="130">
      <x:c r="A130" t="str">
        <x:v>HY-374F58B27136</x:v>
      </x:c>
      <x:c r="B130"/>
      <x:c r="C130"/>
      <x:c r="D130"/>
      <x:c r="E130"/>
      <x:c r="F130"/>
      <x:c r="G130"/>
      <x:c r="H130"/>
      <x:c r="I130"/>
      <x:c r="J130"/>
    </x:row>
    <x:row r="131">
      <x:c r="A131" t="str">
        <x:v>HY-87DB1A1B10FC</x:v>
      </x:c>
      <x:c r="B131"/>
      <x:c r="C131"/>
      <x:c r="D131"/>
      <x:c r="E131"/>
      <x:c r="F131"/>
      <x:c r="G131"/>
      <x:c r="H131"/>
      <x:c r="I131"/>
      <x:c r="J131"/>
    </x:row>
    <x:row r="132">
      <x:c r="A132" t="str">
        <x:v>HY-5B391C4468BF</x:v>
      </x:c>
      <x:c r="B132"/>
      <x:c r="C132"/>
      <x:c r="D132"/>
      <x:c r="E132"/>
      <x:c r="F132"/>
      <x:c r="G132"/>
      <x:c r="H132"/>
      <x:c r="I132"/>
      <x:c r="J132"/>
    </x:row>
    <x:row r="133">
      <x:c r="A133" t="str">
        <x:v>HY-B637009C3D6B</x:v>
      </x:c>
      <x:c r="B133"/>
      <x:c r="C133"/>
      <x:c r="D133"/>
      <x:c r="E133"/>
      <x:c r="F133"/>
      <x:c r="G133"/>
      <x:c r="H133"/>
      <x:c r="I133"/>
      <x:c r="J133"/>
    </x:row>
    <x:row r="134">
      <x:c r="A134" t="str">
        <x:v>HY-F40160D49D36</x:v>
      </x:c>
      <x:c r="B134"/>
      <x:c r="C134"/>
      <x:c r="D134"/>
      <x:c r="E134"/>
      <x:c r="F134"/>
      <x:c r="G134"/>
      <x:c r="H134"/>
      <x:c r="I134"/>
      <x:c r="J134"/>
    </x:row>
    <x:row r="135">
      <x:c r="A135" t="str">
        <x:v>HY-7B16675E17F0</x:v>
      </x:c>
      <x:c r="B135"/>
      <x:c r="C135"/>
      <x:c r="D135"/>
      <x:c r="E135"/>
      <x:c r="F135"/>
      <x:c r="G135"/>
      <x:c r="H135"/>
      <x:c r="I135"/>
      <x:c r="J135"/>
    </x:row>
    <x:row r="136">
      <x:c r="A136" t="str">
        <x:v>HY-80CAAD7F3AFB</x:v>
      </x:c>
      <x:c r="B136"/>
      <x:c r="C136"/>
      <x:c r="D136"/>
      <x:c r="E136"/>
      <x:c r="F136"/>
      <x:c r="G136"/>
      <x:c r="H136"/>
      <x:c r="I136"/>
      <x:c r="J136"/>
    </x:row>
    <x:row r="137">
      <x:c r="A137" t="str">
        <x:v>HY-72493AF6B973</x:v>
      </x:c>
      <x:c r="B137"/>
      <x:c r="C137"/>
      <x:c r="D137"/>
      <x:c r="E137"/>
      <x:c r="F137"/>
      <x:c r="G137"/>
      <x:c r="H137"/>
      <x:c r="I137"/>
      <x:c r="J137"/>
    </x:row>
    <x:row r="138">
      <x:c r="A138" t="str">
        <x:v>HY-CB090762B745</x:v>
      </x:c>
      <x:c r="B138"/>
      <x:c r="C138"/>
      <x:c r="D138"/>
      <x:c r="E138"/>
      <x:c r="F138"/>
      <x:c r="G138"/>
      <x:c r="H138"/>
      <x:c r="I138"/>
      <x:c r="J138"/>
    </x:row>
    <x:row r="139">
      <x:c r="A139" t="str">
        <x:v>HY-B068943CD10B</x:v>
      </x:c>
      <x:c r="B139"/>
      <x:c r="C139"/>
      <x:c r="D139"/>
      <x:c r="E139"/>
      <x:c r="F139"/>
      <x:c r="G139"/>
      <x:c r="H139"/>
      <x:c r="I139"/>
      <x:c r="J139"/>
    </x:row>
    <x:row r="140">
      <x:c r="A140" t="str">
        <x:v>HY-DF32F511F558</x:v>
      </x:c>
      <x:c r="B140"/>
      <x:c r="C140"/>
      <x:c r="D140"/>
      <x:c r="E140"/>
      <x:c r="F140"/>
      <x:c r="G140"/>
      <x:c r="H140"/>
      <x:c r="I140"/>
      <x:c r="J140"/>
    </x:row>
    <x:row r="141">
      <x:c r="A141" t="str">
        <x:v>HY-5FC1BF2D6B31</x:v>
      </x:c>
      <x:c r="B141"/>
      <x:c r="C141"/>
      <x:c r="D141"/>
      <x:c r="E141"/>
      <x:c r="F141"/>
      <x:c r="G141"/>
      <x:c r="H141"/>
      <x:c r="I141"/>
      <x:c r="J141"/>
    </x:row>
    <x:row r="142">
      <x:c r="A142" t="str">
        <x:v>HY-A2C2664F6056</x:v>
      </x:c>
      <x:c r="B142"/>
      <x:c r="C142"/>
      <x:c r="D142"/>
      <x:c r="E142"/>
      <x:c r="F142"/>
      <x:c r="G142"/>
      <x:c r="H142"/>
      <x:c r="I142"/>
      <x:c r="J142"/>
    </x:row>
    <x:row r="143">
      <x:c r="A143" t="str">
        <x:v>HY-B16C2807AF2B</x:v>
      </x:c>
      <x:c r="B143"/>
      <x:c r="C143"/>
      <x:c r="D143"/>
      <x:c r="E143"/>
      <x:c r="F143"/>
      <x:c r="G143"/>
      <x:c r="H143"/>
      <x:c r="I143"/>
      <x:c r="J143"/>
    </x:row>
    <x:row r="144">
      <x:c r="A144" t="str">
        <x:v>HY-0FE811AD093C</x:v>
      </x:c>
      <x:c r="B144"/>
      <x:c r="C144"/>
      <x:c r="D144"/>
      <x:c r="E144"/>
      <x:c r="F144"/>
      <x:c r="G144"/>
      <x:c r="H144"/>
      <x:c r="I144"/>
      <x:c r="J144"/>
    </x:row>
    <x:row r="145">
      <x:c r="A145" t="str">
        <x:v>HY-FDEBCFF03017</x:v>
      </x:c>
      <x:c r="B145"/>
      <x:c r="C145"/>
      <x:c r="D145"/>
      <x:c r="E145"/>
      <x:c r="F145"/>
      <x:c r="G145"/>
      <x:c r="H145"/>
      <x:c r="I145"/>
      <x:c r="J145"/>
    </x:row>
    <x:row r="146">
      <x:c r="A146" t="str">
        <x:v>HY-89709D40AD09</x:v>
      </x:c>
      <x:c r="B146"/>
      <x:c r="C146"/>
      <x:c r="D146"/>
      <x:c r="E146"/>
      <x:c r="F146"/>
      <x:c r="G146"/>
      <x:c r="H146"/>
      <x:c r="I146"/>
      <x:c r="J146"/>
    </x:row>
    <x:row r="147">
      <x:c r="A147" t="str">
        <x:v>HY-3F59BDE62E7C</x:v>
      </x:c>
      <x:c r="B147"/>
      <x:c r="C147"/>
      <x:c r="D147"/>
      <x:c r="E147"/>
      <x:c r="F147"/>
      <x:c r="G147"/>
      <x:c r="H147"/>
      <x:c r="I147"/>
      <x:c r="J147"/>
    </x:row>
    <x:row r="148">
      <x:c r="A148" t="str">
        <x:v>HY-F8C1E6B86B27</x:v>
      </x:c>
      <x:c r="B148"/>
      <x:c r="C148"/>
      <x:c r="D148"/>
      <x:c r="E148"/>
      <x:c r="F148"/>
      <x:c r="G148"/>
      <x:c r="H148"/>
      <x:c r="I148"/>
      <x:c r="J148"/>
    </x:row>
    <x:row r="149">
      <x:c r="A149" t="str">
        <x:v>HY-FAEA52003EEA</x:v>
      </x:c>
      <x:c r="B149"/>
      <x:c r="C149"/>
      <x:c r="D149"/>
      <x:c r="E149"/>
      <x:c r="F149"/>
      <x:c r="G149"/>
      <x:c r="H149"/>
      <x:c r="I149"/>
      <x:c r="J149"/>
    </x:row>
    <x:row r="150">
      <x:c r="A150" t="str">
        <x:v>HY-74C0547529B2</x:v>
      </x:c>
      <x:c r="B150"/>
      <x:c r="C150"/>
      <x:c r="D150"/>
      <x:c r="E150"/>
      <x:c r="F150"/>
      <x:c r="G150"/>
      <x:c r="H150"/>
      <x:c r="I150"/>
      <x:c r="J150"/>
    </x:row>
    <x:row r="151">
      <x:c r="A151" t="str">
        <x:v>HY-6567462B5EAB</x:v>
      </x:c>
      <x:c r="B151"/>
      <x:c r="C151"/>
      <x:c r="D151"/>
      <x:c r="E151"/>
      <x:c r="F151"/>
      <x:c r="G151"/>
      <x:c r="H151"/>
      <x:c r="I151"/>
      <x:c r="J151"/>
    </x:row>
    <x:row r="152">
      <x:c r="A152" t="str">
        <x:v>HY-C679FC27E5E9</x:v>
      </x:c>
      <x:c r="B152"/>
      <x:c r="C152"/>
      <x:c r="D152"/>
      <x:c r="E152"/>
      <x:c r="F152"/>
      <x:c r="G152"/>
      <x:c r="H152"/>
      <x:c r="I152"/>
      <x:c r="J152"/>
    </x:row>
    <x:row r="153">
      <x:c r="A153" t="str">
        <x:v>HY-A6D7DD12F44C</x:v>
      </x:c>
      <x:c r="B153"/>
      <x:c r="C153"/>
      <x:c r="D153"/>
      <x:c r="E153"/>
      <x:c r="F153"/>
      <x:c r="G153"/>
      <x:c r="H153"/>
      <x:c r="I153"/>
      <x:c r="J153"/>
    </x:row>
    <x:row r="154">
      <x:c r="A154" t="str">
        <x:v>HY-2A8F60D44724</x:v>
      </x:c>
      <x:c r="B154"/>
      <x:c r="C154"/>
      <x:c r="D154"/>
      <x:c r="E154"/>
      <x:c r="F154"/>
      <x:c r="G154"/>
      <x:c r="H154"/>
      <x:c r="I154"/>
      <x:c r="J154"/>
    </x:row>
    <x:row r="155">
      <x:c r="A155" t="str">
        <x:v>HY-93C9B11F9DE0</x:v>
      </x:c>
      <x:c r="B155"/>
      <x:c r="C155"/>
      <x:c r="D155"/>
      <x:c r="E155"/>
      <x:c r="F155"/>
      <x:c r="G155"/>
      <x:c r="H155"/>
      <x:c r="I155"/>
      <x:c r="J155"/>
    </x:row>
    <x:row r="156">
      <x:c r="A156" t="str">
        <x:v>HY-FCA3D7165830</x:v>
      </x:c>
      <x:c r="B156"/>
      <x:c r="C156"/>
      <x:c r="D156"/>
      <x:c r="E156"/>
      <x:c r="F156"/>
      <x:c r="G156"/>
      <x:c r="H156"/>
      <x:c r="I156"/>
      <x:c r="J156"/>
    </x:row>
    <x:row r="157">
      <x:c r="A157" t="str">
        <x:v>HY-32EA7E661AA6</x:v>
      </x:c>
      <x:c r="B157"/>
      <x:c r="C157"/>
      <x:c r="D157"/>
      <x:c r="E157"/>
      <x:c r="F157"/>
      <x:c r="G157"/>
      <x:c r="H157"/>
      <x:c r="I157"/>
      <x:c r="J157"/>
    </x:row>
    <x:row r="158">
      <x:c r="A158" t="str">
        <x:v>HY-61CE9666296B</x:v>
      </x:c>
      <x:c r="B158"/>
      <x:c r="C158"/>
      <x:c r="D158"/>
      <x:c r="E158"/>
      <x:c r="F158"/>
      <x:c r="G158"/>
      <x:c r="H158"/>
      <x:c r="I158"/>
      <x:c r="J158"/>
    </x:row>
    <x:row r="159">
      <x:c r="A159" t="str">
        <x:v>HY-CB4C8A84CFE1</x:v>
      </x:c>
      <x:c r="B159"/>
      <x:c r="C159"/>
      <x:c r="D159"/>
      <x:c r="E159"/>
      <x:c r="F159"/>
      <x:c r="G159"/>
      <x:c r="H159"/>
      <x:c r="I159"/>
      <x:c r="J159"/>
    </x:row>
    <x:row r="160">
      <x:c r="A160" t="str">
        <x:v>HY-B7F85DD15CC0</x:v>
      </x:c>
      <x:c r="B160"/>
      <x:c r="C160"/>
      <x:c r="D160"/>
      <x:c r="E160"/>
      <x:c r="F160"/>
      <x:c r="G160"/>
      <x:c r="H160"/>
      <x:c r="I160"/>
      <x:c r="J160"/>
    </x:row>
    <x:row r="161">
      <x:c r="A161" t="str">
        <x:v>HY-3F5D6A6431CA</x:v>
      </x:c>
      <x:c r="B161"/>
      <x:c r="C161"/>
      <x:c r="D161"/>
      <x:c r="E161"/>
      <x:c r="F161"/>
      <x:c r="G161"/>
      <x:c r="H161"/>
      <x:c r="I161"/>
      <x:c r="J161"/>
    </x:row>
    <x:row r="162">
      <x:c r="A162" t="str">
        <x:v>HY-DBD40170F9FA</x:v>
      </x:c>
      <x:c r="B162"/>
      <x:c r="C162"/>
      <x:c r="D162"/>
      <x:c r="E162"/>
      <x:c r="F162"/>
      <x:c r="G162"/>
      <x:c r="H162"/>
      <x:c r="I162"/>
      <x:c r="J162"/>
    </x:row>
    <x:row r="163">
      <x:c r="A163" t="str">
        <x:v>HY-75C8B46630F9</x:v>
      </x:c>
      <x:c r="B163"/>
      <x:c r="C163"/>
      <x:c r="D163"/>
      <x:c r="E163"/>
      <x:c r="F163"/>
      <x:c r="G163"/>
      <x:c r="H163"/>
      <x:c r="I163"/>
      <x:c r="J163"/>
    </x:row>
    <x:row r="164">
      <x:c r="A164" t="str">
        <x:v>HY-E629DEE648B0</x:v>
      </x:c>
      <x:c r="B164"/>
      <x:c r="C164"/>
      <x:c r="D164"/>
      <x:c r="E164"/>
      <x:c r="F164"/>
      <x:c r="G164"/>
      <x:c r="H164"/>
      <x:c r="I164"/>
      <x:c r="J164"/>
    </x:row>
    <x:row r="165">
      <x:c r="A165" t="str">
        <x:v>HY-210BC718039C</x:v>
      </x:c>
      <x:c r="B165"/>
      <x:c r="C165"/>
      <x:c r="D165"/>
      <x:c r="E165"/>
      <x:c r="F165"/>
      <x:c r="G165"/>
      <x:c r="H165"/>
      <x:c r="I165"/>
      <x:c r="J165"/>
    </x:row>
    <x:row r="166">
      <x:c r="A166" t="str">
        <x:v>HY-BA46E420C433</x:v>
      </x:c>
      <x:c r="B166"/>
      <x:c r="C166"/>
      <x:c r="D166"/>
      <x:c r="E166"/>
      <x:c r="F166"/>
      <x:c r="G166"/>
      <x:c r="H166"/>
      <x:c r="I166"/>
      <x:c r="J166"/>
    </x:row>
    <x:row r="167">
      <x:c r="A167" t="str">
        <x:v>HY-71D5BF3E5CEA</x:v>
      </x:c>
      <x:c r="B167"/>
      <x:c r="C167"/>
      <x:c r="D167"/>
      <x:c r="E167"/>
      <x:c r="F167"/>
      <x:c r="G167"/>
      <x:c r="H167"/>
      <x:c r="I167"/>
      <x:c r="J167"/>
    </x:row>
    <x:row r="168">
      <x:c r="A168" t="str">
        <x:v>HY-7BF2F36EED85</x:v>
      </x:c>
      <x:c r="B168"/>
      <x:c r="C168"/>
      <x:c r="D168"/>
      <x:c r="E168"/>
      <x:c r="F168"/>
      <x:c r="G168"/>
      <x:c r="H168"/>
      <x:c r="I168"/>
      <x:c r="J168"/>
    </x:row>
    <x:row r="169">
      <x:c r="A169" t="str">
        <x:v>HY-6A3D1C1ADD40</x:v>
      </x:c>
      <x:c r="B169"/>
      <x:c r="C169"/>
      <x:c r="D169"/>
      <x:c r="E169"/>
      <x:c r="F169"/>
      <x:c r="G169"/>
      <x:c r="H169"/>
      <x:c r="I169"/>
      <x:c r="J169"/>
    </x:row>
    <x:row r="170">
      <x:c r="A170" t="str">
        <x:v>HY-35A602E6E5E5</x:v>
      </x:c>
      <x:c r="B170"/>
      <x:c r="C170"/>
      <x:c r="D170"/>
      <x:c r="E170"/>
      <x:c r="F170"/>
      <x:c r="G170"/>
      <x:c r="H170"/>
      <x:c r="I170"/>
      <x:c r="J170"/>
    </x:row>
    <x:row r="171">
      <x:c r="A171" t="str">
        <x:v>HY-4D877D6AB47B</x:v>
      </x:c>
      <x:c r="B171"/>
      <x:c r="C171"/>
      <x:c r="D171"/>
      <x:c r="E171"/>
      <x:c r="F171"/>
      <x:c r="G171"/>
      <x:c r="H171"/>
      <x:c r="I171"/>
      <x:c r="J171"/>
    </x:row>
    <x:row r="172">
      <x:c r="A172" t="str">
        <x:v>HY-821E7D096EDE</x:v>
      </x:c>
      <x:c r="B172"/>
      <x:c r="C172"/>
      <x:c r="D172"/>
      <x:c r="E172"/>
      <x:c r="F172"/>
      <x:c r="G172"/>
      <x:c r="H172"/>
      <x:c r="I172"/>
      <x:c r="J172"/>
    </x:row>
    <x:row r="173">
      <x:c r="A173" t="str">
        <x:v>HY-56435222B01A</x:v>
      </x:c>
      <x:c r="B173"/>
      <x:c r="C173"/>
      <x:c r="D173"/>
      <x:c r="E173"/>
      <x:c r="F173"/>
      <x:c r="G173"/>
      <x:c r="H173"/>
      <x:c r="I173"/>
      <x:c r="J173"/>
    </x:row>
    <x:row r="174">
      <x:c r="A174" t="str">
        <x:v>HY-9E5B3DD2840A</x:v>
      </x:c>
      <x:c r="B174"/>
      <x:c r="C174"/>
      <x:c r="D174"/>
      <x:c r="E174"/>
      <x:c r="F174"/>
      <x:c r="G174"/>
      <x:c r="H174"/>
      <x:c r="I174"/>
      <x:c r="J174"/>
    </x:row>
    <x:row r="175">
      <x:c r="A175" t="str">
        <x:v>HY-D6D4EDDBA13E</x:v>
      </x:c>
      <x:c r="B175"/>
      <x:c r="C175"/>
      <x:c r="D175"/>
      <x:c r="E175"/>
      <x:c r="F175"/>
      <x:c r="G175"/>
      <x:c r="H175"/>
      <x:c r="I175"/>
      <x:c r="J175"/>
    </x:row>
    <x:row r="176">
      <x:c r="A176" t="str">
        <x:v>HY-1D8B94EE2638</x:v>
      </x:c>
      <x:c r="B176"/>
      <x:c r="C176"/>
      <x:c r="D176"/>
      <x:c r="E176"/>
      <x:c r="F176"/>
      <x:c r="G176"/>
      <x:c r="H176"/>
      <x:c r="I176"/>
      <x:c r="J176"/>
    </x:row>
    <x:row r="177">
      <x:c r="A177" t="str">
        <x:v>HY-F6B49AADB1BD</x:v>
      </x:c>
      <x:c r="B177"/>
      <x:c r="C177"/>
      <x:c r="D177"/>
      <x:c r="E177"/>
      <x:c r="F177"/>
      <x:c r="G177"/>
      <x:c r="H177"/>
      <x:c r="I177"/>
      <x:c r="J177"/>
    </x:row>
    <x:row r="178">
      <x:c r="A178" t="str">
        <x:v>HY-7B540893BDC1</x:v>
      </x:c>
      <x:c r="B178"/>
      <x:c r="C178"/>
      <x:c r="D178"/>
      <x:c r="E178"/>
      <x:c r="F178"/>
      <x:c r="G178"/>
      <x:c r="H178"/>
      <x:c r="I178"/>
      <x:c r="J178"/>
    </x:row>
    <x:row r="179">
      <x:c r="A179" t="str">
        <x:v>HY-F3FB57125ED4</x:v>
      </x:c>
      <x:c r="B179"/>
      <x:c r="C179"/>
      <x:c r="D179"/>
      <x:c r="E179"/>
      <x:c r="F179"/>
      <x:c r="G179"/>
      <x:c r="H179"/>
      <x:c r="I179"/>
      <x:c r="J179"/>
    </x:row>
    <x:row r="180">
      <x:c r="A180" t="str">
        <x:v>HY-1FDAABFEF3F7</x:v>
      </x:c>
      <x:c r="B180"/>
      <x:c r="C180"/>
      <x:c r="D180"/>
      <x:c r="E180"/>
      <x:c r="F180"/>
      <x:c r="G180"/>
      <x:c r="H180"/>
      <x:c r="I180"/>
      <x:c r="J180"/>
    </x:row>
    <x:row r="181">
      <x:c r="A181" t="str">
        <x:v>HY-782A65D23D19</x:v>
      </x:c>
      <x:c r="B181"/>
      <x:c r="C181"/>
      <x:c r="D181"/>
      <x:c r="E181"/>
      <x:c r="F181"/>
      <x:c r="G181"/>
      <x:c r="H181"/>
      <x:c r="I181"/>
      <x:c r="J181"/>
    </x:row>
    <x:row r="182">
      <x:c r="A182" t="str">
        <x:v>HY-A301553D5147</x:v>
      </x:c>
      <x:c r="B182"/>
      <x:c r="C182"/>
      <x:c r="D182"/>
      <x:c r="E182"/>
      <x:c r="F182"/>
      <x:c r="G182"/>
      <x:c r="H182"/>
      <x:c r="I182"/>
      <x:c r="J182"/>
    </x:row>
    <x:row r="183">
      <x:c r="A183" t="str">
        <x:v>HY-C11A187787BE</x:v>
      </x:c>
      <x:c r="B183"/>
      <x:c r="C183"/>
      <x:c r="D183"/>
      <x:c r="E183"/>
      <x:c r="F183"/>
      <x:c r="G183"/>
      <x:c r="H183"/>
      <x:c r="I183"/>
      <x:c r="J183"/>
    </x:row>
    <x:row r="184">
      <x:c r="A184" t="str">
        <x:v>HY-A822B2706385</x:v>
      </x:c>
      <x:c r="B184"/>
      <x:c r="C184"/>
      <x:c r="D184"/>
      <x:c r="E184"/>
      <x:c r="F184"/>
      <x:c r="G184"/>
      <x:c r="H184"/>
      <x:c r="I184"/>
      <x:c r="J184"/>
    </x:row>
    <x:row r="185">
      <x:c r="A185" t="str">
        <x:v>HY-7D7C54CB0C2E</x:v>
      </x:c>
      <x:c r="B185"/>
      <x:c r="C185"/>
      <x:c r="D185"/>
      <x:c r="E185"/>
      <x:c r="F185"/>
      <x:c r="G185"/>
      <x:c r="H185"/>
      <x:c r="I185"/>
      <x:c r="J185"/>
    </x:row>
    <x:row r="186">
      <x:c r="A186" t="str">
        <x:v>HY-883A383E28FA</x:v>
      </x:c>
      <x:c r="B186"/>
      <x:c r="C186"/>
      <x:c r="D186"/>
      <x:c r="E186"/>
      <x:c r="F186"/>
      <x:c r="G186"/>
      <x:c r="H186"/>
      <x:c r="I186"/>
      <x:c r="J186"/>
    </x:row>
    <x:row r="187">
      <x:c r="A187" t="str">
        <x:v>HY-30425E3BD48D</x:v>
      </x:c>
      <x:c r="B187"/>
      <x:c r="C187"/>
      <x:c r="D187"/>
      <x:c r="E187"/>
      <x:c r="F187"/>
      <x:c r="G187"/>
      <x:c r="H187"/>
      <x:c r="I187"/>
      <x:c r="J187"/>
    </x:row>
    <x:row r="188">
      <x:c r="A188" t="str">
        <x:v>HY-A49676D00852</x:v>
      </x:c>
      <x:c r="B188"/>
      <x:c r="C188"/>
      <x:c r="D188"/>
      <x:c r="E188"/>
      <x:c r="F188"/>
      <x:c r="G188"/>
      <x:c r="H188"/>
      <x:c r="I188"/>
      <x:c r="J188"/>
    </x:row>
    <x:row r="189">
      <x:c r="A189" t="str">
        <x:v>HY-4EFC98E4D979</x:v>
      </x:c>
      <x:c r="B189"/>
      <x:c r="C189"/>
      <x:c r="D189"/>
      <x:c r="E189"/>
      <x:c r="F189"/>
      <x:c r="G189"/>
      <x:c r="H189"/>
      <x:c r="I189"/>
      <x:c r="J189"/>
    </x:row>
    <x:row r="190">
      <x:c r="A190" t="str">
        <x:v>HY-A9EC5DC040AB</x:v>
      </x:c>
      <x:c r="B190"/>
      <x:c r="C190"/>
      <x:c r="D190"/>
      <x:c r="E190"/>
      <x:c r="F190"/>
      <x:c r="G190"/>
      <x:c r="H190"/>
      <x:c r="I190"/>
      <x:c r="J190"/>
    </x:row>
    <x:row r="191">
      <x:c r="A191" t="str">
        <x:v>HY-7510FF781AF0</x:v>
      </x:c>
      <x:c r="B191"/>
      <x:c r="C191"/>
      <x:c r="D191"/>
      <x:c r="E191"/>
      <x:c r="F191"/>
      <x:c r="G191"/>
      <x:c r="H191"/>
      <x:c r="I191"/>
      <x:c r="J191"/>
    </x:row>
    <x:row r="192">
      <x:c r="A192" t="str">
        <x:v>HY-02699BE0B624</x:v>
      </x:c>
      <x:c r="B192"/>
      <x:c r="C192"/>
      <x:c r="D192"/>
      <x:c r="E192"/>
      <x:c r="F192"/>
      <x:c r="G192"/>
      <x:c r="H192"/>
      <x:c r="I192"/>
      <x:c r="J192"/>
    </x:row>
    <x:row r="193">
      <x:c r="A193" t="str">
        <x:v>HY-FDDAEB3D66EF</x:v>
      </x:c>
      <x:c r="B193"/>
      <x:c r="C193"/>
      <x:c r="D193"/>
      <x:c r="E193"/>
      <x:c r="F193"/>
      <x:c r="G193"/>
      <x:c r="H193"/>
      <x:c r="I193"/>
      <x:c r="J193"/>
    </x:row>
    <x:row r="194">
      <x:c r="A194" t="str">
        <x:v>HY-2FDE96AB68EE</x:v>
      </x:c>
      <x:c r="B194"/>
      <x:c r="C194"/>
      <x:c r="D194"/>
      <x:c r="E194"/>
      <x:c r="F194"/>
      <x:c r="G194"/>
      <x:c r="H194"/>
      <x:c r="I194"/>
      <x:c r="J194"/>
    </x:row>
    <x:row r="195">
      <x:c r="A195" t="str">
        <x:v>HY-7301BC2CDC20</x:v>
      </x:c>
      <x:c r="B195"/>
      <x:c r="C195"/>
      <x:c r="D195"/>
      <x:c r="E195"/>
      <x:c r="F195"/>
      <x:c r="G195"/>
      <x:c r="H195"/>
      <x:c r="I195"/>
      <x:c r="J195"/>
    </x:row>
    <x:row r="196">
      <x:c r="A196" t="str">
        <x:v>HY-C9546653DF14</x:v>
      </x:c>
      <x:c r="B196"/>
      <x:c r="C196"/>
      <x:c r="D196"/>
      <x:c r="E196"/>
      <x:c r="F196"/>
      <x:c r="G196"/>
      <x:c r="H196"/>
      <x:c r="I196"/>
      <x:c r="J196"/>
    </x:row>
    <x:row r="197">
      <x:c r="A197" t="str">
        <x:v>HY-AEB890C93E60</x:v>
      </x:c>
      <x:c r="B197"/>
      <x:c r="C197"/>
      <x:c r="D197"/>
      <x:c r="E197"/>
      <x:c r="F197"/>
      <x:c r="G197"/>
      <x:c r="H197"/>
      <x:c r="I197"/>
      <x:c r="J197"/>
    </x:row>
    <x:row r="198">
      <x:c r="A198" t="str">
        <x:v>HY-472FE3EFFE2B</x:v>
      </x:c>
      <x:c r="B198"/>
      <x:c r="C198"/>
      <x:c r="D198"/>
      <x:c r="E198"/>
      <x:c r="F198"/>
      <x:c r="G198"/>
      <x:c r="H198"/>
      <x:c r="I198"/>
      <x:c r="J198"/>
    </x:row>
    <x:row r="199">
      <x:c r="A199" t="str">
        <x:v>HY-951C6B4F5037</x:v>
      </x:c>
      <x:c r="B199"/>
      <x:c r="C199"/>
      <x:c r="D199"/>
      <x:c r="E199"/>
      <x:c r="F199"/>
      <x:c r="G199"/>
      <x:c r="H199"/>
      <x:c r="I199"/>
      <x:c r="J199"/>
    </x:row>
    <x:row r="200">
      <x:c r="A200" t="str">
        <x:v>HY-EA648382A861</x:v>
      </x:c>
      <x:c r="B200"/>
      <x:c r="C200"/>
      <x:c r="D200"/>
      <x:c r="E200"/>
      <x:c r="F200"/>
      <x:c r="G200"/>
      <x:c r="H200"/>
      <x:c r="I200"/>
      <x:c r="J200"/>
    </x:row>
    <x:row r="201">
      <x:c r="A201" t="str">
        <x:v>HY-1D31EE28C2EB</x:v>
      </x:c>
      <x:c r="B201"/>
      <x:c r="C201"/>
      <x:c r="D201"/>
      <x:c r="E201"/>
      <x:c r="F201"/>
      <x:c r="G201"/>
      <x:c r="H201"/>
      <x:c r="I201"/>
      <x:c r="J201"/>
    </x:row>
    <x:row r="202">
      <x:c r="A202" t="str">
        <x:v>HY-85C51CF3E8CA</x:v>
      </x:c>
      <x:c r="B202"/>
      <x:c r="C202"/>
      <x:c r="D202"/>
      <x:c r="E202"/>
      <x:c r="F202"/>
      <x:c r="G202"/>
      <x:c r="H202"/>
      <x:c r="I202"/>
      <x:c r="J202"/>
    </x:row>
    <x:row r="203">
      <x:c r="A203" t="str">
        <x:v>HY-3FBA392B611D</x:v>
      </x:c>
      <x:c r="B203"/>
      <x:c r="C203"/>
      <x:c r="D203"/>
      <x:c r="E203"/>
      <x:c r="F203"/>
      <x:c r="G203"/>
      <x:c r="H203"/>
      <x:c r="I203"/>
      <x:c r="J203"/>
    </x:row>
    <x:row r="204">
      <x:c r="A204" t="str">
        <x:v>HY-87374C2607F7</x:v>
      </x:c>
      <x:c r="B204"/>
      <x:c r="C204"/>
      <x:c r="D204"/>
      <x:c r="E204"/>
      <x:c r="F204"/>
      <x:c r="G204"/>
      <x:c r="H204"/>
      <x:c r="I204"/>
      <x:c r="J204"/>
    </x:row>
    <x:row r="205">
      <x:c r="A205" t="str">
        <x:v>HY-4DF7C1E83F14</x:v>
      </x:c>
      <x:c r="B205"/>
      <x:c r="C205"/>
      <x:c r="D205"/>
      <x:c r="E205"/>
      <x:c r="F205"/>
      <x:c r="G205"/>
      <x:c r="H205"/>
      <x:c r="I205"/>
      <x:c r="J205"/>
    </x:row>
    <x:row r="206">
      <x:c r="A206" t="str">
        <x:v>HY-159CFFEDA717</x:v>
      </x:c>
      <x:c r="B206"/>
      <x:c r="C206"/>
      <x:c r="D206"/>
      <x:c r="E206"/>
      <x:c r="F206"/>
      <x:c r="G206"/>
      <x:c r="H206"/>
      <x:c r="I206"/>
      <x:c r="J206"/>
    </x:row>
    <x:row r="207">
      <x:c r="A207" t="str">
        <x:v>HY-46B63248A348</x:v>
      </x:c>
      <x:c r="B207"/>
      <x:c r="C207"/>
      <x:c r="D207"/>
      <x:c r="E207"/>
      <x:c r="F207"/>
      <x:c r="G207"/>
      <x:c r="H207"/>
      <x:c r="I207"/>
      <x:c r="J207"/>
    </x:row>
    <x:row r="208">
      <x:c r="A208" t="str">
        <x:v>HY-CD7D59E98C7A</x:v>
      </x:c>
      <x:c r="B208"/>
      <x:c r="C208"/>
      <x:c r="D208"/>
      <x:c r="E208"/>
      <x:c r="F208"/>
      <x:c r="G208"/>
      <x:c r="H208"/>
      <x:c r="I208"/>
      <x:c r="J208"/>
    </x:row>
    <x:row r="209">
      <x:c r="A209" t="str">
        <x:v>HY-715BEB365538</x:v>
      </x:c>
      <x:c r="B209"/>
      <x:c r="C209"/>
      <x:c r="D209"/>
      <x:c r="E209"/>
      <x:c r="F209"/>
      <x:c r="G209"/>
      <x:c r="H209"/>
      <x:c r="I209"/>
      <x:c r="J209"/>
    </x:row>
    <x:row r="210">
      <x:c r="A210" t="str">
        <x:v>HY-AC9229292C7E</x:v>
      </x:c>
      <x:c r="B210"/>
      <x:c r="C210"/>
      <x:c r="D210"/>
      <x:c r="E210"/>
      <x:c r="F210"/>
      <x:c r="G210"/>
      <x:c r="H210"/>
      <x:c r="I210"/>
      <x:c r="J210"/>
    </x:row>
    <x:row r="211">
      <x:c r="A211" t="str">
        <x:v>HY-282C96173A8A</x:v>
      </x:c>
      <x:c r="B211"/>
      <x:c r="C211"/>
      <x:c r="D211"/>
      <x:c r="E211"/>
      <x:c r="F211"/>
      <x:c r="G211"/>
      <x:c r="H211"/>
      <x:c r="I211"/>
      <x:c r="J211"/>
    </x:row>
    <x:row r="212">
      <x:c r="A212" t="str">
        <x:v>HY-135E6805C6DF</x:v>
      </x:c>
      <x:c r="B212"/>
      <x:c r="C212"/>
      <x:c r="D212"/>
      <x:c r="E212"/>
      <x:c r="F212"/>
      <x:c r="G212"/>
      <x:c r="H212"/>
      <x:c r="I212"/>
      <x:c r="J212"/>
    </x:row>
    <x:row r="213">
      <x:c r="A213" t="str">
        <x:v>HY-3BEEB8A785B4</x:v>
      </x:c>
      <x:c r="B213"/>
      <x:c r="C213"/>
      <x:c r="D213"/>
      <x:c r="E213"/>
      <x:c r="F213"/>
      <x:c r="G213"/>
      <x:c r="H213"/>
      <x:c r="I213"/>
      <x:c r="J213"/>
    </x:row>
    <x:row r="214">
      <x:c r="A214" t="str">
        <x:v>HY-E6283F3C6031</x:v>
      </x:c>
      <x:c r="B214"/>
      <x:c r="C214"/>
      <x:c r="D214"/>
      <x:c r="E214"/>
      <x:c r="F214"/>
      <x:c r="G214"/>
      <x:c r="H214"/>
      <x:c r="I214"/>
      <x:c r="J214"/>
    </x:row>
    <x:row r="215">
      <x:c r="A215" t="str">
        <x:v>HY-303C4280409E</x:v>
      </x:c>
      <x:c r="B215"/>
      <x:c r="C215"/>
      <x:c r="D215"/>
      <x:c r="E215"/>
      <x:c r="F215"/>
      <x:c r="G215"/>
      <x:c r="H215"/>
      <x:c r="I215"/>
      <x:c r="J215"/>
    </x:row>
    <x:row r="216">
      <x:c r="A216" t="str">
        <x:v>HY-5730A64F4433</x:v>
      </x:c>
      <x:c r="B216"/>
      <x:c r="C216"/>
      <x:c r="D216"/>
      <x:c r="E216"/>
      <x:c r="F216"/>
      <x:c r="G216"/>
      <x:c r="H216"/>
      <x:c r="I216"/>
      <x:c r="J216"/>
    </x:row>
    <x:row r="217">
      <x:c r="A217" t="str">
        <x:v>HY-0526B573DE35</x:v>
      </x:c>
      <x:c r="B217"/>
      <x:c r="C217"/>
      <x:c r="D217"/>
      <x:c r="E217"/>
      <x:c r="F217"/>
      <x:c r="G217"/>
      <x:c r="H217"/>
      <x:c r="I217"/>
      <x:c r="J217"/>
    </x:row>
    <x:row r="218">
      <x:c r="A218" t="str">
        <x:v>HY-BBC930FBA5E1</x:v>
      </x:c>
      <x:c r="B218"/>
      <x:c r="C218"/>
      <x:c r="D218"/>
      <x:c r="E218"/>
      <x:c r="F218"/>
      <x:c r="G218"/>
      <x:c r="H218"/>
      <x:c r="I218"/>
      <x:c r="J218"/>
    </x:row>
    <x:row r="219">
      <x:c r="A219" t="str">
        <x:v>HY-5E39D08E9439</x:v>
      </x:c>
      <x:c r="B219"/>
      <x:c r="C219"/>
      <x:c r="D219"/>
      <x:c r="E219"/>
      <x:c r="F219"/>
      <x:c r="G219"/>
      <x:c r="H219"/>
      <x:c r="I219"/>
      <x:c r="J219"/>
    </x:row>
    <x:row r="220">
      <x:c r="A220" t="str">
        <x:v>HY-39557AC4D7B7</x:v>
      </x:c>
      <x:c r="B220"/>
      <x:c r="C220"/>
      <x:c r="D220"/>
      <x:c r="E220"/>
      <x:c r="F220"/>
      <x:c r="G220"/>
      <x:c r="H220"/>
      <x:c r="I220"/>
      <x:c r="J220"/>
    </x:row>
    <x:row r="221">
      <x:c r="A221" t="str">
        <x:v>HY-DA25F6DC7234</x:v>
      </x:c>
      <x:c r="B221"/>
      <x:c r="C221"/>
      <x:c r="D221"/>
      <x:c r="E221"/>
      <x:c r="F221"/>
      <x:c r="G221"/>
      <x:c r="H221"/>
      <x:c r="I221"/>
      <x:c r="J221"/>
    </x:row>
    <x:row r="222">
      <x:c r="A222" t="str">
        <x:v>HY-65F2509C6BF1</x:v>
      </x:c>
      <x:c r="B222"/>
      <x:c r="C222"/>
      <x:c r="D222"/>
      <x:c r="E222"/>
      <x:c r="F222"/>
      <x:c r="G222"/>
      <x:c r="H222"/>
      <x:c r="I222"/>
      <x:c r="J222"/>
    </x:row>
    <x:row r="223">
      <x:c r="A223" t="str">
        <x:v>HY-9BA487390DA1</x:v>
      </x:c>
      <x:c r="B223"/>
      <x:c r="C223"/>
      <x:c r="D223"/>
      <x:c r="E223"/>
      <x:c r="F223"/>
      <x:c r="G223"/>
      <x:c r="H223"/>
      <x:c r="I223"/>
      <x:c r="J223"/>
    </x:row>
    <x:row r="224">
      <x:c r="A224" t="str">
        <x:v>HY-F15D3A0C1E39</x:v>
      </x:c>
      <x:c r="B224"/>
      <x:c r="C224"/>
      <x:c r="D224"/>
      <x:c r="E224"/>
      <x:c r="F224"/>
      <x:c r="G224"/>
      <x:c r="H224"/>
      <x:c r="I224"/>
      <x:c r="J224"/>
    </x:row>
    <x:row r="225">
      <x:c r="A225" t="str">
        <x:v>HY-F43D2902DF88</x:v>
      </x:c>
      <x:c r="B225"/>
      <x:c r="C225"/>
      <x:c r="D225"/>
      <x:c r="E225"/>
      <x:c r="F225"/>
      <x:c r="G225"/>
      <x:c r="H225"/>
      <x:c r="I225"/>
      <x:c r="J225"/>
    </x:row>
    <x:row r="226">
      <x:c r="A226" t="str">
        <x:v>HY-39261DA82349</x:v>
      </x:c>
      <x:c r="B226"/>
      <x:c r="C226"/>
      <x:c r="D226"/>
      <x:c r="E226"/>
      <x:c r="F226"/>
      <x:c r="G226"/>
      <x:c r="H226"/>
      <x:c r="I226"/>
      <x:c r="J226"/>
    </x:row>
    <x:row r="227">
      <x:c r="A227" t="str">
        <x:v>HY-7168F29DCAB3</x:v>
      </x:c>
      <x:c r="B227"/>
      <x:c r="C227"/>
      <x:c r="D227"/>
      <x:c r="E227"/>
      <x:c r="F227"/>
      <x:c r="G227"/>
      <x:c r="H227"/>
      <x:c r="I227"/>
      <x:c r="J227"/>
    </x:row>
    <x:row r="228">
      <x:c r="A228" t="str">
        <x:v>HY-C3B5765DF92B</x:v>
      </x:c>
      <x:c r="B228"/>
      <x:c r="C228"/>
      <x:c r="D228"/>
      <x:c r="E228"/>
      <x:c r="F228"/>
      <x:c r="G228"/>
      <x:c r="H228"/>
      <x:c r="I228"/>
      <x:c r="J228"/>
    </x:row>
    <x:row r="229">
      <x:c r="A229" t="str">
        <x:v>HY-56E45ABE51CD</x:v>
      </x:c>
      <x:c r="B229"/>
      <x:c r="C229"/>
      <x:c r="D229"/>
      <x:c r="E229"/>
      <x:c r="F229"/>
      <x:c r="G229"/>
      <x:c r="H229"/>
      <x:c r="I229"/>
      <x:c r="J229"/>
    </x:row>
    <x:row r="230">
      <x:c r="A230" t="str">
        <x:v>HY-4A628CF7C450</x:v>
      </x:c>
      <x:c r="B230"/>
      <x:c r="C230"/>
      <x:c r="D230"/>
      <x:c r="E230"/>
      <x:c r="F230"/>
      <x:c r="G230"/>
      <x:c r="H230"/>
      <x:c r="I230"/>
      <x:c r="J230"/>
    </x:row>
    <x:row r="231">
      <x:c r="A231" t="str">
        <x:v>HY-B132D8AC1273</x:v>
      </x:c>
      <x:c r="B231"/>
      <x:c r="C231"/>
      <x:c r="D231"/>
      <x:c r="E231"/>
      <x:c r="F231"/>
      <x:c r="G231"/>
      <x:c r="H231"/>
      <x:c r="I231"/>
      <x:c r="J231"/>
    </x:row>
    <x:row r="232">
      <x:c r="A232" t="str">
        <x:v>HY-A9B328DF79F9</x:v>
      </x:c>
      <x:c r="B232"/>
      <x:c r="C232"/>
      <x:c r="D232"/>
      <x:c r="E232"/>
      <x:c r="F232"/>
      <x:c r="G232"/>
      <x:c r="H232"/>
      <x:c r="I232"/>
      <x:c r="J232"/>
    </x:row>
    <x:row r="233">
      <x:c r="A233" t="str">
        <x:v>HY-C3DC66B7B424</x:v>
      </x:c>
      <x:c r="B233"/>
      <x:c r="C233"/>
      <x:c r="D233"/>
      <x:c r="E233"/>
      <x:c r="F233"/>
      <x:c r="G233"/>
      <x:c r="H233"/>
      <x:c r="I233"/>
      <x:c r="J233"/>
    </x:row>
    <x:row r="234">
      <x:c r="A234" t="str">
        <x:v>HY-A42A061ECF9A</x:v>
      </x:c>
      <x:c r="B234"/>
      <x:c r="C234"/>
      <x:c r="D234"/>
      <x:c r="E234"/>
      <x:c r="F234"/>
      <x:c r="G234"/>
      <x:c r="H234"/>
      <x:c r="I234"/>
      <x:c r="J234"/>
    </x:row>
    <x:row r="235">
      <x:c r="A235" t="str">
        <x:v>HY-578F711AFC46</x:v>
      </x:c>
      <x:c r="B235"/>
      <x:c r="C235"/>
      <x:c r="D235"/>
      <x:c r="E235"/>
      <x:c r="F235"/>
      <x:c r="G235"/>
      <x:c r="H235"/>
      <x:c r="I235"/>
      <x:c r="J235"/>
    </x:row>
    <x:row r="236">
      <x:c r="A236" t="str">
        <x:v>HY-A4A787379C4C</x:v>
      </x:c>
      <x:c r="B236"/>
      <x:c r="C236"/>
      <x:c r="D236"/>
      <x:c r="E236"/>
      <x:c r="F236"/>
      <x:c r="G236"/>
      <x:c r="H236"/>
      <x:c r="I236"/>
      <x:c r="J236"/>
    </x:row>
    <x:row r="237">
      <x:c r="A237" t="str">
        <x:v>HY-3A9502150588</x:v>
      </x:c>
      <x:c r="B237"/>
      <x:c r="C237"/>
      <x:c r="D237"/>
      <x:c r="E237"/>
      <x:c r="F237"/>
      <x:c r="G237"/>
      <x:c r="H237"/>
      <x:c r="I237"/>
      <x:c r="J237"/>
    </x:row>
    <x:row r="238">
      <x:c r="A238" t="str">
        <x:v>HY-6269497ADED7</x:v>
      </x:c>
      <x:c r="B238"/>
      <x:c r="C238"/>
      <x:c r="D238"/>
      <x:c r="E238"/>
      <x:c r="F238"/>
      <x:c r="G238"/>
      <x:c r="H238"/>
      <x:c r="I238"/>
      <x:c r="J238"/>
    </x:row>
    <x:row r="239">
      <x:c r="A239" t="str">
        <x:v>HY-A6CC20971EF3</x:v>
      </x:c>
      <x:c r="B239"/>
      <x:c r="C239"/>
      <x:c r="D239"/>
      <x:c r="E239"/>
      <x:c r="F239"/>
      <x:c r="G239"/>
      <x:c r="H239"/>
      <x:c r="I239"/>
      <x:c r="J239"/>
    </x:row>
    <x:row r="240">
      <x:c r="A240" t="str">
        <x:v>HY-80DC7B126F79</x:v>
      </x:c>
      <x:c r="B240"/>
      <x:c r="C240"/>
      <x:c r="D240"/>
      <x:c r="E240"/>
      <x:c r="F240"/>
      <x:c r="G240"/>
      <x:c r="H240"/>
      <x:c r="I240"/>
      <x:c r="J240"/>
    </x:row>
    <x:row r="241">
      <x:c r="A241" t="str">
        <x:v>HY-AC0829A274EC</x:v>
      </x:c>
      <x:c r="B241"/>
      <x:c r="C241"/>
      <x:c r="D241"/>
      <x:c r="E241"/>
      <x:c r="F241"/>
      <x:c r="G241"/>
      <x:c r="H241"/>
      <x:c r="I241"/>
      <x:c r="J241"/>
    </x:row>
    <x:row r="242">
      <x:c r="A242" t="str">
        <x:v>HY-B02A5B81AB69</x:v>
      </x:c>
      <x:c r="B242"/>
      <x:c r="C242"/>
      <x:c r="D242"/>
      <x:c r="E242"/>
      <x:c r="F242"/>
      <x:c r="G242"/>
      <x:c r="H242"/>
      <x:c r="I242"/>
      <x:c r="J242"/>
    </x:row>
    <x:row r="243">
      <x:c r="A243" t="str">
        <x:v>HY-4572B93E17B4</x:v>
      </x:c>
      <x:c r="B243"/>
      <x:c r="C243"/>
      <x:c r="D243"/>
      <x:c r="E243"/>
      <x:c r="F243"/>
      <x:c r="G243"/>
      <x:c r="H243"/>
      <x:c r="I243"/>
      <x:c r="J243"/>
    </x:row>
    <x:row r="244">
      <x:c r="A244" t="str">
        <x:v>HY-1FC132DF6FB4</x:v>
      </x:c>
      <x:c r="B244"/>
      <x:c r="C244"/>
      <x:c r="D244"/>
      <x:c r="E244"/>
      <x:c r="F244"/>
      <x:c r="G244"/>
      <x:c r="H244"/>
      <x:c r="I244"/>
      <x:c r="J244"/>
    </x:row>
    <x:row r="245">
      <x:c r="A245" t="str">
        <x:v>HY-4CC71092C6F3</x:v>
      </x:c>
      <x:c r="B245"/>
      <x:c r="C245"/>
      <x:c r="D245"/>
      <x:c r="E245"/>
      <x:c r="F245"/>
      <x:c r="G245"/>
      <x:c r="H245"/>
      <x:c r="I245"/>
      <x:c r="J245"/>
    </x:row>
    <x:row r="246">
      <x:c r="A246" t="str">
        <x:v>HY-232BE506A220</x:v>
      </x:c>
      <x:c r="B246"/>
      <x:c r="C246"/>
      <x:c r="D246"/>
      <x:c r="E246"/>
      <x:c r="F246"/>
      <x:c r="G246"/>
      <x:c r="H246"/>
      <x:c r="I246"/>
      <x:c r="J246"/>
    </x:row>
    <x:row r="247">
      <x:c r="A247" t="str">
        <x:v>HY-0E4110078004</x:v>
      </x:c>
      <x:c r="B247"/>
      <x:c r="C247"/>
      <x:c r="D247"/>
      <x:c r="E247"/>
      <x:c r="F247"/>
      <x:c r="G247"/>
      <x:c r="H247"/>
      <x:c r="I247"/>
      <x:c r="J247"/>
    </x:row>
    <x:row r="248">
      <x:c r="A248" t="str">
        <x:v>HY-7389F94BFB11</x:v>
      </x:c>
      <x:c r="B248"/>
      <x:c r="C248"/>
      <x:c r="D248"/>
      <x:c r="E248"/>
      <x:c r="F248"/>
      <x:c r="G248"/>
      <x:c r="H248"/>
      <x:c r="I248"/>
      <x:c r="J248"/>
    </x:row>
    <x:row r="249">
      <x:c r="A249" t="str">
        <x:v>HY-32AECBEBA38A</x:v>
      </x:c>
      <x:c r="B249"/>
      <x:c r="C249"/>
      <x:c r="D249"/>
      <x:c r="E249"/>
      <x:c r="F249"/>
      <x:c r="G249"/>
      <x:c r="H249"/>
      <x:c r="I249"/>
      <x:c r="J249"/>
    </x:row>
    <x:row r="250">
      <x:c r="A250" t="str">
        <x:v>HY-F39682AEFE9D</x:v>
      </x:c>
      <x:c r="B250"/>
      <x:c r="C250"/>
      <x:c r="D250"/>
      <x:c r="E250"/>
      <x:c r="F250"/>
      <x:c r="G250"/>
      <x:c r="H250"/>
      <x:c r="I250"/>
      <x:c r="J250"/>
    </x:row>
    <x:row r="251">
      <x:c r="A251" t="str">
        <x:v>HY-EC1358A0802B</x:v>
      </x:c>
      <x:c r="B251"/>
      <x:c r="C251"/>
      <x:c r="D251"/>
      <x:c r="E251"/>
      <x:c r="F251"/>
      <x:c r="G251"/>
      <x:c r="H251"/>
      <x:c r="I251"/>
      <x:c r="J251"/>
    </x:row>
    <x:row r="252">
      <x:c r="A252" t="str">
        <x:v>HY-CE908E54509F</x:v>
      </x:c>
      <x:c r="B252"/>
      <x:c r="C252"/>
      <x:c r="D252"/>
      <x:c r="E252"/>
      <x:c r="F252"/>
      <x:c r="G252"/>
      <x:c r="H252"/>
      <x:c r="I252"/>
      <x:c r="J252"/>
    </x:row>
    <x:row r="253">
      <x:c r="A253" t="str">
        <x:v>HY-4ED44D8646A0</x:v>
      </x:c>
      <x:c r="B253"/>
      <x:c r="C253"/>
      <x:c r="D253"/>
      <x:c r="E253"/>
      <x:c r="F253"/>
      <x:c r="G253"/>
      <x:c r="H253"/>
      <x:c r="I253"/>
      <x:c r="J253"/>
    </x:row>
    <x:row r="254">
      <x:c r="A254" t="str">
        <x:v>HY-8D46074DB51B</x:v>
      </x:c>
      <x:c r="B254"/>
      <x:c r="C254"/>
      <x:c r="D254"/>
      <x:c r="E254"/>
      <x:c r="F254"/>
      <x:c r="G254"/>
      <x:c r="H254"/>
      <x:c r="I254"/>
      <x:c r="J254"/>
    </x:row>
    <x:row r="255">
      <x:c r="A255" t="str">
        <x:v>HY-7409F3D59B80</x:v>
      </x:c>
      <x:c r="B255"/>
      <x:c r="C255"/>
      <x:c r="D255"/>
      <x:c r="E255"/>
      <x:c r="F255"/>
      <x:c r="G255"/>
      <x:c r="H255"/>
      <x:c r="I255"/>
      <x:c r="J255"/>
    </x:row>
    <x:row r="256">
      <x:c r="A256" t="str">
        <x:v>HY-35382997416A</x:v>
      </x:c>
      <x:c r="B256"/>
      <x:c r="C256"/>
      <x:c r="D256"/>
      <x:c r="E256"/>
      <x:c r="F256"/>
      <x:c r="G256"/>
      <x:c r="H256"/>
      <x:c r="I256"/>
      <x:c r="J256"/>
    </x:row>
    <x:row r="257">
      <x:c r="A257" t="str">
        <x:v>HY-3683BD4EA0FF</x:v>
      </x:c>
      <x:c r="B257"/>
      <x:c r="C257"/>
      <x:c r="D257"/>
      <x:c r="E257"/>
      <x:c r="F257"/>
      <x:c r="G257"/>
      <x:c r="H257"/>
      <x:c r="I257"/>
      <x:c r="J257"/>
    </x:row>
    <x:row r="258">
      <x:c r="A258" t="str">
        <x:v>HY-B0194508D4F7</x:v>
      </x:c>
      <x:c r="B258"/>
      <x:c r="C258"/>
      <x:c r="D258"/>
      <x:c r="E258"/>
      <x:c r="F258"/>
      <x:c r="G258"/>
      <x:c r="H258"/>
      <x:c r="I258"/>
      <x:c r="J258"/>
    </x:row>
    <x:row r="259">
      <x:c r="A259" t="str">
        <x:v>HY-6058DB829ED1</x:v>
      </x:c>
      <x:c r="B259"/>
      <x:c r="C259"/>
      <x:c r="D259"/>
      <x:c r="E259"/>
      <x:c r="F259"/>
      <x:c r="G259"/>
      <x:c r="H259"/>
      <x:c r="I259"/>
      <x:c r="J259"/>
    </x:row>
    <x:row r="260">
      <x:c r="A260" t="str">
        <x:v>HY-84103170CB95</x:v>
      </x:c>
      <x:c r="B260"/>
      <x:c r="C260"/>
      <x:c r="D260"/>
      <x:c r="E260"/>
      <x:c r="F260"/>
      <x:c r="G260"/>
      <x:c r="H260"/>
      <x:c r="I260"/>
      <x:c r="J260"/>
    </x:row>
    <x:row r="261">
      <x:c r="A261" t="str">
        <x:v>HY-E5DB9B20EA14</x:v>
      </x:c>
      <x:c r="B261"/>
      <x:c r="C261"/>
      <x:c r="D261"/>
      <x:c r="E261"/>
      <x:c r="F261"/>
      <x:c r="G261"/>
      <x:c r="H261"/>
      <x:c r="I261"/>
      <x:c r="J261"/>
    </x:row>
    <x:row r="262">
      <x:c r="A262" t="str">
        <x:v>HY-E4C9DA7A8C4A</x:v>
      </x:c>
      <x:c r="B262"/>
      <x:c r="C262"/>
      <x:c r="D262"/>
      <x:c r="E262"/>
      <x:c r="F262"/>
      <x:c r="G262"/>
      <x:c r="H262"/>
      <x:c r="I262"/>
      <x:c r="J262"/>
    </x:row>
    <x:row r="263">
      <x:c r="A263" t="str">
        <x:v>HY-067AA93E95CF</x:v>
      </x:c>
      <x:c r="B263"/>
      <x:c r="C263"/>
      <x:c r="D263"/>
      <x:c r="E263"/>
      <x:c r="F263"/>
      <x:c r="G263"/>
      <x:c r="H263"/>
      <x:c r="I263"/>
      <x:c r="J263"/>
    </x:row>
    <x:row r="264">
      <x:c r="A264" t="str">
        <x:v>HY-A9DE6678FD2F</x:v>
      </x:c>
      <x:c r="B264"/>
      <x:c r="C264"/>
      <x:c r="D264"/>
      <x:c r="E264"/>
      <x:c r="F264"/>
      <x:c r="G264"/>
      <x:c r="H264"/>
      <x:c r="I264"/>
      <x:c r="J264"/>
    </x:row>
    <x:row r="265">
      <x:c r="A265" t="str">
        <x:v>HY-DB2919EED022</x:v>
      </x:c>
      <x:c r="B265"/>
      <x:c r="C265"/>
      <x:c r="D265"/>
      <x:c r="E265"/>
      <x:c r="F265"/>
      <x:c r="G265"/>
      <x:c r="H265"/>
      <x:c r="I265"/>
      <x:c r="J265"/>
    </x:row>
    <x:row r="266">
      <x:c r="A266" t="str">
        <x:v>HY-92169F0C53BF</x:v>
      </x:c>
      <x:c r="B266"/>
      <x:c r="C266"/>
      <x:c r="D266"/>
      <x:c r="E266"/>
      <x:c r="F266"/>
      <x:c r="G266"/>
      <x:c r="H266"/>
      <x:c r="I266"/>
      <x:c r="J266"/>
    </x:row>
    <x:row r="267">
      <x:c r="A267" t="str">
        <x:v>HY-6D57F9D833AB</x:v>
      </x:c>
      <x:c r="B267"/>
      <x:c r="C267"/>
      <x:c r="D267"/>
      <x:c r="E267"/>
      <x:c r="F267"/>
      <x:c r="G267"/>
      <x:c r="H267"/>
      <x:c r="I267"/>
      <x:c r="J267"/>
    </x:row>
    <x:row r="268">
      <x:c r="A268" t="str">
        <x:v>HY-42E92EE9EB0F</x:v>
      </x:c>
      <x:c r="B268"/>
      <x:c r="C268"/>
      <x:c r="D268"/>
      <x:c r="E268"/>
      <x:c r="F268"/>
      <x:c r="G268"/>
      <x:c r="H268"/>
      <x:c r="I268"/>
      <x:c r="J268"/>
    </x:row>
    <x:row r="269">
      <x:c r="A269" t="str">
        <x:v>HY-E1B42CE5ADA5</x:v>
      </x:c>
      <x:c r="B269"/>
      <x:c r="C269"/>
      <x:c r="D269"/>
      <x:c r="E269"/>
      <x:c r="F269"/>
      <x:c r="G269"/>
      <x:c r="H269"/>
      <x:c r="I269"/>
      <x:c r="J269"/>
    </x:row>
    <x:row r="270">
      <x:c r="A270" t="str">
        <x:v>HY-BFC7D43B5105</x:v>
      </x:c>
      <x:c r="B270"/>
      <x:c r="C270"/>
      <x:c r="D270"/>
      <x:c r="E270"/>
      <x:c r="F270"/>
      <x:c r="G270"/>
      <x:c r="H270"/>
      <x:c r="I270"/>
      <x:c r="J270"/>
    </x:row>
    <x:row r="271">
      <x:c r="A271" t="str">
        <x:v>HY-3FD389E22B7F</x:v>
      </x:c>
      <x:c r="B271"/>
      <x:c r="C271"/>
      <x:c r="D271"/>
      <x:c r="E271"/>
      <x:c r="F271"/>
      <x:c r="G271"/>
      <x:c r="H271"/>
      <x:c r="I271"/>
      <x:c r="J271"/>
    </x:row>
    <x:row r="272">
      <x:c r="A272" t="str">
        <x:v>HY-49D9561ED646</x:v>
      </x:c>
      <x:c r="B272"/>
      <x:c r="C272"/>
      <x:c r="D272"/>
      <x:c r="E272"/>
      <x:c r="F272"/>
      <x:c r="G272"/>
      <x:c r="H272"/>
      <x:c r="I272"/>
      <x:c r="J272"/>
    </x:row>
    <x:row r="273">
      <x:c r="A273" t="str">
        <x:v>HY-D2CE9EF5CB74</x:v>
      </x:c>
      <x:c r="B273"/>
      <x:c r="C273"/>
      <x:c r="D273"/>
      <x:c r="E273"/>
      <x:c r="F273"/>
      <x:c r="G273"/>
      <x:c r="H273"/>
      <x:c r="I273"/>
      <x:c r="J273"/>
    </x:row>
    <x:row r="274">
      <x:c r="A274" t="str">
        <x:v>HY-8863BD59CF8F</x:v>
      </x:c>
      <x:c r="B274"/>
      <x:c r="C274"/>
      <x:c r="D274"/>
      <x:c r="E274"/>
      <x:c r="F274"/>
      <x:c r="G274"/>
      <x:c r="H274"/>
      <x:c r="I274"/>
      <x:c r="J274"/>
    </x:row>
    <x:row r="275">
      <x:c r="A275" t="str">
        <x:v>HY-38A16CB030F3</x:v>
      </x:c>
      <x:c r="B275"/>
      <x:c r="C275"/>
      <x:c r="D275"/>
      <x:c r="E275"/>
      <x:c r="F275"/>
      <x:c r="G275"/>
      <x:c r="H275"/>
      <x:c r="I275"/>
      <x:c r="J275"/>
    </x:row>
    <x:row r="276">
      <x:c r="A276" t="str">
        <x:v>HY-6A97427B41E4</x:v>
      </x:c>
      <x:c r="B276"/>
      <x:c r="C276"/>
      <x:c r="D276"/>
      <x:c r="E276"/>
      <x:c r="F276"/>
      <x:c r="G276"/>
      <x:c r="H276"/>
      <x:c r="I276"/>
      <x:c r="J276"/>
    </x:row>
    <x:row r="277">
      <x:c r="A277" t="str">
        <x:v>HY-EE13266FD8F0</x:v>
      </x:c>
      <x:c r="B277"/>
      <x:c r="C277"/>
      <x:c r="D277"/>
      <x:c r="E277"/>
      <x:c r="F277"/>
      <x:c r="G277"/>
      <x:c r="H277"/>
      <x:c r="I277"/>
      <x:c r="J277"/>
    </x:row>
    <x:row r="278">
      <x:c r="A278" t="str">
        <x:v>HY-05FB5B60A729</x:v>
      </x:c>
      <x:c r="B278"/>
      <x:c r="C278"/>
      <x:c r="D278"/>
      <x:c r="E278"/>
      <x:c r="F278"/>
      <x:c r="G278"/>
      <x:c r="H278"/>
      <x:c r="I278"/>
      <x:c r="J278"/>
    </x:row>
    <x:row r="279">
      <x:c r="A279" t="str">
        <x:v>HY-477C3674DB48</x:v>
      </x:c>
      <x:c r="B279"/>
      <x:c r="C279"/>
      <x:c r="D279"/>
      <x:c r="E279"/>
      <x:c r="F279"/>
      <x:c r="G279"/>
      <x:c r="H279"/>
      <x:c r="I279"/>
      <x:c r="J279"/>
    </x:row>
    <x:row r="280">
      <x:c r="A280" t="str">
        <x:v>HY-4252D93C3732</x:v>
      </x:c>
      <x:c r="B280"/>
      <x:c r="C280"/>
      <x:c r="D280"/>
      <x:c r="E280"/>
      <x:c r="F280"/>
      <x:c r="G280"/>
      <x:c r="H280"/>
      <x:c r="I280"/>
      <x:c r="J280"/>
    </x:row>
    <x:row r="281">
      <x:c r="A281" t="str">
        <x:v>HY-22D73EA13A17</x:v>
      </x:c>
      <x:c r="B281"/>
      <x:c r="C281"/>
      <x:c r="D281"/>
      <x:c r="E281"/>
      <x:c r="F281"/>
      <x:c r="G281"/>
      <x:c r="H281"/>
      <x:c r="I281"/>
      <x:c r="J281"/>
    </x:row>
    <x:row r="282">
      <x:c r="A282" t="str">
        <x:v>HY-DE5482B7EDA4</x:v>
      </x:c>
      <x:c r="B282"/>
      <x:c r="C282"/>
      <x:c r="D282"/>
      <x:c r="E282"/>
      <x:c r="F282"/>
      <x:c r="G282"/>
      <x:c r="H282"/>
      <x:c r="I282"/>
      <x:c r="J282"/>
    </x:row>
    <x:row r="283">
      <x:c r="A283" t="str">
        <x:v>HY-CF0304E97BEE</x:v>
      </x:c>
      <x:c r="B283"/>
      <x:c r="C283"/>
      <x:c r="D283"/>
      <x:c r="E283"/>
      <x:c r="F283"/>
      <x:c r="G283"/>
      <x:c r="H283"/>
      <x:c r="I283"/>
      <x:c r="J283"/>
    </x:row>
    <x:row r="284">
      <x:c r="A284" t="str">
        <x:v>HY-ABF1287786B5</x:v>
      </x:c>
      <x:c r="B284"/>
      <x:c r="C284"/>
      <x:c r="D284"/>
      <x:c r="E284"/>
      <x:c r="F284"/>
      <x:c r="G284"/>
      <x:c r="H284"/>
      <x:c r="I284"/>
      <x:c r="J284"/>
    </x:row>
    <x:row r="285">
      <x:c r="A285" t="str">
        <x:v>HY-DFADF083D04F</x:v>
      </x:c>
      <x:c r="B285"/>
      <x:c r="C285"/>
      <x:c r="D285"/>
      <x:c r="E285"/>
      <x:c r="F285"/>
      <x:c r="G285"/>
      <x:c r="H285"/>
      <x:c r="I285"/>
      <x:c r="J285"/>
    </x:row>
    <x:row r="286">
      <x:c r="A286" t="str">
        <x:v>HY-BC051648E9EE</x:v>
      </x:c>
      <x:c r="B286"/>
      <x:c r="C286"/>
      <x:c r="D286"/>
      <x:c r="E286"/>
      <x:c r="F286"/>
      <x:c r="G286"/>
      <x:c r="H286"/>
      <x:c r="I286"/>
      <x:c r="J286"/>
    </x:row>
    <x:row r="287">
      <x:c r="A287" t="str">
        <x:v>HY-E7A8B525A1D6</x:v>
      </x:c>
      <x:c r="B287"/>
      <x:c r="C287"/>
      <x:c r="D287"/>
      <x:c r="E287"/>
      <x:c r="F287"/>
      <x:c r="G287"/>
      <x:c r="H287"/>
      <x:c r="I287"/>
      <x:c r="J287"/>
    </x:row>
    <x:row r="288">
      <x:c r="A288" t="str">
        <x:v>HY-ED9A875B8F76</x:v>
      </x:c>
      <x:c r="B288"/>
      <x:c r="C288"/>
      <x:c r="D288"/>
      <x:c r="E288"/>
      <x:c r="F288"/>
      <x:c r="G288"/>
      <x:c r="H288"/>
      <x:c r="I288"/>
      <x:c r="J288"/>
    </x:row>
    <x:row r="289">
      <x:c r="A289" t="str">
        <x:v>HY-F0EDDA9657D4</x:v>
      </x:c>
      <x:c r="B289"/>
      <x:c r="C289"/>
      <x:c r="D289"/>
      <x:c r="E289"/>
      <x:c r="F289"/>
      <x:c r="G289"/>
      <x:c r="H289"/>
      <x:c r="I289"/>
      <x:c r="J289"/>
    </x:row>
    <x:row r="290">
      <x:c r="A290" t="str">
        <x:v>HY-E12A9189DA46</x:v>
      </x:c>
      <x:c r="B290"/>
      <x:c r="C290"/>
      <x:c r="D290"/>
      <x:c r="E290"/>
      <x:c r="F290"/>
      <x:c r="G290"/>
      <x:c r="H290"/>
      <x:c r="I290"/>
      <x:c r="J290"/>
    </x:row>
    <x:row r="291">
      <x:c r="A291" t="str">
        <x:v>HY-85E18E06F715</x:v>
      </x:c>
      <x:c r="B291"/>
      <x:c r="C291"/>
      <x:c r="D291"/>
      <x:c r="E291"/>
      <x:c r="F291"/>
      <x:c r="G291"/>
      <x:c r="H291"/>
      <x:c r="I291"/>
      <x:c r="J291"/>
    </x:row>
    <x:row r="292">
      <x:c r="A292" t="str">
        <x:v>HY-40FB1910727C</x:v>
      </x:c>
      <x:c r="B292"/>
      <x:c r="C292"/>
      <x:c r="D292"/>
      <x:c r="E292"/>
      <x:c r="F292"/>
      <x:c r="G292"/>
      <x:c r="H292"/>
      <x:c r="I292"/>
      <x:c r="J292"/>
    </x:row>
    <x:row r="293">
      <x:c r="A293" t="str">
        <x:v>HY-A9441C1F85BA</x:v>
      </x:c>
      <x:c r="B293"/>
      <x:c r="C293"/>
      <x:c r="D293"/>
      <x:c r="E293"/>
      <x:c r="F293"/>
      <x:c r="G293"/>
      <x:c r="H293"/>
      <x:c r="I293"/>
      <x:c r="J293"/>
    </x:row>
    <x:row r="294">
      <x:c r="A294" t="str">
        <x:v>HY-1B12494288B9</x:v>
      </x:c>
      <x:c r="B294"/>
      <x:c r="C294"/>
      <x:c r="D294"/>
      <x:c r="E294"/>
      <x:c r="F294"/>
      <x:c r="G294"/>
      <x:c r="H294"/>
      <x:c r="I294"/>
      <x:c r="J294"/>
    </x:row>
    <x:row r="295">
      <x:c r="A295" t="str">
        <x:v>HY-4AF607DB70D8</x:v>
      </x:c>
      <x:c r="B295"/>
      <x:c r="C295"/>
      <x:c r="D295"/>
      <x:c r="E295"/>
      <x:c r="F295"/>
      <x:c r="G295"/>
      <x:c r="H295"/>
      <x:c r="I295"/>
      <x:c r="J295"/>
    </x:row>
    <x:row r="296">
      <x:c r="A296" t="str">
        <x:v>HY-D58C89BD27A2</x:v>
      </x:c>
      <x:c r="B296"/>
      <x:c r="C296"/>
      <x:c r="D296"/>
      <x:c r="E296"/>
      <x:c r="F296"/>
      <x:c r="G296"/>
      <x:c r="H296"/>
      <x:c r="I296"/>
      <x:c r="J296"/>
    </x:row>
    <x:row r="297">
      <x:c r="A297" t="str">
        <x:v>HY-2E3EB7394E77</x:v>
      </x:c>
      <x:c r="B297"/>
      <x:c r="C297"/>
      <x:c r="D297"/>
      <x:c r="E297"/>
      <x:c r="F297"/>
      <x:c r="G297"/>
      <x:c r="H297"/>
      <x:c r="I297"/>
      <x:c r="J297"/>
    </x:row>
    <x:row r="298">
      <x:c r="A298" t="str">
        <x:v>HY-66BF34D3710D</x:v>
      </x:c>
      <x:c r="B298"/>
      <x:c r="C298"/>
      <x:c r="D298"/>
      <x:c r="E298"/>
      <x:c r="F298"/>
      <x:c r="G298"/>
      <x:c r="H298"/>
      <x:c r="I298"/>
      <x:c r="J298"/>
    </x:row>
    <x:row r="299">
      <x:c r="A299" t="str">
        <x:v>HY-32973A22A74A</x:v>
      </x:c>
      <x:c r="B299"/>
      <x:c r="C299"/>
      <x:c r="D299"/>
      <x:c r="E299"/>
      <x:c r="F299"/>
      <x:c r="G299"/>
      <x:c r="H299"/>
      <x:c r="I299"/>
      <x:c r="J299"/>
    </x:row>
    <x:row r="300">
      <x:c r="A300" t="str">
        <x:v>HY-E9D3DC5D70DA</x:v>
      </x:c>
      <x:c r="B300"/>
      <x:c r="C300"/>
      <x:c r="D300"/>
      <x:c r="E300"/>
      <x:c r="F300"/>
      <x:c r="G300"/>
      <x:c r="H300"/>
      <x:c r="I300"/>
      <x:c r="J300"/>
    </x:row>
    <x:row r="301">
      <x:c r="A301" t="str">
        <x:v>HY-B58C598D0E4B</x:v>
      </x:c>
      <x:c r="B301"/>
      <x:c r="C301"/>
      <x:c r="D301"/>
      <x:c r="E301"/>
      <x:c r="F301"/>
      <x:c r="G301"/>
      <x:c r="H301"/>
      <x:c r="I301"/>
      <x:c r="J301"/>
    </x:row>
    <x:row r="302">
      <x:c r="A302" t="str">
        <x:v>HY-4D30C3C3D3D1</x:v>
      </x:c>
      <x:c r="B302"/>
      <x:c r="C302"/>
      <x:c r="D302"/>
      <x:c r="E302"/>
      <x:c r="F302"/>
      <x:c r="G302"/>
      <x:c r="H302"/>
      <x:c r="I302"/>
      <x:c r="J302"/>
    </x:row>
    <x:row r="303">
      <x:c r="A303" t="str">
        <x:v>HY-374EF8061270</x:v>
      </x:c>
      <x:c r="B303"/>
      <x:c r="C303"/>
      <x:c r="D303"/>
      <x:c r="E303"/>
      <x:c r="F303"/>
      <x:c r="G303"/>
      <x:c r="H303"/>
      <x:c r="I303"/>
      <x:c r="J303"/>
    </x:row>
    <x:row r="304">
      <x:c r="A304" t="str">
        <x:v>HY-AE3F7D756D9E</x:v>
      </x:c>
      <x:c r="B304"/>
      <x:c r="C304"/>
      <x:c r="D304"/>
      <x:c r="E304"/>
      <x:c r="F304"/>
      <x:c r="G304"/>
      <x:c r="H304"/>
      <x:c r="I304"/>
      <x:c r="J304"/>
    </x:row>
    <x:row r="305">
      <x:c r="A305" t="str">
        <x:v>HY-A1E3B2ED8ED3</x:v>
      </x:c>
      <x:c r="B305"/>
      <x:c r="C305"/>
      <x:c r="D305"/>
      <x:c r="E305"/>
      <x:c r="F305"/>
      <x:c r="G305"/>
      <x:c r="H305"/>
      <x:c r="I305"/>
      <x:c r="J305"/>
    </x:row>
    <x:row r="306">
      <x:c r="A306" t="str">
        <x:v>HY-1953BFC13297</x:v>
      </x:c>
      <x:c r="B306"/>
      <x:c r="C306"/>
      <x:c r="D306"/>
      <x:c r="E306"/>
      <x:c r="F306"/>
      <x:c r="G306"/>
      <x:c r="H306"/>
      <x:c r="I306"/>
      <x:c r="J306"/>
    </x:row>
    <x:row r="307">
      <x:c r="A307" t="str">
        <x:v>HY-074FB4D42438</x:v>
      </x:c>
      <x:c r="B307"/>
      <x:c r="C307"/>
      <x:c r="D307"/>
      <x:c r="E307"/>
      <x:c r="F307"/>
      <x:c r="G307"/>
      <x:c r="H307"/>
      <x:c r="I307"/>
      <x:c r="J307"/>
    </x:row>
    <x:row r="308">
      <x:c r="A308" t="str">
        <x:v>HY-5793811D1B13</x:v>
      </x:c>
      <x:c r="B308"/>
      <x:c r="C308"/>
      <x:c r="D308"/>
      <x:c r="E308"/>
      <x:c r="F308"/>
      <x:c r="G308"/>
      <x:c r="H308"/>
      <x:c r="I308"/>
      <x:c r="J308"/>
    </x:row>
    <x:row r="309">
      <x:c r="A309" t="str">
        <x:v>HY-DC507A68EEFA</x:v>
      </x:c>
      <x:c r="B309"/>
      <x:c r="C309"/>
      <x:c r="D309"/>
      <x:c r="E309"/>
      <x:c r="F309"/>
      <x:c r="G309"/>
      <x:c r="H309"/>
      <x:c r="I309"/>
      <x:c r="J309"/>
    </x:row>
    <x:row r="310">
      <x:c r="A310" t="str">
        <x:v>HY-E49D0EE3619C</x:v>
      </x:c>
      <x:c r="B310"/>
      <x:c r="C310"/>
      <x:c r="D310"/>
      <x:c r="E310"/>
      <x:c r="F310"/>
      <x:c r="G310"/>
      <x:c r="H310"/>
      <x:c r="I310"/>
      <x:c r="J310"/>
    </x:row>
    <x:row r="311">
      <x:c r="A311" t="str">
        <x:v>HY-11E2761F0A6C</x:v>
      </x:c>
      <x:c r="B311"/>
      <x:c r="C311"/>
      <x:c r="D311"/>
      <x:c r="E311"/>
      <x:c r="F311"/>
      <x:c r="G311"/>
      <x:c r="H311"/>
      <x:c r="I311"/>
      <x:c r="J311"/>
    </x:row>
    <x:row r="312">
      <x:c r="A312" t="str">
        <x:v>HY-A0D181BD9A5B</x:v>
      </x:c>
      <x:c r="B312"/>
      <x:c r="C312"/>
      <x:c r="D312"/>
      <x:c r="E312"/>
      <x:c r="F312"/>
      <x:c r="G312"/>
      <x:c r="H312"/>
      <x:c r="I312"/>
      <x:c r="J312"/>
    </x:row>
    <x:row r="313">
      <x:c r="A313" t="str">
        <x:v>HY-328D59B42B4A</x:v>
      </x:c>
      <x:c r="B313"/>
      <x:c r="C313"/>
      <x:c r="D313"/>
      <x:c r="E313"/>
      <x:c r="F313"/>
      <x:c r="G313"/>
      <x:c r="H313"/>
      <x:c r="I313"/>
      <x:c r="J313"/>
    </x:row>
    <x:row r="314">
      <x:c r="A314" t="str">
        <x:v>HY-3EC503D41013</x:v>
      </x:c>
      <x:c r="B314"/>
      <x:c r="C314"/>
      <x:c r="D314"/>
      <x:c r="E314"/>
      <x:c r="F314"/>
      <x:c r="G314"/>
      <x:c r="H314"/>
      <x:c r="I314"/>
      <x:c r="J314"/>
    </x:row>
    <x:row r="315">
      <x:c r="A315" t="str">
        <x:v>HY-8E55F9201565</x:v>
      </x:c>
      <x:c r="B315"/>
      <x:c r="C315"/>
      <x:c r="D315"/>
      <x:c r="E315"/>
      <x:c r="F315"/>
      <x:c r="G315"/>
      <x:c r="H315"/>
      <x:c r="I315"/>
      <x:c r="J315"/>
    </x:row>
    <x:row r="316">
      <x:c r="A316" t="str">
        <x:v>HY-E5E5351A48F0</x:v>
      </x:c>
      <x:c r="B316"/>
      <x:c r="C316"/>
      <x:c r="D316"/>
      <x:c r="E316"/>
      <x:c r="F316"/>
      <x:c r="G316"/>
      <x:c r="H316"/>
      <x:c r="I316"/>
      <x:c r="J316"/>
    </x:row>
    <x:row r="317">
      <x:c r="A317" t="str">
        <x:v>HY-C148EAD9F65B</x:v>
      </x:c>
      <x:c r="B317"/>
      <x:c r="C317"/>
      <x:c r="D317"/>
      <x:c r="E317"/>
      <x:c r="F317"/>
      <x:c r="G317"/>
      <x:c r="H317"/>
      <x:c r="I317"/>
      <x:c r="J317"/>
    </x:row>
    <x:row r="318">
      <x:c r="A318" t="str">
        <x:v>HY-B3DDC63ED23E</x:v>
      </x:c>
      <x:c r="B318"/>
      <x:c r="C318"/>
      <x:c r="D318"/>
      <x:c r="E318"/>
      <x:c r="F318"/>
      <x:c r="G318"/>
      <x:c r="H318"/>
      <x:c r="I318"/>
      <x:c r="J318"/>
    </x:row>
    <x:row r="319">
      <x:c r="A319" t="str">
        <x:v>HY-1E0CA9EB2160</x:v>
      </x:c>
      <x:c r="B319"/>
      <x:c r="C319"/>
      <x:c r="D319"/>
      <x:c r="E319"/>
      <x:c r="F319"/>
      <x:c r="G319"/>
      <x:c r="H319"/>
      <x:c r="I319"/>
      <x:c r="J319"/>
    </x:row>
    <x:row r="320">
      <x:c r="A320" t="str">
        <x:v>HY-E44DF8C07E4B</x:v>
      </x:c>
      <x:c r="B320"/>
      <x:c r="C320"/>
      <x:c r="D320"/>
      <x:c r="E320"/>
      <x:c r="F320"/>
      <x:c r="G320"/>
      <x:c r="H320"/>
      <x:c r="I320"/>
      <x:c r="J320"/>
    </x:row>
    <x:row r="321">
      <x:c r="A321" t="str">
        <x:v>HY-E0D53B7AD1D3</x:v>
      </x:c>
      <x:c r="B321"/>
      <x:c r="C321"/>
      <x:c r="D321"/>
      <x:c r="E321"/>
      <x:c r="F321"/>
      <x:c r="G321"/>
      <x:c r="H321"/>
      <x:c r="I321"/>
      <x:c r="J321"/>
    </x:row>
    <x:row r="322">
      <x:c r="A322" t="str">
        <x:v>HY-493BE742E3ED</x:v>
      </x:c>
      <x:c r="B322"/>
      <x:c r="C322"/>
      <x:c r="D322"/>
      <x:c r="E322"/>
      <x:c r="F322"/>
      <x:c r="G322"/>
      <x:c r="H322"/>
      <x:c r="I322"/>
      <x:c r="J322"/>
    </x:row>
    <x:row r="323">
      <x:c r="A323" t="str">
        <x:v>HY-BF69DD8F7201</x:v>
      </x:c>
      <x:c r="B323"/>
      <x:c r="C323"/>
      <x:c r="D323"/>
      <x:c r="E323"/>
      <x:c r="F323"/>
      <x:c r="G323"/>
      <x:c r="H323"/>
      <x:c r="I323"/>
      <x:c r="J323"/>
    </x:row>
    <x:row r="324">
      <x:c r="A324" t="str">
        <x:v>HY-5444A0E88F66</x:v>
      </x:c>
      <x:c r="B324"/>
      <x:c r="C324"/>
      <x:c r="D324"/>
      <x:c r="E324"/>
      <x:c r="F324"/>
      <x:c r="G324"/>
      <x:c r="H324"/>
      <x:c r="I324"/>
      <x:c r="J324"/>
    </x:row>
    <x:row r="325">
      <x:c r="A325" t="str">
        <x:v>HY-B0A6E378B04B</x:v>
      </x:c>
      <x:c r="B325"/>
      <x:c r="C325"/>
      <x:c r="D325"/>
      <x:c r="E325"/>
      <x:c r="F325"/>
      <x:c r="G325"/>
      <x:c r="H325"/>
      <x:c r="I325"/>
      <x:c r="J325"/>
    </x:row>
    <x:row r="326">
      <x:c r="A326" t="str">
        <x:v>HY-E122E024CDC1</x:v>
      </x:c>
      <x:c r="B326"/>
      <x:c r="C326"/>
      <x:c r="D326"/>
      <x:c r="E326"/>
      <x:c r="F326"/>
      <x:c r="G326"/>
      <x:c r="H326"/>
      <x:c r="I326"/>
      <x:c r="J326"/>
    </x:row>
    <x:row r="327">
      <x:c r="A327" t="str">
        <x:v>HY-7D9DE5E7CC50</x:v>
      </x:c>
      <x:c r="B327"/>
      <x:c r="C327"/>
      <x:c r="D327"/>
      <x:c r="E327"/>
      <x:c r="F327"/>
      <x:c r="G327"/>
      <x:c r="H327"/>
      <x:c r="I327"/>
      <x:c r="J327"/>
    </x:row>
    <x:row r="328">
      <x:c r="A328" t="str">
        <x:v>HY-3009A2B3D8A8</x:v>
      </x:c>
      <x:c r="B328"/>
      <x:c r="C328"/>
      <x:c r="D328"/>
      <x:c r="E328"/>
      <x:c r="F328"/>
      <x:c r="G328"/>
      <x:c r="H328"/>
      <x:c r="I328"/>
      <x:c r="J328"/>
    </x:row>
    <x:row r="329">
      <x:c r="A329" t="str">
        <x:v>HY-51CF7A8E036B</x:v>
      </x:c>
      <x:c r="B329"/>
      <x:c r="C329"/>
      <x:c r="D329"/>
      <x:c r="E329"/>
      <x:c r="F329"/>
      <x:c r="G329"/>
      <x:c r="H329"/>
      <x:c r="I329"/>
      <x:c r="J329"/>
    </x:row>
    <x:row r="330">
      <x:c r="A330" t="str">
        <x:v>HY-0A04B726B543</x:v>
      </x:c>
      <x:c r="B330"/>
      <x:c r="C330"/>
      <x:c r="D330"/>
      <x:c r="E330"/>
      <x:c r="F330"/>
      <x:c r="G330"/>
      <x:c r="H330"/>
      <x:c r="I330"/>
      <x:c r="J330"/>
    </x:row>
    <x:row r="331">
      <x:c r="A331" t="str">
        <x:v>HY-7D7102C682E3</x:v>
      </x:c>
      <x:c r="B331"/>
      <x:c r="C331"/>
      <x:c r="D331"/>
      <x:c r="E331"/>
      <x:c r="F331"/>
      <x:c r="G331"/>
      <x:c r="H331"/>
      <x:c r="I331"/>
      <x:c r="J331"/>
    </x:row>
    <x:row r="332">
      <x:c r="A332" t="str">
        <x:v>HY-C6C254161360</x:v>
      </x:c>
      <x:c r="B332"/>
      <x:c r="C332"/>
      <x:c r="D332"/>
      <x:c r="E332"/>
      <x:c r="F332"/>
      <x:c r="G332"/>
      <x:c r="H332"/>
      <x:c r="I332"/>
      <x:c r="J332"/>
    </x:row>
    <x:row r="333">
      <x:c r="A333" t="str">
        <x:v>HY-994CDC05656E</x:v>
      </x:c>
      <x:c r="B333"/>
      <x:c r="C333"/>
      <x:c r="D333"/>
      <x:c r="E333"/>
      <x:c r="F333"/>
      <x:c r="G333"/>
      <x:c r="H333"/>
      <x:c r="I333"/>
      <x:c r="J333"/>
    </x:row>
    <x:row r="334">
      <x:c r="A334" t="str">
        <x:v>HY-783A392377CC</x:v>
      </x:c>
      <x:c r="B334"/>
      <x:c r="C334"/>
      <x:c r="D334"/>
      <x:c r="E334"/>
      <x:c r="F334"/>
      <x:c r="G334"/>
      <x:c r="H334"/>
      <x:c r="I334"/>
      <x:c r="J334"/>
    </x:row>
    <x:row r="335">
      <x:c r="A335" t="str">
        <x:v>HY-22BB5D4A707F</x:v>
      </x:c>
      <x:c r="B335"/>
      <x:c r="C335"/>
      <x:c r="D335"/>
      <x:c r="E335"/>
      <x:c r="F335"/>
      <x:c r="G335"/>
      <x:c r="H335"/>
      <x:c r="I335"/>
      <x:c r="J335"/>
    </x:row>
    <x:row r="336">
      <x:c r="A336" t="str">
        <x:v>HY-D0B4815810BB</x:v>
      </x:c>
      <x:c r="B336"/>
      <x:c r="C336"/>
      <x:c r="D336"/>
      <x:c r="E336"/>
      <x:c r="F336"/>
      <x:c r="G336"/>
      <x:c r="H336"/>
      <x:c r="I336"/>
      <x:c r="J336"/>
    </x:row>
    <x:row r="337">
      <x:c r="A337" t="str">
        <x:v>HY-C1C81110A53B</x:v>
      </x:c>
      <x:c r="B337"/>
      <x:c r="C337"/>
      <x:c r="D337"/>
      <x:c r="E337"/>
      <x:c r="F337"/>
      <x:c r="G337"/>
      <x:c r="H337"/>
      <x:c r="I337"/>
      <x:c r="J337"/>
    </x:row>
    <x:row r="338">
      <x:c r="A338" t="str">
        <x:v>HY-FE50059E952C</x:v>
      </x:c>
      <x:c r="B338"/>
      <x:c r="C338"/>
      <x:c r="D338"/>
      <x:c r="E338"/>
      <x:c r="F338"/>
      <x:c r="G338"/>
      <x:c r="H338"/>
      <x:c r="I338"/>
      <x:c r="J338"/>
    </x:row>
    <x:row r="339">
      <x:c r="A339" t="str">
        <x:v>HY-D9F7E1864E09</x:v>
      </x:c>
      <x:c r="B339"/>
      <x:c r="C339"/>
      <x:c r="D339"/>
      <x:c r="E339"/>
      <x:c r="F339"/>
      <x:c r="G339"/>
      <x:c r="H339"/>
      <x:c r="I339"/>
      <x:c r="J339"/>
    </x:row>
    <x:row r="340">
      <x:c r="A340" t="str">
        <x:v>HY-7F268C40D2D0</x:v>
      </x:c>
      <x:c r="B340"/>
      <x:c r="C340"/>
      <x:c r="D340"/>
      <x:c r="E340"/>
      <x:c r="F340"/>
      <x:c r="G340"/>
      <x:c r="H340"/>
      <x:c r="I340"/>
      <x:c r="J340"/>
    </x:row>
    <x:row r="341">
      <x:c r="A341" t="str">
        <x:v>HY-08046D93E56D</x:v>
      </x:c>
      <x:c r="B341"/>
      <x:c r="C341"/>
      <x:c r="D341"/>
      <x:c r="E341"/>
      <x:c r="F341"/>
      <x:c r="G341"/>
      <x:c r="H341"/>
      <x:c r="I341"/>
      <x:c r="J341"/>
    </x:row>
    <x:row r="342">
      <x:c r="A342" t="str">
        <x:v>HY-F1362D0DCB89</x:v>
      </x:c>
      <x:c r="B342"/>
      <x:c r="C342"/>
      <x:c r="D342"/>
      <x:c r="E342"/>
      <x:c r="F342"/>
      <x:c r="G342"/>
      <x:c r="H342"/>
      <x:c r="I342"/>
      <x:c r="J342"/>
    </x:row>
    <x:row r="343">
      <x:c r="A343" t="str">
        <x:v>HY-EC23FB223FE1</x:v>
      </x:c>
      <x:c r="B343"/>
      <x:c r="C343"/>
      <x:c r="D343"/>
      <x:c r="E343"/>
      <x:c r="F343"/>
      <x:c r="G343"/>
      <x:c r="H343"/>
      <x:c r="I343"/>
      <x:c r="J343"/>
    </x:row>
    <x:row r="344">
      <x:c r="A344" t="str">
        <x:v>HY-6D4BFE192A58</x:v>
      </x:c>
      <x:c r="B344"/>
      <x:c r="C344"/>
      <x:c r="D344"/>
      <x:c r="E344"/>
      <x:c r="F344"/>
      <x:c r="G344"/>
      <x:c r="H344"/>
      <x:c r="I344"/>
      <x:c r="J344"/>
    </x:row>
    <x:row r="345">
      <x:c r="A345" t="str">
        <x:v>HY-385EC8844F6F</x:v>
      </x:c>
      <x:c r="B345"/>
      <x:c r="C345"/>
      <x:c r="D345"/>
      <x:c r="E345"/>
      <x:c r="F345"/>
      <x:c r="G345"/>
      <x:c r="H345"/>
      <x:c r="I345"/>
      <x:c r="J345"/>
    </x:row>
    <x:row r="346">
      <x:c r="A346" t="str">
        <x:v>HY-AF8806ADC81D</x:v>
      </x:c>
      <x:c r="B346"/>
      <x:c r="C346"/>
      <x:c r="D346"/>
      <x:c r="E346"/>
      <x:c r="F346"/>
      <x:c r="G346"/>
      <x:c r="H346"/>
      <x:c r="I346"/>
      <x:c r="J346"/>
    </x:row>
    <x:row r="347">
      <x:c r="A347" t="str">
        <x:v>HY-1405B4572EFE</x:v>
      </x:c>
      <x:c r="B347"/>
      <x:c r="C347"/>
      <x:c r="D347"/>
      <x:c r="E347"/>
      <x:c r="F347"/>
      <x:c r="G347"/>
      <x:c r="H347"/>
      <x:c r="I347"/>
      <x:c r="J347"/>
    </x:row>
    <x:row r="348">
      <x:c r="A348" t="str">
        <x:v>HY-9D9F43C28B5E</x:v>
      </x:c>
      <x:c r="B348"/>
      <x:c r="C348"/>
      <x:c r="D348"/>
      <x:c r="E348"/>
      <x:c r="F348"/>
      <x:c r="G348"/>
      <x:c r="H348"/>
      <x:c r="I348"/>
      <x:c r="J348"/>
    </x:row>
    <x:row r="349">
      <x:c r="A349" t="str">
        <x:v>HY-A53531A7808A</x:v>
      </x:c>
      <x:c r="B349"/>
      <x:c r="C349"/>
      <x:c r="D349"/>
      <x:c r="E349"/>
      <x:c r="F349"/>
      <x:c r="G349"/>
      <x:c r="H349"/>
      <x:c r="I349"/>
      <x:c r="J349"/>
    </x:row>
    <x:row r="350">
      <x:c r="A350" t="str">
        <x:v>HY-A9DD63F2470E</x:v>
      </x:c>
      <x:c r="B350"/>
      <x:c r="C350"/>
      <x:c r="D350"/>
      <x:c r="E350"/>
      <x:c r="F350"/>
      <x:c r="G350"/>
      <x:c r="H350"/>
      <x:c r="I350"/>
      <x:c r="J350"/>
    </x:row>
    <x:row r="351">
      <x:c r="A351" t="str">
        <x:v>HY-F89FB57D4DCA</x:v>
      </x:c>
      <x:c r="B351"/>
      <x:c r="C351"/>
      <x:c r="D351"/>
      <x:c r="E351"/>
      <x:c r="F351"/>
      <x:c r="G351"/>
      <x:c r="H351"/>
      <x:c r="I351"/>
      <x:c r="J351"/>
    </x:row>
    <x:row r="352">
      <x:c r="A352" t="str">
        <x:v>HY-047BA92757AF</x:v>
      </x:c>
      <x:c r="B352"/>
      <x:c r="C352"/>
      <x:c r="D352"/>
      <x:c r="E352"/>
      <x:c r="F352"/>
      <x:c r="G352"/>
      <x:c r="H352"/>
      <x:c r="I352"/>
      <x:c r="J352"/>
    </x:row>
    <x:row r="353">
      <x:c r="A353" t="str">
        <x:v>HY-49021C833D23</x:v>
      </x:c>
      <x:c r="B353"/>
      <x:c r="C353"/>
      <x:c r="D353"/>
      <x:c r="E353"/>
      <x:c r="F353"/>
      <x:c r="G353"/>
      <x:c r="H353"/>
      <x:c r="I353"/>
      <x:c r="J353"/>
    </x:row>
    <x:row r="354">
      <x:c r="A354" t="str">
        <x:v>HY-85C83666736B</x:v>
      </x:c>
      <x:c r="B354"/>
      <x:c r="C354"/>
      <x:c r="D354"/>
      <x:c r="E354"/>
      <x:c r="F354"/>
      <x:c r="G354"/>
      <x:c r="H354"/>
      <x:c r="I354"/>
      <x:c r="J354"/>
    </x:row>
    <x:row r="355">
      <x:c r="A355" t="str">
        <x:v>HY-5A9678A0DE25</x:v>
      </x:c>
      <x:c r="B355"/>
      <x:c r="C355"/>
      <x:c r="D355"/>
      <x:c r="E355"/>
      <x:c r="F355"/>
      <x:c r="G355"/>
      <x:c r="H355"/>
      <x:c r="I355"/>
      <x:c r="J355"/>
    </x:row>
    <x:row r="356">
      <x:c r="A356" t="str">
        <x:v>HY-AF4326F54D80</x:v>
      </x:c>
      <x:c r="B356"/>
      <x:c r="C356"/>
      <x:c r="D356"/>
      <x:c r="E356"/>
      <x:c r="F356"/>
      <x:c r="G356"/>
      <x:c r="H356"/>
      <x:c r="I356"/>
      <x:c r="J356"/>
    </x:row>
    <x:row r="357">
      <x:c r="A357" t="str">
        <x:v>HY-AB4CD30B289A</x:v>
      </x:c>
      <x:c r="B357"/>
      <x:c r="C357"/>
      <x:c r="D357"/>
      <x:c r="E357"/>
      <x:c r="F357"/>
      <x:c r="G357"/>
      <x:c r="H357"/>
      <x:c r="I357"/>
      <x:c r="J357"/>
    </x:row>
    <x:row r="358">
      <x:c r="A358" t="str">
        <x:v>HY-12EAF122CF85</x:v>
      </x:c>
      <x:c r="B358"/>
      <x:c r="C358"/>
      <x:c r="D358"/>
      <x:c r="E358"/>
      <x:c r="F358"/>
      <x:c r="G358"/>
      <x:c r="H358"/>
      <x:c r="I358"/>
      <x:c r="J358"/>
    </x:row>
    <x:row r="359">
      <x:c r="A359" t="str">
        <x:v>HY-199E0265507F</x:v>
      </x:c>
      <x:c r="B359"/>
      <x:c r="C359"/>
      <x:c r="D359"/>
      <x:c r="E359"/>
      <x:c r="F359"/>
      <x:c r="G359"/>
      <x:c r="H359"/>
      <x:c r="I359"/>
      <x:c r="J359"/>
    </x:row>
    <x:row r="360">
      <x:c r="A360" t="str">
        <x:v>HY-5BDCC72C96CE</x:v>
      </x:c>
      <x:c r="B360"/>
      <x:c r="C360"/>
      <x:c r="D360"/>
      <x:c r="E360"/>
      <x:c r="F360"/>
      <x:c r="G360"/>
      <x:c r="H360"/>
      <x:c r="I360"/>
      <x:c r="J360"/>
    </x:row>
    <x:row r="361">
      <x:c r="A361" t="str">
        <x:v>HY-DB93176BAFE7</x:v>
      </x:c>
      <x:c r="B361"/>
      <x:c r="C361"/>
      <x:c r="D361"/>
      <x:c r="E361"/>
      <x:c r="F361"/>
      <x:c r="G361"/>
      <x:c r="H361"/>
      <x:c r="I361"/>
      <x:c r="J361"/>
    </x:row>
    <x:row r="362">
      <x:c r="A362" t="str">
        <x:v>HY-1DD80C482175</x:v>
      </x:c>
      <x:c r="B362"/>
      <x:c r="C362"/>
      <x:c r="D362"/>
      <x:c r="E362"/>
      <x:c r="F362"/>
      <x:c r="G362"/>
      <x:c r="H362"/>
      <x:c r="I362"/>
      <x:c r="J362"/>
    </x:row>
    <x:row r="363">
      <x:c r="A363" t="str">
        <x:v>HY-B8BD30EE8A1A</x:v>
      </x:c>
      <x:c r="B363"/>
      <x:c r="C363"/>
      <x:c r="D363"/>
      <x:c r="E363"/>
      <x:c r="F363"/>
      <x:c r="G363"/>
      <x:c r="H363"/>
      <x:c r="I363"/>
      <x:c r="J363"/>
    </x:row>
    <x:row r="364">
      <x:c r="A364" t="str">
        <x:v>HY-65EA75506D6C</x:v>
      </x:c>
      <x:c r="B364"/>
      <x:c r="C364"/>
      <x:c r="D364"/>
      <x:c r="E364"/>
      <x:c r="F364"/>
      <x:c r="G364"/>
      <x:c r="H364"/>
      <x:c r="I364"/>
      <x:c r="J364"/>
    </x:row>
    <x:row r="365">
      <x:c r="A365" t="str">
        <x:v>HY-3301B2811545</x:v>
      </x:c>
      <x:c r="B365"/>
      <x:c r="C365"/>
      <x:c r="D365"/>
      <x:c r="E365"/>
      <x:c r="F365"/>
      <x:c r="G365"/>
      <x:c r="H365"/>
      <x:c r="I365"/>
      <x:c r="J365"/>
    </x:row>
    <x:row r="366">
      <x:c r="A366" t="str">
        <x:v>HY-9225ED08B85B</x:v>
      </x:c>
      <x:c r="B366"/>
      <x:c r="C366"/>
      <x:c r="D366"/>
      <x:c r="E366"/>
      <x:c r="F366"/>
      <x:c r="G366"/>
      <x:c r="H366"/>
      <x:c r="I366"/>
      <x:c r="J366"/>
    </x:row>
    <x:row r="367">
      <x:c r="A367" t="str">
        <x:v>HY-F564DC20F46C</x:v>
      </x:c>
      <x:c r="B367"/>
      <x:c r="C367"/>
      <x:c r="D367"/>
      <x:c r="E367"/>
      <x:c r="F367"/>
      <x:c r="G367"/>
      <x:c r="H367"/>
      <x:c r="I367"/>
      <x:c r="J367"/>
    </x:row>
    <x:row r="368">
      <x:c r="A368" t="str">
        <x:v>HY-C7E2FD62ACC3</x:v>
      </x:c>
      <x:c r="B368"/>
      <x:c r="C368"/>
      <x:c r="D368"/>
      <x:c r="E368"/>
      <x:c r="F368"/>
      <x:c r="G368"/>
      <x:c r="H368"/>
      <x:c r="I368"/>
      <x:c r="J368"/>
    </x:row>
    <x:row r="369">
      <x:c r="A369" t="str">
        <x:v>HY-E09B03E7EB14</x:v>
      </x:c>
      <x:c r="B369"/>
      <x:c r="C369"/>
      <x:c r="D369"/>
      <x:c r="E369"/>
      <x:c r="F369"/>
      <x:c r="G369"/>
      <x:c r="H369"/>
      <x:c r="I369"/>
      <x:c r="J369"/>
    </x:row>
    <x:row r="370">
      <x:c r="A370" t="str">
        <x:v>HY-C1B191F83292</x:v>
      </x:c>
      <x:c r="B370"/>
      <x:c r="C370"/>
      <x:c r="D370"/>
      <x:c r="E370"/>
      <x:c r="F370"/>
      <x:c r="G370"/>
      <x:c r="H370"/>
      <x:c r="I370"/>
      <x:c r="J370"/>
    </x:row>
    <x:row r="371">
      <x:c r="A371" t="str">
        <x:v>HY-D518FA92B77C</x:v>
      </x:c>
      <x:c r="B371"/>
      <x:c r="C371"/>
      <x:c r="D371"/>
      <x:c r="E371"/>
      <x:c r="F371"/>
      <x:c r="G371"/>
      <x:c r="H371"/>
      <x:c r="I371"/>
      <x:c r="J371"/>
    </x:row>
    <x:row r="372">
      <x:c r="A372" t="str">
        <x:v>HY-36C508669C4E</x:v>
      </x:c>
      <x:c r="B372"/>
      <x:c r="C372"/>
      <x:c r="D372"/>
      <x:c r="E372"/>
      <x:c r="F372"/>
      <x:c r="G372"/>
      <x:c r="H372"/>
      <x:c r="I372"/>
      <x:c r="J372"/>
    </x:row>
    <x:row r="373">
      <x:c r="A373" t="str">
        <x:v>HY-4746E6563E8A</x:v>
      </x:c>
      <x:c r="B373"/>
      <x:c r="C373"/>
      <x:c r="D373"/>
      <x:c r="E373"/>
      <x:c r="F373"/>
      <x:c r="G373"/>
      <x:c r="H373"/>
      <x:c r="I373"/>
      <x:c r="J373"/>
    </x:row>
    <x:row r="374">
      <x:c r="A374" t="str">
        <x:v>HY-C646888939B4</x:v>
      </x:c>
      <x:c r="B374"/>
      <x:c r="C374"/>
      <x:c r="D374"/>
      <x:c r="E374"/>
      <x:c r="F374"/>
      <x:c r="G374"/>
      <x:c r="H374"/>
      <x:c r="I374"/>
      <x:c r="J374"/>
    </x:row>
    <x:row r="375">
      <x:c r="A375" t="str">
        <x:v>HY-2889F6D963F9</x:v>
      </x:c>
      <x:c r="B375"/>
      <x:c r="C375"/>
      <x:c r="D375"/>
      <x:c r="E375"/>
      <x:c r="F375"/>
      <x:c r="G375"/>
      <x:c r="H375"/>
      <x:c r="I375"/>
      <x:c r="J375"/>
    </x:row>
    <x:row r="376">
      <x:c r="A376" t="str">
        <x:v>HY-539797541747</x:v>
      </x:c>
      <x:c r="B376"/>
      <x:c r="C376"/>
      <x:c r="D376"/>
      <x:c r="E376"/>
      <x:c r="F376"/>
      <x:c r="G376"/>
      <x:c r="H376"/>
      <x:c r="I376"/>
      <x:c r="J376"/>
    </x:row>
    <x:row r="377">
      <x:c r="A377" t="str">
        <x:v>HY-8A6609175F71</x:v>
      </x:c>
      <x:c r="B377"/>
      <x:c r="C377"/>
      <x:c r="D377"/>
      <x:c r="E377"/>
      <x:c r="F377"/>
      <x:c r="G377"/>
      <x:c r="H377"/>
      <x:c r="I377"/>
      <x:c r="J377"/>
    </x:row>
    <x:row r="378">
      <x:c r="A378" t="str">
        <x:v>HY-6B2AEED26238</x:v>
      </x:c>
      <x:c r="B378"/>
      <x:c r="C378"/>
      <x:c r="D378"/>
      <x:c r="E378"/>
      <x:c r="F378"/>
      <x:c r="G378"/>
      <x:c r="H378"/>
      <x:c r="I378"/>
      <x:c r="J378"/>
    </x:row>
    <x:row r="379">
      <x:c r="A379" t="str">
        <x:v>HY-C84BDE39E087</x:v>
      </x:c>
      <x:c r="B379"/>
      <x:c r="C379"/>
      <x:c r="D379"/>
      <x:c r="E379"/>
      <x:c r="F379"/>
      <x:c r="G379"/>
      <x:c r="H379"/>
      <x:c r="I379"/>
      <x:c r="J379"/>
    </x:row>
    <x:row r="380">
      <x:c r="A380" t="str">
        <x:v>HY-A5FFAC8FB77E</x:v>
      </x:c>
      <x:c r="B380"/>
      <x:c r="C380"/>
      <x:c r="D380"/>
      <x:c r="E380"/>
      <x:c r="F380"/>
      <x:c r="G380"/>
      <x:c r="H380"/>
      <x:c r="I380"/>
      <x:c r="J380"/>
    </x:row>
    <x:row r="381">
      <x:c r="A381" t="str">
        <x:v>HY-4D142681B9E4</x:v>
      </x:c>
      <x:c r="B381"/>
      <x:c r="C381"/>
      <x:c r="D381"/>
      <x:c r="E381"/>
      <x:c r="F381"/>
      <x:c r="G381"/>
      <x:c r="H381"/>
      <x:c r="I381"/>
      <x:c r="J381"/>
    </x:row>
    <x:row r="382">
      <x:c r="A382" t="str">
        <x:v>HY-44E36AFE8ECB</x:v>
      </x:c>
      <x:c r="B382"/>
      <x:c r="C382"/>
      <x:c r="D382"/>
      <x:c r="E382"/>
      <x:c r="F382"/>
      <x:c r="G382"/>
      <x:c r="H382"/>
      <x:c r="I382"/>
      <x:c r="J382"/>
    </x:row>
    <x:row r="383">
      <x:c r="A383" t="str">
        <x:v>HY-08EC6FEAB9E0</x:v>
      </x:c>
      <x:c r="B383"/>
      <x:c r="C383"/>
      <x:c r="D383"/>
      <x:c r="E383"/>
      <x:c r="F383"/>
      <x:c r="G383"/>
      <x:c r="H383"/>
      <x:c r="I383"/>
      <x:c r="J383"/>
    </x:row>
    <x:row r="384">
      <x:c r="A384" t="str">
        <x:v>HY-7D2AC080E5C8</x:v>
      </x:c>
      <x:c r="B384"/>
      <x:c r="C384"/>
      <x:c r="D384"/>
      <x:c r="E384"/>
      <x:c r="F384"/>
      <x:c r="G384"/>
      <x:c r="H384"/>
      <x:c r="I384"/>
      <x:c r="J384"/>
    </x:row>
    <x:row r="385">
      <x:c r="A385" t="str">
        <x:v>HY-60E8F8890580</x:v>
      </x:c>
      <x:c r="B385"/>
      <x:c r="C385"/>
      <x:c r="D385"/>
      <x:c r="E385"/>
      <x:c r="F385"/>
      <x:c r="G385"/>
      <x:c r="H385"/>
      <x:c r="I385"/>
      <x:c r="J385"/>
    </x:row>
    <x:row r="386">
      <x:c r="A386" t="str">
        <x:v>HY-5CB8D0441CA8</x:v>
      </x:c>
      <x:c r="B386"/>
      <x:c r="C386"/>
      <x:c r="D386"/>
      <x:c r="E386"/>
      <x:c r="F386"/>
      <x:c r="G386"/>
      <x:c r="H386"/>
      <x:c r="I386"/>
      <x:c r="J386"/>
    </x:row>
    <x:row r="387">
      <x:c r="A387" t="str">
        <x:v>HY-AD7AD47F7C16</x:v>
      </x:c>
      <x:c r="B387"/>
      <x:c r="C387"/>
      <x:c r="D387"/>
      <x:c r="E387"/>
      <x:c r="F387"/>
      <x:c r="G387"/>
      <x:c r="H387"/>
      <x:c r="I387"/>
      <x:c r="J387"/>
    </x:row>
    <x:row r="388">
      <x:c r="A388" t="str">
        <x:v>HY-211FCB3C0D48</x:v>
      </x:c>
      <x:c r="B388"/>
      <x:c r="C388"/>
      <x:c r="D388"/>
      <x:c r="E388"/>
      <x:c r="F388"/>
      <x:c r="G388"/>
      <x:c r="H388"/>
      <x:c r="I388"/>
      <x:c r="J388"/>
    </x:row>
    <x:row r="389">
      <x:c r="A389" t="str">
        <x:v>HY-558BA6C7435A</x:v>
      </x:c>
      <x:c r="B389"/>
      <x:c r="C389"/>
      <x:c r="D389"/>
      <x:c r="E389"/>
      <x:c r="F389"/>
      <x:c r="G389"/>
      <x:c r="H389"/>
      <x:c r="I389"/>
      <x:c r="J389"/>
    </x:row>
    <x:row r="390">
      <x:c r="A390" t="str">
        <x:v>HY-F3224A0C6B3C</x:v>
      </x:c>
      <x:c r="B390"/>
      <x:c r="C390"/>
      <x:c r="D390"/>
      <x:c r="E390"/>
      <x:c r="F390"/>
      <x:c r="G390"/>
      <x:c r="H390"/>
      <x:c r="I390"/>
      <x:c r="J390"/>
    </x:row>
    <x:row r="391">
      <x:c r="A391" t="str">
        <x:v>HY-81BFCE3E656E</x:v>
      </x:c>
      <x:c r="B391"/>
      <x:c r="C391"/>
      <x:c r="D391"/>
      <x:c r="E391"/>
      <x:c r="F391"/>
      <x:c r="G391"/>
      <x:c r="H391"/>
      <x:c r="I391"/>
      <x:c r="J391"/>
    </x:row>
    <x:row r="392">
      <x:c r="A392" t="str">
        <x:v>RD-4829DCD07E9E</x:v>
      </x:c>
      <x:c r="B392"/>
      <x:c r="C392"/>
      <x:c r="D392"/>
      <x:c r="E392"/>
      <x:c r="F392"/>
      <x:c r="G392"/>
      <x:c r="H392"/>
      <x:c r="I392"/>
      <x:c r="J392"/>
    </x:row>
    <x:row r="393">
      <x:c r="A393" t="str">
        <x:v>RD-DD8886049CD0</x:v>
      </x:c>
      <x:c r="B393"/>
      <x:c r="C393"/>
      <x:c r="D393"/>
      <x:c r="E393"/>
      <x:c r="F393"/>
      <x:c r="G393"/>
      <x:c r="H393"/>
      <x:c r="I393"/>
      <x:c r="J393"/>
    </x:row>
    <x:row r="394">
      <x:c r="A394" t="str">
        <x:v>RD-7D3259AC2A98</x:v>
      </x:c>
      <x:c r="B394"/>
      <x:c r="C394"/>
      <x:c r="D394"/>
      <x:c r="E394"/>
      <x:c r="F394"/>
      <x:c r="G394"/>
      <x:c r="H394"/>
      <x:c r="I394"/>
      <x:c r="J394"/>
    </x:row>
    <x:row r="395">
      <x:c r="A395" t="str">
        <x:v>RD-258B59D53BCB</x:v>
      </x:c>
      <x:c r="B395"/>
      <x:c r="C395"/>
      <x:c r="D395"/>
      <x:c r="E395"/>
      <x:c r="F395"/>
      <x:c r="G395"/>
      <x:c r="H395"/>
      <x:c r="I395"/>
      <x:c r="J395"/>
    </x:row>
    <x:row r="396">
      <x:c r="A396" t="str">
        <x:v>RD-DDE7E9257F9C</x:v>
      </x:c>
      <x:c r="B396"/>
      <x:c r="C396"/>
      <x:c r="D396"/>
      <x:c r="E396"/>
      <x:c r="F396"/>
      <x:c r="G396"/>
      <x:c r="H396"/>
      <x:c r="I396"/>
      <x:c r="J396"/>
    </x:row>
    <x:row r="397">
      <x:c r="A397" t="str">
        <x:v>RD-6B6E0EFFBB62</x:v>
      </x:c>
      <x:c r="B397"/>
      <x:c r="C397"/>
      <x:c r="D397"/>
      <x:c r="E397"/>
      <x:c r="F397"/>
      <x:c r="G397"/>
      <x:c r="H397"/>
      <x:c r="I397"/>
      <x:c r="J397"/>
    </x:row>
    <x:row r="398">
      <x:c r="A398" t="str">
        <x:v>RD-810224679CE2</x:v>
      </x:c>
      <x:c r="B398"/>
      <x:c r="C398"/>
      <x:c r="D398"/>
      <x:c r="E398"/>
      <x:c r="F398"/>
      <x:c r="G398"/>
      <x:c r="H398"/>
      <x:c r="I398"/>
      <x:c r="J398"/>
    </x:row>
    <x:row r="399">
      <x:c r="A399" t="str">
        <x:v>RD-6EEA410B77F0</x:v>
      </x:c>
      <x:c r="B399"/>
      <x:c r="C399"/>
      <x:c r="D399"/>
      <x:c r="E399"/>
      <x:c r="F399"/>
      <x:c r="G399"/>
      <x:c r="H399"/>
      <x:c r="I399"/>
      <x:c r="J399"/>
    </x:row>
    <x:row r="400">
      <x:c r="A400" t="str">
        <x:v>RD-A06503F9CE50</x:v>
      </x:c>
      <x:c r="B400"/>
      <x:c r="C400"/>
      <x:c r="D400"/>
      <x:c r="E400"/>
      <x:c r="F400"/>
      <x:c r="G400"/>
      <x:c r="H400"/>
      <x:c r="I400"/>
      <x:c r="J400"/>
    </x:row>
    <x:row r="401">
      <x:c r="A401" t="str">
        <x:v>RD-78DE53BBB987</x:v>
      </x:c>
      <x:c r="B401"/>
      <x:c r="C401"/>
      <x:c r="D401"/>
      <x:c r="E401"/>
      <x:c r="F401"/>
      <x:c r="G401"/>
      <x:c r="H401"/>
      <x:c r="I401"/>
      <x:c r="J401"/>
    </x:row>
    <x:row r="402">
      <x:c r="A402" t="str">
        <x:v>RD-C0111F95783C</x:v>
      </x:c>
      <x:c r="B402"/>
      <x:c r="C402"/>
      <x:c r="D402"/>
      <x:c r="E402"/>
      <x:c r="F402"/>
      <x:c r="G402"/>
      <x:c r="H402"/>
      <x:c r="I402"/>
      <x:c r="J402"/>
    </x:row>
    <x:row r="403">
      <x:c r="A403" t="str">
        <x:v>RD-4D78CB538DEB</x:v>
      </x:c>
      <x:c r="B403"/>
      <x:c r="C403"/>
      <x:c r="D403"/>
      <x:c r="E403"/>
      <x:c r="F403"/>
      <x:c r="G403"/>
      <x:c r="H403"/>
      <x:c r="I403"/>
      <x:c r="J403"/>
    </x:row>
    <x:row r="404">
      <x:c r="A404" t="str">
        <x:v>RD-71D2A246BCAC</x:v>
      </x:c>
      <x:c r="B404"/>
      <x:c r="C404"/>
      <x:c r="D404"/>
      <x:c r="E404"/>
      <x:c r="F404"/>
      <x:c r="G404"/>
      <x:c r="H404"/>
      <x:c r="I404"/>
      <x:c r="J404"/>
    </x:row>
    <x:row r="405">
      <x:c r="A405" t="str">
        <x:v>RD-58D3BB86F345</x:v>
      </x:c>
      <x:c r="B405"/>
      <x:c r="C405"/>
      <x:c r="D405"/>
      <x:c r="E405"/>
      <x:c r="F405"/>
      <x:c r="G405"/>
      <x:c r="H405"/>
      <x:c r="I405"/>
      <x:c r="J405"/>
    </x:row>
    <x:row r="406">
      <x:c r="A406" t="str">
        <x:v>RD-D06C0A09DAD1</x:v>
      </x:c>
      <x:c r="B406"/>
      <x:c r="C406"/>
      <x:c r="D406"/>
      <x:c r="E406"/>
      <x:c r="F406"/>
      <x:c r="G406"/>
      <x:c r="H406"/>
      <x:c r="I406"/>
      <x:c r="J406"/>
    </x:row>
    <x:row r="407">
      <x:c r="A407" t="str">
        <x:v>RD-1DE81416C441</x:v>
      </x:c>
      <x:c r="B407"/>
      <x:c r="C407"/>
      <x:c r="D407"/>
      <x:c r="E407"/>
      <x:c r="F407"/>
      <x:c r="G407"/>
      <x:c r="H407"/>
      <x:c r="I407"/>
      <x:c r="J407"/>
    </x:row>
    <x:row r="408">
      <x:c r="A408" t="str">
        <x:v>RD-FFAE9255F32E</x:v>
      </x:c>
      <x:c r="B408"/>
      <x:c r="C408"/>
      <x:c r="D408"/>
      <x:c r="E408"/>
      <x:c r="F408"/>
      <x:c r="G408"/>
      <x:c r="H408"/>
      <x:c r="I408"/>
      <x:c r="J408"/>
    </x:row>
    <x:row r="409">
      <x:c r="A409" t="str">
        <x:v>RD-F4AAFC1AC103</x:v>
      </x:c>
      <x:c r="B409"/>
      <x:c r="C409"/>
      <x:c r="D409"/>
      <x:c r="E409"/>
      <x:c r="F409"/>
      <x:c r="G409"/>
      <x:c r="H409"/>
      <x:c r="I409"/>
      <x:c r="J409"/>
    </x:row>
    <x:row r="410">
      <x:c r="A410" t="str">
        <x:v>RD-8F30870B2E63</x:v>
      </x:c>
      <x:c r="B410"/>
      <x:c r="C410"/>
      <x:c r="D410"/>
      <x:c r="E410"/>
      <x:c r="F410"/>
      <x:c r="G410"/>
      <x:c r="H410"/>
      <x:c r="I410"/>
      <x:c r="J410"/>
    </x:row>
    <x:row r="411">
      <x:c r="A411" t="str">
        <x:v>RD-F4E9DF468DED</x:v>
      </x:c>
      <x:c r="B411"/>
      <x:c r="C411"/>
      <x:c r="D411"/>
      <x:c r="E411"/>
      <x:c r="F411"/>
      <x:c r="G411"/>
      <x:c r="H411"/>
      <x:c r="I411"/>
      <x:c r="J411"/>
    </x:row>
    <x:row r="412">
      <x:c r="A412" t="str">
        <x:v>RD-098BDC729989</x:v>
      </x:c>
      <x:c r="B412"/>
      <x:c r="C412"/>
      <x:c r="D412"/>
      <x:c r="E412"/>
      <x:c r="F412"/>
      <x:c r="G412"/>
      <x:c r="H412"/>
      <x:c r="I412"/>
      <x:c r="J412"/>
    </x:row>
    <x:row r="413">
      <x:c r="A413" t="str">
        <x:v>RD-51E52711A388</x:v>
      </x:c>
      <x:c r="B413"/>
      <x:c r="C413"/>
      <x:c r="D413"/>
      <x:c r="E413"/>
      <x:c r="F413"/>
      <x:c r="G413"/>
      <x:c r="H413"/>
      <x:c r="I413"/>
      <x:c r="J413"/>
    </x:row>
    <x:row r="414">
      <x:c r="A414" t="str">
        <x:v>RD-C7E6ABA5EF16</x:v>
      </x:c>
      <x:c r="B414"/>
      <x:c r="C414"/>
      <x:c r="D414"/>
      <x:c r="E414"/>
      <x:c r="F414"/>
      <x:c r="G414"/>
      <x:c r="H414"/>
      <x:c r="I414"/>
      <x:c r="J414"/>
    </x:row>
    <x:row r="415">
      <x:c r="A415" t="str">
        <x:v>RD-1127CAC72185</x:v>
      </x:c>
      <x:c r="B415"/>
      <x:c r="C415"/>
      <x:c r="D415"/>
      <x:c r="E415"/>
      <x:c r="F415"/>
      <x:c r="G415"/>
      <x:c r="H415"/>
      <x:c r="I415"/>
      <x:c r="J415"/>
    </x:row>
    <x:row r="416">
      <x:c r="A416" t="str">
        <x:v>RD-26ECDB9B19C2</x:v>
      </x:c>
      <x:c r="B416"/>
      <x:c r="C416"/>
      <x:c r="D416"/>
      <x:c r="E416"/>
      <x:c r="F416"/>
      <x:c r="G416"/>
      <x:c r="H416"/>
      <x:c r="I416"/>
      <x:c r="J416"/>
    </x:row>
    <x:row r="417">
      <x:c r="A417" t="str">
        <x:v>RD-BCD7B534D69A</x:v>
      </x:c>
      <x:c r="B417"/>
      <x:c r="C417"/>
      <x:c r="D417"/>
      <x:c r="E417"/>
      <x:c r="F417"/>
      <x:c r="G417"/>
      <x:c r="H417"/>
      <x:c r="I417"/>
      <x:c r="J417"/>
    </x:row>
    <x:row r="418">
      <x:c r="A418" t="str">
        <x:v>RD-B5F58DF2D771</x:v>
      </x:c>
      <x:c r="B418"/>
      <x:c r="C418"/>
      <x:c r="D418"/>
      <x:c r="E418"/>
      <x:c r="F418"/>
      <x:c r="G418"/>
      <x:c r="H418"/>
      <x:c r="I418"/>
      <x:c r="J418"/>
    </x:row>
    <x:row r="419">
      <x:c r="A419" t="str">
        <x:v>RD-1EF0BC206CA3</x:v>
      </x:c>
      <x:c r="B419"/>
      <x:c r="C419"/>
      <x:c r="D419"/>
      <x:c r="E419"/>
      <x:c r="F419"/>
      <x:c r="G419"/>
      <x:c r="H419"/>
      <x:c r="I419"/>
      <x:c r="J419"/>
    </x:row>
    <x:row r="420">
      <x:c r="A420" t="str">
        <x:v>RD-5DDC83B616F9</x:v>
      </x:c>
      <x:c r="B420"/>
      <x:c r="C420"/>
      <x:c r="D420"/>
      <x:c r="E420"/>
      <x:c r="F420"/>
      <x:c r="G420"/>
      <x:c r="H420"/>
      <x:c r="I420"/>
      <x:c r="J420"/>
    </x:row>
    <x:row r="421">
      <x:c r="A421" t="str">
        <x:v>RD-24345073B183</x:v>
      </x:c>
      <x:c r="B421"/>
      <x:c r="C421"/>
      <x:c r="D421"/>
      <x:c r="E421"/>
      <x:c r="F421"/>
      <x:c r="G421"/>
      <x:c r="H421"/>
      <x:c r="I421"/>
      <x:c r="J421"/>
    </x:row>
    <x:row r="422">
      <x:c r="A422" t="str">
        <x:v>RD-133827629E2F</x:v>
      </x:c>
      <x:c r="B422"/>
      <x:c r="C422"/>
      <x:c r="D422"/>
      <x:c r="E422"/>
      <x:c r="F422"/>
      <x:c r="G422"/>
      <x:c r="H422"/>
      <x:c r="I422"/>
      <x:c r="J422"/>
    </x:row>
    <x:row r="423">
      <x:c r="A423" t="str">
        <x:v>RD-9192DE818FE2</x:v>
      </x:c>
      <x:c r="B423"/>
      <x:c r="C423"/>
      <x:c r="D423"/>
      <x:c r="E423"/>
      <x:c r="F423"/>
      <x:c r="G423"/>
      <x:c r="H423"/>
      <x:c r="I423"/>
      <x:c r="J423"/>
    </x:row>
    <x:row r="424">
      <x:c r="A424" t="str">
        <x:v>RD-CDF636D64CDF</x:v>
      </x:c>
      <x:c r="B424"/>
      <x:c r="C424"/>
      <x:c r="D424"/>
      <x:c r="E424"/>
      <x:c r="F424"/>
      <x:c r="G424"/>
      <x:c r="H424"/>
      <x:c r="I424"/>
      <x:c r="J424"/>
    </x:row>
    <x:row r="425">
      <x:c r="A425" t="str">
        <x:v>RD-795F8D574D7A</x:v>
      </x:c>
      <x:c r="B425"/>
      <x:c r="C425"/>
      <x:c r="D425"/>
      <x:c r="E425"/>
      <x:c r="F425"/>
      <x:c r="G425"/>
      <x:c r="H425"/>
      <x:c r="I425"/>
      <x:c r="J425"/>
    </x:row>
    <x:row r="426">
      <x:c r="A426" t="str">
        <x:v>RD-D4DC6B6AD738</x:v>
      </x:c>
      <x:c r="B426"/>
      <x:c r="C426"/>
      <x:c r="D426"/>
      <x:c r="E426"/>
      <x:c r="F426"/>
      <x:c r="G426"/>
      <x:c r="H426"/>
      <x:c r="I426"/>
      <x:c r="J426"/>
    </x:row>
    <x:row r="427">
      <x:c r="A427" t="str">
        <x:v>RD-9A13BC6D1046</x:v>
      </x:c>
      <x:c r="B427"/>
      <x:c r="C427"/>
      <x:c r="D427"/>
      <x:c r="E427"/>
      <x:c r="F427"/>
      <x:c r="G427"/>
      <x:c r="H427"/>
      <x:c r="I427"/>
      <x:c r="J427"/>
    </x:row>
    <x:row r="428">
      <x:c r="A428" t="str">
        <x:v>RD-A4C8F1EEE873</x:v>
      </x:c>
      <x:c r="B428"/>
      <x:c r="C428"/>
      <x:c r="D428"/>
      <x:c r="E428"/>
      <x:c r="F428"/>
      <x:c r="G428"/>
      <x:c r="H428"/>
      <x:c r="I428"/>
      <x:c r="J428"/>
    </x:row>
    <x:row r="429">
      <x:c r="A429" t="str">
        <x:v>RD-0F0E8FDDAE29</x:v>
      </x:c>
      <x:c r="B429"/>
      <x:c r="C429"/>
      <x:c r="D429"/>
      <x:c r="E429"/>
      <x:c r="F429"/>
      <x:c r="G429"/>
      <x:c r="H429"/>
      <x:c r="I429"/>
      <x:c r="J429"/>
    </x:row>
    <x:row r="430">
      <x:c r="A430" t="str">
        <x:v>RD-308A0B32668F</x:v>
      </x:c>
      <x:c r="B430"/>
      <x:c r="C430"/>
      <x:c r="D430"/>
      <x:c r="E430"/>
      <x:c r="F430"/>
      <x:c r="G430"/>
      <x:c r="H430"/>
      <x:c r="I430"/>
      <x:c r="J430"/>
    </x:row>
    <x:row r="431">
      <x:c r="A431" t="str">
        <x:v>RD-293EB6AA413B</x:v>
      </x:c>
      <x:c r="B431"/>
      <x:c r="C431"/>
      <x:c r="D431"/>
      <x:c r="E431"/>
      <x:c r="F431"/>
      <x:c r="G431"/>
      <x:c r="H431"/>
      <x:c r="I431"/>
      <x:c r="J431"/>
    </x:row>
    <x:row r="432">
      <x:c r="A432" t="str">
        <x:v>RD-F0E3B4A713E3</x:v>
      </x:c>
      <x:c r="B432"/>
      <x:c r="C432"/>
      <x:c r="D432"/>
      <x:c r="E432"/>
      <x:c r="F432"/>
      <x:c r="G432"/>
      <x:c r="H432"/>
      <x:c r="I432"/>
      <x:c r="J432"/>
    </x:row>
    <x:row r="433">
      <x:c r="A433" t="str">
        <x:v>RD-94A20F04CE6E</x:v>
      </x:c>
      <x:c r="B433"/>
      <x:c r="C433"/>
      <x:c r="D433"/>
      <x:c r="E433"/>
      <x:c r="F433"/>
      <x:c r="G433"/>
      <x:c r="H433"/>
      <x:c r="I433"/>
      <x:c r="J433"/>
    </x:row>
    <x:row r="434">
      <x:c r="A434" t="str">
        <x:v>RD-A321A5489C51</x:v>
      </x:c>
      <x:c r="B434"/>
      <x:c r="C434"/>
      <x:c r="D434"/>
      <x:c r="E434"/>
      <x:c r="F434"/>
      <x:c r="G434"/>
      <x:c r="H434"/>
      <x:c r="I434"/>
      <x:c r="J434"/>
    </x:row>
    <x:row r="435">
      <x:c r="A435" t="str">
        <x:v>RD-1A8E658688C2</x:v>
      </x:c>
      <x:c r="B435"/>
      <x:c r="C435"/>
      <x:c r="D435"/>
      <x:c r="E435"/>
      <x:c r="F435"/>
      <x:c r="G435"/>
      <x:c r="H435"/>
      <x:c r="I435"/>
      <x:c r="J435"/>
    </x:row>
    <x:row r="436">
      <x:c r="A436" t="str">
        <x:v>RD-C519F9BCCF4A</x:v>
      </x:c>
      <x:c r="B436"/>
      <x:c r="C436"/>
      <x:c r="D436"/>
      <x:c r="E436"/>
      <x:c r="F436"/>
      <x:c r="G436"/>
      <x:c r="H436"/>
      <x:c r="I436"/>
      <x:c r="J436"/>
    </x:row>
    <x:row r="437">
      <x:c r="A437" t="str">
        <x:v>RD-A597FEB3FA13</x:v>
      </x:c>
      <x:c r="B437"/>
      <x:c r="C437"/>
      <x:c r="D437"/>
      <x:c r="E437"/>
      <x:c r="F437"/>
      <x:c r="G437"/>
      <x:c r="H437"/>
      <x:c r="I437"/>
      <x:c r="J437"/>
    </x:row>
    <x:row r="438">
      <x:c r="A438" t="str">
        <x:v>RD-06D0DAB89154</x:v>
      </x:c>
      <x:c r="B438"/>
      <x:c r="C438"/>
      <x:c r="D438"/>
      <x:c r="E438"/>
      <x:c r="F438"/>
      <x:c r="G438"/>
      <x:c r="H438"/>
      <x:c r="I438"/>
      <x:c r="J438"/>
    </x:row>
    <x:row r="439">
      <x:c r="A439" t="str">
        <x:v>RD-92ED02E8460E</x:v>
      </x:c>
      <x:c r="B439"/>
      <x:c r="C439"/>
      <x:c r="D439"/>
      <x:c r="E439"/>
      <x:c r="F439"/>
      <x:c r="G439"/>
      <x:c r="H439"/>
      <x:c r="I439"/>
      <x:c r="J439"/>
    </x:row>
    <x:row r="440">
      <x:c r="A440" t="str">
        <x:v>RD-9CC0684B0D7B</x:v>
      </x:c>
      <x:c r="B440"/>
      <x:c r="C440"/>
      <x:c r="D440"/>
      <x:c r="E440"/>
      <x:c r="F440"/>
      <x:c r="G440"/>
      <x:c r="H440"/>
      <x:c r="I440"/>
      <x:c r="J440"/>
    </x:row>
    <x:row r="441">
      <x:c r="A441" t="str">
        <x:v>RD-E7F0EB546668</x:v>
      </x:c>
      <x:c r="B441"/>
      <x:c r="C441"/>
      <x:c r="D441"/>
      <x:c r="E441"/>
      <x:c r="F441"/>
      <x:c r="G441"/>
      <x:c r="H441"/>
      <x:c r="I441"/>
      <x:c r="J441"/>
    </x:row>
    <x:row r="442">
      <x:c r="A442" t="str">
        <x:v>RD-CBE50B447552</x:v>
      </x:c>
      <x:c r="B442"/>
      <x:c r="C442"/>
      <x:c r="D442"/>
      <x:c r="E442"/>
      <x:c r="F442"/>
      <x:c r="G442"/>
      <x:c r="H442"/>
      <x:c r="I442"/>
      <x:c r="J442"/>
    </x:row>
    <x:row r="443">
      <x:c r="A443" t="str">
        <x:v>RD-1DFBCC587055</x:v>
      </x:c>
      <x:c r="B443"/>
      <x:c r="C443"/>
      <x:c r="D443"/>
      <x:c r="E443"/>
      <x:c r="F443"/>
      <x:c r="G443"/>
      <x:c r="H443"/>
      <x:c r="I443"/>
      <x:c r="J443"/>
    </x:row>
    <x:row r="444">
      <x:c r="A444" t="str">
        <x:v>RD-0BAC14573E06</x:v>
      </x:c>
      <x:c r="B444"/>
      <x:c r="C444"/>
      <x:c r="D444"/>
      <x:c r="E444"/>
      <x:c r="F444"/>
      <x:c r="G444"/>
      <x:c r="H444"/>
      <x:c r="I444"/>
      <x:c r="J444"/>
    </x:row>
    <x:row r="445">
      <x:c r="A445" t="str">
        <x:v>RD-9FA6A4E35336</x:v>
      </x:c>
      <x:c r="B445"/>
      <x:c r="C445"/>
      <x:c r="D445"/>
      <x:c r="E445"/>
      <x:c r="F445"/>
      <x:c r="G445"/>
      <x:c r="H445"/>
      <x:c r="I445"/>
      <x:c r="J445"/>
    </x:row>
    <x:row r="446">
      <x:c r="A446" t="str">
        <x:v>RD-80B26121802F</x:v>
      </x:c>
      <x:c r="B446"/>
      <x:c r="C446"/>
      <x:c r="D446"/>
      <x:c r="E446"/>
      <x:c r="F446"/>
      <x:c r="G446"/>
      <x:c r="H446"/>
      <x:c r="I446"/>
      <x:c r="J446"/>
    </x:row>
    <x:row r="447">
      <x:c r="A447" t="str">
        <x:v>RD-5243209E7A6D</x:v>
      </x:c>
      <x:c r="B447"/>
      <x:c r="C447"/>
      <x:c r="D447"/>
      <x:c r="E447"/>
      <x:c r="F447"/>
      <x:c r="G447"/>
      <x:c r="H447"/>
      <x:c r="I447"/>
      <x:c r="J447"/>
    </x:row>
    <x:row r="448">
      <x:c r="A448" t="str">
        <x:v>RD-FA85D695005B</x:v>
      </x:c>
      <x:c r="B448"/>
      <x:c r="C448"/>
      <x:c r="D448"/>
      <x:c r="E448"/>
      <x:c r="F448"/>
      <x:c r="G448"/>
      <x:c r="H448"/>
      <x:c r="I448"/>
      <x:c r="J448"/>
    </x:row>
    <x:row r="449">
      <x:c r="A449" t="str">
        <x:v>RD-824A54251189</x:v>
      </x:c>
      <x:c r="B449"/>
      <x:c r="C449"/>
      <x:c r="D449"/>
      <x:c r="E449"/>
      <x:c r="F449"/>
      <x:c r="G449"/>
      <x:c r="H449"/>
      <x:c r="I449"/>
      <x:c r="J449"/>
    </x:row>
    <x:row r="450">
      <x:c r="A450" t="str">
        <x:v>RD-0F90C5A95ED0</x:v>
      </x:c>
      <x:c r="B450"/>
      <x:c r="C450"/>
      <x:c r="D450"/>
      <x:c r="E450"/>
      <x:c r="F450"/>
      <x:c r="G450"/>
      <x:c r="H450"/>
      <x:c r="I450"/>
      <x:c r="J450"/>
    </x:row>
    <x:row r="451">
      <x:c r="A451" t="str">
        <x:v>RD-D2B310E82C5F</x:v>
      </x:c>
      <x:c r="B451"/>
      <x:c r="C451"/>
      <x:c r="D451"/>
      <x:c r="E451"/>
      <x:c r="F451"/>
      <x:c r="G451"/>
      <x:c r="H451"/>
      <x:c r="I451"/>
      <x:c r="J451"/>
    </x:row>
    <x:row r="452">
      <x:c r="A452" t="str">
        <x:v>RD-13FC0AAA760F</x:v>
      </x:c>
      <x:c r="B452"/>
      <x:c r="C452"/>
      <x:c r="D452"/>
      <x:c r="E452"/>
      <x:c r="F452"/>
      <x:c r="G452"/>
      <x:c r="H452"/>
      <x:c r="I452"/>
      <x:c r="J452"/>
    </x:row>
    <x:row r="453">
      <x:c r="A453" t="str">
        <x:v>RD-55593B1B1112</x:v>
      </x:c>
      <x:c r="B453"/>
      <x:c r="C453"/>
      <x:c r="D453"/>
      <x:c r="E453"/>
      <x:c r="F453"/>
      <x:c r="G453"/>
      <x:c r="H453"/>
      <x:c r="I453"/>
      <x:c r="J453"/>
    </x:row>
    <x:row r="454">
      <x:c r="A454" t="str">
        <x:v>RD-DAFF5FBD7437</x:v>
      </x:c>
      <x:c r="B454"/>
      <x:c r="C454"/>
      <x:c r="D454"/>
      <x:c r="E454"/>
      <x:c r="F454"/>
      <x:c r="G454"/>
      <x:c r="H454"/>
      <x:c r="I454"/>
      <x:c r="J454"/>
    </x:row>
    <x:row r="455">
      <x:c r="A455" t="str">
        <x:v>RD-80C346021384</x:v>
      </x:c>
      <x:c r="B455"/>
      <x:c r="C455"/>
      <x:c r="D455"/>
      <x:c r="E455"/>
      <x:c r="F455"/>
      <x:c r="G455"/>
      <x:c r="H455"/>
      <x:c r="I455"/>
      <x:c r="J455"/>
    </x:row>
    <x:row r="456">
      <x:c r="A456" t="str">
        <x:v>RD-4B255618417E</x:v>
      </x:c>
      <x:c r="B456"/>
      <x:c r="C456"/>
      <x:c r="D456"/>
      <x:c r="E456"/>
      <x:c r="F456"/>
      <x:c r="G456"/>
      <x:c r="H456"/>
      <x:c r="I456"/>
      <x:c r="J456"/>
    </x:row>
    <x:row r="457">
      <x:c r="A457" t="str">
        <x:v>RD-B72DEB694E9E</x:v>
      </x:c>
      <x:c r="B457"/>
      <x:c r="C457"/>
      <x:c r="D457"/>
      <x:c r="E457"/>
      <x:c r="F457"/>
      <x:c r="G457"/>
      <x:c r="H457"/>
      <x:c r="I457"/>
      <x:c r="J457"/>
    </x:row>
    <x:row r="458">
      <x:c r="A458" t="str">
        <x:v>RD-BB937606FF38</x:v>
      </x:c>
      <x:c r="B458"/>
      <x:c r="C458"/>
      <x:c r="D458"/>
      <x:c r="E458"/>
      <x:c r="F458"/>
      <x:c r="G458"/>
      <x:c r="H458"/>
      <x:c r="I458"/>
      <x:c r="J458"/>
    </x:row>
    <x:row r="459">
      <x:c r="A459" t="str">
        <x:v>RD-5663B848BC69</x:v>
      </x:c>
      <x:c r="B459"/>
      <x:c r="C459"/>
      <x:c r="D459"/>
      <x:c r="E459"/>
      <x:c r="F459"/>
      <x:c r="G459"/>
      <x:c r="H459"/>
      <x:c r="I459"/>
      <x:c r="J459"/>
    </x:row>
    <x:row r="460">
      <x:c r="A460" t="str">
        <x:v>RD-EB4206DCBD69</x:v>
      </x:c>
      <x:c r="B460"/>
      <x:c r="C460"/>
      <x:c r="D460"/>
      <x:c r="E460"/>
      <x:c r="F460"/>
      <x:c r="G460"/>
      <x:c r="H460"/>
      <x:c r="I460"/>
      <x:c r="J460"/>
    </x:row>
    <x:row r="461">
      <x:c r="A461" t="str">
        <x:v>RD-5AC6030A041A</x:v>
      </x:c>
      <x:c r="B461"/>
      <x:c r="C461"/>
      <x:c r="D461"/>
      <x:c r="E461"/>
      <x:c r="F461"/>
      <x:c r="G461"/>
      <x:c r="H461"/>
      <x:c r="I461"/>
      <x:c r="J461"/>
    </x:row>
    <x:row r="462">
      <x:c r="A462" t="str">
        <x:v>RD-F9777E41BA87</x:v>
      </x:c>
      <x:c r="B462"/>
      <x:c r="C462"/>
      <x:c r="D462"/>
      <x:c r="E462"/>
      <x:c r="F462"/>
      <x:c r="G462"/>
      <x:c r="H462"/>
      <x:c r="I462"/>
      <x:c r="J462"/>
    </x:row>
    <x:row r="463">
      <x:c r="A463" t="str">
        <x:v>RD-A83CA1D72365</x:v>
      </x:c>
      <x:c r="B463"/>
      <x:c r="C463"/>
      <x:c r="D463"/>
      <x:c r="E463"/>
      <x:c r="F463"/>
      <x:c r="G463"/>
      <x:c r="H463"/>
      <x:c r="I463"/>
      <x:c r="J463"/>
    </x:row>
    <x:row r="464">
      <x:c r="A464" t="str">
        <x:v>RD-5ACAD0E7DF20</x:v>
      </x:c>
      <x:c r="B464"/>
      <x:c r="C464"/>
      <x:c r="D464"/>
      <x:c r="E464"/>
      <x:c r="F464"/>
      <x:c r="G464"/>
      <x:c r="H464"/>
      <x:c r="I464"/>
      <x:c r="J464"/>
    </x:row>
    <x:row r="465">
      <x:c r="A465" t="str">
        <x:v>RD-8278A39899F9</x:v>
      </x:c>
      <x:c r="B465"/>
      <x:c r="C465"/>
      <x:c r="D465"/>
      <x:c r="E465"/>
      <x:c r="F465"/>
      <x:c r="G465"/>
      <x:c r="H465"/>
      <x:c r="I465"/>
      <x:c r="J465"/>
    </x:row>
    <x:row r="466">
      <x:c r="A466" t="str">
        <x:v>RD-FDF2709F9F7C</x:v>
      </x:c>
      <x:c r="B466"/>
      <x:c r="C466"/>
      <x:c r="D466"/>
      <x:c r="E466"/>
      <x:c r="F466"/>
      <x:c r="G466"/>
      <x:c r="H466"/>
      <x:c r="I466"/>
      <x:c r="J466"/>
    </x:row>
    <x:row r="467">
      <x:c r="A467" t="str">
        <x:v>RD-93F9F7316A39</x:v>
      </x:c>
      <x:c r="B467"/>
      <x:c r="C467"/>
      <x:c r="D467"/>
      <x:c r="E467"/>
      <x:c r="F467"/>
      <x:c r="G467"/>
      <x:c r="H467"/>
      <x:c r="I467"/>
      <x:c r="J467"/>
    </x:row>
    <x:row r="468">
      <x:c r="A468" t="str">
        <x:v>RD-905CC1E68679</x:v>
      </x:c>
      <x:c r="B468"/>
      <x:c r="C468"/>
      <x:c r="D468"/>
      <x:c r="E468"/>
      <x:c r="F468"/>
      <x:c r="G468"/>
      <x:c r="H468"/>
      <x:c r="I468"/>
      <x:c r="J468"/>
    </x:row>
    <x:row r="469">
      <x:c r="A469" t="str">
        <x:v>RD-9AC763A0D38C</x:v>
      </x:c>
      <x:c r="B469"/>
      <x:c r="C469"/>
      <x:c r="D469"/>
      <x:c r="E469"/>
      <x:c r="F469"/>
      <x:c r="G469"/>
      <x:c r="H469"/>
      <x:c r="I469"/>
      <x:c r="J469"/>
    </x:row>
    <x:row r="470">
      <x:c r="A470" t="str">
        <x:v>RD-4FDB6108A8A6</x:v>
      </x:c>
      <x:c r="B470"/>
      <x:c r="C470"/>
      <x:c r="D470"/>
      <x:c r="E470"/>
      <x:c r="F470"/>
      <x:c r="G470"/>
      <x:c r="H470"/>
      <x:c r="I470"/>
      <x:c r="J470"/>
    </x:row>
    <x:row r="471">
      <x:c r="A471" t="str">
        <x:v>RD-7365FEE64DE9</x:v>
      </x:c>
      <x:c r="B471"/>
      <x:c r="C471"/>
      <x:c r="D471"/>
      <x:c r="E471"/>
      <x:c r="F471"/>
      <x:c r="G471"/>
      <x:c r="H471"/>
      <x:c r="I471"/>
      <x:c r="J471"/>
    </x:row>
    <x:row r="472">
      <x:c r="A472" t="str">
        <x:v>RD-78DFFDE1E077</x:v>
      </x:c>
      <x:c r="B472"/>
      <x:c r="C472"/>
      <x:c r="D472"/>
      <x:c r="E472"/>
      <x:c r="F472"/>
      <x:c r="G472"/>
      <x:c r="H472"/>
      <x:c r="I472"/>
      <x:c r="J472"/>
    </x:row>
    <x:row r="473">
      <x:c r="A473" t="str">
        <x:v>RD-026094D00E69</x:v>
      </x:c>
      <x:c r="B473"/>
      <x:c r="C473"/>
      <x:c r="D473"/>
      <x:c r="E473"/>
      <x:c r="F473"/>
      <x:c r="G473"/>
      <x:c r="H473"/>
      <x:c r="I473"/>
      <x:c r="J473"/>
    </x:row>
    <x:row r="474">
      <x:c r="A474" t="str">
        <x:v>RD-32BFB0F313E0</x:v>
      </x:c>
      <x:c r="B474"/>
      <x:c r="C474"/>
      <x:c r="D474"/>
      <x:c r="E474"/>
      <x:c r="F474"/>
      <x:c r="G474"/>
      <x:c r="H474"/>
      <x:c r="I474"/>
      <x:c r="J474"/>
    </x:row>
    <x:row r="475">
      <x:c r="A475" t="str">
        <x:v>RD-2B795BA9A938</x:v>
      </x:c>
      <x:c r="B475"/>
      <x:c r="C475"/>
      <x:c r="D475"/>
      <x:c r="E475"/>
      <x:c r="F475"/>
      <x:c r="G475"/>
      <x:c r="H475"/>
      <x:c r="I475"/>
      <x:c r="J475"/>
    </x:row>
    <x:row r="476">
      <x:c r="A476" t="str">
        <x:v>RD-900ADF791C1E</x:v>
      </x:c>
      <x:c r="B476"/>
      <x:c r="C476"/>
      <x:c r="D476"/>
      <x:c r="E476"/>
      <x:c r="F476"/>
      <x:c r="G476"/>
      <x:c r="H476"/>
      <x:c r="I476"/>
      <x:c r="J476"/>
    </x:row>
    <x:row r="477">
      <x:c r="A477" t="str">
        <x:v>RD-93A48D9A1354</x:v>
      </x:c>
      <x:c r="B477"/>
      <x:c r="C477"/>
      <x:c r="D477"/>
      <x:c r="E477"/>
      <x:c r="F477"/>
      <x:c r="G477"/>
      <x:c r="H477"/>
      <x:c r="I477"/>
      <x:c r="J477"/>
    </x:row>
    <x:row r="478">
      <x:c r="A478" t="str">
        <x:v>RD-22A97ADFD9F1</x:v>
      </x:c>
      <x:c r="B478"/>
      <x:c r="C478"/>
      <x:c r="D478"/>
      <x:c r="E478"/>
      <x:c r="F478"/>
      <x:c r="G478"/>
      <x:c r="H478"/>
      <x:c r="I478"/>
      <x:c r="J478"/>
    </x:row>
    <x:row r="479">
      <x:c r="A479" t="str">
        <x:v>RD-E6E57956DC1D</x:v>
      </x:c>
      <x:c r="B479"/>
      <x:c r="C479"/>
      <x:c r="D479"/>
      <x:c r="E479"/>
      <x:c r="F479"/>
      <x:c r="G479"/>
      <x:c r="H479"/>
      <x:c r="I479"/>
      <x:c r="J479"/>
    </x:row>
    <x:row r="480">
      <x:c r="A480" t="str">
        <x:v>RD-8B4AE12FD5DC</x:v>
      </x:c>
      <x:c r="B480"/>
      <x:c r="C480"/>
      <x:c r="D480"/>
      <x:c r="E480"/>
      <x:c r="F480"/>
      <x:c r="G480"/>
      <x:c r="H480"/>
      <x:c r="I480"/>
      <x:c r="J480"/>
    </x:row>
    <x:row r="481">
      <x:c r="A481" t="str">
        <x:v>RD-47AE3B3B5CB9</x:v>
      </x:c>
      <x:c r="B481"/>
      <x:c r="C481"/>
      <x:c r="D481"/>
      <x:c r="E481"/>
      <x:c r="F481"/>
      <x:c r="G481"/>
      <x:c r="H481"/>
      <x:c r="I481"/>
      <x:c r="J481"/>
    </x:row>
    <x:row r="482">
      <x:c r="A482" t="str">
        <x:v>RD-29AA0446E7B0</x:v>
      </x:c>
      <x:c r="B482"/>
      <x:c r="C482"/>
      <x:c r="D482"/>
      <x:c r="E482"/>
      <x:c r="F482"/>
      <x:c r="G482"/>
      <x:c r="H482"/>
      <x:c r="I482"/>
      <x:c r="J482"/>
    </x:row>
    <x:row r="483">
      <x:c r="A483" t="str">
        <x:v>RD-E7D1ED4040C3</x:v>
      </x:c>
      <x:c r="B483"/>
      <x:c r="C483"/>
      <x:c r="D483"/>
      <x:c r="E483"/>
      <x:c r="F483"/>
      <x:c r="G483"/>
      <x:c r="H483"/>
      <x:c r="I483"/>
      <x:c r="J483"/>
    </x:row>
    <x:row r="484">
      <x:c r="A484" t="str">
        <x:v>RD-B7323BA1418E</x:v>
      </x:c>
      <x:c r="B484"/>
      <x:c r="C484"/>
      <x:c r="D484"/>
      <x:c r="E484"/>
      <x:c r="F484"/>
      <x:c r="G484"/>
      <x:c r="H484"/>
      <x:c r="I484"/>
      <x:c r="J484"/>
    </x:row>
    <x:row r="485">
      <x:c r="A485" t="str">
        <x:v>RD-CFE44FA08B6A</x:v>
      </x:c>
      <x:c r="B485"/>
      <x:c r="C485"/>
      <x:c r="D485"/>
      <x:c r="E485"/>
      <x:c r="F485"/>
      <x:c r="G485"/>
      <x:c r="H485"/>
      <x:c r="I485"/>
      <x:c r="J485"/>
    </x:row>
    <x:row r="486">
      <x:c r="A486" t="str">
        <x:v>RD-80677F55E5AD</x:v>
      </x:c>
      <x:c r="B486"/>
      <x:c r="C486"/>
      <x:c r="D486"/>
      <x:c r="E486"/>
      <x:c r="F486"/>
      <x:c r="G486"/>
      <x:c r="H486"/>
      <x:c r="I486"/>
      <x:c r="J486"/>
    </x:row>
    <x:row r="487">
      <x:c r="A487" t="str">
        <x:v>RD-F895CBAC4B35</x:v>
      </x:c>
      <x:c r="B487"/>
      <x:c r="C487"/>
      <x:c r="D487"/>
      <x:c r="E487"/>
      <x:c r="F487"/>
      <x:c r="G487"/>
      <x:c r="H487"/>
      <x:c r="I487"/>
      <x:c r="J487"/>
    </x:row>
    <x:row r="488">
      <x:c r="A488" t="str">
        <x:v>RD-5B03F72EB771</x:v>
      </x:c>
      <x:c r="B488"/>
      <x:c r="C488"/>
      <x:c r="D488"/>
      <x:c r="E488"/>
      <x:c r="F488"/>
      <x:c r="G488"/>
      <x:c r="H488"/>
      <x:c r="I488"/>
      <x:c r="J488"/>
    </x:row>
    <x:row r="489">
      <x:c r="A489" t="str">
        <x:v>RD-B9FBA8D27E8F</x:v>
      </x:c>
      <x:c r="B489"/>
      <x:c r="C489"/>
      <x:c r="D489"/>
      <x:c r="E489"/>
      <x:c r="F489"/>
      <x:c r="G489"/>
      <x:c r="H489"/>
      <x:c r="I489"/>
      <x:c r="J489"/>
    </x:row>
    <x:row r="490">
      <x:c r="A490" t="str">
        <x:v>RD-EDF2DACA80BC</x:v>
      </x:c>
      <x:c r="B490"/>
      <x:c r="C490"/>
      <x:c r="D490"/>
      <x:c r="E490"/>
      <x:c r="F490"/>
      <x:c r="G490"/>
      <x:c r="H490"/>
      <x:c r="I490"/>
      <x:c r="J490"/>
    </x:row>
    <x:row r="491">
      <x:c r="A491" t="str">
        <x:v>RD-4442E27196CD</x:v>
      </x:c>
      <x:c r="B491"/>
      <x:c r="C491"/>
      <x:c r="D491"/>
      <x:c r="E491"/>
      <x:c r="F491"/>
      <x:c r="G491"/>
      <x:c r="H491"/>
      <x:c r="I491"/>
      <x:c r="J491"/>
    </x:row>
    <x:row r="492">
      <x:c r="A492" t="str">
        <x:v>RD-71C49480F70D</x:v>
      </x:c>
      <x:c r="B492"/>
      <x:c r="C492"/>
      <x:c r="D492"/>
      <x:c r="E492"/>
      <x:c r="F492"/>
      <x:c r="G492"/>
      <x:c r="H492"/>
      <x:c r="I492"/>
      <x:c r="J492"/>
    </x:row>
    <x:row r="493">
      <x:c r="A493" t="str">
        <x:v>RD-974A5D77D849</x:v>
      </x:c>
      <x:c r="B493"/>
      <x:c r="C493"/>
      <x:c r="D493"/>
      <x:c r="E493"/>
      <x:c r="F493"/>
      <x:c r="G493"/>
      <x:c r="H493"/>
      <x:c r="I493"/>
      <x:c r="J493"/>
    </x:row>
    <x:row r="494">
      <x:c r="A494" t="str">
        <x:v>RD-75836B2BEE8B</x:v>
      </x:c>
      <x:c r="B494"/>
      <x:c r="C494"/>
      <x:c r="D494"/>
      <x:c r="E494"/>
      <x:c r="F494"/>
      <x:c r="G494"/>
      <x:c r="H494"/>
      <x:c r="I494"/>
      <x:c r="J494"/>
    </x:row>
    <x:row r="495">
      <x:c r="A495" t="str">
        <x:v>RD-DA568F6AF8B6</x:v>
      </x:c>
      <x:c r="B495"/>
      <x:c r="C495"/>
      <x:c r="D495"/>
      <x:c r="E495"/>
      <x:c r="F495"/>
      <x:c r="G495"/>
      <x:c r="H495"/>
      <x:c r="I495"/>
      <x:c r="J495"/>
    </x:row>
    <x:row r="496">
      <x:c r="A496" t="str">
        <x:v>RD-248DD2EBA4D8</x:v>
      </x:c>
      <x:c r="B496"/>
      <x:c r="C496"/>
      <x:c r="D496"/>
      <x:c r="E496"/>
      <x:c r="F496"/>
      <x:c r="G496"/>
      <x:c r="H496"/>
      <x:c r="I496"/>
      <x:c r="J496"/>
    </x:row>
    <x:row r="497">
      <x:c r="A497" t="str">
        <x:v>RD-201A923F9891</x:v>
      </x:c>
      <x:c r="B497"/>
      <x:c r="C497"/>
      <x:c r="D497"/>
      <x:c r="E497"/>
      <x:c r="F497"/>
      <x:c r="G497"/>
      <x:c r="H497"/>
      <x:c r="I497"/>
      <x:c r="J497"/>
    </x:row>
    <x:row r="498">
      <x:c r="A498" t="str">
        <x:v>RD-3968877DCBAA</x:v>
      </x:c>
      <x:c r="B498"/>
      <x:c r="C498"/>
      <x:c r="D498"/>
      <x:c r="E498"/>
      <x:c r="F498"/>
      <x:c r="G498"/>
      <x:c r="H498"/>
      <x:c r="I498"/>
      <x:c r="J498"/>
    </x:row>
    <x:row r="499">
      <x:c r="A499" t="str">
        <x:v>RD-B56E6DEAF17F</x:v>
      </x:c>
      <x:c r="B499"/>
      <x:c r="C499"/>
      <x:c r="D499"/>
      <x:c r="E499"/>
      <x:c r="F499"/>
      <x:c r="G499"/>
      <x:c r="H499"/>
      <x:c r="I499"/>
      <x:c r="J499"/>
    </x:row>
    <x:row r="500">
      <x:c r="A500" t="str">
        <x:v>RD-41BD556A5D14</x:v>
      </x:c>
      <x:c r="B500"/>
      <x:c r="C500"/>
      <x:c r="D500"/>
      <x:c r="E500"/>
      <x:c r="F500"/>
      <x:c r="G500"/>
      <x:c r="H500"/>
      <x:c r="I500"/>
      <x:c r="J500"/>
    </x:row>
    <x:row r="501">
      <x:c r="A501" t="str">
        <x:v>RD-4D60C8AD40B8</x:v>
      </x:c>
      <x:c r="B501"/>
      <x:c r="C501"/>
      <x:c r="D501"/>
      <x:c r="E501"/>
      <x:c r="F501"/>
      <x:c r="G501"/>
      <x:c r="H501"/>
      <x:c r="I501"/>
      <x:c r="J501"/>
    </x:row>
    <x:row r="502">
      <x:c r="A502" t="str">
        <x:v>RD-C3F311E93447</x:v>
      </x:c>
      <x:c r="B502"/>
      <x:c r="C502"/>
      <x:c r="D502"/>
      <x:c r="E502"/>
      <x:c r="F502"/>
      <x:c r="G502"/>
      <x:c r="H502"/>
      <x:c r="I502"/>
      <x:c r="J502"/>
    </x:row>
    <x:row r="503">
      <x:c r="A503" t="str">
        <x:v>RD-FA46814F2D01</x:v>
      </x:c>
      <x:c r="B503"/>
      <x:c r="C503"/>
      <x:c r="D503"/>
      <x:c r="E503"/>
      <x:c r="F503"/>
      <x:c r="G503"/>
      <x:c r="H503"/>
      <x:c r="I503"/>
      <x:c r="J503"/>
    </x:row>
    <x:row r="504">
      <x:c r="A504" t="str">
        <x:v>RD-07FECBCCD262</x:v>
      </x:c>
      <x:c r="B504"/>
      <x:c r="C504"/>
      <x:c r="D504"/>
      <x:c r="E504"/>
      <x:c r="F504"/>
      <x:c r="G504"/>
      <x:c r="H504"/>
      <x:c r="I504"/>
      <x:c r="J504"/>
    </x:row>
    <x:row r="505">
      <x:c r="A505" t="str">
        <x:v>RD-6BD394411155</x:v>
      </x:c>
      <x:c r="B505"/>
      <x:c r="C505"/>
      <x:c r="D505"/>
      <x:c r="E505"/>
      <x:c r="F505"/>
      <x:c r="G505"/>
      <x:c r="H505"/>
      <x:c r="I505"/>
      <x:c r="J505"/>
    </x:row>
    <x:row r="506">
      <x:c r="A506" t="str">
        <x:v>RD-E22A09631867</x:v>
      </x:c>
      <x:c r="B506"/>
      <x:c r="C506"/>
      <x:c r="D506"/>
      <x:c r="E506"/>
      <x:c r="F506"/>
      <x:c r="G506"/>
      <x:c r="H506"/>
      <x:c r="I506"/>
      <x:c r="J506"/>
    </x:row>
    <x:row r="507">
      <x:c r="A507" t="str">
        <x:v>RD-B60BCCBF4C3A</x:v>
      </x:c>
      <x:c r="B507"/>
      <x:c r="C507"/>
      <x:c r="D507"/>
      <x:c r="E507"/>
      <x:c r="F507"/>
      <x:c r="G507"/>
      <x:c r="H507"/>
      <x:c r="I507"/>
      <x:c r="J507"/>
    </x:row>
    <x:row r="508">
      <x:c r="A508" t="str">
        <x:v>RD-D54F81C1840A</x:v>
      </x:c>
      <x:c r="B508"/>
      <x:c r="C508"/>
      <x:c r="D508"/>
      <x:c r="E508"/>
      <x:c r="F508"/>
      <x:c r="G508"/>
      <x:c r="H508"/>
      <x:c r="I508"/>
      <x:c r="J508"/>
    </x:row>
    <x:row r="509">
      <x:c r="A509" t="str">
        <x:v>RD-373E0B5BBAF5</x:v>
      </x:c>
      <x:c r="B509"/>
      <x:c r="C509"/>
      <x:c r="D509"/>
      <x:c r="E509"/>
      <x:c r="F509"/>
      <x:c r="G509"/>
      <x:c r="H509"/>
      <x:c r="I509"/>
      <x:c r="J509"/>
    </x:row>
    <x:row r="510">
      <x:c r="A510" t="str">
        <x:v>RD-1E53C370D7CE</x:v>
      </x:c>
      <x:c r="B510"/>
      <x:c r="C510"/>
      <x:c r="D510"/>
      <x:c r="E510"/>
      <x:c r="F510"/>
      <x:c r="G510"/>
      <x:c r="H510"/>
      <x:c r="I510"/>
      <x:c r="J510"/>
    </x:row>
    <x:row r="511">
      <x:c r="A511" t="str">
        <x:v>RD-E9184EBE423B</x:v>
      </x:c>
      <x:c r="B511"/>
      <x:c r="C511"/>
      <x:c r="D511"/>
      <x:c r="E511"/>
      <x:c r="F511"/>
      <x:c r="G511"/>
      <x:c r="H511"/>
      <x:c r="I511"/>
      <x:c r="J511"/>
    </x:row>
    <x:row r="512">
      <x:c r="A512" t="str">
        <x:v>RD-CEF2CDC63A3A</x:v>
      </x:c>
      <x:c r="B512"/>
      <x:c r="C512"/>
      <x:c r="D512"/>
      <x:c r="E512"/>
      <x:c r="F512"/>
      <x:c r="G512"/>
      <x:c r="H512"/>
      <x:c r="I512"/>
      <x:c r="J512"/>
    </x:row>
    <x:row r="513">
      <x:c r="A513" t="str">
        <x:v>RD-8B36D3F13695</x:v>
      </x:c>
      <x:c r="B513"/>
      <x:c r="C513"/>
      <x:c r="D513"/>
      <x:c r="E513"/>
      <x:c r="F513"/>
      <x:c r="G513"/>
      <x:c r="H513"/>
      <x:c r="I513"/>
      <x:c r="J513"/>
    </x:row>
    <x:row r="514">
      <x:c r="A514" t="str">
        <x:v>RD-5E74571799DA</x:v>
      </x:c>
      <x:c r="B514"/>
      <x:c r="C514"/>
      <x:c r="D514"/>
      <x:c r="E514"/>
      <x:c r="F514"/>
      <x:c r="G514"/>
      <x:c r="H514"/>
      <x:c r="I514"/>
      <x:c r="J514"/>
    </x:row>
    <x:row r="515">
      <x:c r="A515" t="str">
        <x:v>RD-B541936F71E6</x:v>
      </x:c>
      <x:c r="B515"/>
      <x:c r="C515"/>
      <x:c r="D515"/>
      <x:c r="E515"/>
      <x:c r="F515"/>
      <x:c r="G515"/>
      <x:c r="H515"/>
      <x:c r="I515"/>
      <x:c r="J515"/>
    </x:row>
    <x:row r="516">
      <x:c r="A516" t="str">
        <x:v>RD-1FF5DDB1D301</x:v>
      </x:c>
      <x:c r="B516"/>
      <x:c r="C516"/>
      <x:c r="D516"/>
      <x:c r="E516"/>
      <x:c r="F516"/>
      <x:c r="G516"/>
      <x:c r="H516"/>
      <x:c r="I516"/>
      <x:c r="J516"/>
    </x:row>
    <x:row r="517">
      <x:c r="A517" t="str">
        <x:v>RD-355E76037F51</x:v>
      </x:c>
      <x:c r="B517"/>
      <x:c r="C517"/>
      <x:c r="D517"/>
      <x:c r="E517"/>
      <x:c r="F517"/>
      <x:c r="G517"/>
      <x:c r="H517"/>
      <x:c r="I517"/>
      <x:c r="J517"/>
    </x:row>
    <x:row r="518">
      <x:c r="A518" t="str">
        <x:v>RD-E33DEC8E3360</x:v>
      </x:c>
      <x:c r="B518"/>
      <x:c r="C518"/>
      <x:c r="D518"/>
      <x:c r="E518"/>
      <x:c r="F518"/>
      <x:c r="G518"/>
      <x:c r="H518"/>
      <x:c r="I518"/>
      <x:c r="J518"/>
    </x:row>
    <x:row r="519">
      <x:c r="A519" t="str">
        <x:v>RD-B5F24ADC278C</x:v>
      </x:c>
      <x:c r="B519"/>
      <x:c r="C519"/>
      <x:c r="D519"/>
      <x:c r="E519"/>
      <x:c r="F519"/>
      <x:c r="G519"/>
      <x:c r="H519"/>
      <x:c r="I519"/>
      <x:c r="J519"/>
    </x:row>
    <x:row r="520">
      <x:c r="A520" t="str">
        <x:v>RD-14B01CBF9289</x:v>
      </x:c>
      <x:c r="B520"/>
      <x:c r="C520"/>
      <x:c r="D520"/>
      <x:c r="E520"/>
      <x:c r="F520"/>
      <x:c r="G520"/>
      <x:c r="H520"/>
      <x:c r="I520"/>
      <x:c r="J520"/>
    </x:row>
    <x:row r="521">
      <x:c r="A521" t="str">
        <x:v>RD-787BEA0387C9</x:v>
      </x:c>
      <x:c r="B521"/>
      <x:c r="C521"/>
      <x:c r="D521"/>
      <x:c r="E521"/>
      <x:c r="F521"/>
      <x:c r="G521"/>
      <x:c r="H521"/>
      <x:c r="I521"/>
      <x:c r="J521"/>
    </x:row>
    <x:row r="522">
      <x:c r="A522" t="str">
        <x:v>RD-C7EE29344843</x:v>
      </x:c>
      <x:c r="B522"/>
      <x:c r="C522"/>
      <x:c r="D522"/>
      <x:c r="E522"/>
      <x:c r="F522"/>
      <x:c r="G522"/>
      <x:c r="H522"/>
      <x:c r="I522"/>
      <x:c r="J522"/>
    </x:row>
    <x:row r="523">
      <x:c r="A523" t="str">
        <x:v>RD-067B21CF6673</x:v>
      </x:c>
      <x:c r="B523"/>
      <x:c r="C523"/>
      <x:c r="D523"/>
      <x:c r="E523"/>
      <x:c r="F523"/>
      <x:c r="G523"/>
      <x:c r="H523"/>
      <x:c r="I523"/>
      <x:c r="J523"/>
    </x:row>
    <x:row r="524">
      <x:c r="A524" t="str">
        <x:v>RD-B8C4EE767A69</x:v>
      </x:c>
      <x:c r="B524"/>
      <x:c r="C524"/>
      <x:c r="D524"/>
      <x:c r="E524"/>
      <x:c r="F524"/>
      <x:c r="G524"/>
      <x:c r="H524"/>
      <x:c r="I524"/>
      <x:c r="J524"/>
    </x:row>
    <x:row r="525">
      <x:c r="A525" t="str">
        <x:v>RD-9DE28059200D</x:v>
      </x:c>
      <x:c r="B525"/>
      <x:c r="C525"/>
      <x:c r="D525"/>
      <x:c r="E525"/>
      <x:c r="F525"/>
      <x:c r="G525"/>
      <x:c r="H525"/>
      <x:c r="I525"/>
      <x:c r="J525"/>
    </x:row>
    <x:row r="526">
      <x:c r="A526" t="str">
        <x:v>RD-C77336B816F2</x:v>
      </x:c>
      <x:c r="B526"/>
      <x:c r="C526"/>
      <x:c r="D526"/>
      <x:c r="E526"/>
      <x:c r="F526"/>
      <x:c r="G526"/>
      <x:c r="H526"/>
      <x:c r="I526"/>
      <x:c r="J526"/>
    </x:row>
    <x:row r="527">
      <x:c r="A527" t="str">
        <x:v>RD-E1FB105AEDC5</x:v>
      </x:c>
      <x:c r="B527"/>
      <x:c r="C527"/>
      <x:c r="D527"/>
      <x:c r="E527"/>
      <x:c r="F527"/>
      <x:c r="G527"/>
      <x:c r="H527"/>
      <x:c r="I527"/>
      <x:c r="J527"/>
    </x:row>
    <x:row r="528">
      <x:c r="A528" t="str">
        <x:v>RD-7729E7620375</x:v>
      </x:c>
      <x:c r="B528"/>
      <x:c r="C528"/>
      <x:c r="D528"/>
      <x:c r="E528"/>
      <x:c r="F528"/>
      <x:c r="G528"/>
      <x:c r="H528"/>
      <x:c r="I528"/>
      <x:c r="J528"/>
    </x:row>
    <x:row r="529">
      <x:c r="A529" t="str">
        <x:v>RD-B64B8A901D8D</x:v>
      </x:c>
      <x:c r="B529"/>
      <x:c r="C529"/>
      <x:c r="D529"/>
      <x:c r="E529"/>
      <x:c r="F529"/>
      <x:c r="G529"/>
      <x:c r="H529"/>
      <x:c r="I529"/>
      <x:c r="J529"/>
    </x:row>
    <x:row r="530">
      <x:c r="A530" t="str">
        <x:v>RD-FA333AB4A4C4</x:v>
      </x:c>
      <x:c r="B530"/>
      <x:c r="C530"/>
      <x:c r="D530"/>
      <x:c r="E530"/>
      <x:c r="F530"/>
      <x:c r="G530"/>
      <x:c r="H530"/>
      <x:c r="I530"/>
      <x:c r="J530"/>
    </x:row>
    <x:row r="531">
      <x:c r="A531" t="str">
        <x:v>RD-001EDC81B024</x:v>
      </x:c>
      <x:c r="B531"/>
      <x:c r="C531"/>
      <x:c r="D531"/>
      <x:c r="E531"/>
      <x:c r="F531"/>
      <x:c r="G531"/>
      <x:c r="H531"/>
      <x:c r="I531"/>
      <x:c r="J531"/>
    </x:row>
    <x:row r="532">
      <x:c r="A532" t="str">
        <x:v>RD-83C7B9260F72</x:v>
      </x:c>
      <x:c r="B532"/>
      <x:c r="C532"/>
      <x:c r="D532"/>
      <x:c r="E532"/>
      <x:c r="F532"/>
      <x:c r="G532"/>
      <x:c r="H532"/>
      <x:c r="I532"/>
      <x:c r="J532"/>
    </x:row>
    <x:row r="533">
      <x:c r="A533" t="str">
        <x:v>RD-D4E907F1516A</x:v>
      </x:c>
      <x:c r="B533"/>
      <x:c r="C533"/>
      <x:c r="D533"/>
      <x:c r="E533"/>
      <x:c r="F533"/>
      <x:c r="G533"/>
      <x:c r="H533"/>
      <x:c r="I533"/>
      <x:c r="J533"/>
    </x:row>
    <x:row r="534">
      <x:c r="A534" t="str">
        <x:v>RD-98EAD03E52D6</x:v>
      </x:c>
      <x:c r="B534"/>
      <x:c r="C534"/>
      <x:c r="D534"/>
      <x:c r="E534"/>
      <x:c r="F534"/>
      <x:c r="G534"/>
      <x:c r="H534"/>
      <x:c r="I534"/>
      <x:c r="J534"/>
    </x:row>
    <x:row r="535">
      <x:c r="A535" t="str">
        <x:v>RD-89328CA2445A</x:v>
      </x:c>
      <x:c r="B535"/>
      <x:c r="C535"/>
      <x:c r="D535"/>
      <x:c r="E535"/>
      <x:c r="F535"/>
      <x:c r="G535"/>
      <x:c r="H535"/>
      <x:c r="I535"/>
      <x:c r="J535"/>
    </x:row>
    <x:row r="536">
      <x:c r="A536" t="str">
        <x:v>RD-23C0873D9E3E</x:v>
      </x:c>
      <x:c r="B536"/>
      <x:c r="C536"/>
      <x:c r="D536"/>
      <x:c r="E536"/>
      <x:c r="F536"/>
      <x:c r="G536"/>
      <x:c r="H536"/>
      <x:c r="I536"/>
      <x:c r="J536"/>
    </x:row>
    <x:row r="537">
      <x:c r="A537" t="str">
        <x:v>RD-956029977163</x:v>
      </x:c>
      <x:c r="B537"/>
      <x:c r="C537"/>
      <x:c r="D537"/>
      <x:c r="E537"/>
      <x:c r="F537"/>
      <x:c r="G537"/>
      <x:c r="H537"/>
      <x:c r="I537"/>
      <x:c r="J537"/>
    </x:row>
    <x:row r="538">
      <x:c r="A538" t="str">
        <x:v>RD-5453774B45B3</x:v>
      </x:c>
      <x:c r="B538"/>
      <x:c r="C538"/>
      <x:c r="D538"/>
      <x:c r="E538"/>
      <x:c r="F538"/>
      <x:c r="G538"/>
      <x:c r="H538"/>
      <x:c r="I538"/>
      <x:c r="J538"/>
    </x:row>
    <x:row r="539">
      <x:c r="A539" t="str">
        <x:v>RD-8912C34B5533</x:v>
      </x:c>
      <x:c r="B539"/>
      <x:c r="C539"/>
      <x:c r="D539"/>
      <x:c r="E539"/>
      <x:c r="F539"/>
      <x:c r="G539"/>
      <x:c r="H539"/>
      <x:c r="I539"/>
      <x:c r="J539"/>
    </x:row>
    <x:row r="540">
      <x:c r="A540" t="str">
        <x:v>RD-B962EAA38492</x:v>
      </x:c>
      <x:c r="B540"/>
      <x:c r="C540"/>
      <x:c r="D540"/>
      <x:c r="E540"/>
      <x:c r="F540"/>
      <x:c r="G540"/>
      <x:c r="H540"/>
      <x:c r="I540"/>
      <x:c r="J540"/>
    </x:row>
    <x:row r="541">
      <x:c r="A541" t="str">
        <x:v>RD-D388E6F80F51</x:v>
      </x:c>
      <x:c r="B541"/>
      <x:c r="C541"/>
      <x:c r="D541"/>
      <x:c r="E541"/>
      <x:c r="F541"/>
      <x:c r="G541"/>
      <x:c r="H541"/>
      <x:c r="I541"/>
      <x:c r="J541"/>
    </x:row>
    <x:row r="542">
      <x:c r="A542" t="str">
        <x:v>RD-0572D6DB68E1</x:v>
      </x:c>
      <x:c r="B542"/>
      <x:c r="C542"/>
      <x:c r="D542"/>
      <x:c r="E542"/>
      <x:c r="F542"/>
      <x:c r="G542"/>
      <x:c r="H542"/>
      <x:c r="I542"/>
      <x:c r="J542"/>
    </x:row>
    <x:row r="543">
      <x:c r="A543" t="str">
        <x:v>RD-114ADF2733F8</x:v>
      </x:c>
      <x:c r="B543"/>
      <x:c r="C543"/>
      <x:c r="D543"/>
      <x:c r="E543"/>
      <x:c r="F543"/>
      <x:c r="G543"/>
      <x:c r="H543"/>
      <x:c r="I543"/>
      <x:c r="J543"/>
    </x:row>
    <x:row r="544">
      <x:c r="A544" t="str">
        <x:v>RD-13A4BB9C0808</x:v>
      </x:c>
      <x:c r="B544"/>
      <x:c r="C544"/>
      <x:c r="D544"/>
      <x:c r="E544"/>
      <x:c r="F544"/>
      <x:c r="G544"/>
      <x:c r="H544"/>
      <x:c r="I544"/>
      <x:c r="J544"/>
    </x:row>
    <x:row r="545">
      <x:c r="A545" t="str">
        <x:v>RD-E407A3C0A129</x:v>
      </x:c>
      <x:c r="B545"/>
      <x:c r="C545"/>
      <x:c r="D545"/>
      <x:c r="E545"/>
      <x:c r="F545"/>
      <x:c r="G545"/>
      <x:c r="H545"/>
      <x:c r="I545"/>
      <x:c r="J545"/>
    </x:row>
    <x:row r="546">
      <x:c r="A546" t="str">
        <x:v>RD-17A3E7F49C46</x:v>
      </x:c>
      <x:c r="B546"/>
      <x:c r="C546"/>
      <x:c r="D546"/>
      <x:c r="E546"/>
      <x:c r="F546"/>
      <x:c r="G546"/>
      <x:c r="H546"/>
      <x:c r="I546"/>
      <x:c r="J546"/>
    </x:row>
    <x:row r="547">
      <x:c r="A547" t="str">
        <x:v>RD-3FC16040A053</x:v>
      </x:c>
      <x:c r="B547"/>
      <x:c r="C547"/>
      <x:c r="D547"/>
      <x:c r="E547"/>
      <x:c r="F547"/>
      <x:c r="G547"/>
      <x:c r="H547"/>
      <x:c r="I547"/>
      <x:c r="J547"/>
    </x:row>
    <x:row r="548">
      <x:c r="A548" t="str">
        <x:v>RD-93282972A8EC</x:v>
      </x:c>
      <x:c r="B548"/>
      <x:c r="C548"/>
      <x:c r="D548"/>
      <x:c r="E548"/>
      <x:c r="F548"/>
      <x:c r="G548"/>
      <x:c r="H548"/>
      <x:c r="I548"/>
      <x:c r="J548"/>
    </x:row>
    <x:row r="549">
      <x:c r="A549" t="str">
        <x:v>RD-0E18122946AC</x:v>
      </x:c>
      <x:c r="B549"/>
      <x:c r="C549"/>
      <x:c r="D549"/>
      <x:c r="E549"/>
      <x:c r="F549"/>
      <x:c r="G549"/>
      <x:c r="H549"/>
      <x:c r="I549"/>
      <x:c r="J549"/>
    </x:row>
    <x:row r="550">
      <x:c r="A550" t="str">
        <x:v>RD-40B4B6D578BC</x:v>
      </x:c>
      <x:c r="B550"/>
      <x:c r="C550"/>
      <x:c r="D550"/>
      <x:c r="E550"/>
      <x:c r="F550"/>
      <x:c r="G550"/>
      <x:c r="H550"/>
      <x:c r="I550"/>
      <x:c r="J550"/>
    </x:row>
    <x:row r="551">
      <x:c r="A551" t="str">
        <x:v>RD-63B2BD6BEDA3</x:v>
      </x:c>
      <x:c r="B551"/>
      <x:c r="C551"/>
      <x:c r="D551"/>
      <x:c r="E551"/>
      <x:c r="F551"/>
      <x:c r="G551"/>
      <x:c r="H551"/>
      <x:c r="I551"/>
      <x:c r="J551"/>
    </x:row>
    <x:row r="552">
      <x:c r="A552" t="str">
        <x:v>RD-70A1DF77C3F0</x:v>
      </x:c>
      <x:c r="B552"/>
      <x:c r="C552"/>
      <x:c r="D552"/>
      <x:c r="E552"/>
      <x:c r="F552"/>
      <x:c r="G552"/>
      <x:c r="H552"/>
      <x:c r="I552"/>
      <x:c r="J552"/>
    </x:row>
    <x:row r="553">
      <x:c r="A553" t="str">
        <x:v>RD-477928C428BB</x:v>
      </x:c>
      <x:c r="B553"/>
      <x:c r="C553"/>
      <x:c r="D553"/>
      <x:c r="E553"/>
      <x:c r="F553"/>
      <x:c r="G553"/>
      <x:c r="H553"/>
      <x:c r="I553"/>
      <x:c r="J553"/>
    </x:row>
    <x:row r="554">
      <x:c r="A554" t="str">
        <x:v>RD-D37D7DD58B8D</x:v>
      </x:c>
      <x:c r="B554"/>
      <x:c r="C554"/>
      <x:c r="D554"/>
      <x:c r="E554"/>
      <x:c r="F554"/>
      <x:c r="G554"/>
      <x:c r="H554"/>
      <x:c r="I554"/>
      <x:c r="J554"/>
    </x:row>
    <x:row r="555">
      <x:c r="A555" t="str">
        <x:v>RD-9BE3A381C90E</x:v>
      </x:c>
      <x:c r="B555"/>
      <x:c r="C555"/>
      <x:c r="D555"/>
      <x:c r="E555"/>
      <x:c r="F555"/>
      <x:c r="G555"/>
      <x:c r="H555"/>
      <x:c r="I555"/>
      <x:c r="J555"/>
    </x:row>
    <x:row r="556">
      <x:c r="A556" t="str">
        <x:v>RD-3014D339B588</x:v>
      </x:c>
      <x:c r="B556"/>
      <x:c r="C556"/>
      <x:c r="D556"/>
      <x:c r="E556"/>
      <x:c r="F556"/>
      <x:c r="G556"/>
      <x:c r="H556"/>
      <x:c r="I556"/>
      <x:c r="J556"/>
    </x:row>
    <x:row r="557">
      <x:c r="A557" t="str">
        <x:v>RD-16D58E4D1087</x:v>
      </x:c>
      <x:c r="B557"/>
      <x:c r="C557"/>
      <x:c r="D557"/>
      <x:c r="E557"/>
      <x:c r="F557"/>
      <x:c r="G557"/>
      <x:c r="H557"/>
      <x:c r="I557"/>
      <x:c r="J557"/>
    </x:row>
    <x:row r="558">
      <x:c r="A558" t="str">
        <x:v>RD-993A35714F03</x:v>
      </x:c>
      <x:c r="B558"/>
      <x:c r="C558"/>
      <x:c r="D558"/>
      <x:c r="E558"/>
      <x:c r="F558"/>
      <x:c r="G558"/>
      <x:c r="H558"/>
      <x:c r="I558"/>
      <x:c r="J558"/>
    </x:row>
    <x:row r="559">
      <x:c r="A559" t="str">
        <x:v>RD-05143846F27C</x:v>
      </x:c>
      <x:c r="B559"/>
      <x:c r="C559"/>
      <x:c r="D559"/>
      <x:c r="E559"/>
      <x:c r="F559"/>
      <x:c r="G559"/>
      <x:c r="H559"/>
      <x:c r="I559"/>
      <x:c r="J559"/>
    </x:row>
    <x:row r="560">
      <x:c r="A560" t="str">
        <x:v>RD-EEC6435445FE</x:v>
      </x:c>
      <x:c r="B560"/>
      <x:c r="C560"/>
      <x:c r="D560"/>
      <x:c r="E560"/>
      <x:c r="F560"/>
      <x:c r="G560"/>
      <x:c r="H560"/>
      <x:c r="I560"/>
      <x:c r="J560"/>
    </x:row>
    <x:row r="561">
      <x:c r="A561" t="str">
        <x:v>RD-C1E64CD8010B</x:v>
      </x:c>
      <x:c r="B561"/>
      <x:c r="C561"/>
      <x:c r="D561"/>
      <x:c r="E561"/>
      <x:c r="F561"/>
      <x:c r="G561"/>
      <x:c r="H561"/>
      <x:c r="I561"/>
      <x:c r="J561"/>
    </x:row>
    <x:row r="562">
      <x:c r="A562" t="str">
        <x:v>RD-5FAA8E1D8B8F</x:v>
      </x:c>
      <x:c r="B562"/>
      <x:c r="C562"/>
      <x:c r="D562"/>
      <x:c r="E562"/>
      <x:c r="F562"/>
      <x:c r="G562"/>
      <x:c r="H562"/>
      <x:c r="I562"/>
      <x:c r="J562"/>
    </x:row>
    <x:row r="563">
      <x:c r="A563" t="str">
        <x:v>RD-7C1C777AA9DC</x:v>
      </x:c>
      <x:c r="B563"/>
      <x:c r="C563"/>
      <x:c r="D563"/>
      <x:c r="E563"/>
      <x:c r="F563"/>
      <x:c r="G563"/>
      <x:c r="H563"/>
      <x:c r="I563"/>
      <x:c r="J563"/>
    </x:row>
    <x:row r="564">
      <x:c r="A564" t="str">
        <x:v>RD-FE39ED3AEC93</x:v>
      </x:c>
      <x:c r="B564"/>
      <x:c r="C564"/>
      <x:c r="D564"/>
      <x:c r="E564"/>
      <x:c r="F564"/>
      <x:c r="G564"/>
      <x:c r="H564"/>
      <x:c r="I564"/>
      <x:c r="J564"/>
    </x:row>
    <x:row r="565">
      <x:c r="A565" t="str">
        <x:v>RD-C2124D442154</x:v>
      </x:c>
      <x:c r="B565"/>
      <x:c r="C565"/>
      <x:c r="D565"/>
      <x:c r="E565"/>
      <x:c r="F565"/>
      <x:c r="G565"/>
      <x:c r="H565"/>
      <x:c r="I565"/>
      <x:c r="J565"/>
    </x:row>
    <x:row r="566">
      <x:c r="A566" t="str">
        <x:v>RD-DFF1DDFC641C</x:v>
      </x:c>
      <x:c r="B566"/>
      <x:c r="C566"/>
      <x:c r="D566"/>
      <x:c r="E566"/>
      <x:c r="F566"/>
      <x:c r="G566"/>
      <x:c r="H566"/>
      <x:c r="I566"/>
      <x:c r="J566"/>
    </x:row>
    <x:row r="567">
      <x:c r="A567" t="str">
        <x:v>RD-62E5088F4E4F</x:v>
      </x:c>
      <x:c r="B567"/>
      <x:c r="C567"/>
      <x:c r="D567"/>
      <x:c r="E567"/>
      <x:c r="F567"/>
      <x:c r="G567"/>
      <x:c r="H567"/>
      <x:c r="I567"/>
      <x:c r="J567"/>
    </x:row>
    <x:row r="568">
      <x:c r="A568" t="str">
        <x:v>RD-47E577B38B87</x:v>
      </x:c>
      <x:c r="B568"/>
      <x:c r="C568"/>
      <x:c r="D568"/>
      <x:c r="E568"/>
      <x:c r="F568"/>
      <x:c r="G568"/>
      <x:c r="H568"/>
      <x:c r="I568"/>
      <x:c r="J568"/>
    </x:row>
    <x:row r="569">
      <x:c r="A569" t="str">
        <x:v>RD-E048E32DBF7F</x:v>
      </x:c>
      <x:c r="B569"/>
      <x:c r="C569"/>
      <x:c r="D569"/>
      <x:c r="E569"/>
      <x:c r="F569"/>
      <x:c r="G569"/>
      <x:c r="H569"/>
      <x:c r="I569"/>
      <x:c r="J569"/>
    </x:row>
    <x:row r="570">
      <x:c r="A570" t="str">
        <x:v>RD-A41C7F3ABE2E</x:v>
      </x:c>
      <x:c r="B570"/>
      <x:c r="C570"/>
      <x:c r="D570"/>
      <x:c r="E570"/>
      <x:c r="F570"/>
      <x:c r="G570"/>
      <x:c r="H570"/>
      <x:c r="I570"/>
      <x:c r="J570"/>
    </x:row>
    <x:row r="571">
      <x:c r="A571" t="str">
        <x:v>RD-57AA1B22FBD9</x:v>
      </x:c>
      <x:c r="B571"/>
      <x:c r="C571"/>
      <x:c r="D571"/>
      <x:c r="E571"/>
      <x:c r="F571"/>
      <x:c r="G571"/>
      <x:c r="H571"/>
      <x:c r="I571"/>
      <x:c r="J571"/>
    </x:row>
    <x:row r="572">
      <x:c r="A572" t="str">
        <x:v>RD-9319CD22AA77</x:v>
      </x:c>
      <x:c r="B572"/>
      <x:c r="C572"/>
      <x:c r="D572"/>
      <x:c r="E572"/>
      <x:c r="F572"/>
      <x:c r="G572"/>
      <x:c r="H572"/>
      <x:c r="I572"/>
      <x:c r="J572"/>
    </x:row>
    <x:row r="573">
      <x:c r="A573" t="str">
        <x:v>RD-7A3094772AA3</x:v>
      </x:c>
      <x:c r="B573"/>
      <x:c r="C573"/>
      <x:c r="D573"/>
      <x:c r="E573"/>
      <x:c r="F573"/>
      <x:c r="G573"/>
      <x:c r="H573"/>
      <x:c r="I573"/>
      <x:c r="J573"/>
    </x:row>
    <x:row r="574">
      <x:c r="A574" t="str">
        <x:v>RD-3C9A9B030ECB</x:v>
      </x:c>
      <x:c r="B574"/>
      <x:c r="C574"/>
      <x:c r="D574"/>
      <x:c r="E574"/>
      <x:c r="F574"/>
      <x:c r="G574"/>
      <x:c r="H574"/>
      <x:c r="I574"/>
      <x:c r="J574"/>
    </x:row>
    <x:row r="575">
      <x:c r="A575" t="str">
        <x:v>RD-481BA8B52BE6</x:v>
      </x:c>
      <x:c r="B575"/>
      <x:c r="C575"/>
      <x:c r="D575"/>
      <x:c r="E575"/>
      <x:c r="F575"/>
      <x:c r="G575"/>
      <x:c r="H575"/>
      <x:c r="I575"/>
      <x:c r="J575"/>
    </x:row>
    <x:row r="576">
      <x:c r="A576" t="str">
        <x:v>RD-6964430A6022</x:v>
      </x:c>
      <x:c r="B576"/>
      <x:c r="C576"/>
      <x:c r="D576"/>
      <x:c r="E576"/>
      <x:c r="F576"/>
      <x:c r="G576"/>
      <x:c r="H576"/>
      <x:c r="I576"/>
      <x:c r="J576"/>
    </x:row>
    <x:row r="577">
      <x:c r="A577" t="str">
        <x:v>RD-14C932909D49</x:v>
      </x:c>
      <x:c r="B577"/>
      <x:c r="C577"/>
      <x:c r="D577"/>
      <x:c r="E577"/>
      <x:c r="F577"/>
      <x:c r="G577"/>
      <x:c r="H577"/>
      <x:c r="I577"/>
      <x:c r="J577"/>
    </x:row>
    <x:row r="578">
      <x:c r="A578" t="str">
        <x:v>RD-BFE8EFA771B4</x:v>
      </x:c>
      <x:c r="B578"/>
      <x:c r="C578"/>
      <x:c r="D578"/>
      <x:c r="E578"/>
      <x:c r="F578"/>
      <x:c r="G578"/>
      <x:c r="H578"/>
      <x:c r="I578"/>
      <x:c r="J578"/>
    </x:row>
    <x:row r="579">
      <x:c r="A579" t="str">
        <x:v>RD-7F5AABF23E15</x:v>
      </x:c>
      <x:c r="B579"/>
      <x:c r="C579"/>
      <x:c r="D579"/>
      <x:c r="E579"/>
      <x:c r="F579"/>
      <x:c r="G579"/>
      <x:c r="H579"/>
      <x:c r="I579"/>
      <x:c r="J579"/>
    </x:row>
    <x:row r="580">
      <x:c r="A580" t="str">
        <x:v>RD-81D79E77B9BA</x:v>
      </x:c>
      <x:c r="B580"/>
      <x:c r="C580"/>
      <x:c r="D580"/>
      <x:c r="E580"/>
      <x:c r="F580"/>
      <x:c r="G580"/>
      <x:c r="H580"/>
      <x:c r="I580"/>
      <x:c r="J580"/>
    </x:row>
    <x:row r="581">
      <x:c r="A581" t="str">
        <x:v>RD-F336FE3DE848</x:v>
      </x:c>
      <x:c r="B581"/>
      <x:c r="C581"/>
      <x:c r="D581"/>
      <x:c r="E581"/>
      <x:c r="F581"/>
      <x:c r="G581"/>
      <x:c r="H581"/>
      <x:c r="I581"/>
      <x:c r="J581"/>
    </x:row>
    <x:row r="582">
      <x:c r="A582" t="str">
        <x:v>RD-423E6C209E45</x:v>
      </x:c>
      <x:c r="B582"/>
      <x:c r="C582"/>
      <x:c r="D582"/>
      <x:c r="E582"/>
      <x:c r="F582"/>
      <x:c r="G582"/>
      <x:c r="H582"/>
      <x:c r="I582"/>
      <x:c r="J582"/>
    </x:row>
    <x:row r="583">
      <x:c r="A583" t="str">
        <x:v>RD-CF7FF9F7D8A7</x:v>
      </x:c>
      <x:c r="B583"/>
      <x:c r="C583"/>
      <x:c r="D583"/>
      <x:c r="E583"/>
      <x:c r="F583"/>
      <x:c r="G583"/>
      <x:c r="H583"/>
      <x:c r="I583"/>
      <x:c r="J583"/>
    </x:row>
    <x:row r="584">
      <x:c r="A584" t="str">
        <x:v>RD-C10564764E11</x:v>
      </x:c>
      <x:c r="B584"/>
      <x:c r="C584"/>
      <x:c r="D584"/>
      <x:c r="E584"/>
      <x:c r="F584"/>
      <x:c r="G584"/>
      <x:c r="H584"/>
      <x:c r="I584"/>
      <x:c r="J584"/>
    </x:row>
    <x:row r="585">
      <x:c r="A585" t="str">
        <x:v>RD-63757B035733</x:v>
      </x:c>
      <x:c r="B585"/>
      <x:c r="C585"/>
      <x:c r="D585"/>
      <x:c r="E585"/>
      <x:c r="F585"/>
      <x:c r="G585"/>
      <x:c r="H585"/>
      <x:c r="I585"/>
      <x:c r="J585"/>
    </x:row>
    <x:row r="586">
      <x:c r="A586" t="str">
        <x:v>RD-96DE08EEC9C4</x:v>
      </x:c>
      <x:c r="B586"/>
      <x:c r="C586"/>
      <x:c r="D586"/>
      <x:c r="E586"/>
      <x:c r="F586"/>
      <x:c r="G586"/>
      <x:c r="H586"/>
      <x:c r="I586"/>
      <x:c r="J586"/>
    </x:row>
    <x:row r="587">
      <x:c r="A587" t="str">
        <x:v>RD-46025CAD96A6</x:v>
      </x:c>
      <x:c r="B587"/>
      <x:c r="C587"/>
      <x:c r="D587"/>
      <x:c r="E587"/>
      <x:c r="F587"/>
      <x:c r="G587"/>
      <x:c r="H587"/>
      <x:c r="I587"/>
      <x:c r="J587"/>
    </x:row>
    <x:row r="588">
      <x:c r="A588" t="str">
        <x:v>RD-AFABC13B0DC8</x:v>
      </x:c>
      <x:c r="B588"/>
      <x:c r="C588"/>
      <x:c r="D588"/>
      <x:c r="E588"/>
      <x:c r="F588"/>
      <x:c r="G588"/>
      <x:c r="H588"/>
      <x:c r="I588"/>
      <x:c r="J588"/>
    </x:row>
    <x:row r="589">
      <x:c r="A589" t="str">
        <x:v>RD-8C7DDC9B82C8</x:v>
      </x:c>
      <x:c r="B589"/>
      <x:c r="C589"/>
      <x:c r="D589"/>
      <x:c r="E589"/>
      <x:c r="F589"/>
      <x:c r="G589"/>
      <x:c r="H589"/>
      <x:c r="I589"/>
      <x:c r="J589"/>
    </x:row>
    <x:row r="590">
      <x:c r="A590" t="str">
        <x:v>RD-4BE488622B5C</x:v>
      </x:c>
      <x:c r="B590"/>
      <x:c r="C590"/>
      <x:c r="D590"/>
      <x:c r="E590"/>
      <x:c r="F590"/>
      <x:c r="G590"/>
      <x:c r="H590"/>
      <x:c r="I590"/>
      <x:c r="J590"/>
    </x:row>
    <x:row r="591">
      <x:c r="A591" t="str">
        <x:v>RD-70DDE9600EEE</x:v>
      </x:c>
      <x:c r="B591"/>
      <x:c r="C591"/>
      <x:c r="D591"/>
      <x:c r="E591"/>
      <x:c r="F591"/>
      <x:c r="G591"/>
      <x:c r="H591"/>
      <x:c r="I591"/>
      <x:c r="J591"/>
    </x:row>
    <x:row r="592">
      <x:c r="A592" t="str">
        <x:v>RD-25FA92C28D0C</x:v>
      </x:c>
      <x:c r="B592"/>
      <x:c r="C592"/>
      <x:c r="D592"/>
      <x:c r="E592"/>
      <x:c r="F592"/>
      <x:c r="G592"/>
      <x:c r="H592"/>
      <x:c r="I592"/>
      <x:c r="J592"/>
    </x:row>
    <x:row r="593">
      <x:c r="A593" t="str">
        <x:v>RD-D71964A63A45</x:v>
      </x:c>
      <x:c r="B593"/>
      <x:c r="C593"/>
      <x:c r="D593"/>
      <x:c r="E593"/>
      <x:c r="F593"/>
      <x:c r="G593"/>
      <x:c r="H593"/>
      <x:c r="I593"/>
      <x:c r="J593"/>
    </x:row>
    <x:row r="594">
      <x:c r="A594" t="str">
        <x:v>RD-94182D0C4448</x:v>
      </x:c>
      <x:c r="B594"/>
      <x:c r="C594"/>
      <x:c r="D594"/>
      <x:c r="E594"/>
      <x:c r="F594"/>
      <x:c r="G594"/>
      <x:c r="H594"/>
      <x:c r="I594"/>
      <x:c r="J594"/>
    </x:row>
    <x:row r="595">
      <x:c r="A595" t="str">
        <x:v>RD-848CF429890E</x:v>
      </x:c>
      <x:c r="B595"/>
      <x:c r="C595"/>
      <x:c r="D595"/>
      <x:c r="E595"/>
      <x:c r="F595"/>
      <x:c r="G595"/>
      <x:c r="H595"/>
      <x:c r="I595"/>
      <x:c r="J595"/>
    </x:row>
    <x:row r="596">
      <x:c r="A596" t="str">
        <x:v>RD-EBADB5C85461</x:v>
      </x:c>
      <x:c r="B596"/>
      <x:c r="C596"/>
      <x:c r="D596"/>
      <x:c r="E596"/>
      <x:c r="F596"/>
      <x:c r="G596"/>
      <x:c r="H596"/>
      <x:c r="I596"/>
      <x:c r="J596"/>
    </x:row>
    <x:row r="597">
      <x:c r="A597" t="str">
        <x:v>RD-3164DDDBE7E1</x:v>
      </x:c>
      <x:c r="B597"/>
      <x:c r="C597"/>
      <x:c r="D597"/>
      <x:c r="E597"/>
      <x:c r="F597"/>
      <x:c r="G597"/>
      <x:c r="H597"/>
      <x:c r="I597"/>
      <x:c r="J597"/>
    </x:row>
    <x:row r="598">
      <x:c r="A598" t="str">
        <x:v>RD-CD7A88B5D0FD</x:v>
      </x:c>
      <x:c r="B598"/>
      <x:c r="C598"/>
      <x:c r="D598"/>
      <x:c r="E598"/>
      <x:c r="F598"/>
      <x:c r="G598"/>
      <x:c r="H598"/>
      <x:c r="I598"/>
      <x:c r="J598"/>
    </x:row>
    <x:row r="599">
      <x:c r="A599" t="str">
        <x:v>RD-B061A8ACBBAF</x:v>
      </x:c>
      <x:c r="B599"/>
      <x:c r="C599"/>
      <x:c r="D599"/>
      <x:c r="E599"/>
      <x:c r="F599"/>
      <x:c r="G599"/>
      <x:c r="H599"/>
      <x:c r="I599"/>
      <x:c r="J599"/>
    </x:row>
    <x:row r="600">
      <x:c r="A600" t="str">
        <x:v>RD-DD45890864E9</x:v>
      </x:c>
      <x:c r="B600"/>
      <x:c r="C600"/>
      <x:c r="D600"/>
      <x:c r="E600"/>
      <x:c r="F600"/>
      <x:c r="G600"/>
      <x:c r="H600"/>
      <x:c r="I600"/>
      <x:c r="J600"/>
    </x:row>
    <x:row r="601">
      <x:c r="A601" t="str">
        <x:v>RD-7A26141A5E70</x:v>
      </x:c>
      <x:c r="B601"/>
      <x:c r="C601"/>
      <x:c r="D601"/>
      <x:c r="E601"/>
      <x:c r="F601"/>
      <x:c r="G601"/>
      <x:c r="H601"/>
      <x:c r="I601"/>
      <x:c r="J601"/>
    </x:row>
    <x:row r="602">
      <x:c r="A602" t="str">
        <x:v>RD-D6139706E5E1</x:v>
      </x:c>
      <x:c r="B602"/>
      <x:c r="C602"/>
      <x:c r="D602"/>
      <x:c r="E602"/>
      <x:c r="F602"/>
      <x:c r="G602"/>
      <x:c r="H602"/>
      <x:c r="I602"/>
      <x:c r="J602"/>
    </x:row>
    <x:row r="603">
      <x:c r="A603" t="str">
        <x:v>RD-0AF78B5E9B5A</x:v>
      </x:c>
      <x:c r="B603"/>
      <x:c r="C603"/>
      <x:c r="D603"/>
      <x:c r="E603"/>
      <x:c r="F603"/>
      <x:c r="G603"/>
      <x:c r="H603"/>
      <x:c r="I603"/>
      <x:c r="J603"/>
    </x:row>
    <x:row r="604">
      <x:c r="A604" t="str">
        <x:v>RD-248CB36DEF56</x:v>
      </x:c>
      <x:c r="B604"/>
      <x:c r="C604"/>
      <x:c r="D604"/>
      <x:c r="E604"/>
      <x:c r="F604"/>
      <x:c r="G604"/>
      <x:c r="H604"/>
      <x:c r="I604"/>
      <x:c r="J604"/>
    </x:row>
    <x:row r="605">
      <x:c r="A605" t="str">
        <x:v>RD-85B113966457</x:v>
      </x:c>
      <x:c r="B605"/>
      <x:c r="C605"/>
      <x:c r="D605"/>
      <x:c r="E605"/>
      <x:c r="F605"/>
      <x:c r="G605"/>
      <x:c r="H605"/>
      <x:c r="I605"/>
      <x:c r="J605"/>
    </x:row>
    <x:row r="606">
      <x:c r="A606" t="str">
        <x:v>RD-E855D7745CA3</x:v>
      </x:c>
      <x:c r="B606"/>
      <x:c r="C606"/>
      <x:c r="D606"/>
      <x:c r="E606"/>
      <x:c r="F606"/>
      <x:c r="G606"/>
      <x:c r="H606"/>
      <x:c r="I606"/>
      <x:c r="J606"/>
    </x:row>
    <x:row r="607">
      <x:c r="A607" t="str">
        <x:v>RD-432ACCA9B0C3</x:v>
      </x:c>
      <x:c r="B607"/>
      <x:c r="C607"/>
      <x:c r="D607"/>
      <x:c r="E607"/>
      <x:c r="F607"/>
      <x:c r="G607"/>
      <x:c r="H607"/>
      <x:c r="I607"/>
      <x:c r="J607"/>
    </x:row>
    <x:row r="608">
      <x:c r="A608" t="str">
        <x:v>RD-C98D7CD74C21</x:v>
      </x:c>
      <x:c r="B608"/>
      <x:c r="C608"/>
      <x:c r="D608"/>
      <x:c r="E608"/>
      <x:c r="F608"/>
      <x:c r="G608"/>
      <x:c r="H608"/>
      <x:c r="I608"/>
      <x:c r="J608"/>
    </x:row>
    <x:row r="609">
      <x:c r="A609" t="str">
        <x:v>RD-0BA5ABA9089A</x:v>
      </x:c>
      <x:c r="B609"/>
      <x:c r="C609"/>
      <x:c r="D609"/>
      <x:c r="E609"/>
      <x:c r="F609"/>
      <x:c r="G609"/>
      <x:c r="H609"/>
      <x:c r="I609"/>
      <x:c r="J609"/>
    </x:row>
    <x:row r="610">
      <x:c r="A610" t="str">
        <x:v>RD-0FE71EFAE5DC</x:v>
      </x:c>
      <x:c r="B610"/>
      <x:c r="C610"/>
      <x:c r="D610"/>
      <x:c r="E610"/>
      <x:c r="F610"/>
      <x:c r="G610"/>
      <x:c r="H610"/>
      <x:c r="I610"/>
      <x:c r="J610"/>
    </x:row>
    <x:row r="611">
      <x:c r="A611" t="str">
        <x:v>RD-7CF3905541EA</x:v>
      </x:c>
      <x:c r="B611"/>
      <x:c r="C611"/>
      <x:c r="D611"/>
      <x:c r="E611"/>
      <x:c r="F611"/>
      <x:c r="G611"/>
      <x:c r="H611"/>
      <x:c r="I611"/>
      <x:c r="J611"/>
    </x:row>
    <x:row r="612">
      <x:c r="A612" t="str">
        <x:v>RD-EEAFC7883A95</x:v>
      </x:c>
      <x:c r="B612"/>
      <x:c r="C612"/>
      <x:c r="D612"/>
      <x:c r="E612"/>
      <x:c r="F612"/>
      <x:c r="G612"/>
      <x:c r="H612"/>
      <x:c r="I612"/>
      <x:c r="J612"/>
    </x:row>
    <x:row r="613">
      <x:c r="A613" t="str">
        <x:v>RD-05BCCA3F2FA4</x:v>
      </x:c>
      <x:c r="B613"/>
      <x:c r="C613"/>
      <x:c r="D613"/>
      <x:c r="E613"/>
      <x:c r="F613"/>
      <x:c r="G613"/>
      <x:c r="H613"/>
      <x:c r="I613"/>
      <x:c r="J613"/>
    </x:row>
    <x:row r="614">
      <x:c r="A614" t="str">
        <x:v>RD-4873F0D21C4F</x:v>
      </x:c>
      <x:c r="B614"/>
      <x:c r="C614"/>
      <x:c r="D614"/>
      <x:c r="E614"/>
      <x:c r="F614"/>
      <x:c r="G614"/>
      <x:c r="H614"/>
      <x:c r="I614"/>
      <x:c r="J614"/>
    </x:row>
    <x:row r="615">
      <x:c r="A615" t="str">
        <x:v>RD-06A0B85A0405</x:v>
      </x:c>
      <x:c r="B615"/>
      <x:c r="C615"/>
      <x:c r="D615"/>
      <x:c r="E615"/>
      <x:c r="F615"/>
      <x:c r="G615"/>
      <x:c r="H615"/>
      <x:c r="I615"/>
      <x:c r="J615"/>
    </x:row>
    <x:row r="616">
      <x:c r="A616" t="str">
        <x:v>RD-1206DBBB9168</x:v>
      </x:c>
      <x:c r="B616"/>
      <x:c r="C616"/>
      <x:c r="D616"/>
      <x:c r="E616"/>
      <x:c r="F616"/>
      <x:c r="G616"/>
      <x:c r="H616"/>
      <x:c r="I616"/>
      <x:c r="J616"/>
    </x:row>
    <x:row r="617">
      <x:c r="A617" t="str">
        <x:v>RD-6E0C0FF3C0B6</x:v>
      </x:c>
      <x:c r="B617"/>
      <x:c r="C617"/>
      <x:c r="D617"/>
      <x:c r="E617"/>
      <x:c r="F617"/>
      <x:c r="G617"/>
      <x:c r="H617"/>
      <x:c r="I617"/>
      <x:c r="J617"/>
    </x:row>
    <x:row r="618">
      <x:c r="A618" t="str">
        <x:v>RD-84AA5261BD4B</x:v>
      </x:c>
      <x:c r="B618"/>
      <x:c r="C618"/>
      <x:c r="D618"/>
      <x:c r="E618"/>
      <x:c r="F618"/>
      <x:c r="G618"/>
      <x:c r="H618"/>
      <x:c r="I618"/>
      <x:c r="J618"/>
    </x:row>
    <x:row r="619">
      <x:c r="A619" t="str">
        <x:v>RD-CE905BECC72D</x:v>
      </x:c>
      <x:c r="B619"/>
      <x:c r="C619"/>
      <x:c r="D619"/>
      <x:c r="E619"/>
      <x:c r="F619"/>
      <x:c r="G619"/>
      <x:c r="H619"/>
      <x:c r="I619"/>
      <x:c r="J619"/>
    </x:row>
    <x:row r="620">
      <x:c r="A620" t="str">
        <x:v>RD-DF2EFDF6C438</x:v>
      </x:c>
      <x:c r="B620"/>
      <x:c r="C620"/>
      <x:c r="D620"/>
      <x:c r="E620"/>
      <x:c r="F620"/>
      <x:c r="G620"/>
      <x:c r="H620"/>
      <x:c r="I620"/>
      <x:c r="J620"/>
    </x:row>
    <x:row r="621">
      <x:c r="A621" t="str">
        <x:v>RD-9F555A42FD93</x:v>
      </x:c>
      <x:c r="B621"/>
      <x:c r="C621"/>
      <x:c r="D621"/>
      <x:c r="E621"/>
      <x:c r="F621"/>
      <x:c r="G621"/>
      <x:c r="H621"/>
      <x:c r="I621"/>
      <x:c r="J621"/>
    </x:row>
    <x:row r="622">
      <x:c r="A622" t="str">
        <x:v>RD-CEC920486F8E</x:v>
      </x:c>
      <x:c r="B622"/>
      <x:c r="C622"/>
      <x:c r="D622"/>
      <x:c r="E622"/>
      <x:c r="F622"/>
      <x:c r="G622"/>
      <x:c r="H622"/>
      <x:c r="I622"/>
      <x:c r="J622"/>
    </x:row>
    <x:row r="623">
      <x:c r="A623" t="str">
        <x:v>RD-09EEF5521DF1</x:v>
      </x:c>
      <x:c r="B623"/>
      <x:c r="C623"/>
      <x:c r="D623"/>
      <x:c r="E623"/>
      <x:c r="F623"/>
      <x:c r="G623"/>
      <x:c r="H623"/>
      <x:c r="I623"/>
      <x:c r="J623"/>
    </x:row>
    <x:row r="624">
      <x:c r="A624" t="str">
        <x:v>RD-200DFFA72683</x:v>
      </x:c>
      <x:c r="B624"/>
      <x:c r="C624"/>
      <x:c r="D624"/>
      <x:c r="E624"/>
      <x:c r="F624"/>
      <x:c r="G624"/>
      <x:c r="H624"/>
      <x:c r="I624"/>
      <x:c r="J624"/>
    </x:row>
    <x:row r="625">
      <x:c r="A625" t="str">
        <x:v>RD-8AEE1E6BCB2D</x:v>
      </x:c>
      <x:c r="B625"/>
      <x:c r="C625"/>
      <x:c r="D625"/>
      <x:c r="E625"/>
      <x:c r="F625"/>
      <x:c r="G625"/>
      <x:c r="H625"/>
      <x:c r="I625"/>
      <x:c r="J625"/>
    </x:row>
    <x:row r="626">
      <x:c r="A626" t="str">
        <x:v>RD-B5DFEE7FFA87</x:v>
      </x:c>
      <x:c r="B626"/>
      <x:c r="C626"/>
      <x:c r="D626"/>
      <x:c r="E626"/>
      <x:c r="F626"/>
      <x:c r="G626"/>
      <x:c r="H626"/>
      <x:c r="I626"/>
      <x:c r="J626"/>
    </x:row>
    <x:row r="627">
      <x:c r="A627" t="str">
        <x:v>RD-441FB5600910</x:v>
      </x:c>
      <x:c r="B627"/>
      <x:c r="C627"/>
      <x:c r="D627"/>
      <x:c r="E627"/>
      <x:c r="F627"/>
      <x:c r="G627"/>
      <x:c r="H627"/>
      <x:c r="I627"/>
      <x:c r="J627"/>
    </x:row>
    <x:row r="628">
      <x:c r="A628" t="str">
        <x:v>RD-6B620BCCED77</x:v>
      </x:c>
      <x:c r="B628"/>
      <x:c r="C628"/>
      <x:c r="D628"/>
      <x:c r="E628"/>
      <x:c r="F628"/>
      <x:c r="G628"/>
      <x:c r="H628"/>
      <x:c r="I628"/>
      <x:c r="J628"/>
    </x:row>
    <x:row r="629">
      <x:c r="A629" t="str">
        <x:v>RD-69F33972B6D0</x:v>
      </x:c>
      <x:c r="B629"/>
      <x:c r="C629"/>
      <x:c r="D629"/>
      <x:c r="E629"/>
      <x:c r="F629"/>
      <x:c r="G629"/>
      <x:c r="H629"/>
      <x:c r="I629"/>
      <x:c r="J629"/>
    </x:row>
    <x:row r="630">
      <x:c r="A630" t="str">
        <x:v>RD-E5D6EFD44723</x:v>
      </x:c>
      <x:c r="B630"/>
      <x:c r="C630"/>
      <x:c r="D630"/>
      <x:c r="E630"/>
      <x:c r="F630"/>
      <x:c r="G630"/>
      <x:c r="H630"/>
      <x:c r="I630"/>
      <x:c r="J630"/>
    </x:row>
    <x:row r="631">
      <x:c r="A631" t="str">
        <x:v>RD-169FE5AA6D13</x:v>
      </x:c>
      <x:c r="B631"/>
      <x:c r="C631"/>
      <x:c r="D631"/>
      <x:c r="E631"/>
      <x:c r="F631"/>
      <x:c r="G631"/>
      <x:c r="H631"/>
      <x:c r="I631"/>
      <x:c r="J631"/>
    </x:row>
    <x:row r="632">
      <x:c r="A632" t="str">
        <x:v>RD-5955B83C6752</x:v>
      </x:c>
      <x:c r="B632"/>
      <x:c r="C632"/>
      <x:c r="D632"/>
      <x:c r="E632"/>
      <x:c r="F632"/>
      <x:c r="G632"/>
      <x:c r="H632"/>
      <x:c r="I632"/>
      <x:c r="J632"/>
    </x:row>
    <x:row r="633">
      <x:c r="A633" t="str">
        <x:v>RD-A6A33BA302D5</x:v>
      </x:c>
      <x:c r="B633"/>
      <x:c r="C633"/>
      <x:c r="D633"/>
      <x:c r="E633"/>
      <x:c r="F633"/>
      <x:c r="G633"/>
      <x:c r="H633"/>
      <x:c r="I633"/>
      <x:c r="J633"/>
    </x:row>
    <x:row r="634">
      <x:c r="A634" t="str">
        <x:v>RD-A0D05D8BD631</x:v>
      </x:c>
      <x:c r="B634"/>
      <x:c r="C634"/>
      <x:c r="D634"/>
      <x:c r="E634"/>
      <x:c r="F634"/>
      <x:c r="G634"/>
      <x:c r="H634"/>
      <x:c r="I634"/>
      <x:c r="J634"/>
    </x:row>
    <x:row r="635">
      <x:c r="A635" t="str">
        <x:v>RD-288C275CAF8D</x:v>
      </x:c>
      <x:c r="B635"/>
      <x:c r="C635"/>
      <x:c r="D635"/>
      <x:c r="E635"/>
      <x:c r="F635"/>
      <x:c r="G635"/>
      <x:c r="H635"/>
      <x:c r="I635"/>
      <x:c r="J635"/>
    </x:row>
    <x:row r="636">
      <x:c r="A636" t="str">
        <x:v>RD-D19294F810BF</x:v>
      </x:c>
      <x:c r="B636"/>
      <x:c r="C636"/>
      <x:c r="D636"/>
      <x:c r="E636"/>
      <x:c r="F636"/>
      <x:c r="G636"/>
      <x:c r="H636"/>
      <x:c r="I636"/>
      <x:c r="J636"/>
    </x:row>
    <x:row r="637">
      <x:c r="A637" t="str">
        <x:v>RD-C34188F8E823</x:v>
      </x:c>
      <x:c r="B637"/>
      <x:c r="C637"/>
      <x:c r="D637"/>
      <x:c r="E637"/>
      <x:c r="F637"/>
      <x:c r="G637"/>
      <x:c r="H637"/>
      <x:c r="I637"/>
      <x:c r="J637"/>
    </x:row>
    <x:row r="638">
      <x:c r="A638" t="str">
        <x:v>RD-F892E7E6D8F9</x:v>
      </x:c>
      <x:c r="B638"/>
      <x:c r="C638"/>
      <x:c r="D638"/>
      <x:c r="E638"/>
      <x:c r="F638"/>
      <x:c r="G638"/>
      <x:c r="H638"/>
      <x:c r="I638"/>
      <x:c r="J638"/>
    </x:row>
    <x:row r="639">
      <x:c r="A639" t="str">
        <x:v>RD-671B3DE8CCCA</x:v>
      </x:c>
      <x:c r="B639"/>
      <x:c r="C639"/>
      <x:c r="D639"/>
      <x:c r="E639"/>
      <x:c r="F639"/>
      <x:c r="G639"/>
      <x:c r="H639"/>
      <x:c r="I639"/>
      <x:c r="J639"/>
    </x:row>
    <x:row r="640">
      <x:c r="A640" t="str">
        <x:v>RD-7CC02BDA7B92</x:v>
      </x:c>
      <x:c r="B640"/>
      <x:c r="C640"/>
      <x:c r="D640"/>
      <x:c r="E640"/>
      <x:c r="F640"/>
      <x:c r="G640"/>
      <x:c r="H640"/>
      <x:c r="I640"/>
      <x:c r="J640"/>
    </x:row>
    <x:row r="641">
      <x:c r="A641" t="str">
        <x:v>RD-BAD79667FC5C</x:v>
      </x:c>
      <x:c r="B641"/>
      <x:c r="C641"/>
      <x:c r="D641"/>
      <x:c r="E641"/>
      <x:c r="F641"/>
      <x:c r="G641"/>
      <x:c r="H641"/>
      <x:c r="I641"/>
      <x:c r="J641"/>
    </x:row>
    <x:row r="642">
      <x:c r="A642" t="str">
        <x:v>RD-7DD765F1913C</x:v>
      </x:c>
      <x:c r="B642"/>
      <x:c r="C642"/>
      <x:c r="D642"/>
      <x:c r="E642"/>
      <x:c r="F642"/>
      <x:c r="G642"/>
      <x:c r="H642"/>
      <x:c r="I642"/>
      <x:c r="J642"/>
    </x:row>
    <x:row r="643">
      <x:c r="A643" t="str">
        <x:v>RD-8550613E505B</x:v>
      </x:c>
      <x:c r="B643"/>
      <x:c r="C643"/>
      <x:c r="D643"/>
      <x:c r="E643"/>
      <x:c r="F643"/>
      <x:c r="G643"/>
      <x:c r="H643"/>
      <x:c r="I643"/>
      <x:c r="J643"/>
    </x:row>
    <x:row r="644">
      <x:c r="A644" t="str">
        <x:v>RD-B9533044612C</x:v>
      </x:c>
      <x:c r="B644"/>
      <x:c r="C644"/>
      <x:c r="D644"/>
      <x:c r="E644"/>
      <x:c r="F644"/>
      <x:c r="G644"/>
      <x:c r="H644"/>
      <x:c r="I644"/>
      <x:c r="J644"/>
    </x:row>
    <x:row r="645">
      <x:c r="A645" t="str">
        <x:v>RD-28AF136BAE43</x:v>
      </x:c>
      <x:c r="B645"/>
      <x:c r="C645"/>
      <x:c r="D645"/>
      <x:c r="E645"/>
      <x:c r="F645"/>
      <x:c r="G645"/>
      <x:c r="H645"/>
      <x:c r="I645"/>
      <x:c r="J645"/>
    </x:row>
    <x:row r="646">
      <x:c r="A646" t="str">
        <x:v>RD-D8E91CE6F3D9</x:v>
      </x:c>
      <x:c r="B646"/>
      <x:c r="C646"/>
      <x:c r="D646"/>
      <x:c r="E646"/>
      <x:c r="F646"/>
      <x:c r="G646"/>
      <x:c r="H646"/>
      <x:c r="I646"/>
      <x:c r="J646"/>
    </x:row>
    <x:row r="647">
      <x:c r="A647" t="str">
        <x:v>RD-EBDF6217868E</x:v>
      </x:c>
      <x:c r="B647"/>
      <x:c r="C647"/>
      <x:c r="D647"/>
      <x:c r="E647"/>
      <x:c r="F647"/>
      <x:c r="G647"/>
      <x:c r="H647"/>
      <x:c r="I647"/>
      <x:c r="J647"/>
    </x:row>
    <x:row r="648">
      <x:c r="A648" t="str">
        <x:v>RD-E168E0A325AF</x:v>
      </x:c>
      <x:c r="B648"/>
      <x:c r="C648"/>
      <x:c r="D648"/>
      <x:c r="E648"/>
      <x:c r="F648"/>
      <x:c r="G648"/>
      <x:c r="H648"/>
      <x:c r="I648"/>
      <x:c r="J648"/>
    </x:row>
    <x:row r="649">
      <x:c r="A649" t="str">
        <x:v>RD-2014AEF3B631</x:v>
      </x:c>
      <x:c r="B649"/>
      <x:c r="C649"/>
      <x:c r="D649"/>
      <x:c r="E649"/>
      <x:c r="F649"/>
      <x:c r="G649"/>
      <x:c r="H649"/>
      <x:c r="I649"/>
      <x:c r="J649"/>
    </x:row>
    <x:row r="650">
      <x:c r="A650" t="str">
        <x:v>RD-6A1F50CF29B7</x:v>
      </x:c>
      <x:c r="B650"/>
      <x:c r="C650"/>
      <x:c r="D650"/>
      <x:c r="E650"/>
      <x:c r="F650"/>
      <x:c r="G650"/>
      <x:c r="H650"/>
      <x:c r="I650"/>
      <x:c r="J650"/>
    </x:row>
    <x:row r="651">
      <x:c r="A651" t="str">
        <x:v>RD-62165FD19E8D</x:v>
      </x:c>
      <x:c r="B651"/>
      <x:c r="C651"/>
      <x:c r="D651"/>
      <x:c r="E651"/>
      <x:c r="F651"/>
      <x:c r="G651"/>
      <x:c r="H651"/>
      <x:c r="I651"/>
      <x:c r="J651"/>
    </x:row>
    <x:row r="652">
      <x:c r="A652" t="str">
        <x:v>RD-A0FE5382A630</x:v>
      </x:c>
      <x:c r="B652"/>
      <x:c r="C652"/>
      <x:c r="D652"/>
      <x:c r="E652"/>
      <x:c r="F652"/>
      <x:c r="G652"/>
      <x:c r="H652"/>
      <x:c r="I652"/>
      <x:c r="J652"/>
    </x:row>
    <x:row r="653">
      <x:c r="A653" t="str">
        <x:v>RD-9B749DAC55C8</x:v>
      </x:c>
      <x:c r="B653"/>
      <x:c r="C653"/>
      <x:c r="D653"/>
      <x:c r="E653"/>
      <x:c r="F653"/>
      <x:c r="G653"/>
      <x:c r="H653"/>
      <x:c r="I653"/>
      <x:c r="J653"/>
    </x:row>
    <x:row r="654">
      <x:c r="A654" t="str">
        <x:v>RD-79A33D8A1764</x:v>
      </x:c>
      <x:c r="B654"/>
      <x:c r="C654"/>
      <x:c r="D654"/>
      <x:c r="E654"/>
      <x:c r="F654"/>
      <x:c r="G654"/>
      <x:c r="H654"/>
      <x:c r="I654"/>
      <x:c r="J654"/>
    </x:row>
    <x:row r="655">
      <x:c r="A655" t="str">
        <x:v>RD-1C377E84CE82</x:v>
      </x:c>
      <x:c r="B655"/>
      <x:c r="C655"/>
      <x:c r="D655"/>
      <x:c r="E655"/>
      <x:c r="F655"/>
      <x:c r="G655"/>
      <x:c r="H655"/>
      <x:c r="I655"/>
      <x:c r="J655"/>
    </x:row>
    <x:row r="656">
      <x:c r="A656" t="str">
        <x:v>RD-FE8B575989F6</x:v>
      </x:c>
      <x:c r="B656"/>
      <x:c r="C656"/>
      <x:c r="D656"/>
      <x:c r="E656"/>
      <x:c r="F656"/>
      <x:c r="G656"/>
      <x:c r="H656"/>
      <x:c r="I656"/>
      <x:c r="J656"/>
    </x:row>
    <x:row r="657">
      <x:c r="A657" t="str">
        <x:v>RD-6D9642E0FB8C</x:v>
      </x:c>
      <x:c r="B657"/>
      <x:c r="C657"/>
      <x:c r="D657"/>
      <x:c r="E657"/>
      <x:c r="F657"/>
      <x:c r="G657"/>
      <x:c r="H657"/>
      <x:c r="I657"/>
      <x:c r="J657"/>
    </x:row>
    <x:row r="658">
      <x:c r="A658" t="str">
        <x:v>RD-BE4932E11633</x:v>
      </x:c>
      <x:c r="B658"/>
      <x:c r="C658"/>
      <x:c r="D658"/>
      <x:c r="E658"/>
      <x:c r="F658"/>
      <x:c r="G658"/>
      <x:c r="H658"/>
      <x:c r="I658"/>
      <x:c r="J658"/>
    </x:row>
    <x:row r="659">
      <x:c r="A659" t="str">
        <x:v>RD-6A781C18CE7A</x:v>
      </x:c>
      <x:c r="B659"/>
      <x:c r="C659"/>
      <x:c r="D659"/>
      <x:c r="E659"/>
      <x:c r="F659"/>
      <x:c r="G659"/>
      <x:c r="H659"/>
      <x:c r="I659"/>
      <x:c r="J659"/>
    </x:row>
    <x:row r="660">
      <x:c r="A660" t="str">
        <x:v>RD-16566951FF0B</x:v>
      </x:c>
      <x:c r="B660"/>
      <x:c r="C660"/>
      <x:c r="D660"/>
      <x:c r="E660"/>
      <x:c r="F660"/>
      <x:c r="G660"/>
      <x:c r="H660"/>
      <x:c r="I660"/>
      <x:c r="J660"/>
    </x:row>
    <x:row r="661">
      <x:c r="A661" t="str">
        <x:v>RD-70687ABBEA10</x:v>
      </x:c>
      <x:c r="B661"/>
      <x:c r="C661"/>
      <x:c r="D661"/>
      <x:c r="E661"/>
      <x:c r="F661"/>
      <x:c r="G661"/>
      <x:c r="H661"/>
      <x:c r="I661"/>
      <x:c r="J661"/>
    </x:row>
    <x:row r="662">
      <x:c r="A662" t="str">
        <x:v>RD-6BAE8EC62EBD</x:v>
      </x:c>
      <x:c r="B662"/>
      <x:c r="C662"/>
      <x:c r="D662"/>
      <x:c r="E662"/>
      <x:c r="F662"/>
      <x:c r="G662"/>
      <x:c r="H662"/>
      <x:c r="I662"/>
      <x:c r="J662"/>
    </x:row>
    <x:row r="663">
      <x:c r="A663" t="str">
        <x:v>RD-66F95C37393C</x:v>
      </x:c>
      <x:c r="B663"/>
      <x:c r="C663"/>
      <x:c r="D663"/>
      <x:c r="E663"/>
      <x:c r="F663"/>
      <x:c r="G663"/>
      <x:c r="H663"/>
      <x:c r="I663"/>
      <x:c r="J663"/>
    </x:row>
    <x:row r="664">
      <x:c r="A664" t="str">
        <x:v>RD-731555ABC259</x:v>
      </x:c>
      <x:c r="B664"/>
      <x:c r="C664"/>
      <x:c r="D664"/>
      <x:c r="E664"/>
      <x:c r="F664"/>
      <x:c r="G664"/>
      <x:c r="H664"/>
      <x:c r="I664"/>
      <x:c r="J664"/>
    </x:row>
    <x:row r="665">
      <x:c r="A665" t="str">
        <x:v>RD-0714AF014943</x:v>
      </x:c>
      <x:c r="B665"/>
      <x:c r="C665"/>
      <x:c r="D665"/>
      <x:c r="E665"/>
      <x:c r="F665"/>
      <x:c r="G665"/>
      <x:c r="H665"/>
      <x:c r="I665"/>
      <x:c r="J665"/>
    </x:row>
    <x:row r="666">
      <x:c r="A666" t="str">
        <x:v>RD-1B9D3CB5E1D2</x:v>
      </x:c>
      <x:c r="B666"/>
      <x:c r="C666"/>
      <x:c r="D666"/>
      <x:c r="E666"/>
      <x:c r="F666"/>
      <x:c r="G666"/>
      <x:c r="H666"/>
      <x:c r="I666"/>
      <x:c r="J666"/>
    </x:row>
    <x:row r="667">
      <x:c r="A667" t="str">
        <x:v>RD-B00F0BC2277F</x:v>
      </x:c>
      <x:c r="B667"/>
      <x:c r="C667"/>
      <x:c r="D667"/>
      <x:c r="E667"/>
      <x:c r="F667"/>
      <x:c r="G667"/>
      <x:c r="H667"/>
      <x:c r="I667"/>
      <x:c r="J667"/>
    </x:row>
    <x:row r="668">
      <x:c r="A668" t="str">
        <x:v>RD-4EEEC3FC3093</x:v>
      </x:c>
      <x:c r="B668"/>
      <x:c r="C668"/>
      <x:c r="D668"/>
      <x:c r="E668"/>
      <x:c r="F668"/>
      <x:c r="G668"/>
      <x:c r="H668"/>
      <x:c r="I668"/>
      <x:c r="J668"/>
    </x:row>
    <x:row r="669">
      <x:c r="A669" t="str">
        <x:v>RD-63C2829724BC</x:v>
      </x:c>
      <x:c r="B669"/>
      <x:c r="C669"/>
      <x:c r="D669"/>
      <x:c r="E669"/>
      <x:c r="F669"/>
      <x:c r="G669"/>
      <x:c r="H669"/>
      <x:c r="I669"/>
      <x:c r="J669"/>
    </x:row>
    <x:row r="670">
      <x:c r="A670" t="str">
        <x:v>RD-68AF839BE896</x:v>
      </x:c>
      <x:c r="B670"/>
      <x:c r="C670"/>
      <x:c r="D670"/>
      <x:c r="E670"/>
      <x:c r="F670"/>
      <x:c r="G670"/>
      <x:c r="H670"/>
      <x:c r="I670"/>
      <x:c r="J670"/>
    </x:row>
    <x:row r="671">
      <x:c r="A671" t="str">
        <x:v>RD-7D9850E7CDE6</x:v>
      </x:c>
      <x:c r="B671"/>
      <x:c r="C671"/>
      <x:c r="D671"/>
      <x:c r="E671"/>
      <x:c r="F671"/>
      <x:c r="G671"/>
      <x:c r="H671"/>
      <x:c r="I671"/>
      <x:c r="J671"/>
    </x:row>
    <x:row r="672">
      <x:c r="A672" t="str">
        <x:v>RD-D7C187EF4381</x:v>
      </x:c>
      <x:c r="B672"/>
      <x:c r="C672"/>
      <x:c r="D672"/>
      <x:c r="E672"/>
      <x:c r="F672"/>
      <x:c r="G672"/>
      <x:c r="H672"/>
      <x:c r="I672"/>
      <x:c r="J672"/>
    </x:row>
    <x:row r="673">
      <x:c r="A673" t="str">
        <x:v>RD-84393448E716</x:v>
      </x:c>
      <x:c r="B673"/>
      <x:c r="C673"/>
      <x:c r="D673"/>
      <x:c r="E673"/>
      <x:c r="F673"/>
      <x:c r="G673"/>
      <x:c r="H673"/>
      <x:c r="I673"/>
      <x:c r="J673"/>
    </x:row>
    <x:row r="674">
      <x:c r="A674" t="str">
        <x:v>RD-0A45F79C779D</x:v>
      </x:c>
      <x:c r="B674"/>
      <x:c r="C674"/>
      <x:c r="D674"/>
      <x:c r="E674"/>
      <x:c r="F674"/>
      <x:c r="G674"/>
      <x:c r="H674"/>
      <x:c r="I674"/>
      <x:c r="J674"/>
    </x:row>
    <x:row r="675">
      <x:c r="A675" t="str">
        <x:v>RD-CCCEF0AD8A4E</x:v>
      </x:c>
      <x:c r="B675"/>
      <x:c r="C675"/>
      <x:c r="D675"/>
      <x:c r="E675"/>
      <x:c r="F675"/>
      <x:c r="G675"/>
      <x:c r="H675"/>
      <x:c r="I675"/>
      <x:c r="J675"/>
    </x:row>
    <x:row r="676">
      <x:c r="A676" t="str">
        <x:v>RD-E4324B6D2B86</x:v>
      </x:c>
      <x:c r="B676"/>
      <x:c r="C676"/>
      <x:c r="D676"/>
      <x:c r="E676"/>
      <x:c r="F676"/>
      <x:c r="G676"/>
      <x:c r="H676"/>
      <x:c r="I676"/>
      <x:c r="J676"/>
    </x:row>
    <x:row r="677">
      <x:c r="A677" t="str">
        <x:v>RD-001B2412CCE9</x:v>
      </x:c>
      <x:c r="B677"/>
      <x:c r="C677"/>
      <x:c r="D677"/>
      <x:c r="E677"/>
      <x:c r="F677"/>
      <x:c r="G677"/>
      <x:c r="H677"/>
      <x:c r="I677"/>
      <x:c r="J677"/>
    </x:row>
    <x:row r="678">
      <x:c r="A678" t="str">
        <x:v>RD-E8A7F3F53FE0</x:v>
      </x:c>
      <x:c r="B678"/>
      <x:c r="C678"/>
      <x:c r="D678"/>
      <x:c r="E678"/>
      <x:c r="F678"/>
      <x:c r="G678"/>
      <x:c r="H678"/>
      <x:c r="I678"/>
      <x:c r="J678"/>
    </x:row>
    <x:row r="679">
      <x:c r="A679" t="str">
        <x:v>RD-194721BD6C7A</x:v>
      </x:c>
      <x:c r="B679"/>
      <x:c r="C679"/>
      <x:c r="D679"/>
      <x:c r="E679"/>
      <x:c r="F679"/>
      <x:c r="G679"/>
      <x:c r="H679"/>
      <x:c r="I679"/>
      <x:c r="J679"/>
    </x:row>
    <x:row r="680">
      <x:c r="A680" t="str">
        <x:v>RD-768445ADF733</x:v>
      </x:c>
      <x:c r="B680"/>
      <x:c r="C680"/>
      <x:c r="D680"/>
      <x:c r="E680"/>
      <x:c r="F680"/>
      <x:c r="G680"/>
      <x:c r="H680"/>
      <x:c r="I680"/>
      <x:c r="J680"/>
    </x:row>
    <x:row r="681">
      <x:c r="A681" t="str">
        <x:v>RD-F2E11526E36F</x:v>
      </x:c>
      <x:c r="B681"/>
      <x:c r="C681"/>
      <x:c r="D681"/>
      <x:c r="E681"/>
      <x:c r="F681"/>
      <x:c r="G681"/>
      <x:c r="H681"/>
      <x:c r="I681"/>
      <x:c r="J681"/>
    </x:row>
    <x:row r="682">
      <x:c r="A682" t="str">
        <x:v>RD-B9421DDACC7A</x:v>
      </x:c>
      <x:c r="B682"/>
      <x:c r="C682"/>
      <x:c r="D682"/>
      <x:c r="E682"/>
      <x:c r="F682"/>
      <x:c r="G682"/>
      <x:c r="H682"/>
      <x:c r="I682"/>
      <x:c r="J682"/>
    </x:row>
    <x:row r="683">
      <x:c r="A683" t="str">
        <x:v>RD-DF786755CFB8</x:v>
      </x:c>
      <x:c r="B683"/>
      <x:c r="C683"/>
      <x:c r="D683"/>
      <x:c r="E683"/>
      <x:c r="F683"/>
      <x:c r="G683"/>
      <x:c r="H683"/>
      <x:c r="I683"/>
      <x:c r="J683"/>
    </x:row>
    <x:row r="684">
      <x:c r="A684" t="str">
        <x:v>RD-4D6384B1A322</x:v>
      </x:c>
      <x:c r="B684"/>
      <x:c r="C684"/>
      <x:c r="D684"/>
      <x:c r="E684"/>
      <x:c r="F684"/>
      <x:c r="G684"/>
      <x:c r="H684"/>
      <x:c r="I684"/>
      <x:c r="J684"/>
    </x:row>
    <x:row r="685">
      <x:c r="A685" t="str">
        <x:v>RD-4E097C0D445F</x:v>
      </x:c>
      <x:c r="B685"/>
      <x:c r="C685"/>
      <x:c r="D685"/>
      <x:c r="E685"/>
      <x:c r="F685"/>
      <x:c r="G685"/>
      <x:c r="H685"/>
      <x:c r="I685"/>
      <x:c r="J685"/>
    </x:row>
    <x:row r="686">
      <x:c r="A686" t="str">
        <x:v>RD-24B382B40B60</x:v>
      </x:c>
      <x:c r="B686"/>
      <x:c r="C686"/>
      <x:c r="D686"/>
      <x:c r="E686"/>
      <x:c r="F686"/>
      <x:c r="G686"/>
      <x:c r="H686"/>
      <x:c r="I686"/>
      <x:c r="J686"/>
    </x:row>
    <x:row r="687">
      <x:c r="A687" t="str">
        <x:v>RD-511271000B0D</x:v>
      </x:c>
      <x:c r="B687"/>
      <x:c r="C687"/>
      <x:c r="D687"/>
      <x:c r="E687"/>
      <x:c r="F687"/>
      <x:c r="G687"/>
      <x:c r="H687"/>
      <x:c r="I687"/>
      <x:c r="J687"/>
    </x:row>
    <x:row r="688">
      <x:c r="A688" t="str">
        <x:v>RD-5129D7BE17DB</x:v>
      </x:c>
      <x:c r="B688"/>
      <x:c r="C688"/>
      <x:c r="D688"/>
      <x:c r="E688"/>
      <x:c r="F688"/>
      <x:c r="G688"/>
      <x:c r="H688"/>
      <x:c r="I688"/>
      <x:c r="J688"/>
    </x:row>
    <x:row r="689">
      <x:c r="A689" t="str">
        <x:v>RD-B17A4727FCF6</x:v>
      </x:c>
      <x:c r="B689"/>
      <x:c r="C689"/>
      <x:c r="D689"/>
      <x:c r="E689"/>
      <x:c r="F689"/>
      <x:c r="G689"/>
      <x:c r="H689"/>
      <x:c r="I689"/>
      <x:c r="J689"/>
    </x:row>
    <x:row r="690">
      <x:c r="A690" t="str">
        <x:v>RD-0BAB33515BAF</x:v>
      </x:c>
      <x:c r="B690"/>
      <x:c r="C690"/>
      <x:c r="D690"/>
      <x:c r="E690"/>
      <x:c r="F690"/>
      <x:c r="G690"/>
      <x:c r="H690"/>
      <x:c r="I690"/>
      <x:c r="J690"/>
    </x:row>
    <x:row r="691">
      <x:c r="A691" t="str">
        <x:v>RD-3FD1CF797BD1</x:v>
      </x:c>
      <x:c r="B691"/>
      <x:c r="C691"/>
      <x:c r="D691"/>
      <x:c r="E691"/>
      <x:c r="F691"/>
      <x:c r="G691"/>
      <x:c r="H691"/>
      <x:c r="I691"/>
      <x:c r="J691"/>
    </x:row>
    <x:row r="692">
      <x:c r="A692" t="str">
        <x:v>RD-58AAE2C8CB23</x:v>
      </x:c>
      <x:c r="B692"/>
      <x:c r="C692"/>
      <x:c r="D692"/>
      <x:c r="E692"/>
      <x:c r="F692"/>
      <x:c r="G692"/>
      <x:c r="H692"/>
      <x:c r="I692"/>
      <x:c r="J692"/>
    </x:row>
    <x:row r="693">
      <x:c r="A693" t="str">
        <x:v>RD-FCAA019E8773</x:v>
      </x:c>
      <x:c r="B693"/>
      <x:c r="C693"/>
      <x:c r="D693"/>
      <x:c r="E693"/>
      <x:c r="F693"/>
      <x:c r="G693"/>
      <x:c r="H693"/>
      <x:c r="I693"/>
      <x:c r="J693"/>
    </x:row>
    <x:row r="694">
      <x:c r="A694" t="str">
        <x:v>RD-65696217EE08</x:v>
      </x:c>
      <x:c r="B694"/>
      <x:c r="C694"/>
      <x:c r="D694"/>
      <x:c r="E694"/>
      <x:c r="F694"/>
      <x:c r="G694"/>
      <x:c r="H694"/>
      <x:c r="I694"/>
      <x:c r="J694"/>
    </x:row>
    <x:row r="695">
      <x:c r="A695" t="str">
        <x:v>RD-BE3E9501650D</x:v>
      </x:c>
      <x:c r="B695"/>
      <x:c r="C695"/>
      <x:c r="D695"/>
      <x:c r="E695"/>
      <x:c r="F695"/>
      <x:c r="G695"/>
      <x:c r="H695"/>
      <x:c r="I695"/>
      <x:c r="J695"/>
    </x:row>
    <x:row r="696">
      <x:c r="A696" t="str">
        <x:v>RD-7528E0F4F374</x:v>
      </x:c>
      <x:c r="B696"/>
      <x:c r="C696"/>
      <x:c r="D696"/>
      <x:c r="E696"/>
      <x:c r="F696"/>
      <x:c r="G696"/>
      <x:c r="H696"/>
      <x:c r="I696"/>
      <x:c r="J696"/>
    </x:row>
    <x:row r="697">
      <x:c r="A697" t="str">
        <x:v>RD-B11EDDD8D4C1</x:v>
      </x:c>
      <x:c r="B697"/>
      <x:c r="C697"/>
      <x:c r="D697"/>
      <x:c r="E697"/>
      <x:c r="F697"/>
      <x:c r="G697"/>
      <x:c r="H697"/>
      <x:c r="I697"/>
      <x:c r="J697"/>
    </x:row>
    <x:row r="698">
      <x:c r="A698" t="str">
        <x:v>RD-1155C6A9146B</x:v>
      </x:c>
      <x:c r="B698"/>
      <x:c r="C698"/>
      <x:c r="D698"/>
      <x:c r="E698"/>
      <x:c r="F698"/>
      <x:c r="G698"/>
      <x:c r="H698"/>
      <x:c r="I698"/>
      <x:c r="J698"/>
    </x:row>
    <x:row r="699">
      <x:c r="A699" t="str">
        <x:v>RD-3F05FEBED913</x:v>
      </x:c>
      <x:c r="B699"/>
      <x:c r="C699"/>
      <x:c r="D699"/>
      <x:c r="E699"/>
      <x:c r="F699"/>
      <x:c r="G699"/>
      <x:c r="H699"/>
      <x:c r="I699"/>
      <x:c r="J699"/>
    </x:row>
    <x:row r="700">
      <x:c r="A700" t="str">
        <x:v>RD-97EEF8F25437</x:v>
      </x:c>
      <x:c r="B700"/>
      <x:c r="C700"/>
      <x:c r="D700"/>
      <x:c r="E700"/>
      <x:c r="F700"/>
      <x:c r="G700"/>
      <x:c r="H700"/>
      <x:c r="I700"/>
      <x:c r="J700"/>
    </x:row>
    <x:row r="701">
      <x:c r="A701" t="str">
        <x:v>RD-5BF760DD1EDD</x:v>
      </x:c>
      <x:c r="B701"/>
      <x:c r="C701"/>
      <x:c r="D701"/>
      <x:c r="E701"/>
      <x:c r="F701"/>
      <x:c r="G701"/>
      <x:c r="H701"/>
      <x:c r="I701"/>
      <x:c r="J701"/>
    </x:row>
    <x:row r="702">
      <x:c r="A702" t="str">
        <x:v>RD-B6D94B4CA5E5</x:v>
      </x:c>
      <x:c r="B702"/>
      <x:c r="C702"/>
      <x:c r="D702"/>
      <x:c r="E702"/>
      <x:c r="F702"/>
      <x:c r="G702"/>
      <x:c r="H702"/>
      <x:c r="I702"/>
      <x:c r="J702"/>
    </x:row>
    <x:row r="703">
      <x:c r="A703" t="str">
        <x:v>RD-C8BDEDB53138</x:v>
      </x:c>
      <x:c r="B703"/>
      <x:c r="C703"/>
      <x:c r="D703"/>
      <x:c r="E703"/>
      <x:c r="F703"/>
      <x:c r="G703"/>
      <x:c r="H703"/>
      <x:c r="I703"/>
      <x:c r="J703"/>
    </x:row>
    <x:row r="704">
      <x:c r="A704" t="str">
        <x:v>RD-26D86B65A9FE</x:v>
      </x:c>
      <x:c r="B704"/>
      <x:c r="C704"/>
      <x:c r="D704"/>
      <x:c r="E704"/>
      <x:c r="F704"/>
      <x:c r="G704"/>
      <x:c r="H704"/>
      <x:c r="I704"/>
      <x:c r="J704"/>
    </x:row>
    <x:row r="705">
      <x:c r="A705" t="str">
        <x:v>RD-92C912DC4EEC</x:v>
      </x:c>
      <x:c r="B705"/>
      <x:c r="C705"/>
      <x:c r="D705"/>
      <x:c r="E705"/>
      <x:c r="F705"/>
      <x:c r="G705"/>
      <x:c r="H705"/>
      <x:c r="I705"/>
      <x:c r="J705"/>
    </x:row>
    <x:row r="706">
      <x:c r="A706" t="str">
        <x:v>RD-431E3ED438C3</x:v>
      </x:c>
      <x:c r="B706"/>
      <x:c r="C706"/>
      <x:c r="D706"/>
      <x:c r="E706"/>
      <x:c r="F706"/>
      <x:c r="G706"/>
      <x:c r="H706"/>
      <x:c r="I706"/>
      <x:c r="J706"/>
    </x:row>
    <x:row r="707">
      <x:c r="A707" t="str">
        <x:v>RD-76A11FF22CCD</x:v>
      </x:c>
      <x:c r="B707"/>
      <x:c r="C707"/>
      <x:c r="D707"/>
      <x:c r="E707"/>
      <x:c r="F707"/>
      <x:c r="G707"/>
      <x:c r="H707"/>
      <x:c r="I707"/>
      <x:c r="J707"/>
    </x:row>
    <x:row r="708">
      <x:c r="A708" t="str">
        <x:v>RD-E26C7741A0DF</x:v>
      </x:c>
      <x:c r="B708"/>
      <x:c r="C708"/>
      <x:c r="D708"/>
      <x:c r="E708"/>
      <x:c r="F708"/>
      <x:c r="G708"/>
      <x:c r="H708"/>
      <x:c r="I708"/>
      <x:c r="J708"/>
    </x:row>
    <x:row r="709">
      <x:c r="A709" t="str">
        <x:v>RD-020A14551A06</x:v>
      </x:c>
      <x:c r="B709"/>
      <x:c r="C709"/>
      <x:c r="D709"/>
      <x:c r="E709"/>
      <x:c r="F709"/>
      <x:c r="G709"/>
      <x:c r="H709"/>
      <x:c r="I709"/>
      <x:c r="J709"/>
    </x:row>
    <x:row r="710">
      <x:c r="A710" t="str">
        <x:v>RD-18BA5A8469E3</x:v>
      </x:c>
      <x:c r="B710"/>
      <x:c r="C710"/>
      <x:c r="D710"/>
      <x:c r="E710"/>
      <x:c r="F710"/>
      <x:c r="G710"/>
      <x:c r="H710"/>
      <x:c r="I710"/>
      <x:c r="J710"/>
    </x:row>
    <x:row r="711">
      <x:c r="A711" t="str">
        <x:v>RD-9B6B0DE17825</x:v>
      </x:c>
      <x:c r="B711"/>
      <x:c r="C711"/>
      <x:c r="D711"/>
      <x:c r="E711"/>
      <x:c r="F711"/>
      <x:c r="G711"/>
      <x:c r="H711"/>
      <x:c r="I711"/>
      <x:c r="J711"/>
    </x:row>
    <x:row r="712">
      <x:c r="A712" t="str">
        <x:v>RD-713145849D45</x:v>
      </x:c>
      <x:c r="B712"/>
      <x:c r="C712"/>
      <x:c r="D712"/>
      <x:c r="E712"/>
      <x:c r="F712"/>
      <x:c r="G712"/>
      <x:c r="H712"/>
      <x:c r="I712"/>
      <x:c r="J712"/>
    </x:row>
    <x:row r="713">
      <x:c r="A713" t="str">
        <x:v>RD-F0EF7879B695</x:v>
      </x:c>
      <x:c r="B713"/>
      <x:c r="C713"/>
      <x:c r="D713"/>
      <x:c r="E713"/>
      <x:c r="F713"/>
      <x:c r="G713"/>
      <x:c r="H713"/>
      <x:c r="I713"/>
      <x:c r="J713"/>
    </x:row>
    <x:row r="714">
      <x:c r="A714" t="str">
        <x:v>RD-95321D80C030</x:v>
      </x:c>
      <x:c r="B714"/>
      <x:c r="C714"/>
      <x:c r="D714"/>
      <x:c r="E714"/>
      <x:c r="F714"/>
      <x:c r="G714"/>
      <x:c r="H714"/>
      <x:c r="I714"/>
      <x:c r="J714"/>
    </x:row>
    <x:row r="715">
      <x:c r="A715" t="str">
        <x:v>RD-ACD818197442</x:v>
      </x:c>
      <x:c r="B715"/>
      <x:c r="C715"/>
      <x:c r="D715"/>
      <x:c r="E715"/>
      <x:c r="F715"/>
      <x:c r="G715"/>
      <x:c r="H715"/>
      <x:c r="I715"/>
      <x:c r="J715"/>
    </x:row>
    <x:row r="716">
      <x:c r="A716" t="str">
        <x:v>RD-DE5ED9FB8505</x:v>
      </x:c>
      <x:c r="B716"/>
      <x:c r="C716"/>
      <x:c r="D716"/>
      <x:c r="E716"/>
      <x:c r="F716"/>
      <x:c r="G716"/>
      <x:c r="H716"/>
      <x:c r="I716"/>
      <x:c r="J716"/>
    </x:row>
    <x:row r="717">
      <x:c r="A717" t="str">
        <x:v>RD-CC1A2FCCD1C7</x:v>
      </x:c>
      <x:c r="B717"/>
      <x:c r="C717"/>
      <x:c r="D717"/>
      <x:c r="E717"/>
      <x:c r="F717"/>
      <x:c r="G717"/>
      <x:c r="H717"/>
      <x:c r="I717"/>
      <x:c r="J717"/>
    </x:row>
    <x:row r="718">
      <x:c r="A718" t="str">
        <x:v>RD-1A656802D4EF</x:v>
      </x:c>
      <x:c r="B718"/>
      <x:c r="C718"/>
      <x:c r="D718"/>
      <x:c r="E718"/>
      <x:c r="F718"/>
      <x:c r="G718"/>
      <x:c r="H718"/>
      <x:c r="I718"/>
      <x:c r="J718"/>
    </x:row>
    <x:row r="719">
      <x:c r="A719" t="str">
        <x:v>RD-0941A6AF7928</x:v>
      </x:c>
      <x:c r="B719"/>
      <x:c r="C719"/>
      <x:c r="D719"/>
      <x:c r="E719"/>
      <x:c r="F719"/>
      <x:c r="G719"/>
      <x:c r="H719"/>
      <x:c r="I719"/>
      <x:c r="J719"/>
    </x:row>
    <x:row r="720">
      <x:c r="A720" t="str">
        <x:v>RD-4A404265381E</x:v>
      </x:c>
      <x:c r="B720"/>
      <x:c r="C720"/>
      <x:c r="D720"/>
      <x:c r="E720"/>
      <x:c r="F720"/>
      <x:c r="G720"/>
      <x:c r="H720"/>
      <x:c r="I720"/>
      <x:c r="J720"/>
    </x:row>
    <x:row r="721">
      <x:c r="A721" t="str">
        <x:v>RD-B9717B11F378</x:v>
      </x:c>
      <x:c r="B721"/>
      <x:c r="C721"/>
      <x:c r="D721"/>
      <x:c r="E721"/>
      <x:c r="F721"/>
      <x:c r="G721"/>
      <x:c r="H721"/>
      <x:c r="I721"/>
      <x:c r="J721"/>
    </x:row>
    <x:row r="722">
      <x:c r="A722" t="str">
        <x:v>RD-B044150933E4</x:v>
      </x:c>
      <x:c r="B722"/>
      <x:c r="C722"/>
      <x:c r="D722"/>
      <x:c r="E722"/>
      <x:c r="F722"/>
      <x:c r="G722"/>
      <x:c r="H722"/>
      <x:c r="I722"/>
      <x:c r="J722"/>
    </x:row>
    <x:row r="723">
      <x:c r="A723" t="str">
        <x:v>RD-DFF7414F2206</x:v>
      </x:c>
      <x:c r="B723"/>
      <x:c r="C723"/>
      <x:c r="D723"/>
      <x:c r="E723"/>
      <x:c r="F723"/>
      <x:c r="G723"/>
      <x:c r="H723"/>
      <x:c r="I723"/>
      <x:c r="J723"/>
    </x:row>
    <x:row r="724">
      <x:c r="A724" t="str">
        <x:v>RD-78CAA816AE3D</x:v>
      </x:c>
      <x:c r="B724"/>
      <x:c r="C724"/>
      <x:c r="D724"/>
      <x:c r="E724"/>
      <x:c r="F724"/>
      <x:c r="G724"/>
      <x:c r="H724"/>
      <x:c r="I724"/>
      <x:c r="J724"/>
    </x:row>
    <x:row r="725">
      <x:c r="A725" t="str">
        <x:v>RD-5FA864AFFEEE</x:v>
      </x:c>
      <x:c r="B725"/>
      <x:c r="C725"/>
      <x:c r="D725"/>
      <x:c r="E725"/>
      <x:c r="F725"/>
      <x:c r="G725"/>
      <x:c r="H725"/>
      <x:c r="I725"/>
      <x:c r="J725"/>
    </x:row>
    <x:row r="726">
      <x:c r="A726" t="str">
        <x:v>RD-C547DED318D7</x:v>
      </x:c>
      <x:c r="B726"/>
      <x:c r="C726"/>
      <x:c r="D726"/>
      <x:c r="E726"/>
      <x:c r="F726"/>
      <x:c r="G726"/>
      <x:c r="H726"/>
      <x:c r="I726"/>
      <x:c r="J726"/>
    </x:row>
    <x:row r="727">
      <x:c r="A727" t="str">
        <x:v>RD-9330183707DE</x:v>
      </x:c>
      <x:c r="B727"/>
      <x:c r="C727"/>
      <x:c r="D727"/>
      <x:c r="E727"/>
      <x:c r="F727"/>
      <x:c r="G727"/>
      <x:c r="H727"/>
      <x:c r="I727"/>
      <x:c r="J727"/>
    </x:row>
    <x:row r="728">
      <x:c r="A728" t="str">
        <x:v>RD-0EE7BF149B1E</x:v>
      </x:c>
      <x:c r="B728"/>
      <x:c r="C728"/>
      <x:c r="D728"/>
      <x:c r="E728"/>
      <x:c r="F728"/>
      <x:c r="G728"/>
      <x:c r="H728"/>
      <x:c r="I728"/>
      <x:c r="J728"/>
    </x:row>
    <x:row r="729">
      <x:c r="A729" t="str">
        <x:v>RD-75C12799BA2B</x:v>
      </x:c>
      <x:c r="B729"/>
      <x:c r="C729"/>
      <x:c r="D729"/>
      <x:c r="E729"/>
      <x:c r="F729"/>
      <x:c r="G729"/>
      <x:c r="H729"/>
      <x:c r="I729"/>
      <x:c r="J729"/>
    </x:row>
    <x:row r="730">
      <x:c r="A730" t="str">
        <x:v>RD-BA116B4EB627</x:v>
      </x:c>
      <x:c r="B730"/>
      <x:c r="C730"/>
      <x:c r="D730"/>
      <x:c r="E730"/>
      <x:c r="F730"/>
      <x:c r="G730"/>
      <x:c r="H730"/>
      <x:c r="I730"/>
      <x:c r="J730"/>
    </x:row>
    <x:row r="731">
      <x:c r="A731" t="str">
        <x:v>RD-0460E209A8DC</x:v>
      </x:c>
      <x:c r="B731"/>
      <x:c r="C731"/>
      <x:c r="D731"/>
      <x:c r="E731"/>
      <x:c r="F731"/>
      <x:c r="G731"/>
      <x:c r="H731"/>
      <x:c r="I731"/>
      <x:c r="J731"/>
    </x:row>
    <x:row r="732">
      <x:c r="A732" t="str">
        <x:v>RD-6299ECFB656C</x:v>
      </x:c>
      <x:c r="B732"/>
      <x:c r="C732"/>
      <x:c r="D732"/>
      <x:c r="E732"/>
      <x:c r="F732"/>
      <x:c r="G732"/>
      <x:c r="H732"/>
      <x:c r="I732"/>
      <x:c r="J732"/>
    </x:row>
    <x:row r="733">
      <x:c r="A733" t="str">
        <x:v>RD-8590A6E42951</x:v>
      </x:c>
      <x:c r="B733"/>
      <x:c r="C733"/>
      <x:c r="D733"/>
      <x:c r="E733"/>
      <x:c r="F733"/>
      <x:c r="G733"/>
      <x:c r="H733"/>
      <x:c r="I733"/>
      <x:c r="J733"/>
    </x:row>
    <x:row r="734">
      <x:c r="A734" t="str">
        <x:v>RD-193F95C6EF8F</x:v>
      </x:c>
      <x:c r="B734"/>
      <x:c r="C734"/>
      <x:c r="D734"/>
      <x:c r="E734"/>
      <x:c r="F734"/>
      <x:c r="G734"/>
      <x:c r="H734"/>
      <x:c r="I734"/>
      <x:c r="J734"/>
    </x:row>
    <x:row r="735">
      <x:c r="A735" t="str">
        <x:v>RD-F525FF9ACE74</x:v>
      </x:c>
      <x:c r="B735"/>
      <x:c r="C735"/>
      <x:c r="D735"/>
      <x:c r="E735"/>
      <x:c r="F735"/>
      <x:c r="G735"/>
      <x:c r="H735"/>
      <x:c r="I735"/>
      <x:c r="J735"/>
    </x:row>
    <x:row r="736">
      <x:c r="A736" t="str">
        <x:v>RD-195B69E9AF63</x:v>
      </x:c>
      <x:c r="B736"/>
      <x:c r="C736"/>
      <x:c r="D736"/>
      <x:c r="E736"/>
      <x:c r="F736"/>
      <x:c r="G736"/>
      <x:c r="H736"/>
      <x:c r="I736"/>
      <x:c r="J736"/>
    </x:row>
    <x:row r="737">
      <x:c r="A737" t="str">
        <x:v>RD-F6726F89D688</x:v>
      </x:c>
      <x:c r="B737"/>
      <x:c r="C737"/>
      <x:c r="D737"/>
      <x:c r="E737"/>
      <x:c r="F737"/>
      <x:c r="G737"/>
      <x:c r="H737"/>
      <x:c r="I737"/>
      <x:c r="J737"/>
    </x:row>
    <x:row r="738">
      <x:c r="A738" t="str">
        <x:v>RD-31AB4EF613FA</x:v>
      </x:c>
      <x:c r="B738"/>
      <x:c r="C738"/>
      <x:c r="D738"/>
      <x:c r="E738"/>
      <x:c r="F738"/>
      <x:c r="G738"/>
      <x:c r="H738"/>
      <x:c r="I738"/>
      <x:c r="J738"/>
    </x:row>
    <x:row r="739">
      <x:c r="A739" t="str">
        <x:v>RD-0582DCDF3182</x:v>
      </x:c>
      <x:c r="B739"/>
      <x:c r="C739"/>
      <x:c r="D739"/>
      <x:c r="E739"/>
      <x:c r="F739"/>
      <x:c r="G739"/>
      <x:c r="H739"/>
      <x:c r="I739"/>
      <x:c r="J739"/>
    </x:row>
    <x:row r="740">
      <x:c r="A740" t="str">
        <x:v>RD-F3444C63A9E0</x:v>
      </x:c>
      <x:c r="B740"/>
      <x:c r="C740"/>
      <x:c r="D740"/>
      <x:c r="E740"/>
      <x:c r="F740"/>
      <x:c r="G740"/>
      <x:c r="H740"/>
      <x:c r="I740"/>
      <x:c r="J740"/>
    </x:row>
    <x:row r="741">
      <x:c r="A741" t="str">
        <x:v>RD-16DDBEE73B70</x:v>
      </x:c>
      <x:c r="B741"/>
      <x:c r="C741"/>
      <x:c r="D741"/>
      <x:c r="E741"/>
      <x:c r="F741"/>
      <x:c r="G741"/>
      <x:c r="H741"/>
      <x:c r="I741"/>
      <x:c r="J741"/>
    </x:row>
    <x:row r="742">
      <x:c r="A742" t="str">
        <x:v>RD-FD7DFD582D21</x:v>
      </x:c>
      <x:c r="B742"/>
      <x:c r="C742"/>
      <x:c r="D742"/>
      <x:c r="E742"/>
      <x:c r="F742"/>
      <x:c r="G742"/>
      <x:c r="H742"/>
      <x:c r="I742"/>
      <x:c r="J742"/>
    </x:row>
    <x:row r="743">
      <x:c r="A743" t="str">
        <x:v>RD-F50FABC71C25</x:v>
      </x:c>
      <x:c r="B743"/>
      <x:c r="C743"/>
      <x:c r="D743"/>
      <x:c r="E743"/>
      <x:c r="F743"/>
      <x:c r="G743"/>
      <x:c r="H743"/>
      <x:c r="I743"/>
      <x:c r="J743"/>
    </x:row>
    <x:row r="744">
      <x:c r="A744" t="str">
        <x:v>RD-EE292BC99FFD</x:v>
      </x:c>
      <x:c r="B744"/>
      <x:c r="C744"/>
      <x:c r="D744"/>
      <x:c r="E744"/>
      <x:c r="F744"/>
      <x:c r="G744"/>
      <x:c r="H744"/>
      <x:c r="I744"/>
      <x:c r="J744"/>
    </x:row>
    <x:row r="745">
      <x:c r="A745" t="str">
        <x:v>RD-8583768BBBC4</x:v>
      </x:c>
      <x:c r="B745"/>
      <x:c r="C745"/>
      <x:c r="D745"/>
      <x:c r="E745"/>
      <x:c r="F745"/>
      <x:c r="G745"/>
      <x:c r="H745"/>
      <x:c r="I745"/>
      <x:c r="J745"/>
    </x:row>
    <x:row r="746">
      <x:c r="A746" t="str">
        <x:v>RD-3C28261AA5AC</x:v>
      </x:c>
      <x:c r="B746"/>
      <x:c r="C746"/>
      <x:c r="D746"/>
      <x:c r="E746"/>
      <x:c r="F746"/>
      <x:c r="G746"/>
      <x:c r="H746"/>
      <x:c r="I746"/>
      <x:c r="J746"/>
    </x:row>
    <x:row r="747">
      <x:c r="A747" t="str">
        <x:v>RD-518483A8A834</x:v>
      </x:c>
      <x:c r="B747"/>
      <x:c r="C747"/>
      <x:c r="D747"/>
      <x:c r="E747"/>
      <x:c r="F747"/>
      <x:c r="G747"/>
      <x:c r="H747"/>
      <x:c r="I747"/>
      <x:c r="J747"/>
    </x:row>
    <x:row r="748">
      <x:c r="A748" t="str">
        <x:v>RD-9C7F28E59021</x:v>
      </x:c>
      <x:c r="B748"/>
      <x:c r="C748"/>
      <x:c r="D748"/>
      <x:c r="E748"/>
      <x:c r="F748"/>
      <x:c r="G748"/>
      <x:c r="H748"/>
      <x:c r="I748"/>
      <x:c r="J748"/>
    </x:row>
    <x:row r="749">
      <x:c r="A749" t="str">
        <x:v>RD-C9ACF5E340F4</x:v>
      </x:c>
      <x:c r="B749"/>
      <x:c r="C749"/>
      <x:c r="D749"/>
      <x:c r="E749"/>
      <x:c r="F749"/>
      <x:c r="G749"/>
      <x:c r="H749"/>
      <x:c r="I749"/>
      <x:c r="J749"/>
    </x:row>
    <x:row r="750">
      <x:c r="A750" t="str">
        <x:v>RD-A09197E3FE3A</x:v>
      </x:c>
      <x:c r="B750"/>
      <x:c r="C750"/>
      <x:c r="D750"/>
      <x:c r="E750"/>
      <x:c r="F750"/>
      <x:c r="G750"/>
      <x:c r="H750"/>
      <x:c r="I750"/>
      <x:c r="J750"/>
    </x:row>
    <x:row r="751">
      <x:c r="A751" t="str">
        <x:v>RD-FED6D436D389</x:v>
      </x:c>
      <x:c r="B751"/>
      <x:c r="C751"/>
      <x:c r="D751"/>
      <x:c r="E751"/>
      <x:c r="F751"/>
      <x:c r="G751"/>
      <x:c r="H751"/>
      <x:c r="I751"/>
      <x:c r="J751"/>
    </x:row>
    <x:row r="752">
      <x:c r="A752" t="str">
        <x:v>RD-1CF366BE379E</x:v>
      </x:c>
      <x:c r="B752"/>
      <x:c r="C752"/>
      <x:c r="D752"/>
      <x:c r="E752"/>
      <x:c r="F752"/>
      <x:c r="G752"/>
      <x:c r="H752"/>
      <x:c r="I752"/>
      <x:c r="J752"/>
    </x:row>
    <x:row r="753">
      <x:c r="A753" t="str">
        <x:v>RD-C8DD6E8C24F3</x:v>
      </x:c>
      <x:c r="B753"/>
      <x:c r="C753"/>
      <x:c r="D753"/>
      <x:c r="E753"/>
      <x:c r="F753"/>
      <x:c r="G753"/>
      <x:c r="H753"/>
      <x:c r="I753"/>
      <x:c r="J753"/>
    </x:row>
    <x:row r="754">
      <x:c r="A754" t="str">
        <x:v>RD-813AF320770A</x:v>
      </x:c>
      <x:c r="B754"/>
      <x:c r="C754"/>
      <x:c r="D754"/>
      <x:c r="E754"/>
      <x:c r="F754"/>
      <x:c r="G754"/>
      <x:c r="H754"/>
      <x:c r="I754"/>
      <x:c r="J754"/>
    </x:row>
    <x:row r="755">
      <x:c r="A755" t="str">
        <x:v>RD-02A49D5BDB67</x:v>
      </x:c>
      <x:c r="B755"/>
      <x:c r="C755"/>
      <x:c r="D755"/>
      <x:c r="E755"/>
      <x:c r="F755"/>
      <x:c r="G755"/>
      <x:c r="H755"/>
      <x:c r="I755"/>
      <x:c r="J755"/>
    </x:row>
    <x:row r="756">
      <x:c r="A756" t="str">
        <x:v>RD-01850CA85DEF</x:v>
      </x:c>
      <x:c r="B756"/>
      <x:c r="C756"/>
      <x:c r="D756"/>
      <x:c r="E756"/>
      <x:c r="F756"/>
      <x:c r="G756"/>
      <x:c r="H756"/>
      <x:c r="I756"/>
      <x:c r="J756"/>
    </x:row>
    <x:row r="757">
      <x:c r="A757" t="str">
        <x:v>RD-6E6318AD4C3A</x:v>
      </x:c>
      <x:c r="B757"/>
      <x:c r="C757"/>
      <x:c r="D757"/>
      <x:c r="E757"/>
      <x:c r="F757"/>
      <x:c r="G757"/>
      <x:c r="H757"/>
      <x:c r="I757"/>
      <x:c r="J757"/>
    </x:row>
    <x:row r="758">
      <x:c r="A758" t="str">
        <x:v>RD-97C75598245A</x:v>
      </x:c>
      <x:c r="B758"/>
      <x:c r="C758"/>
      <x:c r="D758"/>
      <x:c r="E758"/>
      <x:c r="F758"/>
      <x:c r="G758"/>
      <x:c r="H758"/>
      <x:c r="I758"/>
      <x:c r="J758"/>
    </x:row>
    <x:row r="759">
      <x:c r="A759" t="str">
        <x:v>RD-1ED48736A4FC</x:v>
      </x:c>
      <x:c r="B759"/>
      <x:c r="C759"/>
      <x:c r="D759"/>
      <x:c r="E759"/>
      <x:c r="F759"/>
      <x:c r="G759"/>
      <x:c r="H759"/>
      <x:c r="I759"/>
      <x:c r="J759"/>
    </x:row>
    <x:row r="760">
      <x:c r="A760" t="str">
        <x:v>RD-86D531024104</x:v>
      </x:c>
      <x:c r="B760"/>
      <x:c r="C760"/>
      <x:c r="D760"/>
      <x:c r="E760"/>
      <x:c r="F760"/>
      <x:c r="G760"/>
      <x:c r="H760"/>
      <x:c r="I760"/>
      <x:c r="J760"/>
    </x:row>
    <x:row r="761">
      <x:c r="A761" t="str">
        <x:v>RD-7259B9234523</x:v>
      </x:c>
      <x:c r="B761"/>
      <x:c r="C761"/>
      <x:c r="D761"/>
      <x:c r="E761"/>
      <x:c r="F761"/>
      <x:c r="G761"/>
      <x:c r="H761"/>
      <x:c r="I761"/>
      <x:c r="J761"/>
    </x:row>
    <x:row r="762">
      <x:c r="A762" t="str">
        <x:v>RD-D60714A9C61E</x:v>
      </x:c>
      <x:c r="B762"/>
      <x:c r="C762"/>
      <x:c r="D762"/>
      <x:c r="E762"/>
      <x:c r="F762"/>
      <x:c r="G762"/>
      <x:c r="H762"/>
      <x:c r="I762"/>
      <x:c r="J762"/>
    </x:row>
    <x:row r="763">
      <x:c r="A763" t="str">
        <x:v>RD-2DEB07BBCFD4</x:v>
      </x:c>
      <x:c r="B763"/>
      <x:c r="C763"/>
      <x:c r="D763"/>
      <x:c r="E763"/>
      <x:c r="F763"/>
      <x:c r="G763"/>
      <x:c r="H763"/>
      <x:c r="I763"/>
      <x:c r="J763"/>
    </x:row>
    <x:row r="764">
      <x:c r="A764" t="str">
        <x:v>RD-F88CC905D58E</x:v>
      </x:c>
      <x:c r="B764"/>
      <x:c r="C764"/>
      <x:c r="D764"/>
      <x:c r="E764"/>
      <x:c r="F764"/>
      <x:c r="G764"/>
      <x:c r="H764"/>
      <x:c r="I764"/>
      <x:c r="J764"/>
    </x:row>
    <x:row r="765">
      <x:c r="A765" t="str">
        <x:v>RD-8C5922CA4F9B</x:v>
      </x:c>
      <x:c r="B765"/>
      <x:c r="C765"/>
      <x:c r="D765"/>
      <x:c r="E765"/>
      <x:c r="F765"/>
      <x:c r="G765"/>
      <x:c r="H765"/>
      <x:c r="I765"/>
      <x:c r="J765"/>
    </x:row>
    <x:row r="766">
      <x:c r="A766" t="str">
        <x:v>RD-8F8DD76E8398</x:v>
      </x:c>
      <x:c r="B766"/>
      <x:c r="C766"/>
      <x:c r="D766"/>
      <x:c r="E766"/>
      <x:c r="F766"/>
      <x:c r="G766"/>
      <x:c r="H766"/>
      <x:c r="I766"/>
      <x:c r="J766"/>
    </x:row>
    <x:row r="767">
      <x:c r="A767" t="str">
        <x:v>RD-FE42DC4E7364</x:v>
      </x:c>
      <x:c r="B767"/>
      <x:c r="C767"/>
      <x:c r="D767"/>
      <x:c r="E767"/>
      <x:c r="F767"/>
      <x:c r="G767"/>
      <x:c r="H767"/>
      <x:c r="I767"/>
      <x:c r="J767"/>
    </x:row>
    <x:row r="768">
      <x:c r="A768" t="str">
        <x:v>RD-39016E6E12C1</x:v>
      </x:c>
      <x:c r="B768"/>
      <x:c r="C768"/>
      <x:c r="D768"/>
      <x:c r="E768"/>
      <x:c r="F768"/>
      <x:c r="G768"/>
      <x:c r="H768"/>
      <x:c r="I768"/>
      <x:c r="J768"/>
    </x:row>
    <x:row r="769">
      <x:c r="A769" t="str">
        <x:v>RD-FBBCCE7BE90E</x:v>
      </x:c>
      <x:c r="B769"/>
      <x:c r="C769"/>
      <x:c r="D769"/>
      <x:c r="E769"/>
      <x:c r="F769"/>
      <x:c r="G769"/>
      <x:c r="H769"/>
      <x:c r="I769"/>
      <x:c r="J769"/>
    </x:row>
    <x:row r="770">
      <x:c r="A770" t="str">
        <x:v>RD-9780034DC91E</x:v>
      </x:c>
      <x:c r="B770"/>
      <x:c r="C770"/>
      <x:c r="D770"/>
      <x:c r="E770"/>
      <x:c r="F770"/>
      <x:c r="G770"/>
      <x:c r="H770"/>
      <x:c r="I770"/>
      <x:c r="J770"/>
    </x:row>
    <x:row r="771">
      <x:c r="A771" t="str">
        <x:v>RD-312E0A39533F</x:v>
      </x:c>
      <x:c r="B771"/>
      <x:c r="C771"/>
      <x:c r="D771"/>
      <x:c r="E771"/>
      <x:c r="F771"/>
      <x:c r="G771"/>
      <x:c r="H771"/>
      <x:c r="I771"/>
      <x:c r="J771"/>
    </x:row>
    <x:row r="772">
      <x:c r="A772" t="str">
        <x:v>RD-448CA45D15EB</x:v>
      </x:c>
      <x:c r="B772"/>
      <x:c r="C772"/>
      <x:c r="D772"/>
      <x:c r="E772"/>
      <x:c r="F772"/>
      <x:c r="G772"/>
      <x:c r="H772"/>
      <x:c r="I772"/>
      <x:c r="J772"/>
    </x:row>
    <x:row r="773">
      <x:c r="A773" t="str">
        <x:v>RD-9101397560A6</x:v>
      </x:c>
      <x:c r="B773"/>
      <x:c r="C773"/>
      <x:c r="D773"/>
      <x:c r="E773"/>
      <x:c r="F773"/>
      <x:c r="G773"/>
      <x:c r="H773"/>
      <x:c r="I773"/>
      <x:c r="J773"/>
    </x:row>
    <x:row r="774">
      <x:c r="A774" t="str">
        <x:v>RD-0E6ED43BA1A5</x:v>
      </x:c>
      <x:c r="B774"/>
      <x:c r="C774"/>
      <x:c r="D774"/>
      <x:c r="E774"/>
      <x:c r="F774"/>
      <x:c r="G774"/>
      <x:c r="H774"/>
      <x:c r="I774"/>
      <x:c r="J774"/>
    </x:row>
    <x:row r="775">
      <x:c r="A775" t="str">
        <x:v>RD-CC6A13F62C7D</x:v>
      </x:c>
      <x:c r="B775"/>
      <x:c r="C775"/>
      <x:c r="D775"/>
      <x:c r="E775"/>
      <x:c r="F775"/>
      <x:c r="G775"/>
      <x:c r="H775"/>
      <x:c r="I775"/>
      <x:c r="J775"/>
    </x:row>
    <x:row r="776">
      <x:c r="A776" t="str">
        <x:v>RD-B36C5F417C30</x:v>
      </x:c>
      <x:c r="B776"/>
      <x:c r="C776"/>
      <x:c r="D776"/>
      <x:c r="E776"/>
      <x:c r="F776"/>
      <x:c r="G776"/>
      <x:c r="H776"/>
      <x:c r="I776"/>
      <x:c r="J776"/>
    </x:row>
    <x:row r="777">
      <x:c r="A777" t="str">
        <x:v>RD-30BB862499E7</x:v>
      </x:c>
      <x:c r="B777"/>
      <x:c r="C777"/>
      <x:c r="D777"/>
      <x:c r="E777"/>
      <x:c r="F777"/>
      <x:c r="G777"/>
      <x:c r="H777"/>
      <x:c r="I777"/>
      <x:c r="J777"/>
    </x:row>
    <x:row r="778">
      <x:c r="A778" t="str">
        <x:v>RD-32F8A1F8E7F1</x:v>
      </x:c>
      <x:c r="B778"/>
      <x:c r="C778"/>
      <x:c r="D778"/>
      <x:c r="E778"/>
      <x:c r="F778"/>
      <x:c r="G778"/>
      <x:c r="H778"/>
      <x:c r="I778"/>
      <x:c r="J778"/>
    </x:row>
    <x:row r="779">
      <x:c r="A779" t="str">
        <x:v>RD-7AA1AE39EABB</x:v>
      </x:c>
      <x:c r="B779"/>
      <x:c r="C779"/>
      <x:c r="D779"/>
      <x:c r="E779"/>
      <x:c r="F779"/>
      <x:c r="G779"/>
      <x:c r="H779"/>
      <x:c r="I779"/>
      <x:c r="J779"/>
    </x:row>
    <x:row r="780">
      <x:c r="A780" t="str">
        <x:v>RD-9F01B1454126</x:v>
      </x:c>
      <x:c r="B780"/>
      <x:c r="C780"/>
      <x:c r="D780"/>
      <x:c r="E780"/>
      <x:c r="F780"/>
      <x:c r="G780"/>
      <x:c r="H780"/>
      <x:c r="I780"/>
      <x:c r="J780"/>
    </x:row>
    <x:row r="781">
      <x:c r="A781" t="str">
        <x:v>RD-208CBBE2558B</x:v>
      </x:c>
      <x:c r="B781"/>
      <x:c r="C781"/>
      <x:c r="D781"/>
      <x:c r="E781"/>
      <x:c r="F781"/>
      <x:c r="G781"/>
      <x:c r="H781"/>
      <x:c r="I781"/>
      <x:c r="J781"/>
    </x:row>
    <x:row r="782">
      <x:c r="A782" t="str">
        <x:v>RD-4DD85FCBD39D</x:v>
      </x:c>
      <x:c r="B782"/>
      <x:c r="C782"/>
      <x:c r="D782"/>
      <x:c r="E782"/>
      <x:c r="F782"/>
      <x:c r="G782"/>
      <x:c r="H782"/>
      <x:c r="I782"/>
      <x:c r="J782"/>
    </x:row>
    <x:row r="783">
      <x:c r="A783" t="str">
        <x:v>RD-ED6C52987A41</x:v>
      </x:c>
      <x:c r="B783"/>
      <x:c r="C783"/>
      <x:c r="D783"/>
      <x:c r="E783"/>
      <x:c r="F783"/>
      <x:c r="G783"/>
      <x:c r="H783"/>
      <x:c r="I783"/>
      <x:c r="J783"/>
    </x:row>
    <x:row r="784">
      <x:c r="A784" t="str">
        <x:v>RD-E9A9436FEB92</x:v>
      </x:c>
      <x:c r="B784"/>
      <x:c r="C784"/>
      <x:c r="D784"/>
      <x:c r="E784"/>
      <x:c r="F784"/>
      <x:c r="G784"/>
      <x:c r="H784"/>
      <x:c r="I784"/>
      <x:c r="J784"/>
    </x:row>
    <x:row r="785">
      <x:c r="A785" t="str">
        <x:v>RD-338FE1B9FD1D</x:v>
      </x:c>
      <x:c r="B785"/>
      <x:c r="C785"/>
      <x:c r="D785"/>
      <x:c r="E785"/>
      <x:c r="F785"/>
      <x:c r="G785"/>
      <x:c r="H785"/>
      <x:c r="I785"/>
      <x:c r="J785"/>
    </x:row>
    <x:row r="786">
      <x:c r="A786" t="str">
        <x:v>RD-6C9B3D59EB28</x:v>
      </x:c>
      <x:c r="B786"/>
      <x:c r="C786"/>
      <x:c r="D786"/>
      <x:c r="E786"/>
      <x:c r="F786"/>
      <x:c r="G786"/>
      <x:c r="H786"/>
      <x:c r="I786"/>
      <x:c r="J786"/>
    </x:row>
    <x:row r="787">
      <x:c r="A787" t="str">
        <x:v>RD-B3207F373814</x:v>
      </x:c>
      <x:c r="B787"/>
      <x:c r="C787"/>
      <x:c r="D787"/>
      <x:c r="E787"/>
      <x:c r="F787"/>
      <x:c r="G787"/>
      <x:c r="H787"/>
      <x:c r="I787"/>
      <x:c r="J787"/>
    </x:row>
    <x:row r="788">
      <x:c r="A788" t="str">
        <x:v>RD-74DCDE019FBB</x:v>
      </x:c>
      <x:c r="B788"/>
      <x:c r="C788"/>
      <x:c r="D788"/>
      <x:c r="E788"/>
      <x:c r="F788"/>
      <x:c r="G788"/>
      <x:c r="H788"/>
      <x:c r="I788"/>
      <x:c r="J788"/>
    </x:row>
    <x:row r="789">
      <x:c r="A789" t="str">
        <x:v>RD-4654E8DADF09</x:v>
      </x:c>
      <x:c r="B789"/>
      <x:c r="C789"/>
      <x:c r="D789"/>
      <x:c r="E789"/>
      <x:c r="F789"/>
      <x:c r="G789"/>
      <x:c r="H789"/>
      <x:c r="I789"/>
      <x:c r="J789"/>
    </x:row>
    <x:row r="790">
      <x:c r="A790" t="str">
        <x:v>RD-1BDE08B24F0F</x:v>
      </x:c>
      <x:c r="B790"/>
      <x:c r="C790"/>
      <x:c r="D790"/>
      <x:c r="E790"/>
      <x:c r="F790"/>
      <x:c r="G790"/>
      <x:c r="H790"/>
      <x:c r="I790"/>
      <x:c r="J790"/>
    </x:row>
    <x:row r="791">
      <x:c r="A791" t="str">
        <x:v>RD-E05928ADDAA8</x:v>
      </x:c>
      <x:c r="B791"/>
      <x:c r="C791"/>
      <x:c r="D791"/>
      <x:c r="E791"/>
      <x:c r="F791"/>
      <x:c r="G791"/>
      <x:c r="H791"/>
      <x:c r="I791"/>
      <x:c r="J791"/>
    </x:row>
    <x:row r="792">
      <x:c r="A792" t="str">
        <x:v>RD-C5813150A06F</x:v>
      </x:c>
      <x:c r="B792"/>
      <x:c r="C792"/>
      <x:c r="D792"/>
      <x:c r="E792"/>
      <x:c r="F792"/>
      <x:c r="G792"/>
      <x:c r="H792"/>
      <x:c r="I792"/>
      <x:c r="J792"/>
    </x:row>
    <x:row r="793">
      <x:c r="A793" t="str">
        <x:v>RD-EFE9A593E0F8</x:v>
      </x:c>
      <x:c r="B793"/>
      <x:c r="C793"/>
      <x:c r="D793"/>
      <x:c r="E793"/>
      <x:c r="F793"/>
      <x:c r="G793"/>
      <x:c r="H793"/>
      <x:c r="I793"/>
      <x:c r="J793"/>
    </x:row>
    <x:row r="794">
      <x:c r="A794" t="str">
        <x:v>RD-A4A18A55ADAD</x:v>
      </x:c>
      <x:c r="B794"/>
      <x:c r="C794"/>
      <x:c r="D794"/>
      <x:c r="E794"/>
      <x:c r="F794"/>
      <x:c r="G794"/>
      <x:c r="H794"/>
      <x:c r="I794"/>
      <x:c r="J794"/>
    </x:row>
    <x:row r="795">
      <x:c r="A795" t="str">
        <x:v>RD-524547CF266C</x:v>
      </x:c>
      <x:c r="B795"/>
      <x:c r="C795"/>
      <x:c r="D795"/>
      <x:c r="E795"/>
      <x:c r="F795"/>
      <x:c r="G795"/>
      <x:c r="H795"/>
      <x:c r="I795"/>
      <x:c r="J795"/>
    </x:row>
    <x:row r="796">
      <x:c r="A796" t="str">
        <x:v>RD-DD8948223718</x:v>
      </x:c>
      <x:c r="B796"/>
      <x:c r="C796"/>
      <x:c r="D796"/>
      <x:c r="E796"/>
      <x:c r="F796"/>
      <x:c r="G796"/>
      <x:c r="H796"/>
      <x:c r="I796"/>
      <x:c r="J796"/>
    </x:row>
    <x:row r="797">
      <x:c r="A797" t="str">
        <x:v>RD-F2FBAAF2AF15</x:v>
      </x:c>
      <x:c r="B797"/>
      <x:c r="C797"/>
      <x:c r="D797"/>
      <x:c r="E797"/>
      <x:c r="F797"/>
      <x:c r="G797"/>
      <x:c r="H797"/>
      <x:c r="I797"/>
      <x:c r="J797"/>
    </x:row>
    <x:row r="798">
      <x:c r="A798" t="str">
        <x:v>RD-C38EBF209F22</x:v>
      </x:c>
      <x:c r="B798"/>
      <x:c r="C798"/>
      <x:c r="D798"/>
      <x:c r="E798"/>
      <x:c r="F798"/>
      <x:c r="G798"/>
      <x:c r="H798"/>
      <x:c r="I798"/>
      <x:c r="J798"/>
    </x:row>
    <x:row r="799">
      <x:c r="A799" t="str">
        <x:v>RD-4E647A9CB667</x:v>
      </x:c>
      <x:c r="B799"/>
      <x:c r="C799"/>
      <x:c r="D799"/>
      <x:c r="E799"/>
      <x:c r="F799"/>
      <x:c r="G799"/>
      <x:c r="H799"/>
      <x:c r="I799"/>
      <x:c r="J799"/>
    </x:row>
    <x:row r="800">
      <x:c r="A800" t="str">
        <x:v>RD-CF5C72B52D11</x:v>
      </x:c>
      <x:c r="B800"/>
      <x:c r="C800"/>
      <x:c r="D800"/>
      <x:c r="E800"/>
      <x:c r="F800"/>
      <x:c r="G800"/>
      <x:c r="H800"/>
      <x:c r="I800"/>
      <x:c r="J800"/>
    </x:row>
    <x:row r="801">
      <x:c r="A801" t="str">
        <x:v>RD-6935F9DD1585</x:v>
      </x:c>
      <x:c r="B801"/>
      <x:c r="C801"/>
      <x:c r="D801"/>
      <x:c r="E801"/>
      <x:c r="F801"/>
      <x:c r="G801"/>
      <x:c r="H801"/>
      <x:c r="I801"/>
      <x:c r="J801"/>
    </x:row>
    <x:row r="802">
      <x:c r="A802" t="str">
        <x:v>RD-90DABAA219D0</x:v>
      </x:c>
      <x:c r="B802"/>
      <x:c r="C802"/>
      <x:c r="D802"/>
      <x:c r="E802"/>
      <x:c r="F802"/>
      <x:c r="G802"/>
      <x:c r="H802"/>
      <x:c r="I802"/>
      <x:c r="J802"/>
    </x:row>
    <x:row r="803">
      <x:c r="A803" t="str">
        <x:v>RD-E3D546248E3F</x:v>
      </x:c>
      <x:c r="B803"/>
      <x:c r="C803"/>
      <x:c r="D803"/>
      <x:c r="E803"/>
      <x:c r="F803"/>
      <x:c r="G803"/>
      <x:c r="H803"/>
      <x:c r="I803"/>
      <x:c r="J803"/>
    </x:row>
    <x:row r="804">
      <x:c r="A804" t="str">
        <x:v>RD-FFEC36FAB661</x:v>
      </x:c>
      <x:c r="B804"/>
      <x:c r="C804"/>
      <x:c r="D804"/>
      <x:c r="E804"/>
      <x:c r="F804"/>
      <x:c r="G804"/>
      <x:c r="H804"/>
      <x:c r="I804"/>
      <x:c r="J804"/>
    </x:row>
    <x:row r="805">
      <x:c r="A805" t="str">
        <x:v>RD-7CBCF0CA3137</x:v>
      </x:c>
      <x:c r="B805"/>
      <x:c r="C805"/>
      <x:c r="D805"/>
      <x:c r="E805"/>
      <x:c r="F805"/>
      <x:c r="G805"/>
      <x:c r="H805"/>
      <x:c r="I805"/>
      <x:c r="J805"/>
    </x:row>
    <x:row r="806">
      <x:c r="A806" t="str">
        <x:v>RD-54EBEDC158DA</x:v>
      </x:c>
      <x:c r="B806"/>
      <x:c r="C806"/>
      <x:c r="D806"/>
      <x:c r="E806"/>
      <x:c r="F806"/>
      <x:c r="G806"/>
      <x:c r="H806"/>
      <x:c r="I806"/>
      <x:c r="J806"/>
    </x:row>
    <x:row r="807">
      <x:c r="A807" t="str">
        <x:v>RD-2C99FA5681EA</x:v>
      </x:c>
      <x:c r="B807"/>
      <x:c r="C807"/>
      <x:c r="D807"/>
      <x:c r="E807"/>
      <x:c r="F807"/>
      <x:c r="G807"/>
      <x:c r="H807"/>
      <x:c r="I807"/>
      <x:c r="J807"/>
    </x:row>
    <x:row r="808">
      <x:c r="A808" t="str">
        <x:v>RD-161DBF5B2054</x:v>
      </x:c>
      <x:c r="B808"/>
      <x:c r="C808"/>
      <x:c r="D808"/>
      <x:c r="E808"/>
      <x:c r="F808"/>
      <x:c r="G808"/>
      <x:c r="H808"/>
      <x:c r="I808"/>
      <x:c r="J808"/>
    </x:row>
    <x:row r="809">
      <x:c r="A809" t="str">
        <x:v>RD-07F5895CD69A</x:v>
      </x:c>
      <x:c r="B809"/>
      <x:c r="C809"/>
      <x:c r="D809"/>
      <x:c r="E809"/>
      <x:c r="F809"/>
      <x:c r="G809"/>
      <x:c r="H809"/>
      <x:c r="I809"/>
      <x:c r="J809"/>
    </x:row>
    <x:row r="810">
      <x:c r="A810" t="str">
        <x:v>RD-6E724E6740D8</x:v>
      </x:c>
      <x:c r="B810"/>
      <x:c r="C810"/>
      <x:c r="D810"/>
      <x:c r="E810"/>
      <x:c r="F810"/>
      <x:c r="G810"/>
      <x:c r="H810"/>
      <x:c r="I810"/>
      <x:c r="J810"/>
    </x:row>
    <x:row r="811">
      <x:c r="A811" t="str">
        <x:v>RD-3D34B740F482</x:v>
      </x:c>
      <x:c r="B811"/>
      <x:c r="C811"/>
      <x:c r="D811"/>
      <x:c r="E811"/>
      <x:c r="F811"/>
      <x:c r="G811"/>
      <x:c r="H811"/>
      <x:c r="I811"/>
      <x:c r="J811"/>
    </x:row>
    <x:row r="812">
      <x:c r="A812" t="str">
        <x:v>RD-E55A8583C8AA</x:v>
      </x:c>
      <x:c r="B812"/>
      <x:c r="C812"/>
      <x:c r="D812"/>
      <x:c r="E812"/>
      <x:c r="F812"/>
      <x:c r="G812"/>
      <x:c r="H812"/>
      <x:c r="I812"/>
      <x:c r="J812"/>
    </x:row>
    <x:row r="813">
      <x:c r="A813" t="str">
        <x:v>RD-57E9623BA0CC</x:v>
      </x:c>
      <x:c r="B813"/>
      <x:c r="C813"/>
      <x:c r="D813"/>
      <x:c r="E813"/>
      <x:c r="F813"/>
      <x:c r="G813"/>
      <x:c r="H813"/>
      <x:c r="I813"/>
      <x:c r="J813"/>
    </x:row>
    <x:row r="814">
      <x:c r="A814" t="str">
        <x:v>RD-9FC6CB5160A5</x:v>
      </x:c>
      <x:c r="B814"/>
      <x:c r="C814"/>
      <x:c r="D814"/>
      <x:c r="E814"/>
      <x:c r="F814"/>
      <x:c r="G814"/>
      <x:c r="H814"/>
      <x:c r="I814"/>
      <x:c r="J814"/>
    </x:row>
    <x:row r="815">
      <x:c r="A815" t="str">
        <x:v>RD-2C1FD1AEB2D9</x:v>
      </x:c>
      <x:c r="B815"/>
      <x:c r="C815"/>
      <x:c r="D815"/>
      <x:c r="E815"/>
      <x:c r="F815"/>
      <x:c r="G815"/>
      <x:c r="H815"/>
      <x:c r="I815"/>
      <x:c r="J815"/>
    </x:row>
    <x:row r="816">
      <x:c r="A816" t="str">
        <x:v>RD-9434A9166709</x:v>
      </x:c>
      <x:c r="B816"/>
      <x:c r="C816"/>
      <x:c r="D816"/>
      <x:c r="E816"/>
      <x:c r="F816"/>
      <x:c r="G816"/>
      <x:c r="H816"/>
      <x:c r="I816"/>
      <x:c r="J816"/>
    </x:row>
    <x:row r="817">
      <x:c r="A817" t="str">
        <x:v>RD-1B776991C1AB</x:v>
      </x:c>
      <x:c r="B817"/>
      <x:c r="C817"/>
      <x:c r="D817"/>
      <x:c r="E817"/>
      <x:c r="F817"/>
      <x:c r="G817"/>
      <x:c r="H817"/>
      <x:c r="I817"/>
      <x:c r="J817"/>
    </x:row>
    <x:row r="818">
      <x:c r="A818" t="str">
        <x:v>RD-8B57DC11BE34</x:v>
      </x:c>
      <x:c r="B818"/>
      <x:c r="C818"/>
      <x:c r="D818"/>
      <x:c r="E818"/>
      <x:c r="F818"/>
      <x:c r="G818"/>
      <x:c r="H818"/>
      <x:c r="I818"/>
      <x:c r="J818"/>
    </x:row>
    <x:row r="819">
      <x:c r="A819" t="str">
        <x:v>RD-518F9DCC6064</x:v>
      </x:c>
      <x:c r="B819"/>
      <x:c r="C819"/>
      <x:c r="D819"/>
      <x:c r="E819"/>
      <x:c r="F819"/>
      <x:c r="G819"/>
      <x:c r="H819"/>
      <x:c r="I819"/>
      <x:c r="J819"/>
    </x:row>
    <x:row r="820">
      <x:c r="A820" t="str">
        <x:v>RD-EE70A1EBFC8B</x:v>
      </x:c>
      <x:c r="B820"/>
      <x:c r="C820"/>
      <x:c r="D820"/>
      <x:c r="E820"/>
      <x:c r="F820"/>
      <x:c r="G820"/>
      <x:c r="H820"/>
      <x:c r="I820"/>
      <x:c r="J820"/>
    </x:row>
    <x:row r="821">
      <x:c r="A821" t="str">
        <x:v>RD-45317F73863C</x:v>
      </x:c>
      <x:c r="B821"/>
      <x:c r="C821"/>
      <x:c r="D821"/>
      <x:c r="E821"/>
      <x:c r="F821"/>
      <x:c r="G821"/>
      <x:c r="H821"/>
      <x:c r="I821"/>
      <x:c r="J821"/>
    </x:row>
    <x:row r="822">
      <x:c r="A822" t="str">
        <x:v>RD-686575EBEED8</x:v>
      </x:c>
      <x:c r="B822"/>
      <x:c r="C822"/>
      <x:c r="D822"/>
      <x:c r="E822"/>
      <x:c r="F822"/>
      <x:c r="G822"/>
      <x:c r="H822"/>
      <x:c r="I822"/>
      <x:c r="J822"/>
    </x:row>
    <x:row r="823">
      <x:c r="A823" t="str">
        <x:v>RD-545AFD683565</x:v>
      </x:c>
      <x:c r="B823"/>
      <x:c r="C823"/>
      <x:c r="D823"/>
      <x:c r="E823"/>
      <x:c r="F823"/>
      <x:c r="G823"/>
      <x:c r="H823"/>
      <x:c r="I823"/>
      <x:c r="J823"/>
    </x:row>
    <x:row r="824">
      <x:c r="A824" t="str">
        <x:v>RD-6252D8FB4CC1</x:v>
      </x:c>
      <x:c r="B824"/>
      <x:c r="C824"/>
      <x:c r="D824"/>
      <x:c r="E824"/>
      <x:c r="F824"/>
      <x:c r="G824"/>
      <x:c r="H824"/>
      <x:c r="I824"/>
      <x:c r="J824"/>
    </x:row>
    <x:row r="825">
      <x:c r="A825" t="str">
        <x:v>RD-D99C75471972</x:v>
      </x:c>
      <x:c r="B825"/>
      <x:c r="C825"/>
      <x:c r="D825"/>
      <x:c r="E825"/>
      <x:c r="F825"/>
      <x:c r="G825"/>
      <x:c r="H825"/>
      <x:c r="I825"/>
      <x:c r="J825"/>
    </x:row>
    <x:row r="826">
      <x:c r="A826" t="str">
        <x:v>RD-66C140CB4DBE</x:v>
      </x:c>
      <x:c r="B826"/>
      <x:c r="C826"/>
      <x:c r="D826"/>
      <x:c r="E826"/>
      <x:c r="F826"/>
      <x:c r="G826"/>
      <x:c r="H826"/>
      <x:c r="I826"/>
      <x:c r="J826"/>
    </x:row>
    <x:row r="827">
      <x:c r="A827" t="str">
        <x:v>RD-93AAA17CFEBE</x:v>
      </x:c>
      <x:c r="B827"/>
      <x:c r="C827"/>
      <x:c r="D827"/>
      <x:c r="E827"/>
      <x:c r="F827"/>
      <x:c r="G827"/>
      <x:c r="H827"/>
      <x:c r="I827"/>
      <x:c r="J827"/>
    </x:row>
    <x:row r="828">
      <x:c r="A828" t="str">
        <x:v>RD-01CA54D8AE42</x:v>
      </x:c>
      <x:c r="B828"/>
      <x:c r="C828"/>
      <x:c r="D828"/>
      <x:c r="E828"/>
      <x:c r="F828"/>
      <x:c r="G828"/>
      <x:c r="H828"/>
      <x:c r="I828"/>
      <x:c r="J828"/>
    </x:row>
    <x:row r="829">
      <x:c r="A829" t="str">
        <x:v>RD-ADFE53FA11C1</x:v>
      </x:c>
      <x:c r="B829"/>
      <x:c r="C829"/>
      <x:c r="D829"/>
      <x:c r="E829"/>
      <x:c r="F829"/>
      <x:c r="G829"/>
      <x:c r="H829"/>
      <x:c r="I829"/>
      <x:c r="J829"/>
    </x:row>
    <x:row r="830">
      <x:c r="A830" t="str">
        <x:v>RD-C2CBBE3F0D2F</x:v>
      </x:c>
      <x:c r="B830"/>
      <x:c r="C830"/>
      <x:c r="D830"/>
      <x:c r="E830"/>
      <x:c r="F830"/>
      <x:c r="G830"/>
      <x:c r="H830"/>
      <x:c r="I830"/>
      <x:c r="J830"/>
    </x:row>
    <x:row r="831">
      <x:c r="A831" t="str">
        <x:v>RD-5FC779FC66CE</x:v>
      </x:c>
      <x:c r="B831"/>
      <x:c r="C831"/>
      <x:c r="D831"/>
      <x:c r="E831"/>
      <x:c r="F831"/>
      <x:c r="G831"/>
      <x:c r="H831"/>
      <x:c r="I831"/>
      <x:c r="J831"/>
    </x:row>
    <x:row r="832">
      <x:c r="A832" t="str">
        <x:v>RD-A773DE8A9B9F</x:v>
      </x:c>
      <x:c r="B832"/>
      <x:c r="C832"/>
      <x:c r="D832"/>
      <x:c r="E832"/>
      <x:c r="F832"/>
      <x:c r="G832"/>
      <x:c r="H832"/>
      <x:c r="I832"/>
      <x:c r="J832"/>
    </x:row>
    <x:row r="833">
      <x:c r="A833" t="str">
        <x:v>RD-3D00CD2BD9B5</x:v>
      </x:c>
      <x:c r="B833"/>
      <x:c r="C833"/>
      <x:c r="D833"/>
      <x:c r="E833"/>
      <x:c r="F833"/>
      <x:c r="G833"/>
      <x:c r="H833"/>
      <x:c r="I833"/>
      <x:c r="J833"/>
    </x:row>
    <x:row r="834">
      <x:c r="A834" t="str">
        <x:v>RD-6CA1D95B9453</x:v>
      </x:c>
      <x:c r="B834"/>
      <x:c r="C834"/>
      <x:c r="D834"/>
      <x:c r="E834"/>
      <x:c r="F834"/>
      <x:c r="G834"/>
      <x:c r="H834"/>
      <x:c r="I834"/>
      <x:c r="J834"/>
    </x:row>
    <x:row r="835">
      <x:c r="A835" t="str">
        <x:v>RD-E285927C1F05</x:v>
      </x:c>
      <x:c r="B835"/>
      <x:c r="C835"/>
      <x:c r="D835"/>
      <x:c r="E835"/>
      <x:c r="F835"/>
      <x:c r="G835"/>
      <x:c r="H835"/>
      <x:c r="I835"/>
      <x:c r="J835"/>
    </x:row>
    <x:row r="836">
      <x:c r="A836" t="str">
        <x:v>RD-D0F1EC695885</x:v>
      </x:c>
      <x:c r="B836"/>
      <x:c r="C836"/>
      <x:c r="D836"/>
      <x:c r="E836"/>
      <x:c r="F836"/>
      <x:c r="G836"/>
      <x:c r="H836"/>
      <x:c r="I836"/>
      <x:c r="J836"/>
    </x:row>
    <x:row r="837">
      <x:c r="A837" t="str">
        <x:v>RD-92BB8D70D0F3</x:v>
      </x:c>
      <x:c r="B837"/>
      <x:c r="C837"/>
      <x:c r="D837"/>
      <x:c r="E837"/>
      <x:c r="F837"/>
      <x:c r="G837"/>
      <x:c r="H837"/>
      <x:c r="I837"/>
      <x:c r="J837"/>
    </x:row>
    <x:row r="838">
      <x:c r="A838" t="str">
        <x:v>RD-0DEF4DA0BE5C</x:v>
      </x:c>
      <x:c r="B838"/>
      <x:c r="C838"/>
      <x:c r="D838"/>
      <x:c r="E838"/>
      <x:c r="F838"/>
      <x:c r="G838"/>
      <x:c r="H838"/>
      <x:c r="I838"/>
      <x:c r="J838"/>
    </x:row>
    <x:row r="839">
      <x:c r="A839" t="str">
        <x:v>RD-A02978E48723</x:v>
      </x:c>
      <x:c r="B839"/>
      <x:c r="C839"/>
      <x:c r="D839"/>
      <x:c r="E839"/>
      <x:c r="F839"/>
      <x:c r="G839"/>
      <x:c r="H839"/>
      <x:c r="I839"/>
      <x:c r="J839"/>
    </x:row>
    <x:row r="840">
      <x:c r="A840" t="str">
        <x:v>RD-62DB0E7288E8</x:v>
      </x:c>
      <x:c r="B840"/>
      <x:c r="C840"/>
      <x:c r="D840"/>
      <x:c r="E840"/>
      <x:c r="F840"/>
      <x:c r="G840"/>
      <x:c r="H840"/>
      <x:c r="I840"/>
      <x:c r="J840"/>
    </x:row>
    <x:row r="841">
      <x:c r="A841" t="str">
        <x:v>RD-25304CBC7FC6</x:v>
      </x:c>
      <x:c r="B841"/>
      <x:c r="C841"/>
      <x:c r="D841"/>
      <x:c r="E841"/>
      <x:c r="F841"/>
      <x:c r="G841"/>
      <x:c r="H841"/>
      <x:c r="I841"/>
      <x:c r="J841"/>
    </x:row>
    <x:row r="842">
      <x:c r="A842" t="str">
        <x:v>RD-05599CB09CF6</x:v>
      </x:c>
      <x:c r="B842"/>
      <x:c r="C842"/>
      <x:c r="D842"/>
      <x:c r="E842"/>
      <x:c r="F842"/>
      <x:c r="G842"/>
      <x:c r="H842"/>
      <x:c r="I842"/>
      <x:c r="J842"/>
    </x:row>
    <x:row r="843">
      <x:c r="A843" t="str">
        <x:v>RD-7F43A2FC7014</x:v>
      </x:c>
      <x:c r="B843"/>
      <x:c r="C843"/>
      <x:c r="D843"/>
      <x:c r="E843"/>
      <x:c r="F843"/>
      <x:c r="G843"/>
      <x:c r="H843"/>
      <x:c r="I843"/>
      <x:c r="J843"/>
    </x:row>
    <x:row r="844">
      <x:c r="A844" t="str">
        <x:v>RD-07BE59710DFC</x:v>
      </x:c>
      <x:c r="B844"/>
      <x:c r="C844"/>
      <x:c r="D844"/>
      <x:c r="E844"/>
      <x:c r="F844"/>
      <x:c r="G844"/>
      <x:c r="H844"/>
      <x:c r="I844"/>
      <x:c r="J844"/>
    </x:row>
    <x:row r="845">
      <x:c r="A845" t="str">
        <x:v>RD-0C128FD0C21C</x:v>
      </x:c>
      <x:c r="B845"/>
      <x:c r="C845"/>
      <x:c r="D845"/>
      <x:c r="E845"/>
      <x:c r="F845"/>
      <x:c r="G845"/>
      <x:c r="H845"/>
      <x:c r="I845"/>
      <x:c r="J845"/>
    </x:row>
    <x:row r="846">
      <x:c r="A846" t="str">
        <x:v>RD-DBDAB691F3B7</x:v>
      </x:c>
      <x:c r="B846"/>
      <x:c r="C846"/>
      <x:c r="D846"/>
      <x:c r="E846"/>
      <x:c r="F846"/>
      <x:c r="G846"/>
      <x:c r="H846"/>
      <x:c r="I846"/>
      <x:c r="J846"/>
    </x:row>
    <x:row r="847">
      <x:c r="A847" t="str">
        <x:v>RD-F68C4EBF5E8F</x:v>
      </x:c>
      <x:c r="B847"/>
      <x:c r="C847"/>
      <x:c r="D847"/>
      <x:c r="E847"/>
      <x:c r="F847"/>
      <x:c r="G847"/>
      <x:c r="H847"/>
      <x:c r="I847"/>
      <x:c r="J847"/>
    </x:row>
    <x:row r="848">
      <x:c r="A848" t="str">
        <x:v>RD-F069256EB23A</x:v>
      </x:c>
      <x:c r="B848"/>
      <x:c r="C848"/>
      <x:c r="D848"/>
      <x:c r="E848"/>
      <x:c r="F848"/>
      <x:c r="G848"/>
      <x:c r="H848"/>
      <x:c r="I848"/>
      <x:c r="J848"/>
    </x:row>
    <x:row r="849">
      <x:c r="A849" t="str">
        <x:v>RD-8B79C759AAAF</x:v>
      </x:c>
      <x:c r="B849"/>
      <x:c r="C849"/>
      <x:c r="D849"/>
      <x:c r="E849"/>
      <x:c r="F849"/>
      <x:c r="G849"/>
      <x:c r="H849"/>
      <x:c r="I849"/>
      <x:c r="J849"/>
    </x:row>
    <x:row r="850">
      <x:c r="A850" t="str">
        <x:v>RD-F2F33D1E82E7</x:v>
      </x:c>
      <x:c r="B850"/>
      <x:c r="C850"/>
      <x:c r="D850"/>
      <x:c r="E850"/>
      <x:c r="F850"/>
      <x:c r="G850"/>
      <x:c r="H850"/>
      <x:c r="I850"/>
      <x:c r="J850"/>
    </x:row>
    <x:row r="851">
      <x:c r="A851" t="str">
        <x:v>RD-1B862E00827F</x:v>
      </x:c>
      <x:c r="B851"/>
      <x:c r="C851"/>
      <x:c r="D851"/>
      <x:c r="E851"/>
      <x:c r="F851"/>
      <x:c r="G851"/>
      <x:c r="H851"/>
      <x:c r="I851"/>
      <x:c r="J851"/>
    </x:row>
    <x:row r="852">
      <x:c r="A852" t="str">
        <x:v>RD-42787A72670B</x:v>
      </x:c>
      <x:c r="B852"/>
      <x:c r="C852"/>
      <x:c r="D852"/>
      <x:c r="E852"/>
      <x:c r="F852"/>
      <x:c r="G852"/>
      <x:c r="H852"/>
      <x:c r="I852"/>
      <x:c r="J852"/>
    </x:row>
    <x:row r="853">
      <x:c r="A853" t="str">
        <x:v>RD-29BA3D8526C9</x:v>
      </x:c>
      <x:c r="B853"/>
      <x:c r="C853"/>
      <x:c r="D853"/>
      <x:c r="E853"/>
      <x:c r="F853"/>
      <x:c r="G853"/>
      <x:c r="H853"/>
      <x:c r="I853"/>
      <x:c r="J853"/>
    </x:row>
    <x:row r="854">
      <x:c r="A854" t="str">
        <x:v>RD-F70704C97607</x:v>
      </x:c>
      <x:c r="B854"/>
      <x:c r="C854"/>
      <x:c r="D854"/>
      <x:c r="E854"/>
      <x:c r="F854"/>
      <x:c r="G854"/>
      <x:c r="H854"/>
      <x:c r="I854"/>
      <x:c r="J854"/>
    </x:row>
    <x:row r="855">
      <x:c r="A855" t="str">
        <x:v>RD-457819544FF3</x:v>
      </x:c>
      <x:c r="B855"/>
      <x:c r="C855"/>
      <x:c r="D855"/>
      <x:c r="E855"/>
      <x:c r="F855"/>
      <x:c r="G855"/>
      <x:c r="H855"/>
      <x:c r="I855"/>
      <x:c r="J855"/>
    </x:row>
    <x:row r="856">
      <x:c r="A856" t="str">
        <x:v>RD-E11602EE5E57</x:v>
      </x:c>
      <x:c r="B856"/>
      <x:c r="C856"/>
      <x:c r="D856"/>
      <x:c r="E856"/>
      <x:c r="F856"/>
      <x:c r="G856"/>
      <x:c r="H856"/>
      <x:c r="I856"/>
      <x:c r="J856"/>
    </x:row>
    <x:row r="857">
      <x:c r="A857" t="str">
        <x:v>RD-93A5DBC5E15A</x:v>
      </x:c>
      <x:c r="B857"/>
      <x:c r="C857"/>
      <x:c r="D857"/>
      <x:c r="E857"/>
      <x:c r="F857"/>
      <x:c r="G857"/>
      <x:c r="H857"/>
      <x:c r="I857"/>
      <x:c r="J857"/>
    </x:row>
    <x:row r="858">
      <x:c r="A858" t="str">
        <x:v>RD-259BF07C4F7D</x:v>
      </x:c>
      <x:c r="B858"/>
      <x:c r="C858"/>
      <x:c r="D858"/>
      <x:c r="E858"/>
      <x:c r="F858"/>
      <x:c r="G858"/>
      <x:c r="H858"/>
      <x:c r="I858"/>
      <x:c r="J858"/>
    </x:row>
    <x:row r="859">
      <x:c r="A859" t="str">
        <x:v>RD-89D7FE30FC9B</x:v>
      </x:c>
      <x:c r="B859"/>
      <x:c r="C859"/>
      <x:c r="D859"/>
      <x:c r="E859"/>
      <x:c r="F859"/>
      <x:c r="G859"/>
      <x:c r="H859"/>
      <x:c r="I859"/>
      <x:c r="J859"/>
    </x:row>
    <x:row r="860">
      <x:c r="A860" t="str">
        <x:v>RD-DE242CEC7303</x:v>
      </x:c>
      <x:c r="B860"/>
      <x:c r="C860"/>
      <x:c r="D860"/>
      <x:c r="E860"/>
      <x:c r="F860"/>
      <x:c r="G860"/>
      <x:c r="H860"/>
      <x:c r="I860"/>
      <x:c r="J860"/>
    </x:row>
    <x:row r="861">
      <x:c r="A861" t="str">
        <x:v>RD-0BF06A5CEF41</x:v>
      </x:c>
      <x:c r="B861"/>
      <x:c r="C861"/>
      <x:c r="D861"/>
      <x:c r="E861"/>
      <x:c r="F861"/>
      <x:c r="G861"/>
      <x:c r="H861"/>
      <x:c r="I861"/>
      <x:c r="J861"/>
    </x:row>
    <x:row r="862">
      <x:c r="A862" t="str">
        <x:v>RD-FBE5EE316AF6</x:v>
      </x:c>
      <x:c r="B862"/>
      <x:c r="C862"/>
      <x:c r="D862"/>
      <x:c r="E862"/>
      <x:c r="F862"/>
      <x:c r="G862"/>
      <x:c r="H862"/>
      <x:c r="I862"/>
      <x:c r="J862"/>
    </x:row>
    <x:row r="863">
      <x:c r="A863" t="str">
        <x:v>RD-F81213B81BAB</x:v>
      </x:c>
      <x:c r="B863"/>
      <x:c r="C863"/>
      <x:c r="D863"/>
      <x:c r="E863"/>
      <x:c r="F863"/>
      <x:c r="G863"/>
      <x:c r="H863"/>
      <x:c r="I863"/>
      <x:c r="J863"/>
    </x:row>
    <x:row r="864">
      <x:c r="A864" t="str">
        <x:v>RD-3C4556A00E70</x:v>
      </x:c>
      <x:c r="B864"/>
      <x:c r="C864"/>
      <x:c r="D864"/>
      <x:c r="E864"/>
      <x:c r="F864"/>
      <x:c r="G864"/>
      <x:c r="H864"/>
      <x:c r="I864"/>
      <x:c r="J864"/>
    </x:row>
    <x:row r="865">
      <x:c r="A865" t="str">
        <x:v>RD-7DF31E0D1C1C</x:v>
      </x:c>
      <x:c r="B865"/>
      <x:c r="C865"/>
      <x:c r="D865"/>
      <x:c r="E865"/>
      <x:c r="F865"/>
      <x:c r="G865"/>
      <x:c r="H865"/>
      <x:c r="I865"/>
      <x:c r="J865"/>
    </x:row>
    <x:row r="866">
      <x:c r="A866" t="str">
        <x:v>RD-32A1EB40F13A</x:v>
      </x:c>
      <x:c r="B866"/>
      <x:c r="C866"/>
      <x:c r="D866"/>
      <x:c r="E866"/>
      <x:c r="F866"/>
      <x:c r="G866"/>
      <x:c r="H866"/>
      <x:c r="I866"/>
      <x:c r="J866"/>
    </x:row>
    <x:row r="867">
      <x:c r="A867" t="str">
        <x:v>RD-BCBA6422072B</x:v>
      </x:c>
      <x:c r="B867"/>
      <x:c r="C867"/>
      <x:c r="D867"/>
      <x:c r="E867"/>
      <x:c r="F867"/>
      <x:c r="G867"/>
      <x:c r="H867"/>
      <x:c r="I867"/>
      <x:c r="J867"/>
    </x:row>
    <x:row r="868">
      <x:c r="A868" t="str">
        <x:v>RD-FDCD91A653CC</x:v>
      </x:c>
      <x:c r="B868"/>
      <x:c r="C868"/>
      <x:c r="D868"/>
      <x:c r="E868"/>
      <x:c r="F868"/>
      <x:c r="G868"/>
      <x:c r="H868"/>
      <x:c r="I868"/>
      <x:c r="J868"/>
    </x:row>
    <x:row r="869">
      <x:c r="A869" t="str">
        <x:v>RD-F3D859C2F069</x:v>
      </x:c>
      <x:c r="B869"/>
      <x:c r="C869"/>
      <x:c r="D869"/>
      <x:c r="E869"/>
      <x:c r="F869"/>
      <x:c r="G869"/>
      <x:c r="H869"/>
      <x:c r="I869"/>
      <x:c r="J869"/>
    </x:row>
    <x:row r="870">
      <x:c r="A870" t="str">
        <x:v>RD-CA8E906591BC</x:v>
      </x:c>
      <x:c r="B870"/>
      <x:c r="C870"/>
      <x:c r="D870"/>
      <x:c r="E870"/>
      <x:c r="F870"/>
      <x:c r="G870"/>
      <x:c r="H870"/>
      <x:c r="I870"/>
      <x:c r="J870"/>
    </x:row>
    <x:row r="871">
      <x:c r="A871" t="str">
        <x:v>RD-06C3A766029C</x:v>
      </x:c>
      <x:c r="B871"/>
      <x:c r="C871"/>
      <x:c r="D871"/>
      <x:c r="E871"/>
      <x:c r="F871"/>
      <x:c r="G871"/>
      <x:c r="H871"/>
      <x:c r="I871"/>
      <x:c r="J871"/>
    </x:row>
    <x:row r="872">
      <x:c r="A872" t="str">
        <x:v>RD-D020319EB8B7</x:v>
      </x:c>
      <x:c r="B872"/>
      <x:c r="C872"/>
      <x:c r="D872"/>
      <x:c r="E872"/>
      <x:c r="F872"/>
      <x:c r="G872"/>
      <x:c r="H872"/>
      <x:c r="I872"/>
      <x:c r="J872"/>
    </x:row>
    <x:row r="873">
      <x:c r="A873" t="str">
        <x:v>RD-55C52AC4ED90</x:v>
      </x:c>
      <x:c r="B873"/>
      <x:c r="C873"/>
      <x:c r="D873"/>
      <x:c r="E873"/>
      <x:c r="F873"/>
      <x:c r="G873"/>
      <x:c r="H873"/>
      <x:c r="I873"/>
      <x:c r="J873"/>
    </x:row>
    <x:row r="874">
      <x:c r="A874" t="str">
        <x:v>RD-53B86F6CD065</x:v>
      </x:c>
      <x:c r="B874"/>
      <x:c r="C874"/>
      <x:c r="D874"/>
      <x:c r="E874"/>
      <x:c r="F874"/>
      <x:c r="G874"/>
      <x:c r="H874"/>
      <x:c r="I874"/>
      <x:c r="J874"/>
    </x:row>
    <x:row r="875">
      <x:c r="A875" t="str">
        <x:v>RD-932250FFE9DF</x:v>
      </x:c>
      <x:c r="B875"/>
      <x:c r="C875"/>
      <x:c r="D875"/>
      <x:c r="E875"/>
      <x:c r="F875"/>
      <x:c r="G875"/>
      <x:c r="H875"/>
      <x:c r="I875"/>
      <x:c r="J875"/>
    </x:row>
    <x:row r="876">
      <x:c r="A876" t="str">
        <x:v>RD-2D71E15A106B</x:v>
      </x:c>
      <x:c r="B876"/>
      <x:c r="C876"/>
      <x:c r="D876"/>
      <x:c r="E876"/>
      <x:c r="F876"/>
      <x:c r="G876"/>
      <x:c r="H876"/>
      <x:c r="I876"/>
      <x:c r="J876"/>
    </x:row>
    <x:row r="877">
      <x:c r="A877" t="str">
        <x:v>RD-65B6F52FAC8A</x:v>
      </x:c>
      <x:c r="B877"/>
      <x:c r="C877"/>
      <x:c r="D877"/>
      <x:c r="E877"/>
      <x:c r="F877"/>
      <x:c r="G877"/>
      <x:c r="H877"/>
      <x:c r="I877"/>
      <x:c r="J877"/>
    </x:row>
    <x:row r="878">
      <x:c r="A878" t="str">
        <x:v>RD-4FEB6D8F2162</x:v>
      </x:c>
      <x:c r="B878"/>
      <x:c r="C878"/>
      <x:c r="D878"/>
      <x:c r="E878"/>
      <x:c r="F878"/>
      <x:c r="G878"/>
      <x:c r="H878"/>
      <x:c r="I878"/>
      <x:c r="J878"/>
    </x:row>
    <x:row r="879">
      <x:c r="A879" t="str">
        <x:v>RD-72428C3EDC9B</x:v>
      </x:c>
      <x:c r="B879"/>
      <x:c r="C879"/>
      <x:c r="D879"/>
      <x:c r="E879"/>
      <x:c r="F879"/>
      <x:c r="G879"/>
      <x:c r="H879"/>
      <x:c r="I879"/>
      <x:c r="J879"/>
    </x:row>
    <x:row r="880">
      <x:c r="A880" t="str">
        <x:v>RD-24E3AE8C88E1</x:v>
      </x:c>
      <x:c r="B880"/>
      <x:c r="C880"/>
      <x:c r="D880"/>
      <x:c r="E880"/>
      <x:c r="F880"/>
      <x:c r="G880"/>
      <x:c r="H880"/>
      <x:c r="I880"/>
      <x:c r="J880"/>
    </x:row>
    <x:row r="881">
      <x:c r="A881" t="str">
        <x:v>RD-761C0A973DBF</x:v>
      </x:c>
      <x:c r="B881"/>
      <x:c r="C881"/>
      <x:c r="D881"/>
      <x:c r="E881"/>
      <x:c r="F881"/>
      <x:c r="G881"/>
      <x:c r="H881"/>
      <x:c r="I881"/>
      <x:c r="J881"/>
    </x:row>
    <x:row r="882">
      <x:c r="A882" t="str">
        <x:v>RD-6B7FD4189FD0</x:v>
      </x:c>
      <x:c r="B882"/>
      <x:c r="C882"/>
      <x:c r="D882"/>
      <x:c r="E882"/>
      <x:c r="F882"/>
      <x:c r="G882"/>
      <x:c r="H882"/>
      <x:c r="I882"/>
      <x:c r="J882"/>
    </x:row>
    <x:row r="883">
      <x:c r="A883" t="str">
        <x:v>RD-2DF94F5C3D97</x:v>
      </x:c>
      <x:c r="B883"/>
      <x:c r="C883"/>
      <x:c r="D883"/>
      <x:c r="E883"/>
      <x:c r="F883"/>
      <x:c r="G883"/>
      <x:c r="H883"/>
      <x:c r="I883"/>
      <x:c r="J883"/>
    </x:row>
    <x:row r="884">
      <x:c r="A884" t="str">
        <x:v>RD-4870797C9960</x:v>
      </x:c>
      <x:c r="B884"/>
      <x:c r="C884"/>
      <x:c r="D884"/>
      <x:c r="E884"/>
      <x:c r="F884"/>
      <x:c r="G884"/>
      <x:c r="H884"/>
      <x:c r="I884"/>
      <x:c r="J884"/>
    </x:row>
    <x:row r="885">
      <x:c r="A885" t="str">
        <x:v>RD-63139032DADA</x:v>
      </x:c>
      <x:c r="B885"/>
      <x:c r="C885"/>
      <x:c r="D885"/>
      <x:c r="E885"/>
      <x:c r="F885"/>
      <x:c r="G885"/>
      <x:c r="H885"/>
      <x:c r="I885"/>
      <x:c r="J885"/>
    </x:row>
    <x:row r="886">
      <x:c r="A886" t="str">
        <x:v>RD-0ECE1C01A3C7</x:v>
      </x:c>
      <x:c r="B886"/>
      <x:c r="C886"/>
      <x:c r="D886"/>
      <x:c r="E886"/>
      <x:c r="F886"/>
      <x:c r="G886"/>
      <x:c r="H886"/>
      <x:c r="I886"/>
      <x:c r="J886"/>
    </x:row>
    <x:row r="887">
      <x:c r="A887" t="str">
        <x:v>RD-69E211F29F3F</x:v>
      </x:c>
      <x:c r="B887"/>
      <x:c r="C887"/>
      <x:c r="D887"/>
      <x:c r="E887"/>
      <x:c r="F887"/>
      <x:c r="G887"/>
      <x:c r="H887"/>
      <x:c r="I887"/>
      <x:c r="J887"/>
    </x:row>
    <x:row r="888">
      <x:c r="A888" t="str">
        <x:v>RD-20788892597A</x:v>
      </x:c>
      <x:c r="B888"/>
      <x:c r="C888"/>
      <x:c r="D888"/>
      <x:c r="E888"/>
      <x:c r="F888"/>
      <x:c r="G888"/>
      <x:c r="H888"/>
      <x:c r="I888"/>
      <x:c r="J888"/>
    </x:row>
    <x:row r="889">
      <x:c r="A889" t="str">
        <x:v>RD-37A109778675</x:v>
      </x:c>
      <x:c r="B889"/>
      <x:c r="C889"/>
      <x:c r="D889"/>
      <x:c r="E889"/>
      <x:c r="F889"/>
      <x:c r="G889"/>
      <x:c r="H889"/>
      <x:c r="I889"/>
      <x:c r="J889"/>
    </x:row>
    <x:row r="890">
      <x:c r="A890" t="str">
        <x:v>RD-88C14B2393B6</x:v>
      </x:c>
      <x:c r="B890"/>
      <x:c r="C890"/>
      <x:c r="D890"/>
      <x:c r="E890"/>
      <x:c r="F890"/>
      <x:c r="G890"/>
      <x:c r="H890"/>
      <x:c r="I890"/>
      <x:c r="J890"/>
    </x:row>
    <x:row r="891">
      <x:c r="A891" t="str">
        <x:v>RD-5063FF48C7CB</x:v>
      </x:c>
      <x:c r="B891"/>
      <x:c r="C891"/>
      <x:c r="D891"/>
      <x:c r="E891"/>
      <x:c r="F891"/>
      <x:c r="G891"/>
      <x:c r="H891"/>
      <x:c r="I891"/>
      <x:c r="J891"/>
    </x:row>
    <x:row r="892">
      <x:c r="A892" t="str">
        <x:v>RD-35264A6E800E</x:v>
      </x:c>
      <x:c r="B892"/>
      <x:c r="C892"/>
      <x:c r="D892"/>
      <x:c r="E892"/>
      <x:c r="F892"/>
      <x:c r="G892"/>
      <x:c r="H892"/>
      <x:c r="I892"/>
      <x:c r="J892"/>
    </x:row>
    <x:row r="893">
      <x:c r="A893" t="str">
        <x:v>RD-BC7994E6D77B</x:v>
      </x:c>
      <x:c r="B893"/>
      <x:c r="C893"/>
      <x:c r="D893"/>
      <x:c r="E893"/>
      <x:c r="F893"/>
      <x:c r="G893"/>
      <x:c r="H893"/>
      <x:c r="I893"/>
      <x:c r="J893"/>
    </x:row>
    <x:row r="894">
      <x:c r="A894" t="str">
        <x:v>RD-AA6D05C131CB</x:v>
      </x:c>
      <x:c r="B894"/>
      <x:c r="C894"/>
      <x:c r="D894"/>
      <x:c r="E894"/>
      <x:c r="F894"/>
      <x:c r="G894"/>
      <x:c r="H894"/>
      <x:c r="I894"/>
      <x:c r="J894"/>
    </x:row>
    <x:row r="895">
      <x:c r="A895" t="str">
        <x:v>RD-347F545C3AF1</x:v>
      </x:c>
      <x:c r="B895"/>
      <x:c r="C895"/>
      <x:c r="D895"/>
      <x:c r="E895"/>
      <x:c r="F895"/>
      <x:c r="G895"/>
      <x:c r="H895"/>
      <x:c r="I895"/>
      <x:c r="J895"/>
    </x:row>
    <x:row r="896">
      <x:c r="A896" t="str">
        <x:v>RD-01D99BDE4CF8</x:v>
      </x:c>
      <x:c r="B896"/>
      <x:c r="C896"/>
      <x:c r="D896"/>
      <x:c r="E896"/>
      <x:c r="F896"/>
      <x:c r="G896"/>
      <x:c r="H896"/>
      <x:c r="I896"/>
      <x:c r="J896"/>
    </x:row>
    <x:row r="897">
      <x:c r="A897" t="str">
        <x:v>RD-A6EF4D587C03</x:v>
      </x:c>
      <x:c r="B897"/>
      <x:c r="C897"/>
      <x:c r="D897"/>
      <x:c r="E897"/>
      <x:c r="F897"/>
      <x:c r="G897"/>
      <x:c r="H897"/>
      <x:c r="I897"/>
      <x:c r="J897"/>
    </x:row>
    <x:row r="898">
      <x:c r="A898" t="str">
        <x:v>RD-FC8597ECC575</x:v>
      </x:c>
      <x:c r="B898"/>
      <x:c r="C898"/>
      <x:c r="D898"/>
      <x:c r="E898"/>
      <x:c r="F898"/>
      <x:c r="G898"/>
      <x:c r="H898"/>
      <x:c r="I898"/>
      <x:c r="J898"/>
    </x:row>
    <x:row r="899">
      <x:c r="A899" t="str">
        <x:v>RD-ACD8F9F1BDD3</x:v>
      </x:c>
      <x:c r="B899"/>
      <x:c r="C899"/>
      <x:c r="D899"/>
      <x:c r="E899"/>
      <x:c r="F899"/>
      <x:c r="G899"/>
      <x:c r="H899"/>
      <x:c r="I899"/>
      <x:c r="J899"/>
    </x:row>
    <x:row r="900">
      <x:c r="A900" t="str">
        <x:v>RD-47378D4239D4</x:v>
      </x:c>
      <x:c r="B900"/>
      <x:c r="C900"/>
      <x:c r="D900"/>
      <x:c r="E900"/>
      <x:c r="F900"/>
      <x:c r="G900"/>
      <x:c r="H900"/>
      <x:c r="I900"/>
      <x:c r="J900"/>
    </x:row>
    <x:row r="901">
      <x:c r="A901" t="str">
        <x:v>RD-FAFC850318B7</x:v>
      </x:c>
      <x:c r="B901"/>
      <x:c r="C901"/>
      <x:c r="D901"/>
      <x:c r="E901"/>
      <x:c r="F901"/>
      <x:c r="G901"/>
      <x:c r="H901"/>
      <x:c r="I901"/>
      <x:c r="J901"/>
    </x:row>
    <x:row r="902">
      <x:c r="A902" t="str">
        <x:v>RD-F8AE23E01CC2</x:v>
      </x:c>
      <x:c r="B902"/>
      <x:c r="C902"/>
      <x:c r="D902"/>
      <x:c r="E902"/>
      <x:c r="F902"/>
      <x:c r="G902"/>
      <x:c r="H902"/>
      <x:c r="I902"/>
      <x:c r="J902"/>
    </x:row>
    <x:row r="903">
      <x:c r="A903" t="str">
        <x:v>RD-7E4A46DD9FA5</x:v>
      </x:c>
      <x:c r="B903"/>
      <x:c r="C903"/>
      <x:c r="D903"/>
      <x:c r="E903"/>
      <x:c r="F903"/>
      <x:c r="G903"/>
      <x:c r="H903"/>
      <x:c r="I903"/>
      <x:c r="J903"/>
    </x:row>
    <x:row r="904">
      <x:c r="A904" t="str">
        <x:v>RD-9F811582F7C0</x:v>
      </x:c>
      <x:c r="B904"/>
      <x:c r="C904"/>
      <x:c r="D904"/>
      <x:c r="E904"/>
      <x:c r="F904"/>
      <x:c r="G904"/>
      <x:c r="H904"/>
      <x:c r="I904"/>
      <x:c r="J904"/>
    </x:row>
    <x:row r="905">
      <x:c r="A905" t="str">
        <x:v>RD-D855F21D28A6</x:v>
      </x:c>
      <x:c r="B905"/>
      <x:c r="C905"/>
      <x:c r="D905"/>
      <x:c r="E905"/>
      <x:c r="F905"/>
      <x:c r="G905"/>
      <x:c r="H905"/>
      <x:c r="I905"/>
      <x:c r="J905"/>
    </x:row>
    <x:row r="906">
      <x:c r="A906" t="str">
        <x:v>RD-F522A7ABB47D</x:v>
      </x:c>
      <x:c r="B906"/>
      <x:c r="C906"/>
      <x:c r="D906"/>
      <x:c r="E906"/>
      <x:c r="F906"/>
      <x:c r="G906"/>
      <x:c r="H906"/>
      <x:c r="I906"/>
      <x:c r="J906"/>
    </x:row>
    <x:row r="907">
      <x:c r="A907" t="str">
        <x:v>RD-E42477721981</x:v>
      </x:c>
      <x:c r="B907"/>
      <x:c r="C907"/>
      <x:c r="D907"/>
      <x:c r="E907"/>
      <x:c r="F907"/>
      <x:c r="G907"/>
      <x:c r="H907"/>
      <x:c r="I907"/>
      <x:c r="J907"/>
    </x:row>
    <x:row r="908">
      <x:c r="A908" t="str">
        <x:v>RD-BA7BF4620482</x:v>
      </x:c>
      <x:c r="B908"/>
      <x:c r="C908"/>
      <x:c r="D908"/>
      <x:c r="E908"/>
      <x:c r="F908"/>
      <x:c r="G908"/>
      <x:c r="H908"/>
      <x:c r="I908"/>
      <x:c r="J908"/>
    </x:row>
    <x:row r="909">
      <x:c r="A909" t="str">
        <x:v>RD-849A6692BA61</x:v>
      </x:c>
      <x:c r="B909"/>
      <x:c r="C909"/>
      <x:c r="D909"/>
      <x:c r="E909"/>
      <x:c r="F909"/>
      <x:c r="G909"/>
      <x:c r="H909"/>
      <x:c r="I909"/>
      <x:c r="J909"/>
    </x:row>
    <x:row r="910">
      <x:c r="A910" t="str">
        <x:v>RD-154960B5D004</x:v>
      </x:c>
      <x:c r="B910"/>
      <x:c r="C910"/>
      <x:c r="D910"/>
      <x:c r="E910"/>
      <x:c r="F910"/>
      <x:c r="G910"/>
      <x:c r="H910"/>
      <x:c r="I910"/>
      <x:c r="J910"/>
    </x:row>
    <x:row r="911">
      <x:c r="A911" t="str">
        <x:v>RD-447D40409C6B</x:v>
      </x:c>
      <x:c r="B911"/>
      <x:c r="C911"/>
      <x:c r="D911"/>
      <x:c r="E911"/>
      <x:c r="F911"/>
      <x:c r="G911"/>
      <x:c r="H911"/>
      <x:c r="I911"/>
      <x:c r="J911"/>
    </x:row>
    <x:row r="912">
      <x:c r="A912" t="str">
        <x:v>RD-2306DE925BAB</x:v>
      </x:c>
      <x:c r="B912"/>
      <x:c r="C912"/>
      <x:c r="D912"/>
      <x:c r="E912"/>
      <x:c r="F912"/>
      <x:c r="G912"/>
      <x:c r="H912"/>
      <x:c r="I912"/>
      <x:c r="J912"/>
    </x:row>
    <x:row r="913">
      <x:c r="A913" t="str">
        <x:v>RD-4FE3CC6C6BCB</x:v>
      </x:c>
      <x:c r="B913"/>
      <x:c r="C913"/>
      <x:c r="D913"/>
      <x:c r="E913"/>
      <x:c r="F913"/>
      <x:c r="G913"/>
      <x:c r="H913"/>
      <x:c r="I913"/>
      <x:c r="J913"/>
    </x:row>
    <x:row r="914">
      <x:c r="A914" t="str">
        <x:v>RD-218C566D8EA6</x:v>
      </x:c>
      <x:c r="B914"/>
      <x:c r="C914"/>
      <x:c r="D914"/>
      <x:c r="E914"/>
      <x:c r="F914"/>
      <x:c r="G914"/>
      <x:c r="H914"/>
      <x:c r="I914"/>
      <x:c r="J914"/>
    </x:row>
    <x:row r="915">
      <x:c r="A915" t="str">
        <x:v>RD-229D4C84B429</x:v>
      </x:c>
      <x:c r="B915"/>
      <x:c r="C915"/>
      <x:c r="D915"/>
      <x:c r="E915"/>
      <x:c r="F915"/>
      <x:c r="G915"/>
      <x:c r="H915"/>
      <x:c r="I915"/>
      <x:c r="J915"/>
    </x:row>
    <x:row r="916">
      <x:c r="A916" t="str">
        <x:v>RD-10A849429925</x:v>
      </x:c>
      <x:c r="B916"/>
      <x:c r="C916"/>
      <x:c r="D916"/>
      <x:c r="E916"/>
      <x:c r="F916"/>
      <x:c r="G916"/>
      <x:c r="H916"/>
      <x:c r="I916"/>
      <x:c r="J916"/>
    </x:row>
    <x:row r="917">
      <x:c r="A917" t="str">
        <x:v>RD-CAE95FC01732</x:v>
      </x:c>
      <x:c r="B917"/>
      <x:c r="C917"/>
      <x:c r="D917"/>
      <x:c r="E917"/>
      <x:c r="F917"/>
      <x:c r="G917"/>
      <x:c r="H917"/>
      <x:c r="I917"/>
      <x:c r="J917"/>
    </x:row>
    <x:row r="918">
      <x:c r="A918" t="str">
        <x:v>RD-E73984C30A70</x:v>
      </x:c>
      <x:c r="B918"/>
      <x:c r="C918"/>
      <x:c r="D918"/>
      <x:c r="E918"/>
      <x:c r="F918"/>
      <x:c r="G918"/>
      <x:c r="H918"/>
      <x:c r="I918"/>
      <x:c r="J918"/>
    </x:row>
    <x:row r="919">
      <x:c r="A919" t="str">
        <x:v>RD-570243B50F04</x:v>
      </x:c>
      <x:c r="B919"/>
      <x:c r="C919"/>
      <x:c r="D919"/>
      <x:c r="E919"/>
      <x:c r="F919"/>
      <x:c r="G919"/>
      <x:c r="H919"/>
      <x:c r="I919"/>
      <x:c r="J919"/>
    </x:row>
    <x:row r="920">
      <x:c r="A920" t="str">
        <x:v>RD-D4C8241E41C1</x:v>
      </x:c>
      <x:c r="B920"/>
      <x:c r="C920"/>
      <x:c r="D920"/>
      <x:c r="E920"/>
      <x:c r="F920"/>
      <x:c r="G920"/>
      <x:c r="H920"/>
      <x:c r="I920"/>
      <x:c r="J920"/>
    </x:row>
    <x:row r="921">
      <x:c r="A921" t="str">
        <x:v>RD-65C859A79EF0</x:v>
      </x:c>
      <x:c r="B921"/>
      <x:c r="C921"/>
      <x:c r="D921"/>
      <x:c r="E921"/>
      <x:c r="F921"/>
      <x:c r="G921"/>
      <x:c r="H921"/>
      <x:c r="I921"/>
      <x:c r="J921"/>
    </x:row>
    <x:row r="922">
      <x:c r="A922" t="str">
        <x:v>RD-1336E38EDEAB</x:v>
      </x:c>
      <x:c r="B922"/>
      <x:c r="C922"/>
      <x:c r="D922"/>
      <x:c r="E922"/>
      <x:c r="F922"/>
      <x:c r="G922"/>
      <x:c r="H922"/>
      <x:c r="I922"/>
      <x:c r="J922"/>
    </x:row>
    <x:row r="923">
      <x:c r="A923" t="str">
        <x:v>RD-A5CC9BFB2472</x:v>
      </x:c>
      <x:c r="B923"/>
      <x:c r="C923"/>
      <x:c r="D923"/>
      <x:c r="E923"/>
      <x:c r="F923"/>
      <x:c r="G923"/>
      <x:c r="H923"/>
      <x:c r="I923"/>
      <x:c r="J923"/>
    </x:row>
    <x:row r="924">
      <x:c r="A924" t="str">
        <x:v>RD-66377507AC47</x:v>
      </x:c>
      <x:c r="B924"/>
      <x:c r="C924"/>
      <x:c r="D924"/>
      <x:c r="E924"/>
      <x:c r="F924"/>
      <x:c r="G924"/>
      <x:c r="H924"/>
      <x:c r="I924"/>
      <x:c r="J924"/>
    </x:row>
    <x:row r="925">
      <x:c r="A925" t="str">
        <x:v>RD-8395C74D04F7</x:v>
      </x:c>
      <x:c r="B925"/>
      <x:c r="C925"/>
      <x:c r="D925"/>
      <x:c r="E925"/>
      <x:c r="F925"/>
      <x:c r="G925"/>
      <x:c r="H925"/>
      <x:c r="I925"/>
      <x:c r="J925"/>
    </x:row>
    <x:row r="926">
      <x:c r="A926" t="str">
        <x:v>RD-1677D5F7CEB0</x:v>
      </x:c>
      <x:c r="B926"/>
      <x:c r="C926"/>
      <x:c r="D926"/>
      <x:c r="E926"/>
      <x:c r="F926"/>
      <x:c r="G926"/>
      <x:c r="H926"/>
      <x:c r="I926"/>
      <x:c r="J926"/>
    </x:row>
    <x:row r="927">
      <x:c r="A927" t="str">
        <x:v>RD-2645A7AE64CD</x:v>
      </x:c>
      <x:c r="B927"/>
      <x:c r="C927"/>
      <x:c r="D927"/>
      <x:c r="E927"/>
      <x:c r="F927"/>
      <x:c r="G927"/>
      <x:c r="H927"/>
      <x:c r="I927"/>
      <x:c r="J927"/>
    </x:row>
    <x:row r="928">
      <x:c r="A928" t="str">
        <x:v>RD-95BACADD1974</x:v>
      </x:c>
      <x:c r="B928"/>
      <x:c r="C928"/>
      <x:c r="D928"/>
      <x:c r="E928"/>
      <x:c r="F928"/>
      <x:c r="G928"/>
      <x:c r="H928"/>
      <x:c r="I928"/>
      <x:c r="J928"/>
    </x:row>
    <x:row r="929">
      <x:c r="A929" t="str">
        <x:v>RD-AF204F5779D3</x:v>
      </x:c>
      <x:c r="B929"/>
      <x:c r="C929"/>
      <x:c r="D929"/>
      <x:c r="E929"/>
      <x:c r="F929"/>
      <x:c r="G929"/>
      <x:c r="H929"/>
      <x:c r="I929"/>
      <x:c r="J929"/>
    </x:row>
    <x:row r="930">
      <x:c r="A930" t="str">
        <x:v>RD-11772266F839</x:v>
      </x:c>
      <x:c r="B930"/>
      <x:c r="C930"/>
      <x:c r="D930"/>
      <x:c r="E930"/>
      <x:c r="F930"/>
      <x:c r="G930"/>
      <x:c r="H930"/>
      <x:c r="I930"/>
      <x:c r="J930"/>
    </x:row>
    <x:row r="931">
      <x:c r="A931" t="str">
        <x:v>RD-F0E197B68F12</x:v>
      </x:c>
      <x:c r="B931"/>
      <x:c r="C931"/>
      <x:c r="D931"/>
      <x:c r="E931"/>
      <x:c r="F931"/>
      <x:c r="G931"/>
      <x:c r="H931"/>
      <x:c r="I931"/>
      <x:c r="J931"/>
    </x:row>
    <x:row r="932">
      <x:c r="A932" t="str">
        <x:v>RD-F558BC9C4E5D</x:v>
      </x:c>
      <x:c r="B932"/>
      <x:c r="C932"/>
      <x:c r="D932"/>
      <x:c r="E932"/>
      <x:c r="F932"/>
      <x:c r="G932"/>
      <x:c r="H932"/>
      <x:c r="I932"/>
      <x:c r="J932"/>
    </x:row>
    <x:row r="933">
      <x:c r="A933" t="str">
        <x:v>RD-581EE48F0856</x:v>
      </x:c>
      <x:c r="B933"/>
      <x:c r="C933"/>
      <x:c r="D933"/>
      <x:c r="E933"/>
      <x:c r="F933"/>
      <x:c r="G933"/>
      <x:c r="H933"/>
      <x:c r="I933"/>
      <x:c r="J933"/>
    </x:row>
    <x:row r="934">
      <x:c r="A934" t="str">
        <x:v>RD-56ABD3A17134</x:v>
      </x:c>
      <x:c r="B934"/>
      <x:c r="C934"/>
      <x:c r="D934"/>
      <x:c r="E934"/>
      <x:c r="F934"/>
      <x:c r="G934"/>
      <x:c r="H934"/>
      <x:c r="I934"/>
      <x:c r="J934"/>
    </x:row>
    <x:row r="935">
      <x:c r="A935" t="str">
        <x:v>RD-4FB40A0F0DB3</x:v>
      </x:c>
      <x:c r="B935"/>
      <x:c r="C935"/>
      <x:c r="D935"/>
      <x:c r="E935"/>
      <x:c r="F935"/>
      <x:c r="G935"/>
      <x:c r="H935"/>
      <x:c r="I935"/>
      <x:c r="J935"/>
    </x:row>
    <x:row r="936">
      <x:c r="A936" t="str">
        <x:v>RD-6AEDC9332249</x:v>
      </x:c>
      <x:c r="B936"/>
      <x:c r="C936"/>
      <x:c r="D936"/>
      <x:c r="E936"/>
      <x:c r="F936"/>
      <x:c r="G936"/>
      <x:c r="H936"/>
      <x:c r="I936"/>
      <x:c r="J936"/>
    </x:row>
    <x:row r="937">
      <x:c r="A937" t="str">
        <x:v>RD-3C50B2DFD694</x:v>
      </x:c>
      <x:c r="B937"/>
      <x:c r="C937"/>
      <x:c r="D937"/>
      <x:c r="E937"/>
      <x:c r="F937"/>
      <x:c r="G937"/>
      <x:c r="H937"/>
      <x:c r="I937"/>
      <x:c r="J937"/>
    </x:row>
    <x:row r="938">
      <x:c r="A938" t="str">
        <x:v>RD-85EE74EB85AF</x:v>
      </x:c>
      <x:c r="B938"/>
      <x:c r="C938"/>
      <x:c r="D938"/>
      <x:c r="E938"/>
      <x:c r="F938"/>
      <x:c r="G938"/>
      <x:c r="H938"/>
      <x:c r="I938"/>
      <x:c r="J938"/>
    </x:row>
    <x:row r="939">
      <x:c r="A939" t="str">
        <x:v>RD-D4F0F3449F64</x:v>
      </x:c>
      <x:c r="B939"/>
      <x:c r="C939"/>
      <x:c r="D939"/>
      <x:c r="E939"/>
      <x:c r="F939"/>
      <x:c r="G939"/>
      <x:c r="H939"/>
      <x:c r="I939"/>
      <x:c r="J939"/>
    </x:row>
    <x:row r="940">
      <x:c r="A940" t="str">
        <x:v>RD-3B23C30DBFBE</x:v>
      </x:c>
      <x:c r="B940"/>
      <x:c r="C940"/>
      <x:c r="D940"/>
      <x:c r="E940"/>
      <x:c r="F940"/>
      <x:c r="G940"/>
      <x:c r="H940"/>
      <x:c r="I940"/>
      <x:c r="J940"/>
    </x:row>
    <x:row r="941">
      <x:c r="A941" t="str">
        <x:v>RD-61301D985905</x:v>
      </x:c>
      <x:c r="B941"/>
      <x:c r="C941"/>
      <x:c r="D941"/>
      <x:c r="E941"/>
      <x:c r="F941"/>
      <x:c r="G941"/>
      <x:c r="H941"/>
      <x:c r="I941"/>
      <x:c r="J941"/>
    </x:row>
    <x:row r="942">
      <x:c r="A942" t="str">
        <x:v>RD-AA2FDF298992</x:v>
      </x:c>
      <x:c r="B942"/>
      <x:c r="C942"/>
      <x:c r="D942"/>
      <x:c r="E942"/>
      <x:c r="F942"/>
      <x:c r="G942"/>
      <x:c r="H942"/>
      <x:c r="I942"/>
      <x:c r="J942"/>
    </x:row>
    <x:row r="943">
      <x:c r="A943" t="str">
        <x:v>RD-CF07BD11CF48</x:v>
      </x:c>
      <x:c r="B943"/>
      <x:c r="C943"/>
      <x:c r="D943"/>
      <x:c r="E943"/>
      <x:c r="F943"/>
      <x:c r="G943"/>
      <x:c r="H943"/>
      <x:c r="I943"/>
      <x:c r="J943"/>
    </x:row>
    <x:row r="944">
      <x:c r="A944" t="str">
        <x:v>RD-93E998335E5B</x:v>
      </x:c>
      <x:c r="B944"/>
      <x:c r="C944"/>
      <x:c r="D944"/>
      <x:c r="E944"/>
      <x:c r="F944"/>
      <x:c r="G944"/>
      <x:c r="H944"/>
      <x:c r="I944"/>
      <x:c r="J944"/>
    </x:row>
    <x:row r="945">
      <x:c r="A945" t="str">
        <x:v>RD-C478C384A80C</x:v>
      </x:c>
      <x:c r="B945"/>
      <x:c r="C945"/>
      <x:c r="D945"/>
      <x:c r="E945"/>
      <x:c r="F945"/>
      <x:c r="G945"/>
      <x:c r="H945"/>
      <x:c r="I945"/>
      <x:c r="J945"/>
    </x:row>
    <x:row r="946">
      <x:c r="A946" t="str">
        <x:v>RD-F63E7F4E2BF3</x:v>
      </x:c>
      <x:c r="B946"/>
      <x:c r="C946"/>
      <x:c r="D946"/>
      <x:c r="E946"/>
      <x:c r="F946"/>
      <x:c r="G946"/>
      <x:c r="H946"/>
      <x:c r="I946"/>
      <x:c r="J946"/>
    </x:row>
    <x:row r="947">
      <x:c r="A947" t="str">
        <x:v>RD-8597D5933F6F</x:v>
      </x:c>
      <x:c r="B947"/>
      <x:c r="C947"/>
      <x:c r="D947"/>
      <x:c r="E947"/>
      <x:c r="F947"/>
      <x:c r="G947"/>
      <x:c r="H947"/>
      <x:c r="I947"/>
      <x:c r="J947"/>
    </x:row>
    <x:row r="948">
      <x:c r="A948" t="str">
        <x:v>RD-FE7FFFB147CD</x:v>
      </x:c>
      <x:c r="B948"/>
      <x:c r="C948"/>
      <x:c r="D948"/>
      <x:c r="E948"/>
      <x:c r="F948"/>
      <x:c r="G948"/>
      <x:c r="H948"/>
      <x:c r="I948"/>
      <x:c r="J948"/>
    </x:row>
    <x:row r="949">
      <x:c r="A949" t="str">
        <x:v>RD-ACF708699904</x:v>
      </x:c>
      <x:c r="B949"/>
      <x:c r="C949"/>
      <x:c r="D949"/>
      <x:c r="E949"/>
      <x:c r="F949"/>
      <x:c r="G949"/>
      <x:c r="H949"/>
      <x:c r="I949"/>
      <x:c r="J949"/>
    </x:row>
    <x:row r="950">
      <x:c r="A950" t="str">
        <x:v>RD-7622B9480A65</x:v>
      </x:c>
      <x:c r="B950"/>
      <x:c r="C950"/>
      <x:c r="D950"/>
      <x:c r="E950"/>
      <x:c r="F950"/>
      <x:c r="G950"/>
      <x:c r="H950"/>
      <x:c r="I950"/>
      <x:c r="J950"/>
    </x:row>
    <x:row r="951">
      <x:c r="A951" t="str">
        <x:v>RD-03E3BA6B63D9</x:v>
      </x:c>
      <x:c r="B951"/>
      <x:c r="C951"/>
      <x:c r="D951"/>
      <x:c r="E951"/>
      <x:c r="F951"/>
      <x:c r="G951"/>
      <x:c r="H951"/>
      <x:c r="I951"/>
      <x:c r="J951"/>
    </x:row>
    <x:row r="952">
      <x:c r="A952" t="str">
        <x:v>RD-3C0823570013</x:v>
      </x:c>
      <x:c r="B952"/>
      <x:c r="C952"/>
      <x:c r="D952"/>
      <x:c r="E952"/>
      <x:c r="F952"/>
      <x:c r="G952"/>
      <x:c r="H952"/>
      <x:c r="I952"/>
      <x:c r="J952"/>
    </x:row>
    <x:row r="953">
      <x:c r="A953" t="str">
        <x:v>RD-3A41D822D580</x:v>
      </x:c>
      <x:c r="B953"/>
      <x:c r="C953"/>
      <x:c r="D953"/>
      <x:c r="E953"/>
      <x:c r="F953"/>
      <x:c r="G953"/>
      <x:c r="H953"/>
      <x:c r="I953"/>
      <x:c r="J953"/>
    </x:row>
    <x:row r="954">
      <x:c r="A954" t="str">
        <x:v>RD-38364D619CFA</x:v>
      </x:c>
      <x:c r="B954"/>
      <x:c r="C954"/>
      <x:c r="D954"/>
      <x:c r="E954"/>
      <x:c r="F954"/>
      <x:c r="G954"/>
      <x:c r="H954"/>
      <x:c r="I954"/>
      <x:c r="J954"/>
    </x:row>
    <x:row r="955">
      <x:c r="A955" t="str">
        <x:v>RD-4FDAD1B3B6FB</x:v>
      </x:c>
      <x:c r="B955"/>
      <x:c r="C955"/>
      <x:c r="D955"/>
      <x:c r="E955"/>
      <x:c r="F955"/>
      <x:c r="G955"/>
      <x:c r="H955"/>
      <x:c r="I955"/>
      <x:c r="J955"/>
    </x:row>
    <x:row r="956">
      <x:c r="A956" t="str">
        <x:v>RD-011847E7352B</x:v>
      </x:c>
      <x:c r="B956"/>
      <x:c r="C956"/>
      <x:c r="D956"/>
      <x:c r="E956"/>
      <x:c r="F956"/>
      <x:c r="G956"/>
      <x:c r="H956"/>
      <x:c r="I956"/>
      <x:c r="J956"/>
    </x:row>
    <x:row r="957">
      <x:c r="A957" t="str">
        <x:v>RD-D09C1E50A52F</x:v>
      </x:c>
      <x:c r="B957"/>
      <x:c r="C957"/>
      <x:c r="D957"/>
      <x:c r="E957"/>
      <x:c r="F957"/>
      <x:c r="G957"/>
      <x:c r="H957"/>
      <x:c r="I957"/>
      <x:c r="J957"/>
    </x:row>
    <x:row r="958">
      <x:c r="A958" t="str">
        <x:v>RD-1390FAF63D84</x:v>
      </x:c>
      <x:c r="B958"/>
      <x:c r="C958"/>
      <x:c r="D958"/>
      <x:c r="E958"/>
      <x:c r="F958"/>
      <x:c r="G958"/>
      <x:c r="H958"/>
      <x:c r="I958"/>
      <x:c r="J958"/>
    </x:row>
    <x:row r="959">
      <x:c r="A959" t="str">
        <x:v>RD-7560B2068E26</x:v>
      </x:c>
      <x:c r="B959"/>
      <x:c r="C959"/>
      <x:c r="D959"/>
      <x:c r="E959"/>
      <x:c r="F959"/>
      <x:c r="G959"/>
      <x:c r="H959"/>
      <x:c r="I959"/>
      <x:c r="J959"/>
    </x:row>
    <x:row r="960">
      <x:c r="A960" t="str">
        <x:v>RD-268D68068FEA</x:v>
      </x:c>
      <x:c r="B960"/>
      <x:c r="C960"/>
      <x:c r="D960"/>
      <x:c r="E960"/>
      <x:c r="F960"/>
      <x:c r="G960"/>
      <x:c r="H960"/>
      <x:c r="I960"/>
      <x:c r="J960"/>
    </x:row>
    <x:row r="961">
      <x:c r="A961" t="str">
        <x:v>RD-4EFE5DC3CA0A</x:v>
      </x:c>
      <x:c r="B961"/>
      <x:c r="C961"/>
      <x:c r="D961"/>
      <x:c r="E961"/>
      <x:c r="F961"/>
      <x:c r="G961"/>
      <x:c r="H961"/>
      <x:c r="I961"/>
      <x:c r="J961"/>
    </x:row>
    <x:row r="962">
      <x:c r="A962" t="str">
        <x:v>RD-1B88CFD290B9</x:v>
      </x:c>
      <x:c r="B962"/>
      <x:c r="C962"/>
      <x:c r="D962"/>
      <x:c r="E962"/>
      <x:c r="F962"/>
      <x:c r="G962"/>
      <x:c r="H962"/>
      <x:c r="I962"/>
      <x:c r="J962"/>
    </x:row>
    <x:row r="963">
      <x:c r="A963" t="str">
        <x:v>RD-B1C6B64A1D27</x:v>
      </x:c>
      <x:c r="B963"/>
      <x:c r="C963"/>
      <x:c r="D963"/>
      <x:c r="E963"/>
      <x:c r="F963"/>
      <x:c r="G963"/>
      <x:c r="H963"/>
      <x:c r="I963"/>
      <x:c r="J963"/>
    </x:row>
    <x:row r="964">
      <x:c r="A964" t="str">
        <x:v>RD-24CAAFA02B0F</x:v>
      </x:c>
      <x:c r="B964"/>
      <x:c r="C964"/>
      <x:c r="D964"/>
      <x:c r="E964"/>
      <x:c r="F964"/>
      <x:c r="G964"/>
      <x:c r="H964"/>
      <x:c r="I964"/>
      <x:c r="J964"/>
    </x:row>
    <x:row r="965">
      <x:c r="A965" t="str">
        <x:v>RD-A84924B392C7</x:v>
      </x:c>
      <x:c r="B965"/>
      <x:c r="C965"/>
      <x:c r="D965"/>
      <x:c r="E965"/>
      <x:c r="F965"/>
      <x:c r="G965"/>
      <x:c r="H965"/>
      <x:c r="I965"/>
      <x:c r="J965"/>
    </x:row>
    <x:row r="966">
      <x:c r="A966" t="str">
        <x:v>RD-E7F8D4DA0512</x:v>
      </x:c>
      <x:c r="B966"/>
      <x:c r="C966"/>
      <x:c r="D966"/>
      <x:c r="E966"/>
      <x:c r="F966"/>
      <x:c r="G966"/>
      <x:c r="H966"/>
      <x:c r="I966"/>
      <x:c r="J966"/>
    </x:row>
    <x:row r="967">
      <x:c r="A967" t="str">
        <x:v>RD-09E85FBAD2EC</x:v>
      </x:c>
      <x:c r="B967"/>
      <x:c r="C967"/>
      <x:c r="D967"/>
      <x:c r="E967"/>
      <x:c r="F967"/>
      <x:c r="G967"/>
      <x:c r="H967"/>
      <x:c r="I967"/>
      <x:c r="J967"/>
    </x:row>
    <x:row r="968">
      <x:c r="A968" t="str">
        <x:v>RD-FE37398D0667</x:v>
      </x:c>
      <x:c r="B968"/>
      <x:c r="C968"/>
      <x:c r="D968"/>
      <x:c r="E968"/>
      <x:c r="F968"/>
      <x:c r="G968"/>
      <x:c r="H968"/>
      <x:c r="I968"/>
      <x:c r="J968"/>
    </x:row>
    <x:row r="969">
      <x:c r="A969" t="str">
        <x:v>RD-DF507A9D0898</x:v>
      </x:c>
      <x:c r="B969"/>
      <x:c r="C969"/>
      <x:c r="D969"/>
      <x:c r="E969"/>
      <x:c r="F969"/>
      <x:c r="G969"/>
      <x:c r="H969"/>
      <x:c r="I969"/>
      <x:c r="J969"/>
    </x:row>
    <x:row r="970">
      <x:c r="A970" t="str">
        <x:v>RD-AF6EF6B4DC33</x:v>
      </x:c>
      <x:c r="B970"/>
      <x:c r="C970"/>
      <x:c r="D970"/>
      <x:c r="E970"/>
      <x:c r="F970"/>
      <x:c r="G970"/>
      <x:c r="H970"/>
      <x:c r="I970"/>
      <x:c r="J970"/>
    </x:row>
    <x:row r="971">
      <x:c r="A971" t="str">
        <x:v>RD-5EE9B6D42458</x:v>
      </x:c>
      <x:c r="B971"/>
      <x:c r="C971"/>
      <x:c r="D971"/>
      <x:c r="E971"/>
      <x:c r="F971"/>
      <x:c r="G971"/>
      <x:c r="H971"/>
      <x:c r="I971"/>
      <x:c r="J971"/>
    </x:row>
    <x:row r="972">
      <x:c r="A972" t="str">
        <x:v>RD-CBED074F0777</x:v>
      </x:c>
      <x:c r="B972"/>
      <x:c r="C972"/>
      <x:c r="D972"/>
      <x:c r="E972"/>
      <x:c r="F972"/>
      <x:c r="G972"/>
      <x:c r="H972"/>
      <x:c r="I972"/>
      <x:c r="J972"/>
    </x:row>
    <x:row r="973">
      <x:c r="A973" t="str">
        <x:v>RD-42C12936CB37</x:v>
      </x:c>
      <x:c r="B973"/>
      <x:c r="C973"/>
      <x:c r="D973"/>
      <x:c r="E973"/>
      <x:c r="F973"/>
      <x:c r="G973"/>
      <x:c r="H973"/>
      <x:c r="I973"/>
      <x:c r="J973"/>
    </x:row>
    <x:row r="974">
      <x:c r="A974" t="str">
        <x:v>RD-0D73C1BD9A1C</x:v>
      </x:c>
      <x:c r="B974"/>
      <x:c r="C974"/>
      <x:c r="D974"/>
      <x:c r="E974"/>
      <x:c r="F974"/>
      <x:c r="G974"/>
      <x:c r="H974"/>
      <x:c r="I974"/>
      <x:c r="J974"/>
    </x:row>
    <x:row r="975">
      <x:c r="A975" t="str">
        <x:v>RD-FE22AEFD1C72</x:v>
      </x:c>
      <x:c r="B975"/>
      <x:c r="C975"/>
      <x:c r="D975"/>
      <x:c r="E975"/>
      <x:c r="F975"/>
      <x:c r="G975"/>
      <x:c r="H975"/>
      <x:c r="I975"/>
      <x:c r="J975"/>
    </x:row>
    <x:row r="976">
      <x:c r="A976" t="str">
        <x:v>RD-FE131C1B6CB1</x:v>
      </x:c>
      <x:c r="B976"/>
      <x:c r="C976"/>
      <x:c r="D976"/>
      <x:c r="E976"/>
      <x:c r="F976"/>
      <x:c r="G976"/>
      <x:c r="H976"/>
      <x:c r="I976"/>
      <x:c r="J976"/>
    </x:row>
    <x:row r="977">
      <x:c r="A977" t="str">
        <x:v>RD-9B110C02CCA7</x:v>
      </x:c>
      <x:c r="B977"/>
      <x:c r="C977"/>
      <x:c r="D977"/>
      <x:c r="E977"/>
      <x:c r="F977"/>
      <x:c r="G977"/>
      <x:c r="H977"/>
      <x:c r="I977"/>
      <x:c r="J977"/>
    </x:row>
    <x:row r="978">
      <x:c r="A978" t="str">
        <x:v>RD-21A700BE4560</x:v>
      </x:c>
      <x:c r="B978"/>
      <x:c r="C978"/>
      <x:c r="D978"/>
      <x:c r="E978"/>
      <x:c r="F978"/>
      <x:c r="G978"/>
      <x:c r="H978"/>
      <x:c r="I978"/>
      <x:c r="J978"/>
    </x:row>
    <x:row r="979">
      <x:c r="A979" t="str">
        <x:v>RD-BDB9C27069D1</x:v>
      </x:c>
      <x:c r="B979"/>
      <x:c r="C979"/>
      <x:c r="D979"/>
      <x:c r="E979"/>
      <x:c r="F979"/>
      <x:c r="G979"/>
      <x:c r="H979"/>
      <x:c r="I979"/>
      <x:c r="J979"/>
    </x:row>
    <x:row r="980">
      <x:c r="A980" t="str">
        <x:v>RD-99CF38FCF740</x:v>
      </x:c>
      <x:c r="B980"/>
      <x:c r="C980"/>
      <x:c r="D980"/>
      <x:c r="E980"/>
      <x:c r="F980"/>
      <x:c r="G980"/>
      <x:c r="H980"/>
      <x:c r="I980"/>
      <x:c r="J980"/>
    </x:row>
    <x:row r="981">
      <x:c r="A981" t="str">
        <x:v>RD-44FF66366D61</x:v>
      </x:c>
      <x:c r="B981"/>
      <x:c r="C981"/>
      <x:c r="D981"/>
      <x:c r="E981"/>
      <x:c r="F981"/>
      <x:c r="G981"/>
      <x:c r="H981"/>
      <x:c r="I981"/>
      <x:c r="J981"/>
    </x:row>
    <x:row r="982">
      <x:c r="A982" t="str">
        <x:v>RD-4B64FD24C23C</x:v>
      </x:c>
      <x:c r="B982"/>
      <x:c r="C982"/>
      <x:c r="D982"/>
      <x:c r="E982"/>
      <x:c r="F982"/>
      <x:c r="G982"/>
      <x:c r="H982"/>
      <x:c r="I982"/>
      <x:c r="J982"/>
    </x:row>
    <x:row r="983">
      <x:c r="A983" t="str">
        <x:v>RD-CFB214D9B946</x:v>
      </x:c>
      <x:c r="B983"/>
      <x:c r="C983"/>
      <x:c r="D983"/>
      <x:c r="E983"/>
      <x:c r="F983"/>
      <x:c r="G983"/>
      <x:c r="H983"/>
      <x:c r="I983"/>
      <x:c r="J983"/>
    </x:row>
    <x:row r="984">
      <x:c r="A984" t="str">
        <x:v>RD-1918819C366F</x:v>
      </x:c>
      <x:c r="B984"/>
      <x:c r="C984"/>
      <x:c r="D984"/>
      <x:c r="E984"/>
      <x:c r="F984"/>
      <x:c r="G984"/>
      <x:c r="H984"/>
      <x:c r="I984"/>
      <x:c r="J984"/>
    </x:row>
    <x:row r="985">
      <x:c r="A985" t="str">
        <x:v>RD-3D36BE0A3EC9</x:v>
      </x:c>
      <x:c r="B985"/>
      <x:c r="C985"/>
      <x:c r="D985"/>
      <x:c r="E985"/>
      <x:c r="F985"/>
      <x:c r="G985"/>
      <x:c r="H985"/>
      <x:c r="I985"/>
      <x:c r="J985"/>
    </x:row>
    <x:row r="986">
      <x:c r="A986" t="str">
        <x:v>RD-81218B3FC161</x:v>
      </x:c>
      <x:c r="B986"/>
      <x:c r="C986"/>
      <x:c r="D986"/>
      <x:c r="E986"/>
      <x:c r="F986"/>
      <x:c r="G986"/>
      <x:c r="H986"/>
      <x:c r="I986"/>
      <x:c r="J986"/>
    </x:row>
    <x:row r="987">
      <x:c r="A987" t="str">
        <x:v>RD-FA3426D58490</x:v>
      </x:c>
      <x:c r="B987"/>
      <x:c r="C987"/>
      <x:c r="D987"/>
      <x:c r="E987"/>
      <x:c r="F987"/>
      <x:c r="G987"/>
      <x:c r="H987"/>
      <x:c r="I987"/>
      <x:c r="J987"/>
    </x:row>
    <x:row r="988">
      <x:c r="A988" t="str">
        <x:v>RD-2A09E7C39C98</x:v>
      </x:c>
      <x:c r="B988"/>
      <x:c r="C988"/>
      <x:c r="D988"/>
      <x:c r="E988"/>
      <x:c r="F988"/>
      <x:c r="G988"/>
      <x:c r="H988"/>
      <x:c r="I988"/>
      <x:c r="J988"/>
    </x:row>
    <x:row r="989">
      <x:c r="A989" t="str">
        <x:v>RD-E88D46AD67DF</x:v>
      </x:c>
      <x:c r="B989"/>
      <x:c r="C989"/>
      <x:c r="D989"/>
      <x:c r="E989"/>
      <x:c r="F989"/>
      <x:c r="G989"/>
      <x:c r="H989"/>
      <x:c r="I989"/>
      <x:c r="J989"/>
    </x:row>
    <x:row r="990">
      <x:c r="A990" t="str">
        <x:v>RD-5289AF282FC3</x:v>
      </x:c>
      <x:c r="B990"/>
      <x:c r="C990"/>
      <x:c r="D990"/>
      <x:c r="E990"/>
      <x:c r="F990"/>
      <x:c r="G990"/>
      <x:c r="H990"/>
      <x:c r="I990"/>
      <x:c r="J990"/>
    </x:row>
    <x:row r="991">
      <x:c r="A991" t="str">
        <x:v>RD-8505EA511278</x:v>
      </x:c>
      <x:c r="B991"/>
      <x:c r="C991"/>
      <x:c r="D991"/>
      <x:c r="E991"/>
      <x:c r="F991"/>
      <x:c r="G991"/>
      <x:c r="H991"/>
      <x:c r="I991"/>
      <x:c r="J991"/>
    </x:row>
    <x:row r="992">
      <x:c r="A992" t="str">
        <x:v>RD-C0B5B4EAECA6</x:v>
      </x:c>
      <x:c r="B992"/>
      <x:c r="C992"/>
      <x:c r="D992"/>
      <x:c r="E992"/>
      <x:c r="F992"/>
      <x:c r="G992"/>
      <x:c r="H992"/>
      <x:c r="I992"/>
      <x:c r="J992"/>
    </x:row>
    <x:row r="993">
      <x:c r="A993" t="str">
        <x:v>RD-B3750F8418BD</x:v>
      </x:c>
      <x:c r="B993"/>
      <x:c r="C993"/>
      <x:c r="D993"/>
      <x:c r="E993"/>
      <x:c r="F993"/>
      <x:c r="G993"/>
      <x:c r="H993"/>
      <x:c r="I993"/>
      <x:c r="J993"/>
    </x:row>
    <x:row r="994">
      <x:c r="A994" t="str">
        <x:v>RD-C4EBB000F8F3</x:v>
      </x:c>
      <x:c r="B994"/>
      <x:c r="C994"/>
      <x:c r="D994"/>
      <x:c r="E994"/>
      <x:c r="F994"/>
      <x:c r="G994"/>
      <x:c r="H994"/>
      <x:c r="I994"/>
      <x:c r="J994"/>
    </x:row>
    <x:row r="995">
      <x:c r="A995" t="str">
        <x:v>RD-3989C0A2A549</x:v>
      </x:c>
      <x:c r="B995"/>
      <x:c r="C995"/>
      <x:c r="D995"/>
      <x:c r="E995"/>
      <x:c r="F995"/>
      <x:c r="G995"/>
      <x:c r="H995"/>
      <x:c r="I995"/>
      <x:c r="J995"/>
    </x:row>
    <x:row r="996">
      <x:c r="A996" t="str">
        <x:v>RD-DF5B570543F2</x:v>
      </x:c>
      <x:c r="B996"/>
      <x:c r="C996"/>
      <x:c r="D996"/>
      <x:c r="E996"/>
      <x:c r="F996"/>
      <x:c r="G996"/>
      <x:c r="H996"/>
      <x:c r="I996"/>
      <x:c r="J996"/>
    </x:row>
    <x:row r="997">
      <x:c r="A997" t="str">
        <x:v>RD-386701FFA12F</x:v>
      </x:c>
      <x:c r="B997"/>
      <x:c r="C997"/>
      <x:c r="D997"/>
      <x:c r="E997"/>
      <x:c r="F997"/>
      <x:c r="G997"/>
      <x:c r="H997"/>
      <x:c r="I997"/>
      <x:c r="J997"/>
    </x:row>
    <x:row r="998">
      <x:c r="A998" t="str">
        <x:v>RD-1BCF5DAF1B04</x:v>
      </x:c>
      <x:c r="B998"/>
      <x:c r="C998"/>
      <x:c r="D998"/>
      <x:c r="E998"/>
      <x:c r="F998"/>
      <x:c r="G998"/>
      <x:c r="H998"/>
      <x:c r="I998"/>
      <x:c r="J998"/>
    </x:row>
    <x:row r="999">
      <x:c r="A999" t="str">
        <x:v>RD-28274125CB7B</x:v>
      </x:c>
      <x:c r="B999"/>
      <x:c r="C999"/>
      <x:c r="D999"/>
      <x:c r="E999"/>
      <x:c r="F999"/>
      <x:c r="G999"/>
      <x:c r="H999"/>
      <x:c r="I999"/>
      <x:c r="J999"/>
    </x:row>
    <x:row r="1000">
      <x:c r="A1000" t="str">
        <x:v>RD-F90BED996346</x:v>
      </x:c>
      <x:c r="B1000"/>
      <x:c r="C1000"/>
      <x:c r="D1000"/>
      <x:c r="E1000"/>
      <x:c r="F1000"/>
      <x:c r="G1000"/>
      <x:c r="H1000"/>
      <x:c r="I1000"/>
      <x:c r="J1000"/>
    </x:row>
    <x:row r="1001">
      <x:c r="A1001" t="str">
        <x:v>RD-55F6B5092103</x:v>
      </x:c>
      <x:c r="B1001"/>
      <x:c r="C1001"/>
      <x:c r="D1001"/>
      <x:c r="E1001"/>
      <x:c r="F1001"/>
      <x:c r="G1001"/>
      <x:c r="H1001"/>
      <x:c r="I1001"/>
      <x:c r="J1001"/>
    </x:row>
    <x:row r="1002">
      <x:c r="A1002" t="str">
        <x:v>RD-AFD1CFC064D8</x:v>
      </x:c>
      <x:c r="B1002"/>
      <x:c r="C1002"/>
      <x:c r="D1002"/>
      <x:c r="E1002"/>
      <x:c r="F1002"/>
      <x:c r="G1002"/>
      <x:c r="H1002"/>
      <x:c r="I1002"/>
      <x:c r="J1002"/>
    </x:row>
    <x:row r="1003">
      <x:c r="A1003" t="str">
        <x:v>RD-BBE594A7008F</x:v>
      </x:c>
      <x:c r="B1003"/>
      <x:c r="C1003"/>
      <x:c r="D1003"/>
      <x:c r="E1003"/>
      <x:c r="F1003"/>
      <x:c r="G1003"/>
      <x:c r="H1003"/>
      <x:c r="I1003"/>
      <x:c r="J1003"/>
    </x:row>
    <x:row r="1004">
      <x:c r="A1004" t="str">
        <x:v>RD-9CC1CB520F1F</x:v>
      </x:c>
      <x:c r="B1004"/>
      <x:c r="C1004"/>
      <x:c r="D1004"/>
      <x:c r="E1004"/>
      <x:c r="F1004"/>
      <x:c r="G1004"/>
      <x:c r="H1004"/>
      <x:c r="I1004"/>
      <x:c r="J1004"/>
    </x:row>
    <x:row r="1005">
      <x:c r="A1005" t="str">
        <x:v>RD-852873504FE3</x:v>
      </x:c>
      <x:c r="B1005"/>
      <x:c r="C1005"/>
      <x:c r="D1005"/>
      <x:c r="E1005"/>
      <x:c r="F1005"/>
      <x:c r="G1005"/>
      <x:c r="H1005"/>
      <x:c r="I1005"/>
      <x:c r="J1005"/>
    </x:row>
    <x:row r="1006">
      <x:c r="A1006" t="str">
        <x:v>RD-53F64A7A1571</x:v>
      </x:c>
      <x:c r="B1006"/>
      <x:c r="C1006"/>
      <x:c r="D1006"/>
      <x:c r="E1006"/>
      <x:c r="F1006"/>
      <x:c r="G1006"/>
      <x:c r="H1006"/>
      <x:c r="I1006"/>
      <x:c r="J1006"/>
    </x:row>
    <x:row r="1007">
      <x:c r="A1007" t="str">
        <x:v>RD-D3A8FB10CB27</x:v>
      </x:c>
      <x:c r="B1007"/>
      <x:c r="C1007"/>
      <x:c r="D1007"/>
      <x:c r="E1007"/>
      <x:c r="F1007"/>
      <x:c r="G1007"/>
      <x:c r="H1007"/>
      <x:c r="I1007"/>
      <x:c r="J1007"/>
    </x:row>
    <x:row r="1008">
      <x:c r="A1008" t="str">
        <x:v>RD-0ED7F8F5F0A2</x:v>
      </x:c>
      <x:c r="B1008"/>
      <x:c r="C1008"/>
      <x:c r="D1008"/>
      <x:c r="E1008"/>
      <x:c r="F1008"/>
      <x:c r="G1008"/>
      <x:c r="H1008"/>
      <x:c r="I1008"/>
      <x:c r="J1008"/>
    </x:row>
    <x:row r="1009">
      <x:c r="A1009" t="str">
        <x:v>RD-DAE6133FA0F7</x:v>
      </x:c>
      <x:c r="B1009"/>
      <x:c r="C1009"/>
      <x:c r="D1009"/>
      <x:c r="E1009"/>
      <x:c r="F1009"/>
      <x:c r="G1009"/>
      <x:c r="H1009"/>
      <x:c r="I1009"/>
      <x:c r="J1009"/>
    </x:row>
    <x:row r="1010">
      <x:c r="A1010" t="str">
        <x:v>RD-FD2435164189</x:v>
      </x:c>
      <x:c r="B1010"/>
      <x:c r="C1010"/>
      <x:c r="D1010"/>
      <x:c r="E1010"/>
      <x:c r="F1010"/>
      <x:c r="G1010"/>
      <x:c r="H1010"/>
      <x:c r="I1010"/>
      <x:c r="J1010"/>
    </x:row>
    <x:row r="1011">
      <x:c r="A1011" t="str">
        <x:v>RD-C7C05075F11C</x:v>
      </x:c>
      <x:c r="B1011"/>
      <x:c r="C1011"/>
      <x:c r="D1011"/>
      <x:c r="E1011"/>
      <x:c r="F1011"/>
      <x:c r="G1011"/>
      <x:c r="H1011"/>
      <x:c r="I1011"/>
      <x:c r="J1011"/>
    </x:row>
    <x:row r="1012">
      <x:c r="A1012" t="str">
        <x:v>RD-747E52FEAEE9</x:v>
      </x:c>
      <x:c r="B1012"/>
      <x:c r="C1012"/>
      <x:c r="D1012"/>
      <x:c r="E1012"/>
      <x:c r="F1012"/>
      <x:c r="G1012"/>
      <x:c r="H1012"/>
      <x:c r="I1012"/>
      <x:c r="J1012"/>
    </x:row>
    <x:row r="1013">
      <x:c r="A1013" t="str">
        <x:v>RD-CB09A8DEE1DF</x:v>
      </x:c>
      <x:c r="B1013"/>
      <x:c r="C1013"/>
      <x:c r="D1013"/>
      <x:c r="E1013"/>
      <x:c r="F1013"/>
      <x:c r="G1013"/>
      <x:c r="H1013"/>
      <x:c r="I1013"/>
      <x:c r="J1013"/>
    </x:row>
    <x:row r="1014">
      <x:c r="A1014" t="str">
        <x:v>RD-EC0AC60E99D4</x:v>
      </x:c>
      <x:c r="B1014"/>
      <x:c r="C1014"/>
      <x:c r="D1014"/>
      <x:c r="E1014"/>
      <x:c r="F1014"/>
      <x:c r="G1014"/>
      <x:c r="H1014"/>
      <x:c r="I1014"/>
      <x:c r="J1014"/>
    </x:row>
    <x:row r="1015">
      <x:c r="A1015" t="str">
        <x:v>RD-6E15A7104913</x:v>
      </x:c>
      <x:c r="B1015"/>
      <x:c r="C1015"/>
      <x:c r="D1015"/>
      <x:c r="E1015"/>
      <x:c r="F1015"/>
      <x:c r="G1015"/>
      <x:c r="H1015"/>
      <x:c r="I1015"/>
      <x:c r="J1015"/>
    </x:row>
    <x:row r="1016">
      <x:c r="A1016" t="str">
        <x:v>RD-328350258889</x:v>
      </x:c>
      <x:c r="B1016"/>
      <x:c r="C1016"/>
      <x:c r="D1016"/>
      <x:c r="E1016"/>
      <x:c r="F1016"/>
      <x:c r="G1016"/>
      <x:c r="H1016"/>
      <x:c r="I1016"/>
      <x:c r="J1016"/>
    </x:row>
    <x:row r="1017">
      <x:c r="A1017" t="str">
        <x:v>RD-3FF2BCD5FA29</x:v>
      </x:c>
      <x:c r="B1017"/>
      <x:c r="C1017"/>
      <x:c r="D1017"/>
      <x:c r="E1017"/>
      <x:c r="F1017"/>
      <x:c r="G1017"/>
      <x:c r="H1017"/>
      <x:c r="I1017"/>
      <x:c r="J1017"/>
    </x:row>
    <x:row r="1018">
      <x:c r="A1018" t="str">
        <x:v>RD-2B960B68CCBF</x:v>
      </x:c>
      <x:c r="B1018"/>
      <x:c r="C1018"/>
      <x:c r="D1018"/>
      <x:c r="E1018"/>
      <x:c r="F1018"/>
      <x:c r="G1018"/>
      <x:c r="H1018"/>
      <x:c r="I1018"/>
      <x:c r="J1018"/>
    </x:row>
    <x:row r="1019">
      <x:c r="A1019" t="str">
        <x:v>RD-1A6E768F6AD9</x:v>
      </x:c>
      <x:c r="B1019"/>
      <x:c r="C1019"/>
      <x:c r="D1019"/>
      <x:c r="E1019"/>
      <x:c r="F1019"/>
      <x:c r="G1019"/>
      <x:c r="H1019"/>
      <x:c r="I1019"/>
      <x:c r="J1019"/>
    </x:row>
    <x:row r="1020">
      <x:c r="A1020" t="str">
        <x:v>RD-6DCB47838EB8</x:v>
      </x:c>
      <x:c r="B1020"/>
      <x:c r="C1020"/>
      <x:c r="D1020"/>
      <x:c r="E1020"/>
      <x:c r="F1020"/>
      <x:c r="G1020"/>
      <x:c r="H1020"/>
      <x:c r="I1020"/>
      <x:c r="J1020"/>
    </x:row>
    <x:row r="1021">
      <x:c r="A1021" t="str">
        <x:v>RD-0695FFE26908</x:v>
      </x:c>
      <x:c r="B1021"/>
      <x:c r="C1021"/>
      <x:c r="D1021"/>
      <x:c r="E1021"/>
      <x:c r="F1021"/>
      <x:c r="G1021"/>
      <x:c r="H1021"/>
      <x:c r="I1021"/>
      <x:c r="J1021"/>
    </x:row>
    <x:row r="1022">
      <x:c r="A1022" t="str">
        <x:v>RD-D5D8C6110E3C</x:v>
      </x:c>
      <x:c r="B1022"/>
      <x:c r="C1022"/>
      <x:c r="D1022"/>
      <x:c r="E1022"/>
      <x:c r="F1022"/>
      <x:c r="G1022"/>
      <x:c r="H1022"/>
      <x:c r="I1022"/>
      <x:c r="J1022"/>
    </x:row>
    <x:row r="1023">
      <x:c r="A1023" t="str">
        <x:v>RD-457B584C5239</x:v>
      </x:c>
      <x:c r="B1023"/>
      <x:c r="C1023"/>
      <x:c r="D1023"/>
      <x:c r="E1023"/>
      <x:c r="F1023"/>
      <x:c r="G1023"/>
      <x:c r="H1023"/>
      <x:c r="I1023"/>
      <x:c r="J1023"/>
    </x:row>
    <x:row r="1024">
      <x:c r="A1024" t="str">
        <x:v>RD-BCD80BDA89D6</x:v>
      </x:c>
      <x:c r="B1024"/>
      <x:c r="C1024"/>
      <x:c r="D1024"/>
      <x:c r="E1024"/>
      <x:c r="F1024"/>
      <x:c r="G1024"/>
      <x:c r="H1024"/>
      <x:c r="I1024"/>
      <x:c r="J1024"/>
    </x:row>
    <x:row r="1025">
      <x:c r="A1025" t="str">
        <x:v>RD-CA3D9489EC5B</x:v>
      </x:c>
      <x:c r="B1025"/>
      <x:c r="C1025"/>
      <x:c r="D1025"/>
      <x:c r="E1025"/>
      <x:c r="F1025"/>
      <x:c r="G1025"/>
      <x:c r="H1025"/>
      <x:c r="I1025"/>
      <x:c r="J1025"/>
    </x:row>
    <x:row r="1026">
      <x:c r="A1026" t="str">
        <x:v>RD-9D94D918FF26</x:v>
      </x:c>
      <x:c r="B1026"/>
      <x:c r="C1026"/>
      <x:c r="D1026"/>
      <x:c r="E1026"/>
      <x:c r="F1026"/>
      <x:c r="G1026"/>
      <x:c r="H1026"/>
      <x:c r="I1026"/>
      <x:c r="J1026"/>
    </x:row>
    <x:row r="1027">
      <x:c r="A1027" t="str">
        <x:v>RD-9EDF04432F15</x:v>
      </x:c>
      <x:c r="B1027"/>
      <x:c r="C1027"/>
      <x:c r="D1027"/>
      <x:c r="E1027"/>
      <x:c r="F1027"/>
      <x:c r="G1027"/>
      <x:c r="H1027"/>
      <x:c r="I1027"/>
      <x:c r="J1027"/>
    </x:row>
    <x:row r="1028">
      <x:c r="A1028" t="str">
        <x:v>RD-266760FF1F6B</x:v>
      </x:c>
      <x:c r="B1028"/>
      <x:c r="C1028"/>
      <x:c r="D1028"/>
      <x:c r="E1028"/>
      <x:c r="F1028"/>
      <x:c r="G1028"/>
      <x:c r="H1028"/>
      <x:c r="I1028"/>
      <x:c r="J1028"/>
    </x:row>
    <x:row r="1029">
      <x:c r="A1029" t="str">
        <x:v>RD-0DF913808DE6</x:v>
      </x:c>
      <x:c r="B1029"/>
      <x:c r="C1029"/>
      <x:c r="D1029"/>
      <x:c r="E1029"/>
      <x:c r="F1029"/>
      <x:c r="G1029"/>
      <x:c r="H1029"/>
      <x:c r="I1029"/>
      <x:c r="J1029"/>
    </x:row>
    <x:row r="1030">
      <x:c r="A1030" t="str">
        <x:v>RD-3EA8C9CCC0F4</x:v>
      </x:c>
      <x:c r="B1030"/>
      <x:c r="C1030"/>
      <x:c r="D1030"/>
      <x:c r="E1030"/>
      <x:c r="F1030"/>
      <x:c r="G1030"/>
      <x:c r="H1030"/>
      <x:c r="I1030"/>
      <x:c r="J1030"/>
    </x:row>
    <x:row r="1031">
      <x:c r="A1031" t="str">
        <x:v>RD-C3C6496AA042</x:v>
      </x:c>
      <x:c r="B1031"/>
      <x:c r="C1031"/>
      <x:c r="D1031"/>
      <x:c r="E1031"/>
      <x:c r="F1031"/>
      <x:c r="G1031"/>
      <x:c r="H1031"/>
      <x:c r="I1031"/>
      <x:c r="J1031"/>
    </x:row>
    <x:row r="1032">
      <x:c r="A1032" t="str">
        <x:v>RD-67B3627483A0</x:v>
      </x:c>
      <x:c r="B1032"/>
      <x:c r="C1032"/>
      <x:c r="D1032"/>
      <x:c r="E1032"/>
      <x:c r="F1032"/>
      <x:c r="G1032"/>
      <x:c r="H1032"/>
      <x:c r="I1032"/>
      <x:c r="J1032"/>
    </x:row>
    <x:row r="1033">
      <x:c r="A1033" t="str">
        <x:v>RD-39D3DC35FD49</x:v>
      </x:c>
      <x:c r="B1033"/>
      <x:c r="C1033"/>
      <x:c r="D1033"/>
      <x:c r="E1033"/>
      <x:c r="F1033"/>
      <x:c r="G1033"/>
      <x:c r="H1033"/>
      <x:c r="I1033"/>
      <x:c r="J1033"/>
    </x:row>
    <x:row r="1034">
      <x:c r="A1034" t="str">
        <x:v>RD-4844A9DD0B1F</x:v>
      </x:c>
      <x:c r="B1034"/>
      <x:c r="C1034"/>
      <x:c r="D1034"/>
      <x:c r="E1034"/>
      <x:c r="F1034"/>
      <x:c r="G1034"/>
      <x:c r="H1034"/>
      <x:c r="I1034"/>
      <x:c r="J1034"/>
    </x:row>
    <x:row r="1035">
      <x:c r="A1035" t="str">
        <x:v>RD-31A0357419A6</x:v>
      </x:c>
      <x:c r="B1035"/>
      <x:c r="C1035"/>
      <x:c r="D1035"/>
      <x:c r="E1035"/>
      <x:c r="F1035"/>
      <x:c r="G1035"/>
      <x:c r="H1035"/>
      <x:c r="I1035"/>
      <x:c r="J1035"/>
    </x:row>
    <x:row r="1036">
      <x:c r="A1036" t="str">
        <x:v>RD-74140BFB0BE3</x:v>
      </x:c>
      <x:c r="B1036"/>
      <x:c r="C1036"/>
      <x:c r="D1036"/>
      <x:c r="E1036"/>
      <x:c r="F1036"/>
      <x:c r="G1036"/>
      <x:c r="H1036"/>
      <x:c r="I1036"/>
      <x:c r="J1036"/>
    </x:row>
    <x:row r="1037">
      <x:c r="A1037" t="str">
        <x:v>RD-F7EA1A7A43BE</x:v>
      </x:c>
      <x:c r="B1037"/>
      <x:c r="C1037"/>
      <x:c r="D1037"/>
      <x:c r="E1037"/>
      <x:c r="F1037"/>
      <x:c r="G1037"/>
      <x:c r="H1037"/>
      <x:c r="I1037"/>
      <x:c r="J1037"/>
    </x:row>
    <x:row r="1038">
      <x:c r="A1038" t="str">
        <x:v>RD-A975A503FD27</x:v>
      </x:c>
      <x:c r="B1038"/>
      <x:c r="C1038"/>
      <x:c r="D1038"/>
      <x:c r="E1038"/>
      <x:c r="F1038"/>
      <x:c r="G1038"/>
      <x:c r="H1038"/>
      <x:c r="I1038"/>
      <x:c r="J1038"/>
    </x:row>
    <x:row r="1039">
      <x:c r="A1039" t="str">
        <x:v>RD-58BC4C9F5501</x:v>
      </x:c>
      <x:c r="B1039"/>
      <x:c r="C1039"/>
      <x:c r="D1039"/>
      <x:c r="E1039"/>
      <x:c r="F1039"/>
      <x:c r="G1039"/>
      <x:c r="H1039"/>
      <x:c r="I1039"/>
      <x:c r="J1039"/>
    </x:row>
    <x:row r="1040">
      <x:c r="A1040" t="str">
        <x:v>RD-CB70081AEF4B</x:v>
      </x:c>
      <x:c r="B1040"/>
      <x:c r="C1040"/>
      <x:c r="D1040"/>
      <x:c r="E1040"/>
      <x:c r="F1040"/>
      <x:c r="G1040"/>
      <x:c r="H1040"/>
      <x:c r="I1040"/>
      <x:c r="J1040"/>
    </x:row>
    <x:row r="1041">
      <x:c r="A1041" t="str">
        <x:v>RD-7F60FE978741</x:v>
      </x:c>
      <x:c r="B1041"/>
      <x:c r="C1041"/>
      <x:c r="D1041"/>
      <x:c r="E1041"/>
      <x:c r="F1041"/>
      <x:c r="G1041"/>
      <x:c r="H1041"/>
      <x:c r="I1041"/>
      <x:c r="J1041"/>
    </x:row>
    <x:row r="1042">
      <x:c r="A1042" t="str">
        <x:v>RD-B40F0FFDB32C</x:v>
      </x:c>
      <x:c r="B1042"/>
      <x:c r="C1042"/>
      <x:c r="D1042"/>
      <x:c r="E1042"/>
      <x:c r="F1042"/>
      <x:c r="G1042"/>
      <x:c r="H1042"/>
      <x:c r="I1042"/>
      <x:c r="J1042"/>
    </x:row>
    <x:row r="1043">
      <x:c r="A1043" t="str">
        <x:v>RD-59DCF3B8B119</x:v>
      </x:c>
      <x:c r="B1043"/>
      <x:c r="C1043"/>
      <x:c r="D1043"/>
      <x:c r="E1043"/>
      <x:c r="F1043"/>
      <x:c r="G1043"/>
      <x:c r="H1043"/>
      <x:c r="I1043"/>
      <x:c r="J1043"/>
    </x:row>
    <x:row r="1044">
      <x:c r="A1044" t="str">
        <x:v>RD-0CF52A265945</x:v>
      </x:c>
      <x:c r="B1044"/>
      <x:c r="C1044"/>
      <x:c r="D1044"/>
      <x:c r="E1044"/>
      <x:c r="F1044"/>
      <x:c r="G1044"/>
      <x:c r="H1044"/>
      <x:c r="I1044"/>
      <x:c r="J1044"/>
    </x:row>
    <x:row r="1045">
      <x:c r="A1045" t="str">
        <x:v>RD-E931D8FE3119</x:v>
      </x:c>
      <x:c r="B1045"/>
      <x:c r="C1045"/>
      <x:c r="D1045"/>
      <x:c r="E1045"/>
      <x:c r="F1045"/>
      <x:c r="G1045"/>
      <x:c r="H1045"/>
      <x:c r="I1045"/>
      <x:c r="J1045"/>
    </x:row>
    <x:row r="1046">
      <x:c r="A1046" t="str">
        <x:v>RD-00B5922481F0</x:v>
      </x:c>
      <x:c r="B1046"/>
      <x:c r="C1046"/>
      <x:c r="D1046"/>
      <x:c r="E1046"/>
      <x:c r="F1046"/>
      <x:c r="G1046"/>
      <x:c r="H1046"/>
      <x:c r="I1046"/>
      <x:c r="J1046"/>
    </x:row>
    <x:row r="1047">
      <x:c r="A1047" t="str">
        <x:v>RD-553744D37561</x:v>
      </x:c>
      <x:c r="B1047"/>
      <x:c r="C1047"/>
      <x:c r="D1047"/>
      <x:c r="E1047"/>
      <x:c r="F1047"/>
      <x:c r="G1047"/>
      <x:c r="H1047"/>
      <x:c r="I1047"/>
      <x:c r="J1047"/>
    </x:row>
    <x:row r="1048">
      <x:c r="A1048" t="str">
        <x:v>RD-C1DB839953C4</x:v>
      </x:c>
      <x:c r="B1048"/>
      <x:c r="C1048"/>
      <x:c r="D1048"/>
      <x:c r="E1048"/>
      <x:c r="F1048"/>
      <x:c r="G1048"/>
      <x:c r="H1048"/>
      <x:c r="I1048"/>
      <x:c r="J1048"/>
    </x:row>
    <x:row r="1049">
      <x:c r="A1049" t="str">
        <x:v>RD-7FA0756D6C9C</x:v>
      </x:c>
      <x:c r="B1049"/>
      <x:c r="C1049"/>
      <x:c r="D1049"/>
      <x:c r="E1049"/>
      <x:c r="F1049"/>
      <x:c r="G1049"/>
      <x:c r="H1049"/>
      <x:c r="I1049"/>
      <x:c r="J1049"/>
    </x:row>
    <x:row r="1050">
      <x:c r="A1050" t="str">
        <x:v>RD-E1349251649E</x:v>
      </x:c>
      <x:c r="B1050"/>
      <x:c r="C1050"/>
      <x:c r="D1050"/>
      <x:c r="E1050"/>
      <x:c r="F1050"/>
      <x:c r="G1050"/>
      <x:c r="H1050"/>
      <x:c r="I1050"/>
      <x:c r="J1050"/>
    </x:row>
    <x:row r="1051">
      <x:c r="A1051" t="str">
        <x:v>RD-CCD30476AC6E</x:v>
      </x:c>
      <x:c r="B1051"/>
      <x:c r="C1051"/>
      <x:c r="D1051"/>
      <x:c r="E1051"/>
      <x:c r="F1051"/>
      <x:c r="G1051"/>
      <x:c r="H1051"/>
      <x:c r="I1051"/>
      <x:c r="J1051"/>
    </x:row>
    <x:row r="1052">
      <x:c r="A1052" t="str">
        <x:v>RD-6BA78245471D</x:v>
      </x:c>
      <x:c r="B1052"/>
      <x:c r="C1052"/>
      <x:c r="D1052"/>
      <x:c r="E1052"/>
      <x:c r="F1052"/>
      <x:c r="G1052"/>
      <x:c r="H1052"/>
      <x:c r="I1052"/>
      <x:c r="J1052"/>
    </x:row>
    <x:row r="1053">
      <x:c r="A1053" t="str">
        <x:v>RD-59076E2E629F</x:v>
      </x:c>
      <x:c r="B1053"/>
      <x:c r="C1053"/>
      <x:c r="D1053"/>
      <x:c r="E1053"/>
      <x:c r="F1053"/>
      <x:c r="G1053"/>
      <x:c r="H1053"/>
      <x:c r="I1053"/>
      <x:c r="J1053"/>
    </x:row>
    <x:row r="1054">
      <x:c r="A1054" t="str">
        <x:v>RD-4293E02D7205</x:v>
      </x:c>
      <x:c r="B1054"/>
      <x:c r="C1054"/>
      <x:c r="D1054"/>
      <x:c r="E1054"/>
      <x:c r="F1054"/>
      <x:c r="G1054"/>
      <x:c r="H1054"/>
      <x:c r="I1054"/>
      <x:c r="J1054"/>
    </x:row>
    <x:row r="1055">
      <x:c r="A1055" t="str">
        <x:v>RD-B45C8BE6F2F1</x:v>
      </x:c>
      <x:c r="B1055"/>
      <x:c r="C1055"/>
      <x:c r="D1055"/>
      <x:c r="E1055"/>
      <x:c r="F1055"/>
      <x:c r="G1055"/>
      <x:c r="H1055"/>
      <x:c r="I1055"/>
      <x:c r="J1055"/>
    </x:row>
    <x:row r="1056">
      <x:c r="A1056" t="str">
        <x:v>RD-F4AF814943F1</x:v>
      </x:c>
      <x:c r="B1056"/>
      <x:c r="C1056"/>
      <x:c r="D1056"/>
      <x:c r="E1056"/>
      <x:c r="F1056"/>
      <x:c r="G1056"/>
      <x:c r="H1056"/>
      <x:c r="I1056"/>
      <x:c r="J1056"/>
    </x:row>
    <x:row r="1057">
      <x:c r="A1057" t="str">
        <x:v>RD-8DA3C066C44D</x:v>
      </x:c>
      <x:c r="B1057"/>
      <x:c r="C1057"/>
      <x:c r="D1057"/>
      <x:c r="E1057"/>
      <x:c r="F1057"/>
      <x:c r="G1057"/>
      <x:c r="H1057"/>
      <x:c r="I1057"/>
      <x:c r="J1057"/>
    </x:row>
    <x:row r="1058">
      <x:c r="A1058" t="str">
        <x:v>RD-DAF43FE39968</x:v>
      </x:c>
      <x:c r="B1058"/>
      <x:c r="C1058"/>
      <x:c r="D1058"/>
      <x:c r="E1058"/>
      <x:c r="F1058"/>
      <x:c r="G1058"/>
      <x:c r="H1058"/>
      <x:c r="I1058"/>
      <x:c r="J1058"/>
    </x:row>
    <x:row r="1059">
      <x:c r="A1059" t="str">
        <x:v>RD-41A1A02528E9</x:v>
      </x:c>
      <x:c r="B1059"/>
      <x:c r="C1059"/>
      <x:c r="D1059"/>
      <x:c r="E1059"/>
      <x:c r="F1059"/>
      <x:c r="G1059"/>
      <x:c r="H1059"/>
      <x:c r="I1059"/>
      <x:c r="J1059"/>
    </x:row>
    <x:row r="1060">
      <x:c r="A1060" t="str">
        <x:v>RD-8ABBC43D7090</x:v>
      </x:c>
      <x:c r="B1060"/>
      <x:c r="C1060"/>
      <x:c r="D1060"/>
      <x:c r="E1060"/>
      <x:c r="F1060"/>
      <x:c r="G1060"/>
      <x:c r="H1060"/>
      <x:c r="I1060"/>
      <x:c r="J1060"/>
    </x:row>
    <x:row r="1061">
      <x:c r="A1061" t="str">
        <x:v>RD-5D656844F850</x:v>
      </x:c>
      <x:c r="B1061"/>
      <x:c r="C1061"/>
      <x:c r="D1061"/>
      <x:c r="E1061"/>
      <x:c r="F1061"/>
      <x:c r="G1061"/>
      <x:c r="H1061"/>
      <x:c r="I1061"/>
      <x:c r="J1061"/>
    </x:row>
    <x:row r="1062">
      <x:c r="A1062" t="str">
        <x:v>RD-B5CD81722A06</x:v>
      </x:c>
      <x:c r="B1062"/>
      <x:c r="C1062"/>
      <x:c r="D1062"/>
      <x:c r="E1062"/>
      <x:c r="F1062"/>
      <x:c r="G1062"/>
      <x:c r="H1062"/>
      <x:c r="I1062"/>
      <x:c r="J1062"/>
    </x:row>
    <x:row r="1063">
      <x:c r="A1063" t="str">
        <x:v>RD-A969C7FE6F5F</x:v>
      </x:c>
      <x:c r="B1063"/>
      <x:c r="C1063"/>
      <x:c r="D1063"/>
      <x:c r="E1063"/>
      <x:c r="F1063"/>
      <x:c r="G1063"/>
      <x:c r="H1063"/>
      <x:c r="I1063"/>
      <x:c r="J1063"/>
    </x:row>
    <x:row r="1064">
      <x:c r="A1064" t="str">
        <x:v>RD-E23EBF2A7894</x:v>
      </x:c>
      <x:c r="B1064"/>
      <x:c r="C1064"/>
      <x:c r="D1064"/>
      <x:c r="E1064"/>
      <x:c r="F1064"/>
      <x:c r="G1064"/>
      <x:c r="H1064"/>
      <x:c r="I1064"/>
      <x:c r="J1064"/>
    </x:row>
    <x:row r="1065">
      <x:c r="A1065" t="str">
        <x:v>RD-A546DDC2D63C</x:v>
      </x:c>
      <x:c r="B1065"/>
      <x:c r="C1065"/>
      <x:c r="D1065"/>
      <x:c r="E1065"/>
      <x:c r="F1065"/>
      <x:c r="G1065"/>
      <x:c r="H1065"/>
      <x:c r="I1065"/>
      <x:c r="J1065"/>
    </x:row>
    <x:row r="1066">
      <x:c r="A1066" t="str">
        <x:v>RD-C4DE31B90729</x:v>
      </x:c>
      <x:c r="B1066"/>
      <x:c r="C1066"/>
      <x:c r="D1066"/>
      <x:c r="E1066"/>
      <x:c r="F1066"/>
      <x:c r="G1066"/>
      <x:c r="H1066"/>
      <x:c r="I1066"/>
      <x:c r="J1066"/>
    </x:row>
    <x:row r="1067">
      <x:c r="A1067" t="str">
        <x:v>RD-E32FD24CD7AA</x:v>
      </x:c>
      <x:c r="B1067"/>
      <x:c r="C1067"/>
      <x:c r="D1067"/>
      <x:c r="E1067"/>
      <x:c r="F1067"/>
      <x:c r="G1067"/>
      <x:c r="H1067"/>
      <x:c r="I1067"/>
      <x:c r="J1067"/>
    </x:row>
    <x:row r="1068">
      <x:c r="A1068" t="str">
        <x:v>RD-CD22584875BB</x:v>
      </x:c>
      <x:c r="B1068"/>
      <x:c r="C1068"/>
      <x:c r="D1068"/>
      <x:c r="E1068"/>
      <x:c r="F1068"/>
      <x:c r="G1068"/>
      <x:c r="H1068"/>
      <x:c r="I1068"/>
      <x:c r="J1068"/>
    </x:row>
    <x:row r="1069">
      <x:c r="A1069" t="str">
        <x:v>RD-F5D88F5D34E9</x:v>
      </x:c>
      <x:c r="B1069"/>
      <x:c r="C1069"/>
      <x:c r="D1069"/>
      <x:c r="E1069"/>
      <x:c r="F1069"/>
      <x:c r="G1069"/>
      <x:c r="H1069"/>
      <x:c r="I1069"/>
      <x:c r="J1069"/>
    </x:row>
    <x:row r="1070">
      <x:c r="A1070" t="str">
        <x:v>RD-AB15E1C92D0C</x:v>
      </x:c>
      <x:c r="B1070"/>
      <x:c r="C1070"/>
      <x:c r="D1070"/>
      <x:c r="E1070"/>
      <x:c r="F1070"/>
      <x:c r="G1070"/>
      <x:c r="H1070"/>
      <x:c r="I1070"/>
      <x:c r="J1070"/>
    </x:row>
    <x:row r="1071">
      <x:c r="A1071" t="str">
        <x:v>RD-8E4948D044B9</x:v>
      </x:c>
      <x:c r="B1071"/>
      <x:c r="C1071"/>
      <x:c r="D1071"/>
      <x:c r="E1071"/>
      <x:c r="F1071"/>
      <x:c r="G1071"/>
      <x:c r="H1071"/>
      <x:c r="I1071"/>
      <x:c r="J1071"/>
    </x:row>
    <x:row r="1072">
      <x:c r="A1072" t="str">
        <x:v>RD-82624B2BBDD7</x:v>
      </x:c>
      <x:c r="B1072"/>
      <x:c r="C1072"/>
      <x:c r="D1072"/>
      <x:c r="E1072"/>
      <x:c r="F1072"/>
      <x:c r="G1072"/>
      <x:c r="H1072"/>
      <x:c r="I1072"/>
      <x:c r="J1072"/>
    </x:row>
    <x:row r="1073">
      <x:c r="A1073" t="str">
        <x:v>RD-5B4D7413E377</x:v>
      </x:c>
      <x:c r="B1073"/>
      <x:c r="C1073"/>
      <x:c r="D1073"/>
      <x:c r="E1073"/>
      <x:c r="F1073"/>
      <x:c r="G1073"/>
      <x:c r="H1073"/>
      <x:c r="I1073"/>
      <x:c r="J1073"/>
    </x:row>
    <x:row r="1074">
      <x:c r="A1074" t="str">
        <x:v>RD-86F469141791</x:v>
      </x:c>
      <x:c r="B1074"/>
      <x:c r="C1074"/>
      <x:c r="D1074"/>
      <x:c r="E1074"/>
      <x:c r="F1074"/>
      <x:c r="G1074"/>
      <x:c r="H1074"/>
      <x:c r="I1074"/>
      <x:c r="J1074"/>
    </x:row>
    <x:row r="1075">
      <x:c r="A1075" t="str">
        <x:v>RD-83B5D21787B5</x:v>
      </x:c>
      <x:c r="B1075"/>
      <x:c r="C1075"/>
      <x:c r="D1075"/>
      <x:c r="E1075"/>
      <x:c r="F1075"/>
      <x:c r="G1075"/>
      <x:c r="H1075"/>
      <x:c r="I1075"/>
      <x:c r="J1075"/>
    </x:row>
    <x:row r="1076">
      <x:c r="A1076" t="str">
        <x:v>RD-E8BAE56E50AD</x:v>
      </x:c>
      <x:c r="B1076"/>
      <x:c r="C1076"/>
      <x:c r="D1076"/>
      <x:c r="E1076"/>
      <x:c r="F1076"/>
      <x:c r="G1076"/>
      <x:c r="H1076"/>
      <x:c r="I1076"/>
      <x:c r="J1076"/>
    </x:row>
    <x:row r="1077">
      <x:c r="A1077" t="str">
        <x:v>RD-675F49A4423C</x:v>
      </x:c>
      <x:c r="B1077"/>
      <x:c r="C1077"/>
      <x:c r="D1077"/>
      <x:c r="E1077"/>
      <x:c r="F1077"/>
      <x:c r="G1077"/>
      <x:c r="H1077"/>
      <x:c r="I1077"/>
      <x:c r="J1077"/>
    </x:row>
    <x:row r="1078">
      <x:c r="A1078" t="str">
        <x:v>RD-E79B167D3313</x:v>
      </x:c>
      <x:c r="B1078"/>
      <x:c r="C1078"/>
      <x:c r="D1078"/>
      <x:c r="E1078"/>
      <x:c r="F1078"/>
      <x:c r="G1078"/>
      <x:c r="H1078"/>
      <x:c r="I1078"/>
      <x:c r="J1078"/>
    </x:row>
    <x:row r="1079">
      <x:c r="A1079" t="str">
        <x:v>RD-53A3160C3C81</x:v>
      </x:c>
      <x:c r="B1079"/>
      <x:c r="C1079"/>
      <x:c r="D1079"/>
      <x:c r="E1079"/>
      <x:c r="F1079"/>
      <x:c r="G1079"/>
      <x:c r="H1079"/>
      <x:c r="I1079"/>
      <x:c r="J1079"/>
    </x:row>
    <x:row r="1080">
      <x:c r="A1080" t="str">
        <x:v>RD-87E27AF99A2F</x:v>
      </x:c>
      <x:c r="B1080"/>
      <x:c r="C1080"/>
      <x:c r="D1080"/>
      <x:c r="E1080"/>
      <x:c r="F1080"/>
      <x:c r="G1080"/>
      <x:c r="H1080"/>
      <x:c r="I1080"/>
      <x:c r="J1080"/>
    </x:row>
    <x:row r="1081">
      <x:c r="A1081" t="str">
        <x:v>RD-B648461922A1</x:v>
      </x:c>
      <x:c r="B1081"/>
      <x:c r="C1081"/>
      <x:c r="D1081"/>
      <x:c r="E1081"/>
      <x:c r="F1081"/>
      <x:c r="G1081"/>
      <x:c r="H1081"/>
      <x:c r="I1081"/>
      <x:c r="J1081"/>
    </x:row>
    <x:row r="1082">
      <x:c r="A1082" t="str">
        <x:v>RD-6412994C1CCB</x:v>
      </x:c>
      <x:c r="B1082"/>
      <x:c r="C1082"/>
      <x:c r="D1082"/>
      <x:c r="E1082"/>
      <x:c r="F1082"/>
      <x:c r="G1082"/>
      <x:c r="H1082"/>
      <x:c r="I1082"/>
      <x:c r="J1082"/>
    </x:row>
    <x:row r="1083">
      <x:c r="A1083" t="str">
        <x:v>RD-C8724D9D4E26</x:v>
      </x:c>
      <x:c r="B1083"/>
      <x:c r="C1083"/>
      <x:c r="D1083"/>
      <x:c r="E1083"/>
      <x:c r="F1083"/>
      <x:c r="G1083"/>
      <x:c r="H1083"/>
      <x:c r="I1083"/>
      <x:c r="J1083"/>
    </x:row>
    <x:row r="1084">
      <x:c r="A1084" t="str">
        <x:v>RD-C4872A380613</x:v>
      </x:c>
      <x:c r="B1084"/>
      <x:c r="C1084"/>
      <x:c r="D1084"/>
      <x:c r="E1084"/>
      <x:c r="F1084"/>
      <x:c r="G1084"/>
      <x:c r="H1084"/>
      <x:c r="I1084"/>
      <x:c r="J1084"/>
    </x:row>
    <x:row r="1085">
      <x:c r="A1085" t="str">
        <x:v>RD-DDA1FE57C0B2</x:v>
      </x:c>
      <x:c r="B1085"/>
      <x:c r="C1085"/>
      <x:c r="D1085"/>
      <x:c r="E1085"/>
      <x:c r="F1085"/>
      <x:c r="G1085"/>
      <x:c r="H1085"/>
      <x:c r="I1085"/>
      <x:c r="J1085"/>
    </x:row>
    <x:row r="1086">
      <x:c r="A1086" t="str">
        <x:v>RD-075FFE04D6B2</x:v>
      </x:c>
      <x:c r="B1086"/>
      <x:c r="C1086"/>
      <x:c r="D1086"/>
      <x:c r="E1086"/>
      <x:c r="F1086"/>
      <x:c r="G1086"/>
      <x:c r="H1086"/>
      <x:c r="I1086"/>
      <x:c r="J1086"/>
    </x:row>
    <x:row r="1087">
      <x:c r="A1087" t="str">
        <x:v>RD-C3B59FB592F9</x:v>
      </x:c>
      <x:c r="B1087"/>
      <x:c r="C1087"/>
      <x:c r="D1087"/>
      <x:c r="E1087"/>
      <x:c r="F1087"/>
      <x:c r="G1087"/>
      <x:c r="H1087"/>
      <x:c r="I1087"/>
      <x:c r="J1087"/>
    </x:row>
    <x:row r="1088">
      <x:c r="A1088" t="str">
        <x:v>RD-8E69B76AA97E</x:v>
      </x:c>
      <x:c r="B1088"/>
      <x:c r="C1088"/>
      <x:c r="D1088"/>
      <x:c r="E1088"/>
      <x:c r="F1088"/>
      <x:c r="G1088"/>
      <x:c r="H1088"/>
      <x:c r="I1088"/>
      <x:c r="J1088"/>
    </x:row>
    <x:row r="1089">
      <x:c r="A1089" t="str">
        <x:v>RD-DBFC752E02E8</x:v>
      </x:c>
      <x:c r="B1089"/>
      <x:c r="C1089"/>
      <x:c r="D1089"/>
      <x:c r="E1089"/>
      <x:c r="F1089"/>
      <x:c r="G1089"/>
      <x:c r="H1089"/>
      <x:c r="I1089"/>
      <x:c r="J1089"/>
    </x:row>
    <x:row r="1090">
      <x:c r="A1090" t="str">
        <x:v>RD-F31735867301</x:v>
      </x:c>
      <x:c r="B1090"/>
      <x:c r="C1090"/>
      <x:c r="D1090"/>
      <x:c r="E1090"/>
      <x:c r="F1090"/>
      <x:c r="G1090"/>
      <x:c r="H1090"/>
      <x:c r="I1090"/>
      <x:c r="J1090"/>
    </x:row>
    <x:row r="1091">
      <x:c r="A1091" t="str">
        <x:v>RD-633882E6A5F0</x:v>
      </x:c>
      <x:c r="B1091"/>
      <x:c r="C1091"/>
      <x:c r="D1091"/>
      <x:c r="E1091"/>
      <x:c r="F1091"/>
      <x:c r="G1091"/>
      <x:c r="H1091"/>
      <x:c r="I1091"/>
      <x:c r="J1091"/>
    </x:row>
    <x:row r="1092">
      <x:c r="A1092" t="str">
        <x:v>RD-0F15D2FF5E30</x:v>
      </x:c>
      <x:c r="B1092"/>
      <x:c r="C1092"/>
      <x:c r="D1092"/>
      <x:c r="E1092"/>
      <x:c r="F1092"/>
      <x:c r="G1092"/>
      <x:c r="H1092"/>
      <x:c r="I1092"/>
      <x:c r="J1092"/>
    </x:row>
    <x:row r="1093">
      <x:c r="A1093" t="str">
        <x:v>RD-02F2A7670A2E</x:v>
      </x:c>
      <x:c r="B1093"/>
      <x:c r="C1093"/>
      <x:c r="D1093"/>
      <x:c r="E1093"/>
      <x:c r="F1093"/>
      <x:c r="G1093"/>
      <x:c r="H1093"/>
      <x:c r="I1093"/>
      <x:c r="J1093"/>
    </x:row>
    <x:row r="1094">
      <x:c r="A1094" t="str">
        <x:v>RD-672CB31D795E</x:v>
      </x:c>
      <x:c r="B1094"/>
      <x:c r="C1094"/>
      <x:c r="D1094"/>
      <x:c r="E1094"/>
      <x:c r="F1094"/>
      <x:c r="G1094"/>
      <x:c r="H1094"/>
      <x:c r="I1094"/>
      <x:c r="J1094"/>
    </x:row>
    <x:row r="1095">
      <x:c r="A1095" t="str">
        <x:v>RD-823B9D8A4C6E</x:v>
      </x:c>
      <x:c r="B1095"/>
      <x:c r="C1095"/>
      <x:c r="D1095"/>
      <x:c r="E1095"/>
      <x:c r="F1095"/>
      <x:c r="G1095"/>
      <x:c r="H1095"/>
      <x:c r="I1095"/>
      <x:c r="J1095"/>
    </x:row>
    <x:row r="1096">
      <x:c r="A1096" t="str">
        <x:v>RD-F057F7CF2AFD</x:v>
      </x:c>
      <x:c r="B1096"/>
      <x:c r="C1096"/>
      <x:c r="D1096"/>
      <x:c r="E1096"/>
      <x:c r="F1096"/>
      <x:c r="G1096"/>
      <x:c r="H1096"/>
      <x:c r="I1096"/>
      <x:c r="J1096"/>
    </x:row>
    <x:row r="1097">
      <x:c r="A1097" t="str">
        <x:v>RD-89FD76A06519</x:v>
      </x:c>
      <x:c r="B1097"/>
      <x:c r="C1097"/>
      <x:c r="D1097"/>
      <x:c r="E1097"/>
      <x:c r="F1097"/>
      <x:c r="G1097"/>
      <x:c r="H1097"/>
      <x:c r="I1097"/>
      <x:c r="J1097"/>
    </x:row>
    <x:row r="1098">
      <x:c r="A1098" t="str">
        <x:v>RD-AE04EE954212</x:v>
      </x:c>
      <x:c r="B1098"/>
      <x:c r="C1098"/>
      <x:c r="D1098"/>
      <x:c r="E1098"/>
      <x:c r="F1098"/>
      <x:c r="G1098"/>
      <x:c r="H1098"/>
      <x:c r="I1098"/>
      <x:c r="J1098"/>
    </x:row>
    <x:row r="1099">
      <x:c r="A1099" t="str">
        <x:v>RD-F16BDF556954</x:v>
      </x:c>
      <x:c r="B1099"/>
      <x:c r="C1099"/>
      <x:c r="D1099"/>
      <x:c r="E1099"/>
      <x:c r="F1099"/>
      <x:c r="G1099"/>
      <x:c r="H1099"/>
      <x:c r="I1099"/>
      <x:c r="J1099"/>
    </x:row>
    <x:row r="1100">
      <x:c r="A1100" t="str">
        <x:v>RD-D5CE5CF25E29</x:v>
      </x:c>
      <x:c r="B1100"/>
      <x:c r="C1100"/>
      <x:c r="D1100"/>
      <x:c r="E1100"/>
      <x:c r="F1100"/>
      <x:c r="G1100"/>
      <x:c r="H1100"/>
      <x:c r="I1100"/>
      <x:c r="J1100"/>
    </x:row>
    <x:row r="1101">
      <x:c r="A1101" t="str">
        <x:v>RD-C180D3411AD5</x:v>
      </x:c>
      <x:c r="B1101"/>
      <x:c r="C1101"/>
      <x:c r="D1101"/>
      <x:c r="E1101"/>
      <x:c r="F1101"/>
      <x:c r="G1101"/>
      <x:c r="H1101"/>
      <x:c r="I1101"/>
      <x:c r="J1101"/>
    </x:row>
    <x:row r="1102">
      <x:c r="A1102" t="str">
        <x:v>RD-C1DC6D8B6D5E</x:v>
      </x:c>
      <x:c r="B1102"/>
      <x:c r="C1102"/>
      <x:c r="D1102"/>
      <x:c r="E1102"/>
      <x:c r="F1102"/>
      <x:c r="G1102"/>
      <x:c r="H1102"/>
      <x:c r="I1102"/>
      <x:c r="J1102"/>
    </x:row>
    <x:row r="1103">
      <x:c r="A1103" t="str">
        <x:v>RD-40AD00BD0885</x:v>
      </x:c>
      <x:c r="B1103"/>
      <x:c r="C1103"/>
      <x:c r="D1103"/>
      <x:c r="E1103"/>
      <x:c r="F1103"/>
      <x:c r="G1103"/>
      <x:c r="H1103"/>
      <x:c r="I1103"/>
      <x:c r="J1103"/>
    </x:row>
    <x:row r="1104">
      <x:c r="A1104" t="str">
        <x:v>RD-92D02E8D6E53</x:v>
      </x:c>
      <x:c r="B1104"/>
      <x:c r="C1104"/>
      <x:c r="D1104"/>
      <x:c r="E1104"/>
      <x:c r="F1104"/>
      <x:c r="G1104"/>
      <x:c r="H1104"/>
      <x:c r="I1104"/>
      <x:c r="J1104"/>
    </x:row>
    <x:row r="1105">
      <x:c r="A1105" t="str">
        <x:v>RD-9A6C1FEE471F</x:v>
      </x:c>
      <x:c r="B1105"/>
      <x:c r="C1105"/>
      <x:c r="D1105"/>
      <x:c r="E1105"/>
      <x:c r="F1105"/>
      <x:c r="G1105"/>
      <x:c r="H1105"/>
      <x:c r="I1105"/>
      <x:c r="J1105"/>
    </x:row>
    <x:row r="1106">
      <x:c r="A1106" t="str">
        <x:v>RD-E805C432BD1E</x:v>
      </x:c>
      <x:c r="B1106"/>
      <x:c r="C1106"/>
      <x:c r="D1106"/>
      <x:c r="E1106"/>
      <x:c r="F1106"/>
      <x:c r="G1106"/>
      <x:c r="H1106"/>
      <x:c r="I1106"/>
      <x:c r="J1106"/>
    </x:row>
    <x:row r="1107">
      <x:c r="A1107" t="str">
        <x:v>RD-CE1D61031F89</x:v>
      </x:c>
      <x:c r="B1107"/>
      <x:c r="C1107"/>
      <x:c r="D1107"/>
      <x:c r="E1107"/>
      <x:c r="F1107"/>
      <x:c r="G1107"/>
      <x:c r="H1107"/>
      <x:c r="I1107"/>
      <x:c r="J1107"/>
    </x:row>
    <x:row r="1108">
      <x:c r="A1108" t="str">
        <x:v>RD-681017403EB3</x:v>
      </x:c>
      <x:c r="B1108"/>
      <x:c r="C1108"/>
      <x:c r="D1108"/>
      <x:c r="E1108"/>
      <x:c r="F1108"/>
      <x:c r="G1108"/>
      <x:c r="H1108"/>
      <x:c r="I1108"/>
      <x:c r="J1108"/>
    </x:row>
    <x:row r="1109">
      <x:c r="A1109" t="str">
        <x:v>RD-0B050426CBCA</x:v>
      </x:c>
      <x:c r="B1109"/>
      <x:c r="C1109"/>
      <x:c r="D1109"/>
      <x:c r="E1109"/>
      <x:c r="F1109"/>
      <x:c r="G1109"/>
      <x:c r="H1109"/>
      <x:c r="I1109"/>
      <x:c r="J1109"/>
    </x:row>
    <x:row r="1110">
      <x:c r="A1110" t="str">
        <x:v>RD-E2F762102E2F</x:v>
      </x:c>
      <x:c r="B1110"/>
      <x:c r="C1110"/>
      <x:c r="D1110"/>
      <x:c r="E1110"/>
      <x:c r="F1110"/>
      <x:c r="G1110"/>
      <x:c r="H1110"/>
      <x:c r="I1110"/>
      <x:c r="J1110"/>
    </x:row>
    <x:row r="1111">
      <x:c r="A1111" t="str">
        <x:v>RD-B87275F5F56A</x:v>
      </x:c>
      <x:c r="B1111"/>
      <x:c r="C1111"/>
      <x:c r="D1111"/>
      <x:c r="E1111"/>
      <x:c r="F1111"/>
      <x:c r="G1111"/>
      <x:c r="H1111"/>
      <x:c r="I1111"/>
      <x:c r="J1111"/>
    </x:row>
    <x:row r="1112">
      <x:c r="A1112" t="str">
        <x:v>RD-F7B551619CA1</x:v>
      </x:c>
      <x:c r="B1112"/>
      <x:c r="C1112"/>
      <x:c r="D1112"/>
      <x:c r="E1112"/>
      <x:c r="F1112"/>
      <x:c r="G1112"/>
      <x:c r="H1112"/>
      <x:c r="I1112"/>
      <x:c r="J1112"/>
    </x:row>
    <x:row r="1113">
      <x:c r="A1113" t="str">
        <x:v>RD-4EFD40FCBA11</x:v>
      </x:c>
      <x:c r="B1113"/>
      <x:c r="C1113"/>
      <x:c r="D1113"/>
      <x:c r="E1113"/>
      <x:c r="F1113"/>
      <x:c r="G1113"/>
      <x:c r="H1113"/>
      <x:c r="I1113"/>
      <x:c r="J1113"/>
    </x:row>
    <x:row r="1114">
      <x:c r="A1114" t="str">
        <x:v>RD-76DBEE64571D</x:v>
      </x:c>
      <x:c r="B1114"/>
      <x:c r="C1114"/>
      <x:c r="D1114"/>
      <x:c r="E1114"/>
      <x:c r="F1114"/>
      <x:c r="G1114"/>
      <x:c r="H1114"/>
      <x:c r="I1114"/>
      <x:c r="J1114"/>
    </x:row>
    <x:row r="1115">
      <x:c r="A1115" t="str">
        <x:v>RD-72B419767B3E</x:v>
      </x:c>
      <x:c r="B1115"/>
      <x:c r="C1115"/>
      <x:c r="D1115"/>
      <x:c r="E1115"/>
      <x:c r="F1115"/>
      <x:c r="G1115"/>
      <x:c r="H1115"/>
      <x:c r="I1115"/>
      <x:c r="J1115"/>
    </x:row>
    <x:row r="1116">
      <x:c r="A1116" t="str">
        <x:v>RD-62945182C682</x:v>
      </x:c>
      <x:c r="B1116"/>
      <x:c r="C1116"/>
      <x:c r="D1116"/>
      <x:c r="E1116"/>
      <x:c r="F1116"/>
      <x:c r="G1116"/>
      <x:c r="H1116"/>
      <x:c r="I1116"/>
      <x:c r="J1116"/>
    </x:row>
    <x:row r="1117">
      <x:c r="A1117" t="str">
        <x:v>RD-CB97E3C313F0</x:v>
      </x:c>
      <x:c r="B1117"/>
      <x:c r="C1117"/>
      <x:c r="D1117"/>
      <x:c r="E1117"/>
      <x:c r="F1117"/>
      <x:c r="G1117"/>
      <x:c r="H1117"/>
      <x:c r="I1117"/>
      <x:c r="J1117"/>
    </x:row>
    <x:row r="1118">
      <x:c r="A1118" t="str">
        <x:v>RD-6AB04D34465D</x:v>
      </x:c>
      <x:c r="B1118"/>
      <x:c r="C1118"/>
      <x:c r="D1118"/>
      <x:c r="E1118"/>
      <x:c r="F1118"/>
      <x:c r="G1118"/>
      <x:c r="H1118"/>
      <x:c r="I1118"/>
      <x:c r="J1118"/>
    </x:row>
    <x:row r="1119">
      <x:c r="A1119" t="str">
        <x:v>RD-473CC2BDE94D</x:v>
      </x:c>
      <x:c r="B1119"/>
      <x:c r="C1119"/>
      <x:c r="D1119"/>
      <x:c r="E1119"/>
      <x:c r="F1119"/>
      <x:c r="G1119"/>
      <x:c r="H1119"/>
      <x:c r="I1119"/>
      <x:c r="J1119"/>
    </x:row>
    <x:row r="1120">
      <x:c r="A1120" t="str">
        <x:v>RD-E4FBFE2E0132</x:v>
      </x:c>
      <x:c r="B1120"/>
      <x:c r="C1120"/>
      <x:c r="D1120"/>
      <x:c r="E1120"/>
      <x:c r="F1120"/>
      <x:c r="G1120"/>
      <x:c r="H1120"/>
      <x:c r="I1120"/>
      <x:c r="J1120"/>
    </x:row>
    <x:row r="1121">
      <x:c r="A1121" t="str">
        <x:v>RD-BB8E931A82BA</x:v>
      </x:c>
      <x:c r="B1121"/>
      <x:c r="C1121"/>
      <x:c r="D1121"/>
      <x:c r="E1121"/>
      <x:c r="F1121"/>
      <x:c r="G1121"/>
      <x:c r="H1121"/>
      <x:c r="I1121"/>
      <x:c r="J1121"/>
    </x:row>
    <x:row r="1122">
      <x:c r="A1122" t="str">
        <x:v>RD-E4A2B1D8AF2F</x:v>
      </x:c>
      <x:c r="B1122"/>
      <x:c r="C1122"/>
      <x:c r="D1122"/>
      <x:c r="E1122"/>
      <x:c r="F1122"/>
      <x:c r="G1122"/>
      <x:c r="H1122"/>
      <x:c r="I1122"/>
      <x:c r="J1122"/>
    </x:row>
    <x:row r="1123">
      <x:c r="A1123" t="str">
        <x:v>RD-78C2CFD362E7</x:v>
      </x:c>
      <x:c r="B1123"/>
      <x:c r="C1123"/>
      <x:c r="D1123"/>
      <x:c r="E1123"/>
      <x:c r="F1123"/>
      <x:c r="G1123"/>
      <x:c r="H1123"/>
      <x:c r="I1123"/>
      <x:c r="J1123"/>
    </x:row>
    <x:row r="1124">
      <x:c r="A1124" t="str">
        <x:v>RD-DAFE27B6A2C4</x:v>
      </x:c>
      <x:c r="B1124"/>
      <x:c r="C1124"/>
      <x:c r="D1124"/>
      <x:c r="E1124"/>
      <x:c r="F1124"/>
      <x:c r="G1124"/>
      <x:c r="H1124"/>
      <x:c r="I1124"/>
      <x:c r="J1124"/>
    </x:row>
    <x:row r="1125">
      <x:c r="A1125" t="str">
        <x:v>RD-B5C5C2D84D5F</x:v>
      </x:c>
      <x:c r="B1125"/>
      <x:c r="C1125"/>
      <x:c r="D1125"/>
      <x:c r="E1125"/>
      <x:c r="F1125"/>
      <x:c r="G1125"/>
      <x:c r="H1125"/>
      <x:c r="I1125"/>
      <x:c r="J1125"/>
    </x:row>
    <x:row r="1126">
      <x:c r="A1126" t="str">
        <x:v>RD-017435157EDB</x:v>
      </x:c>
      <x:c r="B1126"/>
      <x:c r="C1126"/>
      <x:c r="D1126"/>
      <x:c r="E1126"/>
      <x:c r="F1126"/>
      <x:c r="G1126"/>
      <x:c r="H1126"/>
      <x:c r="I1126"/>
      <x:c r="J1126"/>
    </x:row>
    <x:row r="1127">
      <x:c r="A1127" t="str">
        <x:v>RD-597E7110C929</x:v>
      </x:c>
      <x:c r="B1127"/>
      <x:c r="C1127"/>
      <x:c r="D1127"/>
      <x:c r="E1127"/>
      <x:c r="F1127"/>
      <x:c r="G1127"/>
      <x:c r="H1127"/>
      <x:c r="I1127"/>
      <x:c r="J1127"/>
    </x:row>
    <x:row r="1128">
      <x:c r="A1128" t="str">
        <x:v>RD-A8648CCBC1B4</x:v>
      </x:c>
      <x:c r="B1128"/>
      <x:c r="C1128"/>
      <x:c r="D1128"/>
      <x:c r="E1128"/>
      <x:c r="F1128"/>
      <x:c r="G1128"/>
      <x:c r="H1128"/>
      <x:c r="I1128"/>
      <x:c r="J1128"/>
    </x:row>
    <x:row r="1129">
      <x:c r="A1129" t="str">
        <x:v>RD-4188A7C7EB5B</x:v>
      </x:c>
      <x:c r="B1129"/>
      <x:c r="C1129"/>
      <x:c r="D1129"/>
      <x:c r="E1129"/>
      <x:c r="F1129"/>
      <x:c r="G1129"/>
      <x:c r="H1129"/>
      <x:c r="I1129"/>
      <x:c r="J1129"/>
    </x:row>
    <x:row r="1130">
      <x:c r="A1130" t="str">
        <x:v>RD-DFA672CF42FE</x:v>
      </x:c>
      <x:c r="B1130"/>
      <x:c r="C1130"/>
      <x:c r="D1130"/>
      <x:c r="E1130"/>
      <x:c r="F1130"/>
      <x:c r="G1130"/>
      <x:c r="H1130"/>
      <x:c r="I1130"/>
      <x:c r="J1130"/>
    </x:row>
    <x:row r="1131">
      <x:c r="A1131" t="str">
        <x:v>RD-EFA521F40E61</x:v>
      </x:c>
      <x:c r="B1131"/>
      <x:c r="C1131"/>
      <x:c r="D1131"/>
      <x:c r="E1131"/>
      <x:c r="F1131"/>
      <x:c r="G1131"/>
      <x:c r="H1131"/>
      <x:c r="I1131"/>
      <x:c r="J1131"/>
    </x:row>
    <x:row r="1132">
      <x:c r="A1132" t="str">
        <x:v>RD-A5056A4DFFD4</x:v>
      </x:c>
      <x:c r="B1132"/>
      <x:c r="C1132"/>
      <x:c r="D1132"/>
      <x:c r="E1132"/>
      <x:c r="F1132"/>
      <x:c r="G1132"/>
      <x:c r="H1132"/>
      <x:c r="I1132"/>
      <x:c r="J1132"/>
    </x:row>
    <x:row r="1133">
      <x:c r="A1133" t="str">
        <x:v>RD-C2CA6821E362</x:v>
      </x:c>
      <x:c r="B1133"/>
      <x:c r="C1133"/>
      <x:c r="D1133"/>
      <x:c r="E1133"/>
      <x:c r="F1133"/>
      <x:c r="G1133"/>
      <x:c r="H1133"/>
      <x:c r="I1133"/>
      <x:c r="J1133"/>
    </x:row>
    <x:row r="1134">
      <x:c r="A1134" t="str">
        <x:v>RD-8DBD34774A82</x:v>
      </x:c>
      <x:c r="B1134"/>
      <x:c r="C1134"/>
      <x:c r="D1134"/>
      <x:c r="E1134"/>
      <x:c r="F1134"/>
      <x:c r="G1134"/>
      <x:c r="H1134"/>
      <x:c r="I1134"/>
      <x:c r="J1134"/>
    </x:row>
    <x:row r="1135">
      <x:c r="A1135" t="str">
        <x:v>RD-2E22E84CA8BF</x:v>
      </x:c>
      <x:c r="B1135"/>
      <x:c r="C1135"/>
      <x:c r="D1135"/>
      <x:c r="E1135"/>
      <x:c r="F1135"/>
      <x:c r="G1135"/>
      <x:c r="H1135"/>
      <x:c r="I1135"/>
      <x:c r="J1135"/>
    </x:row>
    <x:row r="1136">
      <x:c r="A1136" t="str">
        <x:v>RD-6463DE27E61C</x:v>
      </x:c>
      <x:c r="B1136"/>
      <x:c r="C1136"/>
      <x:c r="D1136"/>
      <x:c r="E1136"/>
      <x:c r="F1136"/>
      <x:c r="G1136"/>
      <x:c r="H1136"/>
      <x:c r="I1136"/>
      <x:c r="J1136"/>
    </x:row>
    <x:row r="1137">
      <x:c r="A1137" t="str">
        <x:v>RD-9A07D65FD750</x:v>
      </x:c>
      <x:c r="B1137"/>
      <x:c r="C1137"/>
      <x:c r="D1137"/>
      <x:c r="E1137"/>
      <x:c r="F1137"/>
      <x:c r="G1137"/>
      <x:c r="H1137"/>
      <x:c r="I1137"/>
      <x:c r="J1137"/>
    </x:row>
    <x:row r="1138">
      <x:c r="A1138" t="str">
        <x:v>RD-13C127D76770</x:v>
      </x:c>
      <x:c r="B1138"/>
      <x:c r="C1138"/>
      <x:c r="D1138"/>
      <x:c r="E1138"/>
      <x:c r="F1138"/>
      <x:c r="G1138"/>
      <x:c r="H1138"/>
      <x:c r="I1138"/>
      <x:c r="J1138"/>
    </x:row>
    <x:row r="1139">
      <x:c r="A1139" t="str">
        <x:v>RD-FB4CB6BEC474</x:v>
      </x:c>
      <x:c r="B1139"/>
      <x:c r="C1139"/>
      <x:c r="D1139"/>
      <x:c r="E1139"/>
      <x:c r="F1139"/>
      <x:c r="G1139"/>
      <x:c r="H1139"/>
      <x:c r="I1139"/>
      <x:c r="J1139"/>
    </x:row>
    <x:row r="1140">
      <x:c r="A1140" t="str">
        <x:v>RD-B61C04B50053</x:v>
      </x:c>
      <x:c r="B1140"/>
      <x:c r="C1140"/>
      <x:c r="D1140"/>
      <x:c r="E1140"/>
      <x:c r="F1140"/>
      <x:c r="G1140"/>
      <x:c r="H1140"/>
      <x:c r="I1140"/>
      <x:c r="J1140"/>
    </x:row>
    <x:row r="1141">
      <x:c r="A1141" t="str">
        <x:v>RD-52FB8AE328C2</x:v>
      </x:c>
      <x:c r="B1141"/>
      <x:c r="C1141"/>
      <x:c r="D1141"/>
      <x:c r="E1141"/>
      <x:c r="F1141"/>
      <x:c r="G1141"/>
      <x:c r="H1141"/>
      <x:c r="I1141"/>
      <x:c r="J1141"/>
    </x:row>
    <x:row r="1142">
      <x:c r="A1142" t="str">
        <x:v>RD-4E94A0284AAB</x:v>
      </x:c>
      <x:c r="B1142"/>
      <x:c r="C1142"/>
      <x:c r="D1142"/>
      <x:c r="E1142"/>
      <x:c r="F1142"/>
      <x:c r="G1142"/>
      <x:c r="H1142"/>
      <x:c r="I1142"/>
      <x:c r="J1142"/>
    </x:row>
    <x:row r="1143">
      <x:c r="A1143" t="str">
        <x:v>RD-71F6B179329D</x:v>
      </x:c>
      <x:c r="B1143"/>
      <x:c r="C1143"/>
      <x:c r="D1143"/>
      <x:c r="E1143"/>
      <x:c r="F1143"/>
      <x:c r="G1143"/>
      <x:c r="H1143"/>
      <x:c r="I1143"/>
      <x:c r="J1143"/>
    </x:row>
    <x:row r="1144">
      <x:c r="A1144" t="str">
        <x:v>RD-7FC1B226586D</x:v>
      </x:c>
      <x:c r="B1144"/>
      <x:c r="C1144"/>
      <x:c r="D1144"/>
      <x:c r="E1144"/>
      <x:c r="F1144"/>
      <x:c r="G1144"/>
      <x:c r="H1144"/>
      <x:c r="I1144"/>
      <x:c r="J1144"/>
    </x:row>
    <x:row r="1145">
      <x:c r="A1145" t="str">
        <x:v>RD-F30CA69C6E4A</x:v>
      </x:c>
      <x:c r="B1145"/>
      <x:c r="C1145"/>
      <x:c r="D1145"/>
      <x:c r="E1145"/>
      <x:c r="F1145"/>
      <x:c r="G1145"/>
      <x:c r="H1145"/>
      <x:c r="I1145"/>
      <x:c r="J1145"/>
    </x:row>
    <x:row r="1146">
      <x:c r="A1146" t="str">
        <x:v>RD-51321A0D8BEE</x:v>
      </x:c>
      <x:c r="B1146"/>
      <x:c r="C1146"/>
      <x:c r="D1146"/>
      <x:c r="E1146"/>
      <x:c r="F1146"/>
      <x:c r="G1146"/>
      <x:c r="H1146"/>
      <x:c r="I1146"/>
      <x:c r="J1146"/>
    </x:row>
    <x:row r="1147">
      <x:c r="A1147" t="str">
        <x:v>RD-D0A4631C1A4F</x:v>
      </x:c>
      <x:c r="B1147"/>
      <x:c r="C1147"/>
      <x:c r="D1147"/>
      <x:c r="E1147"/>
      <x:c r="F1147"/>
      <x:c r="G1147"/>
      <x:c r="H1147"/>
      <x:c r="I1147"/>
      <x:c r="J1147"/>
    </x:row>
    <x:row r="1148">
      <x:c r="A1148" t="str">
        <x:v>RD-5D88AA01845D</x:v>
      </x:c>
      <x:c r="B1148"/>
      <x:c r="C1148"/>
      <x:c r="D1148"/>
      <x:c r="E1148"/>
      <x:c r="F1148"/>
      <x:c r="G1148"/>
      <x:c r="H1148"/>
      <x:c r="I1148"/>
      <x:c r="J1148"/>
    </x:row>
    <x:row r="1149">
      <x:c r="A1149" t="str">
        <x:v>RD-DF67C7E5C342</x:v>
      </x:c>
      <x:c r="B1149"/>
      <x:c r="C1149"/>
      <x:c r="D1149"/>
      <x:c r="E1149"/>
      <x:c r="F1149"/>
      <x:c r="G1149"/>
      <x:c r="H1149"/>
      <x:c r="I1149"/>
      <x:c r="J1149"/>
    </x:row>
    <x:row r="1150">
      <x:c r="A1150" t="str">
        <x:v>RD-EE7BCC89661B</x:v>
      </x:c>
      <x:c r="B1150"/>
      <x:c r="C1150"/>
      <x:c r="D1150"/>
      <x:c r="E1150"/>
      <x:c r="F1150"/>
      <x:c r="G1150"/>
      <x:c r="H1150"/>
      <x:c r="I1150"/>
      <x:c r="J1150"/>
    </x:row>
    <x:row r="1151">
      <x:c r="A1151" t="str">
        <x:v>RD-3046C93387BC</x:v>
      </x:c>
      <x:c r="B1151"/>
      <x:c r="C1151"/>
      <x:c r="D1151"/>
      <x:c r="E1151"/>
      <x:c r="F1151"/>
      <x:c r="G1151"/>
      <x:c r="H1151"/>
      <x:c r="I1151"/>
      <x:c r="J1151"/>
    </x:row>
    <x:row r="1152">
      <x:c r="A1152" t="str">
        <x:v>RD-B7E9DA5D3848</x:v>
      </x:c>
      <x:c r="B1152"/>
      <x:c r="C1152"/>
      <x:c r="D1152"/>
      <x:c r="E1152"/>
      <x:c r="F1152"/>
      <x:c r="G1152"/>
      <x:c r="H1152"/>
      <x:c r="I1152"/>
      <x:c r="J1152"/>
    </x:row>
    <x:row r="1153">
      <x:c r="A1153" t="str">
        <x:v>RD-545542F0BE15</x:v>
      </x:c>
      <x:c r="B1153"/>
      <x:c r="C1153"/>
      <x:c r="D1153"/>
      <x:c r="E1153"/>
      <x:c r="F1153"/>
      <x:c r="G1153"/>
      <x:c r="H1153"/>
      <x:c r="I1153"/>
      <x:c r="J1153"/>
    </x:row>
    <x:row r="1154">
      <x:c r="A1154" t="str">
        <x:v>RD-692EEF59F584</x:v>
      </x:c>
      <x:c r="B1154"/>
      <x:c r="C1154"/>
      <x:c r="D1154"/>
      <x:c r="E1154"/>
      <x:c r="F1154"/>
      <x:c r="G1154"/>
      <x:c r="H1154"/>
      <x:c r="I1154"/>
      <x:c r="J1154"/>
    </x:row>
    <x:row r="1155">
      <x:c r="A1155" t="str">
        <x:v>RD-67AB79305A47</x:v>
      </x:c>
      <x:c r="B1155"/>
      <x:c r="C1155"/>
      <x:c r="D1155"/>
      <x:c r="E1155"/>
      <x:c r="F1155"/>
      <x:c r="G1155"/>
      <x:c r="H1155"/>
      <x:c r="I1155"/>
      <x:c r="J1155"/>
    </x:row>
    <x:row r="1156">
      <x:c r="A1156" t="str">
        <x:v>RD-DA57ABF14ABE</x:v>
      </x:c>
      <x:c r="B1156"/>
      <x:c r="C1156"/>
      <x:c r="D1156"/>
      <x:c r="E1156"/>
      <x:c r="F1156"/>
      <x:c r="G1156"/>
      <x:c r="H1156"/>
      <x:c r="I1156"/>
      <x:c r="J1156"/>
    </x:row>
    <x:row r="1157">
      <x:c r="A1157" t="str">
        <x:v>RD-7F0FC28373C9</x:v>
      </x:c>
      <x:c r="B1157"/>
      <x:c r="C1157"/>
      <x:c r="D1157"/>
      <x:c r="E1157"/>
      <x:c r="F1157"/>
      <x:c r="G1157"/>
      <x:c r="H1157"/>
      <x:c r="I1157"/>
      <x:c r="J1157"/>
    </x:row>
    <x:row r="1158">
      <x:c r="A1158" t="str">
        <x:v>RD-A13F65F09DF5</x:v>
      </x:c>
      <x:c r="B1158"/>
      <x:c r="C1158"/>
      <x:c r="D1158"/>
      <x:c r="E1158"/>
      <x:c r="F1158"/>
      <x:c r="G1158"/>
      <x:c r="H1158"/>
      <x:c r="I1158"/>
      <x:c r="J1158"/>
    </x:row>
    <x:row r="1159">
      <x:c r="A1159" t="str">
        <x:v>RD-C1F8C72B4B3E</x:v>
      </x:c>
      <x:c r="B1159"/>
      <x:c r="C1159"/>
      <x:c r="D1159"/>
      <x:c r="E1159"/>
      <x:c r="F1159"/>
      <x:c r="G1159"/>
      <x:c r="H1159"/>
      <x:c r="I1159"/>
      <x:c r="J1159"/>
    </x:row>
    <x:row r="1160">
      <x:c r="A1160" t="str">
        <x:v>RD-0F546A90B8FC</x:v>
      </x:c>
      <x:c r="B1160"/>
      <x:c r="C1160"/>
      <x:c r="D1160"/>
      <x:c r="E1160"/>
      <x:c r="F1160"/>
      <x:c r="G1160"/>
      <x:c r="H1160"/>
      <x:c r="I1160"/>
      <x:c r="J1160"/>
    </x:row>
    <x:row r="1161">
      <x:c r="A1161" t="str">
        <x:v>RD-6D702B569583</x:v>
      </x:c>
      <x:c r="B1161"/>
      <x:c r="C1161"/>
      <x:c r="D1161"/>
      <x:c r="E1161"/>
      <x:c r="F1161"/>
      <x:c r="G1161"/>
      <x:c r="H1161"/>
      <x:c r="I1161"/>
      <x:c r="J1161"/>
    </x:row>
    <x:row r="1162">
      <x:c r="A1162" t="str">
        <x:v>RD-5EE7538B1FBA</x:v>
      </x:c>
      <x:c r="B1162"/>
      <x:c r="C1162"/>
      <x:c r="D1162"/>
      <x:c r="E1162"/>
      <x:c r="F1162"/>
      <x:c r="G1162"/>
      <x:c r="H1162"/>
      <x:c r="I1162"/>
      <x:c r="J1162"/>
    </x:row>
    <x:row r="1163">
      <x:c r="A1163" t="str">
        <x:v>RD-1205B1470CCF</x:v>
      </x:c>
      <x:c r="B1163"/>
      <x:c r="C1163"/>
      <x:c r="D1163"/>
      <x:c r="E1163"/>
      <x:c r="F1163"/>
      <x:c r="G1163"/>
      <x:c r="H1163"/>
      <x:c r="I1163"/>
      <x:c r="J1163"/>
    </x:row>
    <x:row r="1164">
      <x:c r="A1164" t="str">
        <x:v>RD-11A5A4DD23E8</x:v>
      </x:c>
      <x:c r="B1164"/>
      <x:c r="C1164"/>
      <x:c r="D1164"/>
      <x:c r="E1164"/>
      <x:c r="F1164"/>
      <x:c r="G1164"/>
      <x:c r="H1164"/>
      <x:c r="I1164"/>
      <x:c r="J1164"/>
    </x:row>
    <x:row r="1165">
      <x:c r="A1165" t="str">
        <x:v>RD-D67E65B361F8</x:v>
      </x:c>
      <x:c r="B1165"/>
      <x:c r="C1165"/>
      <x:c r="D1165"/>
      <x:c r="E1165"/>
      <x:c r="F1165"/>
      <x:c r="G1165"/>
      <x:c r="H1165"/>
      <x:c r="I1165"/>
      <x:c r="J1165"/>
    </x:row>
    <x:row r="1166">
      <x:c r="A1166" t="str">
        <x:v>RD-9CC8D1ED638E</x:v>
      </x:c>
      <x:c r="B1166"/>
      <x:c r="C1166"/>
      <x:c r="D1166"/>
      <x:c r="E1166"/>
      <x:c r="F1166"/>
      <x:c r="G1166"/>
      <x:c r="H1166"/>
      <x:c r="I1166"/>
      <x:c r="J1166"/>
    </x:row>
    <x:row r="1167">
      <x:c r="A1167" t="str">
        <x:v>RD-D6967C7755F5</x:v>
      </x:c>
      <x:c r="B1167"/>
      <x:c r="C1167"/>
      <x:c r="D1167"/>
      <x:c r="E1167"/>
      <x:c r="F1167"/>
      <x:c r="G1167"/>
      <x:c r="H1167"/>
      <x:c r="I1167"/>
      <x:c r="J1167"/>
    </x:row>
    <x:row r="1168">
      <x:c r="A1168" t="str">
        <x:v>RD-19002123278D</x:v>
      </x:c>
      <x:c r="B1168"/>
      <x:c r="C1168"/>
      <x:c r="D1168"/>
      <x:c r="E1168"/>
      <x:c r="F1168"/>
      <x:c r="G1168"/>
      <x:c r="H1168"/>
      <x:c r="I1168"/>
      <x:c r="J1168"/>
    </x:row>
    <x:row r="1169">
      <x:c r="A1169" t="str">
        <x:v>RD-39F472A7EFFD</x:v>
      </x:c>
      <x:c r="B1169"/>
      <x:c r="C1169"/>
      <x:c r="D1169"/>
      <x:c r="E1169"/>
      <x:c r="F1169"/>
      <x:c r="G1169"/>
      <x:c r="H1169"/>
      <x:c r="I1169"/>
      <x:c r="J1169"/>
    </x:row>
    <x:row r="1170">
      <x:c r="A1170" t="str">
        <x:v>RD-FE28361AC465</x:v>
      </x:c>
      <x:c r="B1170"/>
      <x:c r="C1170"/>
      <x:c r="D1170"/>
      <x:c r="E1170"/>
      <x:c r="F1170"/>
      <x:c r="G1170"/>
      <x:c r="H1170"/>
      <x:c r="I1170"/>
      <x:c r="J1170"/>
    </x:row>
    <x:row r="1171">
      <x:c r="A1171" t="str">
        <x:v>RD-0EE0BDECBA1A</x:v>
      </x:c>
      <x:c r="B1171"/>
      <x:c r="C1171"/>
      <x:c r="D1171"/>
      <x:c r="E1171"/>
      <x:c r="F1171"/>
      <x:c r="G1171"/>
      <x:c r="H1171"/>
      <x:c r="I1171"/>
      <x:c r="J1171"/>
    </x:row>
    <x:row r="1172">
      <x:c r="A1172" t="str">
        <x:v>RD-C2A3E495D20A</x:v>
      </x:c>
      <x:c r="B1172"/>
      <x:c r="C1172"/>
      <x:c r="D1172"/>
      <x:c r="E1172"/>
      <x:c r="F1172"/>
      <x:c r="G1172"/>
      <x:c r="H1172"/>
      <x:c r="I1172"/>
      <x:c r="J1172"/>
    </x:row>
    <x:row r="1173">
      <x:c r="A1173" t="str">
        <x:v>RD-BF4FFA79B1E3</x:v>
      </x:c>
      <x:c r="B1173"/>
      <x:c r="C1173"/>
      <x:c r="D1173"/>
      <x:c r="E1173"/>
      <x:c r="F1173"/>
      <x:c r="G1173"/>
      <x:c r="H1173"/>
      <x:c r="I1173"/>
      <x:c r="J1173"/>
    </x:row>
    <x:row r="1174">
      <x:c r="A1174" t="str">
        <x:v>RD-A464BF193700</x:v>
      </x:c>
      <x:c r="B1174"/>
      <x:c r="C1174"/>
      <x:c r="D1174"/>
      <x:c r="E1174"/>
      <x:c r="F1174"/>
      <x:c r="G1174"/>
      <x:c r="H1174"/>
      <x:c r="I1174"/>
      <x:c r="J1174"/>
    </x:row>
    <x:row r="1175">
      <x:c r="A1175" t="str">
        <x:v>RD-461F604CA0B6</x:v>
      </x:c>
      <x:c r="B1175"/>
      <x:c r="C1175"/>
      <x:c r="D1175"/>
      <x:c r="E1175"/>
      <x:c r="F1175"/>
      <x:c r="G1175"/>
      <x:c r="H1175"/>
      <x:c r="I1175"/>
      <x:c r="J1175"/>
    </x:row>
    <x:row r="1176">
      <x:c r="A1176" t="str">
        <x:v>RD-749914C3B3F4</x:v>
      </x:c>
      <x:c r="B1176"/>
      <x:c r="C1176"/>
      <x:c r="D1176"/>
      <x:c r="E1176"/>
      <x:c r="F1176"/>
      <x:c r="G1176"/>
      <x:c r="H1176"/>
      <x:c r="I1176"/>
      <x:c r="J1176"/>
    </x:row>
    <x:row r="1177">
      <x:c r="A1177" t="str">
        <x:v>RD-517DCA21E1B1</x:v>
      </x:c>
      <x:c r="B1177"/>
      <x:c r="C1177"/>
      <x:c r="D1177"/>
      <x:c r="E1177"/>
      <x:c r="F1177"/>
      <x:c r="G1177"/>
      <x:c r="H1177"/>
      <x:c r="I1177"/>
      <x:c r="J1177"/>
    </x:row>
    <x:row r="1178">
      <x:c r="A1178" t="str">
        <x:v>RD-80F5A1A07DBE</x:v>
      </x:c>
      <x:c r="B1178"/>
      <x:c r="C1178"/>
      <x:c r="D1178"/>
      <x:c r="E1178"/>
      <x:c r="F1178"/>
      <x:c r="G1178"/>
      <x:c r="H1178"/>
      <x:c r="I1178"/>
      <x:c r="J1178"/>
    </x:row>
    <x:row r="1179">
      <x:c r="A1179" t="str">
        <x:v>RD-6484255E2A82</x:v>
      </x:c>
      <x:c r="B1179"/>
      <x:c r="C1179"/>
      <x:c r="D1179"/>
      <x:c r="E1179"/>
      <x:c r="F1179"/>
      <x:c r="G1179"/>
      <x:c r="H1179"/>
      <x:c r="I1179"/>
      <x:c r="J1179"/>
    </x:row>
    <x:row r="1180">
      <x:c r="A1180" t="str">
        <x:v>RD-9C097FA40B8C</x:v>
      </x:c>
      <x:c r="B1180"/>
      <x:c r="C1180"/>
      <x:c r="D1180"/>
      <x:c r="E1180"/>
      <x:c r="F1180"/>
      <x:c r="G1180"/>
      <x:c r="H1180"/>
      <x:c r="I1180"/>
      <x:c r="J1180"/>
    </x:row>
    <x:row r="1181">
      <x:c r="A1181" t="str">
        <x:v>RD-6660158A0490</x:v>
      </x:c>
      <x:c r="B1181"/>
      <x:c r="C1181"/>
      <x:c r="D1181"/>
      <x:c r="E1181"/>
      <x:c r="F1181"/>
      <x:c r="G1181"/>
      <x:c r="H1181"/>
      <x:c r="I1181"/>
      <x:c r="J1181"/>
    </x:row>
    <x:row r="1182">
      <x:c r="A1182" t="str">
        <x:v>RD-532E4A96461E</x:v>
      </x:c>
      <x:c r="B1182"/>
      <x:c r="C1182"/>
      <x:c r="D1182"/>
      <x:c r="E1182"/>
      <x:c r="F1182"/>
      <x:c r="G1182"/>
      <x:c r="H1182"/>
      <x:c r="I1182"/>
      <x:c r="J1182"/>
    </x:row>
    <x:row r="1183">
      <x:c r="A1183" t="str">
        <x:v>RD-9DA886F36A59</x:v>
      </x:c>
      <x:c r="B1183"/>
      <x:c r="C1183"/>
      <x:c r="D1183"/>
      <x:c r="E1183"/>
      <x:c r="F1183"/>
      <x:c r="G1183"/>
      <x:c r="H1183"/>
      <x:c r="I1183"/>
      <x:c r="J1183"/>
    </x:row>
    <x:row r="1184">
      <x:c r="A1184" t="str">
        <x:v>RD-B353782AF356</x:v>
      </x:c>
      <x:c r="B1184"/>
      <x:c r="C1184"/>
      <x:c r="D1184"/>
      <x:c r="E1184"/>
      <x:c r="F1184"/>
      <x:c r="G1184"/>
      <x:c r="H1184"/>
      <x:c r="I1184"/>
      <x:c r="J1184"/>
    </x:row>
    <x:row r="1185">
      <x:c r="A1185" t="str">
        <x:v>RD-272DC6AC5197</x:v>
      </x:c>
      <x:c r="B1185"/>
      <x:c r="C1185"/>
      <x:c r="D1185"/>
      <x:c r="E1185"/>
      <x:c r="F1185"/>
      <x:c r="G1185"/>
      <x:c r="H1185"/>
      <x:c r="I1185"/>
      <x:c r="J1185"/>
    </x:row>
    <x:row r="1186">
      <x:c r="A1186" t="str">
        <x:v>RD-81886C51AFBF</x:v>
      </x:c>
      <x:c r="B1186"/>
      <x:c r="C1186"/>
      <x:c r="D1186"/>
      <x:c r="E1186"/>
      <x:c r="F1186"/>
      <x:c r="G1186"/>
      <x:c r="H1186"/>
      <x:c r="I1186"/>
      <x:c r="J1186"/>
    </x:row>
    <x:row r="1187">
      <x:c r="A1187" t="str">
        <x:v>RD-C5D799D5412E</x:v>
      </x:c>
      <x:c r="B1187"/>
      <x:c r="C1187"/>
      <x:c r="D1187"/>
      <x:c r="E1187"/>
      <x:c r="F1187"/>
      <x:c r="G1187"/>
      <x:c r="H1187"/>
      <x:c r="I1187"/>
      <x:c r="J1187"/>
    </x:row>
    <x:row r="1188">
      <x:c r="A1188" t="str">
        <x:v>RD-EBA4ED411DD2</x:v>
      </x:c>
      <x:c r="B1188"/>
      <x:c r="C1188"/>
      <x:c r="D1188"/>
      <x:c r="E1188"/>
      <x:c r="F1188"/>
      <x:c r="G1188"/>
      <x:c r="H1188"/>
      <x:c r="I1188"/>
      <x:c r="J1188"/>
    </x:row>
    <x:row r="1189">
      <x:c r="A1189" t="str">
        <x:v>RD-5C197FBC95B7</x:v>
      </x:c>
      <x:c r="B1189"/>
      <x:c r="C1189"/>
      <x:c r="D1189"/>
      <x:c r="E1189"/>
      <x:c r="F1189"/>
      <x:c r="G1189"/>
      <x:c r="H1189"/>
      <x:c r="I1189"/>
      <x:c r="J1189"/>
    </x:row>
    <x:row r="1190">
      <x:c r="A1190" t="str">
        <x:v>RD-7FE6777A8D06</x:v>
      </x:c>
      <x:c r="B1190"/>
      <x:c r="C1190"/>
      <x:c r="D1190"/>
      <x:c r="E1190"/>
      <x:c r="F1190"/>
      <x:c r="G1190"/>
      <x:c r="H1190"/>
      <x:c r="I1190"/>
      <x:c r="J1190"/>
    </x:row>
    <x:row r="1191">
      <x:c r="A1191" t="str">
        <x:v>RD-F8EB087DC1BB</x:v>
      </x:c>
      <x:c r="B1191"/>
      <x:c r="C1191"/>
      <x:c r="D1191"/>
      <x:c r="E1191"/>
      <x:c r="F1191"/>
      <x:c r="G1191"/>
      <x:c r="H1191"/>
      <x:c r="I1191"/>
      <x:c r="J1191"/>
    </x:row>
    <x:row r="1192">
      <x:c r="A1192" t="str">
        <x:v>RD-C8E64EF5145F</x:v>
      </x:c>
      <x:c r="B1192"/>
      <x:c r="C1192"/>
      <x:c r="D1192"/>
      <x:c r="E1192"/>
      <x:c r="F1192"/>
      <x:c r="G1192"/>
      <x:c r="H1192"/>
      <x:c r="I1192"/>
      <x:c r="J1192"/>
    </x:row>
    <x:row r="1193">
      <x:c r="A1193" t="str">
        <x:v>RD-838BC9B39843</x:v>
      </x:c>
      <x:c r="B1193"/>
      <x:c r="C1193"/>
      <x:c r="D1193"/>
      <x:c r="E1193"/>
      <x:c r="F1193"/>
      <x:c r="G1193"/>
      <x:c r="H1193"/>
      <x:c r="I1193"/>
      <x:c r="J1193"/>
    </x:row>
    <x:row r="1194">
      <x:c r="A1194" t="str">
        <x:v>RD-5ECDC59229DC</x:v>
      </x:c>
      <x:c r="B1194"/>
      <x:c r="C1194"/>
      <x:c r="D1194"/>
      <x:c r="E1194"/>
      <x:c r="F1194"/>
      <x:c r="G1194"/>
      <x:c r="H1194"/>
      <x:c r="I1194"/>
      <x:c r="J1194"/>
    </x:row>
    <x:row r="1195">
      <x:c r="A1195" t="str">
        <x:v>RD-1FA8FDDF3E45</x:v>
      </x:c>
      <x:c r="B1195"/>
      <x:c r="C1195"/>
      <x:c r="D1195"/>
      <x:c r="E1195"/>
      <x:c r="F1195"/>
      <x:c r="G1195"/>
      <x:c r="H1195"/>
      <x:c r="I1195"/>
      <x:c r="J1195"/>
    </x:row>
    <x:row r="1196">
      <x:c r="A1196" t="str">
        <x:v>RD-4D08386880F9</x:v>
      </x:c>
      <x:c r="B1196"/>
      <x:c r="C1196"/>
      <x:c r="D1196"/>
      <x:c r="E1196"/>
      <x:c r="F1196"/>
      <x:c r="G1196"/>
      <x:c r="H1196"/>
      <x:c r="I1196"/>
      <x:c r="J1196"/>
    </x:row>
    <x:row r="1197">
      <x:c r="A1197" t="str">
        <x:v>RD-B976E8473A4D</x:v>
      </x:c>
      <x:c r="B1197"/>
      <x:c r="C1197"/>
      <x:c r="D1197"/>
      <x:c r="E1197"/>
      <x:c r="F1197"/>
      <x:c r="G1197"/>
      <x:c r="H1197"/>
      <x:c r="I1197"/>
      <x:c r="J1197"/>
    </x:row>
    <x:row r="1198">
      <x:c r="A1198" t="str">
        <x:v>RD-02764C55D9BA</x:v>
      </x:c>
      <x:c r="B1198"/>
      <x:c r="C1198"/>
      <x:c r="D1198"/>
      <x:c r="E1198"/>
      <x:c r="F1198"/>
      <x:c r="G1198"/>
      <x:c r="H1198"/>
      <x:c r="I1198"/>
      <x:c r="J1198"/>
    </x:row>
    <x:row r="1199">
      <x:c r="A1199" t="str">
        <x:v>RD-B1BB16E85993</x:v>
      </x:c>
      <x:c r="B1199"/>
      <x:c r="C1199"/>
      <x:c r="D1199"/>
      <x:c r="E1199"/>
      <x:c r="F1199"/>
      <x:c r="G1199"/>
      <x:c r="H1199"/>
      <x:c r="I1199"/>
      <x:c r="J1199"/>
    </x:row>
    <x:row r="1200">
      <x:c r="A1200" t="str">
        <x:v>RD-B5D2701EAED1</x:v>
      </x:c>
      <x:c r="B1200"/>
      <x:c r="C1200"/>
      <x:c r="D1200"/>
      <x:c r="E1200"/>
      <x:c r="F1200"/>
      <x:c r="G1200"/>
      <x:c r="H1200"/>
      <x:c r="I1200"/>
      <x:c r="J1200"/>
    </x:row>
    <x:row r="1201">
      <x:c r="A1201" t="str">
        <x:v>RD-B2970312480F</x:v>
      </x:c>
      <x:c r="B1201"/>
      <x:c r="C1201"/>
      <x:c r="D1201"/>
      <x:c r="E1201"/>
      <x:c r="F1201"/>
      <x:c r="G1201"/>
      <x:c r="H1201"/>
      <x:c r="I1201"/>
      <x:c r="J1201"/>
    </x:row>
    <x:row r="1202">
      <x:c r="A1202" t="str">
        <x:v>RD-4403F22626A9</x:v>
      </x:c>
      <x:c r="B1202"/>
      <x:c r="C1202"/>
      <x:c r="D1202"/>
      <x:c r="E1202"/>
      <x:c r="F1202"/>
      <x:c r="G1202"/>
      <x:c r="H1202"/>
      <x:c r="I1202"/>
      <x:c r="J1202"/>
    </x:row>
    <x:row r="1203">
      <x:c r="A1203" t="str">
        <x:v>RD-B916BFE12D5D</x:v>
      </x:c>
      <x:c r="B1203"/>
      <x:c r="C1203"/>
      <x:c r="D1203"/>
      <x:c r="E1203"/>
      <x:c r="F1203"/>
      <x:c r="G1203"/>
      <x:c r="H1203"/>
      <x:c r="I1203"/>
      <x:c r="J1203"/>
    </x:row>
    <x:row r="1204">
      <x:c r="A1204" t="str">
        <x:v>RD-6EC66EE729A6</x:v>
      </x:c>
      <x:c r="B1204"/>
      <x:c r="C1204"/>
      <x:c r="D1204"/>
      <x:c r="E1204"/>
      <x:c r="F1204"/>
      <x:c r="G1204"/>
      <x:c r="H1204"/>
      <x:c r="I1204"/>
      <x:c r="J1204"/>
    </x:row>
    <x:row r="1205">
      <x:c r="A1205" t="str">
        <x:v>RD-23C2049C027F</x:v>
      </x:c>
      <x:c r="B1205"/>
      <x:c r="C1205"/>
      <x:c r="D1205"/>
      <x:c r="E1205"/>
      <x:c r="F1205"/>
      <x:c r="G1205"/>
      <x:c r="H1205"/>
      <x:c r="I1205"/>
      <x:c r="J1205"/>
    </x:row>
    <x:row r="1206">
      <x:c r="A1206" t="str">
        <x:v>RD-F54ECB11B46C</x:v>
      </x:c>
      <x:c r="B1206"/>
      <x:c r="C1206"/>
      <x:c r="D1206"/>
      <x:c r="E1206"/>
      <x:c r="F1206"/>
      <x:c r="G1206"/>
      <x:c r="H1206"/>
      <x:c r="I1206"/>
      <x:c r="J1206"/>
    </x:row>
    <x:row r="1207">
      <x:c r="A1207" t="str">
        <x:v>RD-4A0CE46ED12F</x:v>
      </x:c>
      <x:c r="B1207"/>
      <x:c r="C1207"/>
      <x:c r="D1207"/>
      <x:c r="E1207"/>
      <x:c r="F1207"/>
      <x:c r="G1207"/>
      <x:c r="H1207"/>
      <x:c r="I1207"/>
      <x:c r="J1207"/>
    </x:row>
    <x:row r="1208">
      <x:c r="A1208" t="str">
        <x:v>RD-1D4DAA6DF732</x:v>
      </x:c>
      <x:c r="B1208"/>
      <x:c r="C1208"/>
      <x:c r="D1208"/>
      <x:c r="E1208"/>
      <x:c r="F1208"/>
      <x:c r="G1208"/>
      <x:c r="H1208"/>
      <x:c r="I1208"/>
      <x:c r="J1208"/>
    </x:row>
    <x:row r="1209">
      <x:c r="A1209" t="str">
        <x:v>RD-7F27466A47CE</x:v>
      </x:c>
      <x:c r="B1209"/>
      <x:c r="C1209"/>
      <x:c r="D1209"/>
      <x:c r="E1209"/>
      <x:c r="F1209"/>
      <x:c r="G1209"/>
      <x:c r="H1209"/>
      <x:c r="I1209"/>
      <x:c r="J1209"/>
    </x:row>
    <x:row r="1210">
      <x:c r="A1210" t="str">
        <x:v>RD-7577A44D9BA1</x:v>
      </x:c>
      <x:c r="B1210"/>
      <x:c r="C1210"/>
      <x:c r="D1210"/>
      <x:c r="E1210"/>
      <x:c r="F1210"/>
      <x:c r="G1210"/>
      <x:c r="H1210"/>
      <x:c r="I1210"/>
      <x:c r="J1210"/>
    </x:row>
    <x:row r="1211">
      <x:c r="A1211" t="str">
        <x:v>RD-24AC124BD1BE</x:v>
      </x:c>
      <x:c r="B1211"/>
      <x:c r="C1211"/>
      <x:c r="D1211"/>
      <x:c r="E1211"/>
      <x:c r="F1211"/>
      <x:c r="G1211"/>
      <x:c r="H1211"/>
      <x:c r="I1211"/>
      <x:c r="J1211"/>
    </x:row>
    <x:row r="1212">
      <x:c r="A1212" t="str">
        <x:v>RD-6CC26D5E46F3</x:v>
      </x:c>
      <x:c r="B1212"/>
      <x:c r="C1212"/>
      <x:c r="D1212"/>
      <x:c r="E1212"/>
      <x:c r="F1212"/>
      <x:c r="G1212"/>
      <x:c r="H1212"/>
      <x:c r="I1212"/>
      <x:c r="J1212"/>
    </x:row>
    <x:row r="1213">
      <x:c r="A1213" t="str">
        <x:v>RD-D42071D9A1AB</x:v>
      </x:c>
      <x:c r="B1213"/>
      <x:c r="C1213"/>
      <x:c r="D1213"/>
      <x:c r="E1213"/>
      <x:c r="F1213"/>
      <x:c r="G1213"/>
      <x:c r="H1213"/>
      <x:c r="I1213"/>
      <x:c r="J1213"/>
    </x:row>
    <x:row r="1214">
      <x:c r="A1214" t="str">
        <x:v>RD-918568D6576F</x:v>
      </x:c>
      <x:c r="B1214"/>
      <x:c r="C1214"/>
      <x:c r="D1214"/>
      <x:c r="E1214"/>
      <x:c r="F1214"/>
      <x:c r="G1214"/>
      <x:c r="H1214"/>
      <x:c r="I1214"/>
      <x:c r="J1214"/>
    </x:row>
    <x:row r="1215">
      <x:c r="A1215" t="str">
        <x:v>RD-71D73F134588</x:v>
      </x:c>
      <x:c r="B1215"/>
      <x:c r="C1215"/>
      <x:c r="D1215"/>
      <x:c r="E1215"/>
      <x:c r="F1215"/>
      <x:c r="G1215"/>
      <x:c r="H1215"/>
      <x:c r="I1215"/>
      <x:c r="J1215"/>
    </x:row>
    <x:row r="1216">
      <x:c r="A1216" t="str">
        <x:v>RD-7685E33A1DCC</x:v>
      </x:c>
      <x:c r="B1216"/>
      <x:c r="C1216"/>
      <x:c r="D1216"/>
      <x:c r="E1216"/>
      <x:c r="F1216"/>
      <x:c r="G1216"/>
      <x:c r="H1216"/>
      <x:c r="I1216"/>
      <x:c r="J1216"/>
    </x:row>
    <x:row r="1217">
      <x:c r="A1217" t="str">
        <x:v>RD-E06DC185008A</x:v>
      </x:c>
      <x:c r="B1217"/>
      <x:c r="C1217"/>
      <x:c r="D1217"/>
      <x:c r="E1217"/>
      <x:c r="F1217"/>
      <x:c r="G1217"/>
      <x:c r="H1217"/>
      <x:c r="I1217"/>
      <x:c r="J1217"/>
    </x:row>
    <x:row r="1218">
      <x:c r="A1218" t="str">
        <x:v>RD-ABD64EF8FEAF</x:v>
      </x:c>
      <x:c r="B1218"/>
      <x:c r="C1218"/>
      <x:c r="D1218"/>
      <x:c r="E1218"/>
      <x:c r="F1218"/>
      <x:c r="G1218"/>
      <x:c r="H1218"/>
      <x:c r="I1218"/>
      <x:c r="J1218"/>
    </x:row>
    <x:row r="1219">
      <x:c r="A1219" t="str">
        <x:v>RD-73E35CFC035E</x:v>
      </x:c>
      <x:c r="B1219"/>
      <x:c r="C1219"/>
      <x:c r="D1219"/>
      <x:c r="E1219"/>
      <x:c r="F1219"/>
      <x:c r="G1219"/>
      <x:c r="H1219"/>
      <x:c r="I1219"/>
      <x:c r="J1219"/>
    </x:row>
    <x:row r="1220">
      <x:c r="A1220" t="str">
        <x:v>RD-16AE321C5DB8</x:v>
      </x:c>
      <x:c r="B1220"/>
      <x:c r="C1220"/>
      <x:c r="D1220"/>
      <x:c r="E1220"/>
      <x:c r="F1220"/>
      <x:c r="G1220"/>
      <x:c r="H1220"/>
      <x:c r="I1220"/>
      <x:c r="J1220"/>
    </x:row>
    <x:row r="1221">
      <x:c r="A1221" t="str">
        <x:v>RD-59726DCCF989</x:v>
      </x:c>
      <x:c r="B1221"/>
      <x:c r="C1221"/>
      <x:c r="D1221"/>
      <x:c r="E1221"/>
      <x:c r="F1221"/>
      <x:c r="G1221"/>
      <x:c r="H1221"/>
      <x:c r="I1221"/>
      <x:c r="J1221"/>
    </x:row>
    <x:row r="1222">
      <x:c r="A1222" t="str">
        <x:v>RD-F0BA71A55E37</x:v>
      </x:c>
      <x:c r="B1222"/>
      <x:c r="C1222"/>
      <x:c r="D1222"/>
      <x:c r="E1222"/>
      <x:c r="F1222"/>
      <x:c r="G1222"/>
      <x:c r="H1222"/>
      <x:c r="I1222"/>
      <x:c r="J1222"/>
    </x:row>
    <x:row r="1223">
      <x:c r="A1223" t="str">
        <x:v>RD-1EF9EB7E1551</x:v>
      </x:c>
      <x:c r="B1223"/>
      <x:c r="C1223"/>
      <x:c r="D1223"/>
      <x:c r="E1223"/>
      <x:c r="F1223"/>
      <x:c r="G1223"/>
      <x:c r="H1223"/>
      <x:c r="I1223"/>
      <x:c r="J1223"/>
    </x:row>
    <x:row r="1224">
      <x:c r="A1224" t="str">
        <x:v>RD-C05777825C15</x:v>
      </x:c>
      <x:c r="B1224"/>
      <x:c r="C1224"/>
      <x:c r="D1224"/>
      <x:c r="E1224"/>
      <x:c r="F1224"/>
      <x:c r="G1224"/>
      <x:c r="H1224"/>
      <x:c r="I1224"/>
      <x:c r="J1224"/>
    </x:row>
    <x:row r="1225">
      <x:c r="A1225" t="str">
        <x:v>RD-3AA909DE63CC</x:v>
      </x:c>
      <x:c r="B1225"/>
      <x:c r="C1225"/>
      <x:c r="D1225"/>
      <x:c r="E1225"/>
      <x:c r="F1225"/>
      <x:c r="G1225"/>
      <x:c r="H1225"/>
      <x:c r="I1225"/>
      <x:c r="J1225"/>
    </x:row>
    <x:row r="1226">
      <x:c r="A1226" t="str">
        <x:v>RD-4B26FBF03037</x:v>
      </x:c>
      <x:c r="B1226"/>
      <x:c r="C1226"/>
      <x:c r="D1226"/>
      <x:c r="E1226"/>
      <x:c r="F1226"/>
      <x:c r="G1226"/>
      <x:c r="H1226"/>
      <x:c r="I1226"/>
      <x:c r="J1226"/>
    </x:row>
    <x:row r="1227">
      <x:c r="A1227" t="str">
        <x:v>RD-8B06235A848E</x:v>
      </x:c>
      <x:c r="B1227"/>
      <x:c r="C1227"/>
      <x:c r="D1227"/>
      <x:c r="E1227"/>
      <x:c r="F1227"/>
      <x:c r="G1227"/>
      <x:c r="H1227"/>
      <x:c r="I1227"/>
      <x:c r="J1227"/>
    </x:row>
    <x:row r="1228">
      <x:c r="A1228" t="str">
        <x:v>RD-4B6015BA6EB0</x:v>
      </x:c>
      <x:c r="B1228"/>
      <x:c r="C1228"/>
      <x:c r="D1228"/>
      <x:c r="E1228"/>
      <x:c r="F1228"/>
      <x:c r="G1228"/>
      <x:c r="H1228"/>
      <x:c r="I1228"/>
      <x:c r="J1228"/>
    </x:row>
    <x:row r="1229">
      <x:c r="A1229" t="str">
        <x:v>RD-51EE022BF686</x:v>
      </x:c>
      <x:c r="B1229"/>
      <x:c r="C1229"/>
      <x:c r="D1229"/>
      <x:c r="E1229"/>
      <x:c r="F1229"/>
      <x:c r="G1229"/>
      <x:c r="H1229"/>
      <x:c r="I1229"/>
      <x:c r="J1229"/>
    </x:row>
    <x:row r="1230">
      <x:c r="A1230" t="str">
        <x:v>RD-CDEBB01FE28D</x:v>
      </x:c>
      <x:c r="B1230"/>
      <x:c r="C1230"/>
      <x:c r="D1230"/>
      <x:c r="E1230"/>
      <x:c r="F1230"/>
      <x:c r="G1230"/>
      <x:c r="H1230"/>
      <x:c r="I1230"/>
      <x:c r="J1230"/>
    </x:row>
    <x:row r="1231">
      <x:c r="A1231" t="str">
        <x:v>RD-E40C8D6BB5BF</x:v>
      </x:c>
      <x:c r="B1231"/>
      <x:c r="C1231"/>
      <x:c r="D1231"/>
      <x:c r="E1231"/>
      <x:c r="F1231"/>
      <x:c r="G1231"/>
      <x:c r="H1231"/>
      <x:c r="I1231"/>
      <x:c r="J1231"/>
    </x:row>
    <x:row r="1232">
      <x:c r="A1232" t="str">
        <x:v>RD-F3F3BB089992</x:v>
      </x:c>
      <x:c r="B1232"/>
      <x:c r="C1232"/>
      <x:c r="D1232"/>
      <x:c r="E1232"/>
      <x:c r="F1232"/>
      <x:c r="G1232"/>
      <x:c r="H1232"/>
      <x:c r="I1232"/>
      <x:c r="J1232"/>
    </x:row>
    <x:row r="1233">
      <x:c r="A1233" t="str">
        <x:v>RD-EE877C7FA459</x:v>
      </x:c>
      <x:c r="B1233"/>
      <x:c r="C1233"/>
      <x:c r="D1233"/>
      <x:c r="E1233"/>
      <x:c r="F1233"/>
      <x:c r="G1233"/>
      <x:c r="H1233"/>
      <x:c r="I1233"/>
      <x:c r="J1233"/>
    </x:row>
    <x:row r="1234">
      <x:c r="A1234" t="str">
        <x:v>RD-AC8311A16016</x:v>
      </x:c>
      <x:c r="B1234"/>
      <x:c r="C1234"/>
      <x:c r="D1234"/>
      <x:c r="E1234"/>
      <x:c r="F1234"/>
      <x:c r="G1234"/>
      <x:c r="H1234"/>
      <x:c r="I1234"/>
      <x:c r="J1234"/>
    </x:row>
    <x:row r="1235">
      <x:c r="A1235" t="str">
        <x:v>RD-64C403733525</x:v>
      </x:c>
      <x:c r="B1235"/>
      <x:c r="C1235"/>
      <x:c r="D1235"/>
      <x:c r="E1235"/>
      <x:c r="F1235"/>
      <x:c r="G1235"/>
      <x:c r="H1235"/>
      <x:c r="I1235"/>
      <x:c r="J1235"/>
    </x:row>
    <x:row r="1236">
      <x:c r="A1236" t="str">
        <x:v>RD-0ECA493E9E1E</x:v>
      </x:c>
      <x:c r="B1236"/>
      <x:c r="C1236"/>
      <x:c r="D1236"/>
      <x:c r="E1236"/>
      <x:c r="F1236"/>
      <x:c r="G1236"/>
      <x:c r="H1236"/>
      <x:c r="I1236"/>
      <x:c r="J1236"/>
    </x:row>
    <x:row r="1237">
      <x:c r="A1237" t="str">
        <x:v>RD-ABDAD3DEBFD7</x:v>
      </x:c>
      <x:c r="B1237"/>
      <x:c r="C1237"/>
      <x:c r="D1237"/>
      <x:c r="E1237"/>
      <x:c r="F1237"/>
      <x:c r="G1237"/>
      <x:c r="H1237"/>
      <x:c r="I1237"/>
      <x:c r="J1237"/>
    </x:row>
    <x:row r="1238">
      <x:c r="A1238" t="str">
        <x:v>RD-69E76935D0B8</x:v>
      </x:c>
      <x:c r="B1238"/>
      <x:c r="C1238"/>
      <x:c r="D1238"/>
      <x:c r="E1238"/>
      <x:c r="F1238"/>
      <x:c r="G1238"/>
      <x:c r="H1238"/>
      <x:c r="I1238"/>
      <x:c r="J1238"/>
    </x:row>
    <x:row r="1239">
      <x:c r="A1239" t="str">
        <x:v>RD-D8C91952085A</x:v>
      </x:c>
      <x:c r="B1239"/>
      <x:c r="C1239"/>
      <x:c r="D1239"/>
      <x:c r="E1239"/>
      <x:c r="F1239"/>
      <x:c r="G1239"/>
      <x:c r="H1239"/>
      <x:c r="I1239"/>
      <x:c r="J1239"/>
    </x:row>
    <x:row r="1240">
      <x:c r="A1240" t="str">
        <x:v>RD-7AB4D3BE7ED5</x:v>
      </x:c>
      <x:c r="B1240"/>
      <x:c r="C1240"/>
      <x:c r="D1240"/>
      <x:c r="E1240"/>
      <x:c r="F1240"/>
      <x:c r="G1240"/>
      <x:c r="H1240"/>
      <x:c r="I1240"/>
      <x:c r="J1240"/>
    </x:row>
    <x:row r="1241">
      <x:c r="A1241" t="str">
        <x:v>RD-73F833C4FB2C</x:v>
      </x:c>
      <x:c r="B1241"/>
      <x:c r="C1241"/>
      <x:c r="D1241"/>
      <x:c r="E1241"/>
      <x:c r="F1241"/>
      <x:c r="G1241"/>
      <x:c r="H1241"/>
      <x:c r="I1241"/>
      <x:c r="J1241"/>
    </x:row>
    <x:row r="1242">
      <x:c r="A1242" t="str">
        <x:v>RD-EF196ACE59F9</x:v>
      </x:c>
      <x:c r="B1242"/>
      <x:c r="C1242"/>
      <x:c r="D1242"/>
      <x:c r="E1242"/>
      <x:c r="F1242"/>
      <x:c r="G1242"/>
      <x:c r="H1242"/>
      <x:c r="I1242"/>
      <x:c r="J1242"/>
    </x:row>
    <x:row r="1243">
      <x:c r="A1243" t="str">
        <x:v>RD-4627AC8D7B01</x:v>
      </x:c>
      <x:c r="B1243"/>
      <x:c r="C1243"/>
      <x:c r="D1243"/>
      <x:c r="E1243"/>
      <x:c r="F1243"/>
      <x:c r="G1243"/>
      <x:c r="H1243"/>
      <x:c r="I1243"/>
      <x:c r="J1243"/>
    </x:row>
    <x:row r="1244">
      <x:c r="A1244" t="str">
        <x:v>RD-F8C16911D63A</x:v>
      </x:c>
      <x:c r="B1244"/>
      <x:c r="C1244"/>
      <x:c r="D1244"/>
      <x:c r="E1244"/>
      <x:c r="F1244"/>
      <x:c r="G1244"/>
      <x:c r="H1244"/>
      <x:c r="I1244"/>
      <x:c r="J1244"/>
    </x:row>
    <x:row r="1245">
      <x:c r="A1245" t="str">
        <x:v>RD-B48D0CA78897</x:v>
      </x:c>
      <x:c r="B1245"/>
      <x:c r="C1245"/>
      <x:c r="D1245"/>
      <x:c r="E1245"/>
      <x:c r="F1245"/>
      <x:c r="G1245"/>
      <x:c r="H1245"/>
      <x:c r="I1245"/>
      <x:c r="J1245"/>
    </x:row>
    <x:row r="1246">
      <x:c r="A1246" t="str">
        <x:v>RD-5DB899E93EC3</x:v>
      </x:c>
      <x:c r="B1246"/>
      <x:c r="C1246"/>
      <x:c r="D1246"/>
      <x:c r="E1246"/>
      <x:c r="F1246"/>
      <x:c r="G1246"/>
      <x:c r="H1246"/>
      <x:c r="I1246"/>
      <x:c r="J1246"/>
    </x:row>
    <x:row r="1247">
      <x:c r="A1247" t="str">
        <x:v>RD-7F524B5B4156</x:v>
      </x:c>
      <x:c r="B1247"/>
      <x:c r="C1247"/>
      <x:c r="D1247"/>
      <x:c r="E1247"/>
      <x:c r="F1247"/>
      <x:c r="G1247"/>
      <x:c r="H1247"/>
      <x:c r="I1247"/>
      <x:c r="J1247"/>
    </x:row>
    <x:row r="1248">
      <x:c r="A1248" t="str">
        <x:v>RD-4581372ED7D8</x:v>
      </x:c>
      <x:c r="B1248"/>
      <x:c r="C1248"/>
      <x:c r="D1248"/>
      <x:c r="E1248"/>
      <x:c r="F1248"/>
      <x:c r="G1248"/>
      <x:c r="H1248"/>
      <x:c r="I1248"/>
      <x:c r="J1248"/>
    </x:row>
    <x:row r="1249">
      <x:c r="A1249" t="str">
        <x:v>RD-5876CF7BF23B</x:v>
      </x:c>
      <x:c r="B1249"/>
      <x:c r="C1249"/>
      <x:c r="D1249"/>
      <x:c r="E1249"/>
      <x:c r="F1249"/>
      <x:c r="G1249"/>
      <x:c r="H1249"/>
      <x:c r="I1249"/>
      <x:c r="J1249"/>
    </x:row>
    <x:row r="1250">
      <x:c r="A1250" t="str">
        <x:v>RD-A019E2142A72</x:v>
      </x:c>
      <x:c r="B1250"/>
      <x:c r="C1250"/>
      <x:c r="D1250"/>
      <x:c r="E1250"/>
      <x:c r="F1250"/>
      <x:c r="G1250"/>
      <x:c r="H1250"/>
      <x:c r="I1250"/>
      <x:c r="J1250"/>
    </x:row>
    <x:row r="1251">
      <x:c r="A1251" t="str">
        <x:v>RD-A623FF6CEAE1</x:v>
      </x:c>
      <x:c r="B1251"/>
      <x:c r="C1251"/>
      <x:c r="D1251"/>
      <x:c r="E1251"/>
      <x:c r="F1251"/>
      <x:c r="G1251"/>
      <x:c r="H1251"/>
      <x:c r="I1251"/>
      <x:c r="J1251"/>
    </x:row>
    <x:row r="1252">
      <x:c r="A1252" t="str">
        <x:v>RD-A0E9B1A1E6A2</x:v>
      </x:c>
      <x:c r="B1252"/>
      <x:c r="C1252"/>
      <x:c r="D1252"/>
      <x:c r="E1252"/>
      <x:c r="F1252"/>
      <x:c r="G1252"/>
      <x:c r="H1252"/>
      <x:c r="I1252"/>
      <x:c r="J1252"/>
    </x:row>
    <x:row r="1253">
      <x:c r="A1253" t="str">
        <x:v>RD-672E51CB16D0</x:v>
      </x:c>
      <x:c r="B1253"/>
      <x:c r="C1253"/>
      <x:c r="D1253"/>
      <x:c r="E1253"/>
      <x:c r="F1253"/>
      <x:c r="G1253"/>
      <x:c r="H1253"/>
      <x:c r="I1253"/>
      <x:c r="J1253"/>
    </x:row>
    <x:row r="1254">
      <x:c r="A1254" t="str">
        <x:v>RD-6163E3335A9C</x:v>
      </x:c>
      <x:c r="B1254"/>
      <x:c r="C1254"/>
      <x:c r="D1254"/>
      <x:c r="E1254"/>
      <x:c r="F1254"/>
      <x:c r="G1254"/>
      <x:c r="H1254"/>
      <x:c r="I1254"/>
      <x:c r="J1254"/>
    </x:row>
    <x:row r="1255">
      <x:c r="A1255" t="str">
        <x:v>RD-D986AE9822E5</x:v>
      </x:c>
      <x:c r="B1255"/>
      <x:c r="C1255"/>
      <x:c r="D1255"/>
      <x:c r="E1255"/>
      <x:c r="F1255"/>
      <x:c r="G1255"/>
      <x:c r="H1255"/>
      <x:c r="I1255"/>
      <x:c r="J1255"/>
    </x:row>
    <x:row r="1256">
      <x:c r="A1256" t="str">
        <x:v>RD-A3E47EC012BE</x:v>
      </x:c>
      <x:c r="B1256"/>
      <x:c r="C1256"/>
      <x:c r="D1256"/>
      <x:c r="E1256"/>
      <x:c r="F1256"/>
      <x:c r="G1256"/>
      <x:c r="H1256"/>
      <x:c r="I1256"/>
      <x:c r="J1256"/>
    </x:row>
    <x:row r="1257">
      <x:c r="A1257" t="str">
        <x:v>RD-522328A365AD</x:v>
      </x:c>
      <x:c r="B1257"/>
      <x:c r="C1257"/>
      <x:c r="D1257"/>
      <x:c r="E1257"/>
      <x:c r="F1257"/>
      <x:c r="G1257"/>
      <x:c r="H1257"/>
      <x:c r="I1257"/>
      <x:c r="J1257"/>
    </x:row>
    <x:row r="1258">
      <x:c r="A1258" t="str">
        <x:v>RD-4E0D91359CBC</x:v>
      </x:c>
      <x:c r="B1258"/>
      <x:c r="C1258"/>
      <x:c r="D1258"/>
      <x:c r="E1258"/>
      <x:c r="F1258"/>
      <x:c r="G1258"/>
      <x:c r="H1258"/>
      <x:c r="I1258"/>
      <x:c r="J1258"/>
    </x:row>
    <x:row r="1259">
      <x:c r="A1259" t="str">
        <x:v>RD-A6AE1FFC3682</x:v>
      </x:c>
      <x:c r="B1259"/>
      <x:c r="C1259"/>
      <x:c r="D1259"/>
      <x:c r="E1259"/>
      <x:c r="F1259"/>
      <x:c r="G1259"/>
      <x:c r="H1259"/>
      <x:c r="I1259"/>
      <x:c r="J1259"/>
    </x:row>
    <x:row r="1260">
      <x:c r="A1260" t="str">
        <x:v>RD-943825FA6A65</x:v>
      </x:c>
      <x:c r="B1260"/>
      <x:c r="C1260"/>
      <x:c r="D1260"/>
      <x:c r="E1260"/>
      <x:c r="F1260"/>
      <x:c r="G1260"/>
      <x:c r="H1260"/>
      <x:c r="I1260"/>
      <x:c r="J1260"/>
    </x:row>
    <x:row r="1261">
      <x:c r="A1261" t="str">
        <x:v>RD-8B29993C8506</x:v>
      </x:c>
      <x:c r="B1261"/>
      <x:c r="C1261"/>
      <x:c r="D1261"/>
      <x:c r="E1261"/>
      <x:c r="F1261"/>
      <x:c r="G1261"/>
      <x:c r="H1261"/>
      <x:c r="I1261"/>
      <x:c r="J1261"/>
    </x:row>
    <x:row r="1262">
      <x:c r="A1262" t="str">
        <x:v>RD-4E0BDC3F8409</x:v>
      </x:c>
      <x:c r="B1262"/>
      <x:c r="C1262"/>
      <x:c r="D1262"/>
      <x:c r="E1262"/>
      <x:c r="F1262"/>
      <x:c r="G1262"/>
      <x:c r="H1262"/>
      <x:c r="I1262"/>
      <x:c r="J1262"/>
    </x:row>
    <x:row r="1263">
      <x:c r="A1263" t="str">
        <x:v>RD-3F192FF825AA</x:v>
      </x:c>
      <x:c r="B1263"/>
      <x:c r="C1263"/>
      <x:c r="D1263"/>
      <x:c r="E1263"/>
      <x:c r="F1263"/>
      <x:c r="G1263"/>
      <x:c r="H1263"/>
      <x:c r="I1263"/>
      <x:c r="J1263"/>
    </x:row>
    <x:row r="1264">
      <x:c r="A1264" t="str">
        <x:v>RD-6924B0C8A43A</x:v>
      </x:c>
      <x:c r="B1264"/>
      <x:c r="C1264"/>
      <x:c r="D1264"/>
      <x:c r="E1264"/>
      <x:c r="F1264"/>
      <x:c r="G1264"/>
      <x:c r="H1264"/>
      <x:c r="I1264"/>
      <x:c r="J1264"/>
    </x:row>
    <x:row r="1265">
      <x:c r="A1265" t="str">
        <x:v>RD-D8FCE3A2E3AA</x:v>
      </x:c>
      <x:c r="B1265"/>
      <x:c r="C1265"/>
      <x:c r="D1265"/>
      <x:c r="E1265"/>
      <x:c r="F1265"/>
      <x:c r="G1265"/>
      <x:c r="H1265"/>
      <x:c r="I1265"/>
      <x:c r="J1265"/>
    </x:row>
    <x:row r="1266">
      <x:c r="A1266" t="str">
        <x:v>RD-A523468D73EC</x:v>
      </x:c>
      <x:c r="B1266"/>
      <x:c r="C1266"/>
      <x:c r="D1266"/>
      <x:c r="E1266"/>
      <x:c r="F1266"/>
      <x:c r="G1266"/>
      <x:c r="H1266"/>
      <x:c r="I1266"/>
      <x:c r="J1266"/>
    </x:row>
    <x:row r="1267">
      <x:c r="A1267" t="str">
        <x:v>RD-95A7553857AC</x:v>
      </x:c>
      <x:c r="B1267"/>
      <x:c r="C1267"/>
      <x:c r="D1267"/>
      <x:c r="E1267"/>
      <x:c r="F1267"/>
      <x:c r="G1267"/>
      <x:c r="H1267"/>
      <x:c r="I1267"/>
      <x:c r="J1267"/>
    </x:row>
    <x:row r="1268">
      <x:c r="A1268" t="str">
        <x:v>RD-5A938297EC3E</x:v>
      </x:c>
      <x:c r="B1268"/>
      <x:c r="C1268"/>
      <x:c r="D1268"/>
      <x:c r="E1268"/>
      <x:c r="F1268"/>
      <x:c r="G1268"/>
      <x:c r="H1268"/>
      <x:c r="I1268"/>
      <x:c r="J1268"/>
    </x:row>
    <x:row r="1269">
      <x:c r="A1269" t="str">
        <x:v>RD-058C61DB3813</x:v>
      </x:c>
      <x:c r="B1269"/>
      <x:c r="C1269"/>
      <x:c r="D1269"/>
      <x:c r="E1269"/>
      <x:c r="F1269"/>
      <x:c r="G1269"/>
      <x:c r="H1269"/>
      <x:c r="I1269"/>
      <x:c r="J1269"/>
    </x:row>
    <x:row r="1270">
      <x:c r="A1270" t="str">
        <x:v>RD-EE452790DF3A</x:v>
      </x:c>
      <x:c r="B1270"/>
      <x:c r="C1270"/>
      <x:c r="D1270"/>
      <x:c r="E1270"/>
      <x:c r="F1270"/>
      <x:c r="G1270"/>
      <x:c r="H1270"/>
      <x:c r="I1270"/>
      <x:c r="J1270"/>
    </x:row>
    <x:row r="1271">
      <x:c r="A1271" t="str">
        <x:v>RD-36FE34C8DE91</x:v>
      </x:c>
      <x:c r="B1271"/>
      <x:c r="C1271"/>
      <x:c r="D1271"/>
      <x:c r="E1271"/>
      <x:c r="F1271"/>
      <x:c r="G1271"/>
      <x:c r="H1271"/>
      <x:c r="I1271"/>
      <x:c r="J1271"/>
    </x:row>
    <x:row r="1272">
      <x:c r="A1272" t="str">
        <x:v>RD-3347C01E8933</x:v>
      </x:c>
      <x:c r="B1272"/>
      <x:c r="C1272"/>
      <x:c r="D1272"/>
      <x:c r="E1272"/>
      <x:c r="F1272"/>
      <x:c r="G1272"/>
      <x:c r="H1272"/>
      <x:c r="I1272"/>
      <x:c r="J1272"/>
    </x:row>
    <x:row r="1273">
      <x:c r="A1273" t="str">
        <x:v>RD-1AA61C6527F4</x:v>
      </x:c>
      <x:c r="B1273"/>
      <x:c r="C1273"/>
      <x:c r="D1273"/>
      <x:c r="E1273"/>
      <x:c r="F1273"/>
      <x:c r="G1273"/>
      <x:c r="H1273"/>
      <x:c r="I1273"/>
      <x:c r="J1273"/>
    </x:row>
    <x:row r="1274">
      <x:c r="A1274" t="str">
        <x:v>RD-86FA7689133D</x:v>
      </x:c>
      <x:c r="B1274"/>
      <x:c r="C1274"/>
      <x:c r="D1274"/>
      <x:c r="E1274"/>
      <x:c r="F1274"/>
      <x:c r="G1274"/>
      <x:c r="H1274"/>
      <x:c r="I1274"/>
      <x:c r="J1274"/>
    </x:row>
    <x:row r="1275">
      <x:c r="A1275" t="str">
        <x:v>RD-D490D857306D</x:v>
      </x:c>
      <x:c r="B1275"/>
      <x:c r="C1275"/>
      <x:c r="D1275"/>
      <x:c r="E1275"/>
      <x:c r="F1275"/>
      <x:c r="G1275"/>
      <x:c r="H1275"/>
      <x:c r="I1275"/>
      <x:c r="J1275"/>
    </x:row>
    <x:row r="1276">
      <x:c r="A1276" t="str">
        <x:v>RD-C3629BBB4979</x:v>
      </x:c>
      <x:c r="B1276"/>
      <x:c r="C1276"/>
      <x:c r="D1276"/>
      <x:c r="E1276"/>
      <x:c r="F1276"/>
      <x:c r="G1276"/>
      <x:c r="H1276"/>
      <x:c r="I1276"/>
      <x:c r="J1276"/>
    </x:row>
    <x:row r="1277">
      <x:c r="A1277" t="str">
        <x:v>RD-9813DD303114</x:v>
      </x:c>
      <x:c r="B1277"/>
      <x:c r="C1277"/>
      <x:c r="D1277"/>
      <x:c r="E1277"/>
      <x:c r="F1277"/>
      <x:c r="G1277"/>
      <x:c r="H1277"/>
      <x:c r="I1277"/>
      <x:c r="J1277"/>
    </x:row>
    <x:row r="1278">
      <x:c r="A1278" t="str">
        <x:v>RD-253FB911AD44</x:v>
      </x:c>
      <x:c r="B1278"/>
      <x:c r="C1278"/>
      <x:c r="D1278"/>
      <x:c r="E1278"/>
      <x:c r="F1278"/>
      <x:c r="G1278"/>
      <x:c r="H1278"/>
      <x:c r="I1278"/>
      <x:c r="J1278"/>
    </x:row>
    <x:row r="1279">
      <x:c r="A1279" t="str">
        <x:v>RD-A4AE61CD25B3</x:v>
      </x:c>
      <x:c r="B1279"/>
      <x:c r="C1279"/>
      <x:c r="D1279"/>
      <x:c r="E1279"/>
      <x:c r="F1279"/>
      <x:c r="G1279"/>
      <x:c r="H1279"/>
      <x:c r="I1279"/>
      <x:c r="J1279"/>
    </x:row>
    <x:row r="1280">
      <x:c r="A1280" t="str">
        <x:v>RD-4B48F562ECB4</x:v>
      </x:c>
      <x:c r="B1280"/>
      <x:c r="C1280"/>
      <x:c r="D1280"/>
      <x:c r="E1280"/>
      <x:c r="F1280"/>
      <x:c r="G1280"/>
      <x:c r="H1280"/>
      <x:c r="I1280"/>
      <x:c r="J1280"/>
    </x:row>
    <x:row r="1281">
      <x:c r="A1281" t="str">
        <x:v>RD-D2820EC89266</x:v>
      </x:c>
      <x:c r="B1281"/>
      <x:c r="C1281"/>
      <x:c r="D1281"/>
      <x:c r="E1281"/>
      <x:c r="F1281"/>
      <x:c r="G1281"/>
      <x:c r="H1281"/>
      <x:c r="I1281"/>
      <x:c r="J1281"/>
    </x:row>
    <x:row r="1282">
      <x:c r="A1282" t="str">
        <x:v>RD-4DD932F41BCE</x:v>
      </x:c>
      <x:c r="B1282"/>
      <x:c r="C1282"/>
      <x:c r="D1282"/>
      <x:c r="E1282"/>
      <x:c r="F1282"/>
      <x:c r="G1282"/>
      <x:c r="H1282"/>
      <x:c r="I1282"/>
      <x:c r="J1282"/>
    </x:row>
    <x:row r="1283">
      <x:c r="A1283" t="str">
        <x:v>RD-882C925C3E3D</x:v>
      </x:c>
      <x:c r="B1283"/>
      <x:c r="C1283"/>
      <x:c r="D1283"/>
      <x:c r="E1283"/>
      <x:c r="F1283"/>
      <x:c r="G1283"/>
      <x:c r="H1283"/>
      <x:c r="I1283"/>
      <x:c r="J1283"/>
    </x:row>
    <x:row r="1284">
      <x:c r="A1284" t="str">
        <x:v>RD-2E68A9676A50</x:v>
      </x:c>
      <x:c r="B1284"/>
      <x:c r="C1284"/>
      <x:c r="D1284"/>
      <x:c r="E1284"/>
      <x:c r="F1284"/>
      <x:c r="G1284"/>
      <x:c r="H1284"/>
      <x:c r="I1284"/>
      <x:c r="J1284"/>
    </x:row>
    <x:row r="1285">
      <x:c r="A1285" t="str">
        <x:v>RD-F47E84C3FB55</x:v>
      </x:c>
      <x:c r="B1285"/>
      <x:c r="C1285"/>
      <x:c r="D1285"/>
      <x:c r="E1285"/>
      <x:c r="F1285"/>
      <x:c r="G1285"/>
      <x:c r="H1285"/>
      <x:c r="I1285"/>
      <x:c r="J1285"/>
    </x:row>
    <x:row r="1286">
      <x:c r="A1286" t="str">
        <x:v>RD-B4B898D32EC4</x:v>
      </x:c>
      <x:c r="B1286"/>
      <x:c r="C1286"/>
      <x:c r="D1286"/>
      <x:c r="E1286"/>
      <x:c r="F1286"/>
      <x:c r="G1286"/>
      <x:c r="H1286"/>
      <x:c r="I1286"/>
      <x:c r="J1286"/>
    </x:row>
    <x:row r="1287">
      <x:c r="A1287" t="str">
        <x:v>RD-854A6818D523</x:v>
      </x:c>
      <x:c r="B1287"/>
      <x:c r="C1287"/>
      <x:c r="D1287"/>
      <x:c r="E1287"/>
      <x:c r="F1287"/>
      <x:c r="G1287"/>
      <x:c r="H1287"/>
      <x:c r="I1287"/>
      <x:c r="J1287"/>
    </x:row>
    <x:row r="1288">
      <x:c r="A1288" t="str">
        <x:v>RD-85F7E7343788</x:v>
      </x:c>
      <x:c r="B1288"/>
      <x:c r="C1288"/>
      <x:c r="D1288"/>
      <x:c r="E1288"/>
      <x:c r="F1288"/>
      <x:c r="G1288"/>
      <x:c r="H1288"/>
      <x:c r="I1288"/>
      <x:c r="J1288"/>
    </x:row>
    <x:row r="1289">
      <x:c r="A1289" t="str">
        <x:v>RD-F4CDEA15BE36</x:v>
      </x:c>
      <x:c r="B1289"/>
      <x:c r="C1289"/>
      <x:c r="D1289"/>
      <x:c r="E1289"/>
      <x:c r="F1289"/>
      <x:c r="G1289"/>
      <x:c r="H1289"/>
      <x:c r="I1289"/>
      <x:c r="J1289"/>
    </x:row>
    <x:row r="1290">
      <x:c r="A1290" t="str">
        <x:v>RD-453FDEA4C172</x:v>
      </x:c>
      <x:c r="B1290"/>
      <x:c r="C1290"/>
      <x:c r="D1290"/>
      <x:c r="E1290"/>
      <x:c r="F1290"/>
      <x:c r="G1290"/>
      <x:c r="H1290"/>
      <x:c r="I1290"/>
      <x:c r="J1290"/>
    </x:row>
    <x:row r="1291">
      <x:c r="A1291" t="str">
        <x:v>RD-99062906B0A2</x:v>
      </x:c>
      <x:c r="B1291"/>
      <x:c r="C1291"/>
      <x:c r="D1291"/>
      <x:c r="E1291"/>
      <x:c r="F1291"/>
      <x:c r="G1291"/>
      <x:c r="H1291"/>
      <x:c r="I1291"/>
      <x:c r="J1291"/>
    </x:row>
    <x:row r="1292">
      <x:c r="A1292" t="str">
        <x:v>RD-3F03BEC68339</x:v>
      </x:c>
      <x:c r="B1292"/>
      <x:c r="C1292"/>
      <x:c r="D1292"/>
      <x:c r="E1292"/>
      <x:c r="F1292"/>
      <x:c r="G1292"/>
      <x:c r="H1292"/>
      <x:c r="I1292"/>
      <x:c r="J1292"/>
    </x:row>
    <x:row r="1293">
      <x:c r="A1293" t="str">
        <x:v>RD-5D3D5739BC7C</x:v>
      </x:c>
      <x:c r="B1293"/>
      <x:c r="C1293"/>
      <x:c r="D1293"/>
      <x:c r="E1293"/>
      <x:c r="F1293"/>
      <x:c r="G1293"/>
      <x:c r="H1293"/>
      <x:c r="I1293"/>
      <x:c r="J1293"/>
    </x:row>
    <x:row r="1294">
      <x:c r="A1294" t="str">
        <x:v>RD-AA864D8DC8DC</x:v>
      </x:c>
      <x:c r="B1294"/>
      <x:c r="C1294"/>
      <x:c r="D1294"/>
      <x:c r="E1294"/>
      <x:c r="F1294"/>
      <x:c r="G1294"/>
      <x:c r="H1294"/>
      <x:c r="I1294"/>
      <x:c r="J1294"/>
    </x:row>
    <x:row r="1295">
      <x:c r="A1295" t="str">
        <x:v>RD-57E8080C3077</x:v>
      </x:c>
      <x:c r="B1295"/>
      <x:c r="C1295"/>
      <x:c r="D1295"/>
      <x:c r="E1295"/>
      <x:c r="F1295"/>
      <x:c r="G1295"/>
      <x:c r="H1295"/>
      <x:c r="I1295"/>
      <x:c r="J1295"/>
    </x:row>
    <x:row r="1296">
      <x:c r="A1296" t="str">
        <x:v>RD-866092400C61</x:v>
      </x:c>
      <x:c r="B1296"/>
      <x:c r="C1296"/>
      <x:c r="D1296"/>
      <x:c r="E1296"/>
      <x:c r="F1296"/>
      <x:c r="G1296"/>
      <x:c r="H1296"/>
      <x:c r="I1296"/>
      <x:c r="J1296"/>
    </x:row>
    <x:row r="1297">
      <x:c r="A1297" t="str">
        <x:v>RD-EFC6622AAC46</x:v>
      </x:c>
      <x:c r="B1297"/>
      <x:c r="C1297"/>
      <x:c r="D1297"/>
      <x:c r="E1297"/>
      <x:c r="F1297"/>
      <x:c r="G1297"/>
      <x:c r="H1297"/>
      <x:c r="I1297"/>
      <x:c r="J1297"/>
    </x:row>
    <x:row r="1298">
      <x:c r="A1298" t="str">
        <x:v>RD-DBC4562A8199</x:v>
      </x:c>
      <x:c r="B1298"/>
      <x:c r="C1298"/>
      <x:c r="D1298"/>
      <x:c r="E1298"/>
      <x:c r="F1298"/>
      <x:c r="G1298"/>
      <x:c r="H1298"/>
      <x:c r="I1298"/>
      <x:c r="J1298"/>
    </x:row>
    <x:row r="1299">
      <x:c r="A1299" t="str">
        <x:v>RD-247AA3C3416E</x:v>
      </x:c>
      <x:c r="B1299"/>
      <x:c r="C1299"/>
      <x:c r="D1299"/>
      <x:c r="E1299"/>
      <x:c r="F1299"/>
      <x:c r="G1299"/>
      <x:c r="H1299"/>
      <x:c r="I1299"/>
      <x:c r="J1299"/>
    </x:row>
    <x:row r="1300">
      <x:c r="A1300" t="str">
        <x:v>RD-C6BB56534C5E</x:v>
      </x:c>
      <x:c r="B1300"/>
      <x:c r="C1300"/>
      <x:c r="D1300"/>
      <x:c r="E1300"/>
      <x:c r="F1300"/>
      <x:c r="G1300"/>
      <x:c r="H1300"/>
      <x:c r="I1300"/>
      <x:c r="J1300"/>
    </x:row>
    <x:row r="1301">
      <x:c r="A1301" t="str">
        <x:v>RD-3B5FE4598C77</x:v>
      </x:c>
      <x:c r="B1301"/>
      <x:c r="C1301"/>
      <x:c r="D1301"/>
      <x:c r="E1301"/>
      <x:c r="F1301"/>
      <x:c r="G1301"/>
      <x:c r="H1301"/>
      <x:c r="I1301"/>
      <x:c r="J1301"/>
    </x:row>
    <x:row r="1302">
      <x:c r="A1302" t="str">
        <x:v>RD-910BD2C9138E</x:v>
      </x:c>
      <x:c r="B1302"/>
      <x:c r="C1302"/>
      <x:c r="D1302"/>
      <x:c r="E1302"/>
      <x:c r="F1302"/>
      <x:c r="G1302"/>
      <x:c r="H1302"/>
      <x:c r="I1302"/>
      <x:c r="J1302"/>
    </x:row>
    <x:row r="1303">
      <x:c r="A1303" t="str">
        <x:v>RD-E3DBE713FDC4</x:v>
      </x:c>
      <x:c r="B1303"/>
      <x:c r="C1303"/>
      <x:c r="D1303"/>
      <x:c r="E1303"/>
      <x:c r="F1303"/>
      <x:c r="G1303"/>
      <x:c r="H1303"/>
      <x:c r="I1303"/>
      <x:c r="J1303"/>
    </x:row>
    <x:row r="1304">
      <x:c r="A1304" t="str">
        <x:v>RD-98F91B0A3017</x:v>
      </x:c>
      <x:c r="B1304"/>
      <x:c r="C1304"/>
      <x:c r="D1304"/>
      <x:c r="E1304"/>
      <x:c r="F1304"/>
      <x:c r="G1304"/>
      <x:c r="H1304"/>
      <x:c r="I1304"/>
      <x:c r="J1304"/>
    </x:row>
    <x:row r="1305">
      <x:c r="A1305" t="str">
        <x:v>RD-CBE70CA7A101</x:v>
      </x:c>
      <x:c r="B1305"/>
      <x:c r="C1305"/>
      <x:c r="D1305"/>
      <x:c r="E1305"/>
      <x:c r="F1305"/>
      <x:c r="G1305"/>
      <x:c r="H1305"/>
      <x:c r="I1305"/>
      <x:c r="J1305"/>
    </x:row>
    <x:row r="1306">
      <x:c r="A1306" t="str">
        <x:v>RD-F218385EA71B</x:v>
      </x:c>
      <x:c r="B1306"/>
      <x:c r="C1306"/>
      <x:c r="D1306"/>
      <x:c r="E1306"/>
      <x:c r="F1306"/>
      <x:c r="G1306"/>
      <x:c r="H1306"/>
      <x:c r="I1306"/>
      <x:c r="J1306"/>
    </x:row>
    <x:row r="1307">
      <x:c r="A1307" t="str">
        <x:v>RD-F17298BF5559</x:v>
      </x:c>
      <x:c r="B1307"/>
      <x:c r="C1307"/>
      <x:c r="D1307"/>
      <x:c r="E1307"/>
      <x:c r="F1307"/>
      <x:c r="G1307"/>
      <x:c r="H1307"/>
      <x:c r="I1307"/>
      <x:c r="J1307"/>
    </x:row>
    <x:row r="1308">
      <x:c r="A1308" t="str">
        <x:v>RD-75A22FFF740B</x:v>
      </x:c>
      <x:c r="B1308"/>
      <x:c r="C1308"/>
      <x:c r="D1308"/>
      <x:c r="E1308"/>
      <x:c r="F1308"/>
      <x:c r="G1308"/>
      <x:c r="H1308"/>
      <x:c r="I1308"/>
      <x:c r="J1308"/>
    </x:row>
    <x:row r="1309">
      <x:c r="A1309" t="str">
        <x:v>RD-38D390043A80</x:v>
      </x:c>
      <x:c r="B1309"/>
      <x:c r="C1309"/>
      <x:c r="D1309"/>
      <x:c r="E1309"/>
      <x:c r="F1309"/>
      <x:c r="G1309"/>
      <x:c r="H1309"/>
      <x:c r="I1309"/>
      <x:c r="J1309"/>
    </x:row>
    <x:row r="1310">
      <x:c r="A1310" t="str">
        <x:v>RD-4EE3A673D571</x:v>
      </x:c>
      <x:c r="B1310"/>
      <x:c r="C1310"/>
      <x:c r="D1310"/>
      <x:c r="E1310"/>
      <x:c r="F1310"/>
      <x:c r="G1310"/>
      <x:c r="H1310"/>
      <x:c r="I1310"/>
      <x:c r="J1310"/>
    </x:row>
    <x:row r="1311">
      <x:c r="A1311" t="str">
        <x:v>RD-58DAA77D0DF0</x:v>
      </x:c>
      <x:c r="B1311"/>
      <x:c r="C1311"/>
      <x:c r="D1311"/>
      <x:c r="E1311"/>
      <x:c r="F1311"/>
      <x:c r="G1311"/>
      <x:c r="H1311"/>
      <x:c r="I1311"/>
      <x:c r="J1311"/>
    </x:row>
    <x:row r="1312">
      <x:c r="A1312" t="str">
        <x:v>RD-4C75D6B4D210</x:v>
      </x:c>
      <x:c r="B1312"/>
      <x:c r="C1312"/>
      <x:c r="D1312"/>
      <x:c r="E1312"/>
      <x:c r="F1312"/>
      <x:c r="G1312"/>
      <x:c r="H1312"/>
      <x:c r="I1312"/>
      <x:c r="J1312"/>
    </x:row>
    <x:row r="1313">
      <x:c r="A1313" t="str">
        <x:v>RD-5DEF924BE473</x:v>
      </x:c>
      <x:c r="B1313"/>
      <x:c r="C1313"/>
      <x:c r="D1313"/>
      <x:c r="E1313"/>
      <x:c r="F1313"/>
      <x:c r="G1313"/>
      <x:c r="H1313"/>
      <x:c r="I1313"/>
      <x:c r="J1313"/>
    </x:row>
    <x:row r="1314">
      <x:c r="A1314" t="str">
        <x:v>RD-35FEC4C6087D</x:v>
      </x:c>
      <x:c r="B1314"/>
      <x:c r="C1314"/>
      <x:c r="D1314"/>
      <x:c r="E1314"/>
      <x:c r="F1314"/>
      <x:c r="G1314"/>
      <x:c r="H1314"/>
      <x:c r="I1314"/>
      <x:c r="J1314"/>
    </x:row>
    <x:row r="1315">
      <x:c r="A1315" t="str">
        <x:v>RD-ADDD1228A3FB</x:v>
      </x:c>
      <x:c r="B1315"/>
      <x:c r="C1315"/>
      <x:c r="D1315"/>
      <x:c r="E1315"/>
      <x:c r="F1315"/>
      <x:c r="G1315"/>
      <x:c r="H1315"/>
      <x:c r="I1315"/>
      <x:c r="J1315"/>
    </x:row>
    <x:row r="1316">
      <x:c r="A1316" t="str">
        <x:v>RD-2C259DC4F9B3</x:v>
      </x:c>
      <x:c r="B1316"/>
      <x:c r="C1316"/>
      <x:c r="D1316"/>
      <x:c r="E1316"/>
      <x:c r="F1316"/>
      <x:c r="G1316"/>
      <x:c r="H1316"/>
      <x:c r="I1316"/>
      <x:c r="J1316"/>
    </x:row>
    <x:row r="1317">
      <x:c r="A1317" t="str">
        <x:v>RD-EF4559681D79</x:v>
      </x:c>
      <x:c r="B1317"/>
      <x:c r="C1317"/>
      <x:c r="D1317"/>
      <x:c r="E1317"/>
      <x:c r="F1317"/>
      <x:c r="G1317"/>
      <x:c r="H1317"/>
      <x:c r="I1317"/>
      <x:c r="J1317"/>
    </x:row>
    <x:row r="1318">
      <x:c r="A1318" t="str">
        <x:v>RD-92104F92D9CA</x:v>
      </x:c>
      <x:c r="B1318"/>
      <x:c r="C1318"/>
      <x:c r="D1318"/>
      <x:c r="E1318"/>
      <x:c r="F1318"/>
      <x:c r="G1318"/>
      <x:c r="H1318"/>
      <x:c r="I1318"/>
      <x:c r="J1318"/>
    </x:row>
    <x:row r="1319">
      <x:c r="A1319" t="str">
        <x:v>RD-F4BAB5023056</x:v>
      </x:c>
      <x:c r="B1319"/>
      <x:c r="C1319"/>
      <x:c r="D1319"/>
      <x:c r="E1319"/>
      <x:c r="F1319"/>
      <x:c r="G1319"/>
      <x:c r="H1319"/>
      <x:c r="I1319"/>
      <x:c r="J1319"/>
    </x:row>
    <x:row r="1320">
      <x:c r="A1320" t="str">
        <x:v>RD-25A6C91586E2</x:v>
      </x:c>
      <x:c r="B1320"/>
      <x:c r="C1320"/>
      <x:c r="D1320"/>
      <x:c r="E1320"/>
      <x:c r="F1320"/>
      <x:c r="G1320"/>
      <x:c r="H1320"/>
      <x:c r="I1320"/>
      <x:c r="J1320"/>
    </x:row>
    <x:row r="1321">
      <x:c r="A1321" t="str">
        <x:v>RD-0F506508B309</x:v>
      </x:c>
      <x:c r="B1321"/>
      <x:c r="C1321"/>
      <x:c r="D1321"/>
      <x:c r="E1321"/>
      <x:c r="F1321"/>
      <x:c r="G1321"/>
      <x:c r="H1321"/>
      <x:c r="I1321"/>
      <x:c r="J1321"/>
    </x:row>
    <x:row r="1322">
      <x:c r="A1322" t="str">
        <x:v>RD-A49999EC2347</x:v>
      </x:c>
      <x:c r="B1322"/>
      <x:c r="C1322"/>
      <x:c r="D1322"/>
      <x:c r="E1322"/>
      <x:c r="F1322"/>
      <x:c r="G1322"/>
      <x:c r="H1322"/>
      <x:c r="I1322"/>
      <x:c r="J1322"/>
    </x:row>
    <x:row r="1323">
      <x:c r="A1323" t="str">
        <x:v>RD-AA56B1F50BF3</x:v>
      </x:c>
      <x:c r="B1323"/>
      <x:c r="C1323"/>
      <x:c r="D1323"/>
      <x:c r="E1323"/>
      <x:c r="F1323"/>
      <x:c r="G1323"/>
      <x:c r="H1323"/>
      <x:c r="I1323"/>
      <x:c r="J1323"/>
    </x:row>
    <x:row r="1324">
      <x:c r="A1324" t="str">
        <x:v>RD-E2A2C2016589</x:v>
      </x:c>
      <x:c r="B1324"/>
      <x:c r="C1324"/>
      <x:c r="D1324"/>
      <x:c r="E1324"/>
      <x:c r="F1324"/>
      <x:c r="G1324"/>
      <x:c r="H1324"/>
      <x:c r="I1324"/>
      <x:c r="J1324"/>
    </x:row>
    <x:row r="1325">
      <x:c r="A1325" t="str">
        <x:v>RD-0A0269F842D9</x:v>
      </x:c>
      <x:c r="B1325"/>
      <x:c r="C1325"/>
      <x:c r="D1325"/>
      <x:c r="E1325"/>
      <x:c r="F1325"/>
      <x:c r="G1325"/>
      <x:c r="H1325"/>
      <x:c r="I1325"/>
      <x:c r="J1325"/>
    </x:row>
    <x:row r="1326">
      <x:c r="A1326" t="str">
        <x:v>RD-4C4AE8237D54</x:v>
      </x:c>
      <x:c r="B1326"/>
      <x:c r="C1326"/>
      <x:c r="D1326"/>
      <x:c r="E1326"/>
      <x:c r="F1326"/>
      <x:c r="G1326"/>
      <x:c r="H1326"/>
      <x:c r="I1326"/>
      <x:c r="J1326"/>
    </x:row>
    <x:row r="1327">
      <x:c r="A1327" t="str">
        <x:v>RD-A4D123EE6568</x:v>
      </x:c>
      <x:c r="B1327"/>
      <x:c r="C1327"/>
      <x:c r="D1327"/>
      <x:c r="E1327"/>
      <x:c r="F1327"/>
      <x:c r="G1327"/>
      <x:c r="H1327"/>
      <x:c r="I1327"/>
      <x:c r="J1327"/>
    </x:row>
    <x:row r="1328">
      <x:c r="A1328" t="str">
        <x:v>RD-62C4E1D52A83</x:v>
      </x:c>
      <x:c r="B1328"/>
      <x:c r="C1328"/>
      <x:c r="D1328"/>
      <x:c r="E1328"/>
      <x:c r="F1328"/>
      <x:c r="G1328"/>
      <x:c r="H1328"/>
      <x:c r="I1328"/>
      <x:c r="J1328"/>
    </x:row>
    <x:row r="1329">
      <x:c r="A1329" t="str">
        <x:v>RD-650D93BFFBC4</x:v>
      </x:c>
      <x:c r="B1329"/>
      <x:c r="C1329"/>
      <x:c r="D1329"/>
      <x:c r="E1329"/>
      <x:c r="F1329"/>
      <x:c r="G1329"/>
      <x:c r="H1329"/>
      <x:c r="I1329"/>
      <x:c r="J1329"/>
    </x:row>
    <x:row r="1330">
      <x:c r="A1330" t="str">
        <x:v>RD-D7785F9D7FF8</x:v>
      </x:c>
      <x:c r="B1330"/>
      <x:c r="C1330"/>
      <x:c r="D1330"/>
      <x:c r="E1330"/>
      <x:c r="F1330"/>
      <x:c r="G1330"/>
      <x:c r="H1330"/>
      <x:c r="I1330"/>
      <x:c r="J1330"/>
    </x:row>
    <x:row r="1331">
      <x:c r="A1331" t="str">
        <x:v>RD-2301CAD56304</x:v>
      </x:c>
      <x:c r="B1331"/>
      <x:c r="C1331"/>
      <x:c r="D1331"/>
      <x:c r="E1331"/>
      <x:c r="F1331"/>
      <x:c r="G1331"/>
      <x:c r="H1331"/>
      <x:c r="I1331"/>
      <x:c r="J1331"/>
    </x:row>
    <x:row r="1332">
      <x:c r="A1332" t="str">
        <x:v>RD-B557C8354753</x:v>
      </x:c>
      <x:c r="B1332"/>
      <x:c r="C1332"/>
      <x:c r="D1332"/>
      <x:c r="E1332"/>
      <x:c r="F1332"/>
      <x:c r="G1332"/>
      <x:c r="H1332"/>
      <x:c r="I1332"/>
      <x:c r="J1332"/>
    </x:row>
    <x:row r="1333">
      <x:c r="A1333" t="str">
        <x:v>RD-4EDD442F76F6</x:v>
      </x:c>
      <x:c r="B1333"/>
      <x:c r="C1333"/>
      <x:c r="D1333"/>
      <x:c r="E1333"/>
      <x:c r="F1333"/>
      <x:c r="G1333"/>
      <x:c r="H1333"/>
      <x:c r="I1333"/>
      <x:c r="J1333"/>
    </x:row>
    <x:row r="1334">
      <x:c r="A1334" t="str">
        <x:v>RD-134E5B70DF2C</x:v>
      </x:c>
      <x:c r="B1334"/>
      <x:c r="C1334"/>
      <x:c r="D1334"/>
      <x:c r="E1334"/>
      <x:c r="F1334"/>
      <x:c r="G1334"/>
      <x:c r="H1334"/>
      <x:c r="I1334"/>
      <x:c r="J1334"/>
    </x:row>
    <x:row r="1335">
      <x:c r="A1335" t="str">
        <x:v>RD-7DF2048CC0B1</x:v>
      </x:c>
      <x:c r="B1335"/>
      <x:c r="C1335"/>
      <x:c r="D1335"/>
      <x:c r="E1335"/>
      <x:c r="F1335"/>
      <x:c r="G1335"/>
      <x:c r="H1335"/>
      <x:c r="I1335"/>
      <x:c r="J1335"/>
    </x:row>
    <x:row r="1336">
      <x:c r="A1336" t="str">
        <x:v>RD-83B8F2562EE5</x:v>
      </x:c>
      <x:c r="B1336"/>
      <x:c r="C1336"/>
      <x:c r="D1336"/>
      <x:c r="E1336"/>
      <x:c r="F1336"/>
      <x:c r="G1336"/>
      <x:c r="H1336"/>
      <x:c r="I1336"/>
      <x:c r="J1336"/>
    </x:row>
    <x:row r="1337">
      <x:c r="A1337" t="str">
        <x:v>RD-DC31A626904D</x:v>
      </x:c>
      <x:c r="B1337"/>
      <x:c r="C1337"/>
      <x:c r="D1337"/>
      <x:c r="E1337"/>
      <x:c r="F1337"/>
      <x:c r="G1337"/>
      <x:c r="H1337"/>
      <x:c r="I1337"/>
      <x:c r="J1337"/>
    </x:row>
    <x:row r="1338">
      <x:c r="A1338" t="str">
        <x:v>RD-6215DD60E5E3</x:v>
      </x:c>
      <x:c r="B1338"/>
      <x:c r="C1338"/>
      <x:c r="D1338"/>
      <x:c r="E1338"/>
      <x:c r="F1338"/>
      <x:c r="G1338"/>
      <x:c r="H1338"/>
      <x:c r="I1338"/>
      <x:c r="J1338"/>
    </x:row>
    <x:row r="1339">
      <x:c r="A1339" t="str">
        <x:v>RD-07004C36E840</x:v>
      </x:c>
      <x:c r="B1339"/>
      <x:c r="C1339"/>
      <x:c r="D1339"/>
      <x:c r="E1339"/>
      <x:c r="F1339"/>
      <x:c r="G1339"/>
      <x:c r="H1339"/>
      <x:c r="I1339"/>
      <x:c r="J1339"/>
    </x:row>
    <x:row r="1340">
      <x:c r="A1340" t="str">
        <x:v>RD-28C3246C2ADE</x:v>
      </x:c>
      <x:c r="B1340"/>
      <x:c r="C1340"/>
      <x:c r="D1340"/>
      <x:c r="E1340"/>
      <x:c r="F1340"/>
      <x:c r="G1340"/>
      <x:c r="H1340"/>
      <x:c r="I1340"/>
      <x:c r="J1340"/>
    </x:row>
    <x:row r="1341">
      <x:c r="A1341" t="str">
        <x:v>RD-40FF87A14C55</x:v>
      </x:c>
      <x:c r="B1341"/>
      <x:c r="C1341"/>
      <x:c r="D1341"/>
      <x:c r="E1341"/>
      <x:c r="F1341"/>
      <x:c r="G1341"/>
      <x:c r="H1341"/>
      <x:c r="I1341"/>
      <x:c r="J1341"/>
    </x:row>
    <x:row r="1342">
      <x:c r="A1342" t="str">
        <x:v>RD-ACC109C707D3</x:v>
      </x:c>
      <x:c r="B1342"/>
      <x:c r="C1342"/>
      <x:c r="D1342"/>
      <x:c r="E1342"/>
      <x:c r="F1342"/>
      <x:c r="G1342"/>
      <x:c r="H1342"/>
      <x:c r="I1342"/>
      <x:c r="J1342"/>
    </x:row>
    <x:row r="1343">
      <x:c r="A1343" t="str">
        <x:v>RD-B8F576F3CD82</x:v>
      </x:c>
      <x:c r="B1343"/>
      <x:c r="C1343"/>
      <x:c r="D1343"/>
      <x:c r="E1343"/>
      <x:c r="F1343"/>
      <x:c r="G1343"/>
      <x:c r="H1343"/>
      <x:c r="I1343"/>
      <x:c r="J1343"/>
    </x:row>
    <x:row r="1344">
      <x:c r="A1344" t="str">
        <x:v>RD-8CAA612309C0</x:v>
      </x:c>
      <x:c r="B1344"/>
      <x:c r="C1344"/>
      <x:c r="D1344"/>
      <x:c r="E1344"/>
      <x:c r="F1344"/>
      <x:c r="G1344"/>
      <x:c r="H1344"/>
      <x:c r="I1344"/>
      <x:c r="J1344"/>
    </x:row>
    <x:row r="1345">
      <x:c r="A1345" t="str">
        <x:v>RD-1F3C613360D5</x:v>
      </x:c>
      <x:c r="B1345"/>
      <x:c r="C1345"/>
      <x:c r="D1345"/>
      <x:c r="E1345"/>
      <x:c r="F1345"/>
      <x:c r="G1345"/>
      <x:c r="H1345"/>
      <x:c r="I1345"/>
      <x:c r="J1345"/>
    </x:row>
    <x:row r="1346">
      <x:c r="A1346" t="str">
        <x:v>RD-80B6627555B5</x:v>
      </x:c>
      <x:c r="B1346"/>
      <x:c r="C1346"/>
      <x:c r="D1346"/>
      <x:c r="E1346"/>
      <x:c r="F1346"/>
      <x:c r="G1346"/>
      <x:c r="H1346"/>
      <x:c r="I1346"/>
      <x:c r="J1346"/>
    </x:row>
    <x:row r="1347">
      <x:c r="A1347" t="str">
        <x:v>RD-A0140CAF39D9</x:v>
      </x:c>
      <x:c r="B1347"/>
      <x:c r="C1347"/>
      <x:c r="D1347"/>
      <x:c r="E1347"/>
      <x:c r="F1347"/>
      <x:c r="G1347"/>
      <x:c r="H1347"/>
      <x:c r="I1347"/>
      <x:c r="J1347"/>
    </x:row>
    <x:row r="1348">
      <x:c r="A1348" t="str">
        <x:v>ZS-AD2522715005</x:v>
      </x:c>
      <x:c r="B1348"/>
      <x:c r="C1348"/>
      <x:c r="D1348"/>
      <x:c r="E1348"/>
      <x:c r="F1348"/>
      <x:c r="G1348"/>
      <x:c r="H1348"/>
      <x:c r="I1348"/>
      <x:c r="J1348"/>
    </x:row>
    <x:row r="1349">
      <x:c r="A1349" t="str">
        <x:v>ZS-FBCA18A6F3AA</x:v>
      </x:c>
      <x:c r="B1349"/>
      <x:c r="C1349"/>
      <x:c r="D1349"/>
      <x:c r="E1349"/>
      <x:c r="F1349"/>
      <x:c r="G1349"/>
      <x:c r="H1349"/>
      <x:c r="I1349"/>
      <x:c r="J1349"/>
    </x:row>
    <x:row r="1350">
      <x:c r="A1350" t="str">
        <x:v>ZS-AE8FF4C001F9</x:v>
      </x:c>
      <x:c r="B1350"/>
      <x:c r="C1350"/>
      <x:c r="D1350"/>
      <x:c r="E1350"/>
      <x:c r="F1350"/>
      <x:c r="G1350"/>
      <x:c r="H1350"/>
      <x:c r="I1350"/>
      <x:c r="J1350"/>
    </x:row>
    <x:row r="1351">
      <x:c r="A1351" t="str">
        <x:v>ZS-CEEDC6416DDA</x:v>
      </x:c>
      <x:c r="B1351"/>
      <x:c r="C1351"/>
      <x:c r="D1351"/>
      <x:c r="E1351"/>
      <x:c r="F1351"/>
      <x:c r="G1351"/>
      <x:c r="H1351"/>
      <x:c r="I1351"/>
      <x:c r="J1351"/>
    </x:row>
    <x:row r="1352">
      <x:c r="A1352" t="str">
        <x:v>ZS-C5A0408533E8</x:v>
      </x:c>
      <x:c r="B1352"/>
      <x:c r="C1352"/>
      <x:c r="D1352"/>
      <x:c r="E1352"/>
      <x:c r="F1352"/>
      <x:c r="G1352"/>
      <x:c r="H1352"/>
      <x:c r="I1352"/>
      <x:c r="J1352"/>
    </x:row>
    <x:row r="1353">
      <x:c r="A1353" t="str">
        <x:v>ZS-8353C1F02943</x:v>
      </x:c>
      <x:c r="B1353"/>
      <x:c r="C1353"/>
      <x:c r="D1353"/>
      <x:c r="E1353"/>
      <x:c r="F1353"/>
      <x:c r="G1353"/>
      <x:c r="H1353"/>
      <x:c r="I1353"/>
      <x:c r="J1353"/>
    </x:row>
    <x:row r="1354">
      <x:c r="A1354" t="str">
        <x:v>ZS-D9374338563B</x:v>
      </x:c>
      <x:c r="B1354"/>
      <x:c r="C1354"/>
      <x:c r="D1354"/>
      <x:c r="E1354"/>
      <x:c r="F1354"/>
      <x:c r="G1354"/>
      <x:c r="H1354"/>
      <x:c r="I1354"/>
      <x:c r="J1354"/>
    </x:row>
    <x:row r="1355">
      <x:c r="A1355" t="str">
        <x:v>ZS-A665377CF0B0</x:v>
      </x:c>
      <x:c r="B1355"/>
      <x:c r="C1355"/>
      <x:c r="D1355"/>
      <x:c r="E1355"/>
      <x:c r="F1355"/>
      <x:c r="G1355"/>
      <x:c r="H1355"/>
      <x:c r="I1355"/>
      <x:c r="J1355"/>
    </x:row>
    <x:row r="1356">
      <x:c r="A1356" t="str">
        <x:v>ZS-8455A29DC034</x:v>
      </x:c>
      <x:c r="B1356"/>
      <x:c r="C1356"/>
      <x:c r="D1356"/>
      <x:c r="E1356"/>
      <x:c r="F1356"/>
      <x:c r="G1356"/>
      <x:c r="H1356"/>
      <x:c r="I1356"/>
      <x:c r="J1356"/>
    </x:row>
    <x:row r="1357">
      <x:c r="A1357" t="str">
        <x:v>ZS-435F86220D5D</x:v>
      </x:c>
      <x:c r="B1357"/>
      <x:c r="C1357"/>
      <x:c r="D1357"/>
      <x:c r="E1357"/>
      <x:c r="F1357"/>
      <x:c r="G1357"/>
      <x:c r="H1357"/>
      <x:c r="I1357"/>
      <x:c r="J1357"/>
    </x:row>
    <x:row r="1358">
      <x:c r="A1358" t="str">
        <x:v>ZS-C955C12EEDD6</x:v>
      </x:c>
      <x:c r="B1358"/>
      <x:c r="C1358"/>
      <x:c r="D1358"/>
      <x:c r="E1358"/>
      <x:c r="F1358"/>
      <x:c r="G1358"/>
      <x:c r="H1358"/>
      <x:c r="I1358"/>
      <x:c r="J1358"/>
    </x:row>
    <x:row r="1359">
      <x:c r="A1359" t="str">
        <x:v>ZS-77CAA84BFF26</x:v>
      </x:c>
      <x:c r="B1359"/>
      <x:c r="C1359"/>
      <x:c r="D1359"/>
      <x:c r="E1359"/>
      <x:c r="F1359"/>
      <x:c r="G1359"/>
      <x:c r="H1359"/>
      <x:c r="I1359"/>
      <x:c r="J1359"/>
    </x:row>
    <x:row r="1360">
      <x:c r="A1360" t="str">
        <x:v>ZS-DFF33A2133A2</x:v>
      </x:c>
      <x:c r="B1360"/>
      <x:c r="C1360"/>
      <x:c r="D1360"/>
      <x:c r="E1360"/>
      <x:c r="F1360"/>
      <x:c r="G1360"/>
      <x:c r="H1360"/>
      <x:c r="I1360"/>
      <x:c r="J1360"/>
    </x:row>
    <x:row r="1361">
      <x:c r="A1361" t="str">
        <x:v>ZS-24373A74372A</x:v>
      </x:c>
      <x:c r="B1361"/>
      <x:c r="C1361"/>
      <x:c r="D1361"/>
      <x:c r="E1361"/>
      <x:c r="F1361"/>
      <x:c r="G1361"/>
      <x:c r="H1361"/>
      <x:c r="I1361"/>
      <x:c r="J1361"/>
    </x:row>
    <x:row r="1362">
      <x:c r="A1362" t="str">
        <x:v>ZS-82A62F81F9E4</x:v>
      </x:c>
      <x:c r="B1362"/>
      <x:c r="C1362"/>
      <x:c r="D1362"/>
      <x:c r="E1362"/>
      <x:c r="F1362"/>
      <x:c r="G1362"/>
      <x:c r="H1362"/>
      <x:c r="I1362"/>
      <x:c r="J1362"/>
    </x:row>
    <x:row r="1363">
      <x:c r="A1363" t="str">
        <x:v>ZS-3B821773B4C1</x:v>
      </x:c>
      <x:c r="B1363"/>
      <x:c r="C1363"/>
      <x:c r="D1363"/>
      <x:c r="E1363"/>
      <x:c r="F1363"/>
      <x:c r="G1363"/>
      <x:c r="H1363"/>
      <x:c r="I1363"/>
      <x:c r="J1363"/>
    </x:row>
    <x:row r="1364">
      <x:c r="A1364" t="str">
        <x:v>ZS-EC52770ADEBD</x:v>
      </x:c>
      <x:c r="B1364"/>
      <x:c r="C1364"/>
      <x:c r="D1364"/>
      <x:c r="E1364"/>
      <x:c r="F1364"/>
      <x:c r="G1364"/>
      <x:c r="H1364"/>
      <x:c r="I1364"/>
      <x:c r="J1364"/>
    </x:row>
    <x:row r="1365">
      <x:c r="A1365" t="str">
        <x:v>ZS-0D952268ECE0</x:v>
      </x:c>
      <x:c r="B1365"/>
      <x:c r="C1365"/>
      <x:c r="D1365"/>
      <x:c r="E1365"/>
      <x:c r="F1365"/>
      <x:c r="G1365"/>
      <x:c r="H1365"/>
      <x:c r="I1365"/>
      <x:c r="J1365"/>
    </x:row>
    <x:row r="1366">
      <x:c r="A1366" t="str">
        <x:v>ZS-6C9CC9C8DEDE</x:v>
      </x:c>
      <x:c r="B1366"/>
      <x:c r="C1366"/>
      <x:c r="D1366"/>
      <x:c r="E1366"/>
      <x:c r="F1366"/>
      <x:c r="G1366"/>
      <x:c r="H1366"/>
      <x:c r="I1366"/>
      <x:c r="J1366"/>
    </x:row>
    <x:row r="1367">
      <x:c r="A1367" t="str">
        <x:v>ZS-5CC1EEA7205D</x:v>
      </x:c>
      <x:c r="B1367"/>
      <x:c r="C1367"/>
      <x:c r="D1367"/>
      <x:c r="E1367"/>
      <x:c r="F1367"/>
      <x:c r="G1367"/>
      <x:c r="H1367"/>
      <x:c r="I1367"/>
      <x:c r="J1367"/>
    </x:row>
    <x:row r="1368">
      <x:c r="A1368" t="str">
        <x:v>ZS-9F58EDB72514</x:v>
      </x:c>
      <x:c r="B1368"/>
      <x:c r="C1368"/>
      <x:c r="D1368"/>
      <x:c r="E1368"/>
      <x:c r="F1368"/>
      <x:c r="G1368"/>
      <x:c r="H1368"/>
      <x:c r="I1368"/>
      <x:c r="J1368"/>
    </x:row>
    <x:row r="1369">
      <x:c r="A1369" t="str">
        <x:v>ZS-7990CE9FB1AB</x:v>
      </x:c>
      <x:c r="B1369"/>
      <x:c r="C1369"/>
      <x:c r="D1369"/>
      <x:c r="E1369"/>
      <x:c r="F1369"/>
      <x:c r="G1369"/>
      <x:c r="H1369"/>
      <x:c r="I1369"/>
      <x:c r="J1369"/>
    </x:row>
    <x:row r="1370">
      <x:c r="A1370" t="str">
        <x:v>ZS-2A620FC75B92</x:v>
      </x:c>
      <x:c r="B1370"/>
      <x:c r="C1370"/>
      <x:c r="D1370"/>
      <x:c r="E1370"/>
      <x:c r="F1370"/>
      <x:c r="G1370"/>
      <x:c r="H1370"/>
      <x:c r="I1370"/>
      <x:c r="J1370"/>
    </x:row>
    <x:row r="1371">
      <x:c r="A1371" t="str">
        <x:v>ZS-9CCB4B1B58B2</x:v>
      </x:c>
      <x:c r="B1371"/>
      <x:c r="C1371"/>
      <x:c r="D1371"/>
      <x:c r="E1371"/>
      <x:c r="F1371"/>
      <x:c r="G1371"/>
      <x:c r="H1371"/>
      <x:c r="I1371"/>
      <x:c r="J1371"/>
    </x:row>
    <x:row r="1372">
      <x:c r="A1372" t="str">
        <x:v>ZS-47D592CF0699</x:v>
      </x:c>
      <x:c r="B1372"/>
      <x:c r="C1372"/>
      <x:c r="D1372"/>
      <x:c r="E1372"/>
      <x:c r="F1372"/>
      <x:c r="G1372"/>
      <x:c r="H1372"/>
      <x:c r="I1372"/>
      <x:c r="J1372"/>
    </x:row>
    <x:row r="1373">
      <x:c r="A1373" t="str">
        <x:v>ZS-9EC667F3859A</x:v>
      </x:c>
      <x:c r="B1373"/>
      <x:c r="C1373"/>
      <x:c r="D1373"/>
      <x:c r="E1373"/>
      <x:c r="F1373"/>
      <x:c r="G1373"/>
      <x:c r="H1373"/>
      <x:c r="I1373"/>
      <x:c r="J1373"/>
    </x:row>
    <x:row r="1374">
      <x:c r="A1374" t="str">
        <x:v>ZS-64E16DAE85EF</x:v>
      </x:c>
      <x:c r="B1374"/>
      <x:c r="C1374"/>
      <x:c r="D1374"/>
      <x:c r="E1374"/>
      <x:c r="F1374"/>
      <x:c r="G1374"/>
      <x:c r="H1374"/>
      <x:c r="I1374"/>
      <x:c r="J1374"/>
    </x:row>
    <x:row r="1375">
      <x:c r="A1375" t="str">
        <x:v>ZS-6D413C3AC303</x:v>
      </x:c>
      <x:c r="B1375"/>
      <x:c r="C1375"/>
      <x:c r="D1375"/>
      <x:c r="E1375"/>
      <x:c r="F1375"/>
      <x:c r="G1375"/>
      <x:c r="H1375"/>
      <x:c r="I1375"/>
      <x:c r="J1375"/>
    </x:row>
    <x:row r="1376">
      <x:c r="A1376" t="str">
        <x:v>ZS-194FA1C2193D</x:v>
      </x:c>
      <x:c r="B1376"/>
      <x:c r="C1376"/>
      <x:c r="D1376"/>
      <x:c r="E1376"/>
      <x:c r="F1376"/>
      <x:c r="G1376"/>
      <x:c r="H1376"/>
      <x:c r="I1376"/>
      <x:c r="J1376"/>
    </x:row>
    <x:row r="1377">
      <x:c r="A1377" t="str">
        <x:v>ZS-FC2E8B45F2C1</x:v>
      </x:c>
      <x:c r="B1377"/>
      <x:c r="C1377"/>
      <x:c r="D1377"/>
      <x:c r="E1377"/>
      <x:c r="F1377"/>
      <x:c r="G1377"/>
      <x:c r="H1377"/>
      <x:c r="I1377"/>
      <x:c r="J1377"/>
    </x:row>
    <x:row r="1378">
      <x:c r="A1378" t="str">
        <x:v>ZS-BBD03D8E4F24</x:v>
      </x:c>
      <x:c r="B1378"/>
      <x:c r="C1378"/>
      <x:c r="D1378"/>
      <x:c r="E1378"/>
      <x:c r="F1378"/>
      <x:c r="G1378"/>
      <x:c r="H1378"/>
      <x:c r="I1378"/>
      <x:c r="J1378"/>
    </x:row>
    <x:row r="1379">
      <x:c r="A1379" t="str">
        <x:v>ZS-3C9C86C43EAD</x:v>
      </x:c>
      <x:c r="B1379"/>
      <x:c r="C1379"/>
      <x:c r="D1379"/>
      <x:c r="E1379"/>
      <x:c r="F1379"/>
      <x:c r="G1379"/>
      <x:c r="H1379"/>
      <x:c r="I1379"/>
      <x:c r="J1379"/>
    </x:row>
    <x:row r="1380">
      <x:c r="A1380" t="str">
        <x:v>ZS-86D6B0DECC01</x:v>
      </x:c>
      <x:c r="B1380"/>
      <x:c r="C1380"/>
      <x:c r="D1380"/>
      <x:c r="E1380"/>
      <x:c r="F1380"/>
      <x:c r="G1380"/>
      <x:c r="H1380"/>
      <x:c r="I1380"/>
      <x:c r="J1380"/>
    </x:row>
    <x:row r="1381">
      <x:c r="A1381" t="str">
        <x:v>ZS-F2D41D7B2EA4</x:v>
      </x:c>
      <x:c r="B1381"/>
      <x:c r="C1381"/>
      <x:c r="D1381"/>
      <x:c r="E1381"/>
      <x:c r="F1381"/>
      <x:c r="G1381"/>
      <x:c r="H1381"/>
      <x:c r="I1381"/>
      <x:c r="J1381"/>
    </x:row>
    <x:row r="1382">
      <x:c r="A1382" t="str">
        <x:v>ZS-6E53AA1C5814</x:v>
      </x:c>
      <x:c r="B1382"/>
      <x:c r="C1382"/>
      <x:c r="D1382"/>
      <x:c r="E1382"/>
      <x:c r="F1382"/>
      <x:c r="G1382"/>
      <x:c r="H1382"/>
      <x:c r="I1382"/>
      <x:c r="J1382"/>
    </x:row>
    <x:row r="1383">
      <x:c r="A1383" t="str">
        <x:v>ZS-694C50018680</x:v>
      </x:c>
      <x:c r="B1383"/>
      <x:c r="C1383"/>
      <x:c r="D1383"/>
      <x:c r="E1383"/>
      <x:c r="F1383"/>
      <x:c r="G1383"/>
      <x:c r="H1383"/>
      <x:c r="I1383"/>
      <x:c r="J1383"/>
    </x:row>
    <x:row r="1384">
      <x:c r="A1384" t="str">
        <x:v>ZS-A45EC8962079</x:v>
      </x:c>
      <x:c r="B1384"/>
      <x:c r="C1384"/>
      <x:c r="D1384"/>
      <x:c r="E1384"/>
      <x:c r="F1384"/>
      <x:c r="G1384"/>
      <x:c r="H1384"/>
      <x:c r="I1384"/>
      <x:c r="J1384"/>
    </x:row>
    <x:row r="1385">
      <x:c r="A1385" t="str">
        <x:v>ZS-15E5AF2A80A0</x:v>
      </x:c>
      <x:c r="B1385"/>
      <x:c r="C1385"/>
      <x:c r="D1385"/>
      <x:c r="E1385"/>
      <x:c r="F1385"/>
      <x:c r="G1385"/>
      <x:c r="H1385"/>
      <x:c r="I1385"/>
      <x:c r="J1385"/>
    </x:row>
    <x:row r="1386">
      <x:c r="A1386" t="str">
        <x:v>ZS-9819B215D4DF</x:v>
      </x:c>
      <x:c r="B1386"/>
      <x:c r="C1386"/>
      <x:c r="D1386"/>
      <x:c r="E1386"/>
      <x:c r="F1386"/>
      <x:c r="G1386"/>
      <x:c r="H1386"/>
      <x:c r="I1386"/>
      <x:c r="J1386"/>
    </x:row>
    <x:row r="1387">
      <x:c r="A1387" t="str">
        <x:v>ZS-4C69B6F40BB9</x:v>
      </x:c>
      <x:c r="B1387"/>
      <x:c r="C1387"/>
      <x:c r="D1387"/>
      <x:c r="E1387"/>
      <x:c r="F1387"/>
      <x:c r="G1387"/>
      <x:c r="H1387"/>
      <x:c r="I1387"/>
      <x:c r="J1387"/>
    </x:row>
    <x:row r="1388">
      <x:c r="A1388" t="str">
        <x:v>ZS-30CDF170A5B2</x:v>
      </x:c>
      <x:c r="B1388"/>
      <x:c r="C1388"/>
      <x:c r="D1388"/>
      <x:c r="E1388"/>
      <x:c r="F1388"/>
      <x:c r="G1388"/>
      <x:c r="H1388"/>
      <x:c r="I1388"/>
      <x:c r="J1388"/>
    </x:row>
    <x:row r="1389">
      <x:c r="A1389" t="str">
        <x:v>ZS-90620FEBD915</x:v>
      </x:c>
      <x:c r="B1389"/>
      <x:c r="C1389"/>
      <x:c r="D1389"/>
      <x:c r="E1389"/>
      <x:c r="F1389"/>
      <x:c r="G1389"/>
      <x:c r="H1389"/>
      <x:c r="I1389"/>
      <x:c r="J1389"/>
    </x:row>
    <x:row r="1390">
      <x:c r="A1390" t="str">
        <x:v>ZS-BE5751EC50F5</x:v>
      </x:c>
      <x:c r="B1390"/>
      <x:c r="C1390"/>
      <x:c r="D1390"/>
      <x:c r="E1390"/>
      <x:c r="F1390"/>
      <x:c r="G1390"/>
      <x:c r="H1390"/>
      <x:c r="I1390"/>
      <x:c r="J1390"/>
    </x:row>
    <x:row r="1391">
      <x:c r="A1391" t="str">
        <x:v>ZS-63FB1C598CD7</x:v>
      </x:c>
      <x:c r="B1391"/>
      <x:c r="C1391"/>
      <x:c r="D1391"/>
      <x:c r="E1391"/>
      <x:c r="F1391"/>
      <x:c r="G1391"/>
      <x:c r="H1391"/>
      <x:c r="I1391"/>
      <x:c r="J1391"/>
    </x:row>
    <x:row r="1392">
      <x:c r="A1392" t="str">
        <x:v>ZS-11C51171A621</x:v>
      </x:c>
      <x:c r="B1392"/>
      <x:c r="C1392"/>
      <x:c r="D1392"/>
      <x:c r="E1392"/>
      <x:c r="F1392"/>
      <x:c r="G1392"/>
      <x:c r="H1392"/>
      <x:c r="I1392"/>
      <x:c r="J1392"/>
    </x:row>
    <x:row r="1393">
      <x:c r="A1393" t="str">
        <x:v>ZS-73DEB1635FC6</x:v>
      </x:c>
      <x:c r="B1393"/>
      <x:c r="C1393"/>
      <x:c r="D1393"/>
      <x:c r="E1393"/>
      <x:c r="F1393"/>
      <x:c r="G1393"/>
      <x:c r="H1393"/>
      <x:c r="I1393"/>
      <x:c r="J1393"/>
    </x:row>
    <x:row r="1394">
      <x:c r="A1394" t="str">
        <x:v>ZS-D770C54D294C</x:v>
      </x:c>
      <x:c r="B1394"/>
      <x:c r="C1394"/>
      <x:c r="D1394"/>
      <x:c r="E1394"/>
      <x:c r="F1394"/>
      <x:c r="G1394"/>
      <x:c r="H1394"/>
      <x:c r="I1394"/>
      <x:c r="J1394"/>
    </x:row>
    <x:row r="1395">
      <x:c r="A1395" t="str">
        <x:v>ZS-C4F434BD4ABF</x:v>
      </x:c>
      <x:c r="B1395"/>
      <x:c r="C1395"/>
      <x:c r="D1395"/>
      <x:c r="E1395"/>
      <x:c r="F1395"/>
      <x:c r="G1395"/>
      <x:c r="H1395"/>
      <x:c r="I1395"/>
      <x:c r="J1395"/>
    </x:row>
    <x:row r="1396">
      <x:c r="A1396" t="str">
        <x:v>ZS-FF151D1B29FA</x:v>
      </x:c>
      <x:c r="B1396"/>
      <x:c r="C1396"/>
      <x:c r="D1396"/>
      <x:c r="E1396"/>
      <x:c r="F1396"/>
      <x:c r="G1396"/>
      <x:c r="H1396"/>
      <x:c r="I1396"/>
      <x:c r="J1396"/>
    </x:row>
    <x:row r="1397">
      <x:c r="A1397" t="str">
        <x:v>ZS-EF09E4232884</x:v>
      </x:c>
      <x:c r="B1397"/>
      <x:c r="C1397"/>
      <x:c r="D1397"/>
      <x:c r="E1397"/>
      <x:c r="F1397"/>
      <x:c r="G1397"/>
      <x:c r="H1397"/>
      <x:c r="I1397"/>
      <x:c r="J1397"/>
    </x:row>
    <x:row r="1398">
      <x:c r="A1398" t="str">
        <x:v>ZS-4102ED7432DB</x:v>
      </x:c>
      <x:c r="B1398"/>
      <x:c r="C1398"/>
      <x:c r="D1398"/>
      <x:c r="E1398"/>
      <x:c r="F1398"/>
      <x:c r="G1398"/>
      <x:c r="H1398"/>
      <x:c r="I1398"/>
      <x:c r="J1398"/>
    </x:row>
    <x:row r="1399">
      <x:c r="A1399" t="str">
        <x:v>ZS-7841D5B4C6CD</x:v>
      </x:c>
      <x:c r="B1399"/>
      <x:c r="C1399"/>
      <x:c r="D1399"/>
      <x:c r="E1399"/>
      <x:c r="F1399"/>
      <x:c r="G1399"/>
      <x:c r="H1399"/>
      <x:c r="I1399"/>
      <x:c r="J1399"/>
    </x:row>
    <x:row r="1400">
      <x:c r="A1400" t="str">
        <x:v>ZS-FEDA928547F0</x:v>
      </x:c>
      <x:c r="B1400"/>
      <x:c r="C1400"/>
      <x:c r="D1400"/>
      <x:c r="E1400"/>
      <x:c r="F1400"/>
      <x:c r="G1400"/>
      <x:c r="H1400"/>
      <x:c r="I1400"/>
      <x:c r="J1400"/>
    </x:row>
    <x:row r="1401">
      <x:c r="A1401" t="str">
        <x:v>ZS-5B617B5A465D</x:v>
      </x:c>
      <x:c r="B1401"/>
      <x:c r="C1401"/>
      <x:c r="D1401"/>
      <x:c r="E1401"/>
      <x:c r="F1401"/>
      <x:c r="G1401"/>
      <x:c r="H1401"/>
      <x:c r="I1401"/>
      <x:c r="J1401"/>
    </x:row>
    <x:row r="1402">
      <x:c r="A1402" t="str">
        <x:v>ZS-F900566A3F84</x:v>
      </x:c>
      <x:c r="B1402"/>
      <x:c r="C1402"/>
      <x:c r="D1402"/>
      <x:c r="E1402"/>
      <x:c r="F1402"/>
      <x:c r="G1402"/>
      <x:c r="H1402"/>
      <x:c r="I1402"/>
      <x:c r="J1402"/>
    </x:row>
    <x:row r="1403">
      <x:c r="A1403" t="str">
        <x:v>ZS-8E01E983AD83</x:v>
      </x:c>
      <x:c r="B1403"/>
      <x:c r="C1403"/>
      <x:c r="D1403"/>
      <x:c r="E1403"/>
      <x:c r="F1403"/>
      <x:c r="G1403"/>
      <x:c r="H1403"/>
      <x:c r="I1403"/>
      <x:c r="J1403"/>
    </x:row>
    <x:row r="1404">
      <x:c r="A1404" t="str">
        <x:v>ZS-4E20692B831D</x:v>
      </x:c>
      <x:c r="B1404"/>
      <x:c r="C1404"/>
      <x:c r="D1404"/>
      <x:c r="E1404"/>
      <x:c r="F1404"/>
      <x:c r="G1404"/>
      <x:c r="H1404"/>
      <x:c r="I1404"/>
      <x:c r="J1404"/>
    </x:row>
    <x:row r="1405">
      <x:c r="A1405" t="str">
        <x:v>ZS-12809B072C08</x:v>
      </x:c>
      <x:c r="B1405"/>
      <x:c r="C1405"/>
      <x:c r="D1405"/>
      <x:c r="E1405"/>
      <x:c r="F1405"/>
      <x:c r="G1405"/>
      <x:c r="H1405"/>
      <x:c r="I1405"/>
      <x:c r="J1405"/>
    </x:row>
    <x:row r="1406">
      <x:c r="A1406" t="str">
        <x:v>ZS-61AA3CDBB06A</x:v>
      </x:c>
      <x:c r="B1406"/>
      <x:c r="C1406"/>
      <x:c r="D1406"/>
      <x:c r="E1406"/>
      <x:c r="F1406"/>
      <x:c r="G1406"/>
      <x:c r="H1406"/>
      <x:c r="I1406"/>
      <x:c r="J1406"/>
    </x:row>
    <x:row r="1407">
      <x:c r="A1407" t="str">
        <x:v>ZS-CF2946EFA497</x:v>
      </x:c>
      <x:c r="B1407"/>
      <x:c r="C1407"/>
      <x:c r="D1407"/>
      <x:c r="E1407"/>
      <x:c r="F1407"/>
      <x:c r="G1407"/>
      <x:c r="H1407"/>
      <x:c r="I1407"/>
      <x:c r="J1407"/>
    </x:row>
    <x:row r="1408">
      <x:c r="A1408" t="str">
        <x:v>ZS-B90B408B881E</x:v>
      </x:c>
      <x:c r="B1408"/>
      <x:c r="C1408"/>
      <x:c r="D1408"/>
      <x:c r="E1408"/>
      <x:c r="F1408"/>
      <x:c r="G1408"/>
      <x:c r="H1408"/>
      <x:c r="I1408"/>
      <x:c r="J1408"/>
    </x:row>
    <x:row r="1409">
      <x:c r="A1409" t="str">
        <x:v>ZS-51D0B24C093A</x:v>
      </x:c>
      <x:c r="B1409"/>
      <x:c r="C1409"/>
      <x:c r="D1409"/>
      <x:c r="E1409"/>
      <x:c r="F1409"/>
      <x:c r="G1409"/>
      <x:c r="H1409"/>
      <x:c r="I1409"/>
      <x:c r="J1409"/>
    </x:row>
    <x:row r="1410">
      <x:c r="A1410" t="str">
        <x:v>ZS-6CCE5CC70513</x:v>
      </x:c>
      <x:c r="B1410"/>
      <x:c r="C1410"/>
      <x:c r="D1410"/>
      <x:c r="E1410"/>
      <x:c r="F1410"/>
      <x:c r="G1410"/>
      <x:c r="H1410"/>
      <x:c r="I1410"/>
      <x:c r="J1410"/>
    </x:row>
    <x:row r="1411">
      <x:c r="A1411" t="str">
        <x:v>ZS-084FBD282CCB</x:v>
      </x:c>
      <x:c r="B1411"/>
      <x:c r="C1411"/>
      <x:c r="D1411"/>
      <x:c r="E1411"/>
      <x:c r="F1411"/>
      <x:c r="G1411"/>
      <x:c r="H1411"/>
      <x:c r="I1411"/>
      <x:c r="J1411"/>
    </x:row>
    <x:row r="1412">
      <x:c r="A1412" t="str">
        <x:v>ZS-1C628050F11B</x:v>
      </x:c>
      <x:c r="B1412"/>
      <x:c r="C1412"/>
      <x:c r="D1412"/>
      <x:c r="E1412"/>
      <x:c r="F1412"/>
      <x:c r="G1412"/>
      <x:c r="H1412"/>
      <x:c r="I1412"/>
      <x:c r="J1412"/>
    </x:row>
    <x:row r="1413">
      <x:c r="A1413" t="str">
        <x:v>ZS-085285F5E405</x:v>
      </x:c>
      <x:c r="B1413"/>
      <x:c r="C1413"/>
      <x:c r="D1413"/>
      <x:c r="E1413"/>
      <x:c r="F1413"/>
      <x:c r="G1413"/>
      <x:c r="H1413"/>
      <x:c r="I1413"/>
      <x:c r="J1413"/>
    </x:row>
    <x:row r="1414">
      <x:c r="A1414" t="str">
        <x:v>ZS-8F92EA2A749B</x:v>
      </x:c>
      <x:c r="B1414"/>
      <x:c r="C1414"/>
      <x:c r="D1414"/>
      <x:c r="E1414"/>
      <x:c r="F1414"/>
      <x:c r="G1414"/>
      <x:c r="H1414"/>
      <x:c r="I1414"/>
      <x:c r="J1414"/>
    </x:row>
    <x:row r="1415">
      <x:c r="A1415" t="str">
        <x:v>ZS-F44165F7D7D1</x:v>
      </x:c>
      <x:c r="B1415"/>
      <x:c r="C1415"/>
      <x:c r="D1415"/>
      <x:c r="E1415"/>
      <x:c r="F1415"/>
      <x:c r="G1415"/>
      <x:c r="H1415"/>
      <x:c r="I1415"/>
      <x:c r="J1415"/>
    </x:row>
    <x:row r="1416">
      <x:c r="A1416" t="str">
        <x:v>ZS-A78A5601FDA2</x:v>
      </x:c>
      <x:c r="B1416"/>
      <x:c r="C1416"/>
      <x:c r="D1416"/>
      <x:c r="E1416"/>
      <x:c r="F1416"/>
      <x:c r="G1416"/>
      <x:c r="H1416"/>
      <x:c r="I1416"/>
      <x:c r="J1416"/>
    </x:row>
    <x:row r="1417">
      <x:c r="A1417" t="str">
        <x:v>ZS-CCFB9D1398F4</x:v>
      </x:c>
      <x:c r="B1417"/>
      <x:c r="C1417"/>
      <x:c r="D1417"/>
      <x:c r="E1417"/>
      <x:c r="F1417"/>
      <x:c r="G1417"/>
      <x:c r="H1417"/>
      <x:c r="I1417"/>
      <x:c r="J1417"/>
    </x:row>
    <x:row r="1418">
      <x:c r="A1418" t="str">
        <x:v>ZS-D4AFC59AC34A</x:v>
      </x:c>
      <x:c r="B1418"/>
      <x:c r="C1418"/>
      <x:c r="D1418"/>
      <x:c r="E1418"/>
      <x:c r="F1418"/>
      <x:c r="G1418"/>
      <x:c r="H1418"/>
      <x:c r="I1418"/>
      <x:c r="J1418"/>
    </x:row>
    <x:row r="1419">
      <x:c r="A1419" t="str">
        <x:v>ZS-B58C6D5C45DF</x:v>
      </x:c>
      <x:c r="B1419"/>
      <x:c r="C1419"/>
      <x:c r="D1419"/>
      <x:c r="E1419"/>
      <x:c r="F1419"/>
      <x:c r="G1419"/>
      <x:c r="H1419"/>
      <x:c r="I1419"/>
      <x:c r="J1419"/>
    </x:row>
    <x:row r="1420">
      <x:c r="A1420" t="str">
        <x:v>ZS-F0A3F86EE926</x:v>
      </x:c>
      <x:c r="B1420"/>
      <x:c r="C1420"/>
      <x:c r="D1420"/>
      <x:c r="E1420"/>
      <x:c r="F1420"/>
      <x:c r="G1420"/>
      <x:c r="H1420"/>
      <x:c r="I1420"/>
      <x:c r="J1420"/>
    </x:row>
    <x:row r="1421">
      <x:c r="A1421" t="str">
        <x:v>ZS-E5DE8AEAF5E6</x:v>
      </x:c>
      <x:c r="B1421"/>
      <x:c r="C1421"/>
      <x:c r="D1421"/>
      <x:c r="E1421"/>
      <x:c r="F1421"/>
      <x:c r="G1421"/>
      <x:c r="H1421"/>
      <x:c r="I1421"/>
      <x:c r="J1421"/>
    </x:row>
    <x:row r="1422">
      <x:c r="A1422" t="str">
        <x:v>ZS-141877E09762</x:v>
      </x:c>
      <x:c r="B1422"/>
      <x:c r="C1422"/>
      <x:c r="D1422"/>
      <x:c r="E1422"/>
      <x:c r="F1422"/>
      <x:c r="G1422"/>
      <x:c r="H1422"/>
      <x:c r="I1422"/>
      <x:c r="J1422"/>
    </x:row>
    <x:row r="1423">
      <x:c r="A1423" t="str">
        <x:v>ZS-79022E2ECB13</x:v>
      </x:c>
      <x:c r="B1423"/>
      <x:c r="C1423"/>
      <x:c r="D1423"/>
      <x:c r="E1423"/>
      <x:c r="F1423"/>
      <x:c r="G1423"/>
      <x:c r="H1423"/>
      <x:c r="I1423"/>
      <x:c r="J1423"/>
    </x:row>
    <x:row r="1424">
      <x:c r="A1424" t="str">
        <x:v>ZS-FC06F7A3EBD9</x:v>
      </x:c>
      <x:c r="B1424"/>
      <x:c r="C1424"/>
      <x:c r="D1424"/>
      <x:c r="E1424"/>
      <x:c r="F1424"/>
      <x:c r="G1424"/>
      <x:c r="H1424"/>
      <x:c r="I1424"/>
      <x:c r="J1424"/>
    </x:row>
    <x:row r="1425">
      <x:c r="A1425" t="str">
        <x:v>ZS-537C845745F3</x:v>
      </x:c>
      <x:c r="B1425"/>
      <x:c r="C1425"/>
      <x:c r="D1425"/>
      <x:c r="E1425"/>
      <x:c r="F1425"/>
      <x:c r="G1425"/>
      <x:c r="H1425"/>
      <x:c r="I1425"/>
      <x:c r="J1425"/>
    </x:row>
    <x:row r="1426">
      <x:c r="A1426" t="str">
        <x:v>ZS-390DF1819B8E</x:v>
      </x:c>
      <x:c r="B1426"/>
      <x:c r="C1426"/>
      <x:c r="D1426"/>
      <x:c r="E1426"/>
      <x:c r="F1426"/>
      <x:c r="G1426"/>
      <x:c r="H1426"/>
      <x:c r="I1426"/>
      <x:c r="J1426"/>
    </x:row>
    <x:row r="1427">
      <x:c r="A1427" t="str">
        <x:v>ZS-DB65A68D7087</x:v>
      </x:c>
      <x:c r="B1427"/>
      <x:c r="C1427"/>
      <x:c r="D1427"/>
      <x:c r="E1427"/>
      <x:c r="F1427"/>
      <x:c r="G1427"/>
      <x:c r="H1427"/>
      <x:c r="I1427"/>
      <x:c r="J1427"/>
    </x:row>
    <x:row r="1428">
      <x:c r="A1428" t="str">
        <x:v>ZS-61D73B758D11</x:v>
      </x:c>
      <x:c r="B1428"/>
      <x:c r="C1428"/>
      <x:c r="D1428"/>
      <x:c r="E1428"/>
      <x:c r="F1428"/>
      <x:c r="G1428"/>
      <x:c r="H1428"/>
      <x:c r="I1428"/>
      <x:c r="J1428"/>
    </x:row>
    <x:row r="1429">
      <x:c r="A1429" t="str">
        <x:v>ZS-6D402D9A3459</x:v>
      </x:c>
      <x:c r="B1429"/>
      <x:c r="C1429"/>
      <x:c r="D1429"/>
      <x:c r="E1429"/>
      <x:c r="F1429"/>
      <x:c r="G1429"/>
      <x:c r="H1429"/>
      <x:c r="I1429"/>
      <x:c r="J1429"/>
    </x:row>
    <x:row r="1430">
      <x:c r="A1430" t="str">
        <x:v>ZS-49054A79E6B5</x:v>
      </x:c>
      <x:c r="B1430"/>
      <x:c r="C1430"/>
      <x:c r="D1430"/>
      <x:c r="E1430"/>
      <x:c r="F1430"/>
      <x:c r="G1430"/>
      <x:c r="H1430"/>
      <x:c r="I1430"/>
      <x:c r="J1430"/>
    </x:row>
    <x:row r="1431">
      <x:c r="A1431" t="str">
        <x:v>ZS-89C6912E410F</x:v>
      </x:c>
      <x:c r="B1431"/>
      <x:c r="C1431"/>
      <x:c r="D1431"/>
      <x:c r="E1431"/>
      <x:c r="F1431"/>
      <x:c r="G1431"/>
      <x:c r="H1431"/>
      <x:c r="I1431"/>
      <x:c r="J1431"/>
    </x:row>
    <x:row r="1432">
      <x:c r="A1432" t="str">
        <x:v>ZS-5CF91AB06FB8</x:v>
      </x:c>
      <x:c r="B1432"/>
      <x:c r="C1432"/>
      <x:c r="D1432"/>
      <x:c r="E1432"/>
      <x:c r="F1432"/>
      <x:c r="G1432"/>
      <x:c r="H1432"/>
      <x:c r="I1432"/>
      <x:c r="J1432"/>
    </x:row>
    <x:row r="1433">
      <x:c r="A1433" t="str">
        <x:v>ZS-C361B1CF553D</x:v>
      </x:c>
      <x:c r="B1433"/>
      <x:c r="C1433"/>
      <x:c r="D1433"/>
      <x:c r="E1433"/>
      <x:c r="F1433"/>
      <x:c r="G1433"/>
      <x:c r="H1433"/>
      <x:c r="I1433"/>
      <x:c r="J1433"/>
    </x:row>
    <x:row r="1434">
      <x:c r="A1434" t="str">
        <x:v>ZS-EC98A73DDC27</x:v>
      </x:c>
      <x:c r="B1434"/>
      <x:c r="C1434"/>
      <x:c r="D1434"/>
      <x:c r="E1434"/>
      <x:c r="F1434"/>
      <x:c r="G1434"/>
      <x:c r="H1434"/>
      <x:c r="I1434"/>
      <x:c r="J1434"/>
    </x:row>
    <x:row r="1435">
      <x:c r="A1435" t="str">
        <x:v>ZS-408F68CAB2F6</x:v>
      </x:c>
      <x:c r="B1435"/>
      <x:c r="C1435"/>
      <x:c r="D1435"/>
      <x:c r="E1435"/>
      <x:c r="F1435"/>
      <x:c r="G1435"/>
      <x:c r="H1435"/>
      <x:c r="I1435"/>
      <x:c r="J1435"/>
    </x:row>
    <x:row r="1436">
      <x:c r="A1436" t="str">
        <x:v>ZS-7830718CDAEF</x:v>
      </x:c>
      <x:c r="B1436"/>
      <x:c r="C1436"/>
      <x:c r="D1436"/>
      <x:c r="E1436"/>
      <x:c r="F1436"/>
      <x:c r="G1436"/>
      <x:c r="H1436"/>
      <x:c r="I1436"/>
      <x:c r="J1436"/>
    </x:row>
    <x:row r="1437">
      <x:c r="A1437" t="str">
        <x:v>ZS-05E0144E5A82</x:v>
      </x:c>
      <x:c r="B1437"/>
      <x:c r="C1437"/>
      <x:c r="D1437"/>
      <x:c r="E1437"/>
      <x:c r="F1437"/>
      <x:c r="G1437"/>
      <x:c r="H1437"/>
      <x:c r="I1437"/>
      <x:c r="J1437"/>
    </x:row>
    <x:row r="1438">
      <x:c r="A1438" t="str">
        <x:v>ZS-83B842D7D158</x:v>
      </x:c>
      <x:c r="B1438"/>
      <x:c r="C1438"/>
      <x:c r="D1438"/>
      <x:c r="E1438"/>
      <x:c r="F1438"/>
      <x:c r="G1438"/>
      <x:c r="H1438"/>
      <x:c r="I1438"/>
      <x:c r="J1438"/>
    </x:row>
    <x:row r="1439">
      <x:c r="A1439" t="str">
        <x:v>ZS-F265B57F11F4</x:v>
      </x:c>
      <x:c r="B1439"/>
      <x:c r="C1439"/>
      <x:c r="D1439"/>
      <x:c r="E1439"/>
      <x:c r="F1439"/>
      <x:c r="G1439"/>
      <x:c r="H1439"/>
      <x:c r="I1439"/>
      <x:c r="J1439"/>
    </x:row>
    <x:row r="1440">
      <x:c r="A1440" t="str">
        <x:v>ZS-8458ADF2A258</x:v>
      </x:c>
      <x:c r="B1440"/>
      <x:c r="C1440"/>
      <x:c r="D1440"/>
      <x:c r="E1440"/>
      <x:c r="F1440"/>
      <x:c r="G1440"/>
      <x:c r="H1440"/>
      <x:c r="I1440"/>
      <x:c r="J1440"/>
    </x:row>
    <x:row r="1441">
      <x:c r="A1441" t="str">
        <x:v>ZS-CCE831D61FBB</x:v>
      </x:c>
      <x:c r="B1441"/>
      <x:c r="C1441"/>
      <x:c r="D1441"/>
      <x:c r="E1441"/>
      <x:c r="F1441"/>
      <x:c r="G1441"/>
      <x:c r="H1441"/>
      <x:c r="I1441"/>
      <x:c r="J1441"/>
    </x:row>
    <x:row r="1442">
      <x:c r="A1442" t="str">
        <x:v>ZS-10C3DD31BC33</x:v>
      </x:c>
      <x:c r="B1442"/>
      <x:c r="C1442"/>
      <x:c r="D1442"/>
      <x:c r="E1442"/>
      <x:c r="F1442"/>
      <x:c r="G1442"/>
      <x:c r="H1442"/>
      <x:c r="I1442"/>
      <x:c r="J1442"/>
    </x:row>
    <x:row r="1443">
      <x:c r="A1443" t="str">
        <x:v>ZS-527D1BA5CE5C</x:v>
      </x:c>
      <x:c r="B1443"/>
      <x:c r="C1443"/>
      <x:c r="D1443"/>
      <x:c r="E1443"/>
      <x:c r="F1443"/>
      <x:c r="G1443"/>
      <x:c r="H1443"/>
      <x:c r="I1443"/>
      <x:c r="J1443"/>
    </x:row>
    <x:row r="1444">
      <x:c r="A1444" t="str">
        <x:v>ZS-1F3725E8370B</x:v>
      </x:c>
      <x:c r="B1444"/>
      <x:c r="C1444"/>
      <x:c r="D1444"/>
      <x:c r="E1444"/>
      <x:c r="F1444"/>
      <x:c r="G1444"/>
      <x:c r="H1444"/>
      <x:c r="I1444"/>
      <x:c r="J1444"/>
    </x:row>
    <x:row r="1445">
      <x:c r="A1445" t="str">
        <x:v>ZS-811222CFBC54</x:v>
      </x:c>
      <x:c r="B1445"/>
      <x:c r="C1445"/>
      <x:c r="D1445"/>
      <x:c r="E1445"/>
      <x:c r="F1445"/>
      <x:c r="G1445"/>
      <x:c r="H1445"/>
      <x:c r="I1445"/>
      <x:c r="J1445"/>
    </x:row>
    <x:row r="1446">
      <x:c r="A1446" t="str">
        <x:v>ZS-DBEDDB85881B</x:v>
      </x:c>
      <x:c r="B1446"/>
      <x:c r="C1446"/>
      <x:c r="D1446"/>
      <x:c r="E1446"/>
      <x:c r="F1446"/>
      <x:c r="G1446"/>
      <x:c r="H1446"/>
      <x:c r="I1446"/>
      <x:c r="J1446"/>
    </x:row>
    <x:row r="1447">
      <x:c r="A1447" t="str">
        <x:v>ZS-60EA7426A685</x:v>
      </x:c>
      <x:c r="B1447"/>
      <x:c r="C1447"/>
      <x:c r="D1447"/>
      <x:c r="E1447"/>
      <x:c r="F1447"/>
      <x:c r="G1447"/>
      <x:c r="H1447"/>
      <x:c r="I1447"/>
      <x:c r="J1447"/>
    </x:row>
    <x:row r="1448">
      <x:c r="A1448" t="str">
        <x:v>ZS-D5F773C8710C</x:v>
      </x:c>
      <x:c r="B1448"/>
      <x:c r="C1448"/>
      <x:c r="D1448"/>
      <x:c r="E1448"/>
      <x:c r="F1448"/>
      <x:c r="G1448"/>
      <x:c r="H1448"/>
      <x:c r="I1448"/>
      <x:c r="J1448"/>
    </x:row>
    <x:row r="1449">
      <x:c r="A1449" t="str">
        <x:v>ZS-F8B4BEEB6FC7</x:v>
      </x:c>
      <x:c r="B1449"/>
      <x:c r="C1449"/>
      <x:c r="D1449"/>
      <x:c r="E1449"/>
      <x:c r="F1449"/>
      <x:c r="G1449"/>
      <x:c r="H1449"/>
      <x:c r="I1449"/>
      <x:c r="J1449"/>
    </x:row>
    <x:row r="1450">
      <x:c r="A1450" t="str">
        <x:v>ZS-7591DC4A284C</x:v>
      </x:c>
      <x:c r="B1450"/>
      <x:c r="C1450"/>
      <x:c r="D1450"/>
      <x:c r="E1450"/>
      <x:c r="F1450"/>
      <x:c r="G1450"/>
      <x:c r="H1450"/>
      <x:c r="I1450"/>
      <x:c r="J1450"/>
    </x:row>
    <x:row r="1451">
      <x:c r="A1451" t="str">
        <x:v>ZS-9A26F78C2E12</x:v>
      </x:c>
      <x:c r="B1451"/>
      <x:c r="C1451"/>
      <x:c r="D1451"/>
      <x:c r="E1451"/>
      <x:c r="F1451"/>
      <x:c r="G1451"/>
      <x:c r="H1451"/>
      <x:c r="I1451"/>
      <x:c r="J1451"/>
    </x:row>
    <x:row r="1452">
      <x:c r="A1452" t="str">
        <x:v>ZS-101325F84433</x:v>
      </x:c>
      <x:c r="B1452"/>
      <x:c r="C1452"/>
      <x:c r="D1452"/>
      <x:c r="E1452"/>
      <x:c r="F1452"/>
      <x:c r="G1452"/>
      <x:c r="H1452"/>
      <x:c r="I1452"/>
      <x:c r="J1452"/>
    </x:row>
    <x:row r="1453">
      <x:c r="A1453" t="str">
        <x:v>ZS-6A58A52DF456</x:v>
      </x:c>
      <x:c r="B1453"/>
      <x:c r="C1453"/>
      <x:c r="D1453"/>
      <x:c r="E1453"/>
      <x:c r="F1453"/>
      <x:c r="G1453"/>
      <x:c r="H1453"/>
      <x:c r="I1453"/>
      <x:c r="J1453"/>
    </x:row>
    <x:row r="1454">
      <x:c r="A1454" t="str">
        <x:v>ZS-4AD4EDBF4187</x:v>
      </x:c>
      <x:c r="B1454"/>
      <x:c r="C1454"/>
      <x:c r="D1454"/>
      <x:c r="E1454"/>
      <x:c r="F1454"/>
      <x:c r="G1454"/>
      <x:c r="H1454"/>
      <x:c r="I1454"/>
      <x:c r="J1454"/>
    </x:row>
    <x:row r="1455">
      <x:c r="A1455" t="str">
        <x:v>ZS-305A5A5DA591</x:v>
      </x:c>
      <x:c r="B1455"/>
      <x:c r="C1455"/>
      <x:c r="D1455"/>
      <x:c r="E1455"/>
      <x:c r="F1455"/>
      <x:c r="G1455"/>
      <x:c r="H1455"/>
      <x:c r="I1455"/>
      <x:c r="J1455"/>
    </x:row>
    <x:row r="1456">
      <x:c r="A1456" t="str">
        <x:v>ZS-77A6A993EA20</x:v>
      </x:c>
      <x:c r="B1456"/>
      <x:c r="C1456"/>
      <x:c r="D1456"/>
      <x:c r="E1456"/>
      <x:c r="F1456"/>
      <x:c r="G1456"/>
      <x:c r="H1456"/>
      <x:c r="I1456"/>
      <x:c r="J1456"/>
    </x:row>
    <x:row r="1457">
      <x:c r="A1457" t="str">
        <x:v>ZS-0A9F2F633A85</x:v>
      </x:c>
      <x:c r="B1457"/>
      <x:c r="C1457"/>
      <x:c r="D1457"/>
      <x:c r="E1457"/>
      <x:c r="F1457"/>
      <x:c r="G1457"/>
      <x:c r="H1457"/>
      <x:c r="I1457"/>
      <x:c r="J1457"/>
    </x:row>
    <x:row r="1458">
      <x:c r="A1458" t="str">
        <x:v>ZS-D263DC90842C</x:v>
      </x:c>
      <x:c r="B1458"/>
      <x:c r="C1458"/>
      <x:c r="D1458"/>
      <x:c r="E1458"/>
      <x:c r="F1458"/>
      <x:c r="G1458"/>
      <x:c r="H1458"/>
      <x:c r="I1458"/>
      <x:c r="J1458"/>
    </x:row>
    <x:row r="1459">
      <x:c r="A1459" t="str">
        <x:v>ZS-BC511DA7C1C4</x:v>
      </x:c>
      <x:c r="B1459"/>
      <x:c r="C1459"/>
      <x:c r="D1459"/>
      <x:c r="E1459"/>
      <x:c r="F1459"/>
      <x:c r="G1459"/>
      <x:c r="H1459"/>
      <x:c r="I1459"/>
      <x:c r="J1459"/>
    </x:row>
    <x:row r="1460">
      <x:c r="A1460" t="str">
        <x:v>ZS-6968ED8503CB</x:v>
      </x:c>
      <x:c r="B1460"/>
      <x:c r="C1460"/>
      <x:c r="D1460"/>
      <x:c r="E1460"/>
      <x:c r="F1460"/>
      <x:c r="G1460"/>
      <x:c r="H1460"/>
      <x:c r="I1460"/>
      <x:c r="J1460"/>
    </x:row>
    <x:row r="1461">
      <x:c r="A1461" t="str">
        <x:v>ZS-5A1CF3C713B5</x:v>
      </x:c>
      <x:c r="B1461"/>
      <x:c r="C1461"/>
      <x:c r="D1461"/>
      <x:c r="E1461"/>
      <x:c r="F1461"/>
      <x:c r="G1461"/>
      <x:c r="H1461"/>
      <x:c r="I1461"/>
      <x:c r="J1461"/>
    </x:row>
    <x:row r="1462">
      <x:c r="A1462" t="str">
        <x:v>ZS-A08CD317CFA8</x:v>
      </x:c>
      <x:c r="B1462"/>
      <x:c r="C1462"/>
      <x:c r="D1462"/>
      <x:c r="E1462"/>
      <x:c r="F1462"/>
      <x:c r="G1462"/>
      <x:c r="H1462"/>
      <x:c r="I1462"/>
      <x:c r="J1462"/>
    </x:row>
    <x:row r="1463">
      <x:c r="A1463" t="str">
        <x:v>ZS-18F6A71C8841</x:v>
      </x:c>
      <x:c r="B1463"/>
      <x:c r="C1463"/>
      <x:c r="D1463"/>
      <x:c r="E1463"/>
      <x:c r="F1463"/>
      <x:c r="G1463"/>
      <x:c r="H1463"/>
      <x:c r="I1463"/>
      <x:c r="J1463"/>
    </x:row>
    <x:row r="1464">
      <x:c r="A1464" t="str">
        <x:v>ZS-616E81C6B7E0</x:v>
      </x:c>
      <x:c r="B1464"/>
      <x:c r="C1464"/>
      <x:c r="D1464"/>
      <x:c r="E1464"/>
      <x:c r="F1464"/>
      <x:c r="G1464"/>
      <x:c r="H1464"/>
      <x:c r="I1464"/>
      <x:c r="J1464"/>
    </x:row>
    <x:row r="1465">
      <x:c r="A1465" t="str">
        <x:v>ZS-2C27756BD67C</x:v>
      </x:c>
      <x:c r="B1465"/>
      <x:c r="C1465"/>
      <x:c r="D1465"/>
      <x:c r="E1465"/>
      <x:c r="F1465"/>
      <x:c r="G1465"/>
      <x:c r="H1465"/>
      <x:c r="I1465"/>
      <x:c r="J1465"/>
    </x:row>
    <x:row r="1466">
      <x:c r="A1466" t="str">
        <x:v>ZS-795E1E4B0152</x:v>
      </x:c>
      <x:c r="B1466"/>
      <x:c r="C1466"/>
      <x:c r="D1466"/>
      <x:c r="E1466"/>
      <x:c r="F1466"/>
      <x:c r="G1466"/>
      <x:c r="H1466"/>
      <x:c r="I1466"/>
      <x:c r="J1466"/>
    </x:row>
    <x:row r="1467">
      <x:c r="A1467" t="str">
        <x:v>ZS-589AB3AB9AF9</x:v>
      </x:c>
      <x:c r="B1467"/>
      <x:c r="C1467"/>
      <x:c r="D1467"/>
      <x:c r="E1467"/>
      <x:c r="F1467"/>
      <x:c r="G1467"/>
      <x:c r="H1467"/>
      <x:c r="I1467"/>
      <x:c r="J1467"/>
    </x:row>
    <x:row r="1468">
      <x:c r="A1468" t="str">
        <x:v>ZS-36917D245BBA</x:v>
      </x:c>
      <x:c r="B1468"/>
      <x:c r="C1468"/>
      <x:c r="D1468"/>
      <x:c r="E1468"/>
      <x:c r="F1468"/>
      <x:c r="G1468"/>
      <x:c r="H1468"/>
      <x:c r="I1468"/>
      <x:c r="J1468"/>
    </x:row>
    <x:row r="1469">
      <x:c r="A1469" t="str">
        <x:v>ZS-09394FE139FC</x:v>
      </x:c>
      <x:c r="B1469"/>
      <x:c r="C1469"/>
      <x:c r="D1469"/>
      <x:c r="E1469"/>
      <x:c r="F1469"/>
      <x:c r="G1469"/>
      <x:c r="H1469"/>
      <x:c r="I1469"/>
      <x:c r="J1469"/>
    </x:row>
    <x:row r="1470">
      <x:c r="A1470" t="str">
        <x:v>ZS-08CC04AD8388</x:v>
      </x:c>
      <x:c r="B1470"/>
      <x:c r="C1470"/>
      <x:c r="D1470"/>
      <x:c r="E1470"/>
      <x:c r="F1470"/>
      <x:c r="G1470"/>
      <x:c r="H1470"/>
      <x:c r="I1470"/>
      <x:c r="J1470"/>
    </x:row>
    <x:row r="1471">
      <x:c r="A1471" t="str">
        <x:v>ZS-C7CD133421B4</x:v>
      </x:c>
      <x:c r="B1471"/>
      <x:c r="C1471"/>
      <x:c r="D1471"/>
      <x:c r="E1471"/>
      <x:c r="F1471"/>
      <x:c r="G1471"/>
      <x:c r="H1471"/>
      <x:c r="I1471"/>
      <x:c r="J1471"/>
    </x:row>
    <x:row r="1472">
      <x:c r="A1472" t="str">
        <x:v>ZS-C629EE9077E7</x:v>
      </x:c>
      <x:c r="B1472"/>
      <x:c r="C1472"/>
      <x:c r="D1472"/>
      <x:c r="E1472"/>
      <x:c r="F1472"/>
      <x:c r="G1472"/>
      <x:c r="H1472"/>
      <x:c r="I1472"/>
      <x:c r="J1472"/>
    </x:row>
    <x:row r="1473">
      <x:c r="A1473" t="str">
        <x:v>ZS-44B9EED83CA3</x:v>
      </x:c>
      <x:c r="B1473"/>
      <x:c r="C1473"/>
      <x:c r="D1473"/>
      <x:c r="E1473"/>
      <x:c r="F1473"/>
      <x:c r="G1473"/>
      <x:c r="H1473"/>
      <x:c r="I1473"/>
      <x:c r="J1473"/>
    </x:row>
    <x:row r="1474">
      <x:c r="A1474" t="str">
        <x:v>ZS-C8FA3E1FA24F</x:v>
      </x:c>
      <x:c r="B1474"/>
      <x:c r="C1474"/>
      <x:c r="D1474"/>
      <x:c r="E1474"/>
      <x:c r="F1474"/>
      <x:c r="G1474"/>
      <x:c r="H1474"/>
      <x:c r="I1474"/>
      <x:c r="J1474"/>
    </x:row>
    <x:row r="1475">
      <x:c r="A1475" t="str">
        <x:v>ZS-53227C15A59E</x:v>
      </x:c>
      <x:c r="B1475"/>
      <x:c r="C1475"/>
      <x:c r="D1475"/>
      <x:c r="E1475"/>
      <x:c r="F1475"/>
      <x:c r="G1475"/>
      <x:c r="H1475"/>
      <x:c r="I1475"/>
      <x:c r="J1475"/>
    </x:row>
    <x:row r="1476">
      <x:c r="A1476" t="str">
        <x:v>ZS-85AF435200B0</x:v>
      </x:c>
      <x:c r="B1476"/>
      <x:c r="C1476"/>
      <x:c r="D1476"/>
      <x:c r="E1476"/>
      <x:c r="F1476"/>
      <x:c r="G1476"/>
      <x:c r="H1476"/>
      <x:c r="I1476"/>
      <x:c r="J1476"/>
    </x:row>
    <x:row r="1477">
      <x:c r="A1477" t="str">
        <x:v>ZS-1CDE634EE8B6</x:v>
      </x:c>
      <x:c r="B1477"/>
      <x:c r="C1477"/>
      <x:c r="D1477"/>
      <x:c r="E1477"/>
      <x:c r="F1477"/>
      <x:c r="G1477"/>
      <x:c r="H1477"/>
      <x:c r="I1477"/>
      <x:c r="J1477"/>
    </x:row>
    <x:row r="1478">
      <x:c r="A1478" t="str">
        <x:v>ZS-4A650240D817</x:v>
      </x:c>
      <x:c r="B1478"/>
      <x:c r="C1478"/>
      <x:c r="D1478"/>
      <x:c r="E1478"/>
      <x:c r="F1478"/>
      <x:c r="G1478"/>
      <x:c r="H1478"/>
      <x:c r="I1478"/>
      <x:c r="J1478"/>
    </x:row>
    <x:row r="1479">
      <x:c r="A1479" t="str">
        <x:v>ZS-335A5FA2ABEC</x:v>
      </x:c>
      <x:c r="B1479"/>
      <x:c r="C1479"/>
      <x:c r="D1479"/>
      <x:c r="E1479"/>
      <x:c r="F1479"/>
      <x:c r="G1479"/>
      <x:c r="H1479"/>
      <x:c r="I1479"/>
      <x:c r="J1479"/>
    </x:row>
    <x:row r="1480">
      <x:c r="A1480" t="str">
        <x:v>ZS-795D19139E7E</x:v>
      </x:c>
      <x:c r="B1480"/>
      <x:c r="C1480"/>
      <x:c r="D1480"/>
      <x:c r="E1480"/>
      <x:c r="F1480"/>
      <x:c r="G1480"/>
      <x:c r="H1480"/>
      <x:c r="I1480"/>
      <x:c r="J1480"/>
    </x:row>
    <x:row r="1481">
      <x:c r="A1481" t="str">
        <x:v>ZS-0FFE560CA83C</x:v>
      </x:c>
      <x:c r="B1481"/>
      <x:c r="C1481"/>
      <x:c r="D1481"/>
      <x:c r="E1481"/>
      <x:c r="F1481"/>
      <x:c r="G1481"/>
      <x:c r="H1481"/>
      <x:c r="I1481"/>
      <x:c r="J1481"/>
    </x:row>
    <x:row r="1482">
      <x:c r="A1482" t="str">
        <x:v>ZS-0F132D067598</x:v>
      </x:c>
      <x:c r="B1482"/>
      <x:c r="C1482"/>
      <x:c r="D1482"/>
      <x:c r="E1482"/>
      <x:c r="F1482"/>
      <x:c r="G1482"/>
      <x:c r="H1482"/>
      <x:c r="I1482"/>
      <x:c r="J1482"/>
    </x:row>
    <x:row r="1483">
      <x:c r="A1483" t="str">
        <x:v>ZS-B293EAAB5F21</x:v>
      </x:c>
      <x:c r="B1483"/>
      <x:c r="C1483"/>
      <x:c r="D1483"/>
      <x:c r="E1483"/>
      <x:c r="F1483"/>
      <x:c r="G1483"/>
      <x:c r="H1483"/>
      <x:c r="I1483"/>
      <x:c r="J1483"/>
    </x:row>
    <x:row r="1484">
      <x:c r="A1484" t="str">
        <x:v>ZS-B5E11AC663B9</x:v>
      </x:c>
      <x:c r="B1484"/>
      <x:c r="C1484"/>
      <x:c r="D1484"/>
      <x:c r="E1484"/>
      <x:c r="F1484"/>
      <x:c r="G1484"/>
      <x:c r="H1484"/>
      <x:c r="I1484"/>
      <x:c r="J1484"/>
    </x:row>
    <x:row r="1485">
      <x:c r="A1485" t="str">
        <x:v>ZS-8EB61F1DAB67</x:v>
      </x:c>
      <x:c r="B1485"/>
      <x:c r="C1485"/>
      <x:c r="D1485"/>
      <x:c r="E1485"/>
      <x:c r="F1485"/>
      <x:c r="G1485"/>
      <x:c r="H1485"/>
      <x:c r="I1485"/>
      <x:c r="J1485"/>
    </x:row>
    <x:row r="1486">
      <x:c r="A1486" t="str">
        <x:v>ZS-73557A4351A4</x:v>
      </x:c>
      <x:c r="B1486"/>
      <x:c r="C1486"/>
      <x:c r="D1486"/>
      <x:c r="E1486"/>
      <x:c r="F1486"/>
      <x:c r="G1486"/>
      <x:c r="H1486"/>
      <x:c r="I1486"/>
      <x:c r="J1486"/>
    </x:row>
    <x:row r="1487">
      <x:c r="A1487" t="str">
        <x:v>ZS-976FD611579E</x:v>
      </x:c>
      <x:c r="B1487"/>
      <x:c r="C1487"/>
      <x:c r="D1487"/>
      <x:c r="E1487"/>
      <x:c r="F1487"/>
      <x:c r="G1487"/>
      <x:c r="H1487"/>
      <x:c r="I1487"/>
      <x:c r="J1487"/>
    </x:row>
    <x:row r="1488">
      <x:c r="A1488" t="str">
        <x:v>ZS-BB19A66CD1D4</x:v>
      </x:c>
      <x:c r="B1488"/>
      <x:c r="C1488"/>
      <x:c r="D1488"/>
      <x:c r="E1488"/>
      <x:c r="F1488"/>
      <x:c r="G1488"/>
      <x:c r="H1488"/>
      <x:c r="I1488"/>
      <x:c r="J1488"/>
    </x:row>
    <x:row r="1489">
      <x:c r="A1489" t="str">
        <x:v>ZS-0E60B94C975C</x:v>
      </x:c>
      <x:c r="B1489"/>
      <x:c r="C1489"/>
      <x:c r="D1489"/>
      <x:c r="E1489"/>
      <x:c r="F1489"/>
      <x:c r="G1489"/>
      <x:c r="H1489"/>
      <x:c r="I1489"/>
      <x:c r="J1489"/>
    </x:row>
    <x:row r="1490">
      <x:c r="A1490" t="str">
        <x:v>ZS-53478C961AB0</x:v>
      </x:c>
      <x:c r="B1490"/>
      <x:c r="C1490"/>
      <x:c r="D1490"/>
      <x:c r="E1490"/>
      <x:c r="F1490"/>
      <x:c r="G1490"/>
      <x:c r="H1490"/>
      <x:c r="I1490"/>
      <x:c r="J1490"/>
    </x:row>
    <x:row r="1491">
      <x:c r="A1491" t="str">
        <x:v>ZS-760EFE99F7EE</x:v>
      </x:c>
      <x:c r="B1491"/>
      <x:c r="C1491"/>
      <x:c r="D1491"/>
      <x:c r="E1491"/>
      <x:c r="F1491"/>
      <x:c r="G1491"/>
      <x:c r="H1491"/>
      <x:c r="I1491"/>
      <x:c r="J1491"/>
    </x:row>
    <x:row r="1492">
      <x:c r="A1492" t="str">
        <x:v>ZS-FC340247417B</x:v>
      </x:c>
      <x:c r="B1492"/>
      <x:c r="C1492"/>
      <x:c r="D1492"/>
      <x:c r="E1492"/>
      <x:c r="F1492"/>
      <x:c r="G1492"/>
      <x:c r="H1492"/>
      <x:c r="I1492"/>
      <x:c r="J1492"/>
    </x:row>
    <x:row r="1493">
      <x:c r="A1493" t="str">
        <x:v>ZS-ED4525F24700</x:v>
      </x:c>
      <x:c r="B1493"/>
      <x:c r="C1493"/>
      <x:c r="D1493"/>
      <x:c r="E1493"/>
      <x:c r="F1493"/>
      <x:c r="G1493"/>
      <x:c r="H1493"/>
      <x:c r="I1493"/>
      <x:c r="J1493"/>
    </x:row>
    <x:row r="1494">
      <x:c r="A1494" t="str">
        <x:v>ZS-CFD4BA933786</x:v>
      </x:c>
      <x:c r="B1494"/>
      <x:c r="C1494"/>
      <x:c r="D1494"/>
      <x:c r="E1494"/>
      <x:c r="F1494"/>
      <x:c r="G1494"/>
      <x:c r="H1494"/>
      <x:c r="I1494"/>
      <x:c r="J1494"/>
    </x:row>
    <x:row r="1495">
      <x:c r="A1495" t="str">
        <x:v>ZS-E73B50F99ABA</x:v>
      </x:c>
      <x:c r="B1495"/>
      <x:c r="C1495"/>
      <x:c r="D1495"/>
      <x:c r="E1495"/>
      <x:c r="F1495"/>
      <x:c r="G1495"/>
      <x:c r="H1495"/>
      <x:c r="I1495"/>
      <x:c r="J1495"/>
    </x:row>
    <x:row r="1496">
      <x:c r="A1496" t="str">
        <x:v>ZS-8A40ADD4AF1E</x:v>
      </x:c>
      <x:c r="B1496"/>
      <x:c r="C1496"/>
      <x:c r="D1496"/>
      <x:c r="E1496"/>
      <x:c r="F1496"/>
      <x:c r="G1496"/>
      <x:c r="H1496"/>
      <x:c r="I1496"/>
      <x:c r="J1496"/>
    </x:row>
    <x:row r="1497">
      <x:c r="A1497" t="str">
        <x:v>ZS-7AEC4B05724F</x:v>
      </x:c>
      <x:c r="B1497"/>
      <x:c r="C1497"/>
      <x:c r="D1497"/>
      <x:c r="E1497"/>
      <x:c r="F1497"/>
      <x:c r="G1497"/>
      <x:c r="H1497"/>
      <x:c r="I1497"/>
      <x:c r="J1497"/>
    </x:row>
    <x:row r="1498">
      <x:c r="A1498" t="str">
        <x:v>ZS-B99C0DF0B69A</x:v>
      </x:c>
      <x:c r="B1498"/>
      <x:c r="C1498"/>
      <x:c r="D1498"/>
      <x:c r="E1498"/>
      <x:c r="F1498"/>
      <x:c r="G1498"/>
      <x:c r="H1498"/>
      <x:c r="I1498"/>
      <x:c r="J1498"/>
    </x:row>
    <x:row r="1499">
      <x:c r="A1499" t="str">
        <x:v>ZS-03252A72E7B6</x:v>
      </x:c>
      <x:c r="B1499"/>
      <x:c r="C1499"/>
      <x:c r="D1499"/>
      <x:c r="E1499"/>
      <x:c r="F1499"/>
      <x:c r="G1499"/>
      <x:c r="H1499"/>
      <x:c r="I1499"/>
      <x:c r="J1499"/>
    </x:row>
    <x:row r="1500">
      <x:c r="A1500" t="str">
        <x:v>ZS-6511486327D8</x:v>
      </x:c>
      <x:c r="B1500"/>
      <x:c r="C1500"/>
      <x:c r="D1500"/>
      <x:c r="E1500"/>
      <x:c r="F1500"/>
      <x:c r="G1500"/>
      <x:c r="H1500"/>
      <x:c r="I1500"/>
      <x:c r="J1500"/>
    </x:row>
    <x:row r="1501">
      <x:c r="A1501" t="str">
        <x:v>ZS-1B7A30E1E1DE</x:v>
      </x:c>
      <x:c r="B1501"/>
      <x:c r="C1501"/>
      <x:c r="D1501"/>
      <x:c r="E1501"/>
      <x:c r="F1501"/>
      <x:c r="G1501"/>
      <x:c r="H1501"/>
      <x:c r="I1501"/>
      <x:c r="J1501"/>
    </x:row>
    <x:row r="1502">
      <x:c r="A1502" t="str">
        <x:v>ZS-39B7DAD1EABE</x:v>
      </x:c>
      <x:c r="B1502"/>
      <x:c r="C1502"/>
      <x:c r="D1502"/>
      <x:c r="E1502"/>
      <x:c r="F1502"/>
      <x:c r="G1502"/>
      <x:c r="H1502"/>
      <x:c r="I1502"/>
      <x:c r="J1502"/>
    </x:row>
    <x:row r="1503">
      <x:c r="A1503" t="str">
        <x:v>ZS-488D69A7F782</x:v>
      </x:c>
      <x:c r="B1503"/>
      <x:c r="C1503"/>
      <x:c r="D1503"/>
      <x:c r="E1503"/>
      <x:c r="F1503"/>
      <x:c r="G1503"/>
      <x:c r="H1503"/>
      <x:c r="I1503"/>
      <x:c r="J1503"/>
    </x:row>
    <x:row r="1504">
      <x:c r="A1504" t="str">
        <x:v>ZS-CD2CEDFF6DBF</x:v>
      </x:c>
      <x:c r="B1504"/>
      <x:c r="C1504"/>
      <x:c r="D1504"/>
      <x:c r="E1504"/>
      <x:c r="F1504"/>
      <x:c r="G1504"/>
      <x:c r="H1504"/>
      <x:c r="I1504"/>
      <x:c r="J1504"/>
    </x:row>
    <x:row r="1505">
      <x:c r="A1505" t="str">
        <x:v>ZS-4C84111B2451</x:v>
      </x:c>
      <x:c r="B1505"/>
      <x:c r="C1505"/>
      <x:c r="D1505"/>
      <x:c r="E1505"/>
      <x:c r="F1505"/>
      <x:c r="G1505"/>
      <x:c r="H1505"/>
      <x:c r="I1505"/>
      <x:c r="J1505"/>
    </x:row>
    <x:row r="1506">
      <x:c r="A1506" t="str">
        <x:v>ZS-C9194E1C5194</x:v>
      </x:c>
      <x:c r="B1506"/>
      <x:c r="C1506"/>
      <x:c r="D1506"/>
      <x:c r="E1506"/>
      <x:c r="F1506"/>
      <x:c r="G1506"/>
      <x:c r="H1506"/>
      <x:c r="I1506"/>
      <x:c r="J1506"/>
    </x:row>
    <x:row r="1507">
      <x:c r="A1507" t="str">
        <x:v>ZS-5E078AB2548C</x:v>
      </x:c>
      <x:c r="B1507"/>
      <x:c r="C1507"/>
      <x:c r="D1507"/>
      <x:c r="E1507"/>
      <x:c r="F1507"/>
      <x:c r="G1507"/>
      <x:c r="H1507"/>
      <x:c r="I1507"/>
      <x:c r="J1507"/>
    </x:row>
    <x:row r="1508">
      <x:c r="A1508" t="str">
        <x:v>ZS-26E9E4E1C721</x:v>
      </x:c>
      <x:c r="B1508"/>
      <x:c r="C1508"/>
      <x:c r="D1508"/>
      <x:c r="E1508"/>
      <x:c r="F1508"/>
      <x:c r="G1508"/>
      <x:c r="H1508"/>
      <x:c r="I1508"/>
      <x:c r="J1508"/>
    </x:row>
    <x:row r="1509">
      <x:c r="A1509" t="str">
        <x:v>ZS-2A0C5932A698</x:v>
      </x:c>
      <x:c r="B1509"/>
      <x:c r="C1509"/>
      <x:c r="D1509"/>
      <x:c r="E1509"/>
      <x:c r="F1509"/>
      <x:c r="G1509"/>
      <x:c r="H1509"/>
      <x:c r="I1509"/>
      <x:c r="J1509"/>
    </x:row>
    <x:row r="1510">
      <x:c r="A1510" t="str">
        <x:v>ZS-A4CC9F323CDB</x:v>
      </x:c>
      <x:c r="B1510"/>
      <x:c r="C1510"/>
      <x:c r="D1510"/>
      <x:c r="E1510"/>
      <x:c r="F1510"/>
      <x:c r="G1510"/>
      <x:c r="H1510"/>
      <x:c r="I1510"/>
      <x:c r="J1510"/>
    </x:row>
    <x:row r="1511">
      <x:c r="A1511" t="str">
        <x:v>ZS-E3C18B071568</x:v>
      </x:c>
      <x:c r="B1511"/>
      <x:c r="C1511"/>
      <x:c r="D1511"/>
      <x:c r="E1511"/>
      <x:c r="F1511"/>
      <x:c r="G1511"/>
      <x:c r="H1511"/>
      <x:c r="I1511"/>
      <x:c r="J1511"/>
    </x:row>
    <x:row r="1512">
      <x:c r="A1512" t="str">
        <x:v>ZS-786C1716E386</x:v>
      </x:c>
      <x:c r="B1512"/>
      <x:c r="C1512"/>
      <x:c r="D1512"/>
      <x:c r="E1512"/>
      <x:c r="F1512"/>
      <x:c r="G1512"/>
      <x:c r="H1512"/>
      <x:c r="I1512"/>
      <x:c r="J1512"/>
    </x:row>
    <x:row r="1513">
      <x:c r="A1513" t="str">
        <x:v>ZS-06F4E28517B9</x:v>
      </x:c>
      <x:c r="B1513"/>
      <x:c r="C1513"/>
      <x:c r="D1513"/>
      <x:c r="E1513"/>
      <x:c r="F1513"/>
      <x:c r="G1513"/>
      <x:c r="H1513"/>
      <x:c r="I1513"/>
      <x:c r="J1513"/>
    </x:row>
    <x:row r="1514">
      <x:c r="A1514" t="str">
        <x:v>ZS-BA802ACEFEB6</x:v>
      </x:c>
      <x:c r="B1514"/>
      <x:c r="C1514"/>
      <x:c r="D1514"/>
      <x:c r="E1514"/>
      <x:c r="F1514"/>
      <x:c r="G1514"/>
      <x:c r="H1514"/>
      <x:c r="I1514"/>
      <x:c r="J1514"/>
    </x:row>
    <x:row r="1515">
      <x:c r="A1515" t="str">
        <x:v>ZS-882F08F5AB19</x:v>
      </x:c>
      <x:c r="B1515"/>
      <x:c r="C1515"/>
      <x:c r="D1515"/>
      <x:c r="E1515"/>
      <x:c r="F1515"/>
      <x:c r="G1515"/>
      <x:c r="H1515"/>
      <x:c r="I1515"/>
      <x:c r="J1515"/>
    </x:row>
    <x:row r="1516">
      <x:c r="A1516" t="str">
        <x:v>ZS-2C0DCCDC20B8</x:v>
      </x:c>
      <x:c r="B1516"/>
      <x:c r="C1516"/>
      <x:c r="D1516"/>
      <x:c r="E1516"/>
      <x:c r="F1516"/>
      <x:c r="G1516"/>
      <x:c r="H1516"/>
      <x:c r="I1516"/>
      <x:c r="J1516"/>
    </x:row>
    <x:row r="1517">
      <x:c r="A1517" t="str">
        <x:v>ZS-5F5808900584</x:v>
      </x:c>
      <x:c r="B1517"/>
      <x:c r="C1517"/>
      <x:c r="D1517"/>
      <x:c r="E1517"/>
      <x:c r="F1517"/>
      <x:c r="G1517"/>
      <x:c r="H1517"/>
      <x:c r="I1517"/>
      <x:c r="J1517"/>
    </x:row>
    <x:row r="1518">
      <x:c r="A1518" t="str">
        <x:v>ZS-09A63F05C44D</x:v>
      </x:c>
      <x:c r="B1518"/>
      <x:c r="C1518"/>
      <x:c r="D1518"/>
      <x:c r="E1518"/>
      <x:c r="F1518"/>
      <x:c r="G1518"/>
      <x:c r="H1518"/>
      <x:c r="I1518"/>
      <x:c r="J1518"/>
    </x:row>
    <x:row r="1519">
      <x:c r="A1519" t="str">
        <x:v>ZS-CC8A80319133</x:v>
      </x:c>
      <x:c r="B1519"/>
      <x:c r="C1519"/>
      <x:c r="D1519"/>
      <x:c r="E1519"/>
      <x:c r="F1519"/>
      <x:c r="G1519"/>
      <x:c r="H1519"/>
      <x:c r="I1519"/>
      <x:c r="J1519"/>
    </x:row>
    <x:row r="1520">
      <x:c r="A1520" t="str">
        <x:v>ZS-6DADAED8D242</x:v>
      </x:c>
      <x:c r="B1520"/>
      <x:c r="C1520"/>
      <x:c r="D1520"/>
      <x:c r="E1520"/>
      <x:c r="F1520"/>
      <x:c r="G1520"/>
      <x:c r="H1520"/>
      <x:c r="I1520"/>
      <x:c r="J1520"/>
    </x:row>
    <x:row r="1521">
      <x:c r="A1521" t="str">
        <x:v>ZS-1CA04D6F0028</x:v>
      </x:c>
      <x:c r="B1521"/>
      <x:c r="C1521"/>
      <x:c r="D1521"/>
      <x:c r="E1521"/>
      <x:c r="F1521"/>
      <x:c r="G1521"/>
      <x:c r="H1521"/>
      <x:c r="I1521"/>
      <x:c r="J1521"/>
    </x:row>
    <x:row r="1522">
      <x:c r="A1522" t="str">
        <x:v>ZS-675D67630AB1</x:v>
      </x:c>
      <x:c r="B1522"/>
      <x:c r="C1522"/>
      <x:c r="D1522"/>
      <x:c r="E1522"/>
      <x:c r="F1522"/>
      <x:c r="G1522"/>
      <x:c r="H1522"/>
      <x:c r="I1522"/>
      <x:c r="J1522"/>
    </x:row>
    <x:row r="1523">
      <x:c r="A1523" t="str">
        <x:v>ZS-9DBEFE5B3749</x:v>
      </x:c>
      <x:c r="B1523"/>
      <x:c r="C1523"/>
      <x:c r="D1523"/>
      <x:c r="E1523"/>
      <x:c r="F1523"/>
      <x:c r="G1523"/>
      <x:c r="H1523"/>
      <x:c r="I1523"/>
      <x:c r="J1523"/>
    </x:row>
    <x:row r="1524">
      <x:c r="A1524" t="str">
        <x:v>ZS-32AF8489E9C0</x:v>
      </x:c>
      <x:c r="B1524"/>
      <x:c r="C1524"/>
      <x:c r="D1524"/>
      <x:c r="E1524"/>
      <x:c r="F1524"/>
      <x:c r="G1524"/>
      <x:c r="H1524"/>
      <x:c r="I1524"/>
      <x:c r="J1524"/>
    </x:row>
    <x:row r="1525">
      <x:c r="A1525" t="str">
        <x:v>ZS-3C89EFBA755A</x:v>
      </x:c>
      <x:c r="B1525"/>
      <x:c r="C1525"/>
      <x:c r="D1525"/>
      <x:c r="E1525"/>
      <x:c r="F1525"/>
      <x:c r="G1525"/>
      <x:c r="H1525"/>
      <x:c r="I1525"/>
      <x:c r="J1525"/>
    </x:row>
    <x:row r="1526">
      <x:c r="A1526" t="str">
        <x:v>ZS-6E30CEB0B835</x:v>
      </x:c>
      <x:c r="B1526"/>
      <x:c r="C1526"/>
      <x:c r="D1526"/>
      <x:c r="E1526"/>
      <x:c r="F1526"/>
      <x:c r="G1526"/>
      <x:c r="H1526"/>
      <x:c r="I1526"/>
      <x:c r="J1526"/>
    </x:row>
    <x:row r="1527">
      <x:c r="A1527" t="str">
        <x:v>ZS-64790744F294</x:v>
      </x:c>
      <x:c r="B1527"/>
      <x:c r="C1527"/>
      <x:c r="D1527"/>
      <x:c r="E1527"/>
      <x:c r="F1527"/>
      <x:c r="G1527"/>
      <x:c r="H1527"/>
      <x:c r="I1527"/>
      <x:c r="J1527"/>
    </x:row>
    <x:row r="1528">
      <x:c r="A1528" t="str">
        <x:v>ZS-A62100794EB0</x:v>
      </x:c>
      <x:c r="B1528"/>
      <x:c r="C1528"/>
      <x:c r="D1528"/>
      <x:c r="E1528"/>
      <x:c r="F1528"/>
      <x:c r="G1528"/>
      <x:c r="H1528"/>
      <x:c r="I1528"/>
      <x:c r="J1528"/>
    </x:row>
    <x:row r="1529">
      <x:c r="A1529" t="str">
        <x:v>ZS-AA82A9BB6578</x:v>
      </x:c>
      <x:c r="B1529"/>
      <x:c r="C1529"/>
      <x:c r="D1529"/>
      <x:c r="E1529"/>
      <x:c r="F1529"/>
      <x:c r="G1529"/>
      <x:c r="H1529"/>
      <x:c r="I1529"/>
      <x:c r="J1529"/>
    </x:row>
    <x:row r="1530">
      <x:c r="A1530" t="str">
        <x:v>ZS-92164CFB2C58</x:v>
      </x:c>
      <x:c r="B1530"/>
      <x:c r="C1530"/>
      <x:c r="D1530"/>
      <x:c r="E1530"/>
      <x:c r="F1530"/>
      <x:c r="G1530"/>
      <x:c r="H1530"/>
      <x:c r="I1530"/>
      <x:c r="J1530"/>
    </x:row>
    <x:row r="1531">
      <x:c r="A1531" t="str">
        <x:v>ZS-3E59A7BE9836</x:v>
      </x:c>
      <x:c r="B1531"/>
      <x:c r="C1531"/>
      <x:c r="D1531"/>
      <x:c r="E1531"/>
      <x:c r="F1531"/>
      <x:c r="G1531"/>
      <x:c r="H1531"/>
      <x:c r="I1531"/>
      <x:c r="J1531"/>
    </x:row>
    <x:row r="1532">
      <x:c r="A1532" t="str">
        <x:v>ZS-02CD92EB8251</x:v>
      </x:c>
      <x:c r="B1532"/>
      <x:c r="C1532"/>
      <x:c r="D1532"/>
      <x:c r="E1532"/>
      <x:c r="F1532"/>
      <x:c r="G1532"/>
      <x:c r="H1532"/>
      <x:c r="I1532"/>
      <x:c r="J1532"/>
    </x:row>
    <x:row r="1533">
      <x:c r="A1533" t="str">
        <x:v>ZS-017A163EAFF1</x:v>
      </x:c>
      <x:c r="B1533"/>
      <x:c r="C1533"/>
      <x:c r="D1533"/>
      <x:c r="E1533"/>
      <x:c r="F1533"/>
      <x:c r="G1533"/>
      <x:c r="H1533"/>
      <x:c r="I1533"/>
      <x:c r="J1533"/>
    </x:row>
    <x:row r="1534">
      <x:c r="A1534" t="str">
        <x:v>ZS-7F985D1A81F1</x:v>
      </x:c>
      <x:c r="B1534"/>
      <x:c r="C1534"/>
      <x:c r="D1534"/>
      <x:c r="E1534"/>
      <x:c r="F1534"/>
      <x:c r="G1534"/>
      <x:c r="H1534"/>
      <x:c r="I1534"/>
      <x:c r="J1534"/>
    </x:row>
    <x:row r="1535">
      <x:c r="A1535" t="str">
        <x:v>ZS-AE69DF3296FE</x:v>
      </x:c>
      <x:c r="B1535"/>
      <x:c r="C1535"/>
      <x:c r="D1535"/>
      <x:c r="E1535"/>
      <x:c r="F1535"/>
      <x:c r="G1535"/>
      <x:c r="H1535"/>
      <x:c r="I1535"/>
      <x:c r="J1535"/>
    </x:row>
    <x:row r="1536">
      <x:c r="A1536" t="str">
        <x:v>ZS-DD6F4B93E447</x:v>
      </x:c>
      <x:c r="B1536"/>
      <x:c r="C1536"/>
      <x:c r="D1536"/>
      <x:c r="E1536"/>
      <x:c r="F1536"/>
      <x:c r="G1536"/>
      <x:c r="H1536"/>
      <x:c r="I1536"/>
      <x:c r="J1536"/>
    </x:row>
    <x:row r="1537">
      <x:c r="A1537" t="str">
        <x:v>ZS-A1B670FFC058</x:v>
      </x:c>
      <x:c r="B1537"/>
      <x:c r="C1537"/>
      <x:c r="D1537"/>
      <x:c r="E1537"/>
      <x:c r="F1537"/>
      <x:c r="G1537"/>
      <x:c r="H1537"/>
      <x:c r="I1537"/>
      <x:c r="J1537"/>
    </x:row>
    <x:row r="1538">
      <x:c r="A1538" t="str">
        <x:v>ZS-3551D316A062</x:v>
      </x:c>
      <x:c r="B1538"/>
      <x:c r="C1538"/>
      <x:c r="D1538"/>
      <x:c r="E1538"/>
      <x:c r="F1538"/>
      <x:c r="G1538"/>
      <x:c r="H1538"/>
      <x:c r="I1538"/>
      <x:c r="J1538"/>
    </x:row>
    <x:row r="1539">
      <x:c r="A1539" t="str">
        <x:v>ZS-B879D462BFE4</x:v>
      </x:c>
      <x:c r="B1539"/>
      <x:c r="C1539"/>
      <x:c r="D1539"/>
      <x:c r="E1539"/>
      <x:c r="F1539"/>
      <x:c r="G1539"/>
      <x:c r="H1539"/>
      <x:c r="I1539"/>
      <x:c r="J1539"/>
    </x:row>
    <x:row r="1540">
      <x:c r="A1540" t="str">
        <x:v>ZS-EF0C72922641</x:v>
      </x:c>
      <x:c r="B1540"/>
      <x:c r="C1540"/>
      <x:c r="D1540"/>
      <x:c r="E1540"/>
      <x:c r="F1540"/>
      <x:c r="G1540"/>
      <x:c r="H1540"/>
      <x:c r="I1540"/>
      <x:c r="J1540"/>
    </x:row>
    <x:row r="1541">
      <x:c r="A1541" t="str">
        <x:v>ZS-25520136CF0E</x:v>
      </x:c>
      <x:c r="B1541"/>
      <x:c r="C1541"/>
      <x:c r="D1541"/>
      <x:c r="E1541"/>
      <x:c r="F1541"/>
      <x:c r="G1541"/>
      <x:c r="H1541"/>
      <x:c r="I1541"/>
      <x:c r="J1541"/>
    </x:row>
    <x:row r="1542">
      <x:c r="A1542" t="str">
        <x:v>ZS-BA4A16BA5CA5</x:v>
      </x:c>
      <x:c r="B1542"/>
      <x:c r="C1542"/>
      <x:c r="D1542"/>
      <x:c r="E1542"/>
      <x:c r="F1542"/>
      <x:c r="G1542"/>
      <x:c r="H1542"/>
      <x:c r="I1542"/>
      <x:c r="J1542"/>
    </x:row>
    <x:row r="1543">
      <x:c r="A1543" t="str">
        <x:v>ZS-5D5533F75E12</x:v>
      </x:c>
      <x:c r="B1543"/>
      <x:c r="C1543"/>
      <x:c r="D1543"/>
      <x:c r="E1543"/>
      <x:c r="F1543"/>
      <x:c r="G1543"/>
      <x:c r="H1543"/>
      <x:c r="I1543"/>
      <x:c r="J1543"/>
    </x:row>
    <x:row r="1544">
      <x:c r="A1544" t="str">
        <x:v>ZS-EAB7E80B19B0</x:v>
      </x:c>
      <x:c r="B1544"/>
      <x:c r="C1544"/>
      <x:c r="D1544"/>
      <x:c r="E1544"/>
      <x:c r="F1544"/>
      <x:c r="G1544"/>
      <x:c r="H1544"/>
      <x:c r="I1544"/>
      <x:c r="J1544"/>
    </x:row>
    <x:row r="1545">
      <x:c r="A1545" t="str">
        <x:v>ZS-9C2DF1C4C781</x:v>
      </x:c>
      <x:c r="B1545"/>
      <x:c r="C1545"/>
      <x:c r="D1545"/>
      <x:c r="E1545"/>
      <x:c r="F1545"/>
      <x:c r="G1545"/>
      <x:c r="H1545"/>
      <x:c r="I1545"/>
      <x:c r="J1545"/>
    </x:row>
    <x:row r="1546">
      <x:c r="A1546" t="str">
        <x:v>ZS-6D390796980D</x:v>
      </x:c>
      <x:c r="B1546"/>
      <x:c r="C1546"/>
      <x:c r="D1546"/>
      <x:c r="E1546"/>
      <x:c r="F1546"/>
      <x:c r="G1546"/>
      <x:c r="H1546"/>
      <x:c r="I1546"/>
      <x:c r="J1546"/>
    </x:row>
    <x:row r="1547">
      <x:c r="A1547" t="str">
        <x:v>ZS-A52C62F87DDF</x:v>
      </x:c>
      <x:c r="B1547"/>
      <x:c r="C1547"/>
      <x:c r="D1547"/>
      <x:c r="E1547"/>
      <x:c r="F1547"/>
      <x:c r="G1547"/>
      <x:c r="H1547"/>
      <x:c r="I1547"/>
      <x:c r="J1547"/>
    </x:row>
    <x:row r="1548">
      <x:c r="A1548" t="str">
        <x:v>ZS-32615231306E</x:v>
      </x:c>
      <x:c r="B1548"/>
      <x:c r="C1548"/>
      <x:c r="D1548"/>
      <x:c r="E1548"/>
      <x:c r="F1548"/>
      <x:c r="G1548"/>
      <x:c r="H1548"/>
      <x:c r="I1548"/>
      <x:c r="J1548"/>
    </x:row>
    <x:row r="1549">
      <x:c r="A1549" t="str">
        <x:v>ZS-F2C3A526ACE3</x:v>
      </x:c>
      <x:c r="B1549"/>
      <x:c r="C1549"/>
      <x:c r="D1549"/>
      <x:c r="E1549"/>
      <x:c r="F1549"/>
      <x:c r="G1549"/>
      <x:c r="H1549"/>
      <x:c r="I1549"/>
      <x:c r="J1549"/>
    </x:row>
    <x:row r="1550">
      <x:c r="A1550" t="str">
        <x:v>ZS-4635A1001AAA</x:v>
      </x:c>
      <x:c r="B1550"/>
      <x:c r="C1550"/>
      <x:c r="D1550"/>
      <x:c r="E1550"/>
      <x:c r="F1550"/>
      <x:c r="G1550"/>
      <x:c r="H1550"/>
      <x:c r="I1550"/>
      <x:c r="J1550"/>
    </x:row>
    <x:row r="1551">
      <x:c r="A1551" t="str">
        <x:v>ZS-A11AC4DC5737</x:v>
      </x:c>
      <x:c r="B1551"/>
      <x:c r="C1551"/>
      <x:c r="D1551"/>
      <x:c r="E1551"/>
      <x:c r="F1551"/>
      <x:c r="G1551"/>
      <x:c r="H1551"/>
      <x:c r="I1551"/>
      <x:c r="J1551"/>
    </x:row>
    <x:row r="1552">
      <x:c r="A1552" t="str">
        <x:v>ZS-11EEF5565B1F</x:v>
      </x:c>
      <x:c r="B1552"/>
      <x:c r="C1552"/>
      <x:c r="D1552"/>
      <x:c r="E1552"/>
      <x:c r="F1552"/>
      <x:c r="G1552"/>
      <x:c r="H1552"/>
      <x:c r="I1552"/>
      <x:c r="J1552"/>
    </x:row>
    <x:row r="1553">
      <x:c r="A1553" t="str">
        <x:v>ZS-08C2CFB2CCEB</x:v>
      </x:c>
      <x:c r="B1553"/>
      <x:c r="C1553"/>
      <x:c r="D1553"/>
      <x:c r="E1553"/>
      <x:c r="F1553"/>
      <x:c r="G1553"/>
      <x:c r="H1553"/>
      <x:c r="I1553"/>
      <x:c r="J1553"/>
    </x:row>
    <x:row r="1554">
      <x:c r="A1554" t="str">
        <x:v>ZS-3EC212CE022F</x:v>
      </x:c>
      <x:c r="B1554"/>
      <x:c r="C1554"/>
      <x:c r="D1554"/>
      <x:c r="E1554"/>
      <x:c r="F1554"/>
      <x:c r="G1554"/>
      <x:c r="H1554"/>
      <x:c r="I1554"/>
      <x:c r="J1554"/>
    </x:row>
    <x:row r="1555">
      <x:c r="A1555" t="str">
        <x:v>ZS-7A780CBF7F43</x:v>
      </x:c>
      <x:c r="B1555"/>
      <x:c r="C1555"/>
      <x:c r="D1555"/>
      <x:c r="E1555"/>
      <x:c r="F1555"/>
      <x:c r="G1555"/>
      <x:c r="H1555"/>
      <x:c r="I1555"/>
      <x:c r="J1555"/>
    </x:row>
    <x:row r="1556">
      <x:c r="A1556" t="str">
        <x:v>ZS-441AB8FBE005</x:v>
      </x:c>
      <x:c r="B1556"/>
      <x:c r="C1556"/>
      <x:c r="D1556"/>
      <x:c r="E1556"/>
      <x:c r="F1556"/>
      <x:c r="G1556"/>
      <x:c r="H1556"/>
      <x:c r="I1556"/>
      <x:c r="J1556"/>
    </x:row>
    <x:row r="1557">
      <x:c r="A1557" t="str">
        <x:v>ZS-C306EB14B8E2</x:v>
      </x:c>
      <x:c r="B1557"/>
      <x:c r="C1557"/>
      <x:c r="D1557"/>
      <x:c r="E1557"/>
      <x:c r="F1557"/>
      <x:c r="G1557"/>
      <x:c r="H1557"/>
      <x:c r="I1557"/>
      <x:c r="J1557"/>
    </x:row>
    <x:row r="1558">
      <x:c r="A1558" t="str">
        <x:v>ZS-38E5117548D7</x:v>
      </x:c>
      <x:c r="B1558"/>
      <x:c r="C1558"/>
      <x:c r="D1558"/>
      <x:c r="E1558"/>
      <x:c r="F1558"/>
      <x:c r="G1558"/>
      <x:c r="H1558"/>
      <x:c r="I1558"/>
      <x:c r="J1558"/>
    </x:row>
    <x:row r="1559">
      <x:c r="A1559" t="str">
        <x:v>ZS-C007E82D729A</x:v>
      </x:c>
      <x:c r="B1559"/>
      <x:c r="C1559"/>
      <x:c r="D1559"/>
      <x:c r="E1559"/>
      <x:c r="F1559"/>
      <x:c r="G1559"/>
      <x:c r="H1559"/>
      <x:c r="I1559"/>
      <x:c r="J1559"/>
    </x:row>
    <x:row r="1560">
      <x:c r="A1560" t="str">
        <x:v>ZS-30F3745E5D16</x:v>
      </x:c>
      <x:c r="B1560"/>
      <x:c r="C1560"/>
      <x:c r="D1560"/>
      <x:c r="E1560"/>
      <x:c r="F1560"/>
      <x:c r="G1560"/>
      <x:c r="H1560"/>
      <x:c r="I1560"/>
      <x:c r="J1560"/>
    </x:row>
    <x:row r="1561">
      <x:c r="A1561" t="str">
        <x:v>ZS-6B13F7575924</x:v>
      </x:c>
      <x:c r="B1561"/>
      <x:c r="C1561"/>
      <x:c r="D1561"/>
      <x:c r="E1561"/>
      <x:c r="F1561"/>
      <x:c r="G1561"/>
      <x:c r="H1561"/>
      <x:c r="I1561"/>
      <x:c r="J1561"/>
    </x:row>
    <x:row r="1562">
      <x:c r="A1562" t="str">
        <x:v>ZS-02D7517A754E</x:v>
      </x:c>
      <x:c r="B1562"/>
      <x:c r="C1562"/>
      <x:c r="D1562"/>
      <x:c r="E1562"/>
      <x:c r="F1562"/>
      <x:c r="G1562"/>
      <x:c r="H1562"/>
      <x:c r="I1562"/>
      <x:c r="J1562"/>
    </x:row>
    <x:row r="1563">
      <x:c r="A1563" t="str">
        <x:v>ZS-C8634B685E92</x:v>
      </x:c>
      <x:c r="B1563"/>
      <x:c r="C1563"/>
      <x:c r="D1563"/>
      <x:c r="E1563"/>
      <x:c r="F1563"/>
      <x:c r="G1563"/>
      <x:c r="H1563"/>
      <x:c r="I1563"/>
      <x:c r="J1563"/>
    </x:row>
    <x:row r="1564">
      <x:c r="A1564" t="str">
        <x:v>ZS-120625C952DE</x:v>
      </x:c>
      <x:c r="B1564"/>
      <x:c r="C1564"/>
      <x:c r="D1564"/>
      <x:c r="E1564"/>
      <x:c r="F1564"/>
      <x:c r="G1564"/>
      <x:c r="H1564"/>
      <x:c r="I1564"/>
      <x:c r="J1564"/>
    </x:row>
    <x:row r="1565">
      <x:c r="A1565" t="str">
        <x:v>ZS-FB10A72B3EFD</x:v>
      </x:c>
      <x:c r="B1565"/>
      <x:c r="C1565"/>
      <x:c r="D1565"/>
      <x:c r="E1565"/>
      <x:c r="F1565"/>
      <x:c r="G1565"/>
      <x:c r="H1565"/>
      <x:c r="I1565"/>
      <x:c r="J1565"/>
    </x:row>
    <x:row r="1566">
      <x:c r="A1566" t="str">
        <x:v>ZS-BDBDF99C0EEC</x:v>
      </x:c>
      <x:c r="B1566"/>
      <x:c r="C1566"/>
      <x:c r="D1566"/>
      <x:c r="E1566"/>
      <x:c r="F1566"/>
      <x:c r="G1566"/>
      <x:c r="H1566"/>
      <x:c r="I1566"/>
      <x:c r="J1566"/>
    </x:row>
    <x:row r="1567">
      <x:c r="A1567" t="str">
        <x:v>ZS-47E299F2FD0A</x:v>
      </x:c>
      <x:c r="B1567"/>
      <x:c r="C1567"/>
      <x:c r="D1567"/>
      <x:c r="E1567"/>
      <x:c r="F1567"/>
      <x:c r="G1567"/>
      <x:c r="H1567"/>
      <x:c r="I1567"/>
      <x:c r="J1567"/>
    </x:row>
    <x:row r="1568">
      <x:c r="A1568" t="str">
        <x:v>ZS-7F0CD8B2F10A</x:v>
      </x:c>
      <x:c r="B1568"/>
      <x:c r="C1568"/>
      <x:c r="D1568"/>
      <x:c r="E1568"/>
      <x:c r="F1568"/>
      <x:c r="G1568"/>
      <x:c r="H1568"/>
      <x:c r="I1568"/>
      <x:c r="J1568"/>
    </x:row>
    <x:row r="1569">
      <x:c r="A1569" t="str">
        <x:v>ZS-1B0024DAA3C7</x:v>
      </x:c>
      <x:c r="B1569"/>
      <x:c r="C1569"/>
      <x:c r="D1569"/>
      <x:c r="E1569"/>
      <x:c r="F1569"/>
      <x:c r="G1569"/>
      <x:c r="H1569"/>
      <x:c r="I1569"/>
      <x:c r="J1569"/>
    </x:row>
    <x:row r="1570">
      <x:c r="A1570" t="str">
        <x:v>ZS-3507B6CB7C89</x:v>
      </x:c>
      <x:c r="B1570"/>
      <x:c r="C1570"/>
      <x:c r="D1570"/>
      <x:c r="E1570"/>
      <x:c r="F1570"/>
      <x:c r="G1570"/>
      <x:c r="H1570"/>
      <x:c r="I1570"/>
      <x:c r="J1570"/>
    </x:row>
    <x:row r="1571">
      <x:c r="A1571" t="str">
        <x:v>ZS-00205B5B1B1D</x:v>
      </x:c>
      <x:c r="B1571"/>
      <x:c r="C1571"/>
      <x:c r="D1571"/>
      <x:c r="E1571"/>
      <x:c r="F1571"/>
      <x:c r="G1571"/>
      <x:c r="H1571"/>
      <x:c r="I1571"/>
      <x:c r="J1571"/>
    </x:row>
    <x:row r="1572">
      <x:c r="A1572" t="str">
        <x:v>ZS-7019CDBC41CC</x:v>
      </x:c>
      <x:c r="B1572"/>
      <x:c r="C1572"/>
      <x:c r="D1572"/>
      <x:c r="E1572"/>
      <x:c r="F1572"/>
      <x:c r="G1572"/>
      <x:c r="H1572"/>
      <x:c r="I1572"/>
      <x:c r="J1572"/>
    </x:row>
    <x:row r="1573">
      <x:c r="A1573" t="str">
        <x:v>ZS-AF87A56CF4AA</x:v>
      </x:c>
      <x:c r="B1573"/>
      <x:c r="C1573"/>
      <x:c r="D1573"/>
      <x:c r="E1573"/>
      <x:c r="F1573"/>
      <x:c r="G1573"/>
      <x:c r="H1573"/>
      <x:c r="I1573"/>
      <x:c r="J1573"/>
    </x:row>
    <x:row r="1574">
      <x:c r="A1574" t="str">
        <x:v>ZS-83DCA89A345A</x:v>
      </x:c>
      <x:c r="B1574"/>
      <x:c r="C1574"/>
      <x:c r="D1574"/>
      <x:c r="E1574"/>
      <x:c r="F1574"/>
      <x:c r="G1574"/>
      <x:c r="H1574"/>
      <x:c r="I1574"/>
      <x:c r="J1574"/>
    </x:row>
    <x:row r="1575">
      <x:c r="A1575" t="str">
        <x:v>ZS-CA108BF27DD5</x:v>
      </x:c>
      <x:c r="B1575"/>
      <x:c r="C1575"/>
      <x:c r="D1575"/>
      <x:c r="E1575"/>
      <x:c r="F1575"/>
      <x:c r="G1575"/>
      <x:c r="H1575"/>
      <x:c r="I1575"/>
      <x:c r="J1575"/>
    </x:row>
    <x:row r="1576">
      <x:c r="A1576" t="str">
        <x:v>ZS-370411958CB1</x:v>
      </x:c>
      <x:c r="B1576"/>
      <x:c r="C1576"/>
      <x:c r="D1576"/>
      <x:c r="E1576"/>
      <x:c r="F1576"/>
      <x:c r="G1576"/>
      <x:c r="H1576"/>
      <x:c r="I1576"/>
      <x:c r="J1576"/>
    </x:row>
    <x:row r="1577">
      <x:c r="A1577" t="str">
        <x:v>ZS-E4C80124F70E</x:v>
      </x:c>
      <x:c r="B1577"/>
      <x:c r="C1577"/>
      <x:c r="D1577"/>
      <x:c r="E1577"/>
      <x:c r="F1577"/>
      <x:c r="G1577"/>
      <x:c r="H1577"/>
      <x:c r="I1577"/>
      <x:c r="J1577"/>
    </x:row>
    <x:row r="1578">
      <x:c r="A1578" t="str">
        <x:v>ZS-3DFBD161DDB6</x:v>
      </x:c>
      <x:c r="B1578"/>
      <x:c r="C1578"/>
      <x:c r="D1578"/>
      <x:c r="E1578"/>
      <x:c r="F1578"/>
      <x:c r="G1578"/>
      <x:c r="H1578"/>
      <x:c r="I1578"/>
      <x:c r="J1578"/>
    </x:row>
    <x:row r="1579">
      <x:c r="A1579" t="str">
        <x:v>ZS-243E9A0DBAE7</x:v>
      </x:c>
      <x:c r="B1579"/>
      <x:c r="C1579"/>
      <x:c r="D1579"/>
      <x:c r="E1579"/>
      <x:c r="F1579"/>
      <x:c r="G1579"/>
      <x:c r="H1579"/>
      <x:c r="I1579"/>
      <x:c r="J1579"/>
    </x:row>
    <x:row r="1580">
      <x:c r="A1580" t="str">
        <x:v>ZS-21A263F64436</x:v>
      </x:c>
      <x:c r="B1580"/>
      <x:c r="C1580"/>
      <x:c r="D1580"/>
      <x:c r="E1580"/>
      <x:c r="F1580"/>
      <x:c r="G1580"/>
      <x:c r="H1580"/>
      <x:c r="I1580"/>
      <x:c r="J1580"/>
    </x:row>
    <x:row r="1581">
      <x:c r="A1581" t="str">
        <x:v>ZS-0F8807693F02</x:v>
      </x:c>
      <x:c r="B1581"/>
      <x:c r="C1581"/>
      <x:c r="D1581"/>
      <x:c r="E1581"/>
      <x:c r="F1581"/>
      <x:c r="G1581"/>
      <x:c r="H1581"/>
      <x:c r="I1581"/>
      <x:c r="J1581"/>
    </x:row>
    <x:row r="1582">
      <x:c r="A1582" t="str">
        <x:v>ZS-568D0E53758C</x:v>
      </x:c>
      <x:c r="B1582"/>
      <x:c r="C1582"/>
      <x:c r="D1582"/>
      <x:c r="E1582"/>
      <x:c r="F1582"/>
      <x:c r="G1582"/>
      <x:c r="H1582"/>
      <x:c r="I1582"/>
      <x:c r="J1582"/>
    </x:row>
    <x:row r="1583">
      <x:c r="A1583" t="str">
        <x:v>ZS-137D8E5EB2DF</x:v>
      </x:c>
      <x:c r="B1583"/>
      <x:c r="C1583"/>
      <x:c r="D1583"/>
      <x:c r="E1583"/>
      <x:c r="F1583"/>
      <x:c r="G1583"/>
      <x:c r="H1583"/>
      <x:c r="I1583"/>
      <x:c r="J1583"/>
    </x:row>
    <x:row r="1584">
      <x:c r="A1584" t="str">
        <x:v>ZS-9849B54C1421</x:v>
      </x:c>
      <x:c r="B1584"/>
      <x:c r="C1584"/>
      <x:c r="D1584"/>
      <x:c r="E1584"/>
      <x:c r="F1584"/>
      <x:c r="G1584"/>
      <x:c r="H1584"/>
      <x:c r="I1584"/>
      <x:c r="J1584"/>
    </x:row>
    <x:row r="1585">
      <x:c r="A1585" t="str">
        <x:v>ZS-2A41F42AAD2C</x:v>
      </x:c>
      <x:c r="B1585"/>
      <x:c r="C1585"/>
      <x:c r="D1585"/>
      <x:c r="E1585"/>
      <x:c r="F1585"/>
      <x:c r="G1585"/>
      <x:c r="H1585"/>
      <x:c r="I1585"/>
      <x:c r="J1585"/>
    </x:row>
    <x:row r="1586">
      <x:c r="A1586" t="str">
        <x:v>ZS-624E41CED48E</x:v>
      </x:c>
      <x:c r="B1586"/>
      <x:c r="C1586"/>
      <x:c r="D1586"/>
      <x:c r="E1586"/>
      <x:c r="F1586"/>
      <x:c r="G1586"/>
      <x:c r="H1586"/>
      <x:c r="I1586"/>
      <x:c r="J1586"/>
    </x:row>
    <x:row r="1587">
      <x:c r="A1587" t="str">
        <x:v>ZS-67BFE7C24D1A</x:v>
      </x:c>
      <x:c r="B1587"/>
      <x:c r="C1587"/>
      <x:c r="D1587"/>
      <x:c r="E1587"/>
      <x:c r="F1587"/>
      <x:c r="G1587"/>
      <x:c r="H1587"/>
      <x:c r="I1587"/>
      <x:c r="J1587"/>
    </x:row>
    <x:row r="1588">
      <x:c r="A1588" t="str">
        <x:v>ZS-79179F392A5C</x:v>
      </x:c>
      <x:c r="B1588"/>
      <x:c r="C1588"/>
      <x:c r="D1588"/>
      <x:c r="E1588"/>
      <x:c r="F1588"/>
      <x:c r="G1588"/>
      <x:c r="H1588"/>
      <x:c r="I1588"/>
      <x:c r="J1588"/>
    </x:row>
    <x:row r="1589">
      <x:c r="A1589" t="str">
        <x:v>ZS-639E64AAD348</x:v>
      </x:c>
      <x:c r="B1589"/>
      <x:c r="C1589"/>
      <x:c r="D1589"/>
      <x:c r="E1589"/>
      <x:c r="F1589"/>
      <x:c r="G1589"/>
      <x:c r="H1589"/>
      <x:c r="I1589"/>
      <x:c r="J1589"/>
    </x:row>
    <x:row r="1590">
      <x:c r="A1590" t="str">
        <x:v>ZS-00AAF43FF831</x:v>
      </x:c>
      <x:c r="B1590"/>
      <x:c r="C1590"/>
      <x:c r="D1590"/>
      <x:c r="E1590"/>
      <x:c r="F1590"/>
      <x:c r="G1590"/>
      <x:c r="H1590"/>
      <x:c r="I1590"/>
      <x:c r="J1590"/>
    </x:row>
    <x:row r="1591">
      <x:c r="A1591" t="str">
        <x:v>ZS-A410861DEEE4</x:v>
      </x:c>
      <x:c r="B1591"/>
      <x:c r="C1591"/>
      <x:c r="D1591"/>
      <x:c r="E1591"/>
      <x:c r="F1591"/>
      <x:c r="G1591"/>
      <x:c r="H1591"/>
      <x:c r="I1591"/>
      <x:c r="J1591"/>
    </x:row>
    <x:row r="1592">
      <x:c r="A1592" t="str">
        <x:v>ZS-3D3B9E3D6D45</x:v>
      </x:c>
      <x:c r="B1592"/>
      <x:c r="C1592"/>
      <x:c r="D1592"/>
      <x:c r="E1592"/>
      <x:c r="F1592"/>
      <x:c r="G1592"/>
      <x:c r="H1592"/>
      <x:c r="I1592"/>
      <x:c r="J1592"/>
    </x:row>
    <x:row r="1593">
      <x:c r="A1593" t="str">
        <x:v>ZS-423F1820AD88</x:v>
      </x:c>
      <x:c r="B1593"/>
      <x:c r="C1593"/>
      <x:c r="D1593"/>
      <x:c r="E1593"/>
      <x:c r="F1593"/>
      <x:c r="G1593"/>
      <x:c r="H1593"/>
      <x:c r="I1593"/>
      <x:c r="J1593"/>
    </x:row>
    <x:row r="1594">
      <x:c r="A1594" t="str">
        <x:v>ZS-D852504A1795</x:v>
      </x:c>
      <x:c r="B1594"/>
      <x:c r="C1594"/>
      <x:c r="D1594"/>
      <x:c r="E1594"/>
      <x:c r="F1594"/>
      <x:c r="G1594"/>
      <x:c r="H1594"/>
      <x:c r="I1594"/>
      <x:c r="J1594"/>
    </x:row>
    <x:row r="1595">
      <x:c r="A1595" t="str">
        <x:v>ZS-4580880D8417</x:v>
      </x:c>
      <x:c r="B1595"/>
      <x:c r="C1595"/>
      <x:c r="D1595"/>
      <x:c r="E1595"/>
      <x:c r="F1595"/>
      <x:c r="G1595"/>
      <x:c r="H1595"/>
      <x:c r="I1595"/>
      <x:c r="J1595"/>
    </x:row>
    <x:row r="1596">
      <x:c r="A1596" t="str">
        <x:v>ZS-54E9BC7FD8C9</x:v>
      </x:c>
      <x:c r="B1596"/>
      <x:c r="C1596"/>
      <x:c r="D1596"/>
      <x:c r="E1596"/>
      <x:c r="F1596"/>
      <x:c r="G1596"/>
      <x:c r="H1596"/>
      <x:c r="I1596"/>
      <x:c r="J1596"/>
    </x:row>
    <x:row r="1597">
      <x:c r="A1597" t="str">
        <x:v>ZS-4FB264F786D3</x:v>
      </x:c>
      <x:c r="B1597"/>
      <x:c r="C1597"/>
      <x:c r="D1597"/>
      <x:c r="E1597"/>
      <x:c r="F1597"/>
      <x:c r="G1597"/>
      <x:c r="H1597"/>
      <x:c r="I1597"/>
      <x:c r="J1597"/>
    </x:row>
    <x:row r="1598">
      <x:c r="A1598" t="str">
        <x:v>ZS-AF90EC5F17F6</x:v>
      </x:c>
      <x:c r="B1598"/>
      <x:c r="C1598"/>
      <x:c r="D1598"/>
      <x:c r="E1598"/>
      <x:c r="F1598"/>
      <x:c r="G1598"/>
      <x:c r="H1598"/>
      <x:c r="I1598"/>
      <x:c r="J1598"/>
    </x:row>
    <x:row r="1599">
      <x:c r="A1599" t="str">
        <x:v>ZS-2C28A312E768</x:v>
      </x:c>
      <x:c r="B1599"/>
      <x:c r="C1599"/>
      <x:c r="D1599"/>
      <x:c r="E1599"/>
      <x:c r="F1599"/>
      <x:c r="G1599"/>
      <x:c r="H1599"/>
      <x:c r="I1599"/>
      <x:c r="J1599"/>
    </x:row>
    <x:row r="1600">
      <x:c r="A1600" t="str">
        <x:v>ZS-A74C2F352603</x:v>
      </x:c>
      <x:c r="B1600"/>
      <x:c r="C1600"/>
      <x:c r="D1600"/>
      <x:c r="E1600"/>
      <x:c r="F1600"/>
      <x:c r="G1600"/>
      <x:c r="H1600"/>
      <x:c r="I1600"/>
      <x:c r="J1600"/>
    </x:row>
    <x:row r="1601">
      <x:c r="A1601" t="str">
        <x:v>ZS-E30FF930481E</x:v>
      </x:c>
      <x:c r="B1601"/>
      <x:c r="C1601"/>
      <x:c r="D1601"/>
      <x:c r="E1601"/>
      <x:c r="F1601"/>
      <x:c r="G1601"/>
      <x:c r="H1601"/>
      <x:c r="I1601"/>
      <x:c r="J1601"/>
    </x:row>
    <x:row r="1602">
      <x:c r="A1602" t="str">
        <x:v>ZS-10D05A8A3A8B</x:v>
      </x:c>
      <x:c r="B1602"/>
      <x:c r="C1602"/>
      <x:c r="D1602"/>
      <x:c r="E1602"/>
      <x:c r="F1602"/>
      <x:c r="G1602"/>
      <x:c r="H1602"/>
      <x:c r="I1602"/>
      <x:c r="J1602"/>
    </x:row>
    <x:row r="1603">
      <x:c r="A1603" t="str">
        <x:v>ZS-77055D996252</x:v>
      </x:c>
      <x:c r="B1603"/>
      <x:c r="C1603"/>
      <x:c r="D1603"/>
      <x:c r="E1603"/>
      <x:c r="F1603"/>
      <x:c r="G1603"/>
      <x:c r="H1603"/>
      <x:c r="I1603"/>
      <x:c r="J1603"/>
    </x:row>
    <x:row r="1604">
      <x:c r="A1604" t="str">
        <x:v>ZS-51DD86541477</x:v>
      </x:c>
      <x:c r="B1604"/>
      <x:c r="C1604"/>
      <x:c r="D1604"/>
      <x:c r="E1604"/>
      <x:c r="F1604"/>
      <x:c r="G1604"/>
      <x:c r="H1604"/>
      <x:c r="I1604"/>
      <x:c r="J1604"/>
    </x:row>
    <x:row r="1605">
      <x:c r="A1605" t="str">
        <x:v>ZS-A0B90D653019</x:v>
      </x:c>
      <x:c r="B1605"/>
      <x:c r="C1605"/>
      <x:c r="D1605"/>
      <x:c r="E1605"/>
      <x:c r="F1605"/>
      <x:c r="G1605"/>
      <x:c r="H1605"/>
      <x:c r="I1605"/>
      <x:c r="J1605"/>
    </x:row>
    <x:row r="1606">
      <x:c r="A1606" t="str">
        <x:v>ZS-7D257F41049D</x:v>
      </x:c>
      <x:c r="B1606"/>
      <x:c r="C1606"/>
      <x:c r="D1606"/>
      <x:c r="E1606"/>
      <x:c r="F1606"/>
      <x:c r="G1606"/>
      <x:c r="H1606"/>
      <x:c r="I1606"/>
      <x:c r="J1606"/>
    </x:row>
    <x:row r="1607">
      <x:c r="A1607" t="str">
        <x:v>ZS-49E2DAF4887C</x:v>
      </x:c>
      <x:c r="B1607"/>
      <x:c r="C1607"/>
      <x:c r="D1607"/>
      <x:c r="E1607"/>
      <x:c r="F1607"/>
      <x:c r="G1607"/>
      <x:c r="H1607"/>
      <x:c r="I1607"/>
      <x:c r="J1607"/>
    </x:row>
    <x:row r="1608">
      <x:c r="A1608" t="str">
        <x:v>ZS-C9AF347FEDD2</x:v>
      </x:c>
      <x:c r="B1608"/>
      <x:c r="C1608"/>
      <x:c r="D1608"/>
      <x:c r="E1608"/>
      <x:c r="F1608"/>
      <x:c r="G1608"/>
      <x:c r="H1608"/>
      <x:c r="I1608"/>
      <x:c r="J1608"/>
    </x:row>
    <x:row r="1609">
      <x:c r="A1609" t="str">
        <x:v>ZS-3A3ACD63F3D1</x:v>
      </x:c>
      <x:c r="B1609"/>
      <x:c r="C1609"/>
      <x:c r="D1609"/>
      <x:c r="E1609"/>
      <x:c r="F1609"/>
      <x:c r="G1609"/>
      <x:c r="H1609"/>
      <x:c r="I1609"/>
      <x:c r="J1609"/>
    </x:row>
    <x:row r="1610">
      <x:c r="A1610" t="str">
        <x:v>ZS-62CF8E9A860A</x:v>
      </x:c>
      <x:c r="B1610"/>
      <x:c r="C1610"/>
      <x:c r="D1610"/>
      <x:c r="E1610"/>
      <x:c r="F1610"/>
      <x:c r="G1610"/>
      <x:c r="H1610"/>
      <x:c r="I1610"/>
      <x:c r="J1610"/>
    </x:row>
    <x:row r="1611">
      <x:c r="A1611" t="str">
        <x:v>ZS-D8E94EB60999</x:v>
      </x:c>
      <x:c r="B1611"/>
      <x:c r="C1611"/>
      <x:c r="D1611"/>
      <x:c r="E1611"/>
      <x:c r="F1611"/>
      <x:c r="G1611"/>
      <x:c r="H1611"/>
      <x:c r="I1611"/>
      <x:c r="J1611"/>
    </x:row>
    <x:row r="1612">
      <x:c r="A1612" t="str">
        <x:v>ZS-ADA1815CBD05</x:v>
      </x:c>
      <x:c r="B1612"/>
      <x:c r="C1612"/>
      <x:c r="D1612"/>
      <x:c r="E1612"/>
      <x:c r="F1612"/>
      <x:c r="G1612"/>
      <x:c r="H1612"/>
      <x:c r="I1612"/>
      <x:c r="J1612"/>
    </x:row>
    <x:row r="1613">
      <x:c r="A1613" t="str">
        <x:v>ZS-39EF1728BE80</x:v>
      </x:c>
      <x:c r="B1613"/>
      <x:c r="C1613"/>
      <x:c r="D1613"/>
      <x:c r="E1613"/>
      <x:c r="F1613"/>
      <x:c r="G1613"/>
      <x:c r="H1613"/>
      <x:c r="I1613"/>
      <x:c r="J1613"/>
    </x:row>
    <x:row r="1614">
      <x:c r="A1614" t="str">
        <x:v>ZS-E1195F501677</x:v>
      </x:c>
      <x:c r="B1614"/>
      <x:c r="C1614"/>
      <x:c r="D1614"/>
      <x:c r="E1614"/>
      <x:c r="F1614"/>
      <x:c r="G1614"/>
      <x:c r="H1614"/>
      <x:c r="I1614"/>
      <x:c r="J1614"/>
    </x:row>
    <x:row r="1615">
      <x:c r="A1615" t="str">
        <x:v>ZS-2F201FA2C729</x:v>
      </x:c>
      <x:c r="B1615"/>
      <x:c r="C1615"/>
      <x:c r="D1615"/>
      <x:c r="E1615"/>
      <x:c r="F1615"/>
      <x:c r="G1615"/>
      <x:c r="H1615"/>
      <x:c r="I1615"/>
      <x:c r="J1615"/>
    </x:row>
    <x:row r="1616">
      <x:c r="A1616" t="str">
        <x:v>ZS-B920D95E2D2F</x:v>
      </x:c>
      <x:c r="B1616"/>
      <x:c r="C1616"/>
      <x:c r="D1616"/>
      <x:c r="E1616"/>
      <x:c r="F1616"/>
      <x:c r="G1616"/>
      <x:c r="H1616"/>
      <x:c r="I1616"/>
      <x:c r="J1616"/>
    </x:row>
    <x:row r="1617">
      <x:c r="A1617" t="str">
        <x:v>ZS-A179BB86BE53</x:v>
      </x:c>
      <x:c r="B1617"/>
      <x:c r="C1617"/>
      <x:c r="D1617"/>
      <x:c r="E1617"/>
      <x:c r="F1617"/>
      <x:c r="G1617"/>
      <x:c r="H1617"/>
      <x:c r="I1617"/>
      <x:c r="J1617"/>
    </x:row>
    <x:row r="1618">
      <x:c r="A1618" t="str">
        <x:v>ZS-96B60B16993B</x:v>
      </x:c>
      <x:c r="B1618"/>
      <x:c r="C1618"/>
      <x:c r="D1618"/>
      <x:c r="E1618"/>
      <x:c r="F1618"/>
      <x:c r="G1618"/>
      <x:c r="H1618"/>
      <x:c r="I1618"/>
      <x:c r="J1618"/>
    </x:row>
    <x:row r="1619">
      <x:c r="A1619" t="str">
        <x:v>ZS-5CC1254A33FC</x:v>
      </x:c>
      <x:c r="B1619"/>
      <x:c r="C1619"/>
      <x:c r="D1619"/>
      <x:c r="E1619"/>
      <x:c r="F1619"/>
      <x:c r="G1619"/>
      <x:c r="H1619"/>
      <x:c r="I1619"/>
      <x:c r="J1619"/>
    </x:row>
    <x:row r="1620">
      <x:c r="A1620" t="str">
        <x:v>ZS-BAE6A6019382</x:v>
      </x:c>
      <x:c r="B1620"/>
      <x:c r="C1620"/>
      <x:c r="D1620"/>
      <x:c r="E1620"/>
      <x:c r="F1620"/>
      <x:c r="G1620"/>
      <x:c r="H1620"/>
      <x:c r="I1620"/>
      <x:c r="J1620"/>
    </x:row>
    <x:row r="1621">
      <x:c r="A1621" t="str">
        <x:v>ZS-221A3FFFC376</x:v>
      </x:c>
      <x:c r="B1621"/>
      <x:c r="C1621"/>
      <x:c r="D1621"/>
      <x:c r="E1621"/>
      <x:c r="F1621"/>
      <x:c r="G1621"/>
      <x:c r="H1621"/>
      <x:c r="I1621"/>
      <x:c r="J1621"/>
    </x:row>
    <x:row r="1622">
      <x:c r="A1622" t="str">
        <x:v>ZS-9D1EFB3F3C97</x:v>
      </x:c>
      <x:c r="B1622"/>
      <x:c r="C1622"/>
      <x:c r="D1622"/>
      <x:c r="E1622"/>
      <x:c r="F1622"/>
      <x:c r="G1622"/>
      <x:c r="H1622"/>
      <x:c r="I1622"/>
      <x:c r="J1622"/>
    </x:row>
    <x:row r="1623">
      <x:c r="A1623" t="str">
        <x:v>ZS-745E1DB2EA4E</x:v>
      </x:c>
      <x:c r="B1623"/>
      <x:c r="C1623"/>
      <x:c r="D1623"/>
      <x:c r="E1623"/>
      <x:c r="F1623"/>
      <x:c r="G1623"/>
      <x:c r="H1623"/>
      <x:c r="I1623"/>
      <x:c r="J1623"/>
    </x:row>
    <x:row r="1624">
      <x:c r="A1624" t="str">
        <x:v>ZS-BE47B580A3E3</x:v>
      </x:c>
      <x:c r="B1624"/>
      <x:c r="C1624"/>
      <x:c r="D1624"/>
      <x:c r="E1624"/>
      <x:c r="F1624"/>
      <x:c r="G1624"/>
      <x:c r="H1624"/>
      <x:c r="I1624"/>
      <x:c r="J1624"/>
    </x:row>
    <x:row r="1625">
      <x:c r="A1625" t="str">
        <x:v>ZS-D9C724DF6C6B</x:v>
      </x:c>
      <x:c r="B1625"/>
      <x:c r="C1625"/>
      <x:c r="D1625"/>
      <x:c r="E1625"/>
      <x:c r="F1625"/>
      <x:c r="G1625"/>
      <x:c r="H1625"/>
      <x:c r="I1625"/>
      <x:c r="J1625"/>
    </x:row>
    <x:row r="1626">
      <x:c r="A1626" t="str">
        <x:v>ZS-C11258BA3209</x:v>
      </x:c>
      <x:c r="B1626"/>
      <x:c r="C1626"/>
      <x:c r="D1626"/>
      <x:c r="E1626"/>
      <x:c r="F1626"/>
      <x:c r="G1626"/>
      <x:c r="H1626"/>
      <x:c r="I1626"/>
      <x:c r="J1626"/>
    </x:row>
    <x:row r="1627">
      <x:c r="A1627" t="str">
        <x:v>ZS-81857D9D674E</x:v>
      </x:c>
      <x:c r="B1627"/>
      <x:c r="C1627"/>
      <x:c r="D1627"/>
      <x:c r="E1627"/>
      <x:c r="F1627"/>
      <x:c r="G1627"/>
      <x:c r="H1627"/>
      <x:c r="I1627"/>
      <x:c r="J1627"/>
    </x:row>
    <x:row r="1628">
      <x:c r="A1628" t="str">
        <x:v>ZS-B8DBE2E15AB6</x:v>
      </x:c>
      <x:c r="B1628"/>
      <x:c r="C1628"/>
      <x:c r="D1628"/>
      <x:c r="E1628"/>
      <x:c r="F1628"/>
      <x:c r="G1628"/>
      <x:c r="H1628"/>
      <x:c r="I1628"/>
      <x:c r="J1628"/>
    </x:row>
    <x:row r="1629">
      <x:c r="A1629" t="str">
        <x:v>ZS-ED29FC939BD1</x:v>
      </x:c>
      <x:c r="B1629"/>
      <x:c r="C1629"/>
      <x:c r="D1629"/>
      <x:c r="E1629"/>
      <x:c r="F1629"/>
      <x:c r="G1629"/>
      <x:c r="H1629"/>
      <x:c r="I1629"/>
      <x:c r="J1629"/>
    </x:row>
    <x:row r="1630">
      <x:c r="A1630" t="str">
        <x:v>ZS-29EBB8E83850</x:v>
      </x:c>
      <x:c r="B1630"/>
      <x:c r="C1630"/>
      <x:c r="D1630"/>
      <x:c r="E1630"/>
      <x:c r="F1630"/>
      <x:c r="G1630"/>
      <x:c r="H1630"/>
      <x:c r="I1630"/>
      <x:c r="J1630"/>
    </x:row>
    <x:row r="1631">
      <x:c r="A1631" t="str">
        <x:v>ZS-9C632E3A47E5</x:v>
      </x:c>
      <x:c r="B1631"/>
      <x:c r="C1631"/>
      <x:c r="D1631"/>
      <x:c r="E1631"/>
      <x:c r="F1631"/>
      <x:c r="G1631"/>
      <x:c r="H1631"/>
      <x:c r="I1631"/>
      <x:c r="J1631"/>
    </x:row>
    <x:row r="1632">
      <x:c r="A1632" t="str">
        <x:v>ZS-5CE4F5CE6AA5</x:v>
      </x:c>
      <x:c r="B1632"/>
      <x:c r="C1632"/>
      <x:c r="D1632"/>
      <x:c r="E1632"/>
      <x:c r="F1632"/>
      <x:c r="G1632"/>
      <x:c r="H1632"/>
      <x:c r="I1632"/>
      <x:c r="J1632"/>
    </x:row>
    <x:row r="1633">
      <x:c r="A1633" t="str">
        <x:v>ZS-6B899F22D28D</x:v>
      </x:c>
      <x:c r="B1633"/>
      <x:c r="C1633"/>
      <x:c r="D1633"/>
      <x:c r="E1633"/>
      <x:c r="F1633"/>
      <x:c r="G1633"/>
      <x:c r="H1633"/>
      <x:c r="I1633"/>
      <x:c r="J1633"/>
    </x:row>
    <x:row r="1634">
      <x:c r="A1634" t="str">
        <x:v>ZS-7A6A0E73D303</x:v>
      </x:c>
      <x:c r="B1634"/>
      <x:c r="C1634"/>
      <x:c r="D1634"/>
      <x:c r="E1634"/>
      <x:c r="F1634"/>
      <x:c r="G1634"/>
      <x:c r="H1634"/>
      <x:c r="I1634"/>
      <x:c r="J1634"/>
    </x:row>
    <x:row r="1635">
      <x:c r="A1635" t="str">
        <x:v>ZS-A66B75AE96EE</x:v>
      </x:c>
      <x:c r="B1635"/>
      <x:c r="C1635"/>
      <x:c r="D1635"/>
      <x:c r="E1635"/>
      <x:c r="F1635"/>
      <x:c r="G1635"/>
      <x:c r="H1635"/>
      <x:c r="I1635"/>
      <x:c r="J1635"/>
    </x:row>
    <x:row r="1636">
      <x:c r="A1636" t="str">
        <x:v>ZS-9400948F4DDE</x:v>
      </x:c>
      <x:c r="B1636"/>
      <x:c r="C1636"/>
      <x:c r="D1636"/>
      <x:c r="E1636"/>
      <x:c r="F1636"/>
      <x:c r="G1636"/>
      <x:c r="H1636"/>
      <x:c r="I1636"/>
      <x:c r="J1636"/>
    </x:row>
    <x:row r="1637">
      <x:c r="A1637" t="str">
        <x:v>ZS-1F8E161E3A9B</x:v>
      </x:c>
      <x:c r="B1637"/>
      <x:c r="C1637"/>
      <x:c r="D1637"/>
      <x:c r="E1637"/>
      <x:c r="F1637"/>
      <x:c r="G1637"/>
      <x:c r="H1637"/>
      <x:c r="I1637"/>
      <x:c r="J1637"/>
    </x:row>
    <x:row r="1638">
      <x:c r="A1638" t="str">
        <x:v>ZS-67EBC8F5169F</x:v>
      </x:c>
      <x:c r="B1638"/>
      <x:c r="C1638"/>
      <x:c r="D1638"/>
      <x:c r="E1638"/>
      <x:c r="F1638"/>
      <x:c r="G1638"/>
      <x:c r="H1638"/>
      <x:c r="I1638"/>
      <x:c r="J1638"/>
    </x:row>
    <x:row r="1639">
      <x:c r="A1639" t="str">
        <x:v>ZS-EBFB4D722458</x:v>
      </x:c>
      <x:c r="B1639"/>
      <x:c r="C1639"/>
      <x:c r="D1639"/>
      <x:c r="E1639"/>
      <x:c r="F1639"/>
      <x:c r="G1639"/>
      <x:c r="H1639"/>
      <x:c r="I1639"/>
      <x:c r="J1639"/>
    </x:row>
    <x:row r="1640">
      <x:c r="A1640" t="str">
        <x:v>ZS-B473A89B7AF3</x:v>
      </x:c>
      <x:c r="B1640"/>
      <x:c r="C1640"/>
      <x:c r="D1640"/>
      <x:c r="E1640"/>
      <x:c r="F1640"/>
      <x:c r="G1640"/>
      <x:c r="H1640"/>
      <x:c r="I1640"/>
      <x:c r="J1640"/>
    </x:row>
    <x:row r="1641">
      <x:c r="A1641" t="str">
        <x:v>ZS-8F8524B981C8</x:v>
      </x:c>
      <x:c r="B1641"/>
      <x:c r="C1641"/>
      <x:c r="D1641"/>
      <x:c r="E1641"/>
      <x:c r="F1641"/>
      <x:c r="G1641"/>
      <x:c r="H1641"/>
      <x:c r="I1641"/>
      <x:c r="J1641"/>
    </x:row>
    <x:row r="1642">
      <x:c r="A1642" t="str">
        <x:v>ZS-F29BA05C1A55</x:v>
      </x:c>
      <x:c r="B1642"/>
      <x:c r="C1642"/>
      <x:c r="D1642"/>
      <x:c r="E1642"/>
      <x:c r="F1642"/>
      <x:c r="G1642"/>
      <x:c r="H1642"/>
      <x:c r="I1642"/>
      <x:c r="J1642"/>
    </x:row>
    <x:row r="1643">
      <x:c r="A1643" t="str">
        <x:v>ZS-D2380DDA5CAE</x:v>
      </x:c>
      <x:c r="B1643"/>
      <x:c r="C1643"/>
      <x:c r="D1643"/>
      <x:c r="E1643"/>
      <x:c r="F1643"/>
      <x:c r="G1643"/>
      <x:c r="H1643"/>
      <x:c r="I1643"/>
      <x:c r="J1643"/>
    </x:row>
    <x:row r="1644">
      <x:c r="A1644" t="str">
        <x:v>ZS-A1DA86E719A2</x:v>
      </x:c>
      <x:c r="B1644"/>
      <x:c r="C1644"/>
      <x:c r="D1644"/>
      <x:c r="E1644"/>
      <x:c r="F1644"/>
      <x:c r="G1644"/>
      <x:c r="H1644"/>
      <x:c r="I1644"/>
      <x:c r="J1644"/>
    </x:row>
    <x:row r="1645">
      <x:c r="A1645" t="str">
        <x:v>ZS-801011B70C13</x:v>
      </x:c>
      <x:c r="B1645"/>
      <x:c r="C1645"/>
      <x:c r="D1645"/>
      <x:c r="E1645"/>
      <x:c r="F1645"/>
      <x:c r="G1645"/>
      <x:c r="H1645"/>
      <x:c r="I1645"/>
      <x:c r="J1645"/>
    </x:row>
    <x:row r="1646">
      <x:c r="A1646" t="str">
        <x:v>ZS-97104A875553</x:v>
      </x:c>
      <x:c r="B1646"/>
      <x:c r="C1646"/>
      <x:c r="D1646"/>
      <x:c r="E1646"/>
      <x:c r="F1646"/>
      <x:c r="G1646"/>
      <x:c r="H1646"/>
      <x:c r="I1646"/>
      <x:c r="J1646"/>
    </x:row>
    <x:row r="1647">
      <x:c r="A1647" t="str">
        <x:v>ZS-9F80A1EF978F</x:v>
      </x:c>
      <x:c r="B1647"/>
      <x:c r="C1647"/>
      <x:c r="D1647"/>
      <x:c r="E1647"/>
      <x:c r="F1647"/>
      <x:c r="G1647"/>
      <x:c r="H1647"/>
      <x:c r="I1647"/>
      <x:c r="J1647"/>
    </x:row>
    <x:row r="1648">
      <x:c r="A1648" t="str">
        <x:v>ZS-1A4309DCA721</x:v>
      </x:c>
      <x:c r="B1648"/>
      <x:c r="C1648"/>
      <x:c r="D1648"/>
      <x:c r="E1648"/>
      <x:c r="F1648"/>
      <x:c r="G1648"/>
      <x:c r="H1648"/>
      <x:c r="I1648"/>
      <x:c r="J1648"/>
    </x:row>
    <x:row r="1649">
      <x:c r="A1649" t="str">
        <x:v>ZS-1DED8946D142</x:v>
      </x:c>
      <x:c r="B1649"/>
      <x:c r="C1649"/>
      <x:c r="D1649"/>
      <x:c r="E1649"/>
      <x:c r="F1649"/>
      <x:c r="G1649"/>
      <x:c r="H1649"/>
      <x:c r="I1649"/>
      <x:c r="J1649"/>
    </x:row>
    <x:row r="1650">
      <x:c r="A1650" t="str">
        <x:v>ZS-0623249DFE51</x:v>
      </x:c>
      <x:c r="B1650"/>
      <x:c r="C1650"/>
      <x:c r="D1650"/>
      <x:c r="E1650"/>
      <x:c r="F1650"/>
      <x:c r="G1650"/>
      <x:c r="H1650"/>
      <x:c r="I1650"/>
      <x:c r="J1650"/>
    </x:row>
    <x:row r="1651">
      <x:c r="A1651" t="str">
        <x:v>ZS-4F7B86B7BDFF</x:v>
      </x:c>
      <x:c r="B1651"/>
      <x:c r="C1651"/>
      <x:c r="D1651"/>
      <x:c r="E1651"/>
      <x:c r="F1651"/>
      <x:c r="G1651"/>
      <x:c r="H1651"/>
      <x:c r="I1651"/>
      <x:c r="J1651"/>
    </x:row>
    <x:row r="1652">
      <x:c r="A1652" t="str">
        <x:v>ZS-51DAAA2D6E0E</x:v>
      </x:c>
      <x:c r="B1652"/>
      <x:c r="C1652"/>
      <x:c r="D1652"/>
      <x:c r="E1652"/>
      <x:c r="F1652"/>
      <x:c r="G1652"/>
      <x:c r="H1652"/>
      <x:c r="I1652"/>
      <x:c r="J1652"/>
    </x:row>
    <x:row r="1653">
      <x:c r="A1653" t="str">
        <x:v>ZS-6A1A2A5F23B6</x:v>
      </x:c>
      <x:c r="B1653"/>
      <x:c r="C1653"/>
      <x:c r="D1653"/>
      <x:c r="E1653"/>
      <x:c r="F1653"/>
      <x:c r="G1653"/>
      <x:c r="H1653"/>
      <x:c r="I1653"/>
      <x:c r="J1653"/>
    </x:row>
    <x:row r="1654">
      <x:c r="A1654" t="str">
        <x:v>ZS-1C9779CB9887</x:v>
      </x:c>
      <x:c r="B1654"/>
      <x:c r="C1654"/>
      <x:c r="D1654"/>
      <x:c r="E1654"/>
      <x:c r="F1654"/>
      <x:c r="G1654"/>
      <x:c r="H1654"/>
      <x:c r="I1654"/>
      <x:c r="J1654"/>
    </x:row>
    <x:row r="1655">
      <x:c r="A1655" t="str">
        <x:v>ZS-4DF707CAE435</x:v>
      </x:c>
      <x:c r="B1655"/>
      <x:c r="C1655"/>
      <x:c r="D1655"/>
      <x:c r="E1655"/>
      <x:c r="F1655"/>
      <x:c r="G1655"/>
      <x:c r="H1655"/>
      <x:c r="I1655"/>
      <x:c r="J1655"/>
    </x:row>
    <x:row r="1656">
      <x:c r="A1656" t="str">
        <x:v>ZS-79106DCD8396</x:v>
      </x:c>
      <x:c r="B1656"/>
      <x:c r="C1656"/>
      <x:c r="D1656"/>
      <x:c r="E1656"/>
      <x:c r="F1656"/>
      <x:c r="G1656"/>
      <x:c r="H1656"/>
      <x:c r="I1656"/>
      <x:c r="J1656"/>
    </x:row>
    <x:row r="1657">
      <x:c r="A1657" t="str">
        <x:v>ZS-6DA638A2A16A</x:v>
      </x:c>
      <x:c r="B1657"/>
      <x:c r="C1657"/>
      <x:c r="D1657"/>
      <x:c r="E1657"/>
      <x:c r="F1657"/>
      <x:c r="G1657"/>
      <x:c r="H1657"/>
      <x:c r="I1657"/>
      <x:c r="J1657"/>
    </x:row>
    <x:row r="1658">
      <x:c r="A1658" t="str">
        <x:v>ZS-0873FBF4928D</x:v>
      </x:c>
      <x:c r="B1658"/>
      <x:c r="C1658"/>
      <x:c r="D1658"/>
      <x:c r="E1658"/>
      <x:c r="F1658"/>
      <x:c r="G1658"/>
      <x:c r="H1658"/>
      <x:c r="I1658"/>
      <x:c r="J1658"/>
    </x:row>
    <x:row r="1659">
      <x:c r="A1659" t="str">
        <x:v>ZS-616FF26FCCBB</x:v>
      </x:c>
      <x:c r="B1659"/>
      <x:c r="C1659"/>
      <x:c r="D1659"/>
      <x:c r="E1659"/>
      <x:c r="F1659"/>
      <x:c r="G1659"/>
      <x:c r="H1659"/>
      <x:c r="I1659"/>
      <x:c r="J1659"/>
    </x:row>
    <x:row r="1660">
      <x:c r="A1660" t="str">
        <x:v>ZS-6DB5456D8424</x:v>
      </x:c>
      <x:c r="B1660"/>
      <x:c r="C1660"/>
      <x:c r="D1660"/>
      <x:c r="E1660"/>
      <x:c r="F1660"/>
      <x:c r="G1660"/>
      <x:c r="H1660"/>
      <x:c r="I1660"/>
      <x:c r="J1660"/>
    </x:row>
    <x:row r="1661">
      <x:c r="A1661" t="str">
        <x:v>ZS-D69961180510</x:v>
      </x:c>
      <x:c r="B1661"/>
      <x:c r="C1661"/>
      <x:c r="D1661"/>
      <x:c r="E1661"/>
      <x:c r="F1661"/>
      <x:c r="G1661"/>
      <x:c r="H1661"/>
      <x:c r="I1661"/>
      <x:c r="J1661"/>
    </x:row>
    <x:row r="1662">
      <x:c r="A1662" t="str">
        <x:v>ZS-F0BEE77E07D9</x:v>
      </x:c>
      <x:c r="B1662"/>
      <x:c r="C1662"/>
      <x:c r="D1662"/>
      <x:c r="E1662"/>
      <x:c r="F1662"/>
      <x:c r="G1662"/>
      <x:c r="H1662"/>
      <x:c r="I1662"/>
      <x:c r="J1662"/>
    </x:row>
    <x:row r="1663">
      <x:c r="A1663" t="str">
        <x:v>ZS-E7C8020E87D3</x:v>
      </x:c>
      <x:c r="B1663"/>
      <x:c r="C1663"/>
      <x:c r="D1663"/>
      <x:c r="E1663"/>
      <x:c r="F1663"/>
      <x:c r="G1663"/>
      <x:c r="H1663"/>
      <x:c r="I1663"/>
      <x:c r="J1663"/>
    </x:row>
    <x:row r="1664">
      <x:c r="A1664" t="str">
        <x:v>ZS-7894CF5FDB57</x:v>
      </x:c>
      <x:c r="B1664"/>
      <x:c r="C1664"/>
      <x:c r="D1664"/>
      <x:c r="E1664"/>
      <x:c r="F1664"/>
      <x:c r="G1664"/>
      <x:c r="H1664"/>
      <x:c r="I1664"/>
      <x:c r="J1664"/>
    </x:row>
    <x:row r="1665">
      <x:c r="A1665" t="str">
        <x:v>ZS-362473E7742F</x:v>
      </x:c>
      <x:c r="B1665"/>
      <x:c r="C1665"/>
      <x:c r="D1665"/>
      <x:c r="E1665"/>
      <x:c r="F1665"/>
      <x:c r="G1665"/>
      <x:c r="H1665"/>
      <x:c r="I1665"/>
      <x:c r="J1665"/>
    </x:row>
    <x:row r="1666">
      <x:c r="A1666" t="str">
        <x:v>ZS-B815B25B92BF</x:v>
      </x:c>
      <x:c r="B1666"/>
      <x:c r="C1666"/>
      <x:c r="D1666"/>
      <x:c r="E1666"/>
      <x:c r="F1666"/>
      <x:c r="G1666"/>
      <x:c r="H1666"/>
      <x:c r="I1666"/>
      <x:c r="J1666"/>
    </x:row>
    <x:row r="1667">
      <x:c r="A1667" t="str">
        <x:v>ZS-59CEFE4E5A3B</x:v>
      </x:c>
      <x:c r="B1667"/>
      <x:c r="C1667"/>
      <x:c r="D1667"/>
      <x:c r="E1667"/>
      <x:c r="F1667"/>
      <x:c r="G1667"/>
      <x:c r="H1667"/>
      <x:c r="I1667"/>
      <x:c r="J1667"/>
    </x:row>
    <x:row r="1668">
      <x:c r="A1668" t="str">
        <x:v>ZS-68110B1DBCEE</x:v>
      </x:c>
      <x:c r="B1668"/>
      <x:c r="C1668"/>
      <x:c r="D1668"/>
      <x:c r="E1668"/>
      <x:c r="F1668"/>
      <x:c r="G1668"/>
      <x:c r="H1668"/>
      <x:c r="I1668"/>
      <x:c r="J1668"/>
    </x:row>
    <x:row r="1669">
      <x:c r="A1669" t="str">
        <x:v>ZS-C6B9C8602648</x:v>
      </x:c>
      <x:c r="B1669"/>
      <x:c r="C1669"/>
      <x:c r="D1669"/>
      <x:c r="E1669"/>
      <x:c r="F1669"/>
      <x:c r="G1669"/>
      <x:c r="H1669"/>
      <x:c r="I1669"/>
      <x:c r="J1669"/>
    </x:row>
    <x:row r="1670">
      <x:c r="A1670" t="str">
        <x:v>ZS-724477F3F0E2</x:v>
      </x:c>
      <x:c r="B1670"/>
      <x:c r="C1670"/>
      <x:c r="D1670"/>
      <x:c r="E1670"/>
      <x:c r="F1670"/>
      <x:c r="G1670"/>
      <x:c r="H1670"/>
      <x:c r="I1670"/>
      <x:c r="J1670"/>
    </x:row>
    <x:row r="1671">
      <x:c r="A1671" t="str">
        <x:v>ZS-9B82B22942E2</x:v>
      </x:c>
      <x:c r="B1671"/>
      <x:c r="C1671"/>
      <x:c r="D1671"/>
      <x:c r="E1671"/>
      <x:c r="F1671"/>
      <x:c r="G1671"/>
      <x:c r="H1671"/>
      <x:c r="I1671"/>
      <x:c r="J1671"/>
    </x:row>
    <x:row r="1672">
      <x:c r="A1672" t="str">
        <x:v>ZS-D980D3B77F85</x:v>
      </x:c>
      <x:c r="B1672"/>
      <x:c r="C1672"/>
      <x:c r="D1672"/>
      <x:c r="E1672"/>
      <x:c r="F1672"/>
      <x:c r="G1672"/>
      <x:c r="H1672"/>
      <x:c r="I1672"/>
      <x:c r="J1672"/>
    </x:row>
    <x:row r="1673">
      <x:c r="A1673" t="str">
        <x:v>ZS-9404F5C5DDA3</x:v>
      </x:c>
      <x:c r="B1673"/>
      <x:c r="C1673"/>
      <x:c r="D1673"/>
      <x:c r="E1673"/>
      <x:c r="F1673"/>
      <x:c r="G1673"/>
      <x:c r="H1673"/>
      <x:c r="I1673"/>
      <x:c r="J1673"/>
    </x:row>
    <x:row r="1674">
      <x:c r="A1674" t="str">
        <x:v>ZS-42D3EDB2EB74</x:v>
      </x:c>
      <x:c r="B1674"/>
      <x:c r="C1674"/>
      <x:c r="D1674"/>
      <x:c r="E1674"/>
      <x:c r="F1674"/>
      <x:c r="G1674"/>
      <x:c r="H1674"/>
      <x:c r="I1674"/>
      <x:c r="J1674"/>
    </x:row>
    <x:row r="1675">
      <x:c r="A1675" t="str">
        <x:v>ZS-607C94CF2947</x:v>
      </x:c>
      <x:c r="B1675"/>
      <x:c r="C1675"/>
      <x:c r="D1675"/>
      <x:c r="E1675"/>
      <x:c r="F1675"/>
      <x:c r="G1675"/>
      <x:c r="H1675"/>
      <x:c r="I1675"/>
      <x:c r="J1675"/>
    </x:row>
    <x:row r="1676">
      <x:c r="A1676" t="str">
        <x:v>ZS-0144220923E2</x:v>
      </x:c>
      <x:c r="B1676"/>
      <x:c r="C1676"/>
      <x:c r="D1676"/>
      <x:c r="E1676"/>
      <x:c r="F1676"/>
      <x:c r="G1676"/>
      <x:c r="H1676"/>
      <x:c r="I1676"/>
      <x:c r="J1676"/>
    </x:row>
    <x:row r="1677">
      <x:c r="A1677" t="str">
        <x:v>ZS-CD03642FBC44</x:v>
      </x:c>
      <x:c r="B1677"/>
      <x:c r="C1677"/>
      <x:c r="D1677"/>
      <x:c r="E1677"/>
      <x:c r="F1677"/>
      <x:c r="G1677"/>
      <x:c r="H1677"/>
      <x:c r="I1677"/>
      <x:c r="J1677"/>
    </x:row>
    <x:row r="1678">
      <x:c r="A1678" t="str">
        <x:v>ZS-E76883FC3746</x:v>
      </x:c>
      <x:c r="B1678"/>
      <x:c r="C1678"/>
      <x:c r="D1678"/>
      <x:c r="E1678"/>
      <x:c r="F1678"/>
      <x:c r="G1678"/>
      <x:c r="H1678"/>
      <x:c r="I1678"/>
      <x:c r="J1678"/>
    </x:row>
    <x:row r="1679">
      <x:c r="A1679" t="str">
        <x:v>ZS-477CCB09E647</x:v>
      </x:c>
      <x:c r="B1679"/>
      <x:c r="C1679"/>
      <x:c r="D1679"/>
      <x:c r="E1679"/>
      <x:c r="F1679"/>
      <x:c r="G1679"/>
      <x:c r="H1679"/>
      <x:c r="I1679"/>
      <x:c r="J1679"/>
    </x:row>
    <x:row r="1680">
      <x:c r="A1680" t="str">
        <x:v>ZS-9FD36206EC00</x:v>
      </x:c>
      <x:c r="B1680"/>
      <x:c r="C1680"/>
      <x:c r="D1680"/>
      <x:c r="E1680"/>
      <x:c r="F1680"/>
      <x:c r="G1680"/>
      <x:c r="H1680"/>
      <x:c r="I1680"/>
      <x:c r="J1680"/>
    </x:row>
    <x:row r="1681">
      <x:c r="A1681" t="str">
        <x:v>ZS-6F11E66D2220</x:v>
      </x:c>
      <x:c r="B1681"/>
      <x:c r="C1681"/>
      <x:c r="D1681"/>
      <x:c r="E1681"/>
      <x:c r="F1681"/>
      <x:c r="G1681"/>
      <x:c r="H1681"/>
      <x:c r="I1681"/>
      <x:c r="J1681"/>
    </x:row>
    <x:row r="1682">
      <x:c r="A1682" t="str">
        <x:v>ZS-47D778EE04F3</x:v>
      </x:c>
      <x:c r="B1682"/>
      <x:c r="C1682"/>
      <x:c r="D1682"/>
      <x:c r="E1682"/>
      <x:c r="F1682"/>
      <x:c r="G1682"/>
      <x:c r="H1682"/>
      <x:c r="I1682"/>
      <x:c r="J1682"/>
    </x:row>
    <x:row r="1683">
      <x:c r="A1683" t="str">
        <x:v>ZS-6F1E69B0D17A</x:v>
      </x:c>
      <x:c r="B1683"/>
      <x:c r="C1683"/>
      <x:c r="D1683"/>
      <x:c r="E1683"/>
      <x:c r="F1683"/>
      <x:c r="G1683"/>
      <x:c r="H1683"/>
      <x:c r="I1683"/>
      <x:c r="J1683"/>
    </x:row>
    <x:row r="1684">
      <x:c r="A1684" t="str">
        <x:v>ZS-50D0CEA620BA</x:v>
      </x:c>
      <x:c r="B1684"/>
      <x:c r="C1684"/>
      <x:c r="D1684"/>
      <x:c r="E1684"/>
      <x:c r="F1684"/>
      <x:c r="G1684"/>
      <x:c r="H1684"/>
      <x:c r="I1684"/>
      <x:c r="J1684"/>
    </x:row>
    <x:row r="1685">
      <x:c r="A1685" t="str">
        <x:v>ZS-7B536CDBA741</x:v>
      </x:c>
      <x:c r="B1685"/>
      <x:c r="C1685"/>
      <x:c r="D1685"/>
      <x:c r="E1685"/>
      <x:c r="F1685"/>
      <x:c r="G1685"/>
      <x:c r="H1685"/>
      <x:c r="I1685"/>
      <x:c r="J1685"/>
    </x:row>
    <x:row r="1686">
      <x:c r="A1686" t="str">
        <x:v>ZS-C62579364D20</x:v>
      </x:c>
      <x:c r="B1686"/>
      <x:c r="C1686"/>
      <x:c r="D1686"/>
      <x:c r="E1686"/>
      <x:c r="F1686"/>
      <x:c r="G1686"/>
      <x:c r="H1686"/>
      <x:c r="I1686"/>
      <x:c r="J1686"/>
    </x:row>
    <x:row r="1687">
      <x:c r="A1687" t="str">
        <x:v>ZS-156A52A70CFB</x:v>
      </x:c>
      <x:c r="B1687"/>
      <x:c r="C1687"/>
      <x:c r="D1687"/>
      <x:c r="E1687"/>
      <x:c r="F1687"/>
      <x:c r="G1687"/>
      <x:c r="H1687"/>
      <x:c r="I1687"/>
      <x:c r="J1687"/>
    </x:row>
    <x:row r="1688">
      <x:c r="A1688" t="str">
        <x:v>ZS-CE50526929A5</x:v>
      </x:c>
      <x:c r="B1688"/>
      <x:c r="C1688"/>
      <x:c r="D1688"/>
      <x:c r="E1688"/>
      <x:c r="F1688"/>
      <x:c r="G1688"/>
      <x:c r="H1688"/>
      <x:c r="I1688"/>
      <x:c r="J1688"/>
    </x:row>
    <x:row r="1689">
      <x:c r="A1689" t="str">
        <x:v>ZS-02713A6A7F26</x:v>
      </x:c>
      <x:c r="B1689"/>
      <x:c r="C1689"/>
      <x:c r="D1689"/>
      <x:c r="E1689"/>
      <x:c r="F1689"/>
      <x:c r="G1689"/>
      <x:c r="H1689"/>
      <x:c r="I1689"/>
      <x:c r="J1689"/>
    </x:row>
    <x:row r="1690">
      <x:c r="A1690" t="str">
        <x:v>ZS-628B045140BE</x:v>
      </x:c>
      <x:c r="B1690"/>
      <x:c r="C1690"/>
      <x:c r="D1690"/>
      <x:c r="E1690"/>
      <x:c r="F1690"/>
      <x:c r="G1690"/>
      <x:c r="H1690"/>
      <x:c r="I1690"/>
      <x:c r="J1690"/>
    </x:row>
    <x:row r="1691">
      <x:c r="A1691" t="str">
        <x:v>ZS-A3F964C03746</x:v>
      </x:c>
      <x:c r="B1691"/>
      <x:c r="C1691"/>
      <x:c r="D1691"/>
      <x:c r="E1691"/>
      <x:c r="F1691"/>
      <x:c r="G1691"/>
      <x:c r="H1691"/>
      <x:c r="I1691"/>
      <x:c r="J1691"/>
    </x:row>
    <x:row r="1692">
      <x:c r="A1692" t="str">
        <x:v>ZS-E94D5B2C9347</x:v>
      </x:c>
      <x:c r="B1692"/>
      <x:c r="C1692"/>
      <x:c r="D1692"/>
      <x:c r="E1692"/>
      <x:c r="F1692"/>
      <x:c r="G1692"/>
      <x:c r="H1692"/>
      <x:c r="I1692"/>
      <x:c r="J1692"/>
    </x:row>
    <x:row r="1693">
      <x:c r="A1693" t="str">
        <x:v>ZS-95C9F5C8B497</x:v>
      </x:c>
      <x:c r="B1693"/>
      <x:c r="C1693"/>
      <x:c r="D1693"/>
      <x:c r="E1693"/>
      <x:c r="F1693"/>
      <x:c r="G1693"/>
      <x:c r="H1693"/>
      <x:c r="I1693"/>
      <x:c r="J1693"/>
    </x:row>
    <x:row r="1694">
      <x:c r="A1694" t="str">
        <x:v>ZS-4ABB1784B81E</x:v>
      </x:c>
      <x:c r="B1694"/>
      <x:c r="C1694"/>
      <x:c r="D1694"/>
      <x:c r="E1694"/>
      <x:c r="F1694"/>
      <x:c r="G1694"/>
      <x:c r="H1694"/>
      <x:c r="I1694"/>
      <x:c r="J1694"/>
    </x:row>
    <x:row r="1695">
      <x:c r="A1695" t="str">
        <x:v>ZS-6E45385AD356</x:v>
      </x:c>
      <x:c r="B1695"/>
      <x:c r="C1695"/>
      <x:c r="D1695"/>
      <x:c r="E1695"/>
      <x:c r="F1695"/>
      <x:c r="G1695"/>
      <x:c r="H1695"/>
      <x:c r="I1695"/>
      <x:c r="J1695"/>
    </x:row>
    <x:row r="1696">
      <x:c r="A1696" t="str">
        <x:v>ZS-36CACCA1C0D4</x:v>
      </x:c>
      <x:c r="B1696"/>
      <x:c r="C1696"/>
      <x:c r="D1696"/>
      <x:c r="E1696"/>
      <x:c r="F1696"/>
      <x:c r="G1696"/>
      <x:c r="H1696"/>
      <x:c r="I1696"/>
      <x:c r="J1696"/>
    </x:row>
    <x:row r="1697">
      <x:c r="A1697" t="str">
        <x:v>ZS-CC72D298E757</x:v>
      </x:c>
      <x:c r="B1697"/>
      <x:c r="C1697"/>
      <x:c r="D1697"/>
      <x:c r="E1697"/>
      <x:c r="F1697"/>
      <x:c r="G1697"/>
      <x:c r="H1697"/>
      <x:c r="I1697"/>
      <x:c r="J1697"/>
    </x:row>
    <x:row r="1698">
      <x:c r="A1698" t="str">
        <x:v>ZS-91BCB12318AC</x:v>
      </x:c>
      <x:c r="B1698"/>
      <x:c r="C1698"/>
      <x:c r="D1698"/>
      <x:c r="E1698"/>
      <x:c r="F1698"/>
      <x:c r="G1698"/>
      <x:c r="H1698"/>
      <x:c r="I1698"/>
      <x:c r="J1698"/>
    </x:row>
    <x:row r="1699">
      <x:c r="A1699" t="str">
        <x:v>ZS-C82A43F2E1A2</x:v>
      </x:c>
      <x:c r="B1699"/>
      <x:c r="C1699"/>
      <x:c r="D1699"/>
      <x:c r="E1699"/>
      <x:c r="F1699"/>
      <x:c r="G1699"/>
      <x:c r="H1699"/>
      <x:c r="I1699"/>
      <x:c r="J1699"/>
    </x:row>
    <x:row r="1700">
      <x:c r="A1700" t="str">
        <x:v>ZS-E5067A6335B6</x:v>
      </x:c>
      <x:c r="B1700"/>
      <x:c r="C1700"/>
      <x:c r="D1700"/>
      <x:c r="E1700"/>
      <x:c r="F1700"/>
      <x:c r="G1700"/>
      <x:c r="H1700"/>
      <x:c r="I1700"/>
      <x:c r="J1700"/>
    </x:row>
    <x:row r="1701">
      <x:c r="A1701" t="str">
        <x:v>ZS-3A3DFF3C0F8B</x:v>
      </x:c>
      <x:c r="B1701"/>
      <x:c r="C1701"/>
      <x:c r="D1701"/>
      <x:c r="E1701"/>
      <x:c r="F1701"/>
      <x:c r="G1701"/>
      <x:c r="H1701"/>
      <x:c r="I1701"/>
      <x:c r="J1701"/>
    </x:row>
    <x:row r="1702">
      <x:c r="A1702" t="str">
        <x:v>ZS-A34348CBB102</x:v>
      </x:c>
      <x:c r="B1702"/>
      <x:c r="C1702"/>
      <x:c r="D1702"/>
      <x:c r="E1702"/>
      <x:c r="F1702"/>
      <x:c r="G1702"/>
      <x:c r="H1702"/>
      <x:c r="I1702"/>
      <x:c r="J1702"/>
    </x:row>
    <x:row r="1703">
      <x:c r="A1703" t="str">
        <x:v>ZS-B14C09593968</x:v>
      </x:c>
      <x:c r="B1703"/>
      <x:c r="C1703"/>
      <x:c r="D1703"/>
      <x:c r="E1703"/>
      <x:c r="F1703"/>
      <x:c r="G1703"/>
      <x:c r="H1703"/>
      <x:c r="I1703"/>
      <x:c r="J1703"/>
    </x:row>
    <x:row r="1704">
      <x:c r="A1704" t="str">
        <x:v>ZS-58641530603C</x:v>
      </x:c>
      <x:c r="B1704"/>
      <x:c r="C1704"/>
      <x:c r="D1704"/>
      <x:c r="E1704"/>
      <x:c r="F1704"/>
      <x:c r="G1704"/>
      <x:c r="H1704"/>
      <x:c r="I1704"/>
      <x:c r="J1704"/>
    </x:row>
    <x:row r="1705">
      <x:c r="A1705" t="str">
        <x:v>ZS-F3D02F423878</x:v>
      </x:c>
      <x:c r="B1705"/>
      <x:c r="C1705"/>
      <x:c r="D1705"/>
      <x:c r="E1705"/>
      <x:c r="F1705"/>
      <x:c r="G1705"/>
      <x:c r="H1705"/>
      <x:c r="I1705"/>
      <x:c r="J1705"/>
    </x:row>
    <x:row r="1706">
      <x:c r="A1706" t="str">
        <x:v>ZS-260ECD3BAD58</x:v>
      </x:c>
      <x:c r="B1706"/>
      <x:c r="C1706"/>
      <x:c r="D1706"/>
      <x:c r="E1706"/>
      <x:c r="F1706"/>
      <x:c r="G1706"/>
      <x:c r="H1706"/>
      <x:c r="I1706"/>
      <x:c r="J1706"/>
    </x:row>
    <x:row r="1707">
      <x:c r="A1707" t="str">
        <x:v>ZS-D971B51145CA</x:v>
      </x:c>
      <x:c r="B1707"/>
      <x:c r="C1707"/>
      <x:c r="D1707"/>
      <x:c r="E1707"/>
      <x:c r="F1707"/>
      <x:c r="G1707"/>
      <x:c r="H1707"/>
      <x:c r="I1707"/>
      <x:c r="J1707"/>
    </x:row>
    <x:row r="1708">
      <x:c r="A1708" t="str">
        <x:v>ZS-B0549C09587F</x:v>
      </x:c>
      <x:c r="B1708"/>
      <x:c r="C1708"/>
      <x:c r="D1708"/>
      <x:c r="E1708"/>
      <x:c r="F1708"/>
      <x:c r="G1708"/>
      <x:c r="H1708"/>
      <x:c r="I1708"/>
      <x:c r="J1708"/>
    </x:row>
    <x:row r="1709">
      <x:c r="A1709" t="str">
        <x:v>ZS-F130F7050A88</x:v>
      </x:c>
      <x:c r="B1709"/>
      <x:c r="C1709"/>
      <x:c r="D1709"/>
      <x:c r="E1709"/>
      <x:c r="F1709"/>
      <x:c r="G1709"/>
      <x:c r="H1709"/>
      <x:c r="I1709"/>
      <x:c r="J1709"/>
    </x:row>
    <x:row r="1710">
      <x:c r="A1710" t="str">
        <x:v>ZS-9916587CFA48</x:v>
      </x:c>
      <x:c r="B1710"/>
      <x:c r="C1710"/>
      <x:c r="D1710"/>
      <x:c r="E1710"/>
      <x:c r="F1710"/>
      <x:c r="G1710"/>
      <x:c r="H1710"/>
      <x:c r="I1710"/>
      <x:c r="J1710"/>
    </x:row>
    <x:row r="1711">
      <x:c r="A1711" t="str">
        <x:v>ZS-F5897473AAB9</x:v>
      </x:c>
      <x:c r="B1711"/>
      <x:c r="C1711"/>
      <x:c r="D1711"/>
      <x:c r="E1711"/>
      <x:c r="F1711"/>
      <x:c r="G1711"/>
      <x:c r="H1711"/>
      <x:c r="I1711"/>
      <x:c r="J1711"/>
    </x:row>
    <x:row r="1712">
      <x:c r="A1712" t="str">
        <x:v>ZS-434BF2D10AC6</x:v>
      </x:c>
      <x:c r="B1712"/>
      <x:c r="C1712"/>
      <x:c r="D1712"/>
      <x:c r="E1712"/>
      <x:c r="F1712"/>
      <x:c r="G1712"/>
      <x:c r="H1712"/>
      <x:c r="I1712"/>
      <x:c r="J1712"/>
    </x:row>
    <x:row r="1713">
      <x:c r="A1713" t="str">
        <x:v>ZS-DBCCD2D41881</x:v>
      </x:c>
      <x:c r="B1713"/>
      <x:c r="C1713"/>
      <x:c r="D1713"/>
      <x:c r="E1713"/>
      <x:c r="F1713"/>
      <x:c r="G1713"/>
      <x:c r="H1713"/>
      <x:c r="I1713"/>
      <x:c r="J1713"/>
    </x:row>
    <x:row r="1714">
      <x:c r="A1714" t="str">
        <x:v>ZS-AC521F12F628</x:v>
      </x:c>
      <x:c r="B1714"/>
      <x:c r="C1714"/>
      <x:c r="D1714"/>
      <x:c r="E1714"/>
      <x:c r="F1714"/>
      <x:c r="G1714"/>
      <x:c r="H1714"/>
      <x:c r="I1714"/>
      <x:c r="J1714"/>
    </x:row>
    <x:row r="1715">
      <x:c r="A1715" t="str">
        <x:v>ZS-D76752AD1F5F</x:v>
      </x:c>
      <x:c r="B1715"/>
      <x:c r="C1715"/>
      <x:c r="D1715"/>
      <x:c r="E1715"/>
      <x:c r="F1715"/>
      <x:c r="G1715"/>
      <x:c r="H1715"/>
      <x:c r="I1715"/>
      <x:c r="J1715"/>
    </x:row>
    <x:row r="1716">
      <x:c r="A1716" t="str">
        <x:v>ZS-74BD65B4A754</x:v>
      </x:c>
      <x:c r="B1716"/>
      <x:c r="C1716"/>
      <x:c r="D1716"/>
      <x:c r="E1716"/>
      <x:c r="F1716"/>
      <x:c r="G1716"/>
      <x:c r="H1716"/>
      <x:c r="I1716"/>
      <x:c r="J1716"/>
    </x:row>
    <x:row r="1717">
      <x:c r="A1717" t="str">
        <x:v>ZS-03EA4834F8DC</x:v>
      </x:c>
      <x:c r="B1717"/>
      <x:c r="C1717"/>
      <x:c r="D1717"/>
      <x:c r="E1717"/>
      <x:c r="F1717"/>
      <x:c r="G1717"/>
      <x:c r="H1717"/>
      <x:c r="I1717"/>
      <x:c r="J1717"/>
    </x:row>
    <x:row r="1718">
      <x:c r="A1718" t="str">
        <x:v>ZS-F15F59475BD2</x:v>
      </x:c>
      <x:c r="B1718"/>
      <x:c r="C1718"/>
      <x:c r="D1718"/>
      <x:c r="E1718"/>
      <x:c r="F1718"/>
      <x:c r="G1718"/>
      <x:c r="H1718"/>
      <x:c r="I1718"/>
      <x:c r="J1718"/>
    </x:row>
    <x:row r="1719">
      <x:c r="A1719" t="str">
        <x:v>ZS-A8F74F053200</x:v>
      </x:c>
      <x:c r="B1719"/>
      <x:c r="C1719"/>
      <x:c r="D1719"/>
      <x:c r="E1719"/>
      <x:c r="F1719"/>
      <x:c r="G1719"/>
      <x:c r="H1719"/>
      <x:c r="I1719"/>
      <x:c r="J1719"/>
    </x:row>
    <x:row r="1720">
      <x:c r="A1720" t="str">
        <x:v>ZS-F37A989A3FE5</x:v>
      </x:c>
      <x:c r="B1720"/>
      <x:c r="C1720"/>
      <x:c r="D1720"/>
      <x:c r="E1720"/>
      <x:c r="F1720"/>
      <x:c r="G1720"/>
      <x:c r="H1720"/>
      <x:c r="I1720"/>
      <x:c r="J1720"/>
    </x:row>
    <x:row r="1721">
      <x:c r="A1721" t="str">
        <x:v>ZS-9F7B690108A3</x:v>
      </x:c>
      <x:c r="B1721"/>
      <x:c r="C1721"/>
      <x:c r="D1721"/>
      <x:c r="E1721"/>
      <x:c r="F1721"/>
      <x:c r="G1721"/>
      <x:c r="H1721"/>
      <x:c r="I1721"/>
      <x:c r="J1721"/>
    </x:row>
    <x:row r="1722">
      <x:c r="A1722" t="str">
        <x:v>ZS-47E45F3075B8</x:v>
      </x:c>
      <x:c r="B1722"/>
      <x:c r="C1722"/>
      <x:c r="D1722"/>
      <x:c r="E1722"/>
      <x:c r="F1722"/>
      <x:c r="G1722"/>
      <x:c r="H1722"/>
      <x:c r="I1722"/>
      <x:c r="J1722"/>
    </x:row>
    <x:row r="1723">
      <x:c r="A1723" t="str">
        <x:v>ZS-0D0B458B4247</x:v>
      </x:c>
      <x:c r="B1723"/>
      <x:c r="C1723"/>
      <x:c r="D1723"/>
      <x:c r="E1723"/>
      <x:c r="F1723"/>
      <x:c r="G1723"/>
      <x:c r="H1723"/>
      <x:c r="I1723"/>
      <x:c r="J1723"/>
    </x:row>
    <x:row r="1724">
      <x:c r="A1724" t="str">
        <x:v>ZS-1B96385F75DA</x:v>
      </x:c>
      <x:c r="B1724"/>
      <x:c r="C1724"/>
      <x:c r="D1724"/>
      <x:c r="E1724"/>
      <x:c r="F1724"/>
      <x:c r="G1724"/>
      <x:c r="H1724"/>
      <x:c r="I1724"/>
      <x:c r="J1724"/>
    </x:row>
    <x:row r="1725">
      <x:c r="A1725" t="str">
        <x:v>ZS-7B5B4A01B5A4</x:v>
      </x:c>
      <x:c r="B1725"/>
      <x:c r="C1725"/>
      <x:c r="D1725"/>
      <x:c r="E1725"/>
      <x:c r="F1725"/>
      <x:c r="G1725"/>
      <x:c r="H1725"/>
      <x:c r="I1725"/>
      <x:c r="J1725"/>
    </x:row>
    <x:row r="1726">
      <x:c r="A1726" t="str">
        <x:v>ZS-641826820F31</x:v>
      </x:c>
      <x:c r="B1726"/>
      <x:c r="C1726"/>
      <x:c r="D1726"/>
      <x:c r="E1726"/>
      <x:c r="F1726"/>
      <x:c r="G1726"/>
      <x:c r="H1726"/>
      <x:c r="I1726"/>
      <x:c r="J1726"/>
    </x:row>
    <x:row r="1727">
      <x:c r="A1727" t="str">
        <x:v>ZS-683F13527064</x:v>
      </x:c>
      <x:c r="B1727"/>
      <x:c r="C1727"/>
      <x:c r="D1727"/>
      <x:c r="E1727"/>
      <x:c r="F1727"/>
      <x:c r="G1727"/>
      <x:c r="H1727"/>
      <x:c r="I1727"/>
      <x:c r="J1727"/>
    </x:row>
    <x:row r="1728">
      <x:c r="A1728" t="str">
        <x:v>ZS-F6C4F8A47BA3</x:v>
      </x:c>
      <x:c r="B1728"/>
      <x:c r="C1728"/>
      <x:c r="D1728"/>
      <x:c r="E1728"/>
      <x:c r="F1728"/>
      <x:c r="G1728"/>
      <x:c r="H1728"/>
      <x:c r="I1728"/>
      <x:c r="J1728"/>
    </x:row>
    <x:row r="1729">
      <x:c r="A1729" t="str">
        <x:v>ZS-96AC2B1BB9A1</x:v>
      </x:c>
      <x:c r="B1729"/>
      <x:c r="C1729"/>
      <x:c r="D1729"/>
      <x:c r="E1729"/>
      <x:c r="F1729"/>
      <x:c r="G1729"/>
      <x:c r="H1729"/>
      <x:c r="I1729"/>
      <x:c r="J1729"/>
    </x:row>
    <x:row r="1730">
      <x:c r="A1730" t="str">
        <x:v>ZS-D94276804208</x:v>
      </x:c>
      <x:c r="B1730"/>
      <x:c r="C1730"/>
      <x:c r="D1730"/>
      <x:c r="E1730"/>
      <x:c r="F1730"/>
      <x:c r="G1730"/>
      <x:c r="H1730"/>
      <x:c r="I1730"/>
      <x:c r="J1730"/>
    </x:row>
    <x:row r="1731">
      <x:c r="A1731" t="str">
        <x:v>ZS-8A9D71944EB7</x:v>
      </x:c>
      <x:c r="B1731"/>
      <x:c r="C1731"/>
      <x:c r="D1731"/>
      <x:c r="E1731"/>
      <x:c r="F1731"/>
      <x:c r="G1731"/>
      <x:c r="H1731"/>
      <x:c r="I1731"/>
      <x:c r="J1731"/>
    </x:row>
    <x:row r="1732">
      <x:c r="A1732" t="str">
        <x:v>ZS-83C5EBD9FD07</x:v>
      </x:c>
      <x:c r="B1732"/>
      <x:c r="C1732"/>
      <x:c r="D1732"/>
      <x:c r="E1732"/>
      <x:c r="F1732"/>
      <x:c r="G1732"/>
      <x:c r="H1732"/>
      <x:c r="I1732"/>
      <x:c r="J1732"/>
    </x:row>
    <x:row r="1733">
      <x:c r="A1733" t="str">
        <x:v>ZS-E5626EFA89C7</x:v>
      </x:c>
      <x:c r="B1733"/>
      <x:c r="C1733"/>
      <x:c r="D1733"/>
      <x:c r="E1733"/>
      <x:c r="F1733"/>
      <x:c r="G1733"/>
      <x:c r="H1733"/>
      <x:c r="I1733"/>
      <x:c r="J1733"/>
    </x:row>
    <x:row r="1734">
      <x:c r="A1734" t="str">
        <x:v>ZS-8A25CBD10B45</x:v>
      </x:c>
      <x:c r="B1734"/>
      <x:c r="C1734"/>
      <x:c r="D1734"/>
      <x:c r="E1734"/>
      <x:c r="F1734"/>
      <x:c r="G1734"/>
      <x:c r="H1734"/>
      <x:c r="I1734"/>
      <x:c r="J1734"/>
    </x:row>
    <x:row r="1735">
      <x:c r="A1735" t="str">
        <x:v>ZS-0E1460EE8CB7</x:v>
      </x:c>
      <x:c r="B1735"/>
      <x:c r="C1735"/>
      <x:c r="D1735"/>
      <x:c r="E1735"/>
      <x:c r="F1735"/>
      <x:c r="G1735"/>
      <x:c r="H1735"/>
      <x:c r="I1735"/>
      <x:c r="J1735"/>
    </x:row>
    <x:row r="1736">
      <x:c r="A1736" t="str">
        <x:v>ZS-473315B5AF35</x:v>
      </x:c>
      <x:c r="B1736"/>
      <x:c r="C1736"/>
      <x:c r="D1736"/>
      <x:c r="E1736"/>
      <x:c r="F1736"/>
      <x:c r="G1736"/>
      <x:c r="H1736"/>
      <x:c r="I1736"/>
      <x:c r="J1736"/>
    </x:row>
    <x:row r="1737">
      <x:c r="A1737" t="str">
        <x:v>ZS-E391F68AB8ED</x:v>
      </x:c>
      <x:c r="B1737"/>
      <x:c r="C1737"/>
      <x:c r="D1737"/>
      <x:c r="E1737"/>
      <x:c r="F1737"/>
      <x:c r="G1737"/>
      <x:c r="H1737"/>
      <x:c r="I1737"/>
      <x:c r="J1737"/>
    </x:row>
    <x:row r="1738">
      <x:c r="A1738" t="str">
        <x:v>ZS-8ED1EB58C602</x:v>
      </x:c>
      <x:c r="B1738"/>
      <x:c r="C1738"/>
      <x:c r="D1738"/>
      <x:c r="E1738"/>
      <x:c r="F1738"/>
      <x:c r="G1738"/>
      <x:c r="H1738"/>
      <x:c r="I1738"/>
      <x:c r="J1738"/>
    </x:row>
    <x:row r="1739">
      <x:c r="A1739" t="str">
        <x:v>ZS-4FD927E3C271</x:v>
      </x:c>
      <x:c r="B1739"/>
      <x:c r="C1739"/>
      <x:c r="D1739"/>
      <x:c r="E1739"/>
      <x:c r="F1739"/>
      <x:c r="G1739"/>
      <x:c r="H1739"/>
      <x:c r="I1739"/>
      <x:c r="J1739"/>
    </x:row>
    <x:row r="1740">
      <x:c r="A1740" t="str">
        <x:v>ZS-8DBB25DB86DF</x:v>
      </x:c>
      <x:c r="B1740"/>
      <x:c r="C1740"/>
      <x:c r="D1740"/>
      <x:c r="E1740"/>
      <x:c r="F1740"/>
      <x:c r="G1740"/>
      <x:c r="H1740"/>
      <x:c r="I1740"/>
      <x:c r="J1740"/>
    </x:row>
    <x:row r="1741">
      <x:c r="A1741" t="str">
        <x:v>ZS-89CAC813DC74</x:v>
      </x:c>
      <x:c r="B1741"/>
      <x:c r="C1741"/>
      <x:c r="D1741"/>
      <x:c r="E1741"/>
      <x:c r="F1741"/>
      <x:c r="G1741"/>
      <x:c r="H1741"/>
      <x:c r="I1741"/>
      <x:c r="J1741"/>
    </x:row>
    <x:row r="1742">
      <x:c r="A1742" t="str">
        <x:v>ZS-CF9CF0C773FE</x:v>
      </x:c>
      <x:c r="B1742"/>
      <x:c r="C1742"/>
      <x:c r="D1742"/>
      <x:c r="E1742"/>
      <x:c r="F1742"/>
      <x:c r="G1742"/>
      <x:c r="H1742"/>
      <x:c r="I1742"/>
      <x:c r="J1742"/>
    </x:row>
    <x:row r="1743">
      <x:c r="A1743" t="str">
        <x:v>ZS-9D0086CEB3A6</x:v>
      </x:c>
      <x:c r="B1743"/>
      <x:c r="C1743"/>
      <x:c r="D1743"/>
      <x:c r="E1743"/>
      <x:c r="F1743"/>
      <x:c r="G1743"/>
      <x:c r="H1743"/>
      <x:c r="I1743"/>
      <x:c r="J1743"/>
    </x:row>
    <x:row r="1744">
      <x:c r="A1744" t="str">
        <x:v>ZS-4CCDD36B14BC</x:v>
      </x:c>
      <x:c r="B1744"/>
      <x:c r="C1744"/>
      <x:c r="D1744"/>
      <x:c r="E1744"/>
      <x:c r="F1744"/>
      <x:c r="G1744"/>
      <x:c r="H1744"/>
      <x:c r="I1744"/>
      <x:c r="J1744"/>
    </x:row>
    <x:row r="1745">
      <x:c r="A1745" t="str">
        <x:v>ZS-D5446BCB6E2A</x:v>
      </x:c>
      <x:c r="B1745"/>
      <x:c r="C1745"/>
      <x:c r="D1745"/>
      <x:c r="E1745"/>
      <x:c r="F1745"/>
      <x:c r="G1745"/>
      <x:c r="H1745"/>
      <x:c r="I1745"/>
      <x:c r="J1745"/>
    </x:row>
    <x:row r="1746">
      <x:c r="A1746" t="str">
        <x:v>ZS-988EDCC281A3</x:v>
      </x:c>
      <x:c r="B1746"/>
      <x:c r="C1746"/>
      <x:c r="D1746"/>
      <x:c r="E1746"/>
      <x:c r="F1746"/>
      <x:c r="G1746"/>
      <x:c r="H1746"/>
      <x:c r="I1746"/>
      <x:c r="J1746"/>
    </x:row>
    <x:row r="1747">
      <x:c r="A1747" t="str">
        <x:v>ZS-C7F3872AD7AD</x:v>
      </x:c>
      <x:c r="B1747"/>
      <x:c r="C1747"/>
      <x:c r="D1747"/>
      <x:c r="E1747"/>
      <x:c r="F1747"/>
      <x:c r="G1747"/>
      <x:c r="H1747"/>
      <x:c r="I1747"/>
      <x:c r="J1747"/>
    </x:row>
    <x:row r="1748">
      <x:c r="A1748" t="str">
        <x:v>ZS-4604D8E50702</x:v>
      </x:c>
      <x:c r="B1748"/>
      <x:c r="C1748"/>
      <x:c r="D1748"/>
      <x:c r="E1748"/>
      <x:c r="F1748"/>
      <x:c r="G1748"/>
      <x:c r="H1748"/>
      <x:c r="I1748"/>
      <x:c r="J1748"/>
    </x:row>
    <x:row r="1749">
      <x:c r="A1749" t="str">
        <x:v>ZS-A02C78E4A6D2</x:v>
      </x:c>
      <x:c r="B1749"/>
      <x:c r="C1749"/>
      <x:c r="D1749"/>
      <x:c r="E1749"/>
      <x:c r="F1749"/>
      <x:c r="G1749"/>
      <x:c r="H1749"/>
      <x:c r="I1749"/>
      <x:c r="J1749"/>
    </x:row>
    <x:row r="1750">
      <x:c r="A1750" t="str">
        <x:v>ZS-3CE6B2548824</x:v>
      </x:c>
      <x:c r="B1750"/>
      <x:c r="C1750"/>
      <x:c r="D1750"/>
      <x:c r="E1750"/>
      <x:c r="F1750"/>
      <x:c r="G1750"/>
      <x:c r="H1750"/>
      <x:c r="I1750"/>
      <x:c r="J1750"/>
    </x:row>
    <x:row r="1751">
      <x:c r="A1751" t="str">
        <x:v>ZS-C63B2161BD37</x:v>
      </x:c>
      <x:c r="B1751"/>
      <x:c r="C1751"/>
      <x:c r="D1751"/>
      <x:c r="E1751"/>
      <x:c r="F1751"/>
      <x:c r="G1751"/>
      <x:c r="H1751"/>
      <x:c r="I1751"/>
      <x:c r="J1751"/>
    </x:row>
    <x:row r="1752">
      <x:c r="A1752" t="str">
        <x:v>ZS-BB25DEDE694D</x:v>
      </x:c>
      <x:c r="B1752"/>
      <x:c r="C1752"/>
      <x:c r="D1752"/>
      <x:c r="E1752"/>
      <x:c r="F1752"/>
      <x:c r="G1752"/>
      <x:c r="H1752"/>
      <x:c r="I1752"/>
      <x:c r="J1752"/>
    </x:row>
    <x:row r="1753">
      <x:c r="A1753" t="str">
        <x:v>ZS-2D87A7198325</x:v>
      </x:c>
      <x:c r="B1753"/>
      <x:c r="C1753"/>
      <x:c r="D1753"/>
      <x:c r="E1753"/>
      <x:c r="F1753"/>
      <x:c r="G1753"/>
      <x:c r="H1753"/>
      <x:c r="I1753"/>
      <x:c r="J1753"/>
    </x:row>
    <x:row r="1754">
      <x:c r="A1754" t="str">
        <x:v>ZS-60119D394C41</x:v>
      </x:c>
      <x:c r="B1754"/>
      <x:c r="C1754"/>
      <x:c r="D1754"/>
      <x:c r="E1754"/>
      <x:c r="F1754"/>
      <x:c r="G1754"/>
      <x:c r="H1754"/>
      <x:c r="I1754"/>
      <x:c r="J1754"/>
    </x:row>
    <x:row r="1755">
      <x:c r="A1755" t="str">
        <x:v>ZS-037C36CB9542</x:v>
      </x:c>
      <x:c r="B1755"/>
      <x:c r="C1755"/>
      <x:c r="D1755"/>
      <x:c r="E1755"/>
      <x:c r="F1755"/>
      <x:c r="G1755"/>
      <x:c r="H1755"/>
      <x:c r="I1755"/>
      <x:c r="J1755"/>
    </x:row>
    <x:row r="1756">
      <x:c r="A1756" t="str">
        <x:v>ZS-E05516CCC664</x:v>
      </x:c>
      <x:c r="B1756"/>
      <x:c r="C1756"/>
      <x:c r="D1756"/>
      <x:c r="E1756"/>
      <x:c r="F1756"/>
      <x:c r="G1756"/>
      <x:c r="H1756"/>
      <x:c r="I1756"/>
      <x:c r="J1756"/>
    </x:row>
    <x:row r="1757">
      <x:c r="A1757" t="str">
        <x:v>ZS-2A933CF1FAC4</x:v>
      </x:c>
      <x:c r="B1757"/>
      <x:c r="C1757"/>
      <x:c r="D1757"/>
      <x:c r="E1757"/>
      <x:c r="F1757"/>
      <x:c r="G1757"/>
      <x:c r="H1757"/>
      <x:c r="I1757"/>
      <x:c r="J1757"/>
    </x:row>
    <x:row r="1758">
      <x:c r="A1758" t="str">
        <x:v>ZS-CF2AB9161F89</x:v>
      </x:c>
      <x:c r="B1758"/>
      <x:c r="C1758"/>
      <x:c r="D1758"/>
      <x:c r="E1758"/>
      <x:c r="F1758"/>
      <x:c r="G1758"/>
      <x:c r="H1758"/>
      <x:c r="I1758"/>
      <x:c r="J1758"/>
    </x:row>
    <x:row r="1759">
      <x:c r="A1759" t="str">
        <x:v>ZS-38186A0C1723</x:v>
      </x:c>
      <x:c r="B1759"/>
      <x:c r="C1759"/>
      <x:c r="D1759"/>
      <x:c r="E1759"/>
      <x:c r="F1759"/>
      <x:c r="G1759"/>
      <x:c r="H1759"/>
      <x:c r="I1759"/>
      <x:c r="J1759"/>
    </x:row>
    <x:row r="1760">
      <x:c r="A1760" t="str">
        <x:v>ZS-4619067A5680</x:v>
      </x:c>
      <x:c r="B1760"/>
      <x:c r="C1760"/>
      <x:c r="D1760"/>
      <x:c r="E1760"/>
      <x:c r="F1760"/>
      <x:c r="G1760"/>
      <x:c r="H1760"/>
      <x:c r="I1760"/>
      <x:c r="J1760"/>
    </x:row>
    <x:row r="1761">
      <x:c r="A1761" t="str">
        <x:v>ZS-3C50B7BB73E9</x:v>
      </x:c>
      <x:c r="B1761"/>
      <x:c r="C1761"/>
      <x:c r="D1761"/>
      <x:c r="E1761"/>
      <x:c r="F1761"/>
      <x:c r="G1761"/>
      <x:c r="H1761"/>
      <x:c r="I1761"/>
      <x:c r="J1761"/>
    </x:row>
    <x:row r="1762">
      <x:c r="A1762" t="str">
        <x:v>ZS-0D64D81A87DC</x:v>
      </x:c>
      <x:c r="B1762"/>
      <x:c r="C1762"/>
      <x:c r="D1762"/>
      <x:c r="E1762"/>
      <x:c r="F1762"/>
      <x:c r="G1762"/>
      <x:c r="H1762"/>
      <x:c r="I1762"/>
      <x:c r="J1762"/>
    </x:row>
    <x:row r="1763">
      <x:c r="A1763" t="str">
        <x:v>ZS-50C5D5A1C384</x:v>
      </x:c>
      <x:c r="B1763"/>
      <x:c r="C1763"/>
      <x:c r="D1763"/>
      <x:c r="E1763"/>
      <x:c r="F1763"/>
      <x:c r="G1763"/>
      <x:c r="H1763"/>
      <x:c r="I1763"/>
      <x:c r="J1763"/>
    </x:row>
    <x:row r="1764">
      <x:c r="A1764" t="str">
        <x:v>ZS-CDB6878A772D</x:v>
      </x:c>
      <x:c r="B1764"/>
      <x:c r="C1764"/>
      <x:c r="D1764"/>
      <x:c r="E1764"/>
      <x:c r="F1764"/>
      <x:c r="G1764"/>
      <x:c r="H1764"/>
      <x:c r="I1764"/>
      <x:c r="J1764"/>
    </x:row>
    <x:row r="1765">
      <x:c r="A1765" t="str">
        <x:v>ZS-A6A72C2A4C4A</x:v>
      </x:c>
      <x:c r="B1765"/>
      <x:c r="C1765"/>
      <x:c r="D1765"/>
      <x:c r="E1765"/>
      <x:c r="F1765"/>
      <x:c r="G1765"/>
      <x:c r="H1765"/>
      <x:c r="I1765"/>
      <x:c r="J1765"/>
    </x:row>
    <x:row r="1766">
      <x:c r="A1766" t="str">
        <x:v>ZS-A02479D844A4</x:v>
      </x:c>
      <x:c r="B1766"/>
      <x:c r="C1766"/>
      <x:c r="D1766"/>
      <x:c r="E1766"/>
      <x:c r="F1766"/>
      <x:c r="G1766"/>
      <x:c r="H1766"/>
      <x:c r="I1766"/>
      <x:c r="J1766"/>
    </x:row>
    <x:row r="1767">
      <x:c r="A1767" t="str">
        <x:v>ZS-AD6DA062E759</x:v>
      </x:c>
      <x:c r="B1767"/>
      <x:c r="C1767"/>
      <x:c r="D1767"/>
      <x:c r="E1767"/>
      <x:c r="F1767"/>
      <x:c r="G1767"/>
      <x:c r="H1767"/>
      <x:c r="I1767"/>
      <x:c r="J1767"/>
    </x:row>
    <x:row r="1768">
      <x:c r="A1768" t="str">
        <x:v>ZS-7F0B9F426DFC</x:v>
      </x:c>
      <x:c r="B1768"/>
      <x:c r="C1768"/>
      <x:c r="D1768"/>
      <x:c r="E1768"/>
      <x:c r="F1768"/>
      <x:c r="G1768"/>
      <x:c r="H1768"/>
      <x:c r="I1768"/>
      <x:c r="J1768"/>
    </x:row>
    <x:row r="1769">
      <x:c r="A1769" t="str">
        <x:v>ZS-A1F53BA2FEA6</x:v>
      </x:c>
      <x:c r="B1769"/>
      <x:c r="C1769"/>
      <x:c r="D1769"/>
      <x:c r="E1769"/>
      <x:c r="F1769"/>
      <x:c r="G1769"/>
      <x:c r="H1769"/>
      <x:c r="I1769"/>
      <x:c r="J1769"/>
    </x:row>
    <x:row r="1770">
      <x:c r="A1770" t="str">
        <x:v>ZS-D0909E0DA676</x:v>
      </x:c>
      <x:c r="B1770"/>
      <x:c r="C1770"/>
      <x:c r="D1770"/>
      <x:c r="E1770"/>
      <x:c r="F1770"/>
      <x:c r="G1770"/>
      <x:c r="H1770"/>
      <x:c r="I1770"/>
      <x:c r="J1770"/>
    </x:row>
    <x:row r="1771">
      <x:c r="A1771" t="str">
        <x:v>ZS-5FEA8FE94391</x:v>
      </x:c>
      <x:c r="B1771"/>
      <x:c r="C1771"/>
      <x:c r="D1771"/>
      <x:c r="E1771"/>
      <x:c r="F1771"/>
      <x:c r="G1771"/>
      <x:c r="H1771"/>
      <x:c r="I1771"/>
      <x:c r="J1771"/>
    </x:row>
    <x:row r="1772">
      <x:c r="A1772" t="str">
        <x:v>ZS-7D159C373D73</x:v>
      </x:c>
      <x:c r="B1772"/>
      <x:c r="C1772"/>
      <x:c r="D1772"/>
      <x:c r="E1772"/>
      <x:c r="F1772"/>
      <x:c r="G1772"/>
      <x:c r="H1772"/>
      <x:c r="I1772"/>
      <x:c r="J1772"/>
    </x:row>
    <x:row r="1773">
      <x:c r="A1773" t="str">
        <x:v>ZS-EF02F9E7B0FC</x:v>
      </x:c>
      <x:c r="B1773"/>
      <x:c r="C1773"/>
      <x:c r="D1773"/>
      <x:c r="E1773"/>
      <x:c r="F1773"/>
      <x:c r="G1773"/>
      <x:c r="H1773"/>
      <x:c r="I1773"/>
      <x:c r="J1773"/>
    </x:row>
    <x:row r="1774">
      <x:c r="A1774" t="str">
        <x:v>ZS-0E4DE3FAFB0C</x:v>
      </x:c>
      <x:c r="B1774"/>
      <x:c r="C1774"/>
      <x:c r="D1774"/>
      <x:c r="E1774"/>
      <x:c r="F1774"/>
      <x:c r="G1774"/>
      <x:c r="H1774"/>
      <x:c r="I1774"/>
      <x:c r="J1774"/>
    </x:row>
    <x:row r="1775">
      <x:c r="A1775" t="str">
        <x:v>ZS-B60F50EF0FC2</x:v>
      </x:c>
      <x:c r="B1775"/>
      <x:c r="C1775"/>
      <x:c r="D1775"/>
      <x:c r="E1775"/>
      <x:c r="F1775"/>
      <x:c r="G1775"/>
      <x:c r="H1775"/>
      <x:c r="I1775"/>
      <x:c r="J1775"/>
    </x:row>
    <x:row r="1776">
      <x:c r="A1776" t="str">
        <x:v>ZS-377E1E293C0F</x:v>
      </x:c>
      <x:c r="B1776"/>
      <x:c r="C1776"/>
      <x:c r="D1776"/>
      <x:c r="E1776"/>
      <x:c r="F1776"/>
      <x:c r="G1776"/>
      <x:c r="H1776"/>
      <x:c r="I1776"/>
      <x:c r="J1776"/>
    </x:row>
    <x:row r="1777">
      <x:c r="A1777" t="str">
        <x:v>ZS-6697DEE654EB</x:v>
      </x:c>
      <x:c r="B1777"/>
      <x:c r="C1777"/>
      <x:c r="D1777"/>
      <x:c r="E1777"/>
      <x:c r="F1777"/>
      <x:c r="G1777"/>
      <x:c r="H1777"/>
      <x:c r="I1777"/>
      <x:c r="J1777"/>
    </x:row>
    <x:row r="1778">
      <x:c r="A1778" t="str">
        <x:v>ZS-E574F407F12C</x:v>
      </x:c>
      <x:c r="B1778"/>
      <x:c r="C1778"/>
      <x:c r="D1778"/>
      <x:c r="E1778"/>
      <x:c r="F1778"/>
      <x:c r="G1778"/>
      <x:c r="H1778"/>
      <x:c r="I1778"/>
      <x:c r="J1778"/>
    </x:row>
    <x:row r="1779">
      <x:c r="A1779" t="str">
        <x:v>ZS-EEA30D659CCC</x:v>
      </x:c>
      <x:c r="B1779"/>
      <x:c r="C1779"/>
      <x:c r="D1779"/>
      <x:c r="E1779"/>
      <x:c r="F1779"/>
      <x:c r="G1779"/>
      <x:c r="H1779"/>
      <x:c r="I1779"/>
      <x:c r="J1779"/>
    </x:row>
    <x:row r="1780">
      <x:c r="A1780" t="str">
        <x:v>ZS-96C554FF0AC5</x:v>
      </x:c>
      <x:c r="B1780"/>
      <x:c r="C1780"/>
      <x:c r="D1780"/>
      <x:c r="E1780"/>
      <x:c r="F1780"/>
      <x:c r="G1780"/>
      <x:c r="H1780"/>
      <x:c r="I1780"/>
      <x:c r="J1780"/>
    </x:row>
    <x:row r="1781">
      <x:c r="A1781" t="str">
        <x:v>ZS-DCF5562522A1</x:v>
      </x:c>
      <x:c r="B1781"/>
      <x:c r="C1781"/>
      <x:c r="D1781"/>
      <x:c r="E1781"/>
      <x:c r="F1781"/>
      <x:c r="G1781"/>
      <x:c r="H1781"/>
      <x:c r="I1781"/>
      <x:c r="J1781"/>
    </x:row>
    <x:row r="1782">
      <x:c r="A1782" t="str">
        <x:v>ZS-40DD6143DB47</x:v>
      </x:c>
      <x:c r="B1782"/>
      <x:c r="C1782"/>
      <x:c r="D1782"/>
      <x:c r="E1782"/>
      <x:c r="F1782"/>
      <x:c r="G1782"/>
      <x:c r="H1782"/>
      <x:c r="I1782"/>
      <x:c r="J1782"/>
    </x:row>
    <x:row r="1783">
      <x:c r="A1783" t="str">
        <x:v>ZS-5A077DCA6491</x:v>
      </x:c>
      <x:c r="B1783"/>
      <x:c r="C1783"/>
      <x:c r="D1783"/>
      <x:c r="E1783"/>
      <x:c r="F1783"/>
      <x:c r="G1783"/>
      <x:c r="H1783"/>
      <x:c r="I1783"/>
      <x:c r="J1783"/>
    </x:row>
    <x:row r="1784">
      <x:c r="A1784" t="str">
        <x:v>ZS-38AFE2FADB9A</x:v>
      </x:c>
      <x:c r="B1784"/>
      <x:c r="C1784"/>
      <x:c r="D1784"/>
      <x:c r="E1784"/>
      <x:c r="F1784"/>
      <x:c r="G1784"/>
      <x:c r="H1784"/>
      <x:c r="I1784"/>
      <x:c r="J1784"/>
    </x:row>
    <x:row r="1785">
      <x:c r="A1785" t="str">
        <x:v>ZS-AE7C233A3474</x:v>
      </x:c>
      <x:c r="B1785"/>
      <x:c r="C1785"/>
      <x:c r="D1785"/>
      <x:c r="E1785"/>
      <x:c r="F1785"/>
      <x:c r="G1785"/>
      <x:c r="H1785"/>
      <x:c r="I1785"/>
      <x:c r="J1785"/>
    </x:row>
    <x:row r="1786">
      <x:c r="A1786" t="str">
        <x:v>ZS-E35834890871</x:v>
      </x:c>
      <x:c r="B1786"/>
      <x:c r="C1786"/>
      <x:c r="D1786"/>
      <x:c r="E1786"/>
      <x:c r="F1786"/>
      <x:c r="G1786"/>
      <x:c r="H1786"/>
      <x:c r="I1786"/>
      <x:c r="J1786"/>
    </x:row>
    <x:row r="1787">
      <x:c r="A1787" t="str">
        <x:v>ZS-44BC09C56766</x:v>
      </x:c>
      <x:c r="B1787"/>
      <x:c r="C1787"/>
      <x:c r="D1787"/>
      <x:c r="E1787"/>
      <x:c r="F1787"/>
      <x:c r="G1787"/>
      <x:c r="H1787"/>
      <x:c r="I1787"/>
      <x:c r="J1787"/>
    </x:row>
    <x:row r="1788">
      <x:c r="A1788" t="str">
        <x:v>ZS-7BBFDA706A25</x:v>
      </x:c>
      <x:c r="B1788"/>
      <x:c r="C1788"/>
      <x:c r="D1788"/>
      <x:c r="E1788"/>
      <x:c r="F1788"/>
      <x:c r="G1788"/>
      <x:c r="H1788"/>
      <x:c r="I1788"/>
      <x:c r="J1788"/>
    </x:row>
    <x:row r="1789">
      <x:c r="A1789" t="str">
        <x:v>ZS-E090627DAD88</x:v>
      </x:c>
      <x:c r="B1789"/>
      <x:c r="C1789"/>
      <x:c r="D1789"/>
      <x:c r="E1789"/>
      <x:c r="F1789"/>
      <x:c r="G1789"/>
      <x:c r="H1789"/>
      <x:c r="I1789"/>
      <x:c r="J1789"/>
    </x:row>
    <x:row r="1790">
      <x:c r="A1790" t="str">
        <x:v>ZS-B275C21F3B7A</x:v>
      </x:c>
      <x:c r="B1790"/>
      <x:c r="C1790"/>
      <x:c r="D1790"/>
      <x:c r="E1790"/>
      <x:c r="F1790"/>
      <x:c r="G1790"/>
      <x:c r="H1790"/>
      <x:c r="I1790"/>
      <x:c r="J1790"/>
    </x:row>
    <x:row r="1791">
      <x:c r="A1791" t="str">
        <x:v>ZS-984C82E1B1B2</x:v>
      </x:c>
      <x:c r="B1791"/>
      <x:c r="C1791"/>
      <x:c r="D1791"/>
      <x:c r="E1791"/>
      <x:c r="F1791"/>
      <x:c r="G1791"/>
      <x:c r="H1791"/>
      <x:c r="I1791"/>
      <x:c r="J1791"/>
    </x:row>
    <x:row r="1792">
      <x:c r="A1792" t="str">
        <x:v>ZS-FDBB89424F75</x:v>
      </x:c>
      <x:c r="B1792"/>
      <x:c r="C1792"/>
      <x:c r="D1792"/>
      <x:c r="E1792"/>
      <x:c r="F1792"/>
      <x:c r="G1792"/>
      <x:c r="H1792"/>
      <x:c r="I1792"/>
      <x:c r="J1792"/>
    </x:row>
    <x:row r="1793">
      <x:c r="A1793" t="str">
        <x:v>ZS-E520ADF077CB</x:v>
      </x:c>
      <x:c r="B1793"/>
      <x:c r="C1793"/>
      <x:c r="D1793"/>
      <x:c r="E1793"/>
      <x:c r="F1793"/>
      <x:c r="G1793"/>
      <x:c r="H1793"/>
      <x:c r="I1793"/>
      <x:c r="J1793"/>
    </x:row>
    <x:row r="1794">
      <x:c r="A1794" t="str">
        <x:v>ZS-B823C683CA25</x:v>
      </x:c>
      <x:c r="B1794"/>
      <x:c r="C1794"/>
      <x:c r="D1794"/>
      <x:c r="E1794"/>
      <x:c r="F1794"/>
      <x:c r="G1794"/>
      <x:c r="H1794"/>
      <x:c r="I1794"/>
      <x:c r="J1794"/>
    </x:row>
    <x:row r="1795">
      <x:c r="A1795" t="str">
        <x:v>ZS-E9CFBEB91A3C</x:v>
      </x:c>
      <x:c r="B1795"/>
      <x:c r="C1795"/>
      <x:c r="D1795"/>
      <x:c r="E1795"/>
      <x:c r="F1795"/>
      <x:c r="G1795"/>
      <x:c r="H1795"/>
      <x:c r="I1795"/>
      <x:c r="J1795"/>
    </x:row>
    <x:row r="1796">
      <x:c r="A1796" t="str">
        <x:v>ZS-949AE0E3892B</x:v>
      </x:c>
      <x:c r="B1796"/>
      <x:c r="C1796"/>
      <x:c r="D1796"/>
      <x:c r="E1796"/>
      <x:c r="F1796"/>
      <x:c r="G1796"/>
      <x:c r="H1796"/>
      <x:c r="I1796"/>
      <x:c r="J1796"/>
    </x:row>
    <x:row r="1797">
      <x:c r="A1797" t="str">
        <x:v>ZS-77C0620D5D03</x:v>
      </x:c>
      <x:c r="B1797"/>
      <x:c r="C1797"/>
      <x:c r="D1797"/>
      <x:c r="E1797"/>
      <x:c r="F1797"/>
      <x:c r="G1797"/>
      <x:c r="H1797"/>
      <x:c r="I1797"/>
      <x:c r="J1797"/>
    </x:row>
    <x:row r="1798">
      <x:c r="A1798" t="str">
        <x:v>ZS-44C493DDABCF</x:v>
      </x:c>
      <x:c r="B1798"/>
      <x:c r="C1798"/>
      <x:c r="D1798"/>
      <x:c r="E1798"/>
      <x:c r="F1798"/>
      <x:c r="G1798"/>
      <x:c r="H1798"/>
      <x:c r="I1798"/>
      <x:c r="J1798"/>
    </x:row>
    <x:row r="1799">
      <x:c r="A1799" t="str">
        <x:v>ZS-372BB3C13BC1</x:v>
      </x:c>
      <x:c r="B1799"/>
      <x:c r="C1799"/>
      <x:c r="D1799"/>
      <x:c r="E1799"/>
      <x:c r="F1799"/>
      <x:c r="G1799"/>
      <x:c r="H1799"/>
      <x:c r="I1799"/>
      <x:c r="J1799"/>
    </x:row>
    <x:row r="1800">
      <x:c r="A1800" t="str">
        <x:v>ZS-849301F5A0BF</x:v>
      </x:c>
      <x:c r="B1800"/>
      <x:c r="C1800"/>
      <x:c r="D1800"/>
      <x:c r="E1800"/>
      <x:c r="F1800"/>
      <x:c r="G1800"/>
      <x:c r="H1800"/>
      <x:c r="I1800"/>
      <x:c r="J1800"/>
    </x:row>
    <x:row r="1801">
      <x:c r="A1801" t="str">
        <x:v>ZS-AA36491C441D</x:v>
      </x:c>
      <x:c r="B1801"/>
      <x:c r="C1801"/>
      <x:c r="D1801"/>
      <x:c r="E1801"/>
      <x:c r="F1801"/>
      <x:c r="G1801"/>
      <x:c r="H1801"/>
      <x:c r="I1801"/>
      <x:c r="J1801"/>
    </x:row>
    <x:row r="1802">
      <x:c r="A1802" t="str">
        <x:v>ZS-E7F345ADB4CE</x:v>
      </x:c>
      <x:c r="B1802"/>
      <x:c r="C1802"/>
      <x:c r="D1802"/>
      <x:c r="E1802"/>
      <x:c r="F1802"/>
      <x:c r="G1802"/>
      <x:c r="H1802"/>
      <x:c r="I1802"/>
      <x:c r="J1802"/>
    </x:row>
    <x:row r="1803">
      <x:c r="A1803" t="str">
        <x:v>ZS-E24C6FBF2FD4</x:v>
      </x:c>
      <x:c r="B1803"/>
      <x:c r="C1803"/>
      <x:c r="D1803"/>
      <x:c r="E1803"/>
      <x:c r="F1803"/>
      <x:c r="G1803"/>
      <x:c r="H1803"/>
      <x:c r="I1803"/>
      <x:c r="J1803"/>
    </x:row>
    <x:row r="1804">
      <x:c r="A1804" t="str">
        <x:v>ZS-879B8B171DFF</x:v>
      </x:c>
      <x:c r="B1804"/>
      <x:c r="C1804"/>
      <x:c r="D1804"/>
      <x:c r="E1804"/>
      <x:c r="F1804"/>
      <x:c r="G1804"/>
      <x:c r="H1804"/>
      <x:c r="I1804"/>
      <x:c r="J1804"/>
    </x:row>
    <x:row r="1805">
      <x:c r="A1805" t="str">
        <x:v>ZS-D8E23D0B8A93</x:v>
      </x:c>
      <x:c r="B1805"/>
      <x:c r="C1805"/>
      <x:c r="D1805"/>
      <x:c r="E1805"/>
      <x:c r="F1805"/>
      <x:c r="G1805"/>
      <x:c r="H1805"/>
      <x:c r="I1805"/>
      <x:c r="J1805"/>
    </x:row>
    <x:row r="1806">
      <x:c r="A1806" t="str">
        <x:v>ZS-FC3BF5E270EC</x:v>
      </x:c>
      <x:c r="B1806"/>
      <x:c r="C1806"/>
      <x:c r="D1806"/>
      <x:c r="E1806"/>
      <x:c r="F1806"/>
      <x:c r="G1806"/>
      <x:c r="H1806"/>
      <x:c r="I1806"/>
      <x:c r="J1806"/>
    </x:row>
    <x:row r="1807">
      <x:c r="A1807" t="str">
        <x:v>ZS-516B2B54BF88</x:v>
      </x:c>
      <x:c r="B1807"/>
      <x:c r="C1807"/>
      <x:c r="D1807"/>
      <x:c r="E1807"/>
      <x:c r="F1807"/>
      <x:c r="G1807"/>
      <x:c r="H1807"/>
      <x:c r="I1807"/>
      <x:c r="J1807"/>
    </x:row>
    <x:row r="1808">
      <x:c r="A1808" t="str">
        <x:v>ZS-AF318133F481</x:v>
      </x:c>
      <x:c r="B1808"/>
      <x:c r="C1808"/>
      <x:c r="D1808"/>
      <x:c r="E1808"/>
      <x:c r="F1808"/>
      <x:c r="G1808"/>
      <x:c r="H1808"/>
      <x:c r="I1808"/>
      <x:c r="J1808"/>
    </x:row>
    <x:row r="1809">
      <x:c r="A1809" t="str">
        <x:v>ZS-C2275D986EE6</x:v>
      </x:c>
      <x:c r="B1809"/>
      <x:c r="C1809"/>
      <x:c r="D1809"/>
      <x:c r="E1809"/>
      <x:c r="F1809"/>
      <x:c r="G1809"/>
      <x:c r="H1809"/>
      <x:c r="I1809"/>
      <x:c r="J1809"/>
    </x:row>
    <x:row r="1810">
      <x:c r="A1810" t="str">
        <x:v>ZS-F4F9249ED27F</x:v>
      </x:c>
      <x:c r="B1810"/>
      <x:c r="C1810"/>
      <x:c r="D1810"/>
      <x:c r="E1810"/>
      <x:c r="F1810"/>
      <x:c r="G1810"/>
      <x:c r="H1810"/>
      <x:c r="I1810"/>
      <x:c r="J1810"/>
    </x:row>
    <x:row r="1811">
      <x:c r="A1811" t="str">
        <x:v>ZS-BA46A2113999</x:v>
      </x:c>
      <x:c r="B1811"/>
      <x:c r="C1811"/>
      <x:c r="D1811"/>
      <x:c r="E1811"/>
      <x:c r="F1811"/>
      <x:c r="G1811"/>
      <x:c r="H1811"/>
      <x:c r="I1811"/>
      <x:c r="J1811"/>
    </x:row>
    <x:row r="1812">
      <x:c r="A1812" t="str">
        <x:v>ZS-6FC0110AABE4</x:v>
      </x:c>
      <x:c r="B1812"/>
      <x:c r="C1812"/>
      <x:c r="D1812"/>
      <x:c r="E1812"/>
      <x:c r="F1812"/>
      <x:c r="G1812"/>
      <x:c r="H1812"/>
      <x:c r="I1812"/>
      <x:c r="J1812"/>
    </x:row>
    <x:row r="1813">
      <x:c r="A1813" t="str">
        <x:v>ZS-243A1C8A7EBE</x:v>
      </x:c>
      <x:c r="B1813"/>
      <x:c r="C1813"/>
      <x:c r="D1813"/>
      <x:c r="E1813"/>
      <x:c r="F1813"/>
      <x:c r="G1813"/>
      <x:c r="H1813"/>
      <x:c r="I1813"/>
      <x:c r="J1813"/>
    </x:row>
    <x:row r="1814">
      <x:c r="A1814" t="str">
        <x:v>ZS-AF6446690B58</x:v>
      </x:c>
      <x:c r="B1814"/>
      <x:c r="C1814"/>
      <x:c r="D1814"/>
      <x:c r="E1814"/>
      <x:c r="F1814"/>
      <x:c r="G1814"/>
      <x:c r="H1814"/>
      <x:c r="I1814"/>
      <x:c r="J1814"/>
    </x:row>
    <x:row r="1815">
      <x:c r="A1815" t="str">
        <x:v>ZS-79673B0ACE4C</x:v>
      </x:c>
      <x:c r="B1815"/>
      <x:c r="C1815"/>
      <x:c r="D1815"/>
      <x:c r="E1815"/>
      <x:c r="F1815"/>
      <x:c r="G1815"/>
      <x:c r="H1815"/>
      <x:c r="I1815"/>
      <x:c r="J1815"/>
    </x:row>
    <x:row r="1816">
      <x:c r="A1816" t="str">
        <x:v>ZS-ED2E1A465168</x:v>
      </x:c>
      <x:c r="B1816"/>
      <x:c r="C1816"/>
      <x:c r="D1816"/>
      <x:c r="E1816"/>
      <x:c r="F1816"/>
      <x:c r="G1816"/>
      <x:c r="H1816"/>
      <x:c r="I1816"/>
      <x:c r="J1816"/>
    </x:row>
    <x:row r="1817">
      <x:c r="A1817" t="str">
        <x:v>ZS-1239D22AC054</x:v>
      </x:c>
      <x:c r="B1817"/>
      <x:c r="C1817"/>
      <x:c r="D1817"/>
      <x:c r="E1817"/>
      <x:c r="F1817"/>
      <x:c r="G1817"/>
      <x:c r="H1817"/>
      <x:c r="I1817"/>
      <x:c r="J1817"/>
    </x:row>
    <x:row r="1818">
      <x:c r="A1818" t="str">
        <x:v>ZS-CDE91AD7A57B</x:v>
      </x:c>
      <x:c r="B1818"/>
      <x:c r="C1818"/>
      <x:c r="D1818"/>
      <x:c r="E1818"/>
      <x:c r="F1818"/>
      <x:c r="G1818"/>
      <x:c r="H1818"/>
      <x:c r="I1818"/>
      <x:c r="J1818"/>
    </x:row>
    <x:row r="1819">
      <x:c r="A1819" t="str">
        <x:v>ZS-D8025CA0CD85</x:v>
      </x:c>
      <x:c r="B1819"/>
      <x:c r="C1819"/>
      <x:c r="D1819"/>
      <x:c r="E1819"/>
      <x:c r="F1819"/>
      <x:c r="G1819"/>
      <x:c r="H1819"/>
      <x:c r="I1819"/>
      <x:c r="J1819"/>
    </x:row>
    <x:row r="1820">
      <x:c r="A1820" t="str">
        <x:v>ZS-C274990C7754</x:v>
      </x:c>
      <x:c r="B1820"/>
      <x:c r="C1820"/>
      <x:c r="D1820"/>
      <x:c r="E1820"/>
      <x:c r="F1820"/>
      <x:c r="G1820"/>
      <x:c r="H1820"/>
      <x:c r="I1820"/>
      <x:c r="J1820"/>
    </x:row>
    <x:row r="1821">
      <x:c r="A1821" t="str">
        <x:v>ZS-5D38583C9FEE</x:v>
      </x:c>
      <x:c r="B1821"/>
      <x:c r="C1821"/>
      <x:c r="D1821"/>
      <x:c r="E1821"/>
      <x:c r="F1821"/>
      <x:c r="G1821"/>
      <x:c r="H1821"/>
      <x:c r="I1821"/>
      <x:c r="J1821"/>
    </x:row>
    <x:row r="1822">
      <x:c r="A1822" t="str">
        <x:v>ZS-FDBF8AF43CB7</x:v>
      </x:c>
      <x:c r="B1822"/>
      <x:c r="C1822"/>
      <x:c r="D1822"/>
      <x:c r="E1822"/>
      <x:c r="F1822"/>
      <x:c r="G1822"/>
      <x:c r="H1822"/>
      <x:c r="I1822"/>
      <x:c r="J1822"/>
    </x:row>
    <x:row r="1823">
      <x:c r="A1823" t="str">
        <x:v>ZS-77F642255C3A</x:v>
      </x:c>
      <x:c r="B1823"/>
      <x:c r="C1823"/>
      <x:c r="D1823"/>
      <x:c r="E1823"/>
      <x:c r="F1823"/>
      <x:c r="G1823"/>
      <x:c r="H1823"/>
      <x:c r="I1823"/>
      <x:c r="J1823"/>
    </x:row>
    <x:row r="1824">
      <x:c r="A1824" t="str">
        <x:v>ZS-F1BB4C3F87F0</x:v>
      </x:c>
      <x:c r="B1824"/>
      <x:c r="C1824"/>
      <x:c r="D1824"/>
      <x:c r="E1824"/>
      <x:c r="F1824"/>
      <x:c r="G1824"/>
      <x:c r="H1824"/>
      <x:c r="I1824"/>
      <x:c r="J1824"/>
    </x:row>
    <x:row r="1825">
      <x:c r="A1825" t="str">
        <x:v>ZS-AEFA19113C0C</x:v>
      </x:c>
      <x:c r="B1825"/>
      <x:c r="C1825"/>
      <x:c r="D1825"/>
      <x:c r="E1825"/>
      <x:c r="F1825"/>
      <x:c r="G1825"/>
      <x:c r="H1825"/>
      <x:c r="I1825"/>
      <x:c r="J1825"/>
    </x:row>
    <x:row r="1826">
      <x:c r="A1826" t="str">
        <x:v>ZS-4B9C45B0DD60</x:v>
      </x:c>
      <x:c r="B1826"/>
      <x:c r="C1826"/>
      <x:c r="D1826"/>
      <x:c r="E1826"/>
      <x:c r="F1826"/>
      <x:c r="G1826"/>
      <x:c r="H1826"/>
      <x:c r="I1826"/>
      <x:c r="J1826"/>
    </x:row>
    <x:row r="1827">
      <x:c r="A1827" t="str">
        <x:v>ZS-0174F84B2666</x:v>
      </x:c>
      <x:c r="B1827"/>
      <x:c r="C1827"/>
      <x:c r="D1827"/>
      <x:c r="E1827"/>
      <x:c r="F1827"/>
      <x:c r="G1827"/>
      <x:c r="H1827"/>
      <x:c r="I1827"/>
      <x:c r="J1827"/>
    </x:row>
    <x:row r="1828">
      <x:c r="A1828" t="str">
        <x:v>ZS-E1D5614DD19F</x:v>
      </x:c>
      <x:c r="B1828"/>
      <x:c r="C1828"/>
      <x:c r="D1828"/>
      <x:c r="E1828"/>
      <x:c r="F1828"/>
      <x:c r="G1828"/>
      <x:c r="H1828"/>
      <x:c r="I1828"/>
      <x:c r="J1828"/>
    </x:row>
    <x:row r="1829">
      <x:c r="A1829" t="str">
        <x:v>ZS-FA64B3872A2C</x:v>
      </x:c>
      <x:c r="B1829"/>
      <x:c r="C1829"/>
      <x:c r="D1829"/>
      <x:c r="E1829"/>
      <x:c r="F1829"/>
      <x:c r="G1829"/>
      <x:c r="H1829"/>
      <x:c r="I1829"/>
      <x:c r="J1829"/>
    </x:row>
    <x:row r="1830">
      <x:c r="A1830" t="str">
        <x:v>ZS-11EF7B6876CE</x:v>
      </x:c>
      <x:c r="B1830"/>
      <x:c r="C1830"/>
      <x:c r="D1830"/>
      <x:c r="E1830"/>
      <x:c r="F1830"/>
      <x:c r="G1830"/>
      <x:c r="H1830"/>
      <x:c r="I1830"/>
      <x:c r="J1830"/>
    </x:row>
    <x:row r="1831">
      <x:c r="A1831" t="str">
        <x:v>ZS-F9B762A3AD83</x:v>
      </x:c>
      <x:c r="B1831"/>
      <x:c r="C1831"/>
      <x:c r="D1831"/>
      <x:c r="E1831"/>
      <x:c r="F1831"/>
      <x:c r="G1831"/>
      <x:c r="H1831"/>
      <x:c r="I1831"/>
      <x:c r="J1831"/>
    </x:row>
    <x:row r="1832">
      <x:c r="A1832" t="str">
        <x:v>ZS-DE4FB5CC3101</x:v>
      </x:c>
      <x:c r="B1832"/>
      <x:c r="C1832"/>
      <x:c r="D1832"/>
      <x:c r="E1832"/>
      <x:c r="F1832"/>
      <x:c r="G1832"/>
      <x:c r="H1832"/>
      <x:c r="I1832"/>
      <x:c r="J1832"/>
    </x:row>
    <x:row r="1833">
      <x:c r="A1833" t="str">
        <x:v>ZS-A8A26A6EF8CF</x:v>
      </x:c>
      <x:c r="B1833"/>
      <x:c r="C1833"/>
      <x:c r="D1833"/>
      <x:c r="E1833"/>
      <x:c r="F1833"/>
      <x:c r="G1833"/>
      <x:c r="H1833"/>
      <x:c r="I1833"/>
      <x:c r="J1833"/>
    </x:row>
    <x:row r="1834">
      <x:c r="A1834" t="str">
        <x:v>ZS-812E8E50A97B</x:v>
      </x:c>
      <x:c r="B1834"/>
      <x:c r="C1834"/>
      <x:c r="D1834"/>
      <x:c r="E1834"/>
      <x:c r="F1834"/>
      <x:c r="G1834"/>
      <x:c r="H1834"/>
      <x:c r="I1834"/>
      <x:c r="J1834"/>
    </x:row>
    <x:row r="1835">
      <x:c r="A1835" t="str">
        <x:v>ZS-5F76D85C5C1D</x:v>
      </x:c>
      <x:c r="B1835"/>
      <x:c r="C1835"/>
      <x:c r="D1835"/>
      <x:c r="E1835"/>
      <x:c r="F1835"/>
      <x:c r="G1835"/>
      <x:c r="H1835"/>
      <x:c r="I1835"/>
      <x:c r="J1835"/>
    </x:row>
    <x:row r="1836">
      <x:c r="A1836" t="str">
        <x:v>ZS-6D72745C735C</x:v>
      </x:c>
      <x:c r="B1836"/>
      <x:c r="C1836"/>
      <x:c r="D1836"/>
      <x:c r="E1836"/>
      <x:c r="F1836"/>
      <x:c r="G1836"/>
      <x:c r="H1836"/>
      <x:c r="I1836"/>
      <x:c r="J1836"/>
    </x:row>
    <x:row r="1837">
      <x:c r="A1837" t="str">
        <x:v>ZS-AECF56554D03</x:v>
      </x:c>
      <x:c r="B1837"/>
      <x:c r="C1837"/>
      <x:c r="D1837"/>
      <x:c r="E1837"/>
      <x:c r="F1837"/>
      <x:c r="G1837"/>
      <x:c r="H1837"/>
      <x:c r="I1837"/>
      <x:c r="J1837"/>
    </x:row>
    <x:row r="1838">
      <x:c r="A1838" t="str">
        <x:v>ZS-04ECE89BCF4A</x:v>
      </x:c>
      <x:c r="B1838"/>
      <x:c r="C1838"/>
      <x:c r="D1838"/>
      <x:c r="E1838"/>
      <x:c r="F1838"/>
      <x:c r="G1838"/>
      <x:c r="H1838"/>
      <x:c r="I1838"/>
      <x:c r="J1838"/>
    </x:row>
    <x:row r="1839">
      <x:c r="A1839" t="str">
        <x:v>ZS-C691FDFD40A6</x:v>
      </x:c>
      <x:c r="B1839"/>
      <x:c r="C1839"/>
      <x:c r="D1839"/>
      <x:c r="E1839"/>
      <x:c r="F1839"/>
      <x:c r="G1839"/>
      <x:c r="H1839"/>
      <x:c r="I1839"/>
      <x:c r="J1839"/>
    </x:row>
    <x:row r="1840">
      <x:c r="A1840" t="str">
        <x:v>ZS-47D273F8BB65</x:v>
      </x:c>
      <x:c r="B1840"/>
      <x:c r="C1840"/>
      <x:c r="D1840"/>
      <x:c r="E1840"/>
      <x:c r="F1840"/>
      <x:c r="G1840"/>
      <x:c r="H1840"/>
      <x:c r="I1840"/>
      <x:c r="J1840"/>
    </x:row>
    <x:row r="1841">
      <x:c r="A1841" t="str">
        <x:v>ZS-9699C2436068</x:v>
      </x:c>
      <x:c r="B1841"/>
      <x:c r="C1841"/>
      <x:c r="D1841"/>
      <x:c r="E1841"/>
      <x:c r="F1841"/>
      <x:c r="G1841"/>
      <x:c r="H1841"/>
      <x:c r="I1841"/>
      <x:c r="J1841"/>
    </x:row>
    <x:row r="1842">
      <x:c r="A1842" t="str">
        <x:v>ZS-6EB9E19EFD66</x:v>
      </x:c>
      <x:c r="B1842"/>
      <x:c r="C1842"/>
      <x:c r="D1842"/>
      <x:c r="E1842"/>
      <x:c r="F1842"/>
      <x:c r="G1842"/>
      <x:c r="H1842"/>
      <x:c r="I1842"/>
      <x:c r="J1842"/>
    </x:row>
    <x:row r="1843">
      <x:c r="A1843" t="str">
        <x:v>ZS-63981115A229</x:v>
      </x:c>
      <x:c r="B1843"/>
      <x:c r="C1843"/>
      <x:c r="D1843"/>
      <x:c r="E1843"/>
      <x:c r="F1843"/>
      <x:c r="G1843"/>
      <x:c r="H1843"/>
      <x:c r="I1843"/>
      <x:c r="J1843"/>
    </x:row>
    <x:row r="1844">
      <x:c r="A1844" t="str">
        <x:v>ZS-B31B650B8D2B</x:v>
      </x:c>
      <x:c r="B1844"/>
      <x:c r="C1844"/>
      <x:c r="D1844"/>
      <x:c r="E1844"/>
      <x:c r="F1844"/>
      <x:c r="G1844"/>
      <x:c r="H1844"/>
      <x:c r="I1844"/>
      <x:c r="J1844"/>
    </x:row>
    <x:row r="1845">
      <x:c r="A1845" t="str">
        <x:v>ZS-77AFE5AB17EE</x:v>
      </x:c>
      <x:c r="B1845"/>
      <x:c r="C1845"/>
      <x:c r="D1845"/>
      <x:c r="E1845"/>
      <x:c r="F1845"/>
      <x:c r="G1845"/>
      <x:c r="H1845"/>
      <x:c r="I1845"/>
      <x:c r="J1845"/>
    </x:row>
    <x:row r="1846">
      <x:c r="A1846" t="str">
        <x:v>ZS-875214234F41</x:v>
      </x:c>
      <x:c r="B1846"/>
      <x:c r="C1846"/>
      <x:c r="D1846"/>
      <x:c r="E1846"/>
      <x:c r="F1846"/>
      <x:c r="G1846"/>
      <x:c r="H1846"/>
      <x:c r="I1846"/>
      <x:c r="J1846"/>
    </x:row>
    <x:row r="1847">
      <x:c r="A1847" t="str">
        <x:v>ZS-8B464EC06A3A</x:v>
      </x:c>
      <x:c r="B1847"/>
      <x:c r="C1847"/>
      <x:c r="D1847"/>
      <x:c r="E1847"/>
      <x:c r="F1847"/>
      <x:c r="G1847"/>
      <x:c r="H1847"/>
      <x:c r="I1847"/>
      <x:c r="J1847"/>
    </x:row>
    <x:row r="1848">
      <x:c r="A1848" t="str">
        <x:v>ZS-BB90CCF40830</x:v>
      </x:c>
      <x:c r="B1848"/>
      <x:c r="C1848"/>
      <x:c r="D1848"/>
      <x:c r="E1848"/>
      <x:c r="F1848"/>
      <x:c r="G1848"/>
      <x:c r="H1848"/>
      <x:c r="I1848"/>
      <x:c r="J1848"/>
    </x:row>
    <x:row r="1849">
      <x:c r="A1849" t="str">
        <x:v>ZS-5C3F567F1FD1</x:v>
      </x:c>
      <x:c r="B1849"/>
      <x:c r="C1849"/>
      <x:c r="D1849"/>
      <x:c r="E1849"/>
      <x:c r="F1849"/>
      <x:c r="G1849"/>
      <x:c r="H1849"/>
      <x:c r="I1849"/>
      <x:c r="J1849"/>
    </x:row>
    <x:row r="1850">
      <x:c r="A1850" t="str">
        <x:v>ZS-D19661734C6B</x:v>
      </x:c>
      <x:c r="B1850"/>
      <x:c r="C1850"/>
      <x:c r="D1850"/>
      <x:c r="E1850"/>
      <x:c r="F1850"/>
      <x:c r="G1850"/>
      <x:c r="H1850"/>
      <x:c r="I1850"/>
      <x:c r="J1850"/>
    </x:row>
    <x:row r="1851">
      <x:c r="A1851" t="str">
        <x:v>ZS-320CF16579D1</x:v>
      </x:c>
      <x:c r="B1851"/>
      <x:c r="C1851"/>
      <x:c r="D1851"/>
      <x:c r="E1851"/>
      <x:c r="F1851"/>
      <x:c r="G1851"/>
      <x:c r="H1851"/>
      <x:c r="I1851"/>
      <x:c r="J1851"/>
    </x:row>
    <x:row r="1852">
      <x:c r="A1852" t="str">
        <x:v>ZS-E0238F297EE8</x:v>
      </x:c>
      <x:c r="B1852"/>
      <x:c r="C1852"/>
      <x:c r="D1852"/>
      <x:c r="E1852"/>
      <x:c r="F1852"/>
      <x:c r="G1852"/>
      <x:c r="H1852"/>
      <x:c r="I1852"/>
      <x:c r="J1852"/>
    </x:row>
    <x:row r="1853">
      <x:c r="A1853" t="str">
        <x:v>ZS-FA870410649C</x:v>
      </x:c>
      <x:c r="B1853"/>
      <x:c r="C1853"/>
      <x:c r="D1853"/>
      <x:c r="E1853"/>
      <x:c r="F1853"/>
      <x:c r="G1853"/>
      <x:c r="H1853"/>
      <x:c r="I1853"/>
      <x:c r="J1853"/>
    </x:row>
    <x:row r="1854">
      <x:c r="A1854" t="str">
        <x:v>ZS-73C63E13CF7C</x:v>
      </x:c>
      <x:c r="B1854"/>
      <x:c r="C1854"/>
      <x:c r="D1854"/>
      <x:c r="E1854"/>
      <x:c r="F1854"/>
      <x:c r="G1854"/>
      <x:c r="H1854"/>
      <x:c r="I1854"/>
      <x:c r="J1854"/>
    </x:row>
    <x:row r="1855">
      <x:c r="A1855" t="str">
        <x:v>ZS-097A49B5AC81</x:v>
      </x:c>
      <x:c r="B1855"/>
      <x:c r="C1855"/>
      <x:c r="D1855"/>
      <x:c r="E1855"/>
      <x:c r="F1855"/>
      <x:c r="G1855"/>
      <x:c r="H1855"/>
      <x:c r="I1855"/>
      <x:c r="J1855"/>
    </x:row>
    <x:row r="1856">
      <x:c r="A1856" t="str">
        <x:v>ZS-012E4C542C56</x:v>
      </x:c>
      <x:c r="B1856"/>
      <x:c r="C1856"/>
      <x:c r="D1856"/>
      <x:c r="E1856"/>
      <x:c r="F1856"/>
      <x:c r="G1856"/>
      <x:c r="H1856"/>
      <x:c r="I1856"/>
      <x:c r="J1856"/>
    </x:row>
    <x:row r="1857">
      <x:c r="A1857" t="str">
        <x:v>ZS-10E1FFB83E7A</x:v>
      </x:c>
      <x:c r="B1857"/>
      <x:c r="C1857"/>
      <x:c r="D1857"/>
      <x:c r="E1857"/>
      <x:c r="F1857"/>
      <x:c r="G1857"/>
      <x:c r="H1857"/>
      <x:c r="I1857"/>
      <x:c r="J1857"/>
    </x:row>
    <x:row r="1858">
      <x:c r="A1858" t="str">
        <x:v>ZS-F241BB73B6F6</x:v>
      </x:c>
      <x:c r="B1858"/>
      <x:c r="C1858"/>
      <x:c r="D1858"/>
      <x:c r="E1858"/>
      <x:c r="F1858"/>
      <x:c r="G1858"/>
      <x:c r="H1858"/>
      <x:c r="I1858"/>
      <x:c r="J1858"/>
    </x:row>
    <x:row r="1859">
      <x:c r="A1859" t="str">
        <x:v>ZS-8B4AC8DF493C</x:v>
      </x:c>
      <x:c r="B1859"/>
      <x:c r="C1859"/>
      <x:c r="D1859"/>
      <x:c r="E1859"/>
      <x:c r="F1859"/>
      <x:c r="G1859"/>
      <x:c r="H1859"/>
      <x:c r="I1859"/>
      <x:c r="J1859"/>
    </x:row>
    <x:row r="1860">
      <x:c r="A1860" t="str">
        <x:v>ZS-91F76032791C</x:v>
      </x:c>
      <x:c r="B1860"/>
      <x:c r="C1860"/>
      <x:c r="D1860"/>
      <x:c r="E1860"/>
      <x:c r="F1860"/>
      <x:c r="G1860"/>
      <x:c r="H1860"/>
      <x:c r="I1860"/>
      <x:c r="J1860"/>
    </x:row>
    <x:row r="1861">
      <x:c r="A1861" t="str">
        <x:v>ZS-CBF42EAB877B</x:v>
      </x:c>
      <x:c r="B1861"/>
      <x:c r="C1861"/>
      <x:c r="D1861"/>
      <x:c r="E1861"/>
      <x:c r="F1861"/>
      <x:c r="G1861"/>
      <x:c r="H1861"/>
      <x:c r="I1861"/>
      <x:c r="J1861"/>
    </x:row>
    <x:row r="1862">
      <x:c r="A1862" t="str">
        <x:v>ZS-642BFD63DF70</x:v>
      </x:c>
      <x:c r="B1862"/>
      <x:c r="C1862"/>
      <x:c r="D1862"/>
      <x:c r="E1862"/>
      <x:c r="F1862"/>
      <x:c r="G1862"/>
      <x:c r="H1862"/>
      <x:c r="I1862"/>
      <x:c r="J1862"/>
    </x:row>
    <x:row r="1863">
      <x:c r="A1863" t="str">
        <x:v>ZS-780F86033628</x:v>
      </x:c>
      <x:c r="B1863"/>
      <x:c r="C1863"/>
      <x:c r="D1863"/>
      <x:c r="E1863"/>
      <x:c r="F1863"/>
      <x:c r="G1863"/>
      <x:c r="H1863"/>
      <x:c r="I1863"/>
      <x:c r="J1863"/>
    </x:row>
    <x:row r="1864">
      <x:c r="A1864" t="str">
        <x:v>ZS-F386967FB06D</x:v>
      </x:c>
      <x:c r="B1864"/>
      <x:c r="C1864"/>
      <x:c r="D1864"/>
      <x:c r="E1864"/>
      <x:c r="F1864"/>
      <x:c r="G1864"/>
      <x:c r="H1864"/>
      <x:c r="I1864"/>
      <x:c r="J1864"/>
    </x:row>
    <x:row r="1865">
      <x:c r="A1865" t="str">
        <x:v>ZS-25B957743281</x:v>
      </x:c>
      <x:c r="B1865"/>
      <x:c r="C1865"/>
      <x:c r="D1865"/>
      <x:c r="E1865"/>
      <x:c r="F1865"/>
      <x:c r="G1865"/>
      <x:c r="H1865"/>
      <x:c r="I1865"/>
      <x:c r="J1865"/>
    </x:row>
    <x:row r="1866">
      <x:c r="A1866" t="str">
        <x:v>ZS-A6FEBF844819</x:v>
      </x:c>
      <x:c r="B1866"/>
      <x:c r="C1866"/>
      <x:c r="D1866"/>
      <x:c r="E1866"/>
      <x:c r="F1866"/>
      <x:c r="G1866"/>
      <x:c r="H1866"/>
      <x:c r="I1866"/>
      <x:c r="J1866"/>
    </x:row>
    <x:row r="1867">
      <x:c r="A1867" t="str">
        <x:v>ZS-199048A811A4</x:v>
      </x:c>
      <x:c r="B1867"/>
      <x:c r="C1867"/>
      <x:c r="D1867"/>
      <x:c r="E1867"/>
      <x:c r="F1867"/>
      <x:c r="G1867"/>
      <x:c r="H1867"/>
      <x:c r="I1867"/>
      <x:c r="J1867"/>
    </x:row>
    <x:row r="1868">
      <x:c r="A1868" t="str">
        <x:v>ZS-33242E1735A4</x:v>
      </x:c>
      <x:c r="B1868"/>
      <x:c r="C1868"/>
      <x:c r="D1868"/>
      <x:c r="E1868"/>
      <x:c r="F1868"/>
      <x:c r="G1868"/>
      <x:c r="H1868"/>
      <x:c r="I1868"/>
      <x:c r="J1868"/>
    </x:row>
    <x:row r="1869">
      <x:c r="A1869" t="str">
        <x:v>ZS-230E6EDD0C6E</x:v>
      </x:c>
      <x:c r="B1869"/>
      <x:c r="C1869"/>
      <x:c r="D1869"/>
      <x:c r="E1869"/>
      <x:c r="F1869"/>
      <x:c r="G1869"/>
      <x:c r="H1869"/>
      <x:c r="I1869"/>
      <x:c r="J1869"/>
    </x:row>
    <x:row r="1870">
      <x:c r="A1870" t="str">
        <x:v>ZS-DB7E31FB100D</x:v>
      </x:c>
      <x:c r="B1870"/>
      <x:c r="C1870"/>
      <x:c r="D1870"/>
      <x:c r="E1870"/>
      <x:c r="F1870"/>
      <x:c r="G1870"/>
      <x:c r="H1870"/>
      <x:c r="I1870"/>
      <x:c r="J1870"/>
    </x:row>
    <x:row r="1871">
      <x:c r="A1871" t="str">
        <x:v>ZS-4969EEF1902C</x:v>
      </x:c>
      <x:c r="B1871"/>
      <x:c r="C1871"/>
      <x:c r="D1871"/>
      <x:c r="E1871"/>
      <x:c r="F1871"/>
      <x:c r="G1871"/>
      <x:c r="H1871"/>
      <x:c r="I1871"/>
      <x:c r="J1871"/>
    </x:row>
    <x:row r="1872">
      <x:c r="A1872" t="str">
        <x:v>ZS-B426EC4558FD</x:v>
      </x:c>
      <x:c r="B1872"/>
      <x:c r="C1872"/>
      <x:c r="D1872"/>
      <x:c r="E1872"/>
      <x:c r="F1872"/>
      <x:c r="G1872"/>
      <x:c r="H1872"/>
      <x:c r="I1872"/>
      <x:c r="J1872"/>
    </x:row>
    <x:row r="1873">
      <x:c r="A1873" t="str">
        <x:v>ZS-E55B54CB6F21</x:v>
      </x:c>
      <x:c r="B1873"/>
      <x:c r="C1873"/>
      <x:c r="D1873"/>
      <x:c r="E1873"/>
      <x:c r="F1873"/>
      <x:c r="G1873"/>
      <x:c r="H1873"/>
      <x:c r="I1873"/>
      <x:c r="J1873"/>
    </x:row>
    <x:row r="1874">
      <x:c r="A1874" t="str">
        <x:v>ZS-D69A161E7E45</x:v>
      </x:c>
      <x:c r="B1874"/>
      <x:c r="C1874"/>
      <x:c r="D1874"/>
      <x:c r="E1874"/>
      <x:c r="F1874"/>
      <x:c r="G1874"/>
      <x:c r="H1874"/>
      <x:c r="I1874"/>
      <x:c r="J1874"/>
    </x:row>
    <x:row r="1875">
      <x:c r="A1875" t="str">
        <x:v>ZS-F23A2A45F72F</x:v>
      </x:c>
      <x:c r="B1875"/>
      <x:c r="C1875"/>
      <x:c r="D1875"/>
      <x:c r="E1875"/>
      <x:c r="F1875"/>
      <x:c r="G1875"/>
      <x:c r="H1875"/>
      <x:c r="I1875"/>
      <x:c r="J1875"/>
    </x:row>
    <x:row r="1876">
      <x:c r="A1876" t="str">
        <x:v>ZS-033F678FB122</x:v>
      </x:c>
      <x:c r="B1876"/>
      <x:c r="C1876"/>
      <x:c r="D1876"/>
      <x:c r="E1876"/>
      <x:c r="F1876"/>
      <x:c r="G1876"/>
      <x:c r="H1876"/>
      <x:c r="I1876"/>
      <x:c r="J1876"/>
    </x:row>
    <x:row r="1877">
      <x:c r="A1877" t="str">
        <x:v>ZS-4DFBA8120EC0</x:v>
      </x:c>
      <x:c r="B1877"/>
      <x:c r="C1877"/>
      <x:c r="D1877"/>
      <x:c r="E1877"/>
      <x:c r="F1877"/>
      <x:c r="G1877"/>
      <x:c r="H1877"/>
      <x:c r="I1877"/>
      <x:c r="J1877"/>
    </x:row>
    <x:row r="1878">
      <x:c r="A1878" t="str">
        <x:v>ZS-8D058CCF6766</x:v>
      </x:c>
      <x:c r="B1878"/>
      <x:c r="C1878"/>
      <x:c r="D1878"/>
      <x:c r="E1878"/>
      <x:c r="F1878"/>
      <x:c r="G1878"/>
      <x:c r="H1878"/>
      <x:c r="I1878"/>
      <x:c r="J1878"/>
    </x:row>
    <x:row r="1879">
      <x:c r="A1879" t="str">
        <x:v>ZS-91834CD08F70</x:v>
      </x:c>
      <x:c r="B1879"/>
      <x:c r="C1879"/>
      <x:c r="D1879"/>
      <x:c r="E1879"/>
      <x:c r="F1879"/>
      <x:c r="G1879"/>
      <x:c r="H1879"/>
      <x:c r="I1879"/>
      <x:c r="J1879"/>
    </x:row>
    <x:row r="1880">
      <x:c r="A1880" t="str">
        <x:v>ZS-9D76ED18CA64</x:v>
      </x:c>
      <x:c r="B1880"/>
      <x:c r="C1880"/>
      <x:c r="D1880"/>
      <x:c r="E1880"/>
      <x:c r="F1880"/>
      <x:c r="G1880"/>
      <x:c r="H1880"/>
      <x:c r="I1880"/>
      <x:c r="J1880"/>
    </x:row>
    <x:row r="1881">
      <x:c r="A1881" t="str">
        <x:v>ZS-6281FB22BB0E</x:v>
      </x:c>
      <x:c r="B1881"/>
      <x:c r="C1881"/>
      <x:c r="D1881"/>
      <x:c r="E1881"/>
      <x:c r="F1881"/>
      <x:c r="G1881"/>
      <x:c r="H1881"/>
      <x:c r="I1881"/>
      <x:c r="J1881"/>
    </x:row>
    <x:row r="1882">
      <x:c r="A1882" t="str">
        <x:v>ZS-8AF60391A9A1</x:v>
      </x:c>
      <x:c r="B1882"/>
      <x:c r="C1882"/>
      <x:c r="D1882"/>
      <x:c r="E1882"/>
      <x:c r="F1882"/>
      <x:c r="G1882"/>
      <x:c r="H1882"/>
      <x:c r="I1882"/>
      <x:c r="J1882"/>
    </x:row>
    <x:row r="1883">
      <x:c r="A1883" t="str">
        <x:v>ZS-A7FABF64D8C6</x:v>
      </x:c>
      <x:c r="B1883"/>
      <x:c r="C1883"/>
      <x:c r="D1883"/>
      <x:c r="E1883"/>
      <x:c r="F1883"/>
      <x:c r="G1883"/>
      <x:c r="H1883"/>
      <x:c r="I1883"/>
      <x:c r="J1883"/>
    </x:row>
    <x:row r="1884">
      <x:c r="A1884" t="str">
        <x:v>ZS-8D65144CE842</x:v>
      </x:c>
      <x:c r="B1884"/>
      <x:c r="C1884"/>
      <x:c r="D1884"/>
      <x:c r="E1884"/>
      <x:c r="F1884"/>
      <x:c r="G1884"/>
      <x:c r="H1884"/>
      <x:c r="I1884"/>
      <x:c r="J1884"/>
    </x:row>
    <x:row r="1885">
      <x:c r="A1885" t="str">
        <x:v>ZS-AF5E32F651C8</x:v>
      </x:c>
      <x:c r="B1885"/>
      <x:c r="C1885"/>
      <x:c r="D1885"/>
      <x:c r="E1885"/>
      <x:c r="F1885"/>
      <x:c r="G1885"/>
      <x:c r="H1885"/>
      <x:c r="I1885"/>
      <x:c r="J1885"/>
    </x:row>
    <x:row r="1886">
      <x:c r="A1886" t="str">
        <x:v>ZS-1FD5B89FCFC1</x:v>
      </x:c>
      <x:c r="B1886"/>
      <x:c r="C1886"/>
      <x:c r="D1886"/>
      <x:c r="E1886"/>
      <x:c r="F1886"/>
      <x:c r="G1886"/>
      <x:c r="H1886"/>
      <x:c r="I1886"/>
      <x:c r="J1886"/>
    </x:row>
    <x:row r="1887">
      <x:c r="A1887" t="str">
        <x:v>ZS-55632877CE34</x:v>
      </x:c>
      <x:c r="B1887"/>
      <x:c r="C1887"/>
      <x:c r="D1887"/>
      <x:c r="E1887"/>
      <x:c r="F1887"/>
      <x:c r="G1887"/>
      <x:c r="H1887"/>
      <x:c r="I1887"/>
      <x:c r="J1887"/>
    </x:row>
    <x:row r="1888">
      <x:c r="A1888" t="str">
        <x:v>ZS-4200191A3B1F</x:v>
      </x:c>
      <x:c r="B1888"/>
      <x:c r="C1888"/>
      <x:c r="D1888"/>
      <x:c r="E1888"/>
      <x:c r="F1888"/>
      <x:c r="G1888"/>
      <x:c r="H1888"/>
      <x:c r="I1888"/>
      <x:c r="J1888"/>
    </x:row>
    <x:row r="1889">
      <x:c r="A1889" t="str">
        <x:v>ZS-68C97ED1C0E4</x:v>
      </x:c>
      <x:c r="B1889"/>
      <x:c r="C1889"/>
      <x:c r="D1889"/>
      <x:c r="E1889"/>
      <x:c r="F1889"/>
      <x:c r="G1889"/>
      <x:c r="H1889"/>
      <x:c r="I1889"/>
      <x:c r="J1889"/>
    </x:row>
    <x:row r="1890">
      <x:c r="A1890" t="str">
        <x:v>ZS-C84A40D9B6B3</x:v>
      </x:c>
      <x:c r="B1890"/>
      <x:c r="C1890"/>
      <x:c r="D1890"/>
      <x:c r="E1890"/>
      <x:c r="F1890"/>
      <x:c r="G1890"/>
      <x:c r="H1890"/>
      <x:c r="I1890"/>
      <x:c r="J1890"/>
    </x:row>
    <x:row r="1891">
      <x:c r="A1891" t="str">
        <x:v>ZS-02837BA91A5D</x:v>
      </x:c>
      <x:c r="B1891"/>
      <x:c r="C1891"/>
      <x:c r="D1891"/>
      <x:c r="E1891"/>
      <x:c r="F1891"/>
      <x:c r="G1891"/>
      <x:c r="H1891"/>
      <x:c r="I1891"/>
      <x:c r="J1891"/>
    </x:row>
    <x:row r="1892">
      <x:c r="A1892" t="str">
        <x:v>ZS-40804EBE5467</x:v>
      </x:c>
      <x:c r="B1892"/>
      <x:c r="C1892"/>
      <x:c r="D1892"/>
      <x:c r="E1892"/>
      <x:c r="F1892"/>
      <x:c r="G1892"/>
      <x:c r="H1892"/>
      <x:c r="I1892"/>
      <x:c r="J1892"/>
    </x:row>
    <x:row r="1893">
      <x:c r="A1893" t="str">
        <x:v>ZS-3048421DE054</x:v>
      </x:c>
      <x:c r="B1893"/>
      <x:c r="C1893"/>
      <x:c r="D1893"/>
      <x:c r="E1893"/>
      <x:c r="F1893"/>
      <x:c r="G1893"/>
      <x:c r="H1893"/>
      <x:c r="I1893"/>
      <x:c r="J1893"/>
    </x:row>
    <x:row r="1894">
      <x:c r="A1894" t="str">
        <x:v>ZS-B37E29F02295</x:v>
      </x:c>
      <x:c r="B1894"/>
      <x:c r="C1894"/>
      <x:c r="D1894"/>
      <x:c r="E1894"/>
      <x:c r="F1894"/>
      <x:c r="G1894"/>
      <x:c r="H1894"/>
      <x:c r="I1894"/>
      <x:c r="J1894"/>
    </x:row>
    <x:row r="1895">
      <x:c r="A1895" t="str">
        <x:v>ZS-794E5D685609</x:v>
      </x:c>
      <x:c r="B1895"/>
      <x:c r="C1895"/>
      <x:c r="D1895"/>
      <x:c r="E1895"/>
      <x:c r="F1895"/>
      <x:c r="G1895"/>
      <x:c r="H1895"/>
      <x:c r="I1895"/>
      <x:c r="J1895"/>
    </x:row>
    <x:row r="1896">
      <x:c r="A1896" t="str">
        <x:v>ZS-67D942D0900C</x:v>
      </x:c>
      <x:c r="B1896"/>
      <x:c r="C1896"/>
      <x:c r="D1896"/>
      <x:c r="E1896"/>
      <x:c r="F1896"/>
      <x:c r="G1896"/>
      <x:c r="H1896"/>
      <x:c r="I1896"/>
      <x:c r="J1896"/>
    </x:row>
    <x:row r="1897">
      <x:c r="A1897" t="str">
        <x:v>ZS-02A4040E11B0</x:v>
      </x:c>
      <x:c r="B1897"/>
      <x:c r="C1897"/>
      <x:c r="D1897"/>
      <x:c r="E1897"/>
      <x:c r="F1897"/>
      <x:c r="G1897"/>
      <x:c r="H1897"/>
      <x:c r="I1897"/>
      <x:c r="J1897"/>
    </x:row>
    <x:row r="1898">
      <x:c r="A1898" t="str">
        <x:v>ZS-B365A3128677</x:v>
      </x:c>
      <x:c r="B1898"/>
      <x:c r="C1898"/>
      <x:c r="D1898"/>
      <x:c r="E1898"/>
      <x:c r="F1898"/>
      <x:c r="G1898"/>
      <x:c r="H1898"/>
      <x:c r="I1898"/>
      <x:c r="J1898"/>
    </x:row>
    <x:row r="1899">
      <x:c r="A1899" t="str">
        <x:v>ZS-1297A21E547E</x:v>
      </x:c>
      <x:c r="B1899"/>
      <x:c r="C1899"/>
      <x:c r="D1899"/>
      <x:c r="E1899"/>
      <x:c r="F1899"/>
      <x:c r="G1899"/>
      <x:c r="H1899"/>
      <x:c r="I1899"/>
      <x:c r="J1899"/>
    </x:row>
    <x:row r="1900">
      <x:c r="A1900" t="str">
        <x:v>ZS-53DC269A0259</x:v>
      </x:c>
      <x:c r="B1900"/>
      <x:c r="C1900"/>
      <x:c r="D1900"/>
      <x:c r="E1900"/>
      <x:c r="F1900"/>
      <x:c r="G1900"/>
      <x:c r="H1900"/>
      <x:c r="I1900"/>
      <x:c r="J1900"/>
    </x:row>
    <x:row r="1901">
      <x:c r="A1901" t="str">
        <x:v>ZS-9ED10CDF6EC2</x:v>
      </x:c>
      <x:c r="B1901"/>
      <x:c r="C1901"/>
      <x:c r="D1901"/>
      <x:c r="E1901"/>
      <x:c r="F1901"/>
      <x:c r="G1901"/>
      <x:c r="H1901"/>
      <x:c r="I1901"/>
      <x:c r="J1901"/>
    </x:row>
    <x:row r="1902">
      <x:c r="A1902" t="str">
        <x:v>ZS-754548DD3644</x:v>
      </x:c>
      <x:c r="B1902"/>
      <x:c r="C1902"/>
      <x:c r="D1902"/>
      <x:c r="E1902"/>
      <x:c r="F1902"/>
      <x:c r="G1902"/>
      <x:c r="H1902"/>
      <x:c r="I1902"/>
      <x:c r="J1902"/>
    </x:row>
    <x:row r="1903">
      <x:c r="A1903" t="str">
        <x:v>ZS-245108A0EF1B</x:v>
      </x:c>
      <x:c r="B1903"/>
      <x:c r="C1903"/>
      <x:c r="D1903"/>
      <x:c r="E1903"/>
      <x:c r="F1903"/>
      <x:c r="G1903"/>
      <x:c r="H1903"/>
      <x:c r="I1903"/>
      <x:c r="J1903"/>
    </x:row>
    <x:row r="1904">
      <x:c r="A1904" t="str">
        <x:v>ZS-B1AAEDCD4F9C</x:v>
      </x:c>
      <x:c r="B1904"/>
      <x:c r="C1904"/>
      <x:c r="D1904"/>
      <x:c r="E1904"/>
      <x:c r="F1904"/>
      <x:c r="G1904"/>
      <x:c r="H1904"/>
      <x:c r="I1904"/>
      <x:c r="J1904"/>
    </x:row>
    <x:row r="1905">
      <x:c r="A1905" t="str">
        <x:v>ZS-A8D21FD89EB3</x:v>
      </x:c>
      <x:c r="B1905"/>
      <x:c r="C1905"/>
      <x:c r="D1905"/>
      <x:c r="E1905"/>
      <x:c r="F1905"/>
      <x:c r="G1905"/>
      <x:c r="H1905"/>
      <x:c r="I1905"/>
      <x:c r="J1905"/>
    </x:row>
    <x:row r="1906">
      <x:c r="A1906" t="str">
        <x:v>ZS-DE7FD2F6C5D2</x:v>
      </x:c>
      <x:c r="B1906"/>
      <x:c r="C1906"/>
      <x:c r="D1906"/>
      <x:c r="E1906"/>
      <x:c r="F1906"/>
      <x:c r="G1906"/>
      <x:c r="H1906"/>
      <x:c r="I1906"/>
      <x:c r="J1906"/>
    </x:row>
    <x:row r="1907">
      <x:c r="A1907" t="str">
        <x:v>ZS-F454E75D5AD8</x:v>
      </x:c>
      <x:c r="B1907"/>
      <x:c r="C1907"/>
      <x:c r="D1907"/>
      <x:c r="E1907"/>
      <x:c r="F1907"/>
      <x:c r="G1907"/>
      <x:c r="H1907"/>
      <x:c r="I1907"/>
      <x:c r="J1907"/>
    </x:row>
    <x:row r="1908">
      <x:c r="A1908" t="str">
        <x:v>ZS-ECB6CCB59B50</x:v>
      </x:c>
      <x:c r="B1908"/>
      <x:c r="C1908"/>
      <x:c r="D1908"/>
      <x:c r="E1908"/>
      <x:c r="F1908"/>
      <x:c r="G1908"/>
      <x:c r="H1908"/>
      <x:c r="I1908"/>
      <x:c r="J1908"/>
    </x:row>
    <x:row r="1909">
      <x:c r="A1909" t="str">
        <x:v>ZS-81D3A0A7EA6A</x:v>
      </x:c>
      <x:c r="B1909"/>
      <x:c r="C1909"/>
      <x:c r="D1909"/>
      <x:c r="E1909"/>
      <x:c r="F1909"/>
      <x:c r="G1909"/>
      <x:c r="H1909"/>
      <x:c r="I1909"/>
      <x:c r="J1909"/>
    </x:row>
    <x:row r="1910">
      <x:c r="A1910" t="str">
        <x:v>ZS-85292427F9CC</x:v>
      </x:c>
      <x:c r="B1910"/>
      <x:c r="C1910"/>
      <x:c r="D1910"/>
      <x:c r="E1910"/>
      <x:c r="F1910"/>
      <x:c r="G1910"/>
      <x:c r="H1910"/>
      <x:c r="I1910"/>
      <x:c r="J1910"/>
    </x:row>
    <x:row r="1911">
      <x:c r="A1911" t="str">
        <x:v>ZS-40B6FC903775</x:v>
      </x:c>
      <x:c r="B1911"/>
      <x:c r="C1911"/>
      <x:c r="D1911"/>
      <x:c r="E1911"/>
      <x:c r="F1911"/>
      <x:c r="G1911"/>
      <x:c r="H1911"/>
      <x:c r="I1911"/>
      <x:c r="J1911"/>
    </x:row>
    <x:row r="1912">
      <x:c r="A1912" t="str">
        <x:v>ZS-E86B1A3E0EE7</x:v>
      </x:c>
      <x:c r="B1912"/>
      <x:c r="C1912"/>
      <x:c r="D1912"/>
      <x:c r="E1912"/>
      <x:c r="F1912"/>
      <x:c r="G1912"/>
      <x:c r="H1912"/>
      <x:c r="I1912"/>
      <x:c r="J1912"/>
    </x:row>
    <x:row r="1913">
      <x:c r="A1913" t="str">
        <x:v>ZS-D93A9E1B243D</x:v>
      </x:c>
      <x:c r="B1913"/>
      <x:c r="C1913"/>
      <x:c r="D1913"/>
      <x:c r="E1913"/>
      <x:c r="F1913"/>
      <x:c r="G1913"/>
      <x:c r="H1913"/>
      <x:c r="I1913"/>
      <x:c r="J1913"/>
    </x:row>
    <x:row r="1914">
      <x:c r="A1914" t="str">
        <x:v>ZS-007E4AECDFC3</x:v>
      </x:c>
      <x:c r="B1914"/>
      <x:c r="C1914"/>
      <x:c r="D1914"/>
      <x:c r="E1914"/>
      <x:c r="F1914"/>
      <x:c r="G1914"/>
      <x:c r="H1914"/>
      <x:c r="I1914"/>
      <x:c r="J1914"/>
    </x:row>
    <x:row r="1915">
      <x:c r="A1915" t="str">
        <x:v>ZS-9CA2D3E2BFB4</x:v>
      </x:c>
      <x:c r="B1915"/>
      <x:c r="C1915"/>
      <x:c r="D1915"/>
      <x:c r="E1915"/>
      <x:c r="F1915"/>
      <x:c r="G1915"/>
      <x:c r="H1915"/>
      <x:c r="I1915"/>
      <x:c r="J1915"/>
    </x:row>
    <x:row r="1916">
      <x:c r="A1916" t="str">
        <x:v>ZS-1EE83136798E</x:v>
      </x:c>
      <x:c r="B1916"/>
      <x:c r="C1916"/>
      <x:c r="D1916"/>
      <x:c r="E1916"/>
      <x:c r="F1916"/>
      <x:c r="G1916"/>
      <x:c r="H1916"/>
      <x:c r="I1916"/>
      <x:c r="J1916"/>
    </x:row>
    <x:row r="1917">
      <x:c r="A1917" t="str">
        <x:v>ZS-BAFA72FF75D9</x:v>
      </x:c>
      <x:c r="B1917"/>
      <x:c r="C1917"/>
      <x:c r="D1917"/>
      <x:c r="E1917"/>
      <x:c r="F1917"/>
      <x:c r="G1917"/>
      <x:c r="H1917"/>
      <x:c r="I1917"/>
      <x:c r="J1917"/>
    </x:row>
    <x:row r="1918">
      <x:c r="A1918" t="str">
        <x:v>ZS-A90F814F9062</x:v>
      </x:c>
      <x:c r="B1918"/>
      <x:c r="C1918"/>
      <x:c r="D1918"/>
      <x:c r="E1918"/>
      <x:c r="F1918"/>
      <x:c r="G1918"/>
      <x:c r="H1918"/>
      <x:c r="I1918"/>
      <x:c r="J1918"/>
    </x:row>
    <x:row r="1919">
      <x:c r="A1919" t="str">
        <x:v>ZS-ED4543A99EFA</x:v>
      </x:c>
      <x:c r="B1919"/>
      <x:c r="C1919"/>
      <x:c r="D1919"/>
      <x:c r="E1919"/>
      <x:c r="F1919"/>
      <x:c r="G1919"/>
      <x:c r="H1919"/>
      <x:c r="I1919"/>
      <x:c r="J1919"/>
    </x:row>
    <x:row r="1920">
      <x:c r="A1920" t="str">
        <x:v>ZS-575A6F44987C</x:v>
      </x:c>
      <x:c r="B1920"/>
      <x:c r="C1920"/>
      <x:c r="D1920"/>
      <x:c r="E1920"/>
      <x:c r="F1920"/>
      <x:c r="G1920"/>
      <x:c r="H1920"/>
      <x:c r="I1920"/>
      <x:c r="J1920"/>
    </x:row>
    <x:row r="1921">
      <x:c r="A1921" t="str">
        <x:v>ZS-8E3AD4375193</x:v>
      </x:c>
      <x:c r="B1921"/>
      <x:c r="C1921"/>
      <x:c r="D1921"/>
      <x:c r="E1921"/>
      <x:c r="F1921"/>
      <x:c r="G1921"/>
      <x:c r="H1921"/>
      <x:c r="I1921"/>
      <x:c r="J1921"/>
    </x:row>
    <x:row r="1922">
      <x:c r="A1922" t="str">
        <x:v>ZS-E1A244A2FF32</x:v>
      </x:c>
      <x:c r="B1922"/>
      <x:c r="C1922"/>
      <x:c r="D1922"/>
      <x:c r="E1922"/>
      <x:c r="F1922"/>
      <x:c r="G1922"/>
      <x:c r="H1922"/>
      <x:c r="I1922"/>
      <x:c r="J1922"/>
    </x:row>
    <x:row r="1923">
      <x:c r="A1923" t="str">
        <x:v>ZS-9332E6A46078</x:v>
      </x:c>
      <x:c r="B1923"/>
      <x:c r="C1923"/>
      <x:c r="D1923"/>
      <x:c r="E1923"/>
      <x:c r="F1923"/>
      <x:c r="G1923"/>
      <x:c r="H1923"/>
      <x:c r="I1923"/>
      <x:c r="J1923"/>
    </x:row>
    <x:row r="1924">
      <x:c r="A1924" t="str">
        <x:v>ZS-C9239EA5CB5A</x:v>
      </x:c>
      <x:c r="B1924"/>
      <x:c r="C1924"/>
      <x:c r="D1924"/>
      <x:c r="E1924"/>
      <x:c r="F1924"/>
      <x:c r="G1924"/>
      <x:c r="H1924"/>
      <x:c r="I1924"/>
      <x:c r="J1924"/>
    </x:row>
    <x:row r="1925">
      <x:c r="A1925" t="str">
        <x:v>ZS-17E4447F97FE</x:v>
      </x:c>
      <x:c r="B1925"/>
      <x:c r="C1925"/>
      <x:c r="D1925"/>
      <x:c r="E1925"/>
      <x:c r="F1925"/>
      <x:c r="G1925"/>
      <x:c r="H1925"/>
      <x:c r="I1925"/>
      <x:c r="J1925"/>
    </x:row>
    <x:row r="1926">
      <x:c r="A1926" t="str">
        <x:v>ZS-2E74EF535736</x:v>
      </x:c>
      <x:c r="B1926"/>
      <x:c r="C1926"/>
      <x:c r="D1926"/>
      <x:c r="E1926"/>
      <x:c r="F1926"/>
      <x:c r="G1926"/>
      <x:c r="H1926"/>
      <x:c r="I1926"/>
      <x:c r="J1926"/>
    </x:row>
    <x:row r="1927">
      <x:c r="A1927" t="str">
        <x:v>ZS-976538BAA60B</x:v>
      </x:c>
      <x:c r="B1927"/>
      <x:c r="C1927"/>
      <x:c r="D1927"/>
      <x:c r="E1927"/>
      <x:c r="F1927"/>
      <x:c r="G1927"/>
      <x:c r="H1927"/>
      <x:c r="I1927"/>
      <x:c r="J1927"/>
    </x:row>
    <x:row r="1928">
      <x:c r="A1928" t="str">
        <x:v>ZS-1F5598C015EC</x:v>
      </x:c>
      <x:c r="B1928"/>
      <x:c r="C1928"/>
      <x:c r="D1928"/>
      <x:c r="E1928"/>
      <x:c r="F1928"/>
      <x:c r="G1928"/>
      <x:c r="H1928"/>
      <x:c r="I1928"/>
      <x:c r="J1928"/>
    </x:row>
    <x:row r="1929">
      <x:c r="A1929" t="str">
        <x:v>ZS-975DE591B475</x:v>
      </x:c>
      <x:c r="B1929"/>
      <x:c r="C1929"/>
      <x:c r="D1929"/>
      <x:c r="E1929"/>
      <x:c r="F1929"/>
      <x:c r="G1929"/>
      <x:c r="H1929"/>
      <x:c r="I1929"/>
      <x:c r="J1929"/>
    </x:row>
    <x:row r="1930">
      <x:c r="A1930" t="str">
        <x:v>ZS-EBAD2C187FB0</x:v>
      </x:c>
      <x:c r="B1930"/>
      <x:c r="C1930"/>
      <x:c r="D1930"/>
      <x:c r="E1930"/>
      <x:c r="F1930"/>
      <x:c r="G1930"/>
      <x:c r="H1930"/>
      <x:c r="I1930"/>
      <x:c r="J1930"/>
    </x:row>
    <x:row r="1931">
      <x:c r="A1931" t="str">
        <x:v>ZS-21525022EA8D</x:v>
      </x:c>
      <x:c r="B1931"/>
      <x:c r="C1931"/>
      <x:c r="D1931"/>
      <x:c r="E1931"/>
      <x:c r="F1931"/>
      <x:c r="G1931"/>
      <x:c r="H1931"/>
      <x:c r="I1931"/>
      <x:c r="J1931"/>
    </x:row>
    <x:row r="1932">
      <x:c r="A1932" t="str">
        <x:v>ZS-A869692B7A29</x:v>
      </x:c>
      <x:c r="B1932"/>
      <x:c r="C1932"/>
      <x:c r="D1932"/>
      <x:c r="E1932"/>
      <x:c r="F1932"/>
      <x:c r="G1932"/>
      <x:c r="H1932"/>
      <x:c r="I1932"/>
      <x:c r="J1932"/>
    </x:row>
    <x:row r="1933">
      <x:c r="A1933" t="str">
        <x:v>ZS-AE3F7DBF1DEA</x:v>
      </x:c>
      <x:c r="B1933"/>
      <x:c r="C1933"/>
      <x:c r="D1933"/>
      <x:c r="E1933"/>
      <x:c r="F1933"/>
      <x:c r="G1933"/>
      <x:c r="H1933"/>
      <x:c r="I1933"/>
      <x:c r="J1933"/>
    </x:row>
    <x:row r="1934">
      <x:c r="A1934" t="str">
        <x:v>ZS-C84C02C32852</x:v>
      </x:c>
      <x:c r="B1934"/>
      <x:c r="C1934"/>
      <x:c r="D1934"/>
      <x:c r="E1934"/>
      <x:c r="F1934"/>
      <x:c r="G1934"/>
      <x:c r="H1934"/>
      <x:c r="I1934"/>
      <x:c r="J1934"/>
    </x:row>
    <x:row r="1935">
      <x:c r="A1935" t="str">
        <x:v>ZS-A9DEEA669B4F</x:v>
      </x:c>
      <x:c r="B1935"/>
      <x:c r="C1935"/>
      <x:c r="D1935"/>
      <x:c r="E1935"/>
      <x:c r="F1935"/>
      <x:c r="G1935"/>
      <x:c r="H1935"/>
      <x:c r="I1935"/>
      <x:c r="J1935"/>
    </x:row>
    <x:row r="1936">
      <x:c r="A1936" t="str">
        <x:v>ZS-01F29685E068</x:v>
      </x:c>
      <x:c r="B1936"/>
      <x:c r="C1936"/>
      <x:c r="D1936"/>
      <x:c r="E1936"/>
      <x:c r="F1936"/>
      <x:c r="G1936"/>
      <x:c r="H1936"/>
      <x:c r="I1936"/>
      <x:c r="J1936"/>
    </x:row>
    <x:row r="1937">
      <x:c r="A1937" t="str">
        <x:v>ZS-459C2081C100</x:v>
      </x:c>
      <x:c r="B1937"/>
      <x:c r="C1937"/>
      <x:c r="D1937"/>
      <x:c r="E1937"/>
      <x:c r="F1937"/>
      <x:c r="G1937"/>
      <x:c r="H1937"/>
      <x:c r="I1937"/>
      <x:c r="J1937"/>
    </x:row>
    <x:row r="1938">
      <x:c r="A1938" t="str">
        <x:v>ZS-BA4F5F8EDC3B</x:v>
      </x:c>
      <x:c r="B1938"/>
      <x:c r="C1938"/>
      <x:c r="D1938"/>
      <x:c r="E1938"/>
      <x:c r="F1938"/>
      <x:c r="G1938"/>
      <x:c r="H1938"/>
      <x:c r="I1938"/>
      <x:c r="J1938"/>
    </x:row>
    <x:row r="1939">
      <x:c r="A1939" t="str">
        <x:v>ZS-F0ECCDEE60A1</x:v>
      </x:c>
      <x:c r="B1939"/>
      <x:c r="C1939"/>
      <x:c r="D1939"/>
      <x:c r="E1939"/>
      <x:c r="F1939"/>
      <x:c r="G1939"/>
      <x:c r="H1939"/>
      <x:c r="I1939"/>
      <x:c r="J1939"/>
    </x:row>
    <x:row r="1940">
      <x:c r="A1940" t="str">
        <x:v>ZS-A7FE6781FF33</x:v>
      </x:c>
      <x:c r="B1940"/>
      <x:c r="C1940"/>
      <x:c r="D1940"/>
      <x:c r="E1940"/>
      <x:c r="F1940"/>
      <x:c r="G1940"/>
      <x:c r="H1940"/>
      <x:c r="I1940"/>
      <x:c r="J1940"/>
    </x:row>
    <x:row r="1941">
      <x:c r="A1941" t="str">
        <x:v>ZS-D339B533077B</x:v>
      </x:c>
      <x:c r="B1941"/>
      <x:c r="C1941"/>
      <x:c r="D1941"/>
      <x:c r="E1941"/>
      <x:c r="F1941"/>
      <x:c r="G1941"/>
      <x:c r="H1941"/>
      <x:c r="I1941"/>
      <x:c r="J1941"/>
    </x:row>
    <x:row r="1942">
      <x:c r="A1942" t="str">
        <x:v>ZS-777AB0D728B1</x:v>
      </x:c>
      <x:c r="B1942"/>
      <x:c r="C1942"/>
      <x:c r="D1942"/>
      <x:c r="E1942"/>
      <x:c r="F1942"/>
      <x:c r="G1942"/>
      <x:c r="H1942"/>
      <x:c r="I1942"/>
      <x:c r="J1942"/>
    </x:row>
    <x:row r="1943">
      <x:c r="A1943" t="str">
        <x:v>ZS-CC2D9ECF70D2</x:v>
      </x:c>
      <x:c r="B1943"/>
      <x:c r="C1943"/>
      <x:c r="D1943"/>
      <x:c r="E1943"/>
      <x:c r="F1943"/>
      <x:c r="G1943"/>
      <x:c r="H1943"/>
      <x:c r="I1943"/>
      <x:c r="J1943"/>
    </x:row>
    <x:row r="1944">
      <x:c r="A1944" t="str">
        <x:v>ZS-445BD719B283</x:v>
      </x:c>
      <x:c r="B1944"/>
      <x:c r="C1944"/>
      <x:c r="D1944"/>
      <x:c r="E1944"/>
      <x:c r="F1944"/>
      <x:c r="G1944"/>
      <x:c r="H1944"/>
      <x:c r="I1944"/>
      <x:c r="J1944"/>
    </x:row>
    <x:row r="1945">
      <x:c r="A1945" t="str">
        <x:v>ZS-2859E1F86CCF</x:v>
      </x:c>
      <x:c r="B1945"/>
      <x:c r="C1945"/>
      <x:c r="D1945"/>
      <x:c r="E1945"/>
      <x:c r="F1945"/>
      <x:c r="G1945"/>
      <x:c r="H1945"/>
      <x:c r="I1945"/>
      <x:c r="J1945"/>
    </x:row>
    <x:row r="1946">
      <x:c r="A1946" t="str">
        <x:v>ZS-C58CB84E6DC3</x:v>
      </x:c>
      <x:c r="B1946"/>
      <x:c r="C1946"/>
      <x:c r="D1946"/>
      <x:c r="E1946"/>
      <x:c r="F1946"/>
      <x:c r="G1946"/>
      <x:c r="H1946"/>
      <x:c r="I1946"/>
      <x:c r="J1946"/>
    </x:row>
    <x:row r="1947">
      <x:c r="A1947" t="str">
        <x:v>ZS-782BC1A0C846</x:v>
      </x:c>
      <x:c r="B1947"/>
      <x:c r="C1947"/>
      <x:c r="D1947"/>
      <x:c r="E1947"/>
      <x:c r="F1947"/>
      <x:c r="G1947"/>
      <x:c r="H1947"/>
      <x:c r="I1947"/>
      <x:c r="J1947"/>
    </x:row>
    <x:row r="1948">
      <x:c r="A1948" t="str">
        <x:v>ZS-D294E6A772BF</x:v>
      </x:c>
      <x:c r="B1948"/>
      <x:c r="C1948"/>
      <x:c r="D1948"/>
      <x:c r="E1948"/>
      <x:c r="F1948"/>
      <x:c r="G1948"/>
      <x:c r="H1948"/>
      <x:c r="I1948"/>
      <x:c r="J1948"/>
    </x:row>
    <x:row r="1949">
      <x:c r="A1949" t="str">
        <x:v>ZS-7A8554200838</x:v>
      </x:c>
      <x:c r="B1949"/>
      <x:c r="C1949"/>
      <x:c r="D1949"/>
      <x:c r="E1949"/>
      <x:c r="F1949"/>
      <x:c r="G1949"/>
      <x:c r="H1949"/>
      <x:c r="I1949"/>
      <x:c r="J1949"/>
    </x:row>
    <x:row r="1950">
      <x:c r="A1950" t="str">
        <x:v>ZS-4D71EBEB9B08</x:v>
      </x:c>
      <x:c r="B1950"/>
      <x:c r="C1950"/>
      <x:c r="D1950"/>
      <x:c r="E1950"/>
      <x:c r="F1950"/>
      <x:c r="G1950"/>
      <x:c r="H1950"/>
      <x:c r="I1950"/>
      <x:c r="J1950"/>
    </x:row>
    <x:row r="1951">
      <x:c r="A1951" t="str">
        <x:v>ZS-D9570437D7E5</x:v>
      </x:c>
      <x:c r="B1951"/>
      <x:c r="C1951"/>
      <x:c r="D1951"/>
      <x:c r="E1951"/>
      <x:c r="F1951"/>
      <x:c r="G1951"/>
      <x:c r="H1951"/>
      <x:c r="I1951"/>
      <x:c r="J1951"/>
    </x:row>
    <x:row r="1952">
      <x:c r="A1952" t="str">
        <x:v>ZS-0A84246BF317</x:v>
      </x:c>
      <x:c r="B1952"/>
      <x:c r="C1952"/>
      <x:c r="D1952"/>
      <x:c r="E1952"/>
      <x:c r="F1952"/>
      <x:c r="G1952"/>
      <x:c r="H1952"/>
      <x:c r="I1952"/>
      <x:c r="J1952"/>
    </x:row>
    <x:row r="1953">
      <x:c r="A1953" t="str">
        <x:v>ZS-05907DB5BA26</x:v>
      </x:c>
      <x:c r="B1953"/>
      <x:c r="C1953"/>
      <x:c r="D1953"/>
      <x:c r="E1953"/>
      <x:c r="F1953"/>
      <x:c r="G1953"/>
      <x:c r="H1953"/>
      <x:c r="I1953"/>
      <x:c r="J1953"/>
    </x:row>
    <x:row r="1954">
      <x:c r="A1954" t="str">
        <x:v>ZS-1DFB982E1940</x:v>
      </x:c>
      <x:c r="B1954"/>
      <x:c r="C1954"/>
      <x:c r="D1954"/>
      <x:c r="E1954"/>
      <x:c r="F1954"/>
      <x:c r="G1954"/>
      <x:c r="H1954"/>
      <x:c r="I1954"/>
      <x:c r="J1954"/>
    </x:row>
    <x:row r="1955">
      <x:c r="A1955" t="str">
        <x:v>ZS-F1FF24F9AC50</x:v>
      </x:c>
      <x:c r="B1955"/>
      <x:c r="C1955"/>
      <x:c r="D1955"/>
      <x:c r="E1955"/>
      <x:c r="F1955"/>
      <x:c r="G1955"/>
      <x:c r="H1955"/>
      <x:c r="I1955"/>
      <x:c r="J1955"/>
    </x:row>
    <x:row r="1956">
      <x:c r="A1956" t="str">
        <x:v>ZS-7985591ACA6E</x:v>
      </x:c>
      <x:c r="B1956"/>
      <x:c r="C1956"/>
      <x:c r="D1956"/>
      <x:c r="E1956"/>
      <x:c r="F1956"/>
      <x:c r="G1956"/>
      <x:c r="H1956"/>
      <x:c r="I1956"/>
      <x:c r="J1956"/>
    </x:row>
    <x:row r="1957">
      <x:c r="A1957" t="str">
        <x:v>ZS-BD5E573FF969</x:v>
      </x:c>
      <x:c r="B1957"/>
      <x:c r="C1957"/>
      <x:c r="D1957"/>
      <x:c r="E1957"/>
      <x:c r="F1957"/>
      <x:c r="G1957"/>
      <x:c r="H1957"/>
      <x:c r="I1957"/>
      <x:c r="J1957"/>
    </x:row>
    <x:row r="1958">
      <x:c r="A1958" t="str">
        <x:v>ZS-C4DC16BF2809</x:v>
      </x:c>
      <x:c r="B1958"/>
      <x:c r="C1958"/>
      <x:c r="D1958"/>
      <x:c r="E1958"/>
      <x:c r="F1958"/>
      <x:c r="G1958"/>
      <x:c r="H1958"/>
      <x:c r="I1958"/>
      <x:c r="J1958"/>
    </x:row>
    <x:row r="1959">
      <x:c r="A1959" t="str">
        <x:v>ZS-A5A32FB70257</x:v>
      </x:c>
      <x:c r="B1959"/>
      <x:c r="C1959"/>
      <x:c r="D1959"/>
      <x:c r="E1959"/>
      <x:c r="F1959"/>
      <x:c r="G1959"/>
      <x:c r="H1959"/>
      <x:c r="I1959"/>
      <x:c r="J1959"/>
    </x:row>
    <x:row r="1960">
      <x:c r="A1960" t="str">
        <x:v>ZS-9309B7D5440A</x:v>
      </x:c>
      <x:c r="B1960"/>
      <x:c r="C1960"/>
      <x:c r="D1960"/>
      <x:c r="E1960"/>
      <x:c r="F1960"/>
      <x:c r="G1960"/>
      <x:c r="H1960"/>
      <x:c r="I1960"/>
      <x:c r="J1960"/>
    </x:row>
    <x:row r="1961">
      <x:c r="A1961" t="str">
        <x:v>ZS-C472F8B0F4E1</x:v>
      </x:c>
      <x:c r="B1961"/>
      <x:c r="C1961"/>
      <x:c r="D1961"/>
      <x:c r="E1961"/>
      <x:c r="F1961"/>
      <x:c r="G1961"/>
      <x:c r="H1961"/>
      <x:c r="I1961"/>
      <x:c r="J1961"/>
    </x:row>
    <x:row r="1962">
      <x:c r="A1962" t="str">
        <x:v>ZS-5EDFC159D20E</x:v>
      </x:c>
      <x:c r="B1962"/>
      <x:c r="C1962"/>
      <x:c r="D1962"/>
      <x:c r="E1962"/>
      <x:c r="F1962"/>
      <x:c r="G1962"/>
      <x:c r="H1962"/>
      <x:c r="I1962"/>
      <x:c r="J1962"/>
    </x:row>
    <x:row r="1963">
      <x:c r="A1963" t="str">
        <x:v>ZS-A4DFA1838081</x:v>
      </x:c>
      <x:c r="B1963"/>
      <x:c r="C1963"/>
      <x:c r="D1963"/>
      <x:c r="E1963"/>
      <x:c r="F1963"/>
      <x:c r="G1963"/>
      <x:c r="H1963"/>
      <x:c r="I1963"/>
      <x:c r="J1963"/>
    </x:row>
    <x:row r="1964">
      <x:c r="A1964" t="str">
        <x:v>ZS-A23B3AB84BE2</x:v>
      </x:c>
      <x:c r="B1964"/>
      <x:c r="C1964"/>
      <x:c r="D1964"/>
      <x:c r="E1964"/>
      <x:c r="F1964"/>
      <x:c r="G1964"/>
      <x:c r="H1964"/>
      <x:c r="I1964"/>
      <x:c r="J1964"/>
    </x:row>
    <x:row r="1965">
      <x:c r="A1965" t="str">
        <x:v>ZS-9BE217322F18</x:v>
      </x:c>
      <x:c r="B1965"/>
      <x:c r="C1965"/>
      <x:c r="D1965"/>
      <x:c r="E1965"/>
      <x:c r="F1965"/>
      <x:c r="G1965"/>
      <x:c r="H1965"/>
      <x:c r="I1965"/>
      <x:c r="J1965"/>
    </x:row>
    <x:row r="1966">
      <x:c r="A1966" t="str">
        <x:v>ZS-B151A8092DCE</x:v>
      </x:c>
      <x:c r="B1966"/>
      <x:c r="C1966"/>
      <x:c r="D1966"/>
      <x:c r="E1966"/>
      <x:c r="F1966"/>
      <x:c r="G1966"/>
      <x:c r="H1966"/>
      <x:c r="I1966"/>
      <x:c r="J1966"/>
    </x:row>
    <x:row r="1967">
      <x:c r="A1967" t="str">
        <x:v>ZS-17B81776DD71</x:v>
      </x:c>
      <x:c r="B1967"/>
      <x:c r="C1967"/>
      <x:c r="D1967"/>
      <x:c r="E1967"/>
      <x:c r="F1967"/>
      <x:c r="G1967"/>
      <x:c r="H1967"/>
      <x:c r="I1967"/>
      <x:c r="J1967"/>
    </x:row>
    <x:row r="1968">
      <x:c r="A1968" t="str">
        <x:v>ZS-378FE7CE1C46</x:v>
      </x:c>
      <x:c r="B1968"/>
      <x:c r="C1968"/>
      <x:c r="D1968"/>
      <x:c r="E1968"/>
      <x:c r="F1968"/>
      <x:c r="G1968"/>
      <x:c r="H1968"/>
      <x:c r="I1968"/>
      <x:c r="J1968"/>
    </x:row>
    <x:row r="1969">
      <x:c r="A1969" t="str">
        <x:v>ZS-BA71F83657E1</x:v>
      </x:c>
      <x:c r="B1969"/>
      <x:c r="C1969"/>
      <x:c r="D1969"/>
      <x:c r="E1969"/>
      <x:c r="F1969"/>
      <x:c r="G1969"/>
      <x:c r="H1969"/>
      <x:c r="I1969"/>
      <x:c r="J1969"/>
    </x:row>
    <x:row r="1970">
      <x:c r="A1970" t="str">
        <x:v>ZS-263784F44145</x:v>
      </x:c>
      <x:c r="B1970"/>
      <x:c r="C1970"/>
      <x:c r="D1970"/>
      <x:c r="E1970"/>
      <x:c r="F1970"/>
      <x:c r="G1970"/>
      <x:c r="H1970"/>
      <x:c r="I1970"/>
      <x:c r="J1970"/>
    </x:row>
    <x:row r="1971">
      <x:c r="A1971" t="str">
        <x:v>ZS-DFD02E5C208F</x:v>
      </x:c>
      <x:c r="B1971"/>
      <x:c r="C1971"/>
      <x:c r="D1971"/>
      <x:c r="E1971"/>
      <x:c r="F1971"/>
      <x:c r="G1971"/>
      <x:c r="H1971"/>
      <x:c r="I1971"/>
      <x:c r="J1971"/>
    </x:row>
    <x:row r="1972">
      <x:c r="A1972" t="str">
        <x:v>ZS-2723148B942C</x:v>
      </x:c>
      <x:c r="B1972"/>
      <x:c r="C1972"/>
      <x:c r="D1972"/>
      <x:c r="E1972"/>
      <x:c r="F1972"/>
      <x:c r="G1972"/>
      <x:c r="H1972"/>
      <x:c r="I1972"/>
      <x:c r="J1972"/>
    </x:row>
    <x:row r="1973">
      <x:c r="A1973" t="str">
        <x:v>ZS-6B83B2991CCD</x:v>
      </x:c>
      <x:c r="B1973"/>
      <x:c r="C1973"/>
      <x:c r="D1973"/>
      <x:c r="E1973"/>
      <x:c r="F1973"/>
      <x:c r="G1973"/>
      <x:c r="H1973"/>
      <x:c r="I1973"/>
      <x:c r="J1973"/>
    </x:row>
    <x:row r="1974">
      <x:c r="A1974" t="str">
        <x:v>ZS-8532519ECF4C</x:v>
      </x:c>
      <x:c r="B1974"/>
      <x:c r="C1974"/>
      <x:c r="D1974"/>
      <x:c r="E1974"/>
      <x:c r="F1974"/>
      <x:c r="G1974"/>
      <x:c r="H1974"/>
      <x:c r="I1974"/>
      <x:c r="J1974"/>
    </x:row>
    <x:row r="1975">
      <x:c r="A1975" t="str">
        <x:v>ZS-FBEA1AB1C0F7</x:v>
      </x:c>
      <x:c r="B1975"/>
      <x:c r="C1975"/>
      <x:c r="D1975"/>
      <x:c r="E1975"/>
      <x:c r="F1975"/>
      <x:c r="G1975"/>
      <x:c r="H1975"/>
      <x:c r="I1975"/>
      <x:c r="J1975"/>
    </x:row>
    <x:row r="1976">
      <x:c r="A1976" t="str">
        <x:v>ZS-979BF5FAA3D6</x:v>
      </x:c>
      <x:c r="B1976"/>
      <x:c r="C1976"/>
      <x:c r="D1976"/>
      <x:c r="E1976"/>
      <x:c r="F1976"/>
      <x:c r="G1976"/>
      <x:c r="H1976"/>
      <x:c r="I1976"/>
      <x:c r="J1976"/>
    </x:row>
    <x:row r="1977">
      <x:c r="A1977" t="str">
        <x:v>ZS-63D7DCF71C7A</x:v>
      </x:c>
      <x:c r="B1977"/>
      <x:c r="C1977"/>
      <x:c r="D1977"/>
      <x:c r="E1977"/>
      <x:c r="F1977"/>
      <x:c r="G1977"/>
      <x:c r="H1977"/>
      <x:c r="I1977"/>
      <x:c r="J1977"/>
    </x:row>
    <x:row r="1978">
      <x:c r="A1978" t="str">
        <x:v>ZS-4E8D06A43150</x:v>
      </x:c>
      <x:c r="B1978"/>
      <x:c r="C1978"/>
      <x:c r="D1978"/>
      <x:c r="E1978"/>
      <x:c r="F1978"/>
      <x:c r="G1978"/>
      <x:c r="H1978"/>
      <x:c r="I1978"/>
      <x:c r="J1978"/>
    </x:row>
    <x:row r="1979">
      <x:c r="A1979" t="str">
        <x:v>ZS-B4F3EFC268A7</x:v>
      </x:c>
      <x:c r="B1979"/>
      <x:c r="C1979"/>
      <x:c r="D1979"/>
      <x:c r="E1979"/>
      <x:c r="F1979"/>
      <x:c r="G1979"/>
      <x:c r="H1979"/>
      <x:c r="I1979"/>
      <x:c r="J1979"/>
    </x:row>
    <x:row r="1980">
      <x:c r="A1980" t="str">
        <x:v>ZS-570EF90A06A1</x:v>
      </x:c>
      <x:c r="B1980"/>
      <x:c r="C1980"/>
      <x:c r="D1980"/>
      <x:c r="E1980"/>
      <x:c r="F1980"/>
      <x:c r="G1980"/>
      <x:c r="H1980"/>
      <x:c r="I1980"/>
      <x:c r="J1980"/>
    </x:row>
    <x:row r="1981">
      <x:c r="A1981" t="str">
        <x:v>ZS-0085BB9FE24B</x:v>
      </x:c>
      <x:c r="B1981"/>
      <x:c r="C1981"/>
      <x:c r="D1981"/>
      <x:c r="E1981"/>
      <x:c r="F1981"/>
      <x:c r="G1981"/>
      <x:c r="H1981"/>
      <x:c r="I1981"/>
      <x:c r="J1981"/>
    </x:row>
    <x:row r="1982">
      <x:c r="A1982" t="str">
        <x:v>ZS-7C14B19AD9AC</x:v>
      </x:c>
      <x:c r="B1982"/>
      <x:c r="C1982"/>
      <x:c r="D1982"/>
      <x:c r="E1982"/>
      <x:c r="F1982"/>
      <x:c r="G1982"/>
      <x:c r="H1982"/>
      <x:c r="I1982"/>
      <x:c r="J1982"/>
    </x:row>
    <x:row r="1983">
      <x:c r="A1983" t="str">
        <x:v>ZS-03C653C017EF</x:v>
      </x:c>
      <x:c r="B1983"/>
      <x:c r="C1983"/>
      <x:c r="D1983"/>
      <x:c r="E1983"/>
      <x:c r="F1983"/>
      <x:c r="G1983"/>
      <x:c r="H1983"/>
      <x:c r="I1983"/>
      <x:c r="J1983"/>
    </x:row>
    <x:row r="1984">
      <x:c r="A1984" t="str">
        <x:v>ZS-E36DC9ABF8EB</x:v>
      </x:c>
      <x:c r="B1984"/>
      <x:c r="C1984"/>
      <x:c r="D1984"/>
      <x:c r="E1984"/>
      <x:c r="F1984"/>
      <x:c r="G1984"/>
      <x:c r="H1984"/>
      <x:c r="I1984"/>
      <x:c r="J1984"/>
    </x:row>
    <x:row r="1985">
      <x:c r="A1985" t="str">
        <x:v>ZS-3C94A08F2DEC</x:v>
      </x:c>
      <x:c r="B1985"/>
      <x:c r="C1985"/>
      <x:c r="D1985"/>
      <x:c r="E1985"/>
      <x:c r="F1985"/>
      <x:c r="G1985"/>
      <x:c r="H1985"/>
      <x:c r="I1985"/>
      <x:c r="J1985"/>
    </x:row>
    <x:row r="1986">
      <x:c r="A1986" t="str">
        <x:v>ZS-5D0F0F16DC91</x:v>
      </x:c>
      <x:c r="B1986"/>
      <x:c r="C1986"/>
      <x:c r="D1986"/>
      <x:c r="E1986"/>
      <x:c r="F1986"/>
      <x:c r="G1986"/>
      <x:c r="H1986"/>
      <x:c r="I1986"/>
      <x:c r="J1986"/>
    </x:row>
    <x:row r="1987">
      <x:c r="A1987" t="str">
        <x:v>ZS-7B2B811B1BC6</x:v>
      </x:c>
      <x:c r="B1987"/>
      <x:c r="C1987"/>
      <x:c r="D1987"/>
      <x:c r="E1987"/>
      <x:c r="F1987"/>
      <x:c r="G1987"/>
      <x:c r="H1987"/>
      <x:c r="I1987"/>
      <x:c r="J1987"/>
    </x:row>
    <x:row r="1988">
      <x:c r="A1988" t="str">
        <x:v>ZS-D0AFD9DC6C78</x:v>
      </x:c>
      <x:c r="B1988"/>
      <x:c r="C1988"/>
      <x:c r="D1988"/>
      <x:c r="E1988"/>
      <x:c r="F1988"/>
      <x:c r="G1988"/>
      <x:c r="H1988"/>
      <x:c r="I1988"/>
      <x:c r="J1988"/>
    </x:row>
    <x:row r="1989">
      <x:c r="A1989" t="str">
        <x:v>ZS-FA19EAA050FB</x:v>
      </x:c>
      <x:c r="B1989"/>
      <x:c r="C1989"/>
      <x:c r="D1989"/>
      <x:c r="E1989"/>
      <x:c r="F1989"/>
      <x:c r="G1989"/>
      <x:c r="H1989"/>
      <x:c r="I1989"/>
      <x:c r="J1989"/>
    </x:row>
    <x:row r="1990">
      <x:c r="A1990" t="str">
        <x:v>ZS-3D2E9E1D3020</x:v>
      </x:c>
      <x:c r="B1990"/>
      <x:c r="C1990"/>
      <x:c r="D1990"/>
      <x:c r="E1990"/>
      <x:c r="F1990"/>
      <x:c r="G1990"/>
      <x:c r="H1990"/>
      <x:c r="I1990"/>
      <x:c r="J1990"/>
    </x:row>
    <x:row r="1991">
      <x:c r="A1991" t="str">
        <x:v>ZS-84A11A0CC97C</x:v>
      </x:c>
      <x:c r="B1991"/>
      <x:c r="C1991"/>
      <x:c r="D1991"/>
      <x:c r="E1991"/>
      <x:c r="F1991"/>
      <x:c r="G1991"/>
      <x:c r="H1991"/>
      <x:c r="I1991"/>
      <x:c r="J1991"/>
    </x:row>
    <x:row r="1992">
      <x:c r="A1992" t="str">
        <x:v>ZS-5E3DE4A0E3C7</x:v>
      </x:c>
      <x:c r="B1992"/>
      <x:c r="C1992"/>
      <x:c r="D1992"/>
      <x:c r="E1992"/>
      <x:c r="F1992"/>
      <x:c r="G1992"/>
      <x:c r="H1992"/>
      <x:c r="I1992"/>
      <x:c r="J1992"/>
    </x:row>
    <x:row r="1993">
      <x:c r="A1993" t="str">
        <x:v>ZS-99BEFAFF522D</x:v>
      </x:c>
      <x:c r="B1993"/>
      <x:c r="C1993"/>
      <x:c r="D1993"/>
      <x:c r="E1993"/>
      <x:c r="F1993"/>
      <x:c r="G1993"/>
      <x:c r="H1993"/>
      <x:c r="I1993"/>
      <x:c r="J1993"/>
    </x:row>
    <x:row r="1994">
      <x:c r="A1994" t="str">
        <x:v>ZS-385B33B41F8E</x:v>
      </x:c>
      <x:c r="B1994"/>
      <x:c r="C1994"/>
      <x:c r="D1994"/>
      <x:c r="E1994"/>
      <x:c r="F1994"/>
      <x:c r="G1994"/>
      <x:c r="H1994"/>
      <x:c r="I1994"/>
      <x:c r="J1994"/>
    </x:row>
    <x:row r="1995">
      <x:c r="A1995" t="str">
        <x:v>ZS-088AD7E7D281</x:v>
      </x:c>
      <x:c r="B1995"/>
      <x:c r="C1995"/>
      <x:c r="D1995"/>
      <x:c r="E1995"/>
      <x:c r="F1995"/>
      <x:c r="G1995"/>
      <x:c r="H1995"/>
      <x:c r="I1995"/>
      <x:c r="J1995"/>
    </x:row>
    <x:row r="1996">
      <x:c r="A1996" t="str">
        <x:v>ZS-F1AE5DA1AE19</x:v>
      </x:c>
      <x:c r="B1996"/>
      <x:c r="C1996"/>
      <x:c r="D1996"/>
      <x:c r="E1996"/>
      <x:c r="F1996"/>
      <x:c r="G1996"/>
      <x:c r="H1996"/>
      <x:c r="I1996"/>
      <x:c r="J1996"/>
    </x:row>
    <x:row r="1997">
      <x:c r="A1997" t="str">
        <x:v>ZS-5A4E250B3B96</x:v>
      </x:c>
      <x:c r="B1997"/>
      <x:c r="C1997"/>
      <x:c r="D1997"/>
      <x:c r="E1997"/>
      <x:c r="F1997"/>
      <x:c r="G1997"/>
      <x:c r="H1997"/>
      <x:c r="I1997"/>
      <x:c r="J1997"/>
    </x:row>
    <x:row r="1998">
      <x:c r="A1998" t="str">
        <x:v>ZS-B923FB4B9801</x:v>
      </x:c>
      <x:c r="B1998"/>
      <x:c r="C1998"/>
      <x:c r="D1998"/>
      <x:c r="E1998"/>
      <x:c r="F1998"/>
      <x:c r="G1998"/>
      <x:c r="H1998"/>
      <x:c r="I1998"/>
      <x:c r="J1998"/>
    </x:row>
    <x:row r="1999">
      <x:c r="A1999" t="str">
        <x:v>ZS-375E5272D5AA</x:v>
      </x:c>
      <x:c r="B1999"/>
      <x:c r="C1999"/>
      <x:c r="D1999"/>
      <x:c r="E1999"/>
      <x:c r="F1999"/>
      <x:c r="G1999"/>
      <x:c r="H1999"/>
      <x:c r="I1999"/>
      <x:c r="J1999"/>
    </x:row>
    <x:row r="2000">
      <x:c r="A2000" t="str">
        <x:v>ZS-CF2A9506B951</x:v>
      </x:c>
      <x:c r="B2000"/>
      <x:c r="C2000"/>
      <x:c r="D2000"/>
      <x:c r="E2000"/>
      <x:c r="F2000"/>
      <x:c r="G2000"/>
      <x:c r="H2000"/>
      <x:c r="I2000"/>
      <x:c r="J2000"/>
    </x:row>
    <x:row r="2001">
      <x:c r="A2001" t="str">
        <x:v>ZS-A8D997AD61B0</x:v>
      </x:c>
      <x:c r="B2001"/>
      <x:c r="C2001"/>
      <x:c r="D2001"/>
      <x:c r="E2001"/>
      <x:c r="F2001"/>
      <x:c r="G2001"/>
      <x:c r="H2001"/>
      <x:c r="I2001"/>
      <x:c r="J2001"/>
    </x:row>
    <x:row r="2002">
      <x:c r="A2002" t="str">
        <x:v>ZS-9EA6CB1409AC</x:v>
      </x:c>
      <x:c r="B2002"/>
      <x:c r="C2002"/>
      <x:c r="D2002"/>
      <x:c r="E2002"/>
      <x:c r="F2002"/>
      <x:c r="G2002"/>
      <x:c r="H2002"/>
      <x:c r="I2002"/>
      <x:c r="J2002"/>
    </x:row>
    <x:row r="2003">
      <x:c r="A2003" t="str">
        <x:v>ZS-65119C33C10B</x:v>
      </x:c>
      <x:c r="B2003"/>
      <x:c r="C2003"/>
      <x:c r="D2003"/>
      <x:c r="E2003"/>
      <x:c r="F2003"/>
      <x:c r="G2003"/>
      <x:c r="H2003"/>
      <x:c r="I2003"/>
      <x:c r="J2003"/>
    </x:row>
    <x:row r="2004">
      <x:c r="A2004" t="str">
        <x:v>ZS-8AF3290F74D5</x:v>
      </x:c>
      <x:c r="B2004"/>
      <x:c r="C2004"/>
      <x:c r="D2004"/>
      <x:c r="E2004"/>
      <x:c r="F2004"/>
      <x:c r="G2004"/>
      <x:c r="H2004"/>
      <x:c r="I2004"/>
      <x:c r="J2004"/>
    </x:row>
    <x:row r="2005">
      <x:c r="A2005" t="str">
        <x:v>ZS-2DB8D64CCCFB</x:v>
      </x:c>
      <x:c r="B2005"/>
      <x:c r="C2005"/>
      <x:c r="D2005"/>
      <x:c r="E2005"/>
      <x:c r="F2005"/>
      <x:c r="G2005"/>
      <x:c r="H2005"/>
      <x:c r="I2005"/>
      <x:c r="J2005"/>
    </x:row>
    <x:row r="2006">
      <x:c r="A2006" t="str">
        <x:v>ZS-36A026D1892F</x:v>
      </x:c>
      <x:c r="B2006"/>
      <x:c r="C2006"/>
      <x:c r="D2006"/>
      <x:c r="E2006"/>
      <x:c r="F2006"/>
      <x:c r="G2006"/>
      <x:c r="H2006"/>
      <x:c r="I2006"/>
      <x:c r="J2006"/>
    </x:row>
    <x:row r="2007">
      <x:c r="A2007" t="str">
        <x:v>ZS-0189DB6E3529</x:v>
      </x:c>
      <x:c r="B2007"/>
      <x:c r="C2007"/>
      <x:c r="D2007"/>
      <x:c r="E2007"/>
      <x:c r="F2007"/>
      <x:c r="G2007"/>
      <x:c r="H2007"/>
      <x:c r="I2007"/>
      <x:c r="J2007"/>
    </x:row>
    <x:row r="2008">
      <x:c r="A2008" t="str">
        <x:v>ZS-5AEB3CE608C7</x:v>
      </x:c>
      <x:c r="B2008"/>
      <x:c r="C2008"/>
      <x:c r="D2008"/>
      <x:c r="E2008"/>
      <x:c r="F2008"/>
      <x:c r="G2008"/>
      <x:c r="H2008"/>
      <x:c r="I2008"/>
      <x:c r="J2008"/>
    </x:row>
    <x:row r="2009">
      <x:c r="A2009" t="str">
        <x:v>ZS-C9AA6CD1BF0D</x:v>
      </x:c>
      <x:c r="B2009"/>
      <x:c r="C2009"/>
      <x:c r="D2009"/>
      <x:c r="E2009"/>
      <x:c r="F2009"/>
      <x:c r="G2009"/>
      <x:c r="H2009"/>
      <x:c r="I2009"/>
      <x:c r="J2009"/>
    </x:row>
    <x:row r="2010">
      <x:c r="A2010" t="str">
        <x:v>ZS-05A6DEC2563C</x:v>
      </x:c>
      <x:c r="B2010"/>
      <x:c r="C2010"/>
      <x:c r="D2010"/>
      <x:c r="E2010"/>
      <x:c r="F2010"/>
      <x:c r="G2010"/>
      <x:c r="H2010"/>
      <x:c r="I2010"/>
      <x:c r="J2010"/>
    </x:row>
    <x:row r="2011">
      <x:c r="A2011" t="str">
        <x:v>ZS-16B037B8795F</x:v>
      </x:c>
      <x:c r="B2011"/>
      <x:c r="C2011"/>
      <x:c r="D2011"/>
      <x:c r="E2011"/>
      <x:c r="F2011"/>
      <x:c r="G2011"/>
      <x:c r="H2011"/>
      <x:c r="I2011"/>
      <x:c r="J2011"/>
    </x:row>
    <x:row r="2012">
      <x:c r="A2012" t="str">
        <x:v>ZS-5B9D5A1E392E</x:v>
      </x:c>
      <x:c r="B2012"/>
      <x:c r="C2012"/>
      <x:c r="D2012"/>
      <x:c r="E2012"/>
      <x:c r="F2012"/>
      <x:c r="G2012"/>
      <x:c r="H2012"/>
      <x:c r="I2012"/>
      <x:c r="J2012"/>
    </x:row>
    <x:row r="2013">
      <x:c r="A2013" t="str">
        <x:v>ZS-2D118F14BEC8</x:v>
      </x:c>
      <x:c r="B2013"/>
      <x:c r="C2013"/>
      <x:c r="D2013"/>
      <x:c r="E2013"/>
      <x:c r="F2013"/>
      <x:c r="G2013"/>
      <x:c r="H2013"/>
      <x:c r="I2013"/>
      <x:c r="J2013"/>
    </x:row>
    <x:row r="2014">
      <x:c r="A2014" t="str">
        <x:v>ZS-D9BC819A8E91</x:v>
      </x:c>
      <x:c r="B2014"/>
      <x:c r="C2014"/>
      <x:c r="D2014"/>
      <x:c r="E2014"/>
      <x:c r="F2014"/>
      <x:c r="G2014"/>
      <x:c r="H2014"/>
      <x:c r="I2014"/>
      <x:c r="J2014"/>
    </x:row>
    <x:row r="2015">
      <x:c r="A2015" t="str">
        <x:v>ZS-64A4F1905608</x:v>
      </x:c>
      <x:c r="B2015"/>
      <x:c r="C2015"/>
      <x:c r="D2015"/>
      <x:c r="E2015"/>
      <x:c r="F2015"/>
      <x:c r="G2015"/>
      <x:c r="H2015"/>
      <x:c r="I2015"/>
      <x:c r="J2015"/>
    </x:row>
    <x:row r="2016">
      <x:c r="A2016" t="str">
        <x:v>ZS-92AE9C284F25</x:v>
      </x:c>
      <x:c r="B2016"/>
      <x:c r="C2016"/>
      <x:c r="D2016"/>
      <x:c r="E2016"/>
      <x:c r="F2016"/>
      <x:c r="G2016"/>
      <x:c r="H2016"/>
      <x:c r="I2016"/>
      <x:c r="J2016"/>
    </x:row>
    <x:row r="2017">
      <x:c r="A2017" t="str">
        <x:v>ZS-FBB0D49E12B5</x:v>
      </x:c>
      <x:c r="B2017"/>
      <x:c r="C2017"/>
      <x:c r="D2017"/>
      <x:c r="E2017"/>
      <x:c r="F2017"/>
      <x:c r="G2017"/>
      <x:c r="H2017"/>
      <x:c r="I2017"/>
      <x:c r="J2017"/>
    </x:row>
    <x:row r="2018">
      <x:c r="A2018" t="str">
        <x:v>ZS-DF5527A7004B</x:v>
      </x:c>
      <x:c r="B2018"/>
      <x:c r="C2018"/>
      <x:c r="D2018"/>
      <x:c r="E2018"/>
      <x:c r="F2018"/>
      <x:c r="G2018"/>
      <x:c r="H2018"/>
      <x:c r="I2018"/>
      <x:c r="J2018"/>
    </x:row>
    <x:row r="2019">
      <x:c r="A2019" t="str">
        <x:v>ZS-A24FE46353FD</x:v>
      </x:c>
      <x:c r="B2019"/>
      <x:c r="C2019"/>
      <x:c r="D2019"/>
      <x:c r="E2019"/>
      <x:c r="F2019"/>
      <x:c r="G2019"/>
      <x:c r="H2019"/>
      <x:c r="I2019"/>
      <x:c r="J2019"/>
    </x:row>
    <x:row r="2020">
      <x:c r="A2020" t="str">
        <x:v>ZS-AAEC4FF8231E</x:v>
      </x:c>
      <x:c r="B2020"/>
      <x:c r="C2020"/>
      <x:c r="D2020"/>
      <x:c r="E2020"/>
      <x:c r="F2020"/>
      <x:c r="G2020"/>
      <x:c r="H2020"/>
      <x:c r="I2020"/>
      <x:c r="J2020"/>
    </x:row>
    <x:row r="2021">
      <x:c r="A2021" t="str">
        <x:v>ZS-FE26CF605F43</x:v>
      </x:c>
      <x:c r="B2021"/>
      <x:c r="C2021"/>
      <x:c r="D2021"/>
      <x:c r="E2021"/>
      <x:c r="F2021"/>
      <x:c r="G2021"/>
      <x:c r="H2021"/>
      <x:c r="I2021"/>
      <x:c r="J2021"/>
    </x:row>
    <x:row r="2022">
      <x:c r="A2022" t="str">
        <x:v>ZS-C42538BE9DDA</x:v>
      </x:c>
      <x:c r="B2022"/>
      <x:c r="C2022"/>
      <x:c r="D2022"/>
      <x:c r="E2022"/>
      <x:c r="F2022"/>
      <x:c r="G2022"/>
      <x:c r="H2022"/>
      <x:c r="I2022"/>
      <x:c r="J2022"/>
    </x:row>
    <x:row r="2023">
      <x:c r="A2023" t="str">
        <x:v>ZS-8F7DAF17082C</x:v>
      </x:c>
      <x:c r="B2023"/>
      <x:c r="C2023"/>
      <x:c r="D2023"/>
      <x:c r="E2023"/>
      <x:c r="F2023"/>
      <x:c r="G2023"/>
      <x:c r="H2023"/>
      <x:c r="I2023"/>
      <x:c r="J2023"/>
    </x:row>
    <x:row r="2024">
      <x:c r="A2024" t="str">
        <x:v>ZS-AFE5C91CEB11</x:v>
      </x:c>
      <x:c r="B2024"/>
      <x:c r="C2024"/>
      <x:c r="D2024"/>
      <x:c r="E2024"/>
      <x:c r="F2024"/>
      <x:c r="G2024"/>
      <x:c r="H2024"/>
      <x:c r="I2024"/>
      <x:c r="J2024"/>
    </x:row>
    <x:row r="2025">
      <x:c r="A2025" t="str">
        <x:v>ZS-DE8A358BD7B3</x:v>
      </x:c>
      <x:c r="B2025"/>
      <x:c r="C2025"/>
      <x:c r="D2025"/>
      <x:c r="E2025"/>
      <x:c r="F2025"/>
      <x:c r="G2025"/>
      <x:c r="H2025"/>
      <x:c r="I2025"/>
      <x:c r="J2025"/>
    </x:row>
    <x:row r="2026">
      <x:c r="A2026" t="str">
        <x:v>ZS-64E1480A2C1B</x:v>
      </x:c>
      <x:c r="B2026"/>
      <x:c r="C2026"/>
      <x:c r="D2026"/>
      <x:c r="E2026"/>
      <x:c r="F2026"/>
      <x:c r="G2026"/>
      <x:c r="H2026"/>
      <x:c r="I2026"/>
      <x:c r="J2026"/>
    </x:row>
    <x:row r="2027">
      <x:c r="A2027" t="str">
        <x:v>ZS-49664453B91A</x:v>
      </x:c>
      <x:c r="B2027"/>
      <x:c r="C2027"/>
      <x:c r="D2027"/>
      <x:c r="E2027"/>
      <x:c r="F2027"/>
      <x:c r="G2027"/>
      <x:c r="H2027"/>
      <x:c r="I2027"/>
      <x:c r="J2027"/>
    </x:row>
    <x:row r="2028">
      <x:c r="A2028" t="str">
        <x:v>ZS-DD2BD355569B</x:v>
      </x:c>
      <x:c r="B2028"/>
      <x:c r="C2028"/>
      <x:c r="D2028"/>
      <x:c r="E2028"/>
      <x:c r="F2028"/>
      <x:c r="G2028"/>
      <x:c r="H2028"/>
      <x:c r="I2028"/>
      <x:c r="J2028"/>
    </x:row>
    <x:row r="2029">
      <x:c r="A2029" t="str">
        <x:v>ZS-094A1288CE79</x:v>
      </x:c>
      <x:c r="B2029"/>
      <x:c r="C2029"/>
      <x:c r="D2029"/>
      <x:c r="E2029"/>
      <x:c r="F2029"/>
      <x:c r="G2029"/>
      <x:c r="H2029"/>
      <x:c r="I2029"/>
      <x:c r="J2029"/>
    </x:row>
    <x:row r="2030">
      <x:c r="A2030" t="str">
        <x:v>ZS-C80283636B07</x:v>
      </x:c>
      <x:c r="B2030"/>
      <x:c r="C2030"/>
      <x:c r="D2030"/>
      <x:c r="E2030"/>
      <x:c r="F2030"/>
      <x:c r="G2030"/>
      <x:c r="H2030"/>
      <x:c r="I2030"/>
      <x:c r="J2030"/>
    </x:row>
    <x:row r="2031">
      <x:c r="A2031" t="str">
        <x:v>ZS-B04891C2519C</x:v>
      </x:c>
      <x:c r="B2031"/>
      <x:c r="C2031"/>
      <x:c r="D2031"/>
      <x:c r="E2031"/>
      <x:c r="F2031"/>
      <x:c r="G2031"/>
      <x:c r="H2031"/>
      <x:c r="I2031"/>
      <x:c r="J2031"/>
    </x:row>
    <x:row r="2032">
      <x:c r="A2032" t="str">
        <x:v>ZS-1432678C78B9</x:v>
      </x:c>
      <x:c r="B2032"/>
      <x:c r="C2032"/>
      <x:c r="D2032"/>
      <x:c r="E2032"/>
      <x:c r="F2032"/>
      <x:c r="G2032"/>
      <x:c r="H2032"/>
      <x:c r="I2032"/>
      <x:c r="J2032"/>
    </x:row>
    <x:row r="2033">
      <x:c r="A2033" t="str">
        <x:v>ZS-69BC4E47006B</x:v>
      </x:c>
      <x:c r="B2033"/>
      <x:c r="C2033"/>
      <x:c r="D2033"/>
      <x:c r="E2033"/>
      <x:c r="F2033"/>
      <x:c r="G2033"/>
      <x:c r="H2033"/>
      <x:c r="I2033"/>
      <x:c r="J2033"/>
    </x:row>
    <x:row r="2034">
      <x:c r="A2034" t="str">
        <x:v>ZS-5422132E448C</x:v>
      </x:c>
      <x:c r="B2034"/>
      <x:c r="C2034"/>
      <x:c r="D2034"/>
      <x:c r="E2034"/>
      <x:c r="F2034"/>
      <x:c r="G2034"/>
      <x:c r="H2034"/>
      <x:c r="I2034"/>
      <x:c r="J2034"/>
    </x:row>
    <x:row r="2035">
      <x:c r="A2035" t="str">
        <x:v>ZS-7C292C03E7DB</x:v>
      </x:c>
      <x:c r="B2035"/>
      <x:c r="C2035"/>
      <x:c r="D2035"/>
      <x:c r="E2035"/>
      <x:c r="F2035"/>
      <x:c r="G2035"/>
      <x:c r="H2035"/>
      <x:c r="I2035"/>
      <x:c r="J2035"/>
    </x:row>
    <x:row r="2036">
      <x:c r="A2036" t="str">
        <x:v>ZS-CBB69ECCA4A8</x:v>
      </x:c>
      <x:c r="B2036"/>
      <x:c r="C2036"/>
      <x:c r="D2036"/>
      <x:c r="E2036"/>
      <x:c r="F2036"/>
      <x:c r="G2036"/>
      <x:c r="H2036"/>
      <x:c r="I2036"/>
      <x:c r="J2036"/>
    </x:row>
    <x:row r="2037">
      <x:c r="A2037" t="str">
        <x:v>ZS-28C57D313449</x:v>
      </x:c>
      <x:c r="B2037"/>
      <x:c r="C2037"/>
      <x:c r="D2037"/>
      <x:c r="E2037"/>
      <x:c r="F2037"/>
      <x:c r="G2037"/>
      <x:c r="H2037"/>
      <x:c r="I2037"/>
      <x:c r="J2037"/>
    </x:row>
    <x:row r="2038">
      <x:c r="A2038" t="str">
        <x:v>ZS-9816071AE3F9</x:v>
      </x:c>
      <x:c r="B2038"/>
      <x:c r="C2038"/>
      <x:c r="D2038"/>
      <x:c r="E2038"/>
      <x:c r="F2038"/>
      <x:c r="G2038"/>
      <x:c r="H2038"/>
      <x:c r="I2038"/>
      <x:c r="J2038"/>
    </x:row>
    <x:row r="2039">
      <x:c r="A2039" t="str">
        <x:v>ZS-C23BA255EF2A</x:v>
      </x:c>
      <x:c r="B2039"/>
      <x:c r="C2039"/>
      <x:c r="D2039"/>
      <x:c r="E2039"/>
      <x:c r="F2039"/>
      <x:c r="G2039"/>
      <x:c r="H2039"/>
      <x:c r="I2039"/>
      <x:c r="J2039"/>
    </x:row>
    <x:row r="2040">
      <x:c r="A2040" t="str">
        <x:v>ZS-823B62A55DCB</x:v>
      </x:c>
      <x:c r="B2040"/>
      <x:c r="C2040"/>
      <x:c r="D2040"/>
      <x:c r="E2040"/>
      <x:c r="F2040"/>
      <x:c r="G2040"/>
      <x:c r="H2040"/>
      <x:c r="I2040"/>
      <x:c r="J2040"/>
    </x:row>
    <x:row r="2041">
      <x:c r="A2041" t="str">
        <x:v>ZS-858F423EBB0D</x:v>
      </x:c>
      <x:c r="B2041"/>
      <x:c r="C2041"/>
      <x:c r="D2041"/>
      <x:c r="E2041"/>
      <x:c r="F2041"/>
      <x:c r="G2041"/>
      <x:c r="H2041"/>
      <x:c r="I2041"/>
      <x:c r="J2041"/>
    </x:row>
    <x:row r="2042">
      <x:c r="A2042" t="str">
        <x:v>ZS-AA9007C29316</x:v>
      </x:c>
      <x:c r="B2042"/>
      <x:c r="C2042"/>
      <x:c r="D2042"/>
      <x:c r="E2042"/>
      <x:c r="F2042"/>
      <x:c r="G2042"/>
      <x:c r="H2042"/>
      <x:c r="I2042"/>
      <x:c r="J2042"/>
    </x:row>
    <x:row r="2043">
      <x:c r="A2043" t="str">
        <x:v>ZS-0D2DFFEB2A2D</x:v>
      </x:c>
      <x:c r="B2043"/>
      <x:c r="C2043"/>
      <x:c r="D2043"/>
      <x:c r="E2043"/>
      <x:c r="F2043"/>
      <x:c r="G2043"/>
      <x:c r="H2043"/>
      <x:c r="I2043"/>
      <x:c r="J2043"/>
    </x:row>
    <x:row r="2044">
      <x:c r="A2044" t="str">
        <x:v>ZS-5793807028D2</x:v>
      </x:c>
      <x:c r="B2044"/>
      <x:c r="C2044"/>
      <x:c r="D2044"/>
      <x:c r="E2044"/>
      <x:c r="F2044"/>
      <x:c r="G2044"/>
      <x:c r="H2044"/>
      <x:c r="I2044"/>
      <x:c r="J2044"/>
    </x:row>
    <x:row r="2045">
      <x:c r="A2045" t="str">
        <x:v>ZS-5BF9FD9AEAFC</x:v>
      </x:c>
      <x:c r="B2045"/>
      <x:c r="C2045"/>
      <x:c r="D2045"/>
      <x:c r="E2045"/>
      <x:c r="F2045"/>
      <x:c r="G2045"/>
      <x:c r="H2045"/>
      <x:c r="I2045"/>
      <x:c r="J2045"/>
    </x:row>
    <x:row r="2046">
      <x:c r="A2046" t="str">
        <x:v>ZS-BDF67142140F</x:v>
      </x:c>
      <x:c r="B2046"/>
      <x:c r="C2046"/>
      <x:c r="D2046"/>
      <x:c r="E2046"/>
      <x:c r="F2046"/>
      <x:c r="G2046"/>
      <x:c r="H2046"/>
      <x:c r="I2046"/>
      <x:c r="J2046"/>
    </x:row>
    <x:row r="2047">
      <x:c r="A2047" t="str">
        <x:v>ZS-E0A8C4A2A267</x:v>
      </x:c>
      <x:c r="B2047"/>
      <x:c r="C2047"/>
      <x:c r="D2047"/>
      <x:c r="E2047"/>
      <x:c r="F2047"/>
      <x:c r="G2047"/>
      <x:c r="H2047"/>
      <x:c r="I2047"/>
      <x:c r="J2047"/>
    </x:row>
    <x:row r="2048">
      <x:c r="A2048" t="str">
        <x:v>ZS-F25F0E187E78</x:v>
      </x:c>
      <x:c r="B2048"/>
      <x:c r="C2048"/>
      <x:c r="D2048"/>
      <x:c r="E2048"/>
      <x:c r="F2048"/>
      <x:c r="G2048"/>
      <x:c r="H2048"/>
      <x:c r="I2048"/>
      <x:c r="J2048"/>
    </x:row>
    <x:row r="2049">
      <x:c r="A2049" t="str">
        <x:v>ZS-EA709177D25C</x:v>
      </x:c>
      <x:c r="B2049"/>
      <x:c r="C2049"/>
      <x:c r="D2049"/>
      <x:c r="E2049"/>
      <x:c r="F2049"/>
      <x:c r="G2049"/>
      <x:c r="H2049"/>
      <x:c r="I2049"/>
      <x:c r="J2049"/>
    </x:row>
    <x:row r="2050">
      <x:c r="A2050" t="str">
        <x:v>ZS-4CD0EF579278</x:v>
      </x:c>
      <x:c r="B2050"/>
      <x:c r="C2050"/>
      <x:c r="D2050"/>
      <x:c r="E2050"/>
      <x:c r="F2050"/>
      <x:c r="G2050"/>
      <x:c r="H2050"/>
      <x:c r="I2050"/>
      <x:c r="J2050"/>
    </x:row>
    <x:row r="2051">
      <x:c r="A2051" t="str">
        <x:v>ZS-FA823D0BA587</x:v>
      </x:c>
      <x:c r="B2051"/>
      <x:c r="C2051"/>
      <x:c r="D2051"/>
      <x:c r="E2051"/>
      <x:c r="F2051"/>
      <x:c r="G2051"/>
      <x:c r="H2051"/>
      <x:c r="I2051"/>
      <x:c r="J2051"/>
    </x:row>
    <x:row r="2052">
      <x:c r="A2052" t="str">
        <x:v>ZS-5FAB06E72646</x:v>
      </x:c>
      <x:c r="B2052"/>
      <x:c r="C2052"/>
      <x:c r="D2052"/>
      <x:c r="E2052"/>
      <x:c r="F2052"/>
      <x:c r="G2052"/>
      <x:c r="H2052"/>
      <x:c r="I2052"/>
      <x:c r="J2052"/>
    </x:row>
    <x:row r="2053">
      <x:c r="A2053" t="str">
        <x:v>ZS-3034DB7002DD</x:v>
      </x:c>
      <x:c r="B2053"/>
      <x:c r="C2053"/>
      <x:c r="D2053"/>
      <x:c r="E2053"/>
      <x:c r="F2053"/>
      <x:c r="G2053"/>
      <x:c r="H2053"/>
      <x:c r="I2053"/>
      <x:c r="J2053"/>
    </x:row>
    <x:row r="2054">
      <x:c r="A2054" t="str">
        <x:v>ZS-0A725DFD8121</x:v>
      </x:c>
      <x:c r="B2054"/>
      <x:c r="C2054"/>
      <x:c r="D2054"/>
      <x:c r="E2054"/>
      <x:c r="F2054"/>
      <x:c r="G2054"/>
      <x:c r="H2054"/>
      <x:c r="I2054"/>
      <x:c r="J2054"/>
    </x:row>
    <x:row r="2055">
      <x:c r="A2055" t="str">
        <x:v>ZS-7E5E1E0E8F55</x:v>
      </x:c>
      <x:c r="B2055"/>
      <x:c r="C2055"/>
      <x:c r="D2055"/>
      <x:c r="E2055"/>
      <x:c r="F2055"/>
      <x:c r="G2055"/>
      <x:c r="H2055"/>
      <x:c r="I2055"/>
      <x:c r="J2055"/>
    </x:row>
    <x:row r="2056">
      <x:c r="A2056" t="str">
        <x:v>ZS-EBB3D0298811</x:v>
      </x:c>
      <x:c r="B2056"/>
      <x:c r="C2056"/>
      <x:c r="D2056"/>
      <x:c r="E2056"/>
      <x:c r="F2056"/>
      <x:c r="G2056"/>
      <x:c r="H2056"/>
      <x:c r="I2056"/>
      <x:c r="J2056"/>
    </x:row>
    <x:row r="2057">
      <x:c r="A2057" t="str">
        <x:v>ZS-B57013011D11</x:v>
      </x:c>
      <x:c r="B2057"/>
      <x:c r="C2057"/>
      <x:c r="D2057"/>
      <x:c r="E2057"/>
      <x:c r="F2057"/>
      <x:c r="G2057"/>
      <x:c r="H2057"/>
      <x:c r="I2057"/>
      <x:c r="J2057"/>
    </x:row>
    <x:row r="2058">
      <x:c r="A2058" t="str">
        <x:v>ZS-DBEA51BBA106</x:v>
      </x:c>
      <x:c r="B2058"/>
      <x:c r="C2058"/>
      <x:c r="D2058"/>
      <x:c r="E2058"/>
      <x:c r="F2058"/>
      <x:c r="G2058"/>
      <x:c r="H2058"/>
      <x:c r="I2058"/>
      <x:c r="J2058"/>
    </x:row>
    <x:row r="2059">
      <x:c r="A2059" t="str">
        <x:v>ZS-79093794FD74</x:v>
      </x:c>
      <x:c r="B2059"/>
      <x:c r="C2059"/>
      <x:c r="D2059"/>
      <x:c r="E2059"/>
      <x:c r="F2059"/>
      <x:c r="G2059"/>
      <x:c r="H2059"/>
      <x:c r="I2059"/>
      <x:c r="J2059"/>
    </x:row>
    <x:row r="2060">
      <x:c r="A2060" t="str">
        <x:v>ZS-C5FEE6483CFA</x:v>
      </x:c>
      <x:c r="B2060"/>
      <x:c r="C2060"/>
      <x:c r="D2060"/>
      <x:c r="E2060"/>
      <x:c r="F2060"/>
      <x:c r="G2060"/>
      <x:c r="H2060"/>
      <x:c r="I2060"/>
      <x:c r="J2060"/>
    </x:row>
    <x:row r="2061">
      <x:c r="A2061" t="str">
        <x:v>ZS-D042EF717A0E</x:v>
      </x:c>
      <x:c r="B2061"/>
      <x:c r="C2061"/>
      <x:c r="D2061"/>
      <x:c r="E2061"/>
      <x:c r="F2061"/>
      <x:c r="G2061"/>
      <x:c r="H2061"/>
      <x:c r="I2061"/>
      <x:c r="J2061"/>
    </x:row>
    <x:row r="2062">
      <x:c r="A2062" t="str">
        <x:v>ZS-C01D0B7FE36A</x:v>
      </x:c>
      <x:c r="B2062"/>
      <x:c r="C2062"/>
      <x:c r="D2062"/>
      <x:c r="E2062"/>
      <x:c r="F2062"/>
      <x:c r="G2062"/>
      <x:c r="H2062"/>
      <x:c r="I2062"/>
      <x:c r="J2062"/>
    </x:row>
    <x:row r="2063">
      <x:c r="A2063" t="str">
        <x:v>ZS-C39D2C285894</x:v>
      </x:c>
      <x:c r="B2063"/>
      <x:c r="C2063"/>
      <x:c r="D2063"/>
      <x:c r="E2063"/>
      <x:c r="F2063"/>
      <x:c r="G2063"/>
      <x:c r="H2063"/>
      <x:c r="I2063"/>
      <x:c r="J2063"/>
    </x:row>
    <x:row r="2064">
      <x:c r="A2064" t="str">
        <x:v>ZS-5EF970BC7762</x:v>
      </x:c>
      <x:c r="B2064"/>
      <x:c r="C2064"/>
      <x:c r="D2064"/>
      <x:c r="E2064"/>
      <x:c r="F2064"/>
      <x:c r="G2064"/>
      <x:c r="H2064"/>
      <x:c r="I2064"/>
      <x:c r="J2064"/>
    </x:row>
    <x:row r="2065">
      <x:c r="A2065" t="str">
        <x:v>ZS-B875C74F62B8</x:v>
      </x:c>
      <x:c r="B2065"/>
      <x:c r="C2065"/>
      <x:c r="D2065"/>
      <x:c r="E2065"/>
      <x:c r="F2065"/>
      <x:c r="G2065"/>
      <x:c r="H2065"/>
      <x:c r="I2065"/>
      <x:c r="J2065"/>
    </x:row>
    <x:row r="2066">
      <x:c r="A2066" t="str">
        <x:v>ZS-0D8E35C1AF92</x:v>
      </x:c>
      <x:c r="B2066"/>
      <x:c r="C2066"/>
      <x:c r="D2066"/>
      <x:c r="E2066"/>
      <x:c r="F2066"/>
      <x:c r="G2066"/>
      <x:c r="H2066"/>
      <x:c r="I2066"/>
      <x:c r="J2066"/>
    </x:row>
    <x:row r="2067">
      <x:c r="A2067" t="str">
        <x:v>ZS-3F87C1FA89C4</x:v>
      </x:c>
      <x:c r="B2067"/>
      <x:c r="C2067"/>
      <x:c r="D2067"/>
      <x:c r="E2067"/>
      <x:c r="F2067"/>
      <x:c r="G2067"/>
      <x:c r="H2067"/>
      <x:c r="I2067"/>
      <x:c r="J2067"/>
    </x:row>
    <x:row r="2068">
      <x:c r="A2068" t="str">
        <x:v>ZS-0F95A20753E4</x:v>
      </x:c>
      <x:c r="B2068"/>
      <x:c r="C2068"/>
      <x:c r="D2068"/>
      <x:c r="E2068"/>
      <x:c r="F2068"/>
      <x:c r="G2068"/>
      <x:c r="H2068"/>
      <x:c r="I2068"/>
      <x:c r="J2068"/>
    </x:row>
    <x:row r="2069">
      <x:c r="A2069" t="str">
        <x:v>ZS-8CD84568EE7B</x:v>
      </x:c>
      <x:c r="B2069"/>
      <x:c r="C2069"/>
      <x:c r="D2069"/>
      <x:c r="E2069"/>
      <x:c r="F2069"/>
      <x:c r="G2069"/>
      <x:c r="H2069"/>
      <x:c r="I2069"/>
      <x:c r="J2069"/>
    </x:row>
    <x:row r="2070">
      <x:c r="A2070" t="str">
        <x:v>ZS-1323F6CBD9C9</x:v>
      </x:c>
      <x:c r="B2070"/>
      <x:c r="C2070"/>
      <x:c r="D2070"/>
      <x:c r="E2070"/>
      <x:c r="F2070"/>
      <x:c r="G2070"/>
      <x:c r="H2070"/>
      <x:c r="I2070"/>
      <x:c r="J2070"/>
    </x:row>
    <x:row r="2071">
      <x:c r="A2071" t="str">
        <x:v>ZS-B52AF0D8F3F4</x:v>
      </x:c>
      <x:c r="B2071"/>
      <x:c r="C2071"/>
      <x:c r="D2071"/>
      <x:c r="E2071"/>
      <x:c r="F2071"/>
      <x:c r="G2071"/>
      <x:c r="H2071"/>
      <x:c r="I2071"/>
      <x:c r="J2071"/>
    </x:row>
    <x:row r="2072">
      <x:c r="A2072" t="str">
        <x:v>ZS-E0B0DA23E655</x:v>
      </x:c>
      <x:c r="B2072"/>
      <x:c r="C2072"/>
      <x:c r="D2072"/>
      <x:c r="E2072"/>
      <x:c r="F2072"/>
      <x:c r="G2072"/>
      <x:c r="H2072"/>
      <x:c r="I2072"/>
      <x:c r="J2072"/>
    </x:row>
    <x:row r="2073">
      <x:c r="A2073" t="str">
        <x:v>ZS-97484F533F93</x:v>
      </x:c>
      <x:c r="B2073"/>
      <x:c r="C2073"/>
      <x:c r="D2073"/>
      <x:c r="E2073"/>
      <x:c r="F2073"/>
      <x:c r="G2073"/>
      <x:c r="H2073"/>
      <x:c r="I2073"/>
      <x:c r="J2073"/>
    </x:row>
    <x:row r="2074">
      <x:c r="A2074" t="str">
        <x:v>ZS-D27016FC5FA6</x:v>
      </x:c>
      <x:c r="B2074"/>
      <x:c r="C2074"/>
      <x:c r="D2074"/>
      <x:c r="E2074"/>
      <x:c r="F2074"/>
      <x:c r="G2074"/>
      <x:c r="H2074"/>
      <x:c r="I2074"/>
      <x:c r="J2074"/>
    </x:row>
    <x:row r="2075">
      <x:c r="A2075" t="str">
        <x:v>ZS-169EF28F1E60</x:v>
      </x:c>
      <x:c r="B2075"/>
      <x:c r="C2075"/>
      <x:c r="D2075"/>
      <x:c r="E2075"/>
      <x:c r="F2075"/>
      <x:c r="G2075"/>
      <x:c r="H2075"/>
      <x:c r="I2075"/>
      <x:c r="J2075"/>
    </x:row>
    <x:row r="2076">
      <x:c r="A2076" t="str">
        <x:v>ZS-00BCC5525CBE</x:v>
      </x:c>
      <x:c r="B2076"/>
      <x:c r="C2076"/>
      <x:c r="D2076"/>
      <x:c r="E2076"/>
      <x:c r="F2076"/>
      <x:c r="G2076"/>
      <x:c r="H2076"/>
      <x:c r="I2076"/>
      <x:c r="J2076"/>
    </x:row>
    <x:row r="2077">
      <x:c r="A2077" t="str">
        <x:v>ZS-D2EDA5C78B8E</x:v>
      </x:c>
      <x:c r="B2077"/>
      <x:c r="C2077"/>
      <x:c r="D2077"/>
      <x:c r="E2077"/>
      <x:c r="F2077"/>
      <x:c r="G2077"/>
      <x:c r="H2077"/>
      <x:c r="I2077"/>
      <x:c r="J2077"/>
    </x:row>
    <x:row r="2078">
      <x:c r="A2078" t="str">
        <x:v>ZS-0D75D9E34E72</x:v>
      </x:c>
      <x:c r="B2078"/>
      <x:c r="C2078"/>
      <x:c r="D2078"/>
      <x:c r="E2078"/>
      <x:c r="F2078"/>
      <x:c r="G2078"/>
      <x:c r="H2078"/>
      <x:c r="I2078"/>
      <x:c r="J2078"/>
    </x:row>
    <x:row r="2079">
      <x:c r="A2079" t="str">
        <x:v>ZS-F8B00EFDA1CF</x:v>
      </x:c>
      <x:c r="B2079"/>
      <x:c r="C2079"/>
      <x:c r="D2079"/>
      <x:c r="E2079"/>
      <x:c r="F2079"/>
      <x:c r="G2079"/>
      <x:c r="H2079"/>
      <x:c r="I2079"/>
      <x:c r="J2079"/>
    </x:row>
    <x:row r="2080">
      <x:c r="A2080" t="str">
        <x:v>ZS-BDF466D425AE</x:v>
      </x:c>
      <x:c r="B2080"/>
      <x:c r="C2080"/>
      <x:c r="D2080"/>
      <x:c r="E2080"/>
      <x:c r="F2080"/>
      <x:c r="G2080"/>
      <x:c r="H2080"/>
      <x:c r="I2080"/>
      <x:c r="J2080"/>
    </x:row>
    <x:row r="2081">
      <x:c r="A2081" t="str">
        <x:v>ZS-3FFB6B7C357F</x:v>
      </x:c>
      <x:c r="B2081"/>
      <x:c r="C2081"/>
      <x:c r="D2081"/>
      <x:c r="E2081"/>
      <x:c r="F2081"/>
      <x:c r="G2081"/>
      <x:c r="H2081"/>
      <x:c r="I2081"/>
      <x:c r="J2081"/>
    </x:row>
    <x:row r="2082">
      <x:c r="A2082" t="str">
        <x:v>ZS-92A1C5E60202</x:v>
      </x:c>
      <x:c r="B2082"/>
      <x:c r="C2082"/>
      <x:c r="D2082"/>
      <x:c r="E2082"/>
      <x:c r="F2082"/>
      <x:c r="G2082"/>
      <x:c r="H2082"/>
      <x:c r="I2082"/>
      <x:c r="J2082"/>
    </x:row>
    <x:row r="2083">
      <x:c r="A2083" t="str">
        <x:v>ZS-96453A1BC538</x:v>
      </x:c>
      <x:c r="B2083"/>
      <x:c r="C2083"/>
      <x:c r="D2083"/>
      <x:c r="E2083"/>
      <x:c r="F2083"/>
      <x:c r="G2083"/>
      <x:c r="H2083"/>
      <x:c r="I2083"/>
      <x:c r="J2083"/>
    </x:row>
    <x:row r="2084">
      <x:c r="A2084" t="str">
        <x:v>ZS-2277C19C87A7</x:v>
      </x:c>
      <x:c r="B2084"/>
      <x:c r="C2084"/>
      <x:c r="D2084"/>
      <x:c r="E2084"/>
      <x:c r="F2084"/>
      <x:c r="G2084"/>
      <x:c r="H2084"/>
      <x:c r="I2084"/>
      <x:c r="J2084"/>
    </x:row>
    <x:row r="2085">
      <x:c r="A2085" t="str">
        <x:v>ZS-4468C99F9834</x:v>
      </x:c>
      <x:c r="B2085"/>
      <x:c r="C2085"/>
      <x:c r="D2085"/>
      <x:c r="E2085"/>
      <x:c r="F2085"/>
      <x:c r="G2085"/>
      <x:c r="H2085"/>
      <x:c r="I2085"/>
      <x:c r="J2085"/>
    </x:row>
    <x:row r="2086">
      <x:c r="A2086" t="str">
        <x:v>ZS-BD9985F8A468</x:v>
      </x:c>
      <x:c r="B2086"/>
      <x:c r="C2086"/>
      <x:c r="D2086"/>
      <x:c r="E2086"/>
      <x:c r="F2086"/>
      <x:c r="G2086"/>
      <x:c r="H2086"/>
      <x:c r="I2086"/>
      <x:c r="J2086"/>
    </x:row>
    <x:row r="2087">
      <x:c r="A2087" t="str">
        <x:v>ZS-BBB2E418BE40</x:v>
      </x:c>
      <x:c r="B2087"/>
      <x:c r="C2087"/>
      <x:c r="D2087"/>
      <x:c r="E2087"/>
      <x:c r="F2087"/>
      <x:c r="G2087"/>
      <x:c r="H2087"/>
      <x:c r="I2087"/>
      <x:c r="J2087"/>
    </x:row>
    <x:row r="2088">
      <x:c r="A2088" t="str">
        <x:v>ZS-20B58052B2BE</x:v>
      </x:c>
      <x:c r="B2088"/>
      <x:c r="C2088"/>
      <x:c r="D2088"/>
      <x:c r="E2088"/>
      <x:c r="F2088"/>
      <x:c r="G2088"/>
      <x:c r="H2088"/>
      <x:c r="I2088"/>
      <x:c r="J2088"/>
    </x:row>
    <x:row r="2089">
      <x:c r="A2089" t="str">
        <x:v>ZS-06C8B3EE67CB</x:v>
      </x:c>
      <x:c r="B2089"/>
      <x:c r="C2089"/>
      <x:c r="D2089"/>
      <x:c r="E2089"/>
      <x:c r="F2089"/>
      <x:c r="G2089"/>
      <x:c r="H2089"/>
      <x:c r="I2089"/>
      <x:c r="J2089"/>
    </x:row>
    <x:row r="2090">
      <x:c r="A2090" t="str">
        <x:v>ZS-2DBA38CBC3C9</x:v>
      </x:c>
      <x:c r="B2090"/>
      <x:c r="C2090"/>
      <x:c r="D2090"/>
      <x:c r="E2090"/>
      <x:c r="F2090"/>
      <x:c r="G2090"/>
      <x:c r="H2090"/>
      <x:c r="I2090"/>
      <x:c r="J2090"/>
    </x:row>
    <x:row r="2091">
      <x:c r="A2091" t="str">
        <x:v>ZS-073EFA42E331</x:v>
      </x:c>
      <x:c r="B2091"/>
      <x:c r="C2091"/>
      <x:c r="D2091"/>
      <x:c r="E2091"/>
      <x:c r="F2091"/>
      <x:c r="G2091"/>
      <x:c r="H2091"/>
      <x:c r="I2091"/>
      <x:c r="J2091"/>
    </x:row>
    <x:row r="2092">
      <x:c r="A2092" t="str">
        <x:v>ZS-07B5CD5294EA</x:v>
      </x:c>
      <x:c r="B2092"/>
      <x:c r="C2092"/>
      <x:c r="D2092"/>
      <x:c r="E2092"/>
      <x:c r="F2092"/>
      <x:c r="G2092"/>
      <x:c r="H2092"/>
      <x:c r="I2092"/>
      <x:c r="J2092"/>
    </x:row>
    <x:row r="2093">
      <x:c r="A2093" t="str">
        <x:v>ZS-A2F7915203C4</x:v>
      </x:c>
      <x:c r="B2093"/>
      <x:c r="C2093"/>
      <x:c r="D2093"/>
      <x:c r="E2093"/>
      <x:c r="F2093"/>
      <x:c r="G2093"/>
      <x:c r="H2093"/>
      <x:c r="I2093"/>
      <x:c r="J2093"/>
    </x:row>
    <x:row r="2094">
      <x:c r="A2094" t="str">
        <x:v>ZS-FFF921936FCC</x:v>
      </x:c>
      <x:c r="B2094"/>
      <x:c r="C2094"/>
      <x:c r="D2094"/>
      <x:c r="E2094"/>
      <x:c r="F2094"/>
      <x:c r="G2094"/>
      <x:c r="H2094"/>
      <x:c r="I2094"/>
      <x:c r="J2094"/>
    </x:row>
    <x:row r="2095">
      <x:c r="A2095" t="str">
        <x:v>ZS-E6B8CA621C72</x:v>
      </x:c>
      <x:c r="B2095"/>
      <x:c r="C2095"/>
      <x:c r="D2095"/>
      <x:c r="E2095"/>
      <x:c r="F2095"/>
      <x:c r="G2095"/>
      <x:c r="H2095"/>
      <x:c r="I2095"/>
      <x:c r="J2095"/>
    </x:row>
    <x:row r="2096">
      <x:c r="A2096" t="str">
        <x:v>ZS-B533AC4AB116</x:v>
      </x:c>
      <x:c r="B2096"/>
      <x:c r="C2096"/>
      <x:c r="D2096"/>
      <x:c r="E2096"/>
      <x:c r="F2096"/>
      <x:c r="G2096"/>
      <x:c r="H2096"/>
      <x:c r="I2096"/>
      <x:c r="J2096"/>
    </x:row>
    <x:row r="2097">
      <x:c r="A2097" t="str">
        <x:v>ZS-1E9BD8E1C044</x:v>
      </x:c>
      <x:c r="B2097"/>
      <x:c r="C2097"/>
      <x:c r="D2097"/>
      <x:c r="E2097"/>
      <x:c r="F2097"/>
      <x:c r="G2097"/>
      <x:c r="H2097"/>
      <x:c r="I2097"/>
      <x:c r="J2097"/>
    </x:row>
    <x:row r="2098">
      <x:c r="A2098" t="str">
        <x:v>ZS-B57B12D5FF2B</x:v>
      </x:c>
      <x:c r="B2098"/>
      <x:c r="C2098"/>
      <x:c r="D2098"/>
      <x:c r="E2098"/>
      <x:c r="F2098"/>
      <x:c r="G2098"/>
      <x:c r="H2098"/>
      <x:c r="I2098"/>
      <x:c r="J2098"/>
    </x:row>
    <x:row r="2099">
      <x:c r="A2099" t="str">
        <x:v>ZS-F9EF0F37A459</x:v>
      </x:c>
      <x:c r="B2099"/>
      <x:c r="C2099"/>
      <x:c r="D2099"/>
      <x:c r="E2099"/>
      <x:c r="F2099"/>
      <x:c r="G2099"/>
      <x:c r="H2099"/>
      <x:c r="I2099"/>
      <x:c r="J2099"/>
    </x:row>
    <x:row r="2100">
      <x:c r="A2100" t="str">
        <x:v>ZS-0AF66D24C272</x:v>
      </x:c>
      <x:c r="B2100"/>
      <x:c r="C2100"/>
      <x:c r="D2100"/>
      <x:c r="E2100"/>
      <x:c r="F2100"/>
      <x:c r="G2100"/>
      <x:c r="H2100"/>
      <x:c r="I2100"/>
      <x:c r="J2100"/>
    </x:row>
    <x:row r="2101">
      <x:c r="A2101" t="str">
        <x:v>ZS-38BF7254BCAA</x:v>
      </x:c>
      <x:c r="B2101"/>
      <x:c r="C2101"/>
      <x:c r="D2101"/>
      <x:c r="E2101"/>
      <x:c r="F2101"/>
      <x:c r="G2101"/>
      <x:c r="H2101"/>
      <x:c r="I2101"/>
      <x:c r="J2101"/>
    </x:row>
    <x:row r="2102">
      <x:c r="A2102" t="str">
        <x:v>ZS-EF1A07B5C9E0</x:v>
      </x:c>
      <x:c r="B2102"/>
      <x:c r="C2102"/>
      <x:c r="D2102"/>
      <x:c r="E2102"/>
      <x:c r="F2102"/>
      <x:c r="G2102"/>
      <x:c r="H2102"/>
      <x:c r="I2102"/>
      <x:c r="J2102"/>
    </x:row>
    <x:row r="2103">
      <x:c r="A2103" t="str">
        <x:v>ZS-71F8223EC294</x:v>
      </x:c>
      <x:c r="B2103"/>
      <x:c r="C2103"/>
      <x:c r="D2103"/>
      <x:c r="E2103"/>
      <x:c r="F2103"/>
      <x:c r="G2103"/>
      <x:c r="H2103"/>
      <x:c r="I2103"/>
      <x:c r="J2103"/>
    </x:row>
    <x:row r="2104">
      <x:c r="A2104" t="str">
        <x:v>ZS-D509AE4F1E19</x:v>
      </x:c>
      <x:c r="B2104"/>
      <x:c r="C2104"/>
      <x:c r="D2104"/>
      <x:c r="E2104"/>
      <x:c r="F2104"/>
      <x:c r="G2104"/>
      <x:c r="H2104"/>
      <x:c r="I2104"/>
      <x:c r="J2104"/>
    </x:row>
    <x:row r="2105">
      <x:c r="A2105" t="str">
        <x:v>ZS-811ED928AFF9</x:v>
      </x:c>
      <x:c r="B2105"/>
      <x:c r="C2105"/>
      <x:c r="D2105"/>
      <x:c r="E2105"/>
      <x:c r="F2105"/>
      <x:c r="G2105"/>
      <x:c r="H2105"/>
      <x:c r="I2105"/>
      <x:c r="J2105"/>
    </x:row>
    <x:row r="2106">
      <x:c r="A2106" t="str">
        <x:v>ZS-5230E881FBA4</x:v>
      </x:c>
      <x:c r="B2106"/>
      <x:c r="C2106"/>
      <x:c r="D2106"/>
      <x:c r="E2106"/>
      <x:c r="F2106"/>
      <x:c r="G2106"/>
      <x:c r="H2106"/>
      <x:c r="I2106"/>
      <x:c r="J2106"/>
    </x:row>
    <x:row r="2107">
      <x:c r="A2107" t="str">
        <x:v>ZS-00720713A95E</x:v>
      </x:c>
      <x:c r="B2107"/>
      <x:c r="C2107"/>
      <x:c r="D2107"/>
      <x:c r="E2107"/>
      <x:c r="F2107"/>
      <x:c r="G2107"/>
      <x:c r="H2107"/>
      <x:c r="I2107"/>
      <x:c r="J2107"/>
    </x:row>
    <x:row r="2108">
      <x:c r="A2108" t="str">
        <x:v>ZS-C9BCDD977652</x:v>
      </x:c>
      <x:c r="B2108"/>
      <x:c r="C2108"/>
      <x:c r="D2108"/>
      <x:c r="E2108"/>
      <x:c r="F2108"/>
      <x:c r="G2108"/>
      <x:c r="H2108"/>
      <x:c r="I2108"/>
      <x:c r="J2108"/>
    </x:row>
    <x:row r="2109">
      <x:c r="A2109" t="str">
        <x:v>ZS-5975404661DE</x:v>
      </x:c>
      <x:c r="B2109"/>
      <x:c r="C2109"/>
      <x:c r="D2109"/>
      <x:c r="E2109"/>
      <x:c r="F2109"/>
      <x:c r="G2109"/>
      <x:c r="H2109"/>
      <x:c r="I2109"/>
      <x:c r="J2109"/>
    </x:row>
    <x:row r="2110">
      <x:c r="A2110" t="str">
        <x:v>ZS-69619C8938E4</x:v>
      </x:c>
      <x:c r="B2110"/>
      <x:c r="C2110"/>
      <x:c r="D2110"/>
      <x:c r="E2110"/>
      <x:c r="F2110"/>
      <x:c r="G2110"/>
      <x:c r="H2110"/>
      <x:c r="I2110"/>
      <x:c r="J2110"/>
    </x:row>
    <x:row r="2111">
      <x:c r="A2111" t="str">
        <x:v>ZS-78276B698F5B</x:v>
      </x:c>
      <x:c r="B2111"/>
      <x:c r="C2111"/>
      <x:c r="D2111"/>
      <x:c r="E2111"/>
      <x:c r="F2111"/>
      <x:c r="G2111"/>
      <x:c r="H2111"/>
      <x:c r="I2111"/>
      <x:c r="J2111"/>
    </x:row>
    <x:row r="2112">
      <x:c r="A2112" t="str">
        <x:v>ZS-5F6C9B9220FF</x:v>
      </x:c>
      <x:c r="B2112"/>
      <x:c r="C2112"/>
      <x:c r="D2112"/>
      <x:c r="E2112"/>
      <x:c r="F2112"/>
      <x:c r="G2112"/>
      <x:c r="H2112"/>
      <x:c r="I2112"/>
      <x:c r="J2112"/>
    </x:row>
    <x:row r="2113">
      <x:c r="A2113" t="str">
        <x:v>ZS-E9786B81E338</x:v>
      </x:c>
      <x:c r="B2113"/>
      <x:c r="C2113"/>
      <x:c r="D2113"/>
      <x:c r="E2113"/>
      <x:c r="F2113"/>
      <x:c r="G2113"/>
      <x:c r="H2113"/>
      <x:c r="I2113"/>
      <x:c r="J2113"/>
    </x:row>
    <x:row r="2114">
      <x:c r="A2114" t="str">
        <x:v>ZS-79ACD4DB6535</x:v>
      </x:c>
      <x:c r="B2114"/>
      <x:c r="C2114"/>
      <x:c r="D2114"/>
      <x:c r="E2114"/>
      <x:c r="F2114"/>
      <x:c r="G2114"/>
      <x:c r="H2114"/>
      <x:c r="I2114"/>
      <x:c r="J2114"/>
    </x:row>
    <x:row r="2115">
      <x:c r="A2115" t="str">
        <x:v>ZS-4A9E8835CF38</x:v>
      </x:c>
      <x:c r="B2115"/>
      <x:c r="C2115"/>
      <x:c r="D2115"/>
      <x:c r="E2115"/>
      <x:c r="F2115"/>
      <x:c r="G2115"/>
      <x:c r="H2115"/>
      <x:c r="I2115"/>
      <x:c r="J2115"/>
    </x:row>
    <x:row r="2116">
      <x:c r="A2116" t="str">
        <x:v>ZS-237B1DF96A5E</x:v>
      </x:c>
      <x:c r="B2116"/>
      <x:c r="C2116"/>
      <x:c r="D2116"/>
      <x:c r="E2116"/>
      <x:c r="F2116"/>
      <x:c r="G2116"/>
      <x:c r="H2116"/>
      <x:c r="I2116"/>
      <x:c r="J2116"/>
    </x:row>
    <x:row r="2117">
      <x:c r="A2117" t="str">
        <x:v>ZS-64574D1839B1</x:v>
      </x:c>
      <x:c r="B2117"/>
      <x:c r="C2117"/>
      <x:c r="D2117"/>
      <x:c r="E2117"/>
      <x:c r="F2117"/>
      <x:c r="G2117"/>
      <x:c r="H2117"/>
      <x:c r="I2117"/>
      <x:c r="J2117"/>
    </x:row>
    <x:row r="2118">
      <x:c r="A2118" t="str">
        <x:v>ZS-EB6641EDA118</x:v>
      </x:c>
      <x:c r="B2118"/>
      <x:c r="C2118"/>
      <x:c r="D2118"/>
      <x:c r="E2118"/>
      <x:c r="F2118"/>
      <x:c r="G2118"/>
      <x:c r="H2118"/>
      <x:c r="I2118"/>
      <x:c r="J2118"/>
    </x:row>
    <x:row r="2119">
      <x:c r="A2119" t="str">
        <x:v>ZS-91D400393AFF</x:v>
      </x:c>
      <x:c r="B2119"/>
      <x:c r="C2119"/>
      <x:c r="D2119"/>
      <x:c r="E2119"/>
      <x:c r="F2119"/>
      <x:c r="G2119"/>
      <x:c r="H2119"/>
      <x:c r="I2119"/>
      <x:c r="J2119"/>
    </x:row>
    <x:row r="2120">
      <x:c r="A2120" t="str">
        <x:v>ZS-884650BA72B9</x:v>
      </x:c>
      <x:c r="B2120"/>
      <x:c r="C2120"/>
      <x:c r="D2120"/>
      <x:c r="E2120"/>
      <x:c r="F2120"/>
      <x:c r="G2120"/>
      <x:c r="H2120"/>
      <x:c r="I2120"/>
      <x:c r="J2120"/>
    </x:row>
    <x:row r="2121">
      <x:c r="A2121" t="str">
        <x:v>ZS-ED7851E8FCA1</x:v>
      </x:c>
      <x:c r="B2121"/>
      <x:c r="C2121"/>
      <x:c r="D2121"/>
      <x:c r="E2121"/>
      <x:c r="F2121"/>
      <x:c r="G2121"/>
      <x:c r="H2121"/>
      <x:c r="I2121"/>
      <x:c r="J2121"/>
    </x:row>
    <x:row r="2122">
      <x:c r="A2122" t="str">
        <x:v>ZS-73D97E25E00B</x:v>
      </x:c>
      <x:c r="B2122"/>
      <x:c r="C2122"/>
      <x:c r="D2122"/>
      <x:c r="E2122"/>
      <x:c r="F2122"/>
      <x:c r="G2122"/>
      <x:c r="H2122"/>
      <x:c r="I2122"/>
      <x:c r="J2122"/>
    </x:row>
    <x:row r="2123">
      <x:c r="A2123" t="str">
        <x:v>ZS-0696A2CCC52A</x:v>
      </x:c>
      <x:c r="B2123"/>
      <x:c r="C2123"/>
      <x:c r="D2123"/>
      <x:c r="E2123"/>
      <x:c r="F2123"/>
      <x:c r="G2123"/>
      <x:c r="H2123"/>
      <x:c r="I2123"/>
      <x:c r="J2123"/>
    </x:row>
    <x:row r="2124">
      <x:c r="A2124" t="str">
        <x:v>ZS-E26FA4BAFB94</x:v>
      </x:c>
      <x:c r="B2124"/>
      <x:c r="C2124"/>
      <x:c r="D2124"/>
      <x:c r="E2124"/>
      <x:c r="F2124"/>
      <x:c r="G2124"/>
      <x:c r="H2124"/>
      <x:c r="I2124"/>
      <x:c r="J2124"/>
    </x:row>
    <x:row r="2125">
      <x:c r="A2125" t="str">
        <x:v>ZS-F8C8D65971E8</x:v>
      </x:c>
      <x:c r="B2125"/>
      <x:c r="C2125"/>
      <x:c r="D2125"/>
      <x:c r="E2125"/>
      <x:c r="F2125"/>
      <x:c r="G2125"/>
      <x:c r="H2125"/>
      <x:c r="I2125"/>
      <x:c r="J2125"/>
    </x:row>
    <x:row r="2126">
      <x:c r="A2126" t="str">
        <x:v>ZS-B5DEDDB0F3C7</x:v>
      </x:c>
      <x:c r="B2126"/>
      <x:c r="C2126"/>
      <x:c r="D2126"/>
      <x:c r="E2126"/>
      <x:c r="F2126"/>
      <x:c r="G2126"/>
      <x:c r="H2126"/>
      <x:c r="I2126"/>
      <x:c r="J2126"/>
    </x:row>
    <x:row r="2127">
      <x:c r="A2127" t="str">
        <x:v>ZS-2577185CDB00</x:v>
      </x:c>
      <x:c r="B2127"/>
      <x:c r="C2127"/>
      <x:c r="D2127"/>
      <x:c r="E2127"/>
      <x:c r="F2127"/>
      <x:c r="G2127"/>
      <x:c r="H2127"/>
      <x:c r="I2127"/>
      <x:c r="J2127"/>
    </x:row>
    <x:row r="2128">
      <x:c r="A2128" t="str">
        <x:v>ZS-53C163225127</x:v>
      </x:c>
      <x:c r="B2128"/>
      <x:c r="C2128"/>
      <x:c r="D2128"/>
      <x:c r="E2128"/>
      <x:c r="F2128"/>
      <x:c r="G2128"/>
      <x:c r="H2128"/>
      <x:c r="I2128"/>
      <x:c r="J2128"/>
    </x:row>
    <x:row r="2129">
      <x:c r="A2129" t="str">
        <x:v>ZS-DB23B53F2E7B</x:v>
      </x:c>
      <x:c r="B2129"/>
      <x:c r="C2129"/>
      <x:c r="D2129"/>
      <x:c r="E2129"/>
      <x:c r="F2129"/>
      <x:c r="G2129"/>
      <x:c r="H2129"/>
      <x:c r="I2129"/>
      <x:c r="J2129"/>
    </x:row>
    <x:row r="2130">
      <x:c r="A2130" t="str">
        <x:v>ZS-2687879272B6</x:v>
      </x:c>
      <x:c r="B2130"/>
      <x:c r="C2130"/>
      <x:c r="D2130"/>
      <x:c r="E2130"/>
      <x:c r="F2130"/>
      <x:c r="G2130"/>
      <x:c r="H2130"/>
      <x:c r="I2130"/>
      <x:c r="J2130"/>
    </x:row>
    <x:row r="2131">
      <x:c r="A2131" t="str">
        <x:v>ZS-C5825D62DBBD</x:v>
      </x:c>
      <x:c r="B2131"/>
      <x:c r="C2131"/>
      <x:c r="D2131"/>
      <x:c r="E2131"/>
      <x:c r="F2131"/>
      <x:c r="G2131"/>
      <x:c r="H2131"/>
      <x:c r="I2131"/>
      <x:c r="J2131"/>
    </x:row>
    <x:row r="2132">
      <x:c r="A2132" t="str">
        <x:v>ZS-4E40EABDE1BC</x:v>
      </x:c>
      <x:c r="B2132"/>
      <x:c r="C2132"/>
      <x:c r="D2132"/>
      <x:c r="E2132"/>
      <x:c r="F2132"/>
      <x:c r="G2132"/>
      <x:c r="H2132"/>
      <x:c r="I2132"/>
      <x:c r="J2132"/>
    </x:row>
    <x:row r="2133">
      <x:c r="A2133" t="str">
        <x:v>ZS-DEF95E30F7C2</x:v>
      </x:c>
      <x:c r="B2133"/>
      <x:c r="C2133"/>
      <x:c r="D2133"/>
      <x:c r="E2133"/>
      <x:c r="F2133"/>
      <x:c r="G2133"/>
      <x:c r="H2133"/>
      <x:c r="I2133"/>
      <x:c r="J2133"/>
    </x:row>
    <x:row r="2134">
      <x:c r="A2134" t="str">
        <x:v>ZS-D3547C7188BA</x:v>
      </x:c>
      <x:c r="B2134"/>
      <x:c r="C2134"/>
      <x:c r="D2134"/>
      <x:c r="E2134"/>
      <x:c r="F2134"/>
      <x:c r="G2134"/>
      <x:c r="H2134"/>
      <x:c r="I2134"/>
      <x:c r="J2134"/>
    </x:row>
    <x:row r="2135">
      <x:c r="A2135" t="str">
        <x:v>ZS-13AE7F7F7211</x:v>
      </x:c>
      <x:c r="B2135"/>
      <x:c r="C2135"/>
      <x:c r="D2135"/>
      <x:c r="E2135"/>
      <x:c r="F2135"/>
      <x:c r="G2135"/>
      <x:c r="H2135"/>
      <x:c r="I2135"/>
      <x:c r="J2135"/>
    </x:row>
    <x:row r="2136">
      <x:c r="A2136" t="str">
        <x:v>ZS-DB9FF3E23588</x:v>
      </x:c>
      <x:c r="B2136"/>
      <x:c r="C2136"/>
      <x:c r="D2136"/>
      <x:c r="E2136"/>
      <x:c r="F2136"/>
      <x:c r="G2136"/>
      <x:c r="H2136"/>
      <x:c r="I2136"/>
      <x:c r="J2136"/>
    </x:row>
    <x:row r="2137">
      <x:c r="A2137" t="str">
        <x:v>ZS-3BC1CCA4037F</x:v>
      </x:c>
      <x:c r="B2137"/>
      <x:c r="C2137"/>
      <x:c r="D2137"/>
      <x:c r="E2137"/>
      <x:c r="F2137"/>
      <x:c r="G2137"/>
      <x:c r="H2137"/>
      <x:c r="I2137"/>
      <x:c r="J2137"/>
    </x:row>
    <x:row r="2138">
      <x:c r="A2138" t="str">
        <x:v>ZS-E0A0EF63A6C8</x:v>
      </x:c>
      <x:c r="B2138"/>
      <x:c r="C2138"/>
      <x:c r="D2138"/>
      <x:c r="E2138"/>
      <x:c r="F2138"/>
      <x:c r="G2138"/>
      <x:c r="H2138"/>
      <x:c r="I2138"/>
      <x:c r="J2138"/>
    </x:row>
    <x:row r="2139">
      <x:c r="A2139" t="str">
        <x:v>ZS-C4659DE96092</x:v>
      </x:c>
      <x:c r="B2139"/>
      <x:c r="C2139"/>
      <x:c r="D2139"/>
      <x:c r="E2139"/>
      <x:c r="F2139"/>
      <x:c r="G2139"/>
      <x:c r="H2139"/>
      <x:c r="I2139"/>
      <x:c r="J2139"/>
    </x:row>
    <x:row r="2140">
      <x:c r="A2140" t="str">
        <x:v>ZS-833E54BEF3BF</x:v>
      </x:c>
      <x:c r="B2140"/>
      <x:c r="C2140"/>
      <x:c r="D2140"/>
      <x:c r="E2140"/>
      <x:c r="F2140"/>
      <x:c r="G2140"/>
      <x:c r="H2140"/>
      <x:c r="I2140"/>
      <x:c r="J2140"/>
    </x:row>
    <x:row r="2141">
      <x:c r="A2141" t="str">
        <x:v>ZS-79BEF1D4E855</x:v>
      </x:c>
      <x:c r="B2141"/>
      <x:c r="C2141"/>
      <x:c r="D2141"/>
      <x:c r="E2141"/>
      <x:c r="F2141"/>
      <x:c r="G2141"/>
      <x:c r="H2141"/>
      <x:c r="I2141"/>
      <x:c r="J2141"/>
    </x:row>
    <x:row r="2142">
      <x:c r="A2142" t="str">
        <x:v>ZS-D47AE1787376</x:v>
      </x:c>
      <x:c r="B2142"/>
      <x:c r="C2142"/>
      <x:c r="D2142"/>
      <x:c r="E2142"/>
      <x:c r="F2142"/>
      <x:c r="G2142"/>
      <x:c r="H2142"/>
      <x:c r="I2142"/>
      <x:c r="J2142"/>
    </x:row>
    <x:row r="2143">
      <x:c r="A2143" t="str">
        <x:v>ZS-522AF33BAF64</x:v>
      </x:c>
      <x:c r="B2143"/>
      <x:c r="C2143"/>
      <x:c r="D2143"/>
      <x:c r="E2143"/>
      <x:c r="F2143"/>
      <x:c r="G2143"/>
      <x:c r="H2143"/>
      <x:c r="I2143"/>
      <x:c r="J2143"/>
    </x:row>
    <x:row r="2144">
      <x:c r="A2144" t="str">
        <x:v>ZS-11BF5179CF33</x:v>
      </x:c>
      <x:c r="B2144"/>
      <x:c r="C2144"/>
      <x:c r="D2144"/>
      <x:c r="E2144"/>
      <x:c r="F2144"/>
      <x:c r="G2144"/>
      <x:c r="H2144"/>
      <x:c r="I2144"/>
      <x:c r="J2144"/>
    </x:row>
    <x:row r="2145">
      <x:c r="A2145" t="str">
        <x:v>ZS-BF31211A3163</x:v>
      </x:c>
      <x:c r="B2145"/>
      <x:c r="C2145"/>
      <x:c r="D2145"/>
      <x:c r="E2145"/>
      <x:c r="F2145"/>
      <x:c r="G2145"/>
      <x:c r="H2145"/>
      <x:c r="I2145"/>
      <x:c r="J2145"/>
    </x:row>
    <x:row r="2146">
      <x:c r="A2146" t="str">
        <x:v>ZS-D8635CAD16D7</x:v>
      </x:c>
      <x:c r="B2146"/>
      <x:c r="C2146"/>
      <x:c r="D2146"/>
      <x:c r="E2146"/>
      <x:c r="F2146"/>
      <x:c r="G2146"/>
      <x:c r="H2146"/>
      <x:c r="I2146"/>
      <x:c r="J2146"/>
    </x:row>
    <x:row r="2147">
      <x:c r="A2147" t="str">
        <x:v>ZS-6767DCBF357F</x:v>
      </x:c>
      <x:c r="B2147"/>
      <x:c r="C2147"/>
      <x:c r="D2147"/>
      <x:c r="E2147"/>
      <x:c r="F2147"/>
      <x:c r="G2147"/>
      <x:c r="H2147"/>
      <x:c r="I2147"/>
      <x:c r="J2147"/>
    </x:row>
    <x:row r="2148">
      <x:c r="A2148" t="str">
        <x:v>ZS-13F987D4DD6D</x:v>
      </x:c>
      <x:c r="B2148"/>
      <x:c r="C2148"/>
      <x:c r="D2148"/>
      <x:c r="E2148"/>
      <x:c r="F2148"/>
      <x:c r="G2148"/>
      <x:c r="H2148"/>
      <x:c r="I2148"/>
      <x:c r="J2148"/>
    </x:row>
    <x:row r="2149">
      <x:c r="A2149" t="str">
        <x:v>ZS-1B1EE6655942</x:v>
      </x:c>
      <x:c r="B2149"/>
      <x:c r="C2149"/>
      <x:c r="D2149"/>
      <x:c r="E2149"/>
      <x:c r="F2149"/>
      <x:c r="G2149"/>
      <x:c r="H2149"/>
      <x:c r="I2149"/>
      <x:c r="J2149"/>
    </x:row>
    <x:row r="2150">
      <x:c r="A2150" t="str">
        <x:v>ZS-9B5C48599403</x:v>
      </x:c>
      <x:c r="B2150"/>
      <x:c r="C2150"/>
      <x:c r="D2150"/>
      <x:c r="E2150"/>
      <x:c r="F2150"/>
      <x:c r="G2150"/>
      <x:c r="H2150"/>
      <x:c r="I2150"/>
      <x:c r="J2150"/>
    </x:row>
    <x:row r="2151">
      <x:c r="A2151" t="str">
        <x:v>ZS-5D56C0784575</x:v>
      </x:c>
      <x:c r="B2151"/>
      <x:c r="C2151"/>
      <x:c r="D2151"/>
      <x:c r="E2151"/>
      <x:c r="F2151"/>
      <x:c r="G2151"/>
      <x:c r="H2151"/>
      <x:c r="I2151"/>
      <x:c r="J2151"/>
    </x:row>
    <x:row r="2152">
      <x:c r="A2152" t="str">
        <x:v>ZS-6F8A392A14EA</x:v>
      </x:c>
      <x:c r="B2152"/>
      <x:c r="C2152"/>
      <x:c r="D2152"/>
      <x:c r="E2152"/>
      <x:c r="F2152"/>
      <x:c r="G2152"/>
      <x:c r="H2152"/>
      <x:c r="I2152"/>
      <x:c r="J2152"/>
    </x:row>
    <x:row r="2153">
      <x:c r="A2153" t="str">
        <x:v>ZS-204C5498FBEA</x:v>
      </x:c>
      <x:c r="B2153"/>
      <x:c r="C2153"/>
      <x:c r="D2153"/>
      <x:c r="E2153"/>
      <x:c r="F2153"/>
      <x:c r="G2153"/>
      <x:c r="H2153"/>
      <x:c r="I2153"/>
      <x:c r="J2153"/>
    </x:row>
    <x:row r="2154">
      <x:c r="A2154" t="str">
        <x:v>ZS-4E57646DD514</x:v>
      </x:c>
      <x:c r="B2154"/>
      <x:c r="C2154"/>
      <x:c r="D2154"/>
      <x:c r="E2154"/>
      <x:c r="F2154"/>
      <x:c r="G2154"/>
      <x:c r="H2154"/>
      <x:c r="I2154"/>
      <x:c r="J2154"/>
    </x:row>
    <x:row r="2155">
      <x:c r="A2155" t="str">
        <x:v>ZS-1FD7F7A02162</x:v>
      </x:c>
      <x:c r="B2155"/>
      <x:c r="C2155"/>
      <x:c r="D2155"/>
      <x:c r="E2155"/>
      <x:c r="F2155"/>
      <x:c r="G2155"/>
      <x:c r="H2155"/>
      <x:c r="I2155"/>
      <x:c r="J2155"/>
    </x:row>
    <x:row r="2156">
      <x:c r="A2156" t="str">
        <x:v>ZS-4B91B12E0C77</x:v>
      </x:c>
      <x:c r="B2156"/>
      <x:c r="C2156"/>
      <x:c r="D2156"/>
      <x:c r="E2156"/>
      <x:c r="F2156"/>
      <x:c r="G2156"/>
      <x:c r="H2156"/>
      <x:c r="I2156"/>
      <x:c r="J2156"/>
    </x:row>
    <x:row r="2157">
      <x:c r="A2157" t="str">
        <x:v>ZS-ABAF56A06B24</x:v>
      </x:c>
      <x:c r="B2157"/>
      <x:c r="C2157"/>
      <x:c r="D2157"/>
      <x:c r="E2157"/>
      <x:c r="F2157"/>
      <x:c r="G2157"/>
      <x:c r="H2157"/>
      <x:c r="I2157"/>
      <x:c r="J2157"/>
    </x:row>
    <x:row r="2158">
      <x:c r="A2158" t="str">
        <x:v>ZS-0A8F50B8EDC1</x:v>
      </x:c>
      <x:c r="B2158"/>
      <x:c r="C2158"/>
      <x:c r="D2158"/>
      <x:c r="E2158"/>
      <x:c r="F2158"/>
      <x:c r="G2158"/>
      <x:c r="H2158"/>
      <x:c r="I2158"/>
      <x:c r="J2158"/>
    </x:row>
    <x:row r="2159">
      <x:c r="A2159" t="str">
        <x:v>ZS-DEFD52760985</x:v>
      </x:c>
      <x:c r="B2159"/>
      <x:c r="C2159"/>
      <x:c r="D2159"/>
      <x:c r="E2159"/>
      <x:c r="F2159"/>
      <x:c r="G2159"/>
      <x:c r="H2159"/>
      <x:c r="I2159"/>
      <x:c r="J2159"/>
    </x:row>
    <x:row r="2160">
      <x:c r="A2160" t="str">
        <x:v>ZS-5DB2E7B20956</x:v>
      </x:c>
      <x:c r="B2160"/>
      <x:c r="C2160"/>
      <x:c r="D2160"/>
      <x:c r="E2160"/>
      <x:c r="F2160"/>
      <x:c r="G2160"/>
      <x:c r="H2160"/>
      <x:c r="I2160"/>
      <x:c r="J2160"/>
    </x:row>
    <x:row r="2161">
      <x:c r="A2161" t="str">
        <x:v>ZS-9FC3E22EA13C</x:v>
      </x:c>
      <x:c r="B2161"/>
      <x:c r="C2161"/>
      <x:c r="D2161"/>
      <x:c r="E2161"/>
      <x:c r="F2161"/>
      <x:c r="G2161"/>
      <x:c r="H2161"/>
      <x:c r="I2161"/>
      <x:c r="J2161"/>
    </x:row>
    <x:row r="2162">
      <x:c r="A2162" t="str">
        <x:v>ZS-377B4B1642AB</x:v>
      </x:c>
      <x:c r="B2162"/>
      <x:c r="C2162"/>
      <x:c r="D2162"/>
      <x:c r="E2162"/>
      <x:c r="F2162"/>
      <x:c r="G2162"/>
      <x:c r="H2162"/>
      <x:c r="I2162"/>
      <x:c r="J2162"/>
    </x:row>
    <x:row r="2163">
      <x:c r="A2163" t="str">
        <x:v>ZS-AA914BC17034</x:v>
      </x:c>
      <x:c r="B2163"/>
      <x:c r="C2163"/>
      <x:c r="D2163"/>
      <x:c r="E2163"/>
      <x:c r="F2163"/>
      <x:c r="G2163"/>
      <x:c r="H2163"/>
      <x:c r="I2163"/>
      <x:c r="J2163"/>
    </x:row>
    <x:row r="2164">
      <x:c r="A2164" t="str">
        <x:v>ZS-DEC8D502D71D</x:v>
      </x:c>
      <x:c r="B2164"/>
      <x:c r="C2164"/>
      <x:c r="D2164"/>
      <x:c r="E2164"/>
      <x:c r="F2164"/>
      <x:c r="G2164"/>
      <x:c r="H2164"/>
      <x:c r="I2164"/>
      <x:c r="J2164"/>
    </x:row>
    <x:row r="2165">
      <x:c r="A2165" t="str">
        <x:v>ZS-A7F8EBF51972</x:v>
      </x:c>
      <x:c r="B2165"/>
      <x:c r="C2165"/>
      <x:c r="D2165"/>
      <x:c r="E2165"/>
      <x:c r="F2165"/>
      <x:c r="G2165"/>
      <x:c r="H2165"/>
      <x:c r="I2165"/>
      <x:c r="J2165"/>
    </x:row>
    <x:row r="2166">
      <x:c r="A2166" t="str">
        <x:v>ZS-9F9189F5D519</x:v>
      </x:c>
      <x:c r="B2166"/>
      <x:c r="C2166"/>
      <x:c r="D2166"/>
      <x:c r="E2166"/>
      <x:c r="F2166"/>
      <x:c r="G2166"/>
      <x:c r="H2166"/>
      <x:c r="I2166"/>
      <x:c r="J2166"/>
    </x:row>
    <x:row r="2167">
      <x:c r="A2167" t="str">
        <x:v>ZS-03D88E5333E3</x:v>
      </x:c>
      <x:c r="B2167"/>
      <x:c r="C2167"/>
      <x:c r="D2167"/>
      <x:c r="E2167"/>
      <x:c r="F2167"/>
      <x:c r="G2167"/>
      <x:c r="H2167"/>
      <x:c r="I2167"/>
      <x:c r="J2167"/>
    </x:row>
    <x:row r="2168">
      <x:c r="A2168" t="str">
        <x:v>ZS-FA4B3E40216E</x:v>
      </x:c>
      <x:c r="B2168"/>
      <x:c r="C2168"/>
      <x:c r="D2168"/>
      <x:c r="E2168"/>
      <x:c r="F2168"/>
      <x:c r="G2168"/>
      <x:c r="H2168"/>
      <x:c r="I2168"/>
      <x:c r="J2168"/>
    </x:row>
    <x:row r="2169">
      <x:c r="A2169" t="str">
        <x:v>ZS-1FE45683E831</x:v>
      </x:c>
      <x:c r="B2169"/>
      <x:c r="C2169"/>
      <x:c r="D2169"/>
      <x:c r="E2169"/>
      <x:c r="F2169"/>
      <x:c r="G2169"/>
      <x:c r="H2169"/>
      <x:c r="I2169"/>
      <x:c r="J2169"/>
    </x:row>
    <x:row r="2170">
      <x:c r="A2170" t="str">
        <x:v>ZS-C2BB82178015</x:v>
      </x:c>
      <x:c r="B2170"/>
      <x:c r="C2170"/>
      <x:c r="D2170"/>
      <x:c r="E2170"/>
      <x:c r="F2170"/>
      <x:c r="G2170"/>
      <x:c r="H2170"/>
      <x:c r="I2170"/>
      <x:c r="J2170"/>
    </x:row>
    <x:row r="2171">
      <x:c r="A2171" t="str">
        <x:v>ZS-7BF432FEAFA0</x:v>
      </x:c>
      <x:c r="B2171"/>
      <x:c r="C2171"/>
      <x:c r="D2171"/>
      <x:c r="E2171"/>
      <x:c r="F2171"/>
      <x:c r="G2171"/>
      <x:c r="H2171"/>
      <x:c r="I2171"/>
      <x:c r="J2171"/>
    </x:row>
    <x:row r="2172">
      <x:c r="A2172" t="str">
        <x:v>ZS-6AD690A31F53</x:v>
      </x:c>
      <x:c r="B2172"/>
      <x:c r="C2172"/>
      <x:c r="D2172"/>
      <x:c r="E2172"/>
      <x:c r="F2172"/>
      <x:c r="G2172"/>
      <x:c r="H2172"/>
      <x:c r="I2172"/>
      <x:c r="J2172"/>
    </x:row>
    <x:row r="2173">
      <x:c r="A2173" t="str">
        <x:v>ZS-FBD40C70846A</x:v>
      </x:c>
      <x:c r="B2173"/>
      <x:c r="C2173"/>
      <x:c r="D2173"/>
      <x:c r="E2173"/>
      <x:c r="F2173"/>
      <x:c r="G2173"/>
      <x:c r="H2173"/>
      <x:c r="I2173"/>
      <x:c r="J2173"/>
    </x:row>
    <x:row r="2174">
      <x:c r="A2174" t="str">
        <x:v>ZS-7FC5E8753388</x:v>
      </x:c>
      <x:c r="B2174"/>
      <x:c r="C2174"/>
      <x:c r="D2174"/>
      <x:c r="E2174"/>
      <x:c r="F2174"/>
      <x:c r="G2174"/>
      <x:c r="H2174"/>
      <x:c r="I2174"/>
      <x:c r="J2174"/>
    </x:row>
    <x:row r="2175">
      <x:c r="A2175" t="str">
        <x:v>ZS-4BE7DDFBD734</x:v>
      </x:c>
      <x:c r="B2175"/>
      <x:c r="C2175"/>
      <x:c r="D2175"/>
      <x:c r="E2175"/>
      <x:c r="F2175"/>
      <x:c r="G2175"/>
      <x:c r="H2175"/>
      <x:c r="I2175"/>
      <x:c r="J2175"/>
    </x:row>
    <x:row r="2176">
      <x:c r="A2176" t="str">
        <x:v>ZS-3CBEAAD3395A</x:v>
      </x:c>
      <x:c r="B2176"/>
      <x:c r="C2176"/>
      <x:c r="D2176"/>
      <x:c r="E2176"/>
      <x:c r="F2176"/>
      <x:c r="G2176"/>
      <x:c r="H2176"/>
      <x:c r="I2176"/>
      <x:c r="J2176"/>
    </x:row>
    <x:row r="2177">
      <x:c r="A2177" t="str">
        <x:v>ZS-E3D981CB9228</x:v>
      </x:c>
      <x:c r="B2177"/>
      <x:c r="C2177"/>
      <x:c r="D2177"/>
      <x:c r="E2177"/>
      <x:c r="F2177"/>
      <x:c r="G2177"/>
      <x:c r="H2177"/>
      <x:c r="I2177"/>
      <x:c r="J2177"/>
    </x:row>
    <x:row r="2178">
      <x:c r="A2178" t="str">
        <x:v>ZS-32810D4A554F</x:v>
      </x:c>
      <x:c r="B2178"/>
      <x:c r="C2178"/>
      <x:c r="D2178"/>
      <x:c r="E2178"/>
      <x:c r="F2178"/>
      <x:c r="G2178"/>
      <x:c r="H2178"/>
      <x:c r="I2178"/>
      <x:c r="J2178"/>
    </x:row>
    <x:row r="2179">
      <x:c r="A2179" t="str">
        <x:v>ZS-9906D0617756</x:v>
      </x:c>
      <x:c r="B2179"/>
      <x:c r="C2179"/>
      <x:c r="D2179"/>
      <x:c r="E2179"/>
      <x:c r="F2179"/>
      <x:c r="G2179"/>
      <x:c r="H2179"/>
      <x:c r="I2179"/>
      <x:c r="J2179"/>
    </x:row>
    <x:row r="2180">
      <x:c r="A2180" t="str">
        <x:v>ZS-45041B575935</x:v>
      </x:c>
      <x:c r="B2180"/>
      <x:c r="C2180"/>
      <x:c r="D2180"/>
      <x:c r="E2180"/>
      <x:c r="F2180"/>
      <x:c r="G2180"/>
      <x:c r="H2180"/>
      <x:c r="I2180"/>
      <x:c r="J2180"/>
    </x:row>
    <x:row r="2181">
      <x:c r="A2181" t="str">
        <x:v>ZS-0050CA338AE5</x:v>
      </x:c>
      <x:c r="B2181"/>
      <x:c r="C2181"/>
      <x:c r="D2181"/>
      <x:c r="E2181"/>
      <x:c r="F2181"/>
      <x:c r="G2181"/>
      <x:c r="H2181"/>
      <x:c r="I2181"/>
      <x:c r="J2181"/>
    </x:row>
    <x:row r="2182">
      <x:c r="A2182" t="str">
        <x:v>ZS-910E5F047A31</x:v>
      </x:c>
      <x:c r="B2182"/>
      <x:c r="C2182"/>
      <x:c r="D2182"/>
      <x:c r="E2182"/>
      <x:c r="F2182"/>
      <x:c r="G2182"/>
      <x:c r="H2182"/>
      <x:c r="I2182"/>
      <x:c r="J2182"/>
    </x:row>
    <x:row r="2183">
      <x:c r="A2183" t="str">
        <x:v>ZS-AF3F15983968</x:v>
      </x:c>
      <x:c r="B2183"/>
      <x:c r="C2183"/>
      <x:c r="D2183"/>
      <x:c r="E2183"/>
      <x:c r="F2183"/>
      <x:c r="G2183"/>
      <x:c r="H2183"/>
      <x:c r="I2183"/>
      <x:c r="J2183"/>
    </x:row>
    <x:row r="2184">
      <x:c r="A2184" t="str">
        <x:v>ZS-15185514DD82</x:v>
      </x:c>
      <x:c r="B2184"/>
      <x:c r="C2184"/>
      <x:c r="D2184"/>
      <x:c r="E2184"/>
      <x:c r="F2184"/>
      <x:c r="G2184"/>
      <x:c r="H2184"/>
      <x:c r="I2184"/>
      <x:c r="J2184"/>
    </x:row>
    <x:row r="2185">
      <x:c r="A2185" t="str">
        <x:v>ZS-C5CCCD169629</x:v>
      </x:c>
      <x:c r="B2185"/>
      <x:c r="C2185"/>
      <x:c r="D2185"/>
      <x:c r="E2185"/>
      <x:c r="F2185"/>
      <x:c r="G2185"/>
      <x:c r="H2185"/>
      <x:c r="I2185"/>
      <x:c r="J2185"/>
    </x:row>
    <x:row r="2186">
      <x:c r="A2186" t="str">
        <x:v>ZS-AC2DF9045AC7</x:v>
      </x:c>
      <x:c r="B2186"/>
      <x:c r="C2186"/>
      <x:c r="D2186"/>
      <x:c r="E2186"/>
      <x:c r="F2186"/>
      <x:c r="G2186"/>
      <x:c r="H2186"/>
      <x:c r="I2186"/>
      <x:c r="J2186"/>
    </x:row>
    <x:row r="2187">
      <x:c r="A2187" t="str">
        <x:v>ZS-CB90A7B154A6</x:v>
      </x:c>
      <x:c r="B2187"/>
      <x:c r="C2187"/>
      <x:c r="D2187"/>
      <x:c r="E2187"/>
      <x:c r="F2187"/>
      <x:c r="G2187"/>
      <x:c r="H2187"/>
      <x:c r="I2187"/>
      <x:c r="J2187"/>
    </x:row>
    <x:row r="2188">
      <x:c r="A2188" t="str">
        <x:v>ZS-4F8C097929C4</x:v>
      </x:c>
      <x:c r="B2188"/>
      <x:c r="C2188"/>
      <x:c r="D2188"/>
      <x:c r="E2188"/>
      <x:c r="F2188"/>
      <x:c r="G2188"/>
      <x:c r="H2188"/>
      <x:c r="I2188"/>
      <x:c r="J2188"/>
    </x:row>
    <x:row r="2189">
      <x:c r="A2189" t="str">
        <x:v>ZS-88BF4DB709A9</x:v>
      </x:c>
      <x:c r="B2189"/>
      <x:c r="C2189"/>
      <x:c r="D2189"/>
      <x:c r="E2189"/>
      <x:c r="F2189"/>
      <x:c r="G2189"/>
      <x:c r="H2189"/>
      <x:c r="I2189"/>
      <x:c r="J2189"/>
    </x:row>
    <x:row r="2190">
      <x:c r="A2190" t="str">
        <x:v>ZS-6A7E6F647E55</x:v>
      </x:c>
      <x:c r="B2190"/>
      <x:c r="C2190"/>
      <x:c r="D2190"/>
      <x:c r="E2190"/>
      <x:c r="F2190"/>
      <x:c r="G2190"/>
      <x:c r="H2190"/>
      <x:c r="I2190"/>
      <x:c r="J2190"/>
    </x:row>
    <x:row r="2191">
      <x:c r="A2191" t="str">
        <x:v>ZS-32DD3C4E37D8</x:v>
      </x:c>
      <x:c r="B2191"/>
      <x:c r="C2191"/>
      <x:c r="D2191"/>
      <x:c r="E2191"/>
      <x:c r="F2191"/>
      <x:c r="G2191"/>
      <x:c r="H2191"/>
      <x:c r="I2191"/>
      <x:c r="J2191"/>
    </x:row>
    <x:row r="2192">
      <x:c r="A2192" t="str">
        <x:v>ZS-0106E8245FD6</x:v>
      </x:c>
      <x:c r="B2192"/>
      <x:c r="C2192"/>
      <x:c r="D2192"/>
      <x:c r="E2192"/>
      <x:c r="F2192"/>
      <x:c r="G2192"/>
      <x:c r="H2192"/>
      <x:c r="I2192"/>
      <x:c r="J2192"/>
    </x:row>
    <x:row r="2193">
      <x:c r="A2193" t="str">
        <x:v>ZS-1611ECC305B9</x:v>
      </x:c>
      <x:c r="B2193"/>
      <x:c r="C2193"/>
      <x:c r="D2193"/>
      <x:c r="E2193"/>
      <x:c r="F2193"/>
      <x:c r="G2193"/>
      <x:c r="H2193"/>
      <x:c r="I2193"/>
      <x:c r="J2193"/>
    </x:row>
    <x:row r="2194">
      <x:c r="A2194" t="str">
        <x:v>ZS-8666421ED909</x:v>
      </x:c>
      <x:c r="B2194"/>
      <x:c r="C2194"/>
      <x:c r="D2194"/>
      <x:c r="E2194"/>
      <x:c r="F2194"/>
      <x:c r="G2194"/>
      <x:c r="H2194"/>
      <x:c r="I2194"/>
      <x:c r="J2194"/>
    </x:row>
    <x:row r="2195">
      <x:c r="A2195" t="str">
        <x:v>ZS-48428DA97084</x:v>
      </x:c>
      <x:c r="B2195"/>
      <x:c r="C2195"/>
      <x:c r="D2195"/>
      <x:c r="E2195"/>
      <x:c r="F2195"/>
      <x:c r="G2195"/>
      <x:c r="H2195"/>
      <x:c r="I2195"/>
      <x:c r="J2195"/>
    </x:row>
    <x:row r="2196">
      <x:c r="A2196" t="str">
        <x:v>ZS-30D783228D5D</x:v>
      </x:c>
      <x:c r="B2196"/>
      <x:c r="C2196"/>
      <x:c r="D2196"/>
      <x:c r="E2196"/>
      <x:c r="F2196"/>
      <x:c r="G2196"/>
      <x:c r="H2196"/>
      <x:c r="I2196"/>
      <x:c r="J2196"/>
    </x:row>
    <x:row r="2197">
      <x:c r="A2197" t="str">
        <x:v>ZS-C77FA865AD68</x:v>
      </x:c>
      <x:c r="B2197"/>
      <x:c r="C2197"/>
      <x:c r="D2197"/>
      <x:c r="E2197"/>
      <x:c r="F2197"/>
      <x:c r="G2197"/>
      <x:c r="H2197"/>
      <x:c r="I2197"/>
      <x:c r="J2197"/>
    </x:row>
    <x:row r="2198">
      <x:c r="A2198" t="str">
        <x:v>ZS-2008A16C4006</x:v>
      </x:c>
      <x:c r="B2198"/>
      <x:c r="C2198"/>
      <x:c r="D2198"/>
      <x:c r="E2198"/>
      <x:c r="F2198"/>
      <x:c r="G2198"/>
      <x:c r="H2198"/>
      <x:c r="I2198"/>
      <x:c r="J2198"/>
    </x:row>
    <x:row r="2199">
      <x:c r="A2199" t="str">
        <x:v>ZS-8E985875C438</x:v>
      </x:c>
      <x:c r="B2199"/>
      <x:c r="C2199"/>
      <x:c r="D2199"/>
      <x:c r="E2199"/>
      <x:c r="F2199"/>
      <x:c r="G2199"/>
      <x:c r="H2199"/>
      <x:c r="I2199"/>
      <x:c r="J2199"/>
    </x:row>
    <x:row r="2200">
      <x:c r="A2200" t="str">
        <x:v>ZS-49B98317182A</x:v>
      </x:c>
      <x:c r="B2200"/>
      <x:c r="C2200"/>
      <x:c r="D2200"/>
      <x:c r="E2200"/>
      <x:c r="F2200"/>
      <x:c r="G2200"/>
      <x:c r="H2200"/>
      <x:c r="I2200"/>
      <x:c r="J2200"/>
    </x:row>
    <x:row r="2201">
      <x:c r="A2201" t="str">
        <x:v>ZS-EA465108E1D1</x:v>
      </x:c>
      <x:c r="B2201"/>
      <x:c r="C2201"/>
      <x:c r="D2201"/>
      <x:c r="E2201"/>
      <x:c r="F2201"/>
      <x:c r="G2201"/>
      <x:c r="H2201"/>
      <x:c r="I2201"/>
      <x:c r="J2201"/>
    </x:row>
    <x:row r="2202">
      <x:c r="A2202" t="str">
        <x:v>ZS-ECA2ADD53A0B</x:v>
      </x:c>
      <x:c r="B2202"/>
      <x:c r="C2202"/>
      <x:c r="D2202"/>
      <x:c r="E2202"/>
      <x:c r="F2202"/>
      <x:c r="G2202"/>
      <x:c r="H2202"/>
      <x:c r="I2202"/>
      <x:c r="J2202"/>
    </x:row>
    <x:row r="2203">
      <x:c r="A2203" t="str">
        <x:v>ZS-3FE98AB6768B</x:v>
      </x:c>
      <x:c r="B2203"/>
      <x:c r="C2203"/>
      <x:c r="D2203"/>
      <x:c r="E2203"/>
      <x:c r="F2203"/>
      <x:c r="G2203"/>
      <x:c r="H2203"/>
      <x:c r="I2203"/>
      <x:c r="J2203"/>
    </x:row>
    <x:row r="2204">
      <x:c r="A2204" t="str">
        <x:v>ZS-F2EB407960A5</x:v>
      </x:c>
      <x:c r="B2204"/>
      <x:c r="C2204"/>
      <x:c r="D2204"/>
      <x:c r="E2204"/>
      <x:c r="F2204"/>
      <x:c r="G2204"/>
      <x:c r="H2204"/>
      <x:c r="I2204"/>
      <x:c r="J2204"/>
    </x:row>
    <x:row r="2205">
      <x:c r="A2205" t="str">
        <x:v>ZS-2345B5EA1CC3</x:v>
      </x:c>
      <x:c r="B2205"/>
      <x:c r="C2205"/>
      <x:c r="D2205"/>
      <x:c r="E2205"/>
      <x:c r="F2205"/>
      <x:c r="G2205"/>
      <x:c r="H2205"/>
      <x:c r="I2205"/>
      <x:c r="J2205"/>
    </x:row>
    <x:row r="2206">
      <x:c r="A2206" t="str">
        <x:v>ZS-72D5841D36BE</x:v>
      </x:c>
      <x:c r="B2206"/>
      <x:c r="C2206"/>
      <x:c r="D2206"/>
      <x:c r="E2206"/>
      <x:c r="F2206"/>
      <x:c r="G2206"/>
      <x:c r="H2206"/>
      <x:c r="I2206"/>
      <x:c r="J2206"/>
    </x:row>
    <x:row r="2207">
      <x:c r="A2207" t="str">
        <x:v>ZS-A2FC5717EC69</x:v>
      </x:c>
      <x:c r="B2207"/>
      <x:c r="C2207"/>
      <x:c r="D2207"/>
      <x:c r="E2207"/>
      <x:c r="F2207"/>
      <x:c r="G2207"/>
      <x:c r="H2207"/>
      <x:c r="I2207"/>
      <x:c r="J2207"/>
    </x:row>
    <x:row r="2208">
      <x:c r="A2208" t="str">
        <x:v>ZS-48CA5574646E</x:v>
      </x:c>
      <x:c r="B2208"/>
      <x:c r="C2208"/>
      <x:c r="D2208"/>
      <x:c r="E2208"/>
      <x:c r="F2208"/>
      <x:c r="G2208"/>
      <x:c r="H2208"/>
      <x:c r="I2208"/>
      <x:c r="J2208"/>
    </x:row>
    <x:row r="2209">
      <x:c r="A2209" t="str">
        <x:v>ZS-0AE3AD14D378</x:v>
      </x:c>
      <x:c r="B2209"/>
      <x:c r="C2209"/>
      <x:c r="D2209"/>
      <x:c r="E2209"/>
      <x:c r="F2209"/>
      <x:c r="G2209"/>
      <x:c r="H2209"/>
      <x:c r="I2209"/>
      <x:c r="J2209"/>
    </x:row>
    <x:row r="2210">
      <x:c r="A2210" t="str">
        <x:v>ZS-1EACC9D2DCA9</x:v>
      </x:c>
      <x:c r="B2210"/>
      <x:c r="C2210"/>
      <x:c r="D2210"/>
      <x:c r="E2210"/>
      <x:c r="F2210"/>
      <x:c r="G2210"/>
      <x:c r="H2210"/>
      <x:c r="I2210"/>
      <x:c r="J2210"/>
    </x:row>
    <x:row r="2211">
      <x:c r="A2211" t="str">
        <x:v>ZS-6AB67AA82C4E</x:v>
      </x:c>
      <x:c r="B2211"/>
      <x:c r="C2211"/>
      <x:c r="D2211"/>
      <x:c r="E2211"/>
      <x:c r="F2211"/>
      <x:c r="G2211"/>
      <x:c r="H2211"/>
      <x:c r="I2211"/>
      <x:c r="J2211"/>
    </x:row>
    <x:row r="2212">
      <x:c r="A2212" t="str">
        <x:v>ZS-E440B50537A5</x:v>
      </x:c>
      <x:c r="B2212"/>
      <x:c r="C2212"/>
      <x:c r="D2212"/>
      <x:c r="E2212"/>
      <x:c r="F2212"/>
      <x:c r="G2212"/>
      <x:c r="H2212"/>
      <x:c r="I2212"/>
      <x:c r="J2212"/>
    </x:row>
    <x:row r="2213">
      <x:c r="A2213" t="str">
        <x:v>ZS-3CD37A2389DB</x:v>
      </x:c>
      <x:c r="B2213"/>
      <x:c r="C2213"/>
      <x:c r="D2213"/>
      <x:c r="E2213"/>
      <x:c r="F2213"/>
      <x:c r="G2213"/>
      <x:c r="H2213"/>
      <x:c r="I2213"/>
      <x:c r="J2213"/>
    </x:row>
    <x:row r="2214">
      <x:c r="A2214" t="str">
        <x:v>ZS-B7B75A3CD91B</x:v>
      </x:c>
      <x:c r="B2214"/>
      <x:c r="C2214"/>
      <x:c r="D2214"/>
      <x:c r="E2214"/>
      <x:c r="F2214"/>
      <x:c r="G2214"/>
      <x:c r="H2214"/>
      <x:c r="I2214"/>
      <x:c r="J2214"/>
    </x:row>
    <x:row r="2215">
      <x:c r="A2215" t="str">
        <x:v>ZS-818B5C6AEA7A</x:v>
      </x:c>
      <x:c r="B2215"/>
      <x:c r="C2215"/>
      <x:c r="D2215"/>
      <x:c r="E2215"/>
      <x:c r="F2215"/>
      <x:c r="G2215"/>
      <x:c r="H2215"/>
      <x:c r="I2215"/>
      <x:c r="J2215"/>
    </x:row>
    <x:row r="2216">
      <x:c r="A2216" t="str">
        <x:v>ZS-59B9B0BBB84D</x:v>
      </x:c>
      <x:c r="B2216"/>
      <x:c r="C2216"/>
      <x:c r="D2216"/>
      <x:c r="E2216"/>
      <x:c r="F2216"/>
      <x:c r="G2216"/>
      <x:c r="H2216"/>
      <x:c r="I2216"/>
      <x:c r="J2216"/>
    </x:row>
    <x:row r="2217">
      <x:c r="A2217" t="str">
        <x:v>ZS-B6D2B9900C48</x:v>
      </x:c>
      <x:c r="B2217"/>
      <x:c r="C2217"/>
      <x:c r="D2217"/>
      <x:c r="E2217"/>
      <x:c r="F2217"/>
      <x:c r="G2217"/>
      <x:c r="H2217"/>
      <x:c r="I2217"/>
      <x:c r="J2217"/>
    </x:row>
    <x:row r="2218">
      <x:c r="A2218" t="str">
        <x:v>ZS-87EAFC410AB9</x:v>
      </x:c>
      <x:c r="B2218"/>
      <x:c r="C2218"/>
      <x:c r="D2218"/>
      <x:c r="E2218"/>
      <x:c r="F2218"/>
      <x:c r="G2218"/>
      <x:c r="H2218"/>
      <x:c r="I2218"/>
      <x:c r="J2218"/>
    </x:row>
    <x:row r="2219">
      <x:c r="A2219" t="str">
        <x:v>ZS-2ACC6B684308</x:v>
      </x:c>
      <x:c r="B2219"/>
      <x:c r="C2219"/>
      <x:c r="D2219"/>
      <x:c r="E2219"/>
      <x:c r="F2219"/>
      <x:c r="G2219"/>
      <x:c r="H2219"/>
      <x:c r="I2219"/>
      <x:c r="J2219"/>
    </x:row>
    <x:row r="2220">
      <x:c r="A2220" t="str">
        <x:v>ZS-A9A5464911C1</x:v>
      </x:c>
      <x:c r="B2220"/>
      <x:c r="C2220"/>
      <x:c r="D2220"/>
      <x:c r="E2220"/>
      <x:c r="F2220"/>
      <x:c r="G2220"/>
      <x:c r="H2220"/>
      <x:c r="I2220"/>
      <x:c r="J2220"/>
    </x:row>
    <x:row r="2221">
      <x:c r="A2221" t="str">
        <x:v>ZS-090ECC7D4BFB</x:v>
      </x:c>
      <x:c r="B2221"/>
      <x:c r="C2221"/>
      <x:c r="D2221"/>
      <x:c r="E2221"/>
      <x:c r="F2221"/>
      <x:c r="G2221"/>
      <x:c r="H2221"/>
      <x:c r="I2221"/>
      <x:c r="J2221"/>
    </x:row>
    <x:row r="2222">
      <x:c r="A2222" t="str">
        <x:v>ZS-2DF009AC1845</x:v>
      </x:c>
      <x:c r="B2222"/>
      <x:c r="C2222"/>
      <x:c r="D2222"/>
      <x:c r="E2222"/>
      <x:c r="F2222"/>
      <x:c r="G2222"/>
      <x:c r="H2222"/>
      <x:c r="I2222"/>
      <x:c r="J2222"/>
    </x:row>
    <x:row r="2223">
      <x:c r="A2223" t="str">
        <x:v>ZS-5BA647271129</x:v>
      </x:c>
      <x:c r="B2223"/>
      <x:c r="C2223"/>
      <x:c r="D2223"/>
      <x:c r="E2223"/>
      <x:c r="F2223"/>
      <x:c r="G2223"/>
      <x:c r="H2223"/>
      <x:c r="I2223"/>
      <x:c r="J2223"/>
    </x:row>
    <x:row r="2224">
      <x:c r="A2224" t="str">
        <x:v>ZS-7C3D3DF38EFA</x:v>
      </x:c>
      <x:c r="B2224"/>
      <x:c r="C2224"/>
      <x:c r="D2224"/>
      <x:c r="E2224"/>
      <x:c r="F2224"/>
      <x:c r="G2224"/>
      <x:c r="H2224"/>
      <x:c r="I2224"/>
      <x:c r="J2224"/>
    </x:row>
    <x:row r="2225">
      <x:c r="A2225" t="str">
        <x:v>ZS-A434DB7C42A4</x:v>
      </x:c>
      <x:c r="B2225"/>
      <x:c r="C2225"/>
      <x:c r="D2225"/>
      <x:c r="E2225"/>
      <x:c r="F2225"/>
      <x:c r="G2225"/>
      <x:c r="H2225"/>
      <x:c r="I2225"/>
      <x:c r="J2225"/>
    </x:row>
    <x:row r="2226">
      <x:c r="A2226" t="str">
        <x:v>ZS-D7B1AEA59B09</x:v>
      </x:c>
      <x:c r="B2226"/>
      <x:c r="C2226"/>
      <x:c r="D2226"/>
      <x:c r="E2226"/>
      <x:c r="F2226"/>
      <x:c r="G2226"/>
      <x:c r="H2226"/>
      <x:c r="I2226"/>
      <x:c r="J2226"/>
    </x:row>
    <x:row r="2227">
      <x:c r="A2227" t="str">
        <x:v>ZS-CF7A576A9BCA</x:v>
      </x:c>
      <x:c r="B2227"/>
      <x:c r="C2227"/>
      <x:c r="D2227"/>
      <x:c r="E2227"/>
      <x:c r="F2227"/>
      <x:c r="G2227"/>
      <x:c r="H2227"/>
      <x:c r="I2227"/>
      <x:c r="J2227"/>
    </x:row>
    <x:row r="2228">
      <x:c r="A2228" t="str">
        <x:v>ZS-D0C357F82F6D</x:v>
      </x:c>
      <x:c r="B2228"/>
      <x:c r="C2228"/>
      <x:c r="D2228"/>
      <x:c r="E2228"/>
      <x:c r="F2228"/>
      <x:c r="G2228"/>
      <x:c r="H2228"/>
      <x:c r="I2228"/>
      <x:c r="J2228"/>
    </x:row>
    <x:row r="2229">
      <x:c r="A2229" t="str">
        <x:v>ZS-FA4C90E9A954</x:v>
      </x:c>
      <x:c r="B2229"/>
      <x:c r="C2229"/>
      <x:c r="D2229"/>
      <x:c r="E2229"/>
      <x:c r="F2229"/>
      <x:c r="G2229"/>
      <x:c r="H2229"/>
      <x:c r="I2229"/>
      <x:c r="J2229"/>
    </x:row>
    <x:row r="2230">
      <x:c r="A2230" t="str">
        <x:v>ZS-7FF0AC033E11</x:v>
      </x:c>
      <x:c r="B2230"/>
      <x:c r="C2230"/>
      <x:c r="D2230"/>
      <x:c r="E2230"/>
      <x:c r="F2230"/>
      <x:c r="G2230"/>
      <x:c r="H2230"/>
      <x:c r="I2230"/>
      <x:c r="J2230"/>
    </x:row>
    <x:row r="2231">
      <x:c r="A2231" t="str">
        <x:v>ZS-E054F2DEE285</x:v>
      </x:c>
      <x:c r="B2231"/>
      <x:c r="C2231"/>
      <x:c r="D2231"/>
      <x:c r="E2231"/>
      <x:c r="F2231"/>
      <x:c r="G2231"/>
      <x:c r="H2231"/>
      <x:c r="I2231"/>
      <x:c r="J2231"/>
    </x:row>
    <x:row r="2232">
      <x:c r="A2232" t="str">
        <x:v>ZS-87CF753BBE15</x:v>
      </x:c>
      <x:c r="B2232"/>
      <x:c r="C2232"/>
      <x:c r="D2232"/>
      <x:c r="E2232"/>
      <x:c r="F2232"/>
      <x:c r="G2232"/>
      <x:c r="H2232"/>
      <x:c r="I2232"/>
      <x:c r="J2232"/>
    </x:row>
    <x:row r="2233">
      <x:c r="A2233" t="str">
        <x:v>ZS-5E9886E5F6B2</x:v>
      </x:c>
      <x:c r="B2233"/>
      <x:c r="C2233"/>
      <x:c r="D2233"/>
      <x:c r="E2233"/>
      <x:c r="F2233"/>
      <x:c r="G2233"/>
      <x:c r="H2233"/>
      <x:c r="I2233"/>
      <x:c r="J2233"/>
    </x:row>
    <x:row r="2234">
      <x:c r="A2234" t="str">
        <x:v>ZS-770450DDB0DC</x:v>
      </x:c>
      <x:c r="B2234"/>
      <x:c r="C2234"/>
      <x:c r="D2234"/>
      <x:c r="E2234"/>
      <x:c r="F2234"/>
      <x:c r="G2234"/>
      <x:c r="H2234"/>
      <x:c r="I2234"/>
      <x:c r="J2234"/>
    </x:row>
    <x:row r="2235">
      <x:c r="A2235" t="str">
        <x:v>ZS-24FFB382BB73</x:v>
      </x:c>
      <x:c r="B2235"/>
      <x:c r="C2235"/>
      <x:c r="D2235"/>
      <x:c r="E2235"/>
      <x:c r="F2235"/>
      <x:c r="G2235"/>
      <x:c r="H2235"/>
      <x:c r="I2235"/>
      <x:c r="J2235"/>
    </x:row>
    <x:row r="2236">
      <x:c r="A2236" t="str">
        <x:v>ZS-B7EC101E4CE5</x:v>
      </x:c>
      <x:c r="B2236"/>
      <x:c r="C2236"/>
      <x:c r="D2236"/>
      <x:c r="E2236"/>
      <x:c r="F2236"/>
      <x:c r="G2236"/>
      <x:c r="H2236"/>
      <x:c r="I2236"/>
      <x:c r="J2236"/>
    </x:row>
    <x:row r="2237">
      <x:c r="A2237" t="str">
        <x:v>ZS-8F55ECE6DD03</x:v>
      </x:c>
      <x:c r="B2237"/>
      <x:c r="C2237"/>
      <x:c r="D2237"/>
      <x:c r="E2237"/>
      <x:c r="F2237"/>
      <x:c r="G2237"/>
      <x:c r="H2237"/>
      <x:c r="I2237"/>
      <x:c r="J2237"/>
    </x:row>
    <x:row r="2238">
      <x:c r="A2238" t="str">
        <x:v>ZS-FB752BE8A2FE</x:v>
      </x:c>
      <x:c r="B2238"/>
      <x:c r="C2238"/>
      <x:c r="D2238"/>
      <x:c r="E2238"/>
      <x:c r="F2238"/>
      <x:c r="G2238"/>
      <x:c r="H2238"/>
      <x:c r="I2238"/>
      <x:c r="J2238"/>
    </x:row>
    <x:row r="2239">
      <x:c r="A2239" t="str">
        <x:v>ZS-485DB5D499FE</x:v>
      </x:c>
      <x:c r="B2239"/>
      <x:c r="C2239"/>
      <x:c r="D2239"/>
      <x:c r="E2239"/>
      <x:c r="F2239"/>
      <x:c r="G2239"/>
      <x:c r="H2239"/>
      <x:c r="I2239"/>
      <x:c r="J2239"/>
    </x:row>
    <x:row r="2240">
      <x:c r="A2240" t="str">
        <x:v>ZS-6B375E09AFFE</x:v>
      </x:c>
      <x:c r="B2240"/>
      <x:c r="C2240"/>
      <x:c r="D2240"/>
      <x:c r="E2240"/>
      <x:c r="F2240"/>
      <x:c r="G2240"/>
      <x:c r="H2240"/>
      <x:c r="I2240"/>
      <x:c r="J2240"/>
    </x:row>
    <x:row r="2241">
      <x:c r="A2241" t="str">
        <x:v>ZS-33B5A386CC5B</x:v>
      </x:c>
      <x:c r="B2241"/>
      <x:c r="C2241"/>
      <x:c r="D2241"/>
      <x:c r="E2241"/>
      <x:c r="F2241"/>
      <x:c r="G2241"/>
      <x:c r="H2241"/>
      <x:c r="I2241"/>
      <x:c r="J2241"/>
    </x:row>
    <x:row r="2242">
      <x:c r="A2242" t="str">
        <x:v>ZS-FCED23C15A83</x:v>
      </x:c>
      <x:c r="B2242"/>
      <x:c r="C2242"/>
      <x:c r="D2242"/>
      <x:c r="E2242"/>
      <x:c r="F2242"/>
      <x:c r="G2242"/>
      <x:c r="H2242"/>
      <x:c r="I2242"/>
      <x:c r="J2242"/>
    </x:row>
    <x:row r="2243">
      <x:c r="A2243" t="str">
        <x:v>ZS-5548B2340B0D</x:v>
      </x:c>
      <x:c r="B2243"/>
      <x:c r="C2243"/>
      <x:c r="D2243"/>
      <x:c r="E2243"/>
      <x:c r="F2243"/>
      <x:c r="G2243"/>
      <x:c r="H2243"/>
      <x:c r="I2243"/>
      <x:c r="J2243"/>
    </x:row>
    <x:row r="2244">
      <x:c r="A2244" t="str">
        <x:v>ZS-AF840D4B47DF</x:v>
      </x:c>
      <x:c r="B2244"/>
      <x:c r="C2244"/>
      <x:c r="D2244"/>
      <x:c r="E2244"/>
      <x:c r="F2244"/>
      <x:c r="G2244"/>
      <x:c r="H2244"/>
      <x:c r="I2244"/>
      <x:c r="J2244"/>
    </x:row>
    <x:row r="2245">
      <x:c r="A2245" t="str">
        <x:v>ZS-0E6A7111073C</x:v>
      </x:c>
      <x:c r="B2245"/>
      <x:c r="C2245"/>
      <x:c r="D2245"/>
      <x:c r="E2245"/>
      <x:c r="F2245"/>
      <x:c r="G2245"/>
      <x:c r="H2245"/>
      <x:c r="I2245"/>
      <x:c r="J2245"/>
    </x:row>
    <x:row r="2246">
      <x:c r="A2246" t="str">
        <x:v>ZS-54BBABE67BA6</x:v>
      </x:c>
      <x:c r="B2246"/>
      <x:c r="C2246"/>
      <x:c r="D2246"/>
      <x:c r="E2246"/>
      <x:c r="F2246"/>
      <x:c r="G2246"/>
      <x:c r="H2246"/>
      <x:c r="I2246"/>
      <x:c r="J2246"/>
    </x:row>
    <x:row r="2247">
      <x:c r="A2247" t="str">
        <x:v>ZS-E5D91A79DCAE</x:v>
      </x:c>
      <x:c r="B2247"/>
      <x:c r="C2247"/>
      <x:c r="D2247"/>
      <x:c r="E2247"/>
      <x:c r="F2247"/>
      <x:c r="G2247"/>
      <x:c r="H2247"/>
      <x:c r="I2247"/>
      <x:c r="J2247"/>
    </x:row>
    <x:row r="2248">
      <x:c r="A2248" t="str">
        <x:v>ZS-503EFEFD7271</x:v>
      </x:c>
      <x:c r="B2248"/>
      <x:c r="C2248"/>
      <x:c r="D2248"/>
      <x:c r="E2248"/>
      <x:c r="F2248"/>
      <x:c r="G2248"/>
      <x:c r="H2248"/>
      <x:c r="I2248"/>
      <x:c r="J2248"/>
    </x:row>
    <x:row r="2249">
      <x:c r="A2249" t="str">
        <x:v>ZS-AC4377737D45</x:v>
      </x:c>
      <x:c r="B2249"/>
      <x:c r="C2249"/>
      <x:c r="D2249"/>
      <x:c r="E2249"/>
      <x:c r="F2249"/>
      <x:c r="G2249"/>
      <x:c r="H2249"/>
      <x:c r="I2249"/>
      <x:c r="J2249"/>
    </x:row>
    <x:row r="2250">
      <x:c r="A2250" t="str">
        <x:v>ZS-4E920321ADED</x:v>
      </x:c>
      <x:c r="B2250"/>
      <x:c r="C2250"/>
      <x:c r="D2250"/>
      <x:c r="E2250"/>
      <x:c r="F2250"/>
      <x:c r="G2250"/>
      <x:c r="H2250"/>
      <x:c r="I2250"/>
      <x:c r="J2250"/>
    </x:row>
    <x:row r="2251">
      <x:c r="A2251" t="str">
        <x:v>ZS-AD589C19DCAE</x:v>
      </x:c>
      <x:c r="B2251"/>
      <x:c r="C2251"/>
      <x:c r="D2251"/>
      <x:c r="E2251"/>
      <x:c r="F2251"/>
      <x:c r="G2251"/>
      <x:c r="H2251"/>
      <x:c r="I2251"/>
      <x:c r="J2251"/>
    </x:row>
    <x:row r="2252">
      <x:c r="A2252" t="str">
        <x:v>ZS-127E0F78D543</x:v>
      </x:c>
      <x:c r="B2252"/>
      <x:c r="C2252"/>
      <x:c r="D2252"/>
      <x:c r="E2252"/>
      <x:c r="F2252"/>
      <x:c r="G2252"/>
      <x:c r="H2252"/>
      <x:c r="I2252"/>
      <x:c r="J2252"/>
    </x:row>
    <x:row r="2253">
      <x:c r="A2253" t="str">
        <x:v>ZS-591252CB97E2</x:v>
      </x:c>
      <x:c r="B2253"/>
      <x:c r="C2253"/>
      <x:c r="D2253"/>
      <x:c r="E2253"/>
      <x:c r="F2253"/>
      <x:c r="G2253"/>
      <x:c r="H2253"/>
      <x:c r="I2253"/>
      <x:c r="J2253"/>
    </x:row>
    <x:row r="2254">
      <x:c r="A2254" t="str">
        <x:v>ZS-461E37C6DE19</x:v>
      </x:c>
      <x:c r="B2254"/>
      <x:c r="C2254"/>
      <x:c r="D2254"/>
      <x:c r="E2254"/>
      <x:c r="F2254"/>
      <x:c r="G2254"/>
      <x:c r="H2254"/>
      <x:c r="I2254"/>
      <x:c r="J2254"/>
    </x:row>
    <x:row r="2255">
      <x:c r="A2255" t="str">
        <x:v>ZS-C2BDC58ACDFF</x:v>
      </x:c>
      <x:c r="B2255"/>
      <x:c r="C2255"/>
      <x:c r="D2255"/>
      <x:c r="E2255"/>
      <x:c r="F2255"/>
      <x:c r="G2255"/>
      <x:c r="H2255"/>
      <x:c r="I2255"/>
      <x:c r="J2255"/>
    </x:row>
    <x:row r="2256">
      <x:c r="A2256" t="str">
        <x:v>ZS-4A64B801A577</x:v>
      </x:c>
      <x:c r="B2256"/>
      <x:c r="C2256"/>
      <x:c r="D2256"/>
      <x:c r="E2256"/>
      <x:c r="F2256"/>
      <x:c r="G2256"/>
      <x:c r="H2256"/>
      <x:c r="I2256"/>
      <x:c r="J2256"/>
    </x:row>
    <x:row r="2257">
      <x:c r="A2257" t="str">
        <x:v>ZS-D8CFC262FC0C</x:v>
      </x:c>
      <x:c r="B2257"/>
      <x:c r="C2257"/>
      <x:c r="D2257"/>
      <x:c r="E2257"/>
      <x:c r="F2257"/>
      <x:c r="G2257"/>
      <x:c r="H2257"/>
      <x:c r="I2257"/>
      <x:c r="J2257"/>
    </x:row>
    <x:row r="2258">
      <x:c r="A2258" t="str">
        <x:v>ZS-9FF89E114B66</x:v>
      </x:c>
      <x:c r="B2258"/>
      <x:c r="C2258"/>
      <x:c r="D2258"/>
      <x:c r="E2258"/>
      <x:c r="F2258"/>
      <x:c r="G2258"/>
      <x:c r="H2258"/>
      <x:c r="I2258"/>
      <x:c r="J2258"/>
    </x:row>
    <x:row r="2259">
      <x:c r="A2259" t="str">
        <x:v>ZS-9C00023080F6</x:v>
      </x:c>
      <x:c r="B2259"/>
      <x:c r="C2259"/>
      <x:c r="D2259"/>
      <x:c r="E2259"/>
      <x:c r="F2259"/>
      <x:c r="G2259"/>
      <x:c r="H2259"/>
      <x:c r="I2259"/>
      <x:c r="J2259"/>
    </x:row>
    <x:row r="2260">
      <x:c r="A2260" t="str">
        <x:v>ZS-61653107B13E</x:v>
      </x:c>
      <x:c r="B2260"/>
      <x:c r="C2260"/>
      <x:c r="D2260"/>
      <x:c r="E2260"/>
      <x:c r="F2260"/>
      <x:c r="G2260"/>
      <x:c r="H2260"/>
      <x:c r="I2260"/>
      <x:c r="J2260"/>
    </x:row>
    <x:row r="2261">
      <x:c r="A2261" t="str">
        <x:v>ZS-AAF35329A801</x:v>
      </x:c>
      <x:c r="B2261"/>
      <x:c r="C2261"/>
      <x:c r="D2261"/>
      <x:c r="E2261"/>
      <x:c r="F2261"/>
      <x:c r="G2261"/>
      <x:c r="H2261"/>
      <x:c r="I2261"/>
      <x:c r="J2261"/>
    </x:row>
    <x:row r="2262">
      <x:c r="A2262" t="str">
        <x:v>ZS-F75D8F221F03</x:v>
      </x:c>
      <x:c r="B2262"/>
      <x:c r="C2262"/>
      <x:c r="D2262"/>
      <x:c r="E2262"/>
      <x:c r="F2262"/>
      <x:c r="G2262"/>
      <x:c r="H2262"/>
      <x:c r="I2262"/>
      <x:c r="J2262"/>
    </x:row>
    <x:row r="2263">
      <x:c r="A2263" t="str">
        <x:v>ZS-569D91068480</x:v>
      </x:c>
      <x:c r="B2263"/>
      <x:c r="C2263"/>
      <x:c r="D2263"/>
      <x:c r="E2263"/>
      <x:c r="F2263"/>
      <x:c r="G2263"/>
      <x:c r="H2263"/>
      <x:c r="I2263"/>
      <x:c r="J2263"/>
    </x:row>
    <x:row r="2264">
      <x:c r="A2264" t="str">
        <x:v>ZS-E7DB60980034</x:v>
      </x:c>
      <x:c r="B2264"/>
      <x:c r="C2264"/>
      <x:c r="D2264"/>
      <x:c r="E2264"/>
      <x:c r="F2264"/>
      <x:c r="G2264"/>
      <x:c r="H2264"/>
      <x:c r="I2264"/>
      <x:c r="J2264"/>
    </x:row>
    <x:row r="2265">
      <x:c r="A2265" t="str">
        <x:v>ZS-7C8BA81EA8EB</x:v>
      </x:c>
      <x:c r="B2265"/>
      <x:c r="C2265"/>
      <x:c r="D2265"/>
      <x:c r="E2265"/>
      <x:c r="F2265"/>
      <x:c r="G2265"/>
      <x:c r="H2265"/>
      <x:c r="I2265"/>
      <x:c r="J2265"/>
    </x:row>
    <x:row r="2266">
      <x:c r="A2266" t="str">
        <x:v>ZS-C5E3A4E3589C</x:v>
      </x:c>
      <x:c r="B2266"/>
      <x:c r="C2266"/>
      <x:c r="D2266"/>
      <x:c r="E2266"/>
      <x:c r="F2266"/>
      <x:c r="G2266"/>
      <x:c r="H2266"/>
      <x:c r="I2266"/>
      <x:c r="J2266"/>
    </x:row>
    <x:row r="2267">
      <x:c r="A2267" t="str">
        <x:v>ZS-6FEE0AD76B12</x:v>
      </x:c>
      <x:c r="B2267"/>
      <x:c r="C2267"/>
      <x:c r="D2267"/>
      <x:c r="E2267"/>
      <x:c r="F2267"/>
      <x:c r="G2267"/>
      <x:c r="H2267"/>
      <x:c r="I2267"/>
      <x:c r="J2267"/>
    </x:row>
    <x:row r="2268">
      <x:c r="A2268" t="str">
        <x:v>ZS-5AFA9F7FC4F1</x:v>
      </x:c>
      <x:c r="B2268"/>
      <x:c r="C2268"/>
      <x:c r="D2268"/>
      <x:c r="E2268"/>
      <x:c r="F2268"/>
      <x:c r="G2268"/>
      <x:c r="H2268"/>
      <x:c r="I2268"/>
      <x:c r="J2268"/>
    </x:row>
    <x:row r="2269">
      <x:c r="A2269" t="str">
        <x:v>ZS-8E0A0BD2C539</x:v>
      </x:c>
      <x:c r="B2269"/>
      <x:c r="C2269"/>
      <x:c r="D2269"/>
      <x:c r="E2269"/>
      <x:c r="F2269"/>
      <x:c r="G2269"/>
      <x:c r="H2269"/>
      <x:c r="I2269"/>
      <x:c r="J2269"/>
    </x:row>
    <x:row r="2270">
      <x:c r="A2270" t="str">
        <x:v>ZS-1C97E44F26E4</x:v>
      </x:c>
      <x:c r="B2270"/>
      <x:c r="C2270"/>
      <x:c r="D2270"/>
      <x:c r="E2270"/>
      <x:c r="F2270"/>
      <x:c r="G2270"/>
      <x:c r="H2270"/>
      <x:c r="I2270"/>
      <x:c r="J2270"/>
    </x:row>
    <x:row r="2271">
      <x:c r="A2271" t="str">
        <x:v>ZS-932877930BBE</x:v>
      </x:c>
      <x:c r="B2271"/>
      <x:c r="C2271"/>
      <x:c r="D2271"/>
      <x:c r="E2271"/>
      <x:c r="F2271"/>
      <x:c r="G2271"/>
      <x:c r="H2271"/>
      <x:c r="I2271"/>
      <x:c r="J2271"/>
    </x:row>
    <x:row r="2272">
      <x:c r="A2272" t="str">
        <x:v>ZS-3BC170481567</x:v>
      </x:c>
      <x:c r="B2272"/>
      <x:c r="C2272"/>
      <x:c r="D2272"/>
      <x:c r="E2272"/>
      <x:c r="F2272"/>
      <x:c r="G2272"/>
      <x:c r="H2272"/>
      <x:c r="I2272"/>
      <x:c r="J2272"/>
    </x:row>
    <x:row r="2273">
      <x:c r="A2273" t="str">
        <x:v>ZS-ECAD24B667CD</x:v>
      </x:c>
      <x:c r="B2273"/>
      <x:c r="C2273"/>
      <x:c r="D2273"/>
      <x:c r="E2273"/>
      <x:c r="F2273"/>
      <x:c r="G2273"/>
      <x:c r="H2273"/>
      <x:c r="I2273"/>
      <x:c r="J2273"/>
    </x:row>
    <x:row r="2274">
      <x:c r="A2274" t="str">
        <x:v>ZS-BD60D3E855B4</x:v>
      </x:c>
      <x:c r="B2274"/>
      <x:c r="C2274"/>
      <x:c r="D2274"/>
      <x:c r="E2274"/>
      <x:c r="F2274"/>
      <x:c r="G2274"/>
      <x:c r="H2274"/>
      <x:c r="I2274"/>
      <x:c r="J2274"/>
    </x:row>
    <x:row r="2275">
      <x:c r="A2275" t="str">
        <x:v>ZS-FF9BF06FD1D7</x:v>
      </x:c>
      <x:c r="B2275"/>
      <x:c r="C2275"/>
      <x:c r="D2275"/>
      <x:c r="E2275"/>
      <x:c r="F2275"/>
      <x:c r="G2275"/>
      <x:c r="H2275"/>
      <x:c r="I2275"/>
      <x:c r="J2275"/>
    </x:row>
    <x:row r="2276">
      <x:c r="A2276" t="str">
        <x:v>ZS-F4B124FE3480</x:v>
      </x:c>
      <x:c r="B2276"/>
      <x:c r="C2276"/>
      <x:c r="D2276"/>
      <x:c r="E2276"/>
      <x:c r="F2276"/>
      <x:c r="G2276"/>
      <x:c r="H2276"/>
      <x:c r="I2276"/>
      <x:c r="J2276"/>
    </x:row>
    <x:row r="2277">
      <x:c r="A2277" t="str">
        <x:v>ZS-1C3B34A6EFD2</x:v>
      </x:c>
      <x:c r="B2277"/>
      <x:c r="C2277"/>
      <x:c r="D2277"/>
      <x:c r="E2277"/>
      <x:c r="F2277"/>
      <x:c r="G2277"/>
      <x:c r="H2277"/>
      <x:c r="I2277"/>
      <x:c r="J2277"/>
    </x:row>
    <x:row r="2278">
      <x:c r="A2278" t="str">
        <x:v>ZS-6C9169F9CF71</x:v>
      </x:c>
      <x:c r="B2278"/>
      <x:c r="C2278"/>
      <x:c r="D2278"/>
      <x:c r="E2278"/>
      <x:c r="F2278"/>
      <x:c r="G2278"/>
      <x:c r="H2278"/>
      <x:c r="I2278"/>
      <x:c r="J2278"/>
    </x:row>
    <x:row r="2279">
      <x:c r="A2279" t="str">
        <x:v>ZS-1893F41E9EB7</x:v>
      </x:c>
      <x:c r="B2279"/>
      <x:c r="C2279"/>
      <x:c r="D2279"/>
      <x:c r="E2279"/>
      <x:c r="F2279"/>
      <x:c r="G2279"/>
      <x:c r="H2279"/>
      <x:c r="I2279"/>
      <x:c r="J2279"/>
    </x:row>
    <x:row r="2280">
      <x:c r="A2280" t="str">
        <x:v>ZS-F52C1D482CE8</x:v>
      </x:c>
      <x:c r="B2280"/>
      <x:c r="C2280"/>
      <x:c r="D2280"/>
      <x:c r="E2280"/>
      <x:c r="F2280"/>
      <x:c r="G2280"/>
      <x:c r="H2280"/>
      <x:c r="I2280"/>
      <x:c r="J2280"/>
    </x:row>
    <x:row r="2281">
      <x:c r="A2281" t="str">
        <x:v>ZS-4A63423A1600</x:v>
      </x:c>
      <x:c r="B2281"/>
      <x:c r="C2281"/>
      <x:c r="D2281"/>
      <x:c r="E2281"/>
      <x:c r="F2281"/>
      <x:c r="G2281"/>
      <x:c r="H2281"/>
      <x:c r="I2281"/>
      <x:c r="J2281"/>
    </x:row>
    <x:row r="2282">
      <x:c r="A2282" t="str">
        <x:v>ZS-9EC227658F8A</x:v>
      </x:c>
      <x:c r="B2282"/>
      <x:c r="C2282"/>
      <x:c r="D2282"/>
      <x:c r="E2282"/>
      <x:c r="F2282"/>
      <x:c r="G2282"/>
      <x:c r="H2282"/>
      <x:c r="I2282"/>
      <x:c r="J2282"/>
    </x:row>
    <x:row r="2283">
      <x:c r="A2283" t="str">
        <x:v>ZS-24AA87EE347D</x:v>
      </x:c>
      <x:c r="B2283"/>
      <x:c r="C2283"/>
      <x:c r="D2283"/>
      <x:c r="E2283"/>
      <x:c r="F2283"/>
      <x:c r="G2283"/>
      <x:c r="H2283"/>
      <x:c r="I2283"/>
      <x:c r="J2283"/>
    </x:row>
    <x:row r="2284">
      <x:c r="A2284" t="str">
        <x:v>ZS-DAD369EC8EB3</x:v>
      </x:c>
      <x:c r="B2284"/>
      <x:c r="C2284"/>
      <x:c r="D2284"/>
      <x:c r="E2284"/>
      <x:c r="F2284"/>
      <x:c r="G2284"/>
      <x:c r="H2284"/>
      <x:c r="I2284"/>
      <x:c r="J2284"/>
    </x:row>
    <x:row r="2285">
      <x:c r="A2285" t="str">
        <x:v>ZS-864DFBCA971D</x:v>
      </x:c>
      <x:c r="B2285"/>
      <x:c r="C2285"/>
      <x:c r="D2285"/>
      <x:c r="E2285"/>
      <x:c r="F2285"/>
      <x:c r="G2285"/>
      <x:c r="H2285"/>
      <x:c r="I2285"/>
      <x:c r="J2285"/>
    </x:row>
    <x:row r="2286">
      <x:c r="A2286" t="str">
        <x:v>ZS-CC6280413287</x:v>
      </x:c>
      <x:c r="B2286"/>
      <x:c r="C2286"/>
      <x:c r="D2286"/>
      <x:c r="E2286"/>
      <x:c r="F2286"/>
      <x:c r="G2286"/>
      <x:c r="H2286"/>
      <x:c r="I2286"/>
      <x:c r="J2286"/>
    </x:row>
    <x:row r="2287">
      <x:c r="A2287" t="str">
        <x:v>ZS-229A28901E14</x:v>
      </x:c>
      <x:c r="B2287"/>
      <x:c r="C2287"/>
      <x:c r="D2287"/>
      <x:c r="E2287"/>
      <x:c r="F2287"/>
      <x:c r="G2287"/>
      <x:c r="H2287"/>
      <x:c r="I2287"/>
      <x:c r="J2287"/>
    </x:row>
    <x:row r="2288">
      <x:c r="A2288" t="str">
        <x:v>ZS-D7460ECC4895</x:v>
      </x:c>
      <x:c r="B2288"/>
      <x:c r="C2288"/>
      <x:c r="D2288"/>
      <x:c r="E2288"/>
      <x:c r="F2288"/>
      <x:c r="G2288"/>
      <x:c r="H2288"/>
      <x:c r="I2288"/>
      <x:c r="J2288"/>
    </x:row>
    <x:row r="2289">
      <x:c r="A2289" t="str">
        <x:v>ZS-D0DD2B320D4C</x:v>
      </x:c>
      <x:c r="B2289"/>
      <x:c r="C2289"/>
      <x:c r="D2289"/>
      <x:c r="E2289"/>
      <x:c r="F2289"/>
      <x:c r="G2289"/>
      <x:c r="H2289"/>
      <x:c r="I2289"/>
      <x:c r="J2289"/>
    </x:row>
    <x:row r="2290">
      <x:c r="A2290" t="str">
        <x:v>ZS-0C77F7314E3A</x:v>
      </x:c>
      <x:c r="B2290"/>
      <x:c r="C2290"/>
      <x:c r="D2290"/>
      <x:c r="E2290"/>
      <x:c r="F2290"/>
      <x:c r="G2290"/>
      <x:c r="H2290"/>
      <x:c r="I2290"/>
      <x:c r="J2290"/>
    </x:row>
    <x:row r="2291">
      <x:c r="A2291" t="str">
        <x:v>ZS-81938E618CC3</x:v>
      </x:c>
      <x:c r="B2291"/>
      <x:c r="C2291"/>
      <x:c r="D2291"/>
      <x:c r="E2291"/>
      <x:c r="F2291"/>
      <x:c r="G2291"/>
      <x:c r="H2291"/>
      <x:c r="I2291"/>
      <x:c r="J2291"/>
    </x:row>
    <x:row r="2292">
      <x:c r="A2292" t="str">
        <x:v>ZS-CEB0FECDB49D</x:v>
      </x:c>
      <x:c r="B2292"/>
      <x:c r="C2292"/>
      <x:c r="D2292"/>
      <x:c r="E2292"/>
      <x:c r="F2292"/>
      <x:c r="G2292"/>
      <x:c r="H2292"/>
      <x:c r="I2292"/>
      <x:c r="J2292"/>
    </x:row>
    <x:row r="2293">
      <x:c r="A2293" t="str">
        <x:v>ZS-10D49C1569BF</x:v>
      </x:c>
      <x:c r="B2293"/>
      <x:c r="C2293"/>
      <x:c r="D2293"/>
      <x:c r="E2293"/>
      <x:c r="F2293"/>
      <x:c r="G2293"/>
      <x:c r="H2293"/>
      <x:c r="I2293"/>
      <x:c r="J2293"/>
    </x:row>
    <x:row r="2294">
      <x:c r="A2294" t="str">
        <x:v>ZS-E31E0C1F1218</x:v>
      </x:c>
      <x:c r="B2294"/>
      <x:c r="C2294"/>
      <x:c r="D2294"/>
      <x:c r="E2294"/>
      <x:c r="F2294"/>
      <x:c r="G2294"/>
      <x:c r="H2294"/>
      <x:c r="I2294"/>
      <x:c r="J2294"/>
    </x:row>
    <x:row r="2295">
      <x:c r="A2295" t="str">
        <x:v>ZS-47C5E4BDECA4</x:v>
      </x:c>
      <x:c r="B2295"/>
      <x:c r="C2295"/>
      <x:c r="D2295"/>
      <x:c r="E2295"/>
      <x:c r="F2295"/>
      <x:c r="G2295"/>
      <x:c r="H2295"/>
      <x:c r="I2295"/>
      <x:c r="J2295"/>
    </x:row>
    <x:row r="2296">
      <x:c r="A2296" t="str">
        <x:v>ZS-DD5E8CB173EA</x:v>
      </x:c>
      <x:c r="B2296"/>
      <x:c r="C2296"/>
      <x:c r="D2296"/>
      <x:c r="E2296"/>
      <x:c r="F2296"/>
      <x:c r="G2296"/>
      <x:c r="H2296"/>
      <x:c r="I2296"/>
      <x:c r="J2296"/>
    </x:row>
    <x:row r="2297">
      <x:c r="A2297" t="str">
        <x:v>ZS-B7A1BB3CA2C5</x:v>
      </x:c>
      <x:c r="B2297"/>
      <x:c r="C2297"/>
      <x:c r="D2297"/>
      <x:c r="E2297"/>
      <x:c r="F2297"/>
      <x:c r="G2297"/>
      <x:c r="H2297"/>
      <x:c r="I2297"/>
      <x:c r="J2297"/>
    </x:row>
    <x:row r="2298">
      <x:c r="A2298" t="str">
        <x:v>ZS-619DA15248A3</x:v>
      </x:c>
      <x:c r="B2298"/>
      <x:c r="C2298"/>
      <x:c r="D2298"/>
      <x:c r="E2298"/>
      <x:c r="F2298"/>
      <x:c r="G2298"/>
      <x:c r="H2298"/>
      <x:c r="I2298"/>
      <x:c r="J2298"/>
    </x:row>
    <x:row r="2299">
      <x:c r="A2299" t="str">
        <x:v>ZS-B40C7DC885B5</x:v>
      </x:c>
      <x:c r="B2299"/>
      <x:c r="C2299"/>
      <x:c r="D2299"/>
      <x:c r="E2299"/>
      <x:c r="F2299"/>
      <x:c r="G2299"/>
      <x:c r="H2299"/>
      <x:c r="I2299"/>
      <x:c r="J2299"/>
    </x:row>
    <x:row r="2300">
      <x:c r="A2300" t="str">
        <x:v>ZS-12515106ABB5</x:v>
      </x:c>
      <x:c r="B2300"/>
      <x:c r="C2300"/>
      <x:c r="D2300"/>
      <x:c r="E2300"/>
      <x:c r="F2300"/>
      <x:c r="G2300"/>
      <x:c r="H2300"/>
      <x:c r="I2300"/>
      <x:c r="J2300"/>
    </x:row>
    <x:row r="2301">
      <x:c r="A2301" t="str">
        <x:v>ZS-A76F709B5917</x:v>
      </x:c>
      <x:c r="B2301"/>
      <x:c r="C2301"/>
      <x:c r="D2301"/>
      <x:c r="E2301"/>
      <x:c r="F2301"/>
      <x:c r="G2301"/>
      <x:c r="H2301"/>
      <x:c r="I2301"/>
      <x:c r="J2301"/>
    </x:row>
    <x:row r="2302">
      <x:c r="A2302" t="str">
        <x:v>ZS-5E7A203A80A7</x:v>
      </x:c>
      <x:c r="B2302"/>
      <x:c r="C2302"/>
      <x:c r="D2302"/>
      <x:c r="E2302"/>
      <x:c r="F2302"/>
      <x:c r="G2302"/>
      <x:c r="H2302"/>
      <x:c r="I2302"/>
      <x:c r="J2302"/>
    </x:row>
    <x:row r="2303">
      <x:c r="A2303" t="str">
        <x:v>ZS-4E844372031B</x:v>
      </x:c>
      <x:c r="B2303"/>
      <x:c r="C2303"/>
      <x:c r="D2303"/>
      <x:c r="E2303"/>
      <x:c r="F2303"/>
      <x:c r="G2303"/>
      <x:c r="H2303"/>
      <x:c r="I2303"/>
      <x:c r="J2303"/>
    </x:row>
    <x:row r="2304">
      <x:c r="A2304" t="str">
        <x:v>ZS-9645F4D8CC0E</x:v>
      </x:c>
      <x:c r="B2304"/>
      <x:c r="C2304"/>
      <x:c r="D2304"/>
      <x:c r="E2304"/>
      <x:c r="F2304"/>
      <x:c r="G2304"/>
      <x:c r="H2304"/>
      <x:c r="I2304"/>
      <x:c r="J2304"/>
    </x:row>
    <x:row r="2305">
      <x:c r="A2305" t="str">
        <x:v>ZS-404CDE838BCA</x:v>
      </x:c>
      <x:c r="B2305"/>
      <x:c r="C2305"/>
      <x:c r="D2305"/>
      <x:c r="E2305"/>
      <x:c r="F2305"/>
      <x:c r="G2305"/>
      <x:c r="H2305"/>
      <x:c r="I2305"/>
      <x:c r="J2305"/>
    </x:row>
    <x:row r="2306">
      <x:c r="A2306" t="str">
        <x:v>ZS-CA1C1BD03384</x:v>
      </x:c>
      <x:c r="B2306"/>
      <x:c r="C2306"/>
      <x:c r="D2306"/>
      <x:c r="E2306"/>
      <x:c r="F2306"/>
      <x:c r="G2306"/>
      <x:c r="H2306"/>
      <x:c r="I2306"/>
      <x:c r="J2306"/>
    </x:row>
    <x:row r="2307">
      <x:c r="A2307" t="str">
        <x:v>ZS-A04A500902FD</x:v>
      </x:c>
      <x:c r="B2307"/>
      <x:c r="C2307"/>
      <x:c r="D2307"/>
      <x:c r="E2307"/>
      <x:c r="F2307"/>
      <x:c r="G2307"/>
      <x:c r="H2307"/>
      <x:c r="I2307"/>
      <x:c r="J2307"/>
    </x:row>
    <x:row r="2308">
      <x:c r="A2308" t="str">
        <x:v>ZS-67DDF499FBF9</x:v>
      </x:c>
      <x:c r="B2308"/>
      <x:c r="C2308"/>
      <x:c r="D2308"/>
      <x:c r="E2308"/>
      <x:c r="F2308"/>
      <x:c r="G2308"/>
      <x:c r="H2308"/>
      <x:c r="I2308"/>
      <x:c r="J2308"/>
    </x:row>
    <x:row r="2309">
      <x:c r="A2309" t="str">
        <x:v>ZS-BB7E00430B7D</x:v>
      </x:c>
      <x:c r="B2309"/>
      <x:c r="C2309"/>
      <x:c r="D2309"/>
      <x:c r="E2309"/>
      <x:c r="F2309"/>
      <x:c r="G2309"/>
      <x:c r="H2309"/>
      <x:c r="I2309"/>
      <x:c r="J2309"/>
    </x:row>
    <x:row r="2310">
      <x:c r="A2310" t="str">
        <x:v>ZS-4822A848D8EA</x:v>
      </x:c>
      <x:c r="B2310"/>
      <x:c r="C2310"/>
      <x:c r="D2310"/>
      <x:c r="E2310"/>
      <x:c r="F2310"/>
      <x:c r="G2310"/>
      <x:c r="H2310"/>
      <x:c r="I2310"/>
      <x:c r="J2310"/>
    </x:row>
    <x:row r="2311">
      <x:c r="A2311" t="str">
        <x:v>ZS-A2E0D1DE8118</x:v>
      </x:c>
      <x:c r="B2311"/>
      <x:c r="C2311"/>
      <x:c r="D2311"/>
      <x:c r="E2311"/>
      <x:c r="F2311"/>
      <x:c r="G2311"/>
      <x:c r="H2311"/>
      <x:c r="I2311"/>
      <x:c r="J2311"/>
    </x:row>
    <x:row r="2312">
      <x:c r="A2312" t="str">
        <x:v>ZS-02EC59F8A640</x:v>
      </x:c>
      <x:c r="B2312"/>
      <x:c r="C2312"/>
      <x:c r="D2312"/>
      <x:c r="E2312"/>
      <x:c r="F2312"/>
      <x:c r="G2312"/>
      <x:c r="H2312"/>
      <x:c r="I2312"/>
      <x:c r="J2312"/>
    </x:row>
    <x:row r="2313">
      <x:c r="A2313" t="str">
        <x:v>ZS-3BF7A882BFA2</x:v>
      </x:c>
      <x:c r="B2313"/>
      <x:c r="C2313"/>
      <x:c r="D2313"/>
      <x:c r="E2313"/>
      <x:c r="F2313"/>
      <x:c r="G2313"/>
      <x:c r="H2313"/>
      <x:c r="I2313"/>
      <x:c r="J2313"/>
    </x:row>
    <x:row r="2314">
      <x:c r="A2314" t="str">
        <x:v>ZS-CF5C3FE3871E</x:v>
      </x:c>
      <x:c r="B2314"/>
      <x:c r="C2314"/>
      <x:c r="D2314"/>
      <x:c r="E2314"/>
      <x:c r="F2314"/>
      <x:c r="G2314"/>
      <x:c r="H2314"/>
      <x:c r="I2314"/>
      <x:c r="J2314"/>
    </x:row>
    <x:row r="2315">
      <x:c r="A2315" t="str">
        <x:v>ZS-89BDC29AEA90</x:v>
      </x:c>
      <x:c r="B2315"/>
      <x:c r="C2315"/>
      <x:c r="D2315"/>
      <x:c r="E2315"/>
      <x:c r="F2315"/>
      <x:c r="G2315"/>
      <x:c r="H2315"/>
      <x:c r="I2315"/>
      <x:c r="J2315"/>
    </x:row>
    <x:row r="2316">
      <x:c r="A2316" t="str">
        <x:v>ZS-F6258087A9E0</x:v>
      </x:c>
      <x:c r="B2316"/>
      <x:c r="C2316"/>
      <x:c r="D2316"/>
      <x:c r="E2316"/>
      <x:c r="F2316"/>
      <x:c r="G2316"/>
      <x:c r="H2316"/>
      <x:c r="I2316"/>
      <x:c r="J2316"/>
    </x:row>
    <x:row r="2317">
      <x:c r="A2317" t="str">
        <x:v>ZS-FD522755C93C</x:v>
      </x:c>
      <x:c r="B2317"/>
      <x:c r="C2317"/>
      <x:c r="D2317"/>
      <x:c r="E2317"/>
      <x:c r="F2317"/>
      <x:c r="G2317"/>
      <x:c r="H2317"/>
      <x:c r="I2317"/>
      <x:c r="J2317"/>
    </x:row>
    <x:row r="2318">
      <x:c r="A2318" t="str">
        <x:v>ZS-9C623E133FAC</x:v>
      </x:c>
      <x:c r="B2318"/>
      <x:c r="C2318"/>
      <x:c r="D2318"/>
      <x:c r="E2318"/>
      <x:c r="F2318"/>
      <x:c r="G2318"/>
      <x:c r="H2318"/>
      <x:c r="I2318"/>
      <x:c r="J2318"/>
    </x:row>
    <x:row r="2319">
      <x:c r="A2319" t="str">
        <x:v>ZS-9A6F4D4F6B7B</x:v>
      </x:c>
      <x:c r="B2319"/>
      <x:c r="C2319"/>
      <x:c r="D2319"/>
      <x:c r="E2319"/>
      <x:c r="F2319"/>
      <x:c r="G2319"/>
      <x:c r="H2319"/>
      <x:c r="I2319"/>
      <x:c r="J2319"/>
    </x:row>
    <x:row r="2320">
      <x:c r="A2320" t="str">
        <x:v>ZS-2B983D6D1017</x:v>
      </x:c>
      <x:c r="B2320"/>
      <x:c r="C2320"/>
      <x:c r="D2320"/>
      <x:c r="E2320"/>
      <x:c r="F2320"/>
      <x:c r="G2320"/>
      <x:c r="H2320"/>
      <x:c r="I2320"/>
      <x:c r="J2320"/>
    </x:row>
    <x:row r="2321">
      <x:c r="A2321" t="str">
        <x:v>ZS-A9FD487D44F2</x:v>
      </x:c>
      <x:c r="B2321"/>
      <x:c r="C2321"/>
      <x:c r="D2321"/>
      <x:c r="E2321"/>
      <x:c r="F2321"/>
      <x:c r="G2321"/>
      <x:c r="H2321"/>
      <x:c r="I2321"/>
      <x:c r="J2321"/>
    </x:row>
    <x:row r="2322">
      <x:c r="A2322" t="str">
        <x:v>ZS-04FBC5930D10</x:v>
      </x:c>
      <x:c r="B2322"/>
      <x:c r="C2322"/>
      <x:c r="D2322"/>
      <x:c r="E2322"/>
      <x:c r="F2322"/>
      <x:c r="G2322"/>
      <x:c r="H2322"/>
      <x:c r="I2322"/>
      <x:c r="J2322"/>
    </x:row>
    <x:row r="2323">
      <x:c r="A2323" t="str">
        <x:v>ZS-C318B891369D</x:v>
      </x:c>
      <x:c r="B2323"/>
      <x:c r="C2323"/>
      <x:c r="D2323"/>
      <x:c r="E2323"/>
      <x:c r="F2323"/>
      <x:c r="G2323"/>
      <x:c r="H2323"/>
      <x:c r="I2323"/>
      <x:c r="J2323"/>
    </x:row>
    <x:row r="2324">
      <x:c r="A2324" t="str">
        <x:v>ZS-8FE5FE9AB4C5</x:v>
      </x:c>
      <x:c r="B2324"/>
      <x:c r="C2324"/>
      <x:c r="D2324"/>
      <x:c r="E2324"/>
      <x:c r="F2324"/>
      <x:c r="G2324"/>
      <x:c r="H2324"/>
      <x:c r="I2324"/>
      <x:c r="J2324"/>
    </x:row>
    <x:row r="2325">
      <x:c r="A2325" t="str">
        <x:v>ZS-8BDA83E86739</x:v>
      </x:c>
      <x:c r="B2325"/>
      <x:c r="C2325"/>
      <x:c r="D2325"/>
      <x:c r="E2325"/>
      <x:c r="F2325"/>
      <x:c r="G2325"/>
      <x:c r="H2325"/>
      <x:c r="I2325"/>
      <x:c r="J2325"/>
    </x:row>
    <x:row r="2326">
      <x:c r="A2326" t="str">
        <x:v>ZS-E10BB6A99607</x:v>
      </x:c>
      <x:c r="B2326"/>
      <x:c r="C2326"/>
      <x:c r="D2326"/>
      <x:c r="E2326"/>
      <x:c r="F2326"/>
      <x:c r="G2326"/>
      <x:c r="H2326"/>
      <x:c r="I2326"/>
      <x:c r="J2326"/>
    </x:row>
    <x:row r="2327">
      <x:c r="A2327" t="str">
        <x:v>ZS-6D63BBF07C1E</x:v>
      </x:c>
      <x:c r="B2327"/>
      <x:c r="C2327"/>
      <x:c r="D2327"/>
      <x:c r="E2327"/>
      <x:c r="F2327"/>
      <x:c r="G2327"/>
      <x:c r="H2327"/>
      <x:c r="I2327"/>
      <x:c r="J2327"/>
    </x:row>
    <x:row r="2328">
      <x:c r="A2328" t="str">
        <x:v>ZS-22C70B16AD5F</x:v>
      </x:c>
      <x:c r="B2328"/>
      <x:c r="C2328"/>
      <x:c r="D2328"/>
      <x:c r="E2328"/>
      <x:c r="F2328"/>
      <x:c r="G2328"/>
      <x:c r="H2328"/>
      <x:c r="I2328"/>
      <x:c r="J2328"/>
    </x:row>
    <x:row r="2329">
      <x:c r="A2329" t="str">
        <x:v>ZS-7D7CC957F38A</x:v>
      </x:c>
      <x:c r="B2329"/>
      <x:c r="C2329"/>
      <x:c r="D2329"/>
      <x:c r="E2329"/>
      <x:c r="F2329"/>
      <x:c r="G2329"/>
      <x:c r="H2329"/>
      <x:c r="I2329"/>
      <x:c r="J2329"/>
    </x:row>
    <x:row r="2330">
      <x:c r="A2330" t="str">
        <x:v>ZS-6D0E2FAA59F3</x:v>
      </x:c>
      <x:c r="B2330"/>
      <x:c r="C2330"/>
      <x:c r="D2330"/>
      <x:c r="E2330"/>
      <x:c r="F2330"/>
      <x:c r="G2330"/>
      <x:c r="H2330"/>
      <x:c r="I2330"/>
      <x:c r="J2330"/>
    </x:row>
    <x:row r="2331">
      <x:c r="A2331" t="str">
        <x:v>ZS-C66B5B5264A1</x:v>
      </x:c>
      <x:c r="B2331"/>
      <x:c r="C2331"/>
      <x:c r="D2331"/>
      <x:c r="E2331"/>
      <x:c r="F2331"/>
      <x:c r="G2331"/>
      <x:c r="H2331"/>
      <x:c r="I2331"/>
      <x:c r="J2331"/>
    </x:row>
    <x:row r="2332">
      <x:c r="A2332" t="str">
        <x:v>ZS-819509D9E1E0</x:v>
      </x:c>
      <x:c r="B2332"/>
      <x:c r="C2332"/>
      <x:c r="D2332"/>
      <x:c r="E2332"/>
      <x:c r="F2332"/>
      <x:c r="G2332"/>
      <x:c r="H2332"/>
      <x:c r="I2332"/>
      <x:c r="J2332"/>
    </x:row>
    <x:row r="2333">
      <x:c r="A2333" t="str">
        <x:v>ZS-8A8F53D21F5D</x:v>
      </x:c>
      <x:c r="B2333"/>
      <x:c r="C2333"/>
      <x:c r="D2333"/>
      <x:c r="E2333"/>
      <x:c r="F2333"/>
      <x:c r="G2333"/>
      <x:c r="H2333"/>
      <x:c r="I2333"/>
      <x:c r="J2333"/>
    </x:row>
    <x:row r="2334">
      <x:c r="A2334" t="str">
        <x:v>ZS-0C065941FFB9</x:v>
      </x:c>
      <x:c r="B2334"/>
      <x:c r="C2334"/>
      <x:c r="D2334"/>
      <x:c r="E2334"/>
      <x:c r="F2334"/>
      <x:c r="G2334"/>
      <x:c r="H2334"/>
      <x:c r="I2334"/>
      <x:c r="J2334"/>
    </x:row>
    <x:row r="2335">
      <x:c r="A2335" t="str">
        <x:v>ZS-2D94ADC7D14D</x:v>
      </x:c>
      <x:c r="B2335"/>
      <x:c r="C2335"/>
      <x:c r="D2335"/>
      <x:c r="E2335"/>
      <x:c r="F2335"/>
      <x:c r="G2335"/>
      <x:c r="H2335"/>
      <x:c r="I2335"/>
      <x:c r="J2335"/>
    </x:row>
    <x:row r="2336">
      <x:c r="A2336" t="str">
        <x:v>ZS-DCF6AA7CA621</x:v>
      </x:c>
      <x:c r="B2336"/>
      <x:c r="C2336"/>
      <x:c r="D2336"/>
      <x:c r="E2336"/>
      <x:c r="F2336"/>
      <x:c r="G2336"/>
      <x:c r="H2336"/>
      <x:c r="I2336"/>
      <x:c r="J2336"/>
    </x:row>
    <x:row r="2337">
      <x:c r="A2337" t="str">
        <x:v>ZS-37274184F4AB</x:v>
      </x:c>
      <x:c r="B2337"/>
      <x:c r="C2337"/>
      <x:c r="D2337"/>
      <x:c r="E2337"/>
      <x:c r="F2337"/>
      <x:c r="G2337"/>
      <x:c r="H2337"/>
      <x:c r="I2337"/>
      <x:c r="J2337"/>
    </x:row>
    <x:row r="2338">
      <x:c r="A2338" t="str">
        <x:v>ZS-888ADC86C875</x:v>
      </x:c>
      <x:c r="B2338"/>
      <x:c r="C2338"/>
      <x:c r="D2338"/>
      <x:c r="E2338"/>
      <x:c r="F2338"/>
      <x:c r="G2338"/>
      <x:c r="H2338"/>
      <x:c r="I2338"/>
      <x:c r="J2338"/>
    </x:row>
    <x:row r="2339">
      <x:c r="A2339" t="str">
        <x:v>ZS-9325D0A9AD7B</x:v>
      </x:c>
      <x:c r="B2339"/>
      <x:c r="C2339"/>
      <x:c r="D2339"/>
      <x:c r="E2339"/>
      <x:c r="F2339"/>
      <x:c r="G2339"/>
      <x:c r="H2339"/>
      <x:c r="I2339"/>
      <x:c r="J2339"/>
    </x:row>
    <x:row r="2340">
      <x:c r="A2340" t="str">
        <x:v>ZS-83E9FE64FAF1</x:v>
      </x:c>
      <x:c r="B2340"/>
      <x:c r="C2340"/>
      <x:c r="D2340"/>
      <x:c r="E2340"/>
      <x:c r="F2340"/>
      <x:c r="G2340"/>
      <x:c r="H2340"/>
      <x:c r="I2340"/>
      <x:c r="J2340"/>
    </x:row>
    <x:row r="2341">
      <x:c r="A2341" t="str">
        <x:v>ZS-82EB4FA0A4B9</x:v>
      </x:c>
      <x:c r="B2341"/>
      <x:c r="C2341"/>
      <x:c r="D2341"/>
      <x:c r="E2341"/>
      <x:c r="F2341"/>
      <x:c r="G2341"/>
      <x:c r="H2341"/>
      <x:c r="I2341"/>
      <x:c r="J2341"/>
    </x:row>
    <x:row r="2342">
      <x:c r="A2342" t="str">
        <x:v>ZS-39CCAD8B606F</x:v>
      </x:c>
      <x:c r="B2342"/>
      <x:c r="C2342"/>
      <x:c r="D2342"/>
      <x:c r="E2342"/>
      <x:c r="F2342"/>
      <x:c r="G2342"/>
      <x:c r="H2342"/>
      <x:c r="I2342"/>
      <x:c r="J2342"/>
    </x:row>
    <x:row r="2343">
      <x:c r="A2343" t="str">
        <x:v>ZS-B6534A7B38D6</x:v>
      </x:c>
      <x:c r="B2343"/>
      <x:c r="C2343"/>
      <x:c r="D2343"/>
      <x:c r="E2343"/>
      <x:c r="F2343"/>
      <x:c r="G2343"/>
      <x:c r="H2343"/>
      <x:c r="I2343"/>
      <x:c r="J2343"/>
    </x:row>
    <x:row r="2344">
      <x:c r="A2344" t="str">
        <x:v>ZS-2E81E2C1DD48</x:v>
      </x:c>
      <x:c r="B2344"/>
      <x:c r="C2344"/>
      <x:c r="D2344"/>
      <x:c r="E2344"/>
      <x:c r="F2344"/>
      <x:c r="G2344"/>
      <x:c r="H2344"/>
      <x:c r="I2344"/>
      <x:c r="J2344"/>
    </x:row>
    <x:row r="2345">
      <x:c r="A2345" t="str">
        <x:v>ZS-4FF9CA844D61</x:v>
      </x:c>
      <x:c r="B2345"/>
      <x:c r="C2345"/>
      <x:c r="D2345"/>
      <x:c r="E2345"/>
      <x:c r="F2345"/>
      <x:c r="G2345"/>
      <x:c r="H2345"/>
      <x:c r="I2345"/>
      <x:c r="J2345"/>
    </x:row>
    <x:row r="2346">
      <x:c r="A2346" t="str">
        <x:v>ZS-615F90774ABA</x:v>
      </x:c>
      <x:c r="B2346"/>
      <x:c r="C2346"/>
      <x:c r="D2346"/>
      <x:c r="E2346"/>
      <x:c r="F2346"/>
      <x:c r="G2346"/>
      <x:c r="H2346"/>
      <x:c r="I2346"/>
      <x:c r="J2346"/>
    </x:row>
    <x:row r="2347">
      <x:c r="A2347" t="str">
        <x:v>ZS-9AC1EE92A28D</x:v>
      </x:c>
      <x:c r="B2347"/>
      <x:c r="C2347"/>
      <x:c r="D2347"/>
      <x:c r="E2347"/>
      <x:c r="F2347"/>
      <x:c r="G2347"/>
      <x:c r="H2347"/>
      <x:c r="I2347"/>
      <x:c r="J2347"/>
    </x:row>
    <x:row r="2348">
      <x:c r="A2348" t="str">
        <x:v>ZS-997A70CF4FFD</x:v>
      </x:c>
      <x:c r="B2348"/>
      <x:c r="C2348"/>
      <x:c r="D2348"/>
      <x:c r="E2348"/>
      <x:c r="F2348"/>
      <x:c r="G2348"/>
      <x:c r="H2348"/>
      <x:c r="I2348"/>
      <x:c r="J2348"/>
    </x:row>
    <x:row r="2349">
      <x:c r="A2349" t="str">
        <x:v>ZS-570029E8700D</x:v>
      </x:c>
      <x:c r="B2349"/>
      <x:c r="C2349"/>
      <x:c r="D2349"/>
      <x:c r="E2349"/>
      <x:c r="F2349"/>
      <x:c r="G2349"/>
      <x:c r="H2349"/>
      <x:c r="I2349"/>
      <x:c r="J2349"/>
    </x:row>
    <x:row r="2350">
      <x:c r="A2350" t="str">
        <x:v>ZS-0F8E7A0E8DD7</x:v>
      </x:c>
      <x:c r="B2350"/>
      <x:c r="C2350"/>
      <x:c r="D2350"/>
      <x:c r="E2350"/>
      <x:c r="F2350"/>
      <x:c r="G2350"/>
      <x:c r="H2350"/>
      <x:c r="I2350"/>
      <x:c r="J2350"/>
    </x:row>
    <x:row r="2351">
      <x:c r="A2351" t="str">
        <x:v>ZS-E6113BDA649F</x:v>
      </x:c>
      <x:c r="B2351"/>
      <x:c r="C2351"/>
      <x:c r="D2351"/>
      <x:c r="E2351"/>
      <x:c r="F2351"/>
      <x:c r="G2351"/>
      <x:c r="H2351"/>
      <x:c r="I2351"/>
      <x:c r="J2351"/>
    </x:row>
    <x:row r="2352">
      <x:c r="A2352" t="str">
        <x:v>ZS-6B1AF4C61DBB</x:v>
      </x:c>
      <x:c r="B2352"/>
      <x:c r="C2352"/>
      <x:c r="D2352"/>
      <x:c r="E2352"/>
      <x:c r="F2352"/>
      <x:c r="G2352"/>
      <x:c r="H2352"/>
      <x:c r="I2352"/>
      <x:c r="J2352"/>
    </x:row>
    <x:row r="2353">
      <x:c r="A2353" t="str">
        <x:v>ZS-64451BFC3B1D</x:v>
      </x:c>
      <x:c r="B2353"/>
      <x:c r="C2353"/>
      <x:c r="D2353"/>
      <x:c r="E2353"/>
      <x:c r="F2353"/>
      <x:c r="G2353"/>
      <x:c r="H2353"/>
      <x:c r="I2353"/>
      <x:c r="J2353"/>
    </x:row>
    <x:row r="2354">
      <x:c r="A2354" t="str">
        <x:v>ZS-FC3BD2DCACCD</x:v>
      </x:c>
      <x:c r="B2354"/>
      <x:c r="C2354"/>
      <x:c r="D2354"/>
      <x:c r="E2354"/>
      <x:c r="F2354"/>
      <x:c r="G2354"/>
      <x:c r="H2354"/>
      <x:c r="I2354"/>
      <x:c r="J2354"/>
    </x:row>
    <x:row r="2355">
      <x:c r="A2355" t="str">
        <x:v>ZS-1751B32ADFDF</x:v>
      </x:c>
      <x:c r="B2355"/>
      <x:c r="C2355"/>
      <x:c r="D2355"/>
      <x:c r="E2355"/>
      <x:c r="F2355"/>
      <x:c r="G2355"/>
      <x:c r="H2355"/>
      <x:c r="I2355"/>
      <x:c r="J2355"/>
    </x:row>
    <x:row r="2356">
      <x:c r="A2356" t="str">
        <x:v>ZS-245596AE0E76</x:v>
      </x:c>
      <x:c r="B2356"/>
      <x:c r="C2356"/>
      <x:c r="D2356"/>
      <x:c r="E2356"/>
      <x:c r="F2356"/>
      <x:c r="G2356"/>
      <x:c r="H2356"/>
      <x:c r="I2356"/>
      <x:c r="J2356"/>
    </x:row>
    <x:row r="2357">
      <x:c r="A2357" t="str">
        <x:v>ZS-28FC5770997A</x:v>
      </x:c>
      <x:c r="B2357"/>
      <x:c r="C2357"/>
      <x:c r="D2357"/>
      <x:c r="E2357"/>
      <x:c r="F2357"/>
      <x:c r="G2357"/>
      <x:c r="H2357"/>
      <x:c r="I2357"/>
      <x:c r="J2357"/>
    </x:row>
    <x:row r="2358">
      <x:c r="A2358" t="str">
        <x:v>ZS-BE9C8E58AEFB</x:v>
      </x:c>
      <x:c r="B2358"/>
      <x:c r="C2358"/>
      <x:c r="D2358"/>
      <x:c r="E2358"/>
      <x:c r="F2358"/>
      <x:c r="G2358"/>
      <x:c r="H2358"/>
      <x:c r="I2358"/>
      <x:c r="J2358"/>
    </x:row>
    <x:row r="2359">
      <x:c r="A2359" t="str">
        <x:v>ZS-1FFE10CE714B</x:v>
      </x:c>
      <x:c r="B2359"/>
      <x:c r="C2359"/>
      <x:c r="D2359"/>
      <x:c r="E2359"/>
      <x:c r="F2359"/>
      <x:c r="G2359"/>
      <x:c r="H2359"/>
      <x:c r="I2359"/>
      <x:c r="J2359"/>
    </x:row>
    <x:row r="2360">
      <x:c r="A2360" t="str">
        <x:v>ZS-68132C95F936</x:v>
      </x:c>
      <x:c r="B2360"/>
      <x:c r="C2360"/>
      <x:c r="D2360"/>
      <x:c r="E2360"/>
      <x:c r="F2360"/>
      <x:c r="G2360"/>
      <x:c r="H2360"/>
      <x:c r="I2360"/>
      <x:c r="J2360"/>
    </x:row>
    <x:row r="2361">
      <x:c r="A2361" t="str">
        <x:v>ZS-FB1B4C854B11</x:v>
      </x:c>
      <x:c r="B2361"/>
      <x:c r="C2361"/>
      <x:c r="D2361"/>
      <x:c r="E2361"/>
      <x:c r="F2361"/>
      <x:c r="G2361"/>
      <x:c r="H2361"/>
      <x:c r="I2361"/>
      <x:c r="J2361"/>
    </x:row>
    <x:row r="2362">
      <x:c r="A2362" t="str">
        <x:v>ZS-262EAD6E8ECD</x:v>
      </x:c>
      <x:c r="B2362"/>
      <x:c r="C2362"/>
      <x:c r="D2362"/>
      <x:c r="E2362"/>
      <x:c r="F2362"/>
      <x:c r="G2362"/>
      <x:c r="H2362"/>
      <x:c r="I2362"/>
      <x:c r="J2362"/>
    </x:row>
    <x:row r="2363">
      <x:c r="A2363" t="str">
        <x:v>ZS-30634119BE80</x:v>
      </x:c>
      <x:c r="B2363"/>
      <x:c r="C2363"/>
      <x:c r="D2363"/>
      <x:c r="E2363"/>
      <x:c r="F2363"/>
      <x:c r="G2363"/>
      <x:c r="H2363"/>
      <x:c r="I2363"/>
      <x:c r="J2363"/>
    </x:row>
    <x:row r="2364">
      <x:c r="A2364" t="str">
        <x:v>ZS-1257847E7B57</x:v>
      </x:c>
      <x:c r="B2364"/>
      <x:c r="C2364"/>
      <x:c r="D2364"/>
      <x:c r="E2364"/>
      <x:c r="F2364"/>
      <x:c r="G2364"/>
      <x:c r="H2364"/>
      <x:c r="I2364"/>
      <x:c r="J2364"/>
    </x:row>
    <x:row r="2365">
      <x:c r="A2365" t="str">
        <x:v>ZS-BA4BD3C3D834</x:v>
      </x:c>
      <x:c r="B2365"/>
      <x:c r="C2365"/>
      <x:c r="D2365"/>
      <x:c r="E2365"/>
      <x:c r="F2365"/>
      <x:c r="G2365"/>
      <x:c r="H2365"/>
      <x:c r="I2365"/>
      <x:c r="J2365"/>
    </x:row>
    <x:row r="2366">
      <x:c r="A2366" t="str">
        <x:v>ZS-1CEF3F332F22</x:v>
      </x:c>
      <x:c r="B2366"/>
      <x:c r="C2366"/>
      <x:c r="D2366"/>
      <x:c r="E2366"/>
      <x:c r="F2366"/>
      <x:c r="G2366"/>
      <x:c r="H2366"/>
      <x:c r="I2366"/>
      <x:c r="J2366"/>
    </x:row>
    <x:row r="2367">
      <x:c r="A2367" t="str">
        <x:v>ZS-C18ABFA8B435</x:v>
      </x:c>
      <x:c r="B2367"/>
      <x:c r="C2367"/>
      <x:c r="D2367"/>
      <x:c r="E2367"/>
      <x:c r="F2367"/>
      <x:c r="G2367"/>
      <x:c r="H2367"/>
      <x:c r="I2367"/>
      <x:c r="J2367"/>
    </x:row>
    <x:row r="2368">
      <x:c r="A2368" t="str">
        <x:v>ZS-8B2A3A8EB01D</x:v>
      </x:c>
      <x:c r="B2368"/>
      <x:c r="C2368"/>
      <x:c r="D2368"/>
      <x:c r="E2368"/>
      <x:c r="F2368"/>
      <x:c r="G2368"/>
      <x:c r="H2368"/>
      <x:c r="I2368"/>
      <x:c r="J2368"/>
    </x:row>
    <x:row r="2369">
      <x:c r="A2369" t="str">
        <x:v>ZS-B92575640FC4</x:v>
      </x:c>
      <x:c r="B2369"/>
      <x:c r="C2369"/>
      <x:c r="D2369"/>
      <x:c r="E2369"/>
      <x:c r="F2369"/>
      <x:c r="G2369"/>
      <x:c r="H2369"/>
      <x:c r="I2369"/>
      <x:c r="J2369"/>
    </x:row>
    <x:row r="2370">
      <x:c r="A2370" t="str">
        <x:v>ZS-72DB871D5C9E</x:v>
      </x:c>
      <x:c r="B2370"/>
      <x:c r="C2370"/>
      <x:c r="D2370"/>
      <x:c r="E2370"/>
      <x:c r="F2370"/>
      <x:c r="G2370"/>
      <x:c r="H2370"/>
      <x:c r="I2370"/>
      <x:c r="J2370"/>
    </x:row>
    <x:row r="2371">
      <x:c r="A2371" t="str">
        <x:v>ZS-D67106B2C14B</x:v>
      </x:c>
      <x:c r="B2371"/>
      <x:c r="C2371"/>
      <x:c r="D2371"/>
      <x:c r="E2371"/>
      <x:c r="F2371"/>
      <x:c r="G2371"/>
      <x:c r="H2371"/>
      <x:c r="I2371"/>
      <x:c r="J2371"/>
    </x:row>
    <x:row r="2372">
      <x:c r="A2372" t="str">
        <x:v>ZS-B91EC4ABF156</x:v>
      </x:c>
      <x:c r="B2372"/>
      <x:c r="C2372"/>
      <x:c r="D2372"/>
      <x:c r="E2372"/>
      <x:c r="F2372"/>
      <x:c r="G2372"/>
      <x:c r="H2372"/>
      <x:c r="I2372"/>
      <x:c r="J2372"/>
    </x:row>
    <x:row r="2373">
      <x:c r="A2373" t="str">
        <x:v>ZS-50C0A29FB86C</x:v>
      </x:c>
      <x:c r="B2373"/>
      <x:c r="C2373"/>
      <x:c r="D2373"/>
      <x:c r="E2373"/>
      <x:c r="F2373"/>
      <x:c r="G2373"/>
      <x:c r="H2373"/>
      <x:c r="I2373"/>
      <x:c r="J2373"/>
    </x:row>
    <x:row r="2374">
      <x:c r="A2374" t="str">
        <x:v>ZS-19E117055294</x:v>
      </x:c>
      <x:c r="B2374"/>
      <x:c r="C2374"/>
      <x:c r="D2374"/>
      <x:c r="E2374"/>
      <x:c r="F2374"/>
      <x:c r="G2374"/>
      <x:c r="H2374"/>
      <x:c r="I2374"/>
      <x:c r="J2374"/>
    </x:row>
    <x:row r="2375">
      <x:c r="A2375" t="str">
        <x:v>ZS-C813723936D4</x:v>
      </x:c>
      <x:c r="B2375"/>
      <x:c r="C2375"/>
      <x:c r="D2375"/>
      <x:c r="E2375"/>
      <x:c r="F2375"/>
      <x:c r="G2375"/>
      <x:c r="H2375"/>
      <x:c r="I2375"/>
      <x:c r="J2375"/>
    </x:row>
    <x:row r="2376">
      <x:c r="A2376" t="str">
        <x:v>ZS-37A8F874DB9C</x:v>
      </x:c>
      <x:c r="B2376"/>
      <x:c r="C2376"/>
      <x:c r="D2376"/>
      <x:c r="E2376"/>
      <x:c r="F2376"/>
      <x:c r="G2376"/>
      <x:c r="H2376"/>
      <x:c r="I2376"/>
      <x:c r="J2376"/>
    </x:row>
    <x:row r="2377">
      <x:c r="A2377" t="str">
        <x:v>ZS-F94153B5DC6C</x:v>
      </x:c>
      <x:c r="B2377"/>
      <x:c r="C2377"/>
      <x:c r="D2377"/>
      <x:c r="E2377"/>
      <x:c r="F2377"/>
      <x:c r="G2377"/>
      <x:c r="H2377"/>
      <x:c r="I2377"/>
      <x:c r="J2377"/>
    </x:row>
    <x:row r="2378">
      <x:c r="A2378" t="str">
        <x:v>ZS-559EE3DF2E2C</x:v>
      </x:c>
      <x:c r="B2378"/>
      <x:c r="C2378"/>
      <x:c r="D2378"/>
      <x:c r="E2378"/>
      <x:c r="F2378"/>
      <x:c r="G2378"/>
      <x:c r="H2378"/>
      <x:c r="I2378"/>
      <x:c r="J2378"/>
    </x:row>
    <x:row r="2379">
      <x:c r="A2379" t="str">
        <x:v>ZS-18B6814612F4</x:v>
      </x:c>
      <x:c r="B2379"/>
      <x:c r="C2379"/>
      <x:c r="D2379"/>
      <x:c r="E2379"/>
      <x:c r="F2379"/>
      <x:c r="G2379"/>
      <x:c r="H2379"/>
      <x:c r="I2379"/>
      <x:c r="J2379"/>
    </x:row>
    <x:row r="2380">
      <x:c r="A2380" t="str">
        <x:v>ZS-6D27D76F005C</x:v>
      </x:c>
      <x:c r="B2380"/>
      <x:c r="C2380"/>
      <x:c r="D2380"/>
      <x:c r="E2380"/>
      <x:c r="F2380"/>
      <x:c r="G2380"/>
      <x:c r="H2380"/>
      <x:c r="I2380"/>
      <x:c r="J2380"/>
    </x:row>
    <x:row r="2381">
      <x:c r="A2381" t="str">
        <x:v>ZS-97D322B049CF</x:v>
      </x:c>
      <x:c r="B2381"/>
      <x:c r="C2381"/>
      <x:c r="D2381"/>
      <x:c r="E2381"/>
      <x:c r="F2381"/>
      <x:c r="G2381"/>
      <x:c r="H2381"/>
      <x:c r="I2381"/>
      <x:c r="J2381"/>
    </x:row>
    <x:row r="2382">
      <x:c r="A2382" t="str">
        <x:v>ZS-47A34FA18179</x:v>
      </x:c>
      <x:c r="B2382"/>
      <x:c r="C2382"/>
      <x:c r="D2382"/>
      <x:c r="E2382"/>
      <x:c r="F2382"/>
      <x:c r="G2382"/>
      <x:c r="H2382"/>
      <x:c r="I2382"/>
      <x:c r="J2382"/>
    </x:row>
    <x:row r="2383">
      <x:c r="A2383" t="str">
        <x:v>ZS-107E8E9ACFCD</x:v>
      </x:c>
      <x:c r="B2383"/>
      <x:c r="C2383"/>
      <x:c r="D2383"/>
      <x:c r="E2383"/>
      <x:c r="F2383"/>
      <x:c r="G2383"/>
      <x:c r="H2383"/>
      <x:c r="I2383"/>
      <x:c r="J2383"/>
    </x:row>
    <x:row r="2384">
      <x:c r="A2384" t="str">
        <x:v>ZS-05F4D5559745</x:v>
      </x:c>
      <x:c r="B2384"/>
      <x:c r="C2384"/>
      <x:c r="D2384"/>
      <x:c r="E2384"/>
      <x:c r="F2384"/>
      <x:c r="G2384"/>
      <x:c r="H2384"/>
      <x:c r="I2384"/>
      <x:c r="J2384"/>
    </x:row>
    <x:row r="2385">
      <x:c r="A2385" t="str">
        <x:v>ZS-4C6F2B2E3012</x:v>
      </x:c>
      <x:c r="B2385"/>
      <x:c r="C2385"/>
      <x:c r="D2385"/>
      <x:c r="E2385"/>
      <x:c r="F2385"/>
      <x:c r="G2385"/>
      <x:c r="H2385"/>
      <x:c r="I2385"/>
      <x:c r="J2385"/>
    </x:row>
    <x:row r="2386">
      <x:c r="A2386" t="str">
        <x:v>ZS-F428439B5BA4</x:v>
      </x:c>
      <x:c r="B2386"/>
      <x:c r="C2386"/>
      <x:c r="D2386"/>
      <x:c r="E2386"/>
      <x:c r="F2386"/>
      <x:c r="G2386"/>
      <x:c r="H2386"/>
      <x:c r="I2386"/>
      <x:c r="J2386"/>
    </x:row>
    <x:row r="2387">
      <x:c r="A2387" t="str">
        <x:v>ZS-F83B37DC9971</x:v>
      </x:c>
      <x:c r="B2387"/>
      <x:c r="C2387"/>
      <x:c r="D2387"/>
      <x:c r="E2387"/>
      <x:c r="F2387"/>
      <x:c r="G2387"/>
      <x:c r="H2387"/>
      <x:c r="I2387"/>
      <x:c r="J2387"/>
    </x:row>
    <x:row r="2388">
      <x:c r="A2388" t="str">
        <x:v>ZS-E2817B82BEAF</x:v>
      </x:c>
      <x:c r="B2388"/>
      <x:c r="C2388"/>
      <x:c r="D2388"/>
      <x:c r="E2388"/>
      <x:c r="F2388"/>
      <x:c r="G2388"/>
      <x:c r="H2388"/>
      <x:c r="I2388"/>
      <x:c r="J2388"/>
    </x:row>
    <x:row r="2389">
      <x:c r="A2389" t="str">
        <x:v>ZS-DA409E3E1E4B</x:v>
      </x:c>
      <x:c r="B2389"/>
      <x:c r="C2389"/>
      <x:c r="D2389"/>
      <x:c r="E2389"/>
      <x:c r="F2389"/>
      <x:c r="G2389"/>
      <x:c r="H2389"/>
      <x:c r="I2389"/>
      <x:c r="J2389"/>
    </x:row>
    <x:row r="2390">
      <x:c r="A2390" t="str">
        <x:v>ZS-86B373E38F04</x:v>
      </x:c>
      <x:c r="B2390"/>
      <x:c r="C2390"/>
      <x:c r="D2390"/>
      <x:c r="E2390"/>
      <x:c r="F2390"/>
      <x:c r="G2390"/>
      <x:c r="H2390"/>
      <x:c r="I2390"/>
      <x:c r="J2390"/>
    </x:row>
    <x:row r="2391">
      <x:c r="A2391" t="str">
        <x:v>ZS-47BD69E6C2D3</x:v>
      </x:c>
      <x:c r="B2391"/>
      <x:c r="C2391"/>
      <x:c r="D2391"/>
      <x:c r="E2391"/>
      <x:c r="F2391"/>
      <x:c r="G2391"/>
      <x:c r="H2391"/>
      <x:c r="I2391"/>
      <x:c r="J2391"/>
    </x:row>
    <x:row r="2392">
      <x:c r="A2392" t="str">
        <x:v>ZS-049260C8172E</x:v>
      </x:c>
      <x:c r="B2392"/>
      <x:c r="C2392"/>
      <x:c r="D2392"/>
      <x:c r="E2392"/>
      <x:c r="F2392"/>
      <x:c r="G2392"/>
      <x:c r="H2392"/>
      <x:c r="I2392"/>
      <x:c r="J2392"/>
    </x:row>
    <x:row r="2393">
      <x:c r="A2393" t="str">
        <x:v>ZS-482AB52AB64D</x:v>
      </x:c>
      <x:c r="B2393"/>
      <x:c r="C2393"/>
      <x:c r="D2393"/>
      <x:c r="E2393"/>
      <x:c r="F2393"/>
      <x:c r="G2393"/>
      <x:c r="H2393"/>
      <x:c r="I2393"/>
      <x:c r="J2393"/>
    </x:row>
    <x:row r="2394">
      <x:c r="A2394" t="str">
        <x:v>ZS-58E3916C0176</x:v>
      </x:c>
      <x:c r="B2394"/>
      <x:c r="C2394"/>
      <x:c r="D2394"/>
      <x:c r="E2394"/>
      <x:c r="F2394"/>
      <x:c r="G2394"/>
      <x:c r="H2394"/>
      <x:c r="I2394"/>
      <x:c r="J2394"/>
    </x:row>
    <x:row r="2395">
      <x:c r="A2395" t="str">
        <x:v>ZS-A5F2BA893C6F</x:v>
      </x:c>
      <x:c r="B2395"/>
      <x:c r="C2395"/>
      <x:c r="D2395"/>
      <x:c r="E2395"/>
      <x:c r="F2395"/>
      <x:c r="G2395"/>
      <x:c r="H2395"/>
      <x:c r="I2395"/>
      <x:c r="J2395"/>
    </x:row>
    <x:row r="2396">
      <x:c r="A2396" t="str">
        <x:v>ZS-AB740651CF40</x:v>
      </x:c>
      <x:c r="B2396"/>
      <x:c r="C2396"/>
      <x:c r="D2396"/>
      <x:c r="E2396"/>
      <x:c r="F2396"/>
      <x:c r="G2396"/>
      <x:c r="H2396"/>
      <x:c r="I2396"/>
      <x:c r="J2396"/>
    </x:row>
    <x:row r="2397">
      <x:c r="A2397" t="str">
        <x:v>ZS-BE5C16C6EF43</x:v>
      </x:c>
      <x:c r="B2397"/>
      <x:c r="C2397"/>
      <x:c r="D2397"/>
      <x:c r="E2397"/>
      <x:c r="F2397"/>
      <x:c r="G2397"/>
      <x:c r="H2397"/>
      <x:c r="I2397"/>
      <x:c r="J2397"/>
    </x:row>
    <x:row r="2398">
      <x:c r="A2398" t="str">
        <x:v>ZS-BE26456350A5</x:v>
      </x:c>
      <x:c r="B2398"/>
      <x:c r="C2398"/>
      <x:c r="D2398"/>
      <x:c r="E2398"/>
      <x:c r="F2398"/>
      <x:c r="G2398"/>
      <x:c r="H2398"/>
      <x:c r="I2398"/>
      <x:c r="J2398"/>
    </x:row>
    <x:row r="2399">
      <x:c r="A2399" t="str">
        <x:v>ZS-7404F6E33041</x:v>
      </x:c>
      <x:c r="B2399"/>
      <x:c r="C2399"/>
      <x:c r="D2399"/>
      <x:c r="E2399"/>
      <x:c r="F2399"/>
      <x:c r="G2399"/>
      <x:c r="H2399"/>
      <x:c r="I2399"/>
      <x:c r="J2399"/>
    </x:row>
    <x:row r="2400">
      <x:c r="A2400" t="str">
        <x:v>ZS-52DC73DC5CE6</x:v>
      </x:c>
      <x:c r="B2400"/>
      <x:c r="C2400"/>
      <x:c r="D2400"/>
      <x:c r="E2400"/>
      <x:c r="F2400"/>
      <x:c r="G2400"/>
      <x:c r="H2400"/>
      <x:c r="I2400"/>
      <x:c r="J2400"/>
    </x:row>
    <x:row r="2401">
      <x:c r="A2401" t="str">
        <x:v>ZS-B914A8BF85DE</x:v>
      </x:c>
      <x:c r="B2401"/>
      <x:c r="C2401"/>
      <x:c r="D2401"/>
      <x:c r="E2401"/>
      <x:c r="F2401"/>
      <x:c r="G2401"/>
      <x:c r="H2401"/>
      <x:c r="I2401"/>
      <x:c r="J2401"/>
    </x:row>
    <x:row r="2402">
      <x:c r="A2402" t="str">
        <x:v>ZS-70997A2A11DB</x:v>
      </x:c>
      <x:c r="B2402"/>
      <x:c r="C2402"/>
      <x:c r="D2402"/>
      <x:c r="E2402"/>
      <x:c r="F2402"/>
      <x:c r="G2402"/>
      <x:c r="H2402"/>
      <x:c r="I2402"/>
      <x:c r="J2402"/>
    </x:row>
    <x:row r="2403">
      <x:c r="A2403" t="str">
        <x:v>ZS-D2C030ED0D1D</x:v>
      </x:c>
      <x:c r="B2403"/>
      <x:c r="C2403"/>
      <x:c r="D2403"/>
      <x:c r="E2403"/>
      <x:c r="F2403"/>
      <x:c r="G2403"/>
      <x:c r="H2403"/>
      <x:c r="I2403"/>
      <x:c r="J2403"/>
    </x:row>
    <x:row r="2404">
      <x:c r="A2404" t="str">
        <x:v>ZS-DE10D10EE260</x:v>
      </x:c>
      <x:c r="B2404"/>
      <x:c r="C2404"/>
      <x:c r="D2404"/>
      <x:c r="E2404"/>
      <x:c r="F2404"/>
      <x:c r="G2404"/>
      <x:c r="H2404"/>
      <x:c r="I2404"/>
      <x:c r="J2404"/>
    </x:row>
    <x:row r="2405">
      <x:c r="A2405" t="str">
        <x:v>ZS-C1406DE1A247</x:v>
      </x:c>
      <x:c r="B2405"/>
      <x:c r="C2405"/>
      <x:c r="D2405"/>
      <x:c r="E2405"/>
      <x:c r="F2405"/>
      <x:c r="G2405"/>
      <x:c r="H2405"/>
      <x:c r="I2405"/>
      <x:c r="J2405"/>
    </x:row>
    <x:row r="2406">
      <x:c r="A2406" t="str">
        <x:v>ZS-00585974793A</x:v>
      </x:c>
      <x:c r="B2406"/>
      <x:c r="C2406"/>
      <x:c r="D2406"/>
      <x:c r="E2406"/>
      <x:c r="F2406"/>
      <x:c r="G2406"/>
      <x:c r="H2406"/>
      <x:c r="I2406"/>
      <x:c r="J2406"/>
    </x:row>
    <x:row r="2407">
      <x:c r="A2407" t="str">
        <x:v>ZS-95B2021BD188</x:v>
      </x:c>
      <x:c r="B2407"/>
      <x:c r="C2407"/>
      <x:c r="D2407"/>
      <x:c r="E2407"/>
      <x:c r="F2407"/>
      <x:c r="G2407"/>
      <x:c r="H2407"/>
      <x:c r="I2407"/>
      <x:c r="J2407"/>
    </x:row>
    <x:row r="2408">
      <x:c r="A2408" t="str">
        <x:v>ZS-15BE37F5F03B</x:v>
      </x:c>
      <x:c r="B2408"/>
      <x:c r="C2408"/>
      <x:c r="D2408"/>
      <x:c r="E2408"/>
      <x:c r="F2408"/>
      <x:c r="G2408"/>
      <x:c r="H2408"/>
      <x:c r="I2408"/>
      <x:c r="J2408"/>
    </x:row>
    <x:row r="2409">
      <x:c r="A2409" t="str">
        <x:v>ZS-C97163705B5E</x:v>
      </x:c>
      <x:c r="B2409"/>
      <x:c r="C2409"/>
      <x:c r="D2409"/>
      <x:c r="E2409"/>
      <x:c r="F2409"/>
      <x:c r="G2409"/>
      <x:c r="H2409"/>
      <x:c r="I2409"/>
      <x:c r="J2409"/>
    </x:row>
    <x:row r="2410">
      <x:c r="A2410" t="str">
        <x:v>ZS-4AAA2EFC2666</x:v>
      </x:c>
      <x:c r="B2410"/>
      <x:c r="C2410"/>
      <x:c r="D2410"/>
      <x:c r="E2410"/>
      <x:c r="F2410"/>
      <x:c r="G2410"/>
      <x:c r="H2410"/>
      <x:c r="I2410"/>
      <x:c r="J2410"/>
    </x:row>
    <x:row r="2411">
      <x:c r="A2411" t="str">
        <x:v>ZS-9A0C7064D44D</x:v>
      </x:c>
      <x:c r="B2411"/>
      <x:c r="C2411"/>
      <x:c r="D2411"/>
      <x:c r="E2411"/>
      <x:c r="F2411"/>
      <x:c r="G2411"/>
      <x:c r="H2411"/>
      <x:c r="I2411"/>
      <x:c r="J2411"/>
    </x:row>
    <x:row r="2412">
      <x:c r="A2412" t="str">
        <x:v>ZS-DE92692C6DDE</x:v>
      </x:c>
      <x:c r="B2412"/>
      <x:c r="C2412"/>
      <x:c r="D2412"/>
      <x:c r="E2412"/>
      <x:c r="F2412"/>
      <x:c r="G2412"/>
      <x:c r="H2412"/>
      <x:c r="I2412"/>
      <x:c r="J2412"/>
    </x:row>
    <x:row r="2413">
      <x:c r="A2413" t="str">
        <x:v>ZS-A3834241DE70</x:v>
      </x:c>
      <x:c r="B2413"/>
      <x:c r="C2413"/>
      <x:c r="D2413"/>
      <x:c r="E2413"/>
      <x:c r="F2413"/>
      <x:c r="G2413"/>
      <x:c r="H2413"/>
      <x:c r="I2413"/>
      <x:c r="J2413"/>
    </x:row>
    <x:row r="2414">
      <x:c r="A2414" t="str">
        <x:v>ZS-A6451F157863</x:v>
      </x:c>
      <x:c r="B2414"/>
      <x:c r="C2414"/>
      <x:c r="D2414"/>
      <x:c r="E2414"/>
      <x:c r="F2414"/>
      <x:c r="G2414"/>
      <x:c r="H2414"/>
      <x:c r="I2414"/>
      <x:c r="J2414"/>
    </x:row>
    <x:row r="2415">
      <x:c r="A2415" t="str">
        <x:v>ZS-EDDC7736A211</x:v>
      </x:c>
      <x:c r="B2415"/>
      <x:c r="C2415"/>
      <x:c r="D2415"/>
      <x:c r="E2415"/>
      <x:c r="F2415"/>
      <x:c r="G2415"/>
      <x:c r="H2415"/>
      <x:c r="I2415"/>
      <x:c r="J2415"/>
    </x:row>
    <x:row r="2416">
      <x:c r="A2416" t="str">
        <x:v>ZS-E3700C154F05</x:v>
      </x:c>
      <x:c r="B2416"/>
      <x:c r="C2416"/>
      <x:c r="D2416"/>
      <x:c r="E2416"/>
      <x:c r="F2416"/>
      <x:c r="G2416"/>
      <x:c r="H2416"/>
      <x:c r="I2416"/>
      <x:c r="J2416"/>
    </x:row>
    <x:row r="2417">
      <x:c r="A2417" t="str">
        <x:v>ZS-EA539C8F67A6</x:v>
      </x:c>
      <x:c r="B2417"/>
      <x:c r="C2417"/>
      <x:c r="D2417"/>
      <x:c r="E2417"/>
      <x:c r="F2417"/>
      <x:c r="G2417"/>
      <x:c r="H2417"/>
      <x:c r="I2417"/>
      <x:c r="J2417"/>
    </x:row>
    <x:row r="2418">
      <x:c r="A2418" t="str">
        <x:v>ZS-92D89DAD2972</x:v>
      </x:c>
      <x:c r="B2418"/>
      <x:c r="C2418"/>
      <x:c r="D2418"/>
      <x:c r="E2418"/>
      <x:c r="F2418"/>
      <x:c r="G2418"/>
      <x:c r="H2418"/>
      <x:c r="I2418"/>
      <x:c r="J2418"/>
    </x:row>
    <x:row r="2419">
      <x:c r="A2419" t="str">
        <x:v>ZS-E0DB2B5F466D</x:v>
      </x:c>
      <x:c r="B2419"/>
      <x:c r="C2419"/>
      <x:c r="D2419"/>
      <x:c r="E2419"/>
      <x:c r="F2419"/>
      <x:c r="G2419"/>
      <x:c r="H2419"/>
      <x:c r="I2419"/>
      <x:c r="J2419"/>
    </x:row>
    <x:row r="2420">
      <x:c r="A2420" t="str">
        <x:v>ZS-0F1B0A37F09A</x:v>
      </x:c>
      <x:c r="B2420"/>
      <x:c r="C2420"/>
      <x:c r="D2420"/>
      <x:c r="E2420"/>
      <x:c r="F2420"/>
      <x:c r="G2420"/>
      <x:c r="H2420"/>
      <x:c r="I2420"/>
      <x:c r="J2420"/>
    </x:row>
    <x:row r="2421">
      <x:c r="A2421" t="str">
        <x:v>ZS-B80FED3BB446</x:v>
      </x:c>
      <x:c r="B2421"/>
      <x:c r="C2421"/>
      <x:c r="D2421"/>
      <x:c r="E2421"/>
      <x:c r="F2421"/>
      <x:c r="G2421"/>
      <x:c r="H2421"/>
      <x:c r="I2421"/>
      <x:c r="J2421"/>
    </x:row>
    <x:row r="2422">
      <x:c r="A2422" t="str">
        <x:v>ZS-85B406219D0B</x:v>
      </x:c>
      <x:c r="B2422"/>
      <x:c r="C2422"/>
      <x:c r="D2422"/>
      <x:c r="E2422"/>
      <x:c r="F2422"/>
      <x:c r="G2422"/>
      <x:c r="H2422"/>
      <x:c r="I2422"/>
      <x:c r="J2422"/>
    </x:row>
    <x:row r="2423">
      <x:c r="A2423" t="str">
        <x:v>ZS-517F1A1C86F8</x:v>
      </x:c>
      <x:c r="B2423"/>
      <x:c r="C2423"/>
      <x:c r="D2423"/>
      <x:c r="E2423"/>
      <x:c r="F2423"/>
      <x:c r="G2423"/>
      <x:c r="H2423"/>
      <x:c r="I2423"/>
      <x:c r="J2423"/>
    </x:row>
    <x:row r="2424">
      <x:c r="A2424" t="str">
        <x:v>ZS-FB3FC2939297</x:v>
      </x:c>
      <x:c r="B2424"/>
      <x:c r="C2424"/>
      <x:c r="D2424"/>
      <x:c r="E2424"/>
      <x:c r="F2424"/>
      <x:c r="G2424"/>
      <x:c r="H2424"/>
      <x:c r="I2424"/>
      <x:c r="J2424"/>
    </x:row>
    <x:row r="2425">
      <x:c r="A2425" t="str">
        <x:v>ZS-D617D69B718A</x:v>
      </x:c>
      <x:c r="B2425"/>
      <x:c r="C2425"/>
      <x:c r="D2425"/>
      <x:c r="E2425"/>
      <x:c r="F2425"/>
      <x:c r="G2425"/>
      <x:c r="H2425"/>
      <x:c r="I2425"/>
      <x:c r="J2425"/>
    </x:row>
    <x:row r="2426">
      <x:c r="A2426" t="str">
        <x:v>ZS-2D63E6A5118F</x:v>
      </x:c>
      <x:c r="B2426"/>
      <x:c r="C2426"/>
      <x:c r="D2426"/>
      <x:c r="E2426"/>
      <x:c r="F2426"/>
      <x:c r="G2426"/>
      <x:c r="H2426"/>
      <x:c r="I2426"/>
      <x:c r="J2426"/>
    </x:row>
    <x:row r="2427">
      <x:c r="A2427" t="str">
        <x:v>ZS-119147916F93</x:v>
      </x:c>
      <x:c r="B2427"/>
      <x:c r="C2427"/>
      <x:c r="D2427"/>
      <x:c r="E2427"/>
      <x:c r="F2427"/>
      <x:c r="G2427"/>
      <x:c r="H2427"/>
      <x:c r="I2427"/>
      <x:c r="J2427"/>
    </x:row>
    <x:row r="2428">
      <x:c r="A2428" t="str">
        <x:v>ZS-65A7BD20DDC4</x:v>
      </x:c>
      <x:c r="B2428"/>
      <x:c r="C2428"/>
      <x:c r="D2428"/>
      <x:c r="E2428"/>
      <x:c r="F2428"/>
      <x:c r="G2428"/>
      <x:c r="H2428"/>
      <x:c r="I2428"/>
      <x:c r="J2428"/>
    </x:row>
    <x:row r="2429">
      <x:c r="A2429" t="str">
        <x:v>ZS-14FF875DB6A6</x:v>
      </x:c>
      <x:c r="B2429"/>
      <x:c r="C2429"/>
      <x:c r="D2429"/>
      <x:c r="E2429"/>
      <x:c r="F2429"/>
      <x:c r="G2429"/>
      <x:c r="H2429"/>
      <x:c r="I2429"/>
      <x:c r="J2429"/>
    </x:row>
    <x:row r="2430">
      <x:c r="A2430" t="str">
        <x:v>ZS-8A3A50766147</x:v>
      </x:c>
      <x:c r="B2430"/>
      <x:c r="C2430"/>
      <x:c r="D2430"/>
      <x:c r="E2430"/>
      <x:c r="F2430"/>
      <x:c r="G2430"/>
      <x:c r="H2430"/>
      <x:c r="I2430"/>
      <x:c r="J2430"/>
    </x:row>
    <x:row r="2431">
      <x:c r="A2431" t="str">
        <x:v>ZS-03BC170239B6</x:v>
      </x:c>
      <x:c r="B2431"/>
      <x:c r="C2431"/>
      <x:c r="D2431"/>
      <x:c r="E2431"/>
      <x:c r="F2431"/>
      <x:c r="G2431"/>
      <x:c r="H2431"/>
      <x:c r="I2431"/>
      <x:c r="J2431"/>
    </x:row>
    <x:row r="2432">
      <x:c r="A2432" t="str">
        <x:v>ZS-CF9C73505D1B</x:v>
      </x:c>
      <x:c r="B2432"/>
      <x:c r="C2432"/>
      <x:c r="D2432"/>
      <x:c r="E2432"/>
      <x:c r="F2432"/>
      <x:c r="G2432"/>
      <x:c r="H2432"/>
      <x:c r="I2432"/>
      <x:c r="J2432"/>
    </x:row>
    <x:row r="2433">
      <x:c r="A2433" t="str">
        <x:v>ZS-73AA9752CEE0</x:v>
      </x:c>
      <x:c r="B2433"/>
      <x:c r="C2433"/>
      <x:c r="D2433"/>
      <x:c r="E2433"/>
      <x:c r="F2433"/>
      <x:c r="G2433"/>
      <x:c r="H2433"/>
      <x:c r="I2433"/>
      <x:c r="J2433"/>
    </x:row>
    <x:row r="2434">
      <x:c r="A2434" t="str">
        <x:v>ZS-E93396DEE214</x:v>
      </x:c>
      <x:c r="B2434"/>
      <x:c r="C2434"/>
      <x:c r="D2434"/>
      <x:c r="E2434"/>
      <x:c r="F2434"/>
      <x:c r="G2434"/>
      <x:c r="H2434"/>
      <x:c r="I2434"/>
      <x:c r="J2434"/>
    </x:row>
    <x:row r="2435">
      <x:c r="A2435" t="str">
        <x:v>ZS-DA31B0A110AF</x:v>
      </x:c>
      <x:c r="B2435"/>
      <x:c r="C2435"/>
      <x:c r="D2435"/>
      <x:c r="E2435"/>
      <x:c r="F2435"/>
      <x:c r="G2435"/>
      <x:c r="H2435"/>
      <x:c r="I2435"/>
      <x:c r="J2435"/>
    </x:row>
    <x:row r="2436">
      <x:c r="A2436" t="str">
        <x:v>ZS-BBC49A62CB53</x:v>
      </x:c>
      <x:c r="B2436"/>
      <x:c r="C2436"/>
      <x:c r="D2436"/>
      <x:c r="E2436"/>
      <x:c r="F2436"/>
      <x:c r="G2436"/>
      <x:c r="H2436"/>
      <x:c r="I2436"/>
      <x:c r="J2436"/>
    </x:row>
    <x:row r="2437">
      <x:c r="A2437" t="str">
        <x:v>ZS-380E994C8985</x:v>
      </x:c>
      <x:c r="B2437"/>
      <x:c r="C2437"/>
      <x:c r="D2437"/>
      <x:c r="E2437"/>
      <x:c r="F2437"/>
      <x:c r="G2437"/>
      <x:c r="H2437"/>
      <x:c r="I2437"/>
      <x:c r="J2437"/>
    </x:row>
    <x:row r="2438">
      <x:c r="A2438" t="str">
        <x:v>ZS-ED0234E65670</x:v>
      </x:c>
      <x:c r="B2438"/>
      <x:c r="C2438"/>
      <x:c r="D2438"/>
      <x:c r="E2438"/>
      <x:c r="F2438"/>
      <x:c r="G2438"/>
      <x:c r="H2438"/>
      <x:c r="I2438"/>
      <x:c r="J2438"/>
    </x:row>
    <x:row r="2439">
      <x:c r="A2439" t="str">
        <x:v>ZS-07BCC6DCBBEA</x:v>
      </x:c>
      <x:c r="B2439"/>
      <x:c r="C2439"/>
      <x:c r="D2439"/>
      <x:c r="E2439"/>
      <x:c r="F2439"/>
      <x:c r="G2439"/>
      <x:c r="H2439"/>
      <x:c r="I2439"/>
      <x:c r="J2439"/>
    </x:row>
    <x:row r="2440">
      <x:c r="A2440" t="str">
        <x:v>ZS-9907ACFDDEB1</x:v>
      </x:c>
      <x:c r="B2440"/>
      <x:c r="C2440"/>
      <x:c r="D2440"/>
      <x:c r="E2440"/>
      <x:c r="F2440"/>
      <x:c r="G2440"/>
      <x:c r="H2440"/>
      <x:c r="I2440"/>
      <x:c r="J2440"/>
    </x:row>
    <x:row r="2441">
      <x:c r="A2441" t="str">
        <x:v>ZS-E5BF898B8ABC</x:v>
      </x:c>
      <x:c r="B2441"/>
      <x:c r="C2441"/>
      <x:c r="D2441"/>
      <x:c r="E2441"/>
      <x:c r="F2441"/>
      <x:c r="G2441"/>
      <x:c r="H2441"/>
      <x:c r="I2441"/>
      <x:c r="J2441"/>
    </x:row>
    <x:row r="2442">
      <x:c r="A2442" t="str">
        <x:v>ZS-1147C19420DA</x:v>
      </x:c>
      <x:c r="B2442"/>
      <x:c r="C2442"/>
      <x:c r="D2442"/>
      <x:c r="E2442"/>
      <x:c r="F2442"/>
      <x:c r="G2442"/>
      <x:c r="H2442"/>
      <x:c r="I2442"/>
      <x:c r="J2442"/>
    </x:row>
    <x:row r="2443">
      <x:c r="A2443" t="str">
        <x:v>ZS-9DA408680202</x:v>
      </x:c>
      <x:c r="B2443"/>
      <x:c r="C2443"/>
      <x:c r="D2443"/>
      <x:c r="E2443"/>
      <x:c r="F2443"/>
      <x:c r="G2443"/>
      <x:c r="H2443"/>
      <x:c r="I2443"/>
      <x:c r="J2443"/>
    </x:row>
    <x:row r="2444">
      <x:c r="A2444" t="str">
        <x:v>ZS-9C35AD6FDFB3</x:v>
      </x:c>
      <x:c r="B2444"/>
      <x:c r="C2444"/>
      <x:c r="D2444"/>
      <x:c r="E2444"/>
      <x:c r="F2444"/>
      <x:c r="G2444"/>
      <x:c r="H2444"/>
      <x:c r="I2444"/>
      <x:c r="J2444"/>
    </x:row>
    <x:row r="2445">
      <x:c r="A2445" t="str">
        <x:v>ZS-0CECB32A9105</x:v>
      </x:c>
      <x:c r="B2445"/>
      <x:c r="C2445"/>
      <x:c r="D2445"/>
      <x:c r="E2445"/>
      <x:c r="F2445"/>
      <x:c r="G2445"/>
      <x:c r="H2445"/>
      <x:c r="I2445"/>
      <x:c r="J2445"/>
    </x:row>
    <x:row r="2446">
      <x:c r="A2446" t="str">
        <x:v>ZS-9EA6B0BD34F0</x:v>
      </x:c>
      <x:c r="B2446"/>
      <x:c r="C2446"/>
      <x:c r="D2446"/>
      <x:c r="E2446"/>
      <x:c r="F2446"/>
      <x:c r="G2446"/>
      <x:c r="H2446"/>
      <x:c r="I2446"/>
      <x:c r="J2446"/>
    </x:row>
    <x:row r="2447">
      <x:c r="A2447" t="str">
        <x:v>ZS-0B0E98EE9F84</x:v>
      </x:c>
      <x:c r="B2447"/>
      <x:c r="C2447"/>
      <x:c r="D2447"/>
      <x:c r="E2447"/>
      <x:c r="F2447"/>
      <x:c r="G2447"/>
      <x:c r="H2447"/>
      <x:c r="I2447"/>
      <x:c r="J2447"/>
    </x:row>
    <x:row r="2448">
      <x:c r="A2448" t="str">
        <x:v>ZS-C51934FD2683</x:v>
      </x:c>
      <x:c r="B2448"/>
      <x:c r="C2448"/>
      <x:c r="D2448"/>
      <x:c r="E2448"/>
      <x:c r="F2448"/>
      <x:c r="G2448"/>
      <x:c r="H2448"/>
      <x:c r="I2448"/>
      <x:c r="J2448"/>
    </x:row>
    <x:row r="2449">
      <x:c r="A2449" t="str">
        <x:v>ZS-698941AD6570</x:v>
      </x:c>
      <x:c r="B2449"/>
      <x:c r="C2449"/>
      <x:c r="D2449"/>
      <x:c r="E2449"/>
      <x:c r="F2449"/>
      <x:c r="G2449"/>
      <x:c r="H2449"/>
      <x:c r="I2449"/>
      <x:c r="J2449"/>
    </x:row>
    <x:row r="2450">
      <x:c r="A2450" t="str">
        <x:v>ZS-AF0D74AE3B38</x:v>
      </x:c>
      <x:c r="B2450"/>
      <x:c r="C2450"/>
      <x:c r="D2450"/>
      <x:c r="E2450"/>
      <x:c r="F2450"/>
      <x:c r="G2450"/>
      <x:c r="H2450"/>
      <x:c r="I2450"/>
      <x:c r="J2450"/>
    </x:row>
    <x:row r="2451">
      <x:c r="A2451" t="str">
        <x:v>ZS-710D013D6368</x:v>
      </x:c>
      <x:c r="B2451"/>
      <x:c r="C2451"/>
      <x:c r="D2451"/>
      <x:c r="E2451"/>
      <x:c r="F2451"/>
      <x:c r="G2451"/>
      <x:c r="H2451"/>
      <x:c r="I2451"/>
      <x:c r="J2451"/>
    </x:row>
    <x:row r="2452">
      <x:c r="A2452" t="str">
        <x:v>ZS-79E2A9EB96DE</x:v>
      </x:c>
      <x:c r="B2452"/>
      <x:c r="C2452"/>
      <x:c r="D2452"/>
      <x:c r="E2452"/>
      <x:c r="F2452"/>
      <x:c r="G2452"/>
      <x:c r="H2452"/>
      <x:c r="I2452"/>
      <x:c r="J2452"/>
    </x:row>
    <x:row r="2453">
      <x:c r="A2453" t="str">
        <x:v>ZS-411B2F6C98C6</x:v>
      </x:c>
      <x:c r="B2453"/>
      <x:c r="C2453"/>
      <x:c r="D2453"/>
      <x:c r="E2453"/>
      <x:c r="F2453"/>
      <x:c r="G2453"/>
      <x:c r="H2453"/>
      <x:c r="I2453"/>
      <x:c r="J2453"/>
    </x:row>
    <x:row r="2454">
      <x:c r="A2454" t="str">
        <x:v>ZS-52C20ECEFC58</x:v>
      </x:c>
      <x:c r="B2454"/>
      <x:c r="C2454"/>
      <x:c r="D2454"/>
      <x:c r="E2454"/>
      <x:c r="F2454"/>
      <x:c r="G2454"/>
      <x:c r="H2454"/>
      <x:c r="I2454"/>
      <x:c r="J2454"/>
    </x:row>
    <x:row r="2455">
      <x:c r="A2455" t="str">
        <x:v>ZS-6E964E7FD6B6</x:v>
      </x:c>
      <x:c r="B2455"/>
      <x:c r="C2455"/>
      <x:c r="D2455"/>
      <x:c r="E2455"/>
      <x:c r="F2455"/>
      <x:c r="G2455"/>
      <x:c r="H2455"/>
      <x:c r="I2455"/>
      <x:c r="J2455"/>
    </x:row>
    <x:row r="2456">
      <x:c r="A2456" t="str">
        <x:v>ZS-9F999BC49DA0</x:v>
      </x:c>
      <x:c r="B2456"/>
      <x:c r="C2456"/>
      <x:c r="D2456"/>
      <x:c r="E2456"/>
      <x:c r="F2456"/>
      <x:c r="G2456"/>
      <x:c r="H2456"/>
      <x:c r="I2456"/>
      <x:c r="J2456"/>
    </x:row>
    <x:row r="2457">
      <x:c r="A2457" t="str">
        <x:v>ZS-9E0CC374B1A2</x:v>
      </x:c>
      <x:c r="B2457"/>
      <x:c r="C2457"/>
      <x:c r="D2457"/>
      <x:c r="E2457"/>
      <x:c r="F2457"/>
      <x:c r="G2457"/>
      <x:c r="H2457"/>
      <x:c r="I2457"/>
      <x:c r="J2457"/>
    </x:row>
    <x:row r="2458">
      <x:c r="A2458" t="str">
        <x:v>ZS-DD12DE332BDA</x:v>
      </x:c>
      <x:c r="B2458"/>
      <x:c r="C2458"/>
      <x:c r="D2458"/>
      <x:c r="E2458"/>
      <x:c r="F2458"/>
      <x:c r="G2458"/>
      <x:c r="H2458"/>
      <x:c r="I2458"/>
      <x:c r="J2458"/>
    </x:row>
    <x:row r="2459">
      <x:c r="A2459" t="str">
        <x:v>ZS-3A3833D64884</x:v>
      </x:c>
      <x:c r="B2459"/>
      <x:c r="C2459"/>
      <x:c r="D2459"/>
      <x:c r="E2459"/>
      <x:c r="F2459"/>
      <x:c r="G2459"/>
      <x:c r="H2459"/>
      <x:c r="I2459"/>
      <x:c r="J2459"/>
    </x:row>
    <x:row r="2460">
      <x:c r="A2460" t="str">
        <x:v>ZS-CEB9C9DA20CB</x:v>
      </x:c>
      <x:c r="B2460"/>
      <x:c r="C2460"/>
      <x:c r="D2460"/>
      <x:c r="E2460"/>
      <x:c r="F2460"/>
      <x:c r="G2460"/>
      <x:c r="H2460"/>
      <x:c r="I2460"/>
      <x:c r="J2460"/>
    </x:row>
    <x:row r="2461">
      <x:c r="A2461" t="str">
        <x:v>ZS-87BCDF984F85</x:v>
      </x:c>
      <x:c r="B2461"/>
      <x:c r="C2461"/>
      <x:c r="D2461"/>
      <x:c r="E2461"/>
      <x:c r="F2461"/>
      <x:c r="G2461"/>
      <x:c r="H2461"/>
      <x:c r="I2461"/>
      <x:c r="J2461"/>
    </x:row>
    <x:row r="2462">
      <x:c r="A2462" t="str">
        <x:v>ZS-3040B22CBEC7</x:v>
      </x:c>
      <x:c r="B2462"/>
      <x:c r="C2462"/>
      <x:c r="D2462"/>
      <x:c r="E2462"/>
      <x:c r="F2462"/>
      <x:c r="G2462"/>
      <x:c r="H2462"/>
      <x:c r="I2462"/>
      <x:c r="J2462"/>
    </x:row>
    <x:row r="2463">
      <x:c r="A2463" t="str">
        <x:v>ZS-98DB81D9CC35</x:v>
      </x:c>
      <x:c r="B2463"/>
      <x:c r="C2463"/>
      <x:c r="D2463"/>
      <x:c r="E2463"/>
      <x:c r="F2463"/>
      <x:c r="G2463"/>
      <x:c r="H2463"/>
      <x:c r="I2463"/>
      <x:c r="J2463"/>
    </x:row>
    <x:row r="2464">
      <x:c r="A2464" t="str">
        <x:v>ZS-01C43CA409F8</x:v>
      </x:c>
      <x:c r="B2464"/>
      <x:c r="C2464"/>
      <x:c r="D2464"/>
      <x:c r="E2464"/>
      <x:c r="F2464"/>
      <x:c r="G2464"/>
      <x:c r="H2464"/>
      <x:c r="I2464"/>
      <x:c r="J2464"/>
    </x:row>
    <x:row r="2465">
      <x:c r="A2465" t="str">
        <x:v>ZS-65F667B7E569</x:v>
      </x:c>
      <x:c r="B2465"/>
      <x:c r="C2465"/>
      <x:c r="D2465"/>
      <x:c r="E2465"/>
      <x:c r="F2465"/>
      <x:c r="G2465"/>
      <x:c r="H2465"/>
      <x:c r="I2465"/>
      <x:c r="J2465"/>
    </x:row>
    <x:row r="2466">
      <x:c r="A2466" t="str">
        <x:v>ZS-3C5072616BF2</x:v>
      </x:c>
      <x:c r="B2466"/>
      <x:c r="C2466"/>
      <x:c r="D2466"/>
      <x:c r="E2466"/>
      <x:c r="F2466"/>
      <x:c r="G2466"/>
      <x:c r="H2466"/>
      <x:c r="I2466"/>
      <x:c r="J2466"/>
    </x:row>
    <x:row r="2467">
      <x:c r="A2467" t="str">
        <x:v>ZS-2E4095091088</x:v>
      </x:c>
      <x:c r="B2467"/>
      <x:c r="C2467"/>
      <x:c r="D2467"/>
      <x:c r="E2467"/>
      <x:c r="F2467"/>
      <x:c r="G2467"/>
      <x:c r="H2467"/>
      <x:c r="I2467"/>
      <x:c r="J2467"/>
    </x:row>
    <x:row r="2468">
      <x:c r="A2468" t="str">
        <x:v>ZS-927F063E3326</x:v>
      </x:c>
      <x:c r="B2468"/>
      <x:c r="C2468"/>
      <x:c r="D2468"/>
      <x:c r="E2468"/>
      <x:c r="F2468"/>
      <x:c r="G2468"/>
      <x:c r="H2468"/>
      <x:c r="I2468"/>
      <x:c r="J2468"/>
    </x:row>
    <x:row r="2469">
      <x:c r="A2469" t="str">
        <x:v>ZS-59794DFD4D71</x:v>
      </x:c>
      <x:c r="B2469"/>
      <x:c r="C2469"/>
      <x:c r="D2469"/>
      <x:c r="E2469"/>
      <x:c r="F2469"/>
      <x:c r="G2469"/>
      <x:c r="H2469"/>
      <x:c r="I2469"/>
      <x:c r="J2469"/>
    </x:row>
    <x:row r="2470">
      <x:c r="A2470" t="str">
        <x:v>ZS-3D81336B9E2B</x:v>
      </x:c>
      <x:c r="B2470"/>
      <x:c r="C2470"/>
      <x:c r="D2470"/>
      <x:c r="E2470"/>
      <x:c r="F2470"/>
      <x:c r="G2470"/>
      <x:c r="H2470"/>
      <x:c r="I2470"/>
      <x:c r="J2470"/>
    </x:row>
    <x:row r="2471">
      <x:c r="A2471" t="str">
        <x:v>ZS-7D31FD3FE0D7</x:v>
      </x:c>
      <x:c r="B2471"/>
      <x:c r="C2471"/>
      <x:c r="D2471"/>
      <x:c r="E2471"/>
      <x:c r="F2471"/>
      <x:c r="G2471"/>
      <x:c r="H2471"/>
      <x:c r="I2471"/>
      <x:c r="J2471"/>
    </x:row>
    <x:row r="2472">
      <x:c r="A2472" t="str">
        <x:v>ZS-6837D323142C</x:v>
      </x:c>
      <x:c r="B2472"/>
      <x:c r="C2472"/>
      <x:c r="D2472"/>
      <x:c r="E2472"/>
      <x:c r="F2472"/>
      <x:c r="G2472"/>
      <x:c r="H2472"/>
      <x:c r="I2472"/>
      <x:c r="J2472"/>
    </x:row>
    <x:row r="2473">
      <x:c r="A2473" t="str">
        <x:v>ZS-75AA8CEBEA22</x:v>
      </x:c>
      <x:c r="B2473"/>
      <x:c r="C2473"/>
      <x:c r="D2473"/>
      <x:c r="E2473"/>
      <x:c r="F2473"/>
      <x:c r="G2473"/>
      <x:c r="H2473"/>
      <x:c r="I2473"/>
      <x:c r="J2473"/>
    </x:row>
    <x:row r="2474">
      <x:c r="A2474" t="str">
        <x:v>ZS-C46C3B993FE2</x:v>
      </x:c>
      <x:c r="B2474"/>
      <x:c r="C2474"/>
      <x:c r="D2474"/>
      <x:c r="E2474"/>
      <x:c r="F2474"/>
      <x:c r="G2474"/>
      <x:c r="H2474"/>
      <x:c r="I2474"/>
      <x:c r="J2474"/>
    </x:row>
    <x:row r="2475">
      <x:c r="A2475" t="str">
        <x:v>ZS-92BA6BDD4F1A</x:v>
      </x:c>
      <x:c r="B2475"/>
      <x:c r="C2475"/>
      <x:c r="D2475"/>
      <x:c r="E2475"/>
      <x:c r="F2475"/>
      <x:c r="G2475"/>
      <x:c r="H2475"/>
      <x:c r="I2475"/>
      <x:c r="J2475"/>
    </x:row>
    <x:row r="2476">
      <x:c r="A2476" t="str">
        <x:v>ZS-5A29C77F3148</x:v>
      </x:c>
      <x:c r="B2476"/>
      <x:c r="C2476"/>
      <x:c r="D2476"/>
      <x:c r="E2476"/>
      <x:c r="F2476"/>
      <x:c r="G2476"/>
      <x:c r="H2476"/>
      <x:c r="I2476"/>
      <x:c r="J2476"/>
    </x:row>
    <x:row r="2477">
      <x:c r="A2477" t="str">
        <x:v>ZS-13F676332B02</x:v>
      </x:c>
      <x:c r="B2477"/>
      <x:c r="C2477"/>
      <x:c r="D2477"/>
      <x:c r="E2477"/>
      <x:c r="F2477"/>
      <x:c r="G2477"/>
      <x:c r="H2477"/>
      <x:c r="I2477"/>
      <x:c r="J2477"/>
    </x:row>
    <x:row r="2478">
      <x:c r="A2478" t="str">
        <x:v>ZS-61592F69E582</x:v>
      </x:c>
      <x:c r="B2478"/>
      <x:c r="C2478"/>
      <x:c r="D2478"/>
      <x:c r="E2478"/>
      <x:c r="F2478"/>
      <x:c r="G2478"/>
      <x:c r="H2478"/>
      <x:c r="I2478"/>
      <x:c r="J2478"/>
    </x:row>
    <x:row r="2479">
      <x:c r="A2479" t="str">
        <x:v>ZS-489507DF53E8</x:v>
      </x:c>
      <x:c r="B2479"/>
      <x:c r="C2479"/>
      <x:c r="D2479"/>
      <x:c r="E2479"/>
      <x:c r="F2479"/>
      <x:c r="G2479"/>
      <x:c r="H2479"/>
      <x:c r="I2479"/>
      <x:c r="J2479"/>
    </x:row>
    <x:row r="2480">
      <x:c r="A2480" t="str">
        <x:v>ZS-17878B2A26C7</x:v>
      </x:c>
      <x:c r="B2480"/>
      <x:c r="C2480"/>
      <x:c r="D2480"/>
      <x:c r="E2480"/>
      <x:c r="F2480"/>
      <x:c r="G2480"/>
      <x:c r="H2480"/>
      <x:c r="I2480"/>
      <x:c r="J2480"/>
    </x:row>
    <x:row r="2481">
      <x:c r="A2481" t="str">
        <x:v>ZS-2E703E5BCDFF</x:v>
      </x:c>
      <x:c r="B2481"/>
      <x:c r="C2481"/>
      <x:c r="D2481"/>
      <x:c r="E2481"/>
      <x:c r="F2481"/>
      <x:c r="G2481"/>
      <x:c r="H2481"/>
      <x:c r="I2481"/>
      <x:c r="J2481"/>
    </x:row>
    <x:row r="2482">
      <x:c r="A2482" t="str">
        <x:v>ZS-1A09E9089B22</x:v>
      </x:c>
      <x:c r="B2482"/>
      <x:c r="C2482"/>
      <x:c r="D2482"/>
      <x:c r="E2482"/>
      <x:c r="F2482"/>
      <x:c r="G2482"/>
      <x:c r="H2482"/>
      <x:c r="I2482"/>
      <x:c r="J2482"/>
    </x:row>
    <x:row r="2483">
      <x:c r="A2483" t="str">
        <x:v>ZS-B993355A04C4</x:v>
      </x:c>
      <x:c r="B2483"/>
      <x:c r="C2483"/>
      <x:c r="D2483"/>
      <x:c r="E2483"/>
      <x:c r="F2483"/>
      <x:c r="G2483"/>
      <x:c r="H2483"/>
      <x:c r="I2483"/>
      <x:c r="J2483"/>
    </x:row>
    <x:row r="2484">
      <x:c r="A2484" t="str">
        <x:v>ZS-1D7033A2513B</x:v>
      </x:c>
      <x:c r="B2484"/>
      <x:c r="C2484"/>
      <x:c r="D2484"/>
      <x:c r="E2484"/>
      <x:c r="F2484"/>
      <x:c r="G2484"/>
      <x:c r="H2484"/>
      <x:c r="I2484"/>
      <x:c r="J2484"/>
    </x:row>
    <x:row r="2485">
      <x:c r="A2485" t="str">
        <x:v>ZS-757F48C59E84</x:v>
      </x:c>
      <x:c r="B2485"/>
      <x:c r="C2485"/>
      <x:c r="D2485"/>
      <x:c r="E2485"/>
      <x:c r="F2485"/>
      <x:c r="G2485"/>
      <x:c r="H2485"/>
      <x:c r="I2485"/>
      <x:c r="J2485"/>
    </x:row>
    <x:row r="2486">
      <x:c r="A2486" t="str">
        <x:v>ZS-5A1D894814FE</x:v>
      </x:c>
      <x:c r="B2486"/>
      <x:c r="C2486"/>
      <x:c r="D2486"/>
      <x:c r="E2486"/>
      <x:c r="F2486"/>
      <x:c r="G2486"/>
      <x:c r="H2486"/>
      <x:c r="I2486"/>
      <x:c r="J2486"/>
    </x:row>
    <x:row r="2487">
      <x:c r="A2487" t="str">
        <x:v>ZS-CACA6655DC83</x:v>
      </x:c>
      <x:c r="B2487"/>
      <x:c r="C2487"/>
      <x:c r="D2487"/>
      <x:c r="E2487"/>
      <x:c r="F2487"/>
      <x:c r="G2487"/>
      <x:c r="H2487"/>
      <x:c r="I2487"/>
      <x:c r="J2487"/>
    </x:row>
    <x:row r="2488">
      <x:c r="A2488" t="str">
        <x:v>ZS-42AD2E6AA526</x:v>
      </x:c>
      <x:c r="B2488"/>
      <x:c r="C2488"/>
      <x:c r="D2488"/>
      <x:c r="E2488"/>
      <x:c r="F2488"/>
      <x:c r="G2488"/>
      <x:c r="H2488"/>
      <x:c r="I2488"/>
      <x:c r="J2488"/>
    </x:row>
    <x:row r="2489">
      <x:c r="A2489" t="str">
        <x:v>ZS-106C80768AC6</x:v>
      </x:c>
      <x:c r="B2489"/>
      <x:c r="C2489"/>
      <x:c r="D2489"/>
      <x:c r="E2489"/>
      <x:c r="F2489"/>
      <x:c r="G2489"/>
      <x:c r="H2489"/>
      <x:c r="I2489"/>
      <x:c r="J2489"/>
    </x:row>
    <x:row r="2490">
      <x:c r="A2490" t="str">
        <x:v>ZS-F8D148014D2A</x:v>
      </x:c>
      <x:c r="B2490"/>
      <x:c r="C2490"/>
      <x:c r="D2490"/>
      <x:c r="E2490"/>
      <x:c r="F2490"/>
      <x:c r="G2490"/>
      <x:c r="H2490"/>
      <x:c r="I2490"/>
      <x:c r="J2490"/>
    </x:row>
    <x:row r="2491">
      <x:c r="A2491" t="str">
        <x:v>ZS-2B8B10494D20</x:v>
      </x:c>
      <x:c r="B2491"/>
      <x:c r="C2491"/>
      <x:c r="D2491"/>
      <x:c r="E2491"/>
      <x:c r="F2491"/>
      <x:c r="G2491"/>
      <x:c r="H2491"/>
      <x:c r="I2491"/>
      <x:c r="J2491"/>
    </x:row>
    <x:row r="2492">
      <x:c r="A2492" t="str">
        <x:v>ZS-2BD8F35C0037</x:v>
      </x:c>
      <x:c r="B2492"/>
      <x:c r="C2492"/>
      <x:c r="D2492"/>
      <x:c r="E2492"/>
      <x:c r="F2492"/>
      <x:c r="G2492"/>
      <x:c r="H2492"/>
      <x:c r="I2492"/>
      <x:c r="J2492"/>
    </x:row>
    <x:row r="2493">
      <x:c r="A2493" t="str">
        <x:v>ZS-C64696F6009E</x:v>
      </x:c>
      <x:c r="B2493"/>
      <x:c r="C2493"/>
      <x:c r="D2493"/>
      <x:c r="E2493"/>
      <x:c r="F2493"/>
      <x:c r="G2493"/>
      <x:c r="H2493"/>
      <x:c r="I2493"/>
      <x:c r="J2493"/>
    </x:row>
    <x:row r="2494">
      <x:c r="A2494" t="str">
        <x:v>ZS-171B5AB5381E</x:v>
      </x:c>
      <x:c r="B2494"/>
      <x:c r="C2494"/>
      <x:c r="D2494"/>
      <x:c r="E2494"/>
      <x:c r="F2494"/>
      <x:c r="G2494"/>
      <x:c r="H2494"/>
      <x:c r="I2494"/>
      <x:c r="J2494"/>
    </x:row>
    <x:row r="2495">
      <x:c r="A2495" t="str">
        <x:v>ZS-1CD20E3A557B</x:v>
      </x:c>
      <x:c r="B2495"/>
      <x:c r="C2495"/>
      <x:c r="D2495"/>
      <x:c r="E2495"/>
      <x:c r="F2495"/>
      <x:c r="G2495"/>
      <x:c r="H2495"/>
      <x:c r="I2495"/>
      <x:c r="J2495"/>
    </x:row>
    <x:row r="2496">
      <x:c r="A2496" t="str">
        <x:v>ZS-6FEF41F6A4D2</x:v>
      </x:c>
      <x:c r="B2496"/>
      <x:c r="C2496"/>
      <x:c r="D2496"/>
      <x:c r="E2496"/>
      <x:c r="F2496"/>
      <x:c r="G2496"/>
      <x:c r="H2496"/>
      <x:c r="I2496"/>
      <x:c r="J2496"/>
    </x:row>
    <x:row r="2497">
      <x:c r="A2497" t="str">
        <x:v>ZS-FAE0E594CF28</x:v>
      </x:c>
      <x:c r="B2497"/>
      <x:c r="C2497"/>
      <x:c r="D2497"/>
      <x:c r="E2497"/>
      <x:c r="F2497"/>
      <x:c r="G2497"/>
      <x:c r="H2497"/>
      <x:c r="I2497"/>
      <x:c r="J2497"/>
    </x:row>
    <x:row r="2498">
      <x:c r="A2498" t="str">
        <x:v>ZS-830348AC9C42</x:v>
      </x:c>
      <x:c r="B2498"/>
      <x:c r="C2498"/>
      <x:c r="D2498"/>
      <x:c r="E2498"/>
      <x:c r="F2498"/>
      <x:c r="G2498"/>
      <x:c r="H2498"/>
      <x:c r="I2498"/>
      <x:c r="J2498"/>
    </x:row>
    <x:row r="2499">
      <x:c r="A2499" t="str">
        <x:v>ZS-D8B279241033</x:v>
      </x:c>
      <x:c r="B2499"/>
      <x:c r="C2499"/>
      <x:c r="D2499"/>
      <x:c r="E2499"/>
      <x:c r="F2499"/>
      <x:c r="G2499"/>
      <x:c r="H2499"/>
      <x:c r="I2499"/>
      <x:c r="J2499"/>
    </x:row>
    <x:row r="2500">
      <x:c r="A2500" t="str">
        <x:v>ZS-45DE1E4B7CD1</x:v>
      </x:c>
      <x:c r="B2500"/>
      <x:c r="C2500"/>
      <x:c r="D2500"/>
      <x:c r="E2500"/>
      <x:c r="F2500"/>
      <x:c r="G2500"/>
      <x:c r="H2500"/>
      <x:c r="I2500"/>
      <x:c r="J2500"/>
    </x:row>
    <x:row r="2501">
      <x:c r="A2501" t="str">
        <x:v>ZS-AB68426AAA2A</x:v>
      </x:c>
      <x:c r="B2501"/>
      <x:c r="C2501"/>
      <x:c r="D2501"/>
      <x:c r="E2501"/>
      <x:c r="F2501"/>
      <x:c r="G2501"/>
      <x:c r="H2501"/>
      <x:c r="I2501"/>
      <x:c r="J2501"/>
    </x:row>
    <x:row r="2502">
      <x:c r="A2502" t="str">
        <x:v>ZS-B65F5361EA69</x:v>
      </x:c>
      <x:c r="B2502"/>
      <x:c r="C2502"/>
      <x:c r="D2502"/>
      <x:c r="E2502"/>
      <x:c r="F2502"/>
      <x:c r="G2502"/>
      <x:c r="H2502"/>
      <x:c r="I2502"/>
      <x:c r="J2502"/>
    </x:row>
    <x:row r="2503">
      <x:c r="A2503" t="str">
        <x:v>ZS-DAE81FB5776D</x:v>
      </x:c>
      <x:c r="B2503"/>
      <x:c r="C2503"/>
      <x:c r="D2503"/>
      <x:c r="E2503"/>
      <x:c r="F2503"/>
      <x:c r="G2503"/>
      <x:c r="H2503"/>
      <x:c r="I2503"/>
      <x:c r="J2503"/>
    </x:row>
    <x:row r="2504">
      <x:c r="A2504" t="str">
        <x:v>ZS-B302CBA51448</x:v>
      </x:c>
      <x:c r="B2504"/>
      <x:c r="C2504"/>
      <x:c r="D2504"/>
      <x:c r="E2504"/>
      <x:c r="F2504"/>
      <x:c r="G2504"/>
      <x:c r="H2504"/>
      <x:c r="I2504"/>
      <x:c r="J2504"/>
    </x:row>
    <x:row r="2505">
      <x:c r="A2505" t="str">
        <x:v>ZS-61D4D6047A3E</x:v>
      </x:c>
      <x:c r="B2505"/>
      <x:c r="C2505"/>
      <x:c r="D2505"/>
      <x:c r="E2505"/>
      <x:c r="F2505"/>
      <x:c r="G2505"/>
      <x:c r="H2505"/>
      <x:c r="I2505"/>
      <x:c r="J2505"/>
    </x:row>
    <x:row r="2506">
      <x:c r="A2506" t="str">
        <x:v>ZS-D0B2EF62EFA8</x:v>
      </x:c>
      <x:c r="B2506"/>
      <x:c r="C2506"/>
      <x:c r="D2506"/>
      <x:c r="E2506"/>
      <x:c r="F2506"/>
      <x:c r="G2506"/>
      <x:c r="H2506"/>
      <x:c r="I2506"/>
      <x:c r="J2506"/>
    </x:row>
    <x:row r="2507">
      <x:c r="A2507" t="str">
        <x:v>ZS-09D80FA3FA2D</x:v>
      </x:c>
      <x:c r="B2507"/>
      <x:c r="C2507"/>
      <x:c r="D2507"/>
      <x:c r="E2507"/>
      <x:c r="F2507"/>
      <x:c r="G2507"/>
      <x:c r="H2507"/>
      <x:c r="I2507"/>
      <x:c r="J2507"/>
    </x:row>
    <x:row r="2508">
      <x:c r="A2508" t="str">
        <x:v>ZS-3B5C7CF2CF83</x:v>
      </x:c>
      <x:c r="B2508"/>
      <x:c r="C2508"/>
      <x:c r="D2508"/>
      <x:c r="E2508"/>
      <x:c r="F2508"/>
      <x:c r="G2508"/>
      <x:c r="H2508"/>
      <x:c r="I2508"/>
      <x:c r="J2508"/>
    </x:row>
    <x:row r="2509">
      <x:c r="A2509" t="str">
        <x:v>ZS-46373A4FC2EA</x:v>
      </x:c>
      <x:c r="B2509"/>
      <x:c r="C2509"/>
      <x:c r="D2509"/>
      <x:c r="E2509"/>
      <x:c r="F2509"/>
      <x:c r="G2509"/>
      <x:c r="H2509"/>
      <x:c r="I2509"/>
      <x:c r="J2509"/>
    </x:row>
    <x:row r="2510">
      <x:c r="A2510" t="str">
        <x:v>ZS-E59E35BD1D0C</x:v>
      </x:c>
      <x:c r="B2510"/>
      <x:c r="C2510"/>
      <x:c r="D2510"/>
      <x:c r="E2510"/>
      <x:c r="F2510"/>
      <x:c r="G2510"/>
      <x:c r="H2510"/>
      <x:c r="I2510"/>
      <x:c r="J2510"/>
    </x:row>
    <x:row r="2511">
      <x:c r="A2511" t="str">
        <x:v>ZS-E5C42E978C42</x:v>
      </x:c>
      <x:c r="B2511"/>
      <x:c r="C2511"/>
      <x:c r="D2511"/>
      <x:c r="E2511"/>
      <x:c r="F2511"/>
      <x:c r="G2511"/>
      <x:c r="H2511"/>
      <x:c r="I2511"/>
      <x:c r="J2511"/>
    </x:row>
    <x:row r="2512">
      <x:c r="A2512" t="str">
        <x:v>ZS-E378C3DC5F31</x:v>
      </x:c>
      <x:c r="B2512"/>
      <x:c r="C2512"/>
      <x:c r="D2512"/>
      <x:c r="E2512"/>
      <x:c r="F2512"/>
      <x:c r="G2512"/>
      <x:c r="H2512"/>
      <x:c r="I2512"/>
      <x:c r="J2512"/>
    </x:row>
    <x:row r="2513">
      <x:c r="A2513" t="str">
        <x:v>ZS-A58A304A4EE7</x:v>
      </x:c>
      <x:c r="B2513"/>
      <x:c r="C2513"/>
      <x:c r="D2513"/>
      <x:c r="E2513"/>
      <x:c r="F2513"/>
      <x:c r="G2513"/>
      <x:c r="H2513"/>
      <x:c r="I2513"/>
      <x:c r="J2513"/>
    </x:row>
    <x:row r="2514">
      <x:c r="A2514" t="str">
        <x:v>ZS-549581FDB17E</x:v>
      </x:c>
      <x:c r="B2514"/>
      <x:c r="C2514"/>
      <x:c r="D2514"/>
      <x:c r="E2514"/>
      <x:c r="F2514"/>
      <x:c r="G2514"/>
      <x:c r="H2514"/>
      <x:c r="I2514"/>
      <x:c r="J2514"/>
    </x:row>
    <x:row r="2515">
      <x:c r="A2515" t="str">
        <x:v>ZS-FC639DF643C9</x:v>
      </x:c>
      <x:c r="B2515"/>
      <x:c r="C2515"/>
      <x:c r="D2515"/>
      <x:c r="E2515"/>
      <x:c r="F2515"/>
      <x:c r="G2515"/>
      <x:c r="H2515"/>
      <x:c r="I2515"/>
      <x:c r="J2515"/>
    </x:row>
    <x:row r="2516">
      <x:c r="A2516" t="str">
        <x:v>ZS-6DEC38F1587C</x:v>
      </x:c>
      <x:c r="B2516"/>
      <x:c r="C2516"/>
      <x:c r="D2516"/>
      <x:c r="E2516"/>
      <x:c r="F2516"/>
      <x:c r="G2516"/>
      <x:c r="H2516"/>
      <x:c r="I2516"/>
      <x:c r="J2516"/>
    </x:row>
    <x:row r="2517">
      <x:c r="A2517" t="str">
        <x:v>ZS-62C3AA841E47</x:v>
      </x:c>
      <x:c r="B2517"/>
      <x:c r="C2517"/>
      <x:c r="D2517"/>
      <x:c r="E2517"/>
      <x:c r="F2517"/>
      <x:c r="G2517"/>
      <x:c r="H2517"/>
      <x:c r="I2517"/>
      <x:c r="J2517"/>
    </x:row>
    <x:row r="2518">
      <x:c r="A2518" t="str">
        <x:v>ZS-930CFBE6798B</x:v>
      </x:c>
      <x:c r="B2518"/>
      <x:c r="C2518"/>
      <x:c r="D2518"/>
      <x:c r="E2518"/>
      <x:c r="F2518"/>
      <x:c r="G2518"/>
      <x:c r="H2518"/>
      <x:c r="I2518"/>
      <x:c r="J2518"/>
    </x:row>
    <x:row r="2519">
      <x:c r="A2519" t="str">
        <x:v>ZS-D216374F23E9</x:v>
      </x:c>
      <x:c r="B2519"/>
      <x:c r="C2519"/>
      <x:c r="D2519"/>
      <x:c r="E2519"/>
      <x:c r="F2519"/>
      <x:c r="G2519"/>
      <x:c r="H2519"/>
      <x:c r="I2519"/>
      <x:c r="J2519"/>
    </x:row>
    <x:row r="2520">
      <x:c r="A2520" t="str">
        <x:v>ZS-A699900889E7</x:v>
      </x:c>
      <x:c r="B2520"/>
      <x:c r="C2520"/>
      <x:c r="D2520"/>
      <x:c r="E2520"/>
      <x:c r="F2520"/>
      <x:c r="G2520"/>
      <x:c r="H2520"/>
      <x:c r="I2520"/>
      <x:c r="J2520"/>
    </x:row>
    <x:row r="2521">
      <x:c r="A2521" t="str">
        <x:v>ZS-B42A106377E2</x:v>
      </x:c>
      <x:c r="B2521"/>
      <x:c r="C2521"/>
      <x:c r="D2521"/>
      <x:c r="E2521"/>
      <x:c r="F2521"/>
      <x:c r="G2521"/>
      <x:c r="H2521"/>
      <x:c r="I2521"/>
      <x:c r="J2521"/>
    </x:row>
    <x:row r="2522">
      <x:c r="A2522" t="str">
        <x:v>ZS-4A75EECB2FEC</x:v>
      </x:c>
      <x:c r="B2522"/>
      <x:c r="C2522"/>
      <x:c r="D2522"/>
      <x:c r="E2522"/>
      <x:c r="F2522"/>
      <x:c r="G2522"/>
      <x:c r="H2522"/>
      <x:c r="I2522"/>
      <x:c r="J2522"/>
    </x:row>
    <x:row r="2523">
      <x:c r="A2523" t="str">
        <x:v>ZS-B0A9BD0FC928</x:v>
      </x:c>
      <x:c r="B2523"/>
      <x:c r="C2523"/>
      <x:c r="D2523"/>
      <x:c r="E2523"/>
      <x:c r="F2523"/>
      <x:c r="G2523"/>
      <x:c r="H2523"/>
      <x:c r="I2523"/>
      <x:c r="J2523"/>
    </x:row>
    <x:row r="2524">
      <x:c r="A2524" t="str">
        <x:v>ZS-D58C0FFF85C0</x:v>
      </x:c>
      <x:c r="B2524"/>
      <x:c r="C2524"/>
      <x:c r="D2524"/>
      <x:c r="E2524"/>
      <x:c r="F2524"/>
      <x:c r="G2524"/>
      <x:c r="H2524"/>
      <x:c r="I2524"/>
      <x:c r="J2524"/>
    </x:row>
    <x:row r="2525">
      <x:c r="A2525" t="str">
        <x:v>ZS-6CFBB727BD0F</x:v>
      </x:c>
      <x:c r="B2525"/>
      <x:c r="C2525"/>
      <x:c r="D2525"/>
      <x:c r="E2525"/>
      <x:c r="F2525"/>
      <x:c r="G2525"/>
      <x:c r="H2525"/>
      <x:c r="I2525"/>
      <x:c r="J2525"/>
    </x:row>
    <x:row r="2526">
      <x:c r="A2526" t="str">
        <x:v>ZS-5D5DB47E4873</x:v>
      </x:c>
      <x:c r="B2526"/>
      <x:c r="C2526"/>
      <x:c r="D2526"/>
      <x:c r="E2526"/>
      <x:c r="F2526"/>
      <x:c r="G2526"/>
      <x:c r="H2526"/>
      <x:c r="I2526"/>
      <x:c r="J2526"/>
    </x:row>
    <x:row r="2527">
      <x:c r="A2527" t="str">
        <x:v>ZS-DF78AF1E0DCF</x:v>
      </x:c>
      <x:c r="B2527"/>
      <x:c r="C2527"/>
      <x:c r="D2527"/>
      <x:c r="E2527"/>
      <x:c r="F2527"/>
      <x:c r="G2527"/>
      <x:c r="H2527"/>
      <x:c r="I2527"/>
      <x:c r="J2527"/>
    </x:row>
    <x:row r="2528">
      <x:c r="A2528" t="str">
        <x:v>ZS-0C21C9996708</x:v>
      </x:c>
      <x:c r="B2528"/>
      <x:c r="C2528"/>
      <x:c r="D2528"/>
      <x:c r="E2528"/>
      <x:c r="F2528"/>
      <x:c r="G2528"/>
      <x:c r="H2528"/>
      <x:c r="I2528"/>
      <x:c r="J2528"/>
    </x:row>
    <x:row r="2529">
      <x:c r="A2529" t="str">
        <x:v>ZS-A9E9A8F85DFD</x:v>
      </x:c>
      <x:c r="B2529"/>
      <x:c r="C2529"/>
      <x:c r="D2529"/>
      <x:c r="E2529"/>
      <x:c r="F2529"/>
      <x:c r="G2529"/>
      <x:c r="H2529"/>
      <x:c r="I2529"/>
      <x:c r="J2529"/>
    </x:row>
    <x:row r="2530">
      <x:c r="A2530" t="str">
        <x:v>ZS-0FD9CE1050AF</x:v>
      </x:c>
      <x:c r="B2530"/>
      <x:c r="C2530"/>
      <x:c r="D2530"/>
      <x:c r="E2530"/>
      <x:c r="F2530"/>
      <x:c r="G2530"/>
      <x:c r="H2530"/>
      <x:c r="I2530"/>
      <x:c r="J2530"/>
    </x:row>
    <x:row r="2531">
      <x:c r="A2531" t="str">
        <x:v>ZS-019D8AC743B7</x:v>
      </x:c>
      <x:c r="B2531"/>
      <x:c r="C2531"/>
      <x:c r="D2531"/>
      <x:c r="E2531"/>
      <x:c r="F2531"/>
      <x:c r="G2531"/>
      <x:c r="H2531"/>
      <x:c r="I2531"/>
      <x:c r="J2531"/>
    </x:row>
    <x:row r="2532">
      <x:c r="A2532" t="str">
        <x:v>ZS-CE7BA02D663C</x:v>
      </x:c>
      <x:c r="B2532"/>
      <x:c r="C2532"/>
      <x:c r="D2532"/>
      <x:c r="E2532"/>
      <x:c r="F2532"/>
      <x:c r="G2532"/>
      <x:c r="H2532"/>
      <x:c r="I2532"/>
      <x:c r="J2532"/>
    </x:row>
    <x:row r="2533">
      <x:c r="A2533" t="str">
        <x:v>ZS-D81FB3DF2BA9</x:v>
      </x:c>
      <x:c r="B2533"/>
      <x:c r="C2533"/>
      <x:c r="D2533"/>
      <x:c r="E2533"/>
      <x:c r="F2533"/>
      <x:c r="G2533"/>
      <x:c r="H2533"/>
      <x:c r="I2533"/>
      <x:c r="J2533"/>
    </x:row>
    <x:row r="2534">
      <x:c r="A2534" t="str">
        <x:v>ZS-08E908EEBCBC</x:v>
      </x:c>
      <x:c r="B2534"/>
      <x:c r="C2534"/>
      <x:c r="D2534"/>
      <x:c r="E2534"/>
      <x:c r="F2534"/>
      <x:c r="G2534"/>
      <x:c r="H2534"/>
      <x:c r="I2534"/>
      <x:c r="J2534"/>
    </x:row>
    <x:row r="2535">
      <x:c r="A2535" t="str">
        <x:v>ZS-4AA820841B8A</x:v>
      </x:c>
      <x:c r="B2535"/>
      <x:c r="C2535"/>
      <x:c r="D2535"/>
      <x:c r="E2535"/>
      <x:c r="F2535"/>
      <x:c r="G2535"/>
      <x:c r="H2535"/>
      <x:c r="I2535"/>
      <x:c r="J2535"/>
    </x:row>
    <x:row r="2536">
      <x:c r="A2536" t="str">
        <x:v>ZS-4924D4EC1A87</x:v>
      </x:c>
      <x:c r="B2536"/>
      <x:c r="C2536"/>
      <x:c r="D2536"/>
      <x:c r="E2536"/>
      <x:c r="F2536"/>
      <x:c r="G2536"/>
      <x:c r="H2536"/>
      <x:c r="I2536"/>
      <x:c r="J2536"/>
    </x:row>
    <x:row r="2537">
      <x:c r="A2537" t="str">
        <x:v>ZS-FC890E44AA65</x:v>
      </x:c>
      <x:c r="B2537"/>
      <x:c r="C2537"/>
      <x:c r="D2537"/>
      <x:c r="E2537"/>
      <x:c r="F2537"/>
      <x:c r="G2537"/>
      <x:c r="H2537"/>
      <x:c r="I2537"/>
      <x:c r="J2537"/>
    </x:row>
    <x:row r="2538">
      <x:c r="A2538" t="str">
        <x:v>ZS-DB91AF0C6E87</x:v>
      </x:c>
      <x:c r="B2538"/>
      <x:c r="C2538"/>
      <x:c r="D2538"/>
      <x:c r="E2538"/>
      <x:c r="F2538"/>
      <x:c r="G2538"/>
      <x:c r="H2538"/>
      <x:c r="I2538"/>
      <x:c r="J2538"/>
    </x:row>
    <x:row r="2539">
      <x:c r="A2539" t="str">
        <x:v>ZS-67D0A24606BF</x:v>
      </x:c>
      <x:c r="B2539"/>
      <x:c r="C2539"/>
      <x:c r="D2539"/>
      <x:c r="E2539"/>
      <x:c r="F2539"/>
      <x:c r="G2539"/>
      <x:c r="H2539"/>
      <x:c r="I2539"/>
      <x:c r="J2539"/>
    </x:row>
    <x:row r="2540">
      <x:c r="A2540" t="str">
        <x:v>ZS-6B00125BE704</x:v>
      </x:c>
      <x:c r="B2540"/>
      <x:c r="C2540"/>
      <x:c r="D2540"/>
      <x:c r="E2540"/>
      <x:c r="F2540"/>
      <x:c r="G2540"/>
      <x:c r="H2540"/>
      <x:c r="I2540"/>
      <x:c r="J2540"/>
    </x:row>
    <x:row r="2541">
      <x:c r="A2541" t="str">
        <x:v>ZS-99E7E8BE9283</x:v>
      </x:c>
      <x:c r="B2541"/>
      <x:c r="C2541"/>
      <x:c r="D2541"/>
      <x:c r="E2541"/>
      <x:c r="F2541"/>
      <x:c r="G2541"/>
      <x:c r="H2541"/>
      <x:c r="I2541"/>
      <x:c r="J2541"/>
    </x:row>
    <x:row r="2542">
      <x:c r="A2542" t="str">
        <x:v>ZS-3A9C8DD0716C</x:v>
      </x:c>
      <x:c r="B2542"/>
      <x:c r="C2542"/>
      <x:c r="D2542"/>
      <x:c r="E2542"/>
      <x:c r="F2542"/>
      <x:c r="G2542"/>
      <x:c r="H2542"/>
      <x:c r="I2542"/>
      <x:c r="J2542"/>
    </x:row>
    <x:row r="2543">
      <x:c r="A2543" t="str">
        <x:v>ZS-7ACF376E14B1</x:v>
      </x:c>
      <x:c r="B2543"/>
      <x:c r="C2543"/>
      <x:c r="D2543"/>
      <x:c r="E2543"/>
      <x:c r="F2543"/>
      <x:c r="G2543"/>
      <x:c r="H2543"/>
      <x:c r="I2543"/>
      <x:c r="J2543"/>
    </x:row>
    <x:row r="2544">
      <x:c r="A2544" t="str">
        <x:v>ZS-3C5D6BEE0C03</x:v>
      </x:c>
      <x:c r="B2544"/>
      <x:c r="C2544"/>
      <x:c r="D2544"/>
      <x:c r="E2544"/>
      <x:c r="F2544"/>
      <x:c r="G2544"/>
      <x:c r="H2544"/>
      <x:c r="I2544"/>
      <x:c r="J2544"/>
    </x:row>
    <x:row r="2545">
      <x:c r="A2545" t="str">
        <x:v>ZS-E0127D17E935</x:v>
      </x:c>
      <x:c r="B2545"/>
      <x:c r="C2545"/>
      <x:c r="D2545"/>
      <x:c r="E2545"/>
      <x:c r="F2545"/>
      <x:c r="G2545"/>
      <x:c r="H2545"/>
      <x:c r="I2545"/>
      <x:c r="J2545"/>
    </x:row>
    <x:row r="2546">
      <x:c r="A2546" t="str">
        <x:v>ZS-835EF95E52B0</x:v>
      </x:c>
      <x:c r="B2546"/>
      <x:c r="C2546"/>
      <x:c r="D2546"/>
      <x:c r="E2546"/>
      <x:c r="F2546"/>
      <x:c r="G2546"/>
      <x:c r="H2546"/>
      <x:c r="I2546"/>
      <x:c r="J2546"/>
    </x:row>
    <x:row r="2547">
      <x:c r="A2547" t="str">
        <x:v>ZS-113936B0CBE4</x:v>
      </x:c>
      <x:c r="B2547"/>
      <x:c r="C2547"/>
      <x:c r="D2547"/>
      <x:c r="E2547"/>
      <x:c r="F2547"/>
      <x:c r="G2547"/>
      <x:c r="H2547"/>
      <x:c r="I2547"/>
      <x:c r="J2547"/>
    </x:row>
    <x:row r="2548">
      <x:c r="A2548" t="str">
        <x:v>ZS-4CC30DBCB56B</x:v>
      </x:c>
      <x:c r="B2548"/>
      <x:c r="C2548"/>
      <x:c r="D2548"/>
      <x:c r="E2548"/>
      <x:c r="F2548"/>
      <x:c r="G2548"/>
      <x:c r="H2548"/>
      <x:c r="I2548"/>
      <x:c r="J2548"/>
    </x:row>
    <x:row r="2549">
      <x:c r="A2549" t="str">
        <x:v>ZS-91B362B3D804</x:v>
      </x:c>
      <x:c r="B2549"/>
      <x:c r="C2549"/>
      <x:c r="D2549"/>
      <x:c r="E2549"/>
      <x:c r="F2549"/>
      <x:c r="G2549"/>
      <x:c r="H2549"/>
      <x:c r="I2549"/>
      <x:c r="J2549"/>
    </x:row>
    <x:row r="2550">
      <x:c r="A2550" t="str">
        <x:v>ZS-1E45F1D0C0D8</x:v>
      </x:c>
      <x:c r="B2550"/>
      <x:c r="C2550"/>
      <x:c r="D2550"/>
      <x:c r="E2550"/>
      <x:c r="F2550"/>
      <x:c r="G2550"/>
      <x:c r="H2550"/>
      <x:c r="I2550"/>
      <x:c r="J2550"/>
    </x:row>
    <x:row r="2551">
      <x:c r="A2551" t="str">
        <x:v>ZS-2A8B07ECD668</x:v>
      </x:c>
      <x:c r="B2551"/>
      <x:c r="C2551"/>
      <x:c r="D2551"/>
      <x:c r="E2551"/>
      <x:c r="F2551"/>
      <x:c r="G2551"/>
      <x:c r="H2551"/>
      <x:c r="I2551"/>
      <x:c r="J2551"/>
    </x:row>
    <x:row r="2552">
      <x:c r="A2552" t="str">
        <x:v>ZS-194651A71191</x:v>
      </x:c>
      <x:c r="B2552"/>
      <x:c r="C2552"/>
      <x:c r="D2552"/>
      <x:c r="E2552"/>
      <x:c r="F2552"/>
      <x:c r="G2552"/>
      <x:c r="H2552"/>
      <x:c r="I2552"/>
      <x:c r="J2552"/>
    </x:row>
    <x:row r="2553">
      <x:c r="A2553" t="str">
        <x:v>ZS-914EC0FD88ED</x:v>
      </x:c>
      <x:c r="B2553"/>
      <x:c r="C2553"/>
      <x:c r="D2553"/>
      <x:c r="E2553"/>
      <x:c r="F2553"/>
      <x:c r="G2553"/>
      <x:c r="H2553"/>
      <x:c r="I2553"/>
      <x:c r="J2553"/>
    </x:row>
    <x:row r="2554">
      <x:c r="A2554" t="str">
        <x:v>ZS-53E43C4467C6</x:v>
      </x:c>
      <x:c r="B2554"/>
      <x:c r="C2554"/>
      <x:c r="D2554"/>
      <x:c r="E2554"/>
      <x:c r="F2554"/>
      <x:c r="G2554"/>
      <x:c r="H2554"/>
      <x:c r="I2554"/>
      <x:c r="J2554"/>
    </x:row>
    <x:row r="2555">
      <x:c r="A2555" t="str">
        <x:v>ZS-22183864FB34</x:v>
      </x:c>
      <x:c r="B2555"/>
      <x:c r="C2555"/>
      <x:c r="D2555"/>
      <x:c r="E2555"/>
      <x:c r="F2555"/>
      <x:c r="G2555"/>
      <x:c r="H2555"/>
      <x:c r="I2555"/>
      <x:c r="J2555"/>
    </x:row>
    <x:row r="2556">
      <x:c r="A2556" t="str">
        <x:v>ZS-E61773CBA41B</x:v>
      </x:c>
      <x:c r="B2556"/>
      <x:c r="C2556"/>
      <x:c r="D2556"/>
      <x:c r="E2556"/>
      <x:c r="F2556"/>
      <x:c r="G2556"/>
      <x:c r="H2556"/>
      <x:c r="I2556"/>
      <x:c r="J2556"/>
    </x:row>
    <x:row r="2557">
      <x:c r="A2557" t="str">
        <x:v>ZS-9187D473411C</x:v>
      </x:c>
      <x:c r="B2557"/>
      <x:c r="C2557"/>
      <x:c r="D2557"/>
      <x:c r="E2557"/>
      <x:c r="F2557"/>
      <x:c r="G2557"/>
      <x:c r="H2557"/>
      <x:c r="I2557"/>
      <x:c r="J2557"/>
    </x:row>
    <x:row r="2558">
      <x:c r="A2558" t="str">
        <x:v>ZS-5F3016566BFC</x:v>
      </x:c>
      <x:c r="B2558"/>
      <x:c r="C2558"/>
      <x:c r="D2558"/>
      <x:c r="E2558"/>
      <x:c r="F2558"/>
      <x:c r="G2558"/>
      <x:c r="H2558"/>
      <x:c r="I2558"/>
      <x:c r="J2558"/>
    </x:row>
    <x:row r="2559">
      <x:c r="A2559" t="str">
        <x:v>ZS-580128DECFF9</x:v>
      </x:c>
      <x:c r="B2559"/>
      <x:c r="C2559"/>
      <x:c r="D2559"/>
      <x:c r="E2559"/>
      <x:c r="F2559"/>
      <x:c r="G2559"/>
      <x:c r="H2559"/>
      <x:c r="I2559"/>
      <x:c r="J2559"/>
    </x:row>
    <x:row r="2560">
      <x:c r="A2560" t="str">
        <x:v>ZS-4892F0A8A50C</x:v>
      </x:c>
      <x:c r="B2560"/>
      <x:c r="C2560"/>
      <x:c r="D2560"/>
      <x:c r="E2560"/>
      <x:c r="F2560"/>
      <x:c r="G2560"/>
      <x:c r="H2560"/>
      <x:c r="I2560"/>
      <x:c r="J2560"/>
    </x:row>
    <x:row r="2561">
      <x:c r="A2561" t="str">
        <x:v>ZS-2C54459781D2</x:v>
      </x:c>
      <x:c r="B2561"/>
      <x:c r="C2561"/>
      <x:c r="D2561"/>
      <x:c r="E2561"/>
      <x:c r="F2561"/>
      <x:c r="G2561"/>
      <x:c r="H2561"/>
      <x:c r="I2561"/>
      <x:c r="J2561"/>
    </x:row>
    <x:row r="2562">
      <x:c r="A2562" t="str">
        <x:v>ZS-E519F7739DDF</x:v>
      </x:c>
      <x:c r="B2562"/>
      <x:c r="C2562"/>
      <x:c r="D2562"/>
      <x:c r="E2562"/>
      <x:c r="F2562"/>
      <x:c r="G2562"/>
      <x:c r="H2562"/>
      <x:c r="I2562"/>
      <x:c r="J2562"/>
    </x:row>
    <x:row r="2563">
      <x:c r="A2563" t="str">
        <x:v>ZS-34C9E6BC1A36</x:v>
      </x:c>
      <x:c r="B2563"/>
      <x:c r="C2563"/>
      <x:c r="D2563"/>
      <x:c r="E2563"/>
      <x:c r="F2563"/>
      <x:c r="G2563"/>
      <x:c r="H2563"/>
      <x:c r="I2563"/>
      <x:c r="J2563"/>
    </x:row>
    <x:row r="2564">
      <x:c r="A2564" t="str">
        <x:v>ZS-E94A57065C44</x:v>
      </x:c>
      <x:c r="B2564"/>
      <x:c r="C2564"/>
      <x:c r="D2564"/>
      <x:c r="E2564"/>
      <x:c r="F2564"/>
      <x:c r="G2564"/>
      <x:c r="H2564"/>
      <x:c r="I2564"/>
      <x:c r="J2564"/>
    </x:row>
    <x:row r="2565">
      <x:c r="A2565" t="str">
        <x:v>ZS-DB5C0111F93A</x:v>
      </x:c>
      <x:c r="B2565"/>
      <x:c r="C2565"/>
      <x:c r="D2565"/>
      <x:c r="E2565"/>
      <x:c r="F2565"/>
      <x:c r="G2565"/>
      <x:c r="H2565"/>
      <x:c r="I2565"/>
      <x:c r="J2565"/>
    </x:row>
    <x:row r="2566">
      <x:c r="A2566" t="str">
        <x:v>ZS-3ADA4CB34086</x:v>
      </x:c>
      <x:c r="B2566"/>
      <x:c r="C2566"/>
      <x:c r="D2566"/>
      <x:c r="E2566"/>
      <x:c r="F2566"/>
      <x:c r="G2566"/>
      <x:c r="H2566"/>
      <x:c r="I2566"/>
      <x:c r="J2566"/>
    </x:row>
    <x:row r="2567">
      <x:c r="A2567" t="str">
        <x:v>ZS-BA693C191CE3</x:v>
      </x:c>
      <x:c r="B2567"/>
      <x:c r="C2567"/>
      <x:c r="D2567"/>
      <x:c r="E2567"/>
      <x:c r="F2567"/>
      <x:c r="G2567"/>
      <x:c r="H2567"/>
      <x:c r="I2567"/>
      <x:c r="J2567"/>
    </x:row>
    <x:row r="2568">
      <x:c r="A2568" t="str">
        <x:v>ZS-19663438AE05</x:v>
      </x:c>
      <x:c r="B2568"/>
      <x:c r="C2568"/>
      <x:c r="D2568"/>
      <x:c r="E2568"/>
      <x:c r="F2568"/>
      <x:c r="G2568"/>
      <x:c r="H2568"/>
      <x:c r="I2568"/>
      <x:c r="J2568"/>
    </x:row>
    <x:row r="2569">
      <x:c r="A2569" t="str">
        <x:v>ZS-C3083EC99704</x:v>
      </x:c>
      <x:c r="B2569"/>
      <x:c r="C2569"/>
      <x:c r="D2569"/>
      <x:c r="E2569"/>
      <x:c r="F2569"/>
      <x:c r="G2569"/>
      <x:c r="H2569"/>
      <x:c r="I2569"/>
      <x:c r="J2569"/>
    </x:row>
    <x:row r="2570">
      <x:c r="A2570" t="str">
        <x:v>ZS-51F7983DB372</x:v>
      </x:c>
      <x:c r="B2570"/>
      <x:c r="C2570"/>
      <x:c r="D2570"/>
      <x:c r="E2570"/>
      <x:c r="F2570"/>
      <x:c r="G2570"/>
      <x:c r="H2570"/>
      <x:c r="I2570"/>
      <x:c r="J2570"/>
    </x:row>
    <x:row r="2571">
      <x:c r="A2571" t="str">
        <x:v>ZS-9873B760102D</x:v>
      </x:c>
      <x:c r="B2571"/>
      <x:c r="C2571"/>
      <x:c r="D2571"/>
      <x:c r="E2571"/>
      <x:c r="F2571"/>
      <x:c r="G2571"/>
      <x:c r="H2571"/>
      <x:c r="I2571"/>
      <x:c r="J2571"/>
    </x:row>
    <x:row r="2572">
      <x:c r="A2572" t="str">
        <x:v>ZS-62B9D49CFC08</x:v>
      </x:c>
      <x:c r="B2572"/>
      <x:c r="C2572"/>
      <x:c r="D2572"/>
      <x:c r="E2572"/>
      <x:c r="F2572"/>
      <x:c r="G2572"/>
      <x:c r="H2572"/>
      <x:c r="I2572"/>
      <x:c r="J2572"/>
    </x:row>
    <x:row r="2573">
      <x:c r="A2573" t="str">
        <x:v>ZS-A7A770D18EB3</x:v>
      </x:c>
      <x:c r="B2573"/>
      <x:c r="C2573"/>
      <x:c r="D2573"/>
      <x:c r="E2573"/>
      <x:c r="F2573"/>
      <x:c r="G2573"/>
      <x:c r="H2573"/>
      <x:c r="I2573"/>
      <x:c r="J2573"/>
    </x:row>
    <x:row r="2574">
      <x:c r="A2574" t="str">
        <x:v>ZS-070363696B8B</x:v>
      </x:c>
      <x:c r="B2574"/>
      <x:c r="C2574"/>
      <x:c r="D2574"/>
      <x:c r="E2574"/>
      <x:c r="F2574"/>
      <x:c r="G2574"/>
      <x:c r="H2574"/>
      <x:c r="I2574"/>
      <x:c r="J2574"/>
    </x:row>
    <x:row r="2575">
      <x:c r="A2575" t="str">
        <x:v>ZS-F242CF13E3C5</x:v>
      </x:c>
      <x:c r="B2575"/>
      <x:c r="C2575"/>
      <x:c r="D2575"/>
      <x:c r="E2575"/>
      <x:c r="F2575"/>
      <x:c r="G2575"/>
      <x:c r="H2575"/>
      <x:c r="I2575"/>
      <x:c r="J2575"/>
    </x:row>
    <x:row r="2576">
      <x:c r="A2576" t="str">
        <x:v>ZS-16B2D6618A40</x:v>
      </x:c>
      <x:c r="B2576"/>
      <x:c r="C2576"/>
      <x:c r="D2576"/>
      <x:c r="E2576"/>
      <x:c r="F2576"/>
      <x:c r="G2576"/>
      <x:c r="H2576"/>
      <x:c r="I2576"/>
      <x:c r="J2576"/>
    </x:row>
    <x:row r="2577">
      <x:c r="A2577" t="str">
        <x:v>ZS-3A5F7282416E</x:v>
      </x:c>
      <x:c r="B2577"/>
      <x:c r="C2577"/>
      <x:c r="D2577"/>
      <x:c r="E2577"/>
      <x:c r="F2577"/>
      <x:c r="G2577"/>
      <x:c r="H2577"/>
      <x:c r="I2577"/>
      <x:c r="J2577"/>
    </x:row>
    <x:row r="2578">
      <x:c r="A2578" t="str">
        <x:v>ZS-2CB5E013CF01</x:v>
      </x:c>
      <x:c r="B2578"/>
      <x:c r="C2578"/>
      <x:c r="D2578"/>
      <x:c r="E2578"/>
      <x:c r="F2578"/>
      <x:c r="G2578"/>
      <x:c r="H2578"/>
      <x:c r="I2578"/>
      <x:c r="J2578"/>
    </x:row>
    <x:row r="2579">
      <x:c r="A2579" t="str">
        <x:v>ZS-520A8CD36762</x:v>
      </x:c>
      <x:c r="B2579"/>
      <x:c r="C2579"/>
      <x:c r="D2579"/>
      <x:c r="E2579"/>
      <x:c r="F2579"/>
      <x:c r="G2579"/>
      <x:c r="H2579"/>
      <x:c r="I2579"/>
      <x:c r="J2579"/>
    </x:row>
    <x:row r="2580">
      <x:c r="A2580" t="str">
        <x:v>ZS-FCF2E01A8EC4</x:v>
      </x:c>
      <x:c r="B2580"/>
      <x:c r="C2580"/>
      <x:c r="D2580"/>
      <x:c r="E2580"/>
      <x:c r="F2580"/>
      <x:c r="G2580"/>
      <x:c r="H2580"/>
      <x:c r="I2580"/>
      <x:c r="J2580"/>
    </x:row>
    <x:row r="2581">
      <x:c r="A2581" t="str">
        <x:v>ZS-45D6A9411367</x:v>
      </x:c>
      <x:c r="B2581"/>
      <x:c r="C2581"/>
      <x:c r="D2581"/>
      <x:c r="E2581"/>
      <x:c r="F2581"/>
      <x:c r="G2581"/>
      <x:c r="H2581"/>
      <x:c r="I2581"/>
      <x:c r="J2581"/>
    </x:row>
    <x:row r="2582">
      <x:c r="A2582" t="str">
        <x:v>ZS-EBA42AB616C3</x:v>
      </x:c>
      <x:c r="B2582"/>
      <x:c r="C2582"/>
      <x:c r="D2582"/>
      <x:c r="E2582"/>
      <x:c r="F2582"/>
      <x:c r="G2582"/>
      <x:c r="H2582"/>
      <x:c r="I2582"/>
      <x:c r="J2582"/>
    </x:row>
    <x:row r="2583">
      <x:c r="A2583" t="str">
        <x:v>ZS-61E29553B187</x:v>
      </x:c>
      <x:c r="B2583"/>
      <x:c r="C2583"/>
      <x:c r="D2583"/>
      <x:c r="E2583"/>
      <x:c r="F2583"/>
      <x:c r="G2583"/>
      <x:c r="H2583"/>
      <x:c r="I2583"/>
      <x:c r="J2583"/>
    </x:row>
    <x:row r="2584">
      <x:c r="A2584" t="str">
        <x:v>ZS-D63AFB888B3A</x:v>
      </x:c>
      <x:c r="B2584"/>
      <x:c r="C2584"/>
      <x:c r="D2584"/>
      <x:c r="E2584"/>
      <x:c r="F2584"/>
      <x:c r="G2584"/>
      <x:c r="H2584"/>
      <x:c r="I2584"/>
      <x:c r="J2584"/>
    </x:row>
    <x:row r="2585">
      <x:c r="A2585" t="str">
        <x:v>ZS-161682EE52E8</x:v>
      </x:c>
      <x:c r="B2585"/>
      <x:c r="C2585"/>
      <x:c r="D2585"/>
      <x:c r="E2585"/>
      <x:c r="F2585"/>
      <x:c r="G2585"/>
      <x:c r="H2585"/>
      <x:c r="I2585"/>
      <x:c r="J2585"/>
    </x:row>
    <x:row r="2586">
      <x:c r="A2586" t="str">
        <x:v>ZS-13AD4908FD07</x:v>
      </x:c>
      <x:c r="B2586"/>
      <x:c r="C2586"/>
      <x:c r="D2586"/>
      <x:c r="E2586"/>
      <x:c r="F2586"/>
      <x:c r="G2586"/>
      <x:c r="H2586"/>
      <x:c r="I2586"/>
      <x:c r="J2586"/>
    </x:row>
    <x:row r="2587">
      <x:c r="A2587" t="str">
        <x:v>ZS-D83D4B955A85</x:v>
      </x:c>
      <x:c r="B2587"/>
      <x:c r="C2587"/>
      <x:c r="D2587"/>
      <x:c r="E2587"/>
      <x:c r="F2587"/>
      <x:c r="G2587"/>
      <x:c r="H2587"/>
      <x:c r="I2587"/>
      <x:c r="J2587"/>
    </x:row>
    <x:row r="2588">
      <x:c r="A2588" t="str">
        <x:v>ZS-6AFC93D61A40</x:v>
      </x:c>
      <x:c r="B2588"/>
      <x:c r="C2588"/>
      <x:c r="D2588"/>
      <x:c r="E2588"/>
      <x:c r="F2588"/>
      <x:c r="G2588"/>
      <x:c r="H2588"/>
      <x:c r="I2588"/>
      <x:c r="J2588"/>
    </x:row>
    <x:row r="2589">
      <x:c r="A2589" t="str">
        <x:v>ZS-F3A00E68B6A8</x:v>
      </x:c>
      <x:c r="B2589"/>
      <x:c r="C2589"/>
      <x:c r="D2589"/>
      <x:c r="E2589"/>
      <x:c r="F2589"/>
      <x:c r="G2589"/>
      <x:c r="H2589"/>
      <x:c r="I2589"/>
      <x:c r="J2589"/>
    </x:row>
    <x:row r="2590">
      <x:c r="A2590" t="str">
        <x:v>ZS-2BB5B0BB6FCB</x:v>
      </x:c>
      <x:c r="B2590"/>
      <x:c r="C2590"/>
      <x:c r="D2590"/>
      <x:c r="E2590"/>
      <x:c r="F2590"/>
      <x:c r="G2590"/>
      <x:c r="H2590"/>
      <x:c r="I2590"/>
      <x:c r="J2590"/>
    </x:row>
    <x:row r="2591">
      <x:c r="A2591" t="str">
        <x:v>ZS-0D2DF93B1150</x:v>
      </x:c>
      <x:c r="B2591"/>
      <x:c r="C2591"/>
      <x:c r="D2591"/>
      <x:c r="E2591"/>
      <x:c r="F2591"/>
      <x:c r="G2591"/>
      <x:c r="H2591"/>
      <x:c r="I2591"/>
      <x:c r="J2591"/>
    </x:row>
    <x:row r="2592">
      <x:c r="A2592" t="str">
        <x:v>ZS-B43D235822F0</x:v>
      </x:c>
      <x:c r="B2592"/>
      <x:c r="C2592"/>
      <x:c r="D2592"/>
      <x:c r="E2592"/>
      <x:c r="F2592"/>
      <x:c r="G2592"/>
      <x:c r="H2592"/>
      <x:c r="I2592"/>
      <x:c r="J2592"/>
    </x:row>
    <x:row r="2593">
      <x:c r="A2593" t="str">
        <x:v>ZS-797E8C0390EF</x:v>
      </x:c>
      <x:c r="B2593"/>
      <x:c r="C2593"/>
      <x:c r="D2593"/>
      <x:c r="E2593"/>
      <x:c r="F2593"/>
      <x:c r="G2593"/>
      <x:c r="H2593"/>
      <x:c r="I2593"/>
      <x:c r="J2593"/>
    </x:row>
    <x:row r="2594">
      <x:c r="A2594" t="str">
        <x:v>ZS-BDFDE0A1A58E</x:v>
      </x:c>
      <x:c r="B2594"/>
      <x:c r="C2594"/>
      <x:c r="D2594"/>
      <x:c r="E2594"/>
      <x:c r="F2594"/>
      <x:c r="G2594"/>
      <x:c r="H2594"/>
      <x:c r="I2594"/>
      <x:c r="J2594"/>
    </x:row>
    <x:row r="2595">
      <x:c r="A2595" t="str">
        <x:v>ZS-E7363C877DD6</x:v>
      </x:c>
      <x:c r="B2595"/>
      <x:c r="C2595"/>
      <x:c r="D2595"/>
      <x:c r="E2595"/>
      <x:c r="F2595"/>
      <x:c r="G2595"/>
      <x:c r="H2595"/>
      <x:c r="I2595"/>
      <x:c r="J2595"/>
    </x:row>
    <x:row r="2596">
      <x:c r="A2596" t="str">
        <x:v>ZS-CF152DA2D796</x:v>
      </x:c>
      <x:c r="B2596"/>
      <x:c r="C2596"/>
      <x:c r="D2596"/>
      <x:c r="E2596"/>
      <x:c r="F2596"/>
      <x:c r="G2596"/>
      <x:c r="H2596"/>
      <x:c r="I2596"/>
      <x:c r="J2596"/>
    </x:row>
    <x:row r="2597">
      <x:c r="A2597" t="str">
        <x:v>ZS-E50A2BA4EFA6</x:v>
      </x:c>
      <x:c r="B2597"/>
      <x:c r="C2597"/>
      <x:c r="D2597"/>
      <x:c r="E2597"/>
      <x:c r="F2597"/>
      <x:c r="G2597"/>
      <x:c r="H2597"/>
      <x:c r="I2597"/>
      <x:c r="J2597"/>
    </x:row>
    <x:row r="2598">
      <x:c r="A2598" t="str">
        <x:v>ZS-53368882DC17</x:v>
      </x:c>
      <x:c r="B2598"/>
      <x:c r="C2598"/>
      <x:c r="D2598"/>
      <x:c r="E2598"/>
      <x:c r="F2598"/>
      <x:c r="G2598"/>
      <x:c r="H2598"/>
      <x:c r="I2598"/>
      <x:c r="J2598"/>
    </x:row>
    <x:row r="2599">
      <x:c r="A2599" t="str">
        <x:v>ZS-606AE1ACE1CE</x:v>
      </x:c>
      <x:c r="B2599"/>
      <x:c r="C2599"/>
      <x:c r="D2599"/>
      <x:c r="E2599"/>
      <x:c r="F2599"/>
      <x:c r="G2599"/>
      <x:c r="H2599"/>
      <x:c r="I2599"/>
      <x:c r="J2599"/>
    </x:row>
    <x:row r="2600">
      <x:c r="A2600" t="str">
        <x:v>ZS-7A8BEF202970</x:v>
      </x:c>
      <x:c r="B2600"/>
      <x:c r="C2600"/>
      <x:c r="D2600"/>
      <x:c r="E2600"/>
      <x:c r="F2600"/>
      <x:c r="G2600"/>
      <x:c r="H2600"/>
      <x:c r="I2600"/>
      <x:c r="J2600"/>
    </x:row>
    <x:row r="2601">
      <x:c r="A2601" t="str">
        <x:v>ZS-82862CC961FA</x:v>
      </x:c>
      <x:c r="B2601"/>
      <x:c r="C2601"/>
      <x:c r="D2601"/>
      <x:c r="E2601"/>
      <x:c r="F2601"/>
      <x:c r="G2601"/>
      <x:c r="H2601"/>
      <x:c r="I2601"/>
      <x:c r="J2601"/>
    </x:row>
    <x:row r="2602">
      <x:c r="A2602" t="str">
        <x:v>ZS-DE42D344F5E1</x:v>
      </x:c>
      <x:c r="B2602"/>
      <x:c r="C2602"/>
      <x:c r="D2602"/>
      <x:c r="E2602"/>
      <x:c r="F2602"/>
      <x:c r="G2602"/>
      <x:c r="H2602"/>
      <x:c r="I2602"/>
      <x:c r="J2602"/>
    </x:row>
    <x:row r="2603">
      <x:c r="A2603" t="str">
        <x:v>ZS-9701CBCAC9D1</x:v>
      </x:c>
      <x:c r="B2603"/>
      <x:c r="C2603"/>
      <x:c r="D2603"/>
      <x:c r="E2603"/>
      <x:c r="F2603"/>
      <x:c r="G2603"/>
      <x:c r="H2603"/>
      <x:c r="I2603"/>
      <x:c r="J2603"/>
    </x:row>
    <x:row r="2604">
      <x:c r="A2604" t="str">
        <x:v>ZS-6B431C51BB0E</x:v>
      </x:c>
      <x:c r="B2604"/>
      <x:c r="C2604"/>
      <x:c r="D2604"/>
      <x:c r="E2604"/>
      <x:c r="F2604"/>
      <x:c r="G2604"/>
      <x:c r="H2604"/>
      <x:c r="I2604"/>
      <x:c r="J2604"/>
    </x:row>
    <x:row r="2605">
      <x:c r="A2605" t="str">
        <x:v>ZS-9BE53E1A846C</x:v>
      </x:c>
      <x:c r="B2605"/>
      <x:c r="C2605"/>
      <x:c r="D2605"/>
      <x:c r="E2605"/>
      <x:c r="F2605"/>
      <x:c r="G2605"/>
      <x:c r="H2605"/>
      <x:c r="I2605"/>
      <x:c r="J2605"/>
    </x:row>
    <x:row r="2606">
      <x:c r="A2606" t="str">
        <x:v>ZS-75D82A8BF7B9</x:v>
      </x:c>
      <x:c r="B2606"/>
      <x:c r="C2606"/>
      <x:c r="D2606"/>
      <x:c r="E2606"/>
      <x:c r="F2606"/>
      <x:c r="G2606"/>
      <x:c r="H2606"/>
      <x:c r="I2606"/>
      <x:c r="J2606"/>
    </x:row>
    <x:row r="2607">
      <x:c r="A2607" t="str">
        <x:v>ZS-83777CA97CE3</x:v>
      </x:c>
      <x:c r="B2607"/>
      <x:c r="C2607"/>
      <x:c r="D2607"/>
      <x:c r="E2607"/>
      <x:c r="F2607"/>
      <x:c r="G2607"/>
      <x:c r="H2607"/>
      <x:c r="I2607"/>
      <x:c r="J2607"/>
    </x:row>
    <x:row r="2608">
      <x:c r="A2608" t="str">
        <x:v>ZS-F2EA88F97B14</x:v>
      </x:c>
      <x:c r="B2608"/>
      <x:c r="C2608"/>
      <x:c r="D2608"/>
      <x:c r="E2608"/>
      <x:c r="F2608"/>
      <x:c r="G2608"/>
      <x:c r="H2608"/>
      <x:c r="I2608"/>
      <x:c r="J2608"/>
    </x:row>
    <x:row r="2609">
      <x:c r="A2609" t="str">
        <x:v>ZS-550095C47790</x:v>
      </x:c>
      <x:c r="B2609"/>
      <x:c r="C2609"/>
      <x:c r="D2609"/>
      <x:c r="E2609"/>
      <x:c r="F2609"/>
      <x:c r="G2609"/>
      <x:c r="H2609"/>
      <x:c r="I2609"/>
      <x:c r="J2609"/>
    </x:row>
    <x:row r="2610">
      <x:c r="A2610" t="str">
        <x:v>ZS-AA291113D032</x:v>
      </x:c>
      <x:c r="B2610"/>
      <x:c r="C2610"/>
      <x:c r="D2610"/>
      <x:c r="E2610"/>
      <x:c r="F2610"/>
      <x:c r="G2610"/>
      <x:c r="H2610"/>
      <x:c r="I2610"/>
      <x:c r="J2610"/>
    </x:row>
    <x:row r="2611">
      <x:c r="A2611" t="str">
        <x:v>ZS-48AC1E934906</x:v>
      </x:c>
      <x:c r="B2611"/>
      <x:c r="C2611"/>
      <x:c r="D2611"/>
      <x:c r="E2611"/>
      <x:c r="F2611"/>
      <x:c r="G2611"/>
      <x:c r="H2611"/>
      <x:c r="I2611"/>
      <x:c r="J2611"/>
    </x:row>
    <x:row r="2612">
      <x:c r="A2612" t="str">
        <x:v>ZS-A4A7F2624154</x:v>
      </x:c>
      <x:c r="B2612"/>
      <x:c r="C2612"/>
      <x:c r="D2612"/>
      <x:c r="E2612"/>
      <x:c r="F2612"/>
      <x:c r="G2612"/>
      <x:c r="H2612"/>
      <x:c r="I2612"/>
      <x:c r="J2612"/>
    </x:row>
    <x:row r="2613">
      <x:c r="A2613" t="str">
        <x:v>ZS-980B3A89FD03</x:v>
      </x:c>
      <x:c r="B2613"/>
      <x:c r="C2613"/>
      <x:c r="D2613"/>
      <x:c r="E2613"/>
      <x:c r="F2613"/>
      <x:c r="G2613"/>
      <x:c r="H2613"/>
      <x:c r="I2613"/>
      <x:c r="J2613"/>
    </x:row>
    <x:row r="2614">
      <x:c r="A2614" t="str">
        <x:v>ZS-D4B0D2A195BE</x:v>
      </x:c>
      <x:c r="B2614"/>
      <x:c r="C2614"/>
      <x:c r="D2614"/>
      <x:c r="E2614"/>
      <x:c r="F2614"/>
      <x:c r="G2614"/>
      <x:c r="H2614"/>
      <x:c r="I2614"/>
      <x:c r="J2614"/>
    </x:row>
    <x:row r="2615">
      <x:c r="A2615" t="str">
        <x:v>ZS-D58FC9AB2CE9</x:v>
      </x:c>
      <x:c r="B2615"/>
      <x:c r="C2615"/>
      <x:c r="D2615"/>
      <x:c r="E2615"/>
      <x:c r="F2615"/>
      <x:c r="G2615"/>
      <x:c r="H2615"/>
      <x:c r="I2615"/>
      <x:c r="J2615"/>
    </x:row>
    <x:row r="2616">
      <x:c r="A2616" t="str">
        <x:v>ZS-3AFE640DB01E</x:v>
      </x:c>
      <x:c r="B2616"/>
      <x:c r="C2616"/>
      <x:c r="D2616"/>
      <x:c r="E2616"/>
      <x:c r="F2616"/>
      <x:c r="G2616"/>
      <x:c r="H2616"/>
      <x:c r="I2616"/>
      <x:c r="J2616"/>
    </x:row>
    <x:row r="2617">
      <x:c r="A2617" t="str">
        <x:v>ZS-E0F968B9341A</x:v>
      </x:c>
      <x:c r="B2617"/>
      <x:c r="C2617"/>
      <x:c r="D2617"/>
      <x:c r="E2617"/>
      <x:c r="F2617"/>
      <x:c r="G2617"/>
      <x:c r="H2617"/>
      <x:c r="I2617"/>
      <x:c r="J2617"/>
    </x:row>
    <x:row r="2618">
      <x:c r="A2618" t="str">
        <x:v>ZS-AA97C1E3E753</x:v>
      </x:c>
      <x:c r="B2618"/>
      <x:c r="C2618"/>
      <x:c r="D2618"/>
      <x:c r="E2618"/>
      <x:c r="F2618"/>
      <x:c r="G2618"/>
      <x:c r="H2618"/>
      <x:c r="I2618"/>
      <x:c r="J2618"/>
    </x:row>
    <x:row r="2619">
      <x:c r="A2619" t="str">
        <x:v>ZS-3343B27C564F</x:v>
      </x:c>
      <x:c r="B2619"/>
      <x:c r="C2619"/>
      <x:c r="D2619"/>
      <x:c r="E2619"/>
      <x:c r="F2619"/>
      <x:c r="G2619"/>
      <x:c r="H2619"/>
      <x:c r="I2619"/>
      <x:c r="J2619"/>
    </x:row>
    <x:row r="2620">
      <x:c r="A2620" t="str">
        <x:v>ZS-5EBFD0B431C9</x:v>
      </x:c>
      <x:c r="B2620"/>
      <x:c r="C2620"/>
      <x:c r="D2620"/>
      <x:c r="E2620"/>
      <x:c r="F2620"/>
      <x:c r="G2620"/>
      <x:c r="H2620"/>
      <x:c r="I2620"/>
      <x:c r="J2620"/>
    </x:row>
    <x:row r="2621">
      <x:c r="A2621" t="str">
        <x:v>ZS-128D98267CA4</x:v>
      </x:c>
      <x:c r="B2621"/>
      <x:c r="C2621"/>
      <x:c r="D2621"/>
      <x:c r="E2621"/>
      <x:c r="F2621"/>
      <x:c r="G2621"/>
      <x:c r="H2621"/>
      <x:c r="I2621"/>
      <x:c r="J2621"/>
    </x:row>
    <x:row r="2622">
      <x:c r="A2622" t="str">
        <x:v>ZS-7E111BCDCC36</x:v>
      </x:c>
      <x:c r="B2622"/>
      <x:c r="C2622"/>
      <x:c r="D2622"/>
      <x:c r="E2622"/>
      <x:c r="F2622"/>
      <x:c r="G2622"/>
      <x:c r="H2622"/>
      <x:c r="I2622"/>
      <x:c r="J2622"/>
    </x:row>
    <x:row r="2623">
      <x:c r="A2623" t="str">
        <x:v>ZS-2219A0390334</x:v>
      </x:c>
      <x:c r="B2623"/>
      <x:c r="C2623"/>
      <x:c r="D2623"/>
      <x:c r="E2623"/>
      <x:c r="F2623"/>
      <x:c r="G2623"/>
      <x:c r="H2623"/>
      <x:c r="I2623"/>
      <x:c r="J2623"/>
    </x:row>
    <x:row r="2624">
      <x:c r="A2624" t="str">
        <x:v>ZS-69C206F5AEA2</x:v>
      </x:c>
      <x:c r="B2624"/>
      <x:c r="C2624"/>
      <x:c r="D2624"/>
      <x:c r="E2624"/>
      <x:c r="F2624"/>
      <x:c r="G2624"/>
      <x:c r="H2624"/>
      <x:c r="I2624"/>
      <x:c r="J2624"/>
    </x:row>
    <x:row r="2625">
      <x:c r="A2625" t="str">
        <x:v>ZS-9DD748D3538D</x:v>
      </x:c>
      <x:c r="B2625"/>
      <x:c r="C2625"/>
      <x:c r="D2625"/>
      <x:c r="E2625"/>
      <x:c r="F2625"/>
      <x:c r="G2625"/>
      <x:c r="H2625"/>
      <x:c r="I2625"/>
      <x:c r="J2625"/>
    </x:row>
    <x:row r="2626">
      <x:c r="A2626" t="str">
        <x:v>ZS-66C6308170C9</x:v>
      </x:c>
      <x:c r="B2626"/>
      <x:c r="C2626"/>
      <x:c r="D2626"/>
      <x:c r="E2626"/>
      <x:c r="F2626"/>
      <x:c r="G2626"/>
      <x:c r="H2626"/>
      <x:c r="I2626"/>
      <x:c r="J2626"/>
    </x:row>
    <x:row r="2627">
      <x:c r="A2627" t="str">
        <x:v>ZS-A4662D3CF1BC</x:v>
      </x:c>
      <x:c r="B2627"/>
      <x:c r="C2627"/>
      <x:c r="D2627"/>
      <x:c r="E2627"/>
      <x:c r="F2627"/>
      <x:c r="G2627"/>
      <x:c r="H2627"/>
      <x:c r="I2627"/>
      <x:c r="J2627"/>
    </x:row>
    <x:row r="2628">
      <x:c r="A2628" t="str">
        <x:v>ZS-822BA9FC319E</x:v>
      </x:c>
      <x:c r="B2628"/>
      <x:c r="C2628"/>
      <x:c r="D2628"/>
      <x:c r="E2628"/>
      <x:c r="F2628"/>
      <x:c r="G2628"/>
      <x:c r="H2628"/>
      <x:c r="I2628"/>
      <x:c r="J2628"/>
    </x:row>
    <x:row r="2629">
      <x:c r="A2629" t="str">
        <x:v>ZS-CCBBCB782478</x:v>
      </x:c>
      <x:c r="B2629"/>
      <x:c r="C2629"/>
      <x:c r="D2629"/>
      <x:c r="E2629"/>
      <x:c r="F2629"/>
      <x:c r="G2629"/>
      <x:c r="H2629"/>
      <x:c r="I2629"/>
      <x:c r="J2629"/>
    </x:row>
    <x:row r="2630">
      <x:c r="A2630" t="str">
        <x:v>ZS-9892AF608B34</x:v>
      </x:c>
      <x:c r="B2630"/>
      <x:c r="C2630"/>
      <x:c r="D2630"/>
      <x:c r="E2630"/>
      <x:c r="F2630"/>
      <x:c r="G2630"/>
      <x:c r="H2630"/>
      <x:c r="I2630"/>
      <x:c r="J2630"/>
    </x:row>
    <x:row r="2631">
      <x:c r="A2631" t="str">
        <x:v>ZS-AB25D0F21261</x:v>
      </x:c>
      <x:c r="B2631"/>
      <x:c r="C2631"/>
      <x:c r="D2631"/>
      <x:c r="E2631"/>
      <x:c r="F2631"/>
      <x:c r="G2631"/>
      <x:c r="H2631"/>
      <x:c r="I2631"/>
      <x:c r="J2631"/>
    </x:row>
    <x:row r="2632">
      <x:c r="A2632" t="str">
        <x:v>ZS-53D09DF598A4</x:v>
      </x:c>
      <x:c r="B2632"/>
      <x:c r="C2632"/>
      <x:c r="D2632"/>
      <x:c r="E2632"/>
      <x:c r="F2632"/>
      <x:c r="G2632"/>
      <x:c r="H2632"/>
      <x:c r="I2632"/>
      <x:c r="J2632"/>
    </x:row>
    <x:row r="2633">
      <x:c r="A2633" t="str">
        <x:v>ZS-C888B7DF2D56</x:v>
      </x:c>
      <x:c r="B2633"/>
      <x:c r="C2633"/>
      <x:c r="D2633"/>
      <x:c r="E2633"/>
      <x:c r="F2633"/>
      <x:c r="G2633"/>
      <x:c r="H2633"/>
      <x:c r="I2633"/>
      <x:c r="J2633"/>
    </x:row>
    <x:row r="2634">
      <x:c r="A2634" t="str">
        <x:v>ZS-2E3EE4BA5D23</x:v>
      </x:c>
      <x:c r="B2634"/>
      <x:c r="C2634"/>
      <x:c r="D2634"/>
      <x:c r="E2634"/>
      <x:c r="F2634"/>
      <x:c r="G2634"/>
      <x:c r="H2634"/>
      <x:c r="I2634"/>
      <x:c r="J2634"/>
    </x:row>
    <x:row r="2635">
      <x:c r="A2635" t="str">
        <x:v>ZS-ACAB6E7F3BC8</x:v>
      </x:c>
      <x:c r="B2635"/>
      <x:c r="C2635"/>
      <x:c r="D2635"/>
      <x:c r="E2635"/>
      <x:c r="F2635"/>
      <x:c r="G2635"/>
      <x:c r="H2635"/>
      <x:c r="I2635"/>
      <x:c r="J2635"/>
    </x:row>
    <x:row r="2636">
      <x:c r="A2636" t="str">
        <x:v>ZS-E525EC0F4B66</x:v>
      </x:c>
      <x:c r="B2636"/>
      <x:c r="C2636"/>
      <x:c r="D2636"/>
      <x:c r="E2636"/>
      <x:c r="F2636"/>
      <x:c r="G2636"/>
      <x:c r="H2636"/>
      <x:c r="I2636"/>
      <x:c r="J2636"/>
    </x:row>
    <x:row r="2637">
      <x:c r="A2637" t="str">
        <x:v>ZS-9F00E3ABEB6D</x:v>
      </x:c>
      <x:c r="B2637"/>
      <x:c r="C2637"/>
      <x:c r="D2637"/>
      <x:c r="E2637"/>
      <x:c r="F2637"/>
      <x:c r="G2637"/>
      <x:c r="H2637"/>
      <x:c r="I2637"/>
      <x:c r="J2637"/>
    </x:row>
    <x:row r="2638">
      <x:c r="A2638" t="str">
        <x:v>ZS-B31784266C1F</x:v>
      </x:c>
      <x:c r="B2638"/>
      <x:c r="C2638"/>
      <x:c r="D2638"/>
      <x:c r="E2638"/>
      <x:c r="F2638"/>
      <x:c r="G2638"/>
      <x:c r="H2638"/>
      <x:c r="I2638"/>
      <x:c r="J2638"/>
    </x:row>
    <x:row r="2639">
      <x:c r="A2639" t="str">
        <x:v>ZS-B448C719AE80</x:v>
      </x:c>
      <x:c r="B2639"/>
      <x:c r="C2639"/>
      <x:c r="D2639"/>
      <x:c r="E2639"/>
      <x:c r="F2639"/>
      <x:c r="G2639"/>
      <x:c r="H2639"/>
      <x:c r="I2639"/>
      <x:c r="J2639"/>
    </x:row>
    <x:row r="2640">
      <x:c r="A2640" t="str">
        <x:v>ZS-88DD5AD397C6</x:v>
      </x:c>
      <x:c r="B2640"/>
      <x:c r="C2640"/>
      <x:c r="D2640"/>
      <x:c r="E2640"/>
      <x:c r="F2640"/>
      <x:c r="G2640"/>
      <x:c r="H2640"/>
      <x:c r="I2640"/>
      <x:c r="J2640"/>
    </x:row>
    <x:row r="2641">
      <x:c r="A2641" t="str">
        <x:v>ZS-904463FB4A28</x:v>
      </x:c>
      <x:c r="B2641"/>
      <x:c r="C2641"/>
      <x:c r="D2641"/>
      <x:c r="E2641"/>
      <x:c r="F2641"/>
      <x:c r="G2641"/>
      <x:c r="H2641"/>
      <x:c r="I2641"/>
      <x:c r="J2641"/>
    </x:row>
    <x:row r="2642">
      <x:c r="A2642" t="str">
        <x:v>ZS-6B403093AC81</x:v>
      </x:c>
      <x:c r="B2642"/>
      <x:c r="C2642"/>
      <x:c r="D2642"/>
      <x:c r="E2642"/>
      <x:c r="F2642"/>
      <x:c r="G2642"/>
      <x:c r="H2642"/>
      <x:c r="I2642"/>
      <x:c r="J2642"/>
    </x:row>
    <x:row r="2643">
      <x:c r="A2643" t="str">
        <x:v>ZS-590A9F0DB96A</x:v>
      </x:c>
      <x:c r="B2643"/>
      <x:c r="C2643"/>
      <x:c r="D2643"/>
      <x:c r="E2643"/>
      <x:c r="F2643"/>
      <x:c r="G2643"/>
      <x:c r="H2643"/>
      <x:c r="I2643"/>
      <x:c r="J2643"/>
    </x:row>
    <x:row r="2644">
      <x:c r="A2644" t="str">
        <x:v>ZS-D5838A864B90</x:v>
      </x:c>
      <x:c r="B2644"/>
      <x:c r="C2644"/>
      <x:c r="D2644"/>
      <x:c r="E2644"/>
      <x:c r="F2644"/>
      <x:c r="G2644"/>
      <x:c r="H2644"/>
      <x:c r="I2644"/>
      <x:c r="J2644"/>
    </x:row>
    <x:row r="2645">
      <x:c r="A2645" t="str">
        <x:v>ZS-D893550A5359</x:v>
      </x:c>
      <x:c r="B2645"/>
      <x:c r="C2645"/>
      <x:c r="D2645"/>
      <x:c r="E2645"/>
      <x:c r="F2645"/>
      <x:c r="G2645"/>
      <x:c r="H2645"/>
      <x:c r="I2645"/>
      <x:c r="J2645"/>
    </x:row>
    <x:row r="2646">
      <x:c r="A2646" t="str">
        <x:v>ZS-3669F7A4C341</x:v>
      </x:c>
      <x:c r="B2646"/>
      <x:c r="C2646"/>
      <x:c r="D2646"/>
      <x:c r="E2646"/>
      <x:c r="F2646"/>
      <x:c r="G2646"/>
      <x:c r="H2646"/>
      <x:c r="I2646"/>
      <x:c r="J2646"/>
    </x:row>
    <x:row r="2647">
      <x:c r="A2647" t="str">
        <x:v>ZS-EB1795FE52EE</x:v>
      </x:c>
      <x:c r="B2647"/>
      <x:c r="C2647"/>
      <x:c r="D2647"/>
      <x:c r="E2647"/>
      <x:c r="F2647"/>
      <x:c r="G2647"/>
      <x:c r="H2647"/>
      <x:c r="I2647"/>
      <x:c r="J2647"/>
    </x:row>
    <x:row r="2648">
      <x:c r="A2648" t="str">
        <x:v>ZS-551F10D830FA</x:v>
      </x:c>
      <x:c r="B2648"/>
      <x:c r="C2648"/>
      <x:c r="D2648"/>
      <x:c r="E2648"/>
      <x:c r="F2648"/>
      <x:c r="G2648"/>
      <x:c r="H2648"/>
      <x:c r="I2648"/>
      <x:c r="J2648"/>
    </x:row>
    <x:row r="2649">
      <x:c r="A2649" t="str">
        <x:v>ZS-9AD39E20825D</x:v>
      </x:c>
      <x:c r="B2649"/>
      <x:c r="C2649"/>
      <x:c r="D2649"/>
      <x:c r="E2649"/>
      <x:c r="F2649"/>
      <x:c r="G2649"/>
      <x:c r="H2649"/>
      <x:c r="I2649"/>
      <x:c r="J2649"/>
    </x:row>
    <x:row r="2650">
      <x:c r="A2650" t="str">
        <x:v>ZS-F0F24CEDC148</x:v>
      </x:c>
      <x:c r="B2650"/>
      <x:c r="C2650"/>
      <x:c r="D2650"/>
      <x:c r="E2650"/>
      <x:c r="F2650"/>
      <x:c r="G2650"/>
      <x:c r="H2650"/>
      <x:c r="I2650"/>
      <x:c r="J2650"/>
    </x:row>
    <x:row r="2651">
      <x:c r="A2651" t="str">
        <x:v>ZS-F1A13158E72A</x:v>
      </x:c>
      <x:c r="B2651"/>
      <x:c r="C2651"/>
      <x:c r="D2651"/>
      <x:c r="E2651"/>
      <x:c r="F2651"/>
      <x:c r="G2651"/>
      <x:c r="H2651"/>
      <x:c r="I2651"/>
      <x:c r="J2651"/>
    </x:row>
    <x:row r="2652">
      <x:c r="A2652" t="str">
        <x:v>ZS-073D39A62626</x:v>
      </x:c>
      <x:c r="B2652"/>
      <x:c r="C2652"/>
      <x:c r="D2652"/>
      <x:c r="E2652"/>
      <x:c r="F2652"/>
      <x:c r="G2652"/>
      <x:c r="H2652"/>
      <x:c r="I2652"/>
      <x:c r="J2652"/>
    </x:row>
    <x:row r="2653">
      <x:c r="A2653" t="str">
        <x:v>ZS-E757FA6A744F</x:v>
      </x:c>
      <x:c r="B2653"/>
      <x:c r="C2653"/>
      <x:c r="D2653"/>
      <x:c r="E2653"/>
      <x:c r="F2653"/>
      <x:c r="G2653"/>
      <x:c r="H2653"/>
      <x:c r="I2653"/>
      <x:c r="J2653"/>
    </x:row>
    <x:row r="2654">
      <x:c r="A2654" t="str">
        <x:v>ZS-F5847282AE5D</x:v>
      </x:c>
      <x:c r="B2654"/>
      <x:c r="C2654"/>
      <x:c r="D2654"/>
      <x:c r="E2654"/>
      <x:c r="F2654"/>
      <x:c r="G2654"/>
      <x:c r="H2654"/>
      <x:c r="I2654"/>
      <x:c r="J2654"/>
    </x:row>
    <x:row r="2655">
      <x:c r="A2655" t="str">
        <x:v>ZS-ED807FABD742</x:v>
      </x:c>
      <x:c r="B2655"/>
      <x:c r="C2655"/>
      <x:c r="D2655"/>
      <x:c r="E2655"/>
      <x:c r="F2655"/>
      <x:c r="G2655"/>
      <x:c r="H2655"/>
      <x:c r="I2655"/>
      <x:c r="J2655"/>
    </x:row>
    <x:row r="2656">
      <x:c r="A2656" t="str">
        <x:v>ZS-25D2CC2A9EC6</x:v>
      </x:c>
      <x:c r="B2656"/>
      <x:c r="C2656"/>
      <x:c r="D2656"/>
      <x:c r="E2656"/>
      <x:c r="F2656"/>
      <x:c r="G2656"/>
      <x:c r="H2656"/>
      <x:c r="I2656"/>
      <x:c r="J2656"/>
    </x:row>
    <x:row r="2657">
      <x:c r="A2657" t="str">
        <x:v>ZS-209A35A5BFC6</x:v>
      </x:c>
      <x:c r="B2657"/>
      <x:c r="C2657"/>
      <x:c r="D2657"/>
      <x:c r="E2657"/>
      <x:c r="F2657"/>
      <x:c r="G2657"/>
      <x:c r="H2657"/>
      <x:c r="I2657"/>
      <x:c r="J2657"/>
    </x:row>
    <x:row r="2658">
      <x:c r="A2658" t="str">
        <x:v>ZS-BC77941BACE0</x:v>
      </x:c>
      <x:c r="B2658"/>
      <x:c r="C2658"/>
      <x:c r="D2658"/>
      <x:c r="E2658"/>
      <x:c r="F2658"/>
      <x:c r="G2658"/>
      <x:c r="H2658"/>
      <x:c r="I2658"/>
      <x:c r="J2658"/>
    </x:row>
    <x:row r="2659">
      <x:c r="A2659" t="str">
        <x:v>ZS-AF65A2872E53</x:v>
      </x:c>
      <x:c r="B2659"/>
      <x:c r="C2659"/>
      <x:c r="D2659"/>
      <x:c r="E2659"/>
      <x:c r="F2659"/>
      <x:c r="G2659"/>
      <x:c r="H2659"/>
      <x:c r="I2659"/>
      <x:c r="J2659"/>
    </x:row>
    <x:row r="2660">
      <x:c r="A2660" t="str">
        <x:v>ZS-49317C5AA531</x:v>
      </x:c>
      <x:c r="B2660"/>
      <x:c r="C2660"/>
      <x:c r="D2660"/>
      <x:c r="E2660"/>
      <x:c r="F2660"/>
      <x:c r="G2660"/>
      <x:c r="H2660"/>
      <x:c r="I2660"/>
      <x:c r="J2660"/>
    </x:row>
    <x:row r="2661">
      <x:c r="A2661" t="str">
        <x:v>ZS-47FAF600817E</x:v>
      </x:c>
      <x:c r="B2661"/>
      <x:c r="C2661"/>
      <x:c r="D2661"/>
      <x:c r="E2661"/>
      <x:c r="F2661"/>
      <x:c r="G2661"/>
      <x:c r="H2661"/>
      <x:c r="I2661"/>
      <x:c r="J2661"/>
    </x:row>
    <x:row r="2662">
      <x:c r="A2662" t="str">
        <x:v>ZS-3F092526DAE5</x:v>
      </x:c>
      <x:c r="B2662"/>
      <x:c r="C2662"/>
      <x:c r="D2662"/>
      <x:c r="E2662"/>
      <x:c r="F2662"/>
      <x:c r="G2662"/>
      <x:c r="H2662"/>
      <x:c r="I2662"/>
      <x:c r="J2662"/>
    </x:row>
    <x:row r="2663">
      <x:c r="A2663" t="str">
        <x:v>ZS-1AE123110C7E</x:v>
      </x:c>
      <x:c r="B2663"/>
      <x:c r="C2663"/>
      <x:c r="D2663"/>
      <x:c r="E2663"/>
      <x:c r="F2663"/>
      <x:c r="G2663"/>
      <x:c r="H2663"/>
      <x:c r="I2663"/>
      <x:c r="J2663"/>
    </x:row>
    <x:row r="2664">
      <x:c r="A2664" t="str">
        <x:v>ZS-DF0126C08D9A</x:v>
      </x:c>
      <x:c r="B2664"/>
      <x:c r="C2664"/>
      <x:c r="D2664"/>
      <x:c r="E2664"/>
      <x:c r="F2664"/>
      <x:c r="G2664"/>
      <x:c r="H2664"/>
      <x:c r="I2664"/>
      <x:c r="J2664"/>
    </x:row>
    <x:row r="2665">
      <x:c r="A2665" t="str">
        <x:v>ZS-43DD8A555654</x:v>
      </x:c>
      <x:c r="B2665"/>
      <x:c r="C2665"/>
      <x:c r="D2665"/>
      <x:c r="E2665"/>
      <x:c r="F2665"/>
      <x:c r="G2665"/>
      <x:c r="H2665"/>
      <x:c r="I2665"/>
      <x:c r="J2665"/>
    </x:row>
    <x:row r="2666">
      <x:c r="A2666" t="str">
        <x:v>ZS-8BF46C889536</x:v>
      </x:c>
      <x:c r="B2666"/>
      <x:c r="C2666"/>
      <x:c r="D2666"/>
      <x:c r="E2666"/>
      <x:c r="F2666"/>
      <x:c r="G2666"/>
      <x:c r="H2666"/>
      <x:c r="I2666"/>
      <x:c r="J2666"/>
    </x:row>
    <x:row r="2667">
      <x:c r="A2667" t="str">
        <x:v>ZS-FD31FAA8AFBE</x:v>
      </x:c>
      <x:c r="B2667"/>
      <x:c r="C2667"/>
      <x:c r="D2667"/>
      <x:c r="E2667"/>
      <x:c r="F2667"/>
      <x:c r="G2667"/>
      <x:c r="H2667"/>
      <x:c r="I2667"/>
      <x:c r="J2667"/>
    </x:row>
    <x:row r="2668">
      <x:c r="A2668" t="str">
        <x:v>ZS-A26DA144FFAF</x:v>
      </x:c>
      <x:c r="B2668"/>
      <x:c r="C2668"/>
      <x:c r="D2668"/>
      <x:c r="E2668"/>
      <x:c r="F2668"/>
      <x:c r="G2668"/>
      <x:c r="H2668"/>
      <x:c r="I2668"/>
      <x:c r="J2668"/>
    </x:row>
    <x:row r="2669">
      <x:c r="A2669" t="str">
        <x:v>ZS-AF5709A06685</x:v>
      </x:c>
      <x:c r="B2669"/>
      <x:c r="C2669"/>
      <x:c r="D2669"/>
      <x:c r="E2669"/>
      <x:c r="F2669"/>
      <x:c r="G2669"/>
      <x:c r="H2669"/>
      <x:c r="I2669"/>
      <x:c r="J2669"/>
    </x:row>
    <x:row r="2670">
      <x:c r="A2670" t="str">
        <x:v>ZS-39F5F9DCAF3A</x:v>
      </x:c>
      <x:c r="B2670"/>
      <x:c r="C2670"/>
      <x:c r="D2670"/>
      <x:c r="E2670"/>
      <x:c r="F2670"/>
      <x:c r="G2670"/>
      <x:c r="H2670"/>
      <x:c r="I2670"/>
      <x:c r="J2670"/>
    </x:row>
    <x:row r="2671">
      <x:c r="A2671" t="str">
        <x:v>ZS-C02E34ADFF02</x:v>
      </x:c>
      <x:c r="B2671"/>
      <x:c r="C2671"/>
      <x:c r="D2671"/>
      <x:c r="E2671"/>
      <x:c r="F2671"/>
      <x:c r="G2671"/>
      <x:c r="H2671"/>
      <x:c r="I2671"/>
      <x:c r="J2671"/>
    </x:row>
    <x:row r="2672">
      <x:c r="A2672" t="str">
        <x:v>ZS-BDF47483D10D</x:v>
      </x:c>
      <x:c r="B2672"/>
      <x:c r="C2672"/>
      <x:c r="D2672"/>
      <x:c r="E2672"/>
      <x:c r="F2672"/>
      <x:c r="G2672"/>
      <x:c r="H2672"/>
      <x:c r="I2672"/>
      <x:c r="J2672"/>
    </x:row>
    <x:row r="2673">
      <x:c r="A2673" t="str">
        <x:v>ZS-D3A44CB59D98</x:v>
      </x:c>
      <x:c r="B2673"/>
      <x:c r="C2673"/>
      <x:c r="D2673"/>
      <x:c r="E2673"/>
      <x:c r="F2673"/>
      <x:c r="G2673"/>
      <x:c r="H2673"/>
      <x:c r="I2673"/>
      <x:c r="J2673"/>
    </x:row>
    <x:row r="2674">
      <x:c r="A2674" t="str">
        <x:v>ZS-2E67B2B7119F</x:v>
      </x:c>
      <x:c r="B2674"/>
      <x:c r="C2674"/>
      <x:c r="D2674"/>
      <x:c r="E2674"/>
      <x:c r="F2674"/>
      <x:c r="G2674"/>
      <x:c r="H2674"/>
      <x:c r="I2674"/>
      <x:c r="J2674"/>
    </x:row>
    <x:row r="2675">
      <x:c r="A2675" t="str">
        <x:v>ZS-F3D69F275CBC</x:v>
      </x:c>
      <x:c r="B2675"/>
      <x:c r="C2675"/>
      <x:c r="D2675"/>
      <x:c r="E2675"/>
      <x:c r="F2675"/>
      <x:c r="G2675"/>
      <x:c r="H2675"/>
      <x:c r="I2675"/>
      <x:c r="J2675"/>
    </x:row>
    <x:row r="2676">
      <x:c r="A2676" t="str">
        <x:v>ZS-C66AAC53A2F2</x:v>
      </x:c>
      <x:c r="B2676"/>
      <x:c r="C2676"/>
      <x:c r="D2676"/>
      <x:c r="E2676"/>
      <x:c r="F2676"/>
      <x:c r="G2676"/>
      <x:c r="H2676"/>
      <x:c r="I2676"/>
      <x:c r="J2676"/>
    </x:row>
    <x:row r="2677">
      <x:c r="A2677" t="str">
        <x:v>ZS-1D58DDBB3579</x:v>
      </x:c>
      <x:c r="B2677"/>
      <x:c r="C2677"/>
      <x:c r="D2677"/>
      <x:c r="E2677"/>
      <x:c r="F2677"/>
      <x:c r="G2677"/>
      <x:c r="H2677"/>
      <x:c r="I2677"/>
      <x:c r="J2677"/>
    </x:row>
    <x:row r="2678">
      <x:c r="A2678" t="str">
        <x:v>ZS-7BFBB05BCD83</x:v>
      </x:c>
      <x:c r="B2678"/>
      <x:c r="C2678"/>
      <x:c r="D2678"/>
      <x:c r="E2678"/>
      <x:c r="F2678"/>
      <x:c r="G2678"/>
      <x:c r="H2678"/>
      <x:c r="I2678"/>
      <x:c r="J2678"/>
    </x:row>
    <x:row r="2679">
      <x:c r="A2679" t="str">
        <x:v>ZS-7529FDC7A90E</x:v>
      </x:c>
      <x:c r="B2679"/>
      <x:c r="C2679"/>
      <x:c r="D2679"/>
      <x:c r="E2679"/>
      <x:c r="F2679"/>
      <x:c r="G2679"/>
      <x:c r="H2679"/>
      <x:c r="I2679"/>
      <x:c r="J2679"/>
    </x:row>
    <x:row r="2680">
      <x:c r="A2680" t="str">
        <x:v>ZS-D9C471AFDCE6</x:v>
      </x:c>
      <x:c r="B2680"/>
      <x:c r="C2680"/>
      <x:c r="D2680"/>
      <x:c r="E2680"/>
      <x:c r="F2680"/>
      <x:c r="G2680"/>
      <x:c r="H2680"/>
      <x:c r="I2680"/>
      <x:c r="J2680"/>
    </x:row>
    <x:row r="2681">
      <x:c r="A2681" t="str">
        <x:v>ZS-83E11EB86EF6</x:v>
      </x:c>
      <x:c r="B2681"/>
      <x:c r="C2681"/>
      <x:c r="D2681"/>
      <x:c r="E2681"/>
      <x:c r="F2681"/>
      <x:c r="G2681"/>
      <x:c r="H2681"/>
      <x:c r="I2681"/>
      <x:c r="J2681"/>
    </x:row>
    <x:row r="2682">
      <x:c r="A2682" t="str">
        <x:v>ZS-6344DE23FCDF</x:v>
      </x:c>
      <x:c r="B2682"/>
      <x:c r="C2682"/>
      <x:c r="D2682"/>
      <x:c r="E2682"/>
      <x:c r="F2682"/>
      <x:c r="G2682"/>
      <x:c r="H2682"/>
      <x:c r="I2682"/>
      <x:c r="J2682"/>
    </x:row>
    <x:row r="2683">
      <x:c r="A2683" t="str">
        <x:v>ZS-626976CBAA68</x:v>
      </x:c>
      <x:c r="B2683"/>
      <x:c r="C2683"/>
      <x:c r="D2683"/>
      <x:c r="E2683"/>
      <x:c r="F2683"/>
      <x:c r="G2683"/>
      <x:c r="H2683"/>
      <x:c r="I2683"/>
      <x:c r="J2683"/>
    </x:row>
    <x:row r="2684">
      <x:c r="A2684" t="str">
        <x:v>ZS-F0EB38FA767C</x:v>
      </x:c>
      <x:c r="B2684"/>
      <x:c r="C2684"/>
      <x:c r="D2684"/>
      <x:c r="E2684"/>
      <x:c r="F2684"/>
      <x:c r="G2684"/>
      <x:c r="H2684"/>
      <x:c r="I2684"/>
      <x:c r="J2684"/>
    </x:row>
    <x:row r="2685">
      <x:c r="A2685" t="str">
        <x:v>ZS-9A25BF3CDC09</x:v>
      </x:c>
      <x:c r="B2685"/>
      <x:c r="C2685"/>
      <x:c r="D2685"/>
      <x:c r="E2685"/>
      <x:c r="F2685"/>
      <x:c r="G2685"/>
      <x:c r="H2685"/>
      <x:c r="I2685"/>
      <x:c r="J2685"/>
    </x:row>
    <x:row r="2686">
      <x:c r="A2686" t="str">
        <x:v>ZS-C4F35F51D571</x:v>
      </x:c>
      <x:c r="B2686"/>
      <x:c r="C2686"/>
      <x:c r="D2686"/>
      <x:c r="E2686"/>
      <x:c r="F2686"/>
      <x:c r="G2686"/>
      <x:c r="H2686"/>
      <x:c r="I2686"/>
      <x:c r="J2686"/>
    </x:row>
    <x:row r="2687">
      <x:c r="A2687" t="str">
        <x:v>ZS-28AA952FF26D</x:v>
      </x:c>
      <x:c r="B2687"/>
      <x:c r="C2687"/>
      <x:c r="D2687"/>
      <x:c r="E2687"/>
      <x:c r="F2687"/>
      <x:c r="G2687"/>
      <x:c r="H2687"/>
      <x:c r="I2687"/>
      <x:c r="J2687"/>
    </x:row>
    <x:row r="2688">
      <x:c r="A2688" t="str">
        <x:v>ZS-6ACBDDB172F7</x:v>
      </x:c>
      <x:c r="B2688"/>
      <x:c r="C2688"/>
      <x:c r="D2688"/>
      <x:c r="E2688"/>
      <x:c r="F2688"/>
      <x:c r="G2688"/>
      <x:c r="H2688"/>
      <x:c r="I2688"/>
      <x:c r="J2688"/>
    </x:row>
    <x:row r="2689">
      <x:c r="A2689" t="str">
        <x:v>ZS-8AE030E46E10</x:v>
      </x:c>
      <x:c r="B2689"/>
      <x:c r="C2689"/>
      <x:c r="D2689"/>
      <x:c r="E2689"/>
      <x:c r="F2689"/>
      <x:c r="G2689"/>
      <x:c r="H2689"/>
      <x:c r="I2689"/>
      <x:c r="J2689"/>
    </x:row>
    <x:row r="2690">
      <x:c r="A2690" t="str">
        <x:v>ZS-759E64030B4B</x:v>
      </x:c>
      <x:c r="B2690"/>
      <x:c r="C2690"/>
      <x:c r="D2690"/>
      <x:c r="E2690"/>
      <x:c r="F2690"/>
      <x:c r="G2690"/>
      <x:c r="H2690"/>
      <x:c r="I2690"/>
      <x:c r="J2690"/>
    </x:row>
    <x:row r="2691">
      <x:c r="A2691" t="str">
        <x:v>ZS-A2149B3575B0</x:v>
      </x:c>
      <x:c r="B2691"/>
      <x:c r="C2691"/>
      <x:c r="D2691"/>
      <x:c r="E2691"/>
      <x:c r="F2691"/>
      <x:c r="G2691"/>
      <x:c r="H2691"/>
      <x:c r="I2691"/>
      <x:c r="J2691"/>
    </x:row>
    <x:row r="2692">
      <x:c r="A2692" t="str">
        <x:v>ZS-F15DE95D75AB</x:v>
      </x:c>
      <x:c r="B2692"/>
      <x:c r="C2692"/>
      <x:c r="D2692"/>
      <x:c r="E2692"/>
      <x:c r="F2692"/>
      <x:c r="G2692"/>
      <x:c r="H2692"/>
      <x:c r="I2692"/>
      <x:c r="J2692"/>
    </x:row>
    <x:row r="2693">
      <x:c r="A2693" t="str">
        <x:v>ZS-0D58E8FDC3D1</x:v>
      </x:c>
      <x:c r="B2693"/>
      <x:c r="C2693"/>
      <x:c r="D2693"/>
      <x:c r="E2693"/>
      <x:c r="F2693"/>
      <x:c r="G2693"/>
      <x:c r="H2693"/>
      <x:c r="I2693"/>
      <x:c r="J2693"/>
    </x:row>
    <x:row r="2694">
      <x:c r="A2694" t="str">
        <x:v>ZS-124EBFEF404B</x:v>
      </x:c>
      <x:c r="B2694"/>
      <x:c r="C2694"/>
      <x:c r="D2694"/>
      <x:c r="E2694"/>
      <x:c r="F2694"/>
      <x:c r="G2694"/>
      <x:c r="H2694"/>
      <x:c r="I2694"/>
      <x:c r="J2694"/>
    </x:row>
    <x:row r="2695">
      <x:c r="A2695" t="str">
        <x:v>ZS-14A10F73718B</x:v>
      </x:c>
      <x:c r="B2695"/>
      <x:c r="C2695"/>
      <x:c r="D2695"/>
      <x:c r="E2695"/>
      <x:c r="F2695"/>
      <x:c r="G2695"/>
      <x:c r="H2695"/>
      <x:c r="I2695"/>
      <x:c r="J2695"/>
    </x:row>
    <x:row r="2696">
      <x:c r="A2696" t="str">
        <x:v>ZS-DE63EC5B812D</x:v>
      </x:c>
      <x:c r="B2696"/>
      <x:c r="C2696"/>
      <x:c r="D2696"/>
      <x:c r="E2696"/>
      <x:c r="F2696"/>
      <x:c r="G2696"/>
      <x:c r="H2696"/>
      <x:c r="I2696"/>
      <x:c r="J2696"/>
    </x:row>
    <x:row r="2697">
      <x:c r="A2697" t="str">
        <x:v>ZS-A60DFF053ED8</x:v>
      </x:c>
      <x:c r="B2697"/>
      <x:c r="C2697"/>
      <x:c r="D2697"/>
      <x:c r="E2697"/>
      <x:c r="F2697"/>
      <x:c r="G2697"/>
      <x:c r="H2697"/>
      <x:c r="I2697"/>
      <x:c r="J2697"/>
    </x:row>
    <x:row r="2698">
      <x:c r="A2698" t="str">
        <x:v>ZS-6B6904238777</x:v>
      </x:c>
      <x:c r="B2698"/>
      <x:c r="C2698"/>
      <x:c r="D2698"/>
      <x:c r="E2698"/>
      <x:c r="F2698"/>
      <x:c r="G2698"/>
      <x:c r="H2698"/>
      <x:c r="I2698"/>
      <x:c r="J2698"/>
    </x:row>
    <x:row r="2699">
      <x:c r="A2699" t="str">
        <x:v>ZS-574C48EFCE6B</x:v>
      </x:c>
      <x:c r="B2699"/>
      <x:c r="C2699"/>
      <x:c r="D2699"/>
      <x:c r="E2699"/>
      <x:c r="F2699"/>
      <x:c r="G2699"/>
      <x:c r="H2699"/>
      <x:c r="I2699"/>
      <x:c r="J2699"/>
    </x:row>
    <x:row r="2700">
      <x:c r="A2700" t="str">
        <x:v>ZS-B7497F39248D</x:v>
      </x:c>
      <x:c r="B2700"/>
      <x:c r="C2700"/>
      <x:c r="D2700"/>
      <x:c r="E2700"/>
      <x:c r="F2700"/>
      <x:c r="G2700"/>
      <x:c r="H2700"/>
      <x:c r="I2700"/>
      <x:c r="J2700"/>
    </x:row>
    <x:row r="2701">
      <x:c r="A2701" t="str">
        <x:v>ZS-1C81CB263CB5</x:v>
      </x:c>
      <x:c r="B2701"/>
      <x:c r="C2701"/>
      <x:c r="D2701"/>
      <x:c r="E2701"/>
      <x:c r="F2701"/>
      <x:c r="G2701"/>
      <x:c r="H2701"/>
      <x:c r="I2701"/>
      <x:c r="J2701"/>
    </x:row>
    <x:row r="2702">
      <x:c r="A2702" t="str">
        <x:v>ZS-46F61C9D0D4E</x:v>
      </x:c>
      <x:c r="B2702"/>
      <x:c r="C2702"/>
      <x:c r="D2702"/>
      <x:c r="E2702"/>
      <x:c r="F2702"/>
      <x:c r="G2702"/>
      <x:c r="H2702"/>
      <x:c r="I2702"/>
      <x:c r="J2702"/>
    </x:row>
    <x:row r="2703">
      <x:c r="A2703" t="str">
        <x:v>ZS-8683954B662B</x:v>
      </x:c>
      <x:c r="B2703"/>
      <x:c r="C2703"/>
      <x:c r="D2703"/>
      <x:c r="E2703"/>
      <x:c r="F2703"/>
      <x:c r="G2703"/>
      <x:c r="H2703"/>
      <x:c r="I2703"/>
      <x:c r="J2703"/>
    </x:row>
    <x:row r="2704">
      <x:c r="A2704" t="str">
        <x:v>ZS-7DE7AC4DC286</x:v>
      </x:c>
      <x:c r="B2704"/>
      <x:c r="C2704"/>
      <x:c r="D2704"/>
      <x:c r="E2704"/>
      <x:c r="F2704"/>
      <x:c r="G2704"/>
      <x:c r="H2704"/>
      <x:c r="I2704"/>
      <x:c r="J2704"/>
    </x:row>
    <x:row r="2705">
      <x:c r="A2705" t="str">
        <x:v>ZS-5FD3FAF3DD89</x:v>
      </x:c>
      <x:c r="B2705"/>
      <x:c r="C2705"/>
      <x:c r="D2705"/>
      <x:c r="E2705"/>
      <x:c r="F2705"/>
      <x:c r="G2705"/>
      <x:c r="H2705"/>
      <x:c r="I2705"/>
      <x:c r="J2705"/>
    </x:row>
    <x:row r="2706">
      <x:c r="A2706" t="str">
        <x:v>ZS-04E8675C50E7</x:v>
      </x:c>
      <x:c r="B2706"/>
      <x:c r="C2706"/>
      <x:c r="D2706"/>
      <x:c r="E2706"/>
      <x:c r="F2706"/>
      <x:c r="G2706"/>
      <x:c r="H2706"/>
      <x:c r="I2706"/>
      <x:c r="J2706"/>
    </x:row>
    <x:row r="2707">
      <x:c r="A2707" t="str">
        <x:v>ZS-E12F7CFBE772</x:v>
      </x:c>
      <x:c r="B2707"/>
      <x:c r="C2707"/>
      <x:c r="D2707"/>
      <x:c r="E2707"/>
      <x:c r="F2707"/>
      <x:c r="G2707"/>
      <x:c r="H2707"/>
      <x:c r="I2707"/>
      <x:c r="J2707"/>
    </x:row>
    <x:row r="2708">
      <x:c r="A2708" t="str">
        <x:v>ZS-7E82036D9EB9</x:v>
      </x:c>
      <x:c r="B2708"/>
      <x:c r="C2708"/>
      <x:c r="D2708"/>
      <x:c r="E2708"/>
      <x:c r="F2708"/>
      <x:c r="G2708"/>
      <x:c r="H2708"/>
      <x:c r="I2708"/>
      <x:c r="J2708"/>
    </x:row>
    <x:row r="2709">
      <x:c r="A2709" t="str">
        <x:v>ZS-E4E3BF0EF2C5</x:v>
      </x:c>
      <x:c r="B2709"/>
      <x:c r="C2709"/>
      <x:c r="D2709"/>
      <x:c r="E2709"/>
      <x:c r="F2709"/>
      <x:c r="G2709"/>
      <x:c r="H2709"/>
      <x:c r="I2709"/>
      <x:c r="J2709"/>
    </x:row>
    <x:row r="2710">
      <x:c r="A2710" t="str">
        <x:v>ZS-F2EFBBC3D6A2</x:v>
      </x:c>
      <x:c r="B2710"/>
      <x:c r="C2710"/>
      <x:c r="D2710"/>
      <x:c r="E2710"/>
      <x:c r="F2710"/>
      <x:c r="G2710"/>
      <x:c r="H2710"/>
      <x:c r="I2710"/>
      <x:c r="J2710"/>
    </x:row>
    <x:row r="2711">
      <x:c r="A2711" t="str">
        <x:v>ZS-FB488611898E</x:v>
      </x:c>
      <x:c r="B2711"/>
      <x:c r="C2711"/>
      <x:c r="D2711"/>
      <x:c r="E2711"/>
      <x:c r="F2711"/>
      <x:c r="G2711"/>
      <x:c r="H2711"/>
      <x:c r="I2711"/>
      <x:c r="J2711"/>
    </x:row>
    <x:row r="2712">
      <x:c r="A2712" t="str">
        <x:v>ZS-66A50555C6C1</x:v>
      </x:c>
      <x:c r="B2712"/>
      <x:c r="C2712"/>
      <x:c r="D2712"/>
      <x:c r="E2712"/>
      <x:c r="F2712"/>
      <x:c r="G2712"/>
      <x:c r="H2712"/>
      <x:c r="I2712"/>
      <x:c r="J2712"/>
    </x:row>
    <x:row r="2713">
      <x:c r="A2713" t="str">
        <x:v>ZS-29B1B01BA633</x:v>
      </x:c>
      <x:c r="B2713"/>
      <x:c r="C2713"/>
      <x:c r="D2713"/>
      <x:c r="E2713"/>
      <x:c r="F2713"/>
      <x:c r="G2713"/>
      <x:c r="H2713"/>
      <x:c r="I2713"/>
      <x:c r="J2713"/>
    </x:row>
    <x:row r="2714">
      <x:c r="A2714" t="str">
        <x:v>ZS-8B2294DFCAC3</x:v>
      </x:c>
      <x:c r="B2714"/>
      <x:c r="C2714"/>
      <x:c r="D2714"/>
      <x:c r="E2714"/>
      <x:c r="F2714"/>
      <x:c r="G2714"/>
      <x:c r="H2714"/>
      <x:c r="I2714"/>
      <x:c r="J2714"/>
    </x:row>
    <x:row r="2715">
      <x:c r="A2715" t="str">
        <x:v>ZS-FABE31B043A6</x:v>
      </x:c>
      <x:c r="B2715"/>
      <x:c r="C2715"/>
      <x:c r="D2715"/>
      <x:c r="E2715"/>
      <x:c r="F2715"/>
      <x:c r="G2715"/>
      <x:c r="H2715"/>
      <x:c r="I2715"/>
      <x:c r="J2715"/>
    </x:row>
    <x:row r="2716">
      <x:c r="A2716" t="str">
        <x:v>ZS-0DC970849381</x:v>
      </x:c>
      <x:c r="B2716"/>
      <x:c r="C2716"/>
      <x:c r="D2716"/>
      <x:c r="E2716"/>
      <x:c r="F2716"/>
      <x:c r="G2716"/>
      <x:c r="H2716"/>
      <x:c r="I2716"/>
      <x:c r="J2716"/>
    </x:row>
    <x:row r="2717">
      <x:c r="A2717" t="str">
        <x:v>ZS-098EBE5E19E6</x:v>
      </x:c>
      <x:c r="B2717"/>
      <x:c r="C2717"/>
      <x:c r="D2717"/>
      <x:c r="E2717"/>
      <x:c r="F2717"/>
      <x:c r="G2717"/>
      <x:c r="H2717"/>
      <x:c r="I2717"/>
      <x:c r="J2717"/>
    </x:row>
    <x:row r="2718">
      <x:c r="A2718" t="str">
        <x:v>ZS-FCAD95C07E38</x:v>
      </x:c>
      <x:c r="B2718"/>
      <x:c r="C2718"/>
      <x:c r="D2718"/>
      <x:c r="E2718"/>
      <x:c r="F2718"/>
      <x:c r="G2718"/>
      <x:c r="H2718"/>
      <x:c r="I2718"/>
      <x:c r="J2718"/>
    </x:row>
    <x:row r="2719">
      <x:c r="A2719" t="str">
        <x:v>ZS-BB7FB24C0194</x:v>
      </x:c>
      <x:c r="B2719"/>
      <x:c r="C2719"/>
      <x:c r="D2719"/>
      <x:c r="E2719"/>
      <x:c r="F2719"/>
      <x:c r="G2719"/>
      <x:c r="H2719"/>
      <x:c r="I2719"/>
      <x:c r="J2719"/>
    </x:row>
    <x:row r="2720">
      <x:c r="A2720" t="str">
        <x:v>ZS-074DFFE81AB8</x:v>
      </x:c>
      <x:c r="B2720"/>
      <x:c r="C2720"/>
      <x:c r="D2720"/>
      <x:c r="E2720"/>
      <x:c r="F2720"/>
      <x:c r="G2720"/>
      <x:c r="H2720"/>
      <x:c r="I2720"/>
      <x:c r="J2720"/>
    </x:row>
    <x:row r="2721">
      <x:c r="A2721" t="str">
        <x:v>ZS-4994C3C9293F</x:v>
      </x:c>
      <x:c r="B2721"/>
      <x:c r="C2721"/>
      <x:c r="D2721"/>
      <x:c r="E2721"/>
      <x:c r="F2721"/>
      <x:c r="G2721"/>
      <x:c r="H2721"/>
      <x:c r="I2721"/>
      <x:c r="J2721"/>
    </x:row>
    <x:row r="2722">
      <x:c r="A2722" t="str">
        <x:v>ZS-8A533687E207</x:v>
      </x:c>
      <x:c r="B2722"/>
      <x:c r="C2722"/>
      <x:c r="D2722"/>
      <x:c r="E2722"/>
      <x:c r="F2722"/>
      <x:c r="G2722"/>
      <x:c r="H2722"/>
      <x:c r="I2722"/>
      <x:c r="J2722"/>
    </x:row>
    <x:row r="2723">
      <x:c r="A2723" t="str">
        <x:v>ZS-3FB073B2101D</x:v>
      </x:c>
      <x:c r="B2723"/>
      <x:c r="C2723"/>
      <x:c r="D2723"/>
      <x:c r="E2723"/>
      <x:c r="F2723"/>
      <x:c r="G2723"/>
      <x:c r="H2723"/>
      <x:c r="I2723"/>
      <x:c r="J2723"/>
    </x:row>
    <x:row r="2724">
      <x:c r="A2724" t="str">
        <x:v>ZS-67223AA7067A</x:v>
      </x:c>
      <x:c r="B2724"/>
      <x:c r="C2724"/>
      <x:c r="D2724"/>
      <x:c r="E2724"/>
      <x:c r="F2724"/>
      <x:c r="G2724"/>
      <x:c r="H2724"/>
      <x:c r="I2724"/>
      <x:c r="J2724"/>
    </x:row>
    <x:row r="2725">
      <x:c r="A2725" t="str">
        <x:v>ZS-7937B6FFA8D8</x:v>
      </x:c>
      <x:c r="B2725"/>
      <x:c r="C2725"/>
      <x:c r="D2725"/>
      <x:c r="E2725"/>
      <x:c r="F2725"/>
      <x:c r="G2725"/>
      <x:c r="H2725"/>
      <x:c r="I2725"/>
      <x:c r="J2725"/>
    </x:row>
    <x:row r="2726">
      <x:c r="A2726" t="str">
        <x:v>ZS-1755E250CFDB</x:v>
      </x:c>
      <x:c r="B2726"/>
      <x:c r="C2726"/>
      <x:c r="D2726"/>
      <x:c r="E2726"/>
      <x:c r="F2726"/>
      <x:c r="G2726"/>
      <x:c r="H2726"/>
      <x:c r="I2726"/>
      <x:c r="J2726"/>
    </x:row>
    <x:row r="2727">
      <x:c r="A2727" t="str">
        <x:v>ZS-F22EB4D7FB71</x:v>
      </x:c>
      <x:c r="B2727"/>
      <x:c r="C2727"/>
      <x:c r="D2727"/>
      <x:c r="E2727"/>
      <x:c r="F2727"/>
      <x:c r="G2727"/>
      <x:c r="H2727"/>
      <x:c r="I2727"/>
      <x:c r="J2727"/>
    </x:row>
    <x:row r="2728">
      <x:c r="A2728" t="str">
        <x:v>ZS-664CC8177EC8</x:v>
      </x:c>
      <x:c r="B2728"/>
      <x:c r="C2728"/>
      <x:c r="D2728"/>
      <x:c r="E2728"/>
      <x:c r="F2728"/>
      <x:c r="G2728"/>
      <x:c r="H2728"/>
      <x:c r="I2728"/>
      <x:c r="J2728"/>
    </x:row>
    <x:row r="2729">
      <x:c r="A2729" t="str">
        <x:v>ZS-E5673758A42A</x:v>
      </x:c>
      <x:c r="B2729"/>
      <x:c r="C2729"/>
      <x:c r="D2729"/>
      <x:c r="E2729"/>
      <x:c r="F2729"/>
      <x:c r="G2729"/>
      <x:c r="H2729"/>
      <x:c r="I2729"/>
      <x:c r="J2729"/>
    </x:row>
    <x:row r="2730">
      <x:c r="A2730" t="str">
        <x:v>ZS-958463913099</x:v>
      </x:c>
      <x:c r="B2730"/>
      <x:c r="C2730"/>
      <x:c r="D2730"/>
      <x:c r="E2730"/>
      <x:c r="F2730"/>
      <x:c r="G2730"/>
      <x:c r="H2730"/>
      <x:c r="I2730"/>
      <x:c r="J2730"/>
    </x:row>
    <x:row r="2731">
      <x:c r="A2731" t="str">
        <x:v>ZS-BB1F9C195433</x:v>
      </x:c>
      <x:c r="B2731"/>
      <x:c r="C2731"/>
      <x:c r="D2731"/>
      <x:c r="E2731"/>
      <x:c r="F2731"/>
      <x:c r="G2731"/>
      <x:c r="H2731"/>
      <x:c r="I2731"/>
      <x:c r="J2731"/>
    </x:row>
    <x:row r="2732">
      <x:c r="A2732" t="str">
        <x:v>ZS-9650917A0C50</x:v>
      </x:c>
      <x:c r="B2732"/>
      <x:c r="C2732"/>
      <x:c r="D2732"/>
      <x:c r="E2732"/>
      <x:c r="F2732"/>
      <x:c r="G2732"/>
      <x:c r="H2732"/>
      <x:c r="I2732"/>
      <x:c r="J2732"/>
    </x:row>
    <x:row r="2733">
      <x:c r="A2733" t="str">
        <x:v>ZS-E198A0B7BDD5</x:v>
      </x:c>
      <x:c r="B2733"/>
      <x:c r="C2733"/>
      <x:c r="D2733"/>
      <x:c r="E2733"/>
      <x:c r="F2733"/>
      <x:c r="G2733"/>
      <x:c r="H2733"/>
      <x:c r="I2733"/>
      <x:c r="J2733"/>
    </x:row>
    <x:row r="2734">
      <x:c r="A2734" t="str">
        <x:v>ZS-9BAF91E8AE5D</x:v>
      </x:c>
      <x:c r="B2734"/>
      <x:c r="C2734"/>
      <x:c r="D2734"/>
      <x:c r="E2734"/>
      <x:c r="F2734"/>
      <x:c r="G2734"/>
      <x:c r="H2734"/>
      <x:c r="I2734"/>
      <x:c r="J2734"/>
    </x:row>
    <x:row r="2735">
      <x:c r="A2735" t="str">
        <x:v>ZS-3FEE4688CEA7</x:v>
      </x:c>
      <x:c r="B2735"/>
      <x:c r="C2735"/>
      <x:c r="D2735"/>
      <x:c r="E2735"/>
      <x:c r="F2735"/>
      <x:c r="G2735"/>
      <x:c r="H2735"/>
      <x:c r="I2735"/>
      <x:c r="J2735"/>
    </x:row>
    <x:row r="2736">
      <x:c r="A2736" t="str">
        <x:v>ZS-C41B76FE9232</x:v>
      </x:c>
      <x:c r="B2736"/>
      <x:c r="C2736"/>
      <x:c r="D2736"/>
      <x:c r="E2736"/>
      <x:c r="F2736"/>
      <x:c r="G2736"/>
      <x:c r="H2736"/>
      <x:c r="I2736"/>
      <x:c r="J2736"/>
    </x:row>
    <x:row r="2737">
      <x:c r="A2737" t="str">
        <x:v>ZS-E24F73AFABDA</x:v>
      </x:c>
      <x:c r="B2737"/>
      <x:c r="C2737"/>
      <x:c r="D2737"/>
      <x:c r="E2737"/>
      <x:c r="F2737"/>
      <x:c r="G2737"/>
      <x:c r="H2737"/>
      <x:c r="I2737"/>
      <x:c r="J2737"/>
    </x:row>
    <x:row r="2738">
      <x:c r="A2738" t="str">
        <x:v>ZS-28F6B75E21C4</x:v>
      </x:c>
      <x:c r="B2738"/>
      <x:c r="C2738"/>
      <x:c r="D2738"/>
      <x:c r="E2738"/>
      <x:c r="F2738"/>
      <x:c r="G2738"/>
      <x:c r="H2738"/>
      <x:c r="I2738"/>
      <x:c r="J2738"/>
    </x:row>
    <x:row r="2739">
      <x:c r="A2739" t="str">
        <x:v>ZS-9EDADE7A3438</x:v>
      </x:c>
      <x:c r="B2739"/>
      <x:c r="C2739"/>
      <x:c r="D2739"/>
      <x:c r="E2739"/>
      <x:c r="F2739"/>
      <x:c r="G2739"/>
      <x:c r="H2739"/>
      <x:c r="I2739"/>
      <x:c r="J2739"/>
    </x:row>
    <x:row r="2740">
      <x:c r="A2740" t="str">
        <x:v>ZS-9CAE11F09EAF</x:v>
      </x:c>
      <x:c r="B2740"/>
      <x:c r="C2740"/>
      <x:c r="D2740"/>
      <x:c r="E2740"/>
      <x:c r="F2740"/>
      <x:c r="G2740"/>
      <x:c r="H2740"/>
      <x:c r="I2740"/>
      <x:c r="J2740"/>
    </x:row>
    <x:row r="2741">
      <x:c r="A2741" t="str">
        <x:v>ZS-B411D8D76BDE</x:v>
      </x:c>
      <x:c r="B2741"/>
      <x:c r="C2741"/>
      <x:c r="D2741"/>
      <x:c r="E2741"/>
      <x:c r="F2741"/>
      <x:c r="G2741"/>
      <x:c r="H2741"/>
      <x:c r="I2741"/>
      <x:c r="J2741"/>
    </x:row>
    <x:row r="2742">
      <x:c r="A2742" t="str">
        <x:v>ZS-56496DD113C1</x:v>
      </x:c>
      <x:c r="B2742"/>
      <x:c r="C2742"/>
      <x:c r="D2742"/>
      <x:c r="E2742"/>
      <x:c r="F2742"/>
      <x:c r="G2742"/>
      <x:c r="H2742"/>
      <x:c r="I2742"/>
      <x:c r="J2742"/>
    </x:row>
    <x:row r="2743">
      <x:c r="A2743" t="str">
        <x:v>ZS-E70AA6E4478C</x:v>
      </x:c>
      <x:c r="B2743"/>
      <x:c r="C2743"/>
      <x:c r="D2743"/>
      <x:c r="E2743"/>
      <x:c r="F2743"/>
      <x:c r="G2743"/>
      <x:c r="H2743"/>
      <x:c r="I2743"/>
      <x:c r="J2743"/>
    </x:row>
    <x:row r="2744">
      <x:c r="A2744" t="str">
        <x:v>ZS-C12A36E5373B</x:v>
      </x:c>
      <x:c r="B2744"/>
      <x:c r="C2744"/>
      <x:c r="D2744"/>
      <x:c r="E2744"/>
      <x:c r="F2744"/>
      <x:c r="G2744"/>
      <x:c r="H2744"/>
      <x:c r="I2744"/>
      <x:c r="J2744"/>
    </x:row>
    <x:row r="2745">
      <x:c r="A2745" t="str">
        <x:v>ZS-A2ED1A1BE8E2</x:v>
      </x:c>
      <x:c r="B2745"/>
      <x:c r="C2745"/>
      <x:c r="D2745"/>
      <x:c r="E2745"/>
      <x:c r="F2745"/>
      <x:c r="G2745"/>
      <x:c r="H2745"/>
      <x:c r="I2745"/>
      <x:c r="J2745"/>
    </x:row>
    <x:row r="2746">
      <x:c r="A2746" t="str">
        <x:v>ZS-4B65CEBD126B</x:v>
      </x:c>
      <x:c r="B2746"/>
      <x:c r="C2746"/>
      <x:c r="D2746"/>
      <x:c r="E2746"/>
      <x:c r="F2746"/>
      <x:c r="G2746"/>
      <x:c r="H2746"/>
      <x:c r="I2746"/>
      <x:c r="J2746"/>
    </x:row>
    <x:row r="2747">
      <x:c r="A2747" t="str">
        <x:v>ZS-36D5182CEE06</x:v>
      </x:c>
      <x:c r="B2747"/>
      <x:c r="C2747"/>
      <x:c r="D2747"/>
      <x:c r="E2747"/>
      <x:c r="F2747"/>
      <x:c r="G2747"/>
      <x:c r="H2747"/>
      <x:c r="I2747"/>
      <x:c r="J2747"/>
    </x:row>
    <x:row r="2748">
      <x:c r="A2748" t="str">
        <x:v>ZS-9972B3D0F4D5</x:v>
      </x:c>
      <x:c r="B2748"/>
      <x:c r="C2748"/>
      <x:c r="D2748"/>
      <x:c r="E2748"/>
      <x:c r="F2748"/>
      <x:c r="G2748"/>
      <x:c r="H2748"/>
      <x:c r="I2748"/>
      <x:c r="J2748"/>
    </x:row>
    <x:row r="2749">
      <x:c r="A2749" t="str">
        <x:v>ZS-03ACE45FA2CF</x:v>
      </x:c>
      <x:c r="B2749"/>
      <x:c r="C2749"/>
      <x:c r="D2749"/>
      <x:c r="E2749"/>
      <x:c r="F2749"/>
      <x:c r="G2749"/>
      <x:c r="H2749"/>
      <x:c r="I2749"/>
      <x:c r="J2749"/>
    </x:row>
    <x:row r="2750">
      <x:c r="A2750" t="str">
        <x:v>ZS-481C49C33850</x:v>
      </x:c>
      <x:c r="B2750"/>
      <x:c r="C2750"/>
      <x:c r="D2750"/>
      <x:c r="E2750"/>
      <x:c r="F2750"/>
      <x:c r="G2750"/>
      <x:c r="H2750"/>
      <x:c r="I2750"/>
      <x:c r="J2750"/>
    </x:row>
    <x:row r="2751">
      <x:c r="A2751" t="str">
        <x:v>ZS-C9B984C7C546</x:v>
      </x:c>
      <x:c r="B2751"/>
      <x:c r="C2751"/>
      <x:c r="D2751"/>
      <x:c r="E2751"/>
      <x:c r="F2751"/>
      <x:c r="G2751"/>
      <x:c r="H2751"/>
      <x:c r="I2751"/>
      <x:c r="J2751"/>
    </x:row>
    <x:row r="2752">
      <x:c r="A2752" t="str">
        <x:v>ZS-5513D25E4622</x:v>
      </x:c>
      <x:c r="B2752"/>
      <x:c r="C2752"/>
      <x:c r="D2752"/>
      <x:c r="E2752"/>
      <x:c r="F2752"/>
      <x:c r="G2752"/>
      <x:c r="H2752"/>
      <x:c r="I2752"/>
      <x:c r="J2752"/>
    </x:row>
    <x:row r="2753">
      <x:c r="A2753" t="str">
        <x:v>ZS-D909B53B04F1</x:v>
      </x:c>
      <x:c r="B2753"/>
      <x:c r="C2753"/>
      <x:c r="D2753"/>
      <x:c r="E2753"/>
      <x:c r="F2753"/>
      <x:c r="G2753"/>
      <x:c r="H2753"/>
      <x:c r="I2753"/>
      <x:c r="J2753"/>
    </x:row>
    <x:row r="2754">
      <x:c r="A2754" t="str">
        <x:v>ZS-A6E77F858472</x:v>
      </x:c>
      <x:c r="B2754"/>
      <x:c r="C2754"/>
      <x:c r="D2754"/>
      <x:c r="E2754"/>
      <x:c r="F2754"/>
      <x:c r="G2754"/>
      <x:c r="H2754"/>
      <x:c r="I2754"/>
      <x:c r="J2754"/>
    </x:row>
    <x:row r="2755">
      <x:c r="A2755" t="str">
        <x:v>ZS-0453DFA979FF</x:v>
      </x:c>
      <x:c r="B2755"/>
      <x:c r="C2755"/>
      <x:c r="D2755"/>
      <x:c r="E2755"/>
      <x:c r="F2755"/>
      <x:c r="G2755"/>
      <x:c r="H2755"/>
      <x:c r="I2755"/>
      <x:c r="J2755"/>
    </x:row>
    <x:row r="2756">
      <x:c r="A2756" t="str">
        <x:v>ZS-578DFBE9FEDD</x:v>
      </x:c>
      <x:c r="B2756"/>
      <x:c r="C2756"/>
      <x:c r="D2756"/>
      <x:c r="E2756"/>
      <x:c r="F2756"/>
      <x:c r="G2756"/>
      <x:c r="H2756"/>
      <x:c r="I2756"/>
      <x:c r="J2756"/>
    </x:row>
    <x:row r="2757">
      <x:c r="A2757" t="str">
        <x:v>ZS-80E74F2DE666</x:v>
      </x:c>
      <x:c r="B2757"/>
      <x:c r="C2757"/>
      <x:c r="D2757"/>
      <x:c r="E2757"/>
      <x:c r="F2757"/>
      <x:c r="G2757"/>
      <x:c r="H2757"/>
      <x:c r="I2757"/>
      <x:c r="J2757"/>
    </x:row>
    <x:row r="2758">
      <x:c r="A2758" t="str">
        <x:v>ZS-12E168935315</x:v>
      </x:c>
      <x:c r="B2758"/>
      <x:c r="C2758"/>
      <x:c r="D2758"/>
      <x:c r="E2758"/>
      <x:c r="F2758"/>
      <x:c r="G2758"/>
      <x:c r="H2758"/>
      <x:c r="I2758"/>
      <x:c r="J2758"/>
    </x:row>
    <x:row r="2759">
      <x:c r="A2759" t="str">
        <x:v>ZS-B5CE0D6C12C1</x:v>
      </x:c>
      <x:c r="B2759"/>
      <x:c r="C2759"/>
      <x:c r="D2759"/>
      <x:c r="E2759"/>
      <x:c r="F2759"/>
      <x:c r="G2759"/>
      <x:c r="H2759"/>
      <x:c r="I2759"/>
      <x:c r="J2759"/>
    </x:row>
    <x:row r="2760">
      <x:c r="A2760" t="str">
        <x:v>ZS-B3C01508BC42</x:v>
      </x:c>
      <x:c r="B2760"/>
      <x:c r="C2760"/>
      <x:c r="D2760"/>
      <x:c r="E2760"/>
      <x:c r="F2760"/>
      <x:c r="G2760"/>
      <x:c r="H2760"/>
      <x:c r="I2760"/>
      <x:c r="J2760"/>
    </x:row>
    <x:row r="2761">
      <x:c r="A2761" t="str">
        <x:v>ZS-A4639E29CE37</x:v>
      </x:c>
      <x:c r="B2761"/>
      <x:c r="C2761"/>
      <x:c r="D2761"/>
      <x:c r="E2761"/>
      <x:c r="F2761"/>
      <x:c r="G2761"/>
      <x:c r="H2761"/>
      <x:c r="I2761"/>
      <x:c r="J2761"/>
    </x:row>
    <x:row r="2762">
      <x:c r="A2762" t="str">
        <x:v>ZS-19BC2D99C409</x:v>
      </x:c>
      <x:c r="B2762"/>
      <x:c r="C2762"/>
      <x:c r="D2762"/>
      <x:c r="E2762"/>
      <x:c r="F2762"/>
      <x:c r="G2762"/>
      <x:c r="H2762"/>
      <x:c r="I2762"/>
      <x:c r="J2762"/>
    </x:row>
    <x:row r="2763">
      <x:c r="A2763" t="str">
        <x:v>ZS-6D1F9D52C503</x:v>
      </x:c>
      <x:c r="B2763"/>
      <x:c r="C2763"/>
      <x:c r="D2763"/>
      <x:c r="E2763"/>
      <x:c r="F2763"/>
      <x:c r="G2763"/>
      <x:c r="H2763"/>
      <x:c r="I2763"/>
      <x:c r="J2763"/>
    </x:row>
    <x:row r="2764">
      <x:c r="A2764" t="str">
        <x:v>ZS-A12E1F6BEE1C</x:v>
      </x:c>
      <x:c r="B2764"/>
      <x:c r="C2764"/>
      <x:c r="D2764"/>
      <x:c r="E2764"/>
      <x:c r="F2764"/>
      <x:c r="G2764"/>
      <x:c r="H2764"/>
      <x:c r="I2764"/>
      <x:c r="J2764"/>
    </x:row>
    <x:row r="2765">
      <x:c r="A2765" t="str">
        <x:v>ZS-88225F30EAD3</x:v>
      </x:c>
      <x:c r="B2765"/>
      <x:c r="C2765"/>
      <x:c r="D2765"/>
      <x:c r="E2765"/>
      <x:c r="F2765"/>
      <x:c r="G2765"/>
      <x:c r="H2765"/>
      <x:c r="I2765"/>
      <x:c r="J2765"/>
    </x:row>
    <x:row r="2766">
      <x:c r="A2766" t="str">
        <x:v>ZS-B7AB5DD23C8E</x:v>
      </x:c>
      <x:c r="B2766"/>
      <x:c r="C2766"/>
      <x:c r="D2766"/>
      <x:c r="E2766"/>
      <x:c r="F2766"/>
      <x:c r="G2766"/>
      <x:c r="H2766"/>
      <x:c r="I2766"/>
      <x:c r="J2766"/>
    </x:row>
    <x:row r="2767">
      <x:c r="A2767" t="str">
        <x:v>ZS-B3B6705A821D</x:v>
      </x:c>
      <x:c r="B2767"/>
      <x:c r="C2767"/>
      <x:c r="D2767"/>
      <x:c r="E2767"/>
      <x:c r="F2767"/>
      <x:c r="G2767"/>
      <x:c r="H2767"/>
      <x:c r="I2767"/>
      <x:c r="J2767"/>
    </x:row>
    <x:row r="2768">
      <x:c r="A2768" t="str">
        <x:v>ZS-3B46EDD88653</x:v>
      </x:c>
      <x:c r="B2768"/>
      <x:c r="C2768"/>
      <x:c r="D2768"/>
      <x:c r="E2768"/>
      <x:c r="F2768"/>
      <x:c r="G2768"/>
      <x:c r="H2768"/>
      <x:c r="I2768"/>
      <x:c r="J2768"/>
    </x:row>
    <x:row r="2769">
      <x:c r="A2769" t="str">
        <x:v>ZS-FB2CF779C4C8</x:v>
      </x:c>
      <x:c r="B2769"/>
      <x:c r="C2769"/>
      <x:c r="D2769"/>
      <x:c r="E2769"/>
      <x:c r="F2769"/>
      <x:c r="G2769"/>
      <x:c r="H2769"/>
      <x:c r="I2769"/>
      <x:c r="J2769"/>
    </x:row>
    <x:row r="2770">
      <x:c r="A2770" t="str">
        <x:v>ZS-90EB61F6455A</x:v>
      </x:c>
      <x:c r="B2770"/>
      <x:c r="C2770"/>
      <x:c r="D2770"/>
      <x:c r="E2770"/>
      <x:c r="F2770"/>
      <x:c r="G2770"/>
      <x:c r="H2770"/>
      <x:c r="I2770"/>
      <x:c r="J2770"/>
    </x:row>
    <x:row r="2771">
      <x:c r="A2771" t="str">
        <x:v>ZS-E6F4C52BB117</x:v>
      </x:c>
      <x:c r="B2771"/>
      <x:c r="C2771"/>
      <x:c r="D2771"/>
      <x:c r="E2771"/>
      <x:c r="F2771"/>
      <x:c r="G2771"/>
      <x:c r="H2771"/>
      <x:c r="I2771"/>
      <x:c r="J2771"/>
    </x:row>
    <x:row r="2772">
      <x:c r="A2772" t="str">
        <x:v>ZS-5BDC1D3977A5</x:v>
      </x:c>
      <x:c r="B2772"/>
      <x:c r="C2772"/>
      <x:c r="D2772"/>
      <x:c r="E2772"/>
      <x:c r="F2772"/>
      <x:c r="G2772"/>
      <x:c r="H2772"/>
      <x:c r="I2772"/>
      <x:c r="J2772"/>
    </x:row>
    <x:row r="2773">
      <x:c r="A2773" t="str">
        <x:v>ZS-D9B6B8FBF020</x:v>
      </x:c>
      <x:c r="B2773"/>
      <x:c r="C2773"/>
      <x:c r="D2773"/>
      <x:c r="E2773"/>
      <x:c r="F2773"/>
      <x:c r="G2773"/>
      <x:c r="H2773"/>
      <x:c r="I2773"/>
      <x:c r="J2773"/>
    </x:row>
    <x:row r="2774">
      <x:c r="A2774" t="str">
        <x:v>ZS-9896E26CCD40</x:v>
      </x:c>
      <x:c r="B2774"/>
      <x:c r="C2774"/>
      <x:c r="D2774"/>
      <x:c r="E2774"/>
      <x:c r="F2774"/>
      <x:c r="G2774"/>
      <x:c r="H2774"/>
      <x:c r="I2774"/>
      <x:c r="J2774"/>
    </x:row>
    <x:row r="2775">
      <x:c r="A2775" t="str">
        <x:v>ZS-0035B0080172</x:v>
      </x:c>
      <x:c r="B2775"/>
      <x:c r="C2775"/>
      <x:c r="D2775"/>
      <x:c r="E2775"/>
      <x:c r="F2775"/>
      <x:c r="G2775"/>
      <x:c r="H2775"/>
      <x:c r="I2775"/>
      <x:c r="J2775"/>
    </x:row>
    <x:row r="2776">
      <x:c r="A2776" t="str">
        <x:v>ZS-EDEBA44C434C</x:v>
      </x:c>
      <x:c r="B2776"/>
      <x:c r="C2776"/>
      <x:c r="D2776"/>
      <x:c r="E2776"/>
      <x:c r="F2776"/>
      <x:c r="G2776"/>
      <x:c r="H2776"/>
      <x:c r="I2776"/>
      <x:c r="J2776"/>
    </x:row>
    <x:row r="2777">
      <x:c r="A2777" t="str">
        <x:v>ZS-2E8B8EC688DB</x:v>
      </x:c>
      <x:c r="B2777"/>
      <x:c r="C2777"/>
      <x:c r="D2777"/>
      <x:c r="E2777"/>
      <x:c r="F2777"/>
      <x:c r="G2777"/>
      <x:c r="H2777"/>
      <x:c r="I2777"/>
      <x:c r="J2777"/>
    </x:row>
    <x:row r="2778">
      <x:c r="A2778" t="str">
        <x:v>ZS-A500F171AB95</x:v>
      </x:c>
      <x:c r="B2778"/>
      <x:c r="C2778"/>
      <x:c r="D2778"/>
      <x:c r="E2778"/>
      <x:c r="F2778"/>
      <x:c r="G2778"/>
      <x:c r="H2778"/>
      <x:c r="I2778"/>
      <x:c r="J2778"/>
    </x:row>
    <x:row r="2779">
      <x:c r="A2779" t="str">
        <x:v>ZS-33F0DCD196C3</x:v>
      </x:c>
      <x:c r="B2779"/>
      <x:c r="C2779"/>
      <x:c r="D2779"/>
      <x:c r="E2779"/>
      <x:c r="F2779"/>
      <x:c r="G2779"/>
      <x:c r="H2779"/>
      <x:c r="I2779"/>
      <x:c r="J2779"/>
    </x:row>
    <x:row r="2780">
      <x:c r="A2780" t="str">
        <x:v>ZS-9655C7F5F9BB</x:v>
      </x:c>
      <x:c r="B2780"/>
      <x:c r="C2780"/>
      <x:c r="D2780"/>
      <x:c r="E2780"/>
      <x:c r="F2780"/>
      <x:c r="G2780"/>
      <x:c r="H2780"/>
      <x:c r="I2780"/>
      <x:c r="J2780"/>
    </x:row>
    <x:row r="2781">
      <x:c r="A2781" t="str">
        <x:v>ZS-426C3E065608</x:v>
      </x:c>
      <x:c r="B2781"/>
      <x:c r="C2781"/>
      <x:c r="D2781"/>
      <x:c r="E2781"/>
      <x:c r="F2781"/>
      <x:c r="G2781"/>
      <x:c r="H2781"/>
      <x:c r="I2781"/>
      <x:c r="J2781"/>
    </x:row>
    <x:row r="2782">
      <x:c r="A2782" t="str">
        <x:v>ZS-2D43541B42D4</x:v>
      </x:c>
      <x:c r="B2782"/>
      <x:c r="C2782"/>
      <x:c r="D2782"/>
      <x:c r="E2782"/>
      <x:c r="F2782"/>
      <x:c r="G2782"/>
      <x:c r="H2782"/>
      <x:c r="I2782"/>
      <x:c r="J2782"/>
    </x:row>
    <x:row r="2783">
      <x:c r="A2783" t="str">
        <x:v>ZS-5AFDFBBED453</x:v>
      </x:c>
      <x:c r="B2783"/>
      <x:c r="C2783"/>
      <x:c r="D2783"/>
      <x:c r="E2783"/>
      <x:c r="F2783"/>
      <x:c r="G2783"/>
      <x:c r="H2783"/>
      <x:c r="I2783"/>
      <x:c r="J2783"/>
    </x:row>
    <x:row r="2784">
      <x:c r="A2784" t="str">
        <x:v>ZS-A0A7DE4CE7DE</x:v>
      </x:c>
      <x:c r="B2784"/>
      <x:c r="C2784"/>
      <x:c r="D2784"/>
      <x:c r="E2784"/>
      <x:c r="F2784"/>
      <x:c r="G2784"/>
      <x:c r="H2784"/>
      <x:c r="I2784"/>
      <x:c r="J2784"/>
    </x:row>
    <x:row r="2785">
      <x:c r="A2785" t="str">
        <x:v>ZS-87AD812FF176</x:v>
      </x:c>
      <x:c r="B2785"/>
      <x:c r="C2785"/>
      <x:c r="D2785"/>
      <x:c r="E2785"/>
      <x:c r="F2785"/>
      <x:c r="G2785"/>
      <x:c r="H2785"/>
      <x:c r="I2785"/>
      <x:c r="J2785"/>
    </x:row>
    <x:row r="2786">
      <x:c r="A2786" t="str">
        <x:v>ZS-B3185707B0FC</x:v>
      </x:c>
      <x:c r="B2786"/>
      <x:c r="C2786"/>
      <x:c r="D2786"/>
      <x:c r="E2786"/>
      <x:c r="F2786"/>
      <x:c r="G2786"/>
      <x:c r="H2786"/>
      <x:c r="I2786"/>
      <x:c r="J2786"/>
    </x:row>
    <x:row r="2787">
      <x:c r="A2787" t="str">
        <x:v>ZS-C464789F12B6</x:v>
      </x:c>
      <x:c r="B2787"/>
      <x:c r="C2787"/>
      <x:c r="D2787"/>
      <x:c r="E2787"/>
      <x:c r="F2787"/>
      <x:c r="G2787"/>
      <x:c r="H2787"/>
      <x:c r="I2787"/>
      <x:c r="J2787"/>
    </x:row>
    <x:row r="2788">
      <x:c r="A2788" t="str">
        <x:v>ZS-11FDB2AFB58C</x:v>
      </x:c>
      <x:c r="B2788"/>
      <x:c r="C2788"/>
      <x:c r="D2788"/>
      <x:c r="E2788"/>
      <x:c r="F2788"/>
      <x:c r="G2788"/>
      <x:c r="H2788"/>
      <x:c r="I2788"/>
      <x:c r="J2788"/>
    </x:row>
    <x:row r="2789">
      <x:c r="A2789" t="str">
        <x:v>ZS-B8543CA26F07</x:v>
      </x:c>
      <x:c r="B2789"/>
      <x:c r="C2789"/>
      <x:c r="D2789"/>
      <x:c r="E2789"/>
      <x:c r="F2789"/>
      <x:c r="G2789"/>
      <x:c r="H2789"/>
      <x:c r="I2789"/>
      <x:c r="J2789"/>
    </x:row>
    <x:row r="2790">
      <x:c r="A2790" t="str">
        <x:v>ZS-36887A7B2186</x:v>
      </x:c>
      <x:c r="B2790"/>
      <x:c r="C2790"/>
      <x:c r="D2790"/>
      <x:c r="E2790"/>
      <x:c r="F2790"/>
      <x:c r="G2790"/>
      <x:c r="H2790"/>
      <x:c r="I2790"/>
      <x:c r="J2790"/>
    </x:row>
    <x:row r="2791">
      <x:c r="A2791" t="str">
        <x:v>ZS-0B97EC909231</x:v>
      </x:c>
      <x:c r="B2791"/>
      <x:c r="C2791"/>
      <x:c r="D2791"/>
      <x:c r="E2791"/>
      <x:c r="F2791"/>
      <x:c r="G2791"/>
      <x:c r="H2791"/>
      <x:c r="I2791"/>
      <x:c r="J2791"/>
    </x:row>
    <x:row r="2792">
      <x:c r="A2792" t="str">
        <x:v>ZS-84BB1C5BEE90</x:v>
      </x:c>
      <x:c r="B2792"/>
      <x:c r="C2792"/>
      <x:c r="D2792"/>
      <x:c r="E2792"/>
      <x:c r="F2792"/>
      <x:c r="G2792"/>
      <x:c r="H2792"/>
      <x:c r="I2792"/>
      <x:c r="J2792"/>
    </x:row>
    <x:row r="2793">
      <x:c r="A2793" t="str">
        <x:v>ZS-6D2C090CB7B8</x:v>
      </x:c>
      <x:c r="B2793"/>
      <x:c r="C2793"/>
      <x:c r="D2793"/>
      <x:c r="E2793"/>
      <x:c r="F2793"/>
      <x:c r="G2793"/>
      <x:c r="H2793"/>
      <x:c r="I2793"/>
      <x:c r="J2793"/>
    </x:row>
    <x:row r="2794">
      <x:c r="A2794" t="str">
        <x:v>ZS-21708C42D92C</x:v>
      </x:c>
      <x:c r="B2794"/>
      <x:c r="C2794"/>
      <x:c r="D2794"/>
      <x:c r="E2794"/>
      <x:c r="F2794"/>
      <x:c r="G2794"/>
      <x:c r="H2794"/>
      <x:c r="I2794"/>
      <x:c r="J2794"/>
    </x:row>
    <x:row r="2795">
      <x:c r="A2795" t="str">
        <x:v>ZS-804C0BF80BD6</x:v>
      </x:c>
      <x:c r="B2795"/>
      <x:c r="C2795"/>
      <x:c r="D2795"/>
      <x:c r="E2795"/>
      <x:c r="F2795"/>
      <x:c r="G2795"/>
      <x:c r="H2795"/>
      <x:c r="I2795"/>
      <x:c r="J2795"/>
    </x:row>
    <x:row r="2796">
      <x:c r="A2796" t="str">
        <x:v>ZS-69E1647B66F8</x:v>
      </x:c>
      <x:c r="B2796"/>
      <x:c r="C2796"/>
      <x:c r="D2796"/>
      <x:c r="E2796"/>
      <x:c r="F2796"/>
      <x:c r="G2796"/>
      <x:c r="H2796"/>
      <x:c r="I2796"/>
      <x:c r="J2796"/>
    </x:row>
    <x:row r="2797">
      <x:c r="A2797" t="str">
        <x:v>ZS-F3014365C662</x:v>
      </x:c>
      <x:c r="B2797"/>
      <x:c r="C2797"/>
      <x:c r="D2797"/>
      <x:c r="E2797"/>
      <x:c r="F2797"/>
      <x:c r="G2797"/>
      <x:c r="H2797"/>
      <x:c r="I2797"/>
      <x:c r="J2797"/>
    </x:row>
    <x:row r="2798">
      <x:c r="A2798" t="str">
        <x:v>ZS-CB3F2AD60CC2</x:v>
      </x:c>
      <x:c r="B2798"/>
      <x:c r="C2798"/>
      <x:c r="D2798"/>
      <x:c r="E2798"/>
      <x:c r="F2798"/>
      <x:c r="G2798"/>
      <x:c r="H2798"/>
      <x:c r="I2798"/>
      <x:c r="J2798"/>
    </x:row>
    <x:row r="2799">
      <x:c r="A2799" t="str">
        <x:v>ZS-336D8AA504CA</x:v>
      </x:c>
      <x:c r="B2799"/>
      <x:c r="C2799"/>
      <x:c r="D2799"/>
      <x:c r="E2799"/>
      <x:c r="F2799"/>
      <x:c r="G2799"/>
      <x:c r="H2799"/>
      <x:c r="I2799"/>
      <x:c r="J2799"/>
    </x:row>
    <x:row r="2800">
      <x:c r="A2800" t="str">
        <x:v>ZS-61DB2F9AD1B6</x:v>
      </x:c>
      <x:c r="B2800"/>
      <x:c r="C2800"/>
      <x:c r="D2800"/>
      <x:c r="E2800"/>
      <x:c r="F2800"/>
      <x:c r="G2800"/>
      <x:c r="H2800"/>
      <x:c r="I2800"/>
      <x:c r="J2800"/>
    </x:row>
    <x:row r="2801">
      <x:c r="A2801" t="str">
        <x:v>ZS-9885450B195B</x:v>
      </x:c>
      <x:c r="B2801"/>
      <x:c r="C2801"/>
      <x:c r="D2801"/>
      <x:c r="E2801"/>
      <x:c r="F2801"/>
      <x:c r="G2801"/>
      <x:c r="H2801"/>
      <x:c r="I2801"/>
      <x:c r="J2801"/>
    </x:row>
    <x:row r="2802">
      <x:c r="A2802" t="str">
        <x:v>ZS-B1C2920024C3</x:v>
      </x:c>
      <x:c r="B2802"/>
      <x:c r="C2802"/>
      <x:c r="D2802"/>
      <x:c r="E2802"/>
      <x:c r="F2802"/>
      <x:c r="G2802"/>
      <x:c r="H2802"/>
      <x:c r="I2802"/>
      <x:c r="J2802"/>
    </x:row>
    <x:row r="2803">
      <x:c r="A2803" t="str">
        <x:v>ZS-002942F122E8</x:v>
      </x:c>
      <x:c r="B2803"/>
      <x:c r="C2803"/>
      <x:c r="D2803"/>
      <x:c r="E2803"/>
      <x:c r="F2803"/>
      <x:c r="G2803"/>
      <x:c r="H2803"/>
      <x:c r="I2803"/>
      <x:c r="J2803"/>
    </x:row>
    <x:row r="2804">
      <x:c r="A2804" t="str">
        <x:v>ZS-5956065BBECE</x:v>
      </x:c>
      <x:c r="B2804"/>
      <x:c r="C2804"/>
      <x:c r="D2804"/>
      <x:c r="E2804"/>
      <x:c r="F2804"/>
      <x:c r="G2804"/>
      <x:c r="H2804"/>
      <x:c r="I2804"/>
      <x:c r="J2804"/>
    </x:row>
    <x:row r="2805">
      <x:c r="A2805" t="str">
        <x:v>ZS-7BE0BE1EAF4C</x:v>
      </x:c>
      <x:c r="B2805"/>
      <x:c r="C2805"/>
      <x:c r="D2805"/>
      <x:c r="E2805"/>
      <x:c r="F2805"/>
      <x:c r="G2805"/>
      <x:c r="H2805"/>
      <x:c r="I2805"/>
      <x:c r="J2805"/>
    </x:row>
    <x:row r="2806">
      <x:c r="A2806" t="str">
        <x:v>ZS-80E34996EF45</x:v>
      </x:c>
      <x:c r="B2806"/>
      <x:c r="C2806"/>
      <x:c r="D2806"/>
      <x:c r="E2806"/>
      <x:c r="F2806"/>
      <x:c r="G2806"/>
      <x:c r="H2806"/>
      <x:c r="I2806"/>
      <x:c r="J2806"/>
    </x:row>
    <x:row r="2807">
      <x:c r="A2807" t="str">
        <x:v>ZS-77965C419A71</x:v>
      </x:c>
      <x:c r="B2807"/>
      <x:c r="C2807"/>
      <x:c r="D2807"/>
      <x:c r="E2807"/>
      <x:c r="F2807"/>
      <x:c r="G2807"/>
      <x:c r="H2807"/>
      <x:c r="I2807"/>
      <x:c r="J2807"/>
    </x:row>
    <x:row r="2808">
      <x:c r="A2808" t="str">
        <x:v>ZS-7FC01C8C6DFF</x:v>
      </x:c>
      <x:c r="B2808"/>
      <x:c r="C2808"/>
      <x:c r="D2808"/>
      <x:c r="E2808"/>
      <x:c r="F2808"/>
      <x:c r="G2808"/>
      <x:c r="H2808"/>
      <x:c r="I2808"/>
      <x:c r="J2808"/>
    </x:row>
    <x:row r="2809">
      <x:c r="A2809" t="str">
        <x:v>ZS-855BB808D803</x:v>
      </x:c>
      <x:c r="B2809"/>
      <x:c r="C2809"/>
      <x:c r="D2809"/>
      <x:c r="E2809"/>
      <x:c r="F2809"/>
      <x:c r="G2809"/>
      <x:c r="H2809"/>
      <x:c r="I2809"/>
      <x:c r="J2809"/>
    </x:row>
    <x:row r="2810">
      <x:c r="A2810" t="str">
        <x:v>ZS-8C066B3263CF</x:v>
      </x:c>
      <x:c r="B2810"/>
      <x:c r="C2810"/>
      <x:c r="D2810"/>
      <x:c r="E2810"/>
      <x:c r="F2810"/>
      <x:c r="G2810"/>
      <x:c r="H2810"/>
      <x:c r="I2810"/>
      <x:c r="J2810"/>
    </x:row>
    <x:row r="2811">
      <x:c r="A2811" t="str">
        <x:v>ZS-0EC0B7EFEF37</x:v>
      </x:c>
      <x:c r="B2811"/>
      <x:c r="C2811"/>
      <x:c r="D2811"/>
      <x:c r="E2811"/>
      <x:c r="F2811"/>
      <x:c r="G2811"/>
      <x:c r="H2811"/>
      <x:c r="I2811"/>
      <x:c r="J2811"/>
    </x:row>
    <x:row r="2812">
      <x:c r="A2812" t="str">
        <x:v>ZS-37833744A512</x:v>
      </x:c>
      <x:c r="B2812"/>
      <x:c r="C2812"/>
      <x:c r="D2812"/>
      <x:c r="E2812"/>
      <x:c r="F2812"/>
      <x:c r="G2812"/>
      <x:c r="H2812"/>
      <x:c r="I2812"/>
      <x:c r="J2812"/>
    </x:row>
    <x:row r="2813">
      <x:c r="A2813" t="str">
        <x:v>ZS-FF7C868C93AD</x:v>
      </x:c>
      <x:c r="B2813"/>
      <x:c r="C2813"/>
      <x:c r="D2813"/>
      <x:c r="E2813"/>
      <x:c r="F2813"/>
      <x:c r="G2813"/>
      <x:c r="H2813"/>
      <x:c r="I2813"/>
      <x:c r="J2813"/>
    </x:row>
    <x:row r="2814">
      <x:c r="A2814" t="str">
        <x:v>ZS-ADD11956A27A</x:v>
      </x:c>
      <x:c r="B2814"/>
      <x:c r="C2814"/>
      <x:c r="D2814"/>
      <x:c r="E2814"/>
      <x:c r="F2814"/>
      <x:c r="G2814"/>
      <x:c r="H2814"/>
      <x:c r="I2814"/>
      <x:c r="J2814"/>
    </x:row>
    <x:row r="2815">
      <x:c r="A2815" t="str">
        <x:v>ZS-54045368A17C</x:v>
      </x:c>
      <x:c r="B2815"/>
      <x:c r="C2815"/>
      <x:c r="D2815"/>
      <x:c r="E2815"/>
      <x:c r="F2815"/>
      <x:c r="G2815"/>
      <x:c r="H2815"/>
      <x:c r="I2815"/>
      <x:c r="J2815"/>
    </x:row>
    <x:row r="2816">
      <x:c r="A2816" t="str">
        <x:v>ZS-FBAE95784816</x:v>
      </x:c>
      <x:c r="B2816"/>
      <x:c r="C2816"/>
      <x:c r="D2816"/>
      <x:c r="E2816"/>
      <x:c r="F2816"/>
      <x:c r="G2816"/>
      <x:c r="H2816"/>
      <x:c r="I2816"/>
      <x:c r="J2816"/>
    </x:row>
    <x:row r="2817">
      <x:c r="A2817" t="str">
        <x:v>ZS-DF56E0118F42</x:v>
      </x:c>
      <x:c r="B2817"/>
      <x:c r="C2817"/>
      <x:c r="D2817"/>
      <x:c r="E2817"/>
      <x:c r="F2817"/>
      <x:c r="G2817"/>
      <x:c r="H2817"/>
      <x:c r="I2817"/>
      <x:c r="J2817"/>
    </x:row>
    <x:row r="2818">
      <x:c r="A2818" t="str">
        <x:v>ZS-222560D8DFC1</x:v>
      </x:c>
      <x:c r="B2818"/>
      <x:c r="C2818"/>
      <x:c r="D2818"/>
      <x:c r="E2818"/>
      <x:c r="F2818"/>
      <x:c r="G2818"/>
      <x:c r="H2818"/>
      <x:c r="I2818"/>
      <x:c r="J2818"/>
    </x:row>
    <x:row r="2819">
      <x:c r="A2819" t="str">
        <x:v>ZS-DD2E35668B29</x:v>
      </x:c>
      <x:c r="B2819"/>
      <x:c r="C2819"/>
      <x:c r="D2819"/>
      <x:c r="E2819"/>
      <x:c r="F2819"/>
      <x:c r="G2819"/>
      <x:c r="H2819"/>
      <x:c r="I2819"/>
      <x:c r="J2819"/>
    </x:row>
    <x:row r="2820">
      <x:c r="A2820" t="str">
        <x:v>ZS-FB30AC205D83</x:v>
      </x:c>
      <x:c r="B2820"/>
      <x:c r="C2820"/>
      <x:c r="D2820"/>
      <x:c r="E2820"/>
      <x:c r="F2820"/>
      <x:c r="G2820"/>
      <x:c r="H2820"/>
      <x:c r="I2820"/>
      <x:c r="J2820"/>
    </x:row>
    <x:row r="2821">
      <x:c r="A2821" t="str">
        <x:v>ZS-2FC617B70B09</x:v>
      </x:c>
      <x:c r="B2821"/>
      <x:c r="C2821"/>
      <x:c r="D2821"/>
      <x:c r="E2821"/>
      <x:c r="F2821"/>
      <x:c r="G2821"/>
      <x:c r="H2821"/>
      <x:c r="I2821"/>
      <x:c r="J2821"/>
    </x:row>
    <x:row r="2822">
      <x:c r="A2822" t="str">
        <x:v>ZS-72BD93C3EC6E</x:v>
      </x:c>
      <x:c r="B2822"/>
      <x:c r="C2822"/>
      <x:c r="D2822"/>
      <x:c r="E2822"/>
      <x:c r="F2822"/>
      <x:c r="G2822"/>
      <x:c r="H2822"/>
      <x:c r="I2822"/>
      <x:c r="J2822"/>
    </x:row>
    <x:row r="2823">
      <x:c r="A2823" t="str">
        <x:v>ZS-EDDFE7FF2C84</x:v>
      </x:c>
      <x:c r="B2823"/>
      <x:c r="C2823"/>
      <x:c r="D2823"/>
      <x:c r="E2823"/>
      <x:c r="F2823"/>
      <x:c r="G2823"/>
      <x:c r="H2823"/>
      <x:c r="I2823"/>
      <x:c r="J2823"/>
    </x:row>
    <x:row r="2824">
      <x:c r="A2824" t="str">
        <x:v>ZS-E80E78B72F94</x:v>
      </x:c>
      <x:c r="B2824"/>
      <x:c r="C2824"/>
      <x:c r="D2824"/>
      <x:c r="E2824"/>
      <x:c r="F2824"/>
      <x:c r="G2824"/>
      <x:c r="H2824"/>
      <x:c r="I2824"/>
      <x:c r="J2824"/>
    </x:row>
    <x:row r="2825">
      <x:c r="A2825" t="str">
        <x:v>ZS-407F1BE032C5</x:v>
      </x:c>
      <x:c r="B2825"/>
      <x:c r="C2825"/>
      <x:c r="D2825"/>
      <x:c r="E2825"/>
      <x:c r="F2825"/>
      <x:c r="G2825"/>
      <x:c r="H2825"/>
      <x:c r="I2825"/>
      <x:c r="J2825"/>
    </x:row>
    <x:row r="2826">
      <x:c r="A2826" t="str">
        <x:v>ZS-1DEABF66E2E5</x:v>
      </x:c>
      <x:c r="B2826"/>
      <x:c r="C2826"/>
      <x:c r="D2826"/>
      <x:c r="E2826"/>
      <x:c r="F2826"/>
      <x:c r="G2826"/>
      <x:c r="H2826"/>
      <x:c r="I2826"/>
      <x:c r="J2826"/>
    </x:row>
    <x:row r="2827">
      <x:c r="A2827" t="str">
        <x:v>ZS-25B060BC2217</x:v>
      </x:c>
      <x:c r="B2827"/>
      <x:c r="C2827"/>
      <x:c r="D2827"/>
      <x:c r="E2827"/>
      <x:c r="F2827"/>
      <x:c r="G2827"/>
      <x:c r="H2827"/>
      <x:c r="I2827"/>
      <x:c r="J2827"/>
    </x:row>
    <x:row r="2828">
      <x:c r="A2828" t="str">
        <x:v>ZS-F91A5E18C8D3</x:v>
      </x:c>
      <x:c r="B2828"/>
      <x:c r="C2828"/>
      <x:c r="D2828"/>
      <x:c r="E2828"/>
      <x:c r="F2828"/>
      <x:c r="G2828"/>
      <x:c r="H2828"/>
      <x:c r="I2828"/>
      <x:c r="J2828"/>
    </x:row>
    <x:row r="2829">
      <x:c r="A2829" t="str">
        <x:v>ZS-D67D19C25FDE</x:v>
      </x:c>
      <x:c r="B2829"/>
      <x:c r="C2829"/>
      <x:c r="D2829"/>
      <x:c r="E2829"/>
      <x:c r="F2829"/>
      <x:c r="G2829"/>
      <x:c r="H2829"/>
      <x:c r="I2829"/>
      <x:c r="J2829"/>
    </x:row>
    <x:row r="2830">
      <x:c r="A2830" t="str">
        <x:v>ZS-6D9766274D1D</x:v>
      </x:c>
      <x:c r="B2830"/>
      <x:c r="C2830"/>
      <x:c r="D2830"/>
      <x:c r="E2830"/>
      <x:c r="F2830"/>
      <x:c r="G2830"/>
      <x:c r="H2830"/>
      <x:c r="I2830"/>
      <x:c r="J2830"/>
    </x:row>
    <x:row r="2831">
      <x:c r="A2831" t="str">
        <x:v>ZS-9DE1E7036874</x:v>
      </x:c>
      <x:c r="B2831"/>
      <x:c r="C2831"/>
      <x:c r="D2831"/>
      <x:c r="E2831"/>
      <x:c r="F2831"/>
      <x:c r="G2831"/>
      <x:c r="H2831"/>
      <x:c r="I2831"/>
      <x:c r="J2831"/>
    </x:row>
    <x:row r="2832">
      <x:c r="A2832" t="str">
        <x:v>ZS-6390EA042DA5</x:v>
      </x:c>
      <x:c r="B2832"/>
      <x:c r="C2832"/>
      <x:c r="D2832"/>
      <x:c r="E2832"/>
      <x:c r="F2832"/>
      <x:c r="G2832"/>
      <x:c r="H2832"/>
      <x:c r="I2832"/>
      <x:c r="J2832"/>
    </x:row>
    <x:row r="2833">
      <x:c r="A2833" t="str">
        <x:v>ZS-8D89DD184CB1</x:v>
      </x:c>
      <x:c r="B2833"/>
      <x:c r="C2833"/>
      <x:c r="D2833"/>
      <x:c r="E2833"/>
      <x:c r="F2833"/>
      <x:c r="G2833"/>
      <x:c r="H2833"/>
      <x:c r="I2833"/>
      <x:c r="J2833"/>
    </x:row>
    <x:row r="2834">
      <x:c r="A2834" t="str">
        <x:v>ZS-17A4836E37E9</x:v>
      </x:c>
      <x:c r="B2834"/>
      <x:c r="C2834"/>
      <x:c r="D2834"/>
      <x:c r="E2834"/>
      <x:c r="F2834"/>
      <x:c r="G2834"/>
      <x:c r="H2834"/>
      <x:c r="I2834"/>
      <x:c r="J2834"/>
    </x:row>
    <x:row r="2835">
      <x:c r="A2835" t="str">
        <x:v>ZS-96819DCC9D12</x:v>
      </x:c>
      <x:c r="B2835"/>
      <x:c r="C2835"/>
      <x:c r="D2835"/>
      <x:c r="E2835"/>
      <x:c r="F2835"/>
      <x:c r="G2835"/>
      <x:c r="H2835"/>
      <x:c r="I2835"/>
      <x:c r="J2835"/>
    </x:row>
    <x:row r="2836">
      <x:c r="A2836" t="str">
        <x:v>ZS-E3A940978E63</x:v>
      </x:c>
      <x:c r="B2836"/>
      <x:c r="C2836"/>
      <x:c r="D2836"/>
      <x:c r="E2836"/>
      <x:c r="F2836"/>
      <x:c r="G2836"/>
      <x:c r="H2836"/>
      <x:c r="I2836"/>
      <x:c r="J2836"/>
    </x:row>
    <x:row r="2837">
      <x:c r="A2837" t="str">
        <x:v>ZS-9E0F4F4EA396</x:v>
      </x:c>
      <x:c r="B2837"/>
      <x:c r="C2837"/>
      <x:c r="D2837"/>
      <x:c r="E2837"/>
      <x:c r="F2837"/>
      <x:c r="G2837"/>
      <x:c r="H2837"/>
      <x:c r="I2837"/>
      <x:c r="J2837"/>
    </x:row>
    <x:row r="2838">
      <x:c r="A2838" t="str">
        <x:v>ZS-3B79A8CF99C0</x:v>
      </x:c>
      <x:c r="B2838"/>
      <x:c r="C2838"/>
      <x:c r="D2838"/>
      <x:c r="E2838"/>
      <x:c r="F2838"/>
      <x:c r="G2838"/>
      <x:c r="H2838"/>
      <x:c r="I2838"/>
      <x:c r="J2838"/>
    </x:row>
    <x:row r="2839">
      <x:c r="A2839" t="str">
        <x:v>ZS-CE6849BE70DE</x:v>
      </x:c>
      <x:c r="B2839"/>
      <x:c r="C2839"/>
      <x:c r="D2839"/>
      <x:c r="E2839"/>
      <x:c r="F2839"/>
      <x:c r="G2839"/>
      <x:c r="H2839"/>
      <x:c r="I2839"/>
      <x:c r="J2839"/>
    </x:row>
    <x:row r="2840">
      <x:c r="A2840" t="str">
        <x:v>ZS-A8B58AF82DF4</x:v>
      </x:c>
      <x:c r="B2840"/>
      <x:c r="C2840"/>
      <x:c r="D2840"/>
      <x:c r="E2840"/>
      <x:c r="F2840"/>
      <x:c r="G2840"/>
      <x:c r="H2840"/>
      <x:c r="I2840"/>
      <x:c r="J2840"/>
    </x:row>
    <x:row r="2841">
      <x:c r="A2841" t="str">
        <x:v>ZS-08C63EE05B04</x:v>
      </x:c>
      <x:c r="B2841"/>
      <x:c r="C2841"/>
      <x:c r="D2841"/>
      <x:c r="E2841"/>
      <x:c r="F2841"/>
      <x:c r="G2841"/>
      <x:c r="H2841"/>
      <x:c r="I2841"/>
      <x:c r="J2841"/>
    </x:row>
    <x:row r="2842">
      <x:c r="A2842" t="str">
        <x:v>ZS-4A15011639A0</x:v>
      </x:c>
      <x:c r="B2842"/>
      <x:c r="C2842"/>
      <x:c r="D2842"/>
      <x:c r="E2842"/>
      <x:c r="F2842"/>
      <x:c r="G2842"/>
      <x:c r="H2842"/>
      <x:c r="I2842"/>
      <x:c r="J2842"/>
    </x:row>
    <x:row r="2843">
      <x:c r="A2843" t="str">
        <x:v>ZS-21824A020A41</x:v>
      </x:c>
      <x:c r="B2843"/>
      <x:c r="C2843"/>
      <x:c r="D2843"/>
      <x:c r="E2843"/>
      <x:c r="F2843"/>
      <x:c r="G2843"/>
      <x:c r="H2843"/>
      <x:c r="I2843"/>
      <x:c r="J2843"/>
    </x:row>
    <x:row r="2844">
      <x:c r="A2844" t="str">
        <x:v>ZS-C1ECDDA52BB1</x:v>
      </x:c>
      <x:c r="B2844"/>
      <x:c r="C2844"/>
      <x:c r="D2844"/>
      <x:c r="E2844"/>
      <x:c r="F2844"/>
      <x:c r="G2844"/>
      <x:c r="H2844"/>
      <x:c r="I2844"/>
      <x:c r="J2844"/>
    </x:row>
    <x:row r="2845">
      <x:c r="A2845" t="str">
        <x:v>ZS-C3342817D475</x:v>
      </x:c>
      <x:c r="B2845"/>
      <x:c r="C2845"/>
      <x:c r="D2845"/>
      <x:c r="E2845"/>
      <x:c r="F2845"/>
      <x:c r="G2845"/>
      <x:c r="H2845"/>
      <x:c r="I2845"/>
      <x:c r="J2845"/>
    </x:row>
    <x:row r="2846">
      <x:c r="A2846" t="str">
        <x:v>ZS-58B007396180</x:v>
      </x:c>
      <x:c r="B2846"/>
      <x:c r="C2846"/>
      <x:c r="D2846"/>
      <x:c r="E2846"/>
      <x:c r="F2846"/>
      <x:c r="G2846"/>
      <x:c r="H2846"/>
      <x:c r="I2846"/>
      <x:c r="J2846"/>
    </x:row>
    <x:row r="2847">
      <x:c r="A2847" t="str">
        <x:v>ZS-4F8CFCDD2FF3</x:v>
      </x:c>
      <x:c r="B2847"/>
      <x:c r="C2847"/>
      <x:c r="D2847"/>
      <x:c r="E2847"/>
      <x:c r="F2847"/>
      <x:c r="G2847"/>
      <x:c r="H2847"/>
      <x:c r="I2847"/>
      <x:c r="J2847"/>
    </x:row>
    <x:row r="2848">
      <x:c r="A2848" t="str">
        <x:v>ZS-D4BC03A67EB9</x:v>
      </x:c>
      <x:c r="B2848"/>
      <x:c r="C2848"/>
      <x:c r="D2848"/>
      <x:c r="E2848"/>
      <x:c r="F2848"/>
      <x:c r="G2848"/>
      <x:c r="H2848"/>
      <x:c r="I2848"/>
      <x:c r="J2848"/>
    </x:row>
    <x:row r="2849">
      <x:c r="A2849" t="str">
        <x:v>ZS-164813C003A4</x:v>
      </x:c>
      <x:c r="B2849"/>
      <x:c r="C2849"/>
      <x:c r="D2849"/>
      <x:c r="E2849"/>
      <x:c r="F2849"/>
      <x:c r="G2849"/>
      <x:c r="H2849"/>
      <x:c r="I2849"/>
      <x:c r="J2849"/>
    </x:row>
    <x:row r="2850">
      <x:c r="A2850" t="str">
        <x:v>ZS-300533FDF230</x:v>
      </x:c>
      <x:c r="B2850"/>
      <x:c r="C2850"/>
      <x:c r="D2850"/>
      <x:c r="E2850"/>
      <x:c r="F2850"/>
      <x:c r="G2850"/>
      <x:c r="H2850"/>
      <x:c r="I2850"/>
      <x:c r="J2850"/>
    </x:row>
    <x:row r="2851">
      <x:c r="A2851" t="str">
        <x:v>ZS-6F088E7A1926</x:v>
      </x:c>
      <x:c r="B2851"/>
      <x:c r="C2851"/>
      <x:c r="D2851"/>
      <x:c r="E2851"/>
      <x:c r="F2851"/>
      <x:c r="G2851"/>
      <x:c r="H2851"/>
      <x:c r="I2851"/>
      <x:c r="J2851"/>
    </x:row>
    <x:row r="2852">
      <x:c r="A2852" t="str">
        <x:v>ZS-C44D562DD2ED</x:v>
      </x:c>
      <x:c r="B2852"/>
      <x:c r="C2852"/>
      <x:c r="D2852"/>
      <x:c r="E2852"/>
      <x:c r="F2852"/>
      <x:c r="G2852"/>
      <x:c r="H2852"/>
      <x:c r="I2852"/>
      <x:c r="J2852"/>
    </x:row>
    <x:row r="2853">
      <x:c r="A2853" t="str">
        <x:v>ZS-F9C544E6B40E</x:v>
      </x:c>
      <x:c r="B2853"/>
      <x:c r="C2853"/>
      <x:c r="D2853"/>
      <x:c r="E2853"/>
      <x:c r="F2853"/>
      <x:c r="G2853"/>
      <x:c r="H2853"/>
      <x:c r="I2853"/>
      <x:c r="J2853"/>
    </x:row>
    <x:row r="2854">
      <x:c r="A2854" t="str">
        <x:v>ZS-FE51CA86F54C</x:v>
      </x:c>
      <x:c r="B2854"/>
      <x:c r="C2854"/>
      <x:c r="D2854"/>
      <x:c r="E2854"/>
      <x:c r="F2854"/>
      <x:c r="G2854"/>
      <x:c r="H2854"/>
      <x:c r="I2854"/>
      <x:c r="J2854"/>
    </x:row>
    <x:row r="2855">
      <x:c r="A2855" t="str">
        <x:v>ZS-EF72E4F3FC5B</x:v>
      </x:c>
      <x:c r="B2855"/>
      <x:c r="C2855"/>
      <x:c r="D2855"/>
      <x:c r="E2855"/>
      <x:c r="F2855"/>
      <x:c r="G2855"/>
      <x:c r="H2855"/>
      <x:c r="I2855"/>
      <x:c r="J2855"/>
    </x:row>
    <x:row r="2856">
      <x:c r="A2856" t="str">
        <x:v>ZS-5611B2E9A828</x:v>
      </x:c>
      <x:c r="B2856"/>
      <x:c r="C2856"/>
      <x:c r="D2856"/>
      <x:c r="E2856"/>
      <x:c r="F2856"/>
      <x:c r="G2856"/>
      <x:c r="H2856"/>
      <x:c r="I2856"/>
      <x:c r="J2856"/>
    </x:row>
    <x:row r="2857">
      <x:c r="A2857" t="str">
        <x:v>ZS-747DBA704D8B</x:v>
      </x:c>
      <x:c r="B2857"/>
      <x:c r="C2857"/>
      <x:c r="D2857"/>
      <x:c r="E2857"/>
      <x:c r="F2857"/>
      <x:c r="G2857"/>
      <x:c r="H2857"/>
      <x:c r="I2857"/>
      <x:c r="J2857"/>
    </x:row>
    <x:row r="2858">
      <x:c r="A2858" t="str">
        <x:v>ZS-CB8C47D3AE1B</x:v>
      </x:c>
      <x:c r="B2858"/>
      <x:c r="C2858"/>
      <x:c r="D2858"/>
      <x:c r="E2858"/>
      <x:c r="F2858"/>
      <x:c r="G2858"/>
      <x:c r="H2858"/>
      <x:c r="I2858"/>
      <x:c r="J2858"/>
    </x:row>
    <x:row r="2859">
      <x:c r="A2859" t="str">
        <x:v>ZS-FAA2A26D11DB</x:v>
      </x:c>
      <x:c r="B2859"/>
      <x:c r="C2859"/>
      <x:c r="D2859"/>
      <x:c r="E2859"/>
      <x:c r="F2859"/>
      <x:c r="G2859"/>
      <x:c r="H2859"/>
      <x:c r="I2859"/>
      <x:c r="J2859"/>
    </x:row>
    <x:row r="2860">
      <x:c r="A2860" t="str">
        <x:v>ZS-3018243B4621</x:v>
      </x:c>
      <x:c r="B2860"/>
      <x:c r="C2860"/>
      <x:c r="D2860"/>
      <x:c r="E2860"/>
      <x:c r="F2860"/>
      <x:c r="G2860"/>
      <x:c r="H2860"/>
      <x:c r="I2860"/>
      <x:c r="J2860"/>
    </x:row>
    <x:row r="2861">
      <x:c r="A2861" t="str">
        <x:v>ZS-EFECF43AABCD</x:v>
      </x:c>
      <x:c r="B2861"/>
      <x:c r="C2861"/>
      <x:c r="D2861"/>
      <x:c r="E2861"/>
      <x:c r="F2861"/>
      <x:c r="G2861"/>
      <x:c r="H2861"/>
      <x:c r="I2861"/>
      <x:c r="J2861"/>
    </x:row>
    <x:row r="2862">
      <x:c r="A2862" t="str">
        <x:v>ZS-040C5A147C13</x:v>
      </x:c>
      <x:c r="B2862"/>
      <x:c r="C2862"/>
      <x:c r="D2862"/>
      <x:c r="E2862"/>
      <x:c r="F2862"/>
      <x:c r="G2862"/>
      <x:c r="H2862"/>
      <x:c r="I2862"/>
      <x:c r="J2862"/>
    </x:row>
    <x:row r="2863">
      <x:c r="A2863" t="str">
        <x:v>ZS-B25252460996</x:v>
      </x:c>
      <x:c r="B2863"/>
      <x:c r="C2863"/>
      <x:c r="D2863"/>
      <x:c r="E2863"/>
      <x:c r="F2863"/>
      <x:c r="G2863"/>
      <x:c r="H2863"/>
      <x:c r="I2863"/>
      <x:c r="J2863"/>
    </x:row>
    <x:row r="2864">
      <x:c r="A2864" t="str">
        <x:v>ZS-F40CF8042B33</x:v>
      </x:c>
      <x:c r="B2864"/>
      <x:c r="C2864"/>
      <x:c r="D2864"/>
      <x:c r="E2864"/>
      <x:c r="F2864"/>
      <x:c r="G2864"/>
      <x:c r="H2864"/>
      <x:c r="I2864"/>
      <x:c r="J2864"/>
    </x:row>
    <x:row r="2865">
      <x:c r="A2865" t="str">
        <x:v>ZS-B1CEF29055E9</x:v>
      </x:c>
      <x:c r="B2865"/>
      <x:c r="C2865"/>
      <x:c r="D2865"/>
      <x:c r="E2865"/>
      <x:c r="F2865"/>
      <x:c r="G2865"/>
      <x:c r="H2865"/>
      <x:c r="I2865"/>
      <x:c r="J2865"/>
    </x:row>
    <x:row r="2866">
      <x:c r="A2866" t="str">
        <x:v>ZS-677EF2024662</x:v>
      </x:c>
      <x:c r="B2866"/>
      <x:c r="C2866"/>
      <x:c r="D2866"/>
      <x:c r="E2866"/>
      <x:c r="F2866"/>
      <x:c r="G2866"/>
      <x:c r="H2866"/>
      <x:c r="I2866"/>
      <x:c r="J2866"/>
    </x:row>
    <x:row r="2867">
      <x:c r="A2867" t="str">
        <x:v>ZS-661F26D6C584</x:v>
      </x:c>
      <x:c r="B2867"/>
      <x:c r="C2867"/>
      <x:c r="D2867"/>
      <x:c r="E2867"/>
      <x:c r="F2867"/>
      <x:c r="G2867"/>
      <x:c r="H2867"/>
      <x:c r="I2867"/>
      <x:c r="J2867"/>
    </x:row>
    <x:row r="2868">
      <x:c r="A2868" t="str">
        <x:v>ZS-5D2072460C5D</x:v>
      </x:c>
      <x:c r="B2868"/>
      <x:c r="C2868"/>
      <x:c r="D2868"/>
      <x:c r="E2868"/>
      <x:c r="F2868"/>
      <x:c r="G2868"/>
      <x:c r="H2868"/>
      <x:c r="I2868"/>
      <x:c r="J2868"/>
    </x:row>
    <x:row r="2869">
      <x:c r="A2869" t="str">
        <x:v>ZS-0A4A3DEEADCA</x:v>
      </x:c>
      <x:c r="B2869"/>
      <x:c r="C2869"/>
      <x:c r="D2869"/>
      <x:c r="E2869"/>
      <x:c r="F2869"/>
      <x:c r="G2869"/>
      <x:c r="H2869"/>
      <x:c r="I2869"/>
      <x:c r="J2869"/>
    </x:row>
    <x:row r="2870">
      <x:c r="A2870" t="str">
        <x:v>ZS-196D32C65049</x:v>
      </x:c>
      <x:c r="B2870"/>
      <x:c r="C2870"/>
      <x:c r="D2870"/>
      <x:c r="E2870"/>
      <x:c r="F2870"/>
      <x:c r="G2870"/>
      <x:c r="H2870"/>
      <x:c r="I2870"/>
      <x:c r="J2870"/>
    </x:row>
    <x:row r="2871">
      <x:c r="A2871" t="str">
        <x:v>ZS-CCCAB679E7CE</x:v>
      </x:c>
      <x:c r="B2871"/>
      <x:c r="C2871"/>
      <x:c r="D2871"/>
      <x:c r="E2871"/>
      <x:c r="F2871"/>
      <x:c r="G2871"/>
      <x:c r="H2871"/>
      <x:c r="I2871"/>
      <x:c r="J2871"/>
    </x:row>
    <x:row r="2872">
      <x:c r="A2872" t="str">
        <x:v>ZS-BFF519FF7F48</x:v>
      </x:c>
      <x:c r="B2872"/>
      <x:c r="C2872"/>
      <x:c r="D2872"/>
      <x:c r="E2872"/>
      <x:c r="F2872"/>
      <x:c r="G2872"/>
      <x:c r="H2872"/>
      <x:c r="I2872"/>
      <x:c r="J2872"/>
    </x:row>
    <x:row r="2873">
      <x:c r="A2873" t="str">
        <x:v>ZS-81B0E581B764</x:v>
      </x:c>
      <x:c r="B2873"/>
      <x:c r="C2873"/>
      <x:c r="D2873"/>
      <x:c r="E2873"/>
      <x:c r="F2873"/>
      <x:c r="G2873"/>
      <x:c r="H2873"/>
      <x:c r="I2873"/>
      <x:c r="J2873"/>
    </x:row>
    <x:row r="2874">
      <x:c r="A2874" t="str">
        <x:v>ZS-CE6408426C51</x:v>
      </x:c>
      <x:c r="B2874"/>
      <x:c r="C2874"/>
      <x:c r="D2874"/>
      <x:c r="E2874"/>
      <x:c r="F2874"/>
      <x:c r="G2874"/>
      <x:c r="H2874"/>
      <x:c r="I2874"/>
      <x:c r="J2874"/>
    </x:row>
    <x:row r="2875">
      <x:c r="A2875" t="str">
        <x:v>ZS-CB2AE1998EC3</x:v>
      </x:c>
      <x:c r="B2875"/>
      <x:c r="C2875"/>
      <x:c r="D2875"/>
      <x:c r="E2875"/>
      <x:c r="F2875"/>
      <x:c r="G2875"/>
      <x:c r="H2875"/>
      <x:c r="I2875"/>
      <x:c r="J2875"/>
    </x:row>
    <x:row r="2876">
      <x:c r="A2876" t="str">
        <x:v>ZS-C48690564148</x:v>
      </x:c>
      <x:c r="B2876"/>
      <x:c r="C2876"/>
      <x:c r="D2876"/>
      <x:c r="E2876"/>
      <x:c r="F2876"/>
      <x:c r="G2876"/>
      <x:c r="H2876"/>
      <x:c r="I2876"/>
      <x:c r="J2876"/>
    </x:row>
    <x:row r="2877">
      <x:c r="A2877" t="str">
        <x:v>ZS-4F74CB785E94</x:v>
      </x:c>
      <x:c r="B2877"/>
      <x:c r="C2877"/>
      <x:c r="D2877"/>
      <x:c r="E2877"/>
      <x:c r="F2877"/>
      <x:c r="G2877"/>
      <x:c r="H2877"/>
      <x:c r="I2877"/>
      <x:c r="J2877"/>
    </x:row>
    <x:row r="2878">
      <x:c r="A2878" t="str">
        <x:v>ZS-3990AF86623D</x:v>
      </x:c>
      <x:c r="B2878"/>
      <x:c r="C2878"/>
      <x:c r="D2878"/>
      <x:c r="E2878"/>
      <x:c r="F2878"/>
      <x:c r="G2878"/>
      <x:c r="H2878"/>
      <x:c r="I2878"/>
      <x:c r="J2878"/>
    </x:row>
    <x:row r="2879">
      <x:c r="A2879" t="str">
        <x:v>ZS-AB7862ABC082</x:v>
      </x:c>
      <x:c r="B2879"/>
      <x:c r="C2879"/>
      <x:c r="D2879"/>
      <x:c r="E2879"/>
      <x:c r="F2879"/>
      <x:c r="G2879"/>
      <x:c r="H2879"/>
      <x:c r="I2879"/>
      <x:c r="J2879"/>
    </x:row>
    <x:row r="2880">
      <x:c r="A2880" t="str">
        <x:v>ZS-2605A1D7740F</x:v>
      </x:c>
      <x:c r="B2880"/>
      <x:c r="C2880"/>
      <x:c r="D2880"/>
      <x:c r="E2880"/>
      <x:c r="F2880"/>
      <x:c r="G2880"/>
      <x:c r="H2880"/>
      <x:c r="I2880"/>
      <x:c r="J2880"/>
    </x:row>
    <x:row r="2881">
      <x:c r="A2881" t="str">
        <x:v>ZS-AF93D06AB9B7</x:v>
      </x:c>
      <x:c r="B2881"/>
      <x:c r="C2881"/>
      <x:c r="D2881"/>
      <x:c r="E2881"/>
      <x:c r="F2881"/>
      <x:c r="G2881"/>
      <x:c r="H2881"/>
      <x:c r="I2881"/>
      <x:c r="J2881"/>
    </x:row>
    <x:row r="2882">
      <x:c r="A2882" t="str">
        <x:v>ZS-75F82D924654</x:v>
      </x:c>
      <x:c r="B2882"/>
      <x:c r="C2882"/>
      <x:c r="D2882"/>
      <x:c r="E2882"/>
      <x:c r="F2882"/>
      <x:c r="G2882"/>
      <x:c r="H2882"/>
      <x:c r="I2882"/>
      <x:c r="J2882"/>
    </x:row>
    <x:row r="2883">
      <x:c r="A2883" t="str">
        <x:v>ZS-072B8217A97C</x:v>
      </x:c>
      <x:c r="B2883"/>
      <x:c r="C2883"/>
      <x:c r="D2883"/>
      <x:c r="E2883"/>
      <x:c r="F2883"/>
      <x:c r="G2883"/>
      <x:c r="H2883"/>
      <x:c r="I2883"/>
      <x:c r="J2883"/>
    </x:row>
    <x:row r="2884">
      <x:c r="A2884" t="str">
        <x:v>ZS-612CC7983C3F</x:v>
      </x:c>
      <x:c r="B2884"/>
      <x:c r="C2884"/>
      <x:c r="D2884"/>
      <x:c r="E2884"/>
      <x:c r="F2884"/>
      <x:c r="G2884"/>
      <x:c r="H2884"/>
      <x:c r="I2884"/>
      <x:c r="J2884"/>
    </x:row>
    <x:row r="2885">
      <x:c r="A2885" t="str">
        <x:v>ZS-AA08B8BFE1B0</x:v>
      </x:c>
      <x:c r="B2885"/>
      <x:c r="C2885"/>
      <x:c r="D2885"/>
      <x:c r="E2885"/>
      <x:c r="F2885"/>
      <x:c r="G2885"/>
      <x:c r="H2885"/>
      <x:c r="I2885"/>
      <x:c r="J2885"/>
    </x:row>
    <x:row r="2886">
      <x:c r="A2886" t="str">
        <x:v>ZS-C36638F1EFB2</x:v>
      </x:c>
      <x:c r="B2886"/>
      <x:c r="C2886"/>
      <x:c r="D2886"/>
      <x:c r="E2886"/>
      <x:c r="F2886"/>
      <x:c r="G2886"/>
      <x:c r="H2886"/>
      <x:c r="I2886"/>
      <x:c r="J2886"/>
    </x:row>
    <x:row r="2887">
      <x:c r="A2887" t="str">
        <x:v>ZS-F3AA3E164B02</x:v>
      </x:c>
      <x:c r="B2887"/>
      <x:c r="C2887"/>
      <x:c r="D2887"/>
      <x:c r="E2887"/>
      <x:c r="F2887"/>
      <x:c r="G2887"/>
      <x:c r="H2887"/>
      <x:c r="I2887"/>
      <x:c r="J2887"/>
    </x:row>
    <x:row r="2888">
      <x:c r="A2888" t="str">
        <x:v>ZS-0AE560B94002</x:v>
      </x:c>
      <x:c r="B2888"/>
      <x:c r="C2888"/>
      <x:c r="D2888"/>
      <x:c r="E2888"/>
      <x:c r="F2888"/>
      <x:c r="G2888"/>
      <x:c r="H2888"/>
      <x:c r="I2888"/>
      <x:c r="J2888"/>
    </x:row>
    <x:row r="2889">
      <x:c r="A2889" t="str">
        <x:v>ZS-7A6BC5D24E3C</x:v>
      </x:c>
      <x:c r="B2889"/>
      <x:c r="C2889"/>
      <x:c r="D2889"/>
      <x:c r="E2889"/>
      <x:c r="F2889"/>
      <x:c r="G2889"/>
      <x:c r="H2889"/>
      <x:c r="I2889"/>
      <x:c r="J2889"/>
    </x:row>
    <x:row r="2890">
      <x:c r="A2890" t="str">
        <x:v>ZS-82ED067DDCDA</x:v>
      </x:c>
      <x:c r="B2890"/>
      <x:c r="C2890"/>
      <x:c r="D2890"/>
      <x:c r="E2890"/>
      <x:c r="F2890"/>
      <x:c r="G2890"/>
      <x:c r="H2890"/>
      <x:c r="I2890"/>
      <x:c r="J2890"/>
    </x:row>
    <x:row r="2891">
      <x:c r="A2891" t="str">
        <x:v>ZS-452FA7D1E251</x:v>
      </x:c>
      <x:c r="B2891"/>
      <x:c r="C2891"/>
      <x:c r="D2891"/>
      <x:c r="E2891"/>
      <x:c r="F2891"/>
      <x:c r="G2891"/>
      <x:c r="H2891"/>
      <x:c r="I2891"/>
      <x:c r="J2891"/>
    </x:row>
    <x:row r="2892">
      <x:c r="A2892" t="str">
        <x:v>ZS-E059ECFAFD66</x:v>
      </x:c>
      <x:c r="B2892"/>
      <x:c r="C2892"/>
      <x:c r="D2892"/>
      <x:c r="E2892"/>
      <x:c r="F2892"/>
      <x:c r="G2892"/>
      <x:c r="H2892"/>
      <x:c r="I2892"/>
      <x:c r="J2892"/>
    </x:row>
    <x:row r="2893">
      <x:c r="A2893" t="str">
        <x:v>ZS-C8681C3C7908</x:v>
      </x:c>
      <x:c r="B2893"/>
      <x:c r="C2893"/>
      <x:c r="D2893"/>
      <x:c r="E2893"/>
      <x:c r="F2893"/>
      <x:c r="G2893"/>
      <x:c r="H2893"/>
      <x:c r="I2893"/>
      <x:c r="J2893"/>
    </x:row>
    <x:row r="2894">
      <x:c r="A2894" t="str">
        <x:v>ZS-6F904B3030A1</x:v>
      </x:c>
      <x:c r="B2894"/>
      <x:c r="C2894"/>
      <x:c r="D2894"/>
      <x:c r="E2894"/>
      <x:c r="F2894"/>
      <x:c r="G2894"/>
      <x:c r="H2894"/>
      <x:c r="I2894"/>
      <x:c r="J2894"/>
    </x:row>
    <x:row r="2895">
      <x:c r="A2895" t="str">
        <x:v>ZS-FE4F7EDF9CEE</x:v>
      </x:c>
      <x:c r="B2895"/>
      <x:c r="C2895"/>
      <x:c r="D2895"/>
      <x:c r="E2895"/>
      <x:c r="F2895"/>
      <x:c r="G2895"/>
      <x:c r="H2895"/>
      <x:c r="I2895"/>
      <x:c r="J2895"/>
    </x:row>
    <x:row r="2896">
      <x:c r="A2896" t="str">
        <x:v>ZS-BDC95BEF9907</x:v>
      </x:c>
      <x:c r="B2896"/>
      <x:c r="C2896"/>
      <x:c r="D2896"/>
      <x:c r="E2896"/>
      <x:c r="F2896"/>
      <x:c r="G2896"/>
      <x:c r="H2896"/>
      <x:c r="I2896"/>
      <x:c r="J2896"/>
    </x:row>
    <x:row r="2897">
      <x:c r="A2897" t="str">
        <x:v>ZS-77BD035A5664</x:v>
      </x:c>
      <x:c r="B2897"/>
      <x:c r="C2897"/>
      <x:c r="D2897"/>
      <x:c r="E2897"/>
      <x:c r="F2897"/>
      <x:c r="G2897"/>
      <x:c r="H2897"/>
      <x:c r="I2897"/>
      <x:c r="J2897"/>
    </x:row>
    <x:row r="2898">
      <x:c r="A2898" t="str">
        <x:v>ZS-F11DB36920E4</x:v>
      </x:c>
      <x:c r="B2898"/>
      <x:c r="C2898"/>
      <x:c r="D2898"/>
      <x:c r="E2898"/>
      <x:c r="F2898"/>
      <x:c r="G2898"/>
      <x:c r="H2898"/>
      <x:c r="I2898"/>
      <x:c r="J2898"/>
    </x:row>
    <x:row r="2899">
      <x:c r="A2899" t="str">
        <x:v>ZS-5BCC69AF4A67</x:v>
      </x:c>
      <x:c r="B2899"/>
      <x:c r="C2899"/>
      <x:c r="D2899"/>
      <x:c r="E2899"/>
      <x:c r="F2899"/>
      <x:c r="G2899"/>
      <x:c r="H2899"/>
      <x:c r="I2899"/>
      <x:c r="J2899"/>
    </x:row>
    <x:row r="2900">
      <x:c r="A2900" t="str">
        <x:v>ZS-FBA0A49A2606</x:v>
      </x:c>
      <x:c r="B2900"/>
      <x:c r="C2900"/>
      <x:c r="D2900"/>
      <x:c r="E2900"/>
      <x:c r="F2900"/>
      <x:c r="G2900"/>
      <x:c r="H2900"/>
      <x:c r="I2900"/>
      <x:c r="J2900"/>
    </x:row>
    <x:row r="2901">
      <x:c r="A2901" t="str">
        <x:v>ZS-C288003DF3BC</x:v>
      </x:c>
      <x:c r="B2901"/>
      <x:c r="C2901"/>
      <x:c r="D2901"/>
      <x:c r="E2901"/>
      <x:c r="F2901"/>
      <x:c r="G2901"/>
      <x:c r="H2901"/>
      <x:c r="I2901"/>
      <x:c r="J2901"/>
    </x:row>
    <x:row r="2902">
      <x:c r="A2902" t="str">
        <x:v>ZS-C81821820D1E</x:v>
      </x:c>
      <x:c r="B2902"/>
      <x:c r="C2902"/>
      <x:c r="D2902"/>
      <x:c r="E2902"/>
      <x:c r="F2902"/>
      <x:c r="G2902"/>
      <x:c r="H2902"/>
      <x:c r="I2902"/>
      <x:c r="J2902"/>
    </x:row>
    <x:row r="2903">
      <x:c r="A2903" t="str">
        <x:v>ZS-458F2DA3DC79</x:v>
      </x:c>
      <x:c r="B2903"/>
      <x:c r="C2903"/>
      <x:c r="D2903"/>
      <x:c r="E2903"/>
      <x:c r="F2903"/>
      <x:c r="G2903"/>
      <x:c r="H2903"/>
      <x:c r="I2903"/>
      <x:c r="J2903"/>
    </x:row>
    <x:row r="2904">
      <x:c r="A2904" t="str">
        <x:v>ZS-01B4C99BB609</x:v>
      </x:c>
      <x:c r="B2904"/>
      <x:c r="C2904"/>
      <x:c r="D2904"/>
      <x:c r="E2904"/>
      <x:c r="F2904"/>
      <x:c r="G2904"/>
      <x:c r="H2904"/>
      <x:c r="I2904"/>
      <x:c r="J2904"/>
    </x:row>
    <x:row r="2905">
      <x:c r="A2905" t="str">
        <x:v>ZS-C55DD5C2FDA8</x:v>
      </x:c>
      <x:c r="B2905"/>
      <x:c r="C2905"/>
      <x:c r="D2905"/>
      <x:c r="E2905"/>
      <x:c r="F2905"/>
      <x:c r="G2905"/>
      <x:c r="H2905"/>
      <x:c r="I2905"/>
      <x:c r="J2905"/>
    </x:row>
    <x:row r="2906">
      <x:c r="A2906" t="str">
        <x:v>ZS-8263CAFB7268</x:v>
      </x:c>
      <x:c r="B2906"/>
      <x:c r="C2906"/>
      <x:c r="D2906"/>
      <x:c r="E2906"/>
      <x:c r="F2906"/>
      <x:c r="G2906"/>
      <x:c r="H2906"/>
      <x:c r="I2906"/>
      <x:c r="J2906"/>
    </x:row>
    <x:row r="2907">
      <x:c r="A2907" t="str">
        <x:v>ZS-7EC49F97B5C1</x:v>
      </x:c>
      <x:c r="B2907"/>
      <x:c r="C2907"/>
      <x:c r="D2907"/>
      <x:c r="E2907"/>
      <x:c r="F2907"/>
      <x:c r="G2907"/>
      <x:c r="H2907"/>
      <x:c r="I2907"/>
      <x:c r="J2907"/>
    </x:row>
    <x:row r="2908">
      <x:c r="A2908" t="str">
        <x:v>ZS-0126C6BEE2D2</x:v>
      </x:c>
      <x:c r="B2908"/>
      <x:c r="C2908"/>
      <x:c r="D2908"/>
      <x:c r="E2908"/>
      <x:c r="F2908"/>
      <x:c r="G2908"/>
      <x:c r="H2908"/>
      <x:c r="I2908"/>
      <x:c r="J2908"/>
    </x:row>
    <x:row r="2909">
      <x:c r="A2909" t="str">
        <x:v>ZS-49E44B3F50AB</x:v>
      </x:c>
      <x:c r="B2909"/>
      <x:c r="C2909"/>
      <x:c r="D2909"/>
      <x:c r="E2909"/>
      <x:c r="F2909"/>
      <x:c r="G2909"/>
      <x:c r="H2909"/>
      <x:c r="I2909"/>
      <x:c r="J2909"/>
    </x:row>
    <x:row r="2910">
      <x:c r="A2910" t="str">
        <x:v>ZS-21EBAF9BECB1</x:v>
      </x:c>
      <x:c r="B2910"/>
      <x:c r="C2910"/>
      <x:c r="D2910"/>
      <x:c r="E2910"/>
      <x:c r="F2910"/>
      <x:c r="G2910"/>
      <x:c r="H2910"/>
      <x:c r="I2910"/>
      <x:c r="J2910"/>
    </x:row>
    <x:row r="2911">
      <x:c r="A2911" t="str">
        <x:v>ZS-1D509362627D</x:v>
      </x:c>
      <x:c r="B2911"/>
      <x:c r="C2911"/>
      <x:c r="D2911"/>
      <x:c r="E2911"/>
      <x:c r="F2911"/>
      <x:c r="G2911"/>
      <x:c r="H2911"/>
      <x:c r="I2911"/>
      <x:c r="J2911"/>
    </x:row>
    <x:row r="2912">
      <x:c r="A2912" t="str">
        <x:v>ZS-AB80E9AED5F8</x:v>
      </x:c>
      <x:c r="B2912"/>
      <x:c r="C2912"/>
      <x:c r="D2912"/>
      <x:c r="E2912"/>
      <x:c r="F2912"/>
      <x:c r="G2912"/>
      <x:c r="H2912"/>
      <x:c r="I2912"/>
      <x:c r="J2912"/>
    </x:row>
    <x:row r="2913">
      <x:c r="A2913" t="str">
        <x:v>ZS-144BAA2F78E4</x:v>
      </x:c>
      <x:c r="B2913"/>
      <x:c r="C2913"/>
      <x:c r="D2913"/>
      <x:c r="E2913"/>
      <x:c r="F2913"/>
      <x:c r="G2913"/>
      <x:c r="H2913"/>
      <x:c r="I2913"/>
      <x:c r="J2913"/>
    </x:row>
    <x:row r="2914">
      <x:c r="A2914" t="str">
        <x:v>ZS-C95D57D37E9A</x:v>
      </x:c>
      <x:c r="B2914"/>
      <x:c r="C2914"/>
      <x:c r="D2914"/>
      <x:c r="E2914"/>
      <x:c r="F2914"/>
      <x:c r="G2914"/>
      <x:c r="H2914"/>
      <x:c r="I2914"/>
      <x:c r="J2914"/>
    </x:row>
    <x:row r="2915">
      <x:c r="A2915" t="str">
        <x:v>ZS-7CD32D35BBEC</x:v>
      </x:c>
      <x:c r="B2915"/>
      <x:c r="C2915"/>
      <x:c r="D2915"/>
      <x:c r="E2915"/>
      <x:c r="F2915"/>
      <x:c r="G2915"/>
      <x:c r="H2915"/>
      <x:c r="I2915"/>
      <x:c r="J2915"/>
    </x:row>
    <x:row r="2916">
      <x:c r="A2916" t="str">
        <x:v>ZS-1E514E4E1488</x:v>
      </x:c>
      <x:c r="B2916"/>
      <x:c r="C2916"/>
      <x:c r="D2916"/>
      <x:c r="E2916"/>
      <x:c r="F2916"/>
      <x:c r="G2916"/>
      <x:c r="H2916"/>
      <x:c r="I2916"/>
      <x:c r="J2916"/>
    </x:row>
    <x:row r="2917">
      <x:c r="A2917" t="str">
        <x:v>ZS-E0B532CCF25E</x:v>
      </x:c>
      <x:c r="B2917"/>
      <x:c r="C2917"/>
      <x:c r="D2917"/>
      <x:c r="E2917"/>
      <x:c r="F2917"/>
      <x:c r="G2917"/>
      <x:c r="H2917"/>
      <x:c r="I2917"/>
      <x:c r="J2917"/>
    </x:row>
    <x:row r="2918">
      <x:c r="A2918" t="str">
        <x:v>ZS-5C6CD4686D1C</x:v>
      </x:c>
      <x:c r="B2918"/>
      <x:c r="C2918"/>
      <x:c r="D2918"/>
      <x:c r="E2918"/>
      <x:c r="F2918"/>
      <x:c r="G2918"/>
      <x:c r="H2918"/>
      <x:c r="I2918"/>
      <x:c r="J2918"/>
    </x:row>
    <x:row r="2919">
      <x:c r="A2919" t="str">
        <x:v>ZS-A8B23274FAF8</x:v>
      </x:c>
      <x:c r="B2919"/>
      <x:c r="C2919"/>
      <x:c r="D2919"/>
      <x:c r="E2919"/>
      <x:c r="F2919"/>
      <x:c r="G2919"/>
      <x:c r="H2919"/>
      <x:c r="I2919"/>
      <x:c r="J2919"/>
    </x:row>
    <x:row r="2920">
      <x:c r="A2920" t="str">
        <x:v>ZS-73F0E30663A5</x:v>
      </x:c>
      <x:c r="B2920"/>
      <x:c r="C2920"/>
      <x:c r="D2920"/>
      <x:c r="E2920"/>
      <x:c r="F2920"/>
      <x:c r="G2920"/>
      <x:c r="H2920"/>
      <x:c r="I2920"/>
      <x:c r="J2920"/>
    </x:row>
    <x:row r="2921">
      <x:c r="A2921" t="str">
        <x:v>ZS-BCE9D78811CC</x:v>
      </x:c>
      <x:c r="B2921"/>
      <x:c r="C2921"/>
      <x:c r="D2921"/>
      <x:c r="E2921"/>
      <x:c r="F2921"/>
      <x:c r="G2921"/>
      <x:c r="H2921"/>
      <x:c r="I2921"/>
      <x:c r="J2921"/>
    </x:row>
    <x:row r="2922">
      <x:c r="A2922" t="str">
        <x:v>ZS-A12C0E8ABFD8</x:v>
      </x:c>
      <x:c r="B2922"/>
      <x:c r="C2922"/>
      <x:c r="D2922"/>
      <x:c r="E2922"/>
      <x:c r="F2922"/>
      <x:c r="G2922"/>
      <x:c r="H2922"/>
      <x:c r="I2922"/>
      <x:c r="J2922"/>
    </x:row>
    <x:row r="2923">
      <x:c r="A2923" t="str">
        <x:v>ZS-6D608625062E</x:v>
      </x:c>
      <x:c r="B2923"/>
      <x:c r="C2923"/>
      <x:c r="D2923"/>
      <x:c r="E2923"/>
      <x:c r="F2923"/>
      <x:c r="G2923"/>
      <x:c r="H2923"/>
      <x:c r="I2923"/>
      <x:c r="J2923"/>
    </x:row>
    <x:row r="2924">
      <x:c r="A2924" t="str">
        <x:v>ZS-15F4F3B2C6B1</x:v>
      </x:c>
      <x:c r="B2924"/>
      <x:c r="C2924"/>
      <x:c r="D2924"/>
      <x:c r="E2924"/>
      <x:c r="F2924"/>
      <x:c r="G2924"/>
      <x:c r="H2924"/>
      <x:c r="I2924"/>
      <x:c r="J2924"/>
    </x:row>
    <x:row r="2925">
      <x:c r="A2925" t="str">
        <x:v>ZS-247B1AB7083C</x:v>
      </x:c>
      <x:c r="B2925"/>
      <x:c r="C2925"/>
      <x:c r="D2925"/>
      <x:c r="E2925"/>
      <x:c r="F2925"/>
      <x:c r="G2925"/>
      <x:c r="H2925"/>
      <x:c r="I2925"/>
      <x:c r="J2925"/>
    </x:row>
    <x:row r="2926">
      <x:c r="A2926" t="str">
        <x:v>ZS-D733E1E481B7</x:v>
      </x:c>
      <x:c r="B2926"/>
      <x:c r="C2926"/>
      <x:c r="D2926"/>
      <x:c r="E2926"/>
      <x:c r="F2926"/>
      <x:c r="G2926"/>
      <x:c r="H2926"/>
      <x:c r="I2926"/>
      <x:c r="J2926"/>
    </x:row>
    <x:row r="2927">
      <x:c r="A2927" t="str">
        <x:v>ZS-FF88EBD8004A</x:v>
      </x:c>
      <x:c r="B2927"/>
      <x:c r="C2927"/>
      <x:c r="D2927"/>
      <x:c r="E2927"/>
      <x:c r="F2927"/>
      <x:c r="G2927"/>
      <x:c r="H2927"/>
      <x:c r="I2927"/>
      <x:c r="J2927"/>
    </x:row>
    <x:row r="2928">
      <x:c r="A2928" t="str">
        <x:v>ZS-5175B387F7B0</x:v>
      </x:c>
      <x:c r="B2928"/>
      <x:c r="C2928"/>
      <x:c r="D2928"/>
      <x:c r="E2928"/>
      <x:c r="F2928"/>
      <x:c r="G2928"/>
      <x:c r="H2928"/>
      <x:c r="I2928"/>
      <x:c r="J2928"/>
    </x:row>
    <x:row r="2929">
      <x:c r="A2929" t="str">
        <x:v>ZS-BEF0E51FE647</x:v>
      </x:c>
      <x:c r="B2929"/>
      <x:c r="C2929"/>
      <x:c r="D2929"/>
      <x:c r="E2929"/>
      <x:c r="F2929"/>
      <x:c r="G2929"/>
      <x:c r="H2929"/>
      <x:c r="I2929"/>
      <x:c r="J2929"/>
    </x:row>
    <x:row r="2930">
      <x:c r="A2930" t="str">
        <x:v>ZS-A2DE5CE2B163</x:v>
      </x:c>
      <x:c r="B2930"/>
      <x:c r="C2930"/>
      <x:c r="D2930"/>
      <x:c r="E2930"/>
      <x:c r="F2930"/>
      <x:c r="G2930"/>
      <x:c r="H2930"/>
      <x:c r="I2930"/>
      <x:c r="J2930"/>
    </x:row>
    <x:row r="2931">
      <x:c r="A2931" t="str">
        <x:v>ZS-007F9D8A263D</x:v>
      </x:c>
      <x:c r="B2931"/>
      <x:c r="C2931"/>
      <x:c r="D2931"/>
      <x:c r="E2931"/>
      <x:c r="F2931"/>
      <x:c r="G2931"/>
      <x:c r="H2931"/>
      <x:c r="I2931"/>
      <x:c r="J2931"/>
    </x:row>
    <x:row r="2932">
      <x:c r="A2932" t="str">
        <x:v>ZS-A194CFE46EB1</x:v>
      </x:c>
      <x:c r="B2932"/>
      <x:c r="C2932"/>
      <x:c r="D2932"/>
      <x:c r="E2932"/>
      <x:c r="F2932"/>
      <x:c r="G2932"/>
      <x:c r="H2932"/>
      <x:c r="I2932"/>
      <x:c r="J2932"/>
    </x:row>
    <x:row r="2933">
      <x:c r="A2933" t="str">
        <x:v>ZS-29281E8AA372</x:v>
      </x:c>
      <x:c r="B2933"/>
      <x:c r="C2933"/>
      <x:c r="D2933"/>
      <x:c r="E2933"/>
      <x:c r="F2933"/>
      <x:c r="G2933"/>
      <x:c r="H2933"/>
      <x:c r="I2933"/>
      <x:c r="J2933"/>
    </x:row>
    <x:row r="2934">
      <x:c r="A2934" t="str">
        <x:v>ZS-630AACA5CFDD</x:v>
      </x:c>
      <x:c r="B2934"/>
      <x:c r="C2934"/>
      <x:c r="D2934"/>
      <x:c r="E2934"/>
      <x:c r="F2934"/>
      <x:c r="G2934"/>
      <x:c r="H2934"/>
      <x:c r="I2934"/>
      <x:c r="J2934"/>
    </x:row>
    <x:row r="2935">
      <x:c r="A2935" t="str">
        <x:v>ZS-6C7A00E0F3F5</x:v>
      </x:c>
      <x:c r="B2935"/>
      <x:c r="C2935"/>
      <x:c r="D2935"/>
      <x:c r="E2935"/>
      <x:c r="F2935"/>
      <x:c r="G2935"/>
      <x:c r="H2935"/>
      <x:c r="I2935"/>
      <x:c r="J2935"/>
    </x:row>
    <x:row r="2936">
      <x:c r="A2936" t="str">
        <x:v>ZS-1B7A90E13A28</x:v>
      </x:c>
      <x:c r="B2936"/>
      <x:c r="C2936"/>
      <x:c r="D2936"/>
      <x:c r="E2936"/>
      <x:c r="F2936"/>
      <x:c r="G2936"/>
      <x:c r="H2936"/>
      <x:c r="I2936"/>
      <x:c r="J2936"/>
    </x:row>
    <x:row r="2937">
      <x:c r="A2937" t="str">
        <x:v>ZS-FD5F86C198BC</x:v>
      </x:c>
      <x:c r="B2937"/>
      <x:c r="C2937"/>
      <x:c r="D2937"/>
      <x:c r="E2937"/>
      <x:c r="F2937"/>
      <x:c r="G2937"/>
      <x:c r="H2937"/>
      <x:c r="I2937"/>
      <x:c r="J2937"/>
    </x:row>
    <x:row r="2938">
      <x:c r="A2938" t="str">
        <x:v>ZS-BA8CDA368A1C</x:v>
      </x:c>
      <x:c r="B2938"/>
      <x:c r="C2938"/>
      <x:c r="D2938"/>
      <x:c r="E2938"/>
      <x:c r="F2938"/>
      <x:c r="G2938"/>
      <x:c r="H2938"/>
      <x:c r="I2938"/>
      <x:c r="J2938"/>
    </x:row>
    <x:row r="2939">
      <x:c r="A2939" t="str">
        <x:v>ZS-8CA077E41201</x:v>
      </x:c>
      <x:c r="B2939"/>
      <x:c r="C2939"/>
      <x:c r="D2939"/>
      <x:c r="E2939"/>
      <x:c r="F2939"/>
      <x:c r="G2939"/>
      <x:c r="H2939"/>
      <x:c r="I2939"/>
      <x:c r="J2939"/>
    </x:row>
    <x:row r="2940">
      <x:c r="A2940" t="str">
        <x:v>ZS-66CFE896E37D</x:v>
      </x:c>
      <x:c r="B2940"/>
      <x:c r="C2940"/>
      <x:c r="D2940"/>
      <x:c r="E2940"/>
      <x:c r="F2940"/>
      <x:c r="G2940"/>
      <x:c r="H2940"/>
      <x:c r="I2940"/>
      <x:c r="J2940"/>
    </x:row>
    <x:row r="2941">
      <x:c r="A2941" t="str">
        <x:v>ZS-09B0D0F431C4</x:v>
      </x:c>
      <x:c r="B2941"/>
      <x:c r="C2941"/>
      <x:c r="D2941"/>
      <x:c r="E2941"/>
      <x:c r="F2941"/>
      <x:c r="G2941"/>
      <x:c r="H2941"/>
      <x:c r="I2941"/>
      <x:c r="J2941"/>
    </x:row>
    <x:row r="2942">
      <x:c r="A2942" t="str">
        <x:v>ZS-0DABA7EF6BA3</x:v>
      </x:c>
      <x:c r="B2942"/>
      <x:c r="C2942"/>
      <x:c r="D2942"/>
      <x:c r="E2942"/>
      <x:c r="F2942"/>
      <x:c r="G2942"/>
      <x:c r="H2942"/>
      <x:c r="I2942"/>
      <x:c r="J2942"/>
    </x:row>
    <x:row r="2943">
      <x:c r="A2943" t="str">
        <x:v>ZS-80865E360B6C</x:v>
      </x:c>
      <x:c r="B2943"/>
      <x:c r="C2943"/>
      <x:c r="D2943"/>
      <x:c r="E2943"/>
      <x:c r="F2943"/>
      <x:c r="G2943"/>
      <x:c r="H2943"/>
      <x:c r="I2943"/>
      <x:c r="J2943"/>
    </x:row>
    <x:row r="2944">
      <x:c r="A2944" t="str">
        <x:v>ZS-1F9C5231A145</x:v>
      </x:c>
      <x:c r="B2944"/>
      <x:c r="C2944"/>
      <x:c r="D2944"/>
      <x:c r="E2944"/>
      <x:c r="F2944"/>
      <x:c r="G2944"/>
      <x:c r="H2944"/>
      <x:c r="I2944"/>
      <x:c r="J2944"/>
    </x:row>
    <x:row r="2945">
      <x:c r="A2945" t="str">
        <x:v>ZS-075176A5B5E5</x:v>
      </x:c>
      <x:c r="B2945"/>
      <x:c r="C2945"/>
      <x:c r="D2945"/>
      <x:c r="E2945"/>
      <x:c r="F2945"/>
      <x:c r="G2945"/>
      <x:c r="H2945"/>
      <x:c r="I2945"/>
      <x:c r="J2945"/>
    </x:row>
    <x:row r="2946">
      <x:c r="A2946" t="str">
        <x:v>ZS-569C0557AD5B</x:v>
      </x:c>
      <x:c r="B2946"/>
      <x:c r="C2946"/>
      <x:c r="D2946"/>
      <x:c r="E2946"/>
      <x:c r="F2946"/>
      <x:c r="G2946"/>
      <x:c r="H2946"/>
      <x:c r="I2946"/>
      <x:c r="J2946"/>
    </x:row>
    <x:row r="2947">
      <x:c r="A2947" t="str">
        <x:v>ZS-271D9DD8BF41</x:v>
      </x:c>
      <x:c r="B2947"/>
      <x:c r="C2947"/>
      <x:c r="D2947"/>
      <x:c r="E2947"/>
      <x:c r="F2947"/>
      <x:c r="G2947"/>
      <x:c r="H2947"/>
      <x:c r="I2947"/>
      <x:c r="J2947"/>
    </x:row>
    <x:row r="2948">
      <x:c r="A2948" t="str">
        <x:v>ZS-C5F78DEC131C</x:v>
      </x:c>
      <x:c r="B2948"/>
      <x:c r="C2948"/>
      <x:c r="D2948"/>
      <x:c r="E2948"/>
      <x:c r="F2948"/>
      <x:c r="G2948"/>
      <x:c r="H2948"/>
      <x:c r="I2948"/>
      <x:c r="J2948"/>
    </x:row>
    <x:row r="2949">
      <x:c r="A2949" t="str">
        <x:v>ZS-112C5AC6B0D2</x:v>
      </x:c>
      <x:c r="B2949"/>
      <x:c r="C2949"/>
      <x:c r="D2949"/>
      <x:c r="E2949"/>
      <x:c r="F2949"/>
      <x:c r="G2949"/>
      <x:c r="H2949"/>
      <x:c r="I2949"/>
      <x:c r="J2949"/>
    </x:row>
    <x:row r="2950">
      <x:c r="A2950" t="str">
        <x:v>ZS-D62A3AE90757</x:v>
      </x:c>
      <x:c r="B2950"/>
      <x:c r="C2950"/>
      <x:c r="D2950"/>
      <x:c r="E2950"/>
      <x:c r="F2950"/>
      <x:c r="G2950"/>
      <x:c r="H2950"/>
      <x:c r="I2950"/>
      <x:c r="J2950"/>
    </x:row>
    <x:row r="2951">
      <x:c r="A2951" t="str">
        <x:v>ZS-6B77C1306FA3</x:v>
      </x:c>
      <x:c r="B2951"/>
      <x:c r="C2951"/>
      <x:c r="D2951"/>
      <x:c r="E2951"/>
      <x:c r="F2951"/>
      <x:c r="G2951"/>
      <x:c r="H2951"/>
      <x:c r="I2951"/>
      <x:c r="J2951"/>
    </x:row>
    <x:row r="2952">
      <x:c r="A2952" t="str">
        <x:v>ZS-E6321ADE18C8</x:v>
      </x:c>
      <x:c r="B2952"/>
      <x:c r="C2952"/>
      <x:c r="D2952"/>
      <x:c r="E2952"/>
      <x:c r="F2952"/>
      <x:c r="G2952"/>
      <x:c r="H2952"/>
      <x:c r="I2952"/>
      <x:c r="J2952"/>
    </x:row>
    <x:row r="2953">
      <x:c r="A2953" t="str">
        <x:v>ZS-B204B705F0CA</x:v>
      </x:c>
      <x:c r="B2953"/>
      <x:c r="C2953"/>
      <x:c r="D2953"/>
      <x:c r="E2953"/>
      <x:c r="F2953"/>
      <x:c r="G2953"/>
      <x:c r="H2953"/>
      <x:c r="I2953"/>
      <x:c r="J2953"/>
    </x:row>
    <x:row r="2954">
      <x:c r="A2954" t="str">
        <x:v>ZS-760AF7A929C4</x:v>
      </x:c>
      <x:c r="B2954"/>
      <x:c r="C2954"/>
      <x:c r="D2954"/>
      <x:c r="E2954"/>
      <x:c r="F2954"/>
      <x:c r="G2954"/>
      <x:c r="H2954"/>
      <x:c r="I2954"/>
      <x:c r="J2954"/>
    </x:row>
    <x:row r="2955">
      <x:c r="A2955" t="str">
        <x:v>ZS-DB81EF2381C9</x:v>
      </x:c>
      <x:c r="B2955"/>
      <x:c r="C2955"/>
      <x:c r="D2955"/>
      <x:c r="E2955"/>
      <x:c r="F2955"/>
      <x:c r="G2955"/>
      <x:c r="H2955"/>
      <x:c r="I2955"/>
      <x:c r="J2955"/>
    </x:row>
    <x:row r="2956">
      <x:c r="A2956" t="str">
        <x:v>ZS-651A004C780D</x:v>
      </x:c>
      <x:c r="B2956"/>
      <x:c r="C2956"/>
      <x:c r="D2956"/>
      <x:c r="E2956"/>
      <x:c r="F2956"/>
      <x:c r="G2956"/>
      <x:c r="H2956"/>
      <x:c r="I2956"/>
      <x:c r="J2956"/>
    </x:row>
    <x:row r="2957">
      <x:c r="A2957" t="str">
        <x:v>ZS-29075F1268DA</x:v>
      </x:c>
      <x:c r="B2957"/>
      <x:c r="C2957"/>
      <x:c r="D2957"/>
      <x:c r="E2957"/>
      <x:c r="F2957"/>
      <x:c r="G2957"/>
      <x:c r="H2957"/>
      <x:c r="I2957"/>
      <x:c r="J2957"/>
    </x:row>
    <x:row r="2958">
      <x:c r="A2958" t="str">
        <x:v>ZS-590A72473E15</x:v>
      </x:c>
      <x:c r="B2958"/>
      <x:c r="C2958"/>
      <x:c r="D2958"/>
      <x:c r="E2958"/>
      <x:c r="F2958"/>
      <x:c r="G2958"/>
      <x:c r="H2958"/>
      <x:c r="I2958"/>
      <x:c r="J2958"/>
    </x:row>
    <x:row r="2959">
      <x:c r="A2959" t="str">
        <x:v>ZS-8F3C9332F638</x:v>
      </x:c>
      <x:c r="B2959"/>
      <x:c r="C2959"/>
      <x:c r="D2959"/>
      <x:c r="E2959"/>
      <x:c r="F2959"/>
      <x:c r="G2959"/>
      <x:c r="H2959"/>
      <x:c r="I2959"/>
      <x:c r="J2959"/>
    </x:row>
    <x:row r="2960">
      <x:c r="A2960" t="str">
        <x:v>ZS-CEDCF10DC278</x:v>
      </x:c>
      <x:c r="B2960"/>
      <x:c r="C2960"/>
      <x:c r="D2960"/>
      <x:c r="E2960"/>
      <x:c r="F2960"/>
      <x:c r="G2960"/>
      <x:c r="H2960"/>
      <x:c r="I2960"/>
      <x:c r="J2960"/>
    </x:row>
    <x:row r="2961">
      <x:c r="A2961" t="str">
        <x:v>ZS-90769A6DD8D3</x:v>
      </x:c>
      <x:c r="B2961"/>
      <x:c r="C2961"/>
      <x:c r="D2961"/>
      <x:c r="E2961"/>
      <x:c r="F2961"/>
      <x:c r="G2961"/>
      <x:c r="H2961"/>
      <x:c r="I2961"/>
      <x:c r="J2961"/>
    </x:row>
    <x:row r="2962">
      <x:c r="A2962" t="str">
        <x:v>ZS-0FEEDDDFEB4F</x:v>
      </x:c>
      <x:c r="B2962"/>
      <x:c r="C2962"/>
      <x:c r="D2962"/>
      <x:c r="E2962"/>
      <x:c r="F2962"/>
      <x:c r="G2962"/>
      <x:c r="H2962"/>
      <x:c r="I2962"/>
      <x:c r="J2962"/>
    </x:row>
    <x:row r="2963">
      <x:c r="A2963" t="str">
        <x:v>ZS-4B936155F0A6</x:v>
      </x:c>
      <x:c r="B2963"/>
      <x:c r="C2963"/>
      <x:c r="D2963"/>
      <x:c r="E2963"/>
      <x:c r="F2963"/>
      <x:c r="G2963"/>
      <x:c r="H2963"/>
      <x:c r="I2963"/>
      <x:c r="J2963"/>
    </x:row>
    <x:row r="2964">
      <x:c r="A2964" t="str">
        <x:v>ZS-7AB3A618A493</x:v>
      </x:c>
      <x:c r="B2964"/>
      <x:c r="C2964"/>
      <x:c r="D2964"/>
      <x:c r="E2964"/>
      <x:c r="F2964"/>
      <x:c r="G2964"/>
      <x:c r="H2964"/>
      <x:c r="I2964"/>
      <x:c r="J2964"/>
    </x:row>
    <x:row r="2965">
      <x:c r="A2965" t="str">
        <x:v>ZS-ECBAFBB4C5E0</x:v>
      </x:c>
      <x:c r="B2965"/>
      <x:c r="C2965"/>
      <x:c r="D2965"/>
      <x:c r="E2965"/>
      <x:c r="F2965"/>
      <x:c r="G2965"/>
      <x:c r="H2965"/>
      <x:c r="I2965"/>
      <x:c r="J2965"/>
    </x:row>
    <x:row r="2966">
      <x:c r="A2966" t="str">
        <x:v>ZS-64500D9A32E7</x:v>
      </x:c>
      <x:c r="B2966"/>
      <x:c r="C2966"/>
      <x:c r="D2966"/>
      <x:c r="E2966"/>
      <x:c r="F2966"/>
      <x:c r="G2966"/>
      <x:c r="H2966"/>
      <x:c r="I2966"/>
      <x:c r="J2966"/>
    </x:row>
    <x:row r="2967">
      <x:c r="A2967" t="str">
        <x:v>ZS-4E1BE39E1F3F</x:v>
      </x:c>
      <x:c r="B2967"/>
      <x:c r="C2967"/>
      <x:c r="D2967"/>
      <x:c r="E2967"/>
      <x:c r="F2967"/>
      <x:c r="G2967"/>
      <x:c r="H2967"/>
      <x:c r="I2967"/>
      <x:c r="J2967"/>
    </x:row>
    <x:row r="2968">
      <x:c r="A2968" t="str">
        <x:v>ZS-C60777F115EF</x:v>
      </x:c>
      <x:c r="B2968"/>
      <x:c r="C2968"/>
      <x:c r="D2968"/>
      <x:c r="E2968"/>
      <x:c r="F2968"/>
      <x:c r="G2968"/>
      <x:c r="H2968"/>
      <x:c r="I2968"/>
      <x:c r="J2968"/>
    </x:row>
    <x:row r="2969">
      <x:c r="A2969" t="str">
        <x:v>ZS-C526C9DF6B30</x:v>
      </x:c>
      <x:c r="B2969"/>
      <x:c r="C2969"/>
      <x:c r="D2969"/>
      <x:c r="E2969"/>
      <x:c r="F2969"/>
      <x:c r="G2969"/>
      <x:c r="H2969"/>
      <x:c r="I2969"/>
      <x:c r="J2969"/>
    </x:row>
    <x:row r="2970">
      <x:c r="A2970" t="str">
        <x:v>ZS-EE06A85ABA51</x:v>
      </x:c>
      <x:c r="B2970"/>
      <x:c r="C2970"/>
      <x:c r="D2970"/>
      <x:c r="E2970"/>
      <x:c r="F2970"/>
      <x:c r="G2970"/>
      <x:c r="H2970"/>
      <x:c r="I2970"/>
      <x:c r="J2970"/>
    </x:row>
    <x:row r="2971">
      <x:c r="A2971" t="str">
        <x:v>ZS-834FBC8CA082</x:v>
      </x:c>
      <x:c r="B2971"/>
      <x:c r="C2971"/>
      <x:c r="D2971"/>
      <x:c r="E2971"/>
      <x:c r="F2971"/>
      <x:c r="G2971"/>
      <x:c r="H2971"/>
      <x:c r="I2971"/>
      <x:c r="J2971"/>
    </x:row>
    <x:row r="2972">
      <x:c r="A2972" t="str">
        <x:v>ZS-CDC884F3D636</x:v>
      </x:c>
      <x:c r="B2972"/>
      <x:c r="C2972"/>
      <x:c r="D2972"/>
      <x:c r="E2972"/>
      <x:c r="F2972"/>
      <x:c r="G2972"/>
      <x:c r="H2972"/>
      <x:c r="I2972"/>
      <x:c r="J2972"/>
    </x:row>
    <x:row r="2973">
      <x:c r="A2973" t="str">
        <x:v>ZS-BD7B4D0EEB97</x:v>
      </x:c>
      <x:c r="B2973"/>
      <x:c r="C2973"/>
      <x:c r="D2973"/>
      <x:c r="E2973"/>
      <x:c r="F2973"/>
      <x:c r="G2973"/>
      <x:c r="H2973"/>
      <x:c r="I2973"/>
      <x:c r="J2973"/>
    </x:row>
    <x:row r="2974">
      <x:c r="A2974" t="str">
        <x:v>ZS-4B613A22CAE0</x:v>
      </x:c>
      <x:c r="B2974"/>
      <x:c r="C2974"/>
      <x:c r="D2974"/>
      <x:c r="E2974"/>
      <x:c r="F2974"/>
      <x:c r="G2974"/>
      <x:c r="H2974"/>
      <x:c r="I2974"/>
      <x:c r="J2974"/>
    </x:row>
    <x:row r="2975">
      <x:c r="A2975" t="str">
        <x:v>ZS-03902EA64902</x:v>
      </x:c>
      <x:c r="B2975"/>
      <x:c r="C2975"/>
      <x:c r="D2975"/>
      <x:c r="E2975"/>
      <x:c r="F2975"/>
      <x:c r="G2975"/>
      <x:c r="H2975"/>
      <x:c r="I2975"/>
      <x:c r="J2975"/>
    </x:row>
    <x:row r="2976">
      <x:c r="A2976" t="str">
        <x:v>ZS-55EA61BB3189</x:v>
      </x:c>
      <x:c r="B2976"/>
      <x:c r="C2976"/>
      <x:c r="D2976"/>
      <x:c r="E2976"/>
      <x:c r="F2976"/>
      <x:c r="G2976"/>
      <x:c r="H2976"/>
      <x:c r="I2976"/>
      <x:c r="J2976"/>
    </x:row>
    <x:row r="2977">
      <x:c r="A2977" t="str">
        <x:v>ZS-A64307783D32</x:v>
      </x:c>
      <x:c r="B2977"/>
      <x:c r="C2977"/>
      <x:c r="D2977"/>
      <x:c r="E2977"/>
      <x:c r="F2977"/>
      <x:c r="G2977"/>
      <x:c r="H2977"/>
      <x:c r="I2977"/>
      <x:c r="J2977"/>
    </x:row>
    <x:row r="2978">
      <x:c r="A2978" t="str">
        <x:v>ZS-F9E403469E50</x:v>
      </x:c>
      <x:c r="B2978"/>
      <x:c r="C2978"/>
      <x:c r="D2978"/>
      <x:c r="E2978"/>
      <x:c r="F2978"/>
      <x:c r="G2978"/>
      <x:c r="H2978"/>
      <x:c r="I2978"/>
      <x:c r="J2978"/>
    </x:row>
    <x:row r="2979">
      <x:c r="A2979" t="str">
        <x:v>ZS-01001DFA3E6C</x:v>
      </x:c>
      <x:c r="B2979"/>
      <x:c r="C2979"/>
      <x:c r="D2979"/>
      <x:c r="E2979"/>
      <x:c r="F2979"/>
      <x:c r="G2979"/>
      <x:c r="H2979"/>
      <x:c r="I2979"/>
      <x:c r="J2979"/>
    </x:row>
    <x:row r="2980">
      <x:c r="A2980" t="str">
        <x:v>ZS-BE413BEF5DDD</x:v>
      </x:c>
      <x:c r="B2980"/>
      <x:c r="C2980"/>
      <x:c r="D2980"/>
      <x:c r="E2980"/>
      <x:c r="F2980"/>
      <x:c r="G2980"/>
      <x:c r="H2980"/>
      <x:c r="I2980"/>
      <x:c r="J2980"/>
    </x:row>
    <x:row r="2981">
      <x:c r="A2981" t="str">
        <x:v>ZS-6A39A093BEEE</x:v>
      </x:c>
      <x:c r="B2981"/>
      <x:c r="C2981"/>
      <x:c r="D2981"/>
      <x:c r="E2981"/>
      <x:c r="F2981"/>
      <x:c r="G2981"/>
      <x:c r="H2981"/>
      <x:c r="I2981"/>
      <x:c r="J2981"/>
    </x:row>
    <x:row r="2982">
      <x:c r="A2982" t="str">
        <x:v>ZS-91B89EF69BF5</x:v>
      </x:c>
      <x:c r="B2982"/>
      <x:c r="C2982"/>
      <x:c r="D2982"/>
      <x:c r="E2982"/>
      <x:c r="F2982"/>
      <x:c r="G2982"/>
      <x:c r="H2982"/>
      <x:c r="I2982"/>
      <x:c r="J2982"/>
    </x:row>
    <x:row r="2983">
      <x:c r="A2983" t="str">
        <x:v>ZS-6E1F348D30BD</x:v>
      </x:c>
      <x:c r="B2983"/>
      <x:c r="C2983"/>
      <x:c r="D2983"/>
      <x:c r="E2983"/>
      <x:c r="F2983"/>
      <x:c r="G2983"/>
      <x:c r="H2983"/>
      <x:c r="I2983"/>
      <x:c r="J2983"/>
    </x:row>
    <x:row r="2984">
      <x:c r="A2984" t="str">
        <x:v>ZS-3D68826635B4</x:v>
      </x:c>
      <x:c r="B2984"/>
      <x:c r="C2984"/>
      <x:c r="D2984"/>
      <x:c r="E2984"/>
      <x:c r="F2984"/>
      <x:c r="G2984"/>
      <x:c r="H2984"/>
      <x:c r="I2984"/>
      <x:c r="J2984"/>
    </x:row>
    <x:row r="2985">
      <x:c r="A2985" t="str">
        <x:v>ZS-96E2C5BB0F08</x:v>
      </x:c>
      <x:c r="B2985"/>
      <x:c r="C2985"/>
      <x:c r="D2985"/>
      <x:c r="E2985"/>
      <x:c r="F2985"/>
      <x:c r="G2985"/>
      <x:c r="H2985"/>
      <x:c r="I2985"/>
      <x:c r="J2985"/>
    </x:row>
    <x:row r="2986">
      <x:c r="A2986" t="str">
        <x:v>ZS-D074A7139A01</x:v>
      </x:c>
      <x:c r="B2986"/>
      <x:c r="C2986"/>
      <x:c r="D2986"/>
      <x:c r="E2986"/>
      <x:c r="F2986"/>
      <x:c r="G2986"/>
      <x:c r="H2986"/>
      <x:c r="I2986"/>
      <x:c r="J2986"/>
    </x:row>
    <x:row r="2987">
      <x:c r="A2987" t="str">
        <x:v>ZS-862F993C1D23</x:v>
      </x:c>
      <x:c r="B2987"/>
      <x:c r="C2987"/>
      <x:c r="D2987"/>
      <x:c r="E2987"/>
      <x:c r="F2987"/>
      <x:c r="G2987"/>
      <x:c r="H2987"/>
      <x:c r="I2987"/>
      <x:c r="J2987"/>
    </x:row>
    <x:row r="2988">
      <x:c r="A2988" t="str">
        <x:v>ZS-25B794C583A9</x:v>
      </x:c>
      <x:c r="B2988"/>
      <x:c r="C2988"/>
      <x:c r="D2988"/>
      <x:c r="E2988"/>
      <x:c r="F2988"/>
      <x:c r="G2988"/>
      <x:c r="H2988"/>
      <x:c r="I2988"/>
      <x:c r="J2988"/>
    </x:row>
    <x:row r="2989">
      <x:c r="A2989" t="str">
        <x:v>ZS-F4E0B6450B71</x:v>
      </x:c>
      <x:c r="B2989"/>
      <x:c r="C2989"/>
      <x:c r="D2989"/>
      <x:c r="E2989"/>
      <x:c r="F2989"/>
      <x:c r="G2989"/>
      <x:c r="H2989"/>
      <x:c r="I2989"/>
      <x:c r="J2989"/>
    </x:row>
    <x:row r="2990">
      <x:c r="A2990" t="str">
        <x:v>ZS-DF48B6FEE184</x:v>
      </x:c>
      <x:c r="B2990"/>
      <x:c r="C2990"/>
      <x:c r="D2990"/>
      <x:c r="E2990"/>
      <x:c r="F2990"/>
      <x:c r="G2990"/>
      <x:c r="H2990"/>
      <x:c r="I2990"/>
      <x:c r="J2990"/>
    </x:row>
    <x:row r="2991">
      <x:c r="A2991" t="str">
        <x:v>ZS-9962E8E84EB9</x:v>
      </x:c>
      <x:c r="B2991"/>
      <x:c r="C2991"/>
      <x:c r="D2991"/>
      <x:c r="E2991"/>
      <x:c r="F2991"/>
      <x:c r="G2991"/>
      <x:c r="H2991"/>
      <x:c r="I2991"/>
      <x:c r="J2991"/>
    </x:row>
    <x:row r="2992">
      <x:c r="A2992" t="str">
        <x:v>ZS-F37E6F10079E</x:v>
      </x:c>
      <x:c r="B2992"/>
      <x:c r="C2992"/>
      <x:c r="D2992"/>
      <x:c r="E2992"/>
      <x:c r="F2992"/>
      <x:c r="G2992"/>
      <x:c r="H2992"/>
      <x:c r="I2992"/>
      <x:c r="J2992"/>
    </x:row>
    <x:row r="2993">
      <x:c r="A2993" t="str">
        <x:v>ZS-8907174FFDEC</x:v>
      </x:c>
      <x:c r="B2993"/>
      <x:c r="C2993"/>
      <x:c r="D2993"/>
      <x:c r="E2993"/>
      <x:c r="F2993"/>
      <x:c r="G2993"/>
      <x:c r="H2993"/>
      <x:c r="I2993"/>
      <x:c r="J2993"/>
    </x:row>
    <x:row r="2994">
      <x:c r="A2994" t="str">
        <x:v>ZS-1997E6B46F23</x:v>
      </x:c>
      <x:c r="B2994"/>
      <x:c r="C2994"/>
      <x:c r="D2994"/>
      <x:c r="E2994"/>
      <x:c r="F2994"/>
      <x:c r="G2994"/>
      <x:c r="H2994"/>
      <x:c r="I2994"/>
      <x:c r="J2994"/>
    </x:row>
    <x:row r="2995">
      <x:c r="A2995" t="str">
        <x:v>ZS-7D6FF12CB671</x:v>
      </x:c>
      <x:c r="B2995"/>
      <x:c r="C2995"/>
      <x:c r="D2995"/>
      <x:c r="E2995"/>
      <x:c r="F2995"/>
      <x:c r="G2995"/>
      <x:c r="H2995"/>
      <x:c r="I2995"/>
      <x:c r="J2995"/>
    </x:row>
    <x:row r="2996">
      <x:c r="A2996" t="str">
        <x:v>ZS-AC95D8E3C51E</x:v>
      </x:c>
      <x:c r="B2996"/>
      <x:c r="C2996"/>
      <x:c r="D2996"/>
      <x:c r="E2996"/>
      <x:c r="F2996"/>
      <x:c r="G2996"/>
      <x:c r="H2996"/>
      <x:c r="I2996"/>
      <x:c r="J2996"/>
    </x:row>
    <x:row r="2997">
      <x:c r="A2997" t="str">
        <x:v>ZS-2B9BC4B3D323</x:v>
      </x:c>
      <x:c r="B2997"/>
      <x:c r="C2997"/>
      <x:c r="D2997"/>
      <x:c r="E2997"/>
      <x:c r="F2997"/>
      <x:c r="G2997"/>
      <x:c r="H2997"/>
      <x:c r="I2997"/>
      <x:c r="J2997"/>
    </x:row>
    <x:row r="2998">
      <x:c r="A2998" t="str">
        <x:v>ZS-6AA06E242E1A</x:v>
      </x:c>
      <x:c r="B2998"/>
      <x:c r="C2998"/>
      <x:c r="D2998"/>
      <x:c r="E2998"/>
      <x:c r="F2998"/>
      <x:c r="G2998"/>
      <x:c r="H2998"/>
      <x:c r="I2998"/>
      <x:c r="J2998"/>
    </x:row>
    <x:row r="2999">
      <x:c r="A2999" t="str">
        <x:v>ZS-E9A86684005D</x:v>
      </x:c>
      <x:c r="B2999"/>
      <x:c r="C2999"/>
      <x:c r="D2999"/>
      <x:c r="E2999"/>
      <x:c r="F2999"/>
      <x:c r="G2999"/>
      <x:c r="H2999"/>
      <x:c r="I2999"/>
      <x:c r="J2999"/>
    </x:row>
    <x:row r="3000">
      <x:c r="A3000" t="str">
        <x:v>ZS-B4C9055F89BE</x:v>
      </x:c>
      <x:c r="B3000"/>
      <x:c r="C3000"/>
      <x:c r="D3000"/>
      <x:c r="E3000"/>
      <x:c r="F3000"/>
      <x:c r="G3000"/>
      <x:c r="H3000"/>
      <x:c r="I3000"/>
      <x:c r="J3000"/>
    </x:row>
    <x:row r="3001">
      <x:c r="A3001" t="str">
        <x:v>ZS-218940280AA0</x:v>
      </x:c>
      <x:c r="B3001"/>
      <x:c r="C3001"/>
      <x:c r="D3001"/>
      <x:c r="E3001"/>
      <x:c r="F3001"/>
      <x:c r="G3001"/>
      <x:c r="H3001"/>
      <x:c r="I3001"/>
      <x:c r="J3001"/>
    </x:row>
    <x:row r="3002">
      <x:c r="A3002" t="str">
        <x:v>ZS-732C2BEC48D4</x:v>
      </x:c>
      <x:c r="B3002"/>
      <x:c r="C3002"/>
      <x:c r="D3002"/>
      <x:c r="E3002"/>
      <x:c r="F3002"/>
      <x:c r="G3002"/>
      <x:c r="H3002"/>
      <x:c r="I3002"/>
      <x:c r="J3002"/>
    </x:row>
    <x:row r="3003">
      <x:c r="A3003" t="str">
        <x:v>ZS-0663B7A7E825</x:v>
      </x:c>
      <x:c r="B3003"/>
      <x:c r="C3003"/>
      <x:c r="D3003"/>
      <x:c r="E3003"/>
      <x:c r="F3003"/>
      <x:c r="G3003"/>
      <x:c r="H3003"/>
      <x:c r="I3003"/>
      <x:c r="J3003"/>
    </x:row>
    <x:row r="3004">
      <x:c r="A3004" t="str">
        <x:v>ZS-27661ABE1A3C</x:v>
      </x:c>
      <x:c r="B3004"/>
      <x:c r="C3004"/>
      <x:c r="D3004"/>
      <x:c r="E3004"/>
      <x:c r="F3004"/>
      <x:c r="G3004"/>
      <x:c r="H3004"/>
      <x:c r="I3004"/>
      <x:c r="J3004"/>
    </x:row>
    <x:row r="3005">
      <x:c r="A3005" t="str">
        <x:v>ZS-6AA5A292B76F</x:v>
      </x:c>
      <x:c r="B3005"/>
      <x:c r="C3005"/>
      <x:c r="D3005"/>
      <x:c r="E3005"/>
      <x:c r="F3005"/>
      <x:c r="G3005"/>
      <x:c r="H3005"/>
      <x:c r="I3005"/>
      <x:c r="J3005"/>
    </x:row>
    <x:row r="3006">
      <x:c r="A3006" t="str">
        <x:v>ZS-06FB72ACD681</x:v>
      </x:c>
      <x:c r="B3006"/>
      <x:c r="C3006"/>
      <x:c r="D3006"/>
      <x:c r="E3006"/>
      <x:c r="F3006"/>
      <x:c r="G3006"/>
      <x:c r="H3006"/>
      <x:c r="I3006"/>
      <x:c r="J3006"/>
    </x:row>
    <x:row r="3007">
      <x:c r="A3007" t="str">
        <x:v>ZS-D1F00CE854BB</x:v>
      </x:c>
      <x:c r="B3007"/>
      <x:c r="C3007"/>
      <x:c r="D3007"/>
      <x:c r="E3007"/>
      <x:c r="F3007"/>
      <x:c r="G3007"/>
      <x:c r="H3007"/>
      <x:c r="I3007"/>
      <x:c r="J3007"/>
    </x:row>
    <x:row r="3008">
      <x:c r="A3008" t="str">
        <x:v>ZS-384A3215808C</x:v>
      </x:c>
      <x:c r="B3008"/>
      <x:c r="C3008"/>
      <x:c r="D3008"/>
      <x:c r="E3008"/>
      <x:c r="F3008"/>
      <x:c r="G3008"/>
      <x:c r="H3008"/>
      <x:c r="I3008"/>
      <x:c r="J3008"/>
    </x:row>
    <x:row r="3009">
      <x:c r="A3009" t="str">
        <x:v>ZS-865C4EA215C3</x:v>
      </x:c>
      <x:c r="B3009"/>
      <x:c r="C3009"/>
      <x:c r="D3009"/>
      <x:c r="E3009"/>
      <x:c r="F3009"/>
      <x:c r="G3009"/>
      <x:c r="H3009"/>
      <x:c r="I3009"/>
      <x:c r="J3009"/>
    </x:row>
    <x:row r="3010">
      <x:c r="A3010" t="str">
        <x:v>ZS-A9842BD7C876</x:v>
      </x:c>
      <x:c r="B3010"/>
      <x:c r="C3010"/>
      <x:c r="D3010"/>
      <x:c r="E3010"/>
      <x:c r="F3010"/>
      <x:c r="G3010"/>
      <x:c r="H3010"/>
      <x:c r="I3010"/>
      <x:c r="J3010"/>
    </x:row>
    <x:row r="3011">
      <x:c r="A3011" t="str">
        <x:v>ZS-35F4679EE405</x:v>
      </x:c>
      <x:c r="B3011"/>
      <x:c r="C3011"/>
      <x:c r="D3011"/>
      <x:c r="E3011"/>
      <x:c r="F3011"/>
      <x:c r="G3011"/>
      <x:c r="H3011"/>
      <x:c r="I3011"/>
      <x:c r="J3011"/>
    </x:row>
    <x:row r="3012">
      <x:c r="A3012" t="str">
        <x:v>ZS-9B2680CA1140</x:v>
      </x:c>
      <x:c r="B3012"/>
      <x:c r="C3012"/>
      <x:c r="D3012"/>
      <x:c r="E3012"/>
      <x:c r="F3012"/>
      <x:c r="G3012"/>
      <x:c r="H3012"/>
      <x:c r="I3012"/>
      <x:c r="J3012"/>
    </x:row>
    <x:row r="3013">
      <x:c r="A3013" t="str">
        <x:v>ZS-D0F45FE94E05</x:v>
      </x:c>
      <x:c r="B3013"/>
      <x:c r="C3013"/>
      <x:c r="D3013"/>
      <x:c r="E3013"/>
      <x:c r="F3013"/>
      <x:c r="G3013"/>
      <x:c r="H3013"/>
      <x:c r="I3013"/>
      <x:c r="J3013"/>
    </x:row>
    <x:row r="3014">
      <x:c r="A3014" t="str">
        <x:v>ZS-AA59B1AD2A76</x:v>
      </x:c>
      <x:c r="B3014"/>
      <x:c r="C3014"/>
      <x:c r="D3014"/>
      <x:c r="E3014"/>
      <x:c r="F3014"/>
      <x:c r="G3014"/>
      <x:c r="H3014"/>
      <x:c r="I3014"/>
      <x:c r="J3014"/>
    </x:row>
    <x:row r="3015">
      <x:c r="A3015" t="str">
        <x:v>ZS-9BECE20FBC56</x:v>
      </x:c>
      <x:c r="B3015"/>
      <x:c r="C3015"/>
      <x:c r="D3015"/>
      <x:c r="E3015"/>
      <x:c r="F3015"/>
      <x:c r="G3015"/>
      <x:c r="H3015"/>
      <x:c r="I3015"/>
      <x:c r="J3015"/>
    </x:row>
    <x:row r="3016">
      <x:c r="A3016" t="str">
        <x:v>ZS-40695468F327</x:v>
      </x:c>
      <x:c r="B3016"/>
      <x:c r="C3016"/>
      <x:c r="D3016"/>
      <x:c r="E3016"/>
      <x:c r="F3016"/>
      <x:c r="G3016"/>
      <x:c r="H3016"/>
      <x:c r="I3016"/>
      <x:c r="J3016"/>
    </x:row>
    <x:row r="3017">
      <x:c r="A3017" t="str">
        <x:v>ZS-8B4C864F1CC5</x:v>
      </x:c>
      <x:c r="B3017"/>
      <x:c r="C3017"/>
      <x:c r="D3017"/>
      <x:c r="E3017"/>
      <x:c r="F3017"/>
      <x:c r="G3017"/>
      <x:c r="H3017"/>
      <x:c r="I3017"/>
      <x:c r="J3017"/>
    </x:row>
    <x:row r="3018">
      <x:c r="A3018" t="str">
        <x:v>ZS-5D28CED30A16</x:v>
      </x:c>
      <x:c r="B3018"/>
      <x:c r="C3018"/>
      <x:c r="D3018"/>
      <x:c r="E3018"/>
      <x:c r="F3018"/>
      <x:c r="G3018"/>
      <x:c r="H3018"/>
      <x:c r="I3018"/>
      <x:c r="J3018"/>
    </x:row>
    <x:row r="3019">
      <x:c r="A3019" t="str">
        <x:v>ZS-352F478C7ABD</x:v>
      </x:c>
      <x:c r="B3019"/>
      <x:c r="C3019"/>
      <x:c r="D3019"/>
      <x:c r="E3019"/>
      <x:c r="F3019"/>
      <x:c r="G3019"/>
      <x:c r="H3019"/>
      <x:c r="I3019"/>
      <x:c r="J3019"/>
    </x:row>
    <x:row r="3020">
      <x:c r="A3020" t="str">
        <x:v>ZS-06B7971397BE</x:v>
      </x:c>
      <x:c r="B3020"/>
      <x:c r="C3020"/>
      <x:c r="D3020"/>
      <x:c r="E3020"/>
      <x:c r="F3020"/>
      <x:c r="G3020"/>
      <x:c r="H3020"/>
      <x:c r="I3020"/>
      <x:c r="J3020"/>
    </x:row>
    <x:row r="3021">
      <x:c r="A3021" t="str">
        <x:v>ZS-0305EEECCB61</x:v>
      </x:c>
      <x:c r="B3021"/>
      <x:c r="C3021"/>
      <x:c r="D3021"/>
      <x:c r="E3021"/>
      <x:c r="F3021"/>
      <x:c r="G3021"/>
      <x:c r="H3021"/>
      <x:c r="I3021"/>
      <x:c r="J3021"/>
    </x:row>
    <x:row r="3022">
      <x:c r="A3022" t="str">
        <x:v>ZS-1C22AE1AC255</x:v>
      </x:c>
      <x:c r="B3022"/>
      <x:c r="C3022"/>
      <x:c r="D3022"/>
      <x:c r="E3022"/>
      <x:c r="F3022"/>
      <x:c r="G3022"/>
      <x:c r="H3022"/>
      <x:c r="I3022"/>
      <x:c r="J3022"/>
    </x:row>
    <x:row r="3023">
      <x:c r="A3023" t="str">
        <x:v>ZS-B25209BD4B56</x:v>
      </x:c>
      <x:c r="B3023"/>
      <x:c r="C3023"/>
      <x:c r="D3023"/>
      <x:c r="E3023"/>
      <x:c r="F3023"/>
      <x:c r="G3023"/>
      <x:c r="H3023"/>
      <x:c r="I3023"/>
      <x:c r="J3023"/>
    </x:row>
    <x:row r="3024">
      <x:c r="A3024" t="str">
        <x:v>ZS-72F52C4DC74E</x:v>
      </x:c>
      <x:c r="B3024"/>
      <x:c r="C3024"/>
      <x:c r="D3024"/>
      <x:c r="E3024"/>
      <x:c r="F3024"/>
      <x:c r="G3024"/>
      <x:c r="H3024"/>
      <x:c r="I3024"/>
      <x:c r="J3024"/>
    </x:row>
    <x:row r="3025">
      <x:c r="A3025" t="str">
        <x:v>ZS-E1295F0FA714</x:v>
      </x:c>
      <x:c r="B3025"/>
      <x:c r="C3025"/>
      <x:c r="D3025"/>
      <x:c r="E3025"/>
      <x:c r="F3025"/>
      <x:c r="G3025"/>
      <x:c r="H3025"/>
      <x:c r="I3025"/>
      <x:c r="J3025"/>
    </x:row>
    <x:row r="3026">
      <x:c r="A3026" t="str">
        <x:v>ZS-D2E2077755FD</x:v>
      </x:c>
      <x:c r="B3026"/>
      <x:c r="C3026"/>
      <x:c r="D3026"/>
      <x:c r="E3026"/>
      <x:c r="F3026"/>
      <x:c r="G3026"/>
      <x:c r="H3026"/>
      <x:c r="I3026"/>
      <x:c r="J3026"/>
    </x:row>
    <x:row r="3027">
      <x:c r="A3027" t="str">
        <x:v>ZS-AAEE58592363</x:v>
      </x:c>
      <x:c r="B3027"/>
      <x:c r="C3027"/>
      <x:c r="D3027"/>
      <x:c r="E3027"/>
      <x:c r="F3027"/>
      <x:c r="G3027"/>
      <x:c r="H3027"/>
      <x:c r="I3027"/>
      <x:c r="J3027"/>
    </x:row>
    <x:row r="3028">
      <x:c r="A3028" t="str">
        <x:v>ZS-2E8C7749C975</x:v>
      </x:c>
      <x:c r="B3028"/>
      <x:c r="C3028"/>
      <x:c r="D3028"/>
      <x:c r="E3028"/>
      <x:c r="F3028"/>
      <x:c r="G3028"/>
      <x:c r="H3028"/>
      <x:c r="I3028"/>
      <x:c r="J3028"/>
    </x:row>
    <x:row r="3029">
      <x:c r="A3029" t="str">
        <x:v>ZS-6844D7F69AB6</x:v>
      </x:c>
      <x:c r="B3029"/>
      <x:c r="C3029"/>
      <x:c r="D3029"/>
      <x:c r="E3029"/>
      <x:c r="F3029"/>
      <x:c r="G3029"/>
      <x:c r="H3029"/>
      <x:c r="I3029"/>
      <x:c r="J3029"/>
    </x:row>
    <x:row r="3030">
      <x:c r="A3030" t="str">
        <x:v>ZS-76BD5E6B8E81</x:v>
      </x:c>
      <x:c r="B3030"/>
      <x:c r="C3030"/>
      <x:c r="D3030"/>
      <x:c r="E3030"/>
      <x:c r="F3030"/>
      <x:c r="G3030"/>
      <x:c r="H3030"/>
      <x:c r="I3030"/>
      <x:c r="J3030"/>
    </x:row>
    <x:row r="3031">
      <x:c r="A3031" t="str">
        <x:v>ZS-D62292190AF9</x:v>
      </x:c>
      <x:c r="B3031"/>
      <x:c r="C3031"/>
      <x:c r="D3031"/>
      <x:c r="E3031"/>
      <x:c r="F3031"/>
      <x:c r="G3031"/>
      <x:c r="H3031"/>
      <x:c r="I3031"/>
      <x:c r="J3031"/>
    </x:row>
    <x:row r="3032">
      <x:c r="A3032" t="str">
        <x:v>ZS-4E0556132599</x:v>
      </x:c>
      <x:c r="B3032"/>
      <x:c r="C3032"/>
      <x:c r="D3032"/>
      <x:c r="E3032"/>
      <x:c r="F3032"/>
      <x:c r="G3032"/>
      <x:c r="H3032"/>
      <x:c r="I3032"/>
      <x:c r="J3032"/>
    </x:row>
    <x:row r="3033">
      <x:c r="A3033" t="str">
        <x:v>ZS-6082130970CA</x:v>
      </x:c>
      <x:c r="B3033"/>
      <x:c r="C3033"/>
      <x:c r="D3033"/>
      <x:c r="E3033"/>
      <x:c r="F3033"/>
      <x:c r="G3033"/>
      <x:c r="H3033"/>
      <x:c r="I3033"/>
      <x:c r="J3033"/>
    </x:row>
    <x:row r="3034">
      <x:c r="A3034" t="str">
        <x:v>ZS-5E1BCEAA98A7</x:v>
      </x:c>
      <x:c r="B3034"/>
      <x:c r="C3034"/>
      <x:c r="D3034"/>
      <x:c r="E3034"/>
      <x:c r="F3034"/>
      <x:c r="G3034"/>
      <x:c r="H3034"/>
      <x:c r="I3034"/>
      <x:c r="J3034"/>
    </x:row>
    <x:row r="3035">
      <x:c r="A3035" t="str">
        <x:v>ZS-41D4F8BB3550</x:v>
      </x:c>
      <x:c r="B3035"/>
      <x:c r="C3035"/>
      <x:c r="D3035"/>
      <x:c r="E3035"/>
      <x:c r="F3035"/>
      <x:c r="G3035"/>
      <x:c r="H3035"/>
      <x:c r="I3035"/>
      <x:c r="J3035"/>
    </x:row>
    <x:row r="3036">
      <x:c r="A3036" t="str">
        <x:v>ZS-E9BE86B538D3</x:v>
      </x:c>
      <x:c r="B3036"/>
      <x:c r="C3036"/>
      <x:c r="D3036"/>
      <x:c r="E3036"/>
      <x:c r="F3036"/>
      <x:c r="G3036"/>
      <x:c r="H3036"/>
      <x:c r="I3036"/>
      <x:c r="J3036"/>
    </x:row>
    <x:row r="3037">
      <x:c r="A3037" t="str">
        <x:v>ZS-BF46D0A4A12D</x:v>
      </x:c>
      <x:c r="B3037"/>
      <x:c r="C3037"/>
      <x:c r="D3037"/>
      <x:c r="E3037"/>
      <x:c r="F3037"/>
      <x:c r="G3037"/>
      <x:c r="H3037"/>
      <x:c r="I3037"/>
      <x:c r="J3037"/>
    </x:row>
    <x:row r="3038">
      <x:c r="A3038" t="str">
        <x:v>ZS-F56974AE4D88</x:v>
      </x:c>
      <x:c r="B3038"/>
      <x:c r="C3038"/>
      <x:c r="D3038"/>
      <x:c r="E3038"/>
      <x:c r="F3038"/>
      <x:c r="G3038"/>
      <x:c r="H3038"/>
      <x:c r="I3038"/>
      <x:c r="J3038"/>
    </x:row>
    <x:row r="3039">
      <x:c r="A3039" t="str">
        <x:v>ZS-251FF924FCC4</x:v>
      </x:c>
      <x:c r="B3039"/>
      <x:c r="C3039"/>
      <x:c r="D3039"/>
      <x:c r="E3039"/>
      <x:c r="F3039"/>
      <x:c r="G3039"/>
      <x:c r="H3039"/>
      <x:c r="I3039"/>
      <x:c r="J3039"/>
    </x:row>
    <x:row r="3040">
      <x:c r="A3040" t="str">
        <x:v>ZS-2155A00DDDE2</x:v>
      </x:c>
      <x:c r="B3040"/>
      <x:c r="C3040"/>
      <x:c r="D3040"/>
      <x:c r="E3040"/>
      <x:c r="F3040"/>
      <x:c r="G3040"/>
      <x:c r="H3040"/>
      <x:c r="I3040"/>
      <x:c r="J3040"/>
    </x:row>
    <x:row r="3041">
      <x:c r="A3041" t="str">
        <x:v>ZS-F671F530DDAE</x:v>
      </x:c>
      <x:c r="B3041"/>
      <x:c r="C3041"/>
      <x:c r="D3041"/>
      <x:c r="E3041"/>
      <x:c r="F3041"/>
      <x:c r="G3041"/>
      <x:c r="H3041"/>
      <x:c r="I3041"/>
      <x:c r="J3041"/>
    </x:row>
    <x:row r="3042">
      <x:c r="A3042" t="str">
        <x:v>ZS-FBF760F5D6B1</x:v>
      </x:c>
      <x:c r="B3042"/>
      <x:c r="C3042"/>
      <x:c r="D3042"/>
      <x:c r="E3042"/>
      <x:c r="F3042"/>
      <x:c r="G3042"/>
      <x:c r="H3042"/>
      <x:c r="I3042"/>
      <x:c r="J3042"/>
    </x:row>
    <x:row r="3043">
      <x:c r="A3043" t="str">
        <x:v>ZS-388D7A061692</x:v>
      </x:c>
      <x:c r="B3043"/>
      <x:c r="C3043"/>
      <x:c r="D3043"/>
      <x:c r="E3043"/>
      <x:c r="F3043"/>
      <x:c r="G3043"/>
      <x:c r="H3043"/>
      <x:c r="I3043"/>
      <x:c r="J3043"/>
    </x:row>
    <x:row r="3044">
      <x:c r="A3044" t="str">
        <x:v>ZS-A25CA781E740</x:v>
      </x:c>
      <x:c r="B3044"/>
      <x:c r="C3044"/>
      <x:c r="D3044"/>
      <x:c r="E3044"/>
      <x:c r="F3044"/>
      <x:c r="G3044"/>
      <x:c r="H3044"/>
      <x:c r="I3044"/>
      <x:c r="J3044"/>
    </x:row>
    <x:row r="3045">
      <x:c r="A3045" t="str">
        <x:v>ZS-15045A46CD8B</x:v>
      </x:c>
      <x:c r="B3045"/>
      <x:c r="C3045"/>
      <x:c r="D3045"/>
      <x:c r="E3045"/>
      <x:c r="F3045"/>
      <x:c r="G3045"/>
      <x:c r="H3045"/>
      <x:c r="I3045"/>
      <x:c r="J3045"/>
    </x:row>
    <x:row r="3046">
      <x:c r="A3046" t="str">
        <x:v>ZS-E24144D8C161</x:v>
      </x:c>
      <x:c r="B3046"/>
      <x:c r="C3046"/>
      <x:c r="D3046"/>
      <x:c r="E3046"/>
      <x:c r="F3046"/>
      <x:c r="G3046"/>
      <x:c r="H3046"/>
      <x:c r="I3046"/>
      <x:c r="J3046"/>
    </x:row>
    <x:row r="3047">
      <x:c r="A3047" t="str">
        <x:v>ZS-FE77D59FFFD3</x:v>
      </x:c>
      <x:c r="B3047"/>
      <x:c r="C3047"/>
      <x:c r="D3047"/>
      <x:c r="E3047"/>
      <x:c r="F3047"/>
      <x:c r="G3047"/>
      <x:c r="H3047"/>
      <x:c r="I3047"/>
      <x:c r="J3047"/>
    </x:row>
    <x:row r="3048">
      <x:c r="A3048" t="str">
        <x:v>ZS-B6E1E98B6100</x:v>
      </x:c>
      <x:c r="B3048"/>
      <x:c r="C3048"/>
      <x:c r="D3048"/>
      <x:c r="E3048"/>
      <x:c r="F3048"/>
      <x:c r="G3048"/>
      <x:c r="H3048"/>
      <x:c r="I3048"/>
      <x:c r="J3048"/>
    </x:row>
    <x:row r="3049">
      <x:c r="A3049" t="str">
        <x:v>ZS-5899D21FD48E</x:v>
      </x:c>
      <x:c r="B3049"/>
      <x:c r="C3049"/>
      <x:c r="D3049"/>
      <x:c r="E3049"/>
      <x:c r="F3049"/>
      <x:c r="G3049"/>
      <x:c r="H3049"/>
      <x:c r="I3049"/>
      <x:c r="J3049"/>
    </x:row>
    <x:row r="3050">
      <x:c r="A3050" t="str">
        <x:v>ZS-299360A12BC6</x:v>
      </x:c>
      <x:c r="B3050"/>
      <x:c r="C3050"/>
      <x:c r="D3050"/>
      <x:c r="E3050"/>
      <x:c r="F3050"/>
      <x:c r="G3050"/>
      <x:c r="H3050"/>
      <x:c r="I3050"/>
      <x:c r="J3050"/>
    </x:row>
    <x:row r="3051">
      <x:c r="A3051" t="str">
        <x:v>ZS-B5E373FFFE8E</x:v>
      </x:c>
      <x:c r="B3051"/>
      <x:c r="C3051"/>
      <x:c r="D3051"/>
      <x:c r="E3051"/>
      <x:c r="F3051"/>
      <x:c r="G3051"/>
      <x:c r="H3051"/>
      <x:c r="I3051"/>
      <x:c r="J3051"/>
    </x:row>
    <x:row r="3052">
      <x:c r="A3052" t="str">
        <x:v>ZS-587167E7F11F</x:v>
      </x:c>
      <x:c r="B3052"/>
      <x:c r="C3052"/>
      <x:c r="D3052"/>
      <x:c r="E3052"/>
      <x:c r="F3052"/>
      <x:c r="G3052"/>
      <x:c r="H3052"/>
      <x:c r="I3052"/>
      <x:c r="J3052"/>
    </x:row>
    <x:row r="3053">
      <x:c r="A3053" t="str">
        <x:v>ZS-63AADE311F95</x:v>
      </x:c>
      <x:c r="B3053"/>
      <x:c r="C3053"/>
      <x:c r="D3053"/>
      <x:c r="E3053"/>
      <x:c r="F3053"/>
      <x:c r="G3053"/>
      <x:c r="H3053"/>
      <x:c r="I3053"/>
      <x:c r="J3053"/>
    </x:row>
    <x:row r="3054">
      <x:c r="A3054" t="str">
        <x:v>ZS-B9157E332BE1</x:v>
      </x:c>
      <x:c r="B3054"/>
      <x:c r="C3054"/>
      <x:c r="D3054"/>
      <x:c r="E3054"/>
      <x:c r="F3054"/>
      <x:c r="G3054"/>
      <x:c r="H3054"/>
      <x:c r="I3054"/>
      <x:c r="J3054"/>
    </x:row>
    <x:row r="3055">
      <x:c r="A3055" t="str">
        <x:v>ZS-E91325E38AF4</x:v>
      </x:c>
      <x:c r="B3055"/>
      <x:c r="C3055"/>
      <x:c r="D3055"/>
      <x:c r="E3055"/>
      <x:c r="F3055"/>
      <x:c r="G3055"/>
      <x:c r="H3055"/>
      <x:c r="I3055"/>
      <x:c r="J3055"/>
    </x:row>
    <x:row r="3056">
      <x:c r="A3056" t="str">
        <x:v>ZS-8737DD0F3943</x:v>
      </x:c>
      <x:c r="B3056"/>
      <x:c r="C3056"/>
      <x:c r="D3056"/>
      <x:c r="E3056"/>
      <x:c r="F3056"/>
      <x:c r="G3056"/>
      <x:c r="H3056"/>
      <x:c r="I3056"/>
      <x:c r="J3056"/>
    </x:row>
    <x:row r="3057">
      <x:c r="A3057" t="str">
        <x:v>ZS-DA2F71127424</x:v>
      </x:c>
      <x:c r="B3057"/>
      <x:c r="C3057"/>
      <x:c r="D3057"/>
      <x:c r="E3057"/>
      <x:c r="F3057"/>
      <x:c r="G3057"/>
      <x:c r="H3057"/>
      <x:c r="I3057"/>
      <x:c r="J3057"/>
    </x:row>
    <x:row r="3058">
      <x:c r="A3058" t="str">
        <x:v>ZS-5F28BA31A4FF</x:v>
      </x:c>
      <x:c r="B3058"/>
      <x:c r="C3058"/>
      <x:c r="D3058"/>
      <x:c r="E3058"/>
      <x:c r="F3058"/>
      <x:c r="G3058"/>
      <x:c r="H3058"/>
      <x:c r="I3058"/>
      <x:c r="J3058"/>
    </x:row>
    <x:row r="3059">
      <x:c r="A3059" t="str">
        <x:v>ZS-FB8A3578EE2B</x:v>
      </x:c>
      <x:c r="B3059"/>
      <x:c r="C3059"/>
      <x:c r="D3059"/>
      <x:c r="E3059"/>
      <x:c r="F3059"/>
      <x:c r="G3059"/>
      <x:c r="H3059"/>
      <x:c r="I3059"/>
      <x:c r="J3059"/>
    </x:row>
    <x:row r="3060">
      <x:c r="A3060" t="str">
        <x:v>ZS-A21EFC92AC01</x:v>
      </x:c>
      <x:c r="B3060"/>
      <x:c r="C3060"/>
      <x:c r="D3060"/>
      <x:c r="E3060"/>
      <x:c r="F3060"/>
      <x:c r="G3060"/>
      <x:c r="H3060"/>
      <x:c r="I3060"/>
      <x:c r="J3060"/>
    </x:row>
    <x:row r="3061">
      <x:c r="A3061" t="str">
        <x:v>ZS-C3FFFDE84793</x:v>
      </x:c>
      <x:c r="B3061"/>
      <x:c r="C3061"/>
      <x:c r="D3061"/>
      <x:c r="E3061"/>
      <x:c r="F3061"/>
      <x:c r="G3061"/>
      <x:c r="H3061"/>
      <x:c r="I3061"/>
      <x:c r="J3061"/>
    </x:row>
    <x:row r="3062">
      <x:c r="A3062" t="str">
        <x:v>ZS-C0F66964E778</x:v>
      </x:c>
      <x:c r="B3062"/>
      <x:c r="C3062"/>
      <x:c r="D3062"/>
      <x:c r="E3062"/>
      <x:c r="F3062"/>
      <x:c r="G3062"/>
      <x:c r="H3062"/>
      <x:c r="I3062"/>
      <x:c r="J3062"/>
    </x:row>
    <x:row r="3063">
      <x:c r="A3063" t="str">
        <x:v>ZS-E0E8FDBD40BF</x:v>
      </x:c>
      <x:c r="B3063"/>
      <x:c r="C3063"/>
      <x:c r="D3063"/>
      <x:c r="E3063"/>
      <x:c r="F3063"/>
      <x:c r="G3063"/>
      <x:c r="H3063"/>
      <x:c r="I3063"/>
      <x:c r="J3063"/>
    </x:row>
    <x:row r="3064">
      <x:c r="A3064" t="str">
        <x:v>ZS-77DF213516BB</x:v>
      </x:c>
      <x:c r="B3064"/>
      <x:c r="C3064"/>
      <x:c r="D3064"/>
      <x:c r="E3064"/>
      <x:c r="F3064"/>
      <x:c r="G3064"/>
      <x:c r="H3064"/>
      <x:c r="I3064"/>
      <x:c r="J3064"/>
    </x:row>
    <x:row r="3065">
      <x:c r="A3065" t="str">
        <x:v>ZS-6B92D9AE8ACE</x:v>
      </x:c>
      <x:c r="B3065"/>
      <x:c r="C3065"/>
      <x:c r="D3065"/>
      <x:c r="E3065"/>
      <x:c r="F3065"/>
      <x:c r="G3065"/>
      <x:c r="H3065"/>
      <x:c r="I3065"/>
      <x:c r="J3065"/>
    </x:row>
    <x:row r="3066">
      <x:c r="A3066" t="str">
        <x:v>ZS-14B6EA7B5130</x:v>
      </x:c>
      <x:c r="B3066"/>
      <x:c r="C3066"/>
      <x:c r="D3066"/>
      <x:c r="E3066"/>
      <x:c r="F3066"/>
      <x:c r="G3066"/>
      <x:c r="H3066"/>
      <x:c r="I3066"/>
      <x:c r="J3066"/>
    </x:row>
    <x:row r="3067">
      <x:c r="A3067" t="str">
        <x:v>ZS-3338B4853634</x:v>
      </x:c>
      <x:c r="B3067"/>
      <x:c r="C3067"/>
      <x:c r="D3067"/>
      <x:c r="E3067"/>
      <x:c r="F3067"/>
      <x:c r="G3067"/>
      <x:c r="H3067"/>
      <x:c r="I3067"/>
      <x:c r="J3067"/>
    </x:row>
    <x:row r="3068">
      <x:c r="A3068" t="str">
        <x:v>ZS-B8560BEDEC72</x:v>
      </x:c>
      <x:c r="B3068"/>
      <x:c r="C3068"/>
      <x:c r="D3068"/>
      <x:c r="E3068"/>
      <x:c r="F3068"/>
      <x:c r="G3068"/>
      <x:c r="H3068"/>
      <x:c r="I3068"/>
      <x:c r="J3068"/>
    </x:row>
    <x:row r="3069">
      <x:c r="A3069" t="str">
        <x:v>ZS-2F5704632CA4</x:v>
      </x:c>
      <x:c r="B3069"/>
      <x:c r="C3069"/>
      <x:c r="D3069"/>
      <x:c r="E3069"/>
      <x:c r="F3069"/>
      <x:c r="G3069"/>
      <x:c r="H3069"/>
      <x:c r="I3069"/>
      <x:c r="J3069"/>
    </x:row>
    <x:row r="3070">
      <x:c r="A3070" t="str">
        <x:v>ZS-82EFBC6DD646</x:v>
      </x:c>
      <x:c r="B3070"/>
      <x:c r="C3070"/>
      <x:c r="D3070"/>
      <x:c r="E3070"/>
      <x:c r="F3070"/>
      <x:c r="G3070"/>
      <x:c r="H3070"/>
      <x:c r="I3070"/>
      <x:c r="J3070"/>
    </x:row>
    <x:row r="3071">
      <x:c r="A3071" t="str">
        <x:v>ZS-7EF57954C6FE</x:v>
      </x:c>
      <x:c r="B3071"/>
      <x:c r="C3071"/>
      <x:c r="D3071"/>
      <x:c r="E3071"/>
      <x:c r="F3071"/>
      <x:c r="G3071"/>
      <x:c r="H3071"/>
      <x:c r="I3071"/>
      <x:c r="J3071"/>
    </x:row>
    <x:row r="3072">
      <x:c r="A3072" t="str">
        <x:v>ZS-F51C65C94C32</x:v>
      </x:c>
      <x:c r="B3072"/>
      <x:c r="C3072"/>
      <x:c r="D3072"/>
      <x:c r="E3072"/>
      <x:c r="F3072"/>
      <x:c r="G3072"/>
      <x:c r="H3072"/>
      <x:c r="I3072"/>
      <x:c r="J3072"/>
    </x:row>
    <x:row r="3073">
      <x:c r="A3073" t="str">
        <x:v>ZS-385481975AE8</x:v>
      </x:c>
      <x:c r="B3073"/>
      <x:c r="C3073"/>
      <x:c r="D3073"/>
      <x:c r="E3073"/>
      <x:c r="F3073"/>
      <x:c r="G3073"/>
      <x:c r="H3073"/>
      <x:c r="I3073"/>
      <x:c r="J3073"/>
    </x:row>
    <x:row r="3074">
      <x:c r="A3074" t="str">
        <x:v>ZS-BE67EECF66EF</x:v>
      </x:c>
      <x:c r="B3074"/>
      <x:c r="C3074"/>
      <x:c r="D3074"/>
      <x:c r="E3074"/>
      <x:c r="F3074"/>
      <x:c r="G3074"/>
      <x:c r="H3074"/>
      <x:c r="I3074"/>
      <x:c r="J3074"/>
    </x:row>
    <x:row r="3075">
      <x:c r="A3075" t="str">
        <x:v>ZS-179196A6BA97</x:v>
      </x:c>
      <x:c r="B3075"/>
      <x:c r="C3075"/>
      <x:c r="D3075"/>
      <x:c r="E3075"/>
      <x:c r="F3075"/>
      <x:c r="G3075"/>
      <x:c r="H3075"/>
      <x:c r="I3075"/>
      <x:c r="J3075"/>
    </x:row>
    <x:row r="3076">
      <x:c r="A3076" t="str">
        <x:v>ZS-8D1C13B3D339</x:v>
      </x:c>
      <x:c r="B3076"/>
      <x:c r="C3076"/>
      <x:c r="D3076"/>
      <x:c r="E3076"/>
      <x:c r="F3076"/>
      <x:c r="G3076"/>
      <x:c r="H3076"/>
      <x:c r="I3076"/>
      <x:c r="J3076"/>
    </x:row>
    <x:row r="3077">
      <x:c r="A3077" t="str">
        <x:v>ZS-DF76D40EEF4A</x:v>
      </x:c>
      <x:c r="B3077"/>
      <x:c r="C3077"/>
      <x:c r="D3077"/>
      <x:c r="E3077"/>
      <x:c r="F3077"/>
      <x:c r="G3077"/>
      <x:c r="H3077"/>
      <x:c r="I3077"/>
      <x:c r="J3077"/>
    </x:row>
    <x:row r="3078">
      <x:c r="A3078" t="str">
        <x:v>ZS-B4334B574F0C</x:v>
      </x:c>
      <x:c r="B3078"/>
      <x:c r="C3078"/>
      <x:c r="D3078"/>
      <x:c r="E3078"/>
      <x:c r="F3078"/>
      <x:c r="G3078"/>
      <x:c r="H3078"/>
      <x:c r="I3078"/>
      <x:c r="J3078"/>
    </x:row>
    <x:row r="3079">
      <x:c r="A3079" t="str">
        <x:v>ZS-E7983B35B9EC</x:v>
      </x:c>
      <x:c r="B3079"/>
      <x:c r="C3079"/>
      <x:c r="D3079"/>
      <x:c r="E3079"/>
      <x:c r="F3079"/>
      <x:c r="G3079"/>
      <x:c r="H3079"/>
      <x:c r="I3079"/>
      <x:c r="J3079"/>
    </x:row>
    <x:row r="3080">
      <x:c r="A3080" t="str">
        <x:v>ZS-2520B9FDED03</x:v>
      </x:c>
      <x:c r="B3080"/>
      <x:c r="C3080"/>
      <x:c r="D3080"/>
      <x:c r="E3080"/>
      <x:c r="F3080"/>
      <x:c r="G3080"/>
      <x:c r="H3080"/>
      <x:c r="I3080"/>
      <x:c r="J3080"/>
    </x:row>
    <x:row r="3081">
      <x:c r="A3081" t="str">
        <x:v>ZS-5D8CD628FB28</x:v>
      </x:c>
      <x:c r="B3081"/>
      <x:c r="C3081"/>
      <x:c r="D3081"/>
      <x:c r="E3081"/>
      <x:c r="F3081"/>
      <x:c r="G3081"/>
      <x:c r="H3081"/>
      <x:c r="I3081"/>
      <x:c r="J3081"/>
    </x:row>
    <x:row r="3082">
      <x:c r="A3082" t="str">
        <x:v>ZS-E6C762D9AE2D</x:v>
      </x:c>
      <x:c r="B3082"/>
      <x:c r="C3082"/>
      <x:c r="D3082"/>
      <x:c r="E3082"/>
      <x:c r="F3082"/>
      <x:c r="G3082"/>
      <x:c r="H3082"/>
      <x:c r="I3082"/>
      <x:c r="J3082"/>
    </x:row>
    <x:row r="3083">
      <x:c r="A3083" t="str">
        <x:v>ZS-ABEC996DB75B</x:v>
      </x:c>
      <x:c r="B3083"/>
      <x:c r="C3083"/>
      <x:c r="D3083"/>
      <x:c r="E3083"/>
      <x:c r="F3083"/>
      <x:c r="G3083"/>
      <x:c r="H3083"/>
      <x:c r="I3083"/>
      <x:c r="J3083"/>
    </x:row>
    <x:row r="3084">
      <x:c r="A3084" t="str">
        <x:v>ZS-E60E536383C6</x:v>
      </x:c>
      <x:c r="B3084"/>
      <x:c r="C3084"/>
      <x:c r="D3084"/>
      <x:c r="E3084"/>
      <x:c r="F3084"/>
      <x:c r="G3084"/>
      <x:c r="H3084"/>
      <x:c r="I3084"/>
      <x:c r="J3084"/>
    </x:row>
    <x:row r="3085">
      <x:c r="A3085" t="str">
        <x:v>ZS-123A23B44B28</x:v>
      </x:c>
      <x:c r="B3085"/>
      <x:c r="C3085"/>
      <x:c r="D3085"/>
      <x:c r="E3085"/>
      <x:c r="F3085"/>
      <x:c r="G3085"/>
      <x:c r="H3085"/>
      <x:c r="I3085"/>
      <x:c r="J3085"/>
    </x:row>
    <x:row r="3086">
      <x:c r="A3086" t="str">
        <x:v>ZS-C37757C5F421</x:v>
      </x:c>
      <x:c r="B3086"/>
      <x:c r="C3086"/>
      <x:c r="D3086"/>
      <x:c r="E3086"/>
      <x:c r="F3086"/>
      <x:c r="G3086"/>
      <x:c r="H3086"/>
      <x:c r="I3086"/>
      <x:c r="J3086"/>
    </x:row>
    <x:row r="3087">
      <x:c r="A3087" t="str">
        <x:v>ZS-33A06BD61C7D</x:v>
      </x:c>
      <x:c r="B3087"/>
      <x:c r="C3087"/>
      <x:c r="D3087"/>
      <x:c r="E3087"/>
      <x:c r="F3087"/>
      <x:c r="G3087"/>
      <x:c r="H3087"/>
      <x:c r="I3087"/>
      <x:c r="J3087"/>
    </x:row>
    <x:row r="3088">
      <x:c r="A3088" t="str">
        <x:v>ZS-3C322D7F0B1F</x:v>
      </x:c>
      <x:c r="B3088"/>
      <x:c r="C3088"/>
      <x:c r="D3088"/>
      <x:c r="E3088"/>
      <x:c r="F3088"/>
      <x:c r="G3088"/>
      <x:c r="H3088"/>
      <x:c r="I3088"/>
      <x:c r="J3088"/>
    </x:row>
    <x:row r="3089">
      <x:c r="A3089" t="str">
        <x:v>ZS-015D03893AF2</x:v>
      </x:c>
      <x:c r="B3089"/>
      <x:c r="C3089"/>
      <x:c r="D3089"/>
      <x:c r="E3089"/>
      <x:c r="F3089"/>
      <x:c r="G3089"/>
      <x:c r="H3089"/>
      <x:c r="I3089"/>
      <x:c r="J3089"/>
    </x:row>
    <x:row r="3090">
      <x:c r="A3090" t="str">
        <x:v>ZS-862731A0CECC</x:v>
      </x:c>
      <x:c r="B3090"/>
      <x:c r="C3090"/>
      <x:c r="D3090"/>
      <x:c r="E3090"/>
      <x:c r="F3090"/>
      <x:c r="G3090"/>
      <x:c r="H3090"/>
      <x:c r="I3090"/>
      <x:c r="J3090"/>
    </x:row>
    <x:row r="3091">
      <x:c r="A3091" t="str">
        <x:v>ZS-08D974C73044</x:v>
      </x:c>
      <x:c r="B3091"/>
      <x:c r="C3091"/>
      <x:c r="D3091"/>
      <x:c r="E3091"/>
      <x:c r="F3091"/>
      <x:c r="G3091"/>
      <x:c r="H3091"/>
      <x:c r="I3091"/>
      <x:c r="J3091"/>
    </x:row>
    <x:row r="3092">
      <x:c r="A3092" t="str">
        <x:v>ZS-A0FEAC5A3516</x:v>
      </x:c>
      <x:c r="B3092"/>
      <x:c r="C3092"/>
      <x:c r="D3092"/>
      <x:c r="E3092"/>
      <x:c r="F3092"/>
      <x:c r="G3092"/>
      <x:c r="H3092"/>
      <x:c r="I3092"/>
      <x:c r="J3092"/>
    </x:row>
    <x:row r="3093">
      <x:c r="A3093" t="str">
        <x:v>ZS-7DA07ABC757C</x:v>
      </x:c>
      <x:c r="B3093"/>
      <x:c r="C3093"/>
      <x:c r="D3093"/>
      <x:c r="E3093"/>
      <x:c r="F3093"/>
      <x:c r="G3093"/>
      <x:c r="H3093"/>
      <x:c r="I3093"/>
      <x:c r="J3093"/>
    </x:row>
    <x:row r="3094">
      <x:c r="A3094" t="str">
        <x:v>ZS-1A28C70CC81C</x:v>
      </x:c>
      <x:c r="B3094"/>
      <x:c r="C3094"/>
      <x:c r="D3094"/>
      <x:c r="E3094"/>
      <x:c r="F3094"/>
      <x:c r="G3094"/>
      <x:c r="H3094"/>
      <x:c r="I3094"/>
      <x:c r="J3094"/>
    </x:row>
    <x:row r="3095">
      <x:c r="A3095" t="str">
        <x:v>ZS-BBB5FD44420F</x:v>
      </x:c>
      <x:c r="B3095"/>
      <x:c r="C3095"/>
      <x:c r="D3095"/>
      <x:c r="E3095"/>
      <x:c r="F3095"/>
      <x:c r="G3095"/>
      <x:c r="H3095"/>
      <x:c r="I3095"/>
      <x:c r="J3095"/>
    </x:row>
    <x:row r="3096">
      <x:c r="A3096" t="str">
        <x:v>ZS-D9E01F06D059</x:v>
      </x:c>
      <x:c r="B3096"/>
      <x:c r="C3096"/>
      <x:c r="D3096"/>
      <x:c r="E3096"/>
      <x:c r="F3096"/>
      <x:c r="G3096"/>
      <x:c r="H3096"/>
      <x:c r="I3096"/>
      <x:c r="J3096"/>
    </x:row>
    <x:row r="3097">
      <x:c r="A3097" t="str">
        <x:v>ZS-411C28557A8B</x:v>
      </x:c>
      <x:c r="B3097"/>
      <x:c r="C3097"/>
      <x:c r="D3097"/>
      <x:c r="E3097"/>
      <x:c r="F3097"/>
      <x:c r="G3097"/>
      <x:c r="H3097"/>
      <x:c r="I3097"/>
      <x:c r="J3097"/>
    </x:row>
    <x:row r="3098">
      <x:c r="A3098" t="str">
        <x:v>ZS-5ED56E1E0FA9</x:v>
      </x:c>
      <x:c r="B3098"/>
      <x:c r="C3098"/>
      <x:c r="D3098"/>
      <x:c r="E3098"/>
      <x:c r="F3098"/>
      <x:c r="G3098"/>
      <x:c r="H3098"/>
      <x:c r="I3098"/>
      <x:c r="J3098"/>
    </x:row>
    <x:row r="3099">
      <x:c r="A3099" t="str">
        <x:v>ZS-302E856EDE56</x:v>
      </x:c>
      <x:c r="B3099"/>
      <x:c r="C3099"/>
      <x:c r="D3099"/>
      <x:c r="E3099"/>
      <x:c r="F3099"/>
      <x:c r="G3099"/>
      <x:c r="H3099"/>
      <x:c r="I3099"/>
      <x:c r="J3099"/>
    </x:row>
    <x:row r="3100">
      <x:c r="A3100" t="str">
        <x:v>ZS-1DA261B1D7B1</x:v>
      </x:c>
      <x:c r="B3100"/>
      <x:c r="C3100"/>
      <x:c r="D3100"/>
      <x:c r="E3100"/>
      <x:c r="F3100"/>
      <x:c r="G3100"/>
      <x:c r="H3100"/>
      <x:c r="I3100"/>
      <x:c r="J3100"/>
    </x:row>
    <x:row r="3101">
      <x:c r="A3101" t="str">
        <x:v>ZS-4950DB4A1CC2</x:v>
      </x:c>
      <x:c r="B3101"/>
      <x:c r="C3101"/>
      <x:c r="D3101"/>
      <x:c r="E3101"/>
      <x:c r="F3101"/>
      <x:c r="G3101"/>
      <x:c r="H3101"/>
      <x:c r="I3101"/>
      <x:c r="J3101"/>
    </x:row>
    <x:row r="3102">
      <x:c r="A3102" t="str">
        <x:v>ZS-0AD7381DBED4</x:v>
      </x:c>
      <x:c r="B3102"/>
      <x:c r="C3102"/>
      <x:c r="D3102"/>
      <x:c r="E3102"/>
      <x:c r="F3102"/>
      <x:c r="G3102"/>
      <x:c r="H3102"/>
      <x:c r="I3102"/>
      <x:c r="J3102"/>
    </x:row>
    <x:row r="3103">
      <x:c r="A3103" t="str">
        <x:v>ZS-EEA12A2FBE7C</x:v>
      </x:c>
      <x:c r="B3103"/>
      <x:c r="C3103"/>
      <x:c r="D3103"/>
      <x:c r="E3103"/>
      <x:c r="F3103"/>
      <x:c r="G3103"/>
      <x:c r="H3103"/>
      <x:c r="I3103"/>
      <x:c r="J3103"/>
    </x:row>
    <x:row r="3104">
      <x:c r="A3104" t="str">
        <x:v>ZS-A1D78EE9021E</x:v>
      </x:c>
      <x:c r="B3104"/>
      <x:c r="C3104"/>
      <x:c r="D3104"/>
      <x:c r="E3104"/>
      <x:c r="F3104"/>
      <x:c r="G3104"/>
      <x:c r="H3104"/>
      <x:c r="I3104"/>
      <x:c r="J3104"/>
    </x:row>
    <x:row r="3105">
      <x:c r="A3105" t="str">
        <x:v>ZS-E8549928FA05</x:v>
      </x:c>
      <x:c r="B3105"/>
      <x:c r="C3105"/>
      <x:c r="D3105"/>
      <x:c r="E3105"/>
      <x:c r="F3105"/>
      <x:c r="G3105"/>
      <x:c r="H3105"/>
      <x:c r="I3105"/>
      <x:c r="J3105"/>
    </x:row>
    <x:row r="3106">
      <x:c r="A3106" t="str">
        <x:v>ZS-F0F1378C2000</x:v>
      </x:c>
      <x:c r="B3106"/>
      <x:c r="C3106"/>
      <x:c r="D3106"/>
      <x:c r="E3106"/>
      <x:c r="F3106"/>
      <x:c r="G3106"/>
      <x:c r="H3106"/>
      <x:c r="I3106"/>
      <x:c r="J3106"/>
    </x:row>
    <x:row r="3107">
      <x:c r="A3107" t="str">
        <x:v>ZS-C6A5EEF3866D</x:v>
      </x:c>
      <x:c r="B3107"/>
      <x:c r="C3107"/>
      <x:c r="D3107"/>
      <x:c r="E3107"/>
      <x:c r="F3107"/>
      <x:c r="G3107"/>
      <x:c r="H3107"/>
      <x:c r="I3107"/>
      <x:c r="J3107"/>
    </x:row>
    <x:row r="3108">
      <x:c r="A3108" t="str">
        <x:v>ZS-9D0ED91B81FA</x:v>
      </x:c>
      <x:c r="B3108"/>
      <x:c r="C3108"/>
      <x:c r="D3108"/>
      <x:c r="E3108"/>
      <x:c r="F3108"/>
      <x:c r="G3108"/>
      <x:c r="H3108"/>
      <x:c r="I3108"/>
      <x:c r="J3108"/>
    </x:row>
    <x:row r="3109">
      <x:c r="A3109" t="str">
        <x:v>ZS-3AA073148044</x:v>
      </x:c>
      <x:c r="B3109"/>
      <x:c r="C3109"/>
      <x:c r="D3109"/>
      <x:c r="E3109"/>
      <x:c r="F3109"/>
      <x:c r="G3109"/>
      <x:c r="H3109"/>
      <x:c r="I3109"/>
      <x:c r="J3109"/>
    </x:row>
    <x:row r="3110">
      <x:c r="A3110" t="str">
        <x:v>ZS-EB5DBD79D79E</x:v>
      </x:c>
      <x:c r="B3110"/>
      <x:c r="C3110"/>
      <x:c r="D3110"/>
      <x:c r="E3110"/>
      <x:c r="F3110"/>
      <x:c r="G3110"/>
      <x:c r="H3110"/>
      <x:c r="I3110"/>
      <x:c r="J3110"/>
    </x:row>
    <x:row r="3111">
      <x:c r="A3111" t="str">
        <x:v>ZS-920360A7C90A</x:v>
      </x:c>
      <x:c r="B3111"/>
      <x:c r="C3111"/>
      <x:c r="D3111"/>
      <x:c r="E3111"/>
      <x:c r="F3111"/>
      <x:c r="G3111"/>
      <x:c r="H3111"/>
      <x:c r="I3111"/>
      <x:c r="J3111"/>
    </x:row>
    <x:row r="3112">
      <x:c r="A3112" t="str">
        <x:v>ZS-A69DCFE7C428</x:v>
      </x:c>
      <x:c r="B3112"/>
      <x:c r="C3112"/>
      <x:c r="D3112"/>
      <x:c r="E3112"/>
      <x:c r="F3112"/>
      <x:c r="G3112"/>
      <x:c r="H3112"/>
      <x:c r="I3112"/>
      <x:c r="J3112"/>
    </x:row>
    <x:row r="3113">
      <x:c r="A3113" t="str">
        <x:v>ZS-9CFD2477EEBC</x:v>
      </x:c>
      <x:c r="B3113"/>
      <x:c r="C3113"/>
      <x:c r="D3113"/>
      <x:c r="E3113"/>
      <x:c r="F3113"/>
      <x:c r="G3113"/>
      <x:c r="H3113"/>
      <x:c r="I3113"/>
      <x:c r="J3113"/>
    </x:row>
    <x:row r="3114">
      <x:c r="A3114" t="str">
        <x:v>ZS-656D0151BAAD</x:v>
      </x:c>
      <x:c r="B3114"/>
      <x:c r="C3114"/>
      <x:c r="D3114"/>
      <x:c r="E3114"/>
      <x:c r="F3114"/>
      <x:c r="G3114"/>
      <x:c r="H3114"/>
      <x:c r="I3114"/>
      <x:c r="J3114"/>
    </x:row>
    <x:row r="3115">
      <x:c r="A3115" t="str">
        <x:v>ZS-6FF2D32EFA91</x:v>
      </x:c>
      <x:c r="B3115"/>
      <x:c r="C3115"/>
      <x:c r="D3115"/>
      <x:c r="E3115"/>
      <x:c r="F3115"/>
      <x:c r="G3115"/>
      <x:c r="H3115"/>
      <x:c r="I3115"/>
      <x:c r="J3115"/>
    </x:row>
    <x:row r="3116">
      <x:c r="A3116" t="str">
        <x:v>ZS-3043F0503E4E</x:v>
      </x:c>
      <x:c r="B3116"/>
      <x:c r="C3116"/>
      <x:c r="D3116"/>
      <x:c r="E3116"/>
      <x:c r="F3116"/>
      <x:c r="G3116"/>
      <x:c r="H3116"/>
      <x:c r="I3116"/>
      <x:c r="J3116"/>
    </x:row>
    <x:row r="3117">
      <x:c r="A3117" t="str">
        <x:v>ZS-EA43EE8E192A</x:v>
      </x:c>
      <x:c r="B3117"/>
      <x:c r="C3117"/>
      <x:c r="D3117"/>
      <x:c r="E3117"/>
      <x:c r="F3117"/>
      <x:c r="G3117"/>
      <x:c r="H3117"/>
      <x:c r="I3117"/>
      <x:c r="J3117"/>
    </x:row>
    <x:row r="3118">
      <x:c r="A3118" t="str">
        <x:v>ZS-5DE321FCADB7</x:v>
      </x:c>
      <x:c r="B3118"/>
      <x:c r="C3118"/>
      <x:c r="D3118"/>
      <x:c r="E3118"/>
      <x:c r="F3118"/>
      <x:c r="G3118"/>
      <x:c r="H3118"/>
      <x:c r="I3118"/>
      <x:c r="J3118"/>
    </x:row>
    <x:row r="3119">
      <x:c r="A3119" t="str">
        <x:v>ZS-05597484F032</x:v>
      </x:c>
      <x:c r="B3119"/>
      <x:c r="C3119"/>
      <x:c r="D3119"/>
      <x:c r="E3119"/>
      <x:c r="F3119"/>
      <x:c r="G3119"/>
      <x:c r="H3119"/>
      <x:c r="I3119"/>
      <x:c r="J3119"/>
    </x:row>
    <x:row r="3120">
      <x:c r="A3120" t="str">
        <x:v>ZS-5BDA8DBCFA26</x:v>
      </x:c>
      <x:c r="B3120"/>
      <x:c r="C3120"/>
      <x:c r="D3120"/>
      <x:c r="E3120"/>
      <x:c r="F3120"/>
      <x:c r="G3120"/>
      <x:c r="H3120"/>
      <x:c r="I3120"/>
      <x:c r="J3120"/>
    </x:row>
    <x:row r="3121">
      <x:c r="A3121" t="str">
        <x:v>ZS-3F21D99F881D</x:v>
      </x:c>
      <x:c r="B3121"/>
      <x:c r="C3121"/>
      <x:c r="D3121"/>
      <x:c r="E3121"/>
      <x:c r="F3121"/>
      <x:c r="G3121"/>
      <x:c r="H3121"/>
      <x:c r="I3121"/>
      <x:c r="J3121"/>
    </x:row>
    <x:row r="3122">
      <x:c r="A3122" t="str">
        <x:v>ZS-F63D8E3C245C</x:v>
      </x:c>
      <x:c r="B3122"/>
      <x:c r="C3122"/>
      <x:c r="D3122"/>
      <x:c r="E3122"/>
      <x:c r="F3122"/>
      <x:c r="G3122"/>
      <x:c r="H3122"/>
      <x:c r="I3122"/>
      <x:c r="J3122"/>
    </x:row>
    <x:row r="3123">
      <x:c r="A3123" t="str">
        <x:v>ZS-BD3ABE720AFE</x:v>
      </x:c>
      <x:c r="B3123"/>
      <x:c r="C3123"/>
      <x:c r="D3123"/>
      <x:c r="E3123"/>
      <x:c r="F3123"/>
      <x:c r="G3123"/>
      <x:c r="H3123"/>
      <x:c r="I3123"/>
      <x:c r="J3123"/>
    </x:row>
    <x:row r="3124">
      <x:c r="A3124" t="str">
        <x:v>ZS-41893299CB7B</x:v>
      </x:c>
      <x:c r="B3124"/>
      <x:c r="C3124"/>
      <x:c r="D3124"/>
      <x:c r="E3124"/>
      <x:c r="F3124"/>
      <x:c r="G3124"/>
      <x:c r="H3124"/>
      <x:c r="I3124"/>
      <x:c r="J3124"/>
    </x:row>
    <x:row r="3125">
      <x:c r="A3125" t="str">
        <x:v>ZS-4DABB9CCDFE3</x:v>
      </x:c>
      <x:c r="B3125"/>
      <x:c r="C3125"/>
      <x:c r="D3125"/>
      <x:c r="E3125"/>
      <x:c r="F3125"/>
      <x:c r="G3125"/>
      <x:c r="H3125"/>
      <x:c r="I3125"/>
      <x:c r="J3125"/>
    </x:row>
    <x:row r="3126">
      <x:c r="A3126" t="str">
        <x:v>ZS-16166D963021</x:v>
      </x:c>
      <x:c r="B3126"/>
      <x:c r="C3126"/>
      <x:c r="D3126"/>
      <x:c r="E3126"/>
      <x:c r="F3126"/>
      <x:c r="G3126"/>
      <x:c r="H3126"/>
      <x:c r="I3126"/>
      <x:c r="J3126"/>
    </x:row>
    <x:row r="3127">
      <x:c r="A3127" t="str">
        <x:v>ZS-CC63755FF206</x:v>
      </x:c>
      <x:c r="B3127"/>
      <x:c r="C3127"/>
      <x:c r="D3127"/>
      <x:c r="E3127"/>
      <x:c r="F3127"/>
      <x:c r="G3127"/>
      <x:c r="H3127"/>
      <x:c r="I3127"/>
      <x:c r="J3127"/>
    </x:row>
    <x:row r="3128">
      <x:c r="A3128" t="str">
        <x:v>ZS-6F2ED394458F</x:v>
      </x:c>
      <x:c r="B3128"/>
      <x:c r="C3128"/>
      <x:c r="D3128"/>
      <x:c r="E3128"/>
      <x:c r="F3128"/>
      <x:c r="G3128"/>
      <x:c r="H3128"/>
      <x:c r="I3128"/>
      <x:c r="J3128"/>
    </x:row>
    <x:row r="3129">
      <x:c r="A3129" t="str">
        <x:v>ZS-E627DF1CD662</x:v>
      </x:c>
      <x:c r="B3129"/>
      <x:c r="C3129"/>
      <x:c r="D3129"/>
      <x:c r="E3129"/>
      <x:c r="F3129"/>
      <x:c r="G3129"/>
      <x:c r="H3129"/>
      <x:c r="I3129"/>
      <x:c r="J3129"/>
    </x:row>
    <x:row r="3130">
      <x:c r="A3130" t="str">
        <x:v>ZS-00508C87F461</x:v>
      </x:c>
      <x:c r="B3130"/>
      <x:c r="C3130"/>
      <x:c r="D3130"/>
      <x:c r="E3130"/>
      <x:c r="F3130"/>
      <x:c r="G3130"/>
      <x:c r="H3130"/>
      <x:c r="I3130"/>
      <x:c r="J3130"/>
    </x:row>
    <x:row r="3131">
      <x:c r="A3131" t="str">
        <x:v>ZS-A4AA50F5B19E</x:v>
      </x:c>
      <x:c r="B3131"/>
      <x:c r="C3131"/>
      <x:c r="D3131"/>
      <x:c r="E3131"/>
      <x:c r="F3131"/>
      <x:c r="G3131"/>
      <x:c r="H3131"/>
      <x:c r="I3131"/>
      <x:c r="J3131"/>
    </x:row>
    <x:row r="3132">
      <x:c r="A3132" t="str">
        <x:v>ZS-DC3566D157B6</x:v>
      </x:c>
      <x:c r="B3132"/>
      <x:c r="C3132"/>
      <x:c r="D3132"/>
      <x:c r="E3132"/>
      <x:c r="F3132"/>
      <x:c r="G3132"/>
      <x:c r="H3132"/>
      <x:c r="I3132"/>
      <x:c r="J3132"/>
    </x:row>
    <x:row r="3133">
      <x:c r="A3133" t="str">
        <x:v>ZS-64459089CCA5</x:v>
      </x:c>
      <x:c r="B3133"/>
      <x:c r="C3133"/>
      <x:c r="D3133"/>
      <x:c r="E3133"/>
      <x:c r="F3133"/>
      <x:c r="G3133"/>
      <x:c r="H3133"/>
      <x:c r="I3133"/>
      <x:c r="J3133"/>
    </x:row>
    <x:row r="3134">
      <x:c r="A3134" t="str">
        <x:v>ZS-6D0283EB8965</x:v>
      </x:c>
      <x:c r="B3134"/>
      <x:c r="C3134"/>
      <x:c r="D3134"/>
      <x:c r="E3134"/>
      <x:c r="F3134"/>
      <x:c r="G3134"/>
      <x:c r="H3134"/>
      <x:c r="I3134"/>
      <x:c r="J3134"/>
    </x:row>
    <x:row r="3135">
      <x:c r="A3135" t="str">
        <x:v>ZS-F16B88714F05</x:v>
      </x:c>
      <x:c r="B3135"/>
      <x:c r="C3135"/>
      <x:c r="D3135"/>
      <x:c r="E3135"/>
      <x:c r="F3135"/>
      <x:c r="G3135"/>
      <x:c r="H3135"/>
      <x:c r="I3135"/>
      <x:c r="J3135"/>
    </x:row>
    <x:row r="3136">
      <x:c r="A3136" t="str">
        <x:v>ZS-110A232B41EC</x:v>
      </x:c>
      <x:c r="B3136"/>
      <x:c r="C3136"/>
      <x:c r="D3136"/>
      <x:c r="E3136"/>
      <x:c r="F3136"/>
      <x:c r="G3136"/>
      <x:c r="H3136"/>
      <x:c r="I3136"/>
      <x:c r="J3136"/>
    </x:row>
    <x:row r="3137">
      <x:c r="A3137" t="str">
        <x:v>ZS-FA78B05B41EC</x:v>
      </x:c>
      <x:c r="B3137"/>
      <x:c r="C3137"/>
      <x:c r="D3137"/>
      <x:c r="E3137"/>
      <x:c r="F3137"/>
      <x:c r="G3137"/>
      <x:c r="H3137"/>
      <x:c r="I3137"/>
      <x:c r="J3137"/>
    </x:row>
    <x:row r="3138">
      <x:c r="A3138" t="str">
        <x:v>ZS-30CF2E6FE257</x:v>
      </x:c>
      <x:c r="B3138"/>
      <x:c r="C3138"/>
      <x:c r="D3138"/>
      <x:c r="E3138"/>
      <x:c r="F3138"/>
      <x:c r="G3138"/>
      <x:c r="H3138"/>
      <x:c r="I3138"/>
      <x:c r="J3138"/>
    </x:row>
    <x:row r="3139">
      <x:c r="A3139" t="str">
        <x:v>ZS-1C469864C5AE</x:v>
      </x:c>
      <x:c r="B3139"/>
      <x:c r="C3139"/>
      <x:c r="D3139"/>
      <x:c r="E3139"/>
      <x:c r="F3139"/>
      <x:c r="G3139"/>
      <x:c r="H3139"/>
      <x:c r="I3139"/>
      <x:c r="J3139"/>
    </x:row>
    <x:row r="3140">
      <x:c r="A3140" t="str">
        <x:v>ZS-AE237FE0BE3D</x:v>
      </x:c>
      <x:c r="B3140"/>
      <x:c r="C3140"/>
      <x:c r="D3140"/>
      <x:c r="E3140"/>
      <x:c r="F3140"/>
      <x:c r="G3140"/>
      <x:c r="H3140"/>
      <x:c r="I3140"/>
      <x:c r="J3140"/>
    </x:row>
    <x:row r="3141">
      <x:c r="A3141" t="str">
        <x:v>ZS-E7337D33433F</x:v>
      </x:c>
      <x:c r="B3141"/>
      <x:c r="C3141"/>
      <x:c r="D3141"/>
      <x:c r="E3141"/>
      <x:c r="F3141"/>
      <x:c r="G3141"/>
      <x:c r="H3141"/>
      <x:c r="I3141"/>
      <x:c r="J3141"/>
    </x:row>
    <x:row r="3142">
      <x:c r="A3142" t="str">
        <x:v>ZS-9E43F6A9C177</x:v>
      </x:c>
      <x:c r="B3142"/>
      <x:c r="C3142"/>
      <x:c r="D3142"/>
      <x:c r="E3142"/>
      <x:c r="F3142"/>
      <x:c r="G3142"/>
      <x:c r="H3142"/>
      <x:c r="I3142"/>
      <x:c r="J3142"/>
    </x:row>
    <x:row r="3143">
      <x:c r="A3143" t="str">
        <x:v>ZS-E3AD54E87DCE</x:v>
      </x:c>
      <x:c r="B3143"/>
      <x:c r="C3143"/>
      <x:c r="D3143"/>
      <x:c r="E3143"/>
      <x:c r="F3143"/>
      <x:c r="G3143"/>
      <x:c r="H3143"/>
      <x:c r="I3143"/>
      <x:c r="J3143"/>
    </x:row>
    <x:row r="3144">
      <x:c r="A3144" t="str">
        <x:v>ZS-FB1D2EEF9CA6</x:v>
      </x:c>
      <x:c r="B3144"/>
      <x:c r="C3144"/>
      <x:c r="D3144"/>
      <x:c r="E3144"/>
      <x:c r="F3144"/>
      <x:c r="G3144"/>
      <x:c r="H3144"/>
      <x:c r="I3144"/>
      <x:c r="J3144"/>
    </x:row>
    <x:row r="3145">
      <x:c r="A3145" t="str">
        <x:v>ZS-5BB49FB18500</x:v>
      </x:c>
      <x:c r="B3145"/>
      <x:c r="C3145"/>
      <x:c r="D3145"/>
      <x:c r="E3145"/>
      <x:c r="F3145"/>
      <x:c r="G3145"/>
      <x:c r="H3145"/>
      <x:c r="I3145"/>
      <x:c r="J3145"/>
    </x:row>
    <x:row r="3146">
      <x:c r="A3146" t="str">
        <x:v>ZS-0650E192E44F</x:v>
      </x:c>
      <x:c r="B3146"/>
      <x:c r="C3146"/>
      <x:c r="D3146"/>
      <x:c r="E3146"/>
      <x:c r="F3146"/>
      <x:c r="G3146"/>
      <x:c r="H3146"/>
      <x:c r="I3146"/>
      <x:c r="J3146"/>
    </x:row>
    <x:row r="3147">
      <x:c r="A3147" t="str">
        <x:v>ZS-3A8EEA5E7000</x:v>
      </x:c>
      <x:c r="B3147"/>
      <x:c r="C3147"/>
      <x:c r="D3147"/>
      <x:c r="E3147"/>
      <x:c r="F3147"/>
      <x:c r="G3147"/>
      <x:c r="H3147"/>
      <x:c r="I3147"/>
      <x:c r="J3147"/>
    </x:row>
    <x:row r="3148">
      <x:c r="A3148" t="str">
        <x:v>ZS-8FAEBEDFF2A7</x:v>
      </x:c>
      <x:c r="B3148"/>
      <x:c r="C3148"/>
      <x:c r="D3148"/>
      <x:c r="E3148"/>
      <x:c r="F3148"/>
      <x:c r="G3148"/>
      <x:c r="H3148"/>
      <x:c r="I3148"/>
      <x:c r="J3148"/>
    </x:row>
    <x:row r="3149">
      <x:c r="A3149" t="str">
        <x:v>ZS-56D86C8CF4CB</x:v>
      </x:c>
      <x:c r="B3149"/>
      <x:c r="C3149"/>
      <x:c r="D3149"/>
      <x:c r="E3149"/>
      <x:c r="F3149"/>
      <x:c r="G3149"/>
      <x:c r="H3149"/>
      <x:c r="I3149"/>
      <x:c r="J3149"/>
    </x:row>
    <x:row r="3150">
      <x:c r="A3150" t="str">
        <x:v>ZS-596A5F3B9BD8</x:v>
      </x:c>
      <x:c r="B3150"/>
      <x:c r="C3150"/>
      <x:c r="D3150"/>
      <x:c r="E3150"/>
      <x:c r="F3150"/>
      <x:c r="G3150"/>
      <x:c r="H3150"/>
      <x:c r="I3150"/>
      <x:c r="J3150"/>
    </x:row>
    <x:row r="3151">
      <x:c r="A3151" t="str">
        <x:v>ZS-AAA84DF89569</x:v>
      </x:c>
      <x:c r="B3151"/>
      <x:c r="C3151"/>
      <x:c r="D3151"/>
      <x:c r="E3151"/>
      <x:c r="F3151"/>
      <x:c r="G3151"/>
      <x:c r="H3151"/>
      <x:c r="I3151"/>
      <x:c r="J3151"/>
    </x:row>
    <x:row r="3152">
      <x:c r="A3152" t="str">
        <x:v>ZS-B280432CD913</x:v>
      </x:c>
      <x:c r="B3152"/>
      <x:c r="C3152"/>
      <x:c r="D3152"/>
      <x:c r="E3152"/>
      <x:c r="F3152"/>
      <x:c r="G3152"/>
      <x:c r="H3152"/>
      <x:c r="I3152"/>
      <x:c r="J3152"/>
    </x:row>
    <x:row r="3153">
      <x:c r="A3153" t="str">
        <x:v>ZS-44834186638C</x:v>
      </x:c>
      <x:c r="B3153"/>
      <x:c r="C3153"/>
      <x:c r="D3153"/>
      <x:c r="E3153"/>
      <x:c r="F3153"/>
      <x:c r="G3153"/>
      <x:c r="H3153"/>
      <x:c r="I3153"/>
      <x:c r="J3153"/>
    </x:row>
    <x:row r="3154">
      <x:c r="A3154" t="str">
        <x:v>ZS-B8D080BFE6E5</x:v>
      </x:c>
      <x:c r="B3154"/>
      <x:c r="C3154"/>
      <x:c r="D3154"/>
      <x:c r="E3154"/>
      <x:c r="F3154"/>
      <x:c r="G3154"/>
      <x:c r="H3154"/>
      <x:c r="I3154"/>
      <x:c r="J3154"/>
    </x:row>
    <x:row r="3155">
      <x:c r="A3155" t="str">
        <x:v>ZS-2381853DA45A</x:v>
      </x:c>
      <x:c r="B3155"/>
      <x:c r="C3155"/>
      <x:c r="D3155"/>
      <x:c r="E3155"/>
      <x:c r="F3155"/>
      <x:c r="G3155"/>
      <x:c r="H3155"/>
      <x:c r="I3155"/>
      <x:c r="J3155"/>
    </x:row>
    <x:row r="3156">
      <x:c r="A3156" t="str">
        <x:v>ZS-3577649CD069</x:v>
      </x:c>
      <x:c r="B3156"/>
      <x:c r="C3156"/>
      <x:c r="D3156"/>
      <x:c r="E3156"/>
      <x:c r="F3156"/>
      <x:c r="G3156"/>
      <x:c r="H3156"/>
      <x:c r="I3156"/>
      <x:c r="J3156"/>
    </x:row>
    <x:row r="3157">
      <x:c r="A3157" t="str">
        <x:v>ZS-1AE701C1A7AE</x:v>
      </x:c>
      <x:c r="B3157"/>
      <x:c r="C3157"/>
      <x:c r="D3157"/>
      <x:c r="E3157"/>
      <x:c r="F3157"/>
      <x:c r="G3157"/>
      <x:c r="H3157"/>
      <x:c r="I3157"/>
      <x:c r="J3157"/>
    </x:row>
    <x:row r="3158">
      <x:c r="A3158" t="str">
        <x:v>ZS-F88F0236C9F3</x:v>
      </x:c>
      <x:c r="B3158"/>
      <x:c r="C3158"/>
      <x:c r="D3158"/>
      <x:c r="E3158"/>
      <x:c r="F3158"/>
      <x:c r="G3158"/>
      <x:c r="H3158"/>
      <x:c r="I3158"/>
      <x:c r="J3158"/>
    </x:row>
    <x:row r="3159">
      <x:c r="A3159" t="str">
        <x:v>ZS-A43ACA8AD62E</x:v>
      </x:c>
      <x:c r="B3159"/>
      <x:c r="C3159"/>
      <x:c r="D3159"/>
      <x:c r="E3159"/>
      <x:c r="F3159"/>
      <x:c r="G3159"/>
      <x:c r="H3159"/>
      <x:c r="I3159"/>
      <x:c r="J3159"/>
    </x:row>
    <x:row r="3160">
      <x:c r="A3160" t="str">
        <x:v>ZS-54A4C4F80433</x:v>
      </x:c>
      <x:c r="B3160"/>
      <x:c r="C3160"/>
      <x:c r="D3160"/>
      <x:c r="E3160"/>
      <x:c r="F3160"/>
      <x:c r="G3160"/>
      <x:c r="H3160"/>
      <x:c r="I3160"/>
      <x:c r="J3160"/>
    </x:row>
    <x:row r="3161">
      <x:c r="A3161" t="str">
        <x:v>ZS-F88BD48EBE57</x:v>
      </x:c>
      <x:c r="B3161"/>
      <x:c r="C3161"/>
      <x:c r="D3161"/>
      <x:c r="E3161"/>
      <x:c r="F3161"/>
      <x:c r="G3161"/>
      <x:c r="H3161"/>
      <x:c r="I3161"/>
      <x:c r="J3161"/>
    </x:row>
    <x:row r="3162">
      <x:c r="A3162" t="str">
        <x:v>ZS-5352009BAF67</x:v>
      </x:c>
      <x:c r="B3162"/>
      <x:c r="C3162"/>
      <x:c r="D3162"/>
      <x:c r="E3162"/>
      <x:c r="F3162"/>
      <x:c r="G3162"/>
      <x:c r="H3162"/>
      <x:c r="I3162"/>
      <x:c r="J3162"/>
    </x:row>
    <x:row r="3163">
      <x:c r="A3163" t="str">
        <x:v>ZS-69ED1AD931EC</x:v>
      </x:c>
      <x:c r="B3163"/>
      <x:c r="C3163"/>
      <x:c r="D3163"/>
      <x:c r="E3163"/>
      <x:c r="F3163"/>
      <x:c r="G3163"/>
      <x:c r="H3163"/>
      <x:c r="I3163"/>
      <x:c r="J3163"/>
    </x:row>
    <x:row r="3164">
      <x:c r="A3164" t="str">
        <x:v>ZS-662F187F1877</x:v>
      </x:c>
      <x:c r="B3164"/>
      <x:c r="C3164"/>
      <x:c r="D3164"/>
      <x:c r="E3164"/>
      <x:c r="F3164"/>
      <x:c r="G3164"/>
      <x:c r="H3164"/>
      <x:c r="I3164"/>
      <x:c r="J3164"/>
    </x:row>
    <x:row r="3165">
      <x:c r="A3165" t="str">
        <x:v>ZS-68C39215EFAA</x:v>
      </x:c>
      <x:c r="B3165"/>
      <x:c r="C3165"/>
      <x:c r="D3165"/>
      <x:c r="E3165"/>
      <x:c r="F3165"/>
      <x:c r="G3165"/>
      <x:c r="H3165"/>
      <x:c r="I3165"/>
      <x:c r="J3165"/>
    </x:row>
    <x:row r="3166">
      <x:c r="A3166" t="str">
        <x:v>ZS-D8956AA81436</x:v>
      </x:c>
      <x:c r="B3166"/>
      <x:c r="C3166"/>
      <x:c r="D3166"/>
      <x:c r="E3166"/>
      <x:c r="F3166"/>
      <x:c r="G3166"/>
      <x:c r="H3166"/>
      <x:c r="I3166"/>
      <x:c r="J3166"/>
    </x:row>
    <x:row r="3167">
      <x:c r="A3167" t="str">
        <x:v>ZS-F45E81EF89DA</x:v>
      </x:c>
      <x:c r="B3167"/>
      <x:c r="C3167"/>
      <x:c r="D3167"/>
      <x:c r="E3167"/>
      <x:c r="F3167"/>
      <x:c r="G3167"/>
      <x:c r="H3167"/>
      <x:c r="I3167"/>
      <x:c r="J3167"/>
    </x:row>
    <x:row r="3168">
      <x:c r="A3168" t="str">
        <x:v>ZS-8EA479FFB19C</x:v>
      </x:c>
      <x:c r="B3168"/>
      <x:c r="C3168"/>
      <x:c r="D3168"/>
      <x:c r="E3168"/>
      <x:c r="F3168"/>
      <x:c r="G3168"/>
      <x:c r="H3168"/>
      <x:c r="I3168"/>
      <x:c r="J3168"/>
    </x:row>
    <x:row r="3169">
      <x:c r="A3169" t="str">
        <x:v>ZS-AFE7C0486137</x:v>
      </x:c>
      <x:c r="B3169"/>
      <x:c r="C3169"/>
      <x:c r="D3169"/>
      <x:c r="E3169"/>
      <x:c r="F3169"/>
      <x:c r="G3169"/>
      <x:c r="H3169"/>
      <x:c r="I3169"/>
      <x:c r="J3169"/>
    </x:row>
    <x:row r="3170">
      <x:c r="A3170" t="str">
        <x:v>ZS-84F03754809E</x:v>
      </x:c>
      <x:c r="B3170"/>
      <x:c r="C3170"/>
      <x:c r="D3170"/>
      <x:c r="E3170"/>
      <x:c r="F3170"/>
      <x:c r="G3170"/>
      <x:c r="H3170"/>
      <x:c r="I3170"/>
      <x:c r="J3170"/>
    </x:row>
    <x:row r="3171">
      <x:c r="A3171" t="str">
        <x:v>ZS-52E2CEB2526B</x:v>
      </x:c>
      <x:c r="B3171"/>
      <x:c r="C3171"/>
      <x:c r="D3171"/>
      <x:c r="E3171"/>
      <x:c r="F3171"/>
      <x:c r="G3171"/>
      <x:c r="H3171"/>
      <x:c r="I3171"/>
      <x:c r="J3171"/>
    </x:row>
    <x:row r="3172">
      <x:c r="A3172" t="str">
        <x:v>ZS-C8D804162E1E</x:v>
      </x:c>
      <x:c r="B3172"/>
      <x:c r="C3172"/>
      <x:c r="D3172"/>
      <x:c r="E3172"/>
      <x:c r="F3172"/>
      <x:c r="G3172"/>
      <x:c r="H3172"/>
      <x:c r="I3172"/>
      <x:c r="J3172"/>
    </x:row>
    <x:row r="3173">
      <x:c r="A3173" t="str">
        <x:v>ZS-550B49BE4E93</x:v>
      </x:c>
      <x:c r="B3173"/>
      <x:c r="C3173"/>
      <x:c r="D3173"/>
      <x:c r="E3173"/>
      <x:c r="F3173"/>
      <x:c r="G3173"/>
      <x:c r="H3173"/>
      <x:c r="I3173"/>
      <x:c r="J3173"/>
    </x:row>
    <x:row r="3174">
      <x:c r="A3174" t="str">
        <x:v>ZS-20678FD3D4B7</x:v>
      </x:c>
      <x:c r="B3174"/>
      <x:c r="C3174"/>
      <x:c r="D3174"/>
      <x:c r="E3174"/>
      <x:c r="F3174"/>
      <x:c r="G3174"/>
      <x:c r="H3174"/>
      <x:c r="I3174"/>
      <x:c r="J3174"/>
    </x:row>
    <x:row r="3175">
      <x:c r="A3175" t="str">
        <x:v>ZS-976654DD0F46</x:v>
      </x:c>
      <x:c r="B3175"/>
      <x:c r="C3175"/>
      <x:c r="D3175"/>
      <x:c r="E3175"/>
      <x:c r="F3175"/>
      <x:c r="G3175"/>
      <x:c r="H3175"/>
      <x:c r="I3175"/>
      <x:c r="J3175"/>
    </x:row>
    <x:row r="3176">
      <x:c r="A3176" t="str">
        <x:v>ZS-850DE9787F6A</x:v>
      </x:c>
      <x:c r="B3176"/>
      <x:c r="C3176"/>
      <x:c r="D3176"/>
      <x:c r="E3176"/>
      <x:c r="F3176"/>
      <x:c r="G3176"/>
      <x:c r="H3176"/>
      <x:c r="I3176"/>
      <x:c r="J3176"/>
    </x:row>
    <x:row r="3177">
      <x:c r="A3177" t="str">
        <x:v>ZS-EDB7232C4E95</x:v>
      </x:c>
      <x:c r="B3177"/>
      <x:c r="C3177"/>
      <x:c r="D3177"/>
      <x:c r="E3177"/>
      <x:c r="F3177"/>
      <x:c r="G3177"/>
      <x:c r="H3177"/>
      <x:c r="I3177"/>
      <x:c r="J3177"/>
    </x:row>
    <x:row r="3178">
      <x:c r="A3178" t="str">
        <x:v>ZS-D9049A0B2403</x:v>
      </x:c>
      <x:c r="B3178"/>
      <x:c r="C3178"/>
      <x:c r="D3178"/>
      <x:c r="E3178"/>
      <x:c r="F3178"/>
      <x:c r="G3178"/>
      <x:c r="H3178"/>
      <x:c r="I3178"/>
      <x:c r="J3178"/>
    </x:row>
    <x:row r="3179">
      <x:c r="A3179" t="str">
        <x:v>ZS-48DCE69EBA05</x:v>
      </x:c>
      <x:c r="B3179"/>
      <x:c r="C3179"/>
      <x:c r="D3179"/>
      <x:c r="E3179"/>
      <x:c r="F3179"/>
      <x:c r="G3179"/>
      <x:c r="H3179"/>
      <x:c r="I3179"/>
      <x:c r="J3179"/>
    </x:row>
    <x:row r="3180">
      <x:c r="A3180" t="str">
        <x:v>ZS-A901DD61E27E</x:v>
      </x:c>
      <x:c r="B3180"/>
      <x:c r="C3180"/>
      <x:c r="D3180"/>
      <x:c r="E3180"/>
      <x:c r="F3180"/>
      <x:c r="G3180"/>
      <x:c r="H3180"/>
      <x:c r="I3180"/>
      <x:c r="J3180"/>
    </x:row>
    <x:row r="3181">
      <x:c r="A3181" t="str">
        <x:v>ZS-B3952E87C202</x:v>
      </x:c>
      <x:c r="B3181"/>
      <x:c r="C3181"/>
      <x:c r="D3181"/>
      <x:c r="E3181"/>
      <x:c r="F3181"/>
      <x:c r="G3181"/>
      <x:c r="H3181"/>
      <x:c r="I3181"/>
      <x:c r="J3181"/>
    </x:row>
    <x:row r="3182">
      <x:c r="A3182" t="str">
        <x:v>ZS-A6A1C030867E</x:v>
      </x:c>
      <x:c r="B3182"/>
      <x:c r="C3182"/>
      <x:c r="D3182"/>
      <x:c r="E3182"/>
      <x:c r="F3182"/>
      <x:c r="G3182"/>
      <x:c r="H3182"/>
      <x:c r="I3182"/>
      <x:c r="J3182"/>
    </x:row>
    <x:row r="3183">
      <x:c r="A3183" t="str">
        <x:v>ZS-FA367702E637</x:v>
      </x:c>
      <x:c r="B3183"/>
      <x:c r="C3183"/>
      <x:c r="D3183"/>
      <x:c r="E3183"/>
      <x:c r="F3183"/>
      <x:c r="G3183"/>
      <x:c r="H3183"/>
      <x:c r="I3183"/>
      <x:c r="J3183"/>
    </x:row>
    <x:row r="3184">
      <x:c r="A3184" t="str">
        <x:v>ZS-5D6DB296F3D1</x:v>
      </x:c>
      <x:c r="B3184"/>
      <x:c r="C3184"/>
      <x:c r="D3184"/>
      <x:c r="E3184"/>
      <x:c r="F3184"/>
      <x:c r="G3184"/>
      <x:c r="H3184"/>
      <x:c r="I3184"/>
      <x:c r="J3184"/>
    </x:row>
    <x:row r="3185">
      <x:c r="A3185" t="str">
        <x:v>ZS-392A34BE2CDC</x:v>
      </x:c>
      <x:c r="B3185"/>
      <x:c r="C3185"/>
      <x:c r="D3185"/>
      <x:c r="E3185"/>
      <x:c r="F3185"/>
      <x:c r="G3185"/>
      <x:c r="H3185"/>
      <x:c r="I3185"/>
      <x:c r="J3185"/>
    </x:row>
    <x:row r="3186">
      <x:c r="A3186" t="str">
        <x:v>ZS-C295CC88FA7C</x:v>
      </x:c>
      <x:c r="B3186"/>
      <x:c r="C3186"/>
      <x:c r="D3186"/>
      <x:c r="E3186"/>
      <x:c r="F3186"/>
      <x:c r="G3186"/>
      <x:c r="H3186"/>
      <x:c r="I3186"/>
      <x:c r="J3186"/>
    </x:row>
    <x:row r="3187">
      <x:c r="A3187" t="str">
        <x:v>ZS-16F80D230214</x:v>
      </x:c>
      <x:c r="B3187"/>
      <x:c r="C3187"/>
      <x:c r="D3187"/>
      <x:c r="E3187"/>
      <x:c r="F3187"/>
      <x:c r="G3187"/>
      <x:c r="H3187"/>
      <x:c r="I3187"/>
      <x:c r="J3187"/>
    </x:row>
    <x:row r="3188">
      <x:c r="A3188" t="str">
        <x:v>ZS-94FC7FE75210</x:v>
      </x:c>
      <x:c r="B3188"/>
      <x:c r="C3188"/>
      <x:c r="D3188"/>
      <x:c r="E3188"/>
      <x:c r="F3188"/>
      <x:c r="G3188"/>
      <x:c r="H3188"/>
      <x:c r="I3188"/>
      <x:c r="J3188"/>
    </x:row>
    <x:row r="3189">
      <x:c r="A3189" t="str">
        <x:v>ZS-3EEBFF79B9CE</x:v>
      </x:c>
      <x:c r="B3189"/>
      <x:c r="C3189"/>
      <x:c r="D3189"/>
      <x:c r="E3189"/>
      <x:c r="F3189"/>
      <x:c r="G3189"/>
      <x:c r="H3189"/>
      <x:c r="I3189"/>
      <x:c r="J3189"/>
    </x:row>
    <x:row r="3190">
      <x:c r="A3190" t="str">
        <x:v>ZS-77057EA18A95</x:v>
      </x:c>
      <x:c r="B3190"/>
      <x:c r="C3190"/>
      <x:c r="D3190"/>
      <x:c r="E3190"/>
      <x:c r="F3190"/>
      <x:c r="G3190"/>
      <x:c r="H3190"/>
      <x:c r="I3190"/>
      <x:c r="J3190"/>
    </x:row>
    <x:row r="3191">
      <x:c r="A3191" t="str">
        <x:v>ZS-3D8358AFFD40</x:v>
      </x:c>
      <x:c r="B3191"/>
      <x:c r="C3191"/>
      <x:c r="D3191"/>
      <x:c r="E3191"/>
      <x:c r="F3191"/>
      <x:c r="G3191"/>
      <x:c r="H3191"/>
      <x:c r="I3191"/>
      <x:c r="J3191"/>
    </x:row>
    <x:row r="3192">
      <x:c r="A3192" t="str">
        <x:v>ZS-6198AE307DC8</x:v>
      </x:c>
      <x:c r="B3192"/>
      <x:c r="C3192"/>
      <x:c r="D3192"/>
      <x:c r="E3192"/>
      <x:c r="F3192"/>
      <x:c r="G3192"/>
      <x:c r="H3192"/>
      <x:c r="I3192"/>
      <x:c r="J3192"/>
    </x:row>
    <x:row r="3193">
      <x:c r="A3193" t="str">
        <x:v>ZS-585E91894C39</x:v>
      </x:c>
      <x:c r="B3193"/>
      <x:c r="C3193"/>
      <x:c r="D3193"/>
      <x:c r="E3193"/>
      <x:c r="F3193"/>
      <x:c r="G3193"/>
      <x:c r="H3193"/>
      <x:c r="I3193"/>
      <x:c r="J3193"/>
    </x:row>
    <x:row r="3194">
      <x:c r="A3194" t="str">
        <x:v>ZS-E12759829DA8</x:v>
      </x:c>
      <x:c r="B3194"/>
      <x:c r="C3194"/>
      <x:c r="D3194"/>
      <x:c r="E3194"/>
      <x:c r="F3194"/>
      <x:c r="G3194"/>
      <x:c r="H3194"/>
      <x:c r="I3194"/>
      <x:c r="J3194"/>
    </x:row>
    <x:row r="3195">
      <x:c r="A3195" t="str">
        <x:v>ZS-B66CCE75157B</x:v>
      </x:c>
      <x:c r="B3195"/>
      <x:c r="C3195"/>
      <x:c r="D3195"/>
      <x:c r="E3195"/>
      <x:c r="F3195"/>
      <x:c r="G3195"/>
      <x:c r="H3195"/>
      <x:c r="I3195"/>
      <x:c r="J3195"/>
    </x:row>
    <x:row r="3196">
      <x:c r="A3196" t="str">
        <x:v>ZS-30518C809DC1</x:v>
      </x:c>
      <x:c r="B3196"/>
      <x:c r="C3196"/>
      <x:c r="D3196"/>
      <x:c r="E3196"/>
      <x:c r="F3196"/>
      <x:c r="G3196"/>
      <x:c r="H3196"/>
      <x:c r="I3196"/>
      <x:c r="J3196"/>
    </x:row>
    <x:row r="3197">
      <x:c r="A3197" t="str">
        <x:v>ZS-BCE2072EA295</x:v>
      </x:c>
      <x:c r="B3197"/>
      <x:c r="C3197"/>
      <x:c r="D3197"/>
      <x:c r="E3197"/>
      <x:c r="F3197"/>
      <x:c r="G3197"/>
      <x:c r="H3197"/>
      <x:c r="I3197"/>
      <x:c r="J3197"/>
    </x:row>
    <x:row r="3198">
      <x:c r="A3198" t="str">
        <x:v>ZS-171EE231D898</x:v>
      </x:c>
      <x:c r="B3198"/>
      <x:c r="C3198"/>
      <x:c r="D3198"/>
      <x:c r="E3198"/>
      <x:c r="F3198"/>
      <x:c r="G3198"/>
      <x:c r="H3198"/>
      <x:c r="I3198"/>
      <x:c r="J3198"/>
    </x:row>
    <x:row r="3199">
      <x:c r="A3199" t="str">
        <x:v>ZS-958248D9B7ED</x:v>
      </x:c>
      <x:c r="B3199"/>
      <x:c r="C3199"/>
      <x:c r="D3199"/>
      <x:c r="E3199"/>
      <x:c r="F3199"/>
      <x:c r="G3199"/>
      <x:c r="H3199"/>
      <x:c r="I3199"/>
      <x:c r="J3199"/>
    </x:row>
    <x:row r="3200">
      <x:c r="A3200" t="str">
        <x:v>ZS-13E37A8D965C</x:v>
      </x:c>
      <x:c r="B3200"/>
      <x:c r="C3200"/>
      <x:c r="D3200"/>
      <x:c r="E3200"/>
      <x:c r="F3200"/>
      <x:c r="G3200"/>
      <x:c r="H3200"/>
      <x:c r="I3200"/>
      <x:c r="J3200"/>
    </x:row>
    <x:row r="3201">
      <x:c r="A3201" t="str">
        <x:v>ZS-4EE4E116F1B5</x:v>
      </x:c>
      <x:c r="B3201"/>
      <x:c r="C3201"/>
      <x:c r="D3201"/>
      <x:c r="E3201"/>
      <x:c r="F3201"/>
      <x:c r="G3201"/>
      <x:c r="H3201"/>
      <x:c r="I3201"/>
      <x:c r="J3201"/>
    </x:row>
    <x:row r="3202">
      <x:c r="A3202" t="str">
        <x:v>ZS-2A98E3C391C6</x:v>
      </x:c>
      <x:c r="B3202"/>
      <x:c r="C3202"/>
      <x:c r="D3202"/>
      <x:c r="E3202"/>
      <x:c r="F3202"/>
      <x:c r="G3202"/>
      <x:c r="H3202"/>
      <x:c r="I3202"/>
      <x:c r="J3202"/>
    </x:row>
    <x:row r="3203">
      <x:c r="A3203" t="str">
        <x:v>ZS-C3F4B205114D</x:v>
      </x:c>
      <x:c r="B3203"/>
      <x:c r="C3203"/>
      <x:c r="D3203"/>
      <x:c r="E3203"/>
      <x:c r="F3203"/>
      <x:c r="G3203"/>
      <x:c r="H3203"/>
      <x:c r="I3203"/>
      <x:c r="J3203"/>
    </x:row>
    <x:row r="3204">
      <x:c r="A3204" t="str">
        <x:v>ZS-6960D43BB1A2</x:v>
      </x:c>
      <x:c r="B3204"/>
      <x:c r="C3204"/>
      <x:c r="D3204"/>
      <x:c r="E3204"/>
      <x:c r="F3204"/>
      <x:c r="G3204"/>
      <x:c r="H3204"/>
      <x:c r="I3204"/>
      <x:c r="J3204"/>
    </x:row>
    <x:row r="3205">
      <x:c r="A3205" t="str">
        <x:v>ZS-F1521651F4E3</x:v>
      </x:c>
      <x:c r="B3205"/>
      <x:c r="C3205"/>
      <x:c r="D3205"/>
      <x:c r="E3205"/>
      <x:c r="F3205"/>
      <x:c r="G3205"/>
      <x:c r="H3205"/>
      <x:c r="I3205"/>
      <x:c r="J3205"/>
    </x:row>
    <x:row r="3206">
      <x:c r="A3206" t="str">
        <x:v>ZS-D815AC80E79C</x:v>
      </x:c>
      <x:c r="B3206"/>
      <x:c r="C3206"/>
      <x:c r="D3206"/>
      <x:c r="E3206"/>
      <x:c r="F3206"/>
      <x:c r="G3206"/>
      <x:c r="H3206"/>
      <x:c r="I3206"/>
      <x:c r="J3206"/>
    </x:row>
    <x:row r="3207">
      <x:c r="A3207" t="str">
        <x:v>ZS-6DE8D0102FAD</x:v>
      </x:c>
      <x:c r="B3207"/>
      <x:c r="C3207"/>
      <x:c r="D3207"/>
      <x:c r="E3207"/>
      <x:c r="F3207"/>
      <x:c r="G3207"/>
      <x:c r="H3207"/>
      <x:c r="I3207"/>
      <x:c r="J3207"/>
    </x:row>
    <x:row r="3208">
      <x:c r="A3208" t="str">
        <x:v>ZS-D25C192F9AA3</x:v>
      </x:c>
      <x:c r="B3208"/>
      <x:c r="C3208"/>
      <x:c r="D3208"/>
      <x:c r="E3208"/>
      <x:c r="F3208"/>
      <x:c r="G3208"/>
      <x:c r="H3208"/>
      <x:c r="I3208"/>
      <x:c r="J3208"/>
    </x:row>
    <x:row r="3209">
      <x:c r="A3209" t="str">
        <x:v>ZS-95FE91FCECA9</x:v>
      </x:c>
      <x:c r="B3209"/>
      <x:c r="C3209"/>
      <x:c r="D3209"/>
      <x:c r="E3209"/>
      <x:c r="F3209"/>
      <x:c r="G3209"/>
      <x:c r="H3209"/>
      <x:c r="I3209"/>
      <x:c r="J3209"/>
    </x:row>
    <x:row r="3210">
      <x:c r="A3210" t="str">
        <x:v>ZS-D9E36F616E63</x:v>
      </x:c>
      <x:c r="B3210"/>
      <x:c r="C3210"/>
      <x:c r="D3210"/>
      <x:c r="E3210"/>
      <x:c r="F3210"/>
      <x:c r="G3210"/>
      <x:c r="H3210"/>
      <x:c r="I3210"/>
      <x:c r="J3210"/>
    </x:row>
    <x:row r="3211">
      <x:c r="A3211" t="str">
        <x:v>ZS-95B57D901DB6</x:v>
      </x:c>
      <x:c r="B3211"/>
      <x:c r="C3211"/>
      <x:c r="D3211"/>
      <x:c r="E3211"/>
      <x:c r="F3211"/>
      <x:c r="G3211"/>
      <x:c r="H3211"/>
      <x:c r="I3211"/>
      <x:c r="J3211"/>
    </x:row>
    <x:row r="3212">
      <x:c r="A3212" t="str">
        <x:v>ZS-AE7441DD1930</x:v>
      </x:c>
      <x:c r="B3212"/>
      <x:c r="C3212"/>
      <x:c r="D3212"/>
      <x:c r="E3212"/>
      <x:c r="F3212"/>
      <x:c r="G3212"/>
      <x:c r="H3212"/>
      <x:c r="I3212"/>
      <x:c r="J3212"/>
    </x:row>
    <x:row r="3213">
      <x:c r="A3213" t="str">
        <x:v>ZS-CE150AAA205B</x:v>
      </x:c>
      <x:c r="B3213"/>
      <x:c r="C3213"/>
      <x:c r="D3213"/>
      <x:c r="E3213"/>
      <x:c r="F3213"/>
      <x:c r="G3213"/>
      <x:c r="H3213"/>
      <x:c r="I3213"/>
      <x:c r="J3213"/>
    </x:row>
    <x:row r="3214">
      <x:c r="A3214" t="str">
        <x:v>ZS-1228EA4734C7</x:v>
      </x:c>
      <x:c r="B3214"/>
      <x:c r="C3214"/>
      <x:c r="D3214"/>
      <x:c r="E3214"/>
      <x:c r="F3214"/>
      <x:c r="G3214"/>
      <x:c r="H3214"/>
      <x:c r="I3214"/>
      <x:c r="J3214"/>
    </x:row>
    <x:row r="3215">
      <x:c r="A3215" t="str">
        <x:v>ZS-3240A3CD3954</x:v>
      </x:c>
      <x:c r="B3215"/>
      <x:c r="C3215"/>
      <x:c r="D3215"/>
      <x:c r="E3215"/>
      <x:c r="F3215"/>
      <x:c r="G3215"/>
      <x:c r="H3215"/>
      <x:c r="I3215"/>
      <x:c r="J3215"/>
    </x:row>
    <x:row r="3216">
      <x:c r="A3216" t="str">
        <x:v>ZS-B48C8933CF5B</x:v>
      </x:c>
      <x:c r="B3216"/>
      <x:c r="C3216"/>
      <x:c r="D3216"/>
      <x:c r="E3216"/>
      <x:c r="F3216"/>
      <x:c r="G3216"/>
      <x:c r="H3216"/>
      <x:c r="I3216"/>
      <x:c r="J3216"/>
    </x:row>
    <x:row r="3217">
      <x:c r="A3217" t="str">
        <x:v>ZS-5DDE1722D79F</x:v>
      </x:c>
      <x:c r="B3217"/>
      <x:c r="C3217"/>
      <x:c r="D3217"/>
      <x:c r="E3217"/>
      <x:c r="F3217"/>
      <x:c r="G3217"/>
      <x:c r="H3217"/>
      <x:c r="I3217"/>
      <x:c r="J3217"/>
    </x:row>
    <x:row r="3218">
      <x:c r="A3218" t="str">
        <x:v>ZS-023423772D3C</x:v>
      </x:c>
      <x:c r="B3218"/>
      <x:c r="C3218"/>
      <x:c r="D3218"/>
      <x:c r="E3218"/>
      <x:c r="F3218"/>
      <x:c r="G3218"/>
      <x:c r="H3218"/>
      <x:c r="I3218"/>
      <x:c r="J3218"/>
    </x:row>
    <x:row r="3219">
      <x:c r="A3219" t="str">
        <x:v>ZS-50C641763D78</x:v>
      </x:c>
      <x:c r="B3219"/>
      <x:c r="C3219"/>
      <x:c r="D3219"/>
      <x:c r="E3219"/>
      <x:c r="F3219"/>
      <x:c r="G3219"/>
      <x:c r="H3219"/>
      <x:c r="I3219"/>
      <x:c r="J321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7" hidden="0" customWidth="1"/>
    <x:col min="4" max="4" width="12" hidden="0" customWidth="1"/>
    <x:col min="5" max="5" width="13" hidden="0" customWidth="1"/>
    <x:col min="6" max="6" width="34" hidden="0" customWidth="1"/>
    <x:col min="7" max="7" width="26" hidden="0" customWidth="1"/>
    <x:col min="8" max="8" width="24" hidden="0" customWidth="1"/>
    <x:col min="9" max="9" width="30" hidden="0" customWidth="1"/>
    <x:col min="10" max="10" width="20" hidden="0" customWidth="1"/>
    <x:col min="11" max="11" width="15" hidden="0" customWidth="1"/>
    <x:col min="12" max="12" width="16" hidden="0" customWidth="1"/>
    <x:col min="13" max="13" width="38" hidden="0" customWidth="1"/>
    <x:col min="14" max="14" width="27" hidden="0" customWidth="1"/>
  </x:cols>
  <x:sheetData>
    <x:row r="1" ht="32" customHeight="1">
      <x:c r="A1" s="44" t="str">
        <x:v>ORÇAMENTO — DEMONSTRAÇÃO POR SKU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</x:row>
    <x:row r="3">
      <x:c r="A3" s="24" t="str">
        <x:v>Cliente</x:v>
      </x:c>
      <x:c r="B3" s="24"/>
      <x:c r="C3" s="24" t="str">
        <x:v>Data</x:v>
      </x:c>
      <x:c r="D3" s="26" t="n">
        <x:v>46301</x:v>
      </x:c>
      <x:c r="E3" s="24" t="str">
        <x:v>Vendedor</x:v>
      </x:c>
      <x:c r="F3" s="24"/>
      <x:c r="G3" s="24" t="str">
        <x:v>Observação</x:v>
      </x:c>
      <x:c r="H3" s="24"/>
    </x:row>
    <x:row r="5">
      <x:c r="A5" s="31" t="str">
        <x:v>Item</x:v>
      </x:c>
      <x:c r="B5" s="31" t="str">
        <x:v>SKU_ID</x:v>
      </x:c>
      <x:c r="C5" s="31" t="str">
        <x:v>Qtd</x:v>
      </x:c>
      <x:c r="D5" s="31" t="str">
        <x:v>Desconto %</x:v>
      </x:c>
      <x:c r="E5" s="31" t="str">
        <x:v>Marca</x:v>
      </x:c>
      <x:c r="F5" s="31" t="str">
        <x:v>Produto</x:v>
      </x:c>
      <x:c r="G5" s="31" t="str">
        <x:v>Opção</x:v>
      </x:c>
      <x:c r="H5" s="31" t="str">
        <x:v>Material / Índice</x:v>
      </x:c>
      <x:c r="I5" s="31" t="str">
        <x:v>Tratamento</x:v>
      </x:c>
      <x:c r="J5" s="31" t="str">
        <x:v>Disponibilidade</x:v>
      </x:c>
      <x:c r="K5" s="31" t="str">
        <x:v>Preço / par</x:v>
      </x:c>
      <x:c r="L5" s="31" t="str">
        <x:v>Total</x:v>
      </x:c>
      <x:c r="M5" s="31" t="str">
        <x:v>Restrição comercial</x:v>
      </x:c>
      <x:c r="N5" s="31" t="str">
        <x:v>Fonte / pág.</x:v>
      </x:c>
    </x:row>
    <x:row r="6">
      <x:c r="A6" s="24" t="n">
        <x:v>1</x:v>
      </x:c>
      <x:c r="B6" s="24"/>
      <x:c r="C6" s="24" t="n">
        <x:v>1</x:v>
      </x:c>
      <x:c r="D6" s="60" t="n">
        <x:v>0</x:v>
      </x:c>
      <x:c r="E6" s="24" t="str">
        <x:f>IFERROR(INDEX(EXPORT_WEB!$B$2:$B$3219,MATCH($B6,EXPORT_WEB!$A$2:$A$3219,0)),"")</x:f>
      </x:c>
      <x:c r="F6" s="24" t="str">
        <x:f>IFERROR(INDEX(EXPORT_WEB!$E$2:$E$3219,MATCH($B6,EXPORT_WEB!$A$2:$A$3219,0)),"")</x:f>
      </x:c>
      <x:c r="G6" s="24" t="str">
        <x:f>IFERROR(INDEX(EXPORT_WEB!$F$2:$F$3219,MATCH($B6,EXPORT_WEB!$A$2:$A$3219,0)),"")</x:f>
      </x:c>
      <x:c r="H6" s="24" t="str">
        <x:f>IFERROR(INDEX(EXPORT_WEB!$G$2:$G$3219,MATCH($B6,EXPORT_WEB!$A$2:$A$3219,0))&amp;IF(INDEX(EXPORT_WEB!$H$2:$H$3219,MATCH($B6,EXPORT_WEB!$A$2:$A$3219,0))="",""," / "&amp;INDEX(EXPORT_WEB!$H$2:$H$3219,MATCH($B6,EXPORT_WEB!$A$2:$A$3219,0))),"")</x:f>
      </x:c>
      <x:c r="I6" s="24" t="str">
        <x:f>IFERROR(INDEX(EXPORT_WEB!$I$2:$I$3219,MATCH($B6,EXPORT_WEB!$A$2:$A$3219,0)),"")</x:f>
      </x:c>
      <x:c r="J6" s="24" t="str">
        <x:f>IFERROR(INDEX(EXPORT_WEB!$Q$2:$Q$3219,MATCH($B6,EXPORT_WEB!$A$2:$A$3219,0)),"")</x:f>
      </x:c>
      <x:c r="K6" s="40" t="str">
        <x:f>IFERROR(INDEX(EXPORT_WEB!$J$2:$J$3219,MATCH($B6,EXPORT_WEB!$A$2:$A$3219,0)),"")</x:f>
      </x:c>
      <x:c r="L6" s="40" t="str">
        <x:f>IF($B6="","",$K6*$C6*(1-$D6))</x:f>
      </x:c>
      <x:c r="M6" s="24" t="str">
        <x:f>IFERROR(INDEX(EXPORT_WEB!$R$2:$R$3219,MATCH($B6,EXPORT_WEB!$A$2:$A$3219,0)),"")</x:f>
      </x:c>
      <x:c r="N6" s="24" t="str">
        <x:f>IFERROR(INDEX(EXPORT_WEB!$T$2:$T$3219,MATCH($B6,EXPORT_WEB!$A$2:$A$3219,0))&amp;" · p."&amp;INDEX(EXPORT_WEB!$S$2:$S$3219,MATCH($B6,EXPORT_WEB!$A$2:$A$3219,0)),"")</x:f>
      </x:c>
    </x:row>
    <x:row r="7">
      <x:c r="A7" s="24" t="n">
        <x:v>2</x:v>
      </x:c>
      <x:c r="B7" s="24"/>
      <x:c r="C7" s="24" t="n">
        <x:v>1</x:v>
      </x:c>
      <x:c r="D7" s="60" t="n">
        <x:v>0</x:v>
      </x:c>
      <x:c r="E7" s="24" t="str">
        <x:f>IFERROR(INDEX(EXPORT_WEB!$B$2:$B$3219,MATCH($B7,EXPORT_WEB!$A$2:$A$3219,0)),"")</x:f>
      </x:c>
      <x:c r="F7" s="24" t="str">
        <x:f>IFERROR(INDEX(EXPORT_WEB!$E$2:$E$3219,MATCH($B7,EXPORT_WEB!$A$2:$A$3219,0)),"")</x:f>
      </x:c>
      <x:c r="G7" s="24" t="str">
        <x:f>IFERROR(INDEX(EXPORT_WEB!$F$2:$F$3219,MATCH($B7,EXPORT_WEB!$A$2:$A$3219,0)),"")</x:f>
      </x:c>
      <x:c r="H7" s="24" t="str">
        <x:f>IFERROR(INDEX(EXPORT_WEB!$G$2:$G$3219,MATCH($B7,EXPORT_WEB!$A$2:$A$3219,0))&amp;IF(INDEX(EXPORT_WEB!$H$2:$H$3219,MATCH($B7,EXPORT_WEB!$A$2:$A$3219,0))="",""," / "&amp;INDEX(EXPORT_WEB!$H$2:$H$3219,MATCH($B7,EXPORT_WEB!$A$2:$A$3219,0))),"")</x:f>
      </x:c>
      <x:c r="I7" s="24" t="str">
        <x:f>IFERROR(INDEX(EXPORT_WEB!$I$2:$I$3219,MATCH($B7,EXPORT_WEB!$A$2:$A$3219,0)),"")</x:f>
      </x:c>
      <x:c r="J7" s="24" t="str">
        <x:f>IFERROR(INDEX(EXPORT_WEB!$Q$2:$Q$3219,MATCH($B7,EXPORT_WEB!$A$2:$A$3219,0)),"")</x:f>
      </x:c>
      <x:c r="K7" s="40" t="str">
        <x:f>IFERROR(INDEX(EXPORT_WEB!$J$2:$J$3219,MATCH($B7,EXPORT_WEB!$A$2:$A$3219,0)),"")</x:f>
      </x:c>
      <x:c r="L7" s="40" t="str">
        <x:f>IF($B7="","",$K7*$C7*(1-$D7))</x:f>
      </x:c>
      <x:c r="M7" s="24" t="str">
        <x:f>IFERROR(INDEX(EXPORT_WEB!$R$2:$R$3219,MATCH($B7,EXPORT_WEB!$A$2:$A$3219,0)),"")</x:f>
      </x:c>
      <x:c r="N7" s="24" t="str">
        <x:f>IFERROR(INDEX(EXPORT_WEB!$T$2:$T$3219,MATCH($B7,EXPORT_WEB!$A$2:$A$3219,0))&amp;" · p."&amp;INDEX(EXPORT_WEB!$S$2:$S$3219,MATCH($B7,EXPORT_WEB!$A$2:$A$3219,0)),"")</x:f>
      </x:c>
    </x:row>
    <x:row r="8">
      <x:c r="A8" s="24" t="n">
        <x:v>3</x:v>
      </x:c>
      <x:c r="B8" s="24"/>
      <x:c r="C8" s="24" t="n">
        <x:v>1</x:v>
      </x:c>
      <x:c r="D8" s="60" t="n">
        <x:v>0</x:v>
      </x:c>
      <x:c r="E8" s="24" t="str">
        <x:f>IFERROR(INDEX(EXPORT_WEB!$B$2:$B$3219,MATCH($B8,EXPORT_WEB!$A$2:$A$3219,0)),"")</x:f>
      </x:c>
      <x:c r="F8" s="24" t="str">
        <x:f>IFERROR(INDEX(EXPORT_WEB!$E$2:$E$3219,MATCH($B8,EXPORT_WEB!$A$2:$A$3219,0)),"")</x:f>
      </x:c>
      <x:c r="G8" s="24" t="str">
        <x:f>IFERROR(INDEX(EXPORT_WEB!$F$2:$F$3219,MATCH($B8,EXPORT_WEB!$A$2:$A$3219,0)),"")</x:f>
      </x:c>
      <x:c r="H8" s="24" t="str">
        <x:f>IFERROR(INDEX(EXPORT_WEB!$G$2:$G$3219,MATCH($B8,EXPORT_WEB!$A$2:$A$3219,0))&amp;IF(INDEX(EXPORT_WEB!$H$2:$H$3219,MATCH($B8,EXPORT_WEB!$A$2:$A$3219,0))="",""," / "&amp;INDEX(EXPORT_WEB!$H$2:$H$3219,MATCH($B8,EXPORT_WEB!$A$2:$A$3219,0))),"")</x:f>
      </x:c>
      <x:c r="I8" s="24" t="str">
        <x:f>IFERROR(INDEX(EXPORT_WEB!$I$2:$I$3219,MATCH($B8,EXPORT_WEB!$A$2:$A$3219,0)),"")</x:f>
      </x:c>
      <x:c r="J8" s="24" t="str">
        <x:f>IFERROR(INDEX(EXPORT_WEB!$Q$2:$Q$3219,MATCH($B8,EXPORT_WEB!$A$2:$A$3219,0)),"")</x:f>
      </x:c>
      <x:c r="K8" s="40" t="str">
        <x:f>IFERROR(INDEX(EXPORT_WEB!$J$2:$J$3219,MATCH($B8,EXPORT_WEB!$A$2:$A$3219,0)),"")</x:f>
      </x:c>
      <x:c r="L8" s="40" t="str">
        <x:f>IF($B8="","",$K8*$C8*(1-$D8))</x:f>
      </x:c>
      <x:c r="M8" s="24" t="str">
        <x:f>IFERROR(INDEX(EXPORT_WEB!$R$2:$R$3219,MATCH($B8,EXPORT_WEB!$A$2:$A$3219,0)),"")</x:f>
      </x:c>
      <x:c r="N8" s="24" t="str">
        <x:f>IFERROR(INDEX(EXPORT_WEB!$T$2:$T$3219,MATCH($B8,EXPORT_WEB!$A$2:$A$3219,0))&amp;" · p."&amp;INDEX(EXPORT_WEB!$S$2:$S$3219,MATCH($B8,EXPORT_WEB!$A$2:$A$3219,0)),"")</x:f>
      </x:c>
    </x:row>
    <x:row r="9">
      <x:c r="A9" s="24" t="n">
        <x:v>4</x:v>
      </x:c>
      <x:c r="B9" s="24"/>
      <x:c r="C9" s="24" t="n">
        <x:v>1</x:v>
      </x:c>
      <x:c r="D9" s="60" t="n">
        <x:v>0</x:v>
      </x:c>
      <x:c r="E9" s="24" t="str">
        <x:f>IFERROR(INDEX(EXPORT_WEB!$B$2:$B$3219,MATCH($B9,EXPORT_WEB!$A$2:$A$3219,0)),"")</x:f>
      </x:c>
      <x:c r="F9" s="24" t="str">
        <x:f>IFERROR(INDEX(EXPORT_WEB!$E$2:$E$3219,MATCH($B9,EXPORT_WEB!$A$2:$A$3219,0)),"")</x:f>
      </x:c>
      <x:c r="G9" s="24" t="str">
        <x:f>IFERROR(INDEX(EXPORT_WEB!$F$2:$F$3219,MATCH($B9,EXPORT_WEB!$A$2:$A$3219,0)),"")</x:f>
      </x:c>
      <x:c r="H9" s="24" t="str">
        <x:f>IFERROR(INDEX(EXPORT_WEB!$G$2:$G$3219,MATCH($B9,EXPORT_WEB!$A$2:$A$3219,0))&amp;IF(INDEX(EXPORT_WEB!$H$2:$H$3219,MATCH($B9,EXPORT_WEB!$A$2:$A$3219,0))="",""," / "&amp;INDEX(EXPORT_WEB!$H$2:$H$3219,MATCH($B9,EXPORT_WEB!$A$2:$A$3219,0))),"")</x:f>
      </x:c>
      <x:c r="I9" s="24" t="str">
        <x:f>IFERROR(INDEX(EXPORT_WEB!$I$2:$I$3219,MATCH($B9,EXPORT_WEB!$A$2:$A$3219,0)),"")</x:f>
      </x:c>
      <x:c r="J9" s="24" t="str">
        <x:f>IFERROR(INDEX(EXPORT_WEB!$Q$2:$Q$3219,MATCH($B9,EXPORT_WEB!$A$2:$A$3219,0)),"")</x:f>
      </x:c>
      <x:c r="K9" s="40" t="str">
        <x:f>IFERROR(INDEX(EXPORT_WEB!$J$2:$J$3219,MATCH($B9,EXPORT_WEB!$A$2:$A$3219,0)),"")</x:f>
      </x:c>
      <x:c r="L9" s="40" t="str">
        <x:f>IF($B9="","",$K9*$C9*(1-$D9))</x:f>
      </x:c>
      <x:c r="M9" s="24" t="str">
        <x:f>IFERROR(INDEX(EXPORT_WEB!$R$2:$R$3219,MATCH($B9,EXPORT_WEB!$A$2:$A$3219,0)),"")</x:f>
      </x:c>
      <x:c r="N9" s="24" t="str">
        <x:f>IFERROR(INDEX(EXPORT_WEB!$T$2:$T$3219,MATCH($B9,EXPORT_WEB!$A$2:$A$3219,0))&amp;" · p."&amp;INDEX(EXPORT_WEB!$S$2:$S$3219,MATCH($B9,EXPORT_WEB!$A$2:$A$3219,0)),"")</x:f>
      </x:c>
    </x:row>
    <x:row r="10">
      <x:c r="A10" s="24" t="n">
        <x:v>5</x:v>
      </x:c>
      <x:c r="B10" s="24"/>
      <x:c r="C10" s="24" t="n">
        <x:v>1</x:v>
      </x:c>
      <x:c r="D10" s="60" t="n">
        <x:v>0</x:v>
      </x:c>
      <x:c r="E10" s="24" t="str">
        <x:f>IFERROR(INDEX(EXPORT_WEB!$B$2:$B$3219,MATCH($B10,EXPORT_WEB!$A$2:$A$3219,0)),"")</x:f>
      </x:c>
      <x:c r="F10" s="24" t="str">
        <x:f>IFERROR(INDEX(EXPORT_WEB!$E$2:$E$3219,MATCH($B10,EXPORT_WEB!$A$2:$A$3219,0)),"")</x:f>
      </x:c>
      <x:c r="G10" s="24" t="str">
        <x:f>IFERROR(INDEX(EXPORT_WEB!$F$2:$F$3219,MATCH($B10,EXPORT_WEB!$A$2:$A$3219,0)),"")</x:f>
      </x:c>
      <x:c r="H10" s="24" t="str">
        <x:f>IFERROR(INDEX(EXPORT_WEB!$G$2:$G$3219,MATCH($B10,EXPORT_WEB!$A$2:$A$3219,0))&amp;IF(INDEX(EXPORT_WEB!$H$2:$H$3219,MATCH($B10,EXPORT_WEB!$A$2:$A$3219,0))="",""," / "&amp;INDEX(EXPORT_WEB!$H$2:$H$3219,MATCH($B10,EXPORT_WEB!$A$2:$A$3219,0))),"")</x:f>
      </x:c>
      <x:c r="I10" s="24" t="str">
        <x:f>IFERROR(INDEX(EXPORT_WEB!$I$2:$I$3219,MATCH($B10,EXPORT_WEB!$A$2:$A$3219,0)),"")</x:f>
      </x:c>
      <x:c r="J10" s="24" t="str">
        <x:f>IFERROR(INDEX(EXPORT_WEB!$Q$2:$Q$3219,MATCH($B10,EXPORT_WEB!$A$2:$A$3219,0)),"")</x:f>
      </x:c>
      <x:c r="K10" s="40" t="str">
        <x:f>IFERROR(INDEX(EXPORT_WEB!$J$2:$J$3219,MATCH($B10,EXPORT_WEB!$A$2:$A$3219,0)),"")</x:f>
      </x:c>
      <x:c r="L10" s="40" t="str">
        <x:f>IF($B10="","",$K10*$C10*(1-$D10))</x:f>
      </x:c>
      <x:c r="M10" s="24" t="str">
        <x:f>IFERROR(INDEX(EXPORT_WEB!$R$2:$R$3219,MATCH($B10,EXPORT_WEB!$A$2:$A$3219,0)),"")</x:f>
      </x:c>
      <x:c r="N10" s="24" t="str">
        <x:f>IFERROR(INDEX(EXPORT_WEB!$T$2:$T$3219,MATCH($B10,EXPORT_WEB!$A$2:$A$3219,0))&amp;" · p."&amp;INDEX(EXPORT_WEB!$S$2:$S$3219,MATCH($B10,EXPORT_WEB!$A$2:$A$3219,0)),"")</x:f>
      </x:c>
    </x:row>
    <x:row r="11">
      <x:c r="A11" s="24" t="n">
        <x:v>6</x:v>
      </x:c>
      <x:c r="B11" s="24"/>
      <x:c r="C11" s="24" t="n">
        <x:v>1</x:v>
      </x:c>
      <x:c r="D11" s="60" t="n">
        <x:v>0</x:v>
      </x:c>
      <x:c r="E11" s="24" t="str">
        <x:f>IFERROR(INDEX(EXPORT_WEB!$B$2:$B$3219,MATCH($B11,EXPORT_WEB!$A$2:$A$3219,0)),"")</x:f>
      </x:c>
      <x:c r="F11" s="24" t="str">
        <x:f>IFERROR(INDEX(EXPORT_WEB!$E$2:$E$3219,MATCH($B11,EXPORT_WEB!$A$2:$A$3219,0)),"")</x:f>
      </x:c>
      <x:c r="G11" s="24" t="str">
        <x:f>IFERROR(INDEX(EXPORT_WEB!$F$2:$F$3219,MATCH($B11,EXPORT_WEB!$A$2:$A$3219,0)),"")</x:f>
      </x:c>
      <x:c r="H11" s="24" t="str">
        <x:f>IFERROR(INDEX(EXPORT_WEB!$G$2:$G$3219,MATCH($B11,EXPORT_WEB!$A$2:$A$3219,0))&amp;IF(INDEX(EXPORT_WEB!$H$2:$H$3219,MATCH($B11,EXPORT_WEB!$A$2:$A$3219,0))="",""," / "&amp;INDEX(EXPORT_WEB!$H$2:$H$3219,MATCH($B11,EXPORT_WEB!$A$2:$A$3219,0))),"")</x:f>
      </x:c>
      <x:c r="I11" s="24" t="str">
        <x:f>IFERROR(INDEX(EXPORT_WEB!$I$2:$I$3219,MATCH($B11,EXPORT_WEB!$A$2:$A$3219,0)),"")</x:f>
      </x:c>
      <x:c r="J11" s="24" t="str">
        <x:f>IFERROR(INDEX(EXPORT_WEB!$Q$2:$Q$3219,MATCH($B11,EXPORT_WEB!$A$2:$A$3219,0)),"")</x:f>
      </x:c>
      <x:c r="K11" s="40" t="str">
        <x:f>IFERROR(INDEX(EXPORT_WEB!$J$2:$J$3219,MATCH($B11,EXPORT_WEB!$A$2:$A$3219,0)),"")</x:f>
      </x:c>
      <x:c r="L11" s="40" t="str">
        <x:f>IF($B11="","",$K11*$C11*(1-$D11))</x:f>
      </x:c>
      <x:c r="M11" s="24" t="str">
        <x:f>IFERROR(INDEX(EXPORT_WEB!$R$2:$R$3219,MATCH($B11,EXPORT_WEB!$A$2:$A$3219,0)),"")</x:f>
      </x:c>
      <x:c r="N11" s="24" t="str">
        <x:f>IFERROR(INDEX(EXPORT_WEB!$T$2:$T$3219,MATCH($B11,EXPORT_WEB!$A$2:$A$3219,0))&amp;" · p."&amp;INDEX(EXPORT_WEB!$S$2:$S$3219,MATCH($B11,EXPORT_WEB!$A$2:$A$3219,0)),"")</x:f>
      </x:c>
    </x:row>
    <x:row r="12">
      <x:c r="A12" s="24" t="n">
        <x:v>7</x:v>
      </x:c>
      <x:c r="B12" s="24"/>
      <x:c r="C12" s="24" t="n">
        <x:v>1</x:v>
      </x:c>
      <x:c r="D12" s="60" t="n">
        <x:v>0</x:v>
      </x:c>
      <x:c r="E12" s="24" t="str">
        <x:f>IFERROR(INDEX(EXPORT_WEB!$B$2:$B$3219,MATCH($B12,EXPORT_WEB!$A$2:$A$3219,0)),"")</x:f>
      </x:c>
      <x:c r="F12" s="24" t="str">
        <x:f>IFERROR(INDEX(EXPORT_WEB!$E$2:$E$3219,MATCH($B12,EXPORT_WEB!$A$2:$A$3219,0)),"")</x:f>
      </x:c>
      <x:c r="G12" s="24" t="str">
        <x:f>IFERROR(INDEX(EXPORT_WEB!$F$2:$F$3219,MATCH($B12,EXPORT_WEB!$A$2:$A$3219,0)),"")</x:f>
      </x:c>
      <x:c r="H12" s="24" t="str">
        <x:f>IFERROR(INDEX(EXPORT_WEB!$G$2:$G$3219,MATCH($B12,EXPORT_WEB!$A$2:$A$3219,0))&amp;IF(INDEX(EXPORT_WEB!$H$2:$H$3219,MATCH($B12,EXPORT_WEB!$A$2:$A$3219,0))="",""," / "&amp;INDEX(EXPORT_WEB!$H$2:$H$3219,MATCH($B12,EXPORT_WEB!$A$2:$A$3219,0))),"")</x:f>
      </x:c>
      <x:c r="I12" s="24" t="str">
        <x:f>IFERROR(INDEX(EXPORT_WEB!$I$2:$I$3219,MATCH($B12,EXPORT_WEB!$A$2:$A$3219,0)),"")</x:f>
      </x:c>
      <x:c r="J12" s="24" t="str">
        <x:f>IFERROR(INDEX(EXPORT_WEB!$Q$2:$Q$3219,MATCH($B12,EXPORT_WEB!$A$2:$A$3219,0)),"")</x:f>
      </x:c>
      <x:c r="K12" s="40" t="str">
        <x:f>IFERROR(INDEX(EXPORT_WEB!$J$2:$J$3219,MATCH($B12,EXPORT_WEB!$A$2:$A$3219,0)),"")</x:f>
      </x:c>
      <x:c r="L12" s="40" t="str">
        <x:f>IF($B12="","",$K12*$C12*(1-$D12))</x:f>
      </x:c>
      <x:c r="M12" s="24" t="str">
        <x:f>IFERROR(INDEX(EXPORT_WEB!$R$2:$R$3219,MATCH($B12,EXPORT_WEB!$A$2:$A$3219,0)),"")</x:f>
      </x:c>
      <x:c r="N12" s="24" t="str">
        <x:f>IFERROR(INDEX(EXPORT_WEB!$T$2:$T$3219,MATCH($B12,EXPORT_WEB!$A$2:$A$3219,0))&amp;" · p."&amp;INDEX(EXPORT_WEB!$S$2:$S$3219,MATCH($B12,EXPORT_WEB!$A$2:$A$3219,0)),"")</x:f>
      </x:c>
    </x:row>
    <x:row r="13">
      <x:c r="A13" s="24" t="n">
        <x:v>8</x:v>
      </x:c>
      <x:c r="B13" s="24"/>
      <x:c r="C13" s="24" t="n">
        <x:v>1</x:v>
      </x:c>
      <x:c r="D13" s="60" t="n">
        <x:v>0</x:v>
      </x:c>
      <x:c r="E13" s="24" t="str">
        <x:f>IFERROR(INDEX(EXPORT_WEB!$B$2:$B$3219,MATCH($B13,EXPORT_WEB!$A$2:$A$3219,0)),"")</x:f>
      </x:c>
      <x:c r="F13" s="24" t="str">
        <x:f>IFERROR(INDEX(EXPORT_WEB!$E$2:$E$3219,MATCH($B13,EXPORT_WEB!$A$2:$A$3219,0)),"")</x:f>
      </x:c>
      <x:c r="G13" s="24" t="str">
        <x:f>IFERROR(INDEX(EXPORT_WEB!$F$2:$F$3219,MATCH($B13,EXPORT_WEB!$A$2:$A$3219,0)),"")</x:f>
      </x:c>
      <x:c r="H13" s="24" t="str">
        <x:f>IFERROR(INDEX(EXPORT_WEB!$G$2:$G$3219,MATCH($B13,EXPORT_WEB!$A$2:$A$3219,0))&amp;IF(INDEX(EXPORT_WEB!$H$2:$H$3219,MATCH($B13,EXPORT_WEB!$A$2:$A$3219,0))="",""," / "&amp;INDEX(EXPORT_WEB!$H$2:$H$3219,MATCH($B13,EXPORT_WEB!$A$2:$A$3219,0))),"")</x:f>
      </x:c>
      <x:c r="I13" s="24" t="str">
        <x:f>IFERROR(INDEX(EXPORT_WEB!$I$2:$I$3219,MATCH($B13,EXPORT_WEB!$A$2:$A$3219,0)),"")</x:f>
      </x:c>
      <x:c r="J13" s="24" t="str">
        <x:f>IFERROR(INDEX(EXPORT_WEB!$Q$2:$Q$3219,MATCH($B13,EXPORT_WEB!$A$2:$A$3219,0)),"")</x:f>
      </x:c>
      <x:c r="K13" s="40" t="str">
        <x:f>IFERROR(INDEX(EXPORT_WEB!$J$2:$J$3219,MATCH($B13,EXPORT_WEB!$A$2:$A$3219,0)),"")</x:f>
      </x:c>
      <x:c r="L13" s="40" t="str">
        <x:f>IF($B13="","",$K13*$C13*(1-$D13))</x:f>
      </x:c>
      <x:c r="M13" s="24" t="str">
        <x:f>IFERROR(INDEX(EXPORT_WEB!$R$2:$R$3219,MATCH($B13,EXPORT_WEB!$A$2:$A$3219,0)),"")</x:f>
      </x:c>
      <x:c r="N13" s="24" t="str">
        <x:f>IFERROR(INDEX(EXPORT_WEB!$T$2:$T$3219,MATCH($B13,EXPORT_WEB!$A$2:$A$3219,0))&amp;" · p."&amp;INDEX(EXPORT_WEB!$S$2:$S$3219,MATCH($B13,EXPORT_WEB!$A$2:$A$3219,0)),"")</x:f>
      </x:c>
    </x:row>
    <x:row r="14">
      <x:c r="A14" s="24" t="n">
        <x:v>9</x:v>
      </x:c>
      <x:c r="B14" s="24"/>
      <x:c r="C14" s="24" t="n">
        <x:v>1</x:v>
      </x:c>
      <x:c r="D14" s="60" t="n">
        <x:v>0</x:v>
      </x:c>
      <x:c r="E14" s="24" t="str">
        <x:f>IFERROR(INDEX(EXPORT_WEB!$B$2:$B$3219,MATCH($B14,EXPORT_WEB!$A$2:$A$3219,0)),"")</x:f>
      </x:c>
      <x:c r="F14" s="24" t="str">
        <x:f>IFERROR(INDEX(EXPORT_WEB!$E$2:$E$3219,MATCH($B14,EXPORT_WEB!$A$2:$A$3219,0)),"")</x:f>
      </x:c>
      <x:c r="G14" s="24" t="str">
        <x:f>IFERROR(INDEX(EXPORT_WEB!$F$2:$F$3219,MATCH($B14,EXPORT_WEB!$A$2:$A$3219,0)),"")</x:f>
      </x:c>
      <x:c r="H14" s="24" t="str">
        <x:f>IFERROR(INDEX(EXPORT_WEB!$G$2:$G$3219,MATCH($B14,EXPORT_WEB!$A$2:$A$3219,0))&amp;IF(INDEX(EXPORT_WEB!$H$2:$H$3219,MATCH($B14,EXPORT_WEB!$A$2:$A$3219,0))="",""," / "&amp;INDEX(EXPORT_WEB!$H$2:$H$3219,MATCH($B14,EXPORT_WEB!$A$2:$A$3219,0))),"")</x:f>
      </x:c>
      <x:c r="I14" s="24" t="str">
        <x:f>IFERROR(INDEX(EXPORT_WEB!$I$2:$I$3219,MATCH($B14,EXPORT_WEB!$A$2:$A$3219,0)),"")</x:f>
      </x:c>
      <x:c r="J14" s="24" t="str">
        <x:f>IFERROR(INDEX(EXPORT_WEB!$Q$2:$Q$3219,MATCH($B14,EXPORT_WEB!$A$2:$A$3219,0)),"")</x:f>
      </x:c>
      <x:c r="K14" s="40" t="str">
        <x:f>IFERROR(INDEX(EXPORT_WEB!$J$2:$J$3219,MATCH($B14,EXPORT_WEB!$A$2:$A$3219,0)),"")</x:f>
      </x:c>
      <x:c r="L14" s="40" t="str">
        <x:f>IF($B14="","",$K14*$C14*(1-$D14))</x:f>
      </x:c>
      <x:c r="M14" s="24" t="str">
        <x:f>IFERROR(INDEX(EXPORT_WEB!$R$2:$R$3219,MATCH($B14,EXPORT_WEB!$A$2:$A$3219,0)),"")</x:f>
      </x:c>
      <x:c r="N14" s="24" t="str">
        <x:f>IFERROR(INDEX(EXPORT_WEB!$T$2:$T$3219,MATCH($B14,EXPORT_WEB!$A$2:$A$3219,0))&amp;" · p."&amp;INDEX(EXPORT_WEB!$S$2:$S$3219,MATCH($B14,EXPORT_WEB!$A$2:$A$3219,0)),"")</x:f>
      </x:c>
    </x:row>
    <x:row r="15">
      <x:c r="A15" s="24" t="n">
        <x:v>10</x:v>
      </x:c>
      <x:c r="B15" s="24"/>
      <x:c r="C15" s="24" t="n">
        <x:v>1</x:v>
      </x:c>
      <x:c r="D15" s="60" t="n">
        <x:v>0</x:v>
      </x:c>
      <x:c r="E15" s="24" t="str">
        <x:f>IFERROR(INDEX(EXPORT_WEB!$B$2:$B$3219,MATCH($B15,EXPORT_WEB!$A$2:$A$3219,0)),"")</x:f>
      </x:c>
      <x:c r="F15" s="24" t="str">
        <x:f>IFERROR(INDEX(EXPORT_WEB!$E$2:$E$3219,MATCH($B15,EXPORT_WEB!$A$2:$A$3219,0)),"")</x:f>
      </x:c>
      <x:c r="G15" s="24" t="str">
        <x:f>IFERROR(INDEX(EXPORT_WEB!$F$2:$F$3219,MATCH($B15,EXPORT_WEB!$A$2:$A$3219,0)),"")</x:f>
      </x:c>
      <x:c r="H15" s="24" t="str">
        <x:f>IFERROR(INDEX(EXPORT_WEB!$G$2:$G$3219,MATCH($B15,EXPORT_WEB!$A$2:$A$3219,0))&amp;IF(INDEX(EXPORT_WEB!$H$2:$H$3219,MATCH($B15,EXPORT_WEB!$A$2:$A$3219,0))="",""," / "&amp;INDEX(EXPORT_WEB!$H$2:$H$3219,MATCH($B15,EXPORT_WEB!$A$2:$A$3219,0))),"")</x:f>
      </x:c>
      <x:c r="I15" s="24" t="str">
        <x:f>IFERROR(INDEX(EXPORT_WEB!$I$2:$I$3219,MATCH($B15,EXPORT_WEB!$A$2:$A$3219,0)),"")</x:f>
      </x:c>
      <x:c r="J15" s="24" t="str">
        <x:f>IFERROR(INDEX(EXPORT_WEB!$Q$2:$Q$3219,MATCH($B15,EXPORT_WEB!$A$2:$A$3219,0)),"")</x:f>
      </x:c>
      <x:c r="K15" s="40" t="str">
        <x:f>IFERROR(INDEX(EXPORT_WEB!$J$2:$J$3219,MATCH($B15,EXPORT_WEB!$A$2:$A$3219,0)),"")</x:f>
      </x:c>
      <x:c r="L15" s="40" t="str">
        <x:f>IF($B15="","",$K15*$C15*(1-$D15))</x:f>
      </x:c>
      <x:c r="M15" s="24" t="str">
        <x:f>IFERROR(INDEX(EXPORT_WEB!$R$2:$R$3219,MATCH($B15,EXPORT_WEB!$A$2:$A$3219,0)),"")</x:f>
      </x:c>
      <x:c r="N15" s="24" t="str">
        <x:f>IFERROR(INDEX(EXPORT_WEB!$T$2:$T$3219,MATCH($B15,EXPORT_WEB!$A$2:$A$3219,0))&amp;" · p."&amp;INDEX(EXPORT_WEB!$S$2:$S$3219,MATCH($B15,EXPORT_WEB!$A$2:$A$3219,0)),"")</x:f>
      </x:c>
    </x:row>
    <x:row r="16">
      <x:c r="A16" s="24" t="n">
        <x:v>11</x:v>
      </x:c>
      <x:c r="B16" s="24"/>
      <x:c r="C16" s="24" t="n">
        <x:v>1</x:v>
      </x:c>
      <x:c r="D16" s="60" t="n">
        <x:v>0</x:v>
      </x:c>
      <x:c r="E16" s="24" t="str">
        <x:f>IFERROR(INDEX(EXPORT_WEB!$B$2:$B$3219,MATCH($B16,EXPORT_WEB!$A$2:$A$3219,0)),"")</x:f>
      </x:c>
      <x:c r="F16" s="24" t="str">
        <x:f>IFERROR(INDEX(EXPORT_WEB!$E$2:$E$3219,MATCH($B16,EXPORT_WEB!$A$2:$A$3219,0)),"")</x:f>
      </x:c>
      <x:c r="G16" s="24" t="str">
        <x:f>IFERROR(INDEX(EXPORT_WEB!$F$2:$F$3219,MATCH($B16,EXPORT_WEB!$A$2:$A$3219,0)),"")</x:f>
      </x:c>
      <x:c r="H16" s="24" t="str">
        <x:f>IFERROR(INDEX(EXPORT_WEB!$G$2:$G$3219,MATCH($B16,EXPORT_WEB!$A$2:$A$3219,0))&amp;IF(INDEX(EXPORT_WEB!$H$2:$H$3219,MATCH($B16,EXPORT_WEB!$A$2:$A$3219,0))="",""," / "&amp;INDEX(EXPORT_WEB!$H$2:$H$3219,MATCH($B16,EXPORT_WEB!$A$2:$A$3219,0))),"")</x:f>
      </x:c>
      <x:c r="I16" s="24" t="str">
        <x:f>IFERROR(INDEX(EXPORT_WEB!$I$2:$I$3219,MATCH($B16,EXPORT_WEB!$A$2:$A$3219,0)),"")</x:f>
      </x:c>
      <x:c r="J16" s="24" t="str">
        <x:f>IFERROR(INDEX(EXPORT_WEB!$Q$2:$Q$3219,MATCH($B16,EXPORT_WEB!$A$2:$A$3219,0)),"")</x:f>
      </x:c>
      <x:c r="K16" s="40" t="str">
        <x:f>IFERROR(INDEX(EXPORT_WEB!$J$2:$J$3219,MATCH($B16,EXPORT_WEB!$A$2:$A$3219,0)),"")</x:f>
      </x:c>
      <x:c r="L16" s="40" t="str">
        <x:f>IF($B16="","",$K16*$C16*(1-$D16))</x:f>
      </x:c>
      <x:c r="M16" s="24" t="str">
        <x:f>IFERROR(INDEX(EXPORT_WEB!$R$2:$R$3219,MATCH($B16,EXPORT_WEB!$A$2:$A$3219,0)),"")</x:f>
      </x:c>
      <x:c r="N16" s="24" t="str">
        <x:f>IFERROR(INDEX(EXPORT_WEB!$T$2:$T$3219,MATCH($B16,EXPORT_WEB!$A$2:$A$3219,0))&amp;" · p."&amp;INDEX(EXPORT_WEB!$S$2:$S$3219,MATCH($B16,EXPORT_WEB!$A$2:$A$3219,0)),"")</x:f>
      </x:c>
    </x:row>
    <x:row r="17">
      <x:c r="A17" s="24" t="n">
        <x:v>12</x:v>
      </x:c>
      <x:c r="B17" s="24"/>
      <x:c r="C17" s="24" t="n">
        <x:v>1</x:v>
      </x:c>
      <x:c r="D17" s="60" t="n">
        <x:v>0</x:v>
      </x:c>
      <x:c r="E17" s="24" t="str">
        <x:f>IFERROR(INDEX(EXPORT_WEB!$B$2:$B$3219,MATCH($B17,EXPORT_WEB!$A$2:$A$3219,0)),"")</x:f>
      </x:c>
      <x:c r="F17" s="24" t="str">
        <x:f>IFERROR(INDEX(EXPORT_WEB!$E$2:$E$3219,MATCH($B17,EXPORT_WEB!$A$2:$A$3219,0)),"")</x:f>
      </x:c>
      <x:c r="G17" s="24" t="str">
        <x:f>IFERROR(INDEX(EXPORT_WEB!$F$2:$F$3219,MATCH($B17,EXPORT_WEB!$A$2:$A$3219,0)),"")</x:f>
      </x:c>
      <x:c r="H17" s="24" t="str">
        <x:f>IFERROR(INDEX(EXPORT_WEB!$G$2:$G$3219,MATCH($B17,EXPORT_WEB!$A$2:$A$3219,0))&amp;IF(INDEX(EXPORT_WEB!$H$2:$H$3219,MATCH($B17,EXPORT_WEB!$A$2:$A$3219,0))="",""," / "&amp;INDEX(EXPORT_WEB!$H$2:$H$3219,MATCH($B17,EXPORT_WEB!$A$2:$A$3219,0))),"")</x:f>
      </x:c>
      <x:c r="I17" s="24" t="str">
        <x:f>IFERROR(INDEX(EXPORT_WEB!$I$2:$I$3219,MATCH($B17,EXPORT_WEB!$A$2:$A$3219,0)),"")</x:f>
      </x:c>
      <x:c r="J17" s="24" t="str">
        <x:f>IFERROR(INDEX(EXPORT_WEB!$Q$2:$Q$3219,MATCH($B17,EXPORT_WEB!$A$2:$A$3219,0)),"")</x:f>
      </x:c>
      <x:c r="K17" s="40" t="str">
        <x:f>IFERROR(INDEX(EXPORT_WEB!$J$2:$J$3219,MATCH($B17,EXPORT_WEB!$A$2:$A$3219,0)),"")</x:f>
      </x:c>
      <x:c r="L17" s="40" t="str">
        <x:f>IF($B17="","",$K17*$C17*(1-$D17))</x:f>
      </x:c>
      <x:c r="M17" s="24" t="str">
        <x:f>IFERROR(INDEX(EXPORT_WEB!$R$2:$R$3219,MATCH($B17,EXPORT_WEB!$A$2:$A$3219,0)),"")</x:f>
      </x:c>
      <x:c r="N17" s="24" t="str">
        <x:f>IFERROR(INDEX(EXPORT_WEB!$T$2:$T$3219,MATCH($B17,EXPORT_WEB!$A$2:$A$3219,0))&amp;" · p."&amp;INDEX(EXPORT_WEB!$S$2:$S$3219,MATCH($B17,EXPORT_WEB!$A$2:$A$3219,0)),"")</x:f>
      </x:c>
    </x:row>
    <x:row r="18">
      <x:c r="A18" s="24" t="n">
        <x:v>13</x:v>
      </x:c>
      <x:c r="B18" s="24"/>
      <x:c r="C18" s="24" t="n">
        <x:v>1</x:v>
      </x:c>
      <x:c r="D18" s="60" t="n">
        <x:v>0</x:v>
      </x:c>
      <x:c r="E18" s="24" t="str">
        <x:f>IFERROR(INDEX(EXPORT_WEB!$B$2:$B$3219,MATCH($B18,EXPORT_WEB!$A$2:$A$3219,0)),"")</x:f>
      </x:c>
      <x:c r="F18" s="24" t="str">
        <x:f>IFERROR(INDEX(EXPORT_WEB!$E$2:$E$3219,MATCH($B18,EXPORT_WEB!$A$2:$A$3219,0)),"")</x:f>
      </x:c>
      <x:c r="G18" s="24" t="str">
        <x:f>IFERROR(INDEX(EXPORT_WEB!$F$2:$F$3219,MATCH($B18,EXPORT_WEB!$A$2:$A$3219,0)),"")</x:f>
      </x:c>
      <x:c r="H18" s="24" t="str">
        <x:f>IFERROR(INDEX(EXPORT_WEB!$G$2:$G$3219,MATCH($B18,EXPORT_WEB!$A$2:$A$3219,0))&amp;IF(INDEX(EXPORT_WEB!$H$2:$H$3219,MATCH($B18,EXPORT_WEB!$A$2:$A$3219,0))="",""," / "&amp;INDEX(EXPORT_WEB!$H$2:$H$3219,MATCH($B18,EXPORT_WEB!$A$2:$A$3219,0))),"")</x:f>
      </x:c>
      <x:c r="I18" s="24" t="str">
        <x:f>IFERROR(INDEX(EXPORT_WEB!$I$2:$I$3219,MATCH($B18,EXPORT_WEB!$A$2:$A$3219,0)),"")</x:f>
      </x:c>
      <x:c r="J18" s="24" t="str">
        <x:f>IFERROR(INDEX(EXPORT_WEB!$Q$2:$Q$3219,MATCH($B18,EXPORT_WEB!$A$2:$A$3219,0)),"")</x:f>
      </x:c>
      <x:c r="K18" s="40" t="str">
        <x:f>IFERROR(INDEX(EXPORT_WEB!$J$2:$J$3219,MATCH($B18,EXPORT_WEB!$A$2:$A$3219,0)),"")</x:f>
      </x:c>
      <x:c r="L18" s="40" t="str">
        <x:f>IF($B18="","",$K18*$C18*(1-$D18))</x:f>
      </x:c>
      <x:c r="M18" s="24" t="str">
        <x:f>IFERROR(INDEX(EXPORT_WEB!$R$2:$R$3219,MATCH($B18,EXPORT_WEB!$A$2:$A$3219,0)),"")</x:f>
      </x:c>
      <x:c r="N18" s="24" t="str">
        <x:f>IFERROR(INDEX(EXPORT_WEB!$T$2:$T$3219,MATCH($B18,EXPORT_WEB!$A$2:$A$3219,0))&amp;" · p."&amp;INDEX(EXPORT_WEB!$S$2:$S$3219,MATCH($B18,EXPORT_WEB!$A$2:$A$3219,0)),"")</x:f>
      </x:c>
    </x:row>
    <x:row r="19">
      <x:c r="A19" s="24" t="n">
        <x:v>14</x:v>
      </x:c>
      <x:c r="B19" s="24"/>
      <x:c r="C19" s="24" t="n">
        <x:v>1</x:v>
      </x:c>
      <x:c r="D19" s="60" t="n">
        <x:v>0</x:v>
      </x:c>
      <x:c r="E19" s="24" t="str">
        <x:f>IFERROR(INDEX(EXPORT_WEB!$B$2:$B$3219,MATCH($B19,EXPORT_WEB!$A$2:$A$3219,0)),"")</x:f>
      </x:c>
      <x:c r="F19" s="24" t="str">
        <x:f>IFERROR(INDEX(EXPORT_WEB!$E$2:$E$3219,MATCH($B19,EXPORT_WEB!$A$2:$A$3219,0)),"")</x:f>
      </x:c>
      <x:c r="G19" s="24" t="str">
        <x:f>IFERROR(INDEX(EXPORT_WEB!$F$2:$F$3219,MATCH($B19,EXPORT_WEB!$A$2:$A$3219,0)),"")</x:f>
      </x:c>
      <x:c r="H19" s="24" t="str">
        <x:f>IFERROR(INDEX(EXPORT_WEB!$G$2:$G$3219,MATCH($B19,EXPORT_WEB!$A$2:$A$3219,0))&amp;IF(INDEX(EXPORT_WEB!$H$2:$H$3219,MATCH($B19,EXPORT_WEB!$A$2:$A$3219,0))="",""," / "&amp;INDEX(EXPORT_WEB!$H$2:$H$3219,MATCH($B19,EXPORT_WEB!$A$2:$A$3219,0))),"")</x:f>
      </x:c>
      <x:c r="I19" s="24" t="str">
        <x:f>IFERROR(INDEX(EXPORT_WEB!$I$2:$I$3219,MATCH($B19,EXPORT_WEB!$A$2:$A$3219,0)),"")</x:f>
      </x:c>
      <x:c r="J19" s="24" t="str">
        <x:f>IFERROR(INDEX(EXPORT_WEB!$Q$2:$Q$3219,MATCH($B19,EXPORT_WEB!$A$2:$A$3219,0)),"")</x:f>
      </x:c>
      <x:c r="K19" s="40" t="str">
        <x:f>IFERROR(INDEX(EXPORT_WEB!$J$2:$J$3219,MATCH($B19,EXPORT_WEB!$A$2:$A$3219,0)),"")</x:f>
      </x:c>
      <x:c r="L19" s="40" t="str">
        <x:f>IF($B19="","",$K19*$C19*(1-$D19))</x:f>
      </x:c>
      <x:c r="M19" s="24" t="str">
        <x:f>IFERROR(INDEX(EXPORT_WEB!$R$2:$R$3219,MATCH($B19,EXPORT_WEB!$A$2:$A$3219,0)),"")</x:f>
      </x:c>
      <x:c r="N19" s="24" t="str">
        <x:f>IFERROR(INDEX(EXPORT_WEB!$T$2:$T$3219,MATCH($B19,EXPORT_WEB!$A$2:$A$3219,0))&amp;" · p."&amp;INDEX(EXPORT_WEB!$S$2:$S$3219,MATCH($B19,EXPORT_WEB!$A$2:$A$3219,0)),"")</x:f>
      </x:c>
    </x:row>
    <x:row r="20">
      <x:c r="A20" s="24" t="n">
        <x:v>15</x:v>
      </x:c>
      <x:c r="B20" s="24"/>
      <x:c r="C20" s="24" t="n">
        <x:v>1</x:v>
      </x:c>
      <x:c r="D20" s="60" t="n">
        <x:v>0</x:v>
      </x:c>
      <x:c r="E20" s="24" t="str">
        <x:f>IFERROR(INDEX(EXPORT_WEB!$B$2:$B$3219,MATCH($B20,EXPORT_WEB!$A$2:$A$3219,0)),"")</x:f>
      </x:c>
      <x:c r="F20" s="24" t="str">
        <x:f>IFERROR(INDEX(EXPORT_WEB!$E$2:$E$3219,MATCH($B20,EXPORT_WEB!$A$2:$A$3219,0)),"")</x:f>
      </x:c>
      <x:c r="G20" s="24" t="str">
        <x:f>IFERROR(INDEX(EXPORT_WEB!$F$2:$F$3219,MATCH($B20,EXPORT_WEB!$A$2:$A$3219,0)),"")</x:f>
      </x:c>
      <x:c r="H20" s="24" t="str">
        <x:f>IFERROR(INDEX(EXPORT_WEB!$G$2:$G$3219,MATCH($B20,EXPORT_WEB!$A$2:$A$3219,0))&amp;IF(INDEX(EXPORT_WEB!$H$2:$H$3219,MATCH($B20,EXPORT_WEB!$A$2:$A$3219,0))="",""," / "&amp;INDEX(EXPORT_WEB!$H$2:$H$3219,MATCH($B20,EXPORT_WEB!$A$2:$A$3219,0))),"")</x:f>
      </x:c>
      <x:c r="I20" s="24" t="str">
        <x:f>IFERROR(INDEX(EXPORT_WEB!$I$2:$I$3219,MATCH($B20,EXPORT_WEB!$A$2:$A$3219,0)),"")</x:f>
      </x:c>
      <x:c r="J20" s="24" t="str">
        <x:f>IFERROR(INDEX(EXPORT_WEB!$Q$2:$Q$3219,MATCH($B20,EXPORT_WEB!$A$2:$A$3219,0)),"")</x:f>
      </x:c>
      <x:c r="K20" s="40" t="str">
        <x:f>IFERROR(INDEX(EXPORT_WEB!$J$2:$J$3219,MATCH($B20,EXPORT_WEB!$A$2:$A$3219,0)),"")</x:f>
      </x:c>
      <x:c r="L20" s="40" t="str">
        <x:f>IF($B20="","",$K20*$C20*(1-$D20))</x:f>
      </x:c>
      <x:c r="M20" s="24" t="str">
        <x:f>IFERROR(INDEX(EXPORT_WEB!$R$2:$R$3219,MATCH($B20,EXPORT_WEB!$A$2:$A$3219,0)),"")</x:f>
      </x:c>
      <x:c r="N20" s="24" t="str">
        <x:f>IFERROR(INDEX(EXPORT_WEB!$T$2:$T$3219,MATCH($B20,EXPORT_WEB!$A$2:$A$3219,0))&amp;" · p."&amp;INDEX(EXPORT_WEB!$S$2:$S$3219,MATCH($B20,EXPORT_WEB!$A$2:$A$3219,0)),"")</x:f>
      </x:c>
    </x:row>
    <x:row r="22">
      <x:c r="K22" s="28" t="str">
        <x:v>TOTAL</x:v>
      </x:c>
      <x:c r="L22" s="51" t="n">
        <x:f>SUM(L6:L20)</x:f>
        <x:v>0</x:v>
      </x:c>
    </x:row>
    <x:row r="23">
      <x:c r="K23" t="str">
        <x:v>Itens</x:v>
      </x:c>
      <x:c r="L23" t="n">
        <x:f>COUNTIF(B6:B20,"&lt;&gt;")</x:f>
        <x:v>0</x:v>
      </x:c>
    </x:row>
    <x:row r="25">
      <x:c r="A25" s="56" t="str">
        <x:v>Somente SKUs de EXPORT_WEB podem ser selecionados. Itens “EM BREVE” ficam fora; “ESTOQUE LIMITADO” permanece sinalizado. Restrições comerciais ZEISS aparecem na coluna M.</x:v>
      </x:c>
      <x:c r="B25" s="56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  <x:c r="M25" s="56"/>
      <x:c r="N25" s="56"/>
    </x:row>
  </x:sheetData>
  <x:mergeCells>
    <x:mergeCell ref="A1:N1"/>
    <x:mergeCell ref="A25:N25"/>
  </x:mergeCells>
  <x:dataValidations count="1">
    <x:dataValidation type="list" sqref="B6:B20">
      <x:formula1>LISTAS!$A$2:$A$3219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21" hidden="0" customWidth="1"/>
    <x:col min="4" max="4" width="12" hidden="0" customWidth="1"/>
    <x:col min="5" max="5" width="24" hidden="0" customWidth="1"/>
    <x:col min="6" max="6" width="16" hidden="0" customWidth="1"/>
    <x:col min="7" max="7" width="34" hidden="0" customWidth="1"/>
    <x:col min="8" max="8" width="24" hidden="0" customWidth="1"/>
    <x:col min="9" max="9" width="20" hidden="0" customWidth="1"/>
    <x:col min="10" max="10" width="10" hidden="0" customWidth="1"/>
    <x:col min="11" max="11" width="30" hidden="0" customWidth="1"/>
    <x:col min="12" max="12" width="15" hidden="0" customWidth="1"/>
    <x:col min="13" max="13" width="12" hidden="0" customWidth="1"/>
    <x:col min="14" max="14" width="70" hidden="0" customWidth="1"/>
  </x:cols>
  <x:sheetData>
    <x:row r="1" ht="30" customHeight="1">
      <x:c r="A1" s="31" t="str">
        <x:v>SKU_ID</x:v>
      </x:c>
      <x:c r="B1" s="31" t="str">
        <x:v>Publicar_Web</x:v>
      </x:c>
      <x:c r="C1" s="31" t="str">
        <x:v>Status_Disponibilidade</x:v>
      </x:c>
      <x:c r="D1" s="31" t="str">
        <x:v>Marca</x:v>
      </x:c>
      <x:c r="E1" s="31" t="str">
        <x:v>Categoria</x:v>
      </x:c>
      <x:c r="F1" s="31" t="str">
        <x:v>Tipo_Lente</x:v>
      </x:c>
      <x:c r="G1" s="31" t="str">
        <x:v>Produto</x:v>
      </x:c>
      <x:c r="H1" s="31" t="str">
        <x:v>Opcao</x:v>
      </x:c>
      <x:c r="I1" s="31" t="str">
        <x:v>Material</x:v>
      </x:c>
      <x:c r="J1" s="31" t="str">
        <x:v>Indice</x:v>
      </x:c>
      <x:c r="K1" s="31" t="str">
        <x:v>Tratamento</x:v>
      </x:c>
      <x:c r="L1" s="31" t="str">
        <x:v>Preco_Par_R$</x:v>
      </x:c>
      <x:c r="M1" s="31" t="str">
        <x:v>Pagina_Fonte</x:v>
      </x:c>
      <x:c r="N1" s="31" t="str">
        <x:v>Observacao_Fonte</x:v>
      </x:c>
    </x:row>
    <x:row r="2">
      <x:c r="A2" s="24" t="str">
        <x:v>HY-84ACFF657656</x:v>
      </x:c>
      <x:c r="B2" s="24" t="str">
        <x:v>NÃO</x:v>
      </x:c>
      <x:c r="C2" s="24" t="str">
        <x:v>EM BREVE</x:v>
      </x:c>
      <x:c r="D2" s="24" t="str">
        <x:v>HOYA</x:v>
      </x:c>
      <x:c r="E2" s="24" t="str">
        <x:v>Visão Simples</x:v>
      </x:c>
      <x:c r="F2" s="24" t="str">
        <x:v>Surfaçada</x:v>
      </x:c>
      <x:c r="G2" s="24" t="str">
        <x:v>Nulux iDentity V+</x:v>
      </x:c>
      <x:c r="H2" s="24" t="str">
        <x:v>SENSITY 2</x:v>
      </x:c>
      <x:c r="I2" s="24" t="str">
        <x:v>EYNOA</x:v>
      </x:c>
      <x:c r="J2" s="24" t="str">
        <x:v>1.67</x:v>
      </x:c>
      <x:c r="K2" s="24" t="str">
        <x:v>Hi-Vision Meiryo</x:v>
      </x:c>
      <x:c r="L2" s="40" t="n">
        <x:v>5249</x:v>
      </x:c>
      <x:c r="M2" s="24" t="n">
        <x:v>12</x:v>
      </x:c>
      <x:c r="N2" s="24" t="str">
        <x:v>Tratamento/produto marcado como “EM BREVE” na própria tabela HOYA; preço preservado, mas bloqueado no export web.</x:v>
      </x:c>
    </x:row>
    <x:row r="3">
      <x:c r="A3" s="24" t="str">
        <x:v>HY-5AA8F167808F</x:v>
      </x:c>
      <x:c r="B3" s="24" t="str">
        <x:v>NÃO</x:v>
      </x:c>
      <x:c r="C3" s="24" t="str">
        <x:v>EM BREVE</x:v>
      </x:c>
      <x:c r="D3" s="24" t="str">
        <x:v>HOYA</x:v>
      </x:c>
      <x:c r="E3" s="24" t="str">
        <x:v>Visão Simples</x:v>
      </x:c>
      <x:c r="F3" s="24" t="str">
        <x:v>Surfaçada</x:v>
      </x:c>
      <x:c r="G3" s="24" t="str">
        <x:v>Nulux iDentity V+</x:v>
      </x:c>
      <x:c r="H3" s="24" t="str">
        <x:v>SENSITY 2</x:v>
      </x:c>
      <x:c r="I3" s="24" t="str">
        <x:v>PNX</x:v>
      </x:c>
      <x:c r="J3" s="24" t="str">
        <x:v>1.53</x:v>
      </x:c>
      <x:c r="K3" s="24" t="str">
        <x:v>Hi-Vision Meiryo</x:v>
      </x:c>
      <x:c r="L3" s="40" t="n">
        <x:v>3899</x:v>
      </x:c>
      <x:c r="M3" s="24" t="n">
        <x:v>12</x:v>
      </x:c>
      <x:c r="N3" s="24" t="str">
        <x:v>Tratamento/produto marcado como “EM BREVE” na própria tabela HOYA; preço preservado, mas bloqueado no export web.</x:v>
      </x:c>
    </x:row>
    <x:row r="4">
      <x:c r="A4" s="24" t="str">
        <x:v>HY-B3CB3B279523</x:v>
      </x:c>
      <x:c r="B4" s="24" t="str">
        <x:v>NÃO</x:v>
      </x:c>
      <x:c r="C4" s="24" t="str">
        <x:v>EM BREVE</x:v>
      </x:c>
      <x:c r="D4" s="24" t="str">
        <x:v>HOYA</x:v>
      </x:c>
      <x:c r="E4" s="24" t="str">
        <x:v>Visão Simples</x:v>
      </x:c>
      <x:c r="F4" s="24" t="str">
        <x:v>Surfaçada</x:v>
      </x:c>
      <x:c r="G4" s="24" t="str">
        <x:v>Nulux TrueForm</x:v>
      </x:c>
      <x:c r="H4" s="24" t="str">
        <x:v>INCOLOR</x:v>
      </x:c>
      <x:c r="I4" s="24" t="str">
        <x:v>EYNOA</x:v>
      </x:c>
      <x:c r="J4" s="24" t="str">
        <x:v>1.67</x:v>
      </x:c>
      <x:c r="K4" s="24" t="str">
        <x:v>Hi-Vision Meiryo</x:v>
      </x:c>
      <x:c r="L4" s="40" t="n">
        <x:v>3509</x:v>
      </x:c>
      <x:c r="M4" s="24" t="n">
        <x:v>13</x:v>
      </x:c>
      <x:c r="N4" s="24" t="str">
        <x:v>Tratamento/produto marcado como “EM BREVE” na própria tabela HOYA; preço preservado, mas bloqueado no export web.</x:v>
      </x:c>
    </x:row>
    <x:row r="5">
      <x:c r="A5" s="24" t="str">
        <x:v>HY-C0CACAAEBC3F</x:v>
      </x:c>
      <x:c r="B5" s="24" t="str">
        <x:v>NÃO</x:v>
      </x:c>
      <x:c r="C5" s="24" t="str">
        <x:v>EM BREVE</x:v>
      </x:c>
      <x:c r="D5" s="24" t="str">
        <x:v>HOYA</x:v>
      </x:c>
      <x:c r="E5" s="24" t="str">
        <x:v>Visão Simples</x:v>
      </x:c>
      <x:c r="F5" s="24" t="str">
        <x:v>Surfaçada</x:v>
      </x:c>
      <x:c r="G5" s="24" t="str">
        <x:v>Nulux TrueForm</x:v>
      </x:c>
      <x:c r="H5" s="24" t="str">
        <x:v>INCOLOR</x:v>
      </x:c>
      <x:c r="I5" s="24" t="str">
        <x:v>EYAS 2.0</x:v>
      </x:c>
      <x:c r="J5" s="24" t="str">
        <x:v>1.60</x:v>
      </x:c>
      <x:c r="K5" s="24" t="str">
        <x:v>Hi-Vision Meiryo</x:v>
      </x:c>
      <x:c r="L5" s="40" t="n">
        <x:v>2709</x:v>
      </x:c>
      <x:c r="M5" s="24" t="n">
        <x:v>13</x:v>
      </x:c>
      <x:c r="N5" s="24" t="str">
        <x:v>Tratamento/produto marcado como “EM BREVE” na própria tabela HOYA; preço preservado, mas bloqueado no export web.</x:v>
      </x:c>
    </x:row>
    <x:row r="6">
      <x:c r="A6" s="24" t="str">
        <x:v>HY-3280FEE1C7E8</x:v>
      </x:c>
      <x:c r="B6" s="24" t="str">
        <x:v>NÃO</x:v>
      </x:c>
      <x:c r="C6" s="24" t="str">
        <x:v>EM BREVE</x:v>
      </x:c>
      <x:c r="D6" s="24" t="str">
        <x:v>HOYA</x:v>
      </x:c>
      <x:c r="E6" s="24" t="str">
        <x:v>Visão Simples</x:v>
      </x:c>
      <x:c r="F6" s="24" t="str">
        <x:v>Surfaçada</x:v>
      </x:c>
      <x:c r="G6" s="24" t="str">
        <x:v>Nulux TrueForm</x:v>
      </x:c>
      <x:c r="H6" s="24" t="str">
        <x:v>INCOLOR</x:v>
      </x:c>
      <x:c r="I6" s="24" t="str">
        <x:v>PNX</x:v>
      </x:c>
      <x:c r="J6" s="24" t="str">
        <x:v>1.53</x:v>
      </x:c>
      <x:c r="K6" s="24" t="str">
        <x:v>Hi-Vision Meiryo</x:v>
      </x:c>
      <x:c r="L6" s="40" t="n">
        <x:v>2249</x:v>
      </x:c>
      <x:c r="M6" s="24" t="n">
        <x:v>13</x:v>
      </x:c>
      <x:c r="N6" s="24" t="str">
        <x:v>Tratamento/produto marcado como “EM BREVE” na própria tabela HOYA; preço preservado, mas bloqueado no export web.</x:v>
      </x:c>
    </x:row>
    <x:row r="7">
      <x:c r="A7" s="24" t="str">
        <x:v>HY-54BF4D476ADB</x:v>
      </x:c>
      <x:c r="B7" s="24" t="str">
        <x:v>NÃO</x:v>
      </x:c>
      <x:c r="C7" s="24" t="str">
        <x:v>EM BREVE</x:v>
      </x:c>
      <x:c r="D7" s="24" t="str">
        <x:v>HOYA</x:v>
      </x:c>
      <x:c r="E7" s="24" t="str">
        <x:v>Visão Simples</x:v>
      </x:c>
      <x:c r="F7" s="24" t="str">
        <x:v>Surfaçada</x:v>
      </x:c>
      <x:c r="G7" s="24" t="str">
        <x:v>Nulux TrueForm</x:v>
      </x:c>
      <x:c r="H7" s="24" t="str">
        <x:v>INCOLOR</x:v>
      </x:c>
      <x:c r="I7" s="24" t="str">
        <x:v>ORGANIC</x:v>
      </x:c>
      <x:c r="J7" s="24" t="str">
        <x:v>1.50</x:v>
      </x:c>
      <x:c r="K7" s="24" t="str">
        <x:v>Hi-Vision Meiryo</x:v>
      </x:c>
      <x:c r="L7" s="40" t="n">
        <x:v>1899</x:v>
      </x:c>
      <x:c r="M7" s="24" t="n">
        <x:v>13</x:v>
      </x:c>
      <x:c r="N7" s="24" t="str">
        <x:v>Tratamento/produto marcado como “EM BREVE” na própria tabela HOYA; preço preservado, mas bloqueado no export web.</x:v>
      </x:c>
    </x:row>
    <x:row r="8">
      <x:c r="A8" s="24" t="str">
        <x:v>HY-B523D51CE203</x:v>
      </x:c>
      <x:c r="B8" s="24" t="str">
        <x:v>NÃO</x:v>
      </x:c>
      <x:c r="C8" s="24" t="str">
        <x:v>EM BREVE</x:v>
      </x:c>
      <x:c r="D8" s="24" t="str">
        <x:v>HOYA</x:v>
      </x:c>
      <x:c r="E8" s="24" t="str">
        <x:v>Visão Simples</x:v>
      </x:c>
      <x:c r="F8" s="24" t="str">
        <x:v>Surfaçada</x:v>
      </x:c>
      <x:c r="G8" s="24" t="str">
        <x:v>Nulux TrueForm</x:v>
      </x:c>
      <x:c r="H8" s="24" t="str">
        <x:v>SENSITY 2</x:v>
      </x:c>
      <x:c r="I8" s="24" t="str">
        <x:v>EYNOA</x:v>
      </x:c>
      <x:c r="J8" s="24" t="str">
        <x:v>1.67</x:v>
      </x:c>
      <x:c r="K8" s="24" t="str">
        <x:v>Hi-Vision Meiryo</x:v>
      </x:c>
      <x:c r="L8" s="40" t="n">
        <x:v>4709</x:v>
      </x:c>
      <x:c r="M8" s="24" t="n">
        <x:v>13</x:v>
      </x:c>
      <x:c r="N8" s="24" t="str">
        <x:v>Tratamento/produto marcado como “EM BREVE” na própria tabela HOYA; preço preservado, mas bloqueado no export web.</x:v>
      </x:c>
    </x:row>
    <x:row r="9">
      <x:c r="A9" s="24" t="str">
        <x:v>HY-6AB2DEEFC002</x:v>
      </x:c>
      <x:c r="B9" s="24" t="str">
        <x:v>NÃO</x:v>
      </x:c>
      <x:c r="C9" s="24" t="str">
        <x:v>EM BREVE</x:v>
      </x:c>
      <x:c r="D9" s="24" t="str">
        <x:v>HOYA</x:v>
      </x:c>
      <x:c r="E9" s="24" t="str">
        <x:v>Visão Simples</x:v>
      </x:c>
      <x:c r="F9" s="24" t="str">
        <x:v>Surfaçada</x:v>
      </x:c>
      <x:c r="G9" s="24" t="str">
        <x:v>Nulux TrueForm</x:v>
      </x:c>
      <x:c r="H9" s="24" t="str">
        <x:v>SENSITY 2</x:v>
      </x:c>
      <x:c r="I9" s="24" t="str">
        <x:v>PNX</x:v>
      </x:c>
      <x:c r="J9" s="24" t="str">
        <x:v>1.53</x:v>
      </x:c>
      <x:c r="K9" s="24" t="str">
        <x:v>Hi-Vision Meiryo</x:v>
      </x:c>
      <x:c r="L9" s="40" t="n">
        <x:v>3449</x:v>
      </x:c>
      <x:c r="M9" s="24" t="n">
        <x:v>13</x:v>
      </x:c>
      <x:c r="N9" s="24" t="str">
        <x:v>Tratamento/produto marcado como “EM BREVE” na própria tabela HOYA; preço preservado, mas bloqueado no export web.</x:v>
      </x:c>
    </x:row>
    <x:row r="10">
      <x:c r="A10" s="24" t="str">
        <x:v>HY-189CCD48AE89</x:v>
      </x:c>
      <x:c r="B10" s="24" t="str">
        <x:v>NÃO</x:v>
      </x:c>
      <x:c r="C10" s="24" t="str">
        <x:v>EM BREVE</x:v>
      </x:c>
      <x:c r="D10" s="24" t="str">
        <x:v>HOYA</x:v>
      </x:c>
      <x:c r="E10" s="24" t="str">
        <x:v>Visão Simples</x:v>
      </x:c>
      <x:c r="F10" s="24" t="str">
        <x:v>Surfaçada</x:v>
      </x:c>
      <x:c r="G10" s="24" t="str">
        <x:v>Nulux TrueForm</x:v>
      </x:c>
      <x:c r="H10" s="24" t="str">
        <x:v>SENSITY 2</x:v>
      </x:c>
      <x:c r="I10" s="24" t="str">
        <x:v>ORGANIC</x:v>
      </x:c>
      <x:c r="J10" s="24" t="str">
        <x:v>1.50</x:v>
      </x:c>
      <x:c r="K10" s="24" t="str">
        <x:v>Hi-Vision Meiryo</x:v>
      </x:c>
      <x:c r="L10" s="40" t="n">
        <x:v>3099</x:v>
      </x:c>
      <x:c r="M10" s="24" t="n">
        <x:v>13</x:v>
      </x:c>
      <x:c r="N10" s="24" t="str">
        <x:v>Tratamento/produto marcado como “EM BREVE” na própria tabela HOYA; preço preservado, mas bloqueado no export web.</x:v>
      </x:c>
    </x:row>
    <x:row r="11">
      <x:c r="A11" s="24" t="str">
        <x:v>HY-B71D5D43EDFB</x:v>
      </x:c>
      <x:c r="B11" s="24" t="str">
        <x:v>NÃO</x:v>
      </x:c>
      <x:c r="C11" s="24" t="str">
        <x:v>EM BREVE</x:v>
      </x:c>
      <x:c r="D11" s="24" t="str">
        <x:v>HOYA</x:v>
      </x:c>
      <x:c r="E11" s="24" t="str">
        <x:v>Visão Simples</x:v>
      </x:c>
      <x:c r="F11" s="24" t="str">
        <x:v>Surfaçada</x:v>
      </x:c>
      <x:c r="G11" s="24" t="str">
        <x:v>Hilux</x:v>
      </x:c>
      <x:c r="H11" s="24" t="str">
        <x:v>INCOLOR</x:v>
      </x:c>
      <x:c r="I11" s="24" t="str">
        <x:v>POLI</x:v>
      </x:c>
      <x:c r="J11" s="24" t="str">
        <x:v>1.59</x:v>
      </x:c>
      <x:c r="K11" s="24" t="str">
        <x:v>Hi-Vision Meiryo</x:v>
      </x:c>
      <x:c r="L11" s="40" t="n">
        <x:v>1949</x:v>
      </x:c>
      <x:c r="M11" s="24" t="n">
        <x:v>14</x:v>
      </x:c>
      <x:c r="N11" s="24" t="str">
        <x:v>Tratamento/produto marcado como “EM BREVE” na própria tabela HOYA; preço preservado, mas bloqueado no export web.</x:v>
      </x:c>
    </x:row>
    <x:row r="12">
      <x:c r="A12" s="24" t="str">
        <x:v>HY-739A5E3814C9</x:v>
      </x:c>
      <x:c r="B12" s="24" t="str">
        <x:v>NÃO</x:v>
      </x:c>
      <x:c r="C12" s="24" t="str">
        <x:v>EM BREVE</x:v>
      </x:c>
      <x:c r="D12" s="24" t="str">
        <x:v>HOYA</x:v>
      </x:c>
      <x:c r="E12" s="24" t="str">
        <x:v>Visão Simples</x:v>
      </x:c>
      <x:c r="F12" s="24" t="str">
        <x:v>Surfaçada</x:v>
      </x:c>
      <x:c r="G12" s="24" t="str">
        <x:v>Hilux</x:v>
      </x:c>
      <x:c r="H12" s="24" t="str">
        <x:v>INCOLOR</x:v>
      </x:c>
      <x:c r="I12" s="24" t="str">
        <x:v>PNX</x:v>
      </x:c>
      <x:c r="J12" s="24" t="str">
        <x:v>1.53</x:v>
      </x:c>
      <x:c r="K12" s="24" t="str">
        <x:v>Hi-Vision Meiryo</x:v>
      </x:c>
      <x:c r="L12" s="40" t="n">
        <x:v>1949</x:v>
      </x:c>
      <x:c r="M12" s="24" t="n">
        <x:v>14</x:v>
      </x:c>
      <x:c r="N12" s="24" t="str">
        <x:v>Tratamento/produto marcado como “EM BREVE” na própria tabela HOYA; preço preservado, mas bloqueado no export web.</x:v>
      </x:c>
    </x:row>
    <x:row r="13">
      <x:c r="A13" s="24" t="str">
        <x:v>HY-A1A454BD0A22</x:v>
      </x:c>
      <x:c r="B13" s="24" t="str">
        <x:v>NÃO</x:v>
      </x:c>
      <x:c r="C13" s="24" t="str">
        <x:v>EM BREVE</x:v>
      </x:c>
      <x:c r="D13" s="24" t="str">
        <x:v>HOYA</x:v>
      </x:c>
      <x:c r="E13" s="24" t="str">
        <x:v>Visão Simples</x:v>
      </x:c>
      <x:c r="F13" s="24" t="str">
        <x:v>Surfaçada</x:v>
      </x:c>
      <x:c r="G13" s="24" t="str">
        <x:v>Hilux</x:v>
      </x:c>
      <x:c r="H13" s="24" t="str">
        <x:v>INCOLOR</x:v>
      </x:c>
      <x:c r="I13" s="24" t="str">
        <x:v>ORGANIC</x:v>
      </x:c>
      <x:c r="J13" s="24" t="str">
        <x:v>1.50</x:v>
      </x:c>
      <x:c r="K13" s="24" t="str">
        <x:v>Hi-Vision Meiryo</x:v>
      </x:c>
      <x:c r="L13" s="40" t="n">
        <x:v>1599</x:v>
      </x:c>
      <x:c r="M13" s="24" t="n">
        <x:v>14</x:v>
      </x:c>
      <x:c r="N13" s="24" t="str">
        <x:v>Tratamento/produto marcado como “EM BREVE” na própria tabela HOYA; preço preservado, mas bloqueado no export web.</x:v>
      </x:c>
    </x:row>
    <x:row r="14">
      <x:c r="A14" s="24" t="str">
        <x:v>HY-B725C5232136</x:v>
      </x:c>
      <x:c r="B14" s="24" t="str">
        <x:v>NÃO</x:v>
      </x:c>
      <x:c r="C14" s="24" t="str">
        <x:v>EM BREVE</x:v>
      </x:c>
      <x:c r="D14" s="24" t="str">
        <x:v>HOYA</x:v>
      </x:c>
      <x:c r="E14" s="24" t="str">
        <x:v>Visão Simples</x:v>
      </x:c>
      <x:c r="F14" s="24" t="str">
        <x:v>Surfaçada</x:v>
      </x:c>
      <x:c r="G14" s="24" t="str">
        <x:v>Hilux</x:v>
      </x:c>
      <x:c r="H14" s="24" t="str">
        <x:v>SENSITY 2</x:v>
      </x:c>
      <x:c r="I14" s="24" t="str">
        <x:v>PNX</x:v>
      </x:c>
      <x:c r="J14" s="24" t="str">
        <x:v>1.53</x:v>
      </x:c>
      <x:c r="K14" s="24" t="str">
        <x:v>Hi-Vision Meiryo</x:v>
      </x:c>
      <x:c r="L14" s="40" t="n">
        <x:v>2949</x:v>
      </x:c>
      <x:c r="M14" s="24" t="n">
        <x:v>14</x:v>
      </x:c>
      <x:c r="N14" s="24" t="str">
        <x:v>Tratamento/produto marcado como “EM BREVE” na própria tabela HOYA; preço preservado, mas bloqueado no export web.</x:v>
      </x:c>
    </x:row>
    <x:row r="15">
      <x:c r="A15" s="24" t="str">
        <x:v>HY-34BD32CB4300</x:v>
      </x:c>
      <x:c r="B15" s="24" t="str">
        <x:v>NÃO</x:v>
      </x:c>
      <x:c r="C15" s="24" t="str">
        <x:v>EM BREVE</x:v>
      </x:c>
      <x:c r="D15" s="24" t="str">
        <x:v>HOYA</x:v>
      </x:c>
      <x:c r="E15" s="24" t="str">
        <x:v>Visão Simples</x:v>
      </x:c>
      <x:c r="F15" s="24" t="str">
        <x:v>Surfaçada</x:v>
      </x:c>
      <x:c r="G15" s="24" t="str">
        <x:v>Hilux</x:v>
      </x:c>
      <x:c r="H15" s="24" t="str">
        <x:v>SENSITY 2</x:v>
      </x:c>
      <x:c r="I15" s="24" t="str">
        <x:v>ORGANIC</x:v>
      </x:c>
      <x:c r="J15" s="24" t="str">
        <x:v>1.50</x:v>
      </x:c>
      <x:c r="K15" s="24" t="str">
        <x:v>Hi-Vision Meiryo</x:v>
      </x:c>
      <x:c r="L15" s="40" t="n">
        <x:v>2599</x:v>
      </x:c>
      <x:c r="M15" s="24" t="n">
        <x:v>14</x:v>
      </x:c>
      <x:c r="N15" s="24" t="str">
        <x:v>Tratamento/produto marcado como “EM BREVE” na própria tabela HOYA; preço preservado, mas bloqueado no export web.</x:v>
      </x:c>
    </x:row>
    <x:row r="16">
      <x:c r="A16" s="24" t="str">
        <x:v>HY-610EC71297E2</x:v>
      </x:c>
      <x:c r="B16" s="24" t="str">
        <x:v>SIM</x:v>
      </x:c>
      <x:c r="C16" s="24" t="str">
        <x:v>ESTOQUE LIMITADO</x:v>
      </x:c>
      <x:c r="D16" s="24" t="str">
        <x:v>HOYA</x:v>
      </x:c>
      <x:c r="E16" s="24" t="str">
        <x:v>Visão Simples</x:v>
      </x:c>
      <x:c r="F16" s="24" t="str">
        <x:v>Surfaçada</x:v>
      </x:c>
      <x:c r="G16" s="24" t="str">
        <x:v>Hilux</x:v>
      </x:c>
      <x:c r="H16" s="24" t="str">
        <x:v>SENSITY ORIGINAL</x:v>
      </x:c>
      <x:c r="I16" s="24" t="str">
        <x:v>PNX</x:v>
      </x:c>
      <x:c r="J16" s="24" t="str">
        <x:v>1.53</x:v>
      </x:c>
      <x:c r="K16" s="24" t="str">
        <x:v>Hi-Vision LongLife BlueControl</x:v>
      </x:c>
      <x:c r="L16" s="40" t="n">
        <x:v>2549</x:v>
      </x:c>
      <x:c r="M16" s="24" t="n">
        <x:v>14</x:v>
      </x:c>
      <x:c r="N16" s="24" t="str">
        <x:v>Sensity Original: “enquanto durarem os estoques”, conforme a tabela HOYA.</x:v>
      </x:c>
    </x:row>
    <x:row r="17">
      <x:c r="A17" s="24" t="str">
        <x:v>HY-99C0D2EE9D8A</x:v>
      </x:c>
      <x:c r="B17" s="24" t="str">
        <x:v>SIM</x:v>
      </x:c>
      <x:c r="C17" s="24" t="str">
        <x:v>ESTOQUE LIMITADO</x:v>
      </x:c>
      <x:c r="D17" s="24" t="str">
        <x:v>HOYA</x:v>
      </x:c>
      <x:c r="E17" s="24" t="str">
        <x:v>Visão Simples</x:v>
      </x:c>
      <x:c r="F17" s="24" t="str">
        <x:v>Surfaçada</x:v>
      </x:c>
      <x:c r="G17" s="24" t="str">
        <x:v>Hilux</x:v>
      </x:c>
      <x:c r="H17" s="24" t="str">
        <x:v>SENSITY ORIGINAL</x:v>
      </x:c>
      <x:c r="I17" s="24" t="str">
        <x:v>ORGANIC</x:v>
      </x:c>
      <x:c r="J17" s="24" t="str">
        <x:v>1.50</x:v>
      </x:c>
      <x:c r="K17" s="24" t="str">
        <x:v>Hi-Vision LongLife BlueControl</x:v>
      </x:c>
      <x:c r="L17" s="40" t="n">
        <x:v>2199</x:v>
      </x:c>
      <x:c r="M17" s="24" t="n">
        <x:v>14</x:v>
      </x:c>
      <x:c r="N17" s="24" t="str">
        <x:v>Sensity Original: “enquanto durarem os estoques”, conforme a tabela HOYA.</x:v>
      </x:c>
    </x:row>
    <x:row r="18">
      <x:c r="A18" s="24" t="str">
        <x:v>HY-BCDBF8DB9D16</x:v>
      </x:c>
      <x:c r="B18" s="24" t="str">
        <x:v>SIM</x:v>
      </x:c>
      <x:c r="C18" s="24" t="str">
        <x:v>ESTOQUE LIMITADO</x:v>
      </x:c>
      <x:c r="D18" s="24" t="str">
        <x:v>HOYA</x:v>
      </x:c>
      <x:c r="E18" s="24" t="str">
        <x:v>Visão Simples</x:v>
      </x:c>
      <x:c r="F18" s="24" t="str">
        <x:v>Surfaçada</x:v>
      </x:c>
      <x:c r="G18" s="24" t="str">
        <x:v>Hilux</x:v>
      </x:c>
      <x:c r="H18" s="24" t="str">
        <x:v>SENSITY ORIGINAL</x:v>
      </x:c>
      <x:c r="I18" s="24" t="str">
        <x:v>PNX</x:v>
      </x:c>
      <x:c r="J18" s="24" t="str">
        <x:v>1.53</x:v>
      </x:c>
      <x:c r="K18" s="24" t="str">
        <x:v>No-Risk BlueControl</x:v>
      </x:c>
      <x:c r="L18" s="40" t="n">
        <x:v>2299</x:v>
      </x:c>
      <x:c r="M18" s="24" t="n">
        <x:v>14</x:v>
      </x:c>
      <x:c r="N18" s="24" t="str">
        <x:v>Sensity Original: “enquanto durarem os estoques”, conforme a tabela HOYA.</x:v>
      </x:c>
    </x:row>
    <x:row r="19">
      <x:c r="A19" s="24" t="str">
        <x:v>HY-C3C70D60BB85</x:v>
      </x:c>
      <x:c r="B19" s="24" t="str">
        <x:v>SIM</x:v>
      </x:c>
      <x:c r="C19" s="24" t="str">
        <x:v>ESTOQUE LIMITADO</x:v>
      </x:c>
      <x:c r="D19" s="24" t="str">
        <x:v>HOYA</x:v>
      </x:c>
      <x:c r="E19" s="24" t="str">
        <x:v>Visão Simples</x:v>
      </x:c>
      <x:c r="F19" s="24" t="str">
        <x:v>Surfaçada</x:v>
      </x:c>
      <x:c r="G19" s="24" t="str">
        <x:v>Hilux</x:v>
      </x:c>
      <x:c r="H19" s="24" t="str">
        <x:v>SENSITY ORIGINAL</x:v>
      </x:c>
      <x:c r="I19" s="24" t="str">
        <x:v>ORGANIC</x:v>
      </x:c>
      <x:c r="J19" s="24" t="str">
        <x:v>1.50</x:v>
      </x:c>
      <x:c r="K19" s="24" t="str">
        <x:v>No-Risk BlueControl</x:v>
      </x:c>
      <x:c r="L19" s="40" t="n">
        <x:v>1949</x:v>
      </x:c>
      <x:c r="M19" s="24" t="n">
        <x:v>14</x:v>
      </x:c>
      <x:c r="N19" s="24" t="str">
        <x:v>Sensity Original: “enquanto durarem os estoques”, conforme a tabela HOYA.</x:v>
      </x:c>
    </x:row>
    <x:row r="20">
      <x:c r="A20" s="24" t="str">
        <x:v>HY-D761BEB8BEB2</x:v>
      </x:c>
      <x:c r="B20" s="24" t="str">
        <x:v>SIM</x:v>
      </x:c>
      <x:c r="C20" s="24" t="str">
        <x:v>ESTOQUE LIMITADO</x:v>
      </x:c>
      <x:c r="D20" s="24" t="str">
        <x:v>HOYA</x:v>
      </x:c>
      <x:c r="E20" s="24" t="str">
        <x:v>Visão Simples</x:v>
      </x:c>
      <x:c r="F20" s="24" t="str">
        <x:v>Surfaçada</x:v>
      </x:c>
      <x:c r="G20" s="24" t="str">
        <x:v>Hilux</x:v>
      </x:c>
      <x:c r="H20" s="24" t="str">
        <x:v>SENSITY ORIGINAL</x:v>
      </x:c>
      <x:c r="I20" s="24" t="str">
        <x:v>PNX</x:v>
      </x:c>
      <x:c r="J20" s="24" t="str">
        <x:v>1.53</x:v>
      </x:c>
      <x:c r="K20" s="24" t="str">
        <x:v>Hi-Vision Hard</x:v>
      </x:c>
      <x:c r="L20" s="40" t="n">
        <x:v>1649</x:v>
      </x:c>
      <x:c r="M20" s="24" t="n">
        <x:v>14</x:v>
      </x:c>
      <x:c r="N20" s="24" t="str">
        <x:v>Sensity Original: “enquanto durarem os estoques”, conforme a tabela HOYA.</x:v>
      </x:c>
    </x:row>
    <x:row r="21">
      <x:c r="A21" s="24" t="str">
        <x:v>HY-E3112E425769</x:v>
      </x:c>
      <x:c r="B21" s="24" t="str">
        <x:v>SIM</x:v>
      </x:c>
      <x:c r="C21" s="24" t="str">
        <x:v>ESTOQUE LIMITADO</x:v>
      </x:c>
      <x:c r="D21" s="24" t="str">
        <x:v>HOYA</x:v>
      </x:c>
      <x:c r="E21" s="24" t="str">
        <x:v>Visão Simples</x:v>
      </x:c>
      <x:c r="F21" s="24" t="str">
        <x:v>Surfaçada</x:v>
      </x:c>
      <x:c r="G21" s="24" t="str">
        <x:v>Hilux</x:v>
      </x:c>
      <x:c r="H21" s="24" t="str">
        <x:v>SENSITY ORIGINAL</x:v>
      </x:c>
      <x:c r="I21" s="24" t="str">
        <x:v>ORGANIC</x:v>
      </x:c>
      <x:c r="J21" s="24" t="str">
        <x:v>1.50</x:v>
      </x:c>
      <x:c r="K21" s="24" t="str">
        <x:v>Hi-Vision Hard</x:v>
      </x:c>
      <x:c r="L21" s="40" t="n">
        <x:v>1299</x:v>
      </x:c>
      <x:c r="M21" s="24" t="n">
        <x:v>14</x:v>
      </x:c>
      <x:c r="N21" s="24" t="str">
        <x:v>Sensity Original: “enquanto durarem os estoques”, conforme a tabela HOYA.</x:v>
      </x:c>
    </x:row>
    <x:row r="22">
      <x:c r="A22" s="24" t="str">
        <x:v>HY-A1F6557127D4</x:v>
      </x:c>
      <x:c r="B22" s="24" t="str">
        <x:v>SIM</x:v>
      </x:c>
      <x:c r="C22" s="24" t="str">
        <x:v>ESTOQUE LIMITADO</x:v>
      </x:c>
      <x:c r="D22" s="24" t="str">
        <x:v>HOYA</x:v>
      </x:c>
      <x:c r="E22" s="24" t="str">
        <x:v>Visão Simples</x:v>
      </x:c>
      <x:c r="F22" s="24" t="str">
        <x:v>Pronta</x:v>
      </x:c>
      <x:c r="G22" s="24" t="str">
        <x:v>Hilux</x:v>
      </x:c>
      <x:c r="H22" s="24" t="str">
        <x:v>SENSITY ORIGINAL</x:v>
      </x:c>
      <x:c r="I22" s="24" t="str">
        <x:v>ORGANIC</x:v>
      </x:c>
      <x:c r="J22" s="24" t="str">
        <x:v>1.50</x:v>
      </x:c>
      <x:c r="K22" s="24" t="str">
        <x:v>CleanExtra</x:v>
      </x:c>
      <x:c r="L22" s="40" t="n">
        <x:v>599</x:v>
      </x:c>
      <x:c r="M22" s="24" t="n">
        <x:v>17</x:v>
      </x:c>
      <x:c r="N22" s="24" t="str">
        <x:v>Sensity Original: “enquanto durarem os estoques”, conforme a tabela HOYA.</x:v>
      </x:c>
    </x:row>
    <x:row r="23">
      <x:c r="A23" s="24" t="str">
        <x:v>HY-DE96B2473173</x:v>
      </x:c>
      <x:c r="B23" s="24" t="str">
        <x:v>NÃO</x:v>
      </x:c>
      <x:c r="C23" s="24" t="str">
        <x:v>EM BREVE</x:v>
      </x:c>
      <x:c r="D23" s="24" t="str">
        <x:v>HOYA</x:v>
      </x:c>
      <x:c r="E23" s="24" t="str">
        <x:v>Progressiva</x:v>
      </x:c>
      <x:c r="F23" s="24" t="str">
        <x:v>Surfaçada</x:v>
      </x:c>
      <x:c r="G23" s="24" t="str">
        <x:v>Hoyalux Balansis</x:v>
      </x:c>
      <x:c r="H23" s="24" t="str">
        <x:v>INCOLOR</x:v>
      </x:c>
      <x:c r="I23" s="24" t="str">
        <x:v>EYNOA</x:v>
      </x:c>
      <x:c r="J23" s="24" t="str">
        <x:v>1.67</x:v>
      </x:c>
      <x:c r="K23" s="24" t="str">
        <x:v>Hi-Vision Meiryo</x:v>
      </x:c>
      <x:c r="L23" s="40" t="n">
        <x:v>7159</x:v>
      </x:c>
      <x:c r="M23" s="24" t="n">
        <x:v>26</x:v>
      </x:c>
      <x:c r="N23" s="24" t="str">
        <x:v>Tratamento/produto marcado como “EM BREVE” na própria tabela HOYA; preço preservado, mas bloqueado no export web.</x:v>
      </x:c>
    </x:row>
    <x:row r="24">
      <x:c r="A24" s="24" t="str">
        <x:v>HY-2D87E4B3708D</x:v>
      </x:c>
      <x:c r="B24" s="24" t="str">
        <x:v>NÃO</x:v>
      </x:c>
      <x:c r="C24" s="24" t="str">
        <x:v>EM BREVE</x:v>
      </x:c>
      <x:c r="D24" s="24" t="str">
        <x:v>HOYA</x:v>
      </x:c>
      <x:c r="E24" s="24" t="str">
        <x:v>Progressiva</x:v>
      </x:c>
      <x:c r="F24" s="24" t="str">
        <x:v>Surfaçada</x:v>
      </x:c>
      <x:c r="G24" s="24" t="str">
        <x:v>Hoyalux Balansis</x:v>
      </x:c>
      <x:c r="H24" s="24" t="str">
        <x:v>INCOLOR</x:v>
      </x:c>
      <x:c r="I24" s="24" t="str">
        <x:v>EYAS 2.0</x:v>
      </x:c>
      <x:c r="J24" s="24" t="str">
        <x:v>1.60</x:v>
      </x:c>
      <x:c r="K24" s="24" t="str">
        <x:v>Hi-Vision Meiryo</x:v>
      </x:c>
      <x:c r="L24" s="40" t="n">
        <x:v>5359</x:v>
      </x:c>
      <x:c r="M24" s="24" t="n">
        <x:v>26</x:v>
      </x:c>
      <x:c r="N24" s="24" t="str">
        <x:v>Tratamento/produto marcado como “EM BREVE” na própria tabela HOYA; preço preservado, mas bloqueado no export web.</x:v>
      </x:c>
    </x:row>
    <x:row r="25">
      <x:c r="A25" s="24" t="str">
        <x:v>HY-2F7BECCF209D</x:v>
      </x:c>
      <x:c r="B25" s="24" t="str">
        <x:v>NÃO</x:v>
      </x:c>
      <x:c r="C25" s="24" t="str">
        <x:v>EM BREVE</x:v>
      </x:c>
      <x:c r="D25" s="24" t="str">
        <x:v>HOYA</x:v>
      </x:c>
      <x:c r="E25" s="24" t="str">
        <x:v>Progressiva</x:v>
      </x:c>
      <x:c r="F25" s="24" t="str">
        <x:v>Surfaçada</x:v>
      </x:c>
      <x:c r="G25" s="24" t="str">
        <x:v>Hoyalux Balansis</x:v>
      </x:c>
      <x:c r="H25" s="24" t="str">
        <x:v>INCOLOR</x:v>
      </x:c>
      <x:c r="I25" s="24" t="str">
        <x:v>PNX</x:v>
      </x:c>
      <x:c r="J25" s="24" t="str">
        <x:v>1.53</x:v>
      </x:c>
      <x:c r="K25" s="24" t="str">
        <x:v>Hi-Vision Meiryo</x:v>
      </x:c>
      <x:c r="L25" s="40" t="n">
        <x:v>4899</x:v>
      </x:c>
      <x:c r="M25" s="24" t="n">
        <x:v>26</x:v>
      </x:c>
      <x:c r="N25" s="24" t="str">
        <x:v>Tratamento/produto marcado como “EM BREVE” na própria tabela HOYA; preço preservado, mas bloqueado no export web.</x:v>
      </x:c>
    </x:row>
    <x:row r="26">
      <x:c r="A26" s="24" t="str">
        <x:v>HY-6FBAE8DAEBAB</x:v>
      </x:c>
      <x:c r="B26" s="24" t="str">
        <x:v>NÃO</x:v>
      </x:c>
      <x:c r="C26" s="24" t="str">
        <x:v>EM BREVE</x:v>
      </x:c>
      <x:c r="D26" s="24" t="str">
        <x:v>HOYA</x:v>
      </x:c>
      <x:c r="E26" s="24" t="str">
        <x:v>Progressiva</x:v>
      </x:c>
      <x:c r="F26" s="24" t="str">
        <x:v>Surfaçada</x:v>
      </x:c>
      <x:c r="G26" s="24" t="str">
        <x:v>Hoyalux Balansis</x:v>
      </x:c>
      <x:c r="H26" s="24" t="str">
        <x:v>INCOLOR</x:v>
      </x:c>
      <x:c r="I26" s="24" t="str">
        <x:v>ORGANIC</x:v>
      </x:c>
      <x:c r="J26" s="24" t="str">
        <x:v>1.50</x:v>
      </x:c>
      <x:c r="K26" s="24" t="str">
        <x:v>Hi-Vision Meiryo</x:v>
      </x:c>
      <x:c r="L26" s="40" t="n">
        <x:v>4549</x:v>
      </x:c>
      <x:c r="M26" s="24" t="n">
        <x:v>26</x:v>
      </x:c>
      <x:c r="N26" s="24" t="str">
        <x:v>Tratamento/produto marcado como “EM BREVE” na própria tabela HOYA; preço preservado, mas bloqueado no export web.</x:v>
      </x:c>
    </x:row>
    <x:row r="27">
      <x:c r="A27" s="24" t="str">
        <x:v>HY-D9D029A4832C</x:v>
      </x:c>
      <x:c r="B27" s="24" t="str">
        <x:v>NÃO</x:v>
      </x:c>
      <x:c r="C27" s="24" t="str">
        <x:v>EM BREVE</x:v>
      </x:c>
      <x:c r="D27" s="24" t="str">
        <x:v>HOYA</x:v>
      </x:c>
      <x:c r="E27" s="24" t="str">
        <x:v>Progressiva</x:v>
      </x:c>
      <x:c r="F27" s="24" t="str">
        <x:v>Surfaçada</x:v>
      </x:c>
      <x:c r="G27" s="24" t="str">
        <x:v>Hoyalux Balansis</x:v>
      </x:c>
      <x:c r="H27" s="24" t="str">
        <x:v>SENSITY 2</x:v>
      </x:c>
      <x:c r="I27" s="24" t="str">
        <x:v>EYNOA</x:v>
      </x:c>
      <x:c r="J27" s="24" t="str">
        <x:v>1.67</x:v>
      </x:c>
      <x:c r="K27" s="24" t="str">
        <x:v>Hi-Vision Meiryo</x:v>
      </x:c>
      <x:c r="L27" s="40" t="n">
        <x:v>8559</x:v>
      </x:c>
      <x:c r="M27" s="24" t="n">
        <x:v>26</x:v>
      </x:c>
      <x:c r="N27" s="24" t="str">
        <x:v>Tratamento/produto marcado como “EM BREVE” na própria tabela HOYA; preço preservado, mas bloqueado no export web.</x:v>
      </x:c>
    </x:row>
    <x:row r="28">
      <x:c r="A28" s="24" t="str">
        <x:v>HY-E60FA0B83990</x:v>
      </x:c>
      <x:c r="B28" s="24" t="str">
        <x:v>NÃO</x:v>
      </x:c>
      <x:c r="C28" s="24" t="str">
        <x:v>EM BREVE</x:v>
      </x:c>
      <x:c r="D28" s="24" t="str">
        <x:v>HOYA</x:v>
      </x:c>
      <x:c r="E28" s="24" t="str">
        <x:v>Progressiva</x:v>
      </x:c>
      <x:c r="F28" s="24" t="str">
        <x:v>Surfaçada</x:v>
      </x:c>
      <x:c r="G28" s="24" t="str">
        <x:v>Hoyalux Balansis</x:v>
      </x:c>
      <x:c r="H28" s="24" t="str">
        <x:v>SENSITY 2</x:v>
      </x:c>
      <x:c r="I28" s="24" t="str">
        <x:v>PNX</x:v>
      </x:c>
      <x:c r="J28" s="24" t="str">
        <x:v>1.53</x:v>
      </x:c>
      <x:c r="K28" s="24" t="str">
        <x:v>Hi-Vision Meiryo</x:v>
      </x:c>
      <x:c r="L28" s="40" t="n">
        <x:v>6299</x:v>
      </x:c>
      <x:c r="M28" s="24" t="n">
        <x:v>26</x:v>
      </x:c>
      <x:c r="N28" s="24" t="str">
        <x:v>Tratamento/produto marcado como “EM BREVE” na própria tabela HOYA; preço preservado, mas bloqueado no export web.</x:v>
      </x:c>
    </x:row>
    <x:row r="29">
      <x:c r="A29" s="24" t="str">
        <x:v>HY-A5806CB66236</x:v>
      </x:c>
      <x:c r="B29" s="24" t="str">
        <x:v>NÃO</x:v>
      </x:c>
      <x:c r="C29" s="24" t="str">
        <x:v>EM BREVE</x:v>
      </x:c>
      <x:c r="D29" s="24" t="str">
        <x:v>HOYA</x:v>
      </x:c>
      <x:c r="E29" s="24" t="str">
        <x:v>Progressiva</x:v>
      </x:c>
      <x:c r="F29" s="24" t="str">
        <x:v>Surfaçada</x:v>
      </x:c>
      <x:c r="G29" s="24" t="str">
        <x:v>Hoyalux Balansis</x:v>
      </x:c>
      <x:c r="H29" s="24" t="str">
        <x:v>SENSITY 2</x:v>
      </x:c>
      <x:c r="I29" s="24" t="str">
        <x:v>ORGANIC</x:v>
      </x:c>
      <x:c r="J29" s="24" t="str">
        <x:v>1.50</x:v>
      </x:c>
      <x:c r="K29" s="24" t="str">
        <x:v>Hi-Vision Meiryo</x:v>
      </x:c>
      <x:c r="L29" s="40" t="n">
        <x:v>5949</x:v>
      </x:c>
      <x:c r="M29" s="24" t="n">
        <x:v>26</x:v>
      </x:c>
      <x:c r="N29" s="24" t="str">
        <x:v>Tratamento/produto marcado como “EM BREVE” na própria tabela HOYA; preço preservado, mas bloqueado no export web.</x:v>
      </x:c>
    </x:row>
    <x:row r="30">
      <x:c r="A30" s="24" t="str">
        <x:v>HY-2FDAA7D91CEA</x:v>
      </x:c>
      <x:c r="B30" s="24" t="str">
        <x:v>NÃO</x:v>
      </x:c>
      <x:c r="C30" s="24" t="str">
        <x:v>EM BREVE</x:v>
      </x:c>
      <x:c r="D30" s="24" t="str">
        <x:v>HOYA</x:v>
      </x:c>
      <x:c r="E30" s="24" t="str">
        <x:v>Progressiva</x:v>
      </x:c>
      <x:c r="F30" s="24" t="str">
        <x:v>Surfaçada</x:v>
      </x:c>
      <x:c r="G30" s="24" t="str">
        <x:v>Hoyalux Daynamic</x:v>
      </x:c>
      <x:c r="H30" s="24" t="str">
        <x:v>INCOLOR</x:v>
      </x:c>
      <x:c r="I30" s="24" t="str">
        <x:v>EYNOA</x:v>
      </x:c>
      <x:c r="J30" s="24" t="str">
        <x:v>1.67</x:v>
      </x:c>
      <x:c r="K30" s="24" t="str">
        <x:v>Hi-Vision Meiryo</x:v>
      </x:c>
      <x:c r="L30" s="40" t="n">
        <x:v>5999</x:v>
      </x:c>
      <x:c r="M30" s="24" t="n">
        <x:v>27</x:v>
      </x:c>
      <x:c r="N30" s="24" t="str">
        <x:v>Tratamento/produto marcado como “EM BREVE” na própria tabela HOYA; preço preservado, mas bloqueado no export web.</x:v>
      </x:c>
    </x:row>
    <x:row r="31">
      <x:c r="A31" s="24" t="str">
        <x:v>HY-4A0036B496E0</x:v>
      </x:c>
      <x:c r="B31" s="24" t="str">
        <x:v>NÃO</x:v>
      </x:c>
      <x:c r="C31" s="24" t="str">
        <x:v>EM BREVE</x:v>
      </x:c>
      <x:c r="D31" s="24" t="str">
        <x:v>HOYA</x:v>
      </x:c>
      <x:c r="E31" s="24" t="str">
        <x:v>Progressiva</x:v>
      </x:c>
      <x:c r="F31" s="24" t="str">
        <x:v>Surfaçada</x:v>
      </x:c>
      <x:c r="G31" s="24" t="str">
        <x:v>Hoyalux Daynamic</x:v>
      </x:c>
      <x:c r="H31" s="24" t="str">
        <x:v>INCOLOR</x:v>
      </x:c>
      <x:c r="I31" s="24" t="str">
        <x:v>EYAS 2.0</x:v>
      </x:c>
      <x:c r="J31" s="24" t="str">
        <x:v>1.60</x:v>
      </x:c>
      <x:c r="K31" s="24" t="str">
        <x:v>Hi-Vision Meiryo</x:v>
      </x:c>
      <x:c r="L31" s="40" t="n">
        <x:v>4199</x:v>
      </x:c>
      <x:c r="M31" s="24" t="n">
        <x:v>27</x:v>
      </x:c>
      <x:c r="N31" s="24" t="str">
        <x:v>Tratamento/produto marcado como “EM BREVE” na própria tabela HOYA; preço preservado, mas bloqueado no export web.</x:v>
      </x:c>
    </x:row>
    <x:row r="32">
      <x:c r="A32" s="24" t="str">
        <x:v>HY-FDB3039579E5</x:v>
      </x:c>
      <x:c r="B32" s="24" t="str">
        <x:v>NÃO</x:v>
      </x:c>
      <x:c r="C32" s="24" t="str">
        <x:v>EM BREVE</x:v>
      </x:c>
      <x:c r="D32" s="24" t="str">
        <x:v>HOYA</x:v>
      </x:c>
      <x:c r="E32" s="24" t="str">
        <x:v>Progressiva</x:v>
      </x:c>
      <x:c r="F32" s="24" t="str">
        <x:v>Surfaçada</x:v>
      </x:c>
      <x:c r="G32" s="24" t="str">
        <x:v>Hoyalux Daynamic</x:v>
      </x:c>
      <x:c r="H32" s="24" t="str">
        <x:v>INCOLOR</x:v>
      </x:c>
      <x:c r="I32" s="24" t="str">
        <x:v>PNX</x:v>
      </x:c>
      <x:c r="J32" s="24" t="str">
        <x:v>1.53</x:v>
      </x:c>
      <x:c r="K32" s="24" t="str">
        <x:v>Hi-Vision Meiryo</x:v>
      </x:c>
      <x:c r="L32" s="40" t="n">
        <x:v>3739</x:v>
      </x:c>
      <x:c r="M32" s="24" t="n">
        <x:v>27</x:v>
      </x:c>
      <x:c r="N32" s="24" t="str">
        <x:v>Tratamento/produto marcado como “EM BREVE” na própria tabela HOYA; preço preservado, mas bloqueado no export web.</x:v>
      </x:c>
    </x:row>
    <x:row r="33">
      <x:c r="A33" s="24" t="str">
        <x:v>HY-51BEEB1458C9</x:v>
      </x:c>
      <x:c r="B33" s="24" t="str">
        <x:v>NÃO</x:v>
      </x:c>
      <x:c r="C33" s="24" t="str">
        <x:v>EM BREVE</x:v>
      </x:c>
      <x:c r="D33" s="24" t="str">
        <x:v>HOYA</x:v>
      </x:c>
      <x:c r="E33" s="24" t="str">
        <x:v>Progressiva</x:v>
      </x:c>
      <x:c r="F33" s="24" t="str">
        <x:v>Surfaçada</x:v>
      </x:c>
      <x:c r="G33" s="24" t="str">
        <x:v>Hoyalux Daynamic</x:v>
      </x:c>
      <x:c r="H33" s="24" t="str">
        <x:v>INCOLOR</x:v>
      </x:c>
      <x:c r="I33" s="24" t="str">
        <x:v>ORGANIC</x:v>
      </x:c>
      <x:c r="J33" s="24" t="str">
        <x:v>1.50</x:v>
      </x:c>
      <x:c r="K33" s="24" t="str">
        <x:v>Hi-Vision Meiryo</x:v>
      </x:c>
      <x:c r="L33" s="40" t="n">
        <x:v>3389</x:v>
      </x:c>
      <x:c r="M33" s="24" t="n">
        <x:v>27</x:v>
      </x:c>
      <x:c r="N33" s="24" t="str">
        <x:v>Tratamento/produto marcado como “EM BREVE” na própria tabela HOYA; preço preservado, mas bloqueado no export web.</x:v>
      </x:c>
    </x:row>
    <x:row r="34">
      <x:c r="A34" s="24" t="str">
        <x:v>HY-82B3825FC7EE</x:v>
      </x:c>
      <x:c r="B34" s="24" t="str">
        <x:v>NÃO</x:v>
      </x:c>
      <x:c r="C34" s="24" t="str">
        <x:v>EM BREVE</x:v>
      </x:c>
      <x:c r="D34" s="24" t="str">
        <x:v>HOYA</x:v>
      </x:c>
      <x:c r="E34" s="24" t="str">
        <x:v>Progressiva</x:v>
      </x:c>
      <x:c r="F34" s="24" t="str">
        <x:v>Surfaçada</x:v>
      </x:c>
      <x:c r="G34" s="24" t="str">
        <x:v>Hoyalux Daynamic</x:v>
      </x:c>
      <x:c r="H34" s="24" t="str">
        <x:v>SENSITY 2</x:v>
      </x:c>
      <x:c r="I34" s="24" t="str">
        <x:v>EYNOA</x:v>
      </x:c>
      <x:c r="J34" s="24" t="str">
        <x:v>1.67</x:v>
      </x:c>
      <x:c r="K34" s="24" t="str">
        <x:v>Hi-Vision Meiryo</x:v>
      </x:c>
      <x:c r="L34" s="40" t="n">
        <x:v>7399</x:v>
      </x:c>
      <x:c r="M34" s="24" t="n">
        <x:v>27</x:v>
      </x:c>
      <x:c r="N34" s="24" t="str">
        <x:v>Tratamento/produto marcado como “EM BREVE” na própria tabela HOYA; preço preservado, mas bloqueado no export web.</x:v>
      </x:c>
    </x:row>
    <x:row r="35">
      <x:c r="A35" s="24" t="str">
        <x:v>HY-BA127C3EF78D</x:v>
      </x:c>
      <x:c r="B35" s="24" t="str">
        <x:v>NÃO</x:v>
      </x:c>
      <x:c r="C35" s="24" t="str">
        <x:v>EM BREVE</x:v>
      </x:c>
      <x:c r="D35" s="24" t="str">
        <x:v>HOYA</x:v>
      </x:c>
      <x:c r="E35" s="24" t="str">
        <x:v>Progressiva</x:v>
      </x:c>
      <x:c r="F35" s="24" t="str">
        <x:v>Surfaçada</x:v>
      </x:c>
      <x:c r="G35" s="24" t="str">
        <x:v>Hoyalux Daynamic</x:v>
      </x:c>
      <x:c r="H35" s="24" t="str">
        <x:v>SENSITY 2</x:v>
      </x:c>
      <x:c r="I35" s="24" t="str">
        <x:v>PNX</x:v>
      </x:c>
      <x:c r="J35" s="24" t="str">
        <x:v>1.53</x:v>
      </x:c>
      <x:c r="K35" s="24" t="str">
        <x:v>Hi-Vision Meiryo</x:v>
      </x:c>
      <x:c r="L35" s="40" t="n">
        <x:v>5139</x:v>
      </x:c>
      <x:c r="M35" s="24" t="n">
        <x:v>27</x:v>
      </x:c>
      <x:c r="N35" s="24" t="str">
        <x:v>Tratamento/produto marcado como “EM BREVE” na própria tabela HOYA; preço preservado, mas bloqueado no export web.</x:v>
      </x:c>
    </x:row>
    <x:row r="36">
      <x:c r="A36" s="24" t="str">
        <x:v>HY-679F0991A8AA</x:v>
      </x:c>
      <x:c r="B36" s="24" t="str">
        <x:v>NÃO</x:v>
      </x:c>
      <x:c r="C36" s="24" t="str">
        <x:v>EM BREVE</x:v>
      </x:c>
      <x:c r="D36" s="24" t="str">
        <x:v>HOYA</x:v>
      </x:c>
      <x:c r="E36" s="24" t="str">
        <x:v>Progressiva</x:v>
      </x:c>
      <x:c r="F36" s="24" t="str">
        <x:v>Surfaçada</x:v>
      </x:c>
      <x:c r="G36" s="24" t="str">
        <x:v>Hoyalux Daynamic</x:v>
      </x:c>
      <x:c r="H36" s="24" t="str">
        <x:v>SENSITY 2</x:v>
      </x:c>
      <x:c r="I36" s="24" t="str">
        <x:v>ORGANIC</x:v>
      </x:c>
      <x:c r="J36" s="24" t="str">
        <x:v>1.50</x:v>
      </x:c>
      <x:c r="K36" s="24" t="str">
        <x:v>Hi-Vision Meiryo</x:v>
      </x:c>
      <x:c r="L36" s="40" t="n">
        <x:v>4789</x:v>
      </x:c>
      <x:c r="M36" s="24" t="n">
        <x:v>27</x:v>
      </x:c>
      <x:c r="N36" s="24" t="str">
        <x:v>Tratamento/produto marcado como “EM BREVE” na própria tabela HOYA; preço preservado, mas bloqueado no export web.</x:v>
      </x:c>
    </x:row>
    <x:row r="37">
      <x:c r="A37" s="24" t="str">
        <x:v>HY-2EB770297AF2</x:v>
      </x:c>
      <x:c r="B37" s="24" t="str">
        <x:v>NÃO</x:v>
      </x:c>
      <x:c r="C37" s="24" t="str">
        <x:v>EM BREVE</x:v>
      </x:c>
      <x:c r="D37" s="24" t="str">
        <x:v>HOYA</x:v>
      </x:c>
      <x:c r="E37" s="24" t="str">
        <x:v>Progressiva</x:v>
      </x:c>
      <x:c r="F37" s="24" t="str">
        <x:v>Surfaçada</x:v>
      </x:c>
      <x:c r="G37" s="24" t="str">
        <x:v>HOYA Argos</x:v>
      </x:c>
      <x:c r="H37" s="24" t="str">
        <x:v>INCOLOR</x:v>
      </x:c>
      <x:c r="I37" s="24" t="str">
        <x:v>EYNOA</x:v>
      </x:c>
      <x:c r="J37" s="24" t="str">
        <x:v>1.67</x:v>
      </x:c>
      <x:c r="K37" s="24" t="str">
        <x:v>Hi-Vision Meiryo</x:v>
      </x:c>
      <x:c r="L37" s="40" t="n">
        <x:v>4959</x:v>
      </x:c>
      <x:c r="M37" s="24" t="n">
        <x:v>28</x:v>
      </x:c>
      <x:c r="N37" s="24" t="str">
        <x:v>Tratamento/produto marcado como “EM BREVE” na própria tabela HOYA; preço preservado, mas bloqueado no export web.</x:v>
      </x:c>
    </x:row>
    <x:row r="38">
      <x:c r="A38" s="24" t="str">
        <x:v>HY-4CFC695A4007</x:v>
      </x:c>
      <x:c r="B38" s="24" t="str">
        <x:v>NÃO</x:v>
      </x:c>
      <x:c r="C38" s="24" t="str">
        <x:v>EM BREVE</x:v>
      </x:c>
      <x:c r="D38" s="24" t="str">
        <x:v>HOYA</x:v>
      </x:c>
      <x:c r="E38" s="24" t="str">
        <x:v>Progressiva</x:v>
      </x:c>
      <x:c r="F38" s="24" t="str">
        <x:v>Surfaçada</x:v>
      </x:c>
      <x:c r="G38" s="24" t="str">
        <x:v>HOYA Argos</x:v>
      </x:c>
      <x:c r="H38" s="24" t="str">
        <x:v>INCOLOR</x:v>
      </x:c>
      <x:c r="I38" s="24" t="str">
        <x:v>EYAS 2.0</x:v>
      </x:c>
      <x:c r="J38" s="24" t="str">
        <x:v>1.60</x:v>
      </x:c>
      <x:c r="K38" s="24" t="str">
        <x:v>Hi-Vision Meiryo</x:v>
      </x:c>
      <x:c r="L38" s="40" t="n">
        <x:v>3159</x:v>
      </x:c>
      <x:c r="M38" s="24" t="n">
        <x:v>28</x:v>
      </x:c>
      <x:c r="N38" s="24" t="str">
        <x:v>Tratamento/produto marcado como “EM BREVE” na própria tabela HOYA; preço preservado, mas bloqueado no export web.</x:v>
      </x:c>
    </x:row>
    <x:row r="39">
      <x:c r="A39" s="24" t="str">
        <x:v>HY-CA7E5363B5CA</x:v>
      </x:c>
      <x:c r="B39" s="24" t="str">
        <x:v>NÃO</x:v>
      </x:c>
      <x:c r="C39" s="24" t="str">
        <x:v>EM BREVE</x:v>
      </x:c>
      <x:c r="D39" s="24" t="str">
        <x:v>HOYA</x:v>
      </x:c>
      <x:c r="E39" s="24" t="str">
        <x:v>Progressiva</x:v>
      </x:c>
      <x:c r="F39" s="24" t="str">
        <x:v>Surfaçada</x:v>
      </x:c>
      <x:c r="G39" s="24" t="str">
        <x:v>HOYA Argos</x:v>
      </x:c>
      <x:c r="H39" s="24" t="str">
        <x:v>INCOLOR</x:v>
      </x:c>
      <x:c r="I39" s="24" t="str">
        <x:v>POLI</x:v>
      </x:c>
      <x:c r="J39" s="24" t="str">
        <x:v>1.59</x:v>
      </x:c>
      <x:c r="K39" s="24" t="str">
        <x:v>Hi-Vision Meiryo</x:v>
      </x:c>
      <x:c r="L39" s="40" t="n">
        <x:v>2699</x:v>
      </x:c>
      <x:c r="M39" s="24" t="n">
        <x:v>28</x:v>
      </x:c>
      <x:c r="N39" s="24" t="str">
        <x:v>Tratamento/produto marcado como “EM BREVE” na própria tabela HOYA; preço preservado, mas bloqueado no export web.</x:v>
      </x:c>
    </x:row>
    <x:row r="40">
      <x:c r="A40" s="24" t="str">
        <x:v>HY-84662724350A</x:v>
      </x:c>
      <x:c r="B40" s="24" t="str">
        <x:v>NÃO</x:v>
      </x:c>
      <x:c r="C40" s="24" t="str">
        <x:v>EM BREVE</x:v>
      </x:c>
      <x:c r="D40" s="24" t="str">
        <x:v>HOYA</x:v>
      </x:c>
      <x:c r="E40" s="24" t="str">
        <x:v>Progressiva</x:v>
      </x:c>
      <x:c r="F40" s="24" t="str">
        <x:v>Surfaçada</x:v>
      </x:c>
      <x:c r="G40" s="24" t="str">
        <x:v>HOYA Argos</x:v>
      </x:c>
      <x:c r="H40" s="24" t="str">
        <x:v>INCOLOR</x:v>
      </x:c>
      <x:c r="I40" s="24" t="str">
        <x:v>PNX</x:v>
      </x:c>
      <x:c r="J40" s="24" t="str">
        <x:v>1.53</x:v>
      </x:c>
      <x:c r="K40" s="24" t="str">
        <x:v>Hi-Vision Meiryo</x:v>
      </x:c>
      <x:c r="L40" s="40" t="n">
        <x:v>2699</x:v>
      </x:c>
      <x:c r="M40" s="24" t="n">
        <x:v>28</x:v>
      </x:c>
      <x:c r="N40" s="24" t="str">
        <x:v>Tratamento/produto marcado como “EM BREVE” na própria tabela HOYA; preço preservado, mas bloqueado no export web.</x:v>
      </x:c>
    </x:row>
    <x:row r="41">
      <x:c r="A41" s="24" t="str">
        <x:v>HY-B8185997D90F</x:v>
      </x:c>
      <x:c r="B41" s="24" t="str">
        <x:v>NÃO</x:v>
      </x:c>
      <x:c r="C41" s="24" t="str">
        <x:v>EM BREVE</x:v>
      </x:c>
      <x:c r="D41" s="24" t="str">
        <x:v>HOYA</x:v>
      </x:c>
      <x:c r="E41" s="24" t="str">
        <x:v>Progressiva</x:v>
      </x:c>
      <x:c r="F41" s="24" t="str">
        <x:v>Surfaçada</x:v>
      </x:c>
      <x:c r="G41" s="24" t="str">
        <x:v>HOYA Argos</x:v>
      </x:c>
      <x:c r="H41" s="24" t="str">
        <x:v>INCOLOR</x:v>
      </x:c>
      <x:c r="I41" s="24" t="str">
        <x:v>ORGANIC</x:v>
      </x:c>
      <x:c r="J41" s="24" t="str">
        <x:v>1.50</x:v>
      </x:c>
      <x:c r="K41" s="24" t="str">
        <x:v>Hi-Vision Meiryo</x:v>
      </x:c>
      <x:c r="L41" s="40" t="n">
        <x:v>2349</x:v>
      </x:c>
      <x:c r="M41" s="24" t="n">
        <x:v>28</x:v>
      </x:c>
      <x:c r="N41" s="24" t="str">
        <x:v>Tratamento/produto marcado como “EM BREVE” na própria tabela HOYA; preço preservado, mas bloqueado no export web.</x:v>
      </x:c>
    </x:row>
    <x:row r="42">
      <x:c r="A42" s="24" t="str">
        <x:v>HY-266F5C41F0B2</x:v>
      </x:c>
      <x:c r="B42" s="24" t="str">
        <x:v>NÃO</x:v>
      </x:c>
      <x:c r="C42" s="24" t="str">
        <x:v>EM BREVE</x:v>
      </x:c>
      <x:c r="D42" s="24" t="str">
        <x:v>HOYA</x:v>
      </x:c>
      <x:c r="E42" s="24" t="str">
        <x:v>Progressiva</x:v>
      </x:c>
      <x:c r="F42" s="24" t="str">
        <x:v>Surfaçada</x:v>
      </x:c>
      <x:c r="G42" s="24" t="str">
        <x:v>HOYA Argos</x:v>
      </x:c>
      <x:c r="H42" s="24" t="str">
        <x:v>SENSITY 2</x:v>
      </x:c>
      <x:c r="I42" s="24" t="str">
        <x:v>PNX</x:v>
      </x:c>
      <x:c r="J42" s="24" t="str">
        <x:v>1.53</x:v>
      </x:c>
      <x:c r="K42" s="24" t="str">
        <x:v>Hi-Vision Meiryo</x:v>
      </x:c>
      <x:c r="L42" s="40" t="n">
        <x:v>4099</x:v>
      </x:c>
      <x:c r="M42" s="24" t="n">
        <x:v>28</x:v>
      </x:c>
      <x:c r="N42" s="24" t="str">
        <x:v>Tratamento/produto marcado como “EM BREVE” na própria tabela HOYA; preço preservado, mas bloqueado no export web.</x:v>
      </x:c>
    </x:row>
    <x:row r="43">
      <x:c r="A43" s="24" t="str">
        <x:v>HY-2B8D657567F3</x:v>
      </x:c>
      <x:c r="B43" s="24" t="str">
        <x:v>NÃO</x:v>
      </x:c>
      <x:c r="C43" s="24" t="str">
        <x:v>EM BREVE</x:v>
      </x:c>
      <x:c r="D43" s="24" t="str">
        <x:v>HOYA</x:v>
      </x:c>
      <x:c r="E43" s="24" t="str">
        <x:v>Progressiva</x:v>
      </x:c>
      <x:c r="F43" s="24" t="str">
        <x:v>Surfaçada</x:v>
      </x:c>
      <x:c r="G43" s="24" t="str">
        <x:v>HOYA Argos</x:v>
      </x:c>
      <x:c r="H43" s="24" t="str">
        <x:v>SENSITY 2</x:v>
      </x:c>
      <x:c r="I43" s="24" t="str">
        <x:v>ORGANIC</x:v>
      </x:c>
      <x:c r="J43" s="24" t="str">
        <x:v>1.50</x:v>
      </x:c>
      <x:c r="K43" s="24" t="str">
        <x:v>Hi-Vision Meiryo</x:v>
      </x:c>
      <x:c r="L43" s="40" t="n">
        <x:v>3749</x:v>
      </x:c>
      <x:c r="M43" s="24" t="n">
        <x:v>28</x:v>
      </x:c>
      <x:c r="N43" s="24" t="str">
        <x:v>Tratamento/produto marcado como “EM BREVE” na própria tabela HOYA; preço preservado, mas bloqueado no export web.</x:v>
      </x:c>
    </x:row>
    <x:row r="44">
      <x:c r="A44" s="24" t="str">
        <x:v>HY-85E18E06F715</x:v>
      </x:c>
      <x:c r="B44" s="24" t="str">
        <x:v>SIM</x:v>
      </x:c>
      <x:c r="C44" s="24" t="str">
        <x:v>ESTOQUE LIMITADO</x:v>
      </x:c>
      <x:c r="D44" s="24" t="str">
        <x:v>HOYA</x:v>
      </x:c>
      <x:c r="E44" s="24" t="str">
        <x:v>Progressiva</x:v>
      </x:c>
      <x:c r="F44" s="24" t="str">
        <x:v>Surfaçada</x:v>
      </x:c>
      <x:c r="G44" s="24" t="str">
        <x:v>HOYA Argos</x:v>
      </x:c>
      <x:c r="H44" s="24" t="str">
        <x:v>SENSITY ORIGINAL</x:v>
      </x:c>
      <x:c r="I44" s="24" t="str">
        <x:v>PNX</x:v>
      </x:c>
      <x:c r="J44" s="24" t="str">
        <x:v>1.53</x:v>
      </x:c>
      <x:c r="K44" s="24" t="str">
        <x:v>Hi-Vision LongLife BlueControl</x:v>
      </x:c>
      <x:c r="L44" s="40" t="n">
        <x:v>3499</x:v>
      </x:c>
      <x:c r="M44" s="24" t="n">
        <x:v>28</x:v>
      </x:c>
      <x:c r="N44" s="24" t="str">
        <x:v>Sensity Original: “enquanto durarem os estoques”, conforme a tabela HOYA.</x:v>
      </x:c>
    </x:row>
    <x:row r="45">
      <x:c r="A45" s="24" t="str">
        <x:v>HY-40FB1910727C</x:v>
      </x:c>
      <x:c r="B45" s="24" t="str">
        <x:v>SIM</x:v>
      </x:c>
      <x:c r="C45" s="24" t="str">
        <x:v>ESTOQUE LIMITADO</x:v>
      </x:c>
      <x:c r="D45" s="24" t="str">
        <x:v>HOYA</x:v>
      </x:c>
      <x:c r="E45" s="24" t="str">
        <x:v>Progressiva</x:v>
      </x:c>
      <x:c r="F45" s="24" t="str">
        <x:v>Surfaçada</x:v>
      </x:c>
      <x:c r="G45" s="24" t="str">
        <x:v>HOYA Argos</x:v>
      </x:c>
      <x:c r="H45" s="24" t="str">
        <x:v>SENSITY ORIGINAL</x:v>
      </x:c>
      <x:c r="I45" s="24" t="str">
        <x:v>ORGANIC</x:v>
      </x:c>
      <x:c r="J45" s="24" t="str">
        <x:v>1.50</x:v>
      </x:c>
      <x:c r="K45" s="24" t="str">
        <x:v>Hi-Vision LongLife BlueControl</x:v>
      </x:c>
      <x:c r="L45" s="40" t="n">
        <x:v>3149</x:v>
      </x:c>
      <x:c r="M45" s="24" t="n">
        <x:v>28</x:v>
      </x:c>
      <x:c r="N45" s="24" t="str">
        <x:v>Sensity Original: “enquanto durarem os estoques”, conforme a tabela HOYA.</x:v>
      </x:c>
    </x:row>
    <x:row r="46">
      <x:c r="A46" s="24" t="str">
        <x:v>HY-A9441C1F85BA</x:v>
      </x:c>
      <x:c r="B46" s="24" t="str">
        <x:v>SIM</x:v>
      </x:c>
      <x:c r="C46" s="24" t="str">
        <x:v>ESTOQUE LIMITADO</x:v>
      </x:c>
      <x:c r="D46" s="24" t="str">
        <x:v>HOYA</x:v>
      </x:c>
      <x:c r="E46" s="24" t="str">
        <x:v>Progressiva</x:v>
      </x:c>
      <x:c r="F46" s="24" t="str">
        <x:v>Surfaçada</x:v>
      </x:c>
      <x:c r="G46" s="24" t="str">
        <x:v>HOYA Argos</x:v>
      </x:c>
      <x:c r="H46" s="24" t="str">
        <x:v>SENSITY ORIGINAL</x:v>
      </x:c>
      <x:c r="I46" s="24" t="str">
        <x:v>PNX</x:v>
      </x:c>
      <x:c r="J46" s="24" t="str">
        <x:v>1.53</x:v>
      </x:c>
      <x:c r="K46" s="24" t="str">
        <x:v>No-Risk BlueControl</x:v>
      </x:c>
      <x:c r="L46" s="40" t="n">
        <x:v>3249</x:v>
      </x:c>
      <x:c r="M46" s="24" t="n">
        <x:v>28</x:v>
      </x:c>
      <x:c r="N46" s="24" t="str">
        <x:v>Sensity Original: “enquanto durarem os estoques”, conforme a tabela HOYA.</x:v>
      </x:c>
    </x:row>
    <x:row r="47">
      <x:c r="A47" s="24" t="str">
        <x:v>HY-1B12494288B9</x:v>
      </x:c>
      <x:c r="B47" s="24" t="str">
        <x:v>SIM</x:v>
      </x:c>
      <x:c r="C47" s="24" t="str">
        <x:v>ESTOQUE LIMITADO</x:v>
      </x:c>
      <x:c r="D47" s="24" t="str">
        <x:v>HOYA</x:v>
      </x:c>
      <x:c r="E47" s="24" t="str">
        <x:v>Progressiva</x:v>
      </x:c>
      <x:c r="F47" s="24" t="str">
        <x:v>Surfaçada</x:v>
      </x:c>
      <x:c r="G47" s="24" t="str">
        <x:v>HOYA Argos</x:v>
      </x:c>
      <x:c r="H47" s="24" t="str">
        <x:v>SENSITY ORIGINAL</x:v>
      </x:c>
      <x:c r="I47" s="24" t="str">
        <x:v>ORGANIC</x:v>
      </x:c>
      <x:c r="J47" s="24" t="str">
        <x:v>1.50</x:v>
      </x:c>
      <x:c r="K47" s="24" t="str">
        <x:v>No-Risk BlueControl</x:v>
      </x:c>
      <x:c r="L47" s="40" t="n">
        <x:v>2899</x:v>
      </x:c>
      <x:c r="M47" s="24" t="n">
        <x:v>28</x:v>
      </x:c>
      <x:c r="N47" s="24" t="str">
        <x:v>Sensity Original: “enquanto durarem os estoques”, conforme a tabela HOYA.</x:v>
      </x:c>
    </x:row>
    <x:row r="48">
      <x:c r="A48" s="24" t="str">
        <x:v>HY-4AF607DB70D8</x:v>
      </x:c>
      <x:c r="B48" s="24" t="str">
        <x:v>SIM</x:v>
      </x:c>
      <x:c r="C48" s="24" t="str">
        <x:v>ESTOQUE LIMITADO</x:v>
      </x:c>
      <x:c r="D48" s="24" t="str">
        <x:v>HOYA</x:v>
      </x:c>
      <x:c r="E48" s="24" t="str">
        <x:v>Progressiva</x:v>
      </x:c>
      <x:c r="F48" s="24" t="str">
        <x:v>Surfaçada</x:v>
      </x:c>
      <x:c r="G48" s="24" t="str">
        <x:v>HOYA Argos</x:v>
      </x:c>
      <x:c r="H48" s="24" t="str">
        <x:v>SENSITY ORIGINAL</x:v>
      </x:c>
      <x:c r="I48" s="24" t="str">
        <x:v>PNX</x:v>
      </x:c>
      <x:c r="J48" s="24" t="str">
        <x:v>1.53</x:v>
      </x:c>
      <x:c r="K48" s="24" t="str">
        <x:v>Hi-Vision Hard</x:v>
      </x:c>
      <x:c r="L48" s="40" t="n">
        <x:v>2649</x:v>
      </x:c>
      <x:c r="M48" s="24" t="n">
        <x:v>28</x:v>
      </x:c>
      <x:c r="N48" s="24" t="str">
        <x:v>Sensity Original: “enquanto durarem os estoques”, conforme a tabela HOYA.</x:v>
      </x:c>
    </x:row>
    <x:row r="49">
      <x:c r="A49" s="24" t="str">
        <x:v>HY-D58C89BD27A2</x:v>
      </x:c>
      <x:c r="B49" s="24" t="str">
        <x:v>SIM</x:v>
      </x:c>
      <x:c r="C49" s="24" t="str">
        <x:v>ESTOQUE LIMITADO</x:v>
      </x:c>
      <x:c r="D49" s="24" t="str">
        <x:v>HOYA</x:v>
      </x:c>
      <x:c r="E49" s="24" t="str">
        <x:v>Progressiva</x:v>
      </x:c>
      <x:c r="F49" s="24" t="str">
        <x:v>Surfaçada</x:v>
      </x:c>
      <x:c r="G49" s="24" t="str">
        <x:v>HOYA Argos</x:v>
      </x:c>
      <x:c r="H49" s="24" t="str">
        <x:v>SENSITY ORIGINAL</x:v>
      </x:c>
      <x:c r="I49" s="24" t="str">
        <x:v>ORGANIC</x:v>
      </x:c>
      <x:c r="J49" s="24" t="str">
        <x:v>1.50</x:v>
      </x:c>
      <x:c r="K49" s="24" t="str">
        <x:v>Hi-Vision Hard</x:v>
      </x:c>
      <x:c r="L49" s="40" t="n">
        <x:v>2299</x:v>
      </x:c>
      <x:c r="M49" s="24" t="n">
        <x:v>28</x:v>
      </x:c>
      <x:c r="N49" s="24" t="str">
        <x:v>Sensity Original: “enquanto durarem os estoques”, conforme a tabela HOYA.</x:v>
      </x:c>
    </x:row>
  </x:sheetData>
  <x:conditionalFormatting sqref="C2:C49">
    <x:cfRule type="expression" dxfId="7" priority="1">
      <x:formula>C2="EM BREVE"</x:formula>
    </x:cfRule>
    <x:cfRule type="expression" dxfId="8" priority="2">
      <x:formula>C2="ESTOQUE LIMITADO"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485c4c04ce420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15" hidden="0" customWidth="1"/>
    <x:col min="5" max="5" width="20" hidden="0" customWidth="1"/>
    <x:col min="6" max="6" width="12" hidden="0" customWidth="1"/>
    <x:col min="7" max="7" width="56" hidden="0" customWidth="1"/>
  </x:cols>
  <x:sheetData>
    <x:row r="1" ht="30" customHeight="1">
      <x:c r="A1" s="31" t="str">
        <x:v>Grupo</x:v>
      </x:c>
      <x:c r="B1" s="31" t="str">
        <x:v>Servico</x:v>
      </x:c>
      <x:c r="C1" s="31" t="str">
        <x:v>Tipo_Preco</x:v>
      </x:c>
      <x:c r="D1" s="31" t="str">
        <x:v>Preco_R$</x:v>
      </x:c>
      <x:c r="E1" s="31" t="str">
        <x:v>Uso_no_Orcamento</x:v>
      </x:c>
      <x:c r="F1" s="31" t="str">
        <x:v>Pagina_Fonte</x:v>
      </x:c>
      <x:c r="G1" s="31" t="str">
        <x:v>Observacao</x:v>
      </x:c>
    </x:row>
    <x:row r="2">
      <x:c r="A2" s="24" t="str">
        <x:v>Antirreflexo</x:v>
      </x:c>
      <x:c r="B2" s="24" t="str">
        <x:v>LayR X-tra Clean</x:v>
      </x:c>
      <x:c r="C2" s="24" t="str">
        <x:v>Preço sugerido ao consumidor</x:v>
      </x:c>
      <x:c r="D2" s="40" t="n">
        <x:v>1250</x:v>
      </x:c>
      <x:c r="E2" s="24" t="str">
        <x:v>MANUAL</x:v>
      </x:c>
      <x:c r="F2" s="24" t="n">
        <x:v>35</x:v>
      </x:c>
      <x:c r="G2" s="24"/>
    </x:row>
    <x:row r="3">
      <x:c r="A3" s="24" t="str">
        <x:v>Antirreflexo</x:v>
      </x:c>
      <x:c r="B3" s="24" t="str">
        <x:v>LayR Balance</x:v>
      </x:c>
      <x:c r="C3" s="24" t="str">
        <x:v>Preço sugerido ao consumidor</x:v>
      </x:c>
      <x:c r="D3" s="40" t="n">
        <x:v>1250</x:v>
      </x:c>
      <x:c r="E3" s="24" t="str">
        <x:v>MANUAL</x:v>
      </x:c>
      <x:c r="F3" s="24" t="n">
        <x:v>35</x:v>
      </x:c>
      <x:c r="G3" s="24"/>
    </x:row>
    <x:row r="4">
      <x:c r="A4" s="24" t="str">
        <x:v>Antirreflexo</x:v>
      </x:c>
      <x:c r="B4" s="24" t="str">
        <x:v>Solitaire® 2 X-tra Clean</x:v>
      </x:c>
      <x:c r="C4" s="24" t="str">
        <x:v>Preço sugerido ao consumidor</x:v>
      </x:c>
      <x:c r="D4" s="40" t="n">
        <x:v>1180</x:v>
      </x:c>
      <x:c r="E4" s="24" t="str">
        <x:v>MANUAL</x:v>
      </x:c>
      <x:c r="F4" s="24" t="n">
        <x:v>35</x:v>
      </x:c>
      <x:c r="G4" s="24"/>
    </x:row>
    <x:row r="5">
      <x:c r="A5" s="24" t="str">
        <x:v>Antirreflexo</x:v>
      </x:c>
      <x:c r="B5" s="24" t="str">
        <x:v>Solitaire® 2 Protect Balance</x:v>
      </x:c>
      <x:c r="C5" s="24" t="str">
        <x:v>Preço sugerido ao consumidor</x:v>
      </x:c>
      <x:c r="D5" s="40" t="n">
        <x:v>1130</x:v>
      </x:c>
      <x:c r="E5" s="24" t="str">
        <x:v>MANUAL</x:v>
      </x:c>
      <x:c r="F5" s="24" t="n">
        <x:v>35</x:v>
      </x:c>
      <x:c r="G5" s="24"/>
    </x:row>
    <x:row r="6">
      <x:c r="A6" s="24" t="str">
        <x:v>Antirreflexo</x:v>
      </x:c>
      <x:c r="B6" s="24" t="str">
        <x:v>Solitaire® Protect Plus</x:v>
      </x:c>
      <x:c r="C6" s="24" t="str">
        <x:v>Preço sugerido ao consumidor</x:v>
      </x:c>
      <x:c r="D6" s="40" t="n">
        <x:v>1130</x:v>
      </x:c>
      <x:c r="E6" s="24" t="str">
        <x:v>MANUAL</x:v>
      </x:c>
      <x:c r="F6" s="24" t="n">
        <x:v>35</x:v>
      </x:c>
      <x:c r="G6" s="24"/>
    </x:row>
    <x:row r="7">
      <x:c r="A7" s="24" t="str">
        <x:v>Antirreflexo</x:v>
      </x:c>
      <x:c r="B7" s="24" t="str">
        <x:v>Solitaire® Protect</x:v>
      </x:c>
      <x:c r="C7" s="24" t="str">
        <x:v>Preço sugerido ao consumidor</x:v>
      </x:c>
      <x:c r="D7" s="40" t="n">
        <x:v>870</x:v>
      </x:c>
      <x:c r="E7" s="24" t="str">
        <x:v>MANUAL</x:v>
      </x:c>
      <x:c r="F7" s="24" t="n">
        <x:v>35</x:v>
      </x:c>
      <x:c r="G7" s="24"/>
    </x:row>
    <x:row r="8">
      <x:c r="A8" s="24" t="str">
        <x:v>Antirreflexo</x:v>
      </x:c>
      <x:c r="B8" s="24" t="str">
        <x:v>ROAD</x:v>
      </x:c>
      <x:c r="C8" s="24" t="str">
        <x:v>Preço sugerido ao consumidor</x:v>
      </x:c>
      <x:c r="D8" s="40" t="n">
        <x:v>1130</x:v>
      </x:c>
      <x:c r="E8" s="24" t="str">
        <x:v>MANUAL</x:v>
      </x:c>
      <x:c r="F8" s="24" t="n">
        <x:v>35</x:v>
      </x:c>
      <x:c r="G8" s="24"/>
    </x:row>
    <x:row r="9">
      <x:c r="A9" s="24" t="str">
        <x:v>Antirreflexo</x:v>
      </x:c>
      <x:c r="B9" s="24" t="str">
        <x:v>HidroCoat 2</x:v>
      </x:c>
      <x:c r="C9" s="24" t="str">
        <x:v>Preço sugerido ao consumidor</x:v>
      </x:c>
      <x:c r="D9" s="40" t="n">
        <x:v>1130</x:v>
      </x:c>
      <x:c r="E9" s="24" t="str">
        <x:v>MANUAL</x:v>
      </x:c>
      <x:c r="F9" s="24" t="n">
        <x:v>35</x:v>
      </x:c>
      <x:c r="G9" s="24"/>
    </x:row>
    <x:row r="10">
      <x:c r="A10" s="24" t="str">
        <x:v>Antirreflexo</x:v>
      </x:c>
      <x:c r="B10" s="24" t="str">
        <x:v>Solitaire® Eco2</x:v>
      </x:c>
      <x:c r="C10" s="24" t="str">
        <x:v>Preço sugerido ao consumidor</x:v>
      </x:c>
      <x:c r="D10" s="40" t="n">
        <x:v>390</x:v>
      </x:c>
      <x:c r="E10" s="24" t="str">
        <x:v>MANUAL</x:v>
      </x:c>
      <x:c r="F10" s="24" t="n">
        <x:v>35</x:v>
      </x:c>
      <x:c r="G10" s="24"/>
    </x:row>
    <x:row r="11">
      <x:c r="A11" s="24" t="str">
        <x:v>Antirreflexo</x:v>
      </x:c>
      <x:c r="B11" s="24" t="str">
        <x:v>Filtro Medicinal</x:v>
      </x:c>
      <x:c r="C11" s="24" t="str">
        <x:v>Preço sugerido ao consumidor</x:v>
      </x:c>
      <x:c r="D11" s="40" t="n">
        <x:v>1100</x:v>
      </x:c>
      <x:c r="E11" s="24" t="str">
        <x:v>MANUAL</x:v>
      </x:c>
      <x:c r="F11" s="24" t="n">
        <x:v>35</x:v>
      </x:c>
      <x:c r="G11" s="24" t="str">
        <x:v>Consultar SAC Rodenstock</x:v>
      </x:c>
    </x:row>
    <x:row r="12">
      <x:c r="A12" s="24" t="str">
        <x:v>Coloração</x:v>
      </x:c>
      <x:c r="B12" s="24" t="str">
        <x:v>Coloração Digital Total</x:v>
      </x:c>
      <x:c r="C12" s="24" t="str">
        <x:v>Preço líquido NF para a óptica</x:v>
      </x:c>
      <x:c r="D12" s="40" t="n">
        <x:v>95</x:v>
      </x:c>
      <x:c r="E12" s="24" t="str">
        <x:v>INTERNO</x:v>
      </x:c>
      <x:c r="F12" s="24" t="n">
        <x:v>35</x:v>
      </x:c>
      <x:c r="G12" s="24" t="str">
        <x:v>Não exibir como preço sugerido ao consumidor.</x:v>
      </x:c>
    </x:row>
    <x:row r="13">
      <x:c r="A13" s="24" t="str">
        <x:v>Coloração</x:v>
      </x:c>
      <x:c r="B13" s="24" t="str">
        <x:v>Coloração Digital Degradê</x:v>
      </x:c>
      <x:c r="C13" s="24" t="str">
        <x:v>Preço líquido NF para a óptica</x:v>
      </x:c>
      <x:c r="D13" s="40" t="n">
        <x:v>107</x:v>
      </x:c>
      <x:c r="E13" s="24" t="str">
        <x:v>INTERNO</x:v>
      </x:c>
      <x:c r="F13" s="24" t="n">
        <x:v>35</x:v>
      </x:c>
      <x:c r="G13" s="24" t="str">
        <x:v>Não exibir como preço sugerido ao consumidor.</x:v>
      </x:c>
    </x:row>
    <x:row r="14">
      <x:c r="A14" s="24" t="str">
        <x:v>Coloração</x:v>
      </x:c>
      <x:c r="B14" s="24" t="str">
        <x:v>Coloração Digital por amostra</x:v>
      </x:c>
      <x:c r="C14" s="24" t="str">
        <x:v>Preço líquido NF para a óptica</x:v>
      </x:c>
      <x:c r="D14" s="40" t="n">
        <x:v>220</x:v>
      </x:c>
      <x:c r="E14" s="24" t="str">
        <x:v>INTERNO</x:v>
      </x:c>
      <x:c r="F14" s="24" t="n">
        <x:v>35</x:v>
      </x:c>
      <x:c r="G14" s="24" t="str">
        <x:v>Não exibir como preço sugerido ao consumidor.</x:v>
      </x:c>
    </x:row>
    <x:row r="15">
      <x:c r="A15" s="24" t="str">
        <x:v>Coloração</x:v>
      </x:c>
      <x:c r="B15" s="24" t="str">
        <x:v>ColorPlus / ColorFashion</x:v>
      </x:c>
      <x:c r="C15" s="24" t="str">
        <x:v>Preço líquido NF para a óptica</x:v>
      </x:c>
      <x:c r="D15" s="40" t="n">
        <x:v>160</x:v>
      </x:c>
      <x:c r="E15" s="24" t="str">
        <x:v>INTERNO</x:v>
      </x:c>
      <x:c r="F15" s="24" t="n">
        <x:v>35</x:v>
      </x:c>
      <x:c r="G15" s="24" t="str">
        <x:v>Não exibir como preço sugerido ao consumidor.</x:v>
      </x:c>
    </x:row>
    <x:row r="16">
      <x:c r="A16" s="24" t="str">
        <x:v>Coloração</x:v>
      </x:c>
      <x:c r="B16" s="24" t="str">
        <x:v>Filtro UV 400nm</x:v>
      </x:c>
      <x:c r="C16" s="24" t="str">
        <x:v>Preço líquido NF para a óptica</x:v>
      </x:c>
      <x:c r="D16" s="40" t="n">
        <x:v>65</x:v>
      </x:c>
      <x:c r="E16" s="24" t="str">
        <x:v>INTERNO</x:v>
      </x:c>
      <x:c r="F16" s="24" t="n">
        <x:v>35</x:v>
      </x:c>
      <x:c r="G16" s="24" t="str">
        <x:v>Não exibir como preço sugerido ao consumidor.</x:v>
      </x:c>
    </x:row>
    <x:row r="17">
      <x:c r="A17" s="24" t="str">
        <x:v>Montagem</x:v>
      </x:c>
      <x:c r="B17" s="24" t="str">
        <x:v>Três peças</x:v>
      </x:c>
      <x:c r="C17" s="24" t="str">
        <x:v>Preço líquido NF para a óptica</x:v>
      </x:c>
      <x:c r="D17" s="40" t="n">
        <x:v>42</x:v>
      </x:c>
      <x:c r="E17" s="24" t="str">
        <x:v>INTERNO</x:v>
      </x:c>
      <x:c r="F17" s="24" t="n">
        <x:v>35</x:v>
      </x:c>
      <x:c r="G17" s="24" t="str">
        <x:v>Não exibir como preço sugerido ao consumidor.</x:v>
      </x:c>
    </x:row>
    <x:row r="18">
      <x:c r="A18" s="24" t="str">
        <x:v>Montagem</x:v>
      </x:c>
      <x:c r="B18" s="24" t="str">
        <x:v>Nylon</x:v>
      </x:c>
      <x:c r="C18" s="24" t="str">
        <x:v>Preço líquido NF para a óptica</x:v>
      </x:c>
      <x:c r="D18" s="40" t="n">
        <x:v>33</x:v>
      </x:c>
      <x:c r="E18" s="24" t="str">
        <x:v>INTERNO</x:v>
      </x:c>
      <x:c r="F18" s="24" t="n">
        <x:v>35</x:v>
      </x:c>
      <x:c r="G18" s="24" t="str">
        <x:v>Não exibir como preço sugerido ao consumidor.</x:v>
      </x:c>
    </x:row>
    <x:row r="19">
      <x:c r="A19" s="24" t="str">
        <x:v>Montagem</x:v>
      </x:c>
      <x:c r="B19" s="24" t="str">
        <x:v>Aro fechado (metal/acetato)</x:v>
      </x:c>
      <x:c r="C19" s="24" t="str">
        <x:v>Preço líquido NF para a óptica</x:v>
      </x:c>
      <x:c r="D19" s="40" t="n">
        <x:v>28</x:v>
      </x:c>
      <x:c r="E19" s="24" t="str">
        <x:v>INTERNO</x:v>
      </x:c>
      <x:c r="F19" s="24" t="n">
        <x:v>35</x:v>
      </x:c>
      <x:c r="G19" s="24" t="str">
        <x:v>Não exibir como preço sugerido ao consumidor.</x:v>
      </x:c>
    </x:row>
    <x:row r="20">
      <x:c r="A20" s="24" t="str">
        <x:v>Montagem</x:v>
      </x:c>
      <x:c r="B20" s="24" t="str">
        <x:v>Montagem preço único</x:v>
      </x:c>
      <x:c r="C20" s="24" t="str">
        <x:v>Preço líquido NF para a óptica</x:v>
      </x:c>
      <x:c r="D20" s="40" t="n">
        <x:v>28</x:v>
      </x:c>
      <x:c r="E20" s="24" t="str">
        <x:v>INTERNO</x:v>
      </x:c>
      <x:c r="F20" s="24" t="n">
        <x:v>35</x:v>
      </x:c>
      <x:c r="G20" s="24" t="str">
        <x:v>Não exibir como preço sugerido ao consumidor.</x:v>
      </x:c>
    </x:row>
    <x:row r="21">
      <x:c r="A21" s="24" t="str">
        <x:v>Montagem</x:v>
      </x:c>
      <x:c r="B21" s="24" t="str">
        <x:v>Tracer (par)</x:v>
      </x:c>
      <x:c r="C21" s="24" t="str">
        <x:v>Preço líquido NF para a óptica</x:v>
      </x:c>
      <x:c r="D21" s="40" t="n">
        <x:v>8</x:v>
      </x:c>
      <x:c r="E21" s="24" t="str">
        <x:v>INTERNO</x:v>
      </x:c>
      <x:c r="F21" s="24" t="n">
        <x:v>35</x:v>
      </x:c>
      <x:c r="G21" s="24" t="str">
        <x:v>Não exibir como preço sugerido ao consumidor.</x:v>
      </x:c>
    </x:row>
    <x:row r="22">
      <x:c r="A22" s="24" t="str">
        <x:v>Outros serviços</x:v>
      </x:c>
      <x:c r="B22" s="24" t="str">
        <x:v>Destratamento</x:v>
      </x:c>
      <x:c r="C22" s="24" t="str">
        <x:v>Preço líquido NF para a óptica</x:v>
      </x:c>
      <x:c r="D22" s="40" t="n">
        <x:v>63</x:v>
      </x:c>
      <x:c r="E22" s="24" t="str">
        <x:v>INTERNO</x:v>
      </x:c>
      <x:c r="F22" s="24" t="n">
        <x:v>35</x:v>
      </x:c>
      <x:c r="G22" s="24" t="str">
        <x:v>Não exibir como preço sugerido ao consumidor.</x:v>
      </x:c>
    </x:row>
    <x:row r="23">
      <x:c r="A23" s="24" t="str">
        <x:v>Outros serviços</x:v>
      </x:c>
      <x:c r="B23" s="24" t="str">
        <x:v>Descoloração</x:v>
      </x:c>
      <x:c r="C23" s="24" t="str">
        <x:v>Preço líquido NF para a óptica</x:v>
      </x:c>
      <x:c r="D23" s="40" t="n">
        <x:v>53</x:v>
      </x:c>
      <x:c r="E23" s="24" t="str">
        <x:v>INTERNO</x:v>
      </x:c>
      <x:c r="F23" s="24" t="n">
        <x:v>35</x:v>
      </x:c>
      <x:c r="G23" s="24" t="str">
        <x:v>Não exibir como preço sugerido ao consumidor.</x:v>
      </x:c>
    </x:row>
    <x:row r="24">
      <x:c r="A24" s="24" t="str">
        <x:v>Outros serviços</x:v>
      </x:c>
      <x:c r="B24" s="24" t="str">
        <x:v>Cilíndrico acima de 4</x:v>
      </x:c>
      <x:c r="C24" s="24" t="str">
        <x:v>Preço líquido NF para a óptica</x:v>
      </x:c>
      <x:c r="D24" s="40" t="n">
        <x:v>63</x:v>
      </x:c>
      <x:c r="E24" s="24" t="str">
        <x:v>INTERNO</x:v>
      </x:c>
      <x:c r="F24" s="24" t="n">
        <x:v>35</x:v>
      </x:c>
      <x:c r="G24" s="24" t="str">
        <x:v>Não exibir como preço sugerido ao consumidor.</x:v>
      </x:c>
    </x:row>
    <x:row r="25">
      <x:c r="A25" s="24" t="str">
        <x:v>Outros serviços</x:v>
      </x:c>
      <x:c r="B25" s="24" t="str">
        <x:v>Modelo de lente</x:v>
      </x:c>
      <x:c r="C25" s="24" t="str">
        <x:v>Preço líquido NF para a óptica</x:v>
      </x:c>
      <x:c r="D25" s="40" t="n">
        <x:v>32</x:v>
      </x:c>
      <x:c r="E25" s="24" t="str">
        <x:v>INTERNO</x:v>
      </x:c>
      <x:c r="F25" s="24" t="n">
        <x:v>35</x:v>
      </x:c>
      <x:c r="G25" s="24" t="str">
        <x:v>Não exibir como preço sugerido ao consumidor.</x:v>
      </x:c>
    </x:row>
    <x:row r="26">
      <x:c r="A26" s="24" t="str">
        <x:v>Outros serviços</x:v>
      </x:c>
      <x:c r="B26" s="24" t="str">
        <x:v>Prisma</x:v>
      </x:c>
      <x:c r="C26" s="24" t="str">
        <x:v>Preço líquido NF para a óptica</x:v>
      </x:c>
      <x:c r="D26" s="40" t="n">
        <x:v>63</x:v>
      </x:c>
      <x:c r="E26" s="24" t="str">
        <x:v>INTERNO</x:v>
      </x:c>
      <x:c r="F26" s="24" t="n">
        <x:v>35</x:v>
      </x:c>
      <x:c r="G26" s="24" t="str">
        <x:v>Não exibir como preço sugerido ao consumidor.</x:v>
      </x:c>
    </x:row>
    <x:row r="27">
      <x:c r="A27" s="24" t="str">
        <x:v>Outros serviços</x:v>
      </x:c>
      <x:c r="B27" s="24" t="str">
        <x:v>Antirrisco</x:v>
      </x:c>
      <x:c r="C27" s="24" t="str">
        <x:v>Preço líquido NF para a óptica</x:v>
      </x:c>
      <x:c r="D27" s="40" t="n">
        <x:v>105</x:v>
      </x:c>
      <x:c r="E27" s="24" t="str">
        <x:v>INTERNO</x:v>
      </x:c>
      <x:c r="F27" s="24" t="n">
        <x:v>35</x:v>
      </x:c>
      <x:c r="G27" s="24" t="str">
        <x:v>Não exibir como preço sugerido ao consumidor.</x:v>
      </x:c>
    </x:row>
  </x:sheetData>
  <x:pageMargins left="0.7" right="0.7" top="0.75" bottom="0.75" header="0.3" footer="0.3"/>
  <x:tableParts count="1">
    <x:tablePart xmlns:r="http://schemas.openxmlformats.org/officeDocument/2006/relationships" r:id="R23a58d6403c449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65" t="str">
        <x:v>HISTÓRICO — ESSILOR 2026.1 (EXPIRADA EM 31/07/2026 — NÃO USAR NO ORÇAMENTO/WEB)</x:v>
      </x:c>
      <x:c r="B1" s="65"/>
      <x:c r="C1" s="65"/>
      <x:c r="D1" s="65"/>
      <x:c r="E1" s="65"/>
      <x:c r="F1" s="65"/>
      <x:c r="G1" s="65"/>
      <x:c r="H1" s="65"/>
      <x:c r="I1" s="65"/>
      <x:c r="J1" s="65"/>
    </x:row>
    <x:row r="3">
      <x:c r="A3" s="31" t="str">
        <x:v>ESSILOR — HISTÓRICO / NÃO USAR EM ORÇAMENTO DE PRODUÇÃO</x:v>
      </x:c>
      <x:c r="B3" s="31"/>
      <x:c r="C3" s="31"/>
      <x:c r="D3" s="31"/>
      <x:c r="E3" s="31"/>
      <x:c r="F3" s="31"/>
      <x:c r="G3" s="31"/>
      <x:c r="H3" s="31"/>
      <x:c r="I3" s="31"/>
      <x:c r="J3" s="31"/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  <x:c r="J4" s="24"/>
    </x:row>
    <x:row r="5">
      <x:c r="A5" s="24" t="str">
        <x:v>Fonte recebida: tabela promocional válida somente de 06/04/2026 a 31/07/2026. Os preços abaixo preservam a extração para auditoria e para reconstrução quando a tabela atualizada chegar.</x:v>
      </x:c>
      <x:c r="B5" s="24"/>
      <x:c r="C5" s="24"/>
      <x:c r="D5" s="24"/>
      <x:c r="E5" s="24"/>
      <x:c r="F5" s="24"/>
      <x:c r="G5" s="24"/>
      <x:c r="H5" s="24"/>
      <x:c r="I5" s="24"/>
      <x:c r="J5" s="24"/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  <x:c r="J6" s="24"/>
    </x:row>
    <x:row r="7">
      <x:c r="A7" s="24" t="str">
        <x:v>Pagina</x:v>
      </x:c>
      <x:c r="B7" s="24" t="str">
        <x:v>Familia_Pagina</x:v>
      </x:c>
      <x:c r="C7" s="24" t="str">
        <x:v>Y_Linha</x:v>
      </x:c>
      <x:c r="D7" s="24" t="str">
        <x:v>X_Coluna</x:v>
      </x:c>
      <x:c r="E7" s="24" t="str">
        <x:v>Contexto_Linha</x:v>
      </x:c>
      <x:c r="F7" s="24" t="str">
        <x:v>Contexto_Coluna</x:v>
      </x:c>
      <x:c r="G7" s="24" t="str">
        <x:v>Preco_R$</x:v>
      </x:c>
      <x:c r="H7" s="24" t="str">
        <x:v>Valido_Desde</x:v>
      </x:c>
      <x:c r="I7" s="24" t="str">
        <x:v>Valido_Ate</x:v>
      </x:c>
      <x:c r="J7" s="24" t="str">
        <x:v>Status</x:v>
      </x:c>
    </x:row>
    <x:row r="8">
      <x:c r="A8" s="24" t="n">
        <x:v>4</x:v>
      </x:c>
      <x:c r="B8" s="24" t="str">
        <x:v>Varilux XR Series</x:v>
      </x:c>
      <x:c r="C8" s="24" t="n">
        <x:v>158.5</x:v>
      </x:c>
      <x:c r="D8" s="24" t="n">
        <x:v>164.4</x:v>
      </x:c>
      <x:c r="E8" s="24" t="str">
        <x:v>Transitions Gen S</x:v>
      </x:c>
      <x:c r="F8" s="24" t="str">
        <x:v>adicional: | 4D Technology CRIZAL PREVENCIA 11.029,00</x:v>
      </x:c>
      <x:c r="G8" s="24" t="n">
        <x:v>12549</x:v>
      </x:c>
      <x:c r="H8" s="24" t="n">
        <x:v>46118</x:v>
      </x:c>
      <x:c r="I8" s="24" t="n">
        <x:v>46234</x:v>
      </x:c>
      <x:c r="J8" s="24" t="str">
        <x:v>EXPIRADA</x:v>
      </x:c>
    </x:row>
    <x:row r="9">
      <x:c r="A9" s="24" t="n">
        <x:v>4</x:v>
      </x:c>
      <x:c r="B9" s="24" t="str">
        <x:v>Varilux XR Series</x:v>
      </x:c>
      <x:c r="C9" s="24" t="n">
        <x:v>158.5</x:v>
      </x:c>
      <x:c r="D9" s="24" t="n">
        <x:v>346.9</x:v>
      </x:c>
      <x:c r="E9" s="24" t="str">
        <x:v>Transitions Gen S 12.549,00 12.549,00 - -</x:v>
      </x:c>
      <x:c r="F9" s="24" t="str">
        <x:v>C V MARROM M A CRIZAL OPTIFOG PRO - 10.649,00</x:v>
      </x:c>
      <x:c r="G9" s="24" t="n">
        <x:v>12169</x:v>
      </x:c>
      <x:c r="H9" s="24" t="n">
        <x:v>46118</x:v>
      </x:c>
      <x:c r="I9" s="24" t="n">
        <x:v>46234</x:v>
      </x:c>
      <x:c r="J9" s="24" t="str">
        <x:v>EXPIRADA</x:v>
      </x:c>
    </x:row>
    <x:row r="10">
      <x:c r="A10" s="24" t="n">
        <x:v>4</x:v>
      </x:c>
      <x:c r="B10" s="24" t="str">
        <x:v>Varilux XR Series</x:v>
      </x:c>
      <x:c r="C10" s="24" t="n">
        <x:v>145</x:v>
      </x:c>
      <x:c r="D10" s="24" t="n">
        <x:v>165.5</x:v>
      </x:c>
      <x:c r="E10" s="24" t="str">
        <x:v>Orma</x:v>
      </x:c>
      <x:c r="F10" s="24" t="str">
        <x:v>adicional: | 4D Technology CRIZAL PREVENCIA</x:v>
      </x:c>
      <x:c r="G10" s="24" t="n">
        <x:v>11029</x:v>
      </x:c>
      <x:c r="H10" s="24" t="n">
        <x:v>46118</x:v>
      </x:c>
      <x:c r="I10" s="24" t="n">
        <x:v>46234</x:v>
      </x:c>
      <x:c r="J10" s="24" t="str">
        <x:v>EXPIRADA</x:v>
      </x:c>
    </x:row>
    <x:row r="11">
      <x:c r="A11" s="24" t="n">
        <x:v>4</x:v>
      </x:c>
      <x:c r="B11" s="24" t="str">
        <x:v>Varilux XR Series</x:v>
      </x:c>
      <x:c r="C11" s="24" t="n">
        <x:v>145</x:v>
      </x:c>
      <x:c r="D11" s="24" t="n">
        <x:v>345.2</x:v>
      </x:c>
      <x:c r="E11" s="24" t="str">
        <x:v>Orma 11.029,00 11.029,00 - -</x:v>
      </x:c>
      <x:c r="F11" s="24" t="str">
        <x:v>DE CINZA C V MARROM M A CRIZAL OPTIFOG PRO</x:v>
      </x:c>
      <x:c r="G11" s="24" t="n">
        <x:v>10649</x:v>
      </x:c>
      <x:c r="H11" s="24" t="n">
        <x:v>46118</x:v>
      </x:c>
      <x:c r="I11" s="24" t="n">
        <x:v>46234</x:v>
      </x:c>
      <x:c r="J11" s="24" t="str">
        <x:v>EXPIRADA</x:v>
      </x:c>
    </x:row>
    <x:row r="12">
      <x:c r="A12" s="24" t="n">
        <x:v>4</x:v>
      </x:c>
      <x:c r="B12" s="24" t="str">
        <x:v>Varilux XR Series</x:v>
      </x:c>
      <x:c r="C12" s="24" t="n">
        <x:v>213.2</x:v>
      </x:c>
      <x:c r="D12" s="24" t="n">
        <x:v>163.8</x:v>
      </x:c>
      <x:c r="E12" s="24" t="str">
        <x:v>Transitions Gen S</x:v>
      </x:c>
      <x:c r="F12" s="24" t="str">
        <x:v>CRIZAL PREVENCIA 11.029,00 12.549,00 +R$1.520 12.609,00 +R$1.580 11.449,00</x:v>
      </x:c>
      <x:c r="G12" s="24" t="n">
        <x:v>12969</x:v>
      </x:c>
      <x:c r="H12" s="24" t="n">
        <x:v>46118</x:v>
      </x:c>
      <x:c r="I12" s="24" t="n">
        <x:v>46234</x:v>
      </x:c>
      <x:c r="J12" s="24" t="str">
        <x:v>EXPIRADA</x:v>
      </x:c>
    </x:row>
    <x:row r="13">
      <x:c r="A13" s="24" t="n">
        <x:v>4</x:v>
      </x:c>
      <x:c r="B13" s="24" t="str">
        <x:v>Varilux XR Series</x:v>
      </x:c>
      <x:c r="C13" s="24" t="n">
        <x:v>213.2</x:v>
      </x:c>
      <x:c r="D13" s="24" t="n">
        <x:v>347</x:v>
      </x:c>
      <x:c r="E13" s="24" t="str">
        <x:v>Transitions Gen S 12.969,00 12.969,00 - -</x:v>
      </x:c>
      <x:c r="F13" s="24" t="str">
        <x:v>OPTIFOG PRO 10.649,00 12.169,00 12.229,00 11.069,00</x:v>
      </x:c>
      <x:c r="G13" s="24" t="n">
        <x:v>12589</x:v>
      </x:c>
      <x:c r="H13" s="24" t="n">
        <x:v>46118</x:v>
      </x:c>
      <x:c r="I13" s="24" t="n">
        <x:v>46234</x:v>
      </x:c>
      <x:c r="J13" s="24" t="str">
        <x:v>EXPIRADA</x:v>
      </x:c>
    </x:row>
    <x:row r="14">
      <x:c r="A14" s="24" t="n">
        <x:v>4</x:v>
      </x:c>
      <x:c r="B14" s="24" t="str">
        <x:v>Varilux XR Series</x:v>
      </x:c>
      <x:c r="C14" s="24" t="n">
        <x:v>199.8</x:v>
      </x:c>
      <x:c r="D14" s="24" t="n">
        <x:v>164.6</x:v>
      </x:c>
      <x:c r="E14" s="24" t="str">
        <x:v>Airwear</x:v>
      </x:c>
      <x:c r="F14" s="24" t="str">
        <x:v>| 4D Technology CRIZAL PREVENCIA 11.029,00 12.549,00 +R$1.520 12.609,00 +R$1.580</x:v>
      </x:c>
      <x:c r="G14" s="24" t="n">
        <x:v>11449</x:v>
      </x:c>
      <x:c r="H14" s="24" t="n">
        <x:v>46118</x:v>
      </x:c>
      <x:c r="I14" s="24" t="n">
        <x:v>46234</x:v>
      </x:c>
      <x:c r="J14" s="24" t="str">
        <x:v>EXPIRADA</x:v>
      </x:c>
    </x:row>
    <x:row r="15">
      <x:c r="A15" s="24" t="n">
        <x:v>4</x:v>
      </x:c>
      <x:c r="B15" s="24" t="str">
        <x:v>Varilux XR Series</x:v>
      </x:c>
      <x:c r="C15" s="24" t="n">
        <x:v>199.8</x:v>
      </x:c>
      <x:c r="D15" s="24" t="n">
        <x:v>347.2</x:v>
      </x:c>
      <x:c r="E15" s="24" t="str">
        <x:v>Airwear 11.449,00 11.449,00 - -</x:v>
      </x:c>
      <x:c r="F15" s="24" t="str">
        <x:v>CRIZAL OPTIFOG PRO - 10.649,00 - 12.169,00 - 12.229,00</x:v>
      </x:c>
      <x:c r="G15" s="24" t="n">
        <x:v>11069</x:v>
      </x:c>
      <x:c r="H15" s="24" t="n">
        <x:v>46118</x:v>
      </x:c>
      <x:c r="I15" s="24" t="n">
        <x:v>46234</x:v>
      </x:c>
      <x:c r="J15" s="24" t="str">
        <x:v>EXPIRADA</x:v>
      </x:c>
    </x:row>
    <x:row r="16">
      <x:c r="A16" s="24" t="n">
        <x:v>4</x:v>
      </x:c>
      <x:c r="B16" s="24" t="str">
        <x:v>Varilux XR Series</x:v>
      </x:c>
      <x:c r="C16" s="24" t="n">
        <x:v>269.3</x:v>
      </x:c>
      <x:c r="D16" s="24" t="n">
        <x:v>163.6</x:v>
      </x:c>
      <x:c r="E16" s="24"/>
      <x:c r="F16" s="24" t="str">
        <x:v>+R$1.580 11.449,00 12.969,00 +R$1.520 13.029,00 +R$1.580 14.229,00</x:v>
      </x:c>
      <x:c r="G16" s="24" t="n">
        <x:v>15749</x:v>
      </x:c>
      <x:c r="H16" s="24" t="n">
        <x:v>46118</x:v>
      </x:c>
      <x:c r="I16" s="24" t="n">
        <x:v>46234</x:v>
      </x:c>
      <x:c r="J16" s="24" t="str">
        <x:v>EXPIRADA</x:v>
      </x:c>
    </x:row>
    <x:row r="17">
      <x:c r="A17" s="24" t="n">
        <x:v>4</x:v>
      </x:c>
      <x:c r="B17" s="24" t="str">
        <x:v>Varilux XR Series</x:v>
      </x:c>
      <x:c r="C17" s="24" t="n">
        <x:v>269.3</x:v>
      </x:c>
      <x:c r="D17" s="24" t="n">
        <x:v>347</x:v>
      </x:c>
      <x:c r="E17" s="24" t="str">
        <x:v>15.749,00 15.749,00 - -</x:v>
      </x:c>
      <x:c r="F17" s="24" t="str">
        <x:v>11.069,00 12.589,00 12.649,00 13.849,00</x:v>
      </x:c>
      <x:c r="G17" s="24" t="n">
        <x:v>15369</x:v>
      </x:c>
      <x:c r="H17" s="24" t="n">
        <x:v>46118</x:v>
      </x:c>
      <x:c r="I17" s="24" t="n">
        <x:v>46234</x:v>
      </x:c>
      <x:c r="J17" s="24" t="str">
        <x:v>EXPIRADA</x:v>
      </x:c>
    </x:row>
    <x:row r="18">
      <x:c r="A18" s="24" t="n">
        <x:v>4</x:v>
      </x:c>
      <x:c r="B18" s="24" t="str">
        <x:v>Varilux XR Series</x:v>
      </x:c>
      <x:c r="C18" s="24" t="n">
        <x:v>254.2</x:v>
      </x:c>
      <x:c r="D18" s="24" t="n">
        <x:v>163.6</x:v>
      </x:c>
      <x:c r="E18" s="24" t="str">
        <x:v>Stylis 1.67</x:v>
      </x:c>
      <x:c r="F18" s="24" t="str">
        <x:v>+R$1.520 12.609,00 +R$1.580 11.449,00 12.969,00 +R$1.520 13.029,00 +R$1.580</x:v>
      </x:c>
      <x:c r="G18" s="24" t="n">
        <x:v>14229</x:v>
      </x:c>
      <x:c r="H18" s="24" t="n">
        <x:v>46118</x:v>
      </x:c>
      <x:c r="I18" s="24" t="n">
        <x:v>46234</x:v>
      </x:c>
      <x:c r="J18" s="24" t="str">
        <x:v>EXPIRADA</x:v>
      </x:c>
    </x:row>
    <x:row r="19">
      <x:c r="A19" s="24" t="n">
        <x:v>4</x:v>
      </x:c>
      <x:c r="B19" s="24" t="str">
        <x:v>Varilux XR Series</x:v>
      </x:c>
      <x:c r="C19" s="24" t="n">
        <x:v>158.5</x:v>
      </x:c>
      <x:c r="D19" s="24" t="n">
        <x:v>213.8</x:v>
      </x:c>
      <x:c r="E19" s="24" t="str">
        <x:v>Transitions Gen S 12.549,00</x:v>
      </x:c>
      <x:c r="F19" s="24" t="str">
        <x:v>CRIZAL SAPPHIRE HR 11.029,00</x:v>
      </x:c>
      <x:c r="G19" s="24" t="n">
        <x:v>12549</x:v>
      </x:c>
      <x:c r="H19" s="24" t="n">
        <x:v>46118</x:v>
      </x:c>
      <x:c r="I19" s="24" t="n">
        <x:v>46234</x:v>
      </x:c>
      <x:c r="J19" s="24" t="str">
        <x:v>EXPIRADA</x:v>
      </x:c>
    </x:row>
    <x:row r="20">
      <x:c r="A20" s="24" t="n">
        <x:v>4</x:v>
      </x:c>
      <x:c r="B20" s="24" t="str">
        <x:v>Varilux XR Series</x:v>
      </x:c>
      <x:c r="C20" s="24" t="n">
        <x:v>145.2</x:v>
      </x:c>
      <x:c r="D20" s="24" t="n">
        <x:v>214.8</x:v>
      </x:c>
      <x:c r="E20" s="24" t="str">
        <x:v>Orma 11.029,00</x:v>
      </x:c>
      <x:c r="F20" s="24" t="str">
        <x:v>CRIZAL SAPPHIRE HR</x:v>
      </x:c>
      <x:c r="G20" s="24" t="n">
        <x:v>11029</x:v>
      </x:c>
      <x:c r="H20" s="24" t="n">
        <x:v>46118</x:v>
      </x:c>
      <x:c r="I20" s="24" t="n">
        <x:v>46234</x:v>
      </x:c>
      <x:c r="J20" s="24" t="str">
        <x:v>EXPIRADA</x:v>
      </x:c>
    </x:row>
    <x:row r="21">
      <x:c r="A21" s="24" t="n">
        <x:v>4</x:v>
      </x:c>
      <x:c r="B21" s="24" t="str">
        <x:v>Varilux XR Series</x:v>
      </x:c>
      <x:c r="C21" s="24" t="n">
        <x:v>213.2</x:v>
      </x:c>
      <x:c r="D21" s="24" t="n">
        <x:v>213.2</x:v>
      </x:c>
      <x:c r="E21" s="24" t="str">
        <x:v>Transitions Gen S 12.969,00</x:v>
      </x:c>
      <x:c r="F21" s="24" t="str">
        <x:v>CRIZAL SAPPHIRE HR 11.029,00 12.549,00 12.609,00 11.449,00</x:v>
      </x:c>
      <x:c r="G21" s="24" t="n">
        <x:v>12969</x:v>
      </x:c>
      <x:c r="H21" s="24" t="n">
        <x:v>46118</x:v>
      </x:c>
      <x:c r="I21" s="24" t="n">
        <x:v>46234</x:v>
      </x:c>
      <x:c r="J21" s="24" t="str">
        <x:v>EXPIRADA</x:v>
      </x:c>
    </x:row>
    <x:row r="22">
      <x:c r="A22" s="24" t="n">
        <x:v>4</x:v>
      </x:c>
      <x:c r="B22" s="24" t="str">
        <x:v>Varilux XR Series</x:v>
      </x:c>
      <x:c r="C22" s="24" t="n">
        <x:v>199.8</x:v>
      </x:c>
      <x:c r="D22" s="24" t="n">
        <x:v>213</x:v>
      </x:c>
      <x:c r="E22" s="24" t="str">
        <x:v>Airwear 11.449,00</x:v>
      </x:c>
      <x:c r="F22" s="24" t="str">
        <x:v>CRIZAL SAPPHIRE HR 11.029,00 12.549,00 12.609,00</x:v>
      </x:c>
      <x:c r="G22" s="24" t="n">
        <x:v>11449</x:v>
      </x:c>
      <x:c r="H22" s="24" t="n">
        <x:v>46118</x:v>
      </x:c>
      <x:c r="I22" s="24" t="n">
        <x:v>46234</x:v>
      </x:c>
      <x:c r="J22" s="24" t="str">
        <x:v>EXPIRADA</x:v>
      </x:c>
    </x:row>
    <x:row r="23">
      <x:c r="A23" s="24" t="n">
        <x:v>4</x:v>
      </x:c>
      <x:c r="B23" s="24" t="str">
        <x:v>Varilux XR Series</x:v>
      </x:c>
      <x:c r="C23" s="24" t="n">
        <x:v>269.3</x:v>
      </x:c>
      <x:c r="D23" s="24" t="n">
        <x:v>213</x:v>
      </x:c>
      <x:c r="E23" s="24" t="str">
        <x:v>15.749,00</x:v>
      </x:c>
      <x:c r="F23" s="24" t="str">
        <x:v>11.449,00 12.969,00 13.029,00 14.229,00</x:v>
      </x:c>
      <x:c r="G23" s="24" t="n">
        <x:v>15749</x:v>
      </x:c>
      <x:c r="H23" s="24" t="n">
        <x:v>46118</x:v>
      </x:c>
      <x:c r="I23" s="24" t="n">
        <x:v>46234</x:v>
      </x:c>
      <x:c r="J23" s="24" t="str">
        <x:v>EXPIRADA</x:v>
      </x:c>
    </x:row>
    <x:row r="24">
      <x:c r="A24" s="24" t="n">
        <x:v>4</x:v>
      </x:c>
      <x:c r="B24" s="24" t="str">
        <x:v>Varilux XR Series</x:v>
      </x:c>
      <x:c r="C24" s="24" t="n">
        <x:v>254.2</x:v>
      </x:c>
      <x:c r="D24" s="24" t="n">
        <x:v>213</x:v>
      </x:c>
      <x:c r="E24" s="24" t="str">
        <x:v>Stylis 1.67 14.229,00</x:v>
      </x:c>
      <x:c r="F24" s="24" t="str">
        <x:v>12.609,00 11.449,00 12.969,00 13.029,00</x:v>
      </x:c>
      <x:c r="G24" s="24" t="n">
        <x:v>14229</x:v>
      </x:c>
      <x:c r="H24" s="24" t="n">
        <x:v>46118</x:v>
      </x:c>
      <x:c r="I24" s="24" t="n">
        <x:v>46234</x:v>
      </x:c>
      <x:c r="J24" s="24" t="str">
        <x:v>EXPIRADA</x:v>
      </x:c>
    </x:row>
    <x:row r="25">
      <x:c r="A25" s="24" t="n">
        <x:v>4</x:v>
      </x:c>
      <x:c r="B25" s="24" t="str">
        <x:v>Varilux XR Series</x:v>
      </x:c>
      <x:c r="C25" s="24" t="n">
        <x:v>254.2</x:v>
      </x:c>
      <x:c r="D25" s="24" t="n">
        <x:v>347</x:v>
      </x:c>
      <x:c r="E25" s="24" t="str">
        <x:v>Stylis 1.67 14.229,00 14.229,00 - -</x:v>
      </x:c>
      <x:c r="F25" s="24" t="str">
        <x:v>12.229,00 11.069,00 12.589,00 12.649,00</x:v>
      </x:c>
      <x:c r="G25" s="24" t="n">
        <x:v>13849</x:v>
      </x:c>
      <x:c r="H25" s="24" t="n">
        <x:v>46118</x:v>
      </x:c>
      <x:c r="I25" s="24" t="n">
        <x:v>46234</x:v>
      </x:c>
      <x:c r="J25" s="24" t="str">
        <x:v>EXPIRADA</x:v>
      </x:c>
    </x:row>
    <x:row r="26">
      <x:c r="A26" s="24" t="n">
        <x:v>4</x:v>
      </x:c>
      <x:c r="B26" s="24" t="str">
        <x:v>Varilux XR Series</x:v>
      </x:c>
      <x:c r="C26" s="24" t="n">
        <x:v>310.5</x:v>
      </x:c>
      <x:c r="D26" s="24" t="n">
        <x:v>212.9</x:v>
      </x:c>
      <x:c r="E26" s="24" t="str">
        <x:v>Stylis 1.74 -</x:v>
      </x:c>
      <x:c r="F26" s="24" t="str">
        <x:v>13.029,00 14.229,00 15.749,00 15.809,00</x:v>
      </x:c>
      <x:c r="G26" s="24" t="n">
        <x:v>16099</x:v>
      </x:c>
      <x:c r="H26" s="24" t="n">
        <x:v>46118</x:v>
      </x:c>
      <x:c r="I26" s="24" t="n">
        <x:v>46234</x:v>
      </x:c>
      <x:c r="J26" s="24" t="str">
        <x:v>EXPIRADA</x:v>
      </x:c>
    </x:row>
    <x:row r="27">
      <x:c r="A27" s="24" t="n">
        <x:v>4</x:v>
      </x:c>
      <x:c r="B27" s="24" t="str">
        <x:v>Varilux XR Series</x:v>
      </x:c>
      <x:c r="C27" s="24" t="n">
        <x:v>325.3</x:v>
      </x:c>
      <x:c r="D27" s="24" t="n">
        <x:v>214</x:v>
      </x:c>
      <x:c r="E27" s="24" t="str">
        <x:v>Transitions Gen S -</x:v>
      </x:c>
      <x:c r="F27" s="24" t="str">
        <x:v>14.229,00 15.749,00 15.809,00 16.099,00</x:v>
      </x:c>
      <x:c r="G27" s="24" t="n">
        <x:v>17619</x:v>
      </x:c>
      <x:c r="H27" s="24" t="n">
        <x:v>46118</x:v>
      </x:c>
      <x:c r="I27" s="24" t="n">
        <x:v>46234</x:v>
      </x:c>
      <x:c r="J27" s="24" t="str">
        <x:v>EXPIRADA</x:v>
      </x:c>
    </x:row>
    <x:row r="28">
      <x:c r="A28" s="24" t="n">
        <x:v>4</x:v>
      </x:c>
      <x:c r="B28" s="24" t="str">
        <x:v>Varilux XR Series</x:v>
      </x:c>
      <x:c r="C28" s="24" t="n">
        <x:v>390.5</x:v>
      </x:c>
      <x:c r="D28" s="24" t="n">
        <x:v>369.9</x:v>
      </x:c>
      <x:c r="E28" s="24" t="str">
        <x:v>Orma + Xperio cinza/marrom 11.359,00 11.339,00 10.699,00 Orma + Coloração padrão</x:v>
      </x:c>
      <x:c r="F28" s="24" t="str">
        <x:v>adicional: Eyecode | CVP | 4D Technology VERNIZ HC MARCAÇÃO</x:v>
      </x:c>
      <x:c r="G28" s="24" t="n">
        <x:v>10189</x:v>
      </x:c>
      <x:c r="H28" s="24" t="n">
        <x:v>46118</x:v>
      </x:c>
      <x:c r="I28" s="24" t="n">
        <x:v>46234</x:v>
      </x:c>
      <x:c r="J28" s="24" t="str">
        <x:v>EXPIRADA</x:v>
      </x:c>
    </x:row>
    <x:row r="29">
      <x:c r="A29" s="24" t="n">
        <x:v>4</x:v>
      </x:c>
      <x:c r="B29" s="24" t="str">
        <x:v>Varilux XR Series</x:v>
      </x:c>
      <x:c r="C29" s="24" t="n">
        <x:v>403.1</x:v>
      </x:c>
      <x:c r="D29" s="24" t="n">
        <x:v>369</x:v>
      </x:c>
      <x:c r="E29" s="24" t="str">
        <x:v>+ Coloração especial</x:v>
      </x:c>
      <x:c r="F29" s="24" t="str">
        <x:v>| CVP | 4D Technology VERNIZ HC MARCAÇÃO 10.189,00 padrão</x:v>
      </x:c>
      <x:c r="G29" s="24" t="n">
        <x:v>10299</x:v>
      </x:c>
      <x:c r="H29" s="24" t="n">
        <x:v>46118</x:v>
      </x:c>
      <x:c r="I29" s="24" t="n">
        <x:v>46234</x:v>
      </x:c>
      <x:c r="J29" s="24" t="str">
        <x:v>EXPIRADA</x:v>
      </x:c>
    </x:row>
    <x:row r="30">
      <x:c r="A30" s="24" t="n">
        <x:v>4</x:v>
      </x:c>
      <x:c r="B30" s="24" t="str">
        <x:v>Varilux XR Series</x:v>
      </x:c>
      <x:c r="C30" s="24" t="n">
        <x:v>423.6</x:v>
      </x:c>
      <x:c r="D30" s="24" t="n">
        <x:v>223.5</x:v>
      </x:c>
      <x:c r="E30" s="24" t="str">
        <x:v>+ Xperio cinza/marrom 11.779,00 11.759,00</x:v>
      </x:c>
      <x:c r="F30" s="24" t="str">
        <x:v>OPTIFOG VERNIZ HC 11.339,00 10.699,00 Orma +R$420</x:v>
      </x:c>
      <x:c r="G30" s="24" t="n">
        <x:v>11119</x:v>
      </x:c>
      <x:c r="H30" s="24" t="n">
        <x:v>46118</x:v>
      </x:c>
      <x:c r="I30" s="24" t="n">
        <x:v>46234</x:v>
      </x:c>
      <x:c r="J30" s="24" t="str">
        <x:v>EXPIRADA</x:v>
      </x:c>
    </x:row>
    <x:row r="31">
      <x:c r="A31" s="24" t="n">
        <x:v>4</x:v>
      </x:c>
      <x:c r="B31" s="24" t="str">
        <x:v>Varilux XR Series</x:v>
      </x:c>
      <x:c r="C31" s="24" t="n">
        <x:v>423.6</x:v>
      </x:c>
      <x:c r="D31" s="24" t="n">
        <x:v>141.4</x:v>
      </x:c>
      <x:c r="E31" s="24" t="str">
        <x:v>+ Xperio cinza/marrom</x:v>
      </x:c>
      <x:c r="F31" s="24" t="str">
        <x:v>Technology CRIZAL SAPPHIRE HR OPTIFOG FACE INTERNA 11.359,00 11.339,00 cinza/marrom</x:v>
      </x:c>
      <x:c r="G31" s="24" t="n">
        <x:v>11779</x:v>
      </x:c>
      <x:c r="H31" s="24" t="n">
        <x:v>46118</x:v>
      </x:c>
      <x:c r="I31" s="24" t="n">
        <x:v>46234</x:v>
      </x:c>
      <x:c r="J31" s="24" t="str">
        <x:v>EXPIRADA</x:v>
      </x:c>
    </x:row>
    <x:row r="32">
      <x:c r="A32" s="24" t="n">
        <x:v>4</x:v>
      </x:c>
      <x:c r="B32" s="24" t="str">
        <x:v>Varilux XR Series</x:v>
      </x:c>
      <x:c r="C32" s="24" t="n">
        <x:v>390.5</x:v>
      </x:c>
      <x:c r="D32" s="24" t="n">
        <x:v>141.9</x:v>
      </x:c>
      <x:c r="E32" s="24" t="str">
        <x:v>Orma + Xperio cinza/marrom</x:v>
      </x:c>
      <x:c r="F32" s="24" t="str">
        <x:v>CVP | 4D Technology CRIZAL SAPPHIRE HR OPTIFOG FACE INTERNA</x:v>
      </x:c>
      <x:c r="G32" s="24" t="n">
        <x:v>11359</x:v>
      </x:c>
      <x:c r="H32" s="24" t="n">
        <x:v>46118</x:v>
      </x:c>
      <x:c r="I32" s="24" t="n">
        <x:v>46234</x:v>
      </x:c>
      <x:c r="J32" s="24" t="str">
        <x:v>EXPIRADA</x:v>
      </x:c>
    </x:row>
    <x:row r="33">
      <x:c r="A33" s="24" t="n">
        <x:v>4</x:v>
      </x:c>
      <x:c r="B33" s="24" t="str">
        <x:v>Varilux XR Series</x:v>
      </x:c>
      <x:c r="C33" s="24" t="n">
        <x:v>390.5</x:v>
      </x:c>
      <x:c r="D33" s="24" t="n">
        <x:v>221</x:v>
      </x:c>
      <x:c r="E33" s="24" t="str">
        <x:v>Orma + Xperio cinza/marrom 11.359,00 11.339,00</x:v>
      </x:c>
      <x:c r="F33" s="24" t="str">
        <x:v>16.099,00 - - 17.619,00 OPTIFOG VERNIZ HC</x:v>
      </x:c>
      <x:c r="G33" s="24" t="n">
        <x:v>10699</x:v>
      </x:c>
      <x:c r="H33" s="24" t="n">
        <x:v>46118</x:v>
      </x:c>
      <x:c r="I33" s="24" t="n">
        <x:v>46234</x:v>
      </x:c>
      <x:c r="J33" s="24" t="str">
        <x:v>EXPIRADA</x:v>
      </x:c>
    </x:row>
    <x:row r="34">
      <x:c r="A34" s="24" t="n">
        <x:v>4</x:v>
      </x:c>
      <x:c r="B34" s="24" t="str">
        <x:v>Varilux XR Series</x:v>
      </x:c>
      <x:c r="C34" s="24" t="n">
        <x:v>390.5</x:v>
      </x:c>
      <x:c r="D34" s="24" t="n">
        <x:v>183.8</x:v>
      </x:c>
      <x:c r="E34" s="24" t="str">
        <x:v>Orma + Xperio cinza/marrom 11.359,00</x:v>
      </x:c>
      <x:c r="F34" s="24" t="str">
        <x:v>- 16.099,00 - 17.619,00 Technology SAPPHIRE HR OPTIFOG VERNIZ INTERNA</x:v>
      </x:c>
      <x:c r="G34" s="24" t="n">
        <x:v>11339</x:v>
      </x:c>
      <x:c r="H34" s="24" t="n">
        <x:v>46118</x:v>
      </x:c>
      <x:c r="I34" s="24" t="n">
        <x:v>46234</x:v>
      </x:c>
      <x:c r="J34" s="24" t="str">
        <x:v>EXPIRADA</x:v>
      </x:c>
    </x:row>
    <x:row r="35">
      <x:c r="A35" s="24" t="n">
        <x:v>4</x:v>
      </x:c>
      <x:c r="B35" s="24" t="str">
        <x:v>Varilux XR Series</x:v>
      </x:c>
      <x:c r="C35" s="24" t="n">
        <x:v>423.6</x:v>
      </x:c>
      <x:c r="D35" s="24" t="n">
        <x:v>184.5</x:v>
      </x:c>
      <x:c r="E35" s="24" t="str">
        <x:v>+ Xperio cinza/marrom 11.779,00</x:v>
      </x:c>
      <x:c r="F35" s="24" t="str">
        <x:v>Technology SAPPHIRE HR OPTIFOG VERNIZ INTERNA 11.359,00 11.339,00 10.699,00</x:v>
      </x:c>
      <x:c r="G35" s="24" t="n">
        <x:v>11759</x:v>
      </x:c>
      <x:c r="H35" s="24" t="n">
        <x:v>46118</x:v>
      </x:c>
      <x:c r="I35" s="24" t="n">
        <x:v>46234</x:v>
      </x:c>
      <x:c r="J35" s="24" t="str">
        <x:v>EXPIRADA</x:v>
      </x:c>
    </x:row>
    <x:row r="36">
      <x:c r="A36" s="24" t="n">
        <x:v>4</x:v>
      </x:c>
      <x:c r="B36" s="24" t="str">
        <x:v>Varilux XR Series</x:v>
      </x:c>
      <x:c r="C36" s="24" t="n">
        <x:v>227.9</x:v>
      </x:c>
      <x:c r="D36" s="24" t="n">
        <x:v>163.7</x:v>
      </x:c>
      <x:c r="E36" s="24" t="str">
        <x:v>Transitions Extractive</x:v>
      </x:c>
      <x:c r="F36" s="24" t="str">
        <x:v>11.029,00 12.549,00 +R$1.520 12.609,00 +R$1.580 11.449,00 12.969,00 +R$1.520</x:v>
      </x:c>
      <x:c r="G36" s="24" t="n">
        <x:v>13029</x:v>
      </x:c>
      <x:c r="H36" s="24" t="n">
        <x:v>46118</x:v>
      </x:c>
      <x:c r="I36" s="24" t="n">
        <x:v>46234</x:v>
      </x:c>
      <x:c r="J36" s="24" t="str">
        <x:v>EXPIRADA</x:v>
      </x:c>
    </x:row>
    <x:row r="37">
      <x:c r="A37" s="24" t="n">
        <x:v>4</x:v>
      </x:c>
      <x:c r="B37" s="24" t="str">
        <x:v>Varilux XR Series</x:v>
      </x:c>
      <x:c r="C37" s="24" t="n">
        <x:v>227.9</x:v>
      </x:c>
      <x:c r="D37" s="24" t="n">
        <x:v>347.1</x:v>
      </x:c>
      <x:c r="E37" s="24" t="str">
        <x:v>Transitions Extractive 13.029,00 13.029,00 - -</x:v>
      </x:c>
      <x:c r="F37" s="24" t="str">
        <x:v>10.649,00 12.169,00 12.229,00 11.069,00 12.589,00</x:v>
      </x:c>
      <x:c r="G37" s="24" t="n">
        <x:v>12649</x:v>
      </x:c>
      <x:c r="H37" s="24" t="n">
        <x:v>46118</x:v>
      </x:c>
      <x:c r="I37" s="24" t="n">
        <x:v>46234</x:v>
      </x:c>
      <x:c r="J37" s="24" t="str">
        <x:v>EXPIRADA</x:v>
      </x:c>
    </x:row>
    <x:row r="38">
      <x:c r="A38" s="24" t="n">
        <x:v>4</x:v>
      </x:c>
      <x:c r="B38" s="24" t="str">
        <x:v>Varilux XR Series</x:v>
      </x:c>
      <x:c r="C38" s="24" t="n">
        <x:v>227.9</x:v>
      </x:c>
      <x:c r="D38" s="24" t="n">
        <x:v>213.1</x:v>
      </x:c>
      <x:c r="E38" s="24" t="str">
        <x:v>Transitions Extractive 13.029,00</x:v>
      </x:c>
      <x:c r="F38" s="24" t="str">
        <x:v>11.029,00 12.549,00 12.609,00 11.449,00 12.969,00</x:v>
      </x:c>
      <x:c r="G38" s="24" t="n">
        <x:v>13029</x:v>
      </x:c>
      <x:c r="H38" s="24" t="n">
        <x:v>46118</x:v>
      </x:c>
      <x:c r="I38" s="24" t="n">
        <x:v>46234</x:v>
      </x:c>
      <x:c r="J38" s="24" t="str">
        <x:v>EXPIRADA</x:v>
      </x:c>
    </x:row>
    <x:row r="39">
      <x:c r="A39" s="24" t="n">
        <x:v>4</x:v>
      </x:c>
      <x:c r="B39" s="24" t="str">
        <x:v>Varilux XR Series</x:v>
      </x:c>
      <x:c r="C39" s="24" t="n">
        <x:v>284.2</x:v>
      </x:c>
      <x:c r="D39" s="24" t="n">
        <x:v>163.7</x:v>
      </x:c>
      <x:c r="E39" s="24" t="str">
        <x:v>Transitions Extractive</x:v>
      </x:c>
      <x:c r="F39" s="24" t="str">
        <x:v>11.449,00 12.969,00 +R$1.520 13.029,00 +R$1.580 14.229,00 15.749,00 +R$1.520</x:v>
      </x:c>
      <x:c r="G39" s="24" t="n">
        <x:v>15809</x:v>
      </x:c>
      <x:c r="H39" s="24" t="n">
        <x:v>46118</x:v>
      </x:c>
      <x:c r="I39" s="24" t="n">
        <x:v>46234</x:v>
      </x:c>
      <x:c r="J39" s="24" t="str">
        <x:v>EXPIRADA</x:v>
      </x:c>
    </x:row>
    <x:row r="40">
      <x:c r="A40" s="24" t="n">
        <x:v>4</x:v>
      </x:c>
      <x:c r="B40" s="24" t="str">
        <x:v>Varilux XR Series</x:v>
      </x:c>
      <x:c r="C40" s="24" t="n">
        <x:v>284.2</x:v>
      </x:c>
      <x:c r="D40" s="24" t="n">
        <x:v>347</x:v>
      </x:c>
      <x:c r="E40" s="24" t="str">
        <x:v>Transitions Extractive 15.809,00 15.809,00 - -</x:v>
      </x:c>
      <x:c r="F40" s="24" t="str">
        <x:v>11.069,00 12.589,00 12.649,00 13.849,00 15.369,00</x:v>
      </x:c>
      <x:c r="G40" s="24" t="n">
        <x:v>15429</x:v>
      </x:c>
      <x:c r="H40" s="24" t="n">
        <x:v>46118</x:v>
      </x:c>
      <x:c r="I40" s="24" t="n">
        <x:v>46234</x:v>
      </x:c>
      <x:c r="J40" s="24" t="str">
        <x:v>EXPIRADA</x:v>
      </x:c>
    </x:row>
    <x:row r="41">
      <x:c r="A41" s="24" t="n">
        <x:v>4</x:v>
      </x:c>
      <x:c r="B41" s="24" t="str">
        <x:v>Varilux XR Series</x:v>
      </x:c>
      <x:c r="C41" s="24" t="n">
        <x:v>284.2</x:v>
      </x:c>
      <x:c r="D41" s="24" t="n">
        <x:v>213</x:v>
      </x:c>
      <x:c r="E41" s="24" t="str">
        <x:v>Transitions Extractive 15.809,00</x:v>
      </x:c>
      <x:c r="F41" s="24" t="str">
        <x:v>11.449,00 12.969,00 13.029,00 14.229,00 15.749,00</x:v>
      </x:c>
      <x:c r="G41" s="24" t="n">
        <x:v>15809</x:v>
      </x:c>
      <x:c r="H41" s="24" t="n">
        <x:v>46118</x:v>
      </x:c>
      <x:c r="I41" s="24" t="n">
        <x:v>46234</x:v>
      </x:c>
      <x:c r="J41" s="24" t="str">
        <x:v>EXPIRADA</x:v>
      </x:c>
    </x:row>
    <x:row r="42">
      <x:c r="A42" s="24" t="n">
        <x:v>4</x:v>
      </x:c>
      <x:c r="B42" s="24" t="str">
        <x:v>Varilux XR Series</x:v>
      </x:c>
      <x:c r="C42" s="24" t="n">
        <x:v>174</x:v>
      </x:c>
      <x:c r="D42" s="24" t="n">
        <x:v>164.6</x:v>
      </x:c>
      <x:c r="E42" s="24"/>
      <x:c r="F42" s="24" t="str">
        <x:v>adicional: | 4D Technology CRIZAL PREVENCIA 11.029,00 12.549,00 +R$1.520</x:v>
      </x:c>
      <x:c r="G42" s="24" t="n">
        <x:v>12609</x:v>
      </x:c>
      <x:c r="H42" s="24" t="n">
        <x:v>46118</x:v>
      </x:c>
      <x:c r="I42" s="24" t="n">
        <x:v>46234</x:v>
      </x:c>
      <x:c r="J42" s="24" t="str">
        <x:v>EXPIRADA</x:v>
      </x:c>
    </x:row>
    <x:row r="43">
      <x:c r="A43" s="24" t="n">
        <x:v>4</x:v>
      </x:c>
      <x:c r="B43" s="24" t="str">
        <x:v>Varilux XR Series</x:v>
      </x:c>
      <x:c r="C43" s="24" t="n">
        <x:v>174</x:v>
      </x:c>
      <x:c r="D43" s="24" t="n">
        <x:v>346.9</x:v>
      </x:c>
      <x:c r="E43" s="24" t="str">
        <x:v>12.609,00 12.609,00 - -</x:v>
      </x:c>
      <x:c r="F43" s="24" t="str">
        <x:v>MARROM M A CRIZAL OPTIFOG PRO - 10.649,00 - 12.169,00</x:v>
      </x:c>
      <x:c r="G43" s="24" t="n">
        <x:v>12229</x:v>
      </x:c>
      <x:c r="H43" s="24" t="n">
        <x:v>46118</x:v>
      </x:c>
      <x:c r="I43" s="24" t="n">
        <x:v>46234</x:v>
      </x:c>
      <x:c r="J43" s="24" t="str">
        <x:v>EXPIRADA</x:v>
      </x:c>
    </x:row>
    <x:row r="44">
      <x:c r="A44" s="24" t="n">
        <x:v>4</x:v>
      </x:c>
      <x:c r="B44" s="24" t="str">
        <x:v>Varilux XR Series</x:v>
      </x:c>
      <x:c r="C44" s="24" t="n">
        <x:v>174</x:v>
      </x:c>
      <x:c r="D44" s="24" t="n">
        <x:v>214</x:v>
      </x:c>
      <x:c r="E44" s="24" t="str">
        <x:v>12.609,00</x:v>
      </x:c>
      <x:c r="F44" s="24" t="str">
        <x:v>CRIZAL SAPPHIRE HR 11.029,00 12.549,00</x:v>
      </x:c>
      <x:c r="G44" s="24" t="n">
        <x:v>12609</x:v>
      </x:c>
      <x:c r="H44" s="24" t="n">
        <x:v>46118</x:v>
      </x:c>
      <x:c r="I44" s="24" t="n">
        <x:v>46234</x:v>
      </x:c>
      <x:c r="J44" s="24" t="str">
        <x:v>EXPIRADA</x:v>
      </x:c>
    </x:row>
    <x:row r="45">
      <x:c r="A45" s="24" t="n">
        <x:v>4</x:v>
      </x:c>
      <x:c r="B45" s="24" t="str">
        <x:v>Varilux XR Series</x:v>
      </x:c>
      <x:c r="C45" s="24" t="n">
        <x:v>437</x:v>
      </x:c>
      <x:c r="D45" s="24" t="n">
        <x:v>369.7</x:v>
      </x:c>
      <x:c r="E45" s="24" t="str">
        <x:v>+ Coloração padrão</x:v>
      </x:c>
      <x:c r="F45" s="24" t="str">
        <x:v>| 4D Technology VERNIZ HC MARCAÇÃO 10.189,00 padrão 10.299,00 especial</x:v>
      </x:c>
      <x:c r="G45" s="24" t="n">
        <x:v>10609</x:v>
      </x:c>
      <x:c r="H45" s="24" t="n">
        <x:v>46118</x:v>
      </x:c>
      <x:c r="I45" s="24" t="n">
        <x:v>46234</x:v>
      </x:c>
      <x:c r="J45" s="24" t="str">
        <x:v>EXPIRADA</x:v>
      </x:c>
    </x:row>
    <x:row r="46">
      <x:c r="A46" s="24" t="n">
        <x:v>4</x:v>
      </x:c>
      <x:c r="B46" s="24" t="str">
        <x:v>Varilux XR Series</x:v>
      </x:c>
      <x:c r="C46" s="24" t="n">
        <x:v>449.7</x:v>
      </x:c>
      <x:c r="D46" s="24" t="n">
        <x:v>371.8</x:v>
      </x:c>
      <x:c r="E46" s="24" t="str">
        <x:v>+ Coloração especial</x:v>
      </x:c>
      <x:c r="F46" s="24" t="str">
        <x:v>Technology VERNIZ HC MARCAÇÃO 10.189,00 padrão 10.299,00 especial 10.609,00 padrão</x:v>
      </x:c>
      <x:c r="G46" s="24" t="n">
        <x:v>10719</x:v>
      </x:c>
      <x:c r="H46" s="24" t="n">
        <x:v>46118</x:v>
      </x:c>
      <x:c r="I46" s="24" t="n">
        <x:v>46234</x:v>
      </x:c>
      <x:c r="J46" s="24" t="str">
        <x:v>EXPIRADA</x:v>
      </x:c>
    </x:row>
    <x:row r="47">
      <x:c r="A47" s="24" t="n">
        <x:v>4</x:v>
      </x:c>
      <x:c r="B47" s="24" t="str">
        <x:v>Varilux XR Series</x:v>
      </x:c>
      <x:c r="C47" s="24" t="n">
        <x:v>498.6</x:v>
      </x:c>
      <x:c r="D47" s="24" t="n">
        <x:v>168.1</x:v>
      </x:c>
      <x:c r="E47" s="24" t="str">
        <x:v>Orma</x:v>
      </x:c>
      <x:c r="F47" s="24" t="str">
        <x:v>11.779,00 11.759,00 adicional: CRIZAL PREVENCIA SAPPHIRE</x:v>
      </x:c>
      <x:c r="G47" s="24" t="n">
        <x:v>6789</x:v>
      </x:c>
      <x:c r="H47" s="24" t="n">
        <x:v>46118</x:v>
      </x:c>
      <x:c r="I47" s="24" t="n">
        <x:v>46234</x:v>
      </x:c>
      <x:c r="J47" s="24" t="str">
        <x:v>EXPIRADA</x:v>
      </x:c>
    </x:row>
    <x:row r="48">
      <x:c r="A48" s="24" t="n">
        <x:v>4</x:v>
      </x:c>
      <x:c r="B48" s="24" t="str">
        <x:v>Varilux XR Series</x:v>
      </x:c>
      <x:c r="C48" s="24" t="n">
        <x:v>498.6</x:v>
      </x:c>
      <x:c r="D48" s="24" t="n">
        <x:v>261.5</x:v>
      </x:c>
      <x:c r="E48" s="24" t="str">
        <x:v>Orma 6.789,00 6.789,00</x:v>
      </x:c>
      <x:c r="F48" s="24" t="str">
        <x:v>11.119,00 Airwear + + CRIZAL CRIZAL CRIZAL ROCK HR EASY</x:v>
      </x:c>
      <x:c r="G48" s="24" t="n">
        <x:v>6519</x:v>
      </x:c>
      <x:c r="H48" s="24" t="n">
        <x:v>46118</x:v>
      </x:c>
      <x:c r="I48" s="24" t="n">
        <x:v>46234</x:v>
      </x:c>
      <x:c r="J48" s="24" t="str">
        <x:v>EXPIRADA</x:v>
      </x:c>
    </x:row>
    <x:row r="49">
      <x:c r="A49" s="24" t="n">
        <x:v>4</x:v>
      </x:c>
      <x:c r="B49" s="24" t="str">
        <x:v>Varilux XR Series</x:v>
      </x:c>
      <x:c r="C49" s="24" t="n">
        <x:v>498.6</x:v>
      </x:c>
      <x:c r="D49" s="24" t="n">
        <x:v>304.1</x:v>
      </x:c>
      <x:c r="E49" s="24" t="str">
        <x:v>Orma 6.789,00 6.789,00 6.519,00</x:v>
      </x:c>
      <x:c r="F49" s="24" t="str">
        <x:v>padrão + Coloração especial CRIZAL CRIZAL OPTIFOG ROCK EASY PRO</x:v>
      </x:c>
      <x:c r="G49" s="24" t="n">
        <x:v>6169</x:v>
      </x:c>
      <x:c r="H49" s="24" t="n">
        <x:v>46118</x:v>
      </x:c>
      <x:c r="I49" s="24" t="n">
        <x:v>46234</x:v>
      </x:c>
      <x:c r="J49" s="24" t="str">
        <x:v>EXPIRADA</x:v>
      </x:c>
    </x:row>
    <x:row r="50">
      <x:c r="A50" s="24" t="n">
        <x:v>4</x:v>
      </x:c>
      <x:c r="B50" s="24" t="str">
        <x:v>Varilux XR Series</x:v>
      </x:c>
      <x:c r="C50" s="24" t="n">
        <x:v>498.6</x:v>
      </x:c>
      <x:c r="D50" s="24" t="n">
        <x:v>347.6</x:v>
      </x:c>
      <x:c r="E50" s="24" t="str">
        <x:v>Orma 6.789,00 6.789,00 6.519,00 6.169,00</x:v>
      </x:c>
      <x:c r="F50" s="24" t="str">
        <x:v>especial 10.609,00 Coloração padrão 10.719,00 Coloração especial CRIZAL OPTIFOG PRO</x:v>
      </x:c>
      <x:c r="G50" s="24" t="n">
        <x:v>6409</x:v>
      </x:c>
      <x:c r="H50" s="24" t="n">
        <x:v>46118</x:v>
      </x:c>
      <x:c r="I50" s="24" t="n">
        <x:v>46234</x:v>
      </x:c>
      <x:c r="J50" s="24" t="str">
        <x:v>EXPIRADA</x:v>
      </x:c>
    </x:row>
    <x:row r="51">
      <x:c r="A51" s="24" t="n">
        <x:v>4</x:v>
      </x:c>
      <x:c r="B51" s="24" t="str">
        <x:v>Varilux XR Series</x:v>
      </x:c>
      <x:c r="C51" s="24" t="n">
        <x:v>623.1</x:v>
      </x:c>
      <x:c r="D51" s="24" t="n">
        <x:v>166.2</x:v>
      </x:c>
      <x:c r="E51" s="24" t="str">
        <x:v>Transitions Gen S</x:v>
      </x:c>
      <x:c r="F51" s="24" t="str">
        <x:v>+R$1.580 7.209,00 8.729,00 +R$1.520 8.789,00 +R$1.580 9.989,00</x:v>
      </x:c>
      <x:c r="G51" s="24" t="n">
        <x:v>11509</x:v>
      </x:c>
      <x:c r="H51" s="24" t="n">
        <x:v>46118</x:v>
      </x:c>
      <x:c r="I51" s="24" t="n">
        <x:v>46234</x:v>
      </x:c>
      <x:c r="J51" s="24" t="str">
        <x:v>EXPIRADA</x:v>
      </x:c>
    </x:row>
    <x:row r="52">
      <x:c r="A52" s="24" t="n">
        <x:v>4</x:v>
      </x:c>
      <x:c r="B52" s="24" t="str">
        <x:v>Varilux XR Series</x:v>
      </x:c>
      <x:c r="C52" s="24" t="n">
        <x:v>623.1</x:v>
      </x:c>
      <x:c r="D52" s="24" t="n">
        <x:v>348.5</x:v>
      </x:c>
      <x:c r="E52" s="24" t="str">
        <x:v>Transitions Gen S 11.509,00 11.509,00 11.239,00 10.889,00</x:v>
      </x:c>
      <x:c r="F52" s="24" t="str">
        <x:v>6.829,00 8.349,00 8.409,00 9.609,00</x:v>
      </x:c>
      <x:c r="G52" s="24" t="n">
        <x:v>11129</x:v>
      </x:c>
      <x:c r="H52" s="24" t="n">
        <x:v>46118</x:v>
      </x:c>
      <x:c r="I52" s="24" t="n">
        <x:v>46234</x:v>
      </x:c>
      <x:c r="J52" s="24" t="str">
        <x:v>EXPIRADA</x:v>
      </x:c>
    </x:row>
    <x:row r="53">
      <x:c r="A53" s="24" t="n">
        <x:v>4</x:v>
      </x:c>
      <x:c r="B53" s="24" t="str">
        <x:v>Varilux XR Series</x:v>
      </x:c>
      <x:c r="C53" s="24" t="n">
        <x:v>498.6</x:v>
      </x:c>
      <x:c r="D53" s="24" t="n">
        <x:v>214.3</x:v>
      </x:c>
      <x:c r="E53" s="24" t="str">
        <x:v>Orma 6.789,00</x:v>
      </x:c>
      <x:c r="F53" s="24" t="str">
        <x:v>11.759,00 11.119,00 CRIZAL PREVENCIA SAPPHIRE HR</x:v>
      </x:c>
      <x:c r="G53" s="24" t="n">
        <x:v>6789</x:v>
      </x:c>
      <x:c r="H53" s="24" t="n">
        <x:v>46118</x:v>
      </x:c>
      <x:c r="I53" s="24" t="n">
        <x:v>46234</x:v>
      </x:c>
      <x:c r="J53" s="24" t="str">
        <x:v>EXPIRADA</x:v>
      </x:c>
    </x:row>
    <x:row r="54">
      <x:c r="A54" s="24" t="n">
        <x:v>4</x:v>
      </x:c>
      <x:c r="B54" s="24" t="str">
        <x:v>Varilux XR Series</x:v>
      </x:c>
      <x:c r="C54" s="24" t="n">
        <x:v>512.4</x:v>
      </x:c>
      <x:c r="D54" s="24" t="n">
        <x:v>167.3</x:v>
      </x:c>
      <x:c r="E54" s="24" t="str">
        <x:v>Transitions Gen S</x:v>
      </x:c>
      <x:c r="F54" s="24" t="str">
        <x:v>11.779,00 11.759,00 adicional: CRIZAL PREVENCIA SAPPHIRE 6.789,00</x:v>
      </x:c>
      <x:c r="G54" s="24" t="n">
        <x:v>8309</x:v>
      </x:c>
      <x:c r="H54" s="24" t="n">
        <x:v>46118</x:v>
      </x:c>
      <x:c r="I54" s="24" t="n">
        <x:v>46234</x:v>
      </x:c>
      <x:c r="J54" s="24" t="str">
        <x:v>EXPIRADA</x:v>
      </x:c>
    </x:row>
    <x:row r="55">
      <x:c r="A55" s="24" t="n">
        <x:v>4</x:v>
      </x:c>
      <x:c r="B55" s="24" t="str">
        <x:v>Varilux XR Series</x:v>
      </x:c>
      <x:c r="C55" s="24" t="n">
        <x:v>512.4</x:v>
      </x:c>
      <x:c r="D55" s="24" t="n">
        <x:v>259.9</x:v>
      </x:c>
      <x:c r="E55" s="24" t="str">
        <x:v>Transitions Gen S 8.309,00 8.309,00</x:v>
      </x:c>
      <x:c r="F55" s="24" t="str">
        <x:v>+ + CRIZAL CRIZAL CRIZAL ROCK HR EASY 6.519,00 6.169,00</x:v>
      </x:c>
      <x:c r="G55" s="24" t="n">
        <x:v>8039</x:v>
      </x:c>
      <x:c r="H55" s="24" t="n">
        <x:v>46118</x:v>
      </x:c>
      <x:c r="I55" s="24" t="n">
        <x:v>46234</x:v>
      </x:c>
      <x:c r="J55" s="24" t="str">
        <x:v>EXPIRADA</x:v>
      </x:c>
    </x:row>
    <x:row r="56">
      <x:c r="A56" s="24" t="n">
        <x:v>4</x:v>
      </x:c>
      <x:c r="B56" s="24" t="str">
        <x:v>Varilux XR Series</x:v>
      </x:c>
      <x:c r="C56" s="24" t="n">
        <x:v>512.4</x:v>
      </x:c>
      <x:c r="D56" s="24" t="n">
        <x:v>303.3</x:v>
      </x:c>
      <x:c r="E56" s="24" t="str">
        <x:v>Transitions Gen S 8.309,00 8.309,00 8.039,00</x:v>
      </x:c>
      <x:c r="F56" s="24" t="str">
        <x:v>especial CRIZAL CRIZAL OPTIFOG ROCK EASY PRO 6.519,00 6.169,00 6.409,00</x:v>
      </x:c>
      <x:c r="G56" s="24" t="n">
        <x:v>7689</x:v>
      </x:c>
      <x:c r="H56" s="24" t="n">
        <x:v>46118</x:v>
      </x:c>
      <x:c r="I56" s="24" t="n">
        <x:v>46234</x:v>
      </x:c>
      <x:c r="J56" s="24" t="str">
        <x:v>EXPIRADA</x:v>
      </x:c>
    </x:row>
    <x:row r="57">
      <x:c r="A57" s="24" t="n">
        <x:v>4</x:v>
      </x:c>
      <x:c r="B57" s="24" t="str">
        <x:v>Varilux XR Series</x:v>
      </x:c>
      <x:c r="C57" s="24" t="n">
        <x:v>512.4</x:v>
      </x:c>
      <x:c r="D57" s="24" t="n">
        <x:v>347.9</x:v>
      </x:c>
      <x:c r="E57" s="24" t="str">
        <x:v>Transitions Gen S 8.309,00 8.309,00 8.039,00 7.689,00</x:v>
      </x:c>
      <x:c r="F57" s="24" t="str">
        <x:v>Coloração padrão 10.719,00 Coloração especial CRIZAL OPTIFOG PRO 6.169,00 6.409,00</x:v>
      </x:c>
      <x:c r="G57" s="24" t="n">
        <x:v>7929</x:v>
      </x:c>
      <x:c r="H57" s="24" t="n">
        <x:v>46118</x:v>
      </x:c>
      <x:c r="I57" s="24" t="n">
        <x:v>46234</x:v>
      </x:c>
      <x:c r="J57" s="24" t="str">
        <x:v>EXPIRADA</x:v>
      </x:c>
    </x:row>
    <x:row r="58">
      <x:c r="A58" s="24" t="n">
        <x:v>4</x:v>
      </x:c>
      <x:c r="B58" s="24" t="str">
        <x:v>Varilux XR Series</x:v>
      </x:c>
      <x:c r="C58" s="24" t="n">
        <x:v>512.4</x:v>
      </x:c>
      <x:c r="D58" s="24" t="n">
        <x:v>214.3</x:v>
      </x:c>
      <x:c r="E58" s="24" t="str">
        <x:v>Transitions Gen S 8.309,00</x:v>
      </x:c>
      <x:c r="F58" s="24" t="str">
        <x:v>11.759,00 11.119,00 CRIZAL PREVENCIA SAPPHIRE HR 6.789,00</x:v>
      </x:c>
      <x:c r="G58" s="24" t="n">
        <x:v>8309</x:v>
      </x:c>
      <x:c r="H58" s="24" t="n">
        <x:v>46118</x:v>
      </x:c>
      <x:c r="I58" s="24" t="n">
        <x:v>46234</x:v>
      </x:c>
      <x:c r="J58" s="24" t="str">
        <x:v>EXPIRADA</x:v>
      </x:c>
    </x:row>
    <x:row r="59">
      <x:c r="A59" s="24" t="n">
        <x:v>4</x:v>
      </x:c>
      <x:c r="B59" s="24" t="str">
        <x:v>Varilux XR Series</x:v>
      </x:c>
      <x:c r="C59" s="24" t="n">
        <x:v>527.1</x:v>
      </x:c>
      <x:c r="D59" s="24" t="n">
        <x:v>167.2</x:v>
      </x:c>
      <x:c r="E59" s="24" t="str">
        <x:v>Transitions Extractive</x:v>
      </x:c>
      <x:c r="F59" s="24" t="str">
        <x:v>adicional: CRIZAL PREVENCIA SAPPHIRE 6.789,00 8.309,00 +R$1.520</x:v>
      </x:c>
      <x:c r="G59" s="24" t="n">
        <x:v>8369</x:v>
      </x:c>
      <x:c r="H59" s="24" t="n">
        <x:v>46118</x:v>
      </x:c>
      <x:c r="I59" s="24" t="n">
        <x:v>46234</x:v>
      </x:c>
      <x:c r="J59" s="24" t="str">
        <x:v>EXPIRADA</x:v>
      </x:c>
    </x:row>
    <x:row r="60">
      <x:c r="A60" s="24" t="n">
        <x:v>4</x:v>
      </x:c>
      <x:c r="B60" s="24" t="str">
        <x:v>Varilux XR Series</x:v>
      </x:c>
      <x:c r="C60" s="24" t="n">
        <x:v>527.1</x:v>
      </x:c>
      <x:c r="D60" s="24" t="n">
        <x:v>260.4</x:v>
      </x:c>
      <x:c r="E60" s="24" t="str">
        <x:v>Transitions Extractive 8.369,00 8.369,00</x:v>
      </x:c>
      <x:c r="F60" s="24" t="str">
        <x:v>CRIZAL CRIZAL CRIZAL ROCK HR EASY 6.519,00 6.169,00 8.039,00 7.689,00</x:v>
      </x:c>
      <x:c r="G60" s="24" t="n">
        <x:v>8099</x:v>
      </x:c>
      <x:c r="H60" s="24" t="n">
        <x:v>46118</x:v>
      </x:c>
      <x:c r="I60" s="24" t="n">
        <x:v>46234</x:v>
      </x:c>
      <x:c r="J60" s="24" t="str">
        <x:v>EXPIRADA</x:v>
      </x:c>
    </x:row>
    <x:row r="61">
      <x:c r="A61" s="24" t="n">
        <x:v>4</x:v>
      </x:c>
      <x:c r="B61" s="24" t="str">
        <x:v>Varilux XR Series</x:v>
      </x:c>
      <x:c r="C61" s="24" t="n">
        <x:v>527.1</x:v>
      </x:c>
      <x:c r="D61" s="24" t="n">
        <x:v>303.3</x:v>
      </x:c>
      <x:c r="E61" s="24" t="str">
        <x:v>Transitions Extractive 8.369,00 8.369,00 8.099,00</x:v>
      </x:c>
      <x:c r="F61" s="24" t="str">
        <x:v>OPTIFOG ROCK EASY PRO 6.519,00 6.169,00 6.409,00 8.039,00 7.689,00 7.929,00</x:v>
      </x:c>
      <x:c r="G61" s="24" t="n">
        <x:v>7749</x:v>
      </x:c>
      <x:c r="H61" s="24" t="n">
        <x:v>46118</x:v>
      </x:c>
      <x:c r="I61" s="24" t="n">
        <x:v>46234</x:v>
      </x:c>
      <x:c r="J61" s="24" t="str">
        <x:v>EXPIRADA</x:v>
      </x:c>
    </x:row>
    <x:row r="62">
      <x:c r="A62" s="24" t="n">
        <x:v>4</x:v>
      </x:c>
      <x:c r="B62" s="24" t="str">
        <x:v>Varilux XR Series</x:v>
      </x:c>
      <x:c r="C62" s="24" t="n">
        <x:v>527.1</x:v>
      </x:c>
      <x:c r="D62" s="24" t="n">
        <x:v>348.1</x:v>
      </x:c>
      <x:c r="E62" s="24" t="str">
        <x:v>Transitions Extractive 8.369,00 8.369,00 8.099,00 7.749,00</x:v>
      </x:c>
      <x:c r="F62" s="24" t="str">
        <x:v>10.719,00 Coloração especial CRIZAL OPTIFOG PRO 6.169,00 6.409,00 7.689,00 7.929,00</x:v>
      </x:c>
      <x:c r="G62" s="24" t="n">
        <x:v>7989</x:v>
      </x:c>
      <x:c r="H62" s="24" t="n">
        <x:v>46118</x:v>
      </x:c>
      <x:c r="I62" s="24" t="n">
        <x:v>46234</x:v>
      </x:c>
      <x:c r="J62" s="24" t="str">
        <x:v>EXPIRADA</x:v>
      </x:c>
    </x:row>
    <x:row r="63">
      <x:c r="A63" s="24" t="n">
        <x:v>4</x:v>
      </x:c>
      <x:c r="B63" s="24" t="str">
        <x:v>Varilux XR Series</x:v>
      </x:c>
      <x:c r="C63" s="24" t="n">
        <x:v>527.1</x:v>
      </x:c>
      <x:c r="D63" s="24" t="n">
        <x:v>212.8</x:v>
      </x:c>
      <x:c r="E63" s="24" t="str">
        <x:v>Transitions Extractive 8.369,00</x:v>
      </x:c>
      <x:c r="F63" s="24" t="str">
        <x:v>CRIZAL CRIZAL PREVENCIA SAPPHIRE HR 6.789,00 6.789,00 8.309,00</x:v>
      </x:c>
      <x:c r="G63" s="24" t="n">
        <x:v>8369</x:v>
      </x:c>
      <x:c r="H63" s="24" t="n">
        <x:v>46118</x:v>
      </x:c>
      <x:c r="I63" s="24" t="n">
        <x:v>46234</x:v>
      </x:c>
      <x:c r="J63" s="24" t="str">
        <x:v>EXPIRADA</x:v>
      </x:c>
    </x:row>
    <x:row r="64">
      <x:c r="A64" s="24" t="n">
        <x:v>4</x:v>
      </x:c>
      <x:c r="B64" s="24" t="str">
        <x:v>Varilux XR Series</x:v>
      </x:c>
      <x:c r="C64" s="24" t="n">
        <x:v>554.1</x:v>
      </x:c>
      <x:c r="D64" s="24" t="n">
        <x:v>166.8</x:v>
      </x:c>
      <x:c r="E64" s="24" t="str">
        <x:v>Airwear</x:v>
      </x:c>
      <x:c r="F64" s="24" t="str">
        <x:v>CRIZAL PREVENCIA SAPPHIRE 6.789,00 8.309,00 +R$1.520 8.369,00 +R$1.580</x:v>
      </x:c>
      <x:c r="G64" s="24" t="n">
        <x:v>7209</x:v>
      </x:c>
      <x:c r="H64" s="24" t="n">
        <x:v>46118</x:v>
      </x:c>
      <x:c r="I64" s="24" t="n">
        <x:v>46234</x:v>
      </x:c>
      <x:c r="J64" s="24" t="str">
        <x:v>EXPIRADA</x:v>
      </x:c>
    </x:row>
    <x:row r="65">
      <x:c r="A65" s="24" t="n">
        <x:v>4</x:v>
      </x:c>
      <x:c r="B65" s="24" t="str">
        <x:v>Varilux XR Series</x:v>
      </x:c>
      <x:c r="C65" s="24" t="n">
        <x:v>554.1</x:v>
      </x:c>
      <x:c r="D65" s="24" t="n">
        <x:v>259.7</x:v>
      </x:c>
      <x:c r="E65" s="24" t="str">
        <x:v>Airwear 7.209,00 7.209,00</x:v>
      </x:c>
      <x:c r="F65" s="24" t="str">
        <x:v>CRIZAL ROCK HR EASY 6.519,00 6.169,00 8.039,00 7.689,00 8.099,00 7.749,00</x:v>
      </x:c>
      <x:c r="G65" s="24" t="n">
        <x:v>6939</x:v>
      </x:c>
      <x:c r="H65" s="24" t="n">
        <x:v>46118</x:v>
      </x:c>
      <x:c r="I65" s="24" t="n">
        <x:v>46234</x:v>
      </x:c>
      <x:c r="J65" s="24" t="str">
        <x:v>EXPIRADA</x:v>
      </x:c>
    </x:row>
    <x:row r="66">
      <x:c r="A66" s="24" t="n">
        <x:v>4</x:v>
      </x:c>
      <x:c r="B66" s="24" t="str">
        <x:v>Varilux XR Series</x:v>
      </x:c>
      <x:c r="C66" s="24" t="n">
        <x:v>554.1</x:v>
      </x:c>
      <x:c r="D66" s="24" t="n">
        <x:v>302.2</x:v>
      </x:c>
      <x:c r="E66" s="24" t="str">
        <x:v>Airwear 7.209,00 7.209,00 6.939,00</x:v>
      </x:c>
      <x:c r="F66" s="24" t="str">
        <x:v>CRIZAL ROCK EASY PRO 6.519,00 6.169,00 8.039,00 7.689,00 8.099,00 7.749,00</x:v>
      </x:c>
      <x:c r="G66" s="24" t="n">
        <x:v>6589</x:v>
      </x:c>
      <x:c r="H66" s="24" t="n">
        <x:v>46118</x:v>
      </x:c>
      <x:c r="I66" s="24" t="n">
        <x:v>46234</x:v>
      </x:c>
      <x:c r="J66" s="24" t="str">
        <x:v>EXPIRADA</x:v>
      </x:c>
    </x:row>
    <x:row r="67">
      <x:c r="A67" s="24" t="n">
        <x:v>4</x:v>
      </x:c>
      <x:c r="B67" s="24" t="str">
        <x:v>Varilux XR Series</x:v>
      </x:c>
      <x:c r="C67" s="24" t="n">
        <x:v>554.1</x:v>
      </x:c>
      <x:c r="D67" s="24" t="n">
        <x:v>347.9</x:v>
      </x:c>
      <x:c r="E67" s="24" t="str">
        <x:v>Airwear 7.209,00 7.209,00 6.939,00 6.589,00</x:v>
      </x:c>
      <x:c r="F67" s="24" t="str">
        <x:v>CRIZAL OPTIFOG PRO 6.169,00 6.409,00 7.689,00 7.929,00 7.749,00 7.989,00</x:v>
      </x:c>
      <x:c r="G67" s="24" t="n">
        <x:v>6829</x:v>
      </x:c>
      <x:c r="H67" s="24" t="n">
        <x:v>46118</x:v>
      </x:c>
      <x:c r="I67" s="24" t="n">
        <x:v>46234</x:v>
      </x:c>
      <x:c r="J67" s="24" t="str">
        <x:v>EXPIRADA</x:v>
      </x:c>
    </x:row>
    <x:row r="68">
      <x:c r="A68" s="24" t="n">
        <x:v>4</x:v>
      </x:c>
      <x:c r="B68" s="24" t="str">
        <x:v>Varilux XR Series</x:v>
      </x:c>
      <x:c r="C68" s="24" t="n">
        <x:v>554.1</x:v>
      </x:c>
      <x:c r="D68" s="24" t="n">
        <x:v>214.4</x:v>
      </x:c>
      <x:c r="E68" s="24" t="str">
        <x:v>Airwear 7.209,00</x:v>
      </x:c>
      <x:c r="F68" s="24" t="str">
        <x:v>CRIZAL PREVENCIA SAPPHIRE HR 6.789,00 8.309,00 8.369,00</x:v>
      </x:c>
      <x:c r="G68" s="24" t="n">
        <x:v>7209</x:v>
      </x:c>
      <x:c r="H68" s="24" t="n">
        <x:v>46118</x:v>
      </x:c>
      <x:c r="I68" s="24" t="n">
        <x:v>46234</x:v>
      </x:c>
      <x:c r="J68" s="24" t="str">
        <x:v>EXPIRADA</x:v>
      </x:c>
    </x:row>
    <x:row r="69">
      <x:c r="A69" s="24" t="n">
        <x:v>4</x:v>
      </x:c>
      <x:c r="B69" s="24" t="str">
        <x:v>Varilux XR Series</x:v>
      </x:c>
      <x:c r="C69" s="24" t="n">
        <x:v>582.6</x:v>
      </x:c>
      <x:c r="D69" s="24" t="n">
        <x:v>167</x:v>
      </x:c>
      <x:c r="E69" s="24" t="str">
        <x:v>Transitions Extractive</x:v>
      </x:c>
      <x:c r="F69" s="24" t="str">
        <x:v>6.789,00 8.309,00 +R$1.520 8.369,00 +R$1.580 7.209,00 8.729,00 +R$1.520</x:v>
      </x:c>
      <x:c r="G69" s="24" t="n">
        <x:v>8789</x:v>
      </x:c>
      <x:c r="H69" s="24" t="n">
        <x:v>46118</x:v>
      </x:c>
      <x:c r="I69" s="24" t="n">
        <x:v>46234</x:v>
      </x:c>
      <x:c r="J69" s="24" t="str">
        <x:v>EXPIRADA</x:v>
      </x:c>
    </x:row>
    <x:row r="70">
      <x:c r="A70" s="24" t="n">
        <x:v>4</x:v>
      </x:c>
      <x:c r="B70" s="24" t="str">
        <x:v>Varilux XR Series</x:v>
      </x:c>
      <x:c r="C70" s="24" t="n">
        <x:v>582.6</x:v>
      </x:c>
      <x:c r="D70" s="24" t="n">
        <x:v>260.1</x:v>
      </x:c>
      <x:c r="E70" s="24" t="str">
        <x:v>Transitions Extractive 8.789,00 8.789,00</x:v>
      </x:c>
      <x:c r="F70" s="24" t="str">
        <x:v>8.039,00 7.689,00 8.099,00 7.749,00 7.209,00 6.939,00 6.589,00 8.729,00 8.459,00 8.109,00</x:v>
      </x:c>
      <x:c r="G70" s="24" t="n">
        <x:v>8519</x:v>
      </x:c>
      <x:c r="H70" s="24" t="n">
        <x:v>46118</x:v>
      </x:c>
      <x:c r="I70" s="24" t="n">
        <x:v>46234</x:v>
      </x:c>
      <x:c r="J70" s="24" t="str">
        <x:v>EXPIRADA</x:v>
      </x:c>
    </x:row>
    <x:row r="71">
      <x:c r="A71" s="24" t="n">
        <x:v>4</x:v>
      </x:c>
      <x:c r="B71" s="24" t="str">
        <x:v>Varilux XR Series</x:v>
      </x:c>
      <x:c r="C71" s="24" t="n">
        <x:v>582.6</x:v>
      </x:c>
      <x:c r="D71" s="24" t="n">
        <x:v>303.2</x:v>
      </x:c>
      <x:c r="E71" s="24" t="str">
        <x:v>Transitions Extractive 8.789,00 8.789,00 8.519,00</x:v>
      </x:c>
      <x:c r="F71" s="24" t="str">
        <x:v>6.519,00 6.169,00 8.039,00 7.689,00 8.099,00 7.749,00 6.939,00 6.589,00 8.459,00 8.109,00</x:v>
      </x:c>
      <x:c r="G71" s="24" t="n">
        <x:v>8169</x:v>
      </x:c>
      <x:c r="H71" s="24" t="n">
        <x:v>46118</x:v>
      </x:c>
      <x:c r="I71" s="24" t="n">
        <x:v>46234</x:v>
      </x:c>
      <x:c r="J71" s="24" t="str">
        <x:v>EXPIRADA</x:v>
      </x:c>
    </x:row>
    <x:row r="72">
      <x:c r="A72" s="24" t="n">
        <x:v>4</x:v>
      </x:c>
      <x:c r="B72" s="24" t="str">
        <x:v>Varilux XR Series</x:v>
      </x:c>
      <x:c r="C72" s="24" t="n">
        <x:v>623.6</x:v>
      </x:c>
      <x:c r="D72" s="24" t="n">
        <x:v>259.2</x:v>
      </x:c>
      <x:c r="E72" s="24" t="str">
        <x:v>11.509,00 11.509,00</x:v>
      </x:c>
      <x:c r="F72" s="24" t="str">
        <x:v>6.939,00 6.589,00 8.459,00 8.109,00 8.789,00 8.519,00 8.169,00 9.719,00 9.369,00</x:v>
      </x:c>
      <x:c r="G72" s="24" t="n">
        <x:v>11239</x:v>
      </x:c>
      <x:c r="H72" s="24" t="n">
        <x:v>46118</x:v>
      </x:c>
      <x:c r="I72" s="24" t="n">
        <x:v>46234</x:v>
      </x:c>
      <x:c r="J72" s="24" t="str">
        <x:v>EXPIRADA</x:v>
      </x:c>
    </x:row>
    <x:row r="73">
      <x:c r="A73" s="24" t="n">
        <x:v>4</x:v>
      </x:c>
      <x:c r="B73" s="24" t="str">
        <x:v>Varilux XR Series</x:v>
      </x:c>
      <x:c r="C73" s="24" t="n">
        <x:v>623.6</x:v>
      </x:c>
      <x:c r="D73" s="24" t="n">
        <x:v>300.9</x:v>
      </x:c>
      <x:c r="E73" s="24" t="str">
        <x:v>11.509,00 11.509,00 11.239,00</x:v>
      </x:c>
      <x:c r="F73" s="24" t="str">
        <x:v>6.939,00 6.589,00 8.459,00 8.109,00 8.519,00 8.169,00 9.719,00 9.369,00</x:v>
      </x:c>
      <x:c r="G73" s="24" t="n">
        <x:v>10889</x:v>
      </x:c>
      <x:c r="H73" s="24" t="n">
        <x:v>46118</x:v>
      </x:c>
      <x:c r="I73" s="24" t="n">
        <x:v>46234</x:v>
      </x:c>
      <x:c r="J73" s="24" t="str">
        <x:v>EXPIRADA</x:v>
      </x:c>
    </x:row>
    <x:row r="74">
      <x:c r="A74" s="24" t="n">
        <x:v>4</x:v>
      </x:c>
      <x:c r="B74" s="24" t="str">
        <x:v>Varilux XR Series</x:v>
      </x:c>
      <x:c r="C74" s="24" t="n">
        <x:v>582.6</x:v>
      </x:c>
      <x:c r="D74" s="24" t="n">
        <x:v>347.3</x:v>
      </x:c>
      <x:c r="E74" s="24" t="str">
        <x:v>Transitions Extractive 8.789,00 8.789,00 8.519,00 8.169,00</x:v>
      </x:c>
      <x:c r="F74" s="24" t="str">
        <x:v>6.169,00 6.409,00 7.689,00 7.929,00 7.749,00 7.989,00 6.829,00 8.109,00 8.349,00</x:v>
      </x:c>
      <x:c r="G74" s="24" t="n">
        <x:v>8409</x:v>
      </x:c>
      <x:c r="H74" s="24" t="n">
        <x:v>46118</x:v>
      </x:c>
      <x:c r="I74" s="24" t="n">
        <x:v>46234</x:v>
      </x:c>
      <x:c r="J74" s="24" t="str">
        <x:v>EXPIRADA</x:v>
      </x:c>
    </x:row>
    <x:row r="75">
      <x:c r="A75" s="24" t="n">
        <x:v>4</x:v>
      </x:c>
      <x:c r="B75" s="24" t="str">
        <x:v>Varilux XR Series</x:v>
      </x:c>
      <x:c r="C75" s="24" t="n">
        <x:v>582.6</x:v>
      </x:c>
      <x:c r="D75" s="24" t="n">
        <x:v>214.6</x:v>
      </x:c>
      <x:c r="E75" s="24" t="str">
        <x:v>Transitions Extractive 8.789,00</x:v>
      </x:c>
      <x:c r="F75" s="24" t="str">
        <x:v>6.789,00 8.309,00 8.369,00 7.209,00 8.729,00 8.459,00</x:v>
      </x:c>
      <x:c r="G75" s="24" t="n">
        <x:v>8789</x:v>
      </x:c>
      <x:c r="H75" s="24" t="n">
        <x:v>46118</x:v>
      </x:c>
      <x:c r="I75" s="24" t="n">
        <x:v>46234</x:v>
      </x:c>
      <x:c r="J75" s="24" t="str">
        <x:v>EXPIRADA</x:v>
      </x:c>
    </x:row>
    <x:row r="76">
      <x:c r="A76" s="24" t="n">
        <x:v>4</x:v>
      </x:c>
      <x:c r="B76" s="24" t="str">
        <x:v>Varilux XR Series</x:v>
      </x:c>
      <x:c r="C76" s="24" t="n">
        <x:v>567.5</x:v>
      </x:c>
      <x:c r="D76" s="24" t="n">
        <x:v>167.5</x:v>
      </x:c>
      <x:c r="E76" s="24" t="str">
        <x:v>Transitions Gen S</x:v>
      </x:c>
      <x:c r="F76" s="24" t="str">
        <x:v>CRIZAL PREVENCIA SAPPHIRE 6.789,00 8.309,00 +R$1.520 8.369,00 +R$1.580 7.209,00</x:v>
      </x:c>
      <x:c r="G76" s="24" t="n">
        <x:v>8729</x:v>
      </x:c>
      <x:c r="H76" s="24" t="n">
        <x:v>46118</x:v>
      </x:c>
      <x:c r="I76" s="24" t="n">
        <x:v>46234</x:v>
      </x:c>
      <x:c r="J76" s="24" t="str">
        <x:v>EXPIRADA</x:v>
      </x:c>
    </x:row>
    <x:row r="77">
      <x:c r="A77" s="24" t="n">
        <x:v>4</x:v>
      </x:c>
      <x:c r="B77" s="24" t="str">
        <x:v>Varilux XR Series</x:v>
      </x:c>
      <x:c r="C77" s="24" t="n">
        <x:v>567.5</x:v>
      </x:c>
      <x:c r="D77" s="24" t="n">
        <x:v>259.4</x:v>
      </x:c>
      <x:c r="E77" s="24" t="str">
        <x:v>Transitions Gen S 8.729,00 8.729,00</x:v>
      </x:c>
      <x:c r="F77" s="24" t="str">
        <x:v>HR EASY 6.519,00 6.169,00 8.039,00 7.689,00 8.099,00 7.749,00 6.939,00 6.589,00</x:v>
      </x:c>
      <x:c r="G77" s="24" t="n">
        <x:v>8459</x:v>
      </x:c>
      <x:c r="H77" s="24" t="n">
        <x:v>46118</x:v>
      </x:c>
      <x:c r="I77" s="24" t="n">
        <x:v>46234</x:v>
      </x:c>
      <x:c r="J77" s="24" t="str">
        <x:v>EXPIRADA</x:v>
      </x:c>
    </x:row>
    <x:row r="78">
      <x:c r="A78" s="24" t="n">
        <x:v>4</x:v>
      </x:c>
      <x:c r="B78" s="24" t="str">
        <x:v>Varilux XR Series</x:v>
      </x:c>
      <x:c r="C78" s="24" t="n">
        <x:v>567.5</x:v>
      </x:c>
      <x:c r="D78" s="24" t="n">
        <x:v>303.4</x:v>
      </x:c>
      <x:c r="E78" s="24" t="str">
        <x:v>Transitions Gen S 8.729,00 8.729,00 8.459,00</x:v>
      </x:c>
      <x:c r="F78" s="24" t="str">
        <x:v>EASY PRO 6.519,00 6.169,00 8.039,00 7.689,00 8.099,00 7.749,00 6.939,00 6.589,00</x:v>
      </x:c>
      <x:c r="G78" s="24" t="n">
        <x:v>8109</x:v>
      </x:c>
      <x:c r="H78" s="24" t="n">
        <x:v>46118</x:v>
      </x:c>
      <x:c r="I78" s="24" t="n">
        <x:v>46234</x:v>
      </x:c>
      <x:c r="J78" s="24" t="str">
        <x:v>EXPIRADA</x:v>
      </x:c>
    </x:row>
    <x:row r="79">
      <x:c r="A79" s="24" t="n">
        <x:v>4</x:v>
      </x:c>
      <x:c r="B79" s="24" t="str">
        <x:v>Varilux XR Series</x:v>
      </x:c>
      <x:c r="C79" s="24" t="n">
        <x:v>567.5</x:v>
      </x:c>
      <x:c r="D79" s="24" t="n">
        <x:v>347.6</x:v>
      </x:c>
      <x:c r="E79" s="24" t="str">
        <x:v>Transitions Gen S 8.729,00 8.729,00 8.459,00 8.109,00</x:v>
      </x:c>
      <x:c r="F79" s="24" t="str">
        <x:v>CRIZAL OPTIFOG PRO 6.169,00 6.409,00 7.689,00 7.929,00 7.749,00 7.989,00 6.829,00</x:v>
      </x:c>
      <x:c r="G79" s="24" t="n">
        <x:v>8349</x:v>
      </x:c>
      <x:c r="H79" s="24" t="n">
        <x:v>46118</x:v>
      </x:c>
      <x:c r="I79" s="24" t="n">
        <x:v>46234</x:v>
      </x:c>
      <x:c r="J79" s="24" t="str">
        <x:v>EXPIRADA</x:v>
      </x:c>
    </x:row>
    <x:row r="80">
      <x:c r="A80" s="24" t="n">
        <x:v>4</x:v>
      </x:c>
      <x:c r="B80" s="24" t="str">
        <x:v>Varilux XR Series</x:v>
      </x:c>
      <x:c r="C80" s="24" t="n">
        <x:v>567.5</x:v>
      </x:c>
      <x:c r="D80" s="24" t="n">
        <x:v>214.5</x:v>
      </x:c>
      <x:c r="E80" s="24" t="str">
        <x:v>Transitions Gen S 8.729,00</x:v>
      </x:c>
      <x:c r="F80" s="24" t="str">
        <x:v>CRIZAL PREVENCIA SAPPHIRE HR 6.789,00 8.309,00 8.369,00 7.209,00</x:v>
      </x:c>
      <x:c r="G80" s="24" t="n">
        <x:v>8729</x:v>
      </x:c>
      <x:c r="H80" s="24" t="n">
        <x:v>46118</x:v>
      </x:c>
      <x:c r="I80" s="24" t="n">
        <x:v>46234</x:v>
      </x:c>
      <x:c r="J80" s="24" t="str">
        <x:v>EXPIRADA</x:v>
      </x:c>
    </x:row>
    <x:row r="81">
      <x:c r="A81" s="24" t="n">
        <x:v>4</x:v>
      </x:c>
      <x:c r="B81" s="24" t="str">
        <x:v>Varilux XR Series</x:v>
      </x:c>
      <x:c r="C81" s="24" t="n">
        <x:v>623.1</x:v>
      </x:c>
      <x:c r="D81" s="24" t="n">
        <x:v>214.1</x:v>
      </x:c>
      <x:c r="E81" s="24" t="str">
        <x:v>Transitions Gen S 11.509,00</x:v>
      </x:c>
      <x:c r="F81" s="24" t="str">
        <x:v>7.209,00 8.729,00 8.789,00 8.519,00 9.989,00</x:v>
      </x:c>
      <x:c r="G81" s="24" t="n">
        <x:v>11509</x:v>
      </x:c>
      <x:c r="H81" s="24" t="n">
        <x:v>46118</x:v>
      </x:c>
      <x:c r="I81" s="24" t="n">
        <x:v>46234</x:v>
      </x:c>
      <x:c r="J81" s="24" t="str">
        <x:v>EXPIRADA</x:v>
      </x:c>
    </x:row>
    <x:row r="82">
      <x:c r="A82" s="24" t="n">
        <x:v>4</x:v>
      </x:c>
      <x:c r="B82" s="24" t="str">
        <x:v>Varilux XR Series</x:v>
      </x:c>
      <x:c r="C82" s="24" t="n">
        <x:v>665.3</x:v>
      </x:c>
      <x:c r="D82" s="24" t="n">
        <x:v>214.1</x:v>
      </x:c>
      <x:c r="E82" s="24" t="str">
        <x:v>Stylis 1.74 -</x:v>
      </x:c>
      <x:c r="F82" s="24" t="str">
        <x:v>8.789,00 8.519,00 9.989,00 11.509,00 11.569,00</x:v>
      </x:c>
      <x:c r="G82" s="24" t="n">
        <x:v>11859</x:v>
      </x:c>
      <x:c r="H82" s="24" t="n">
        <x:v>46118</x:v>
      </x:c>
      <x:c r="I82" s="24" t="n">
        <x:v>46234</x:v>
      </x:c>
      <x:c r="J82" s="24" t="str">
        <x:v>EXPIRADA</x:v>
      </x:c>
    </x:row>
    <x:row r="83">
      <x:c r="A83" s="24" t="n">
        <x:v>4</x:v>
      </x:c>
      <x:c r="B83" s="24" t="str">
        <x:v>Varilux XR Series</x:v>
      </x:c>
      <x:c r="C83" s="24" t="n">
        <x:v>680.3</x:v>
      </x:c>
      <x:c r="D83" s="24" t="n">
        <x:v>213.2</x:v>
      </x:c>
      <x:c r="E83" s="24" t="str">
        <x:v>-</x:v>
      </x:c>
      <x:c r="F83" s="24" t="str">
        <x:v>9.989,00 11.509,00 11.569,00 11.859,00</x:v>
      </x:c>
      <x:c r="G83" s="24" t="n">
        <x:v>13379</x:v>
      </x:c>
      <x:c r="H83" s="24" t="n">
        <x:v>46118</x:v>
      </x:c>
      <x:c r="I83" s="24" t="n">
        <x:v>46234</x:v>
      </x:c>
      <x:c r="J83" s="24" t="str">
        <x:v>EXPIRADA</x:v>
      </x:c>
    </x:row>
    <x:row r="84">
      <x:c r="A84" s="24" t="n">
        <x:v>4</x:v>
      </x:c>
      <x:c r="B84" s="24" t="str">
        <x:v>Varilux XR Series</x:v>
      </x:c>
      <x:c r="C84" s="24" t="n">
        <x:v>744.9</x:v>
      </x:c>
      <x:c r="D84" s="24" t="n">
        <x:v>371.9</x:v>
      </x:c>
      <x:c r="E84" s="24" t="str">
        <x:v>Orma + Xperio cinza/marrom 7.119,00 7.099,00 6.459,00 Orma + Coloração padrão</x:v>
      </x:c>
      <x:c r="F84" s="24" t="str">
        <x:v>mandatória sem custo adicional: Eyecode | CVP VERNIZ HC MARCAÇÃO</x:v>
      </x:c>
      <x:c r="G84" s="24" t="n">
        <x:v>5949</x:v>
      </x:c>
      <x:c r="H84" s="24" t="n">
        <x:v>46118</x:v>
      </x:c>
      <x:c r="I84" s="24" t="n">
        <x:v>46234</x:v>
      </x:c>
      <x:c r="J84" s="24" t="str">
        <x:v>EXPIRADA</x:v>
      </x:c>
    </x:row>
    <x:row r="85">
      <x:c r="A85" s="24" t="n">
        <x:v>4</x:v>
      </x:c>
      <x:c r="B85" s="24" t="str">
        <x:v>Varilux XR Series</x:v>
      </x:c>
      <x:c r="C85" s="24" t="n">
        <x:v>757.6</x:v>
      </x:c>
      <x:c r="D85" s="24" t="n">
        <x:v>372.1</x:v>
      </x:c>
      <x:c r="E85" s="24" t="str">
        <x:v>+ Coloração especial</x:v>
      </x:c>
      <x:c r="F85" s="24" t="str">
        <x:v>custo adicional: Eyecode | CVP VERNIZ HC MARCAÇÃO 5.949,00 padrão</x:v>
      </x:c>
      <x:c r="G85" s="24" t="n">
        <x:v>6059</x:v>
      </x:c>
      <x:c r="H85" s="24" t="n">
        <x:v>46118</x:v>
      </x:c>
      <x:c r="I85" s="24" t="n">
        <x:v>46234</x:v>
      </x:c>
      <x:c r="J85" s="24" t="str">
        <x:v>EXPIRADA</x:v>
      </x:c>
    </x:row>
    <x:row r="86">
      <x:c r="A86" s="24" t="n">
        <x:v>4</x:v>
      </x:c>
      <x:c r="B86" s="24" t="str">
        <x:v>Varilux XR Series</x:v>
      </x:c>
      <x:c r="C86" s="24" t="n">
        <x:v>779.2</x:v>
      </x:c>
      <x:c r="D86" s="24" t="n">
        <x:v>142.5</x:v>
      </x:c>
      <x:c r="E86" s="24" t="str">
        <x:v>+ Xperio cinza/marrom</x:v>
      </x:c>
      <x:c r="F86" s="24" t="str">
        <x:v>CVP CRIZAL SAPPHIRE HR OPTIFOG FACE INTERNA 7.119,00 7.099,00 cinza/marrom</x:v>
      </x:c>
      <x:c r="G86" s="24" t="n">
        <x:v>7539</x:v>
      </x:c>
      <x:c r="H86" s="24" t="n">
        <x:v>46118</x:v>
      </x:c>
      <x:c r="I86" s="24" t="n">
        <x:v>46234</x:v>
      </x:c>
      <x:c r="J86" s="24" t="str">
        <x:v>EXPIRADA</x:v>
      </x:c>
    </x:row>
    <x:row r="87">
      <x:c r="A87" s="24" t="n">
        <x:v>4</x:v>
      </x:c>
      <x:c r="B87" s="24" t="str">
        <x:v>Varilux XR Series</x:v>
      </x:c>
      <x:c r="C87" s="24" t="n">
        <x:v>779.2</x:v>
      </x:c>
      <x:c r="D87" s="24" t="n">
        <x:v>221</x:v>
      </x:c>
      <x:c r="E87" s="24" t="str">
        <x:v>+ Xperio cinza/marrom 7.539,00 7.519,00</x:v>
      </x:c>
      <x:c r="F87" s="24" t="str">
        <x:v>OPTIFOG VERNIZ HC 7.099,00 6.459,00 Orma +R$420</x:v>
      </x:c>
      <x:c r="G87" s="24" t="n">
        <x:v>6879</x:v>
      </x:c>
      <x:c r="H87" s="24" t="n">
        <x:v>46118</x:v>
      </x:c>
      <x:c r="I87" s="24" t="n">
        <x:v>46234</x:v>
      </x:c>
      <x:c r="J87" s="24" t="str">
        <x:v>EXPIRADA</x:v>
      </x:c>
    </x:row>
    <x:row r="88">
      <x:c r="A88" s="24" t="n">
        <x:v>4</x:v>
      </x:c>
      <x:c r="B88" s="24" t="str">
        <x:v>Varilux XR Series</x:v>
      </x:c>
      <x:c r="C88" s="24" t="n">
        <x:v>744.7</x:v>
      </x:c>
      <x:c r="D88" s="24" t="n">
        <x:v>221.5</x:v>
      </x:c>
      <x:c r="E88" s="24" t="str">
        <x:v>Orma + Xperio cinza/marrom 7.119,00 7.099,00</x:v>
      </x:c>
      <x:c r="F88" s="24" t="str">
        <x:v>11.859,00 - - 13.379,00 OPTIFOG VERNIZ HC</x:v>
      </x:c>
      <x:c r="G88" s="24" t="n">
        <x:v>6459</x:v>
      </x:c>
      <x:c r="H88" s="24" t="n">
        <x:v>46118</x:v>
      </x:c>
      <x:c r="I88" s="24" t="n">
        <x:v>46234</x:v>
      </x:c>
      <x:c r="J88" s="24" t="str">
        <x:v>EXPIRADA</x:v>
      </x:c>
    </x:row>
    <x:row r="89">
      <x:c r="A89" s="24" t="n">
        <x:v>4</x:v>
      </x:c>
      <x:c r="B89" s="24" t="str">
        <x:v>Varilux XR Series</x:v>
      </x:c>
      <x:c r="C89" s="24" t="n">
        <x:v>744.7</x:v>
      </x:c>
      <x:c r="D89" s="24" t="n">
        <x:v>144.7</x:v>
      </x:c>
      <x:c r="E89" s="24" t="str">
        <x:v>Orma + Xperio cinza/marrom</x:v>
      </x:c>
      <x:c r="F89" s="24" t="str">
        <x:v>adicional: Eyecode | CVP CRIZAL SAPPHIRE HR OPTIFOG FACE INTERNA</x:v>
      </x:c>
      <x:c r="G89" s="24" t="n">
        <x:v>7119</x:v>
      </x:c>
      <x:c r="H89" s="24" t="n">
        <x:v>46118</x:v>
      </x:c>
      <x:c r="I89" s="24" t="n">
        <x:v>46234</x:v>
      </x:c>
      <x:c r="J89" s="24" t="str">
        <x:v>EXPIRADA</x:v>
      </x:c>
    </x:row>
    <x:row r="90">
      <x:c r="A90" s="24" t="n">
        <x:v>4</x:v>
      </x:c>
      <x:c r="B90" s="24" t="str">
        <x:v>Varilux XR Series</x:v>
      </x:c>
      <x:c r="C90" s="24" t="n">
        <x:v>779.2</x:v>
      </x:c>
      <x:c r="D90" s="24" t="n">
        <x:v>185.7</x:v>
      </x:c>
      <x:c r="E90" s="24" t="str">
        <x:v>+ Xperio cinza/marrom 7.539,00</x:v>
      </x:c>
      <x:c r="F90" s="24" t="str">
        <x:v>SAPPHIRE HR OPTIFOG VERNIZ INTERNA 7.119,00 7.099,00 6.459,00</x:v>
      </x:c>
      <x:c r="G90" s="24" t="n">
        <x:v>7519</x:v>
      </x:c>
      <x:c r="H90" s="24" t="n">
        <x:v>46118</x:v>
      </x:c>
      <x:c r="I90" s="24" t="n">
        <x:v>46234</x:v>
      </x:c>
      <x:c r="J90" s="24" t="str">
        <x:v>EXPIRADA</x:v>
      </x:c>
    </x:row>
    <x:row r="91">
      <x:c r="A91" s="24" t="n">
        <x:v>4</x:v>
      </x:c>
      <x:c r="B91" s="24" t="str">
        <x:v>Varilux XR Series</x:v>
      </x:c>
      <x:c r="C91" s="24" t="n">
        <x:v>744.7</x:v>
      </x:c>
      <x:c r="D91" s="24" t="n">
        <x:v>185.6</x:v>
      </x:c>
      <x:c r="E91" s="24" t="str">
        <x:v>Orma + Xperio cinza/marrom 7.119,00</x:v>
      </x:c>
      <x:c r="F91" s="24" t="str">
        <x:v>- 11.859,00 - 13.379,00 SAPPHIRE HR OPTIFOG VERNIZ INTERNA</x:v>
      </x:c>
      <x:c r="G91" s="24" t="n">
        <x:v>7099</x:v>
      </x:c>
      <x:c r="H91" s="24" t="n">
        <x:v>46118</x:v>
      </x:c>
      <x:c r="I91" s="24" t="n">
        <x:v>46234</x:v>
      </x:c>
      <x:c r="J91" s="24" t="str">
        <x:v>EXPIRADA</x:v>
      </x:c>
    </x:row>
    <x:row r="92">
      <x:c r="A92" s="24" t="n">
        <x:v>4</x:v>
      </x:c>
      <x:c r="B92" s="24" t="str">
        <x:v>Varilux XR Series</x:v>
      </x:c>
      <x:c r="C92" s="24" t="n">
        <x:v>791.5</x:v>
      </x:c>
      <x:c r="D92" s="24" t="n">
        <x:v>372.3</x:v>
      </x:c>
      <x:c r="E92" s="24" t="str">
        <x:v>+ Coloração padrão</x:v>
      </x:c>
      <x:c r="F92" s="24" t="str">
        <x:v>Eyecode | CVP VERNIZ HC MARCAÇÃO 5.949,00 padrão 6.059,00 especial</x:v>
      </x:c>
      <x:c r="G92" s="24" t="n">
        <x:v>6369</x:v>
      </x:c>
      <x:c r="H92" s="24" t="n">
        <x:v>46118</x:v>
      </x:c>
      <x:c r="I92" s="24" t="n">
        <x:v>46234</x:v>
      </x:c>
      <x:c r="J92" s="24" t="str">
        <x:v>EXPIRADA</x:v>
      </x:c>
    </x:row>
    <x:row r="93">
      <x:c r="A93" s="24" t="n">
        <x:v>4</x:v>
      </x:c>
      <x:c r="B93" s="24" t="str">
        <x:v>Varilux XR Series</x:v>
      </x:c>
      <x:c r="C93" s="24" t="n">
        <x:v>804.1</x:v>
      </x:c>
      <x:c r="D93" s="24" t="n">
        <x:v>372.3</x:v>
      </x:c>
      <x:c r="E93" s="24" t="str">
        <x:v>+ Coloração especial</x:v>
      </x:c>
      <x:c r="F93" s="24" t="str">
        <x:v>CVP VERNIZ HC MARCAÇÃO 5.949,00 padrão 6.059,00 especial 6.369,00 padrão</x:v>
      </x:c>
      <x:c r="G93" s="24" t="n">
        <x:v>6479</x:v>
      </x:c>
      <x:c r="H93" s="24" t="n">
        <x:v>46118</x:v>
      </x:c>
      <x:c r="I93" s="24" t="n">
        <x:v>46234</x:v>
      </x:c>
      <x:c r="J93" s="24" t="str">
        <x:v>EXPIRADA</x:v>
      </x:c>
    </x:row>
    <x:row r="94">
      <x:c r="A94" s="24" t="n">
        <x:v>4</x:v>
      </x:c>
      <x:c r="B94" s="24" t="str">
        <x:v>Varilux XR Series</x:v>
      </x:c>
      <x:c r="C94" s="24" t="n">
        <x:v>638.5</x:v>
      </x:c>
      <x:c r="D94" s="24" t="n">
        <x:v>166.2</x:v>
      </x:c>
      <x:c r="E94" s="24"/>
      <x:c r="F94" s="24" t="str">
        <x:v>7.209,00 8.729,00 +R$1.520 8.789,00 +R$1.580 9.989,00 11.509,00 +R$1.520</x:v>
      </x:c>
      <x:c r="G94" s="24" t="n">
        <x:v>11569</x:v>
      </x:c>
      <x:c r="H94" s="24" t="n">
        <x:v>46118</x:v>
      </x:c>
      <x:c r="I94" s="24" t="n">
        <x:v>46234</x:v>
      </x:c>
      <x:c r="J94" s="24" t="str">
        <x:v>EXPIRADA</x:v>
      </x:c>
    </x:row>
    <x:row r="95">
      <x:c r="A95" s="24" t="n">
        <x:v>4</x:v>
      </x:c>
      <x:c r="B95" s="24" t="str">
        <x:v>Varilux XR Series</x:v>
      </x:c>
      <x:c r="C95" s="24" t="n">
        <x:v>638.7</x:v>
      </x:c>
      <x:c r="D95" s="24" t="n">
        <x:v>259.6</x:v>
      </x:c>
      <x:c r="E95" s="24" t="str">
        <x:v>11.569,00 11.569,00</x:v>
      </x:c>
      <x:c r="F95" s="24" t="str">
        <x:v>6.939,00 6.589,00 8.459,00 8.109,00 8.519,00 8.169,00 9.719,00 9.369,00 11.239,00 10.889,00</x:v>
      </x:c>
      <x:c r="G95" s="24" t="n">
        <x:v>11299</x:v>
      </x:c>
      <x:c r="H95" s="24" t="n">
        <x:v>46118</x:v>
      </x:c>
      <x:c r="I95" s="24" t="n">
        <x:v>46234</x:v>
      </x:c>
      <x:c r="J95" s="24" t="str">
        <x:v>EXPIRADA</x:v>
      </x:c>
    </x:row>
    <x:row r="96">
      <x:c r="A96" s="24" t="n">
        <x:v>4</x:v>
      </x:c>
      <x:c r="B96" s="24" t="str">
        <x:v>Varilux XR Series</x:v>
      </x:c>
      <x:c r="C96" s="24" t="n">
        <x:v>638.7</x:v>
      </x:c>
      <x:c r="D96" s="24" t="n">
        <x:v>301.1</x:v>
      </x:c>
      <x:c r="E96" s="24" t="str">
        <x:v>11.569,00 11.569,00 11.299,00</x:v>
      </x:c>
      <x:c r="F96" s="24" t="str">
        <x:v>6.939,00 6.589,00 8.459,00 8.109,00 8.519,00 8.169,00 9.719,00 9.369,00 11.239,00 10.889,00</x:v>
      </x:c>
      <x:c r="G96" s="24" t="n">
        <x:v>10949</x:v>
      </x:c>
      <x:c r="H96" s="24" t="n">
        <x:v>46118</x:v>
      </x:c>
      <x:c r="I96" s="24" t="n">
        <x:v>46234</x:v>
      </x:c>
      <x:c r="J96" s="24" t="str">
        <x:v>EXPIRADA</x:v>
      </x:c>
    </x:row>
    <x:row r="97">
      <x:c r="A97" s="24" t="n">
        <x:v>4</x:v>
      </x:c>
      <x:c r="B97" s="24" t="str">
        <x:v>Varilux XR Series</x:v>
      </x:c>
      <x:c r="C97" s="24" t="n">
        <x:v>638.5</x:v>
      </x:c>
      <x:c r="D97" s="24" t="n">
        <x:v>214.1</x:v>
      </x:c>
      <x:c r="E97" s="24" t="str">
        <x:v>11.569,00</x:v>
      </x:c>
      <x:c r="F97" s="24" t="str">
        <x:v>7.209,00 8.729,00 8.789,00 8.519,00 9.989,00 11.509,00</x:v>
      </x:c>
      <x:c r="G97" s="24" t="n">
        <x:v>11569</x:v>
      </x:c>
      <x:c r="H97" s="24" t="n">
        <x:v>46118</x:v>
      </x:c>
      <x:c r="I97" s="24" t="n">
        <x:v>46234</x:v>
      </x:c>
      <x:c r="J97" s="24" t="str">
        <x:v>EXPIRADA</x:v>
      </x:c>
    </x:row>
    <x:row r="98">
      <x:c r="A98" s="24" t="n">
        <x:v>4</x:v>
      </x:c>
      <x:c r="B98" s="24" t="str">
        <x:v>Varilux XR Series</x:v>
      </x:c>
      <x:c r="C98" s="24" t="n">
        <x:v>638.5</x:v>
      </x:c>
      <x:c r="D98" s="24" t="n">
        <x:v>348.4</x:v>
      </x:c>
      <x:c r="E98" s="24" t="str">
        <x:v>11.569,00 11.569,00 11.299,00 10.949,00</x:v>
      </x:c>
      <x:c r="F98" s="24" t="str">
        <x:v>6.829,00 8.349,00 8.409,00 9.609,00 11.129,00</x:v>
      </x:c>
      <x:c r="G98" s="24" t="n">
        <x:v>11189</x:v>
      </x:c>
      <x:c r="H98" s="24" t="n">
        <x:v>46118</x:v>
      </x:c>
      <x:c r="I98" s="24" t="n">
        <x:v>46234</x:v>
      </x:c>
      <x:c r="J98" s="24" t="str">
        <x:v>EXPIRADA</x:v>
      </x:c>
    </x:row>
    <x:row r="99">
      <x:c r="A99" s="24" t="n">
        <x:v>4</x:v>
      </x:c>
      <x:c r="B99" s="24" t="str">
        <x:v>Varilux XR Series</x:v>
      </x:c>
      <x:c r="C99" s="24" t="n">
        <x:v>609.3</x:v>
      </x:c>
      <x:c r="D99" s="24" t="n">
        <x:v>166.2</x:v>
      </x:c>
      <x:c r="E99" s="24" t="str">
        <x:v>Stylis 1.67</x:v>
      </x:c>
      <x:c r="F99" s="24" t="str">
        <x:v>+R$1.520 8.369,00 +R$1.580 7.209,00 8.729,00 +R$1.520 8.789,00 +R$1.580</x:v>
      </x:c>
      <x:c r="G99" s="24" t="n">
        <x:v>9989</x:v>
      </x:c>
      <x:c r="H99" s="24" t="n">
        <x:v>46118</x:v>
      </x:c>
      <x:c r="I99" s="24" t="n">
        <x:v>46234</x:v>
      </x:c>
      <x:c r="J99" s="24" t="str">
        <x:v>EXPIRADA</x:v>
      </x:c>
    </x:row>
    <x:row r="100">
      <x:c r="A100" s="24" t="n">
        <x:v>4</x:v>
      </x:c>
      <x:c r="B100" s="24" t="str">
        <x:v>Varilux XR Series</x:v>
      </x:c>
      <x:c r="C100" s="24" t="n">
        <x:v>609.5</x:v>
      </x:c>
      <x:c r="D100" s="24" t="n">
        <x:v>261</x:v>
      </x:c>
      <x:c r="E100" s="24" t="str">
        <x:v>Stylis 1.67 9.989,00 9.989,00</x:v>
      </x:c>
      <x:c r="F100" s="24" t="str">
        <x:v>8.099,00 7.749,00 6.939,00 6.589,00 8.459,00 8.109,00 8.519,00 8.169,00</x:v>
      </x:c>
      <x:c r="G100" s="24" t="n">
        <x:v>9719</x:v>
      </x:c>
      <x:c r="H100" s="24" t="n">
        <x:v>46118</x:v>
      </x:c>
      <x:c r="I100" s="24" t="n">
        <x:v>46234</x:v>
      </x:c>
      <x:c r="J100" s="24" t="str">
        <x:v>EXPIRADA</x:v>
      </x:c>
    </x:row>
    <x:row r="101">
      <x:c r="A101" s="24" t="n">
        <x:v>4</x:v>
      </x:c>
      <x:c r="B101" s="24" t="str">
        <x:v>Varilux XR Series</x:v>
      </x:c>
      <x:c r="C101" s="24" t="n">
        <x:v>609.5</x:v>
      </x:c>
      <x:c r="D101" s="24" t="n">
        <x:v>302.4</x:v>
      </x:c>
      <x:c r="E101" s="24" t="str">
        <x:v>Stylis 1.67 9.989,00 9.989,00 9.719,00</x:v>
      </x:c>
      <x:c r="F101" s="24" t="str">
        <x:v>8.099,00 7.749,00 6.939,00 6.589,00 8.459,00 8.109,00 8.519,00 8.169,00 8.409,00</x:v>
      </x:c>
      <x:c r="G101" s="24" t="n">
        <x:v>9369</x:v>
      </x:c>
      <x:c r="H101" s="24" t="n">
        <x:v>46118</x:v>
      </x:c>
      <x:c r="I101" s="24" t="n">
        <x:v>46234</x:v>
      </x:c>
      <x:c r="J101" s="24" t="str">
        <x:v>EXPIRADA</x:v>
      </x:c>
    </x:row>
    <x:row r="102">
      <x:c r="A102" s="24" t="n">
        <x:v>4</x:v>
      </x:c>
      <x:c r="B102" s="24" t="str">
        <x:v>Varilux XR Series</x:v>
      </x:c>
      <x:c r="C102" s="24" t="n">
        <x:v>609.3</x:v>
      </x:c>
      <x:c r="D102" s="24" t="n">
        <x:v>214.3</x:v>
      </x:c>
      <x:c r="E102" s="24" t="str">
        <x:v>Stylis 1.67 9.989,00</x:v>
      </x:c>
      <x:c r="F102" s="24" t="str">
        <x:v>8.369,00 7.209,00 8.729,00 8.789,00 8.519,00</x:v>
      </x:c>
      <x:c r="G102" s="24" t="n">
        <x:v>9989</x:v>
      </x:c>
      <x:c r="H102" s="24" t="n">
        <x:v>46118</x:v>
      </x:c>
      <x:c r="I102" s="24" t="n">
        <x:v>46234</x:v>
      </x:c>
      <x:c r="J102" s="24" t="str">
        <x:v>EXPIRADA</x:v>
      </x:c>
    </x:row>
    <x:row r="103">
      <x:c r="A103" s="24" t="n">
        <x:v>4</x:v>
      </x:c>
      <x:c r="B103" s="24" t="str">
        <x:v>Varilux XR Series</x:v>
      </x:c>
      <x:c r="C103" s="24" t="n">
        <x:v>609.3</x:v>
      </x:c>
      <x:c r="D103" s="24" t="n">
        <x:v>347.6</x:v>
      </x:c>
      <x:c r="E103" s="24" t="str">
        <x:v>Stylis 1.67 9.989,00 9.989,00 9.719,00 9.369,00</x:v>
      </x:c>
      <x:c r="F103" s="24" t="str">
        <x:v>7.749,00 7.989,00 6.829,00 8.349,00 8.409,00</x:v>
      </x:c>
      <x:c r="G103" s="24" t="n">
        <x:v>9609</x:v>
      </x:c>
      <x:c r="H103" s="24" t="n">
        <x:v>46118</x:v>
      </x:c>
      <x:c r="I103" s="24" t="n">
        <x:v>46234</x:v>
      </x:c>
      <x:c r="J103" s="24" t="str">
        <x:v>EXPIRADA</x:v>
      </x:c>
    </x:row>
    <x:row r="104">
      <x:c r="A104" s="24" t="n">
        <x:v>5</x:v>
      </x:c>
      <x:c r="B104" s="24" t="str">
        <x:v>Varilux XR Series</x:v>
      </x:c>
      <x:c r="C104" s="24" t="n">
        <x:v>144.7</x:v>
      </x:c>
      <x:c r="D104" s="24" t="n">
        <x:v>198.3</x:v>
      </x:c>
      <x:c r="E104" s="24" t="str">
        <x:v>Orma</x:v>
      </x:c>
      <x:c r="F104" s="24" t="str">
        <x:v>Personalização instrumento Eyeruler CVP CRIZAL PREVENCIA SAPPHIRE</x:v>
      </x:c>
      <x:c r="G104" s="24" t="n">
        <x:v>6509</x:v>
      </x:c>
      <x:c r="H104" s="24" t="n">
        <x:v>46118</x:v>
      </x:c>
      <x:c r="I104" s="24" t="n">
        <x:v>46234</x:v>
      </x:c>
      <x:c r="J104" s="24" t="str">
        <x:v>EXPIRADA</x:v>
      </x:c>
    </x:row>
    <x:row r="105">
      <x:c r="A105" s="24" t="n">
        <x:v>5</x:v>
      </x:c>
      <x:c r="B105" s="24" t="str">
        <x:v>Varilux XR Series</x:v>
      </x:c>
      <x:c r="C105" s="24" t="n">
        <x:v>144.7</x:v>
      </x:c>
      <x:c r="D105" s="24" t="n">
        <x:v>375.6</x:v>
      </x:c>
      <x:c r="E105" s="24" t="str">
        <x:v>Orma 6.509,00 6.509,00 6.239,00 5.889,00</x:v>
      </x:c>
      <x:c r="F105" s="24" t="str">
        <x:v>DE CINZA C V MARROM M A CRIZAL OPTIFOG PRO</x:v>
      </x:c>
      <x:c r="G105" s="24" t="n">
        <x:v>6129</x:v>
      </x:c>
      <x:c r="H105" s="24" t="n">
        <x:v>46118</x:v>
      </x:c>
      <x:c r="I105" s="24" t="n">
        <x:v>46234</x:v>
      </x:c>
      <x:c r="J105" s="24" t="str">
        <x:v>EXPIRADA</x:v>
      </x:c>
    </x:row>
    <x:row r="106">
      <x:c r="A106" s="24" t="n">
        <x:v>5</x:v>
      </x:c>
      <x:c r="B106" s="24" t="str">
        <x:v>Varilux XR Series</x:v>
      </x:c>
      <x:c r="C106" s="24" t="n">
        <x:v>229.7</x:v>
      </x:c>
      <x:c r="D106" s="24" t="n">
        <x:v>198</x:v>
      </x:c>
      <x:c r="E106" s="24"/>
      <x:c r="F106" s="24" t="str">
        <x:v>6.509,00 8.029,00 +R$1.520 8.089,00 +R$1.580 6.929,00 6.929,00 8.449,00 8.449,00 +R$1.520</x:v>
      </x:c>
      <x:c r="G106" s="24" t="n">
        <x:v>8509</x:v>
      </x:c>
      <x:c r="H106" s="24" t="n">
        <x:v>46118</x:v>
      </x:c>
      <x:c r="I106" s="24" t="n">
        <x:v>46234</x:v>
      </x:c>
      <x:c r="J106" s="24" t="str">
        <x:v>EXPIRADA</x:v>
      </x:c>
    </x:row>
    <x:row r="107">
      <x:c r="A107" s="24" t="n">
        <x:v>5</x:v>
      </x:c>
      <x:c r="B107" s="24" t="str">
        <x:v>Varilux XR Series</x:v>
      </x:c>
      <x:c r="C107" s="24" t="n">
        <x:v>229.7</x:v>
      </x:c>
      <x:c r="D107" s="24" t="n">
        <x:v>376.9</x:v>
      </x:c>
      <x:c r="E107" s="24" t="str">
        <x:v>8.509,00 8.509,00 8.239,00 7.889,00</x:v>
      </x:c>
      <x:c r="F107" s="24" t="str">
        <x:v>5.889,00 6.129,00 7.409,00 7.649,00 7.469,00 7.709,00 6.309,00 6.549,00 7.829,00 8.069,00</x:v>
      </x:c>
      <x:c r="G107" s="24" t="n">
        <x:v>8129</x:v>
      </x:c>
      <x:c r="H107" s="24" t="n">
        <x:v>46118</x:v>
      </x:c>
      <x:c r="I107" s="24" t="n">
        <x:v>46234</x:v>
      </x:c>
      <x:c r="J107" s="24" t="str">
        <x:v>EXPIRADA</x:v>
      </x:c>
    </x:row>
    <x:row r="108">
      <x:c r="A108" s="24" t="n">
        <x:v>5</x:v>
      </x:c>
      <x:c r="B108" s="24" t="str">
        <x:v>Varilux XR Series</x:v>
      </x:c>
      <x:c r="C108" s="24" t="n">
        <x:v>200.3</x:v>
      </x:c>
      <x:c r="D108" s="24" t="n">
        <x:v>198</x:v>
      </x:c>
      <x:c r="E108" s="24" t="str">
        <x:v>Airwear</x:v>
      </x:c>
      <x:c r="F108" s="24" t="str">
        <x:v>Eyeruler CVP CRIZAL PREVENCIA SAPPHIRE 6.509,00 8.029,00 +R$1.520 8.089,00 +R$1.580</x:v>
      </x:c>
      <x:c r="G108" s="24" t="n">
        <x:v>6929</x:v>
      </x:c>
      <x:c r="H108" s="24" t="n">
        <x:v>46118</x:v>
      </x:c>
      <x:c r="I108" s="24" t="n">
        <x:v>46234</x:v>
      </x:c>
      <x:c r="J108" s="24" t="str">
        <x:v>EXPIRADA</x:v>
      </x:c>
    </x:row>
    <x:row r="109">
      <x:c r="A109" s="24" t="n">
        <x:v>5</x:v>
      </x:c>
      <x:c r="B109" s="24" t="str">
        <x:v>Varilux XR Series</x:v>
      </x:c>
      <x:c r="C109" s="24" t="n">
        <x:v>200.3</x:v>
      </x:c>
      <x:c r="D109" s="24" t="n">
        <x:v>376.2</x:v>
      </x:c>
      <x:c r="E109" s="24" t="str">
        <x:v>Airwear 6.929,00 6.929,00 6.659,00 6.309,00</x:v>
      </x:c>
      <x:c r="F109" s="24" t="str">
        <x:v>CRIZAL OPTIFOG PRO 5.889,00 6.129,00 7.409,00 7.649,00 7.469,00 7.709,00</x:v>
      </x:c>
      <x:c r="G109" s="24" t="n">
        <x:v>6549</x:v>
      </x:c>
      <x:c r="H109" s="24" t="n">
        <x:v>46118</x:v>
      </x:c>
      <x:c r="I109" s="24" t="n">
        <x:v>46234</x:v>
      </x:c>
      <x:c r="J109" s="24" t="str">
        <x:v>EXPIRADA</x:v>
      </x:c>
    </x:row>
    <x:row r="110">
      <x:c r="A110" s="24" t="n">
        <x:v>5</x:v>
      </x:c>
      <x:c r="B110" s="24" t="str">
        <x:v>Varilux XR Series</x:v>
      </x:c>
      <x:c r="C110" s="24" t="n">
        <x:v>255.7</x:v>
      </x:c>
      <x:c r="D110" s="24" t="n">
        <x:v>198</x:v>
      </x:c>
      <x:c r="E110" s="24" t="str">
        <x:v>Stylis 1.67</x:v>
      </x:c>
      <x:c r="F110" s="24" t="str">
        <x:v>+R$1.520 8.089,00 +R$1.580 6.929,00 6.929,00 8.449,00 8.449,00 +R$1.520 8.509,00 +R$1.580</x:v>
      </x:c>
      <x:c r="G110" s="24" t="n">
        <x:v>9709</x:v>
      </x:c>
      <x:c r="H110" s="24" t="n">
        <x:v>46118</x:v>
      </x:c>
      <x:c r="I110" s="24" t="n">
        <x:v>46234</x:v>
      </x:c>
      <x:c r="J110" s="24" t="str">
        <x:v>EXPIRADA</x:v>
      </x:c>
    </x:row>
    <x:row r="111">
      <x:c r="A111" s="24" t="n">
        <x:v>5</x:v>
      </x:c>
      <x:c r="B111" s="24" t="str">
        <x:v>Varilux XR Series</x:v>
      </x:c>
      <x:c r="C111" s="24" t="n">
        <x:v>144.7</x:v>
      </x:c>
      <x:c r="D111" s="24" t="n">
        <x:v>245.9</x:v>
      </x:c>
      <x:c r="E111" s="24" t="str">
        <x:v>Orma 6.509,00</x:v>
      </x:c>
      <x:c r="F111" s="24" t="str">
        <x:v>Personalização mandatória sem custo adicional: CVP CRIZAL SAPPHIRE HR</x:v>
      </x:c>
      <x:c r="G111" s="24" t="n">
        <x:v>6509</x:v>
      </x:c>
      <x:c r="H111" s="24" t="n">
        <x:v>46118</x:v>
      </x:c>
      <x:c r="I111" s="24" t="n">
        <x:v>46234</x:v>
      </x:c>
      <x:c r="J111" s="24" t="str">
        <x:v>EXPIRADA</x:v>
      </x:c>
    </x:row>
    <x:row r="112">
      <x:c r="A112" s="24" t="n">
        <x:v>5</x:v>
      </x:c>
      <x:c r="B112" s="24" t="str">
        <x:v>Varilux XR Series</x:v>
      </x:c>
      <x:c r="C112" s="24" t="n">
        <x:v>229.7</x:v>
      </x:c>
      <x:c r="D112" s="24" t="n">
        <x:v>243.6</x:v>
      </x:c>
      <x:c r="E112" s="24" t="str">
        <x:v>8.509,00</x:v>
      </x:c>
      <x:c r="F112" s="24" t="str">
        <x:v>6.509,00 8.029,00 7.759,00 8.089,00 7.819,00 6.659,00 6.929,00 8.449,00 8.179,00</x:v>
      </x:c>
      <x:c r="G112" s="24" t="n">
        <x:v>8509</x:v>
      </x:c>
      <x:c r="H112" s="24" t="n">
        <x:v>46118</x:v>
      </x:c>
      <x:c r="I112" s="24" t="n">
        <x:v>46234</x:v>
      </x:c>
      <x:c r="J112" s="24" t="str">
        <x:v>EXPIRADA</x:v>
      </x:c>
    </x:row>
    <x:row r="113">
      <x:c r="A113" s="24" t="n">
        <x:v>5</x:v>
      </x:c>
      <x:c r="B113" s="24" t="str">
        <x:v>Varilux XR Series</x:v>
      </x:c>
      <x:c r="C113" s="24" t="n">
        <x:v>200.3</x:v>
      </x:c>
      <x:c r="D113" s="24" t="n">
        <x:v>242.6</x:v>
      </x:c>
      <x:c r="E113" s="24" t="str">
        <x:v>Airwear 6.929,00</x:v>
      </x:c>
      <x:c r="F113" s="24" t="str">
        <x:v>PREVENCIA SAPPHIRE HR 6.509,00 6.509,00 8.029,00 8.029,00 8.089,00 8.089,00 7.819,00</x:v>
      </x:c>
      <x:c r="G113" s="24" t="n">
        <x:v>6929</x:v>
      </x:c>
      <x:c r="H113" s="24" t="n">
        <x:v>46118</x:v>
      </x:c>
      <x:c r="I113" s="24" t="n">
        <x:v>46234</x:v>
      </x:c>
      <x:c r="J113" s="24" t="str">
        <x:v>EXPIRADA</x:v>
      </x:c>
    </x:row>
    <x:row r="114">
      <x:c r="A114" s="24" t="n">
        <x:v>5</x:v>
      </x:c>
      <x:c r="B114" s="24" t="str">
        <x:v>Varilux XR Series</x:v>
      </x:c>
      <x:c r="C114" s="24" t="n">
        <x:v>255.8</x:v>
      </x:c>
      <x:c r="D114" s="24" t="n">
        <x:v>241.5</x:v>
      </x:c>
      <x:c r="E114" s="24" t="str">
        <x:v>Stylis 1.67 9.709,00</x:v>
      </x:c>
      <x:c r="F114" s="24" t="str">
        <x:v>8.089,00 8.089,00 6.929,00 6.929,00 8.449,00 8.449,00 8.509,00 8.509,00</x:v>
      </x:c>
      <x:c r="G114" s="24" t="n">
        <x:v>9709</x:v>
      </x:c>
      <x:c r="H114" s="24" t="n">
        <x:v>46118</x:v>
      </x:c>
      <x:c r="I114" s="24" t="n">
        <x:v>46234</x:v>
      </x:c>
      <x:c r="J114" s="24" t="str">
        <x:v>EXPIRADA</x:v>
      </x:c>
    </x:row>
    <x:row r="115">
      <x:c r="A115" s="24" t="n">
        <x:v>5</x:v>
      </x:c>
      <x:c r="B115" s="24" t="str">
        <x:v>Varilux XR Series</x:v>
      </x:c>
      <x:c r="C115" s="24" t="n">
        <x:v>255.8</x:v>
      </x:c>
      <x:c r="D115" s="24" t="n">
        <x:v>375.8</x:v>
      </x:c>
      <x:c r="E115" s="24" t="str">
        <x:v>Stylis 1.67 9.709,00 9.709,00 9.439,00 9.089,00</x:v>
      </x:c>
      <x:c r="F115" s="24" t="str">
        <x:v>7.469,00 7.709,00 6.309,00 6.549,00 7.829,00 8.069,00 7.889,00 8.129,00</x:v>
      </x:c>
      <x:c r="G115" s="24" t="n">
        <x:v>9329</x:v>
      </x:c>
      <x:c r="H115" s="24" t="n">
        <x:v>46118</x:v>
      </x:c>
      <x:c r="I115" s="24" t="n">
        <x:v>46234</x:v>
      </x:c>
      <x:c r="J115" s="24" t="str">
        <x:v>EXPIRADA</x:v>
      </x:c>
    </x:row>
    <x:row r="116">
      <x:c r="A116" s="24" t="n">
        <x:v>5</x:v>
      </x:c>
      <x:c r="B116" s="24" t="str">
        <x:v>Varilux XR Series</x:v>
      </x:c>
      <x:c r="C116" s="24" t="n">
        <x:v>311.4</x:v>
      </x:c>
      <x:c r="D116" s="24" t="n">
        <x:v>241.4</x:v>
      </x:c>
      <x:c r="E116" s="24" t="str">
        <x:v>Stylis 1.74 -</x:v>
      </x:c>
      <x:c r="F116" s="24" t="str">
        <x:v>8.509,00 8.509,00 9.709,00 9.709,00 11.229,00 11.229,00 11.289,00 11.289,00</x:v>
      </x:c>
      <x:c r="G116" s="24" t="n">
        <x:v>11579</x:v>
      </x:c>
      <x:c r="H116" s="24" t="n">
        <x:v>46118</x:v>
      </x:c>
      <x:c r="I116" s="24" t="n">
        <x:v>46234</x:v>
      </x:c>
      <x:c r="J116" s="24" t="str">
        <x:v>EXPIRADA</x:v>
      </x:c>
    </x:row>
    <x:row r="117">
      <x:c r="A117" s="24" t="n">
        <x:v>5</x:v>
      </x:c>
      <x:c r="B117" s="24" t="str">
        <x:v>Varilux XR Series</x:v>
      </x:c>
      <x:c r="C117" s="24" t="n">
        <x:v>144.7</x:v>
      </x:c>
      <x:c r="D117" s="24" t="n">
        <x:v>288.9</x:v>
      </x:c>
      <x:c r="E117" s="24" t="str">
        <x:v>Orma 6.509,00 6.509,00</x:v>
      </x:c>
      <x:c r="F117" s="24" t="str">
        <x:v>mandatória sem custo adicional: CRIZAL CRIZAL CRIZAL ROCK HR EASY</x:v>
      </x:c>
      <x:c r="G117" s="24" t="n">
        <x:v>6239</x:v>
      </x:c>
      <x:c r="H117" s="24" t="n">
        <x:v>46118</x:v>
      </x:c>
      <x:c r="I117" s="24" t="n">
        <x:v>46234</x:v>
      </x:c>
      <x:c r="J117" s="24" t="str">
        <x:v>EXPIRADA</x:v>
      </x:c>
    </x:row>
    <x:row r="118">
      <x:c r="A118" s="24" t="n">
        <x:v>5</x:v>
      </x:c>
      <x:c r="B118" s="24" t="str">
        <x:v>Varilux XR Series</x:v>
      </x:c>
      <x:c r="C118" s="24" t="n">
        <x:v>229.7</x:v>
      </x:c>
      <x:c r="D118" s="24" t="n">
        <x:v>288.1</x:v>
      </x:c>
      <x:c r="E118" s="24" t="str">
        <x:v>8.509,00 8.509,00</x:v>
      </x:c>
      <x:c r="F118" s="24" t="str">
        <x:v>8.029,00 7.759,00 7.409,00 8.089,00 7.819,00 7.469,00 6.309,00 6.659,00 8.179,00 7.829,00</x:v>
      </x:c>
      <x:c r="G118" s="24" t="n">
        <x:v>8239</x:v>
      </x:c>
      <x:c r="H118" s="24" t="n">
        <x:v>46118</x:v>
      </x:c>
      <x:c r="I118" s="24" t="n">
        <x:v>46234</x:v>
      </x:c>
      <x:c r="J118" s="24" t="str">
        <x:v>EXPIRADA</x:v>
      </x:c>
    </x:row>
    <x:row r="119">
      <x:c r="A119" s="24" t="n">
        <x:v>5</x:v>
      </x:c>
      <x:c r="B119" s="24" t="str">
        <x:v>Varilux XR Series</x:v>
      </x:c>
      <x:c r="C119" s="24" t="n">
        <x:v>200.3</x:v>
      </x:c>
      <x:c r="D119" s="24" t="n">
        <x:v>288.2</x:v>
      </x:c>
      <x:c r="E119" s="24" t="str">
        <x:v>Airwear 6.929,00 6.929,00</x:v>
      </x:c>
      <x:c r="F119" s="24" t="str">
        <x:v>EASY 5.889,00 6.239,00 6.509,00 8.029,00 7.759,00 7.409,00 8.089,00 7.819,00 7.469,00</x:v>
      </x:c>
      <x:c r="G119" s="24" t="n">
        <x:v>6659</x:v>
      </x:c>
      <x:c r="H119" s="24" t="n">
        <x:v>46118</x:v>
      </x:c>
      <x:c r="I119" s="24" t="n">
        <x:v>46234</x:v>
      </x:c>
      <x:c r="J119" s="24" t="str">
        <x:v>EXPIRADA</x:v>
      </x:c>
    </x:row>
    <x:row r="120">
      <x:c r="A120" s="24" t="n">
        <x:v>5</x:v>
      </x:c>
      <x:c r="B120" s="24" t="str">
        <x:v>Varilux XR Series</x:v>
      </x:c>
      <x:c r="C120" s="24" t="n">
        <x:v>255.7</x:v>
      </x:c>
      <x:c r="D120" s="24" t="n">
        <x:v>288.2</x:v>
      </x:c>
      <x:c r="E120" s="24" t="str">
        <x:v>Stylis 1.67 9.709,00 9.709,00</x:v>
      </x:c>
      <x:c r="F120" s="24" t="str">
        <x:v>8.089,00 7.819,00 7.469,00 6.309,00 6.659,00 8.179,00 7.829,00 7.889,00 8.239,00 8.509,00</x:v>
      </x:c>
      <x:c r="G120" s="24" t="n">
        <x:v>9439</x:v>
      </x:c>
      <x:c r="H120" s="24" t="n">
        <x:v>46118</x:v>
      </x:c>
      <x:c r="I120" s="24" t="n">
        <x:v>46234</x:v>
      </x:c>
      <x:c r="J120" s="24" t="str">
        <x:v>EXPIRADA</x:v>
      </x:c>
    </x:row>
    <x:row r="121">
      <x:c r="A121" s="24" t="n">
        <x:v>5</x:v>
      </x:c>
      <x:c r="B121" s="24" t="str">
        <x:v>Varilux XR Series</x:v>
      </x:c>
      <x:c r="C121" s="24" t="n">
        <x:v>159.4</x:v>
      </x:c>
      <x:c r="D121" s="24" t="n">
        <x:v>197.9</x:v>
      </x:c>
      <x:c r="E121" s="24"/>
      <x:c r="F121" s="24" t="str">
        <x:v>Personalização instrumento Eyeruler CVP CRIZAL PREVENCIA SAPPHIRE 6.509,00</x:v>
      </x:c>
      <x:c r="G121" s="24" t="n">
        <x:v>8029</x:v>
      </x:c>
      <x:c r="H121" s="24" t="n">
        <x:v>46118</x:v>
      </x:c>
      <x:c r="I121" s="24" t="n">
        <x:v>46234</x:v>
      </x:c>
      <x:c r="J121" s="24" t="str">
        <x:v>EXPIRADA</x:v>
      </x:c>
    </x:row>
    <x:row r="122">
      <x:c r="A122" s="24" t="n">
        <x:v>5</x:v>
      </x:c>
      <x:c r="B122" s="24" t="str">
        <x:v>Varilux XR Series</x:v>
      </x:c>
      <x:c r="C122" s="24" t="n">
        <x:v>159.4</x:v>
      </x:c>
      <x:c r="D122" s="24" t="n">
        <x:v>375.1</x:v>
      </x:c>
      <x:c r="E122" s="24" t="str">
        <x:v>8.029,00 8.029,00 7.759,00 7.409,00</x:v>
      </x:c>
      <x:c r="F122" s="24" t="str">
        <x:v>C V MARROM M A CRIZAL OPTIFOG PRO 5.889,00 6.129,00</x:v>
      </x:c>
      <x:c r="G122" s="24" t="n">
        <x:v>7649</x:v>
      </x:c>
      <x:c r="H122" s="24" t="n">
        <x:v>46118</x:v>
      </x:c>
      <x:c r="I122" s="24" t="n">
        <x:v>46234</x:v>
      </x:c>
      <x:c r="J122" s="24" t="str">
        <x:v>EXPIRADA</x:v>
      </x:c>
    </x:row>
    <x:row r="123">
      <x:c r="A123" s="24" t="n">
        <x:v>5</x:v>
      </x:c>
      <x:c r="B123" s="24" t="str">
        <x:v>Varilux XR Series</x:v>
      </x:c>
      <x:c r="C123" s="24" t="n">
        <x:v>159.4</x:v>
      </x:c>
      <x:c r="D123" s="24" t="n">
        <x:v>245.4</x:v>
      </x:c>
      <x:c r="E123" s="24" t="str">
        <x:v>8.029,00</x:v>
      </x:c>
      <x:c r="F123" s="24" t="str">
        <x:v>mandatória sem custo adicional: CVP CRIZAL SAPPHIRE HR 6.239,00 6.509,00</x:v>
      </x:c>
      <x:c r="G123" s="24" t="n">
        <x:v>8029</x:v>
      </x:c>
      <x:c r="H123" s="24" t="n">
        <x:v>46118</x:v>
      </x:c>
      <x:c r="I123" s="24" t="n">
        <x:v>46234</x:v>
      </x:c>
      <x:c r="J123" s="24" t="str">
        <x:v>EXPIRADA</x:v>
      </x:c>
    </x:row>
    <x:row r="124">
      <x:c r="A124" s="24" t="n">
        <x:v>5</x:v>
      </x:c>
      <x:c r="B124" s="24" t="str">
        <x:v>Varilux XR Series</x:v>
      </x:c>
      <x:c r="C124" s="24" t="n">
        <x:v>159.4</x:v>
      </x:c>
      <x:c r="D124" s="24" t="n">
        <x:v>288</x:v>
      </x:c>
      <x:c r="E124" s="24" t="str">
        <x:v>8.029,00 8.029,00</x:v>
      </x:c>
      <x:c r="F124" s="24" t="str">
        <x:v>custo adicional: CRIZAL CRIZAL ROCK HR EASY 5.889,00 6.239,00 6.509,00</x:v>
      </x:c>
      <x:c r="G124" s="24" t="n">
        <x:v>7759</x:v>
      </x:c>
      <x:c r="H124" s="24" t="n">
        <x:v>46118</x:v>
      </x:c>
      <x:c r="I124" s="24" t="n">
        <x:v>46234</x:v>
      </x:c>
      <x:c r="J124" s="24" t="str">
        <x:v>EXPIRADA</x:v>
      </x:c>
    </x:row>
    <x:row r="125">
      <x:c r="A125" s="24" t="n">
        <x:v>5</x:v>
      </x:c>
      <x:c r="B125" s="24" t="str">
        <x:v>Varilux XR Series</x:v>
      </x:c>
      <x:c r="C125" s="24" t="n">
        <x:v>159.4</x:v>
      </x:c>
      <x:c r="D125" s="24" t="n">
        <x:v>332</x:v>
      </x:c>
      <x:c r="E125" s="24" t="str">
        <x:v>8.029,00 8.029,00 7.759,00</x:v>
      </x:c>
      <x:c r="F125" s="24" t="str">
        <x:v>CRIZAL CRIZAL ROCK EASY PRO 5.889,00 6.239,00 6.129,00</x:v>
      </x:c>
      <x:c r="G125" s="24" t="n">
        <x:v>7409</x:v>
      </x:c>
      <x:c r="H125" s="24" t="n">
        <x:v>46118</x:v>
      </x:c>
      <x:c r="I125" s="24" t="n">
        <x:v>46234</x:v>
      </x:c>
      <x:c r="J125" s="24" t="str">
        <x:v>EXPIRADA</x:v>
      </x:c>
    </x:row>
    <x:row r="126">
      <x:c r="A126" s="24" t="n">
        <x:v>5</x:v>
      </x:c>
      <x:c r="B126" s="24" t="str">
        <x:v>Varilux XR Series</x:v>
      </x:c>
      <x:c r="C126" s="24" t="n">
        <x:v>173.4</x:v>
      </x:c>
      <x:c r="D126" s="24" t="n">
        <x:v>197.9</x:v>
      </x:c>
      <x:c r="E126" s="24" t="str">
        <x:v>Transitions Extractive</x:v>
      </x:c>
      <x:c r="F126" s="24" t="str">
        <x:v>Personalização instrumento Eyeruler CVP CRIZAL PREVENCIA SAPPHIRE 6.509,00 8.029,00 +R$1.520</x:v>
      </x:c>
      <x:c r="G126" s="24" t="n">
        <x:v>8089</x:v>
      </x:c>
      <x:c r="H126" s="24" t="n">
        <x:v>46118</x:v>
      </x:c>
      <x:c r="I126" s="24" t="n">
        <x:v>46234</x:v>
      </x:c>
      <x:c r="J126" s="24" t="str">
        <x:v>EXPIRADA</x:v>
      </x:c>
    </x:row>
    <x:row r="127">
      <x:c r="A127" s="24" t="n">
        <x:v>5</x:v>
      </x:c>
      <x:c r="B127" s="24" t="str">
        <x:v>Varilux XR Series</x:v>
      </x:c>
      <x:c r="C127" s="24" t="n">
        <x:v>173.4</x:v>
      </x:c>
      <x:c r="D127" s="24" t="n">
        <x:v>375.1</x:v>
      </x:c>
      <x:c r="E127" s="24" t="str">
        <x:v>Transitions Extractive 8.089,00 8.089,00 7.819,00 7.469,00</x:v>
      </x:c>
      <x:c r="F127" s="24" t="str">
        <x:v>MARROM M A CRIZAL OPTIFOG PRO 5.889,00 6.129,00 7.409,00 7.649,00</x:v>
      </x:c>
      <x:c r="G127" s="24" t="n">
        <x:v>7709</x:v>
      </x:c>
      <x:c r="H127" s="24" t="n">
        <x:v>46118</x:v>
      </x:c>
      <x:c r="I127" s="24" t="n">
        <x:v>46234</x:v>
      </x:c>
      <x:c r="J127" s="24" t="str">
        <x:v>EXPIRADA</x:v>
      </x:c>
    </x:row>
    <x:row r="128">
      <x:c r="A128" s="24" t="n">
        <x:v>5</x:v>
      </x:c>
      <x:c r="B128" s="24" t="str">
        <x:v>Varilux XR Series</x:v>
      </x:c>
      <x:c r="C128" s="24" t="n">
        <x:v>173.4</x:v>
      </x:c>
      <x:c r="D128" s="24" t="n">
        <x:v>245.4</x:v>
      </x:c>
      <x:c r="E128" s="24" t="str">
        <x:v>Transitions Extractive 8.089,00</x:v>
      </x:c>
      <x:c r="F128" s="24" t="str">
        <x:v>custo adicional: CVP CRIZAL SAPPHIRE HR 6.239,00 6.509,00 8.029,00 7.759,00</x:v>
      </x:c>
      <x:c r="G128" s="24" t="n">
        <x:v>8089</x:v>
      </x:c>
      <x:c r="H128" s="24" t="n">
        <x:v>46118</x:v>
      </x:c>
      <x:c r="I128" s="24" t="n">
        <x:v>46234</x:v>
      </x:c>
      <x:c r="J128" s="24" t="str">
        <x:v>EXPIRADA</x:v>
      </x:c>
    </x:row>
    <x:row r="129">
      <x:c r="A129" s="24" t="n">
        <x:v>5</x:v>
      </x:c>
      <x:c r="B129" s="24" t="str">
        <x:v>Varilux XR Series</x:v>
      </x:c>
      <x:c r="C129" s="24" t="n">
        <x:v>173.4</x:v>
      </x:c>
      <x:c r="D129" s="24" t="n">
        <x:v>288</x:v>
      </x:c>
      <x:c r="E129" s="24" t="str">
        <x:v>Transitions Extractive 8.089,00 8.089,00</x:v>
      </x:c>
      <x:c r="F129" s="24" t="str">
        <x:v>CRIZAL ROCK HR EASY 5.889,00 6.239,00 6.509,00 8.029,00 7.759,00 7.409,00</x:v>
      </x:c>
      <x:c r="G129" s="24" t="n">
        <x:v>7819</x:v>
      </x:c>
      <x:c r="H129" s="24" t="n">
        <x:v>46118</x:v>
      </x:c>
      <x:c r="I129" s="24" t="n">
        <x:v>46234</x:v>
      </x:c>
      <x:c r="J129" s="24" t="str">
        <x:v>EXPIRADA</x:v>
      </x:c>
    </x:row>
    <x:row r="130">
      <x:c r="A130" s="24" t="n">
        <x:v>5</x:v>
      </x:c>
      <x:c r="B130" s="24" t="str">
        <x:v>Varilux XR Series</x:v>
      </x:c>
      <x:c r="C130" s="24" t="n">
        <x:v>173.4</x:v>
      </x:c>
      <x:c r="D130" s="24" t="n">
        <x:v>332</x:v>
      </x:c>
      <x:c r="E130" s="24" t="str">
        <x:v>Transitions Extractive 8.089,00 8.089,00 7.819,00</x:v>
      </x:c>
      <x:c r="F130" s="24" t="str">
        <x:v>CRIZAL ROCK EASY PRO 5.889,00 6.239,00 6.129,00 7.759,00 7.409,00 7.649,00</x:v>
      </x:c>
      <x:c r="G130" s="24" t="n">
        <x:v>7469</x:v>
      </x:c>
      <x:c r="H130" s="24" t="n">
        <x:v>46118</x:v>
      </x:c>
      <x:c r="I130" s="24" t="n">
        <x:v>46234</x:v>
      </x:c>
      <x:c r="J130" s="24" t="str">
        <x:v>EXPIRADA</x:v>
      </x:c>
    </x:row>
    <x:row r="131">
      <x:c r="A131" s="24" t="n">
        <x:v>5</x:v>
      </x:c>
      <x:c r="B131" s="24" t="str">
        <x:v>Varilux XR Series</x:v>
      </x:c>
      <x:c r="C131" s="24" t="n">
        <x:v>144.7</x:v>
      </x:c>
      <x:c r="D131" s="24" t="n">
        <x:v>331.5</x:v>
      </x:c>
      <x:c r="E131" s="24" t="str">
        <x:v>Orma 6.509,00 6.509,00 6.239,00</x:v>
      </x:c>
      <x:c r="F131" s="24" t="str">
        <x:v>CRIZAL CRIZAL ROCK EASY PRO</x:v>
      </x:c>
      <x:c r="G131" s="24" t="n">
        <x:v>5889</x:v>
      </x:c>
      <x:c r="H131" s="24" t="n">
        <x:v>46118</x:v>
      </x:c>
      <x:c r="I131" s="24" t="n">
        <x:v>46234</x:v>
      </x:c>
      <x:c r="J131" s="24" t="str">
        <x:v>EXPIRADA</x:v>
      </x:c>
    </x:row>
    <x:row r="132">
      <x:c r="A132" s="24" t="n">
        <x:v>5</x:v>
      </x:c>
      <x:c r="B132" s="24" t="str">
        <x:v>Varilux XR Series</x:v>
      </x:c>
      <x:c r="C132" s="24" t="n">
        <x:v>229.7</x:v>
      </x:c>
      <x:c r="D132" s="24" t="n">
        <x:v>331</x:v>
      </x:c>
      <x:c r="E132" s="24" t="str">
        <x:v>8.509,00 8.509,00 8.239,00</x:v>
      </x:c>
      <x:c r="F132" s="24" t="str">
        <x:v>7.409,00 7.649,00 7.819,00 7.469,00 7.709,00 6.309,00 6.659,00 8.179,00 7.829,00 8.069,00</x:v>
      </x:c>
      <x:c r="G132" s="24" t="n">
        <x:v>7889</x:v>
      </x:c>
      <x:c r="H132" s="24" t="n">
        <x:v>46118</x:v>
      </x:c>
      <x:c r="I132" s="24" t="n">
        <x:v>46234</x:v>
      </x:c>
      <x:c r="J132" s="24" t="str">
        <x:v>EXPIRADA</x:v>
      </x:c>
    </x:row>
    <x:row r="133">
      <x:c r="A133" s="24" t="n">
        <x:v>5</x:v>
      </x:c>
      <x:c r="B133" s="24" t="str">
        <x:v>Varilux XR Series</x:v>
      </x:c>
      <x:c r="C133" s="24" t="n">
        <x:v>200.3</x:v>
      </x:c>
      <x:c r="D133" s="24" t="n">
        <x:v>330.8</x:v>
      </x:c>
      <x:c r="E133" s="24" t="str">
        <x:v>Airwear 6.929,00 6.929,00 6.659,00</x:v>
      </x:c>
      <x:c r="F133" s="24" t="str">
        <x:v>PRO 5.889,00 6.239,00 6.129,00 7.759,00 7.409,00 7.649,00 7.819,00 7.469,00 7.709,00</x:v>
      </x:c>
      <x:c r="G133" s="24" t="n">
        <x:v>6309</x:v>
      </x:c>
      <x:c r="H133" s="24" t="n">
        <x:v>46118</x:v>
      </x:c>
      <x:c r="I133" s="24" t="n">
        <x:v>46234</x:v>
      </x:c>
      <x:c r="J133" s="24" t="str">
        <x:v>EXPIRADA</x:v>
      </x:c>
    </x:row>
    <x:row r="134">
      <x:c r="A134" s="24" t="n">
        <x:v>5</x:v>
      </x:c>
      <x:c r="B134" s="24" t="str">
        <x:v>Varilux XR Series</x:v>
      </x:c>
      <x:c r="C134" s="24" t="n">
        <x:v>214.3</x:v>
      </x:c>
      <x:c r="D134" s="24" t="n">
        <x:v>198.1</x:v>
      </x:c>
      <x:c r="E134" s="24"/>
      <x:c r="F134" s="24" t="str">
        <x:v>CRIZAL PREVENCIA SAPPHIRE 6.509,00 8.029,00 +R$1.520 8.089,00 +R$1.580 6.929,00 6.929,00</x:v>
      </x:c>
      <x:c r="G134" s="24" t="n">
        <x:v>8449</x:v>
      </x:c>
      <x:c r="H134" s="24" t="n">
        <x:v>46118</x:v>
      </x:c>
      <x:c r="I134" s="24" t="n">
        <x:v>46234</x:v>
      </x:c>
      <x:c r="J134" s="24" t="str">
        <x:v>EXPIRADA</x:v>
      </x:c>
    </x:row>
    <x:row r="135">
      <x:c r="A135" s="24" t="n">
        <x:v>5</x:v>
      </x:c>
      <x:c r="B135" s="24" t="str">
        <x:v>Varilux XR Series</x:v>
      </x:c>
      <x:c r="C135" s="24" t="n">
        <x:v>214.3</x:v>
      </x:c>
      <x:c r="D135" s="24" t="n">
        <x:v>375.9</x:v>
      </x:c>
      <x:c r="E135" s="24" t="str">
        <x:v>8.449,00 8.449,00 8.179,00 7.829,00</x:v>
      </x:c>
      <x:c r="F135" s="24" t="str">
        <x:v>OPTIFOG PRO 5.889,00 6.129,00 7.409,00 7.649,00 7.469,00 7.709,00 6.309,00 6.549,00</x:v>
      </x:c>
      <x:c r="G135" s="24" t="n">
        <x:v>8069</x:v>
      </x:c>
      <x:c r="H135" s="24" t="n">
        <x:v>46118</x:v>
      </x:c>
      <x:c r="I135" s="24" t="n">
        <x:v>46234</x:v>
      </x:c>
      <x:c r="J135" s="24" t="str">
        <x:v>EXPIRADA</x:v>
      </x:c>
    </x:row>
    <x:row r="136">
      <x:c r="A136" s="24" t="n">
        <x:v>5</x:v>
      </x:c>
      <x:c r="B136" s="24" t="str">
        <x:v>Varilux XR Series</x:v>
      </x:c>
      <x:c r="C136" s="24" t="n">
        <x:v>214.3</x:v>
      </x:c>
      <x:c r="D136" s="24" t="n">
        <x:v>242.7</x:v>
      </x:c>
      <x:c r="E136" s="24" t="str">
        <x:v>8.449,00</x:v>
      </x:c>
      <x:c r="F136" s="24" t="str">
        <x:v>SAPPHIRE HR 6.509,00 6.509,00 8.029,00 8.089,00 8.089,00 7.819,00 6.929,00 6.929,00</x:v>
      </x:c>
      <x:c r="G136" s="24" t="n">
        <x:v>8449</x:v>
      </x:c>
      <x:c r="H136" s="24" t="n">
        <x:v>46118</x:v>
      </x:c>
      <x:c r="I136" s="24" t="n">
        <x:v>46234</x:v>
      </x:c>
      <x:c r="J136" s="24" t="str">
        <x:v>EXPIRADA</x:v>
      </x:c>
    </x:row>
    <x:row r="137">
      <x:c r="A137" s="24" t="n">
        <x:v>5</x:v>
      </x:c>
      <x:c r="B137" s="24" t="str">
        <x:v>Varilux XR Series</x:v>
      </x:c>
      <x:c r="C137" s="24" t="n">
        <x:v>214.3</x:v>
      </x:c>
      <x:c r="D137" s="24" t="n">
        <x:v>289.3</x:v>
      </x:c>
      <x:c r="E137" s="24" t="str">
        <x:v>8.449,00 8.449,00</x:v>
      </x:c>
      <x:c r="F137" s="24" t="str">
        <x:v>6.239,00 6.509,00 8.029,00 7.759,00 7.409,00 8.089,00 7.819,00 7.469,00 6.309,00 6.659,00</x:v>
      </x:c>
      <x:c r="G137" s="24" t="n">
        <x:v>8179</x:v>
      </x:c>
      <x:c r="H137" s="24" t="n">
        <x:v>46118</x:v>
      </x:c>
      <x:c r="I137" s="24" t="n">
        <x:v>46234</x:v>
      </x:c>
      <x:c r="J137" s="24" t="str">
        <x:v>EXPIRADA</x:v>
      </x:c>
    </x:row>
    <x:row r="138">
      <x:c r="A138" s="24" t="n">
        <x:v>5</x:v>
      </x:c>
      <x:c r="B138" s="24" t="str">
        <x:v>Varilux XR Series</x:v>
      </x:c>
      <x:c r="C138" s="24" t="n">
        <x:v>214.3</x:v>
      </x:c>
      <x:c r="D138" s="24" t="n">
        <x:v>331</x:v>
      </x:c>
      <x:c r="E138" s="24" t="str">
        <x:v>8.449,00 8.449,00 8.179,00</x:v>
      </x:c>
      <x:c r="F138" s="24" t="str">
        <x:v>6.239,00 6.129,00 7.759,00 7.409,00 7.649,00 7.819,00 7.469,00 7.709,00 6.309,00 6.659,00</x:v>
      </x:c>
      <x:c r="G138" s="24" t="n">
        <x:v>7829</x:v>
      </x:c>
      <x:c r="H138" s="24" t="n">
        <x:v>46118</x:v>
      </x:c>
      <x:c r="I138" s="24" t="n">
        <x:v>46234</x:v>
      </x:c>
      <x:c r="J138" s="24" t="str">
        <x:v>EXPIRADA</x:v>
      </x:c>
    </x:row>
    <x:row r="139">
      <x:c r="A139" s="24" t="n">
        <x:v>5</x:v>
      </x:c>
      <x:c r="B139" s="24" t="str">
        <x:v>Varilux XR Series</x:v>
      </x:c>
      <x:c r="C139" s="24" t="n">
        <x:v>255.7</x:v>
      </x:c>
      <x:c r="D139" s="24" t="n">
        <x:v>332.3</x:v>
      </x:c>
      <x:c r="E139" s="24" t="str">
        <x:v>Stylis 1.67 9.709,00 9.709,00 9.439,00</x:v>
      </x:c>
      <x:c r="F139" s="24" t="str">
        <x:v>7.709,00 6.309,00 6.659,00 6.549,00 8.179,00 7.829,00 8.069,00 7.889,00 8.239,00 8.129,00</x:v>
      </x:c>
      <x:c r="G139" s="24" t="n">
        <x:v>9089</x:v>
      </x:c>
      <x:c r="H139" s="24" t="n">
        <x:v>46118</x:v>
      </x:c>
      <x:c r="I139" s="24" t="n">
        <x:v>46234</x:v>
      </x:c>
      <x:c r="J139" s="24" t="str">
        <x:v>EXPIRADA</x:v>
      </x:c>
    </x:row>
    <x:row r="140">
      <x:c r="A140" s="24" t="n">
        <x:v>5</x:v>
      </x:c>
      <x:c r="B140" s="24" t="str">
        <x:v>Varilux XR Series</x:v>
      </x:c>
      <x:c r="C140" s="24" t="n">
        <x:v>269.7</x:v>
      </x:c>
      <x:c r="D140" s="24" t="n">
        <x:v>197.1</x:v>
      </x:c>
      <x:c r="E140" s="24"/>
      <x:c r="F140" s="24" t="str">
        <x:v>+R$1.580 6.929,00 8.449,00 +R$1.520 8.509,00 +R$1.580 9.709,00 9.709,00</x:v>
      </x:c>
      <x:c r="G140" s="24" t="n">
        <x:v>11229</x:v>
      </x:c>
      <x:c r="H140" s="24" t="n">
        <x:v>46118</x:v>
      </x:c>
      <x:c r="I140" s="24" t="n">
        <x:v>46234</x:v>
      </x:c>
      <x:c r="J140" s="24" t="str">
        <x:v>EXPIRADA</x:v>
      </x:c>
    </x:row>
    <x:row r="141">
      <x:c r="A141" s="24" t="n">
        <x:v>5</x:v>
      </x:c>
      <x:c r="B141" s="24" t="str">
        <x:v>Varilux XR Series</x:v>
      </x:c>
      <x:c r="C141" s="24" t="n">
        <x:v>269.7</x:v>
      </x:c>
      <x:c r="D141" s="24" t="n">
        <x:v>241.6</x:v>
      </x:c>
      <x:c r="E141" s="24" t="str">
        <x:v>11.229,00</x:v>
      </x:c>
      <x:c r="F141" s="24" t="str">
        <x:v>6.929,00 6.929,00 8.449,00 8.449,00 8.509,00 8.509,00 9.709,00 9.709,00</x:v>
      </x:c>
      <x:c r="G141" s="24" t="n">
        <x:v>11229</x:v>
      </x:c>
      <x:c r="H141" s="24" t="n">
        <x:v>46118</x:v>
      </x:c>
      <x:c r="I141" s="24" t="n">
        <x:v>46234</x:v>
      </x:c>
      <x:c r="J141" s="24" t="str">
        <x:v>EXPIRADA</x:v>
      </x:c>
    </x:row>
    <x:row r="142">
      <x:c r="A142" s="24" t="n">
        <x:v>5</x:v>
      </x:c>
      <x:c r="B142" s="24" t="str">
        <x:v>Varilux XR Series</x:v>
      </x:c>
      <x:c r="C142" s="24" t="n">
        <x:v>269.7</x:v>
      </x:c>
      <x:c r="D142" s="24" t="n">
        <x:v>375.9</x:v>
      </x:c>
      <x:c r="E142" s="24" t="str">
        <x:v>11.229,00 11.229,00 10.959,00 10.609,00</x:v>
      </x:c>
      <x:c r="F142" s="24" t="str">
        <x:v>6.549,00 8.069,00 8.129,00 9.089,00 9.329,00</x:v>
      </x:c>
      <x:c r="G142" s="24" t="n">
        <x:v>10849</x:v>
      </x:c>
      <x:c r="H142" s="24" t="n">
        <x:v>46118</x:v>
      </x:c>
      <x:c r="I142" s="24" t="n">
        <x:v>46234</x:v>
      </x:c>
      <x:c r="J142" s="24" t="str">
        <x:v>EXPIRADA</x:v>
      </x:c>
    </x:row>
    <x:row r="143">
      <x:c r="A143" s="24" t="n">
        <x:v>5</x:v>
      </x:c>
      <x:c r="B143" s="24" t="str">
        <x:v>Varilux XR Series</x:v>
      </x:c>
      <x:c r="C143" s="24" t="n">
        <x:v>269.7</x:v>
      </x:c>
      <x:c r="D143" s="24" t="n">
        <x:v>287.1</x:v>
      </x:c>
      <x:c r="E143" s="24" t="str">
        <x:v>11.229,00 11.229,00</x:v>
      </x:c>
      <x:c r="F143" s="24" t="str">
        <x:v>6.309,00 6.659,00 8.179,00 7.829,00 7.889,00 8.239,00 8.509,00 9.089,00 9.439,00</x:v>
      </x:c>
      <x:c r="G143" s="24" t="n">
        <x:v>10959</x:v>
      </x:c>
      <x:c r="H143" s="24" t="n">
        <x:v>46118</x:v>
      </x:c>
      <x:c r="I143" s="24" t="n">
        <x:v>46234</x:v>
      </x:c>
      <x:c r="J143" s="24" t="str">
        <x:v>EXPIRADA</x:v>
      </x:c>
    </x:row>
    <x:row r="144">
      <x:c r="A144" s="24" t="n">
        <x:v>5</x:v>
      </x:c>
      <x:c r="B144" s="24" t="str">
        <x:v>Varilux XR Series</x:v>
      </x:c>
      <x:c r="C144" s="24" t="n">
        <x:v>269.7</x:v>
      </x:c>
      <x:c r="D144" s="24" t="n">
        <x:v>331.8</x:v>
      </x:c>
      <x:c r="E144" s="24" t="str">
        <x:v>11.229,00 11.229,00 10.959,00</x:v>
      </x:c>
      <x:c r="F144" s="24" t="str">
        <x:v>6.549,00 8.179,00 7.829,00 8.069,00 7.889,00 8.239,00 8.129,00 9.089,00 9.439,00 9.329,00</x:v>
      </x:c>
      <x:c r="G144" s="24" t="n">
        <x:v>10609</x:v>
      </x:c>
      <x:c r="H144" s="24" t="n">
        <x:v>46118</x:v>
      </x:c>
      <x:c r="I144" s="24" t="n">
        <x:v>46234</x:v>
      </x:c>
      <x:c r="J144" s="24" t="str">
        <x:v>EXPIRADA</x:v>
      </x:c>
    </x:row>
    <x:row r="145">
      <x:c r="A145" s="24" t="n">
        <x:v>5</x:v>
      </x:c>
      <x:c r="B145" s="24" t="str">
        <x:v>Varilux XR Series</x:v>
      </x:c>
      <x:c r="C145" s="24" t="n">
        <x:v>283.7</x:v>
      </x:c>
      <x:c r="D145" s="24" t="n">
        <x:v>197.1</x:v>
      </x:c>
      <x:c r="E145" s="24" t="str">
        <x:v>Transitions Extractive</x:v>
      </x:c>
      <x:c r="F145" s="24" t="str">
        <x:v>6.929,00 8.449,00 +R$1.520 8.509,00 +R$1.580 9.709,00 9.709,00 11.229,00 11.229,00 +R$1.520</x:v>
      </x:c>
      <x:c r="G145" s="24" t="n">
        <x:v>11289</x:v>
      </x:c>
      <x:c r="H145" s="24" t="n">
        <x:v>46118</x:v>
      </x:c>
      <x:c r="I145" s="24" t="n">
        <x:v>46234</x:v>
      </x:c>
      <x:c r="J145" s="24" t="str">
        <x:v>EXPIRADA</x:v>
      </x:c>
    </x:row>
    <x:row r="146">
      <x:c r="A146" s="24" t="n">
        <x:v>5</x:v>
      </x:c>
      <x:c r="B146" s="24" t="str">
        <x:v>Varilux XR Series</x:v>
      </x:c>
      <x:c r="C146" s="24" t="n">
        <x:v>283.8</x:v>
      </x:c>
      <x:c r="D146" s="24" t="n">
        <x:v>241.6</x:v>
      </x:c>
      <x:c r="E146" s="24" t="str">
        <x:v>Transitions Extractive 11.289,00</x:v>
      </x:c>
      <x:c r="F146" s="24" t="str">
        <x:v>6.929,00 6.929,00 8.449,00 8.449,00 8.509,00 8.509,00 9.709,00 9.709,00 11.229,00 11.229,00</x:v>
      </x:c>
      <x:c r="G146" s="24" t="n">
        <x:v>11289</x:v>
      </x:c>
      <x:c r="H146" s="24" t="n">
        <x:v>46118</x:v>
      </x:c>
      <x:c r="I146" s="24" t="n">
        <x:v>46234</x:v>
      </x:c>
      <x:c r="J146" s="24" t="str">
        <x:v>EXPIRADA</x:v>
      </x:c>
    </x:row>
    <x:row r="147">
      <x:c r="A147" s="24" t="n">
        <x:v>5</x:v>
      </x:c>
      <x:c r="B147" s="24" t="str">
        <x:v>Varilux XR Series</x:v>
      </x:c>
      <x:c r="C147" s="24" t="n">
        <x:v>283.8</x:v>
      </x:c>
      <x:c r="D147" s="24" t="n">
        <x:v>375.9</x:v>
      </x:c>
      <x:c r="E147" s="24" t="str">
        <x:v>Transitions Extractive 11.289,00 11.289,00 11.019,00 10.669,00</x:v>
      </x:c>
      <x:c r="F147" s="24" t="str">
        <x:v>6.549,00 8.069,00 8.129,00 9.089,00 9.329,00 10.609,00 10.849,00</x:v>
      </x:c>
      <x:c r="G147" s="24" t="n">
        <x:v>10909</x:v>
      </x:c>
      <x:c r="H147" s="24" t="n">
        <x:v>46118</x:v>
      </x:c>
      <x:c r="I147" s="24" t="n">
        <x:v>46234</x:v>
      </x:c>
      <x:c r="J147" s="24" t="str">
        <x:v>EXPIRADA</x:v>
      </x:c>
    </x:row>
    <x:row r="148">
      <x:c r="A148" s="24" t="n">
        <x:v>5</x:v>
      </x:c>
      <x:c r="B148" s="24" t="str">
        <x:v>Varilux XR Series</x:v>
      </x:c>
      <x:c r="C148" s="24" t="n">
        <x:v>283.8</x:v>
      </x:c>
      <x:c r="D148" s="24" t="n">
        <x:v>289.1</x:v>
      </x:c>
      <x:c r="E148" s="24" t="str">
        <x:v>Transitions Extractive 11.289,00 11.289,00</x:v>
      </x:c>
      <x:c r="F148" s="24" t="str">
        <x:v>6.659,00 8.179,00 7.829,00 7.889,00 8.239,00 8.509,00 9.089,00 9.439,00 10.959,00 10.609,00</x:v>
      </x:c>
      <x:c r="G148" s="24" t="n">
        <x:v>11019</x:v>
      </x:c>
      <x:c r="H148" s="24" t="n">
        <x:v>46118</x:v>
      </x:c>
      <x:c r="I148" s="24" t="n">
        <x:v>46234</x:v>
      </x:c>
      <x:c r="J148" s="24" t="str">
        <x:v>EXPIRADA</x:v>
      </x:c>
    </x:row>
    <x:row r="149">
      <x:c r="A149" s="24" t="n">
        <x:v>5</x:v>
      </x:c>
      <x:c r="B149" s="24" t="str">
        <x:v>Varilux XR Series</x:v>
      </x:c>
      <x:c r="C149" s="24" t="n">
        <x:v>283.8</x:v>
      </x:c>
      <x:c r="D149" s="24" t="n">
        <x:v>331.8</x:v>
      </x:c>
      <x:c r="E149" s="24" t="str">
        <x:v>Transitions Extractive 11.289,00 11.289,00 11.019,00</x:v>
      </x:c>
      <x:c r="F149" s="24" t="str">
        <x:v>8.069,00 7.889,00 8.239,00 8.129,00 9.089,00 9.439,00 9.329,00 10.959,00 10.609,00 10.849,00</x:v>
      </x:c>
      <x:c r="G149" s="24" t="n">
        <x:v>10669</x:v>
      </x:c>
      <x:c r="H149" s="24" t="n">
        <x:v>46118</x:v>
      </x:c>
      <x:c r="I149" s="24" t="n">
        <x:v>46234</x:v>
      </x:c>
      <x:c r="J149" s="24" t="str">
        <x:v>EXPIRADA</x:v>
      </x:c>
    </x:row>
    <x:row r="150">
      <x:c r="A150" s="24" t="n">
        <x:v>5</x:v>
      </x:c>
      <x:c r="B150" s="24" t="str">
        <x:v>Varilux XR Series</x:v>
      </x:c>
      <x:c r="C150" s="24" t="n">
        <x:v>388</x:v>
      </x:c>
      <x:c r="D150" s="24" t="n">
        <x:v>400.2</x:v>
      </x:c>
      <x:c r="E150" s="24" t="str">
        <x:v>Orma + Xperio cinza/marrom 6.839,00 6.819,00 6.179,00 Orma + Coloração padrão</x:v>
      </x:c>
      <x:c r="F150" s="24" t="str">
        <x:v>74 - 74 mandatória sem custo adicional: VERNIZ HC MARCAÇÃO</x:v>
      </x:c>
      <x:c r="G150" s="24" t="n">
        <x:v>5669</x:v>
      </x:c>
      <x:c r="H150" s="24" t="n">
        <x:v>46118</x:v>
      </x:c>
      <x:c r="I150" s="24" t="n">
        <x:v>46234</x:v>
      </x:c>
      <x:c r="J150" s="24" t="str">
        <x:v>EXPIRADA</x:v>
      </x:c>
    </x:row>
    <x:row r="151">
      <x:c r="A151" s="24" t="n">
        <x:v>5</x:v>
      </x:c>
      <x:c r="B151" s="24" t="str">
        <x:v>Varilux XR Series</x:v>
      </x:c>
      <x:c r="C151" s="24" t="n">
        <x:v>400.7</x:v>
      </x:c>
      <x:c r="D151" s="24" t="n">
        <x:v>400.4</x:v>
      </x:c>
      <x:c r="E151" s="24" t="str">
        <x:v>+ Coloração especial</x:v>
      </x:c>
      <x:c r="F151" s="24" t="str">
        <x:v>74 mandatória sem custo adicional: VERNIZ HC MARCAÇÃO 5.669,00 padrão</x:v>
      </x:c>
      <x:c r="G151" s="24" t="n">
        <x:v>5779</x:v>
      </x:c>
      <x:c r="H151" s="24" t="n">
        <x:v>46118</x:v>
      </x:c>
      <x:c r="I151" s="24" t="n">
        <x:v>46234</x:v>
      </x:c>
      <x:c r="J151" s="24" t="str">
        <x:v>EXPIRADA</x:v>
      </x:c>
    </x:row>
    <x:row r="152">
      <x:c r="A152" s="24" t="n">
        <x:v>5</x:v>
      </x:c>
      <x:c r="B152" s="24" t="str">
        <x:v>Varilux XR Series</x:v>
      </x:c>
      <x:c r="C152" s="24" t="n">
        <x:v>422.3</x:v>
      </x:c>
      <x:c r="D152" s="24" t="n">
        <x:v>171.8</x:v>
      </x:c>
      <x:c r="E152" s="24" t="str">
        <x:v>+ Xperio cinza/marrom</x:v>
      </x:c>
      <x:c r="F152" s="24" t="str">
        <x:v>custo adicional: CRIZAL SAPPHIRE HR OPTIFOG FACE INTERNA 6.839,00 6.819,00</x:v>
      </x:c>
      <x:c r="G152" s="24" t="n">
        <x:v>7259</x:v>
      </x:c>
      <x:c r="H152" s="24" t="n">
        <x:v>46118</x:v>
      </x:c>
      <x:c r="I152" s="24" t="n">
        <x:v>46234</x:v>
      </x:c>
      <x:c r="J152" s="24" t="str">
        <x:v>EXPIRADA</x:v>
      </x:c>
    </x:row>
    <x:row r="153">
      <x:c r="A153" s="24" t="n">
        <x:v>5</x:v>
      </x:c>
      <x:c r="B153" s="24" t="str">
        <x:v>Varilux XR Series</x:v>
      </x:c>
      <x:c r="C153" s="24" t="n">
        <x:v>422.3</x:v>
      </x:c>
      <x:c r="D153" s="24" t="n">
        <x:v>250.9</x:v>
      </x:c>
      <x:c r="E153" s="24" t="str">
        <x:v>+ Xperio cinza/marrom 7.259,00 7.239,00</x:v>
      </x:c>
      <x:c r="F153" s="24" t="str">
        <x:v>OPTIFOG VERNIZ HC Orma 6.819,00 6.179,00 +R$420</x:v>
      </x:c>
      <x:c r="G153" s="24" t="n">
        <x:v>6599</x:v>
      </x:c>
      <x:c r="H153" s="24" t="n">
        <x:v>46118</x:v>
      </x:c>
      <x:c r="I153" s="24" t="n">
        <x:v>46234</x:v>
      </x:c>
      <x:c r="J153" s="24" t="str">
        <x:v>EXPIRADA</x:v>
      </x:c>
    </x:row>
    <x:row r="154">
      <x:c r="A154" s="24" t="n">
        <x:v>5</x:v>
      </x:c>
      <x:c r="B154" s="24" t="str">
        <x:v>Varilux XR Series</x:v>
      </x:c>
      <x:c r="C154" s="24" t="n">
        <x:v>388.8</x:v>
      </x:c>
      <x:c r="D154" s="24" t="n">
        <x:v>251.4</x:v>
      </x:c>
      <x:c r="E154" s="24" t="str">
        <x:v>Orma + Xperio cinza/marrom 6.839,00 6.819,00</x:v>
      </x:c>
      <x:c r="F154" s="24" t="str">
        <x:v>- 11.579,00 13.099,00 - OPTIFOG VERNIZ HC</x:v>
      </x:c>
      <x:c r="G154" s="24" t="n">
        <x:v>6179</x:v>
      </x:c>
      <x:c r="H154" s="24" t="n">
        <x:v>46118</x:v>
      </x:c>
      <x:c r="I154" s="24" t="n">
        <x:v>46234</x:v>
      </x:c>
      <x:c r="J154" s="24" t="str">
        <x:v>EXPIRADA</x:v>
      </x:c>
    </x:row>
    <x:row r="155">
      <x:c r="A155" s="24" t="n">
        <x:v>5</x:v>
      </x:c>
      <x:c r="B155" s="24" t="str">
        <x:v>Varilux XR Series</x:v>
      </x:c>
      <x:c r="C155" s="24" t="n">
        <x:v>388.8</x:v>
      </x:c>
      <x:c r="D155" s="24" t="n">
        <x:v>172.3</x:v>
      </x:c>
      <x:c r="E155" s="24" t="str">
        <x:v>Orma + Xperio cinza/marrom</x:v>
      </x:c>
      <x:c r="F155" s="24" t="str">
        <x:v>+R$1.520 sem custo adicional: CRIZAL SAPPHIRE HR OPTIFOG FACE INTERNA</x:v>
      </x:c>
      <x:c r="G155" s="24" t="n">
        <x:v>6839</x:v>
      </x:c>
      <x:c r="H155" s="24" t="n">
        <x:v>46118</x:v>
      </x:c>
      <x:c r="I155" s="24" t="n">
        <x:v>46234</x:v>
      </x:c>
      <x:c r="J155" s="24" t="str">
        <x:v>EXPIRADA</x:v>
      </x:c>
    </x:row>
    <x:row r="156">
      <x:c r="A156" s="24" t="n">
        <x:v>5</x:v>
      </x:c>
      <x:c r="B156" s="24" t="str">
        <x:v>Varilux XR Series</x:v>
      </x:c>
      <x:c r="C156" s="24" t="n">
        <x:v>422.3</x:v>
      </x:c>
      <x:c r="D156" s="24" t="n">
        <x:v>215.8</x:v>
      </x:c>
      <x:c r="E156" s="24" t="str">
        <x:v>+ Xperio cinza/marrom 7.259,00</x:v>
      </x:c>
      <x:c r="F156" s="24" t="str">
        <x:v>SAPPHIRE HR OPTIFOG VERNIZ INTERNA 6.839,00 6.819,00 6.179,00</x:v>
      </x:c>
      <x:c r="G156" s="24" t="n">
        <x:v>7239</x:v>
      </x:c>
      <x:c r="H156" s="24" t="n">
        <x:v>46118</x:v>
      </x:c>
      <x:c r="I156" s="24" t="n">
        <x:v>46234</x:v>
      </x:c>
      <x:c r="J156" s="24" t="str">
        <x:v>EXPIRADA</x:v>
      </x:c>
    </x:row>
    <x:row r="157">
      <x:c r="A157" s="24" t="n">
        <x:v>5</x:v>
      </x:c>
      <x:c r="B157" s="24" t="str">
        <x:v>Varilux XR Series</x:v>
      </x:c>
      <x:c r="C157" s="24" t="n">
        <x:v>388.8</x:v>
      </x:c>
      <x:c r="D157" s="24" t="n">
        <x:v>215.4</x:v>
      </x:c>
      <x:c r="E157" s="24" t="str">
        <x:v>Orma + Xperio cinza/marrom 6.839,00</x:v>
      </x:c>
      <x:c r="F157" s="24" t="str">
        <x:v>- 11.579,00 - 13.099,00 SAPPHIRE HR OPTIFOG VERNIZ INTERNA</x:v>
      </x:c>
      <x:c r="G157" s="24" t="n">
        <x:v>6819</x:v>
      </x:c>
      <x:c r="H157" s="24" t="n">
        <x:v>46118</x:v>
      </x:c>
      <x:c r="I157" s="24" t="n">
        <x:v>46234</x:v>
      </x:c>
      <x:c r="J157" s="24" t="str">
        <x:v>EXPIRADA</x:v>
      </x:c>
    </x:row>
    <x:row r="158">
      <x:c r="A158" s="24" t="n">
        <x:v>5</x:v>
      </x:c>
      <x:c r="B158" s="24" t="str">
        <x:v>Varilux XR Series</x:v>
      </x:c>
      <x:c r="C158" s="24" t="n">
        <x:v>325.7</x:v>
      </x:c>
      <x:c r="D158" s="24" t="n">
        <x:v>239.5</x:v>
      </x:c>
      <x:c r="E158" s="24" t="str">
        <x:v>-</x:v>
      </x:c>
      <x:c r="F158" s="24" t="str">
        <x:v>9.709,00 9.709,00 11.229,00 11.229,00 11.289,00 11.289,00 - 11.579,00</x:v>
      </x:c>
      <x:c r="G158" s="24" t="n">
        <x:v>13099</x:v>
      </x:c>
      <x:c r="H158" s="24" t="n">
        <x:v>46118</x:v>
      </x:c>
      <x:c r="I158" s="24" t="n">
        <x:v>46234</x:v>
      </x:c>
      <x:c r="J158" s="24" t="str">
        <x:v>EXPIRADA</x:v>
      </x:c>
    </x:row>
    <x:row r="159">
      <x:c r="A159" s="24" t="n">
        <x:v>5</x:v>
      </x:c>
      <x:c r="B159" s="24" t="str">
        <x:v>Varilux XR Series</x:v>
      </x:c>
      <x:c r="C159" s="24" t="n">
        <x:v>434.6</x:v>
      </x:c>
      <x:c r="D159" s="24" t="n">
        <x:v>401.5</x:v>
      </x:c>
      <x:c r="E159" s="24" t="str">
        <x:v>+ Coloração padrão</x:v>
      </x:c>
      <x:c r="F159" s="24" t="str">
        <x:v>sem custo adicional: VERNIZ HC MARCAÇÃO 5.669,00 padrão 5.779,00 especial</x:v>
      </x:c>
      <x:c r="G159" s="24" t="n">
        <x:v>6089</x:v>
      </x:c>
      <x:c r="H159" s="24" t="n">
        <x:v>46118</x:v>
      </x:c>
      <x:c r="I159" s="24" t="n">
        <x:v>46234</x:v>
      </x:c>
      <x:c r="J159" s="24" t="str">
        <x:v>EXPIRADA</x:v>
      </x:c>
    </x:row>
    <x:row r="160">
      <x:c r="A160" s="24" t="n">
        <x:v>5</x:v>
      </x:c>
      <x:c r="B160" s="24" t="str">
        <x:v>Varilux XR Series</x:v>
      </x:c>
      <x:c r="C160" s="24" t="n">
        <x:v>447.2</x:v>
      </x:c>
      <x:c r="D160" s="24" t="n">
        <x:v>401.5</x:v>
      </x:c>
      <x:c r="E160" s="24" t="str">
        <x:v>+ Coloração especial</x:v>
      </x:c>
      <x:c r="F160" s="24" t="str">
        <x:v>VERNIZ HC MARCAÇÃO 5.669,00 padrão 5.779,00 especial 6.089,00 padrão</x:v>
      </x:c>
      <x:c r="G160" s="24" t="n">
        <x:v>6199</x:v>
      </x:c>
      <x:c r="H160" s="24" t="n">
        <x:v>46118</x:v>
      </x:c>
      <x:c r="I160" s="24" t="n">
        <x:v>46234</x:v>
      </x:c>
      <x:c r="J160" s="24" t="str">
        <x:v>EXPIRADA</x:v>
      </x:c>
    </x:row>
    <x:row r="161">
      <x:c r="A161" s="24" t="n">
        <x:v>5</x:v>
      </x:c>
      <x:c r="B161" s="24" t="str">
        <x:v>Varilux XR Series</x:v>
      </x:c>
      <x:c r="C161" s="24" t="n">
        <x:v>512.1</x:v>
      </x:c>
      <x:c r="D161" s="24" t="n">
        <x:v>198.6</x:v>
      </x:c>
      <x:c r="E161" s="24"/>
      <x:c r="F161" s="24" t="str">
        <x:v>7.259,00 7.239,00 adicional: CRIZAL PREVENCIA SAPPHIRE 5.869,00</x:v>
      </x:c>
      <x:c r="G161" s="24" t="n">
        <x:v>7389</x:v>
      </x:c>
      <x:c r="H161" s="24" t="n">
        <x:v>46118</x:v>
      </x:c>
      <x:c r="I161" s="24" t="n">
        <x:v>46234</x:v>
      </x:c>
      <x:c r="J161" s="24" t="str">
        <x:v>EXPIRADA</x:v>
      </x:c>
    </x:row>
    <x:row r="162">
      <x:c r="A162" s="24" t="n">
        <x:v>5</x:v>
      </x:c>
      <x:c r="B162" s="24" t="str">
        <x:v>Varilux XR Series</x:v>
      </x:c>
      <x:c r="C162" s="24" t="n">
        <x:v>512.1</x:v>
      </x:c>
      <x:c r="D162" s="24" t="n">
        <x:v>377.7</x:v>
      </x:c>
      <x:c r="E162" s="24" t="str">
        <x:v>7.389,00 7.389,00 7.119,00 6.769,00</x:v>
      </x:c>
      <x:c r="F162" s="24" t="str">
        <x:v>6.089,00 Coloração padrão 6.199,00 Coloração especial CRIZAL OPTIFOG PRO 5.489,00</x:v>
      </x:c>
      <x:c r="G162" s="24" t="n">
        <x:v>7009</x:v>
      </x:c>
      <x:c r="H162" s="24" t="n">
        <x:v>46118</x:v>
      </x:c>
      <x:c r="I162" s="24" t="n">
        <x:v>46234</x:v>
      </x:c>
      <x:c r="J162" s="24" t="str">
        <x:v>EXPIRADA</x:v>
      </x:c>
    </x:row>
    <x:row r="163">
      <x:c r="A163" s="24" t="n">
        <x:v>5</x:v>
      </x:c>
      <x:c r="B163" s="24" t="str">
        <x:v>Varilux XR Series</x:v>
      </x:c>
      <x:c r="C163" s="24" t="n">
        <x:v>498.5</x:v>
      </x:c>
      <x:c r="D163" s="24" t="n">
        <x:v>198.7</x:v>
      </x:c>
      <x:c r="E163" s="24" t="str">
        <x:v>Orma</x:v>
      </x:c>
      <x:c r="F163" s="24" t="str">
        <x:v>7.259,00 7.239,00 adicional: CRIZAL PREVENCIA SAPPHIRE</x:v>
      </x:c>
      <x:c r="G163" s="24" t="n">
        <x:v>5869</x:v>
      </x:c>
      <x:c r="H163" s="24" t="n">
        <x:v>46118</x:v>
      </x:c>
      <x:c r="I163" s="24" t="n">
        <x:v>46234</x:v>
      </x:c>
      <x:c r="J163" s="24" t="str">
        <x:v>EXPIRADA</x:v>
      </x:c>
    </x:row>
    <x:row r="164">
      <x:c r="A164" s="24" t="n">
        <x:v>5</x:v>
      </x:c>
      <x:c r="B164" s="24" t="str">
        <x:v>Varilux XR Series</x:v>
      </x:c>
      <x:c r="C164" s="24" t="n">
        <x:v>498.5</x:v>
      </x:c>
      <x:c r="D164" s="24" t="n">
        <x:v>377.5</x:v>
      </x:c>
      <x:c r="E164" s="24" t="str">
        <x:v>Orma 5.869,00 5.869,00 5.599,00 5.249,00</x:v>
      </x:c>
      <x:c r="F164" s="24" t="str">
        <x:v>6.089,00 Coloração padrão 6.199,00 Coloração especial CRIZAL OPTIFOG PRO</x:v>
      </x:c>
      <x:c r="G164" s="24" t="n">
        <x:v>5489</x:v>
      </x:c>
      <x:c r="H164" s="24" t="n">
        <x:v>46118</x:v>
      </x:c>
      <x:c r="I164" s="24" t="n">
        <x:v>46234</x:v>
      </x:c>
      <x:c r="J164" s="24" t="str">
        <x:v>EXPIRADA</x:v>
      </x:c>
    </x:row>
    <x:row r="165">
      <x:c r="A165" s="24" t="n">
        <x:v>5</x:v>
      </x:c>
      <x:c r="B165" s="24" t="str">
        <x:v>Varilux XR Series</x:v>
      </x:c>
      <x:c r="C165" s="24" t="n">
        <x:v>565.7</x:v>
      </x:c>
      <x:c r="D165" s="24" t="n">
        <x:v>197.5</x:v>
      </x:c>
      <x:c r="E165" s="24" t="str">
        <x:v>+ Transitions Gen S</x:v>
      </x:c>
      <x:c r="F165" s="24" t="str">
        <x:v>CRIZAL PREVENCIA SAPPHIRE 5.869,00 7.389,00 +R$1.520 7.449,00 +R$1.580 6.289,00</x:v>
      </x:c>
      <x:c r="G165" s="24" t="n">
        <x:v>7809</x:v>
      </x:c>
      <x:c r="H165" s="24" t="n">
        <x:v>46118</x:v>
      </x:c>
      <x:c r="I165" s="24" t="n">
        <x:v>46234</x:v>
      </x:c>
      <x:c r="J165" s="24" t="str">
        <x:v>EXPIRADA</x:v>
      </x:c>
    </x:row>
    <x:row r="166">
      <x:c r="A166" s="24" t="n">
        <x:v>5</x:v>
      </x:c>
      <x:c r="B166" s="24" t="str">
        <x:v>Varilux XR Series</x:v>
      </x:c>
      <x:c r="C166" s="24" t="n">
        <x:v>565.7</x:v>
      </x:c>
      <x:c r="D166" s="24" t="n">
        <x:v>378.4</x:v>
      </x:c>
      <x:c r="E166" s="24" t="str">
        <x:v>+ Transitions Gen S 7.809,00 7.809,00 7.539,00 7.189,00</x:v>
      </x:c>
      <x:c r="F166" s="24" t="str">
        <x:v>CRIZAL OPTIFOG PRO 5.489,00 7.009,00 7.069,00 5.909,00</x:v>
      </x:c>
      <x:c r="G166" s="24" t="n">
        <x:v>7429</x:v>
      </x:c>
      <x:c r="H166" s="24" t="n">
        <x:v>46118</x:v>
      </x:c>
      <x:c r="I166" s="24" t="n">
        <x:v>46234</x:v>
      </x:c>
      <x:c r="J166" s="24" t="str">
        <x:v>EXPIRADA</x:v>
      </x:c>
    </x:row>
    <x:row r="167">
      <x:c r="A167" s="24" t="n">
        <x:v>5</x:v>
      </x:c>
      <x:c r="B167" s="24" t="str">
        <x:v>Varilux XR Series</x:v>
      </x:c>
      <x:c r="C167" s="24" t="n">
        <x:v>551.1</x:v>
      </x:c>
      <x:c r="D167" s="24" t="n">
        <x:v>197.7</x:v>
      </x:c>
      <x:c r="E167" s="24" t="str">
        <x:v>Airwear</x:v>
      </x:c>
      <x:c r="F167" s="24" t="str">
        <x:v>CRIZAL PREVENCIA SAPPHIRE 5.869,00 7.389,00 +R$1.520 7.449,00 +R$1.580</x:v>
      </x:c>
      <x:c r="G167" s="24" t="n">
        <x:v>6289</x:v>
      </x:c>
      <x:c r="H167" s="24" t="n">
        <x:v>46118</x:v>
      </x:c>
      <x:c r="I167" s="24" t="n">
        <x:v>46234</x:v>
      </x:c>
      <x:c r="J167" s="24" t="str">
        <x:v>EXPIRADA</x:v>
      </x:c>
    </x:row>
    <x:row r="168">
      <x:c r="A168" s="24" t="n">
        <x:v>5</x:v>
      </x:c>
      <x:c r="B168" s="24" t="str">
        <x:v>Varilux XR Series</x:v>
      </x:c>
      <x:c r="C168" s="24" t="n">
        <x:v>551.1</x:v>
      </x:c>
      <x:c r="D168" s="24" t="n">
        <x:v>378.3</x:v>
      </x:c>
      <x:c r="E168" s="24" t="str">
        <x:v>Airwear 6.289,00 6.289,00 6.019,00 5.669,00</x:v>
      </x:c>
      <x:c r="F168" s="24" t="str">
        <x:v>CRIZAL OPTIFOG PRO 5.489,00 7.009,00 7.069,00</x:v>
      </x:c>
      <x:c r="G168" s="24" t="n">
        <x:v>5909</x:v>
      </x:c>
      <x:c r="H168" s="24" t="n">
        <x:v>46118</x:v>
      </x:c>
      <x:c r="I168" s="24" t="n">
        <x:v>46234</x:v>
      </x:c>
      <x:c r="J168" s="24" t="str">
        <x:v>EXPIRADA</x:v>
      </x:c>
    </x:row>
    <x:row r="169">
      <x:c r="A169" s="24" t="n">
        <x:v>5</x:v>
      </x:c>
      <x:c r="B169" s="24" t="str">
        <x:v>Varilux XR Series</x:v>
      </x:c>
      <x:c r="C169" s="24" t="n">
        <x:v>623</x:v>
      </x:c>
      <x:c r="D169" s="24" t="n">
        <x:v>196.3</x:v>
      </x:c>
      <x:c r="E169" s="24"/>
      <x:c r="F169" s="24" t="str">
        <x:v>+R$1.580 6.289,00 7.809,00 +R$1.520 7.869,00 +R$1.580 9.069,00</x:v>
      </x:c>
      <x:c r="G169" s="24" t="n">
        <x:v>10589</x:v>
      </x:c>
      <x:c r="H169" s="24" t="n">
        <x:v>46118</x:v>
      </x:c>
      <x:c r="I169" s="24" t="n">
        <x:v>46234</x:v>
      </x:c>
      <x:c r="J169" s="24" t="str">
        <x:v>EXPIRADA</x:v>
      </x:c>
    </x:row>
    <x:row r="170">
      <x:c r="A170" s="24" t="n">
        <x:v>5</x:v>
      </x:c>
      <x:c r="B170" s="24" t="str">
        <x:v>Varilux XR Series</x:v>
      </x:c>
      <x:c r="C170" s="24" t="n">
        <x:v>623</x:v>
      </x:c>
      <x:c r="D170" s="24" t="n">
        <x:v>376.3</x:v>
      </x:c>
      <x:c r="E170" s="24" t="str">
        <x:v>10.589,00 10.589,00 10.319,00 9.969,00</x:v>
      </x:c>
      <x:c r="F170" s="24" t="str">
        <x:v>5.909,00 5.669,00 7.429,00 7.189,00 7.249,00 7.489,00 8.689,00</x:v>
      </x:c>
      <x:c r="G170" s="24" t="n">
        <x:v>10209</x:v>
      </x:c>
      <x:c r="H170" s="24" t="n">
        <x:v>46118</x:v>
      </x:c>
      <x:c r="I170" s="24" t="n">
        <x:v>46234</x:v>
      </x:c>
      <x:c r="J170" s="24" t="str">
        <x:v>EXPIRADA</x:v>
      </x:c>
    </x:row>
    <x:row r="171">
      <x:c r="A171" s="24" t="n">
        <x:v>5</x:v>
      </x:c>
      <x:c r="B171" s="24" t="str">
        <x:v>Varilux XR Series</x:v>
      </x:c>
      <x:c r="C171" s="24" t="n">
        <x:v>608.4</x:v>
      </x:c>
      <x:c r="D171" s="24" t="n">
        <x:v>198.6</x:v>
      </x:c>
      <x:c r="E171" s="24" t="str">
        <x:v>Stylis 1.67</x:v>
      </x:c>
      <x:c r="F171" s="24" t="str">
        <x:v>+R$1.520 7.449,00 +R$1.580 6.289,00 7.809,00 +R$1.520 7.869,00 +R$1.580</x:v>
      </x:c>
      <x:c r="G171" s="24" t="n">
        <x:v>9069</x:v>
      </x:c>
      <x:c r="H171" s="24" t="n">
        <x:v>46118</x:v>
      </x:c>
      <x:c r="I171" s="24" t="n">
        <x:v>46234</x:v>
      </x:c>
      <x:c r="J171" s="24" t="str">
        <x:v>EXPIRADA</x:v>
      </x:c>
    </x:row>
    <x:row r="172">
      <x:c r="A172" s="24" t="n">
        <x:v>5</x:v>
      </x:c>
      <x:c r="B172" s="24" t="str">
        <x:v>Varilux XR Series</x:v>
      </x:c>
      <x:c r="C172" s="24" t="n">
        <x:v>512.1</x:v>
      </x:c>
      <x:c r="D172" s="24" t="n">
        <x:v>245.2</x:v>
      </x:c>
      <x:c r="E172" s="24" t="str">
        <x:v>7.389,00</x:v>
      </x:c>
      <x:c r="F172" s="24" t="str">
        <x:v>7.239,00 6.599,00 CRIZAL CRIZAL ROCK SAPPHIRE HR 5.869,00 5.599,00</x:v>
      </x:c>
      <x:c r="G172" s="24" t="n">
        <x:v>7389</x:v>
      </x:c>
      <x:c r="H172" s="24" t="n">
        <x:v>46118</x:v>
      </x:c>
      <x:c r="I172" s="24" t="n">
        <x:v>46234</x:v>
      </x:c>
      <x:c r="J172" s="24" t="str">
        <x:v>EXPIRADA</x:v>
      </x:c>
    </x:row>
    <x:row r="173">
      <x:c r="A173" s="24" t="n">
        <x:v>5</x:v>
      </x:c>
      <x:c r="B173" s="24" t="str">
        <x:v>Varilux XR Series</x:v>
      </x:c>
      <x:c r="C173" s="24" t="n">
        <x:v>498.5</x:v>
      </x:c>
      <x:c r="D173" s="24" t="n">
        <x:v>245.1</x:v>
      </x:c>
      <x:c r="E173" s="24" t="str">
        <x:v>Orma 5.869,00</x:v>
      </x:c>
      <x:c r="F173" s="24" t="str">
        <x:v>7.239,00 6.599,00 CRIZAL CRIZAL ROCK SAPPHIRE HR</x:v>
      </x:c>
      <x:c r="G173" s="24" t="n">
        <x:v>5869</x:v>
      </x:c>
      <x:c r="H173" s="24" t="n">
        <x:v>46118</x:v>
      </x:c>
      <x:c r="I173" s="24" t="n">
        <x:v>46234</x:v>
      </x:c>
      <x:c r="J173" s="24" t="str">
        <x:v>EXPIRADA</x:v>
      </x:c>
    </x:row>
    <x:row r="174">
      <x:c r="A174" s="24" t="n">
        <x:v>5</x:v>
      </x:c>
      <x:c r="B174" s="24" t="str">
        <x:v>Varilux XR Series</x:v>
      </x:c>
      <x:c r="C174" s="24" t="n">
        <x:v>565.7</x:v>
      </x:c>
      <x:c r="D174" s="24" t="n">
        <x:v>245.1</x:v>
      </x:c>
      <x:c r="E174" s="24" t="str">
        <x:v>+ Transitions Gen S 7.809,00</x:v>
      </x:c>
      <x:c r="F174" s="24" t="str">
        <x:v>SAPPHIRE HR 5.869,00 5.599,00 7.389,00 7.119,00 7.449,00 7.179,00 6.289,00 6.019,00</x:v>
      </x:c>
      <x:c r="G174" s="24" t="n">
        <x:v>7809</x:v>
      </x:c>
      <x:c r="H174" s="24" t="n">
        <x:v>46118</x:v>
      </x:c>
      <x:c r="I174" s="24" t="n">
        <x:v>46234</x:v>
      </x:c>
      <x:c r="J174" s="24" t="str">
        <x:v>EXPIRADA</x:v>
      </x:c>
    </x:row>
    <x:row r="175">
      <x:c r="A175" s="24" t="n">
        <x:v>5</x:v>
      </x:c>
      <x:c r="B175" s="24" t="str">
        <x:v>Varilux XR Series</x:v>
      </x:c>
      <x:c r="C175" s="24" t="n">
        <x:v>551.1</x:v>
      </x:c>
      <x:c r="D175" s="24" t="n">
        <x:v>244.3</x:v>
      </x:c>
      <x:c r="E175" s="24" t="str">
        <x:v>Airwear 6.289,00</x:v>
      </x:c>
      <x:c r="F175" s="24" t="str">
        <x:v>CRIZAL PREVENCIA SAPPHIRE HR 5.869,00 7.389,00 7.449,00</x:v>
      </x:c>
      <x:c r="G175" s="24" t="n">
        <x:v>6289</x:v>
      </x:c>
      <x:c r="H175" s="24" t="n">
        <x:v>46118</x:v>
      </x:c>
      <x:c r="I175" s="24" t="n">
        <x:v>46234</x:v>
      </x:c>
      <x:c r="J175" s="24" t="str">
        <x:v>EXPIRADA</x:v>
      </x:c>
    </x:row>
    <x:row r="176">
      <x:c r="A176" s="24" t="n">
        <x:v>5</x:v>
      </x:c>
      <x:c r="B176" s="24" t="str">
        <x:v>Varilux XR Series</x:v>
      </x:c>
      <x:c r="C176" s="24" t="n">
        <x:v>623</x:v>
      </x:c>
      <x:c r="D176" s="24" t="n">
        <x:v>242.9</x:v>
      </x:c>
      <x:c r="E176" s="24" t="str">
        <x:v>10.589,00</x:v>
      </x:c>
      <x:c r="F176" s="24" t="str">
        <x:v>6.289,00 7.809,00 7.539,00 7.599,00 7.869,00 8.799,00 9.069,00</x:v>
      </x:c>
      <x:c r="G176" s="24" t="n">
        <x:v>10589</x:v>
      </x:c>
      <x:c r="H176" s="24" t="n">
        <x:v>46118</x:v>
      </x:c>
      <x:c r="I176" s="24" t="n">
        <x:v>46234</x:v>
      </x:c>
      <x:c r="J176" s="24" t="str">
        <x:v>EXPIRADA</x:v>
      </x:c>
    </x:row>
    <x:row r="177">
      <x:c r="A177" s="24" t="n">
        <x:v>5</x:v>
      </x:c>
      <x:c r="B177" s="24" t="str">
        <x:v>Varilux XR Series</x:v>
      </x:c>
      <x:c r="C177" s="24" t="n">
        <x:v>608.5</x:v>
      </x:c>
      <x:c r="D177" s="24" t="n">
        <x:v>245.2</x:v>
      </x:c>
      <x:c r="E177" s="24" t="str">
        <x:v>Stylis 1.67 9.069,00</x:v>
      </x:c>
      <x:c r="F177" s="24" t="str">
        <x:v>7.449,00 7.179,00 6.289,00 6.019,00 7.809,00 7.539,00 7.599,00 7.869,00</x:v>
      </x:c>
      <x:c r="G177" s="24" t="n">
        <x:v>9069</x:v>
      </x:c>
      <x:c r="H177" s="24" t="n">
        <x:v>46118</x:v>
      </x:c>
      <x:c r="I177" s="24" t="n">
        <x:v>46234</x:v>
      </x:c>
      <x:c r="J177" s="24" t="str">
        <x:v>EXPIRADA</x:v>
      </x:c>
    </x:row>
    <x:row r="178">
      <x:c r="A178" s="24" t="n">
        <x:v>5</x:v>
      </x:c>
      <x:c r="B178" s="24" t="str">
        <x:v>Varilux XR Series</x:v>
      </x:c>
      <x:c r="C178" s="24" t="n">
        <x:v>608.5</x:v>
      </x:c>
      <x:c r="D178" s="24" t="n">
        <x:v>377.6</x:v>
      </x:c>
      <x:c r="E178" s="24" t="str">
        <x:v>Stylis 1.67 9.069,00 9.069,00 8.799,00 8.449,00</x:v>
      </x:c>
      <x:c r="F178" s="24" t="str">
        <x:v>7.069,00 5.909,00 7.429,00 7.189,00 7.489,00</x:v>
      </x:c>
      <x:c r="G178" s="24" t="n">
        <x:v>8689</x:v>
      </x:c>
      <x:c r="H178" s="24" t="n">
        <x:v>46118</x:v>
      </x:c>
      <x:c r="I178" s="24" t="n">
        <x:v>46234</x:v>
      </x:c>
      <x:c r="J178" s="24" t="str">
        <x:v>EXPIRADA</x:v>
      </x:c>
    </x:row>
    <x:row r="179">
      <x:c r="A179" s="24" t="n">
        <x:v>5</x:v>
      </x:c>
      <x:c r="B179" s="24" t="str">
        <x:v>Varilux XR Series</x:v>
      </x:c>
      <x:c r="C179" s="24" t="n">
        <x:v>664.1</x:v>
      </x:c>
      <x:c r="D179" s="24" t="n">
        <x:v>241.9</x:v>
      </x:c>
      <x:c r="E179" s="24" t="str">
        <x:v>Stylis 1.74 -</x:v>
      </x:c>
      <x:c r="F179" s="24" t="str">
        <x:v>7.869,00 9.069,00 9.069,00 10.589,00 10.379,00 10.649,00 10.649,00</x:v>
      </x:c>
      <x:c r="G179" s="24" t="n">
        <x:v>10939</x:v>
      </x:c>
      <x:c r="H179" s="24" t="n">
        <x:v>46118</x:v>
      </x:c>
      <x:c r="I179" s="24" t="n">
        <x:v>46234</x:v>
      </x:c>
      <x:c r="J179" s="24" t="str">
        <x:v>EXPIRADA</x:v>
      </x:c>
    </x:row>
    <x:row r="180">
      <x:c r="A180" s="24" t="n">
        <x:v>5</x:v>
      </x:c>
      <x:c r="B180" s="24" t="str">
        <x:v>Varilux XR Series</x:v>
      </x:c>
      <x:c r="C180" s="24" t="n">
        <x:v>678.1</x:v>
      </x:c>
      <x:c r="D180" s="24" t="n">
        <x:v>242.8</x:v>
      </x:c>
      <x:c r="E180" s="24" t="str">
        <x:v>Transitions Gen S -</x:v>
      </x:c>
      <x:c r="F180" s="24" t="str">
        <x:v>9.069,00 10.589,00 10.319,00 10.379,00 10.649,00 - 10.939,00</x:v>
      </x:c>
      <x:c r="G180" s="24" t="n">
        <x:v>12459</x:v>
      </x:c>
      <x:c r="H180" s="24" t="n">
        <x:v>46118</x:v>
      </x:c>
      <x:c r="I180" s="24" t="n">
        <x:v>46234</x:v>
      </x:c>
      <x:c r="J180" s="24" t="str">
        <x:v>EXPIRADA</x:v>
      </x:c>
    </x:row>
    <x:row r="181">
      <x:c r="A181" s="24" t="n">
        <x:v>5</x:v>
      </x:c>
      <x:c r="B181" s="24" t="str">
        <x:v>Varilux XR Series</x:v>
      </x:c>
      <x:c r="C181" s="24" t="n">
        <x:v>744.8</x:v>
      </x:c>
      <x:c r="D181" s="24" t="n">
        <x:v>400.8</x:v>
      </x:c>
      <x:c r="E181" s="24" t="str">
        <x:v>Orma + Xperio cinza/marrom 6.199,00 6.179,00 5.539,00 Orma + Coloração padrão</x:v>
      </x:c>
      <x:c r="F181" s="24" t="str">
        <x:v>- 74 opcional sem custo adicional: Eyecode VERNIZ HC MARCAÇÃO</x:v>
      </x:c>
      <x:c r="G181" s="24" t="n">
        <x:v>5029</x:v>
      </x:c>
      <x:c r="H181" s="24" t="n">
        <x:v>46118</x:v>
      </x:c>
      <x:c r="I181" s="24" t="n">
        <x:v>46234</x:v>
      </x:c>
      <x:c r="J181" s="24" t="str">
        <x:v>EXPIRADA</x:v>
      </x:c>
    </x:row>
    <x:row r="182">
      <x:c r="A182" s="24" t="n">
        <x:v>5</x:v>
      </x:c>
      <x:c r="B182" s="24" t="str">
        <x:v>Varilux XR Series</x:v>
      </x:c>
      <x:c r="C182" s="24" t="n">
        <x:v>757.4</x:v>
      </x:c>
      <x:c r="D182" s="24" t="n">
        <x:v>402.4</x:v>
      </x:c>
      <x:c r="E182" s="24" t="str">
        <x:v>+ Coloração especial</x:v>
      </x:c>
      <x:c r="F182" s="24" t="str">
        <x:v>opcional sem custo adicional: Eyecode VERNIZ HC MARCAÇÃO 5.029,00 padrão</x:v>
      </x:c>
      <x:c r="G182" s="24" t="n">
        <x:v>5139</x:v>
      </x:c>
      <x:c r="H182" s="24" t="n">
        <x:v>46118</x:v>
      </x:c>
      <x:c r="I182" s="24" t="n">
        <x:v>46234</x:v>
      </x:c>
      <x:c r="J182" s="24" t="str">
        <x:v>EXPIRADA</x:v>
      </x:c>
    </x:row>
    <x:row r="183">
      <x:c r="A183" s="24" t="n">
        <x:v>5</x:v>
      </x:c>
      <x:c r="B183" s="24" t="str">
        <x:v>Varilux XR Series</x:v>
      </x:c>
      <x:c r="C183" s="24" t="n">
        <x:v>779</x:v>
      </x:c>
      <x:c r="D183" s="24" t="n">
        <x:v>171.8</x:v>
      </x:c>
      <x:c r="E183" s="24" t="str">
        <x:v>+ Xperio cinza/marrom</x:v>
      </x:c>
      <x:c r="F183" s="24" t="str">
        <x:v>adicional: CRIZAL SAPPHIRE HR OPTIFOG FACE INTERNA 6.199,00 6.179,00 cinza/marrom</x:v>
      </x:c>
      <x:c r="G183" s="24" t="n">
        <x:v>6619</x:v>
      </x:c>
      <x:c r="H183" s="24" t="n">
        <x:v>46118</x:v>
      </x:c>
      <x:c r="I183" s="24" t="n">
        <x:v>46234</x:v>
      </x:c>
      <x:c r="J183" s="24" t="str">
        <x:v>EXPIRADA</x:v>
      </x:c>
    </x:row>
    <x:row r="184">
      <x:c r="A184" s="24" t="n">
        <x:v>5</x:v>
      </x:c>
      <x:c r="B184" s="24" t="str">
        <x:v>Varilux XR Series</x:v>
      </x:c>
      <x:c r="C184" s="24" t="n">
        <x:v>779</x:v>
      </x:c>
      <x:c r="D184" s="24" t="n">
        <x:v>251.9</x:v>
      </x:c>
      <x:c r="E184" s="24" t="str">
        <x:v>+ Xperio cinza/marrom 6.619,00 6.599,00</x:v>
      </x:c>
      <x:c r="F184" s="24" t="str">
        <x:v>OPTIFOG VERNIZ HC Orma 6.179,00 5.539,00 +R$420</x:v>
      </x:c>
      <x:c r="G184" s="24" t="n">
        <x:v>5959</x:v>
      </x:c>
      <x:c r="H184" s="24" t="n">
        <x:v>46118</x:v>
      </x:c>
      <x:c r="I184" s="24" t="n">
        <x:v>46234</x:v>
      </x:c>
      <x:c r="J184" s="24" t="str">
        <x:v>EXPIRADA</x:v>
      </x:c>
    </x:row>
    <x:row r="185">
      <x:c r="A185" s="24" t="n">
        <x:v>5</x:v>
      </x:c>
      <x:c r="B185" s="24" t="str">
        <x:v>Varilux XR Series</x:v>
      </x:c>
      <x:c r="C185" s="24" t="n">
        <x:v>745.5</x:v>
      </x:c>
      <x:c r="D185" s="24" t="n">
        <x:v>251.4</x:v>
      </x:c>
      <x:c r="E185" s="24" t="str">
        <x:v>Orma + Xperio cinza/marrom 6.199,00 6.179,00</x:v>
      </x:c>
      <x:c r="F185" s="24" t="str">
        <x:v>10.939,00 - 12.459,00 - OPTIFOG VERNIZ HC</x:v>
      </x:c>
      <x:c r="G185" s="24" t="n">
        <x:v>5539</x:v>
      </x:c>
      <x:c r="H185" s="24" t="n">
        <x:v>46118</x:v>
      </x:c>
      <x:c r="I185" s="24" t="n">
        <x:v>46234</x:v>
      </x:c>
      <x:c r="J185" s="24" t="str">
        <x:v>EXPIRADA</x:v>
      </x:c>
    </x:row>
    <x:row r="186">
      <x:c r="A186" s="24" t="n">
        <x:v>5</x:v>
      </x:c>
      <x:c r="B186" s="24" t="str">
        <x:v>Varilux XR Series</x:v>
      </x:c>
      <x:c r="C186" s="24" t="n">
        <x:v>745.5</x:v>
      </x:c>
      <x:c r="D186" s="24" t="n">
        <x:v>171.3</x:v>
      </x:c>
      <x:c r="E186" s="24" t="str">
        <x:v>Orma + Xperio cinza/marrom</x:v>
      </x:c>
      <x:c r="F186" s="24" t="str">
        <x:v>+R$1.520 sem custo adicional: CRIZAL SAPPHIRE HR OPTIFOG FACE INTERNA</x:v>
      </x:c>
      <x:c r="G186" s="24" t="n">
        <x:v>6199</x:v>
      </x:c>
      <x:c r="H186" s="24" t="n">
        <x:v>46118</x:v>
      </x:c>
      <x:c r="I186" s="24" t="n">
        <x:v>46234</x:v>
      </x:c>
      <x:c r="J186" s="24" t="str">
        <x:v>EXPIRADA</x:v>
      </x:c>
    </x:row>
    <x:row r="187">
      <x:c r="A187" s="24" t="n">
        <x:v>5</x:v>
      </x:c>
      <x:c r="B187" s="24" t="str">
        <x:v>Varilux XR Series</x:v>
      </x:c>
      <x:c r="C187" s="24" t="n">
        <x:v>779</x:v>
      </x:c>
      <x:c r="D187" s="24" t="n">
        <x:v>214.8</x:v>
      </x:c>
      <x:c r="E187" s="24" t="str">
        <x:v>+ Xperio cinza/marrom 6.619,00</x:v>
      </x:c>
      <x:c r="F187" s="24" t="str">
        <x:v>SAPPHIRE HR OPTIFOG VERNIZ INTERNA 6.199,00 6.179,00 5.539,00</x:v>
      </x:c>
      <x:c r="G187" s="24" t="n">
        <x:v>6599</x:v>
      </x:c>
      <x:c r="H187" s="24" t="n">
        <x:v>46118</x:v>
      </x:c>
      <x:c r="I187" s="24" t="n">
        <x:v>46234</x:v>
      </x:c>
      <x:c r="J187" s="24" t="str">
        <x:v>EXPIRADA</x:v>
      </x:c>
    </x:row>
    <x:row r="188">
      <x:c r="A188" s="24" t="n">
        <x:v>5</x:v>
      </x:c>
      <x:c r="B188" s="24" t="str">
        <x:v>Varilux XR Series</x:v>
      </x:c>
      <x:c r="C188" s="24" t="n">
        <x:v>745.5</x:v>
      </x:c>
      <x:c r="D188" s="24" t="n">
        <x:v>214.4</x:v>
      </x:c>
      <x:c r="E188" s="24" t="str">
        <x:v>Orma + Xperio cinza/marrom 6.199,00</x:v>
      </x:c>
      <x:c r="F188" s="24" t="str">
        <x:v>- 10.939,00 12.459,00 - SAPPHIRE HR OPTIFOG VERNIZ INTERNA</x:v>
      </x:c>
      <x:c r="G188" s="24" t="n">
        <x:v>6179</x:v>
      </x:c>
      <x:c r="H188" s="24" t="n">
        <x:v>46118</x:v>
      </x:c>
      <x:c r="I188" s="24" t="n">
        <x:v>46234</x:v>
      </x:c>
      <x:c r="J188" s="24" t="str">
        <x:v>EXPIRADA</x:v>
      </x:c>
    </x:row>
    <x:row r="189">
      <x:c r="A189" s="24" t="n">
        <x:v>5</x:v>
      </x:c>
      <x:c r="B189" s="24" t="str">
        <x:v>Varilux XR Series</x:v>
      </x:c>
      <x:c r="C189" s="24" t="n">
        <x:v>581.4</x:v>
      </x:c>
      <x:c r="D189" s="24" t="n">
        <x:v>197.6</x:v>
      </x:c>
      <x:c r="E189" s="24" t="str">
        <x:v>Transitions Extractive</x:v>
      </x:c>
      <x:c r="F189" s="24" t="str">
        <x:v>5.869,00 7.389,00 +R$1.520 7.449,00 +R$1.580 6.289,00 7.809,00 +R$1.520</x:v>
      </x:c>
      <x:c r="G189" s="24" t="n">
        <x:v>7869</x:v>
      </x:c>
      <x:c r="H189" s="24" t="n">
        <x:v>46118</x:v>
      </x:c>
      <x:c r="I189" s="24" t="n">
        <x:v>46234</x:v>
      </x:c>
      <x:c r="J189" s="24" t="str">
        <x:v>EXPIRADA</x:v>
      </x:c>
    </x:row>
    <x:row r="190">
      <x:c r="A190" s="24" t="n">
        <x:v>5</x:v>
      </x:c>
      <x:c r="B190" s="24" t="str">
        <x:v>Varilux XR Series</x:v>
      </x:c>
      <x:c r="C190" s="24" t="n">
        <x:v>581.4</x:v>
      </x:c>
      <x:c r="D190" s="24" t="n">
        <x:v>378.3</x:v>
      </x:c>
      <x:c r="E190" s="24" t="str">
        <x:v>Transitions Extractive 7.869,00 7.869,00 7.599,00 7.249,00</x:v>
      </x:c>
      <x:c r="F190" s="24" t="str">
        <x:v>5.489,00 7.009,00 7.069,00 5.909,00 7.429,00</x:v>
      </x:c>
      <x:c r="G190" s="24" t="n">
        <x:v>7489</x:v>
      </x:c>
      <x:c r="H190" s="24" t="n">
        <x:v>46118</x:v>
      </x:c>
      <x:c r="I190" s="24" t="n">
        <x:v>46234</x:v>
      </x:c>
      <x:c r="J190" s="24" t="str">
        <x:v>EXPIRADA</x:v>
      </x:c>
    </x:row>
    <x:row r="191">
      <x:c r="A191" s="24" t="n">
        <x:v>5</x:v>
      </x:c>
      <x:c r="B191" s="24" t="str">
        <x:v>Varilux XR Series</x:v>
      </x:c>
      <x:c r="C191" s="24" t="n">
        <x:v>581.4</x:v>
      </x:c>
      <x:c r="D191" s="24" t="n">
        <x:v>244.2</x:v>
      </x:c>
      <x:c r="E191" s="24" t="str">
        <x:v>Transitions Extractive 7.869,00</x:v>
      </x:c>
      <x:c r="F191" s="24" t="str">
        <x:v>5.869,00 5.599,00 7.389,00 7.449,00 6.289,00 6.019,00 7.809,00 7.539,00</x:v>
      </x:c>
      <x:c r="G191" s="24" t="n">
        <x:v>7869</x:v>
      </x:c>
      <x:c r="H191" s="24" t="n">
        <x:v>46118</x:v>
      </x:c>
      <x:c r="I191" s="24" t="n">
        <x:v>46234</x:v>
      </x:c>
      <x:c r="J191" s="24" t="str">
        <x:v>EXPIRADA</x:v>
      </x:c>
    </x:row>
    <x:row r="192">
      <x:c r="A192" s="24" t="n">
        <x:v>5</x:v>
      </x:c>
      <x:c r="B192" s="24" t="str">
        <x:v>Varilux XR Series</x:v>
      </x:c>
      <x:c r="C192" s="24" t="n">
        <x:v>637</x:v>
      </x:c>
      <x:c r="D192" s="24" t="n">
        <x:v>197</x:v>
      </x:c>
      <x:c r="E192" s="24" t="str">
        <x:v>Transitions Extractive</x:v>
      </x:c>
      <x:c r="F192" s="24" t="str">
        <x:v>6.289,00 7.809,00 +R$1.520 7.869,00 +R$1.580 9.069,00 10.589,00 +R$1.520</x:v>
      </x:c>
      <x:c r="G192" s="24" t="n">
        <x:v>10649</x:v>
      </x:c>
      <x:c r="H192" s="24" t="n">
        <x:v>46118</x:v>
      </x:c>
      <x:c r="I192" s="24" t="n">
        <x:v>46234</x:v>
      </x:c>
      <x:c r="J192" s="24" t="str">
        <x:v>EXPIRADA</x:v>
      </x:c>
    </x:row>
    <x:row r="193">
      <x:c r="A193" s="24" t="n">
        <x:v>5</x:v>
      </x:c>
      <x:c r="B193" s="24" t="str">
        <x:v>Varilux XR Series</x:v>
      </x:c>
      <x:c r="C193" s="24" t="n">
        <x:v>637</x:v>
      </x:c>
      <x:c r="D193" s="24" t="n">
        <x:v>376.4</x:v>
      </x:c>
      <x:c r="E193" s="24" t="str">
        <x:v>Transitions Extractive 10.649,00 10.649,00 10.379,00 10.029,00</x:v>
      </x:c>
      <x:c r="F193" s="24" t="str">
        <x:v>5.909,00 5.669,00 7.429,00 7.189,00 7.489,00 8.689,00 10.209,00</x:v>
      </x:c>
      <x:c r="G193" s="24" t="n">
        <x:v>10269</x:v>
      </x:c>
      <x:c r="H193" s="24" t="n">
        <x:v>46118</x:v>
      </x:c>
      <x:c r="I193" s="24" t="n">
        <x:v>46234</x:v>
      </x:c>
      <x:c r="J193" s="24" t="str">
        <x:v>EXPIRADA</x:v>
      </x:c>
    </x:row>
    <x:row r="194">
      <x:c r="A194" s="24" t="n">
        <x:v>5</x:v>
      </x:c>
      <x:c r="B194" s="24" t="str">
        <x:v>Varilux XR Series</x:v>
      </x:c>
      <x:c r="C194" s="24" t="n">
        <x:v>637</x:v>
      </x:c>
      <x:c r="D194" s="24" t="n">
        <x:v>243.6</x:v>
      </x:c>
      <x:c r="E194" s="24" t="str">
        <x:v>Transitions Extractive 10.649,00</x:v>
      </x:c>
      <x:c r="F194" s="24" t="str">
        <x:v>6.289,00 6.019,00 7.809,00 7.539,00 7.599,00 7.869,00 8.799,00 9.069,00 10.589,00 10.319,00</x:v>
      </x:c>
      <x:c r="G194" s="24" t="n">
        <x:v>10649</x:v>
      </x:c>
      <x:c r="H194" s="24" t="n">
        <x:v>46118</x:v>
      </x:c>
      <x:c r="I194" s="24" t="n">
        <x:v>46234</x:v>
      </x:c>
      <x:c r="J194" s="24" t="str">
        <x:v>EXPIRADA</x:v>
      </x:c>
    </x:row>
    <x:row r="195">
      <x:c r="A195" s="24" t="n">
        <x:v>5</x:v>
      </x:c>
      <x:c r="B195" s="24" t="str">
        <x:v>Varilux XR Series</x:v>
      </x:c>
      <x:c r="C195" s="24" t="n">
        <x:v>525.8</x:v>
      </x:c>
      <x:c r="D195" s="24" t="n">
        <x:v>197.7</x:v>
      </x:c>
      <x:c r="E195" s="24" t="str">
        <x:v>Transitions Extractive</x:v>
      </x:c>
      <x:c r="F195" s="24" t="str">
        <x:v>adicional: CRIZAL PREVENCIA SAPPHIRE 5.869,00 7.389,00 +R$1.520</x:v>
      </x:c>
      <x:c r="G195" s="24" t="n">
        <x:v>7449</x:v>
      </x:c>
      <x:c r="H195" s="24" t="n">
        <x:v>46118</x:v>
      </x:c>
      <x:c r="I195" s="24" t="n">
        <x:v>46234</x:v>
      </x:c>
      <x:c r="J195" s="24" t="str">
        <x:v>EXPIRADA</x:v>
      </x:c>
    </x:row>
    <x:row r="196">
      <x:c r="A196" s="24" t="n">
        <x:v>5</x:v>
      </x:c>
      <x:c r="B196" s="24" t="str">
        <x:v>Varilux XR Series</x:v>
      </x:c>
      <x:c r="C196" s="24" t="n">
        <x:v>525.8</x:v>
      </x:c>
      <x:c r="D196" s="24" t="n">
        <x:v>377.3</x:v>
      </x:c>
      <x:c r="E196" s="24" t="str">
        <x:v>Transitions Extractive 7.449,00 7.449,00 7.179,00 6.829,00</x:v>
      </x:c>
      <x:c r="F196" s="24" t="str">
        <x:v>padrão 6.199,00 Coloração especial CRIZAL OPTIFOG PRO 5.489,00 7.009,00 6.769,00</x:v>
      </x:c>
      <x:c r="G196" s="24" t="n">
        <x:v>7069</x:v>
      </x:c>
      <x:c r="H196" s="24" t="n">
        <x:v>46118</x:v>
      </x:c>
      <x:c r="I196" s="24" t="n">
        <x:v>46234</x:v>
      </x:c>
      <x:c r="J196" s="24" t="str">
        <x:v>EXPIRADA</x:v>
      </x:c>
    </x:row>
    <x:row r="197">
      <x:c r="A197" s="24" t="n">
        <x:v>5</x:v>
      </x:c>
      <x:c r="B197" s="24" t="str">
        <x:v>Varilux XR Series</x:v>
      </x:c>
      <x:c r="C197" s="24" t="n">
        <x:v>525.8</x:v>
      </x:c>
      <x:c r="D197" s="24" t="n">
        <x:v>244.3</x:v>
      </x:c>
      <x:c r="E197" s="24" t="str">
        <x:v>Transitions Extractive 7.449,00</x:v>
      </x:c>
      <x:c r="F197" s="24" t="str">
        <x:v>CRIZAL PREVENCIA SAPPHIRE HR 5.869,00 5.599,00 7.389,00</x:v>
      </x:c>
      <x:c r="G197" s="24" t="n">
        <x:v>7449</x:v>
      </x:c>
      <x:c r="H197" s="24" t="n">
        <x:v>46118</x:v>
      </x:c>
      <x:c r="I197" s="24" t="n">
        <x:v>46234</x:v>
      </x:c>
      <x:c r="J197" s="24" t="str">
        <x:v>EXPIRADA</x:v>
      </x:c>
    </x:row>
    <x:row r="198">
      <x:c r="A198" s="24" t="n">
        <x:v>5</x:v>
      </x:c>
      <x:c r="B198" s="24" t="str">
        <x:v>Varilux XR Series</x:v>
      </x:c>
      <x:c r="C198" s="24" t="n">
        <x:v>512.1</x:v>
      </x:c>
      <x:c r="D198" s="24" t="n">
        <x:v>291.8</x:v>
      </x:c>
      <x:c r="E198" s="24" t="str">
        <x:v>7.389,00 7.389,00</x:v>
      </x:c>
      <x:c r="F198" s="24" t="str">
        <x:v>+ CRIZAL CRIZAL CRIZAL ROCK HR EASY 5.869,00 5.599,00 5.249,00</x:v>
      </x:c>
      <x:c r="G198" s="24" t="n">
        <x:v>7119</x:v>
      </x:c>
      <x:c r="H198" s="24" t="n">
        <x:v>46118</x:v>
      </x:c>
      <x:c r="I198" s="24" t="n">
        <x:v>46234</x:v>
      </x:c>
      <x:c r="J198" s="24" t="str">
        <x:v>EXPIRADA</x:v>
      </x:c>
    </x:row>
    <x:row r="199">
      <x:c r="A199" s="24" t="n">
        <x:v>5</x:v>
      </x:c>
      <x:c r="B199" s="24" t="str">
        <x:v>Varilux XR Series</x:v>
      </x:c>
      <x:c r="C199" s="24" t="n">
        <x:v>498.5</x:v>
      </x:c>
      <x:c r="D199" s="24" t="n">
        <x:v>289.2</x:v>
      </x:c>
      <x:c r="E199" s="24" t="str">
        <x:v>Orma 5.869,00 5.869,00</x:v>
      </x:c>
      <x:c r="F199" s="24" t="str">
        <x:v>6.599,00 Airwear + + CRIZAL CRIZAL CRIZAL ROCK HR EASY</x:v>
      </x:c>
      <x:c r="G199" s="24" t="n">
        <x:v>5599</x:v>
      </x:c>
      <x:c r="H199" s="24" t="n">
        <x:v>46118</x:v>
      </x:c>
      <x:c r="I199" s="24" t="n">
        <x:v>46234</x:v>
      </x:c>
      <x:c r="J199" s="24" t="str">
        <x:v>EXPIRADA</x:v>
      </x:c>
    </x:row>
    <x:row r="200">
      <x:c r="A200" s="24" t="n">
        <x:v>5</x:v>
      </x:c>
      <x:c r="B200" s="24" t="str">
        <x:v>Varilux XR Series</x:v>
      </x:c>
      <x:c r="C200" s="24" t="n">
        <x:v>565.7</x:v>
      </x:c>
      <x:c r="D200" s="24" t="n">
        <x:v>288.2</x:v>
      </x:c>
      <x:c r="E200" s="24" t="str">
        <x:v>+ Transitions Gen S 7.809,00 7.809,00</x:v>
      </x:c>
      <x:c r="F200" s="24" t="str">
        <x:v>5.249,00 7.389,00 7.119,00 6.769,00 7.449,00 7.179,00 6.829,00 6.289,00 6.019,00 5.669,00</x:v>
      </x:c>
      <x:c r="G200" s="24" t="n">
        <x:v>7539</x:v>
      </x:c>
      <x:c r="H200" s="24" t="n">
        <x:v>46118</x:v>
      </x:c>
      <x:c r="I200" s="24" t="n">
        <x:v>46234</x:v>
      </x:c>
      <x:c r="J200" s="24" t="str">
        <x:v>EXPIRADA</x:v>
      </x:c>
    </x:row>
    <x:row r="201">
      <x:c r="A201" s="24" t="n">
        <x:v>5</x:v>
      </x:c>
      <x:c r="B201" s="24" t="str">
        <x:v>Varilux XR Series</x:v>
      </x:c>
      <x:c r="C201" s="24" t="n">
        <x:v>551.1</x:v>
      </x:c>
      <x:c r="D201" s="24" t="n">
        <x:v>289.7</x:v>
      </x:c>
      <x:c r="E201" s="24" t="str">
        <x:v>Airwear 6.289,00 6.289,00</x:v>
      </x:c>
      <x:c r="F201" s="24" t="str">
        <x:v>EASY 5.869,00 5.599,00 5.249,00 7.389,00 7.119,00 6.769,00 7.449,00 7.179,00 6.829,00</x:v>
      </x:c>
      <x:c r="G201" s="24" t="n">
        <x:v>6019</x:v>
      </x:c>
      <x:c r="H201" s="24" t="n">
        <x:v>46118</x:v>
      </x:c>
      <x:c r="I201" s="24" t="n">
        <x:v>46234</x:v>
      </x:c>
      <x:c r="J201" s="24" t="str">
        <x:v>EXPIRADA</x:v>
      </x:c>
    </x:row>
    <x:row r="202">
      <x:c r="A202" s="24" t="n">
        <x:v>5</x:v>
      </x:c>
      <x:c r="B202" s="24" t="str">
        <x:v>Varilux XR Series</x:v>
      </x:c>
      <x:c r="C202" s="24" t="n">
        <x:v>623</x:v>
      </x:c>
      <x:c r="D202" s="24" t="n">
        <x:v>288.3</x:v>
      </x:c>
      <x:c r="E202" s="24" t="str">
        <x:v>10.589,00 10.589,00</x:v>
      </x:c>
      <x:c r="F202" s="24" t="str">
        <x:v>5.669,00 7.809,00 7.539,00 7.189,00 7.599,00 7.249,00 7.869,00 8.799,00 9.069,00 8.449,00</x:v>
      </x:c>
      <x:c r="G202" s="24" t="n">
        <x:v>10319</x:v>
      </x:c>
      <x:c r="H202" s="24" t="n">
        <x:v>46118</x:v>
      </x:c>
      <x:c r="I202" s="24" t="n">
        <x:v>46234</x:v>
      </x:c>
      <x:c r="J202" s="24" t="str">
        <x:v>EXPIRADA</x:v>
      </x:c>
    </x:row>
    <x:row r="203">
      <x:c r="A203" s="24" t="n">
        <x:v>5</x:v>
      </x:c>
      <x:c r="B203" s="24" t="str">
        <x:v>Varilux XR Series</x:v>
      </x:c>
      <x:c r="C203" s="24" t="n">
        <x:v>608.4</x:v>
      </x:c>
      <x:c r="D203" s="24" t="n">
        <x:v>288.8</x:v>
      </x:c>
      <x:c r="E203" s="24" t="str">
        <x:v>Stylis 1.67 9.069,00 9.069,00</x:v>
      </x:c>
      <x:c r="F203" s="24" t="str">
        <x:v>6.829,00 6.289,00 6.019,00 5.669,00 7.809,00 7.539,00 7.189,00 7.599,00 7.249,00 7.869,00</x:v>
      </x:c>
      <x:c r="G203" s="24" t="n">
        <x:v>8799</x:v>
      </x:c>
      <x:c r="H203" s="24" t="n">
        <x:v>46118</x:v>
      </x:c>
      <x:c r="I203" s="24" t="n">
        <x:v>46234</x:v>
      </x:c>
      <x:c r="J203" s="24" t="str">
        <x:v>EXPIRADA</x:v>
      </x:c>
    </x:row>
    <x:row r="204">
      <x:c r="A204" s="24" t="n">
        <x:v>5</x:v>
      </x:c>
      <x:c r="B204" s="24" t="str">
        <x:v>Varilux XR Series</x:v>
      </x:c>
      <x:c r="C204" s="24" t="n">
        <x:v>512.1</x:v>
      </x:c>
      <x:c r="D204" s="24" t="n">
        <x:v>332.3</x:v>
      </x:c>
      <x:c r="E204" s="24" t="str">
        <x:v>7.389,00 7.389,00 7.119,00</x:v>
      </x:c>
      <x:c r="F204" s="24" t="str">
        <x:v>+ Coloração especial CRIZAL CRIZAL ROCK EASY PRO 5.599,00 5.249,00</x:v>
      </x:c>
      <x:c r="G204" s="24" t="n">
        <x:v>6769</x:v>
      </x:c>
      <x:c r="H204" s="24" t="n">
        <x:v>46118</x:v>
      </x:c>
      <x:c r="I204" s="24" t="n">
        <x:v>46234</x:v>
      </x:c>
      <x:c r="J204" s="24" t="str">
        <x:v>EXPIRADA</x:v>
      </x:c>
    </x:row>
    <x:row r="205">
      <x:c r="A205" s="24" t="n">
        <x:v>5</x:v>
      </x:c>
      <x:c r="B205" s="24" t="str">
        <x:v>Varilux XR Series</x:v>
      </x:c>
      <x:c r="C205" s="24" t="n">
        <x:v>498.5</x:v>
      </x:c>
      <x:c r="D205" s="24" t="n">
        <x:v>332</x:v>
      </x:c>
      <x:c r="E205" s="24" t="str">
        <x:v>Orma 5.869,00 5.869,00 5.599,00</x:v>
      </x:c>
      <x:c r="F205" s="24" t="str">
        <x:v>Coloração padrão + Coloração especial CRIZAL CRIZAL ROCK EASY PRO</x:v>
      </x:c>
      <x:c r="G205" s="24" t="n">
        <x:v>5249</x:v>
      </x:c>
      <x:c r="H205" s="24" t="n">
        <x:v>46118</x:v>
      </x:c>
      <x:c r="I205" s="24" t="n">
        <x:v>46234</x:v>
      </x:c>
      <x:c r="J205" s="24" t="str">
        <x:v>EXPIRADA</x:v>
      </x:c>
    </x:row>
    <x:row r="206">
      <x:c r="A206" s="24" t="n">
        <x:v>5</x:v>
      </x:c>
      <x:c r="B206" s="24" t="str">
        <x:v>Varilux XR Series</x:v>
      </x:c>
      <x:c r="C206" s="24" t="n">
        <x:v>565.7</x:v>
      </x:c>
      <x:c r="D206" s="24" t="n">
        <x:v>334</x:v>
      </x:c>
      <x:c r="E206" s="24" t="str">
        <x:v>+ Transitions Gen S 7.809,00 7.809,00 7.539,00</x:v>
      </x:c>
      <x:c r="F206" s="24" t="str">
        <x:v>5.599,00 5.249,00 7.009,00 7.119,00 6.769,00 7.069,00 7.179,00 6.829,00 6.019,00 5.669,00</x:v>
      </x:c>
      <x:c r="G206" s="24" t="n">
        <x:v>7189</x:v>
      </x:c>
      <x:c r="H206" s="24" t="n">
        <x:v>46118</x:v>
      </x:c>
      <x:c r="I206" s="24" t="n">
        <x:v>46234</x:v>
      </x:c>
      <x:c r="J206" s="24" t="str">
        <x:v>EXPIRADA</x:v>
      </x:c>
    </x:row>
    <x:row r="207">
      <x:c r="A207" s="24" t="n">
        <x:v>5</x:v>
      </x:c>
      <x:c r="B207" s="24" t="str">
        <x:v>Varilux XR Series</x:v>
      </x:c>
      <x:c r="C207" s="24" t="n">
        <x:v>551.1</x:v>
      </x:c>
      <x:c r="D207" s="24" t="n">
        <x:v>332.4</x:v>
      </x:c>
      <x:c r="E207" s="24" t="str">
        <x:v>Airwear 6.289,00 6.289,00 6.019,00</x:v>
      </x:c>
      <x:c r="F207" s="24" t="str">
        <x:v>ROCK EASY PRO 5.599,00 5.249,00 7.119,00 6.769,00 7.069,00 7.179,00 6.829,00</x:v>
      </x:c>
      <x:c r="G207" s="24" t="n">
        <x:v>5669</x:v>
      </x:c>
      <x:c r="H207" s="24" t="n">
        <x:v>46118</x:v>
      </x:c>
      <x:c r="I207" s="24" t="n">
        <x:v>46234</x:v>
      </x:c>
      <x:c r="J207" s="24" t="str">
        <x:v>EXPIRADA</x:v>
      </x:c>
    </x:row>
    <x:row r="208">
      <x:c r="A208" s="24" t="n">
        <x:v>5</x:v>
      </x:c>
      <x:c r="B208" s="24" t="str">
        <x:v>Varilux XR Series</x:v>
      </x:c>
      <x:c r="C208" s="24" t="n">
        <x:v>623</x:v>
      </x:c>
      <x:c r="D208" s="24" t="n">
        <x:v>332</x:v>
      </x:c>
      <x:c r="E208" s="24" t="str">
        <x:v>10.589,00 10.589,00 10.319,00</x:v>
      </x:c>
      <x:c r="F208" s="24" t="str">
        <x:v>6.019,00 5.669,00 7.539,00 7.189,00 7.599,00 7.249,00 8.799,00 8.449,00</x:v>
      </x:c>
      <x:c r="G208" s="24" t="n">
        <x:v>9969</x:v>
      </x:c>
      <x:c r="H208" s="24" t="n">
        <x:v>46118</x:v>
      </x:c>
      <x:c r="I208" s="24" t="n">
        <x:v>46234</x:v>
      </x:c>
      <x:c r="J208" s="24" t="str">
        <x:v>EXPIRADA</x:v>
      </x:c>
    </x:row>
    <x:row r="209">
      <x:c r="A209" s="24" t="n">
        <x:v>5</x:v>
      </x:c>
      <x:c r="B209" s="24" t="str">
        <x:v>Varilux XR Series</x:v>
      </x:c>
      <x:c r="C209" s="24" t="n">
        <x:v>608.5</x:v>
      </x:c>
      <x:c r="D209" s="24" t="n">
        <x:v>332</x:v>
      </x:c>
      <x:c r="E209" s="24" t="str">
        <x:v>Stylis 1.67 9.069,00 9.069,00 8.799,00</x:v>
      </x:c>
      <x:c r="F209" s="24" t="str">
        <x:v>7.179,00 6.829,00 6.019,00 5.669,00 7.539,00 7.189,00 7.599,00 7.249,00</x:v>
      </x:c>
      <x:c r="G209" s="24" t="n">
        <x:v>8449</x:v>
      </x:c>
      <x:c r="H209" s="24" t="n">
        <x:v>46118</x:v>
      </x:c>
      <x:c r="I209" s="24" t="n">
        <x:v>46234</x:v>
      </x:c>
      <x:c r="J209" s="24" t="str">
        <x:v>EXPIRADA</x:v>
      </x:c>
    </x:row>
    <x:row r="210">
      <x:c r="A210" s="24" t="n">
        <x:v>5</x:v>
      </x:c>
      <x:c r="B210" s="24" t="str">
        <x:v>Varilux XR Series</x:v>
      </x:c>
      <x:c r="C210" s="24" t="n">
        <x:v>581.4</x:v>
      </x:c>
      <x:c r="D210" s="24" t="n">
        <x:v>288.8</x:v>
      </x:c>
      <x:c r="E210" s="24" t="str">
        <x:v>Transitions Extractive 7.869,00 7.869,00</x:v>
      </x:c>
      <x:c r="F210" s="24" t="str">
        <x:v>6.769,00 7.449,00 7.179,00 6.829,00 6.289,00 6.019,00 5.669,00 7.809,00 7.539,00 7.189,00</x:v>
      </x:c>
      <x:c r="G210" s="24" t="n">
        <x:v>7599</x:v>
      </x:c>
      <x:c r="H210" s="24" t="n">
        <x:v>46118</x:v>
      </x:c>
      <x:c r="I210" s="24" t="n">
        <x:v>46234</x:v>
      </x:c>
      <x:c r="J210" s="24" t="str">
        <x:v>EXPIRADA</x:v>
      </x:c>
    </x:row>
    <x:row r="211">
      <x:c r="A211" s="24" t="n">
        <x:v>5</x:v>
      </x:c>
      <x:c r="B211" s="24" t="str">
        <x:v>Varilux XR Series</x:v>
      </x:c>
      <x:c r="C211" s="24" t="n">
        <x:v>581.4</x:v>
      </x:c>
      <x:c r="D211" s="24" t="n">
        <x:v>332.4</x:v>
      </x:c>
      <x:c r="E211" s="24" t="str">
        <x:v>Transitions Extractive 7.869,00 7.869,00 7.599,00</x:v>
      </x:c>
      <x:c r="F211" s="24" t="str">
        <x:v>5.249,00 7.119,00 6.769,00 7.069,00 7.179,00 6.829,00 6.019,00 5.669,00 7.539,00 7.189,00</x:v>
      </x:c>
      <x:c r="G211" s="24" t="n">
        <x:v>7249</x:v>
      </x:c>
      <x:c r="H211" s="24" t="n">
        <x:v>46118</x:v>
      </x:c>
      <x:c r="I211" s="24" t="n">
        <x:v>46234</x:v>
      </x:c>
      <x:c r="J211" s="24" t="str">
        <x:v>EXPIRADA</x:v>
      </x:c>
    </x:row>
    <x:row r="212">
      <x:c r="A212" s="24" t="n">
        <x:v>5</x:v>
      </x:c>
      <x:c r="B212" s="24" t="str">
        <x:v>Varilux XR Series</x:v>
      </x:c>
      <x:c r="C212" s="24" t="n">
        <x:v>637</x:v>
      </x:c>
      <x:c r="D212" s="24" t="n">
        <x:v>286.4</x:v>
      </x:c>
      <x:c r="E212" s="24" t="str">
        <x:v>Transitions Extractive 10.649,00 10.649,00</x:v>
      </x:c>
      <x:c r="F212" s="24" t="str">
        <x:v>7.539,00 7.599,00 7.249,00 7.869,00 8.799,00 9.069,00 8.449,00 10.589,00 10.319,00 9.969,00</x:v>
      </x:c>
      <x:c r="G212" s="24" t="n">
        <x:v>10379</x:v>
      </x:c>
      <x:c r="H212" s="24" t="n">
        <x:v>46118</x:v>
      </x:c>
      <x:c r="I212" s="24" t="n">
        <x:v>46234</x:v>
      </x:c>
      <x:c r="J212" s="24" t="str">
        <x:v>EXPIRADA</x:v>
      </x:c>
    </x:row>
    <x:row r="213">
      <x:c r="A213" s="24" t="n">
        <x:v>5</x:v>
      </x:c>
      <x:c r="B213" s="24" t="str">
        <x:v>Varilux XR Series</x:v>
      </x:c>
      <x:c r="C213" s="24" t="n">
        <x:v>637</x:v>
      </x:c>
      <x:c r="D213" s="24" t="n">
        <x:v>332</x:v>
      </x:c>
      <x:c r="E213" s="24" t="str">
        <x:v>Transitions Extractive 10.649,00 10.649,00 10.379,00</x:v>
      </x:c>
      <x:c r="F213" s="24" t="str">
        <x:v>7.539,00 7.189,00 7.599,00 7.249,00 8.799,00 8.689,00 8.449,00 10.209,00 10.319,00 9.969,00</x:v>
      </x:c>
      <x:c r="G213" s="24" t="n">
        <x:v>10029</x:v>
      </x:c>
      <x:c r="H213" s="24" t="n">
        <x:v>46118</x:v>
      </x:c>
      <x:c r="I213" s="24" t="n">
        <x:v>46234</x:v>
      </x:c>
      <x:c r="J213" s="24" t="str">
        <x:v>EXPIRADA</x:v>
      </x:c>
    </x:row>
    <x:row r="214">
      <x:c r="A214" s="24" t="n">
        <x:v>5</x:v>
      </x:c>
      <x:c r="B214" s="24" t="str">
        <x:v>Varilux XR Series</x:v>
      </x:c>
      <x:c r="C214" s="24" t="n">
        <x:v>525.8</x:v>
      </x:c>
      <x:c r="D214" s="24" t="n">
        <x:v>290.3</x:v>
      </x:c>
      <x:c r="E214" s="24" t="str">
        <x:v>Transitions Extractive 7.449,00 7.449,00</x:v>
      </x:c>
      <x:c r="F214" s="24" t="str">
        <x:v>CRIZAL ROCK HR EASY 5.869,00 5.599,00 5.249,00 7.389,00 7.119,00 6.769,00</x:v>
      </x:c>
      <x:c r="G214" s="24" t="n">
        <x:v>7179</x:v>
      </x:c>
      <x:c r="H214" s="24" t="n">
        <x:v>46118</x:v>
      </x:c>
      <x:c r="I214" s="24" t="n">
        <x:v>46234</x:v>
      </x:c>
      <x:c r="J214" s="24" t="str">
        <x:v>EXPIRADA</x:v>
      </x:c>
    </x:row>
    <x:row r="215">
      <x:c r="A215" s="24" t="n">
        <x:v>5</x:v>
      </x:c>
      <x:c r="B215" s="24" t="str">
        <x:v>Varilux XR Series</x:v>
      </x:c>
      <x:c r="C215" s="24" t="n">
        <x:v>525.8</x:v>
      </x:c>
      <x:c r="D215" s="24" t="n">
        <x:v>332.3</x:v>
      </x:c>
      <x:c r="E215" s="24" t="str">
        <x:v>Transitions Extractive 7.449,00 7.449,00 7.179,00</x:v>
      </x:c>
      <x:c r="F215" s="24" t="str">
        <x:v>especial CRIZAL CRIZAL ROCK EASY PRO 5.599,00 5.249,00 7.119,00 6.769,00</x:v>
      </x:c>
      <x:c r="G215" s="24" t="n">
        <x:v>6829</x:v>
      </x:c>
      <x:c r="H215" s="24" t="n">
        <x:v>46118</x:v>
      </x:c>
      <x:c r="I215" s="24" t="n">
        <x:v>46234</x:v>
      </x:c>
      <x:c r="J215" s="24" t="str">
        <x:v>EXPIRADA</x:v>
      </x:c>
    </x:row>
    <x:row r="216">
      <x:c r="A216" s="24" t="n">
        <x:v>5</x:v>
      </x:c>
      <x:c r="B216" s="24" t="str">
        <x:v>Varilux XR Series</x:v>
      </x:c>
      <x:c r="C216" s="24" t="n">
        <x:v>791.3</x:v>
      </x:c>
      <x:c r="D216" s="24" t="n">
        <x:v>401.3</x:v>
      </x:c>
      <x:c r="E216" s="24" t="str">
        <x:v>+ Coloração padrão</x:v>
      </x:c>
      <x:c r="F216" s="24" t="str">
        <x:v>custo adicional: Eyecode VERNIZ HC MARCAÇÃO 5.029,00 padrão 5.139,00 especial</x:v>
      </x:c>
      <x:c r="G216" s="24" t="n">
        <x:v>5449</x:v>
      </x:c>
      <x:c r="H216" s="24" t="n">
        <x:v>46118</x:v>
      </x:c>
      <x:c r="I216" s="24" t="n">
        <x:v>46234</x:v>
      </x:c>
      <x:c r="J216" s="24" t="str">
        <x:v>EXPIRADA</x:v>
      </x:c>
    </x:row>
    <x:row r="217">
      <x:c r="A217" s="24" t="n">
        <x:v>5</x:v>
      </x:c>
      <x:c r="B217" s="24" t="str">
        <x:v>Varilux XR Series</x:v>
      </x:c>
      <x:c r="C217" s="24" t="n">
        <x:v>803.9</x:v>
      </x:c>
      <x:c r="D217" s="24" t="n">
        <x:v>401.6</x:v>
      </x:c>
      <x:c r="E217" s="24" t="str">
        <x:v>+ Coloração especial</x:v>
      </x:c>
      <x:c r="F217" s="24" t="str">
        <x:v>Eyecode VERNIZ HC MARCAÇÃO 5.029,00 padrão 5.139,00 especial 5.449,00 padrão</x:v>
      </x:c>
      <x:c r="G217" s="24" t="n">
        <x:v>5559</x:v>
      </x:c>
      <x:c r="H217" s="24" t="n">
        <x:v>46118</x:v>
      </x:c>
      <x:c r="I217" s="24" t="n">
        <x:v>46234</x:v>
      </x:c>
      <x:c r="J217" s="24" t="str">
        <x:v>EXPIRADA</x:v>
      </x:c>
    </x:row>
    <x:row r="218">
      <x:c r="A218" s="24" t="n">
        <x:v>6</x:v>
      </x:c>
      <x:c r="B218" s="24" t="str">
        <x:v>Varilux Physio Extensee</x:v>
      </x:c>
      <x:c r="C218" s="24" t="n">
        <x:v>168.9</x:v>
      </x:c>
      <x:c r="D218" s="24" t="n">
        <x:v>166.3</x:v>
      </x:c>
      <x:c r="E218" s="24"/>
      <x:c r="F218" s="24" t="str">
        <x:v>adicional: CRIZAL PREVENCIA 3.819,00</x:v>
      </x:c>
      <x:c r="G218" s="24" t="n">
        <x:v>3989</x:v>
      </x:c>
      <x:c r="H218" s="24" t="n">
        <x:v>46118</x:v>
      </x:c>
      <x:c r="I218" s="24" t="n">
        <x:v>46234</x:v>
      </x:c>
      <x:c r="J218" s="24" t="str">
        <x:v>EXPIRADA</x:v>
      </x:c>
    </x:row>
    <x:row r="219">
      <x:c r="A219" s="24" t="n">
        <x:v>6</x:v>
      </x:c>
      <x:c r="B219" s="24" t="str">
        <x:v>Varilux Physio Extensee</x:v>
      </x:c>
      <x:c r="C219" s="24" t="n">
        <x:v>168.9</x:v>
      </x:c>
      <x:c r="D219" s="24" t="n">
        <x:v>365</x:v>
      </x:c>
      <x:c r="E219" s="24" t="str">
        <x:v>3.989,00 3.989,00 3.719,00 3.369,00</x:v>
      </x:c>
      <x:c r="F219" s="24" t="str">
        <x:v>CINZA C V MARROM ÂMBAR M A OPTIFOG PRO 3.439,00</x:v>
      </x:c>
      <x:c r="G219" s="24" t="n">
        <x:v>3609</x:v>
      </x:c>
      <x:c r="H219" s="24" t="n">
        <x:v>46118</x:v>
      </x:c>
      <x:c r="I219" s="24" t="n">
        <x:v>46234</x:v>
      </x:c>
      <x:c r="J219" s="24" t="str">
        <x:v>EXPIRADA</x:v>
      </x:c>
    </x:row>
    <x:row r="220">
      <x:c r="A220" s="24" t="n">
        <x:v>6</x:v>
      </x:c>
      <x:c r="B220" s="24" t="str">
        <x:v>Varilux Physio Extensee</x:v>
      </x:c>
      <x:c r="C220" s="24" t="n">
        <x:v>154.2</x:v>
      </x:c>
      <x:c r="D220" s="24" t="n">
        <x:v>166.1</x:v>
      </x:c>
      <x:c r="E220" s="24" t="str">
        <x:v>Orma</x:v>
      </x:c>
      <x:c r="F220" s="24" t="str">
        <x:v>adicional: CRIZAL PREVENCIA</x:v>
      </x:c>
      <x:c r="G220" s="24" t="n">
        <x:v>3819</x:v>
      </x:c>
      <x:c r="H220" s="24" t="n">
        <x:v>46118</x:v>
      </x:c>
      <x:c r="I220" s="24" t="n">
        <x:v>46234</x:v>
      </x:c>
      <x:c r="J220" s="24" t="str">
        <x:v>EXPIRADA</x:v>
      </x:c>
    </x:row>
    <x:row r="221">
      <x:c r="A221" s="24" t="n">
        <x:v>6</x:v>
      </x:c>
      <x:c r="B221" s="24" t="str">
        <x:v>Varilux Physio Extensee</x:v>
      </x:c>
      <x:c r="C221" s="24" t="n">
        <x:v>154.2</x:v>
      </x:c>
      <x:c r="D221" s="24" t="n">
        <x:v>366.7</x:v>
      </x:c>
      <x:c r="E221" s="24" t="str">
        <x:v>Orma 3.819,00 3.819,00 3.549,00 3.199,00</x:v>
      </x:c>
      <x:c r="F221" s="24" t="str">
        <x:v>DE CORES CINZA C V MARROM ÂMBAR M A OPTIFOG</x:v>
      </x:c>
      <x:c r="G221" s="24" t="n">
        <x:v>3439</x:v>
      </x:c>
      <x:c r="H221" s="24" t="n">
        <x:v>46118</x:v>
      </x:c>
      <x:c r="I221" s="24" t="n">
        <x:v>46234</x:v>
      </x:c>
      <x:c r="J221" s="24" t="str">
        <x:v>EXPIRADA</x:v>
      </x:c>
    </x:row>
    <x:row r="222">
      <x:c r="A222" s="24" t="n">
        <x:v>6</x:v>
      </x:c>
      <x:c r="B222" s="24" t="str">
        <x:v>Varilux Physio Extensee</x:v>
      </x:c>
      <x:c r="C222" s="24" t="n">
        <x:v>208.9</x:v>
      </x:c>
      <x:c r="D222" s="24" t="n">
        <x:v>165.2</x:v>
      </x:c>
      <x:c r="E222" s="24" t="str">
        <x:v>Airwear</x:v>
      </x:c>
      <x:c r="F222" s="24" t="str">
        <x:v>CRIZAL PREVENCIA 3.819,00 3.989,00 +R$170 4.919,00 +R$1.100</x:v>
      </x:c>
      <x:c r="G222" s="24" t="n">
        <x:v>4119</x:v>
      </x:c>
      <x:c r="H222" s="24" t="n">
        <x:v>46118</x:v>
      </x:c>
      <x:c r="I222" s="24" t="n">
        <x:v>46234</x:v>
      </x:c>
      <x:c r="J222" s="24" t="str">
        <x:v>EXPIRADA</x:v>
      </x:c>
    </x:row>
    <x:row r="223">
      <x:c r="A223" s="24" t="n">
        <x:v>6</x:v>
      </x:c>
      <x:c r="B223" s="24" t="str">
        <x:v>Varilux Physio Extensee</x:v>
      </x:c>
      <x:c r="C223" s="24" t="n">
        <x:v>208.9</x:v>
      </x:c>
      <x:c r="D223" s="24" t="n">
        <x:v>366.1</x:v>
      </x:c>
      <x:c r="E223" s="24" t="str">
        <x:v>Airwear 4.119,00 4.119,00 3.849,00 3.499,00</x:v>
      </x:c>
      <x:c r="F223" s="24" t="str">
        <x:v>OPTIFOG PRO 3.439,00 3.609,00 4.539,00</x:v>
      </x:c>
      <x:c r="G223" s="24" t="n">
        <x:v>3739</x:v>
      </x:c>
      <x:c r="H223" s="24" t="n">
        <x:v>46118</x:v>
      </x:c>
      <x:c r="I223" s="24" t="n">
        <x:v>46234</x:v>
      </x:c>
      <x:c r="J223" s="24" t="str">
        <x:v>EXPIRADA</x:v>
      </x:c>
    </x:row>
    <x:row r="224">
      <x:c r="A224" s="24" t="n">
        <x:v>6</x:v>
      </x:c>
      <x:c r="B224" s="24" t="str">
        <x:v>Varilux Physio Extensee</x:v>
      </x:c>
      <x:c r="C224" s="24" t="n">
        <x:v>265.2</x:v>
      </x:c>
      <x:c r="D224" s="24" t="n">
        <x:v>164.5</x:v>
      </x:c>
      <x:c r="E224" s="24"/>
      <x:c r="F224" s="24" t="str">
        <x:v>+R$170 4.919,00 +R$1.100 4.119,00 5.219,00 +R$1.100 5.249,00 +R$1.130</x:v>
      </x:c>
      <x:c r="G224" s="24" t="n">
        <x:v>6109</x:v>
      </x:c>
      <x:c r="H224" s="24" t="n">
        <x:v>46118</x:v>
      </x:c>
      <x:c r="I224" s="24" t="n">
        <x:v>46234</x:v>
      </x:c>
      <x:c r="J224" s="24" t="str">
        <x:v>EXPIRADA</x:v>
      </x:c>
    </x:row>
    <x:row r="225">
      <x:c r="A225" s="24" t="n">
        <x:v>6</x:v>
      </x:c>
      <x:c r="B225" s="24" t="str">
        <x:v>Varilux Physio Extensee</x:v>
      </x:c>
      <x:c r="C225" s="24" t="n">
        <x:v>168.9</x:v>
      </x:c>
      <x:c r="D225" s="24" t="n">
        <x:v>217.6</x:v>
      </x:c>
      <x:c r="E225" s="24" t="str">
        <x:v>3.989,00</x:v>
      </x:c>
      <x:c r="F225" s="24" t="str">
        <x:v>CRIZAL SAPPHIRE HR 3.819,00</x:v>
      </x:c>
      <x:c r="G225" s="24" t="n">
        <x:v>3989</x:v>
      </x:c>
      <x:c r="H225" s="24" t="n">
        <x:v>46118</x:v>
      </x:c>
      <x:c r="I225" s="24" t="n">
        <x:v>46234</x:v>
      </x:c>
      <x:c r="J225" s="24" t="str">
        <x:v>EXPIRADA</x:v>
      </x:c>
    </x:row>
    <x:row r="226">
      <x:c r="A226" s="24" t="n">
        <x:v>6</x:v>
      </x:c>
      <x:c r="B226" s="24" t="str">
        <x:v>Varilux Physio Extensee</x:v>
      </x:c>
      <x:c r="C226" s="24" t="n">
        <x:v>154.2</x:v>
      </x:c>
      <x:c r="D226" s="24" t="n">
        <x:v>217.3</x:v>
      </x:c>
      <x:c r="E226" s="24" t="str">
        <x:v>Orma 3.819,00</x:v>
      </x:c>
      <x:c r="F226" s="24" t="str">
        <x:v>CRIZAL SAPPHIRE HR</x:v>
      </x:c>
      <x:c r="G226" s="24" t="n">
        <x:v>3819</x:v>
      </x:c>
      <x:c r="H226" s="24" t="n">
        <x:v>46118</x:v>
      </x:c>
      <x:c r="I226" s="24" t="n">
        <x:v>46234</x:v>
      </x:c>
      <x:c r="J226" s="24" t="str">
        <x:v>EXPIRADA</x:v>
      </x:c>
    </x:row>
    <x:row r="227">
      <x:c r="A227" s="24" t="n">
        <x:v>6</x:v>
      </x:c>
      <x:c r="B227" s="24" t="str">
        <x:v>Varilux Physio Extensee</x:v>
      </x:c>
      <x:c r="C227" s="24" t="n">
        <x:v>208.9</x:v>
      </x:c>
      <x:c r="D227" s="24" t="n">
        <x:v>218.4</x:v>
      </x:c>
      <x:c r="E227" s="24" t="str">
        <x:v>Airwear 4.119,00</x:v>
      </x:c>
      <x:c r="F227" s="24" t="str">
        <x:v>CRIZAL SAPPHIRE HR 3.819,00 3.989,00 4.919,00</x:v>
      </x:c>
      <x:c r="G227" s="24" t="n">
        <x:v>4119</x:v>
      </x:c>
      <x:c r="H227" s="24" t="n">
        <x:v>46118</x:v>
      </x:c>
      <x:c r="I227" s="24" t="n">
        <x:v>46234</x:v>
      </x:c>
      <x:c r="J227" s="24" t="str">
        <x:v>EXPIRADA</x:v>
      </x:c>
    </x:row>
    <x:row r="228">
      <x:c r="A228" s="24" t="n">
        <x:v>6</x:v>
      </x:c>
      <x:c r="B228" s="24" t="str">
        <x:v>Varilux Physio Extensee</x:v>
      </x:c>
      <x:c r="C228" s="24" t="n">
        <x:v>265.3</x:v>
      </x:c>
      <x:c r="D228" s="24" t="n">
        <x:v>215.8</x:v>
      </x:c>
      <x:c r="E228" s="24" t="str">
        <x:v>6.109,00</x:v>
      </x:c>
      <x:c r="F228" s="24" t="str">
        <x:v>4.919,00 4.119,00 5.219,00 5.249,00</x:v>
      </x:c>
      <x:c r="G228" s="24" t="n">
        <x:v>6109</x:v>
      </x:c>
      <x:c r="H228" s="24" t="n">
        <x:v>46118</x:v>
      </x:c>
      <x:c r="I228" s="24" t="n">
        <x:v>46234</x:v>
      </x:c>
      <x:c r="J228" s="24" t="str">
        <x:v>EXPIRADA</x:v>
      </x:c>
    </x:row>
    <x:row r="229">
      <x:c r="A229" s="24" t="n">
        <x:v>6</x:v>
      </x:c>
      <x:c r="B229" s="24" t="str">
        <x:v>Varilux Physio Extensee</x:v>
      </x:c>
      <x:c r="C229" s="24" t="n">
        <x:v>265.3</x:v>
      </x:c>
      <x:c r="D229" s="24" t="n">
        <x:v>365.9</x:v>
      </x:c>
      <x:c r="E229" s="24" t="str">
        <x:v>6.109,00 6.109,00 5.839,00 5.489,00</x:v>
      </x:c>
      <x:c r="F229" s="24" t="str">
        <x:v>4.539,00 3.739,00 4.839,00 4.869,00</x:v>
      </x:c>
      <x:c r="G229" s="24" t="n">
        <x:v>5729</x:v>
      </x:c>
      <x:c r="H229" s="24" t="n">
        <x:v>46118</x:v>
      </x:c>
      <x:c r="I229" s="24" t="n">
        <x:v>46234</x:v>
      </x:c>
      <x:c r="J229" s="24" t="str">
        <x:v>EXPIRADA</x:v>
      </x:c>
    </x:row>
    <x:row r="230">
      <x:c r="A230" s="24" t="n">
        <x:v>6</x:v>
      </x:c>
      <x:c r="B230" s="24" t="str">
        <x:v>Varilux Physio Extensee</x:v>
      </x:c>
      <x:c r="C230" s="24" t="n">
        <x:v>224.2</x:v>
      </x:c>
      <x:c r="D230" s="24" t="n">
        <x:v>164.9</x:v>
      </x:c>
      <x:c r="E230" s="24"/>
      <x:c r="F230" s="24" t="str">
        <x:v>CRIZAL PREVENCIA 3.819,00 3.989,00 +R$170 4.919,00 +R$1.100 4.119,00</x:v>
      </x:c>
      <x:c r="G230" s="24" t="n">
        <x:v>5219</x:v>
      </x:c>
      <x:c r="H230" s="24" t="n">
        <x:v>46118</x:v>
      </x:c>
      <x:c r="I230" s="24" t="n">
        <x:v>46234</x:v>
      </x:c>
      <x:c r="J230" s="24" t="str">
        <x:v>EXPIRADA</x:v>
      </x:c>
    </x:row>
    <x:row r="231">
      <x:c r="A231" s="24" t="n">
        <x:v>6</x:v>
      </x:c>
      <x:c r="B231" s="24" t="str">
        <x:v>Varilux Physio Extensee</x:v>
      </x:c>
      <x:c r="C231" s="24" t="n">
        <x:v>224.2</x:v>
      </x:c>
      <x:c r="D231" s="24" t="n">
        <x:v>365.8</x:v>
      </x:c>
      <x:c r="E231" s="24" t="str">
        <x:v>5.219,00 5.219,00 4.949,00 4.599,00</x:v>
      </x:c>
      <x:c r="F231" s="24" t="str">
        <x:v>OPTIFOG PRO 3.439,00 3.609,00 4.539,00 3.739,00</x:v>
      </x:c>
      <x:c r="G231" s="24" t="n">
        <x:v>4839</x:v>
      </x:c>
      <x:c r="H231" s="24" t="n">
        <x:v>46118</x:v>
      </x:c>
      <x:c r="I231" s="24" t="n">
        <x:v>46234</x:v>
      </x:c>
      <x:c r="J231" s="24" t="str">
        <x:v>EXPIRADA</x:v>
      </x:c>
    </x:row>
    <x:row r="232">
      <x:c r="A232" s="24" t="n">
        <x:v>6</x:v>
      </x:c>
      <x:c r="B232" s="24" t="str">
        <x:v>Varilux Physio Extensee</x:v>
      </x:c>
      <x:c r="C232" s="24" t="n">
        <x:v>224.2</x:v>
      </x:c>
      <x:c r="D232" s="24" t="n">
        <x:v>218.2</x:v>
      </x:c>
      <x:c r="E232" s="24" t="str">
        <x:v>5.219,00</x:v>
      </x:c>
      <x:c r="F232" s="24" t="str">
        <x:v>CRIZAL SAPPHIRE HR 3.819,00 3.989,00 4.919,00 4.119,00</x:v>
      </x:c>
      <x:c r="G232" s="24" t="n">
        <x:v>5219</x:v>
      </x:c>
      <x:c r="H232" s="24" t="n">
        <x:v>46118</x:v>
      </x:c>
      <x:c r="I232" s="24" t="n">
        <x:v>46234</x:v>
      </x:c>
      <x:c r="J232" s="24" t="str">
        <x:v>EXPIRADA</x:v>
      </x:c>
    </x:row>
    <x:row r="233">
      <x:c r="A233" s="24" t="n">
        <x:v>6</x:v>
      </x:c>
      <x:c r="B233" s="24" t="str">
        <x:v>Varilux Physio Extensee</x:v>
      </x:c>
      <x:c r="C233" s="24" t="n">
        <x:v>168.9</x:v>
      </x:c>
      <x:c r="D233" s="24" t="n">
        <x:v>266.9</x:v>
      </x:c>
      <x:c r="E233" s="24" t="str">
        <x:v>3.989,00 3.989,00</x:v>
      </x:c>
      <x:c r="F233" s="24" t="str">
        <x:v>CRIZAL ROCK HR EASY 3.549,00</x:v>
      </x:c>
      <x:c r="G233" s="24" t="n">
        <x:v>3719</x:v>
      </x:c>
      <x:c r="H233" s="24" t="n">
        <x:v>46118</x:v>
      </x:c>
      <x:c r="I233" s="24" t="n">
        <x:v>46234</x:v>
      </x:c>
      <x:c r="J233" s="24" t="str">
        <x:v>EXPIRADA</x:v>
      </x:c>
    </x:row>
    <x:row r="234">
      <x:c r="A234" s="24" t="n">
        <x:v>6</x:v>
      </x:c>
      <x:c r="B234" s="24" t="str">
        <x:v>Varilux Physio Extensee</x:v>
      </x:c>
      <x:c r="C234" s="24" t="n">
        <x:v>154.2</x:v>
      </x:c>
      <x:c r="D234" s="24" t="n">
        <x:v>268.1</x:v>
      </x:c>
      <x:c r="E234" s="24" t="str">
        <x:v>Orma 3.819,00 3.819,00</x:v>
      </x:c>
      <x:c r="F234" s="24" t="str">
        <x:v>CRIZAL ROCK HR EASY</x:v>
      </x:c>
      <x:c r="G234" s="24" t="n">
        <x:v>3549</x:v>
      </x:c>
      <x:c r="H234" s="24" t="n">
        <x:v>46118</x:v>
      </x:c>
      <x:c r="I234" s="24" t="n">
        <x:v>46234</x:v>
      </x:c>
      <x:c r="J234" s="24" t="str">
        <x:v>EXPIRADA</x:v>
      </x:c>
    </x:row>
    <x:row r="235">
      <x:c r="A235" s="24" t="n">
        <x:v>6</x:v>
      </x:c>
      <x:c r="B235" s="24" t="str">
        <x:v>Varilux Physio Extensee</x:v>
      </x:c>
      <x:c r="C235" s="24" t="n">
        <x:v>208.9</x:v>
      </x:c>
      <x:c r="D235" s="24" t="n">
        <x:v>267</x:v>
      </x:c>
      <x:c r="E235" s="24" t="str">
        <x:v>Airwear 4.119,00 4.119,00</x:v>
      </x:c>
      <x:c r="F235" s="24" t="str">
        <x:v>CRIZAL ROCK HR EASY 3.549,00 3.719,00 4.649,00</x:v>
      </x:c>
      <x:c r="G235" s="24" t="n">
        <x:v>3849</x:v>
      </x:c>
      <x:c r="H235" s="24" t="n">
        <x:v>46118</x:v>
      </x:c>
      <x:c r="I235" s="24" t="n">
        <x:v>46234</x:v>
      </x:c>
      <x:c r="J235" s="24" t="str">
        <x:v>EXPIRADA</x:v>
      </x:c>
    </x:row>
    <x:row r="236">
      <x:c r="A236" s="24" t="n">
        <x:v>6</x:v>
      </x:c>
      <x:c r="B236" s="24" t="str">
        <x:v>Varilux Physio Extensee</x:v>
      </x:c>
      <x:c r="C236" s="24" t="n">
        <x:v>265.3</x:v>
      </x:c>
      <x:c r="D236" s="24" t="n">
        <x:v>265.3</x:v>
      </x:c>
      <x:c r="E236" s="24" t="str">
        <x:v>6.109,00 6.109,00</x:v>
      </x:c>
      <x:c r="F236" s="24" t="str">
        <x:v>4.649,00 3.849,00 4.949,00 4.979,00</x:v>
      </x:c>
      <x:c r="G236" s="24" t="n">
        <x:v>5839</x:v>
      </x:c>
      <x:c r="H236" s="24" t="n">
        <x:v>46118</x:v>
      </x:c>
      <x:c r="I236" s="24" t="n">
        <x:v>46234</x:v>
      </x:c>
      <x:c r="J236" s="24" t="str">
        <x:v>EXPIRADA</x:v>
      </x:c>
    </x:row>
    <x:row r="237">
      <x:c r="A237" s="24" t="n">
        <x:v>6</x:v>
      </x:c>
      <x:c r="B237" s="24" t="str">
        <x:v>Varilux Physio Extensee</x:v>
      </x:c>
      <x:c r="C237" s="24" t="n">
        <x:v>224.2</x:v>
      </x:c>
      <x:c r="D237" s="24" t="n">
        <x:v>266.9</x:v>
      </x:c>
      <x:c r="E237" s="24" t="str">
        <x:v>5.219,00 5.219,00</x:v>
      </x:c>
      <x:c r="F237" s="24" t="str">
        <x:v>CRIZAL ROCK HR EASY 3.549,00 3.719,00 4.649,00 3.849,00</x:v>
      </x:c>
      <x:c r="G237" s="24" t="n">
        <x:v>4949</x:v>
      </x:c>
      <x:c r="H237" s="24" t="n">
        <x:v>46118</x:v>
      </x:c>
      <x:c r="I237" s="24" t="n">
        <x:v>46234</x:v>
      </x:c>
      <x:c r="J237" s="24" t="str">
        <x:v>EXPIRADA</x:v>
      </x:c>
    </x:row>
    <x:row r="238">
      <x:c r="A238" s="24" t="n">
        <x:v>6</x:v>
      </x:c>
      <x:c r="B238" s="24" t="str">
        <x:v>Varilux Physio Extensee</x:v>
      </x:c>
      <x:c r="C238" s="24" t="n">
        <x:v>168.9</x:v>
      </x:c>
      <x:c r="D238" s="24" t="n">
        <x:v>315.4</x:v>
      </x:c>
      <x:c r="E238" s="24" t="str">
        <x:v>3.989,00 3.989,00 3.719,00</x:v>
      </x:c>
      <x:c r="F238" s="24" t="str">
        <x:v>C M CRIZAL EASY PRO 3.199,00</x:v>
      </x:c>
      <x:c r="G238" s="24" t="n">
        <x:v>3369</x:v>
      </x:c>
      <x:c r="H238" s="24" t="n">
        <x:v>46118</x:v>
      </x:c>
      <x:c r="I238" s="24" t="n">
        <x:v>46234</x:v>
      </x:c>
      <x:c r="J238" s="24" t="str">
        <x:v>EXPIRADA</x:v>
      </x:c>
    </x:row>
    <x:row r="239">
      <x:c r="A239" s="24" t="n">
        <x:v>6</x:v>
      </x:c>
      <x:c r="B239" s="24" t="str">
        <x:v>Varilux Physio Extensee</x:v>
      </x:c>
      <x:c r="C239" s="24" t="n">
        <x:v>182.2</x:v>
      </x:c>
      <x:c r="D239" s="24" t="n">
        <x:v>166.1</x:v>
      </x:c>
      <x:c r="E239" s="24" t="str">
        <x:v>Transitions Gen S</x:v>
      </x:c>
      <x:c r="F239" s="24" t="str">
        <x:v>adicional: CRIZAL PREVENCIA 3.819,00 3.989,00 +R$170</x:v>
      </x:c>
      <x:c r="G239" s="24" t="n">
        <x:v>4919</x:v>
      </x:c>
      <x:c r="H239" s="24" t="n">
        <x:v>46118</x:v>
      </x:c>
      <x:c r="I239" s="24" t="n">
        <x:v>46234</x:v>
      </x:c>
      <x:c r="J239" s="24" t="str">
        <x:v>EXPIRADA</x:v>
      </x:c>
    </x:row>
    <x:row r="240">
      <x:c r="A240" s="24" t="n">
        <x:v>6</x:v>
      </x:c>
      <x:c r="B240" s="24" t="str">
        <x:v>Varilux Physio Extensee</x:v>
      </x:c>
      <x:c r="C240" s="24" t="n">
        <x:v>182.2</x:v>
      </x:c>
      <x:c r="D240" s="24" t="n">
        <x:v>365.8</x:v>
      </x:c>
      <x:c r="E240" s="24" t="str">
        <x:v>Transitions Gen S 4.919,00 4.919,00 4.649,00 4.299,00</x:v>
      </x:c>
      <x:c r="F240" s="24" t="str">
        <x:v>MARROM ÂMBAR M A OPTIFOG PRO 3.439,00 3.609,00</x:v>
      </x:c>
      <x:c r="G240" s="24" t="n">
        <x:v>4539</x:v>
      </x:c>
      <x:c r="H240" s="24" t="n">
        <x:v>46118</x:v>
      </x:c>
      <x:c r="I240" s="24" t="n">
        <x:v>46234</x:v>
      </x:c>
      <x:c r="J240" s="24" t="str">
        <x:v>EXPIRADA</x:v>
      </x:c>
    </x:row>
    <x:row r="241">
      <x:c r="A241" s="24" t="n">
        <x:v>6</x:v>
      </x:c>
      <x:c r="B241" s="24" t="str">
        <x:v>Varilux Physio Extensee</x:v>
      </x:c>
      <x:c r="C241" s="24" t="n">
        <x:v>182.2</x:v>
      </x:c>
      <x:c r="D241" s="24" t="n">
        <x:v>217.4</x:v>
      </x:c>
      <x:c r="E241" s="24" t="str">
        <x:v>Transitions Gen S 4.919,00</x:v>
      </x:c>
      <x:c r="F241" s="24" t="str">
        <x:v>CRIZAL SAPPHIRE HR 3.819,00 3.989,00</x:v>
      </x:c>
      <x:c r="G241" s="24" t="n">
        <x:v>4919</x:v>
      </x:c>
      <x:c r="H241" s="24" t="n">
        <x:v>46118</x:v>
      </x:c>
      <x:c r="I241" s="24" t="n">
        <x:v>46234</x:v>
      </x:c>
      <x:c r="J241" s="24" t="str">
        <x:v>EXPIRADA</x:v>
      </x:c>
    </x:row>
    <x:row r="242">
      <x:c r="A242" s="24" t="n">
        <x:v>6</x:v>
      </x:c>
      <x:c r="B242" s="24" t="str">
        <x:v>Varilux Physio Extensee</x:v>
      </x:c>
      <x:c r="C242" s="24" t="n">
        <x:v>182.2</x:v>
      </x:c>
      <x:c r="D242" s="24" t="n">
        <x:v>267.9</x:v>
      </x:c>
      <x:c r="E242" s="24" t="str">
        <x:v>Transitions Gen S 4.919,00 4.919,00</x:v>
      </x:c>
      <x:c r="F242" s="24" t="str">
        <x:v>CRIZAL ROCK HR EASY 3.549,00 3.719,00</x:v>
      </x:c>
      <x:c r="G242" s="24" t="n">
        <x:v>4649</x:v>
      </x:c>
      <x:c r="H242" s="24" t="n">
        <x:v>46118</x:v>
      </x:c>
      <x:c r="I242" s="24" t="n">
        <x:v>46234</x:v>
      </x:c>
      <x:c r="J242" s="24" t="str">
        <x:v>EXPIRADA</x:v>
      </x:c>
    </x:row>
    <x:row r="243">
      <x:c r="A243" s="24" t="n">
        <x:v>6</x:v>
      </x:c>
      <x:c r="B243" s="24" t="str">
        <x:v>Varilux Physio Extensee</x:v>
      </x:c>
      <x:c r="C243" s="24" t="n">
        <x:v>182.2</x:v>
      </x:c>
      <x:c r="D243" s="24" t="n">
        <x:v>315.6</x:v>
      </x:c>
      <x:c r="E243" s="24" t="str">
        <x:v>Transitions Gen S 4.919,00 4.919,00 4.649,00</x:v>
      </x:c>
      <x:c r="F243" s="24" t="str">
        <x:v>M CRIZAL EASY PRO 3.199,00 3.369,00</x:v>
      </x:c>
      <x:c r="G243" s="24" t="n">
        <x:v>4299</x:v>
      </x:c>
      <x:c r="H243" s="24" t="n">
        <x:v>46118</x:v>
      </x:c>
      <x:c r="I243" s="24" t="n">
        <x:v>46234</x:v>
      </x:c>
      <x:c r="J243" s="24" t="str">
        <x:v>EXPIRADA</x:v>
      </x:c>
    </x:row>
    <x:row r="244">
      <x:c r="A244" s="24" t="n">
        <x:v>6</x:v>
      </x:c>
      <x:c r="B244" s="24" t="str">
        <x:v>Varilux Physio Extensee</x:v>
      </x:c>
      <x:c r="C244" s="24" t="n">
        <x:v>154.2</x:v>
      </x:c>
      <x:c r="D244" s="24" t="n">
        <x:v>315.6</x:v>
      </x:c>
      <x:c r="E244" s="24" t="str">
        <x:v>Orma 3.819,00 3.819,00 3.549,00</x:v>
      </x:c>
      <x:c r="F244" s="24" t="str">
        <x:v>LEGENDA C M CRIZAL EASY PRO</x:v>
      </x:c>
      <x:c r="G244" s="24" t="n">
        <x:v>3199</x:v>
      </x:c>
      <x:c r="H244" s="24" t="n">
        <x:v>46118</x:v>
      </x:c>
      <x:c r="I244" s="24" t="n">
        <x:v>46234</x:v>
      </x:c>
      <x:c r="J244" s="24" t="str">
        <x:v>EXPIRADA</x:v>
      </x:c>
    </x:row>
    <x:row r="245">
      <x:c r="A245" s="24" t="n">
        <x:v>6</x:v>
      </x:c>
      <x:c r="B245" s="24" t="str">
        <x:v>Varilux Physio Extensee</x:v>
      </x:c>
      <x:c r="C245" s="24" t="n">
        <x:v>208.9</x:v>
      </x:c>
      <x:c r="D245" s="24" t="n">
        <x:v>315.4</x:v>
      </x:c>
      <x:c r="E245" s="24" t="str">
        <x:v>Airwear 4.119,00 4.119,00 3.849,00</x:v>
      </x:c>
      <x:c r="F245" s="24" t="str">
        <x:v>CRIZAL EASY PRO 3.199,00 3.369,00 4.299,00</x:v>
      </x:c>
      <x:c r="G245" s="24" t="n">
        <x:v>3499</x:v>
      </x:c>
      <x:c r="H245" s="24" t="n">
        <x:v>46118</x:v>
      </x:c>
      <x:c r="I245" s="24" t="n">
        <x:v>46234</x:v>
      </x:c>
      <x:c r="J245" s="24" t="str">
        <x:v>EXPIRADA</x:v>
      </x:c>
    </x:row>
    <x:row r="246">
      <x:c r="A246" s="24" t="n">
        <x:v>6</x:v>
      </x:c>
      <x:c r="B246" s="24" t="str">
        <x:v>Varilux Physio Extensee</x:v>
      </x:c>
      <x:c r="C246" s="24" t="n">
        <x:v>278.5</x:v>
      </x:c>
      <x:c r="D246" s="24" t="n">
        <x:v>164</x:v>
      </x:c>
      <x:c r="E246" s="24" t="str">
        <x:v>C M V</x:v>
      </x:c>
      <x:c r="F246" s="24" t="str">
        <x:v>+R$1.100 4.119,00 5.219,00 +R$1.100 5.249,00 +R$1.130 6.109,00</x:v>
      </x:c>
      <x:c r="G246" s="24" t="n">
        <x:v>7209</x:v>
      </x:c>
      <x:c r="H246" s="24" t="n">
        <x:v>46118</x:v>
      </x:c>
      <x:c r="I246" s="24" t="n">
        <x:v>46234</x:v>
      </x:c>
      <x:c r="J246" s="24" t="str">
        <x:v>EXPIRADA</x:v>
      </x:c>
    </x:row>
    <x:row r="247">
      <x:c r="A247" s="24" t="n">
        <x:v>6</x:v>
      </x:c>
      <x:c r="B247" s="24" t="str">
        <x:v>Varilux Physio Extensee</x:v>
      </x:c>
      <x:c r="C247" s="24" t="n">
        <x:v>278.5</x:v>
      </x:c>
      <x:c r="D247" s="24" t="n">
        <x:v>365.9</x:v>
      </x:c>
      <x:c r="E247" s="24" t="str">
        <x:v>C M V 7.209,00 7.209,00 6.939,00 6.589,00</x:v>
      </x:c>
      <x:c r="F247" s="24" t="str">
        <x:v>3.739,00 4.839,00 4.869,00 5.729,00</x:v>
      </x:c>
      <x:c r="G247" s="24" t="n">
        <x:v>6829</x:v>
      </x:c>
      <x:c r="H247" s="24" t="n">
        <x:v>46118</x:v>
      </x:c>
      <x:c r="I247" s="24" t="n">
        <x:v>46234</x:v>
      </x:c>
      <x:c r="J247" s="24" t="str">
        <x:v>EXPIRADA</x:v>
      </x:c>
    </x:row>
    <x:row r="248">
      <x:c r="A248" s="24" t="n">
        <x:v>6</x:v>
      </x:c>
      <x:c r="B248" s="24" t="str">
        <x:v>Varilux Physio Extensee</x:v>
      </x:c>
      <x:c r="C248" s="24" t="n">
        <x:v>278.5</x:v>
      </x:c>
      <x:c r="D248" s="24" t="n">
        <x:v>216.2</x:v>
      </x:c>
      <x:c r="E248" s="24" t="str">
        <x:v>C M V 7.209,00</x:v>
      </x:c>
      <x:c r="F248" s="24" t="str">
        <x:v>4.119,00 5.219,00 5.249,00 6.109,00</x:v>
      </x:c>
      <x:c r="G248" s="24" t="n">
        <x:v>7209</x:v>
      </x:c>
      <x:c r="H248" s="24" t="n">
        <x:v>46118</x:v>
      </x:c>
      <x:c r="I248" s="24" t="n">
        <x:v>46234</x:v>
      </x:c>
      <x:c r="J248" s="24" t="str">
        <x:v>EXPIRADA</x:v>
      </x:c>
    </x:row>
    <x:row r="249">
      <x:c r="A249" s="24" t="n">
        <x:v>6</x:v>
      </x:c>
      <x:c r="B249" s="24" t="str">
        <x:v>Varilux Physio Extensee</x:v>
      </x:c>
      <x:c r="C249" s="24" t="n">
        <x:v>278.5</x:v>
      </x:c>
      <x:c r="D249" s="24" t="n">
        <x:v>266.2</x:v>
      </x:c>
      <x:c r="E249" s="24" t="str">
        <x:v>C M V 7.209,00 7.209,00</x:v>
      </x:c>
      <x:c r="F249" s="24" t="str">
        <x:v>3.849,00 4.949,00 4.979,00 5.839,00</x:v>
      </x:c>
      <x:c r="G249" s="24" t="n">
        <x:v>6939</x:v>
      </x:c>
      <x:c r="H249" s="24" t="n">
        <x:v>46118</x:v>
      </x:c>
      <x:c r="I249" s="24" t="n">
        <x:v>46234</x:v>
      </x:c>
      <x:c r="J249" s="24" t="str">
        <x:v>EXPIRADA</x:v>
      </x:c>
    </x:row>
    <x:row r="250">
      <x:c r="A250" s="24" t="n">
        <x:v>6</x:v>
      </x:c>
      <x:c r="B250" s="24" t="str">
        <x:v>Varilux Physio Extensee</x:v>
      </x:c>
      <x:c r="C250" s="24" t="n">
        <x:v>278.5</x:v>
      </x:c>
      <x:c r="D250" s="24" t="n">
        <x:v>316.4</x:v>
      </x:c>
      <x:c r="E250" s="24" t="str">
        <x:v>C M V 7.209,00 7.209,00 6.939,00</x:v>
      </x:c>
      <x:c r="F250" s="24" t="str">
        <x:v>3.499,00 4.599,00 4.629,00 5.489,00</x:v>
      </x:c>
      <x:c r="G250" s="24" t="n">
        <x:v>6589</x:v>
      </x:c>
      <x:c r="H250" s="24" t="n">
        <x:v>46118</x:v>
      </x:c>
      <x:c r="I250" s="24" t="n">
        <x:v>46234</x:v>
      </x:c>
      <x:c r="J250" s="24" t="str">
        <x:v>EXPIRADA</x:v>
      </x:c>
    </x:row>
    <x:row r="251">
      <x:c r="A251" s="24" t="n">
        <x:v>6</x:v>
      </x:c>
      <x:c r="B251" s="24" t="str">
        <x:v>Varilux Physio Extensee</x:v>
      </x:c>
      <x:c r="C251" s="24" t="n">
        <x:v>302.5</x:v>
      </x:c>
      <x:c r="D251" s="24" t="n">
        <x:v>218.4</x:v>
      </x:c>
      <x:c r="E251" s="24" t="str">
        <x:v>Stylis 1.74 -</x:v>
      </x:c>
      <x:c r="F251" s="24" t="str">
        <x:v>4.119,00 5.219,00 5.249,00 6.109,00 7.209,00</x:v>
      </x:c>
      <x:c r="G251" s="24" t="n">
        <x:v>7449</x:v>
      </x:c>
      <x:c r="H251" s="24" t="n">
        <x:v>46118</x:v>
      </x:c>
      <x:c r="I251" s="24" t="n">
        <x:v>46234</x:v>
      </x:c>
      <x:c r="J251" s="24" t="str">
        <x:v>EXPIRADA</x:v>
      </x:c>
    </x:row>
    <x:row r="252">
      <x:c r="A252" s="24" t="n">
        <x:v>6</x:v>
      </x:c>
      <x:c r="B252" s="24" t="str">
        <x:v>Varilux Physio Extensee</x:v>
      </x:c>
      <x:c r="C252" s="24" t="n">
        <x:v>265.3</x:v>
      </x:c>
      <x:c r="D252" s="24" t="n">
        <x:v>314.9</x:v>
      </x:c>
      <x:c r="E252" s="24" t="str">
        <x:v>6.109,00 6.109,00 5.839,00</x:v>
      </x:c>
      <x:c r="F252" s="24" t="str">
        <x:v>4.299,00 3.499,00 4.599,00 4.629,00</x:v>
      </x:c>
      <x:c r="G252" s="24" t="n">
        <x:v>5489</x:v>
      </x:c>
      <x:c r="H252" s="24" t="n">
        <x:v>46118</x:v>
      </x:c>
      <x:c r="I252" s="24" t="n">
        <x:v>46234</x:v>
      </x:c>
      <x:c r="J252" s="24" t="str">
        <x:v>EXPIRADA</x:v>
      </x:c>
    </x:row>
    <x:row r="253">
      <x:c r="A253" s="24" t="n">
        <x:v>6</x:v>
      </x:c>
      <x:c r="B253" s="24" t="str">
        <x:v>Varilux Physio Extensee</x:v>
      </x:c>
      <x:c r="C253" s="24" t="n">
        <x:v>224.2</x:v>
      </x:c>
      <x:c r="D253" s="24" t="n">
        <x:v>316.3</x:v>
      </x:c>
      <x:c r="E253" s="24" t="str">
        <x:v>5.219,00 5.219,00 4.949,00</x:v>
      </x:c>
      <x:c r="F253" s="24" t="str">
        <x:v>CRIZAL EASY PRO 3.199,00 3.369,00 4.299,00 3.499,00</x:v>
      </x:c>
      <x:c r="G253" s="24" t="n">
        <x:v>4599</x:v>
      </x:c>
      <x:c r="H253" s="24" t="n">
        <x:v>46118</x:v>
      </x:c>
      <x:c r="I253" s="24" t="n">
        <x:v>46234</x:v>
      </x:c>
      <x:c r="J253" s="24" t="str">
        <x:v>EXPIRADA</x:v>
      </x:c>
    </x:row>
    <x:row r="254">
      <x:c r="A254" s="24" t="n">
        <x:v>6</x:v>
      </x:c>
      <x:c r="B254" s="24" t="str">
        <x:v>Varilux Physio Extensee</x:v>
      </x:c>
      <x:c r="C254" s="24" t="n">
        <x:v>238</x:v>
      </x:c>
      <x:c r="D254" s="24" t="n">
        <x:v>164.5</x:v>
      </x:c>
      <x:c r="E254" s="24" t="str">
        <x:v>Transitions Extractive</x:v>
      </x:c>
      <x:c r="F254" s="24" t="str">
        <x:v>3.819,00 3.989,00 +R$170 4.919,00 +R$1.100 4.119,00 5.219,00 +R$1.100</x:v>
      </x:c>
      <x:c r="G254" s="24" t="n">
        <x:v>5249</x:v>
      </x:c>
      <x:c r="H254" s="24" t="n">
        <x:v>46118</x:v>
      </x:c>
      <x:c r="I254" s="24" t="n">
        <x:v>46234</x:v>
      </x:c>
      <x:c r="J254" s="24" t="str">
        <x:v>EXPIRADA</x:v>
      </x:c>
    </x:row>
    <x:row r="255">
      <x:c r="A255" s="24" t="n">
        <x:v>6</x:v>
      </x:c>
      <x:c r="B255" s="24" t="str">
        <x:v>Varilux Physio Extensee</x:v>
      </x:c>
      <x:c r="C255" s="24" t="n">
        <x:v>238</x:v>
      </x:c>
      <x:c r="D255" s="24" t="n">
        <x:v>365.8</x:v>
      </x:c>
      <x:c r="E255" s="24" t="str">
        <x:v>Transitions Extractive 5.249,00 5.249,00 4.979,00 4.629,00</x:v>
      </x:c>
      <x:c r="F255" s="24" t="str">
        <x:v>3.439,00 3.609,00 4.539,00 3.739,00 4.839,00</x:v>
      </x:c>
      <x:c r="G255" s="24" t="n">
        <x:v>4869</x:v>
      </x:c>
      <x:c r="H255" s="24" t="n">
        <x:v>46118</x:v>
      </x:c>
      <x:c r="I255" s="24" t="n">
        <x:v>46234</x:v>
      </x:c>
      <x:c r="J255" s="24" t="str">
        <x:v>EXPIRADA</x:v>
      </x:c>
    </x:row>
    <x:row r="256">
      <x:c r="A256" s="24" t="n">
        <x:v>6</x:v>
      </x:c>
      <x:c r="B256" s="24" t="str">
        <x:v>Varilux Physio Extensee</x:v>
      </x:c>
      <x:c r="C256" s="24" t="n">
        <x:v>238</x:v>
      </x:c>
      <x:c r="D256" s="24" t="n">
        <x:v>218.3</x:v>
      </x:c>
      <x:c r="E256" s="24" t="str">
        <x:v>Transitions Extractive 5.249,00</x:v>
      </x:c>
      <x:c r="F256" s="24" t="str">
        <x:v>3.819,00 3.989,00 4.919,00 4.119,00 5.219,00</x:v>
      </x:c>
      <x:c r="G256" s="24" t="n">
        <x:v>5249</x:v>
      </x:c>
      <x:c r="H256" s="24" t="n">
        <x:v>46118</x:v>
      </x:c>
      <x:c r="I256" s="24" t="n">
        <x:v>46234</x:v>
      </x:c>
      <x:c r="J256" s="24" t="str">
        <x:v>EXPIRADA</x:v>
      </x:c>
    </x:row>
    <x:row r="257">
      <x:c r="A257" s="24" t="n">
        <x:v>6</x:v>
      </x:c>
      <x:c r="B257" s="24" t="str">
        <x:v>Varilux Physio Extensee</x:v>
      </x:c>
      <x:c r="C257" s="24" t="n">
        <x:v>238</x:v>
      </x:c>
      <x:c r="D257" s="24" t="n">
        <x:v>267</x:v>
      </x:c>
      <x:c r="E257" s="24" t="str">
        <x:v>Transitions Extractive 5.249,00 5.249,00</x:v>
      </x:c>
      <x:c r="F257" s="24" t="str">
        <x:v>3.549,00 3.719,00 4.649,00 3.849,00 4.949,00</x:v>
      </x:c>
      <x:c r="G257" s="24" t="n">
        <x:v>4979</x:v>
      </x:c>
      <x:c r="H257" s="24" t="n">
        <x:v>46118</x:v>
      </x:c>
      <x:c r="I257" s="24" t="n">
        <x:v>46234</x:v>
      </x:c>
      <x:c r="J257" s="24" t="str">
        <x:v>EXPIRADA</x:v>
      </x:c>
    </x:row>
    <x:row r="258">
      <x:c r="A258" s="24" t="n">
        <x:v>6</x:v>
      </x:c>
      <x:c r="B258" s="24" t="str">
        <x:v>Varilux Physio Extensee</x:v>
      </x:c>
      <x:c r="C258" s="24" t="n">
        <x:v>238</x:v>
      </x:c>
      <x:c r="D258" s="24" t="n">
        <x:v>316.4</x:v>
      </x:c>
      <x:c r="E258" s="24" t="str">
        <x:v>Transitions Extractive 5.249,00 5.249,00 4.979,00</x:v>
      </x:c>
      <x:c r="F258" s="24" t="str">
        <x:v>3.199,00 3.369,00 4.299,00 3.499,00 4.599,00</x:v>
      </x:c>
      <x:c r="G258" s="24" t="n">
        <x:v>4629</x:v>
      </x:c>
      <x:c r="H258" s="24" t="n">
        <x:v>46118</x:v>
      </x:c>
      <x:c r="I258" s="24" t="n">
        <x:v>46234</x:v>
      </x:c>
      <x:c r="J258" s="24" t="str">
        <x:v>EXPIRADA</x:v>
      </x:c>
    </x:row>
    <x:row r="259">
      <x:c r="A259" s="24" t="n">
        <x:v>6</x:v>
      </x:c>
      <x:c r="B259" s="24" t="str">
        <x:v>Varilux Physio Extensee</x:v>
      </x:c>
      <x:c r="C259" s="24" t="n">
        <x:v>760.1</x:v>
      </x:c>
      <x:c r="D259" s="24" t="n">
        <x:v>134.9</x:v>
      </x:c>
      <x:c r="E259" s="24" t="str">
        <x:v>+ Coloração especial</x:v>
      </x:c>
      <x:c r="F259" s="24" t="str">
        <x:v>opcional sem custo adicional: Eyecode VERNIZ HC MARCAÇÃO 2.589,00 padrão</x:v>
      </x:c>
      <x:c r="G259" s="24" t="n">
        <x:v>2699</x:v>
      </x:c>
      <x:c r="H259" s="24" t="n">
        <x:v>46118</x:v>
      </x:c>
      <x:c r="I259" s="24" t="n">
        <x:v>46234</x:v>
      </x:c>
      <x:c r="J259" s="24" t="str">
        <x:v>EXPIRADA</x:v>
      </x:c>
    </x:row>
    <x:row r="260">
      <x:c r="A260" s="24" t="n">
        <x:v>6</x:v>
      </x:c>
      <x:c r="B260" s="24" t="str">
        <x:v>Varilux Physio Extensee</x:v>
      </x:c>
      <x:c r="C260" s="24" t="n">
        <x:v>746.6</x:v>
      </x:c>
      <x:c r="D260" s="24" t="n">
        <x:v>135</x:v>
      </x:c>
      <x:c r="E260" s="24" t="str">
        <x:v>Orma + Coloração padrão</x:v>
      </x:c>
      <x:c r="F260" s="24" t="str">
        <x:v>- opcional sem custo adicional: Eyecode VERNIZ HC MARCAÇÃO</x:v>
      </x:c>
      <x:c r="G260" s="24" t="n">
        <x:v>2589</x:v>
      </x:c>
      <x:c r="H260" s="24" t="n">
        <x:v>46118</x:v>
      </x:c>
      <x:c r="I260" s="24" t="n">
        <x:v>46234</x:v>
      </x:c>
      <x:c r="J260" s="24" t="str">
        <x:v>EXPIRADA</x:v>
      </x:c>
    </x:row>
    <x:row r="261">
      <x:c r="A261" s="24" t="n">
        <x:v>6</x:v>
      </x:c>
      <x:c r="B261" s="24" t="str">
        <x:v>Varilux Physio Extensee</x:v>
      </x:c>
      <x:c r="C261" s="24" t="n">
        <x:v>790.6</x:v>
      </x:c>
      <x:c r="D261" s="24" t="n">
        <x:v>134.9</x:v>
      </x:c>
      <x:c r="E261" s="24" t="str">
        <x:v>+ Coloração especial</x:v>
      </x:c>
      <x:c r="F261" s="24" t="str">
        <x:v>Eyecode VERNIZ HC MARCAÇÃO 2.589,00 padrão 2.699,00 especial 2.889,00 padrão</x:v>
      </x:c>
      <x:c r="G261" s="24" t="n">
        <x:v>2999</x:v>
      </x:c>
      <x:c r="H261" s="24" t="n">
        <x:v>46118</x:v>
      </x:c>
      <x:c r="I261" s="24" t="n">
        <x:v>46234</x:v>
      </x:c>
      <x:c r="J261" s="24" t="str">
        <x:v>EXPIRADA</x:v>
      </x:c>
    </x:row>
    <x:row r="262">
      <x:c r="A262" s="24" t="n">
        <x:v>6</x:v>
      </x:c>
      <x:c r="B262" s="24" t="str">
        <x:v>Varilux Physio Extensee</x:v>
      </x:c>
      <x:c r="C262" s="24" t="n">
        <x:v>777.1</x:v>
      </x:c>
      <x:c r="D262" s="24" t="n">
        <x:v>135</x:v>
      </x:c>
      <x:c r="E262" s="24" t="str">
        <x:v>Airwear + Coloração padrão</x:v>
      </x:c>
      <x:c r="F262" s="24" t="str">
        <x:v>custo adicional: Eyecode VERNIZ HC MARCAÇÃO 2.589,00 padrão 2.699,00 especial</x:v>
      </x:c>
      <x:c r="G262" s="24" t="n">
        <x:v>2889</x:v>
      </x:c>
      <x:c r="H262" s="24" t="n">
        <x:v>46118</x:v>
      </x:c>
      <x:c r="I262" s="24" t="n">
        <x:v>46234</x:v>
      </x:c>
      <x:c r="J262" s="24" t="str">
        <x:v>EXPIRADA</x:v>
      </x:c>
    </x:row>
    <x:row r="263">
      <x:c r="A263" s="24" t="n">
        <x:v>6</x:v>
      </x:c>
      <x:c r="B263" s="24" t="str">
        <x:v>Varilux Physio Extensee</x:v>
      </x:c>
      <x:c r="C263" s="24" t="n">
        <x:v>517.2</x:v>
      </x:c>
      <x:c r="D263" s="24" t="n">
        <x:v>177.2</x:v>
      </x:c>
      <x:c r="E263" s="24" t="str">
        <x:v>Orma</x:v>
      </x:c>
      <x:c r="F263" s="24" t="str">
        <x:v>+7,00 3.389,00 -12,00 a +7,00 F adicional: CRIZAL PREVENCIA SAPPHIRE</x:v>
      </x:c>
      <x:c r="G263" s="24" t="n">
        <x:v>3429</x:v>
      </x:c>
      <x:c r="H263" s="24" t="n">
        <x:v>46118</x:v>
      </x:c>
      <x:c r="I263" s="24" t="n">
        <x:v>46234</x:v>
      </x:c>
      <x:c r="J263" s="24" t="str">
        <x:v>EXPIRADA</x:v>
      </x:c>
    </x:row>
    <x:row r="264">
      <x:c r="A264" s="24" t="n">
        <x:v>6</x:v>
      </x:c>
      <x:c r="B264" s="24" t="str">
        <x:v>Varilux Physio Extensee</x:v>
      </x:c>
      <x:c r="C264" s="24" t="n">
        <x:v>517.2</x:v>
      </x:c>
      <x:c r="D264" s="24" t="n">
        <x:v>269</x:v>
      </x:c>
      <x:c r="E264" s="24" t="str">
        <x:v>Orma 3.429,00 3.429,00</x:v>
      </x:c>
      <x:c r="F264" s="24" t="str">
        <x:v>a -6,00 3,50 CRIZAL CRIZAL ROCK HR EASY</x:v>
      </x:c>
      <x:c r="G264" s="24" t="n">
        <x:v>3159</x:v>
      </x:c>
      <x:c r="H264" s="24" t="n">
        <x:v>46118</x:v>
      </x:c>
      <x:c r="I264" s="24" t="n">
        <x:v>46234</x:v>
      </x:c>
      <x:c r="J264" s="24" t="str">
        <x:v>EXPIRADA</x:v>
      </x:c>
    </x:row>
    <x:row r="265">
      <x:c r="A265" s="24" t="n">
        <x:v>6</x:v>
      </x:c>
      <x:c r="B265" s="24" t="str">
        <x:v>Varilux Physio Extensee</x:v>
      </x:c>
      <x:c r="C265" s="24" t="n">
        <x:v>517.2</x:v>
      </x:c>
      <x:c r="D265" s="24" t="n">
        <x:v>314.5</x:v>
      </x:c>
      <x:c r="E265" s="24" t="str">
        <x:v>Orma 3.429,00 3.429,00 3.159,00</x:v>
      </x:c>
      <x:c r="F265" s="24" t="str">
        <x:v>CRIZAL EASY PRO</x:v>
      </x:c>
      <x:c r="G265" s="24" t="n">
        <x:v>2809</x:v>
      </x:c>
      <x:c r="H265" s="24" t="n">
        <x:v>46118</x:v>
      </x:c>
      <x:c r="I265" s="24" t="n">
        <x:v>46234</x:v>
      </x:c>
      <x:c r="J265" s="24" t="str">
        <x:v>EXPIRADA</x:v>
      </x:c>
    </x:row>
    <x:row r="266">
      <x:c r="A266" s="24" t="n">
        <x:v>6</x:v>
      </x:c>
      <x:c r="B266" s="24" t="str">
        <x:v>Varilux Physio Extensee</x:v>
      </x:c>
      <x:c r="C266" s="24" t="n">
        <x:v>517.2</x:v>
      </x:c>
      <x:c r="D266" s="24" t="n">
        <x:v>362.7</x:v>
      </x:c>
      <x:c r="E266" s="24" t="str">
        <x:v>Orma 3.429,00 3.429,00 3.159,00 2.809,00</x:v>
      </x:c>
      <x:c r="F266" s="24" t="str">
        <x:v>OPTIFOG PRO</x:v>
      </x:c>
      <x:c r="G266" s="24" t="n">
        <x:v>3049</x:v>
      </x:c>
      <x:c r="H266" s="24" t="n">
        <x:v>46118</x:v>
      </x:c>
      <x:c r="I266" s="24" t="n">
        <x:v>46234</x:v>
      </x:c>
      <x:c r="J266" s="24" t="str">
        <x:v>EXPIRADA</x:v>
      </x:c>
    </x:row>
    <x:row r="267">
      <x:c r="A267" s="24" t="n">
        <x:v>6</x:v>
      </x:c>
      <x:c r="B267" s="24" t="str">
        <x:v>Varilux Physio Extensee</x:v>
      </x:c>
      <x:c r="C267" s="24" t="n">
        <x:v>531.2</x:v>
      </x:c>
      <x:c r="D267" s="24" t="n">
        <x:v>176.2</x:v>
      </x:c>
      <x:c r="E267" s="24"/>
      <x:c r="F267" s="24" t="str">
        <x:v>3.389,00 -12,00 a F adicional: CRIZAL PREVENCIA SAPPHIRE 3.429,00</x:v>
      </x:c>
      <x:c r="G267" s="24" t="n">
        <x:v>3599</x:v>
      </x:c>
      <x:c r="H267" s="24" t="n">
        <x:v>46118</x:v>
      </x:c>
      <x:c r="I267" s="24" t="n">
        <x:v>46234</x:v>
      </x:c>
      <x:c r="J267" s="24" t="str">
        <x:v>EXPIRADA</x:v>
      </x:c>
    </x:row>
    <x:row r="268">
      <x:c r="A268" s="24" t="n">
        <x:v>6</x:v>
      </x:c>
      <x:c r="B268" s="24" t="str">
        <x:v>Varilux Physio Extensee</x:v>
      </x:c>
      <x:c r="C268" s="24" t="n">
        <x:v>531.2</x:v>
      </x:c>
      <x:c r="D268" s="24" t="n">
        <x:v>269.2</x:v>
      </x:c>
      <x:c r="E268" s="24" t="str">
        <x:v>3.599,00 3.599,00</x:v>
      </x:c>
      <x:c r="F268" s="24" t="str">
        <x:v>CRIZAL CRIZAL ROCK HR EASY 3.159,00</x:v>
      </x:c>
      <x:c r="G268" s="24" t="n">
        <x:v>3329</x:v>
      </x:c>
      <x:c r="H268" s="24" t="n">
        <x:v>46118</x:v>
      </x:c>
      <x:c r="I268" s="24" t="n">
        <x:v>46234</x:v>
      </x:c>
      <x:c r="J268" s="24" t="str">
        <x:v>EXPIRADA</x:v>
      </x:c>
    </x:row>
    <x:row r="269">
      <x:c r="A269" s="24" t="n">
        <x:v>6</x:v>
      </x:c>
      <x:c r="B269" s="24" t="str">
        <x:v>Varilux Physio Extensee</x:v>
      </x:c>
      <x:c r="C269" s="24" t="n">
        <x:v>531.2</x:v>
      </x:c>
      <x:c r="D269" s="24" t="n">
        <x:v>314.6</x:v>
      </x:c>
      <x:c r="E269" s="24" t="str">
        <x:v>3.599,00 3.599,00 3.329,00</x:v>
      </x:c>
      <x:c r="F269" s="24" t="str">
        <x:v>CRIZAL EASY PRO 2.809,00</x:v>
      </x:c>
      <x:c r="G269" s="24" t="n">
        <x:v>2979</x:v>
      </x:c>
      <x:c r="H269" s="24" t="n">
        <x:v>46118</x:v>
      </x:c>
      <x:c r="I269" s="24" t="n">
        <x:v>46234</x:v>
      </x:c>
      <x:c r="J269" s="24" t="str">
        <x:v>EXPIRADA</x:v>
      </x:c>
    </x:row>
    <x:row r="270">
      <x:c r="A270" s="24" t="n">
        <x:v>6</x:v>
      </x:c>
      <x:c r="B270" s="24" t="str">
        <x:v>Varilux Physio Extensee</x:v>
      </x:c>
      <x:c r="C270" s="24" t="n">
        <x:v>531.2</x:v>
      </x:c>
      <x:c r="D270" s="24" t="n">
        <x:v>364.8</x:v>
      </x:c>
      <x:c r="E270" s="24" t="str">
        <x:v>3.599,00 3.599,00 3.329,00 2.979,00</x:v>
      </x:c>
      <x:c r="F270" s="24" t="str">
        <x:v>OPTIFOG PRO 3.049,00</x:v>
      </x:c>
      <x:c r="G270" s="24" t="n">
        <x:v>3219</x:v>
      </x:c>
      <x:c r="H270" s="24" t="n">
        <x:v>46118</x:v>
      </x:c>
      <x:c r="I270" s="24" t="n">
        <x:v>46234</x:v>
      </x:c>
      <x:c r="J270" s="24" t="str">
        <x:v>EXPIRADA</x:v>
      </x:c>
    </x:row>
    <x:row r="271">
      <x:c r="A271" s="24" t="n">
        <x:v>6</x:v>
      </x:c>
      <x:c r="B271" s="24" t="str">
        <x:v>Varilux Physio Extensee</x:v>
      </x:c>
      <x:c r="C271" s="24" t="n">
        <x:v>570.7</x:v>
      </x:c>
      <x:c r="D271" s="24" t="n">
        <x:v>177.3</x:v>
      </x:c>
      <x:c r="E271" s="24" t="str">
        <x:v>Airwear</x:v>
      </x:c>
      <x:c r="F271" s="24" t="str">
        <x:v>CRIZAL PREVENCIA SAPPHIRE 3.429,00 3.599,00 +R$170 4.529,00 +R$1.100</x:v>
      </x:c>
      <x:c r="G271" s="24" t="n">
        <x:v>3729</x:v>
      </x:c>
      <x:c r="H271" s="24" t="n">
        <x:v>46118</x:v>
      </x:c>
      <x:c r="I271" s="24" t="n">
        <x:v>46234</x:v>
      </x:c>
      <x:c r="J271" s="24" t="str">
        <x:v>EXPIRADA</x:v>
      </x:c>
    </x:row>
    <x:row r="272">
      <x:c r="A272" s="24" t="n">
        <x:v>6</x:v>
      </x:c>
      <x:c r="B272" s="24" t="str">
        <x:v>Varilux Physio Extensee</x:v>
      </x:c>
      <x:c r="C272" s="24" t="n">
        <x:v>570.7</x:v>
      </x:c>
      <x:c r="D272" s="24" t="n">
        <x:v>269.1</x:v>
      </x:c>
      <x:c r="E272" s="24" t="str">
        <x:v>Airwear 3.729,00 3.729,00</x:v>
      </x:c>
      <x:c r="F272" s="24" t="str">
        <x:v>CRIZAL CRIZAL ROCK HR EASY 3.159,00 3.329,00 4.259,00</x:v>
      </x:c>
      <x:c r="G272" s="24" t="n">
        <x:v>3459</x:v>
      </x:c>
      <x:c r="H272" s="24" t="n">
        <x:v>46118</x:v>
      </x:c>
      <x:c r="I272" s="24" t="n">
        <x:v>46234</x:v>
      </x:c>
      <x:c r="J272" s="24" t="str">
        <x:v>EXPIRADA</x:v>
      </x:c>
    </x:row>
    <x:row r="273">
      <x:c r="A273" s="24" t="n">
        <x:v>6</x:v>
      </x:c>
      <x:c r="B273" s="24" t="str">
        <x:v>Varilux Physio Extensee</x:v>
      </x:c>
      <x:c r="C273" s="24" t="n">
        <x:v>570.7</x:v>
      </x:c>
      <x:c r="D273" s="24" t="n">
        <x:v>314.1</x:v>
      </x:c>
      <x:c r="E273" s="24" t="str">
        <x:v>Airwear 3.729,00 3.729,00 3.459,00</x:v>
      </x:c>
      <x:c r="F273" s="24" t="str">
        <x:v>CRIZAL CRIZAL ROCK EASY PRO 2.809,00 3.329,00 2.979,00 4.259,00 3.909,00</x:v>
      </x:c>
      <x:c r="G273" s="24" t="n">
        <x:v>3109</x:v>
      </x:c>
      <x:c r="H273" s="24" t="n">
        <x:v>46118</x:v>
      </x:c>
      <x:c r="I273" s="24" t="n">
        <x:v>46234</x:v>
      </x:c>
      <x:c r="J273" s="24" t="str">
        <x:v>EXPIRADA</x:v>
      </x:c>
    </x:row>
    <x:row r="274">
      <x:c r="A274" s="24" t="n">
        <x:v>6</x:v>
      </x:c>
      <x:c r="B274" s="24" t="str">
        <x:v>Varilux Physio Extensee</x:v>
      </x:c>
      <x:c r="C274" s="24" t="n">
        <x:v>570.7</x:v>
      </x:c>
      <x:c r="D274" s="24" t="n">
        <x:v>363.9</x:v>
      </x:c>
      <x:c r="E274" s="24" t="str">
        <x:v>Airwear 3.729,00 3.729,00 3.459,00 3.109,00</x:v>
      </x:c>
      <x:c r="F274" s="24" t="str">
        <x:v>OPTIFOG PRO 3.049,00 3.219,00 4.149,00</x:v>
      </x:c>
      <x:c r="G274" s="24" t="n">
        <x:v>3349</x:v>
      </x:c>
      <x:c r="H274" s="24" t="n">
        <x:v>46118</x:v>
      </x:c>
      <x:c r="I274" s="24" t="n">
        <x:v>46234</x:v>
      </x:c>
      <x:c r="J274" s="24" t="str">
        <x:v>EXPIRADA</x:v>
      </x:c>
    </x:row>
    <x:row r="275">
      <x:c r="A275" s="24" t="n">
        <x:v>6</x:v>
      </x:c>
      <x:c r="B275" s="24" t="str">
        <x:v>Varilux Physio Extensee</x:v>
      </x:c>
      <x:c r="C275" s="24" t="n">
        <x:v>517.2</x:v>
      </x:c>
      <x:c r="D275" s="24" t="n">
        <x:v>224</x:v>
      </x:c>
      <x:c r="E275" s="24" t="str">
        <x:v>Orma 3.429,00</x:v>
      </x:c>
      <x:c r="F275" s="24" t="str">
        <x:v>3,50 -12,00 a +7,00 F CRIZAL CRIZAL ROCK SAPPHIRE HR</x:v>
      </x:c>
      <x:c r="G275" s="24" t="n">
        <x:v>3429</x:v>
      </x:c>
      <x:c r="H275" s="24" t="n">
        <x:v>46118</x:v>
      </x:c>
      <x:c r="I275" s="24" t="n">
        <x:v>46234</x:v>
      </x:c>
      <x:c r="J275" s="24" t="str">
        <x:v>EXPIRADA</x:v>
      </x:c>
    </x:row>
    <x:row r="276">
      <x:c r="A276" s="24" t="n">
        <x:v>6</x:v>
      </x:c>
      <x:c r="B276" s="24" t="str">
        <x:v>Varilux Physio Extensee</x:v>
      </x:c>
      <x:c r="C276" s="24" t="n">
        <x:v>531.2</x:v>
      </x:c>
      <x:c r="D276" s="24" t="n">
        <x:v>223</x:v>
      </x:c>
      <x:c r="E276" s="24" t="str">
        <x:v>3.599,00</x:v>
      </x:c>
      <x:c r="F276" s="24" t="str">
        <x:v>-12,00 a +7,00 F CRIZAL SAPPHIRE HR 3.429,00</x:v>
      </x:c>
      <x:c r="G276" s="24" t="n">
        <x:v>3599</x:v>
      </x:c>
      <x:c r="H276" s="24" t="n">
        <x:v>46118</x:v>
      </x:c>
      <x:c r="I276" s="24" t="n">
        <x:v>46234</x:v>
      </x:c>
      <x:c r="J276" s="24" t="str">
        <x:v>EXPIRADA</x:v>
      </x:c>
    </x:row>
    <x:row r="277">
      <x:c r="A277" s="24" t="n">
        <x:v>6</x:v>
      </x:c>
      <x:c r="B277" s="24" t="str">
        <x:v>Varilux Physio Extensee</x:v>
      </x:c>
      <x:c r="C277" s="24" t="n">
        <x:v>570.7</x:v>
      </x:c>
      <x:c r="D277" s="24" t="n">
        <x:v>223.1</x:v>
      </x:c>
      <x:c r="E277" s="24" t="str">
        <x:v>Airwear 3.729,00</x:v>
      </x:c>
      <x:c r="F277" s="24" t="str">
        <x:v>CRIZAL SAPPHIRE HR 3.429,00 3.599,00 4.529,00</x:v>
      </x:c>
      <x:c r="G277" s="24" t="n">
        <x:v>3729</x:v>
      </x:c>
      <x:c r="H277" s="24" t="n">
        <x:v>46118</x:v>
      </x:c>
      <x:c r="I277" s="24" t="n">
        <x:v>46234</x:v>
      </x:c>
      <x:c r="J277" s="24" t="str">
        <x:v>EXPIRADA</x:v>
      </x:c>
    </x:row>
    <x:row r="278">
      <x:c r="A278" s="24" t="n">
        <x:v>6</x:v>
      </x:c>
      <x:c r="B278" s="24" t="str">
        <x:v>Varilux Physio Extensee</x:v>
      </x:c>
      <x:c r="C278" s="24" t="n">
        <x:v>625.7</x:v>
      </x:c>
      <x:c r="D278" s="24" t="n">
        <x:v>178</x:v>
      </x:c>
      <x:c r="E278" s="24" t="str">
        <x:v>Stylis 1.67</x:v>
      </x:c>
      <x:c r="F278" s="24" t="str">
        <x:v>3.599,00 +R$170 4.529,00 +R$1.100 3.729,00 4.829,00 +R$1.100 4.859,00 +R$1.130</x:v>
      </x:c>
      <x:c r="G278" s="24" t="n">
        <x:v>5719</x:v>
      </x:c>
      <x:c r="H278" s="24" t="n">
        <x:v>46118</x:v>
      </x:c>
      <x:c r="I278" s="24" t="n">
        <x:v>46234</x:v>
      </x:c>
      <x:c r="J278" s="24" t="str">
        <x:v>EXPIRADA</x:v>
      </x:c>
    </x:row>
    <x:row r="279">
      <x:c r="A279" s="24" t="n">
        <x:v>6</x:v>
      </x:c>
      <x:c r="B279" s="24" t="str">
        <x:v>Varilux Physio Extensee</x:v>
      </x:c>
      <x:c r="C279" s="24" t="n">
        <x:v>625.7</x:v>
      </x:c>
      <x:c r="D279" s="24" t="n">
        <x:v>223.7</x:v>
      </x:c>
      <x:c r="E279" s="24" t="str">
        <x:v>Stylis 1.67 5.719,00</x:v>
      </x:c>
      <x:c r="F279" s="24" t="str">
        <x:v>3.599,00 4.529,00 3.729,00 4.829,00 4.859,00</x:v>
      </x:c>
      <x:c r="G279" s="24" t="n">
        <x:v>5719</x:v>
      </x:c>
      <x:c r="H279" s="24" t="n">
        <x:v>46118</x:v>
      </x:c>
      <x:c r="I279" s="24" t="n">
        <x:v>46234</x:v>
      </x:c>
      <x:c r="J279" s="24" t="str">
        <x:v>EXPIRADA</x:v>
      </x:c>
    </x:row>
    <x:row r="280">
      <x:c r="A280" s="24" t="n">
        <x:v>6</x:v>
      </x:c>
      <x:c r="B280" s="24" t="str">
        <x:v>Varilux Physio Extensee</x:v>
      </x:c>
      <x:c r="C280" s="24" t="n">
        <x:v>625.7</x:v>
      </x:c>
      <x:c r="D280" s="24" t="n">
        <x:v>268</x:v>
      </x:c>
      <x:c r="E280" s="24" t="str">
        <x:v>Stylis 1.67 5.719,00 5.719,00</x:v>
      </x:c>
      <x:c r="F280" s="24" t="str">
        <x:v>3.329,00 4.259,00 3.459,00 4.559,00 4.589,00</x:v>
      </x:c>
      <x:c r="G280" s="24" t="n">
        <x:v>5449</x:v>
      </x:c>
      <x:c r="H280" s="24" t="n">
        <x:v>46118</x:v>
      </x:c>
      <x:c r="I280" s="24" t="n">
        <x:v>46234</x:v>
      </x:c>
      <x:c r="J280" s="24" t="str">
        <x:v>EXPIRADA</x:v>
      </x:c>
    </x:row>
    <x:row r="281">
      <x:c r="A281" s="24" t="n">
        <x:v>6</x:v>
      </x:c>
      <x:c r="B281" s="24" t="str">
        <x:v>Varilux Physio Extensee</x:v>
      </x:c>
      <x:c r="C281" s="24" t="n">
        <x:v>625.7</x:v>
      </x:c>
      <x:c r="D281" s="24" t="n">
        <x:v>314.5</x:v>
      </x:c>
      <x:c r="E281" s="24" t="str">
        <x:v>Stylis 1.67 5.719,00 5.719,00 5.449,00</x:v>
      </x:c>
      <x:c r="F281" s="24" t="str">
        <x:v>2.979,00 3.909,00 3.109,00 4.559,00 4.209,00 4.589,00 4.239,00</x:v>
      </x:c>
      <x:c r="G281" s="24" t="n">
        <x:v>5099</x:v>
      </x:c>
      <x:c r="H281" s="24" t="n">
        <x:v>46118</x:v>
      </x:c>
      <x:c r="I281" s="24" t="n">
        <x:v>46234</x:v>
      </x:c>
      <x:c r="J281" s="24" t="str">
        <x:v>EXPIRADA</x:v>
      </x:c>
    </x:row>
    <x:row r="282">
      <x:c r="A282" s="24" t="n">
        <x:v>6</x:v>
      </x:c>
      <x:c r="B282" s="24" t="str">
        <x:v>Varilux Physio Extensee</x:v>
      </x:c>
      <x:c r="C282" s="24" t="n">
        <x:v>625.7</x:v>
      </x:c>
      <x:c r="D282" s="24" t="n">
        <x:v>363.8</x:v>
      </x:c>
      <x:c r="E282" s="24" t="str">
        <x:v>Stylis 1.67 5.719,00 5.719,00 5.449,00 5.099,00</x:v>
      </x:c>
      <x:c r="F282" s="24" t="str">
        <x:v>3.219,00 4.149,00 3.349,00 4.449,00 4.479,00</x:v>
      </x:c>
      <x:c r="G282" s="24" t="n">
        <x:v>5339</x:v>
      </x:c>
      <x:c r="H282" s="24" t="n">
        <x:v>46118</x:v>
      </x:c>
      <x:c r="I282" s="24" t="n">
        <x:v>46234</x:v>
      </x:c>
      <x:c r="J282" s="24" t="str">
        <x:v>EXPIRADA</x:v>
      </x:c>
    </x:row>
    <x:row r="283">
      <x:c r="A283" s="24" t="n">
        <x:v>6</x:v>
      </x:c>
      <x:c r="B283" s="24" t="str">
        <x:v>Varilux Physio Extensee</x:v>
      </x:c>
      <x:c r="C283" s="24" t="n">
        <x:v>585.9</x:v>
      </x:c>
      <x:c r="D283" s="24" t="n">
        <x:v>176.2</x:v>
      </x:c>
      <x:c r="E283" s="24"/>
      <x:c r="F283" s="24" t="str">
        <x:v>CRIZAL PREVENCIA SAPPHIRE 3.429,00 3.599,00 +R$170 4.529,00 +R$1.100 3.729,00</x:v>
      </x:c>
      <x:c r="G283" s="24" t="n">
        <x:v>4829</x:v>
      </x:c>
      <x:c r="H283" s="24" t="n">
        <x:v>46118</x:v>
      </x:c>
      <x:c r="I283" s="24" t="n">
        <x:v>46234</x:v>
      </x:c>
      <x:c r="J283" s="24" t="str">
        <x:v>EXPIRADA</x:v>
      </x:c>
    </x:row>
    <x:row r="284">
      <x:c r="A284" s="24" t="n">
        <x:v>6</x:v>
      </x:c>
      <x:c r="B284" s="24" t="str">
        <x:v>Varilux Physio Extensee</x:v>
      </x:c>
      <x:c r="C284" s="24" t="n">
        <x:v>585.9</x:v>
      </x:c>
      <x:c r="D284" s="24" t="n">
        <x:v>223</x:v>
      </x:c>
      <x:c r="E284" s="24" t="str">
        <x:v>4.829,00</x:v>
      </x:c>
      <x:c r="F284" s="24" t="str">
        <x:v>CRIZAL SAPPHIRE HR 3.429,00 3.599,00 4.529,00 3.729,00</x:v>
      </x:c>
      <x:c r="G284" s="24" t="n">
        <x:v>4829</x:v>
      </x:c>
      <x:c r="H284" s="24" t="n">
        <x:v>46118</x:v>
      </x:c>
      <x:c r="I284" s="24" t="n">
        <x:v>46234</x:v>
      </x:c>
      <x:c r="J284" s="24" t="str">
        <x:v>EXPIRADA</x:v>
      </x:c>
    </x:row>
    <x:row r="285">
      <x:c r="A285" s="24" t="n">
        <x:v>6</x:v>
      </x:c>
      <x:c r="B285" s="24" t="str">
        <x:v>Varilux Physio Extensee</x:v>
      </x:c>
      <x:c r="C285" s="24" t="n">
        <x:v>585.9</x:v>
      </x:c>
      <x:c r="D285" s="24" t="n">
        <x:v>270</x:v>
      </x:c>
      <x:c r="E285" s="24" t="str">
        <x:v>4.829,00 4.829,00</x:v>
      </x:c>
      <x:c r="F285" s="24" t="str">
        <x:v>HR EASY 3.159,00 2.809,00 3.329,00 2.979,00 4.259,00 3.909,00 3.459,00 3.109,00</x:v>
      </x:c>
      <x:c r="G285" s="24" t="n">
        <x:v>4559</x:v>
      </x:c>
      <x:c r="H285" s="24" t="n">
        <x:v>46118</x:v>
      </x:c>
      <x:c r="I285" s="24" t="n">
        <x:v>46234</x:v>
      </x:c>
      <x:c r="J285" s="24" t="str">
        <x:v>EXPIRADA</x:v>
      </x:c>
    </x:row>
    <x:row r="286">
      <x:c r="A286" s="24" t="n">
        <x:v>6</x:v>
      </x:c>
      <x:c r="B286" s="24" t="str">
        <x:v>Varilux Physio Extensee</x:v>
      </x:c>
      <x:c r="C286" s="24" t="n">
        <x:v>585.9</x:v>
      </x:c>
      <x:c r="D286" s="24" t="n">
        <x:v>314</x:v>
      </x:c>
      <x:c r="E286" s="24" t="str">
        <x:v>4.829,00 4.829,00 4.559,00</x:v>
      </x:c>
      <x:c r="F286" s="24" t="str">
        <x:v>CRIZAL EASY PRO 2.809,00 3.329,00 2.979,00 3.909,00 3.459,00 3.109,00</x:v>
      </x:c>
      <x:c r="G286" s="24" t="n">
        <x:v>4209</x:v>
      </x:c>
      <x:c r="H286" s="24" t="n">
        <x:v>46118</x:v>
      </x:c>
      <x:c r="I286" s="24" t="n">
        <x:v>46234</x:v>
      </x:c>
      <x:c r="J286" s="24" t="str">
        <x:v>EXPIRADA</x:v>
      </x:c>
    </x:row>
    <x:row r="287">
      <x:c r="A287" s="24" t="n">
        <x:v>6</x:v>
      </x:c>
      <x:c r="B287" s="24" t="str">
        <x:v>Varilux Physio Extensee</x:v>
      </x:c>
      <x:c r="C287" s="24" t="n">
        <x:v>585.9</x:v>
      </x:c>
      <x:c r="D287" s="24" t="n">
        <x:v>363.8</x:v>
      </x:c>
      <x:c r="E287" s="24" t="str">
        <x:v>4.829,00 4.829,00 4.559,00 4.209,00</x:v>
      </x:c>
      <x:c r="F287" s="24" t="str">
        <x:v>OPTIFOG PRO 3.049,00 3.219,00 4.149,00 3.349,00</x:v>
      </x:c>
      <x:c r="G287" s="24" t="n">
        <x:v>4449</x:v>
      </x:c>
      <x:c r="H287" s="24" t="n">
        <x:v>46118</x:v>
      </x:c>
      <x:c r="I287" s="24" t="n">
        <x:v>46234</x:v>
      </x:c>
      <x:c r="J287" s="24" t="str">
        <x:v>EXPIRADA</x:v>
      </x:c>
    </x:row>
    <x:row r="288">
      <x:c r="A288" s="24" t="n">
        <x:v>6</x:v>
      </x:c>
      <x:c r="B288" s="24" t="str">
        <x:v>Varilux Physio Extensee</x:v>
      </x:c>
      <x:c r="C288" s="24" t="n">
        <x:v>545.7</x:v>
      </x:c>
      <x:c r="D288" s="24" t="n">
        <x:v>176.4</x:v>
      </x:c>
      <x:c r="E288" s="24"/>
      <x:c r="F288" s="24" t="str">
        <x:v>adicional: CRIZAL PREVENCIA SAPPHIRE 3.429,00 3.599,00 +R$170</x:v>
      </x:c>
      <x:c r="G288" s="24" t="n">
        <x:v>4529</x:v>
      </x:c>
      <x:c r="H288" s="24" t="n">
        <x:v>46118</x:v>
      </x:c>
      <x:c r="I288" s="24" t="n">
        <x:v>46234</x:v>
      </x:c>
      <x:c r="J288" s="24" t="str">
        <x:v>EXPIRADA</x:v>
      </x:c>
    </x:row>
    <x:row r="289">
      <x:c r="A289" s="24" t="n">
        <x:v>6</x:v>
      </x:c>
      <x:c r="B289" s="24" t="str">
        <x:v>Varilux Physio Extensee</x:v>
      </x:c>
      <x:c r="C289" s="24" t="n">
        <x:v>545.7</x:v>
      </x:c>
      <x:c r="D289" s="24" t="n">
        <x:v>268.4</x:v>
      </x:c>
      <x:c r="E289" s="24" t="str">
        <x:v>4.529,00 4.529,00</x:v>
      </x:c>
      <x:c r="F289" s="24" t="str">
        <x:v>CRIZAL CRIZAL ROCK HR EASY 3.429,00 3.159,00 3.329,00</x:v>
      </x:c>
      <x:c r="G289" s="24" t="n">
        <x:v>4259</x:v>
      </x:c>
      <x:c r="H289" s="24" t="n">
        <x:v>46118</x:v>
      </x:c>
      <x:c r="I289" s="24" t="n">
        <x:v>46234</x:v>
      </x:c>
      <x:c r="J289" s="24" t="str">
        <x:v>EXPIRADA</x:v>
      </x:c>
    </x:row>
    <x:row r="290">
      <x:c r="A290" s="24" t="n">
        <x:v>6</x:v>
      </x:c>
      <x:c r="B290" s="24" t="str">
        <x:v>Varilux Physio Extensee</x:v>
      </x:c>
      <x:c r="C290" s="24" t="n">
        <x:v>545.7</x:v>
      </x:c>
      <x:c r="D290" s="24" t="n">
        <x:v>314.7</x:v>
      </x:c>
      <x:c r="E290" s="24" t="str">
        <x:v>4.529,00 4.529,00 4.259,00</x:v>
      </x:c>
      <x:c r="F290" s="24" t="str">
        <x:v>CRIZAL EASY PRO 2.809,00 2.979,00</x:v>
      </x:c>
      <x:c r="G290" s="24" t="n">
        <x:v>3909</x:v>
      </x:c>
      <x:c r="H290" s="24" t="n">
        <x:v>46118</x:v>
      </x:c>
      <x:c r="I290" s="24" t="n">
        <x:v>46234</x:v>
      </x:c>
      <x:c r="J290" s="24" t="str">
        <x:v>EXPIRADA</x:v>
      </x:c>
    </x:row>
    <x:row r="291">
      <x:c r="A291" s="24" t="n">
        <x:v>6</x:v>
      </x:c>
      <x:c r="B291" s="24" t="str">
        <x:v>Varilux Physio Extensee</x:v>
      </x:c>
      <x:c r="C291" s="24" t="n">
        <x:v>545.7</x:v>
      </x:c>
      <x:c r="D291" s="24" t="n">
        <x:v>364.2</x:v>
      </x:c>
      <x:c r="E291" s="24" t="str">
        <x:v>4.529,00 4.529,00 4.259,00 3.909,00</x:v>
      </x:c>
      <x:c r="F291" s="24" t="str">
        <x:v>OPTIFOG PRO 3.049,00 3.219,00</x:v>
      </x:c>
      <x:c r="G291" s="24" t="n">
        <x:v>4149</x:v>
      </x:c>
      <x:c r="H291" s="24" t="n">
        <x:v>46118</x:v>
      </x:c>
      <x:c r="I291" s="24" t="n">
        <x:v>46234</x:v>
      </x:c>
      <x:c r="J291" s="24" t="str">
        <x:v>EXPIRADA</x:v>
      </x:c>
    </x:row>
    <x:row r="292">
      <x:c r="A292" s="24" t="n">
        <x:v>6</x:v>
      </x:c>
      <x:c r="B292" s="24" t="str">
        <x:v>Varilux Physio Extensee</x:v>
      </x:c>
      <x:c r="C292" s="24" t="n">
        <x:v>545.7</x:v>
      </x:c>
      <x:c r="D292" s="24" t="n">
        <x:v>222.7</x:v>
      </x:c>
      <x:c r="E292" s="24" t="str">
        <x:v>4.529,00</x:v>
      </x:c>
      <x:c r="F292" s="24" t="str">
        <x:v>CRIZAL SAPPHIRE HR 3.429,00 3.599,00</x:v>
      </x:c>
      <x:c r="G292" s="24" t="n">
        <x:v>4529</x:v>
      </x:c>
      <x:c r="H292" s="24" t="n">
        <x:v>46118</x:v>
      </x:c>
      <x:c r="I292" s="24" t="n">
        <x:v>46234</x:v>
      </x:c>
      <x:c r="J292" s="24" t="str">
        <x:v>EXPIRADA</x:v>
      </x:c>
    </x:row>
    <x:row r="293">
      <x:c r="A293" s="24" t="n">
        <x:v>6</x:v>
      </x:c>
      <x:c r="B293" s="24" t="str">
        <x:v>Varilux Physio Extensee</x:v>
      </x:c>
      <x:c r="C293" s="24" t="n">
        <x:v>639.7</x:v>
      </x:c>
      <x:c r="D293" s="24" t="n">
        <x:v>177.3</x:v>
      </x:c>
      <x:c r="E293" s="24" t="str">
        <x:v>Transitions Gen S</x:v>
      </x:c>
      <x:c r="F293" s="24" t="str">
        <x:v>4.529,00 +R$1.100 3.729,00 4.829,00 +R$1.100 4.859,00 +R$1.130 5.719,00</x:v>
      </x:c>
      <x:c r="G293" s="24" t="n">
        <x:v>6819</x:v>
      </x:c>
      <x:c r="H293" s="24" t="n">
        <x:v>46118</x:v>
      </x:c>
      <x:c r="I293" s="24" t="n">
        <x:v>46234</x:v>
      </x:c>
      <x:c r="J293" s="24" t="str">
        <x:v>EXPIRADA</x:v>
      </x:c>
    </x:row>
    <x:row r="294">
      <x:c r="A294" s="24" t="n">
        <x:v>6</x:v>
      </x:c>
      <x:c r="B294" s="24" t="str">
        <x:v>Varilux Physio Extensee</x:v>
      </x:c>
      <x:c r="C294" s="24" t="n">
        <x:v>639.7</x:v>
      </x:c>
      <x:c r="D294" s="24" t="n">
        <x:v>268.7</x:v>
      </x:c>
      <x:c r="E294" s="24" t="str">
        <x:v>Transitions Gen S 6.819,00 6.819,00</x:v>
      </x:c>
      <x:c r="F294" s="24" t="str">
        <x:v>4.259,00 3.459,00 3.109,00 4.559,00 4.589,00 5.449,00</x:v>
      </x:c>
      <x:c r="G294" s="24" t="n">
        <x:v>6549</x:v>
      </x:c>
      <x:c r="H294" s="24" t="n">
        <x:v>46118</x:v>
      </x:c>
      <x:c r="I294" s="24" t="n">
        <x:v>46234</x:v>
      </x:c>
      <x:c r="J294" s="24" t="str">
        <x:v>EXPIRADA</x:v>
      </x:c>
    </x:row>
    <x:row r="295">
      <x:c r="A295" s="24" t="n">
        <x:v>6</x:v>
      </x:c>
      <x:c r="B295" s="24" t="str">
        <x:v>Varilux Physio Extensee</x:v>
      </x:c>
      <x:c r="C295" s="24" t="n">
        <x:v>639.7</x:v>
      </x:c>
      <x:c r="D295" s="24" t="n">
        <x:v>315.7</x:v>
      </x:c>
      <x:c r="E295" s="24" t="str">
        <x:v>Transitions Gen S 6.819,00 6.819,00 6.549,00</x:v>
      </x:c>
      <x:c r="F295" s="24" t="str">
        <x:v>3.909,00 3.109,00 4.559,00 4.209,00 4.589,00 4.239,00 5.099,00</x:v>
      </x:c>
      <x:c r="G295" s="24" t="n">
        <x:v>6199</x:v>
      </x:c>
      <x:c r="H295" s="24" t="n">
        <x:v>46118</x:v>
      </x:c>
      <x:c r="I295" s="24" t="n">
        <x:v>46234</x:v>
      </x:c>
      <x:c r="J295" s="24" t="str">
        <x:v>EXPIRADA</x:v>
      </x:c>
    </x:row>
    <x:row r="296">
      <x:c r="A296" s="24" t="n">
        <x:v>6</x:v>
      </x:c>
      <x:c r="B296" s="24" t="str">
        <x:v>Varilux Physio Extensee</x:v>
      </x:c>
      <x:c r="C296" s="24" t="n">
        <x:v>639.7</x:v>
      </x:c>
      <x:c r="D296" s="24" t="n">
        <x:v>364</x:v>
      </x:c>
      <x:c r="E296" s="24" t="str">
        <x:v>Transitions Gen S 6.819,00 6.819,00 6.549,00 6.199,00</x:v>
      </x:c>
      <x:c r="F296" s="24" t="str">
        <x:v>4.149,00 3.349,00 4.449,00 4.479,00 5.339,00</x:v>
      </x:c>
      <x:c r="G296" s="24" t="n">
        <x:v>6439</x:v>
      </x:c>
      <x:c r="H296" s="24" t="n">
        <x:v>46118</x:v>
      </x:c>
      <x:c r="I296" s="24" t="n">
        <x:v>46234</x:v>
      </x:c>
      <x:c r="J296" s="24" t="str">
        <x:v>EXPIRADA</x:v>
      </x:c>
    </x:row>
    <x:row r="297">
      <x:c r="A297" s="24" t="n">
        <x:v>6</x:v>
      </x:c>
      <x:c r="B297" s="24" t="str">
        <x:v>Varilux Physio Extensee</x:v>
      </x:c>
      <x:c r="C297" s="24" t="n">
        <x:v>639.7</x:v>
      </x:c>
      <x:c r="D297" s="24" t="n">
        <x:v>223.7</x:v>
      </x:c>
      <x:c r="E297" s="24" t="str">
        <x:v>Transitions Gen S 6.819,00</x:v>
      </x:c>
      <x:c r="F297" s="24" t="str">
        <x:v>4.529,00 3.729,00 4.829,00 4.859,00 5.719,00</x:v>
      </x:c>
      <x:c r="G297" s="24" t="n">
        <x:v>6819</x:v>
      </x:c>
      <x:c r="H297" s="24" t="n">
        <x:v>46118</x:v>
      </x:c>
      <x:c r="I297" s="24" t="n">
        <x:v>46234</x:v>
      </x:c>
      <x:c r="J297" s="24" t="str">
        <x:v>EXPIRADA</x:v>
      </x:c>
    </x:row>
    <x:row r="298">
      <x:c r="A298" s="24" t="n">
        <x:v>6</x:v>
      </x:c>
      <x:c r="B298" s="24" t="str">
        <x:v>Varilux Physio Extensee</x:v>
      </x:c>
      <x:c r="C298" s="24" t="n">
        <x:v>599.9</x:v>
      </x:c>
      <x:c r="D298" s="24" t="n">
        <x:v>176.2</x:v>
      </x:c>
      <x:c r="E298" s="24" t="str">
        <x:v>Transitions Extractive</x:v>
      </x:c>
      <x:c r="F298" s="24" t="str">
        <x:v>3.429,00 3.599,00 +R$170 4.529,00 +R$1.100 3.729,00 4.829,00 +R$1.100</x:v>
      </x:c>
      <x:c r="G298" s="24" t="n">
        <x:v>4859</x:v>
      </x:c>
      <x:c r="H298" s="24" t="n">
        <x:v>46118</x:v>
      </x:c>
      <x:c r="I298" s="24" t="n">
        <x:v>46234</x:v>
      </x:c>
      <x:c r="J298" s="24" t="str">
        <x:v>EXPIRADA</x:v>
      </x:c>
    </x:row>
    <x:row r="299">
      <x:c r="A299" s="24" t="n">
        <x:v>6</x:v>
      </x:c>
      <x:c r="B299" s="24" t="str">
        <x:v>Varilux Physio Extensee</x:v>
      </x:c>
      <x:c r="C299" s="24" t="n">
        <x:v>599.9</x:v>
      </x:c>
      <x:c r="D299" s="24" t="n">
        <x:v>223</x:v>
      </x:c>
      <x:c r="E299" s="24" t="str">
        <x:v>Transitions Extractive 4.859,00</x:v>
      </x:c>
      <x:c r="F299" s="24" t="str">
        <x:v>3.429,00 3.599,00 4.529,00 3.729,00 4.829,00</x:v>
      </x:c>
      <x:c r="G299" s="24" t="n">
        <x:v>4859</x:v>
      </x:c>
      <x:c r="H299" s="24" t="n">
        <x:v>46118</x:v>
      </x:c>
      <x:c r="I299" s="24" t="n">
        <x:v>46234</x:v>
      </x:c>
      <x:c r="J299" s="24" t="str">
        <x:v>EXPIRADA</x:v>
      </x:c>
    </x:row>
    <x:row r="300">
      <x:c r="A300" s="24" t="n">
        <x:v>6</x:v>
      </x:c>
      <x:c r="B300" s="24" t="str">
        <x:v>Varilux Physio Extensee</x:v>
      </x:c>
      <x:c r="C300" s="24" t="n">
        <x:v>599.9</x:v>
      </x:c>
      <x:c r="D300" s="24" t="n">
        <x:v>270</x:v>
      </x:c>
      <x:c r="E300" s="24" t="str">
        <x:v>Transitions Extractive 4.859,00 4.859,00</x:v>
      </x:c>
      <x:c r="F300" s="24" t="str">
        <x:v>3.159,00 2.809,00 3.329,00 2.979,00 4.259,00 3.909,00 3.459,00 3.109,00 4.559,00 4.209,00</x:v>
      </x:c>
      <x:c r="G300" s="24" t="n">
        <x:v>4589</x:v>
      </x:c>
      <x:c r="H300" s="24" t="n">
        <x:v>46118</x:v>
      </x:c>
      <x:c r="I300" s="24" t="n">
        <x:v>46234</x:v>
      </x:c>
      <x:c r="J300" s="24" t="str">
        <x:v>EXPIRADA</x:v>
      </x:c>
    </x:row>
    <x:row r="301">
      <x:c r="A301" s="24" t="n">
        <x:v>6</x:v>
      </x:c>
      <x:c r="B301" s="24" t="str">
        <x:v>Varilux Physio Extensee</x:v>
      </x:c>
      <x:c r="C301" s="24" t="n">
        <x:v>599.9</x:v>
      </x:c>
      <x:c r="D301" s="24" t="n">
        <x:v>314</x:v>
      </x:c>
      <x:c r="E301" s="24" t="str">
        <x:v>Transitions Extractive 4.859,00 4.859,00 4.589,00</x:v>
      </x:c>
      <x:c r="F301" s="24" t="str">
        <x:v>2.809,00 3.329,00 2.979,00 3.909,00 3.459,00 3.109,00 4.559,00 4.209,00</x:v>
      </x:c>
      <x:c r="G301" s="24" t="n">
        <x:v>4239</x:v>
      </x:c>
      <x:c r="H301" s="24" t="n">
        <x:v>46118</x:v>
      </x:c>
      <x:c r="I301" s="24" t="n">
        <x:v>46234</x:v>
      </x:c>
      <x:c r="J301" s="24" t="str">
        <x:v>EXPIRADA</x:v>
      </x:c>
    </x:row>
    <x:row r="302">
      <x:c r="A302" s="24" t="n">
        <x:v>6</x:v>
      </x:c>
      <x:c r="B302" s="24" t="str">
        <x:v>Varilux Physio Extensee</x:v>
      </x:c>
      <x:c r="C302" s="24" t="n">
        <x:v>599.9</x:v>
      </x:c>
      <x:c r="D302" s="24" t="n">
        <x:v>363.8</x:v>
      </x:c>
      <x:c r="E302" s="24" t="str">
        <x:v>Transitions Extractive 4.859,00 4.859,00 4.589,00 4.239,00</x:v>
      </x:c>
      <x:c r="F302" s="24" t="str">
        <x:v>3.049,00 3.219,00 4.149,00 3.349,00 4.449,00</x:v>
      </x:c>
      <x:c r="G302" s="24" t="n">
        <x:v>4479</x:v>
      </x:c>
      <x:c r="H302" s="24" t="n">
        <x:v>46118</x:v>
      </x:c>
      <x:c r="I302" s="24" t="n">
        <x:v>46234</x:v>
      </x:c>
      <x:c r="J302" s="24" t="str">
        <x:v>EXPIRADA</x:v>
      </x:c>
    </x:row>
    <x:row r="303">
      <x:c r="A303" s="24" t="n">
        <x:v>6</x:v>
      </x:c>
      <x:c r="B303" s="24" t="str">
        <x:v>Varilux Physio Extensee</x:v>
      </x:c>
      <x:c r="C303" s="24" t="n">
        <x:v>395.1</x:v>
      </x:c>
      <x:c r="D303" s="24" t="n">
        <x:v>133.1</x:v>
      </x:c>
      <x:c r="E303" s="24" t="str">
        <x:v>+ Coloração especial</x:v>
      </x:c>
      <x:c r="F303" s="24" t="str">
        <x:v>Fit Eyecode | CVP VERNIZ HC MARCAÇÃO 2.979,00 padrão F</x:v>
      </x:c>
      <x:c r="G303" s="24" t="n">
        <x:v>3089</x:v>
      </x:c>
      <x:c r="H303" s="24" t="n">
        <x:v>46118</x:v>
      </x:c>
      <x:c r="I303" s="24" t="n">
        <x:v>46234</x:v>
      </x:c>
      <x:c r="J303" s="24" t="str">
        <x:v>EXPIRADA</x:v>
      </x:c>
    </x:row>
    <x:row r="304">
      <x:c r="A304" s="24" t="n">
        <x:v>6</x:v>
      </x:c>
      <x:c r="B304" s="24" t="str">
        <x:v>Varilux Physio Extensee</x:v>
      </x:c>
      <x:c r="C304" s="24" t="n">
        <x:v>381.6</x:v>
      </x:c>
      <x:c r="D304" s="24" t="n">
        <x:v>132.8</x:v>
      </x:c>
      <x:c r="E304" s="24" t="str">
        <x:v>Orma + Coloração padrão</x:v>
      </x:c>
      <x:c r="F304" s="24" t="str">
        <x:v>sem custo adicional: Fit Eyecode | CVP VERNIZ HC MARCAÇÃO</x:v>
      </x:c>
      <x:c r="G304" s="24" t="n">
        <x:v>2979</x:v>
      </x:c>
      <x:c r="H304" s="24" t="n">
        <x:v>46118</x:v>
      </x:c>
      <x:c r="I304" s="24" t="n">
        <x:v>46234</x:v>
      </x:c>
      <x:c r="J304" s="24" t="str">
        <x:v>EXPIRADA</x:v>
      </x:c>
    </x:row>
    <x:row r="305">
      <x:c r="A305" s="24" t="n">
        <x:v>6</x:v>
      </x:c>
      <x:c r="B305" s="24" t="str">
        <x:v>Varilux Physio Extensee</x:v>
      </x:c>
      <x:c r="C305" s="24" t="n">
        <x:v>436.9</x:v>
      </x:c>
      <x:c r="D305" s="24" t="n">
        <x:v>133.2</x:v>
      </x:c>
      <x:c r="E305" s="24" t="str">
        <x:v>+ Coloração especial</x:v>
      </x:c>
      <x:c r="F305" s="24" t="str">
        <x:v>HC MARCAÇÃO 2.979,00 padrão F especial 3.089,00 F 3.279,00 padrão</x:v>
      </x:c>
      <x:c r="G305" s="24" t="n">
        <x:v>3389</x:v>
      </x:c>
      <x:c r="H305" s="24" t="n">
        <x:v>46118</x:v>
      </x:c>
      <x:c r="I305" s="24" t="n">
        <x:v>46234</x:v>
      </x:c>
      <x:c r="J305" s="24" t="str">
        <x:v>EXPIRADA</x:v>
      </x:c>
    </x:row>
    <x:row r="306">
      <x:c r="A306" s="24" t="n">
        <x:v>6</x:v>
      </x:c>
      <x:c r="B306" s="24" t="str">
        <x:v>Varilux Physio Extensee</x:v>
      </x:c>
      <x:c r="C306" s="24" t="n">
        <x:v>423.4</x:v>
      </x:c>
      <x:c r="D306" s="24" t="n">
        <x:v>133.6</x:v>
      </x:c>
      <x:c r="E306" s="24" t="str">
        <x:v>+ Coloração padrão</x:v>
      </x:c>
      <x:c r="F306" s="24" t="str">
        <x:v>CVP VERNIZ HC MARCAÇÃO 2.979,00 padrão F especial 3.089,00 F</x:v>
      </x:c>
      <x:c r="G306" s="24" t="n">
        <x:v>3279</x:v>
      </x:c>
      <x:c r="H306" s="24" t="n">
        <x:v>46118</x:v>
      </x:c>
      <x:c r="I306" s="24" t="n">
        <x:v>46234</x:v>
      </x:c>
      <x:c r="J306" s="24" t="str">
        <x:v>EXPIRADA</x:v>
      </x:c>
    </x:row>
    <x:row r="307">
      <x:c r="A307" s="24" t="n">
        <x:v>6</x:v>
      </x:c>
      <x:c r="B307" s="24" t="str">
        <x:v>Varilux Physio Extensee</x:v>
      </x:c>
      <x:c r="C307" s="24" t="n">
        <x:v>665.7</x:v>
      </x:c>
      <x:c r="D307" s="24" t="n">
        <x:v>222.1</x:v>
      </x:c>
      <x:c r="E307" s="24" t="str">
        <x:v>Stylis 1.74 -</x:v>
      </x:c>
      <x:c r="F307" s="24" t="str">
        <x:v>3.729,00 4.829,00 4.859,00 5.719,00 6.819,00</x:v>
      </x:c>
      <x:c r="G307" s="24" t="n">
        <x:v>7059</x:v>
      </x:c>
      <x:c r="H307" s="24" t="n">
        <x:v>46118</x:v>
      </x:c>
      <x:c r="I307" s="24" t="n">
        <x:v>46234</x:v>
      </x:c>
      <x:c r="J307" s="24" t="str">
        <x:v>EXPIRADA</x:v>
      </x:c>
    </x:row>
    <x:row r="308">
      <x:c r="A308" s="24" t="n">
        <x:v>7</x:v>
      </x:c>
      <x:c r="B308" s="24" t="str">
        <x:v>Varilux Comfort</x:v>
      </x:c>
      <x:c r="C308" s="24" t="n">
        <x:v>150.4</x:v>
      </x:c>
      <x:c r="D308" s="24" t="n">
        <x:v>183.6</x:v>
      </x:c>
      <x:c r="E308" s="24" t="str">
        <x:v>Orma</x:v>
      </x:c>
      <x:c r="F308" s="24" t="str">
        <x:v>custo | ALT. MÍN 14mm adicional CRIZAL CRIZAL PREVENCIA SAPPHIRE</x:v>
      </x:c>
      <x:c r="G308" s="24" t="n">
        <x:v>2519</x:v>
      </x:c>
      <x:c r="H308" s="24" t="n">
        <x:v>46118</x:v>
      </x:c>
      <x:c r="I308" s="24" t="n">
        <x:v>46234</x:v>
      </x:c>
      <x:c r="J308" s="24" t="str">
        <x:v>EXPIRADA</x:v>
      </x:c>
    </x:row>
    <x:row r="309">
      <x:c r="A309" s="24" t="n">
        <x:v>7</x:v>
      </x:c>
      <x:c r="B309" s="24" t="str">
        <x:v>Varilux Comfort</x:v>
      </x:c>
      <x:c r="C309" s="24" t="n">
        <x:v>150.4</x:v>
      </x:c>
      <x:c r="D309" s="24" t="n">
        <x:v>268.3</x:v>
      </x:c>
      <x:c r="E309" s="24" t="str">
        <x:v>Orma 2.519,00 2.519,00</x:v>
      </x:c>
      <x:c r="F309" s="24" t="str">
        <x:v>| ALT. MÍN 14mm CRIZAL CRIZAL CRIZAL ROCK HR EASY</x:v>
      </x:c>
      <x:c r="G309" s="24" t="n">
        <x:v>2249</x:v>
      </x:c>
      <x:c r="H309" s="24" t="n">
        <x:v>46118</x:v>
      </x:c>
      <x:c r="I309" s="24" t="n">
        <x:v>46234</x:v>
      </x:c>
      <x:c r="J309" s="24" t="str">
        <x:v>EXPIRADA</x:v>
      </x:c>
    </x:row>
    <x:row r="310">
      <x:c r="A310" s="24" t="n">
        <x:v>7</x:v>
      </x:c>
      <x:c r="B310" s="24" t="str">
        <x:v>Varilux Comfort</x:v>
      </x:c>
      <x:c r="C310" s="24" t="n">
        <x:v>150.4</x:v>
      </x:c>
      <x:c r="D310" s="24" t="n">
        <x:v>307.1</x:v>
      </x:c>
      <x:c r="E310" s="24" t="str">
        <x:v>Orma 2.519,00 2.519,00 2.249,00</x:v>
      </x:c>
      <x:c r="F310" s="24" t="str">
        <x:v>ALT. MÍN 14mm adicional CRIZAL CRIZAL OPTIFOG ROCK EASY PRO</x:v>
      </x:c>
      <x:c r="G310" s="24" t="n">
        <x:v>1899</x:v>
      </x:c>
      <x:c r="H310" s="24" t="n">
        <x:v>46118</x:v>
      </x:c>
      <x:c r="I310" s="24" t="n">
        <x:v>46234</x:v>
      </x:c>
      <x:c r="J310" s="24" t="str">
        <x:v>EXPIRADA</x:v>
      </x:c>
    </x:row>
    <x:row r="311">
      <x:c r="A311" s="24" t="n">
        <x:v>7</x:v>
      </x:c>
      <x:c r="B311" s="24" t="str">
        <x:v>Varilux Comfort</x:v>
      </x:c>
      <x:c r="C311" s="24" t="n">
        <x:v>150.4</x:v>
      </x:c>
      <x:c r="D311" s="24" t="n">
        <x:v>345.2</x:v>
      </x:c>
      <x:c r="E311" s="24" t="str">
        <x:v>Orma 2.519,00 2.519,00 2.249,00 1.899,00</x:v>
      </x:c>
      <x:c r="F311" s="24" t="str">
        <x:v>A sem custo adicional TRIO CRIZAL OPTIFOG EASY EASY PRO</x:v>
      </x:c>
      <x:c r="G311" s="24" t="n">
        <x:v>2139</x:v>
      </x:c>
      <x:c r="H311" s="24" t="n">
        <x:v>46118</x:v>
      </x:c>
      <x:c r="I311" s="24" t="n">
        <x:v>46234</x:v>
      </x:c>
      <x:c r="J311" s="24" t="str">
        <x:v>EXPIRADA</x:v>
      </x:c>
    </x:row>
    <x:row r="312">
      <x:c r="A312" s="24" t="n">
        <x:v>7</x:v>
      </x:c>
      <x:c r="B312" s="24" t="str">
        <x:v>Varilux Comfort</x:v>
      </x:c>
      <x:c r="C312" s="24" t="n">
        <x:v>164.6</x:v>
      </x:c>
      <x:c r="D312" s="24" t="n">
        <x:v>183.6</x:v>
      </x:c>
      <x:c r="E312" s="24"/>
      <x:c r="F312" s="24" t="str">
        <x:v>ALT. MÍN 14mm adicional CRIZAL CRIZAL PREVENCIA SAPPHIRE 2.519,00 2.519,00</x:v>
      </x:c>
      <x:c r="G312" s="24" t="n">
        <x:v>2689</x:v>
      </x:c>
      <x:c r="H312" s="24" t="n">
        <x:v>46118</x:v>
      </x:c>
      <x:c r="I312" s="24" t="n">
        <x:v>46234</x:v>
      </x:c>
      <x:c r="J312" s="24" t="str">
        <x:v>EXPIRADA</x:v>
      </x:c>
    </x:row>
    <x:row r="313">
      <x:c r="A313" s="24" t="n">
        <x:v>7</x:v>
      </x:c>
      <x:c r="B313" s="24" t="str">
        <x:v>Varilux Comfort</x:v>
      </x:c>
      <x:c r="C313" s="24" t="n">
        <x:v>164.6</x:v>
      </x:c>
      <x:c r="D313" s="24" t="n">
        <x:v>268.5</x:v>
      </x:c>
      <x:c r="E313" s="24" t="str">
        <x:v>2.689,00 2.689,00</x:v>
      </x:c>
      <x:c r="F313" s="24" t="str">
        <x:v>14mm CRIZAL CRIZAL CRIZAL ROCK HR EASY 2.519,00 2.249,00 1.899,00</x:v>
      </x:c>
      <x:c r="G313" s="24" t="n">
        <x:v>2419</x:v>
      </x:c>
      <x:c r="H313" s="24" t="n">
        <x:v>46118</x:v>
      </x:c>
      <x:c r="I313" s="24" t="n">
        <x:v>46234</x:v>
      </x:c>
      <x:c r="J313" s="24" t="str">
        <x:v>EXPIRADA</x:v>
      </x:c>
    </x:row>
    <x:row r="314">
      <x:c r="A314" s="24" t="n">
        <x:v>7</x:v>
      </x:c>
      <x:c r="B314" s="24" t="str">
        <x:v>Varilux Comfort</x:v>
      </x:c>
      <x:c r="C314" s="24" t="n">
        <x:v>164.6</x:v>
      </x:c>
      <x:c r="D314" s="24" t="n">
        <x:v>306.1</x:v>
      </x:c>
      <x:c r="E314" s="24" t="str">
        <x:v>2.689,00 2.689,00 2.419,00</x:v>
      </x:c>
      <x:c r="F314" s="24" t="str">
        <x:v>adicional CRIZAL CRIZAL OPTIFOG ROCK EASY PRO 2.249,00 1.899,00 2.139,00</x:v>
      </x:c>
      <x:c r="G314" s="24" t="n">
        <x:v>2069</x:v>
      </x:c>
      <x:c r="H314" s="24" t="n">
        <x:v>46118</x:v>
      </x:c>
      <x:c r="I314" s="24" t="n">
        <x:v>46234</x:v>
      </x:c>
      <x:c r="J314" s="24" t="str">
        <x:v>EXPIRADA</x:v>
      </x:c>
    </x:row>
    <x:row r="315">
      <x:c r="A315" s="24" t="n">
        <x:v>7</x:v>
      </x:c>
      <x:c r="B315" s="24" t="str">
        <x:v>Varilux Comfort</x:v>
      </x:c>
      <x:c r="C315" s="24" t="n">
        <x:v>164.6</x:v>
      </x:c>
      <x:c r="D315" s="24" t="n">
        <x:v>344.7</x:v>
      </x:c>
      <x:c r="E315" s="24" t="str">
        <x:v>2.689,00 2.689,00 2.419,00 2.069,00</x:v>
      </x:c>
      <x:c r="F315" s="24" t="str">
        <x:v>adicional TRIO CRIZAL OPTIFOG EASY EASY PRO 1.699,00 1.899,00 2.139,00</x:v>
      </x:c>
      <x:c r="G315" s="24" t="n">
        <x:v>2309</x:v>
      </x:c>
      <x:c r="H315" s="24" t="n">
        <x:v>46118</x:v>
      </x:c>
      <x:c r="I315" s="24" t="n">
        <x:v>46234</x:v>
      </x:c>
      <x:c r="J315" s="24" t="str">
        <x:v>EXPIRADA</x:v>
      </x:c>
    </x:row>
    <x:row r="316">
      <x:c r="A316" s="24" t="n">
        <x:v>7</x:v>
      </x:c>
      <x:c r="B316" s="24" t="str">
        <x:v>Varilux Comfort</x:v>
      </x:c>
      <x:c r="C316" s="24" t="n">
        <x:v>236.2</x:v>
      </x:c>
      <x:c r="D316" s="24" t="n">
        <x:v>182.1</x:v>
      </x:c>
      <x:c r="E316" s="24" t="str">
        <x:v>Transitions Gen S</x:v>
      </x:c>
      <x:c r="F316" s="24" t="str">
        <x:v>2.689,00 +R$170 3.619,00 3.619,00 +R$1.100 3.649,00 3.649,00 +R$1.130 2.819,00 2.819,00</x:v>
      </x:c>
      <x:c r="G316" s="24" t="n">
        <x:v>3919</x:v>
      </x:c>
      <x:c r="H316" s="24" t="n">
        <x:v>46118</x:v>
      </x:c>
      <x:c r="I316" s="24" t="n">
        <x:v>46234</x:v>
      </x:c>
      <x:c r="J316" s="24" t="str">
        <x:v>EXPIRADA</x:v>
      </x:c>
    </x:row>
    <x:row r="317">
      <x:c r="A317" s="24" t="n">
        <x:v>7</x:v>
      </x:c>
      <x:c r="B317" s="24" t="str">
        <x:v>Varilux Comfort</x:v>
      </x:c>
      <x:c r="C317" s="24" t="n">
        <x:v>236.2</x:v>
      </x:c>
      <x:c r="D317" s="24" t="n">
        <x:v>267.3</x:v>
      </x:c>
      <x:c r="E317" s="24" t="str">
        <x:v>Transitions Gen S 3.919,00 3.919,00</x:v>
      </x:c>
      <x:c r="F317" s="24" t="str">
        <x:v>2.069,00 3.619,00 3.349,00 2.999,00 3.649,00 3.379,00 3.029,00 2.819,00 2.549,00 2.199,00</x:v>
      </x:c>
      <x:c r="G317" s="24" t="n">
        <x:v>3649</x:v>
      </x:c>
      <x:c r="H317" s="24" t="n">
        <x:v>46118</x:v>
      </x:c>
      <x:c r="I317" s="24" t="n">
        <x:v>46234</x:v>
      </x:c>
      <x:c r="J317" s="24" t="str">
        <x:v>EXPIRADA</x:v>
      </x:c>
    </x:row>
    <x:row r="318">
      <x:c r="A318" s="24" t="n">
        <x:v>7</x:v>
      </x:c>
      <x:c r="B318" s="24" t="str">
        <x:v>Varilux Comfort</x:v>
      </x:c>
      <x:c r="C318" s="24" t="n">
        <x:v>236.2</x:v>
      </x:c>
      <x:c r="D318" s="24" t="n">
        <x:v>307</x:v>
      </x:c>
      <x:c r="E318" s="24" t="str">
        <x:v>Transitions Gen S 3.919,00 3.919,00 3.649,00</x:v>
      </x:c>
      <x:c r="F318" s="24" t="str">
        <x:v>2.309,00 3.349,00 2.999,00 3.239,00 3.379,00 3.029,00 3.269,00 2.549,00 2.199,00 2.439,00</x:v>
      </x:c>
      <x:c r="G318" s="24" t="n">
        <x:v>3299</x:v>
      </x:c>
      <x:c r="H318" s="24" t="n">
        <x:v>46118</x:v>
      </x:c>
      <x:c r="I318" s="24" t="n">
        <x:v>46234</x:v>
      </x:c>
      <x:c r="J318" s="24" t="str">
        <x:v>EXPIRADA</x:v>
      </x:c>
    </x:row>
    <x:row r="319">
      <x:c r="A319" s="24" t="n">
        <x:v>7</x:v>
      </x:c>
      <x:c r="B319" s="24" t="str">
        <x:v>Varilux Comfort</x:v>
      </x:c>
      <x:c r="C319" s="24" t="n">
        <x:v>236.2</x:v>
      </x:c>
      <x:c r="D319" s="24" t="n">
        <x:v>345.6</x:v>
      </x:c>
      <x:c r="E319" s="24" t="str">
        <x:v>Transitions Gen S 3.919,00 3.919,00 3.649,00 3.299,00</x:v>
      </x:c>
      <x:c r="F319" s="24" t="str">
        <x:v>2.309,00 2.999,00 3.239,00 2.799,00 2.829,00 3.029,00 3.269,00 2.199,00 2.439,00 1.999,00</x:v>
      </x:c>
      <x:c r="G319" s="24" t="n">
        <x:v>3539</x:v>
      </x:c>
      <x:c r="H319" s="24" t="n">
        <x:v>46118</x:v>
      </x:c>
      <x:c r="I319" s="24" t="n">
        <x:v>46234</x:v>
      </x:c>
      <x:c r="J319" s="24" t="str">
        <x:v>EXPIRADA</x:v>
      </x:c>
    </x:row>
    <x:row r="320">
      <x:c r="A320" s="24" t="n">
        <x:v>7</x:v>
      </x:c>
      <x:c r="B320" s="24" t="str">
        <x:v>Varilux Comfort</x:v>
      </x:c>
      <x:c r="C320" s="24" t="n">
        <x:v>150.4</x:v>
      </x:c>
      <x:c r="D320" s="24" t="n">
        <x:v>224.8</x:v>
      </x:c>
      <x:c r="E320" s="24" t="str">
        <x:v>Orma 2.519,00</x:v>
      </x:c>
      <x:c r="F320" s="24" t="str">
        <x:v>MÍN 14mm adicional CRIZAL CRIZAL CRIZAL ROCK PREVENCIA SAPPHIRE HR</x:v>
      </x:c>
      <x:c r="G320" s="24" t="n">
        <x:v>2519</x:v>
      </x:c>
      <x:c r="H320" s="24" t="n">
        <x:v>46118</x:v>
      </x:c>
      <x:c r="I320" s="24" t="n">
        <x:v>46234</x:v>
      </x:c>
      <x:c r="J320" s="24" t="str">
        <x:v>EXPIRADA</x:v>
      </x:c>
    </x:row>
    <x:row r="321">
      <x:c r="A321" s="24" t="n">
        <x:v>7</x:v>
      </x:c>
      <x:c r="B321" s="24" t="str">
        <x:v>Varilux Comfort</x:v>
      </x:c>
      <x:c r="C321" s="24" t="n">
        <x:v>164.6</x:v>
      </x:c>
      <x:c r="D321" s="24" t="n">
        <x:v>224.8</x:v>
      </x:c>
      <x:c r="E321" s="24" t="str">
        <x:v>2.689,00</x:v>
      </x:c>
      <x:c r="F321" s="24" t="str">
        <x:v>adicional CRIZAL CRIZAL ROCK PREVENCIA SAPPHIRE HR 2.519,00 2.519,00 2.249,00</x:v>
      </x:c>
      <x:c r="G321" s="24" t="n">
        <x:v>2689</x:v>
      </x:c>
      <x:c r="H321" s="24" t="n">
        <x:v>46118</x:v>
      </x:c>
      <x:c r="I321" s="24" t="n">
        <x:v>46234</x:v>
      </x:c>
      <x:c r="J321" s="24" t="str">
        <x:v>EXPIRADA</x:v>
      </x:c>
    </x:row>
    <x:row r="322">
      <x:c r="A322" s="24" t="n">
        <x:v>7</x:v>
      </x:c>
      <x:c r="B322" s="24" t="str">
        <x:v>Varilux Comfort</x:v>
      </x:c>
      <x:c r="C322" s="24" t="n">
        <x:v>236.2</x:v>
      </x:c>
      <x:c r="D322" s="24" t="n">
        <x:v>224.7</x:v>
      </x:c>
      <x:c r="E322" s="24" t="str">
        <x:v>Transitions Gen S 3.919,00</x:v>
      </x:c>
      <x:c r="F322" s="24" t="str">
        <x:v>2.419,00 3.619,00 3.619,00 3.349,00 3.649,00 3.649,00 3.379,00 2.819,00 2.819,00 2.549,00</x:v>
      </x:c>
      <x:c r="G322" s="24" t="n">
        <x:v>3919</x:v>
      </x:c>
      <x:c r="H322" s="24" t="n">
        <x:v>46118</x:v>
      </x:c>
      <x:c r="I322" s="24" t="n">
        <x:v>46234</x:v>
      </x:c>
      <x:c r="J322" s="24" t="str">
        <x:v>EXPIRADA</x:v>
      </x:c>
    </x:row>
    <x:row r="323">
      <x:c r="A323" s="24" t="n">
        <x:v>7</x:v>
      </x:c>
      <x:c r="B323" s="24" t="str">
        <x:v>Varilux Comfort</x:v>
      </x:c>
      <x:c r="C323" s="24" t="n">
        <x:v>220.2</x:v>
      </x:c>
      <x:c r="D323" s="24" t="n">
        <x:v>182.6</x:v>
      </x:c>
      <x:c r="E323" s="24" t="str">
        <x:v>Airwear</x:v>
      </x:c>
      <x:c r="F323" s="24" t="str">
        <x:v>2.519,00 2.689,00 2.689,00 +R$170 3.619,00 3.619,00 +R$1.100 3.649,00 3.649,00 +R$1.130</x:v>
      </x:c>
      <x:c r="G323" s="24" t="n">
        <x:v>2819</x:v>
      </x:c>
      <x:c r="H323" s="24" t="n">
        <x:v>46118</x:v>
      </x:c>
      <x:c r="I323" s="24" t="n">
        <x:v>46234</x:v>
      </x:c>
      <x:c r="J323" s="24" t="str">
        <x:v>EXPIRADA</x:v>
      </x:c>
    </x:row>
    <x:row r="324">
      <x:c r="A324" s="24" t="n">
        <x:v>7</x:v>
      </x:c>
      <x:c r="B324" s="24" t="str">
        <x:v>Varilux Comfort</x:v>
      </x:c>
      <x:c r="C324" s="24" t="n">
        <x:v>220.2</x:v>
      </x:c>
      <x:c r="D324" s="24" t="n">
        <x:v>268.1</x:v>
      </x:c>
      <x:c r="E324" s="24" t="str">
        <x:v>Airwear 2.819,00 2.819,00</x:v>
      </x:c>
      <x:c r="F324" s="24" t="str">
        <x:v>1.899,00 2.689,00 2.419,00 2.069,00 3.619,00 3.349,00 2.999,00 3.649,00 3.379,00 3.029,00</x:v>
      </x:c>
      <x:c r="G324" s="24" t="n">
        <x:v>2549</x:v>
      </x:c>
      <x:c r="H324" s="24" t="n">
        <x:v>46118</x:v>
      </x:c>
      <x:c r="I324" s="24" t="n">
        <x:v>46234</x:v>
      </x:c>
      <x:c r="J324" s="24" t="str">
        <x:v>EXPIRADA</x:v>
      </x:c>
    </x:row>
    <x:row r="325">
      <x:c r="A325" s="24" t="n">
        <x:v>7</x:v>
      </x:c>
      <x:c r="B325" s="24" t="str">
        <x:v>Varilux Comfort</x:v>
      </x:c>
      <x:c r="C325" s="24" t="n">
        <x:v>220.2</x:v>
      </x:c>
      <x:c r="D325" s="24" t="n">
        <x:v>308.1</x:v>
      </x:c>
      <x:c r="E325" s="24" t="str">
        <x:v>Airwear 2.819,00 2.819,00 2.549,00</x:v>
      </x:c>
      <x:c r="F325" s="24" t="str">
        <x:v>2.139,00 2.419,00 2.069,00 2.309,00 3.349,00 2.999,00 3.239,00 3.379,00 3.029,00 3.269,00</x:v>
      </x:c>
      <x:c r="G325" s="24" t="n">
        <x:v>2199</x:v>
      </x:c>
      <x:c r="H325" s="24" t="n">
        <x:v>46118</x:v>
      </x:c>
      <x:c r="I325" s="24" t="n">
        <x:v>46234</x:v>
      </x:c>
      <x:c r="J325" s="24" t="str">
        <x:v>EXPIRADA</x:v>
      </x:c>
    </x:row>
    <x:row r="326">
      <x:c r="A326" s="24" t="n">
        <x:v>7</x:v>
      </x:c>
      <x:c r="B326" s="24" t="str">
        <x:v>Varilux Comfort</x:v>
      </x:c>
      <x:c r="C326" s="24" t="n">
        <x:v>220.2</x:v>
      </x:c>
      <x:c r="D326" s="24" t="n">
        <x:v>345.2</x:v>
      </x:c>
      <x:c r="E326" s="24" t="str">
        <x:v>Airwear 2.819,00 2.819,00 2.549,00 2.199,00</x:v>
      </x:c>
      <x:c r="F326" s="24" t="str">
        <x:v>2.139,00 1.869,00 2.069,00 2.309,00 2.999,00 3.239,00 2.799,00 2.829,00 3.029,00 3.269,00</x:v>
      </x:c>
      <x:c r="G326" s="24" t="n">
        <x:v>2439</x:v>
      </x:c>
      <x:c r="H326" s="24" t="n">
        <x:v>46118</x:v>
      </x:c>
      <x:c r="I326" s="24" t="n">
        <x:v>46234</x:v>
      </x:c>
      <x:c r="J326" s="24" t="str">
        <x:v>EXPIRADA</x:v>
      </x:c>
    </x:row>
    <x:row r="327">
      <x:c r="A327" s="24" t="n">
        <x:v>7</x:v>
      </x:c>
      <x:c r="B327" s="24" t="str">
        <x:v>Varilux Comfort</x:v>
      </x:c>
      <x:c r="C327" s="24" t="n">
        <x:v>220.2</x:v>
      </x:c>
      <x:c r="D327" s="24" t="n">
        <x:v>224.8</x:v>
      </x:c>
      <x:c r="E327" s="24" t="str">
        <x:v>Airwear 2.819,00</x:v>
      </x:c>
      <x:c r="F327" s="24" t="str">
        <x:v>2.249,00 2.689,00 2.689,00 2.419,00 3.619,00 3.619,00 3.349,00 3.649,00 3.649,00 3.379,00</x:v>
      </x:c>
      <x:c r="G327" s="24" t="n">
        <x:v>2819</x:v>
      </x:c>
      <x:c r="H327" s="24" t="n">
        <x:v>46118</x:v>
      </x:c>
      <x:c r="I327" s="24" t="n">
        <x:v>46234</x:v>
      </x:c>
      <x:c r="J327" s="24" t="str">
        <x:v>EXPIRADA</x:v>
      </x:c>
    </x:row>
    <x:row r="328">
      <x:c r="A328" s="24" t="n">
        <x:v>7</x:v>
      </x:c>
      <x:c r="B328" s="24" t="str">
        <x:v>Varilux Comfort</x:v>
      </x:c>
      <x:c r="C328" s="24" t="n">
        <x:v>292.9</x:v>
      </x:c>
      <x:c r="D328" s="24" t="n">
        <x:v>180.8</x:v>
      </x:c>
      <x:c r="E328" s="24" t="str">
        <x:v>Transitions Gen S</x:v>
      </x:c>
      <x:c r="F328" s="24" t="str">
        <x:v>2.819,00 2.819,00 3.919,00 3.919,00 +R$1.100 3.949,00 3.949,00 +R$1.130 4.809,00 4.809,00</x:v>
      </x:c>
      <x:c r="G328" s="24" t="n">
        <x:v>5909</x:v>
      </x:c>
      <x:c r="H328" s="24" t="n">
        <x:v>46118</x:v>
      </x:c>
      <x:c r="I328" s="24" t="n">
        <x:v>46234</x:v>
      </x:c>
      <x:c r="J328" s="24" t="str">
        <x:v>EXPIRADA</x:v>
      </x:c>
    </x:row>
    <x:row r="329">
      <x:c r="A329" s="24" t="n">
        <x:v>7</x:v>
      </x:c>
      <x:c r="B329" s="24" t="str">
        <x:v>Varilux Comfort</x:v>
      </x:c>
      <x:c r="C329" s="24" t="n">
        <x:v>292.9</x:v>
      </x:c>
      <x:c r="D329" s="24" t="n">
        <x:v>224</x:v>
      </x:c>
      <x:c r="E329" s="24" t="str">
        <x:v>Transitions Gen S 5.909,00</x:v>
      </x:c>
      <x:c r="F329" s="24" t="str">
        <x:v>2.549,00 3.919,00 3.919,00 3.649,00 3.949,00 3.949,00 3.679,00 4.809,00 4.809,00 4.539,00</x:v>
      </x:c>
      <x:c r="G329" s="24" t="n">
        <x:v>5909</x:v>
      </x:c>
      <x:c r="H329" s="24" t="n">
        <x:v>46118</x:v>
      </x:c>
      <x:c r="I329" s="24" t="n">
        <x:v>46234</x:v>
      </x:c>
      <x:c r="J329" s="24" t="str">
        <x:v>EXPIRADA</x:v>
      </x:c>
    </x:row>
    <x:row r="330">
      <x:c r="A330" s="24" t="n">
        <x:v>7</x:v>
      </x:c>
      <x:c r="B330" s="24" t="str">
        <x:v>Varilux Comfort</x:v>
      </x:c>
      <x:c r="C330" s="24" t="n">
        <x:v>292.9</x:v>
      </x:c>
      <x:c r="D330" s="24" t="n">
        <x:v>267.6</x:v>
      </x:c>
      <x:c r="E330" s="24" t="str">
        <x:v>Transitions Gen S 5.909,00 5.909,00</x:v>
      </x:c>
      <x:c r="F330" s="24" t="str">
        <x:v>2.199,00 3.919,00 3.649,00 3.299,00 3.949,00 3.679,00 3.329,00 4.809,00 4.539,00 4.189,00</x:v>
      </x:c>
      <x:c r="G330" s="24" t="n">
        <x:v>5639</x:v>
      </x:c>
      <x:c r="H330" s="24" t="n">
        <x:v>46118</x:v>
      </x:c>
      <x:c r="I330" s="24" t="n">
        <x:v>46234</x:v>
      </x:c>
      <x:c r="J330" s="24" t="str">
        <x:v>EXPIRADA</x:v>
      </x:c>
    </x:row>
    <x:row r="331">
      <x:c r="A331" s="24" t="n">
        <x:v>7</x:v>
      </x:c>
      <x:c r="B331" s="24" t="str">
        <x:v>Varilux Comfort</x:v>
      </x:c>
      <x:c r="C331" s="24" t="n">
        <x:v>292.9</x:v>
      </x:c>
      <x:c r="D331" s="24" t="n">
        <x:v>306.9</x:v>
      </x:c>
      <x:c r="E331" s="24" t="str">
        <x:v>Transitions Gen S 5.909,00 5.909,00 5.639,00</x:v>
      </x:c>
      <x:c r="F331" s="24" t="str">
        <x:v>2.439,00 3.649,00 3.299,00 3.539,00 3.679,00 3.329,00 3.569,00 4.539,00 4.189,00 4.429,00</x:v>
      </x:c>
      <x:c r="G331" s="24" t="n">
        <x:v>5289</x:v>
      </x:c>
      <x:c r="H331" s="24" t="n">
        <x:v>46118</x:v>
      </x:c>
      <x:c r="I331" s="24" t="n">
        <x:v>46234</x:v>
      </x:c>
      <x:c r="J331" s="24" t="str">
        <x:v>EXPIRADA</x:v>
      </x:c>
    </x:row>
    <x:row r="332">
      <x:c r="A332" s="24" t="n">
        <x:v>7</x:v>
      </x:c>
      <x:c r="B332" s="24" t="str">
        <x:v>Varilux Comfort</x:v>
      </x:c>
      <x:c r="C332" s="24" t="n">
        <x:v>292.9</x:v>
      </x:c>
      <x:c r="D332" s="24" t="n">
        <x:v>345.9</x:v>
      </x:c>
      <x:c r="E332" s="24" t="str">
        <x:v>Transitions Gen S 5.909,00 5.909,00 5.639,00 5.289,00</x:v>
      </x:c>
      <x:c r="F332" s="24" t="str">
        <x:v>1.999,00 3.099,00 3.299,00 3.539,00 3.329,00 3.569,00 3.129,00 4.189,00 4.429,00 -</x:v>
      </x:c>
      <x:c r="G332" s="24" t="n">
        <x:v>5529</x:v>
      </x:c>
      <x:c r="H332" s="24" t="n">
        <x:v>46118</x:v>
      </x:c>
      <x:c r="I332" s="24" t="n">
        <x:v>46234</x:v>
      </x:c>
      <x:c r="J332" s="24" t="str">
        <x:v>EXPIRADA</x:v>
      </x:c>
    </x:row>
    <x:row r="333">
      <x:c r="A333" s="24" t="n">
        <x:v>7</x:v>
      </x:c>
      <x:c r="B333" s="24" t="str">
        <x:v>Varilux Comfort</x:v>
      </x:c>
      <x:c r="C333" s="24" t="n">
        <x:v>278.3</x:v>
      </x:c>
      <x:c r="D333" s="24" t="n">
        <x:v>180.3</x:v>
      </x:c>
      <x:c r="E333" s="24" t="str">
        <x:v>Stylis 1.67</x:v>
      </x:c>
      <x:c r="F333" s="24" t="str">
        <x:v>3.649,00 +R$1.130 2.819,00 2.819,00 3.919,00 3.919,00 +R$1.100 3.949,00 3.949,00 +R$1.130</x:v>
      </x:c>
      <x:c r="G333" s="24" t="n">
        <x:v>4809</x:v>
      </x:c>
      <x:c r="H333" s="24" t="n">
        <x:v>46118</x:v>
      </x:c>
      <x:c r="I333" s="24" t="n">
        <x:v>46234</x:v>
      </x:c>
      <x:c r="J333" s="24" t="str">
        <x:v>EXPIRADA</x:v>
      </x:c>
    </x:row>
    <x:row r="334">
      <x:c r="A334" s="24" t="n">
        <x:v>7</x:v>
      </x:c>
      <x:c r="B334" s="24" t="str">
        <x:v>Varilux Comfort</x:v>
      </x:c>
      <x:c r="C334" s="24" t="n">
        <x:v>278.3</x:v>
      </x:c>
      <x:c r="D334" s="24" t="n">
        <x:v>224</x:v>
      </x:c>
      <x:c r="E334" s="24" t="str">
        <x:v>Stylis 1.67 4.809,00</x:v>
      </x:c>
      <x:c r="F334" s="24" t="str">
        <x:v>3.379,00 2.819,00 2.819,00 2.549,00 3.919,00 3.919,00 3.649,00 3.949,00 3.949,00 3.679,00</x:v>
      </x:c>
      <x:c r="G334" s="24" t="n">
        <x:v>4809</x:v>
      </x:c>
      <x:c r="H334" s="24" t="n">
        <x:v>46118</x:v>
      </x:c>
      <x:c r="I334" s="24" t="n">
        <x:v>46234</x:v>
      </x:c>
      <x:c r="J334" s="24" t="str">
        <x:v>EXPIRADA</x:v>
      </x:c>
    </x:row>
    <x:row r="335">
      <x:c r="A335" s="24" t="n">
        <x:v>7</x:v>
      </x:c>
      <x:c r="B335" s="24" t="str">
        <x:v>Varilux Comfort</x:v>
      </x:c>
      <x:c r="C335" s="24" t="n">
        <x:v>278.3</x:v>
      </x:c>
      <x:c r="D335" s="24" t="n">
        <x:v>267.4</x:v>
      </x:c>
      <x:c r="E335" s="24" t="str">
        <x:v>Stylis 1.67 4.809,00 4.809,00</x:v>
      </x:c>
      <x:c r="F335" s="24" t="str">
        <x:v>3.029,00 2.819,00 2.549,00 2.199,00 3.919,00 3.649,00 3.299,00 3.949,00 3.679,00 3.329,00</x:v>
      </x:c>
      <x:c r="G335" s="24" t="n">
        <x:v>4539</x:v>
      </x:c>
      <x:c r="H335" s="24" t="n">
        <x:v>46118</x:v>
      </x:c>
      <x:c r="I335" s="24" t="n">
        <x:v>46234</x:v>
      </x:c>
      <x:c r="J335" s="24" t="str">
        <x:v>EXPIRADA</x:v>
      </x:c>
    </x:row>
    <x:row r="336">
      <x:c r="A336" s="24" t="n">
        <x:v>7</x:v>
      </x:c>
      <x:c r="B336" s="24" t="str">
        <x:v>Varilux Comfort</x:v>
      </x:c>
      <x:c r="C336" s="24" t="n">
        <x:v>278.3</x:v>
      </x:c>
      <x:c r="D336" s="24" t="n">
        <x:v>306.9</x:v>
      </x:c>
      <x:c r="E336" s="24" t="str">
        <x:v>Stylis 1.67 4.809,00 4.809,00 4.539,00</x:v>
      </x:c>
      <x:c r="F336" s="24" t="str">
        <x:v>3.269,00 2.549,00 2.199,00 2.439,00 3.649,00 3.299,00 3.539,00 3.679,00 3.329,00 3.569,00</x:v>
      </x:c>
      <x:c r="G336" s="24" t="n">
        <x:v>4189</x:v>
      </x:c>
      <x:c r="H336" s="24" t="n">
        <x:v>46118</x:v>
      </x:c>
      <x:c r="I336" s="24" t="n">
        <x:v>46234</x:v>
      </x:c>
      <x:c r="J336" s="24" t="str">
        <x:v>EXPIRADA</x:v>
      </x:c>
    </x:row>
    <x:row r="337">
      <x:c r="A337" s="24" t="n">
        <x:v>7</x:v>
      </x:c>
      <x:c r="B337" s="24" t="str">
        <x:v>Varilux Comfort</x:v>
      </x:c>
      <x:c r="C337" s="24" t="n">
        <x:v>278.3</x:v>
      </x:c>
      <x:c r="D337" s="24" t="n">
        <x:v>346.1</x:v>
      </x:c>
      <x:c r="E337" s="24" t="str">
        <x:v>Stylis 1.67 4.809,00 4.809,00 4.539,00 4.189,00</x:v>
      </x:c>
      <x:c r="F337" s="24" t="str">
        <x:v>3.269,00 2.199,00 2.439,00 1.999,00 3.099,00 3.299,00 3.539,00 3.329,00 3.569,00 3.129,00</x:v>
      </x:c>
      <x:c r="G337" s="24" t="n">
        <x:v>4429</x:v>
      </x:c>
      <x:c r="H337" s="24" t="n">
        <x:v>46118</x:v>
      </x:c>
      <x:c r="I337" s="24" t="n">
        <x:v>46234</x:v>
      </x:c>
      <x:c r="J337" s="24" t="str">
        <x:v>EXPIRADA</x:v>
      </x:c>
    </x:row>
    <x:row r="338">
      <x:c r="A338" s="24" t="n">
        <x:v>7</x:v>
      </x:c>
      <x:c r="B338" s="24" t="str">
        <x:v>Varilux Comfort</x:v>
      </x:c>
      <x:c r="C338" s="24" t="n">
        <x:v>179.3</x:v>
      </x:c>
      <x:c r="D338" s="24" t="n">
        <x:v>183.8</x:v>
      </x:c>
      <x:c r="E338" s="24"/>
      <x:c r="F338" s="24" t="str">
        <x:v>adicional CRIZAL CRIZAL PREVENCIA SAPPHIRE 2.519,00 2.519,00 2.689,00 2.689,00 +R$170</x:v>
      </x:c>
      <x:c r="G338" s="24" t="n">
        <x:v>3619</x:v>
      </x:c>
      <x:c r="H338" s="24" t="n">
        <x:v>46118</x:v>
      </x:c>
      <x:c r="I338" s="24" t="n">
        <x:v>46234</x:v>
      </x:c>
      <x:c r="J338" s="24" t="str">
        <x:v>EXPIRADA</x:v>
      </x:c>
    </x:row>
    <x:row r="339">
      <x:c r="A339" s="24" t="n">
        <x:v>7</x:v>
      </x:c>
      <x:c r="B339" s="24" t="str">
        <x:v>Varilux Comfort</x:v>
      </x:c>
      <x:c r="C339" s="24" t="n">
        <x:v>179.3</x:v>
      </x:c>
      <x:c r="D339" s="24" t="n">
        <x:v>267.3</x:v>
      </x:c>
      <x:c r="E339" s="24" t="str">
        <x:v>3.619,00 3.619,00</x:v>
      </x:c>
      <x:c r="F339" s="24" t="str">
        <x:v>CRIZAL ROCK HR EASY 2.519,00 2.249,00 1.899,00 2.689,00 2.419,00 2.069,00</x:v>
      </x:c>
      <x:c r="G339" s="24" t="n">
        <x:v>3349</x:v>
      </x:c>
      <x:c r="H339" s="24" t="n">
        <x:v>46118</x:v>
      </x:c>
      <x:c r="I339" s="24" t="n">
        <x:v>46234</x:v>
      </x:c>
      <x:c r="J339" s="24" t="str">
        <x:v>EXPIRADA</x:v>
      </x:c>
    </x:row>
    <x:row r="340">
      <x:c r="A340" s="24" t="n">
        <x:v>7</x:v>
      </x:c>
      <x:c r="B340" s="24" t="str">
        <x:v>Varilux Comfort</x:v>
      </x:c>
      <x:c r="C340" s="24" t="n">
        <x:v>179.3</x:v>
      </x:c>
      <x:c r="D340" s="24" t="n">
        <x:v>306.9</x:v>
      </x:c>
      <x:c r="E340" s="24" t="str">
        <x:v>3.619,00 3.619,00 3.349,00</x:v>
      </x:c>
      <x:c r="F340" s="24" t="str">
        <x:v>OPTIFOG ROCK EASY PRO 2.249,00 1.899,00 2.139,00 2.419,00 2.069,00 2.309,00</x:v>
      </x:c>
      <x:c r="G340" s="24" t="n">
        <x:v>2999</x:v>
      </x:c>
      <x:c r="H340" s="24" t="n">
        <x:v>46118</x:v>
      </x:c>
      <x:c r="I340" s="24" t="n">
        <x:v>46234</x:v>
      </x:c>
      <x:c r="J340" s="24" t="str">
        <x:v>EXPIRADA</x:v>
      </x:c>
    </x:row>
    <x:row r="341">
      <x:c r="A341" s="24" t="n">
        <x:v>7</x:v>
      </x:c>
      <x:c r="B341" s="24" t="str">
        <x:v>Varilux Comfort</x:v>
      </x:c>
      <x:c r="C341" s="24" t="n">
        <x:v>179.3</x:v>
      </x:c>
      <x:c r="D341" s="24" t="n">
        <x:v>345.1</x:v>
      </x:c>
      <x:c r="E341" s="24" t="str">
        <x:v>3.619,00 3.619,00 3.349,00 2.999,00</x:v>
      </x:c>
      <x:c r="F341" s="24" t="str">
        <x:v>OPTIFOG EASY EASY PRO 1.699,00 1.899,00 2.139,00 1.869,00 2.069,00 2.309,00</x:v>
      </x:c>
      <x:c r="G341" s="24" t="n">
        <x:v>3239</x:v>
      </x:c>
      <x:c r="H341" s="24" t="n">
        <x:v>46118</x:v>
      </x:c>
      <x:c r="I341" s="24" t="n">
        <x:v>46234</x:v>
      </x:c>
      <x:c r="J341" s="24" t="str">
        <x:v>EXPIRADA</x:v>
      </x:c>
    </x:row>
    <x:row r="342">
      <x:c r="A342" s="24" t="n">
        <x:v>7</x:v>
      </x:c>
      <x:c r="B342" s="24" t="str">
        <x:v>Varilux Comfort</x:v>
      </x:c>
      <x:c r="C342" s="24" t="n">
        <x:v>179.3</x:v>
      </x:c>
      <x:c r="D342" s="24" t="n">
        <x:v>225</x:v>
      </x:c>
      <x:c r="E342" s="24" t="str">
        <x:v>3.619,00</x:v>
      </x:c>
      <x:c r="F342" s="24" t="str">
        <x:v>ROCK PREVENCIA SAPPHIRE HR 2.519,00 2.519,00 2.249,00 2.689,00 2.689,00 2.419,00</x:v>
      </x:c>
      <x:c r="G342" s="24" t="n">
        <x:v>3619</x:v>
      </x:c>
      <x:c r="H342" s="24" t="n">
        <x:v>46118</x:v>
      </x:c>
      <x:c r="I342" s="24" t="n">
        <x:v>46234</x:v>
      </x:c>
      <x:c r="J342" s="24" t="str">
        <x:v>EXPIRADA</x:v>
      </x:c>
    </x:row>
    <x:row r="343">
      <x:c r="A343" s="24" t="n">
        <x:v>7</x:v>
      </x:c>
      <x:c r="B343" s="24" t="str">
        <x:v>Varilux Comfort</x:v>
      </x:c>
      <x:c r="C343" s="24" t="n">
        <x:v>194.3</x:v>
      </x:c>
      <x:c r="D343" s="24" t="n">
        <x:v>182.6</x:v>
      </x:c>
      <x:c r="E343" s="24"/>
      <x:c r="F343" s="24" t="str">
        <x:v>PREVENCIA SAPPHIRE 2.519,00 2.519,00 2.689,00 2.689,00 +R$170 3.619,00 3.619,00 +R$1.100</x:v>
      </x:c>
      <x:c r="G343" s="24" t="n">
        <x:v>3649</x:v>
      </x:c>
      <x:c r="H343" s="24" t="n">
        <x:v>46118</x:v>
      </x:c>
      <x:c r="I343" s="24" t="n">
        <x:v>46234</x:v>
      </x:c>
      <x:c r="J343" s="24" t="str">
        <x:v>EXPIRADA</x:v>
      </x:c>
    </x:row>
    <x:row r="344">
      <x:c r="A344" s="24" t="n">
        <x:v>7</x:v>
      </x:c>
      <x:c r="B344" s="24" t="str">
        <x:v>Varilux Comfort</x:v>
      </x:c>
      <x:c r="C344" s="24" t="n">
        <x:v>194.3</x:v>
      </x:c>
      <x:c r="D344" s="24" t="n">
        <x:v>267.3</x:v>
      </x:c>
      <x:c r="E344" s="24" t="str">
        <x:v>3.649,00 3.649,00</x:v>
      </x:c>
      <x:c r="F344" s="24" t="str">
        <x:v>EASY 2.519,00 2.249,00 1.899,00 2.689,00 2.419,00 2.069,00 3.619,00 3.349,00 2.999,00</x:v>
      </x:c>
      <x:c r="G344" s="24" t="n">
        <x:v>3379</x:v>
      </x:c>
      <x:c r="H344" s="24" t="n">
        <x:v>46118</x:v>
      </x:c>
      <x:c r="I344" s="24" t="n">
        <x:v>46234</x:v>
      </x:c>
      <x:c r="J344" s="24" t="str">
        <x:v>EXPIRADA</x:v>
      </x:c>
    </x:row>
    <x:row r="345">
      <x:c r="A345" s="24" t="n">
        <x:v>7</x:v>
      </x:c>
      <x:c r="B345" s="24" t="str">
        <x:v>Varilux Comfort</x:v>
      </x:c>
      <x:c r="C345" s="24" t="n">
        <x:v>194.3</x:v>
      </x:c>
      <x:c r="D345" s="24" t="n">
        <x:v>306.4</x:v>
      </x:c>
      <x:c r="E345" s="24" t="str">
        <x:v>3.649,00 3.649,00 3.379,00</x:v>
      </x:c>
      <x:c r="F345" s="24" t="str">
        <x:v>PRO 2.249,00 1.899,00 2.139,00 2.419,00 2.069,00 2.309,00 3.349,00 2.999,00 3.239,00</x:v>
      </x:c>
      <x:c r="G345" s="24" t="n">
        <x:v>3029</x:v>
      </x:c>
      <x:c r="H345" s="24" t="n">
        <x:v>46118</x:v>
      </x:c>
      <x:c r="I345" s="24" t="n">
        <x:v>46234</x:v>
      </x:c>
      <x:c r="J345" s="24" t="str">
        <x:v>EXPIRADA</x:v>
      </x:c>
    </x:row>
    <x:row r="346">
      <x:c r="A346" s="24" t="n">
        <x:v>7</x:v>
      </x:c>
      <x:c r="B346" s="24" t="str">
        <x:v>Varilux Comfort</x:v>
      </x:c>
      <x:c r="C346" s="24" t="n">
        <x:v>194.3</x:v>
      </x:c>
      <x:c r="D346" s="24" t="n">
        <x:v>344.9</x:v>
      </x:c>
      <x:c r="E346" s="24" t="str">
        <x:v>3.649,00 3.649,00 3.379,00 3.029,00</x:v>
      </x:c>
      <x:c r="F346" s="24" t="str">
        <x:v>PRO 1.699,00 1.899,00 2.139,00 1.869,00 2.069,00 2.309,00 2.999,00 3.239,00 2.799,00</x:v>
      </x:c>
      <x:c r="G346" s="24" t="n">
        <x:v>3269</x:v>
      </x:c>
      <x:c r="H346" s="24" t="n">
        <x:v>46118</x:v>
      </x:c>
      <x:c r="I346" s="24" t="n">
        <x:v>46234</x:v>
      </x:c>
      <x:c r="J346" s="24" t="str">
        <x:v>EXPIRADA</x:v>
      </x:c>
    </x:row>
    <x:row r="347">
      <x:c r="A347" s="24" t="n">
        <x:v>7</x:v>
      </x:c>
      <x:c r="B347" s="24" t="str">
        <x:v>Varilux Comfort</x:v>
      </x:c>
      <x:c r="C347" s="24" t="n">
        <x:v>194.3</x:v>
      </x:c>
      <x:c r="D347" s="24" t="n">
        <x:v>224.8</x:v>
      </x:c>
      <x:c r="E347" s="24" t="str">
        <x:v>3.649,00</x:v>
      </x:c>
      <x:c r="F347" s="24" t="str">
        <x:v>HR 2.519,00 2.519,00 2.249,00 2.689,00 2.689,00 2.419,00 3.619,00 3.619,00 3.349,00</x:v>
      </x:c>
      <x:c r="G347" s="24" t="n">
        <x:v>3649</x:v>
      </x:c>
      <x:c r="H347" s="24" t="n">
        <x:v>46118</x:v>
      </x:c>
      <x:c r="I347" s="24" t="n">
        <x:v>46234</x:v>
      </x:c>
      <x:c r="J347" s="24" t="str">
        <x:v>EXPIRADA</x:v>
      </x:c>
    </x:row>
    <x:row r="348">
      <x:c r="A348" s="24" t="n">
        <x:v>7</x:v>
      </x:c>
      <x:c r="B348" s="24" t="str">
        <x:v>Varilux Comfort</x:v>
      </x:c>
      <x:c r="C348" s="24" t="n">
        <x:v>250.9</x:v>
      </x:c>
      <x:c r="D348" s="24" t="n">
        <x:v>180.6</x:v>
      </x:c>
      <x:c r="E348" s="24" t="str">
        <x:v>Transitions Extractive</x:v>
      </x:c>
      <x:c r="F348" s="24" t="str">
        <x:v>3.619,00 +R$1.100 3.649,00 3.649,00 +R$1.130 2.819,00 2.819,00 3.919,00 3.919,00 +R$1.100</x:v>
      </x:c>
      <x:c r="G348" s="24" t="n">
        <x:v>3949</x:v>
      </x:c>
      <x:c r="H348" s="24" t="n">
        <x:v>46118</x:v>
      </x:c>
      <x:c r="I348" s="24" t="n">
        <x:v>46234</x:v>
      </x:c>
      <x:c r="J348" s="24" t="str">
        <x:v>EXPIRADA</x:v>
      </x:c>
    </x:row>
    <x:row r="349">
      <x:c r="A349" s="24" t="n">
        <x:v>7</x:v>
      </x:c>
      <x:c r="B349" s="24" t="str">
        <x:v>Varilux Comfort</x:v>
      </x:c>
      <x:c r="C349" s="24" t="n">
        <x:v>250.9</x:v>
      </x:c>
      <x:c r="D349" s="24" t="n">
        <x:v>267.7</x:v>
      </x:c>
      <x:c r="E349" s="24" t="str">
        <x:v>Transitions Extractive 3.949,00 3.949,00</x:v>
      </x:c>
      <x:c r="F349" s="24" t="str">
        <x:v>2.999,00 3.649,00 3.379,00 3.029,00 2.819,00 2.549,00 2.199,00 3.919,00 3.649,00 3.299,00</x:v>
      </x:c>
      <x:c r="G349" s="24" t="n">
        <x:v>3679</x:v>
      </x:c>
      <x:c r="H349" s="24" t="n">
        <x:v>46118</x:v>
      </x:c>
      <x:c r="I349" s="24" t="n">
        <x:v>46234</x:v>
      </x:c>
      <x:c r="J349" s="24" t="str">
        <x:v>EXPIRADA</x:v>
      </x:c>
    </x:row>
    <x:row r="350">
      <x:c r="A350" s="24" t="n">
        <x:v>7</x:v>
      </x:c>
      <x:c r="B350" s="24" t="str">
        <x:v>Varilux Comfort</x:v>
      </x:c>
      <x:c r="C350" s="24" t="n">
        <x:v>250.9</x:v>
      </x:c>
      <x:c r="D350" s="24" t="n">
        <x:v>307.4</x:v>
      </x:c>
      <x:c r="E350" s="24" t="str">
        <x:v>Transitions Extractive 3.949,00 3.949,00 3.679,00</x:v>
      </x:c>
      <x:c r="F350" s="24" t="str">
        <x:v>3.239,00 3.379,00 3.029,00 3.269,00 2.549,00 2.199,00 2.439,00 3.649,00 3.299,00 3.539,00</x:v>
      </x:c>
      <x:c r="G350" s="24" t="n">
        <x:v>3329</x:v>
      </x:c>
      <x:c r="H350" s="24" t="n">
        <x:v>46118</x:v>
      </x:c>
      <x:c r="I350" s="24" t="n">
        <x:v>46234</x:v>
      </x:c>
      <x:c r="J350" s="24" t="str">
        <x:v>EXPIRADA</x:v>
      </x:c>
    </x:row>
    <x:row r="351">
      <x:c r="A351" s="24" t="n">
        <x:v>7</x:v>
      </x:c>
      <x:c r="B351" s="24" t="str">
        <x:v>Varilux Comfort</x:v>
      </x:c>
      <x:c r="C351" s="24" t="n">
        <x:v>250.9</x:v>
      </x:c>
      <x:c r="D351" s="24" t="n">
        <x:v>345.5</x:v>
      </x:c>
      <x:c r="E351" s="24" t="str">
        <x:v>Transitions Extractive 3.949,00 3.949,00 3.679,00 3.329,00</x:v>
      </x:c>
      <x:c r="F351" s="24" t="str">
        <x:v>2.799,00 2.829,00 3.029,00 3.269,00 2.199,00 2.439,00 1.999,00 3.099,00 3.299,00 3.539,00</x:v>
      </x:c>
      <x:c r="G351" s="24" t="n">
        <x:v>3569</x:v>
      </x:c>
      <x:c r="H351" s="24" t="n">
        <x:v>46118</x:v>
      </x:c>
      <x:c r="I351" s="24" t="n">
        <x:v>46234</x:v>
      </x:c>
      <x:c r="J351" s="24" t="str">
        <x:v>EXPIRADA</x:v>
      </x:c>
    </x:row>
    <x:row r="352">
      <x:c r="A352" s="24" t="n">
        <x:v>7</x:v>
      </x:c>
      <x:c r="B352" s="24" t="str">
        <x:v>Varilux Comfort</x:v>
      </x:c>
      <x:c r="C352" s="24" t="n">
        <x:v>150.4</x:v>
      </x:c>
      <x:c r="D352" s="24" t="n">
        <x:v>386.1</x:v>
      </x:c>
      <x:c r="E352" s="24" t="str">
        <x:v>Orma 2.519,00 2.519,00 2.249,00 1.899,00 2.139,00</x:v>
      </x:c>
      <x:c r="F352" s="24" t="str">
        <x:v>V MARROM ÂMBAR M A TRIO VERNIZ OPTIFOG EASY CLEAN</x:v>
      </x:c>
      <x:c r="G352" s="24" t="n">
        <x:v>1699</x:v>
      </x:c>
      <x:c r="H352" s="24" t="n">
        <x:v>46118</x:v>
      </x:c>
      <x:c r="I352" s="24" t="n">
        <x:v>46234</x:v>
      </x:c>
      <x:c r="J352" s="24" t="str">
        <x:v>EXPIRADA</x:v>
      </x:c>
    </x:row>
    <x:row r="353">
      <x:c r="A353" s="24" t="n">
        <x:v>7</x:v>
      </x:c>
      <x:c r="B353" s="24" t="str">
        <x:v>Varilux Comfort</x:v>
      </x:c>
      <x:c r="C353" s="24" t="n">
        <x:v>150.4</x:v>
      </x:c>
      <x:c r="D353" s="24" t="n">
        <x:v>427.5</x:v>
      </x:c>
      <x:c r="E353" s="24" t="str">
        <x:v>Orma 2.519,00 2.519,00 2.249,00 1.899,00 2.139,00 1.699,00</x:v>
      </x:c>
      <x:c r="F353" s="24" t="str">
        <x:v>A ÂMBAR SAFIRA A S TRIO VERNIZ HC MARCAÇÃO CLEAN</x:v>
      </x:c>
      <x:c r="G353" s="24" t="n">
        <x:v>1499</x:v>
      </x:c>
      <x:c r="H353" s="24" t="n">
        <x:v>46118</x:v>
      </x:c>
      <x:c r="I353" s="24" t="n">
        <x:v>46234</x:v>
      </x:c>
      <x:c r="J353" s="24" t="str">
        <x:v>EXPIRADA</x:v>
      </x:c>
    </x:row>
    <x:row r="354">
      <x:c r="A354" s="24" t="n">
        <x:v>7</x:v>
      </x:c>
      <x:c r="B354" s="24" t="str">
        <x:v>Varilux Comfort</x:v>
      </x:c>
      <x:c r="C354" s="24" t="n">
        <x:v>164.6</x:v>
      </x:c>
      <x:c r="D354" s="24" t="n">
        <x:v>386.1</x:v>
      </x:c>
      <x:c r="E354" s="24" t="str">
        <x:v>2.689,00 2.689,00 2.419,00 2.069,00 2.309,00</x:v>
      </x:c>
      <x:c r="F354" s="24" t="str">
        <x:v>M A TRIO VERNIZ OPTIFOG EASY CLEAN 1.699,00 1.499,00 2.139,00</x:v>
      </x:c>
      <x:c r="G354" s="24" t="n">
        <x:v>1869</x:v>
      </x:c>
      <x:c r="H354" s="24" t="n">
        <x:v>46118</x:v>
      </x:c>
      <x:c r="I354" s="24" t="n">
        <x:v>46234</x:v>
      </x:c>
      <x:c r="J354" s="24" t="str">
        <x:v>EXPIRADA</x:v>
      </x:c>
    </x:row>
    <x:row r="355">
      <x:c r="A355" s="24" t="n">
        <x:v>7</x:v>
      </x:c>
      <x:c r="B355" s="24" t="str">
        <x:v>Varilux Comfort</x:v>
      </x:c>
      <x:c r="C355" s="24" t="n">
        <x:v>164.6</x:v>
      </x:c>
      <x:c r="D355" s="24" t="n">
        <x:v>428.3</x:v>
      </x:c>
      <x:c r="E355" s="24" t="str">
        <x:v>2.689,00 2.689,00 2.419,00 2.069,00 2.309,00 1.869,00</x:v>
      </x:c>
      <x:c r="F355" s="24" t="str">
        <x:v>SAFIRA A S TRIO VERNIZ HC MARCAÇÃO CLEAN 1.699,00 1.499,00</x:v>
      </x:c>
      <x:c r="G355" s="24" t="n">
        <x:v>1669</x:v>
      </x:c>
      <x:c r="H355" s="24" t="n">
        <x:v>46118</x:v>
      </x:c>
      <x:c r="I355" s="24" t="n">
        <x:v>46234</x:v>
      </x:c>
      <x:c r="J355" s="24" t="str">
        <x:v>EXPIRADA</x:v>
      </x:c>
    </x:row>
    <x:row r="356">
      <x:c r="A356" s="24" t="n">
        <x:v>7</x:v>
      </x:c>
      <x:c r="B356" s="24" t="str">
        <x:v>Varilux Comfort</x:v>
      </x:c>
      <x:c r="C356" s="24" t="n">
        <x:v>236.1</x:v>
      </x:c>
      <x:c r="D356" s="24" t="n">
        <x:v>385.7</x:v>
      </x:c>
      <x:c r="E356" s="24" t="str">
        <x:v>Transitions Gen S 3.919,00 3.919,00 3.649,00 3.299,00 3.539,00</x:v>
      </x:c>
      <x:c r="F356" s="24" t="str">
        <x:v>2.309,00 3.239,00 2.799,00 2.599,00 2.829,00 2.629,00 3.269,00 2.439,00 1.999,00 1.799,00</x:v>
      </x:c>
      <x:c r="G356" s="24" t="n">
        <x:v>3099</x:v>
      </x:c>
      <x:c r="H356" s="24" t="n">
        <x:v>46118</x:v>
      </x:c>
      <x:c r="I356" s="24" t="n">
        <x:v>46234</x:v>
      </x:c>
      <x:c r="J356" s="24" t="str">
        <x:v>EXPIRADA</x:v>
      </x:c>
    </x:row>
    <x:row r="357">
      <x:c r="A357" s="24" t="n">
        <x:v>7</x:v>
      </x:c>
      <x:c r="B357" s="24" t="str">
        <x:v>Varilux Comfort</x:v>
      </x:c>
      <x:c r="C357" s="24" t="n">
        <x:v>236.1</x:v>
      </x:c>
      <x:c r="D357" s="24" t="n">
        <x:v>428.3</x:v>
      </x:c>
      <x:c r="E357" s="24" t="str">
        <x:v>Transitions Gen S 3.919,00 3.919,00 3.649,00 3.299,00 3.539,00 3.099,00</x:v>
      </x:c>
      <x:c r="F357" s="24" t="str">
        <x:v>1.699,00 1.499,00 1.869,00 1.669,00 2.799,00 2.599,00 2.829,00 2.629,00 1.999,00 1.799,00</x:v>
      </x:c>
      <x:c r="G357" s="24" t="n">
        <x:v>2899</x:v>
      </x:c>
      <x:c r="H357" s="24" t="n">
        <x:v>46118</x:v>
      </x:c>
      <x:c r="I357" s="24" t="n">
        <x:v>46234</x:v>
      </x:c>
      <x:c r="J357" s="24" t="str">
        <x:v>EXPIRADA</x:v>
      </x:c>
    </x:row>
    <x:row r="358">
      <x:c r="A358" s="24" t="n">
        <x:v>7</x:v>
      </x:c>
      <x:c r="B358" s="24" t="str">
        <x:v>Varilux Comfort</x:v>
      </x:c>
      <x:c r="C358" s="24" t="n">
        <x:v>220.2</x:v>
      </x:c>
      <x:c r="D358" s="24" t="n">
        <x:v>386.1</x:v>
      </x:c>
      <x:c r="E358" s="24" t="str">
        <x:v>Airwear 2.819,00 2.819,00 2.549,00 2.199,00 2.439,00</x:v>
      </x:c>
      <x:c r="F358" s="24" t="str">
        <x:v>2.139,00 1.869,00 1.669,00 2.309,00 3.239,00 2.799,00 2.599,00 2.829,00 2.629,00 3.269,00</x:v>
      </x:c>
      <x:c r="G358" s="24" t="n">
        <x:v>1999</x:v>
      </x:c>
      <x:c r="H358" s="24" t="n">
        <x:v>46118</x:v>
      </x:c>
      <x:c r="I358" s="24" t="n">
        <x:v>46234</x:v>
      </x:c>
      <x:c r="J358" s="24" t="str">
        <x:v>EXPIRADA</x:v>
      </x:c>
    </x:row>
    <x:row r="359">
      <x:c r="A359" s="24" t="n">
        <x:v>7</x:v>
      </x:c>
      <x:c r="B359" s="24" t="str">
        <x:v>Varilux Comfort</x:v>
      </x:c>
      <x:c r="C359" s="24" t="n">
        <x:v>220.2</x:v>
      </x:c>
      <x:c r="D359" s="24" t="n">
        <x:v>428.9</x:v>
      </x:c>
      <x:c r="E359" s="24" t="str">
        <x:v>Airwear 2.819,00 2.819,00 2.549,00 2.199,00 2.439,00 1.999,00</x:v>
      </x:c>
      <x:c r="F359" s="24" t="str">
        <x:v>MARCAÇÃO CLEAN 1.699,00 1.499,00 1.869,00 1.669,00 2.799,00 2.599,00 2.829,00 2.629,00</x:v>
      </x:c>
      <x:c r="G359" s="24" t="n">
        <x:v>1799</x:v>
      </x:c>
      <x:c r="H359" s="24" t="n">
        <x:v>46118</x:v>
      </x:c>
      <x:c r="I359" s="24" t="n">
        <x:v>46234</x:v>
      </x:c>
      <x:c r="J359" s="24" t="str">
        <x:v>EXPIRADA</x:v>
      </x:c>
    </x:row>
    <x:row r="360">
      <x:c r="A360" s="24" t="n">
        <x:v>7</x:v>
      </x:c>
      <x:c r="B360" s="24" t="str">
        <x:v>Varilux Comfort</x:v>
      </x:c>
      <x:c r="C360" s="24" t="n">
        <x:v>179.3</x:v>
      </x:c>
      <x:c r="D360" s="24" t="n">
        <x:v>385.8</x:v>
      </x:c>
      <x:c r="E360" s="24" t="str">
        <x:v>3.619,00 3.619,00 3.349,00 2.999,00 3.239,00</x:v>
      </x:c>
      <x:c r="F360" s="24" t="str">
        <x:v>VERNIZ OPTIFOG EASY CLEAN 1.699,00 1.499,00 2.139,00 1.869,00 1.669,00 2.309,00</x:v>
      </x:c>
      <x:c r="G360" s="24" t="n">
        <x:v>2799</x:v>
      </x:c>
      <x:c r="H360" s="24" t="n">
        <x:v>46118</x:v>
      </x:c>
      <x:c r="I360" s="24" t="n">
        <x:v>46234</x:v>
      </x:c>
      <x:c r="J360" s="24" t="str">
        <x:v>EXPIRADA</x:v>
      </x:c>
    </x:row>
    <x:row r="361">
      <x:c r="A361" s="24" t="n">
        <x:v>7</x:v>
      </x:c>
      <x:c r="B361" s="24" t="str">
        <x:v>Varilux Comfort</x:v>
      </x:c>
      <x:c r="C361" s="24" t="n">
        <x:v>179.3</x:v>
      </x:c>
      <x:c r="D361" s="24" t="n">
        <x:v>426.6</x:v>
      </x:c>
      <x:c r="E361" s="24" t="str">
        <x:v>3.619,00 3.619,00 3.349,00 2.999,00 3.239,00 2.799,00</x:v>
      </x:c>
      <x:c r="F361" s="24" t="str">
        <x:v>S TRIO VERNIZ HC MARCAÇÃO CLEAN 1.699,00 1.499,00 1.869,00 1.669,00</x:v>
      </x:c>
      <x:c r="G361" s="24" t="n">
        <x:v>2599</x:v>
      </x:c>
      <x:c r="H361" s="24" t="n">
        <x:v>46118</x:v>
      </x:c>
      <x:c r="I361" s="24" t="n">
        <x:v>46234</x:v>
      </x:c>
      <x:c r="J361" s="24" t="str">
        <x:v>EXPIRADA</x:v>
      </x:c>
    </x:row>
    <x:row r="362">
      <x:c r="A362" s="24" t="n">
        <x:v>7</x:v>
      </x:c>
      <x:c r="B362" s="24" t="str">
        <x:v>Varilux Comfort</x:v>
      </x:c>
      <x:c r="C362" s="24" t="n">
        <x:v>194.3</x:v>
      </x:c>
      <x:c r="D362" s="24" t="n">
        <x:v>385.9</x:v>
      </x:c>
      <x:c r="E362" s="24" t="str">
        <x:v>3.649,00 3.649,00 3.379,00 3.029,00 3.269,00</x:v>
      </x:c>
      <x:c r="F362" s="24" t="str">
        <x:v>CLEAN 1.699,00 1.499,00 2.139,00 1.869,00 1.669,00 2.309,00 3.239,00 2.799,00 2.599,00</x:v>
      </x:c>
      <x:c r="G362" s="24" t="n">
        <x:v>2829</x:v>
      </x:c>
      <x:c r="H362" s="24" t="n">
        <x:v>46118</x:v>
      </x:c>
      <x:c r="I362" s="24" t="n">
        <x:v>46234</x:v>
      </x:c>
      <x:c r="J362" s="24" t="str">
        <x:v>EXPIRADA</x:v>
      </x:c>
    </x:row>
    <x:row r="363">
      <x:c r="A363" s="24" t="n">
        <x:v>7</x:v>
      </x:c>
      <x:c r="B363" s="24" t="str">
        <x:v>Varilux Comfort</x:v>
      </x:c>
      <x:c r="C363" s="24" t="n">
        <x:v>194.3</x:v>
      </x:c>
      <x:c r="D363" s="24" t="n">
        <x:v>426.7</x:v>
      </x:c>
      <x:c r="E363" s="24" t="str">
        <x:v>3.649,00 3.649,00 3.379,00 3.029,00 3.269,00 2.829,00</x:v>
      </x:c>
      <x:c r="F363" s="24" t="str">
        <x:v>VERNIZ HC MARCAÇÃO CLEAN 1.699,00 1.499,00 1.869,00 1.669,00 2.799,00 2.599,00</x:v>
      </x:c>
      <x:c r="G363" s="24" t="n">
        <x:v>2629</x:v>
      </x:c>
      <x:c r="H363" s="24" t="n">
        <x:v>46118</x:v>
      </x:c>
      <x:c r="I363" s="24" t="n">
        <x:v>46234</x:v>
      </x:c>
      <x:c r="J363" s="24" t="str">
        <x:v>EXPIRADA</x:v>
      </x:c>
    </x:row>
    <x:row r="364">
      <x:c r="A364" s="24" t="n">
        <x:v>7</x:v>
      </x:c>
      <x:c r="B364" s="24" t="str">
        <x:v>Varilux Comfort</x:v>
      </x:c>
      <x:c r="C364" s="24" t="n">
        <x:v>250.9</x:v>
      </x:c>
      <x:c r="D364" s="24" t="n">
        <x:v>386.7</x:v>
      </x:c>
      <x:c r="E364" s="24" t="str">
        <x:v>Transitions Extractive 3.949,00 3.949,00 3.679,00 3.329,00 3.569,00</x:v>
      </x:c>
      <x:c r="F364" s="24" t="str">
        <x:v>2.599,00 2.829,00 2.629,00 3.269,00 2.439,00 1.999,00 1.799,00 3.099,00 2.899,00 3.539,00</x:v>
      </x:c>
      <x:c r="G364" s="24" t="n">
        <x:v>3129</x:v>
      </x:c>
      <x:c r="H364" s="24" t="n">
        <x:v>46118</x:v>
      </x:c>
      <x:c r="I364" s="24" t="n">
        <x:v>46234</x:v>
      </x:c>
      <x:c r="J364" s="24" t="str">
        <x:v>EXPIRADA</x:v>
      </x:c>
    </x:row>
    <x:row r="365">
      <x:c r="A365" s="24" t="n">
        <x:v>7</x:v>
      </x:c>
      <x:c r="B365" s="24" t="str">
        <x:v>Varilux Comfort</x:v>
      </x:c>
      <x:c r="C365" s="24" t="n">
        <x:v>250.9</x:v>
      </x:c>
      <x:c r="D365" s="24" t="n">
        <x:v>428.4</x:v>
      </x:c>
      <x:c r="E365" s="24" t="str">
        <x:v>Transitions Extractive 3.949,00 3.949,00 3.679,00 3.329,00 3.569,00 3.129,00</x:v>
      </x:c>
      <x:c r="F365" s="24" t="str">
        <x:v>1.869,00 1.669,00 2.799,00 2.599,00 2.829,00 2.629,00 1.999,00 1.799,00 3.099,00 2.899,00</x:v>
      </x:c>
      <x:c r="G365" s="24" t="n">
        <x:v>2929</x:v>
      </x:c>
      <x:c r="H365" s="24" t="n">
        <x:v>46118</x:v>
      </x:c>
      <x:c r="I365" s="24" t="n">
        <x:v>46234</x:v>
      </x:c>
      <x:c r="J365" s="24" t="str">
        <x:v>EXPIRADA</x:v>
      </x:c>
    </x:row>
    <x:row r="366">
      <x:c r="A366" s="24" t="n">
        <x:v>7</x:v>
      </x:c>
      <x:c r="B366" s="24" t="str">
        <x:v>Varilux Comfort</x:v>
      </x:c>
      <x:c r="C366" s="24" t="n">
        <x:v>250.9</x:v>
      </x:c>
      <x:c r="D366" s="24" t="n">
        <x:v>224.5</x:v>
      </x:c>
      <x:c r="E366" s="24" t="str">
        <x:v>Transitions Extractive 3.949,00</x:v>
      </x:c>
      <x:c r="F366" s="24" t="str">
        <x:v>3.349,00 3.649,00 3.649,00 3.379,00 2.819,00 2.819,00 2.549,00 3.919,00 3.919,00 3.649,00</x:v>
      </x:c>
      <x:c r="G366" s="24" t="n">
        <x:v>3949</x:v>
      </x:c>
      <x:c r="H366" s="24" t="n">
        <x:v>46118</x:v>
      </x:c>
      <x:c r="I366" s="24" t="n">
        <x:v>46234</x:v>
      </x:c>
      <x:c r="J366" s="24" t="str">
        <x:v>EXPIRADA</x:v>
      </x:c>
    </x:row>
    <x:row r="367">
      <x:c r="A367" s="24" t="n">
        <x:v>7</x:v>
      </x:c>
      <x:c r="B367" s="24" t="str">
        <x:v>Varilux Comfort</x:v>
      </x:c>
      <x:c r="C367" s="24" t="n">
        <x:v>360.3</x:v>
      </x:c>
      <x:c r="D367" s="24" t="n">
        <x:v>403.5</x:v>
      </x:c>
      <x:c r="E367" s="24" t="str">
        <x:v>Orma + Xperio cinza/marrom 2.849,00 2.829,00 2.189,00 Orma + Coloração padrão</x:v>
      </x:c>
      <x:c r="F367" s="24" t="str">
        <x:v>- Fit Eyecode | ALT. MÍN 14mm VERNIZ HC MARCAÇÃO</x:v>
      </x:c>
      <x:c r="G367" s="24" t="n">
        <x:v>1679</x:v>
      </x:c>
      <x:c r="H367" s="24" t="n">
        <x:v>46118</x:v>
      </x:c>
      <x:c r="I367" s="24" t="n">
        <x:v>46234</x:v>
      </x:c>
      <x:c r="J367" s="24" t="str">
        <x:v>EXPIRADA</x:v>
      </x:c>
    </x:row>
    <x:row r="368">
      <x:c r="A368" s="24" t="n">
        <x:v>7</x:v>
      </x:c>
      <x:c r="B368" s="24" t="str">
        <x:v>Varilux Comfort</x:v>
      </x:c>
      <x:c r="C368" s="24" t="n">
        <x:v>373.1</x:v>
      </x:c>
      <x:c r="D368" s="24" t="n">
        <x:v>404</x:v>
      </x:c>
      <x:c r="E368" s="24" t="str">
        <x:v>+ Coloração especial</x:v>
      </x:c>
      <x:c r="F368" s="24" t="str">
        <x:v>Eyecode | ALT. MÍN 14mm VERNIZ HC MARCAÇÃO 1.679,00 padrão</x:v>
      </x:c>
      <x:c r="G368" s="24" t="n">
        <x:v>1789</x:v>
      </x:c>
      <x:c r="H368" s="24" t="n">
        <x:v>46118</x:v>
      </x:c>
      <x:c r="I368" s="24" t="n">
        <x:v>46234</x:v>
      </x:c>
      <x:c r="J368" s="24" t="str">
        <x:v>EXPIRADA</x:v>
      </x:c>
    </x:row>
    <x:row r="369">
      <x:c r="A369" s="24" t="n">
        <x:v>7</x:v>
      </x:c>
      <x:c r="B369" s="24" t="str">
        <x:v>Varilux Comfort</x:v>
      </x:c>
      <x:c r="C369" s="24" t="n">
        <x:v>396</x:v>
      </x:c>
      <x:c r="D369" s="24" t="n">
        <x:v>175.4</x:v>
      </x:c>
      <x:c r="E369" s="24" t="str">
        <x:v>+ Xperio cinza/marrom</x:v>
      </x:c>
      <x:c r="F369" s="24" t="str">
        <x:v>MÍN 14mm CRIZAL SAPPHIRE HR OPTIFOG FACE INTERNA 2.849,00 2.829,00</x:v>
      </x:c>
      <x:c r="G369" s="24" t="n">
        <x:v>3149</x:v>
      </x:c>
      <x:c r="H369" s="24" t="n">
        <x:v>46118</x:v>
      </x:c>
      <x:c r="I369" s="24" t="n">
        <x:v>46234</x:v>
      </x:c>
      <x:c r="J369" s="24" t="str">
        <x:v>EXPIRADA</x:v>
      </x:c>
    </x:row>
    <x:row r="370">
      <x:c r="A370" s="24" t="n">
        <x:v>7</x:v>
      </x:c>
      <x:c r="B370" s="24" t="str">
        <x:v>Varilux Comfort</x:v>
      </x:c>
      <x:c r="C370" s="24" t="n">
        <x:v>396</x:v>
      </x:c>
      <x:c r="D370" s="24" t="n">
        <x:v>254.5</x:v>
      </x:c>
      <x:c r="E370" s="24" t="str">
        <x:v>+ Xperio cinza/marrom 3.149,00 3.129,00</x:v>
      </x:c>
      <x:c r="F370" s="24" t="str">
        <x:v>sem custo adicional OPTIFOG VERNIZ HC 2.829,00 2.189,00 Orma +R$300</x:v>
      </x:c>
      <x:c r="G370" s="24" t="n">
        <x:v>2489</x:v>
      </x:c>
      <x:c r="H370" s="24" t="n">
        <x:v>46118</x:v>
      </x:c>
      <x:c r="I370" s="24" t="n">
        <x:v>46234</x:v>
      </x:c>
      <x:c r="J370" s="24" t="str">
        <x:v>EXPIRADA</x:v>
      </x:c>
    </x:row>
    <x:row r="371">
      <x:c r="A371" s="24" t="n">
        <x:v>7</x:v>
      </x:c>
      <x:c r="B371" s="24" t="str">
        <x:v>Varilux Comfort</x:v>
      </x:c>
      <x:c r="C371" s="24" t="n">
        <x:v>360</x:v>
      </x:c>
      <x:c r="D371" s="24" t="n">
        <x:v>255</x:v>
      </x:c>
      <x:c r="E371" s="24" t="str">
        <x:v>Orma + Xperio cinza/marrom 2.849,00 2.829,00</x:v>
      </x:c>
      <x:c r="F371" s="24" t="str">
        <x:v>4.809,00 4.539,00 5.909,00 5.639,00 sem custo adicional OPTIFOG VERNIZ HC</x:v>
      </x:c>
      <x:c r="G371" s="24" t="n">
        <x:v>2189</x:v>
      </x:c>
      <x:c r="H371" s="24" t="n">
        <x:v>46118</x:v>
      </x:c>
      <x:c r="I371" s="24" t="n">
        <x:v>46234</x:v>
      </x:c>
      <x:c r="J371" s="24" t="str">
        <x:v>EXPIRADA</x:v>
      </x:c>
    </x:row>
    <x:row r="372">
      <x:c r="A372" s="24" t="n">
        <x:v>7</x:v>
      </x:c>
      <x:c r="B372" s="24" t="str">
        <x:v>Varilux Comfort</x:v>
      </x:c>
      <x:c r="C372" s="24" t="n">
        <x:v>360</x:v>
      </x:c>
      <x:c r="D372" s="24" t="n">
        <x:v>175.9</x:v>
      </x:c>
      <x:c r="E372" s="24" t="str">
        <x:v>Orma + Xperio cinza/marrom</x:v>
      </x:c>
      <x:c r="F372" s="24" t="str">
        <x:v>| ALT. MÍN 14mm CRIZAL SAPPHIRE HR OPTIFOG FACE INTERNA</x:v>
      </x:c>
      <x:c r="G372" s="24" t="n">
        <x:v>2849</x:v>
      </x:c>
      <x:c r="H372" s="24" t="n">
        <x:v>46118</x:v>
      </x:c>
      <x:c r="I372" s="24" t="n">
        <x:v>46234</x:v>
      </x:c>
      <x:c r="J372" s="24" t="str">
        <x:v>EXPIRADA</x:v>
      </x:c>
    </x:row>
    <x:row r="373">
      <x:c r="A373" s="24" t="n">
        <x:v>7</x:v>
      </x:c>
      <x:c r="B373" s="24" t="str">
        <x:v>Varilux Comfort</x:v>
      </x:c>
      <x:c r="C373" s="24" t="n">
        <x:v>396</x:v>
      </x:c>
      <x:c r="D373" s="24" t="n">
        <x:v>217.8</x:v>
      </x:c>
      <x:c r="E373" s="24" t="str">
        <x:v>+ Xperio cinza/marrom 3.149,00</x:v>
      </x:c>
      <x:c r="F373" s="24" t="str">
        <x:v>14mm adicional SAPPHIRE HR OPTIFOG VERNIZ INTERNA 2.849,00 2.829,00 2.189,00</x:v>
      </x:c>
      <x:c r="G373" s="24" t="n">
        <x:v>3129</x:v>
      </x:c>
      <x:c r="H373" s="24" t="n">
        <x:v>46118</x:v>
      </x:c>
      <x:c r="I373" s="24" t="n">
        <x:v>46234</x:v>
      </x:c>
      <x:c r="J373" s="24" t="str">
        <x:v>EXPIRADA</x:v>
      </x:c>
    </x:row>
    <x:row r="374">
      <x:c r="A374" s="24" t="n">
        <x:v>7</x:v>
      </x:c>
      <x:c r="B374" s="24" t="str">
        <x:v>Varilux Comfort</x:v>
      </x:c>
      <x:c r="C374" s="24" t="n">
        <x:v>360</x:v>
      </x:c>
      <x:c r="D374" s="24" t="n">
        <x:v>217.5</x:v>
      </x:c>
      <x:c r="E374" s="24" t="str">
        <x:v>Orma + Xperio cinza/marrom 2.849,00</x:v>
      </x:c>
      <x:c r="F374" s="24" t="str">
        <x:v>sem custo MÍN 14mm adicional SAPPHIRE HR OPTIFOG VERNIZ INTERNA</x:v>
      </x:c>
      <x:c r="G374" s="24" t="n">
        <x:v>2829</x:v>
      </x:c>
      <x:c r="H374" s="24" t="n">
        <x:v>46118</x:v>
      </x:c>
      <x:c r="I374" s="24" t="n">
        <x:v>46234</x:v>
      </x:c>
      <x:c r="J374" s="24" t="str">
        <x:v>EXPIRADA</x:v>
      </x:c>
    </x:row>
    <x:row r="375">
      <x:c r="A375" s="24" t="n">
        <x:v>7</x:v>
      </x:c>
      <x:c r="B375" s="24" t="str">
        <x:v>Varilux Comfort</x:v>
      </x:c>
      <x:c r="C375" s="24" t="n">
        <x:v>392.2</x:v>
      </x:c>
      <x:c r="D375" s="24" t="n">
        <x:v>404.5</x:v>
      </x:c>
      <x:c r="E375" s="24" t="str">
        <x:v>Airwear Airwear + Coloração padrão</x:v>
      </x:c>
      <x:c r="F375" s="24" t="str">
        <x:v>ALT. MÍN 14mm VERNIZ HC MARCAÇÃO 1.679,00 padrão 1.789,00 especial</x:v>
      </x:c>
      <x:c r="G375" s="24" t="n">
        <x:v>1979</x:v>
      </x:c>
      <x:c r="H375" s="24" t="n">
        <x:v>46118</x:v>
      </x:c>
      <x:c r="I375" s="24" t="n">
        <x:v>46234</x:v>
      </x:c>
      <x:c r="J375" s="24" t="str">
        <x:v>EXPIRADA</x:v>
      </x:c>
    </x:row>
    <x:row r="376">
      <x:c r="A376" s="24" t="n">
        <x:v>7</x:v>
      </x:c>
      <x:c r="B376" s="24" t="str">
        <x:v>Varilux Comfort</x:v>
      </x:c>
      <x:c r="C376" s="24" t="n">
        <x:v>405</x:v>
      </x:c>
      <x:c r="D376" s="24" t="n">
        <x:v>404.3</x:v>
      </x:c>
      <x:c r="E376" s="24" t="str">
        <x:v>+ Coloração especial</x:v>
      </x:c>
      <x:c r="F376" s="24" t="str">
        <x:v>14mm VERNIZ HC MARCAÇÃO 1.679,00 padrão 1.789,00 especial 1.979,00 padrão</x:v>
      </x:c>
      <x:c r="G376" s="24" t="n">
        <x:v>2089</x:v>
      </x:c>
      <x:c r="H376" s="24" t="n">
        <x:v>46118</x:v>
      </x:c>
      <x:c r="I376" s="24" t="n">
        <x:v>46234</x:v>
      </x:c>
      <x:c r="J376" s="24" t="str">
        <x:v>EXPIRADA</x:v>
      </x:c>
    </x:row>
    <x:row r="377">
      <x:c r="A377" s="24" t="n">
        <x:v>7</x:v>
      </x:c>
      <x:c r="B377" s="24" t="str">
        <x:v>Varilux Comfort</x:v>
      </x:c>
      <x:c r="C377" s="24" t="n">
        <x:v>641.8</x:v>
      </x:c>
      <x:c r="D377" s="24" t="n">
        <x:v>186.7</x:v>
      </x:c>
      <x:c r="E377" s="24" t="str">
        <x:v>Orma + Coloração padrão</x:v>
      </x:c>
      <x:c r="F377" s="24" t="str">
        <x:v>2.819,00 2.819,00 3.919,00 3.919,00 +R$1.100 VERNIZ HC</x:v>
      </x:c>
      <x:c r="G377" s="24" t="n">
        <x:v>1679</x:v>
      </x:c>
      <x:c r="H377" s="24" t="n">
        <x:v>46118</x:v>
      </x:c>
      <x:c r="I377" s="24" t="n">
        <x:v>46234</x:v>
      </x:c>
      <x:c r="J377" s="24" t="str">
        <x:v>EXPIRADA</x:v>
      </x:c>
    </x:row>
    <x:row r="378">
      <x:c r="A378" s="24" t="n">
        <x:v>7</x:v>
      </x:c>
      <x:c r="B378" s="24" t="str">
        <x:v>Varilux Comfort</x:v>
      </x:c>
      <x:c r="C378" s="24" t="n">
        <x:v>655.3</x:v>
      </x:c>
      <x:c r="D378" s="24" t="n">
        <x:v>186.5</x:v>
      </x:c>
      <x:c r="E378" s="24" t="str">
        <x:v>+ Coloração especial</x:v>
      </x:c>
      <x:c r="F378" s="24" t="str">
        <x:v>3.919,00 3.919,00 +R$1.100 VERNIZ HC 1.679,00</x:v>
      </x:c>
      <x:c r="G378" s="24" t="n">
        <x:v>1789</x:v>
      </x:c>
      <x:c r="H378" s="24" t="n">
        <x:v>46118</x:v>
      </x:c>
      <x:c r="I378" s="24" t="n">
        <x:v>46234</x:v>
      </x:c>
      <x:c r="J378" s="24" t="str">
        <x:v>EXPIRADA</x:v>
      </x:c>
    </x:row>
    <x:row r="379">
      <x:c r="A379" s="24" t="n">
        <x:v>7</x:v>
      </x:c>
      <x:c r="B379" s="24" t="str">
        <x:v>Varilux Comfort</x:v>
      </x:c>
      <x:c r="C379" s="24" t="n">
        <x:v>678.8</x:v>
      </x:c>
      <x:c r="D379" s="24" t="n">
        <x:v>186.8</x:v>
      </x:c>
      <x:c r="E379" s="24" t="str">
        <x:v>Airwear + Coloração padrão</x:v>
      </x:c>
      <x:c r="F379" s="24" t="str">
        <x:v>VERNIZ HC 1.679,00 1.789,00</x:v>
      </x:c>
      <x:c r="G379" s="24" t="n">
        <x:v>1979</x:v>
      </x:c>
      <x:c r="H379" s="24" t="n">
        <x:v>46118</x:v>
      </x:c>
      <x:c r="I379" s="24" t="n">
        <x:v>46234</x:v>
      </x:c>
      <x:c r="J379" s="24" t="str">
        <x:v>EXPIRADA</x:v>
      </x:c>
    </x:row>
    <x:row r="380">
      <x:c r="A380" s="24" t="n">
        <x:v>7</x:v>
      </x:c>
      <x:c r="B380" s="24" t="str">
        <x:v>Varilux Comfort</x:v>
      </x:c>
      <x:c r="C380" s="24" t="n">
        <x:v>692.4</x:v>
      </x:c>
      <x:c r="D380" s="24" t="n">
        <x:v>186.9</x:v>
      </x:c>
      <x:c r="E380" s="24" t="str">
        <x:v>+ Coloração especial</x:v>
      </x:c>
      <x:c r="F380" s="24" t="str">
        <x:v>VERNIZ HC 1.679,00 1.789,00 1.979,00</x:v>
      </x:c>
      <x:c r="G380" s="24" t="n">
        <x:v>2089</x:v>
      </x:c>
      <x:c r="H380" s="24" t="n">
        <x:v>46118</x:v>
      </x:c>
      <x:c r="I380" s="24" t="n">
        <x:v>46234</x:v>
      </x:c>
      <x:c r="J380" s="24" t="str">
        <x:v>EXPIRADA</x:v>
      </x:c>
    </x:row>
    <x:row r="381">
      <x:c r="A381" s="24" t="n">
        <x:v>7</x:v>
      </x:c>
      <x:c r="B381" s="24" t="str">
        <x:v>Varilux Comfort</x:v>
      </x:c>
      <x:c r="C381" s="24" t="n">
        <x:v>516.6</x:v>
      </x:c>
      <x:c r="D381" s="24" t="n">
        <x:v>184.3</x:v>
      </x:c>
      <x:c r="E381" s="24" t="str">
        <x:v>Orma</x:v>
      </x:c>
      <x:c r="F381" s="24" t="str">
        <x:v>CRIZAL CRIZAL PREVENCIA SAPPHIRE</x:v>
      </x:c>
      <x:c r="G381" s="24" t="n">
        <x:v>2519</x:v>
      </x:c>
      <x:c r="H381" s="24" t="n">
        <x:v>46118</x:v>
      </x:c>
      <x:c r="I381" s="24" t="n">
        <x:v>46234</x:v>
      </x:c>
      <x:c r="J381" s="24" t="str">
        <x:v>EXPIRADA</x:v>
      </x:c>
    </x:row>
    <x:row r="382">
      <x:c r="A382" s="24" t="n">
        <x:v>7</x:v>
      </x:c>
      <x:c r="B382" s="24" t="str">
        <x:v>Varilux Comfort</x:v>
      </x:c>
      <x:c r="C382" s="24" t="n">
        <x:v>516.6</x:v>
      </x:c>
      <x:c r="D382" s="24" t="n">
        <x:v>268.6</x:v>
      </x:c>
      <x:c r="E382" s="24" t="str">
        <x:v>Orma 2.519,00 2.519,00</x:v>
      </x:c>
      <x:c r="F382" s="24" t="str">
        <x:v>CRIZAL CRIZAL CRIZAL ROCK HR EASY</x:v>
      </x:c>
      <x:c r="G382" s="24" t="n">
        <x:v>2249</x:v>
      </x:c>
      <x:c r="H382" s="24" t="n">
        <x:v>46118</x:v>
      </x:c>
      <x:c r="I382" s="24" t="n">
        <x:v>46234</x:v>
      </x:c>
      <x:c r="J382" s="24" t="str">
        <x:v>EXPIRADA</x:v>
      </x:c>
    </x:row>
    <x:row r="383">
      <x:c r="A383" s="24" t="n">
        <x:v>7</x:v>
      </x:c>
      <x:c r="B383" s="24" t="str">
        <x:v>Varilux Comfort</x:v>
      </x:c>
      <x:c r="C383" s="24" t="n">
        <x:v>516.6</x:v>
      </x:c>
      <x:c r="D383" s="24" t="n">
        <x:v>308.1</x:v>
      </x:c>
      <x:c r="E383" s="24" t="str">
        <x:v>Orma 2.519,00 2.519,00 2.249,00</x:v>
      </x:c>
      <x:c r="F383" s="24" t="str">
        <x:v>CRIZAL CRIZAL OPTIFOG ROCK EASY PRO</x:v>
      </x:c>
      <x:c r="G383" s="24" t="n">
        <x:v>1899</x:v>
      </x:c>
      <x:c r="H383" s="24" t="n">
        <x:v>46118</x:v>
      </x:c>
      <x:c r="I383" s="24" t="n">
        <x:v>46234</x:v>
      </x:c>
      <x:c r="J383" s="24" t="str">
        <x:v>EXPIRADA</x:v>
      </x:c>
    </x:row>
    <x:row r="384">
      <x:c r="A384" s="24" t="n">
        <x:v>7</x:v>
      </x:c>
      <x:c r="B384" s="24" t="str">
        <x:v>Varilux Comfort</x:v>
      </x:c>
      <x:c r="C384" s="24" t="n">
        <x:v>516.6</x:v>
      </x:c>
      <x:c r="D384" s="24" t="n">
        <x:v>347.9</x:v>
      </x:c>
      <x:c r="E384" s="24" t="str">
        <x:v>Orma 2.519,00 2.519,00 2.249,00 1.899,00</x:v>
      </x:c>
      <x:c r="F384" s="24" t="str">
        <x:v>TRIO CRIZAL OPTIFOG EASY PRO</x:v>
      </x:c>
      <x:c r="G384" s="24" t="n">
        <x:v>2139</x:v>
      </x:c>
      <x:c r="H384" s="24" t="n">
        <x:v>46118</x:v>
      </x:c>
      <x:c r="I384" s="24" t="n">
        <x:v>46234</x:v>
      </x:c>
      <x:c r="J384" s="24" t="str">
        <x:v>EXPIRADA</x:v>
      </x:c>
    </x:row>
    <x:row r="385">
      <x:c r="A385" s="24" t="n">
        <x:v>7</x:v>
      </x:c>
      <x:c r="B385" s="24" t="str">
        <x:v>Varilux Comfort</x:v>
      </x:c>
      <x:c r="C385" s="24" t="n">
        <x:v>530.8</x:v>
      </x:c>
      <x:c r="D385" s="24" t="n">
        <x:v>184.6</x:v>
      </x:c>
      <x:c r="E385" s="24" t="str">
        <x:v>Transitions Gen S</x:v>
      </x:c>
      <x:c r="F385" s="24" t="str">
        <x:v>CRIZAL CRIZAL PREVENCIA SAPPHIRE 2.519,00 2.519,00</x:v>
      </x:c>
      <x:c r="G385" s="24" t="n">
        <x:v>3619</x:v>
      </x:c>
      <x:c r="H385" s="24" t="n">
        <x:v>46118</x:v>
      </x:c>
      <x:c r="I385" s="24" t="n">
        <x:v>46234</x:v>
      </x:c>
      <x:c r="J385" s="24" t="str">
        <x:v>EXPIRADA</x:v>
      </x:c>
    </x:row>
    <x:row r="386">
      <x:c r="A386" s="24" t="n">
        <x:v>7</x:v>
      </x:c>
      <x:c r="B386" s="24" t="str">
        <x:v>Varilux Comfort</x:v>
      </x:c>
      <x:c r="C386" s="24" t="n">
        <x:v>530.8</x:v>
      </x:c>
      <x:c r="D386" s="24" t="n">
        <x:v>268</x:v>
      </x:c>
      <x:c r="E386" s="24" t="str">
        <x:v>Transitions Gen S 3.619,00 3.619,00</x:v>
      </x:c>
      <x:c r="F386" s="24" t="str">
        <x:v>CRIZAL CRIZAL CRIZAL ROCK HR EASY 2.519,00 2.249,00 1.899,00</x:v>
      </x:c>
      <x:c r="G386" s="24" t="n">
        <x:v>3349</x:v>
      </x:c>
      <x:c r="H386" s="24" t="n">
        <x:v>46118</x:v>
      </x:c>
      <x:c r="I386" s="24" t="n">
        <x:v>46234</x:v>
      </x:c>
      <x:c r="J386" s="24" t="str">
        <x:v>EXPIRADA</x:v>
      </x:c>
    </x:row>
    <x:row r="387">
      <x:c r="A387" s="24" t="n">
        <x:v>7</x:v>
      </x:c>
      <x:c r="B387" s="24" t="str">
        <x:v>Varilux Comfort</x:v>
      </x:c>
      <x:c r="C387" s="24" t="n">
        <x:v>530.8</x:v>
      </x:c>
      <x:c r="D387" s="24" t="n">
        <x:v>307.2</x:v>
      </x:c>
      <x:c r="E387" s="24" t="str">
        <x:v>Transitions Gen S 3.619,00 3.619,00 3.349,00</x:v>
      </x:c>
      <x:c r="F387" s="24" t="str">
        <x:v>CRIZAL CRIZAL OPTIFOG ROCK EASY PRO 2.249,00 1.899,00 2.139,00</x:v>
      </x:c>
      <x:c r="G387" s="24" t="n">
        <x:v>2999</x:v>
      </x:c>
      <x:c r="H387" s="24" t="n">
        <x:v>46118</x:v>
      </x:c>
      <x:c r="I387" s="24" t="n">
        <x:v>46234</x:v>
      </x:c>
      <x:c r="J387" s="24" t="str">
        <x:v>EXPIRADA</x:v>
      </x:c>
    </x:row>
    <x:row r="388">
      <x:c r="A388" s="24" t="n">
        <x:v>7</x:v>
      </x:c>
      <x:c r="B388" s="24" t="str">
        <x:v>Varilux Comfort</x:v>
      </x:c>
      <x:c r="C388" s="24" t="n">
        <x:v>530.8</x:v>
      </x:c>
      <x:c r="D388" s="24" t="n">
        <x:v>347.2</x:v>
      </x:c>
      <x:c r="E388" s="24" t="str">
        <x:v>Transitions Gen S 3.619,00 3.619,00 3.349,00 2.999,00</x:v>
      </x:c>
      <x:c r="F388" s="24" t="str">
        <x:v>TRIO CRIZAL OPTIFOG EASY CLEAN PRO 1.899,00 2.139,00 1.699,00</x:v>
      </x:c>
      <x:c r="G388" s="24" t="n">
        <x:v>3239</x:v>
      </x:c>
      <x:c r="H388" s="24" t="n">
        <x:v>46118</x:v>
      </x:c>
      <x:c r="I388" s="24" t="n">
        <x:v>46234</x:v>
      </x:c>
      <x:c r="J388" s="24" t="str">
        <x:v>EXPIRADA</x:v>
      </x:c>
    </x:row>
    <x:row r="389">
      <x:c r="A389" s="24" t="n">
        <x:v>7</x:v>
      </x:c>
      <x:c r="B389" s="24" t="str">
        <x:v>Varilux Comfort</x:v>
      </x:c>
      <x:c r="C389" s="24" t="n">
        <x:v>572.2</x:v>
      </x:c>
      <x:c r="D389" s="24" t="n">
        <x:v>184.5</x:v>
      </x:c>
      <x:c r="E389" s="24" t="str">
        <x:v>Transitions Gen S</x:v>
      </x:c>
      <x:c r="F389" s="24" t="str">
        <x:v>CRIZAL PREVENCIA SAPPHIRE 2.519,00 2.519,00 3.619,00 3.619,00 +R$1.100 2.819,00 2.819,00</x:v>
      </x:c>
      <x:c r="G389" s="24" t="n">
        <x:v>3919</x:v>
      </x:c>
      <x:c r="H389" s="24" t="n">
        <x:v>46118</x:v>
      </x:c>
      <x:c r="I389" s="24" t="n">
        <x:v>46234</x:v>
      </x:c>
      <x:c r="J389" s="24" t="str">
        <x:v>EXPIRADA</x:v>
      </x:c>
    </x:row>
    <x:row r="390">
      <x:c r="A390" s="24" t="n">
        <x:v>7</x:v>
      </x:c>
      <x:c r="B390" s="24" t="str">
        <x:v>Varilux Comfort</x:v>
      </x:c>
      <x:c r="C390" s="24" t="n">
        <x:v>573</x:v>
      </x:c>
      <x:c r="D390" s="24" t="n">
        <x:v>268.3</x:v>
      </x:c>
      <x:c r="E390" s="24" t="str">
        <x:v>Transitions Gen S 3.919,00 3.919,00</x:v>
      </x:c>
      <x:c r="F390" s="24" t="str">
        <x:v>EASY 2.519,00 2.249,00 1.899,00 3.619,00 3.349,00 2.999,00 2.819,00 2.549,00 2.199,00</x:v>
      </x:c>
      <x:c r="G390" s="24" t="n">
        <x:v>3649</x:v>
      </x:c>
      <x:c r="H390" s="24" t="n">
        <x:v>46118</x:v>
      </x:c>
      <x:c r="I390" s="24" t="n">
        <x:v>46234</x:v>
      </x:c>
      <x:c r="J390" s="24" t="str">
        <x:v>EXPIRADA</x:v>
      </x:c>
    </x:row>
    <x:row r="391">
      <x:c r="A391" s="24" t="n">
        <x:v>7</x:v>
      </x:c>
      <x:c r="B391" s="24" t="str">
        <x:v>Varilux Comfort</x:v>
      </x:c>
      <x:c r="C391" s="24" t="n">
        <x:v>573</x:v>
      </x:c>
      <x:c r="D391" s="24" t="n">
        <x:v>308.4</x:v>
      </x:c>
      <x:c r="E391" s="24" t="str">
        <x:v>Transitions Gen S 3.919,00 3.919,00 3.649,00</x:v>
      </x:c>
      <x:c r="F391" s="24" t="str">
        <x:v>PRO 2.249,00 1.899,00 2.139,00 3.349,00 2.999,00 3.239,00 2.549,00 2.199,00 2.439,00</x:v>
      </x:c>
      <x:c r="G391" s="24" t="n">
        <x:v>3299</x:v>
      </x:c>
      <x:c r="H391" s="24" t="n">
        <x:v>46118</x:v>
      </x:c>
      <x:c r="I391" s="24" t="n">
        <x:v>46234</x:v>
      </x:c>
      <x:c r="J391" s="24" t="str">
        <x:v>EXPIRADA</x:v>
      </x:c>
    </x:row>
    <x:row r="392">
      <x:c r="A392" s="24" t="n">
        <x:v>7</x:v>
      </x:c>
      <x:c r="B392" s="24" t="str">
        <x:v>Varilux Comfort</x:v>
      </x:c>
      <x:c r="C392" s="24" t="n">
        <x:v>573</x:v>
      </x:c>
      <x:c r="D392" s="24" t="n">
        <x:v>347</x:v>
      </x:c>
      <x:c r="E392" s="24" t="str">
        <x:v>Transitions Gen S 3.919,00 3.919,00 3.649,00 3.299,00</x:v>
      </x:c>
      <x:c r="F392" s="24" t="str">
        <x:v>PRO 1.899,00 2.139,00 1.699,00 2.799,00 2.999,00 3.239,00 1.999,00 2.199,00 2.439,00</x:v>
      </x:c>
      <x:c r="G392" s="24" t="n">
        <x:v>3539</x:v>
      </x:c>
      <x:c r="H392" s="24" t="n">
        <x:v>46118</x:v>
      </x:c>
      <x:c r="I392" s="24" t="n">
        <x:v>46234</x:v>
      </x:c>
      <x:c r="J392" s="24" t="str">
        <x:v>EXPIRADA</x:v>
      </x:c>
    </x:row>
    <x:row r="393">
      <x:c r="A393" s="24" t="n">
        <x:v>7</x:v>
      </x:c>
      <x:c r="B393" s="24" t="str">
        <x:v>Varilux Comfort</x:v>
      </x:c>
      <x:c r="C393" s="24" t="n">
        <x:v>516.6</x:v>
      </x:c>
      <x:c r="D393" s="24" t="n">
        <x:v>226.8</x:v>
      </x:c>
      <x:c r="E393" s="24" t="str">
        <x:v>Orma 2.519,00</x:v>
      </x:c>
      <x:c r="F393" s="24" t="str">
        <x:v>CRIZAL CRIZAL ROCK PREVENCIA SAPPHIRE HR</x:v>
      </x:c>
      <x:c r="G393" s="24" t="n">
        <x:v>2519</x:v>
      </x:c>
      <x:c r="H393" s="24" t="n">
        <x:v>46118</x:v>
      </x:c>
      <x:c r="I393" s="24" t="n">
        <x:v>46234</x:v>
      </x:c>
      <x:c r="J393" s="24" t="str">
        <x:v>EXPIRADA</x:v>
      </x:c>
    </x:row>
    <x:row r="394">
      <x:c r="A394" s="24" t="n">
        <x:v>7</x:v>
      </x:c>
      <x:c r="B394" s="24" t="str">
        <x:v>Varilux Comfort</x:v>
      </x:c>
      <x:c r="C394" s="24" t="n">
        <x:v>530.8</x:v>
      </x:c>
      <x:c r="D394" s="24" t="n">
        <x:v>226.8</x:v>
      </x:c>
      <x:c r="E394" s="24" t="str">
        <x:v>Transitions Gen S 3.619,00</x:v>
      </x:c>
      <x:c r="F394" s="24" t="str">
        <x:v>CRIZAL CRIZAL ROCK SAPPHIRE HR 2.519,00 2.519,00 2.249,00</x:v>
      </x:c>
      <x:c r="G394" s="24" t="n">
        <x:v>3619</x:v>
      </x:c>
      <x:c r="H394" s="24" t="n">
        <x:v>46118</x:v>
      </x:c>
      <x:c r="I394" s="24" t="n">
        <x:v>46234</x:v>
      </x:c>
      <x:c r="J394" s="24" t="str">
        <x:v>EXPIRADA</x:v>
      </x:c>
    </x:row>
    <x:row r="395">
      <x:c r="A395" s="24" t="n">
        <x:v>7</x:v>
      </x:c>
      <x:c r="B395" s="24" t="str">
        <x:v>Varilux Comfort</x:v>
      </x:c>
      <x:c r="C395" s="24" t="n">
        <x:v>573</x:v>
      </x:c>
      <x:c r="D395" s="24" t="n">
        <x:v>226.9</x:v>
      </x:c>
      <x:c r="E395" s="24" t="str">
        <x:v>Transitions Gen S 3.919,00</x:v>
      </x:c>
      <x:c r="F395" s="24" t="str">
        <x:v>HR 2.519,00 2.519,00 2.249,00 3.619,00 3.619,00 3.349,00 2.819,00 2.819,00 2.549,00</x:v>
      </x:c>
      <x:c r="G395" s="24" t="n">
        <x:v>3919</x:v>
      </x:c>
      <x:c r="H395" s="24" t="n">
        <x:v>46118</x:v>
      </x:c>
      <x:c r="I395" s="24" t="n">
        <x:v>46234</x:v>
      </x:c>
      <x:c r="J395" s="24" t="str">
        <x:v>EXPIRADA</x:v>
      </x:c>
    </x:row>
    <x:row r="396">
      <x:c r="A396" s="24" t="n">
        <x:v>7</x:v>
      </x:c>
      <x:c r="B396" s="24" t="str">
        <x:v>Varilux Comfort</x:v>
      </x:c>
      <x:c r="C396" s="24" t="n">
        <x:v>559</x:v>
      </x:c>
      <x:c r="D396" s="24" t="n">
        <x:v>184.8</x:v>
      </x:c>
      <x:c r="E396" s="24" t="str">
        <x:v>Airwear</x:v>
      </x:c>
      <x:c r="F396" s="24" t="str">
        <x:v>CRIZAL CRIZAL PREVENCIA SAPPHIRE 2.519,00 2.519,00 3.619,00 3.619,00 +R$1.100</x:v>
      </x:c>
      <x:c r="G396" s="24" t="n">
        <x:v>2819</x:v>
      </x:c>
      <x:c r="H396" s="24" t="n">
        <x:v>46118</x:v>
      </x:c>
      <x:c r="I396" s="24" t="n">
        <x:v>46234</x:v>
      </x:c>
      <x:c r="J396" s="24" t="str">
        <x:v>EXPIRADA</x:v>
      </x:c>
    </x:row>
    <x:row r="397">
      <x:c r="A397" s="24" t="n">
        <x:v>7</x:v>
      </x:c>
      <x:c r="B397" s="24" t="str">
        <x:v>Varilux Comfort</x:v>
      </x:c>
      <x:c r="C397" s="24" t="n">
        <x:v>559</x:v>
      </x:c>
      <x:c r="D397" s="24" t="n">
        <x:v>268.4</x:v>
      </x:c>
      <x:c r="E397" s="24" t="str">
        <x:v>Airwear 2.819,00 2.819,00</x:v>
      </x:c>
      <x:c r="F397" s="24" t="str">
        <x:v>CRIZAL ROCK HR EASY 2.519,00 2.249,00 1.899,00 3.619,00 3.349,00 2.999,00</x:v>
      </x:c>
      <x:c r="G397" s="24" t="n">
        <x:v>2549</x:v>
      </x:c>
      <x:c r="H397" s="24" t="n">
        <x:v>46118</x:v>
      </x:c>
      <x:c r="I397" s="24" t="n">
        <x:v>46234</x:v>
      </x:c>
      <x:c r="J397" s="24" t="str">
        <x:v>EXPIRADA</x:v>
      </x:c>
    </x:row>
    <x:row r="398">
      <x:c r="A398" s="24" t="n">
        <x:v>7</x:v>
      </x:c>
      <x:c r="B398" s="24" t="str">
        <x:v>Varilux Comfort</x:v>
      </x:c>
      <x:c r="C398" s="24" t="n">
        <x:v>559</x:v>
      </x:c>
      <x:c r="D398" s="24" t="n">
        <x:v>309.6</x:v>
      </x:c>
      <x:c r="E398" s="24" t="str">
        <x:v>Airwear 2.819,00 2.819,00 2.549,00</x:v>
      </x:c>
      <x:c r="F398" s="24" t="str">
        <x:v>OPTIFOG ROCK EASY PRO 2.249,00 1.899,00 2.139,00 3.349,00 2.999,00 3.239,00</x:v>
      </x:c>
      <x:c r="G398" s="24" t="n">
        <x:v>2199</x:v>
      </x:c>
      <x:c r="H398" s="24" t="n">
        <x:v>46118</x:v>
      </x:c>
      <x:c r="I398" s="24" t="n">
        <x:v>46234</x:v>
      </x:c>
      <x:c r="J398" s="24" t="str">
        <x:v>EXPIRADA</x:v>
      </x:c>
    </x:row>
    <x:row r="399">
      <x:c r="A399" s="24" t="n">
        <x:v>7</x:v>
      </x:c>
      <x:c r="B399" s="24" t="str">
        <x:v>Varilux Comfort</x:v>
      </x:c>
      <x:c r="C399" s="24" t="n">
        <x:v>559</x:v>
      </x:c>
      <x:c r="D399" s="24" t="n">
        <x:v>347.3</x:v>
      </x:c>
      <x:c r="E399" s="24" t="str">
        <x:v>Airwear 2.819,00 2.819,00 2.549,00 2.199,00</x:v>
      </x:c>
      <x:c r="F399" s="24" t="str">
        <x:v>OPTIFOG EASY CLEAN PRO 1.899,00 2.139,00 1.699,00 2.799,00 2.999,00 3.239,00</x:v>
      </x:c>
      <x:c r="G399" s="24" t="n">
        <x:v>2439</x:v>
      </x:c>
      <x:c r="H399" s="24" t="n">
        <x:v>46118</x:v>
      </x:c>
      <x:c r="I399" s="24" t="n">
        <x:v>46234</x:v>
      </x:c>
      <x:c r="J399" s="24" t="str">
        <x:v>EXPIRADA</x:v>
      </x:c>
    </x:row>
    <x:row r="400">
      <x:c r="A400" s="24" t="n">
        <x:v>7</x:v>
      </x:c>
      <x:c r="B400" s="24" t="str">
        <x:v>Varilux Comfort</x:v>
      </x:c>
      <x:c r="C400" s="24" t="n">
        <x:v>516.6</x:v>
      </x:c>
      <x:c r="D400" s="24" t="n">
        <x:v>387</x:v>
      </x:c>
      <x:c r="E400" s="24" t="str">
        <x:v>Orma 2.519,00 2.519,00 2.249,00 1.899,00 2.139,00</x:v>
      </x:c>
      <x:c r="F400" s="24" t="str">
        <x:v>TRIO SEM OPTIFOG EASY CLEAN</x:v>
      </x:c>
      <x:c r="G400" s="24" t="n">
        <x:v>1699</x:v>
      </x:c>
      <x:c r="H400" s="24" t="n">
        <x:v>46118</x:v>
      </x:c>
      <x:c r="I400" s="24" t="n">
        <x:v>46234</x:v>
      </x:c>
      <x:c r="J400" s="24" t="str">
        <x:v>EXPIRADA</x:v>
      </x:c>
    </x:row>
    <x:row r="401">
      <x:c r="A401" s="24" t="n">
        <x:v>7</x:v>
      </x:c>
      <x:c r="B401" s="24" t="str">
        <x:v>Varilux Comfort</x:v>
      </x:c>
      <x:c r="C401" s="24" t="n">
        <x:v>530.8</x:v>
      </x:c>
      <x:c r="D401" s="24" t="n">
        <x:v>385.9</x:v>
      </x:c>
      <x:c r="E401" s="24" t="str">
        <x:v>Transitions Gen S 3.619,00 3.619,00 3.349,00 2.999,00 3.239,00</x:v>
      </x:c>
      <x:c r="F401" s="24" t="str">
        <x:v>TRIO SEM OPTIFOG EASY CLEAN 1.499,00 2.139,00 1.699,00</x:v>
      </x:c>
      <x:c r="G401" s="24" t="n">
        <x:v>2799</x:v>
      </x:c>
      <x:c r="H401" s="24" t="n">
        <x:v>46118</x:v>
      </x:c>
      <x:c r="I401" s="24" t="n">
        <x:v>46234</x:v>
      </x:c>
      <x:c r="J401" s="24" t="str">
        <x:v>EXPIRADA</x:v>
      </x:c>
    </x:row>
    <x:row r="402">
      <x:c r="A402" s="24" t="n">
        <x:v>7</x:v>
      </x:c>
      <x:c r="B402" s="24" t="str">
        <x:v>Varilux Comfort</x:v>
      </x:c>
      <x:c r="C402" s="24" t="n">
        <x:v>573</x:v>
      </x:c>
      <x:c r="D402" s="24" t="n">
        <x:v>386.8</x:v>
      </x:c>
      <x:c r="E402" s="24" t="str">
        <x:v>Transitions Gen S 3.919,00 3.919,00 3.649,00 3.299,00 3.539,00</x:v>
      </x:c>
      <x:c r="F402" s="24" t="str">
        <x:v>CLEAN 1.499,00 2.139,00 1.699,00 2.599,00 2.799,00 3.239,00 1.999,00 1.799,00 2.439,00</x:v>
      </x:c>
      <x:c r="G402" s="24" t="n">
        <x:v>3099</x:v>
      </x:c>
      <x:c r="H402" s="24" t="n">
        <x:v>46118</x:v>
      </x:c>
      <x:c r="I402" s="24" t="n">
        <x:v>46234</x:v>
      </x:c>
      <x:c r="J402" s="24" t="str">
        <x:v>EXPIRADA</x:v>
      </x:c>
    </x:row>
    <x:row r="403">
      <x:c r="A403" s="24" t="n">
        <x:v>7</x:v>
      </x:c>
      <x:c r="B403" s="24" t="str">
        <x:v>Varilux Comfort</x:v>
      </x:c>
      <x:c r="C403" s="24" t="n">
        <x:v>559</x:v>
      </x:c>
      <x:c r="D403" s="24" t="n">
        <x:v>388.4</x:v>
      </x:c>
      <x:c r="E403" s="24" t="str">
        <x:v>Airwear 2.819,00 2.819,00 2.549,00 2.199,00 2.439,00</x:v>
      </x:c>
      <x:c r="F403" s="24" t="str">
        <x:v>AR OPTIFOG EASY CLEAN 1.499,00 2.139,00 1.699,00 2.599,00 2.799,00 3.239,00</x:v>
      </x:c>
      <x:c r="G403" s="24" t="n">
        <x:v>1999</x:v>
      </x:c>
      <x:c r="H403" s="24" t="n">
        <x:v>46118</x:v>
      </x:c>
      <x:c r="I403" s="24" t="n">
        <x:v>46234</x:v>
      </x:c>
      <x:c r="J403" s="24" t="str">
        <x:v>EXPIRADA</x:v>
      </x:c>
    </x:row>
    <x:row r="404">
      <x:c r="A404" s="24" t="n">
        <x:v>7</x:v>
      </x:c>
      <x:c r="B404" s="24" t="str">
        <x:v>Varilux Comfort</x:v>
      </x:c>
      <x:c r="C404" s="24" t="n">
        <x:v>516.6</x:v>
      </x:c>
      <x:c r="D404" s="24" t="n">
        <x:v>430.2</x:v>
      </x:c>
      <x:c r="E404" s="24" t="str">
        <x:v>Orma 2.519,00 2.519,00 2.249,00 1.899,00 2.139,00 1.699,00</x:v>
      </x:c>
      <x:c r="F404" s="24" t="str">
        <x:v>SEM AR MARCAÇÃO CLEAN</x:v>
      </x:c>
      <x:c r="G404" s="24" t="n">
        <x:v>1499</x:v>
      </x:c>
      <x:c r="H404" s="24" t="n">
        <x:v>46118</x:v>
      </x:c>
      <x:c r="I404" s="24" t="n">
        <x:v>46234</x:v>
      </x:c>
      <x:c r="J404" s="24" t="str">
        <x:v>EXPIRADA</x:v>
      </x:c>
    </x:row>
    <x:row r="405">
      <x:c r="A405" s="24" t="n">
        <x:v>7</x:v>
      </x:c>
      <x:c r="B405" s="24" t="str">
        <x:v>Varilux Comfort</x:v>
      </x:c>
      <x:c r="C405" s="24" t="n">
        <x:v>530.8</x:v>
      </x:c>
      <x:c r="D405" s="24" t="n">
        <x:v>429.5</x:v>
      </x:c>
      <x:c r="E405" s="24" t="str">
        <x:v>Transitions Gen S 3.619,00 3.619,00 3.349,00 2.999,00 3.239,00 2.799,00</x:v>
      </x:c>
      <x:c r="F405" s="24" t="str">
        <x:v>SEM AR MARCAÇÃO CLEAN 1.499,00 1.699,00</x:v>
      </x:c>
      <x:c r="G405" s="24" t="n">
        <x:v>2599</x:v>
      </x:c>
      <x:c r="H405" s="24" t="n">
        <x:v>46118</x:v>
      </x:c>
      <x:c r="I405" s="24" t="n">
        <x:v>46234</x:v>
      </x:c>
      <x:c r="J405" s="24" t="str">
        <x:v>EXPIRADA</x:v>
      </x:c>
    </x:row>
    <x:row r="406">
      <x:c r="A406" s="24" t="n">
        <x:v>7</x:v>
      </x:c>
      <x:c r="B406" s="24" t="str">
        <x:v>Varilux Comfort</x:v>
      </x:c>
      <x:c r="C406" s="24" t="n">
        <x:v>573</x:v>
      </x:c>
      <x:c r="D406" s="24" t="n">
        <x:v>430.9</x:v>
      </x:c>
      <x:c r="E406" s="24" t="str">
        <x:v>Transitions Gen S 3.919,00 3.919,00 3.649,00 3.299,00 3.539,00 3.099,00</x:v>
      </x:c>
      <x:c r="F406" s="24" t="str">
        <x:v>SEM AR MARCAÇÃO CLEAN 1.499,00 1.699,00 2.599,00 2.799,00 1.999,00 1.799,00</x:v>
      </x:c>
      <x:c r="G406" s="24" t="n">
        <x:v>2899</x:v>
      </x:c>
      <x:c r="H406" s="24" t="n">
        <x:v>46118</x:v>
      </x:c>
      <x:c r="I406" s="24" t="n">
        <x:v>46234</x:v>
      </x:c>
      <x:c r="J406" s="24" t="str">
        <x:v>EXPIRADA</x:v>
      </x:c>
    </x:row>
    <x:row r="407">
      <x:c r="A407" s="24" t="n">
        <x:v>7</x:v>
      </x:c>
      <x:c r="B407" s="24" t="str">
        <x:v>Varilux Comfort</x:v>
      </x:c>
      <x:c r="C407" s="24" t="n">
        <x:v>559</x:v>
      </x:c>
      <x:c r="D407" s="24" t="n">
        <x:v>431.6</x:v>
      </x:c>
      <x:c r="E407" s="24" t="str">
        <x:v>Airwear 2.819,00 2.819,00 2.549,00 2.199,00 2.439,00 1.999,00</x:v>
      </x:c>
      <x:c r="F407" s="24" t="str">
        <x:v>SEM AR MARCAÇÃO CLEAN 1.499,00 1.699,00 2.599,00</x:v>
      </x:c>
      <x:c r="G407" s="24" t="n">
        <x:v>1799</x:v>
      </x:c>
      <x:c r="H407" s="24" t="n">
        <x:v>46118</x:v>
      </x:c>
      <x:c r="I407" s="24" t="n">
        <x:v>46234</x:v>
      </x:c>
      <x:c r="J407" s="24" t="str">
        <x:v>EXPIRADA</x:v>
      </x:c>
    </x:row>
    <x:row r="408">
      <x:c r="A408" s="24" t="n">
        <x:v>7</x:v>
      </x:c>
      <x:c r="B408" s="24" t="str">
        <x:v>Varilux Comfort</x:v>
      </x:c>
      <x:c r="C408" s="24" t="n">
        <x:v>559</x:v>
      </x:c>
      <x:c r="D408" s="24" t="n">
        <x:v>227</x:v>
      </x:c>
      <x:c r="E408" s="24" t="str">
        <x:v>Airwear 2.819,00</x:v>
      </x:c>
      <x:c r="F408" s="24" t="str">
        <x:v>CRIZAL ROCK SAPPHIRE HR 2.519,00 2.519,00 2.249,00 3.619,00 3.619,00 3.349,00</x:v>
      </x:c>
      <x:c r="G408" s="24" t="n">
        <x:v>2819</x:v>
      </x:c>
      <x:c r="H408" s="24" t="n">
        <x:v>46118</x:v>
      </x:c>
      <x:c r="I408" s="24" t="n">
        <x:v>46234</x:v>
      </x:c>
      <x:c r="J408" s="24" t="str">
        <x:v>EXPIRADA</x:v>
      </x:c>
    </x:row>
    <x:row r="409">
      <x:c r="A409" s="24" t="n">
        <x:v>8</x:v>
      </x:c>
      <x:c r="B409" s="24" t="str">
        <x:v>Varilux Liberty</x:v>
      </x:c>
      <x:c r="C409" s="24" t="n">
        <x:v>150.1</x:v>
      </x:c>
      <x:c r="D409" s="24" t="n">
        <x:v>147.7</x:v>
      </x:c>
      <x:c r="E409" s="24" t="str">
        <x:v>Orma</x:v>
      </x:c>
      <x:c r="F409" s="24" t="str">
        <x:v>* sem custo MÍN 14mm adicional CRIZAL CRIZAL PREVENCIA SAPPHIRE</x:v>
      </x:c>
      <x:c r="G409" s="24" t="n">
        <x:v>2019</x:v>
      </x:c>
      <x:c r="H409" s="24" t="n">
        <x:v>46118</x:v>
      </x:c>
      <x:c r="I409" s="24" t="n">
        <x:v>46234</x:v>
      </x:c>
      <x:c r="J409" s="24" t="str">
        <x:v>EXPIRADA</x:v>
      </x:c>
    </x:row>
    <x:row r="410">
      <x:c r="A410" s="24" t="n">
        <x:v>8</x:v>
      </x:c>
      <x:c r="B410" s="24" t="str">
        <x:v>Varilux Liberty</x:v>
      </x:c>
      <x:c r="C410" s="24" t="n">
        <x:v>150.1</x:v>
      </x:c>
      <x:c r="D410" s="24" t="n">
        <x:v>234.7</x:v>
      </x:c>
      <x:c r="E410" s="24" t="str">
        <x:v>Orma 2.019,00 2.019,00</x:v>
      </x:c>
      <x:c r="F410" s="24" t="str">
        <x:v>CRIZAL CRIZAL CRIZAL ROCK HR EASY</x:v>
      </x:c>
      <x:c r="G410" s="24" t="n">
        <x:v>1749</x:v>
      </x:c>
      <x:c r="H410" s="24" t="n">
        <x:v>46118</x:v>
      </x:c>
      <x:c r="I410" s="24" t="n">
        <x:v>46234</x:v>
      </x:c>
      <x:c r="J410" s="24" t="str">
        <x:v>EXPIRADA</x:v>
      </x:c>
    </x:row>
    <x:row r="411">
      <x:c r="A411" s="24" t="n">
        <x:v>8</x:v>
      </x:c>
      <x:c r="B411" s="24" t="str">
        <x:v>Varilux Liberty</x:v>
      </x:c>
      <x:c r="C411" s="24" t="n">
        <x:v>150.1</x:v>
      </x:c>
      <x:c r="D411" s="24" t="n">
        <x:v>275.5</x:v>
      </x:c>
      <x:c r="E411" s="24" t="str">
        <x:v>Orma 2.019,00 2.019,00 1.749,00</x:v>
      </x:c>
      <x:c r="F411" s="24" t="str">
        <x:v>CRIZAL CRIZAL OPTIFOG ROCK EASY PRO</x:v>
      </x:c>
      <x:c r="G411" s="24" t="n">
        <x:v>1399</x:v>
      </x:c>
      <x:c r="H411" s="24" t="n">
        <x:v>46118</x:v>
      </x:c>
      <x:c r="I411" s="24" t="n">
        <x:v>46234</x:v>
      </x:c>
      <x:c r="J411" s="24" t="str">
        <x:v>EXPIRADA</x:v>
      </x:c>
    </x:row>
    <x:row r="412">
      <x:c r="A412" s="24" t="n">
        <x:v>8</x:v>
      </x:c>
      <x:c r="B412" s="24" t="str">
        <x:v>Varilux Liberty</x:v>
      </x:c>
      <x:c r="C412" s="24" t="n">
        <x:v>150.1</x:v>
      </x:c>
      <x:c r="D412" s="24" t="n">
        <x:v>315.1</x:v>
      </x:c>
      <x:c r="E412" s="24" t="str">
        <x:v>Orma 2.019,00 2.019,00 1.749,00 1.399,00</x:v>
      </x:c>
      <x:c r="F412" s="24" t="str">
        <x:v>LEGENDA C M TRIO CRIZAL OPTIFOG EASY PRO</x:v>
      </x:c>
      <x:c r="G412" s="24" t="n">
        <x:v>1639</x:v>
      </x:c>
      <x:c r="H412" s="24" t="n">
        <x:v>46118</x:v>
      </x:c>
      <x:c r="I412" s="24" t="n">
        <x:v>46234</x:v>
      </x:c>
      <x:c r="J412" s="24" t="str">
        <x:v>EXPIRADA</x:v>
      </x:c>
    </x:row>
    <x:row r="413">
      <x:c r="A413" s="24" t="n">
        <x:v>8</x:v>
      </x:c>
      <x:c r="B413" s="24" t="str">
        <x:v>Varilux Liberty</x:v>
      </x:c>
      <x:c r="C413" s="24" t="n">
        <x:v>164.7</x:v>
      </x:c>
      <x:c r="D413" s="24" t="n">
        <x:v>147.9</x:v>
      </x:c>
      <x:c r="E413" s="24"/>
      <x:c r="F413" s="24" t="str">
        <x:v>custo MÍN 14mm adicional CRIZAL CRIZAL PREVENCIA SAPPHIRE 2.019,00 2.019,00</x:v>
      </x:c>
      <x:c r="G413" s="24" t="n">
        <x:v>2189</x:v>
      </x:c>
      <x:c r="H413" s="24" t="n">
        <x:v>46118</x:v>
      </x:c>
      <x:c r="I413" s="24" t="n">
        <x:v>46234</x:v>
      </x:c>
      <x:c r="J413" s="24" t="str">
        <x:v>EXPIRADA</x:v>
      </x:c>
    </x:row>
    <x:row r="414">
      <x:c r="A414" s="24" t="n">
        <x:v>8</x:v>
      </x:c>
      <x:c r="B414" s="24" t="str">
        <x:v>Varilux Liberty</x:v>
      </x:c>
      <x:c r="C414" s="24" t="n">
        <x:v>164.7</x:v>
      </x:c>
      <x:c r="D414" s="24" t="n">
        <x:v>236.9</x:v>
      </x:c>
      <x:c r="E414" s="24" t="str">
        <x:v>2.189,00 2.189,00</x:v>
      </x:c>
      <x:c r="F414" s="24" t="str">
        <x:v>CRIZAL CRIZAL ROCK HR EASY 2.019,00 1.749,00 1.399,00</x:v>
      </x:c>
      <x:c r="G414" s="24" t="n">
        <x:v>1919</x:v>
      </x:c>
      <x:c r="H414" s="24" t="n">
        <x:v>46118</x:v>
      </x:c>
      <x:c r="I414" s="24" t="n">
        <x:v>46234</x:v>
      </x:c>
      <x:c r="J414" s="24" t="str">
        <x:v>EXPIRADA</x:v>
      </x:c>
    </x:row>
    <x:row r="415">
      <x:c r="A415" s="24" t="n">
        <x:v>8</x:v>
      </x:c>
      <x:c r="B415" s="24" t="str">
        <x:v>Varilux Liberty</x:v>
      </x:c>
      <x:c r="C415" s="24" t="n">
        <x:v>164.7</x:v>
      </x:c>
      <x:c r="D415" s="24" t="n">
        <x:v>275.2</x:v>
      </x:c>
      <x:c r="E415" s="24" t="str">
        <x:v>2.189,00 2.189,00 1.919,00</x:v>
      </x:c>
      <x:c r="F415" s="24" t="str">
        <x:v>CRIZAL CRIZAL OPTIFOG ROCK EASY PRO 1.749,00 1.399,00 1.639,00</x:v>
      </x:c>
      <x:c r="G415" s="24" t="n">
        <x:v>1569</x:v>
      </x:c>
      <x:c r="H415" s="24" t="n">
        <x:v>46118</x:v>
      </x:c>
      <x:c r="I415" s="24" t="n">
        <x:v>46234</x:v>
      </x:c>
      <x:c r="J415" s="24" t="str">
        <x:v>EXPIRADA</x:v>
      </x:c>
    </x:row>
    <x:row r="416">
      <x:c r="A416" s="24" t="n">
        <x:v>8</x:v>
      </x:c>
      <x:c r="B416" s="24" t="str">
        <x:v>Varilux Liberty</x:v>
      </x:c>
      <x:c r="C416" s="24" t="n">
        <x:v>164.7</x:v>
      </x:c>
      <x:c r="D416" s="24" t="n">
        <x:v>314.2</x:v>
      </x:c>
      <x:c r="E416" s="24" t="str">
        <x:v>2.189,00 2.189,00 1.919,00 1.569,00</x:v>
      </x:c>
      <x:c r="F416" s="24" t="str">
        <x:v>C M TRIO CRIZAL OPTIFOG EASY PRO 1.199,00 1.399,00 1.639,00</x:v>
      </x:c>
      <x:c r="G416" s="24" t="n">
        <x:v>1809</x:v>
      </x:c>
      <x:c r="H416" s="24" t="n">
        <x:v>46118</x:v>
      </x:c>
      <x:c r="I416" s="24" t="n">
        <x:v>46234</x:v>
      </x:c>
      <x:c r="J416" s="24" t="str">
        <x:v>EXPIRADA</x:v>
      </x:c>
    </x:row>
    <x:row r="417">
      <x:c r="A417" s="24" t="n">
        <x:v>8</x:v>
      </x:c>
      <x:c r="B417" s="24" t="str">
        <x:v>Varilux Liberty</x:v>
      </x:c>
      <x:c r="C417" s="24" t="n">
        <x:v>237</x:v>
      </x:c>
      <x:c r="D417" s="24" t="n">
        <x:v>147.7</x:v>
      </x:c>
      <x:c r="E417" s="24"/>
      <x:c r="F417" s="24" t="str">
        <x:v>2.189,00 +R$170 3.119,00 3.119,00 +R$1.100 3.149,00 3.149,00 +R$1.130 2.319,00 2.319,00</x:v>
      </x:c>
      <x:c r="G417" s="24" t="n">
        <x:v>3419</x:v>
      </x:c>
      <x:c r="H417" s="24" t="n">
        <x:v>46118</x:v>
      </x:c>
      <x:c r="I417" s="24" t="n">
        <x:v>46234</x:v>
      </x:c>
      <x:c r="J417" s="24" t="str">
        <x:v>EXPIRADA</x:v>
      </x:c>
    </x:row>
    <x:row r="418">
      <x:c r="A418" s="24" t="n">
        <x:v>8</x:v>
      </x:c>
      <x:c r="B418" s="24" t="str">
        <x:v>Varilux Liberty</x:v>
      </x:c>
      <x:c r="C418" s="24" t="n">
        <x:v>237</x:v>
      </x:c>
      <x:c r="D418" s="24" t="n">
        <x:v>236.2</x:v>
      </x:c>
      <x:c r="E418" s="24" t="str">
        <x:v>3.419,00 3.419,00</x:v>
      </x:c>
      <x:c r="F418" s="24" t="str">
        <x:v>1.919,00 1.569,00 3.119,00 2.849,00 2.499,00 2.879,00 2.529,00 2.319,00 2.049,00 1.699,00</x:v>
      </x:c>
      <x:c r="G418" s="24" t="n">
        <x:v>3149</x:v>
      </x:c>
      <x:c r="H418" s="24" t="n">
        <x:v>46118</x:v>
      </x:c>
      <x:c r="I418" s="24" t="n">
        <x:v>46234</x:v>
      </x:c>
      <x:c r="J418" s="24" t="str">
        <x:v>EXPIRADA</x:v>
      </x:c>
    </x:row>
    <x:row r="419">
      <x:c r="A419" s="24" t="n">
        <x:v>8</x:v>
      </x:c>
      <x:c r="B419" s="24" t="str">
        <x:v>Varilux Liberty</x:v>
      </x:c>
      <x:c r="C419" s="24" t="n">
        <x:v>237</x:v>
      </x:c>
      <x:c r="D419" s="24" t="n">
        <x:v>274.6</x:v>
      </x:c>
      <x:c r="E419" s="24" t="str">
        <x:v>3.419,00 3.419,00 3.149,00</x:v>
      </x:c>
      <x:c r="F419" s="24" t="str">
        <x:v>1.809,00 2.849,00 2.499,00 2.739,00 2.879,00 2.529,00 2.769,00 2.049,00 1.699,00 1.939,00</x:v>
      </x:c>
      <x:c r="G419" s="24" t="n">
        <x:v>2799</x:v>
      </x:c>
      <x:c r="H419" s="24" t="n">
        <x:v>46118</x:v>
      </x:c>
      <x:c r="I419" s="24" t="n">
        <x:v>46234</x:v>
      </x:c>
      <x:c r="J419" s="24" t="str">
        <x:v>EXPIRADA</x:v>
      </x:c>
    </x:row>
    <x:row r="420">
      <x:c r="A420" s="24" t="n">
        <x:v>8</x:v>
      </x:c>
      <x:c r="B420" s="24" t="str">
        <x:v>Varilux Liberty</x:v>
      </x:c>
      <x:c r="C420" s="24" t="n">
        <x:v>237</x:v>
      </x:c>
      <x:c r="D420" s="24" t="n">
        <x:v>313.6</x:v>
      </x:c>
      <x:c r="E420" s="24" t="str">
        <x:v>3.419,00 3.419,00 3.149,00 2.799,00</x:v>
      </x:c>
      <x:c r="F420" s="24" t="str">
        <x:v>1.809,00 2.299,00 2.499,00 2.739,00 2.329,00 2.529,00 2.769,00 1.499,00 1.699,00 1.939,00</x:v>
      </x:c>
      <x:c r="G420" s="24" t="n">
        <x:v>3039</x:v>
      </x:c>
      <x:c r="H420" s="24" t="n">
        <x:v>46118</x:v>
      </x:c>
      <x:c r="I420" s="24" t="n">
        <x:v>46234</x:v>
      </x:c>
      <x:c r="J420" s="24" t="str">
        <x:v>EXPIRADA</x:v>
      </x:c>
    </x:row>
    <x:row r="421">
      <x:c r="A421" s="24" t="n">
        <x:v>8</x:v>
      </x:c>
      <x:c r="B421" s="24" t="str">
        <x:v>Varilux Liberty</x:v>
      </x:c>
      <x:c r="C421" s="24" t="n">
        <x:v>150.1</x:v>
      </x:c>
      <x:c r="D421" s="24" t="n">
        <x:v>191.2</x:v>
      </x:c>
      <x:c r="E421" s="24" t="str">
        <x:v>Orma 2.019,00</x:v>
      </x:c>
      <x:c r="F421" s="24" t="str">
        <x:v>* custo adicional CRIZAL PREVENCIA SAPPHIRE HR</x:v>
      </x:c>
      <x:c r="G421" s="24" t="n">
        <x:v>2019</x:v>
      </x:c>
      <x:c r="H421" s="24" t="n">
        <x:v>46118</x:v>
      </x:c>
      <x:c r="I421" s="24" t="n">
        <x:v>46234</x:v>
      </x:c>
      <x:c r="J421" s="24" t="str">
        <x:v>EXPIRADA</x:v>
      </x:c>
    </x:row>
    <x:row r="422">
      <x:c r="A422" s="24" t="n">
        <x:v>8</x:v>
      </x:c>
      <x:c r="B422" s="24" t="str">
        <x:v>Varilux Liberty</x:v>
      </x:c>
      <x:c r="C422" s="24" t="n">
        <x:v>164.7</x:v>
      </x:c>
      <x:c r="D422" s="24" t="n">
        <x:v>191.4</x:v>
      </x:c>
      <x:c r="E422" s="24" t="str">
        <x:v>2.189,00</x:v>
      </x:c>
      <x:c r="F422" s="24" t="str">
        <x:v>* custo adicional CRIZAL PREVENCIA SAPPHIRE HR 2.019,00 2.019,00 1.749,00</x:v>
      </x:c>
      <x:c r="G422" s="24" t="n">
        <x:v>2189</x:v>
      </x:c>
      <x:c r="H422" s="24" t="n">
        <x:v>46118</x:v>
      </x:c>
      <x:c r="I422" s="24" t="n">
        <x:v>46234</x:v>
      </x:c>
      <x:c r="J422" s="24" t="str">
        <x:v>EXPIRADA</x:v>
      </x:c>
    </x:row>
    <x:row r="423">
      <x:c r="A423" s="24" t="n">
        <x:v>8</x:v>
      </x:c>
      <x:c r="B423" s="24" t="str">
        <x:v>Varilux Liberty</x:v>
      </x:c>
      <x:c r="C423" s="24" t="n">
        <x:v>237</x:v>
      </x:c>
      <x:c r="D423" s="24" t="n">
        <x:v>192.2</x:v>
      </x:c>
      <x:c r="E423" s="24" t="str">
        <x:v>3.419,00</x:v>
      </x:c>
      <x:c r="F423" s="24" t="str">
        <x:v>2.189,00 2.189,00 1.919,00 3.119,00 2.849,00 3.149,00 2.879,00 2.319,00 2.319,00 2.049,00</x:v>
      </x:c>
      <x:c r="G423" s="24" t="n">
        <x:v>3419</x:v>
      </x:c>
      <x:c r="H423" s="24" t="n">
        <x:v>46118</x:v>
      </x:c>
      <x:c r="I423" s="24" t="n">
        <x:v>46234</x:v>
      </x:c>
      <x:c r="J423" s="24" t="str">
        <x:v>EXPIRADA</x:v>
      </x:c>
    </x:row>
    <x:row r="424">
      <x:c r="A424" s="24" t="n">
        <x:v>8</x:v>
      </x:c>
      <x:c r="B424" s="24" t="str">
        <x:v>Varilux Liberty</x:v>
      </x:c>
      <x:c r="C424" s="24" t="n">
        <x:v>221.6</x:v>
      </x:c>
      <x:c r="D424" s="24" t="n">
        <x:v>147.5</x:v>
      </x:c>
      <x:c r="E424" s="24" t="str">
        <x:v>Airwear</x:v>
      </x:c>
      <x:c r="F424" s="24" t="str">
        <x:v>2.019,00 2.189,00 2.189,00 +R$170 3.119,00 3.119,00 +R$1.100 3.149,00 3.149,00 +R$1.130</x:v>
      </x:c>
      <x:c r="G424" s="24" t="n">
        <x:v>2319</x:v>
      </x:c>
      <x:c r="H424" s="24" t="n">
        <x:v>46118</x:v>
      </x:c>
      <x:c r="I424" s="24" t="n">
        <x:v>46234</x:v>
      </x:c>
      <x:c r="J424" s="24" t="str">
        <x:v>EXPIRADA</x:v>
      </x:c>
    </x:row>
    <x:row r="425">
      <x:c r="A425" s="24" t="n">
        <x:v>8</x:v>
      </x:c>
      <x:c r="B425" s="24" t="str">
        <x:v>Varilux Liberty</x:v>
      </x:c>
      <x:c r="C425" s="24" t="n">
        <x:v>221.6</x:v>
      </x:c>
      <x:c r="D425" s="24" t="n">
        <x:v>235</x:v>
      </x:c>
      <x:c r="E425" s="24" t="str">
        <x:v>Airwear 2.319,00 2.319,00</x:v>
      </x:c>
      <x:c r="F425" s="24" t="str">
        <x:v>1.749,00 1.399,00 2.189,00 1.919,00 1.569,00 3.119,00 2.849,00 2.499,00 2.879,00 2.529,00</x:v>
      </x:c>
      <x:c r="G425" s="24" t="n">
        <x:v>2049</x:v>
      </x:c>
      <x:c r="H425" s="24" t="n">
        <x:v>46118</x:v>
      </x:c>
      <x:c r="I425" s="24" t="n">
        <x:v>46234</x:v>
      </x:c>
      <x:c r="J425" s="24" t="str">
        <x:v>EXPIRADA</x:v>
      </x:c>
    </x:row>
    <x:row r="426">
      <x:c r="A426" s="24" t="n">
        <x:v>8</x:v>
      </x:c>
      <x:c r="B426" s="24" t="str">
        <x:v>Varilux Liberty</x:v>
      </x:c>
      <x:c r="C426" s="24" t="n">
        <x:v>221.6</x:v>
      </x:c>
      <x:c r="D426" s="24" t="n">
        <x:v>275.3</x:v>
      </x:c>
      <x:c r="E426" s="24" t="str">
        <x:v>Airwear 2.319,00 2.319,00 2.049,00</x:v>
      </x:c>
      <x:c r="F426" s="24" t="str">
        <x:v>1.639,00 1.919,00 1.569,00 1.809,00 2.849,00 2.499,00 2.739,00 2.879,00 2.529,00 2.769,00</x:v>
      </x:c>
      <x:c r="G426" s="24" t="n">
        <x:v>1699</x:v>
      </x:c>
      <x:c r="H426" s="24" t="n">
        <x:v>46118</x:v>
      </x:c>
      <x:c r="I426" s="24" t="n">
        <x:v>46234</x:v>
      </x:c>
      <x:c r="J426" s="24" t="str">
        <x:v>EXPIRADA</x:v>
      </x:c>
    </x:row>
    <x:row r="427">
      <x:c r="A427" s="24" t="n">
        <x:v>8</x:v>
      </x:c>
      <x:c r="B427" s="24" t="str">
        <x:v>Varilux Liberty</x:v>
      </x:c>
      <x:c r="C427" s="24" t="n">
        <x:v>221.6</x:v>
      </x:c>
      <x:c r="D427" s="24" t="n">
        <x:v>314.3</x:v>
      </x:c>
      <x:c r="E427" s="24" t="str">
        <x:v>Airwear 2.319,00 2.319,00 2.049,00 1.699,00</x:v>
      </x:c>
      <x:c r="F427" s="24" t="str">
        <x:v>1.639,00 1.369,00 1.569,00 1.809,00 2.299,00 2.499,00 2.739,00 2.329,00 2.529,00 2.769,00</x:v>
      </x:c>
      <x:c r="G427" s="24" t="n">
        <x:v>1939</x:v>
      </x:c>
      <x:c r="H427" s="24" t="n">
        <x:v>46118</x:v>
      </x:c>
      <x:c r="I427" s="24" t="n">
        <x:v>46234</x:v>
      </x:c>
      <x:c r="J427" s="24" t="str">
        <x:v>EXPIRADA</x:v>
      </x:c>
    </x:row>
    <x:row r="428">
      <x:c r="A428" s="24" t="n">
        <x:v>8</x:v>
      </x:c>
      <x:c r="B428" s="24" t="str">
        <x:v>Varilux Liberty</x:v>
      </x:c>
      <x:c r="C428" s="24" t="n">
        <x:v>221.6</x:v>
      </x:c>
      <x:c r="D428" s="24" t="n">
        <x:v>192.4</x:v>
      </x:c>
      <x:c r="E428" s="24" t="str">
        <x:v>Airwear 2.319,00</x:v>
      </x:c>
      <x:c r="F428" s="24" t="str">
        <x:v>2.019,00 2.019,00 1.749,00 2.189,00 2.189,00 1.919,00 3.119,00 2.849,00 3.149,00 2.879,00</x:v>
      </x:c>
      <x:c r="G428" s="24" t="n">
        <x:v>2319</x:v>
      </x:c>
      <x:c r="H428" s="24" t="n">
        <x:v>46118</x:v>
      </x:c>
      <x:c r="I428" s="24" t="n">
        <x:v>46234</x:v>
      </x:c>
      <x:c r="J428" s="24" t="str">
        <x:v>EXPIRADA</x:v>
      </x:c>
    </x:row>
    <x:row r="429">
      <x:c r="A429" s="24" t="n">
        <x:v>8</x:v>
      </x:c>
      <x:c r="B429" s="24" t="str">
        <x:v>Varilux Liberty</x:v>
      </x:c>
      <x:c r="C429" s="24" t="n">
        <x:v>179.8</x:v>
      </x:c>
      <x:c r="D429" s="24" t="n">
        <x:v>148</x:v>
      </x:c>
      <x:c r="E429" s="24"/>
      <x:c r="F429" s="24" t="str">
        <x:v>adicional CRIZAL CRIZAL PREVENCIA SAPPHIRE 2.019,00 2.019,00 2.189,00 2.189,00 +R$170</x:v>
      </x:c>
      <x:c r="G429" s="24" t="n">
        <x:v>3119</x:v>
      </x:c>
      <x:c r="H429" s="24" t="n">
        <x:v>46118</x:v>
      </x:c>
      <x:c r="I429" s="24" t="n">
        <x:v>46234</x:v>
      </x:c>
      <x:c r="J429" s="24" t="str">
        <x:v>EXPIRADA</x:v>
      </x:c>
    </x:row>
    <x:row r="430">
      <x:c r="A430" s="24" t="n">
        <x:v>8</x:v>
      </x:c>
      <x:c r="B430" s="24" t="str">
        <x:v>Varilux Liberty</x:v>
      </x:c>
      <x:c r="C430" s="24" t="n">
        <x:v>179.8</x:v>
      </x:c>
      <x:c r="D430" s="24" t="n">
        <x:v>234</x:v>
      </x:c>
      <x:c r="E430" s="24" t="str">
        <x:v>3.119,00 3.119,00</x:v>
      </x:c>
      <x:c r="F430" s="24" t="str">
        <x:v>CRIZAL ROCK HR EASY 2.019,00 1.749,00 1.399,00 2.189,00 1.919,00 1.569,00</x:v>
      </x:c>
      <x:c r="G430" s="24" t="n">
        <x:v>2849</x:v>
      </x:c>
      <x:c r="H430" s="24" t="n">
        <x:v>46118</x:v>
      </x:c>
      <x:c r="I430" s="24" t="n">
        <x:v>46234</x:v>
      </x:c>
      <x:c r="J430" s="24" t="str">
        <x:v>EXPIRADA</x:v>
      </x:c>
    </x:row>
    <x:row r="431">
      <x:c r="A431" s="24" t="n">
        <x:v>8</x:v>
      </x:c>
      <x:c r="B431" s="24" t="str">
        <x:v>Varilux Liberty</x:v>
      </x:c>
      <x:c r="C431" s="24" t="n">
        <x:v>179.8</x:v>
      </x:c>
      <x:c r="D431" s="24" t="n">
        <x:v>274.8</x:v>
      </x:c>
      <x:c r="E431" s="24" t="str">
        <x:v>3.119,00 3.119,00 2.849,00</x:v>
      </x:c>
      <x:c r="F431" s="24" t="str">
        <x:v>OPTIFOG ROCK EASY PRO 1.749,00 1.399,00 1.639,00 1.919,00 1.569,00 1.809,00</x:v>
      </x:c>
      <x:c r="G431" s="24" t="n">
        <x:v>2499</x:v>
      </x:c>
      <x:c r="H431" s="24" t="n">
        <x:v>46118</x:v>
      </x:c>
      <x:c r="I431" s="24" t="n">
        <x:v>46234</x:v>
      </x:c>
      <x:c r="J431" s="24" t="str">
        <x:v>EXPIRADA</x:v>
      </x:c>
    </x:row>
    <x:row r="432">
      <x:c r="A432" s="24" t="n">
        <x:v>8</x:v>
      </x:c>
      <x:c r="B432" s="24" t="str">
        <x:v>Varilux Liberty</x:v>
      </x:c>
      <x:c r="C432" s="24" t="n">
        <x:v>179.8</x:v>
      </x:c>
      <x:c r="D432" s="24" t="n">
        <x:v>314.4</x:v>
      </x:c>
      <x:c r="E432" s="24" t="str">
        <x:v>3.119,00 3.119,00 2.849,00 2.499,00</x:v>
      </x:c>
      <x:c r="F432" s="24" t="str">
        <x:v>CRIZAL OPTIFOG EASY PRO 1.199,00 1.399,00 1.639,00 1.369,00 1.569,00 1.809,00</x:v>
      </x:c>
      <x:c r="G432" s="24" t="n">
        <x:v>2739</x:v>
      </x:c>
      <x:c r="H432" s="24" t="n">
        <x:v>46118</x:v>
      </x:c>
      <x:c r="I432" s="24" t="n">
        <x:v>46234</x:v>
      </x:c>
      <x:c r="J432" s="24" t="str">
        <x:v>EXPIRADA</x:v>
      </x:c>
    </x:row>
    <x:row r="433">
      <x:c r="A433" s="24" t="n">
        <x:v>8</x:v>
      </x:c>
      <x:c r="B433" s="24" t="str">
        <x:v>Varilux Liberty</x:v>
      </x:c>
      <x:c r="C433" s="24" t="n">
        <x:v>179.8</x:v>
      </x:c>
      <x:c r="D433" s="24" t="n">
        <x:v>192.5</x:v>
      </x:c>
      <x:c r="E433" s="24" t="str">
        <x:v>3.119,00</x:v>
      </x:c>
      <x:c r="F433" s="24" t="str">
        <x:v>CRIZAL ROCK SAPPHIRE HR 2.019,00 2.019,00 1.749,00 2.189,00 2.189,00 1.919,00</x:v>
      </x:c>
      <x:c r="G433" s="24" t="n">
        <x:v>3119</x:v>
      </x:c>
      <x:c r="H433" s="24" t="n">
        <x:v>46118</x:v>
      </x:c>
      <x:c r="I433" s="24" t="n">
        <x:v>46234</x:v>
      </x:c>
      <x:c r="J433" s="24" t="str">
        <x:v>EXPIRADA</x:v>
      </x:c>
    </x:row>
    <x:row r="434">
      <x:c r="A434" s="24" t="n">
        <x:v>8</x:v>
      </x:c>
      <x:c r="B434" s="24" t="str">
        <x:v>Varilux Liberty</x:v>
      </x:c>
      <x:c r="C434" s="24" t="n">
        <x:v>195.1</x:v>
      </x:c>
      <x:c r="D434" s="24" t="n">
        <x:v>147.1</x:v>
      </x:c>
      <x:c r="E434" s="24"/>
      <x:c r="F434" s="24" t="str">
        <x:v>PREVENCIA SAPPHIRE 2.019,00 2.019,00 2.189,00 2.189,00 +R$170 3.119,00 3.119,00 +R$1.100</x:v>
      </x:c>
      <x:c r="G434" s="24" t="n">
        <x:v>3149</x:v>
      </x:c>
      <x:c r="H434" s="24" t="n">
        <x:v>46118</x:v>
      </x:c>
      <x:c r="I434" s="24" t="n">
        <x:v>46234</x:v>
      </x:c>
      <x:c r="J434" s="24" t="str">
        <x:v>EXPIRADA</x:v>
      </x:c>
    </x:row>
    <x:row r="435">
      <x:c r="A435" s="24" t="n">
        <x:v>8</x:v>
      </x:c>
      <x:c r="B435" s="24" t="str">
        <x:v>Varilux Liberty</x:v>
      </x:c>
      <x:c r="C435" s="24" t="n">
        <x:v>195.1</x:v>
      </x:c>
      <x:c r="D435" s="24" t="n">
        <x:v>234.1</x:v>
      </x:c>
      <x:c r="E435" s="24" t="str">
        <x:v>3.149,00 3.149,00</x:v>
      </x:c>
      <x:c r="F435" s="24" t="str">
        <x:v>EASY 2.019,00 1.749,00 1.399,00 2.189,00 1.919,00 1.569,00 3.119,00 2.849,00 2.499,00</x:v>
      </x:c>
      <x:c r="G435" s="24" t="n">
        <x:v>2879</x:v>
      </x:c>
      <x:c r="H435" s="24" t="n">
        <x:v>46118</x:v>
      </x:c>
      <x:c r="I435" s="24" t="n">
        <x:v>46234</x:v>
      </x:c>
      <x:c r="J435" s="24" t="str">
        <x:v>EXPIRADA</x:v>
      </x:c>
    </x:row>
    <x:row r="436">
      <x:c r="A436" s="24" t="n">
        <x:v>8</x:v>
      </x:c>
      <x:c r="B436" s="24" t="str">
        <x:v>Varilux Liberty</x:v>
      </x:c>
      <x:c r="C436" s="24" t="n">
        <x:v>195.1</x:v>
      </x:c>
      <x:c r="D436" s="24" t="n">
        <x:v>274.8</x:v>
      </x:c>
      <x:c r="E436" s="24" t="str">
        <x:v>3.149,00 3.149,00 2.879,00</x:v>
      </x:c>
      <x:c r="F436" s="24" t="str">
        <x:v>PRO 1.749,00 1.399,00 1.639,00 1.919,00 1.569,00 1.809,00 2.849,00 2.499,00 2.739,00</x:v>
      </x:c>
      <x:c r="G436" s="24" t="n">
        <x:v>2529</x:v>
      </x:c>
      <x:c r="H436" s="24" t="n">
        <x:v>46118</x:v>
      </x:c>
      <x:c r="I436" s="24" t="n">
        <x:v>46234</x:v>
      </x:c>
      <x:c r="J436" s="24" t="str">
        <x:v>EXPIRADA</x:v>
      </x:c>
    </x:row>
    <x:row r="437">
      <x:c r="A437" s="24" t="n">
        <x:v>8</x:v>
      </x:c>
      <x:c r="B437" s="24" t="str">
        <x:v>Varilux Liberty</x:v>
      </x:c>
      <x:c r="C437" s="24" t="n">
        <x:v>195.1</x:v>
      </x:c>
      <x:c r="D437" s="24" t="n">
        <x:v>313.5</x:v>
      </x:c>
      <x:c r="E437" s="24" t="str">
        <x:v>3.149,00 3.149,00 2.879,00 2.529,00</x:v>
      </x:c>
      <x:c r="F437" s="24" t="str">
        <x:v>PRO 1.199,00 1.399,00 1.639,00 1.369,00 1.569,00 1.809,00 2.299,00 2.499,00 2.739,00</x:v>
      </x:c>
      <x:c r="G437" s="24" t="n">
        <x:v>2769</x:v>
      </x:c>
      <x:c r="H437" s="24" t="n">
        <x:v>46118</x:v>
      </x:c>
      <x:c r="I437" s="24" t="n">
        <x:v>46234</x:v>
      </x:c>
      <x:c r="J437" s="24" t="str">
        <x:v>EXPIRADA</x:v>
      </x:c>
    </x:row>
    <x:row r="438">
      <x:c r="A438" s="24" t="n">
        <x:v>8</x:v>
      </x:c>
      <x:c r="B438" s="24" t="str">
        <x:v>Varilux Liberty</x:v>
      </x:c>
      <x:c r="C438" s="24" t="n">
        <x:v>195.1</x:v>
      </x:c>
      <x:c r="D438" s="24" t="n">
        <x:v>190.6</x:v>
      </x:c>
      <x:c r="E438" s="24" t="str">
        <x:v>3.149,00</x:v>
      </x:c>
      <x:c r="F438" s="24" t="str">
        <x:v>SAPPHIRE HR 2.019,00 2.019,00 1.749,00 2.189,00 2.189,00 3.119,00 3.119,00 2.849,00</x:v>
      </x:c>
      <x:c r="G438" s="24" t="n">
        <x:v>3149</x:v>
      </x:c>
      <x:c r="H438" s="24" t="n">
        <x:v>46118</x:v>
      </x:c>
      <x:c r="I438" s="24" t="n">
        <x:v>46234</x:v>
      </x:c>
      <x:c r="J438" s="24" t="str">
        <x:v>EXPIRADA</x:v>
      </x:c>
    </x:row>
    <x:row r="439">
      <x:c r="A439" s="24" t="n">
        <x:v>8</x:v>
      </x:c>
      <x:c r="B439" s="24" t="str">
        <x:v>Varilux Liberty</x:v>
      </x:c>
      <x:c r="C439" s="24" t="n">
        <x:v>251.1</x:v>
      </x:c>
      <x:c r="D439" s="24" t="n">
        <x:v>146.7</x:v>
      </x:c>
      <x:c r="E439" s="24"/>
      <x:c r="F439" s="24" t="str">
        <x:v>3.119,00 +R$1.100 3.149,00 3.149,00 +R$1.130 2.319,00 2.319,00 3.419,00 3.419,00 +R$1.100</x:v>
      </x:c>
      <x:c r="G439" s="24" t="n">
        <x:v>3449</x:v>
      </x:c>
      <x:c r="H439" s="24" t="n">
        <x:v>46118</x:v>
      </x:c>
      <x:c r="I439" s="24" t="n">
        <x:v>46234</x:v>
      </x:c>
      <x:c r="J439" s="24" t="str">
        <x:v>EXPIRADA</x:v>
      </x:c>
    </x:row>
    <x:row r="440">
      <x:c r="A440" s="24" t="n">
        <x:v>8</x:v>
      </x:c>
      <x:c r="B440" s="24" t="str">
        <x:v>Varilux Liberty</x:v>
      </x:c>
      <x:c r="C440" s="24" t="n">
        <x:v>251.1</x:v>
      </x:c>
      <x:c r="D440" s="24" t="n">
        <x:v>236.1</x:v>
      </x:c>
      <x:c r="E440" s="24" t="str">
        <x:v>3.449,00 3.449,00</x:v>
      </x:c>
      <x:c r="F440" s="24" t="str">
        <x:v>2.849,00 2.499,00 2.879,00 2.529,00 2.319,00 2.049,00 1.699,00 3.419,00 3.149,00 2.799,00</x:v>
      </x:c>
      <x:c r="G440" s="24" t="n">
        <x:v>3179</x:v>
      </x:c>
      <x:c r="H440" s="24" t="n">
        <x:v>46118</x:v>
      </x:c>
      <x:c r="I440" s="24" t="n">
        <x:v>46234</x:v>
      </x:c>
      <x:c r="J440" s="24" t="str">
        <x:v>EXPIRADA</x:v>
      </x:c>
    </x:row>
    <x:row r="441">
      <x:c r="A441" s="24" t="n">
        <x:v>8</x:v>
      </x:c>
      <x:c r="B441" s="24" t="str">
        <x:v>Varilux Liberty</x:v>
      </x:c>
      <x:c r="C441" s="24" t="n">
        <x:v>251.1</x:v>
      </x:c>
      <x:c r="D441" s="24" t="n">
        <x:v>274.7</x:v>
      </x:c>
      <x:c r="E441" s="24" t="str">
        <x:v>3.449,00 3.449,00 3.179,00</x:v>
      </x:c>
      <x:c r="F441" s="24" t="str">
        <x:v>2.739,00 2.879,00 2.529,00 2.769,00 2.049,00 1.699,00 1.939,00 3.149,00 2.799,00 3.039,00</x:v>
      </x:c>
      <x:c r="G441" s="24" t="n">
        <x:v>2829</x:v>
      </x:c>
      <x:c r="H441" s="24" t="n">
        <x:v>46118</x:v>
      </x:c>
      <x:c r="I441" s="24" t="n">
        <x:v>46234</x:v>
      </x:c>
      <x:c r="J441" s="24" t="str">
        <x:v>EXPIRADA</x:v>
      </x:c>
    </x:row>
    <x:row r="442">
      <x:c r="A442" s="24" t="n">
        <x:v>8</x:v>
      </x:c>
      <x:c r="B442" s="24" t="str">
        <x:v>Varilux Liberty</x:v>
      </x:c>
      <x:c r="C442" s="24" t="n">
        <x:v>251.1</x:v>
      </x:c>
      <x:c r="D442" s="24" t="n">
        <x:v>314.5</x:v>
      </x:c>
      <x:c r="E442" s="24" t="str">
        <x:v>3.449,00 3.449,00 3.179,00 2.829,00</x:v>
      </x:c>
      <x:c r="F442" s="24" t="str">
        <x:v>2.739,00 2.329,00 2.529,00 2.769,00 1.499,00 1.699,00 1.939,00 2.599,00 2.799,00 3.039,00</x:v>
      </x:c>
      <x:c r="G442" s="24" t="n">
        <x:v>3069</x:v>
      </x:c>
      <x:c r="H442" s="24" t="n">
        <x:v>46118</x:v>
      </x:c>
      <x:c r="I442" s="24" t="n">
        <x:v>46234</x:v>
      </x:c>
      <x:c r="J442" s="24" t="str">
        <x:v>EXPIRADA</x:v>
      </x:c>
    </x:row>
    <x:row r="443">
      <x:c r="A443" s="24" t="n">
        <x:v>8</x:v>
      </x:c>
      <x:c r="B443" s="24" t="str">
        <x:v>Varilux Liberty</x:v>
      </x:c>
      <x:c r="C443" s="24" t="n">
        <x:v>150.1</x:v>
      </x:c>
      <x:c r="D443" s="24" t="n">
        <x:v>357.3</x:v>
      </x:c>
      <x:c r="E443" s="24" t="str">
        <x:v>Orma 2.019,00 2.019,00 1.749,00 1.399,00 1.639,00</x:v>
      </x:c>
      <x:c r="F443" s="24" t="str">
        <x:v>C V MARROM M A TRIO OPTIFOG VERNIZ EASY CLEAN</x:v>
      </x:c>
      <x:c r="G443" s="24" t="n">
        <x:v>1199</x:v>
      </x:c>
      <x:c r="H443" s="24" t="n">
        <x:v>46118</x:v>
      </x:c>
      <x:c r="I443" s="24" t="n">
        <x:v>46234</x:v>
      </x:c>
      <x:c r="J443" s="24" t="str">
        <x:v>EXPIRADA</x:v>
      </x:c>
    </x:row>
    <x:row r="444">
      <x:c r="A444" s="24" t="n">
        <x:v>8</x:v>
      </x:c>
      <x:c r="B444" s="24" t="str">
        <x:v>Varilux Liberty</x:v>
      </x:c>
      <x:c r="C444" s="24" t="n">
        <x:v>164.7</x:v>
      </x:c>
      <x:c r="D444" s="24" t="n">
        <x:v>355.7</x:v>
      </x:c>
      <x:c r="E444" s="24" t="str">
        <x:v>2.189,00 2.189,00 1.919,00 1.569,00 1.809,00</x:v>
      </x:c>
      <x:c r="F444" s="24" t="str">
        <x:v>M A TRIO OPTIFOG VERNIZ EASY CLEAN 999,00 1.199,00 1.639,00</x:v>
      </x:c>
      <x:c r="G444" s="24" t="n">
        <x:v>1369</x:v>
      </x:c>
      <x:c r="H444" s="24" t="n">
        <x:v>46118</x:v>
      </x:c>
      <x:c r="I444" s="24" t="n">
        <x:v>46234</x:v>
      </x:c>
      <x:c r="J444" s="24" t="str">
        <x:v>EXPIRADA</x:v>
      </x:c>
    </x:row>
    <x:row r="445">
      <x:c r="A445" s="24" t="n">
        <x:v>8</x:v>
      </x:c>
      <x:c r="B445" s="24" t="str">
        <x:v>Varilux Liberty</x:v>
      </x:c>
      <x:c r="C445" s="24" t="n">
        <x:v>237</x:v>
      </x:c>
      <x:c r="D445" s="24" t="n">
        <x:v>354.9</x:v>
      </x:c>
      <x:c r="E445" s="24" t="str">
        <x:v>3.419,00 3.419,00 3.149,00 2.799,00 3.039,00</x:v>
      </x:c>
      <x:c r="F445" s="24" t="str">
        <x:v>1.809,00 2.099,00 2.299,00 2.739,00 2.129,00 2.329,00 2.769,00 1.299,00 1.499,00 1.939,00</x:v>
      </x:c>
      <x:c r="G445" s="24" t="n">
        <x:v>2599</x:v>
      </x:c>
      <x:c r="H445" s="24" t="n">
        <x:v>46118</x:v>
      </x:c>
      <x:c r="I445" s="24" t="n">
        <x:v>46234</x:v>
      </x:c>
      <x:c r="J445" s="24" t="str">
        <x:v>EXPIRADA</x:v>
      </x:c>
    </x:row>
    <x:row r="446">
      <x:c r="A446" s="24" t="n">
        <x:v>8</x:v>
      </x:c>
      <x:c r="B446" s="24" t="str">
        <x:v>Varilux Liberty</x:v>
      </x:c>
      <x:c r="C446" s="24" t="n">
        <x:v>221.6</x:v>
      </x:c>
      <x:c r="D446" s="24" t="n">
        <x:v>355.6</x:v>
      </x:c>
      <x:c r="E446" s="24" t="str">
        <x:v>Airwear 2.319,00 2.319,00 2.049,00 1.699,00 1.939,00</x:v>
      </x:c>
      <x:c r="F446" s="24" t="str">
        <x:v>1.639,00 1.169,00 1.369,00 1.809,00 2.099,00 2.299,00 2.739,00 2.129,00 2.329,00 2.769,00</x:v>
      </x:c>
      <x:c r="G446" s="24" t="n">
        <x:v>1499</x:v>
      </x:c>
      <x:c r="H446" s="24" t="n">
        <x:v>46118</x:v>
      </x:c>
      <x:c r="I446" s="24" t="n">
        <x:v>46234</x:v>
      </x:c>
      <x:c r="J446" s="24" t="str">
        <x:v>EXPIRADA</x:v>
      </x:c>
    </x:row>
    <x:row r="447">
      <x:c r="A447" s="24" t="n">
        <x:v>8</x:v>
      </x:c>
      <x:c r="B447" s="24" t="str">
        <x:v>Varilux Liberty</x:v>
      </x:c>
      <x:c r="C447" s="24" t="n">
        <x:v>179.8</x:v>
      </x:c>
      <x:c r="D447" s="24" t="n">
        <x:v>354.6</x:v>
      </x:c>
      <x:c r="E447" s="24" t="str">
        <x:v>3.119,00 3.119,00 2.849,00 2.499,00 2.739,00</x:v>
      </x:c>
      <x:c r="F447" s="24" t="str">
        <x:v>OPTIFOG VERNIZ EASY CLEAN 999,00 1.199,00 1.639,00 1.169,00 1.369,00 1.809,00</x:v>
      </x:c>
      <x:c r="G447" s="24" t="n">
        <x:v>2299</x:v>
      </x:c>
      <x:c r="H447" s="24" t="n">
        <x:v>46118</x:v>
      </x:c>
      <x:c r="I447" s="24" t="n">
        <x:v>46234</x:v>
      </x:c>
      <x:c r="J447" s="24" t="str">
        <x:v>EXPIRADA</x:v>
      </x:c>
    </x:row>
    <x:row r="448">
      <x:c r="A448" s="24" t="n">
        <x:v>8</x:v>
      </x:c>
      <x:c r="B448" s="24" t="str">
        <x:v>Varilux Liberty</x:v>
      </x:c>
      <x:c r="C448" s="24" t="n">
        <x:v>195.1</x:v>
      </x:c>
      <x:c r="D448" s="24" t="n">
        <x:v>354.7</x:v>
      </x:c>
      <x:c r="E448" s="24" t="str">
        <x:v>3.149,00 3.149,00 2.879,00 2.529,00 2.769,00</x:v>
      </x:c>
      <x:c r="F448" s="24" t="str">
        <x:v>CLEAN 999,00 1.199,00 1.639,00 1.169,00 1.369,00 1.809,00 2.099,00 2.299,00 2.739,00</x:v>
      </x:c>
      <x:c r="G448" s="24" t="n">
        <x:v>2329</x:v>
      </x:c>
      <x:c r="H448" s="24" t="n">
        <x:v>46118</x:v>
      </x:c>
      <x:c r="I448" s="24" t="n">
        <x:v>46234</x:v>
      </x:c>
      <x:c r="J448" s="24" t="str">
        <x:v>EXPIRADA</x:v>
      </x:c>
    </x:row>
    <x:row r="449">
      <x:c r="A449" s="24" t="n">
        <x:v>8</x:v>
      </x:c>
      <x:c r="B449" s="24" t="str">
        <x:v>Varilux Liberty</x:v>
      </x:c>
      <x:c r="C449" s="24" t="n">
        <x:v>251.1</x:v>
      </x:c>
      <x:c r="D449" s="24" t="n">
        <x:v>355.7</x:v>
      </x:c>
      <x:c r="E449" s="24" t="str">
        <x:v>3.449,00 3.449,00 3.179,00 2.829,00 3.069,00</x:v>
      </x:c>
      <x:c r="F449" s="24" t="str">
        <x:v>2.739,00 2.129,00 2.329,00 2.769,00 1.299,00 1.499,00 1.939,00 2.399,00 2.599,00 3.039,00</x:v>
      </x:c>
      <x:c r="G449" s="24" t="n">
        <x:v>2629</x:v>
      </x:c>
      <x:c r="H449" s="24" t="n">
        <x:v>46118</x:v>
      </x:c>
      <x:c r="I449" s="24" t="n">
        <x:v>46234</x:v>
      </x:c>
      <x:c r="J449" s="24" t="str">
        <x:v>EXPIRADA</x:v>
      </x:c>
    </x:row>
    <x:row r="450">
      <x:c r="A450" s="24" t="n">
        <x:v>8</x:v>
      </x:c>
      <x:c r="B450" s="24" t="str">
        <x:v>Varilux Liberty</x:v>
      </x:c>
      <x:c r="C450" s="24" t="n">
        <x:v>150.1</x:v>
      </x:c>
      <x:c r="D450" s="24" t="n">
        <x:v>401.3</x:v>
      </x:c>
      <x:c r="E450" s="24" t="str">
        <x:v>Orma 2.019,00 2.019,00 1.749,00 1.399,00 1.639,00 1.199,00</x:v>
      </x:c>
      <x:c r="F450" s="24" t="str">
        <x:v>VERDE-GRAFITE V MARROM ÂMBAR A TRIO VERNIZ HC MARCAÇÃO CLEAN</x:v>
      </x:c>
      <x:c r="G450" s="24" t="n">
        <x:v>999</x:v>
      </x:c>
      <x:c r="H450" s="24" t="n">
        <x:v>46118</x:v>
      </x:c>
      <x:c r="I450" s="24" t="n">
        <x:v>46234</x:v>
      </x:c>
      <x:c r="J450" s="24" t="str">
        <x:v>EXPIRADA</x:v>
      </x:c>
    </x:row>
    <x:row r="451">
      <x:c r="A451" s="24" t="n">
        <x:v>8</x:v>
      </x:c>
      <x:c r="B451" s="24" t="str">
        <x:v>Varilux Liberty</x:v>
      </x:c>
      <x:c r="C451" s="24" t="n">
        <x:v>164.7</x:v>
      </x:c>
      <x:c r="D451" s="24" t="n">
        <x:v>399.7</x:v>
      </x:c>
      <x:c r="E451" s="24" t="str">
        <x:v>2.189,00 2.189,00 1.919,00 1.569,00 1.809,00 1.369,00</x:v>
      </x:c>
      <x:c r="F451" s="24" t="str">
        <x:v>MARROM ÂMBAR A TRIO VERNIZ HC MARCAÇÃO CLEAN 999,00 1.199,00</x:v>
      </x:c>
      <x:c r="G451" s="24" t="n">
        <x:v>1169</x:v>
      </x:c>
      <x:c r="H451" s="24" t="n">
        <x:v>46118</x:v>
      </x:c>
      <x:c r="I451" s="24" t="n">
        <x:v>46234</x:v>
      </x:c>
      <x:c r="J451" s="24" t="str">
        <x:v>EXPIRADA</x:v>
      </x:c>
    </x:row>
    <x:row r="452">
      <x:c r="A452" s="24" t="n">
        <x:v>8</x:v>
      </x:c>
      <x:c r="B452" s="24" t="str">
        <x:v>Varilux Liberty</x:v>
      </x:c>
      <x:c r="C452" s="24" t="n">
        <x:v>237</x:v>
      </x:c>
      <x:c r="D452" s="24" t="n">
        <x:v>399.2</x:v>
      </x:c>
      <x:c r="E452" s="24" t="str">
        <x:v>3.419,00 3.419,00 3.149,00 2.799,00 3.039,00 2.599,00</x:v>
      </x:c>
      <x:c r="F452" s="24" t="str">
        <x:v>999,00 1.199,00 1.169,00 1.369,00 2.099,00 2.299,00 2.129,00 2.329,00 1.299,00 1.499,00</x:v>
      </x:c>
      <x:c r="G452" s="24" t="n">
        <x:v>2399</x:v>
      </x:c>
      <x:c r="H452" s="24" t="n">
        <x:v>46118</x:v>
      </x:c>
      <x:c r="I452" s="24" t="n">
        <x:v>46234</x:v>
      </x:c>
      <x:c r="J452" s="24" t="str">
        <x:v>EXPIRADA</x:v>
      </x:c>
    </x:row>
    <x:row r="453">
      <x:c r="A453" s="24" t="n">
        <x:v>8</x:v>
      </x:c>
      <x:c r="B453" s="24" t="str">
        <x:v>Varilux Liberty</x:v>
      </x:c>
      <x:c r="C453" s="24" t="n">
        <x:v>221.6</x:v>
      </x:c>
      <x:c r="D453" s="24" t="n">
        <x:v>399.9</x:v>
      </x:c>
      <x:c r="E453" s="24" t="str">
        <x:v>Airwear 2.319,00 2.319,00 2.049,00 1.699,00 1.939,00 1.499,00</x:v>
      </x:c>
      <x:c r="F453" s="24" t="str">
        <x:v>MARCAÇÃO CLEAN 999,00 1.199,00 1.169,00 1.369,00 2.099,00 2.299,00 2.129,00 2.329,00</x:v>
      </x:c>
      <x:c r="G453" s="24" t="n">
        <x:v>1299</x:v>
      </x:c>
      <x:c r="H453" s="24" t="n">
        <x:v>46118</x:v>
      </x:c>
      <x:c r="I453" s="24" t="n">
        <x:v>46234</x:v>
      </x:c>
      <x:c r="J453" s="24" t="str">
        <x:v>EXPIRADA</x:v>
      </x:c>
    </x:row>
    <x:row r="454">
      <x:c r="A454" s="24" t="n">
        <x:v>8</x:v>
      </x:c>
      <x:c r="B454" s="24" t="str">
        <x:v>Varilux Liberty</x:v>
      </x:c>
      <x:c r="C454" s="24" t="n">
        <x:v>179.7</x:v>
      </x:c>
      <x:c r="D454" s="24" t="n">
        <x:v>397.7</x:v>
      </x:c>
      <x:c r="E454" s="24" t="str">
        <x:v>3.119,00 3.119,00 2.849,00 2.499,00 2.739,00 2.299,00</x:v>
      </x:c>
      <x:c r="F454" s="24" t="str">
        <x:v>A TRIO VERNIZ HC MARCAÇÃO CLEAN 999,00 1.199,00 1.169,00 1.369,00</x:v>
      </x:c>
      <x:c r="G454" s="24" t="n">
        <x:v>2099</x:v>
      </x:c>
      <x:c r="H454" s="24" t="n">
        <x:v>46118</x:v>
      </x:c>
      <x:c r="I454" s="24" t="n">
        <x:v>46234</x:v>
      </x:c>
      <x:c r="J454" s="24" t="str">
        <x:v>EXPIRADA</x:v>
      </x:c>
    </x:row>
    <x:row r="455">
      <x:c r="A455" s="24" t="n">
        <x:v>8</x:v>
      </x:c>
      <x:c r="B455" s="24" t="str">
        <x:v>Varilux Liberty</x:v>
      </x:c>
      <x:c r="C455" s="24" t="n">
        <x:v>195.1</x:v>
      </x:c>
      <x:c r="D455" s="24" t="n">
        <x:v>399.7</x:v>
      </x:c>
      <x:c r="E455" s="24" t="str">
        <x:v>3.149,00 3.149,00 2.879,00 2.529,00 2.769,00 2.329,00</x:v>
      </x:c>
      <x:c r="F455" s="24" t="str">
        <x:v>VERNIZ HC MARCAÇÃO CLEAN 999,00 1.199,00 1.169,00 1.369,00 2.099,00 2.299,00</x:v>
      </x:c>
      <x:c r="G455" s="24" t="n">
        <x:v>2129</x:v>
      </x:c>
      <x:c r="H455" s="24" t="n">
        <x:v>46118</x:v>
      </x:c>
      <x:c r="I455" s="24" t="n">
        <x:v>46234</x:v>
      </x:c>
      <x:c r="J455" s="24" t="str">
        <x:v>EXPIRADA</x:v>
      </x:c>
    </x:row>
    <x:row r="456">
      <x:c r="A456" s="24" t="n">
        <x:v>8</x:v>
      </x:c>
      <x:c r="B456" s="24" t="str">
        <x:v>Varilux Liberty</x:v>
      </x:c>
      <x:c r="C456" s="24" t="n">
        <x:v>251.1</x:v>
      </x:c>
      <x:c r="D456" s="24" t="n">
        <x:v>399.1</x:v>
      </x:c>
      <x:c r="E456" s="24" t="str">
        <x:v>3.449,00 3.449,00 3.179,00 2.829,00 3.069,00 2.629,00</x:v>
      </x:c>
      <x:c r="F456" s="24" t="str">
        <x:v>1.169,00 1.369,00 2.099,00 2.299,00 2.129,00 2.329,00 1.299,00 1.499,00 2.399,00 2.599,00</x:v>
      </x:c>
      <x:c r="G456" s="24" t="n">
        <x:v>2429</x:v>
      </x:c>
      <x:c r="H456" s="24" t="n">
        <x:v>46118</x:v>
      </x:c>
      <x:c r="I456" s="24" t="n">
        <x:v>46234</x:v>
      </x:c>
      <x:c r="J456" s="24" t="str">
        <x:v>EXPIRADA</x:v>
      </x:c>
    </x:row>
    <x:row r="457">
      <x:c r="A457" s="24" t="n">
        <x:v>8</x:v>
      </x:c>
      <x:c r="B457" s="24" t="str">
        <x:v>Varilux Liberty</x:v>
      </x:c>
      <x:c r="C457" s="24" t="n">
        <x:v>251.1</x:v>
      </x:c>
      <x:c r="D457" s="24" t="n">
        <x:v>191.2</x:v>
      </x:c>
      <x:c r="E457" s="24" t="str">
        <x:v>3.449,00</x:v>
      </x:c>
      <x:c r="F457" s="24" t="str">
        <x:v>3.119,00 2.849,00 3.149,00 2.879,00 2.319,00 2.319,00 2.049,00 3.419,00 3.419,00 3.149,00</x:v>
      </x:c>
      <x:c r="G457" s="24" t="n">
        <x:v>3449</x:v>
      </x:c>
      <x:c r="H457" s="24" t="n">
        <x:v>46118</x:v>
      </x:c>
      <x:c r="I457" s="24" t="n">
        <x:v>46234</x:v>
      </x:c>
      <x:c r="J457" s="24" t="str">
        <x:v>EXPIRADA</x:v>
      </x:c>
    </x:row>
    <x:row r="458">
      <x:c r="A458" s="24" t="n">
        <x:v>8</x:v>
      </x:c>
      <x:c r="B458" s="24" t="str">
        <x:v>Varilux Liberty</x:v>
      </x:c>
      <x:c r="C458" s="24" t="n">
        <x:v>315.3</x:v>
      </x:c>
      <x:c r="D458" s="24" t="n">
        <x:v>385.5</x:v>
      </x:c>
      <x:c r="E458" s="24" t="str">
        <x:v>Orma + Xperio cinza/marrom 2.349,00 2.329,00 1.689,00 Orma + Coloração padrão</x:v>
      </x:c>
      <x:c r="F458" s="24" t="str">
        <x:v>1.299,00 1.499,00 2.399,00 2.599,00 2.429,00 2.629,00 VERNIZ HC MARCAÇÃO</x:v>
      </x:c>
      <x:c r="G458" s="24" t="n">
        <x:v>1179</x:v>
      </x:c>
      <x:c r="H458" s="24" t="n">
        <x:v>46118</x:v>
      </x:c>
      <x:c r="I458" s="24" t="n">
        <x:v>46234</x:v>
      </x:c>
      <x:c r="J458" s="24" t="str">
        <x:v>EXPIRADA</x:v>
      </x:c>
    </x:row>
    <x:row r="459">
      <x:c r="A459" s="24" t="n">
        <x:v>8</x:v>
      </x:c>
      <x:c r="B459" s="24" t="str">
        <x:v>Varilux Liberty</x:v>
      </x:c>
      <x:c r="C459" s="24" t="n">
        <x:v>328.5</x:v>
      </x:c>
      <x:c r="D459" s="24" t="n">
        <x:v>385.2</x:v>
      </x:c>
      <x:c r="E459" s="24" t="str">
        <x:v>+ Coloração especial</x:v>
      </x:c>
      <x:c r="F459" s="24" t="str">
        <x:v>2.399,00 2.599,00 2.429,00 2.629,00 VERNIZ HC MARCAÇÃO 1.179,00 padrão</x:v>
      </x:c>
      <x:c r="G459" s="24" t="n">
        <x:v>1289</x:v>
      </x:c>
      <x:c r="H459" s="24" t="n">
        <x:v>46118</x:v>
      </x:c>
      <x:c r="I459" s="24" t="n">
        <x:v>46234</x:v>
      </x:c>
      <x:c r="J459" s="24" t="str">
        <x:v>EXPIRADA</x:v>
      </x:c>
    </x:row>
    <x:row r="460">
      <x:c r="A460" s="24" t="n">
        <x:v>8</x:v>
      </x:c>
      <x:c r="B460" s="24" t="str">
        <x:v>Varilux Liberty</x:v>
      </x:c>
      <x:c r="C460" s="24" t="n">
        <x:v>346.8</x:v>
      </x:c>
      <x:c r="D460" s="24" t="n">
        <x:v>149.3</x:v>
      </x:c>
      <x:c r="E460" s="24" t="str">
        <x:v>+ Xperio cinza/marrom</x:v>
      </x:c>
      <x:c r="F460" s="24" t="str">
        <x:v>+R$1.130 CRIZAL SAPPHIRE HR OPTIFOG FACE INTERNA 2.349,00 2.329,00</x:v>
      </x:c>
      <x:c r="G460" s="24" t="n">
        <x:v>2649</x:v>
      </x:c>
      <x:c r="H460" s="24" t="n">
        <x:v>46118</x:v>
      </x:c>
      <x:c r="I460" s="24" t="n">
        <x:v>46234</x:v>
      </x:c>
      <x:c r="J460" s="24" t="str">
        <x:v>EXPIRADA</x:v>
      </x:c>
    </x:row>
    <x:row r="461">
      <x:c r="A461" s="24" t="n">
        <x:v>8</x:v>
      </x:c>
      <x:c r="B461" s="24" t="str">
        <x:v>Varilux Liberty</x:v>
      </x:c>
      <x:c r="C461" s="24" t="n">
        <x:v>317.2</x:v>
      </x:c>
      <x:c r="D461" s="24" t="n">
        <x:v>148.9</x:v>
      </x:c>
      <x:c r="E461" s="24" t="str">
        <x:v>Orma + Xperio cinza/marrom</x:v>
      </x:c>
      <x:c r="F461" s="24" t="str">
        <x:v>+R$1.100 3.449,00 3.449,00 +R$1.130 CRIZAL SAPPHIRE HR OPTIFOG FACE INTERNA</x:v>
      </x:c>
      <x:c r="G461" s="24" t="n">
        <x:v>2349</x:v>
      </x:c>
      <x:c r="H461" s="24" t="n">
        <x:v>46118</x:v>
      </x:c>
      <x:c r="I461" s="24" t="n">
        <x:v>46234</x:v>
      </x:c>
      <x:c r="J461" s="24" t="str">
        <x:v>EXPIRADA</x:v>
      </x:c>
    </x:row>
    <x:row r="462">
      <x:c r="A462" s="24" t="n">
        <x:v>8</x:v>
      </x:c>
      <x:c r="B462" s="24" t="str">
        <x:v>Varilux Liberty</x:v>
      </x:c>
      <x:c r="C462" s="24" t="n">
        <x:v>346.8</x:v>
      </x:c>
      <x:c r="D462" s="24" t="n">
        <x:v>193</x:v>
      </x:c>
      <x:c r="E462" s="24" t="str">
        <x:v>+ Xperio cinza/marrom 2.649,00</x:v>
      </x:c>
      <x:c r="F462" s="24" t="str">
        <x:v>SAPPHIRE HR OPTIFOG VERNIZ INTERNA 2.349,00 2.329,00 1.689,00</x:v>
      </x:c>
      <x:c r="G462" s="24" t="n">
        <x:v>2629</x:v>
      </x:c>
      <x:c r="H462" s="24" t="n">
        <x:v>46118</x:v>
      </x:c>
      <x:c r="I462" s="24" t="n">
        <x:v>46234</x:v>
      </x:c>
      <x:c r="J462" s="24" t="str">
        <x:v>EXPIRADA</x:v>
      </x:c>
    </x:row>
    <x:row r="463">
      <x:c r="A463" s="24" t="n">
        <x:v>8</x:v>
      </x:c>
      <x:c r="B463" s="24" t="str">
        <x:v>Varilux Liberty</x:v>
      </x:c>
      <x:c r="C463" s="24" t="n">
        <x:v>317.2</x:v>
      </x:c>
      <x:c r="D463" s="24" t="n">
        <x:v>192.5</x:v>
      </x:c>
      <x:c r="E463" s="24" t="str">
        <x:v>Orma + Xperio cinza/marrom 2.349,00</x:v>
      </x:c>
      <x:c r="F463" s="24" t="str">
        <x:v>3.419,00 3.149,00 3.449,00 3.179,00 SAPPHIRE HR OPTIFOG VERNIZ INTERNA</x:v>
      </x:c>
      <x:c r="G463" s="24" t="n">
        <x:v>2329</x:v>
      </x:c>
      <x:c r="H463" s="24" t="n">
        <x:v>46118</x:v>
      </x:c>
      <x:c r="I463" s="24" t="n">
        <x:v>46234</x:v>
      </x:c>
      <x:c r="J463" s="24" t="str">
        <x:v>EXPIRADA</x:v>
      </x:c>
    </x:row>
    <x:row r="464">
      <x:c r="A464" s="24" t="n">
        <x:v>8</x:v>
      </x:c>
      <x:c r="B464" s="24" t="str">
        <x:v>Varilux Liberty</x:v>
      </x:c>
      <x:c r="C464" s="24" t="n">
        <x:v>346.8</x:v>
      </x:c>
      <x:c r="D464" s="24" t="n">
        <x:v>231.7</x:v>
      </x:c>
      <x:c r="E464" s="24" t="str">
        <x:v>+ Xperio cinza/marrom 2.649,00 2.629,00</x:v>
      </x:c>
      <x:c r="F464" s="24" t="str">
        <x:v>OPTIFOG VERNIZ HC Orma 2.329,00 1.689,00 +R$300</x:v>
      </x:c>
      <x:c r="G464" s="24" t="n">
        <x:v>1989</x:v>
      </x:c>
      <x:c r="H464" s="24" t="n">
        <x:v>46118</x:v>
      </x:c>
      <x:c r="I464" s="24" t="n">
        <x:v>46234</x:v>
      </x:c>
      <x:c r="J464" s="24" t="str">
        <x:v>EXPIRADA</x:v>
      </x:c>
    </x:row>
    <x:row r="465">
      <x:c r="A465" s="24" t="n">
        <x:v>8</x:v>
      </x:c>
      <x:c r="B465" s="24" t="str">
        <x:v>Varilux Liberty</x:v>
      </x:c>
      <x:c r="C465" s="24" t="n">
        <x:v>317.2</x:v>
      </x:c>
      <x:c r="D465" s="24" t="n">
        <x:v>231.2</x:v>
      </x:c>
      <x:c r="E465" s="24" t="str">
        <x:v>Orma + Xperio cinza/marrom 2.349,00 2.329,00</x:v>
      </x:c>
      <x:c r="F465" s="24" t="str">
        <x:v>3.419,00 3.149,00 2.799,00 3.449,00 3.179,00 2.829,00 OPTIFOG VERNIZ HC</x:v>
      </x:c>
      <x:c r="G465" s="24" t="n">
        <x:v>1689</x:v>
      </x:c>
      <x:c r="H465" s="24" t="n">
        <x:v>46118</x:v>
      </x:c>
      <x:c r="I465" s="24" t="n">
        <x:v>46234</x:v>
      </x:c>
      <x:c r="J465" s="24" t="str">
        <x:v>EXPIRADA</x:v>
      </x:c>
    </x:row>
    <x:row r="466">
      <x:c r="A466" s="24" t="n">
        <x:v>8</x:v>
      </x:c>
      <x:c r="B466" s="24" t="str">
        <x:v>Varilux Liberty</x:v>
      </x:c>
      <x:c r="C466" s="24" t="n">
        <x:v>348.1</x:v>
      </x:c>
      <x:c r="D466" s="24" t="n">
        <x:v>384.1</x:v>
      </x:c>
      <x:c r="E466" s="24" t="str">
        <x:v>Xperio cinza/marrom 2.649,00 2.629,00 1.989,00 Airwear + Coloração padrão</x:v>
      </x:c>
      <x:c r="F466" s="24" t="str">
        <x:v>VERNIZ HC MARCAÇÃO 1.179,00 padrão 1.289,00 especial</x:v>
      </x:c>
      <x:c r="G466" s="24" t="n">
        <x:v>1479</x:v>
      </x:c>
      <x:c r="H466" s="24" t="n">
        <x:v>46118</x:v>
      </x:c>
      <x:c r="I466" s="24" t="n">
        <x:v>46234</x:v>
      </x:c>
      <x:c r="J466" s="24" t="str">
        <x:v>EXPIRADA</x:v>
      </x:c>
    </x:row>
    <x:row r="467">
      <x:c r="A467" s="24" t="n">
        <x:v>8</x:v>
      </x:c>
      <x:c r="B467" s="24" t="str">
        <x:v>Varilux Liberty</x:v>
      </x:c>
      <x:c r="C467" s="24" t="n">
        <x:v>361.2</x:v>
      </x:c>
      <x:c r="D467" s="24" t="n">
        <x:v>384.4</x:v>
      </x:c>
      <x:c r="E467" s="24" t="str">
        <x:v>+ Coloração especial</x:v>
      </x:c>
      <x:c r="F467" s="24" t="str">
        <x:v>VERNIZ HC MARCAÇÃO 1.179,00 padrão 1.289,00 especial 1.479,00 padrão</x:v>
      </x:c>
      <x:c r="G467" s="24" t="n">
        <x:v>1589</x:v>
      </x:c>
      <x:c r="H467" s="24" t="n">
        <x:v>46118</x:v>
      </x:c>
      <x:c r="I467" s="24" t="n">
        <x:v>46234</x:v>
      </x:c>
      <x:c r="J467" s="24" t="str">
        <x:v>EXPIRADA</x:v>
      </x:c>
    </x:row>
    <x:row r="468">
      <x:c r="A468" s="24" t="n">
        <x:v>8</x:v>
      </x:c>
      <x:c r="B468" s="24" t="str">
        <x:v>Varilux Liberty</x:v>
      </x:c>
      <x:c r="C468" s="24" t="n">
        <x:v>466.5</x:v>
      </x:c>
      <x:c r="D468" s="24" t="n">
        <x:v>144.3</x:v>
      </x:c>
      <x:c r="E468" s="24" t="str">
        <x:v>Orma</x:v>
      </x:c>
      <x:c r="F468" s="24" t="str">
        <x:v>CRIZAL CRIZAL PREVENCIA SAPPHIRE</x:v>
      </x:c>
      <x:c r="G468" s="24" t="n">
        <x:v>2019</x:v>
      </x:c>
      <x:c r="H468" s="24" t="n">
        <x:v>46118</x:v>
      </x:c>
      <x:c r="I468" s="24" t="n">
        <x:v>46234</x:v>
      </x:c>
      <x:c r="J468" s="24" t="str">
        <x:v>EXPIRADA</x:v>
      </x:c>
    </x:row>
    <x:row r="469">
      <x:c r="A469" s="24" t="n">
        <x:v>8</x:v>
      </x:c>
      <x:c r="B469" s="24" t="str">
        <x:v>Varilux Liberty</x:v>
      </x:c>
      <x:c r="C469" s="24" t="n">
        <x:v>466.5</x:v>
      </x:c>
      <x:c r="D469" s="24" t="n">
        <x:v>234.2</x:v>
      </x:c>
      <x:c r="E469" s="24" t="str">
        <x:v>Orma 2.019,00 2.019,00</x:v>
      </x:c>
      <x:c r="F469" s="24" t="str">
        <x:v>CRIZAL CRIZAL ROCK HR EASY</x:v>
      </x:c>
      <x:c r="G469" s="24" t="n">
        <x:v>1749</x:v>
      </x:c>
      <x:c r="H469" s="24" t="n">
        <x:v>46118</x:v>
      </x:c>
      <x:c r="I469" s="24" t="n">
        <x:v>46234</x:v>
      </x:c>
      <x:c r="J469" s="24" t="str">
        <x:v>EXPIRADA</x:v>
      </x:c>
    </x:row>
    <x:row r="470">
      <x:c r="A470" s="24" t="n">
        <x:v>8</x:v>
      </x:c>
      <x:c r="B470" s="24" t="str">
        <x:v>Varilux Liberty</x:v>
      </x:c>
      <x:c r="C470" s="24" t="n">
        <x:v>466.5</x:v>
      </x:c>
      <x:c r="D470" s="24" t="n">
        <x:v>274.1</x:v>
      </x:c>
      <x:c r="E470" s="24" t="str">
        <x:v>Orma 2.019,00 2.019,00 1.749,00</x:v>
      </x:c>
      <x:c r="F470" s="24" t="str">
        <x:v>CRIZAL CRIZAL OPTIFOG ROCK EASY PRO</x:v>
      </x:c>
      <x:c r="G470" s="24" t="n">
        <x:v>1399</x:v>
      </x:c>
      <x:c r="H470" s="24" t="n">
        <x:v>46118</x:v>
      </x:c>
      <x:c r="I470" s="24" t="n">
        <x:v>46234</x:v>
      </x:c>
      <x:c r="J470" s="24" t="str">
        <x:v>EXPIRADA</x:v>
      </x:c>
    </x:row>
    <x:row r="471">
      <x:c r="A471" s="24" t="n">
        <x:v>8</x:v>
      </x:c>
      <x:c r="B471" s="24" t="str">
        <x:v>Varilux Liberty</x:v>
      </x:c>
      <x:c r="C471" s="24" t="n">
        <x:v>466.5</x:v>
      </x:c>
      <x:c r="D471" s="24" t="n">
        <x:v>312.8</x:v>
      </x:c>
      <x:c r="E471" s="24" t="str">
        <x:v>Orma 2.019,00 2.019,00 1.749,00 1.399,00</x:v>
      </x:c>
      <x:c r="F471" s="24" t="str">
        <x:v>TRIO CRIZAL OPTIFOG EASY PRO</x:v>
      </x:c>
      <x:c r="G471" s="24" t="n">
        <x:v>1639</x:v>
      </x:c>
      <x:c r="H471" s="24" t="n">
        <x:v>46118</x:v>
      </x:c>
      <x:c r="I471" s="24" t="n">
        <x:v>46234</x:v>
      </x:c>
      <x:c r="J471" s="24" t="str">
        <x:v>EXPIRADA</x:v>
      </x:c>
    </x:row>
    <x:row r="472">
      <x:c r="A472" s="24" t="n">
        <x:v>8</x:v>
      </x:c>
      <x:c r="B472" s="24" t="str">
        <x:v>Varilux Liberty</x:v>
      </x:c>
      <x:c r="C472" s="24" t="n">
        <x:v>466.5</x:v>
      </x:c>
      <x:c r="D472" s="24" t="n">
        <x:v>188.8</x:v>
      </x:c>
      <x:c r="E472" s="24" t="str">
        <x:v>Orma 2.019,00</x:v>
      </x:c>
      <x:c r="F472" s="24" t="str">
        <x:v>CRIZAL CRIZAL ROCK PREVENCIA SAPPHIRE HR</x:v>
      </x:c>
      <x:c r="G472" s="24" t="n">
        <x:v>2019</x:v>
      </x:c>
      <x:c r="H472" s="24" t="n">
        <x:v>46118</x:v>
      </x:c>
      <x:c r="I472" s="24" t="n">
        <x:v>46234</x:v>
      </x:c>
      <x:c r="J472" s="24" t="str">
        <x:v>EXPIRADA</x:v>
      </x:c>
    </x:row>
    <x:row r="473">
      <x:c r="A473" s="24" t="n">
        <x:v>8</x:v>
      </x:c>
      <x:c r="B473" s="24" t="str">
        <x:v>Varilux Liberty</x:v>
      </x:c>
      <x:c r="C473" s="24" t="n">
        <x:v>500</x:v>
      </x:c>
      <x:c r="D473" s="24" t="n">
        <x:v>144.6</x:v>
      </x:c>
      <x:c r="E473" s="24" t="str">
        <x:v>Airwear</x:v>
      </x:c>
      <x:c r="F473" s="24" t="str">
        <x:v>CRIZAL CRIZAL PREVENCIA SAPPHIRE 2.019,00 2.019,00</x:v>
      </x:c>
      <x:c r="G473" s="24" t="n">
        <x:v>2319</x:v>
      </x:c>
      <x:c r="H473" s="24" t="n">
        <x:v>46118</x:v>
      </x:c>
      <x:c r="I473" s="24" t="n">
        <x:v>46234</x:v>
      </x:c>
      <x:c r="J473" s="24" t="str">
        <x:v>EXPIRADA</x:v>
      </x:c>
    </x:row>
    <x:row r="474">
      <x:c r="A474" s="24" t="n">
        <x:v>8</x:v>
      </x:c>
      <x:c r="B474" s="24" t="str">
        <x:v>Varilux Liberty</x:v>
      </x:c>
      <x:c r="C474" s="24" t="n">
        <x:v>500</x:v>
      </x:c>
      <x:c r="D474" s="24" t="n">
        <x:v>233.3</x:v>
      </x:c>
      <x:c r="E474" s="24" t="str">
        <x:v>Airwear 2.319,00 2.319,00</x:v>
      </x:c>
      <x:c r="F474" s="24" t="str">
        <x:v>CRIZAL CRIZAL ROCK HR EASY 1.749,00 1.399,00</x:v>
      </x:c>
      <x:c r="G474" s="24" t="n">
        <x:v>2049</x:v>
      </x:c>
      <x:c r="H474" s="24" t="n">
        <x:v>46118</x:v>
      </x:c>
      <x:c r="I474" s="24" t="n">
        <x:v>46234</x:v>
      </x:c>
      <x:c r="J474" s="24" t="str">
        <x:v>EXPIRADA</x:v>
      </x:c>
    </x:row>
    <x:row r="475">
      <x:c r="A475" s="24" t="n">
        <x:v>8</x:v>
      </x:c>
      <x:c r="B475" s="24" t="str">
        <x:v>Varilux Liberty</x:v>
      </x:c>
      <x:c r="C475" s="24" t="n">
        <x:v>500</x:v>
      </x:c>
      <x:c r="D475" s="24" t="n">
        <x:v>274.5</x:v>
      </x:c>
      <x:c r="E475" s="24" t="str">
        <x:v>Airwear 2.319,00 2.319,00 2.049,00</x:v>
      </x:c>
      <x:c r="F475" s="24" t="str">
        <x:v>CRIZAL CRIZAL OPTIFOG ROCK EASY PRO 1.749,00 1.399,00 1.639,00</x:v>
      </x:c>
      <x:c r="G475" s="24" t="n">
        <x:v>1699</x:v>
      </x:c>
      <x:c r="H475" s="24" t="n">
        <x:v>46118</x:v>
      </x:c>
      <x:c r="I475" s="24" t="n">
        <x:v>46234</x:v>
      </x:c>
      <x:c r="J475" s="24" t="str">
        <x:v>EXPIRADA</x:v>
      </x:c>
    </x:row>
    <x:row r="476">
      <x:c r="A476" s="24" t="n">
        <x:v>8</x:v>
      </x:c>
      <x:c r="B476" s="24" t="str">
        <x:v>Varilux Liberty</x:v>
      </x:c>
      <x:c r="C476" s="24" t="n">
        <x:v>500</x:v>
      </x:c>
      <x:c r="D476" s="24" t="n">
        <x:v>313.1</x:v>
      </x:c>
      <x:c r="E476" s="24" t="str">
        <x:v>Airwear 2.319,00 2.319,00 2.049,00 1.699,00</x:v>
      </x:c>
      <x:c r="F476" s="24" t="str">
        <x:v>TRIO CRIZAL OPTIFOG EASY PRO 1.399,00 1.639,00 1.199,00</x:v>
      </x:c>
      <x:c r="G476" s="24" t="n">
        <x:v>1939</x:v>
      </x:c>
      <x:c r="H476" s="24" t="n">
        <x:v>46118</x:v>
      </x:c>
      <x:c r="I476" s="24" t="n">
        <x:v>46234</x:v>
      </x:c>
      <x:c r="J476" s="24" t="str">
        <x:v>EXPIRADA</x:v>
      </x:c>
    </x:row>
    <x:row r="477">
      <x:c r="A477" s="24" t="n">
        <x:v>8</x:v>
      </x:c>
      <x:c r="B477" s="24" t="str">
        <x:v>Varilux Liberty</x:v>
      </x:c>
      <x:c r="C477" s="24" t="n">
        <x:v>466.5</x:v>
      </x:c>
      <x:c r="D477" s="24" t="n">
        <x:v>398.7</x:v>
      </x:c>
      <x:c r="E477" s="24" t="str">
        <x:v>Orma 2.019,00 2.019,00 1.749,00 1.399,00 1.639,00 1.199,00</x:v>
      </x:c>
      <x:c r="F477" s="24" t="str">
        <x:v>SEM AR MARCAÇÃO CLEAN</x:v>
      </x:c>
      <x:c r="G477" s="24" t="n">
        <x:v>999</x:v>
      </x:c>
      <x:c r="H477" s="24" t="n">
        <x:v>46118</x:v>
      </x:c>
      <x:c r="I477" s="24" t="n">
        <x:v>46234</x:v>
      </x:c>
      <x:c r="J477" s="24" t="str">
        <x:v>EXPIRADA</x:v>
      </x:c>
    </x:row>
    <x:row r="478">
      <x:c r="A478" s="24" t="n">
        <x:v>8</x:v>
      </x:c>
      <x:c r="B478" s="24" t="str">
        <x:v>Varilux Liberty</x:v>
      </x:c>
      <x:c r="C478" s="24" t="n">
        <x:v>500</x:v>
      </x:c>
      <x:c r="D478" s="24" t="n">
        <x:v>396.9</x:v>
      </x:c>
      <x:c r="E478" s="24" t="str">
        <x:v>Airwear 2.319,00 2.319,00 2.049,00 1.699,00 1.939,00 1.499,00</x:v>
      </x:c>
      <x:c r="F478" s="24" t="str">
        <x:v>TRIO SEM AR MARCAÇÃO CLEAN 1.199,00 999,00</x:v>
      </x:c>
      <x:c r="G478" s="24" t="n">
        <x:v>1299</x:v>
      </x:c>
      <x:c r="H478" s="24" t="n">
        <x:v>46118</x:v>
      </x:c>
      <x:c r="I478" s="24" t="n">
        <x:v>46234</x:v>
      </x:c>
      <x:c r="J478" s="24" t="str">
        <x:v>EXPIRADA</x:v>
      </x:c>
    </x:row>
    <x:row r="479">
      <x:c r="A479" s="24" t="n">
        <x:v>8</x:v>
      </x:c>
      <x:c r="B479" s="24" t="str">
        <x:v>Varilux Liberty</x:v>
      </x:c>
      <x:c r="C479" s="24" t="n">
        <x:v>466.5</x:v>
      </x:c>
      <x:c r="D479" s="24" t="n">
        <x:v>356.2</x:v>
      </x:c>
      <x:c r="E479" s="24" t="str">
        <x:v>Orma 2.019,00 2.019,00 1.749,00 1.399,00 1.639,00</x:v>
      </x:c>
      <x:c r="F479" s="24" t="str">
        <x:v>TRIO OPTIFOG SEM EASY CLEAN</x:v>
      </x:c>
      <x:c r="G479" s="24" t="n">
        <x:v>1199</x:v>
      </x:c>
      <x:c r="H479" s="24" t="n">
        <x:v>46118</x:v>
      </x:c>
      <x:c r="I479" s="24" t="n">
        <x:v>46234</x:v>
      </x:c>
      <x:c r="J479" s="24" t="str">
        <x:v>EXPIRADA</x:v>
      </x:c>
    </x:row>
    <x:row r="480">
      <x:c r="A480" s="24" t="n">
        <x:v>8</x:v>
      </x:c>
      <x:c r="B480" s="24" t="str">
        <x:v>Varilux Liberty</x:v>
      </x:c>
      <x:c r="C480" s="24" t="n">
        <x:v>500</x:v>
      </x:c>
      <x:c r="D480" s="24" t="n">
        <x:v>354.5</x:v>
      </x:c>
      <x:c r="E480" s="24" t="str">
        <x:v>Airwear 2.319,00 2.319,00 2.049,00 1.699,00 1.939,00</x:v>
      </x:c>
      <x:c r="F480" s="24" t="str">
        <x:v>TRIO OPTIFOG SEM EASY CLEAN 1.639,00 1.199,00 999,00</x:v>
      </x:c>
      <x:c r="G480" s="24" t="n">
        <x:v>1499</x:v>
      </x:c>
      <x:c r="H480" s="24" t="n">
        <x:v>46118</x:v>
      </x:c>
      <x:c r="I480" s="24" t="n">
        <x:v>46234</x:v>
      </x:c>
      <x:c r="J480" s="24" t="str">
        <x:v>EXPIRADA</x:v>
      </x:c>
    </x:row>
    <x:row r="481">
      <x:c r="A481" s="24" t="n">
        <x:v>8</x:v>
      </x:c>
      <x:c r="B481" s="24" t="str">
        <x:v>Varilux Liberty</x:v>
      </x:c>
      <x:c r="C481" s="24" t="n">
        <x:v>500</x:v>
      </x:c>
      <x:c r="D481" s="24" t="n">
        <x:v>189.1</x:v>
      </x:c>
      <x:c r="E481" s="24" t="str">
        <x:v>Airwear 2.319,00</x:v>
      </x:c>
      <x:c r="F481" s="24" t="str">
        <x:v>CRIZAL CRIZAL ROCK SAPPHIRE HR 2.019,00 2.019,00</x:v>
      </x:c>
      <x:c r="G481" s="24" t="n">
        <x:v>2319</x:v>
      </x:c>
      <x:c r="H481" s="24" t="n">
        <x:v>46118</x:v>
      </x:c>
      <x:c r="I481" s="24" t="n">
        <x:v>46234</x:v>
      </x:c>
      <x:c r="J481" s="24" t="str">
        <x:v>EXPIRADA</x:v>
      </x:c>
    </x:row>
    <x:row r="482">
      <x:c r="A482" s="24" t="n">
        <x:v>8</x:v>
      </x:c>
      <x:c r="B482" s="24" t="str">
        <x:v>Varilux Liberty</x:v>
      </x:c>
      <x:c r="C482" s="24" t="n">
        <x:v>564.3</x:v>
      </x:c>
      <x:c r="D482" s="24" t="n">
        <x:v>160.8</x:v>
      </x:c>
      <x:c r="E482" s="24" t="str">
        <x:v>Orma + Coloração padrão</x:v>
      </x:c>
      <x:c r="F482" s="24" t="str">
        <x:v>2.319,00 2.319,00 VERNIZ HC</x:v>
      </x:c>
      <x:c r="G482" s="24" t="n">
        <x:v>1179</x:v>
      </x:c>
      <x:c r="H482" s="24" t="n">
        <x:v>46118</x:v>
      </x:c>
      <x:c r="I482" s="24" t="n">
        <x:v>46234</x:v>
      </x:c>
      <x:c r="J482" s="24" t="str">
        <x:v>EXPIRADA</x:v>
      </x:c>
    </x:row>
    <x:row r="483">
      <x:c r="A483" s="24" t="n">
        <x:v>8</x:v>
      </x:c>
      <x:c r="B483" s="24" t="str">
        <x:v>Varilux Liberty</x:v>
      </x:c>
      <x:c r="C483" s="24" t="n">
        <x:v>578.2</x:v>
      </x:c>
      <x:c r="D483" s="24" t="n">
        <x:v>159.6</x:v>
      </x:c>
      <x:c r="E483" s="24" t="str">
        <x:v>+ Coloração especial</x:v>
      </x:c>
      <x:c r="F483" s="24" t="str">
        <x:v>2.319,00 2.319,00 VERNIZ HC 1.179,00</x:v>
      </x:c>
      <x:c r="G483" s="24" t="n">
        <x:v>1289</x:v>
      </x:c>
      <x:c r="H483" s="24" t="n">
        <x:v>46118</x:v>
      </x:c>
      <x:c r="I483" s="24" t="n">
        <x:v>46234</x:v>
      </x:c>
      <x:c r="J483" s="24" t="str">
        <x:v>EXPIRADA</x:v>
      </x:c>
    </x:row>
    <x:row r="484">
      <x:c r="A484" s="24" t="n">
        <x:v>8</x:v>
      </x:c>
      <x:c r="B484" s="24" t="str">
        <x:v>Varilux Liberty</x:v>
      </x:c>
      <x:c r="C484" s="24" t="n">
        <x:v>602.2</x:v>
      </x:c>
      <x:c r="D484" s="24" t="n">
        <x:v>158.8</x:v>
      </x:c>
      <x:c r="E484" s="24" t="str">
        <x:v>Airwear + Coloração padrão</x:v>
      </x:c>
      <x:c r="F484" s="24" t="str">
        <x:v>VERNIZ HC 1.179,00 1.289,00</x:v>
      </x:c>
      <x:c r="G484" s="24" t="n">
        <x:v>1479</x:v>
      </x:c>
      <x:c r="H484" s="24" t="n">
        <x:v>46118</x:v>
      </x:c>
      <x:c r="I484" s="24" t="n">
        <x:v>46234</x:v>
      </x:c>
      <x:c r="J484" s="24" t="str">
        <x:v>EXPIRADA</x:v>
      </x:c>
    </x:row>
    <x:row r="485">
      <x:c r="A485" s="24" t="n">
        <x:v>8</x:v>
      </x:c>
      <x:c r="B485" s="24" t="str">
        <x:v>Varilux Liberty</x:v>
      </x:c>
      <x:c r="C485" s="24" t="n">
        <x:v>616.1</x:v>
      </x:c>
      <x:c r="D485" s="24" t="n">
        <x:v>158.9</x:v>
      </x:c>
      <x:c r="E485" s="24" t="str">
        <x:v>+ Coloração especial</x:v>
      </x:c>
      <x:c r="F485" s="24" t="str">
        <x:v>VERNIZ HC 1.179,00 1.289,00 1.479,00</x:v>
      </x:c>
      <x:c r="G485" s="24" t="n">
        <x:v>1589</x:v>
      </x:c>
      <x:c r="H485" s="24" t="n">
        <x:v>46118</x:v>
      </x:c>
      <x:c r="I485" s="24" t="n">
        <x:v>46234</x:v>
      </x:c>
      <x:c r="J485" s="24" t="str">
        <x:v>EXPIRADA</x:v>
      </x:c>
    </x:row>
    <x:row r="486">
      <x:c r="A486" s="24" t="n">
        <x:v>9</x:v>
      </x:c>
      <x:c r="B486" s="24" t="str">
        <x:v>Varilux Activities</x:v>
      </x:c>
      <x:c r="C486" s="24" t="n">
        <x:v>168.8</x:v>
      </x:c>
      <x:c r="D486" s="24" t="n">
        <x:v>224.7</x:v>
      </x:c>
      <x:c r="E486" s="24" t="str">
        <x:v>Airwear 1.919,00</x:v>
      </x:c>
      <x:c r="F486" s="24" t="str">
        <x:v>CRIZAL CRIZAL ROCK SAPPHIRE HR 1.619,00 1.349,00 1.619,00</x:v>
      </x:c>
      <x:c r="G486" s="24" t="n">
        <x:v>1919</x:v>
      </x:c>
      <x:c r="H486" s="24" t="n">
        <x:v>46118</x:v>
      </x:c>
      <x:c r="I486" s="24" t="n">
        <x:v>46234</x:v>
      </x:c>
      <x:c r="J486" s="24" t="str">
        <x:v>EXPIRADA</x:v>
      </x:c>
    </x:row>
    <x:row r="487">
      <x:c r="A487" s="24" t="n">
        <x:v>9</x:v>
      </x:c>
      <x:c r="B487" s="24" t="str">
        <x:v>Varilux Activities</x:v>
      </x:c>
      <x:c r="C487" s="24" t="n">
        <x:v>144.5</x:v>
      </x:c>
      <x:c r="D487" s="24" t="n">
        <x:v>224.6</x:v>
      </x:c>
      <x:c r="E487" s="24" t="str">
        <x:v>Orma 1.619,00</x:v>
      </x:c>
      <x:c r="F487" s="24" t="str">
        <x:v>CRIZAL CRIZAL ROCK SAPPHIRE HR</x:v>
      </x:c>
      <x:c r="G487" s="24" t="n">
        <x:v>1619</x:v>
      </x:c>
      <x:c r="H487" s="24" t="n">
        <x:v>46118</x:v>
      </x:c>
      <x:c r="I487" s="24" t="n">
        <x:v>46234</x:v>
      </x:c>
      <x:c r="J487" s="24" t="str">
        <x:v>EXPIRADA</x:v>
      </x:c>
    </x:row>
    <x:row r="488">
      <x:c r="A488" s="24" t="n">
        <x:v>9</x:v>
      </x:c>
      <x:c r="B488" s="24" t="str">
        <x:v>Varilux Activities</x:v>
      </x:c>
      <x:c r="C488" s="24" t="n">
        <x:v>193.2</x:v>
      </x:c>
      <x:c r="D488" s="24" t="n">
        <x:v>222.6</x:v>
      </x:c>
      <x:c r="E488" s="24" t="str">
        <x:v>Stylis 1.67 3.909,00</x:v>
      </x:c>
      <x:c r="F488" s="24" t="str">
        <x:v>CRIZAL ROCK SAPPHIRE HR 1.619,00 1.349,00 1.619,00 1.919,00 1.649,00 1.919,00</x:v>
      </x:c>
      <x:c r="G488" s="24" t="n">
        <x:v>3909</x:v>
      </x:c>
      <x:c r="H488" s="24" t="n">
        <x:v>46118</x:v>
      </x:c>
      <x:c r="I488" s="24" t="n">
        <x:v>46234</x:v>
      </x:c>
      <x:c r="J488" s="24" t="str">
        <x:v>EXPIRADA</x:v>
      </x:c>
    </x:row>
    <x:row r="489">
      <x:c r="A489" s="24" t="n">
        <x:v>9</x:v>
      </x:c>
      <x:c r="B489" s="24" t="str">
        <x:v>Varilux Activities</x:v>
      </x:c>
      <x:c r="C489" s="24" t="n">
        <x:v>168.8</x:v>
      </x:c>
      <x:c r="D489" s="24" t="n">
        <x:v>180.6</x:v>
      </x:c>
      <x:c r="E489" s="24" t="str">
        <x:v>Airwear</x:v>
      </x:c>
      <x:c r="F489" s="24" t="str">
        <x:v>CRIZAL CRIZAL PREVENCIA SAPPHIRE 1.619,00 1.619,00</x:v>
      </x:c>
      <x:c r="G489" s="24" t="n">
        <x:v>1919</x:v>
      </x:c>
      <x:c r="H489" s="24" t="n">
        <x:v>46118</x:v>
      </x:c>
      <x:c r="I489" s="24" t="n">
        <x:v>46234</x:v>
      </x:c>
      <x:c r="J489" s="24" t="str">
        <x:v>EXPIRADA</x:v>
      </x:c>
    </x:row>
    <x:row r="490">
      <x:c r="A490" s="24" t="n">
        <x:v>9</x:v>
      </x:c>
      <x:c r="B490" s="24" t="str">
        <x:v>Varilux Activities</x:v>
      </x:c>
      <x:c r="C490" s="24" t="n">
        <x:v>144.5</x:v>
      </x:c>
      <x:c r="D490" s="24" t="n">
        <x:v>181.5</x:v>
      </x:c>
      <x:c r="E490" s="24" t="str">
        <x:v>Orma</x:v>
      </x:c>
      <x:c r="F490" s="24" t="str">
        <x:v>CRIZAL CRIZAL PREVENCIA SAPPHIRE</x:v>
      </x:c>
      <x:c r="G490" s="24" t="n">
        <x:v>1619</x:v>
      </x:c>
      <x:c r="H490" s="24" t="n">
        <x:v>46118</x:v>
      </x:c>
      <x:c r="I490" s="24" t="n">
        <x:v>46234</x:v>
      </x:c>
      <x:c r="J490" s="24" t="str">
        <x:v>EXPIRADA</x:v>
      </x:c>
    </x:row>
    <x:row r="491">
      <x:c r="A491" s="24" t="n">
        <x:v>9</x:v>
      </x:c>
      <x:c r="B491" s="24" t="str">
        <x:v>Varilux Activities</x:v>
      </x:c>
      <x:c r="C491" s="24" t="n">
        <x:v>193.2</x:v>
      </x:c>
      <x:c r="D491" s="24" t="n">
        <x:v>179.5</x:v>
      </x:c>
      <x:c r="E491" s="24" t="str">
        <x:v>Stylis 1.67</x:v>
      </x:c>
      <x:c r="F491" s="24" t="str">
        <x:v>CRIZAL CRIZAL PREVENCIA SAPPHIRE 1.619,00 1.619,00 1.919,00 1.919,00</x:v>
      </x:c>
      <x:c r="G491" s="24" t="n">
        <x:v>3909</x:v>
      </x:c>
      <x:c r="H491" s="24" t="n">
        <x:v>46118</x:v>
      </x:c>
      <x:c r="I491" s="24" t="n">
        <x:v>46234</x:v>
      </x:c>
      <x:c r="J491" s="24" t="str">
        <x:v>EXPIRADA</x:v>
      </x:c>
    </x:row>
    <x:row r="492">
      <x:c r="A492" s="24" t="n">
        <x:v>9</x:v>
      </x:c>
      <x:c r="B492" s="24" t="str">
        <x:v>Varilux Activities</x:v>
      </x:c>
      <x:c r="C492" s="24" t="n">
        <x:v>168.8</x:v>
      </x:c>
      <x:c r="D492" s="24" t="n">
        <x:v>263.4</x:v>
      </x:c>
      <x:c r="E492" s="24" t="str">
        <x:v>Airwear 1.919,00 1.919,00</x:v>
      </x:c>
      <x:c r="F492" s="24" t="str">
        <x:v>CRIZAL CRIZAL CRIZAL ROCK HR EASY PRO 1.349,00 999,00 1.619,00</x:v>
      </x:c>
      <x:c r="G492" s="24" t="n">
        <x:v>1649</x:v>
      </x:c>
      <x:c r="H492" s="24" t="n">
        <x:v>46118</x:v>
      </x:c>
      <x:c r="I492" s="24" t="n">
        <x:v>46234</x:v>
      </x:c>
      <x:c r="J492" s="24" t="str">
        <x:v>EXPIRADA</x:v>
      </x:c>
    </x:row>
    <x:row r="493">
      <x:c r="A493" s="24" t="n">
        <x:v>9</x:v>
      </x:c>
      <x:c r="B493" s="24" t="str">
        <x:v>Varilux Activities</x:v>
      </x:c>
      <x:c r="C493" s="24" t="n">
        <x:v>144.5</x:v>
      </x:c>
      <x:c r="D493" s="24" t="n">
        <x:v>263.4</x:v>
      </x:c>
      <x:c r="E493" s="24" t="str">
        <x:v>Orma 1.619,00 1.619,00</x:v>
      </x:c>
      <x:c r="F493" s="24" t="str">
        <x:v>CRIZAL CRIZAL CRIZAL ROCK HR EASY PRO</x:v>
      </x:c>
      <x:c r="G493" s="24" t="n">
        <x:v>1349</x:v>
      </x:c>
      <x:c r="H493" s="24" t="n">
        <x:v>46118</x:v>
      </x:c>
      <x:c r="I493" s="24" t="n">
        <x:v>46234</x:v>
      </x:c>
      <x:c r="J493" s="24" t="str">
        <x:v>EXPIRADA</x:v>
      </x:c>
    </x:row>
    <x:row r="494">
      <x:c r="A494" s="24" t="n">
        <x:v>9</x:v>
      </x:c>
      <x:c r="B494" s="24" t="str">
        <x:v>Varilux Activities</x:v>
      </x:c>
      <x:c r="C494" s="24" t="n">
        <x:v>193.2</x:v>
      </x:c>
      <x:c r="D494" s="24" t="n">
        <x:v>263.2</x:v>
      </x:c>
      <x:c r="E494" s="24" t="str">
        <x:v>Stylis 1.67 3.909,00 3.909,00</x:v>
      </x:c>
      <x:c r="F494" s="24" t="str">
        <x:v>ROCK HR EASY PRO 1.349,00 999,00 1.619,00 1.649,00 1.299,00 1.919,00</x:v>
      </x:c>
      <x:c r="G494" s="24" t="n">
        <x:v>3639</x:v>
      </x:c>
      <x:c r="H494" s="24" t="n">
        <x:v>46118</x:v>
      </x:c>
      <x:c r="I494" s="24" t="n">
        <x:v>46234</x:v>
      </x:c>
      <x:c r="J494" s="24" t="str">
        <x:v>EXPIRADA</x:v>
      </x:c>
    </x:row>
    <x:row r="495">
      <x:c r="A495" s="24" t="n">
        <x:v>9</x:v>
      </x:c>
      <x:c r="B495" s="24" t="str">
        <x:v>Varilux Activities</x:v>
      </x:c>
      <x:c r="C495" s="24" t="n">
        <x:v>168.8</x:v>
      </x:c>
      <x:c r="D495" s="24" t="n">
        <x:v>302.7</x:v>
      </x:c>
      <x:c r="E495" s="24" t="str">
        <x:v>Airwear 1.919,00 1.919,00 1.649,00</x:v>
      </x:c>
      <x:c r="F495" s="24" t="str">
        <x:v>CRIZAL CRIZAL OPTIFOG ROCK EASY PRO 1.349,00 999,00 1.239,00</x:v>
      </x:c>
      <x:c r="G495" s="24" t="n">
        <x:v>1299</x:v>
      </x:c>
      <x:c r="H495" s="24" t="n">
        <x:v>46118</x:v>
      </x:c>
      <x:c r="I495" s="24" t="n">
        <x:v>46234</x:v>
      </x:c>
      <x:c r="J495" s="24" t="str">
        <x:v>EXPIRADA</x:v>
      </x:c>
    </x:row>
    <x:row r="496">
      <x:c r="A496" s="24" t="n">
        <x:v>9</x:v>
      </x:c>
      <x:c r="B496" s="24" t="str">
        <x:v>Varilux Activities</x:v>
      </x:c>
      <x:c r="C496" s="24" t="n">
        <x:v>144.5</x:v>
      </x:c>
      <x:c r="D496" s="24" t="n">
        <x:v>304.7</x:v>
      </x:c>
      <x:c r="E496" s="24" t="str">
        <x:v>Orma 1.619,00 1.619,00 1.349,00</x:v>
      </x:c>
      <x:c r="F496" s="24" t="str">
        <x:v>CRIZAL CRIZAL OPTIFOG ROCK EASY PRO</x:v>
      </x:c>
      <x:c r="G496" s="24" t="n">
        <x:v>999</x:v>
      </x:c>
      <x:c r="H496" s="24" t="n">
        <x:v>46118</x:v>
      </x:c>
      <x:c r="I496" s="24" t="n">
        <x:v>46234</x:v>
      </x:c>
      <x:c r="J496" s="24" t="str">
        <x:v>EXPIRADA</x:v>
      </x:c>
    </x:row>
    <x:row r="497">
      <x:c r="A497" s="24" t="n">
        <x:v>9</x:v>
      </x:c>
      <x:c r="B497" s="24" t="str">
        <x:v>Varilux Activities</x:v>
      </x:c>
      <x:c r="C497" s="24" t="n">
        <x:v>193.2</x:v>
      </x:c>
      <x:c r="D497" s="24" t="n">
        <x:v>302</x:v>
      </x:c>
      <x:c r="E497" s="24" t="str">
        <x:v>Stylis 1.67 3.909,00 3.909,00 3.639,00</x:v>
      </x:c>
      <x:c r="F497" s="24" t="str">
        <x:v>OPTIFOG ROCK EASY PRO 1.349,00 999,00 1.239,00 1.649,00 1.299,00 1.539,00</x:v>
      </x:c>
      <x:c r="G497" s="24" t="n">
        <x:v>3289</x:v>
      </x:c>
      <x:c r="H497" s="24" t="n">
        <x:v>46118</x:v>
      </x:c>
      <x:c r="I497" s="24" t="n">
        <x:v>46234</x:v>
      </x:c>
      <x:c r="J497" s="24" t="str">
        <x:v>EXPIRADA</x:v>
      </x:c>
    </x:row>
    <x:row r="498">
      <x:c r="A498" s="24" t="n">
        <x:v>9</x:v>
      </x:c>
      <x:c r="B498" s="24" t="str">
        <x:v>Varilux Activities</x:v>
      </x:c>
      <x:c r="C498" s="24" t="n">
        <x:v>168.8</x:v>
      </x:c>
      <x:c r="D498" s="24" t="n">
        <x:v>342</x:v>
      </x:c>
      <x:c r="E498" s="24" t="str">
        <x:v>Airwear 1.919,00 1.919,00 1.649,00 1.299,00</x:v>
      </x:c>
      <x:c r="F498" s="24" t="str">
        <x:v>TRIO CRIZAL OPTIFOG EASY CLEAN PRO 999,00 1.239,00 799,00</x:v>
      </x:c>
      <x:c r="G498" s="24" t="n">
        <x:v>1539</x:v>
      </x:c>
      <x:c r="H498" s="24" t="n">
        <x:v>46118</x:v>
      </x:c>
      <x:c r="I498" s="24" t="n">
        <x:v>46234</x:v>
      </x:c>
      <x:c r="J498" s="24" t="str">
        <x:v>EXPIRADA</x:v>
      </x:c>
    </x:row>
    <x:row r="499">
      <x:c r="A499" s="24" t="n">
        <x:v>9</x:v>
      </x:c>
      <x:c r="B499" s="24" t="str">
        <x:v>Varilux Activities</x:v>
      </x:c>
      <x:c r="C499" s="24" t="n">
        <x:v>144.5</x:v>
      </x:c>
      <x:c r="D499" s="24" t="n">
        <x:v>338.8</x:v>
      </x:c>
      <x:c r="E499" s="24" t="str">
        <x:v>Orma 1.619,00 1.619,00 1.349,00 999,00</x:v>
      </x:c>
      <x:c r="F499" s="24" t="str">
        <x:v>TRIO CRIZAL OPTIFOG EASY EASY PRO</x:v>
      </x:c>
      <x:c r="G499" s="24" t="n">
        <x:v>1239</x:v>
      </x:c>
      <x:c r="H499" s="24" t="n">
        <x:v>46118</x:v>
      </x:c>
      <x:c r="I499" s="24" t="n">
        <x:v>46234</x:v>
      </x:c>
      <x:c r="J499" s="24" t="str">
        <x:v>EXPIRADA</x:v>
      </x:c>
    </x:row>
    <x:row r="500">
      <x:c r="A500" s="24" t="n">
        <x:v>9</x:v>
      </x:c>
      <x:c r="B500" s="24" t="str">
        <x:v>Varilux Activities</x:v>
      </x:c>
      <x:c r="C500" s="24" t="n">
        <x:v>193.2</x:v>
      </x:c>
      <x:c r="D500" s="24" t="n">
        <x:v>341.7</x:v>
      </x:c>
      <x:c r="E500" s="24" t="str">
        <x:v>Stylis 1.67 3.909,00 3.909,00 3.639,00 3.289,00</x:v>
      </x:c>
      <x:c r="F500" s="24" t="str">
        <x:v>OPTIFOG EASY CLEAN PRO 999,00 1.239,00 799,00 1.299,00 1.539,00 1.099,00</x:v>
      </x:c>
      <x:c r="G500" s="24" t="n">
        <x:v>3529</x:v>
      </x:c>
      <x:c r="H500" s="24" t="n">
        <x:v>46118</x:v>
      </x:c>
      <x:c r="I500" s="24" t="n">
        <x:v>46234</x:v>
      </x:c>
      <x:c r="J500" s="24" t="str">
        <x:v>EXPIRADA</x:v>
      </x:c>
    </x:row>
    <x:row r="501">
      <x:c r="A501" s="24" t="n">
        <x:v>9</x:v>
      </x:c>
      <x:c r="B501" s="24" t="str">
        <x:v>Varilux Activities</x:v>
      </x:c>
      <x:c r="C501" s="24" t="n">
        <x:v>168.8</x:v>
      </x:c>
      <x:c r="D501" s="24" t="n">
        <x:v>378.6</x:v>
      </x:c>
      <x:c r="E501" s="24" t="str">
        <x:v>Airwear 1.919,00 1.919,00 1.649,00 1.299,00 1.539,00</x:v>
      </x:c>
      <x:c r="F501" s="24" t="str">
        <x:v>C TRIO VERNIZ OPTIFOG EASY CLEAN 1.239,00 799,00 599,00</x:v>
      </x:c>
      <x:c r="G501" s="24" t="n">
        <x:v>1099</x:v>
      </x:c>
      <x:c r="H501" s="24" t="n">
        <x:v>46118</x:v>
      </x:c>
      <x:c r="I501" s="24" t="n">
        <x:v>46234</x:v>
      </x:c>
      <x:c r="J501" s="24" t="str">
        <x:v>EXPIRADA</x:v>
      </x:c>
    </x:row>
    <x:row r="502">
      <x:c r="A502" s="24" t="n">
        <x:v>9</x:v>
      </x:c>
      <x:c r="B502" s="24" t="str">
        <x:v>Varilux Activities</x:v>
      </x:c>
      <x:c r="C502" s="24" t="n">
        <x:v>144.5</x:v>
      </x:c>
      <x:c r="D502" s="24" t="n">
        <x:v>380.2</x:v>
      </x:c>
      <x:c r="E502" s="24" t="str">
        <x:v>Orma 1.619,00 1.619,00 1.349,00 999,00 1.239,00</x:v>
      </x:c>
      <x:c r="F502" s="24" t="str">
        <x:v>C TRIO VERNIZ OPTIFOG EASY CLEAN</x:v>
      </x:c>
      <x:c r="G502" s="24" t="n">
        <x:v>799</x:v>
      </x:c>
      <x:c r="H502" s="24" t="n">
        <x:v>46118</x:v>
      </x:c>
      <x:c r="I502" s="24" t="n">
        <x:v>46234</x:v>
      </x:c>
      <x:c r="J502" s="24" t="str">
        <x:v>EXPIRADA</x:v>
      </x:c>
    </x:row>
    <x:row r="503">
      <x:c r="A503" s="24" t="n">
        <x:v>9</x:v>
      </x:c>
      <x:c r="B503" s="24" t="str">
        <x:v>Varilux Activities</x:v>
      </x:c>
      <x:c r="C503" s="24" t="n">
        <x:v>168.8</x:v>
      </x:c>
      <x:c r="D503" s="24" t="n">
        <x:v>417.2</x:v>
      </x:c>
      <x:c r="E503" s="24" t="str">
        <x:v>Airwear 1.919,00 1.919,00 1.649,00 1.299,00 1.539,00 1.099,00</x:v>
      </x:c>
      <x:c r="F503" s="24" t="str">
        <x:v>CINZA C TRIO VERNIZ HC CLEAN 799,00 599,00</x:v>
      </x:c>
      <x:c r="G503" s="24" t="n">
        <x:v>899</x:v>
      </x:c>
      <x:c r="H503" s="24" t="n">
        <x:v>46118</x:v>
      </x:c>
      <x:c r="I503" s="24" t="n">
        <x:v>46234</x:v>
      </x:c>
      <x:c r="J503" s="24" t="str">
        <x:v>EXPIRADA</x:v>
      </x:c>
    </x:row>
    <x:row r="504">
      <x:c r="A504" s="24" t="n">
        <x:v>9</x:v>
      </x:c>
      <x:c r="B504" s="24" t="str">
        <x:v>Varilux Activities</x:v>
      </x:c>
      <x:c r="C504" s="24" t="n">
        <x:v>144.5</x:v>
      </x:c>
      <x:c r="D504" s="24" t="n">
        <x:v>417.9</x:v>
      </x:c>
      <x:c r="E504" s="24" t="str">
        <x:v>Orma 1.619,00 1.619,00 1.349,00 999,00 1.239,00 799,00</x:v>
      </x:c>
      <x:c r="F504" s="24" t="str">
        <x:v>LEGENDA DE CINZA C TRIO VERNIZ HC CLEAN</x:v>
      </x:c>
      <x:c r="G504" s="24" t="n">
        <x:v>599</x:v>
      </x:c>
      <x:c r="H504" s="24" t="n">
        <x:v>46118</x:v>
      </x:c>
      <x:c r="I504" s="24" t="n">
        <x:v>46234</x:v>
      </x:c>
      <x:c r="J504" s="24" t="str">
        <x:v>EXPIRADA</x:v>
      </x:c>
    </x:row>
    <x:row r="505">
      <x:c r="A505" s="24" t="n">
        <x:v>9</x:v>
      </x:c>
      <x:c r="B505" s="24" t="str">
        <x:v>Varilux Activities</x:v>
      </x:c>
      <x:c r="C505" s="24" t="n">
        <x:v>475</x:v>
      </x:c>
      <x:c r="D505" s="24" t="n">
        <x:v>336.8</x:v>
      </x:c>
      <x:c r="E505" s="24" t="str">
        <x:v>Airwear 1.999,00 1.999,00 1.729,00 1.379,00</x:v>
      </x:c>
      <x:c r="F505" s="24" t="str">
        <x:v>- - - TRIO CRIZAL OPTIFOG EASY EASY PRO</x:v>
      </x:c>
      <x:c r="G505" s="24" t="n">
        <x:v>1619</x:v>
      </x:c>
      <x:c r="H505" s="24" t="n">
        <x:v>46118</x:v>
      </x:c>
      <x:c r="I505" s="24" t="n">
        <x:v>46234</x:v>
      </x:c>
      <x:c r="J505" s="24" t="str">
        <x:v>EXPIRADA</x:v>
      </x:c>
    </x:row>
    <x:row r="506">
      <x:c r="A506" s="24" t="n">
        <x:v>9</x:v>
      </x:c>
      <x:c r="B506" s="24" t="str">
        <x:v>Varilux Activities</x:v>
      </x:c>
      <x:c r="C506" s="24" t="n">
        <x:v>491</x:v>
      </x:c>
      <x:c r="D506" s="24" t="n">
        <x:v>336.5</x:v>
      </x:c>
      <x:c r="E506" s="24" t="str">
        <x:v>3.099,00 3.099,00 2.829,00 2.479,00</x:v>
      </x:c>
      <x:c r="F506" s="24" t="str">
        <x:v>TRIO CRIZAL OPTIFOG EASY CLEAN EASY PRO 1.379,00 1.619,00 -</x:v>
      </x:c>
      <x:c r="G506" s="24" t="n">
        <x:v>2719</x:v>
      </x:c>
      <x:c r="H506" s="24" t="n">
        <x:v>46118</x:v>
      </x:c>
      <x:c r="I506" s="24" t="n">
        <x:v>46234</x:v>
      </x:c>
      <x:c r="J506" s="24" t="str">
        <x:v>EXPIRADA</x:v>
      </x:c>
    </x:row>
    <x:row r="507">
      <x:c r="A507" s="24" t="n">
        <x:v>9</x:v>
      </x:c>
      <x:c r="B507" s="24" t="str">
        <x:v>Varilux Activities</x:v>
      </x:c>
      <x:c r="C507" s="24" t="n">
        <x:v>475</x:v>
      </x:c>
      <x:c r="D507" s="24" t="n">
        <x:v>299.1</x:v>
      </x:c>
      <x:c r="E507" s="24" t="str">
        <x:v>Airwear 1.999,00 1.999,00 1.729,00</x:v>
      </x:c>
      <x:c r="F507" s="24" t="str">
        <x:v>- - - CRIZAL CRIZAL OPTIFOG ROCK EASY PRO</x:v>
      </x:c>
      <x:c r="G507" s="24" t="n">
        <x:v>1379</x:v>
      </x:c>
      <x:c r="H507" s="24" t="n">
        <x:v>46118</x:v>
      </x:c>
      <x:c r="I507" s="24" t="n">
        <x:v>46234</x:v>
      </x:c>
      <x:c r="J507" s="24" t="str">
        <x:v>EXPIRADA</x:v>
      </x:c>
    </x:row>
    <x:row r="508">
      <x:c r="A508" s="24" t="n">
        <x:v>9</x:v>
      </x:c>
      <x:c r="B508" s="24" t="str">
        <x:v>Varilux Activities</x:v>
      </x:c>
      <x:c r="C508" s="24" t="n">
        <x:v>491</x:v>
      </x:c>
      <x:c r="D508" s="24" t="n">
        <x:v>298.1</x:v>
      </x:c>
      <x:c r="E508" s="24" t="str">
        <x:v>3.099,00 3.099,00 2.829,00</x:v>
      </x:c>
      <x:c r="F508" s="24" t="str">
        <x:v>- CRIZAL CRIZAL OPTIFOG ROCK EASY PRO 1.729,00 1.379,00 1.619,00</x:v>
      </x:c>
      <x:c r="G508" s="24" t="n">
        <x:v>2479</x:v>
      </x:c>
      <x:c r="H508" s="24" t="n">
        <x:v>46118</x:v>
      </x:c>
      <x:c r="I508" s="24" t="n">
        <x:v>46234</x:v>
      </x:c>
      <x:c r="J508" s="24" t="str">
        <x:v>EXPIRADA</x:v>
      </x:c>
    </x:row>
    <x:row r="509">
      <x:c r="A509" s="24" t="n">
        <x:v>9</x:v>
      </x:c>
      <x:c r="B509" s="24" t="str">
        <x:v>Varilux Activities</x:v>
      </x:c>
      <x:c r="C509" s="24" t="n">
        <x:v>475</x:v>
      </x:c>
      <x:c r="D509" s="24" t="n">
        <x:v>260.7</x:v>
      </x:c>
      <x:c r="E509" s="24" t="str">
        <x:v>Airwear 1.999,00 1.999,00</x:v>
      </x:c>
      <x:c r="F509" s="24" t="str">
        <x:v>2.379,00 - - CRIZAL CRIZAL CRIZAL ROCK HR EASY</x:v>
      </x:c>
      <x:c r="G509" s="24" t="n">
        <x:v>1729</x:v>
      </x:c>
      <x:c r="H509" s="24" t="n">
        <x:v>46118</x:v>
      </x:c>
      <x:c r="I509" s="24" t="n">
        <x:v>46234</x:v>
      </x:c>
      <x:c r="J509" s="24" t="str">
        <x:v>EXPIRADA</x:v>
      </x:c>
    </x:row>
    <x:row r="510">
      <x:c r="A510" s="24" t="n">
        <x:v>9</x:v>
      </x:c>
      <x:c r="B510" s="24" t="str">
        <x:v>Varilux Activities</x:v>
      </x:c>
      <x:c r="C510" s="24" t="n">
        <x:v>491</x:v>
      </x:c>
      <x:c r="D510" s="24" t="n">
        <x:v>260.4</x:v>
      </x:c>
      <x:c r="E510" s="24" t="str">
        <x:v>3.099,00 3.099,00</x:v>
      </x:c>
      <x:c r="F510" s="24" t="str">
        <x:v>- CRIZAL CRIZAL CRIZAL ROCK HR EASY 1.999,00 1.729,00 1.379,00</x:v>
      </x:c>
      <x:c r="G510" s="24" t="n">
        <x:v>2829</x:v>
      </x:c>
      <x:c r="H510" s="24" t="n">
        <x:v>46118</x:v>
      </x:c>
      <x:c r="I510" s="24" t="n">
        <x:v>46234</x:v>
      </x:c>
      <x:c r="J510" s="24" t="str">
        <x:v>EXPIRADA</x:v>
      </x:c>
    </x:row>
    <x:row r="511">
      <x:c r="A511" s="24" t="n">
        <x:v>9</x:v>
      </x:c>
      <x:c r="B511" s="24" t="str">
        <x:v>Varilux Activities</x:v>
      </x:c>
      <x:c r="C511" s="24" t="n">
        <x:v>475</x:v>
      </x:c>
      <x:c r="D511" s="24" t="n">
        <x:v>219.3</x:v>
      </x:c>
      <x:c r="E511" s="24" t="str">
        <x:v>Airwear 1.999,00</x:v>
      </x:c>
      <x:c r="F511" s="24" t="str">
        <x:v>2.379,00 - - CRIZAL CRIZAL CRIZAL ROCK PREVENCIA SAPPHIRE HR</x:v>
      </x:c>
      <x:c r="G511" s="24" t="n">
        <x:v>1999</x:v>
      </x:c>
      <x:c r="H511" s="24" t="n">
        <x:v>46118</x:v>
      </x:c>
      <x:c r="I511" s="24" t="n">
        <x:v>46234</x:v>
      </x:c>
      <x:c r="J511" s="24" t="str">
        <x:v>EXPIRADA</x:v>
      </x:c>
    </x:row>
    <x:row r="512">
      <x:c r="A512" s="24" t="n">
        <x:v>9</x:v>
      </x:c>
      <x:c r="B512" s="24" t="str">
        <x:v>Varilux Activities</x:v>
      </x:c>
      <x:c r="C512" s="24" t="n">
        <x:v>491</x:v>
      </x:c>
      <x:c r="D512" s="24" t="n">
        <x:v>218.2</x:v>
      </x:c>
      <x:c r="E512" s="24" t="str">
        <x:v>3.099,00</x:v>
      </x:c>
      <x:c r="F512" s="24" t="str">
        <x:v>CRIZAL CRIZAL CRIZAL ROCK PREVENCIA SAPPHIRE HR 1.999,00 1.999,00 1.729,00</x:v>
      </x:c>
      <x:c r="G512" s="24" t="n">
        <x:v>3099</x:v>
      </x:c>
      <x:c r="H512" s="24" t="n">
        <x:v>46118</x:v>
      </x:c>
      <x:c r="I512" s="24" t="n">
        <x:v>46234</x:v>
      </x:c>
      <x:c r="J512" s="24" t="str">
        <x:v>EXPIRADA</x:v>
      </x:c>
    </x:row>
    <x:row r="513">
      <x:c r="A513" s="24" t="n">
        <x:v>9</x:v>
      </x:c>
      <x:c r="B513" s="24" t="str">
        <x:v>Varilux Activities</x:v>
      </x:c>
      <x:c r="C513" s="24" t="n">
        <x:v>475</x:v>
      </x:c>
      <x:c r="D513" s="24" t="n">
        <x:v>176.2</x:v>
      </x:c>
      <x:c r="E513" s="24" t="str">
        <x:v>Airwear</x:v>
      </x:c>
      <x:c r="F513" s="24" t="str">
        <x:v>- cinza/marrom CRIZAL CRIZAL PREVENCIA SAPPHIRE</x:v>
      </x:c>
      <x:c r="G513" s="24" t="n">
        <x:v>1999</x:v>
      </x:c>
      <x:c r="H513" s="24" t="n">
        <x:v>46118</x:v>
      </x:c>
      <x:c r="I513" s="24" t="n">
        <x:v>46234</x:v>
      </x:c>
      <x:c r="J513" s="24" t="str">
        <x:v>EXPIRADA</x:v>
      </x:c>
    </x:row>
    <x:row r="514">
      <x:c r="A514" s="24" t="n">
        <x:v>9</x:v>
      </x:c>
      <x:c r="B514" s="24" t="str">
        <x:v>Varilux Activities</x:v>
      </x:c>
      <x:c r="C514" s="24" t="n">
        <x:v>491</x:v>
      </x:c>
      <x:c r="D514" s="24" t="n">
        <x:v>174.7</x:v>
      </x:c>
      <x:c r="E514" s="24"/>
      <x:c r="F514" s="24" t="str">
        <x:v>- cinza/marrom CRIZAL CRIZAL PREVENCIA SAPPHIRE 1.999,00 1.999,00</x:v>
      </x:c>
      <x:c r="G514" s="24" t="n">
        <x:v>3099</x:v>
      </x:c>
      <x:c r="H514" s="24" t="n">
        <x:v>46118</x:v>
      </x:c>
      <x:c r="I514" s="24" t="n">
        <x:v>46234</x:v>
      </x:c>
      <x:c r="J514" s="24" t="str">
        <x:v>EXPIRADA</x:v>
      </x:c>
    </x:row>
    <x:row r="515">
      <x:c r="A515" s="24" t="n">
        <x:v>9</x:v>
      </x:c>
      <x:c r="B515" s="24" t="str">
        <x:v>Varilux Activities</x:v>
      </x:c>
      <x:c r="C515" s="24" t="n">
        <x:v>522.1</x:v>
      </x:c>
      <x:c r="D515" s="24" t="n">
        <x:v>334.8</x:v>
      </x:c>
      <x:c r="E515" s="24" t="str">
        <x:v>Xperio cinza/marrom - 2.329,00 - -</x:v>
      </x:c>
      <x:c r="F515" s="24" t="str">
        <x:v>OPTIFOG EASY EASY PRO 1.379,00 1.619,00 - 2.479,00 2.719,00 -</x:v>
      </x:c>
      <x:c r="G515" s="24" t="n">
        <x:v>2309</x:v>
      </x:c>
      <x:c r="H515" s="24" t="n">
        <x:v>46118</x:v>
      </x:c>
      <x:c r="I515" s="24" t="n">
        <x:v>46234</x:v>
      </x:c>
      <x:c r="J515" s="24" t="str">
        <x:v>EXPIRADA</x:v>
      </x:c>
    </x:row>
    <x:row r="516">
      <x:c r="A516" s="24" t="n">
        <x:v>9</x:v>
      </x:c>
      <x:c r="B516" s="24" t="str">
        <x:v>Varilux Activities</x:v>
      </x:c>
      <x:c r="C516" s="24" t="n">
        <x:v>522.1</x:v>
      </x:c>
      <x:c r="D516" s="24" t="n">
        <x:v>413.7</x:v>
      </x:c>
      <x:c r="E516" s="24" t="str">
        <x:v>Xperio cinza/marrom - 2.329,00 - - 2.309,00 -</x:v>
      </x:c>
      <x:c r="F516" s="24" t="str">
        <x:v>TRIO VERNIZ HC CLEAN - - - -</x:v>
      </x:c>
      <x:c r="G516" s="24" t="n">
        <x:v>1669</x:v>
      </x:c>
      <x:c r="H516" s="24" t="n">
        <x:v>46118</x:v>
      </x:c>
      <x:c r="I516" s="24" t="n">
        <x:v>46234</x:v>
      </x:c>
      <x:c r="J516" s="24" t="str">
        <x:v>EXPIRADA</x:v>
      </x:c>
    </x:row>
    <x:row r="517">
      <x:c r="A517" s="24" t="n">
        <x:v>9</x:v>
      </x:c>
      <x:c r="B517" s="24" t="str">
        <x:v>Varilux Activities</x:v>
      </x:c>
      <x:c r="C517" s="24" t="n">
        <x:v>522.1</x:v>
      </x:c>
      <x:c r="D517" s="24" t="n">
        <x:v>219.4</x:v>
      </x:c>
      <x:c r="E517" s="24" t="str">
        <x:v>Xperio cinza/marrom -</x:v>
      </x:c>
      <x:c r="F517" s="24" t="str">
        <x:v>ROCK PREVENCIA SAPPHIRE HR 1.999,00 1.999,00 1.729,00 3.099,00 3.099,00 2.829,00</x:v>
      </x:c>
      <x:c r="G517" s="24" t="n">
        <x:v>2329</x:v>
      </x:c>
      <x:c r="H517" s="24" t="n">
        <x:v>46118</x:v>
      </x:c>
      <x:c r="I517" s="24" t="n">
        <x:v>46234</x:v>
      </x:c>
      <x:c r="J517" s="24" t="str">
        <x:v>EXPIRADA</x:v>
      </x:c>
    </x:row>
    <x:row r="518">
      <x:c r="A518" s="24" t="n">
        <x:v>9</x:v>
      </x:c>
      <x:c r="B518" s="24" t="str">
        <x:v>Varilux Activities</x:v>
      </x:c>
      <x:c r="C518" s="24" t="n">
        <x:v>364.2</x:v>
      </x:c>
      <x:c r="D518" s="24" t="n">
        <x:v>378.9</x:v>
      </x:c>
      <x:c r="E518" s="24" t="str">
        <x:v>Orma DAY &amp; NIGHT - - - - -</x:v>
      </x:c>
      <x:c r="F518" s="24" t="str">
        <x:v>1.099,00 899,00 3.529,00 - - TRIO VERNIZ OPTIFOG EASY CLEAN</x:v>
      </x:c>
      <x:c r="G518" s="24" t="n">
        <x:v>929</x:v>
      </x:c>
      <x:c r="H518" s="24" t="n">
        <x:v>46118</x:v>
      </x:c>
      <x:c r="I518" s="24" t="n">
        <x:v>46234</x:v>
      </x:c>
      <x:c r="J518" s="24" t="str">
        <x:v>EXPIRADA</x:v>
      </x:c>
    </x:row>
    <x:row r="519">
      <x:c r="A519" s="24" t="n">
        <x:v>9</x:v>
      </x:c>
      <x:c r="B519" s="24" t="str">
        <x:v>Varilux Activities</x:v>
      </x:c>
      <x:c r="C519" s="24" t="n">
        <x:v>401.6</x:v>
      </x:c>
      <x:c r="D519" s="24" t="n">
        <x:v>221.2</x:v>
      </x:c>
      <x:c r="E519" s="24" t="str">
        <x:v>Airwear + Xperio cinza/marrom -</x:v>
      </x:c>
      <x:c r="F519" s="24" t="str">
        <x:v>CRIZAL CRIZAL ROCK SAPPHIRE HR - - -</x:v>
      </x:c>
      <x:c r="G519" s="24" t="n">
        <x:v>2379</x:v>
      </x:c>
      <x:c r="H519" s="24" t="n">
        <x:v>46118</x:v>
      </x:c>
      <x:c r="I519" s="24" t="n">
        <x:v>46234</x:v>
      </x:c>
      <x:c r="J519" s="24" t="str">
        <x:v>EXPIRADA</x:v>
      </x:c>
    </x:row>
    <x:row r="520">
      <x:c r="A520" s="24" t="n">
        <x:v>9</x:v>
      </x:c>
      <x:c r="B520" s="24" t="str">
        <x:v>Varilux Activities</x:v>
      </x:c>
      <x:c r="C520" s="24" t="n">
        <x:v>401.6</x:v>
      </x:c>
      <x:c r="D520" s="24" t="n">
        <x:v>417.8</x:v>
      </x:c>
      <x:c r="E520" s="24" t="str">
        <x:v>Airwear + Xperio cinza/marrom - 2.379,00 - - - -</x:v>
      </x:c>
      <x:c r="F520" s="24" t="str">
        <x:v>TRIO VERNIZ HC MARCAÇÃO CLEAN 929,00 -</x:v>
      </x:c>
      <x:c r="G520" s="24" t="n">
        <x:v>1719</x:v>
      </x:c>
      <x:c r="H520" s="24" t="n">
        <x:v>46118</x:v>
      </x:c>
      <x:c r="I520" s="24" t="n">
        <x:v>46234</x:v>
      </x:c>
      <x:c r="J520" s="24" t="str">
        <x:v>EXPIRADA</x:v>
      </x:c>
    </x:row>
    <x:row r="521">
      <x:c r="A521" s="24" t="n">
        <x:v>9</x:v>
      </x:c>
      <x:c r="B521" s="24" t="str">
        <x:v>Varilux Activities</x:v>
      </x:c>
      <x:c r="C521" s="24" t="n">
        <x:v>275.2</x:v>
      </x:c>
      <x:c r="D521" s="24" t="n">
        <x:v>223.7</x:v>
      </x:c>
      <x:c r="E521" s="24" t="str">
        <x:v>Airwear 1.919,00</x:v>
      </x:c>
      <x:c r="F521" s="24" t="str">
        <x:v>3.909,00 3.639,00 CRIZAL CRIZAL ROCK SAPPHIRE HR 1.619,00 1.619,00 1.349,00</x:v>
      </x:c>
      <x:c r="G521" s="24" t="n">
        <x:v>1919</x:v>
      </x:c>
      <x:c r="H521" s="24" t="n">
        <x:v>46118</x:v>
      </x:c>
      <x:c r="I521" s="24" t="n">
        <x:v>46234</x:v>
      </x:c>
      <x:c r="J521" s="24" t="str">
        <x:v>EXPIRADA</x:v>
      </x:c>
    </x:row>
    <x:row r="522">
      <x:c r="A522" s="24" t="n">
        <x:v>9</x:v>
      </x:c>
      <x:c r="B522" s="24" t="str">
        <x:v>Varilux Activities</x:v>
      </x:c>
      <x:c r="C522" s="24" t="n">
        <x:v>299.6</x:v>
      </x:c>
      <x:c r="D522" s="24" t="n">
        <x:v>223.6</x:v>
      </x:c>
      <x:c r="E522" s="24" t="str">
        <x:v>Stylis 1.67 3.909,00</x:v>
      </x:c>
      <x:c r="F522" s="24" t="str">
        <x:v>CRIZAL ROCK SAPPHIRE HR 1.619,00 1.619,00 1.349,00 1.919,00 1.919,00 1.649,00</x:v>
      </x:c>
      <x:c r="G522" s="24" t="n">
        <x:v>3909</x:v>
      </x:c>
      <x:c r="H522" s="24" t="n">
        <x:v>46118</x:v>
      </x:c>
      <x:c r="I522" s="24" t="n">
        <x:v>46234</x:v>
      </x:c>
      <x:c r="J522" s="24" t="str">
        <x:v>EXPIRADA</x:v>
      </x:c>
    </x:row>
    <x:row r="523">
      <x:c r="A523" s="24" t="n">
        <x:v>9</x:v>
      </x:c>
      <x:c r="B523" s="24" t="str">
        <x:v>Varilux Activities</x:v>
      </x:c>
      <x:c r="C523" s="24" t="n">
        <x:v>275.2</x:v>
      </x:c>
      <x:c r="D523" s="24" t="n">
        <x:v>181.6</x:v>
      </x:c>
      <x:c r="E523" s="24" t="str">
        <x:v>Airwear</x:v>
      </x:c>
      <x:c r="F523" s="24" t="str">
        <x:v>3.909,00 3.909,00 CRIZAL CRIZAL PREVENCIA SAPPHIRE 1.619,00 1.619,00</x:v>
      </x:c>
      <x:c r="G523" s="24" t="n">
        <x:v>1919</x:v>
      </x:c>
      <x:c r="H523" s="24" t="n">
        <x:v>46118</x:v>
      </x:c>
      <x:c r="I523" s="24" t="n">
        <x:v>46234</x:v>
      </x:c>
      <x:c r="J523" s="24" t="str">
        <x:v>EXPIRADA</x:v>
      </x:c>
    </x:row>
    <x:row r="524">
      <x:c r="A524" s="24" t="n">
        <x:v>9</x:v>
      </x:c>
      <x:c r="B524" s="24" t="str">
        <x:v>Varilux Activities</x:v>
      </x:c>
      <x:c r="C524" s="24" t="n">
        <x:v>299.6</x:v>
      </x:c>
      <x:c r="D524" s="24" t="n">
        <x:v>179.5</x:v>
      </x:c>
      <x:c r="E524" s="24" t="str">
        <x:v>Stylis 1.67</x:v>
      </x:c>
      <x:c r="F524" s="24" t="str">
        <x:v>CRIZAL CRIZAL PREVENCIA SAPPHIRE 1.619,00 1.619,00 1.919,00 1.919,00</x:v>
      </x:c>
      <x:c r="G524" s="24" t="n">
        <x:v>3909</x:v>
      </x:c>
      <x:c r="H524" s="24" t="n">
        <x:v>46118</x:v>
      </x:c>
      <x:c r="I524" s="24" t="n">
        <x:v>46234</x:v>
      </x:c>
      <x:c r="J524" s="24" t="str">
        <x:v>EXPIRADA</x:v>
      </x:c>
    </x:row>
    <x:row r="525">
      <x:c r="A525" s="24" t="n">
        <x:v>9</x:v>
      </x:c>
      <x:c r="B525" s="24" t="str">
        <x:v>Varilux Activities</x:v>
      </x:c>
      <x:c r="C525" s="24" t="n">
        <x:v>275.2</x:v>
      </x:c>
      <x:c r="D525" s="24" t="n">
        <x:v>264.4</x:v>
      </x:c>
      <x:c r="E525" s="24" t="str">
        <x:v>Airwear 1.919,00 1.919,00</x:v>
      </x:c>
      <x:c r="F525" s="24" t="str">
        <x:v>CRIZAL CRIZAL CRIZAL ROCK HR EASY PRO 1.619,00 1.349,00 999,00</x:v>
      </x:c>
      <x:c r="G525" s="24" t="n">
        <x:v>1649</x:v>
      </x:c>
      <x:c r="H525" s="24" t="n">
        <x:v>46118</x:v>
      </x:c>
      <x:c r="I525" s="24" t="n">
        <x:v>46234</x:v>
      </x:c>
      <x:c r="J525" s="24" t="str">
        <x:v>EXPIRADA</x:v>
      </x:c>
    </x:row>
    <x:row r="526">
      <x:c r="A526" s="24" t="n">
        <x:v>9</x:v>
      </x:c>
      <x:c r="B526" s="24" t="str">
        <x:v>Varilux Activities</x:v>
      </x:c>
      <x:c r="C526" s="24" t="n">
        <x:v>299.6</x:v>
      </x:c>
      <x:c r="D526" s="24" t="n">
        <x:v>264.2</x:v>
      </x:c>
      <x:c r="E526" s="24" t="str">
        <x:v>Stylis 1.67 3.909,00 3.909,00</x:v>
      </x:c>
      <x:c r="F526" s="24" t="str">
        <x:v>ROCK HR EASY PRO 1.619,00 1.349,00 999,00 1.919,00 1.649,00 1.299,00</x:v>
      </x:c>
      <x:c r="G526" s="24" t="n">
        <x:v>3639</x:v>
      </x:c>
      <x:c r="H526" s="24" t="n">
        <x:v>46118</x:v>
      </x:c>
      <x:c r="I526" s="24" t="n">
        <x:v>46234</x:v>
      </x:c>
      <x:c r="J526" s="24" t="str">
        <x:v>EXPIRADA</x:v>
      </x:c>
    </x:row>
    <x:row r="527">
      <x:c r="A527" s="24" t="n">
        <x:v>9</x:v>
      </x:c>
      <x:c r="B527" s="24" t="str">
        <x:v>Varilux Activities</x:v>
      </x:c>
      <x:c r="C527" s="24" t="n">
        <x:v>275.2</x:v>
      </x:c>
      <x:c r="D527" s="24" t="n">
        <x:v>304.7</x:v>
      </x:c>
      <x:c r="E527" s="24" t="str">
        <x:v>Airwear 1.919,00 1.919,00 1.649,00</x:v>
      </x:c>
      <x:c r="F527" s="24" t="str">
        <x:v>3.529,00 CRIZAL CRIZAL OPTIFOG ROCK EASY PRO 1.349,00 999,00 1.239,00</x:v>
      </x:c>
      <x:c r="G527" s="24" t="n">
        <x:v>1299</x:v>
      </x:c>
      <x:c r="H527" s="24" t="n">
        <x:v>46118</x:v>
      </x:c>
      <x:c r="I527" s="24" t="n">
        <x:v>46234</x:v>
      </x:c>
      <x:c r="J527" s="24" t="str">
        <x:v>EXPIRADA</x:v>
      </x:c>
    </x:row>
    <x:row r="528">
      <x:c r="A528" s="24" t="n">
        <x:v>9</x:v>
      </x:c>
      <x:c r="B528" s="24" t="str">
        <x:v>Varilux Activities</x:v>
      </x:c>
      <x:c r="C528" s="24" t="n">
        <x:v>299.6</x:v>
      </x:c>
      <x:c r="D528" s="24" t="n">
        <x:v>304</x:v>
      </x:c>
      <x:c r="E528" s="24" t="str">
        <x:v>Stylis 1.67 3.909,00 3.909,00 3.639,00</x:v>
      </x:c>
      <x:c r="F528" s="24" t="str">
        <x:v>OPTIFOG ROCK EASY PRO 1.349,00 999,00 1.239,00 1.649,00 1.299,00 1.539,00</x:v>
      </x:c>
      <x:c r="G528" s="24" t="n">
        <x:v>3289</x:v>
      </x:c>
      <x:c r="H528" s="24" t="n">
        <x:v>46118</x:v>
      </x:c>
      <x:c r="I528" s="24" t="n">
        <x:v>46234</x:v>
      </x:c>
      <x:c r="J528" s="24" t="str">
        <x:v>EXPIRADA</x:v>
      </x:c>
    </x:row>
    <x:row r="529">
      <x:c r="A529" s="24" t="n">
        <x:v>9</x:v>
      </x:c>
      <x:c r="B529" s="24" t="str">
        <x:v>Varilux Activities</x:v>
      </x:c>
      <x:c r="C529" s="24" t="n">
        <x:v>275.2</x:v>
      </x:c>
      <x:c r="D529" s="24" t="n">
        <x:v>338.9</x:v>
      </x:c>
      <x:c r="E529" s="24" t="str">
        <x:v>Airwear 1.919,00 1.919,00 1.649,00 1.299,00</x:v>
      </x:c>
      <x:c r="F529" s="24" t="str">
        <x:v>TRIO CRIZAL OPTIFOG EASY CLEAN EASY PRO 999,00 1.239,00 799,00</x:v>
      </x:c>
      <x:c r="G529" s="24" t="n">
        <x:v>1539</x:v>
      </x:c>
      <x:c r="H529" s="24" t="n">
        <x:v>46118</x:v>
      </x:c>
      <x:c r="I529" s="24" t="n">
        <x:v>46234</x:v>
      </x:c>
      <x:c r="J529" s="24" t="str">
        <x:v>EXPIRADA</x:v>
      </x:c>
    </x:row>
    <x:row r="530">
      <x:c r="A530" s="24" t="n">
        <x:v>9</x:v>
      </x:c>
      <x:c r="B530" s="24" t="str">
        <x:v>Varilux Activities</x:v>
      </x:c>
      <x:c r="C530" s="24" t="n">
        <x:v>299.6</x:v>
      </x:c>
      <x:c r="D530" s="24" t="n">
        <x:v>338.7</x:v>
      </x:c>
      <x:c r="E530" s="24" t="str">
        <x:v>Stylis 1.67 3.909,00 3.909,00 3.639,00 3.289,00</x:v>
      </x:c>
      <x:c r="F530" s="24" t="str">
        <x:v>EASY CLEAN EASY PRO 999,00 1.239,00 799,00 1.299,00 1.539,00 1.099,00</x:v>
      </x:c>
      <x:c r="G530" s="24" t="n">
        <x:v>3529</x:v>
      </x:c>
      <x:c r="H530" s="24" t="n">
        <x:v>46118</x:v>
      </x:c>
      <x:c r="I530" s="24" t="n">
        <x:v>46234</x:v>
      </x:c>
      <x:c r="J530" s="24" t="str">
        <x:v>EXPIRADA</x:v>
      </x:c>
    </x:row>
    <x:row r="531">
      <x:c r="A531" s="24" t="n">
        <x:v>9</x:v>
      </x:c>
      <x:c r="B531" s="24" t="str">
        <x:v>Varilux Activities</x:v>
      </x:c>
      <x:c r="C531" s="24" t="n">
        <x:v>275.2</x:v>
      </x:c>
      <x:c r="D531" s="24" t="n">
        <x:v>378.6</x:v>
      </x:c>
      <x:c r="E531" s="24" t="str">
        <x:v>Airwear 1.919,00 1.919,00 1.649,00 1.299,00 1.539,00</x:v>
      </x:c>
      <x:c r="F531" s="24" t="str">
        <x:v>- - TRIO VERNIZ OPTIFOG EASY CLEAN 1.239,00 799,00 599,00</x:v>
      </x:c>
      <x:c r="G531" s="24" t="n">
        <x:v>1099</x:v>
      </x:c>
      <x:c r="H531" s="24" t="n">
        <x:v>46118</x:v>
      </x:c>
      <x:c r="I531" s="24" t="n">
        <x:v>46234</x:v>
      </x:c>
      <x:c r="J531" s="24" t="str">
        <x:v>EXPIRADA</x:v>
      </x:c>
    </x:row>
    <x:row r="532">
      <x:c r="A532" s="24" t="n">
        <x:v>9</x:v>
      </x:c>
      <x:c r="B532" s="24" t="str">
        <x:v>Varilux Activities</x:v>
      </x:c>
      <x:c r="C532" s="24" t="n">
        <x:v>275.2</x:v>
      </x:c>
      <x:c r="D532" s="24" t="n">
        <x:v>417.2</x:v>
      </x:c>
      <x:c r="E532" s="24" t="str">
        <x:v>Airwear 1.919,00 1.919,00 1.649,00 1.299,00 1.539,00 1.099,00</x:v>
      </x:c>
      <x:c r="F532" s="24" t="str">
        <x:v>- - TRIO VERNIZ HC MARCAÇÃO CLEAN 799,00 599,00</x:v>
      </x:c>
      <x:c r="G532" s="24" t="n">
        <x:v>899</x:v>
      </x:c>
      <x:c r="H532" s="24" t="n">
        <x:v>46118</x:v>
      </x:c>
      <x:c r="I532" s="24" t="n">
        <x:v>46234</x:v>
      </x:c>
      <x:c r="J532" s="24" t="str">
        <x:v>EXPIRADA</x:v>
      </x:c>
    </x:row>
    <x:row r="533">
      <x:c r="A533" s="24" t="n">
        <x:v>9</x:v>
      </x:c>
      <x:c r="B533" s="24" t="str">
        <x:v>Varilux Activities</x:v>
      </x:c>
      <x:c r="C533" s="24" t="n">
        <x:v>250.9</x:v>
      </x:c>
      <x:c r="D533" s="24" t="n">
        <x:v>224.6</x:v>
      </x:c>
      <x:c r="E533" s="24" t="str">
        <x:v>Orma 1.619,00</x:v>
      </x:c>
      <x:c r="F533" s="24" t="str">
        <x:v>1.649,00 1.919,00 3.909,00 3.909,00 3.639,00 CRIZAL CRIZAL ROCK SAPPHIRE HR</x:v>
      </x:c>
      <x:c r="G533" s="24" t="n">
        <x:v>1619</x:v>
      </x:c>
      <x:c r="H533" s="24" t="n">
        <x:v>46118</x:v>
      </x:c>
      <x:c r="I533" s="24" t="n">
        <x:v>46234</x:v>
      </x:c>
      <x:c r="J533" s="24" t="str">
        <x:v>EXPIRADA</x:v>
      </x:c>
    </x:row>
    <x:row r="534">
      <x:c r="A534" s="24" t="n">
        <x:v>9</x:v>
      </x:c>
      <x:c r="B534" s="24" t="str">
        <x:v>Varilux Activities</x:v>
      </x:c>
      <x:c r="C534" s="24" t="n">
        <x:v>250.9</x:v>
      </x:c>
      <x:c r="D534" s="24" t="n">
        <x:v>181.5</x:v>
      </x:c>
      <x:c r="E534" s="24" t="str">
        <x:v>Orma</x:v>
      </x:c>
      <x:c r="F534" s="24" t="str">
        <x:v>1.919,00 1.919,00 3.909,00 3.909,00 CRIZAL CRIZAL PREVENCIA SAPPHIRE</x:v>
      </x:c>
      <x:c r="G534" s="24" t="n">
        <x:v>1619</x:v>
      </x:c>
      <x:c r="H534" s="24" t="n">
        <x:v>46118</x:v>
      </x:c>
      <x:c r="I534" s="24" t="n">
        <x:v>46234</x:v>
      </x:c>
      <x:c r="J534" s="24" t="str">
        <x:v>EXPIRADA</x:v>
      </x:c>
    </x:row>
    <x:row r="535">
      <x:c r="A535" s="24" t="n">
        <x:v>9</x:v>
      </x:c>
      <x:c r="B535" s="24" t="str">
        <x:v>Varilux Activities</x:v>
      </x:c>
      <x:c r="C535" s="24" t="n">
        <x:v>250.9</x:v>
      </x:c>
      <x:c r="D535" s="24" t="n">
        <x:v>263.3</x:v>
      </x:c>
      <x:c r="E535" s="24" t="str">
        <x:v>Orma 1.619,00 1.619,00</x:v>
      </x:c>
      <x:c r="F535" s="24" t="str">
        <x:v>3.909,00 3.639,00 3.289,00 CRIZAL CRIZAL CRIZAL ROCK HR EASY PRO</x:v>
      </x:c>
      <x:c r="G535" s="24" t="n">
        <x:v>1349</x:v>
      </x:c>
      <x:c r="H535" s="24" t="n">
        <x:v>46118</x:v>
      </x:c>
      <x:c r="I535" s="24" t="n">
        <x:v>46234</x:v>
      </x:c>
      <x:c r="J535" s="24" t="str">
        <x:v>EXPIRADA</x:v>
      </x:c>
    </x:row>
    <x:row r="536">
      <x:c r="A536" s="24" t="n">
        <x:v>9</x:v>
      </x:c>
      <x:c r="B536" s="24" t="str">
        <x:v>Varilux Activities</x:v>
      </x:c>
      <x:c r="C536" s="24" t="n">
        <x:v>250.9</x:v>
      </x:c>
      <x:c r="D536" s="24" t="n">
        <x:v>304.7</x:v>
      </x:c>
      <x:c r="E536" s="24" t="str">
        <x:v>Orma 1.619,00 1.619,00 1.349,00</x:v>
      </x:c>
      <x:c r="F536" s="24" t="str">
        <x:v>1.539,00 3.639,00 3.289,00 3.529,00 CRIZAL CRIZAL OPTIFOG ROCK EASY PRO</x:v>
      </x:c>
      <x:c r="G536" s="24" t="n">
        <x:v>999</x:v>
      </x:c>
      <x:c r="H536" s="24" t="n">
        <x:v>46118</x:v>
      </x:c>
      <x:c r="I536" s="24" t="n">
        <x:v>46234</x:v>
      </x:c>
      <x:c r="J536" s="24" t="str">
        <x:v>EXPIRADA</x:v>
      </x:c>
    </x:row>
    <x:row r="537">
      <x:c r="A537" s="24" t="n">
        <x:v>9</x:v>
      </x:c>
      <x:c r="B537" s="24" t="str">
        <x:v>Varilux Activities</x:v>
      </x:c>
      <x:c r="C537" s="24" t="n">
        <x:v>250.9</x:v>
      </x:c>
      <x:c r="D537" s="24" t="n">
        <x:v>338.8</x:v>
      </x:c>
      <x:c r="E537" s="24" t="str">
        <x:v>Orma 1.619,00 1.619,00 1.349,00 999,00</x:v>
      </x:c>
      <x:c r="F537" s="24" t="str">
        <x:v>1.099,00 3.289,00 3.529,00 - TRIO CRIZAL OPTIFOG EASY EASY PRO</x:v>
      </x:c>
      <x:c r="G537" s="24" t="n">
        <x:v>1239</x:v>
      </x:c>
      <x:c r="H537" s="24" t="n">
        <x:v>46118</x:v>
      </x:c>
      <x:c r="I537" s="24" t="n">
        <x:v>46234</x:v>
      </x:c>
      <x:c r="J537" s="24" t="str">
        <x:v>EXPIRADA</x:v>
      </x:c>
    </x:row>
    <x:row r="538">
      <x:c r="A538" s="24" t="n">
        <x:v>9</x:v>
      </x:c>
      <x:c r="B538" s="24" t="str">
        <x:v>Varilux Activities</x:v>
      </x:c>
      <x:c r="C538" s="24" t="n">
        <x:v>250.9</x:v>
      </x:c>
      <x:c r="D538" s="24" t="n">
        <x:v>379.2</x:v>
      </x:c>
      <x:c r="E538" s="24" t="str">
        <x:v>Orma 1.619,00 1.619,00 1.349,00 999,00 1.239,00</x:v>
      </x:c>
      <x:c r="F538" s="24" t="str">
        <x:v>1.099,00 899,00 3.529,00 - - TRIO VERNIZ OPTIFOG EASY CLEAN</x:v>
      </x:c>
      <x:c r="G538" s="24" t="n">
        <x:v>799</x:v>
      </x:c>
      <x:c r="H538" s="24" t="n">
        <x:v>46118</x:v>
      </x:c>
      <x:c r="I538" s="24" t="n">
        <x:v>46234</x:v>
      </x:c>
      <x:c r="J538" s="24" t="str">
        <x:v>EXPIRADA</x:v>
      </x:c>
    </x:row>
    <x:row r="539">
      <x:c r="A539" s="24" t="n">
        <x:v>9</x:v>
      </x:c>
      <x:c r="B539" s="24" t="str">
        <x:v>Varilux Activities</x:v>
      </x:c>
      <x:c r="C539" s="24" t="n">
        <x:v>250.9</x:v>
      </x:c>
      <x:c r="D539" s="24" t="n">
        <x:v>417.9</x:v>
      </x:c>
      <x:c r="E539" s="24" t="str">
        <x:v>Orma 1.619,00 1.619,00 1.349,00 999,00 1.239,00 799,00</x:v>
      </x:c>
      <x:c r="F539" s="24" t="str">
        <x:v>1.099,00 899,00 - - TRIO VERNIZ HC MARCAÇÃO CLEAN</x:v>
      </x:c>
      <x:c r="G539" s="24" t="n">
        <x:v>599</x:v>
      </x:c>
      <x:c r="H539" s="24" t="n">
        <x:v>46118</x:v>
      </x:c>
      <x:c r="I539" s="24" t="n">
        <x:v>46234</x:v>
      </x:c>
      <x:c r="J539" s="24" t="str">
        <x:v>EXPIRADA</x:v>
      </x:c>
    </x:row>
    <x:row r="540">
      <x:c r="A540" s="24" t="n">
        <x:v>10</x:v>
      </x:c>
      <x:c r="B540" s="24" t="str">
        <x:v>Lentes Eyezen</x:v>
      </x:c>
      <x:c r="C540" s="24" t="n">
        <x:v>452.6</x:v>
      </x:c>
      <x:c r="D540" s="24" t="n">
        <x:v>357.4</x:v>
      </x:c>
      <x:c r="E540" s="24" t="str">
        <x:v>Orma 1.499,00 1.499,00 1.229,00 879,00</x:v>
      </x:c>
      <x:c r="F540" s="24" t="str">
        <x:v>Coloração especial 989,00 Coloração padrão 1.099,00 Coloração especial OPTIFOG PRO</x:v>
      </x:c>
      <x:c r="G540" s="24" t="n">
        <x:v>1119</x:v>
      </x:c>
      <x:c r="H540" s="24" t="n">
        <x:v>46118</x:v>
      </x:c>
      <x:c r="I540" s="24" t="n">
        <x:v>46234</x:v>
      </x:c>
      <x:c r="J540" s="24" t="str">
        <x:v>EXPIRADA</x:v>
      </x:c>
    </x:row>
    <x:row r="541">
      <x:c r="A541" s="24" t="n">
        <x:v>10</x:v>
      </x:c>
      <x:c r="B541" s="24" t="str">
        <x:v>Lentes Eyezen</x:v>
      </x:c>
      <x:c r="C541" s="24" t="n">
        <x:v>468.5</x:v>
      </x:c>
      <x:c r="D541" s="24" t="n">
        <x:v>353.8</x:v>
      </x:c>
      <x:c r="E541" s="24" t="str">
        <x:v>2.439,00 2.439,00 2.169,00 1.819,00</x:v>
      </x:c>
      <x:c r="F541" s="24" t="str">
        <x:v>989,00 Coloração padrão 1.099,00 Coloração especial OPTIFOG PRO 1.119,00</x:v>
      </x:c>
      <x:c r="G541" s="24" t="n">
        <x:v>2059</x:v>
      </x:c>
      <x:c r="H541" s="24" t="n">
        <x:v>46118</x:v>
      </x:c>
      <x:c r="I541" s="24" t="n">
        <x:v>46234</x:v>
      </x:c>
      <x:c r="J541" s="24" t="str">
        <x:v>EXPIRADA</x:v>
      </x:c>
    </x:row>
    <x:row r="542">
      <x:c r="A542" s="24" t="n">
        <x:v>10</x:v>
      </x:c>
      <x:c r="B542" s="24" t="str">
        <x:v>Lentes Eyezen</x:v>
      </x:c>
      <x:c r="C542" s="24" t="n">
        <x:v>483.5</x:v>
      </x:c>
      <x:c r="D542" s="24" t="n">
        <x:v>355.4</x:v>
      </x:c>
      <x:c r="E542" s="24" t="str">
        <x:v>Transitions Extractive 2.509,00 2.509,00 2.239,00 1.889,00</x:v>
      </x:c>
      <x:c r="F542" s="24" t="str">
        <x:v>1.099,00 Coloração especial OPTIFOG PRO 1.119,00 2.059,00</x:v>
      </x:c>
      <x:c r="G542" s="24" t="n">
        <x:v>2129</x:v>
      </x:c>
      <x:c r="H542" s="24" t="n">
        <x:v>46118</x:v>
      </x:c>
      <x:c r="I542" s="24" t="n">
        <x:v>46234</x:v>
      </x:c>
      <x:c r="J542" s="24" t="str">
        <x:v>EXPIRADA</x:v>
      </x:c>
    </x:row>
    <x:row r="543">
      <x:c r="A543" s="24" t="n">
        <x:v>10</x:v>
      </x:c>
      <x:c r="B543" s="24" t="str">
        <x:v>Lentes Eyezen</x:v>
      </x:c>
      <x:c r="C543" s="24" t="n">
        <x:v>509.7</x:v>
      </x:c>
      <x:c r="D543" s="24" t="n">
        <x:v>355.5</x:v>
      </x:c>
      <x:c r="E543" s="24" t="str">
        <x:v>Airwear 1.719,00 1.719,00 1.449,00 1.099,00</x:v>
      </x:c>
      <x:c r="F543" s="24" t="str">
        <x:v>OPTIFOG PRO 1.119,00 2.059,00 2.129,00</x:v>
      </x:c>
      <x:c r="G543" s="24" t="n">
        <x:v>1339</x:v>
      </x:c>
      <x:c r="H543" s="24" t="n">
        <x:v>46118</x:v>
      </x:c>
      <x:c r="I543" s="24" t="n">
        <x:v>46234</x:v>
      </x:c>
      <x:c r="J543" s="24" t="str">
        <x:v>EXPIRADA</x:v>
      </x:c>
    </x:row>
    <x:row r="544">
      <x:c r="A544" s="24" t="n">
        <x:v>10</x:v>
      </x:c>
      <x:c r="B544" s="24" t="str">
        <x:v>Lentes Eyezen</x:v>
      </x:c>
      <x:c r="C544" s="24" t="n">
        <x:v>524.6</x:v>
      </x:c>
      <x:c r="D544" s="24" t="n">
        <x:v>355</x:v>
      </x:c>
      <x:c r="E544" s="24" t="str">
        <x:v>Transitions Gen S 2.659,00 2.659,00 2.389,00 2.039,00</x:v>
      </x:c>
      <x:c r="F544" s="24" t="str">
        <x:v>OPTIFOG PRO 1.119,00 2.059,00 2.129,00 1.339,00</x:v>
      </x:c>
      <x:c r="G544" s="24" t="n">
        <x:v>2279</x:v>
      </x:c>
      <x:c r="H544" s="24" t="n">
        <x:v>46118</x:v>
      </x:c>
      <x:c r="I544" s="24" t="n">
        <x:v>46234</x:v>
      </x:c>
      <x:c r="J544" s="24" t="str">
        <x:v>EXPIRADA</x:v>
      </x:c>
    </x:row>
    <x:row r="545">
      <x:c r="A545" s="24" t="n">
        <x:v>10</x:v>
      </x:c>
      <x:c r="B545" s="24" t="str">
        <x:v>Lentes Eyezen</x:v>
      </x:c>
      <x:c r="C545" s="24" t="n">
        <x:v>540.6</x:v>
      </x:c>
      <x:c r="D545" s="24" t="n">
        <x:v>354.7</x:v>
      </x:c>
      <x:c r="E545" s="24" t="str">
        <x:v>Transitions Extractive 2.729,00 2.729,00 2.459,00 2.109,00</x:v>
      </x:c>
      <x:c r="F545" s="24" t="str">
        <x:v>1.119,00 2.059,00 2.129,00 1.339,00 2.279,00</x:v>
      </x:c>
      <x:c r="G545" s="24" t="n">
        <x:v>2349</x:v>
      </x:c>
      <x:c r="H545" s="24" t="n">
        <x:v>46118</x:v>
      </x:c>
      <x:c r="I545" s="24" t="n">
        <x:v>46234</x:v>
      </x:c>
      <x:c r="J545" s="24" t="str">
        <x:v>EXPIRADA</x:v>
      </x:c>
    </x:row>
    <x:row r="546">
      <x:c r="A546" s="24" t="n">
        <x:v>10</x:v>
      </x:c>
      <x:c r="B546" s="24" t="str">
        <x:v>Lentes Eyezen</x:v>
      </x:c>
      <x:c r="C546" s="24" t="n">
        <x:v>565.1</x:v>
      </x:c>
      <x:c r="D546" s="24" t="n">
        <x:v>353.7</x:v>
      </x:c>
      <x:c r="E546" s="24" t="str">
        <x:v>Stylis 1.67 2.919,00 2.919,00 2.649,00 2.299,00</x:v>
      </x:c>
      <x:c r="F546" s="24" t="str">
        <x:v>2.129,00 1.339,00 2.279,00 2.349,00</x:v>
      </x:c>
      <x:c r="G546" s="24" t="n">
        <x:v>2539</x:v>
      </x:c>
      <x:c r="H546" s="24" t="n">
        <x:v>46118</x:v>
      </x:c>
      <x:c r="I546" s="24" t="n">
        <x:v>46234</x:v>
      </x:c>
      <x:c r="J546" s="24" t="str">
        <x:v>EXPIRADA</x:v>
      </x:c>
    </x:row>
    <x:row r="547">
      <x:c r="A547" s="24" t="n">
        <x:v>10</x:v>
      </x:c>
      <x:c r="B547" s="24" t="str">
        <x:v>Lentes Eyezen</x:v>
      </x:c>
      <x:c r="C547" s="24" t="n">
        <x:v>580.7</x:v>
      </x:c>
      <x:c r="D547" s="24" t="n">
        <x:v>354.5</x:v>
      </x:c>
      <x:c r="E547" s="24" t="str">
        <x:v>Transitions Gen S 3.859,00 3.859,00 3.589,00 3.239,00</x:v>
      </x:c>
      <x:c r="F547" s="24" t="str">
        <x:v>1.339,00 2.279,00 2.349,00 2.539,00</x:v>
      </x:c>
      <x:c r="G547" s="24" t="n">
        <x:v>3479</x:v>
      </x:c>
      <x:c r="H547" s="24" t="n">
        <x:v>46118</x:v>
      </x:c>
      <x:c r="I547" s="24" t="n">
        <x:v>46234</x:v>
      </x:c>
      <x:c r="J547" s="24" t="str">
        <x:v>EXPIRADA</x:v>
      </x:c>
    </x:row>
    <x:row r="548">
      <x:c r="A548" s="24" t="n">
        <x:v>10</x:v>
      </x:c>
      <x:c r="B548" s="24" t="str">
        <x:v>Lentes Eyezen</x:v>
      </x:c>
      <x:c r="C548" s="24" t="n">
        <x:v>452.6</x:v>
      </x:c>
      <x:c r="D548" s="24" t="n">
        <x:v>205.7</x:v>
      </x:c>
      <x:c r="E548" s="24" t="str">
        <x:v>Orma 1.499,00</x:v>
      </x:c>
      <x:c r="F548" s="24" t="str">
        <x:v>1.999,00 1.359,00 CRIZAL SAPPHIRE HR</x:v>
      </x:c>
      <x:c r="G548" s="24" t="n">
        <x:v>1499</x:v>
      </x:c>
      <x:c r="H548" s="24" t="n">
        <x:v>46118</x:v>
      </x:c>
      <x:c r="I548" s="24" t="n">
        <x:v>46234</x:v>
      </x:c>
      <x:c r="J548" s="24" t="str">
        <x:v>EXPIRADA</x:v>
      </x:c>
    </x:row>
    <x:row r="549">
      <x:c r="A549" s="24" t="n">
        <x:v>10</x:v>
      </x:c>
      <x:c r="B549" s="24" t="str">
        <x:v>Lentes Eyezen</x:v>
      </x:c>
      <x:c r="C549" s="24" t="n">
        <x:v>468.5</x:v>
      </x:c>
      <x:c r="D549" s="24" t="n">
        <x:v>205.7</x:v>
      </x:c>
      <x:c r="E549" s="24" t="str">
        <x:v>2.439,00</x:v>
      </x:c>
      <x:c r="F549" s="24" t="str">
        <x:v>1.999,00 1.359,00 CRIZAL SAPPHIRE HR 1.499,00</x:v>
      </x:c>
      <x:c r="G549" s="24" t="n">
        <x:v>2439</x:v>
      </x:c>
      <x:c r="H549" s="24" t="n">
        <x:v>46118</x:v>
      </x:c>
      <x:c r="I549" s="24" t="n">
        <x:v>46234</x:v>
      </x:c>
      <x:c r="J549" s="24" t="str">
        <x:v>EXPIRADA</x:v>
      </x:c>
    </x:row>
    <x:row r="550">
      <x:c r="A550" s="24" t="n">
        <x:v>10</x:v>
      </x:c>
      <x:c r="B550" s="24" t="str">
        <x:v>Lentes Eyezen</x:v>
      </x:c>
      <x:c r="C550" s="24" t="n">
        <x:v>483.5</x:v>
      </x:c>
      <x:c r="D550" s="24" t="n">
        <x:v>205.3</x:v>
      </x:c>
      <x:c r="E550" s="24" t="str">
        <x:v>Transitions Extractive 2.509,00</x:v>
      </x:c>
      <x:c r="F550" s="24" t="str">
        <x:v>CRIZAL SAPPHIRE HR 1.499,00 2.439,00</x:v>
      </x:c>
      <x:c r="G550" s="24" t="n">
        <x:v>2509</x:v>
      </x:c>
      <x:c r="H550" s="24" t="n">
        <x:v>46118</x:v>
      </x:c>
      <x:c r="I550" s="24" t="n">
        <x:v>46234</x:v>
      </x:c>
      <x:c r="J550" s="24" t="str">
        <x:v>EXPIRADA</x:v>
      </x:c>
    </x:row>
    <x:row r="551">
      <x:c r="A551" s="24" t="n">
        <x:v>10</x:v>
      </x:c>
      <x:c r="B551" s="24" t="str">
        <x:v>Lentes Eyezen</x:v>
      </x:c>
      <x:c r="C551" s="24" t="n">
        <x:v>509.7</x:v>
      </x:c>
      <x:c r="D551" s="24" t="n">
        <x:v>207.3</x:v>
      </x:c>
      <x:c r="E551" s="24" t="str">
        <x:v>Airwear 1.719,00</x:v>
      </x:c>
      <x:c r="F551" s="24" t="str">
        <x:v>CRIZAL SAPPHIRE HR 1.499,00 2.439,00 2.509,00</x:v>
      </x:c>
      <x:c r="G551" s="24" t="n">
        <x:v>1719</x:v>
      </x:c>
      <x:c r="H551" s="24" t="n">
        <x:v>46118</x:v>
      </x:c>
      <x:c r="I551" s="24" t="n">
        <x:v>46234</x:v>
      </x:c>
      <x:c r="J551" s="24" t="str">
        <x:v>EXPIRADA</x:v>
      </x:c>
    </x:row>
    <x:row r="552">
      <x:c r="A552" s="24" t="n">
        <x:v>10</x:v>
      </x:c>
      <x:c r="B552" s="24" t="str">
        <x:v>Lentes Eyezen</x:v>
      </x:c>
      <x:c r="C552" s="24" t="n">
        <x:v>524.6</x:v>
      </x:c>
      <x:c r="D552" s="24" t="n">
        <x:v>204.9</x:v>
      </x:c>
      <x:c r="E552" s="24" t="str">
        <x:v>Transitions Gen S 2.659,00</x:v>
      </x:c>
      <x:c r="F552" s="24" t="str">
        <x:v>CRIZAL SAPPHIRE HR 1.499,00 2.439,00 2.509,00 1.719,00</x:v>
      </x:c>
      <x:c r="G552" s="24" t="n">
        <x:v>2659</x:v>
      </x:c>
      <x:c r="H552" s="24" t="n">
        <x:v>46118</x:v>
      </x:c>
      <x:c r="I552" s="24" t="n">
        <x:v>46234</x:v>
      </x:c>
      <x:c r="J552" s="24" t="str">
        <x:v>EXPIRADA</x:v>
      </x:c>
    </x:row>
    <x:row r="553">
      <x:c r="A553" s="24" t="n">
        <x:v>10</x:v>
      </x:c>
      <x:c r="B553" s="24" t="str">
        <x:v>Lentes Eyezen</x:v>
      </x:c>
      <x:c r="C553" s="24" t="n">
        <x:v>540.6</x:v>
      </x:c>
      <x:c r="D553" s="24" t="n">
        <x:v>206.6</x:v>
      </x:c>
      <x:c r="E553" s="24" t="str">
        <x:v>Transitions Extractive 2.729,00</x:v>
      </x:c>
      <x:c r="F553" s="24" t="str">
        <x:v>1.499,00 2.439,00 2.509,00 1.719,00 2.659,00</x:v>
      </x:c>
      <x:c r="G553" s="24" t="n">
        <x:v>2729</x:v>
      </x:c>
      <x:c r="H553" s="24" t="n">
        <x:v>46118</x:v>
      </x:c>
      <x:c r="I553" s="24" t="n">
        <x:v>46234</x:v>
      </x:c>
      <x:c r="J553" s="24" t="str">
        <x:v>EXPIRADA</x:v>
      </x:c>
    </x:row>
    <x:row r="554">
      <x:c r="A554" s="24" t="n">
        <x:v>10</x:v>
      </x:c>
      <x:c r="B554" s="24" t="str">
        <x:v>Lentes Eyezen</x:v>
      </x:c>
      <x:c r="C554" s="24" t="n">
        <x:v>565.1</x:v>
      </x:c>
      <x:c r="D554" s="24" t="n">
        <x:v>206.6</x:v>
      </x:c>
      <x:c r="E554" s="24" t="str">
        <x:v>Stylis 1.67 2.919,00</x:v>
      </x:c>
      <x:c r="F554" s="24" t="str">
        <x:v>2.509,00 1.719,00 2.659,00 2.729,00</x:v>
      </x:c>
      <x:c r="G554" s="24" t="n">
        <x:v>2919</x:v>
      </x:c>
      <x:c r="H554" s="24" t="n">
        <x:v>46118</x:v>
      </x:c>
      <x:c r="I554" s="24" t="n">
        <x:v>46234</x:v>
      </x:c>
      <x:c r="J554" s="24" t="str">
        <x:v>EXPIRADA</x:v>
      </x:c>
    </x:row>
    <x:row r="555">
      <x:c r="A555" s="24" t="n">
        <x:v>10</x:v>
      </x:c>
      <x:c r="B555" s="24" t="str">
        <x:v>Lentes Eyezen</x:v>
      </x:c>
      <x:c r="C555" s="24" t="n">
        <x:v>580.7</x:v>
      </x:c>
      <x:c r="D555" s="24" t="n">
        <x:v>205.4</x:v>
      </x:c>
      <x:c r="E555" s="24" t="str">
        <x:v>Transitions Gen S 3.859,00</x:v>
      </x:c>
      <x:c r="F555" s="24" t="str">
        <x:v>1.719,00 2.659,00 2.729,00 2.919,00</x:v>
      </x:c>
      <x:c r="G555" s="24" t="n">
        <x:v>3859</x:v>
      </x:c>
      <x:c r="H555" s="24" t="n">
        <x:v>46118</x:v>
      </x:c>
      <x:c r="I555" s="24" t="n">
        <x:v>46234</x:v>
      </x:c>
      <x:c r="J555" s="24" t="str">
        <x:v>EXPIRADA</x:v>
      </x:c>
    </x:row>
    <x:row r="556">
      <x:c r="A556" s="24" t="n">
        <x:v>10</x:v>
      </x:c>
      <x:c r="B556" s="24" t="str">
        <x:v>Lentes Eyezen</x:v>
      </x:c>
      <x:c r="C556" s="24" t="n">
        <x:v>452.6</x:v>
      </x:c>
      <x:c r="D556" s="24" t="n">
        <x:v>155</x:v>
      </x:c>
      <x:c r="E556" s="24" t="str">
        <x:v>Orma</x:v>
      </x:c>
      <x:c r="F556" s="24" t="str">
        <x:v>2.019,00 1.999,00 sem custo adicional CRIZAL PREVENCIA</x:v>
      </x:c>
      <x:c r="G556" s="24" t="n">
        <x:v>1499</x:v>
      </x:c>
      <x:c r="H556" s="24" t="n">
        <x:v>46118</x:v>
      </x:c>
      <x:c r="I556" s="24" t="n">
        <x:v>46234</x:v>
      </x:c>
      <x:c r="J556" s="24" t="str">
        <x:v>EXPIRADA</x:v>
      </x:c>
    </x:row>
    <x:row r="557">
      <x:c r="A557" s="24" t="n">
        <x:v>10</x:v>
      </x:c>
      <x:c r="B557" s="24" t="str">
        <x:v>Lentes Eyezen</x:v>
      </x:c>
      <x:c r="C557" s="24" t="n">
        <x:v>468.5</x:v>
      </x:c>
      <x:c r="D557" s="24" t="n">
        <x:v>154.5</x:v>
      </x:c>
      <x:c r="E557" s="24"/>
      <x:c r="F557" s="24" t="str">
        <x:v>2.019,00 1.999,00 sem custo adicional CRIZAL PREVENCIA 1.499,00</x:v>
      </x:c>
      <x:c r="G557" s="24" t="n">
        <x:v>2439</x:v>
      </x:c>
      <x:c r="H557" s="24" t="n">
        <x:v>46118</x:v>
      </x:c>
      <x:c r="I557" s="24" t="n">
        <x:v>46234</x:v>
      </x:c>
      <x:c r="J557" s="24" t="str">
        <x:v>EXPIRADA</x:v>
      </x:c>
    </x:row>
    <x:row r="558">
      <x:c r="A558" s="24" t="n">
        <x:v>10</x:v>
      </x:c>
      <x:c r="B558" s="24" t="str">
        <x:v>Lentes Eyezen</x:v>
      </x:c>
      <x:c r="C558" s="24" t="n">
        <x:v>483.5</x:v>
      </x:c>
      <x:c r="D558" s="24" t="n">
        <x:v>154.5</x:v>
      </x:c>
      <x:c r="E558" s="24" t="str">
        <x:v>Transitions Extractive</x:v>
      </x:c>
      <x:c r="F558" s="24" t="str">
        <x:v>sem custo adicional CRIZAL PREVENCIA 1.499,00 2.439,00</x:v>
      </x:c>
      <x:c r="G558" s="24" t="n">
        <x:v>2509</x:v>
      </x:c>
      <x:c r="H558" s="24" t="n">
        <x:v>46118</x:v>
      </x:c>
      <x:c r="I558" s="24" t="n">
        <x:v>46234</x:v>
      </x:c>
      <x:c r="J558" s="24" t="str">
        <x:v>EXPIRADA</x:v>
      </x:c>
    </x:row>
    <x:row r="559">
      <x:c r="A559" s="24" t="n">
        <x:v>10</x:v>
      </x:c>
      <x:c r="B559" s="24" t="str">
        <x:v>Lentes Eyezen</x:v>
      </x:c>
      <x:c r="C559" s="24" t="n">
        <x:v>509.7</x:v>
      </x:c>
      <x:c r="D559" s="24" t="n">
        <x:v>156.1</x:v>
      </x:c>
      <x:c r="E559" s="24" t="str">
        <x:v>Airwear</x:v>
      </x:c>
      <x:c r="F559" s="24" t="str">
        <x:v>adicional CRIZAL PREVENCIA 1.499,00 2.439,00 2.509,00</x:v>
      </x:c>
      <x:c r="G559" s="24" t="n">
        <x:v>1719</x:v>
      </x:c>
      <x:c r="H559" s="24" t="n">
        <x:v>46118</x:v>
      </x:c>
      <x:c r="I559" s="24" t="n">
        <x:v>46234</x:v>
      </x:c>
      <x:c r="J559" s="24" t="str">
        <x:v>EXPIRADA</x:v>
      </x:c>
    </x:row>
    <x:row r="560">
      <x:c r="A560" s="24" t="n">
        <x:v>10</x:v>
      </x:c>
      <x:c r="B560" s="24" t="str">
        <x:v>Lentes Eyezen</x:v>
      </x:c>
      <x:c r="C560" s="24" t="n">
        <x:v>524.6</x:v>
      </x:c>
      <x:c r="D560" s="24" t="n">
        <x:v>154.2</x:v>
      </x:c>
      <x:c r="E560" s="24" t="str">
        <x:v>Transitions Gen S</x:v>
      </x:c>
      <x:c r="F560" s="24" t="str">
        <x:v>CRIZAL PREVENCIA 1.499,00 2.439,00 2.509,00 1.719,00</x:v>
      </x:c>
      <x:c r="G560" s="24" t="n">
        <x:v>2659</x:v>
      </x:c>
      <x:c r="H560" s="24" t="n">
        <x:v>46118</x:v>
      </x:c>
      <x:c r="I560" s="24" t="n">
        <x:v>46234</x:v>
      </x:c>
      <x:c r="J560" s="24" t="str">
        <x:v>EXPIRADA</x:v>
      </x:c>
    </x:row>
    <x:row r="561">
      <x:c r="A561" s="24" t="n">
        <x:v>10</x:v>
      </x:c>
      <x:c r="B561" s="24" t="str">
        <x:v>Lentes Eyezen</x:v>
      </x:c>
      <x:c r="C561" s="24" t="n">
        <x:v>540.6</x:v>
      </x:c>
      <x:c r="D561" s="24" t="n">
        <x:v>154.3</x:v>
      </x:c>
      <x:c r="E561" s="24" t="str">
        <x:v>Transitions Extractive</x:v>
      </x:c>
      <x:c r="F561" s="24" t="str">
        <x:v>1.499,00 2.439,00 2.509,00 1.719,00 2.659,00</x:v>
      </x:c>
      <x:c r="G561" s="24" t="n">
        <x:v>2729</x:v>
      </x:c>
      <x:c r="H561" s="24" t="n">
        <x:v>46118</x:v>
      </x:c>
      <x:c r="I561" s="24" t="n">
        <x:v>46234</x:v>
      </x:c>
      <x:c r="J561" s="24" t="str">
        <x:v>EXPIRADA</x:v>
      </x:c>
    </x:row>
    <x:row r="562">
      <x:c r="A562" s="24" t="n">
        <x:v>10</x:v>
      </x:c>
      <x:c r="B562" s="24" t="str">
        <x:v>Lentes Eyezen</x:v>
      </x:c>
      <x:c r="C562" s="24" t="n">
        <x:v>565.1</x:v>
      </x:c>
      <x:c r="D562" s="24" t="n">
        <x:v>155.3</x:v>
      </x:c>
      <x:c r="E562" s="24" t="str">
        <x:v>Stylis 1.67</x:v>
      </x:c>
      <x:c r="F562" s="24" t="str">
        <x:v>2.509,00 1.719,00 2.659,00 2.729,00</x:v>
      </x:c>
      <x:c r="G562" s="24" t="n">
        <x:v>2919</x:v>
      </x:c>
      <x:c r="H562" s="24" t="n">
        <x:v>46118</x:v>
      </x:c>
      <x:c r="I562" s="24" t="n">
        <x:v>46234</x:v>
      </x:c>
      <x:c r="J562" s="24" t="str">
        <x:v>EXPIRADA</x:v>
      </x:c>
    </x:row>
    <x:row r="563">
      <x:c r="A563" s="24" t="n">
        <x:v>10</x:v>
      </x:c>
      <x:c r="B563" s="24" t="str">
        <x:v>Lentes Eyezen</x:v>
      </x:c>
      <x:c r="C563" s="24" t="n">
        <x:v>580.7</x:v>
      </x:c>
      <x:c r="D563" s="24" t="n">
        <x:v>153.1</x:v>
      </x:c>
      <x:c r="E563" s="24" t="str">
        <x:v>Transitions Gen S</x:v>
      </x:c>
      <x:c r="F563" s="24" t="str">
        <x:v>1.719,00 2.659,00 2.729,00 2.919,00</x:v>
      </x:c>
      <x:c r="G563" s="24" t="n">
        <x:v>3859</x:v>
      </x:c>
      <x:c r="H563" s="24" t="n">
        <x:v>46118</x:v>
      </x:c>
      <x:c r="I563" s="24" t="n">
        <x:v>46234</x:v>
      </x:c>
      <x:c r="J563" s="24" t="str">
        <x:v>EXPIRADA</x:v>
      </x:c>
    </x:row>
    <x:row r="564">
      <x:c r="A564" s="24" t="n">
        <x:v>10</x:v>
      </x:c>
      <x:c r="B564" s="24" t="str">
        <x:v>Lentes Eyezen</x:v>
      </x:c>
      <x:c r="C564" s="24" t="n">
        <x:v>452.6</x:v>
      </x:c>
      <x:c r="D564" s="24" t="n">
        <x:v>306.4</x:v>
      </x:c>
      <x:c r="E564" s="24" t="str">
        <x:v>Orma 1.499,00 1.499,00 1.229,00</x:v>
      </x:c>
      <x:c r="F564" s="24" t="str">
        <x:v>Airwear + Coloração padrão + Coloração especial CRIZAL EASY PRO</x:v>
      </x:c>
      <x:c r="G564" s="24" t="n">
        <x:v>879</x:v>
      </x:c>
      <x:c r="H564" s="24" t="n">
        <x:v>46118</x:v>
      </x:c>
      <x:c r="I564" s="24" t="n">
        <x:v>46234</x:v>
      </x:c>
      <x:c r="J564" s="24" t="str">
        <x:v>EXPIRADA</x:v>
      </x:c>
    </x:row>
    <x:row r="565">
      <x:c r="A565" s="24" t="n">
        <x:v>10</x:v>
      </x:c>
      <x:c r="B565" s="24" t="str">
        <x:v>Lentes Eyezen</x:v>
      </x:c>
      <x:c r="C565" s="24" t="n">
        <x:v>468.5</x:v>
      </x:c>
      <x:c r="D565" s="24" t="n">
        <x:v>304.4</x:v>
      </x:c>
      <x:c r="E565" s="24" t="str">
        <x:v>2.439,00 2.439,00 2.169,00</x:v>
      </x:c>
      <x:c r="F565" s="24" t="str">
        <x:v>+ Coloração padrão + Coloração especial CRIZAL EASY PRO 879,00</x:v>
      </x:c>
      <x:c r="G565" s="24" t="n">
        <x:v>1819</x:v>
      </x:c>
      <x:c r="H565" s="24" t="n">
        <x:v>46118</x:v>
      </x:c>
      <x:c r="I565" s="24" t="n">
        <x:v>46234</x:v>
      </x:c>
      <x:c r="J565" s="24" t="str">
        <x:v>EXPIRADA</x:v>
      </x:c>
    </x:row>
    <x:row r="566">
      <x:c r="A566" s="24" t="n">
        <x:v>10</x:v>
      </x:c>
      <x:c r="B566" s="24" t="str">
        <x:v>Lentes Eyezen</x:v>
      </x:c>
      <x:c r="C566" s="24" t="n">
        <x:v>483.5</x:v>
      </x:c>
      <x:c r="D566" s="24" t="n">
        <x:v>303</x:v>
      </x:c>
      <x:c r="E566" s="24" t="str">
        <x:v>Transitions Extractive 2.509,00 2.509,00 2.239,00</x:v>
      </x:c>
      <x:c r="F566" s="24" t="str">
        <x:v>+ Coloração especial CRIZAL EASY PRO 879,00 1.819,00</x:v>
      </x:c>
      <x:c r="G566" s="24" t="n">
        <x:v>1889</x:v>
      </x:c>
      <x:c r="H566" s="24" t="n">
        <x:v>46118</x:v>
      </x:c>
      <x:c r="I566" s="24" t="n">
        <x:v>46234</x:v>
      </x:c>
      <x:c r="J566" s="24" t="str">
        <x:v>EXPIRADA</x:v>
      </x:c>
    </x:row>
    <x:row r="567">
      <x:c r="A567" s="24" t="n">
        <x:v>10</x:v>
      </x:c>
      <x:c r="B567" s="24" t="str">
        <x:v>Lentes Eyezen</x:v>
      </x:c>
      <x:c r="C567" s="24" t="n">
        <x:v>509.7</x:v>
      </x:c>
      <x:c r="D567" s="24" t="n">
        <x:v>303.3</x:v>
      </x:c>
      <x:c r="E567" s="24" t="str">
        <x:v>Airwear 1.719,00 1.719,00 1.449,00</x:v>
      </x:c>
      <x:c r="F567" s="24" t="str">
        <x:v>CRIZAL EASY PRO 879,00 1.819,00 1.889,00</x:v>
      </x:c>
      <x:c r="G567" s="24" t="n">
        <x:v>1099</x:v>
      </x:c>
      <x:c r="H567" s="24" t="n">
        <x:v>46118</x:v>
      </x:c>
      <x:c r="I567" s="24" t="n">
        <x:v>46234</x:v>
      </x:c>
      <x:c r="J567" s="24" t="str">
        <x:v>EXPIRADA</x:v>
      </x:c>
    </x:row>
    <x:row r="568">
      <x:c r="A568" s="24" t="n">
        <x:v>10</x:v>
      </x:c>
      <x:c r="B568" s="24" t="str">
        <x:v>Lentes Eyezen</x:v>
      </x:c>
      <x:c r="C568" s="24" t="n">
        <x:v>524.6</x:v>
      </x:c>
      <x:c r="D568" s="24" t="n">
        <x:v>302.5</x:v>
      </x:c>
      <x:c r="E568" s="24" t="str">
        <x:v>Transitions Gen S 2.659,00 2.659,00 2.389,00</x:v>
      </x:c>
      <x:c r="F568" s="24" t="str">
        <x:v>CRIZAL EASY PRO 879,00 1.819,00 1.889,00 1.099,00</x:v>
      </x:c>
      <x:c r="G568" s="24" t="n">
        <x:v>2039</x:v>
      </x:c>
      <x:c r="H568" s="24" t="n">
        <x:v>46118</x:v>
      </x:c>
      <x:c r="I568" s="24" t="n">
        <x:v>46234</x:v>
      </x:c>
      <x:c r="J568" s="24" t="str">
        <x:v>EXPIRADA</x:v>
      </x:c>
    </x:row>
    <x:row r="569">
      <x:c r="A569" s="24" t="n">
        <x:v>10</x:v>
      </x:c>
      <x:c r="B569" s="24" t="str">
        <x:v>Lentes Eyezen</x:v>
      </x:c>
      <x:c r="C569" s="24" t="n">
        <x:v>540.6</x:v>
      </x:c>
      <x:c r="D569" s="24" t="n">
        <x:v>304.5</x:v>
      </x:c>
      <x:c r="E569" s="24" t="str">
        <x:v>Transitions Extractive 2.729,00 2.729,00 2.459,00</x:v>
      </x:c>
      <x:c r="F569" s="24" t="str">
        <x:v>879,00 1.819,00 1.889,00 1.099,00 2.039,00</x:v>
      </x:c>
      <x:c r="G569" s="24" t="n">
        <x:v>2109</x:v>
      </x:c>
      <x:c r="H569" s="24" t="n">
        <x:v>46118</x:v>
      </x:c>
      <x:c r="I569" s="24" t="n">
        <x:v>46234</x:v>
      </x:c>
      <x:c r="J569" s="24" t="str">
        <x:v>EXPIRADA</x:v>
      </x:c>
    </x:row>
    <x:row r="570">
      <x:c r="A570" s="24" t="n">
        <x:v>10</x:v>
      </x:c>
      <x:c r="B570" s="24" t="str">
        <x:v>Lentes Eyezen</x:v>
      </x:c>
      <x:c r="C570" s="24" t="n">
        <x:v>565.1</x:v>
      </x:c>
      <x:c r="D570" s="24" t="n">
        <x:v>303.8</x:v>
      </x:c>
      <x:c r="E570" s="24" t="str">
        <x:v>Stylis 1.67 2.919,00 2.919,00 2.649,00</x:v>
      </x:c>
      <x:c r="F570" s="24" t="str">
        <x:v>1.889,00 1.099,00 2.039,00 2.109,00</x:v>
      </x:c>
      <x:c r="G570" s="24" t="n">
        <x:v>2299</x:v>
      </x:c>
      <x:c r="H570" s="24" t="n">
        <x:v>46118</x:v>
      </x:c>
      <x:c r="I570" s="24" t="n">
        <x:v>46234</x:v>
      </x:c>
      <x:c r="J570" s="24" t="str">
        <x:v>EXPIRADA</x:v>
      </x:c>
    </x:row>
    <x:row r="571">
      <x:c r="A571" s="24" t="n">
        <x:v>10</x:v>
      </x:c>
      <x:c r="B571" s="24" t="str">
        <x:v>Lentes Eyezen</x:v>
      </x:c>
      <x:c r="C571" s="24" t="n">
        <x:v>580.7</x:v>
      </x:c>
      <x:c r="D571" s="24" t="n">
        <x:v>302.6</x:v>
      </x:c>
      <x:c r="E571" s="24" t="str">
        <x:v>Transitions Gen S 3.859,00 3.859,00 3.589,00</x:v>
      </x:c>
      <x:c r="F571" s="24" t="str">
        <x:v>1.099,00 2.039,00 2.109,00 2.299,00</x:v>
      </x:c>
      <x:c r="G571" s="24" t="n">
        <x:v>3239</x:v>
      </x:c>
      <x:c r="H571" s="24" t="n">
        <x:v>46118</x:v>
      </x:c>
      <x:c r="I571" s="24" t="n">
        <x:v>46234</x:v>
      </x:c>
      <x:c r="J571" s="24" t="str">
        <x:v>EXPIRADA</x:v>
      </x:c>
    </x:row>
    <x:row r="572">
      <x:c r="A572" s="24" t="n">
        <x:v>10</x:v>
      </x:c>
      <x:c r="B572" s="24" t="str">
        <x:v>Lentes Eyezen</x:v>
      </x:c>
      <x:c r="C572" s="24" t="n">
        <x:v>452.6</x:v>
      </x:c>
      <x:c r="D572" s="24" t="n">
        <x:v>255.6</x:v>
      </x:c>
      <x:c r="E572" s="24" t="str">
        <x:v>Orma 1.499,00 1.499,00</x:v>
      </x:c>
      <x:c r="F572" s="24" t="str">
        <x:v>+R$220 vs Orma 1.359,00 Airwear CRIZAL ROCK HR EASY</x:v>
      </x:c>
      <x:c r="G572" s="24" t="n">
        <x:v>1229</x:v>
      </x:c>
      <x:c r="H572" s="24" t="n">
        <x:v>46118</x:v>
      </x:c>
      <x:c r="I572" s="24" t="n">
        <x:v>46234</x:v>
      </x:c>
      <x:c r="J572" s="24" t="str">
        <x:v>EXPIRADA</x:v>
      </x:c>
    </x:row>
    <x:row r="573">
      <x:c r="A573" s="24" t="n">
        <x:v>10</x:v>
      </x:c>
      <x:c r="B573" s="24" t="str">
        <x:v>Lentes Eyezen</x:v>
      </x:c>
      <x:c r="C573" s="24" t="n">
        <x:v>468.5</x:v>
      </x:c>
      <x:c r="D573" s="24" t="n">
        <x:v>254.7</x:v>
      </x:c>
      <x:c r="E573" s="24" t="str">
        <x:v>2.439,00 2.439,00</x:v>
      </x:c>
      <x:c r="F573" s="24" t="str">
        <x:v>+R$220 vs Orma 1.359,00 Airwear CRIZAL ROCK HR EASY 1.229,00</x:v>
      </x:c>
      <x:c r="G573" s="24" t="n">
        <x:v>2169</x:v>
      </x:c>
      <x:c r="H573" s="24" t="n">
        <x:v>46118</x:v>
      </x:c>
      <x:c r="I573" s="24" t="n">
        <x:v>46234</x:v>
      </x:c>
      <x:c r="J573" s="24" t="str">
        <x:v>EXPIRADA</x:v>
      </x:c>
    </x:row>
    <x:row r="574">
      <x:c r="A574" s="24" t="n">
        <x:v>10</x:v>
      </x:c>
      <x:c r="B574" s="24" t="str">
        <x:v>Lentes Eyezen</x:v>
      </x:c>
      <x:c r="C574" s="24" t="n">
        <x:v>483.5</x:v>
      </x:c>
      <x:c r="D574" s="24" t="n">
        <x:v>253.4</x:v>
      </x:c>
      <x:c r="E574" s="24" t="str">
        <x:v>Transitions Extractive 2.509,00 2.509,00</x:v>
      </x:c>
      <x:c r="F574" s="24" t="str">
        <x:v>CRIZAL ROCK HR EASY 1.229,00 2.169,00</x:v>
      </x:c>
      <x:c r="G574" s="24" t="n">
        <x:v>2239</x:v>
      </x:c>
      <x:c r="H574" s="24" t="n">
        <x:v>46118</x:v>
      </x:c>
      <x:c r="I574" s="24" t="n">
        <x:v>46234</x:v>
      </x:c>
      <x:c r="J574" s="24" t="str">
        <x:v>EXPIRADA</x:v>
      </x:c>
    </x:row>
    <x:row r="575">
      <x:c r="A575" s="24" t="n">
        <x:v>10</x:v>
      </x:c>
      <x:c r="B575" s="24" t="str">
        <x:v>Lentes Eyezen</x:v>
      </x:c>
      <x:c r="C575" s="24" t="n">
        <x:v>509.7</x:v>
      </x:c>
      <x:c r="D575" s="24" t="n">
        <x:v>254.1</x:v>
      </x:c>
      <x:c r="E575" s="24" t="str">
        <x:v>Airwear 1.719,00 1.719,00</x:v>
      </x:c>
      <x:c r="F575" s="24" t="str">
        <x:v>CRIZAL ROCK HR EASY 1.229,00 2.169,00 2.239,00</x:v>
      </x:c>
      <x:c r="G575" s="24" t="n">
        <x:v>1449</x:v>
      </x:c>
      <x:c r="H575" s="24" t="n">
        <x:v>46118</x:v>
      </x:c>
      <x:c r="I575" s="24" t="n">
        <x:v>46234</x:v>
      </x:c>
      <x:c r="J575" s="24" t="str">
        <x:v>EXPIRADA</x:v>
      </x:c>
    </x:row>
    <x:row r="576">
      <x:c r="A576" s="24" t="n">
        <x:v>10</x:v>
      </x:c>
      <x:c r="B576" s="24" t="str">
        <x:v>Lentes Eyezen</x:v>
      </x:c>
      <x:c r="C576" s="24" t="n">
        <x:v>524.6</x:v>
      </x:c>
      <x:c r="D576" s="24" t="n">
        <x:v>254.4</x:v>
      </x:c>
      <x:c r="E576" s="24" t="str">
        <x:v>Transitions Gen S 2.659,00 2.659,00</x:v>
      </x:c>
      <x:c r="F576" s="24" t="str">
        <x:v>CRIZAL ROCK HR EASY 1.229,00 2.169,00 2.239,00 1.449,00</x:v>
      </x:c>
      <x:c r="G576" s="24" t="n">
        <x:v>2389</x:v>
      </x:c>
      <x:c r="H576" s="24" t="n">
        <x:v>46118</x:v>
      </x:c>
      <x:c r="I576" s="24" t="n">
        <x:v>46234</x:v>
      </x:c>
      <x:c r="J576" s="24" t="str">
        <x:v>EXPIRADA</x:v>
      </x:c>
    </x:row>
    <x:row r="577">
      <x:c r="A577" s="24" t="n">
        <x:v>10</x:v>
      </x:c>
      <x:c r="B577" s="24" t="str">
        <x:v>Lentes Eyezen</x:v>
      </x:c>
      <x:c r="C577" s="24" t="n">
        <x:v>540.6</x:v>
      </x:c>
      <x:c r="D577" s="24" t="n">
        <x:v>253.6</x:v>
      </x:c>
      <x:c r="E577" s="24" t="str">
        <x:v>Transitions Extractive 2.729,00 2.729,00</x:v>
      </x:c>
      <x:c r="F577" s="24" t="str">
        <x:v>1.229,00 2.169,00 2.239,00 1.449,00 2.389,00</x:v>
      </x:c>
      <x:c r="G577" s="24" t="n">
        <x:v>2459</x:v>
      </x:c>
      <x:c r="H577" s="24" t="n">
        <x:v>46118</x:v>
      </x:c>
      <x:c r="I577" s="24" t="n">
        <x:v>46234</x:v>
      </x:c>
      <x:c r="J577" s="24" t="str">
        <x:v>EXPIRADA</x:v>
      </x:c>
    </x:row>
    <x:row r="578">
      <x:c r="A578" s="24" t="n">
        <x:v>10</x:v>
      </x:c>
      <x:c r="B578" s="24" t="str">
        <x:v>Lentes Eyezen</x:v>
      </x:c>
      <x:c r="C578" s="24" t="n">
        <x:v>565.1</x:v>
      </x:c>
      <x:c r="D578" s="24" t="n">
        <x:v>253.4</x:v>
      </x:c>
      <x:c r="E578" s="24" t="str">
        <x:v>Stylis 1.67 2.919,00 2.919,00</x:v>
      </x:c>
      <x:c r="F578" s="24" t="str">
        <x:v>2.239,00 1.449,00 2.389,00 2.459,00</x:v>
      </x:c>
      <x:c r="G578" s="24" t="n">
        <x:v>2649</x:v>
      </x:c>
      <x:c r="H578" s="24" t="n">
        <x:v>46118</x:v>
      </x:c>
      <x:c r="I578" s="24" t="n">
        <x:v>46234</x:v>
      </x:c>
      <x:c r="J578" s="24" t="str">
        <x:v>EXPIRADA</x:v>
      </x:c>
    </x:row>
    <x:row r="579">
      <x:c r="A579" s="24" t="n">
        <x:v>10</x:v>
      </x:c>
      <x:c r="B579" s="24" t="str">
        <x:v>Lentes Eyezen</x:v>
      </x:c>
      <x:c r="C579" s="24" t="n">
        <x:v>580.7</x:v>
      </x:c>
      <x:c r="D579" s="24" t="n">
        <x:v>253.5</x:v>
      </x:c>
      <x:c r="E579" s="24" t="str">
        <x:v>Transitions Gen S 3.859,00 3.859,00</x:v>
      </x:c>
      <x:c r="F579" s="24" t="str">
        <x:v>1.449,00 2.389,00 2.459,00 2.649,00</x:v>
      </x:c>
      <x:c r="G579" s="24" t="n">
        <x:v>3589</x:v>
      </x:c>
      <x:c r="H579" s="24" t="n">
        <x:v>46118</x:v>
      </x:c>
      <x:c r="I579" s="24" t="n">
        <x:v>46234</x:v>
      </x:c>
      <x:c r="J579" s="24" t="str">
        <x:v>EXPIRADA</x:v>
      </x:c>
    </x:row>
    <x:row r="580">
      <x:c r="A580" s="24" t="n">
        <x:v>10</x:v>
      </x:c>
      <x:c r="B580" s="24" t="str">
        <x:v>Lentes Eyezen</x:v>
      </x:c>
      <x:c r="C580" s="24" t="n">
        <x:v>606.9</x:v>
      </x:c>
      <x:c r="D580" s="24" t="n">
        <x:v>205.3</x:v>
      </x:c>
      <x:c r="E580" s="24" t="str">
        <x:v>Stylis 1.74 -</x:v>
      </x:c>
      <x:c r="F580" s="24" t="str">
        <x:v>2.659,00 2.729,00 2.919,00 3.859,00</x:v>
      </x:c>
      <x:c r="G580" s="24" t="n">
        <x:v>3699</x:v>
      </x:c>
      <x:c r="H580" s="24" t="n">
        <x:v>46118</x:v>
      </x:c>
      <x:c r="I580" s="24" t="n">
        <x:v>46234</x:v>
      </x:c>
      <x:c r="J580" s="24" t="str">
        <x:v>EXPIRADA</x:v>
      </x:c>
    </x:row>
    <x:row r="581">
      <x:c r="A581" s="24" t="n">
        <x:v>10</x:v>
      </x:c>
      <x:c r="B581" s="24" t="str">
        <x:v>Lentes Eyezen</x:v>
      </x:c>
      <x:c r="C581" s="24" t="n">
        <x:v>621.3</x:v>
      </x:c>
      <x:c r="D581" s="24" t="n">
        <x:v>204.4</x:v>
      </x:c>
      <x:c r="E581" s="24" t="str">
        <x:v>Transitions Gen S -</x:v>
      </x:c>
      <x:c r="F581" s="24" t="str">
        <x:v>2.729,00 2.919,00 3.859,00 3.699,00</x:v>
      </x:c>
      <x:c r="G581" s="24" t="n">
        <x:v>4639</x:v>
      </x:c>
      <x:c r="H581" s="24" t="n">
        <x:v>46118</x:v>
      </x:c>
      <x:c r="I581" s="24" t="n">
        <x:v>46234</x:v>
      </x:c>
      <x:c r="J581" s="24" t="str">
        <x:v>EXPIRADA</x:v>
      </x:c>
    </x:row>
    <x:row r="582">
      <x:c r="A582" s="24" t="n">
        <x:v>10</x:v>
      </x:c>
      <x:c r="B582" s="24" t="str">
        <x:v>Lentes Eyezen</x:v>
      </x:c>
      <x:c r="C582" s="24" t="n">
        <x:v>686.3</x:v>
      </x:c>
      <x:c r="D582" s="24" t="n">
        <x:v>378.5</x:v>
      </x:c>
      <x:c r="E582" s="24" t="str">
        <x:v>Orma + Xperio cinza/marrom/verde 1.689,00 1.669,00 1.029,00 Orma + Coloração padrão</x:v>
      </x:c>
      <x:c r="F582" s="24" t="str">
        <x:v>74 Fit Eyecode | ALT. MÍN 14mm VERNIZ HC MARCAÇÃO</x:v>
      </x:c>
      <x:c r="G582" s="24" t="n">
        <x:v>659</x:v>
      </x:c>
      <x:c r="H582" s="24" t="n">
        <x:v>46118</x:v>
      </x:c>
      <x:c r="I582" s="24" t="n">
        <x:v>46234</x:v>
      </x:c>
      <x:c r="J582" s="24" t="str">
        <x:v>EXPIRADA</x:v>
      </x:c>
    </x:row>
    <x:row r="583">
      <x:c r="A583" s="24" t="n">
        <x:v>10</x:v>
      </x:c>
      <x:c r="B583" s="24" t="str">
        <x:v>Lentes Eyezen</x:v>
      </x:c>
      <x:c r="C583" s="24" t="n">
        <x:v>699.2</x:v>
      </x:c>
      <x:c r="D583" s="24" t="n">
        <x:v>378.1</x:v>
      </x:c>
      <x:c r="E583" s="24" t="str">
        <x:v>+ Coloração especial</x:v>
      </x:c>
      <x:c r="F583" s="24" t="str">
        <x:v>Eyecode | ALT. MÍN 14mm VERNIZ HC MARCAÇÃO 659,00 padrão</x:v>
      </x:c>
      <x:c r="G583" s="24" t="n">
        <x:v>769</x:v>
      </x:c>
      <x:c r="H583" s="24" t="n">
        <x:v>46118</x:v>
      </x:c>
      <x:c r="I583" s="24" t="n">
        <x:v>46234</x:v>
      </x:c>
      <x:c r="J583" s="24" t="str">
        <x:v>EXPIRADA</x:v>
      </x:c>
    </x:row>
    <x:row r="584">
      <x:c r="A584" s="24" t="n">
        <x:v>10</x:v>
      </x:c>
      <x:c r="B584" s="24" t="str">
        <x:v>Lentes Eyezen</x:v>
      </x:c>
      <x:c r="C584" s="24" t="n">
        <x:v>717.8</x:v>
      </x:c>
      <x:c r="D584" s="24" t="n">
        <x:v>226.8</x:v>
      </x:c>
      <x:c r="E584" s="24" t="str">
        <x:v>+ Xperio cinza/marrom/verde 1.909,00 1.889,00</x:v>
      </x:c>
      <x:c r="F584" s="24" t="str">
        <x:v>sem custo adicional OPTIFOG VERNIZ HC Orma 1.669,00 1.029,00 +R$220</x:v>
      </x:c>
      <x:c r="G584" s="24" t="n">
        <x:v>1249</x:v>
      </x:c>
      <x:c r="H584" s="24" t="n">
        <x:v>46118</x:v>
      </x:c>
      <x:c r="I584" s="24" t="n">
        <x:v>46234</x:v>
      </x:c>
      <x:c r="J584" s="24" t="str">
        <x:v>EXPIRADA</x:v>
      </x:c>
    </x:row>
    <x:row r="585">
      <x:c r="A585" s="24" t="n">
        <x:v>10</x:v>
      </x:c>
      <x:c r="B585" s="24" t="str">
        <x:v>Lentes Eyezen</x:v>
      </x:c>
      <x:c r="C585" s="24" t="n">
        <x:v>717.8</x:v>
      </x:c>
      <x:c r="D585" s="24" t="n">
        <x:v>147.9</x:v>
      </x:c>
      <x:c r="E585" s="24" t="str">
        <x:v>+ Xperio cinza/marrom/verde</x:v>
      </x:c>
      <x:c r="F585" s="24" t="str">
        <x:v>14mm adicional CRIZAL SAPPHIRE HR OPTIFOG FACE INTERNA 1.689,00 1.669,00</x:v>
      </x:c>
      <x:c r="G585" s="24" t="n">
        <x:v>1909</x:v>
      </x:c>
      <x:c r="H585" s="24" t="n">
        <x:v>46118</x:v>
      </x:c>
      <x:c r="I585" s="24" t="n">
        <x:v>46234</x:v>
      </x:c>
      <x:c r="J585" s="24" t="str">
        <x:v>EXPIRADA</x:v>
      </x:c>
    </x:row>
    <x:row r="586">
      <x:c r="A586" s="24" t="n">
        <x:v>10</x:v>
      </x:c>
      <x:c r="B586" s="24" t="str">
        <x:v>Lentes Eyezen</x:v>
      </x:c>
      <x:c r="C586" s="24" t="n">
        <x:v>717.8</x:v>
      </x:c>
      <x:c r="D586" s="24" t="n">
        <x:v>189.7</x:v>
      </x:c>
      <x:c r="E586" s="24" t="str">
        <x:v>+ Xperio cinza/marrom/verde 1.909,00</x:v>
      </x:c>
      <x:c r="F586" s="24" t="str">
        <x:v>14mm adicional SAPPHIRE HR OPTIFOG VERNIZ INTERNA 1.689,00 1.669,00 1.029,00</x:v>
      </x:c>
      <x:c r="G586" s="24" t="n">
        <x:v>1889</x:v>
      </x:c>
      <x:c r="H586" s="24" t="n">
        <x:v>46118</x:v>
      </x:c>
      <x:c r="I586" s="24" t="n">
        <x:v>46234</x:v>
      </x:c>
      <x:c r="J586" s="24" t="str">
        <x:v>EXPIRADA</x:v>
      </x:c>
    </x:row>
    <x:row r="587">
      <x:c r="A587" s="24" t="n">
        <x:v>10</x:v>
      </x:c>
      <x:c r="B587" s="24" t="str">
        <x:v>Lentes Eyezen</x:v>
      </x:c>
      <x:c r="C587" s="24" t="n">
        <x:v>688.6</x:v>
      </x:c>
      <x:c r="D587" s="24" t="n">
        <x:v>149.2</x:v>
      </x:c>
      <x:c r="E587" s="24" t="str">
        <x:v>Orma + Xperio cinza/marrom/verde</x:v>
      </x:c>
      <x:c r="F587" s="24" t="str">
        <x:v>ALT. MÍN 14mm adicional CRIZAL SAPPHIRE HR OPTIFOG FACE INTERNA</x:v>
      </x:c>
      <x:c r="G587" s="24" t="n">
        <x:v>1689</x:v>
      </x:c>
      <x:c r="H587" s="24" t="n">
        <x:v>46118</x:v>
      </x:c>
      <x:c r="I587" s="24" t="n">
        <x:v>46234</x:v>
      </x:c>
      <x:c r="J587" s="24" t="str">
        <x:v>EXPIRADA</x:v>
      </x:c>
    </x:row>
    <x:row r="588">
      <x:c r="A588" s="24" t="n">
        <x:v>10</x:v>
      </x:c>
      <x:c r="B588" s="24" t="str">
        <x:v>Lentes Eyezen</x:v>
      </x:c>
      <x:c r="C588" s="24" t="n">
        <x:v>688.6</x:v>
      </x:c>
      <x:c r="D588" s="24" t="n">
        <x:v>227</x:v>
      </x:c>
      <x:c r="E588" s="24" t="str">
        <x:v>Orma + Xperio cinza/marrom/verde 1.689,00 1.669,00</x:v>
      </x:c>
      <x:c r="F588" s="24" t="str">
        <x:v>3.699,00 - 4.639,00 - sem custo adicional OPTIFOG VERNIZ HC</x:v>
      </x:c>
      <x:c r="G588" s="24" t="n">
        <x:v>1029</x:v>
      </x:c>
      <x:c r="H588" s="24" t="n">
        <x:v>46118</x:v>
      </x:c>
      <x:c r="I588" s="24" t="n">
        <x:v>46234</x:v>
      </x:c>
      <x:c r="J588" s="24" t="str">
        <x:v>EXPIRADA</x:v>
      </x:c>
    </x:row>
    <x:row r="589">
      <x:c r="A589" s="24" t="n">
        <x:v>10</x:v>
      </x:c>
      <x:c r="B589" s="24" t="str">
        <x:v>Lentes Eyezen</x:v>
      </x:c>
      <x:c r="C589" s="24" t="n">
        <x:v>688.6</x:v>
      </x:c>
      <x:c r="D589" s="24" t="n">
        <x:v>189.1</x:v>
      </x:c>
      <x:c r="E589" s="24" t="str">
        <x:v>Orma + Xperio cinza/marrom/verde 1.689,00</x:v>
      </x:c>
      <x:c r="F589" s="24" t="str">
        <x:v>sem custo MÍN 14mm adicional SAPPHIRE HR OPTIFOG VERNIZ INTERNA</x:v>
      </x:c>
      <x:c r="G589" s="24" t="n">
        <x:v>1669</x:v>
      </x:c>
      <x:c r="H589" s="24" t="n">
        <x:v>46118</x:v>
      </x:c>
      <x:c r="I589" s="24" t="n">
        <x:v>46234</x:v>
      </x:c>
      <x:c r="J589" s="24" t="str">
        <x:v>EXPIRADA</x:v>
      </x:c>
    </x:row>
    <x:row r="590">
      <x:c r="A590" s="24" t="n">
        <x:v>10</x:v>
      </x:c>
      <x:c r="B590" s="24" t="str">
        <x:v>Lentes Eyezen</x:v>
      </x:c>
      <x:c r="C590" s="24" t="n">
        <x:v>718.1</x:v>
      </x:c>
      <x:c r="D590" s="24" t="n">
        <x:v>377.7</x:v>
      </x:c>
      <x:c r="E590" s="24" t="str">
        <x:v>+ Xperio cinza/marrom/verde 1.909,00 1.889,00 1.249,00 Airwear + Coloração padrão</x:v>
      </x:c>
      <x:c r="F590" s="24" t="str">
        <x:v>ALT. MÍN 14mm VERNIZ HC MARCAÇÃO 659,00 padrão 769,00 especial</x:v>
      </x:c>
      <x:c r="G590" s="24" t="n">
        <x:v>879</x:v>
      </x:c>
      <x:c r="H590" s="24" t="n">
        <x:v>46118</x:v>
      </x:c>
      <x:c r="I590" s="24" t="n">
        <x:v>46234</x:v>
      </x:c>
      <x:c r="J590" s="24" t="str">
        <x:v>EXPIRADA</x:v>
      </x:c>
    </x:row>
    <x:row r="591">
      <x:c r="A591" s="24" t="n">
        <x:v>10</x:v>
      </x:c>
      <x:c r="B591" s="24" t="str">
        <x:v>Lentes Eyezen</x:v>
      </x:c>
      <x:c r="C591" s="24" t="n">
        <x:v>731.6</x:v>
      </x:c>
      <x:c r="D591" s="24" t="n">
        <x:v>377.6</x:v>
      </x:c>
      <x:c r="E591" s="24" t="str">
        <x:v>+ Coloração especial</x:v>
      </x:c>
      <x:c r="F591" s="24" t="str">
        <x:v>14mm VERNIZ HC MARCAÇÃO 659,00 padrão 769,00 especial 879,00 padrão</x:v>
      </x:c>
      <x:c r="G591" s="24" t="n">
        <x:v>989</x:v>
      </x:c>
      <x:c r="H591" s="24" t="n">
        <x:v>46118</x:v>
      </x:c>
      <x:c r="I591" s="24" t="n">
        <x:v>46234</x:v>
      </x:c>
      <x:c r="J591" s="24" t="str">
        <x:v>EXPIRADA</x:v>
      </x:c>
    </x:row>
    <x:row r="592">
      <x:c r="A592" s="24" t="n">
        <x:v>10</x:v>
      </x:c>
      <x:c r="B592" s="24" t="str">
        <x:v>Lentes Eyezen</x:v>
      </x:c>
      <x:c r="C592" s="24" t="n">
        <x:v>348.4</x:v>
      </x:c>
      <x:c r="D592" s="24" t="n">
        <x:v>377.9</x:v>
      </x:c>
      <x:c r="E592" s="24" t="str">
        <x:v>Orma + Xperio cinza/marrom/verde 1.799,00 1.779,00 1.139,00 Orma + Coloração padrão</x:v>
      </x:c>
      <x:c r="F592" s="24" t="str">
        <x:v>74 74 74 74 VERNIZ HC</x:v>
      </x:c>
      <x:c r="G592" s="24" t="n">
        <x:v>769</x:v>
      </x:c>
      <x:c r="H592" s="24" t="n">
        <x:v>46118</x:v>
      </x:c>
      <x:c r="I592" s="24" t="n">
        <x:v>46234</x:v>
      </x:c>
      <x:c r="J592" s="24" t="str">
        <x:v>EXPIRADA</x:v>
      </x:c>
    </x:row>
    <x:row r="593">
      <x:c r="A593" s="24" t="n">
        <x:v>10</x:v>
      </x:c>
      <x:c r="B593" s="24" t="str">
        <x:v>Lentes Eyezen</x:v>
      </x:c>
      <x:c r="C593" s="24" t="n">
        <x:v>361.3</x:v>
      </x:c>
      <x:c r="D593" s="24" t="n">
        <x:v>377.8</x:v>
      </x:c>
      <x:c r="E593" s="24" t="str">
        <x:v>+ Coloração especial</x:v>
      </x:c>
      <x:c r="F593" s="24" t="str">
        <x:v>74 74 74 74 VERNIZ HC 769,00 padrão</x:v>
      </x:c>
      <x:c r="G593" s="24" t="n">
        <x:v>879</x:v>
      </x:c>
      <x:c r="H593" s="24" t="n">
        <x:v>46118</x:v>
      </x:c>
      <x:c r="I593" s="24" t="n">
        <x:v>46234</x:v>
      </x:c>
      <x:c r="J593" s="24" t="str">
        <x:v>EXPIRADA</x:v>
      </x:c>
    </x:row>
    <x:row r="594">
      <x:c r="A594" s="24" t="n">
        <x:v>10</x:v>
      </x:c>
      <x:c r="B594" s="24" t="str">
        <x:v>Lentes Eyezen</x:v>
      </x:c>
      <x:c r="C594" s="24" t="n">
        <x:v>378.3</x:v>
      </x:c>
      <x:c r="D594" s="24" t="n">
        <x:v>149.9</x:v>
      </x:c>
      <x:c r="E594" s="24" t="str">
        <x:v>+ Xperio cinza/marrom/verde</x:v>
      </x:c>
      <x:c r="F594" s="24" t="str">
        <x:v>- +R$940 CRIZAL SAPPHIRE HR OPTIFOG FACE INTERNA 1.799,00 1.779,00</x:v>
      </x:c>
      <x:c r="G594" s="24" t="n">
        <x:v>2019</x:v>
      </x:c>
      <x:c r="H594" s="24" t="n">
        <x:v>46118</x:v>
      </x:c>
      <x:c r="I594" s="24" t="n">
        <x:v>46234</x:v>
      </x:c>
      <x:c r="J594" s="24" t="str">
        <x:v>EXPIRADA</x:v>
      </x:c>
    </x:row>
    <x:row r="595">
      <x:c r="A595" s="24" t="n">
        <x:v>10</x:v>
      </x:c>
      <x:c r="B595" s="24" t="str">
        <x:v>Lentes Eyezen</x:v>
      </x:c>
      <x:c r="C595" s="24" t="n">
        <x:v>348.2</x:v>
      </x:c>
      <x:c r="D595" s="24" t="n">
        <x:v>149.4</x:v>
      </x:c>
      <x:c r="E595" s="24" t="str">
        <x:v>Orma + Xperio cinza/marrom/verde</x:v>
      </x:c>
      <x:c r="F595" s="24" t="str">
        <x:v>+R$940 - - +R$940 CRIZAL SAPPHIRE HR OPTIFOG FACE INTERNA</x:v>
      </x:c>
      <x:c r="G595" s="24" t="n">
        <x:v>1799</x:v>
      </x:c>
      <x:c r="H595" s="24" t="n">
        <x:v>46118</x:v>
      </x:c>
      <x:c r="I595" s="24" t="n">
        <x:v>46234</x:v>
      </x:c>
      <x:c r="J595" s="24" t="str">
        <x:v>EXPIRADA</x:v>
      </x:c>
    </x:row>
    <x:row r="596">
      <x:c r="A596" s="24" t="n">
        <x:v>10</x:v>
      </x:c>
      <x:c r="B596" s="24" t="str">
        <x:v>Lentes Eyezen</x:v>
      </x:c>
      <x:c r="C596" s="24" t="n">
        <x:v>378.3</x:v>
      </x:c>
      <x:c r="D596" s="24" t="n">
        <x:v>187</x:v>
      </x:c>
      <x:c r="E596" s="24" t="str">
        <x:v>+ Xperio cinza/marrom/verde 2.019,00</x:v>
      </x:c>
      <x:c r="F596" s="24" t="str">
        <x:v>4.749,00 - SAPPHIRE HR OPTIFOG VERNIZ INTERNA 1.799,00 1.779,00 1.139,00</x:v>
      </x:c>
      <x:c r="G596" s="24" t="n">
        <x:v>1999</x:v>
      </x:c>
      <x:c r="H596" s="24" t="n">
        <x:v>46118</x:v>
      </x:c>
      <x:c r="I596" s="24" t="n">
        <x:v>46234</x:v>
      </x:c>
      <x:c r="J596" s="24" t="str">
        <x:v>EXPIRADA</x:v>
      </x:c>
    </x:row>
    <x:row r="597">
      <x:c r="A597" s="24" t="n">
        <x:v>10</x:v>
      </x:c>
      <x:c r="B597" s="24" t="str">
        <x:v>Lentes Eyezen</x:v>
      </x:c>
      <x:c r="C597" s="24" t="n">
        <x:v>348.2</x:v>
      </x:c>
      <x:c r="D597" s="24" t="n">
        <x:v>189.4</x:v>
      </x:c>
      <x:c r="E597" s="24" t="str">
        <x:v>Orma + Xperio cinza/marrom/verde 1.799,00</x:v>
      </x:c>
      <x:c r="F597" s="24" t="str">
        <x:v>3.809,00 - 4.749,00 - SAPPHIRE HR OPTIFOG VERNIZ HC INTERNA</x:v>
      </x:c>
      <x:c r="G597" s="24" t="n">
        <x:v>1779</x:v>
      </x:c>
      <x:c r="H597" s="24" t="n">
        <x:v>46118</x:v>
      </x:c>
      <x:c r="I597" s="24" t="n">
        <x:v>46234</x:v>
      </x:c>
      <x:c r="J597" s="24" t="str">
        <x:v>EXPIRADA</x:v>
      </x:c>
    </x:row>
    <x:row r="598">
      <x:c r="A598" s="24" t="n">
        <x:v>10</x:v>
      </x:c>
      <x:c r="B598" s="24" t="str">
        <x:v>Lentes Eyezen</x:v>
      </x:c>
      <x:c r="C598" s="24" t="n">
        <x:v>378.3</x:v>
      </x:c>
      <x:c r="D598" s="24" t="n">
        <x:v>224.9</x:v>
      </x:c>
      <x:c r="E598" s="24" t="str">
        <x:v>+ Xperio cinza/marrom/verde 2.019,00 1.999,00</x:v>
      </x:c>
      <x:c r="F598" s="24" t="str">
        <x:v>4.749,00 - OPTIFOG VERNIZ HC 1.779,00 1.139,00 Orma</x:v>
      </x:c>
      <x:c r="G598" s="24" t="n">
        <x:v>1359</x:v>
      </x:c>
      <x:c r="H598" s="24" t="n">
        <x:v>46118</x:v>
      </x:c>
      <x:c r="I598" s="24" t="n">
        <x:v>46234</x:v>
      </x:c>
      <x:c r="J598" s="24" t="str">
        <x:v>EXPIRADA</x:v>
      </x:c>
    </x:row>
    <x:row r="599">
      <x:c r="A599" s="24" t="n">
        <x:v>10</x:v>
      </x:c>
      <x:c r="B599" s="24" t="str">
        <x:v>Lentes Eyezen</x:v>
      </x:c>
      <x:c r="C599" s="24" t="n">
        <x:v>348.2</x:v>
      </x:c>
      <x:c r="D599" s="24" t="n">
        <x:v>225.5</x:v>
      </x:c>
      <x:c r="E599" s="24" t="str">
        <x:v>Orma + Xperio cinza/marrom/verde 1.799,00 1.779,00</x:v>
      </x:c>
      <x:c r="F599" s="24" t="str">
        <x:v>3.809,00 - 4.749,00 - OPTIFOG VERNIZ HC</x:v>
      </x:c>
      <x:c r="G599" s="24" t="n">
        <x:v>1139</x:v>
      </x:c>
      <x:c r="H599" s="24" t="n">
        <x:v>46118</x:v>
      </x:c>
      <x:c r="I599" s="24" t="n">
        <x:v>46234</x:v>
      </x:c>
      <x:c r="J599" s="24" t="str">
        <x:v>EXPIRADA</x:v>
      </x:c>
    </x:row>
    <x:row r="600">
      <x:c r="A600" s="24" t="n">
        <x:v>10</x:v>
      </x:c>
      <x:c r="B600" s="24" t="str">
        <x:v>Lentes Eyezen</x:v>
      </x:c>
      <x:c r="C600" s="24" t="n">
        <x:v>380.7</x:v>
      </x:c>
      <x:c r="D600" s="24" t="n">
        <x:v>378</x:v>
      </x:c>
      <x:c r="E600" s="24" t="str">
        <x:v>Xperio cinza/marrom/verde 2.019,00 1.999,00 1.359,00 Airwear + Coloração padrão</x:v>
      </x:c>
      <x:c r="F600" s="24" t="str">
        <x:v>VERNIZ HC 769,00 padrão 879,00 especial</x:v>
      </x:c>
      <x:c r="G600" s="24" t="n">
        <x:v>989</x:v>
      </x:c>
      <x:c r="H600" s="24" t="n">
        <x:v>46118</x:v>
      </x:c>
      <x:c r="I600" s="24" t="n">
        <x:v>46234</x:v>
      </x:c>
      <x:c r="J600" s="24" t="str">
        <x:v>EXPIRADA</x:v>
      </x:c>
    </x:row>
    <x:row r="601">
      <x:c r="A601" s="24" t="n">
        <x:v>10</x:v>
      </x:c>
      <x:c r="B601" s="24" t="str">
        <x:v>Lentes Eyezen</x:v>
      </x:c>
      <x:c r="C601" s="24" t="n">
        <x:v>393.6</x:v>
      </x:c>
      <x:c r="D601" s="24" t="n">
        <x:v>374.8</x:v>
      </x:c>
      <x:c r="E601" s="24" t="str">
        <x:v>+ Coloração especial</x:v>
      </x:c>
      <x:c r="F601" s="24" t="str">
        <x:v>VERNIZ HC 769,00 padrão 879,00 especial 989,00 padrão</x:v>
      </x:c>
      <x:c r="G601" s="24" t="n">
        <x:v>1099</x:v>
      </x:c>
      <x:c r="H601" s="24" t="n">
        <x:v>46118</x:v>
      </x:c>
      <x:c r="I601" s="24" t="n">
        <x:v>46234</x:v>
      </x:c>
      <x:c r="J601" s="24" t="str">
        <x:v>EXPIRADA</x:v>
      </x:c>
    </x:row>
    <x:row r="602">
      <x:c r="A602" s="24" t="n">
        <x:v>10</x:v>
      </x:c>
      <x:c r="B602" s="24" t="str">
        <x:v>Lentes Eyezen</x:v>
      </x:c>
      <x:c r="C602" s="24" t="n">
        <x:v>137.5</x:v>
      </x:c>
      <x:c r="D602" s="24" t="n">
        <x:v>329</x:v>
      </x:c>
      <x:c r="E602" s="24" t="str">
        <x:v>Orma 1.609,00 1.609,00 1.339,00 989,00</x:v>
      </x:c>
      <x:c r="F602" s="24" t="str">
        <x:v>LEGENDA CINZA C MARROM M CRIZAL OPTIFOG 0.4 PRO</x:v>
      </x:c>
      <x:c r="G602" s="24" t="n">
        <x:v>1229</x:v>
      </x:c>
      <x:c r="H602" s="24" t="n">
        <x:v>46118</x:v>
      </x:c>
      <x:c r="I602" s="24" t="n">
        <x:v>46234</x:v>
      </x:c>
      <x:c r="J602" s="24" t="str">
        <x:v>EXPIRADA</x:v>
      </x:c>
    </x:row>
    <x:row r="603">
      <x:c r="A603" s="24" t="n">
        <x:v>10</x:v>
      </x:c>
      <x:c r="B603" s="24" t="str">
        <x:v>Lentes Eyezen</x:v>
      </x:c>
      <x:c r="C603" s="24" t="n">
        <x:v>167.2</x:v>
      </x:c>
      <x:c r="D603" s="24" t="n">
        <x:v>326.8</x:v>
      </x:c>
      <x:c r="E603" s="24" t="str">
        <x:v>C +R$1.010 2.619,00 2.619,00 2.349,00 1.999,00</x:v>
      </x:c>
      <x:c r="F603" s="24" t="str">
        <x:v>MARROM M CRIZAL OPTIFOG 0.4 PRO 989,00 1.229,00 1.929,00 2.169,00</x:v>
      </x:c>
      <x:c r="G603" s="24" t="n">
        <x:v>2239</x:v>
      </x:c>
      <x:c r="H603" s="24" t="n">
        <x:v>46118</x:v>
      </x:c>
      <x:c r="I603" s="24" t="n">
        <x:v>46234</x:v>
      </x:c>
      <x:c r="J603" s="24" t="str">
        <x:v>EXPIRADA</x:v>
      </x:c>
    </x:row>
    <x:row r="604">
      <x:c r="A604" s="24" t="n">
        <x:v>10</x:v>
      </x:c>
      <x:c r="B604" s="24" t="str">
        <x:v>Lentes Eyezen</x:v>
      </x:c>
      <x:c r="C604" s="24" t="n">
        <x:v>187</x:v>
      </x:c>
      <x:c r="D604" s="24" t="n">
        <x:v>328</x:v>
      </x:c>
      <x:c r="E604" s="24" t="str">
        <x:v>Airwear 1.829,00 1.829,00 1.559,00 1.209,00</x:v>
      </x:c>
      <x:c r="F604" s="24" t="str">
        <x:v>CRIZAL OPTIFOG 0.4 PRO 989,00 1.229,00 1.929,00 2.169,00 1.999,00 2.239,00</x:v>
      </x:c>
      <x:c r="G604" s="24" t="n">
        <x:v>1449</x:v>
      </x:c>
      <x:c r="H604" s="24" t="n">
        <x:v>46118</x:v>
      </x:c>
      <x:c r="I604" s="24" t="n">
        <x:v>46234</x:v>
      </x:c>
      <x:c r="J604" s="24" t="str">
        <x:v>EXPIRADA</x:v>
      </x:c>
    </x:row>
    <x:row r="605">
      <x:c r="A605" s="24" t="n">
        <x:v>10</x:v>
      </x:c>
      <x:c r="B605" s="24" t="str">
        <x:v>Lentes Eyezen</x:v>
      </x:c>
      <x:c r="C605" s="24" t="n">
        <x:v>216.2</x:v>
      </x:c>
      <x:c r="D605" s="24" t="n">
        <x:v>327</x:v>
      </x:c>
      <x:c r="E605" s="24" t="str">
        <x:v>Transitions Extractive 2.839,00 2.839,00 2.569,00 2.219,00</x:v>
      </x:c>
      <x:c r="F605" s="24" t="str">
        <x:v>989,00 1.229,00 1.929,00 2.169,00 1.999,00 2.239,00 1.209,00 1.449,00 2.149,00 2.389,00</x:v>
      </x:c>
      <x:c r="G605" s="24" t="n">
        <x:v>2459</x:v>
      </x:c>
      <x:c r="H605" s="24" t="n">
        <x:v>46118</x:v>
      </x:c>
      <x:c r="I605" s="24" t="n">
        <x:v>46234</x:v>
      </x:c>
      <x:c r="J605" s="24" t="str">
        <x:v>EXPIRADA</x:v>
      </x:c>
    </x:row>
    <x:row r="606">
      <x:c r="A606" s="24" t="n">
        <x:v>10</x:v>
      </x:c>
      <x:c r="B606" s="24" t="str">
        <x:v>Lentes Eyezen</x:v>
      </x:c>
      <x:c r="C606" s="24" t="n">
        <x:v>237.9</x:v>
      </x:c>
      <x:c r="D606" s="24" t="n">
        <x:v>326.2</x:v>
      </x:c>
      <x:c r="E606" s="24" t="str">
        <x:v>Stylis 1.67 3.029,00 3.029,00 2.759,00 2.409,00</x:v>
      </x:c>
      <x:c r="F606" s="24" t="str">
        <x:v>1.929,00 2.169,00 1.999,00 2.239,00 1.209,00 1.449,00 2.149,00 2.389,00 2.219,00 2.459,00</x:v>
      </x:c>
      <x:c r="G606" s="24" t="n">
        <x:v>2649</x:v>
      </x:c>
      <x:c r="H606" s="24" t="n">
        <x:v>46118</x:v>
      </x:c>
      <x:c r="I606" s="24" t="n">
        <x:v>46234</x:v>
      </x:c>
      <x:c r="J606" s="24" t="str">
        <x:v>EXPIRADA</x:v>
      </x:c>
    </x:row>
    <x:row r="607">
      <x:c r="A607" s="24" t="n">
        <x:v>10</x:v>
      </x:c>
      <x:c r="B607" s="24" t="str">
        <x:v>Lentes Eyezen</x:v>
      </x:c>
      <x:c r="C607" s="24" t="n">
        <x:v>252.9</x:v>
      </x:c>
      <x:c r="D607" s="24" t="n">
        <x:v>325.8</x:v>
      </x:c>
      <x:c r="E607" s="24" t="str">
        <x:v>+R$940 3.969,00 3.969,00 3.699,00 3.349,00</x:v>
      </x:c>
      <x:c r="F607" s="24" t="str">
        <x:v>1.999,00 2.239,00 1.209,00 1.449,00 2.149,00 2.389,00 2.219,00 2.459,00 2.409,00 2.649,00</x:v>
      </x:c>
      <x:c r="G607" s="24" t="n">
        <x:v>3589</x:v>
      </x:c>
      <x:c r="H607" s="24" t="n">
        <x:v>46118</x:v>
      </x:c>
      <x:c r="I607" s="24" t="n">
        <x:v>46234</x:v>
      </x:c>
      <x:c r="J607" s="24" t="str">
        <x:v>EXPIRADA</x:v>
      </x:c>
    </x:row>
    <x:row r="608">
      <x:c r="A608" s="24" t="n">
        <x:v>10</x:v>
      </x:c>
      <x:c r="B608" s="24" t="str">
        <x:v>Lentes Eyezen</x:v>
      </x:c>
      <x:c r="C608" s="24" t="n">
        <x:v>137.5</x:v>
      </x:c>
      <x:c r="D608" s="24" t="n">
        <x:v>201.3</x:v>
      </x:c>
      <x:c r="E608" s="24" t="str">
        <x:v>Orma 1.609,00</x:v>
      </x:c>
      <x:c r="F608" s="24" t="str">
        <x:v>CRIZAL SAPPHIRE HR</x:v>
      </x:c>
      <x:c r="G608" s="24" t="n">
        <x:v>1609</x:v>
      </x:c>
      <x:c r="H608" s="24" t="n">
        <x:v>46118</x:v>
      </x:c>
      <x:c r="I608" s="24" t="n">
        <x:v>46234</x:v>
      </x:c>
      <x:c r="J608" s="24" t="str">
        <x:v>EXPIRADA</x:v>
      </x:c>
    </x:row>
    <x:row r="609">
      <x:c r="A609" s="24" t="n">
        <x:v>10</x:v>
      </x:c>
      <x:c r="B609" s="24" t="str">
        <x:v>Lentes Eyezen</x:v>
      </x:c>
      <x:c r="C609" s="24" t="n">
        <x:v>167.2</x:v>
      </x:c>
      <x:c r="D609" s="24" t="n">
        <x:v>201.8</x:v>
      </x:c>
      <x:c r="E609" s="24" t="str">
        <x:v>C +R$1.010 2.619,00</x:v>
      </x:c>
      <x:c r="F609" s="24" t="str">
        <x:v>CRIZAL SAPPHIRE HR 1.609,00 2.549,00 2.279,00</x:v>
      </x:c>
      <x:c r="G609" s="24" t="n">
        <x:v>2619</x:v>
      </x:c>
      <x:c r="H609" s="24" t="n">
        <x:v>46118</x:v>
      </x:c>
      <x:c r="I609" s="24" t="n">
        <x:v>46234</x:v>
      </x:c>
      <x:c r="J609" s="24" t="str">
        <x:v>EXPIRADA</x:v>
      </x:c>
    </x:row>
    <x:row r="610">
      <x:c r="A610" s="24" t="n">
        <x:v>10</x:v>
      </x:c>
      <x:c r="B610" s="24" t="str">
        <x:v>Lentes Eyezen</x:v>
      </x:c>
      <x:c r="C610" s="24" t="n">
        <x:v>187</x:v>
      </x:c>
      <x:c r="D610" s="24" t="n">
        <x:v>202.4</x:v>
      </x:c>
      <x:c r="E610" s="24" t="str">
        <x:v>Airwear 1.829,00</x:v>
      </x:c>
      <x:c r="F610" s="24" t="str">
        <x:v>CRIZAL SAPPHIRE HR 1.609,00 2.549,00 2.279,00 2.349,00 2.619,00</x:v>
      </x:c>
      <x:c r="G610" s="24" t="n">
        <x:v>1829</x:v>
      </x:c>
      <x:c r="H610" s="24" t="n">
        <x:v>46118</x:v>
      </x:c>
      <x:c r="I610" s="24" t="n">
        <x:v>46234</x:v>
      </x:c>
      <x:c r="J610" s="24" t="str">
        <x:v>EXPIRADA</x:v>
      </x:c>
    </x:row>
    <x:row r="611">
      <x:c r="A611" s="24" t="n">
        <x:v>10</x:v>
      </x:c>
      <x:c r="B611" s="24" t="str">
        <x:v>Lentes Eyezen</x:v>
      </x:c>
      <x:c r="C611" s="24" t="n">
        <x:v>216.2</x:v>
      </x:c>
      <x:c r="D611" s="24" t="n">
        <x:v>200.8</x:v>
      </x:c>
      <x:c r="E611" s="24" t="str">
        <x:v>Transitions Extractive 2.839,00</x:v>
      </x:c>
      <x:c r="F611" s="24" t="str">
        <x:v>SAPPHIRE HR 1.609,00 2.549,00 2.279,00 2.349,00 2.619,00 1.829,00 2.769,00</x:v>
      </x:c>
      <x:c r="G611" s="24" t="n">
        <x:v>2839</x:v>
      </x:c>
      <x:c r="H611" s="24" t="n">
        <x:v>46118</x:v>
      </x:c>
      <x:c r="I611" s="24" t="n">
        <x:v>46234</x:v>
      </x:c>
      <x:c r="J611" s="24" t="str">
        <x:v>EXPIRADA</x:v>
      </x:c>
    </x:row>
    <x:row r="612">
      <x:c r="A612" s="24" t="n">
        <x:v>10</x:v>
      </x:c>
      <x:c r="B612" s="24" t="str">
        <x:v>Lentes Eyezen</x:v>
      </x:c>
      <x:c r="C612" s="24" t="n">
        <x:v>237.9</x:v>
      </x:c>
      <x:c r="D612" s="24" t="n">
        <x:v>200.8</x:v>
      </x:c>
      <x:c r="E612" s="24" t="str">
        <x:v>Stylis 1.67 3.029,00</x:v>
      </x:c>
      <x:c r="F612" s="24" t="str">
        <x:v>2.549,00 2.279,00 2.349,00 2.619,00 1.829,00 2.769,00 2.839,00</x:v>
      </x:c>
      <x:c r="G612" s="24" t="n">
        <x:v>3029</x:v>
      </x:c>
      <x:c r="H612" s="24" t="n">
        <x:v>46118</x:v>
      </x:c>
      <x:c r="I612" s="24" t="n">
        <x:v>46234</x:v>
      </x:c>
      <x:c r="J612" s="24" t="str">
        <x:v>EXPIRADA</x:v>
      </x:c>
    </x:row>
    <x:row r="613">
      <x:c r="A613" s="24" t="n">
        <x:v>10</x:v>
      </x:c>
      <x:c r="B613" s="24" t="str">
        <x:v>Lentes Eyezen</x:v>
      </x:c>
      <x:c r="C613" s="24" t="n">
        <x:v>252.9</x:v>
      </x:c>
      <x:c r="D613" s="24" t="n">
        <x:v>200.5</x:v>
      </x:c>
      <x:c r="E613" s="24" t="str">
        <x:v>+R$940 3.969,00</x:v>
      </x:c>
      <x:c r="F613" s="24" t="str">
        <x:v>2.349,00 2.619,00 1.829,00 2.769,00 2.839,00 3.029,00</x:v>
      </x:c>
      <x:c r="G613" s="24" t="n">
        <x:v>3969</x:v>
      </x:c>
      <x:c r="H613" s="24" t="n">
        <x:v>46118</x:v>
      </x:c>
      <x:c r="I613" s="24" t="n">
        <x:v>46234</x:v>
      </x:c>
      <x:c r="J613" s="24" t="str">
        <x:v>EXPIRADA</x:v>
      </x:c>
    </x:row>
    <x:row r="614">
      <x:c r="A614" s="24" t="n">
        <x:v>10</x:v>
      </x:c>
      <x:c r="B614" s="24" t="str">
        <x:v>Lentes Eyezen</x:v>
      </x:c>
      <x:c r="C614" s="24" t="n">
        <x:v>137.5</x:v>
      </x:c>
      <x:c r="D614" s="24" t="n">
        <x:v>153.1</x:v>
      </x:c>
      <x:c r="E614" s="24" t="str">
        <x:v>Orma</x:v>
      </x:c>
      <x:c r="F614" s="24" t="str">
        <x:v>DIGITAL CRIZAL PREVENCIA SAPPHIRE</x:v>
      </x:c>
      <x:c r="G614" s="24" t="n">
        <x:v>1609</x:v>
      </x:c>
      <x:c r="H614" s="24" t="n">
        <x:v>46118</x:v>
      </x:c>
      <x:c r="I614" s="24" t="n">
        <x:v>46234</x:v>
      </x:c>
      <x:c r="J614" s="24" t="str">
        <x:v>EXPIRADA</x:v>
      </x:c>
    </x:row>
    <x:row r="615">
      <x:c r="A615" s="24" t="n">
        <x:v>10</x:v>
      </x:c>
      <x:c r="B615" s="24" t="str">
        <x:v>Lentes Eyezen</x:v>
      </x:c>
      <x:c r="C615" s="24" t="n">
        <x:v>167.2</x:v>
      </x:c>
      <x:c r="D615" s="24" t="n">
        <x:v>152.4</x:v>
      </x:c>
      <x:c r="E615" s="24" t="str">
        <x:v>C +R$1.010</x:v>
      </x:c>
      <x:c r="F615" s="24" t="str">
        <x:v>DIGITAL CRIZAL PREVENCIA 1.609,00 2.549,00 +R940</x:v>
      </x:c>
      <x:c r="G615" s="24" t="n">
        <x:v>2619</x:v>
      </x:c>
      <x:c r="H615" s="24" t="n">
        <x:v>46118</x:v>
      </x:c>
      <x:c r="I615" s="24" t="n">
        <x:v>46234</x:v>
      </x:c>
      <x:c r="J615" s="24" t="str">
        <x:v>EXPIRADA</x:v>
      </x:c>
    </x:row>
    <x:row r="616">
      <x:c r="A616" s="24" t="n">
        <x:v>10</x:v>
      </x:c>
      <x:c r="B616" s="24" t="str">
        <x:v>Lentes Eyezen</x:v>
      </x:c>
      <x:c r="C616" s="24" t="n">
        <x:v>187</x:v>
      </x:c>
      <x:c r="D616" s="24" t="n">
        <x:v>153.1</x:v>
      </x:c>
      <x:c r="E616" s="24" t="str">
        <x:v>Airwear</x:v>
      </x:c>
      <x:c r="F616" s="24" t="str">
        <x:v>CRIZAL PREVENCIA SAPPHIRE 1.609,00 2.549,00 +R940 2.619,00 +R$1.010</x:v>
      </x:c>
      <x:c r="G616" s="24" t="n">
        <x:v>1829</x:v>
      </x:c>
      <x:c r="H616" s="24" t="n">
        <x:v>46118</x:v>
      </x:c>
      <x:c r="I616" s="24" t="n">
        <x:v>46234</x:v>
      </x:c>
      <x:c r="J616" s="24" t="str">
        <x:v>EXPIRADA</x:v>
      </x:c>
    </x:row>
    <x:row r="617">
      <x:c r="A617" s="24" t="n">
        <x:v>10</x:v>
      </x:c>
      <x:c r="B617" s="24" t="str">
        <x:v>Lentes Eyezen</x:v>
      </x:c>
      <x:c r="C617" s="24" t="n">
        <x:v>216.2</x:v>
      </x:c>
      <x:c r="D617" s="24" t="n">
        <x:v>152</x:v>
      </x:c>
      <x:c r="E617" s="24" t="str">
        <x:v>Transitions Extractive</x:v>
      </x:c>
      <x:c r="F617" s="24" t="str">
        <x:v>PREVENCIA SAPPHIRE 1.609,00 2.549,00 +R940 2.619,00 +R$1.010 1.829,00 2.769,00 +R$940</x:v>
      </x:c>
      <x:c r="G617" s="24" t="n">
        <x:v>2839</x:v>
      </x:c>
      <x:c r="H617" s="24" t="n">
        <x:v>46118</x:v>
      </x:c>
      <x:c r="I617" s="24" t="n">
        <x:v>46234</x:v>
      </x:c>
      <x:c r="J617" s="24" t="str">
        <x:v>EXPIRADA</x:v>
      </x:c>
    </x:row>
    <x:row r="618">
      <x:c r="A618" s="24" t="n">
        <x:v>10</x:v>
      </x:c>
      <x:c r="B618" s="24" t="str">
        <x:v>Lentes Eyezen</x:v>
      </x:c>
      <x:c r="C618" s="24" t="n">
        <x:v>237.9</x:v>
      </x:c>
      <x:c r="D618" s="24" t="n">
        <x:v>151.5</x:v>
      </x:c>
      <x:c r="E618" s="24" t="str">
        <x:v>Stylis 1.67</x:v>
      </x:c>
      <x:c r="F618" s="24" t="str">
        <x:v>2.549,00 +R940 2.619,00 +R$1.010 1.829,00 2.769,00 +R$940 2.839,00 +R$1.010</x:v>
      </x:c>
      <x:c r="G618" s="24" t="n">
        <x:v>3029</x:v>
      </x:c>
      <x:c r="H618" s="24" t="n">
        <x:v>46118</x:v>
      </x:c>
      <x:c r="I618" s="24" t="n">
        <x:v>46234</x:v>
      </x:c>
      <x:c r="J618" s="24" t="str">
        <x:v>EXPIRADA</x:v>
      </x:c>
    </x:row>
    <x:row r="619">
      <x:c r="A619" s="24" t="n">
        <x:v>10</x:v>
      </x:c>
      <x:c r="B619" s="24" t="str">
        <x:v>Lentes Eyezen</x:v>
      </x:c>
      <x:c r="C619" s="24" t="n">
        <x:v>252.9</x:v>
      </x:c>
      <x:c r="D619" s="24" t="n">
        <x:v>151.2</x:v>
      </x:c>
      <x:c r="E619" s="24" t="str">
        <x:v>+R$940</x:v>
      </x:c>
      <x:c r="F619" s="24" t="str">
        <x:v>2.619,00 +R$1.010 1.829,00 2.769,00 +R$940 2.839,00 +R$1.010 3.029,00</x:v>
      </x:c>
      <x:c r="G619" s="24" t="n">
        <x:v>3969</x:v>
      </x:c>
      <x:c r="H619" s="24" t="n">
        <x:v>46118</x:v>
      </x:c>
      <x:c r="I619" s="24" t="n">
        <x:v>46234</x:v>
      </x:c>
      <x:c r="J619" s="24" t="str">
        <x:v>EXPIRADA</x:v>
      </x:c>
    </x:row>
    <x:row r="620">
      <x:c r="A620" s="24" t="n">
        <x:v>10</x:v>
      </x:c>
      <x:c r="B620" s="24" t="str">
        <x:v>Lentes Eyezen</x:v>
      </x:c>
      <x:c r="C620" s="24" t="n">
        <x:v>137.5</x:v>
      </x:c>
      <x:c r="D620" s="24" t="n">
        <x:v>288.9</x:v>
      </x:c>
      <x:c r="E620" s="24" t="str">
        <x:v>Orma 1.609,00 1.609,00 1.339,00</x:v>
      </x:c>
      <x:c r="F620" s="24" t="str">
        <x:v>CRIZAL CRIZAL OPTIFOG ROCK EASY PRO</x:v>
      </x:c>
      <x:c r="G620" s="24" t="n">
        <x:v>989</x:v>
      </x:c>
      <x:c r="H620" s="24" t="n">
        <x:v>46118</x:v>
      </x:c>
      <x:c r="I620" s="24" t="n">
        <x:v>46234</x:v>
      </x:c>
      <x:c r="J620" s="24" t="str">
        <x:v>EXPIRADA</x:v>
      </x:c>
    </x:row>
    <x:row r="621">
      <x:c r="A621" s="24" t="n">
        <x:v>10</x:v>
      </x:c>
      <x:c r="B621" s="24" t="str">
        <x:v>Lentes Eyezen</x:v>
      </x:c>
      <x:c r="C621" s="24" t="n">
        <x:v>167.2</x:v>
      </x:c>
      <x:c r="D621" s="24" t="n">
        <x:v>287</x:v>
      </x:c>
      <x:c r="E621" s="24" t="str">
        <x:v>C +R$1.010 2.619,00 2.619,00 2.349,00</x:v>
      </x:c>
      <x:c r="F621" s="24" t="str">
        <x:v>OPTIFOG ROCK EASY PRO 1.339,00 989,00 1.229,00 2.279,00 1.929,00 2.169,00</x:v>
      </x:c>
      <x:c r="G621" s="24" t="n">
        <x:v>1999</x:v>
      </x:c>
      <x:c r="H621" s="24" t="n">
        <x:v>46118</x:v>
      </x:c>
      <x:c r="I621" s="24" t="n">
        <x:v>46234</x:v>
      </x:c>
      <x:c r="J621" s="24" t="str">
        <x:v>EXPIRADA</x:v>
      </x:c>
    </x:row>
    <x:row r="622">
      <x:c r="A622" s="24" t="n">
        <x:v>10</x:v>
      </x:c>
      <x:c r="B622" s="24" t="str">
        <x:v>Lentes Eyezen</x:v>
      </x:c>
      <x:c r="C622" s="24" t="n">
        <x:v>187</x:v>
      </x:c>
      <x:c r="D622" s="24" t="n">
        <x:v>287.1</x:v>
      </x:c>
      <x:c r="E622" s="24" t="str">
        <x:v>Airwear 1.829,00 1.829,00 1.559,00</x:v>
      </x:c>
      <x:c r="F622" s="24" t="str">
        <x:v>PRO 1.339,00 989,00 1.229,00 2.279,00 1.929,00 2.169,00 2.349,00 1.999,00 2.239,00</x:v>
      </x:c>
      <x:c r="G622" s="24" t="n">
        <x:v>1209</x:v>
      </x:c>
      <x:c r="H622" s="24" t="n">
        <x:v>46118</x:v>
      </x:c>
      <x:c r="I622" s="24" t="n">
        <x:v>46234</x:v>
      </x:c>
      <x:c r="J622" s="24" t="str">
        <x:v>EXPIRADA</x:v>
      </x:c>
    </x:row>
    <x:row r="623">
      <x:c r="A623" s="24" t="n">
        <x:v>10</x:v>
      </x:c>
      <x:c r="B623" s="24" t="str">
        <x:v>Lentes Eyezen</x:v>
      </x:c>
      <x:c r="C623" s="24" t="n">
        <x:v>216.2</x:v>
      </x:c>
      <x:c r="D623" s="24" t="n">
        <x:v>287.2</x:v>
      </x:c>
      <x:c r="E623" s="24" t="str">
        <x:v>Transitions Extractive 2.839,00 2.839,00 2.569,00</x:v>
      </x:c>
      <x:c r="F623" s="24" t="str">
        <x:v>2.169,00 2.349,00 1.999,00 2.239,00 1.559,00 1.209,00 1.449,00 2.499,00 2.149,00 2.389,00</x:v>
      </x:c>
      <x:c r="G623" s="24" t="n">
        <x:v>2219</x:v>
      </x:c>
      <x:c r="H623" s="24" t="n">
        <x:v>46118</x:v>
      </x:c>
      <x:c r="I623" s="24" t="n">
        <x:v>46234</x:v>
      </x:c>
      <x:c r="J623" s="24" t="str">
        <x:v>EXPIRADA</x:v>
      </x:c>
    </x:row>
    <x:row r="624">
      <x:c r="A624" s="24" t="n">
        <x:v>10</x:v>
      </x:c>
      <x:c r="B624" s="24" t="str">
        <x:v>Lentes Eyezen</x:v>
      </x:c>
      <x:c r="C624" s="24" t="n">
        <x:v>237.9</x:v>
      </x:c>
      <x:c r="D624" s="24" t="n">
        <x:v>285.8</x:v>
      </x:c>
      <x:c r="E624" s="24" t="str">
        <x:v>Stylis 1.67 3.029,00 3.029,00 2.759,00</x:v>
      </x:c>
      <x:c r="F624" s="24" t="str">
        <x:v>2.239,00 1.559,00 1.209,00 1.449,00 2.499,00 2.149,00 2.389,00 2.569,00 2.219,00 2.459,00</x:v>
      </x:c>
      <x:c r="G624" s="24" t="n">
        <x:v>2409</x:v>
      </x:c>
      <x:c r="H624" s="24" t="n">
        <x:v>46118</x:v>
      </x:c>
      <x:c r="I624" s="24" t="n">
        <x:v>46234</x:v>
      </x:c>
      <x:c r="J624" s="24" t="str">
        <x:v>EXPIRADA</x:v>
      </x:c>
    </x:row>
    <x:row r="625">
      <x:c r="A625" s="24" t="n">
        <x:v>10</x:v>
      </x:c>
      <x:c r="B625" s="24" t="str">
        <x:v>Lentes Eyezen</x:v>
      </x:c>
      <x:c r="C625" s="24" t="n">
        <x:v>252.9</x:v>
      </x:c>
      <x:c r="D625" s="24" t="n">
        <x:v>285.6</x:v>
      </x:c>
      <x:c r="E625" s="24" t="str">
        <x:v>+R$940 3.969,00 3.969,00 3.699,00</x:v>
      </x:c>
      <x:c r="F625" s="24" t="str">
        <x:v>1.449,00 2.499,00 2.149,00 2.389,00 2.569,00 2.219,00 2.459,00 2.759,00 2.409,00 2.649,00</x:v>
      </x:c>
      <x:c r="G625" s="24" t="n">
        <x:v>3349</x:v>
      </x:c>
      <x:c r="H625" s="24" t="n">
        <x:v>46118</x:v>
      </x:c>
      <x:c r="I625" s="24" t="n">
        <x:v>46234</x:v>
      </x:c>
      <x:c r="J625" s="24" t="str">
        <x:v>EXPIRADA</x:v>
      </x:c>
    </x:row>
    <x:row r="626">
      <x:c r="A626" s="24" t="n">
        <x:v>10</x:v>
      </x:c>
      <x:c r="B626" s="24" t="str">
        <x:v>Lentes Eyezen</x:v>
      </x:c>
      <x:c r="C626" s="24" t="n">
        <x:v>137.5</x:v>
      </x:c>
      <x:c r="D626" s="24" t="n">
        <x:v>247.2</x:v>
      </x:c>
      <x:c r="E626" s="24" t="str">
        <x:v>Orma 1.609,00 1.609,00</x:v>
      </x:c>
      <x:c r="F626" s="24" t="str">
        <x:v>CRIZAL CRIZAL ROCK HR EASY</x:v>
      </x:c>
      <x:c r="G626" s="24" t="n">
        <x:v>1339</x:v>
      </x:c>
      <x:c r="H626" s="24" t="n">
        <x:v>46118</x:v>
      </x:c>
      <x:c r="I626" s="24" t="n">
        <x:v>46234</x:v>
      </x:c>
      <x:c r="J626" s="24" t="str">
        <x:v>EXPIRADA</x:v>
      </x:c>
    </x:row>
    <x:row r="627">
      <x:c r="A627" s="24" t="n">
        <x:v>10</x:v>
      </x:c>
      <x:c r="B627" s="24" t="str">
        <x:v>Lentes Eyezen</x:v>
      </x:c>
      <x:c r="C627" s="24" t="n">
        <x:v>152.4</x:v>
      </x:c>
      <x:c r="D627" s="24" t="n">
        <x:v>328.6</x:v>
      </x:c>
      <x:c r="E627" s="24" t="str">
        <x:v>2.549,00 2.549,00 2.279,00 1.929,00</x:v>
      </x:c>
      <x:c r="F627" s="24" t="str">
        <x:v>CINZA C MARROM M CRIZAL OPTIFOG 0.4 PRO 989,00 1.229,00</x:v>
      </x:c>
      <x:c r="G627" s="24" t="n">
        <x:v>2169</x:v>
      </x:c>
      <x:c r="H627" s="24" t="n">
        <x:v>46118</x:v>
      </x:c>
      <x:c r="I627" s="24" t="n">
        <x:v>46234</x:v>
      </x:c>
      <x:c r="J627" s="24" t="str">
        <x:v>EXPIRADA</x:v>
      </x:c>
    </x:row>
    <x:row r="628">
      <x:c r="A628" s="24" t="n">
        <x:v>10</x:v>
      </x:c>
      <x:c r="B628" s="24" t="str">
        <x:v>Lentes Eyezen</x:v>
      </x:c>
      <x:c r="C628" s="24" t="n">
        <x:v>152.4</x:v>
      </x:c>
      <x:c r="D628" s="24" t="n">
        <x:v>200.7</x:v>
      </x:c>
      <x:c r="E628" s="24" t="str">
        <x:v>2.549,00</x:v>
      </x:c>
      <x:c r="F628" s="24" t="str">
        <x:v>CRIZAL SAPPHIRE HR 1.609,00</x:v>
      </x:c>
      <x:c r="G628" s="24" t="n">
        <x:v>2549</x:v>
      </x:c>
      <x:c r="H628" s="24" t="n">
        <x:v>46118</x:v>
      </x:c>
      <x:c r="I628" s="24" t="n">
        <x:v>46234</x:v>
      </x:c>
      <x:c r="J628" s="24" t="str">
        <x:v>EXPIRADA</x:v>
      </x:c>
    </x:row>
    <x:row r="629">
      <x:c r="A629" s="24" t="n">
        <x:v>10</x:v>
      </x:c>
      <x:c r="B629" s="24" t="str">
        <x:v>Lentes Eyezen</x:v>
      </x:c>
      <x:c r="C629" s="24" t="n">
        <x:v>152.4</x:v>
      </x:c>
      <x:c r="D629" s="24" t="n">
        <x:v>151.3</x:v>
      </x:c>
      <x:c r="E629" s="24"/>
      <x:c r="F629" s="24" t="str">
        <x:v>DIGITAL CRIZAL PREVENCIA 1.609,00</x:v>
      </x:c>
      <x:c r="G629" s="24" t="n">
        <x:v>2549</x:v>
      </x:c>
      <x:c r="H629" s="24" t="n">
        <x:v>46118</x:v>
      </x:c>
      <x:c r="I629" s="24" t="n">
        <x:v>46234</x:v>
      </x:c>
      <x:c r="J629" s="24" t="str">
        <x:v>EXPIRADA</x:v>
      </x:c>
    </x:row>
    <x:row r="630">
      <x:c r="A630" s="24" t="n">
        <x:v>10</x:v>
      </x:c>
      <x:c r="B630" s="24" t="str">
        <x:v>Lentes Eyezen</x:v>
      </x:c>
      <x:c r="C630" s="24" t="n">
        <x:v>152.4</x:v>
      </x:c>
      <x:c r="D630" s="24" t="n">
        <x:v>286.5</x:v>
      </x:c>
      <x:c r="E630" s="24" t="str">
        <x:v>2.549,00 2.549,00 2.279,00</x:v>
      </x:c>
      <x:c r="F630" s="24" t="str">
        <x:v>CRIZAL CRIZAL OPTIFOG ROCK EASY PRO 1.339,00 989,00 1.229,00</x:v>
      </x:c>
      <x:c r="G630" s="24" t="n">
        <x:v>1929</x:v>
      </x:c>
      <x:c r="H630" s="24" t="n">
        <x:v>46118</x:v>
      </x:c>
      <x:c r="I630" s="24" t="n">
        <x:v>46234</x:v>
      </x:c>
      <x:c r="J630" s="24" t="str">
        <x:v>EXPIRADA</x:v>
      </x:c>
    </x:row>
    <x:row r="631">
      <x:c r="A631" s="24" t="n">
        <x:v>10</x:v>
      </x:c>
      <x:c r="B631" s="24" t="str">
        <x:v>Lentes Eyezen</x:v>
      </x:c>
      <x:c r="C631" s="24" t="n">
        <x:v>152.4</x:v>
      </x:c>
      <x:c r="D631" s="24" t="n">
        <x:v>246</x:v>
      </x:c>
      <x:c r="E631" s="24" t="str">
        <x:v>2.549,00 2.549,00</x:v>
      </x:c>
      <x:c r="F631" s="24" t="str">
        <x:v>CRIZAL CRIZAL CRIZAL ROCK HR EASY 1.339,00 989,00</x:v>
      </x:c>
      <x:c r="G631" s="24" t="n">
        <x:v>2279</x:v>
      </x:c>
      <x:c r="H631" s="24" t="n">
        <x:v>46118</x:v>
      </x:c>
      <x:c r="I631" s="24" t="n">
        <x:v>46234</x:v>
      </x:c>
      <x:c r="J631" s="24" t="str">
        <x:v>EXPIRADA</x:v>
      </x:c>
    </x:row>
    <x:row r="632">
      <x:c r="A632" s="24" t="n">
        <x:v>10</x:v>
      </x:c>
      <x:c r="B632" s="24" t="str">
        <x:v>Lentes Eyezen</x:v>
      </x:c>
      <x:c r="C632" s="24" t="n">
        <x:v>167.2</x:v>
      </x:c>
      <x:c r="D632" s="24" t="n">
        <x:v>245.4</x:v>
      </x:c>
      <x:c r="E632" s="24" t="str">
        <x:v>C +R$1.010 2.619,00 2.619,00</x:v>
      </x:c>
      <x:c r="F632" s="24" t="str">
        <x:v>CRIZAL ROCK HR EASY 1.609,00 1.339,00 989,00 2.549,00 2.279,00 1.929,00</x:v>
      </x:c>
      <x:c r="G632" s="24" t="n">
        <x:v>2349</x:v>
      </x:c>
      <x:c r="H632" s="24" t="n">
        <x:v>46118</x:v>
      </x:c>
      <x:c r="I632" s="24" t="n">
        <x:v>46234</x:v>
      </x:c>
      <x:c r="J632" s="24" t="str">
        <x:v>EXPIRADA</x:v>
      </x:c>
    </x:row>
    <x:row r="633">
      <x:c r="A633" s="24" t="n">
        <x:v>10</x:v>
      </x:c>
      <x:c r="B633" s="24" t="str">
        <x:v>Lentes Eyezen</x:v>
      </x:c>
      <x:c r="C633" s="24" t="n">
        <x:v>187</x:v>
      </x:c>
      <x:c r="D633" s="24" t="n">
        <x:v>248.1</x:v>
      </x:c>
      <x:c r="E633" s="24" t="str">
        <x:v>Airwear 1.829,00 1.829,00</x:v>
      </x:c>
      <x:c r="F633" s="24" t="str">
        <x:v>CRIZAL ROCK HR EASY 1.339,00 989,00 2.279,00 1.929,00 2.349,00 1.999,00</x:v>
      </x:c>
      <x:c r="G633" s="24" t="n">
        <x:v>1559</x:v>
      </x:c>
      <x:c r="H633" s="24" t="n">
        <x:v>46118</x:v>
      </x:c>
      <x:c r="I633" s="24" t="n">
        <x:v>46234</x:v>
      </x:c>
      <x:c r="J633" s="24" t="str">
        <x:v>EXPIRADA</x:v>
      </x:c>
    </x:row>
    <x:row r="634">
      <x:c r="A634" s="24" t="n">
        <x:v>10</x:v>
      </x:c>
      <x:c r="B634" s="24" t="str">
        <x:v>Lentes Eyezen</x:v>
      </x:c>
      <x:c r="C634" s="24" t="n">
        <x:v>201.9</x:v>
      </x:c>
      <x:c r="D634" s="24" t="n">
        <x:v>327.7</x:v>
      </x:c>
      <x:c r="E634" s="24" t="str">
        <x:v>2.769,00 2.769,00 2.499,00 2.149,00</x:v>
      </x:c>
      <x:c r="F634" s="24" t="str">
        <x:v>0.4 PRO 989,00 1.229,00 1.929,00 2.169,00 1.999,00 2.239,00 1.209,00 1.449,00</x:v>
      </x:c>
      <x:c r="G634" s="24" t="n">
        <x:v>2389</x:v>
      </x:c>
      <x:c r="H634" s="24" t="n">
        <x:v>46118</x:v>
      </x:c>
      <x:c r="I634" s="24" t="n">
        <x:v>46234</x:v>
      </x:c>
      <x:c r="J634" s="24" t="str">
        <x:v>EXPIRADA</x:v>
      </x:c>
    </x:row>
    <x:row r="635">
      <x:c r="A635" s="24" t="n">
        <x:v>10</x:v>
      </x:c>
      <x:c r="B635" s="24" t="str">
        <x:v>Lentes Eyezen</x:v>
      </x:c>
      <x:c r="C635" s="24" t="n">
        <x:v>201.9</x:v>
      </x:c>
      <x:c r="D635" s="24" t="n">
        <x:v>201.2</x:v>
      </x:c>
      <x:c r="E635" s="24" t="str">
        <x:v>2.769,00</x:v>
      </x:c>
      <x:c r="F635" s="24" t="str">
        <x:v>CRIZAL SAPPHIRE HR 1.609,00 2.549,00 2.279,00 2.349,00 2.619,00 1.829,00</x:v>
      </x:c>
      <x:c r="G635" s="24" t="n">
        <x:v>2769</x:v>
      </x:c>
      <x:c r="H635" s="24" t="n">
        <x:v>46118</x:v>
      </x:c>
      <x:c r="I635" s="24" t="n">
        <x:v>46234</x:v>
      </x:c>
      <x:c r="J635" s="24" t="str">
        <x:v>EXPIRADA</x:v>
      </x:c>
    </x:row>
    <x:row r="636">
      <x:c r="A636" s="24" t="n">
        <x:v>10</x:v>
      </x:c>
      <x:c r="B636" s="24" t="str">
        <x:v>Lentes Eyezen</x:v>
      </x:c>
      <x:c r="C636" s="24" t="n">
        <x:v>201.9</x:v>
      </x:c>
      <x:c r="D636" s="24" t="n">
        <x:v>152.4</x:v>
      </x:c>
      <x:c r="E636" s="24"/>
      <x:c r="F636" s="24" t="str">
        <x:v>CRIZAL PREVENCIA SAPPHIRE 1.609,00 2.549,00 +R940 2.619,00 +R$1.010 1.829,00</x:v>
      </x:c>
      <x:c r="G636" s="24" t="n">
        <x:v>2769</x:v>
      </x:c>
      <x:c r="H636" s="24" t="n">
        <x:v>46118</x:v>
      </x:c>
      <x:c r="I636" s="24" t="n">
        <x:v>46234</x:v>
      </x:c>
      <x:c r="J636" s="24" t="str">
        <x:v>EXPIRADA</x:v>
      </x:c>
    </x:row>
    <x:row r="637">
      <x:c r="A637" s="24" t="n">
        <x:v>10</x:v>
      </x:c>
      <x:c r="B637" s="24" t="str">
        <x:v>Lentes Eyezen</x:v>
      </x:c>
      <x:c r="C637" s="24" t="n">
        <x:v>201.9</x:v>
      </x:c>
      <x:c r="D637" s="24" t="n">
        <x:v>286.5</x:v>
      </x:c>
      <x:c r="E637" s="24" t="str">
        <x:v>2.769,00 2.769,00 2.499,00</x:v>
      </x:c>
      <x:c r="F637" s="24" t="str">
        <x:v>1.229,00 2.279,00 1.929,00 2.169,00 2.349,00 1.999,00 2.239,00 1.559,00 1.209,00 1.449,00</x:v>
      </x:c>
      <x:c r="G637" s="24" t="n">
        <x:v>2149</x:v>
      </x:c>
      <x:c r="H637" s="24" t="n">
        <x:v>46118</x:v>
      </x:c>
      <x:c r="I637" s="24" t="n">
        <x:v>46234</x:v>
      </x:c>
      <x:c r="J637" s="24" t="str">
        <x:v>EXPIRADA</x:v>
      </x:c>
    </x:row>
    <x:row r="638">
      <x:c r="A638" s="24" t="n">
        <x:v>10</x:v>
      </x:c>
      <x:c r="B638" s="24" t="str">
        <x:v>Lentes Eyezen</x:v>
      </x:c>
      <x:c r="C638" s="24" t="n">
        <x:v>201.9</x:v>
      </x:c>
      <x:c r="D638" s="24" t="n">
        <x:v>246.7</x:v>
      </x:c>
      <x:c r="E638" s="24" t="str">
        <x:v>2.769,00 2.769,00</x:v>
      </x:c>
      <x:c r="F638" s="24" t="str">
        <x:v>HR EASY 1.339,00 989,00 2.279,00 1.929,00 2.349,00 1.999,00 1.559,00 1.209,00</x:v>
      </x:c>
      <x:c r="G638" s="24" t="n">
        <x:v>2499</x:v>
      </x:c>
      <x:c r="H638" s="24" t="n">
        <x:v>46118</x:v>
      </x:c>
      <x:c r="I638" s="24" t="n">
        <x:v>46234</x:v>
      </x:c>
      <x:c r="J638" s="24" t="str">
        <x:v>EXPIRADA</x:v>
      </x:c>
    </x:row>
    <x:row r="639">
      <x:c r="A639" s="24" t="n">
        <x:v>10</x:v>
      </x:c>
      <x:c r="B639" s="24" t="str">
        <x:v>Lentes Eyezen</x:v>
      </x:c>
      <x:c r="C639" s="24" t="n">
        <x:v>216.2</x:v>
      </x:c>
      <x:c r="D639" s="24" t="n">
        <x:v>246.5</x:v>
      </x:c>
      <x:c r="E639" s="24" t="str">
        <x:v>Transitions Extractive 2.839,00 2.839,00</x:v>
      </x:c>
      <x:c r="F639" s="24" t="str">
        <x:v>1.339,00 989,00 2.279,00 1.929,00 2.349,00 1.999,00 1.559,00 1.209,00 2.499,00 2.149,00</x:v>
      </x:c>
      <x:c r="G639" s="24" t="n">
        <x:v>2569</x:v>
      </x:c>
      <x:c r="H639" s="24" t="n">
        <x:v>46118</x:v>
      </x:c>
      <x:c r="I639" s="24" t="n">
        <x:v>46234</x:v>
      </x:c>
      <x:c r="J639" s="24" t="str">
        <x:v>EXPIRADA</x:v>
      </x:c>
    </x:row>
    <x:row r="640">
      <x:c r="A640" s="24" t="n">
        <x:v>10</x:v>
      </x:c>
      <x:c r="B640" s="24" t="str">
        <x:v>Lentes Eyezen</x:v>
      </x:c>
      <x:c r="C640" s="24" t="n">
        <x:v>237.9</x:v>
      </x:c>
      <x:c r="D640" s="24" t="n">
        <x:v>246.5</x:v>
      </x:c>
      <x:c r="E640" s="24" t="str">
        <x:v>Stylis 1.67 3.029,00 3.029,00</x:v>
      </x:c>
      <x:c r="F640" s="24" t="str">
        <x:v>2.279,00 1.929,00 2.349,00 1.999,00 1.559,00 1.209,00 2.499,00 2.149,00 2.569,00 2.219,00</x:v>
      </x:c>
      <x:c r="G640" s="24" t="n">
        <x:v>2759</x:v>
      </x:c>
      <x:c r="H640" s="24" t="n">
        <x:v>46118</x:v>
      </x:c>
      <x:c r="I640" s="24" t="n">
        <x:v>46234</x:v>
      </x:c>
      <x:c r="J640" s="24" t="str">
        <x:v>EXPIRADA</x:v>
      </x:c>
    </x:row>
    <x:row r="641">
      <x:c r="A641" s="24" t="n">
        <x:v>10</x:v>
      </x:c>
      <x:c r="B641" s="24" t="str">
        <x:v>Lentes Eyezen</x:v>
      </x:c>
      <x:c r="C641" s="24" t="n">
        <x:v>252.9</x:v>
      </x:c>
      <x:c r="D641" s="24" t="n">
        <x:v>246.8</x:v>
      </x:c>
      <x:c r="E641" s="24" t="str">
        <x:v>+R$940 3.969,00 3.969,00</x:v>
      </x:c>
      <x:c r="F641" s="24" t="str">
        <x:v>2.349,00 1.999,00 1.559,00 1.209,00 2.499,00 2.149,00 2.569,00 2.219,00 2.759,00 2.409,00</x:v>
      </x:c>
      <x:c r="G641" s="24" t="n">
        <x:v>3699</x:v>
      </x:c>
      <x:c r="H641" s="24" t="n">
        <x:v>46118</x:v>
      </x:c>
      <x:c r="I641" s="24" t="n">
        <x:v>46234</x:v>
      </x:c>
      <x:c r="J641" s="24" t="str">
        <x:v>EXPIRADA</x:v>
      </x:c>
    </x:row>
    <x:row r="642">
      <x:c r="A642" s="24" t="n">
        <x:v>10</x:v>
      </x:c>
      <x:c r="B642" s="24" t="str">
        <x:v>Lentes Eyezen</x:v>
      </x:c>
      <x:c r="C642" s="24" t="n">
        <x:v>272.9</x:v>
      </x:c>
      <x:c r="D642" s="24" t="n">
        <x:v>200.5</x:v>
      </x:c>
      <x:c r="E642" s="24" t="str">
        <x:v>Stylis 1.74 -</x:v>
      </x:c>
      <x:c r="F642" s="24" t="str">
        <x:v>1.829,00 2.769,00 2.839,00 3.029,00 3.969,00</x:v>
      </x:c>
      <x:c r="G642" s="24" t="n">
        <x:v>3809</x:v>
      </x:c>
      <x:c r="H642" s="24" t="n">
        <x:v>46118</x:v>
      </x:c>
      <x:c r="I642" s="24" t="n">
        <x:v>46234</x:v>
      </x:c>
      <x:c r="J642" s="24" t="str">
        <x:v>EXPIRADA</x:v>
      </x:c>
    </x:row>
    <x:row r="643">
      <x:c r="A643" s="24" t="n">
        <x:v>10</x:v>
      </x:c>
      <x:c r="B643" s="24" t="str">
        <x:v>Lentes Eyezen</x:v>
      </x:c>
      <x:c r="C643" s="24" t="n">
        <x:v>288.5</x:v>
      </x:c>
      <x:c r="D643" s="24" t="n">
        <x:v>200.4</x:v>
      </x:c>
      <x:c r="E643" s="24" t="str">
        <x:v>-</x:v>
      </x:c>
      <x:c r="F643" s="24" t="str">
        <x:v>2.769,00 2.839,00 3.029,00 3.969,00 3.809,00</x:v>
      </x:c>
      <x:c r="G643" s="24" t="n">
        <x:v>4749</x:v>
      </x:c>
      <x:c r="H643" s="24" t="n">
        <x:v>46118</x:v>
      </x:c>
      <x:c r="I643" s="24" t="n">
        <x:v>46234</x:v>
      </x:c>
      <x:c r="J643" s="24" t="str">
        <x:v>EXPIRADA</x:v>
      </x:c>
    </x:row>
    <x:row r="644">
      <x:c r="A644" s="24" t="n">
        <x:v>10</x:v>
      </x:c>
      <x:c r="B644" s="24" t="str">
        <x:v>Lentes Eyezen</x:v>
      </x:c>
      <x:c r="C644" s="24" t="n">
        <x:v>783.9</x:v>
      </x:c>
      <x:c r="D644" s="24" t="n">
        <x:v>276.4</x:v>
      </x:c>
      <x:c r="E644" s="24" t="str">
        <x:v>Eyezen Start Stock 1.60 Crizal Sapphire HR</x:v>
      </x:c>
      <x:c r="F644" s="24" t="str">
        <x:v>+ Coloração +R$220 vs Orma Airwear + + Coloração PREÇO</x:v>
      </x:c>
      <x:c r="G644" s="24" t="n">
        <x:v>1249</x:v>
      </x:c>
      <x:c r="H644" s="24" t="n">
        <x:v>46118</x:v>
      </x:c>
      <x:c r="I644" s="24" t="n">
        <x:v>46234</x:v>
      </x:c>
      <x:c r="J644" s="24" t="str">
        <x:v>EXPIRADA</x:v>
      </x:c>
    </x:row>
    <x:row r="645">
      <x:c r="A645" s="24" t="n">
        <x:v>11</x:v>
      </x:c>
      <x:c r="B645" s="24" t="str">
        <x:v>Linha Kids</x:v>
      </x:c>
      <x:c r="C645" s="24" t="n">
        <x:v>266.7</x:v>
      </x:c>
      <x:c r="D645" s="24" t="n">
        <x:v>179.2</x:v>
      </x:c>
      <x:c r="E645" s="24" t="str">
        <x:v>Stellest 2.0 LANÇAMENTO</x:v>
      </x:c>
      <x:c r="F645" s="24" t="str">
        <x:v>MIOPIA INFANTIL PREÇO MATERIAL</x:v>
      </x:c>
      <x:c r="G645" s="24" t="n">
        <x:v>2299</x:v>
      </x:c>
      <x:c r="H645" s="24" t="n">
        <x:v>46118</x:v>
      </x:c>
      <x:c r="I645" s="24" t="n">
        <x:v>46234</x:v>
      </x:c>
      <x:c r="J645" s="24" t="str">
        <x:v>EXPIRADA</x:v>
      </x:c>
    </x:row>
    <x:row r="646">
      <x:c r="A646" s="24" t="n">
        <x:v>11</x:v>
      </x:c>
      <x:c r="B646" s="24" t="str">
        <x:v>Linha Kids</x:v>
      </x:c>
      <x:c r="C646" s="24" t="n">
        <x:v>290.5</x:v>
      </x:c>
      <x:c r="D646" s="24" t="n">
        <x:v>179.2</x:v>
      </x:c>
      <x:c r="E646" s="24" t="str">
        <x:v>Stellest</x:v>
      </x:c>
      <x:c r="F646" s="24" t="str">
        <x:v>MIOPIA INFANTIL PREÇO MATERIAL 2.299,00 Airwear</x:v>
      </x:c>
      <x:c r="G646" s="24" t="n">
        <x:v>1999</x:v>
      </x:c>
      <x:c r="H646" s="24" t="n">
        <x:v>46118</x:v>
      </x:c>
      <x:c r="I646" s="24" t="n">
        <x:v>46234</x:v>
      </x:c>
      <x:c r="J646" s="24" t="str">
        <x:v>EXPIRADA</x:v>
      </x:c>
    </x:row>
    <x:row r="647">
      <x:c r="A647" s="24" t="n">
        <x:v>11</x:v>
      </x:c>
      <x:c r="B647" s="24" t="str">
        <x:v>Linha Kids</x:v>
      </x:c>
      <x:c r="C647" s="24" t="n">
        <x:v>331.1</x:v>
      </x:c>
      <x:c r="D647" s="24" t="n">
        <x:v>180.2</x:v>
      </x:c>
      <x:c r="E647" s="24"/>
      <x:c r="F647" s="24" t="str">
        <x:v>PREÇO MATERIAL 2.299,00 Airwear 1.999,00 Airwear</x:v>
      </x:c>
      <x:c r="G647" s="24" t="n">
        <x:v>2199</x:v>
      </x:c>
      <x:c r="H647" s="24" t="n">
        <x:v>46118</x:v>
      </x:c>
      <x:c r="I647" s="24" t="n">
        <x:v>46234</x:v>
      </x:c>
      <x:c r="J647" s="24" t="str">
        <x:v>EXPIRADA</x:v>
      </x:c>
    </x:row>
    <x:row r="648">
      <x:c r="A648" s="24" t="n">
        <x:v>11</x:v>
      </x:c>
      <x:c r="B648" s="24" t="str">
        <x:v>Linha Kids</x:v>
      </x:c>
      <x:c r="C648" s="24" t="n">
        <x:v>151.3</x:v>
      </x:c>
      <x:c r="D648" s="24" t="n">
        <x:v>395.6</x:v>
      </x:c>
      <x:c r="E648" s="24" t="str">
        <x:v>Airwear 1.499,00 1.499,00 1.229,00 879,00</x:v>
      </x:c>
      <x:c r="F648" s="24" t="str">
        <x:v>CORES CINZA C V MARROM ÂMBAR M A OPTIFOG E</x:v>
      </x:c>
      <x:c r="G648" s="24" t="n">
        <x:v>1119</x:v>
      </x:c>
      <x:c r="H648" s="24" t="n">
        <x:v>46118</x:v>
      </x:c>
      <x:c r="I648" s="24" t="n">
        <x:v>46234</x:v>
      </x:c>
      <x:c r="J648" s="24" t="str">
        <x:v>EXPIRADA</x:v>
      </x:c>
    </x:row>
    <x:row r="649">
      <x:c r="A649" s="24" t="n">
        <x:v>11</x:v>
      </x:c>
      <x:c r="B649" s="24" t="str">
        <x:v>Linha Kids</x:v>
      </x:c>
      <x:c r="C649" s="24" t="n">
        <x:v>151.3</x:v>
      </x:c>
      <x:c r="D649" s="24" t="n">
        <x:v>238.9</x:v>
      </x:c>
      <x:c r="E649" s="24" t="str">
        <x:v>Airwear 1.499,00</x:v>
      </x:c>
      <x:c r="F649" s="24" t="str">
        <x:v>INFANTIL CRIZAL SAPPHIRE HR</x:v>
      </x:c>
      <x:c r="G649" s="24" t="n">
        <x:v>1499</x:v>
      </x:c>
      <x:c r="H649" s="24" t="n">
        <x:v>46118</x:v>
      </x:c>
      <x:c r="I649" s="24" t="n">
        <x:v>46234</x:v>
      </x:c>
      <x:c r="J649" s="24" t="str">
        <x:v>EXPIRADA</x:v>
      </x:c>
    </x:row>
    <x:row r="650">
      <x:c r="A650" s="24" t="n">
        <x:v>11</x:v>
      </x:c>
      <x:c r="B650" s="24" t="str">
        <x:v>Linha Kids</x:v>
      </x:c>
      <x:c r="C650" s="24" t="n">
        <x:v>151.3</x:v>
      </x:c>
      <x:c r="D650" s="24" t="n">
        <x:v>185.3</x:v>
      </x:c>
      <x:c r="E650" s="24" t="str">
        <x:v>Airwear</x:v>
      </x:c>
      <x:c r="F650" s="24" t="str">
        <x:v>DIGITAL INFANTIL CRIZAL PREVENCIA</x:v>
      </x:c>
      <x:c r="G650" s="24" t="n">
        <x:v>1499</x:v>
      </x:c>
      <x:c r="H650" s="24" t="n">
        <x:v>46118</x:v>
      </x:c>
      <x:c r="I650" s="24" t="n">
        <x:v>46234</x:v>
      </x:c>
      <x:c r="J650" s="24" t="str">
        <x:v>EXPIRADA</x:v>
      </x:c>
    </x:row>
    <x:row r="651">
      <x:c r="A651" s="24" t="n">
        <x:v>11</x:v>
      </x:c>
      <x:c r="B651" s="24" t="str">
        <x:v>Linha Kids</x:v>
      </x:c>
      <x:c r="C651" s="24" t="n">
        <x:v>151.3</x:v>
      </x:c>
      <x:c r="D651" s="24" t="n">
        <x:v>344.2</x:v>
      </x:c>
      <x:c r="E651" s="24" t="str">
        <x:v>Airwear 1.499,00 1.499,00 1.229,00</x:v>
      </x:c>
      <x:c r="F651" s="24" t="str">
        <x:v>LEGENDA C M CRIZAL EASY PRO</x:v>
      </x:c>
      <x:c r="G651" s="24" t="n">
        <x:v>879</x:v>
      </x:c>
      <x:c r="H651" s="24" t="n">
        <x:v>46118</x:v>
      </x:c>
      <x:c r="I651" s="24" t="n">
        <x:v>46234</x:v>
      </x:c>
      <x:c r="J651" s="24" t="str">
        <x:v>EXPIRADA</x:v>
      </x:c>
    </x:row>
    <x:row r="652">
      <x:c r="A652" s="24" t="n">
        <x:v>11</x:v>
      </x:c>
      <x:c r="B652" s="24" t="str">
        <x:v>Linha Kids</x:v>
      </x:c>
      <x:c r="C652" s="24" t="n">
        <x:v>151.3</x:v>
      </x:c>
      <x:c r="D652" s="24" t="n">
        <x:v>291.4</x:v>
      </x:c>
      <x:c r="E652" s="24" t="str">
        <x:v>Airwear 1.499,00 1.499,00</x:v>
      </x:c>
      <x:c r="F652" s="24" t="str">
        <x:v>CRIZAL ROCK HR EASY</x:v>
      </x:c>
      <x:c r="G652" s="24" t="n">
        <x:v>1229</x:v>
      </x:c>
      <x:c r="H652" s="24" t="n">
        <x:v>46118</x:v>
      </x:c>
      <x:c r="I652" s="24" t="n">
        <x:v>46234</x:v>
      </x:c>
      <x:c r="J652" s="24" t="str">
        <x:v>EXPIRADA</x:v>
      </x:c>
    </x:row>
    <x:row r="653">
      <x:c r="A653" s="24" t="n">
        <x:v>11</x:v>
      </x:c>
      <x:c r="B653" s="24" t="str">
        <x:v>Linha Kids</x:v>
      </x:c>
      <x:c r="C653" s="24" t="n">
        <x:v>165.5</x:v>
      </x:c>
      <x:c r="D653" s="24" t="n">
        <x:v>393.9</x:v>
      </x:c>
      <x:c r="E653" s="24" t="str">
        <x:v>Transitions Gen S 2.439,00 2.439,00 2.169,00 1.819,00</x:v>
      </x:c>
      <x:c r="F653" s="24" t="str">
        <x:v>CINZA C V MARROM ÂMBAR M A OPTIFOG E 1.119,00</x:v>
      </x:c>
      <x:c r="G653" s="24" t="n">
        <x:v>2059</x:v>
      </x:c>
      <x:c r="H653" s="24" t="n">
        <x:v>46118</x:v>
      </x:c>
      <x:c r="I653" s="24" t="n">
        <x:v>46234</x:v>
      </x:c>
      <x:c r="J653" s="24" t="str">
        <x:v>EXPIRADA</x:v>
      </x:c>
    </x:row>
    <x:row r="654">
      <x:c r="A654" s="24" t="n">
        <x:v>11</x:v>
      </x:c>
      <x:c r="B654" s="24" t="str">
        <x:v>Linha Kids</x:v>
      </x:c>
      <x:c r="C654" s="24" t="n">
        <x:v>165.5</x:v>
      </x:c>
      <x:c r="D654" s="24" t="n">
        <x:v>238.9</x:v>
      </x:c>
      <x:c r="E654" s="24" t="str">
        <x:v>Transitions Gen S 2.439,00</x:v>
      </x:c>
      <x:c r="F654" s="24" t="str">
        <x:v>INFANTIL CRIZAL SAPPHIRE HR 1.499,00</x:v>
      </x:c>
      <x:c r="G654" s="24" t="n">
        <x:v>2439</x:v>
      </x:c>
      <x:c r="H654" s="24" t="n">
        <x:v>46118</x:v>
      </x:c>
      <x:c r="I654" s="24" t="n">
        <x:v>46234</x:v>
      </x:c>
      <x:c r="J654" s="24" t="str">
        <x:v>EXPIRADA</x:v>
      </x:c>
    </x:row>
    <x:row r="655">
      <x:c r="A655" s="24" t="n">
        <x:v>11</x:v>
      </x:c>
      <x:c r="B655" s="24" t="str">
        <x:v>Linha Kids</x:v>
      </x:c>
      <x:c r="C655" s="24" t="n">
        <x:v>165.5</x:v>
      </x:c>
      <x:c r="D655" s="24" t="n">
        <x:v>184.3</x:v>
      </x:c>
      <x:c r="E655" s="24" t="str">
        <x:v>Transitions Gen S</x:v>
      </x:c>
      <x:c r="F655" s="24" t="str">
        <x:v>DIGITAL INFANTIL CRIZAL PREVENCIA 1.499,00</x:v>
      </x:c>
      <x:c r="G655" s="24" t="n">
        <x:v>2439</x:v>
      </x:c>
      <x:c r="H655" s="24" t="n">
        <x:v>46118</x:v>
      </x:c>
      <x:c r="I655" s="24" t="n">
        <x:v>46234</x:v>
      </x:c>
      <x:c r="J655" s="24" t="str">
        <x:v>EXPIRADA</x:v>
      </x:c>
    </x:row>
    <x:row r="656">
      <x:c r="A656" s="24" t="n">
        <x:v>11</x:v>
      </x:c>
      <x:c r="B656" s="24" t="str">
        <x:v>Linha Kids</x:v>
      </x:c>
      <x:c r="C656" s="24" t="n">
        <x:v>165.5</x:v>
      </x:c>
      <x:c r="D656" s="24" t="n">
        <x:v>343.6</x:v>
      </x:c>
      <x:c r="E656" s="24" t="str">
        <x:v>Transitions Gen S 2.439,00 2.439,00 2.169,00</x:v>
      </x:c>
      <x:c r="F656" s="24" t="str">
        <x:v>LEGENDA C M CRIZAL EASY PRO 879,00</x:v>
      </x:c>
      <x:c r="G656" s="24" t="n">
        <x:v>1819</x:v>
      </x:c>
      <x:c r="H656" s="24" t="n">
        <x:v>46118</x:v>
      </x:c>
      <x:c r="I656" s="24" t="n">
        <x:v>46234</x:v>
      </x:c>
      <x:c r="J656" s="24" t="str">
        <x:v>EXPIRADA</x:v>
      </x:c>
    </x:row>
    <x:row r="657">
      <x:c r="A657" s="24" t="n">
        <x:v>11</x:v>
      </x:c>
      <x:c r="B657" s="24" t="str">
        <x:v>Linha Kids</x:v>
      </x:c>
      <x:c r="C657" s="24" t="n">
        <x:v>165.5</x:v>
      </x:c>
      <x:c r="D657" s="24" t="n">
        <x:v>291.6</x:v>
      </x:c>
      <x:c r="E657" s="24" t="str">
        <x:v>Transitions Gen S 2.439,00 2.439,00</x:v>
      </x:c>
      <x:c r="F657" s="24" t="str">
        <x:v>CRIZAL ROCK HR EASY 1.229,00</x:v>
      </x:c>
      <x:c r="G657" s="24" t="n">
        <x:v>2169</x:v>
      </x:c>
      <x:c r="H657" s="24" t="n">
        <x:v>46118</x:v>
      </x:c>
      <x:c r="I657" s="24" t="n">
        <x:v>46234</x:v>
      </x:c>
      <x:c r="J657" s="24" t="str">
        <x:v>EXPIRADA</x:v>
      </x:c>
    </x:row>
    <x:row r="658">
      <x:c r="A658" s="24" t="n">
        <x:v>12</x:v>
      </x:c>
      <x:c r="B658" s="24" t="str">
        <x:v>Lentes Essilor</x:v>
      </x:c>
      <x:c r="C658" s="24" t="n">
        <x:v>404.8</x:v>
      </x:c>
      <x:c r="D658" s="24" t="n">
        <x:v>199.1</x:v>
      </x:c>
      <x:c r="E658" s="24" t="str">
        <x:v>Orma + Xperio cinza/marrom/verde -</x:v>
      </x:c>
      <x:c r="F658" s="24" t="str">
        <x:v>- CRIZAL CRIZAL CRIZAL SAPPHIRE HR ROCK PREVENCIA FACE INTERNA</x:v>
      </x:c>
      <x:c r="G658" s="24" t="n">
        <x:v>1079</x:v>
      </x:c>
      <x:c r="H658" s="24" t="n">
        <x:v>46118</x:v>
      </x:c>
      <x:c r="I658" s="24" t="n">
        <x:v>46234</x:v>
      </x:c>
      <x:c r="J658" s="24" t="str">
        <x:v>EXPIRADA</x:v>
      </x:c>
    </x:row>
    <x:row r="659">
      <x:c r="A659" s="24" t="n">
        <x:v>12</x:v>
      </x:c>
      <x:c r="B659" s="24" t="str">
        <x:v>Lentes Essilor</x:v>
      </x:c>
      <x:c r="C659" s="24" t="n">
        <x:v>402.9</x:v>
      </x:c>
      <x:c r="D659" s="24" t="n">
        <x:v>310.3</x:v>
      </x:c>
      <x:c r="E659" s="24" t="str">
        <x:v>Orma + Xperio cinza/marrom/verde - 1.079,00 - -</x:v>
      </x:c>
      <x:c r="F659" s="24" t="str">
        <x:v>- - - - CRIZAL TRIO OPTIFOG EASY PRO EASY</x:v>
      </x:c>
      <x:c r="G659" s="24" t="n">
        <x:v>1059</x:v>
      </x:c>
      <x:c r="H659" s="24" t="n">
        <x:v>46118</x:v>
      </x:c>
      <x:c r="I659" s="24" t="n">
        <x:v>46234</x:v>
      </x:c>
      <x:c r="J659" s="24" t="str">
        <x:v>EXPIRADA</x:v>
      </x:c>
    </x:row>
    <x:row r="660">
      <x:c r="A660" s="24" t="n">
        <x:v>12</x:v>
      </x:c>
      <x:c r="B660" s="24" t="str">
        <x:v>Lentes Essilor</x:v>
      </x:c>
      <x:c r="C660" s="24" t="n">
        <x:v>441.9</x:v>
      </x:c>
      <x:c r="D660" s="24" t="n">
        <x:v>199.1</x:v>
      </x:c>
      <x:c r="E660" s="24" t="str">
        <x:v>+ Xperio cinza/marrom/verde -</x:v>
      </x:c>
      <x:c r="F660" s="24" t="str">
        <x:v>CRIZAL SAPPHIRE HR ROCK PREVENCIA FACE INTERNA - 1.079,00 -</x:v>
      </x:c>
      <x:c r="G660" s="24" t="n">
        <x:v>1279</x:v>
      </x:c>
      <x:c r="H660" s="24" t="n">
        <x:v>46118</x:v>
      </x:c>
      <x:c r="I660" s="24" t="n">
        <x:v>46234</x:v>
      </x:c>
      <x:c r="J660" s="24" t="str">
        <x:v>EXPIRADA</x:v>
      </x:c>
    </x:row>
    <x:row r="661">
      <x:c r="A661" s="24" t="n">
        <x:v>12</x:v>
      </x:c>
      <x:c r="B661" s="24" t="str">
        <x:v>Lentes Essilor</x:v>
      </x:c>
      <x:c r="C661" s="24" t="n">
        <x:v>439.9</x:v>
      </x:c>
      <x:c r="D661" s="24" t="n">
        <x:v>310.3</x:v>
      </x:c>
      <x:c r="E661" s="24" t="str">
        <x:v>+ - 1.279,00 - -</x:v>
      </x:c>
      <x:c r="F661" s="24" t="str">
        <x:v>CRIZAL TRIO OPTIFOG EASY PRO EASY 1.059,00 - -</x:v>
      </x:c>
      <x:c r="G661" s="24" t="n">
        <x:v>1259</x:v>
      </x:c>
      <x:c r="H661" s="24" t="n">
        <x:v>46118</x:v>
      </x:c>
      <x:c r="I661" s="24" t="n">
        <x:v>46234</x:v>
      </x:c>
      <x:c r="J661" s="24" t="str">
        <x:v>EXPIRADA</x:v>
      </x:c>
    </x:row>
    <x:row r="662">
      <x:c r="A662" s="24" t="n">
        <x:v>12</x:v>
      </x:c>
      <x:c r="B662" s="24" t="str">
        <x:v>Lentes Essilor</x:v>
      </x:c>
      <x:c r="C662" s="24" t="n">
        <x:v>402.9</x:v>
      </x:c>
      <x:c r="D662" s="24" t="n">
        <x:v>389.5</x:v>
      </x:c>
      <x:c r="E662" s="24" t="str">
        <x:v>Orma + Xperio cinza/marrom/verde - 1.079,00 - - 1.059,00 -</x:v>
      </x:c>
      <x:c r="F662" s="24" t="str">
        <x:v>- - - - - TRIO MARCAÇÃO VERNIZ HC CLEAN</x:v>
      </x:c>
      <x:c r="G662" s="24" t="n">
        <x:v>419</x:v>
      </x:c>
      <x:c r="H662" s="24" t="n">
        <x:v>46118</x:v>
      </x:c>
      <x:c r="I662" s="24" t="n">
        <x:v>46234</x:v>
      </x:c>
      <x:c r="J662" s="24" t="str">
        <x:v>EXPIRADA</x:v>
      </x:c>
    </x:row>
    <x:row r="663">
      <x:c r="A663" s="24" t="n">
        <x:v>12</x:v>
      </x:c>
      <x:c r="B663" s="24" t="str">
        <x:v>Lentes Essilor</x:v>
      </x:c>
      <x:c r="C663" s="24" t="n">
        <x:v>439.9</x:v>
      </x:c>
      <x:c r="D663" s="24" t="n">
        <x:v>389.3</x:v>
      </x:c>
      <x:c r="E663" s="24" t="str">
        <x:v>+ - 1.279,00 - - 1.259,00 -</x:v>
      </x:c>
      <x:c r="F663" s="24" t="str">
        <x:v>TRIO MARCAÇÃO VERNIZ HC CLEAN 419,00 -</x:v>
      </x:c>
      <x:c r="G663" s="24" t="n">
        <x:v>619</x:v>
      </x:c>
      <x:c r="H663" s="24" t="n">
        <x:v>46118</x:v>
      </x:c>
      <x:c r="I663" s="24" t="n">
        <x:v>46234</x:v>
      </x:c>
      <x:c r="J663" s="24" t="str">
        <x:v>EXPIRADA</x:v>
      </x:c>
    </x:row>
    <x:row r="664">
      <x:c r="A664" s="24" t="n">
        <x:v>12</x:v>
      </x:c>
      <x:c r="B664" s="24" t="str">
        <x:v>Lentes Essilor</x:v>
      </x:c>
      <x:c r="C664" s="24" t="n">
        <x:v>637.8</x:v>
      </x:c>
      <x:c r="D664" s="24" t="n">
        <x:v>277.6</x:v>
      </x:c>
      <x:c r="E664" s="24" t="str">
        <x:v>Stylis 1.67 Crizal Sapphire HR</x:v>
      </x:c>
      <x:c r="F664" s="24" t="str">
        <x:v>OUTRAS MARCAÇÕES Essilor Fit Eyecode PREÇO 2.089,00</x:v>
      </x:c>
      <x:c r="G664" s="24" t="n">
        <x:v>1479</x:v>
      </x:c>
      <x:c r="H664" s="24" t="n">
        <x:v>46118</x:v>
      </x:c>
      <x:c r="I664" s="24" t="n">
        <x:v>46234</x:v>
      </x:c>
      <x:c r="J664" s="24" t="str">
        <x:v>EXPIRADA</x:v>
      </x:c>
    </x:row>
    <x:row r="665">
      <x:c r="A665" s="24" t="n">
        <x:v>12</x:v>
      </x:c>
      <x:c r="B665" s="24" t="str">
        <x:v>Lentes Essilor</x:v>
      </x:c>
      <x:c r="C665" s="24" t="n">
        <x:v>651.5</x:v>
      </x:c>
      <x:c r="D665" s="24" t="n">
        <x:v>277.6</x:v>
      </x:c>
      <x:c r="E665" s="24" t="str">
        <x:v>Airwear Crizal Sapphire HR Transitions Gen S Cinza</x:v>
      </x:c>
      <x:c r="F665" s="24" t="str">
        <x:v>OUTRAS MARCAÇÕES Essilor Fit Eyecode PREÇO 2.089,00 1.479,00</x:v>
      </x:c>
      <x:c r="G665" s="24" t="n">
        <x:v>1349</x:v>
      </x:c>
      <x:c r="H665" s="24" t="n">
        <x:v>46118</x:v>
      </x:c>
      <x:c r="I665" s="24" t="n">
        <x:v>46234</x:v>
      </x:c>
      <x:c r="J665" s="24" t="str">
        <x:v>EXPIRADA</x:v>
      </x:c>
    </x:row>
    <x:row r="666">
      <x:c r="A666" s="24" t="n">
        <x:v>12</x:v>
      </x:c>
      <x:c r="B666" s="24" t="str">
        <x:v>Lentes Essilor</x:v>
      </x:c>
      <x:c r="C666" s="24" t="n">
        <x:v>666.1</x:v>
      </x:c>
      <x:c r="D666" s="24" t="n">
        <x:v>279.4</x:v>
      </x:c>
      <x:c r="E666" s="24" t="str">
        <x:v>Airwear Transitions Gen S Cinza</x:v>
      </x:c>
      <x:c r="F666" s="24" t="str">
        <x:v>Essilor Fit Eyecode PREÇO 2.089,00 1.479,00 1.349,00</x:v>
      </x:c>
      <x:c r="G666" s="24" t="n">
        <x:v>689</x:v>
      </x:c>
      <x:c r="H666" s="24" t="n">
        <x:v>46118</x:v>
      </x:c>
      <x:c r="I666" s="24" t="n">
        <x:v>46234</x:v>
      </x:c>
      <x:c r="J666" s="24" t="str">
        <x:v>EXPIRADA</x:v>
      </x:c>
    </x:row>
    <x:row r="667">
      <x:c r="A667" s="24" t="n">
        <x:v>12</x:v>
      </x:c>
      <x:c r="B667" s="24" t="str">
        <x:v>Lentes Essilor</x:v>
      </x:c>
      <x:c r="C667" s="24" t="n">
        <x:v>622.4</x:v>
      </x:c>
      <x:c r="D667" s="24" t="n">
        <x:v>276.8</x:v>
      </x:c>
      <x:c r="E667" s="24" t="str">
        <x:v>Stylis 1.74 Crizal Sapphire HR</x:v>
      </x:c>
      <x:c r="F667" s="24" t="str">
        <x:v>979,00 1.219,00 OUTRAS MARCAÇÕES Essilor Fit Eyecode PREÇO</x:v>
      </x:c>
      <x:c r="G667" s="24" t="n">
        <x:v>2089</x:v>
      </x:c>
      <x:c r="H667" s="24" t="n">
        <x:v>46118</x:v>
      </x:c>
      <x:c r="I667" s="24" t="n">
        <x:v>46234</x:v>
      </x:c>
      <x:c r="J667" s="24" t="str">
        <x:v>EXPIRADA</x:v>
      </x:c>
    </x:row>
    <x:row r="668">
      <x:c r="A668" s="24" t="n">
        <x:v>12</x:v>
      </x:c>
      <x:c r="B668" s="24" t="str">
        <x:v>Lentes Essilor</x:v>
      </x:c>
      <x:c r="C668" s="24" t="n">
        <x:v>681.3</x:v>
      </x:c>
      <x:c r="D668" s="24" t="n">
        <x:v>279.5</x:v>
      </x:c>
      <x:c r="E668" s="24" t="str">
        <x:v>Airwear Crizal Sapphire HR</x:v>
      </x:c>
      <x:c r="F668" s="24" t="str">
        <x:v>PREÇO 2.089,00 1.479,00 1.349,00 689,00</x:v>
      </x:c>
      <x:c r="G668" s="24" t="n">
        <x:v>929</x:v>
      </x:c>
      <x:c r="H668" s="24" t="n">
        <x:v>46118</x:v>
      </x:c>
      <x:c r="I668" s="24" t="n">
        <x:v>46234</x:v>
      </x:c>
      <x:c r="J668" s="24" t="str">
        <x:v>EXPIRADA</x:v>
      </x:c>
    </x:row>
    <x:row r="669">
      <x:c r="A669" s="24" t="n">
        <x:v>12</x:v>
      </x:c>
      <x:c r="B669" s="24" t="str">
        <x:v>Lentes Essilor</x:v>
      </x:c>
      <x:c r="C669" s="24" t="n">
        <x:v>709.2</x:v>
      </x:c>
      <x:c r="D669" s="24" t="n">
        <x:v>279.5</x:v>
      </x:c>
      <x:c r="E669" s="24" t="str">
        <x:v>Airwear Crizal Easy Pro</x:v>
      </x:c>
      <x:c r="F669" s="24" t="str">
        <x:v>2.089,00 1.479,00 1.349,00 689,00 929,00 819,00</x:v>
      </x:c>
      <x:c r="G669" s="24" t="n">
        <x:v>569</x:v>
      </x:c>
      <x:c r="H669" s="24" t="n">
        <x:v>46118</x:v>
      </x:c>
      <x:c r="I669" s="24" t="n">
        <x:v>46234</x:v>
      </x:c>
      <x:c r="J669" s="24" t="str">
        <x:v>EXPIRADA</x:v>
      </x:c>
    </x:row>
    <x:row r="670">
      <x:c r="A670" s="24" t="n">
        <x:v>12</x:v>
      </x:c>
      <x:c r="B670" s="24" t="str">
        <x:v>Lentes Essilor</x:v>
      </x:c>
      <x:c r="C670" s="24" t="n">
        <x:v>695.6</x:v>
      </x:c>
      <x:c r="D670" s="24" t="n">
        <x:v>280.2</x:v>
      </x:c>
      <x:c r="E670" s="24" t="str">
        <x:v>Airwear Crizal Rock</x:v>
      </x:c>
      <x:c r="F670" s="24" t="str">
        <x:v>PREÇO 2.089,00 1.479,00 1.349,00 689,00 929,00</x:v>
      </x:c>
      <x:c r="G670" s="24" t="n">
        <x:v>819</x:v>
      </x:c>
      <x:c r="H670" s="24" t="n">
        <x:v>46118</x:v>
      </x:c>
      <x:c r="I670" s="24" t="n">
        <x:v>46234</x:v>
      </x:c>
      <x:c r="J670" s="24" t="str">
        <x:v>EXPIRADA</x:v>
      </x:c>
    </x:row>
    <x:row r="671">
      <x:c r="A671" s="24" t="n">
        <x:v>12</x:v>
      </x:c>
      <x:c r="B671" s="24" t="str">
        <x:v>Lentes Essilor</x:v>
      </x:c>
      <x:c r="C671" s="24" t="n">
        <x:v>795.7</x:v>
      </x:c>
      <x:c r="D671" s="24" t="n">
        <x:v>280.5</x:v>
      </x:c>
      <x:c r="E671" s="24" t="str">
        <x:v>Orma Crizal Easy Pro</x:v>
      </x:c>
      <x:c r="F671" s="24" t="str">
        <x:v>569,00 989,00 489,00 799,00 799,00 579,00</x:v>
      </x:c>
      <x:c r="G671" s="24" t="n">
        <x:v>439</x:v>
      </x:c>
      <x:c r="H671" s="24" t="n">
        <x:v>46118</x:v>
      </x:c>
      <x:c r="I671" s="24" t="n">
        <x:v>46234</x:v>
      </x:c>
      <x:c r="J671" s="24" t="str">
        <x:v>EXPIRADA</x:v>
      </x:c>
    </x:row>
    <x:row r="672">
      <x:c r="A672" s="24" t="n">
        <x:v>12</x:v>
      </x:c>
      <x:c r="B672" s="24" t="str">
        <x:v>Lentes Essilor</x:v>
      </x:c>
      <x:c r="C672" s="24" t="n">
        <x:v>723.8</x:v>
      </x:c>
      <x:c r="D672" s="24" t="n">
        <x:v>280</x:v>
      </x:c>
      <x:c r="E672" s="24" t="str">
        <x:v>Orma Crizal Easy Pro Transitions Gen S Cinza</x:v>
      </x:c>
      <x:c r="F672" s="24" t="str">
        <x:v>1.479,00 1.349,00 689,00 929,00 819,00 569,00</x:v>
      </x:c>
      <x:c r="G672" s="24" t="n">
        <x:v>989</x:v>
      </x:c>
      <x:c r="H672" s="24" t="n">
        <x:v>46118</x:v>
      </x:c>
      <x:c r="I672" s="24" t="n">
        <x:v>46234</x:v>
      </x:c>
      <x:c r="J672" s="24" t="str">
        <x:v>EXPIRADA</x:v>
      </x:c>
    </x:row>
    <x:row r="673">
      <x:c r="A673" s="24" t="n">
        <x:v>12</x:v>
      </x:c>
      <x:c r="B673" s="24" t="str">
        <x:v>Lentes Essilor</x:v>
      </x:c>
      <x:c r="C673" s="24" t="n">
        <x:v>739</x:v>
      </x:c>
      <x:c r="D673" s="24" t="n">
        <x:v>280.4</x:v>
      </x:c>
      <x:c r="E673" s="24" t="str">
        <x:v>Orma Transitions Gen S Cinza</x:v>
      </x:c>
      <x:c r="F673" s="24" t="str">
        <x:v>1.349,00 689,00 929,00 819,00 569,00 989,00</x:v>
      </x:c>
      <x:c r="G673" s="24" t="n">
        <x:v>489</x:v>
      </x:c>
      <x:c r="H673" s="24" t="n">
        <x:v>46118</x:v>
      </x:c>
      <x:c r="I673" s="24" t="n">
        <x:v>46234</x:v>
      </x:c>
      <x:c r="J673" s="24" t="str">
        <x:v>EXPIRADA</x:v>
      </x:c>
    </x:row>
    <x:row r="674">
      <x:c r="A674" s="24" t="n">
        <x:v>12</x:v>
      </x:c>
      <x:c r="B674" s="24" t="str">
        <x:v>Lentes Essilor</x:v>
      </x:c>
      <x:c r="C674" s="24" t="n">
        <x:v>781</x:v>
      </x:c>
      <x:c r="D674" s="24" t="n">
        <x:v>280.4</x:v>
      </x:c>
      <x:c r="E674" s="24" t="str">
        <x:v>Orma Crizal Rock</x:v>
      </x:c>
      <x:c r="F674" s="24" t="str">
        <x:v>819,00 569,00 989,00 489,00 799,00 799,00</x:v>
      </x:c>
      <x:c r="G674" s="24" t="n">
        <x:v>579</x:v>
      </x:c>
      <x:c r="H674" s="24" t="n">
        <x:v>46118</x:v>
      </x:c>
      <x:c r="I674" s="24" t="n">
        <x:v>46234</x:v>
      </x:c>
      <x:c r="J674" s="24" t="str">
        <x:v>EXPIRADA</x:v>
      </x:c>
    </x:row>
    <x:row r="675">
      <x:c r="A675" s="24" t="n">
        <x:v>12</x:v>
      </x:c>
      <x:c r="B675" s="24" t="str">
        <x:v>Lentes Essilor</x:v>
      </x:c>
      <x:c r="C675" s="24" t="n">
        <x:v>766.6</x:v>
      </x:c>
      <x:c r="D675" s="24" t="n">
        <x:v>280.2</x:v>
      </x:c>
      <x:c r="E675" s="24" t="str">
        <x:v>Orma Crizal Sapphire HR</x:v>
      </x:c>
      <x:c r="F675" s="24" t="str">
        <x:v>929,00 819,00 569,00 989,00 489,00 799,00</x:v>
      </x:c>
      <x:c r="G675" s="24" t="n">
        <x:v>799</x:v>
      </x:c>
      <x:c r="H675" s="24" t="n">
        <x:v>46118</x:v>
      </x:c>
      <x:c r="I675" s="24" t="n">
        <x:v>46234</x:v>
      </x:c>
      <x:c r="J675" s="24" t="str">
        <x:v>EXPIRADA</x:v>
      </x:c>
    </x:row>
    <x:row r="676">
      <x:c r="A676" s="24" t="n">
        <x:v>12</x:v>
      </x:c>
      <x:c r="B676" s="24" t="str">
        <x:v>Lentes Essilor</x:v>
      </x:c>
      <x:c r="C676" s="24" t="n">
        <x:v>752.5</x:v>
      </x:c>
      <x:c r="D676" s="24" t="n">
        <x:v>280.2</x:v>
      </x:c>
      <x:c r="E676" s="24" t="str">
        <x:v>Orma Crizal Prevencia</x:v>
      </x:c>
      <x:c r="F676" s="24" t="str">
        <x:v>689,00 929,00 819,00 569,00 989,00 489,00</x:v>
      </x:c>
      <x:c r="G676" s="24" t="n">
        <x:v>799</x:v>
      </x:c>
      <x:c r="H676" s="24" t="n">
        <x:v>46118</x:v>
      </x:c>
      <x:c r="I676" s="24" t="n">
        <x:v>46234</x:v>
      </x:c>
      <x:c r="J676" s="24" t="str">
        <x:v>EXPIRADA</x:v>
      </x:c>
    </x:row>
    <x:row r="677">
      <x:c r="A677" s="24" t="n">
        <x:v>12</x:v>
      </x:c>
      <x:c r="B677" s="24" t="str">
        <x:v>Lentes Essilor</x:v>
      </x:c>
      <x:c r="C677" s="24" t="n">
        <x:v>133</x:v>
      </x:c>
      <x:c r="D677" s="24" t="n">
        <x:v>144.1</x:v>
      </x:c>
      <x:c r="E677" s="24" t="str">
        <x:v>Orma</x:v>
      </x:c>
      <x:c r="F677" s="24" t="str">
        <x:v>SIMPLES SURFAÇADAS CRIZAL CRIZAL SURFAÇADAS PREVENCIA SAPPHIRE</x:v>
      </x:c>
      <x:c r="G677" s="24" t="n">
        <x:v>1219</x:v>
      </x:c>
      <x:c r="H677" s="24" t="n">
        <x:v>46118</x:v>
      </x:c>
      <x:c r="I677" s="24" t="n">
        <x:v>46234</x:v>
      </x:c>
      <x:c r="J677" s="24" t="str">
        <x:v>EXPIRADA</x:v>
      </x:c>
    </x:row>
    <x:row r="678">
      <x:c r="A678" s="24" t="n">
        <x:v>12</x:v>
      </x:c>
      <x:c r="B678" s="24" t="str">
        <x:v>Lentes Essilor</x:v>
      </x:c>
      <x:c r="C678" s="24" t="n">
        <x:v>133</x:v>
      </x:c>
      <x:c r="D678" s="24" t="n">
        <x:v>186.7</x:v>
      </x:c>
      <x:c r="E678" s="24" t="str">
        <x:v>Orma 1.219,00</x:v>
      </x:c>
      <x:c r="F678" s="24" t="str">
        <x:v>SURFAÇADAS CRIZAL CRIZAL CRIZAL ROCK PREVENCIA SAPPHIRE HR</x:v>
      </x:c>
      <x:c r="G678" s="24" t="n">
        <x:v>1219</x:v>
      </x:c>
      <x:c r="H678" s="24" t="n">
        <x:v>46118</x:v>
      </x:c>
      <x:c r="I678" s="24" t="n">
        <x:v>46234</x:v>
      </x:c>
      <x:c r="J678" s="24" t="str">
        <x:v>EXPIRADA</x:v>
      </x:c>
    </x:row>
    <x:row r="679">
      <x:c r="A679" s="24" t="n">
        <x:v>12</x:v>
      </x:c>
      <x:c r="B679" s="24" t="str">
        <x:v>Lentes Essilor</x:v>
      </x:c>
      <x:c r="C679" s="24" t="n">
        <x:v>133</x:v>
      </x:c>
      <x:c r="D679" s="24" t="n">
        <x:v>228.2</x:v>
      </x:c>
      <x:c r="E679" s="24" t="str">
        <x:v>Orma 1.219,00 1.219,00</x:v>
      </x:c>
      <x:c r="F679" s="24" t="str">
        <x:v>CRIZAL CRIZAL CRIZAL ROCK HR EASY</x:v>
      </x:c>
      <x:c r="G679" s="24" t="n">
        <x:v>949</x:v>
      </x:c>
      <x:c r="H679" s="24" t="n">
        <x:v>46118</x:v>
      </x:c>
      <x:c r="I679" s="24" t="n">
        <x:v>46234</x:v>
      </x:c>
      <x:c r="J679" s="24" t="str">
        <x:v>EXPIRADA</x:v>
      </x:c>
    </x:row>
    <x:row r="680">
      <x:c r="A680" s="24" t="n">
        <x:v>12</x:v>
      </x:c>
      <x:c r="B680" s="24" t="str">
        <x:v>Lentes Essilor</x:v>
      </x:c>
      <x:c r="C680" s="24" t="n">
        <x:v>133</x:v>
      </x:c>
      <x:c r="D680" s="24" t="n">
        <x:v>268.7</x:v>
      </x:c>
      <x:c r="E680" s="24" t="str">
        <x:v>Orma 1.219,00 1.219,00 949,00</x:v>
      </x:c>
      <x:c r="F680" s="24" t="str">
        <x:v>CRIZAL CRIZAL OPTIFOG ROCK EASY PRO</x:v>
      </x:c>
      <x:c r="G680" s="24" t="n">
        <x:v>599</x:v>
      </x:c>
      <x:c r="H680" s="24" t="n">
        <x:v>46118</x:v>
      </x:c>
      <x:c r="I680" s="24" t="n">
        <x:v>46234</x:v>
      </x:c>
      <x:c r="J680" s="24" t="str">
        <x:v>EXPIRADA</x:v>
      </x:c>
    </x:row>
    <x:row r="681">
      <x:c r="A681" s="24" t="n">
        <x:v>12</x:v>
      </x:c>
      <x:c r="B681" s="24" t="str">
        <x:v>Lentes Essilor</x:v>
      </x:c>
      <x:c r="C681" s="24" t="n">
        <x:v>133</x:v>
      </x:c>
      <x:c r="D681" s="24" t="n">
        <x:v>308.5</x:v>
      </x:c>
      <x:c r="E681" s="24" t="str">
        <x:v>Orma 1.219,00 1.219,00 949,00 599,00</x:v>
      </x:c>
      <x:c r="F681" s="24" t="str">
        <x:v>C C M M CRIZAL OPTIFOG NO REFLEX PRO</x:v>
      </x:c>
      <x:c r="G681" s="24" t="n">
        <x:v>839</x:v>
      </x:c>
      <x:c r="H681" s="24" t="n">
        <x:v>46118</x:v>
      </x:c>
      <x:c r="I681" s="24" t="n">
        <x:v>46234</x:v>
      </x:c>
      <x:c r="J681" s="24" t="str">
        <x:v>EXPIRADA</x:v>
      </x:c>
    </x:row>
    <x:row r="682">
      <x:c r="A682" s="24" t="n">
        <x:v>12</x:v>
      </x:c>
      <x:c r="B682" s="24" t="str">
        <x:v>Lentes Essilor</x:v>
      </x:c>
      <x:c r="C682" s="24" t="n">
        <x:v>147</x:v>
      </x:c>
      <x:c r="D682" s="24" t="n">
        <x:v>143.9</x:v>
      </x:c>
      <x:c r="E682" s="24"/>
      <x:c r="F682" s="24" t="str">
        <x:v>SIMPLES SURFAÇADAS CRIZAL CRIZAL PREVENCIA SAPPHIRE 1.219,00 1.219,00</x:v>
      </x:c>
      <x:c r="G682" s="24" t="n">
        <x:v>1299</x:v>
      </x:c>
      <x:c r="H682" s="24" t="n">
        <x:v>46118</x:v>
      </x:c>
      <x:c r="I682" s="24" t="n">
        <x:v>46234</x:v>
      </x:c>
      <x:c r="J682" s="24" t="str">
        <x:v>EXPIRADA</x:v>
      </x:c>
    </x:row>
    <x:row r="683">
      <x:c r="A683" s="24" t="n">
        <x:v>12</x:v>
      </x:c>
      <x:c r="B683" s="24" t="str">
        <x:v>Lentes Essilor</x:v>
      </x:c>
      <x:c r="C683" s="24" t="n">
        <x:v>147</x:v>
      </x:c>
      <x:c r="D683" s="24" t="n">
        <x:v>185.8</x:v>
      </x:c>
      <x:c r="E683" s="24" t="str">
        <x:v>1.299,00</x:v>
      </x:c>
      <x:c r="F683" s="24" t="str">
        <x:v>CRIZAL CRIZAL CRIZAL ROCK PREVENCIA SAPPHIRE HR 1.219,00 1.219,00 949,00</x:v>
      </x:c>
      <x:c r="G683" s="24" t="n">
        <x:v>1299</x:v>
      </x:c>
      <x:c r="H683" s="24" t="n">
        <x:v>46118</x:v>
      </x:c>
      <x:c r="I683" s="24" t="n">
        <x:v>46234</x:v>
      </x:c>
      <x:c r="J683" s="24" t="str">
        <x:v>EXPIRADA</x:v>
      </x:c>
    </x:row>
    <x:row r="684">
      <x:c r="A684" s="24" t="n">
        <x:v>12</x:v>
      </x:c>
      <x:c r="B684" s="24" t="str">
        <x:v>Lentes Essilor</x:v>
      </x:c>
      <x:c r="C684" s="24" t="n">
        <x:v>147</x:v>
      </x:c>
      <x:c r="D684" s="24" t="n">
        <x:v>226.3</x:v>
      </x:c>
      <x:c r="E684" s="24" t="str">
        <x:v>1.299,00 1.299,00</x:v>
      </x:c>
      <x:c r="F684" s="24" t="str">
        <x:v>CRIZAL CRIZAL CRIZAL ROCK HR EASY 1.219,00 949,00 599,00</x:v>
      </x:c>
      <x:c r="G684" s="24" t="n">
        <x:v>1029</x:v>
      </x:c>
      <x:c r="H684" s="24" t="n">
        <x:v>46118</x:v>
      </x:c>
      <x:c r="I684" s="24" t="n">
        <x:v>46234</x:v>
      </x:c>
      <x:c r="J684" s="24" t="str">
        <x:v>EXPIRADA</x:v>
      </x:c>
    </x:row>
    <x:row r="685">
      <x:c r="A685" s="24" t="n">
        <x:v>12</x:v>
      </x:c>
      <x:c r="B685" s="24" t="str">
        <x:v>Lentes Essilor</x:v>
      </x:c>
      <x:c r="C685" s="24" t="n">
        <x:v>147</x:v>
      </x:c>
      <x:c r="D685" s="24" t="n">
        <x:v>268.8</x:v>
      </x:c>
      <x:c r="E685" s="24" t="str">
        <x:v>1.299,00 1.299,00 1.029,00</x:v>
      </x:c>
      <x:c r="F685" s="24" t="str">
        <x:v>CRIZAL CRIZAL OPTIFOG ROCK EASY PRO 949,00 599,00 839,00</x:v>
      </x:c>
      <x:c r="G685" s="24" t="n">
        <x:v>679</x:v>
      </x:c>
      <x:c r="H685" s="24" t="n">
        <x:v>46118</x:v>
      </x:c>
      <x:c r="I685" s="24" t="n">
        <x:v>46234</x:v>
      </x:c>
      <x:c r="J685" s="24" t="str">
        <x:v>EXPIRADA</x:v>
      </x:c>
    </x:row>
    <x:row r="686">
      <x:c r="A686" s="24" t="n">
        <x:v>12</x:v>
      </x:c>
      <x:c r="B686" s="24" t="str">
        <x:v>Lentes Essilor</x:v>
      </x:c>
      <x:c r="C686" s="24" t="n">
        <x:v>147</x:v>
      </x:c>
      <x:c r="D686" s="24" t="n">
        <x:v>309.5</x:v>
      </x:c>
      <x:c r="E686" s="24" t="str">
        <x:v>1.299,00 1.299,00 1.029,00 679,00</x:v>
      </x:c>
      <x:c r="F686" s="24" t="str">
        <x:v>M M CRIZAL OPTIFOG NO REFLEX PRO 449,00 599,00 839,00</x:v>
      </x:c>
      <x:c r="G686" s="24" t="n">
        <x:v>919</x:v>
      </x:c>
      <x:c r="H686" s="24" t="n">
        <x:v>46118</x:v>
      </x:c>
      <x:c r="I686" s="24" t="n">
        <x:v>46234</x:v>
      </x:c>
      <x:c r="J686" s="24" t="str">
        <x:v>EXPIRADA</x:v>
      </x:c>
    </x:row>
    <x:row r="687">
      <x:c r="A687" s="24" t="n">
        <x:v>12</x:v>
      </x:c>
      <x:c r="B687" s="24" t="str">
        <x:v>Lentes Essilor</x:v>
      </x:c>
      <x:c r="C687" s="24" t="n">
        <x:v>162.6</x:v>
      </x:c>
      <x:c r="D687" s="24" t="n">
        <x:v>144</x:v>
      </x:c>
      <x:c r="E687" s="24"/>
      <x:c r="F687" s="24" t="str">
        <x:v>SURFAÇADAS CRIZAL CRIZAL PREVENCIA SAPPHIRE 1.219,00 1.219,00 1.299,00 1.299,00 +R$80</x:v>
      </x:c>
      <x:c r="G687" s="24" t="n">
        <x:v>2009</x:v>
      </x:c>
      <x:c r="H687" s="24" t="n">
        <x:v>46118</x:v>
      </x:c>
      <x:c r="I687" s="24" t="n">
        <x:v>46234</x:v>
      </x:c>
      <x:c r="J687" s="24" t="str">
        <x:v>EXPIRADA</x:v>
      </x:c>
    </x:row>
    <x:row r="688">
      <x:c r="A688" s="24" t="n">
        <x:v>12</x:v>
      </x:c>
      <x:c r="B688" s="24" t="str">
        <x:v>Lentes Essilor</x:v>
      </x:c>
      <x:c r="C688" s="24" t="n">
        <x:v>162.6</x:v>
      </x:c>
      <x:c r="D688" s="24" t="n">
        <x:v>184.8</x:v>
      </x:c>
      <x:c r="E688" s="24" t="str">
        <x:v>2.009,00</x:v>
      </x:c>
      <x:c r="F688" s="24" t="str">
        <x:v>ROCK PREVENCIA SAPPHIRE HR 1.219,00 1.219,00 949,00 1.299,00 1.299,00 1.029,00</x:v>
      </x:c>
      <x:c r="G688" s="24" t="n">
        <x:v>2009</x:v>
      </x:c>
      <x:c r="H688" s="24" t="n">
        <x:v>46118</x:v>
      </x:c>
      <x:c r="I688" s="24" t="n">
        <x:v>46234</x:v>
      </x:c>
      <x:c r="J688" s="24" t="str">
        <x:v>EXPIRADA</x:v>
      </x:c>
    </x:row>
    <x:row r="689">
      <x:c r="A689" s="24" t="n">
        <x:v>12</x:v>
      </x:c>
      <x:c r="B689" s="24" t="str">
        <x:v>Lentes Essilor</x:v>
      </x:c>
      <x:c r="C689" s="24" t="n">
        <x:v>162.6</x:v>
      </x:c>
      <x:c r="D689" s="24" t="n">
        <x:v>225.6</x:v>
      </x:c>
      <x:c r="E689" s="24" t="str">
        <x:v>2.009,00 2.009,00</x:v>
      </x:c>
      <x:c r="F689" s="24" t="str">
        <x:v>CRIZAL ROCK HR EASY 1.219,00 949,00 599,00 1.299,00 1.029,00 679,00</x:v>
      </x:c>
      <x:c r="G689" s="24" t="n">
        <x:v>1739</x:v>
      </x:c>
      <x:c r="H689" s="24" t="n">
        <x:v>46118</x:v>
      </x:c>
      <x:c r="I689" s="24" t="n">
        <x:v>46234</x:v>
      </x:c>
      <x:c r="J689" s="24" t="str">
        <x:v>EXPIRADA</x:v>
      </x:c>
    </x:row>
    <x:row r="690">
      <x:c r="A690" s="24" t="n">
        <x:v>12</x:v>
      </x:c>
      <x:c r="B690" s="24" t="str">
        <x:v>Lentes Essilor</x:v>
      </x:c>
      <x:c r="C690" s="24" t="n">
        <x:v>162.6</x:v>
      </x:c>
      <x:c r="D690" s="24" t="n">
        <x:v>266.6</x:v>
      </x:c>
      <x:c r="E690" s="24" t="str">
        <x:v>2.009,00 2.009,00 1.739,00</x:v>
      </x:c>
      <x:c r="F690" s="24" t="str">
        <x:v>OPTIFOG ROCK EASY PRO 949,00 599,00 839,00 1.029,00 679,00 919,00</x:v>
      </x:c>
      <x:c r="G690" s="24" t="n">
        <x:v>1389</x:v>
      </x:c>
      <x:c r="H690" s="24" t="n">
        <x:v>46118</x:v>
      </x:c>
      <x:c r="I690" s="24" t="n">
        <x:v>46234</x:v>
      </x:c>
      <x:c r="J690" s="24" t="str">
        <x:v>EXPIRADA</x:v>
      </x:c>
    </x:row>
    <x:row r="691">
      <x:c r="A691" s="24" t="n">
        <x:v>12</x:v>
      </x:c>
      <x:c r="B691" s="24" t="str">
        <x:v>Lentes Essilor</x:v>
      </x:c>
      <x:c r="C691" s="24" t="n">
        <x:v>162.6</x:v>
      </x:c>
      <x:c r="D691" s="24" t="n">
        <x:v>305.9</x:v>
      </x:c>
      <x:c r="E691" s="24" t="str">
        <x:v>2.009,00 2.009,00 1.739,00 1.389,00</x:v>
      </x:c>
      <x:c r="F691" s="24" t="str">
        <x:v>OPTIFOG NO REFLEX PRO 449,00 599,00 839,00 679,00 919,00 529,00</x:v>
      </x:c>
      <x:c r="G691" s="24" t="n">
        <x:v>1629</x:v>
      </x:c>
      <x:c r="H691" s="24" t="n">
        <x:v>46118</x:v>
      </x:c>
      <x:c r="I691" s="24" t="n">
        <x:v>46234</x:v>
      </x:c>
      <x:c r="J691" s="24" t="str">
        <x:v>EXPIRADA</x:v>
      </x:c>
    </x:row>
    <x:row r="692">
      <x:c r="A692" s="24" t="n">
        <x:v>12</x:v>
      </x:c>
      <x:c r="B692" s="24" t="str">
        <x:v>Lentes Essilor</x:v>
      </x:c>
      <x:c r="C692" s="24" t="n">
        <x:v>177.6</x:v>
      </x:c>
      <x:c r="D692" s="24" t="n">
        <x:v>143.6</x:v>
      </x:c>
      <x:c r="E692" s="24" t="str">
        <x:v>Transitions Extractive</x:v>
      </x:c>
      <x:c r="F692" s="24" t="str">
        <x:v>PREVENCIA SAPPHIRE 1.219,00 1.219,00 1.299,00 1.299,00 +R$80 2.009,00 2.009,00 +R$790</x:v>
      </x:c>
      <x:c r="G692" s="24" t="n">
        <x:v>2079</x:v>
      </x:c>
      <x:c r="H692" s="24" t="n">
        <x:v>46118</x:v>
      </x:c>
      <x:c r="I692" s="24" t="n">
        <x:v>46234</x:v>
      </x:c>
      <x:c r="J692" s="24" t="str">
        <x:v>EXPIRADA</x:v>
      </x:c>
    </x:row>
    <x:row r="693">
      <x:c r="A693" s="24" t="n">
        <x:v>12</x:v>
      </x:c>
      <x:c r="B693" s="24" t="str">
        <x:v>Lentes Essilor</x:v>
      </x:c>
      <x:c r="C693" s="24" t="n">
        <x:v>177.6</x:v>
      </x:c>
      <x:c r="D693" s="24" t="n">
        <x:v>185.7</x:v>
      </x:c>
      <x:c r="E693" s="24" t="str">
        <x:v>Transitions Extractive 2.079,00</x:v>
      </x:c>
      <x:c r="F693" s="24" t="str">
        <x:v>HR 1.219,00 1.219,00 949,00 1.299,00 1.299,00 1.029,00 2.009,00 2.009,00 1.739,00</x:v>
      </x:c>
      <x:c r="G693" s="24" t="n">
        <x:v>2079</x:v>
      </x:c>
      <x:c r="H693" s="24" t="n">
        <x:v>46118</x:v>
      </x:c>
      <x:c r="I693" s="24" t="n">
        <x:v>46234</x:v>
      </x:c>
      <x:c r="J693" s="24" t="str">
        <x:v>EXPIRADA</x:v>
      </x:c>
    </x:row>
    <x:row r="694">
      <x:c r="A694" s="24" t="n">
        <x:v>12</x:v>
      </x:c>
      <x:c r="B694" s="24" t="str">
        <x:v>Lentes Essilor</x:v>
      </x:c>
      <x:c r="C694" s="24" t="n">
        <x:v>177.6</x:v>
      </x:c>
      <x:c r="D694" s="24" t="n">
        <x:v>225.6</x:v>
      </x:c>
      <x:c r="E694" s="24" t="str">
        <x:v>Transitions Extractive 2.079,00 2.079,00</x:v>
      </x:c>
      <x:c r="F694" s="24" t="str">
        <x:v>EASY 1.219,00 949,00 599,00 1.299,00 1.029,00 679,00 2.009,00 1.739,00 1.389,00</x:v>
      </x:c>
      <x:c r="G694" s="24" t="n">
        <x:v>1809</x:v>
      </x:c>
      <x:c r="H694" s="24" t="n">
        <x:v>46118</x:v>
      </x:c>
      <x:c r="I694" s="24" t="n">
        <x:v>46234</x:v>
      </x:c>
      <x:c r="J694" s="24" t="str">
        <x:v>EXPIRADA</x:v>
      </x:c>
    </x:row>
    <x:row r="695">
      <x:c r="A695" s="24" t="n">
        <x:v>12</x:v>
      </x:c>
      <x:c r="B695" s="24" t="str">
        <x:v>Lentes Essilor</x:v>
      </x:c>
      <x:c r="C695" s="24" t="n">
        <x:v>177.6</x:v>
      </x:c>
      <x:c r="D695" s="24" t="n">
        <x:v>266.4</x:v>
      </x:c>
      <x:c r="E695" s="24" t="str">
        <x:v>Transitions Extractive 2.079,00 2.079,00 1.809,00</x:v>
      </x:c>
      <x:c r="F695" s="24" t="str">
        <x:v>PRO 949,00 599,00 839,00 1.029,00 679,00 919,00 1.739,00 1.389,00 1.629,00</x:v>
      </x:c>
      <x:c r="G695" s="24" t="n">
        <x:v>1459</x:v>
      </x:c>
      <x:c r="H695" s="24" t="n">
        <x:v>46118</x:v>
      </x:c>
      <x:c r="I695" s="24" t="n">
        <x:v>46234</x:v>
      </x:c>
      <x:c r="J695" s="24" t="str">
        <x:v>EXPIRADA</x:v>
      </x:c>
    </x:row>
    <x:row r="696">
      <x:c r="A696" s="24" t="n">
        <x:v>12</x:v>
      </x:c>
      <x:c r="B696" s="24" t="str">
        <x:v>Lentes Essilor</x:v>
      </x:c>
      <x:c r="C696" s="24" t="n">
        <x:v>177.6</x:v>
      </x:c>
      <x:c r="D696" s="24" t="n">
        <x:v>306.8</x:v>
      </x:c>
      <x:c r="E696" s="24" t="str">
        <x:v>Transitions Extractive 2.079,00 2.079,00 1.809,00 1.459,00</x:v>
      </x:c>
      <x:c r="F696" s="24" t="str">
        <x:v>PRO 449,00 599,00 839,00 679,00 919,00 529,00 1.239,00 1.389,00 1.629,00</x:v>
      </x:c>
      <x:c r="G696" s="24" t="n">
        <x:v>1699</x:v>
      </x:c>
      <x:c r="H696" s="24" t="n">
        <x:v>46118</x:v>
      </x:c>
      <x:c r="I696" s="24" t="n">
        <x:v>46234</x:v>
      </x:c>
      <x:c r="J696" s="24" t="str">
        <x:v>EXPIRADA</x:v>
      </x:c>
    </x:row>
    <x:row r="697">
      <x:c r="A697" s="24" t="n">
        <x:v>12</x:v>
      </x:c>
      <x:c r="B697" s="24" t="str">
        <x:v>Lentes Essilor</x:v>
      </x:c>
      <x:c r="C697" s="24" t="n">
        <x:v>205.2</x:v>
      </x:c>
      <x:c r="D697" s="24" t="n">
        <x:v>143.5</x:v>
      </x:c>
      <x:c r="E697" s="24" t="str">
        <x:v>Airwear</x:v>
      </x:c>
      <x:c r="F697" s="24" t="str">
        <x:v>1.219,00 1.299,00 1.299,00 +R$80 2.009,00 2.009,00 +R$790 2.079,00 2.079,00 +R$860</x:v>
      </x:c>
      <x:c r="G697" s="24" t="n">
        <x:v>1419</x:v>
      </x:c>
      <x:c r="H697" s="24" t="n">
        <x:v>46118</x:v>
      </x:c>
      <x:c r="I697" s="24" t="n">
        <x:v>46234</x:v>
      </x:c>
      <x:c r="J697" s="24" t="str">
        <x:v>EXPIRADA</x:v>
      </x:c>
    </x:row>
    <x:row r="698">
      <x:c r="A698" s="24" t="n">
        <x:v>12</x:v>
      </x:c>
      <x:c r="B698" s="24" t="str">
        <x:v>Lentes Essilor</x:v>
      </x:c>
      <x:c r="C698" s="24" t="n">
        <x:v>205.2</x:v>
      </x:c>
      <x:c r="D698" s="24" t="n">
        <x:v>184.9</x:v>
      </x:c>
      <x:c r="E698" s="24" t="str">
        <x:v>Airwear 1.419,00</x:v>
      </x:c>
      <x:c r="F698" s="24" t="str">
        <x:v>949,00 1.299,00 1.299,00 1.029,00 2.009,00 2.009,00 1.739,00 2.079,00 2.079,00 1.809,00</x:v>
      </x:c>
      <x:c r="G698" s="24" t="n">
        <x:v>1419</x:v>
      </x:c>
      <x:c r="H698" s="24" t="n">
        <x:v>46118</x:v>
      </x:c>
      <x:c r="I698" s="24" t="n">
        <x:v>46234</x:v>
      </x:c>
      <x:c r="J698" s="24" t="str">
        <x:v>EXPIRADA</x:v>
      </x:c>
    </x:row>
    <x:row r="699">
      <x:c r="A699" s="24" t="n">
        <x:v>12</x:v>
      </x:c>
      <x:c r="B699" s="24" t="str">
        <x:v>Lentes Essilor</x:v>
      </x:c>
      <x:c r="C699" s="24" t="n">
        <x:v>205.2</x:v>
      </x:c>
      <x:c r="D699" s="24" t="n">
        <x:v>227.3</x:v>
      </x:c>
      <x:c r="E699" s="24" t="str">
        <x:v>Airwear 1.419,00 1.419,00</x:v>
      </x:c>
      <x:c r="F699" s="24" t="str">
        <x:v>599,00 1.299,00 1.029,00 679,00 2.009,00 1.739,00 1.389,00 2.079,00 1.809,00 1.459,00</x:v>
      </x:c>
      <x:c r="G699" s="24" t="n">
        <x:v>1149</x:v>
      </x:c>
      <x:c r="H699" s="24" t="n">
        <x:v>46118</x:v>
      </x:c>
      <x:c r="I699" s="24" t="n">
        <x:v>46234</x:v>
      </x:c>
      <x:c r="J699" s="24" t="str">
        <x:v>EXPIRADA</x:v>
      </x:c>
    </x:row>
    <x:row r="700">
      <x:c r="A700" s="24" t="n">
        <x:v>12</x:v>
      </x:c>
      <x:c r="B700" s="24" t="str">
        <x:v>Lentes Essilor</x:v>
      </x:c>
      <x:c r="C700" s="24" t="n">
        <x:v>205.2</x:v>
      </x:c>
      <x:c r="D700" s="24" t="n">
        <x:v>269.1</x:v>
      </x:c>
      <x:c r="E700" s="24" t="str">
        <x:v>Airwear 1.419,00 1.419,00 1.149,00</x:v>
      </x:c>
      <x:c r="F700" s="24" t="str">
        <x:v>839,00 1.029,00 679,00 919,00 1.739,00 1.389,00 1.629,00 1.809,00 1.459,00 1.699,00</x:v>
      </x:c>
      <x:c r="G700" s="24" t="n">
        <x:v>799</x:v>
      </x:c>
      <x:c r="H700" s="24" t="n">
        <x:v>46118</x:v>
      </x:c>
      <x:c r="I700" s="24" t="n">
        <x:v>46234</x:v>
      </x:c>
      <x:c r="J700" s="24" t="str">
        <x:v>EXPIRADA</x:v>
      </x:c>
    </x:row>
    <x:row r="701">
      <x:c r="A701" s="24" t="n">
        <x:v>12</x:v>
      </x:c>
      <x:c r="B701" s="24" t="str">
        <x:v>Lentes Essilor</x:v>
      </x:c>
      <x:c r="C701" s="24" t="n">
        <x:v>205.2</x:v>
      </x:c>
      <x:c r="D701" s="24" t="n">
        <x:v>305.6</x:v>
      </x:c>
      <x:c r="E701" s="24" t="str">
        <x:v>Airwear 1.419,00 1.419,00 1.149,00 799,00</x:v>
      </x:c>
      <x:c r="F701" s="24" t="str">
        <x:v>839,00 679,00 919,00 529,00 1.239,00 1.389,00 1.629,00 1.459,00 1.699,00 1.309,00</x:v>
      </x:c>
      <x:c r="G701" s="24" t="n">
        <x:v>1039</x:v>
      </x:c>
      <x:c r="H701" s="24" t="n">
        <x:v>46118</x:v>
      </x:c>
      <x:c r="I701" s="24" t="n">
        <x:v>46234</x:v>
      </x:c>
      <x:c r="J701" s="24" t="str">
        <x:v>EXPIRADA</x:v>
      </x:c>
    </x:row>
    <x:row r="702">
      <x:c r="A702" s="24" t="n">
        <x:v>12</x:v>
      </x:c>
      <x:c r="B702" s="24" t="str">
        <x:v>Lentes Essilor</x:v>
      </x:c>
      <x:c r="C702" s="24" t="n">
        <x:v>234.3</x:v>
      </x:c>
      <x:c r="D702" s="24" t="n">
        <x:v>143</x:v>
      </x:c>
      <x:c r="E702" s="24"/>
      <x:c r="F702" s="24" t="str">
        <x:v>2.009,00 +R$790 2.079,00 2.079,00 +R$860 1.419,00 1.419,00 1.499,00 1.499,00 +R$80</x:v>
      </x:c>
      <x:c r="G702" s="24" t="n">
        <x:v>2209</x:v>
      </x:c>
      <x:c r="H702" s="24" t="n">
        <x:v>46118</x:v>
      </x:c>
      <x:c r="I702" s="24" t="n">
        <x:v>46234</x:v>
      </x:c>
      <x:c r="J702" s="24" t="str">
        <x:v>EXPIRADA</x:v>
      </x:c>
    </x:row>
    <x:row r="703">
      <x:c r="A703" s="24" t="n">
        <x:v>12</x:v>
      </x:c>
      <x:c r="B703" s="24" t="str">
        <x:v>Lentes Essilor</x:v>
      </x:c>
      <x:c r="C703" s="24" t="n">
        <x:v>234.3</x:v>
      </x:c>
      <x:c r="D703" s="24" t="n">
        <x:v>183.9</x:v>
      </x:c>
      <x:c r="E703" s="24" t="str">
        <x:v>2.209,00</x:v>
      </x:c>
      <x:c r="F703" s="24" t="str">
        <x:v>1.739,00 2.079,00 2.079,00 1.809,00 1.419,00 1.419,00 1.149,00 1.499,00 1.499,00 1.229,00</x:v>
      </x:c>
      <x:c r="G703" s="24" t="n">
        <x:v>2209</x:v>
      </x:c>
      <x:c r="H703" s="24" t="n">
        <x:v>46118</x:v>
      </x:c>
      <x:c r="I703" s="24" t="n">
        <x:v>46234</x:v>
      </x:c>
      <x:c r="J703" s="24" t="str">
        <x:v>EXPIRADA</x:v>
      </x:c>
    </x:row>
    <x:row r="704">
      <x:c r="A704" s="24" t="n">
        <x:v>12</x:v>
      </x:c>
      <x:c r="B704" s="24" t="str">
        <x:v>Lentes Essilor</x:v>
      </x:c>
      <x:c r="C704" s="24" t="n">
        <x:v>234.3</x:v>
      </x:c>
      <x:c r="D704" s="24" t="n">
        <x:v>225.7</x:v>
      </x:c>
      <x:c r="E704" s="24" t="str">
        <x:v>2.209,00 2.209,00</x:v>
      </x:c>
      <x:c r="F704" s="24" t="str">
        <x:v>1.389,00 2.079,00 1.809,00 1.459,00 1.419,00 1.149,00 799,00 1.499,00 1.229,00 879,00</x:v>
      </x:c>
      <x:c r="G704" s="24" t="n">
        <x:v>1939</x:v>
      </x:c>
      <x:c r="H704" s="24" t="n">
        <x:v>46118</x:v>
      </x:c>
      <x:c r="I704" s="24" t="n">
        <x:v>46234</x:v>
      </x:c>
      <x:c r="J704" s="24" t="str">
        <x:v>EXPIRADA</x:v>
      </x:c>
    </x:row>
    <x:row r="705">
      <x:c r="A705" s="24" t="n">
        <x:v>12</x:v>
      </x:c>
      <x:c r="B705" s="24" t="str">
        <x:v>Lentes Essilor</x:v>
      </x:c>
      <x:c r="C705" s="24" t="n">
        <x:v>234.3</x:v>
      </x:c>
      <x:c r="D705" s="24" t="n">
        <x:v>267.4</x:v>
      </x:c>
      <x:c r="E705" s="24" t="str">
        <x:v>2.209,00 2.209,00 1.939,00</x:v>
      </x:c>
      <x:c r="F705" s="24" t="str">
        <x:v>1.629,00 1.809,00 1.459,00 1.699,00 1.149,00 799,00 1.039,00 1.229,00 879,00 1.119,00</x:v>
      </x:c>
      <x:c r="G705" s="24" t="n">
        <x:v>1589</x:v>
      </x:c>
      <x:c r="H705" s="24" t="n">
        <x:v>46118</x:v>
      </x:c>
      <x:c r="I705" s="24" t="n">
        <x:v>46234</x:v>
      </x:c>
      <x:c r="J705" s="24" t="str">
        <x:v>EXPIRADA</x:v>
      </x:c>
    </x:row>
    <x:row r="706">
      <x:c r="A706" s="24" t="n">
        <x:v>12</x:v>
      </x:c>
      <x:c r="B706" s="24" t="str">
        <x:v>Lentes Essilor</x:v>
      </x:c>
      <x:c r="C706" s="24" t="n">
        <x:v>234.3</x:v>
      </x:c>
      <x:c r="D706" s="24" t="n">
        <x:v>305.9</x:v>
      </x:c>
      <x:c r="E706" s="24" t="str">
        <x:v>2.209,00 2.209,00 1.939,00 1.589,00</x:v>
      </x:c>
      <x:c r="F706" s="24" t="str">
        <x:v>1.629,00 1.459,00 1.699,00 1.309,00 649,00 799,00 1.039,00 729,00 879,00 1.119,00</x:v>
      </x:c>
      <x:c r="G706" s="24" t="n">
        <x:v>1829</x:v>
      </x:c>
      <x:c r="H706" s="24" t="n">
        <x:v>46118</x:v>
      </x:c>
      <x:c r="I706" s="24" t="n">
        <x:v>46234</x:v>
      </x:c>
      <x:c r="J706" s="24" t="str">
        <x:v>EXPIRADA</x:v>
      </x:c>
    </x:row>
    <x:row r="707">
      <x:c r="A707" s="24" t="n">
        <x:v>12</x:v>
      </x:c>
      <x:c r="B707" s="24" t="str">
        <x:v>Lentes Essilor</x:v>
      </x:c>
      <x:c r="C707" s="24" t="n">
        <x:v>219.4</x:v>
      </x:c>
      <x:c r="D707" s="24" t="n">
        <x:v>144</x:v>
      </x:c>
      <x:c r="E707" s="24"/>
      <x:c r="F707" s="24" t="str">
        <x:v>1.299,00 +R$80 2.009,00 2.009,00 +R$790 2.079,00 2.079,00 +R$860 1.419,00 1.419,00</x:v>
      </x:c>
      <x:c r="G707" s="24" t="n">
        <x:v>1499</x:v>
      </x:c>
      <x:c r="H707" s="24" t="n">
        <x:v>46118</x:v>
      </x:c>
      <x:c r="I707" s="24" t="n">
        <x:v>46234</x:v>
      </x:c>
      <x:c r="J707" s="24" t="str">
        <x:v>EXPIRADA</x:v>
      </x:c>
    </x:row>
    <x:row r="708">
      <x:c r="A708" s="24" t="n">
        <x:v>12</x:v>
      </x:c>
      <x:c r="B708" s="24" t="str">
        <x:v>Lentes Essilor</x:v>
      </x:c>
      <x:c r="C708" s="24" t="n">
        <x:v>219.4</x:v>
      </x:c>
      <x:c r="D708" s="24" t="n">
        <x:v>225.5</x:v>
      </x:c>
      <x:c r="E708" s="24" t="str">
        <x:v>1.499,00 1.499,00</x:v>
      </x:c>
      <x:c r="F708" s="24" t="str">
        <x:v>679,00 2.009,00 1.739,00 1.389,00 2.079,00 1.809,00 1.459,00 1.419,00 1.149,00 799,00</x:v>
      </x:c>
      <x:c r="G708" s="24" t="n">
        <x:v>1229</x:v>
      </x:c>
      <x:c r="H708" s="24" t="n">
        <x:v>46118</x:v>
      </x:c>
      <x:c r="I708" s="24" t="n">
        <x:v>46234</x:v>
      </x:c>
      <x:c r="J708" s="24" t="str">
        <x:v>EXPIRADA</x:v>
      </x:c>
    </x:row>
    <x:row r="709">
      <x:c r="A709" s="24" t="n">
        <x:v>12</x:v>
      </x:c>
      <x:c r="B709" s="24" t="str">
        <x:v>Lentes Essilor</x:v>
      </x:c>
      <x:c r="C709" s="24" t="n">
        <x:v>219.4</x:v>
      </x:c>
      <x:c r="D709" s="24" t="n">
        <x:v>267.8</x:v>
      </x:c>
      <x:c r="E709" s="24" t="str">
        <x:v>1.499,00 1.499,00 1.229,00</x:v>
      </x:c>
      <x:c r="F709" s="24" t="str">
        <x:v>919,00 1.739,00 1.389,00 1.629,00 1.809,00 1.459,00 1.699,00 1.149,00 799,00 1.039,00</x:v>
      </x:c>
      <x:c r="G709" s="24" t="n">
        <x:v>879</x:v>
      </x:c>
      <x:c r="H709" s="24" t="n">
        <x:v>46118</x:v>
      </x:c>
      <x:c r="I709" s="24" t="n">
        <x:v>46234</x:v>
      </x:c>
      <x:c r="J709" s="24" t="str">
        <x:v>EXPIRADA</x:v>
      </x:c>
    </x:row>
    <x:row r="710">
      <x:c r="A710" s="24" t="n">
        <x:v>12</x:v>
      </x:c>
      <x:c r="B710" s="24" t="str">
        <x:v>Lentes Essilor</x:v>
      </x:c>
      <x:c r="C710" s="24" t="n">
        <x:v>219.4</x:v>
      </x:c>
      <x:c r="D710" s="24" t="n">
        <x:v>307.6</x:v>
      </x:c>
      <x:c r="E710" s="24" t="str">
        <x:v>1.499,00 1.499,00 1.229,00 879,00</x:v>
      </x:c>
      <x:c r="F710" s="24" t="str">
        <x:v>529,00 1.239,00 1.389,00 1.629,00 1.459,00 1.699,00 1.309,00 649,00 799,00 1.039,00</x:v>
      </x:c>
      <x:c r="G710" s="24" t="n">
        <x:v>1119</x:v>
      </x:c>
      <x:c r="H710" s="24" t="n">
        <x:v>46118</x:v>
      </x:c>
      <x:c r="I710" s="24" t="n">
        <x:v>46234</x:v>
      </x:c>
      <x:c r="J710" s="24" t="str">
        <x:v>EXPIRADA</x:v>
      </x:c>
    </x:row>
    <x:row r="711">
      <x:c r="A711" s="24" t="n">
        <x:v>12</x:v>
      </x:c>
      <x:c r="B711" s="24" t="str">
        <x:v>Lentes Essilor</x:v>
      </x:c>
      <x:c r="C711" s="24" t="n">
        <x:v>219.4</x:v>
      </x:c>
      <x:c r="D711" s="24" t="n">
        <x:v>184.9</x:v>
      </x:c>
      <x:c r="E711" s="24" t="str">
        <x:v>1.499,00</x:v>
      </x:c>
      <x:c r="F711" s="24" t="str">
        <x:v>1.029,00 2.009,00 2.009,00 1.739,00 2.079,00 2.079,00 1.809,00 1.419,00 1.419,00 1.149,00</x:v>
      </x:c>
      <x:c r="G711" s="24" t="n">
        <x:v>1499</x:v>
      </x:c>
      <x:c r="H711" s="24" t="n">
        <x:v>46118</x:v>
      </x:c>
      <x:c r="I711" s="24" t="n">
        <x:v>46234</x:v>
      </x:c>
      <x:c r="J711" s="24" t="str">
        <x:v>EXPIRADA</x:v>
      </x:c>
    </x:row>
    <x:row r="712">
      <x:c r="A712" s="24" t="n">
        <x:v>12</x:v>
      </x:c>
      <x:c r="B712" s="24" t="str">
        <x:v>Lentes Essilor</x:v>
      </x:c>
      <x:c r="C712" s="24" t="n">
        <x:v>250.1</x:v>
      </x:c>
      <x:c r="D712" s="24" t="n">
        <x:v>144.5</x:v>
      </x:c>
      <x:c r="E712" s="24"/>
      <x:c r="F712" s="24" t="str">
        <x:v>2.079,00 +R$860 1.419,00 1.419,00 1.499,00 1.499,00 +R$80 2.209,00 2.209,00 +R$790</x:v>
      </x:c>
      <x:c r="G712" s="24" t="n">
        <x:v>2279</x:v>
      </x:c>
      <x:c r="H712" s="24" t="n">
        <x:v>46118</x:v>
      </x:c>
      <x:c r="I712" s="24" t="n">
        <x:v>46234</x:v>
      </x:c>
      <x:c r="J712" s="24" t="str">
        <x:v>EXPIRADA</x:v>
      </x:c>
    </x:row>
    <x:row r="713">
      <x:c r="A713" s="24" t="n">
        <x:v>12</x:v>
      </x:c>
      <x:c r="B713" s="24" t="str">
        <x:v>Lentes Essilor</x:v>
      </x:c>
      <x:c r="C713" s="24" t="n">
        <x:v>250.1</x:v>
      </x:c>
      <x:c r="D713" s="24" t="n">
        <x:v>184.8</x:v>
      </x:c>
      <x:c r="E713" s="24" t="str">
        <x:v>2.279,00</x:v>
      </x:c>
      <x:c r="F713" s="24" t="str">
        <x:v>1.809,00 1.419,00 1.419,00 1.149,00 1.499,00 1.499,00 1.229,00 2.209,00 2.209,00 1.939,00</x:v>
      </x:c>
      <x:c r="G713" s="24" t="n">
        <x:v>2279</x:v>
      </x:c>
      <x:c r="H713" s="24" t="n">
        <x:v>46118</x:v>
      </x:c>
      <x:c r="I713" s="24" t="n">
        <x:v>46234</x:v>
      </x:c>
      <x:c r="J713" s="24" t="str">
        <x:v>EXPIRADA</x:v>
      </x:c>
    </x:row>
    <x:row r="714">
      <x:c r="A714" s="24" t="n">
        <x:v>12</x:v>
      </x:c>
      <x:c r="B714" s="24" t="str">
        <x:v>Lentes Essilor</x:v>
      </x:c>
      <x:c r="C714" s="24" t="n">
        <x:v>250.1</x:v>
      </x:c>
      <x:c r="D714" s="24" t="n">
        <x:v>225.5</x:v>
      </x:c>
      <x:c r="E714" s="24" t="str">
        <x:v>2.279,00 2.279,00</x:v>
      </x:c>
      <x:c r="F714" s="24" t="str">
        <x:v>1.459,00 1.419,00 1.149,00 799,00 1.499,00 1.229,00 879,00 2.209,00 1.939,00 1.589,00</x:v>
      </x:c>
      <x:c r="G714" s="24" t="n">
        <x:v>2009</x:v>
      </x:c>
      <x:c r="H714" s="24" t="n">
        <x:v>46118</x:v>
      </x:c>
      <x:c r="I714" s="24" t="n">
        <x:v>46234</x:v>
      </x:c>
      <x:c r="J714" s="24" t="str">
        <x:v>EXPIRADA</x:v>
      </x:c>
    </x:row>
    <x:row r="715">
      <x:c r="A715" s="24" t="n">
        <x:v>12</x:v>
      </x:c>
      <x:c r="B715" s="24" t="str">
        <x:v>Lentes Essilor</x:v>
      </x:c>
      <x:c r="C715" s="24" t="n">
        <x:v>250.1</x:v>
      </x:c>
      <x:c r="D715" s="24" t="n">
        <x:v>267.4</x:v>
      </x:c>
      <x:c r="E715" s="24" t="str">
        <x:v>2.279,00 2.279,00 2.009,00</x:v>
      </x:c>
      <x:c r="F715" s="24" t="str">
        <x:v>1.699,00 1.149,00 799,00 1.039,00 1.229,00 879,00 1.119,00 1.939,00 1.589,00 1.829,00</x:v>
      </x:c>
      <x:c r="G715" s="24" t="n">
        <x:v>1659</x:v>
      </x:c>
      <x:c r="H715" s="24" t="n">
        <x:v>46118</x:v>
      </x:c>
      <x:c r="I715" s="24" t="n">
        <x:v>46234</x:v>
      </x:c>
      <x:c r="J715" s="24" t="str">
        <x:v>EXPIRADA</x:v>
      </x:c>
    </x:row>
    <x:row r="716">
      <x:c r="A716" s="24" t="n">
        <x:v>12</x:v>
      </x:c>
      <x:c r="B716" s="24" t="str">
        <x:v>Lentes Essilor</x:v>
      </x:c>
      <x:c r="C716" s="24" t="n">
        <x:v>250.1</x:v>
      </x:c>
      <x:c r="D716" s="24" t="n">
        <x:v>305.9</x:v>
      </x:c>
      <x:c r="E716" s="24" t="str">
        <x:v>2.279,00 2.279,00 2.009,00 1.659,00</x:v>
      </x:c>
      <x:c r="F716" s="24" t="str">
        <x:v>1.309,00 649,00 799,00 1.039,00 729,00 879,00 1.119,00 1.589,00 1.829,00 1.439,00</x:v>
      </x:c>
      <x:c r="G716" s="24" t="n">
        <x:v>1899</x:v>
      </x:c>
      <x:c r="H716" s="24" t="n">
        <x:v>46118</x:v>
      </x:c>
      <x:c r="I716" s="24" t="n">
        <x:v>46234</x:v>
      </x:c>
      <x:c r="J716" s="24" t="str">
        <x:v>EXPIRADA</x:v>
      </x:c>
    </x:row>
    <x:row r="717">
      <x:c r="A717" s="24" t="n">
        <x:v>12</x:v>
      </x:c>
      <x:c r="B717" s="24" t="str">
        <x:v>Lentes Essilor</x:v>
      </x:c>
      <x:c r="C717" s="24" t="n">
        <x:v>275.3</x:v>
      </x:c>
      <x:c r="D717" s="24" t="n">
        <x:v>143.5</x:v>
      </x:c>
      <x:c r="E717" s="24" t="str">
        <x:v>Stylis 1.67</x:v>
      </x:c>
      <x:c r="F717" s="24" t="str">
        <x:v>1.419,00 1.499,00 1.499,00 +R$80 2.209,00 2.209,00 +R$790 2.279,00 2.279,00 +R$860</x:v>
      </x:c>
      <x:c r="G717" s="24" t="n">
        <x:v>2309</x:v>
      </x:c>
      <x:c r="H717" s="24" t="n">
        <x:v>46118</x:v>
      </x:c>
      <x:c r="I717" s="24" t="n">
        <x:v>46234</x:v>
      </x:c>
      <x:c r="J717" s="24" t="str">
        <x:v>EXPIRADA</x:v>
      </x:c>
    </x:row>
    <x:row r="718">
      <x:c r="A718" s="24" t="n">
        <x:v>12</x:v>
      </x:c>
      <x:c r="B718" s="24" t="str">
        <x:v>Lentes Essilor</x:v>
      </x:c>
      <x:c r="C718" s="24" t="n">
        <x:v>275.3</x:v>
      </x:c>
      <x:c r="D718" s="24" t="n">
        <x:v>185.8</x:v>
      </x:c>
      <x:c r="E718" s="24" t="str">
        <x:v>Stylis 1.67 2.309,00</x:v>
      </x:c>
      <x:c r="F718" s="24" t="str">
        <x:v>1.149,00 1.499,00 1.499,00 1.229,00 2.209,00 2.209,00 1.939,00 2.279,00 2.279,00 2.009,00</x:v>
      </x:c>
      <x:c r="G718" s="24" t="n">
        <x:v>2309</x:v>
      </x:c>
      <x:c r="H718" s="24" t="n">
        <x:v>46118</x:v>
      </x:c>
      <x:c r="I718" s="24" t="n">
        <x:v>46234</x:v>
      </x:c>
      <x:c r="J718" s="24" t="str">
        <x:v>EXPIRADA</x:v>
      </x:c>
    </x:row>
    <x:row r="719">
      <x:c r="A719" s="24" t="n">
        <x:v>12</x:v>
      </x:c>
      <x:c r="B719" s="24" t="str">
        <x:v>Lentes Essilor</x:v>
      </x:c>
      <x:c r="C719" s="24" t="n">
        <x:v>275.3</x:v>
      </x:c>
      <x:c r="D719" s="24" t="n">
        <x:v>226.3</x:v>
      </x:c>
      <x:c r="E719" s="24" t="str">
        <x:v>Stylis 1.67 2.309,00 2.309,00</x:v>
      </x:c>
      <x:c r="F719" s="24" t="str">
        <x:v>799,00 1.499,00 1.229,00 879,00 2.209,00 1.939,00 1.589,00 2.279,00 2.009,00 1.659,00</x:v>
      </x:c>
      <x:c r="G719" s="24" t="n">
        <x:v>2039</x:v>
      </x:c>
      <x:c r="H719" s="24" t="n">
        <x:v>46118</x:v>
      </x:c>
      <x:c r="I719" s="24" t="n">
        <x:v>46234</x:v>
      </x:c>
      <x:c r="J719" s="24" t="str">
        <x:v>EXPIRADA</x:v>
      </x:c>
    </x:row>
    <x:row r="720">
      <x:c r="A720" s="24" t="n">
        <x:v>12</x:v>
      </x:c>
      <x:c r="B720" s="24" t="str">
        <x:v>Lentes Essilor</x:v>
      </x:c>
      <x:c r="C720" s="24" t="n">
        <x:v>275.3</x:v>
      </x:c>
      <x:c r="D720" s="24" t="n">
        <x:v>266.2</x:v>
      </x:c>
      <x:c r="E720" s="24" t="str">
        <x:v>Stylis 1.67 2.309,00 2.309,00 2.039,00</x:v>
      </x:c>
      <x:c r="F720" s="24" t="str">
        <x:v>1.039,00 1.229,00 879,00 1.119,00 1.939,00 1.589,00 1.829,00 2.009,00 1.659,00 1.899,00</x:v>
      </x:c>
      <x:c r="G720" s="24" t="n">
        <x:v>1689</x:v>
      </x:c>
      <x:c r="H720" s="24" t="n">
        <x:v>46118</x:v>
      </x:c>
      <x:c r="I720" s="24" t="n">
        <x:v>46234</x:v>
      </x:c>
      <x:c r="J720" s="24" t="str">
        <x:v>EXPIRADA</x:v>
      </x:c>
    </x:row>
    <x:row r="721">
      <x:c r="A721" s="24" t="n">
        <x:v>12</x:v>
      </x:c>
      <x:c r="B721" s="24" t="str">
        <x:v>Lentes Essilor</x:v>
      </x:c>
      <x:c r="C721" s="24" t="n">
        <x:v>275.3</x:v>
      </x:c>
      <x:c r="D721" s="24" t="n">
        <x:v>305.9</x:v>
      </x:c>
      <x:c r="E721" s="24" t="str">
        <x:v>Stylis 1.67 2.309,00 2.309,00 2.039,00 1.689,00</x:v>
      </x:c>
      <x:c r="F721" s="24" t="str">
        <x:v>1.039,00 729,00 879,00 1.119,00 1.589,00 1.829,00 1.439,00 1.659,00 1.899,00 1.509,00</x:v>
      </x:c>
      <x:c r="G721" s="24" t="n">
        <x:v>1929</x:v>
      </x:c>
      <x:c r="H721" s="24" t="n">
        <x:v>46118</x:v>
      </x:c>
      <x:c r="I721" s="24" t="n">
        <x:v>46234</x:v>
      </x:c>
      <x:c r="J721" s="24" t="str">
        <x:v>EXPIRADA</x:v>
      </x:c>
    </x:row>
    <x:row r="722">
      <x:c r="A722" s="24" t="n">
        <x:v>12</x:v>
      </x:c>
      <x:c r="B722" s="24" t="str">
        <x:v>Lentes Essilor</x:v>
      </x:c>
      <x:c r="C722" s="24" t="n">
        <x:v>290.4</x:v>
      </x:c>
      <x:c r="D722" s="24" t="n">
        <x:v>142.6</x:v>
      </x:c>
      <x:c r="E722" s="24"/>
      <x:c r="F722" s="24" t="str">
        <x:v>1.499,00 +R$80 2.209,00 2.209,00 +R$790 2.279,00 2.279,00 +R$860 2.309,00 2.309,00</x:v>
      </x:c>
      <x:c r="G722" s="24" t="n">
        <x:v>3099</x:v>
      </x:c>
      <x:c r="H722" s="24" t="n">
        <x:v>46118</x:v>
      </x:c>
      <x:c r="I722" s="24" t="n">
        <x:v>46234</x:v>
      </x:c>
      <x:c r="J722" s="24" t="str">
        <x:v>EXPIRADA</x:v>
      </x:c>
    </x:row>
    <x:row r="723">
      <x:c r="A723" s="24" t="n">
        <x:v>12</x:v>
      </x:c>
      <x:c r="B723" s="24" t="str">
        <x:v>Lentes Essilor</x:v>
      </x:c>
      <x:c r="C723" s="24" t="n">
        <x:v>290.4</x:v>
      </x:c>
      <x:c r="D723" s="24" t="n">
        <x:v>184.8</x:v>
      </x:c>
      <x:c r="E723" s="24" t="str">
        <x:v>3.099,00</x:v>
      </x:c>
      <x:c r="F723" s="24" t="str">
        <x:v>1.229,00 2.209,00 2.209,00 1.939,00 2.279,00 2.279,00 2.009,00 2.309,00 2.309,00 2.039,00</x:v>
      </x:c>
      <x:c r="G723" s="24" t="n">
        <x:v>3099</x:v>
      </x:c>
      <x:c r="H723" s="24" t="n">
        <x:v>46118</x:v>
      </x:c>
      <x:c r="I723" s="24" t="n">
        <x:v>46234</x:v>
      </x:c>
      <x:c r="J723" s="24" t="str">
        <x:v>EXPIRADA</x:v>
      </x:c>
    </x:row>
    <x:row r="724">
      <x:c r="A724" s="24" t="n">
        <x:v>12</x:v>
      </x:c>
      <x:c r="B724" s="24" t="str">
        <x:v>Lentes Essilor</x:v>
      </x:c>
      <x:c r="C724" s="24" t="n">
        <x:v>290.4</x:v>
      </x:c>
      <x:c r="D724" s="24" t="n">
        <x:v>225.3</x:v>
      </x:c>
      <x:c r="E724" s="24" t="str">
        <x:v>3.099,00 3.099,00</x:v>
      </x:c>
      <x:c r="F724" s="24" t="str">
        <x:v>879,00 2.209,00 1.939,00 1.589,00 2.279,00 2.009,00 1.659,00 2.309,00 2.039,00 1.689,00</x:v>
      </x:c>
      <x:c r="G724" s="24" t="n">
        <x:v>2829</x:v>
      </x:c>
      <x:c r="H724" s="24" t="n">
        <x:v>46118</x:v>
      </x:c>
      <x:c r="I724" s="24" t="n">
        <x:v>46234</x:v>
      </x:c>
      <x:c r="J724" s="24" t="str">
        <x:v>EXPIRADA</x:v>
      </x:c>
    </x:row>
    <x:row r="725">
      <x:c r="A725" s="24" t="n">
        <x:v>12</x:v>
      </x:c>
      <x:c r="B725" s="24" t="str">
        <x:v>Lentes Essilor</x:v>
      </x:c>
      <x:c r="C725" s="24" t="n">
        <x:v>290.4</x:v>
      </x:c>
      <x:c r="D725" s="24" t="n">
        <x:v>266.3</x:v>
      </x:c>
      <x:c r="E725" s="24" t="str">
        <x:v>3.099,00 3.099,00 2.829,00</x:v>
      </x:c>
      <x:c r="F725" s="24" t="str">
        <x:v>1.119,00 1.939,00 1.589,00 1.829,00 2.009,00 1.659,00 1.899,00 2.039,00 1.689,00 1.929,00</x:v>
      </x:c>
      <x:c r="G725" s="24" t="n">
        <x:v>2479</x:v>
      </x:c>
      <x:c r="H725" s="24" t="n">
        <x:v>46118</x:v>
      </x:c>
      <x:c r="I725" s="24" t="n">
        <x:v>46234</x:v>
      </x:c>
      <x:c r="J725" s="24" t="str">
        <x:v>EXPIRADA</x:v>
      </x:c>
    </x:row>
    <x:row r="726">
      <x:c r="A726" s="24" t="n">
        <x:v>12</x:v>
      </x:c>
      <x:c r="B726" s="24" t="str">
        <x:v>Lentes Essilor</x:v>
      </x:c>
      <x:c r="C726" s="24" t="n">
        <x:v>290.4</x:v>
      </x:c>
      <x:c r="D726" s="24" t="n">
        <x:v>306.6</x:v>
      </x:c>
      <x:c r="E726" s="24" t="str">
        <x:v>3.099,00 3.099,00 2.829,00 2.479,00</x:v>
      </x:c>
      <x:c r="F726" s="24" t="str">
        <x:v>1.119,00 1.589,00 1.829,00 1.439,00 1.659,00 1.899,00 1.509,00 1.689,00 1.929,00 1.539,00</x:v>
      </x:c>
      <x:c r="G726" s="24" t="n">
        <x:v>2719</x:v>
      </x:c>
      <x:c r="H726" s="24" t="n">
        <x:v>46118</x:v>
      </x:c>
      <x:c r="I726" s="24" t="n">
        <x:v>46234</x:v>
      </x:c>
      <x:c r="J726" s="24" t="str">
        <x:v>EXPIRADA</x:v>
      </x:c>
    </x:row>
    <x:row r="727">
      <x:c r="A727" s="24" t="n">
        <x:v>12</x:v>
      </x:c>
      <x:c r="B727" s="24" t="str">
        <x:v>Lentes Essilor</x:v>
      </x:c>
      <x:c r="C727" s="24" t="n">
        <x:v>275.3</x:v>
      </x:c>
      <x:c r="D727" s="24" t="n">
        <x:v>346.2</x:v>
      </x:c>
      <x:c r="E727" s="24" t="str">
        <x:v>Stylis 1.67 2.309,00 2.309,00 2.039,00 1.689,00 1.929,00</x:v>
      </x:c>
      <x:c r="F727" s="24" t="str">
        <x:v>1.039,00 679,00 729,00 1.119,00 1.389,00 1.829,00 1.439,00 1.899,00 1.509,00 1.459,00</x:v>
      </x:c>
      <x:c r="G727" s="24" t="n">
        <x:v>1539</x:v>
      </x:c>
      <x:c r="H727" s="24" t="n">
        <x:v>46118</x:v>
      </x:c>
      <x:c r="I727" s="24" t="n">
        <x:v>46234</x:v>
      </x:c>
      <x:c r="J727" s="24" t="str">
        <x:v>EXPIRADA</x:v>
      </x:c>
    </x:row>
    <x:row r="728">
      <x:c r="A728" s="24" t="n">
        <x:v>12</x:v>
      </x:c>
      <x:c r="B728" s="24" t="str">
        <x:v>Lentes Essilor</x:v>
      </x:c>
      <x:c r="C728" s="24" t="n">
        <x:v>290.4</x:v>
      </x:c>
      <x:c r="D728" s="24" t="n">
        <x:v>344.9</x:v>
      </x:c>
      <x:c r="E728" s="24" t="str">
        <x:v>3.099,00 3.099,00 2.829,00 2.479,00 2.719,00</x:v>
      </x:c>
      <x:c r="F728" s="24" t="str">
        <x:v>1.119,00 1.389,00 1.829,00 1.439,00 1.899,00 1.509,00 1.459,00 1.929,00 1.539,00 -</x:v>
      </x:c>
      <x:c r="G728" s="24" t="n">
        <x:v>2329</x:v>
      </x:c>
      <x:c r="H728" s="24" t="n">
        <x:v>46118</x:v>
      </x:c>
      <x:c r="I728" s="24" t="n">
        <x:v>46234</x:v>
      </x:c>
      <x:c r="J728" s="24" t="str">
        <x:v>EXPIRADA</x:v>
      </x:c>
    </x:row>
    <x:row r="729">
      <x:c r="A729" s="24" t="n">
        <x:v>12</x:v>
      </x:c>
      <x:c r="B729" s="24" t="str">
        <x:v>Lentes Essilor</x:v>
      </x:c>
      <x:c r="C729" s="24" t="n">
        <x:v>314.4</x:v>
      </x:c>
      <x:c r="D729" s="24" t="n">
        <x:v>184.8</x:v>
      </x:c>
      <x:c r="E729" s="24" t="str">
        <x:v>Stylis 1.74 -</x:v>
      </x:c>
      <x:c r="F729" s="24" t="str">
        <x:v>1.939,00 2.279,00 2.279,00 2.009,00 2.309,00 2.309,00 2.039,00 3.099,00 3.099,00 2.829,00</x:v>
      </x:c>
      <x:c r="G729" s="24" t="n">
        <x:v>3019</x:v>
      </x:c>
      <x:c r="H729" s="24" t="n">
        <x:v>46118</x:v>
      </x:c>
      <x:c r="I729" s="24" t="n">
        <x:v>46234</x:v>
      </x:c>
      <x:c r="J729" s="24" t="str">
        <x:v>EXPIRADA</x:v>
      </x:c>
    </x:row>
    <x:row r="730">
      <x:c r="A730" s="24" t="n">
        <x:v>12</x:v>
      </x:c>
      <x:c r="B730" s="24" t="str">
        <x:v>Lentes Essilor</x:v>
      </x:c>
      <x:c r="C730" s="24" t="n">
        <x:v>132.9</x:v>
      </x:c>
      <x:c r="D730" s="24" t="n">
        <x:v>347.5</x:v>
      </x:c>
      <x:c r="E730" s="24" t="str">
        <x:v>Orma 1.219,00 1.219,00 949,00 599,00 839,00</x:v>
      </x:c>
      <x:c r="F730" s="24" t="str">
        <x:v>MARROM M M A A TRIO OPTIFOG NO REFLEX EASY</x:v>
      </x:c>
      <x:c r="G730" s="24" t="n">
        <x:v>449</x:v>
      </x:c>
      <x:c r="H730" s="24" t="n">
        <x:v>46118</x:v>
      </x:c>
      <x:c r="I730" s="24" t="n">
        <x:v>46234</x:v>
      </x:c>
      <x:c r="J730" s="24" t="str">
        <x:v>EXPIRADA</x:v>
      </x:c>
    </x:row>
    <x:row r="731">
      <x:c r="A731" s="24" t="n">
        <x:v>12</x:v>
      </x:c>
      <x:c r="B731" s="24" t="str">
        <x:v>Lentes Essilor</x:v>
      </x:c>
      <x:c r="C731" s="24" t="n">
        <x:v>147.1</x:v>
      </x:c>
      <x:c r="D731" s="24" t="n">
        <x:v>348.8</x:v>
      </x:c>
      <x:c r="E731" s="24" t="str">
        <x:v>1.299,00 1.299,00 1.029,00 679,00 919,00</x:v>
      </x:c>
      <x:c r="F731" s="24" t="str">
        <x:v>A A TRIO OPTIFOG NO REFLEX EASY 449,00 399,00 839,00</x:v>
      </x:c>
      <x:c r="G731" s="24" t="n">
        <x:v>529</x:v>
      </x:c>
      <x:c r="H731" s="24" t="n">
        <x:v>46118</x:v>
      </x:c>
      <x:c r="I731" s="24" t="n">
        <x:v>46234</x:v>
      </x:c>
      <x:c r="J731" s="24" t="str">
        <x:v>EXPIRADA</x:v>
      </x:c>
    </x:row>
    <x:row r="732">
      <x:c r="A732" s="24" t="n">
        <x:v>12</x:v>
      </x:c>
      <x:c r="B732" s="24" t="str">
        <x:v>Lentes Essilor</x:v>
      </x:c>
      <x:c r="C732" s="24" t="n">
        <x:v>162.7</x:v>
      </x:c>
      <x:c r="D732" s="24" t="n">
        <x:v>431.5</x:v>
      </x:c>
      <x:c r="E732" s="24" t="str">
        <x:v>2.009,00 2.009,00 1.739,00 1.389,00 1.629,00 1.239,00 1.189,00</x:v>
      </x:c>
      <x:c r="F732" s="24" t="str">
        <x:v>TRIO SEM AR CLEAN - 399,00 -10,00 - 479,00 -10,00</x:v>
      </x:c>
      <x:c r="G732" s="24" t="n">
        <x:v>989</x:v>
      </x:c>
      <x:c r="H732" s="24" t="n">
        <x:v>46118</x:v>
      </x:c>
      <x:c r="I732" s="24" t="n">
        <x:v>46234</x:v>
      </x:c>
      <x:c r="J732" s="24" t="str">
        <x:v>EXPIRADA</x:v>
      </x:c>
    </x:row>
    <x:row r="733">
      <x:c r="A733" s="24" t="n">
        <x:v>12</x:v>
      </x:c>
      <x:c r="B733" s="24" t="str">
        <x:v>Lentes Essilor</x:v>
      </x:c>
      <x:c r="C733" s="24" t="n">
        <x:v>177.7</x:v>
      </x:c>
      <x:c r="D733" s="24" t="n">
        <x:v>429.8</x:v>
      </x:c>
      <x:c r="E733" s="24" t="str">
        <x:v>Transitions Extractive 2.079,00 2.079,00 1.809,00 1.459,00 1.699,00 1.309,00 1.259,00</x:v>
      </x:c>
      <x:c r="F733" s="24" t="str">
        <x:v>CLEAN - 399,00 -10,00 - 479,00 -10,00 1.189,00 989,00 -10,00</x:v>
      </x:c>
      <x:c r="G733" s="24" t="n">
        <x:v>1059</x:v>
      </x:c>
      <x:c r="H733" s="24" t="n">
        <x:v>46118</x:v>
      </x:c>
      <x:c r="I733" s="24" t="n">
        <x:v>46234</x:v>
      </x:c>
      <x:c r="J733" s="24" t="str">
        <x:v>EXPIRADA</x:v>
      </x:c>
    </x:row>
    <x:row r="734">
      <x:c r="A734" s="24" t="n">
        <x:v>12</x:v>
      </x:c>
      <x:c r="B734" s="24" t="str">
        <x:v>Lentes Essilor</x:v>
      </x:c>
      <x:c r="C734" s="24" t="n">
        <x:v>205.2</x:v>
      </x:c>
      <x:c r="D734" s="24" t="n">
        <x:v>348.3</x:v>
      </x:c>
      <x:c r="E734" s="24" t="str">
        <x:v>Airwear 1.419,00 1.419,00 1.149,00 799,00 1.039,00</x:v>
      </x:c>
      <x:c r="F734" s="24" t="str">
        <x:v>839,00 919,00 529,00 479,00 1.189,00 1.239,00 1.629,00 1.699,00 1.309,00 1.259,00</x:v>
      </x:c>
      <x:c r="G734" s="24" t="n">
        <x:v>649</x:v>
      </x:c>
      <x:c r="H734" s="24" t="n">
        <x:v>46118</x:v>
      </x:c>
      <x:c r="I734" s="24" t="n">
        <x:v>46234</x:v>
      </x:c>
      <x:c r="J734" s="24" t="str">
        <x:v>EXPIRADA</x:v>
      </x:c>
    </x:row>
    <x:row r="735">
      <x:c r="A735" s="24" t="n">
        <x:v>12</x:v>
      </x:c>
      <x:c r="B735" s="24" t="str">
        <x:v>Lentes Essilor</x:v>
      </x:c>
      <x:c r="C735" s="24" t="n">
        <x:v>234.3</x:v>
      </x:c>
      <x:c r="D735" s="24" t="n">
        <x:v>429.4</x:v>
      </x:c>
      <x:c r="E735" s="24" t="str">
        <x:v>2.209,00 2.209,00 1.939,00 1.589,00 1.829,00 1.439,00 1.389,00</x:v>
      </x:c>
      <x:c r="F735" s="24" t="str">
        <x:v>-10,00 1.059,00 1.259,00 -10,00 - 599,00 -12,00 - 679,00 -12,00</x:v>
      </x:c>
      <x:c r="G735" s="24" t="n">
        <x:v>1189</x:v>
      </x:c>
      <x:c r="H735" s="24" t="n">
        <x:v>46118</x:v>
      </x:c>
      <x:c r="I735" s="24" t="n">
        <x:v>46234</x:v>
      </x:c>
      <x:c r="J735" s="24" t="str">
        <x:v>EXPIRADA</x:v>
      </x:c>
    </x:row>
    <x:row r="736">
      <x:c r="A736" s="24" t="n">
        <x:v>12</x:v>
      </x:c>
      <x:c r="B736" s="24" t="str">
        <x:v>Lentes Essilor</x:v>
      </x:c>
      <x:c r="C736" s="24" t="n">
        <x:v>219.4</x:v>
      </x:c>
      <x:c r="D736" s="24" t="n">
        <x:v>348.3</x:v>
      </x:c>
      <x:c r="E736" s="24" t="str">
        <x:v>1.499,00 1.499,00 1.229,00 879,00 1.119,00</x:v>
      </x:c>
      <x:c r="F736" s="24" t="str">
        <x:v>479,00 1.189,00 1.239,00 1.629,00 1.699,00 1.309,00 1.259,00 649,00 599,00 1.039,00</x:v>
      </x:c>
      <x:c r="G736" s="24" t="n">
        <x:v>729</x:v>
      </x:c>
      <x:c r="H736" s="24" t="n">
        <x:v>46118</x:v>
      </x:c>
      <x:c r="I736" s="24" t="n">
        <x:v>46234</x:v>
      </x:c>
      <x:c r="J736" s="24" t="str">
        <x:v>EXPIRADA</x:v>
      </x:c>
    </x:row>
    <x:row r="737">
      <x:c r="A737" s="24" t="n">
        <x:v>12</x:v>
      </x:c>
      <x:c r="B737" s="24" t="str">
        <x:v>Lentes Essilor</x:v>
      </x:c>
      <x:c r="C737" s="24" t="n">
        <x:v>250.2</x:v>
      </x:c>
      <x:c r="D737" s="24" t="n">
        <x:v>429.8</x:v>
      </x:c>
      <x:c r="E737" s="24" t="str">
        <x:v>2.279,00 2.279,00 2.009,00 1.659,00 1.899,00 1.509,00 1.459,00</x:v>
      </x:c>
      <x:c r="F737" s="24" t="str">
        <x:v>-10,00 - 599,00 -12,00 - 679,00 -12,00 1.389,00 1.189,00 -12,00</x:v>
      </x:c>
      <x:c r="G737" s="24" t="n">
        <x:v>1259</x:v>
      </x:c>
      <x:c r="H737" s="24" t="n">
        <x:v>46118</x:v>
      </x:c>
      <x:c r="I737" s="24" t="n">
        <x:v>46234</x:v>
      </x:c>
      <x:c r="J737" s="24" t="str">
        <x:v>EXPIRADA</x:v>
      </x:c>
    </x:row>
    <x:row r="738">
      <x:c r="A738" s="24" t="n">
        <x:v>12</x:v>
      </x:c>
      <x:c r="B738" s="24" t="str">
        <x:v>Lentes Essilor</x:v>
      </x:c>
      <x:c r="C738" s="24" t="n">
        <x:v>132.9</x:v>
      </x:c>
      <x:c r="D738" s="24" t="n">
        <x:v>388.9</x:v>
      </x:c>
      <x:c r="E738" s="24" t="str">
        <x:v>Orma 1.219,00 1.219,00 949,00 599,00 839,00 449,00</x:v>
      </x:c>
      <x:c r="F738" s="24" t="str">
        <x:v>ÂMBAR M M A A TRIO REFLEX SEM EASY CLEAN</x:v>
      </x:c>
      <x:c r="G738" s="24" t="n">
        <x:v>399</x:v>
      </x:c>
      <x:c r="H738" s="24" t="n">
        <x:v>46118</x:v>
      </x:c>
      <x:c r="I738" s="24" t="n">
        <x:v>46234</x:v>
      </x:c>
      <x:c r="J738" s="24" t="str">
        <x:v>EXPIRADA</x:v>
      </x:c>
    </x:row>
    <x:row r="739">
      <x:c r="A739" s="24" t="n">
        <x:v>12</x:v>
      </x:c>
      <x:c r="B739" s="24" t="str">
        <x:v>Lentes Essilor</x:v>
      </x:c>
      <x:c r="C739" s="24" t="n">
        <x:v>147.1</x:v>
      </x:c>
      <x:c r="D739" s="24" t="n">
        <x:v>389.6</x:v>
      </x:c>
      <x:c r="E739" s="24" t="str">
        <x:v>1.299,00 1.299,00 1.029,00 679,00 919,00 529,00</x:v>
      </x:c>
      <x:c r="F739" s="24" t="str">
        <x:v>A A TRIO REFLEX SEM EASY CLEAN - 449,00 399,00</x:v>
      </x:c>
      <x:c r="G739" s="24" t="n">
        <x:v>479</x:v>
      </x:c>
      <x:c r="H739" s="24" t="n">
        <x:v>46118</x:v>
      </x:c>
      <x:c r="I739" s="24" t="n">
        <x:v>46234</x:v>
      </x:c>
      <x:c r="J739" s="24" t="str">
        <x:v>EXPIRADA</x:v>
      </x:c>
    </x:row>
    <x:row r="740">
      <x:c r="A740" s="24" t="n">
        <x:v>12</x:v>
      </x:c>
      <x:c r="B740" s="24" t="str">
        <x:v>Lentes Essilor</x:v>
      </x:c>
      <x:c r="C740" s="24" t="n">
        <x:v>162.5</x:v>
      </x:c>
      <x:c r="D740" s="24" t="n">
        <x:v>387.2</x:v>
      </x:c>
      <x:c r="E740" s="24" t="str">
        <x:v>2.009,00 2.009,00 1.739,00 1.389,00 1.629,00 1.239,00</x:v>
      </x:c>
      <x:c r="F740" s="24" t="str">
        <x:v>REFLEX SEM EASY CLEAN - 449,00 399,00 - 529,00 479,00</x:v>
      </x:c>
      <x:c r="G740" s="24" t="n">
        <x:v>1189</x:v>
      </x:c>
      <x:c r="H740" s="24" t="n">
        <x:v>46118</x:v>
      </x:c>
      <x:c r="I740" s="24" t="n">
        <x:v>46234</x:v>
      </x:c>
      <x:c r="J740" s="24" t="str">
        <x:v>EXPIRADA</x:v>
      </x:c>
    </x:row>
    <x:row r="741">
      <x:c r="A741" s="24" t="n">
        <x:v>12</x:v>
      </x:c>
      <x:c r="B741" s="24" t="str">
        <x:v>Lentes Essilor</x:v>
      </x:c>
      <x:c r="C741" s="24" t="n">
        <x:v>177.8</x:v>
      </x:c>
      <x:c r="D741" s="24" t="n">
        <x:v>388.7</x:v>
      </x:c>
      <x:c r="E741" s="24" t="str">
        <x:v>Transitions Extractive 2.079,00 2.079,00 1.809,00 1.459,00 1.699,00 1.309,00</x:v>
      </x:c>
      <x:c r="F741" s="24" t="str">
        <x:v>CLEAN - 449,00 399,00 - 529,00 479,00 1.189,00 1.239,00 989,00</x:v>
      </x:c>
      <x:c r="G741" s="24" t="n">
        <x:v>1259</x:v>
      </x:c>
      <x:c r="H741" s="24" t="n">
        <x:v>46118</x:v>
      </x:c>
      <x:c r="I741" s="24" t="n">
        <x:v>46234</x:v>
      </x:c>
      <x:c r="J741" s="24" t="str">
        <x:v>EXPIRADA</x:v>
      </x:c>
    </x:row>
    <x:row r="742">
      <x:c r="A742" s="24" t="n">
        <x:v>12</x:v>
      </x:c>
      <x:c r="B742" s="24" t="str">
        <x:v>Lentes Essilor</x:v>
      </x:c>
      <x:c r="C742" s="24" t="n">
        <x:v>205.2</x:v>
      </x:c>
      <x:c r="D742" s="24" t="n">
        <x:v>389.6</x:v>
      </x:c>
      <x:c r="E742" s="24" t="str">
        <x:v>Airwear 1.419,00 1.419,00 1.149,00 799,00 1.039,00 649,00</x:v>
      </x:c>
      <x:c r="F742" s="24" t="str">
        <x:v>399,00 - 529,00 479,00 1.189,00 1.239,00 989,00 1.059,00 1.309,00 1.259,00</x:v>
      </x:c>
      <x:c r="G742" s="24" t="n">
        <x:v>599</x:v>
      </x:c>
      <x:c r="H742" s="24" t="n">
        <x:v>46118</x:v>
      </x:c>
      <x:c r="I742" s="24" t="n">
        <x:v>46234</x:v>
      </x:c>
      <x:c r="J742" s="24" t="str">
        <x:v>EXPIRADA</x:v>
      </x:c>
    </x:row>
    <x:row r="743">
      <x:c r="A743" s="24" t="n">
        <x:v>12</x:v>
      </x:c>
      <x:c r="B743" s="24" t="str">
        <x:v>Lentes Essilor</x:v>
      </x:c>
      <x:c r="C743" s="24" t="n">
        <x:v>234.3</x:v>
      </x:c>
      <x:c r="D743" s="24" t="n">
        <x:v>387.1</x:v>
      </x:c>
      <x:c r="E743" s="24" t="str">
        <x:v>2.209,00 2.209,00 1.939,00 1.589,00 1.829,00 1.439,00</x:v>
      </x:c>
      <x:c r="F743" s="24" t="str">
        <x:v>989,00 1.059,00 1.309,00 1.259,00 - 649,00 599,00 - 679,00 729,00</x:v>
      </x:c>
      <x:c r="G743" s="24" t="n">
        <x:v>1389</x:v>
      </x:c>
      <x:c r="H743" s="24" t="n">
        <x:v>46118</x:v>
      </x:c>
      <x:c r="I743" s="24" t="n">
        <x:v>46234</x:v>
      </x:c>
      <x:c r="J743" s="24" t="str">
        <x:v>EXPIRADA</x:v>
      </x:c>
    </x:row>
    <x:row r="744">
      <x:c r="A744" s="24" t="n">
        <x:v>12</x:v>
      </x:c>
      <x:c r="B744" s="24" t="str">
        <x:v>Lentes Essilor</x:v>
      </x:c>
      <x:c r="C744" s="24" t="n">
        <x:v>219.4</x:v>
      </x:c>
      <x:c r="D744" s="24" t="n">
        <x:v>390.4</x:v>
      </x:c>
      <x:c r="E744" s="24" t="str">
        <x:v>1.499,00 1.499,00 1.229,00 879,00 1.119,00 729,00</x:v>
      </x:c>
      <x:c r="F744" s="24" t="str">
        <x:v>479,00 1.189,00 1.239,00 989,00 1.059,00 1.309,00 1.259,00 - 649,00 599,00</x:v>
      </x:c>
      <x:c r="G744" s="24" t="n">
        <x:v>679</x:v>
      </x:c>
      <x:c r="H744" s="24" t="n">
        <x:v>46118</x:v>
      </x:c>
      <x:c r="I744" s="24" t="n">
        <x:v>46234</x:v>
      </x:c>
      <x:c r="J744" s="24" t="str">
        <x:v>EXPIRADA</x:v>
      </x:c>
    </x:row>
    <x:row r="745">
      <x:c r="A745" s="24" t="n">
        <x:v>12</x:v>
      </x:c>
      <x:c r="B745" s="24" t="str">
        <x:v>Lentes Essilor</x:v>
      </x:c>
      <x:c r="C745" s="24" t="n">
        <x:v>250.3</x:v>
      </x:c>
      <x:c r="D745" s="24" t="n">
        <x:v>387.6</x:v>
      </x:c>
      <x:c r="E745" s="24" t="str">
        <x:v>2.279,00 2.279,00 2.009,00 1.659,00 1.899,00 1.509,00</x:v>
      </x:c>
      <x:c r="F745" s="24" t="str">
        <x:v>1.259,00 - 649,00 599,00 - 679,00 729,00 1.389,00 1.189,00 1.439,00</x:v>
      </x:c>
      <x:c r="G745" s="24" t="n">
        <x:v>1459</x:v>
      </x:c>
      <x:c r="H745" s="24" t="n">
        <x:v>46118</x:v>
      </x:c>
      <x:c r="I745" s="24" t="n">
        <x:v>46234</x:v>
      </x:c>
      <x:c r="J745" s="24" t="str">
        <x:v>EXPIRADA</x:v>
      </x:c>
    </x:row>
    <x:row r="746">
      <x:c r="A746" s="24" t="n">
        <x:v>12</x:v>
      </x:c>
      <x:c r="B746" s="24" t="str">
        <x:v>Lentes Essilor</x:v>
      </x:c>
      <x:c r="C746" s="24" t="n">
        <x:v>330.6</x:v>
      </x:c>
      <x:c r="D746" s="24" t="n">
        <x:v>183.8</x:v>
      </x:c>
      <x:c r="E746" s="24" t="str">
        <x:v>-</x:v>
      </x:c>
      <x:c r="F746" s="24" t="str">
        <x:v>2.009,00 2.309,00 2.309,00 2.039,00 3.099,00 3.099,00 2.829,00 3.019,00 - -</x:v>
      </x:c>
      <x:c r="G746" s="24" t="n">
        <x:v>3809</x:v>
      </x:c>
      <x:c r="H746" s="24" t="n">
        <x:v>46118</x:v>
      </x:c>
      <x:c r="I746" s="24" t="n">
        <x:v>46234</x:v>
      </x:c>
      <x:c r="J746" s="24" t="str">
        <x:v>EXPIRADA</x:v>
      </x:c>
    </x:row>
    <x:row r="747">
      <x:c r="A747" s="24" t="n">
        <x:v>12</x:v>
      </x:c>
      <x:c r="B747" s="24" t="str">
        <x:v>Lentes Essilor</x:v>
      </x:c>
      <x:c r="C747" s="24" t="n">
        <x:v>512.5</x:v>
      </x:c>
      <x:c r="D747" s="24" t="n">
        <x:v>130.8</x:v>
      </x:c>
      <x:c r="E747" s="24" t="str">
        <x:v>Orma 0,80</x:v>
      </x:c>
      <x:c r="F747" s="24" t="str">
        <x:v>- cinza/marrom/verde INTERMEDIÁRIA CRIZAL CRIZAL PREVENCIA SAPPHIRE</x:v>
      </x:c>
      <x:c r="G747" s="24" t="n">
        <x:v>1599</x:v>
      </x:c>
      <x:c r="H747" s="24" t="n">
        <x:v>46118</x:v>
      </x:c>
      <x:c r="I747" s="24" t="n">
        <x:v>46234</x:v>
      </x:c>
      <x:c r="J747" s="24" t="str">
        <x:v>EXPIRADA</x:v>
      </x:c>
    </x:row>
    <x:row r="748">
      <x:c r="A748" s="24" t="n">
        <x:v>12</x:v>
      </x:c>
      <x:c r="B748" s="24" t="str">
        <x:v>Lentes Essilor</x:v>
      </x:c>
      <x:c r="C748" s="24" t="n">
        <x:v>512.5</x:v>
      </x:c>
      <x:c r="D748" s="24" t="n">
        <x:v>171.8</x:v>
      </x:c>
      <x:c r="E748" s="24" t="str">
        <x:v>Orma 0,80 1.599,00</x:v>
      </x:c>
      <x:c r="F748" s="24" t="str">
        <x:v>1.279,00 - CRIZAL CRIZAL CRIZAL ROCK PREVENCIA SAPPHIRE HR</x:v>
      </x:c>
      <x:c r="G748" s="24" t="n">
        <x:v>1599</x:v>
      </x:c>
      <x:c r="H748" s="24" t="n">
        <x:v>46118</x:v>
      </x:c>
      <x:c r="I748" s="24" t="n">
        <x:v>46234</x:v>
      </x:c>
      <x:c r="J748" s="24" t="str">
        <x:v>EXPIRADA</x:v>
      </x:c>
    </x:row>
    <x:row r="749">
      <x:c r="A749" s="24" t="n">
        <x:v>12</x:v>
      </x:c>
      <x:c r="B749" s="24" t="str">
        <x:v>Lentes Essilor</x:v>
      </x:c>
      <x:c r="C749" s="24" t="n">
        <x:v>512.5</x:v>
      </x:c>
      <x:c r="D749" s="24" t="n">
        <x:v>211.9</x:v>
      </x:c>
      <x:c r="E749" s="24" t="str">
        <x:v>Orma 0,80 1.599,00 1.599,00</x:v>
      </x:c>
      <x:c r="F749" s="24" t="str">
        <x:v>- 1.279,00 CRIZAL CRIZAL CRIZAL ROCK SAPPHIRE HR EASY</x:v>
      </x:c>
      <x:c r="G749" s="24" t="n">
        <x:v>1329</x:v>
      </x:c>
      <x:c r="H749" s="24" t="n">
        <x:v>46118</x:v>
      </x:c>
      <x:c r="I749" s="24" t="n">
        <x:v>46234</x:v>
      </x:c>
      <x:c r="J749" s="24" t="str">
        <x:v>EXPIRADA</x:v>
      </x:c>
    </x:row>
    <x:row r="750">
      <x:c r="A750" s="24" t="n">
        <x:v>12</x:v>
      </x:c>
      <x:c r="B750" s="24" t="str">
        <x:v>Lentes Essilor</x:v>
      </x:c>
      <x:c r="C750" s="24" t="n">
        <x:v>512.5</x:v>
      </x:c>
      <x:c r="D750" s="24" t="n">
        <x:v>254.2</x:v>
      </x:c>
      <x:c r="E750" s="24" t="str">
        <x:v>Orma 0,80 1.599,00 1.599,00 1.329,00</x:v>
      </x:c>
      <x:c r="F750" s="24" t="str">
        <x:v>- - CRIZAL CRIZAL OPTIFOG ROCK EASY PRO</x:v>
      </x:c>
      <x:c r="G750" s="24" t="n">
        <x:v>979</x:v>
      </x:c>
      <x:c r="H750" s="24" t="n">
        <x:v>46118</x:v>
      </x:c>
      <x:c r="I750" s="24" t="n">
        <x:v>46234</x:v>
      </x:c>
      <x:c r="J750" s="24" t="str">
        <x:v>EXPIRADA</x:v>
      </x:c>
    </x:row>
    <x:row r="751">
      <x:c r="A751" s="24" t="n">
        <x:v>12</x:v>
      </x:c>
      <x:c r="B751" s="24" t="str">
        <x:v>Lentes Essilor</x:v>
      </x:c>
      <x:c r="C751" s="24" t="n">
        <x:v>512.5</x:v>
      </x:c>
      <x:c r="D751" s="24" t="n">
        <x:v>294.7</x:v>
      </x:c>
      <x:c r="E751" s="24" t="str">
        <x:v>Orma 0,80 1.599,00 1.599,00 1.329,00 979,00</x:v>
      </x:c>
      <x:c r="F751" s="24" t="str">
        <x:v>1.259,00 - CRIZAL TRIO OPTIFOG PRO EASY</x:v>
      </x:c>
      <x:c r="G751" s="24" t="n">
        <x:v>1219</x:v>
      </x:c>
      <x:c r="H751" s="24" t="n">
        <x:v>46118</x:v>
      </x:c>
      <x:c r="I751" s="24" t="n">
        <x:v>46234</x:v>
      </x:c>
      <x:c r="J751" s="24" t="str">
        <x:v>EXPIRADA</x:v>
      </x:c>
    </x:row>
    <x:row r="752">
      <x:c r="A752" s="24" t="n">
        <x:v>12</x:v>
      </x:c>
      <x:c r="B752" s="24" t="str">
        <x:v>Lentes Essilor</x:v>
      </x:c>
      <x:c r="C752" s="24" t="n">
        <x:v>512.5</x:v>
      </x:c>
      <x:c r="D752" s="24" t="n">
        <x:v>340.6</x:v>
      </x:c>
      <x:c r="E752" s="24" t="str">
        <x:v>Orma 0,80 1.599,00 1.599,00 1.329,00 979,00 1.219,00</x:v>
      </x:c>
      <x:c r="F752" s="24" t="str">
        <x:v>1.259,00 - TRIO OPTIFOG SEM EASY CLEAN</x:v>
      </x:c>
      <x:c r="G752" s="24" t="n">
        <x:v>779</x:v>
      </x:c>
      <x:c r="H752" s="24" t="n">
        <x:v>46118</x:v>
      </x:c>
      <x:c r="I752" s="24" t="n">
        <x:v>46234</x:v>
      </x:c>
      <x:c r="J752" s="24" t="str">
        <x:v>EXPIRADA</x:v>
      </x:c>
    </x:row>
    <x:row r="753">
      <x:c r="A753" s="24" t="n">
        <x:v>12</x:v>
      </x:c>
      <x:c r="B753" s="24" t="str">
        <x:v>Lentes Essilor</x:v>
      </x:c>
      <x:c r="C753" s="24" t="n">
        <x:v>512.5</x:v>
      </x:c>
      <x:c r="D753" s="24" t="n">
        <x:v>385.9</x:v>
      </x:c>
      <x:c r="E753" s="24" t="str">
        <x:v>Orma 0,80 1.599,00 1.599,00 1.329,00 979,00 1.219,00 779,00</x:v>
      </x:c>
      <x:c r="F753" s="24" t="str">
        <x:v>619,00 - MARCAÇÃO SEM AR CLEAN</x:v>
      </x:c>
      <x:c r="G753" s="24" t="n">
        <x:v>579</x:v>
      </x:c>
      <x:c r="H753" s="24" t="n">
        <x:v>46118</x:v>
      </x:c>
      <x:c r="I753" s="24" t="n">
        <x:v>46234</x:v>
      </x:c>
      <x:c r="J753" s="24" t="str">
        <x:v>EXPIRADA</x:v>
      </x:c>
    </x:row>
    <x:row r="754">
      <x:c r="A754" s="24" t="n">
        <x:v>12</x:v>
      </x:c>
      <x:c r="B754" s="24" t="str">
        <x:v>Lentes Essilor</x:v>
      </x:c>
      <x:c r="C754" s="24" t="n">
        <x:v>578.1</x:v>
      </x:c>
      <x:c r="D754" s="24" t="n">
        <x:v>184.8</x:v>
      </x:c>
      <x:c r="E754" s="24" t="str">
        <x:v>Lenço Optifog Smart Textile</x:v>
      </x:c>
      <x:c r="F754" s="24" t="str">
        <x:v>CRIZAL ROCK SAPPHIRE HR 1.599,00 1.329,00 1.599,00 1.329,00 VALOR UNIDADE</x:v>
      </x:c>
      <x:c r="G754" s="24" t="n">
        <x:v>83</x:v>
      </x:c>
      <x:c r="H754" s="24" t="n">
        <x:v>46118</x:v>
      </x:c>
      <x:c r="I754" s="24" t="n">
        <x:v>46234</x:v>
      </x:c>
      <x:c r="J754" s="24" t="str">
        <x:v>EXPIRADA</x:v>
      </x:c>
    </x:row>
    <x:row r="755">
      <x:c r="A755" s="24" t="n">
        <x:v>12</x:v>
      </x:c>
      <x:c r="B755" s="24" t="str">
        <x:v>Lentes Essilor</x:v>
      </x:c>
      <x:c r="C755" s="24" t="n">
        <x:v>162.6</x:v>
      </x:c>
      <x:c r="D755" s="24" t="n">
        <x:v>344.7</x:v>
      </x:c>
      <x:c r="E755" s="24" t="str">
        <x:v>2.009,00 2.009,00 1.739,00 1.389,00 1.629,00</x:v>
      </x:c>
      <x:c r="F755" s="24" t="str">
        <x:v>OPTIFOG NO REFLEX EASY 449,00 399,00 839,00 919,00 529,00 479,00</x:v>
      </x:c>
      <x:c r="G755" s="24" t="n">
        <x:v>1239</x:v>
      </x:c>
      <x:c r="H755" s="24" t="n">
        <x:v>46118</x:v>
      </x:c>
      <x:c r="I755" s="24" t="n">
        <x:v>46234</x:v>
      </x:c>
      <x:c r="J755" s="24" t="str">
        <x:v>EXPIRADA</x:v>
      </x:c>
    </x:row>
    <x:row r="756">
      <x:c r="A756" s="24" t="n">
        <x:v>12</x:v>
      </x:c>
      <x:c r="B756" s="24" t="str">
        <x:v>Lentes Essilor</x:v>
      </x:c>
      <x:c r="C756" s="24" t="n">
        <x:v>177.7</x:v>
      </x:c>
      <x:c r="D756" s="24" t="n">
        <x:v>345.9</x:v>
      </x:c>
      <x:c r="E756" s="24" t="str">
        <x:v>Transitions Extractive 2.079,00 2.079,00 1.809,00 1.459,00 1.699,00</x:v>
      </x:c>
      <x:c r="F756" s="24" t="str">
        <x:v>EASY 449,00 399,00 839,00 919,00 529,00 479,00 1.189,00 1.239,00 1.629,00</x:v>
      </x:c>
      <x:c r="G756" s="24" t="n">
        <x:v>1309</x:v>
      </x:c>
      <x:c r="H756" s="24" t="n">
        <x:v>46118</x:v>
      </x:c>
      <x:c r="I756" s="24" t="n">
        <x:v>46234</x:v>
      </x:c>
      <x:c r="J756" s="24" t="str">
        <x:v>EXPIRADA</x:v>
      </x:c>
    </x:row>
    <x:row r="757">
      <x:c r="A757" s="24" t="n">
        <x:v>12</x:v>
      </x:c>
      <x:c r="B757" s="24" t="str">
        <x:v>Lentes Essilor</x:v>
      </x:c>
      <x:c r="C757" s="24" t="n">
        <x:v>234.3</x:v>
      </x:c>
      <x:c r="D757" s="24" t="n">
        <x:v>345.7</x:v>
      </x:c>
      <x:c r="E757" s="24" t="str">
        <x:v>2.209,00 2.209,00 1.939,00 1.589,00 1.829,00</x:v>
      </x:c>
      <x:c r="F757" s="24" t="str">
        <x:v>1.629,00 1.699,00 1.309,00 1.259,00 649,00 599,00 1.039,00 679,00 729,00 1.119,00</x:v>
      </x:c>
      <x:c r="G757" s="24" t="n">
        <x:v>1439</x:v>
      </x:c>
      <x:c r="H757" s="24" t="n">
        <x:v>46118</x:v>
      </x:c>
      <x:c r="I757" s="24" t="n">
        <x:v>46234</x:v>
      </x:c>
      <x:c r="J757" s="24" t="str">
        <x:v>EXPIRADA</x:v>
      </x:c>
    </x:row>
    <x:row r="758">
      <x:c r="A758" s="24" t="n">
        <x:v>12</x:v>
      </x:c>
      <x:c r="B758" s="24" t="str">
        <x:v>Lentes Essilor</x:v>
      </x:c>
      <x:c r="C758" s="24" t="n">
        <x:v>250.2</x:v>
      </x:c>
      <x:c r="D758" s="24" t="n">
        <x:v>346.3</x:v>
      </x:c>
      <x:c r="E758" s="24" t="str">
        <x:v>2.279,00 2.279,00 2.009,00 1.659,00 1.899,00</x:v>
      </x:c>
      <x:c r="F758" s="24" t="str">
        <x:v>1.259,00 649,00 599,00 1.039,00 679,00 729,00 1.119,00 1.389,00 1.829,00 1.439,00</x:v>
      </x:c>
      <x:c r="G758" s="24" t="n">
        <x:v>1509</x:v>
      </x:c>
      <x:c r="H758" s="24" t="n">
        <x:v>46118</x:v>
      </x:c>
      <x:c r="I758" s="24" t="n">
        <x:v>46234</x:v>
      </x:c>
      <x:c r="J758" s="24" t="str">
        <x:v>EXPIRADA</x:v>
      </x:c>
    </x:row>
    <x:row r="759">
      <x:c r="A759" s="24" t="n">
        <x:v>12</x:v>
      </x:c>
      <x:c r="B759" s="24" t="str">
        <x:v>Lentes Essilor</x:v>
      </x:c>
      <x:c r="C759" s="24" t="n">
        <x:v>534.5</x:v>
      </x:c>
      <x:c r="D759" s="24" t="n">
        <x:v>130.8</x:v>
      </x:c>
      <x:c r="E759" s="24" t="str">
        <x:v>Orma 1,30</x:v>
      </x:c>
      <x:c r="F759" s="24" t="str">
        <x:v>- cinza/marrom/verde INTERMEDIÁRIA CRIZAL CRIZAL PREVENCIA SAPPHIRE 1.599,00 1.599,00</x:v>
      </x:c>
      <x:c r="G759" s="24" t="n">
        <x:v>1599</x:v>
      </x:c>
      <x:c r="H759" s="24" t="n">
        <x:v>46118</x:v>
      </x:c>
      <x:c r="I759" s="24" t="n">
        <x:v>46234</x:v>
      </x:c>
      <x:c r="J759" s="24" t="str">
        <x:v>EXPIRADA</x:v>
      </x:c>
    </x:row>
    <x:row r="760">
      <x:c r="A760" s="24" t="n">
        <x:v>12</x:v>
      </x:c>
      <x:c r="B760" s="24" t="str">
        <x:v>Lentes Essilor</x:v>
      </x:c>
      <x:c r="C760" s="24" t="n">
        <x:v>534.5</x:v>
      </x:c>
      <x:c r="D760" s="24" t="n">
        <x:v>171.8</x:v>
      </x:c>
      <x:c r="E760" s="24" t="str">
        <x:v>Orma 1,30 1.599,00</x:v>
      </x:c>
      <x:c r="F760" s="24" t="str">
        <x:v>CRIZAL CRIZAL CRIZAL ROCK PREVENCIA SAPPHIRE HR 1.599,00 1.599,00 1.329,00</x:v>
      </x:c>
      <x:c r="G760" s="24" t="n">
        <x:v>1599</x:v>
      </x:c>
      <x:c r="H760" s="24" t="n">
        <x:v>46118</x:v>
      </x:c>
      <x:c r="I760" s="24" t="n">
        <x:v>46234</x:v>
      </x:c>
      <x:c r="J760" s="24" t="str">
        <x:v>EXPIRADA</x:v>
      </x:c>
    </x:row>
    <x:row r="761">
      <x:c r="A761" s="24" t="n">
        <x:v>12</x:v>
      </x:c>
      <x:c r="B761" s="24" t="str">
        <x:v>Lentes Essilor</x:v>
      </x:c>
      <x:c r="C761" s="24" t="n">
        <x:v>534.5</x:v>
      </x:c>
      <x:c r="D761" s="24" t="n">
        <x:v>211.9</x:v>
      </x:c>
      <x:c r="E761" s="24" t="str">
        <x:v>Orma 1,30 1.599,00 1.599,00</x:v>
      </x:c>
      <x:c r="F761" s="24" t="str">
        <x:v>CRIZAL CRIZAL CRIZAL ROCK SAPPHIRE HR EASY 1.599,00 1.329,00 979,00</x:v>
      </x:c>
      <x:c r="G761" s="24" t="n">
        <x:v>1329</x:v>
      </x:c>
      <x:c r="H761" s="24" t="n">
        <x:v>46118</x:v>
      </x:c>
      <x:c r="I761" s="24" t="n">
        <x:v>46234</x:v>
      </x:c>
      <x:c r="J761" s="24" t="str">
        <x:v>EXPIRADA</x:v>
      </x:c>
    </x:row>
    <x:row r="762">
      <x:c r="A762" s="24" t="n">
        <x:v>12</x:v>
      </x:c>
      <x:c r="B762" s="24" t="str">
        <x:v>Lentes Essilor</x:v>
      </x:c>
      <x:c r="C762" s="24" t="n">
        <x:v>534.5</x:v>
      </x:c>
      <x:c r="D762" s="24" t="n">
        <x:v>254.2</x:v>
      </x:c>
      <x:c r="E762" s="24" t="str">
        <x:v>Orma 1,30 1.599,00 1.599,00 1.329,00</x:v>
      </x:c>
      <x:c r="F762" s="24" t="str">
        <x:v>- CRIZAL CRIZAL OPTIFOG ROCK EASY PRO 1.329,00 979,00 1.219,00</x:v>
      </x:c>
      <x:c r="G762" s="24" t="n">
        <x:v>979</x:v>
      </x:c>
      <x:c r="H762" s="24" t="n">
        <x:v>46118</x:v>
      </x:c>
      <x:c r="I762" s="24" t="n">
        <x:v>46234</x:v>
      </x:c>
      <x:c r="J762" s="24" t="str">
        <x:v>EXPIRADA</x:v>
      </x:c>
    </x:row>
    <x:row r="763">
      <x:c r="A763" s="24" t="n">
        <x:v>12</x:v>
      </x:c>
      <x:c r="B763" s="24" t="str">
        <x:v>Lentes Essilor</x:v>
      </x:c>
      <x:c r="C763" s="24" t="n">
        <x:v>534.5</x:v>
      </x:c>
      <x:c r="D763" s="24" t="n">
        <x:v>294.7</x:v>
      </x:c>
      <x:c r="E763" s="24" t="str">
        <x:v>Orma 1,30 1.599,00 1.599,00 1.329,00 979,00</x:v>
      </x:c>
      <x:c r="F763" s="24" t="str">
        <x:v>1.259,00 - CRIZAL TRIO OPTIFOG PRO EASY 979,00 1.219,00</x:v>
      </x:c>
      <x:c r="G763" s="24" t="n">
        <x:v>1219</x:v>
      </x:c>
      <x:c r="H763" s="24" t="n">
        <x:v>46118</x:v>
      </x:c>
      <x:c r="I763" s="24" t="n">
        <x:v>46234</x:v>
      </x:c>
      <x:c r="J763" s="24" t="str">
        <x:v>EXPIRADA</x:v>
      </x:c>
    </x:row>
    <x:row r="764">
      <x:c r="A764" s="24" t="n">
        <x:v>12</x:v>
      </x:c>
      <x:c r="B764" s="24" t="str">
        <x:v>Lentes Essilor</x:v>
      </x:c>
      <x:c r="C764" s="24" t="n">
        <x:v>534.5</x:v>
      </x:c>
      <x:c r="D764" s="24" t="n">
        <x:v>340.6</x:v>
      </x:c>
      <x:c r="E764" s="24" t="str">
        <x:v>Orma 1,30 1.599,00 1.599,00 1.329,00 979,00 1.219,00</x:v>
      </x:c>
      <x:c r="F764" s="24" t="str">
        <x:v>1.259,00 - TRIO OPTIFOG SEM EASY CLEAN 779,00</x:v>
      </x:c>
      <x:c r="G764" s="24" t="n">
        <x:v>779</x:v>
      </x:c>
      <x:c r="H764" s="24" t="n">
        <x:v>46118</x:v>
      </x:c>
      <x:c r="I764" s="24" t="n">
        <x:v>46234</x:v>
      </x:c>
      <x:c r="J764" s="24" t="str">
        <x:v>EXPIRADA</x:v>
      </x:c>
    </x:row>
    <x:row r="765">
      <x:c r="A765" s="24" t="n">
        <x:v>12</x:v>
      </x:c>
      <x:c r="B765" s="24" t="str">
        <x:v>Lentes Essilor</x:v>
      </x:c>
      <x:c r="C765" s="24" t="n">
        <x:v>534.5</x:v>
      </x:c>
      <x:c r="D765" s="24" t="n">
        <x:v>385.9</x:v>
      </x:c>
      <x:c r="E765" s="24" t="str">
        <x:v>Orma 1,30 1.599,00 1.599,00 1.329,00 979,00 1.219,00 779,00</x:v>
      </x:c>
      <x:c r="F765" s="24" t="str">
        <x:v>619,00 - MARCAÇÃO SEM AR CLEAN 579,00</x:v>
      </x:c>
      <x:c r="G765" s="24" t="n">
        <x:v>579</x:v>
      </x:c>
      <x:c r="H765" s="24" t="n">
        <x:v>46118</x:v>
      </x:c>
      <x:c r="I765" s="24" t="n">
        <x:v>46234</x:v>
      </x:c>
      <x:c r="J765" s="24" t="str">
        <x:v>EXPIRADA</x:v>
      </x:c>
    </x:row>
    <x:row r="766">
      <x:c r="A766" s="24" t="n">
        <x:v>13</x:v>
      </x:c>
      <x:c r="B766" s="24" t="str">
        <x:v>Lentes Kodak</x:v>
      </x:c>
      <x:c r="C766" s="24" t="n">
        <x:v>135.4</x:v>
      </x:c>
      <x:c r="D766" s="24" t="n">
        <x:v>166.7</x:v>
      </x:c>
      <x:c r="E766" s="24" t="str">
        <x:v>1.50</x:v>
      </x:c>
      <x:c r="F766" s="24" t="str">
        <x:v>DIGITAL CRIZAL CRIZAL PREVENCIA SAPPHIRE</x:v>
      </x:c>
      <x:c r="G766" s="24" t="n">
        <x:v>1979</x:v>
      </x:c>
      <x:c r="H766" s="24" t="n">
        <x:v>46118</x:v>
      </x:c>
      <x:c r="I766" s="24" t="n">
        <x:v>46234</x:v>
      </x:c>
      <x:c r="J766" s="24" t="str">
        <x:v>EXPIRADA</x:v>
      </x:c>
    </x:row>
    <x:row r="767">
      <x:c r="A767" s="24" t="n">
        <x:v>13</x:v>
      </x:c>
      <x:c r="B767" s="24" t="str">
        <x:v>Lentes Kodak</x:v>
      </x:c>
      <x:c r="C767" s="24" t="n">
        <x:v>135.4</x:v>
      </x:c>
      <x:c r="D767" s="24" t="n">
        <x:v>245.5</x:v>
      </x:c>
      <x:c r="E767" s="24" t="str">
        <x:v>1.50 1.979,00 1.979,00</x:v>
      </x:c>
      <x:c r="F767" s="24" t="str">
        <x:v>CRIZAL CRIZAL CRIZAL ROCK SAPPHIRE HR EASY PRO</x:v>
      </x:c>
      <x:c r="G767" s="24" t="n">
        <x:v>1709</x:v>
      </x:c>
      <x:c r="H767" s="24" t="n">
        <x:v>46118</x:v>
      </x:c>
      <x:c r="I767" s="24" t="n">
        <x:v>46234</x:v>
      </x:c>
      <x:c r="J767" s="24" t="str">
        <x:v>EXPIRADA</x:v>
      </x:c>
    </x:row>
    <x:row r="768">
      <x:c r="A768" s="24" t="n">
        <x:v>13</x:v>
      </x:c>
      <x:c r="B768" s="24" t="str">
        <x:v>Lentes Kodak</x:v>
      </x:c>
      <x:c r="C768" s="24" t="n">
        <x:v>135.4</x:v>
      </x:c>
      <x:c r="D768" s="24" t="n">
        <x:v>282.3</x:v>
      </x:c>
      <x:c r="E768" s="24" t="str">
        <x:v>1.50 1.979,00 1.979,00 1.709,00</x:v>
      </x:c>
      <x:c r="F768" s="24" t="str">
        <x:v>CRIZAL CRIZAL OPTIFOG ROCK EASY PRO</x:v>
      </x:c>
      <x:c r="G768" s="24" t="n">
        <x:v>1359</x:v>
      </x:c>
      <x:c r="H768" s="24" t="n">
        <x:v>46118</x:v>
      </x:c>
      <x:c r="I768" s="24" t="n">
        <x:v>46234</x:v>
      </x:c>
      <x:c r="J768" s="24" t="str">
        <x:v>EXPIRADA</x:v>
      </x:c>
    </x:row>
    <x:row r="769">
      <x:c r="A769" s="24" t="n">
        <x:v>13</x:v>
      </x:c>
      <x:c r="B769" s="24" t="str">
        <x:v>Lentes Kodak</x:v>
      </x:c>
      <x:c r="C769" s="24" t="n">
        <x:v>135.4</x:v>
      </x:c>
      <x:c r="D769" s="24" t="n">
        <x:v>318.6</x:v>
      </x:c>
      <x:c r="E769" s="24" t="str">
        <x:v>1.50 1.979,00 1.979,00 1.709,00 1.359,00</x:v>
      </x:c>
      <x:c r="F769" s="24" t="str">
        <x:v>CRIZAL OPTIFOG NO REFLEX EASY PRO</x:v>
      </x:c>
      <x:c r="G769" s="24" t="n">
        <x:v>1599</x:v>
      </x:c>
      <x:c r="H769" s="24" t="n">
        <x:v>46118</x:v>
      </x:c>
      <x:c r="I769" s="24" t="n">
        <x:v>46234</x:v>
      </x:c>
      <x:c r="J769" s="24" t="str">
        <x:v>EXPIRADA</x:v>
      </x:c>
    </x:row>
    <x:row r="770">
      <x:c r="A770" s="24" t="n">
        <x:v>13</x:v>
      </x:c>
      <x:c r="B770" s="24" t="str">
        <x:v>Lentes Kodak</x:v>
      </x:c>
      <x:c r="C770" s="24" t="n">
        <x:v>135.4</x:v>
      </x:c>
      <x:c r="D770" s="24" t="n">
        <x:v>352.6</x:v>
      </x:c>
      <x:c r="E770" s="24" t="str">
        <x:v>1.50 1.979,00 1.979,00 1.709,00 1.359,00 1.599,00</x:v>
      </x:c>
      <x:c r="F770" s="24" t="str">
        <x:v>LEGENDA CINZA C M TRIO OPTIFOG NO REFLEX EASY CLEAN</x:v>
      </x:c>
      <x:c r="G770" s="24" t="n">
        <x:v>1209</x:v>
      </x:c>
      <x:c r="H770" s="24" t="n">
        <x:v>46118</x:v>
      </x:c>
      <x:c r="I770" s="24" t="n">
        <x:v>46234</x:v>
      </x:c>
      <x:c r="J770" s="24" t="str">
        <x:v>EXPIRADA</x:v>
      </x:c>
    </x:row>
    <x:row r="771">
      <x:c r="A771" s="24" t="n">
        <x:v>13</x:v>
      </x:c>
      <x:c r="B771" s="24" t="str">
        <x:v>Lentes Kodak</x:v>
      </x:c>
      <x:c r="C771" s="24" t="n">
        <x:v>258.7</x:v>
      </x:c>
      <x:c r="D771" s="24" t="n">
        <x:v>165.4</x:v>
      </x:c>
      <x:c r="E771" s="24" t="str">
        <x:v>1.67</x:v>
      </x:c>
      <x:c r="F771" s="24" t="str">
        <x:v>2.989,00 +R$1.100 2.199,00 2.199,00 3.139,00 3.139,00 +R$940 3.209,00 3.209,00 +R$1.100</x:v>
      </x:c>
      <x:c r="G771" s="24" t="n">
        <x:v>3399</x:v>
      </x:c>
      <x:c r="H771" s="24" t="n">
        <x:v>46118</x:v>
      </x:c>
      <x:c r="I771" s="24" t="n">
        <x:v>46234</x:v>
      </x:c>
      <x:c r="J771" s="24" t="str">
        <x:v>EXPIRADA</x:v>
      </x:c>
    </x:row>
    <x:row r="772">
      <x:c r="A772" s="24" t="n">
        <x:v>13</x:v>
      </x:c>
      <x:c r="B772" s="24" t="str">
        <x:v>Lentes Kodak</x:v>
      </x:c>
      <x:c r="C772" s="24" t="n">
        <x:v>258.7</x:v>
      </x:c>
      <x:c r="D772" s="24" t="n">
        <x:v>246.2</x:v>
      </x:c>
      <x:c r="E772" s="24" t="str">
        <x:v>1.67 3.399,00 3.399,00</x:v>
      </x:c>
      <x:c r="F772" s="24" t="str">
        <x:v>2.369,00 1.929,00 1.579,00 2.199,00 3.139,00 2.869,00 2.519,00 3.209,00 2.939,00 2.589,00</x:v>
      </x:c>
      <x:c r="G772" s="24" t="n">
        <x:v>3129</x:v>
      </x:c>
      <x:c r="H772" s="24" t="n">
        <x:v>46118</x:v>
      </x:c>
      <x:c r="I772" s="24" t="n">
        <x:v>46234</x:v>
      </x:c>
      <x:c r="J772" s="24" t="str">
        <x:v>EXPIRADA</x:v>
      </x:c>
    </x:row>
    <x:row r="773">
      <x:c r="A773" s="24" t="n">
        <x:v>13</x:v>
      </x:c>
      <x:c r="B773" s="24" t="str">
        <x:v>Lentes Kodak</x:v>
      </x:c>
      <x:c r="C773" s="24" t="n">
        <x:v>258.7</x:v>
      </x:c>
      <x:c r="D773" s="24" t="n">
        <x:v>281.4</x:v>
      </x:c>
      <x:c r="E773" s="24" t="str">
        <x:v>1.67 3.399,00 3.399,00 3.129,00</x:v>
      </x:c>
      <x:c r="F773" s="24" t="str">
        <x:v>2.609,00 1.929,00 1.579,00 1.819,00 2.869,00 2.519,00 2.759,00 2.939,00 2.589,00 2.829,00</x:v>
      </x:c>
      <x:c r="G773" s="24" t="n">
        <x:v>2779</x:v>
      </x:c>
      <x:c r="H773" s="24" t="n">
        <x:v>46118</x:v>
      </x:c>
      <x:c r="I773" s="24" t="n">
        <x:v>46234</x:v>
      </x:c>
      <x:c r="J773" s="24" t="str">
        <x:v>EXPIRADA</x:v>
      </x:c>
    </x:row>
    <x:row r="774">
      <x:c r="A774" s="24" t="n">
        <x:v>13</x:v>
      </x:c>
      <x:c r="B774" s="24" t="str">
        <x:v>Lentes Kodak</x:v>
      </x:c>
      <x:c r="C774" s="24" t="n">
        <x:v>258.7</x:v>
      </x:c>
      <x:c r="D774" s="24" t="n">
        <x:v>318.1</x:v>
      </x:c>
      <x:c r="E774" s="24" t="str">
        <x:v>1.67 3.399,00 3.399,00 3.129,00 2.779,00</x:v>
      </x:c>
      <x:c r="F774" s="24" t="str">
        <x:v>2.219,00 1.579,00 1.819,00 1.429,00 2.369,00 2.519,00 2.759,00 2.589,00 2.829,00 2.439,00</x:v>
      </x:c>
      <x:c r="G774" s="24" t="n">
        <x:v>3019</x:v>
      </x:c>
      <x:c r="H774" s="24" t="n">
        <x:v>46118</x:v>
      </x:c>
      <x:c r="I774" s="24" t="n">
        <x:v>46234</x:v>
      </x:c>
      <x:c r="J774" s="24" t="str">
        <x:v>EXPIRADA</x:v>
      </x:c>
    </x:row>
    <x:row r="775">
      <x:c r="A775" s="24" t="n">
        <x:v>13</x:v>
      </x:c>
      <x:c r="B775" s="24" t="str">
        <x:v>Lentes Kodak</x:v>
      </x:c>
      <x:c r="C775" s="24" t="n">
        <x:v>135.4</x:v>
      </x:c>
      <x:c r="D775" s="24" t="n">
        <x:v>389.8</x:v>
      </x:c>
      <x:c r="E775" s="24" t="str">
        <x:v>1.50 1.979,00 1.979,00 1.709,00 1.359,00 1.599,00 1.209,00</x:v>
      </x:c>
      <x:c r="F775" s="24" t="str">
        <x:v>C V MARROM M A TRIO VERNIZ REFLEX EASY CLEAN</x:v>
      </x:c>
      <x:c r="G775" s="24" t="n">
        <x:v>1159</x:v>
      </x:c>
      <x:c r="H775" s="24" t="n">
        <x:v>46118</x:v>
      </x:c>
      <x:c r="I775" s="24" t="n">
        <x:v>46234</x:v>
      </x:c>
      <x:c r="J775" s="24" t="str">
        <x:v>EXPIRADA</x:v>
      </x:c>
    </x:row>
    <x:row r="776">
      <x:c r="A776" s="24" t="n">
        <x:v>13</x:v>
      </x:c>
      <x:c r="B776" s="24" t="str">
        <x:v>Lentes Kodak</x:v>
      </x:c>
      <x:c r="C776" s="24" t="n">
        <x:v>202.8</x:v>
      </x:c>
      <x:c r="D776" s="24" t="n">
        <x:v>166.6</x:v>
      </x:c>
      <x:c r="E776" s="24" t="str">
        <x:v>Poly</x:v>
      </x:c>
      <x:c r="F776" s="24" t="str">
        <x:v>1.979,00 2.119,00 2.119,00 +R$140 2.919,00 2.919,00 +R$940 2.989,00 2.989,00 +R$1.100</x:v>
      </x:c>
      <x:c r="G776" s="24" t="n">
        <x:v>2199</x:v>
      </x:c>
      <x:c r="H776" s="24" t="n">
        <x:v>46118</x:v>
      </x:c>
      <x:c r="I776" s="24" t="n">
        <x:v>46234</x:v>
      </x:c>
      <x:c r="J776" s="24" t="str">
        <x:v>EXPIRADA</x:v>
      </x:c>
    </x:row>
    <x:row r="777">
      <x:c r="A777" s="24" t="n">
        <x:v>13</x:v>
      </x:c>
      <x:c r="B777" s="24" t="str">
        <x:v>Lentes Kodak</x:v>
      </x:c>
      <x:c r="C777" s="24" t="n">
        <x:v>202.8</x:v>
      </x:c>
      <x:c r="D777" s="24" t="n">
        <x:v>246</x:v>
      </x:c>
      <x:c r="E777" s="24" t="str">
        <x:v>Poly 2.199,00 2.199,00</x:v>
      </x:c>
      <x:c r="F777" s="24" t="str">
        <x:v>1.359,00 2.119,00 1.849,00 1.499,00 2.919,00 2.649,00 2.299,00 2.989,00 2.719,00 2.369,00</x:v>
      </x:c>
      <x:c r="G777" s="24" t="n">
        <x:v>1929</x:v>
      </x:c>
      <x:c r="H777" s="24" t="n">
        <x:v>46118</x:v>
      </x:c>
      <x:c r="I777" s="24" t="n">
        <x:v>46234</x:v>
      </x:c>
      <x:c r="J777" s="24" t="str">
        <x:v>EXPIRADA</x:v>
      </x:c>
    </x:row>
    <x:row r="778">
      <x:c r="A778" s="24" t="n">
        <x:v>13</x:v>
      </x:c>
      <x:c r="B778" s="24" t="str">
        <x:v>Lentes Kodak</x:v>
      </x:c>
      <x:c r="C778" s="24" t="n">
        <x:v>202.8</x:v>
      </x:c>
      <x:c r="D778" s="24" t="n">
        <x:v>282.1</x:v>
      </x:c>
      <x:c r="E778" s="24" t="str">
        <x:v>Poly 2.199,00 2.199,00 1.929,00</x:v>
      </x:c>
      <x:c r="F778" s="24" t="str">
        <x:v>1.599,00 1.849,00 1.499,00 1.739,00 2.649,00 2.299,00 2.539,00 2.719,00 2.369,00 2.609,00</x:v>
      </x:c>
      <x:c r="G778" s="24" t="n">
        <x:v>1579</x:v>
      </x:c>
      <x:c r="H778" s="24" t="n">
        <x:v>46118</x:v>
      </x:c>
      <x:c r="I778" s="24" t="n">
        <x:v>46234</x:v>
      </x:c>
      <x:c r="J778" s="24" t="str">
        <x:v>EXPIRADA</x:v>
      </x:c>
    </x:row>
    <x:row r="779">
      <x:c r="A779" s="24" t="n">
        <x:v>13</x:v>
      </x:c>
      <x:c r="B779" s="24" t="str">
        <x:v>Lentes Kodak</x:v>
      </x:c>
      <x:c r="C779" s="24" t="n">
        <x:v>202.8</x:v>
      </x:c>
      <x:c r="D779" s="24" t="n">
        <x:v>319.8</x:v>
      </x:c>
      <x:c r="E779" s="24" t="str">
        <x:v>Poly 2.199,00 2.199,00 1.929,00 1.579,00</x:v>
      </x:c>
      <x:c r="F779" s="24" t="str">
        <x:v>1.209,00 1.499,00 1.739,00 1.349,00 2.299,00 2.539,00 2.149,00 2.369,00 2.609,00 2.219,00</x:v>
      </x:c>
      <x:c r="G779" s="24" t="n">
        <x:v>1819</x:v>
      </x:c>
      <x:c r="H779" s="24" t="n">
        <x:v>46118</x:v>
      </x:c>
      <x:c r="I779" s="24" t="n">
        <x:v>46234</x:v>
      </x:c>
      <x:c r="J779" s="24" t="str">
        <x:v>EXPIRADA</x:v>
      </x:c>
    </x:row>
    <x:row r="780">
      <x:c r="A780" s="24" t="n">
        <x:v>13</x:v>
      </x:c>
      <x:c r="B780" s="24" t="str">
        <x:v>Lentes Kodak</x:v>
      </x:c>
      <x:c r="C780" s="24" t="n">
        <x:v>202.8</x:v>
      </x:c>
      <x:c r="D780" s="24" t="n">
        <x:v>353.3</x:v>
      </x:c>
      <x:c r="E780" s="24" t="str">
        <x:v>Poly 2.199,00 2.199,00 1.929,00 1.579,00 1.819,00</x:v>
      </x:c>
      <x:c r="F780" s="24" t="str">
        <x:v>1.209,00 1.739,00 1.349,00 1.299,00 2.539,00 2.149,00 2.099,00 2.609,00 2.219,00 2.169,00</x:v>
      </x:c>
      <x:c r="G780" s="24" t="n">
        <x:v>1429</x:v>
      </x:c>
      <x:c r="H780" s="24" t="n">
        <x:v>46118</x:v>
      </x:c>
      <x:c r="I780" s="24" t="n">
        <x:v>46234</x:v>
      </x:c>
      <x:c r="J780" s="24" t="str">
        <x:v>EXPIRADA</x:v>
      </x:c>
    </x:row>
    <x:row r="781">
      <x:c r="A781" s="24" t="n">
        <x:v>13</x:v>
      </x:c>
      <x:c r="B781" s="24" t="str">
        <x:v>Lentes Kodak</x:v>
      </x:c>
      <x:c r="C781" s="24" t="n">
        <x:v>202.8</x:v>
      </x:c>
      <x:c r="D781" s="24" t="n">
        <x:v>388.8</x:v>
      </x:c>
      <x:c r="E781" s="24" t="str">
        <x:v>Poly 2.199,00 2.199,00 1.929,00 1.579,00 1.819,00 1.429,00</x:v>
      </x:c>
      <x:c r="F781" s="24" t="str">
        <x:v>1.209,00 1.099,00 1.349,00 1.299,00 2.149,00 2.099,00 1.899,00 2.219,00 2.169,00 1.969,00</x:v>
      </x:c>
      <x:c r="G781" s="24" t="n">
        <x:v>1379</x:v>
      </x:c>
      <x:c r="H781" s="24" t="n">
        <x:v>46118</x:v>
      </x:c>
      <x:c r="I781" s="24" t="n">
        <x:v>46234</x:v>
      </x:c>
      <x:c r="J781" s="24" t="str">
        <x:v>EXPIRADA</x:v>
      </x:c>
    </x:row>
    <x:row r="782">
      <x:c r="A782" s="24" t="n">
        <x:v>13</x:v>
      </x:c>
      <x:c r="B782" s="24" t="str">
        <x:v>Lentes Kodak</x:v>
      </x:c>
      <x:c r="C782" s="24" t="n">
        <x:v>258.7</x:v>
      </x:c>
      <x:c r="D782" s="24" t="n">
        <x:v>388.3</x:v>
      </x:c>
      <x:c r="E782" s="24" t="str">
        <x:v>1.67 3.399,00 3.399,00 3.129,00 2.779,00 3.019,00 2.629,00</x:v>
      </x:c>
      <x:c r="F782" s="24" t="str">
        <x:v>1.969,00 1.179,00 1.429,00 1.379,00 2.369,00 2.119,00 2.319,00 2.439,00 2.389,00 2.189,00</x:v>
      </x:c>
      <x:c r="G782" s="24" t="n">
        <x:v>2579</x:v>
      </x:c>
      <x:c r="H782" s="24" t="n">
        <x:v>46118</x:v>
      </x:c>
      <x:c r="I782" s="24" t="n">
        <x:v>46234</x:v>
      </x:c>
      <x:c r="J782" s="24" t="str">
        <x:v>EXPIRADA</x:v>
      </x:c>
    </x:row>
    <x:row r="783">
      <x:c r="A783" s="24" t="n">
        <x:v>13</x:v>
      </x:c>
      <x:c r="B783" s="24" t="str">
        <x:v>Lentes Kodak</x:v>
      </x:c>
      <x:c r="C783" s="24" t="n">
        <x:v>135.4</x:v>
      </x:c>
      <x:c r="D783" s="24" t="n">
        <x:v>207.8</x:v>
      </x:c>
      <x:c r="E783" s="24" t="str">
        <x:v>1.50 1.979,00</x:v>
      </x:c>
      <x:c r="F783" s="24" t="str">
        <x:v>CRIZAL CRIZAL CRIZAL ROCK PREVENCIA SAPPHIRE HR</x:v>
      </x:c>
      <x:c r="G783" s="24" t="n">
        <x:v>1979</x:v>
      </x:c>
      <x:c r="H783" s="24" t="n">
        <x:v>46118</x:v>
      </x:c>
      <x:c r="I783" s="24" t="n">
        <x:v>46234</x:v>
      </x:c>
      <x:c r="J783" s="24" t="str">
        <x:v>EXPIRADA</x:v>
      </x:c>
    </x:row>
    <x:row r="784">
      <x:c r="A784" s="24" t="n">
        <x:v>13</x:v>
      </x:c>
      <x:c r="B784" s="24" t="str">
        <x:v>Lentes Kodak</x:v>
      </x:c>
      <x:c r="C784" s="24" t="n">
        <x:v>258.7</x:v>
      </x:c>
      <x:c r="D784" s="24" t="n">
        <x:v>207.4</x:v>
      </x:c>
      <x:c r="E784" s="24" t="str">
        <x:v>1.67 3.399,00</x:v>
      </x:c>
      <x:c r="F784" s="24" t="str">
        <x:v>2.719,00 2.199,00 1.929,00 2.199,00 3.139,00 3.139,00 2.869,00 3.209,00 3.209,00 2.939,00</x:v>
      </x:c>
      <x:c r="G784" s="24" t="n">
        <x:v>3399</x:v>
      </x:c>
      <x:c r="H784" s="24" t="n">
        <x:v>46118</x:v>
      </x:c>
      <x:c r="I784" s="24" t="n">
        <x:v>46234</x:v>
      </x:c>
      <x:c r="J784" s="24" t="str">
        <x:v>EXPIRADA</x:v>
      </x:c>
    </x:row>
    <x:row r="785">
      <x:c r="A785" s="24" t="n">
        <x:v>13</x:v>
      </x:c>
      <x:c r="B785" s="24" t="str">
        <x:v>Lentes Kodak</x:v>
      </x:c>
      <x:c r="C785" s="24" t="n">
        <x:v>202.8</x:v>
      </x:c>
      <x:c r="D785" s="24" t="n">
        <x:v>208.7</x:v>
      </x:c>
      <x:c r="E785" s="24" t="str">
        <x:v>Poly 2.199,00</x:v>
      </x:c>
      <x:c r="F785" s="24" t="str">
        <x:v>1.709,00 2.119,00 2.119,00 1.849,00 2.919,00 2.919,00 2.649,00 2.989,00 2.989,00 2.719,00</x:v>
      </x:c>
      <x:c r="G785" s="24" t="n">
        <x:v>2199</x:v>
      </x:c>
      <x:c r="H785" s="24" t="n">
        <x:v>46118</x:v>
      </x:c>
      <x:c r="I785" s="24" t="n">
        <x:v>46234</x:v>
      </x:c>
      <x:c r="J785" s="24" t="str">
        <x:v>EXPIRADA</x:v>
      </x:c>
    </x:row>
    <x:row r="786">
      <x:c r="A786" s="24" t="n">
        <x:v>13</x:v>
      </x:c>
      <x:c r="B786" s="24" t="str">
        <x:v>Lentes Kodak</x:v>
      </x:c>
      <x:c r="C786" s="24" t="n">
        <x:v>150.5</x:v>
      </x:c>
      <x:c r="D786" s="24" t="n">
        <x:v>168.5</x:v>
      </x:c>
      <x:c r="E786" s="24"/>
      <x:c r="F786" s="24" t="str">
        <x:v>DIGITAL CRIZAL CRIZAL PREVENCIA SAPPHIRE 1.979,00 1.979,00</x:v>
      </x:c>
      <x:c r="G786" s="24" t="n">
        <x:v>2119</x:v>
      </x:c>
      <x:c r="H786" s="24" t="n">
        <x:v>46118</x:v>
      </x:c>
      <x:c r="I786" s="24" t="n">
        <x:v>46234</x:v>
      </x:c>
      <x:c r="J786" s="24" t="str">
        <x:v>EXPIRADA</x:v>
      </x:c>
    </x:row>
    <x:row r="787">
      <x:c r="A787" s="24" t="n">
        <x:v>13</x:v>
      </x:c>
      <x:c r="B787" s="24" t="str">
        <x:v>Lentes Kodak</x:v>
      </x:c>
      <x:c r="C787" s="24" t="n">
        <x:v>150.5</x:v>
      </x:c>
      <x:c r="D787" s="24" t="n">
        <x:v>245.9</x:v>
      </x:c>
      <x:c r="E787" s="24" t="str">
        <x:v>2.119,00 2.119,00</x:v>
      </x:c>
      <x:c r="F787" s="24" t="str">
        <x:v>CRIZAL CRIZAL ROCK SAPPHIRE HR EASY PRO 1.979,00 1.709,00 1.359,00</x:v>
      </x:c>
      <x:c r="G787" s="24" t="n">
        <x:v>1849</x:v>
      </x:c>
      <x:c r="H787" s="24" t="n">
        <x:v>46118</x:v>
      </x:c>
      <x:c r="I787" s="24" t="n">
        <x:v>46234</x:v>
      </x:c>
      <x:c r="J787" s="24" t="str">
        <x:v>EXPIRADA</x:v>
      </x:c>
    </x:row>
    <x:row r="788">
      <x:c r="A788" s="24" t="n">
        <x:v>13</x:v>
      </x:c>
      <x:c r="B788" s="24" t="str">
        <x:v>Lentes Kodak</x:v>
      </x:c>
      <x:c r="C788" s="24" t="n">
        <x:v>150.5</x:v>
      </x:c>
      <x:c r="D788" s="24" t="n">
        <x:v>281.7</x:v>
      </x:c>
      <x:c r="E788" s="24" t="str">
        <x:v>2.119,00 2.119,00 1.849,00</x:v>
      </x:c>
      <x:c r="F788" s="24" t="str">
        <x:v>CRIZAL CRIZAL OPTIFOG ROCK EASY PRO 1.709,00 1.359,00 1.599,00</x:v>
      </x:c>
      <x:c r="G788" s="24" t="n">
        <x:v>1499</x:v>
      </x:c>
      <x:c r="H788" s="24" t="n">
        <x:v>46118</x:v>
      </x:c>
      <x:c r="I788" s="24" t="n">
        <x:v>46234</x:v>
      </x:c>
      <x:c r="J788" s="24" t="str">
        <x:v>EXPIRADA</x:v>
      </x:c>
    </x:row>
    <x:row r="789">
      <x:c r="A789" s="24" t="n">
        <x:v>13</x:v>
      </x:c>
      <x:c r="B789" s="24" t="str">
        <x:v>Lentes Kodak</x:v>
      </x:c>
      <x:c r="C789" s="24" t="n">
        <x:v>150.5</x:v>
      </x:c>
      <x:c r="D789" s="24" t="n">
        <x:v>318.8</x:v>
      </x:c>
      <x:c r="E789" s="24" t="str">
        <x:v>2.119,00 2.119,00 1.849,00 1.499,00</x:v>
      </x:c>
      <x:c r="F789" s="24" t="str">
        <x:v>CRIZAL OPTIFOG NO REFLEX EASY PRO 1.359,00 1.599,00 1.209,00</x:v>
      </x:c>
      <x:c r="G789" s="24" t="n">
        <x:v>1739</x:v>
      </x:c>
      <x:c r="H789" s="24" t="n">
        <x:v>46118</x:v>
      </x:c>
      <x:c r="I789" s="24" t="n">
        <x:v>46234</x:v>
      </x:c>
      <x:c r="J789" s="24" t="str">
        <x:v>EXPIRADA</x:v>
      </x:c>
    </x:row>
    <x:row r="790">
      <x:c r="A790" s="24" t="n">
        <x:v>13</x:v>
      </x:c>
      <x:c r="B790" s="24" t="str">
        <x:v>Lentes Kodak</x:v>
      </x:c>
      <x:c r="C790" s="24" t="n">
        <x:v>150.5</x:v>
      </x:c>
      <x:c r="D790" s="24" t="n">
        <x:v>389.1</x:v>
      </x:c>
      <x:c r="E790" s="24" t="str">
        <x:v>2.119,00 2.119,00 1.849,00 1.499,00 1.739,00 1.349,00</x:v>
      </x:c>
      <x:c r="F790" s="24" t="str">
        <x:v>M A TRIO VERNIZ REFLEX EASY CLEAN 959,00 1.159,00 1.209,00</x:v>
      </x:c>
      <x:c r="G790" s="24" t="n">
        <x:v>1299</x:v>
      </x:c>
      <x:c r="H790" s="24" t="n">
        <x:v>46118</x:v>
      </x:c>
      <x:c r="I790" s="24" t="n">
        <x:v>46234</x:v>
      </x:c>
      <x:c r="J790" s="24" t="str">
        <x:v>EXPIRADA</x:v>
      </x:c>
    </x:row>
    <x:row r="791">
      <x:c r="A791" s="24" t="n">
        <x:v>13</x:v>
      </x:c>
      <x:c r="B791" s="24" t="str">
        <x:v>Lentes Kodak</x:v>
      </x:c>
      <x:c r="C791" s="24" t="n">
        <x:v>150.5</x:v>
      </x:c>
      <x:c r="D791" s="24" t="n">
        <x:v>352.6</x:v>
      </x:c>
      <x:c r="E791" s="24" t="str">
        <x:v>2.119,00 2.119,00 1.849,00 1.499,00 1.739,00</x:v>
      </x:c>
      <x:c r="F791" s="24" t="str">
        <x:v>M TRIO OPTIFOG NO REFLEX EASY CLEAN 1.159,00 1.599,00 1.209,00</x:v>
      </x:c>
      <x:c r="G791" s="24" t="n">
        <x:v>1349</x:v>
      </x:c>
      <x:c r="H791" s="24" t="n">
        <x:v>46118</x:v>
      </x:c>
      <x:c r="I791" s="24" t="n">
        <x:v>46234</x:v>
      </x:c>
      <x:c r="J791" s="24" t="str">
        <x:v>EXPIRADA</x:v>
      </x:c>
    </x:row>
    <x:row r="792">
      <x:c r="A792" s="24" t="n">
        <x:v>13</x:v>
      </x:c>
      <x:c r="B792" s="24" t="str">
        <x:v>Lentes Kodak</x:v>
      </x:c>
      <x:c r="C792" s="24" t="n">
        <x:v>150.5</x:v>
      </x:c>
      <x:c r="D792" s="24" t="n">
        <x:v>209.8</x:v>
      </x:c>
      <x:c r="E792" s="24" t="str">
        <x:v>2.119,00</x:v>
      </x:c>
      <x:c r="F792" s="24" t="str">
        <x:v>CRIZAL CRIZAL CRIZAL ROCK PREVENCIA SAPPHIRE HR 1.979,00 1.979,00 1.709,00</x:v>
      </x:c>
      <x:c r="G792" s="24" t="n">
        <x:v>2119</x:v>
      </x:c>
      <x:c r="H792" s="24" t="n">
        <x:v>46118</x:v>
      </x:c>
      <x:c r="I792" s="24" t="n">
        <x:v>46234</x:v>
      </x:c>
      <x:c r="J792" s="24" t="str">
        <x:v>EXPIRADA</x:v>
      </x:c>
    </x:row>
    <x:row r="793">
      <x:c r="A793" s="24" t="n">
        <x:v>13</x:v>
      </x:c>
      <x:c r="B793" s="24" t="str">
        <x:v>Lentes Kodak</x:v>
      </x:c>
      <x:c r="C793" s="24" t="n">
        <x:v>218.4</x:v>
      </x:c>
      <x:c r="D793" s="24" t="n">
        <x:v>165.4</x:v>
      </x:c>
      <x:c r="E793" s="24"/>
      <x:c r="F793" s="24" t="str">
        <x:v>2.119,00 +R$140 2.919,00 2.919,00 +R$940 2.989,00 2.989,00 +R$1.100 2.199,00 2.199,00</x:v>
      </x:c>
      <x:c r="G793" s="24" t="n">
        <x:v>3139</x:v>
      </x:c>
      <x:c r="H793" s="24" t="n">
        <x:v>46118</x:v>
      </x:c>
      <x:c r="I793" s="24" t="n">
        <x:v>46234</x:v>
      </x:c>
      <x:c r="J793" s="24" t="str">
        <x:v>EXPIRADA</x:v>
      </x:c>
    </x:row>
    <x:row r="794">
      <x:c r="A794" s="24" t="n">
        <x:v>13</x:v>
      </x:c>
      <x:c r="B794" s="24" t="str">
        <x:v>Lentes Kodak</x:v>
      </x:c>
      <x:c r="C794" s="24" t="n">
        <x:v>218.4</x:v>
      </x:c>
      <x:c r="D794" s="24" t="n">
        <x:v>245.3</x:v>
      </x:c>
      <x:c r="E794" s="24" t="str">
        <x:v>3.139,00 3.139,00</x:v>
      </x:c>
      <x:c r="F794" s="24" t="str">
        <x:v>1.499,00 2.919,00 2.649,00 2.299,00 2.989,00 2.719,00 2.369,00 1.929,00 1.579,00 2.199,00</x:v>
      </x:c>
      <x:c r="G794" s="24" t="n">
        <x:v>2869</x:v>
      </x:c>
      <x:c r="H794" s="24" t="n">
        <x:v>46118</x:v>
      </x:c>
      <x:c r="I794" s="24" t="n">
        <x:v>46234</x:v>
      </x:c>
      <x:c r="J794" s="24" t="str">
        <x:v>EXPIRADA</x:v>
      </x:c>
    </x:row>
    <x:row r="795">
      <x:c r="A795" s="24" t="n">
        <x:v>13</x:v>
      </x:c>
      <x:c r="B795" s="24" t="str">
        <x:v>Lentes Kodak</x:v>
      </x:c>
      <x:c r="C795" s="24" t="n">
        <x:v>218.4</x:v>
      </x:c>
      <x:c r="D795" s="24" t="n">
        <x:v>281.8</x:v>
      </x:c>
      <x:c r="E795" s="24" t="str">
        <x:v>3.139,00 3.139,00 2.869,00</x:v>
      </x:c>
      <x:c r="F795" s="24" t="str">
        <x:v>1.739,00 2.649,00 2.299,00 2.539,00 2.719,00 2.369,00 2.609,00 1.929,00 1.579,00 1.819,00</x:v>
      </x:c>
      <x:c r="G795" s="24" t="n">
        <x:v>2519</x:v>
      </x:c>
      <x:c r="H795" s="24" t="n">
        <x:v>46118</x:v>
      </x:c>
      <x:c r="I795" s="24" t="n">
        <x:v>46234</x:v>
      </x:c>
      <x:c r="J795" s="24" t="str">
        <x:v>EXPIRADA</x:v>
      </x:c>
    </x:row>
    <x:row r="796">
      <x:c r="A796" s="24" t="n">
        <x:v>13</x:v>
      </x:c>
      <x:c r="B796" s="24" t="str">
        <x:v>Lentes Kodak</x:v>
      </x:c>
      <x:c r="C796" s="24" t="n">
        <x:v>218.4</x:v>
      </x:c>
      <x:c r="D796" s="24" t="n">
        <x:v>318</x:v>
      </x:c>
      <x:c r="E796" s="24" t="str">
        <x:v>3.139,00 3.139,00 2.869,00 2.519,00</x:v>
      </x:c>
      <x:c r="F796" s="24" t="str">
        <x:v>1.349,00 2.299,00 2.539,00 2.149,00 2.369,00 2.609,00 2.219,00 1.579,00 1.819,00 1.429,00</x:v>
      </x:c>
      <x:c r="G796" s="24" t="n">
        <x:v>2759</x:v>
      </x:c>
      <x:c r="H796" s="24" t="n">
        <x:v>46118</x:v>
      </x:c>
      <x:c r="I796" s="24" t="n">
        <x:v>46234</x:v>
      </x:c>
      <x:c r="J796" s="24" t="str">
        <x:v>EXPIRADA</x:v>
      </x:c>
    </x:row>
    <x:row r="797">
      <x:c r="A797" s="24" t="n">
        <x:v>13</x:v>
      </x:c>
      <x:c r="B797" s="24" t="str">
        <x:v>Lentes Kodak</x:v>
      </x:c>
      <x:c r="C797" s="24" t="n">
        <x:v>218.4</x:v>
      </x:c>
      <x:c r="D797" s="24" t="n">
        <x:v>389</x:v>
      </x:c>
      <x:c r="E797" s="24" t="str">
        <x:v>3.139,00 3.139,00 2.869,00 2.519,00 2.759,00 2.369,00</x:v>
      </x:c>
      <x:c r="F797" s="24" t="str">
        <x:v>1.299,00 2.149,00 2.099,00 1.899,00 2.219,00 2.169,00 1.969,00 1.179,00 1.429,00 1.379,00</x:v>
      </x:c>
      <x:c r="G797" s="24" t="n">
        <x:v>2319</x:v>
      </x:c>
      <x:c r="H797" s="24" t="n">
        <x:v>46118</x:v>
      </x:c>
      <x:c r="I797" s="24" t="n">
        <x:v>46234</x:v>
      </x:c>
      <x:c r="J797" s="24" t="str">
        <x:v>EXPIRADA</x:v>
      </x:c>
    </x:row>
    <x:row r="798">
      <x:c r="A798" s="24" t="n">
        <x:v>13</x:v>
      </x:c>
      <x:c r="B798" s="24" t="str">
        <x:v>Lentes Kodak</x:v>
      </x:c>
      <x:c r="C798" s="24" t="n">
        <x:v>135.4</x:v>
      </x:c>
      <x:c r="D798" s="24" t="n">
        <x:v>427.5</x:v>
      </x:c>
      <x:c r="E798" s="24" t="str">
        <x:v>1.50 1.979,00 1.979,00 1.709,00 1.359,00 1.599,00 1.209,00 1.159,00</x:v>
      </x:c>
      <x:c r="F798" s="24" t="str">
        <x:v>V MARROM ÂMBAR M A TRIO VERNIZ HC MARCAÇÃO CLEAN</x:v>
      </x:c>
      <x:c r="G798" s="24" t="n">
        <x:v>959</x:v>
      </x:c>
      <x:c r="H798" s="24" t="n">
        <x:v>46118</x:v>
      </x:c>
      <x:c r="I798" s="24" t="n">
        <x:v>46234</x:v>
      </x:c>
      <x:c r="J798" s="24" t="str">
        <x:v>EXPIRADA</x:v>
      </x:c>
    </x:row>
    <x:row r="799">
      <x:c r="A799" s="24" t="n">
        <x:v>13</x:v>
      </x:c>
      <x:c r="B799" s="24" t="str">
        <x:v>Lentes Kodak</x:v>
      </x:c>
      <x:c r="C799" s="24" t="n">
        <x:v>202.8</x:v>
      </x:c>
      <x:c r="D799" s="24" t="n">
        <x:v>426.5</x:v>
      </x:c>
      <x:c r="E799" s="24" t="str">
        <x:v>Poly 2.199,00 2.199,00 1.929,00 1.579,00 1.819,00 1.429,00 1.379,00</x:v>
      </x:c>
      <x:c r="F799" s="24" t="str">
        <x:v>U I H D 2.169,00 1.969,00 U I H D</x:v>
      </x:c>
      <x:c r="G799" s="24" t="n">
        <x:v>1179</x:v>
      </x:c>
      <x:c r="H799" s="24" t="n">
        <x:v>46118</x:v>
      </x:c>
      <x:c r="I799" s="24" t="n">
        <x:v>46234</x:v>
      </x:c>
      <x:c r="J799" s="24" t="str">
        <x:v>EXPIRADA</x:v>
      </x:c>
    </x:row>
    <x:row r="800">
      <x:c r="A800" s="24" t="n">
        <x:v>13</x:v>
      </x:c>
      <x:c r="B800" s="24" t="str">
        <x:v>Lentes Kodak</x:v>
      </x:c>
      <x:c r="C800" s="24" t="n">
        <x:v>258.7</x:v>
      </x:c>
      <x:c r="D800" s="24" t="n">
        <x:v>425.9</x:v>
      </x:c>
      <x:c r="E800" s="24" t="str">
        <x:v>1.67 3.399,00 3.399,00 3.129,00 2.779,00 3.019,00 2.629,00 2.579,00</x:v>
      </x:c>
      <x:c r="F800" s="24" t="str">
        <x:v>U I H D 2.389,00 2.189,00 U I H D</x:v>
      </x:c>
      <x:c r="G800" s="24" t="n">
        <x:v>2379</x:v>
      </x:c>
      <x:c r="H800" s="24" t="n">
        <x:v>46118</x:v>
      </x:c>
      <x:c r="I800" s="24" t="n">
        <x:v>46234</x:v>
      </x:c>
      <x:c r="J800" s="24" t="str">
        <x:v>EXPIRADA</x:v>
      </x:c>
    </x:row>
    <x:row r="801">
      <x:c r="A801" s="24" t="n">
        <x:v>13</x:v>
      </x:c>
      <x:c r="B801" s="24" t="str">
        <x:v>Lentes Kodak</x:v>
      </x:c>
      <x:c r="C801" s="24" t="n">
        <x:v>150.5</x:v>
      </x:c>
      <x:c r="D801" s="24" t="n">
        <x:v>425.8</x:v>
      </x:c>
      <x:c r="E801" s="24" t="str">
        <x:v>2.119,00 2.119,00 1.849,00 1.499,00 1.739,00 1.349,00 1.299,00</x:v>
      </x:c>
      <x:c r="F801" s="24" t="str">
        <x:v>VERNIZ HC MARCAÇÃO CLEAN 959,00 1.159,00 U I H D</x:v>
      </x:c>
      <x:c r="G801" s="24" t="n">
        <x:v>1099</x:v>
      </x:c>
      <x:c r="H801" s="24" t="n">
        <x:v>46118</x:v>
      </x:c>
      <x:c r="I801" s="24" t="n">
        <x:v>46234</x:v>
      </x:c>
      <x:c r="J801" s="24" t="str">
        <x:v>EXPIRADA</x:v>
      </x:c>
    </x:row>
    <x:row r="802">
      <x:c r="A802" s="24" t="n">
        <x:v>13</x:v>
      </x:c>
      <x:c r="B802" s="24" t="str">
        <x:v>Lentes Kodak</x:v>
      </x:c>
      <x:c r="C802" s="24" t="n">
        <x:v>218.4</x:v>
      </x:c>
      <x:c r="D802" s="24" t="n">
        <x:v>426.7</x:v>
      </x:c>
      <x:c r="E802" s="24" t="str">
        <x:v>3.139,00 3.139,00 2.869,00 2.519,00 2.759,00 2.369,00 2.319,00</x:v>
      </x:c>
      <x:c r="F802" s="24" t="str">
        <x:v>U I H D 1.179,00 1.379,00 U I H D</x:v>
      </x:c>
      <x:c r="G802" s="24" t="n">
        <x:v>2119</x:v>
      </x:c>
      <x:c r="H802" s="24" t="n">
        <x:v>46118</x:v>
      </x:c>
      <x:c r="I802" s="24" t="n">
        <x:v>46234</x:v>
      </x:c>
      <x:c r="J802" s="24" t="str">
        <x:v>EXPIRADA</x:v>
      </x:c>
    </x:row>
    <x:row r="803">
      <x:c r="A803" s="24" t="n">
        <x:v>13</x:v>
      </x:c>
      <x:c r="B803" s="24" t="str">
        <x:v>Lentes Kodak</x:v>
      </x:c>
      <x:c r="C803" s="24" t="n">
        <x:v>218.4</x:v>
      </x:c>
      <x:c r="D803" s="24" t="n">
        <x:v>352.5</x:v>
      </x:c>
      <x:c r="E803" s="24" t="str">
        <x:v>3.139,00 3.139,00 2.869,00 2.519,00 2.759,00</x:v>
      </x:c>
      <x:c r="F803" s="24" t="str">
        <x:v>1.299,00 2.539,00 2.149,00 2.099,00 2.609,00 2.219,00 2.169,00 1.819,00 1.429,00 1.379,00</x:v>
      </x:c>
      <x:c r="G803" s="24" t="n">
        <x:v>2369</x:v>
      </x:c>
      <x:c r="H803" s="24" t="n">
        <x:v>46118</x:v>
      </x:c>
      <x:c r="I803" s="24" t="n">
        <x:v>46234</x:v>
      </x:c>
      <x:c r="J803" s="24" t="str">
        <x:v>EXPIRADA</x:v>
      </x:c>
    </x:row>
    <x:row r="804">
      <x:c r="A804" s="24" t="n">
        <x:v>13</x:v>
      </x:c>
      <x:c r="B804" s="24" t="str">
        <x:v>Lentes Kodak</x:v>
      </x:c>
      <x:c r="C804" s="24" t="n">
        <x:v>218.4</x:v>
      </x:c>
      <x:c r="D804" s="24" t="n">
        <x:v>208.5</x:v>
      </x:c>
      <x:c r="E804" s="24" t="str">
        <x:v>3.139,00</x:v>
      </x:c>
      <x:c r="F804" s="24" t="str">
        <x:v>1.849,00 2.919,00 2.919,00 2.649,00 2.989,00 2.989,00 2.719,00 2.199,00 1.929,00 2.199,00</x:v>
      </x:c>
      <x:c r="G804" s="24" t="n">
        <x:v>3139</x:v>
      </x:c>
      <x:c r="H804" s="24" t="n">
        <x:v>46118</x:v>
      </x:c>
      <x:c r="I804" s="24" t="n">
        <x:v>46234</x:v>
      </x:c>
      <x:c r="J804" s="24" t="str">
        <x:v>EXPIRADA</x:v>
      </x:c>
    </x:row>
    <x:row r="805">
      <x:c r="A805" s="24" t="n">
        <x:v>13</x:v>
      </x:c>
      <x:c r="B805" s="24" t="str">
        <x:v>Lentes Kodak</x:v>
      </x:c>
      <x:c r="C805" s="24" t="n">
        <x:v>165</x:v>
      </x:c>
      <x:c r="D805" s="24" t="n">
        <x:v>166.8</x:v>
      </x:c>
      <x:c r="E805" s="24"/>
      <x:c r="F805" s="24" t="str">
        <x:v>DIGITAL CRIZAL CRIZAL PREVENCIA SAPPHIRE 1.979,00 1.979,00 2.119,00 2.119,00 +R$140</x:v>
      </x:c>
      <x:c r="G805" s="24" t="n">
        <x:v>2919</x:v>
      </x:c>
      <x:c r="H805" s="24" t="n">
        <x:v>46118</x:v>
      </x:c>
      <x:c r="I805" s="24" t="n">
        <x:v>46234</x:v>
      </x:c>
      <x:c r="J805" s="24" t="str">
        <x:v>EXPIRADA</x:v>
      </x:c>
    </x:row>
    <x:row r="806">
      <x:c r="A806" s="24" t="n">
        <x:v>13</x:v>
      </x:c>
      <x:c r="B806" s="24" t="str">
        <x:v>Lentes Kodak</x:v>
      </x:c>
      <x:c r="C806" s="24" t="n">
        <x:v>165</x:v>
      </x:c>
      <x:c r="D806" s="24" t="n">
        <x:v>244.4</x:v>
      </x:c>
      <x:c r="E806" s="24" t="str">
        <x:v>2.919,00 2.919,00</x:v>
      </x:c>
      <x:c r="F806" s="24" t="str">
        <x:v>SAPPHIRE HR EASY PRO 1.979,00 1.709,00 1.359,00 2.119,00 1.849,00 1.499,00</x:v>
      </x:c>
      <x:c r="G806" s="24" t="n">
        <x:v>2649</x:v>
      </x:c>
      <x:c r="H806" s="24" t="n">
        <x:v>46118</x:v>
      </x:c>
      <x:c r="I806" s="24" t="n">
        <x:v>46234</x:v>
      </x:c>
      <x:c r="J806" s="24" t="str">
        <x:v>EXPIRADA</x:v>
      </x:c>
    </x:row>
    <x:row r="807">
      <x:c r="A807" s="24" t="n">
        <x:v>13</x:v>
      </x:c>
      <x:c r="B807" s="24" t="str">
        <x:v>Lentes Kodak</x:v>
      </x:c>
      <x:c r="C807" s="24" t="n">
        <x:v>165</x:v>
      </x:c>
      <x:c r="D807" s="24" t="n">
        <x:v>280.7</x:v>
      </x:c>
      <x:c r="E807" s="24" t="str">
        <x:v>2.919,00 2.919,00 2.649,00</x:v>
      </x:c>
      <x:c r="F807" s="24" t="str">
        <x:v>OPTIFOG ROCK EASY PRO 1.709,00 1.359,00 1.599,00 1.849,00 1.499,00 1.739,00</x:v>
      </x:c>
      <x:c r="G807" s="24" t="n">
        <x:v>2299</x:v>
      </x:c>
      <x:c r="H807" s="24" t="n">
        <x:v>46118</x:v>
      </x:c>
      <x:c r="I807" s="24" t="n">
        <x:v>46234</x:v>
      </x:c>
      <x:c r="J807" s="24" t="str">
        <x:v>EXPIRADA</x:v>
      </x:c>
    </x:row>
    <x:row r="808">
      <x:c r="A808" s="24" t="n">
        <x:v>13</x:v>
      </x:c>
      <x:c r="B808" s="24" t="str">
        <x:v>Lentes Kodak</x:v>
      </x:c>
      <x:c r="C808" s="24" t="n">
        <x:v>165</x:v>
      </x:c>
      <x:c r="D808" s="24" t="n">
        <x:v>318.2</x:v>
      </x:c>
      <x:c r="E808" s="24" t="str">
        <x:v>2.919,00 2.919,00 2.649,00 2.299,00</x:v>
      </x:c>
      <x:c r="F808" s="24" t="str">
        <x:v>NO REFLEX EASY PRO 1.359,00 1.599,00 1.209,00 1.499,00 1.739,00 1.349,00</x:v>
      </x:c>
      <x:c r="G808" s="24" t="n">
        <x:v>2539</x:v>
      </x:c>
      <x:c r="H808" s="24" t="n">
        <x:v>46118</x:v>
      </x:c>
      <x:c r="I808" s="24" t="n">
        <x:v>46234</x:v>
      </x:c>
      <x:c r="J808" s="24" t="str">
        <x:v>EXPIRADA</x:v>
      </x:c>
    </x:row>
    <x:row r="809">
      <x:c r="A809" s="24" t="n">
        <x:v>13</x:v>
      </x:c>
      <x:c r="B809" s="24" t="str">
        <x:v>Lentes Kodak</x:v>
      </x:c>
      <x:c r="C809" s="24" t="n">
        <x:v>165</x:v>
      </x:c>
      <x:c r="D809" s="24" t="n">
        <x:v>388.1</x:v>
      </x:c>
      <x:c r="E809" s="24" t="str">
        <x:v>2.919,00 2.919,00 2.649,00 2.299,00 2.539,00 2.149,00</x:v>
      </x:c>
      <x:c r="F809" s="24" t="str">
        <x:v>VERNIZ REFLEX EASY CLEAN 959,00 1.159,00 1.209,00 1.099,00 1.349,00 1.299,00</x:v>
      </x:c>
      <x:c r="G809" s="24" t="n">
        <x:v>2099</x:v>
      </x:c>
      <x:c r="H809" s="24" t="n">
        <x:v>46118</x:v>
      </x:c>
      <x:c r="I809" s="24" t="n">
        <x:v>46234</x:v>
      </x:c>
      <x:c r="J809" s="24" t="str">
        <x:v>EXPIRADA</x:v>
      </x:c>
    </x:row>
    <x:row r="810">
      <x:c r="A810" s="24" t="n">
        <x:v>13</x:v>
      </x:c>
      <x:c r="B810" s="24" t="str">
        <x:v>Lentes Kodak</x:v>
      </x:c>
      <x:c r="C810" s="24" t="n">
        <x:v>165</x:v>
      </x:c>
      <x:c r="D810" s="24" t="n">
        <x:v>352.6</x:v>
      </x:c>
      <x:c r="E810" s="24" t="str">
        <x:v>2.919,00 2.919,00 2.649,00 2.299,00 2.539,00</x:v>
      </x:c>
      <x:c r="F810" s="24" t="str">
        <x:v>NO REFLEX EASY CLEAN 1.159,00 1.599,00 1.209,00 1.739,00 1.349,00 1.299,00</x:v>
      </x:c>
      <x:c r="G810" s="24" t="n">
        <x:v>2149</x:v>
      </x:c>
      <x:c r="H810" s="24" t="n">
        <x:v>46118</x:v>
      </x:c>
      <x:c r="I810" s="24" t="n">
        <x:v>46234</x:v>
      </x:c>
      <x:c r="J810" s="24" t="str">
        <x:v>EXPIRADA</x:v>
      </x:c>
    </x:row>
    <x:row r="811">
      <x:c r="A811" s="24" t="n">
        <x:v>13</x:v>
      </x:c>
      <x:c r="B811" s="24" t="str">
        <x:v>Lentes Kodak</x:v>
      </x:c>
      <x:c r="C811" s="24" t="n">
        <x:v>165</x:v>
      </x:c>
      <x:c r="D811" s="24" t="n">
        <x:v>208.6</x:v>
      </x:c>
      <x:c r="E811" s="24" t="str">
        <x:v>2.919,00</x:v>
      </x:c>
      <x:c r="F811" s="24" t="str">
        <x:v>ROCK PREVENCIA SAPPHIRE HR 1.979,00 1.979,00 1.709,00 2.119,00 2.119,00 1.849,00</x:v>
      </x:c>
      <x:c r="G811" s="24" t="n">
        <x:v>2919</x:v>
      </x:c>
      <x:c r="H811" s="24" t="n">
        <x:v>46118</x:v>
      </x:c>
      <x:c r="I811" s="24" t="n">
        <x:v>46234</x:v>
      </x:c>
      <x:c r="J811" s="24" t="str">
        <x:v>EXPIRADA</x:v>
      </x:c>
    </x:row>
    <x:row r="812">
      <x:c r="A812" s="24" t="n">
        <x:v>13</x:v>
      </x:c>
      <x:c r="B812" s="24" t="str">
        <x:v>Lentes Kodak</x:v>
      </x:c>
      <x:c r="C812" s="24" t="n">
        <x:v>232.9</x:v>
      </x:c>
      <x:c r="D812" s="24" t="n">
        <x:v>165.4</x:v>
      </x:c>
      <x:c r="E812" s="24" t="str">
        <x:v>Transitions Extractive</x:v>
      </x:c>
      <x:c r="F812" s="24" t="str">
        <x:v>2.919,00 +R$940 2.989,00 2.989,00 +R$1.100 2.199,00 2.199,00 3.139,00 3.139,00 +R$940</x:v>
      </x:c>
      <x:c r="G812" s="24" t="n">
        <x:v>3209</x:v>
      </x:c>
      <x:c r="H812" s="24" t="n">
        <x:v>46118</x:v>
      </x:c>
      <x:c r="I812" s="24" t="n">
        <x:v>46234</x:v>
      </x:c>
      <x:c r="J812" s="24" t="str">
        <x:v>EXPIRADA</x:v>
      </x:c>
    </x:row>
    <x:row r="813">
      <x:c r="A813" s="24" t="n">
        <x:v>13</x:v>
      </x:c>
      <x:c r="B813" s="24" t="str">
        <x:v>Lentes Kodak</x:v>
      </x:c>
      <x:c r="C813" s="24" t="n">
        <x:v>232.9</x:v>
      </x:c>
      <x:c r="D813" s="24" t="n">
        <x:v>245.2</x:v>
      </x:c>
      <x:c r="E813" s="24" t="str">
        <x:v>Transitions Extractive 3.209,00 3.209,00</x:v>
      </x:c>
      <x:c r="F813" s="24" t="str">
        <x:v>2.299,00 2.989,00 2.719,00 2.369,00 1.929,00 1.579,00 2.199,00 3.139,00 2.869,00 2.519,00</x:v>
      </x:c>
      <x:c r="G813" s="24" t="n">
        <x:v>2939</x:v>
      </x:c>
      <x:c r="H813" s="24" t="n">
        <x:v>46118</x:v>
      </x:c>
      <x:c r="I813" s="24" t="n">
        <x:v>46234</x:v>
      </x:c>
      <x:c r="J813" s="24" t="str">
        <x:v>EXPIRADA</x:v>
      </x:c>
    </x:row>
    <x:row r="814">
      <x:c r="A814" s="24" t="n">
        <x:v>13</x:v>
      </x:c>
      <x:c r="B814" s="24" t="str">
        <x:v>Lentes Kodak</x:v>
      </x:c>
      <x:c r="C814" s="24" t="n">
        <x:v>232.9</x:v>
      </x:c>
      <x:c r="D814" s="24" t="n">
        <x:v>280.8</x:v>
      </x:c>
      <x:c r="E814" s="24" t="str">
        <x:v>Transitions Extractive 3.209,00 3.209,00 2.939,00</x:v>
      </x:c>
      <x:c r="F814" s="24" t="str">
        <x:v>2.539,00 2.719,00 2.369,00 2.609,00 1.929,00 1.579,00 1.819,00 2.869,00 2.519,00 2.759,00</x:v>
      </x:c>
      <x:c r="G814" s="24" t="n">
        <x:v>2589</x:v>
      </x:c>
      <x:c r="H814" s="24" t="n">
        <x:v>46118</x:v>
      </x:c>
      <x:c r="I814" s="24" t="n">
        <x:v>46234</x:v>
      </x:c>
      <x:c r="J814" s="24" t="str">
        <x:v>EXPIRADA</x:v>
      </x:c>
    </x:row>
    <x:row r="815">
      <x:c r="A815" s="24" t="n">
        <x:v>13</x:v>
      </x:c>
      <x:c r="B815" s="24" t="str">
        <x:v>Lentes Kodak</x:v>
      </x:c>
      <x:c r="C815" s="24" t="n">
        <x:v>232.9</x:v>
      </x:c>
      <x:c r="D815" s="24" t="n">
        <x:v>318</x:v>
      </x:c>
      <x:c r="E815" s="24" t="str">
        <x:v>Transitions Extractive 3.209,00 3.209,00 2.939,00 2.589,00</x:v>
      </x:c>
      <x:c r="F815" s="24" t="str">
        <x:v>2.149,00 2.369,00 2.609,00 2.219,00 1.579,00 1.819,00 1.429,00 2.369,00 2.519,00 2.759,00</x:v>
      </x:c>
      <x:c r="G815" s="24" t="n">
        <x:v>2829</x:v>
      </x:c>
      <x:c r="H815" s="24" t="n">
        <x:v>46118</x:v>
      </x:c>
      <x:c r="I815" s="24" t="n">
        <x:v>46234</x:v>
      </x:c>
      <x:c r="J815" s="24" t="str">
        <x:v>EXPIRADA</x:v>
      </x:c>
    </x:row>
    <x:row r="816">
      <x:c r="A816" s="24" t="n">
        <x:v>13</x:v>
      </x:c>
      <x:c r="B816" s="24" t="str">
        <x:v>Lentes Kodak</x:v>
      </x:c>
      <x:c r="C816" s="24" t="n">
        <x:v>232.9</x:v>
      </x:c>
      <x:c r="D816" s="24" t="n">
        <x:v>388</x:v>
      </x:c>
      <x:c r="E816" s="24" t="str">
        <x:v>Transitions Extractive 3.209,00 3.209,00 2.939,00 2.589,00 2.829,00 2.439,00</x:v>
      </x:c>
      <x:c r="F816" s="24" t="str">
        <x:v>1.899,00 2.219,00 2.169,00 1.969,00 1.179,00 1.429,00 1.379,00 2.369,00 2.119,00 2.319,00</x:v>
      </x:c>
      <x:c r="G816" s="24" t="n">
        <x:v>2389</x:v>
      </x:c>
      <x:c r="H816" s="24" t="n">
        <x:v>46118</x:v>
      </x:c>
      <x:c r="I816" s="24" t="n">
        <x:v>46234</x:v>
      </x:c>
      <x:c r="J816" s="24" t="str">
        <x:v>EXPIRADA</x:v>
      </x:c>
    </x:row>
    <x:row r="817">
      <x:c r="A817" s="24" t="n">
        <x:v>13</x:v>
      </x:c>
      <x:c r="B817" s="24" t="str">
        <x:v>Lentes Kodak</x:v>
      </x:c>
      <x:c r="C817" s="24" t="n">
        <x:v>165</x:v>
      </x:c>
      <x:c r="D817" s="24" t="n">
        <x:v>425.8</x:v>
      </x:c>
      <x:c r="E817" s="24" t="str">
        <x:v>2.919,00 2.919,00 2.649,00 2.299,00 2.539,00 2.149,00 2.099,00</x:v>
      </x:c>
      <x:c r="F817" s="24" t="str">
        <x:v>U I H D 1.099,00 1.299,00 U I H D</x:v>
      </x:c>
      <x:c r="G817" s="24" t="n">
        <x:v>1899</x:v>
      </x:c>
      <x:c r="H817" s="24" t="n">
        <x:v>46118</x:v>
      </x:c>
      <x:c r="I817" s="24" t="n">
        <x:v>46234</x:v>
      </x:c>
      <x:c r="J817" s="24" t="str">
        <x:v>EXPIRADA</x:v>
      </x:c>
    </x:row>
    <x:row r="818">
      <x:c r="A818" s="24" t="n">
        <x:v>13</x:v>
      </x:c>
      <x:c r="B818" s="24" t="str">
        <x:v>Lentes Kodak</x:v>
      </x:c>
      <x:c r="C818" s="24" t="n">
        <x:v>232.9</x:v>
      </x:c>
      <x:c r="D818" s="24" t="n">
        <x:v>425.6</x:v>
      </x:c>
      <x:c r="E818" s="24" t="str">
        <x:v>Transitions Extractive 3.209,00 3.209,00 2.939,00 2.589,00 2.829,00 2.439,00 2.389,00</x:v>
      </x:c>
      <x:c r="F818" s="24" t="str">
        <x:v>U I H D 2.119,00 2.319,00 U I H D</x:v>
      </x:c>
      <x:c r="G818" s="24" t="n">
        <x:v>2189</x:v>
      </x:c>
      <x:c r="H818" s="24" t="n">
        <x:v>46118</x:v>
      </x:c>
      <x:c r="I818" s="24" t="n">
        <x:v>46234</x:v>
      </x:c>
      <x:c r="J818" s="24" t="str">
        <x:v>EXPIRADA</x:v>
      </x:c>
    </x:row>
    <x:row r="819">
      <x:c r="A819" s="24" t="n">
        <x:v>13</x:v>
      </x:c>
      <x:c r="B819" s="24" t="str">
        <x:v>Lentes Kodak</x:v>
      </x:c>
      <x:c r="C819" s="24" t="n">
        <x:v>232.9</x:v>
      </x:c>
      <x:c r="D819" s="24" t="n">
        <x:v>352.5</x:v>
      </x:c>
      <x:c r="E819" s="24" t="str">
        <x:v>Transitions Extractive 3.209,00 3.209,00 2.939,00 2.589,00 2.829,00</x:v>
      </x:c>
      <x:c r="F819" s="24" t="str">
        <x:v>2.099,00 2.609,00 2.219,00 2.169,00 1.819,00 1.429,00 1.379,00 2.369,00 2.759,00 2.319,00</x:v>
      </x:c>
      <x:c r="G819" s="24" t="n">
        <x:v>2439</x:v>
      </x:c>
      <x:c r="H819" s="24" t="n">
        <x:v>46118</x:v>
      </x:c>
      <x:c r="I819" s="24" t="n">
        <x:v>46234</x:v>
      </x:c>
      <x:c r="J819" s="24" t="str">
        <x:v>EXPIRADA</x:v>
      </x:c>
    </x:row>
    <x:row r="820">
      <x:c r="A820" s="24" t="n">
        <x:v>13</x:v>
      </x:c>
      <x:c r="B820" s="24" t="str">
        <x:v>Lentes Kodak</x:v>
      </x:c>
      <x:c r="C820" s="24" t="n">
        <x:v>232.9</x:v>
      </x:c>
      <x:c r="D820" s="24" t="n">
        <x:v>207.5</x:v>
      </x:c>
      <x:c r="E820" s="24" t="str">
        <x:v>Transitions Extractive 3.209,00</x:v>
      </x:c>
      <x:c r="F820" s="24" t="str">
        <x:v>2.649,00 2.989,00 2.989,00 2.719,00 2.199,00 1.929,00 2.199,00 3.139,00 3.139,00 2.869,00</x:v>
      </x:c>
      <x:c r="G820" s="24" t="n">
        <x:v>3209</x:v>
      </x:c>
      <x:c r="H820" s="24" t="n">
        <x:v>46118</x:v>
      </x:c>
      <x:c r="I820" s="24" t="n">
        <x:v>46234</x:v>
      </x:c>
      <x:c r="J820" s="24" t="str">
        <x:v>EXPIRADA</x:v>
      </x:c>
    </x:row>
    <x:row r="821">
      <x:c r="A821" s="24" t="n">
        <x:v>13</x:v>
      </x:c>
      <x:c r="B821" s="24" t="str">
        <x:v>Lentes Kodak</x:v>
      </x:c>
      <x:c r="C821" s="24" t="n">
        <x:v>179.3</x:v>
      </x:c>
      <x:c r="D821" s="24" t="n">
        <x:v>165.5</x:v>
      </x:c>
      <x:c r="E821" s="24" t="str">
        <x:v>Transitions Extractive</x:v>
      </x:c>
      <x:c r="F821" s="24" t="str">
        <x:v>PREVENCIA SAPPHIRE 1.979,00 1.979,00 2.119,00 2.119,00 +R$140 2.919,00 2.919,00 +R$940</x:v>
      </x:c>
      <x:c r="G821" s="24" t="n">
        <x:v>2989</x:v>
      </x:c>
      <x:c r="H821" s="24" t="n">
        <x:v>46118</x:v>
      </x:c>
      <x:c r="I821" s="24" t="n">
        <x:v>46234</x:v>
      </x:c>
      <x:c r="J821" s="24" t="str">
        <x:v>EXPIRADA</x:v>
      </x:c>
    </x:row>
    <x:row r="822">
      <x:c r="A822" s="24" t="n">
        <x:v>13</x:v>
      </x:c>
      <x:c r="B822" s="24" t="str">
        <x:v>Lentes Kodak</x:v>
      </x:c>
      <x:c r="C822" s="24" t="n">
        <x:v>179.3</x:v>
      </x:c>
      <x:c r="D822" s="24" t="n">
        <x:v>246.2</x:v>
      </x:c>
      <x:c r="E822" s="24" t="str">
        <x:v>Transitions Extractive 2.989,00 2.989,00</x:v>
      </x:c>
      <x:c r="F822" s="24" t="str">
        <x:v>PRO 1.979,00 1.709,00 1.359,00 2.119,00 1.849,00 1.499,00 2.919,00 2.649,00 2.299,00</x:v>
      </x:c>
      <x:c r="G822" s="24" t="n">
        <x:v>2719</x:v>
      </x:c>
      <x:c r="H822" s="24" t="n">
        <x:v>46118</x:v>
      </x:c>
      <x:c r="I822" s="24" t="n">
        <x:v>46234</x:v>
      </x:c>
      <x:c r="J822" s="24" t="str">
        <x:v>EXPIRADA</x:v>
      </x:c>
    </x:row>
    <x:row r="823">
      <x:c r="A823" s="24" t="n">
        <x:v>13</x:v>
      </x:c>
      <x:c r="B823" s="24" t="str">
        <x:v>Lentes Kodak</x:v>
      </x:c>
      <x:c r="C823" s="24" t="n">
        <x:v>179.3</x:v>
      </x:c>
      <x:c r="D823" s="24" t="n">
        <x:v>280.7</x:v>
      </x:c>
      <x:c r="E823" s="24" t="str">
        <x:v>Transitions Extractive 2.989,00 2.989,00 2.719,00</x:v>
      </x:c>
      <x:c r="F823" s="24" t="str">
        <x:v>PRO 1.709,00 1.359,00 1.599,00 1.849,00 1.499,00 1.739,00 2.649,00 2.299,00 2.539,00</x:v>
      </x:c>
      <x:c r="G823" s="24" t="n">
        <x:v>2369</x:v>
      </x:c>
      <x:c r="H823" s="24" t="n">
        <x:v>46118</x:v>
      </x:c>
      <x:c r="I823" s="24" t="n">
        <x:v>46234</x:v>
      </x:c>
      <x:c r="J823" s="24" t="str">
        <x:v>EXPIRADA</x:v>
      </x:c>
    </x:row>
    <x:row r="824">
      <x:c r="A824" s="24" t="n">
        <x:v>13</x:v>
      </x:c>
      <x:c r="B824" s="24" t="str">
        <x:v>Lentes Kodak</x:v>
      </x:c>
      <x:c r="C824" s="24" t="n">
        <x:v>179.3</x:v>
      </x:c>
      <x:c r="D824" s="24" t="n">
        <x:v>318</x:v>
      </x:c>
      <x:c r="E824" s="24" t="str">
        <x:v>Transitions Extractive 2.989,00 2.989,00 2.719,00 2.369,00</x:v>
      </x:c>
      <x:c r="F824" s="24" t="str">
        <x:v>PRO 1.359,00 1.599,00 1.209,00 1.499,00 1.739,00 1.349,00 2.299,00 2.539,00 2.149,00</x:v>
      </x:c>
      <x:c r="G824" s="24" t="n">
        <x:v>2609</x:v>
      </x:c>
      <x:c r="H824" s="24" t="n">
        <x:v>46118</x:v>
      </x:c>
      <x:c r="I824" s="24" t="n">
        <x:v>46234</x:v>
      </x:c>
      <x:c r="J824" s="24" t="str">
        <x:v>EXPIRADA</x:v>
      </x:c>
    </x:row>
    <x:row r="825">
      <x:c r="A825" s="24" t="n">
        <x:v>13</x:v>
      </x:c>
      <x:c r="B825" s="24" t="str">
        <x:v>Lentes Kodak</x:v>
      </x:c>
      <x:c r="C825" s="24" t="n">
        <x:v>179.3</x:v>
      </x:c>
      <x:c r="D825" s="24" t="n">
        <x:v>389.1</x:v>
      </x:c>
      <x:c r="E825" s="24" t="str">
        <x:v>Transitions Extractive 2.989,00 2.989,00 2.719,00 2.369,00 2.609,00 2.219,00</x:v>
      </x:c>
      <x:c r="F825" s="24" t="str">
        <x:v>CLEAN 959,00 1.159,00 1.209,00 1.099,00 1.349,00 1.299,00 2.149,00 2.099,00 1.899,00</x:v>
      </x:c>
      <x:c r="G825" s="24" t="n">
        <x:v>2169</x:v>
      </x:c>
      <x:c r="H825" s="24" t="n">
        <x:v>46118</x:v>
      </x:c>
      <x:c r="I825" s="24" t="n">
        <x:v>46234</x:v>
      </x:c>
      <x:c r="J825" s="24" t="str">
        <x:v>EXPIRADA</x:v>
      </x:c>
    </x:row>
    <x:row r="826">
      <x:c r="A826" s="24" t="n">
        <x:v>13</x:v>
      </x:c>
      <x:c r="B826" s="24" t="str">
        <x:v>Lentes Kodak</x:v>
      </x:c>
      <x:c r="C826" s="24" t="n">
        <x:v>179.3</x:v>
      </x:c>
      <x:c r="D826" s="24" t="n">
        <x:v>353.6</x:v>
      </x:c>
      <x:c r="E826" s="24" t="str">
        <x:v>Transitions Extractive 2.989,00 2.989,00 2.719,00 2.369,00 2.609,00</x:v>
      </x:c>
      <x:c r="F826" s="24" t="str">
        <x:v>CLEAN 1.159,00 1.599,00 1.209,00 1.739,00 1.349,00 1.299,00 2.539,00 2.149,00 2.099,00</x:v>
      </x:c>
      <x:c r="G826" s="24" t="n">
        <x:v>2219</x:v>
      </x:c>
      <x:c r="H826" s="24" t="n">
        <x:v>46118</x:v>
      </x:c>
      <x:c r="I826" s="24" t="n">
        <x:v>46234</x:v>
      </x:c>
      <x:c r="J826" s="24" t="str">
        <x:v>EXPIRADA</x:v>
      </x:c>
    </x:row>
    <x:row r="827">
      <x:c r="A827" s="24" t="n">
        <x:v>13</x:v>
      </x:c>
      <x:c r="B827" s="24" t="str">
        <x:v>Lentes Kodak</x:v>
      </x:c>
      <x:c r="C827" s="24" t="n">
        <x:v>179.3</x:v>
      </x:c>
      <x:c r="D827" s="24" t="n">
        <x:v>206.6</x:v>
      </x:c>
      <x:c r="E827" s="24" t="str">
        <x:v>Transitions Extractive 2.989,00</x:v>
      </x:c>
      <x:c r="F827" s="24" t="str">
        <x:v>HR 1.979,00 1.979,00 1.709,00 2.119,00 2.119,00 1.849,00 2.919,00 2.919,00 2.649,00</x:v>
      </x:c>
      <x:c r="G827" s="24" t="n">
        <x:v>2989</x:v>
      </x:c>
      <x:c r="H827" s="24" t="n">
        <x:v>46118</x:v>
      </x:c>
      <x:c r="I827" s="24" t="n">
        <x:v>46234</x:v>
      </x:c>
      <x:c r="J827" s="24" t="str">
        <x:v>EXPIRADA</x:v>
      </x:c>
    </x:row>
    <x:row r="828">
      <x:c r="A828" s="24" t="n">
        <x:v>13</x:v>
      </x:c>
      <x:c r="B828" s="24" t="str">
        <x:v>Lentes Kodak</x:v>
      </x:c>
      <x:c r="C828" s="24" t="n">
        <x:v>179.3</x:v>
      </x:c>
      <x:c r="D828" s="24" t="n">
        <x:v>425.8</x:v>
      </x:c>
      <x:c r="E828" s="24" t="str">
        <x:v>Transitions Extractive 2.989,00 2.989,00 2.719,00 2.369,00 2.609,00 2.219,00 2.169,00</x:v>
      </x:c>
      <x:c r="F828" s="24" t="str">
        <x:v>U I H D 2.099,00 1.899,00 U I H D</x:v>
      </x:c>
      <x:c r="G828" s="24" t="n">
        <x:v>1969</x:v>
      </x:c>
      <x:c r="H828" s="24" t="n">
        <x:v>46118</x:v>
      </x:c>
      <x:c r="I828" s="24" t="n">
        <x:v>46234</x:v>
      </x:c>
      <x:c r="J828" s="24" t="str">
        <x:v>EXPIRADA</x:v>
      </x:c>
    </x:row>
    <x:row r="829">
      <x:c r="A829" s="24" t="n">
        <x:v>13</x:v>
      </x:c>
      <x:c r="B829" s="24" t="str">
        <x:v>Lentes Kodak</x:v>
      </x:c>
      <x:c r="C829" s="24" t="n">
        <x:v>272.2</x:v>
      </x:c>
      <x:c r="D829" s="24" t="n">
        <x:v>164.6</x:v>
      </x:c>
      <x:c r="E829" s="24" t="str">
        <x:v>Transitions Gen S</x:v>
      </x:c>
      <x:c r="F829" s="24" t="str">
        <x:v>2.199,00 2.199,00 3.139,00 3.139,00 +R$940 3.209,00 3.209,00 +R$1.100 3.399,00 3.399,00</x:v>
      </x:c>
      <x:c r="G829" s="24" t="n">
        <x:v>4339</x:v>
      </x:c>
      <x:c r="H829" s="24" t="n">
        <x:v>46118</x:v>
      </x:c>
      <x:c r="I829" s="24" t="n">
        <x:v>46234</x:v>
      </x:c>
      <x:c r="J829" s="24" t="str">
        <x:v>EXPIRADA</x:v>
      </x:c>
    </x:row>
    <x:row r="830">
      <x:c r="A830" s="24" t="n">
        <x:v>13</x:v>
      </x:c>
      <x:c r="B830" s="24" t="str">
        <x:v>Lentes Kodak</x:v>
      </x:c>
      <x:c r="C830" s="24" t="n">
        <x:v>272.2</x:v>
      </x:c>
      <x:c r="D830" s="24" t="n">
        <x:v>245.1</x:v>
      </x:c>
      <x:c r="E830" s="24" t="str">
        <x:v>Transitions Gen S 4.339,00 4.339,00</x:v>
      </x:c>
      <x:c r="F830" s="24" t="str">
        <x:v>2.199,00 3.139,00 2.869,00 2.519,00 3.209,00 2.939,00 2.589,00 3.399,00 3.129,00 2.779,00</x:v>
      </x:c>
      <x:c r="G830" s="24" t="n">
        <x:v>4069</x:v>
      </x:c>
      <x:c r="H830" s="24" t="n">
        <x:v>46118</x:v>
      </x:c>
      <x:c r="I830" s="24" t="n">
        <x:v>46234</x:v>
      </x:c>
      <x:c r="J830" s="24" t="str">
        <x:v>EXPIRADA</x:v>
      </x:c>
    </x:row>
    <x:row r="831">
      <x:c r="A831" s="24" t="n">
        <x:v>13</x:v>
      </x:c>
      <x:c r="B831" s="24" t="str">
        <x:v>Lentes Kodak</x:v>
      </x:c>
      <x:c r="C831" s="24" t="n">
        <x:v>272.2</x:v>
      </x:c>
      <x:c r="D831" s="24" t="n">
        <x:v>282.3</x:v>
      </x:c>
      <x:c r="E831" s="24" t="str">
        <x:v>Transitions Gen S 4.339,00 4.339,00 4.069,00</x:v>
      </x:c>
      <x:c r="F831" s="24" t="str">
        <x:v>1.819,00 2.869,00 2.519,00 2.759,00 2.939,00 2.589,00 2.829,00 3.129,00 2.779,00 3.019,00</x:v>
      </x:c>
      <x:c r="G831" s="24" t="n">
        <x:v>3719</x:v>
      </x:c>
      <x:c r="H831" s="24" t="n">
        <x:v>46118</x:v>
      </x:c>
      <x:c r="I831" s="24" t="n">
        <x:v>46234</x:v>
      </x:c>
      <x:c r="J831" s="24" t="str">
        <x:v>EXPIRADA</x:v>
      </x:c>
    </x:row>
    <x:row r="832">
      <x:c r="A832" s="24" t="n">
        <x:v>13</x:v>
      </x:c>
      <x:c r="B832" s="24" t="str">
        <x:v>Lentes Kodak</x:v>
      </x:c>
      <x:c r="C832" s="24" t="n">
        <x:v>272.2</x:v>
      </x:c>
      <x:c r="D832" s="24" t="n">
        <x:v>316.9</x:v>
      </x:c>
      <x:c r="E832" s="24" t="str">
        <x:v>Transitions Gen S 4.339,00 4.339,00 4.069,00 3.719,00</x:v>
      </x:c>
      <x:c r="F832" s="24" t="str">
        <x:v>1.429,00 2.369,00 2.519,00 2.759,00 2.589,00 2.829,00 2.439,00 2.629,00 2.779,00 3.019,00</x:v>
      </x:c>
      <x:c r="G832" s="24" t="n">
        <x:v>3959</x:v>
      </x:c>
      <x:c r="H832" s="24" t="n">
        <x:v>46118</x:v>
      </x:c>
      <x:c r="I832" s="24" t="n">
        <x:v>46234</x:v>
      </x:c>
      <x:c r="J832" s="24" t="str">
        <x:v>EXPIRADA</x:v>
      </x:c>
    </x:row>
    <x:row r="833">
      <x:c r="A833" s="24" t="n">
        <x:v>13</x:v>
      </x:c>
      <x:c r="B833" s="24" t="str">
        <x:v>Lentes Kodak</x:v>
      </x:c>
      <x:c r="C833" s="24" t="n">
        <x:v>272.2</x:v>
      </x:c>
      <x:c r="D833" s="24" t="n">
        <x:v>390.2</x:v>
      </x:c>
      <x:c r="E833" s="24" t="str">
        <x:v>Transitions Gen S 4.339,00 4.339,00 4.069,00 3.719,00 3.959,00 3.569,00</x:v>
      </x:c>
      <x:c r="F833" s="24" t="str">
        <x:v>1.379,00 2.369,00 2.119,00 2.319,00 2.439,00 2.389,00 2.189,00 2.629,00 2.379,00 2.579,00</x:v>
      </x:c>
      <x:c r="G833" s="24" t="n">
        <x:v>3519</x:v>
      </x:c>
      <x:c r="H833" s="24" t="n">
        <x:v>46118</x:v>
      </x:c>
      <x:c r="I833" s="24" t="n">
        <x:v>46234</x:v>
      </x:c>
      <x:c r="J833" s="24" t="str">
        <x:v>EXPIRADA</x:v>
      </x:c>
    </x:row>
    <x:row r="834">
      <x:c r="A834" s="24" t="n">
        <x:v>13</x:v>
      </x:c>
      <x:c r="B834" s="24" t="str">
        <x:v>Lentes Kodak</x:v>
      </x:c>
      <x:c r="C834" s="24" t="n">
        <x:v>272.2</x:v>
      </x:c>
      <x:c r="D834" s="24" t="n">
        <x:v>206.7</x:v>
      </x:c>
      <x:c r="E834" s="24" t="str">
        <x:v>Transitions Gen S 4.339,00</x:v>
      </x:c>
      <x:c r="F834" s="24" t="str">
        <x:v>2.199,00 3.139,00 3.139,00 2.869,00 3.209,00 3.209,00 2.939,00 3.399,00 3.399,00 3.129,00</x:v>
      </x:c>
      <x:c r="G834" s="24" t="n">
        <x:v>4339</x:v>
      </x:c>
      <x:c r="H834" s="24" t="n">
        <x:v>46118</x:v>
      </x:c>
      <x:c r="I834" s="24" t="n">
        <x:v>46234</x:v>
      </x:c>
      <x:c r="J834" s="24" t="str">
        <x:v>EXPIRADA</x:v>
      </x:c>
    </x:row>
    <x:row r="835">
      <x:c r="A835" s="24" t="n">
        <x:v>13</x:v>
      </x:c>
      <x:c r="B835" s="24" t="str">
        <x:v>Lentes Kodak</x:v>
      </x:c>
      <x:c r="C835" s="24" t="n">
        <x:v>272.2</x:v>
      </x:c>
      <x:c r="D835" s="24" t="n">
        <x:v>426.9</x:v>
      </x:c>
      <x:c r="E835" s="24" t="str">
        <x:v>Transitions Gen S 4.339,00 4.339,00 4.069,00 3.719,00 3.959,00 3.569,00 3.519,00</x:v>
      </x:c>
      <x:c r="F835" s="24" t="str">
        <x:v>U I H D 2.379,00 2.579,00 U I H D</x:v>
      </x:c>
      <x:c r="G835" s="24" t="n">
        <x:v>3319</x:v>
      </x:c>
      <x:c r="H835" s="24" t="n">
        <x:v>46118</x:v>
      </x:c>
      <x:c r="I835" s="24" t="n">
        <x:v>46234</x:v>
      </x:c>
      <x:c r="J835" s="24" t="str">
        <x:v>EXPIRADA</x:v>
      </x:c>
    </x:row>
    <x:row r="836">
      <x:c r="A836" s="24" t="n">
        <x:v>13</x:v>
      </x:c>
      <x:c r="B836" s="24" t="str">
        <x:v>Lentes Kodak</x:v>
      </x:c>
      <x:c r="C836" s="24" t="n">
        <x:v>272.2</x:v>
      </x:c>
      <x:c r="D836" s="24" t="n">
        <x:v>353.6</x:v>
      </x:c>
      <x:c r="E836" s="24" t="str">
        <x:v>Transitions Gen S 4.339,00 4.339,00 4.069,00 3.719,00 3.959,00</x:v>
      </x:c>
      <x:c r="F836" s="24" t="str">
        <x:v>1.379,00 2.369,00 2.759,00 2.319,00 2.829,00 2.439,00 2.389,00 2.629,00 3.019,00 2.579,00</x:v>
      </x:c>
      <x:c r="G836" s="24" t="n">
        <x:v>3569</x:v>
      </x:c>
      <x:c r="H836" s="24" t="n">
        <x:v>46118</x:v>
      </x:c>
      <x:c r="I836" s="24" t="n">
        <x:v>46234</x:v>
      </x:c>
      <x:c r="J836" s="24" t="str">
        <x:v>EXPIRADA</x:v>
      </x:c>
    </x:row>
    <x:row r="837">
      <x:c r="A837" s="24" t="n">
        <x:v>13</x:v>
      </x:c>
      <x:c r="B837" s="24" t="str">
        <x:v>Lentes Kodak</x:v>
      </x:c>
      <x:c r="C837" s="24" t="n">
        <x:v>258.7</x:v>
      </x:c>
      <x:c r="D837" s="24" t="n">
        <x:v>352.4</x:v>
      </x:c>
      <x:c r="E837" s="24" t="str">
        <x:v>1.67 3.399,00 3.399,00 3.129,00 2.779,00 3.019,00</x:v>
      </x:c>
      <x:c r="F837" s="24" t="str">
        <x:v>2.169,00 1.819,00 1.429,00 1.379,00 2.369,00 2.759,00 2.319,00 2.829,00 2.439,00 2.389,00</x:v>
      </x:c>
      <x:c r="G837" s="24" t="n">
        <x:v>2629</x:v>
      </x:c>
      <x:c r="H837" s="24" t="n">
        <x:v>46118</x:v>
      </x:c>
      <x:c r="I837" s="24" t="n">
        <x:v>46234</x:v>
      </x:c>
      <x:c r="J837" s="24" t="str">
        <x:v>EXPIRADA</x:v>
      </x:c>
    </x:row>
    <x:row r="838">
      <x:c r="A838" s="24" t="n">
        <x:v>13</x:v>
      </x:c>
      <x:c r="B838" s="24" t="str">
        <x:v>Lentes Kodak</x:v>
      </x:c>
      <x:c r="C838" s="24" t="n">
        <x:v>366.5</x:v>
      </x:c>
      <x:c r="D838" s="24" t="n">
        <x:v>167.7</x:v>
      </x:c>
      <x:c r="E838" s="24" t="str">
        <x:v>1.50</x:v>
      </x:c>
      <x:c r="F838" s="24" t="str">
        <x:v>- 4.179,00 5.119,00 - +R$940 CRIZAL CRIZAL UHD PREVENCIA SAPPHIRE</x:v>
      </x:c>
      <x:c r="G838" s="24" t="n">
        <x:v>1849</x:v>
      </x:c>
      <x:c r="H838" s="24" t="n">
        <x:v>46118</x:v>
      </x:c>
      <x:c r="I838" s="24" t="n">
        <x:v>46234</x:v>
      </x:c>
      <x:c r="J838" s="24" t="str">
        <x:v>EXPIRADA</x:v>
      </x:c>
    </x:row>
    <x:row r="839">
      <x:c r="A839" s="24" t="n">
        <x:v>13</x:v>
      </x:c>
      <x:c r="B839" s="24" t="str">
        <x:v>Lentes Kodak</x:v>
      </x:c>
      <x:c r="C839" s="24" t="n">
        <x:v>366.5</x:v>
      </x:c>
      <x:c r="D839" s="24" t="n">
        <x:v>253.2</x:v>
      </x:c>
      <x:c r="E839" s="24" t="str">
        <x:v>1.50 1.849,00 1.849,00</x:v>
      </x:c>
      <x:c r="F839" s="24" t="str">
        <x:v>5.119,00 - - CRIZAL CRIZAL CRIZAL ROCK HR EASY PRO</x:v>
      </x:c>
      <x:c r="G839" s="24" t="n">
        <x:v>1579</x:v>
      </x:c>
      <x:c r="H839" s="24" t="n">
        <x:v>46118</x:v>
      </x:c>
      <x:c r="I839" s="24" t="n">
        <x:v>46234</x:v>
      </x:c>
      <x:c r="J839" s="24" t="str">
        <x:v>EXPIRADA</x:v>
      </x:c>
    </x:row>
    <x:row r="840">
      <x:c r="A840" s="24" t="n">
        <x:v>13</x:v>
      </x:c>
      <x:c r="B840" s="24" t="str">
        <x:v>Lentes Kodak</x:v>
      </x:c>
      <x:c r="C840" s="24" t="n">
        <x:v>366.5</x:v>
      </x:c>
      <x:c r="D840" s="24" t="n">
        <x:v>289.6</x:v>
      </x:c>
      <x:c r="E840" s="24" t="str">
        <x:v>1.50 1.849,00 1.849,00 1.579,00</x:v>
      </x:c>
      <x:c r="F840" s="24" t="str">
        <x:v>- - - - CRIZAL CRIZAL OPTIFOG ROCK EASY PRO</x:v>
      </x:c>
      <x:c r="G840" s="24" t="n">
        <x:v>1229</x:v>
      </x:c>
      <x:c r="H840" s="24" t="n">
        <x:v>46118</x:v>
      </x:c>
      <x:c r="I840" s="24" t="n">
        <x:v>46234</x:v>
      </x:c>
      <x:c r="J840" s="24" t="str">
        <x:v>EXPIRADA</x:v>
      </x:c>
    </x:row>
    <x:row r="841">
      <x:c r="A841" s="24" t="n">
        <x:v>13</x:v>
      </x:c>
      <x:c r="B841" s="24" t="str">
        <x:v>Lentes Kodak</x:v>
      </x:c>
      <x:c r="C841" s="24" t="n">
        <x:v>366.5</x:v>
      </x:c>
      <x:c r="D841" s="24" t="n">
        <x:v>323.1</x:v>
      </x:c>
      <x:c r="E841" s="24" t="str">
        <x:v>1.50 1.849,00 1.849,00 1.579,00 1.229,00</x:v>
      </x:c>
      <x:c r="F841" s="24" t="str">
        <x:v>- - - - CRIZAL OPTIFOG NO REFLEX EASY PRO</x:v>
      </x:c>
      <x:c r="G841" s="24" t="n">
        <x:v>1469</x:v>
      </x:c>
      <x:c r="H841" s="24" t="n">
        <x:v>46118</x:v>
      </x:c>
      <x:c r="I841" s="24" t="n">
        <x:v>46234</x:v>
      </x:c>
      <x:c r="J841" s="24" t="str">
        <x:v>EXPIRADA</x:v>
      </x:c>
    </x:row>
    <x:row r="842">
      <x:c r="A842" s="24" t="n">
        <x:v>13</x:v>
      </x:c>
      <x:c r="B842" s="24" t="str">
        <x:v>Lentes Kodak</x:v>
      </x:c>
      <x:c r="C842" s="24" t="n">
        <x:v>366.5</x:v>
      </x:c>
      <x:c r="D842" s="24" t="n">
        <x:v>357.9</x:v>
      </x:c>
      <x:c r="E842" s="24" t="str">
        <x:v>1.50 1.849,00 1.849,00 1.579,00 1.229,00 1.469,00</x:v>
      </x:c>
      <x:c r="F842" s="24" t="str">
        <x:v>- - - - TRIO OPTIFOG NO REFLEX EASY CLEAN</x:v>
      </x:c>
      <x:c r="G842" s="24" t="n">
        <x:v>1079</x:v>
      </x:c>
      <x:c r="H842" s="24" t="n">
        <x:v>46118</x:v>
      </x:c>
      <x:c r="I842" s="24" t="n">
        <x:v>46234</x:v>
      </x:c>
      <x:c r="J842" s="24" t="str">
        <x:v>EXPIRADA</x:v>
      </x:c>
    </x:row>
    <x:row r="843">
      <x:c r="A843" s="24" t="n">
        <x:v>13</x:v>
      </x:c>
      <x:c r="B843" s="24" t="str">
        <x:v>Lentes Kodak</x:v>
      </x:c>
      <x:c r="C843" s="24" t="n">
        <x:v>489.7</x:v>
      </x:c>
      <x:c r="D843" s="24" t="n">
        <x:v>168.1</x:v>
      </x:c>
      <x:c r="E843" s="24" t="str">
        <x:v>1.67</x:v>
      </x:c>
      <x:c r="F843" s="24" t="str">
        <x:v>2.859,00 +R$1.100 2.069,00 2.069,00 3.009,00 3.009,00 +R$940 3.079,00 3.079,00 +R$1.100</x:v>
      </x:c>
      <x:c r="G843" s="24" t="n">
        <x:v>3269</x:v>
      </x:c>
      <x:c r="H843" s="24" t="n">
        <x:v>46118</x:v>
      </x:c>
      <x:c r="I843" s="24" t="n">
        <x:v>46234</x:v>
      </x:c>
      <x:c r="J843" s="24" t="str">
        <x:v>EXPIRADA</x:v>
      </x:c>
    </x:row>
    <x:row r="844">
      <x:c r="A844" s="24" t="n">
        <x:v>13</x:v>
      </x:c>
      <x:c r="B844" s="24" t="str">
        <x:v>Lentes Kodak</x:v>
      </x:c>
      <x:c r="C844" s="24" t="n">
        <x:v>489.7</x:v>
      </x:c>
      <x:c r="D844" s="24" t="n">
        <x:v>253</x:v>
      </x:c>
      <x:c r="E844" s="24" t="str">
        <x:v>1.67 3.269,00 3.269,00</x:v>
      </x:c>
      <x:c r="F844" s="24" t="str">
        <x:v>2.239,00 1.799,00 1.449,00 2.069,00 2.739,00 2.389,00 3.009,00 3.079,00 2.809,00 2.459,00</x:v>
      </x:c>
      <x:c r="G844" s="24" t="n">
        <x:v>2999</x:v>
      </x:c>
      <x:c r="H844" s="24" t="n">
        <x:v>46118</x:v>
      </x:c>
      <x:c r="I844" s="24" t="n">
        <x:v>46234</x:v>
      </x:c>
      <x:c r="J844" s="24" t="str">
        <x:v>EXPIRADA</x:v>
      </x:c>
    </x:row>
    <x:row r="845">
      <x:c r="A845" s="24" t="n">
        <x:v>13</x:v>
      </x:c>
      <x:c r="B845" s="24" t="str">
        <x:v>Lentes Kodak</x:v>
      </x:c>
      <x:c r="C845" s="24" t="n">
        <x:v>489.7</x:v>
      </x:c>
      <x:c r="D845" s="24" t="n">
        <x:v>288.1</x:v>
      </x:c>
      <x:c r="E845" s="24" t="str">
        <x:v>1.67 3.269,00 3.269,00 2.999,00</x:v>
      </x:c>
      <x:c r="F845" s="24" t="str">
        <x:v>2.479,00 1.799,00 1.449,00 1.689,00 2.739,00 2.389,00 2.629,00 2.809,00 2.459,00 2.699,00</x:v>
      </x:c>
      <x:c r="G845" s="24" t="n">
        <x:v>2649</x:v>
      </x:c>
      <x:c r="H845" s="24" t="n">
        <x:v>46118</x:v>
      </x:c>
      <x:c r="I845" s="24" t="n">
        <x:v>46234</x:v>
      </x:c>
      <x:c r="J845" s="24" t="str">
        <x:v>EXPIRADA</x:v>
      </x:c>
    </x:row>
    <x:row r="846">
      <x:c r="A846" s="24" t="n">
        <x:v>13</x:v>
      </x:c>
      <x:c r="B846" s="24" t="str">
        <x:v>Lentes Kodak</x:v>
      </x:c>
      <x:c r="C846" s="24" t="n">
        <x:v>489.7</x:v>
      </x:c>
      <x:c r="D846" s="24" t="n">
        <x:v>322.5</x:v>
      </x:c>
      <x:c r="E846" s="24" t="str">
        <x:v>1.67 3.269,00 3.269,00 2.999,00 2.649,00</x:v>
      </x:c>
      <x:c r="F846" s="24" t="str">
        <x:v>2.089,00 1.449,00 1.689,00 1.299,00 2.389,00 2.629,00 2.239,00 2.459,00 2.699,00 2.309,00</x:v>
      </x:c>
      <x:c r="G846" s="24" t="n">
        <x:v>2889</x:v>
      </x:c>
      <x:c r="H846" s="24" t="n">
        <x:v>46118</x:v>
      </x:c>
      <x:c r="I846" s="24" t="n">
        <x:v>46234</x:v>
      </x:c>
      <x:c r="J846" s="24" t="str">
        <x:v>EXPIRADA</x:v>
      </x:c>
    </x:row>
    <x:row r="847">
      <x:c r="A847" s="24" t="n">
        <x:v>13</x:v>
      </x:c>
      <x:c r="B847" s="24" t="str">
        <x:v>Lentes Kodak</x:v>
      </x:c>
      <x:c r="C847" s="24" t="n">
        <x:v>366.5</x:v>
      </x:c>
      <x:c r="D847" s="24" t="n">
        <x:v>390.9</x:v>
      </x:c>
      <x:c r="E847" s="24" t="str">
        <x:v>1.50 1.849,00 1.849,00 1.579,00 1.229,00 1.469,00 1.079,00</x:v>
      </x:c>
      <x:c r="F847" s="24" t="str">
        <x:v>- - - - TRIO VERNIZ HC REFLEX EASY CLEAN</x:v>
      </x:c>
      <x:c r="G847" s="24" t="n">
        <x:v>1029</x:v>
      </x:c>
      <x:c r="H847" s="24" t="n">
        <x:v>46118</x:v>
      </x:c>
      <x:c r="I847" s="24" t="n">
        <x:v>46234</x:v>
      </x:c>
      <x:c r="J847" s="24" t="str">
        <x:v>EXPIRADA</x:v>
      </x:c>
    </x:row>
    <x:row r="848">
      <x:c r="A848" s="24" t="n">
        <x:v>13</x:v>
      </x:c>
      <x:c r="B848" s="24" t="str">
        <x:v>Lentes Kodak</x:v>
      </x:c>
      <x:c r="C848" s="24" t="n">
        <x:v>433.9</x:v>
      </x:c>
      <x:c r="D848" s="24" t="n">
        <x:v>166.9</x:v>
      </x:c>
      <x:c r="E848" s="24" t="str">
        <x:v>Poly</x:v>
      </x:c>
      <x:c r="F848" s="24" t="str">
        <x:v>1.849,00 1.989,00 1.989,00 +R$140 2.789,00 2.789,00 +R$940 2.859,00 2.859,00 +R$1.100</x:v>
      </x:c>
      <x:c r="G848" s="24" t="n">
        <x:v>2069</x:v>
      </x:c>
      <x:c r="H848" s="24" t="n">
        <x:v>46118</x:v>
      </x:c>
      <x:c r="I848" s="24" t="n">
        <x:v>46234</x:v>
      </x:c>
      <x:c r="J848" s="24" t="str">
        <x:v>EXPIRADA</x:v>
      </x:c>
    </x:row>
    <x:row r="849">
      <x:c r="A849" s="24" t="n">
        <x:v>13</x:v>
      </x:c>
      <x:c r="B849" s="24" t="str">
        <x:v>Lentes Kodak</x:v>
      </x:c>
      <x:c r="C849" s="24" t="n">
        <x:v>433.9</x:v>
      </x:c>
      <x:c r="D849" s="24" t="n">
        <x:v>253.7</x:v>
      </x:c>
      <x:c r="E849" s="24" t="str">
        <x:v>Poly 2.069,00 2.069,00</x:v>
      </x:c>
      <x:c r="F849" s="24" t="str">
        <x:v>1.229,00 1.989,00 1.719,00 1.369,00 2.789,00 2.519,00 2.169,00 2.859,00 2.589,00 2.239,00</x:v>
      </x:c>
      <x:c r="G849" s="24" t="n">
        <x:v>1799</x:v>
      </x:c>
      <x:c r="H849" s="24" t="n">
        <x:v>46118</x:v>
      </x:c>
      <x:c r="I849" s="24" t="n">
        <x:v>46234</x:v>
      </x:c>
      <x:c r="J849" s="24" t="str">
        <x:v>EXPIRADA</x:v>
      </x:c>
    </x:row>
    <x:row r="850">
      <x:c r="A850" s="24" t="n">
        <x:v>13</x:v>
      </x:c>
      <x:c r="B850" s="24" t="str">
        <x:v>Lentes Kodak</x:v>
      </x:c>
      <x:c r="C850" s="24" t="n">
        <x:v>433.9</x:v>
      </x:c>
      <x:c r="D850" s="24" t="n">
        <x:v>289.2</x:v>
      </x:c>
      <x:c r="E850" s="24" t="str">
        <x:v>Poly 2.069,00 2.069,00 1.799,00</x:v>
      </x:c>
      <x:c r="F850" s="24" t="str">
        <x:v>1.469,00 1.719,00 1.369,00 1.609,00 2.519,00 2.169,00 2.409,00 2.589,00 2.239,00 2.479,00</x:v>
      </x:c>
      <x:c r="G850" s="24" t="n">
        <x:v>1449</x:v>
      </x:c>
      <x:c r="H850" s="24" t="n">
        <x:v>46118</x:v>
      </x:c>
      <x:c r="I850" s="24" t="n">
        <x:v>46234</x:v>
      </x:c>
      <x:c r="J850" s="24" t="str">
        <x:v>EXPIRADA</x:v>
      </x:c>
    </x:row>
    <x:row r="851">
      <x:c r="A851" s="24" t="n">
        <x:v>13</x:v>
      </x:c>
      <x:c r="B851" s="24" t="str">
        <x:v>Lentes Kodak</x:v>
      </x:c>
      <x:c r="C851" s="24" t="n">
        <x:v>433.9</x:v>
      </x:c>
      <x:c r="D851" s="24" t="n">
        <x:v>323.1</x:v>
      </x:c>
      <x:c r="E851" s="24" t="str">
        <x:v>Poly 2.069,00 2.069,00 1.799,00 1.449,00</x:v>
      </x:c>
      <x:c r="F851" s="24" t="str">
        <x:v>1.079,00 1.369,00 1.609,00 1.219,00 2.169,00 2.409,00 2.019,00 2.239,00 2.479,00 2.089,00</x:v>
      </x:c>
      <x:c r="G851" s="24" t="n">
        <x:v>1689</x:v>
      </x:c>
      <x:c r="H851" s="24" t="n">
        <x:v>46118</x:v>
      </x:c>
      <x:c r="I851" s="24" t="n">
        <x:v>46234</x:v>
      </x:c>
      <x:c r="J851" s="24" t="str">
        <x:v>EXPIRADA</x:v>
      </x:c>
    </x:row>
    <x:row r="852">
      <x:c r="A852" s="24" t="n">
        <x:v>13</x:v>
      </x:c>
      <x:c r="B852" s="24" t="str">
        <x:v>Lentes Kodak</x:v>
      </x:c>
      <x:c r="C852" s="24" t="n">
        <x:v>433.9</x:v>
      </x:c>
      <x:c r="D852" s="24" t="n">
        <x:v>357</x:v>
      </x:c>
      <x:c r="E852" s="24" t="str">
        <x:v>Poly 2.069,00 2.069,00 1.799,00 1.449,00 1.689,00</x:v>
      </x:c>
      <x:c r="F852" s="24" t="str">
        <x:v>1.079,00 1.609,00 1.219,00 1.169,00 2.409,00 2.019,00 1.969,00 2.479,00 2.089,00 2.039,00</x:v>
      </x:c>
      <x:c r="G852" s="24" t="n">
        <x:v>1299</x:v>
      </x:c>
      <x:c r="H852" s="24" t="n">
        <x:v>46118</x:v>
      </x:c>
      <x:c r="I852" s="24" t="n">
        <x:v>46234</x:v>
      </x:c>
      <x:c r="J852" s="24" t="str">
        <x:v>EXPIRADA</x:v>
      </x:c>
    </x:row>
    <x:row r="853">
      <x:c r="A853" s="24" t="n">
        <x:v>13</x:v>
      </x:c>
      <x:c r="B853" s="24" t="str">
        <x:v>Lentes Kodak</x:v>
      </x:c>
      <x:c r="C853" s="24" t="n">
        <x:v>433.9</x:v>
      </x:c>
      <x:c r="D853" s="24" t="n">
        <x:v>391.4</x:v>
      </x:c>
      <x:c r="E853" s="24" t="str">
        <x:v>Poly 2.069,00 2.069,00 1.799,00 1.449,00 1.689,00 1.299,00</x:v>
      </x:c>
      <x:c r="F853" s="24" t="str">
        <x:v>1.079,00 1.219,00 1.169,00 969,00 2.019,00 1.969,00 1.769,00 2.089,00 2.039,00 1.839,00</x:v>
      </x:c>
      <x:c r="G853" s="24" t="n">
        <x:v>1249</x:v>
      </x:c>
      <x:c r="H853" s="24" t="n">
        <x:v>46118</x:v>
      </x:c>
      <x:c r="I853" s="24" t="n">
        <x:v>46234</x:v>
      </x:c>
      <x:c r="J853" s="24" t="str">
        <x:v>EXPIRADA</x:v>
      </x:c>
    </x:row>
    <x:row r="854">
      <x:c r="A854" s="24" t="n">
        <x:v>13</x:v>
      </x:c>
      <x:c r="B854" s="24" t="str">
        <x:v>Lentes Kodak</x:v>
      </x:c>
      <x:c r="C854" s="24" t="n">
        <x:v>489.7</x:v>
      </x:c>
      <x:c r="D854" s="24" t="n">
        <x:v>391.4</x:v>
      </x:c>
      <x:c r="E854" s="24" t="str">
        <x:v>1.67 3.269,00 3.269,00 2.999,00 2.649,00 2.889,00 2.499,00</x:v>
      </x:c>
      <x:c r="F854" s="24" t="str">
        <x:v>1.839,00 1.049,00 1.299,00 1.249,00 2.189,00 2.239,00 1.989,00 2.309,00 2.259,00 2.059,00</x:v>
      </x:c>
      <x:c r="G854" s="24" t="n">
        <x:v>2449</x:v>
      </x:c>
      <x:c r="H854" s="24" t="n">
        <x:v>46118</x:v>
      </x:c>
      <x:c r="I854" s="24" t="n">
        <x:v>46234</x:v>
      </x:c>
      <x:c r="J854" s="24" t="str">
        <x:v>EXPIRADA</x:v>
      </x:c>
    </x:row>
    <x:row r="855">
      <x:c r="A855" s="24" t="n">
        <x:v>13</x:v>
      </x:c>
      <x:c r="B855" s="24" t="str">
        <x:v>Lentes Kodak</x:v>
      </x:c>
      <x:c r="C855" s="24" t="n">
        <x:v>366.5</x:v>
      </x:c>
      <x:c r="D855" s="24" t="n">
        <x:v>211.2</x:v>
      </x:c>
      <x:c r="E855" s="24" t="str">
        <x:v>1.50 1.849,00</x:v>
      </x:c>
      <x:c r="F855" s="24" t="str">
        <x:v>- 4.179,00 5.119,00 - - CRIZAL CRIZAL ROCK SAPPHIRE HR</x:v>
      </x:c>
      <x:c r="G855" s="24" t="n">
        <x:v>1849</x:v>
      </x:c>
      <x:c r="H855" s="24" t="n">
        <x:v>46118</x:v>
      </x:c>
      <x:c r="I855" s="24" t="n">
        <x:v>46234</x:v>
      </x:c>
      <x:c r="J855" s="24" t="str">
        <x:v>EXPIRADA</x:v>
      </x:c>
    </x:row>
    <x:row r="856">
      <x:c r="A856" s="24" t="n">
        <x:v>13</x:v>
      </x:c>
      <x:c r="B856" s="24" t="str">
        <x:v>Lentes Kodak</x:v>
      </x:c>
      <x:c r="C856" s="24" t="n">
        <x:v>489.7</x:v>
      </x:c>
      <x:c r="D856" s="24" t="n">
        <x:v>210.6</x:v>
      </x:c>
      <x:c r="E856" s="24" t="str">
        <x:v>1.67 3.269,00</x:v>
      </x:c>
      <x:c r="F856" s="24" t="str">
        <x:v>2.589,00 2.069,00 1.799,00 2.069,00 3.009,00 2.739,00 3.009,00 3.079,00 3.079,00 2.809,00</x:v>
      </x:c>
      <x:c r="G856" s="24" t="n">
        <x:v>3269</x:v>
      </x:c>
      <x:c r="H856" s="24" t="n">
        <x:v>46118</x:v>
      </x:c>
      <x:c r="I856" s="24" t="n">
        <x:v>46234</x:v>
      </x:c>
      <x:c r="J856" s="24" t="str">
        <x:v>EXPIRADA</x:v>
      </x:c>
    </x:row>
    <x:row r="857">
      <x:c r="A857" s="24" t="n">
        <x:v>13</x:v>
      </x:c>
      <x:c r="B857" s="24" t="str">
        <x:v>Lentes Kodak</x:v>
      </x:c>
      <x:c r="C857" s="24" t="n">
        <x:v>433.9</x:v>
      </x:c>
      <x:c r="D857" s="24" t="n">
        <x:v>210.8</x:v>
      </x:c>
      <x:c r="E857" s="24" t="str">
        <x:v>Poly 2.069,00</x:v>
      </x:c>
      <x:c r="F857" s="24" t="str">
        <x:v>1.579,00 1.989,00 1.989,00 1.719,00 2.789,00 2.789,00 2.519,00 2.859,00 2.859,00 2.589,00</x:v>
      </x:c>
      <x:c r="G857" s="24" t="n">
        <x:v>2069</x:v>
      </x:c>
      <x:c r="H857" s="24" t="n">
        <x:v>46118</x:v>
      </x:c>
      <x:c r="I857" s="24" t="n">
        <x:v>46234</x:v>
      </x:c>
      <x:c r="J857" s="24" t="str">
        <x:v>EXPIRADA</x:v>
      </x:c>
    </x:row>
    <x:row r="858">
      <x:c r="A858" s="24" t="n">
        <x:v>13</x:v>
      </x:c>
      <x:c r="B858" s="24" t="str">
        <x:v>Lentes Kodak</x:v>
      </x:c>
      <x:c r="C858" s="24" t="n">
        <x:v>380.5</x:v>
      </x:c>
      <x:c r="D858" s="24" t="n">
        <x:v>168.2</x:v>
      </x:c>
      <x:c r="E858" s="24"/>
      <x:c r="F858" s="24" t="str">
        <x:v>5.119,00 - +R$940 CRIZAL CRIZAL UHD PREVENCIA SAPPHIRE 1.849,00 1.849,00</x:v>
      </x:c>
      <x:c r="G858" s="24" t="n">
        <x:v>1989</x:v>
      </x:c>
      <x:c r="H858" s="24" t="n">
        <x:v>46118</x:v>
      </x:c>
      <x:c r="I858" s="24" t="n">
        <x:v>46234</x:v>
      </x:c>
      <x:c r="J858" s="24" t="str">
        <x:v>EXPIRADA</x:v>
      </x:c>
    </x:row>
    <x:row r="859">
      <x:c r="A859" s="24" t="n">
        <x:v>13</x:v>
      </x:c>
      <x:c r="B859" s="24" t="str">
        <x:v>Lentes Kodak</x:v>
      </x:c>
      <x:c r="C859" s="24" t="n">
        <x:v>380.5</x:v>
      </x:c>
      <x:c r="D859" s="24" t="n">
        <x:v>254.7</x:v>
      </x:c>
      <x:c r="E859" s="24" t="str">
        <x:v>1.989,00 1.989,00</x:v>
      </x:c>
      <x:c r="F859" s="24" t="str">
        <x:v>CRIZAL CRIZAL CRIZAL ROCK HR EASY PRO 1.849,00 1.579,00 1.229,00</x:v>
      </x:c>
      <x:c r="G859" s="24" t="n">
        <x:v>1719</x:v>
      </x:c>
      <x:c r="H859" s="24" t="n">
        <x:v>46118</x:v>
      </x:c>
      <x:c r="I859" s="24" t="n">
        <x:v>46234</x:v>
      </x:c>
      <x:c r="J859" s="24" t="str">
        <x:v>EXPIRADA</x:v>
      </x:c>
    </x:row>
    <x:row r="860">
      <x:c r="A860" s="24" t="n">
        <x:v>13</x:v>
      </x:c>
      <x:c r="B860" s="24" t="str">
        <x:v>Lentes Kodak</x:v>
      </x:c>
      <x:c r="C860" s="24" t="n">
        <x:v>380.5</x:v>
      </x:c>
      <x:c r="D860" s="24" t="n">
        <x:v>289.4</x:v>
      </x:c>
      <x:c r="E860" s="24" t="str">
        <x:v>1.989,00 1.989,00 1.719,00</x:v>
      </x:c>
      <x:c r="F860" s="24" t="str">
        <x:v>- CRIZAL CRIZAL OPTIFOG ROCK EASY PRO 1.579,00 1.229,00 1.469,00</x:v>
      </x:c>
      <x:c r="G860" s="24" t="n">
        <x:v>1369</x:v>
      </x:c>
      <x:c r="H860" s="24" t="n">
        <x:v>46118</x:v>
      </x:c>
      <x:c r="I860" s="24" t="n">
        <x:v>46234</x:v>
      </x:c>
      <x:c r="J860" s="24" t="str">
        <x:v>EXPIRADA</x:v>
      </x:c>
    </x:row>
    <x:row r="861">
      <x:c r="A861" s="24" t="n">
        <x:v>13</x:v>
      </x:c>
      <x:c r="B861" s="24" t="str">
        <x:v>Lentes Kodak</x:v>
      </x:c>
      <x:c r="C861" s="24" t="n">
        <x:v>380.5</x:v>
      </x:c>
      <x:c r="D861" s="24" t="n">
        <x:v>323</x:v>
      </x:c>
      <x:c r="E861" s="24" t="str">
        <x:v>1.989,00 1.989,00 1.719,00 1.369,00</x:v>
      </x:c>
      <x:c r="F861" s="24" t="str">
        <x:v>- CRIZAL OPTIFOG NO REFLEX EASY PRO 1.229,00 1.469,00 1.079,00</x:v>
      </x:c>
      <x:c r="G861" s="24" t="n">
        <x:v>1609</x:v>
      </x:c>
      <x:c r="H861" s="24" t="n">
        <x:v>46118</x:v>
      </x:c>
      <x:c r="I861" s="24" t="n">
        <x:v>46234</x:v>
      </x:c>
      <x:c r="J861" s="24" t="str">
        <x:v>EXPIRADA</x:v>
      </x:c>
    </x:row>
    <x:row r="862">
      <x:c r="A862" s="24" t="n">
        <x:v>13</x:v>
      </x:c>
      <x:c r="B862" s="24" t="str">
        <x:v>Lentes Kodak</x:v>
      </x:c>
      <x:c r="C862" s="24" t="n">
        <x:v>380.5</x:v>
      </x:c>
      <x:c r="D862" s="24" t="n">
        <x:v>391</x:v>
      </x:c>
      <x:c r="E862" s="24" t="str">
        <x:v>1.989,00 1.989,00 1.719,00 1.369,00 1.609,00 1.219,00</x:v>
      </x:c>
      <x:c r="F862" s="24" t="str">
        <x:v>- TRIO VERNIZ HC REFLEX EASY CLEAN 829,00 1.029,00 1.079,00</x:v>
      </x:c>
      <x:c r="G862" s="24" t="n">
        <x:v>1169</x:v>
      </x:c>
      <x:c r="H862" s="24" t="n">
        <x:v>46118</x:v>
      </x:c>
      <x:c r="I862" s="24" t="n">
        <x:v>46234</x:v>
      </x:c>
      <x:c r="J862" s="24" t="str">
        <x:v>EXPIRADA</x:v>
      </x:c>
    </x:row>
    <x:row r="863">
      <x:c r="A863" s="24" t="n">
        <x:v>13</x:v>
      </x:c>
      <x:c r="B863" s="24" t="str">
        <x:v>Lentes Kodak</x:v>
      </x:c>
      <x:c r="C863" s="24" t="n">
        <x:v>380.5</x:v>
      </x:c>
      <x:c r="D863" s="24" t="n">
        <x:v>357.9</x:v>
      </x:c>
      <x:c r="E863" s="24" t="str">
        <x:v>1.989,00 1.989,00 1.719,00 1.369,00 1.609,00</x:v>
      </x:c>
      <x:c r="F863" s="24" t="str">
        <x:v>- TRIO OPTIFOG NO REFLEX EASY CLEAN 1.029,00 1.469,00 1.079,00</x:v>
      </x:c>
      <x:c r="G863" s="24" t="n">
        <x:v>1219</x:v>
      </x:c>
      <x:c r="H863" s="24" t="n">
        <x:v>46118</x:v>
      </x:c>
      <x:c r="I863" s="24" t="n">
        <x:v>46234</x:v>
      </x:c>
      <x:c r="J863" s="24" t="str">
        <x:v>EXPIRADA</x:v>
      </x:c>
    </x:row>
    <x:row r="864">
      <x:c r="A864" s="24" t="n">
        <x:v>13</x:v>
      </x:c>
      <x:c r="B864" s="24" t="str">
        <x:v>Lentes Kodak</x:v>
      </x:c>
      <x:c r="C864" s="24" t="n">
        <x:v>380.5</x:v>
      </x:c>
      <x:c r="D864" s="24" t="n">
        <x:v>211.7</x:v>
      </x:c>
      <x:c r="E864" s="24" t="str">
        <x:v>1.989,00</x:v>
      </x:c>
      <x:c r="F864" s="24" t="str">
        <x:v>- - CRIZAL CRIZAL ROCK SAPPHIRE HR 1.849,00 1.849,00 1.579,00</x:v>
      </x:c>
      <x:c r="G864" s="24" t="n">
        <x:v>1989</x:v>
      </x:c>
      <x:c r="H864" s="24" t="n">
        <x:v>46118</x:v>
      </x:c>
      <x:c r="I864" s="24" t="n">
        <x:v>46234</x:v>
      </x:c>
      <x:c r="J864" s="24" t="str">
        <x:v>EXPIRADA</x:v>
      </x:c>
    </x:row>
    <x:row r="865">
      <x:c r="A865" s="24" t="n">
        <x:v>13</x:v>
      </x:c>
      <x:c r="B865" s="24" t="str">
        <x:v>Lentes Kodak</x:v>
      </x:c>
      <x:c r="C865" s="24" t="n">
        <x:v>449.4</x:v>
      </x:c>
      <x:c r="D865" s="24" t="n">
        <x:v>165.6</x:v>
      </x:c>
      <x:c r="E865" s="24"/>
      <x:c r="F865" s="24" t="str">
        <x:v>1.849,00 1.989,00 +R$140 2.789,00 2.789,00 +R$940 2.859,00 2.859,00 +R$1.100 2.069,00</x:v>
      </x:c>
      <x:c r="G865" s="24" t="n">
        <x:v>3009</x:v>
      </x:c>
      <x:c r="H865" s="24" t="n">
        <x:v>46118</x:v>
      </x:c>
      <x:c r="I865" s="24" t="n">
        <x:v>46234</x:v>
      </x:c>
      <x:c r="J865" s="24" t="str">
        <x:v>EXPIRADA</x:v>
      </x:c>
    </x:row>
    <x:row r="866">
      <x:c r="A866" s="24" t="n">
        <x:v>13</x:v>
      </x:c>
      <x:c r="B866" s="24" t="str">
        <x:v>Lentes Kodak</x:v>
      </x:c>
      <x:c r="C866" s="24" t="n">
        <x:v>449.4</x:v>
      </x:c>
      <x:c r="D866" s="24" t="n">
        <x:v>253</x:v>
      </x:c>
      <x:c r="E866" s="24" t="str">
        <x:v>3.009,00 3.009,00</x:v>
      </x:c>
      <x:c r="F866" s="24" t="str">
        <x:v>1.369,00 2.789,00 2.519,00 2.169,00 2.859,00 2.589,00 2.239,00 1.799,00 1.449,00 2.069,00</x:v>
      </x:c>
      <x:c r="G866" s="24" t="n">
        <x:v>2739</x:v>
      </x:c>
      <x:c r="H866" s="24" t="n">
        <x:v>46118</x:v>
      </x:c>
      <x:c r="I866" s="24" t="n">
        <x:v>46234</x:v>
      </x:c>
      <x:c r="J866" s="24" t="str">
        <x:v>EXPIRADA</x:v>
      </x:c>
    </x:row>
    <x:row r="867">
      <x:c r="A867" s="24" t="n">
        <x:v>13</x:v>
      </x:c>
      <x:c r="B867" s="24" t="str">
        <x:v>Lentes Kodak</x:v>
      </x:c>
      <x:c r="C867" s="24" t="n">
        <x:v>449.4</x:v>
      </x:c>
      <x:c r="D867" s="24" t="n">
        <x:v>289.4</x:v>
      </x:c>
      <x:c r="E867" s="24" t="str">
        <x:v>3.009,00 3.009,00 2.739,00</x:v>
      </x:c>
      <x:c r="F867" s="24" t="str">
        <x:v>1.609,00 2.519,00 2.169,00 2.409,00 2.589,00 2.239,00 2.479,00 1.799,00 1.449,00 1.689,00</x:v>
      </x:c>
      <x:c r="G867" s="24" t="n">
        <x:v>2389</x:v>
      </x:c>
      <x:c r="H867" s="24" t="n">
        <x:v>46118</x:v>
      </x:c>
      <x:c r="I867" s="24" t="n">
        <x:v>46234</x:v>
      </x:c>
      <x:c r="J867" s="24" t="str">
        <x:v>EXPIRADA</x:v>
      </x:c>
    </x:row>
    <x:row r="868">
      <x:c r="A868" s="24" t="n">
        <x:v>13</x:v>
      </x:c>
      <x:c r="B868" s="24" t="str">
        <x:v>Lentes Kodak</x:v>
      </x:c>
      <x:c r="C868" s="24" t="n">
        <x:v>449.4</x:v>
      </x:c>
      <x:c r="D868" s="24" t="n">
        <x:v>321.4</x:v>
      </x:c>
      <x:c r="E868" s="24" t="str">
        <x:v>3.009,00 3.009,00 2.739,00 2.389,00</x:v>
      </x:c>
      <x:c r="F868" s="24" t="str">
        <x:v>1.219,00 2.169,00 2.409,00 2.019,00 2.239,00 2.479,00 2.089,00 1.449,00 1.689,00 1.299,00</x:v>
      </x:c>
      <x:c r="G868" s="24" t="n">
        <x:v>2629</x:v>
      </x:c>
      <x:c r="H868" s="24" t="n">
        <x:v>46118</x:v>
      </x:c>
      <x:c r="I868" s="24" t="n">
        <x:v>46234</x:v>
      </x:c>
      <x:c r="J868" s="24" t="str">
        <x:v>EXPIRADA</x:v>
      </x:c>
    </x:row>
    <x:row r="869">
      <x:c r="A869" s="24" t="n">
        <x:v>13</x:v>
      </x:c>
      <x:c r="B869" s="24" t="str">
        <x:v>Lentes Kodak</x:v>
      </x:c>
      <x:c r="C869" s="24" t="n">
        <x:v>449.4</x:v>
      </x:c>
      <x:c r="D869" s="24" t="n">
        <x:v>392.1</x:v>
      </x:c>
      <x:c r="E869" s="24" t="str">
        <x:v>3.009,00 3.009,00 2.739,00 2.389,00 2.629,00 2.239,00</x:v>
      </x:c>
      <x:c r="F869" s="24" t="str">
        <x:v>969,00 2.019,00 1.969,00 1.769,00 2.089,00 2.039,00 1.839,00 1.049,00 1.299,00 1.249,00</x:v>
      </x:c>
      <x:c r="G869" s="24" t="n">
        <x:v>2189</x:v>
      </x:c>
      <x:c r="H869" s="24" t="n">
        <x:v>46118</x:v>
      </x:c>
      <x:c r="I869" s="24" t="n">
        <x:v>46234</x:v>
      </x:c>
      <x:c r="J869" s="24" t="str">
        <x:v>EXPIRADA</x:v>
      </x:c>
    </x:row>
    <x:row r="870">
      <x:c r="A870" s="24" t="n">
        <x:v>13</x:v>
      </x:c>
      <x:c r="B870" s="24" t="str">
        <x:v>Lentes Kodak</x:v>
      </x:c>
      <x:c r="C870" s="24" t="n">
        <x:v>366.5</x:v>
      </x:c>
      <x:c r="D870" s="24" t="n">
        <x:v>427.1</x:v>
      </x:c>
      <x:c r="E870" s="24" t="str">
        <x:v>1.50 1.849,00 1.849,00 1.579,00 1.229,00 1.469,00 1.079,00 1.029,00</x:v>
      </x:c>
      <x:c r="F870" s="24" t="str">
        <x:v>- U I H D TRIO VERNIZ HC MARCAÇÃO CLEAN</x:v>
      </x:c>
      <x:c r="G870" s="24" t="n">
        <x:v>829</x:v>
      </x:c>
      <x:c r="H870" s="24" t="n">
        <x:v>46118</x:v>
      </x:c>
      <x:c r="I870" s="24" t="n">
        <x:v>46234</x:v>
      </x:c>
      <x:c r="J870" s="24" t="str">
        <x:v>EXPIRADA</x:v>
      </x:c>
    </x:row>
    <x:row r="871">
      <x:c r="A871" s="24" t="n">
        <x:v>13</x:v>
      </x:c>
      <x:c r="B871" s="24" t="str">
        <x:v>Lentes Kodak</x:v>
      </x:c>
      <x:c r="C871" s="24" t="n">
        <x:v>433.9</x:v>
      </x:c>
      <x:c r="D871" s="24" t="n">
        <x:v>425.4</x:v>
      </x:c>
      <x:c r="E871" s="24" t="str">
        <x:v>Poly 2.069,00 2.069,00 1.799,00 1.449,00 1.689,00 1.299,00 1.249,00</x:v>
      </x:c>
      <x:c r="F871" s="24" t="str">
        <x:v>U D R O 2.039,00 1.839,00 U D R O</x:v>
      </x:c>
      <x:c r="G871" s="24" t="n">
        <x:v>1049</x:v>
      </x:c>
      <x:c r="H871" s="24" t="n">
        <x:v>46118</x:v>
      </x:c>
      <x:c r="I871" s="24" t="n">
        <x:v>46234</x:v>
      </x:c>
      <x:c r="J871" s="24" t="str">
        <x:v>EXPIRADA</x:v>
      </x:c>
    </x:row>
    <x:row r="872">
      <x:c r="A872" s="24" t="n">
        <x:v>13</x:v>
      </x:c>
      <x:c r="B872" s="24" t="str">
        <x:v>Lentes Kodak</x:v>
      </x:c>
      <x:c r="C872" s="24" t="n">
        <x:v>380.5</x:v>
      </x:c>
      <x:c r="D872" s="24" t="n">
        <x:v>427.1</x:v>
      </x:c>
      <x:c r="E872" s="24" t="str">
        <x:v>1.989,00 1.989,00 1.719,00 1.369,00 1.609,00 1.219,00 1.169,00</x:v>
      </x:c>
      <x:c r="F872" s="24" t="str">
        <x:v>VERNIZ HC MARCAÇÃO CLEAN 829,00 1.029,00 U D R O</x:v>
      </x:c>
      <x:c r="G872" s="24" t="n">
        <x:v>969</x:v>
      </x:c>
      <x:c r="H872" s="24" t="n">
        <x:v>46118</x:v>
      </x:c>
      <x:c r="I872" s="24" t="n">
        <x:v>46234</x:v>
      </x:c>
      <x:c r="J872" s="24" t="str">
        <x:v>EXPIRADA</x:v>
      </x:c>
    </x:row>
    <x:row r="873">
      <x:c r="A873" s="24" t="n">
        <x:v>13</x:v>
      </x:c>
      <x:c r="B873" s="24" t="str">
        <x:v>Lentes Kodak</x:v>
      </x:c>
      <x:c r="C873" s="24" t="n">
        <x:v>449.4</x:v>
      </x:c>
      <x:c r="D873" s="24" t="n">
        <x:v>425.4</x:v>
      </x:c>
      <x:c r="E873" s="24" t="str">
        <x:v>3.009,00 3.009,00 2.739,00 2.389,00 2.629,00 2.239,00 2.189,00</x:v>
      </x:c>
      <x:c r="F873" s="24" t="str">
        <x:v>U D R O 1.049,00 1.249,00 U D R O</x:v>
      </x:c>
      <x:c r="G873" s="24" t="n">
        <x:v>1989</x:v>
      </x:c>
      <x:c r="H873" s="24" t="n">
        <x:v>46118</x:v>
      </x:c>
      <x:c r="I873" s="24" t="n">
        <x:v>46234</x:v>
      </x:c>
      <x:c r="J873" s="24" t="str">
        <x:v>EXPIRADA</x:v>
      </x:c>
    </x:row>
    <x:row r="874">
      <x:c r="A874" s="24" t="n">
        <x:v>13</x:v>
      </x:c>
      <x:c r="B874" s="24" t="str">
        <x:v>Lentes Kodak</x:v>
      </x:c>
      <x:c r="C874" s="24" t="n">
        <x:v>449.4</x:v>
      </x:c>
      <x:c r="D874" s="24" t="n">
        <x:v>354.6</x:v>
      </x:c>
      <x:c r="E874" s="24" t="str">
        <x:v>3.009,00 3.009,00 2.739,00 2.389,00 2.629,00</x:v>
      </x:c>
      <x:c r="F874" s="24" t="str">
        <x:v>1.169,00 2.409,00 2.019,00 1.969,00 2.479,00 2.089,00 2.039,00 1.689,00 1.299,00 1.249,00</x:v>
      </x:c>
      <x:c r="G874" s="24" t="n">
        <x:v>2239</x:v>
      </x:c>
      <x:c r="H874" s="24" t="n">
        <x:v>46118</x:v>
      </x:c>
      <x:c r="I874" s="24" t="n">
        <x:v>46234</x:v>
      </x:c>
      <x:c r="J874" s="24" t="str">
        <x:v>EXPIRADA</x:v>
      </x:c>
    </x:row>
    <x:row r="875">
      <x:c r="A875" s="24" t="n">
        <x:v>13</x:v>
      </x:c>
      <x:c r="B875" s="24" t="str">
        <x:v>Lentes Kodak</x:v>
      </x:c>
      <x:c r="C875" s="24" t="n">
        <x:v>449.4</x:v>
      </x:c>
      <x:c r="D875" s="24" t="n">
        <x:v>209.1</x:v>
      </x:c>
      <x:c r="E875" s="24" t="str">
        <x:v>3.009,00</x:v>
      </x:c>
      <x:c r="F875" s="24" t="str">
        <x:v>1.719,00 2.789,00 2.789,00 2.519,00 2.859,00 2.859,00 2.589,00 2.069,00 1.799,00 2.069,00</x:v>
      </x:c>
      <x:c r="G875" s="24" t="n">
        <x:v>3009</x:v>
      </x:c>
      <x:c r="H875" s="24" t="n">
        <x:v>46118</x:v>
      </x:c>
      <x:c r="I875" s="24" t="n">
        <x:v>46234</x:v>
      </x:c>
      <x:c r="J875" s="24" t="str">
        <x:v>EXPIRADA</x:v>
      </x:c>
    </x:row>
    <x:row r="876">
      <x:c r="A876" s="24" t="n">
        <x:v>13</x:v>
      </x:c>
      <x:c r="B876" s="24" t="str">
        <x:v>Lentes Kodak</x:v>
      </x:c>
      <x:c r="C876" s="24" t="n">
        <x:v>395</x:v>
      </x:c>
      <x:c r="D876" s="24" t="n">
        <x:v>166.5</x:v>
      </x:c>
      <x:c r="E876" s="24" t="str">
        <x:v>Transitions Gen S</x:v>
      </x:c>
      <x:c r="F876" s="24" t="str">
        <x:v>CRIZAL CRIZAL UHD PREVENCIA SAPPHIRE 1.849,00 1.849,00 1.989,00 1.989,00 +R$140</x:v>
      </x:c>
      <x:c r="G876" s="24" t="n">
        <x:v>2789</x:v>
      </x:c>
      <x:c r="H876" s="24" t="n">
        <x:v>46118</x:v>
      </x:c>
      <x:c r="I876" s="24" t="n">
        <x:v>46234</x:v>
      </x:c>
      <x:c r="J876" s="24" t="str">
        <x:v>EXPIRADA</x:v>
      </x:c>
    </x:row>
    <x:row r="877">
      <x:c r="A877" s="24" t="n">
        <x:v>13</x:v>
      </x:c>
      <x:c r="B877" s="24" t="str">
        <x:v>Lentes Kodak</x:v>
      </x:c>
      <x:c r="C877" s="24" t="n">
        <x:v>395</x:v>
      </x:c>
      <x:c r="D877" s="24" t="n">
        <x:v>253.2</x:v>
      </x:c>
      <x:c r="E877" s="24" t="str">
        <x:v>Transitions Gen S 2.789,00 2.789,00</x:v>
      </x:c>
      <x:c r="F877" s="24" t="str">
        <x:v>ROCK HR EASY PRO 1.849,00 1.579,00 1.229,00 1.989,00 1.719,00 1.369,00</x:v>
      </x:c>
      <x:c r="G877" s="24" t="n">
        <x:v>2519</x:v>
      </x:c>
      <x:c r="H877" s="24" t="n">
        <x:v>46118</x:v>
      </x:c>
      <x:c r="I877" s="24" t="n">
        <x:v>46234</x:v>
      </x:c>
      <x:c r="J877" s="24" t="str">
        <x:v>EXPIRADA</x:v>
      </x:c>
    </x:row>
    <x:row r="878">
      <x:c r="A878" s="24" t="n">
        <x:v>13</x:v>
      </x:c>
      <x:c r="B878" s="24" t="str">
        <x:v>Lentes Kodak</x:v>
      </x:c>
      <x:c r="C878" s="24" t="n">
        <x:v>395</x:v>
      </x:c>
      <x:c r="D878" s="24" t="n">
        <x:v>289.2</x:v>
      </x:c>
      <x:c r="E878" s="24" t="str">
        <x:v>Transitions Gen S 2.789,00 2.789,00 2.519,00</x:v>
      </x:c>
      <x:c r="F878" s="24" t="str">
        <x:v>OPTIFOG ROCK EASY PRO 1.579,00 1.229,00 1.469,00 1.719,00 1.369,00 1.609,00</x:v>
      </x:c>
      <x:c r="G878" s="24" t="n">
        <x:v>2169</x:v>
      </x:c>
      <x:c r="H878" s="24" t="n">
        <x:v>46118</x:v>
      </x:c>
      <x:c r="I878" s="24" t="n">
        <x:v>46234</x:v>
      </x:c>
      <x:c r="J878" s="24" t="str">
        <x:v>EXPIRADA</x:v>
      </x:c>
    </x:row>
    <x:row r="879">
      <x:c r="A879" s="24" t="n">
        <x:v>13</x:v>
      </x:c>
      <x:c r="B879" s="24" t="str">
        <x:v>Lentes Kodak</x:v>
      </x:c>
      <x:c r="C879" s="24" t="n">
        <x:v>395</x:v>
      </x:c>
      <x:c r="D879" s="24" t="n">
        <x:v>323.3</x:v>
      </x:c>
      <x:c r="E879" s="24" t="str">
        <x:v>Transitions Gen S 2.789,00 2.789,00 2.519,00 2.169,00</x:v>
      </x:c>
      <x:c r="F879" s="24" t="str">
        <x:v>NO REFLEX EASY PRO 1.229,00 1.469,00 1.079,00 1.369,00 1.609,00 1.219,00</x:v>
      </x:c>
      <x:c r="G879" s="24" t="n">
        <x:v>2409</x:v>
      </x:c>
      <x:c r="H879" s="24" t="n">
        <x:v>46118</x:v>
      </x:c>
      <x:c r="I879" s="24" t="n">
        <x:v>46234</x:v>
      </x:c>
      <x:c r="J879" s="24" t="str">
        <x:v>EXPIRADA</x:v>
      </x:c>
    </x:row>
    <x:row r="880">
      <x:c r="A880" s="24" t="n">
        <x:v>13</x:v>
      </x:c>
      <x:c r="B880" s="24" t="str">
        <x:v>Lentes Kodak</x:v>
      </x:c>
      <x:c r="C880" s="24" t="n">
        <x:v>395</x:v>
      </x:c>
      <x:c r="D880" s="24" t="n">
        <x:v>390.1</x:v>
      </x:c>
      <x:c r="E880" s="24" t="str">
        <x:v>Transitions Gen S 2.789,00 2.789,00 2.519,00 2.169,00 2.409,00 2.019,00</x:v>
      </x:c>
      <x:c r="F880" s="24" t="str">
        <x:v>HC REFLEX EASY CLEAN 829,00 1.029,00 1.079,00 1.219,00 1.169,00 969,00</x:v>
      </x:c>
      <x:c r="G880" s="24" t="n">
        <x:v>1969</x:v>
      </x:c>
      <x:c r="H880" s="24" t="n">
        <x:v>46118</x:v>
      </x:c>
      <x:c r="I880" s="24" t="n">
        <x:v>46234</x:v>
      </x:c>
      <x:c r="J880" s="24" t="str">
        <x:v>EXPIRADA</x:v>
      </x:c>
    </x:row>
    <x:row r="881">
      <x:c r="A881" s="24" t="n">
        <x:v>13</x:v>
      </x:c>
      <x:c r="B881" s="24" t="str">
        <x:v>Lentes Kodak</x:v>
      </x:c>
      <x:c r="C881" s="24" t="n">
        <x:v>395</x:v>
      </x:c>
      <x:c r="D881" s="24" t="n">
        <x:v>356.1</x:v>
      </x:c>
      <x:c r="E881" s="24" t="str">
        <x:v>Transitions Gen S 2.789,00 2.789,00 2.519,00 2.169,00 2.409,00</x:v>
      </x:c>
      <x:c r="F881" s="24" t="str">
        <x:v>NO REFLEX EASY CLEAN 1.029,00 1.469,00 1.079,00 1.609,00 1.219,00 1.169,00</x:v>
      </x:c>
      <x:c r="G881" s="24" t="n">
        <x:v>2019</x:v>
      </x:c>
      <x:c r="H881" s="24" t="n">
        <x:v>46118</x:v>
      </x:c>
      <x:c r="I881" s="24" t="n">
        <x:v>46234</x:v>
      </x:c>
      <x:c r="J881" s="24" t="str">
        <x:v>EXPIRADA</x:v>
      </x:c>
    </x:row>
    <x:row r="882">
      <x:c r="A882" s="24" t="n">
        <x:v>13</x:v>
      </x:c>
      <x:c r="B882" s="24" t="str">
        <x:v>Lentes Kodak</x:v>
      </x:c>
      <x:c r="C882" s="24" t="n">
        <x:v>395</x:v>
      </x:c>
      <x:c r="D882" s="24" t="n">
        <x:v>209.9</x:v>
      </x:c>
      <x:c r="E882" s="24" t="str">
        <x:v>Transitions Gen S 2.789,00</x:v>
      </x:c>
      <x:c r="F882" s="24" t="str">
        <x:v>CRIZAL ROCK SAPPHIRE HR 1.849,00 1.849,00 1.579,00 1.989,00 1.989,00 1.719,00</x:v>
      </x:c>
      <x:c r="G882" s="24" t="n">
        <x:v>2789</x:v>
      </x:c>
      <x:c r="H882" s="24" t="n">
        <x:v>46118</x:v>
      </x:c>
      <x:c r="I882" s="24" t="n">
        <x:v>46234</x:v>
      </x:c>
      <x:c r="J882" s="24" t="str">
        <x:v>EXPIRADA</x:v>
      </x:c>
    </x:row>
    <x:row r="883">
      <x:c r="A883" s="24" t="n">
        <x:v>13</x:v>
      </x:c>
      <x:c r="B883" s="24" t="str">
        <x:v>Lentes Kodak</x:v>
      </x:c>
      <x:c r="C883" s="24" t="n">
        <x:v>463.9</x:v>
      </x:c>
      <x:c r="D883" s="24" t="n">
        <x:v>165.5</x:v>
      </x:c>
      <x:c r="E883" s="24" t="str">
        <x:v>Transitions Extractive</x:v>
      </x:c>
      <x:c r="F883" s="24" t="str">
        <x:v>2.789,00 2.789,00 +R$940 2.859,00 2.859,00 +R$1.100 2.069,00 3.009,00 3.009,00 +R$940</x:v>
      </x:c>
      <x:c r="G883" s="24" t="n">
        <x:v>3079</x:v>
      </x:c>
      <x:c r="H883" s="24" t="n">
        <x:v>46118</x:v>
      </x:c>
      <x:c r="I883" s="24" t="n">
        <x:v>46234</x:v>
      </x:c>
      <x:c r="J883" s="24" t="str">
        <x:v>EXPIRADA</x:v>
      </x:c>
    </x:row>
    <x:row r="884">
      <x:c r="A884" s="24" t="n">
        <x:v>13</x:v>
      </x:c>
      <x:c r="B884" s="24" t="str">
        <x:v>Lentes Kodak</x:v>
      </x:c>
      <x:c r="C884" s="24" t="n">
        <x:v>463.9</x:v>
      </x:c>
      <x:c r="D884" s="24" t="n">
        <x:v>253</x:v>
      </x:c>
      <x:c r="E884" s="24" t="str">
        <x:v>Transitions Extractive 3.079,00 3.079,00</x:v>
      </x:c>
      <x:c r="F884" s="24" t="str">
        <x:v>2.169,00 2.859,00 2.589,00 2.239,00 1.799,00 1.449,00 2.069,00 2.739,00 2.389,00 3.009,00</x:v>
      </x:c>
      <x:c r="G884" s="24" t="n">
        <x:v>2809</x:v>
      </x:c>
      <x:c r="H884" s="24" t="n">
        <x:v>46118</x:v>
      </x:c>
      <x:c r="I884" s="24" t="n">
        <x:v>46234</x:v>
      </x:c>
      <x:c r="J884" s="24" t="str">
        <x:v>EXPIRADA</x:v>
      </x:c>
    </x:row>
    <x:row r="885">
      <x:c r="A885" s="24" t="n">
        <x:v>13</x:v>
      </x:c>
      <x:c r="B885" s="24" t="str">
        <x:v>Lentes Kodak</x:v>
      </x:c>
      <x:c r="C885" s="24" t="n">
        <x:v>463.9</x:v>
      </x:c>
      <x:c r="D885" s="24" t="n">
        <x:v>288.7</x:v>
      </x:c>
      <x:c r="E885" s="24" t="str">
        <x:v>Transitions Extractive 3.079,00 3.079,00 2.809,00</x:v>
      </x:c>
      <x:c r="F885" s="24" t="str">
        <x:v>2.409,00 2.589,00 2.239,00 2.479,00 1.799,00 1.449,00 1.689,00 2.739,00 2.389,00 2.629,00</x:v>
      </x:c>
      <x:c r="G885" s="24" t="n">
        <x:v>2459</x:v>
      </x:c>
      <x:c r="H885" s="24" t="n">
        <x:v>46118</x:v>
      </x:c>
      <x:c r="I885" s="24" t="n">
        <x:v>46234</x:v>
      </x:c>
      <x:c r="J885" s="24" t="str">
        <x:v>EXPIRADA</x:v>
      </x:c>
    </x:row>
    <x:row r="886">
      <x:c r="A886" s="24" t="n">
        <x:v>13</x:v>
      </x:c>
      <x:c r="B886" s="24" t="str">
        <x:v>Lentes Kodak</x:v>
      </x:c>
      <x:c r="C886" s="24" t="n">
        <x:v>463.9</x:v>
      </x:c>
      <x:c r="D886" s="24" t="n">
        <x:v>320.5</x:v>
      </x:c>
      <x:c r="E886" s="24" t="str">
        <x:v>Transitions Extractive 3.079,00 3.079,00 2.809,00 2.459,00</x:v>
      </x:c>
      <x:c r="F886" s="24" t="str">
        <x:v>2.019,00 2.239,00 2.479,00 2.089,00 1.449,00 1.689,00 1.299,00 2.389,00 2.629,00 2.239,00</x:v>
      </x:c>
      <x:c r="G886" s="24" t="n">
        <x:v>2699</x:v>
      </x:c>
      <x:c r="H886" s="24" t="n">
        <x:v>46118</x:v>
      </x:c>
      <x:c r="I886" s="24" t="n">
        <x:v>46234</x:v>
      </x:c>
      <x:c r="J886" s="24" t="str">
        <x:v>EXPIRADA</x:v>
      </x:c>
    </x:row>
    <x:row r="887">
      <x:c r="A887" s="24" t="n">
        <x:v>13</x:v>
      </x:c>
      <x:c r="B887" s="24" t="str">
        <x:v>Lentes Kodak</x:v>
      </x:c>
      <x:c r="C887" s="24" t="n">
        <x:v>463.9</x:v>
      </x:c>
      <x:c r="D887" s="24" t="n">
        <x:v>391.4</x:v>
      </x:c>
      <x:c r="E887" s="24" t="str">
        <x:v>Transitions Extractive 3.079,00 3.079,00 2.809,00 2.459,00 2.699,00 2.309,00</x:v>
      </x:c>
      <x:c r="F887" s="24" t="str">
        <x:v>1.769,00 2.089,00 2.039,00 1.839,00 1.049,00 1.299,00 1.249,00 2.189,00 2.239,00 1.989,00</x:v>
      </x:c>
      <x:c r="G887" s="24" t="n">
        <x:v>2259</x:v>
      </x:c>
      <x:c r="H887" s="24" t="n">
        <x:v>46118</x:v>
      </x:c>
      <x:c r="I887" s="24" t="n">
        <x:v>46234</x:v>
      </x:c>
      <x:c r="J887" s="24" t="str">
        <x:v>EXPIRADA</x:v>
      </x:c>
    </x:row>
    <x:row r="888">
      <x:c r="A888" s="24" t="n">
        <x:v>13</x:v>
      </x:c>
      <x:c r="B888" s="24" t="str">
        <x:v>Lentes Kodak</x:v>
      </x:c>
      <x:c r="C888" s="24" t="n">
        <x:v>395</x:v>
      </x:c>
      <x:c r="D888" s="24" t="n">
        <x:v>425.3</x:v>
      </x:c>
      <x:c r="E888" s="24" t="str">
        <x:v>Transitions Gen S 2.789,00 2.789,00 2.519,00 2.169,00 2.409,00 2.019,00 1.969,00</x:v>
      </x:c>
      <x:c r="F888" s="24" t="str">
        <x:v>U D R O 1.169,00 969,00 U D R O</x:v>
      </x:c>
      <x:c r="G888" s="24" t="n">
        <x:v>1769</x:v>
      </x:c>
      <x:c r="H888" s="24" t="n">
        <x:v>46118</x:v>
      </x:c>
      <x:c r="I888" s="24" t="n">
        <x:v>46234</x:v>
      </x:c>
      <x:c r="J888" s="24" t="str">
        <x:v>EXPIRADA</x:v>
      </x:c>
    </x:row>
    <x:row r="889">
      <x:c r="A889" s="24" t="n">
        <x:v>13</x:v>
      </x:c>
      <x:c r="B889" s="24" t="str">
        <x:v>Lentes Kodak</x:v>
      </x:c>
      <x:c r="C889" s="24" t="n">
        <x:v>463.9</x:v>
      </x:c>
      <x:c r="D889" s="24" t="n">
        <x:v>424.4</x:v>
      </x:c>
      <x:c r="E889" s="24" t="str">
        <x:v>Transitions Extractive 3.079,00 3.079,00 2.809,00 2.459,00 2.699,00 2.309,00 2.259,00</x:v>
      </x:c>
      <x:c r="F889" s="24" t="str">
        <x:v>U D R O 2.189,00 1.989,00 U D R O</x:v>
      </x:c>
      <x:c r="G889" s="24" t="n">
        <x:v>2059</x:v>
      </x:c>
      <x:c r="H889" s="24" t="n">
        <x:v>46118</x:v>
      </x:c>
      <x:c r="I889" s="24" t="n">
        <x:v>46234</x:v>
      </x:c>
      <x:c r="J889" s="24" t="str">
        <x:v>EXPIRADA</x:v>
      </x:c>
    </x:row>
    <x:row r="890">
      <x:c r="A890" s="24" t="n">
        <x:v>13</x:v>
      </x:c>
      <x:c r="B890" s="24" t="str">
        <x:v>Lentes Kodak</x:v>
      </x:c>
      <x:c r="C890" s="24" t="n">
        <x:v>463.9</x:v>
      </x:c>
      <x:c r="D890" s="24" t="n">
        <x:v>355.3</x:v>
      </x:c>
      <x:c r="E890" s="24" t="str">
        <x:v>Transitions Extractive 3.079,00 3.079,00 2.809,00 2.459,00 2.699,00</x:v>
      </x:c>
      <x:c r="F890" s="24" t="str">
        <x:v>1.969,00 2.479,00 2.089,00 2.039,00 1.689,00 1.299,00 1.249,00 2.629,00 2.189,00 2.239,00</x:v>
      </x:c>
      <x:c r="G890" s="24" t="n">
        <x:v>2309</x:v>
      </x:c>
      <x:c r="H890" s="24" t="n">
        <x:v>46118</x:v>
      </x:c>
      <x:c r="I890" s="24" t="n">
        <x:v>46234</x:v>
      </x:c>
      <x:c r="J890" s="24" t="str">
        <x:v>EXPIRADA</x:v>
      </x:c>
    </x:row>
    <x:row r="891">
      <x:c r="A891" s="24" t="n">
        <x:v>13</x:v>
      </x:c>
      <x:c r="B891" s="24" t="str">
        <x:v>Lentes Kodak</x:v>
      </x:c>
      <x:c r="C891" s="24" t="n">
        <x:v>463.9</x:v>
      </x:c>
      <x:c r="D891" s="24" t="n">
        <x:v>210</x:v>
      </x:c>
      <x:c r="E891" s="24" t="str">
        <x:v>Transitions Extractive 3.079,00</x:v>
      </x:c>
      <x:c r="F891" s="24" t="str">
        <x:v>2.519,00 2.859,00 2.859,00 2.589,00 2.069,00 1.799,00 2.069,00 3.009,00 2.739,00 3.009,00</x:v>
      </x:c>
      <x:c r="G891" s="24" t="n">
        <x:v>3079</x:v>
      </x:c>
      <x:c r="H891" s="24" t="n">
        <x:v>46118</x:v>
      </x:c>
      <x:c r="I891" s="24" t="n">
        <x:v>46234</x:v>
      </x:c>
      <x:c r="J891" s="24" t="str">
        <x:v>EXPIRADA</x:v>
      </x:c>
    </x:row>
    <x:row r="892">
      <x:c r="A892" s="24" t="n">
        <x:v>13</x:v>
      </x:c>
      <x:c r="B892" s="24" t="str">
        <x:v>Lentes Kodak</x:v>
      </x:c>
      <x:c r="C892" s="24" t="n">
        <x:v>410.3</x:v>
      </x:c>
      <x:c r="D892" s="24" t="n">
        <x:v>166.4</x:v>
      </x:c>
      <x:c r="E892" s="24" t="str">
        <x:v>Transitions Extractive</x:v>
      </x:c>
      <x:c r="F892" s="24" t="str">
        <x:v>PREVENCIA SAPPHIRE 1.849,00 1.849,00 1.989,00 1.989,00 +R$140 2.789,00 2.789,00 +R$940</x:v>
      </x:c>
      <x:c r="G892" s="24" t="n">
        <x:v>2859</x:v>
      </x:c>
      <x:c r="H892" s="24" t="n">
        <x:v>46118</x:v>
      </x:c>
      <x:c r="I892" s="24" t="n">
        <x:v>46234</x:v>
      </x:c>
      <x:c r="J892" s="24" t="str">
        <x:v>EXPIRADA</x:v>
      </x:c>
    </x:row>
    <x:row r="893">
      <x:c r="A893" s="24" t="n">
        <x:v>13</x:v>
      </x:c>
      <x:c r="B893" s="24" t="str">
        <x:v>Lentes Kodak</x:v>
      </x:c>
      <x:c r="C893" s="24" t="n">
        <x:v>410.3</x:v>
      </x:c>
      <x:c r="D893" s="24" t="n">
        <x:v>252</x:v>
      </x:c>
      <x:c r="E893" s="24" t="str">
        <x:v>Transitions Extractive 2.859,00 2.859,00</x:v>
      </x:c>
      <x:c r="F893" s="24" t="str">
        <x:v>PRO 1.849,00 1.579,00 1.229,00 1.989,00 1.719,00 1.369,00 2.789,00 2.519,00 2.169,00</x:v>
      </x:c>
      <x:c r="G893" s="24" t="n">
        <x:v>2589</x:v>
      </x:c>
      <x:c r="H893" s="24" t="n">
        <x:v>46118</x:v>
      </x:c>
      <x:c r="I893" s="24" t="n">
        <x:v>46234</x:v>
      </x:c>
      <x:c r="J893" s="24" t="str">
        <x:v>EXPIRADA</x:v>
      </x:c>
    </x:row>
    <x:row r="894">
      <x:c r="A894" s="24" t="n">
        <x:v>13</x:v>
      </x:c>
      <x:c r="B894" s="24" t="str">
        <x:v>Lentes Kodak</x:v>
      </x:c>
      <x:c r="C894" s="24" t="n">
        <x:v>410.3</x:v>
      </x:c>
      <x:c r="D894" s="24" t="n">
        <x:v>288.6</x:v>
      </x:c>
      <x:c r="E894" s="24" t="str">
        <x:v>Transitions Extractive 2.859,00 2.859,00 2.589,00</x:v>
      </x:c>
      <x:c r="F894" s="24" t="str">
        <x:v>PRO 1.579,00 1.229,00 1.469,00 1.719,00 1.369,00 1.609,00 2.519,00 2.169,00 2.409,00</x:v>
      </x:c>
      <x:c r="G894" s="24" t="n">
        <x:v>2239</x:v>
      </x:c>
      <x:c r="H894" s="24" t="n">
        <x:v>46118</x:v>
      </x:c>
      <x:c r="I894" s="24" t="n">
        <x:v>46234</x:v>
      </x:c>
      <x:c r="J894" s="24" t="str">
        <x:v>EXPIRADA</x:v>
      </x:c>
    </x:row>
    <x:row r="895">
      <x:c r="A895" s="24" t="n">
        <x:v>13</x:v>
      </x:c>
      <x:c r="B895" s="24" t="str">
        <x:v>Lentes Kodak</x:v>
      </x:c>
      <x:c r="C895" s="24" t="n">
        <x:v>410.3</x:v>
      </x:c>
      <x:c r="D895" s="24" t="n">
        <x:v>322.6</x:v>
      </x:c>
      <x:c r="E895" s="24" t="str">
        <x:v>Transitions Extractive 2.859,00 2.859,00 2.589,00 2.239,00</x:v>
      </x:c>
      <x:c r="F895" s="24" t="str">
        <x:v>PRO 1.229,00 1.469,00 1.079,00 1.369,00 1.609,00 1.219,00 2.169,00 2.409,00 2.019,00</x:v>
      </x:c>
      <x:c r="G895" s="24" t="n">
        <x:v>2479</x:v>
      </x:c>
      <x:c r="H895" s="24" t="n">
        <x:v>46118</x:v>
      </x:c>
      <x:c r="I895" s="24" t="n">
        <x:v>46234</x:v>
      </x:c>
      <x:c r="J895" s="24" t="str">
        <x:v>EXPIRADA</x:v>
      </x:c>
    </x:row>
    <x:row r="896">
      <x:c r="A896" s="24" t="n">
        <x:v>13</x:v>
      </x:c>
      <x:c r="B896" s="24" t="str">
        <x:v>Lentes Kodak</x:v>
      </x:c>
      <x:c r="C896" s="24" t="n">
        <x:v>410.3</x:v>
      </x:c>
      <x:c r="D896" s="24" t="n">
        <x:v>390.1</x:v>
      </x:c>
      <x:c r="E896" s="24" t="str">
        <x:v>Transitions Extractive 2.859,00 2.859,00 2.589,00 2.239,00 2.479,00 2.089,00</x:v>
      </x:c>
      <x:c r="F896" s="24" t="str">
        <x:v>CLEAN 829,00 1.029,00 1.079,00 1.219,00 1.169,00 969,00 2.019,00 1.969,00 1.769,00</x:v>
      </x:c>
      <x:c r="G896" s="24" t="n">
        <x:v>2039</x:v>
      </x:c>
      <x:c r="H896" s="24" t="n">
        <x:v>46118</x:v>
      </x:c>
      <x:c r="I896" s="24" t="n">
        <x:v>46234</x:v>
      </x:c>
      <x:c r="J896" s="24" t="str">
        <x:v>EXPIRADA</x:v>
      </x:c>
    </x:row>
    <x:row r="897">
      <x:c r="A897" s="24" t="n">
        <x:v>13</x:v>
      </x:c>
      <x:c r="B897" s="24" t="str">
        <x:v>Lentes Kodak</x:v>
      </x:c>
      <x:c r="C897" s="24" t="n">
        <x:v>410.3</x:v>
      </x:c>
      <x:c r="D897" s="24" t="n">
        <x:v>356.1</x:v>
      </x:c>
      <x:c r="E897" s="24" t="str">
        <x:v>Transitions Extractive 2.859,00 2.859,00 2.589,00 2.239,00 2.479,00</x:v>
      </x:c>
      <x:c r="F897" s="24" t="str">
        <x:v>CLEAN 1.029,00 1.469,00 1.079,00 1.609,00 1.219,00 1.169,00 2.409,00 2.019,00 1.969,00</x:v>
      </x:c>
      <x:c r="G897" s="24" t="n">
        <x:v>2089</x:v>
      </x:c>
      <x:c r="H897" s="24" t="n">
        <x:v>46118</x:v>
      </x:c>
      <x:c r="I897" s="24" t="n">
        <x:v>46234</x:v>
      </x:c>
      <x:c r="J897" s="24" t="str">
        <x:v>EXPIRADA</x:v>
      </x:c>
    </x:row>
    <x:row r="898">
      <x:c r="A898" s="24" t="n">
        <x:v>13</x:v>
      </x:c>
      <x:c r="B898" s="24" t="str">
        <x:v>Lentes Kodak</x:v>
      </x:c>
      <x:c r="C898" s="24" t="n">
        <x:v>410.3</x:v>
      </x:c>
      <x:c r="D898" s="24" t="n">
        <x:v>209.9</x:v>
      </x:c>
      <x:c r="E898" s="24" t="str">
        <x:v>Transitions Extractive 2.859,00</x:v>
      </x:c>
      <x:c r="F898" s="24" t="str">
        <x:v>HR 1.849,00 1.849,00 1.579,00 1.989,00 1.989,00 1.719,00 2.789,00 2.789,00 2.519,00</x:v>
      </x:c>
      <x:c r="G898" s="24" t="n">
        <x:v>2859</x:v>
      </x:c>
      <x:c r="H898" s="24" t="n">
        <x:v>46118</x:v>
      </x:c>
      <x:c r="I898" s="24" t="n">
        <x:v>46234</x:v>
      </x:c>
      <x:c r="J898" s="24" t="str">
        <x:v>EXPIRADA</x:v>
      </x:c>
    </x:row>
    <x:row r="899">
      <x:c r="A899" s="24" t="n">
        <x:v>13</x:v>
      </x:c>
      <x:c r="B899" s="24" t="str">
        <x:v>Lentes Kodak</x:v>
      </x:c>
      <x:c r="C899" s="24" t="n">
        <x:v>410.3</x:v>
      </x:c>
      <x:c r="D899" s="24" t="n">
        <x:v>425.3</x:v>
      </x:c>
      <x:c r="E899" s="24" t="str">
        <x:v>Transitions Extractive 2.859,00 2.859,00 2.589,00 2.239,00 2.479,00 2.089,00 2.039,00</x:v>
      </x:c>
      <x:c r="F899" s="24" t="str">
        <x:v>U D R O 1.969,00 1.769,00 U D R O</x:v>
      </x:c>
      <x:c r="G899" s="24" t="n">
        <x:v>1839</x:v>
      </x:c>
      <x:c r="H899" s="24" t="n">
        <x:v>46118</x:v>
      </x:c>
      <x:c r="I899" s="24" t="n">
        <x:v>46234</x:v>
      </x:c>
      <x:c r="J899" s="24" t="str">
        <x:v>EXPIRADA</x:v>
      </x:c>
    </x:row>
    <x:row r="900">
      <x:c r="A900" s="24" t="n">
        <x:v>13</x:v>
      </x:c>
      <x:c r="B900" s="24" t="str">
        <x:v>Lentes Kodak</x:v>
      </x:c>
      <x:c r="C900" s="24" t="n">
        <x:v>503.2</x:v>
      </x:c>
      <x:c r="D900" s="24" t="n">
        <x:v>167.5</x:v>
      </x:c>
      <x:c r="E900" s="24" t="str">
        <x:v>Transitions Gen S</x:v>
      </x:c>
      <x:c r="F900" s="24" t="str">
        <x:v>2.069,00 2.069,00 3.009,00 3.009,00 +R$940 3.079,00 3.079,00 +R$1.100 3.269,00 3.269,00</x:v>
      </x:c>
      <x:c r="G900" s="24" t="n">
        <x:v>4209</x:v>
      </x:c>
      <x:c r="H900" s="24" t="n">
        <x:v>46118</x:v>
      </x:c>
      <x:c r="I900" s="24" t="n">
        <x:v>46234</x:v>
      </x:c>
      <x:c r="J900" s="24" t="str">
        <x:v>EXPIRADA</x:v>
      </x:c>
    </x:row>
    <x:row r="901">
      <x:c r="A901" s="24" t="n">
        <x:v>13</x:v>
      </x:c>
      <x:c r="B901" s="24" t="str">
        <x:v>Lentes Kodak</x:v>
      </x:c>
      <x:c r="C901" s="24" t="n">
        <x:v>503.2</x:v>
      </x:c>
      <x:c r="D901" s="24" t="n">
        <x:v>252.8</x:v>
      </x:c>
      <x:c r="E901" s="24" t="str">
        <x:v>Transitions Gen S 4.209,00 4.209,00</x:v>
      </x:c>
      <x:c r="F901" s="24" t="str">
        <x:v>2.069,00 2.739,00 2.389,00 3.009,00 3.079,00 2.809,00 2.459,00 3.269,00 2.999,00 2.649,00</x:v>
      </x:c>
      <x:c r="G901" s="24" t="n">
        <x:v>3939</x:v>
      </x:c>
      <x:c r="H901" s="24" t="n">
        <x:v>46118</x:v>
      </x:c>
      <x:c r="I901" s="24" t="n">
        <x:v>46234</x:v>
      </x:c>
      <x:c r="J901" s="24" t="str">
        <x:v>EXPIRADA</x:v>
      </x:c>
    </x:row>
    <x:row r="902">
      <x:c r="A902" s="24" t="n">
        <x:v>13</x:v>
      </x:c>
      <x:c r="B902" s="24" t="str">
        <x:v>Lentes Kodak</x:v>
      </x:c>
      <x:c r="C902" s="24" t="n">
        <x:v>503.2</x:v>
      </x:c>
      <x:c r="D902" s="24" t="n">
        <x:v>288.1</x:v>
      </x:c>
      <x:c r="E902" s="24" t="str">
        <x:v>Transitions Gen S 4.209,00 4.209,00 3.939,00</x:v>
      </x:c>
      <x:c r="F902" s="24" t="str">
        <x:v>1.689,00 2.739,00 2.389,00 2.629,00 2.809,00 2.459,00 2.699,00 2.999,00 2.649,00 2.889,00</x:v>
      </x:c>
      <x:c r="G902" s="24" t="n">
        <x:v>3589</x:v>
      </x:c>
      <x:c r="H902" s="24" t="n">
        <x:v>46118</x:v>
      </x:c>
      <x:c r="I902" s="24" t="n">
        <x:v>46234</x:v>
      </x:c>
      <x:c r="J902" s="24" t="str">
        <x:v>EXPIRADA</x:v>
      </x:c>
    </x:row>
    <x:row r="903">
      <x:c r="A903" s="24" t="n">
        <x:v>13</x:v>
      </x:c>
      <x:c r="B903" s="24" t="str">
        <x:v>Lentes Kodak</x:v>
      </x:c>
      <x:c r="C903" s="24" t="n">
        <x:v>503.2</x:v>
      </x:c>
      <x:c r="D903" s="24" t="n">
        <x:v>322.2</x:v>
      </x:c>
      <x:c r="E903" s="24" t="str">
        <x:v>Transitions Gen S 4.209,00 4.209,00 3.939,00 3.589,00</x:v>
      </x:c>
      <x:c r="F903" s="24" t="str">
        <x:v>1.299,00 2.389,00 2.629,00 2.239,00 2.459,00 2.699,00 2.309,00 2.649,00 2.889,00 2.499,00</x:v>
      </x:c>
      <x:c r="G903" s="24" t="n">
        <x:v>3829</x:v>
      </x:c>
      <x:c r="H903" s="24" t="n">
        <x:v>46118</x:v>
      </x:c>
      <x:c r="I903" s="24" t="n">
        <x:v>46234</x:v>
      </x:c>
      <x:c r="J903" s="24" t="str">
        <x:v>EXPIRADA</x:v>
      </x:c>
    </x:row>
    <x:row r="904">
      <x:c r="A904" s="24" t="n">
        <x:v>13</x:v>
      </x:c>
      <x:c r="B904" s="24" t="str">
        <x:v>Lentes Kodak</x:v>
      </x:c>
      <x:c r="C904" s="24" t="n">
        <x:v>503.2</x:v>
      </x:c>
      <x:c r="D904" s="24" t="n">
        <x:v>390.3</x:v>
      </x:c>
      <x:c r="E904" s="24" t="str">
        <x:v>Transitions Gen S 4.209,00 4.209,00 3.939,00 3.589,00 3.829,00 3.439,00</x:v>
      </x:c>
      <x:c r="F904" s="24" t="str">
        <x:v>1.249,00 2.189,00 2.239,00 1.989,00 2.309,00 2.259,00 2.059,00 2.449,00 2.499,00 -</x:v>
      </x:c>
      <x:c r="G904" s="24" t="n">
        <x:v>3389</x:v>
      </x:c>
      <x:c r="H904" s="24" t="n">
        <x:v>46118</x:v>
      </x:c>
      <x:c r="I904" s="24" t="n">
        <x:v>46234</x:v>
      </x:c>
      <x:c r="J904" s="24" t="str">
        <x:v>EXPIRADA</x:v>
      </x:c>
    </x:row>
    <x:row r="905">
      <x:c r="A905" s="24" t="n">
        <x:v>13</x:v>
      </x:c>
      <x:c r="B905" s="24" t="str">
        <x:v>Lentes Kodak</x:v>
      </x:c>
      <x:c r="C905" s="24" t="n">
        <x:v>489.7</x:v>
      </x:c>
      <x:c r="D905" s="24" t="n">
        <x:v>355.6</x:v>
      </x:c>
      <x:c r="E905" s="24" t="str">
        <x:v>1.67 3.269,00 3.269,00 2.999,00 2.649,00 2.889,00</x:v>
      </x:c>
      <x:c r="F905" s="24" t="str">
        <x:v>2.039,00 1.689,00 1.299,00 1.249,00 2.629,00 2.189,00 2.239,00 2.699,00 2.309,00 2.259,00</x:v>
      </x:c>
      <x:c r="G905" s="24" t="n">
        <x:v>2499</x:v>
      </x:c>
      <x:c r="H905" s="24" t="n">
        <x:v>46118</x:v>
      </x:c>
      <x:c r="I905" s="24" t="n">
        <x:v>46234</x:v>
      </x:c>
      <x:c r="J905" s="24" t="str">
        <x:v>EXPIRADA</x:v>
      </x:c>
    </x:row>
    <x:row r="906">
      <x:c r="A906" s="24" t="n">
        <x:v>13</x:v>
      </x:c>
      <x:c r="B906" s="24" t="str">
        <x:v>Lentes Kodak</x:v>
      </x:c>
      <x:c r="C906" s="24" t="n">
        <x:v>503.2</x:v>
      </x:c>
      <x:c r="D906" s="24" t="n">
        <x:v>355.2</x:v>
      </x:c>
      <x:c r="E906" s="24" t="str">
        <x:v>Transitions Gen S 4.209,00 4.209,00 3.939,00 3.589,00 3.829,00</x:v>
      </x:c>
      <x:c r="F906" s="24" t="str">
        <x:v>1.249,00 2.629,00 2.189,00 2.239,00 2.699,00 2.309,00 2.259,00 2.889,00 2.449,00 2.499,00</x:v>
      </x:c>
      <x:c r="G906" s="24" t="n">
        <x:v>3439</x:v>
      </x:c>
      <x:c r="H906" s="24" t="n">
        <x:v>46118</x:v>
      </x:c>
      <x:c r="I906" s="24" t="n">
        <x:v>46234</x:v>
      </x:c>
      <x:c r="J906" s="24" t="str">
        <x:v>EXPIRADA</x:v>
      </x:c>
    </x:row>
    <x:row r="907">
      <x:c r="A907" s="24" t="n">
        <x:v>13</x:v>
      </x:c>
      <x:c r="B907" s="24" t="str">
        <x:v>Lentes Kodak</x:v>
      </x:c>
      <x:c r="C907" s="24" t="n">
        <x:v>503.2</x:v>
      </x:c>
      <x:c r="D907" s="24" t="n">
        <x:v>209.9</x:v>
      </x:c>
      <x:c r="E907" s="24" t="str">
        <x:v>Transitions Gen S 4.209,00</x:v>
      </x:c>
      <x:c r="F907" s="24" t="str">
        <x:v>2.069,00 3.009,00 2.739,00 3.009,00 3.079,00 3.079,00 2.809,00 3.269,00 3.269,00 2.999,00</x:v>
      </x:c>
      <x:c r="G907" s="24" t="n">
        <x:v>4209</x:v>
      </x:c>
      <x:c r="H907" s="24" t="n">
        <x:v>46118</x:v>
      </x:c>
      <x:c r="I907" s="24" t="n">
        <x:v>46234</x:v>
      </x:c>
      <x:c r="J907" s="24" t="str">
        <x:v>EXPIRADA</x:v>
      </x:c>
    </x:row>
    <x:row r="908">
      <x:c r="A908" s="24" t="n">
        <x:v>13</x:v>
      </x:c>
      <x:c r="B908" s="24" t="str">
        <x:v>Lentes Kodak</x:v>
      </x:c>
      <x:c r="C908" s="24" t="n">
        <x:v>596.8</x:v>
      </x:c>
      <x:c r="D908" s="24" t="n">
        <x:v>166.3</x:v>
      </x:c>
      <x:c r="E908" s="24" t="str">
        <x:v>1.50</x:v>
      </x:c>
      <x:c r="F908" s="24" t="str">
        <x:v>- 4.049,00 4.989,00 - +R$940 CRIZAL CRIZAL UHD** PREVENCIA SAPPHIRE</x:v>
      </x:c>
      <x:c r="G908" s="24" t="n">
        <x:v>1729</x:v>
      </x:c>
      <x:c r="H908" s="24" t="n">
        <x:v>46118</x:v>
      </x:c>
      <x:c r="I908" s="24" t="n">
        <x:v>46234</x:v>
      </x:c>
      <x:c r="J908" s="24" t="str">
        <x:v>EXPIRADA</x:v>
      </x:c>
    </x:row>
    <x:row r="909">
      <x:c r="A909" s="24" t="n">
        <x:v>13</x:v>
      </x:c>
      <x:c r="B909" s="24" t="str">
        <x:v>Lentes Kodak</x:v>
      </x:c>
      <x:c r="C909" s="24" t="n">
        <x:v>596.8</x:v>
      </x:c>
      <x:c r="D909" s="24" t="n">
        <x:v>246.6</x:v>
      </x:c>
      <x:c r="E909" s="24" t="str">
        <x:v>1.50 1.729,00 1.729,00</x:v>
      </x:c>
      <x:c r="F909" s="24" t="str">
        <x:v>- - CRIZAL CRIZAL CRIZAL ROCK SAPPHIRE HR EASY PRO</x:v>
      </x:c>
      <x:c r="G909" s="24" t="n">
        <x:v>1459</x:v>
      </x:c>
      <x:c r="H909" s="24" t="n">
        <x:v>46118</x:v>
      </x:c>
      <x:c r="I909" s="24" t="n">
        <x:v>46234</x:v>
      </x:c>
      <x:c r="J909" s="24" t="str">
        <x:v>EXPIRADA</x:v>
      </x:c>
    </x:row>
    <x:row r="910">
      <x:c r="A910" s="24" t="n">
        <x:v>13</x:v>
      </x:c>
      <x:c r="B910" s="24" t="str">
        <x:v>Lentes Kodak</x:v>
      </x:c>
      <x:c r="C910" s="24" t="n">
        <x:v>596.8</x:v>
      </x:c>
      <x:c r="D910" s="24" t="n">
        <x:v>281.9</x:v>
      </x:c>
      <x:c r="E910" s="24" t="str">
        <x:v>1.50 1.729,00 1.729,00 1.459,00</x:v>
      </x:c>
      <x:c r="F910" s="24" t="str">
        <x:v>- - - - CRIZAL CRIZAL OPTIFOG ROCK EASY PRO</x:v>
      </x:c>
      <x:c r="G910" s="24" t="n">
        <x:v>1109</x:v>
      </x:c>
      <x:c r="H910" s="24" t="n">
        <x:v>46118</x:v>
      </x:c>
      <x:c r="I910" s="24" t="n">
        <x:v>46234</x:v>
      </x:c>
      <x:c r="J910" s="24" t="str">
        <x:v>EXPIRADA</x:v>
      </x:c>
    </x:row>
    <x:row r="911">
      <x:c r="A911" s="24" t="n">
        <x:v>13</x:v>
      </x:c>
      <x:c r="B911" s="24" t="str">
        <x:v>Lentes Kodak</x:v>
      </x:c>
      <x:c r="C911" s="24" t="n">
        <x:v>596.8</x:v>
      </x:c>
      <x:c r="D911" s="24" t="n">
        <x:v>319.8</x:v>
      </x:c>
      <x:c r="E911" s="24" t="str">
        <x:v>1.50 1.729,00 1.729,00 1.459,00 1.109,00</x:v>
      </x:c>
      <x:c r="F911" s="24" t="str">
        <x:v>- - - - - CRIZAL OPTIFOG NO REFLEX PRO</x:v>
      </x:c>
      <x:c r="G911" s="24" t="n">
        <x:v>1349</x:v>
      </x:c>
      <x:c r="H911" s="24" t="n">
        <x:v>46118</x:v>
      </x:c>
      <x:c r="I911" s="24" t="n">
        <x:v>46234</x:v>
      </x:c>
      <x:c r="J911" s="24" t="str">
        <x:v>EXPIRADA</x:v>
      </x:c>
    </x:row>
    <x:row r="912">
      <x:c r="A912" s="24" t="n">
        <x:v>13</x:v>
      </x:c>
      <x:c r="B912" s="24" t="str">
        <x:v>Lentes Kodak</x:v>
      </x:c>
      <x:c r="C912" s="24" t="n">
        <x:v>596.8</x:v>
      </x:c>
      <x:c r="D912" s="24" t="n">
        <x:v>429.6</x:v>
      </x:c>
      <x:c r="E912" s="24" t="str">
        <x:v>1.50 1.729,00 1.729,00 1.459,00 1.109,00 1.349,00 959,00 909,00</x:v>
      </x:c>
      <x:c r="F912" s="24" t="str">
        <x:v>- U D R O TRIO VERNIZ HC MARCAÇÃO CLEAN</x:v>
      </x:c>
      <x:c r="G912" s="24" t="n">
        <x:v>709</x:v>
      </x:c>
      <x:c r="H912" s="24" t="n">
        <x:v>46118</x:v>
      </x:c>
      <x:c r="I912" s="24" t="n">
        <x:v>46234</x:v>
      </x:c>
      <x:c r="J912" s="24" t="str">
        <x:v>EXPIRADA</x:v>
      </x:c>
    </x:row>
    <x:row r="913">
      <x:c r="A913" s="24" t="n">
        <x:v>13</x:v>
      </x:c>
      <x:c r="B913" s="24" t="str">
        <x:v>Lentes Kodak</x:v>
      </x:c>
      <x:c r="C913" s="24" t="n">
        <x:v>720</x:v>
      </x:c>
      <x:c r="D913" s="24" t="n">
        <x:v>163.1</x:v>
      </x:c>
      <x:c r="E913" s="24" t="str">
        <x:v>1.67</x:v>
      </x:c>
      <x:c r="F913" s="24" t="str">
        <x:v>2.739,00 +R$1.100 1.949,00 1.949,00 2.889,00 2.889,00 +R$940 2.959,00 2.959,00 +R$1.100</x:v>
      </x:c>
      <x:c r="G913" s="24" t="n">
        <x:v>3149</x:v>
      </x:c>
      <x:c r="H913" s="24" t="n">
        <x:v>46118</x:v>
      </x:c>
      <x:c r="I913" s="24" t="n">
        <x:v>46234</x:v>
      </x:c>
      <x:c r="J913" s="24" t="str">
        <x:v>EXPIRADA</x:v>
      </x:c>
    </x:row>
    <x:row r="914">
      <x:c r="A914" s="24" t="n">
        <x:v>13</x:v>
      </x:c>
      <x:c r="B914" s="24" t="str">
        <x:v>Lentes Kodak</x:v>
      </x:c>
      <x:c r="C914" s="24" t="n">
        <x:v>720</x:v>
      </x:c>
      <x:c r="D914" s="24" t="n">
        <x:v>245.6</x:v>
      </x:c>
      <x:c r="E914" s="24" t="str">
        <x:v>1.67 3.149,00 3.149,00</x:v>
      </x:c>
      <x:c r="F914" s="24" t="str">
        <x:v>2.119,00 1.679,00 1.329,00 1.949,00 2.889,00 2.619,00 2.269,00 2.959,00 2.689,00 2.339,00</x:v>
      </x:c>
      <x:c r="G914" s="24" t="n">
        <x:v>2879</x:v>
      </x:c>
      <x:c r="H914" s="24" t="n">
        <x:v>46118</x:v>
      </x:c>
      <x:c r="I914" s="24" t="n">
        <x:v>46234</x:v>
      </x:c>
      <x:c r="J914" s="24" t="str">
        <x:v>EXPIRADA</x:v>
      </x:c>
    </x:row>
    <x:row r="915">
      <x:c r="A915" s="24" t="n">
        <x:v>13</x:v>
      </x:c>
      <x:c r="B915" s="24" t="str">
        <x:v>Lentes Kodak</x:v>
      </x:c>
      <x:c r="C915" s="24" t="n">
        <x:v>720</x:v>
      </x:c>
      <x:c r="D915" s="24" t="n">
        <x:v>281.3</x:v>
      </x:c>
      <x:c r="E915" s="24" t="str">
        <x:v>1.67 3.149,00 3.149,00 2.879,00</x:v>
      </x:c>
      <x:c r="F915" s="24" t="str">
        <x:v>2.359,00 1.679,00 1.329,00 1.569,00 2.619,00 2.269,00 2.509,00 2.689,00 2.339,00 2.579,00</x:v>
      </x:c>
      <x:c r="G915" s="24" t="n">
        <x:v>2529</x:v>
      </x:c>
      <x:c r="H915" s="24" t="n">
        <x:v>46118</x:v>
      </x:c>
      <x:c r="I915" s="24" t="n">
        <x:v>46234</x:v>
      </x:c>
      <x:c r="J915" s="24" t="str">
        <x:v>EXPIRADA</x:v>
      </x:c>
    </x:row>
    <x:row r="916">
      <x:c r="A916" s="24" t="n">
        <x:v>13</x:v>
      </x:c>
      <x:c r="B916" s="24" t="str">
        <x:v>Lentes Kodak</x:v>
      </x:c>
      <x:c r="C916" s="24" t="n">
        <x:v>720</x:v>
      </x:c>
      <x:c r="D916" s="24" t="n">
        <x:v>318.4</x:v>
      </x:c>
      <x:c r="E916" s="24" t="str">
        <x:v>1.67 3.149,00 3.149,00 2.879,00 2.529,00</x:v>
      </x:c>
      <x:c r="F916" s="24" t="str">
        <x:v>1.969,00 1.329,00 1.569,00 1.179,00 2.269,00 2.509,00 2.119,00 2.339,00 2.579,00 2.189,00</x:v>
      </x:c>
      <x:c r="G916" s="24" t="n">
        <x:v>2769</x:v>
      </x:c>
      <x:c r="H916" s="24" t="n">
        <x:v>46118</x:v>
      </x:c>
      <x:c r="I916" s="24" t="n">
        <x:v>46234</x:v>
      </x:c>
      <x:c r="J916" s="24" t="str">
        <x:v>EXPIRADA</x:v>
      </x:c>
    </x:row>
    <x:row r="917">
      <x:c r="A917" s="24" t="n">
        <x:v>13</x:v>
      </x:c>
      <x:c r="B917" s="24" t="str">
        <x:v>Lentes Kodak</x:v>
      </x:c>
      <x:c r="C917" s="24" t="n">
        <x:v>596.8</x:v>
      </x:c>
      <x:c r="D917" s="24" t="n">
        <x:v>358</x:v>
      </x:c>
      <x:c r="E917" s="24" t="str">
        <x:v>1.50 1.729,00 1.729,00 1.459,00 1.109,00 1.349,00</x:v>
      </x:c>
      <x:c r="F917" s="24" t="str">
        <x:v>- - - - TRIO OPTIFOG NO REFLEX EASY CLEAN</x:v>
      </x:c>
      <x:c r="G917" s="24" t="n">
        <x:v>959</x:v>
      </x:c>
      <x:c r="H917" s="24" t="n">
        <x:v>46118</x:v>
      </x:c>
      <x:c r="I917" s="24" t="n">
        <x:v>46234</x:v>
      </x:c>
      <x:c r="J917" s="24" t="str">
        <x:v>EXPIRADA</x:v>
      </x:c>
    </x:row>
    <x:row r="918">
      <x:c r="A918" s="24" t="n">
        <x:v>13</x:v>
      </x:c>
      <x:c r="B918" s="24" t="str">
        <x:v>Lentes Kodak</x:v>
      </x:c>
      <x:c r="C918" s="24" t="n">
        <x:v>664.2</x:v>
      </x:c>
      <x:c r="D918" s="24" t="n">
        <x:v>163.7</x:v>
      </x:c>
      <x:c r="E918" s="24" t="str">
        <x:v>Poly</x:v>
      </x:c>
      <x:c r="F918" s="24" t="str">
        <x:v>1.729,00 1.869,00 1.869,00 +R$140 2.669,00 2.669,00 +R$940 2.739,00 2.739,00 +R$1.100</x:v>
      </x:c>
      <x:c r="G918" s="24" t="n">
        <x:v>1949</x:v>
      </x:c>
      <x:c r="H918" s="24" t="n">
        <x:v>46118</x:v>
      </x:c>
      <x:c r="I918" s="24" t="n">
        <x:v>46234</x:v>
      </x:c>
      <x:c r="J918" s="24" t="str">
        <x:v>EXPIRADA</x:v>
      </x:c>
    </x:row>
    <x:row r="919">
      <x:c r="A919" s="24" t="n">
        <x:v>13</x:v>
      </x:c>
      <x:c r="B919" s="24" t="str">
        <x:v>Lentes Kodak</x:v>
      </x:c>
      <x:c r="C919" s="24" t="n">
        <x:v>664.2</x:v>
      </x:c>
      <x:c r="D919" s="24" t="n">
        <x:v>246.2</x:v>
      </x:c>
      <x:c r="E919" s="24" t="str">
        <x:v>Poly 1.949,00 1.949,00</x:v>
      </x:c>
      <x:c r="F919" s="24" t="str">
        <x:v>1.109,00 1.869,00 1.599,00 1.249,00 2.669,00 2.399,00 2.049,00 2.739,00 2.469,00 2.119,00</x:v>
      </x:c>
      <x:c r="G919" s="24" t="n">
        <x:v>1679</x:v>
      </x:c>
      <x:c r="H919" s="24" t="n">
        <x:v>46118</x:v>
      </x:c>
      <x:c r="I919" s="24" t="n">
        <x:v>46234</x:v>
      </x:c>
      <x:c r="J919" s="24" t="str">
        <x:v>EXPIRADA</x:v>
      </x:c>
    </x:row>
    <x:row r="920">
      <x:c r="A920" s="24" t="n">
        <x:v>13</x:v>
      </x:c>
      <x:c r="B920" s="24" t="str">
        <x:v>Lentes Kodak</x:v>
      </x:c>
      <x:c r="C920" s="24" t="n">
        <x:v>664.2</x:v>
      </x:c>
      <x:c r="D920" s="24" t="n">
        <x:v>283.2</x:v>
      </x:c>
      <x:c r="E920" s="24" t="str">
        <x:v>Poly 1.949,00 1.949,00 1.679,00</x:v>
      </x:c>
      <x:c r="F920" s="24" t="str">
        <x:v>1.349,00 1.599,00 1.249,00 1.489,00 2.399,00 2.049,00 2.289,00 2.469,00 2.119,00 2.359,00</x:v>
      </x:c>
      <x:c r="G920" s="24" t="n">
        <x:v>1329</x:v>
      </x:c>
      <x:c r="H920" s="24" t="n">
        <x:v>46118</x:v>
      </x:c>
      <x:c r="I920" s="24" t="n">
        <x:v>46234</x:v>
      </x:c>
      <x:c r="J920" s="24" t="str">
        <x:v>EXPIRADA</x:v>
      </x:c>
    </x:row>
    <x:row r="921">
      <x:c r="A921" s="24" t="n">
        <x:v>13</x:v>
      </x:c>
      <x:c r="B921" s="24" t="str">
        <x:v>Lentes Kodak</x:v>
      </x:c>
      <x:c r="C921" s="24" t="n">
        <x:v>664.2</x:v>
      </x:c>
      <x:c r="D921" s="24" t="n">
        <x:v>319.3</x:v>
      </x:c>
      <x:c r="E921" s="24" t="str">
        <x:v>Poly 1.949,00 1.949,00 1.679,00 1.329,00</x:v>
      </x:c>
      <x:c r="F921" s="24" t="str">
        <x:v>1.349,00 1.249,00 1.489,00 1.099,00 2.049,00 2.289,00 1.899,00 2.119,00 2.359,00 1.969,00</x:v>
      </x:c>
      <x:c r="G921" s="24" t="n">
        <x:v>1569</x:v>
      </x:c>
      <x:c r="H921" s="24" t="n">
        <x:v>46118</x:v>
      </x:c>
      <x:c r="I921" s="24" t="n">
        <x:v>46234</x:v>
      </x:c>
      <x:c r="J921" s="24" t="str">
        <x:v>EXPIRADA</x:v>
      </x:c>
    </x:row>
    <x:row r="922">
      <x:c r="A922" s="24" t="n">
        <x:v>13</x:v>
      </x:c>
      <x:c r="B922" s="24" t="str">
        <x:v>Lentes Kodak</x:v>
      </x:c>
      <x:c r="C922" s="24" t="n">
        <x:v>664.2</x:v>
      </x:c>
      <x:c r="D922" s="24" t="n">
        <x:v>430.4</x:v>
      </x:c>
      <x:c r="E922" s="24" t="str">
        <x:v>Poly 1.949,00 1.949,00 1.679,00 1.329,00 1.569,00 1.179,00 1.129,00</x:v>
      </x:c>
      <x:c r="F922" s="24" t="str">
        <x:v>U NW 1.849,00 1.649,00 U NW 1.919,00 1.719,00 U NW</x:v>
      </x:c>
      <x:c r="G922" s="24" t="n">
        <x:v>929</x:v>
      </x:c>
      <x:c r="H922" s="24" t="n">
        <x:v>46118</x:v>
      </x:c>
      <x:c r="I922" s="24" t="n">
        <x:v>46234</x:v>
      </x:c>
      <x:c r="J922" s="24" t="str">
        <x:v>EXPIRADA</x:v>
      </x:c>
    </x:row>
    <x:row r="923">
      <x:c r="A923" s="24" t="n">
        <x:v>13</x:v>
      </x:c>
      <x:c r="B923" s="24" t="str">
        <x:v>Lentes Kodak</x:v>
      </x:c>
      <x:c r="C923" s="24" t="n">
        <x:v>664.2</x:v>
      </x:c>
      <x:c r="D923" s="24" t="n">
        <x:v>358.1</x:v>
      </x:c>
      <x:c r="E923" s="24" t="str">
        <x:v>Poly 1.949,00 1.949,00 1.679,00 1.329,00 1.569,00</x:v>
      </x:c>
      <x:c r="F923" s="24" t="str">
        <x:v>1.349,00 1.049,00 1.489,00 1.099,00 2.289,00 1.899,00 1.849,00 2.359,00 1.969,00 1.919,00</x:v>
      </x:c>
      <x:c r="G923" s="24" t="n">
        <x:v>1179</x:v>
      </x:c>
      <x:c r="H923" s="24" t="n">
        <x:v>46118</x:v>
      </x:c>
      <x:c r="I923" s="24" t="n">
        <x:v>46234</x:v>
      </x:c>
      <x:c r="J923" s="24" t="str">
        <x:v>EXPIRADA</x:v>
      </x:c>
    </x:row>
    <x:row r="924">
      <x:c r="A924" s="24" t="n">
        <x:v>13</x:v>
      </x:c>
      <x:c r="B924" s="24" t="str">
        <x:v>Lentes Kodak</x:v>
      </x:c>
      <x:c r="C924" s="24" t="n">
        <x:v>720</x:v>
      </x:c>
      <x:c r="D924" s="24" t="n">
        <x:v>356.6</x:v>
      </x:c>
      <x:c r="E924" s="24" t="str">
        <x:v>1.67 3.149,00 3.149,00 2.879,00 2.529,00 2.769,00</x:v>
      </x:c>
      <x:c r="F924" s="24" t="str">
        <x:v>1.919,00 1.569,00 1.179,00 1.129,00 2.509,00 2.119,00 2.069,00 2.579,00 2.189,00 2.139,00</x:v>
      </x:c>
      <x:c r="G924" s="24" t="n">
        <x:v>2379</x:v>
      </x:c>
      <x:c r="H924" s="24" t="n">
        <x:v>46118</x:v>
      </x:c>
      <x:c r="I924" s="24" t="n">
        <x:v>46234</x:v>
      </x:c>
      <x:c r="J924" s="24" t="str">
        <x:v>EXPIRADA</x:v>
      </x:c>
    </x:row>
    <x:row r="925">
      <x:c r="A925" s="24" t="n">
        <x:v>13</x:v>
      </x:c>
      <x:c r="B925" s="24" t="str">
        <x:v>Lentes Kodak</x:v>
      </x:c>
      <x:c r="C925" s="24" t="n">
        <x:v>596.8</x:v>
      </x:c>
      <x:c r="D925" s="24" t="n">
        <x:v>208.8</x:v>
      </x:c>
      <x:c r="E925" s="24" t="str">
        <x:v>1.50 1.729,00</x:v>
      </x:c>
      <x:c r="F925" s="24" t="str">
        <x:v>4.049,00 4.989,00 - CRIZAL CRIZAL CRIZAL ROCK PREVENCIA SAPPHIRE HR</x:v>
      </x:c>
      <x:c r="G925" s="24" t="n">
        <x:v>1729</x:v>
      </x:c>
      <x:c r="H925" s="24" t="n">
        <x:v>46118</x:v>
      </x:c>
      <x:c r="I925" s="24" t="n">
        <x:v>46234</x:v>
      </x:c>
      <x:c r="J925" s="24" t="str">
        <x:v>EXPIRADA</x:v>
      </x:c>
    </x:row>
    <x:row r="926">
      <x:c r="A926" s="24" t="n">
        <x:v>13</x:v>
      </x:c>
      <x:c r="B926" s="24" t="str">
        <x:v>Lentes Kodak</x:v>
      </x:c>
      <x:c r="C926" s="24" t="n">
        <x:v>720</x:v>
      </x:c>
      <x:c r="D926" s="24" t="n">
        <x:v>206.4</x:v>
      </x:c>
      <x:c r="E926" s="24" t="str">
        <x:v>1.67 3.149,00</x:v>
      </x:c>
      <x:c r="F926" s="24" t="str">
        <x:v>2.469,00 1.949,00 1.679,00 1.949,00 2.889,00 2.889,00 2.619,00 2.959,00 2.959,00 2.689,00</x:v>
      </x:c>
      <x:c r="G926" s="24" t="n">
        <x:v>3149</x:v>
      </x:c>
      <x:c r="H926" s="24" t="n">
        <x:v>46118</x:v>
      </x:c>
      <x:c r="I926" s="24" t="n">
        <x:v>46234</x:v>
      </x:c>
      <x:c r="J926" s="24" t="str">
        <x:v>EXPIRADA</x:v>
      </x:c>
    </x:row>
    <x:row r="927">
      <x:c r="A927" s="24" t="n">
        <x:v>13</x:v>
      </x:c>
      <x:c r="B927" s="24" t="str">
        <x:v>Lentes Kodak</x:v>
      </x:c>
      <x:c r="C927" s="24" t="n">
        <x:v>664.2</x:v>
      </x:c>
      <x:c r="D927" s="24" t="n">
        <x:v>207.6</x:v>
      </x:c>
      <x:c r="E927" s="24" t="str">
        <x:v>Poly 1.949,00</x:v>
      </x:c>
      <x:c r="F927" s="24" t="str">
        <x:v>1.459,00 1.869,00 1.869,00 1.599,00 2.669,00 2.669,00 2.399,00 2.739,00 2.739,00 2.469,00</x:v>
      </x:c>
      <x:c r="G927" s="24" t="n">
        <x:v>1949</x:v>
      </x:c>
      <x:c r="H927" s="24" t="n">
        <x:v>46118</x:v>
      </x:c>
      <x:c r="I927" s="24" t="n">
        <x:v>46234</x:v>
      </x:c>
      <x:c r="J927" s="24" t="str">
        <x:v>EXPIRADA</x:v>
      </x:c>
    </x:row>
    <x:row r="928">
      <x:c r="A928" s="24" t="n">
        <x:v>13</x:v>
      </x:c>
      <x:c r="B928" s="24" t="str">
        <x:v>Lentes Kodak</x:v>
      </x:c>
      <x:c r="C928" s="24" t="n">
        <x:v>611.8</x:v>
      </x:c>
      <x:c r="D928" s="24" t="n">
        <x:v>165.7</x:v>
      </x:c>
      <x:c r="E928" s="24"/>
      <x:c r="F928" s="24" t="str">
        <x:v>4.989,00 - +R$940 CRIZAL CRIZAL UHD** PREVENCIA SAPPHIRE 1.729,00 1.729,00</x:v>
      </x:c>
      <x:c r="G928" s="24" t="n">
        <x:v>1869</x:v>
      </x:c>
      <x:c r="H928" s="24" t="n">
        <x:v>46118</x:v>
      </x:c>
      <x:c r="I928" s="24" t="n">
        <x:v>46234</x:v>
      </x:c>
      <x:c r="J928" s="24" t="str">
        <x:v>EXPIRADA</x:v>
      </x:c>
    </x:row>
    <x:row r="929">
      <x:c r="A929" s="24" t="n">
        <x:v>13</x:v>
      </x:c>
      <x:c r="B929" s="24" t="str">
        <x:v>Lentes Kodak</x:v>
      </x:c>
      <x:c r="C929" s="24" t="n">
        <x:v>611.8</x:v>
      </x:c>
      <x:c r="D929" s="24" t="n">
        <x:v>244.5</x:v>
      </x:c>
      <x:c r="E929" s="24" t="str">
        <x:v>1.869,00 1.869,00</x:v>
      </x:c>
      <x:c r="F929" s="24" t="str">
        <x:v>CRIZAL CRIZAL ROCK SAPPHIRE HR EASY PRO 1.729,00 1.459,00 1.109,00</x:v>
      </x:c>
      <x:c r="G929" s="24" t="n">
        <x:v>1599</x:v>
      </x:c>
      <x:c r="H929" s="24" t="n">
        <x:v>46118</x:v>
      </x:c>
      <x:c r="I929" s="24" t="n">
        <x:v>46234</x:v>
      </x:c>
      <x:c r="J929" s="24" t="str">
        <x:v>EXPIRADA</x:v>
      </x:c>
    </x:row>
    <x:row r="930">
      <x:c r="A930" s="24" t="n">
        <x:v>13</x:v>
      </x:c>
      <x:c r="B930" s="24" t="str">
        <x:v>Lentes Kodak</x:v>
      </x:c>
      <x:c r="C930" s="24" t="n">
        <x:v>611.8</x:v>
      </x:c>
      <x:c r="D930" s="24" t="n">
        <x:v>281.4</x:v>
      </x:c>
      <x:c r="E930" s="24" t="str">
        <x:v>1.869,00 1.869,00 1.599,00</x:v>
      </x:c>
      <x:c r="F930" s="24" t="str">
        <x:v>- CRIZAL CRIZAL OPTIFOG ROCK EASY PRO 1.459,00 1.109,00 1.349,00</x:v>
      </x:c>
      <x:c r="G930" s="24" t="n">
        <x:v>1249</x:v>
      </x:c>
      <x:c r="H930" s="24" t="n">
        <x:v>46118</x:v>
      </x:c>
      <x:c r="I930" s="24" t="n">
        <x:v>46234</x:v>
      </x:c>
      <x:c r="J930" s="24" t="str">
        <x:v>EXPIRADA</x:v>
      </x:c>
    </x:row>
    <x:row r="931">
      <x:c r="A931" s="24" t="n">
        <x:v>13</x:v>
      </x:c>
      <x:c r="B931" s="24" t="str">
        <x:v>Lentes Kodak</x:v>
      </x:c>
      <x:c r="C931" s="24" t="n">
        <x:v>611.8</x:v>
      </x:c>
      <x:c r="D931" s="24" t="n">
        <x:v>318.1</x:v>
      </x:c>
      <x:c r="E931" s="24" t="str">
        <x:v>1.869,00 1.869,00 1.599,00 1.249,00</x:v>
      </x:c>
      <x:c r="F931" s="24" t="str">
        <x:v>- CRIZAL OPTIFOG NO REFLEX EASY PRO 959,00 1.109,00 1.349,00</x:v>
      </x:c>
      <x:c r="G931" s="24" t="n">
        <x:v>1489</x:v>
      </x:c>
      <x:c r="H931" s="24" t="n">
        <x:v>46118</x:v>
      </x:c>
      <x:c r="I931" s="24" t="n">
        <x:v>46234</x:v>
      </x:c>
      <x:c r="J931" s="24" t="str">
        <x:v>EXPIRADA</x:v>
      </x:c>
    </x:row>
    <x:row r="932">
      <x:c r="A932" s="24" t="n">
        <x:v>13</x:v>
      </x:c>
      <x:c r="B932" s="24" t="str">
        <x:v>Lentes Kodak</x:v>
      </x:c>
      <x:c r="C932" s="24" t="n">
        <x:v>611.8</x:v>
      </x:c>
      <x:c r="D932" s="24" t="n">
        <x:v>355.3</x:v>
      </x:c>
      <x:c r="E932" s="24" t="str">
        <x:v>1.869,00 1.869,00 1.599,00 1.249,00 1.489,00</x:v>
      </x:c>
      <x:c r="F932" s="24" t="str">
        <x:v>- TRIO OPTIFOG NO REFLEX EASY CLEAN 909,00 959,00 1.349,00</x:v>
      </x:c>
      <x:c r="G932" s="24" t="n">
        <x:v>1099</x:v>
      </x:c>
      <x:c r="H932" s="24" t="n">
        <x:v>46118</x:v>
      </x:c>
      <x:c r="I932" s="24" t="n">
        <x:v>46234</x:v>
      </x:c>
      <x:c r="J932" s="24" t="str">
        <x:v>EXPIRADA</x:v>
      </x:c>
    </x:row>
    <x:row r="933">
      <x:c r="A933" s="24" t="n">
        <x:v>13</x:v>
      </x:c>
      <x:c r="B933" s="24" t="str">
        <x:v>Lentes Kodak</x:v>
      </x:c>
      <x:c r="C933" s="24" t="n">
        <x:v>611.8</x:v>
      </x:c>
      <x:c r="D933" s="24" t="n">
        <x:v>429.7</x:v>
      </x:c>
      <x:c r="E933" s="24" t="str">
        <x:v>1.869,00 1.869,00 1.599,00 1.249,00 1.489,00 1.099,00 1.049,00</x:v>
      </x:c>
      <x:c r="F933" s="24" t="str">
        <x:v>O TRIO VERNIZ HC MARCAÇÃO CLEAN 909,00 709,00 U NW</x:v>
      </x:c>
      <x:c r="G933" s="24" t="n">
        <x:v>849</x:v>
      </x:c>
      <x:c r="H933" s="24" t="n">
        <x:v>46118</x:v>
      </x:c>
      <x:c r="I933" s="24" t="n">
        <x:v>46234</x:v>
      </x:c>
      <x:c r="J933" s="24" t="str">
        <x:v>EXPIRADA</x:v>
      </x:c>
    </x:row>
    <x:row r="934">
      <x:c r="A934" s="24" t="n">
        <x:v>13</x:v>
      </x:c>
      <x:c r="B934" s="24" t="str">
        <x:v>Lentes Kodak</x:v>
      </x:c>
      <x:c r="C934" s="24" t="n">
        <x:v>611.8</x:v>
      </x:c>
      <x:c r="D934" s="24" t="n">
        <x:v>207.6</x:v>
      </x:c>
      <x:c r="E934" s="24" t="str">
        <x:v>1.869,00</x:v>
      </x:c>
      <x:c r="F934" s="24" t="str">
        <x:v>CRIZAL CRIZAL CRIZAL ROCK PREVENCIA SAPPHIRE HR 1.729,00 1.729,00 1.459,00</x:v>
      </x:c>
      <x:c r="G934" s="24" t="n">
        <x:v>1869</x:v>
      </x:c>
      <x:c r="H934" s="24" t="n">
        <x:v>46118</x:v>
      </x:c>
      <x:c r="I934" s="24" t="n">
        <x:v>46234</x:v>
      </x:c>
      <x:c r="J934" s="24" t="str">
        <x:v>EXPIRADA</x:v>
      </x:c>
    </x:row>
    <x:row r="935">
      <x:c r="A935" s="24" t="n">
        <x:v>13</x:v>
      </x:c>
      <x:c r="B935" s="24" t="str">
        <x:v>Lentes Kodak</x:v>
      </x:c>
      <x:c r="C935" s="24" t="n">
        <x:v>679.7</x:v>
      </x:c>
      <x:c r="D935" s="24" t="n">
        <x:v>162.4</x:v>
      </x:c>
      <x:c r="E935" s="24" t="str">
        <x:v>Transitions Gen S</x:v>
      </x:c>
      <x:c r="F935" s="24" t="str">
        <x:v>1.869,00 +R$140 2.669,00 2.669,00 +R$940 2.739,00 2.739,00 +R$1.100 1.949,00 1.949,00</x:v>
      </x:c>
      <x:c r="G935" s="24" t="n">
        <x:v>2889</x:v>
      </x:c>
      <x:c r="H935" s="24" t="n">
        <x:v>46118</x:v>
      </x:c>
      <x:c r="I935" s="24" t="n">
        <x:v>46234</x:v>
      </x:c>
      <x:c r="J935" s="24" t="str">
        <x:v>EXPIRADA</x:v>
      </x:c>
    </x:row>
    <x:row r="936">
      <x:c r="A936" s="24" t="n">
        <x:v>13</x:v>
      </x:c>
      <x:c r="B936" s="24" t="str">
        <x:v>Lentes Kodak</x:v>
      </x:c>
      <x:c r="C936" s="24" t="n">
        <x:v>679.7</x:v>
      </x:c>
      <x:c r="D936" s="24" t="n">
        <x:v>246</x:v>
      </x:c>
      <x:c r="E936" s="24" t="str">
        <x:v>Transitions Gen S 2.889,00 2.889,00</x:v>
      </x:c>
      <x:c r="F936" s="24" t="str">
        <x:v>1.249,00 2.669,00 2.399,00 2.049,00 2.739,00 2.469,00 2.119,00 1.679,00 1.329,00 1.949,00</x:v>
      </x:c>
      <x:c r="G936" s="24" t="n">
        <x:v>2619</x:v>
      </x:c>
      <x:c r="H936" s="24" t="n">
        <x:v>46118</x:v>
      </x:c>
      <x:c r="I936" s="24" t="n">
        <x:v>46234</x:v>
      </x:c>
      <x:c r="J936" s="24" t="str">
        <x:v>EXPIRADA</x:v>
      </x:c>
    </x:row>
    <x:row r="937">
      <x:c r="A937" s="24" t="n">
        <x:v>13</x:v>
      </x:c>
      <x:c r="B937" s="24" t="str">
        <x:v>Lentes Kodak</x:v>
      </x:c>
      <x:c r="C937" s="24" t="n">
        <x:v>679.7</x:v>
      </x:c>
      <x:c r="D937" s="24" t="n">
        <x:v>282.6</x:v>
      </x:c>
      <x:c r="E937" s="24" t="str">
        <x:v>Transitions Gen S 2.889,00 2.889,00 2.619,00</x:v>
      </x:c>
      <x:c r="F937" s="24" t="str">
        <x:v>1.489,00 2.399,00 2.049,00 2.289,00 2.469,00 2.119,00 2.359,00 1.679,00 1.329,00 1.569,00</x:v>
      </x:c>
      <x:c r="G937" s="24" t="n">
        <x:v>2269</x:v>
      </x:c>
      <x:c r="H937" s="24" t="n">
        <x:v>46118</x:v>
      </x:c>
      <x:c r="I937" s="24" t="n">
        <x:v>46234</x:v>
      </x:c>
      <x:c r="J937" s="24" t="str">
        <x:v>EXPIRADA</x:v>
      </x:c>
    </x:row>
    <x:row r="938">
      <x:c r="A938" s="24" t="n">
        <x:v>13</x:v>
      </x:c>
      <x:c r="B938" s="24" t="str">
        <x:v>Lentes Kodak</x:v>
      </x:c>
      <x:c r="C938" s="24" t="n">
        <x:v>679.7</x:v>
      </x:c>
      <x:c r="D938" s="24" t="n">
        <x:v>317.8</x:v>
      </x:c>
      <x:c r="E938" s="24" t="str">
        <x:v>Transitions Gen S 2.889,00 2.889,00 2.619,00 2.269,00</x:v>
      </x:c>
      <x:c r="F938" s="24" t="str">
        <x:v>1.099,00 2.049,00 2.289,00 1.899,00 2.119,00 2.359,00 1.969,00 1.329,00 1.569,00 1.179,00</x:v>
      </x:c>
      <x:c r="G938" s="24" t="n">
        <x:v>2509</x:v>
      </x:c>
      <x:c r="H938" s="24" t="n">
        <x:v>46118</x:v>
      </x:c>
      <x:c r="I938" s="24" t="n">
        <x:v>46234</x:v>
      </x:c>
      <x:c r="J938" s="24" t="str">
        <x:v>EXPIRADA</x:v>
      </x:c>
    </x:row>
    <x:row r="939">
      <x:c r="A939" s="24" t="n">
        <x:v>13</x:v>
      </x:c>
      <x:c r="B939" s="24" t="str">
        <x:v>Lentes Kodak</x:v>
      </x:c>
      <x:c r="C939" s="24" t="n">
        <x:v>679.7</x:v>
      </x:c>
      <x:c r="D939" s="24" t="n">
        <x:v>358.3</x:v>
      </x:c>
      <x:c r="E939" s="24" t="str">
        <x:v>Transitions Gen S 2.889,00 2.889,00 2.619,00 2.269,00 2.509,00</x:v>
      </x:c>
      <x:c r="F939" s="24" t="str">
        <x:v>1.099,00 2.289,00 1.899,00 1.849,00 2.359,00 1.969,00 1.919,00 1.569,00 1.179,00 1.129,00</x:v>
      </x:c>
      <x:c r="G939" s="24" t="n">
        <x:v>2119</x:v>
      </x:c>
      <x:c r="H939" s="24" t="n">
        <x:v>46118</x:v>
      </x:c>
      <x:c r="I939" s="24" t="n">
        <x:v>46234</x:v>
      </x:c>
      <x:c r="J939" s="24" t="str">
        <x:v>EXPIRADA</x:v>
      </x:c>
    </x:row>
    <x:row r="940">
      <x:c r="A940" s="24" t="n">
        <x:v>13</x:v>
      </x:c>
      <x:c r="B940" s="24" t="str">
        <x:v>Lentes Kodak</x:v>
      </x:c>
      <x:c r="C940" s="24" t="n">
        <x:v>596.8</x:v>
      </x:c>
      <x:c r="D940" s="24" t="n">
        <x:v>393.4</x:v>
      </x:c>
      <x:c r="E940" s="24" t="str">
        <x:v>1.50 1.729,00 1.729,00 1.459,00 1.109,00 1.349,00 959,00</x:v>
      </x:c>
      <x:c r="F940" s="24" t="str">
        <x:v>- - - - TRIO VERNIZ HC REFLEX EASY CLEAN</x:v>
      </x:c>
      <x:c r="G940" s="24" t="n">
        <x:v>909</x:v>
      </x:c>
      <x:c r="H940" s="24" t="n">
        <x:v>46118</x:v>
      </x:c>
      <x:c r="I940" s="24" t="n">
        <x:v>46234</x:v>
      </x:c>
      <x:c r="J940" s="24" t="str">
        <x:v>EXPIRADA</x:v>
      </x:c>
    </x:row>
    <x:row r="941">
      <x:c r="A941" s="24" t="n">
        <x:v>13</x:v>
      </x:c>
      <x:c r="B941" s="24" t="str">
        <x:v>Lentes Kodak</x:v>
      </x:c>
      <x:c r="C941" s="24" t="n">
        <x:v>664.2</x:v>
      </x:c>
      <x:c r="D941" s="24" t="n">
        <x:v>393.4</x:v>
      </x:c>
      <x:c r="E941" s="24" t="str">
        <x:v>Poly 1.949,00 1.949,00 1.679,00 1.329,00 1.569,00 1.179,00</x:v>
      </x:c>
      <x:c r="F941" s="24" t="str">
        <x:v>709,00 1.049,00 1.099,00 849,00 1.899,00 1.849,00 1.649,00 1.969,00 1.919,00 1.719,00</x:v>
      </x:c>
      <x:c r="G941" s="24" t="n">
        <x:v>1129</x:v>
      </x:c>
      <x:c r="H941" s="24" t="n">
        <x:v>46118</x:v>
      </x:c>
      <x:c r="I941" s="24" t="n">
        <x:v>46234</x:v>
      </x:c>
      <x:c r="J941" s="24" t="str">
        <x:v>EXPIRADA</x:v>
      </x:c>
    </x:row>
    <x:row r="942">
      <x:c r="A942" s="24" t="n">
        <x:v>13</x:v>
      </x:c>
      <x:c r="B942" s="24" t="str">
        <x:v>Lentes Kodak</x:v>
      </x:c>
      <x:c r="C942" s="24" t="n">
        <x:v>720</x:v>
      </x:c>
      <x:c r="D942" s="24" t="n">
        <x:v>391</x:v>
      </x:c>
      <x:c r="E942" s="24" t="str">
        <x:v>1.67 3.149,00 3.149,00 2.879,00 2.529,00 2.769,00 2.379,00</x:v>
      </x:c>
      <x:c r="F942" s="24" t="str">
        <x:v>1.719,00 1.179,00 1.129,00 929,00 2.119,00 2.069,00 1.869,00 2.189,00 2.139,00 1.939,00</x:v>
      </x:c>
      <x:c r="G942" s="24" t="n">
        <x:v>2329</x:v>
      </x:c>
      <x:c r="H942" s="24" t="n">
        <x:v>46118</x:v>
      </x:c>
      <x:c r="I942" s="24" t="n">
        <x:v>46234</x:v>
      </x:c>
      <x:c r="J942" s="24" t="str">
        <x:v>EXPIRADA</x:v>
      </x:c>
    </x:row>
    <x:row r="943">
      <x:c r="A943" s="24" t="n">
        <x:v>13</x:v>
      </x:c>
      <x:c r="B943" s="24" t="str">
        <x:v>Lentes Kodak</x:v>
      </x:c>
      <x:c r="C943" s="24" t="n">
        <x:v>694.7</x:v>
      </x:c>
      <x:c r="D943" s="24" t="n">
        <x:v>162.1</x:v>
      </x:c>
      <x:c r="E943" s="24" t="str">
        <x:v>Transitions Extractive</x:v>
      </x:c>
      <x:c r="F943" s="24" t="str">
        <x:v>2.669,00 +R$940 2.739,00 2.739,00 +R$1.100 1.949,00 1.949,00 2.889,00 2.889,00 +R$940</x:v>
      </x:c>
      <x:c r="G943" s="24" t="n">
        <x:v>2959</x:v>
      </x:c>
      <x:c r="H943" s="24" t="n">
        <x:v>46118</x:v>
      </x:c>
      <x:c r="I943" s="24" t="n">
        <x:v>46234</x:v>
      </x:c>
      <x:c r="J943" s="24" t="str">
        <x:v>EXPIRADA</x:v>
      </x:c>
    </x:row>
    <x:row r="944">
      <x:c r="A944" s="24" t="n">
        <x:v>13</x:v>
      </x:c>
      <x:c r="B944" s="24" t="str">
        <x:v>Lentes Kodak</x:v>
      </x:c>
      <x:c r="C944" s="24" t="n">
        <x:v>694.7</x:v>
      </x:c>
      <x:c r="D944" s="24" t="n">
        <x:v>245.6</x:v>
      </x:c>
      <x:c r="E944" s="24" t="str">
        <x:v>Transitions Extractive 2.959,00 2.959,00</x:v>
      </x:c>
      <x:c r="F944" s="24" t="str">
        <x:v>2.049,00 2.739,00 2.469,00 2.119,00 1.679,00 1.329,00 1.949,00 2.889,00 2.619,00 2.269,00</x:v>
      </x:c>
      <x:c r="G944" s="24" t="n">
        <x:v>2689</x:v>
      </x:c>
      <x:c r="H944" s="24" t="n">
        <x:v>46118</x:v>
      </x:c>
      <x:c r="I944" s="24" t="n">
        <x:v>46234</x:v>
      </x:c>
      <x:c r="J944" s="24" t="str">
        <x:v>EXPIRADA</x:v>
      </x:c>
    </x:row>
    <x:row r="945">
      <x:c r="A945" s="24" t="n">
        <x:v>13</x:v>
      </x:c>
      <x:c r="B945" s="24" t="str">
        <x:v>Lentes Kodak</x:v>
      </x:c>
      <x:c r="C945" s="24" t="n">
        <x:v>694.7</x:v>
      </x:c>
      <x:c r="D945" s="24" t="n">
        <x:v>281.3</x:v>
      </x:c>
      <x:c r="E945" s="24" t="str">
        <x:v>Transitions Extractive 2.959,00 2.959,00 2.689,00</x:v>
      </x:c>
      <x:c r="F945" s="24" t="str">
        <x:v>2.289,00 2.469,00 2.119,00 2.359,00 1.679,00 1.329,00 1.569,00 2.619,00 2.269,00 2.509,00</x:v>
      </x:c>
      <x:c r="G945" s="24" t="n">
        <x:v>2339</x:v>
      </x:c>
      <x:c r="H945" s="24" t="n">
        <x:v>46118</x:v>
      </x:c>
      <x:c r="I945" s="24" t="n">
        <x:v>46234</x:v>
      </x:c>
      <x:c r="J945" s="24" t="str">
        <x:v>EXPIRADA</x:v>
      </x:c>
    </x:row>
    <x:row r="946">
      <x:c r="A946" s="24" t="n">
        <x:v>13</x:v>
      </x:c>
      <x:c r="B946" s="24" t="str">
        <x:v>Lentes Kodak</x:v>
      </x:c>
      <x:c r="C946" s="24" t="n">
        <x:v>694.7</x:v>
      </x:c>
      <x:c r="D946" s="24" t="n">
        <x:v>318.4</x:v>
      </x:c>
      <x:c r="E946" s="24" t="str">
        <x:v>Transitions Extractive 2.959,00 2.959,00 2.689,00 2.339,00</x:v>
      </x:c>
      <x:c r="F946" s="24" t="str">
        <x:v>1.899,00 2.119,00 2.359,00 1.969,00 1.329,00 1.569,00 1.179,00 2.269,00 2.509,00 2.119,00</x:v>
      </x:c>
      <x:c r="G946" s="24" t="n">
        <x:v>2579</x:v>
      </x:c>
      <x:c r="H946" s="24" t="n">
        <x:v>46118</x:v>
      </x:c>
      <x:c r="I946" s="24" t="n">
        <x:v>46234</x:v>
      </x:c>
      <x:c r="J946" s="24" t="str">
        <x:v>EXPIRADA</x:v>
      </x:c>
    </x:row>
    <x:row r="947">
      <x:c r="A947" s="24" t="n">
        <x:v>13</x:v>
      </x:c>
      <x:c r="B947" s="24" t="str">
        <x:v>Lentes Kodak</x:v>
      </x:c>
      <x:c r="C947" s="24" t="n">
        <x:v>694.7</x:v>
      </x:c>
      <x:c r="D947" s="24" t="n">
        <x:v>356.6</x:v>
      </x:c>
      <x:c r="E947" s="24" t="str">
        <x:v>Transitions Extractive 2.959,00 2.959,00 2.689,00 2.339,00 2.579,00</x:v>
      </x:c>
      <x:c r="F947" s="24" t="str">
        <x:v>1.849,00 2.359,00 1.969,00 1.919,00 1.569,00 1.179,00 1.129,00 2.509,00 2.119,00 2.069,00</x:v>
      </x:c>
      <x:c r="G947" s="24" t="n">
        <x:v>2189</x:v>
      </x:c>
      <x:c r="H947" s="24" t="n">
        <x:v>46118</x:v>
      </x:c>
      <x:c r="I947" s="24" t="n">
        <x:v>46234</x:v>
      </x:c>
      <x:c r="J947" s="24" t="str">
        <x:v>EXPIRADA</x:v>
      </x:c>
    </x:row>
    <x:row r="948">
      <x:c r="A948" s="24" t="n">
        <x:v>13</x:v>
      </x:c>
      <x:c r="B948" s="24" t="str">
        <x:v>Lentes Kodak</x:v>
      </x:c>
      <x:c r="C948" s="24" t="n">
        <x:v>694.7</x:v>
      </x:c>
      <x:c r="D948" s="24" t="n">
        <x:v>205.4</x:v>
      </x:c>
      <x:c r="E948" s="24" t="str">
        <x:v>Transitions Extractive 2.959,00</x:v>
      </x:c>
      <x:c r="F948" s="24" t="str">
        <x:v>2.399,00 2.739,00 2.739,00 2.469,00 1.949,00 1.679,00 1.949,00 2.889,00 2.889,00 2.619,00</x:v>
      </x:c>
      <x:c r="G948" s="24" t="n">
        <x:v>2959</x:v>
      </x:c>
      <x:c r="H948" s="24" t="n">
        <x:v>46118</x:v>
      </x:c>
      <x:c r="I948" s="24" t="n">
        <x:v>46234</x:v>
      </x:c>
      <x:c r="J948" s="24" t="str">
        <x:v>EXPIRADA</x:v>
      </x:c>
    </x:row>
    <x:row r="949">
      <x:c r="A949" s="24" t="n">
        <x:v>13</x:v>
      </x:c>
      <x:c r="B949" s="24" t="str">
        <x:v>Lentes Kodak</x:v>
      </x:c>
      <x:c r="C949" s="24" t="n">
        <x:v>694.7</x:v>
      </x:c>
      <x:c r="D949" s="24" t="n">
        <x:v>392</x:v>
      </x:c>
      <x:c r="E949" s="24" t="str">
        <x:v>Transitions Extractive 2.959,00 2.959,00 2.689,00 2.339,00 2.579,00 2.189,00</x:v>
      </x:c>
      <x:c r="F949" s="24" t="str">
        <x:v>1.649,00 1.969,00 1.919,00 1.719,00 1.179,00 1.129,00 929,00 2.119,00 2.069,00 1.869,00</x:v>
      </x:c>
      <x:c r="G949" s="24" t="n">
        <x:v>2139</x:v>
      </x:c>
      <x:c r="H949" s="24" t="n">
        <x:v>46118</x:v>
      </x:c>
      <x:c r="I949" s="24" t="n">
        <x:v>46234</x:v>
      </x:c>
      <x:c r="J949" s="24" t="str">
        <x:v>EXPIRADA</x:v>
      </x:c>
    </x:row>
    <x:row r="950">
      <x:c r="A950" s="24" t="n">
        <x:v>13</x:v>
      </x:c>
      <x:c r="B950" s="24" t="str">
        <x:v>Lentes Kodak</x:v>
      </x:c>
      <x:c r="C950" s="24" t="n">
        <x:v>611.8</x:v>
      </x:c>
      <x:c r="D950" s="24" t="n">
        <x:v>391.7</x:v>
      </x:c>
      <x:c r="E950" s="24" t="str">
        <x:v>1.869,00 1.869,00 1.599,00 1.249,00 1.489,00 1.099,00</x:v>
      </x:c>
      <x:c r="F950" s="24" t="str">
        <x:v>- TRIO VERNIZ HC REFLEX EASY CLEAN 909,00 959,00 709,00</x:v>
      </x:c>
      <x:c r="G950" s="24" t="n">
        <x:v>1049</x:v>
      </x:c>
      <x:c r="H950" s="24" t="n">
        <x:v>46118</x:v>
      </x:c>
      <x:c r="I950" s="24" t="n">
        <x:v>46234</x:v>
      </x:c>
      <x:c r="J950" s="24" t="str">
        <x:v>EXPIRADA</x:v>
      </x:c>
    </x:row>
    <x:row r="951">
      <x:c r="A951" s="24" t="n">
        <x:v>13</x:v>
      </x:c>
      <x:c r="B951" s="24" t="str">
        <x:v>Lentes Kodak</x:v>
      </x:c>
      <x:c r="C951" s="24" t="n">
        <x:v>679.7</x:v>
      </x:c>
      <x:c r="D951" s="24" t="n">
        <x:v>390.6</x:v>
      </x:c>
      <x:c r="E951" s="24" t="str">
        <x:v>Transitions Gen S 2.889,00 2.889,00 2.619,00 2.269,00 2.509,00 2.119,00</x:v>
      </x:c>
      <x:c r="F951" s="24" t="str">
        <x:v>849,00 1.899,00 1.849,00 1.649,00 1.969,00 1.919,00 1.719,00 1.179,00 1.129,00 929,00</x:v>
      </x:c>
      <x:c r="G951" s="24" t="n">
        <x:v>2069</x:v>
      </x:c>
      <x:c r="H951" s="24" t="n">
        <x:v>46118</x:v>
      </x:c>
      <x:c r="I951" s="24" t="n">
        <x:v>46234</x:v>
      </x:c>
      <x:c r="J951" s="24" t="str">
        <x:v>EXPIRADA</x:v>
      </x:c>
    </x:row>
    <x:row r="952">
      <x:c r="A952" s="24" t="n">
        <x:v>13</x:v>
      </x:c>
      <x:c r="B952" s="24" t="str">
        <x:v>Lentes Kodak</x:v>
      </x:c>
      <x:c r="C952" s="24" t="n">
        <x:v>679.7</x:v>
      </x:c>
      <x:c r="D952" s="24" t="n">
        <x:v>428.5</x:v>
      </x:c>
      <x:c r="E952" s="24" t="str">
        <x:v>Transitions Gen S 2.889,00 2.889,00 2.619,00 2.269,00 2.509,00 2.119,00 2.069,00</x:v>
      </x:c>
      <x:c r="F952" s="24" t="str">
        <x:v>U NW 1.919,00 1.719,00 U NW 1.129,00 929,00 U NW</x:v>
      </x:c>
      <x:c r="G952" s="24" t="n">
        <x:v>1869</x:v>
      </x:c>
      <x:c r="H952" s="24" t="n">
        <x:v>46118</x:v>
      </x:c>
      <x:c r="I952" s="24" t="n">
        <x:v>46234</x:v>
      </x:c>
      <x:c r="J952" s="24" t="str">
        <x:v>EXPIRADA</x:v>
      </x:c>
    </x:row>
    <x:row r="953">
      <x:c r="A953" s="24" t="n">
        <x:v>13</x:v>
      </x:c>
      <x:c r="B953" s="24" t="str">
        <x:v>Lentes Kodak</x:v>
      </x:c>
      <x:c r="C953" s="24" t="n">
        <x:v>679.7</x:v>
      </x:c>
      <x:c r="D953" s="24" t="n">
        <x:v>206.8</x:v>
      </x:c>
      <x:c r="E953" s="24" t="str">
        <x:v>Transitions Gen S 2.889,00</x:v>
      </x:c>
      <x:c r="F953" s="24" t="str">
        <x:v>1.599,00 2.669,00 2.669,00 2.399,00 2.739,00 2.739,00 2.469,00 1.949,00 1.679,00 1.949,00</x:v>
      </x:c>
      <x:c r="G953" s="24" t="n">
        <x:v>2889</x:v>
      </x:c>
      <x:c r="H953" s="24" t="n">
        <x:v>46118</x:v>
      </x:c>
      <x:c r="I953" s="24" t="n">
        <x:v>46234</x:v>
      </x:c>
      <x:c r="J953" s="24" t="str">
        <x:v>EXPIRADA</x:v>
      </x:c>
    </x:row>
    <x:row r="954">
      <x:c r="A954" s="24" t="n">
        <x:v>13</x:v>
      </x:c>
      <x:c r="B954" s="24" t="str">
        <x:v>Lentes Kodak</x:v>
      </x:c>
      <x:c r="C954" s="24" t="n">
        <x:v>625.3</x:v>
      </x:c>
      <x:c r="D954" s="24" t="n">
        <x:v>163.7</x:v>
      </x:c>
      <x:c r="E954" s="24" t="str">
        <x:v>+ Transitions Gen S</x:v>
      </x:c>
      <x:c r="F954" s="24" t="str">
        <x:v>CRIZAL CRIZAL UHD** PREVENCIA SAPPHIRE 1.729,00 1.729,00 1.869,00 1.869,00 +R$140</x:v>
      </x:c>
      <x:c r="G954" s="24" t="n">
        <x:v>2669</x:v>
      </x:c>
      <x:c r="H954" s="24" t="n">
        <x:v>46118</x:v>
      </x:c>
      <x:c r="I954" s="24" t="n">
        <x:v>46234</x:v>
      </x:c>
      <x:c r="J954" s="24" t="str">
        <x:v>EXPIRADA</x:v>
      </x:c>
    </x:row>
    <x:row r="955">
      <x:c r="A955" s="24" t="n">
        <x:v>13</x:v>
      </x:c>
      <x:c r="B955" s="24" t="str">
        <x:v>Lentes Kodak</x:v>
      </x:c>
      <x:c r="C955" s="24" t="n">
        <x:v>625.3</x:v>
      </x:c>
      <x:c r="D955" s="24" t="n">
        <x:v>245.8</x:v>
      </x:c>
      <x:c r="E955" s="24" t="str">
        <x:v>+ Transitions Gen S 2.669,00 2.669,00</x:v>
      </x:c>
      <x:c r="F955" s="24" t="str">
        <x:v>SAPPHIRE HR EASY PRO 1.729,00 1.459,00 1.109,00 1.869,00 1.599,00 1.249,00</x:v>
      </x:c>
      <x:c r="G955" s="24" t="n">
        <x:v>2399</x:v>
      </x:c>
      <x:c r="H955" s="24" t="n">
        <x:v>46118</x:v>
      </x:c>
      <x:c r="I955" s="24" t="n">
        <x:v>46234</x:v>
      </x:c>
      <x:c r="J955" s="24" t="str">
        <x:v>EXPIRADA</x:v>
      </x:c>
    </x:row>
    <x:row r="956">
      <x:c r="A956" s="24" t="n">
        <x:v>13</x:v>
      </x:c>
      <x:c r="B956" s="24" t="str">
        <x:v>Lentes Kodak</x:v>
      </x:c>
      <x:c r="C956" s="24" t="n">
        <x:v>625.3</x:v>
      </x:c>
      <x:c r="D956" s="24" t="n">
        <x:v>280.9</x:v>
      </x:c>
      <x:c r="E956" s="24" t="str">
        <x:v>+ Transitions Gen S 2.669,00 2.669,00 2.399,00</x:v>
      </x:c>
      <x:c r="F956" s="24" t="str">
        <x:v>OPTIFOG ROCK EASY PRO 1.459,00 1.109,00 1.349,00 1.599,00 1.249,00 1.489,00</x:v>
      </x:c>
      <x:c r="G956" s="24" t="n">
        <x:v>2049</x:v>
      </x:c>
      <x:c r="H956" s="24" t="n">
        <x:v>46118</x:v>
      </x:c>
      <x:c r="I956" s="24" t="n">
        <x:v>46234</x:v>
      </x:c>
      <x:c r="J956" s="24" t="str">
        <x:v>EXPIRADA</x:v>
      </x:c>
    </x:row>
    <x:row r="957">
      <x:c r="A957" s="24" t="n">
        <x:v>13</x:v>
      </x:c>
      <x:c r="B957" s="24" t="str">
        <x:v>Lentes Kodak</x:v>
      </x:c>
      <x:c r="C957" s="24" t="n">
        <x:v>625.3</x:v>
      </x:c>
      <x:c r="D957" s="24" t="n">
        <x:v>317.9</x:v>
      </x:c>
      <x:c r="E957" s="24" t="str">
        <x:v>+ Transitions Gen S 2.669,00 2.669,00 2.399,00 2.049,00</x:v>
      </x:c>
      <x:c r="F957" s="24" t="str">
        <x:v>NO REFLEX EASY PRO 959,00 1.109,00 1.349,00 1.249,00 1.489,00 1.099,00</x:v>
      </x:c>
      <x:c r="G957" s="24" t="n">
        <x:v>2289</x:v>
      </x:c>
      <x:c r="H957" s="24" t="n">
        <x:v>46118</x:v>
      </x:c>
      <x:c r="I957" s="24" t="n">
        <x:v>46234</x:v>
      </x:c>
      <x:c r="J957" s="24" t="str">
        <x:v>EXPIRADA</x:v>
      </x:c>
    </x:row>
    <x:row r="958">
      <x:c r="A958" s="24" t="n">
        <x:v>13</x:v>
      </x:c>
      <x:c r="B958" s="24" t="str">
        <x:v>Lentes Kodak</x:v>
      </x:c>
      <x:c r="C958" s="24" t="n">
        <x:v>625.3</x:v>
      </x:c>
      <x:c r="D958" s="24" t="n">
        <x:v>356.2</x:v>
      </x:c>
      <x:c r="E958" s="24" t="str">
        <x:v>+ Transitions Gen S 2.669,00 2.669,00 2.399,00 2.049,00 2.289,00</x:v>
      </x:c>
      <x:c r="F958" s="24" t="str">
        <x:v>NO REFLEX EASY CLEAN 909,00 959,00 1.349,00 1.049,00 1.489,00 1.099,00</x:v>
      </x:c>
      <x:c r="G958" s="24" t="n">
        <x:v>1899</x:v>
      </x:c>
      <x:c r="H958" s="24" t="n">
        <x:v>46118</x:v>
      </x:c>
      <x:c r="I958" s="24" t="n">
        <x:v>46234</x:v>
      </x:c>
      <x:c r="J958" s="24" t="str">
        <x:v>EXPIRADA</x:v>
      </x:c>
    </x:row>
    <x:row r="959">
      <x:c r="A959" s="24" t="n">
        <x:v>13</x:v>
      </x:c>
      <x:c r="B959" s="24" t="str">
        <x:v>Lentes Kodak</x:v>
      </x:c>
      <x:c r="C959" s="24" t="n">
        <x:v>625.3</x:v>
      </x:c>
      <x:c r="D959" s="24" t="n">
        <x:v>427.6</x:v>
      </x:c>
      <x:c r="E959" s="24" t="str">
        <x:v>+ Transitions Gen S 2.669,00 2.669,00 2.399,00 2.049,00 2.289,00 1.899,00 1.849,00</x:v>
      </x:c>
      <x:c r="F959" s="24" t="str">
        <x:v>MARCAÇÃO CLEAN 909,00 709,00 U NW 1.049,00 849,00 U NW</x:v>
      </x:c>
      <x:c r="G959" s="24" t="n">
        <x:v>1649</x:v>
      </x:c>
      <x:c r="H959" s="24" t="n">
        <x:v>46118</x:v>
      </x:c>
      <x:c r="I959" s="24" t="n">
        <x:v>46234</x:v>
      </x:c>
      <x:c r="J959" s="24" t="str">
        <x:v>EXPIRADA</x:v>
      </x:c>
    </x:row>
    <x:row r="960">
      <x:c r="A960" s="24" t="n">
        <x:v>13</x:v>
      </x:c>
      <x:c r="B960" s="24" t="str">
        <x:v>Lentes Kodak</x:v>
      </x:c>
      <x:c r="C960" s="24" t="n">
        <x:v>625.3</x:v>
      </x:c>
      <x:c r="D960" s="24" t="n">
        <x:v>206.6</x:v>
      </x:c>
      <x:c r="E960" s="24" t="str">
        <x:v>+ Transitions Gen S 2.669,00</x:v>
      </x:c>
      <x:c r="F960" s="24" t="str">
        <x:v>ROCK PREVENCIA SAPPHIRE HR 1.729,00 1.729,00 1.459,00 1.869,00 1.869,00 1.599,00</x:v>
      </x:c>
      <x:c r="G960" s="24" t="n">
        <x:v>2669</x:v>
      </x:c>
      <x:c r="H960" s="24" t="n">
        <x:v>46118</x:v>
      </x:c>
      <x:c r="I960" s="24" t="n">
        <x:v>46234</x:v>
      </x:c>
      <x:c r="J960" s="24" t="str">
        <x:v>EXPIRADA</x:v>
      </x:c>
    </x:row>
    <x:row r="961">
      <x:c r="A961" s="24" t="n">
        <x:v>13</x:v>
      </x:c>
      <x:c r="B961" s="24" t="str">
        <x:v>Lentes Kodak</x:v>
      </x:c>
      <x:c r="C961" s="24" t="n">
        <x:v>625.3</x:v>
      </x:c>
      <x:c r="D961" s="24" t="n">
        <x:v>390.7</x:v>
      </x:c>
      <x:c r="E961" s="24" t="str">
        <x:v>+ Transitions Gen S 2.669,00 2.669,00 2.399,00 2.049,00 2.289,00 1.899,00</x:v>
      </x:c>
      <x:c r="F961" s="24" t="str">
        <x:v>HC REFLEX EASY CLEAN 909,00 959,00 709,00 1.049,00 1.099,00 849,00</x:v>
      </x:c>
      <x:c r="G961" s="24" t="n">
        <x:v>1849</x:v>
      </x:c>
      <x:c r="H961" s="24" t="n">
        <x:v>46118</x:v>
      </x:c>
      <x:c r="I961" s="24" t="n">
        <x:v>46234</x:v>
      </x:c>
      <x:c r="J961" s="24" t="str">
        <x:v>EXPIRADA</x:v>
      </x:c>
    </x:row>
    <x:row r="962">
      <x:c r="A962" s="24" t="n">
        <x:v>13</x:v>
      </x:c>
      <x:c r="B962" s="24" t="str">
        <x:v>Lentes Kodak</x:v>
      </x:c>
      <x:c r="C962" s="24" t="n">
        <x:v>733.5</x:v>
      </x:c>
      <x:c r="D962" s="24" t="n">
        <x:v>161.7</x:v>
      </x:c>
      <x:c r="E962" s="24" t="str">
        <x:v>Transitions Gen S</x:v>
      </x:c>
      <x:c r="F962" s="24" t="str">
        <x:v>+R$1.100 1.949,00 2.889,00 2.889,00 +R$940 2.959,00 2.959,00 +R$1.100 3.149,00 3.149,00</x:v>
      </x:c>
      <x:c r="G962" s="24" t="n">
        <x:v>4089</x:v>
      </x:c>
      <x:c r="H962" s="24" t="n">
        <x:v>46118</x:v>
      </x:c>
      <x:c r="I962" s="24" t="n">
        <x:v>46234</x:v>
      </x:c>
      <x:c r="J962" s="24" t="str">
        <x:v>EXPIRADA</x:v>
      </x:c>
    </x:row>
    <x:row r="963">
      <x:c r="A963" s="24" t="n">
        <x:v>13</x:v>
      </x:c>
      <x:c r="B963" s="24" t="str">
        <x:v>Lentes Kodak</x:v>
      </x:c>
      <x:c r="C963" s="24" t="n">
        <x:v>733.5</x:v>
      </x:c>
      <x:c r="D963" s="24" t="n">
        <x:v>245.7</x:v>
      </x:c>
      <x:c r="E963" s="24" t="str">
        <x:v>Transitions Gen S 4.089,00 4.089,00</x:v>
      </x:c>
      <x:c r="F963" s="24" t="str">
        <x:v>1.949,00 2.889,00 2.619,00 2.269,00 2.959,00 2.689,00 2.339,00 3.149,00 2.879,00 2.529,00</x:v>
      </x:c>
      <x:c r="G963" s="24" t="n">
        <x:v>3819</x:v>
      </x:c>
      <x:c r="H963" s="24" t="n">
        <x:v>46118</x:v>
      </x:c>
      <x:c r="I963" s="24" t="n">
        <x:v>46234</x:v>
      </x:c>
      <x:c r="J963" s="24" t="str">
        <x:v>EXPIRADA</x:v>
      </x:c>
    </x:row>
    <x:row r="964">
      <x:c r="A964" s="24" t="n">
        <x:v>13</x:v>
      </x:c>
      <x:c r="B964" s="24" t="str">
        <x:v>Lentes Kodak</x:v>
      </x:c>
      <x:c r="C964" s="24" t="n">
        <x:v>733.5</x:v>
      </x:c>
      <x:c r="D964" s="24" t="n">
        <x:v>281.7</x:v>
      </x:c>
      <x:c r="E964" s="24" t="str">
        <x:v>Transitions Gen S 4.089,00 4.089,00 3.819,00</x:v>
      </x:c>
      <x:c r="F964" s="24" t="str">
        <x:v>1.569,00 2.619,00 2.269,00 2.509,00 2.689,00 2.339,00 2.579,00 2.879,00 2.529,00 2.769,00</x:v>
      </x:c>
      <x:c r="G964" s="24" t="n">
        <x:v>3469</x:v>
      </x:c>
      <x:c r="H964" s="24" t="n">
        <x:v>46118</x:v>
      </x:c>
      <x:c r="I964" s="24" t="n">
        <x:v>46234</x:v>
      </x:c>
      <x:c r="J964" s="24" t="str">
        <x:v>EXPIRADA</x:v>
      </x:c>
    </x:row>
    <x:row r="965">
      <x:c r="A965" s="24" t="n">
        <x:v>13</x:v>
      </x:c>
      <x:c r="B965" s="24" t="str">
        <x:v>Lentes Kodak</x:v>
      </x:c>
      <x:c r="C965" s="24" t="n">
        <x:v>733.5</x:v>
      </x:c>
      <x:c r="D965" s="24" t="n">
        <x:v>318.2</x:v>
      </x:c>
      <x:c r="E965" s="24" t="str">
        <x:v>Transitions Gen S 4.089,00 4.089,00 3.819,00 3.469,00</x:v>
      </x:c>
      <x:c r="F965" s="24" t="str">
        <x:v>1.179,00 2.269,00 2.509,00 2.119,00 2.339,00 2.579,00 2.189,00 2.529,00 2.769,00 2.379,00</x:v>
      </x:c>
      <x:c r="G965" s="24" t="n">
        <x:v>3709</x:v>
      </x:c>
      <x:c r="H965" s="24" t="n">
        <x:v>46118</x:v>
      </x:c>
      <x:c r="I965" s="24" t="n">
        <x:v>46234</x:v>
      </x:c>
      <x:c r="J965" s="24" t="str">
        <x:v>EXPIRADA</x:v>
      </x:c>
    </x:row>
    <x:row r="966">
      <x:c r="A966" s="24" t="n">
        <x:v>13</x:v>
      </x:c>
      <x:c r="B966" s="24" t="str">
        <x:v>Lentes Kodak</x:v>
      </x:c>
      <x:c r="C966" s="24" t="n">
        <x:v>733.5</x:v>
      </x:c>
      <x:c r="D966" s="24" t="n">
        <x:v>357.4</x:v>
      </x:c>
      <x:c r="E966" s="24" t="str">
        <x:v>Transitions Gen S 4.089,00 4.089,00 3.819,00 3.469,00 3.709,00</x:v>
      </x:c>
      <x:c r="F966" s="24" t="str">
        <x:v>1.129,00 2.509,00 2.119,00 2.069,00 2.579,00 2.189,00 2.139,00 2.329,00 2.769,00 2.379,00</x:v>
      </x:c>
      <x:c r="G966" s="24" t="n">
        <x:v>3319</x:v>
      </x:c>
      <x:c r="H966" s="24" t="n">
        <x:v>46118</x:v>
      </x:c>
      <x:c r="I966" s="24" t="n">
        <x:v>46234</x:v>
      </x:c>
      <x:c r="J966" s="24" t="str">
        <x:v>EXPIRADA</x:v>
      </x:c>
    </x:row>
    <x:row r="967">
      <x:c r="A967" s="24" t="n">
        <x:v>13</x:v>
      </x:c>
      <x:c r="B967" s="24" t="str">
        <x:v>Lentes Kodak</x:v>
      </x:c>
      <x:c r="C967" s="24" t="n">
        <x:v>733.5</x:v>
      </x:c>
      <x:c r="D967" s="24" t="n">
        <x:v>205.7</x:v>
      </x:c>
      <x:c r="E967" s="24" t="str">
        <x:v>Transitions Gen S 4.089,00</x:v>
      </x:c>
      <x:c r="F967" s="24" t="str">
        <x:v>1.949,00 2.889,00 2.889,00 2.619,00 2.959,00 2.959,00 2.689,00 3.149,00 3.149,00 2.879,00</x:v>
      </x:c>
      <x:c r="G967" s="24" t="n">
        <x:v>4089</x:v>
      </x:c>
      <x:c r="H967" s="24" t="n">
        <x:v>46118</x:v>
      </x:c>
      <x:c r="I967" s="24" t="n">
        <x:v>46234</x:v>
      </x:c>
      <x:c r="J967" s="24" t="str">
        <x:v>EXPIRADA</x:v>
      </x:c>
    </x:row>
    <x:row r="968">
      <x:c r="A968" s="24" t="n">
        <x:v>13</x:v>
      </x:c>
      <x:c r="B968" s="24" t="str">
        <x:v>Lentes Kodak</x:v>
      </x:c>
      <x:c r="C968" s="24" t="n">
        <x:v>733.5</x:v>
      </x:c>
      <x:c r="D968" s="24" t="n">
        <x:v>390.8</x:v>
      </x:c>
      <x:c r="E968" s="24" t="str">
        <x:v>Transitions Gen S 4.089,00 4.089,00 3.819,00 3.469,00 3.709,00 3.319,00</x:v>
      </x:c>
      <x:c r="F968" s="24" t="str">
        <x:v>929,00 2.119,00 2.069,00 1.869,00 2.189,00 2.139,00 1.939,00 2.329,00 2.379,00 -</x:v>
      </x:c>
      <x:c r="G968" s="24" t="n">
        <x:v>3269</x:v>
      </x:c>
      <x:c r="H968" s="24" t="n">
        <x:v>46118</x:v>
      </x:c>
      <x:c r="I968" s="24" t="n">
        <x:v>46234</x:v>
      </x:c>
      <x:c r="J968" s="24" t="str">
        <x:v>EXPIRADA</x:v>
      </x:c>
    </x:row>
    <x:row r="969">
      <x:c r="A969" s="24" t="n">
        <x:v>13</x:v>
      </x:c>
      <x:c r="B969" s="24" t="str">
        <x:v>Lentes Kodak</x:v>
      </x:c>
      <x:c r="C969" s="24" t="n">
        <x:v>694.7</x:v>
      </x:c>
      <x:c r="D969" s="24" t="n">
        <x:v>428.6</x:v>
      </x:c>
      <x:c r="E969" s="24" t="str">
        <x:v>Transitions Extractive 2.959,00 2.959,00 2.689,00 2.339,00 2.579,00 2.189,00 2.139,00</x:v>
      </x:c>
      <x:c r="F969" s="24" t="str">
        <x:v>U NW 1.129,00 929,00 U NW 2.069,00 1.869,00 U NW</x:v>
      </x:c>
      <x:c r="G969" s="24" t="n">
        <x:v>1939</x:v>
      </x:c>
      <x:c r="H969" s="24" t="n">
        <x:v>46118</x:v>
      </x:c>
      <x:c r="I969" s="24" t="n">
        <x:v>46234</x:v>
      </x:c>
      <x:c r="J969" s="24" t="str">
        <x:v>EXPIRADA</x:v>
      </x:c>
    </x:row>
    <x:row r="970">
      <x:c r="A970" s="24" t="n">
        <x:v>13</x:v>
      </x:c>
      <x:c r="B970" s="24" t="str">
        <x:v>Lentes Kodak</x:v>
      </x:c>
      <x:c r="C970" s="24" t="n">
        <x:v>640.6</x:v>
      </x:c>
      <x:c r="D970" s="24" t="n">
        <x:v>163.1</x:v>
      </x:c>
      <x:c r="E970" s="24" t="str">
        <x:v>Transitions Extractive</x:v>
      </x:c>
      <x:c r="F970" s="24" t="str">
        <x:v>PREVENCIA SAPPHIRE 1.729,00 1.729,00 1.869,00 1.869,00 +R$140 2.669,00 2.669,00 +R$940</x:v>
      </x:c>
      <x:c r="G970" s="24" t="n">
        <x:v>2739</x:v>
      </x:c>
      <x:c r="H970" s="24" t="n">
        <x:v>46118</x:v>
      </x:c>
      <x:c r="I970" s="24" t="n">
        <x:v>46234</x:v>
      </x:c>
      <x:c r="J970" s="24" t="str">
        <x:v>EXPIRADA</x:v>
      </x:c>
    </x:row>
    <x:row r="971">
      <x:c r="A971" s="24" t="n">
        <x:v>13</x:v>
      </x:c>
      <x:c r="B971" s="24" t="str">
        <x:v>Lentes Kodak</x:v>
      </x:c>
      <x:c r="C971" s="24" t="n">
        <x:v>640.6</x:v>
      </x:c>
      <x:c r="D971" s="24" t="n">
        <x:v>245.6</x:v>
      </x:c>
      <x:c r="E971" s="24" t="str">
        <x:v>Transitions Extractive 2.739,00 2.739,00</x:v>
      </x:c>
      <x:c r="F971" s="24" t="str">
        <x:v>PRO 1.729,00 1.459,00 1.109,00 1.869,00 1.599,00 1.249,00 2.669,00 2.399,00 2.049,00</x:v>
      </x:c>
      <x:c r="G971" s="24" t="n">
        <x:v>2469</x:v>
      </x:c>
      <x:c r="H971" s="24" t="n">
        <x:v>46118</x:v>
      </x:c>
      <x:c r="I971" s="24" t="n">
        <x:v>46234</x:v>
      </x:c>
      <x:c r="J971" s="24" t="str">
        <x:v>EXPIRADA</x:v>
      </x:c>
    </x:row>
    <x:row r="972">
      <x:c r="A972" s="24" t="n">
        <x:v>13</x:v>
      </x:c>
      <x:c r="B972" s="24" t="str">
        <x:v>Lentes Kodak</x:v>
      </x:c>
      <x:c r="C972" s="24" t="n">
        <x:v>640.6</x:v>
      </x:c>
      <x:c r="D972" s="24" t="n">
        <x:v>281.3</x:v>
      </x:c>
      <x:c r="E972" s="24" t="str">
        <x:v>Transitions Extractive 2.739,00 2.739,00 2.469,00</x:v>
      </x:c>
      <x:c r="F972" s="24" t="str">
        <x:v>PRO 1.459,00 1.109,00 1.349,00 1.599,00 1.249,00 1.489,00 2.399,00 2.049,00 2.289,00</x:v>
      </x:c>
      <x:c r="G972" s="24" t="n">
        <x:v>2119</x:v>
      </x:c>
      <x:c r="H972" s="24" t="n">
        <x:v>46118</x:v>
      </x:c>
      <x:c r="I972" s="24" t="n">
        <x:v>46234</x:v>
      </x:c>
      <x:c r="J972" s="24" t="str">
        <x:v>EXPIRADA</x:v>
      </x:c>
    </x:row>
    <x:row r="973">
      <x:c r="A973" s="24" t="n">
        <x:v>13</x:v>
      </x:c>
      <x:c r="B973" s="24" t="str">
        <x:v>Lentes Kodak</x:v>
      </x:c>
      <x:c r="C973" s="24" t="n">
        <x:v>640.6</x:v>
      </x:c>
      <x:c r="D973" s="24" t="n">
        <x:v>318.4</x:v>
      </x:c>
      <x:c r="E973" s="24" t="str">
        <x:v>Transitions Extractive 2.739,00 2.739,00 2.469,00 2.119,00</x:v>
      </x:c>
      <x:c r="F973" s="24" t="str">
        <x:v>PRO 959,00 1.109,00 1.349,00 1.249,00 1.489,00 1.099,00 2.049,00 2.289,00 1.899,00</x:v>
      </x:c>
      <x:c r="G973" s="24" t="n">
        <x:v>2359</x:v>
      </x:c>
      <x:c r="H973" s="24" t="n">
        <x:v>46118</x:v>
      </x:c>
      <x:c r="I973" s="24" t="n">
        <x:v>46234</x:v>
      </x:c>
      <x:c r="J973" s="24" t="str">
        <x:v>EXPIRADA</x:v>
      </x:c>
    </x:row>
    <x:row r="974">
      <x:c r="A974" s="24" t="n">
        <x:v>13</x:v>
      </x:c>
      <x:c r="B974" s="24" t="str">
        <x:v>Lentes Kodak</x:v>
      </x:c>
      <x:c r="C974" s="24" t="n">
        <x:v>640.6</x:v>
      </x:c>
      <x:c r="D974" s="24" t="n">
        <x:v>355.6</x:v>
      </x:c>
      <x:c r="E974" s="24" t="str">
        <x:v>Transitions Extractive 2.739,00 2.739,00 2.469,00 2.119,00 2.359,00</x:v>
      </x:c>
      <x:c r="F974" s="24" t="str">
        <x:v>CLEAN 909,00 959,00 1.349,00 1.049,00 1.489,00 1.099,00 2.289,00 1.899,00 1.849,00</x:v>
      </x:c>
      <x:c r="G974" s="24" t="n">
        <x:v>1969</x:v>
      </x:c>
      <x:c r="H974" s="24" t="n">
        <x:v>46118</x:v>
      </x:c>
      <x:c r="I974" s="24" t="n">
        <x:v>46234</x:v>
      </x:c>
      <x:c r="J974" s="24" t="str">
        <x:v>EXPIRADA</x:v>
      </x:c>
    </x:row>
    <x:row r="975">
      <x:c r="A975" s="24" t="n">
        <x:v>13</x:v>
      </x:c>
      <x:c r="B975" s="24" t="str">
        <x:v>Lentes Kodak</x:v>
      </x:c>
      <x:c r="C975" s="24" t="n">
        <x:v>640.6</x:v>
      </x:c>
      <x:c r="D975" s="24" t="n">
        <x:v>206.4</x:v>
      </x:c>
      <x:c r="E975" s="24" t="str">
        <x:v>Transitions Extractive 2.739,00</x:v>
      </x:c>
      <x:c r="F975" s="24" t="str">
        <x:v>HR 1.729,00 1.729,00 1.459,00 1.869,00 1.869,00 1.599,00 2.669,00 2.669,00 2.399,00</x:v>
      </x:c>
      <x:c r="G975" s="24" t="n">
        <x:v>2739</x:v>
      </x:c>
      <x:c r="H975" s="24" t="n">
        <x:v>46118</x:v>
      </x:c>
      <x:c r="I975" s="24" t="n">
        <x:v>46234</x:v>
      </x:c>
      <x:c r="J975" s="24" t="str">
        <x:v>EXPIRADA</x:v>
      </x:c>
    </x:row>
    <x:row r="976">
      <x:c r="A976" s="24" t="n">
        <x:v>13</x:v>
      </x:c>
      <x:c r="B976" s="24" t="str">
        <x:v>Lentes Kodak</x:v>
      </x:c>
      <x:c r="C976" s="24" t="n">
        <x:v>640.6</x:v>
      </x:c>
      <x:c r="D976" s="24" t="n">
        <x:v>392</x:v>
      </x:c>
      <x:c r="E976" s="24" t="str">
        <x:v>Transitions Extractive 2.739,00 2.739,00 2.469,00 2.119,00 2.359,00 1.969,00</x:v>
      </x:c>
      <x:c r="F976" s="24" t="str">
        <x:v>CLEAN 909,00 959,00 709,00 1.049,00 1.099,00 849,00 1.899,00 1.849,00 1.649,00</x:v>
      </x:c>
      <x:c r="G976" s="24" t="n">
        <x:v>1919</x:v>
      </x:c>
      <x:c r="H976" s="24" t="n">
        <x:v>46118</x:v>
      </x:c>
      <x:c r="I976" s="24" t="n">
        <x:v>46234</x:v>
      </x:c>
      <x:c r="J976" s="24" t="str">
        <x:v>EXPIRADA</x:v>
      </x:c>
    </x:row>
    <x:row r="977">
      <x:c r="A977" s="24" t="n">
        <x:v>13</x:v>
      </x:c>
      <x:c r="B977" s="24" t="str">
        <x:v>Lentes Kodak</x:v>
      </x:c>
      <x:c r="C977" s="24" t="n">
        <x:v>640.6</x:v>
      </x:c>
      <x:c r="D977" s="24" t="n">
        <x:v>429.6</x:v>
      </x:c>
      <x:c r="E977" s="24" t="str">
        <x:v>Transitions Extractive 2.739,00 2.739,00 2.469,00 2.119,00 2.359,00 1.969,00 1.919,00</x:v>
      </x:c>
      <x:c r="F977" s="24" t="str">
        <x:v>U NW 1.049,00 849,00 U NW 1.849,00 1.649,00 U NW</x:v>
      </x:c>
      <x:c r="G977" s="24" t="n">
        <x:v>1719</x:v>
      </x:c>
      <x:c r="H977" s="24" t="n">
        <x:v>46118</x:v>
      </x:c>
      <x:c r="I977" s="24" t="n">
        <x:v>46234</x:v>
      </x:c>
      <x:c r="J977" s="24" t="str">
        <x:v>EXPIRADA</x:v>
      </x:c>
    </x:row>
    <x:row r="978">
      <x:c r="A978" s="24" t="n">
        <x:v>13</x:v>
      </x:c>
      <x:c r="B978" s="24" t="str">
        <x:v>Lentes Kodak</x:v>
      </x:c>
      <x:c r="C978" s="24" t="n">
        <x:v>297.3</x:v>
      </x:c>
      <x:c r="D978" s="24" t="n">
        <x:v>208.3</x:v>
      </x:c>
      <x:c r="E978" s="24" t="str">
        <x:v>1.74 -</x:v>
      </x:c>
      <x:c r="F978" s="24" t="str">
        <x:v>2.869,00 3.209,00 3.209,00 2.939,00 3.399,00 3.399,00 3.129,00 4.339,00 4.339,00 4.069,00</x:v>
      </x:c>
      <x:c r="G978" s="24" t="n">
        <x:v>4179</x:v>
      </x:c>
      <x:c r="H978" s="24" t="n">
        <x:v>46118</x:v>
      </x:c>
      <x:c r="I978" s="24" t="n">
        <x:v>46234</x:v>
      </x:c>
      <x:c r="J978" s="24" t="str">
        <x:v>EXPIRADA</x:v>
      </x:c>
    </x:row>
    <x:row r="979">
      <x:c r="A979" s="24" t="n">
        <x:v>13</x:v>
      </x:c>
      <x:c r="B979" s="24" t="str">
        <x:v>Lentes Kodak</x:v>
      </x:c>
      <x:c r="C979" s="24" t="n">
        <x:v>312.6</x:v>
      </x:c>
      <x:c r="D979" s="24" t="n">
        <x:v>210</x:v>
      </x:c>
      <x:c r="E979" s="24" t="str">
        <x:v>-</x:v>
      </x:c>
      <x:c r="F979" s="24" t="str">
        <x:v>2.939,00 3.399,00 3.399,00 3.129,00 4.339,00 4.339,00 4.069,00 - - 4.179,00</x:v>
      </x:c>
      <x:c r="G979" s="24" t="n">
        <x:v>5119</x:v>
      </x:c>
      <x:c r="H979" s="24" t="n">
        <x:v>46118</x:v>
      </x:c>
      <x:c r="I979" s="24" t="n">
        <x:v>46234</x:v>
      </x:c>
      <x:c r="J979" s="24" t="str">
        <x:v>EXPIRADA</x:v>
      </x:c>
    </x:row>
    <x:row r="980">
      <x:c r="A980" s="24" t="n">
        <x:v>13</x:v>
      </x:c>
      <x:c r="B980" s="24" t="str">
        <x:v>Lentes Kodak</x:v>
      </x:c>
      <x:c r="C980" s="24" t="n">
        <x:v>528.9</x:v>
      </x:c>
      <x:c r="D980" s="24" t="n">
        <x:v>209.5</x:v>
      </x:c>
      <x:c r="E980" s="24" t="str">
        <x:v>1.74 -</x:v>
      </x:c>
      <x:c r="F980" s="24" t="str">
        <x:v>3.009,00 3.079,00 3.079,00 2.809,00 3.269,00 3.269,00 2.999,00 4.209,00 4.209,00 3.939,00</x:v>
      </x:c>
      <x:c r="G980" s="24" t="n">
        <x:v>4049</x:v>
      </x:c>
      <x:c r="H980" s="24" t="n">
        <x:v>46118</x:v>
      </x:c>
      <x:c r="I980" s="24" t="n">
        <x:v>46234</x:v>
      </x:c>
      <x:c r="J980" s="24" t="str">
        <x:v>EXPIRADA</x:v>
      </x:c>
    </x:row>
    <x:row r="981">
      <x:c r="A981" s="24" t="n">
        <x:v>13</x:v>
      </x:c>
      <x:c r="B981" s="24" t="str">
        <x:v>Lentes Kodak</x:v>
      </x:c>
      <x:c r="C981" s="24" t="n">
        <x:v>543.2</x:v>
      </x:c>
      <x:c r="D981" s="24" t="n">
        <x:v>209.5</x:v>
      </x:c>
      <x:c r="E981" s="24" t="str">
        <x:v>-</x:v>
      </x:c>
      <x:c r="F981" s="24" t="str">
        <x:v>3.079,00 2.809,00 3.269,00 3.269,00 2.999,00 4.209,00 4.209,00 3.939,00 - 4.049,00</x:v>
      </x:c>
      <x:c r="G981" s="24" t="n">
        <x:v>4989</x:v>
      </x:c>
      <x:c r="H981" s="24" t="n">
        <x:v>46118</x:v>
      </x:c>
      <x:c r="I981" s="24" t="n">
        <x:v>46234</x:v>
      </x:c>
      <x:c r="J981" s="24" t="str">
        <x:v>EXPIRADA</x:v>
      </x:c>
    </x:row>
    <x:row r="982">
      <x:c r="A982" s="24" t="n">
        <x:v>14</x:v>
      </x:c>
      <x:c r="B982" s="24" t="str">
        <x:v>Lentes Kodak</x:v>
      </x:c>
      <x:c r="C982" s="24" t="n">
        <x:v>500.6</x:v>
      </x:c>
      <x:c r="D982" s="24" t="n">
        <x:v>408.2</x:v>
      </x:c>
      <x:c r="E982" s="24" t="str">
        <x:v>1.50 1.469,00 1.469,00 1.199,00 849,00 1.089,00 699,00 649,00</x:v>
      </x:c>
      <x:c r="F982" s="24" t="str">
        <x:v>TRIO VERNIZ HC MARCAÇÃO CLEAN</x:v>
      </x:c>
      <x:c r="G982" s="24" t="n">
        <x:v>449</x:v>
      </x:c>
      <x:c r="H982" s="24" t="n">
        <x:v>46118</x:v>
      </x:c>
      <x:c r="I982" s="24" t="n">
        <x:v>46234</x:v>
      </x:c>
      <x:c r="J982" s="24" t="str">
        <x:v>EXPIRADA</x:v>
      </x:c>
    </x:row>
    <x:row r="983">
      <x:c r="A983" s="24" t="n">
        <x:v>14</x:v>
      </x:c>
      <x:c r="B983" s="24" t="str">
        <x:v>Lentes Kodak</x:v>
      </x:c>
      <x:c r="C983" s="24" t="n">
        <x:v>500.6</x:v>
      </x:c>
      <x:c r="D983" s="24" t="n">
        <x:v>149.3</x:v>
      </x:c>
      <x:c r="E983" s="24" t="str">
        <x:v>1.50</x:v>
      </x:c>
      <x:c r="F983" s="24" t="str">
        <x:v>+R$940 DIGITAL CRIZAL CRIZAL PREVENCIA SAPPHIRE</x:v>
      </x:c>
      <x:c r="G983" s="24" t="n">
        <x:v>1469</x:v>
      </x:c>
      <x:c r="H983" s="24" t="n">
        <x:v>46118</x:v>
      </x:c>
      <x:c r="I983" s="24" t="n">
        <x:v>46234</x:v>
      </x:c>
      <x:c r="J983" s="24" t="str">
        <x:v>EXPIRADA</x:v>
      </x:c>
    </x:row>
    <x:row r="984">
      <x:c r="A984" s="24" t="n">
        <x:v>14</x:v>
      </x:c>
      <x:c r="B984" s="24" t="str">
        <x:v>Lentes Kodak</x:v>
      </x:c>
      <x:c r="C984" s="24" t="n">
        <x:v>500.6</x:v>
      </x:c>
      <x:c r="D984" s="24" t="n">
        <x:v>191.1</x:v>
      </x:c>
      <x:c r="E984" s="24" t="str">
        <x:v>1.50 1.469,00</x:v>
      </x:c>
      <x:c r="F984" s="24" t="str">
        <x:v>CRIZAL CRIZAL CRIZAL ROCK PREVENCIA SAPPHIRE HR</x:v>
      </x:c>
      <x:c r="G984" s="24" t="n">
        <x:v>1469</x:v>
      </x:c>
      <x:c r="H984" s="24" t="n">
        <x:v>46118</x:v>
      </x:c>
      <x:c r="I984" s="24" t="n">
        <x:v>46234</x:v>
      </x:c>
      <x:c r="J984" s="24" t="str">
        <x:v>EXPIRADA</x:v>
      </x:c>
    </x:row>
    <x:row r="985">
      <x:c r="A985" s="24" t="n">
        <x:v>14</x:v>
      </x:c>
      <x:c r="B985" s="24" t="str">
        <x:v>Lentes Kodak</x:v>
      </x:c>
      <x:c r="C985" s="24" t="n">
        <x:v>500.6</x:v>
      </x:c>
      <x:c r="D985" s="24" t="n">
        <x:v>228.8</x:v>
      </x:c>
      <x:c r="E985" s="24" t="str">
        <x:v>1.50 1.469,00 1.469,00</x:v>
      </x:c>
      <x:c r="F985" s="24" t="str">
        <x:v>CRIZAL CRIZAL CRIZAL ROCK SAPPHIRE HR EASY PRO</x:v>
      </x:c>
      <x:c r="G985" s="24" t="n">
        <x:v>1199</x:v>
      </x:c>
      <x:c r="H985" s="24" t="n">
        <x:v>46118</x:v>
      </x:c>
      <x:c r="I985" s="24" t="n">
        <x:v>46234</x:v>
      </x:c>
      <x:c r="J985" s="24" t="str">
        <x:v>EXPIRADA</x:v>
      </x:c>
    </x:row>
    <x:row r="986">
      <x:c r="A986" s="24" t="n">
        <x:v>14</x:v>
      </x:c>
      <x:c r="B986" s="24" t="str">
        <x:v>Lentes Kodak</x:v>
      </x:c>
      <x:c r="C986" s="24" t="n">
        <x:v>500.6</x:v>
      </x:c>
      <x:c r="D986" s="24" t="n">
        <x:v>264.2</x:v>
      </x:c>
      <x:c r="E986" s="24" t="str">
        <x:v>1.50 1.469,00 1.469,00 1.199,00</x:v>
      </x:c>
      <x:c r="F986" s="24" t="str">
        <x:v>CRIZAL CRIZAL OPTIFOG ROCK EASY PRO</x:v>
      </x:c>
      <x:c r="G986" s="24" t="n">
        <x:v>849</x:v>
      </x:c>
      <x:c r="H986" s="24" t="n">
        <x:v>46118</x:v>
      </x:c>
      <x:c r="I986" s="24" t="n">
        <x:v>46234</x:v>
      </x:c>
      <x:c r="J986" s="24" t="str">
        <x:v>EXPIRADA</x:v>
      </x:c>
    </x:row>
    <x:row r="987">
      <x:c r="A987" s="24" t="n">
        <x:v>14</x:v>
      </x:c>
      <x:c r="B987" s="24" t="str">
        <x:v>Lentes Kodak</x:v>
      </x:c>
      <x:c r="C987" s="24" t="n">
        <x:v>500.6</x:v>
      </x:c>
      <x:c r="D987" s="24" t="n">
        <x:v>298.7</x:v>
      </x:c>
      <x:c r="E987" s="24" t="str">
        <x:v>1.50 1.469,00 1.469,00 1.199,00 849,00</x:v>
      </x:c>
      <x:c r="F987" s="24" t="str">
        <x:v>CRIZAL OPTIFOG NO REFLEX EASY PRO</x:v>
      </x:c>
      <x:c r="G987" s="24" t="n">
        <x:v>1089</x:v>
      </x:c>
      <x:c r="H987" s="24" t="n">
        <x:v>46118</x:v>
      </x:c>
      <x:c r="I987" s="24" t="n">
        <x:v>46234</x:v>
      </x:c>
      <x:c r="J987" s="24" t="str">
        <x:v>EXPIRADA</x:v>
      </x:c>
    </x:row>
    <x:row r="988">
      <x:c r="A988" s="24" t="n">
        <x:v>14</x:v>
      </x:c>
      <x:c r="B988" s="24" t="str">
        <x:v>Lentes Kodak</x:v>
      </x:c>
      <x:c r="C988" s="24" t="n">
        <x:v>500.6</x:v>
      </x:c>
      <x:c r="D988" s="24" t="n">
        <x:v>333.6</x:v>
      </x:c>
      <x:c r="E988" s="24" t="str">
        <x:v>1.50 1.469,00 1.469,00 1.199,00 849,00 1.089,00</x:v>
      </x:c>
      <x:c r="F988" s="24" t="str">
        <x:v>TRIO OPTIFOG NO REFLEX EASY CLEAN</x:v>
      </x:c>
      <x:c r="G988" s="24" t="n">
        <x:v>699</x:v>
      </x:c>
      <x:c r="H988" s="24" t="n">
        <x:v>46118</x:v>
      </x:c>
      <x:c r="I988" s="24" t="n">
        <x:v>46234</x:v>
      </x:c>
      <x:c r="J988" s="24" t="str">
        <x:v>EXPIRADA</x:v>
      </x:c>
    </x:row>
    <x:row r="989">
      <x:c r="A989" s="24" t="n">
        <x:v>14</x:v>
      </x:c>
      <x:c r="B989" s="24" t="str">
        <x:v>Lentes Kodak</x:v>
      </x:c>
      <x:c r="C989" s="24" t="n">
        <x:v>526.8</x:v>
      </x:c>
      <x:c r="D989" s="24" t="n">
        <x:v>409.1</x:v>
      </x:c>
      <x:c r="E989" s="24" t="str">
        <x:v>Poly 1.689,00 1.689,00 1.419,00 1.069,00 1.309,00 919,00 869,00</x:v>
      </x:c>
      <x:c r="F989" s="24" t="str">
        <x:v>TRIO VERNIZ HC MARCAÇÃO CLEAN 449,00 649,00</x:v>
      </x:c>
      <x:c r="G989" s="24" t="n">
        <x:v>669</x:v>
      </x:c>
      <x:c r="H989" s="24" t="n">
        <x:v>46118</x:v>
      </x:c>
      <x:c r="I989" s="24" t="n">
        <x:v>46234</x:v>
      </x:c>
      <x:c r="J989" s="24" t="str">
        <x:v>EXPIRADA</x:v>
      </x:c>
    </x:row>
    <x:row r="990">
      <x:c r="A990" s="24" t="n">
        <x:v>14</x:v>
      </x:c>
      <x:c r="B990" s="24" t="str">
        <x:v>Lentes Kodak</x:v>
      </x:c>
      <x:c r="C990" s="24" t="n">
        <x:v>526.8</x:v>
      </x:c>
      <x:c r="D990" s="24" t="n">
        <x:v>150.5</x:v>
      </x:c>
      <x:c r="E990" s="24" t="str">
        <x:v>Poly</x:v>
      </x:c>
      <x:c r="F990" s="24" t="str">
        <x:v>DIGITAL CRIZAL CRIZAL PREVENCIA SAPPHIRE 1.469,00 1.469,00</x:v>
      </x:c>
      <x:c r="G990" s="24" t="n">
        <x:v>1689</x:v>
      </x:c>
      <x:c r="H990" s="24" t="n">
        <x:v>46118</x:v>
      </x:c>
      <x:c r="I990" s="24" t="n">
        <x:v>46234</x:v>
      </x:c>
      <x:c r="J990" s="24" t="str">
        <x:v>EXPIRADA</x:v>
      </x:c>
    </x:row>
    <x:row r="991">
      <x:c r="A991" s="24" t="n">
        <x:v>14</x:v>
      </x:c>
      <x:c r="B991" s="24" t="str">
        <x:v>Lentes Kodak</x:v>
      </x:c>
      <x:c r="C991" s="24" t="n">
        <x:v>526.8</x:v>
      </x:c>
      <x:c r="D991" s="24" t="n">
        <x:v>191.4</x:v>
      </x:c>
      <x:c r="E991" s="24" t="str">
        <x:v>Poly 1.689,00</x:v>
      </x:c>
      <x:c r="F991" s="24" t="str">
        <x:v>CRIZAL CRIZAL CRIZAL ROCK PREVENCIA SAPPHIRE HR 1.469,00 1.469,00 1.199,00</x:v>
      </x:c>
      <x:c r="G991" s="24" t="n">
        <x:v>1689</x:v>
      </x:c>
      <x:c r="H991" s="24" t="n">
        <x:v>46118</x:v>
      </x:c>
      <x:c r="I991" s="24" t="n">
        <x:v>46234</x:v>
      </x:c>
      <x:c r="J991" s="24" t="str">
        <x:v>EXPIRADA</x:v>
      </x:c>
    </x:row>
    <x:row r="992">
      <x:c r="A992" s="24" t="n">
        <x:v>14</x:v>
      </x:c>
      <x:c r="B992" s="24" t="str">
        <x:v>Lentes Kodak</x:v>
      </x:c>
      <x:c r="C992" s="24" t="n">
        <x:v>526.8</x:v>
      </x:c>
      <x:c r="D992" s="24" t="n">
        <x:v>229.8</x:v>
      </x:c>
      <x:c r="E992" s="24" t="str">
        <x:v>Poly 1.689,00 1.689,00</x:v>
      </x:c>
      <x:c r="F992" s="24" t="str">
        <x:v>CRIZAL CRIZAL ROCK SAPPHIRE HR EASY PRO 1.469,00 1.199,00 849,00</x:v>
      </x:c>
      <x:c r="G992" s="24" t="n">
        <x:v>1419</x:v>
      </x:c>
      <x:c r="H992" s="24" t="n">
        <x:v>46118</x:v>
      </x:c>
      <x:c r="I992" s="24" t="n">
        <x:v>46234</x:v>
      </x:c>
      <x:c r="J992" s="24" t="str">
        <x:v>EXPIRADA</x:v>
      </x:c>
    </x:row>
    <x:row r="993">
      <x:c r="A993" s="24" t="n">
        <x:v>14</x:v>
      </x:c>
      <x:c r="B993" s="24" t="str">
        <x:v>Lentes Kodak</x:v>
      </x:c>
      <x:c r="C993" s="24" t="n">
        <x:v>526.8</x:v>
      </x:c>
      <x:c r="D993" s="24" t="n">
        <x:v>265</x:v>
      </x:c>
      <x:c r="E993" s="24" t="str">
        <x:v>Poly 1.689,00 1.689,00 1.419,00</x:v>
      </x:c>
      <x:c r="F993" s="24" t="str">
        <x:v>CRIZAL CRIZAL OPTIFOG ROCK EASY PRO 1.199,00 849,00 1.089,00</x:v>
      </x:c>
      <x:c r="G993" s="24" t="n">
        <x:v>1069</x:v>
      </x:c>
      <x:c r="H993" s="24" t="n">
        <x:v>46118</x:v>
      </x:c>
      <x:c r="I993" s="24" t="n">
        <x:v>46234</x:v>
      </x:c>
      <x:c r="J993" s="24" t="str">
        <x:v>EXPIRADA</x:v>
      </x:c>
    </x:row>
    <x:row r="994">
      <x:c r="A994" s="24" t="n">
        <x:v>14</x:v>
      </x:c>
      <x:c r="B994" s="24" t="str">
        <x:v>Lentes Kodak</x:v>
      </x:c>
      <x:c r="C994" s="24" t="n">
        <x:v>526.8</x:v>
      </x:c>
      <x:c r="D994" s="24" t="n">
        <x:v>297.4</x:v>
      </x:c>
      <x:c r="E994" s="24" t="str">
        <x:v>Poly 1.689,00 1.689,00 1.419,00 1.069,00</x:v>
      </x:c>
      <x:c r="F994" s="24" t="str">
        <x:v>CRIZAL OPTIFOG NO REFLEX EASY PRO 849,00 1.089,00 699,00</x:v>
      </x:c>
      <x:c r="G994" s="24" t="n">
        <x:v>1309</x:v>
      </x:c>
      <x:c r="H994" s="24" t="n">
        <x:v>46118</x:v>
      </x:c>
      <x:c r="I994" s="24" t="n">
        <x:v>46234</x:v>
      </x:c>
      <x:c r="J994" s="24" t="str">
        <x:v>EXPIRADA</x:v>
      </x:c>
    </x:row>
    <x:row r="995">
      <x:c r="A995" s="24" t="n">
        <x:v>14</x:v>
      </x:c>
      <x:c r="B995" s="24" t="str">
        <x:v>Lentes Kodak</x:v>
      </x:c>
      <x:c r="C995" s="24" t="n">
        <x:v>526.8</x:v>
      </x:c>
      <x:c r="D995" s="24" t="n">
        <x:v>333.7</x:v>
      </x:c>
      <x:c r="E995" s="24" t="str">
        <x:v>Poly 1.689,00 1.689,00 1.419,00 1.069,00 1.309,00</x:v>
      </x:c>
      <x:c r="F995" s="24" t="str">
        <x:v>TRIO OPTIFOG NO REFLEX EASY CLEAN 1.089,00 699,00 649,00</x:v>
      </x:c>
      <x:c r="G995" s="24" t="n">
        <x:v>919</x:v>
      </x:c>
      <x:c r="H995" s="24" t="n">
        <x:v>46118</x:v>
      </x:c>
      <x:c r="I995" s="24" t="n">
        <x:v>46234</x:v>
      </x:c>
      <x:c r="J995" s="24" t="str">
        <x:v>EXPIRADA</x:v>
      </x:c>
    </x:row>
    <x:row r="996">
      <x:c r="A996" s="24" t="n">
        <x:v>14</x:v>
      </x:c>
      <x:c r="B996" s="24" t="str">
        <x:v>Lentes Kodak</x:v>
      </x:c>
      <x:c r="C996" s="24" t="n">
        <x:v>553</x:v>
      </x:c>
      <x:c r="D996" s="24" t="n">
        <x:v>149.1</x:v>
      </x:c>
      <x:c r="E996" s="24" t="str">
        <x:v>1.67</x:v>
      </x:c>
      <x:c r="F996" s="24" t="str">
        <x:v>CRIZAL CRIZAL PREVENCIA SAPPHIRE 1.469,00 1.469,00 1.689,00 1.689,00</x:v>
      </x:c>
      <x:c r="G996" s="24" t="n">
        <x:v>2889</x:v>
      </x:c>
      <x:c r="H996" s="24" t="n">
        <x:v>46118</x:v>
      </x:c>
      <x:c r="I996" s="24" t="n">
        <x:v>46234</x:v>
      </x:c>
      <x:c r="J996" s="24" t="str">
        <x:v>EXPIRADA</x:v>
      </x:c>
    </x:row>
    <x:row r="997">
      <x:c r="A997" s="24" t="n">
        <x:v>14</x:v>
      </x:c>
      <x:c r="B997" s="24" t="str">
        <x:v>Lentes Kodak</x:v>
      </x:c>
      <x:c r="C997" s="24" t="n">
        <x:v>553</x:v>
      </x:c>
      <x:c r="D997" s="24" t="n">
        <x:v>189.9</x:v>
      </x:c>
      <x:c r="E997" s="24" t="str">
        <x:v>1.67 2.889,00</x:v>
      </x:c>
      <x:c r="F997" s="24" t="str">
        <x:v>ROCK PREVENCIA SAPPHIRE HR 1.469,00 1.469,00 1.199,00 1.689,00 1.689,00 1.419,00</x:v>
      </x:c>
      <x:c r="G997" s="24" t="n">
        <x:v>2889</x:v>
      </x:c>
      <x:c r="H997" s="24" t="n">
        <x:v>46118</x:v>
      </x:c>
      <x:c r="I997" s="24" t="n">
        <x:v>46234</x:v>
      </x:c>
      <x:c r="J997" s="24" t="str">
        <x:v>EXPIRADA</x:v>
      </x:c>
    </x:row>
    <x:row r="998">
      <x:c r="A998" s="24" t="n">
        <x:v>14</x:v>
      </x:c>
      <x:c r="B998" s="24" t="str">
        <x:v>Lentes Kodak</x:v>
      </x:c>
      <x:c r="C998" s="24" t="n">
        <x:v>553</x:v>
      </x:c>
      <x:c r="D998" s="24" t="n">
        <x:v>228.7</x:v>
      </x:c>
      <x:c r="E998" s="24" t="str">
        <x:v>1.67 2.889,00 2.889,00</x:v>
      </x:c>
      <x:c r="F998" s="24" t="str">
        <x:v>SAPPHIRE HR EASY PRO 1.469,00 1.199,00 849,00 1.689,00 1.419,00 1.069,00</x:v>
      </x:c>
      <x:c r="G998" s="24" t="n">
        <x:v>2619</x:v>
      </x:c>
      <x:c r="H998" s="24" t="n">
        <x:v>46118</x:v>
      </x:c>
      <x:c r="I998" s="24" t="n">
        <x:v>46234</x:v>
      </x:c>
      <x:c r="J998" s="24" t="str">
        <x:v>EXPIRADA</x:v>
      </x:c>
    </x:row>
    <x:row r="999">
      <x:c r="A999" s="24" t="n">
        <x:v>14</x:v>
      </x:c>
      <x:c r="B999" s="24" t="str">
        <x:v>Lentes Kodak</x:v>
      </x:c>
      <x:c r="C999" s="24" t="n">
        <x:v>553</x:v>
      </x:c>
      <x:c r="D999" s="24" t="n">
        <x:v>262.4</x:v>
      </x:c>
      <x:c r="E999" s="24" t="str">
        <x:v>1.67 2.889,00 2.889,00 2.619,00</x:v>
      </x:c>
      <x:c r="F999" s="24" t="str">
        <x:v>OPTIFOG ROCK EASY PRO 1.199,00 849,00 1.089,00 1.419,00 1.069,00 1.309,00</x:v>
      </x:c>
      <x:c r="G999" s="24" t="n">
        <x:v>2269</x:v>
      </x:c>
      <x:c r="H999" s="24" t="n">
        <x:v>46118</x:v>
      </x:c>
      <x:c r="I999" s="24" t="n">
        <x:v>46234</x:v>
      </x:c>
      <x:c r="J999" s="24" t="str">
        <x:v>EXPIRADA</x:v>
      </x:c>
    </x:row>
    <x:row r="1000">
      <x:c r="A1000" s="24" t="n">
        <x:v>14</x:v>
      </x:c>
      <x:c r="B1000" s="24" t="str">
        <x:v>Lentes Kodak</x:v>
      </x:c>
      <x:c r="C1000" s="24" t="n">
        <x:v>553</x:v>
      </x:c>
      <x:c r="D1000" s="24" t="n">
        <x:v>296.5</x:v>
      </x:c>
      <x:c r="E1000" s="24" t="str">
        <x:v>1.67 2.889,00 2.889,00 2.619,00 2.269,00</x:v>
      </x:c>
      <x:c r="F1000" s="24" t="str">
        <x:v>NO REFLEX EASY PRO 849,00 1.089,00 699,00 1.069,00 1.309,00 919,00</x:v>
      </x:c>
      <x:c r="G1000" s="24" t="n">
        <x:v>2509</x:v>
      </x:c>
      <x:c r="H1000" s="24" t="n">
        <x:v>46118</x:v>
      </x:c>
      <x:c r="I1000" s="24" t="n">
        <x:v>46234</x:v>
      </x:c>
      <x:c r="J1000" s="24" t="str">
        <x:v>EXPIRADA</x:v>
      </x:c>
    </x:row>
    <x:row r="1001">
      <x:c r="A1001" s="24" t="n">
        <x:v>14</x:v>
      </x:c>
      <x:c r="B1001" s="24" t="str">
        <x:v>Lentes Kodak</x:v>
      </x:c>
      <x:c r="C1001" s="24" t="n">
        <x:v>553</x:v>
      </x:c>
      <x:c r="D1001" s="24" t="n">
        <x:v>332</x:v>
      </x:c>
      <x:c r="E1001" s="24" t="str">
        <x:v>1.67 2.889,00 2.889,00 2.619,00 2.269,00 2.509,00</x:v>
      </x:c>
      <x:c r="F1001" s="24" t="str">
        <x:v>NO REFLEX EASY CLEAN 1.089,00 699,00 649,00 1.309,00 919,00 869,00</x:v>
      </x:c>
      <x:c r="G1001" s="24" t="n">
        <x:v>2119</x:v>
      </x:c>
      <x:c r="H1001" s="24" t="n">
        <x:v>46118</x:v>
      </x:c>
      <x:c r="I1001" s="24" t="n">
        <x:v>46234</x:v>
      </x:c>
      <x:c r="J1001" s="24" t="str">
        <x:v>EXPIRADA</x:v>
      </x:c>
    </x:row>
    <x:row r="1002">
      <x:c r="A1002" s="24" t="n">
        <x:v>14</x:v>
      </x:c>
      <x:c r="B1002" s="24" t="str">
        <x:v>Lentes Kodak</x:v>
      </x:c>
      <x:c r="C1002" s="24" t="n">
        <x:v>500.6</x:v>
      </x:c>
      <x:c r="D1002" s="24" t="n">
        <x:v>370.7</x:v>
      </x:c>
      <x:c r="E1002" s="24" t="str">
        <x:v>1.50 1.469,00 1.469,00 1.199,00 849,00 1.089,00 699,00</x:v>
      </x:c>
      <x:c r="F1002" s="24" t="str">
        <x:v>TRIO VERNIZ REFLEX EASY CLEAN</x:v>
      </x:c>
      <x:c r="G1002" s="24" t="n">
        <x:v>649</x:v>
      </x:c>
      <x:c r="H1002" s="24" t="n">
        <x:v>46118</x:v>
      </x:c>
      <x:c r="I1002" s="24" t="n">
        <x:v>46234</x:v>
      </x:c>
      <x:c r="J1002" s="24" t="str">
        <x:v>EXPIRADA</x:v>
      </x:c>
    </x:row>
    <x:row r="1003">
      <x:c r="A1003" s="24" t="n">
        <x:v>14</x:v>
      </x:c>
      <x:c r="B1003" s="24" t="str">
        <x:v>Lentes Kodak</x:v>
      </x:c>
      <x:c r="C1003" s="24" t="n">
        <x:v>526.8</x:v>
      </x:c>
      <x:c r="D1003" s="24" t="n">
        <x:v>370.9</x:v>
      </x:c>
      <x:c r="E1003" s="24" t="str">
        <x:v>Poly 1.689,00 1.689,00 1.419,00 1.069,00 1.309,00 919,00</x:v>
      </x:c>
      <x:c r="F1003" s="24" t="str">
        <x:v>TRIO VERNIZ REFLEX EASY CLEAN 449,00 699,00 649,00</x:v>
      </x:c>
      <x:c r="G1003" s="24" t="n">
        <x:v>869</x:v>
      </x:c>
      <x:c r="H1003" s="24" t="n">
        <x:v>46118</x:v>
      </x:c>
      <x:c r="I1003" s="24" t="n">
        <x:v>46234</x:v>
      </x:c>
      <x:c r="J1003" s="24" t="str">
        <x:v>EXPIRADA</x:v>
      </x:c>
    </x:row>
    <x:row r="1004">
      <x:c r="A1004" s="24" t="n">
        <x:v>14</x:v>
      </x:c>
      <x:c r="B1004" s="24" t="str">
        <x:v>Lentes Kodak</x:v>
      </x:c>
      <x:c r="C1004" s="24" t="n">
        <x:v>553</x:v>
      </x:c>
      <x:c r="D1004" s="24" t="n">
        <x:v>368.2</x:v>
      </x:c>
      <x:c r="E1004" s="24" t="str">
        <x:v>1.67 2.889,00 2.889,00 2.619,00 2.269,00 2.509,00 2.119,00</x:v>
      </x:c>
      <x:c r="F1004" s="24" t="str">
        <x:v>VERNIZ REFLEX EASY CLEAN 449,00 699,00 649,00 919,00 869,00 669,00</x:v>
      </x:c>
      <x:c r="G1004" s="24" t="n">
        <x:v>2069</x:v>
      </x:c>
      <x:c r="H1004" s="24" t="n">
        <x:v>46118</x:v>
      </x:c>
      <x:c r="I1004" s="24" t="n">
        <x:v>46234</x:v>
      </x:c>
      <x:c r="J1004" s="24" t="str">
        <x:v>EXPIRADA</x:v>
      </x:c>
    </x:row>
    <x:row r="1005">
      <x:c r="A1005" s="24" t="n">
        <x:v>14</x:v>
      </x:c>
      <x:c r="B1005" s="24" t="str">
        <x:v>Lentes Kodak</x:v>
      </x:c>
      <x:c r="C1005" s="24" t="n">
        <x:v>344</x:v>
      </x:c>
      <x:c r="D1005" s="24" t="n">
        <x:v>140.6</x:v>
      </x:c>
      <x:c r="E1005" s="24" t="str">
        <x:v>1.50</x:v>
      </x:c>
      <x:c r="F1005" s="24" t="str">
        <x:v>TRADICIONAL CRIZAL CRIZAL PREVENCIA SAPPHIRE</x:v>
      </x:c>
      <x:c r="G1005" s="24" t="n">
        <x:v>1469</x:v>
      </x:c>
      <x:c r="H1005" s="24" t="n">
        <x:v>46118</x:v>
      </x:c>
      <x:c r="I1005" s="24" t="n">
        <x:v>46234</x:v>
      </x:c>
      <x:c r="J1005" s="24" t="str">
        <x:v>EXPIRADA</x:v>
      </x:c>
    </x:row>
    <x:row r="1006">
      <x:c r="A1006" s="24" t="n">
        <x:v>14</x:v>
      </x:c>
      <x:c r="B1006" s="24" t="str">
        <x:v>Lentes Kodak</x:v>
      </x:c>
      <x:c r="C1006" s="24" t="n">
        <x:v>344</x:v>
      </x:c>
      <x:c r="D1006" s="24" t="n">
        <x:v>220.8</x:v>
      </x:c>
      <x:c r="E1006" s="24" t="str">
        <x:v>1.50 1.469,00 1.469,00</x:v>
      </x:c>
      <x:c r="F1006" s="24" t="str">
        <x:v>CRIZAL CRIZAL CRIZAL ROCK SAPPHIRE HR EASY PRO</x:v>
      </x:c>
      <x:c r="G1006" s="24" t="n">
        <x:v>1199</x:v>
      </x:c>
      <x:c r="H1006" s="24" t="n">
        <x:v>46118</x:v>
      </x:c>
      <x:c r="I1006" s="24" t="n">
        <x:v>46234</x:v>
      </x:c>
      <x:c r="J1006" s="24" t="str">
        <x:v>EXPIRADA</x:v>
      </x:c>
    </x:row>
    <x:row r="1007">
      <x:c r="A1007" s="24" t="n">
        <x:v>14</x:v>
      </x:c>
      <x:c r="B1007" s="24" t="str">
        <x:v>Lentes Kodak</x:v>
      </x:c>
      <x:c r="C1007" s="24" t="n">
        <x:v>344</x:v>
      </x:c>
      <x:c r="D1007" s="24" t="n">
        <x:v>257.6</x:v>
      </x:c>
      <x:c r="E1007" s="24" t="str">
        <x:v>1.50 1.469,00 1.469,00 1.199,00</x:v>
      </x:c>
      <x:c r="F1007" s="24" t="str">
        <x:v>CRIZAL CRIZAL OPTIFOG ROCK EASY PRO</x:v>
      </x:c>
      <x:c r="G1007" s="24" t="n">
        <x:v>849</x:v>
      </x:c>
      <x:c r="H1007" s="24" t="n">
        <x:v>46118</x:v>
      </x:c>
      <x:c r="I1007" s="24" t="n">
        <x:v>46234</x:v>
      </x:c>
      <x:c r="J1007" s="24" t="str">
        <x:v>EXPIRADA</x:v>
      </x:c>
    </x:row>
    <x:row r="1008">
      <x:c r="A1008" s="24" t="n">
        <x:v>14</x:v>
      </x:c>
      <x:c r="B1008" s="24" t="str">
        <x:v>Lentes Kodak</x:v>
      </x:c>
      <x:c r="C1008" s="24" t="n">
        <x:v>344</x:v>
      </x:c>
      <x:c r="D1008" s="24" t="n">
        <x:v>290.4</x:v>
      </x:c>
      <x:c r="E1008" s="24" t="str">
        <x:v>1.50 1.469,00 1.469,00 1.199,00 849,00</x:v>
      </x:c>
      <x:c r="F1008" s="24" t="str">
        <x:v>CRIZAL OPTIFOG NO REFLEX EASY PRO</x:v>
      </x:c>
      <x:c r="G1008" s="24" t="n">
        <x:v>1089</x:v>
      </x:c>
      <x:c r="H1008" s="24" t="n">
        <x:v>46118</x:v>
      </x:c>
      <x:c r="I1008" s="24" t="n">
        <x:v>46234</x:v>
      </x:c>
      <x:c r="J1008" s="24" t="str">
        <x:v>EXPIRADA</x:v>
      </x:c>
    </x:row>
    <x:row r="1009">
      <x:c r="A1009" s="24" t="n">
        <x:v>14</x:v>
      </x:c>
      <x:c r="B1009" s="24" t="str">
        <x:v>Lentes Kodak</x:v>
      </x:c>
      <x:c r="C1009" s="24" t="n">
        <x:v>344</x:v>
      </x:c>
      <x:c r="D1009" s="24" t="n">
        <x:v>401.4</x:v>
      </x:c>
      <x:c r="E1009" s="24" t="str">
        <x:v>1.50 1.469,00 1.469,00 1.199,00 849,00 1.089,00 699,00 649,00</x:v>
      </x:c>
      <x:c r="F1009" s="24" t="str">
        <x:v>D TRIO SEM AR MARCAÇÃO CLEAN</x:v>
      </x:c>
      <x:c r="G1009" s="24" t="n">
        <x:v>449</x:v>
      </x:c>
      <x:c r="H1009" s="24" t="n">
        <x:v>46118</x:v>
      </x:c>
      <x:c r="I1009" s="24" t="n">
        <x:v>46234</x:v>
      </x:c>
      <x:c r="J1009" s="24" t="str">
        <x:v>EXPIRADA</x:v>
      </x:c>
    </x:row>
    <x:row r="1010">
      <x:c r="A1010" s="24" t="n">
        <x:v>14</x:v>
      </x:c>
      <x:c r="B1010" s="24" t="str">
        <x:v>Lentes Kodak</x:v>
      </x:c>
      <x:c r="C1010" s="24" t="n">
        <x:v>344</x:v>
      </x:c>
      <x:c r="D1010" s="24" t="n">
        <x:v>326.1</x:v>
      </x:c>
      <x:c r="E1010" s="24" t="str">
        <x:v>1.50 1.469,00 1.469,00 1.199,00 849,00 1.089,00</x:v>
      </x:c>
      <x:c r="F1010" s="24" t="str">
        <x:v>TRIO OPTIFOG NO REFLEX EASY CLEAN</x:v>
      </x:c>
      <x:c r="G1010" s="24" t="n">
        <x:v>699</x:v>
      </x:c>
      <x:c r="H1010" s="24" t="n">
        <x:v>46118</x:v>
      </x:c>
      <x:c r="I1010" s="24" t="n">
        <x:v>46234</x:v>
      </x:c>
      <x:c r="J1010" s="24" t="str">
        <x:v>EXPIRADA</x:v>
      </x:c>
    </x:row>
    <x:row r="1011">
      <x:c r="A1011" s="24" t="n">
        <x:v>14</x:v>
      </x:c>
      <x:c r="B1011" s="24" t="str">
        <x:v>Lentes Kodak</x:v>
      </x:c>
      <x:c r="C1011" s="24" t="n">
        <x:v>344</x:v>
      </x:c>
      <x:c r="D1011" s="24" t="n">
        <x:v>180.6</x:v>
      </x:c>
      <x:c r="E1011" s="24" t="str">
        <x:v>1.50 1.469,00</x:v>
      </x:c>
      <x:c r="F1011" s="24" t="str">
        <x:v>TRADICIONAL CRIZAL CRIZAL CRIZAL ROCK PREVENCIA SAPPHIRE HR</x:v>
      </x:c>
      <x:c r="G1011" s="24" t="n">
        <x:v>1469</x:v>
      </x:c>
      <x:c r="H1011" s="24" t="n">
        <x:v>46118</x:v>
      </x:c>
      <x:c r="I1011" s="24" t="n">
        <x:v>46234</x:v>
      </x:c>
      <x:c r="J1011" s="24" t="str">
        <x:v>EXPIRADA</x:v>
      </x:c>
    </x:row>
    <x:row r="1012">
      <x:c r="A1012" s="24" t="n">
        <x:v>14</x:v>
      </x:c>
      <x:c r="B1012" s="24" t="str">
        <x:v>Lentes Kodak</x:v>
      </x:c>
      <x:c r="C1012" s="24" t="n">
        <x:v>357.8</x:v>
      </x:c>
      <x:c r="D1012" s="24" t="n">
        <x:v>141.1</x:v>
      </x:c>
      <x:c r="E1012" s="24" t="str">
        <x:v>Transitions Gen S</x:v>
      </x:c>
      <x:c r="F1012" s="24" t="str">
        <x:v>TRADICIONAL CRIZAL CRIZAL PREVENCIA SAPPHIRE 1.469,00 1.469,00</x:v>
      </x:c>
      <x:c r="G1012" s="24" t="n">
        <x:v>2409</x:v>
      </x:c>
      <x:c r="H1012" s="24" t="n">
        <x:v>46118</x:v>
      </x:c>
      <x:c r="I1012" s="24" t="n">
        <x:v>46234</x:v>
      </x:c>
      <x:c r="J1012" s="24" t="str">
        <x:v>EXPIRADA</x:v>
      </x:c>
    </x:row>
    <x:row r="1013">
      <x:c r="A1013" s="24" t="n">
        <x:v>14</x:v>
      </x:c>
      <x:c r="B1013" s="24" t="str">
        <x:v>Lentes Kodak</x:v>
      </x:c>
      <x:c r="C1013" s="24" t="n">
        <x:v>357.8</x:v>
      </x:c>
      <x:c r="D1013" s="24" t="n">
        <x:v>221.2</x:v>
      </x:c>
      <x:c r="E1013" s="24" t="str">
        <x:v>Transitions Gen S 2.409,00 2.409,00</x:v>
      </x:c>
      <x:c r="F1013" s="24" t="str">
        <x:v>CRIZAL CRIZAL CRIZAL ROCK HR EASY PRO 1.469,00 1.199,00 849,00</x:v>
      </x:c>
      <x:c r="G1013" s="24" t="n">
        <x:v>2139</x:v>
      </x:c>
      <x:c r="H1013" s="24" t="n">
        <x:v>46118</x:v>
      </x:c>
      <x:c r="I1013" s="24" t="n">
        <x:v>46234</x:v>
      </x:c>
      <x:c r="J1013" s="24" t="str">
        <x:v>EXPIRADA</x:v>
      </x:c>
    </x:row>
    <x:row r="1014">
      <x:c r="A1014" s="24" t="n">
        <x:v>14</x:v>
      </x:c>
      <x:c r="B1014" s="24" t="str">
        <x:v>Lentes Kodak</x:v>
      </x:c>
      <x:c r="C1014" s="24" t="n">
        <x:v>357.8</x:v>
      </x:c>
      <x:c r="D1014" s="24" t="n">
        <x:v>257.1</x:v>
      </x:c>
      <x:c r="E1014" s="24" t="str">
        <x:v>Transitions Gen S 2.409,00 2.409,00 2.139,00</x:v>
      </x:c>
      <x:c r="F1014" s="24" t="str">
        <x:v>CRIZAL CRIZAL OPTIFOG ROCK EASY PRO 1.199,00 849,00 1.089,00</x:v>
      </x:c>
      <x:c r="G1014" s="24" t="n">
        <x:v>1789</x:v>
      </x:c>
      <x:c r="H1014" s="24" t="n">
        <x:v>46118</x:v>
      </x:c>
      <x:c r="I1014" s="24" t="n">
        <x:v>46234</x:v>
      </x:c>
      <x:c r="J1014" s="24" t="str">
        <x:v>EXPIRADA</x:v>
      </x:c>
    </x:row>
    <x:row r="1015">
      <x:c r="A1015" s="24" t="n">
        <x:v>14</x:v>
      </x:c>
      <x:c r="B1015" s="24" t="str">
        <x:v>Lentes Kodak</x:v>
      </x:c>
      <x:c r="C1015" s="24" t="n">
        <x:v>357.8</x:v>
      </x:c>
      <x:c r="D1015" s="24" t="n">
        <x:v>291.4</x:v>
      </x:c>
      <x:c r="E1015" s="24" t="str">
        <x:v>Transitions Gen S 2.409,00 2.409,00 2.139,00 1.789,00</x:v>
      </x:c>
      <x:c r="F1015" s="24" t="str">
        <x:v>CRIZAL OPTIFOG NO REFLEX EASY PRO 849,00 1.089,00 699,00</x:v>
      </x:c>
      <x:c r="G1015" s="24" t="n">
        <x:v>2029</x:v>
      </x:c>
      <x:c r="H1015" s="24" t="n">
        <x:v>46118</x:v>
      </x:c>
      <x:c r="I1015" s="24" t="n">
        <x:v>46234</x:v>
      </x:c>
      <x:c r="J1015" s="24" t="str">
        <x:v>EXPIRADA</x:v>
      </x:c>
    </x:row>
    <x:row r="1016">
      <x:c r="A1016" s="24" t="n">
        <x:v>14</x:v>
      </x:c>
      <x:c r="B1016" s="24" t="str">
        <x:v>Lentes Kodak</x:v>
      </x:c>
      <x:c r="C1016" s="24" t="n">
        <x:v>357.8</x:v>
      </x:c>
      <x:c r="D1016" s="24" t="n">
        <x:v>326.2</x:v>
      </x:c>
      <x:c r="E1016" s="24" t="str">
        <x:v>Transitions Gen S 2.409,00 2.409,00 2.139,00 1.789,00 2.029,00</x:v>
      </x:c>
      <x:c r="F1016" s="24" t="str">
        <x:v>TRIO OPTIFOG NO REFLEX EASY CLEAN 649,00 1.089,00 699,00</x:v>
      </x:c>
      <x:c r="G1016" s="24" t="n">
        <x:v>1639</x:v>
      </x:c>
      <x:c r="H1016" s="24" t="n">
        <x:v>46118</x:v>
      </x:c>
      <x:c r="I1016" s="24" t="n">
        <x:v>46234</x:v>
      </x:c>
      <x:c r="J1016" s="24" t="str">
        <x:v>EXPIRADA</x:v>
      </x:c>
    </x:row>
    <x:row r="1017">
      <x:c r="A1017" s="24" t="n">
        <x:v>14</x:v>
      </x:c>
      <x:c r="B1017" s="24" t="str">
        <x:v>Lentes Kodak</x:v>
      </x:c>
      <x:c r="C1017" s="24" t="n">
        <x:v>357.8</x:v>
      </x:c>
      <x:c r="D1017" s="24" t="n">
        <x:v>400.6</x:v>
      </x:c>
      <x:c r="E1017" s="24" t="str">
        <x:v>Transitions Gen S 2.409,00 2.409,00 2.139,00 1.789,00 2.029,00 1.639,00 1.589,00</x:v>
      </x:c>
      <x:c r="F1017" s="24" t="str">
        <x:v>TRIO SEM AR MARCAÇÃO CLEAN 649,00 449,00</x:v>
      </x:c>
      <x:c r="G1017" s="24" t="n">
        <x:v>1389</x:v>
      </x:c>
      <x:c r="H1017" s="24" t="n">
        <x:v>46118</x:v>
      </x:c>
      <x:c r="I1017" s="24" t="n">
        <x:v>46234</x:v>
      </x:c>
      <x:c r="J1017" s="24" t="str">
        <x:v>EXPIRADA</x:v>
      </x:c>
    </x:row>
    <x:row r="1018">
      <x:c r="A1018" s="24" t="n">
        <x:v>14</x:v>
      </x:c>
      <x:c r="B1018" s="24" t="str">
        <x:v>Lentes Kodak</x:v>
      </x:c>
      <x:c r="C1018" s="24" t="n">
        <x:v>357.8</x:v>
      </x:c>
      <x:c r="D1018" s="24" t="n">
        <x:v>182.2</x:v>
      </x:c>
      <x:c r="E1018" s="24" t="str">
        <x:v>Transitions Gen S 2.409,00</x:v>
      </x:c>
      <x:c r="F1018" s="24" t="str">
        <x:v>TRADICIONAL CRIZAL CRIZAL ROCK SAPPHIRE HR 1.469,00 1.469,00 1.199,00</x:v>
      </x:c>
      <x:c r="G1018" s="24" t="n">
        <x:v>2409</x:v>
      </x:c>
      <x:c r="H1018" s="24" t="n">
        <x:v>46118</x:v>
      </x:c>
      <x:c r="I1018" s="24" t="n">
        <x:v>46234</x:v>
      </x:c>
      <x:c r="J1018" s="24" t="str">
        <x:v>EXPIRADA</x:v>
      </x:c>
    </x:row>
    <x:row r="1019">
      <x:c r="A1019" s="24" t="n">
        <x:v>14</x:v>
      </x:c>
      <x:c r="B1019" s="24" t="str">
        <x:v>Lentes Kodak</x:v>
      </x:c>
      <x:c r="C1019" s="24" t="n">
        <x:v>387.8</x:v>
      </x:c>
      <x:c r="D1019" s="24" t="n">
        <x:v>140</x:v>
      </x:c>
      <x:c r="E1019" s="24" t="str">
        <x:v>Poly</x:v>
      </x:c>
      <x:c r="F1019" s="24" t="str">
        <x:v>CRIZAL CRIZAL PREVENCIA SAPPHIRE 1.469,00 1.469,00 2.409,00 2.409,00 +R$940</x:v>
      </x:c>
      <x:c r="G1019" s="24" t="n">
        <x:v>1689</x:v>
      </x:c>
      <x:c r="H1019" s="24" t="n">
        <x:v>46118</x:v>
      </x:c>
      <x:c r="I1019" s="24" t="n">
        <x:v>46234</x:v>
      </x:c>
      <x:c r="J1019" s="24" t="str">
        <x:v>EXPIRADA</x:v>
      </x:c>
    </x:row>
    <x:row r="1020">
      <x:c r="A1020" s="24" t="n">
        <x:v>14</x:v>
      </x:c>
      <x:c r="B1020" s="24" t="str">
        <x:v>Lentes Kodak</x:v>
      </x:c>
      <x:c r="C1020" s="24" t="n">
        <x:v>387.8</x:v>
      </x:c>
      <x:c r="D1020" s="24" t="n">
        <x:v>220.7</x:v>
      </x:c>
      <x:c r="E1020" s="24" t="str">
        <x:v>Poly 1.689,00 1.689,00</x:v>
      </x:c>
      <x:c r="F1020" s="24" t="str">
        <x:v>SAPPHIRE HR EASY PRO 1.469,00 1.199,00 849,00 2.409,00 2.139,00 1.789,00</x:v>
      </x:c>
      <x:c r="G1020" s="24" t="n">
        <x:v>1419</x:v>
      </x:c>
      <x:c r="H1020" s="24" t="n">
        <x:v>46118</x:v>
      </x:c>
      <x:c r="I1020" s="24" t="n">
        <x:v>46234</x:v>
      </x:c>
      <x:c r="J1020" s="24" t="str">
        <x:v>EXPIRADA</x:v>
      </x:c>
    </x:row>
    <x:row r="1021">
      <x:c r="A1021" s="24" t="n">
        <x:v>14</x:v>
      </x:c>
      <x:c r="B1021" s="24" t="str">
        <x:v>Lentes Kodak</x:v>
      </x:c>
      <x:c r="C1021" s="24" t="n">
        <x:v>387.8</x:v>
      </x:c>
      <x:c r="D1021" s="24" t="n">
        <x:v>259.5</x:v>
      </x:c>
      <x:c r="E1021" s="24" t="str">
        <x:v>Poly 1.689,00 1.689,00 1.419,00</x:v>
      </x:c>
      <x:c r="F1021" s="24" t="str">
        <x:v>OPTIFOG ROCK EASY PRO 1.199,00 849,00 1.089,00 2.139,00 1.789,00 2.029,00</x:v>
      </x:c>
      <x:c r="G1021" s="24" t="n">
        <x:v>1069</x:v>
      </x:c>
      <x:c r="H1021" s="24" t="n">
        <x:v>46118</x:v>
      </x:c>
      <x:c r="I1021" s="24" t="n">
        <x:v>46234</x:v>
      </x:c>
      <x:c r="J1021" s="24" t="str">
        <x:v>EXPIRADA</x:v>
      </x:c>
    </x:row>
    <x:row r="1022">
      <x:c r="A1022" s="24" t="n">
        <x:v>14</x:v>
      </x:c>
      <x:c r="B1022" s="24" t="str">
        <x:v>Lentes Kodak</x:v>
      </x:c>
      <x:c r="C1022" s="24" t="n">
        <x:v>387.8</x:v>
      </x:c>
      <x:c r="D1022" s="24" t="n">
        <x:v>292.6</x:v>
      </x:c>
      <x:c r="E1022" s="24" t="str">
        <x:v>Poly 1.689,00 1.689,00 1.419,00 1.069,00</x:v>
      </x:c>
      <x:c r="F1022" s="24" t="str">
        <x:v>NO REFLEX EASY PRO 849,00 1.089,00 699,00 1.789,00 2.029,00 1.639,00</x:v>
      </x:c>
      <x:c r="G1022" s="24" t="n">
        <x:v>1309</x:v>
      </x:c>
      <x:c r="H1022" s="24" t="n">
        <x:v>46118</x:v>
      </x:c>
      <x:c r="I1022" s="24" t="n">
        <x:v>46234</x:v>
      </x:c>
      <x:c r="J1022" s="24" t="str">
        <x:v>EXPIRADA</x:v>
      </x:c>
    </x:row>
    <x:row r="1023">
      <x:c r="A1023" s="24" t="n">
        <x:v>14</x:v>
      </x:c>
      <x:c r="B1023" s="24" t="str">
        <x:v>Lentes Kodak</x:v>
      </x:c>
      <x:c r="C1023" s="24" t="n">
        <x:v>387.8</x:v>
      </x:c>
      <x:c r="D1023" s="24" t="n">
        <x:v>402.4</x:v>
      </x:c>
      <x:c r="E1023" s="24" t="str">
        <x:v>Poly 1.689,00 1.689,00 1.419,00 1.069,00 1.309,00 919,00 869,00</x:v>
      </x:c>
      <x:c r="F1023" s="24" t="str">
        <x:v>TRIO SEM AR MARCAÇÃO CLEAN 649,00 449,00 1.389,00 1.589,00</x:v>
      </x:c>
      <x:c r="G1023" s="24" t="n">
        <x:v>669</x:v>
      </x:c>
      <x:c r="H1023" s="24" t="n">
        <x:v>46118</x:v>
      </x:c>
      <x:c r="I1023" s="24" t="n">
        <x:v>46234</x:v>
      </x:c>
      <x:c r="J1023" s="24" t="str">
        <x:v>EXPIRADA</x:v>
      </x:c>
    </x:row>
    <x:row r="1024">
      <x:c r="A1024" s="24" t="n">
        <x:v>14</x:v>
      </x:c>
      <x:c r="B1024" s="24" t="str">
        <x:v>Lentes Kodak</x:v>
      </x:c>
      <x:c r="C1024" s="24" t="n">
        <x:v>387.8</x:v>
      </x:c>
      <x:c r="D1024" s="24" t="n">
        <x:v>326.5</x:v>
      </x:c>
      <x:c r="E1024" s="24" t="str">
        <x:v>Poly 1.689,00 1.689,00 1.419,00 1.069,00 1.309,00</x:v>
      </x:c>
      <x:c r="F1024" s="24" t="str">
        <x:v>NO REFLEX EASY CLEAN 649,00 1.089,00 699,00 2.029,00 1.639,00 1.589,00</x:v>
      </x:c>
      <x:c r="G1024" s="24" t="n">
        <x:v>919</x:v>
      </x:c>
      <x:c r="H1024" s="24" t="n">
        <x:v>46118</x:v>
      </x:c>
      <x:c r="I1024" s="24" t="n">
        <x:v>46234</x:v>
      </x:c>
      <x:c r="J1024" s="24" t="str">
        <x:v>EXPIRADA</x:v>
      </x:c>
    </x:row>
    <x:row r="1025">
      <x:c r="A1025" s="24" t="n">
        <x:v>14</x:v>
      </x:c>
      <x:c r="B1025" s="24" t="str">
        <x:v>Lentes Kodak</x:v>
      </x:c>
      <x:c r="C1025" s="24" t="n">
        <x:v>387.8</x:v>
      </x:c>
      <x:c r="D1025" s="24" t="n">
        <x:v>182.1</x:v>
      </x:c>
      <x:c r="E1025" s="24" t="str">
        <x:v>Poly 1.689,00</x:v>
      </x:c>
      <x:c r="F1025" s="24" t="str">
        <x:v>ROCK PREVENCIA SAPPHIRE HR 1.469,00 1.469,00 1.199,00 2.409,00 2.409,00 2.139,00</x:v>
      </x:c>
      <x:c r="G1025" s="24" t="n">
        <x:v>1689</x:v>
      </x:c>
      <x:c r="H1025" s="24" t="n">
        <x:v>46118</x:v>
      </x:c>
      <x:c r="I1025" s="24" t="n">
        <x:v>46234</x:v>
      </x:c>
      <x:c r="J1025" s="24" t="str">
        <x:v>EXPIRADA</x:v>
      </x:c>
    </x:row>
    <x:row r="1026">
      <x:c r="A1026" s="24" t="n">
        <x:v>14</x:v>
      </x:c>
      <x:c r="B1026" s="24" t="str">
        <x:v>Lentes Kodak</x:v>
      </x:c>
      <x:c r="C1026" s="24" t="n">
        <x:v>404.2</x:v>
      </x:c>
      <x:c r="D1026" s="24" t="n">
        <x:v>139.9</x:v>
      </x:c>
      <x:c r="E1026" s="24"/>
      <x:c r="F1026" s="24" t="str">
        <x:v>CRIZAL PREVENCIA SAPPHIRE 1.469,00 1.469,00 2.409,00 2.409,00 +R$940 1.689,00 1.689,00</x:v>
      </x:c>
      <x:c r="G1026" s="24" t="n">
        <x:v>2629</x:v>
      </x:c>
      <x:c r="H1026" s="24" t="n">
        <x:v>46118</x:v>
      </x:c>
      <x:c r="I1026" s="24" t="n">
        <x:v>46234</x:v>
      </x:c>
      <x:c r="J1026" s="24" t="str">
        <x:v>EXPIRADA</x:v>
      </x:c>
    </x:row>
    <x:row r="1027">
      <x:c r="A1027" s="24" t="n">
        <x:v>14</x:v>
      </x:c>
      <x:c r="B1027" s="24" t="str">
        <x:v>Lentes Kodak</x:v>
      </x:c>
      <x:c r="C1027" s="24" t="n">
        <x:v>404.2</x:v>
      </x:c>
      <x:c r="D1027" s="24" t="n">
        <x:v>220.9</x:v>
      </x:c>
      <x:c r="E1027" s="24" t="str">
        <x:v>2.629,00 2.629,00</x:v>
      </x:c>
      <x:c r="F1027" s="24" t="str">
        <x:v>PRO 1.469,00 1.199,00 849,00 2.409,00 2.139,00 1.789,00 1.419,00 1.069,00 1.689,00</x:v>
      </x:c>
      <x:c r="G1027" s="24" t="n">
        <x:v>2359</x:v>
      </x:c>
      <x:c r="H1027" s="24" t="n">
        <x:v>46118</x:v>
      </x:c>
      <x:c r="I1027" s="24" t="n">
        <x:v>46234</x:v>
      </x:c>
      <x:c r="J1027" s="24" t="str">
        <x:v>EXPIRADA</x:v>
      </x:c>
    </x:row>
    <x:row r="1028">
      <x:c r="A1028" s="24" t="n">
        <x:v>14</x:v>
      </x:c>
      <x:c r="B1028" s="24" t="str">
        <x:v>Lentes Kodak</x:v>
      </x:c>
      <x:c r="C1028" s="24" t="n">
        <x:v>404.2</x:v>
      </x:c>
      <x:c r="D1028" s="24" t="n">
        <x:v>257.9</x:v>
      </x:c>
      <x:c r="E1028" s="24" t="str">
        <x:v>2.629,00 2.629,00 2.359,00</x:v>
      </x:c>
      <x:c r="F1028" s="24" t="str">
        <x:v>PRO 1.199,00 849,00 1.089,00 2.139,00 1.789,00 2.029,00 1.419,00 1.069,00 1.309,00</x:v>
      </x:c>
      <x:c r="G1028" s="24" t="n">
        <x:v>2009</x:v>
      </x:c>
      <x:c r="H1028" s="24" t="n">
        <x:v>46118</x:v>
      </x:c>
      <x:c r="I1028" s="24" t="n">
        <x:v>46234</x:v>
      </x:c>
      <x:c r="J1028" s="24" t="str">
        <x:v>EXPIRADA</x:v>
      </x:c>
    </x:row>
    <x:row r="1029">
      <x:c r="A1029" s="24" t="n">
        <x:v>14</x:v>
      </x:c>
      <x:c r="B1029" s="24" t="str">
        <x:v>Lentes Kodak</x:v>
      </x:c>
      <x:c r="C1029" s="24" t="n">
        <x:v>404.2</x:v>
      </x:c>
      <x:c r="D1029" s="24" t="n">
        <x:v>290.7</x:v>
      </x:c>
      <x:c r="E1029" s="24" t="str">
        <x:v>2.629,00 2.629,00 2.359,00 2.009,00</x:v>
      </x:c>
      <x:c r="F1029" s="24" t="str">
        <x:v>PRO 849,00 1.089,00 699,00 1.789,00 2.029,00 1.639,00 1.069,00 1.309,00 919,00</x:v>
      </x:c>
      <x:c r="G1029" s="24" t="n">
        <x:v>2249</x:v>
      </x:c>
      <x:c r="H1029" s="24" t="n">
        <x:v>46118</x:v>
      </x:c>
      <x:c r="I1029" s="24" t="n">
        <x:v>46234</x:v>
      </x:c>
      <x:c r="J1029" s="24" t="str">
        <x:v>EXPIRADA</x:v>
      </x:c>
    </x:row>
    <x:row r="1030">
      <x:c r="A1030" s="24" t="n">
        <x:v>14</x:v>
      </x:c>
      <x:c r="B1030" s="24" t="str">
        <x:v>Lentes Kodak</x:v>
      </x:c>
      <x:c r="C1030" s="24" t="n">
        <x:v>404.2</x:v>
      </x:c>
      <x:c r="D1030" s="24" t="n">
        <x:v>324.6</x:v>
      </x:c>
      <x:c r="E1030" s="24" t="str">
        <x:v>2.629,00 2.629,00 2.359,00 2.009,00 2.249,00</x:v>
      </x:c>
      <x:c r="F1030" s="24" t="str">
        <x:v>CLEAN 649,00 1.089,00 699,00 2.029,00 1.639,00 1.589,00 1.309,00 919,00 869,00</x:v>
      </x:c>
      <x:c r="G1030" s="24" t="n">
        <x:v>1859</x:v>
      </x:c>
      <x:c r="H1030" s="24" t="n">
        <x:v>46118</x:v>
      </x:c>
      <x:c r="I1030" s="24" t="n">
        <x:v>46234</x:v>
      </x:c>
      <x:c r="J1030" s="24" t="str">
        <x:v>EXPIRADA</x:v>
      </x:c>
    </x:row>
    <x:row r="1031">
      <x:c r="A1031" s="24" t="n">
        <x:v>14</x:v>
      </x:c>
      <x:c r="B1031" s="24" t="str">
        <x:v>Lentes Kodak</x:v>
      </x:c>
      <x:c r="C1031" s="24" t="n">
        <x:v>344</x:v>
      </x:c>
      <x:c r="D1031" s="24" t="n">
        <x:v>363.4</x:v>
      </x:c>
      <x:c r="E1031" s="24" t="str">
        <x:v>1.50 1.469,00 1.469,00 1.199,00 849,00 1.089,00 699,00</x:v>
      </x:c>
      <x:c r="F1031" s="24" t="str">
        <x:v>TRIO SEM AR REFLEX EASY CLEAN</x:v>
      </x:c>
      <x:c r="G1031" s="24" t="n">
        <x:v>649</x:v>
      </x:c>
      <x:c r="H1031" s="24" t="n">
        <x:v>46118</x:v>
      </x:c>
      <x:c r="I1031" s="24" t="n">
        <x:v>46234</x:v>
      </x:c>
      <x:c r="J1031" s="24" t="str">
        <x:v>EXPIRADA</x:v>
      </x:c>
    </x:row>
    <x:row r="1032">
      <x:c r="A1032" s="24" t="n">
        <x:v>14</x:v>
      </x:c>
      <x:c r="B1032" s="24" t="str">
        <x:v>Lentes Kodak</x:v>
      </x:c>
      <x:c r="C1032" s="24" t="n">
        <x:v>357.8</x:v>
      </x:c>
      <x:c r="D1032" s="24" t="n">
        <x:v>364.5</x:v>
      </x:c>
      <x:c r="E1032" s="24" t="str">
        <x:v>Transitions Gen S 2.409,00 2.409,00 2.139,00 1.789,00 2.029,00 1.639,00</x:v>
      </x:c>
      <x:c r="F1032" s="24" t="str">
        <x:v>TRIO SEM AR REFLEX EASY CLEAN 649,00 699,00 449,00</x:v>
      </x:c>
      <x:c r="G1032" s="24" t="n">
        <x:v>1589</x:v>
      </x:c>
      <x:c r="H1032" s="24" t="n">
        <x:v>46118</x:v>
      </x:c>
      <x:c r="I1032" s="24" t="n">
        <x:v>46234</x:v>
      </x:c>
      <x:c r="J1032" s="24" t="str">
        <x:v>EXPIRADA</x:v>
      </x:c>
    </x:row>
    <x:row r="1033">
      <x:c r="A1033" s="24" t="n">
        <x:v>14</x:v>
      </x:c>
      <x:c r="B1033" s="24" t="str">
        <x:v>Lentes Kodak</x:v>
      </x:c>
      <x:c r="C1033" s="24" t="n">
        <x:v>149.3</x:v>
      </x:c>
      <x:c r="D1033" s="24" t="n">
        <x:v>137.6</x:v>
      </x:c>
      <x:c r="E1033" s="24" t="str">
        <x:v>1.50</x:v>
      </x:c>
      <x:c r="F1033" s="24" t="str">
        <x:v>sem custo MÍN 14mm adicional CRIZAL CRIZAL UHD PREVENCIA SAPPHIRE</x:v>
      </x:c>
      <x:c r="G1033" s="24" t="n">
        <x:v>1469</x:v>
      </x:c>
      <x:c r="H1033" s="24" t="n">
        <x:v>46118</x:v>
      </x:c>
      <x:c r="I1033" s="24" t="n">
        <x:v>46234</x:v>
      </x:c>
      <x:c r="J1033" s="24" t="str">
        <x:v>EXPIRADA</x:v>
      </x:c>
    </x:row>
    <x:row r="1034">
      <x:c r="A1034" s="24" t="n">
        <x:v>14</x:v>
      </x:c>
      <x:c r="B1034" s="24" t="str">
        <x:v>Lentes Kodak</x:v>
      </x:c>
      <x:c r="C1034" s="24" t="n">
        <x:v>149.3</x:v>
      </x:c>
      <x:c r="D1034" s="24" t="n">
        <x:v>218.8</x:v>
      </x:c>
      <x:c r="E1034" s="24" t="str">
        <x:v>1.50 1.469,00 1.469,00</x:v>
      </x:c>
      <x:c r="F1034" s="24" t="str">
        <x:v>CRIZAL CRIZAL CRIZAL ROCK SAPPHIRE HR EASY</x:v>
      </x:c>
      <x:c r="G1034" s="24" t="n">
        <x:v>1199</x:v>
      </x:c>
      <x:c r="H1034" s="24" t="n">
        <x:v>46118</x:v>
      </x:c>
      <x:c r="I1034" s="24" t="n">
        <x:v>46234</x:v>
      </x:c>
      <x:c r="J1034" s="24" t="str">
        <x:v>EXPIRADA</x:v>
      </x:c>
    </x:row>
    <x:row r="1035">
      <x:c r="A1035" s="24" t="n">
        <x:v>14</x:v>
      </x:c>
      <x:c r="B1035" s="24" t="str">
        <x:v>Lentes Kodak</x:v>
      </x:c>
      <x:c r="C1035" s="24" t="n">
        <x:v>149.3</x:v>
      </x:c>
      <x:c r="D1035" s="24" t="n">
        <x:v>257.9</x:v>
      </x:c>
      <x:c r="E1035" s="24" t="str">
        <x:v>1.50 1.469,00 1.469,00 1.199,00</x:v>
      </x:c>
      <x:c r="F1035" s="24" t="str">
        <x:v>CRIZAL CRIZAL OPTIFOG ROCK EASY PRO</x:v>
      </x:c>
      <x:c r="G1035" s="24" t="n">
        <x:v>849</x:v>
      </x:c>
      <x:c r="H1035" s="24" t="n">
        <x:v>46118</x:v>
      </x:c>
      <x:c r="I1035" s="24" t="n">
        <x:v>46234</x:v>
      </x:c>
      <x:c r="J1035" s="24" t="str">
        <x:v>EXPIRADA</x:v>
      </x:c>
    </x:row>
    <x:row r="1036">
      <x:c r="A1036" s="24" t="n">
        <x:v>14</x:v>
      </x:c>
      <x:c r="B1036" s="24" t="str">
        <x:v>Lentes Kodak</x:v>
      </x:c>
      <x:c r="C1036" s="24" t="n">
        <x:v>149.3</x:v>
      </x:c>
      <x:c r="D1036" s="24" t="n">
        <x:v>292.4</x:v>
      </x:c>
      <x:c r="E1036" s="24" t="str">
        <x:v>1.50 1.469,00 1.469,00 1.199,00 849,00</x:v>
      </x:c>
      <x:c r="F1036" s="24" t="str">
        <x:v>CRIZAL OPTIFOG NO REFLEX EASY PRO</x:v>
      </x:c>
      <x:c r="G1036" s="24" t="n">
        <x:v>1089</x:v>
      </x:c>
      <x:c r="H1036" s="24" t="n">
        <x:v>46118</x:v>
      </x:c>
      <x:c r="I1036" s="24" t="n">
        <x:v>46234</x:v>
      </x:c>
      <x:c r="J1036" s="24" t="str">
        <x:v>EXPIRADA</x:v>
      </x:c>
    </x:row>
    <x:row r="1037">
      <x:c r="A1037" s="24" t="n">
        <x:v>14</x:v>
      </x:c>
      <x:c r="B1037" s="24" t="str">
        <x:v>Lentes Kodak</x:v>
      </x:c>
      <x:c r="C1037" s="24" t="n">
        <x:v>149.3</x:v>
      </x:c>
      <x:c r="D1037" s="24" t="n">
        <x:v>402.4</x:v>
      </x:c>
      <x:c r="E1037" s="24" t="str">
        <x:v>1.50 1.469,00 1.469,00 1.199,00 849,00 1.089,00 699,00 649,00</x:v>
      </x:c>
      <x:c r="F1037" s="24" t="str">
        <x:v>VERDE-GRAFITE V MARROM ÂMBAR A TRIO VERNIZ HC MARCAÇÃO CLEAN</x:v>
      </x:c>
      <x:c r="G1037" s="24" t="n">
        <x:v>449</x:v>
      </x:c>
      <x:c r="H1037" s="24" t="n">
        <x:v>46118</x:v>
      </x:c>
      <x:c r="I1037" s="24" t="n">
        <x:v>46234</x:v>
      </x:c>
      <x:c r="J1037" s="24" t="str">
        <x:v>EXPIRADA</x:v>
      </x:c>
    </x:row>
    <x:row r="1038">
      <x:c r="A1038" s="24" t="n">
        <x:v>14</x:v>
      </x:c>
      <x:c r="B1038" s="24" t="str">
        <x:v>Lentes Kodak</x:v>
      </x:c>
      <x:c r="C1038" s="24" t="n">
        <x:v>149.3</x:v>
      </x:c>
      <x:c r="D1038" s="24" t="n">
        <x:v>329.6</x:v>
      </x:c>
      <x:c r="E1038" s="24" t="str">
        <x:v>1.50 1.469,00 1.469,00 1.199,00 849,00 1.089,00</x:v>
      </x:c>
      <x:c r="F1038" s="24" t="str">
        <x:v>CINZA C MARROM M TRIO OPTIFOG NO REFLEX EASY CLEAN</x:v>
      </x:c>
      <x:c r="G1038" s="24" t="n">
        <x:v>699</x:v>
      </x:c>
      <x:c r="H1038" s="24" t="n">
        <x:v>46118</x:v>
      </x:c>
      <x:c r="I1038" s="24" t="n">
        <x:v>46234</x:v>
      </x:c>
      <x:c r="J1038" s="24" t="str">
        <x:v>EXPIRADA</x:v>
      </x:c>
    </x:row>
    <x:row r="1039">
      <x:c r="A1039" s="24" t="n">
        <x:v>14</x:v>
      </x:c>
      <x:c r="B1039" s="24" t="str">
        <x:v>Lentes Kodak</x:v>
      </x:c>
      <x:c r="C1039" s="24" t="n">
        <x:v>149.3</x:v>
      </x:c>
      <x:c r="D1039" s="24" t="n">
        <x:v>179.6</x:v>
      </x:c>
      <x:c r="E1039" s="24" t="str">
        <x:v>1.50 1.469,00</x:v>
      </x:c>
      <x:c r="F1039" s="24" t="str">
        <x:v>* custo CRIZAL CRIZAL CRIZAL ROCK PREVENCIA SAPPHIRE HR</x:v>
      </x:c>
      <x:c r="G1039" s="24" t="n">
        <x:v>1469</x:v>
      </x:c>
      <x:c r="H1039" s="24" t="n">
        <x:v>46118</x:v>
      </x:c>
      <x:c r="I1039" s="24" t="n">
        <x:v>46234</x:v>
      </x:c>
      <x:c r="J1039" s="24" t="str">
        <x:v>EXPIRADA</x:v>
      </x:c>
    </x:row>
    <x:row r="1040">
      <x:c r="A1040" s="24" t="n">
        <x:v>14</x:v>
      </x:c>
      <x:c r="B1040" s="24" t="str">
        <x:v>Lentes Kodak</x:v>
      </x:c>
      <x:c r="C1040" s="24" t="n">
        <x:v>149.3</x:v>
      </x:c>
      <x:c r="D1040" s="24" t="n">
        <x:v>365.4</x:v>
      </x:c>
      <x:c r="E1040" s="24" t="str">
        <x:v>1.50 1.469,00 1.469,00 1.199,00 849,00 1.089,00 699,00</x:v>
      </x:c>
      <x:c r="F1040" s="24" t="str">
        <x:v>V MARROM ÂMBAR M A TRIO VERNIZ REFLEX EASY CLEAN</x:v>
      </x:c>
      <x:c r="G1040" s="24" t="n">
        <x:v>649</x:v>
      </x:c>
      <x:c r="H1040" s="24" t="n">
        <x:v>46118</x:v>
      </x:c>
      <x:c r="I1040" s="24" t="n">
        <x:v>46234</x:v>
      </x:c>
      <x:c r="J1040" s="24" t="str">
        <x:v>EXPIRADA</x:v>
      </x:c>
    </x:row>
    <x:row r="1041">
      <x:c r="A1041" s="24" t="n">
        <x:v>14</x:v>
      </x:c>
      <x:c r="B1041" s="24" t="str">
        <x:v>Lentes Kodak</x:v>
      </x:c>
      <x:c r="C1041" s="24" t="n">
        <x:v>387.8</x:v>
      </x:c>
      <x:c r="D1041" s="24" t="n">
        <x:v>364.8</x:v>
      </x:c>
      <x:c r="E1041" s="24" t="str">
        <x:v>Poly 1.689,00 1.689,00 1.419,00 1.069,00 1.309,00 919,00</x:v>
      </x:c>
      <x:c r="F1041" s="24" t="str">
        <x:v>AR REFLEX EASY CLEAN 649,00 699,00 449,00 1.639,00 1.389,00 1.589,00</x:v>
      </x:c>
      <x:c r="G1041" s="24" t="n">
        <x:v>869</x:v>
      </x:c>
      <x:c r="H1041" s="24" t="n">
        <x:v>46118</x:v>
      </x:c>
      <x:c r="I1041" s="24" t="n">
        <x:v>46234</x:v>
      </x:c>
      <x:c r="J1041" s="24" t="str">
        <x:v>EXPIRADA</x:v>
      </x:c>
    </x:row>
    <x:row r="1042">
      <x:c r="A1042" s="24" t="n">
        <x:v>14</x:v>
      </x:c>
      <x:c r="B1042" s="24" t="str">
        <x:v>Lentes Kodak</x:v>
      </x:c>
      <x:c r="C1042" s="24" t="n">
        <x:v>404.2</x:v>
      </x:c>
      <x:c r="D1042" s="24" t="n">
        <x:v>362.9</x:v>
      </x:c>
      <x:c r="E1042" s="24" t="str">
        <x:v>2.629,00 2.629,00 2.359,00 2.009,00 2.249,00 1.859,00</x:v>
      </x:c>
      <x:c r="F1042" s="24" t="str">
        <x:v>CLEAN 649,00 699,00 449,00 1.639,00 1.389,00 1.589,00 919,00 669,00 869,00</x:v>
      </x:c>
      <x:c r="G1042" s="24" t="n">
        <x:v>1809</x:v>
      </x:c>
      <x:c r="H1042" s="24" t="n">
        <x:v>46118</x:v>
      </x:c>
      <x:c r="I1042" s="24" t="n">
        <x:v>46234</x:v>
      </x:c>
      <x:c r="J1042" s="24" t="str">
        <x:v>EXPIRADA</x:v>
      </x:c>
    </x:row>
    <x:row r="1043">
      <x:c r="A1043" s="24" t="n">
        <x:v>14</x:v>
      </x:c>
      <x:c r="B1043" s="24" t="str">
        <x:v>Lentes Kodak</x:v>
      </x:c>
      <x:c r="C1043" s="24" t="n">
        <x:v>404.2</x:v>
      </x:c>
      <x:c r="D1043" s="24" t="n">
        <x:v>401</x:v>
      </x:c>
      <x:c r="E1043" s="24" t="str">
        <x:v>2.629,00 2.629,00 2.359,00 2.009,00 2.249,00 1.859,00 1.809,00</x:v>
      </x:c>
      <x:c r="F1043" s="24" t="str">
        <x:v>SEM AR MARCAÇÃO CLEAN 649,00 449,00 1.389,00 1.589,00 669,00 869,00</x:v>
      </x:c>
      <x:c r="G1043" s="24" t="n">
        <x:v>1609</x:v>
      </x:c>
      <x:c r="H1043" s="24" t="n">
        <x:v>46118</x:v>
      </x:c>
      <x:c r="I1043" s="24" t="n">
        <x:v>46234</x:v>
      </x:c>
      <x:c r="J1043" s="24" t="str">
        <x:v>EXPIRADA</x:v>
      </x:c>
    </x:row>
    <x:row r="1044">
      <x:c r="A1044" s="24" t="n">
        <x:v>14</x:v>
      </x:c>
      <x:c r="B1044" s="24" t="str">
        <x:v>Lentes Kodak</x:v>
      </x:c>
      <x:c r="C1044" s="24" t="n">
        <x:v>404.2</x:v>
      </x:c>
      <x:c r="D1044" s="24" t="n">
        <x:v>182</x:v>
      </x:c>
      <x:c r="E1044" s="24" t="str">
        <x:v>2.629,00</x:v>
      </x:c>
      <x:c r="F1044" s="24" t="str">
        <x:v>HR 1.469,00 1.469,00 1.199,00 2.409,00 2.409,00 2.139,00 1.689,00 1.419,00 1.689,00</x:v>
      </x:c>
      <x:c r="G1044" s="24" t="n">
        <x:v>2629</x:v>
      </x:c>
      <x:c r="H1044" s="24" t="n">
        <x:v>46118</x:v>
      </x:c>
      <x:c r="I1044" s="24" t="n">
        <x:v>46234</x:v>
      </x:c>
      <x:c r="J1044" s="24" t="str">
        <x:v>EXPIRADA</x:v>
      </x:c>
    </x:row>
    <x:row r="1045">
      <x:c r="A1045" s="24" t="n">
        <x:v>14</x:v>
      </x:c>
      <x:c r="B1045" s="24" t="str">
        <x:v>Lentes Kodak</x:v>
      </x:c>
      <x:c r="C1045" s="24" t="n">
        <x:v>230.7</x:v>
      </x:c>
      <x:c r="D1045" s="24" t="n">
        <x:v>137.2</x:v>
      </x:c>
      <x:c r="E1045" s="24" t="str">
        <x:v>1.67</x:v>
      </x:c>
      <x:c r="F1045" s="24" t="str">
        <x:v>1.469,00 1.469,00 2.409,00 2.409,00 +R$940 1.829,00 1.829,00 2.629,00 2.629,00 +R$940</x:v>
      </x:c>
      <x:c r="G1045" s="24" t="n">
        <x:v>3029</x:v>
      </x:c>
      <x:c r="H1045" s="24" t="n">
        <x:v>46118</x:v>
      </x:c>
      <x:c r="I1045" s="24" t="n">
        <x:v>46234</x:v>
      </x:c>
      <x:c r="J1045" s="24" t="str">
        <x:v>EXPIRADA</x:v>
      </x:c>
    </x:row>
    <x:row r="1046">
      <x:c r="A1046" s="24" t="n">
        <x:v>14</x:v>
      </x:c>
      <x:c r="B1046" s="24" t="str">
        <x:v>Lentes Kodak</x:v>
      </x:c>
      <x:c r="C1046" s="24" t="n">
        <x:v>230.7</x:v>
      </x:c>
      <x:c r="D1046" s="24" t="n">
        <x:v>219.4</x:v>
      </x:c>
      <x:c r="E1046" s="24" t="str">
        <x:v>1.67 3.029,00 3.029,00</x:v>
      </x:c>
      <x:c r="F1046" s="24" t="str">
        <x:v>849,00 2.409,00 2.139,00 1.789,00 1.829,00 1.559,00 1.209,00 2.629,00 2.359,00 2.009,00</x:v>
      </x:c>
      <x:c r="G1046" s="24" t="n">
        <x:v>2759</x:v>
      </x:c>
      <x:c r="H1046" s="24" t="n">
        <x:v>46118</x:v>
      </x:c>
      <x:c r="I1046" s="24" t="n">
        <x:v>46234</x:v>
      </x:c>
      <x:c r="J1046" s="24" t="str">
        <x:v>EXPIRADA</x:v>
      </x:c>
    </x:row>
    <x:row r="1047">
      <x:c r="A1047" s="24" t="n">
        <x:v>14</x:v>
      </x:c>
      <x:c r="B1047" s="24" t="str">
        <x:v>Lentes Kodak</x:v>
      </x:c>
      <x:c r="C1047" s="24" t="n">
        <x:v>230.7</x:v>
      </x:c>
      <x:c r="D1047" s="24" t="n">
        <x:v>256.7</x:v>
      </x:c>
      <x:c r="E1047" s="24" t="str">
        <x:v>1.67 3.029,00 3.029,00 2.759,00</x:v>
      </x:c>
      <x:c r="F1047" s="24" t="str">
        <x:v>1.089,00 2.139,00 1.789,00 2.029,00 1.559,00 1.209,00 1.449,00 2.359,00 2.009,00 2.249,00</x:v>
      </x:c>
      <x:c r="G1047" s="24" t="n">
        <x:v>2409</x:v>
      </x:c>
      <x:c r="H1047" s="24" t="n">
        <x:v>46118</x:v>
      </x:c>
      <x:c r="I1047" s="24" t="n">
        <x:v>46234</x:v>
      </x:c>
      <x:c r="J1047" s="24" t="str">
        <x:v>EXPIRADA</x:v>
      </x:c>
    </x:row>
    <x:row r="1048">
      <x:c r="A1048" s="24" t="n">
        <x:v>14</x:v>
      </x:c>
      <x:c r="B1048" s="24" t="str">
        <x:v>Lentes Kodak</x:v>
      </x:c>
      <x:c r="C1048" s="24" t="n">
        <x:v>230.7</x:v>
      </x:c>
      <x:c r="D1048" s="24" t="n">
        <x:v>293.1</x:v>
      </x:c>
      <x:c r="E1048" s="24" t="str">
        <x:v>1.67 3.029,00 3.029,00 2.759,00 2.409,00</x:v>
      </x:c>
      <x:c r="F1048" s="24" t="str">
        <x:v>699,00 1.789,00 2.029,00 1.639,00 1.209,00 1.449,00 1.059,00 2.009,00 2.249,00 1.859,00</x:v>
      </x:c>
      <x:c r="G1048" s="24" t="n">
        <x:v>2649</x:v>
      </x:c>
      <x:c r="H1048" s="24" t="n">
        <x:v>46118</x:v>
      </x:c>
      <x:c r="I1048" s="24" t="n">
        <x:v>46234</x:v>
      </x:c>
      <x:c r="J1048" s="24" t="str">
        <x:v>EXPIRADA</x:v>
      </x:c>
    </x:row>
    <x:row r="1049">
      <x:c r="A1049" s="24" t="n">
        <x:v>14</x:v>
      </x:c>
      <x:c r="B1049" s="24" t="str">
        <x:v>Lentes Kodak</x:v>
      </x:c>
      <x:c r="C1049" s="24" t="n">
        <x:v>244.4</x:v>
      </x:c>
      <x:c r="D1049" s="24" t="n">
        <x:v>136.1</x:v>
      </x:c>
      <x:c r="E1049" s="24" t="str">
        <x:v>Transitions Gen S</x:v>
      </x:c>
      <x:c r="F1049" s="24" t="str">
        <x:v>2.409,00 2.409,00 +R$940 1.829,00 1.829,00 2.629,00 2.629,00 +R$940 3.029,00 3.029,00</x:v>
      </x:c>
      <x:c r="G1049" s="24" t="n">
        <x:v>3829</x:v>
      </x:c>
      <x:c r="H1049" s="24" t="n">
        <x:v>46118</x:v>
      </x:c>
      <x:c r="I1049" s="24" t="n">
        <x:v>46234</x:v>
      </x:c>
      <x:c r="J1049" s="24" t="str">
        <x:v>EXPIRADA</x:v>
      </x:c>
    </x:row>
    <x:row r="1050">
      <x:c r="A1050" s="24" t="n">
        <x:v>14</x:v>
      </x:c>
      <x:c r="B1050" s="24" t="str">
        <x:v>Lentes Kodak</x:v>
      </x:c>
      <x:c r="C1050" s="24" t="n">
        <x:v>244.4</x:v>
      </x:c>
      <x:c r="D1050" s="24" t="n">
        <x:v>218.9</x:v>
      </x:c>
      <x:c r="E1050" s="24" t="str">
        <x:v>Transitions Gen S 3.829,00 3.829,00</x:v>
      </x:c>
      <x:c r="F1050" s="24" t="str">
        <x:v>1.789,00 1.829,00 1.559,00 1.209,00 2.629,00 2.359,00 2.009,00 3.029,00 2.759,00 2.409,00</x:v>
      </x:c>
      <x:c r="G1050" s="24" t="n">
        <x:v>3559</x:v>
      </x:c>
      <x:c r="H1050" s="24" t="n">
        <x:v>46118</x:v>
      </x:c>
      <x:c r="I1050" s="24" t="n">
        <x:v>46234</x:v>
      </x:c>
      <x:c r="J1050" s="24" t="str">
        <x:v>EXPIRADA</x:v>
      </x:c>
    </x:row>
    <x:row r="1051">
      <x:c r="A1051" s="24" t="n">
        <x:v>14</x:v>
      </x:c>
      <x:c r="B1051" s="24" t="str">
        <x:v>Lentes Kodak</x:v>
      </x:c>
      <x:c r="C1051" s="24" t="n">
        <x:v>244.4</x:v>
      </x:c>
      <x:c r="D1051" s="24" t="n">
        <x:v>256.5</x:v>
      </x:c>
      <x:c r="E1051" s="24" t="str">
        <x:v>Transitions Gen S 3.829,00 3.829,00 3.559,00</x:v>
      </x:c>
      <x:c r="F1051" s="24" t="str">
        <x:v>2.029,00 1.559,00 1.209,00 1.449,00 2.359,00 2.009,00 2.249,00 2.759,00 2.409,00 2.649,00</x:v>
      </x:c>
      <x:c r="G1051" s="24" t="n">
        <x:v>3209</x:v>
      </x:c>
      <x:c r="H1051" s="24" t="n">
        <x:v>46118</x:v>
      </x:c>
      <x:c r="I1051" s="24" t="n">
        <x:v>46234</x:v>
      </x:c>
      <x:c r="J1051" s="24" t="str">
        <x:v>EXPIRADA</x:v>
      </x:c>
    </x:row>
    <x:row r="1052">
      <x:c r="A1052" s="24" t="n">
        <x:v>14</x:v>
      </x:c>
      <x:c r="B1052" s="24" t="str">
        <x:v>Lentes Kodak</x:v>
      </x:c>
      <x:c r="C1052" s="24" t="n">
        <x:v>244.4</x:v>
      </x:c>
      <x:c r="D1052" s="24" t="n">
        <x:v>292.9</x:v>
      </x:c>
      <x:c r="E1052" s="24" t="str">
        <x:v>Transitions Gen S 3.829,00 3.829,00 3.559,00 3.209,00</x:v>
      </x:c>
      <x:c r="F1052" s="24" t="str">
        <x:v>1.639,00 1.209,00 1.449,00 1.059,00 2.009,00 2.249,00 1.859,00 2.409,00 2.649,00 2.259,00</x:v>
      </x:c>
      <x:c r="G1052" s="24" t="n">
        <x:v>3449</x:v>
      </x:c>
      <x:c r="H1052" s="24" t="n">
        <x:v>46118</x:v>
      </x:c>
      <x:c r="I1052" s="24" t="n">
        <x:v>46234</x:v>
      </x:c>
      <x:c r="J1052" s="24" t="str">
        <x:v>EXPIRADA</x:v>
      </x:c>
    </x:row>
    <x:row r="1053">
      <x:c r="A1053" s="24" t="n">
        <x:v>14</x:v>
      </x:c>
      <x:c r="B1053" s="24" t="str">
        <x:v>Lentes Kodak</x:v>
      </x:c>
      <x:c r="C1053" s="24" t="n">
        <x:v>230.7</x:v>
      </x:c>
      <x:c r="D1053" s="24" t="n">
        <x:v>329.7</x:v>
      </x:c>
      <x:c r="E1053" s="24" t="str">
        <x:v>1.67 3.029,00 3.029,00 2.759,00 2.409,00 2.649,00</x:v>
      </x:c>
      <x:c r="F1053" s="24" t="str">
        <x:v>649,00 2.029,00 1.639,00 1.589,00 1.449,00 1.059,00 1.009,00 2.249,00 1.859,00 1.809,00</x:v>
      </x:c>
      <x:c r="G1053" s="24" t="n">
        <x:v>2259</x:v>
      </x:c>
      <x:c r="H1053" s="24" t="n">
        <x:v>46118</x:v>
      </x:c>
      <x:c r="I1053" s="24" t="n">
        <x:v>46234</x:v>
      </x:c>
      <x:c r="J1053" s="24" t="str">
        <x:v>EXPIRADA</x:v>
      </x:c>
    </x:row>
    <x:row r="1054">
      <x:c r="A1054" s="24" t="n">
        <x:v>14</x:v>
      </x:c>
      <x:c r="B1054" s="24" t="str">
        <x:v>Lentes Kodak</x:v>
      </x:c>
      <x:c r="C1054" s="24" t="n">
        <x:v>230.7</x:v>
      </x:c>
      <x:c r="D1054" s="24" t="n">
        <x:v>179.7</x:v>
      </x:c>
      <x:c r="E1054" s="24" t="str">
        <x:v>1.67 3.029,00</x:v>
      </x:c>
      <x:c r="F1054" s="24" t="str">
        <x:v>1.199,00 2.409,00 2.409,00 2.139,00 1.829,00 1.829,00 1.559,00 2.629,00 2.629,00 2.359,00</x:v>
      </x:c>
      <x:c r="G1054" s="24" t="n">
        <x:v>3029</x:v>
      </x:c>
      <x:c r="H1054" s="24" t="n">
        <x:v>46118</x:v>
      </x:c>
      <x:c r="I1054" s="24" t="n">
        <x:v>46234</x:v>
      </x:c>
      <x:c r="J1054" s="24" t="str">
        <x:v>EXPIRADA</x:v>
      </x:c>
    </x:row>
    <x:row r="1055">
      <x:c r="A1055" s="24" t="n">
        <x:v>14</x:v>
      </x:c>
      <x:c r="B1055" s="24" t="str">
        <x:v>Lentes Kodak</x:v>
      </x:c>
      <x:c r="C1055" s="24" t="n">
        <x:v>244.4</x:v>
      </x:c>
      <x:c r="D1055" s="24" t="n">
        <x:v>179.7</x:v>
      </x:c>
      <x:c r="E1055" s="24" t="str">
        <x:v>Transitions Gen S 3.829,00</x:v>
      </x:c>
      <x:c r="F1055" s="24" t="str">
        <x:v>2.139,00 1.829,00 1.829,00 1.559,00 2.629,00 2.629,00 2.359,00 3.029,00 3.029,00 2.759,00</x:v>
      </x:c>
      <x:c r="G1055" s="24" t="n">
        <x:v>3829</x:v>
      </x:c>
      <x:c r="H1055" s="24" t="n">
        <x:v>46118</x:v>
      </x:c>
      <x:c r="I1055" s="24" t="n">
        <x:v>46234</x:v>
      </x:c>
      <x:c r="J1055" s="24" t="str">
        <x:v>EXPIRADA</x:v>
      </x:c>
    </x:row>
    <x:row r="1056">
      <x:c r="A1056" s="24" t="n">
        <x:v>14</x:v>
      </x:c>
      <x:c r="B1056" s="24" t="str">
        <x:v>Lentes Kodak</x:v>
      </x:c>
      <x:c r="C1056" s="24" t="n">
        <x:v>244.4</x:v>
      </x:c>
      <x:c r="D1056" s="24" t="n">
        <x:v>328.3</x:v>
      </x:c>
      <x:c r="E1056" s="24" t="str">
        <x:v>Transitions Gen S 3.829,00 3.829,00 3.559,00 3.209,00 3.449,00</x:v>
      </x:c>
      <x:c r="F1056" s="24" t="str">
        <x:v>1.589,00 1.449,00 1.059,00 1.009,00 2.249,00 1.859,00 1.809,00 2.649,00 2.259,00 2.209,00</x:v>
      </x:c>
      <x:c r="G1056" s="24" t="n">
        <x:v>3059</x:v>
      </x:c>
      <x:c r="H1056" s="24" t="n">
        <x:v>46118</x:v>
      </x:c>
      <x:c r="I1056" s="24" t="n">
        <x:v>46234</x:v>
      </x:c>
      <x:c r="J1056" s="24" t="str">
        <x:v>EXPIRADA</x:v>
      </x:c>
    </x:row>
    <x:row r="1057">
      <x:c r="A1057" s="24" t="n">
        <x:v>14</x:v>
      </x:c>
      <x:c r="B1057" s="24" t="str">
        <x:v>Lentes Kodak</x:v>
      </x:c>
      <x:c r="C1057" s="24" t="n">
        <x:v>163.2</x:v>
      </x:c>
      <x:c r="D1057" s="24" t="n">
        <x:v>135.5</x:v>
      </x:c>
      <x:c r="E1057" s="24" t="str">
        <x:v>Transitions Gen S</x:v>
      </x:c>
      <x:c r="F1057" s="24" t="str">
        <x:v>MÍN 14mm adicional CRIZAL CRIZAL UHD PREVENCIA SAPPHIRE 1.469,00 1.469,00</x:v>
      </x:c>
      <x:c r="G1057" s="24" t="n">
        <x:v>2409</x:v>
      </x:c>
      <x:c r="H1057" s="24" t="n">
        <x:v>46118</x:v>
      </x:c>
      <x:c r="I1057" s="24" t="n">
        <x:v>46234</x:v>
      </x:c>
      <x:c r="J1057" s="24" t="str">
        <x:v>EXPIRADA</x:v>
      </x:c>
    </x:row>
    <x:row r="1058">
      <x:c r="A1058" s="24" t="n">
        <x:v>14</x:v>
      </x:c>
      <x:c r="B1058" s="24" t="str">
        <x:v>Lentes Kodak</x:v>
      </x:c>
      <x:c r="C1058" s="24" t="n">
        <x:v>163.2</x:v>
      </x:c>
      <x:c r="D1058" s="24" t="n">
        <x:v>219.3</x:v>
      </x:c>
      <x:c r="E1058" s="24" t="str">
        <x:v>Transitions Gen S 2.409,00 2.409,00</x:v>
      </x:c>
      <x:c r="F1058" s="24" t="str">
        <x:v>CRIZAL CRIZAL CRIZAL ROCK SAPPHIRE HR EASY 1.469,00 1.199,00 849,00</x:v>
      </x:c>
      <x:c r="G1058" s="24" t="n">
        <x:v>2139</x:v>
      </x:c>
      <x:c r="H1058" s="24" t="n">
        <x:v>46118</x:v>
      </x:c>
      <x:c r="I1058" s="24" t="n">
        <x:v>46234</x:v>
      </x:c>
      <x:c r="J1058" s="24" t="str">
        <x:v>EXPIRADA</x:v>
      </x:c>
    </x:row>
    <x:row r="1059">
      <x:c r="A1059" s="24" t="n">
        <x:v>14</x:v>
      </x:c>
      <x:c r="B1059" s="24" t="str">
        <x:v>Lentes Kodak</x:v>
      </x:c>
      <x:c r="C1059" s="24" t="n">
        <x:v>163.2</x:v>
      </x:c>
      <x:c r="D1059" s="24" t="n">
        <x:v>256.1</x:v>
      </x:c>
      <x:c r="E1059" s="24" t="str">
        <x:v>Transitions Gen S 2.409,00 2.409,00 2.139,00</x:v>
      </x:c>
      <x:c r="F1059" s="24" t="str">
        <x:v>CRIZAL CRIZAL OPTIFOG ROCK EASY PRO 1.199,00 849,00 1.089,00</x:v>
      </x:c>
      <x:c r="G1059" s="24" t="n">
        <x:v>1789</x:v>
      </x:c>
      <x:c r="H1059" s="24" t="n">
        <x:v>46118</x:v>
      </x:c>
      <x:c r="I1059" s="24" t="n">
        <x:v>46234</x:v>
      </x:c>
      <x:c r="J1059" s="24" t="str">
        <x:v>EXPIRADA</x:v>
      </x:c>
    </x:row>
    <x:row r="1060">
      <x:c r="A1060" s="24" t="n">
        <x:v>14</x:v>
      </x:c>
      <x:c r="B1060" s="24" t="str">
        <x:v>Lentes Kodak</x:v>
      </x:c>
      <x:c r="C1060" s="24" t="n">
        <x:v>163.2</x:v>
      </x:c>
      <x:c r="D1060" s="24" t="n">
        <x:v>291.1</x:v>
      </x:c>
      <x:c r="E1060" s="24" t="str">
        <x:v>Transitions Gen S 2.409,00 2.409,00 2.139,00 1.789,00</x:v>
      </x:c>
      <x:c r="F1060" s="24" t="str">
        <x:v>CRIZAL OPTIFOG NO REFLEX EASY PRO 849,00 1.089,00 699,00</x:v>
      </x:c>
      <x:c r="G1060" s="24" t="n">
        <x:v>2029</x:v>
      </x:c>
      <x:c r="H1060" s="24" t="n">
        <x:v>46118</x:v>
      </x:c>
      <x:c r="I1060" s="24" t="n">
        <x:v>46234</x:v>
      </x:c>
      <x:c r="J1060" s="24" t="str">
        <x:v>EXPIRADA</x:v>
      </x:c>
    </x:row>
    <x:row r="1061">
      <x:c r="A1061" s="24" t="n">
        <x:v>14</x:v>
      </x:c>
      <x:c r="B1061" s="24" t="str">
        <x:v>Lentes Kodak</x:v>
      </x:c>
      <x:c r="C1061" s="24" t="n">
        <x:v>163.2</x:v>
      </x:c>
      <x:c r="D1061" s="24" t="n">
        <x:v>401.4</x:v>
      </x:c>
      <x:c r="E1061" s="24" t="str">
        <x:v>Transitions Gen S 2.409,00 2.409,00 2.139,00 1.789,00 2.029,00 1.639,00 1.589,00</x:v>
      </x:c>
      <x:c r="F1061" s="24" t="str">
        <x:v>A TRIO VERNIZ HC MARCAÇÃO CLEAN 649,00 449,00 U D</x:v>
      </x:c>
      <x:c r="G1061" s="24" t="n">
        <x:v>1389</x:v>
      </x:c>
      <x:c r="H1061" s="24" t="n">
        <x:v>46118</x:v>
      </x:c>
      <x:c r="I1061" s="24" t="n">
        <x:v>46234</x:v>
      </x:c>
      <x:c r="J1061" s="24" t="str">
        <x:v>EXPIRADA</x:v>
      </x:c>
    </x:row>
    <x:row r="1062">
      <x:c r="A1062" s="24" t="n">
        <x:v>14</x:v>
      </x:c>
      <x:c r="B1062" s="24" t="str">
        <x:v>Lentes Kodak</x:v>
      </x:c>
      <x:c r="C1062" s="24" t="n">
        <x:v>163.2</x:v>
      </x:c>
      <x:c r="D1062" s="24" t="n">
        <x:v>327.8</x:v>
      </x:c>
      <x:c r="E1062" s="24" t="str">
        <x:v>Transitions Gen S 2.409,00 2.409,00 2.139,00 1.789,00 2.029,00</x:v>
      </x:c>
      <x:c r="F1062" s="24" t="str">
        <x:v>M TRIO OPTIFOG NO REFLEX EASY CLEAN 1.089,00 699,00 649,00</x:v>
      </x:c>
      <x:c r="G1062" s="24" t="n">
        <x:v>1639</x:v>
      </x:c>
      <x:c r="H1062" s="24" t="n">
        <x:v>46118</x:v>
      </x:c>
      <x:c r="I1062" s="24" t="n">
        <x:v>46234</x:v>
      </x:c>
      <x:c r="J1062" s="24" t="str">
        <x:v>EXPIRADA</x:v>
      </x:c>
    </x:row>
    <x:row r="1063">
      <x:c r="A1063" s="24" t="n">
        <x:v>14</x:v>
      </x:c>
      <x:c r="B1063" s="24" t="str">
        <x:v>Lentes Kodak</x:v>
      </x:c>
      <x:c r="C1063" s="24" t="n">
        <x:v>163.2</x:v>
      </x:c>
      <x:c r="D1063" s="24" t="n">
        <x:v>179.9</x:v>
      </x:c>
      <x:c r="E1063" s="24" t="str">
        <x:v>Transitions Gen S 2.409,00</x:v>
      </x:c>
      <x:c r="F1063" s="24" t="str">
        <x:v>CRIZAL CRIZAL CRIZAL ROCK PREVENCIA SAPPHIRE HR 1.469,00 1.469,00 1.199,00</x:v>
      </x:c>
      <x:c r="G1063" s="24" t="n">
        <x:v>2409</x:v>
      </x:c>
      <x:c r="H1063" s="24" t="n">
        <x:v>46118</x:v>
      </x:c>
      <x:c r="I1063" s="24" t="n">
        <x:v>46234</x:v>
      </x:c>
      <x:c r="J1063" s="24" t="str">
        <x:v>EXPIRADA</x:v>
      </x:c>
    </x:row>
    <x:row r="1064">
      <x:c r="A1064" s="24" t="n">
        <x:v>14</x:v>
      </x:c>
      <x:c r="B1064" s="24" t="str">
        <x:v>Lentes Kodak</x:v>
      </x:c>
      <x:c r="C1064" s="24" t="n">
        <x:v>230.7</x:v>
      </x:c>
      <x:c r="D1064" s="24" t="n">
        <x:v>367</x:v>
      </x:c>
      <x:c r="E1064" s="24" t="str">
        <x:v>1.67 3.029,00 3.029,00 2.759,00 2.409,00 2.649,00 2.259,00</x:v>
      </x:c>
      <x:c r="F1064" s="24" t="str">
        <x:v>449,00 1.639,00 1.589,00 1.389,00 1.059,00 1.009,00 809,00 1.859,00 1.809,00 1.609,00</x:v>
      </x:c>
      <x:c r="G1064" s="24" t="n">
        <x:v>2209</x:v>
      </x:c>
      <x:c r="H1064" s="24" t="n">
        <x:v>46118</x:v>
      </x:c>
      <x:c r="I1064" s="24" t="n">
        <x:v>46234</x:v>
      </x:c>
      <x:c r="J1064" s="24" t="str">
        <x:v>EXPIRADA</x:v>
      </x:c>
    </x:row>
    <x:row r="1065">
      <x:c r="A1065" s="24" t="n">
        <x:v>14</x:v>
      </x:c>
      <x:c r="B1065" s="24" t="str">
        <x:v>Lentes Kodak</x:v>
      </x:c>
      <x:c r="C1065" s="24" t="n">
        <x:v>244.4</x:v>
      </x:c>
      <x:c r="D1065" s="24" t="n">
        <x:v>366.6</x:v>
      </x:c>
      <x:c r="E1065" s="24" t="str">
        <x:v>Transitions Gen S 3.829,00 3.829,00 3.559,00 3.209,00 3.449,00 3.059,00</x:v>
      </x:c>
      <x:c r="F1065" s="24" t="str">
        <x:v>1.389,00 1.059,00 1.009,00 809,00 1.859,00 1.809,00 1.609,00 2.259,00 2.209,00 -</x:v>
      </x:c>
      <x:c r="G1065" s="24" t="n">
        <x:v>3009</x:v>
      </x:c>
      <x:c r="H1065" s="24" t="n">
        <x:v>46118</x:v>
      </x:c>
      <x:c r="I1065" s="24" t="n">
        <x:v>46234</x:v>
      </x:c>
      <x:c r="J1065" s="24" t="str">
        <x:v>EXPIRADA</x:v>
      </x:c>
    </x:row>
    <x:row r="1066">
      <x:c r="A1066" s="24" t="n">
        <x:v>14</x:v>
      </x:c>
      <x:c r="B1066" s="24" t="str">
        <x:v>Lentes Kodak</x:v>
      </x:c>
      <x:c r="C1066" s="24" t="n">
        <x:v>163.2</x:v>
      </x:c>
      <x:c r="D1066" s="24" t="n">
        <x:v>363.9</x:v>
      </x:c>
      <x:c r="E1066" s="24" t="str">
        <x:v>Transitions Gen S 2.409,00 2.409,00 2.139,00 1.789,00 2.029,00 1.639,00</x:v>
      </x:c>
      <x:c r="F1066" s="24" t="str">
        <x:v>M A TRIO VERNIZ REFLEX EASY CLEAN 699,00 649,00 449,00</x:v>
      </x:c>
      <x:c r="G1066" s="24" t="n">
        <x:v>1589</x:v>
      </x:c>
      <x:c r="H1066" s="24" t="n">
        <x:v>46118</x:v>
      </x:c>
      <x:c r="I1066" s="24" t="n">
        <x:v>46234</x:v>
      </x:c>
      <x:c r="J1066" s="24" t="str">
        <x:v>EXPIRADA</x:v>
      </x:c>
    </x:row>
    <x:row r="1067">
      <x:c r="A1067" s="24" t="n">
        <x:v>14</x:v>
      </x:c>
      <x:c r="B1067" s="24" t="str">
        <x:v>Lentes Kodak</x:v>
      </x:c>
      <x:c r="C1067" s="24" t="n">
        <x:v>205.4</x:v>
      </x:c>
      <x:c r="D1067" s="24" t="n">
        <x:v>136.9</x:v>
      </x:c>
      <x:c r="E1067" s="24"/>
      <x:c r="F1067" s="24" t="str">
        <x:v>UHD PREVENCIA SAPPHIRE 1.469,00 1.469,00 2.409,00 2.409,00 +R$940 1.829,00 1.829,00</x:v>
      </x:c>
      <x:c r="G1067" s="24" t="n">
        <x:v>2629</x:v>
      </x:c>
      <x:c r="H1067" s="24" t="n">
        <x:v>46118</x:v>
      </x:c>
      <x:c r="I1067" s="24" t="n">
        <x:v>46234</x:v>
      </x:c>
      <x:c r="J1067" s="24" t="str">
        <x:v>EXPIRADA</x:v>
      </x:c>
    </x:row>
    <x:row r="1068">
      <x:c r="A1068" s="24" t="n">
        <x:v>14</x:v>
      </x:c>
      <x:c r="B1068" s="24" t="str">
        <x:v>Lentes Kodak</x:v>
      </x:c>
      <x:c r="C1068" s="24" t="n">
        <x:v>205.4</x:v>
      </x:c>
      <x:c r="D1068" s="24" t="n">
        <x:v>218.5</x:v>
      </x:c>
      <x:c r="E1068" s="24" t="str">
        <x:v>2.629,00 2.629,00</x:v>
      </x:c>
      <x:c r="F1068" s="24" t="str">
        <x:v>EASY 1.469,00 1.199,00 849,00 2.409,00 2.139,00 1.789,00 1.829,00 1.559,00 1.209,00</x:v>
      </x:c>
      <x:c r="G1068" s="24" t="n">
        <x:v>2359</x:v>
      </x:c>
      <x:c r="H1068" s="24" t="n">
        <x:v>46118</x:v>
      </x:c>
      <x:c r="I1068" s="24" t="n">
        <x:v>46234</x:v>
      </x:c>
      <x:c r="J1068" s="24" t="str">
        <x:v>EXPIRADA</x:v>
      </x:c>
    </x:row>
    <x:row r="1069">
      <x:c r="A1069" s="24" t="n">
        <x:v>14</x:v>
      </x:c>
      <x:c r="B1069" s="24" t="str">
        <x:v>Lentes Kodak</x:v>
      </x:c>
      <x:c r="C1069" s="24" t="n">
        <x:v>205.4</x:v>
      </x:c>
      <x:c r="D1069" s="24" t="n">
        <x:v>256.1</x:v>
      </x:c>
      <x:c r="E1069" s="24" t="str">
        <x:v>2.629,00 2.629,00 2.359,00</x:v>
      </x:c>
      <x:c r="F1069" s="24" t="str">
        <x:v>PRO 1.199,00 849,00 1.089,00 2.139,00 1.789,00 2.029,00 1.559,00 1.209,00 1.449,00</x:v>
      </x:c>
      <x:c r="G1069" s="24" t="n">
        <x:v>2009</x:v>
      </x:c>
      <x:c r="H1069" s="24" t="n">
        <x:v>46118</x:v>
      </x:c>
      <x:c r="I1069" s="24" t="n">
        <x:v>46234</x:v>
      </x:c>
      <x:c r="J1069" s="24" t="str">
        <x:v>EXPIRADA</x:v>
      </x:c>
    </x:row>
    <x:row r="1070">
      <x:c r="A1070" s="24" t="n">
        <x:v>14</x:v>
      </x:c>
      <x:c r="B1070" s="24" t="str">
        <x:v>Lentes Kodak</x:v>
      </x:c>
      <x:c r="C1070" s="24" t="n">
        <x:v>205.4</x:v>
      </x:c>
      <x:c r="D1070" s="24" t="n">
        <x:v>292.9</x:v>
      </x:c>
      <x:c r="E1070" s="24" t="str">
        <x:v>2.629,00 2.629,00 2.359,00 2.009,00</x:v>
      </x:c>
      <x:c r="F1070" s="24" t="str">
        <x:v>PRO 849,00 1.089,00 699,00 1.789,00 2.029,00 1.639,00 1.209,00 1.449,00 1.059,00</x:v>
      </x:c>
      <x:c r="G1070" s="24" t="n">
        <x:v>2249</x:v>
      </x:c>
      <x:c r="H1070" s="24" t="n">
        <x:v>46118</x:v>
      </x:c>
      <x:c r="I1070" s="24" t="n">
        <x:v>46234</x:v>
      </x:c>
      <x:c r="J1070" s="24" t="str">
        <x:v>EXPIRADA</x:v>
      </x:c>
    </x:row>
    <x:row r="1071">
      <x:c r="A1071" s="24" t="n">
        <x:v>14</x:v>
      </x:c>
      <x:c r="B1071" s="24" t="str">
        <x:v>Lentes Kodak</x:v>
      </x:c>
      <x:c r="C1071" s="24" t="n">
        <x:v>205.4</x:v>
      </x:c>
      <x:c r="D1071" s="24" t="n">
        <x:v>329.9</x:v>
      </x:c>
      <x:c r="E1071" s="24" t="str">
        <x:v>2.629,00 2.629,00 2.359,00 2.009,00 2.249,00</x:v>
      </x:c>
      <x:c r="F1071" s="24" t="str">
        <x:v>CLEAN 1.089,00 699,00 649,00 2.029,00 1.639,00 1.589,00 1.449,00 1.059,00 1.009,00</x:v>
      </x:c>
      <x:c r="G1071" s="24" t="n">
        <x:v>1859</x:v>
      </x:c>
      <x:c r="H1071" s="24" t="n">
        <x:v>46118</x:v>
      </x:c>
      <x:c r="I1071" s="24" t="n">
        <x:v>46234</x:v>
      </x:c>
      <x:c r="J1071" s="24" t="str">
        <x:v>EXPIRADA</x:v>
      </x:c>
    </x:row>
    <x:row r="1072">
      <x:c r="A1072" s="24" t="n">
        <x:v>14</x:v>
      </x:c>
      <x:c r="B1072" s="24" t="str">
        <x:v>Lentes Kodak</x:v>
      </x:c>
      <x:c r="C1072" s="24" t="n">
        <x:v>205.4</x:v>
      </x:c>
      <x:c r="D1072" s="24" t="n">
        <x:v>365</x:v>
      </x:c>
      <x:c r="E1072" s="24" t="str">
        <x:v>2.629,00 2.629,00 2.359,00 2.009,00 2.249,00 1.859,00</x:v>
      </x:c>
      <x:c r="F1072" s="24" t="str">
        <x:v>CLEAN 699,00 649,00 449,00 1.639,00 1.589,00 1.389,00 1.059,00 1.009,00 809,00</x:v>
      </x:c>
      <x:c r="G1072" s="24" t="n">
        <x:v>1809</x:v>
      </x:c>
      <x:c r="H1072" s="24" t="n">
        <x:v>46118</x:v>
      </x:c>
      <x:c r="I1072" s="24" t="n">
        <x:v>46234</x:v>
      </x:c>
      <x:c r="J1072" s="24" t="str">
        <x:v>EXPIRADA</x:v>
      </x:c>
    </x:row>
    <x:row r="1073">
      <x:c r="A1073" s="24" t="n">
        <x:v>14</x:v>
      </x:c>
      <x:c r="B1073" s="24" t="str">
        <x:v>Lentes Kodak</x:v>
      </x:c>
      <x:c r="C1073" s="24" t="n">
        <x:v>205.4</x:v>
      </x:c>
      <x:c r="D1073" s="24" t="n">
        <x:v>402.1</x:v>
      </x:c>
      <x:c r="E1073" s="24" t="str">
        <x:v>2.629,00 2.629,00 2.359,00 2.009,00 2.249,00 1.859,00 1.809,00</x:v>
      </x:c>
      <x:c r="F1073" s="24" t="str">
        <x:v>U D 1.589,00 1.389,00 U D 1.009,00 809,00 U D</x:v>
      </x:c>
      <x:c r="G1073" s="24" t="n">
        <x:v>1609</x:v>
      </x:c>
      <x:c r="H1073" s="24" t="n">
        <x:v>46118</x:v>
      </x:c>
      <x:c r="I1073" s="24" t="n">
        <x:v>46234</x:v>
      </x:c>
      <x:c r="J1073" s="24" t="str">
        <x:v>EXPIRADA</x:v>
      </x:c>
    </x:row>
    <x:row r="1074">
      <x:c r="A1074" s="24" t="n">
        <x:v>14</x:v>
      </x:c>
      <x:c r="B1074" s="24" t="str">
        <x:v>Lentes Kodak</x:v>
      </x:c>
      <x:c r="C1074" s="24" t="n">
        <x:v>205.4</x:v>
      </x:c>
      <x:c r="D1074" s="24" t="n">
        <x:v>178.7</x:v>
      </x:c>
      <x:c r="E1074" s="24" t="str">
        <x:v>2.629,00</x:v>
      </x:c>
      <x:c r="F1074" s="24" t="str">
        <x:v>HR 1.469,00 1.469,00 1.199,00 2.409,00 2.409,00 2.139,00 1.829,00 1.829,00 1.559,00</x:v>
      </x:c>
      <x:c r="G1074" s="24" t="n">
        <x:v>2629</x:v>
      </x:c>
      <x:c r="H1074" s="24" t="n">
        <x:v>46118</x:v>
      </x:c>
      <x:c r="I1074" s="24" t="n">
        <x:v>46234</x:v>
      </x:c>
      <x:c r="J1074" s="24" t="str">
        <x:v>EXPIRADA</x:v>
      </x:c>
    </x:row>
    <x:row r="1075">
      <x:c r="A1075" s="24" t="n">
        <x:v>14</x:v>
      </x:c>
      <x:c r="B1075" s="24" t="str">
        <x:v>Lentes Kodak</x:v>
      </x:c>
      <x:c r="C1075" s="24" t="n">
        <x:v>190.3</x:v>
      </x:c>
      <x:c r="D1075" s="24" t="n">
        <x:v>138</x:v>
      </x:c>
      <x:c r="E1075" s="24" t="str">
        <x:v>Poly +</x:v>
      </x:c>
      <x:c r="F1075" s="24" t="str">
        <x:v>CRIZAL CRIZAL UHD PREVENCIA SAPPHIRE 1.469,00 1.469,00 2.409,00 2.409,00 +R$940</x:v>
      </x:c>
      <x:c r="G1075" s="24" t="n">
        <x:v>1829</x:v>
      </x:c>
      <x:c r="H1075" s="24" t="n">
        <x:v>46118</x:v>
      </x:c>
      <x:c r="I1075" s="24" t="n">
        <x:v>46234</x:v>
      </x:c>
      <x:c r="J1075" s="24" t="str">
        <x:v>EXPIRADA</x:v>
      </x:c>
    </x:row>
    <x:row r="1076">
      <x:c r="A1076" s="24" t="n">
        <x:v>14</x:v>
      </x:c>
      <x:c r="B1076" s="24" t="str">
        <x:v>Lentes Kodak</x:v>
      </x:c>
      <x:c r="C1076" s="24" t="n">
        <x:v>190.3</x:v>
      </x:c>
      <x:c r="D1076" s="24" t="n">
        <x:v>219.5</x:v>
      </x:c>
      <x:c r="E1076" s="24" t="str">
        <x:v>Poly + 1.829,00 1.829,00</x:v>
      </x:c>
      <x:c r="F1076" s="24" t="str">
        <x:v>ROCK SAPPHIRE HR EASY 1.469,00 1.199,00 849,00 2.409,00 2.139,00 1.789,00</x:v>
      </x:c>
      <x:c r="G1076" s="24" t="n">
        <x:v>1559</x:v>
      </x:c>
      <x:c r="H1076" s="24" t="n">
        <x:v>46118</x:v>
      </x:c>
      <x:c r="I1076" s="24" t="n">
        <x:v>46234</x:v>
      </x:c>
      <x:c r="J1076" s="24" t="str">
        <x:v>EXPIRADA</x:v>
      </x:c>
    </x:row>
    <x:row r="1077">
      <x:c r="A1077" s="24" t="n">
        <x:v>14</x:v>
      </x:c>
      <x:c r="B1077" s="24" t="str">
        <x:v>Lentes Kodak</x:v>
      </x:c>
      <x:c r="C1077" s="24" t="n">
        <x:v>190.3</x:v>
      </x:c>
      <x:c r="D1077" s="24" t="n">
        <x:v>257.1</x:v>
      </x:c>
      <x:c r="E1077" s="24" t="str">
        <x:v>Poly + 1.829,00 1.829,00 1.559,00</x:v>
      </x:c>
      <x:c r="F1077" s="24" t="str">
        <x:v>OPTIFOG ROCK EASY PRO 1.199,00 849,00 1.089,00 2.139,00 1.789,00 2.029,00</x:v>
      </x:c>
      <x:c r="G1077" s="24" t="n">
        <x:v>1209</x:v>
      </x:c>
      <x:c r="H1077" s="24" t="n">
        <x:v>46118</x:v>
      </x:c>
      <x:c r="I1077" s="24" t="n">
        <x:v>46234</x:v>
      </x:c>
      <x:c r="J1077" s="24" t="str">
        <x:v>EXPIRADA</x:v>
      </x:c>
    </x:row>
    <x:row r="1078">
      <x:c r="A1078" s="24" t="n">
        <x:v>14</x:v>
      </x:c>
      <x:c r="B1078" s="24" t="str">
        <x:v>Lentes Kodak</x:v>
      </x:c>
      <x:c r="C1078" s="24" t="n">
        <x:v>190.3</x:v>
      </x:c>
      <x:c r="D1078" s="24" t="n">
        <x:v>294</x:v>
      </x:c>
      <x:c r="E1078" s="24" t="str">
        <x:v>Poly + 1.829,00 1.829,00 1.559,00 1.209,00</x:v>
      </x:c>
      <x:c r="F1078" s="24" t="str">
        <x:v>NO REFLEX EASY PRO 849,00 1.089,00 699,00 1.789,00 2.029,00 1.639,00</x:v>
      </x:c>
      <x:c r="G1078" s="24" t="n">
        <x:v>1449</x:v>
      </x:c>
      <x:c r="H1078" s="24" t="n">
        <x:v>46118</x:v>
      </x:c>
      <x:c r="I1078" s="24" t="n">
        <x:v>46234</x:v>
      </x:c>
      <x:c r="J1078" s="24" t="str">
        <x:v>EXPIRADA</x:v>
      </x:c>
    </x:row>
    <x:row r="1079">
      <x:c r="A1079" s="24" t="n">
        <x:v>14</x:v>
      </x:c>
      <x:c r="B1079" s="24" t="str">
        <x:v>Lentes Kodak</x:v>
      </x:c>
      <x:c r="C1079" s="24" t="n">
        <x:v>190.3</x:v>
      </x:c>
      <x:c r="D1079" s="24" t="n">
        <x:v>329.7</x:v>
      </x:c>
      <x:c r="E1079" s="24" t="str">
        <x:v>Poly + 1.829,00 1.829,00 1.559,00 1.209,00 1.449,00</x:v>
      </x:c>
      <x:c r="F1079" s="24" t="str">
        <x:v>NO REFLEX EASY CLEAN 1.089,00 699,00 649,00 2.029,00 1.639,00 1.589,00</x:v>
      </x:c>
      <x:c r="G1079" s="24" t="n">
        <x:v>1059</x:v>
      </x:c>
      <x:c r="H1079" s="24" t="n">
        <x:v>46118</x:v>
      </x:c>
      <x:c r="I1079" s="24" t="n">
        <x:v>46234</x:v>
      </x:c>
      <x:c r="J1079" s="24" t="str">
        <x:v>EXPIRADA</x:v>
      </x:c>
    </x:row>
    <x:row r="1080">
      <x:c r="A1080" s="24" t="n">
        <x:v>14</x:v>
      </x:c>
      <x:c r="B1080" s="24" t="str">
        <x:v>Lentes Kodak</x:v>
      </x:c>
      <x:c r="C1080" s="24" t="n">
        <x:v>190.3</x:v>
      </x:c>
      <x:c r="D1080" s="24" t="n">
        <x:v>366</x:v>
      </x:c>
      <x:c r="E1080" s="24" t="str">
        <x:v>Poly + 1.829,00 1.829,00 1.559,00 1.209,00 1.449,00 1.059,00</x:v>
      </x:c>
      <x:c r="F1080" s="24" t="str">
        <x:v>HC REFLEX EASY CLEAN 699,00 649,00 449,00 1.639,00 1.589,00 1.389,00</x:v>
      </x:c>
      <x:c r="G1080" s="24" t="n">
        <x:v>1009</x:v>
      </x:c>
      <x:c r="H1080" s="24" t="n">
        <x:v>46118</x:v>
      </x:c>
      <x:c r="I1080" s="24" t="n">
        <x:v>46234</x:v>
      </x:c>
      <x:c r="J1080" s="24" t="str">
        <x:v>EXPIRADA</x:v>
      </x:c>
    </x:row>
    <x:row r="1081">
      <x:c r="A1081" s="24" t="n">
        <x:v>14</x:v>
      </x:c>
      <x:c r="B1081" s="24" t="str">
        <x:v>Lentes Kodak</x:v>
      </x:c>
      <x:c r="C1081" s="24" t="n">
        <x:v>190.3</x:v>
      </x:c>
      <x:c r="D1081" s="24" t="n">
        <x:v>405.1</x:v>
      </x:c>
      <x:c r="E1081" s="24" t="str">
        <x:v>Poly + 1.829,00 1.829,00 1.559,00 1.209,00 1.449,00 1.059,00 1.009,00</x:v>
      </x:c>
      <x:c r="F1081" s="24" t="str">
        <x:v>MARCAÇÃO CLEAN 649,00 449,00 U D 1.589,00 1.389,00 U D</x:v>
      </x:c>
      <x:c r="G1081" s="24" t="n">
        <x:v>809</x:v>
      </x:c>
      <x:c r="H1081" s="24" t="n">
        <x:v>46118</x:v>
      </x:c>
      <x:c r="I1081" s="24" t="n">
        <x:v>46234</x:v>
      </x:c>
      <x:c r="J1081" s="24" t="str">
        <x:v>EXPIRADA</x:v>
      </x:c>
    </x:row>
    <x:row r="1082">
      <x:c r="A1082" s="24" t="n">
        <x:v>14</x:v>
      </x:c>
      <x:c r="B1082" s="24" t="str">
        <x:v>Lentes Kodak</x:v>
      </x:c>
      <x:c r="C1082" s="24" t="n">
        <x:v>190.3</x:v>
      </x:c>
      <x:c r="D1082" s="24" t="n">
        <x:v>178.8</x:v>
      </x:c>
      <x:c r="E1082" s="24" t="str">
        <x:v>Poly + 1.829,00</x:v>
      </x:c>
      <x:c r="F1082" s="24" t="str">
        <x:v>ROCK PREVENCIA SAPPHIRE HR 1.469,00 1.469,00 1.199,00 2.409,00 2.409,00 2.139,00</x:v>
      </x:c>
      <x:c r="G1082" s="24" t="n">
        <x:v>1829</x:v>
      </x:c>
      <x:c r="H1082" s="24" t="n">
        <x:v>46118</x:v>
      </x:c>
      <x:c r="I1082" s="24" t="n">
        <x:v>46234</x:v>
      </x:c>
      <x:c r="J1082" s="24" t="str">
        <x:v>EXPIRADA</x:v>
      </x:c>
    </x:row>
    <x:row r="1083">
      <x:c r="A1083" s="24" t="n">
        <x:v>15</x:v>
      </x:c>
      <x:c r="B1083" s="24" t="str">
        <x:v>Lentes Kodak</x:v>
      </x:c>
      <x:c r="C1083" s="24" t="n">
        <x:v>611.2</x:v>
      </x:c>
      <x:c r="D1083" s="24" t="n">
        <x:v>395.5</x:v>
      </x:c>
      <x:c r="E1083" s="24" t="str">
        <x:v>1.50 + Xperio cinza/marrom/verde 1.689,00 1.669,00 1.029,00 1.50 + Coloração padrão</x:v>
      </x:c>
      <x:c r="F1083" s="24" t="str">
        <x:v>Sun VERNIZ HC MARCAÇÃO</x:v>
      </x:c>
      <x:c r="G1083" s="24" t="n">
        <x:v>639</x:v>
      </x:c>
      <x:c r="H1083" s="24" t="n">
        <x:v>46118</x:v>
      </x:c>
      <x:c r="I1083" s="24" t="n">
        <x:v>46234</x:v>
      </x:c>
      <x:c r="J1083" s="24" t="str">
        <x:v>EXPIRADA</x:v>
      </x:c>
    </x:row>
    <x:row r="1084">
      <x:c r="A1084" s="24" t="n">
        <x:v>15</x:v>
      </x:c>
      <x:c r="B1084" s="24" t="str">
        <x:v>Lentes Kodak</x:v>
      </x:c>
      <x:c r="C1084" s="24" t="n">
        <x:v>623.5</x:v>
      </x:c>
      <x:c r="D1084" s="24" t="n">
        <x:v>396.2</x:v>
      </x:c>
      <x:c r="E1084" s="24" t="str">
        <x:v>+ Coloração especial</x:v>
      </x:c>
      <x:c r="F1084" s="24" t="str">
        <x:v>Sun VERNIZ HC MARCAÇÃO 639,00 padrão</x:v>
      </x:c>
      <x:c r="G1084" s="24" t="n">
        <x:v>749</x:v>
      </x:c>
      <x:c r="H1084" s="24" t="n">
        <x:v>46118</x:v>
      </x:c>
      <x:c r="I1084" s="24" t="n">
        <x:v>46234</x:v>
      </x:c>
      <x:c r="J1084" s="24" t="str">
        <x:v>EXPIRADA</x:v>
      </x:c>
    </x:row>
    <x:row r="1085">
      <x:c r="A1085" s="24" t="n">
        <x:v>15</x:v>
      </x:c>
      <x:c r="B1085" s="24" t="str">
        <x:v>Lentes Kodak</x:v>
      </x:c>
      <x:c r="C1085" s="24" t="n">
        <x:v>640.7</x:v>
      </x:c>
      <x:c r="D1085" s="24" t="n">
        <x:v>169</x:v>
      </x:c>
      <x:c r="E1085" s="24" t="str">
        <x:v>+ Xperio cinza/marrom/verde</x:v>
      </x:c>
      <x:c r="F1085" s="24" t="str">
        <x:v>MULTIFOCAL DIGITAL CRIZAL SAPPHIRE HR OPTIFOG FACE INTERNA 1.689,00 1.669,00</x:v>
      </x:c>
      <x:c r="G1085" s="24" t="n">
        <x:v>1909</x:v>
      </x:c>
      <x:c r="H1085" s="24" t="n">
        <x:v>46118</x:v>
      </x:c>
      <x:c r="I1085" s="24" t="n">
        <x:v>46234</x:v>
      </x:c>
      <x:c r="J1085" s="24" t="str">
        <x:v>EXPIRADA</x:v>
      </x:c>
    </x:row>
    <x:row r="1086">
      <x:c r="A1086" s="24" t="n">
        <x:v>15</x:v>
      </x:c>
      <x:c r="B1086" s="24" t="str">
        <x:v>Lentes Kodak</x:v>
      </x:c>
      <x:c r="C1086" s="24" t="n">
        <x:v>640.7</x:v>
      </x:c>
      <x:c r="D1086" s="24" t="n">
        <x:v>244</x:v>
      </x:c>
      <x:c r="E1086" s="24" t="str">
        <x:v>+ Xperio cinza/marrom/verde 1.909,00 1.889,00</x:v>
      </x:c>
      <x:c r="F1086" s="24" t="str">
        <x:v>OPTIFOG VERNIZ HC 1.50 1.669,00 1.029,00</x:v>
      </x:c>
      <x:c r="G1086" s="24" t="n">
        <x:v>1249</x:v>
      </x:c>
      <x:c r="H1086" s="24" t="n">
        <x:v>46118</x:v>
      </x:c>
      <x:c r="I1086" s="24" t="n">
        <x:v>46234</x:v>
      </x:c>
      <x:c r="J1086" s="24" t="str">
        <x:v>EXPIRADA</x:v>
      </x:c>
    </x:row>
    <x:row r="1087">
      <x:c r="A1087" s="24" t="n">
        <x:v>15</x:v>
      </x:c>
      <x:c r="B1087" s="24" t="str">
        <x:v>Lentes Kodak</x:v>
      </x:c>
      <x:c r="C1087" s="24" t="n">
        <x:v>612</x:v>
      </x:c>
      <x:c r="D1087" s="24" t="n">
        <x:v>243.9</x:v>
      </x:c>
      <x:c r="E1087" s="24" t="str">
        <x:v>1.50 + Xperio cinza/marrom/verde 1.689,00 1.669,00</x:v>
      </x:c>
      <x:c r="F1087" s="24" t="str">
        <x:v>OPTIFOG VERNIZ HC</x:v>
      </x:c>
      <x:c r="G1087" s="24" t="n">
        <x:v>1029</x:v>
      </x:c>
      <x:c r="H1087" s="24" t="n">
        <x:v>46118</x:v>
      </x:c>
      <x:c r="I1087" s="24" t="n">
        <x:v>46234</x:v>
      </x:c>
      <x:c r="J1087" s="24" t="str">
        <x:v>EXPIRADA</x:v>
      </x:c>
    </x:row>
    <x:row r="1088">
      <x:c r="A1088" s="24" t="n">
        <x:v>15</x:v>
      </x:c>
      <x:c r="B1088" s="24" t="str">
        <x:v>Lentes Kodak</x:v>
      </x:c>
      <x:c r="C1088" s="24" t="n">
        <x:v>612</x:v>
      </x:c>
      <x:c r="D1088" s="24" t="n">
        <x:v>168.8</x:v>
      </x:c>
      <x:c r="E1088" s="24" t="str">
        <x:v>1.50 + Xperio cinza/marrom/verde</x:v>
      </x:c>
      <x:c r="F1088" s="24" t="str">
        <x:v>MULTIFOCAL DIGITAL CRIZAL SAPPHIRE HR OPTIFOG FACE INTERNA</x:v>
      </x:c>
      <x:c r="G1088" s="24" t="n">
        <x:v>1689</x:v>
      </x:c>
      <x:c r="H1088" s="24" t="n">
        <x:v>46118</x:v>
      </x:c>
      <x:c r="I1088" s="24" t="n">
        <x:v>46234</x:v>
      </x:c>
      <x:c r="J1088" s="24" t="str">
        <x:v>EXPIRADA</x:v>
      </x:c>
    </x:row>
    <x:row r="1089">
      <x:c r="A1089" s="24" t="n">
        <x:v>15</x:v>
      </x:c>
      <x:c r="B1089" s="24" t="str">
        <x:v>Lentes Kodak</x:v>
      </x:c>
      <x:c r="C1089" s="24" t="n">
        <x:v>640.7</x:v>
      </x:c>
      <x:c r="D1089" s="24" t="n">
        <x:v>207.9</x:v>
      </x:c>
      <x:c r="E1089" s="24" t="str">
        <x:v>+ Xperio cinza/marrom/verde 1.909,00</x:v>
      </x:c>
      <x:c r="F1089" s="24" t="str">
        <x:v>DIGITAL SAPPHIRE HR OPTIFOG VERNIZ HC INTERNA 1.689,00 1.669,00 1.029,00</x:v>
      </x:c>
      <x:c r="G1089" s="24" t="n">
        <x:v>1889</x:v>
      </x:c>
      <x:c r="H1089" s="24" t="n">
        <x:v>46118</x:v>
      </x:c>
      <x:c r="I1089" s="24" t="n">
        <x:v>46234</x:v>
      </x:c>
      <x:c r="J1089" s="24" t="str">
        <x:v>EXPIRADA</x:v>
      </x:c>
    </x:row>
    <x:row r="1090">
      <x:c r="A1090" s="24" t="n">
        <x:v>15</x:v>
      </x:c>
      <x:c r="B1090" s="24" t="str">
        <x:v>Lentes Kodak</x:v>
      </x:c>
      <x:c r="C1090" s="24" t="n">
        <x:v>722.5</x:v>
      </x:c>
      <x:c r="D1090" s="24" t="n">
        <x:v>396.9</x:v>
      </x:c>
      <x:c r="E1090" s="24" t="str">
        <x:v>1.50 + Xperio cinza/marrom/verde 1.359,00 1.339,00 699,00 1.50 + Coloração padrão</x:v>
      </x:c>
      <x:c r="F1090" s="24" t="str">
        <x:v>859,00 padrão 969,00 especial Sun VERNIZ HC MARCAÇÃO</x:v>
      </x:c>
      <x:c r="G1090" s="24" t="n">
        <x:v>399</x:v>
      </x:c>
      <x:c r="H1090" s="24" t="n">
        <x:v>46118</x:v>
      </x:c>
      <x:c r="I1090" s="24" t="n">
        <x:v>46234</x:v>
      </x:c>
      <x:c r="J1090" s="24" t="str">
        <x:v>EXPIRADA</x:v>
      </x:c>
    </x:row>
    <x:row r="1091">
      <x:c r="A1091" s="24" t="n">
        <x:v>15</x:v>
      </x:c>
      <x:c r="B1091" s="24" t="str">
        <x:v>Lentes Kodak</x:v>
      </x:c>
      <x:c r="C1091" s="24" t="n">
        <x:v>734.8</x:v>
      </x:c>
      <x:c r="D1091" s="24" t="n">
        <x:v>396.5</x:v>
      </x:c>
      <x:c r="E1091" s="24" t="str">
        <x:v>+ Coloração especial</x:v>
      </x:c>
      <x:c r="F1091" s="24" t="str">
        <x:v>859,00 padrão 969,00 especial Sun VERNIZ HC MARCAÇÃO 399,00 padrão</x:v>
      </x:c>
      <x:c r="G1091" s="24" t="n">
        <x:v>509</x:v>
      </x:c>
      <x:c r="H1091" s="24" t="n">
        <x:v>46118</x:v>
      </x:c>
      <x:c r="I1091" s="24" t="n">
        <x:v>46234</x:v>
      </x:c>
      <x:c r="J1091" s="24" t="str">
        <x:v>EXPIRADA</x:v>
      </x:c>
    </x:row>
    <x:row r="1092">
      <x:c r="A1092" s="24" t="n">
        <x:v>15</x:v>
      </x:c>
      <x:c r="B1092" s="24" t="str">
        <x:v>Lentes Kodak</x:v>
      </x:c>
      <x:c r="C1092" s="24" t="n">
        <x:v>751</x:v>
      </x:c>
      <x:c r="D1092" s="24" t="n">
        <x:v>169.3</x:v>
      </x:c>
      <x:c r="E1092" s="24" t="str">
        <x:v>+ Xperio cinza/marrom/verde</x:v>
      </x:c>
      <x:c r="F1092" s="24" t="str">
        <x:v>DIGITAL CRIZAL SAPPHIRE HR Sun OPTIFOG FACE INTERNA 1.359,00 1.339,00</x:v>
      </x:c>
      <x:c r="G1092" s="24" t="n">
        <x:v>1529</x:v>
      </x:c>
      <x:c r="H1092" s="24" t="n">
        <x:v>46118</x:v>
      </x:c>
      <x:c r="I1092" s="24" t="n">
        <x:v>46234</x:v>
      </x:c>
      <x:c r="J1092" s="24" t="str">
        <x:v>EXPIRADA</x:v>
      </x:c>
    </x:row>
    <x:row r="1093">
      <x:c r="A1093" s="24" t="n">
        <x:v>15</x:v>
      </x:c>
      <x:c r="B1093" s="24" t="str">
        <x:v>Lentes Kodak</x:v>
      </x:c>
      <x:c r="C1093" s="24" t="n">
        <x:v>751</x:v>
      </x:c>
      <x:c r="D1093" s="24" t="n">
        <x:v>245.1</x:v>
      </x:c>
      <x:c r="E1093" s="24" t="str">
        <x:v>+ Xperio cinza/marrom/verde 1.529,00 1.509,00</x:v>
      </x:c>
      <x:c r="F1093" s="24" t="str">
        <x:v>OPTIFOG VERNIZ HC 1.50 1.339,00 699,00</x:v>
      </x:c>
      <x:c r="G1093" s="24" t="n">
        <x:v>869</x:v>
      </x:c>
      <x:c r="H1093" s="24" t="n">
        <x:v>46118</x:v>
      </x:c>
      <x:c r="I1093" s="24" t="n">
        <x:v>46234</x:v>
      </x:c>
      <x:c r="J1093" s="24" t="str">
        <x:v>EXPIRADA</x:v>
      </x:c>
    </x:row>
    <x:row r="1094">
      <x:c r="A1094" s="24" t="n">
        <x:v>15</x:v>
      </x:c>
      <x:c r="B1094" s="24" t="str">
        <x:v>Lentes Kodak</x:v>
      </x:c>
      <x:c r="C1094" s="24" t="n">
        <x:v>723.3</x:v>
      </x:c>
      <x:c r="D1094" s="24" t="n">
        <x:v>245.6</x:v>
      </x:c>
      <x:c r="E1094" s="24" t="str">
        <x:v>1.50 + Xperio cinza/marrom/verde 1.359,00 1.339,00</x:v>
      </x:c>
      <x:c r="F1094" s="24" t="str">
        <x:v>1.889,00 1.249,00 OPTIFOG VERNIZ HC</x:v>
      </x:c>
      <x:c r="G1094" s="24" t="n">
        <x:v>699</x:v>
      </x:c>
      <x:c r="H1094" s="24" t="n">
        <x:v>46118</x:v>
      </x:c>
      <x:c r="I1094" s="24" t="n">
        <x:v>46234</x:v>
      </x:c>
      <x:c r="J1094" s="24" t="str">
        <x:v>EXPIRADA</x:v>
      </x:c>
    </x:row>
    <x:row r="1095">
      <x:c r="A1095" s="24" t="n">
        <x:v>15</x:v>
      </x:c>
      <x:c r="B1095" s="24" t="str">
        <x:v>Lentes Kodak</x:v>
      </x:c>
      <x:c r="C1095" s="24" t="n">
        <x:v>723.3</x:v>
      </x:c>
      <x:c r="D1095" s="24" t="n">
        <x:v>168.1</x:v>
      </x:c>
      <x:c r="E1095" s="24" t="str">
        <x:v>1.50 + Xperio cinza/marrom/verde</x:v>
      </x:c>
      <x:c r="F1095" s="24" t="str">
        <x:v>cinza/marrom/verde SIMPLES DIGITAL CRIZAL SAPPHIRE HR Sun OPTIFOG FACE INTERNA</x:v>
      </x:c>
      <x:c r="G1095" s="24" t="n">
        <x:v>1359</x:v>
      </x:c>
      <x:c r="H1095" s="24" t="n">
        <x:v>46118</x:v>
      </x:c>
      <x:c r="I1095" s="24" t="n">
        <x:v>46234</x:v>
      </x:c>
      <x:c r="J1095" s="24" t="str">
        <x:v>EXPIRADA</x:v>
      </x:c>
    </x:row>
    <x:row r="1096">
      <x:c r="A1096" s="24" t="n">
        <x:v>15</x:v>
      </x:c>
      <x:c r="B1096" s="24" t="str">
        <x:v>Lentes Kodak</x:v>
      </x:c>
      <x:c r="C1096" s="24" t="n">
        <x:v>751</x:v>
      </x:c>
      <x:c r="D1096" s="24" t="n">
        <x:v>209</x:v>
      </x:c>
      <x:c r="E1096" s="24" t="str">
        <x:v>+ Xperio cinza/marrom/verde 1.529,00</x:v>
      </x:c>
      <x:c r="F1096" s="24" t="str">
        <x:v>DIGITAL SAPPHIRE HR OPTIFOG VERNIZ HC INTERNA 1.359,00 1.339,00 699,00</x:v>
      </x:c>
      <x:c r="G1096" s="24" t="n">
        <x:v>1509</x:v>
      </x:c>
      <x:c r="H1096" s="24" t="n">
        <x:v>46118</x:v>
      </x:c>
      <x:c r="I1096" s="24" t="n">
        <x:v>46234</x:v>
      </x:c>
      <x:c r="J1096" s="24" t="str">
        <x:v>EXPIRADA</x:v>
      </x:c>
    </x:row>
    <x:row r="1097">
      <x:c r="A1097" s="24" t="n">
        <x:v>15</x:v>
      </x:c>
      <x:c r="B1097" s="24" t="str">
        <x:v>Lentes Kodak</x:v>
      </x:c>
      <x:c r="C1097" s="24" t="n">
        <x:v>723.3</x:v>
      </x:c>
      <x:c r="D1097" s="24" t="n">
        <x:v>209.5</x:v>
      </x:c>
      <x:c r="E1097" s="24" t="str">
        <x:v>1.50 + Xperio cinza/marrom/verde 1.359,00</x:v>
      </x:c>
      <x:c r="F1097" s="24" t="str">
        <x:v>1.909,00 1.889,00 1.249,00 DIGITAL SAPPHIRE HR OPTIFOG VERNIZ HC INTERNA</x:v>
      </x:c>
      <x:c r="G1097" s="24" t="n">
        <x:v>1339</x:v>
      </x:c>
      <x:c r="H1097" s="24" t="n">
        <x:v>46118</x:v>
      </x:c>
      <x:c r="I1097" s="24" t="n">
        <x:v>46234</x:v>
      </x:c>
      <x:c r="J1097" s="24" t="str">
        <x:v>EXPIRADA</x:v>
      </x:c>
    </x:row>
    <x:row r="1098">
      <x:c r="A1098" s="24" t="n">
        <x:v>15</x:v>
      </x:c>
      <x:c r="B1098" s="24" t="str">
        <x:v>Lentes Kodak</x:v>
      </x:c>
      <x:c r="C1098" s="24" t="n">
        <x:v>752.7</x:v>
      </x:c>
      <x:c r="D1098" s="24" t="n">
        <x:v>396.3</x:v>
      </x:c>
      <x:c r="E1098" s="24" t="str">
        <x:v>+ Xperio cinza/marrom/verde 1.529,00 1.509,00 869,00 Poly + Coloração padrão</x:v>
      </x:c>
      <x:c r="F1098" s="24" t="str">
        <x:v>Sun VERNIZ HC MARCAÇÃO 399,00 padrão 509,00 especial</x:v>
      </x:c>
      <x:c r="G1098" s="24" t="n">
        <x:v>569</x:v>
      </x:c>
      <x:c r="H1098" s="24" t="n">
        <x:v>46118</x:v>
      </x:c>
      <x:c r="I1098" s="24" t="n">
        <x:v>46234</x:v>
      </x:c>
      <x:c r="J1098" s="24" t="str">
        <x:v>EXPIRADA</x:v>
      </x:c>
    </x:row>
    <x:row r="1099">
      <x:c r="A1099" s="24" t="n">
        <x:v>15</x:v>
      </x:c>
      <x:c r="B1099" s="24" t="str">
        <x:v>Lentes Kodak</x:v>
      </x:c>
      <x:c r="C1099" s="24" t="n">
        <x:v>765.6</x:v>
      </x:c>
      <x:c r="D1099" s="24" t="n">
        <x:v>396.5</x:v>
      </x:c>
      <x:c r="E1099" s="24" t="str">
        <x:v>+ Coloração especial</x:v>
      </x:c>
      <x:c r="F1099" s="24" t="str">
        <x:v>Sun VERNIZ HC MARCAÇÃO 399,00 padrão 509,00 especial 569,00 padrão</x:v>
      </x:c>
      <x:c r="G1099" s="24" t="n">
        <x:v>679</x:v>
      </x:c>
      <x:c r="H1099" s="24" t="n">
        <x:v>46118</x:v>
      </x:c>
      <x:c r="I1099" s="24" t="n">
        <x:v>46234</x:v>
      </x:c>
      <x:c r="J1099" s="24" t="str">
        <x:v>EXPIRADA</x:v>
      </x:c>
    </x:row>
    <x:row r="1100">
      <x:c r="A1100" s="24" t="n">
        <x:v>15</x:v>
      </x:c>
      <x:c r="B1100" s="24" t="str">
        <x:v>Lentes Kodak</x:v>
      </x:c>
      <x:c r="C1100" s="24" t="n">
        <x:v>612</x:v>
      </x:c>
      <x:c r="D1100" s="24" t="n">
        <x:v>207.9</x:v>
      </x:c>
      <x:c r="E1100" s="24" t="str">
        <x:v>1.50 + Xperio cinza/marrom/verde 1.689,00</x:v>
      </x:c>
      <x:c r="F1100" s="24" t="str">
        <x:v>DIGITAL SAPPHIRE HR OPTIFOG VERNIZ HC INTERNA</x:v>
      </x:c>
      <x:c r="G1100" s="24" t="n">
        <x:v>1669</x:v>
      </x:c>
      <x:c r="H1100" s="24" t="n">
        <x:v>46118</x:v>
      </x:c>
      <x:c r="I1100" s="24" t="n">
        <x:v>46234</x:v>
      </x:c>
      <x:c r="J1100" s="24" t="str">
        <x:v>EXPIRADA</x:v>
      </x:c>
    </x:row>
    <x:row r="1101">
      <x:c r="A1101" s="24" t="n">
        <x:v>15</x:v>
      </x:c>
      <x:c r="B1101" s="24" t="str">
        <x:v>Lentes Kodak</x:v>
      </x:c>
      <x:c r="C1101" s="24" t="n">
        <x:v>641.5</x:v>
      </x:c>
      <x:c r="D1101" s="24" t="n">
        <x:v>396</x:v>
      </x:c>
      <x:c r="E1101" s="24" t="str">
        <x:v>+ Xperio cinza/marrom/verde 1.909,00 1.889,00 1.249,00 Poly + Coloração padrão</x:v>
      </x:c>
      <x:c r="F1101" s="24" t="str">
        <x:v>Sun VERNIZ HC MARCAÇÃO 639,00 padrão 749,00 especial</x:v>
      </x:c>
      <x:c r="G1101" s="24" t="n">
        <x:v>859</x:v>
      </x:c>
      <x:c r="H1101" s="24" t="n">
        <x:v>46118</x:v>
      </x:c>
      <x:c r="I1101" s="24" t="n">
        <x:v>46234</x:v>
      </x:c>
      <x:c r="J1101" s="24" t="str">
        <x:v>EXPIRADA</x:v>
      </x:c>
    </x:row>
    <x:row r="1102">
      <x:c r="A1102" s="24" t="n">
        <x:v>15</x:v>
      </x:c>
      <x:c r="B1102" s="24" t="str">
        <x:v>Lentes Kodak</x:v>
      </x:c>
      <x:c r="C1102" s="24" t="n">
        <x:v>654.3</x:v>
      </x:c>
      <x:c r="D1102" s="24" t="n">
        <x:v>395.9</x:v>
      </x:c>
      <x:c r="E1102" s="24" t="str">
        <x:v>+ Coloração especial</x:v>
      </x:c>
      <x:c r="F1102" s="24" t="str">
        <x:v>Sun VERNIZ HC MARCAÇÃO 639,00 padrão 749,00 especial 859,00 padrão</x:v>
      </x:c>
      <x:c r="G1102" s="24" t="n">
        <x:v>969</x:v>
      </x:c>
      <x:c r="H1102" s="24" t="n">
        <x:v>46118</x:v>
      </x:c>
      <x:c r="I1102" s="24" t="n">
        <x:v>46234</x:v>
      </x:c>
      <x:c r="J1102" s="24" t="str">
        <x:v>EXPIRADA</x:v>
      </x:c>
    </x:row>
    <x:row r="1103">
      <x:c r="A1103" s="24" t="n">
        <x:v>15</x:v>
      </x:c>
      <x:c r="B1103" s="24" t="str">
        <x:v>Lentes Kodak</x:v>
      </x:c>
      <x:c r="C1103" s="24" t="n">
        <x:v>377.3</x:v>
      </x:c>
      <x:c r="D1103" s="24" t="n">
        <x:v>307.3</x:v>
      </x:c>
      <x:c r="E1103" s="24" t="str">
        <x:v>Lentes KODAK City Poly</x:v>
      </x:c>
      <x:c r="F1103" s="24" t="str">
        <x:v>- - - - PREÇO 989,00</x:v>
      </x:c>
      <x:c r="G1103" s="24" t="n">
        <x:v>429</x:v>
      </x:c>
      <x:c r="H1103" s="24" t="n">
        <x:v>46118</x:v>
      </x:c>
      <x:c r="I1103" s="24" t="n">
        <x:v>46234</x:v>
      </x:c>
      <x:c r="J1103" s="24" t="str">
        <x:v>EXPIRADA</x:v>
      </x:c>
    </x:row>
    <x:row r="1104">
      <x:c r="A1104" s="24" t="n">
        <x:v>15</x:v>
      </x:c>
      <x:c r="B1104" s="24" t="str">
        <x:v>Lentes Kodak</x:v>
      </x:c>
      <x:c r="C1104" s="24" t="n">
        <x:v>441.2</x:v>
      </x:c>
      <x:c r="D1104" s="24" t="n">
        <x:v>308.5</x:v>
      </x:c>
      <x:c r="E1104" s="24" t="str">
        <x:v>Lentes KODAK Blue Poly</x:v>
      </x:c>
      <x:c r="F1104" s="24" t="str">
        <x:v>989,00 429,00 329,00 649,00 879,00</x:v>
      </x:c>
      <x:c r="G1104" s="24" t="n">
        <x:v>319</x:v>
      </x:c>
      <x:c r="H1104" s="24" t="n">
        <x:v>46118</x:v>
      </x:c>
      <x:c r="I1104" s="24" t="n">
        <x:v>46234</x:v>
      </x:c>
      <x:c r="J1104" s="24" t="str">
        <x:v>EXPIRADA</x:v>
      </x:c>
    </x:row>
    <x:row r="1105">
      <x:c r="A1105" s="24" t="n">
        <x:v>15</x:v>
      </x:c>
      <x:c r="B1105" s="24" t="str">
        <x:v>Lentes Kodak</x:v>
      </x:c>
      <x:c r="C1105" s="24" t="n">
        <x:v>409.4</x:v>
      </x:c>
      <x:c r="D1105" s="24" t="n">
        <x:v>307.2</x:v>
      </x:c>
      <x:c r="E1105" s="24" t="str">
        <x:v>Lentes KODAK No Reﬂex 1.50 Transitions Gen S cinza</x:v>
      </x:c>
      <x:c r="F1105" s="24" t="str">
        <x:v>- - PREÇO 989,00 429,00 329,00</x:v>
      </x:c>
      <x:c r="G1105" s="24" t="n">
        <x:v>649</x:v>
      </x:c>
      <x:c r="H1105" s="24" t="n">
        <x:v>46118</x:v>
      </x:c>
      <x:c r="I1105" s="24" t="n">
        <x:v>46234</x:v>
      </x:c>
      <x:c r="J1105" s="24" t="str">
        <x:v>EXPIRADA</x:v>
      </x:c>
    </x:row>
    <x:row r="1106">
      <x:c r="A1106" s="24" t="n">
        <x:v>15</x:v>
      </x:c>
      <x:c r="B1106" s="24" t="str">
        <x:v>Lentes Kodak</x:v>
      </x:c>
      <x:c r="C1106" s="24" t="n">
        <x:v>393.2</x:v>
      </x:c>
      <x:c r="D1106" s="24" t="n">
        <x:v>308</x:v>
      </x:c>
      <x:c r="E1106" s="24" t="str">
        <x:v>Lentes KODAK City 1.56</x:v>
      </x:c>
      <x:c r="F1106" s="24" t="str">
        <x:v>- - PREÇO 989,00 429,00</x:v>
      </x:c>
      <x:c r="G1106" s="24" t="n">
        <x:v>329</x:v>
      </x:c>
      <x:c r="H1106" s="24" t="n">
        <x:v>46118</x:v>
      </x:c>
      <x:c r="I1106" s="24" t="n">
        <x:v>46234</x:v>
      </x:c>
      <x:c r="J1106" s="24" t="str">
        <x:v>EXPIRADA</x:v>
      </x:c>
    </x:row>
    <x:row r="1107">
      <x:c r="A1107" s="24" t="n">
        <x:v>15</x:v>
      </x:c>
      <x:c r="B1107" s="24" t="str">
        <x:v>Lentes Kodak</x:v>
      </x:c>
      <x:c r="C1107" s="24" t="n">
        <x:v>361.8</x:v>
      </x:c>
      <x:c r="D1107" s="24" t="n">
        <x:v>307.3</x:v>
      </x:c>
      <x:c r="E1107" s="24" t="str">
        <x:v>Lentes KODAK City 1.67</x:v>
      </x:c>
      <x:c r="F1107" s="24" t="str">
        <x:v>2.519,00 2.759,00 - - - - PREÇO</x:v>
      </x:c>
      <x:c r="G1107" s="24" t="n">
        <x:v>989</x:v>
      </x:c>
      <x:c r="H1107" s="24" t="n">
        <x:v>46118</x:v>
      </x:c>
      <x:c r="I1107" s="24" t="n">
        <x:v>46234</x:v>
      </x:c>
      <x:c r="J1107" s="24" t="str">
        <x:v>EXPIRADA</x:v>
      </x:c>
    </x:row>
    <x:row r="1108">
      <x:c r="A1108" s="24" t="n">
        <x:v>15</x:v>
      </x:c>
      <x:c r="B1108" s="24" t="str">
        <x:v>Lentes Kodak</x:v>
      </x:c>
      <x:c r="C1108" s="24" t="n">
        <x:v>457.9</x:v>
      </x:c>
      <x:c r="D1108" s="24" t="n">
        <x:v>309.1</x:v>
      </x:c>
      <x:c r="E1108" s="24" t="str">
        <x:v>Lentes KODAK Blue 1.56</x:v>
      </x:c>
      <x:c r="F1108" s="24" t="str">
        <x:v>429,00 329,00 649,00 879,00 319,00</x:v>
      </x:c>
      <x:c r="G1108" s="24" t="n">
        <x:v>219</x:v>
      </x:c>
      <x:c r="H1108" s="24" t="n">
        <x:v>46118</x:v>
      </x:c>
      <x:c r="I1108" s="24" t="n">
        <x:v>46234</x:v>
      </x:c>
      <x:c r="J1108" s="24" t="str">
        <x:v>EXPIRADA</x:v>
      </x:c>
    </x:row>
    <x:row r="1109">
      <x:c r="A1109" s="24" t="n">
        <x:v>15</x:v>
      </x:c>
      <x:c r="B1109" s="24" t="str">
        <x:v>Lentes Kodak</x:v>
      </x:c>
      <x:c r="C1109" s="24" t="n">
        <x:v>426.1</x:v>
      </x:c>
      <x:c r="D1109" s="24" t="n">
        <x:v>307.7</x:v>
      </x:c>
      <x:c r="E1109" s="24" t="str">
        <x:v>Lentes KODAK Blue 1.67</x:v>
      </x:c>
      <x:c r="F1109" s="24" t="str">
        <x:v>PREÇO 989,00 429,00 329,00 649,00</x:v>
      </x:c>
      <x:c r="G1109" s="24" t="n">
        <x:v>879</x:v>
      </x:c>
      <x:c r="H1109" s="24" t="n">
        <x:v>46118</x:v>
      </x:c>
      <x:c r="I1109" s="24" t="n">
        <x:v>46234</x:v>
      </x:c>
      <x:c r="J1109" s="24" t="str">
        <x:v>EXPIRADA</x:v>
      </x:c>
    </x:row>
    <x:row r="1110">
      <x:c r="A1110" s="24" t="n">
        <x:v>15</x:v>
      </x:c>
      <x:c r="B1110" s="24" t="str">
        <x:v>Lentes Kodak</x:v>
      </x:c>
      <x:c r="C1110" s="24" t="n">
        <x:v>473.7</x:v>
      </x:c>
      <x:c r="D1110" s="24" t="n">
        <x:v>308.2</x:v>
      </x:c>
      <x:c r="E1110" s="24" t="str">
        <x:v>Lentes KODAK Intro Poly</x:v>
      </x:c>
      <x:c r="F1110" s="24" t="str">
        <x:v>329,00 649,00 879,00 319,00 219,00</x:v>
      </x:c>
      <x:c r="G1110" s="24" t="n">
        <x:v>209</x:v>
      </x:c>
      <x:c r="H1110" s="24" t="n">
        <x:v>46118</x:v>
      </x:c>
      <x:c r="I1110" s="24" t="n">
        <x:v>46234</x:v>
      </x:c>
      <x:c r="J1110" s="24" t="str">
        <x:v>EXPIRADA</x:v>
      </x:c>
    </x:row>
    <x:row r="1111">
      <x:c r="A1111" s="24" t="n">
        <x:v>15</x:v>
      </x:c>
      <x:c r="B1111" s="24" t="str">
        <x:v>Lentes Kodak</x:v>
      </x:c>
      <x:c r="C1111" s="24" t="n">
        <x:v>489.7</x:v>
      </x:c>
      <x:c r="D1111" s="24" t="n">
        <x:v>308.7</x:v>
      </x:c>
      <x:c r="E1111" s="24" t="str">
        <x:v>Lentes KODAK Intro 1.56</x:v>
      </x:c>
      <x:c r="F1111" s="24" t="str">
        <x:v>649,00 879,00 319,00 219,00 209,00</x:v>
      </x:c>
      <x:c r="G1111" s="24" t="n">
        <x:v>109</x:v>
      </x:c>
      <x:c r="H1111" s="24" t="n">
        <x:v>46118</x:v>
      </x:c>
      <x:c r="I1111" s="24" t="n">
        <x:v>46234</x:v>
      </x:c>
      <x:c r="J1111" s="24" t="str">
        <x:v>EXPIRADA</x:v>
      </x:c>
    </x:row>
    <x:row r="1112">
      <x:c r="A1112" s="24" t="n">
        <x:v>15</x:v>
      </x:c>
      <x:c r="B1112" s="24" t="str">
        <x:v>Lentes Kodak</x:v>
      </x:c>
      <x:c r="C1112" s="24" t="n">
        <x:v>130.3</x:v>
      </x:c>
      <x:c r="D1112" s="24" t="n">
        <x:v>172.2</x:v>
      </x:c>
      <x:c r="E1112" s="24" t="str">
        <x:v>1.50</x:v>
      </x:c>
      <x:c r="F1112" s="24" t="str">
        <x:v>SIMPLES DIGITAL CRIZAL CRIZAL PREVENCIA SAPPHIRE</x:v>
      </x:c>
      <x:c r="G1112" s="24" t="n">
        <x:v>1259</x:v>
      </x:c>
      <x:c r="H1112" s="24" t="n">
        <x:v>46118</x:v>
      </x:c>
      <x:c r="I1112" s="24" t="n">
        <x:v>46234</x:v>
      </x:c>
      <x:c r="J1112" s="24" t="str">
        <x:v>EXPIRADA</x:v>
      </x:c>
    </x:row>
    <x:row r="1113">
      <x:c r="A1113" s="24" t="n">
        <x:v>15</x:v>
      </x:c>
      <x:c r="B1113" s="24" t="str">
        <x:v>Lentes Kodak</x:v>
      </x:c>
      <x:c r="C1113" s="24" t="n">
        <x:v>130.3</x:v>
      </x:c>
      <x:c r="D1113" s="24" t="n">
        <x:v>214.9</x:v>
      </x:c>
      <x:c r="E1113" s="24" t="str">
        <x:v>1.50 1.259,00</x:v>
      </x:c>
      <x:c r="F1113" s="24" t="str">
        <x:v>DIGITAL CRIZAL CRIZAL CRIZAL ROCK PREVENCIA SAPPHIRE HR</x:v>
      </x:c>
      <x:c r="G1113" s="24" t="n">
        <x:v>1259</x:v>
      </x:c>
      <x:c r="H1113" s="24" t="n">
        <x:v>46118</x:v>
      </x:c>
      <x:c r="I1113" s="24" t="n">
        <x:v>46234</x:v>
      </x:c>
      <x:c r="J1113" s="24" t="str">
        <x:v>EXPIRADA</x:v>
      </x:c>
    </x:row>
    <x:row r="1114">
      <x:c r="A1114" s="24" t="n">
        <x:v>15</x:v>
      </x:c>
      <x:c r="B1114" s="24" t="str">
        <x:v>Lentes Kodak</x:v>
      </x:c>
      <x:c r="C1114" s="24" t="n">
        <x:v>130.3</x:v>
      </x:c>
      <x:c r="D1114" s="24" t="n">
        <x:v>252.6</x:v>
      </x:c>
      <x:c r="E1114" s="24" t="str">
        <x:v>1.50 1.259,00 1.259,00</x:v>
      </x:c>
      <x:c r="F1114" s="24" t="str">
        <x:v>CRIZAL CRIZAL CRIZAL ROCK SAPPHIRE HR EASY PRO</x:v>
      </x:c>
      <x:c r="G1114" s="24" t="n">
        <x:v>989</x:v>
      </x:c>
      <x:c r="H1114" s="24" t="n">
        <x:v>46118</x:v>
      </x:c>
      <x:c r="I1114" s="24" t="n">
        <x:v>46234</x:v>
      </x:c>
      <x:c r="J1114" s="24" t="str">
        <x:v>EXPIRADA</x:v>
      </x:c>
    </x:row>
    <x:row r="1115">
      <x:c r="A1115" s="24" t="n">
        <x:v>15</x:v>
      </x:c>
      <x:c r="B1115" s="24" t="str">
        <x:v>Lentes Kodak</x:v>
      </x:c>
      <x:c r="C1115" s="24" t="n">
        <x:v>130.3</x:v>
      </x:c>
      <x:c r="D1115" s="24" t="n">
        <x:v>286.6</x:v>
      </x:c>
      <x:c r="E1115" s="24" t="str">
        <x:v>1.50 1.259,00 1.259,00 989,00</x:v>
      </x:c>
      <x:c r="F1115" s="24" t="str">
        <x:v>CRIZAL CRIZAL OPTIFOG ROCK EASY PRO</x:v>
      </x:c>
      <x:c r="G1115" s="24" t="n">
        <x:v>639</x:v>
      </x:c>
      <x:c r="H1115" s="24" t="n">
        <x:v>46118</x:v>
      </x:c>
      <x:c r="I1115" s="24" t="n">
        <x:v>46234</x:v>
      </x:c>
      <x:c r="J1115" s="24" t="str">
        <x:v>EXPIRADA</x:v>
      </x:c>
    </x:row>
    <x:row r="1116">
      <x:c r="A1116" s="24" t="n">
        <x:v>15</x:v>
      </x:c>
      <x:c r="B1116" s="24" t="str">
        <x:v>Lentes Kodak</x:v>
      </x:c>
      <x:c r="C1116" s="24" t="n">
        <x:v>130.3</x:v>
      </x:c>
      <x:c r="D1116" s="24" t="n">
        <x:v>318.5</x:v>
      </x:c>
      <x:c r="E1116" s="24" t="str">
        <x:v>1.50 1.259,00 1.259,00 989,00 639,00</x:v>
      </x:c>
      <x:c r="F1116" s="24" t="str">
        <x:v>CRIZAL OPTIFOG NO REFLEX EASY PRO</x:v>
      </x:c>
      <x:c r="G1116" s="24" t="n">
        <x:v>879</x:v>
      </x:c>
      <x:c r="H1116" s="24" t="n">
        <x:v>46118</x:v>
      </x:c>
      <x:c r="I1116" s="24" t="n">
        <x:v>46234</x:v>
      </x:c>
      <x:c r="J1116" s="24" t="str">
        <x:v>EXPIRADA</x:v>
      </x:c>
    </x:row>
    <x:row r="1117">
      <x:c r="A1117" s="24" t="n">
        <x:v>15</x:v>
      </x:c>
      <x:c r="B1117" s="24" t="str">
        <x:v>Lentes Kodak</x:v>
      </x:c>
      <x:c r="C1117" s="24" t="n">
        <x:v>130.3</x:v>
      </x:c>
      <x:c r="D1117" s="24" t="n">
        <x:v>424.9</x:v>
      </x:c>
      <x:c r="E1117" s="24" t="str">
        <x:v>1.50 1.259,00 1.259,00 989,00 639,00 879,00 489,00 439,00</x:v>
      </x:c>
      <x:c r="F1117" s="24" t="str">
        <x:v>V MARROM ÂMBAR M A TRIO VERNIZ HC MARCAÇÃO CLEAN</x:v>
      </x:c>
      <x:c r="G1117" s="24" t="n">
        <x:v>239</x:v>
      </x:c>
      <x:c r="H1117" s="24" t="n">
        <x:v>46118</x:v>
      </x:c>
      <x:c r="I1117" s="24" t="n">
        <x:v>46234</x:v>
      </x:c>
      <x:c r="J1117" s="24" t="str">
        <x:v>EXPIRADA</x:v>
      </x:c>
    </x:row>
    <x:row r="1118">
      <x:c r="A1118" s="24" t="n">
        <x:v>15</x:v>
      </x:c>
      <x:c r="B1118" s="24" t="str">
        <x:v>Lentes Kodak</x:v>
      </x:c>
      <x:c r="C1118" s="24" t="n">
        <x:v>130.3</x:v>
      </x:c>
      <x:c r="D1118" s="24" t="n">
        <x:v>353.4</x:v>
      </x:c>
      <x:c r="E1118" s="24" t="str">
        <x:v>1.50 1.259,00 1.259,00 989,00 639,00 879,00</x:v>
      </x:c>
      <x:c r="F1118" s="24" t="str">
        <x:v>LEGENDA CINZA C M TRIO OPTIFOG NO REFLEX EASY CLEAN</x:v>
      </x:c>
      <x:c r="G1118" s="24" t="n">
        <x:v>489</x:v>
      </x:c>
      <x:c r="H1118" s="24" t="n">
        <x:v>46118</x:v>
      </x:c>
      <x:c r="I1118" s="24" t="n">
        <x:v>46234</x:v>
      </x:c>
      <x:c r="J1118" s="24" t="str">
        <x:v>EXPIRADA</x:v>
      </x:c>
    </x:row>
    <x:row r="1119">
      <x:c r="A1119" s="24" t="n">
        <x:v>15</x:v>
      </x:c>
      <x:c r="B1119" s="24" t="str">
        <x:v>Lentes Kodak</x:v>
      </x:c>
      <x:c r="C1119" s="24" t="n">
        <x:v>144.7</x:v>
      </x:c>
      <x:c r="D1119" s="24" t="n">
        <x:v>171.3</x:v>
      </x:c>
      <x:c r="E1119" s="24"/>
      <x:c r="F1119" s="24" t="str">
        <x:v>SIMPLES DIGITAL CRIZAL CRIZAL PREVENCIA SAPPHIRE 1.259,00 1.259,00</x:v>
      </x:c>
      <x:c r="G1119" s="24" t="n">
        <x:v>1339</x:v>
      </x:c>
      <x:c r="H1119" s="24" t="n">
        <x:v>46118</x:v>
      </x:c>
      <x:c r="I1119" s="24" t="n">
        <x:v>46234</x:v>
      </x:c>
      <x:c r="J1119" s="24" t="str">
        <x:v>EXPIRADA</x:v>
      </x:c>
    </x:row>
    <x:row r="1120">
      <x:c r="A1120" s="24" t="n">
        <x:v>15</x:v>
      </x:c>
      <x:c r="B1120" s="24" t="str">
        <x:v>Lentes Kodak</x:v>
      </x:c>
      <x:c r="C1120" s="24" t="n">
        <x:v>144.7</x:v>
      </x:c>
      <x:c r="D1120" s="24" t="n">
        <x:v>215.1</x:v>
      </x:c>
      <x:c r="E1120" s="24" t="str">
        <x:v>1.339,00</x:v>
      </x:c>
      <x:c r="F1120" s="24" t="str">
        <x:v>CRIZAL CRIZAL CRIZAL ROCK PREVENCIA SAPPHIRE HR 1.259,00 1.259,00 989,00</x:v>
      </x:c>
      <x:c r="G1120" s="24" t="n">
        <x:v>1339</x:v>
      </x:c>
      <x:c r="H1120" s="24" t="n">
        <x:v>46118</x:v>
      </x:c>
      <x:c r="I1120" s="24" t="n">
        <x:v>46234</x:v>
      </x:c>
      <x:c r="J1120" s="24" t="str">
        <x:v>EXPIRADA</x:v>
      </x:c>
    </x:row>
    <x:row r="1121">
      <x:c r="A1121" s="24" t="n">
        <x:v>15</x:v>
      </x:c>
      <x:c r="B1121" s="24" t="str">
        <x:v>Lentes Kodak</x:v>
      </x:c>
      <x:c r="C1121" s="24" t="n">
        <x:v>144.7</x:v>
      </x:c>
      <x:c r="D1121" s="24" t="n">
        <x:v>253</x:v>
      </x:c>
      <x:c r="E1121" s="24" t="str">
        <x:v>1.339,00 1.339,00</x:v>
      </x:c>
      <x:c r="F1121" s="24" t="str">
        <x:v>CRIZAL CRIZAL ROCK SAPPHIRE HR EASY PRO 1.259,00 989,00 639,00</x:v>
      </x:c>
      <x:c r="G1121" s="24" t="n">
        <x:v>1069</x:v>
      </x:c>
      <x:c r="H1121" s="24" t="n">
        <x:v>46118</x:v>
      </x:c>
      <x:c r="I1121" s="24" t="n">
        <x:v>46234</x:v>
      </x:c>
      <x:c r="J1121" s="24" t="str">
        <x:v>EXPIRADA</x:v>
      </x:c>
    </x:row>
    <x:row r="1122">
      <x:c r="A1122" s="24" t="n">
        <x:v>15</x:v>
      </x:c>
      <x:c r="B1122" s="24" t="str">
        <x:v>Lentes Kodak</x:v>
      </x:c>
      <x:c r="C1122" s="24" t="n">
        <x:v>144.7</x:v>
      </x:c>
      <x:c r="D1122" s="24" t="n">
        <x:v>286.7</x:v>
      </x:c>
      <x:c r="E1122" s="24" t="str">
        <x:v>1.339,00 1.339,00 1.069,00</x:v>
      </x:c>
      <x:c r="F1122" s="24" t="str">
        <x:v>CRIZAL CRIZAL OPTIFOG ROCK EASY PRO 989,00 639,00 879,00</x:v>
      </x:c>
      <x:c r="G1122" s="24" t="n">
        <x:v>719</x:v>
      </x:c>
      <x:c r="H1122" s="24" t="n">
        <x:v>46118</x:v>
      </x:c>
      <x:c r="I1122" s="24" t="n">
        <x:v>46234</x:v>
      </x:c>
      <x:c r="J1122" s="24" t="str">
        <x:v>EXPIRADA</x:v>
      </x:c>
    </x:row>
    <x:row r="1123">
      <x:c r="A1123" s="24" t="n">
        <x:v>15</x:v>
      </x:c>
      <x:c r="B1123" s="24" t="str">
        <x:v>Lentes Kodak</x:v>
      </x:c>
      <x:c r="C1123" s="24" t="n">
        <x:v>144.7</x:v>
      </x:c>
      <x:c r="D1123" s="24" t="n">
        <x:v>318.6</x:v>
      </x:c>
      <x:c r="E1123" s="24" t="str">
        <x:v>1.339,00 1.339,00 1.069,00 719,00</x:v>
      </x:c>
      <x:c r="F1123" s="24" t="str">
        <x:v>CRIZAL OPTIFOG NO REFLEX EASY PRO 639,00 879,00 489,00</x:v>
      </x:c>
      <x:c r="G1123" s="24" t="n">
        <x:v>959</x:v>
      </x:c>
      <x:c r="H1123" s="24" t="n">
        <x:v>46118</x:v>
      </x:c>
      <x:c r="I1123" s="24" t="n">
        <x:v>46234</x:v>
      </x:c>
      <x:c r="J1123" s="24" t="str">
        <x:v>EXPIRADA</x:v>
      </x:c>
    </x:row>
    <x:row r="1124">
      <x:c r="A1124" s="24" t="n">
        <x:v>15</x:v>
      </x:c>
      <x:c r="B1124" s="24" t="str">
        <x:v>Lentes Kodak</x:v>
      </x:c>
      <x:c r="C1124" s="24" t="n">
        <x:v>144.7</x:v>
      </x:c>
      <x:c r="D1124" s="24" t="n">
        <x:v>426.1</x:v>
      </x:c>
      <x:c r="E1124" s="24" t="str">
        <x:v>1.339,00 1.339,00 1.069,00 719,00 959,00 569,00 519,00</x:v>
      </x:c>
      <x:c r="F1124" s="24" t="str">
        <x:v>ÂMBAR M A TRIO VERNIZ HC MARCAÇÃO CLEAN 239,00 439,00</x:v>
      </x:c>
      <x:c r="G1124" s="24" t="n">
        <x:v>319</x:v>
      </x:c>
      <x:c r="H1124" s="24" t="n">
        <x:v>46118</x:v>
      </x:c>
      <x:c r="I1124" s="24" t="n">
        <x:v>46234</x:v>
      </x:c>
      <x:c r="J1124" s="24" t="str">
        <x:v>EXPIRADA</x:v>
      </x:c>
    </x:row>
    <x:row r="1125">
      <x:c r="A1125" s="24" t="n">
        <x:v>15</x:v>
      </x:c>
      <x:c r="B1125" s="24" t="str">
        <x:v>Lentes Kodak</x:v>
      </x:c>
      <x:c r="C1125" s="24" t="n">
        <x:v>144.7</x:v>
      </x:c>
      <x:c r="D1125" s="24" t="n">
        <x:v>353.1</x:v>
      </x:c>
      <x:c r="E1125" s="24" t="str">
        <x:v>1.339,00 1.339,00 1.069,00 719,00 959,00</x:v>
      </x:c>
      <x:c r="F1125" s="24" t="str">
        <x:v>M TRIO OPTIFOG NO REFLEX EASY CLEAN 879,00 489,00 439,00</x:v>
      </x:c>
      <x:c r="G1125" s="24" t="n">
        <x:v>569</x:v>
      </x:c>
      <x:c r="H1125" s="24" t="n">
        <x:v>46118</x:v>
      </x:c>
      <x:c r="I1125" s="24" t="n">
        <x:v>46234</x:v>
      </x:c>
      <x:c r="J1125" s="24" t="str">
        <x:v>EXPIRADA</x:v>
      </x:c>
    </x:row>
    <x:row r="1126">
      <x:c r="A1126" s="24" t="n">
        <x:v>15</x:v>
      </x:c>
      <x:c r="B1126" s="24" t="str">
        <x:v>Lentes Kodak</x:v>
      </x:c>
      <x:c r="C1126" s="24" t="n">
        <x:v>200.3</x:v>
      </x:c>
      <x:c r="D1126" s="24" t="n">
        <x:v>171.4</x:v>
      </x:c>
      <x:c r="E1126" s="24" t="str">
        <x:v>Poly +</x:v>
      </x:c>
      <x:c r="F1126" s="24" t="str">
        <x:v>1.259,00 1.339,00 1.339,00 +R$80 2.049,00 2.049,00 +R$790 2.119,00 2.119,00 +R$860</x:v>
      </x:c>
      <x:c r="G1126" s="24" t="n">
        <x:v>1429</x:v>
      </x:c>
      <x:c r="H1126" s="24" t="n">
        <x:v>46118</x:v>
      </x:c>
      <x:c r="I1126" s="24" t="n">
        <x:v>46234</x:v>
      </x:c>
      <x:c r="J1126" s="24" t="str">
        <x:v>EXPIRADA</x:v>
      </x:c>
    </x:row>
    <x:row r="1127">
      <x:c r="A1127" s="24" t="n">
        <x:v>15</x:v>
      </x:c>
      <x:c r="B1127" s="24" t="str">
        <x:v>Lentes Kodak</x:v>
      </x:c>
      <x:c r="C1127" s="24" t="n">
        <x:v>200.3</x:v>
      </x:c>
      <x:c r="D1127" s="24" t="n">
        <x:v>215.1</x:v>
      </x:c>
      <x:c r="E1127" s="24" t="str">
        <x:v>Poly + 1.429,00</x:v>
      </x:c>
      <x:c r="F1127" s="24" t="str">
        <x:v>989,00 1.339,00 1.339,00 1.069,00 2.049,00 2.049,00 1.779,00 2.119,00 2.119,00 1.849,00</x:v>
      </x:c>
      <x:c r="G1127" s="24" t="n">
        <x:v>1429</x:v>
      </x:c>
      <x:c r="H1127" s="24" t="n">
        <x:v>46118</x:v>
      </x:c>
      <x:c r="I1127" s="24" t="n">
        <x:v>46234</x:v>
      </x:c>
      <x:c r="J1127" s="24" t="str">
        <x:v>EXPIRADA</x:v>
      </x:c>
    </x:row>
    <x:row r="1128">
      <x:c r="A1128" s="24" t="n">
        <x:v>15</x:v>
      </x:c>
      <x:c r="B1128" s="24" t="str">
        <x:v>Lentes Kodak</x:v>
      </x:c>
      <x:c r="C1128" s="24" t="n">
        <x:v>200.3</x:v>
      </x:c>
      <x:c r="D1128" s="24" t="n">
        <x:v>252.5</x:v>
      </x:c>
      <x:c r="E1128" s="24" t="str">
        <x:v>Poly + 1.429,00 1.429,00</x:v>
      </x:c>
      <x:c r="F1128" s="24" t="str">
        <x:v>639,00 1.339,00 1.069,00 719,00 2.049,00 1.779,00 1.429,00 2.119,00 1.849,00 1.499,00</x:v>
      </x:c>
      <x:c r="G1128" s="24" t="n">
        <x:v>1159</x:v>
      </x:c>
      <x:c r="H1128" s="24" t="n">
        <x:v>46118</x:v>
      </x:c>
      <x:c r="I1128" s="24" t="n">
        <x:v>46234</x:v>
      </x:c>
      <x:c r="J1128" s="24" t="str">
        <x:v>EXPIRADA</x:v>
      </x:c>
    </x:row>
    <x:row r="1129">
      <x:c r="A1129" s="24" t="n">
        <x:v>15</x:v>
      </x:c>
      <x:c r="B1129" s="24" t="str">
        <x:v>Lentes Kodak</x:v>
      </x:c>
      <x:c r="C1129" s="24" t="n">
        <x:v>200.3</x:v>
      </x:c>
      <x:c r="D1129" s="24" t="n">
        <x:v>287.7</x:v>
      </x:c>
      <x:c r="E1129" s="24" t="str">
        <x:v>Poly + 1.429,00 1.429,00 1.159,00</x:v>
      </x:c>
      <x:c r="F1129" s="24" t="str">
        <x:v>879,00 1.069,00 719,00 959,00 1.779,00 1.429,00 1.669,00 1.849,00 1.499,00 1.739,00</x:v>
      </x:c>
      <x:c r="G1129" s="24" t="n">
        <x:v>809</x:v>
      </x:c>
      <x:c r="H1129" s="24" t="n">
        <x:v>46118</x:v>
      </x:c>
      <x:c r="I1129" s="24" t="n">
        <x:v>46234</x:v>
      </x:c>
      <x:c r="J1129" s="24" t="str">
        <x:v>EXPIRADA</x:v>
      </x:c>
    </x:row>
    <x:row r="1130">
      <x:c r="A1130" s="24" t="n">
        <x:v>15</x:v>
      </x:c>
      <x:c r="B1130" s="24" t="str">
        <x:v>Lentes Kodak</x:v>
      </x:c>
      <x:c r="C1130" s="24" t="n">
        <x:v>200.3</x:v>
      </x:c>
      <x:c r="D1130" s="24" t="n">
        <x:v>317.6</x:v>
      </x:c>
      <x:c r="E1130" s="24" t="str">
        <x:v>Poly + 1.429,00 1.429,00 1.159,00 809,00</x:v>
      </x:c>
      <x:c r="F1130" s="24" t="str">
        <x:v>489,00 719,00 959,00 569,00 1.429,00 1.669,00 1.279,00 1.499,00 1.739,00 1.349,00</x:v>
      </x:c>
      <x:c r="G1130" s="24" t="n">
        <x:v>1049</x:v>
      </x:c>
      <x:c r="H1130" s="24" t="n">
        <x:v>46118</x:v>
      </x:c>
      <x:c r="I1130" s="24" t="n">
        <x:v>46234</x:v>
      </x:c>
      <x:c r="J1130" s="24" t="str">
        <x:v>EXPIRADA</x:v>
      </x:c>
    </x:row>
    <x:row r="1131">
      <x:c r="A1131" s="24" t="n">
        <x:v>15</x:v>
      </x:c>
      <x:c r="B1131" s="24" t="str">
        <x:v>Lentes Kodak</x:v>
      </x:c>
      <x:c r="C1131" s="24" t="n">
        <x:v>200.3</x:v>
      </x:c>
      <x:c r="D1131" s="24" t="n">
        <x:v>425.8</x:v>
      </x:c>
      <x:c r="E1131" s="24" t="str">
        <x:v>Poly + 1.429,00 1.429,00 1.159,00 809,00 1.049,00 659,00 609,00</x:v>
      </x:c>
      <x:c r="F1131" s="24" t="str">
        <x:v>MARCAÇÃO CLEAN 239,00 439,00 319,00 519,00 1.229,00 1.029,00 1.299,00 1.099,00</x:v>
      </x:c>
      <x:c r="G1131" s="24" t="n">
        <x:v>409</x:v>
      </x:c>
      <x:c r="H1131" s="24" t="n">
        <x:v>46118</x:v>
      </x:c>
      <x:c r="I1131" s="24" t="n">
        <x:v>46234</x:v>
      </x:c>
      <x:c r="J1131" s="24" t="str">
        <x:v>EXPIRADA</x:v>
      </x:c>
    </x:row>
    <x:row r="1132">
      <x:c r="A1132" s="24" t="n">
        <x:v>15</x:v>
      </x:c>
      <x:c r="B1132" s="24" t="str">
        <x:v>Lentes Kodak</x:v>
      </x:c>
      <x:c r="C1132" s="24" t="n">
        <x:v>200.3</x:v>
      </x:c>
      <x:c r="D1132" s="24" t="n">
        <x:v>354.4</x:v>
      </x:c>
      <x:c r="E1132" s="24" t="str">
        <x:v>Poly + 1.429,00 1.429,00 1.159,00 809,00 1.049,00</x:v>
      </x:c>
      <x:c r="F1132" s="24" t="str">
        <x:v>439,00 959,00 569,00 519,00 1.229,00 1.669,00 1.279,00 1.299,00 1.739,00 1.349,00</x:v>
      </x:c>
      <x:c r="G1132" s="24" t="n">
        <x:v>659</x:v>
      </x:c>
      <x:c r="H1132" s="24" t="n">
        <x:v>46118</x:v>
      </x:c>
      <x:c r="I1132" s="24" t="n">
        <x:v>46234</x:v>
      </x:c>
      <x:c r="J1132" s="24" t="str">
        <x:v>EXPIRADA</x:v>
      </x:c>
    </x:row>
    <x:row r="1133">
      <x:c r="A1133" s="24" t="n">
        <x:v>15</x:v>
      </x:c>
      <x:c r="B1133" s="24" t="str">
        <x:v>Lentes Kodak</x:v>
      </x:c>
      <x:c r="C1133" s="24" t="n">
        <x:v>216.7</x:v>
      </x:c>
      <x:c r="D1133" s="24" t="n">
        <x:v>170.6</x:v>
      </x:c>
      <x:c r="E1133" s="24"/>
      <x:c r="F1133" s="24" t="str">
        <x:v>1.339,00 +R$80 2.049,00 2.049,00 +R$790 2.119,00 2.119,00 +R$860 1.429,00 1.429,00</x:v>
      </x:c>
      <x:c r="G1133" s="24" t="n">
        <x:v>2219</x:v>
      </x:c>
      <x:c r="H1133" s="24" t="n">
        <x:v>46118</x:v>
      </x:c>
      <x:c r="I1133" s="24" t="n">
        <x:v>46234</x:v>
      </x:c>
      <x:c r="J1133" s="24" t="str">
        <x:v>EXPIRADA</x:v>
      </x:c>
    </x:row>
    <x:row r="1134">
      <x:c r="A1134" s="24" t="n">
        <x:v>15</x:v>
      </x:c>
      <x:c r="B1134" s="24" t="str">
        <x:v>Lentes Kodak</x:v>
      </x:c>
      <x:c r="C1134" s="24" t="n">
        <x:v>216.7</x:v>
      </x:c>
      <x:c r="D1134" s="24" t="n">
        <x:v>214.7</x:v>
      </x:c>
      <x:c r="E1134" s="24" t="str">
        <x:v>2.219,00</x:v>
      </x:c>
      <x:c r="F1134" s="24" t="str">
        <x:v>1.069,00 2.049,00 2.049,00 1.779,00 2.119,00 2.119,00 1.849,00 1.429,00 1.429,00 1.159,00</x:v>
      </x:c>
      <x:c r="G1134" s="24" t="n">
        <x:v>2219</x:v>
      </x:c>
      <x:c r="H1134" s="24" t="n">
        <x:v>46118</x:v>
      </x:c>
      <x:c r="I1134" s="24" t="n">
        <x:v>46234</x:v>
      </x:c>
      <x:c r="J1134" s="24" t="str">
        <x:v>EXPIRADA</x:v>
      </x:c>
    </x:row>
    <x:row r="1135">
      <x:c r="A1135" s="24" t="n">
        <x:v>15</x:v>
      </x:c>
      <x:c r="B1135" s="24" t="str">
        <x:v>Lentes Kodak</x:v>
      </x:c>
      <x:c r="C1135" s="24" t="n">
        <x:v>216.7</x:v>
      </x:c>
      <x:c r="D1135" s="24" t="n">
        <x:v>250.8</x:v>
      </x:c>
      <x:c r="E1135" s="24" t="str">
        <x:v>2.219,00 2.219,00</x:v>
      </x:c>
      <x:c r="F1135" s="24" t="str">
        <x:v>719,00 2.049,00 1.779,00 1.429,00 2.119,00 1.849,00 1.499,00 1.429,00 1.159,00 809,00</x:v>
      </x:c>
      <x:c r="G1135" s="24" t="n">
        <x:v>1949</x:v>
      </x:c>
      <x:c r="H1135" s="24" t="n">
        <x:v>46118</x:v>
      </x:c>
      <x:c r="I1135" s="24" t="n">
        <x:v>46234</x:v>
      </x:c>
      <x:c r="J1135" s="24" t="str">
        <x:v>EXPIRADA</x:v>
      </x:c>
    </x:row>
    <x:row r="1136">
      <x:c r="A1136" s="24" t="n">
        <x:v>15</x:v>
      </x:c>
      <x:c r="B1136" s="24" t="str">
        <x:v>Lentes Kodak</x:v>
      </x:c>
      <x:c r="C1136" s="24" t="n">
        <x:v>216.7</x:v>
      </x:c>
      <x:c r="D1136" s="24" t="n">
        <x:v>285.1</x:v>
      </x:c>
      <x:c r="E1136" s="24" t="str">
        <x:v>2.219,00 2.219,00 1.949,00</x:v>
      </x:c>
      <x:c r="F1136" s="24" t="str">
        <x:v>959,00 1.779,00 1.429,00 1.669,00 1.849,00 1.499,00 1.739,00 1.159,00 809,00 1.049,00</x:v>
      </x:c>
      <x:c r="G1136" s="24" t="n">
        <x:v>1599</x:v>
      </x:c>
      <x:c r="H1136" s="24" t="n">
        <x:v>46118</x:v>
      </x:c>
      <x:c r="I1136" s="24" t="n">
        <x:v>46234</x:v>
      </x:c>
      <x:c r="J1136" s="24" t="str">
        <x:v>EXPIRADA</x:v>
      </x:c>
    </x:row>
    <x:row r="1137">
      <x:c r="A1137" s="24" t="n">
        <x:v>15</x:v>
      </x:c>
      <x:c r="B1137" s="24" t="str">
        <x:v>Lentes Kodak</x:v>
      </x:c>
      <x:c r="C1137" s="24" t="n">
        <x:v>216.7</x:v>
      </x:c>
      <x:c r="D1137" s="24" t="n">
        <x:v>317</x:v>
      </x:c>
      <x:c r="E1137" s="24" t="str">
        <x:v>2.219,00 2.219,00 1.949,00 1.599,00</x:v>
      </x:c>
      <x:c r="F1137" s="24" t="str">
        <x:v>569,00 1.429,00 1.669,00 1.279,00 1.499,00 1.739,00 1.349,00 809,00 1.049,00 659,00</x:v>
      </x:c>
      <x:c r="G1137" s="24" t="n">
        <x:v>1839</x:v>
      </x:c>
      <x:c r="H1137" s="24" t="n">
        <x:v>46118</x:v>
      </x:c>
      <x:c r="I1137" s="24" t="n">
        <x:v>46234</x:v>
      </x:c>
      <x:c r="J1137" s="24" t="str">
        <x:v>EXPIRADA</x:v>
      </x:c>
    </x:row>
    <x:row r="1138">
      <x:c r="A1138" s="24" t="n">
        <x:v>15</x:v>
      </x:c>
      <x:c r="B1138" s="24" t="str">
        <x:v>Lentes Kodak</x:v>
      </x:c>
      <x:c r="C1138" s="24" t="n">
        <x:v>216.7</x:v>
      </x:c>
      <x:c r="D1138" s="24" t="n">
        <x:v>424</x:v>
      </x:c>
      <x:c r="E1138" s="24" t="str">
        <x:v>2.219,00 2.219,00 1.949,00 1.599,00 1.839,00 1.449,00 1.399,00</x:v>
      </x:c>
      <x:c r="F1138" s="24" t="str">
        <x:v>239,00 439,00 319,00 519,00 1.229,00 1.029,00 1.299,00 1.099,00 409,00 609,00</x:v>
      </x:c>
      <x:c r="G1138" s="24" t="n">
        <x:v>1199</x:v>
      </x:c>
      <x:c r="H1138" s="24" t="n">
        <x:v>46118</x:v>
      </x:c>
      <x:c r="I1138" s="24" t="n">
        <x:v>46234</x:v>
      </x:c>
      <x:c r="J1138" s="24" t="str">
        <x:v>EXPIRADA</x:v>
      </x:c>
    </x:row>
    <x:row r="1139">
      <x:c r="A1139" s="24" t="n">
        <x:v>15</x:v>
      </x:c>
      <x:c r="B1139" s="24" t="str">
        <x:v>Lentes Kodak</x:v>
      </x:c>
      <x:c r="C1139" s="24" t="n">
        <x:v>216.7</x:v>
      </x:c>
      <x:c r="D1139" s="24" t="n">
        <x:v>351.7</x:v>
      </x:c>
      <x:c r="E1139" s="24" t="str">
        <x:v>2.219,00 2.219,00 1.949,00 1.599,00 1.839,00</x:v>
      </x:c>
      <x:c r="F1139" s="24" t="str">
        <x:v>519,00 1.229,00 1.669,00 1.279,00 1.299,00 1.739,00 1.349,00 1.049,00 659,00 609,00</x:v>
      </x:c>
      <x:c r="G1139" s="24" t="n">
        <x:v>1449</x:v>
      </x:c>
      <x:c r="H1139" s="24" t="n">
        <x:v>46118</x:v>
      </x:c>
      <x:c r="I1139" s="24" t="n">
        <x:v>46234</x:v>
      </x:c>
      <x:c r="J1139" s="24" t="str">
        <x:v>EXPIRADA</x:v>
      </x:c>
    </x:row>
    <x:row r="1140">
      <x:c r="A1140" s="24" t="n">
        <x:v>15</x:v>
      </x:c>
      <x:c r="B1140" s="24" t="str">
        <x:v>Lentes Kodak</x:v>
      </x:c>
      <x:c r="C1140" s="24" t="n">
        <x:v>256.9</x:v>
      </x:c>
      <x:c r="D1140" s="24" t="n">
        <x:v>169.5</x:v>
      </x:c>
      <x:c r="E1140" s="24" t="str">
        <x:v>1.67</x:v>
      </x:c>
      <x:c r="F1140" s="24" t="str">
        <x:v>2.119,00 +R$860 1.429,00 1.429,00 2.219,00 2.219,00 +R$790 2.289,00 2.289,00 +R$860</x:v>
      </x:c>
      <x:c r="G1140" s="24" t="n">
        <x:v>2349</x:v>
      </x:c>
      <x:c r="H1140" s="24" t="n">
        <x:v>46118</x:v>
      </x:c>
      <x:c r="I1140" s="24" t="n">
        <x:v>46234</x:v>
      </x:c>
      <x:c r="J1140" s="24" t="str">
        <x:v>EXPIRADA</x:v>
      </x:c>
    </x:row>
    <x:row r="1141">
      <x:c r="A1141" s="24" t="n">
        <x:v>15</x:v>
      </x:c>
      <x:c r="B1141" s="24" t="str">
        <x:v>Lentes Kodak</x:v>
      </x:c>
      <x:c r="C1141" s="24" t="n">
        <x:v>256.9</x:v>
      </x:c>
      <x:c r="D1141" s="24" t="n">
        <x:v>214.3</x:v>
      </x:c>
      <x:c r="E1141" s="24" t="str">
        <x:v>1.67 2.349,00</x:v>
      </x:c>
      <x:c r="F1141" s="24" t="str">
        <x:v>1.849,00 1.429,00 1.429,00 1.159,00 2.219,00 2.219,00 1.949,00 2.289,00 2.289,00 2.019,00</x:v>
      </x:c>
      <x:c r="G1141" s="24" t="n">
        <x:v>2349</x:v>
      </x:c>
      <x:c r="H1141" s="24" t="n">
        <x:v>46118</x:v>
      </x:c>
      <x:c r="I1141" s="24" t="n">
        <x:v>46234</x:v>
      </x:c>
      <x:c r="J1141" s="24" t="str">
        <x:v>EXPIRADA</x:v>
      </x:c>
    </x:row>
    <x:row r="1142">
      <x:c r="A1142" s="24" t="n">
        <x:v>15</x:v>
      </x:c>
      <x:c r="B1142" s="24" t="str">
        <x:v>Lentes Kodak</x:v>
      </x:c>
      <x:c r="C1142" s="24" t="n">
        <x:v>256.9</x:v>
      </x:c>
      <x:c r="D1142" s="24" t="n">
        <x:v>251.7</x:v>
      </x:c>
      <x:c r="E1142" s="24" t="str">
        <x:v>1.67 2.349,00 2.349,00</x:v>
      </x:c>
      <x:c r="F1142" s="24" t="str">
        <x:v>1.499,00 1.429,00 1.159,00 809,00 2.219,00 1.949,00 1.599,00 2.289,00 2.019,00 1.669,00</x:v>
      </x:c>
      <x:c r="G1142" s="24" t="n">
        <x:v>2079</x:v>
      </x:c>
      <x:c r="H1142" s="24" t="n">
        <x:v>46118</x:v>
      </x:c>
      <x:c r="I1142" s="24" t="n">
        <x:v>46234</x:v>
      </x:c>
      <x:c r="J1142" s="24" t="str">
        <x:v>EXPIRADA</x:v>
      </x:c>
    </x:row>
    <x:row r="1143">
      <x:c r="A1143" s="24" t="n">
        <x:v>15</x:v>
      </x:c>
      <x:c r="B1143" s="24" t="str">
        <x:v>Lentes Kodak</x:v>
      </x:c>
      <x:c r="C1143" s="24" t="n">
        <x:v>256.9</x:v>
      </x:c>
      <x:c r="D1143" s="24" t="n">
        <x:v>284.4</x:v>
      </x:c>
      <x:c r="E1143" s="24" t="str">
        <x:v>1.67 2.349,00 2.349,00 2.079,00</x:v>
      </x:c>
      <x:c r="F1143" s="24" t="str">
        <x:v>1.739,00 1.159,00 809,00 1.049,00 1.949,00 1.599,00 1.839,00 2.019,00 1.669,00 1.909,00</x:v>
      </x:c>
      <x:c r="G1143" s="24" t="n">
        <x:v>1729</x:v>
      </x:c>
      <x:c r="H1143" s="24" t="n">
        <x:v>46118</x:v>
      </x:c>
      <x:c r="I1143" s="24" t="n">
        <x:v>46234</x:v>
      </x:c>
      <x:c r="J1143" s="24" t="str">
        <x:v>EXPIRADA</x:v>
      </x:c>
    </x:row>
    <x:row r="1144">
      <x:c r="A1144" s="24" t="n">
        <x:v>15</x:v>
      </x:c>
      <x:c r="B1144" s="24" t="str">
        <x:v>Lentes Kodak</x:v>
      </x:c>
      <x:c r="C1144" s="24" t="n">
        <x:v>256.9</x:v>
      </x:c>
      <x:c r="D1144" s="24" t="n">
        <x:v>317.3</x:v>
      </x:c>
      <x:c r="E1144" s="24" t="str">
        <x:v>1.67 2.349,00 2.349,00 2.079,00 1.729,00</x:v>
      </x:c>
      <x:c r="F1144" s="24" t="str">
        <x:v>1.349,00 809,00 1.049,00 659,00 1.599,00 1.839,00 1.449,00 1.669,00 1.909,00 1.519,00</x:v>
      </x:c>
      <x:c r="G1144" s="24" t="n">
        <x:v>1969</x:v>
      </x:c>
      <x:c r="H1144" s="24" t="n">
        <x:v>46118</x:v>
      </x:c>
      <x:c r="I1144" s="24" t="n">
        <x:v>46234</x:v>
      </x:c>
      <x:c r="J1144" s="24" t="str">
        <x:v>EXPIRADA</x:v>
      </x:c>
    </x:row>
    <x:row r="1145">
      <x:c r="A1145" s="24" t="n">
        <x:v>15</x:v>
      </x:c>
      <x:c r="B1145" s="24" t="str">
        <x:v>Lentes Kodak</x:v>
      </x:c>
      <x:c r="C1145" s="24" t="n">
        <x:v>256.9</x:v>
      </x:c>
      <x:c r="D1145" s="24" t="n">
        <x:v>351.8</x:v>
      </x:c>
      <x:c r="E1145" s="24" t="str">
        <x:v>1.67 2.349,00 2.349,00 2.079,00 1.729,00 1.969,00</x:v>
      </x:c>
      <x:c r="F1145" s="24" t="str">
        <x:v>1.349,00 1.049,00 659,00 609,00 1.839,00 1.449,00 1.399,00 1.469,00 1.909,00 1.519,00</x:v>
      </x:c>
      <x:c r="G1145" s="24" t="n">
        <x:v>1579</x:v>
      </x:c>
      <x:c r="H1145" s="24" t="n">
        <x:v>46118</x:v>
      </x:c>
      <x:c r="I1145" s="24" t="n">
        <x:v>46234</x:v>
      </x:c>
      <x:c r="J1145" s="24" t="str">
        <x:v>EXPIRADA</x:v>
      </x:c>
    </x:row>
    <x:row r="1146">
      <x:c r="A1146" s="24" t="n">
        <x:v>15</x:v>
      </x:c>
      <x:c r="B1146" s="24" t="str">
        <x:v>Lentes Kodak</x:v>
      </x:c>
      <x:c r="C1146" s="24" t="n">
        <x:v>272.2</x:v>
      </x:c>
      <x:c r="D1146" s="24" t="n">
        <x:v>170.6</x:v>
      </x:c>
      <x:c r="E1146" s="24"/>
      <x:c r="F1146" s="24" t="str">
        <x:v>1.429,00 1.429,00 2.219,00 2.219,00 +R$790 2.289,00 2.289,00 +R$860 2.349,00 2.349,00</x:v>
      </x:c>
      <x:c r="G1146" s="24" t="n">
        <x:v>3139</x:v>
      </x:c>
      <x:c r="H1146" s="24" t="n">
        <x:v>46118</x:v>
      </x:c>
      <x:c r="I1146" s="24" t="n">
        <x:v>46234</x:v>
      </x:c>
      <x:c r="J1146" s="24" t="str">
        <x:v>EXPIRADA</x:v>
      </x:c>
    </x:row>
    <x:row r="1147">
      <x:c r="A1147" s="24" t="n">
        <x:v>15</x:v>
      </x:c>
      <x:c r="B1147" s="24" t="str">
        <x:v>Lentes Kodak</x:v>
      </x:c>
      <x:c r="C1147" s="24" t="n">
        <x:v>272.2</x:v>
      </x:c>
      <x:c r="D1147" s="24" t="n">
        <x:v>214.3</x:v>
      </x:c>
      <x:c r="E1147" s="24" t="str">
        <x:v>3.139,00</x:v>
      </x:c>
      <x:c r="F1147" s="24" t="str">
        <x:v>1.159,00 2.219,00 2.219,00 1.949,00 2.289,00 2.289,00 2.019,00 2.349,00 2.349,00 2.079,00</x:v>
      </x:c>
      <x:c r="G1147" s="24" t="n">
        <x:v>3139</x:v>
      </x:c>
      <x:c r="H1147" s="24" t="n">
        <x:v>46118</x:v>
      </x:c>
      <x:c r="I1147" s="24" t="n">
        <x:v>46234</x:v>
      </x:c>
      <x:c r="J1147" s="24" t="str">
        <x:v>EXPIRADA</x:v>
      </x:c>
    </x:row>
    <x:row r="1148">
      <x:c r="A1148" s="24" t="n">
        <x:v>15</x:v>
      </x:c>
      <x:c r="B1148" s="24" t="str">
        <x:v>Lentes Kodak</x:v>
      </x:c>
      <x:c r="C1148" s="24" t="n">
        <x:v>272.2</x:v>
      </x:c>
      <x:c r="D1148" s="24" t="n">
        <x:v>250.9</x:v>
      </x:c>
      <x:c r="E1148" s="24" t="str">
        <x:v>3.139,00 3.139,00</x:v>
      </x:c>
      <x:c r="F1148" s="24" t="str">
        <x:v>809,00 2.219,00 1.949,00 1.599,00 2.289,00 2.019,00 1.669,00 2.349,00 2.079,00 1.729,00</x:v>
      </x:c>
      <x:c r="G1148" s="24" t="n">
        <x:v>2869</x:v>
      </x:c>
      <x:c r="H1148" s="24" t="n">
        <x:v>46118</x:v>
      </x:c>
      <x:c r="I1148" s="24" t="n">
        <x:v>46234</x:v>
      </x:c>
      <x:c r="J1148" s="24" t="str">
        <x:v>EXPIRADA</x:v>
      </x:c>
    </x:row>
    <x:row r="1149">
      <x:c r="A1149" s="24" t="n">
        <x:v>15</x:v>
      </x:c>
      <x:c r="B1149" s="24" t="str">
        <x:v>Lentes Kodak</x:v>
      </x:c>
      <x:c r="C1149" s="24" t="n">
        <x:v>272.2</x:v>
      </x:c>
      <x:c r="D1149" s="24" t="n">
        <x:v>284.7</x:v>
      </x:c>
      <x:c r="E1149" s="24" t="str">
        <x:v>3.139,00 3.139,00 2.869,00</x:v>
      </x:c>
      <x:c r="F1149" s="24" t="str">
        <x:v>1.049,00 1.949,00 1.599,00 1.839,00 2.019,00 1.669,00 1.909,00 2.079,00 1.729,00 1.969,00</x:v>
      </x:c>
      <x:c r="G1149" s="24" t="n">
        <x:v>2519</x:v>
      </x:c>
      <x:c r="H1149" s="24" t="n">
        <x:v>46118</x:v>
      </x:c>
      <x:c r="I1149" s="24" t="n">
        <x:v>46234</x:v>
      </x:c>
      <x:c r="J1149" s="24" t="str">
        <x:v>EXPIRADA</x:v>
      </x:c>
    </x:row>
    <x:row r="1150">
      <x:c r="A1150" s="24" t="n">
        <x:v>15</x:v>
      </x:c>
      <x:c r="B1150" s="24" t="str">
        <x:v>Lentes Kodak</x:v>
      </x:c>
      <x:c r="C1150" s="24" t="n">
        <x:v>272.2</x:v>
      </x:c>
      <x:c r="D1150" s="24" t="n">
        <x:v>316.6</x:v>
      </x:c>
      <x:c r="E1150" s="24" t="str">
        <x:v>3.139,00 3.139,00 2.869,00 2.519,00</x:v>
      </x:c>
      <x:c r="F1150" s="24" t="str">
        <x:v>659,00 1.599,00 1.839,00 1.449,00 1.669,00 1.909,00 1.519,00 1.729,00 1.969,00 1.579,00</x:v>
      </x:c>
      <x:c r="G1150" s="24" t="n">
        <x:v>2759</x:v>
      </x:c>
      <x:c r="H1150" s="24" t="n">
        <x:v>46118</x:v>
      </x:c>
      <x:c r="I1150" s="24" t="n">
        <x:v>46234</x:v>
      </x:c>
      <x:c r="J1150" s="24" t="str">
        <x:v>EXPIRADA</x:v>
      </x:c>
    </x:row>
    <x:row r="1151">
      <x:c r="A1151" s="24" t="n">
        <x:v>15</x:v>
      </x:c>
      <x:c r="B1151" s="24" t="str">
        <x:v>Lentes Kodak</x:v>
      </x:c>
      <x:c r="C1151" s="24" t="n">
        <x:v>272.2</x:v>
      </x:c>
      <x:c r="D1151" s="24" t="n">
        <x:v>351.4</x:v>
      </x:c>
      <x:c r="E1151" s="24" t="str">
        <x:v>3.139,00 3.139,00 2.869,00 2.519,00 2.759,00</x:v>
      </x:c>
      <x:c r="F1151" s="24" t="str">
        <x:v>609,00 1.839,00 1.449,00 1.399,00 1.469,00 1.909,00 1.519,00 1.529,00 1.969,00 1.579,00</x:v>
      </x:c>
      <x:c r="G1151" s="24" t="n">
        <x:v>2369</x:v>
      </x:c>
      <x:c r="H1151" s="24" t="n">
        <x:v>46118</x:v>
      </x:c>
      <x:c r="I1151" s="24" t="n">
        <x:v>46234</x:v>
      </x:c>
      <x:c r="J1151" s="24" t="str">
        <x:v>EXPIRADA</x:v>
      </x:c>
    </x:row>
    <x:row r="1152">
      <x:c r="A1152" s="24" t="n">
        <x:v>15</x:v>
      </x:c>
      <x:c r="B1152" s="24" t="str">
        <x:v>Lentes Kodak</x:v>
      </x:c>
      <x:c r="C1152" s="24" t="n">
        <x:v>160.3</x:v>
      </x:c>
      <x:c r="D1152" s="24" t="n">
        <x:v>170.3</x:v>
      </x:c>
      <x:c r="E1152" s="24"/>
      <x:c r="F1152" s="24" t="str">
        <x:v>DIGITAL CRIZAL CRIZAL PREVENCIA SAPPHIRE 1.259,00 1.259,00 1.339,00 1.339,00 +R$80</x:v>
      </x:c>
      <x:c r="G1152" s="24" t="n">
        <x:v>2049</x:v>
      </x:c>
      <x:c r="H1152" s="24" t="n">
        <x:v>46118</x:v>
      </x:c>
      <x:c r="I1152" s="24" t="n">
        <x:v>46234</x:v>
      </x:c>
      <x:c r="J1152" s="24" t="str">
        <x:v>EXPIRADA</x:v>
      </x:c>
    </x:row>
    <x:row r="1153">
      <x:c r="A1153" s="24" t="n">
        <x:v>15</x:v>
      </x:c>
      <x:c r="B1153" s="24" t="str">
        <x:v>Lentes Kodak</x:v>
      </x:c>
      <x:c r="C1153" s="24" t="n">
        <x:v>160.3</x:v>
      </x:c>
      <x:c r="D1153" s="24" t="n">
        <x:v>214</x:v>
      </x:c>
      <x:c r="E1153" s="24" t="str">
        <x:v>2.049,00</x:v>
      </x:c>
      <x:c r="F1153" s="24" t="str">
        <x:v>ROCK PREVENCIA SAPPHIRE HR 1.259,00 1.259,00 989,00 1.339,00 1.339,00 1.069,00</x:v>
      </x:c>
      <x:c r="G1153" s="24" t="n">
        <x:v>2049</x:v>
      </x:c>
      <x:c r="H1153" s="24" t="n">
        <x:v>46118</x:v>
      </x:c>
      <x:c r="I1153" s="24" t="n">
        <x:v>46234</x:v>
      </x:c>
      <x:c r="J1153" s="24" t="str">
        <x:v>EXPIRADA</x:v>
      </x:c>
    </x:row>
    <x:row r="1154">
      <x:c r="A1154" s="24" t="n">
        <x:v>15</x:v>
      </x:c>
      <x:c r="B1154" s="24" t="str">
        <x:v>Lentes Kodak</x:v>
      </x:c>
      <x:c r="C1154" s="24" t="n">
        <x:v>160.3</x:v>
      </x:c>
      <x:c r="D1154" s="24" t="n">
        <x:v>251.9</x:v>
      </x:c>
      <x:c r="E1154" s="24" t="str">
        <x:v>2.049,00 2.049,00</x:v>
      </x:c>
      <x:c r="F1154" s="24" t="str">
        <x:v>SAPPHIRE HR EASY PRO 1.259,00 989,00 639,00 1.339,00 1.069,00 719,00</x:v>
      </x:c>
      <x:c r="G1154" s="24" t="n">
        <x:v>1779</x:v>
      </x:c>
      <x:c r="H1154" s="24" t="n">
        <x:v>46118</x:v>
      </x:c>
      <x:c r="I1154" s="24" t="n">
        <x:v>46234</x:v>
      </x:c>
      <x:c r="J1154" s="24" t="str">
        <x:v>EXPIRADA</x:v>
      </x:c>
    </x:row>
    <x:row r="1155">
      <x:c r="A1155" s="24" t="n">
        <x:v>15</x:v>
      </x:c>
      <x:c r="B1155" s="24" t="str">
        <x:v>Lentes Kodak</x:v>
      </x:c>
      <x:c r="C1155" s="24" t="n">
        <x:v>160.3</x:v>
      </x:c>
      <x:c r="D1155" s="24" t="n">
        <x:v>285.2</x:v>
      </x:c>
      <x:c r="E1155" s="24" t="str">
        <x:v>2.049,00 2.049,00 1.779,00</x:v>
      </x:c>
      <x:c r="F1155" s="24" t="str">
        <x:v>OPTIFOG ROCK EASY PRO 989,00 639,00 879,00 1.069,00 719,00 959,00</x:v>
      </x:c>
      <x:c r="G1155" s="24" t="n">
        <x:v>1429</x:v>
      </x:c>
      <x:c r="H1155" s="24" t="n">
        <x:v>46118</x:v>
      </x:c>
      <x:c r="I1155" s="24" t="n">
        <x:v>46234</x:v>
      </x:c>
      <x:c r="J1155" s="24" t="str">
        <x:v>EXPIRADA</x:v>
      </x:c>
    </x:row>
    <x:row r="1156">
      <x:c r="A1156" s="24" t="n">
        <x:v>15</x:v>
      </x:c>
      <x:c r="B1156" s="24" t="str">
        <x:v>Lentes Kodak</x:v>
      </x:c>
      <x:c r="C1156" s="24" t="n">
        <x:v>160.3</x:v>
      </x:c>
      <x:c r="D1156" s="24" t="n">
        <x:v>318.1</x:v>
      </x:c>
      <x:c r="E1156" s="24" t="str">
        <x:v>2.049,00 2.049,00 1.779,00 1.429,00</x:v>
      </x:c>
      <x:c r="F1156" s="24" t="str">
        <x:v>NO REFLEX EASY PRO 639,00 879,00 489,00 719,00 959,00 569,00</x:v>
      </x:c>
      <x:c r="G1156" s="24" t="n">
        <x:v>1669</x:v>
      </x:c>
      <x:c r="H1156" s="24" t="n">
        <x:v>46118</x:v>
      </x:c>
      <x:c r="I1156" s="24" t="n">
        <x:v>46234</x:v>
      </x:c>
      <x:c r="J1156" s="24" t="str">
        <x:v>EXPIRADA</x:v>
      </x:c>
    </x:row>
    <x:row r="1157">
      <x:c r="A1157" s="24" t="n">
        <x:v>15</x:v>
      </x:c>
      <x:c r="B1157" s="24" t="str">
        <x:v>Lentes Kodak</x:v>
      </x:c>
      <x:c r="C1157" s="24" t="n">
        <x:v>160.3</x:v>
      </x:c>
      <x:c r="D1157" s="24" t="n">
        <x:v>424</x:v>
      </x:c>
      <x:c r="E1157" s="24" t="str">
        <x:v>2.049,00 2.049,00 1.779,00 1.429,00 1.669,00 1.279,00 1.229,00</x:v>
      </x:c>
      <x:c r="F1157" s="24" t="str">
        <x:v>A TRIO VERNIZ HC MARCAÇÃO CLEAN 239,00 439,00 319,00 519,00</x:v>
      </x:c>
      <x:c r="G1157" s="24" t="n">
        <x:v>1029</x:v>
      </x:c>
      <x:c r="H1157" s="24" t="n">
        <x:v>46118</x:v>
      </x:c>
      <x:c r="I1157" s="24" t="n">
        <x:v>46234</x:v>
      </x:c>
      <x:c r="J1157" s="24" t="str">
        <x:v>EXPIRADA</x:v>
      </x:c>
    </x:row>
    <x:row r="1158">
      <x:c r="A1158" s="24" t="n">
        <x:v>15</x:v>
      </x:c>
      <x:c r="B1158" s="24" t="str">
        <x:v>Lentes Kodak</x:v>
      </x:c>
      <x:c r="C1158" s="24" t="n">
        <x:v>160.3</x:v>
      </x:c>
      <x:c r="D1158" s="24" t="n">
        <x:v>352.8</x:v>
      </x:c>
      <x:c r="E1158" s="24" t="str">
        <x:v>2.049,00 2.049,00 1.779,00 1.429,00 1.669,00</x:v>
      </x:c>
      <x:c r="F1158" s="24" t="str">
        <x:v>NO REFLEX EASY CLEAN 879,00 489,00 439,00 959,00 569,00 519,00</x:v>
      </x:c>
      <x:c r="G1158" s="24" t="n">
        <x:v>1279</x:v>
      </x:c>
      <x:c r="H1158" s="24" t="n">
        <x:v>46118</x:v>
      </x:c>
      <x:c r="I1158" s="24" t="n">
        <x:v>46234</x:v>
      </x:c>
      <x:c r="J1158" s="24" t="str">
        <x:v>EXPIRADA</x:v>
      </x:c>
    </x:row>
    <x:row r="1159">
      <x:c r="A1159" s="24" t="n">
        <x:v>15</x:v>
      </x:c>
      <x:c r="B1159" s="24" t="str">
        <x:v>Lentes Kodak</x:v>
      </x:c>
      <x:c r="C1159" s="24" t="n">
        <x:v>175.3</x:v>
      </x:c>
      <x:c r="D1159" s="24" t="n">
        <x:v>172.4</x:v>
      </x:c>
      <x:c r="E1159" s="24" t="str">
        <x:v>Transitions Extractive</x:v>
      </x:c>
      <x:c r="F1159" s="24" t="str">
        <x:v>PREVENCIA SAPPHIRE 1.259,00 1.259,00 1.339,00 1.339,00 +R$80 2.049,00 2.049,00 +R$790</x:v>
      </x:c>
      <x:c r="G1159" s="24" t="n">
        <x:v>2119</x:v>
      </x:c>
      <x:c r="H1159" s="24" t="n">
        <x:v>46118</x:v>
      </x:c>
      <x:c r="I1159" s="24" t="n">
        <x:v>46234</x:v>
      </x:c>
      <x:c r="J1159" s="24" t="str">
        <x:v>EXPIRADA</x:v>
      </x:c>
    </x:row>
    <x:row r="1160">
      <x:c r="A1160" s="24" t="n">
        <x:v>15</x:v>
      </x:c>
      <x:c r="B1160" s="24" t="str">
        <x:v>Lentes Kodak</x:v>
      </x:c>
      <x:c r="C1160" s="24" t="n">
        <x:v>175.3</x:v>
      </x:c>
      <x:c r="D1160" s="24" t="n">
        <x:v>252</x:v>
      </x:c>
      <x:c r="E1160" s="24" t="str">
        <x:v>Transitions Extractive 2.119,00 2.119,00</x:v>
      </x:c>
      <x:c r="F1160" s="24" t="str">
        <x:v>PRO 1.259,00 989,00 639,00 1.339,00 1.069,00 719,00 2.049,00 1.779,00 1.429,00</x:v>
      </x:c>
      <x:c r="G1160" s="24" t="n">
        <x:v>1849</x:v>
      </x:c>
      <x:c r="H1160" s="24" t="n">
        <x:v>46118</x:v>
      </x:c>
      <x:c r="I1160" s="24" t="n">
        <x:v>46234</x:v>
      </x:c>
      <x:c r="J1160" s="24" t="str">
        <x:v>EXPIRADA</x:v>
      </x:c>
    </x:row>
    <x:row r="1161">
      <x:c r="A1161" s="24" t="n">
        <x:v>15</x:v>
      </x:c>
      <x:c r="B1161" s="24" t="str">
        <x:v>Lentes Kodak</x:v>
      </x:c>
      <x:c r="C1161" s="24" t="n">
        <x:v>175.3</x:v>
      </x:c>
      <x:c r="D1161" s="24" t="n">
        <x:v>284</x:v>
      </x:c>
      <x:c r="E1161" s="24" t="str">
        <x:v>Transitions Extractive 2.119,00 2.119,00 1.849,00</x:v>
      </x:c>
      <x:c r="F1161" s="24" t="str">
        <x:v>PRO 989,00 639,00 879,00 1.069,00 719,00 959,00 1.779,00 1.429,00 1.669,00</x:v>
      </x:c>
      <x:c r="G1161" s="24" t="n">
        <x:v>1499</x:v>
      </x:c>
      <x:c r="H1161" s="24" t="n">
        <x:v>46118</x:v>
      </x:c>
      <x:c r="I1161" s="24" t="n">
        <x:v>46234</x:v>
      </x:c>
      <x:c r="J1161" s="24" t="str">
        <x:v>EXPIRADA</x:v>
      </x:c>
    </x:row>
    <x:row r="1162">
      <x:c r="A1162" s="24" t="n">
        <x:v>15</x:v>
      </x:c>
      <x:c r="B1162" s="24" t="str">
        <x:v>Lentes Kodak</x:v>
      </x:c>
      <x:c r="C1162" s="24" t="n">
        <x:v>175.3</x:v>
      </x:c>
      <x:c r="D1162" s="24" t="n">
        <x:v>317.9</x:v>
      </x:c>
      <x:c r="E1162" s="24" t="str">
        <x:v>Transitions Extractive 2.119,00 2.119,00 1.849,00 1.499,00</x:v>
      </x:c>
      <x:c r="F1162" s="24" t="str">
        <x:v>PRO 639,00 879,00 489,00 719,00 959,00 569,00 1.429,00 1.669,00 1.279,00</x:v>
      </x:c>
      <x:c r="G1162" s="24" t="n">
        <x:v>1739</x:v>
      </x:c>
      <x:c r="H1162" s="24" t="n">
        <x:v>46118</x:v>
      </x:c>
      <x:c r="I1162" s="24" t="n">
        <x:v>46234</x:v>
      </x:c>
      <x:c r="J1162" s="24" t="str">
        <x:v>EXPIRADA</x:v>
      </x:c>
    </x:row>
    <x:row r="1163">
      <x:c r="A1163" s="24" t="n">
        <x:v>15</x:v>
      </x:c>
      <x:c r="B1163" s="24" t="str">
        <x:v>Lentes Kodak</x:v>
      </x:c>
      <x:c r="C1163" s="24" t="n">
        <x:v>175.3</x:v>
      </x:c>
      <x:c r="D1163" s="24" t="n">
        <x:v>352.6</x:v>
      </x:c>
      <x:c r="E1163" s="24" t="str">
        <x:v>Transitions Extractive 2.119,00 2.119,00 1.849,00 1.499,00 1.739,00</x:v>
      </x:c>
      <x:c r="F1163" s="24" t="str">
        <x:v>CLEAN 879,00 489,00 439,00 959,00 569,00 519,00 1.229,00 1.669,00 1.279,00</x:v>
      </x:c>
      <x:c r="G1163" s="24" t="n">
        <x:v>1349</x:v>
      </x:c>
      <x:c r="H1163" s="24" t="n">
        <x:v>46118</x:v>
      </x:c>
      <x:c r="I1163" s="24" t="n">
        <x:v>46234</x:v>
      </x:c>
      <x:c r="J1163" s="24" t="str">
        <x:v>EXPIRADA</x:v>
      </x:c>
    </x:row>
    <x:row r="1164">
      <x:c r="A1164" s="24" t="n">
        <x:v>15</x:v>
      </x:c>
      <x:c r="B1164" s="24" t="str">
        <x:v>Lentes Kodak</x:v>
      </x:c>
      <x:c r="C1164" s="24" t="n">
        <x:v>175.3</x:v>
      </x:c>
      <x:c r="D1164" s="24" t="n">
        <x:v>424</x:v>
      </x:c>
      <x:c r="E1164" s="24" t="str">
        <x:v>Transitions Extractive 2.119,00 2.119,00 1.849,00 1.499,00 1.739,00 1.349,00 1.299,00</x:v>
      </x:c>
      <x:c r="F1164" s="24" t="str">
        <x:v>VERNIZ HC MARCAÇÃO CLEAN 239,00 439,00 319,00 519,00 1.229,00 1.029,00</x:v>
      </x:c>
      <x:c r="G1164" s="24" t="n">
        <x:v>1099</x:v>
      </x:c>
      <x:c r="H1164" s="24" t="n">
        <x:v>46118</x:v>
      </x:c>
      <x:c r="I1164" s="24" t="n">
        <x:v>46234</x:v>
      </x:c>
      <x:c r="J1164" s="24" t="str">
        <x:v>EXPIRADA</x:v>
      </x:c>
    </x:row>
    <x:row r="1165">
      <x:c r="A1165" s="24" t="n">
        <x:v>15</x:v>
      </x:c>
      <x:c r="B1165" s="24" t="str">
        <x:v>Lentes Kodak</x:v>
      </x:c>
      <x:c r="C1165" s="24" t="n">
        <x:v>175.3</x:v>
      </x:c>
      <x:c r="D1165" s="24" t="n">
        <x:v>216.2</x:v>
      </x:c>
      <x:c r="E1165" s="24" t="str">
        <x:v>Transitions Extractive 2.119,00</x:v>
      </x:c>
      <x:c r="F1165" s="24" t="str">
        <x:v>HR 1.259,00 1.259,00 989,00 1.339,00 1.339,00 1.069,00 2.049,00 2.049,00 1.779,00</x:v>
      </x:c>
      <x:c r="G1165" s="24" t="n">
        <x:v>2119</x:v>
      </x:c>
      <x:c r="H1165" s="24" t="n">
        <x:v>46118</x:v>
      </x:c>
      <x:c r="I1165" s="24" t="n">
        <x:v>46234</x:v>
      </x:c>
      <x:c r="J1165" s="24" t="str">
        <x:v>EXPIRADA</x:v>
      </x:c>
    </x:row>
    <x:row r="1166">
      <x:c r="A1166" s="24" t="n">
        <x:v>15</x:v>
      </x:c>
      <x:c r="B1166" s="24" t="str">
        <x:v>Lentes Kodak</x:v>
      </x:c>
      <x:c r="C1166" s="24" t="n">
        <x:v>231.3</x:v>
      </x:c>
      <x:c r="D1166" s="24" t="n">
        <x:v>170.1</x:v>
      </x:c>
      <x:c r="E1166" s="24"/>
      <x:c r="F1166" s="24" t="str">
        <x:v>2.049,00 +R$790 2.119,00 2.119,00 +R$860 1.429,00 1.429,00 2.219,00 2.219,00 +R$790</x:v>
      </x:c>
      <x:c r="G1166" s="24" t="n">
        <x:v>2289</x:v>
      </x:c>
      <x:c r="H1166" s="24" t="n">
        <x:v>46118</x:v>
      </x:c>
      <x:c r="I1166" s="24" t="n">
        <x:v>46234</x:v>
      </x:c>
      <x:c r="J1166" s="24" t="str">
        <x:v>EXPIRADA</x:v>
      </x:c>
    </x:row>
    <x:row r="1167">
      <x:c r="A1167" s="24" t="n">
        <x:v>15</x:v>
      </x:c>
      <x:c r="B1167" s="24" t="str">
        <x:v>Lentes Kodak</x:v>
      </x:c>
      <x:c r="C1167" s="24" t="n">
        <x:v>231.3</x:v>
      </x:c>
      <x:c r="D1167" s="24" t="n">
        <x:v>251.7</x:v>
      </x:c>
      <x:c r="E1167" s="24" t="str">
        <x:v>2.289,00 2.289,00</x:v>
      </x:c>
      <x:c r="F1167" s="24" t="str">
        <x:v>1.429,00 2.119,00 1.849,00 1.499,00 1.429,00 1.159,00 809,00 2.219,00 1.949,00 1.599,00</x:v>
      </x:c>
      <x:c r="G1167" s="24" t="n">
        <x:v>2019</x:v>
      </x:c>
      <x:c r="H1167" s="24" t="n">
        <x:v>46118</x:v>
      </x:c>
      <x:c r="I1167" s="24" t="n">
        <x:v>46234</x:v>
      </x:c>
      <x:c r="J1167" s="24" t="str">
        <x:v>EXPIRADA</x:v>
      </x:c>
    </x:row>
    <x:row r="1168">
      <x:c r="A1168" s="24" t="n">
        <x:v>15</x:v>
      </x:c>
      <x:c r="B1168" s="24" t="str">
        <x:v>Lentes Kodak</x:v>
      </x:c>
      <x:c r="C1168" s="24" t="n">
        <x:v>231.3</x:v>
      </x:c>
      <x:c r="D1168" s="24" t="n">
        <x:v>285.1</x:v>
      </x:c>
      <x:c r="E1168" s="24" t="str">
        <x:v>2.289,00 2.289,00 2.019,00</x:v>
      </x:c>
      <x:c r="F1168" s="24" t="str">
        <x:v>1.669,00 1.849,00 1.499,00 1.739,00 1.159,00 809,00 1.049,00 1.949,00 1.599,00 1.839,00</x:v>
      </x:c>
      <x:c r="G1168" s="24" t="n">
        <x:v>1669</x:v>
      </x:c>
      <x:c r="H1168" s="24" t="n">
        <x:v>46118</x:v>
      </x:c>
      <x:c r="I1168" s="24" t="n">
        <x:v>46234</x:v>
      </x:c>
      <x:c r="J1168" s="24" t="str">
        <x:v>EXPIRADA</x:v>
      </x:c>
    </x:row>
    <x:row r="1169">
      <x:c r="A1169" s="24" t="n">
        <x:v>15</x:v>
      </x:c>
      <x:c r="B1169" s="24" t="str">
        <x:v>Lentes Kodak</x:v>
      </x:c>
      <x:c r="C1169" s="24" t="n">
        <x:v>231.3</x:v>
      </x:c>
      <x:c r="D1169" s="24" t="n">
        <x:v>317</x:v>
      </x:c>
      <x:c r="E1169" s="24" t="str">
        <x:v>2.289,00 2.289,00 2.019,00 1.669,00</x:v>
      </x:c>
      <x:c r="F1169" s="24" t="str">
        <x:v>1.279,00 1.499,00 1.739,00 1.349,00 809,00 1.049,00 659,00 1.599,00 1.839,00 1.449,00</x:v>
      </x:c>
      <x:c r="G1169" s="24" t="n">
        <x:v>1909</x:v>
      </x:c>
      <x:c r="H1169" s="24" t="n">
        <x:v>46118</x:v>
      </x:c>
      <x:c r="I1169" s="24" t="n">
        <x:v>46234</x:v>
      </x:c>
      <x:c r="J1169" s="24" t="str">
        <x:v>EXPIRADA</x:v>
      </x:c>
    </x:row>
    <x:row r="1170">
      <x:c r="A1170" s="24" t="n">
        <x:v>15</x:v>
      </x:c>
      <x:c r="B1170" s="24" t="str">
        <x:v>Lentes Kodak</x:v>
      </x:c>
      <x:c r="C1170" s="24" t="n">
        <x:v>231.3</x:v>
      </x:c>
      <x:c r="D1170" s="24" t="n">
        <x:v>353.6</x:v>
      </x:c>
      <x:c r="E1170" s="24" t="str">
        <x:v>2.289,00 2.289,00 2.019,00 1.669,00 1.909,00</x:v>
      </x:c>
      <x:c r="F1170" s="24" t="str">
        <x:v>1.279,00 1.299,00 1.739,00 1.349,00 1.049,00 659,00 609,00 1.839,00 1.449,00 1.399,00</x:v>
      </x:c>
      <x:c r="G1170" s="24" t="n">
        <x:v>1519</x:v>
      </x:c>
      <x:c r="H1170" s="24" t="n">
        <x:v>46118</x:v>
      </x:c>
      <x:c r="I1170" s="24" t="n">
        <x:v>46234</x:v>
      </x:c>
      <x:c r="J1170" s="24" t="str">
        <x:v>EXPIRADA</x:v>
      </x:c>
    </x:row>
    <x:row r="1171">
      <x:c r="A1171" s="24" t="n">
        <x:v>15</x:v>
      </x:c>
      <x:c r="B1171" s="24" t="str">
        <x:v>Lentes Kodak</x:v>
      </x:c>
      <x:c r="C1171" s="24" t="n">
        <x:v>130.3</x:v>
      </x:c>
      <x:c r="D1171" s="24" t="n">
        <x:v>388.5</x:v>
      </x:c>
      <x:c r="E1171" s="24" t="str">
        <x:v>1.50 1.259,00 1.259,00 989,00 639,00 879,00 489,00</x:v>
      </x:c>
      <x:c r="F1171" s="24" t="str">
        <x:v>C V MARROM M A TRIO VERNIZ REFLEX EASY CLEAN</x:v>
      </x:c>
      <x:c r="G1171" s="24" t="n">
        <x:v>439</x:v>
      </x:c>
      <x:c r="H1171" s="24" t="n">
        <x:v>46118</x:v>
      </x:c>
      <x:c r="I1171" s="24" t="n">
        <x:v>46234</x:v>
      </x:c>
      <x:c r="J1171" s="24" t="str">
        <x:v>EXPIRADA</x:v>
      </x:c>
    </x:row>
    <x:row r="1172">
      <x:c r="A1172" s="24" t="n">
        <x:v>15</x:v>
      </x:c>
      <x:c r="B1172" s="24" t="str">
        <x:v>Lentes Kodak</x:v>
      </x:c>
      <x:c r="C1172" s="24" t="n">
        <x:v>144.7</x:v>
      </x:c>
      <x:c r="D1172" s="24" t="n">
        <x:v>390.4</x:v>
      </x:c>
      <x:c r="E1172" s="24" t="str">
        <x:v>1.339,00 1.339,00 1.069,00 719,00 959,00 569,00</x:v>
      </x:c>
      <x:c r="F1172" s="24" t="str">
        <x:v>M A TRIO VERNIZ REFLEX EASY CLEAN 489,00 239,00 439,00</x:v>
      </x:c>
      <x:c r="G1172" s="24" t="n">
        <x:v>519</x:v>
      </x:c>
      <x:c r="H1172" s="24" t="n">
        <x:v>46118</x:v>
      </x:c>
      <x:c r="I1172" s="24" t="n">
        <x:v>46234</x:v>
      </x:c>
      <x:c r="J1172" s="24" t="str">
        <x:v>EXPIRADA</x:v>
      </x:c>
    </x:row>
    <x:row r="1173">
      <x:c r="A1173" s="24" t="n">
        <x:v>15</x:v>
      </x:c>
      <x:c r="B1173" s="24" t="str">
        <x:v>Lentes Kodak</x:v>
      </x:c>
      <x:c r="C1173" s="24" t="n">
        <x:v>200.3</x:v>
      </x:c>
      <x:c r="D1173" s="24" t="n">
        <x:v>389.9</x:v>
      </x:c>
      <x:c r="E1173" s="24" t="str">
        <x:v>Poly + 1.429,00 1.429,00 1.159,00 809,00 1.049,00 659,00</x:v>
      </x:c>
      <x:c r="F1173" s="24" t="str">
        <x:v>439,00 569,00 319,00 519,00 1.229,00 1.279,00 1.029,00 1.299,00 1.349,00 1.099,00</x:v>
      </x:c>
      <x:c r="G1173" s="24" t="n">
        <x:v>609</x:v>
      </x:c>
      <x:c r="H1173" s="24" t="n">
        <x:v>46118</x:v>
      </x:c>
      <x:c r="I1173" s="24" t="n">
        <x:v>46234</x:v>
      </x:c>
      <x:c r="J1173" s="24" t="str">
        <x:v>EXPIRADA</x:v>
      </x:c>
    </x:row>
    <x:row r="1174">
      <x:c r="A1174" s="24" t="n">
        <x:v>15</x:v>
      </x:c>
      <x:c r="B1174" s="24" t="str">
        <x:v>Lentes Kodak</x:v>
      </x:c>
      <x:c r="C1174" s="24" t="n">
        <x:v>216.7</x:v>
      </x:c>
      <x:c r="D1174" s="24" t="n">
        <x:v>388.4</x:v>
      </x:c>
      <x:c r="E1174" s="24" t="str">
        <x:v>2.219,00 2.219,00 1.949,00 1.599,00 1.839,00 1.449,00</x:v>
      </x:c>
      <x:c r="F1174" s="24" t="str">
        <x:v>519,00 1.229,00 1.279,00 1.029,00 1.299,00 1.349,00 1.099,00 659,00 409,00 609,00</x:v>
      </x:c>
      <x:c r="G1174" s="24" t="n">
        <x:v>1399</x:v>
      </x:c>
      <x:c r="H1174" s="24" t="n">
        <x:v>46118</x:v>
      </x:c>
      <x:c r="I1174" s="24" t="n">
        <x:v>46234</x:v>
      </x:c>
      <x:c r="J1174" s="24" t="str">
        <x:v>EXPIRADA</x:v>
      </x:c>
    </x:row>
    <x:row r="1175">
      <x:c r="A1175" s="24" t="n">
        <x:v>15</x:v>
      </x:c>
      <x:c r="B1175" s="24" t="str">
        <x:v>Lentes Kodak</x:v>
      </x:c>
      <x:c r="C1175" s="24" t="n">
        <x:v>256.9</x:v>
      </x:c>
      <x:c r="D1175" s="24" t="n">
        <x:v>387</x:v>
      </x:c>
      <x:c r="E1175" s="24" t="str">
        <x:v>1.67 2.349,00 2.349,00 2.079,00 1.729,00 1.969,00 1.579,00</x:v>
      </x:c>
      <x:c r="F1175" s="24" t="str">
        <x:v>1.099,00 659,00 409,00 609,00 1.449,00 1.199,00 1.399,00 1.469,00 1.269,00 1.519,00</x:v>
      </x:c>
      <x:c r="G1175" s="24" t="n">
        <x:v>1529</x:v>
      </x:c>
      <x:c r="H1175" s="24" t="n">
        <x:v>46118</x:v>
      </x:c>
      <x:c r="I1175" s="24" t="n">
        <x:v>46234</x:v>
      </x:c>
      <x:c r="J1175" s="24" t="str">
        <x:v>EXPIRADA</x:v>
      </x:c>
    </x:row>
    <x:row r="1176">
      <x:c r="A1176" s="24" t="n">
        <x:v>15</x:v>
      </x:c>
      <x:c r="B1176" s="24" t="str">
        <x:v>Lentes Kodak</x:v>
      </x:c>
      <x:c r="C1176" s="24" t="n">
        <x:v>272.2</x:v>
      </x:c>
      <x:c r="D1176" s="24" t="n">
        <x:v>387.7</x:v>
      </x:c>
      <x:c r="E1176" s="24" t="str">
        <x:v>3.139,00 3.139,00 2.869,00 2.519,00 2.759,00 2.369,00</x:v>
      </x:c>
      <x:c r="F1176" s="24" t="str">
        <x:v>609,00 1.449,00 1.199,00 1.399,00 1.469,00 1.269,00 1.519,00 - 1.529,00 1.579,00</x:v>
      </x:c>
      <x:c r="G1176" s="24" t="n">
        <x:v>2319</x:v>
      </x:c>
      <x:c r="H1176" s="24" t="n">
        <x:v>46118</x:v>
      </x:c>
      <x:c r="I1176" s="24" t="n">
        <x:v>46234</x:v>
      </x:c>
      <x:c r="J1176" s="24" t="str">
        <x:v>EXPIRADA</x:v>
      </x:c>
    </x:row>
    <x:row r="1177">
      <x:c r="A1177" s="24" t="n">
        <x:v>15</x:v>
      </x:c>
      <x:c r="B1177" s="24" t="str">
        <x:v>Lentes Kodak</x:v>
      </x:c>
      <x:c r="C1177" s="24" t="n">
        <x:v>160.3</x:v>
      </x:c>
      <x:c r="D1177" s="24" t="n">
        <x:v>389.2</x:v>
      </x:c>
      <x:c r="E1177" s="24" t="str">
        <x:v>2.049,00 2.049,00 1.779,00 1.429,00 1.669,00 1.279,00</x:v>
      </x:c>
      <x:c r="F1177" s="24" t="str">
        <x:v>HC REFLEX EASY CLEAN 489,00 239,00 439,00 569,00 319,00 519,00</x:v>
      </x:c>
      <x:c r="G1177" s="24" t="n">
        <x:v>1229</x:v>
      </x:c>
      <x:c r="H1177" s="24" t="n">
        <x:v>46118</x:v>
      </x:c>
      <x:c r="I1177" s="24" t="n">
        <x:v>46234</x:v>
      </x:c>
      <x:c r="J1177" s="24" t="str">
        <x:v>EXPIRADA</x:v>
      </x:c>
    </x:row>
    <x:row r="1178">
      <x:c r="A1178" s="24" t="n">
        <x:v>15</x:v>
      </x:c>
      <x:c r="B1178" s="24" t="str">
        <x:v>Lentes Kodak</x:v>
      </x:c>
      <x:c r="C1178" s="24" t="n">
        <x:v>175.3</x:v>
      </x:c>
      <x:c r="D1178" s="24" t="n">
        <x:v>388.2</x:v>
      </x:c>
      <x:c r="E1178" s="24" t="str">
        <x:v>Transitions Extractive 2.119,00 2.119,00 1.849,00 1.499,00 1.739,00 1.349,00</x:v>
      </x:c>
      <x:c r="F1178" s="24" t="str">
        <x:v>CLEAN 489,00 239,00 439,00 569,00 319,00 519,00 1.229,00 1.279,00 1.029,00</x:v>
      </x:c>
      <x:c r="G1178" s="24" t="n">
        <x:v>1299</x:v>
      </x:c>
      <x:c r="H1178" s="24" t="n">
        <x:v>46118</x:v>
      </x:c>
      <x:c r="I1178" s="24" t="n">
        <x:v>46234</x:v>
      </x:c>
      <x:c r="J1178" s="24" t="str">
        <x:v>EXPIRADA</x:v>
      </x:c>
    </x:row>
    <x:row r="1179">
      <x:c r="A1179" s="24" t="n">
        <x:v>15</x:v>
      </x:c>
      <x:c r="B1179" s="24" t="str">
        <x:v>Lentes Kodak</x:v>
      </x:c>
      <x:c r="C1179" s="24" t="n">
        <x:v>231.3</x:v>
      </x:c>
      <x:c r="D1179" s="24" t="n">
        <x:v>387.9</x:v>
      </x:c>
      <x:c r="E1179" s="24" t="str">
        <x:v>2.289,00 2.289,00 2.019,00 1.669,00 1.909,00 1.519,00</x:v>
      </x:c>
      <x:c r="F1179" s="24" t="str">
        <x:v>1.029,00 1.299,00 1.349,00 1.099,00 659,00 409,00 609,00 1.449,00 1.199,00 1.399,00</x:v>
      </x:c>
      <x:c r="G1179" s="24" t="n">
        <x:v>1469</x:v>
      </x:c>
      <x:c r="H1179" s="24" t="n">
        <x:v>46118</x:v>
      </x:c>
      <x:c r="I1179" s="24" t="n">
        <x:v>46234</x:v>
      </x:c>
      <x:c r="J1179" s="24" t="str">
        <x:v>EXPIRADA</x:v>
      </x:c>
    </x:row>
    <x:row r="1180">
      <x:c r="A1180" s="24" t="n">
        <x:v>15</x:v>
      </x:c>
      <x:c r="B1180" s="24" t="str">
        <x:v>Lentes Kodak</x:v>
      </x:c>
      <x:c r="C1180" s="24" t="n">
        <x:v>231.3</x:v>
      </x:c>
      <x:c r="D1180" s="24" t="n">
        <x:v>424</x:v>
      </x:c>
      <x:c r="E1180" s="24" t="str">
        <x:v>2.289,00 2.289,00 2.019,00 1.669,00 1.909,00 1.519,00 1.469,00</x:v>
      </x:c>
      <x:c r="F1180" s="24" t="str">
        <x:v>319,00 519,00 1.229,00 1.029,00 1.299,00 1.099,00 409,00 609,00 1.199,00 1.399,00</x:v>
      </x:c>
      <x:c r="G1180" s="24" t="n">
        <x:v>1269</x:v>
      </x:c>
      <x:c r="H1180" s="24" t="n">
        <x:v>46118</x:v>
      </x:c>
      <x:c r="I1180" s="24" t="n">
        <x:v>46234</x:v>
      </x:c>
      <x:c r="J1180" s="24" t="str">
        <x:v>EXPIRADA</x:v>
      </x:c>
    </x:row>
    <x:row r="1181">
      <x:c r="A1181" s="24" t="n">
        <x:v>15</x:v>
      </x:c>
      <x:c r="B1181" s="24" t="str">
        <x:v>Lentes Kodak</x:v>
      </x:c>
      <x:c r="C1181" s="24" t="n">
        <x:v>231.3</x:v>
      </x:c>
      <x:c r="D1181" s="24" t="n">
        <x:v>213.8</x:v>
      </x:c>
      <x:c r="E1181" s="24" t="str">
        <x:v>2.289,00</x:v>
      </x:c>
      <x:c r="F1181" s="24" t="str">
        <x:v>1.779,00 2.119,00 2.119,00 1.849,00 1.429,00 1.429,00 1.159,00 2.219,00 2.219,00 1.949,00</x:v>
      </x:c>
      <x:c r="G1181" s="24" t="n">
        <x:v>2289</x:v>
      </x:c>
      <x:c r="H1181" s="24" t="n">
        <x:v>46118</x:v>
      </x:c>
      <x:c r="I1181" s="24" t="n">
        <x:v>46234</x:v>
      </x:c>
      <x:c r="J1181" s="24" t="str">
        <x:v>EXPIRADA</x:v>
      </x:c>
    </x:row>
    <x:row r="1182">
      <x:c r="A1182" s="24" t="n">
        <x:v>15</x:v>
      </x:c>
      <x:c r="B1182" s="24" t="str">
        <x:v>Lentes Kodak</x:v>
      </x:c>
      <x:c r="C1182" s="24" t="n">
        <x:v>299</x:v>
      </x:c>
      <x:c r="D1182" s="24" t="n">
        <x:v>214</x:v>
      </x:c>
      <x:c r="E1182" s="24" t="str">
        <x:v>1.74 -</x:v>
      </x:c>
      <x:c r="F1182" s="24" t="str">
        <x:v>1.949,00 2.289,00 2.289,00 2.019,00 2.349,00 2.349,00 2.079,00 3.139,00 3.139,00 2.869,00</x:v>
      </x:c>
      <x:c r="G1182" s="24" t="n">
        <x:v>3059</x:v>
      </x:c>
      <x:c r="H1182" s="24" t="n">
        <x:v>46118</x:v>
      </x:c>
      <x:c r="I1182" s="24" t="n">
        <x:v>46234</x:v>
      </x:c>
      <x:c r="J1182" s="24" t="str">
        <x:v>EXPIRADA</x:v>
      </x:c>
    </x:row>
    <x:row r="1183">
      <x:c r="A1183" s="24" t="n">
        <x:v>15</x:v>
      </x:c>
      <x:c r="B1183" s="24" t="str">
        <x:v>Lentes Kodak</x:v>
      </x:c>
      <x:c r="C1183" s="24" t="n">
        <x:v>314.3</x:v>
      </x:c>
      <x:c r="D1183" s="24" t="n">
        <x:v>213</x:v>
      </x:c>
      <x:c r="E1183" s="24" t="str">
        <x:v>-</x:v>
      </x:c>
      <x:c r="F1183" s="24" t="str">
        <x:v>2.019,00 2.349,00 2.349,00 2.079,00 3.139,00 3.139,00 2.869,00 - - 3.059,00</x:v>
      </x:c>
      <x:c r="G1183" s="24" t="n">
        <x:v>3849</x:v>
      </x:c>
      <x:c r="H1183" s="24" t="n">
        <x:v>46118</x:v>
      </x:c>
      <x:c r="I1183" s="24" t="n">
        <x:v>46234</x:v>
      </x:c>
      <x:c r="J1183" s="24" t="str">
        <x:v>EXPIRADA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0bd890ddaf54f1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58" hidden="0" customWidth="1"/>
    <x:col min="4" max="4" width="58" hidden="0" customWidth="1"/>
    <x:col min="5" max="5" width="58" hidden="0" customWidth="1"/>
  </x:cols>
  <x:sheetData>
    <x:row r="1" ht="30" customHeight="1">
      <x:c r="A1" s="31" t="str">
        <x:v>Prioridade</x:v>
      </x:c>
      <x:c r="B1" s="31" t="str">
        <x:v>Tema</x:v>
      </x:c>
      <x:c r="C1" s="31" t="str">
        <x:v>Situação</x:v>
      </x:c>
      <x:c r="D1" s="31" t="str">
        <x:v>Impacto no site</x:v>
      </x:c>
      <x:c r="E1" s="31" t="str">
        <x:v>Próxima ação</x:v>
      </x:c>
    </x:row>
    <x:row r="2">
      <x:c r="A2" s="24" t="str">
        <x:v>ALTA</x:v>
      </x:c>
      <x:c r="B2" s="24" t="str">
        <x:v>Essilor / Varilux / Crizal / Transitions</x:v>
      </x:c>
      <x:c r="C2" s="24" t="str">
        <x:v>O PDF recebido venceu em 31/07/2026.</x:v>
      </x:c>
      <x:c r="D2" s="24" t="str">
        <x:v>Essas marcas não entram em EXPORT_WEB.</x:v>
      </x:c>
      <x:c r="E2" s="24" t="str">
        <x:v>Substituir por tabela vigente e reprocessar.</x:v>
      </x:c>
    </x:row>
    <x:row r="3">
      <x:c r="A3" s="24" t="str">
        <x:v>MÉDIA</x:v>
      </x:c>
      <x:c r="B3" s="24" t="str">
        <x:v>Rodenstock netline — grade de dioptria</x:v>
      </x:c>
      <x:c r="C3" s="24" t="str">
        <x:v>Preços estão presentes, mas a matriz gráfica de disponibilidade da p.33 não foi convertida em regras de prescrição.</x:v>
      </x:c>
      <x:c r="D3" s="24" t="str">
        <x:v>Só afeta validação automática de receita/grau; não afeta busca de preço por SKU.</x:v>
      </x:c>
      <x:c r="E3" s="24" t="str">
        <x:v>Estruturar grade se o site for validar esfera/cilindro automaticamente.</x:v>
      </x:c>
    </x:row>
    <x:row r="4">
      <x:c r="A4" s="24" t="str">
        <x:v>MÉDIA</x:v>
      </x:c>
      <x:c r="B4" s="24" t="str">
        <x:v>Elegibilidade comercial ZEISS</x:v>
      </x:c>
      <x:c r="C4" s="24" t="str">
        <x:v>O catálogo informa restrições do Programa de Parcerias/Experts para linhas específicas.</x:v>
      </x:c>
      <x:c r="D4" s="24" t="str">
        <x:v>O site deve saber se a ótica é elegível antes de mostrar/permitir certos SKUs.</x:v>
      </x:c>
      <x:c r="E4" s="24" t="str">
        <x:v>Adicionar configuração de elegibilidade da loja e filtrar por Restricao_Comercial.</x:v>
      </x:c>
    </x:row>
  </x:sheetData>
  <x:conditionalFormatting sqref="A2:A4">
    <x:cfRule type="expression" dxfId="9" priority="1">
      <x:formula>A2="ALTA"</x:formula>
    </x:cfRule>
    <x:cfRule type="expression" dxfId="10" priority="2">
      <x:formula>A2="MÉDIA"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9c964b07cb34cbd"/>
  </x:tableParts>
</x:worksheet>
</file>